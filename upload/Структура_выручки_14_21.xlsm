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.burnaev\Desktop\Молоко\"/>
    </mc:Choice>
  </mc:AlternateContent>
  <bookViews>
    <workbookView xWindow="-120" yWindow="-120" windowWidth="29040" windowHeight="15840" tabRatio="697"/>
  </bookViews>
  <sheets>
    <sheet name="LFL Структура выручки" sheetId="5" r:id="rId1"/>
    <sheet name="куб" sheetId="18" r:id="rId2"/>
  </sheets>
  <definedNames>
    <definedName name="_xlnm._FilterDatabase" localSheetId="0" hidden="1">'LFL Структура выручки'!$A$2:$J$1323</definedName>
  </definedNames>
  <calcPr calcId="162913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33" i="5" l="1"/>
  <c r="I1033" i="5"/>
  <c r="P1033" i="5"/>
  <c r="Q1033" i="5"/>
  <c r="T1033" i="5"/>
  <c r="U1033" i="5"/>
  <c r="X1033" i="5"/>
  <c r="Y1033" i="5"/>
  <c r="AF1033" i="5"/>
  <c r="AG1033" i="5"/>
  <c r="AJ1033" i="5"/>
  <c r="AK1033" i="5"/>
  <c r="H1034" i="5"/>
  <c r="I1034" i="5"/>
  <c r="P1034" i="5"/>
  <c r="Q1034" i="5"/>
  <c r="T1034" i="5"/>
  <c r="U1034" i="5"/>
  <c r="X1034" i="5"/>
  <c r="Y1034" i="5"/>
  <c r="AF1034" i="5"/>
  <c r="AG1034" i="5"/>
  <c r="AJ1034" i="5"/>
  <c r="AK1034" i="5"/>
  <c r="H1035" i="5"/>
  <c r="I1035" i="5"/>
  <c r="P1035" i="5"/>
  <c r="Q1035" i="5"/>
  <c r="T1035" i="5"/>
  <c r="U1035" i="5"/>
  <c r="X1035" i="5"/>
  <c r="Y1035" i="5"/>
  <c r="AF1035" i="5"/>
  <c r="AG1035" i="5"/>
  <c r="AJ1035" i="5"/>
  <c r="AK1035" i="5"/>
  <c r="H1036" i="5"/>
  <c r="I1036" i="5"/>
  <c r="P1036" i="5"/>
  <c r="Q1036" i="5"/>
  <c r="T1036" i="5"/>
  <c r="U1036" i="5"/>
  <c r="X1036" i="5"/>
  <c r="Y1036" i="5"/>
  <c r="AF1036" i="5"/>
  <c r="AG1036" i="5"/>
  <c r="AJ1036" i="5"/>
  <c r="AK1036" i="5"/>
  <c r="H1037" i="5"/>
  <c r="I1037" i="5"/>
  <c r="P1037" i="5"/>
  <c r="Q1037" i="5"/>
  <c r="T1037" i="5"/>
  <c r="U1037" i="5"/>
  <c r="X1037" i="5"/>
  <c r="Y1037" i="5"/>
  <c r="AF1037" i="5"/>
  <c r="AG1037" i="5"/>
  <c r="AJ1037" i="5"/>
  <c r="AK1037" i="5"/>
  <c r="H1038" i="5"/>
  <c r="I1038" i="5"/>
  <c r="P1038" i="5"/>
  <c r="Q1038" i="5"/>
  <c r="T1038" i="5"/>
  <c r="U1038" i="5"/>
  <c r="X1038" i="5"/>
  <c r="Y1038" i="5"/>
  <c r="AF1038" i="5"/>
  <c r="AG1038" i="5"/>
  <c r="AJ1038" i="5"/>
  <c r="AK1038" i="5"/>
  <c r="H1039" i="5"/>
  <c r="I1039" i="5"/>
  <c r="P1039" i="5"/>
  <c r="Q1039" i="5"/>
  <c r="T1039" i="5"/>
  <c r="U1039" i="5"/>
  <c r="X1039" i="5"/>
  <c r="Y1039" i="5"/>
  <c r="AF1039" i="5"/>
  <c r="AG1039" i="5"/>
  <c r="AJ1039" i="5"/>
  <c r="AK1039" i="5"/>
  <c r="H1040" i="5"/>
  <c r="I1040" i="5"/>
  <c r="P1040" i="5"/>
  <c r="Q1040" i="5"/>
  <c r="T1040" i="5"/>
  <c r="U1040" i="5"/>
  <c r="X1040" i="5"/>
  <c r="Y1040" i="5"/>
  <c r="AF1040" i="5"/>
  <c r="AG1040" i="5"/>
  <c r="AJ1040" i="5"/>
  <c r="AK1040" i="5"/>
  <c r="H1041" i="5"/>
  <c r="I1041" i="5"/>
  <c r="P1041" i="5"/>
  <c r="Q1041" i="5"/>
  <c r="T1041" i="5"/>
  <c r="U1041" i="5"/>
  <c r="X1041" i="5"/>
  <c r="Y1041" i="5"/>
  <c r="AF1041" i="5"/>
  <c r="AG1041" i="5"/>
  <c r="AJ1041" i="5"/>
  <c r="AK1041" i="5"/>
  <c r="H1042" i="5"/>
  <c r="I1042" i="5"/>
  <c r="P1042" i="5"/>
  <c r="Q1042" i="5"/>
  <c r="T1042" i="5"/>
  <c r="U1042" i="5"/>
  <c r="X1042" i="5"/>
  <c r="Y1042" i="5"/>
  <c r="AF1042" i="5"/>
  <c r="AG1042" i="5"/>
  <c r="AJ1042" i="5"/>
  <c r="AK1042" i="5"/>
  <c r="H1043" i="5"/>
  <c r="I1043" i="5"/>
  <c r="P1043" i="5"/>
  <c r="Q1043" i="5"/>
  <c r="T1043" i="5"/>
  <c r="U1043" i="5"/>
  <c r="X1043" i="5"/>
  <c r="Y1043" i="5"/>
  <c r="AF1043" i="5"/>
  <c r="AG1043" i="5"/>
  <c r="AJ1043" i="5"/>
  <c r="AK1043" i="5"/>
  <c r="H1044" i="5"/>
  <c r="I1044" i="5"/>
  <c r="P1044" i="5"/>
  <c r="Q1044" i="5"/>
  <c r="T1044" i="5"/>
  <c r="U1044" i="5"/>
  <c r="X1044" i="5"/>
  <c r="Y1044" i="5"/>
  <c r="AF1044" i="5"/>
  <c r="AG1044" i="5"/>
  <c r="AJ1044" i="5"/>
  <c r="AK1044" i="5"/>
  <c r="H1045" i="5"/>
  <c r="I1045" i="5"/>
  <c r="P1045" i="5"/>
  <c r="Q1045" i="5"/>
  <c r="T1045" i="5"/>
  <c r="U1045" i="5"/>
  <c r="X1045" i="5"/>
  <c r="Y1045" i="5"/>
  <c r="AF1045" i="5"/>
  <c r="AG1045" i="5"/>
  <c r="AJ1045" i="5"/>
  <c r="AK1045" i="5"/>
  <c r="H1046" i="5"/>
  <c r="I1046" i="5"/>
  <c r="P1046" i="5"/>
  <c r="Q1046" i="5"/>
  <c r="T1046" i="5"/>
  <c r="U1046" i="5"/>
  <c r="X1046" i="5"/>
  <c r="Y1046" i="5"/>
  <c r="AF1046" i="5"/>
  <c r="AG1046" i="5"/>
  <c r="AJ1046" i="5"/>
  <c r="AK1046" i="5"/>
  <c r="H1047" i="5"/>
  <c r="I1047" i="5"/>
  <c r="P1047" i="5"/>
  <c r="Q1047" i="5"/>
  <c r="T1047" i="5"/>
  <c r="U1047" i="5"/>
  <c r="X1047" i="5"/>
  <c r="Y1047" i="5"/>
  <c r="AF1047" i="5"/>
  <c r="AG1047" i="5"/>
  <c r="AJ1047" i="5"/>
  <c r="AK1047" i="5"/>
  <c r="H1048" i="5"/>
  <c r="I1048" i="5"/>
  <c r="P1048" i="5"/>
  <c r="Q1048" i="5"/>
  <c r="T1048" i="5"/>
  <c r="U1048" i="5"/>
  <c r="X1048" i="5"/>
  <c r="Y1048" i="5"/>
  <c r="AF1048" i="5"/>
  <c r="AG1048" i="5"/>
  <c r="AJ1048" i="5"/>
  <c r="AK1048" i="5"/>
  <c r="H1049" i="5"/>
  <c r="I1049" i="5"/>
  <c r="P1049" i="5"/>
  <c r="Q1049" i="5"/>
  <c r="T1049" i="5"/>
  <c r="U1049" i="5"/>
  <c r="X1049" i="5"/>
  <c r="Y1049" i="5"/>
  <c r="AF1049" i="5"/>
  <c r="AG1049" i="5"/>
  <c r="AJ1049" i="5"/>
  <c r="AK1049" i="5"/>
  <c r="H1050" i="5"/>
  <c r="I1050" i="5"/>
  <c r="P1050" i="5"/>
  <c r="Q1050" i="5"/>
  <c r="T1050" i="5"/>
  <c r="U1050" i="5"/>
  <c r="X1050" i="5"/>
  <c r="Y1050" i="5"/>
  <c r="AF1050" i="5"/>
  <c r="AG1050" i="5"/>
  <c r="AJ1050" i="5"/>
  <c r="AK1050" i="5"/>
  <c r="H1051" i="5"/>
  <c r="I1051" i="5"/>
  <c r="P1051" i="5"/>
  <c r="Q1051" i="5"/>
  <c r="T1051" i="5"/>
  <c r="U1051" i="5"/>
  <c r="X1051" i="5"/>
  <c r="Y1051" i="5"/>
  <c r="AF1051" i="5"/>
  <c r="AG1051" i="5"/>
  <c r="AJ1051" i="5"/>
  <c r="AK1051" i="5"/>
  <c r="H1052" i="5"/>
  <c r="I1052" i="5"/>
  <c r="P1052" i="5"/>
  <c r="Q1052" i="5"/>
  <c r="T1052" i="5"/>
  <c r="U1052" i="5"/>
  <c r="X1052" i="5"/>
  <c r="Y1052" i="5"/>
  <c r="AF1052" i="5"/>
  <c r="AG1052" i="5"/>
  <c r="AJ1052" i="5"/>
  <c r="AK1052" i="5"/>
  <c r="H1053" i="5"/>
  <c r="I1053" i="5"/>
  <c r="P1053" i="5"/>
  <c r="Q1053" i="5"/>
  <c r="T1053" i="5"/>
  <c r="U1053" i="5"/>
  <c r="X1053" i="5"/>
  <c r="Y1053" i="5"/>
  <c r="AF1053" i="5"/>
  <c r="AG1053" i="5"/>
  <c r="AJ1053" i="5"/>
  <c r="AK1053" i="5"/>
  <c r="H1054" i="5"/>
  <c r="I1054" i="5"/>
  <c r="P1054" i="5"/>
  <c r="Q1054" i="5"/>
  <c r="T1054" i="5"/>
  <c r="U1054" i="5"/>
  <c r="X1054" i="5"/>
  <c r="Y1054" i="5"/>
  <c r="AF1054" i="5"/>
  <c r="AG1054" i="5"/>
  <c r="AJ1054" i="5"/>
  <c r="AK1054" i="5"/>
  <c r="H1055" i="5"/>
  <c r="I1055" i="5"/>
  <c r="P1055" i="5"/>
  <c r="Q1055" i="5"/>
  <c r="T1055" i="5"/>
  <c r="U1055" i="5"/>
  <c r="X1055" i="5"/>
  <c r="Y1055" i="5"/>
  <c r="AF1055" i="5"/>
  <c r="AG1055" i="5"/>
  <c r="AJ1055" i="5"/>
  <c r="AK1055" i="5"/>
  <c r="H1056" i="5"/>
  <c r="I1056" i="5"/>
  <c r="P1056" i="5"/>
  <c r="Q1056" i="5"/>
  <c r="T1056" i="5"/>
  <c r="U1056" i="5"/>
  <c r="X1056" i="5"/>
  <c r="Y1056" i="5"/>
  <c r="AF1056" i="5"/>
  <c r="AG1056" i="5"/>
  <c r="AJ1056" i="5"/>
  <c r="AK1056" i="5"/>
  <c r="H1057" i="5"/>
  <c r="I1057" i="5"/>
  <c r="P1057" i="5"/>
  <c r="Q1057" i="5"/>
  <c r="T1057" i="5"/>
  <c r="U1057" i="5"/>
  <c r="X1057" i="5"/>
  <c r="Y1057" i="5"/>
  <c r="AF1057" i="5"/>
  <c r="AG1057" i="5"/>
  <c r="AJ1057" i="5"/>
  <c r="AK1057" i="5"/>
  <c r="H1058" i="5"/>
  <c r="I1058" i="5"/>
  <c r="P1058" i="5"/>
  <c r="Q1058" i="5"/>
  <c r="T1058" i="5"/>
  <c r="U1058" i="5"/>
  <c r="X1058" i="5"/>
  <c r="Y1058" i="5"/>
  <c r="AF1058" i="5"/>
  <c r="AG1058" i="5"/>
  <c r="AJ1058" i="5"/>
  <c r="AK1058" i="5"/>
  <c r="H1059" i="5"/>
  <c r="I1059" i="5"/>
  <c r="P1059" i="5"/>
  <c r="Q1059" i="5"/>
  <c r="T1059" i="5"/>
  <c r="U1059" i="5"/>
  <c r="X1059" i="5"/>
  <c r="Y1059" i="5"/>
  <c r="AF1059" i="5"/>
  <c r="AG1059" i="5"/>
  <c r="AJ1059" i="5"/>
  <c r="AK1059" i="5"/>
  <c r="H1060" i="5"/>
  <c r="I1060" i="5"/>
  <c r="P1060" i="5"/>
  <c r="Q1060" i="5"/>
  <c r="T1060" i="5"/>
  <c r="U1060" i="5"/>
  <c r="X1060" i="5"/>
  <c r="Y1060" i="5"/>
  <c r="AF1060" i="5"/>
  <c r="AG1060" i="5"/>
  <c r="AJ1060" i="5"/>
  <c r="AK1060" i="5"/>
  <c r="H1061" i="5"/>
  <c r="I1061" i="5"/>
  <c r="P1061" i="5"/>
  <c r="Q1061" i="5"/>
  <c r="T1061" i="5"/>
  <c r="U1061" i="5"/>
  <c r="X1061" i="5"/>
  <c r="Y1061" i="5"/>
  <c r="AF1061" i="5"/>
  <c r="AG1061" i="5"/>
  <c r="AJ1061" i="5"/>
  <c r="AK1061" i="5"/>
  <c r="H1062" i="5"/>
  <c r="I1062" i="5"/>
  <c r="P1062" i="5"/>
  <c r="Q1062" i="5"/>
  <c r="T1062" i="5"/>
  <c r="U1062" i="5"/>
  <c r="X1062" i="5"/>
  <c r="Y1062" i="5"/>
  <c r="AF1062" i="5"/>
  <c r="AG1062" i="5"/>
  <c r="AJ1062" i="5"/>
  <c r="AK1062" i="5"/>
  <c r="H1063" i="5"/>
  <c r="I1063" i="5"/>
  <c r="P1063" i="5"/>
  <c r="Q1063" i="5"/>
  <c r="T1063" i="5"/>
  <c r="U1063" i="5"/>
  <c r="X1063" i="5"/>
  <c r="Y1063" i="5"/>
  <c r="AF1063" i="5"/>
  <c r="AG1063" i="5"/>
  <c r="AJ1063" i="5"/>
  <c r="AK1063" i="5"/>
  <c r="H1064" i="5"/>
  <c r="I1064" i="5"/>
  <c r="P1064" i="5"/>
  <c r="Q1064" i="5"/>
  <c r="T1064" i="5"/>
  <c r="U1064" i="5"/>
  <c r="X1064" i="5"/>
  <c r="Y1064" i="5"/>
  <c r="AF1064" i="5"/>
  <c r="AG1064" i="5"/>
  <c r="AJ1064" i="5"/>
  <c r="AK1064" i="5"/>
  <c r="H1065" i="5"/>
  <c r="I1065" i="5"/>
  <c r="P1065" i="5"/>
  <c r="Q1065" i="5"/>
  <c r="T1065" i="5"/>
  <c r="U1065" i="5"/>
  <c r="X1065" i="5"/>
  <c r="Y1065" i="5"/>
  <c r="AF1065" i="5"/>
  <c r="AG1065" i="5"/>
  <c r="AJ1065" i="5"/>
  <c r="AK1065" i="5"/>
  <c r="H1066" i="5"/>
  <c r="I1066" i="5"/>
  <c r="P1066" i="5"/>
  <c r="Q1066" i="5"/>
  <c r="T1066" i="5"/>
  <c r="U1066" i="5"/>
  <c r="X1066" i="5"/>
  <c r="Y1066" i="5"/>
  <c r="AF1066" i="5"/>
  <c r="AG1066" i="5"/>
  <c r="AJ1066" i="5"/>
  <c r="AK1066" i="5"/>
  <c r="H1067" i="5"/>
  <c r="I1067" i="5"/>
  <c r="P1067" i="5"/>
  <c r="Q1067" i="5"/>
  <c r="T1067" i="5"/>
  <c r="U1067" i="5"/>
  <c r="X1067" i="5"/>
  <c r="Y1067" i="5"/>
  <c r="AF1067" i="5"/>
  <c r="AG1067" i="5"/>
  <c r="AJ1067" i="5"/>
  <c r="AK1067" i="5"/>
  <c r="H1068" i="5"/>
  <c r="I1068" i="5"/>
  <c r="P1068" i="5"/>
  <c r="Q1068" i="5"/>
  <c r="T1068" i="5"/>
  <c r="U1068" i="5"/>
  <c r="X1068" i="5"/>
  <c r="Y1068" i="5"/>
  <c r="AF1068" i="5"/>
  <c r="AG1068" i="5"/>
  <c r="AJ1068" i="5"/>
  <c r="AK1068" i="5"/>
  <c r="H1069" i="5"/>
  <c r="I1069" i="5"/>
  <c r="P1069" i="5"/>
  <c r="Q1069" i="5"/>
  <c r="T1069" i="5"/>
  <c r="U1069" i="5"/>
  <c r="X1069" i="5"/>
  <c r="Y1069" i="5"/>
  <c r="AF1069" i="5"/>
  <c r="AG1069" i="5"/>
  <c r="AJ1069" i="5"/>
  <c r="AK1069" i="5"/>
  <c r="H1070" i="5"/>
  <c r="I1070" i="5"/>
  <c r="P1070" i="5"/>
  <c r="Q1070" i="5"/>
  <c r="T1070" i="5"/>
  <c r="U1070" i="5"/>
  <c r="X1070" i="5"/>
  <c r="Y1070" i="5"/>
  <c r="AF1070" i="5"/>
  <c r="AG1070" i="5"/>
  <c r="AJ1070" i="5"/>
  <c r="AK1070" i="5"/>
  <c r="H1071" i="5"/>
  <c r="I1071" i="5"/>
  <c r="P1071" i="5"/>
  <c r="Q1071" i="5"/>
  <c r="T1071" i="5"/>
  <c r="U1071" i="5"/>
  <c r="X1071" i="5"/>
  <c r="Y1071" i="5"/>
  <c r="AF1071" i="5"/>
  <c r="AG1071" i="5"/>
  <c r="AJ1071" i="5"/>
  <c r="AK1071" i="5"/>
  <c r="H1072" i="5"/>
  <c r="I1072" i="5"/>
  <c r="P1072" i="5"/>
  <c r="Q1072" i="5"/>
  <c r="T1072" i="5"/>
  <c r="U1072" i="5"/>
  <c r="X1072" i="5"/>
  <c r="Y1072" i="5"/>
  <c r="AF1072" i="5"/>
  <c r="AG1072" i="5"/>
  <c r="AJ1072" i="5"/>
  <c r="AK1072" i="5"/>
  <c r="H1073" i="5"/>
  <c r="I1073" i="5"/>
  <c r="P1073" i="5"/>
  <c r="Q1073" i="5"/>
  <c r="T1073" i="5"/>
  <c r="U1073" i="5"/>
  <c r="X1073" i="5"/>
  <c r="Y1073" i="5"/>
  <c r="AF1073" i="5"/>
  <c r="AG1073" i="5"/>
  <c r="AJ1073" i="5"/>
  <c r="AK1073" i="5"/>
  <c r="H1074" i="5"/>
  <c r="I1074" i="5"/>
  <c r="P1074" i="5"/>
  <c r="Q1074" i="5"/>
  <c r="T1074" i="5"/>
  <c r="U1074" i="5"/>
  <c r="X1074" i="5"/>
  <c r="Y1074" i="5"/>
  <c r="AF1074" i="5"/>
  <c r="AG1074" i="5"/>
  <c r="AJ1074" i="5"/>
  <c r="AK1074" i="5"/>
  <c r="H1075" i="5"/>
  <c r="I1075" i="5"/>
  <c r="P1075" i="5"/>
  <c r="Q1075" i="5"/>
  <c r="T1075" i="5"/>
  <c r="U1075" i="5"/>
  <c r="X1075" i="5"/>
  <c r="Y1075" i="5"/>
  <c r="AF1075" i="5"/>
  <c r="AG1075" i="5"/>
  <c r="AJ1075" i="5"/>
  <c r="AK1075" i="5"/>
  <c r="H1076" i="5"/>
  <c r="I1076" i="5"/>
  <c r="P1076" i="5"/>
  <c r="Q1076" i="5"/>
  <c r="T1076" i="5"/>
  <c r="U1076" i="5"/>
  <c r="X1076" i="5"/>
  <c r="Y1076" i="5"/>
  <c r="AF1076" i="5"/>
  <c r="AG1076" i="5"/>
  <c r="AJ1076" i="5"/>
  <c r="AK1076" i="5"/>
  <c r="H1077" i="5"/>
  <c r="I1077" i="5"/>
  <c r="P1077" i="5"/>
  <c r="Q1077" i="5"/>
  <c r="T1077" i="5"/>
  <c r="U1077" i="5"/>
  <c r="X1077" i="5"/>
  <c r="Y1077" i="5"/>
  <c r="AF1077" i="5"/>
  <c r="AG1077" i="5"/>
  <c r="AJ1077" i="5"/>
  <c r="AK1077" i="5"/>
  <c r="H1078" i="5"/>
  <c r="I1078" i="5"/>
  <c r="P1078" i="5"/>
  <c r="Q1078" i="5"/>
  <c r="T1078" i="5"/>
  <c r="U1078" i="5"/>
  <c r="X1078" i="5"/>
  <c r="Y1078" i="5"/>
  <c r="AF1078" i="5"/>
  <c r="AG1078" i="5"/>
  <c r="AJ1078" i="5"/>
  <c r="AK1078" i="5"/>
  <c r="H1079" i="5"/>
  <c r="I1079" i="5"/>
  <c r="P1079" i="5"/>
  <c r="Q1079" i="5"/>
  <c r="T1079" i="5"/>
  <c r="U1079" i="5"/>
  <c r="X1079" i="5"/>
  <c r="Y1079" i="5"/>
  <c r="AF1079" i="5"/>
  <c r="AG1079" i="5"/>
  <c r="AJ1079" i="5"/>
  <c r="AK1079" i="5"/>
  <c r="H1080" i="5"/>
  <c r="I1080" i="5"/>
  <c r="P1080" i="5"/>
  <c r="Q1080" i="5"/>
  <c r="T1080" i="5"/>
  <c r="U1080" i="5"/>
  <c r="X1080" i="5"/>
  <c r="Y1080" i="5"/>
  <c r="AF1080" i="5"/>
  <c r="AG1080" i="5"/>
  <c r="AJ1080" i="5"/>
  <c r="AK1080" i="5"/>
  <c r="H1081" i="5"/>
  <c r="I1081" i="5"/>
  <c r="P1081" i="5"/>
  <c r="Q1081" i="5"/>
  <c r="T1081" i="5"/>
  <c r="U1081" i="5"/>
  <c r="X1081" i="5"/>
  <c r="Y1081" i="5"/>
  <c r="AF1081" i="5"/>
  <c r="AG1081" i="5"/>
  <c r="AJ1081" i="5"/>
  <c r="AK1081" i="5"/>
  <c r="H1082" i="5"/>
  <c r="I1082" i="5"/>
  <c r="P1082" i="5"/>
  <c r="Q1082" i="5"/>
  <c r="T1082" i="5"/>
  <c r="U1082" i="5"/>
  <c r="X1082" i="5"/>
  <c r="Y1082" i="5"/>
  <c r="AF1082" i="5"/>
  <c r="AG1082" i="5"/>
  <c r="AJ1082" i="5"/>
  <c r="AK1082" i="5"/>
  <c r="H1083" i="5"/>
  <c r="I1083" i="5"/>
  <c r="P1083" i="5"/>
  <c r="Q1083" i="5"/>
  <c r="T1083" i="5"/>
  <c r="U1083" i="5"/>
  <c r="X1083" i="5"/>
  <c r="Y1083" i="5"/>
  <c r="AF1083" i="5"/>
  <c r="AG1083" i="5"/>
  <c r="AJ1083" i="5"/>
  <c r="AK1083" i="5"/>
  <c r="H1084" i="5"/>
  <c r="I1084" i="5"/>
  <c r="P1084" i="5"/>
  <c r="Q1084" i="5"/>
  <c r="T1084" i="5"/>
  <c r="U1084" i="5"/>
  <c r="X1084" i="5"/>
  <c r="Y1084" i="5"/>
  <c r="AF1084" i="5"/>
  <c r="AG1084" i="5"/>
  <c r="AJ1084" i="5"/>
  <c r="AK1084" i="5"/>
  <c r="H1085" i="5"/>
  <c r="I1085" i="5"/>
  <c r="P1085" i="5"/>
  <c r="Q1085" i="5"/>
  <c r="T1085" i="5"/>
  <c r="U1085" i="5"/>
  <c r="X1085" i="5"/>
  <c r="Y1085" i="5"/>
  <c r="AF1085" i="5"/>
  <c r="AG1085" i="5"/>
  <c r="AJ1085" i="5"/>
  <c r="AK1085" i="5"/>
  <c r="H1086" i="5"/>
  <c r="I1086" i="5"/>
  <c r="P1086" i="5"/>
  <c r="Q1086" i="5"/>
  <c r="T1086" i="5"/>
  <c r="U1086" i="5"/>
  <c r="X1086" i="5"/>
  <c r="Y1086" i="5"/>
  <c r="AF1086" i="5"/>
  <c r="AG1086" i="5"/>
  <c r="AJ1086" i="5"/>
  <c r="AK1086" i="5"/>
  <c r="H1087" i="5"/>
  <c r="I1087" i="5"/>
  <c r="P1087" i="5"/>
  <c r="Q1087" i="5"/>
  <c r="T1087" i="5"/>
  <c r="U1087" i="5"/>
  <c r="X1087" i="5"/>
  <c r="Y1087" i="5"/>
  <c r="AF1087" i="5"/>
  <c r="AG1087" i="5"/>
  <c r="AJ1087" i="5"/>
  <c r="AK1087" i="5"/>
  <c r="H1088" i="5"/>
  <c r="I1088" i="5"/>
  <c r="P1088" i="5"/>
  <c r="Q1088" i="5"/>
  <c r="T1088" i="5"/>
  <c r="U1088" i="5"/>
  <c r="X1088" i="5"/>
  <c r="Y1088" i="5"/>
  <c r="AF1088" i="5"/>
  <c r="AG1088" i="5"/>
  <c r="AJ1088" i="5"/>
  <c r="AK1088" i="5"/>
  <c r="H1089" i="5"/>
  <c r="I1089" i="5"/>
  <c r="P1089" i="5"/>
  <c r="Q1089" i="5"/>
  <c r="T1089" i="5"/>
  <c r="U1089" i="5"/>
  <c r="X1089" i="5"/>
  <c r="Y1089" i="5"/>
  <c r="AF1089" i="5"/>
  <c r="AG1089" i="5"/>
  <c r="AJ1089" i="5"/>
  <c r="AK1089" i="5"/>
  <c r="H1090" i="5"/>
  <c r="I1090" i="5"/>
  <c r="P1090" i="5"/>
  <c r="Q1090" i="5"/>
  <c r="T1090" i="5"/>
  <c r="U1090" i="5"/>
  <c r="X1090" i="5"/>
  <c r="Y1090" i="5"/>
  <c r="AF1090" i="5"/>
  <c r="AG1090" i="5"/>
  <c r="AJ1090" i="5"/>
  <c r="AK1090" i="5"/>
  <c r="H1091" i="5"/>
  <c r="I1091" i="5"/>
  <c r="P1091" i="5"/>
  <c r="Q1091" i="5"/>
  <c r="T1091" i="5"/>
  <c r="U1091" i="5"/>
  <c r="X1091" i="5"/>
  <c r="Y1091" i="5"/>
  <c r="AF1091" i="5"/>
  <c r="AG1091" i="5"/>
  <c r="AJ1091" i="5"/>
  <c r="AK1091" i="5"/>
  <c r="H1092" i="5"/>
  <c r="I1092" i="5"/>
  <c r="P1092" i="5"/>
  <c r="Q1092" i="5"/>
  <c r="T1092" i="5"/>
  <c r="U1092" i="5"/>
  <c r="X1092" i="5"/>
  <c r="Y1092" i="5"/>
  <c r="AF1092" i="5"/>
  <c r="AG1092" i="5"/>
  <c r="AJ1092" i="5"/>
  <c r="AK1092" i="5"/>
  <c r="H1093" i="5"/>
  <c r="I1093" i="5"/>
  <c r="P1093" i="5"/>
  <c r="Q1093" i="5"/>
  <c r="T1093" i="5"/>
  <c r="U1093" i="5"/>
  <c r="X1093" i="5"/>
  <c r="Y1093" i="5"/>
  <c r="AF1093" i="5"/>
  <c r="AG1093" i="5"/>
  <c r="AJ1093" i="5"/>
  <c r="AK1093" i="5"/>
  <c r="H1094" i="5"/>
  <c r="I1094" i="5"/>
  <c r="P1094" i="5"/>
  <c r="Q1094" i="5"/>
  <c r="T1094" i="5"/>
  <c r="U1094" i="5"/>
  <c r="X1094" i="5"/>
  <c r="Y1094" i="5"/>
  <c r="AF1094" i="5"/>
  <c r="AG1094" i="5"/>
  <c r="AJ1094" i="5"/>
  <c r="AK1094" i="5"/>
  <c r="H1095" i="5"/>
  <c r="I1095" i="5"/>
  <c r="P1095" i="5"/>
  <c r="Q1095" i="5"/>
  <c r="T1095" i="5"/>
  <c r="U1095" i="5"/>
  <c r="X1095" i="5"/>
  <c r="Y1095" i="5"/>
  <c r="AF1095" i="5"/>
  <c r="AG1095" i="5"/>
  <c r="AJ1095" i="5"/>
  <c r="AK1095" i="5"/>
  <c r="H1096" i="5"/>
  <c r="I1096" i="5"/>
  <c r="P1096" i="5"/>
  <c r="Q1096" i="5"/>
  <c r="T1096" i="5"/>
  <c r="U1096" i="5"/>
  <c r="X1096" i="5"/>
  <c r="Y1096" i="5"/>
  <c r="AF1096" i="5"/>
  <c r="AG1096" i="5"/>
  <c r="AJ1096" i="5"/>
  <c r="AK1096" i="5"/>
  <c r="H1097" i="5"/>
  <c r="I1097" i="5"/>
  <c r="P1097" i="5"/>
  <c r="Q1097" i="5"/>
  <c r="T1097" i="5"/>
  <c r="U1097" i="5"/>
  <c r="X1097" i="5"/>
  <c r="Y1097" i="5"/>
  <c r="AF1097" i="5"/>
  <c r="AG1097" i="5"/>
  <c r="AJ1097" i="5"/>
  <c r="AK1097" i="5"/>
  <c r="H1098" i="5"/>
  <c r="I1098" i="5"/>
  <c r="P1098" i="5"/>
  <c r="Q1098" i="5"/>
  <c r="T1098" i="5"/>
  <c r="U1098" i="5"/>
  <c r="X1098" i="5"/>
  <c r="Y1098" i="5"/>
  <c r="AF1098" i="5"/>
  <c r="AG1098" i="5"/>
  <c r="AJ1098" i="5"/>
  <c r="AK1098" i="5"/>
  <c r="H1099" i="5"/>
  <c r="I1099" i="5"/>
  <c r="P1099" i="5"/>
  <c r="Q1099" i="5"/>
  <c r="T1099" i="5"/>
  <c r="U1099" i="5"/>
  <c r="X1099" i="5"/>
  <c r="Y1099" i="5"/>
  <c r="AF1099" i="5"/>
  <c r="AG1099" i="5"/>
  <c r="AJ1099" i="5"/>
  <c r="AK1099" i="5"/>
  <c r="H1100" i="5"/>
  <c r="I1100" i="5"/>
  <c r="P1100" i="5"/>
  <c r="Q1100" i="5"/>
  <c r="T1100" i="5"/>
  <c r="U1100" i="5"/>
  <c r="X1100" i="5"/>
  <c r="Y1100" i="5"/>
  <c r="AF1100" i="5"/>
  <c r="AG1100" i="5"/>
  <c r="AJ1100" i="5"/>
  <c r="AK1100" i="5"/>
  <c r="H1101" i="5"/>
  <c r="I1101" i="5"/>
  <c r="P1101" i="5"/>
  <c r="Q1101" i="5"/>
  <c r="T1101" i="5"/>
  <c r="U1101" i="5"/>
  <c r="X1101" i="5"/>
  <c r="Y1101" i="5"/>
  <c r="AF1101" i="5"/>
  <c r="AG1101" i="5"/>
  <c r="AJ1101" i="5"/>
  <c r="AK1101" i="5"/>
  <c r="H1102" i="5"/>
  <c r="I1102" i="5"/>
  <c r="P1102" i="5"/>
  <c r="Q1102" i="5"/>
  <c r="T1102" i="5"/>
  <c r="U1102" i="5"/>
  <c r="X1102" i="5"/>
  <c r="Y1102" i="5"/>
  <c r="AF1102" i="5"/>
  <c r="AG1102" i="5"/>
  <c r="AJ1102" i="5"/>
  <c r="AK1102" i="5"/>
  <c r="H1103" i="5"/>
  <c r="I1103" i="5"/>
  <c r="P1103" i="5"/>
  <c r="Q1103" i="5"/>
  <c r="T1103" i="5"/>
  <c r="U1103" i="5"/>
  <c r="X1103" i="5"/>
  <c r="Y1103" i="5"/>
  <c r="AF1103" i="5"/>
  <c r="AG1103" i="5"/>
  <c r="AJ1103" i="5"/>
  <c r="AK1103" i="5"/>
  <c r="H1104" i="5"/>
  <c r="I1104" i="5"/>
  <c r="P1104" i="5"/>
  <c r="Q1104" i="5"/>
  <c r="T1104" i="5"/>
  <c r="U1104" i="5"/>
  <c r="X1104" i="5"/>
  <c r="Y1104" i="5"/>
  <c r="AF1104" i="5"/>
  <c r="AG1104" i="5"/>
  <c r="AJ1104" i="5"/>
  <c r="AK1104" i="5"/>
  <c r="H1105" i="5"/>
  <c r="I1105" i="5"/>
  <c r="P1105" i="5"/>
  <c r="Q1105" i="5"/>
  <c r="T1105" i="5"/>
  <c r="U1105" i="5"/>
  <c r="X1105" i="5"/>
  <c r="Y1105" i="5"/>
  <c r="AF1105" i="5"/>
  <c r="AG1105" i="5"/>
  <c r="AJ1105" i="5"/>
  <c r="AK1105" i="5"/>
  <c r="H1106" i="5"/>
  <c r="I1106" i="5"/>
  <c r="P1106" i="5"/>
  <c r="Q1106" i="5"/>
  <c r="T1106" i="5"/>
  <c r="U1106" i="5"/>
  <c r="X1106" i="5"/>
  <c r="Y1106" i="5"/>
  <c r="AF1106" i="5"/>
  <c r="AG1106" i="5"/>
  <c r="AJ1106" i="5"/>
  <c r="AK1106" i="5"/>
  <c r="H1107" i="5"/>
  <c r="I1107" i="5"/>
  <c r="P1107" i="5"/>
  <c r="Q1107" i="5"/>
  <c r="T1107" i="5"/>
  <c r="U1107" i="5"/>
  <c r="X1107" i="5"/>
  <c r="Y1107" i="5"/>
  <c r="AF1107" i="5"/>
  <c r="AG1107" i="5"/>
  <c r="AJ1107" i="5"/>
  <c r="AK1107" i="5"/>
  <c r="H1108" i="5"/>
  <c r="I1108" i="5"/>
  <c r="P1108" i="5"/>
  <c r="Q1108" i="5"/>
  <c r="T1108" i="5"/>
  <c r="U1108" i="5"/>
  <c r="X1108" i="5"/>
  <c r="Y1108" i="5"/>
  <c r="AF1108" i="5"/>
  <c r="AG1108" i="5"/>
  <c r="AJ1108" i="5"/>
  <c r="AK1108" i="5"/>
  <c r="H1109" i="5"/>
  <c r="I1109" i="5"/>
  <c r="P1109" i="5"/>
  <c r="Q1109" i="5"/>
  <c r="T1109" i="5"/>
  <c r="U1109" i="5"/>
  <c r="X1109" i="5"/>
  <c r="Y1109" i="5"/>
  <c r="AF1109" i="5"/>
  <c r="AG1109" i="5"/>
  <c r="AJ1109" i="5"/>
  <c r="AK1109" i="5"/>
  <c r="H1110" i="5"/>
  <c r="I1110" i="5"/>
  <c r="P1110" i="5"/>
  <c r="Q1110" i="5"/>
  <c r="T1110" i="5"/>
  <c r="U1110" i="5"/>
  <c r="X1110" i="5"/>
  <c r="Y1110" i="5"/>
  <c r="AF1110" i="5"/>
  <c r="AG1110" i="5"/>
  <c r="AJ1110" i="5"/>
  <c r="AK1110" i="5"/>
  <c r="H1111" i="5"/>
  <c r="I1111" i="5"/>
  <c r="P1111" i="5"/>
  <c r="Q1111" i="5"/>
  <c r="T1111" i="5"/>
  <c r="U1111" i="5"/>
  <c r="X1111" i="5"/>
  <c r="Y1111" i="5"/>
  <c r="AF1111" i="5"/>
  <c r="AG1111" i="5"/>
  <c r="AJ1111" i="5"/>
  <c r="AK1111" i="5"/>
  <c r="H1112" i="5"/>
  <c r="I1112" i="5"/>
  <c r="P1112" i="5"/>
  <c r="Q1112" i="5"/>
  <c r="T1112" i="5"/>
  <c r="U1112" i="5"/>
  <c r="X1112" i="5"/>
  <c r="Y1112" i="5"/>
  <c r="AF1112" i="5"/>
  <c r="AG1112" i="5"/>
  <c r="AJ1112" i="5"/>
  <c r="AK1112" i="5"/>
  <c r="H1113" i="5"/>
  <c r="I1113" i="5"/>
  <c r="P1113" i="5"/>
  <c r="Q1113" i="5"/>
  <c r="T1113" i="5"/>
  <c r="U1113" i="5"/>
  <c r="X1113" i="5"/>
  <c r="Y1113" i="5"/>
  <c r="AF1113" i="5"/>
  <c r="AG1113" i="5"/>
  <c r="AJ1113" i="5"/>
  <c r="AK1113" i="5"/>
  <c r="H1114" i="5"/>
  <c r="I1114" i="5"/>
  <c r="P1114" i="5"/>
  <c r="Q1114" i="5"/>
  <c r="T1114" i="5"/>
  <c r="U1114" i="5"/>
  <c r="X1114" i="5"/>
  <c r="Y1114" i="5"/>
  <c r="AF1114" i="5"/>
  <c r="AG1114" i="5"/>
  <c r="AJ1114" i="5"/>
  <c r="AK1114" i="5"/>
  <c r="H1115" i="5"/>
  <c r="I1115" i="5"/>
  <c r="P1115" i="5"/>
  <c r="Q1115" i="5"/>
  <c r="T1115" i="5"/>
  <c r="U1115" i="5"/>
  <c r="X1115" i="5"/>
  <c r="Y1115" i="5"/>
  <c r="AF1115" i="5"/>
  <c r="AG1115" i="5"/>
  <c r="AJ1115" i="5"/>
  <c r="AK1115" i="5"/>
  <c r="H1116" i="5"/>
  <c r="I1116" i="5"/>
  <c r="P1116" i="5"/>
  <c r="Q1116" i="5"/>
  <c r="T1116" i="5"/>
  <c r="U1116" i="5"/>
  <c r="X1116" i="5"/>
  <c r="Y1116" i="5"/>
  <c r="AF1116" i="5"/>
  <c r="AG1116" i="5"/>
  <c r="AJ1116" i="5"/>
  <c r="AK1116" i="5"/>
  <c r="H1117" i="5"/>
  <c r="I1117" i="5"/>
  <c r="P1117" i="5"/>
  <c r="Q1117" i="5"/>
  <c r="T1117" i="5"/>
  <c r="U1117" i="5"/>
  <c r="X1117" i="5"/>
  <c r="Y1117" i="5"/>
  <c r="AF1117" i="5"/>
  <c r="AG1117" i="5"/>
  <c r="AJ1117" i="5"/>
  <c r="AK1117" i="5"/>
  <c r="H1118" i="5"/>
  <c r="I1118" i="5"/>
  <c r="P1118" i="5"/>
  <c r="Q1118" i="5"/>
  <c r="T1118" i="5"/>
  <c r="U1118" i="5"/>
  <c r="X1118" i="5"/>
  <c r="Y1118" i="5"/>
  <c r="AF1118" i="5"/>
  <c r="AG1118" i="5"/>
  <c r="AJ1118" i="5"/>
  <c r="AK1118" i="5"/>
  <c r="H1119" i="5"/>
  <c r="I1119" i="5"/>
  <c r="P1119" i="5"/>
  <c r="Q1119" i="5"/>
  <c r="T1119" i="5"/>
  <c r="U1119" i="5"/>
  <c r="X1119" i="5"/>
  <c r="Y1119" i="5"/>
  <c r="AF1119" i="5"/>
  <c r="AG1119" i="5"/>
  <c r="AJ1119" i="5"/>
  <c r="AK1119" i="5"/>
  <c r="H1120" i="5"/>
  <c r="I1120" i="5"/>
  <c r="P1120" i="5"/>
  <c r="Q1120" i="5"/>
  <c r="T1120" i="5"/>
  <c r="U1120" i="5"/>
  <c r="X1120" i="5"/>
  <c r="Y1120" i="5"/>
  <c r="AF1120" i="5"/>
  <c r="AG1120" i="5"/>
  <c r="AJ1120" i="5"/>
  <c r="AK1120" i="5"/>
  <c r="H1121" i="5"/>
  <c r="I1121" i="5"/>
  <c r="P1121" i="5"/>
  <c r="Q1121" i="5"/>
  <c r="T1121" i="5"/>
  <c r="U1121" i="5"/>
  <c r="X1121" i="5"/>
  <c r="Y1121" i="5"/>
  <c r="AF1121" i="5"/>
  <c r="AG1121" i="5"/>
  <c r="AJ1121" i="5"/>
  <c r="AK1121" i="5"/>
  <c r="H1122" i="5"/>
  <c r="I1122" i="5"/>
  <c r="P1122" i="5"/>
  <c r="Q1122" i="5"/>
  <c r="T1122" i="5"/>
  <c r="U1122" i="5"/>
  <c r="X1122" i="5"/>
  <c r="Y1122" i="5"/>
  <c r="AF1122" i="5"/>
  <c r="AG1122" i="5"/>
  <c r="AJ1122" i="5"/>
  <c r="AK1122" i="5"/>
  <c r="H1123" i="5"/>
  <c r="I1123" i="5"/>
  <c r="P1123" i="5"/>
  <c r="Q1123" i="5"/>
  <c r="T1123" i="5"/>
  <c r="U1123" i="5"/>
  <c r="X1123" i="5"/>
  <c r="Y1123" i="5"/>
  <c r="AF1123" i="5"/>
  <c r="AG1123" i="5"/>
  <c r="AJ1123" i="5"/>
  <c r="AK1123" i="5"/>
  <c r="H1124" i="5"/>
  <c r="I1124" i="5"/>
  <c r="P1124" i="5"/>
  <c r="Q1124" i="5"/>
  <c r="T1124" i="5"/>
  <c r="U1124" i="5"/>
  <c r="X1124" i="5"/>
  <c r="Y1124" i="5"/>
  <c r="AF1124" i="5"/>
  <c r="AG1124" i="5"/>
  <c r="AJ1124" i="5"/>
  <c r="AK1124" i="5"/>
  <c r="H1125" i="5"/>
  <c r="I1125" i="5"/>
  <c r="P1125" i="5"/>
  <c r="Q1125" i="5"/>
  <c r="T1125" i="5"/>
  <c r="U1125" i="5"/>
  <c r="X1125" i="5"/>
  <c r="Y1125" i="5"/>
  <c r="AF1125" i="5"/>
  <c r="AG1125" i="5"/>
  <c r="AJ1125" i="5"/>
  <c r="AK1125" i="5"/>
  <c r="H1126" i="5"/>
  <c r="I1126" i="5"/>
  <c r="P1126" i="5"/>
  <c r="Q1126" i="5"/>
  <c r="T1126" i="5"/>
  <c r="U1126" i="5"/>
  <c r="X1126" i="5"/>
  <c r="Y1126" i="5"/>
  <c r="AF1126" i="5"/>
  <c r="AG1126" i="5"/>
  <c r="AJ1126" i="5"/>
  <c r="AK1126" i="5"/>
  <c r="H1127" i="5"/>
  <c r="I1127" i="5"/>
  <c r="P1127" i="5"/>
  <c r="Q1127" i="5"/>
  <c r="T1127" i="5"/>
  <c r="U1127" i="5"/>
  <c r="X1127" i="5"/>
  <c r="Y1127" i="5"/>
  <c r="AF1127" i="5"/>
  <c r="AG1127" i="5"/>
  <c r="AJ1127" i="5"/>
  <c r="AK1127" i="5"/>
  <c r="H1128" i="5"/>
  <c r="I1128" i="5"/>
  <c r="P1128" i="5"/>
  <c r="Q1128" i="5"/>
  <c r="T1128" i="5"/>
  <c r="U1128" i="5"/>
  <c r="X1128" i="5"/>
  <c r="Y1128" i="5"/>
  <c r="AF1128" i="5"/>
  <c r="AG1128" i="5"/>
  <c r="AJ1128" i="5"/>
  <c r="AK1128" i="5"/>
  <c r="H1129" i="5"/>
  <c r="I1129" i="5"/>
  <c r="P1129" i="5"/>
  <c r="Q1129" i="5"/>
  <c r="T1129" i="5"/>
  <c r="U1129" i="5"/>
  <c r="X1129" i="5"/>
  <c r="Y1129" i="5"/>
  <c r="AF1129" i="5"/>
  <c r="AG1129" i="5"/>
  <c r="AJ1129" i="5"/>
  <c r="AK1129" i="5"/>
  <c r="H1130" i="5"/>
  <c r="I1130" i="5"/>
  <c r="P1130" i="5"/>
  <c r="Q1130" i="5"/>
  <c r="T1130" i="5"/>
  <c r="U1130" i="5"/>
  <c r="X1130" i="5"/>
  <c r="Y1130" i="5"/>
  <c r="AF1130" i="5"/>
  <c r="AG1130" i="5"/>
  <c r="AJ1130" i="5"/>
  <c r="AK1130" i="5"/>
  <c r="H1131" i="5"/>
  <c r="I1131" i="5"/>
  <c r="P1131" i="5"/>
  <c r="Q1131" i="5"/>
  <c r="T1131" i="5"/>
  <c r="U1131" i="5"/>
  <c r="X1131" i="5"/>
  <c r="Y1131" i="5"/>
  <c r="AF1131" i="5"/>
  <c r="AG1131" i="5"/>
  <c r="AJ1131" i="5"/>
  <c r="AK1131" i="5"/>
  <c r="H1132" i="5"/>
  <c r="I1132" i="5"/>
  <c r="P1132" i="5"/>
  <c r="Q1132" i="5"/>
  <c r="T1132" i="5"/>
  <c r="U1132" i="5"/>
  <c r="X1132" i="5"/>
  <c r="Y1132" i="5"/>
  <c r="AF1132" i="5"/>
  <c r="AG1132" i="5"/>
  <c r="AJ1132" i="5"/>
  <c r="AK1132" i="5"/>
  <c r="H1133" i="5"/>
  <c r="I1133" i="5"/>
  <c r="P1133" i="5"/>
  <c r="Q1133" i="5"/>
  <c r="T1133" i="5"/>
  <c r="U1133" i="5"/>
  <c r="X1133" i="5"/>
  <c r="Y1133" i="5"/>
  <c r="AF1133" i="5"/>
  <c r="AG1133" i="5"/>
  <c r="AJ1133" i="5"/>
  <c r="AK1133" i="5"/>
  <c r="H1134" i="5"/>
  <c r="I1134" i="5"/>
  <c r="P1134" i="5"/>
  <c r="Q1134" i="5"/>
  <c r="T1134" i="5"/>
  <c r="U1134" i="5"/>
  <c r="X1134" i="5"/>
  <c r="Y1134" i="5"/>
  <c r="AF1134" i="5"/>
  <c r="AG1134" i="5"/>
  <c r="AJ1134" i="5"/>
  <c r="AK1134" i="5"/>
  <c r="H1135" i="5"/>
  <c r="I1135" i="5"/>
  <c r="P1135" i="5"/>
  <c r="Q1135" i="5"/>
  <c r="T1135" i="5"/>
  <c r="U1135" i="5"/>
  <c r="X1135" i="5"/>
  <c r="Y1135" i="5"/>
  <c r="AF1135" i="5"/>
  <c r="AG1135" i="5"/>
  <c r="AJ1135" i="5"/>
  <c r="AK1135" i="5"/>
  <c r="H1136" i="5"/>
  <c r="I1136" i="5"/>
  <c r="P1136" i="5"/>
  <c r="Q1136" i="5"/>
  <c r="T1136" i="5"/>
  <c r="U1136" i="5"/>
  <c r="X1136" i="5"/>
  <c r="Y1136" i="5"/>
  <c r="AF1136" i="5"/>
  <c r="AG1136" i="5"/>
  <c r="AJ1136" i="5"/>
  <c r="AK1136" i="5"/>
  <c r="H1137" i="5"/>
  <c r="I1137" i="5"/>
  <c r="P1137" i="5"/>
  <c r="Q1137" i="5"/>
  <c r="T1137" i="5"/>
  <c r="U1137" i="5"/>
  <c r="X1137" i="5"/>
  <c r="Y1137" i="5"/>
  <c r="AF1137" i="5"/>
  <c r="AG1137" i="5"/>
  <c r="AJ1137" i="5"/>
  <c r="AK1137" i="5"/>
  <c r="H1138" i="5"/>
  <c r="I1138" i="5"/>
  <c r="P1138" i="5"/>
  <c r="Q1138" i="5"/>
  <c r="T1138" i="5"/>
  <c r="U1138" i="5"/>
  <c r="X1138" i="5"/>
  <c r="Y1138" i="5"/>
  <c r="AF1138" i="5"/>
  <c r="AG1138" i="5"/>
  <c r="AJ1138" i="5"/>
  <c r="AK1138" i="5"/>
  <c r="H1139" i="5"/>
  <c r="I1139" i="5"/>
  <c r="P1139" i="5"/>
  <c r="Q1139" i="5"/>
  <c r="T1139" i="5"/>
  <c r="U1139" i="5"/>
  <c r="X1139" i="5"/>
  <c r="Y1139" i="5"/>
  <c r="AF1139" i="5"/>
  <c r="AG1139" i="5"/>
  <c r="AJ1139" i="5"/>
  <c r="AK1139" i="5"/>
  <c r="H1140" i="5"/>
  <c r="I1140" i="5"/>
  <c r="P1140" i="5"/>
  <c r="Q1140" i="5"/>
  <c r="T1140" i="5"/>
  <c r="U1140" i="5"/>
  <c r="X1140" i="5"/>
  <c r="Y1140" i="5"/>
  <c r="AF1140" i="5"/>
  <c r="AG1140" i="5"/>
  <c r="AJ1140" i="5"/>
  <c r="AK1140" i="5"/>
  <c r="H1141" i="5"/>
  <c r="I1141" i="5"/>
  <c r="P1141" i="5"/>
  <c r="Q1141" i="5"/>
  <c r="T1141" i="5"/>
  <c r="U1141" i="5"/>
  <c r="X1141" i="5"/>
  <c r="Y1141" i="5"/>
  <c r="AF1141" i="5"/>
  <c r="AG1141" i="5"/>
  <c r="AJ1141" i="5"/>
  <c r="AK1141" i="5"/>
  <c r="H1142" i="5"/>
  <c r="I1142" i="5"/>
  <c r="P1142" i="5"/>
  <c r="Q1142" i="5"/>
  <c r="T1142" i="5"/>
  <c r="U1142" i="5"/>
  <c r="X1142" i="5"/>
  <c r="Y1142" i="5"/>
  <c r="AF1142" i="5"/>
  <c r="AG1142" i="5"/>
  <c r="AJ1142" i="5"/>
  <c r="AK1142" i="5"/>
  <c r="H1143" i="5"/>
  <c r="I1143" i="5"/>
  <c r="P1143" i="5"/>
  <c r="Q1143" i="5"/>
  <c r="T1143" i="5"/>
  <c r="U1143" i="5"/>
  <c r="X1143" i="5"/>
  <c r="Y1143" i="5"/>
  <c r="AF1143" i="5"/>
  <c r="AG1143" i="5"/>
  <c r="AJ1143" i="5"/>
  <c r="AK1143" i="5"/>
  <c r="H1144" i="5"/>
  <c r="I1144" i="5"/>
  <c r="P1144" i="5"/>
  <c r="Q1144" i="5"/>
  <c r="T1144" i="5"/>
  <c r="U1144" i="5"/>
  <c r="X1144" i="5"/>
  <c r="Y1144" i="5"/>
  <c r="AF1144" i="5"/>
  <c r="AG1144" i="5"/>
  <c r="AJ1144" i="5"/>
  <c r="AK1144" i="5"/>
  <c r="H1145" i="5"/>
  <c r="I1145" i="5"/>
  <c r="P1145" i="5"/>
  <c r="Q1145" i="5"/>
  <c r="T1145" i="5"/>
  <c r="U1145" i="5"/>
  <c r="X1145" i="5"/>
  <c r="Y1145" i="5"/>
  <c r="AF1145" i="5"/>
  <c r="AG1145" i="5"/>
  <c r="AJ1145" i="5"/>
  <c r="AK1145" i="5"/>
  <c r="H1146" i="5"/>
  <c r="I1146" i="5"/>
  <c r="P1146" i="5"/>
  <c r="Q1146" i="5"/>
  <c r="T1146" i="5"/>
  <c r="U1146" i="5"/>
  <c r="X1146" i="5"/>
  <c r="Y1146" i="5"/>
  <c r="AF1146" i="5"/>
  <c r="AG1146" i="5"/>
  <c r="AJ1146" i="5"/>
  <c r="AK1146" i="5"/>
  <c r="H1147" i="5"/>
  <c r="I1147" i="5"/>
  <c r="P1147" i="5"/>
  <c r="Q1147" i="5"/>
  <c r="T1147" i="5"/>
  <c r="U1147" i="5"/>
  <c r="X1147" i="5"/>
  <c r="Y1147" i="5"/>
  <c r="AF1147" i="5"/>
  <c r="AG1147" i="5"/>
  <c r="AJ1147" i="5"/>
  <c r="AK1147" i="5"/>
  <c r="H1148" i="5"/>
  <c r="I1148" i="5"/>
  <c r="P1148" i="5"/>
  <c r="Q1148" i="5"/>
  <c r="T1148" i="5"/>
  <c r="U1148" i="5"/>
  <c r="X1148" i="5"/>
  <c r="Y1148" i="5"/>
  <c r="AF1148" i="5"/>
  <c r="AG1148" i="5"/>
  <c r="AJ1148" i="5"/>
  <c r="AK1148" i="5"/>
  <c r="H1149" i="5"/>
  <c r="I1149" i="5"/>
  <c r="P1149" i="5"/>
  <c r="Q1149" i="5"/>
  <c r="T1149" i="5"/>
  <c r="U1149" i="5"/>
  <c r="X1149" i="5"/>
  <c r="Y1149" i="5"/>
  <c r="AF1149" i="5"/>
  <c r="AG1149" i="5"/>
  <c r="AJ1149" i="5"/>
  <c r="AK1149" i="5"/>
  <c r="H1150" i="5"/>
  <c r="I1150" i="5"/>
  <c r="P1150" i="5"/>
  <c r="Q1150" i="5"/>
  <c r="T1150" i="5"/>
  <c r="U1150" i="5"/>
  <c r="X1150" i="5"/>
  <c r="Y1150" i="5"/>
  <c r="AF1150" i="5"/>
  <c r="AG1150" i="5"/>
  <c r="AJ1150" i="5"/>
  <c r="AK1150" i="5"/>
  <c r="H1151" i="5"/>
  <c r="I1151" i="5"/>
  <c r="P1151" i="5"/>
  <c r="Q1151" i="5"/>
  <c r="T1151" i="5"/>
  <c r="U1151" i="5"/>
  <c r="X1151" i="5"/>
  <c r="Y1151" i="5"/>
  <c r="AF1151" i="5"/>
  <c r="AG1151" i="5"/>
  <c r="AJ1151" i="5"/>
  <c r="AK1151" i="5"/>
  <c r="H1152" i="5"/>
  <c r="I1152" i="5"/>
  <c r="P1152" i="5"/>
  <c r="Q1152" i="5"/>
  <c r="T1152" i="5"/>
  <c r="U1152" i="5"/>
  <c r="X1152" i="5"/>
  <c r="Y1152" i="5"/>
  <c r="AF1152" i="5"/>
  <c r="AG1152" i="5"/>
  <c r="AJ1152" i="5"/>
  <c r="AK1152" i="5"/>
  <c r="H1153" i="5"/>
  <c r="I1153" i="5"/>
  <c r="P1153" i="5"/>
  <c r="Q1153" i="5"/>
  <c r="T1153" i="5"/>
  <c r="U1153" i="5"/>
  <c r="X1153" i="5"/>
  <c r="Y1153" i="5"/>
  <c r="AF1153" i="5"/>
  <c r="AG1153" i="5"/>
  <c r="AJ1153" i="5"/>
  <c r="AK1153" i="5"/>
  <c r="H1154" i="5"/>
  <c r="I1154" i="5"/>
  <c r="P1154" i="5"/>
  <c r="Q1154" i="5"/>
  <c r="T1154" i="5"/>
  <c r="U1154" i="5"/>
  <c r="X1154" i="5"/>
  <c r="Y1154" i="5"/>
  <c r="AF1154" i="5"/>
  <c r="AG1154" i="5"/>
  <c r="AJ1154" i="5"/>
  <c r="AK1154" i="5"/>
  <c r="H1155" i="5"/>
  <c r="I1155" i="5"/>
  <c r="P1155" i="5"/>
  <c r="Q1155" i="5"/>
  <c r="T1155" i="5"/>
  <c r="U1155" i="5"/>
  <c r="X1155" i="5"/>
  <c r="Y1155" i="5"/>
  <c r="AF1155" i="5"/>
  <c r="AG1155" i="5"/>
  <c r="AJ1155" i="5"/>
  <c r="AK1155" i="5"/>
  <c r="H1156" i="5"/>
  <c r="I1156" i="5"/>
  <c r="P1156" i="5"/>
  <c r="Q1156" i="5"/>
  <c r="T1156" i="5"/>
  <c r="U1156" i="5"/>
  <c r="X1156" i="5"/>
  <c r="Y1156" i="5"/>
  <c r="AF1156" i="5"/>
  <c r="AG1156" i="5"/>
  <c r="AJ1156" i="5"/>
  <c r="AK1156" i="5"/>
  <c r="H1157" i="5"/>
  <c r="I1157" i="5"/>
  <c r="P1157" i="5"/>
  <c r="Q1157" i="5"/>
  <c r="T1157" i="5"/>
  <c r="U1157" i="5"/>
  <c r="X1157" i="5"/>
  <c r="Y1157" i="5"/>
  <c r="AF1157" i="5"/>
  <c r="AG1157" i="5"/>
  <c r="AJ1157" i="5"/>
  <c r="AK1157" i="5"/>
  <c r="H1158" i="5"/>
  <c r="I1158" i="5"/>
  <c r="P1158" i="5"/>
  <c r="Q1158" i="5"/>
  <c r="T1158" i="5"/>
  <c r="U1158" i="5"/>
  <c r="X1158" i="5"/>
  <c r="Y1158" i="5"/>
  <c r="AF1158" i="5"/>
  <c r="AG1158" i="5"/>
  <c r="AJ1158" i="5"/>
  <c r="AK1158" i="5"/>
  <c r="H1159" i="5"/>
  <c r="I1159" i="5"/>
  <c r="P1159" i="5"/>
  <c r="Q1159" i="5"/>
  <c r="T1159" i="5"/>
  <c r="U1159" i="5"/>
  <c r="X1159" i="5"/>
  <c r="Y1159" i="5"/>
  <c r="AF1159" i="5"/>
  <c r="AG1159" i="5"/>
  <c r="AJ1159" i="5"/>
  <c r="AK1159" i="5"/>
  <c r="H1160" i="5"/>
  <c r="I1160" i="5"/>
  <c r="P1160" i="5"/>
  <c r="Q1160" i="5"/>
  <c r="T1160" i="5"/>
  <c r="U1160" i="5"/>
  <c r="X1160" i="5"/>
  <c r="Y1160" i="5"/>
  <c r="AF1160" i="5"/>
  <c r="AG1160" i="5"/>
  <c r="AJ1160" i="5"/>
  <c r="AK1160" i="5"/>
  <c r="H1161" i="5"/>
  <c r="I1161" i="5"/>
  <c r="P1161" i="5"/>
  <c r="Q1161" i="5"/>
  <c r="T1161" i="5"/>
  <c r="U1161" i="5"/>
  <c r="X1161" i="5"/>
  <c r="Y1161" i="5"/>
  <c r="AF1161" i="5"/>
  <c r="AG1161" i="5"/>
  <c r="AJ1161" i="5"/>
  <c r="AK1161" i="5"/>
  <c r="H1162" i="5"/>
  <c r="I1162" i="5"/>
  <c r="P1162" i="5"/>
  <c r="Q1162" i="5"/>
  <c r="T1162" i="5"/>
  <c r="U1162" i="5"/>
  <c r="X1162" i="5"/>
  <c r="Y1162" i="5"/>
  <c r="AF1162" i="5"/>
  <c r="AG1162" i="5"/>
  <c r="AJ1162" i="5"/>
  <c r="AK1162" i="5"/>
  <c r="H1163" i="5"/>
  <c r="I1163" i="5"/>
  <c r="P1163" i="5"/>
  <c r="Q1163" i="5"/>
  <c r="T1163" i="5"/>
  <c r="U1163" i="5"/>
  <c r="X1163" i="5"/>
  <c r="Y1163" i="5"/>
  <c r="AF1163" i="5"/>
  <c r="AG1163" i="5"/>
  <c r="AJ1163" i="5"/>
  <c r="AK1163" i="5"/>
  <c r="H1164" i="5"/>
  <c r="I1164" i="5"/>
  <c r="P1164" i="5"/>
  <c r="Q1164" i="5"/>
  <c r="T1164" i="5"/>
  <c r="U1164" i="5"/>
  <c r="X1164" i="5"/>
  <c r="Y1164" i="5"/>
  <c r="AF1164" i="5"/>
  <c r="AG1164" i="5"/>
  <c r="AJ1164" i="5"/>
  <c r="AK1164" i="5"/>
  <c r="H1165" i="5"/>
  <c r="I1165" i="5"/>
  <c r="P1165" i="5"/>
  <c r="Q1165" i="5"/>
  <c r="T1165" i="5"/>
  <c r="U1165" i="5"/>
  <c r="X1165" i="5"/>
  <c r="Y1165" i="5"/>
  <c r="AF1165" i="5"/>
  <c r="AG1165" i="5"/>
  <c r="AJ1165" i="5"/>
  <c r="AK1165" i="5"/>
  <c r="H1166" i="5"/>
  <c r="I1166" i="5"/>
  <c r="P1166" i="5"/>
  <c r="Q1166" i="5"/>
  <c r="T1166" i="5"/>
  <c r="U1166" i="5"/>
  <c r="X1166" i="5"/>
  <c r="Y1166" i="5"/>
  <c r="AF1166" i="5"/>
  <c r="AG1166" i="5"/>
  <c r="AJ1166" i="5"/>
  <c r="AK1166" i="5"/>
  <c r="H1167" i="5"/>
  <c r="I1167" i="5"/>
  <c r="P1167" i="5"/>
  <c r="Q1167" i="5"/>
  <c r="T1167" i="5"/>
  <c r="U1167" i="5"/>
  <c r="X1167" i="5"/>
  <c r="Y1167" i="5"/>
  <c r="AF1167" i="5"/>
  <c r="AG1167" i="5"/>
  <c r="AJ1167" i="5"/>
  <c r="AK1167" i="5"/>
  <c r="H1168" i="5"/>
  <c r="I1168" i="5"/>
  <c r="P1168" i="5"/>
  <c r="Q1168" i="5"/>
  <c r="T1168" i="5"/>
  <c r="U1168" i="5"/>
  <c r="X1168" i="5"/>
  <c r="Y1168" i="5"/>
  <c r="AF1168" i="5"/>
  <c r="AG1168" i="5"/>
  <c r="AJ1168" i="5"/>
  <c r="AK1168" i="5"/>
  <c r="H1169" i="5"/>
  <c r="I1169" i="5"/>
  <c r="P1169" i="5"/>
  <c r="Q1169" i="5"/>
  <c r="T1169" i="5"/>
  <c r="U1169" i="5"/>
  <c r="X1169" i="5"/>
  <c r="Y1169" i="5"/>
  <c r="AF1169" i="5"/>
  <c r="AG1169" i="5"/>
  <c r="AJ1169" i="5"/>
  <c r="AK1169" i="5"/>
  <c r="H1170" i="5"/>
  <c r="I1170" i="5"/>
  <c r="P1170" i="5"/>
  <c r="Q1170" i="5"/>
  <c r="T1170" i="5"/>
  <c r="U1170" i="5"/>
  <c r="X1170" i="5"/>
  <c r="Y1170" i="5"/>
  <c r="AF1170" i="5"/>
  <c r="AG1170" i="5"/>
  <c r="AJ1170" i="5"/>
  <c r="AK1170" i="5"/>
  <c r="H1171" i="5"/>
  <c r="I1171" i="5"/>
  <c r="P1171" i="5"/>
  <c r="Q1171" i="5"/>
  <c r="T1171" i="5"/>
  <c r="U1171" i="5"/>
  <c r="X1171" i="5"/>
  <c r="Y1171" i="5"/>
  <c r="AF1171" i="5"/>
  <c r="AG1171" i="5"/>
  <c r="AJ1171" i="5"/>
  <c r="AK1171" i="5"/>
  <c r="H1172" i="5"/>
  <c r="I1172" i="5"/>
  <c r="P1172" i="5"/>
  <c r="Q1172" i="5"/>
  <c r="T1172" i="5"/>
  <c r="U1172" i="5"/>
  <c r="X1172" i="5"/>
  <c r="Y1172" i="5"/>
  <c r="AF1172" i="5"/>
  <c r="AG1172" i="5"/>
  <c r="AJ1172" i="5"/>
  <c r="AK1172" i="5"/>
  <c r="H1173" i="5"/>
  <c r="I1173" i="5"/>
  <c r="P1173" i="5"/>
  <c r="Q1173" i="5"/>
  <c r="T1173" i="5"/>
  <c r="U1173" i="5"/>
  <c r="X1173" i="5"/>
  <c r="Y1173" i="5"/>
  <c r="AF1173" i="5"/>
  <c r="AG1173" i="5"/>
  <c r="AJ1173" i="5"/>
  <c r="AK1173" i="5"/>
  <c r="H1174" i="5"/>
  <c r="I1174" i="5"/>
  <c r="P1174" i="5"/>
  <c r="Q1174" i="5"/>
  <c r="T1174" i="5"/>
  <c r="U1174" i="5"/>
  <c r="X1174" i="5"/>
  <c r="Y1174" i="5"/>
  <c r="AF1174" i="5"/>
  <c r="AG1174" i="5"/>
  <c r="AJ1174" i="5"/>
  <c r="AK1174" i="5"/>
  <c r="H1175" i="5"/>
  <c r="I1175" i="5"/>
  <c r="P1175" i="5"/>
  <c r="Q1175" i="5"/>
  <c r="T1175" i="5"/>
  <c r="U1175" i="5"/>
  <c r="X1175" i="5"/>
  <c r="Y1175" i="5"/>
  <c r="AF1175" i="5"/>
  <c r="AG1175" i="5"/>
  <c r="AJ1175" i="5"/>
  <c r="AK1175" i="5"/>
  <c r="H1176" i="5"/>
  <c r="I1176" i="5"/>
  <c r="P1176" i="5"/>
  <c r="Q1176" i="5"/>
  <c r="T1176" i="5"/>
  <c r="U1176" i="5"/>
  <c r="X1176" i="5"/>
  <c r="Y1176" i="5"/>
  <c r="AF1176" i="5"/>
  <c r="AG1176" i="5"/>
  <c r="AJ1176" i="5"/>
  <c r="AK1176" i="5"/>
  <c r="H1177" i="5"/>
  <c r="I1177" i="5"/>
  <c r="P1177" i="5"/>
  <c r="Q1177" i="5"/>
  <c r="T1177" i="5"/>
  <c r="U1177" i="5"/>
  <c r="X1177" i="5"/>
  <c r="Y1177" i="5"/>
  <c r="AF1177" i="5"/>
  <c r="AG1177" i="5"/>
  <c r="AJ1177" i="5"/>
  <c r="AK1177" i="5"/>
  <c r="H1178" i="5"/>
  <c r="I1178" i="5"/>
  <c r="P1178" i="5"/>
  <c r="Q1178" i="5"/>
  <c r="T1178" i="5"/>
  <c r="U1178" i="5"/>
  <c r="X1178" i="5"/>
  <c r="Y1178" i="5"/>
  <c r="AF1178" i="5"/>
  <c r="AG1178" i="5"/>
  <c r="AJ1178" i="5"/>
  <c r="AK1178" i="5"/>
  <c r="H1179" i="5"/>
  <c r="I1179" i="5"/>
  <c r="P1179" i="5"/>
  <c r="Q1179" i="5"/>
  <c r="T1179" i="5"/>
  <c r="U1179" i="5"/>
  <c r="X1179" i="5"/>
  <c r="Y1179" i="5"/>
  <c r="AF1179" i="5"/>
  <c r="AG1179" i="5"/>
  <c r="AJ1179" i="5"/>
  <c r="AK1179" i="5"/>
  <c r="H1180" i="5"/>
  <c r="I1180" i="5"/>
  <c r="P1180" i="5"/>
  <c r="Q1180" i="5"/>
  <c r="T1180" i="5"/>
  <c r="U1180" i="5"/>
  <c r="X1180" i="5"/>
  <c r="Y1180" i="5"/>
  <c r="AF1180" i="5"/>
  <c r="AG1180" i="5"/>
  <c r="AJ1180" i="5"/>
  <c r="AK1180" i="5"/>
  <c r="H1181" i="5"/>
  <c r="I1181" i="5"/>
  <c r="P1181" i="5"/>
  <c r="Q1181" i="5"/>
  <c r="T1181" i="5"/>
  <c r="U1181" i="5"/>
  <c r="X1181" i="5"/>
  <c r="Y1181" i="5"/>
  <c r="AF1181" i="5"/>
  <c r="AG1181" i="5"/>
  <c r="AJ1181" i="5"/>
  <c r="AK1181" i="5"/>
  <c r="H1182" i="5"/>
  <c r="I1182" i="5"/>
  <c r="P1182" i="5"/>
  <c r="Q1182" i="5"/>
  <c r="T1182" i="5"/>
  <c r="U1182" i="5"/>
  <c r="X1182" i="5"/>
  <c r="Y1182" i="5"/>
  <c r="AF1182" i="5"/>
  <c r="AG1182" i="5"/>
  <c r="AJ1182" i="5"/>
  <c r="AK1182" i="5"/>
  <c r="H1183" i="5"/>
  <c r="I1183" i="5"/>
  <c r="P1183" i="5"/>
  <c r="Q1183" i="5"/>
  <c r="T1183" i="5"/>
  <c r="U1183" i="5"/>
  <c r="X1183" i="5"/>
  <c r="Y1183" i="5"/>
  <c r="AF1183" i="5"/>
  <c r="AG1183" i="5"/>
  <c r="AJ1183" i="5"/>
  <c r="AK1183" i="5"/>
  <c r="H1184" i="5"/>
  <c r="I1184" i="5"/>
  <c r="P1184" i="5"/>
  <c r="Q1184" i="5"/>
  <c r="T1184" i="5"/>
  <c r="U1184" i="5"/>
  <c r="X1184" i="5"/>
  <c r="Y1184" i="5"/>
  <c r="AF1184" i="5"/>
  <c r="AG1184" i="5"/>
  <c r="AJ1184" i="5"/>
  <c r="AK1184" i="5"/>
  <c r="H1185" i="5"/>
  <c r="I1185" i="5"/>
  <c r="P1185" i="5"/>
  <c r="Q1185" i="5"/>
  <c r="T1185" i="5"/>
  <c r="U1185" i="5"/>
  <c r="X1185" i="5"/>
  <c r="Y1185" i="5"/>
  <c r="AF1185" i="5"/>
  <c r="AG1185" i="5"/>
  <c r="AJ1185" i="5"/>
  <c r="AK1185" i="5"/>
  <c r="H1186" i="5"/>
  <c r="I1186" i="5"/>
  <c r="P1186" i="5"/>
  <c r="Q1186" i="5"/>
  <c r="T1186" i="5"/>
  <c r="U1186" i="5"/>
  <c r="X1186" i="5"/>
  <c r="Y1186" i="5"/>
  <c r="AF1186" i="5"/>
  <c r="AG1186" i="5"/>
  <c r="AJ1186" i="5"/>
  <c r="AK1186" i="5"/>
  <c r="H1187" i="5"/>
  <c r="I1187" i="5"/>
  <c r="P1187" i="5"/>
  <c r="Q1187" i="5"/>
  <c r="T1187" i="5"/>
  <c r="U1187" i="5"/>
  <c r="X1187" i="5"/>
  <c r="Y1187" i="5"/>
  <c r="AF1187" i="5"/>
  <c r="AG1187" i="5"/>
  <c r="AJ1187" i="5"/>
  <c r="AK1187" i="5"/>
  <c r="H1188" i="5"/>
  <c r="I1188" i="5"/>
  <c r="P1188" i="5"/>
  <c r="Q1188" i="5"/>
  <c r="T1188" i="5"/>
  <c r="U1188" i="5"/>
  <c r="X1188" i="5"/>
  <c r="Y1188" i="5"/>
  <c r="AF1188" i="5"/>
  <c r="AG1188" i="5"/>
  <c r="AJ1188" i="5"/>
  <c r="AK1188" i="5"/>
  <c r="H1189" i="5"/>
  <c r="I1189" i="5"/>
  <c r="P1189" i="5"/>
  <c r="Q1189" i="5"/>
  <c r="T1189" i="5"/>
  <c r="U1189" i="5"/>
  <c r="X1189" i="5"/>
  <c r="Y1189" i="5"/>
  <c r="AF1189" i="5"/>
  <c r="AG1189" i="5"/>
  <c r="AJ1189" i="5"/>
  <c r="AK1189" i="5"/>
  <c r="H1190" i="5"/>
  <c r="I1190" i="5"/>
  <c r="P1190" i="5"/>
  <c r="Q1190" i="5"/>
  <c r="T1190" i="5"/>
  <c r="U1190" i="5"/>
  <c r="X1190" i="5"/>
  <c r="Y1190" i="5"/>
  <c r="AF1190" i="5"/>
  <c r="AG1190" i="5"/>
  <c r="AJ1190" i="5"/>
  <c r="AK1190" i="5"/>
  <c r="H1191" i="5"/>
  <c r="I1191" i="5"/>
  <c r="P1191" i="5"/>
  <c r="Q1191" i="5"/>
  <c r="T1191" i="5"/>
  <c r="U1191" i="5"/>
  <c r="X1191" i="5"/>
  <c r="Y1191" i="5"/>
  <c r="AF1191" i="5"/>
  <c r="AG1191" i="5"/>
  <c r="AJ1191" i="5"/>
  <c r="AK1191" i="5"/>
  <c r="H1192" i="5"/>
  <c r="I1192" i="5"/>
  <c r="P1192" i="5"/>
  <c r="Q1192" i="5"/>
  <c r="T1192" i="5"/>
  <c r="U1192" i="5"/>
  <c r="X1192" i="5"/>
  <c r="Y1192" i="5"/>
  <c r="AF1192" i="5"/>
  <c r="AG1192" i="5"/>
  <c r="AJ1192" i="5"/>
  <c r="AK1192" i="5"/>
  <c r="H1193" i="5"/>
  <c r="I1193" i="5"/>
  <c r="P1193" i="5"/>
  <c r="Q1193" i="5"/>
  <c r="T1193" i="5"/>
  <c r="U1193" i="5"/>
  <c r="X1193" i="5"/>
  <c r="Y1193" i="5"/>
  <c r="AF1193" i="5"/>
  <c r="AG1193" i="5"/>
  <c r="AJ1193" i="5"/>
  <c r="AK1193" i="5"/>
  <c r="H1194" i="5"/>
  <c r="I1194" i="5"/>
  <c r="P1194" i="5"/>
  <c r="Q1194" i="5"/>
  <c r="T1194" i="5"/>
  <c r="U1194" i="5"/>
  <c r="X1194" i="5"/>
  <c r="Y1194" i="5"/>
  <c r="AF1194" i="5"/>
  <c r="AG1194" i="5"/>
  <c r="AJ1194" i="5"/>
  <c r="AK1194" i="5"/>
  <c r="H1195" i="5"/>
  <c r="I1195" i="5"/>
  <c r="P1195" i="5"/>
  <c r="Q1195" i="5"/>
  <c r="T1195" i="5"/>
  <c r="U1195" i="5"/>
  <c r="X1195" i="5"/>
  <c r="Y1195" i="5"/>
  <c r="AF1195" i="5"/>
  <c r="AG1195" i="5"/>
  <c r="AJ1195" i="5"/>
  <c r="AK1195" i="5"/>
  <c r="H1196" i="5"/>
  <c r="I1196" i="5"/>
  <c r="P1196" i="5"/>
  <c r="Q1196" i="5"/>
  <c r="T1196" i="5"/>
  <c r="U1196" i="5"/>
  <c r="X1196" i="5"/>
  <c r="Y1196" i="5"/>
  <c r="AF1196" i="5"/>
  <c r="AG1196" i="5"/>
  <c r="AJ1196" i="5"/>
  <c r="AK1196" i="5"/>
  <c r="H1197" i="5"/>
  <c r="I1197" i="5"/>
  <c r="P1197" i="5"/>
  <c r="Q1197" i="5"/>
  <c r="T1197" i="5"/>
  <c r="U1197" i="5"/>
  <c r="X1197" i="5"/>
  <c r="Y1197" i="5"/>
  <c r="AF1197" i="5"/>
  <c r="AG1197" i="5"/>
  <c r="AJ1197" i="5"/>
  <c r="AK1197" i="5"/>
  <c r="H1198" i="5"/>
  <c r="I1198" i="5"/>
  <c r="P1198" i="5"/>
  <c r="Q1198" i="5"/>
  <c r="T1198" i="5"/>
  <c r="U1198" i="5"/>
  <c r="X1198" i="5"/>
  <c r="Y1198" i="5"/>
  <c r="AF1198" i="5"/>
  <c r="AG1198" i="5"/>
  <c r="AJ1198" i="5"/>
  <c r="AK1198" i="5"/>
  <c r="H1199" i="5"/>
  <c r="I1199" i="5"/>
  <c r="P1199" i="5"/>
  <c r="Q1199" i="5"/>
  <c r="T1199" i="5"/>
  <c r="U1199" i="5"/>
  <c r="X1199" i="5"/>
  <c r="Y1199" i="5"/>
  <c r="AF1199" i="5"/>
  <c r="AG1199" i="5"/>
  <c r="AJ1199" i="5"/>
  <c r="AK1199" i="5"/>
  <c r="H1200" i="5"/>
  <c r="I1200" i="5"/>
  <c r="P1200" i="5"/>
  <c r="Q1200" i="5"/>
  <c r="T1200" i="5"/>
  <c r="U1200" i="5"/>
  <c r="X1200" i="5"/>
  <c r="Y1200" i="5"/>
  <c r="AF1200" i="5"/>
  <c r="AG1200" i="5"/>
  <c r="AJ1200" i="5"/>
  <c r="AK1200" i="5"/>
  <c r="H1201" i="5"/>
  <c r="I1201" i="5"/>
  <c r="P1201" i="5"/>
  <c r="Q1201" i="5"/>
  <c r="T1201" i="5"/>
  <c r="U1201" i="5"/>
  <c r="X1201" i="5"/>
  <c r="Y1201" i="5"/>
  <c r="AF1201" i="5"/>
  <c r="AG1201" i="5"/>
  <c r="AJ1201" i="5"/>
  <c r="AK1201" i="5"/>
  <c r="H1202" i="5"/>
  <c r="I1202" i="5"/>
  <c r="P1202" i="5"/>
  <c r="Q1202" i="5"/>
  <c r="T1202" i="5"/>
  <c r="U1202" i="5"/>
  <c r="X1202" i="5"/>
  <c r="Y1202" i="5"/>
  <c r="AF1202" i="5"/>
  <c r="AG1202" i="5"/>
  <c r="AJ1202" i="5"/>
  <c r="AK1202" i="5"/>
  <c r="H1203" i="5"/>
  <c r="I1203" i="5"/>
  <c r="P1203" i="5"/>
  <c r="Q1203" i="5"/>
  <c r="T1203" i="5"/>
  <c r="U1203" i="5"/>
  <c r="X1203" i="5"/>
  <c r="Y1203" i="5"/>
  <c r="AF1203" i="5"/>
  <c r="AG1203" i="5"/>
  <c r="AJ1203" i="5"/>
  <c r="AK1203" i="5"/>
  <c r="H1204" i="5"/>
  <c r="I1204" i="5"/>
  <c r="P1204" i="5"/>
  <c r="Q1204" i="5"/>
  <c r="T1204" i="5"/>
  <c r="U1204" i="5"/>
  <c r="X1204" i="5"/>
  <c r="Y1204" i="5"/>
  <c r="AF1204" i="5"/>
  <c r="AG1204" i="5"/>
  <c r="AJ1204" i="5"/>
  <c r="AK1204" i="5"/>
  <c r="H1205" i="5"/>
  <c r="I1205" i="5"/>
  <c r="P1205" i="5"/>
  <c r="Q1205" i="5"/>
  <c r="T1205" i="5"/>
  <c r="U1205" i="5"/>
  <c r="X1205" i="5"/>
  <c r="Y1205" i="5"/>
  <c r="AF1205" i="5"/>
  <c r="AG1205" i="5"/>
  <c r="AJ1205" i="5"/>
  <c r="AK1205" i="5"/>
  <c r="H1206" i="5"/>
  <c r="I1206" i="5"/>
  <c r="P1206" i="5"/>
  <c r="Q1206" i="5"/>
  <c r="T1206" i="5"/>
  <c r="U1206" i="5"/>
  <c r="X1206" i="5"/>
  <c r="Y1206" i="5"/>
  <c r="AF1206" i="5"/>
  <c r="AG1206" i="5"/>
  <c r="AJ1206" i="5"/>
  <c r="AK1206" i="5"/>
  <c r="H1207" i="5"/>
  <c r="I1207" i="5"/>
  <c r="P1207" i="5"/>
  <c r="Q1207" i="5"/>
  <c r="T1207" i="5"/>
  <c r="U1207" i="5"/>
  <c r="X1207" i="5"/>
  <c r="Y1207" i="5"/>
  <c r="AF1207" i="5"/>
  <c r="AG1207" i="5"/>
  <c r="AJ1207" i="5"/>
  <c r="AK1207" i="5"/>
  <c r="H1208" i="5"/>
  <c r="I1208" i="5"/>
  <c r="P1208" i="5"/>
  <c r="Q1208" i="5"/>
  <c r="T1208" i="5"/>
  <c r="U1208" i="5"/>
  <c r="X1208" i="5"/>
  <c r="Y1208" i="5"/>
  <c r="AF1208" i="5"/>
  <c r="AG1208" i="5"/>
  <c r="AJ1208" i="5"/>
  <c r="AK1208" i="5"/>
  <c r="H1209" i="5"/>
  <c r="I1209" i="5"/>
  <c r="P1209" i="5"/>
  <c r="Q1209" i="5"/>
  <c r="T1209" i="5"/>
  <c r="U1209" i="5"/>
  <c r="X1209" i="5"/>
  <c r="Y1209" i="5"/>
  <c r="AF1209" i="5"/>
  <c r="AG1209" i="5"/>
  <c r="AJ1209" i="5"/>
  <c r="AK1209" i="5"/>
  <c r="H1210" i="5"/>
  <c r="I1210" i="5"/>
  <c r="P1210" i="5"/>
  <c r="Q1210" i="5"/>
  <c r="T1210" i="5"/>
  <c r="U1210" i="5"/>
  <c r="X1210" i="5"/>
  <c r="Y1210" i="5"/>
  <c r="AF1210" i="5"/>
  <c r="AG1210" i="5"/>
  <c r="AJ1210" i="5"/>
  <c r="AK1210" i="5"/>
  <c r="H1211" i="5"/>
  <c r="I1211" i="5"/>
  <c r="P1211" i="5"/>
  <c r="Q1211" i="5"/>
  <c r="T1211" i="5"/>
  <c r="U1211" i="5"/>
  <c r="X1211" i="5"/>
  <c r="Y1211" i="5"/>
  <c r="AF1211" i="5"/>
  <c r="AG1211" i="5"/>
  <c r="AJ1211" i="5"/>
  <c r="AK1211" i="5"/>
  <c r="H1212" i="5"/>
  <c r="I1212" i="5"/>
  <c r="P1212" i="5"/>
  <c r="Q1212" i="5"/>
  <c r="T1212" i="5"/>
  <c r="U1212" i="5"/>
  <c r="X1212" i="5"/>
  <c r="Y1212" i="5"/>
  <c r="AF1212" i="5"/>
  <c r="AG1212" i="5"/>
  <c r="AJ1212" i="5"/>
  <c r="AK1212" i="5"/>
  <c r="H1213" i="5"/>
  <c r="I1213" i="5"/>
  <c r="P1213" i="5"/>
  <c r="Q1213" i="5"/>
  <c r="T1213" i="5"/>
  <c r="U1213" i="5"/>
  <c r="X1213" i="5"/>
  <c r="Y1213" i="5"/>
  <c r="AF1213" i="5"/>
  <c r="AG1213" i="5"/>
  <c r="AJ1213" i="5"/>
  <c r="AK1213" i="5"/>
  <c r="H1214" i="5"/>
  <c r="I1214" i="5"/>
  <c r="P1214" i="5"/>
  <c r="Q1214" i="5"/>
  <c r="T1214" i="5"/>
  <c r="U1214" i="5"/>
  <c r="X1214" i="5"/>
  <c r="Y1214" i="5"/>
  <c r="AF1214" i="5"/>
  <c r="AG1214" i="5"/>
  <c r="AJ1214" i="5"/>
  <c r="AK1214" i="5"/>
  <c r="H1215" i="5"/>
  <c r="I1215" i="5"/>
  <c r="P1215" i="5"/>
  <c r="Q1215" i="5"/>
  <c r="T1215" i="5"/>
  <c r="U1215" i="5"/>
  <c r="X1215" i="5"/>
  <c r="Y1215" i="5"/>
  <c r="AF1215" i="5"/>
  <c r="AG1215" i="5"/>
  <c r="AJ1215" i="5"/>
  <c r="AK1215" i="5"/>
  <c r="H1216" i="5"/>
  <c r="I1216" i="5"/>
  <c r="P1216" i="5"/>
  <c r="Q1216" i="5"/>
  <c r="T1216" i="5"/>
  <c r="U1216" i="5"/>
  <c r="X1216" i="5"/>
  <c r="Y1216" i="5"/>
  <c r="AF1216" i="5"/>
  <c r="AG1216" i="5"/>
  <c r="AJ1216" i="5"/>
  <c r="AK1216" i="5"/>
  <c r="H1217" i="5"/>
  <c r="I1217" i="5"/>
  <c r="P1217" i="5"/>
  <c r="Q1217" i="5"/>
  <c r="T1217" i="5"/>
  <c r="U1217" i="5"/>
  <c r="X1217" i="5"/>
  <c r="Y1217" i="5"/>
  <c r="AF1217" i="5"/>
  <c r="AG1217" i="5"/>
  <c r="AJ1217" i="5"/>
  <c r="AK1217" i="5"/>
  <c r="H1218" i="5"/>
  <c r="I1218" i="5"/>
  <c r="P1218" i="5"/>
  <c r="Q1218" i="5"/>
  <c r="T1218" i="5"/>
  <c r="U1218" i="5"/>
  <c r="X1218" i="5"/>
  <c r="Y1218" i="5"/>
  <c r="AF1218" i="5"/>
  <c r="AG1218" i="5"/>
  <c r="AJ1218" i="5"/>
  <c r="AK1218" i="5"/>
  <c r="H1219" i="5"/>
  <c r="I1219" i="5"/>
  <c r="P1219" i="5"/>
  <c r="Q1219" i="5"/>
  <c r="T1219" i="5"/>
  <c r="U1219" i="5"/>
  <c r="X1219" i="5"/>
  <c r="Y1219" i="5"/>
  <c r="AF1219" i="5"/>
  <c r="AG1219" i="5"/>
  <c r="AJ1219" i="5"/>
  <c r="AK1219" i="5"/>
  <c r="H1220" i="5"/>
  <c r="I1220" i="5"/>
  <c r="P1220" i="5"/>
  <c r="Q1220" i="5"/>
  <c r="T1220" i="5"/>
  <c r="U1220" i="5"/>
  <c r="X1220" i="5"/>
  <c r="Y1220" i="5"/>
  <c r="AF1220" i="5"/>
  <c r="AG1220" i="5"/>
  <c r="AJ1220" i="5"/>
  <c r="AK1220" i="5"/>
  <c r="H1221" i="5"/>
  <c r="I1221" i="5"/>
  <c r="P1221" i="5"/>
  <c r="Q1221" i="5"/>
  <c r="T1221" i="5"/>
  <c r="U1221" i="5"/>
  <c r="X1221" i="5"/>
  <c r="Y1221" i="5"/>
  <c r="AF1221" i="5"/>
  <c r="AG1221" i="5"/>
  <c r="AJ1221" i="5"/>
  <c r="AK1221" i="5"/>
  <c r="H1222" i="5"/>
  <c r="I1222" i="5"/>
  <c r="P1222" i="5"/>
  <c r="Q1222" i="5"/>
  <c r="T1222" i="5"/>
  <c r="U1222" i="5"/>
  <c r="X1222" i="5"/>
  <c r="Y1222" i="5"/>
  <c r="AF1222" i="5"/>
  <c r="AG1222" i="5"/>
  <c r="AJ1222" i="5"/>
  <c r="AK1222" i="5"/>
  <c r="H1223" i="5"/>
  <c r="I1223" i="5"/>
  <c r="P1223" i="5"/>
  <c r="Q1223" i="5"/>
  <c r="T1223" i="5"/>
  <c r="U1223" i="5"/>
  <c r="X1223" i="5"/>
  <c r="Y1223" i="5"/>
  <c r="AF1223" i="5"/>
  <c r="AG1223" i="5"/>
  <c r="AJ1223" i="5"/>
  <c r="AK1223" i="5"/>
  <c r="H1224" i="5"/>
  <c r="I1224" i="5"/>
  <c r="P1224" i="5"/>
  <c r="Q1224" i="5"/>
  <c r="T1224" i="5"/>
  <c r="U1224" i="5"/>
  <c r="X1224" i="5"/>
  <c r="Y1224" i="5"/>
  <c r="AF1224" i="5"/>
  <c r="AG1224" i="5"/>
  <c r="AJ1224" i="5"/>
  <c r="AK1224" i="5"/>
  <c r="H1225" i="5"/>
  <c r="I1225" i="5"/>
  <c r="P1225" i="5"/>
  <c r="Q1225" i="5"/>
  <c r="T1225" i="5"/>
  <c r="U1225" i="5"/>
  <c r="X1225" i="5"/>
  <c r="Y1225" i="5"/>
  <c r="AF1225" i="5"/>
  <c r="AG1225" i="5"/>
  <c r="AJ1225" i="5"/>
  <c r="AK1225" i="5"/>
  <c r="H1226" i="5"/>
  <c r="I1226" i="5"/>
  <c r="P1226" i="5"/>
  <c r="Q1226" i="5"/>
  <c r="T1226" i="5"/>
  <c r="U1226" i="5"/>
  <c r="X1226" i="5"/>
  <c r="Y1226" i="5"/>
  <c r="AF1226" i="5"/>
  <c r="AG1226" i="5"/>
  <c r="AJ1226" i="5"/>
  <c r="AK1226" i="5"/>
  <c r="H1227" i="5"/>
  <c r="I1227" i="5"/>
  <c r="P1227" i="5"/>
  <c r="Q1227" i="5"/>
  <c r="T1227" i="5"/>
  <c r="U1227" i="5"/>
  <c r="X1227" i="5"/>
  <c r="Y1227" i="5"/>
  <c r="AF1227" i="5"/>
  <c r="AG1227" i="5"/>
  <c r="AJ1227" i="5"/>
  <c r="AK1227" i="5"/>
  <c r="H1228" i="5"/>
  <c r="I1228" i="5"/>
  <c r="P1228" i="5"/>
  <c r="Q1228" i="5"/>
  <c r="T1228" i="5"/>
  <c r="U1228" i="5"/>
  <c r="X1228" i="5"/>
  <c r="Y1228" i="5"/>
  <c r="AF1228" i="5"/>
  <c r="AG1228" i="5"/>
  <c r="AJ1228" i="5"/>
  <c r="AK1228" i="5"/>
  <c r="H1229" i="5"/>
  <c r="I1229" i="5"/>
  <c r="P1229" i="5"/>
  <c r="Q1229" i="5"/>
  <c r="T1229" i="5"/>
  <c r="U1229" i="5"/>
  <c r="X1229" i="5"/>
  <c r="Y1229" i="5"/>
  <c r="AF1229" i="5"/>
  <c r="AG1229" i="5"/>
  <c r="AJ1229" i="5"/>
  <c r="AK1229" i="5"/>
  <c r="H1230" i="5"/>
  <c r="I1230" i="5"/>
  <c r="P1230" i="5"/>
  <c r="Q1230" i="5"/>
  <c r="T1230" i="5"/>
  <c r="U1230" i="5"/>
  <c r="X1230" i="5"/>
  <c r="Y1230" i="5"/>
  <c r="AF1230" i="5"/>
  <c r="AG1230" i="5"/>
  <c r="AJ1230" i="5"/>
  <c r="AK1230" i="5"/>
  <c r="H1231" i="5"/>
  <c r="I1231" i="5"/>
  <c r="P1231" i="5"/>
  <c r="Q1231" i="5"/>
  <c r="T1231" i="5"/>
  <c r="U1231" i="5"/>
  <c r="X1231" i="5"/>
  <c r="Y1231" i="5"/>
  <c r="AF1231" i="5"/>
  <c r="AG1231" i="5"/>
  <c r="AJ1231" i="5"/>
  <c r="AK1231" i="5"/>
  <c r="H1232" i="5"/>
  <c r="I1232" i="5"/>
  <c r="P1232" i="5"/>
  <c r="Q1232" i="5"/>
  <c r="T1232" i="5"/>
  <c r="U1232" i="5"/>
  <c r="X1232" i="5"/>
  <c r="Y1232" i="5"/>
  <c r="AF1232" i="5"/>
  <c r="AG1232" i="5"/>
  <c r="AJ1232" i="5"/>
  <c r="AK1232" i="5"/>
  <c r="H1233" i="5"/>
  <c r="I1233" i="5"/>
  <c r="P1233" i="5"/>
  <c r="Q1233" i="5"/>
  <c r="T1233" i="5"/>
  <c r="U1233" i="5"/>
  <c r="X1233" i="5"/>
  <c r="Y1233" i="5"/>
  <c r="AF1233" i="5"/>
  <c r="AG1233" i="5"/>
  <c r="AJ1233" i="5"/>
  <c r="AK1233" i="5"/>
  <c r="H1234" i="5"/>
  <c r="I1234" i="5"/>
  <c r="P1234" i="5"/>
  <c r="Q1234" i="5"/>
  <c r="T1234" i="5"/>
  <c r="U1234" i="5"/>
  <c r="X1234" i="5"/>
  <c r="Y1234" i="5"/>
  <c r="AF1234" i="5"/>
  <c r="AG1234" i="5"/>
  <c r="AJ1234" i="5"/>
  <c r="AK1234" i="5"/>
  <c r="H1235" i="5"/>
  <c r="I1235" i="5"/>
  <c r="P1235" i="5"/>
  <c r="Q1235" i="5"/>
  <c r="T1235" i="5"/>
  <c r="U1235" i="5"/>
  <c r="X1235" i="5"/>
  <c r="Y1235" i="5"/>
  <c r="AF1235" i="5"/>
  <c r="AG1235" i="5"/>
  <c r="AJ1235" i="5"/>
  <c r="AK1235" i="5"/>
  <c r="H1236" i="5"/>
  <c r="I1236" i="5"/>
  <c r="P1236" i="5"/>
  <c r="Q1236" i="5"/>
  <c r="T1236" i="5"/>
  <c r="U1236" i="5"/>
  <c r="X1236" i="5"/>
  <c r="Y1236" i="5"/>
  <c r="AF1236" i="5"/>
  <c r="AG1236" i="5"/>
  <c r="AJ1236" i="5"/>
  <c r="AK1236" i="5"/>
  <c r="H1237" i="5"/>
  <c r="I1237" i="5"/>
  <c r="P1237" i="5"/>
  <c r="Q1237" i="5"/>
  <c r="T1237" i="5"/>
  <c r="U1237" i="5"/>
  <c r="X1237" i="5"/>
  <c r="Y1237" i="5"/>
  <c r="AF1237" i="5"/>
  <c r="AG1237" i="5"/>
  <c r="AJ1237" i="5"/>
  <c r="AK1237" i="5"/>
  <c r="H1238" i="5"/>
  <c r="I1238" i="5"/>
  <c r="P1238" i="5"/>
  <c r="Q1238" i="5"/>
  <c r="T1238" i="5"/>
  <c r="U1238" i="5"/>
  <c r="X1238" i="5"/>
  <c r="Y1238" i="5"/>
  <c r="AF1238" i="5"/>
  <c r="AG1238" i="5"/>
  <c r="AJ1238" i="5"/>
  <c r="AK1238" i="5"/>
  <c r="H1239" i="5"/>
  <c r="I1239" i="5"/>
  <c r="P1239" i="5"/>
  <c r="Q1239" i="5"/>
  <c r="T1239" i="5"/>
  <c r="U1239" i="5"/>
  <c r="X1239" i="5"/>
  <c r="Y1239" i="5"/>
  <c r="AF1239" i="5"/>
  <c r="AG1239" i="5"/>
  <c r="AJ1239" i="5"/>
  <c r="AK1239" i="5"/>
  <c r="H1240" i="5"/>
  <c r="I1240" i="5"/>
  <c r="P1240" i="5"/>
  <c r="Q1240" i="5"/>
  <c r="T1240" i="5"/>
  <c r="U1240" i="5"/>
  <c r="X1240" i="5"/>
  <c r="Y1240" i="5"/>
  <c r="AF1240" i="5"/>
  <c r="AG1240" i="5"/>
  <c r="AJ1240" i="5"/>
  <c r="AK1240" i="5"/>
  <c r="H1241" i="5"/>
  <c r="I1241" i="5"/>
  <c r="P1241" i="5"/>
  <c r="Q1241" i="5"/>
  <c r="T1241" i="5"/>
  <c r="U1241" i="5"/>
  <c r="X1241" i="5"/>
  <c r="Y1241" i="5"/>
  <c r="AF1241" i="5"/>
  <c r="AG1241" i="5"/>
  <c r="AJ1241" i="5"/>
  <c r="AK1241" i="5"/>
  <c r="H1242" i="5"/>
  <c r="I1242" i="5"/>
  <c r="P1242" i="5"/>
  <c r="Q1242" i="5"/>
  <c r="T1242" i="5"/>
  <c r="U1242" i="5"/>
  <c r="X1242" i="5"/>
  <c r="Y1242" i="5"/>
  <c r="AF1242" i="5"/>
  <c r="AG1242" i="5"/>
  <c r="AJ1242" i="5"/>
  <c r="AK1242" i="5"/>
  <c r="H1243" i="5"/>
  <c r="I1243" i="5"/>
  <c r="P1243" i="5"/>
  <c r="Q1243" i="5"/>
  <c r="T1243" i="5"/>
  <c r="U1243" i="5"/>
  <c r="X1243" i="5"/>
  <c r="Y1243" i="5"/>
  <c r="AF1243" i="5"/>
  <c r="AG1243" i="5"/>
  <c r="AJ1243" i="5"/>
  <c r="AK1243" i="5"/>
  <c r="H1244" i="5"/>
  <c r="I1244" i="5"/>
  <c r="P1244" i="5"/>
  <c r="Q1244" i="5"/>
  <c r="T1244" i="5"/>
  <c r="U1244" i="5"/>
  <c r="X1244" i="5"/>
  <c r="Y1244" i="5"/>
  <c r="AF1244" i="5"/>
  <c r="AG1244" i="5"/>
  <c r="AJ1244" i="5"/>
  <c r="AK1244" i="5"/>
  <c r="H1245" i="5"/>
  <c r="I1245" i="5"/>
  <c r="P1245" i="5"/>
  <c r="Q1245" i="5"/>
  <c r="T1245" i="5"/>
  <c r="U1245" i="5"/>
  <c r="X1245" i="5"/>
  <c r="Y1245" i="5"/>
  <c r="AF1245" i="5"/>
  <c r="AG1245" i="5"/>
  <c r="AJ1245" i="5"/>
  <c r="AK1245" i="5"/>
  <c r="H1246" i="5"/>
  <c r="I1246" i="5"/>
  <c r="P1246" i="5"/>
  <c r="Q1246" i="5"/>
  <c r="T1246" i="5"/>
  <c r="U1246" i="5"/>
  <c r="X1246" i="5"/>
  <c r="Y1246" i="5"/>
  <c r="AF1246" i="5"/>
  <c r="AG1246" i="5"/>
  <c r="AJ1246" i="5"/>
  <c r="AK1246" i="5"/>
  <c r="H1247" i="5"/>
  <c r="I1247" i="5"/>
  <c r="P1247" i="5"/>
  <c r="Q1247" i="5"/>
  <c r="T1247" i="5"/>
  <c r="U1247" i="5"/>
  <c r="X1247" i="5"/>
  <c r="Y1247" i="5"/>
  <c r="AF1247" i="5"/>
  <c r="AG1247" i="5"/>
  <c r="AJ1247" i="5"/>
  <c r="AK1247" i="5"/>
  <c r="H1248" i="5"/>
  <c r="I1248" i="5"/>
  <c r="P1248" i="5"/>
  <c r="Q1248" i="5"/>
  <c r="T1248" i="5"/>
  <c r="U1248" i="5"/>
  <c r="X1248" i="5"/>
  <c r="Y1248" i="5"/>
  <c r="AF1248" i="5"/>
  <c r="AG1248" i="5"/>
  <c r="AJ1248" i="5"/>
  <c r="AK1248" i="5"/>
  <c r="H1249" i="5"/>
  <c r="I1249" i="5"/>
  <c r="P1249" i="5"/>
  <c r="Q1249" i="5"/>
  <c r="T1249" i="5"/>
  <c r="U1249" i="5"/>
  <c r="X1249" i="5"/>
  <c r="Y1249" i="5"/>
  <c r="AF1249" i="5"/>
  <c r="AG1249" i="5"/>
  <c r="AJ1249" i="5"/>
  <c r="AK1249" i="5"/>
  <c r="H1250" i="5"/>
  <c r="I1250" i="5"/>
  <c r="P1250" i="5"/>
  <c r="Q1250" i="5"/>
  <c r="T1250" i="5"/>
  <c r="U1250" i="5"/>
  <c r="X1250" i="5"/>
  <c r="Y1250" i="5"/>
  <c r="AF1250" i="5"/>
  <c r="AG1250" i="5"/>
  <c r="AJ1250" i="5"/>
  <c r="AK1250" i="5"/>
  <c r="H1251" i="5"/>
  <c r="I1251" i="5"/>
  <c r="P1251" i="5"/>
  <c r="Q1251" i="5"/>
  <c r="T1251" i="5"/>
  <c r="U1251" i="5"/>
  <c r="X1251" i="5"/>
  <c r="Y1251" i="5"/>
  <c r="AF1251" i="5"/>
  <c r="AG1251" i="5"/>
  <c r="AJ1251" i="5"/>
  <c r="AK1251" i="5"/>
  <c r="H1252" i="5"/>
  <c r="I1252" i="5"/>
  <c r="P1252" i="5"/>
  <c r="Q1252" i="5"/>
  <c r="T1252" i="5"/>
  <c r="U1252" i="5"/>
  <c r="X1252" i="5"/>
  <c r="Y1252" i="5"/>
  <c r="AF1252" i="5"/>
  <c r="AG1252" i="5"/>
  <c r="AJ1252" i="5"/>
  <c r="AK1252" i="5"/>
  <c r="H1253" i="5"/>
  <c r="I1253" i="5"/>
  <c r="P1253" i="5"/>
  <c r="Q1253" i="5"/>
  <c r="T1253" i="5"/>
  <c r="U1253" i="5"/>
  <c r="X1253" i="5"/>
  <c r="Y1253" i="5"/>
  <c r="AF1253" i="5"/>
  <c r="AG1253" i="5"/>
  <c r="AJ1253" i="5"/>
  <c r="AK1253" i="5"/>
  <c r="H1254" i="5"/>
  <c r="I1254" i="5"/>
  <c r="P1254" i="5"/>
  <c r="Q1254" i="5"/>
  <c r="T1254" i="5"/>
  <c r="U1254" i="5"/>
  <c r="X1254" i="5"/>
  <c r="Y1254" i="5"/>
  <c r="AF1254" i="5"/>
  <c r="AG1254" i="5"/>
  <c r="AJ1254" i="5"/>
  <c r="AK1254" i="5"/>
  <c r="H1255" i="5"/>
  <c r="I1255" i="5"/>
  <c r="P1255" i="5"/>
  <c r="Q1255" i="5"/>
  <c r="T1255" i="5"/>
  <c r="U1255" i="5"/>
  <c r="X1255" i="5"/>
  <c r="Y1255" i="5"/>
  <c r="AF1255" i="5"/>
  <c r="AG1255" i="5"/>
  <c r="AJ1255" i="5"/>
  <c r="AK1255" i="5"/>
  <c r="H1256" i="5"/>
  <c r="I1256" i="5"/>
  <c r="P1256" i="5"/>
  <c r="Q1256" i="5"/>
  <c r="T1256" i="5"/>
  <c r="U1256" i="5"/>
  <c r="X1256" i="5"/>
  <c r="Y1256" i="5"/>
  <c r="AF1256" i="5"/>
  <c r="AG1256" i="5"/>
  <c r="AJ1256" i="5"/>
  <c r="AK1256" i="5"/>
  <c r="H1257" i="5"/>
  <c r="I1257" i="5"/>
  <c r="P1257" i="5"/>
  <c r="Q1257" i="5"/>
  <c r="T1257" i="5"/>
  <c r="U1257" i="5"/>
  <c r="X1257" i="5"/>
  <c r="Y1257" i="5"/>
  <c r="AF1257" i="5"/>
  <c r="AG1257" i="5"/>
  <c r="AJ1257" i="5"/>
  <c r="AK1257" i="5"/>
  <c r="H1258" i="5"/>
  <c r="I1258" i="5"/>
  <c r="P1258" i="5"/>
  <c r="Q1258" i="5"/>
  <c r="T1258" i="5"/>
  <c r="U1258" i="5"/>
  <c r="X1258" i="5"/>
  <c r="Y1258" i="5"/>
  <c r="AF1258" i="5"/>
  <c r="AG1258" i="5"/>
  <c r="AJ1258" i="5"/>
  <c r="AK1258" i="5"/>
  <c r="H1259" i="5"/>
  <c r="I1259" i="5"/>
  <c r="P1259" i="5"/>
  <c r="Q1259" i="5"/>
  <c r="T1259" i="5"/>
  <c r="U1259" i="5"/>
  <c r="X1259" i="5"/>
  <c r="Y1259" i="5"/>
  <c r="AF1259" i="5"/>
  <c r="AG1259" i="5"/>
  <c r="AJ1259" i="5"/>
  <c r="AK1259" i="5"/>
  <c r="H1260" i="5"/>
  <c r="I1260" i="5"/>
  <c r="P1260" i="5"/>
  <c r="Q1260" i="5"/>
  <c r="T1260" i="5"/>
  <c r="U1260" i="5"/>
  <c r="X1260" i="5"/>
  <c r="Y1260" i="5"/>
  <c r="AF1260" i="5"/>
  <c r="AG1260" i="5"/>
  <c r="AJ1260" i="5"/>
  <c r="AK1260" i="5"/>
  <c r="H1261" i="5"/>
  <c r="I1261" i="5"/>
  <c r="P1261" i="5"/>
  <c r="Q1261" i="5"/>
  <c r="T1261" i="5"/>
  <c r="U1261" i="5"/>
  <c r="X1261" i="5"/>
  <c r="Y1261" i="5"/>
  <c r="AF1261" i="5"/>
  <c r="AG1261" i="5"/>
  <c r="AJ1261" i="5"/>
  <c r="AK1261" i="5"/>
  <c r="H1262" i="5"/>
  <c r="I1262" i="5"/>
  <c r="P1262" i="5"/>
  <c r="Q1262" i="5"/>
  <c r="T1262" i="5"/>
  <c r="U1262" i="5"/>
  <c r="X1262" i="5"/>
  <c r="Y1262" i="5"/>
  <c r="AF1262" i="5"/>
  <c r="AG1262" i="5"/>
  <c r="AJ1262" i="5"/>
  <c r="AK1262" i="5"/>
  <c r="H1263" i="5"/>
  <c r="I1263" i="5"/>
  <c r="P1263" i="5"/>
  <c r="Q1263" i="5"/>
  <c r="T1263" i="5"/>
  <c r="U1263" i="5"/>
  <c r="X1263" i="5"/>
  <c r="Y1263" i="5"/>
  <c r="AF1263" i="5"/>
  <c r="AG1263" i="5"/>
  <c r="AJ1263" i="5"/>
  <c r="AK1263" i="5"/>
  <c r="H1264" i="5"/>
  <c r="I1264" i="5"/>
  <c r="P1264" i="5"/>
  <c r="Q1264" i="5"/>
  <c r="T1264" i="5"/>
  <c r="U1264" i="5"/>
  <c r="X1264" i="5"/>
  <c r="Y1264" i="5"/>
  <c r="AF1264" i="5"/>
  <c r="AG1264" i="5"/>
  <c r="AJ1264" i="5"/>
  <c r="AK1264" i="5"/>
  <c r="H1265" i="5"/>
  <c r="I1265" i="5"/>
  <c r="P1265" i="5"/>
  <c r="Q1265" i="5"/>
  <c r="T1265" i="5"/>
  <c r="U1265" i="5"/>
  <c r="X1265" i="5"/>
  <c r="Y1265" i="5"/>
  <c r="AF1265" i="5"/>
  <c r="AG1265" i="5"/>
  <c r="AJ1265" i="5"/>
  <c r="AK1265" i="5"/>
  <c r="H1266" i="5"/>
  <c r="I1266" i="5"/>
  <c r="P1266" i="5"/>
  <c r="Q1266" i="5"/>
  <c r="T1266" i="5"/>
  <c r="U1266" i="5"/>
  <c r="X1266" i="5"/>
  <c r="Y1266" i="5"/>
  <c r="AF1266" i="5"/>
  <c r="AG1266" i="5"/>
  <c r="AJ1266" i="5"/>
  <c r="AK1266" i="5"/>
  <c r="H1267" i="5"/>
  <c r="I1267" i="5"/>
  <c r="P1267" i="5"/>
  <c r="Q1267" i="5"/>
  <c r="T1267" i="5"/>
  <c r="U1267" i="5"/>
  <c r="X1267" i="5"/>
  <c r="Y1267" i="5"/>
  <c r="AF1267" i="5"/>
  <c r="AG1267" i="5"/>
  <c r="AJ1267" i="5"/>
  <c r="AK1267" i="5"/>
  <c r="H1268" i="5"/>
  <c r="I1268" i="5"/>
  <c r="P1268" i="5"/>
  <c r="Q1268" i="5"/>
  <c r="T1268" i="5"/>
  <c r="U1268" i="5"/>
  <c r="X1268" i="5"/>
  <c r="Y1268" i="5"/>
  <c r="AF1268" i="5"/>
  <c r="AG1268" i="5"/>
  <c r="AJ1268" i="5"/>
  <c r="AK1268" i="5"/>
  <c r="H1269" i="5"/>
  <c r="I1269" i="5"/>
  <c r="P1269" i="5"/>
  <c r="Q1269" i="5"/>
  <c r="T1269" i="5"/>
  <c r="U1269" i="5"/>
  <c r="X1269" i="5"/>
  <c r="Y1269" i="5"/>
  <c r="AF1269" i="5"/>
  <c r="AG1269" i="5"/>
  <c r="AJ1269" i="5"/>
  <c r="AK1269" i="5"/>
  <c r="H1270" i="5"/>
  <c r="I1270" i="5"/>
  <c r="P1270" i="5"/>
  <c r="Q1270" i="5"/>
  <c r="T1270" i="5"/>
  <c r="U1270" i="5"/>
  <c r="X1270" i="5"/>
  <c r="Y1270" i="5"/>
  <c r="AF1270" i="5"/>
  <c r="AG1270" i="5"/>
  <c r="AJ1270" i="5"/>
  <c r="AK1270" i="5"/>
  <c r="H1271" i="5"/>
  <c r="I1271" i="5"/>
  <c r="P1271" i="5"/>
  <c r="Q1271" i="5"/>
  <c r="T1271" i="5"/>
  <c r="U1271" i="5"/>
  <c r="X1271" i="5"/>
  <c r="Y1271" i="5"/>
  <c r="AF1271" i="5"/>
  <c r="AG1271" i="5"/>
  <c r="AJ1271" i="5"/>
  <c r="AK1271" i="5"/>
  <c r="H1272" i="5"/>
  <c r="I1272" i="5"/>
  <c r="P1272" i="5"/>
  <c r="Q1272" i="5"/>
  <c r="T1272" i="5"/>
  <c r="U1272" i="5"/>
  <c r="X1272" i="5"/>
  <c r="Y1272" i="5"/>
  <c r="AF1272" i="5"/>
  <c r="AG1272" i="5"/>
  <c r="AJ1272" i="5"/>
  <c r="AK1272" i="5"/>
  <c r="H1273" i="5"/>
  <c r="I1273" i="5"/>
  <c r="P1273" i="5"/>
  <c r="Q1273" i="5"/>
  <c r="T1273" i="5"/>
  <c r="U1273" i="5"/>
  <c r="X1273" i="5"/>
  <c r="Y1273" i="5"/>
  <c r="AF1273" i="5"/>
  <c r="AG1273" i="5"/>
  <c r="AJ1273" i="5"/>
  <c r="AK1273" i="5"/>
  <c r="H1274" i="5"/>
  <c r="I1274" i="5"/>
  <c r="P1274" i="5"/>
  <c r="Q1274" i="5"/>
  <c r="T1274" i="5"/>
  <c r="U1274" i="5"/>
  <c r="X1274" i="5"/>
  <c r="Y1274" i="5"/>
  <c r="AF1274" i="5"/>
  <c r="AG1274" i="5"/>
  <c r="AJ1274" i="5"/>
  <c r="AK1274" i="5"/>
  <c r="H1275" i="5"/>
  <c r="I1275" i="5"/>
  <c r="P1275" i="5"/>
  <c r="Q1275" i="5"/>
  <c r="T1275" i="5"/>
  <c r="U1275" i="5"/>
  <c r="X1275" i="5"/>
  <c r="Y1275" i="5"/>
  <c r="AF1275" i="5"/>
  <c r="AG1275" i="5"/>
  <c r="AJ1275" i="5"/>
  <c r="AK1275" i="5"/>
  <c r="H1276" i="5"/>
  <c r="I1276" i="5"/>
  <c r="P1276" i="5"/>
  <c r="Q1276" i="5"/>
  <c r="T1276" i="5"/>
  <c r="U1276" i="5"/>
  <c r="X1276" i="5"/>
  <c r="Y1276" i="5"/>
  <c r="AF1276" i="5"/>
  <c r="AG1276" i="5"/>
  <c r="AJ1276" i="5"/>
  <c r="AK1276" i="5"/>
  <c r="H1277" i="5"/>
  <c r="I1277" i="5"/>
  <c r="P1277" i="5"/>
  <c r="Q1277" i="5"/>
  <c r="T1277" i="5"/>
  <c r="U1277" i="5"/>
  <c r="X1277" i="5"/>
  <c r="Y1277" i="5"/>
  <c r="AF1277" i="5"/>
  <c r="AG1277" i="5"/>
  <c r="AJ1277" i="5"/>
  <c r="AK1277" i="5"/>
  <c r="H1278" i="5"/>
  <c r="I1278" i="5"/>
  <c r="P1278" i="5"/>
  <c r="Q1278" i="5"/>
  <c r="T1278" i="5"/>
  <c r="U1278" i="5"/>
  <c r="X1278" i="5"/>
  <c r="Y1278" i="5"/>
  <c r="AF1278" i="5"/>
  <c r="AG1278" i="5"/>
  <c r="AJ1278" i="5"/>
  <c r="AK1278" i="5"/>
  <c r="H1279" i="5"/>
  <c r="I1279" i="5"/>
  <c r="P1279" i="5"/>
  <c r="Q1279" i="5"/>
  <c r="T1279" i="5"/>
  <c r="U1279" i="5"/>
  <c r="X1279" i="5"/>
  <c r="Y1279" i="5"/>
  <c r="AF1279" i="5"/>
  <c r="AG1279" i="5"/>
  <c r="AJ1279" i="5"/>
  <c r="AK1279" i="5"/>
  <c r="H1280" i="5"/>
  <c r="I1280" i="5"/>
  <c r="P1280" i="5"/>
  <c r="Q1280" i="5"/>
  <c r="T1280" i="5"/>
  <c r="U1280" i="5"/>
  <c r="X1280" i="5"/>
  <c r="Y1280" i="5"/>
  <c r="AF1280" i="5"/>
  <c r="AG1280" i="5"/>
  <c r="AJ1280" i="5"/>
  <c r="AK1280" i="5"/>
  <c r="H1281" i="5"/>
  <c r="I1281" i="5"/>
  <c r="P1281" i="5"/>
  <c r="Q1281" i="5"/>
  <c r="T1281" i="5"/>
  <c r="U1281" i="5"/>
  <c r="X1281" i="5"/>
  <c r="Y1281" i="5"/>
  <c r="AF1281" i="5"/>
  <c r="AG1281" i="5"/>
  <c r="AJ1281" i="5"/>
  <c r="AK1281" i="5"/>
  <c r="H1282" i="5"/>
  <c r="I1282" i="5"/>
  <c r="P1282" i="5"/>
  <c r="Q1282" i="5"/>
  <c r="T1282" i="5"/>
  <c r="U1282" i="5"/>
  <c r="X1282" i="5"/>
  <c r="Y1282" i="5"/>
  <c r="AF1282" i="5"/>
  <c r="AG1282" i="5"/>
  <c r="AJ1282" i="5"/>
  <c r="AK1282" i="5"/>
  <c r="H1283" i="5"/>
  <c r="I1283" i="5"/>
  <c r="P1283" i="5"/>
  <c r="Q1283" i="5"/>
  <c r="T1283" i="5"/>
  <c r="U1283" i="5"/>
  <c r="X1283" i="5"/>
  <c r="Y1283" i="5"/>
  <c r="AF1283" i="5"/>
  <c r="AG1283" i="5"/>
  <c r="AJ1283" i="5"/>
  <c r="AK1283" i="5"/>
  <c r="H1284" i="5"/>
  <c r="I1284" i="5"/>
  <c r="P1284" i="5"/>
  <c r="Q1284" i="5"/>
  <c r="T1284" i="5"/>
  <c r="U1284" i="5"/>
  <c r="X1284" i="5"/>
  <c r="Y1284" i="5"/>
  <c r="AF1284" i="5"/>
  <c r="AG1284" i="5"/>
  <c r="AJ1284" i="5"/>
  <c r="AK1284" i="5"/>
  <c r="H1285" i="5"/>
  <c r="I1285" i="5"/>
  <c r="P1285" i="5"/>
  <c r="Q1285" i="5"/>
  <c r="T1285" i="5"/>
  <c r="U1285" i="5"/>
  <c r="X1285" i="5"/>
  <c r="Y1285" i="5"/>
  <c r="AF1285" i="5"/>
  <c r="AG1285" i="5"/>
  <c r="AJ1285" i="5"/>
  <c r="AK1285" i="5"/>
  <c r="H1286" i="5"/>
  <c r="I1286" i="5"/>
  <c r="P1286" i="5"/>
  <c r="Q1286" i="5"/>
  <c r="T1286" i="5"/>
  <c r="U1286" i="5"/>
  <c r="X1286" i="5"/>
  <c r="Y1286" i="5"/>
  <c r="AF1286" i="5"/>
  <c r="AG1286" i="5"/>
  <c r="AJ1286" i="5"/>
  <c r="AK1286" i="5"/>
  <c r="H1287" i="5"/>
  <c r="I1287" i="5"/>
  <c r="P1287" i="5"/>
  <c r="Q1287" i="5"/>
  <c r="T1287" i="5"/>
  <c r="U1287" i="5"/>
  <c r="X1287" i="5"/>
  <c r="Y1287" i="5"/>
  <c r="AF1287" i="5"/>
  <c r="AG1287" i="5"/>
  <c r="AJ1287" i="5"/>
  <c r="AK1287" i="5"/>
  <c r="H1288" i="5"/>
  <c r="I1288" i="5"/>
  <c r="P1288" i="5"/>
  <c r="Q1288" i="5"/>
  <c r="T1288" i="5"/>
  <c r="U1288" i="5"/>
  <c r="X1288" i="5"/>
  <c r="Y1288" i="5"/>
  <c r="AF1288" i="5"/>
  <c r="AG1288" i="5"/>
  <c r="AJ1288" i="5"/>
  <c r="AK1288" i="5"/>
  <c r="H1289" i="5"/>
  <c r="I1289" i="5"/>
  <c r="P1289" i="5"/>
  <c r="Q1289" i="5"/>
  <c r="T1289" i="5"/>
  <c r="U1289" i="5"/>
  <c r="X1289" i="5"/>
  <c r="Y1289" i="5"/>
  <c r="AF1289" i="5"/>
  <c r="AG1289" i="5"/>
  <c r="AJ1289" i="5"/>
  <c r="AK1289" i="5"/>
  <c r="H1290" i="5"/>
  <c r="I1290" i="5"/>
  <c r="P1290" i="5"/>
  <c r="Q1290" i="5"/>
  <c r="T1290" i="5"/>
  <c r="U1290" i="5"/>
  <c r="X1290" i="5"/>
  <c r="Y1290" i="5"/>
  <c r="AF1290" i="5"/>
  <c r="AG1290" i="5"/>
  <c r="AJ1290" i="5"/>
  <c r="AK1290" i="5"/>
  <c r="H1291" i="5"/>
  <c r="I1291" i="5"/>
  <c r="P1291" i="5"/>
  <c r="Q1291" i="5"/>
  <c r="T1291" i="5"/>
  <c r="U1291" i="5"/>
  <c r="X1291" i="5"/>
  <c r="Y1291" i="5"/>
  <c r="AF1291" i="5"/>
  <c r="AG1291" i="5"/>
  <c r="AJ1291" i="5"/>
  <c r="AK1291" i="5"/>
  <c r="H1292" i="5"/>
  <c r="I1292" i="5"/>
  <c r="P1292" i="5"/>
  <c r="Q1292" i="5"/>
  <c r="T1292" i="5"/>
  <c r="U1292" i="5"/>
  <c r="X1292" i="5"/>
  <c r="Y1292" i="5"/>
  <c r="AF1292" i="5"/>
  <c r="AG1292" i="5"/>
  <c r="AJ1292" i="5"/>
  <c r="AK1292" i="5"/>
  <c r="H1293" i="5"/>
  <c r="I1293" i="5"/>
  <c r="P1293" i="5"/>
  <c r="Q1293" i="5"/>
  <c r="T1293" i="5"/>
  <c r="U1293" i="5"/>
  <c r="X1293" i="5"/>
  <c r="Y1293" i="5"/>
  <c r="AF1293" i="5"/>
  <c r="AG1293" i="5"/>
  <c r="AJ1293" i="5"/>
  <c r="AK1293" i="5"/>
  <c r="H1294" i="5"/>
  <c r="I1294" i="5"/>
  <c r="P1294" i="5"/>
  <c r="Q1294" i="5"/>
  <c r="T1294" i="5"/>
  <c r="U1294" i="5"/>
  <c r="X1294" i="5"/>
  <c r="Y1294" i="5"/>
  <c r="AF1294" i="5"/>
  <c r="AG1294" i="5"/>
  <c r="AJ1294" i="5"/>
  <c r="AK1294" i="5"/>
  <c r="H1295" i="5"/>
  <c r="I1295" i="5"/>
  <c r="P1295" i="5"/>
  <c r="Q1295" i="5"/>
  <c r="T1295" i="5"/>
  <c r="U1295" i="5"/>
  <c r="X1295" i="5"/>
  <c r="Y1295" i="5"/>
  <c r="AF1295" i="5"/>
  <c r="AG1295" i="5"/>
  <c r="AJ1295" i="5"/>
  <c r="AK1295" i="5"/>
  <c r="H1296" i="5"/>
  <c r="I1296" i="5"/>
  <c r="P1296" i="5"/>
  <c r="Q1296" i="5"/>
  <c r="T1296" i="5"/>
  <c r="U1296" i="5"/>
  <c r="X1296" i="5"/>
  <c r="Y1296" i="5"/>
  <c r="AF1296" i="5"/>
  <c r="AG1296" i="5"/>
  <c r="AJ1296" i="5"/>
  <c r="AK1296" i="5"/>
  <c r="H1297" i="5"/>
  <c r="I1297" i="5"/>
  <c r="P1297" i="5"/>
  <c r="Q1297" i="5"/>
  <c r="T1297" i="5"/>
  <c r="U1297" i="5"/>
  <c r="X1297" i="5"/>
  <c r="Y1297" i="5"/>
  <c r="AF1297" i="5"/>
  <c r="AG1297" i="5"/>
  <c r="AJ1297" i="5"/>
  <c r="AK1297" i="5"/>
  <c r="H1298" i="5"/>
  <c r="I1298" i="5"/>
  <c r="P1298" i="5"/>
  <c r="Q1298" i="5"/>
  <c r="T1298" i="5"/>
  <c r="U1298" i="5"/>
  <c r="X1298" i="5"/>
  <c r="Y1298" i="5"/>
  <c r="AF1298" i="5"/>
  <c r="AG1298" i="5"/>
  <c r="AJ1298" i="5"/>
  <c r="AK1298" i="5"/>
  <c r="H1299" i="5"/>
  <c r="I1299" i="5"/>
  <c r="P1299" i="5"/>
  <c r="Q1299" i="5"/>
  <c r="T1299" i="5"/>
  <c r="U1299" i="5"/>
  <c r="X1299" i="5"/>
  <c r="Y1299" i="5"/>
  <c r="AF1299" i="5"/>
  <c r="AG1299" i="5"/>
  <c r="AJ1299" i="5"/>
  <c r="AK1299" i="5"/>
  <c r="H1300" i="5"/>
  <c r="I1300" i="5"/>
  <c r="P1300" i="5"/>
  <c r="Q1300" i="5"/>
  <c r="T1300" i="5"/>
  <c r="U1300" i="5"/>
  <c r="X1300" i="5"/>
  <c r="Y1300" i="5"/>
  <c r="AF1300" i="5"/>
  <c r="AG1300" i="5"/>
  <c r="AJ1300" i="5"/>
  <c r="AK1300" i="5"/>
  <c r="H1301" i="5"/>
  <c r="I1301" i="5"/>
  <c r="P1301" i="5"/>
  <c r="Q1301" i="5"/>
  <c r="T1301" i="5"/>
  <c r="U1301" i="5"/>
  <c r="X1301" i="5"/>
  <c r="Y1301" i="5"/>
  <c r="AF1301" i="5"/>
  <c r="AG1301" i="5"/>
  <c r="AJ1301" i="5"/>
  <c r="AK1301" i="5"/>
  <c r="H1302" i="5"/>
  <c r="I1302" i="5"/>
  <c r="P1302" i="5"/>
  <c r="Q1302" i="5"/>
  <c r="T1302" i="5"/>
  <c r="U1302" i="5"/>
  <c r="X1302" i="5"/>
  <c r="Y1302" i="5"/>
  <c r="AF1302" i="5"/>
  <c r="AG1302" i="5"/>
  <c r="AJ1302" i="5"/>
  <c r="AK1302" i="5"/>
  <c r="H1303" i="5"/>
  <c r="I1303" i="5"/>
  <c r="P1303" i="5"/>
  <c r="Q1303" i="5"/>
  <c r="T1303" i="5"/>
  <c r="U1303" i="5"/>
  <c r="X1303" i="5"/>
  <c r="Y1303" i="5"/>
  <c r="AF1303" i="5"/>
  <c r="AG1303" i="5"/>
  <c r="AJ1303" i="5"/>
  <c r="AK1303" i="5"/>
  <c r="H1304" i="5"/>
  <c r="I1304" i="5"/>
  <c r="P1304" i="5"/>
  <c r="Q1304" i="5"/>
  <c r="T1304" i="5"/>
  <c r="U1304" i="5"/>
  <c r="X1304" i="5"/>
  <c r="Y1304" i="5"/>
  <c r="AF1304" i="5"/>
  <c r="AG1304" i="5"/>
  <c r="AJ1304" i="5"/>
  <c r="AK1304" i="5"/>
  <c r="H1305" i="5"/>
  <c r="I1305" i="5"/>
  <c r="P1305" i="5"/>
  <c r="Q1305" i="5"/>
  <c r="T1305" i="5"/>
  <c r="U1305" i="5"/>
  <c r="X1305" i="5"/>
  <c r="Y1305" i="5"/>
  <c r="AF1305" i="5"/>
  <c r="AG1305" i="5"/>
  <c r="AJ1305" i="5"/>
  <c r="AK1305" i="5"/>
  <c r="H1306" i="5"/>
  <c r="I1306" i="5"/>
  <c r="P1306" i="5"/>
  <c r="Q1306" i="5"/>
  <c r="T1306" i="5"/>
  <c r="U1306" i="5"/>
  <c r="X1306" i="5"/>
  <c r="Y1306" i="5"/>
  <c r="AF1306" i="5"/>
  <c r="AG1306" i="5"/>
  <c r="AJ1306" i="5"/>
  <c r="AK1306" i="5"/>
  <c r="H1307" i="5"/>
  <c r="I1307" i="5"/>
  <c r="P1307" i="5"/>
  <c r="Q1307" i="5"/>
  <c r="T1307" i="5"/>
  <c r="U1307" i="5"/>
  <c r="X1307" i="5"/>
  <c r="Y1307" i="5"/>
  <c r="AF1307" i="5"/>
  <c r="AG1307" i="5"/>
  <c r="AJ1307" i="5"/>
  <c r="AK1307" i="5"/>
  <c r="H1308" i="5"/>
  <c r="I1308" i="5"/>
  <c r="P1308" i="5"/>
  <c r="Q1308" i="5"/>
  <c r="T1308" i="5"/>
  <c r="U1308" i="5"/>
  <c r="X1308" i="5"/>
  <c r="Y1308" i="5"/>
  <c r="AF1308" i="5"/>
  <c r="AG1308" i="5"/>
  <c r="AJ1308" i="5"/>
  <c r="AK1308" i="5"/>
  <c r="H1309" i="5"/>
  <c r="I1309" i="5"/>
  <c r="P1309" i="5"/>
  <c r="Q1309" i="5"/>
  <c r="T1309" i="5"/>
  <c r="U1309" i="5"/>
  <c r="X1309" i="5"/>
  <c r="Y1309" i="5"/>
  <c r="AF1309" i="5"/>
  <c r="AG1309" i="5"/>
  <c r="AJ1309" i="5"/>
  <c r="AK1309" i="5"/>
  <c r="H1310" i="5"/>
  <c r="I1310" i="5"/>
  <c r="P1310" i="5"/>
  <c r="Q1310" i="5"/>
  <c r="T1310" i="5"/>
  <c r="U1310" i="5"/>
  <c r="X1310" i="5"/>
  <c r="Y1310" i="5"/>
  <c r="AF1310" i="5"/>
  <c r="AG1310" i="5"/>
  <c r="AJ1310" i="5"/>
  <c r="AK1310" i="5"/>
  <c r="H1311" i="5"/>
  <c r="I1311" i="5"/>
  <c r="P1311" i="5"/>
  <c r="Q1311" i="5"/>
  <c r="T1311" i="5"/>
  <c r="U1311" i="5"/>
  <c r="X1311" i="5"/>
  <c r="Y1311" i="5"/>
  <c r="AF1311" i="5"/>
  <c r="AG1311" i="5"/>
  <c r="AJ1311" i="5"/>
  <c r="AK1311" i="5"/>
  <c r="H1312" i="5"/>
  <c r="I1312" i="5"/>
  <c r="P1312" i="5"/>
  <c r="Q1312" i="5"/>
  <c r="T1312" i="5"/>
  <c r="U1312" i="5"/>
  <c r="X1312" i="5"/>
  <c r="Y1312" i="5"/>
  <c r="AF1312" i="5"/>
  <c r="AG1312" i="5"/>
  <c r="AJ1312" i="5"/>
  <c r="AK1312" i="5"/>
  <c r="H1313" i="5"/>
  <c r="I1313" i="5"/>
  <c r="P1313" i="5"/>
  <c r="Q1313" i="5"/>
  <c r="T1313" i="5"/>
  <c r="U1313" i="5"/>
  <c r="X1313" i="5"/>
  <c r="Y1313" i="5"/>
  <c r="AF1313" i="5"/>
  <c r="AG1313" i="5"/>
  <c r="AJ1313" i="5"/>
  <c r="AK1313" i="5"/>
  <c r="H1314" i="5"/>
  <c r="I1314" i="5"/>
  <c r="P1314" i="5"/>
  <c r="Q1314" i="5"/>
  <c r="T1314" i="5"/>
  <c r="U1314" i="5"/>
  <c r="X1314" i="5"/>
  <c r="Y1314" i="5"/>
  <c r="AF1314" i="5"/>
  <c r="AG1314" i="5"/>
  <c r="AJ1314" i="5"/>
  <c r="AK1314" i="5"/>
  <c r="H1315" i="5"/>
  <c r="I1315" i="5"/>
  <c r="P1315" i="5"/>
  <c r="Q1315" i="5"/>
  <c r="T1315" i="5"/>
  <c r="U1315" i="5"/>
  <c r="X1315" i="5"/>
  <c r="Y1315" i="5"/>
  <c r="AF1315" i="5"/>
  <c r="AG1315" i="5"/>
  <c r="AJ1315" i="5"/>
  <c r="AK1315" i="5"/>
  <c r="H1316" i="5"/>
  <c r="I1316" i="5"/>
  <c r="P1316" i="5"/>
  <c r="Q1316" i="5"/>
  <c r="T1316" i="5"/>
  <c r="U1316" i="5"/>
  <c r="X1316" i="5"/>
  <c r="Y1316" i="5"/>
  <c r="AF1316" i="5"/>
  <c r="AG1316" i="5"/>
  <c r="AJ1316" i="5"/>
  <c r="AK1316" i="5"/>
  <c r="H1317" i="5"/>
  <c r="I1317" i="5"/>
  <c r="P1317" i="5"/>
  <c r="Q1317" i="5"/>
  <c r="T1317" i="5"/>
  <c r="U1317" i="5"/>
  <c r="X1317" i="5"/>
  <c r="Y1317" i="5"/>
  <c r="AF1317" i="5"/>
  <c r="AG1317" i="5"/>
  <c r="AJ1317" i="5"/>
  <c r="AK1317" i="5"/>
  <c r="H1318" i="5"/>
  <c r="I1318" i="5"/>
  <c r="P1318" i="5"/>
  <c r="Q1318" i="5"/>
  <c r="T1318" i="5"/>
  <c r="U1318" i="5"/>
  <c r="X1318" i="5"/>
  <c r="Y1318" i="5"/>
  <c r="AF1318" i="5"/>
  <c r="AG1318" i="5"/>
  <c r="AJ1318" i="5"/>
  <c r="AK1318" i="5"/>
  <c r="H1319" i="5"/>
  <c r="I1319" i="5"/>
  <c r="P1319" i="5"/>
  <c r="Q1319" i="5"/>
  <c r="T1319" i="5"/>
  <c r="U1319" i="5"/>
  <c r="X1319" i="5"/>
  <c r="Y1319" i="5"/>
  <c r="AF1319" i="5"/>
  <c r="AG1319" i="5"/>
  <c r="AJ1319" i="5"/>
  <c r="AK1319" i="5"/>
  <c r="H1320" i="5"/>
  <c r="I1320" i="5"/>
  <c r="P1320" i="5"/>
  <c r="Q1320" i="5"/>
  <c r="T1320" i="5"/>
  <c r="U1320" i="5"/>
  <c r="X1320" i="5"/>
  <c r="Y1320" i="5"/>
  <c r="AF1320" i="5"/>
  <c r="AG1320" i="5"/>
  <c r="AJ1320" i="5"/>
  <c r="AK1320" i="5"/>
  <c r="H1321" i="5"/>
  <c r="I1321" i="5"/>
  <c r="P1321" i="5"/>
  <c r="Q1321" i="5"/>
  <c r="T1321" i="5"/>
  <c r="U1321" i="5"/>
  <c r="X1321" i="5"/>
  <c r="Y1321" i="5"/>
  <c r="AF1321" i="5"/>
  <c r="AG1321" i="5"/>
  <c r="AJ1321" i="5"/>
  <c r="AK1321" i="5"/>
  <c r="H1322" i="5"/>
  <c r="I1322" i="5"/>
  <c r="P1322" i="5"/>
  <c r="Q1322" i="5"/>
  <c r="T1322" i="5"/>
  <c r="U1322" i="5"/>
  <c r="X1322" i="5"/>
  <c r="Y1322" i="5"/>
  <c r="AF1322" i="5"/>
  <c r="AG1322" i="5"/>
  <c r="AJ1322" i="5"/>
  <c r="AK1322" i="5"/>
  <c r="H1323" i="5"/>
  <c r="I1323" i="5"/>
  <c r="P1323" i="5"/>
  <c r="Q1323" i="5"/>
  <c r="T1323" i="5"/>
  <c r="U1323" i="5"/>
  <c r="X1323" i="5"/>
  <c r="Y1323" i="5"/>
  <c r="AF1323" i="5"/>
  <c r="AG1323" i="5"/>
  <c r="AJ1323" i="5"/>
  <c r="AK1323" i="5"/>
  <c r="H632" i="5"/>
  <c r="I632" i="5"/>
  <c r="P632" i="5"/>
  <c r="Q632" i="5"/>
  <c r="T632" i="5"/>
  <c r="U632" i="5"/>
  <c r="X632" i="5"/>
  <c r="Y632" i="5"/>
  <c r="AF632" i="5"/>
  <c r="AG632" i="5"/>
  <c r="AJ632" i="5"/>
  <c r="AK632" i="5"/>
  <c r="H633" i="5"/>
  <c r="I633" i="5"/>
  <c r="P633" i="5"/>
  <c r="Q633" i="5"/>
  <c r="T633" i="5"/>
  <c r="U633" i="5"/>
  <c r="X633" i="5"/>
  <c r="Y633" i="5"/>
  <c r="AF633" i="5"/>
  <c r="AG633" i="5"/>
  <c r="AJ633" i="5"/>
  <c r="AK633" i="5"/>
  <c r="H634" i="5"/>
  <c r="I634" i="5"/>
  <c r="P634" i="5"/>
  <c r="Q634" i="5"/>
  <c r="T634" i="5"/>
  <c r="U634" i="5"/>
  <c r="X634" i="5"/>
  <c r="Y634" i="5"/>
  <c r="AF634" i="5"/>
  <c r="AG634" i="5"/>
  <c r="AJ634" i="5"/>
  <c r="AK634" i="5"/>
  <c r="H635" i="5"/>
  <c r="I635" i="5"/>
  <c r="P635" i="5"/>
  <c r="Q635" i="5"/>
  <c r="T635" i="5"/>
  <c r="U635" i="5"/>
  <c r="X635" i="5"/>
  <c r="Y635" i="5"/>
  <c r="AF635" i="5"/>
  <c r="AG635" i="5"/>
  <c r="AJ635" i="5"/>
  <c r="AK635" i="5"/>
  <c r="H636" i="5"/>
  <c r="I636" i="5"/>
  <c r="P636" i="5"/>
  <c r="Q636" i="5"/>
  <c r="T636" i="5"/>
  <c r="U636" i="5"/>
  <c r="X636" i="5"/>
  <c r="Y636" i="5"/>
  <c r="AF636" i="5"/>
  <c r="AG636" i="5"/>
  <c r="AJ636" i="5"/>
  <c r="AK636" i="5"/>
  <c r="H637" i="5"/>
  <c r="I637" i="5"/>
  <c r="P637" i="5"/>
  <c r="Q637" i="5"/>
  <c r="T637" i="5"/>
  <c r="U637" i="5"/>
  <c r="X637" i="5"/>
  <c r="Y637" i="5"/>
  <c r="AF637" i="5"/>
  <c r="AG637" i="5"/>
  <c r="AJ637" i="5"/>
  <c r="AK637" i="5"/>
  <c r="H638" i="5"/>
  <c r="I638" i="5"/>
  <c r="P638" i="5"/>
  <c r="Q638" i="5"/>
  <c r="T638" i="5"/>
  <c r="U638" i="5"/>
  <c r="X638" i="5"/>
  <c r="Y638" i="5"/>
  <c r="AF638" i="5"/>
  <c r="AG638" i="5"/>
  <c r="AJ638" i="5"/>
  <c r="AK638" i="5"/>
  <c r="H639" i="5"/>
  <c r="I639" i="5"/>
  <c r="P639" i="5"/>
  <c r="Q639" i="5"/>
  <c r="T639" i="5"/>
  <c r="U639" i="5"/>
  <c r="X639" i="5"/>
  <c r="Y639" i="5"/>
  <c r="AF639" i="5"/>
  <c r="AG639" i="5"/>
  <c r="AJ639" i="5"/>
  <c r="AK639" i="5"/>
  <c r="H640" i="5"/>
  <c r="I640" i="5"/>
  <c r="P640" i="5"/>
  <c r="Q640" i="5"/>
  <c r="T640" i="5"/>
  <c r="U640" i="5"/>
  <c r="X640" i="5"/>
  <c r="Y640" i="5"/>
  <c r="AF640" i="5"/>
  <c r="AG640" i="5"/>
  <c r="AJ640" i="5"/>
  <c r="AK640" i="5"/>
  <c r="H641" i="5"/>
  <c r="I641" i="5"/>
  <c r="P641" i="5"/>
  <c r="Q641" i="5"/>
  <c r="T641" i="5"/>
  <c r="U641" i="5"/>
  <c r="X641" i="5"/>
  <c r="Y641" i="5"/>
  <c r="AF641" i="5"/>
  <c r="AG641" i="5"/>
  <c r="AJ641" i="5"/>
  <c r="AK641" i="5"/>
  <c r="H642" i="5"/>
  <c r="I642" i="5"/>
  <c r="P642" i="5"/>
  <c r="Q642" i="5"/>
  <c r="T642" i="5"/>
  <c r="U642" i="5"/>
  <c r="X642" i="5"/>
  <c r="Y642" i="5"/>
  <c r="AF642" i="5"/>
  <c r="AG642" i="5"/>
  <c r="AJ642" i="5"/>
  <c r="AK642" i="5"/>
  <c r="H643" i="5"/>
  <c r="I643" i="5"/>
  <c r="P643" i="5"/>
  <c r="Q643" i="5"/>
  <c r="T643" i="5"/>
  <c r="U643" i="5"/>
  <c r="X643" i="5"/>
  <c r="Y643" i="5"/>
  <c r="AF643" i="5"/>
  <c r="AG643" i="5"/>
  <c r="AJ643" i="5"/>
  <c r="AK643" i="5"/>
  <c r="H644" i="5"/>
  <c r="I644" i="5"/>
  <c r="P644" i="5"/>
  <c r="Q644" i="5"/>
  <c r="T644" i="5"/>
  <c r="U644" i="5"/>
  <c r="X644" i="5"/>
  <c r="Y644" i="5"/>
  <c r="AF644" i="5"/>
  <c r="AG644" i="5"/>
  <c r="AJ644" i="5"/>
  <c r="AK644" i="5"/>
  <c r="H645" i="5"/>
  <c r="I645" i="5"/>
  <c r="P645" i="5"/>
  <c r="Q645" i="5"/>
  <c r="T645" i="5"/>
  <c r="U645" i="5"/>
  <c r="X645" i="5"/>
  <c r="Y645" i="5"/>
  <c r="AF645" i="5"/>
  <c r="AG645" i="5"/>
  <c r="AJ645" i="5"/>
  <c r="AK645" i="5"/>
  <c r="H646" i="5"/>
  <c r="I646" i="5"/>
  <c r="P646" i="5"/>
  <c r="Q646" i="5"/>
  <c r="T646" i="5"/>
  <c r="U646" i="5"/>
  <c r="X646" i="5"/>
  <c r="Y646" i="5"/>
  <c r="AF646" i="5"/>
  <c r="AG646" i="5"/>
  <c r="AJ646" i="5"/>
  <c r="AK646" i="5"/>
  <c r="H647" i="5"/>
  <c r="I647" i="5"/>
  <c r="P647" i="5"/>
  <c r="Q647" i="5"/>
  <c r="T647" i="5"/>
  <c r="U647" i="5"/>
  <c r="X647" i="5"/>
  <c r="Y647" i="5"/>
  <c r="AF647" i="5"/>
  <c r="AG647" i="5"/>
  <c r="AJ647" i="5"/>
  <c r="AK647" i="5"/>
  <c r="H648" i="5"/>
  <c r="I648" i="5"/>
  <c r="P648" i="5"/>
  <c r="Q648" i="5"/>
  <c r="T648" i="5"/>
  <c r="U648" i="5"/>
  <c r="X648" i="5"/>
  <c r="Y648" i="5"/>
  <c r="AF648" i="5"/>
  <c r="AG648" i="5"/>
  <c r="AJ648" i="5"/>
  <c r="AK648" i="5"/>
  <c r="H649" i="5"/>
  <c r="I649" i="5"/>
  <c r="P649" i="5"/>
  <c r="Q649" i="5"/>
  <c r="T649" i="5"/>
  <c r="U649" i="5"/>
  <c r="X649" i="5"/>
  <c r="Y649" i="5"/>
  <c r="AF649" i="5"/>
  <c r="AG649" i="5"/>
  <c r="AJ649" i="5"/>
  <c r="AK649" i="5"/>
  <c r="H650" i="5"/>
  <c r="I650" i="5"/>
  <c r="P650" i="5"/>
  <c r="Q650" i="5"/>
  <c r="T650" i="5"/>
  <c r="U650" i="5"/>
  <c r="X650" i="5"/>
  <c r="Y650" i="5"/>
  <c r="AF650" i="5"/>
  <c r="AG650" i="5"/>
  <c r="AJ650" i="5"/>
  <c r="AK650" i="5"/>
  <c r="H651" i="5"/>
  <c r="I651" i="5"/>
  <c r="P651" i="5"/>
  <c r="Q651" i="5"/>
  <c r="T651" i="5"/>
  <c r="U651" i="5"/>
  <c r="X651" i="5"/>
  <c r="Y651" i="5"/>
  <c r="AF651" i="5"/>
  <c r="AG651" i="5"/>
  <c r="AJ651" i="5"/>
  <c r="AK651" i="5"/>
  <c r="H652" i="5"/>
  <c r="I652" i="5"/>
  <c r="P652" i="5"/>
  <c r="Q652" i="5"/>
  <c r="T652" i="5"/>
  <c r="U652" i="5"/>
  <c r="X652" i="5"/>
  <c r="Y652" i="5"/>
  <c r="AF652" i="5"/>
  <c r="AG652" i="5"/>
  <c r="AJ652" i="5"/>
  <c r="AK652" i="5"/>
  <c r="H653" i="5"/>
  <c r="I653" i="5"/>
  <c r="P653" i="5"/>
  <c r="Q653" i="5"/>
  <c r="T653" i="5"/>
  <c r="U653" i="5"/>
  <c r="X653" i="5"/>
  <c r="Y653" i="5"/>
  <c r="AF653" i="5"/>
  <c r="AG653" i="5"/>
  <c r="AJ653" i="5"/>
  <c r="AK653" i="5"/>
  <c r="H654" i="5"/>
  <c r="I654" i="5"/>
  <c r="P654" i="5"/>
  <c r="Q654" i="5"/>
  <c r="T654" i="5"/>
  <c r="U654" i="5"/>
  <c r="X654" i="5"/>
  <c r="Y654" i="5"/>
  <c r="AF654" i="5"/>
  <c r="AG654" i="5"/>
  <c r="AJ654" i="5"/>
  <c r="AK654" i="5"/>
  <c r="H655" i="5"/>
  <c r="I655" i="5"/>
  <c r="P655" i="5"/>
  <c r="Q655" i="5"/>
  <c r="T655" i="5"/>
  <c r="U655" i="5"/>
  <c r="X655" i="5"/>
  <c r="Y655" i="5"/>
  <c r="AF655" i="5"/>
  <c r="AG655" i="5"/>
  <c r="AJ655" i="5"/>
  <c r="AK655" i="5"/>
  <c r="H656" i="5"/>
  <c r="I656" i="5"/>
  <c r="P656" i="5"/>
  <c r="Q656" i="5"/>
  <c r="T656" i="5"/>
  <c r="U656" i="5"/>
  <c r="X656" i="5"/>
  <c r="Y656" i="5"/>
  <c r="AF656" i="5"/>
  <c r="AG656" i="5"/>
  <c r="AJ656" i="5"/>
  <c r="AK656" i="5"/>
  <c r="H657" i="5"/>
  <c r="I657" i="5"/>
  <c r="P657" i="5"/>
  <c r="Q657" i="5"/>
  <c r="T657" i="5"/>
  <c r="U657" i="5"/>
  <c r="X657" i="5"/>
  <c r="Y657" i="5"/>
  <c r="AF657" i="5"/>
  <c r="AG657" i="5"/>
  <c r="AJ657" i="5"/>
  <c r="AK657" i="5"/>
  <c r="H658" i="5"/>
  <c r="I658" i="5"/>
  <c r="P658" i="5"/>
  <c r="Q658" i="5"/>
  <c r="T658" i="5"/>
  <c r="U658" i="5"/>
  <c r="X658" i="5"/>
  <c r="Y658" i="5"/>
  <c r="AF658" i="5"/>
  <c r="AG658" i="5"/>
  <c r="AJ658" i="5"/>
  <c r="AK658" i="5"/>
  <c r="H659" i="5"/>
  <c r="I659" i="5"/>
  <c r="P659" i="5"/>
  <c r="Q659" i="5"/>
  <c r="T659" i="5"/>
  <c r="U659" i="5"/>
  <c r="X659" i="5"/>
  <c r="Y659" i="5"/>
  <c r="AF659" i="5"/>
  <c r="AG659" i="5"/>
  <c r="AJ659" i="5"/>
  <c r="AK659" i="5"/>
  <c r="H660" i="5"/>
  <c r="I660" i="5"/>
  <c r="P660" i="5"/>
  <c r="Q660" i="5"/>
  <c r="T660" i="5"/>
  <c r="U660" i="5"/>
  <c r="X660" i="5"/>
  <c r="Y660" i="5"/>
  <c r="AF660" i="5"/>
  <c r="AG660" i="5"/>
  <c r="AJ660" i="5"/>
  <c r="AK660" i="5"/>
  <c r="H661" i="5"/>
  <c r="I661" i="5"/>
  <c r="P661" i="5"/>
  <c r="Q661" i="5"/>
  <c r="T661" i="5"/>
  <c r="U661" i="5"/>
  <c r="X661" i="5"/>
  <c r="Y661" i="5"/>
  <c r="AF661" i="5"/>
  <c r="AG661" i="5"/>
  <c r="AJ661" i="5"/>
  <c r="AK661" i="5"/>
  <c r="H662" i="5"/>
  <c r="I662" i="5"/>
  <c r="P662" i="5"/>
  <c r="Q662" i="5"/>
  <c r="T662" i="5"/>
  <c r="U662" i="5"/>
  <c r="X662" i="5"/>
  <c r="Y662" i="5"/>
  <c r="AF662" i="5"/>
  <c r="AG662" i="5"/>
  <c r="AJ662" i="5"/>
  <c r="AK662" i="5"/>
  <c r="H663" i="5"/>
  <c r="I663" i="5"/>
  <c r="P663" i="5"/>
  <c r="Q663" i="5"/>
  <c r="T663" i="5"/>
  <c r="U663" i="5"/>
  <c r="X663" i="5"/>
  <c r="Y663" i="5"/>
  <c r="AF663" i="5"/>
  <c r="AG663" i="5"/>
  <c r="AJ663" i="5"/>
  <c r="AK663" i="5"/>
  <c r="H664" i="5"/>
  <c r="I664" i="5"/>
  <c r="P664" i="5"/>
  <c r="Q664" i="5"/>
  <c r="T664" i="5"/>
  <c r="U664" i="5"/>
  <c r="X664" i="5"/>
  <c r="Y664" i="5"/>
  <c r="AF664" i="5"/>
  <c r="AG664" i="5"/>
  <c r="AJ664" i="5"/>
  <c r="AK664" i="5"/>
  <c r="H665" i="5"/>
  <c r="I665" i="5"/>
  <c r="P665" i="5"/>
  <c r="Q665" i="5"/>
  <c r="T665" i="5"/>
  <c r="U665" i="5"/>
  <c r="X665" i="5"/>
  <c r="Y665" i="5"/>
  <c r="AF665" i="5"/>
  <c r="AG665" i="5"/>
  <c r="AJ665" i="5"/>
  <c r="AK665" i="5"/>
  <c r="H666" i="5"/>
  <c r="I666" i="5"/>
  <c r="P666" i="5"/>
  <c r="Q666" i="5"/>
  <c r="T666" i="5"/>
  <c r="U666" i="5"/>
  <c r="X666" i="5"/>
  <c r="Y666" i="5"/>
  <c r="AF666" i="5"/>
  <c r="AG666" i="5"/>
  <c r="AJ666" i="5"/>
  <c r="AK666" i="5"/>
  <c r="H667" i="5"/>
  <c r="I667" i="5"/>
  <c r="P667" i="5"/>
  <c r="Q667" i="5"/>
  <c r="T667" i="5"/>
  <c r="U667" i="5"/>
  <c r="X667" i="5"/>
  <c r="Y667" i="5"/>
  <c r="AF667" i="5"/>
  <c r="AG667" i="5"/>
  <c r="AJ667" i="5"/>
  <c r="AK667" i="5"/>
  <c r="H668" i="5"/>
  <c r="I668" i="5"/>
  <c r="J668" i="5" s="1"/>
  <c r="P668" i="5"/>
  <c r="Q668" i="5"/>
  <c r="T668" i="5"/>
  <c r="U668" i="5"/>
  <c r="X668" i="5"/>
  <c r="Y668" i="5"/>
  <c r="AF668" i="5"/>
  <c r="AG668" i="5"/>
  <c r="AJ668" i="5"/>
  <c r="AK668" i="5"/>
  <c r="H669" i="5"/>
  <c r="I669" i="5"/>
  <c r="P669" i="5"/>
  <c r="Q669" i="5"/>
  <c r="T669" i="5"/>
  <c r="U669" i="5"/>
  <c r="X669" i="5"/>
  <c r="Y669" i="5"/>
  <c r="AF669" i="5"/>
  <c r="AG669" i="5"/>
  <c r="AJ669" i="5"/>
  <c r="AK669" i="5"/>
  <c r="H670" i="5"/>
  <c r="I670" i="5"/>
  <c r="P670" i="5"/>
  <c r="Q670" i="5"/>
  <c r="T670" i="5"/>
  <c r="U670" i="5"/>
  <c r="X670" i="5"/>
  <c r="Y670" i="5"/>
  <c r="AF670" i="5"/>
  <c r="AG670" i="5"/>
  <c r="AJ670" i="5"/>
  <c r="AK670" i="5"/>
  <c r="H671" i="5"/>
  <c r="I671" i="5"/>
  <c r="P671" i="5"/>
  <c r="Q671" i="5"/>
  <c r="T671" i="5"/>
  <c r="U671" i="5"/>
  <c r="X671" i="5"/>
  <c r="Y671" i="5"/>
  <c r="AF671" i="5"/>
  <c r="AG671" i="5"/>
  <c r="AJ671" i="5"/>
  <c r="AK671" i="5"/>
  <c r="H672" i="5"/>
  <c r="I672" i="5"/>
  <c r="P672" i="5"/>
  <c r="Q672" i="5"/>
  <c r="T672" i="5"/>
  <c r="U672" i="5"/>
  <c r="X672" i="5"/>
  <c r="Y672" i="5"/>
  <c r="AF672" i="5"/>
  <c r="AG672" i="5"/>
  <c r="AJ672" i="5"/>
  <c r="AK672" i="5"/>
  <c r="H673" i="5"/>
  <c r="I673" i="5"/>
  <c r="P673" i="5"/>
  <c r="Q673" i="5"/>
  <c r="T673" i="5"/>
  <c r="U673" i="5"/>
  <c r="X673" i="5"/>
  <c r="Y673" i="5"/>
  <c r="AF673" i="5"/>
  <c r="AG673" i="5"/>
  <c r="AJ673" i="5"/>
  <c r="AK673" i="5"/>
  <c r="H674" i="5"/>
  <c r="I674" i="5"/>
  <c r="P674" i="5"/>
  <c r="Q674" i="5"/>
  <c r="T674" i="5"/>
  <c r="U674" i="5"/>
  <c r="X674" i="5"/>
  <c r="Y674" i="5"/>
  <c r="AF674" i="5"/>
  <c r="AG674" i="5"/>
  <c r="AJ674" i="5"/>
  <c r="AK674" i="5"/>
  <c r="H675" i="5"/>
  <c r="I675" i="5"/>
  <c r="P675" i="5"/>
  <c r="Q675" i="5"/>
  <c r="T675" i="5"/>
  <c r="U675" i="5"/>
  <c r="X675" i="5"/>
  <c r="Y675" i="5"/>
  <c r="AF675" i="5"/>
  <c r="AG675" i="5"/>
  <c r="AJ675" i="5"/>
  <c r="AK675" i="5"/>
  <c r="H676" i="5"/>
  <c r="I676" i="5"/>
  <c r="P676" i="5"/>
  <c r="Q676" i="5"/>
  <c r="T676" i="5"/>
  <c r="U676" i="5"/>
  <c r="X676" i="5"/>
  <c r="Y676" i="5"/>
  <c r="AF676" i="5"/>
  <c r="AG676" i="5"/>
  <c r="AJ676" i="5"/>
  <c r="AK676" i="5"/>
  <c r="H677" i="5"/>
  <c r="I677" i="5"/>
  <c r="P677" i="5"/>
  <c r="Q677" i="5"/>
  <c r="T677" i="5"/>
  <c r="U677" i="5"/>
  <c r="X677" i="5"/>
  <c r="Y677" i="5"/>
  <c r="AF677" i="5"/>
  <c r="AG677" i="5"/>
  <c r="AJ677" i="5"/>
  <c r="AK677" i="5"/>
  <c r="H678" i="5"/>
  <c r="I678" i="5"/>
  <c r="J678" i="5" s="1"/>
  <c r="P678" i="5"/>
  <c r="Q678" i="5"/>
  <c r="T678" i="5"/>
  <c r="U678" i="5"/>
  <c r="X678" i="5"/>
  <c r="Y678" i="5"/>
  <c r="AF678" i="5"/>
  <c r="AG678" i="5"/>
  <c r="AJ678" i="5"/>
  <c r="AK678" i="5"/>
  <c r="H679" i="5"/>
  <c r="I679" i="5"/>
  <c r="P679" i="5"/>
  <c r="Q679" i="5"/>
  <c r="T679" i="5"/>
  <c r="U679" i="5"/>
  <c r="X679" i="5"/>
  <c r="Y679" i="5"/>
  <c r="AF679" i="5"/>
  <c r="AG679" i="5"/>
  <c r="AJ679" i="5"/>
  <c r="AK679" i="5"/>
  <c r="H680" i="5"/>
  <c r="I680" i="5"/>
  <c r="P680" i="5"/>
  <c r="Q680" i="5"/>
  <c r="T680" i="5"/>
  <c r="U680" i="5"/>
  <c r="X680" i="5"/>
  <c r="Y680" i="5"/>
  <c r="AF680" i="5"/>
  <c r="AG680" i="5"/>
  <c r="AJ680" i="5"/>
  <c r="AK680" i="5"/>
  <c r="H681" i="5"/>
  <c r="I681" i="5"/>
  <c r="P681" i="5"/>
  <c r="Q681" i="5"/>
  <c r="T681" i="5"/>
  <c r="U681" i="5"/>
  <c r="X681" i="5"/>
  <c r="Y681" i="5"/>
  <c r="AF681" i="5"/>
  <c r="AG681" i="5"/>
  <c r="AJ681" i="5"/>
  <c r="AK681" i="5"/>
  <c r="H682" i="5"/>
  <c r="I682" i="5"/>
  <c r="P682" i="5"/>
  <c r="Q682" i="5"/>
  <c r="T682" i="5"/>
  <c r="U682" i="5"/>
  <c r="X682" i="5"/>
  <c r="Y682" i="5"/>
  <c r="AF682" i="5"/>
  <c r="AG682" i="5"/>
  <c r="AJ682" i="5"/>
  <c r="AK682" i="5"/>
  <c r="H683" i="5"/>
  <c r="I683" i="5"/>
  <c r="P683" i="5"/>
  <c r="Q683" i="5"/>
  <c r="T683" i="5"/>
  <c r="U683" i="5"/>
  <c r="X683" i="5"/>
  <c r="Y683" i="5"/>
  <c r="AF683" i="5"/>
  <c r="AG683" i="5"/>
  <c r="AJ683" i="5"/>
  <c r="AK683" i="5"/>
  <c r="H684" i="5"/>
  <c r="I684" i="5"/>
  <c r="P684" i="5"/>
  <c r="Q684" i="5"/>
  <c r="T684" i="5"/>
  <c r="U684" i="5"/>
  <c r="X684" i="5"/>
  <c r="Y684" i="5"/>
  <c r="AF684" i="5"/>
  <c r="AG684" i="5"/>
  <c r="AJ684" i="5"/>
  <c r="AK684" i="5"/>
  <c r="H685" i="5"/>
  <c r="I685" i="5"/>
  <c r="P685" i="5"/>
  <c r="Q685" i="5"/>
  <c r="T685" i="5"/>
  <c r="U685" i="5"/>
  <c r="X685" i="5"/>
  <c r="Y685" i="5"/>
  <c r="AF685" i="5"/>
  <c r="AG685" i="5"/>
  <c r="AJ685" i="5"/>
  <c r="AK685" i="5"/>
  <c r="H686" i="5"/>
  <c r="I686" i="5"/>
  <c r="P686" i="5"/>
  <c r="Q686" i="5"/>
  <c r="T686" i="5"/>
  <c r="U686" i="5"/>
  <c r="X686" i="5"/>
  <c r="Y686" i="5"/>
  <c r="AF686" i="5"/>
  <c r="AG686" i="5"/>
  <c r="AJ686" i="5"/>
  <c r="AK686" i="5"/>
  <c r="H687" i="5"/>
  <c r="I687" i="5"/>
  <c r="P687" i="5"/>
  <c r="Q687" i="5"/>
  <c r="T687" i="5"/>
  <c r="U687" i="5"/>
  <c r="X687" i="5"/>
  <c r="Y687" i="5"/>
  <c r="AF687" i="5"/>
  <c r="AG687" i="5"/>
  <c r="AJ687" i="5"/>
  <c r="AK687" i="5"/>
  <c r="H688" i="5"/>
  <c r="I688" i="5"/>
  <c r="P688" i="5"/>
  <c r="Q688" i="5"/>
  <c r="T688" i="5"/>
  <c r="U688" i="5"/>
  <c r="X688" i="5"/>
  <c r="Y688" i="5"/>
  <c r="AF688" i="5"/>
  <c r="AG688" i="5"/>
  <c r="AJ688" i="5"/>
  <c r="AK688" i="5"/>
  <c r="H689" i="5"/>
  <c r="I689" i="5"/>
  <c r="P689" i="5"/>
  <c r="Q689" i="5"/>
  <c r="T689" i="5"/>
  <c r="U689" i="5"/>
  <c r="X689" i="5"/>
  <c r="Y689" i="5"/>
  <c r="AF689" i="5"/>
  <c r="AG689" i="5"/>
  <c r="AJ689" i="5"/>
  <c r="AK689" i="5"/>
  <c r="H690" i="5"/>
  <c r="I690" i="5"/>
  <c r="P690" i="5"/>
  <c r="Q690" i="5"/>
  <c r="T690" i="5"/>
  <c r="U690" i="5"/>
  <c r="X690" i="5"/>
  <c r="Y690" i="5"/>
  <c r="AF690" i="5"/>
  <c r="AG690" i="5"/>
  <c r="AJ690" i="5"/>
  <c r="AK690" i="5"/>
  <c r="H691" i="5"/>
  <c r="I691" i="5"/>
  <c r="P691" i="5"/>
  <c r="Q691" i="5"/>
  <c r="T691" i="5"/>
  <c r="U691" i="5"/>
  <c r="X691" i="5"/>
  <c r="Y691" i="5"/>
  <c r="AF691" i="5"/>
  <c r="AG691" i="5"/>
  <c r="AJ691" i="5"/>
  <c r="AK691" i="5"/>
  <c r="H692" i="5"/>
  <c r="I692" i="5"/>
  <c r="P692" i="5"/>
  <c r="Q692" i="5"/>
  <c r="T692" i="5"/>
  <c r="U692" i="5"/>
  <c r="X692" i="5"/>
  <c r="Y692" i="5"/>
  <c r="AF692" i="5"/>
  <c r="AG692" i="5"/>
  <c r="AJ692" i="5"/>
  <c r="AK692" i="5"/>
  <c r="H693" i="5"/>
  <c r="I693" i="5"/>
  <c r="P693" i="5"/>
  <c r="Q693" i="5"/>
  <c r="T693" i="5"/>
  <c r="U693" i="5"/>
  <c r="X693" i="5"/>
  <c r="Y693" i="5"/>
  <c r="AF693" i="5"/>
  <c r="AG693" i="5"/>
  <c r="AJ693" i="5"/>
  <c r="AK693" i="5"/>
  <c r="H694" i="5"/>
  <c r="I694" i="5"/>
  <c r="P694" i="5"/>
  <c r="Q694" i="5"/>
  <c r="T694" i="5"/>
  <c r="U694" i="5"/>
  <c r="X694" i="5"/>
  <c r="Y694" i="5"/>
  <c r="AF694" i="5"/>
  <c r="AG694" i="5"/>
  <c r="AJ694" i="5"/>
  <c r="AK694" i="5"/>
  <c r="H695" i="5"/>
  <c r="I695" i="5"/>
  <c r="P695" i="5"/>
  <c r="Q695" i="5"/>
  <c r="T695" i="5"/>
  <c r="U695" i="5"/>
  <c r="X695" i="5"/>
  <c r="Y695" i="5"/>
  <c r="AF695" i="5"/>
  <c r="AG695" i="5"/>
  <c r="AJ695" i="5"/>
  <c r="AK695" i="5"/>
  <c r="H696" i="5"/>
  <c r="I696" i="5"/>
  <c r="P696" i="5"/>
  <c r="Q696" i="5"/>
  <c r="T696" i="5"/>
  <c r="U696" i="5"/>
  <c r="X696" i="5"/>
  <c r="Y696" i="5"/>
  <c r="AF696" i="5"/>
  <c r="AG696" i="5"/>
  <c r="AJ696" i="5"/>
  <c r="AK696" i="5"/>
  <c r="H697" i="5"/>
  <c r="I697" i="5"/>
  <c r="P697" i="5"/>
  <c r="Q697" i="5"/>
  <c r="T697" i="5"/>
  <c r="U697" i="5"/>
  <c r="X697" i="5"/>
  <c r="Y697" i="5"/>
  <c r="AF697" i="5"/>
  <c r="AG697" i="5"/>
  <c r="AJ697" i="5"/>
  <c r="AK697" i="5"/>
  <c r="H698" i="5"/>
  <c r="I698" i="5"/>
  <c r="P698" i="5"/>
  <c r="Q698" i="5"/>
  <c r="T698" i="5"/>
  <c r="U698" i="5"/>
  <c r="X698" i="5"/>
  <c r="Y698" i="5"/>
  <c r="AF698" i="5"/>
  <c r="AG698" i="5"/>
  <c r="AJ698" i="5"/>
  <c r="AK698" i="5"/>
  <c r="H699" i="5"/>
  <c r="I699" i="5"/>
  <c r="P699" i="5"/>
  <c r="Q699" i="5"/>
  <c r="T699" i="5"/>
  <c r="U699" i="5"/>
  <c r="X699" i="5"/>
  <c r="Y699" i="5"/>
  <c r="AF699" i="5"/>
  <c r="AG699" i="5"/>
  <c r="AJ699" i="5"/>
  <c r="AK699" i="5"/>
  <c r="H700" i="5"/>
  <c r="I700" i="5"/>
  <c r="P700" i="5"/>
  <c r="Q700" i="5"/>
  <c r="T700" i="5"/>
  <c r="U700" i="5"/>
  <c r="X700" i="5"/>
  <c r="Y700" i="5"/>
  <c r="AF700" i="5"/>
  <c r="AG700" i="5"/>
  <c r="AJ700" i="5"/>
  <c r="AK700" i="5"/>
  <c r="H701" i="5"/>
  <c r="I701" i="5"/>
  <c r="P701" i="5"/>
  <c r="Q701" i="5"/>
  <c r="T701" i="5"/>
  <c r="U701" i="5"/>
  <c r="X701" i="5"/>
  <c r="Y701" i="5"/>
  <c r="AF701" i="5"/>
  <c r="AG701" i="5"/>
  <c r="AJ701" i="5"/>
  <c r="AK701" i="5"/>
  <c r="H702" i="5"/>
  <c r="I702" i="5"/>
  <c r="P702" i="5"/>
  <c r="Q702" i="5"/>
  <c r="T702" i="5"/>
  <c r="U702" i="5"/>
  <c r="X702" i="5"/>
  <c r="Y702" i="5"/>
  <c r="AF702" i="5"/>
  <c r="AG702" i="5"/>
  <c r="AJ702" i="5"/>
  <c r="AK702" i="5"/>
  <c r="H703" i="5"/>
  <c r="I703" i="5"/>
  <c r="P703" i="5"/>
  <c r="Q703" i="5"/>
  <c r="T703" i="5"/>
  <c r="U703" i="5"/>
  <c r="X703" i="5"/>
  <c r="Y703" i="5"/>
  <c r="AF703" i="5"/>
  <c r="AG703" i="5"/>
  <c r="AJ703" i="5"/>
  <c r="AK703" i="5"/>
  <c r="H704" i="5"/>
  <c r="I704" i="5"/>
  <c r="J704" i="5" s="1"/>
  <c r="P704" i="5"/>
  <c r="Q704" i="5"/>
  <c r="T704" i="5"/>
  <c r="U704" i="5"/>
  <c r="X704" i="5"/>
  <c r="Y704" i="5"/>
  <c r="AF704" i="5"/>
  <c r="AG704" i="5"/>
  <c r="AJ704" i="5"/>
  <c r="AK704" i="5"/>
  <c r="H705" i="5"/>
  <c r="I705" i="5"/>
  <c r="P705" i="5"/>
  <c r="Q705" i="5"/>
  <c r="T705" i="5"/>
  <c r="U705" i="5"/>
  <c r="X705" i="5"/>
  <c r="Y705" i="5"/>
  <c r="AF705" i="5"/>
  <c r="AG705" i="5"/>
  <c r="AJ705" i="5"/>
  <c r="AK705" i="5"/>
  <c r="H706" i="5"/>
  <c r="I706" i="5"/>
  <c r="P706" i="5"/>
  <c r="Q706" i="5"/>
  <c r="T706" i="5"/>
  <c r="U706" i="5"/>
  <c r="X706" i="5"/>
  <c r="Y706" i="5"/>
  <c r="AF706" i="5"/>
  <c r="AG706" i="5"/>
  <c r="AJ706" i="5"/>
  <c r="AK706" i="5"/>
  <c r="H707" i="5"/>
  <c r="I707" i="5"/>
  <c r="P707" i="5"/>
  <c r="Q707" i="5"/>
  <c r="T707" i="5"/>
  <c r="U707" i="5"/>
  <c r="X707" i="5"/>
  <c r="Y707" i="5"/>
  <c r="AF707" i="5"/>
  <c r="AG707" i="5"/>
  <c r="AJ707" i="5"/>
  <c r="AK707" i="5"/>
  <c r="H708" i="5"/>
  <c r="I708" i="5"/>
  <c r="P708" i="5"/>
  <c r="Q708" i="5"/>
  <c r="T708" i="5"/>
  <c r="U708" i="5"/>
  <c r="X708" i="5"/>
  <c r="Y708" i="5"/>
  <c r="AF708" i="5"/>
  <c r="AG708" i="5"/>
  <c r="AJ708" i="5"/>
  <c r="AK708" i="5"/>
  <c r="H709" i="5"/>
  <c r="I709" i="5"/>
  <c r="P709" i="5"/>
  <c r="Q709" i="5"/>
  <c r="T709" i="5"/>
  <c r="U709" i="5"/>
  <c r="X709" i="5"/>
  <c r="Y709" i="5"/>
  <c r="AF709" i="5"/>
  <c r="AG709" i="5"/>
  <c r="AJ709" i="5"/>
  <c r="AK709" i="5"/>
  <c r="H710" i="5"/>
  <c r="I710" i="5"/>
  <c r="AC710" i="5" s="1"/>
  <c r="P710" i="5"/>
  <c r="Q710" i="5"/>
  <c r="T710" i="5"/>
  <c r="U710" i="5"/>
  <c r="X710" i="5"/>
  <c r="Y710" i="5"/>
  <c r="AF710" i="5"/>
  <c r="AG710" i="5"/>
  <c r="AJ710" i="5"/>
  <c r="AK710" i="5"/>
  <c r="H711" i="5"/>
  <c r="I711" i="5"/>
  <c r="P711" i="5"/>
  <c r="Q711" i="5"/>
  <c r="T711" i="5"/>
  <c r="U711" i="5"/>
  <c r="X711" i="5"/>
  <c r="Y711" i="5"/>
  <c r="AF711" i="5"/>
  <c r="AG711" i="5"/>
  <c r="AJ711" i="5"/>
  <c r="AK711" i="5"/>
  <c r="H712" i="5"/>
  <c r="I712" i="5"/>
  <c r="P712" i="5"/>
  <c r="Q712" i="5"/>
  <c r="T712" i="5"/>
  <c r="U712" i="5"/>
  <c r="X712" i="5"/>
  <c r="Y712" i="5"/>
  <c r="AF712" i="5"/>
  <c r="AG712" i="5"/>
  <c r="AJ712" i="5"/>
  <c r="AK712" i="5"/>
  <c r="H713" i="5"/>
  <c r="I713" i="5"/>
  <c r="P713" i="5"/>
  <c r="Q713" i="5"/>
  <c r="T713" i="5"/>
  <c r="U713" i="5"/>
  <c r="X713" i="5"/>
  <c r="Y713" i="5"/>
  <c r="AF713" i="5"/>
  <c r="AG713" i="5"/>
  <c r="AJ713" i="5"/>
  <c r="AK713" i="5"/>
  <c r="H714" i="5"/>
  <c r="I714" i="5"/>
  <c r="P714" i="5"/>
  <c r="Q714" i="5"/>
  <c r="T714" i="5"/>
  <c r="U714" i="5"/>
  <c r="X714" i="5"/>
  <c r="Y714" i="5"/>
  <c r="AF714" i="5"/>
  <c r="AG714" i="5"/>
  <c r="AJ714" i="5"/>
  <c r="AK714" i="5"/>
  <c r="H715" i="5"/>
  <c r="I715" i="5"/>
  <c r="P715" i="5"/>
  <c r="Q715" i="5"/>
  <c r="T715" i="5"/>
  <c r="U715" i="5"/>
  <c r="X715" i="5"/>
  <c r="Y715" i="5"/>
  <c r="AF715" i="5"/>
  <c r="AG715" i="5"/>
  <c r="AJ715" i="5"/>
  <c r="AK715" i="5"/>
  <c r="H716" i="5"/>
  <c r="I716" i="5"/>
  <c r="P716" i="5"/>
  <c r="Q716" i="5"/>
  <c r="T716" i="5"/>
  <c r="U716" i="5"/>
  <c r="X716" i="5"/>
  <c r="Y716" i="5"/>
  <c r="AF716" i="5"/>
  <c r="AG716" i="5"/>
  <c r="AJ716" i="5"/>
  <c r="AK716" i="5"/>
  <c r="H717" i="5"/>
  <c r="I717" i="5"/>
  <c r="P717" i="5"/>
  <c r="Q717" i="5"/>
  <c r="T717" i="5"/>
  <c r="U717" i="5"/>
  <c r="X717" i="5"/>
  <c r="Y717" i="5"/>
  <c r="AF717" i="5"/>
  <c r="AG717" i="5"/>
  <c r="AJ717" i="5"/>
  <c r="AK717" i="5"/>
  <c r="H718" i="5"/>
  <c r="I718" i="5"/>
  <c r="P718" i="5"/>
  <c r="Q718" i="5"/>
  <c r="T718" i="5"/>
  <c r="U718" i="5"/>
  <c r="X718" i="5"/>
  <c r="Y718" i="5"/>
  <c r="AF718" i="5"/>
  <c r="AG718" i="5"/>
  <c r="AJ718" i="5"/>
  <c r="AK718" i="5"/>
  <c r="H719" i="5"/>
  <c r="I719" i="5"/>
  <c r="P719" i="5"/>
  <c r="Q719" i="5"/>
  <c r="T719" i="5"/>
  <c r="U719" i="5"/>
  <c r="X719" i="5"/>
  <c r="Y719" i="5"/>
  <c r="AF719" i="5"/>
  <c r="AG719" i="5"/>
  <c r="AJ719" i="5"/>
  <c r="AK719" i="5"/>
  <c r="H720" i="5"/>
  <c r="I720" i="5"/>
  <c r="P720" i="5"/>
  <c r="Q720" i="5"/>
  <c r="T720" i="5"/>
  <c r="U720" i="5"/>
  <c r="X720" i="5"/>
  <c r="Y720" i="5"/>
  <c r="AF720" i="5"/>
  <c r="AG720" i="5"/>
  <c r="AJ720" i="5"/>
  <c r="AK720" i="5"/>
  <c r="H721" i="5"/>
  <c r="I721" i="5"/>
  <c r="P721" i="5"/>
  <c r="Q721" i="5"/>
  <c r="T721" i="5"/>
  <c r="U721" i="5"/>
  <c r="X721" i="5"/>
  <c r="Y721" i="5"/>
  <c r="AF721" i="5"/>
  <c r="AG721" i="5"/>
  <c r="AJ721" i="5"/>
  <c r="AK721" i="5"/>
  <c r="H722" i="5"/>
  <c r="I722" i="5"/>
  <c r="P722" i="5"/>
  <c r="Q722" i="5"/>
  <c r="T722" i="5"/>
  <c r="U722" i="5"/>
  <c r="X722" i="5"/>
  <c r="Y722" i="5"/>
  <c r="AF722" i="5"/>
  <c r="AG722" i="5"/>
  <c r="AJ722" i="5"/>
  <c r="AK722" i="5"/>
  <c r="H723" i="5"/>
  <c r="I723" i="5"/>
  <c r="P723" i="5"/>
  <c r="Q723" i="5"/>
  <c r="T723" i="5"/>
  <c r="U723" i="5"/>
  <c r="X723" i="5"/>
  <c r="Y723" i="5"/>
  <c r="AF723" i="5"/>
  <c r="AG723" i="5"/>
  <c r="AJ723" i="5"/>
  <c r="AK723" i="5"/>
  <c r="H724" i="5"/>
  <c r="I724" i="5"/>
  <c r="P724" i="5"/>
  <c r="Q724" i="5"/>
  <c r="T724" i="5"/>
  <c r="U724" i="5"/>
  <c r="X724" i="5"/>
  <c r="Y724" i="5"/>
  <c r="AF724" i="5"/>
  <c r="AG724" i="5"/>
  <c r="AJ724" i="5"/>
  <c r="AK724" i="5"/>
  <c r="H725" i="5"/>
  <c r="I725" i="5"/>
  <c r="P725" i="5"/>
  <c r="Q725" i="5"/>
  <c r="T725" i="5"/>
  <c r="U725" i="5"/>
  <c r="X725" i="5"/>
  <c r="Y725" i="5"/>
  <c r="AF725" i="5"/>
  <c r="AG725" i="5"/>
  <c r="AJ725" i="5"/>
  <c r="AK725" i="5"/>
  <c r="H726" i="5"/>
  <c r="I726" i="5"/>
  <c r="P726" i="5"/>
  <c r="Q726" i="5"/>
  <c r="T726" i="5"/>
  <c r="U726" i="5"/>
  <c r="X726" i="5"/>
  <c r="Y726" i="5"/>
  <c r="AF726" i="5"/>
  <c r="AG726" i="5"/>
  <c r="AJ726" i="5"/>
  <c r="AK726" i="5"/>
  <c r="H727" i="5"/>
  <c r="I727" i="5"/>
  <c r="P727" i="5"/>
  <c r="Q727" i="5"/>
  <c r="T727" i="5"/>
  <c r="U727" i="5"/>
  <c r="X727" i="5"/>
  <c r="Y727" i="5"/>
  <c r="AF727" i="5"/>
  <c r="AG727" i="5"/>
  <c r="AJ727" i="5"/>
  <c r="AK727" i="5"/>
  <c r="H728" i="5"/>
  <c r="I728" i="5"/>
  <c r="P728" i="5"/>
  <c r="Q728" i="5"/>
  <c r="T728" i="5"/>
  <c r="U728" i="5"/>
  <c r="X728" i="5"/>
  <c r="Y728" i="5"/>
  <c r="AF728" i="5"/>
  <c r="AG728" i="5"/>
  <c r="AJ728" i="5"/>
  <c r="AK728" i="5"/>
  <c r="H729" i="5"/>
  <c r="I729" i="5"/>
  <c r="P729" i="5"/>
  <c r="Q729" i="5"/>
  <c r="T729" i="5"/>
  <c r="U729" i="5"/>
  <c r="X729" i="5"/>
  <c r="Y729" i="5"/>
  <c r="AF729" i="5"/>
  <c r="AG729" i="5"/>
  <c r="AJ729" i="5"/>
  <c r="AK729" i="5"/>
  <c r="H730" i="5"/>
  <c r="I730" i="5"/>
  <c r="P730" i="5"/>
  <c r="Q730" i="5"/>
  <c r="T730" i="5"/>
  <c r="U730" i="5"/>
  <c r="X730" i="5"/>
  <c r="Y730" i="5"/>
  <c r="AF730" i="5"/>
  <c r="AG730" i="5"/>
  <c r="AJ730" i="5"/>
  <c r="AK730" i="5"/>
  <c r="H731" i="5"/>
  <c r="I731" i="5"/>
  <c r="P731" i="5"/>
  <c r="Q731" i="5"/>
  <c r="T731" i="5"/>
  <c r="U731" i="5"/>
  <c r="X731" i="5"/>
  <c r="Y731" i="5"/>
  <c r="AF731" i="5"/>
  <c r="AG731" i="5"/>
  <c r="AJ731" i="5"/>
  <c r="AK731" i="5"/>
  <c r="H732" i="5"/>
  <c r="I732" i="5"/>
  <c r="P732" i="5"/>
  <c r="Q732" i="5"/>
  <c r="T732" i="5"/>
  <c r="U732" i="5"/>
  <c r="X732" i="5"/>
  <c r="Y732" i="5"/>
  <c r="AF732" i="5"/>
  <c r="AG732" i="5"/>
  <c r="AJ732" i="5"/>
  <c r="AK732" i="5"/>
  <c r="H733" i="5"/>
  <c r="I733" i="5"/>
  <c r="P733" i="5"/>
  <c r="Q733" i="5"/>
  <c r="T733" i="5"/>
  <c r="U733" i="5"/>
  <c r="X733" i="5"/>
  <c r="Y733" i="5"/>
  <c r="AF733" i="5"/>
  <c r="AG733" i="5"/>
  <c r="AJ733" i="5"/>
  <c r="AK733" i="5"/>
  <c r="H734" i="5"/>
  <c r="I734" i="5"/>
  <c r="P734" i="5"/>
  <c r="Q734" i="5"/>
  <c r="T734" i="5"/>
  <c r="U734" i="5"/>
  <c r="X734" i="5"/>
  <c r="Y734" i="5"/>
  <c r="AF734" i="5"/>
  <c r="AG734" i="5"/>
  <c r="AJ734" i="5"/>
  <c r="AK734" i="5"/>
  <c r="H735" i="5"/>
  <c r="I735" i="5"/>
  <c r="P735" i="5"/>
  <c r="Q735" i="5"/>
  <c r="T735" i="5"/>
  <c r="U735" i="5"/>
  <c r="X735" i="5"/>
  <c r="Y735" i="5"/>
  <c r="AF735" i="5"/>
  <c r="AG735" i="5"/>
  <c r="AJ735" i="5"/>
  <c r="AK735" i="5"/>
  <c r="H736" i="5"/>
  <c r="I736" i="5"/>
  <c r="P736" i="5"/>
  <c r="Q736" i="5"/>
  <c r="T736" i="5"/>
  <c r="U736" i="5"/>
  <c r="X736" i="5"/>
  <c r="Y736" i="5"/>
  <c r="AF736" i="5"/>
  <c r="AG736" i="5"/>
  <c r="AJ736" i="5"/>
  <c r="AK736" i="5"/>
  <c r="H737" i="5"/>
  <c r="I737" i="5"/>
  <c r="P737" i="5"/>
  <c r="Q737" i="5"/>
  <c r="T737" i="5"/>
  <c r="U737" i="5"/>
  <c r="X737" i="5"/>
  <c r="Y737" i="5"/>
  <c r="AF737" i="5"/>
  <c r="AG737" i="5"/>
  <c r="AJ737" i="5"/>
  <c r="AK737" i="5"/>
  <c r="H738" i="5"/>
  <c r="I738" i="5"/>
  <c r="P738" i="5"/>
  <c r="Q738" i="5"/>
  <c r="T738" i="5"/>
  <c r="U738" i="5"/>
  <c r="X738" i="5"/>
  <c r="Y738" i="5"/>
  <c r="AF738" i="5"/>
  <c r="AG738" i="5"/>
  <c r="AJ738" i="5"/>
  <c r="AK738" i="5"/>
  <c r="H739" i="5"/>
  <c r="I739" i="5"/>
  <c r="P739" i="5"/>
  <c r="Q739" i="5"/>
  <c r="T739" i="5"/>
  <c r="U739" i="5"/>
  <c r="X739" i="5"/>
  <c r="Y739" i="5"/>
  <c r="AF739" i="5"/>
  <c r="AG739" i="5"/>
  <c r="AJ739" i="5"/>
  <c r="AK739" i="5"/>
  <c r="H740" i="5"/>
  <c r="I740" i="5"/>
  <c r="P740" i="5"/>
  <c r="Q740" i="5"/>
  <c r="T740" i="5"/>
  <c r="U740" i="5"/>
  <c r="X740" i="5"/>
  <c r="Y740" i="5"/>
  <c r="AF740" i="5"/>
  <c r="AG740" i="5"/>
  <c r="AJ740" i="5"/>
  <c r="AK740" i="5"/>
  <c r="H741" i="5"/>
  <c r="I741" i="5"/>
  <c r="P741" i="5"/>
  <c r="Q741" i="5"/>
  <c r="T741" i="5"/>
  <c r="U741" i="5"/>
  <c r="X741" i="5"/>
  <c r="Y741" i="5"/>
  <c r="AF741" i="5"/>
  <c r="AG741" i="5"/>
  <c r="AJ741" i="5"/>
  <c r="AK741" i="5"/>
  <c r="H742" i="5"/>
  <c r="I742" i="5"/>
  <c r="P742" i="5"/>
  <c r="Q742" i="5"/>
  <c r="T742" i="5"/>
  <c r="U742" i="5"/>
  <c r="X742" i="5"/>
  <c r="Y742" i="5"/>
  <c r="AF742" i="5"/>
  <c r="AG742" i="5"/>
  <c r="AJ742" i="5"/>
  <c r="AK742" i="5"/>
  <c r="H743" i="5"/>
  <c r="I743" i="5"/>
  <c r="P743" i="5"/>
  <c r="Q743" i="5"/>
  <c r="T743" i="5"/>
  <c r="U743" i="5"/>
  <c r="X743" i="5"/>
  <c r="Y743" i="5"/>
  <c r="AF743" i="5"/>
  <c r="AG743" i="5"/>
  <c r="AJ743" i="5"/>
  <c r="AK743" i="5"/>
  <c r="H744" i="5"/>
  <c r="I744" i="5"/>
  <c r="P744" i="5"/>
  <c r="Q744" i="5"/>
  <c r="T744" i="5"/>
  <c r="U744" i="5"/>
  <c r="X744" i="5"/>
  <c r="Y744" i="5"/>
  <c r="AF744" i="5"/>
  <c r="AG744" i="5"/>
  <c r="AJ744" i="5"/>
  <c r="AK744" i="5"/>
  <c r="H745" i="5"/>
  <c r="I745" i="5"/>
  <c r="P745" i="5"/>
  <c r="Q745" i="5"/>
  <c r="T745" i="5"/>
  <c r="U745" i="5"/>
  <c r="X745" i="5"/>
  <c r="Y745" i="5"/>
  <c r="AF745" i="5"/>
  <c r="AG745" i="5"/>
  <c r="AJ745" i="5"/>
  <c r="AK745" i="5"/>
  <c r="H746" i="5"/>
  <c r="I746" i="5"/>
  <c r="P746" i="5"/>
  <c r="Q746" i="5"/>
  <c r="T746" i="5"/>
  <c r="U746" i="5"/>
  <c r="X746" i="5"/>
  <c r="Y746" i="5"/>
  <c r="AF746" i="5"/>
  <c r="AG746" i="5"/>
  <c r="AJ746" i="5"/>
  <c r="AK746" i="5"/>
  <c r="H747" i="5"/>
  <c r="I747" i="5"/>
  <c r="P747" i="5"/>
  <c r="Q747" i="5"/>
  <c r="T747" i="5"/>
  <c r="U747" i="5"/>
  <c r="X747" i="5"/>
  <c r="Y747" i="5"/>
  <c r="AF747" i="5"/>
  <c r="AG747" i="5"/>
  <c r="AJ747" i="5"/>
  <c r="AK747" i="5"/>
  <c r="H748" i="5"/>
  <c r="I748" i="5"/>
  <c r="P748" i="5"/>
  <c r="Q748" i="5"/>
  <c r="T748" i="5"/>
  <c r="U748" i="5"/>
  <c r="X748" i="5"/>
  <c r="Y748" i="5"/>
  <c r="AF748" i="5"/>
  <c r="AG748" i="5"/>
  <c r="AJ748" i="5"/>
  <c r="AK748" i="5"/>
  <c r="H749" i="5"/>
  <c r="I749" i="5"/>
  <c r="P749" i="5"/>
  <c r="Q749" i="5"/>
  <c r="T749" i="5"/>
  <c r="U749" i="5"/>
  <c r="X749" i="5"/>
  <c r="Y749" i="5"/>
  <c r="AF749" i="5"/>
  <c r="AG749" i="5"/>
  <c r="AJ749" i="5"/>
  <c r="AK749" i="5"/>
  <c r="H750" i="5"/>
  <c r="I750" i="5"/>
  <c r="P750" i="5"/>
  <c r="Q750" i="5"/>
  <c r="T750" i="5"/>
  <c r="U750" i="5"/>
  <c r="X750" i="5"/>
  <c r="Y750" i="5"/>
  <c r="AF750" i="5"/>
  <c r="AG750" i="5"/>
  <c r="AJ750" i="5"/>
  <c r="AK750" i="5"/>
  <c r="H751" i="5"/>
  <c r="I751" i="5"/>
  <c r="P751" i="5"/>
  <c r="Q751" i="5"/>
  <c r="T751" i="5"/>
  <c r="U751" i="5"/>
  <c r="X751" i="5"/>
  <c r="Y751" i="5"/>
  <c r="AF751" i="5"/>
  <c r="AG751" i="5"/>
  <c r="AJ751" i="5"/>
  <c r="AK751" i="5"/>
  <c r="H752" i="5"/>
  <c r="I752" i="5"/>
  <c r="P752" i="5"/>
  <c r="Q752" i="5"/>
  <c r="T752" i="5"/>
  <c r="U752" i="5"/>
  <c r="X752" i="5"/>
  <c r="Y752" i="5"/>
  <c r="AF752" i="5"/>
  <c r="AG752" i="5"/>
  <c r="AJ752" i="5"/>
  <c r="AK752" i="5"/>
  <c r="H753" i="5"/>
  <c r="I753" i="5"/>
  <c r="P753" i="5"/>
  <c r="Q753" i="5"/>
  <c r="T753" i="5"/>
  <c r="U753" i="5"/>
  <c r="X753" i="5"/>
  <c r="Y753" i="5"/>
  <c r="AF753" i="5"/>
  <c r="AG753" i="5"/>
  <c r="AJ753" i="5"/>
  <c r="AK753" i="5"/>
  <c r="H754" i="5"/>
  <c r="I754" i="5"/>
  <c r="P754" i="5"/>
  <c r="Q754" i="5"/>
  <c r="T754" i="5"/>
  <c r="U754" i="5"/>
  <c r="X754" i="5"/>
  <c r="Y754" i="5"/>
  <c r="AF754" i="5"/>
  <c r="AG754" i="5"/>
  <c r="AJ754" i="5"/>
  <c r="AK754" i="5"/>
  <c r="H755" i="5"/>
  <c r="I755" i="5"/>
  <c r="P755" i="5"/>
  <c r="Q755" i="5"/>
  <c r="T755" i="5"/>
  <c r="U755" i="5"/>
  <c r="X755" i="5"/>
  <c r="Y755" i="5"/>
  <c r="AF755" i="5"/>
  <c r="AG755" i="5"/>
  <c r="AJ755" i="5"/>
  <c r="AK755" i="5"/>
  <c r="H756" i="5"/>
  <c r="I756" i="5"/>
  <c r="P756" i="5"/>
  <c r="Q756" i="5"/>
  <c r="T756" i="5"/>
  <c r="U756" i="5"/>
  <c r="X756" i="5"/>
  <c r="Y756" i="5"/>
  <c r="AF756" i="5"/>
  <c r="AG756" i="5"/>
  <c r="AJ756" i="5"/>
  <c r="AK756" i="5"/>
  <c r="H757" i="5"/>
  <c r="I757" i="5"/>
  <c r="P757" i="5"/>
  <c r="Q757" i="5"/>
  <c r="T757" i="5"/>
  <c r="U757" i="5"/>
  <c r="X757" i="5"/>
  <c r="Y757" i="5"/>
  <c r="AF757" i="5"/>
  <c r="AG757" i="5"/>
  <c r="AJ757" i="5"/>
  <c r="AK757" i="5"/>
  <c r="H758" i="5"/>
  <c r="I758" i="5"/>
  <c r="P758" i="5"/>
  <c r="Q758" i="5"/>
  <c r="T758" i="5"/>
  <c r="U758" i="5"/>
  <c r="X758" i="5"/>
  <c r="Y758" i="5"/>
  <c r="AF758" i="5"/>
  <c r="AG758" i="5"/>
  <c r="AJ758" i="5"/>
  <c r="AK758" i="5"/>
  <c r="H759" i="5"/>
  <c r="I759" i="5"/>
  <c r="P759" i="5"/>
  <c r="Q759" i="5"/>
  <c r="T759" i="5"/>
  <c r="U759" i="5"/>
  <c r="X759" i="5"/>
  <c r="Y759" i="5"/>
  <c r="AF759" i="5"/>
  <c r="AG759" i="5"/>
  <c r="AJ759" i="5"/>
  <c r="AK759" i="5"/>
  <c r="H760" i="5"/>
  <c r="I760" i="5"/>
  <c r="P760" i="5"/>
  <c r="Q760" i="5"/>
  <c r="T760" i="5"/>
  <c r="U760" i="5"/>
  <c r="X760" i="5"/>
  <c r="Y760" i="5"/>
  <c r="AF760" i="5"/>
  <c r="AG760" i="5"/>
  <c r="AJ760" i="5"/>
  <c r="AK760" i="5"/>
  <c r="H761" i="5"/>
  <c r="I761" i="5"/>
  <c r="P761" i="5"/>
  <c r="Q761" i="5"/>
  <c r="T761" i="5"/>
  <c r="U761" i="5"/>
  <c r="X761" i="5"/>
  <c r="Y761" i="5"/>
  <c r="AF761" i="5"/>
  <c r="AG761" i="5"/>
  <c r="AJ761" i="5"/>
  <c r="AK761" i="5"/>
  <c r="H762" i="5"/>
  <c r="I762" i="5"/>
  <c r="P762" i="5"/>
  <c r="Q762" i="5"/>
  <c r="T762" i="5"/>
  <c r="U762" i="5"/>
  <c r="X762" i="5"/>
  <c r="Y762" i="5"/>
  <c r="AF762" i="5"/>
  <c r="AG762" i="5"/>
  <c r="AJ762" i="5"/>
  <c r="AK762" i="5"/>
  <c r="H763" i="5"/>
  <c r="I763" i="5"/>
  <c r="P763" i="5"/>
  <c r="Q763" i="5"/>
  <c r="T763" i="5"/>
  <c r="U763" i="5"/>
  <c r="X763" i="5"/>
  <c r="Y763" i="5"/>
  <c r="AF763" i="5"/>
  <c r="AG763" i="5"/>
  <c r="AJ763" i="5"/>
  <c r="AK763" i="5"/>
  <c r="H764" i="5"/>
  <c r="I764" i="5"/>
  <c r="P764" i="5"/>
  <c r="Q764" i="5"/>
  <c r="T764" i="5"/>
  <c r="U764" i="5"/>
  <c r="X764" i="5"/>
  <c r="Y764" i="5"/>
  <c r="AF764" i="5"/>
  <c r="AG764" i="5"/>
  <c r="AJ764" i="5"/>
  <c r="AK764" i="5"/>
  <c r="H765" i="5"/>
  <c r="I765" i="5"/>
  <c r="P765" i="5"/>
  <c r="Q765" i="5"/>
  <c r="T765" i="5"/>
  <c r="U765" i="5"/>
  <c r="X765" i="5"/>
  <c r="Y765" i="5"/>
  <c r="AF765" i="5"/>
  <c r="AG765" i="5"/>
  <c r="AJ765" i="5"/>
  <c r="AK765" i="5"/>
  <c r="H766" i="5"/>
  <c r="I766" i="5"/>
  <c r="P766" i="5"/>
  <c r="Q766" i="5"/>
  <c r="T766" i="5"/>
  <c r="U766" i="5"/>
  <c r="X766" i="5"/>
  <c r="Y766" i="5"/>
  <c r="AF766" i="5"/>
  <c r="AG766" i="5"/>
  <c r="AJ766" i="5"/>
  <c r="AK766" i="5"/>
  <c r="H767" i="5"/>
  <c r="I767" i="5"/>
  <c r="P767" i="5"/>
  <c r="Q767" i="5"/>
  <c r="T767" i="5"/>
  <c r="U767" i="5"/>
  <c r="X767" i="5"/>
  <c r="Y767" i="5"/>
  <c r="AF767" i="5"/>
  <c r="AG767" i="5"/>
  <c r="AJ767" i="5"/>
  <c r="AK767" i="5"/>
  <c r="H768" i="5"/>
  <c r="I768" i="5"/>
  <c r="P768" i="5"/>
  <c r="Q768" i="5"/>
  <c r="T768" i="5"/>
  <c r="U768" i="5"/>
  <c r="X768" i="5"/>
  <c r="Y768" i="5"/>
  <c r="AF768" i="5"/>
  <c r="AG768" i="5"/>
  <c r="AJ768" i="5"/>
  <c r="AK768" i="5"/>
  <c r="H769" i="5"/>
  <c r="I769" i="5"/>
  <c r="P769" i="5"/>
  <c r="Q769" i="5"/>
  <c r="T769" i="5"/>
  <c r="U769" i="5"/>
  <c r="X769" i="5"/>
  <c r="Y769" i="5"/>
  <c r="AF769" i="5"/>
  <c r="AG769" i="5"/>
  <c r="AJ769" i="5"/>
  <c r="AK769" i="5"/>
  <c r="H770" i="5"/>
  <c r="I770" i="5"/>
  <c r="P770" i="5"/>
  <c r="Q770" i="5"/>
  <c r="T770" i="5"/>
  <c r="U770" i="5"/>
  <c r="X770" i="5"/>
  <c r="Y770" i="5"/>
  <c r="AF770" i="5"/>
  <c r="AG770" i="5"/>
  <c r="AJ770" i="5"/>
  <c r="AK770" i="5"/>
  <c r="H771" i="5"/>
  <c r="I771" i="5"/>
  <c r="P771" i="5"/>
  <c r="Q771" i="5"/>
  <c r="T771" i="5"/>
  <c r="U771" i="5"/>
  <c r="X771" i="5"/>
  <c r="Y771" i="5"/>
  <c r="AF771" i="5"/>
  <c r="AG771" i="5"/>
  <c r="AJ771" i="5"/>
  <c r="AK771" i="5"/>
  <c r="H772" i="5"/>
  <c r="I772" i="5"/>
  <c r="P772" i="5"/>
  <c r="Q772" i="5"/>
  <c r="T772" i="5"/>
  <c r="U772" i="5"/>
  <c r="X772" i="5"/>
  <c r="Y772" i="5"/>
  <c r="AF772" i="5"/>
  <c r="AG772" i="5"/>
  <c r="AJ772" i="5"/>
  <c r="AK772" i="5"/>
  <c r="H773" i="5"/>
  <c r="I773" i="5"/>
  <c r="P773" i="5"/>
  <c r="Q773" i="5"/>
  <c r="T773" i="5"/>
  <c r="U773" i="5"/>
  <c r="X773" i="5"/>
  <c r="Y773" i="5"/>
  <c r="AF773" i="5"/>
  <c r="AG773" i="5"/>
  <c r="AJ773" i="5"/>
  <c r="AK773" i="5"/>
  <c r="H774" i="5"/>
  <c r="I774" i="5"/>
  <c r="P774" i="5"/>
  <c r="Q774" i="5"/>
  <c r="T774" i="5"/>
  <c r="U774" i="5"/>
  <c r="X774" i="5"/>
  <c r="Y774" i="5"/>
  <c r="AF774" i="5"/>
  <c r="AG774" i="5"/>
  <c r="AJ774" i="5"/>
  <c r="AK774" i="5"/>
  <c r="H775" i="5"/>
  <c r="I775" i="5"/>
  <c r="P775" i="5"/>
  <c r="Q775" i="5"/>
  <c r="T775" i="5"/>
  <c r="U775" i="5"/>
  <c r="X775" i="5"/>
  <c r="Y775" i="5"/>
  <c r="AF775" i="5"/>
  <c r="AG775" i="5"/>
  <c r="AJ775" i="5"/>
  <c r="AK775" i="5"/>
  <c r="H776" i="5"/>
  <c r="I776" i="5"/>
  <c r="P776" i="5"/>
  <c r="Q776" i="5"/>
  <c r="T776" i="5"/>
  <c r="U776" i="5"/>
  <c r="X776" i="5"/>
  <c r="Y776" i="5"/>
  <c r="AF776" i="5"/>
  <c r="AG776" i="5"/>
  <c r="AJ776" i="5"/>
  <c r="AK776" i="5"/>
  <c r="H777" i="5"/>
  <c r="I777" i="5"/>
  <c r="P777" i="5"/>
  <c r="Q777" i="5"/>
  <c r="T777" i="5"/>
  <c r="U777" i="5"/>
  <c r="X777" i="5"/>
  <c r="Y777" i="5"/>
  <c r="AF777" i="5"/>
  <c r="AG777" i="5"/>
  <c r="AJ777" i="5"/>
  <c r="AK777" i="5"/>
  <c r="H778" i="5"/>
  <c r="I778" i="5"/>
  <c r="P778" i="5"/>
  <c r="Q778" i="5"/>
  <c r="T778" i="5"/>
  <c r="U778" i="5"/>
  <c r="X778" i="5"/>
  <c r="Y778" i="5"/>
  <c r="AF778" i="5"/>
  <c r="AG778" i="5"/>
  <c r="AJ778" i="5"/>
  <c r="AK778" i="5"/>
  <c r="H779" i="5"/>
  <c r="I779" i="5"/>
  <c r="P779" i="5"/>
  <c r="Q779" i="5"/>
  <c r="T779" i="5"/>
  <c r="U779" i="5"/>
  <c r="X779" i="5"/>
  <c r="Y779" i="5"/>
  <c r="AF779" i="5"/>
  <c r="AG779" i="5"/>
  <c r="AJ779" i="5"/>
  <c r="AK779" i="5"/>
  <c r="H780" i="5"/>
  <c r="I780" i="5"/>
  <c r="P780" i="5"/>
  <c r="Q780" i="5"/>
  <c r="T780" i="5"/>
  <c r="U780" i="5"/>
  <c r="X780" i="5"/>
  <c r="Y780" i="5"/>
  <c r="AF780" i="5"/>
  <c r="AG780" i="5"/>
  <c r="AJ780" i="5"/>
  <c r="AK780" i="5"/>
  <c r="H781" i="5"/>
  <c r="I781" i="5"/>
  <c r="P781" i="5"/>
  <c r="Q781" i="5"/>
  <c r="T781" i="5"/>
  <c r="U781" i="5"/>
  <c r="X781" i="5"/>
  <c r="Y781" i="5"/>
  <c r="AF781" i="5"/>
  <c r="AG781" i="5"/>
  <c r="AJ781" i="5"/>
  <c r="AK781" i="5"/>
  <c r="H782" i="5"/>
  <c r="I782" i="5"/>
  <c r="P782" i="5"/>
  <c r="Q782" i="5"/>
  <c r="T782" i="5"/>
  <c r="U782" i="5"/>
  <c r="X782" i="5"/>
  <c r="Y782" i="5"/>
  <c r="AF782" i="5"/>
  <c r="AG782" i="5"/>
  <c r="AJ782" i="5"/>
  <c r="AK782" i="5"/>
  <c r="H783" i="5"/>
  <c r="I783" i="5"/>
  <c r="P783" i="5"/>
  <c r="Q783" i="5"/>
  <c r="T783" i="5"/>
  <c r="U783" i="5"/>
  <c r="X783" i="5"/>
  <c r="Y783" i="5"/>
  <c r="AF783" i="5"/>
  <c r="AG783" i="5"/>
  <c r="AJ783" i="5"/>
  <c r="AK783" i="5"/>
  <c r="H784" i="5"/>
  <c r="I784" i="5"/>
  <c r="P784" i="5"/>
  <c r="Q784" i="5"/>
  <c r="T784" i="5"/>
  <c r="U784" i="5"/>
  <c r="X784" i="5"/>
  <c r="Y784" i="5"/>
  <c r="AF784" i="5"/>
  <c r="AG784" i="5"/>
  <c r="AJ784" i="5"/>
  <c r="AK784" i="5"/>
  <c r="H785" i="5"/>
  <c r="I785" i="5"/>
  <c r="P785" i="5"/>
  <c r="Q785" i="5"/>
  <c r="T785" i="5"/>
  <c r="U785" i="5"/>
  <c r="X785" i="5"/>
  <c r="Y785" i="5"/>
  <c r="AF785" i="5"/>
  <c r="AG785" i="5"/>
  <c r="AJ785" i="5"/>
  <c r="AK785" i="5"/>
  <c r="H786" i="5"/>
  <c r="I786" i="5"/>
  <c r="P786" i="5"/>
  <c r="Q786" i="5"/>
  <c r="T786" i="5"/>
  <c r="U786" i="5"/>
  <c r="X786" i="5"/>
  <c r="Y786" i="5"/>
  <c r="AF786" i="5"/>
  <c r="AG786" i="5"/>
  <c r="AJ786" i="5"/>
  <c r="AK786" i="5"/>
  <c r="H787" i="5"/>
  <c r="I787" i="5"/>
  <c r="P787" i="5"/>
  <c r="Q787" i="5"/>
  <c r="T787" i="5"/>
  <c r="U787" i="5"/>
  <c r="X787" i="5"/>
  <c r="Y787" i="5"/>
  <c r="AF787" i="5"/>
  <c r="AG787" i="5"/>
  <c r="AJ787" i="5"/>
  <c r="AK787" i="5"/>
  <c r="H788" i="5"/>
  <c r="I788" i="5"/>
  <c r="P788" i="5"/>
  <c r="Q788" i="5"/>
  <c r="T788" i="5"/>
  <c r="U788" i="5"/>
  <c r="X788" i="5"/>
  <c r="Y788" i="5"/>
  <c r="AF788" i="5"/>
  <c r="AG788" i="5"/>
  <c r="AJ788" i="5"/>
  <c r="AK788" i="5"/>
  <c r="H789" i="5"/>
  <c r="I789" i="5"/>
  <c r="P789" i="5"/>
  <c r="Q789" i="5"/>
  <c r="T789" i="5"/>
  <c r="U789" i="5"/>
  <c r="X789" i="5"/>
  <c r="Y789" i="5"/>
  <c r="AF789" i="5"/>
  <c r="AG789" i="5"/>
  <c r="AJ789" i="5"/>
  <c r="AK789" i="5"/>
  <c r="H790" i="5"/>
  <c r="I790" i="5"/>
  <c r="P790" i="5"/>
  <c r="Q790" i="5"/>
  <c r="T790" i="5"/>
  <c r="U790" i="5"/>
  <c r="X790" i="5"/>
  <c r="Y790" i="5"/>
  <c r="AF790" i="5"/>
  <c r="AG790" i="5"/>
  <c r="AJ790" i="5"/>
  <c r="AK790" i="5"/>
  <c r="H791" i="5"/>
  <c r="I791" i="5"/>
  <c r="P791" i="5"/>
  <c r="Q791" i="5"/>
  <c r="T791" i="5"/>
  <c r="U791" i="5"/>
  <c r="X791" i="5"/>
  <c r="Y791" i="5"/>
  <c r="AF791" i="5"/>
  <c r="AG791" i="5"/>
  <c r="AJ791" i="5"/>
  <c r="AK791" i="5"/>
  <c r="H792" i="5"/>
  <c r="I792" i="5"/>
  <c r="P792" i="5"/>
  <c r="Q792" i="5"/>
  <c r="T792" i="5"/>
  <c r="U792" i="5"/>
  <c r="X792" i="5"/>
  <c r="Y792" i="5"/>
  <c r="AF792" i="5"/>
  <c r="AG792" i="5"/>
  <c r="AJ792" i="5"/>
  <c r="AK792" i="5"/>
  <c r="H793" i="5"/>
  <c r="I793" i="5"/>
  <c r="P793" i="5"/>
  <c r="Q793" i="5"/>
  <c r="T793" i="5"/>
  <c r="U793" i="5"/>
  <c r="X793" i="5"/>
  <c r="Y793" i="5"/>
  <c r="AF793" i="5"/>
  <c r="AG793" i="5"/>
  <c r="AJ793" i="5"/>
  <c r="AK793" i="5"/>
  <c r="H794" i="5"/>
  <c r="I794" i="5"/>
  <c r="P794" i="5"/>
  <c r="Q794" i="5"/>
  <c r="T794" i="5"/>
  <c r="U794" i="5"/>
  <c r="X794" i="5"/>
  <c r="Y794" i="5"/>
  <c r="AF794" i="5"/>
  <c r="AG794" i="5"/>
  <c r="AJ794" i="5"/>
  <c r="AK794" i="5"/>
  <c r="H795" i="5"/>
  <c r="I795" i="5"/>
  <c r="P795" i="5"/>
  <c r="Q795" i="5"/>
  <c r="T795" i="5"/>
  <c r="U795" i="5"/>
  <c r="X795" i="5"/>
  <c r="Y795" i="5"/>
  <c r="AF795" i="5"/>
  <c r="AG795" i="5"/>
  <c r="AJ795" i="5"/>
  <c r="AK795" i="5"/>
  <c r="H796" i="5"/>
  <c r="I796" i="5"/>
  <c r="P796" i="5"/>
  <c r="Q796" i="5"/>
  <c r="T796" i="5"/>
  <c r="U796" i="5"/>
  <c r="X796" i="5"/>
  <c r="Y796" i="5"/>
  <c r="AF796" i="5"/>
  <c r="AG796" i="5"/>
  <c r="AJ796" i="5"/>
  <c r="AK796" i="5"/>
  <c r="H797" i="5"/>
  <c r="I797" i="5"/>
  <c r="P797" i="5"/>
  <c r="Q797" i="5"/>
  <c r="T797" i="5"/>
  <c r="U797" i="5"/>
  <c r="X797" i="5"/>
  <c r="Y797" i="5"/>
  <c r="AF797" i="5"/>
  <c r="AG797" i="5"/>
  <c r="AJ797" i="5"/>
  <c r="AK797" i="5"/>
  <c r="H798" i="5"/>
  <c r="I798" i="5"/>
  <c r="P798" i="5"/>
  <c r="Q798" i="5"/>
  <c r="T798" i="5"/>
  <c r="U798" i="5"/>
  <c r="X798" i="5"/>
  <c r="Y798" i="5"/>
  <c r="AF798" i="5"/>
  <c r="AG798" i="5"/>
  <c r="AJ798" i="5"/>
  <c r="AK798" i="5"/>
  <c r="H799" i="5"/>
  <c r="I799" i="5"/>
  <c r="P799" i="5"/>
  <c r="Q799" i="5"/>
  <c r="T799" i="5"/>
  <c r="U799" i="5"/>
  <c r="X799" i="5"/>
  <c r="Y799" i="5"/>
  <c r="AF799" i="5"/>
  <c r="AG799" i="5"/>
  <c r="AJ799" i="5"/>
  <c r="AK799" i="5"/>
  <c r="H800" i="5"/>
  <c r="I800" i="5"/>
  <c r="P800" i="5"/>
  <c r="Q800" i="5"/>
  <c r="T800" i="5"/>
  <c r="U800" i="5"/>
  <c r="X800" i="5"/>
  <c r="Y800" i="5"/>
  <c r="AF800" i="5"/>
  <c r="AG800" i="5"/>
  <c r="AJ800" i="5"/>
  <c r="AK800" i="5"/>
  <c r="H801" i="5"/>
  <c r="I801" i="5"/>
  <c r="P801" i="5"/>
  <c r="Q801" i="5"/>
  <c r="T801" i="5"/>
  <c r="U801" i="5"/>
  <c r="X801" i="5"/>
  <c r="Y801" i="5"/>
  <c r="AF801" i="5"/>
  <c r="AG801" i="5"/>
  <c r="AJ801" i="5"/>
  <c r="AK801" i="5"/>
  <c r="H802" i="5"/>
  <c r="I802" i="5"/>
  <c r="P802" i="5"/>
  <c r="Q802" i="5"/>
  <c r="T802" i="5"/>
  <c r="U802" i="5"/>
  <c r="X802" i="5"/>
  <c r="Y802" i="5"/>
  <c r="AF802" i="5"/>
  <c r="AG802" i="5"/>
  <c r="AJ802" i="5"/>
  <c r="AK802" i="5"/>
  <c r="H803" i="5"/>
  <c r="I803" i="5"/>
  <c r="P803" i="5"/>
  <c r="Q803" i="5"/>
  <c r="T803" i="5"/>
  <c r="U803" i="5"/>
  <c r="X803" i="5"/>
  <c r="Y803" i="5"/>
  <c r="AF803" i="5"/>
  <c r="AG803" i="5"/>
  <c r="AJ803" i="5"/>
  <c r="AK803" i="5"/>
  <c r="H804" i="5"/>
  <c r="I804" i="5"/>
  <c r="P804" i="5"/>
  <c r="Q804" i="5"/>
  <c r="T804" i="5"/>
  <c r="U804" i="5"/>
  <c r="X804" i="5"/>
  <c r="Y804" i="5"/>
  <c r="AF804" i="5"/>
  <c r="AG804" i="5"/>
  <c r="AJ804" i="5"/>
  <c r="AK804" i="5"/>
  <c r="H805" i="5"/>
  <c r="I805" i="5"/>
  <c r="P805" i="5"/>
  <c r="Q805" i="5"/>
  <c r="T805" i="5"/>
  <c r="U805" i="5"/>
  <c r="X805" i="5"/>
  <c r="Y805" i="5"/>
  <c r="AF805" i="5"/>
  <c r="AG805" i="5"/>
  <c r="AJ805" i="5"/>
  <c r="AK805" i="5"/>
  <c r="H806" i="5"/>
  <c r="I806" i="5"/>
  <c r="P806" i="5"/>
  <c r="Q806" i="5"/>
  <c r="T806" i="5"/>
  <c r="U806" i="5"/>
  <c r="X806" i="5"/>
  <c r="Y806" i="5"/>
  <c r="AF806" i="5"/>
  <c r="AG806" i="5"/>
  <c r="AJ806" i="5"/>
  <c r="AK806" i="5"/>
  <c r="H807" i="5"/>
  <c r="I807" i="5"/>
  <c r="P807" i="5"/>
  <c r="Q807" i="5"/>
  <c r="T807" i="5"/>
  <c r="U807" i="5"/>
  <c r="X807" i="5"/>
  <c r="Y807" i="5"/>
  <c r="AF807" i="5"/>
  <c r="AG807" i="5"/>
  <c r="AJ807" i="5"/>
  <c r="AK807" i="5"/>
  <c r="H808" i="5"/>
  <c r="I808" i="5"/>
  <c r="P808" i="5"/>
  <c r="Q808" i="5"/>
  <c r="T808" i="5"/>
  <c r="U808" i="5"/>
  <c r="X808" i="5"/>
  <c r="Y808" i="5"/>
  <c r="AF808" i="5"/>
  <c r="AG808" i="5"/>
  <c r="AJ808" i="5"/>
  <c r="AK808" i="5"/>
  <c r="H809" i="5"/>
  <c r="I809" i="5"/>
  <c r="P809" i="5"/>
  <c r="Q809" i="5"/>
  <c r="T809" i="5"/>
  <c r="U809" i="5"/>
  <c r="X809" i="5"/>
  <c r="Y809" i="5"/>
  <c r="AF809" i="5"/>
  <c r="AG809" i="5"/>
  <c r="AJ809" i="5"/>
  <c r="AK809" i="5"/>
  <c r="H810" i="5"/>
  <c r="I810" i="5"/>
  <c r="P810" i="5"/>
  <c r="Q810" i="5"/>
  <c r="T810" i="5"/>
  <c r="U810" i="5"/>
  <c r="X810" i="5"/>
  <c r="Y810" i="5"/>
  <c r="AF810" i="5"/>
  <c r="AG810" i="5"/>
  <c r="AJ810" i="5"/>
  <c r="AK810" i="5"/>
  <c r="H811" i="5"/>
  <c r="I811" i="5"/>
  <c r="P811" i="5"/>
  <c r="Q811" i="5"/>
  <c r="T811" i="5"/>
  <c r="U811" i="5"/>
  <c r="X811" i="5"/>
  <c r="Y811" i="5"/>
  <c r="AF811" i="5"/>
  <c r="AG811" i="5"/>
  <c r="AJ811" i="5"/>
  <c r="AK811" i="5"/>
  <c r="H812" i="5"/>
  <c r="I812" i="5"/>
  <c r="P812" i="5"/>
  <c r="Q812" i="5"/>
  <c r="T812" i="5"/>
  <c r="U812" i="5"/>
  <c r="X812" i="5"/>
  <c r="Y812" i="5"/>
  <c r="AF812" i="5"/>
  <c r="AG812" i="5"/>
  <c r="AJ812" i="5"/>
  <c r="AK812" i="5"/>
  <c r="H813" i="5"/>
  <c r="I813" i="5"/>
  <c r="P813" i="5"/>
  <c r="Q813" i="5"/>
  <c r="T813" i="5"/>
  <c r="U813" i="5"/>
  <c r="X813" i="5"/>
  <c r="Y813" i="5"/>
  <c r="AF813" i="5"/>
  <c r="AG813" i="5"/>
  <c r="AJ813" i="5"/>
  <c r="AK813" i="5"/>
  <c r="H814" i="5"/>
  <c r="I814" i="5"/>
  <c r="P814" i="5"/>
  <c r="Q814" i="5"/>
  <c r="T814" i="5"/>
  <c r="U814" i="5"/>
  <c r="X814" i="5"/>
  <c r="Y814" i="5"/>
  <c r="AF814" i="5"/>
  <c r="AG814" i="5"/>
  <c r="AJ814" i="5"/>
  <c r="AK814" i="5"/>
  <c r="H815" i="5"/>
  <c r="I815" i="5"/>
  <c r="P815" i="5"/>
  <c r="Q815" i="5"/>
  <c r="T815" i="5"/>
  <c r="U815" i="5"/>
  <c r="X815" i="5"/>
  <c r="Y815" i="5"/>
  <c r="AF815" i="5"/>
  <c r="AG815" i="5"/>
  <c r="AJ815" i="5"/>
  <c r="AK815" i="5"/>
  <c r="H816" i="5"/>
  <c r="I816" i="5"/>
  <c r="P816" i="5"/>
  <c r="Q816" i="5"/>
  <c r="T816" i="5"/>
  <c r="U816" i="5"/>
  <c r="X816" i="5"/>
  <c r="Y816" i="5"/>
  <c r="AF816" i="5"/>
  <c r="AG816" i="5"/>
  <c r="AJ816" i="5"/>
  <c r="AK816" i="5"/>
  <c r="H817" i="5"/>
  <c r="I817" i="5"/>
  <c r="P817" i="5"/>
  <c r="Q817" i="5"/>
  <c r="T817" i="5"/>
  <c r="U817" i="5"/>
  <c r="X817" i="5"/>
  <c r="Y817" i="5"/>
  <c r="AF817" i="5"/>
  <c r="AG817" i="5"/>
  <c r="AJ817" i="5"/>
  <c r="AK817" i="5"/>
  <c r="H818" i="5"/>
  <c r="I818" i="5"/>
  <c r="P818" i="5"/>
  <c r="Q818" i="5"/>
  <c r="T818" i="5"/>
  <c r="U818" i="5"/>
  <c r="X818" i="5"/>
  <c r="Y818" i="5"/>
  <c r="AF818" i="5"/>
  <c r="AG818" i="5"/>
  <c r="AJ818" i="5"/>
  <c r="AK818" i="5"/>
  <c r="H819" i="5"/>
  <c r="I819" i="5"/>
  <c r="P819" i="5"/>
  <c r="Q819" i="5"/>
  <c r="T819" i="5"/>
  <c r="U819" i="5"/>
  <c r="X819" i="5"/>
  <c r="Y819" i="5"/>
  <c r="AF819" i="5"/>
  <c r="AG819" i="5"/>
  <c r="AJ819" i="5"/>
  <c r="AK819" i="5"/>
  <c r="H820" i="5"/>
  <c r="I820" i="5"/>
  <c r="P820" i="5"/>
  <c r="Q820" i="5"/>
  <c r="T820" i="5"/>
  <c r="U820" i="5"/>
  <c r="X820" i="5"/>
  <c r="Y820" i="5"/>
  <c r="AF820" i="5"/>
  <c r="AG820" i="5"/>
  <c r="AJ820" i="5"/>
  <c r="AK820" i="5"/>
  <c r="H821" i="5"/>
  <c r="I821" i="5"/>
  <c r="P821" i="5"/>
  <c r="Q821" i="5"/>
  <c r="T821" i="5"/>
  <c r="U821" i="5"/>
  <c r="X821" i="5"/>
  <c r="Y821" i="5"/>
  <c r="AF821" i="5"/>
  <c r="AG821" i="5"/>
  <c r="AJ821" i="5"/>
  <c r="AK821" i="5"/>
  <c r="H822" i="5"/>
  <c r="I822" i="5"/>
  <c r="P822" i="5"/>
  <c r="Q822" i="5"/>
  <c r="T822" i="5"/>
  <c r="U822" i="5"/>
  <c r="X822" i="5"/>
  <c r="Y822" i="5"/>
  <c r="AF822" i="5"/>
  <c r="AG822" i="5"/>
  <c r="AJ822" i="5"/>
  <c r="AK822" i="5"/>
  <c r="H823" i="5"/>
  <c r="I823" i="5"/>
  <c r="P823" i="5"/>
  <c r="Q823" i="5"/>
  <c r="T823" i="5"/>
  <c r="U823" i="5"/>
  <c r="X823" i="5"/>
  <c r="Y823" i="5"/>
  <c r="AF823" i="5"/>
  <c r="AG823" i="5"/>
  <c r="AJ823" i="5"/>
  <c r="AK823" i="5"/>
  <c r="H824" i="5"/>
  <c r="I824" i="5"/>
  <c r="P824" i="5"/>
  <c r="Q824" i="5"/>
  <c r="T824" i="5"/>
  <c r="U824" i="5"/>
  <c r="X824" i="5"/>
  <c r="Y824" i="5"/>
  <c r="AF824" i="5"/>
  <c r="AG824" i="5"/>
  <c r="AJ824" i="5"/>
  <c r="AK824" i="5"/>
  <c r="H825" i="5"/>
  <c r="I825" i="5"/>
  <c r="P825" i="5"/>
  <c r="Q825" i="5"/>
  <c r="T825" i="5"/>
  <c r="U825" i="5"/>
  <c r="X825" i="5"/>
  <c r="Y825" i="5"/>
  <c r="AF825" i="5"/>
  <c r="AG825" i="5"/>
  <c r="AJ825" i="5"/>
  <c r="AK825" i="5"/>
  <c r="H826" i="5"/>
  <c r="I826" i="5"/>
  <c r="P826" i="5"/>
  <c r="Q826" i="5"/>
  <c r="T826" i="5"/>
  <c r="U826" i="5"/>
  <c r="X826" i="5"/>
  <c r="Y826" i="5"/>
  <c r="AF826" i="5"/>
  <c r="AG826" i="5"/>
  <c r="AJ826" i="5"/>
  <c r="AK826" i="5"/>
  <c r="H827" i="5"/>
  <c r="I827" i="5"/>
  <c r="P827" i="5"/>
  <c r="Q827" i="5"/>
  <c r="T827" i="5"/>
  <c r="U827" i="5"/>
  <c r="X827" i="5"/>
  <c r="Y827" i="5"/>
  <c r="AF827" i="5"/>
  <c r="AG827" i="5"/>
  <c r="AJ827" i="5"/>
  <c r="AK827" i="5"/>
  <c r="H828" i="5"/>
  <c r="I828" i="5"/>
  <c r="P828" i="5"/>
  <c r="Q828" i="5"/>
  <c r="T828" i="5"/>
  <c r="U828" i="5"/>
  <c r="X828" i="5"/>
  <c r="Y828" i="5"/>
  <c r="AF828" i="5"/>
  <c r="AG828" i="5"/>
  <c r="AJ828" i="5"/>
  <c r="AK828" i="5"/>
  <c r="H829" i="5"/>
  <c r="I829" i="5"/>
  <c r="P829" i="5"/>
  <c r="Q829" i="5"/>
  <c r="T829" i="5"/>
  <c r="U829" i="5"/>
  <c r="X829" i="5"/>
  <c r="Y829" i="5"/>
  <c r="AF829" i="5"/>
  <c r="AG829" i="5"/>
  <c r="AJ829" i="5"/>
  <c r="AK829" i="5"/>
  <c r="H830" i="5"/>
  <c r="I830" i="5"/>
  <c r="P830" i="5"/>
  <c r="Q830" i="5"/>
  <c r="T830" i="5"/>
  <c r="U830" i="5"/>
  <c r="X830" i="5"/>
  <c r="Y830" i="5"/>
  <c r="AF830" i="5"/>
  <c r="AG830" i="5"/>
  <c r="AJ830" i="5"/>
  <c r="AK830" i="5"/>
  <c r="H831" i="5"/>
  <c r="I831" i="5"/>
  <c r="P831" i="5"/>
  <c r="Q831" i="5"/>
  <c r="T831" i="5"/>
  <c r="U831" i="5"/>
  <c r="X831" i="5"/>
  <c r="Y831" i="5"/>
  <c r="AF831" i="5"/>
  <c r="AG831" i="5"/>
  <c r="AJ831" i="5"/>
  <c r="AK831" i="5"/>
  <c r="H832" i="5"/>
  <c r="I832" i="5"/>
  <c r="P832" i="5"/>
  <c r="Q832" i="5"/>
  <c r="T832" i="5"/>
  <c r="U832" i="5"/>
  <c r="X832" i="5"/>
  <c r="Y832" i="5"/>
  <c r="AF832" i="5"/>
  <c r="AG832" i="5"/>
  <c r="AJ832" i="5"/>
  <c r="AK832" i="5"/>
  <c r="H833" i="5"/>
  <c r="I833" i="5"/>
  <c r="P833" i="5"/>
  <c r="Q833" i="5"/>
  <c r="T833" i="5"/>
  <c r="U833" i="5"/>
  <c r="X833" i="5"/>
  <c r="Y833" i="5"/>
  <c r="AF833" i="5"/>
  <c r="AG833" i="5"/>
  <c r="AJ833" i="5"/>
  <c r="AK833" i="5"/>
  <c r="H834" i="5"/>
  <c r="I834" i="5"/>
  <c r="P834" i="5"/>
  <c r="Q834" i="5"/>
  <c r="T834" i="5"/>
  <c r="U834" i="5"/>
  <c r="X834" i="5"/>
  <c r="Y834" i="5"/>
  <c r="AF834" i="5"/>
  <c r="AG834" i="5"/>
  <c r="AJ834" i="5"/>
  <c r="AK834" i="5"/>
  <c r="H835" i="5"/>
  <c r="I835" i="5"/>
  <c r="P835" i="5"/>
  <c r="Q835" i="5"/>
  <c r="T835" i="5"/>
  <c r="U835" i="5"/>
  <c r="X835" i="5"/>
  <c r="Y835" i="5"/>
  <c r="AF835" i="5"/>
  <c r="AG835" i="5"/>
  <c r="AJ835" i="5"/>
  <c r="AK835" i="5"/>
  <c r="H836" i="5"/>
  <c r="I836" i="5"/>
  <c r="P836" i="5"/>
  <c r="Q836" i="5"/>
  <c r="T836" i="5"/>
  <c r="U836" i="5"/>
  <c r="X836" i="5"/>
  <c r="Y836" i="5"/>
  <c r="AF836" i="5"/>
  <c r="AG836" i="5"/>
  <c r="AJ836" i="5"/>
  <c r="AK836" i="5"/>
  <c r="H837" i="5"/>
  <c r="I837" i="5"/>
  <c r="P837" i="5"/>
  <c r="Q837" i="5"/>
  <c r="T837" i="5"/>
  <c r="U837" i="5"/>
  <c r="X837" i="5"/>
  <c r="Y837" i="5"/>
  <c r="AF837" i="5"/>
  <c r="AG837" i="5"/>
  <c r="AJ837" i="5"/>
  <c r="AK837" i="5"/>
  <c r="H838" i="5"/>
  <c r="I838" i="5"/>
  <c r="P838" i="5"/>
  <c r="Q838" i="5"/>
  <c r="T838" i="5"/>
  <c r="U838" i="5"/>
  <c r="X838" i="5"/>
  <c r="Y838" i="5"/>
  <c r="AF838" i="5"/>
  <c r="AG838" i="5"/>
  <c r="AJ838" i="5"/>
  <c r="AK838" i="5"/>
  <c r="H839" i="5"/>
  <c r="I839" i="5"/>
  <c r="P839" i="5"/>
  <c r="Q839" i="5"/>
  <c r="T839" i="5"/>
  <c r="U839" i="5"/>
  <c r="X839" i="5"/>
  <c r="Y839" i="5"/>
  <c r="AF839" i="5"/>
  <c r="AG839" i="5"/>
  <c r="AJ839" i="5"/>
  <c r="AK839" i="5"/>
  <c r="H840" i="5"/>
  <c r="I840" i="5"/>
  <c r="P840" i="5"/>
  <c r="Q840" i="5"/>
  <c r="T840" i="5"/>
  <c r="U840" i="5"/>
  <c r="X840" i="5"/>
  <c r="Y840" i="5"/>
  <c r="AF840" i="5"/>
  <c r="AG840" i="5"/>
  <c r="AJ840" i="5"/>
  <c r="AK840" i="5"/>
  <c r="H841" i="5"/>
  <c r="I841" i="5"/>
  <c r="P841" i="5"/>
  <c r="Q841" i="5"/>
  <c r="T841" i="5"/>
  <c r="U841" i="5"/>
  <c r="X841" i="5"/>
  <c r="Y841" i="5"/>
  <c r="AF841" i="5"/>
  <c r="AG841" i="5"/>
  <c r="AJ841" i="5"/>
  <c r="AK841" i="5"/>
  <c r="H842" i="5"/>
  <c r="I842" i="5"/>
  <c r="P842" i="5"/>
  <c r="Q842" i="5"/>
  <c r="T842" i="5"/>
  <c r="U842" i="5"/>
  <c r="X842" i="5"/>
  <c r="Y842" i="5"/>
  <c r="AF842" i="5"/>
  <c r="AG842" i="5"/>
  <c r="AJ842" i="5"/>
  <c r="AK842" i="5"/>
  <c r="H843" i="5"/>
  <c r="I843" i="5"/>
  <c r="P843" i="5"/>
  <c r="Q843" i="5"/>
  <c r="T843" i="5"/>
  <c r="U843" i="5"/>
  <c r="X843" i="5"/>
  <c r="Y843" i="5"/>
  <c r="AF843" i="5"/>
  <c r="AG843" i="5"/>
  <c r="AJ843" i="5"/>
  <c r="AK843" i="5"/>
  <c r="H844" i="5"/>
  <c r="I844" i="5"/>
  <c r="P844" i="5"/>
  <c r="Q844" i="5"/>
  <c r="T844" i="5"/>
  <c r="U844" i="5"/>
  <c r="X844" i="5"/>
  <c r="Y844" i="5"/>
  <c r="AF844" i="5"/>
  <c r="AG844" i="5"/>
  <c r="AJ844" i="5"/>
  <c r="AK844" i="5"/>
  <c r="H845" i="5"/>
  <c r="I845" i="5"/>
  <c r="P845" i="5"/>
  <c r="Q845" i="5"/>
  <c r="T845" i="5"/>
  <c r="U845" i="5"/>
  <c r="X845" i="5"/>
  <c r="Y845" i="5"/>
  <c r="AF845" i="5"/>
  <c r="AG845" i="5"/>
  <c r="AJ845" i="5"/>
  <c r="AK845" i="5"/>
  <c r="H846" i="5"/>
  <c r="I846" i="5"/>
  <c r="P846" i="5"/>
  <c r="Q846" i="5"/>
  <c r="T846" i="5"/>
  <c r="U846" i="5"/>
  <c r="X846" i="5"/>
  <c r="Y846" i="5"/>
  <c r="AF846" i="5"/>
  <c r="AG846" i="5"/>
  <c r="AJ846" i="5"/>
  <c r="AK846" i="5"/>
  <c r="H847" i="5"/>
  <c r="I847" i="5"/>
  <c r="P847" i="5"/>
  <c r="Q847" i="5"/>
  <c r="T847" i="5"/>
  <c r="U847" i="5"/>
  <c r="X847" i="5"/>
  <c r="Y847" i="5"/>
  <c r="AF847" i="5"/>
  <c r="AG847" i="5"/>
  <c r="AJ847" i="5"/>
  <c r="AK847" i="5"/>
  <c r="H848" i="5"/>
  <c r="I848" i="5"/>
  <c r="P848" i="5"/>
  <c r="Q848" i="5"/>
  <c r="T848" i="5"/>
  <c r="U848" i="5"/>
  <c r="X848" i="5"/>
  <c r="Y848" i="5"/>
  <c r="AF848" i="5"/>
  <c r="AG848" i="5"/>
  <c r="AJ848" i="5"/>
  <c r="AK848" i="5"/>
  <c r="H849" i="5"/>
  <c r="I849" i="5"/>
  <c r="P849" i="5"/>
  <c r="Q849" i="5"/>
  <c r="T849" i="5"/>
  <c r="U849" i="5"/>
  <c r="X849" i="5"/>
  <c r="Y849" i="5"/>
  <c r="AF849" i="5"/>
  <c r="AG849" i="5"/>
  <c r="AJ849" i="5"/>
  <c r="AK849" i="5"/>
  <c r="H850" i="5"/>
  <c r="I850" i="5"/>
  <c r="P850" i="5"/>
  <c r="Q850" i="5"/>
  <c r="T850" i="5"/>
  <c r="U850" i="5"/>
  <c r="X850" i="5"/>
  <c r="Y850" i="5"/>
  <c r="AF850" i="5"/>
  <c r="AG850" i="5"/>
  <c r="AJ850" i="5"/>
  <c r="AK850" i="5"/>
  <c r="H851" i="5"/>
  <c r="I851" i="5"/>
  <c r="P851" i="5"/>
  <c r="Q851" i="5"/>
  <c r="T851" i="5"/>
  <c r="U851" i="5"/>
  <c r="X851" i="5"/>
  <c r="Y851" i="5"/>
  <c r="AF851" i="5"/>
  <c r="AG851" i="5"/>
  <c r="AJ851" i="5"/>
  <c r="AK851" i="5"/>
  <c r="H852" i="5"/>
  <c r="I852" i="5"/>
  <c r="P852" i="5"/>
  <c r="Q852" i="5"/>
  <c r="T852" i="5"/>
  <c r="U852" i="5"/>
  <c r="X852" i="5"/>
  <c r="Y852" i="5"/>
  <c r="AF852" i="5"/>
  <c r="AG852" i="5"/>
  <c r="AJ852" i="5"/>
  <c r="AK852" i="5"/>
  <c r="H853" i="5"/>
  <c r="I853" i="5"/>
  <c r="P853" i="5"/>
  <c r="Q853" i="5"/>
  <c r="T853" i="5"/>
  <c r="U853" i="5"/>
  <c r="X853" i="5"/>
  <c r="Y853" i="5"/>
  <c r="AF853" i="5"/>
  <c r="AG853" i="5"/>
  <c r="AJ853" i="5"/>
  <c r="AK853" i="5"/>
  <c r="H854" i="5"/>
  <c r="I854" i="5"/>
  <c r="P854" i="5"/>
  <c r="Q854" i="5"/>
  <c r="T854" i="5"/>
  <c r="U854" i="5"/>
  <c r="X854" i="5"/>
  <c r="Y854" i="5"/>
  <c r="AF854" i="5"/>
  <c r="AG854" i="5"/>
  <c r="AJ854" i="5"/>
  <c r="AK854" i="5"/>
  <c r="H855" i="5"/>
  <c r="I855" i="5"/>
  <c r="P855" i="5"/>
  <c r="Q855" i="5"/>
  <c r="T855" i="5"/>
  <c r="U855" i="5"/>
  <c r="X855" i="5"/>
  <c r="Y855" i="5"/>
  <c r="AF855" i="5"/>
  <c r="AG855" i="5"/>
  <c r="AJ855" i="5"/>
  <c r="AK855" i="5"/>
  <c r="H856" i="5"/>
  <c r="I856" i="5"/>
  <c r="P856" i="5"/>
  <c r="Q856" i="5"/>
  <c r="T856" i="5"/>
  <c r="U856" i="5"/>
  <c r="X856" i="5"/>
  <c r="Y856" i="5"/>
  <c r="AF856" i="5"/>
  <c r="AG856" i="5"/>
  <c r="AJ856" i="5"/>
  <c r="AK856" i="5"/>
  <c r="H857" i="5"/>
  <c r="I857" i="5"/>
  <c r="P857" i="5"/>
  <c r="Q857" i="5"/>
  <c r="T857" i="5"/>
  <c r="U857" i="5"/>
  <c r="X857" i="5"/>
  <c r="Y857" i="5"/>
  <c r="AF857" i="5"/>
  <c r="AG857" i="5"/>
  <c r="AJ857" i="5"/>
  <c r="AK857" i="5"/>
  <c r="H858" i="5"/>
  <c r="I858" i="5"/>
  <c r="P858" i="5"/>
  <c r="Q858" i="5"/>
  <c r="T858" i="5"/>
  <c r="U858" i="5"/>
  <c r="X858" i="5"/>
  <c r="Y858" i="5"/>
  <c r="AF858" i="5"/>
  <c r="AG858" i="5"/>
  <c r="AJ858" i="5"/>
  <c r="AK858" i="5"/>
  <c r="H859" i="5"/>
  <c r="I859" i="5"/>
  <c r="P859" i="5"/>
  <c r="Q859" i="5"/>
  <c r="T859" i="5"/>
  <c r="U859" i="5"/>
  <c r="X859" i="5"/>
  <c r="Y859" i="5"/>
  <c r="AF859" i="5"/>
  <c r="AG859" i="5"/>
  <c r="AJ859" i="5"/>
  <c r="AK859" i="5"/>
  <c r="H860" i="5"/>
  <c r="I860" i="5"/>
  <c r="P860" i="5"/>
  <c r="Q860" i="5"/>
  <c r="T860" i="5"/>
  <c r="U860" i="5"/>
  <c r="X860" i="5"/>
  <c r="Y860" i="5"/>
  <c r="AF860" i="5"/>
  <c r="AG860" i="5"/>
  <c r="AJ860" i="5"/>
  <c r="AK860" i="5"/>
  <c r="H861" i="5"/>
  <c r="I861" i="5"/>
  <c r="P861" i="5"/>
  <c r="Q861" i="5"/>
  <c r="T861" i="5"/>
  <c r="U861" i="5"/>
  <c r="X861" i="5"/>
  <c r="Y861" i="5"/>
  <c r="AF861" i="5"/>
  <c r="AG861" i="5"/>
  <c r="AJ861" i="5"/>
  <c r="AK861" i="5"/>
  <c r="H862" i="5"/>
  <c r="I862" i="5"/>
  <c r="P862" i="5"/>
  <c r="Q862" i="5"/>
  <c r="T862" i="5"/>
  <c r="U862" i="5"/>
  <c r="X862" i="5"/>
  <c r="Y862" i="5"/>
  <c r="AF862" i="5"/>
  <c r="AG862" i="5"/>
  <c r="AJ862" i="5"/>
  <c r="AK862" i="5"/>
  <c r="H863" i="5"/>
  <c r="I863" i="5"/>
  <c r="P863" i="5"/>
  <c r="Q863" i="5"/>
  <c r="T863" i="5"/>
  <c r="U863" i="5"/>
  <c r="X863" i="5"/>
  <c r="Y863" i="5"/>
  <c r="AF863" i="5"/>
  <c r="AG863" i="5"/>
  <c r="AJ863" i="5"/>
  <c r="AK863" i="5"/>
  <c r="H864" i="5"/>
  <c r="I864" i="5"/>
  <c r="P864" i="5"/>
  <c r="Q864" i="5"/>
  <c r="T864" i="5"/>
  <c r="U864" i="5"/>
  <c r="X864" i="5"/>
  <c r="Y864" i="5"/>
  <c r="AF864" i="5"/>
  <c r="AG864" i="5"/>
  <c r="AJ864" i="5"/>
  <c r="AK864" i="5"/>
  <c r="H865" i="5"/>
  <c r="I865" i="5"/>
  <c r="P865" i="5"/>
  <c r="Q865" i="5"/>
  <c r="T865" i="5"/>
  <c r="U865" i="5"/>
  <c r="X865" i="5"/>
  <c r="Y865" i="5"/>
  <c r="AF865" i="5"/>
  <c r="AG865" i="5"/>
  <c r="AJ865" i="5"/>
  <c r="AK865" i="5"/>
  <c r="H866" i="5"/>
  <c r="I866" i="5"/>
  <c r="P866" i="5"/>
  <c r="Q866" i="5"/>
  <c r="T866" i="5"/>
  <c r="U866" i="5"/>
  <c r="X866" i="5"/>
  <c r="Y866" i="5"/>
  <c r="AF866" i="5"/>
  <c r="AG866" i="5"/>
  <c r="AJ866" i="5"/>
  <c r="AK866" i="5"/>
  <c r="H867" i="5"/>
  <c r="I867" i="5"/>
  <c r="P867" i="5"/>
  <c r="Q867" i="5"/>
  <c r="T867" i="5"/>
  <c r="U867" i="5"/>
  <c r="X867" i="5"/>
  <c r="Y867" i="5"/>
  <c r="AF867" i="5"/>
  <c r="AG867" i="5"/>
  <c r="AJ867" i="5"/>
  <c r="AK867" i="5"/>
  <c r="H868" i="5"/>
  <c r="I868" i="5"/>
  <c r="P868" i="5"/>
  <c r="Q868" i="5"/>
  <c r="T868" i="5"/>
  <c r="U868" i="5"/>
  <c r="X868" i="5"/>
  <c r="Y868" i="5"/>
  <c r="AF868" i="5"/>
  <c r="AG868" i="5"/>
  <c r="AJ868" i="5"/>
  <c r="AK868" i="5"/>
  <c r="H869" i="5"/>
  <c r="I869" i="5"/>
  <c r="P869" i="5"/>
  <c r="Q869" i="5"/>
  <c r="T869" i="5"/>
  <c r="U869" i="5"/>
  <c r="X869" i="5"/>
  <c r="Y869" i="5"/>
  <c r="AF869" i="5"/>
  <c r="AG869" i="5"/>
  <c r="AJ869" i="5"/>
  <c r="AK869" i="5"/>
  <c r="H870" i="5"/>
  <c r="I870" i="5"/>
  <c r="P870" i="5"/>
  <c r="Q870" i="5"/>
  <c r="T870" i="5"/>
  <c r="U870" i="5"/>
  <c r="X870" i="5"/>
  <c r="Y870" i="5"/>
  <c r="AF870" i="5"/>
  <c r="AG870" i="5"/>
  <c r="AJ870" i="5"/>
  <c r="AK870" i="5"/>
  <c r="H871" i="5"/>
  <c r="I871" i="5"/>
  <c r="P871" i="5"/>
  <c r="Q871" i="5"/>
  <c r="T871" i="5"/>
  <c r="U871" i="5"/>
  <c r="X871" i="5"/>
  <c r="Y871" i="5"/>
  <c r="AF871" i="5"/>
  <c r="AG871" i="5"/>
  <c r="AJ871" i="5"/>
  <c r="AK871" i="5"/>
  <c r="H872" i="5"/>
  <c r="I872" i="5"/>
  <c r="P872" i="5"/>
  <c r="Q872" i="5"/>
  <c r="T872" i="5"/>
  <c r="U872" i="5"/>
  <c r="X872" i="5"/>
  <c r="Y872" i="5"/>
  <c r="AF872" i="5"/>
  <c r="AG872" i="5"/>
  <c r="AJ872" i="5"/>
  <c r="AK872" i="5"/>
  <c r="H873" i="5"/>
  <c r="I873" i="5"/>
  <c r="P873" i="5"/>
  <c r="Q873" i="5"/>
  <c r="T873" i="5"/>
  <c r="U873" i="5"/>
  <c r="X873" i="5"/>
  <c r="Y873" i="5"/>
  <c r="AF873" i="5"/>
  <c r="AG873" i="5"/>
  <c r="AJ873" i="5"/>
  <c r="AK873" i="5"/>
  <c r="H874" i="5"/>
  <c r="I874" i="5"/>
  <c r="P874" i="5"/>
  <c r="Q874" i="5"/>
  <c r="T874" i="5"/>
  <c r="U874" i="5"/>
  <c r="X874" i="5"/>
  <c r="Y874" i="5"/>
  <c r="AF874" i="5"/>
  <c r="AG874" i="5"/>
  <c r="AJ874" i="5"/>
  <c r="AK874" i="5"/>
  <c r="H875" i="5"/>
  <c r="I875" i="5"/>
  <c r="P875" i="5"/>
  <c r="Q875" i="5"/>
  <c r="T875" i="5"/>
  <c r="U875" i="5"/>
  <c r="X875" i="5"/>
  <c r="Y875" i="5"/>
  <c r="AF875" i="5"/>
  <c r="AG875" i="5"/>
  <c r="AJ875" i="5"/>
  <c r="AK875" i="5"/>
  <c r="H876" i="5"/>
  <c r="I876" i="5"/>
  <c r="P876" i="5"/>
  <c r="Q876" i="5"/>
  <c r="T876" i="5"/>
  <c r="U876" i="5"/>
  <c r="X876" i="5"/>
  <c r="Y876" i="5"/>
  <c r="AF876" i="5"/>
  <c r="AG876" i="5"/>
  <c r="AJ876" i="5"/>
  <c r="AK876" i="5"/>
  <c r="H877" i="5"/>
  <c r="I877" i="5"/>
  <c r="P877" i="5"/>
  <c r="Q877" i="5"/>
  <c r="T877" i="5"/>
  <c r="U877" i="5"/>
  <c r="X877" i="5"/>
  <c r="Y877" i="5"/>
  <c r="AF877" i="5"/>
  <c r="AG877" i="5"/>
  <c r="AJ877" i="5"/>
  <c r="AK877" i="5"/>
  <c r="H878" i="5"/>
  <c r="I878" i="5"/>
  <c r="P878" i="5"/>
  <c r="Q878" i="5"/>
  <c r="T878" i="5"/>
  <c r="U878" i="5"/>
  <c r="X878" i="5"/>
  <c r="Y878" i="5"/>
  <c r="AF878" i="5"/>
  <c r="AG878" i="5"/>
  <c r="AJ878" i="5"/>
  <c r="AK878" i="5"/>
  <c r="H879" i="5"/>
  <c r="I879" i="5"/>
  <c r="P879" i="5"/>
  <c r="Q879" i="5"/>
  <c r="T879" i="5"/>
  <c r="U879" i="5"/>
  <c r="X879" i="5"/>
  <c r="Y879" i="5"/>
  <c r="AF879" i="5"/>
  <c r="AG879" i="5"/>
  <c r="AJ879" i="5"/>
  <c r="AK879" i="5"/>
  <c r="H880" i="5"/>
  <c r="I880" i="5"/>
  <c r="P880" i="5"/>
  <c r="Q880" i="5"/>
  <c r="T880" i="5"/>
  <c r="U880" i="5"/>
  <c r="X880" i="5"/>
  <c r="Y880" i="5"/>
  <c r="AF880" i="5"/>
  <c r="AG880" i="5"/>
  <c r="AJ880" i="5"/>
  <c r="AK880" i="5"/>
  <c r="H881" i="5"/>
  <c r="I881" i="5"/>
  <c r="P881" i="5"/>
  <c r="Q881" i="5"/>
  <c r="T881" i="5"/>
  <c r="U881" i="5"/>
  <c r="X881" i="5"/>
  <c r="Y881" i="5"/>
  <c r="AF881" i="5"/>
  <c r="AG881" i="5"/>
  <c r="AJ881" i="5"/>
  <c r="AK881" i="5"/>
  <c r="H882" i="5"/>
  <c r="I882" i="5"/>
  <c r="P882" i="5"/>
  <c r="Q882" i="5"/>
  <c r="T882" i="5"/>
  <c r="U882" i="5"/>
  <c r="X882" i="5"/>
  <c r="Y882" i="5"/>
  <c r="AF882" i="5"/>
  <c r="AG882" i="5"/>
  <c r="AJ882" i="5"/>
  <c r="AK882" i="5"/>
  <c r="H883" i="5"/>
  <c r="I883" i="5"/>
  <c r="P883" i="5"/>
  <c r="Q883" i="5"/>
  <c r="T883" i="5"/>
  <c r="U883" i="5"/>
  <c r="X883" i="5"/>
  <c r="Y883" i="5"/>
  <c r="AF883" i="5"/>
  <c r="AG883" i="5"/>
  <c r="AJ883" i="5"/>
  <c r="AK883" i="5"/>
  <c r="H884" i="5"/>
  <c r="I884" i="5"/>
  <c r="P884" i="5"/>
  <c r="Q884" i="5"/>
  <c r="T884" i="5"/>
  <c r="U884" i="5"/>
  <c r="X884" i="5"/>
  <c r="Y884" i="5"/>
  <c r="AF884" i="5"/>
  <c r="AG884" i="5"/>
  <c r="AJ884" i="5"/>
  <c r="AK884" i="5"/>
  <c r="H885" i="5"/>
  <c r="I885" i="5"/>
  <c r="P885" i="5"/>
  <c r="Q885" i="5"/>
  <c r="T885" i="5"/>
  <c r="U885" i="5"/>
  <c r="X885" i="5"/>
  <c r="Y885" i="5"/>
  <c r="AF885" i="5"/>
  <c r="AG885" i="5"/>
  <c r="AJ885" i="5"/>
  <c r="AK885" i="5"/>
  <c r="H886" i="5"/>
  <c r="I886" i="5"/>
  <c r="P886" i="5"/>
  <c r="Q886" i="5"/>
  <c r="T886" i="5"/>
  <c r="U886" i="5"/>
  <c r="X886" i="5"/>
  <c r="Y886" i="5"/>
  <c r="AF886" i="5"/>
  <c r="AG886" i="5"/>
  <c r="AJ886" i="5"/>
  <c r="AK886" i="5"/>
  <c r="H887" i="5"/>
  <c r="I887" i="5"/>
  <c r="P887" i="5"/>
  <c r="Q887" i="5"/>
  <c r="T887" i="5"/>
  <c r="U887" i="5"/>
  <c r="X887" i="5"/>
  <c r="Y887" i="5"/>
  <c r="AF887" i="5"/>
  <c r="AG887" i="5"/>
  <c r="AJ887" i="5"/>
  <c r="AK887" i="5"/>
  <c r="H888" i="5"/>
  <c r="I888" i="5"/>
  <c r="P888" i="5"/>
  <c r="Q888" i="5"/>
  <c r="T888" i="5"/>
  <c r="U888" i="5"/>
  <c r="X888" i="5"/>
  <c r="Y888" i="5"/>
  <c r="AF888" i="5"/>
  <c r="AG888" i="5"/>
  <c r="AJ888" i="5"/>
  <c r="AK888" i="5"/>
  <c r="H889" i="5"/>
  <c r="I889" i="5"/>
  <c r="P889" i="5"/>
  <c r="Q889" i="5"/>
  <c r="T889" i="5"/>
  <c r="U889" i="5"/>
  <c r="X889" i="5"/>
  <c r="Y889" i="5"/>
  <c r="AF889" i="5"/>
  <c r="AG889" i="5"/>
  <c r="AJ889" i="5"/>
  <c r="AK889" i="5"/>
  <c r="H890" i="5"/>
  <c r="I890" i="5"/>
  <c r="P890" i="5"/>
  <c r="Q890" i="5"/>
  <c r="T890" i="5"/>
  <c r="U890" i="5"/>
  <c r="X890" i="5"/>
  <c r="Y890" i="5"/>
  <c r="AF890" i="5"/>
  <c r="AG890" i="5"/>
  <c r="AJ890" i="5"/>
  <c r="AK890" i="5"/>
  <c r="H891" i="5"/>
  <c r="I891" i="5"/>
  <c r="P891" i="5"/>
  <c r="Q891" i="5"/>
  <c r="T891" i="5"/>
  <c r="U891" i="5"/>
  <c r="X891" i="5"/>
  <c r="Y891" i="5"/>
  <c r="AF891" i="5"/>
  <c r="AG891" i="5"/>
  <c r="AJ891" i="5"/>
  <c r="AK891" i="5"/>
  <c r="H892" i="5"/>
  <c r="I892" i="5"/>
  <c r="P892" i="5"/>
  <c r="Q892" i="5"/>
  <c r="T892" i="5"/>
  <c r="U892" i="5"/>
  <c r="X892" i="5"/>
  <c r="Y892" i="5"/>
  <c r="AF892" i="5"/>
  <c r="AG892" i="5"/>
  <c r="AJ892" i="5"/>
  <c r="AK892" i="5"/>
  <c r="H893" i="5"/>
  <c r="I893" i="5"/>
  <c r="P893" i="5"/>
  <c r="Q893" i="5"/>
  <c r="T893" i="5"/>
  <c r="U893" i="5"/>
  <c r="X893" i="5"/>
  <c r="Y893" i="5"/>
  <c r="AF893" i="5"/>
  <c r="AG893" i="5"/>
  <c r="AJ893" i="5"/>
  <c r="AK893" i="5"/>
  <c r="H894" i="5"/>
  <c r="I894" i="5"/>
  <c r="P894" i="5"/>
  <c r="Q894" i="5"/>
  <c r="T894" i="5"/>
  <c r="U894" i="5"/>
  <c r="X894" i="5"/>
  <c r="Y894" i="5"/>
  <c r="AF894" i="5"/>
  <c r="AG894" i="5"/>
  <c r="AJ894" i="5"/>
  <c r="AK894" i="5"/>
  <c r="H895" i="5"/>
  <c r="I895" i="5"/>
  <c r="P895" i="5"/>
  <c r="Q895" i="5"/>
  <c r="T895" i="5"/>
  <c r="U895" i="5"/>
  <c r="X895" i="5"/>
  <c r="Y895" i="5"/>
  <c r="AF895" i="5"/>
  <c r="AG895" i="5"/>
  <c r="AJ895" i="5"/>
  <c r="AK895" i="5"/>
  <c r="H896" i="5"/>
  <c r="I896" i="5"/>
  <c r="P896" i="5"/>
  <c r="Q896" i="5"/>
  <c r="T896" i="5"/>
  <c r="U896" i="5"/>
  <c r="X896" i="5"/>
  <c r="Y896" i="5"/>
  <c r="AF896" i="5"/>
  <c r="AG896" i="5"/>
  <c r="AJ896" i="5"/>
  <c r="AK896" i="5"/>
  <c r="H897" i="5"/>
  <c r="I897" i="5"/>
  <c r="P897" i="5"/>
  <c r="Q897" i="5"/>
  <c r="T897" i="5"/>
  <c r="U897" i="5"/>
  <c r="X897" i="5"/>
  <c r="Y897" i="5"/>
  <c r="AF897" i="5"/>
  <c r="AG897" i="5"/>
  <c r="AJ897" i="5"/>
  <c r="AK897" i="5"/>
  <c r="H898" i="5"/>
  <c r="I898" i="5"/>
  <c r="P898" i="5"/>
  <c r="Q898" i="5"/>
  <c r="T898" i="5"/>
  <c r="U898" i="5"/>
  <c r="X898" i="5"/>
  <c r="Y898" i="5"/>
  <c r="AF898" i="5"/>
  <c r="AG898" i="5"/>
  <c r="AJ898" i="5"/>
  <c r="AK898" i="5"/>
  <c r="H899" i="5"/>
  <c r="I899" i="5"/>
  <c r="P899" i="5"/>
  <c r="Q899" i="5"/>
  <c r="T899" i="5"/>
  <c r="U899" i="5"/>
  <c r="X899" i="5"/>
  <c r="Y899" i="5"/>
  <c r="AF899" i="5"/>
  <c r="AG899" i="5"/>
  <c r="AJ899" i="5"/>
  <c r="AK899" i="5"/>
  <c r="H900" i="5"/>
  <c r="I900" i="5"/>
  <c r="P900" i="5"/>
  <c r="Q900" i="5"/>
  <c r="T900" i="5"/>
  <c r="U900" i="5"/>
  <c r="X900" i="5"/>
  <c r="Y900" i="5"/>
  <c r="AF900" i="5"/>
  <c r="AG900" i="5"/>
  <c r="AJ900" i="5"/>
  <c r="AK900" i="5"/>
  <c r="H901" i="5"/>
  <c r="I901" i="5"/>
  <c r="P901" i="5"/>
  <c r="Q901" i="5"/>
  <c r="T901" i="5"/>
  <c r="U901" i="5"/>
  <c r="X901" i="5"/>
  <c r="Y901" i="5"/>
  <c r="AF901" i="5"/>
  <c r="AG901" i="5"/>
  <c r="AJ901" i="5"/>
  <c r="AK901" i="5"/>
  <c r="H902" i="5"/>
  <c r="I902" i="5"/>
  <c r="P902" i="5"/>
  <c r="Q902" i="5"/>
  <c r="T902" i="5"/>
  <c r="U902" i="5"/>
  <c r="X902" i="5"/>
  <c r="Y902" i="5"/>
  <c r="AF902" i="5"/>
  <c r="AG902" i="5"/>
  <c r="AJ902" i="5"/>
  <c r="AK902" i="5"/>
  <c r="H903" i="5"/>
  <c r="I903" i="5"/>
  <c r="P903" i="5"/>
  <c r="Q903" i="5"/>
  <c r="T903" i="5"/>
  <c r="U903" i="5"/>
  <c r="X903" i="5"/>
  <c r="Y903" i="5"/>
  <c r="AF903" i="5"/>
  <c r="AG903" i="5"/>
  <c r="AJ903" i="5"/>
  <c r="AK903" i="5"/>
  <c r="H904" i="5"/>
  <c r="I904" i="5"/>
  <c r="P904" i="5"/>
  <c r="Q904" i="5"/>
  <c r="T904" i="5"/>
  <c r="U904" i="5"/>
  <c r="X904" i="5"/>
  <c r="Y904" i="5"/>
  <c r="AF904" i="5"/>
  <c r="AG904" i="5"/>
  <c r="AJ904" i="5"/>
  <c r="AK904" i="5"/>
  <c r="H905" i="5"/>
  <c r="I905" i="5"/>
  <c r="P905" i="5"/>
  <c r="Q905" i="5"/>
  <c r="T905" i="5"/>
  <c r="U905" i="5"/>
  <c r="X905" i="5"/>
  <c r="Y905" i="5"/>
  <c r="AF905" i="5"/>
  <c r="AG905" i="5"/>
  <c r="AJ905" i="5"/>
  <c r="AK905" i="5"/>
  <c r="H906" i="5"/>
  <c r="I906" i="5"/>
  <c r="P906" i="5"/>
  <c r="Q906" i="5"/>
  <c r="T906" i="5"/>
  <c r="U906" i="5"/>
  <c r="X906" i="5"/>
  <c r="Y906" i="5"/>
  <c r="AF906" i="5"/>
  <c r="AG906" i="5"/>
  <c r="AJ906" i="5"/>
  <c r="AK906" i="5"/>
  <c r="H907" i="5"/>
  <c r="I907" i="5"/>
  <c r="P907" i="5"/>
  <c r="Q907" i="5"/>
  <c r="T907" i="5"/>
  <c r="U907" i="5"/>
  <c r="X907" i="5"/>
  <c r="Y907" i="5"/>
  <c r="AF907" i="5"/>
  <c r="AG907" i="5"/>
  <c r="AJ907" i="5"/>
  <c r="AK907" i="5"/>
  <c r="H908" i="5"/>
  <c r="I908" i="5"/>
  <c r="P908" i="5"/>
  <c r="Q908" i="5"/>
  <c r="T908" i="5"/>
  <c r="U908" i="5"/>
  <c r="X908" i="5"/>
  <c r="Y908" i="5"/>
  <c r="AF908" i="5"/>
  <c r="AG908" i="5"/>
  <c r="AJ908" i="5"/>
  <c r="AK908" i="5"/>
  <c r="H909" i="5"/>
  <c r="I909" i="5"/>
  <c r="P909" i="5"/>
  <c r="Q909" i="5"/>
  <c r="T909" i="5"/>
  <c r="U909" i="5"/>
  <c r="X909" i="5"/>
  <c r="Y909" i="5"/>
  <c r="AF909" i="5"/>
  <c r="AG909" i="5"/>
  <c r="AJ909" i="5"/>
  <c r="AK909" i="5"/>
  <c r="H910" i="5"/>
  <c r="I910" i="5"/>
  <c r="P910" i="5"/>
  <c r="Q910" i="5"/>
  <c r="T910" i="5"/>
  <c r="U910" i="5"/>
  <c r="X910" i="5"/>
  <c r="Y910" i="5"/>
  <c r="AF910" i="5"/>
  <c r="AG910" i="5"/>
  <c r="AJ910" i="5"/>
  <c r="AK910" i="5"/>
  <c r="H911" i="5"/>
  <c r="I911" i="5"/>
  <c r="P911" i="5"/>
  <c r="Q911" i="5"/>
  <c r="T911" i="5"/>
  <c r="U911" i="5"/>
  <c r="X911" i="5"/>
  <c r="Y911" i="5"/>
  <c r="AF911" i="5"/>
  <c r="AG911" i="5"/>
  <c r="AJ911" i="5"/>
  <c r="AK911" i="5"/>
  <c r="H912" i="5"/>
  <c r="I912" i="5"/>
  <c r="P912" i="5"/>
  <c r="Q912" i="5"/>
  <c r="T912" i="5"/>
  <c r="U912" i="5"/>
  <c r="X912" i="5"/>
  <c r="Y912" i="5"/>
  <c r="AF912" i="5"/>
  <c r="AG912" i="5"/>
  <c r="AJ912" i="5"/>
  <c r="AK912" i="5"/>
  <c r="H913" i="5"/>
  <c r="I913" i="5"/>
  <c r="P913" i="5"/>
  <c r="Q913" i="5"/>
  <c r="T913" i="5"/>
  <c r="U913" i="5"/>
  <c r="X913" i="5"/>
  <c r="Y913" i="5"/>
  <c r="AF913" i="5"/>
  <c r="AG913" i="5"/>
  <c r="AJ913" i="5"/>
  <c r="AK913" i="5"/>
  <c r="H914" i="5"/>
  <c r="I914" i="5"/>
  <c r="P914" i="5"/>
  <c r="Q914" i="5"/>
  <c r="T914" i="5"/>
  <c r="U914" i="5"/>
  <c r="X914" i="5"/>
  <c r="Y914" i="5"/>
  <c r="AF914" i="5"/>
  <c r="AG914" i="5"/>
  <c r="AJ914" i="5"/>
  <c r="AK914" i="5"/>
  <c r="H915" i="5"/>
  <c r="I915" i="5"/>
  <c r="P915" i="5"/>
  <c r="Q915" i="5"/>
  <c r="T915" i="5"/>
  <c r="U915" i="5"/>
  <c r="X915" i="5"/>
  <c r="Y915" i="5"/>
  <c r="AF915" i="5"/>
  <c r="AG915" i="5"/>
  <c r="AJ915" i="5"/>
  <c r="AK915" i="5"/>
  <c r="H916" i="5"/>
  <c r="I916" i="5"/>
  <c r="P916" i="5"/>
  <c r="Q916" i="5"/>
  <c r="T916" i="5"/>
  <c r="U916" i="5"/>
  <c r="X916" i="5"/>
  <c r="Y916" i="5"/>
  <c r="AF916" i="5"/>
  <c r="AG916" i="5"/>
  <c r="AJ916" i="5"/>
  <c r="AK916" i="5"/>
  <c r="H917" i="5"/>
  <c r="I917" i="5"/>
  <c r="P917" i="5"/>
  <c r="Q917" i="5"/>
  <c r="T917" i="5"/>
  <c r="U917" i="5"/>
  <c r="X917" i="5"/>
  <c r="Y917" i="5"/>
  <c r="AF917" i="5"/>
  <c r="AG917" i="5"/>
  <c r="AJ917" i="5"/>
  <c r="AK917" i="5"/>
  <c r="H918" i="5"/>
  <c r="I918" i="5"/>
  <c r="P918" i="5"/>
  <c r="Q918" i="5"/>
  <c r="T918" i="5"/>
  <c r="U918" i="5"/>
  <c r="X918" i="5"/>
  <c r="Y918" i="5"/>
  <c r="AF918" i="5"/>
  <c r="AG918" i="5"/>
  <c r="AJ918" i="5"/>
  <c r="AK918" i="5"/>
  <c r="H919" i="5"/>
  <c r="I919" i="5"/>
  <c r="P919" i="5"/>
  <c r="Q919" i="5"/>
  <c r="T919" i="5"/>
  <c r="U919" i="5"/>
  <c r="X919" i="5"/>
  <c r="Y919" i="5"/>
  <c r="AF919" i="5"/>
  <c r="AG919" i="5"/>
  <c r="AJ919" i="5"/>
  <c r="AK919" i="5"/>
  <c r="H920" i="5"/>
  <c r="I920" i="5"/>
  <c r="P920" i="5"/>
  <c r="Q920" i="5"/>
  <c r="T920" i="5"/>
  <c r="U920" i="5"/>
  <c r="X920" i="5"/>
  <c r="Y920" i="5"/>
  <c r="AF920" i="5"/>
  <c r="AG920" i="5"/>
  <c r="AJ920" i="5"/>
  <c r="AK920" i="5"/>
  <c r="H921" i="5"/>
  <c r="I921" i="5"/>
  <c r="P921" i="5"/>
  <c r="Q921" i="5"/>
  <c r="T921" i="5"/>
  <c r="U921" i="5"/>
  <c r="X921" i="5"/>
  <c r="Y921" i="5"/>
  <c r="AF921" i="5"/>
  <c r="AG921" i="5"/>
  <c r="AJ921" i="5"/>
  <c r="AK921" i="5"/>
  <c r="H922" i="5"/>
  <c r="I922" i="5"/>
  <c r="P922" i="5"/>
  <c r="Q922" i="5"/>
  <c r="T922" i="5"/>
  <c r="U922" i="5"/>
  <c r="X922" i="5"/>
  <c r="Y922" i="5"/>
  <c r="AF922" i="5"/>
  <c r="AG922" i="5"/>
  <c r="AJ922" i="5"/>
  <c r="AK922" i="5"/>
  <c r="H923" i="5"/>
  <c r="AB923" i="5" s="1"/>
  <c r="I923" i="5"/>
  <c r="P923" i="5"/>
  <c r="Q923" i="5"/>
  <c r="T923" i="5"/>
  <c r="U923" i="5"/>
  <c r="X923" i="5"/>
  <c r="Y923" i="5"/>
  <c r="AF923" i="5"/>
  <c r="AG923" i="5"/>
  <c r="AJ923" i="5"/>
  <c r="AK923" i="5"/>
  <c r="H924" i="5"/>
  <c r="I924" i="5"/>
  <c r="P924" i="5"/>
  <c r="Q924" i="5"/>
  <c r="T924" i="5"/>
  <c r="U924" i="5"/>
  <c r="X924" i="5"/>
  <c r="Y924" i="5"/>
  <c r="AF924" i="5"/>
  <c r="AG924" i="5"/>
  <c r="AJ924" i="5"/>
  <c r="AK924" i="5"/>
  <c r="H925" i="5"/>
  <c r="AB925" i="5" s="1"/>
  <c r="I925" i="5"/>
  <c r="P925" i="5"/>
  <c r="Q925" i="5"/>
  <c r="T925" i="5"/>
  <c r="U925" i="5"/>
  <c r="X925" i="5"/>
  <c r="Y925" i="5"/>
  <c r="AF925" i="5"/>
  <c r="AG925" i="5"/>
  <c r="AJ925" i="5"/>
  <c r="AK925" i="5"/>
  <c r="H926" i="5"/>
  <c r="I926" i="5"/>
  <c r="P926" i="5"/>
  <c r="Q926" i="5"/>
  <c r="T926" i="5"/>
  <c r="U926" i="5"/>
  <c r="X926" i="5"/>
  <c r="Y926" i="5"/>
  <c r="AF926" i="5"/>
  <c r="AG926" i="5"/>
  <c r="AJ926" i="5"/>
  <c r="AK926" i="5"/>
  <c r="H927" i="5"/>
  <c r="I927" i="5"/>
  <c r="P927" i="5"/>
  <c r="Q927" i="5"/>
  <c r="T927" i="5"/>
  <c r="U927" i="5"/>
  <c r="X927" i="5"/>
  <c r="Y927" i="5"/>
  <c r="AF927" i="5"/>
  <c r="AG927" i="5"/>
  <c r="AJ927" i="5"/>
  <c r="AK927" i="5"/>
  <c r="H928" i="5"/>
  <c r="I928" i="5"/>
  <c r="P928" i="5"/>
  <c r="Q928" i="5"/>
  <c r="T928" i="5"/>
  <c r="U928" i="5"/>
  <c r="X928" i="5"/>
  <c r="Y928" i="5"/>
  <c r="AF928" i="5"/>
  <c r="AG928" i="5"/>
  <c r="AJ928" i="5"/>
  <c r="AK928" i="5"/>
  <c r="H929" i="5"/>
  <c r="I929" i="5"/>
  <c r="P929" i="5"/>
  <c r="Q929" i="5"/>
  <c r="T929" i="5"/>
  <c r="U929" i="5"/>
  <c r="X929" i="5"/>
  <c r="Y929" i="5"/>
  <c r="AF929" i="5"/>
  <c r="AG929" i="5"/>
  <c r="AJ929" i="5"/>
  <c r="AK929" i="5"/>
  <c r="H930" i="5"/>
  <c r="I930" i="5"/>
  <c r="P930" i="5"/>
  <c r="Q930" i="5"/>
  <c r="T930" i="5"/>
  <c r="U930" i="5"/>
  <c r="X930" i="5"/>
  <c r="Y930" i="5"/>
  <c r="AF930" i="5"/>
  <c r="AG930" i="5"/>
  <c r="AJ930" i="5"/>
  <c r="AK930" i="5"/>
  <c r="H931" i="5"/>
  <c r="I931" i="5"/>
  <c r="P931" i="5"/>
  <c r="Q931" i="5"/>
  <c r="T931" i="5"/>
  <c r="U931" i="5"/>
  <c r="X931" i="5"/>
  <c r="Y931" i="5"/>
  <c r="AF931" i="5"/>
  <c r="AG931" i="5"/>
  <c r="AJ931" i="5"/>
  <c r="AK931" i="5"/>
  <c r="H932" i="5"/>
  <c r="I932" i="5"/>
  <c r="P932" i="5"/>
  <c r="Q932" i="5"/>
  <c r="T932" i="5"/>
  <c r="U932" i="5"/>
  <c r="X932" i="5"/>
  <c r="Y932" i="5"/>
  <c r="AF932" i="5"/>
  <c r="AG932" i="5"/>
  <c r="AJ932" i="5"/>
  <c r="AK932" i="5"/>
  <c r="H933" i="5"/>
  <c r="I933" i="5"/>
  <c r="P933" i="5"/>
  <c r="Q933" i="5"/>
  <c r="T933" i="5"/>
  <c r="U933" i="5"/>
  <c r="X933" i="5"/>
  <c r="Y933" i="5"/>
  <c r="AF933" i="5"/>
  <c r="AG933" i="5"/>
  <c r="AJ933" i="5"/>
  <c r="AK933" i="5"/>
  <c r="H934" i="5"/>
  <c r="I934" i="5"/>
  <c r="P934" i="5"/>
  <c r="Q934" i="5"/>
  <c r="T934" i="5"/>
  <c r="U934" i="5"/>
  <c r="X934" i="5"/>
  <c r="Y934" i="5"/>
  <c r="AF934" i="5"/>
  <c r="AG934" i="5"/>
  <c r="AJ934" i="5"/>
  <c r="AK934" i="5"/>
  <c r="H935" i="5"/>
  <c r="I935" i="5"/>
  <c r="P935" i="5"/>
  <c r="Q935" i="5"/>
  <c r="T935" i="5"/>
  <c r="U935" i="5"/>
  <c r="X935" i="5"/>
  <c r="Y935" i="5"/>
  <c r="AF935" i="5"/>
  <c r="AG935" i="5"/>
  <c r="AJ935" i="5"/>
  <c r="AK935" i="5"/>
  <c r="H936" i="5"/>
  <c r="I936" i="5"/>
  <c r="P936" i="5"/>
  <c r="Q936" i="5"/>
  <c r="T936" i="5"/>
  <c r="U936" i="5"/>
  <c r="X936" i="5"/>
  <c r="Y936" i="5"/>
  <c r="AF936" i="5"/>
  <c r="AG936" i="5"/>
  <c r="AJ936" i="5"/>
  <c r="AK936" i="5"/>
  <c r="H937" i="5"/>
  <c r="I937" i="5"/>
  <c r="P937" i="5"/>
  <c r="Q937" i="5"/>
  <c r="T937" i="5"/>
  <c r="U937" i="5"/>
  <c r="X937" i="5"/>
  <c r="Y937" i="5"/>
  <c r="AF937" i="5"/>
  <c r="AG937" i="5"/>
  <c r="AJ937" i="5"/>
  <c r="AK937" i="5"/>
  <c r="H938" i="5"/>
  <c r="I938" i="5"/>
  <c r="P938" i="5"/>
  <c r="Q938" i="5"/>
  <c r="T938" i="5"/>
  <c r="U938" i="5"/>
  <c r="X938" i="5"/>
  <c r="Y938" i="5"/>
  <c r="AF938" i="5"/>
  <c r="AG938" i="5"/>
  <c r="AJ938" i="5"/>
  <c r="AK938" i="5"/>
  <c r="H939" i="5"/>
  <c r="I939" i="5"/>
  <c r="P939" i="5"/>
  <c r="Q939" i="5"/>
  <c r="T939" i="5"/>
  <c r="U939" i="5"/>
  <c r="X939" i="5"/>
  <c r="Y939" i="5"/>
  <c r="AF939" i="5"/>
  <c r="AG939" i="5"/>
  <c r="AJ939" i="5"/>
  <c r="AK939" i="5"/>
  <c r="H940" i="5"/>
  <c r="I940" i="5"/>
  <c r="P940" i="5"/>
  <c r="Q940" i="5"/>
  <c r="T940" i="5"/>
  <c r="U940" i="5"/>
  <c r="X940" i="5"/>
  <c r="Y940" i="5"/>
  <c r="AF940" i="5"/>
  <c r="AG940" i="5"/>
  <c r="AJ940" i="5"/>
  <c r="AK940" i="5"/>
  <c r="H941" i="5"/>
  <c r="I941" i="5"/>
  <c r="P941" i="5"/>
  <c r="Q941" i="5"/>
  <c r="T941" i="5"/>
  <c r="U941" i="5"/>
  <c r="X941" i="5"/>
  <c r="Y941" i="5"/>
  <c r="AF941" i="5"/>
  <c r="AG941" i="5"/>
  <c r="AJ941" i="5"/>
  <c r="AK941" i="5"/>
  <c r="H942" i="5"/>
  <c r="I942" i="5"/>
  <c r="P942" i="5"/>
  <c r="Q942" i="5"/>
  <c r="T942" i="5"/>
  <c r="U942" i="5"/>
  <c r="X942" i="5"/>
  <c r="Y942" i="5"/>
  <c r="AF942" i="5"/>
  <c r="AG942" i="5"/>
  <c r="AJ942" i="5"/>
  <c r="AK942" i="5"/>
  <c r="H943" i="5"/>
  <c r="I943" i="5"/>
  <c r="P943" i="5"/>
  <c r="Q943" i="5"/>
  <c r="T943" i="5"/>
  <c r="U943" i="5"/>
  <c r="X943" i="5"/>
  <c r="Y943" i="5"/>
  <c r="AF943" i="5"/>
  <c r="AG943" i="5"/>
  <c r="AJ943" i="5"/>
  <c r="AK943" i="5"/>
  <c r="H944" i="5"/>
  <c r="I944" i="5"/>
  <c r="P944" i="5"/>
  <c r="Q944" i="5"/>
  <c r="T944" i="5"/>
  <c r="U944" i="5"/>
  <c r="X944" i="5"/>
  <c r="Y944" i="5"/>
  <c r="AF944" i="5"/>
  <c r="AG944" i="5"/>
  <c r="AJ944" i="5"/>
  <c r="AK944" i="5"/>
  <c r="H945" i="5"/>
  <c r="I945" i="5"/>
  <c r="P945" i="5"/>
  <c r="Q945" i="5"/>
  <c r="T945" i="5"/>
  <c r="U945" i="5"/>
  <c r="X945" i="5"/>
  <c r="Y945" i="5"/>
  <c r="AF945" i="5"/>
  <c r="AG945" i="5"/>
  <c r="AJ945" i="5"/>
  <c r="AK945" i="5"/>
  <c r="H946" i="5"/>
  <c r="I946" i="5"/>
  <c r="P946" i="5"/>
  <c r="Q946" i="5"/>
  <c r="T946" i="5"/>
  <c r="U946" i="5"/>
  <c r="X946" i="5"/>
  <c r="Y946" i="5"/>
  <c r="AF946" i="5"/>
  <c r="AG946" i="5"/>
  <c r="AJ946" i="5"/>
  <c r="AK946" i="5"/>
  <c r="H947" i="5"/>
  <c r="I947" i="5"/>
  <c r="P947" i="5"/>
  <c r="Q947" i="5"/>
  <c r="T947" i="5"/>
  <c r="U947" i="5"/>
  <c r="X947" i="5"/>
  <c r="Y947" i="5"/>
  <c r="AF947" i="5"/>
  <c r="AG947" i="5"/>
  <c r="AJ947" i="5"/>
  <c r="AK947" i="5"/>
  <c r="H948" i="5"/>
  <c r="I948" i="5"/>
  <c r="P948" i="5"/>
  <c r="Q948" i="5"/>
  <c r="T948" i="5"/>
  <c r="U948" i="5"/>
  <c r="X948" i="5"/>
  <c r="Y948" i="5"/>
  <c r="AF948" i="5"/>
  <c r="AG948" i="5"/>
  <c r="AJ948" i="5"/>
  <c r="AK948" i="5"/>
  <c r="H949" i="5"/>
  <c r="I949" i="5"/>
  <c r="P949" i="5"/>
  <c r="Q949" i="5"/>
  <c r="T949" i="5"/>
  <c r="U949" i="5"/>
  <c r="X949" i="5"/>
  <c r="Y949" i="5"/>
  <c r="AF949" i="5"/>
  <c r="AG949" i="5"/>
  <c r="AJ949" i="5"/>
  <c r="AK949" i="5"/>
  <c r="H950" i="5"/>
  <c r="I950" i="5"/>
  <c r="P950" i="5"/>
  <c r="Q950" i="5"/>
  <c r="T950" i="5"/>
  <c r="U950" i="5"/>
  <c r="X950" i="5"/>
  <c r="Y950" i="5"/>
  <c r="AF950" i="5"/>
  <c r="AG950" i="5"/>
  <c r="AJ950" i="5"/>
  <c r="AK950" i="5"/>
  <c r="H951" i="5"/>
  <c r="I951" i="5"/>
  <c r="P951" i="5"/>
  <c r="Q951" i="5"/>
  <c r="T951" i="5"/>
  <c r="U951" i="5"/>
  <c r="X951" i="5"/>
  <c r="Y951" i="5"/>
  <c r="AF951" i="5"/>
  <c r="AG951" i="5"/>
  <c r="AJ951" i="5"/>
  <c r="AK951" i="5"/>
  <c r="H952" i="5"/>
  <c r="I952" i="5"/>
  <c r="P952" i="5"/>
  <c r="Q952" i="5"/>
  <c r="T952" i="5"/>
  <c r="U952" i="5"/>
  <c r="X952" i="5"/>
  <c r="Y952" i="5"/>
  <c r="AF952" i="5"/>
  <c r="AG952" i="5"/>
  <c r="AJ952" i="5"/>
  <c r="AK952" i="5"/>
  <c r="H953" i="5"/>
  <c r="I953" i="5"/>
  <c r="P953" i="5"/>
  <c r="Q953" i="5"/>
  <c r="T953" i="5"/>
  <c r="U953" i="5"/>
  <c r="X953" i="5"/>
  <c r="Y953" i="5"/>
  <c r="AF953" i="5"/>
  <c r="AG953" i="5"/>
  <c r="AJ953" i="5"/>
  <c r="AK953" i="5"/>
  <c r="H954" i="5"/>
  <c r="I954" i="5"/>
  <c r="P954" i="5"/>
  <c r="Q954" i="5"/>
  <c r="T954" i="5"/>
  <c r="U954" i="5"/>
  <c r="X954" i="5"/>
  <c r="Y954" i="5"/>
  <c r="AF954" i="5"/>
  <c r="AG954" i="5"/>
  <c r="AJ954" i="5"/>
  <c r="AK954" i="5"/>
  <c r="H955" i="5"/>
  <c r="I955" i="5"/>
  <c r="P955" i="5"/>
  <c r="Q955" i="5"/>
  <c r="T955" i="5"/>
  <c r="U955" i="5"/>
  <c r="X955" i="5"/>
  <c r="Y955" i="5"/>
  <c r="AF955" i="5"/>
  <c r="AG955" i="5"/>
  <c r="AJ955" i="5"/>
  <c r="AK955" i="5"/>
  <c r="H956" i="5"/>
  <c r="I956" i="5"/>
  <c r="P956" i="5"/>
  <c r="Q956" i="5"/>
  <c r="T956" i="5"/>
  <c r="U956" i="5"/>
  <c r="X956" i="5"/>
  <c r="Y956" i="5"/>
  <c r="AF956" i="5"/>
  <c r="AG956" i="5"/>
  <c r="AJ956" i="5"/>
  <c r="AK956" i="5"/>
  <c r="H957" i="5"/>
  <c r="I957" i="5"/>
  <c r="P957" i="5"/>
  <c r="Q957" i="5"/>
  <c r="T957" i="5"/>
  <c r="U957" i="5"/>
  <c r="X957" i="5"/>
  <c r="Y957" i="5"/>
  <c r="AF957" i="5"/>
  <c r="AG957" i="5"/>
  <c r="AJ957" i="5"/>
  <c r="AK957" i="5"/>
  <c r="H958" i="5"/>
  <c r="I958" i="5"/>
  <c r="P958" i="5"/>
  <c r="Q958" i="5"/>
  <c r="T958" i="5"/>
  <c r="U958" i="5"/>
  <c r="X958" i="5"/>
  <c r="Y958" i="5"/>
  <c r="AF958" i="5"/>
  <c r="AG958" i="5"/>
  <c r="AJ958" i="5"/>
  <c r="AK958" i="5"/>
  <c r="H959" i="5"/>
  <c r="I959" i="5"/>
  <c r="P959" i="5"/>
  <c r="Q959" i="5"/>
  <c r="T959" i="5"/>
  <c r="U959" i="5"/>
  <c r="X959" i="5"/>
  <c r="Y959" i="5"/>
  <c r="AF959" i="5"/>
  <c r="AG959" i="5"/>
  <c r="AJ959" i="5"/>
  <c r="AK959" i="5"/>
  <c r="H960" i="5"/>
  <c r="I960" i="5"/>
  <c r="P960" i="5"/>
  <c r="Q960" i="5"/>
  <c r="T960" i="5"/>
  <c r="U960" i="5"/>
  <c r="X960" i="5"/>
  <c r="Y960" i="5"/>
  <c r="AF960" i="5"/>
  <c r="AG960" i="5"/>
  <c r="AJ960" i="5"/>
  <c r="AK960" i="5"/>
  <c r="H961" i="5"/>
  <c r="I961" i="5"/>
  <c r="P961" i="5"/>
  <c r="Q961" i="5"/>
  <c r="T961" i="5"/>
  <c r="U961" i="5"/>
  <c r="X961" i="5"/>
  <c r="Y961" i="5"/>
  <c r="AF961" i="5"/>
  <c r="AG961" i="5"/>
  <c r="AJ961" i="5"/>
  <c r="AK961" i="5"/>
  <c r="H962" i="5"/>
  <c r="I962" i="5"/>
  <c r="P962" i="5"/>
  <c r="Q962" i="5"/>
  <c r="T962" i="5"/>
  <c r="U962" i="5"/>
  <c r="X962" i="5"/>
  <c r="Y962" i="5"/>
  <c r="AF962" i="5"/>
  <c r="AG962" i="5"/>
  <c r="AJ962" i="5"/>
  <c r="AK962" i="5"/>
  <c r="H963" i="5"/>
  <c r="I963" i="5"/>
  <c r="P963" i="5"/>
  <c r="Q963" i="5"/>
  <c r="T963" i="5"/>
  <c r="U963" i="5"/>
  <c r="X963" i="5"/>
  <c r="Y963" i="5"/>
  <c r="AF963" i="5"/>
  <c r="AG963" i="5"/>
  <c r="AJ963" i="5"/>
  <c r="AK963" i="5"/>
  <c r="H964" i="5"/>
  <c r="I964" i="5"/>
  <c r="P964" i="5"/>
  <c r="Q964" i="5"/>
  <c r="T964" i="5"/>
  <c r="U964" i="5"/>
  <c r="X964" i="5"/>
  <c r="Y964" i="5"/>
  <c r="AF964" i="5"/>
  <c r="AG964" i="5"/>
  <c r="AJ964" i="5"/>
  <c r="AK964" i="5"/>
  <c r="H965" i="5"/>
  <c r="I965" i="5"/>
  <c r="P965" i="5"/>
  <c r="Q965" i="5"/>
  <c r="T965" i="5"/>
  <c r="U965" i="5"/>
  <c r="X965" i="5"/>
  <c r="Y965" i="5"/>
  <c r="AF965" i="5"/>
  <c r="AG965" i="5"/>
  <c r="AJ965" i="5"/>
  <c r="AK965" i="5"/>
  <c r="H966" i="5"/>
  <c r="I966" i="5"/>
  <c r="P966" i="5"/>
  <c r="Q966" i="5"/>
  <c r="T966" i="5"/>
  <c r="U966" i="5"/>
  <c r="X966" i="5"/>
  <c r="Y966" i="5"/>
  <c r="AF966" i="5"/>
  <c r="AG966" i="5"/>
  <c r="AJ966" i="5"/>
  <c r="AK966" i="5"/>
  <c r="H967" i="5"/>
  <c r="I967" i="5"/>
  <c r="P967" i="5"/>
  <c r="Q967" i="5"/>
  <c r="T967" i="5"/>
  <c r="U967" i="5"/>
  <c r="X967" i="5"/>
  <c r="Y967" i="5"/>
  <c r="AF967" i="5"/>
  <c r="AG967" i="5"/>
  <c r="AJ967" i="5"/>
  <c r="AK967" i="5"/>
  <c r="H968" i="5"/>
  <c r="I968" i="5"/>
  <c r="P968" i="5"/>
  <c r="Q968" i="5"/>
  <c r="T968" i="5"/>
  <c r="U968" i="5"/>
  <c r="X968" i="5"/>
  <c r="Y968" i="5"/>
  <c r="AF968" i="5"/>
  <c r="AG968" i="5"/>
  <c r="AJ968" i="5"/>
  <c r="AK968" i="5"/>
  <c r="H969" i="5"/>
  <c r="I969" i="5"/>
  <c r="P969" i="5"/>
  <c r="Q969" i="5"/>
  <c r="T969" i="5"/>
  <c r="U969" i="5"/>
  <c r="X969" i="5"/>
  <c r="Y969" i="5"/>
  <c r="AF969" i="5"/>
  <c r="AG969" i="5"/>
  <c r="AJ969" i="5"/>
  <c r="AK969" i="5"/>
  <c r="H970" i="5"/>
  <c r="I970" i="5"/>
  <c r="P970" i="5"/>
  <c r="Q970" i="5"/>
  <c r="T970" i="5"/>
  <c r="U970" i="5"/>
  <c r="X970" i="5"/>
  <c r="Y970" i="5"/>
  <c r="AF970" i="5"/>
  <c r="AG970" i="5"/>
  <c r="AJ970" i="5"/>
  <c r="AK970" i="5"/>
  <c r="H971" i="5"/>
  <c r="I971" i="5"/>
  <c r="P971" i="5"/>
  <c r="Q971" i="5"/>
  <c r="T971" i="5"/>
  <c r="U971" i="5"/>
  <c r="X971" i="5"/>
  <c r="Y971" i="5"/>
  <c r="AF971" i="5"/>
  <c r="AG971" i="5"/>
  <c r="AJ971" i="5"/>
  <c r="AK971" i="5"/>
  <c r="H972" i="5"/>
  <c r="I972" i="5"/>
  <c r="P972" i="5"/>
  <c r="Q972" i="5"/>
  <c r="T972" i="5"/>
  <c r="U972" i="5"/>
  <c r="X972" i="5"/>
  <c r="Y972" i="5"/>
  <c r="AF972" i="5"/>
  <c r="AG972" i="5"/>
  <c r="AJ972" i="5"/>
  <c r="AK972" i="5"/>
  <c r="H973" i="5"/>
  <c r="I973" i="5"/>
  <c r="P973" i="5"/>
  <c r="Q973" i="5"/>
  <c r="T973" i="5"/>
  <c r="U973" i="5"/>
  <c r="X973" i="5"/>
  <c r="Y973" i="5"/>
  <c r="AF973" i="5"/>
  <c r="AG973" i="5"/>
  <c r="AJ973" i="5"/>
  <c r="AK973" i="5"/>
  <c r="H974" i="5"/>
  <c r="I974" i="5"/>
  <c r="P974" i="5"/>
  <c r="Q974" i="5"/>
  <c r="T974" i="5"/>
  <c r="U974" i="5"/>
  <c r="X974" i="5"/>
  <c r="Y974" i="5"/>
  <c r="AF974" i="5"/>
  <c r="AG974" i="5"/>
  <c r="AJ974" i="5"/>
  <c r="AK974" i="5"/>
  <c r="H975" i="5"/>
  <c r="I975" i="5"/>
  <c r="P975" i="5"/>
  <c r="Q975" i="5"/>
  <c r="T975" i="5"/>
  <c r="U975" i="5"/>
  <c r="X975" i="5"/>
  <c r="Y975" i="5"/>
  <c r="AF975" i="5"/>
  <c r="AG975" i="5"/>
  <c r="AJ975" i="5"/>
  <c r="AK975" i="5"/>
  <c r="H976" i="5"/>
  <c r="I976" i="5"/>
  <c r="P976" i="5"/>
  <c r="Q976" i="5"/>
  <c r="T976" i="5"/>
  <c r="U976" i="5"/>
  <c r="X976" i="5"/>
  <c r="Y976" i="5"/>
  <c r="AF976" i="5"/>
  <c r="AG976" i="5"/>
  <c r="AJ976" i="5"/>
  <c r="AK976" i="5"/>
  <c r="H977" i="5"/>
  <c r="I977" i="5"/>
  <c r="P977" i="5"/>
  <c r="Q977" i="5"/>
  <c r="T977" i="5"/>
  <c r="U977" i="5"/>
  <c r="X977" i="5"/>
  <c r="Y977" i="5"/>
  <c r="AF977" i="5"/>
  <c r="AG977" i="5"/>
  <c r="AJ977" i="5"/>
  <c r="AK977" i="5"/>
  <c r="H978" i="5"/>
  <c r="I978" i="5"/>
  <c r="P978" i="5"/>
  <c r="Q978" i="5"/>
  <c r="T978" i="5"/>
  <c r="U978" i="5"/>
  <c r="X978" i="5"/>
  <c r="Y978" i="5"/>
  <c r="AF978" i="5"/>
  <c r="AG978" i="5"/>
  <c r="AJ978" i="5"/>
  <c r="AK978" i="5"/>
  <c r="H979" i="5"/>
  <c r="I979" i="5"/>
  <c r="P979" i="5"/>
  <c r="Q979" i="5"/>
  <c r="T979" i="5"/>
  <c r="U979" i="5"/>
  <c r="X979" i="5"/>
  <c r="Y979" i="5"/>
  <c r="AF979" i="5"/>
  <c r="AG979" i="5"/>
  <c r="AJ979" i="5"/>
  <c r="AK979" i="5"/>
  <c r="H980" i="5"/>
  <c r="I980" i="5"/>
  <c r="P980" i="5"/>
  <c r="Q980" i="5"/>
  <c r="T980" i="5"/>
  <c r="U980" i="5"/>
  <c r="X980" i="5"/>
  <c r="Y980" i="5"/>
  <c r="AF980" i="5"/>
  <c r="AG980" i="5"/>
  <c r="AJ980" i="5"/>
  <c r="AK980" i="5"/>
  <c r="H981" i="5"/>
  <c r="I981" i="5"/>
  <c r="P981" i="5"/>
  <c r="Q981" i="5"/>
  <c r="T981" i="5"/>
  <c r="U981" i="5"/>
  <c r="X981" i="5"/>
  <c r="Y981" i="5"/>
  <c r="AF981" i="5"/>
  <c r="AG981" i="5"/>
  <c r="AJ981" i="5"/>
  <c r="AK981" i="5"/>
  <c r="H982" i="5"/>
  <c r="I982" i="5"/>
  <c r="P982" i="5"/>
  <c r="Q982" i="5"/>
  <c r="T982" i="5"/>
  <c r="U982" i="5"/>
  <c r="X982" i="5"/>
  <c r="Y982" i="5"/>
  <c r="AF982" i="5"/>
  <c r="AG982" i="5"/>
  <c r="AJ982" i="5"/>
  <c r="AK982" i="5"/>
  <c r="H983" i="5"/>
  <c r="I983" i="5"/>
  <c r="P983" i="5"/>
  <c r="Q983" i="5"/>
  <c r="T983" i="5"/>
  <c r="U983" i="5"/>
  <c r="X983" i="5"/>
  <c r="Y983" i="5"/>
  <c r="AF983" i="5"/>
  <c r="AG983" i="5"/>
  <c r="AJ983" i="5"/>
  <c r="AK983" i="5"/>
  <c r="H984" i="5"/>
  <c r="I984" i="5"/>
  <c r="P984" i="5"/>
  <c r="Q984" i="5"/>
  <c r="T984" i="5"/>
  <c r="U984" i="5"/>
  <c r="X984" i="5"/>
  <c r="Y984" i="5"/>
  <c r="AF984" i="5"/>
  <c r="AG984" i="5"/>
  <c r="AJ984" i="5"/>
  <c r="AK984" i="5"/>
  <c r="H985" i="5"/>
  <c r="I985" i="5"/>
  <c r="P985" i="5"/>
  <c r="Q985" i="5"/>
  <c r="T985" i="5"/>
  <c r="U985" i="5"/>
  <c r="X985" i="5"/>
  <c r="Y985" i="5"/>
  <c r="AF985" i="5"/>
  <c r="AG985" i="5"/>
  <c r="AJ985" i="5"/>
  <c r="AK985" i="5"/>
  <c r="H986" i="5"/>
  <c r="I986" i="5"/>
  <c r="P986" i="5"/>
  <c r="Q986" i="5"/>
  <c r="T986" i="5"/>
  <c r="U986" i="5"/>
  <c r="X986" i="5"/>
  <c r="Y986" i="5"/>
  <c r="AF986" i="5"/>
  <c r="AG986" i="5"/>
  <c r="AJ986" i="5"/>
  <c r="AK986" i="5"/>
  <c r="H987" i="5"/>
  <c r="I987" i="5"/>
  <c r="P987" i="5"/>
  <c r="Q987" i="5"/>
  <c r="T987" i="5"/>
  <c r="U987" i="5"/>
  <c r="X987" i="5"/>
  <c r="Y987" i="5"/>
  <c r="AF987" i="5"/>
  <c r="AG987" i="5"/>
  <c r="AJ987" i="5"/>
  <c r="AK987" i="5"/>
  <c r="H988" i="5"/>
  <c r="I988" i="5"/>
  <c r="P988" i="5"/>
  <c r="Q988" i="5"/>
  <c r="T988" i="5"/>
  <c r="U988" i="5"/>
  <c r="X988" i="5"/>
  <c r="Y988" i="5"/>
  <c r="AF988" i="5"/>
  <c r="AG988" i="5"/>
  <c r="AJ988" i="5"/>
  <c r="AK988" i="5"/>
  <c r="H989" i="5"/>
  <c r="I989" i="5"/>
  <c r="P989" i="5"/>
  <c r="Q989" i="5"/>
  <c r="T989" i="5"/>
  <c r="U989" i="5"/>
  <c r="X989" i="5"/>
  <c r="Y989" i="5"/>
  <c r="AF989" i="5"/>
  <c r="AG989" i="5"/>
  <c r="AJ989" i="5"/>
  <c r="AK989" i="5"/>
  <c r="H990" i="5"/>
  <c r="I990" i="5"/>
  <c r="P990" i="5"/>
  <c r="Q990" i="5"/>
  <c r="T990" i="5"/>
  <c r="U990" i="5"/>
  <c r="X990" i="5"/>
  <c r="Y990" i="5"/>
  <c r="AF990" i="5"/>
  <c r="AG990" i="5"/>
  <c r="AJ990" i="5"/>
  <c r="AK990" i="5"/>
  <c r="H991" i="5"/>
  <c r="I991" i="5"/>
  <c r="P991" i="5"/>
  <c r="Q991" i="5"/>
  <c r="T991" i="5"/>
  <c r="U991" i="5"/>
  <c r="X991" i="5"/>
  <c r="Y991" i="5"/>
  <c r="AF991" i="5"/>
  <c r="AG991" i="5"/>
  <c r="AJ991" i="5"/>
  <c r="AK991" i="5"/>
  <c r="H992" i="5"/>
  <c r="I992" i="5"/>
  <c r="P992" i="5"/>
  <c r="Q992" i="5"/>
  <c r="T992" i="5"/>
  <c r="U992" i="5"/>
  <c r="X992" i="5"/>
  <c r="Y992" i="5"/>
  <c r="AF992" i="5"/>
  <c r="AG992" i="5"/>
  <c r="AJ992" i="5"/>
  <c r="AK992" i="5"/>
  <c r="H993" i="5"/>
  <c r="I993" i="5"/>
  <c r="P993" i="5"/>
  <c r="Q993" i="5"/>
  <c r="T993" i="5"/>
  <c r="U993" i="5"/>
  <c r="X993" i="5"/>
  <c r="Y993" i="5"/>
  <c r="AF993" i="5"/>
  <c r="AG993" i="5"/>
  <c r="AJ993" i="5"/>
  <c r="AK993" i="5"/>
  <c r="H994" i="5"/>
  <c r="I994" i="5"/>
  <c r="P994" i="5"/>
  <c r="Q994" i="5"/>
  <c r="T994" i="5"/>
  <c r="U994" i="5"/>
  <c r="X994" i="5"/>
  <c r="Y994" i="5"/>
  <c r="AF994" i="5"/>
  <c r="AG994" i="5"/>
  <c r="AJ994" i="5"/>
  <c r="AK994" i="5"/>
  <c r="H995" i="5"/>
  <c r="I995" i="5"/>
  <c r="P995" i="5"/>
  <c r="Q995" i="5"/>
  <c r="T995" i="5"/>
  <c r="U995" i="5"/>
  <c r="X995" i="5"/>
  <c r="Y995" i="5"/>
  <c r="AF995" i="5"/>
  <c r="AG995" i="5"/>
  <c r="AJ995" i="5"/>
  <c r="AK995" i="5"/>
  <c r="H996" i="5"/>
  <c r="I996" i="5"/>
  <c r="P996" i="5"/>
  <c r="Q996" i="5"/>
  <c r="T996" i="5"/>
  <c r="U996" i="5"/>
  <c r="X996" i="5"/>
  <c r="Y996" i="5"/>
  <c r="AF996" i="5"/>
  <c r="AG996" i="5"/>
  <c r="AJ996" i="5"/>
  <c r="AK996" i="5"/>
  <c r="H997" i="5"/>
  <c r="I997" i="5"/>
  <c r="P997" i="5"/>
  <c r="Q997" i="5"/>
  <c r="T997" i="5"/>
  <c r="U997" i="5"/>
  <c r="X997" i="5"/>
  <c r="Y997" i="5"/>
  <c r="AF997" i="5"/>
  <c r="AG997" i="5"/>
  <c r="AJ997" i="5"/>
  <c r="AK997" i="5"/>
  <c r="H998" i="5"/>
  <c r="I998" i="5"/>
  <c r="P998" i="5"/>
  <c r="Q998" i="5"/>
  <c r="T998" i="5"/>
  <c r="U998" i="5"/>
  <c r="X998" i="5"/>
  <c r="Y998" i="5"/>
  <c r="AF998" i="5"/>
  <c r="AG998" i="5"/>
  <c r="AJ998" i="5"/>
  <c r="AK998" i="5"/>
  <c r="H999" i="5"/>
  <c r="I999" i="5"/>
  <c r="P999" i="5"/>
  <c r="Q999" i="5"/>
  <c r="T999" i="5"/>
  <c r="U999" i="5"/>
  <c r="X999" i="5"/>
  <c r="Y999" i="5"/>
  <c r="AF999" i="5"/>
  <c r="AG999" i="5"/>
  <c r="AJ999" i="5"/>
  <c r="AK999" i="5"/>
  <c r="H1000" i="5"/>
  <c r="I1000" i="5"/>
  <c r="P1000" i="5"/>
  <c r="Q1000" i="5"/>
  <c r="T1000" i="5"/>
  <c r="U1000" i="5"/>
  <c r="X1000" i="5"/>
  <c r="Y1000" i="5"/>
  <c r="AF1000" i="5"/>
  <c r="AG1000" i="5"/>
  <c r="AJ1000" i="5"/>
  <c r="AK1000" i="5"/>
  <c r="H1001" i="5"/>
  <c r="I1001" i="5"/>
  <c r="P1001" i="5"/>
  <c r="Q1001" i="5"/>
  <c r="T1001" i="5"/>
  <c r="U1001" i="5"/>
  <c r="X1001" i="5"/>
  <c r="Y1001" i="5"/>
  <c r="AF1001" i="5"/>
  <c r="AG1001" i="5"/>
  <c r="AJ1001" i="5"/>
  <c r="AK1001" i="5"/>
  <c r="H1002" i="5"/>
  <c r="I1002" i="5"/>
  <c r="P1002" i="5"/>
  <c r="Q1002" i="5"/>
  <c r="T1002" i="5"/>
  <c r="U1002" i="5"/>
  <c r="X1002" i="5"/>
  <c r="Y1002" i="5"/>
  <c r="AF1002" i="5"/>
  <c r="AG1002" i="5"/>
  <c r="AJ1002" i="5"/>
  <c r="AK1002" i="5"/>
  <c r="H1003" i="5"/>
  <c r="I1003" i="5"/>
  <c r="P1003" i="5"/>
  <c r="Q1003" i="5"/>
  <c r="T1003" i="5"/>
  <c r="U1003" i="5"/>
  <c r="X1003" i="5"/>
  <c r="Y1003" i="5"/>
  <c r="AF1003" i="5"/>
  <c r="AG1003" i="5"/>
  <c r="AJ1003" i="5"/>
  <c r="AK1003" i="5"/>
  <c r="H1004" i="5"/>
  <c r="I1004" i="5"/>
  <c r="P1004" i="5"/>
  <c r="Q1004" i="5"/>
  <c r="T1004" i="5"/>
  <c r="U1004" i="5"/>
  <c r="X1004" i="5"/>
  <c r="Y1004" i="5"/>
  <c r="AF1004" i="5"/>
  <c r="AG1004" i="5"/>
  <c r="AJ1004" i="5"/>
  <c r="AK1004" i="5"/>
  <c r="H1005" i="5"/>
  <c r="I1005" i="5"/>
  <c r="P1005" i="5"/>
  <c r="Q1005" i="5"/>
  <c r="T1005" i="5"/>
  <c r="U1005" i="5"/>
  <c r="X1005" i="5"/>
  <c r="Y1005" i="5"/>
  <c r="AF1005" i="5"/>
  <c r="AG1005" i="5"/>
  <c r="AJ1005" i="5"/>
  <c r="AK1005" i="5"/>
  <c r="H1006" i="5"/>
  <c r="I1006" i="5"/>
  <c r="P1006" i="5"/>
  <c r="Q1006" i="5"/>
  <c r="T1006" i="5"/>
  <c r="U1006" i="5"/>
  <c r="X1006" i="5"/>
  <c r="Y1006" i="5"/>
  <c r="AF1006" i="5"/>
  <c r="AG1006" i="5"/>
  <c r="AJ1006" i="5"/>
  <c r="AK1006" i="5"/>
  <c r="H1007" i="5"/>
  <c r="I1007" i="5"/>
  <c r="P1007" i="5"/>
  <c r="Q1007" i="5"/>
  <c r="T1007" i="5"/>
  <c r="U1007" i="5"/>
  <c r="X1007" i="5"/>
  <c r="Y1007" i="5"/>
  <c r="AF1007" i="5"/>
  <c r="AG1007" i="5"/>
  <c r="AJ1007" i="5"/>
  <c r="AK1007" i="5"/>
  <c r="H1008" i="5"/>
  <c r="I1008" i="5"/>
  <c r="P1008" i="5"/>
  <c r="Q1008" i="5"/>
  <c r="T1008" i="5"/>
  <c r="U1008" i="5"/>
  <c r="X1008" i="5"/>
  <c r="Y1008" i="5"/>
  <c r="AF1008" i="5"/>
  <c r="AG1008" i="5"/>
  <c r="AJ1008" i="5"/>
  <c r="AK1008" i="5"/>
  <c r="H1009" i="5"/>
  <c r="I1009" i="5"/>
  <c r="P1009" i="5"/>
  <c r="Q1009" i="5"/>
  <c r="T1009" i="5"/>
  <c r="U1009" i="5"/>
  <c r="X1009" i="5"/>
  <c r="Y1009" i="5"/>
  <c r="AF1009" i="5"/>
  <c r="AG1009" i="5"/>
  <c r="AJ1009" i="5"/>
  <c r="AK1009" i="5"/>
  <c r="H1010" i="5"/>
  <c r="I1010" i="5"/>
  <c r="P1010" i="5"/>
  <c r="Q1010" i="5"/>
  <c r="T1010" i="5"/>
  <c r="U1010" i="5"/>
  <c r="X1010" i="5"/>
  <c r="Y1010" i="5"/>
  <c r="AF1010" i="5"/>
  <c r="AG1010" i="5"/>
  <c r="AJ1010" i="5"/>
  <c r="AK1010" i="5"/>
  <c r="H1011" i="5"/>
  <c r="I1011" i="5"/>
  <c r="P1011" i="5"/>
  <c r="Q1011" i="5"/>
  <c r="T1011" i="5"/>
  <c r="U1011" i="5"/>
  <c r="X1011" i="5"/>
  <c r="Y1011" i="5"/>
  <c r="AF1011" i="5"/>
  <c r="AG1011" i="5"/>
  <c r="AJ1011" i="5"/>
  <c r="AK1011" i="5"/>
  <c r="H1012" i="5"/>
  <c r="I1012" i="5"/>
  <c r="P1012" i="5"/>
  <c r="Q1012" i="5"/>
  <c r="T1012" i="5"/>
  <c r="U1012" i="5"/>
  <c r="X1012" i="5"/>
  <c r="Y1012" i="5"/>
  <c r="AF1012" i="5"/>
  <c r="AG1012" i="5"/>
  <c r="AJ1012" i="5"/>
  <c r="AK1012" i="5"/>
  <c r="H1013" i="5"/>
  <c r="I1013" i="5"/>
  <c r="P1013" i="5"/>
  <c r="Q1013" i="5"/>
  <c r="T1013" i="5"/>
  <c r="U1013" i="5"/>
  <c r="X1013" i="5"/>
  <c r="Y1013" i="5"/>
  <c r="AF1013" i="5"/>
  <c r="AG1013" i="5"/>
  <c r="AJ1013" i="5"/>
  <c r="AK1013" i="5"/>
  <c r="H1014" i="5"/>
  <c r="I1014" i="5"/>
  <c r="P1014" i="5"/>
  <c r="Q1014" i="5"/>
  <c r="T1014" i="5"/>
  <c r="U1014" i="5"/>
  <c r="X1014" i="5"/>
  <c r="Y1014" i="5"/>
  <c r="AF1014" i="5"/>
  <c r="AG1014" i="5"/>
  <c r="AJ1014" i="5"/>
  <c r="AK1014" i="5"/>
  <c r="H1015" i="5"/>
  <c r="I1015" i="5"/>
  <c r="P1015" i="5"/>
  <c r="Q1015" i="5"/>
  <c r="T1015" i="5"/>
  <c r="U1015" i="5"/>
  <c r="X1015" i="5"/>
  <c r="Y1015" i="5"/>
  <c r="AF1015" i="5"/>
  <c r="AG1015" i="5"/>
  <c r="AJ1015" i="5"/>
  <c r="AK1015" i="5"/>
  <c r="H1016" i="5"/>
  <c r="I1016" i="5"/>
  <c r="P1016" i="5"/>
  <c r="Q1016" i="5"/>
  <c r="T1016" i="5"/>
  <c r="U1016" i="5"/>
  <c r="X1016" i="5"/>
  <c r="Y1016" i="5"/>
  <c r="AF1016" i="5"/>
  <c r="AG1016" i="5"/>
  <c r="AJ1016" i="5"/>
  <c r="AK1016" i="5"/>
  <c r="H1017" i="5"/>
  <c r="I1017" i="5"/>
  <c r="P1017" i="5"/>
  <c r="Q1017" i="5"/>
  <c r="T1017" i="5"/>
  <c r="U1017" i="5"/>
  <c r="X1017" i="5"/>
  <c r="Y1017" i="5"/>
  <c r="AF1017" i="5"/>
  <c r="AG1017" i="5"/>
  <c r="AJ1017" i="5"/>
  <c r="AK1017" i="5"/>
  <c r="H1018" i="5"/>
  <c r="I1018" i="5"/>
  <c r="P1018" i="5"/>
  <c r="Q1018" i="5"/>
  <c r="T1018" i="5"/>
  <c r="U1018" i="5"/>
  <c r="X1018" i="5"/>
  <c r="Y1018" i="5"/>
  <c r="AF1018" i="5"/>
  <c r="AG1018" i="5"/>
  <c r="AJ1018" i="5"/>
  <c r="AK1018" i="5"/>
  <c r="H1019" i="5"/>
  <c r="I1019" i="5"/>
  <c r="P1019" i="5"/>
  <c r="Q1019" i="5"/>
  <c r="T1019" i="5"/>
  <c r="U1019" i="5"/>
  <c r="X1019" i="5"/>
  <c r="Y1019" i="5"/>
  <c r="AF1019" i="5"/>
  <c r="AG1019" i="5"/>
  <c r="AJ1019" i="5"/>
  <c r="AK1019" i="5"/>
  <c r="H1020" i="5"/>
  <c r="I1020" i="5"/>
  <c r="P1020" i="5"/>
  <c r="Q1020" i="5"/>
  <c r="T1020" i="5"/>
  <c r="U1020" i="5"/>
  <c r="X1020" i="5"/>
  <c r="Y1020" i="5"/>
  <c r="AF1020" i="5"/>
  <c r="AG1020" i="5"/>
  <c r="AJ1020" i="5"/>
  <c r="AK1020" i="5"/>
  <c r="H1021" i="5"/>
  <c r="I1021" i="5"/>
  <c r="P1021" i="5"/>
  <c r="Q1021" i="5"/>
  <c r="T1021" i="5"/>
  <c r="U1021" i="5"/>
  <c r="X1021" i="5"/>
  <c r="Y1021" i="5"/>
  <c r="AF1021" i="5"/>
  <c r="AG1021" i="5"/>
  <c r="AJ1021" i="5"/>
  <c r="AK1021" i="5"/>
  <c r="H1022" i="5"/>
  <c r="I1022" i="5"/>
  <c r="P1022" i="5"/>
  <c r="Q1022" i="5"/>
  <c r="T1022" i="5"/>
  <c r="U1022" i="5"/>
  <c r="X1022" i="5"/>
  <c r="Y1022" i="5"/>
  <c r="AF1022" i="5"/>
  <c r="AG1022" i="5"/>
  <c r="AJ1022" i="5"/>
  <c r="AK1022" i="5"/>
  <c r="H1023" i="5"/>
  <c r="I1023" i="5"/>
  <c r="P1023" i="5"/>
  <c r="Q1023" i="5"/>
  <c r="T1023" i="5"/>
  <c r="U1023" i="5"/>
  <c r="X1023" i="5"/>
  <c r="Y1023" i="5"/>
  <c r="AF1023" i="5"/>
  <c r="AG1023" i="5"/>
  <c r="AJ1023" i="5"/>
  <c r="AK1023" i="5"/>
  <c r="H1024" i="5"/>
  <c r="I1024" i="5"/>
  <c r="P1024" i="5"/>
  <c r="Q1024" i="5"/>
  <c r="T1024" i="5"/>
  <c r="U1024" i="5"/>
  <c r="X1024" i="5"/>
  <c r="Y1024" i="5"/>
  <c r="AF1024" i="5"/>
  <c r="AG1024" i="5"/>
  <c r="AJ1024" i="5"/>
  <c r="AK1024" i="5"/>
  <c r="H1025" i="5"/>
  <c r="I1025" i="5"/>
  <c r="P1025" i="5"/>
  <c r="Q1025" i="5"/>
  <c r="T1025" i="5"/>
  <c r="U1025" i="5"/>
  <c r="X1025" i="5"/>
  <c r="Y1025" i="5"/>
  <c r="AF1025" i="5"/>
  <c r="AG1025" i="5"/>
  <c r="AJ1025" i="5"/>
  <c r="AK1025" i="5"/>
  <c r="H1026" i="5"/>
  <c r="I1026" i="5"/>
  <c r="P1026" i="5"/>
  <c r="Q1026" i="5"/>
  <c r="T1026" i="5"/>
  <c r="U1026" i="5"/>
  <c r="X1026" i="5"/>
  <c r="Y1026" i="5"/>
  <c r="AF1026" i="5"/>
  <c r="AG1026" i="5"/>
  <c r="AJ1026" i="5"/>
  <c r="AK1026" i="5"/>
  <c r="H1027" i="5"/>
  <c r="I1027" i="5"/>
  <c r="P1027" i="5"/>
  <c r="Q1027" i="5"/>
  <c r="T1027" i="5"/>
  <c r="U1027" i="5"/>
  <c r="X1027" i="5"/>
  <c r="Y1027" i="5"/>
  <c r="AF1027" i="5"/>
  <c r="AG1027" i="5"/>
  <c r="AJ1027" i="5"/>
  <c r="AK1027" i="5"/>
  <c r="H1028" i="5"/>
  <c r="I1028" i="5"/>
  <c r="P1028" i="5"/>
  <c r="Q1028" i="5"/>
  <c r="T1028" i="5"/>
  <c r="U1028" i="5"/>
  <c r="X1028" i="5"/>
  <c r="Y1028" i="5"/>
  <c r="AF1028" i="5"/>
  <c r="AG1028" i="5"/>
  <c r="AJ1028" i="5"/>
  <c r="AK1028" i="5"/>
  <c r="H1029" i="5"/>
  <c r="I1029" i="5"/>
  <c r="P1029" i="5"/>
  <c r="Q1029" i="5"/>
  <c r="T1029" i="5"/>
  <c r="U1029" i="5"/>
  <c r="X1029" i="5"/>
  <c r="Y1029" i="5"/>
  <c r="AF1029" i="5"/>
  <c r="AG1029" i="5"/>
  <c r="AJ1029" i="5"/>
  <c r="AK1029" i="5"/>
  <c r="H1030" i="5"/>
  <c r="I1030" i="5"/>
  <c r="P1030" i="5"/>
  <c r="Q1030" i="5"/>
  <c r="T1030" i="5"/>
  <c r="U1030" i="5"/>
  <c r="X1030" i="5"/>
  <c r="Y1030" i="5"/>
  <c r="AF1030" i="5"/>
  <c r="AG1030" i="5"/>
  <c r="AJ1030" i="5"/>
  <c r="AK1030" i="5"/>
  <c r="H1031" i="5"/>
  <c r="I1031" i="5"/>
  <c r="P1031" i="5"/>
  <c r="Q1031" i="5"/>
  <c r="T1031" i="5"/>
  <c r="U1031" i="5"/>
  <c r="X1031" i="5"/>
  <c r="Y1031" i="5"/>
  <c r="AF1031" i="5"/>
  <c r="AG1031" i="5"/>
  <c r="AJ1031" i="5"/>
  <c r="AK1031" i="5"/>
  <c r="H1032" i="5"/>
  <c r="I1032" i="5"/>
  <c r="P1032" i="5"/>
  <c r="Q1032" i="5"/>
  <c r="T1032" i="5"/>
  <c r="U1032" i="5"/>
  <c r="X1032" i="5"/>
  <c r="Y1032" i="5"/>
  <c r="AF1032" i="5"/>
  <c r="AG1032" i="5"/>
  <c r="AJ1032" i="5"/>
  <c r="AK1032" i="5"/>
  <c r="AB1040" i="5" l="1"/>
  <c r="AO1113" i="5"/>
  <c r="AL714" i="5"/>
  <c r="AL710" i="5"/>
  <c r="AL668" i="5"/>
  <c r="AL1312" i="5"/>
  <c r="Z883" i="5"/>
  <c r="Z675" i="5"/>
  <c r="AB1093" i="5"/>
  <c r="V1023" i="5"/>
  <c r="V703" i="5"/>
  <c r="V701" i="5"/>
  <c r="V683" i="5"/>
  <c r="R892" i="5"/>
  <c r="R880" i="5"/>
  <c r="R676" i="5"/>
  <c r="R656" i="5"/>
  <c r="R1310" i="5"/>
  <c r="R1047" i="5"/>
  <c r="AH668" i="5"/>
  <c r="AL1069" i="5"/>
  <c r="AN1174" i="5"/>
  <c r="AN1166" i="5"/>
  <c r="AN1158" i="5"/>
  <c r="AN1154" i="5"/>
  <c r="AN1153" i="5"/>
  <c r="AN1141" i="5"/>
  <c r="AN1138" i="5"/>
  <c r="AN1132" i="5"/>
  <c r="AN1124" i="5"/>
  <c r="AN1119" i="5"/>
  <c r="AN1117" i="5"/>
  <c r="AN1116" i="5"/>
  <c r="AO1102" i="5"/>
  <c r="AO1101" i="5"/>
  <c r="AO1099" i="5"/>
  <c r="Z923" i="5"/>
  <c r="Z1311" i="5"/>
  <c r="AN1105" i="5"/>
  <c r="AO1073" i="5"/>
  <c r="AO1071" i="5"/>
  <c r="AO1059" i="5"/>
  <c r="AN1083" i="5"/>
  <c r="AN1065" i="5"/>
  <c r="AN1057" i="5"/>
  <c r="AN1049" i="5"/>
  <c r="AN1047" i="5"/>
  <c r="AN1035" i="5"/>
  <c r="AN1033" i="5"/>
  <c r="R1089" i="5"/>
  <c r="Z1084" i="5"/>
  <c r="R1079" i="5"/>
  <c r="R1077" i="5"/>
  <c r="AO1089" i="5"/>
  <c r="AO1210" i="5"/>
  <c r="AO1132" i="5"/>
  <c r="AO1118" i="5"/>
  <c r="AO1158" i="5"/>
  <c r="AO1140" i="5"/>
  <c r="AO1128" i="5"/>
  <c r="AC1114" i="5"/>
  <c r="AO1208" i="5"/>
  <c r="AO1160" i="5"/>
  <c r="AL1110" i="5"/>
  <c r="AL1108" i="5"/>
  <c r="Z1103" i="5"/>
  <c r="AL1102" i="5"/>
  <c r="R1102" i="5"/>
  <c r="AN1096" i="5"/>
  <c r="AN1110" i="5"/>
  <c r="AN1106" i="5"/>
  <c r="AN1102" i="5"/>
  <c r="V1045" i="5"/>
  <c r="V1137" i="5"/>
  <c r="AB1033" i="5"/>
  <c r="AO1201" i="5"/>
  <c r="AO1189" i="5"/>
  <c r="AO1183" i="5"/>
  <c r="AO1171" i="5"/>
  <c r="R1039" i="5"/>
  <c r="AO1205" i="5"/>
  <c r="AC1079" i="5"/>
  <c r="AO1179" i="5"/>
  <c r="AO1167" i="5"/>
  <c r="AN1036" i="5"/>
  <c r="J1033" i="5"/>
  <c r="AB802" i="5"/>
  <c r="AB1306" i="5"/>
  <c r="AN1216" i="5"/>
  <c r="AN1177" i="5"/>
  <c r="AC1163" i="5"/>
  <c r="AN1175" i="5"/>
  <c r="AN1171" i="5"/>
  <c r="AN1165" i="5"/>
  <c r="AN1224" i="5"/>
  <c r="AH1210" i="5"/>
  <c r="AN1221" i="5"/>
  <c r="AN1240" i="5"/>
  <c r="AN1232" i="5"/>
  <c r="R1207" i="5"/>
  <c r="AL1053" i="5"/>
  <c r="AL1047" i="5"/>
  <c r="Z1027" i="5"/>
  <c r="AL1026" i="5"/>
  <c r="R984" i="5"/>
  <c r="AL1039" i="5"/>
  <c r="AL1152" i="5"/>
  <c r="AN1260" i="5"/>
  <c r="AN1256" i="5"/>
  <c r="AN1266" i="5"/>
  <c r="AN1262" i="5"/>
  <c r="AN1254" i="5"/>
  <c r="AO713" i="5"/>
  <c r="AO685" i="5"/>
  <c r="AO667" i="5"/>
  <c r="AO649" i="5"/>
  <c r="AO1237" i="5"/>
  <c r="AO1231" i="5"/>
  <c r="AN1231" i="5"/>
  <c r="AO725" i="5"/>
  <c r="AO689" i="5"/>
  <c r="AO673" i="5"/>
  <c r="AO671" i="5"/>
  <c r="AO659" i="5"/>
  <c r="AO647" i="5"/>
  <c r="AO641" i="5"/>
  <c r="AO635" i="5"/>
  <c r="AN1187" i="5"/>
  <c r="AO711" i="5"/>
  <c r="AO639" i="5"/>
  <c r="AO1229" i="5"/>
  <c r="AO1223" i="5"/>
  <c r="AO1217" i="5"/>
  <c r="AN1209" i="5"/>
  <c r="AN1201" i="5"/>
  <c r="AN1197" i="5"/>
  <c r="AC1198" i="5"/>
  <c r="AN1188" i="5"/>
  <c r="AS1210" i="5"/>
  <c r="AL1207" i="5"/>
  <c r="AN1223" i="5"/>
  <c r="AN1217" i="5"/>
  <c r="AN1213" i="5"/>
  <c r="AN1243" i="5"/>
  <c r="AN1239" i="5"/>
  <c r="AN1229" i="5"/>
  <c r="AN1215" i="5"/>
  <c r="AN1092" i="5"/>
  <c r="AN1088" i="5"/>
  <c r="AN1082" i="5"/>
  <c r="AR1068" i="5"/>
  <c r="Z1046" i="5"/>
  <c r="AN1286" i="5"/>
  <c r="AN1274" i="5"/>
  <c r="R923" i="5"/>
  <c r="R777" i="5"/>
  <c r="R1313" i="5"/>
  <c r="V1173" i="5"/>
  <c r="R1151" i="5"/>
  <c r="Z1140" i="5"/>
  <c r="AL1139" i="5"/>
  <c r="AL1137" i="5"/>
  <c r="R1137" i="5"/>
  <c r="R1133" i="5"/>
  <c r="AC1222" i="5"/>
  <c r="AC1216" i="5"/>
  <c r="R1202" i="5"/>
  <c r="AL1200" i="5"/>
  <c r="AL1198" i="5"/>
  <c r="AS1183" i="5"/>
  <c r="AB1163" i="5"/>
  <c r="AH1151" i="5"/>
  <c r="AC1058" i="5"/>
  <c r="R1038" i="5"/>
  <c r="AL1034" i="5"/>
  <c r="AN678" i="5"/>
  <c r="AN670" i="5"/>
  <c r="AN658" i="5"/>
  <c r="AN1314" i="5"/>
  <c r="AN1302" i="5"/>
  <c r="AN1292" i="5"/>
  <c r="AN654" i="5"/>
  <c r="AN636" i="5"/>
  <c r="AN1298" i="5"/>
  <c r="AN1290" i="5"/>
  <c r="AN674" i="5"/>
  <c r="AN644" i="5"/>
  <c r="AN632" i="5"/>
  <c r="AN1294" i="5"/>
  <c r="V1262" i="5"/>
  <c r="J1259" i="5"/>
  <c r="V1256" i="5"/>
  <c r="V1254" i="5"/>
  <c r="V1244" i="5"/>
  <c r="J1243" i="5"/>
  <c r="AH1219" i="5"/>
  <c r="J1215" i="5"/>
  <c r="V1214" i="5"/>
  <c r="R1090" i="5"/>
  <c r="AL1082" i="5"/>
  <c r="R1033" i="5"/>
  <c r="AN789" i="5"/>
  <c r="AO696" i="5"/>
  <c r="AO644" i="5"/>
  <c r="AO1298" i="5"/>
  <c r="AN708" i="5"/>
  <c r="AN704" i="5"/>
  <c r="AO724" i="5"/>
  <c r="AO688" i="5"/>
  <c r="AO648" i="5"/>
  <c r="AO1238" i="5"/>
  <c r="AO1226" i="5"/>
  <c r="AN730" i="5"/>
  <c r="AN702" i="5"/>
  <c r="Z1264" i="5"/>
  <c r="AL1215" i="5"/>
  <c r="AO1282" i="5"/>
  <c r="AO1230" i="5"/>
  <c r="AO1220" i="5"/>
  <c r="AO1218" i="5"/>
  <c r="AC1261" i="5"/>
  <c r="AO1028" i="5"/>
  <c r="AO720" i="5"/>
  <c r="AO694" i="5"/>
  <c r="AO684" i="5"/>
  <c r="AO1286" i="5"/>
  <c r="AO1234" i="5"/>
  <c r="AO1212" i="5"/>
  <c r="AO1137" i="5"/>
  <c r="AO735" i="5"/>
  <c r="V1308" i="5"/>
  <c r="AO692" i="5"/>
  <c r="AO680" i="5"/>
  <c r="AO678" i="5"/>
  <c r="AO749" i="5"/>
  <c r="AO739" i="5"/>
  <c r="AN915" i="5"/>
  <c r="AN861" i="5"/>
  <c r="V1059" i="5"/>
  <c r="AO714" i="5"/>
  <c r="AO712" i="5"/>
  <c r="AO698" i="5"/>
  <c r="AO636" i="5"/>
  <c r="AO1314" i="5"/>
  <c r="AO1214" i="5"/>
  <c r="R1308" i="5"/>
  <c r="R1218" i="5"/>
  <c r="R1216" i="5"/>
  <c r="AN1028" i="5"/>
  <c r="AO932" i="5"/>
  <c r="AO930" i="5"/>
  <c r="AN756" i="5"/>
  <c r="AN748" i="5"/>
  <c r="AN740" i="5"/>
  <c r="AN732" i="5"/>
  <c r="AN724" i="5"/>
  <c r="AP724" i="5" s="1"/>
  <c r="AN718" i="5"/>
  <c r="AC1002" i="5"/>
  <c r="AC998" i="5"/>
  <c r="AR1094" i="5"/>
  <c r="AB640" i="5"/>
  <c r="Z1306" i="5"/>
  <c r="R1303" i="5"/>
  <c r="R1301" i="5"/>
  <c r="Z1298" i="5"/>
  <c r="R1297" i="5"/>
  <c r="AL1295" i="5"/>
  <c r="R1295" i="5"/>
  <c r="AC1270" i="5"/>
  <c r="Z1268" i="5"/>
  <c r="AO1016" i="5"/>
  <c r="AO1000" i="5"/>
  <c r="AO974" i="5"/>
  <c r="AO944" i="5"/>
  <c r="AO942" i="5"/>
  <c r="AO940" i="5"/>
  <c r="AN1016" i="5"/>
  <c r="AO917" i="5"/>
  <c r="AO891" i="5"/>
  <c r="AO883" i="5"/>
  <c r="AO847" i="5"/>
  <c r="AO829" i="5"/>
  <c r="AO813" i="5"/>
  <c r="AO775" i="5"/>
  <c r="AB1216" i="5"/>
  <c r="AO994" i="5"/>
  <c r="AO936" i="5"/>
  <c r="AN1014" i="5"/>
  <c r="AN996" i="5"/>
  <c r="AO989" i="5"/>
  <c r="AO875" i="5"/>
  <c r="AO849" i="5"/>
  <c r="AO841" i="5"/>
  <c r="AO823" i="5"/>
  <c r="AO763" i="5"/>
  <c r="AN937" i="5"/>
  <c r="AN929" i="5"/>
  <c r="AN895" i="5"/>
  <c r="AN869" i="5"/>
  <c r="AN863" i="5"/>
  <c r="AN855" i="5"/>
  <c r="AN849" i="5"/>
  <c r="AN801" i="5"/>
  <c r="AN795" i="5"/>
  <c r="AN771" i="5"/>
  <c r="AN759" i="5"/>
  <c r="AN747" i="5"/>
  <c r="AN735" i="5"/>
  <c r="AN681" i="5"/>
  <c r="AN663" i="5"/>
  <c r="AN657" i="5"/>
  <c r="AN1317" i="5"/>
  <c r="V1088" i="5"/>
  <c r="AO990" i="5"/>
  <c r="AO962" i="5"/>
  <c r="AO983" i="5"/>
  <c r="AO897" i="5"/>
  <c r="AO887" i="5"/>
  <c r="AO861" i="5"/>
  <c r="AO853" i="5"/>
  <c r="AN973" i="5"/>
  <c r="AN953" i="5"/>
  <c r="AN939" i="5"/>
  <c r="AN931" i="5"/>
  <c r="AN911" i="5"/>
  <c r="AN899" i="5"/>
  <c r="AR879" i="5"/>
  <c r="AN871" i="5"/>
  <c r="AN865" i="5"/>
  <c r="AN857" i="5"/>
  <c r="AN851" i="5"/>
  <c r="AN817" i="5"/>
  <c r="AN811" i="5"/>
  <c r="AN797" i="5"/>
  <c r="AN791" i="5"/>
  <c r="AN785" i="5"/>
  <c r="AN781" i="5"/>
  <c r="AN767" i="5"/>
  <c r="AN761" i="5"/>
  <c r="AN743" i="5"/>
  <c r="AN737" i="5"/>
  <c r="AN725" i="5"/>
  <c r="AN719" i="5"/>
  <c r="AN695" i="5"/>
  <c r="AN673" i="5"/>
  <c r="AN661" i="5"/>
  <c r="AN653" i="5"/>
  <c r="AO1259" i="5"/>
  <c r="AO1249" i="5"/>
  <c r="AC717" i="5"/>
  <c r="AC713" i="5"/>
  <c r="V1306" i="5"/>
  <c r="AN1265" i="5"/>
  <c r="AN1261" i="5"/>
  <c r="AN1259" i="5"/>
  <c r="AN1255" i="5"/>
  <c r="J1211" i="5"/>
  <c r="AL1205" i="5"/>
  <c r="Z1204" i="5"/>
  <c r="AL1201" i="5"/>
  <c r="Z1200" i="5"/>
  <c r="AL1199" i="5"/>
  <c r="R1062" i="5"/>
  <c r="AO954" i="5"/>
  <c r="AO938" i="5"/>
  <c r="AN994" i="5"/>
  <c r="AO871" i="5"/>
  <c r="AO863" i="5"/>
  <c r="AO831" i="5"/>
  <c r="AO825" i="5"/>
  <c r="AO779" i="5"/>
  <c r="AO773" i="5"/>
  <c r="AN933" i="5"/>
  <c r="AN907" i="5"/>
  <c r="AN901" i="5"/>
  <c r="AN893" i="5"/>
  <c r="AN881" i="5"/>
  <c r="AN877" i="5"/>
  <c r="AN873" i="5"/>
  <c r="AN853" i="5"/>
  <c r="AN847" i="5"/>
  <c r="AN813" i="5"/>
  <c r="AN807" i="5"/>
  <c r="AN803" i="5"/>
  <c r="AN799" i="5"/>
  <c r="AN783" i="5"/>
  <c r="AN779" i="5"/>
  <c r="AN775" i="5"/>
  <c r="AN763" i="5"/>
  <c r="AN751" i="5"/>
  <c r="AN745" i="5"/>
  <c r="AN727" i="5"/>
  <c r="AN703" i="5"/>
  <c r="AN691" i="5"/>
  <c r="AN685" i="5"/>
  <c r="AN655" i="5"/>
  <c r="AN645" i="5"/>
  <c r="AN1315" i="5"/>
  <c r="AO1295" i="5"/>
  <c r="AO1257" i="5"/>
  <c r="AC723" i="5"/>
  <c r="AC715" i="5"/>
  <c r="AC683" i="5"/>
  <c r="AB1305" i="5"/>
  <c r="V1304" i="5"/>
  <c r="AN1271" i="5"/>
  <c r="AN1263" i="5"/>
  <c r="AN1257" i="5"/>
  <c r="AN1253" i="5"/>
  <c r="V1031" i="5"/>
  <c r="V1025" i="5"/>
  <c r="AB1017" i="5"/>
  <c r="AB1015" i="5"/>
  <c r="AL750" i="5"/>
  <c r="AB731" i="5"/>
  <c r="AB729" i="5"/>
  <c r="R1294" i="5"/>
  <c r="Z1293" i="5"/>
  <c r="AL1286" i="5"/>
  <c r="R1286" i="5"/>
  <c r="R1268" i="5"/>
  <c r="AO1014" i="5"/>
  <c r="AO986" i="5"/>
  <c r="AO926" i="5"/>
  <c r="V1275" i="5"/>
  <c r="V1225" i="5"/>
  <c r="V1219" i="5"/>
  <c r="V1217" i="5"/>
  <c r="AH1216" i="5"/>
  <c r="V1213" i="5"/>
  <c r="AH1212" i="5"/>
  <c r="AL1208" i="5"/>
  <c r="J1199" i="5"/>
  <c r="AN972" i="5"/>
  <c r="AN958" i="5"/>
  <c r="AN944" i="5"/>
  <c r="AN932" i="5"/>
  <c r="AO918" i="5"/>
  <c r="AO892" i="5"/>
  <c r="AO878" i="5"/>
  <c r="AO824" i="5"/>
  <c r="AO810" i="5"/>
  <c r="AN860" i="5"/>
  <c r="AN834" i="5"/>
  <c r="AN818" i="5"/>
  <c r="AO1011" i="5"/>
  <c r="AO993" i="5"/>
  <c r="AN792" i="5"/>
  <c r="AN760" i="5"/>
  <c r="J1151" i="5"/>
  <c r="J1135" i="5"/>
  <c r="AN952" i="5"/>
  <c r="AO922" i="5"/>
  <c r="AO910" i="5"/>
  <c r="AO884" i="5"/>
  <c r="AO832" i="5"/>
  <c r="AO820" i="5"/>
  <c r="AN864" i="5"/>
  <c r="AN1299" i="5"/>
  <c r="AO1206" i="5"/>
  <c r="AO1166" i="5"/>
  <c r="AN1027" i="5"/>
  <c r="AN1025" i="5"/>
  <c r="AO1005" i="5"/>
  <c r="AO997" i="5"/>
  <c r="AN786" i="5"/>
  <c r="AN780" i="5"/>
  <c r="AN772" i="5"/>
  <c r="AN764" i="5"/>
  <c r="AN993" i="5"/>
  <c r="AN989" i="5"/>
  <c r="AN985" i="5"/>
  <c r="AO979" i="5"/>
  <c r="AO975" i="5"/>
  <c r="AO971" i="5"/>
  <c r="AO965" i="5"/>
  <c r="AB900" i="5"/>
  <c r="AL831" i="5"/>
  <c r="AL829" i="5"/>
  <c r="AL821" i="5"/>
  <c r="R813" i="5"/>
  <c r="AB810" i="5"/>
  <c r="AB808" i="5"/>
  <c r="AH716" i="5"/>
  <c r="AH712" i="5"/>
  <c r="AB1283" i="5"/>
  <c r="AC1151" i="5"/>
  <c r="AC1149" i="5"/>
  <c r="AN934" i="5"/>
  <c r="AN926" i="5"/>
  <c r="AO906" i="5"/>
  <c r="AO894" i="5"/>
  <c r="AO876" i="5"/>
  <c r="AO814" i="5"/>
  <c r="AN922" i="5"/>
  <c r="AN910" i="5"/>
  <c r="AN904" i="5"/>
  <c r="AN888" i="5"/>
  <c r="AN830" i="5"/>
  <c r="AO1265" i="5"/>
  <c r="AO1186" i="5"/>
  <c r="AO1176" i="5"/>
  <c r="AO1129" i="5"/>
  <c r="AO1021" i="5"/>
  <c r="AO1001" i="5"/>
  <c r="AO985" i="5"/>
  <c r="AC874" i="5"/>
  <c r="AC806" i="5"/>
  <c r="AN782" i="5"/>
  <c r="AN768" i="5"/>
  <c r="AN1015" i="5"/>
  <c r="AN1005" i="5"/>
  <c r="AO963" i="5"/>
  <c r="AO959" i="5"/>
  <c r="AO955" i="5"/>
  <c r="R992" i="5"/>
  <c r="R988" i="5"/>
  <c r="J919" i="5"/>
  <c r="J911" i="5"/>
  <c r="J905" i="5"/>
  <c r="AB736" i="5"/>
  <c r="AB730" i="5"/>
  <c r="AS726" i="5"/>
  <c r="AS716" i="5"/>
  <c r="AC714" i="5"/>
  <c r="AL707" i="5"/>
  <c r="AL689" i="5"/>
  <c r="AL683" i="5"/>
  <c r="R677" i="5"/>
  <c r="AL675" i="5"/>
  <c r="Z656" i="5"/>
  <c r="R643" i="5"/>
  <c r="AL641" i="5"/>
  <c r="AB1143" i="5"/>
  <c r="AO914" i="5"/>
  <c r="AO874" i="5"/>
  <c r="AN912" i="5"/>
  <c r="AN896" i="5"/>
  <c r="AN868" i="5"/>
  <c r="AO786" i="5"/>
  <c r="AN1281" i="5"/>
  <c r="AO1267" i="5"/>
  <c r="AO1168" i="5"/>
  <c r="AN917" i="5"/>
  <c r="AC755" i="5"/>
  <c r="V754" i="5"/>
  <c r="V742" i="5"/>
  <c r="V738" i="5"/>
  <c r="V736" i="5"/>
  <c r="J1274" i="5"/>
  <c r="V1176" i="5"/>
  <c r="R1165" i="5"/>
  <c r="AB1095" i="5"/>
  <c r="AL1076" i="5"/>
  <c r="AN960" i="5"/>
  <c r="AN936" i="5"/>
  <c r="AO908" i="5"/>
  <c r="AN924" i="5"/>
  <c r="AN918" i="5"/>
  <c r="AN906" i="5"/>
  <c r="AN872" i="5"/>
  <c r="AN822" i="5"/>
  <c r="AO754" i="5"/>
  <c r="AN1303" i="5"/>
  <c r="AR1295" i="5"/>
  <c r="AO1202" i="5"/>
  <c r="AO1024" i="5"/>
  <c r="AN913" i="5"/>
  <c r="AR1030" i="5"/>
  <c r="AR1026" i="5"/>
  <c r="AB1138" i="5"/>
  <c r="AN978" i="5"/>
  <c r="AN938" i="5"/>
  <c r="AO900" i="5"/>
  <c r="AO858" i="5"/>
  <c r="AN633" i="5"/>
  <c r="AN914" i="5"/>
  <c r="AN894" i="5"/>
  <c r="AN892" i="5"/>
  <c r="AN1208" i="5"/>
  <c r="AN1157" i="5"/>
  <c r="AN921" i="5"/>
  <c r="AN919" i="5"/>
  <c r="AL1031" i="5"/>
  <c r="R1027" i="5"/>
  <c r="Z1026" i="5"/>
  <c r="AC970" i="5"/>
  <c r="AL1275" i="5"/>
  <c r="AB1260" i="5"/>
  <c r="AH1279" i="5"/>
  <c r="V1278" i="5"/>
  <c r="AB1272" i="5"/>
  <c r="Z1248" i="5"/>
  <c r="AL1180" i="5"/>
  <c r="AR1171" i="5"/>
  <c r="Z1108" i="5"/>
  <c r="Z1094" i="5"/>
  <c r="V1063" i="5"/>
  <c r="AH1022" i="5"/>
  <c r="V1019" i="5"/>
  <c r="AH1018" i="5"/>
  <c r="V1015" i="5"/>
  <c r="V1013" i="5"/>
  <c r="AL982" i="5"/>
  <c r="R982" i="5"/>
  <c r="AL974" i="5"/>
  <c r="R968" i="5"/>
  <c r="Z945" i="5"/>
  <c r="AC833" i="5"/>
  <c r="R757" i="5"/>
  <c r="R747" i="5"/>
  <c r="AO899" i="5"/>
  <c r="AB945" i="5"/>
  <c r="AO1032" i="5"/>
  <c r="AC952" i="5"/>
  <c r="AB919" i="5"/>
  <c r="AL912" i="5"/>
  <c r="Z911" i="5"/>
  <c r="AL904" i="5"/>
  <c r="Z903" i="5"/>
  <c r="AR897" i="5"/>
  <c r="AB700" i="5"/>
  <c r="AB672" i="5"/>
  <c r="AB660" i="5"/>
  <c r="AC642" i="5"/>
  <c r="R1037" i="5"/>
  <c r="AH1025" i="5"/>
  <c r="R995" i="5"/>
  <c r="R987" i="5"/>
  <c r="AH982" i="5"/>
  <c r="J982" i="5"/>
  <c r="V925" i="5"/>
  <c r="V905" i="5"/>
  <c r="AH902" i="5"/>
  <c r="AH898" i="5"/>
  <c r="Z823" i="5"/>
  <c r="AB815" i="5"/>
  <c r="AC777" i="5"/>
  <c r="Z765" i="5"/>
  <c r="R764" i="5"/>
  <c r="AH663" i="5"/>
  <c r="J663" i="5"/>
  <c r="AH649" i="5"/>
  <c r="AB648" i="5"/>
  <c r="AN969" i="5"/>
  <c r="AN961" i="5"/>
  <c r="AN947" i="5"/>
  <c r="V1020" i="5"/>
  <c r="J1011" i="5"/>
  <c r="V998" i="5"/>
  <c r="AL967" i="5"/>
  <c r="R951" i="5"/>
  <c r="Z950" i="5"/>
  <c r="AL949" i="5"/>
  <c r="Z946" i="5"/>
  <c r="AL925" i="5"/>
  <c r="V833" i="5"/>
  <c r="V821" i="5"/>
  <c r="J818" i="5"/>
  <c r="V811" i="5"/>
  <c r="AO869" i="5"/>
  <c r="AC776" i="5"/>
  <c r="AC748" i="5"/>
  <c r="AO913" i="5"/>
  <c r="AP913" i="5" s="1"/>
  <c r="AO907" i="5"/>
  <c r="AL1012" i="5"/>
  <c r="R1012" i="5"/>
  <c r="AL1010" i="5"/>
  <c r="Z1007" i="5"/>
  <c r="R1004" i="5"/>
  <c r="AL998" i="5"/>
  <c r="V976" i="5"/>
  <c r="V972" i="5"/>
  <c r="J971" i="5"/>
  <c r="AH969" i="5"/>
  <c r="V968" i="5"/>
  <c r="V960" i="5"/>
  <c r="AH957" i="5"/>
  <c r="V956" i="5"/>
  <c r="V952" i="5"/>
  <c r="J945" i="5"/>
  <c r="AH943" i="5"/>
  <c r="J943" i="5"/>
  <c r="J941" i="5"/>
  <c r="AL915" i="5"/>
  <c r="AB898" i="5"/>
  <c r="Z804" i="5"/>
  <c r="J798" i="5"/>
  <c r="AB705" i="5"/>
  <c r="AB663" i="5"/>
  <c r="R646" i="5"/>
  <c r="V860" i="5"/>
  <c r="AL664" i="5"/>
  <c r="AC1308" i="5"/>
  <c r="J1206" i="5"/>
  <c r="V1205" i="5"/>
  <c r="AH1198" i="5"/>
  <c r="V1181" i="5"/>
  <c r="AH1122" i="5"/>
  <c r="AB1099" i="5"/>
  <c r="AB1097" i="5"/>
  <c r="AB1063" i="5"/>
  <c r="AC1004" i="5"/>
  <c r="Z991" i="5"/>
  <c r="AB936" i="5"/>
  <c r="AB934" i="5"/>
  <c r="AR932" i="5"/>
  <c r="AR916" i="5"/>
  <c r="V893" i="5"/>
  <c r="AL878" i="5"/>
  <c r="AB871" i="5"/>
  <c r="AL866" i="5"/>
  <c r="V852" i="5"/>
  <c r="J839" i="5"/>
  <c r="J837" i="5"/>
  <c r="AC770" i="5"/>
  <c r="AC762" i="5"/>
  <c r="AC758" i="5"/>
  <c r="Z725" i="5"/>
  <c r="AB721" i="5"/>
  <c r="R720" i="5"/>
  <c r="AB719" i="5"/>
  <c r="AS709" i="5"/>
  <c r="V669" i="5"/>
  <c r="AC664" i="5"/>
  <c r="R635" i="5"/>
  <c r="AB632" i="5"/>
  <c r="R1323" i="5"/>
  <c r="AR1310" i="5"/>
  <c r="AB1282" i="5"/>
  <c r="AR1276" i="5"/>
  <c r="AC1231" i="5"/>
  <c r="J1225" i="5"/>
  <c r="AS1206" i="5"/>
  <c r="AC1202" i="5"/>
  <c r="AC1190" i="5"/>
  <c r="AC1073" i="5"/>
  <c r="AL1025" i="5"/>
  <c r="R1013" i="5"/>
  <c r="AC988" i="5"/>
  <c r="AB957" i="5"/>
  <c r="AH935" i="5"/>
  <c r="AB924" i="5"/>
  <c r="AL897" i="5"/>
  <c r="AL895" i="5"/>
  <c r="V885" i="5"/>
  <c r="AR880" i="5"/>
  <c r="V879" i="5"/>
  <c r="AC878" i="5"/>
  <c r="R856" i="5"/>
  <c r="AC839" i="5"/>
  <c r="V804" i="5"/>
  <c r="V784" i="5"/>
  <c r="J783" i="5"/>
  <c r="V780" i="5"/>
  <c r="AC744" i="5"/>
  <c r="V735" i="5"/>
  <c r="AL696" i="5"/>
  <c r="R696" i="5"/>
  <c r="AL692" i="5"/>
  <c r="R692" i="5"/>
  <c r="AL690" i="5"/>
  <c r="R681" i="5"/>
  <c r="AL679" i="5"/>
  <c r="R679" i="5"/>
  <c r="AL671" i="5"/>
  <c r="R669" i="5"/>
  <c r="J652" i="5"/>
  <c r="R648" i="5"/>
  <c r="V632" i="5"/>
  <c r="AH1323" i="5"/>
  <c r="J1323" i="5"/>
  <c r="AC1321" i="5"/>
  <c r="V1320" i="5"/>
  <c r="AB1288" i="5"/>
  <c r="Z1282" i="5"/>
  <c r="R1281" i="5"/>
  <c r="R1246" i="5"/>
  <c r="AB1243" i="5"/>
  <c r="R1236" i="5"/>
  <c r="AC1227" i="5"/>
  <c r="AC1223" i="5"/>
  <c r="R1197" i="5"/>
  <c r="R1193" i="5"/>
  <c r="AB1159" i="5"/>
  <c r="AC1041" i="5"/>
  <c r="AH976" i="5"/>
  <c r="V963" i="5"/>
  <c r="AH958" i="5"/>
  <c r="V957" i="5"/>
  <c r="V955" i="5"/>
  <c r="Z892" i="5"/>
  <c r="AL891" i="5"/>
  <c r="R806" i="5"/>
  <c r="R733" i="5"/>
  <c r="Z687" i="5"/>
  <c r="AS683" i="5"/>
  <c r="R665" i="5"/>
  <c r="AL657" i="5"/>
  <c r="V1292" i="5"/>
  <c r="R1269" i="5"/>
  <c r="J1258" i="5"/>
  <c r="AC1197" i="5"/>
  <c r="AH1195" i="5"/>
  <c r="V1192" i="5"/>
  <c r="J1191" i="5"/>
  <c r="V1190" i="5"/>
  <c r="R1123" i="5"/>
  <c r="AR1120" i="5"/>
  <c r="AR1118" i="5"/>
  <c r="J1127" i="5"/>
  <c r="V1124" i="5"/>
  <c r="V1122" i="5"/>
  <c r="V1120" i="5"/>
  <c r="AH1117" i="5"/>
  <c r="V1116" i="5"/>
  <c r="AB1100" i="5"/>
  <c r="AL938" i="5"/>
  <c r="AB935" i="5"/>
  <c r="AB927" i="5"/>
  <c r="AL875" i="5"/>
  <c r="V857" i="5"/>
  <c r="AR850" i="5"/>
  <c r="AR816" i="5"/>
  <c r="AS767" i="5"/>
  <c r="AS763" i="5"/>
  <c r="AC677" i="5"/>
  <c r="AB1309" i="5"/>
  <c r="AB1080" i="5"/>
  <c r="AL1024" i="5"/>
  <c r="R1020" i="5"/>
  <c r="R1018" i="5"/>
  <c r="Z1015" i="5"/>
  <c r="V986" i="5"/>
  <c r="R967" i="5"/>
  <c r="R961" i="5"/>
  <c r="R957" i="5"/>
  <c r="Z956" i="5"/>
  <c r="AB954" i="5"/>
  <c r="AR948" i="5"/>
  <c r="V880" i="5"/>
  <c r="AH879" i="5"/>
  <c r="J879" i="5"/>
  <c r="V878" i="5"/>
  <c r="V876" i="5"/>
  <c r="AB858" i="5"/>
  <c r="AC856" i="5"/>
  <c r="R851" i="5"/>
  <c r="AL849" i="5"/>
  <c r="AC848" i="5"/>
  <c r="R835" i="5"/>
  <c r="AH810" i="5"/>
  <c r="J810" i="5"/>
  <c r="V809" i="5"/>
  <c r="V805" i="5"/>
  <c r="V793" i="5"/>
  <c r="AH784" i="5"/>
  <c r="V734" i="5"/>
  <c r="AS704" i="5"/>
  <c r="AL699" i="5"/>
  <c r="AL695" i="5"/>
  <c r="AL693" i="5"/>
  <c r="R693" i="5"/>
  <c r="Z692" i="5"/>
  <c r="AL691" i="5"/>
  <c r="V687" i="5"/>
  <c r="R672" i="5"/>
  <c r="AC671" i="5"/>
  <c r="Z669" i="5"/>
  <c r="AS648" i="5"/>
  <c r="R647" i="5"/>
  <c r="Z646" i="5"/>
  <c r="V639" i="5"/>
  <c r="AC638" i="5"/>
  <c r="J636" i="5"/>
  <c r="J632" i="5"/>
  <c r="AB1289" i="5"/>
  <c r="AL1263" i="5"/>
  <c r="R1263" i="5"/>
  <c r="R1261" i="5"/>
  <c r="R1255" i="5"/>
  <c r="R1253" i="5"/>
  <c r="Z1228" i="5"/>
  <c r="R1227" i="5"/>
  <c r="R1225" i="5"/>
  <c r="AB1187" i="5"/>
  <c r="R1182" i="5"/>
  <c r="AR1181" i="5"/>
  <c r="R1180" i="5"/>
  <c r="AL1114" i="5"/>
  <c r="Z1060" i="5"/>
  <c r="AL1055" i="5"/>
  <c r="R1055" i="5"/>
  <c r="Z1054" i="5"/>
  <c r="AC1014" i="5"/>
  <c r="AC992" i="5"/>
  <c r="AB1009" i="5"/>
  <c r="R1002" i="5"/>
  <c r="R1000" i="5"/>
  <c r="R976" i="5"/>
  <c r="J1031" i="5"/>
  <c r="AH1010" i="5"/>
  <c r="V940" i="5"/>
  <c r="AS1010" i="5"/>
  <c r="AL1007" i="5"/>
  <c r="Z1006" i="5"/>
  <c r="R1003" i="5"/>
  <c r="AH1011" i="5"/>
  <c r="AC1000" i="5"/>
  <c r="R990" i="5"/>
  <c r="J983" i="5"/>
  <c r="V982" i="5"/>
  <c r="AH981" i="5"/>
  <c r="V980" i="5"/>
  <c r="Z978" i="5"/>
  <c r="AL965" i="5"/>
  <c r="Z954" i="5"/>
  <c r="J992" i="5"/>
  <c r="AL952" i="5"/>
  <c r="Z951" i="5"/>
  <c r="AR914" i="5"/>
  <c r="AR912" i="5"/>
  <c r="AB910" i="5"/>
  <c r="AL905" i="5"/>
  <c r="R905" i="5"/>
  <c r="J888" i="5"/>
  <c r="R874" i="5"/>
  <c r="AL868" i="5"/>
  <c r="R868" i="5"/>
  <c r="AH857" i="5"/>
  <c r="AB826" i="5"/>
  <c r="AH794" i="5"/>
  <c r="AB789" i="5"/>
  <c r="V776" i="5"/>
  <c r="J775" i="5"/>
  <c r="V762" i="5"/>
  <c r="AH761" i="5"/>
  <c r="AR750" i="5"/>
  <c r="J709" i="5"/>
  <c r="V708" i="5"/>
  <c r="AO705" i="5"/>
  <c r="R703" i="5"/>
  <c r="AH686" i="5"/>
  <c r="V685" i="5"/>
  <c r="AC679" i="5"/>
  <c r="AL678" i="5"/>
  <c r="AC662" i="5"/>
  <c r="AL661" i="5"/>
  <c r="AH645" i="5"/>
  <c r="J643" i="5"/>
  <c r="V642" i="5"/>
  <c r="AL639" i="5"/>
  <c r="R639" i="5"/>
  <c r="R633" i="5"/>
  <c r="Z1322" i="5"/>
  <c r="AL1321" i="5"/>
  <c r="R1321" i="5"/>
  <c r="R1317" i="5"/>
  <c r="AL1313" i="5"/>
  <c r="AH1292" i="5"/>
  <c r="AB1291" i="5"/>
  <c r="AB1276" i="5"/>
  <c r="AL1184" i="5"/>
  <c r="V1178" i="5"/>
  <c r="V1161" i="5"/>
  <c r="R1154" i="5"/>
  <c r="V1102" i="5"/>
  <c r="J1072" i="5"/>
  <c r="AB1048" i="5"/>
  <c r="V1037" i="5"/>
  <c r="AB1035" i="5"/>
  <c r="R924" i="5"/>
  <c r="R1045" i="5"/>
  <c r="R1041" i="5"/>
  <c r="AN831" i="5"/>
  <c r="J819" i="5"/>
  <c r="AS725" i="5"/>
  <c r="V666" i="5"/>
  <c r="AH665" i="5"/>
  <c r="AO665" i="5"/>
  <c r="AL1284" i="5"/>
  <c r="R1226" i="5"/>
  <c r="AB1150" i="5"/>
  <c r="AR1148" i="5"/>
  <c r="AB1144" i="5"/>
  <c r="AC1142" i="5"/>
  <c r="Z1111" i="5"/>
  <c r="J1099" i="5"/>
  <c r="AB1088" i="5"/>
  <c r="R1081" i="5"/>
  <c r="AL1079" i="5"/>
  <c r="AL1037" i="5"/>
  <c r="AR1034" i="5"/>
  <c r="V949" i="5"/>
  <c r="AH948" i="5"/>
  <c r="V947" i="5"/>
  <c r="AH946" i="5"/>
  <c r="Z939" i="5"/>
  <c r="J933" i="5"/>
  <c r="J931" i="5"/>
  <c r="AH927" i="5"/>
  <c r="J897" i="5"/>
  <c r="J893" i="5"/>
  <c r="AL889" i="5"/>
  <c r="R887" i="5"/>
  <c r="AR884" i="5"/>
  <c r="J874" i="5"/>
  <c r="AR870" i="5"/>
  <c r="J860" i="5"/>
  <c r="AB843" i="5"/>
  <c r="R842" i="5"/>
  <c r="R840" i="5"/>
  <c r="AC831" i="5"/>
  <c r="AC829" i="5"/>
  <c r="AL828" i="5"/>
  <c r="R824" i="5"/>
  <c r="AC821" i="5"/>
  <c r="R801" i="5"/>
  <c r="R793" i="5"/>
  <c r="R791" i="5"/>
  <c r="R789" i="5"/>
  <c r="Z788" i="5"/>
  <c r="AC784" i="5"/>
  <c r="AC751" i="5"/>
  <c r="AL744" i="5"/>
  <c r="AH731" i="5"/>
  <c r="V717" i="5"/>
  <c r="V700" i="5"/>
  <c r="Z688" i="5"/>
  <c r="AL666" i="5"/>
  <c r="R666" i="5"/>
  <c r="AB643" i="5"/>
  <c r="AL640" i="5"/>
  <c r="V1312" i="5"/>
  <c r="AH1311" i="5"/>
  <c r="AB1294" i="5"/>
  <c r="AB1292" i="5"/>
  <c r="AL1291" i="5"/>
  <c r="J1271" i="5"/>
  <c r="V1270" i="5"/>
  <c r="AH1269" i="5"/>
  <c r="R1249" i="5"/>
  <c r="AH1238" i="5"/>
  <c r="AC1194" i="5"/>
  <c r="V1185" i="5"/>
  <c r="AS1175" i="5"/>
  <c r="R1170" i="5"/>
  <c r="R1168" i="5"/>
  <c r="AH1147" i="5"/>
  <c r="V1146" i="5"/>
  <c r="AH1145" i="5"/>
  <c r="R1127" i="5"/>
  <c r="AC1116" i="5"/>
  <c r="R1115" i="5"/>
  <c r="Z1072" i="5"/>
  <c r="AB1060" i="5"/>
  <c r="AL1035" i="5"/>
  <c r="AL936" i="5"/>
  <c r="R936" i="5"/>
  <c r="AB909" i="5"/>
  <c r="V890" i="5"/>
  <c r="AH889" i="5"/>
  <c r="R871" i="5"/>
  <c r="Z870" i="5"/>
  <c r="AC866" i="5"/>
  <c r="V837" i="5"/>
  <c r="J836" i="5"/>
  <c r="V835" i="5"/>
  <c r="AB819" i="5"/>
  <c r="AL814" i="5"/>
  <c r="AC813" i="5"/>
  <c r="AS811" i="5"/>
  <c r="V802" i="5"/>
  <c r="V800" i="5"/>
  <c r="V798" i="5"/>
  <c r="AH768" i="5"/>
  <c r="J768" i="5"/>
  <c r="AR751" i="5"/>
  <c r="AB749" i="5"/>
  <c r="AB745" i="5"/>
  <c r="AL742" i="5"/>
  <c r="J689" i="5"/>
  <c r="J685" i="5"/>
  <c r="Z682" i="5"/>
  <c r="V671" i="5"/>
  <c r="J644" i="5"/>
  <c r="V643" i="5"/>
  <c r="AL638" i="5"/>
  <c r="AL1322" i="5"/>
  <c r="R1322" i="5"/>
  <c r="R1318" i="5"/>
  <c r="AL1314" i="5"/>
  <c r="AH1299" i="5"/>
  <c r="AL1247" i="5"/>
  <c r="AL1243" i="5"/>
  <c r="R1233" i="5"/>
  <c r="V1162" i="5"/>
  <c r="AH1104" i="5"/>
  <c r="J1073" i="5"/>
  <c r="V1072" i="5"/>
  <c r="AL1059" i="5"/>
  <c r="R1050" i="5"/>
  <c r="R1044" i="5"/>
  <c r="J1039" i="5"/>
  <c r="V1038" i="5"/>
  <c r="AN1129" i="5"/>
  <c r="R1094" i="5"/>
  <c r="V1051" i="5"/>
  <c r="V1049" i="5"/>
  <c r="AH1048" i="5"/>
  <c r="J828" i="5"/>
  <c r="V823" i="5"/>
  <c r="AL734" i="5"/>
  <c r="AL732" i="5"/>
  <c r="AS660" i="5"/>
  <c r="AR654" i="5"/>
  <c r="V1290" i="5"/>
  <c r="AO1279" i="5"/>
  <c r="AO1272" i="5"/>
  <c r="AC1203" i="5"/>
  <c r="AN1151" i="5"/>
  <c r="Z1149" i="5"/>
  <c r="AB1145" i="5"/>
  <c r="AL1144" i="5"/>
  <c r="AC1129" i="5"/>
  <c r="V1114" i="5"/>
  <c r="V1066" i="5"/>
  <c r="AC1037" i="5"/>
  <c r="AL966" i="5"/>
  <c r="R966" i="5"/>
  <c r="AL962" i="5"/>
  <c r="AL960" i="5"/>
  <c r="R958" i="5"/>
  <c r="AL956" i="5"/>
  <c r="R956" i="5"/>
  <c r="AN951" i="5"/>
  <c r="AH949" i="5"/>
  <c r="R941" i="5"/>
  <c r="AL939" i="5"/>
  <c r="J930" i="5"/>
  <c r="AH928" i="5"/>
  <c r="AH926" i="5"/>
  <c r="R919" i="5"/>
  <c r="Z908" i="5"/>
  <c r="AN898" i="5"/>
  <c r="V897" i="5"/>
  <c r="AB881" i="5"/>
  <c r="V872" i="5"/>
  <c r="V868" i="5"/>
  <c r="AR856" i="5"/>
  <c r="AL839" i="5"/>
  <c r="AL833" i="5"/>
  <c r="AC828" i="5"/>
  <c r="AL823" i="5"/>
  <c r="R823" i="5"/>
  <c r="Z816" i="5"/>
  <c r="J806" i="5"/>
  <c r="AB801" i="5"/>
  <c r="AB799" i="5"/>
  <c r="AB795" i="5"/>
  <c r="AC787" i="5"/>
  <c r="AL784" i="5"/>
  <c r="AB768" i="5"/>
  <c r="AB760" i="5"/>
  <c r="J744" i="5"/>
  <c r="J736" i="5"/>
  <c r="J723" i="5"/>
  <c r="AL665" i="5"/>
  <c r="V661" i="5"/>
  <c r="AO656" i="5"/>
  <c r="AB655" i="5"/>
  <c r="AL654" i="5"/>
  <c r="AL652" i="5"/>
  <c r="R652" i="5"/>
  <c r="AL650" i="5"/>
  <c r="AB644" i="5"/>
  <c r="Z640" i="5"/>
  <c r="J1322" i="5"/>
  <c r="V1284" i="5"/>
  <c r="AO1283" i="5"/>
  <c r="AL1279" i="5"/>
  <c r="AL1277" i="5"/>
  <c r="R1250" i="5"/>
  <c r="AC1249" i="5"/>
  <c r="J1233" i="5"/>
  <c r="AH1227" i="5"/>
  <c r="Z1197" i="5"/>
  <c r="AC1191" i="5"/>
  <c r="V1182" i="5"/>
  <c r="AL1179" i="5"/>
  <c r="AL1160" i="5"/>
  <c r="AC1159" i="5"/>
  <c r="R1158" i="5"/>
  <c r="AL1156" i="5"/>
  <c r="AC1155" i="5"/>
  <c r="R1142" i="5"/>
  <c r="AL1126" i="5"/>
  <c r="AL1122" i="5"/>
  <c r="AL1116" i="5"/>
  <c r="V1112" i="5"/>
  <c r="R1109" i="5"/>
  <c r="R1101" i="5"/>
  <c r="J1088" i="5"/>
  <c r="AB1075" i="5"/>
  <c r="AR1073" i="5"/>
  <c r="AC1067" i="5"/>
  <c r="AH987" i="5"/>
  <c r="AO987" i="5"/>
  <c r="R985" i="5"/>
  <c r="AL945" i="5"/>
  <c r="AB941" i="5"/>
  <c r="V938" i="5"/>
  <c r="AL919" i="5"/>
  <c r="V904" i="5"/>
  <c r="Z886" i="5"/>
  <c r="AL870" i="5"/>
  <c r="R1010" i="5"/>
  <c r="V1029" i="5"/>
  <c r="V1027" i="5"/>
  <c r="AB1021" i="5"/>
  <c r="AB1012" i="5"/>
  <c r="J1001" i="5"/>
  <c r="AC996" i="5"/>
  <c r="AL995" i="5"/>
  <c r="AL975" i="5"/>
  <c r="J974" i="5"/>
  <c r="AN968" i="5"/>
  <c r="AB965" i="5"/>
  <c r="AS962" i="5"/>
  <c r="AH950" i="5"/>
  <c r="Z949" i="5"/>
  <c r="V948" i="5"/>
  <c r="AS945" i="5"/>
  <c r="R945" i="5"/>
  <c r="AL943" i="5"/>
  <c r="V941" i="5"/>
  <c r="AB939" i="5"/>
  <c r="AN935" i="5"/>
  <c r="AL931" i="5"/>
  <c r="AR925" i="5"/>
  <c r="J921" i="5"/>
  <c r="AH919" i="5"/>
  <c r="AS918" i="5"/>
  <c r="Z916" i="5"/>
  <c r="V909" i="5"/>
  <c r="AH906" i="5"/>
  <c r="AR905" i="5"/>
  <c r="AN889" i="5"/>
  <c r="V886" i="5"/>
  <c r="J885" i="5"/>
  <c r="AB880" i="5"/>
  <c r="V877" i="5"/>
  <c r="AC843" i="5"/>
  <c r="AL795" i="5"/>
  <c r="AC974" i="5"/>
  <c r="AC972" i="5"/>
  <c r="AB949" i="5"/>
  <c r="AB944" i="5"/>
  <c r="AR941" i="5"/>
  <c r="AB928" i="5"/>
  <c r="AR901" i="5"/>
  <c r="AC887" i="5"/>
  <c r="AR886" i="5"/>
  <c r="R973" i="5"/>
  <c r="Z970" i="5"/>
  <c r="AH966" i="5"/>
  <c r="J966" i="5"/>
  <c r="AO949" i="5"/>
  <c r="R948" i="5"/>
  <c r="AO915" i="5"/>
  <c r="AL900" i="5"/>
  <c r="V865" i="5"/>
  <c r="AL740" i="5"/>
  <c r="R1007" i="5"/>
  <c r="AB1006" i="5"/>
  <c r="V996" i="5"/>
  <c r="AH995" i="5"/>
  <c r="J977" i="5"/>
  <c r="AH975" i="5"/>
  <c r="AB933" i="5"/>
  <c r="AL920" i="5"/>
  <c r="V918" i="5"/>
  <c r="AB896" i="5"/>
  <c r="AB894" i="5"/>
  <c r="AL886" i="5"/>
  <c r="AB885" i="5"/>
  <c r="AL1029" i="5"/>
  <c r="AB1028" i="5"/>
  <c r="AB1026" i="5"/>
  <c r="R1025" i="5"/>
  <c r="J1020" i="5"/>
  <c r="V1010" i="5"/>
  <c r="J1009" i="5"/>
  <c r="V1008" i="5"/>
  <c r="J1007" i="5"/>
  <c r="V1006" i="5"/>
  <c r="AL987" i="5"/>
  <c r="AH986" i="5"/>
  <c r="J986" i="5"/>
  <c r="AB981" i="5"/>
  <c r="AL978" i="5"/>
  <c r="Z977" i="5"/>
  <c r="AO967" i="5"/>
  <c r="R963" i="5"/>
  <c r="J962" i="5"/>
  <c r="AN954" i="5"/>
  <c r="AB953" i="5"/>
  <c r="R952" i="5"/>
  <c r="J951" i="5"/>
  <c r="V950" i="5"/>
  <c r="R949" i="5"/>
  <c r="R944" i="5"/>
  <c r="R937" i="5"/>
  <c r="J934" i="5"/>
  <c r="R930" i="5"/>
  <c r="AL928" i="5"/>
  <c r="R925" i="5"/>
  <c r="V923" i="5"/>
  <c r="R916" i="5"/>
  <c r="J913" i="5"/>
  <c r="AR906" i="5"/>
  <c r="AL903" i="5"/>
  <c r="AR896" i="5"/>
  <c r="J895" i="5"/>
  <c r="AB892" i="5"/>
  <c r="AO1025" i="5"/>
  <c r="Z1031" i="5"/>
  <c r="AB1029" i="5"/>
  <c r="AB1024" i="5"/>
  <c r="Z1022" i="5"/>
  <c r="AC1020" i="5"/>
  <c r="R1019" i="5"/>
  <c r="Z1018" i="5"/>
  <c r="AL1017" i="5"/>
  <c r="R1017" i="5"/>
  <c r="AL1015" i="5"/>
  <c r="R1015" i="5"/>
  <c r="AH1012" i="5"/>
  <c r="V1004" i="5"/>
  <c r="J1003" i="5"/>
  <c r="AS986" i="5"/>
  <c r="AN984" i="5"/>
  <c r="AL972" i="5"/>
  <c r="R970" i="5"/>
  <c r="Z969" i="5"/>
  <c r="J967" i="5"/>
  <c r="V966" i="5"/>
  <c r="V964" i="5"/>
  <c r="AC962" i="5"/>
  <c r="AC960" i="5"/>
  <c r="R959" i="5"/>
  <c r="Z958" i="5"/>
  <c r="AL957" i="5"/>
  <c r="R955" i="5"/>
  <c r="AC954" i="5"/>
  <c r="V953" i="5"/>
  <c r="AB946" i="5"/>
  <c r="AL942" i="5"/>
  <c r="R942" i="5"/>
  <c r="AN941" i="5"/>
  <c r="AL935" i="5"/>
  <c r="AB931" i="5"/>
  <c r="AR920" i="5"/>
  <c r="V919" i="5"/>
  <c r="AH918" i="5"/>
  <c r="AR917" i="5"/>
  <c r="AB915" i="5"/>
  <c r="R908" i="5"/>
  <c r="AO905" i="5"/>
  <c r="AR904" i="5"/>
  <c r="AL887" i="5"/>
  <c r="J880" i="5"/>
  <c r="AL874" i="5"/>
  <c r="AO1260" i="5"/>
  <c r="AP1260" i="5" s="1"/>
  <c r="R889" i="5"/>
  <c r="Z888" i="5"/>
  <c r="AH882" i="5"/>
  <c r="V881" i="5"/>
  <c r="AB874" i="5"/>
  <c r="R869" i="5"/>
  <c r="Z868" i="5"/>
  <c r="AL867" i="5"/>
  <c r="AB866" i="5"/>
  <c r="AL865" i="5"/>
  <c r="R863" i="5"/>
  <c r="AL854" i="5"/>
  <c r="R848" i="5"/>
  <c r="AL846" i="5"/>
  <c r="J843" i="5"/>
  <c r="J841" i="5"/>
  <c r="V836" i="5"/>
  <c r="R830" i="5"/>
  <c r="R828" i="5"/>
  <c r="AN821" i="5"/>
  <c r="J821" i="5"/>
  <c r="V820" i="5"/>
  <c r="AB816" i="5"/>
  <c r="AL815" i="5"/>
  <c r="R815" i="5"/>
  <c r="Z812" i="5"/>
  <c r="AO806" i="5"/>
  <c r="AL802" i="5"/>
  <c r="AH795" i="5"/>
  <c r="AH793" i="5"/>
  <c r="AN784" i="5"/>
  <c r="J782" i="5"/>
  <c r="AH780" i="5"/>
  <c r="AL778" i="5"/>
  <c r="V770" i="5"/>
  <c r="AB766" i="5"/>
  <c r="R765" i="5"/>
  <c r="AL758" i="5"/>
  <c r="Z757" i="5"/>
  <c r="AN757" i="5"/>
  <c r="V756" i="5"/>
  <c r="V752" i="5"/>
  <c r="V746" i="5"/>
  <c r="J738" i="5"/>
  <c r="R727" i="5"/>
  <c r="AL724" i="5"/>
  <c r="R724" i="5"/>
  <c r="Z723" i="5"/>
  <c r="AL722" i="5"/>
  <c r="AR716" i="5"/>
  <c r="AR705" i="5"/>
  <c r="AL704" i="5"/>
  <c r="R704" i="5"/>
  <c r="AC701" i="5"/>
  <c r="AL700" i="5"/>
  <c r="AH699" i="5"/>
  <c r="AL687" i="5"/>
  <c r="R687" i="5"/>
  <c r="AB686" i="5"/>
  <c r="AC681" i="5"/>
  <c r="R675" i="5"/>
  <c r="Z674" i="5"/>
  <c r="AL673" i="5"/>
  <c r="AR646" i="5"/>
  <c r="AO645" i="5"/>
  <c r="V634" i="5"/>
  <c r="AR1284" i="5"/>
  <c r="AN1284" i="5"/>
  <c r="AL1271" i="5"/>
  <c r="V1259" i="5"/>
  <c r="V1251" i="5"/>
  <c r="AO1246" i="5"/>
  <c r="J1217" i="5"/>
  <c r="V874" i="5"/>
  <c r="AB862" i="5"/>
  <c r="AC858" i="5"/>
  <c r="J856" i="5"/>
  <c r="AB851" i="5"/>
  <c r="Z843" i="5"/>
  <c r="AC841" i="5"/>
  <c r="AN835" i="5"/>
  <c r="AC832" i="5"/>
  <c r="V831" i="5"/>
  <c r="V829" i="5"/>
  <c r="V827" i="5"/>
  <c r="J824" i="5"/>
  <c r="AH815" i="5"/>
  <c r="R800" i="5"/>
  <c r="Z799" i="5"/>
  <c r="AL796" i="5"/>
  <c r="V790" i="5"/>
  <c r="Z784" i="5"/>
  <c r="V779" i="5"/>
  <c r="J778" i="5"/>
  <c r="R774" i="5"/>
  <c r="AL772" i="5"/>
  <c r="AL770" i="5"/>
  <c r="AH767" i="5"/>
  <c r="J767" i="5"/>
  <c r="V766" i="5"/>
  <c r="AH765" i="5"/>
  <c r="AR764" i="5"/>
  <c r="AL763" i="5"/>
  <c r="R763" i="5"/>
  <c r="J760" i="5"/>
  <c r="V759" i="5"/>
  <c r="AO758" i="5"/>
  <c r="AL752" i="5"/>
  <c r="R752" i="5"/>
  <c r="AR736" i="5"/>
  <c r="AB733" i="5"/>
  <c r="AR730" i="5"/>
  <c r="AN729" i="5"/>
  <c r="R725" i="5"/>
  <c r="Z708" i="5"/>
  <c r="V705" i="5"/>
  <c r="AS693" i="5"/>
  <c r="V676" i="5"/>
  <c r="V674" i="5"/>
  <c r="J673" i="5"/>
  <c r="J670" i="5"/>
  <c r="AC660" i="5"/>
  <c r="AL659" i="5"/>
  <c r="R654" i="5"/>
  <c r="R650" i="5"/>
  <c r="V648" i="5"/>
  <c r="V646" i="5"/>
  <c r="AL645" i="5"/>
  <c r="AN640" i="5"/>
  <c r="J640" i="5"/>
  <c r="AL636" i="5"/>
  <c r="AR1318" i="5"/>
  <c r="Z1316" i="5"/>
  <c r="AB1303" i="5"/>
  <c r="AS1295" i="5"/>
  <c r="AR1294" i="5"/>
  <c r="R1285" i="5"/>
  <c r="AO1280" i="5"/>
  <c r="AB1275" i="5"/>
  <c r="AL1267" i="5"/>
  <c r="AB1266" i="5"/>
  <c r="J1188" i="5"/>
  <c r="AH1167" i="5"/>
  <c r="AN1167" i="5"/>
  <c r="AP1167" i="5" s="1"/>
  <c r="AH865" i="5"/>
  <c r="AR854" i="5"/>
  <c r="Z839" i="5"/>
  <c r="AS821" i="5"/>
  <c r="AL818" i="5"/>
  <c r="R818" i="5"/>
  <c r="V814" i="5"/>
  <c r="Z810" i="5"/>
  <c r="AL809" i="5"/>
  <c r="R809" i="5"/>
  <c r="R807" i="5"/>
  <c r="AL794" i="5"/>
  <c r="R794" i="5"/>
  <c r="R783" i="5"/>
  <c r="AH776" i="5"/>
  <c r="AL768" i="5"/>
  <c r="V764" i="5"/>
  <c r="Z762" i="5"/>
  <c r="AL748" i="5"/>
  <c r="Z747" i="5"/>
  <c r="AL746" i="5"/>
  <c r="V744" i="5"/>
  <c r="Z736" i="5"/>
  <c r="AL718" i="5"/>
  <c r="R718" i="5"/>
  <c r="V710" i="5"/>
  <c r="AN675" i="5"/>
  <c r="AC1312" i="5"/>
  <c r="AN1308" i="5"/>
  <c r="J1308" i="5"/>
  <c r="AN1043" i="5"/>
  <c r="R866" i="5"/>
  <c r="Z854" i="5"/>
  <c r="AH842" i="5"/>
  <c r="J842" i="5"/>
  <c r="AN833" i="5"/>
  <c r="J833" i="5"/>
  <c r="V832" i="5"/>
  <c r="R831" i="5"/>
  <c r="AL827" i="5"/>
  <c r="J811" i="5"/>
  <c r="V801" i="5"/>
  <c r="AH798" i="5"/>
  <c r="V797" i="5"/>
  <c r="J774" i="5"/>
  <c r="V773" i="5"/>
  <c r="J772" i="5"/>
  <c r="V771" i="5"/>
  <c r="AO770" i="5"/>
  <c r="AL766" i="5"/>
  <c r="AC765" i="5"/>
  <c r="AN687" i="5"/>
  <c r="AL643" i="5"/>
  <c r="AN1313" i="5"/>
  <c r="AL1290" i="5"/>
  <c r="R1290" i="5"/>
  <c r="AH1285" i="5"/>
  <c r="AO1285" i="5"/>
  <c r="AL1231" i="5"/>
  <c r="AR800" i="5"/>
  <c r="Z729" i="5"/>
  <c r="AB724" i="5"/>
  <c r="AR721" i="5"/>
  <c r="J720" i="5"/>
  <c r="R716" i="5"/>
  <c r="AO686" i="5"/>
  <c r="AC666" i="5"/>
  <c r="AC650" i="5"/>
  <c r="AL648" i="5"/>
  <c r="AS1319" i="5"/>
  <c r="AO1299" i="5"/>
  <c r="Z878" i="5"/>
  <c r="AL877" i="5"/>
  <c r="J872" i="5"/>
  <c r="J868" i="5"/>
  <c r="AB863" i="5"/>
  <c r="AL858" i="5"/>
  <c r="R853" i="5"/>
  <c r="AB850" i="5"/>
  <c r="AL845" i="5"/>
  <c r="AC842" i="5"/>
  <c r="AL841" i="5"/>
  <c r="AS833" i="5"/>
  <c r="V824" i="5"/>
  <c r="J816" i="5"/>
  <c r="V808" i="5"/>
  <c r="AB804" i="5"/>
  <c r="Z802" i="5"/>
  <c r="AL801" i="5"/>
  <c r="AL799" i="5"/>
  <c r="R799" i="5"/>
  <c r="AC798" i="5"/>
  <c r="R797" i="5"/>
  <c r="AH788" i="5"/>
  <c r="AH777" i="5"/>
  <c r="Z776" i="5"/>
  <c r="AL775" i="5"/>
  <c r="R775" i="5"/>
  <c r="AL773" i="5"/>
  <c r="R773" i="5"/>
  <c r="R771" i="5"/>
  <c r="V767" i="5"/>
  <c r="V760" i="5"/>
  <c r="R753" i="5"/>
  <c r="AO723" i="5"/>
  <c r="AC720" i="5"/>
  <c r="AL708" i="5"/>
  <c r="R708" i="5"/>
  <c r="V706" i="5"/>
  <c r="R701" i="5"/>
  <c r="AS700" i="5"/>
  <c r="V699" i="5"/>
  <c r="V697" i="5"/>
  <c r="J692" i="5"/>
  <c r="AL686" i="5"/>
  <c r="AO683" i="5"/>
  <c r="V677" i="5"/>
  <c r="J676" i="5"/>
  <c r="V675" i="5"/>
  <c r="V673" i="5"/>
  <c r="AO663" i="5"/>
  <c r="AL660" i="5"/>
  <c r="R660" i="5"/>
  <c r="AL658" i="5"/>
  <c r="R658" i="5"/>
  <c r="Z654" i="5"/>
  <c r="R653" i="5"/>
  <c r="AR652" i="5"/>
  <c r="R651" i="5"/>
  <c r="AL649" i="5"/>
  <c r="AL644" i="5"/>
  <c r="Z634" i="5"/>
  <c r="AL633" i="5"/>
  <c r="R1320" i="5"/>
  <c r="Z1315" i="5"/>
  <c r="V1310" i="5"/>
  <c r="AB1300" i="5"/>
  <c r="AC1290" i="5"/>
  <c r="AL1288" i="5"/>
  <c r="Z1203" i="5"/>
  <c r="AR1100" i="5"/>
  <c r="AN1100" i="5"/>
  <c r="V848" i="5"/>
  <c r="J845" i="5"/>
  <c r="AC838" i="5"/>
  <c r="AC836" i="5"/>
  <c r="AC820" i="5"/>
  <c r="AL819" i="5"/>
  <c r="AS818" i="5"/>
  <c r="V815" i="5"/>
  <c r="V813" i="5"/>
  <c r="AH812" i="5"/>
  <c r="AL810" i="5"/>
  <c r="R810" i="5"/>
  <c r="AL806" i="5"/>
  <c r="R795" i="5"/>
  <c r="R784" i="5"/>
  <c r="AL782" i="5"/>
  <c r="R782" i="5"/>
  <c r="AC781" i="5"/>
  <c r="AB774" i="5"/>
  <c r="AL769" i="5"/>
  <c r="R769" i="5"/>
  <c r="Z768" i="5"/>
  <c r="J764" i="5"/>
  <c r="AC761" i="5"/>
  <c r="AR760" i="5"/>
  <c r="AH757" i="5"/>
  <c r="AC750" i="5"/>
  <c r="AB741" i="5"/>
  <c r="AL736" i="5"/>
  <c r="AL717" i="5"/>
  <c r="V704" i="5"/>
  <c r="R699" i="5"/>
  <c r="AL697" i="5"/>
  <c r="R697" i="5"/>
  <c r="Z696" i="5"/>
  <c r="V689" i="5"/>
  <c r="R684" i="5"/>
  <c r="AL681" i="5"/>
  <c r="AR669" i="5"/>
  <c r="AO660" i="5"/>
  <c r="AL656" i="5"/>
  <c r="AH653" i="5"/>
  <c r="V652" i="5"/>
  <c r="J651" i="5"/>
  <c r="V650" i="5"/>
  <c r="R649" i="5"/>
  <c r="AN646" i="5"/>
  <c r="AR645" i="5"/>
  <c r="AH639" i="5"/>
  <c r="V638" i="5"/>
  <c r="AR636" i="5"/>
  <c r="AB634" i="5"/>
  <c r="AC1322" i="5"/>
  <c r="V1321" i="5"/>
  <c r="AH1320" i="5"/>
  <c r="AC1320" i="5"/>
  <c r="V1319" i="5"/>
  <c r="AO1316" i="5"/>
  <c r="V1315" i="5"/>
  <c r="V1313" i="5"/>
  <c r="Z1294" i="5"/>
  <c r="V1291" i="5"/>
  <c r="J1266" i="5"/>
  <c r="AO1204" i="5"/>
  <c r="AH1204" i="5"/>
  <c r="AL1175" i="5"/>
  <c r="R1175" i="5"/>
  <c r="AN1162" i="5"/>
  <c r="V1154" i="5"/>
  <c r="J1130" i="5"/>
  <c r="R1128" i="5"/>
  <c r="V1108" i="5"/>
  <c r="AL1094" i="5"/>
  <c r="J1085" i="5"/>
  <c r="Z1080" i="5"/>
  <c r="J1074" i="5"/>
  <c r="R1059" i="5"/>
  <c r="V1055" i="5"/>
  <c r="AS1038" i="5"/>
  <c r="V1289" i="5"/>
  <c r="AH1288" i="5"/>
  <c r="AC1278" i="5"/>
  <c r="J1267" i="5"/>
  <c r="R1265" i="5"/>
  <c r="Z1260" i="5"/>
  <c r="AC1258" i="5"/>
  <c r="Z1252" i="5"/>
  <c r="AC1247" i="5"/>
  <c r="AC1245" i="5"/>
  <c r="AR1230" i="5"/>
  <c r="AL1220" i="5"/>
  <c r="AC1219" i="5"/>
  <c r="R1205" i="5"/>
  <c r="V1203" i="5"/>
  <c r="AL1187" i="5"/>
  <c r="R1187" i="5"/>
  <c r="AC1186" i="5"/>
  <c r="AB1179" i="5"/>
  <c r="R1178" i="5"/>
  <c r="AB1174" i="5"/>
  <c r="R1156" i="5"/>
  <c r="AB1155" i="5"/>
  <c r="V1151" i="5"/>
  <c r="R1150" i="5"/>
  <c r="V1144" i="5"/>
  <c r="Z1136" i="5"/>
  <c r="AL1131" i="5"/>
  <c r="AS1130" i="5"/>
  <c r="J1128" i="5"/>
  <c r="AC1123" i="5"/>
  <c r="AS1120" i="5"/>
  <c r="AH1115" i="5"/>
  <c r="AO1104" i="5"/>
  <c r="AL1090" i="5"/>
  <c r="AB1089" i="5"/>
  <c r="V1082" i="5"/>
  <c r="Z1076" i="5"/>
  <c r="AL1066" i="5"/>
  <c r="AB1061" i="5"/>
  <c r="AC1043" i="5"/>
  <c r="AB1285" i="5"/>
  <c r="V1280" i="5"/>
  <c r="AC1271" i="5"/>
  <c r="Z1269" i="5"/>
  <c r="AB1264" i="5"/>
  <c r="AB1258" i="5"/>
  <c r="AB1256" i="5"/>
  <c r="AC1241" i="5"/>
  <c r="R1238" i="5"/>
  <c r="AC1235" i="5"/>
  <c r="V1230" i="5"/>
  <c r="V1228" i="5"/>
  <c r="J1222" i="5"/>
  <c r="AN1207" i="5"/>
  <c r="J1207" i="5"/>
  <c r="J1198" i="5"/>
  <c r="AC1195" i="5"/>
  <c r="AL1194" i="5"/>
  <c r="R1194" i="5"/>
  <c r="AB1186" i="5"/>
  <c r="AL1183" i="5"/>
  <c r="AL1181" i="5"/>
  <c r="AL1176" i="5"/>
  <c r="R1176" i="5"/>
  <c r="V1174" i="5"/>
  <c r="AR1172" i="5"/>
  <c r="AN1170" i="5"/>
  <c r="V1169" i="5"/>
  <c r="AL1164" i="5"/>
  <c r="Z1160" i="5"/>
  <c r="J1158" i="5"/>
  <c r="V1157" i="5"/>
  <c r="V1155" i="5"/>
  <c r="AC1147" i="5"/>
  <c r="R1146" i="5"/>
  <c r="V1142" i="5"/>
  <c r="V1138" i="5"/>
  <c r="R1129" i="5"/>
  <c r="AH1121" i="5"/>
  <c r="AC1118" i="5"/>
  <c r="R1116" i="5"/>
  <c r="AL1113" i="5"/>
  <c r="AS1112" i="5"/>
  <c r="R1106" i="5"/>
  <c r="R1099" i="5"/>
  <c r="AL1095" i="5"/>
  <c r="R1095" i="5"/>
  <c r="R1086" i="5"/>
  <c r="AR1085" i="5"/>
  <c r="R1084" i="5"/>
  <c r="AO1075" i="5"/>
  <c r="R1075" i="5"/>
  <c r="AS1072" i="5"/>
  <c r="AL1071" i="5"/>
  <c r="R1071" i="5"/>
  <c r="J1066" i="5"/>
  <c r="AB1059" i="5"/>
  <c r="V1058" i="5"/>
  <c r="AB1056" i="5"/>
  <c r="R1053" i="5"/>
  <c r="Z1052" i="5"/>
  <c r="AL1051" i="5"/>
  <c r="V1047" i="5"/>
  <c r="J1046" i="5"/>
  <c r="AO1037" i="5"/>
  <c r="AH1057" i="5"/>
  <c r="AB1052" i="5"/>
  <c r="V1043" i="5"/>
  <c r="R1040" i="5"/>
  <c r="AC1302" i="5"/>
  <c r="AB1297" i="5"/>
  <c r="AL1287" i="5"/>
  <c r="R1287" i="5"/>
  <c r="AH1284" i="5"/>
  <c r="AL1282" i="5"/>
  <c r="AL1280" i="5"/>
  <c r="R1280" i="5"/>
  <c r="AB1274" i="5"/>
  <c r="V1271" i="5"/>
  <c r="Z1265" i="5"/>
  <c r="AL1264" i="5"/>
  <c r="V1258" i="5"/>
  <c r="AH1246" i="5"/>
  <c r="AH1244" i="5"/>
  <c r="R1232" i="5"/>
  <c r="Z1231" i="5"/>
  <c r="AL1228" i="5"/>
  <c r="AB1224" i="5"/>
  <c r="AL1223" i="5"/>
  <c r="AH1218" i="5"/>
  <c r="J1214" i="5"/>
  <c r="R1210" i="5"/>
  <c r="AB1209" i="5"/>
  <c r="Z1207" i="5"/>
  <c r="AL1206" i="5"/>
  <c r="R1206" i="5"/>
  <c r="Z1205" i="5"/>
  <c r="AL1204" i="5"/>
  <c r="V1204" i="5"/>
  <c r="R1203" i="5"/>
  <c r="R1201" i="5"/>
  <c r="AL1197" i="5"/>
  <c r="V1193" i="5"/>
  <c r="AC1192" i="5"/>
  <c r="V1188" i="5"/>
  <c r="V1184" i="5"/>
  <c r="AL1174" i="5"/>
  <c r="R1174" i="5"/>
  <c r="AB1170" i="5"/>
  <c r="V1165" i="5"/>
  <c r="V1160" i="5"/>
  <c r="R1159" i="5"/>
  <c r="AL1157" i="5"/>
  <c r="Z1156" i="5"/>
  <c r="AL1155" i="5"/>
  <c r="J1154" i="5"/>
  <c r="AR1153" i="5"/>
  <c r="R1152" i="5"/>
  <c r="AL1140" i="5"/>
  <c r="R1138" i="5"/>
  <c r="Z1135" i="5"/>
  <c r="AL1134" i="5"/>
  <c r="AB1128" i="5"/>
  <c r="Z1126" i="5"/>
  <c r="R1122" i="5"/>
  <c r="V1118" i="5"/>
  <c r="V1098" i="5"/>
  <c r="AO1097" i="5"/>
  <c r="AO1095" i="5"/>
  <c r="AO1084" i="5"/>
  <c r="V1074" i="5"/>
  <c r="AN1055" i="5"/>
  <c r="AH1051" i="5"/>
  <c r="AH1040" i="5"/>
  <c r="AR1039" i="5"/>
  <c r="AL1276" i="5"/>
  <c r="R1262" i="5"/>
  <c r="Z1261" i="5"/>
  <c r="AS1259" i="5"/>
  <c r="R1258" i="5"/>
  <c r="AL1252" i="5"/>
  <c r="R1247" i="5"/>
  <c r="R1245" i="5"/>
  <c r="AS1244" i="5"/>
  <c r="AH1232" i="5"/>
  <c r="AC1232" i="5"/>
  <c r="AN1225" i="5"/>
  <c r="AR1222" i="5"/>
  <c r="R1221" i="5"/>
  <c r="Z1220" i="5"/>
  <c r="AL1219" i="5"/>
  <c r="R1219" i="5"/>
  <c r="AS1218" i="5"/>
  <c r="AL1217" i="5"/>
  <c r="R1217" i="5"/>
  <c r="AC1214" i="5"/>
  <c r="R1213" i="5"/>
  <c r="AC1208" i="5"/>
  <c r="V1200" i="5"/>
  <c r="R1188" i="5"/>
  <c r="AN1181" i="5"/>
  <c r="AR1180" i="5"/>
  <c r="R1172" i="5"/>
  <c r="V1170" i="5"/>
  <c r="AS1150" i="5"/>
  <c r="AL1132" i="5"/>
  <c r="R1130" i="5"/>
  <c r="AB1110" i="5"/>
  <c r="R1107" i="5"/>
  <c r="AL1105" i="5"/>
  <c r="J1104" i="5"/>
  <c r="V1096" i="5"/>
  <c r="AB1092" i="5"/>
  <c r="AL1089" i="5"/>
  <c r="Z1079" i="5"/>
  <c r="AL1078" i="5"/>
  <c r="R1078" i="5"/>
  <c r="Z1075" i="5"/>
  <c r="AB1064" i="5"/>
  <c r="AB1062" i="5"/>
  <c r="AL1043" i="5"/>
  <c r="R1043" i="5"/>
  <c r="AL1041" i="5"/>
  <c r="AN1040" i="5"/>
  <c r="J1040" i="5"/>
  <c r="V1039" i="5"/>
  <c r="R1243" i="5"/>
  <c r="AL1239" i="5"/>
  <c r="AL1235" i="5"/>
  <c r="R1235" i="5"/>
  <c r="J1230" i="5"/>
  <c r="AH1228" i="5"/>
  <c r="AC1228" i="5"/>
  <c r="V1222" i="5"/>
  <c r="Z1212" i="5"/>
  <c r="AL1211" i="5"/>
  <c r="V1198" i="5"/>
  <c r="AL1191" i="5"/>
  <c r="R1184" i="5"/>
  <c r="V1143" i="5"/>
  <c r="AC1136" i="5"/>
  <c r="V1133" i="5"/>
  <c r="J1125" i="5"/>
  <c r="J1122" i="5"/>
  <c r="AL1118" i="5"/>
  <c r="AO1114" i="5"/>
  <c r="V1110" i="5"/>
  <c r="AL1098" i="5"/>
  <c r="AL1072" i="5"/>
  <c r="AH1061" i="5"/>
  <c r="AB1055" i="5"/>
  <c r="R1052" i="5"/>
  <c r="AL1036" i="5"/>
  <c r="R1036" i="5"/>
  <c r="AL1032" i="5"/>
  <c r="AN962" i="5"/>
  <c r="AR947" i="5"/>
  <c r="AR933" i="5"/>
  <c r="AB920" i="5"/>
  <c r="AC915" i="5"/>
  <c r="AB889" i="5"/>
  <c r="Z889" i="5"/>
  <c r="AR885" i="5"/>
  <c r="AN885" i="5"/>
  <c r="AB974" i="5"/>
  <c r="V1022" i="5"/>
  <c r="AB1018" i="5"/>
  <c r="AS1007" i="5"/>
  <c r="J1005" i="5"/>
  <c r="J994" i="5"/>
  <c r="J981" i="5"/>
  <c r="AH967" i="5"/>
  <c r="J958" i="5"/>
  <c r="J954" i="5"/>
  <c r="V944" i="5"/>
  <c r="AN940" i="5"/>
  <c r="AP940" i="5" s="1"/>
  <c r="J927" i="5"/>
  <c r="V922" i="5"/>
  <c r="V907" i="5"/>
  <c r="R906" i="5"/>
  <c r="Z904" i="5"/>
  <c r="AL902" i="5"/>
  <c r="R900" i="5"/>
  <c r="V896" i="5"/>
  <c r="J1027" i="5"/>
  <c r="AN1026" i="5"/>
  <c r="AO1007" i="5"/>
  <c r="AS1006" i="5"/>
  <c r="R1006" i="5"/>
  <c r="Z1005" i="5"/>
  <c r="R998" i="5"/>
  <c r="J997" i="5"/>
  <c r="AN992" i="5"/>
  <c r="AL990" i="5"/>
  <c r="AC984" i="5"/>
  <c r="J984" i="5"/>
  <c r="AL980" i="5"/>
  <c r="R980" i="5"/>
  <c r="AS978" i="5"/>
  <c r="AL977" i="5"/>
  <c r="AC976" i="5"/>
  <c r="AO969" i="5"/>
  <c r="AH968" i="5"/>
  <c r="AH965" i="5"/>
  <c r="R965" i="5"/>
  <c r="Z964" i="5"/>
  <c r="AO957" i="5"/>
  <c r="AR955" i="5"/>
  <c r="AS954" i="5"/>
  <c r="V942" i="5"/>
  <c r="AH938" i="5"/>
  <c r="V937" i="5"/>
  <c r="AB929" i="5"/>
  <c r="R928" i="5"/>
  <c r="AR926" i="5"/>
  <c r="AN920" i="5"/>
  <c r="V920" i="5"/>
  <c r="V912" i="5"/>
  <c r="AR898" i="5"/>
  <c r="AH1032" i="5"/>
  <c r="AB1023" i="5"/>
  <c r="J1019" i="5"/>
  <c r="AB989" i="5"/>
  <c r="R953" i="5"/>
  <c r="AC948" i="5"/>
  <c r="Z943" i="5"/>
  <c r="AB940" i="5"/>
  <c r="AH930" i="5"/>
  <c r="AC927" i="5"/>
  <c r="AH924" i="5"/>
  <c r="AL922" i="5"/>
  <c r="AR921" i="5"/>
  <c r="R920" i="5"/>
  <c r="AB916" i="5"/>
  <c r="J914" i="5"/>
  <c r="V913" i="5"/>
  <c r="R912" i="5"/>
  <c r="V910" i="5"/>
  <c r="AN909" i="5"/>
  <c r="AB908" i="5"/>
  <c r="AL907" i="5"/>
  <c r="R903" i="5"/>
  <c r="V901" i="5"/>
  <c r="R897" i="5"/>
  <c r="AL896" i="5"/>
  <c r="V894" i="5"/>
  <c r="J1032" i="5"/>
  <c r="AC1032" i="5"/>
  <c r="V1026" i="5"/>
  <c r="R1022" i="5"/>
  <c r="V1018" i="5"/>
  <c r="AB1016" i="5"/>
  <c r="AC1011" i="5"/>
  <c r="V1032" i="5"/>
  <c r="AO1031" i="5"/>
  <c r="R1031" i="5"/>
  <c r="R1026" i="5"/>
  <c r="AN1022" i="5"/>
  <c r="AL1020" i="5"/>
  <c r="AH1017" i="5"/>
  <c r="V1016" i="5"/>
  <c r="Z1014" i="5"/>
  <c r="AR1011" i="5"/>
  <c r="AO1004" i="5"/>
  <c r="R1001" i="5"/>
  <c r="R999" i="5"/>
  <c r="R996" i="5"/>
  <c r="Z995" i="5"/>
  <c r="AL991" i="5"/>
  <c r="V989" i="5"/>
  <c r="V984" i="5"/>
  <c r="R983" i="5"/>
  <c r="AO981" i="5"/>
  <c r="AR979" i="5"/>
  <c r="V978" i="5"/>
  <c r="AH977" i="5"/>
  <c r="R975" i="5"/>
  <c r="AH974" i="5"/>
  <c r="AB973" i="5"/>
  <c r="AC968" i="5"/>
  <c r="J968" i="5"/>
  <c r="J965" i="5"/>
  <c r="AB961" i="5"/>
  <c r="V958" i="5"/>
  <c r="AL954" i="5"/>
  <c r="R950" i="5"/>
  <c r="R947" i="5"/>
  <c r="V945" i="5"/>
  <c r="Z941" i="5"/>
  <c r="AR938" i="5"/>
  <c r="Z935" i="5"/>
  <c r="AB932" i="5"/>
  <c r="AR929" i="5"/>
  <c r="AR924" i="5"/>
  <c r="AS902" i="5"/>
  <c r="AN1031" i="5"/>
  <c r="R1029" i="5"/>
  <c r="AH1026" i="5"/>
  <c r="J1025" i="5"/>
  <c r="R1023" i="5"/>
  <c r="V1014" i="5"/>
  <c r="AO1013" i="5"/>
  <c r="AC1012" i="5"/>
  <c r="V1011" i="5"/>
  <c r="AC1009" i="5"/>
  <c r="AL1008" i="5"/>
  <c r="R1008" i="5"/>
  <c r="AL1002" i="5"/>
  <c r="AL994" i="5"/>
  <c r="V992" i="5"/>
  <c r="R991" i="5"/>
  <c r="AL986" i="5"/>
  <c r="AL981" i="5"/>
  <c r="V979" i="5"/>
  <c r="V973" i="5"/>
  <c r="AL970" i="5"/>
  <c r="AL964" i="5"/>
  <c r="R964" i="5"/>
  <c r="V961" i="5"/>
  <c r="Z959" i="5"/>
  <c r="J947" i="5"/>
  <c r="AS942" i="5"/>
  <c r="AR940" i="5"/>
  <c r="J937" i="5"/>
  <c r="Z936" i="5"/>
  <c r="AO934" i="5"/>
  <c r="AH931" i="5"/>
  <c r="AB930" i="5"/>
  <c r="AL929" i="5"/>
  <c r="R929" i="5"/>
  <c r="AO927" i="5"/>
  <c r="R926" i="5"/>
  <c r="Z924" i="5"/>
  <c r="AL923" i="5"/>
  <c r="AB922" i="5"/>
  <c r="V921" i="5"/>
  <c r="AH920" i="5"/>
  <c r="AN916" i="5"/>
  <c r="V916" i="5"/>
  <c r="AL913" i="5"/>
  <c r="V911" i="5"/>
  <c r="AN903" i="5"/>
  <c r="J903" i="5"/>
  <c r="Z900" i="5"/>
  <c r="R898" i="5"/>
  <c r="V895" i="5"/>
  <c r="AL894" i="5"/>
  <c r="AR893" i="5"/>
  <c r="AB903" i="5"/>
  <c r="AL899" i="5"/>
  <c r="AO898" i="5"/>
  <c r="AS897" i="5"/>
  <c r="Z896" i="5"/>
  <c r="AH894" i="5"/>
  <c r="AB962" i="5"/>
  <c r="AR1031" i="5"/>
  <c r="AL1030" i="5"/>
  <c r="AH1029" i="5"/>
  <c r="AO1027" i="5"/>
  <c r="AN1023" i="5"/>
  <c r="AL1021" i="5"/>
  <c r="AL1019" i="5"/>
  <c r="AL1016" i="5"/>
  <c r="AL1014" i="5"/>
  <c r="Z1013" i="5"/>
  <c r="V1012" i="5"/>
  <c r="R1011" i="5"/>
  <c r="AH1008" i="5"/>
  <c r="AC1007" i="5"/>
  <c r="AL1003" i="5"/>
  <c r="AO1002" i="5"/>
  <c r="Z1001" i="5"/>
  <c r="AH994" i="5"/>
  <c r="V990" i="5"/>
  <c r="AH983" i="5"/>
  <c r="R981" i="5"/>
  <c r="Z980" i="5"/>
  <c r="R979" i="5"/>
  <c r="AS974" i="5"/>
  <c r="Z974" i="5"/>
  <c r="V971" i="5"/>
  <c r="V965" i="5"/>
  <c r="AR963" i="5"/>
  <c r="Z962" i="5"/>
  <c r="J957" i="5"/>
  <c r="AO951" i="5"/>
  <c r="AL948" i="5"/>
  <c r="AL946" i="5"/>
  <c r="R940" i="5"/>
  <c r="R938" i="5"/>
  <c r="AR936" i="5"/>
  <c r="V936" i="5"/>
  <c r="R935" i="5"/>
  <c r="V933" i="5"/>
  <c r="AL932" i="5"/>
  <c r="R932" i="5"/>
  <c r="AL927" i="5"/>
  <c r="R927" i="5"/>
  <c r="J926" i="5"/>
  <c r="J925" i="5"/>
  <c r="AH923" i="5"/>
  <c r="Z920" i="5"/>
  <c r="V917" i="5"/>
  <c r="AL916" i="5"/>
  <c r="Z912" i="5"/>
  <c r="AL911" i="5"/>
  <c r="R911" i="5"/>
  <c r="AL908" i="5"/>
  <c r="AO902" i="5"/>
  <c r="V902" i="5"/>
  <c r="R895" i="5"/>
  <c r="AL876" i="5"/>
  <c r="V858" i="5"/>
  <c r="R855" i="5"/>
  <c r="AL850" i="5"/>
  <c r="V843" i="5"/>
  <c r="AL837" i="5"/>
  <c r="R827" i="5"/>
  <c r="AS825" i="5"/>
  <c r="AB807" i="5"/>
  <c r="AH805" i="5"/>
  <c r="AL803" i="5"/>
  <c r="R803" i="5"/>
  <c r="AO798" i="5"/>
  <c r="AO753" i="5"/>
  <c r="AH708" i="5"/>
  <c r="AO708" i="5"/>
  <c r="AR862" i="5"/>
  <c r="V819" i="5"/>
  <c r="AH814" i="5"/>
  <c r="Z808" i="5"/>
  <c r="J794" i="5"/>
  <c r="R790" i="5"/>
  <c r="R785" i="5"/>
  <c r="AH779" i="5"/>
  <c r="AL774" i="5"/>
  <c r="AR772" i="5"/>
  <c r="AC764" i="5"/>
  <c r="J761" i="5"/>
  <c r="AH753" i="5"/>
  <c r="V751" i="5"/>
  <c r="AO745" i="5"/>
  <c r="AR739" i="5"/>
  <c r="AL727" i="5"/>
  <c r="V725" i="5"/>
  <c r="AN723" i="5"/>
  <c r="AL721" i="5"/>
  <c r="AH720" i="5"/>
  <c r="AL716" i="5"/>
  <c r="Z715" i="5"/>
  <c r="V714" i="5"/>
  <c r="AH706" i="5"/>
  <c r="R885" i="5"/>
  <c r="AC884" i="5"/>
  <c r="AL883" i="5"/>
  <c r="Z882" i="5"/>
  <c r="AL880" i="5"/>
  <c r="AL879" i="5"/>
  <c r="R879" i="5"/>
  <c r="AH876" i="5"/>
  <c r="R876" i="5"/>
  <c r="V873" i="5"/>
  <c r="V866" i="5"/>
  <c r="Z864" i="5"/>
  <c r="Z862" i="5"/>
  <c r="R858" i="5"/>
  <c r="V856" i="5"/>
  <c r="AB854" i="5"/>
  <c r="AC852" i="5"/>
  <c r="AR852" i="5"/>
  <c r="V841" i="5"/>
  <c r="AH830" i="5"/>
  <c r="AL825" i="5"/>
  <c r="AC824" i="5"/>
  <c r="R819" i="5"/>
  <c r="AH818" i="5"/>
  <c r="R816" i="5"/>
  <c r="AL813" i="5"/>
  <c r="V810" i="5"/>
  <c r="AC808" i="5"/>
  <c r="AL798" i="5"/>
  <c r="R798" i="5"/>
  <c r="AH797" i="5"/>
  <c r="V796" i="5"/>
  <c r="Z794" i="5"/>
  <c r="AN790" i="5"/>
  <c r="V786" i="5"/>
  <c r="V783" i="5"/>
  <c r="AB781" i="5"/>
  <c r="AL780" i="5"/>
  <c r="J779" i="5"/>
  <c r="AB778" i="5"/>
  <c r="AL777" i="5"/>
  <c r="AN776" i="5"/>
  <c r="J776" i="5"/>
  <c r="AO774" i="5"/>
  <c r="Z773" i="5"/>
  <c r="V772" i="5"/>
  <c r="J771" i="5"/>
  <c r="AN765" i="5"/>
  <c r="J765" i="5"/>
  <c r="Z764" i="5"/>
  <c r="J762" i="5"/>
  <c r="R759" i="5"/>
  <c r="J758" i="5"/>
  <c r="V757" i="5"/>
  <c r="AB744" i="5"/>
  <c r="R743" i="5"/>
  <c r="V741" i="5"/>
  <c r="AL738" i="5"/>
  <c r="R738" i="5"/>
  <c r="AN734" i="5"/>
  <c r="AS847" i="5"/>
  <c r="AN827" i="5"/>
  <c r="J721" i="5"/>
  <c r="R719" i="5"/>
  <c r="AO716" i="5"/>
  <c r="R714" i="5"/>
  <c r="J711" i="5"/>
  <c r="AH681" i="5"/>
  <c r="Z872" i="5"/>
  <c r="AO866" i="5"/>
  <c r="V864" i="5"/>
  <c r="R861" i="5"/>
  <c r="Z860" i="5"/>
  <c r="AL859" i="5"/>
  <c r="AN854" i="5"/>
  <c r="AB845" i="5"/>
  <c r="R844" i="5"/>
  <c r="AC837" i="5"/>
  <c r="AO836" i="5"/>
  <c r="AL835" i="5"/>
  <c r="AH834" i="5"/>
  <c r="AS830" i="5"/>
  <c r="AS829" i="5"/>
  <c r="J825" i="5"/>
  <c r="AH822" i="5"/>
  <c r="AB812" i="5"/>
  <c r="AO811" i="5"/>
  <c r="AL807" i="5"/>
  <c r="AN798" i="5"/>
  <c r="AL791" i="5"/>
  <c r="AB790" i="5"/>
  <c r="AC782" i="5"/>
  <c r="AO767" i="5"/>
  <c r="AO761" i="5"/>
  <c r="AL749" i="5"/>
  <c r="J748" i="5"/>
  <c r="V747" i="5"/>
  <c r="AL741" i="5"/>
  <c r="R735" i="5"/>
  <c r="Z734" i="5"/>
  <c r="AL733" i="5"/>
  <c r="R730" i="5"/>
  <c r="AB723" i="5"/>
  <c r="R722" i="5"/>
  <c r="AC718" i="5"/>
  <c r="AS713" i="5"/>
  <c r="AH695" i="5"/>
  <c r="V692" i="5"/>
  <c r="AL685" i="5"/>
  <c r="AL892" i="5"/>
  <c r="AL890" i="5"/>
  <c r="V888" i="5"/>
  <c r="V882" i="5"/>
  <c r="AH881" i="5"/>
  <c r="R881" i="5"/>
  <c r="AN880" i="5"/>
  <c r="AS879" i="5"/>
  <c r="AH873" i="5"/>
  <c r="AB870" i="5"/>
  <c r="AL864" i="5"/>
  <c r="AN862" i="5"/>
  <c r="J858" i="5"/>
  <c r="AB855" i="5"/>
  <c r="AH846" i="5"/>
  <c r="V845" i="5"/>
  <c r="J844" i="5"/>
  <c r="AH841" i="5"/>
  <c r="R838" i="5"/>
  <c r="R836" i="5"/>
  <c r="R832" i="5"/>
  <c r="AB830" i="5"/>
  <c r="R829" i="5"/>
  <c r="Z827" i="5"/>
  <c r="AC825" i="5"/>
  <c r="R820" i="5"/>
  <c r="AL817" i="5"/>
  <c r="J813" i="5"/>
  <c r="AL811" i="5"/>
  <c r="R811" i="5"/>
  <c r="AC809" i="5"/>
  <c r="AL808" i="5"/>
  <c r="Z806" i="5"/>
  <c r="R802" i="5"/>
  <c r="V792" i="5"/>
  <c r="AB785" i="5"/>
  <c r="R781" i="5"/>
  <c r="Z780" i="5"/>
  <c r="R778" i="5"/>
  <c r="AR776" i="5"/>
  <c r="R770" i="5"/>
  <c r="AC769" i="5"/>
  <c r="AR768" i="5"/>
  <c r="V768" i="5"/>
  <c r="AL764" i="5"/>
  <c r="AB762" i="5"/>
  <c r="V761" i="5"/>
  <c r="AB758" i="5"/>
  <c r="V750" i="5"/>
  <c r="J749" i="5"/>
  <c r="AC746" i="5"/>
  <c r="R744" i="5"/>
  <c r="AO741" i="5"/>
  <c r="Z740" i="5"/>
  <c r="AO736" i="5"/>
  <c r="R736" i="5"/>
  <c r="AH735" i="5"/>
  <c r="AO731" i="5"/>
  <c r="AH730" i="5"/>
  <c r="AL728" i="5"/>
  <c r="AC727" i="5"/>
  <c r="R726" i="5"/>
  <c r="AC725" i="5"/>
  <c r="AC724" i="5"/>
  <c r="AS723" i="5"/>
  <c r="V723" i="5"/>
  <c r="Z721" i="5"/>
  <c r="Z716" i="5"/>
  <c r="R712" i="5"/>
  <c r="AB886" i="5"/>
  <c r="AN839" i="5"/>
  <c r="AN736" i="5"/>
  <c r="AB732" i="5"/>
  <c r="AL731" i="5"/>
  <c r="V718" i="5"/>
  <c r="J717" i="5"/>
  <c r="V713" i="5"/>
  <c r="AB707" i="5"/>
  <c r="V686" i="5"/>
  <c r="AS894" i="5"/>
  <c r="AL888" i="5"/>
  <c r="R888" i="5"/>
  <c r="AL872" i="5"/>
  <c r="AN870" i="5"/>
  <c r="J866" i="5"/>
  <c r="J864" i="5"/>
  <c r="V863" i="5"/>
  <c r="AL862" i="5"/>
  <c r="AL860" i="5"/>
  <c r="R860" i="5"/>
  <c r="R852" i="5"/>
  <c r="AN850" i="5"/>
  <c r="V850" i="5"/>
  <c r="R845" i="5"/>
  <c r="Z844" i="5"/>
  <c r="AL842" i="5"/>
  <c r="V840" i="5"/>
  <c r="Z835" i="5"/>
  <c r="Z831" i="5"/>
  <c r="AO830" i="5"/>
  <c r="V828" i="5"/>
  <c r="V825" i="5"/>
  <c r="Z819" i="5"/>
  <c r="Z813" i="5"/>
  <c r="V806" i="5"/>
  <c r="R805" i="5"/>
  <c r="AN802" i="5"/>
  <c r="AL800" i="5"/>
  <c r="AB798" i="5"/>
  <c r="V782" i="5"/>
  <c r="AH781" i="5"/>
  <c r="AO778" i="5"/>
  <c r="Z777" i="5"/>
  <c r="AL776" i="5"/>
  <c r="AB772" i="5"/>
  <c r="J770" i="5"/>
  <c r="AL765" i="5"/>
  <c r="AH764" i="5"/>
  <c r="AL762" i="5"/>
  <c r="R761" i="5"/>
  <c r="AH760" i="5"/>
  <c r="R755" i="5"/>
  <c r="AL753" i="5"/>
  <c r="R750" i="5"/>
  <c r="V748" i="5"/>
  <c r="AL745" i="5"/>
  <c r="R745" i="5"/>
  <c r="AN744" i="5"/>
  <c r="V740" i="5"/>
  <c r="R734" i="5"/>
  <c r="V732" i="5"/>
  <c r="AL729" i="5"/>
  <c r="V729" i="5"/>
  <c r="AO728" i="5"/>
  <c r="AH726" i="5"/>
  <c r="R723" i="5"/>
  <c r="V721" i="5"/>
  <c r="J705" i="5"/>
  <c r="Z704" i="5"/>
  <c r="AL703" i="5"/>
  <c r="AL701" i="5"/>
  <c r="AH691" i="5"/>
  <c r="R691" i="5"/>
  <c r="J688" i="5"/>
  <c r="AS677" i="5"/>
  <c r="V668" i="5"/>
  <c r="R662" i="5"/>
  <c r="AR661" i="5"/>
  <c r="R659" i="5"/>
  <c r="V654" i="5"/>
  <c r="AB650" i="5"/>
  <c r="AH643" i="5"/>
  <c r="AO1322" i="5"/>
  <c r="Z1321" i="5"/>
  <c r="AB1316" i="5"/>
  <c r="AS1313" i="5"/>
  <c r="AR1312" i="5"/>
  <c r="AL1306" i="5"/>
  <c r="R1304" i="5"/>
  <c r="V1302" i="5"/>
  <c r="AB1301" i="5"/>
  <c r="V1300" i="5"/>
  <c r="AH1296" i="5"/>
  <c r="J1292" i="5"/>
  <c r="Z1289" i="5"/>
  <c r="V1288" i="5"/>
  <c r="AC1280" i="5"/>
  <c r="AR1280" i="5"/>
  <c r="J1278" i="5"/>
  <c r="V1277" i="5"/>
  <c r="V1274" i="5"/>
  <c r="AL1268" i="5"/>
  <c r="AH1267" i="5"/>
  <c r="V1266" i="5"/>
  <c r="AC1265" i="5"/>
  <c r="Z1257" i="5"/>
  <c r="AL1256" i="5"/>
  <c r="AL1251" i="5"/>
  <c r="R1251" i="5"/>
  <c r="AR1250" i="5"/>
  <c r="AO1248" i="5"/>
  <c r="R1248" i="5"/>
  <c r="V1245" i="5"/>
  <c r="AC1243" i="5"/>
  <c r="AH1236" i="5"/>
  <c r="AC1236" i="5"/>
  <c r="R1234" i="5"/>
  <c r="Z1227" i="5"/>
  <c r="AL1226" i="5"/>
  <c r="J1223" i="5"/>
  <c r="V1221" i="5"/>
  <c r="R1211" i="5"/>
  <c r="AH1208" i="5"/>
  <c r="AN1205" i="5"/>
  <c r="AL1203" i="5"/>
  <c r="AO1198" i="5"/>
  <c r="AO1190" i="5"/>
  <c r="R1186" i="5"/>
  <c r="AB1102" i="5"/>
  <c r="AR1102" i="5"/>
  <c r="V1095" i="5"/>
  <c r="Z1033" i="5"/>
  <c r="AC1033" i="5"/>
  <c r="AD1033" i="5" s="1"/>
  <c r="J696" i="5"/>
  <c r="AR695" i="5"/>
  <c r="R689" i="5"/>
  <c r="R686" i="5"/>
  <c r="AN682" i="5"/>
  <c r="AL680" i="5"/>
  <c r="R680" i="5"/>
  <c r="AN679" i="5"/>
  <c r="AB676" i="5"/>
  <c r="V672" i="5"/>
  <c r="R668" i="5"/>
  <c r="V660" i="5"/>
  <c r="V658" i="5"/>
  <c r="R657" i="5"/>
  <c r="R641" i="5"/>
  <c r="Z637" i="5"/>
  <c r="AC632" i="5"/>
  <c r="AL1323" i="5"/>
  <c r="AB1313" i="5"/>
  <c r="AS1312" i="5"/>
  <c r="AB1307" i="5"/>
  <c r="AL1302" i="5"/>
  <c r="AH1293" i="5"/>
  <c r="J1293" i="5"/>
  <c r="R1288" i="5"/>
  <c r="AH1287" i="5"/>
  <c r="R1284" i="5"/>
  <c r="AL1281" i="5"/>
  <c r="Z1280" i="5"/>
  <c r="Z1275" i="5"/>
  <c r="AH1268" i="5"/>
  <c r="R1266" i="5"/>
  <c r="AS1255" i="5"/>
  <c r="R1254" i="5"/>
  <c r="Z1253" i="5"/>
  <c r="AB1247" i="5"/>
  <c r="AL1245" i="5"/>
  <c r="R1242" i="5"/>
  <c r="R1237" i="5"/>
  <c r="V1235" i="5"/>
  <c r="V1233" i="5"/>
  <c r="R1230" i="5"/>
  <c r="AL1227" i="5"/>
  <c r="V1227" i="5"/>
  <c r="AH1220" i="5"/>
  <c r="J1219" i="5"/>
  <c r="Z1216" i="5"/>
  <c r="R1215" i="5"/>
  <c r="AH1211" i="5"/>
  <c r="AL1209" i="5"/>
  <c r="R1209" i="5"/>
  <c r="J1190" i="5"/>
  <c r="R1179" i="5"/>
  <c r="V1177" i="5"/>
  <c r="R1124" i="5"/>
  <c r="AR1067" i="5"/>
  <c r="AB1065" i="5"/>
  <c r="AR1065" i="5"/>
  <c r="AB1047" i="5"/>
  <c r="AS1246" i="5"/>
  <c r="AS1243" i="5"/>
  <c r="AO1228" i="5"/>
  <c r="AO1222" i="5"/>
  <c r="AH1139" i="5"/>
  <c r="AO1139" i="5"/>
  <c r="AH1103" i="5"/>
  <c r="AR1103" i="5"/>
  <c r="V695" i="5"/>
  <c r="V693" i="5"/>
  <c r="R683" i="5"/>
  <c r="V681" i="5"/>
  <c r="R671" i="5"/>
  <c r="Z670" i="5"/>
  <c r="R663" i="5"/>
  <c r="AC656" i="5"/>
  <c r="AB651" i="5"/>
  <c r="R645" i="5"/>
  <c r="AL1318" i="5"/>
  <c r="AC1314" i="5"/>
  <c r="AS1311" i="5"/>
  <c r="V1307" i="5"/>
  <c r="AB1298" i="5"/>
  <c r="AB1296" i="5"/>
  <c r="AL1294" i="5"/>
  <c r="AR1292" i="5"/>
  <c r="AL1285" i="5"/>
  <c r="V1282" i="5"/>
  <c r="AB1273" i="5"/>
  <c r="R1271" i="5"/>
  <c r="AL1269" i="5"/>
  <c r="AL1259" i="5"/>
  <c r="R1259" i="5"/>
  <c r="V1257" i="5"/>
  <c r="AS1251" i="5"/>
  <c r="AC1248" i="5"/>
  <c r="Z1244" i="5"/>
  <c r="R1240" i="5"/>
  <c r="AC1239" i="5"/>
  <c r="AB1236" i="5"/>
  <c r="AH1226" i="5"/>
  <c r="R1224" i="5"/>
  <c r="Z1223" i="5"/>
  <c r="AR1214" i="5"/>
  <c r="AC1211" i="5"/>
  <c r="AN1203" i="5"/>
  <c r="AH1203" i="5"/>
  <c r="R1199" i="5"/>
  <c r="AO1184" i="5"/>
  <c r="J1150" i="5"/>
  <c r="AN1150" i="5"/>
  <c r="AR1047" i="5"/>
  <c r="AS697" i="5"/>
  <c r="AR696" i="5"/>
  <c r="R690" i="5"/>
  <c r="AC689" i="5"/>
  <c r="AC686" i="5"/>
  <c r="AO675" i="5"/>
  <c r="AC668" i="5"/>
  <c r="V664" i="5"/>
  <c r="Z662" i="5"/>
  <c r="R661" i="5"/>
  <c r="AS656" i="5"/>
  <c r="R655" i="5"/>
  <c r="AN643" i="5"/>
  <c r="AB633" i="5"/>
  <c r="AS632" i="5"/>
  <c r="AN1320" i="5"/>
  <c r="AB1317" i="5"/>
  <c r="AB1314" i="5"/>
  <c r="AB1293" i="5"/>
  <c r="AB1290" i="5"/>
  <c r="AL1289" i="5"/>
  <c r="AB1287" i="5"/>
  <c r="AC1276" i="5"/>
  <c r="AH1245" i="5"/>
  <c r="V1241" i="5"/>
  <c r="AL1238" i="5"/>
  <c r="AN1237" i="5"/>
  <c r="AP1237" i="5" s="1"/>
  <c r="AN1169" i="5"/>
  <c r="AR1169" i="5"/>
  <c r="AS1139" i="5"/>
  <c r="AC1137" i="5"/>
  <c r="AN1108" i="5"/>
  <c r="AB1108" i="5"/>
  <c r="Z1066" i="5"/>
  <c r="AO710" i="5"/>
  <c r="R710" i="5"/>
  <c r="Z709" i="5"/>
  <c r="AL705" i="5"/>
  <c r="R705" i="5"/>
  <c r="V696" i="5"/>
  <c r="R695" i="5"/>
  <c r="AR692" i="5"/>
  <c r="V691" i="5"/>
  <c r="AO690" i="5"/>
  <c r="AH687" i="5"/>
  <c r="J684" i="5"/>
  <c r="AN683" i="5"/>
  <c r="AS680" i="5"/>
  <c r="V679" i="5"/>
  <c r="AO672" i="5"/>
  <c r="Z671" i="5"/>
  <c r="AN671" i="5"/>
  <c r="V665" i="5"/>
  <c r="R664" i="5"/>
  <c r="V662" i="5"/>
  <c r="AH661" i="5"/>
  <c r="AR657" i="5"/>
  <c r="V656" i="5"/>
  <c r="AH655" i="5"/>
  <c r="AC654" i="5"/>
  <c r="AL653" i="5"/>
  <c r="V647" i="5"/>
  <c r="R642" i="5"/>
  <c r="AR641" i="5"/>
  <c r="R637" i="5"/>
  <c r="AL632" i="5"/>
  <c r="R632" i="5"/>
  <c r="V1322" i="5"/>
  <c r="AO1321" i="5"/>
  <c r="Z1320" i="5"/>
  <c r="AC1318" i="5"/>
  <c r="AS1315" i="5"/>
  <c r="V1314" i="5"/>
  <c r="AH1312" i="5"/>
  <c r="AL1310" i="5"/>
  <c r="AB1299" i="5"/>
  <c r="V1298" i="5"/>
  <c r="V1296" i="5"/>
  <c r="AC1294" i="5"/>
  <c r="V1293" i="5"/>
  <c r="J1291" i="5"/>
  <c r="AR1287" i="5"/>
  <c r="AB1284" i="5"/>
  <c r="AB1281" i="5"/>
  <c r="AO1269" i="5"/>
  <c r="R1267" i="5"/>
  <c r="AC1266" i="5"/>
  <c r="V1265" i="5"/>
  <c r="AN1264" i="5"/>
  <c r="AL1260" i="5"/>
  <c r="R1257" i="5"/>
  <c r="Z1256" i="5"/>
  <c r="J1249" i="5"/>
  <c r="AO1236" i="5"/>
  <c r="J1235" i="5"/>
  <c r="AO1233" i="5"/>
  <c r="AB1232" i="5"/>
  <c r="AC1230" i="5"/>
  <c r="J1218" i="5"/>
  <c r="AC1215" i="5"/>
  <c r="Z1211" i="5"/>
  <c r="AL1210" i="5"/>
  <c r="Z1209" i="5"/>
  <c r="V1208" i="5"/>
  <c r="AH1207" i="5"/>
  <c r="AS1191" i="5"/>
  <c r="J1182" i="5"/>
  <c r="AB1090" i="5"/>
  <c r="AR1090" i="5"/>
  <c r="R685" i="5"/>
  <c r="AL682" i="5"/>
  <c r="AO681" i="5"/>
  <c r="AL677" i="5"/>
  <c r="AC675" i="5"/>
  <c r="R673" i="5"/>
  <c r="AL670" i="5"/>
  <c r="R667" i="5"/>
  <c r="Z650" i="5"/>
  <c r="AC648" i="5"/>
  <c r="AD648" i="5" s="1"/>
  <c r="V644" i="5"/>
  <c r="R640" i="5"/>
  <c r="AC636" i="5"/>
  <c r="AR1323" i="5"/>
  <c r="AB1318" i="5"/>
  <c r="AH1316" i="5"/>
  <c r="AH1313" i="5"/>
  <c r="AH1303" i="5"/>
  <c r="AB1302" i="5"/>
  <c r="AR1299" i="5"/>
  <c r="AL1298" i="5"/>
  <c r="R1298" i="5"/>
  <c r="R1296" i="5"/>
  <c r="R1292" i="5"/>
  <c r="AN1289" i="5"/>
  <c r="J1289" i="5"/>
  <c r="AO1287" i="5"/>
  <c r="V1287" i="5"/>
  <c r="AL1283" i="5"/>
  <c r="V1281" i="5"/>
  <c r="Z1274" i="5"/>
  <c r="AL1273" i="5"/>
  <c r="R1273" i="5"/>
  <c r="AC1269" i="5"/>
  <c r="AL1258" i="5"/>
  <c r="AC1257" i="5"/>
  <c r="AL1248" i="5"/>
  <c r="AO1247" i="5"/>
  <c r="R1244" i="5"/>
  <c r="R1241" i="5"/>
  <c r="Z1240" i="5"/>
  <c r="AL1236" i="5"/>
  <c r="AN1233" i="5"/>
  <c r="J1231" i="5"/>
  <c r="R1229" i="5"/>
  <c r="AO1225" i="5"/>
  <c r="Z1224" i="5"/>
  <c r="R1223" i="5"/>
  <c r="V1220" i="5"/>
  <c r="R1214" i="5"/>
  <c r="V1211" i="5"/>
  <c r="AS1199" i="5"/>
  <c r="AC1199" i="5"/>
  <c r="Z1196" i="5"/>
  <c r="R1195" i="5"/>
  <c r="AO1185" i="5"/>
  <c r="AH1185" i="5"/>
  <c r="R1183" i="5"/>
  <c r="V1171" i="5"/>
  <c r="V1092" i="5"/>
  <c r="J1067" i="5"/>
  <c r="AN1142" i="5"/>
  <c r="AR1142" i="5"/>
  <c r="V1207" i="5"/>
  <c r="AB1205" i="5"/>
  <c r="AB1201" i="5"/>
  <c r="Z1188" i="5"/>
  <c r="AR1175" i="5"/>
  <c r="AN1173" i="5"/>
  <c r="AL1171" i="5"/>
  <c r="R1171" i="5"/>
  <c r="AL1167" i="5"/>
  <c r="R1162" i="5"/>
  <c r="R1157" i="5"/>
  <c r="AR1152" i="5"/>
  <c r="AB1146" i="5"/>
  <c r="V1145" i="5"/>
  <c r="Z1143" i="5"/>
  <c r="R1141" i="5"/>
  <c r="AN1140" i="5"/>
  <c r="AP1140" i="5" s="1"/>
  <c r="Z1137" i="5"/>
  <c r="AO1127" i="5"/>
  <c r="AB1126" i="5"/>
  <c r="R1125" i="5"/>
  <c r="AC1124" i="5"/>
  <c r="J1112" i="5"/>
  <c r="Z1097" i="5"/>
  <c r="AN1086" i="5"/>
  <c r="AR1083" i="5"/>
  <c r="V1080" i="5"/>
  <c r="AS1079" i="5"/>
  <c r="R1074" i="5"/>
  <c r="AB1070" i="5"/>
  <c r="AB1043" i="5"/>
  <c r="R1035" i="5"/>
  <c r="Z1034" i="5"/>
  <c r="AL1033" i="5"/>
  <c r="AB1208" i="5"/>
  <c r="V1201" i="5"/>
  <c r="AB1197" i="5"/>
  <c r="V1191" i="5"/>
  <c r="AL1190" i="5"/>
  <c r="J1189" i="5"/>
  <c r="AS1179" i="5"/>
  <c r="AL1172" i="5"/>
  <c r="AL1168" i="5"/>
  <c r="AB1166" i="5"/>
  <c r="AL1163" i="5"/>
  <c r="V1163" i="5"/>
  <c r="V1158" i="5"/>
  <c r="Z1148" i="5"/>
  <c r="AC1146" i="5"/>
  <c r="AL1145" i="5"/>
  <c r="J1138" i="5"/>
  <c r="AO1136" i="5"/>
  <c r="R1134" i="5"/>
  <c r="AS1131" i="5"/>
  <c r="V1130" i="5"/>
  <c r="V1126" i="5"/>
  <c r="AO1125" i="5"/>
  <c r="Z1124" i="5"/>
  <c r="R1121" i="5"/>
  <c r="Z1116" i="5"/>
  <c r="J1116" i="5"/>
  <c r="J1113" i="5"/>
  <c r="AR1112" i="5"/>
  <c r="AL1111" i="5"/>
  <c r="AH1110" i="5"/>
  <c r="R1110" i="5"/>
  <c r="AR1108" i="5"/>
  <c r="R1098" i="5"/>
  <c r="AN1094" i="5"/>
  <c r="V1093" i="5"/>
  <c r="R1085" i="5"/>
  <c r="AR1084" i="5"/>
  <c r="AL1080" i="5"/>
  <c r="V1078" i="5"/>
  <c r="AH1077" i="5"/>
  <c r="V1070" i="5"/>
  <c r="AL1065" i="5"/>
  <c r="J1064" i="5"/>
  <c r="Z1061" i="5"/>
  <c r="AN1061" i="5"/>
  <c r="R1058" i="5"/>
  <c r="AH1055" i="5"/>
  <c r="AB1044" i="5"/>
  <c r="R1042" i="5"/>
  <c r="Z1041" i="5"/>
  <c r="AL1038" i="5"/>
  <c r="AB1036" i="5"/>
  <c r="AH1069" i="5"/>
  <c r="AL1067" i="5"/>
  <c r="R1065" i="5"/>
  <c r="AL1060" i="5"/>
  <c r="AH1058" i="5"/>
  <c r="AL1056" i="5"/>
  <c r="J1055" i="5"/>
  <c r="AL1048" i="5"/>
  <c r="AO1040" i="5"/>
  <c r="V1040" i="5"/>
  <c r="V1036" i="5"/>
  <c r="AC1200" i="5"/>
  <c r="V1197" i="5"/>
  <c r="AC1196" i="5"/>
  <c r="J1171" i="5"/>
  <c r="AO1163" i="5"/>
  <c r="AR1149" i="5"/>
  <c r="AR1140" i="5"/>
  <c r="Z1128" i="5"/>
  <c r="AC1125" i="5"/>
  <c r="Z1120" i="5"/>
  <c r="J1111" i="5"/>
  <c r="V1103" i="5"/>
  <c r="AC1101" i="5"/>
  <c r="Z1098" i="5"/>
  <c r="R1096" i="5"/>
  <c r="V1091" i="5"/>
  <c r="AO1090" i="5"/>
  <c r="V1086" i="5"/>
  <c r="R1083" i="5"/>
  <c r="AH1082" i="5"/>
  <c r="AH1080" i="5"/>
  <c r="AC1077" i="5"/>
  <c r="V1076" i="5"/>
  <c r="AL1075" i="5"/>
  <c r="Z1074" i="5"/>
  <c r="R1070" i="5"/>
  <c r="R1067" i="5"/>
  <c r="AL1063" i="5"/>
  <c r="R1063" i="5"/>
  <c r="AH1059" i="5"/>
  <c r="AN1058" i="5"/>
  <c r="R1048" i="5"/>
  <c r="V1041" i="5"/>
  <c r="J1038" i="5"/>
  <c r="V1236" i="5"/>
  <c r="AH1235" i="5"/>
  <c r="Z1232" i="5"/>
  <c r="R1231" i="5"/>
  <c r="V1229" i="5"/>
  <c r="AS1226" i="5"/>
  <c r="AL1225" i="5"/>
  <c r="AH1224" i="5"/>
  <c r="AC1224" i="5"/>
  <c r="R1222" i="5"/>
  <c r="Z1219" i="5"/>
  <c r="AL1218" i="5"/>
  <c r="Z1217" i="5"/>
  <c r="AO1215" i="5"/>
  <c r="AL1212" i="5"/>
  <c r="V1212" i="5"/>
  <c r="V1209" i="5"/>
  <c r="AC1204" i="5"/>
  <c r="V1202" i="5"/>
  <c r="R1198" i="5"/>
  <c r="AO1194" i="5"/>
  <c r="J1193" i="5"/>
  <c r="R1191" i="5"/>
  <c r="AL1188" i="5"/>
  <c r="AL1186" i="5"/>
  <c r="V1186" i="5"/>
  <c r="R1185" i="5"/>
  <c r="AS1184" i="5"/>
  <c r="AL1169" i="5"/>
  <c r="AH1168" i="5"/>
  <c r="R1166" i="5"/>
  <c r="AB1162" i="5"/>
  <c r="AH1160" i="5"/>
  <c r="AB1154" i="5"/>
  <c r="V1153" i="5"/>
  <c r="AN1145" i="5"/>
  <c r="R1143" i="5"/>
  <c r="AL1135" i="5"/>
  <c r="AS1128" i="5"/>
  <c r="AL1124" i="5"/>
  <c r="AH1123" i="5"/>
  <c r="AN1122" i="5"/>
  <c r="Z1121" i="5"/>
  <c r="Z1118" i="5"/>
  <c r="AB1118" i="5"/>
  <c r="V1117" i="5"/>
  <c r="AL1112" i="5"/>
  <c r="Z1107" i="5"/>
  <c r="AL1106" i="5"/>
  <c r="V1100" i="5"/>
  <c r="AL1097" i="5"/>
  <c r="AO1093" i="5"/>
  <c r="R1091" i="5"/>
  <c r="AN1090" i="5"/>
  <c r="AB1084" i="5"/>
  <c r="AN1080" i="5"/>
  <c r="AO1060" i="5"/>
  <c r="Z1035" i="5"/>
  <c r="R1034" i="5"/>
  <c r="V1131" i="5"/>
  <c r="AN1126" i="5"/>
  <c r="AN1123" i="5"/>
  <c r="J1123" i="5"/>
  <c r="AO1119" i="5"/>
  <c r="V1113" i="5"/>
  <c r="R1112" i="5"/>
  <c r="R1097" i="5"/>
  <c r="R1088" i="5"/>
  <c r="AL1086" i="5"/>
  <c r="Z1085" i="5"/>
  <c r="AH1083" i="5"/>
  <c r="AL1081" i="5"/>
  <c r="J1078" i="5"/>
  <c r="V1077" i="5"/>
  <c r="R1076" i="5"/>
  <c r="J1075" i="5"/>
  <c r="AL1073" i="5"/>
  <c r="AN1072" i="5"/>
  <c r="J1070" i="5"/>
  <c r="AL1068" i="5"/>
  <c r="R1068" i="5"/>
  <c r="AN1067" i="5"/>
  <c r="V1061" i="5"/>
  <c r="R1054" i="5"/>
  <c r="V1052" i="5"/>
  <c r="AS1046" i="5"/>
  <c r="R1164" i="5"/>
  <c r="J1163" i="5"/>
  <c r="AL1159" i="5"/>
  <c r="AH1156" i="5"/>
  <c r="AL1148" i="5"/>
  <c r="AH1143" i="5"/>
  <c r="J1139" i="5"/>
  <c r="V1136" i="5"/>
  <c r="AH1135" i="5"/>
  <c r="Z1132" i="5"/>
  <c r="V1128" i="5"/>
  <c r="R1117" i="5"/>
  <c r="Z1115" i="5"/>
  <c r="V1107" i="5"/>
  <c r="V1105" i="5"/>
  <c r="AL1100" i="5"/>
  <c r="R1100" i="5"/>
  <c r="AH1097" i="5"/>
  <c r="AL1084" i="5"/>
  <c r="AO1076" i="5"/>
  <c r="AL1064" i="5"/>
  <c r="V1062" i="5"/>
  <c r="J1060" i="5"/>
  <c r="AR1058" i="5"/>
  <c r="R1057" i="5"/>
  <c r="AL1052" i="5"/>
  <c r="Z1050" i="5"/>
  <c r="AL1049" i="5"/>
  <c r="R1049" i="5"/>
  <c r="J1047" i="5"/>
  <c r="AL1045" i="5"/>
  <c r="AH1044" i="5"/>
  <c r="J1044" i="5"/>
  <c r="V1042" i="5"/>
  <c r="AO1041" i="5"/>
  <c r="AH1036" i="5"/>
  <c r="J1036" i="5"/>
  <c r="AH1034" i="5"/>
  <c r="AH973" i="5"/>
  <c r="AO973" i="5"/>
  <c r="AH947" i="5"/>
  <c r="AO947" i="5"/>
  <c r="AR1032" i="5"/>
  <c r="AC1024" i="5"/>
  <c r="AN1032" i="5"/>
  <c r="AB1027" i="5"/>
  <c r="AR1024" i="5"/>
  <c r="AR1023" i="5"/>
  <c r="J1023" i="5"/>
  <c r="AR1021" i="5"/>
  <c r="AO1019" i="5"/>
  <c r="J1015" i="5"/>
  <c r="AB1014" i="5"/>
  <c r="AR1012" i="5"/>
  <c r="AR994" i="5"/>
  <c r="AB994" i="5"/>
  <c r="AR958" i="5"/>
  <c r="AB958" i="5"/>
  <c r="J956" i="5"/>
  <c r="AR956" i="5"/>
  <c r="J964" i="5"/>
  <c r="AR964" i="5"/>
  <c r="R1030" i="5"/>
  <c r="AC1028" i="5"/>
  <c r="J1028" i="5"/>
  <c r="V1021" i="5"/>
  <c r="AO1020" i="5"/>
  <c r="AN1019" i="5"/>
  <c r="AN1018" i="5"/>
  <c r="AO1017" i="5"/>
  <c r="AC1016" i="5"/>
  <c r="J1016" i="5"/>
  <c r="AS1014" i="5"/>
  <c r="J1012" i="5"/>
  <c r="AN1011" i="5"/>
  <c r="AN1010" i="5"/>
  <c r="AN1009" i="5"/>
  <c r="AH1004" i="5"/>
  <c r="AH1002" i="5"/>
  <c r="AN1001" i="5"/>
  <c r="R997" i="5"/>
  <c r="V994" i="5"/>
  <c r="R993" i="5"/>
  <c r="V988" i="5"/>
  <c r="R972" i="5"/>
  <c r="AH953" i="5"/>
  <c r="AO953" i="5"/>
  <c r="AL950" i="5"/>
  <c r="AC1008" i="5"/>
  <c r="R1032" i="5"/>
  <c r="AH1030" i="5"/>
  <c r="J1029" i="5"/>
  <c r="AR1028" i="5"/>
  <c r="AR1027" i="5"/>
  <c r="AL1022" i="5"/>
  <c r="AN1020" i="5"/>
  <c r="Z1019" i="5"/>
  <c r="AN1017" i="5"/>
  <c r="J1017" i="5"/>
  <c r="AR1016" i="5"/>
  <c r="AR1015" i="5"/>
  <c r="AR1014" i="5"/>
  <c r="AN1013" i="5"/>
  <c r="AC1010" i="5"/>
  <c r="AO1008" i="5"/>
  <c r="J1000" i="5"/>
  <c r="AL988" i="5"/>
  <c r="Z963" i="5"/>
  <c r="R960" i="5"/>
  <c r="AL958" i="5"/>
  <c r="AB948" i="5"/>
  <c r="Z948" i="5"/>
  <c r="AN1030" i="5"/>
  <c r="V1028" i="5"/>
  <c r="AR1025" i="5"/>
  <c r="AB1025" i="5"/>
  <c r="R1024" i="5"/>
  <c r="AO1023" i="5"/>
  <c r="AH1021" i="5"/>
  <c r="R1021" i="5"/>
  <c r="AB1020" i="5"/>
  <c r="AB1019" i="5"/>
  <c r="AL1013" i="5"/>
  <c r="AN1012" i="5"/>
  <c r="Z1012" i="5"/>
  <c r="AS1011" i="5"/>
  <c r="Z1010" i="5"/>
  <c r="Z1009" i="5"/>
  <c r="AO1006" i="5"/>
  <c r="R1005" i="5"/>
  <c r="AN1004" i="5"/>
  <c r="AR1004" i="5"/>
  <c r="AS1002" i="5"/>
  <c r="V1000" i="5"/>
  <c r="AL999" i="5"/>
  <c r="AO998" i="5"/>
  <c r="AS998" i="5"/>
  <c r="Z996" i="5"/>
  <c r="AR996" i="5"/>
  <c r="AR986" i="5"/>
  <c r="AB986" i="5"/>
  <c r="AO970" i="5"/>
  <c r="AS970" i="5"/>
  <c r="Z966" i="5"/>
  <c r="AB1032" i="5"/>
  <c r="AB1031" i="5"/>
  <c r="Z1030" i="5"/>
  <c r="AO1029" i="5"/>
  <c r="AR1029" i="5"/>
  <c r="AL1028" i="5"/>
  <c r="R1028" i="5"/>
  <c r="AN1024" i="5"/>
  <c r="Z1023" i="5"/>
  <c r="AR1022" i="5"/>
  <c r="AN1021" i="5"/>
  <c r="J1021" i="5"/>
  <c r="AR1020" i="5"/>
  <c r="AR1019" i="5"/>
  <c r="AR1018" i="5"/>
  <c r="AR1017" i="5"/>
  <c r="R1016" i="5"/>
  <c r="AO1015" i="5"/>
  <c r="AH1013" i="5"/>
  <c r="AL1011" i="5"/>
  <c r="AR1010" i="5"/>
  <c r="V1009" i="5"/>
  <c r="J1008" i="5"/>
  <c r="AC1006" i="5"/>
  <c r="V1002" i="5"/>
  <c r="AH1000" i="5"/>
  <c r="AC990" i="5"/>
  <c r="AS990" i="5"/>
  <c r="AL983" i="5"/>
  <c r="Z976" i="5"/>
  <c r="AR976" i="5"/>
  <c r="R971" i="5"/>
  <c r="AH961" i="5"/>
  <c r="AO961" i="5"/>
  <c r="AH1006" i="5"/>
  <c r="AN1006" i="5"/>
  <c r="AH998" i="5"/>
  <c r="AN998" i="5"/>
  <c r="J990" i="5"/>
  <c r="AN990" i="5"/>
  <c r="AL1018" i="5"/>
  <c r="V1017" i="5"/>
  <c r="R1014" i="5"/>
  <c r="AS1008" i="5"/>
  <c r="AR1008" i="5"/>
  <c r="AB1008" i="5"/>
  <c r="J1004" i="5"/>
  <c r="AL1001" i="5"/>
  <c r="AR990" i="5"/>
  <c r="AB990" i="5"/>
  <c r="Z982" i="5"/>
  <c r="V981" i="5"/>
  <c r="Z955" i="5"/>
  <c r="AN945" i="5"/>
  <c r="AR945" i="5"/>
  <c r="AR966" i="5"/>
  <c r="AB966" i="5"/>
  <c r="V1030" i="5"/>
  <c r="J1024" i="5"/>
  <c r="AN1000" i="5"/>
  <c r="AR1000" i="5"/>
  <c r="AR998" i="5"/>
  <c r="AB998" i="5"/>
  <c r="AC994" i="5"/>
  <c r="AS994" i="5"/>
  <c r="J988" i="5"/>
  <c r="AR988" i="5"/>
  <c r="AR982" i="5"/>
  <c r="AB982" i="5"/>
  <c r="J980" i="5"/>
  <c r="AR980" i="5"/>
  <c r="AR950" i="5"/>
  <c r="AB950" i="5"/>
  <c r="Z880" i="5"/>
  <c r="AS880" i="5"/>
  <c r="AO877" i="5"/>
  <c r="AN845" i="5"/>
  <c r="AH845" i="5"/>
  <c r="Z841" i="5"/>
  <c r="AB841" i="5"/>
  <c r="AR841" i="5"/>
  <c r="J829" i="5"/>
  <c r="AO803" i="5"/>
  <c r="AH803" i="5"/>
  <c r="J978" i="5"/>
  <c r="AB977" i="5"/>
  <c r="AR975" i="5"/>
  <c r="AH971" i="5"/>
  <c r="AH970" i="5"/>
  <c r="R969" i="5"/>
  <c r="AH959" i="5"/>
  <c r="AC946" i="5"/>
  <c r="AL940" i="5"/>
  <c r="AB926" i="5"/>
  <c r="AN923" i="5"/>
  <c r="AB921" i="5"/>
  <c r="AB917" i="5"/>
  <c r="AL910" i="5"/>
  <c r="J909" i="5"/>
  <c r="AH904" i="5"/>
  <c r="AO904" i="5"/>
  <c r="AC904" i="5"/>
  <c r="AB902" i="5"/>
  <c r="AB899" i="5"/>
  <c r="AH895" i="5"/>
  <c r="AO895" i="5"/>
  <c r="J890" i="5"/>
  <c r="AH807" i="5"/>
  <c r="AO807" i="5"/>
  <c r="AC800" i="5"/>
  <c r="Z800" i="5"/>
  <c r="J797" i="5"/>
  <c r="AN997" i="5"/>
  <c r="R994" i="5"/>
  <c r="AH991" i="5"/>
  <c r="AH990" i="5"/>
  <c r="R989" i="5"/>
  <c r="AN988" i="5"/>
  <c r="R986" i="5"/>
  <c r="AO982" i="5"/>
  <c r="AH980" i="5"/>
  <c r="AL979" i="5"/>
  <c r="AR978" i="5"/>
  <c r="AO977" i="5"/>
  <c r="V977" i="5"/>
  <c r="AL976" i="5"/>
  <c r="J976" i="5"/>
  <c r="V975" i="5"/>
  <c r="AN974" i="5"/>
  <c r="Z973" i="5"/>
  <c r="J973" i="5"/>
  <c r="Z972" i="5"/>
  <c r="AO966" i="5"/>
  <c r="AH964" i="5"/>
  <c r="AL963" i="5"/>
  <c r="Z961" i="5"/>
  <c r="J961" i="5"/>
  <c r="Z960" i="5"/>
  <c r="J959" i="5"/>
  <c r="AO958" i="5"/>
  <c r="AH956" i="5"/>
  <c r="AL955" i="5"/>
  <c r="Z953" i="5"/>
  <c r="J953" i="5"/>
  <c r="Z952" i="5"/>
  <c r="AH951" i="5"/>
  <c r="AO950" i="5"/>
  <c r="J948" i="5"/>
  <c r="Z944" i="5"/>
  <c r="AH942" i="5"/>
  <c r="AH940" i="5"/>
  <c r="AH939" i="5"/>
  <c r="R939" i="5"/>
  <c r="AR934" i="5"/>
  <c r="Z932" i="5"/>
  <c r="V929" i="5"/>
  <c r="AR928" i="5"/>
  <c r="Z928" i="5"/>
  <c r="Z927" i="5"/>
  <c r="J923" i="5"/>
  <c r="J922" i="5"/>
  <c r="AS921" i="5"/>
  <c r="J917" i="5"/>
  <c r="AH914" i="5"/>
  <c r="R914" i="5"/>
  <c r="R913" i="5"/>
  <c r="AH911" i="5"/>
  <c r="AO911" i="5"/>
  <c r="AH910" i="5"/>
  <c r="AC899" i="5"/>
  <c r="Z899" i="5"/>
  <c r="R896" i="5"/>
  <c r="J884" i="5"/>
  <c r="AB884" i="5"/>
  <c r="AO837" i="5"/>
  <c r="AH837" i="5"/>
  <c r="AC827" i="5"/>
  <c r="J801" i="5"/>
  <c r="AN980" i="5"/>
  <c r="AR972" i="5"/>
  <c r="AR971" i="5"/>
  <c r="AB970" i="5"/>
  <c r="AN964" i="5"/>
  <c r="AR960" i="5"/>
  <c r="AN956" i="5"/>
  <c r="AR952" i="5"/>
  <c r="AN950" i="5"/>
  <c r="AO946" i="5"/>
  <c r="AB943" i="5"/>
  <c r="AC931" i="5"/>
  <c r="Z931" i="5"/>
  <c r="AN930" i="5"/>
  <c r="AR930" i="5"/>
  <c r="AO928" i="5"/>
  <c r="AS922" i="5"/>
  <c r="AC920" i="5"/>
  <c r="AC916" i="5"/>
  <c r="AR909" i="5"/>
  <c r="AS905" i="5"/>
  <c r="AN900" i="5"/>
  <c r="AR900" i="5"/>
  <c r="AR890" i="5"/>
  <c r="AB890" i="5"/>
  <c r="AR887" i="5"/>
  <c r="AB887" i="5"/>
  <c r="Z850" i="5"/>
  <c r="AC850" i="5"/>
  <c r="AH840" i="5"/>
  <c r="AN840" i="5"/>
  <c r="AB817" i="5"/>
  <c r="Z817" i="5"/>
  <c r="AS814" i="5"/>
  <c r="Z814" i="5"/>
  <c r="AC814" i="5"/>
  <c r="AR813" i="5"/>
  <c r="J812" i="5"/>
  <c r="AH769" i="5"/>
  <c r="AO769" i="5"/>
  <c r="AB1005" i="5"/>
  <c r="AR1003" i="5"/>
  <c r="AB1001" i="5"/>
  <c r="AB997" i="5"/>
  <c r="AR995" i="5"/>
  <c r="J993" i="5"/>
  <c r="Z992" i="5"/>
  <c r="AC986" i="5"/>
  <c r="J985" i="5"/>
  <c r="Z984" i="5"/>
  <c r="AC982" i="5"/>
  <c r="AC980" i="5"/>
  <c r="AO978" i="5"/>
  <c r="AP978" i="5" s="1"/>
  <c r="AR974" i="5"/>
  <c r="J972" i="5"/>
  <c r="AN970" i="5"/>
  <c r="J969" i="5"/>
  <c r="Z968" i="5"/>
  <c r="AC966" i="5"/>
  <c r="AC964" i="5"/>
  <c r="AR962" i="5"/>
  <c r="J960" i="5"/>
  <c r="AR959" i="5"/>
  <c r="AS958" i="5"/>
  <c r="AC958" i="5"/>
  <c r="AC956" i="5"/>
  <c r="AR954" i="5"/>
  <c r="J952" i="5"/>
  <c r="AC950" i="5"/>
  <c r="AN948" i="5"/>
  <c r="V946" i="5"/>
  <c r="AC945" i="5"/>
  <c r="AO939" i="5"/>
  <c r="AB938" i="5"/>
  <c r="AL934" i="5"/>
  <c r="V934" i="5"/>
  <c r="AO931" i="5"/>
  <c r="AP931" i="5" s="1"/>
  <c r="AN928" i="5"/>
  <c r="AC923" i="5"/>
  <c r="AD923" i="5" s="1"/>
  <c r="AR922" i="5"/>
  <c r="AC919" i="5"/>
  <c r="Z919" i="5"/>
  <c r="AR918" i="5"/>
  <c r="AB918" i="5"/>
  <c r="Z915" i="5"/>
  <c r="J915" i="5"/>
  <c r="AB913" i="5"/>
  <c r="AH912" i="5"/>
  <c r="AO912" i="5"/>
  <c r="AB911" i="5"/>
  <c r="AS910" i="5"/>
  <c r="J906" i="5"/>
  <c r="AB905" i="5"/>
  <c r="AB904" i="5"/>
  <c r="AH896" i="5"/>
  <c r="AO896" i="5"/>
  <c r="Z895" i="5"/>
  <c r="AB895" i="5"/>
  <c r="AH844" i="5"/>
  <c r="AO844" i="5"/>
  <c r="AN825" i="5"/>
  <c r="AH825" i="5"/>
  <c r="AN819" i="5"/>
  <c r="AR819" i="5"/>
  <c r="AO802" i="5"/>
  <c r="AL1027" i="5"/>
  <c r="V1024" i="5"/>
  <c r="AL1023" i="5"/>
  <c r="AB1022" i="5"/>
  <c r="J1014" i="5"/>
  <c r="AO1010" i="5"/>
  <c r="AS1009" i="5"/>
  <c r="R1009" i="5"/>
  <c r="AH1007" i="5"/>
  <c r="AL1006" i="5"/>
  <c r="AR1006" i="5"/>
  <c r="V1005" i="5"/>
  <c r="AL1004" i="5"/>
  <c r="V1003" i="5"/>
  <c r="AR1002" i="5"/>
  <c r="AN1002" i="5"/>
  <c r="V1001" i="5"/>
  <c r="AL1000" i="5"/>
  <c r="J998" i="5"/>
  <c r="V997" i="5"/>
  <c r="AL996" i="5"/>
  <c r="J996" i="5"/>
  <c r="V995" i="5"/>
  <c r="AB993" i="5"/>
  <c r="AR992" i="5"/>
  <c r="AR991" i="5"/>
  <c r="J989" i="5"/>
  <c r="Z988" i="5"/>
  <c r="AR987" i="5"/>
  <c r="AB985" i="5"/>
  <c r="AR984" i="5"/>
  <c r="AR983" i="5"/>
  <c r="AS982" i="5"/>
  <c r="AN981" i="5"/>
  <c r="AH979" i="5"/>
  <c r="J979" i="5"/>
  <c r="AH978" i="5"/>
  <c r="R978" i="5"/>
  <c r="R977" i="5"/>
  <c r="AN976" i="5"/>
  <c r="V974" i="5"/>
  <c r="AL973" i="5"/>
  <c r="J970" i="5"/>
  <c r="AB969" i="5"/>
  <c r="AR968" i="5"/>
  <c r="AR967" i="5"/>
  <c r="AS966" i="5"/>
  <c r="AN965" i="5"/>
  <c r="AP965" i="5" s="1"/>
  <c r="AH963" i="5"/>
  <c r="AH962" i="5"/>
  <c r="V962" i="5"/>
  <c r="AL961" i="5"/>
  <c r="V959" i="5"/>
  <c r="AN957" i="5"/>
  <c r="AH955" i="5"/>
  <c r="AH954" i="5"/>
  <c r="V954" i="5"/>
  <c r="AL953" i="5"/>
  <c r="AR951" i="5"/>
  <c r="AS950" i="5"/>
  <c r="AN949" i="5"/>
  <c r="AL947" i="5"/>
  <c r="R946" i="5"/>
  <c r="AR944" i="5"/>
  <c r="AO943" i="5"/>
  <c r="Z942" i="5"/>
  <c r="J938" i="5"/>
  <c r="AB937" i="5"/>
  <c r="AH934" i="5"/>
  <c r="R934" i="5"/>
  <c r="R933" i="5"/>
  <c r="V932" i="5"/>
  <c r="V931" i="5"/>
  <c r="AL930" i="5"/>
  <c r="V930" i="5"/>
  <c r="V928" i="5"/>
  <c r="V927" i="5"/>
  <c r="AL926" i="5"/>
  <c r="V926" i="5"/>
  <c r="AO924" i="5"/>
  <c r="AO923" i="5"/>
  <c r="AO920" i="5"/>
  <c r="AO919" i="5"/>
  <c r="AL917" i="5"/>
  <c r="AO916" i="5"/>
  <c r="AB914" i="5"/>
  <c r="AS913" i="5"/>
  <c r="AC912" i="5"/>
  <c r="AB906" i="5"/>
  <c r="AB901" i="5"/>
  <c r="J901" i="5"/>
  <c r="AB891" i="5"/>
  <c r="AR817" i="5"/>
  <c r="J802" i="5"/>
  <c r="AC802" i="5"/>
  <c r="AH799" i="5"/>
  <c r="AO799" i="5"/>
  <c r="V993" i="5"/>
  <c r="AL992" i="5"/>
  <c r="V991" i="5"/>
  <c r="AN986" i="5"/>
  <c r="V985" i="5"/>
  <c r="AL984" i="5"/>
  <c r="AN982" i="5"/>
  <c r="Z981" i="5"/>
  <c r="AC978" i="5"/>
  <c r="AH972" i="5"/>
  <c r="AL971" i="5"/>
  <c r="AR970" i="5"/>
  <c r="V969" i="5"/>
  <c r="AL968" i="5"/>
  <c r="V967" i="5"/>
  <c r="AN966" i="5"/>
  <c r="Z965" i="5"/>
  <c r="J963" i="5"/>
  <c r="AH960" i="5"/>
  <c r="AL959" i="5"/>
  <c r="Z957" i="5"/>
  <c r="J955" i="5"/>
  <c r="AH952" i="5"/>
  <c r="V951" i="5"/>
  <c r="AS914" i="5"/>
  <c r="AB907" i="5"/>
  <c r="AH903" i="5"/>
  <c r="AO903" i="5"/>
  <c r="AC891" i="5"/>
  <c r="Z891" i="5"/>
  <c r="AS885" i="5"/>
  <c r="Z885" i="5"/>
  <c r="AB883" i="5"/>
  <c r="AB834" i="5"/>
  <c r="Z834" i="5"/>
  <c r="AO826" i="5"/>
  <c r="AB822" i="5"/>
  <c r="Z822" i="5"/>
  <c r="AR796" i="5"/>
  <c r="AB978" i="5"/>
  <c r="AN977" i="5"/>
  <c r="J975" i="5"/>
  <c r="R974" i="5"/>
  <c r="V970" i="5"/>
  <c r="AL969" i="5"/>
  <c r="R962" i="5"/>
  <c r="R954" i="5"/>
  <c r="AL951" i="5"/>
  <c r="J950" i="5"/>
  <c r="J949" i="5"/>
  <c r="AH945" i="5"/>
  <c r="AL944" i="5"/>
  <c r="V943" i="5"/>
  <c r="AL941" i="5"/>
  <c r="AR937" i="5"/>
  <c r="R931" i="5"/>
  <c r="J929" i="5"/>
  <c r="AL924" i="5"/>
  <c r="AH922" i="5"/>
  <c r="R922" i="5"/>
  <c r="AO921" i="5"/>
  <c r="R921" i="5"/>
  <c r="AL918" i="5"/>
  <c r="R918" i="5"/>
  <c r="R917" i="5"/>
  <c r="V915" i="5"/>
  <c r="AR913" i="5"/>
  <c r="AB912" i="5"/>
  <c r="AN908" i="5"/>
  <c r="AR908" i="5"/>
  <c r="AC907" i="5"/>
  <c r="Z907" i="5"/>
  <c r="R904" i="5"/>
  <c r="AN902" i="5"/>
  <c r="J898" i="5"/>
  <c r="AC876" i="5"/>
  <c r="AS876" i="5"/>
  <c r="AH838" i="5"/>
  <c r="AN838" i="5"/>
  <c r="J832" i="5"/>
  <c r="AH826" i="5"/>
  <c r="AN826" i="5"/>
  <c r="J820" i="5"/>
  <c r="V899" i="5"/>
  <c r="AC896" i="5"/>
  <c r="V891" i="5"/>
  <c r="AS877" i="5"/>
  <c r="AN848" i="5"/>
  <c r="AS846" i="5"/>
  <c r="AS826" i="5"/>
  <c r="AC823" i="5"/>
  <c r="J804" i="5"/>
  <c r="J792" i="5"/>
  <c r="J788" i="5"/>
  <c r="AO788" i="5"/>
  <c r="Z772" i="5"/>
  <c r="AC772" i="5"/>
  <c r="J766" i="5"/>
  <c r="AH759" i="5"/>
  <c r="AO759" i="5"/>
  <c r="AS759" i="5"/>
  <c r="AB893" i="5"/>
  <c r="R886" i="5"/>
  <c r="AH885" i="5"/>
  <c r="V883" i="5"/>
  <c r="AS881" i="5"/>
  <c r="AC870" i="5"/>
  <c r="AC862" i="5"/>
  <c r="AC854" i="5"/>
  <c r="R849" i="5"/>
  <c r="Z846" i="5"/>
  <c r="AB838" i="5"/>
  <c r="AR837" i="5"/>
  <c r="Z837" i="5"/>
  <c r="AC835" i="5"/>
  <c r="AH833" i="5"/>
  <c r="AN829" i="5"/>
  <c r="AO827" i="5"/>
  <c r="AH821" i="5"/>
  <c r="AO812" i="5"/>
  <c r="AR808" i="5"/>
  <c r="AR806" i="5"/>
  <c r="AN805" i="5"/>
  <c r="AR804" i="5"/>
  <c r="AC792" i="5"/>
  <c r="Z792" i="5"/>
  <c r="AH790" i="5"/>
  <c r="Z778" i="5"/>
  <c r="AC778" i="5"/>
  <c r="AO746" i="5"/>
  <c r="AH746" i="5"/>
  <c r="AS746" i="5"/>
  <c r="AC698" i="5"/>
  <c r="Z698" i="5"/>
  <c r="AN927" i="5"/>
  <c r="AN925" i="5"/>
  <c r="V924" i="5"/>
  <c r="AL921" i="5"/>
  <c r="J918" i="5"/>
  <c r="AS917" i="5"/>
  <c r="AH916" i="5"/>
  <c r="AH915" i="5"/>
  <c r="R915" i="5"/>
  <c r="AL914" i="5"/>
  <c r="V914" i="5"/>
  <c r="AC911" i="5"/>
  <c r="J910" i="5"/>
  <c r="AS909" i="5"/>
  <c r="AH908" i="5"/>
  <c r="AH907" i="5"/>
  <c r="R907" i="5"/>
  <c r="AL906" i="5"/>
  <c r="V906" i="5"/>
  <c r="AC903" i="5"/>
  <c r="J902" i="5"/>
  <c r="AS901" i="5"/>
  <c r="AH900" i="5"/>
  <c r="AH899" i="5"/>
  <c r="R899" i="5"/>
  <c r="AL898" i="5"/>
  <c r="V898" i="5"/>
  <c r="AC895" i="5"/>
  <c r="J894" i="5"/>
  <c r="AS893" i="5"/>
  <c r="AH892" i="5"/>
  <c r="AH891" i="5"/>
  <c r="R891" i="5"/>
  <c r="AH890" i="5"/>
  <c r="R890" i="5"/>
  <c r="V889" i="5"/>
  <c r="AH888" i="5"/>
  <c r="AN887" i="5"/>
  <c r="AN886" i="5"/>
  <c r="AN884" i="5"/>
  <c r="R883" i="5"/>
  <c r="AB882" i="5"/>
  <c r="AR881" i="5"/>
  <c r="AO880" i="5"/>
  <c r="R875" i="5"/>
  <c r="R873" i="5"/>
  <c r="AC872" i="5"/>
  <c r="AC871" i="5"/>
  <c r="J870" i="5"/>
  <c r="AR868" i="5"/>
  <c r="R867" i="5"/>
  <c r="R865" i="5"/>
  <c r="AC864" i="5"/>
  <c r="AC863" i="5"/>
  <c r="J862" i="5"/>
  <c r="AR860" i="5"/>
  <c r="R859" i="5"/>
  <c r="R857" i="5"/>
  <c r="AN856" i="5"/>
  <c r="J854" i="5"/>
  <c r="AL852" i="5"/>
  <c r="AL851" i="5"/>
  <c r="AO850" i="5"/>
  <c r="R850" i="5"/>
  <c r="AH849" i="5"/>
  <c r="Z848" i="5"/>
  <c r="J848" i="5"/>
  <c r="Z847" i="5"/>
  <c r="AB847" i="5"/>
  <c r="V846" i="5"/>
  <c r="AL843" i="5"/>
  <c r="AS841" i="5"/>
  <c r="AN841" i="5"/>
  <c r="V839" i="5"/>
  <c r="AL838" i="5"/>
  <c r="AR836" i="5"/>
  <c r="R834" i="5"/>
  <c r="AO833" i="5"/>
  <c r="R833" i="5"/>
  <c r="AL832" i="5"/>
  <c r="Z830" i="5"/>
  <c r="AL826" i="5"/>
  <c r="V826" i="5"/>
  <c r="AR824" i="5"/>
  <c r="R822" i="5"/>
  <c r="AO821" i="5"/>
  <c r="R821" i="5"/>
  <c r="AL820" i="5"/>
  <c r="AO817" i="5"/>
  <c r="AP817" i="5" s="1"/>
  <c r="R817" i="5"/>
  <c r="AN816" i="5"/>
  <c r="AN815" i="5"/>
  <c r="R814" i="5"/>
  <c r="AL812" i="5"/>
  <c r="V812" i="5"/>
  <c r="AH801" i="5"/>
  <c r="R796" i="5"/>
  <c r="AB792" i="5"/>
  <c r="AR792" i="5"/>
  <c r="AC788" i="5"/>
  <c r="AC766" i="5"/>
  <c r="AN891" i="5"/>
  <c r="AN890" i="5"/>
  <c r="AC794" i="5"/>
  <c r="J793" i="5"/>
  <c r="AS788" i="5"/>
  <c r="J786" i="5"/>
  <c r="AC786" i="5"/>
  <c r="AH771" i="5"/>
  <c r="AO771" i="5"/>
  <c r="AS771" i="5"/>
  <c r="AR910" i="5"/>
  <c r="AC908" i="5"/>
  <c r="AN905" i="5"/>
  <c r="V903" i="5"/>
  <c r="AR902" i="5"/>
  <c r="AC900" i="5"/>
  <c r="AN897" i="5"/>
  <c r="AR894" i="5"/>
  <c r="AC892" i="5"/>
  <c r="AH883" i="5"/>
  <c r="AR874" i="5"/>
  <c r="V869" i="5"/>
  <c r="AR866" i="5"/>
  <c r="V861" i="5"/>
  <c r="AR858" i="5"/>
  <c r="Z856" i="5"/>
  <c r="V853" i="5"/>
  <c r="AR848" i="5"/>
  <c r="AC815" i="5"/>
  <c r="R812" i="5"/>
  <c r="AN800" i="5"/>
  <c r="AN796" i="5"/>
  <c r="AH783" i="5"/>
  <c r="AO783" i="5"/>
  <c r="AB780" i="5"/>
  <c r="AR780" i="5"/>
  <c r="AO717" i="5"/>
  <c r="AS717" i="5"/>
  <c r="AL909" i="5"/>
  <c r="J907" i="5"/>
  <c r="AL901" i="5"/>
  <c r="J899" i="5"/>
  <c r="AB897" i="5"/>
  <c r="AL893" i="5"/>
  <c r="AR892" i="5"/>
  <c r="J891" i="5"/>
  <c r="Z890" i="5"/>
  <c r="AS889" i="5"/>
  <c r="AR888" i="5"/>
  <c r="Z887" i="5"/>
  <c r="J887" i="5"/>
  <c r="AL881" i="5"/>
  <c r="AN879" i="5"/>
  <c r="R878" i="5"/>
  <c r="AH877" i="5"/>
  <c r="R877" i="5"/>
  <c r="AN876" i="5"/>
  <c r="AR872" i="5"/>
  <c r="V870" i="5"/>
  <c r="AL869" i="5"/>
  <c r="AN867" i="5"/>
  <c r="AO867" i="5"/>
  <c r="AR864" i="5"/>
  <c r="V862" i="5"/>
  <c r="AL861" i="5"/>
  <c r="AN859" i="5"/>
  <c r="V854" i="5"/>
  <c r="AL853" i="5"/>
  <c r="AN852" i="5"/>
  <c r="AC851" i="5"/>
  <c r="J850" i="5"/>
  <c r="AL848" i="5"/>
  <c r="R846" i="5"/>
  <c r="AO845" i="5"/>
  <c r="R843" i="5"/>
  <c r="AR839" i="5"/>
  <c r="R839" i="5"/>
  <c r="R837" i="5"/>
  <c r="AO834" i="5"/>
  <c r="AP834" i="5" s="1"/>
  <c r="AS834" i="5"/>
  <c r="AL830" i="5"/>
  <c r="V830" i="5"/>
  <c r="R826" i="5"/>
  <c r="R825" i="5"/>
  <c r="AL824" i="5"/>
  <c r="AO822" i="5"/>
  <c r="AS822" i="5"/>
  <c r="AO819" i="5"/>
  <c r="AC817" i="5"/>
  <c r="J817" i="5"/>
  <c r="V816" i="5"/>
  <c r="AO815" i="5"/>
  <c r="Z815" i="5"/>
  <c r="AH809" i="5"/>
  <c r="AN808" i="5"/>
  <c r="R808" i="5"/>
  <c r="AN806" i="5"/>
  <c r="AN804" i="5"/>
  <c r="R804" i="5"/>
  <c r="AC796" i="5"/>
  <c r="Z796" i="5"/>
  <c r="Z795" i="5"/>
  <c r="AO794" i="5"/>
  <c r="AB794" i="5"/>
  <c r="AN793" i="5"/>
  <c r="AL792" i="5"/>
  <c r="AH791" i="5"/>
  <c r="AO791" i="5"/>
  <c r="AC760" i="5"/>
  <c r="Z760" i="5"/>
  <c r="AH755" i="5"/>
  <c r="AN755" i="5"/>
  <c r="R910" i="5"/>
  <c r="AO909" i="5"/>
  <c r="R909" i="5"/>
  <c r="V908" i="5"/>
  <c r="AS906" i="5"/>
  <c r="R902" i="5"/>
  <c r="AO901" i="5"/>
  <c r="R901" i="5"/>
  <c r="V900" i="5"/>
  <c r="AS898" i="5"/>
  <c r="R894" i="5"/>
  <c r="AO893" i="5"/>
  <c r="R893" i="5"/>
  <c r="V892" i="5"/>
  <c r="AO889" i="5"/>
  <c r="AS888" i="5"/>
  <c r="V887" i="5"/>
  <c r="AL885" i="5"/>
  <c r="AL884" i="5"/>
  <c r="V884" i="5"/>
  <c r="AN883" i="5"/>
  <c r="AL882" i="5"/>
  <c r="R882" i="5"/>
  <c r="AB879" i="5"/>
  <c r="AN878" i="5"/>
  <c r="AC877" i="5"/>
  <c r="AR876" i="5"/>
  <c r="J876" i="5"/>
  <c r="AB875" i="5"/>
  <c r="AN874" i="5"/>
  <c r="Z874" i="5"/>
  <c r="AO873" i="5"/>
  <c r="R872" i="5"/>
  <c r="AL871" i="5"/>
  <c r="AO870" i="5"/>
  <c r="R870" i="5"/>
  <c r="AH869" i="5"/>
  <c r="AC868" i="5"/>
  <c r="AB867" i="5"/>
  <c r="AN866" i="5"/>
  <c r="AP866" i="5" s="1"/>
  <c r="Z866" i="5"/>
  <c r="AO865" i="5"/>
  <c r="R864" i="5"/>
  <c r="AL863" i="5"/>
  <c r="AO862" i="5"/>
  <c r="R862" i="5"/>
  <c r="AH861" i="5"/>
  <c r="AC860" i="5"/>
  <c r="AB859" i="5"/>
  <c r="AN858" i="5"/>
  <c r="Z858" i="5"/>
  <c r="AO857" i="5"/>
  <c r="AL856" i="5"/>
  <c r="AL855" i="5"/>
  <c r="AO854" i="5"/>
  <c r="R854" i="5"/>
  <c r="AH853" i="5"/>
  <c r="Z852" i="5"/>
  <c r="J852" i="5"/>
  <c r="V849" i="5"/>
  <c r="AL847" i="5"/>
  <c r="R847" i="5"/>
  <c r="AC845" i="5"/>
  <c r="Z840" i="5"/>
  <c r="Z838" i="5"/>
  <c r="AO838" i="5"/>
  <c r="AN837" i="5"/>
  <c r="AO835" i="5"/>
  <c r="AL834" i="5"/>
  <c r="V834" i="5"/>
  <c r="AH829" i="5"/>
  <c r="AO828" i="5"/>
  <c r="Z826" i="5"/>
  <c r="AL822" i="5"/>
  <c r="V822" i="5"/>
  <c r="AR820" i="5"/>
  <c r="AC819" i="5"/>
  <c r="V818" i="5"/>
  <c r="V817" i="5"/>
  <c r="AL816" i="5"/>
  <c r="AS812" i="5"/>
  <c r="AC812" i="5"/>
  <c r="AC811" i="5"/>
  <c r="AC810" i="5"/>
  <c r="J808" i="5"/>
  <c r="AB806" i="5"/>
  <c r="AD806" i="5" s="1"/>
  <c r="AB805" i="5"/>
  <c r="AC804" i="5"/>
  <c r="Z798" i="5"/>
  <c r="AO795" i="5"/>
  <c r="AS786" i="5"/>
  <c r="AO750" i="5"/>
  <c r="AH750" i="5"/>
  <c r="AS750" i="5"/>
  <c r="AN742" i="5"/>
  <c r="AR742" i="5"/>
  <c r="AB782" i="5"/>
  <c r="AB776" i="5"/>
  <c r="AB770" i="5"/>
  <c r="AD770" i="5" s="1"/>
  <c r="AB764" i="5"/>
  <c r="AS756" i="5"/>
  <c r="AR756" i="5"/>
  <c r="AR754" i="5"/>
  <c r="AR753" i="5"/>
  <c r="AS751" i="5"/>
  <c r="AN750" i="5"/>
  <c r="AH747" i="5"/>
  <c r="AN746" i="5"/>
  <c r="AH743" i="5"/>
  <c r="AB742" i="5"/>
  <c r="AN741" i="5"/>
  <c r="AC740" i="5"/>
  <c r="J740" i="5"/>
  <c r="Z719" i="5"/>
  <c r="AC719" i="5"/>
  <c r="AB694" i="5"/>
  <c r="J694" i="5"/>
  <c r="AH689" i="5"/>
  <c r="AN689" i="5"/>
  <c r="V794" i="5"/>
  <c r="AL793" i="5"/>
  <c r="Z791" i="5"/>
  <c r="AL790" i="5"/>
  <c r="AL788" i="5"/>
  <c r="AB788" i="5"/>
  <c r="AL787" i="5"/>
  <c r="AB784" i="5"/>
  <c r="J784" i="5"/>
  <c r="AS783" i="5"/>
  <c r="Z782" i="5"/>
  <c r="AL779" i="5"/>
  <c r="V778" i="5"/>
  <c r="AH775" i="5"/>
  <c r="Z771" i="5"/>
  <c r="Z770" i="5"/>
  <c r="AC768" i="5"/>
  <c r="AL767" i="5"/>
  <c r="AO765" i="5"/>
  <c r="AH763" i="5"/>
  <c r="AO762" i="5"/>
  <c r="R762" i="5"/>
  <c r="AL761" i="5"/>
  <c r="AL760" i="5"/>
  <c r="J759" i="5"/>
  <c r="AO755" i="5"/>
  <c r="Z755" i="5"/>
  <c r="AB755" i="5"/>
  <c r="AB751" i="5"/>
  <c r="AC745" i="5"/>
  <c r="AR744" i="5"/>
  <c r="Z728" i="5"/>
  <c r="AS728" i="5"/>
  <c r="AH710" i="5"/>
  <c r="AN710" i="5"/>
  <c r="AO702" i="5"/>
  <c r="AC699" i="5"/>
  <c r="AC694" i="5"/>
  <c r="Z694" i="5"/>
  <c r="J680" i="5"/>
  <c r="AB791" i="5"/>
  <c r="V788" i="5"/>
  <c r="R787" i="5"/>
  <c r="R786" i="5"/>
  <c r="AL785" i="5"/>
  <c r="Z781" i="5"/>
  <c r="AC780" i="5"/>
  <c r="R779" i="5"/>
  <c r="AO777" i="5"/>
  <c r="V777" i="5"/>
  <c r="AC774" i="5"/>
  <c r="AH773" i="5"/>
  <c r="AH772" i="5"/>
  <c r="Z769" i="5"/>
  <c r="R767" i="5"/>
  <c r="AO766" i="5"/>
  <c r="R766" i="5"/>
  <c r="V765" i="5"/>
  <c r="Z758" i="5"/>
  <c r="AC757" i="5"/>
  <c r="AL754" i="5"/>
  <c r="AL751" i="5"/>
  <c r="J750" i="5"/>
  <c r="Z748" i="5"/>
  <c r="Z746" i="5"/>
  <c r="J746" i="5"/>
  <c r="AR745" i="5"/>
  <c r="Z744" i="5"/>
  <c r="Z742" i="5"/>
  <c r="J742" i="5"/>
  <c r="AB740" i="5"/>
  <c r="AR740" i="5"/>
  <c r="AN739" i="5"/>
  <c r="AP739" i="5" s="1"/>
  <c r="V739" i="5"/>
  <c r="AN738" i="5"/>
  <c r="AR738" i="5"/>
  <c r="Z712" i="5"/>
  <c r="AC712" i="5"/>
  <c r="AS712" i="5"/>
  <c r="AH697" i="5"/>
  <c r="AN697" i="5"/>
  <c r="Z750" i="5"/>
  <c r="AB750" i="5"/>
  <c r="AB743" i="5"/>
  <c r="AR741" i="5"/>
  <c r="AH718" i="5"/>
  <c r="AO718" i="5"/>
  <c r="AN714" i="5"/>
  <c r="J695" i="5"/>
  <c r="AC695" i="5"/>
  <c r="AB690" i="5"/>
  <c r="J690" i="5"/>
  <c r="AN812" i="5"/>
  <c r="AL804" i="5"/>
  <c r="AB803" i="5"/>
  <c r="AR802" i="5"/>
  <c r="AB800" i="5"/>
  <c r="J800" i="5"/>
  <c r="AB797" i="5"/>
  <c r="AN794" i="5"/>
  <c r="R792" i="5"/>
  <c r="AO790" i="5"/>
  <c r="AH785" i="5"/>
  <c r="AO784" i="5"/>
  <c r="AN778" i="5"/>
  <c r="Z775" i="5"/>
  <c r="Z774" i="5"/>
  <c r="AC773" i="5"/>
  <c r="J773" i="5"/>
  <c r="R772" i="5"/>
  <c r="AL771" i="5"/>
  <c r="V769" i="5"/>
  <c r="J763" i="5"/>
  <c r="AL759" i="5"/>
  <c r="V758" i="5"/>
  <c r="AO757" i="5"/>
  <c r="R756" i="5"/>
  <c r="AL755" i="5"/>
  <c r="V755" i="5"/>
  <c r="AH754" i="5"/>
  <c r="R754" i="5"/>
  <c r="R751" i="5"/>
  <c r="V749" i="5"/>
  <c r="AR747" i="5"/>
  <c r="AB747" i="5"/>
  <c r="AR743" i="5"/>
  <c r="R739" i="5"/>
  <c r="AR702" i="5"/>
  <c r="AH693" i="5"/>
  <c r="AN693" i="5"/>
  <c r="AC690" i="5"/>
  <c r="Z690" i="5"/>
  <c r="AO787" i="5"/>
  <c r="AS775" i="5"/>
  <c r="AO743" i="5"/>
  <c r="AP743" i="5" s="1"/>
  <c r="R740" i="5"/>
  <c r="J713" i="5"/>
  <c r="J703" i="5"/>
  <c r="AO701" i="5"/>
  <c r="AH701" i="5"/>
  <c r="Z684" i="5"/>
  <c r="AB684" i="5"/>
  <c r="AB796" i="5"/>
  <c r="J796" i="5"/>
  <c r="AB793" i="5"/>
  <c r="Z789" i="5"/>
  <c r="AS787" i="5"/>
  <c r="Z785" i="5"/>
  <c r="AS784" i="5"/>
  <c r="AR782" i="5"/>
  <c r="J780" i="5"/>
  <c r="AR777" i="5"/>
  <c r="V775" i="5"/>
  <c r="V774" i="5"/>
  <c r="AB773" i="5"/>
  <c r="Z766" i="5"/>
  <c r="AR765" i="5"/>
  <c r="V763" i="5"/>
  <c r="Z761" i="5"/>
  <c r="R758" i="5"/>
  <c r="AL757" i="5"/>
  <c r="AH756" i="5"/>
  <c r="J754" i="5"/>
  <c r="AN753" i="5"/>
  <c r="J753" i="5"/>
  <c r="AB752" i="5"/>
  <c r="R749" i="5"/>
  <c r="R742" i="5"/>
  <c r="R741" i="5"/>
  <c r="AO740" i="5"/>
  <c r="Z711" i="5"/>
  <c r="AC711" i="5"/>
  <c r="AB698" i="5"/>
  <c r="J698" i="5"/>
  <c r="AC691" i="5"/>
  <c r="AS691" i="5"/>
  <c r="AO682" i="5"/>
  <c r="J682" i="5"/>
  <c r="Z738" i="5"/>
  <c r="AR737" i="5"/>
  <c r="AO732" i="5"/>
  <c r="AH725" i="5"/>
  <c r="AR723" i="5"/>
  <c r="AN722" i="5"/>
  <c r="AO721" i="5"/>
  <c r="AR719" i="5"/>
  <c r="AO715" i="5"/>
  <c r="AR712" i="5"/>
  <c r="AB711" i="5"/>
  <c r="AS710" i="5"/>
  <c r="AC709" i="5"/>
  <c r="V707" i="5"/>
  <c r="Z702" i="5"/>
  <c r="AB702" i="5"/>
  <c r="AC697" i="5"/>
  <c r="AC693" i="5"/>
  <c r="AS689" i="5"/>
  <c r="AB688" i="5"/>
  <c r="AL684" i="5"/>
  <c r="V684" i="5"/>
  <c r="Z683" i="5"/>
  <c r="AC682" i="5"/>
  <c r="AB682" i="5"/>
  <c r="AB680" i="5"/>
  <c r="AC673" i="5"/>
  <c r="AS673" i="5"/>
  <c r="AN1304" i="5"/>
  <c r="AR1304" i="5"/>
  <c r="AN754" i="5"/>
  <c r="AH751" i="5"/>
  <c r="R748" i="5"/>
  <c r="R746" i="5"/>
  <c r="AO744" i="5"/>
  <c r="V743" i="5"/>
  <c r="AB739" i="5"/>
  <c r="V737" i="5"/>
  <c r="AN733" i="5"/>
  <c r="R732" i="5"/>
  <c r="R731" i="5"/>
  <c r="AR729" i="5"/>
  <c r="AO727" i="5"/>
  <c r="AH724" i="5"/>
  <c r="AO722" i="5"/>
  <c r="AN721" i="5"/>
  <c r="AL719" i="5"/>
  <c r="V719" i="5"/>
  <c r="AS718" i="5"/>
  <c r="AN715" i="5"/>
  <c r="R715" i="5"/>
  <c r="AL713" i="5"/>
  <c r="V712" i="5"/>
  <c r="AL711" i="5"/>
  <c r="V711" i="5"/>
  <c r="J710" i="5"/>
  <c r="R707" i="5"/>
  <c r="AN705" i="5"/>
  <c r="AS701" i="5"/>
  <c r="R700" i="5"/>
  <c r="V698" i="5"/>
  <c r="AB696" i="5"/>
  <c r="V694" i="5"/>
  <c r="AB692" i="5"/>
  <c r="V690" i="5"/>
  <c r="AR683" i="5"/>
  <c r="J683" i="5"/>
  <c r="AS681" i="5"/>
  <c r="J681" i="5"/>
  <c r="AN677" i="5"/>
  <c r="J674" i="5"/>
  <c r="AO674" i="5"/>
  <c r="Z658" i="5"/>
  <c r="AR658" i="5"/>
  <c r="AH651" i="5"/>
  <c r="AO651" i="5"/>
  <c r="AB638" i="5"/>
  <c r="AR638" i="5"/>
  <c r="AS1323" i="5"/>
  <c r="AB734" i="5"/>
  <c r="AC732" i="5"/>
  <c r="AC726" i="5"/>
  <c r="AC721" i="5"/>
  <c r="J718" i="5"/>
  <c r="AH714" i="5"/>
  <c r="R713" i="5"/>
  <c r="AL712" i="5"/>
  <c r="AO707" i="5"/>
  <c r="Z706" i="5"/>
  <c r="AR704" i="5"/>
  <c r="AN701" i="5"/>
  <c r="AL698" i="5"/>
  <c r="J697" i="5"/>
  <c r="AL694" i="5"/>
  <c r="J693" i="5"/>
  <c r="AH685" i="5"/>
  <c r="AC678" i="5"/>
  <c r="Z678" i="5"/>
  <c r="AR664" i="5"/>
  <c r="Z664" i="5"/>
  <c r="AB664" i="5"/>
  <c r="AO640" i="5"/>
  <c r="AH1297" i="5"/>
  <c r="AO1297" i="5"/>
  <c r="AL737" i="5"/>
  <c r="R737" i="5"/>
  <c r="AR735" i="5"/>
  <c r="AB735" i="5"/>
  <c r="AR734" i="5"/>
  <c r="AR732" i="5"/>
  <c r="AN731" i="5"/>
  <c r="R728" i="5"/>
  <c r="Z726" i="5"/>
  <c r="AL723" i="5"/>
  <c r="AS721" i="5"/>
  <c r="AO719" i="5"/>
  <c r="AC716" i="5"/>
  <c r="AR709" i="5"/>
  <c r="AN707" i="5"/>
  <c r="AO699" i="5"/>
  <c r="AS696" i="5"/>
  <c r="AO695" i="5"/>
  <c r="AS692" i="5"/>
  <c r="AO691" i="5"/>
  <c r="AR688" i="5"/>
  <c r="AN686" i="5"/>
  <c r="J686" i="5"/>
  <c r="AB662" i="5"/>
  <c r="AR642" i="5"/>
  <c r="AH1305" i="5"/>
  <c r="AO1305" i="5"/>
  <c r="AO1271" i="5"/>
  <c r="AH1271" i="5"/>
  <c r="AS1271" i="5"/>
  <c r="J734" i="5"/>
  <c r="AR733" i="5"/>
  <c r="Z732" i="5"/>
  <c r="AO729" i="5"/>
  <c r="V726" i="5"/>
  <c r="AH723" i="5"/>
  <c r="J715" i="5"/>
  <c r="AN711" i="5"/>
  <c r="R711" i="5"/>
  <c r="AL709" i="5"/>
  <c r="V709" i="5"/>
  <c r="AS708" i="5"/>
  <c r="AC708" i="5"/>
  <c r="J707" i="5"/>
  <c r="AO703" i="5"/>
  <c r="AL702" i="5"/>
  <c r="Z700" i="5"/>
  <c r="AH698" i="5"/>
  <c r="R698" i="5"/>
  <c r="AH694" i="5"/>
  <c r="R694" i="5"/>
  <c r="AH690" i="5"/>
  <c r="AL688" i="5"/>
  <c r="V688" i="5"/>
  <c r="AS687" i="5"/>
  <c r="AC687" i="5"/>
  <c r="Z686" i="5"/>
  <c r="AH683" i="5"/>
  <c r="AN1279" i="5"/>
  <c r="AB715" i="5"/>
  <c r="AD715" i="5" s="1"/>
  <c r="AS714" i="5"/>
  <c r="AN698" i="5"/>
  <c r="AS695" i="5"/>
  <c r="AN694" i="5"/>
  <c r="AN690" i="5"/>
  <c r="AC685" i="5"/>
  <c r="AS685" i="5"/>
  <c r="AO677" i="5"/>
  <c r="AH677" i="5"/>
  <c r="J672" i="5"/>
  <c r="AB659" i="5"/>
  <c r="AB656" i="5"/>
  <c r="AO652" i="5"/>
  <c r="AS652" i="5"/>
  <c r="AC644" i="5"/>
  <c r="Z644" i="5"/>
  <c r="AN1319" i="5"/>
  <c r="AH1319" i="5"/>
  <c r="Z1279" i="5"/>
  <c r="AC1279" i="5"/>
  <c r="AC741" i="5"/>
  <c r="AH739" i="5"/>
  <c r="AB738" i="5"/>
  <c r="AB737" i="5"/>
  <c r="AC736" i="5"/>
  <c r="J732" i="5"/>
  <c r="V731" i="5"/>
  <c r="AL730" i="5"/>
  <c r="V727" i="5"/>
  <c r="AL725" i="5"/>
  <c r="V720" i="5"/>
  <c r="R717" i="5"/>
  <c r="AN716" i="5"/>
  <c r="V716" i="5"/>
  <c r="AL715" i="5"/>
  <c r="V715" i="5"/>
  <c r="J714" i="5"/>
  <c r="AO709" i="5"/>
  <c r="R709" i="5"/>
  <c r="AR708" i="5"/>
  <c r="AL706" i="5"/>
  <c r="R706" i="5"/>
  <c r="AH704" i="5"/>
  <c r="AC703" i="5"/>
  <c r="AH702" i="5"/>
  <c r="R702" i="5"/>
  <c r="AO700" i="5"/>
  <c r="AS699" i="5"/>
  <c r="Z699" i="5"/>
  <c r="AO697" i="5"/>
  <c r="Z695" i="5"/>
  <c r="AO693" i="5"/>
  <c r="Z691" i="5"/>
  <c r="R688" i="5"/>
  <c r="AR687" i="5"/>
  <c r="Z668" i="5"/>
  <c r="AB668" i="5"/>
  <c r="AR668" i="5"/>
  <c r="AR666" i="5"/>
  <c r="AB666" i="5"/>
  <c r="AR662" i="5"/>
  <c r="AC658" i="5"/>
  <c r="J655" i="5"/>
  <c r="AN650" i="5"/>
  <c r="AR650" i="5"/>
  <c r="AS640" i="5"/>
  <c r="AB674" i="5"/>
  <c r="AN666" i="5"/>
  <c r="AO664" i="5"/>
  <c r="AL663" i="5"/>
  <c r="AL655" i="5"/>
  <c r="AB654" i="5"/>
  <c r="AR653" i="5"/>
  <c r="Z652" i="5"/>
  <c r="AC646" i="5"/>
  <c r="AR640" i="5"/>
  <c r="AB635" i="5"/>
  <c r="AR634" i="5"/>
  <c r="AR633" i="5"/>
  <c r="AO632" i="5"/>
  <c r="AP632" i="5" s="1"/>
  <c r="Z632" i="5"/>
  <c r="J1321" i="5"/>
  <c r="AB1320" i="5"/>
  <c r="AN1310" i="5"/>
  <c r="AN1306" i="5"/>
  <c r="V1303" i="5"/>
  <c r="AN1301" i="5"/>
  <c r="AC1298" i="5"/>
  <c r="R1289" i="5"/>
  <c r="AN1288" i="5"/>
  <c r="AR1288" i="5"/>
  <c r="Z1286" i="5"/>
  <c r="AN1282" i="5"/>
  <c r="AH1278" i="5"/>
  <c r="AO1278" i="5"/>
  <c r="AH1273" i="5"/>
  <c r="AS1273" i="5"/>
  <c r="AH1263" i="5"/>
  <c r="AO1263" i="5"/>
  <c r="J1263" i="5"/>
  <c r="AB1252" i="5"/>
  <c r="AS688" i="5"/>
  <c r="AO687" i="5"/>
  <c r="AS684" i="5"/>
  <c r="AH682" i="5"/>
  <c r="R682" i="5"/>
  <c r="V680" i="5"/>
  <c r="V678" i="5"/>
  <c r="J677" i="5"/>
  <c r="AS676" i="5"/>
  <c r="AC674" i="5"/>
  <c r="AH670" i="5"/>
  <c r="R670" i="5"/>
  <c r="AN669" i="5"/>
  <c r="AN668" i="5"/>
  <c r="AN667" i="5"/>
  <c r="J667" i="5"/>
  <c r="AN664" i="5"/>
  <c r="AN662" i="5"/>
  <c r="AH659" i="5"/>
  <c r="V653" i="5"/>
  <c r="AC652" i="5"/>
  <c r="V651" i="5"/>
  <c r="AN648" i="5"/>
  <c r="J648" i="5"/>
  <c r="AB647" i="5"/>
  <c r="J647" i="5"/>
  <c r="R644" i="5"/>
  <c r="AO643" i="5"/>
  <c r="AN642" i="5"/>
  <c r="V640" i="5"/>
  <c r="R638" i="5"/>
  <c r="AH637" i="5"/>
  <c r="AB636" i="5"/>
  <c r="V635" i="5"/>
  <c r="AL634" i="5"/>
  <c r="V633" i="5"/>
  <c r="V1323" i="5"/>
  <c r="AS1322" i="5"/>
  <c r="AR1322" i="5"/>
  <c r="AB1321" i="5"/>
  <c r="AL1320" i="5"/>
  <c r="AL1319" i="5"/>
  <c r="V1318" i="5"/>
  <c r="AO1317" i="5"/>
  <c r="Z1312" i="5"/>
  <c r="AN1311" i="5"/>
  <c r="Z1310" i="5"/>
  <c r="J1310" i="5"/>
  <c r="Z1309" i="5"/>
  <c r="AR1308" i="5"/>
  <c r="AC1306" i="5"/>
  <c r="AL1303" i="5"/>
  <c r="R1302" i="5"/>
  <c r="J1301" i="5"/>
  <c r="AR1298" i="5"/>
  <c r="V1297" i="5"/>
  <c r="AL1296" i="5"/>
  <c r="AS1292" i="5"/>
  <c r="AS1291" i="5"/>
  <c r="AH1289" i="5"/>
  <c r="AO1289" i="5"/>
  <c r="AB1286" i="5"/>
  <c r="AR1286" i="5"/>
  <c r="J1283" i="5"/>
  <c r="AC1282" i="5"/>
  <c r="R1279" i="5"/>
  <c r="AN1278" i="5"/>
  <c r="AR1277" i="5"/>
  <c r="AS1272" i="5"/>
  <c r="Z1272" i="5"/>
  <c r="AH1261" i="5"/>
  <c r="AO1261" i="5"/>
  <c r="AO655" i="5"/>
  <c r="AP655" i="5" s="1"/>
  <c r="AN638" i="5"/>
  <c r="J1284" i="5"/>
  <c r="AN1269" i="5"/>
  <c r="AS1263" i="5"/>
  <c r="AN1251" i="5"/>
  <c r="AR1247" i="5"/>
  <c r="Z1247" i="5"/>
  <c r="AO679" i="5"/>
  <c r="AO676" i="5"/>
  <c r="AS672" i="5"/>
  <c r="AB670" i="5"/>
  <c r="AB667" i="5"/>
  <c r="AS665" i="5"/>
  <c r="AN660" i="5"/>
  <c r="AN659" i="5"/>
  <c r="AP659" i="5" s="1"/>
  <c r="AH657" i="5"/>
  <c r="AO657" i="5"/>
  <c r="AN656" i="5"/>
  <c r="AP656" i="5" s="1"/>
  <c r="AR649" i="5"/>
  <c r="AH641" i="5"/>
  <c r="AR637" i="5"/>
  <c r="R1319" i="5"/>
  <c r="AO1318" i="5"/>
  <c r="AC1316" i="5"/>
  <c r="AB1312" i="5"/>
  <c r="AN1309" i="5"/>
  <c r="AL1308" i="5"/>
  <c r="AR1306" i="5"/>
  <c r="AL1304" i="5"/>
  <c r="AH1302" i="5"/>
  <c r="AO1302" i="5"/>
  <c r="AP1302" i="5" s="1"/>
  <c r="V1299" i="5"/>
  <c r="V1286" i="5"/>
  <c r="AS1283" i="5"/>
  <c r="AR1282" i="5"/>
  <c r="AB1278" i="5"/>
  <c r="AR1278" i="5"/>
  <c r="AO1256" i="5"/>
  <c r="AP1256" i="5" s="1"/>
  <c r="J1254" i="5"/>
  <c r="AH678" i="5"/>
  <c r="R678" i="5"/>
  <c r="AL676" i="5"/>
  <c r="AL674" i="5"/>
  <c r="AR672" i="5"/>
  <c r="J671" i="5"/>
  <c r="AC670" i="5"/>
  <c r="AS669" i="5"/>
  <c r="AO668" i="5"/>
  <c r="V667" i="5"/>
  <c r="Z666" i="5"/>
  <c r="J666" i="5"/>
  <c r="AR665" i="5"/>
  <c r="AS662" i="5"/>
  <c r="J660" i="5"/>
  <c r="J659" i="5"/>
  <c r="J656" i="5"/>
  <c r="AN649" i="5"/>
  <c r="AP649" i="5" s="1"/>
  <c r="AR648" i="5"/>
  <c r="AL646" i="5"/>
  <c r="AB646" i="5"/>
  <c r="Z642" i="5"/>
  <c r="Z641" i="5"/>
  <c r="AC640" i="5"/>
  <c r="AN639" i="5"/>
  <c r="J639" i="5"/>
  <c r="Z638" i="5"/>
  <c r="V636" i="5"/>
  <c r="AN634" i="5"/>
  <c r="R634" i="5"/>
  <c r="AH633" i="5"/>
  <c r="AN1318" i="5"/>
  <c r="AS1317" i="5"/>
  <c r="AS1316" i="5"/>
  <c r="AR1316" i="5"/>
  <c r="R1314" i="5"/>
  <c r="AR1311" i="5"/>
  <c r="AT1311" i="5" s="1"/>
  <c r="AB1311" i="5"/>
  <c r="AL1305" i="5"/>
  <c r="R1305" i="5"/>
  <c r="AL1300" i="5"/>
  <c r="R1300" i="5"/>
  <c r="AL1299" i="5"/>
  <c r="R1299" i="5"/>
  <c r="AL1297" i="5"/>
  <c r="AR1296" i="5"/>
  <c r="AB1295" i="5"/>
  <c r="AO1294" i="5"/>
  <c r="AP1294" i="5" s="1"/>
  <c r="AO1293" i="5"/>
  <c r="AH1290" i="5"/>
  <c r="AO1290" i="5"/>
  <c r="AR1283" i="5"/>
  <c r="R1277" i="5"/>
  <c r="AO1274" i="5"/>
  <c r="J1270" i="5"/>
  <c r="AO1264" i="5"/>
  <c r="AR1251" i="5"/>
  <c r="AS1234" i="5"/>
  <c r="AC1234" i="5"/>
  <c r="J1245" i="5"/>
  <c r="V682" i="5"/>
  <c r="Z679" i="5"/>
  <c r="AB678" i="5"/>
  <c r="AH674" i="5"/>
  <c r="R674" i="5"/>
  <c r="AH673" i="5"/>
  <c r="AL672" i="5"/>
  <c r="AO670" i="5"/>
  <c r="V670" i="5"/>
  <c r="AL669" i="5"/>
  <c r="AL667" i="5"/>
  <c r="V663" i="5"/>
  <c r="AL662" i="5"/>
  <c r="V659" i="5"/>
  <c r="AB658" i="5"/>
  <c r="V655" i="5"/>
  <c r="AN652" i="5"/>
  <c r="AN651" i="5"/>
  <c r="V645" i="5"/>
  <c r="AR644" i="5"/>
  <c r="AL642" i="5"/>
  <c r="V641" i="5"/>
  <c r="AB639" i="5"/>
  <c r="AL637" i="5"/>
  <c r="R636" i="5"/>
  <c r="AN635" i="5"/>
  <c r="J635" i="5"/>
  <c r="Z633" i="5"/>
  <c r="AN1323" i="5"/>
  <c r="AN1322" i="5"/>
  <c r="AR1321" i="5"/>
  <c r="J1319" i="5"/>
  <c r="Z1318" i="5"/>
  <c r="V1317" i="5"/>
  <c r="AL1316" i="5"/>
  <c r="V1316" i="5"/>
  <c r="AL1315" i="5"/>
  <c r="R1309" i="5"/>
  <c r="R1307" i="5"/>
  <c r="R1306" i="5"/>
  <c r="AN1305" i="5"/>
  <c r="AL1301" i="5"/>
  <c r="AN1300" i="5"/>
  <c r="AR1300" i="5"/>
  <c r="V1295" i="5"/>
  <c r="AH1291" i="5"/>
  <c r="AO1291" i="5"/>
  <c r="J1281" i="5"/>
  <c r="AO1281" i="5"/>
  <c r="AB1279" i="5"/>
  <c r="AH1277" i="5"/>
  <c r="AO1277" i="5"/>
  <c r="AB1254" i="5"/>
  <c r="AR1254" i="5"/>
  <c r="AR660" i="5"/>
  <c r="AR656" i="5"/>
  <c r="AB652" i="5"/>
  <c r="AN647" i="5"/>
  <c r="AP647" i="5" s="1"/>
  <c r="AN641" i="5"/>
  <c r="AR1319" i="5"/>
  <c r="AL1317" i="5"/>
  <c r="J1315" i="5"/>
  <c r="Z1313" i="5"/>
  <c r="AO1312" i="5"/>
  <c r="R1312" i="5"/>
  <c r="AH1310" i="5"/>
  <c r="AR1309" i="5"/>
  <c r="AB1308" i="5"/>
  <c r="AN1307" i="5"/>
  <c r="J1305" i="5"/>
  <c r="AB1304" i="5"/>
  <c r="J1304" i="5"/>
  <c r="AR1303" i="5"/>
  <c r="AH1301" i="5"/>
  <c r="AO1301" i="5"/>
  <c r="AN1296" i="5"/>
  <c r="AN1291" i="5"/>
  <c r="AR1291" i="5"/>
  <c r="V1285" i="5"/>
  <c r="AH1282" i="5"/>
  <c r="AC1281" i="5"/>
  <c r="AN1277" i="5"/>
  <c r="J1277" i="5"/>
  <c r="Z1276" i="5"/>
  <c r="J1272" i="5"/>
  <c r="AB1268" i="5"/>
  <c r="AB1262" i="5"/>
  <c r="AR1262" i="5"/>
  <c r="J1255" i="5"/>
  <c r="AO1255" i="5"/>
  <c r="AP1255" i="5" s="1"/>
  <c r="AR1249" i="5"/>
  <c r="Z1249" i="5"/>
  <c r="AN1273" i="5"/>
  <c r="AB1270" i="5"/>
  <c r="AB1269" i="5"/>
  <c r="AO1268" i="5"/>
  <c r="AS1268" i="5"/>
  <c r="AR1267" i="5"/>
  <c r="AR1263" i="5"/>
  <c r="AB1261" i="5"/>
  <c r="AD1261" i="5" s="1"/>
  <c r="AS1260" i="5"/>
  <c r="AR1258" i="5"/>
  <c r="V1255" i="5"/>
  <c r="AL1254" i="5"/>
  <c r="V1253" i="5"/>
  <c r="V1252" i="5"/>
  <c r="AH1249" i="5"/>
  <c r="AH1243" i="5"/>
  <c r="AC1242" i="5"/>
  <c r="AL1240" i="5"/>
  <c r="AO1239" i="5"/>
  <c r="AS1239" i="5"/>
  <c r="J1239" i="5"/>
  <c r="J1300" i="5"/>
  <c r="J1299" i="5"/>
  <c r="AH1298" i="5"/>
  <c r="AN1297" i="5"/>
  <c r="AR1290" i="5"/>
  <c r="AS1288" i="5"/>
  <c r="AN1287" i="5"/>
  <c r="V1283" i="5"/>
  <c r="AR1273" i="5"/>
  <c r="AN1267" i="5"/>
  <c r="AB1265" i="5"/>
  <c r="AS1264" i="5"/>
  <c r="AN1249" i="5"/>
  <c r="Z1236" i="5"/>
  <c r="Z1233" i="5"/>
  <c r="AC1233" i="5"/>
  <c r="AR1226" i="5"/>
  <c r="AC1221" i="5"/>
  <c r="J1179" i="5"/>
  <c r="AN1179" i="5"/>
  <c r="AP1179" i="5" s="1"/>
  <c r="R1316" i="5"/>
  <c r="AH1315" i="5"/>
  <c r="AL1311" i="5"/>
  <c r="V1311" i="5"/>
  <c r="AL1309" i="5"/>
  <c r="AO1308" i="5"/>
  <c r="AP1308" i="5" s="1"/>
  <c r="AL1307" i="5"/>
  <c r="V1305" i="5"/>
  <c r="Z1302" i="5"/>
  <c r="V1301" i="5"/>
  <c r="AS1299" i="5"/>
  <c r="J1297" i="5"/>
  <c r="AH1295" i="5"/>
  <c r="V1294" i="5"/>
  <c r="AL1293" i="5"/>
  <c r="R1293" i="5"/>
  <c r="AL1292" i="5"/>
  <c r="Z1290" i="5"/>
  <c r="J1288" i="5"/>
  <c r="J1287" i="5"/>
  <c r="AH1286" i="5"/>
  <c r="AN1285" i="5"/>
  <c r="R1283" i="5"/>
  <c r="V1279" i="5"/>
  <c r="R1274" i="5"/>
  <c r="V1273" i="5"/>
  <c r="AL1272" i="5"/>
  <c r="V1269" i="5"/>
  <c r="V1268" i="5"/>
  <c r="V1267" i="5"/>
  <c r="AR1266" i="5"/>
  <c r="V1263" i="5"/>
  <c r="AL1262" i="5"/>
  <c r="V1261" i="5"/>
  <c r="V1260" i="5"/>
  <c r="AL1255" i="5"/>
  <c r="AH1251" i="5"/>
  <c r="AN1250" i="5"/>
  <c r="AC1250" i="5"/>
  <c r="AH1248" i="5"/>
  <c r="AH1240" i="5"/>
  <c r="AO1240" i="5"/>
  <c r="AS1240" i="5"/>
  <c r="J1227" i="5"/>
  <c r="AB1213" i="5"/>
  <c r="Z1213" i="5"/>
  <c r="AN1193" i="5"/>
  <c r="AB1192" i="5"/>
  <c r="Z1192" i="5"/>
  <c r="Z1297" i="5"/>
  <c r="AS1296" i="5"/>
  <c r="AN1295" i="5"/>
  <c r="AS1287" i="5"/>
  <c r="J1285" i="5"/>
  <c r="AH1283" i="5"/>
  <c r="R1275" i="5"/>
  <c r="R1272" i="5"/>
  <c r="AL1270" i="5"/>
  <c r="R1270" i="5"/>
  <c r="AL1266" i="5"/>
  <c r="V1264" i="5"/>
  <c r="AH1255" i="5"/>
  <c r="AH1253" i="5"/>
  <c r="AN1252" i="5"/>
  <c r="AC1229" i="5"/>
  <c r="AN1196" i="5"/>
  <c r="AH1196" i="5"/>
  <c r="J1296" i="5"/>
  <c r="J1295" i="5"/>
  <c r="AH1294" i="5"/>
  <c r="AN1293" i="5"/>
  <c r="R1291" i="5"/>
  <c r="AC1286" i="5"/>
  <c r="Z1285" i="5"/>
  <c r="AS1284" i="5"/>
  <c r="AN1283" i="5"/>
  <c r="R1282" i="5"/>
  <c r="AH1281" i="5"/>
  <c r="AN1280" i="5"/>
  <c r="R1276" i="5"/>
  <c r="AO1275" i="5"/>
  <c r="AH1272" i="5"/>
  <c r="AH1259" i="5"/>
  <c r="AN1258" i="5"/>
  <c r="AH1257" i="5"/>
  <c r="AC1254" i="5"/>
  <c r="AC1253" i="5"/>
  <c r="J1251" i="5"/>
  <c r="AS1249" i="5"/>
  <c r="AS1247" i="5"/>
  <c r="AL1242" i="5"/>
  <c r="V1239" i="5"/>
  <c r="Z1237" i="5"/>
  <c r="Z1225" i="5"/>
  <c r="AC1225" i="5"/>
  <c r="AB1221" i="5"/>
  <c r="Z1221" i="5"/>
  <c r="AS1171" i="5"/>
  <c r="AC1171" i="5"/>
  <c r="AH1265" i="5"/>
  <c r="AC1262" i="5"/>
  <c r="J1262" i="5"/>
  <c r="AR1255" i="5"/>
  <c r="AB1253" i="5"/>
  <c r="AO1252" i="5"/>
  <c r="AS1252" i="5"/>
  <c r="AO1251" i="5"/>
  <c r="AL1249" i="5"/>
  <c r="AS1248" i="5"/>
  <c r="V1247" i="5"/>
  <c r="AS1245" i="5"/>
  <c r="AL1244" i="5"/>
  <c r="Z1241" i="5"/>
  <c r="R1239" i="5"/>
  <c r="V1237" i="5"/>
  <c r="AR1234" i="5"/>
  <c r="AB1229" i="5"/>
  <c r="Z1229" i="5"/>
  <c r="J1226" i="5"/>
  <c r="J1194" i="5"/>
  <c r="AR1259" i="5"/>
  <c r="AB1257" i="5"/>
  <c r="AD1257" i="5" s="1"/>
  <c r="AS1256" i="5"/>
  <c r="AO1253" i="5"/>
  <c r="AH1242" i="5"/>
  <c r="AN1242" i="5"/>
  <c r="AO1242" i="5"/>
  <c r="AS1238" i="5"/>
  <c r="AC1238" i="5"/>
  <c r="AN1238" i="5"/>
  <c r="AC1213" i="5"/>
  <c r="AN1199" i="5"/>
  <c r="AH1199" i="5"/>
  <c r="AO1221" i="5"/>
  <c r="AR1218" i="5"/>
  <c r="AO1213" i="5"/>
  <c r="AR1210" i="5"/>
  <c r="Z1208" i="5"/>
  <c r="AC1207" i="5"/>
  <c r="AH1206" i="5"/>
  <c r="AC1205" i="5"/>
  <c r="R1204" i="5"/>
  <c r="Z1199" i="5"/>
  <c r="AR1198" i="5"/>
  <c r="AN1189" i="5"/>
  <c r="AP1189" i="5" s="1"/>
  <c r="AR1189" i="5"/>
  <c r="J1185" i="5"/>
  <c r="AC1175" i="5"/>
  <c r="AR1173" i="5"/>
  <c r="AS1167" i="5"/>
  <c r="AC1167" i="5"/>
  <c r="AO1162" i="5"/>
  <c r="AH1159" i="5"/>
  <c r="AO1159" i="5"/>
  <c r="AS1145" i="5"/>
  <c r="J1120" i="5"/>
  <c r="AC1120" i="5"/>
  <c r="AN1270" i="5"/>
  <c r="AN1268" i="5"/>
  <c r="AL1265" i="5"/>
  <c r="AH1264" i="5"/>
  <c r="R1264" i="5"/>
  <c r="AO1262" i="5"/>
  <c r="AL1261" i="5"/>
  <c r="AH1260" i="5"/>
  <c r="R1260" i="5"/>
  <c r="AO1258" i="5"/>
  <c r="AL1257" i="5"/>
  <c r="AH1256" i="5"/>
  <c r="R1256" i="5"/>
  <c r="AO1254" i="5"/>
  <c r="AL1253" i="5"/>
  <c r="AH1252" i="5"/>
  <c r="R1252" i="5"/>
  <c r="V1249" i="5"/>
  <c r="Z1246" i="5"/>
  <c r="V1243" i="5"/>
  <c r="AL1241" i="5"/>
  <c r="J1241" i="5"/>
  <c r="AC1240" i="5"/>
  <c r="V1234" i="5"/>
  <c r="AB1233" i="5"/>
  <c r="AH1230" i="5"/>
  <c r="V1226" i="5"/>
  <c r="AB1225" i="5"/>
  <c r="AH1222" i="5"/>
  <c r="V1218" i="5"/>
  <c r="AB1217" i="5"/>
  <c r="AH1214" i="5"/>
  <c r="V1210" i="5"/>
  <c r="J1209" i="5"/>
  <c r="AS1207" i="5"/>
  <c r="AC1206" i="5"/>
  <c r="AN1204" i="5"/>
  <c r="J1203" i="5"/>
  <c r="J1202" i="5"/>
  <c r="J1201" i="5"/>
  <c r="AB1200" i="5"/>
  <c r="V1199" i="5"/>
  <c r="AL1196" i="5"/>
  <c r="V1196" i="5"/>
  <c r="AO1193" i="5"/>
  <c r="AN1191" i="5"/>
  <c r="AH1191" i="5"/>
  <c r="AH1190" i="5"/>
  <c r="AC1189" i="5"/>
  <c r="Z1189" i="5"/>
  <c r="AR1188" i="5"/>
  <c r="AR1183" i="5"/>
  <c r="AN1182" i="5"/>
  <c r="AO1175" i="5"/>
  <c r="AP1175" i="5" s="1"/>
  <c r="AB1175" i="5"/>
  <c r="J1175" i="5"/>
  <c r="AR1167" i="5"/>
  <c r="AB1167" i="5"/>
  <c r="AR1159" i="5"/>
  <c r="AN1159" i="5"/>
  <c r="AB1158" i="5"/>
  <c r="AO1143" i="5"/>
  <c r="AR1106" i="5"/>
  <c r="AB1106" i="5"/>
  <c r="AN1097" i="5"/>
  <c r="AB1245" i="5"/>
  <c r="J1244" i="5"/>
  <c r="V1242" i="5"/>
  <c r="AC1237" i="5"/>
  <c r="AL1234" i="5"/>
  <c r="AL1233" i="5"/>
  <c r="AS1231" i="5"/>
  <c r="AS1223" i="5"/>
  <c r="AS1215" i="5"/>
  <c r="AR1202" i="5"/>
  <c r="AO1200" i="5"/>
  <c r="AO1195" i="5"/>
  <c r="AS1195" i="5"/>
  <c r="AN1192" i="5"/>
  <c r="AH1192" i="5"/>
  <c r="AO1187" i="5"/>
  <c r="AR1176" i="5"/>
  <c r="V1167" i="5"/>
  <c r="R1163" i="5"/>
  <c r="R1160" i="5"/>
  <c r="J1143" i="5"/>
  <c r="AS1143" i="5"/>
  <c r="J1107" i="5"/>
  <c r="AO1243" i="5"/>
  <c r="J1238" i="5"/>
  <c r="AO1235" i="5"/>
  <c r="AO1232" i="5"/>
  <c r="AP1232" i="5" s="1"/>
  <c r="AS1230" i="5"/>
  <c r="R1228" i="5"/>
  <c r="AO1227" i="5"/>
  <c r="AO1224" i="5"/>
  <c r="AS1222" i="5"/>
  <c r="R1220" i="5"/>
  <c r="AO1219" i="5"/>
  <c r="AO1216" i="5"/>
  <c r="Z1215" i="5"/>
  <c r="AS1214" i="5"/>
  <c r="R1212" i="5"/>
  <c r="AO1211" i="5"/>
  <c r="AR1206" i="5"/>
  <c r="AO1197" i="5"/>
  <c r="AN1195" i="5"/>
  <c r="AH1194" i="5"/>
  <c r="Z1193" i="5"/>
  <c r="AC1193" i="5"/>
  <c r="AS1190" i="5"/>
  <c r="J1178" i="5"/>
  <c r="Z1177" i="5"/>
  <c r="AH1163" i="5"/>
  <c r="AN1163" i="5"/>
  <c r="AH1149" i="5"/>
  <c r="AO1149" i="5"/>
  <c r="AS1149" i="5"/>
  <c r="J1092" i="5"/>
  <c r="AN1236" i="5"/>
  <c r="AN1235" i="5"/>
  <c r="AL1232" i="5"/>
  <c r="V1232" i="5"/>
  <c r="V1231" i="5"/>
  <c r="AN1228" i="5"/>
  <c r="AN1227" i="5"/>
  <c r="AL1224" i="5"/>
  <c r="V1224" i="5"/>
  <c r="V1223" i="5"/>
  <c r="AN1220" i="5"/>
  <c r="AC1220" i="5"/>
  <c r="AN1219" i="5"/>
  <c r="AL1216" i="5"/>
  <c r="V1216" i="5"/>
  <c r="V1215" i="5"/>
  <c r="AN1212" i="5"/>
  <c r="AP1212" i="5" s="1"/>
  <c r="AC1212" i="5"/>
  <c r="AN1211" i="5"/>
  <c r="AO1209" i="5"/>
  <c r="V1206" i="5"/>
  <c r="AL1202" i="5"/>
  <c r="AO1196" i="5"/>
  <c r="R1196" i="5"/>
  <c r="AB1193" i="5"/>
  <c r="Z1191" i="5"/>
  <c r="AH1188" i="5"/>
  <c r="AC1179" i="5"/>
  <c r="AB1178" i="5"/>
  <c r="AR1177" i="5"/>
  <c r="AB1171" i="5"/>
  <c r="AO1144" i="5"/>
  <c r="AS1144" i="5"/>
  <c r="AC1133" i="5"/>
  <c r="AO1116" i="5"/>
  <c r="AS1116" i="5"/>
  <c r="Z1157" i="5"/>
  <c r="AR1157" i="5"/>
  <c r="AR1155" i="5"/>
  <c r="AN1155" i="5"/>
  <c r="AB1122" i="5"/>
  <c r="AR1122" i="5"/>
  <c r="V1250" i="5"/>
  <c r="AN1247" i="5"/>
  <c r="AO1245" i="5"/>
  <c r="V1238" i="5"/>
  <c r="AL1237" i="5"/>
  <c r="AS1235" i="5"/>
  <c r="J1234" i="5"/>
  <c r="AH1231" i="5"/>
  <c r="AL1230" i="5"/>
  <c r="AL1229" i="5"/>
  <c r="J1229" i="5"/>
  <c r="AS1227" i="5"/>
  <c r="AC1226" i="5"/>
  <c r="AH1223" i="5"/>
  <c r="AL1222" i="5"/>
  <c r="AL1221" i="5"/>
  <c r="J1221" i="5"/>
  <c r="AS1219" i="5"/>
  <c r="AC1218" i="5"/>
  <c r="AC1217" i="5"/>
  <c r="AH1215" i="5"/>
  <c r="AL1214" i="5"/>
  <c r="AL1213" i="5"/>
  <c r="J1213" i="5"/>
  <c r="AS1211" i="5"/>
  <c r="AC1210" i="5"/>
  <c r="J1210" i="5"/>
  <c r="AC1209" i="5"/>
  <c r="AO1203" i="5"/>
  <c r="AS1203" i="5"/>
  <c r="AN1200" i="5"/>
  <c r="AH1200" i="5"/>
  <c r="J1195" i="5"/>
  <c r="AR1194" i="5"/>
  <c r="AO1192" i="5"/>
  <c r="R1189" i="5"/>
  <c r="J1184" i="5"/>
  <c r="AC1183" i="5"/>
  <c r="J1183" i="5"/>
  <c r="AN1178" i="5"/>
  <c r="AH1164" i="5"/>
  <c r="R1161" i="5"/>
  <c r="AO1131" i="5"/>
  <c r="J1109" i="5"/>
  <c r="AO1109" i="5"/>
  <c r="AB1228" i="5"/>
  <c r="AB1220" i="5"/>
  <c r="AB1212" i="5"/>
  <c r="AH1202" i="5"/>
  <c r="Z1201" i="5"/>
  <c r="AC1201" i="5"/>
  <c r="AS1198" i="5"/>
  <c r="AL1195" i="5"/>
  <c r="V1195" i="5"/>
  <c r="V1194" i="5"/>
  <c r="AL1193" i="5"/>
  <c r="AL1192" i="5"/>
  <c r="R1190" i="5"/>
  <c r="AN1186" i="5"/>
  <c r="AR1186" i="5"/>
  <c r="AN1185" i="5"/>
  <c r="AR1185" i="5"/>
  <c r="AB1183" i="5"/>
  <c r="AB1182" i="5"/>
  <c r="Z1181" i="5"/>
  <c r="V1180" i="5"/>
  <c r="AR1179" i="5"/>
  <c r="J1174" i="5"/>
  <c r="Z1173" i="5"/>
  <c r="V1166" i="5"/>
  <c r="AL1165" i="5"/>
  <c r="AN1161" i="5"/>
  <c r="AR1161" i="5"/>
  <c r="J1152" i="5"/>
  <c r="AO1152" i="5"/>
  <c r="AN1131" i="5"/>
  <c r="AH1131" i="5"/>
  <c r="AS1155" i="5"/>
  <c r="AC1144" i="5"/>
  <c r="AB1134" i="5"/>
  <c r="J1114" i="5"/>
  <c r="AN1114" i="5"/>
  <c r="AC1110" i="5"/>
  <c r="AS1110" i="5"/>
  <c r="AB1109" i="5"/>
  <c r="J1100" i="5"/>
  <c r="AR1092" i="5"/>
  <c r="AB1076" i="5"/>
  <c r="AN1074" i="5"/>
  <c r="AH1074" i="5"/>
  <c r="AR1074" i="5"/>
  <c r="J1071" i="5"/>
  <c r="AB1068" i="5"/>
  <c r="Z1068" i="5"/>
  <c r="AR1190" i="5"/>
  <c r="AS1186" i="5"/>
  <c r="J1186" i="5"/>
  <c r="Z1185" i="5"/>
  <c r="V1183" i="5"/>
  <c r="V1179" i="5"/>
  <c r="AL1177" i="5"/>
  <c r="V1175" i="5"/>
  <c r="AL1173" i="5"/>
  <c r="AO1170" i="5"/>
  <c r="R1169" i="5"/>
  <c r="R1167" i="5"/>
  <c r="J1162" i="5"/>
  <c r="Z1161" i="5"/>
  <c r="AR1160" i="5"/>
  <c r="J1159" i="5"/>
  <c r="AL1154" i="5"/>
  <c r="AL1153" i="5"/>
  <c r="AL1151" i="5"/>
  <c r="AL1150" i="5"/>
  <c r="V1150" i="5"/>
  <c r="AS1148" i="5"/>
  <c r="AC1148" i="5"/>
  <c r="Z1144" i="5"/>
  <c r="AC1143" i="5"/>
  <c r="AL1142" i="5"/>
  <c r="AB1142" i="5"/>
  <c r="Z1141" i="5"/>
  <c r="AS1135" i="5"/>
  <c r="V1134" i="5"/>
  <c r="AL1133" i="5"/>
  <c r="AR1126" i="5"/>
  <c r="AS1124" i="5"/>
  <c r="AO1120" i="5"/>
  <c r="AH1120" i="5"/>
  <c r="AN1118" i="5"/>
  <c r="AP1118" i="5" s="1"/>
  <c r="Z1114" i="5"/>
  <c r="AB1114" i="5"/>
  <c r="AD1114" i="5" s="1"/>
  <c r="V1109" i="5"/>
  <c r="AL1104" i="5"/>
  <c r="V1104" i="5"/>
  <c r="Z1101" i="5"/>
  <c r="Z1100" i="5"/>
  <c r="AC1100" i="5"/>
  <c r="AB1094" i="5"/>
  <c r="AC1094" i="5"/>
  <c r="AC1187" i="5"/>
  <c r="AB1185" i="5"/>
  <c r="AO1178" i="5"/>
  <c r="AO1174" i="5"/>
  <c r="AR1164" i="5"/>
  <c r="AS1159" i="5"/>
  <c r="AN1149" i="5"/>
  <c r="AR1141" i="5"/>
  <c r="AR1136" i="5"/>
  <c r="AB1136" i="5"/>
  <c r="AO1135" i="5"/>
  <c r="AR1124" i="5"/>
  <c r="AN1120" i="5"/>
  <c r="AR1099" i="5"/>
  <c r="J1096" i="5"/>
  <c r="AR1082" i="5"/>
  <c r="AB1082" i="5"/>
  <c r="J1080" i="5"/>
  <c r="AC1080" i="5"/>
  <c r="Z1069" i="5"/>
  <c r="AS1069" i="5"/>
  <c r="AC1069" i="5"/>
  <c r="J1205" i="5"/>
  <c r="J1197" i="5"/>
  <c r="AB1189" i="5"/>
  <c r="AS1187" i="5"/>
  <c r="AO1182" i="5"/>
  <c r="R1177" i="5"/>
  <c r="R1173" i="5"/>
  <c r="AH1172" i="5"/>
  <c r="AH1171" i="5"/>
  <c r="J1166" i="5"/>
  <c r="Z1165" i="5"/>
  <c r="AS1163" i="5"/>
  <c r="AO1154" i="5"/>
  <c r="R1153" i="5"/>
  <c r="AB1148" i="5"/>
  <c r="AS1147" i="5"/>
  <c r="V1141" i="5"/>
  <c r="AN1139" i="5"/>
  <c r="AR1138" i="5"/>
  <c r="AN1135" i="5"/>
  <c r="AO1133" i="5"/>
  <c r="AC1132" i="5"/>
  <c r="AC1128" i="5"/>
  <c r="AB1124" i="5"/>
  <c r="AS1123" i="5"/>
  <c r="AS1122" i="5"/>
  <c r="AC1122" i="5"/>
  <c r="R1120" i="5"/>
  <c r="V1115" i="5"/>
  <c r="AC1112" i="5"/>
  <c r="V1111" i="5"/>
  <c r="AN1107" i="5"/>
  <c r="Z1102" i="5"/>
  <c r="AB1101" i="5"/>
  <c r="AB1096" i="5"/>
  <c r="AC1057" i="5"/>
  <c r="AS1057" i="5"/>
  <c r="R1208" i="5"/>
  <c r="AO1207" i="5"/>
  <c r="AB1204" i="5"/>
  <c r="AS1202" i="5"/>
  <c r="R1200" i="5"/>
  <c r="AO1199" i="5"/>
  <c r="AB1196" i="5"/>
  <c r="Z1195" i="5"/>
  <c r="AS1194" i="5"/>
  <c r="R1192" i="5"/>
  <c r="AO1191" i="5"/>
  <c r="V1189" i="5"/>
  <c r="V1187" i="5"/>
  <c r="AL1185" i="5"/>
  <c r="AH1184" i="5"/>
  <c r="AH1183" i="5"/>
  <c r="R1181" i="5"/>
  <c r="AH1180" i="5"/>
  <c r="AH1179" i="5"/>
  <c r="AH1176" i="5"/>
  <c r="AH1175" i="5"/>
  <c r="J1170" i="5"/>
  <c r="Z1169" i="5"/>
  <c r="AR1168" i="5"/>
  <c r="J1167" i="5"/>
  <c r="AR1165" i="5"/>
  <c r="AR1163" i="5"/>
  <c r="AL1162" i="5"/>
  <c r="AL1161" i="5"/>
  <c r="V1159" i="5"/>
  <c r="AH1155" i="5"/>
  <c r="R1155" i="5"/>
  <c r="AH1152" i="5"/>
  <c r="AR1150" i="5"/>
  <c r="V1149" i="5"/>
  <c r="V1148" i="5"/>
  <c r="AO1147" i="5"/>
  <c r="R1145" i="5"/>
  <c r="R1144" i="5"/>
  <c r="AN1143" i="5"/>
  <c r="AL1141" i="5"/>
  <c r="V1139" i="5"/>
  <c r="AL1138" i="5"/>
  <c r="AL1136" i="5"/>
  <c r="V1135" i="5"/>
  <c r="AB1130" i="5"/>
  <c r="Z1129" i="5"/>
  <c r="AO1123" i="5"/>
  <c r="Z1122" i="5"/>
  <c r="AS1118" i="5"/>
  <c r="AN1115" i="5"/>
  <c r="Z1106" i="5"/>
  <c r="J1103" i="5"/>
  <c r="AN1101" i="5"/>
  <c r="AP1101" i="5" s="1"/>
  <c r="AR1095" i="5"/>
  <c r="AB1091" i="5"/>
  <c r="AR1091" i="5"/>
  <c r="AN1089" i="5"/>
  <c r="AR1062" i="5"/>
  <c r="AS1086" i="5"/>
  <c r="Z1086" i="5"/>
  <c r="AC1086" i="5"/>
  <c r="Z1153" i="5"/>
  <c r="Z1150" i="5"/>
  <c r="R1149" i="5"/>
  <c r="AH1148" i="5"/>
  <c r="R1148" i="5"/>
  <c r="AL1147" i="5"/>
  <c r="R1147" i="5"/>
  <c r="J1145" i="5"/>
  <c r="AL1143" i="5"/>
  <c r="R1139" i="5"/>
  <c r="J1134" i="5"/>
  <c r="Z1133" i="5"/>
  <c r="AR1132" i="5"/>
  <c r="AB1132" i="5"/>
  <c r="J1131" i="5"/>
  <c r="AL1129" i="5"/>
  <c r="V1129" i="5"/>
  <c r="AL1128" i="5"/>
  <c r="Z1127" i="5"/>
  <c r="AS1127" i="5"/>
  <c r="R1126" i="5"/>
  <c r="AB1107" i="5"/>
  <c r="AR1107" i="5"/>
  <c r="AN1099" i="5"/>
  <c r="AP1099" i="5" s="1"/>
  <c r="AR1093" i="5"/>
  <c r="AN1093" i="5"/>
  <c r="J1084" i="5"/>
  <c r="AC1084" i="5"/>
  <c r="J1076" i="5"/>
  <c r="AR1076" i="5"/>
  <c r="AR1156" i="5"/>
  <c r="AO1155" i="5"/>
  <c r="J1155" i="5"/>
  <c r="V1152" i="5"/>
  <c r="AN1148" i="5"/>
  <c r="Z1146" i="5"/>
  <c r="J1142" i="5"/>
  <c r="AB1140" i="5"/>
  <c r="AN1136" i="5"/>
  <c r="AS1134" i="5"/>
  <c r="V1132" i="5"/>
  <c r="AL1130" i="5"/>
  <c r="AR1128" i="5"/>
  <c r="AC1126" i="5"/>
  <c r="J1126" i="5"/>
  <c r="AL1120" i="5"/>
  <c r="R1119" i="5"/>
  <c r="AS1117" i="5"/>
  <c r="AB1113" i="5"/>
  <c r="Z1113" i="5"/>
  <c r="Z1109" i="5"/>
  <c r="AC1108" i="5"/>
  <c r="AB1104" i="5"/>
  <c r="AR1104" i="5"/>
  <c r="Z1104" i="5"/>
  <c r="J1087" i="5"/>
  <c r="AO1061" i="5"/>
  <c r="AS1061" i="5"/>
  <c r="J1054" i="5"/>
  <c r="AB1053" i="5"/>
  <c r="AR1053" i="5"/>
  <c r="AO1122" i="5"/>
  <c r="AL1121" i="5"/>
  <c r="Z1117" i="5"/>
  <c r="R1114" i="5"/>
  <c r="R1113" i="5"/>
  <c r="AO1112" i="5"/>
  <c r="R1111" i="5"/>
  <c r="AL1096" i="5"/>
  <c r="Z1090" i="5"/>
  <c r="AR1088" i="5"/>
  <c r="AB1087" i="5"/>
  <c r="AR1087" i="5"/>
  <c r="AB1086" i="5"/>
  <c r="AN1084" i="5"/>
  <c r="V1083" i="5"/>
  <c r="AS1080" i="5"/>
  <c r="AS1075" i="5"/>
  <c r="AN1073" i="5"/>
  <c r="AC1072" i="5"/>
  <c r="AB1069" i="5"/>
  <c r="V1068" i="5"/>
  <c r="AC1063" i="5"/>
  <c r="Z1062" i="5"/>
  <c r="AC1061" i="5"/>
  <c r="J1059" i="5"/>
  <c r="AS1058" i="5"/>
  <c r="AB1057" i="5"/>
  <c r="AB1054" i="5"/>
  <c r="V1053" i="5"/>
  <c r="AB1049" i="5"/>
  <c r="AR1049" i="5"/>
  <c r="AH1042" i="5"/>
  <c r="AO1042" i="5"/>
  <c r="AN1037" i="5"/>
  <c r="AO1110" i="5"/>
  <c r="AN1103" i="5"/>
  <c r="AR1101" i="5"/>
  <c r="AO1100" i="5"/>
  <c r="V1099" i="5"/>
  <c r="AO1096" i="5"/>
  <c r="AP1096" i="5" s="1"/>
  <c r="V1094" i="5"/>
  <c r="AN1064" i="5"/>
  <c r="AR1064" i="5"/>
  <c r="AS1060" i="5"/>
  <c r="AH1056" i="5"/>
  <c r="AO1056" i="5"/>
  <c r="J1056" i="5"/>
  <c r="Z1055" i="5"/>
  <c r="AC1055" i="5"/>
  <c r="AO1047" i="5"/>
  <c r="AH1047" i="5"/>
  <c r="AB1105" i="5"/>
  <c r="AC1102" i="5"/>
  <c r="AR1096" i="5"/>
  <c r="AL1092" i="5"/>
  <c r="AO1078" i="5"/>
  <c r="AN1076" i="5"/>
  <c r="AS1073" i="5"/>
  <c r="V1069" i="5"/>
  <c r="AH1065" i="5"/>
  <c r="V1057" i="5"/>
  <c r="AB1050" i="5"/>
  <c r="AO1048" i="5"/>
  <c r="J1048" i="5"/>
  <c r="AS1042" i="5"/>
  <c r="Z1042" i="5"/>
  <c r="AH1033" i="5"/>
  <c r="AO1033" i="5"/>
  <c r="R1135" i="5"/>
  <c r="R1131" i="5"/>
  <c r="AN1128" i="5"/>
  <c r="AP1128" i="5" s="1"/>
  <c r="AN1125" i="5"/>
  <c r="AO1124" i="5"/>
  <c r="AP1124" i="5" s="1"/>
  <c r="AL1123" i="5"/>
  <c r="AL1119" i="5"/>
  <c r="AR1115" i="5"/>
  <c r="R1108" i="5"/>
  <c r="AS1107" i="5"/>
  <c r="Z1105" i="5"/>
  <c r="AS1104" i="5"/>
  <c r="AB1103" i="5"/>
  <c r="AR1097" i="5"/>
  <c r="AL1087" i="5"/>
  <c r="R1087" i="5"/>
  <c r="AO1086" i="5"/>
  <c r="AN1085" i="5"/>
  <c r="AH1084" i="5"/>
  <c r="AO1082" i="5"/>
  <c r="R1082" i="5"/>
  <c r="AN1078" i="5"/>
  <c r="Z1077" i="5"/>
  <c r="V1075" i="5"/>
  <c r="AL1074" i="5"/>
  <c r="AB1073" i="5"/>
  <c r="AN1070" i="5"/>
  <c r="AN1069" i="5"/>
  <c r="R1069" i="5"/>
  <c r="AS1064" i="5"/>
  <c r="AL1057" i="5"/>
  <c r="AS1055" i="5"/>
  <c r="AC1051" i="5"/>
  <c r="Z1047" i="5"/>
  <c r="AC1047" i="5"/>
  <c r="AB1037" i="5"/>
  <c r="AH1093" i="5"/>
  <c r="AH1091" i="5"/>
  <c r="AS1083" i="5"/>
  <c r="AO1080" i="5"/>
  <c r="AC1078" i="5"/>
  <c r="AS1078" i="5"/>
  <c r="AO1053" i="5"/>
  <c r="AS1053" i="5"/>
  <c r="J1043" i="5"/>
  <c r="AN1091" i="5"/>
  <c r="AH1089" i="5"/>
  <c r="AH1087" i="5"/>
  <c r="R1080" i="5"/>
  <c r="J1068" i="5"/>
  <c r="AS1068" i="5"/>
  <c r="AO1054" i="5"/>
  <c r="AN1053" i="5"/>
  <c r="AN1051" i="5"/>
  <c r="AO1049" i="5"/>
  <c r="AS1049" i="5"/>
  <c r="AH1049" i="5"/>
  <c r="AC1049" i="5"/>
  <c r="AD1049" i="5" s="1"/>
  <c r="Z1039" i="5"/>
  <c r="AC1039" i="5"/>
  <c r="AR1089" i="5"/>
  <c r="J1089" i="5"/>
  <c r="AN1087" i="5"/>
  <c r="V1085" i="5"/>
  <c r="Z1083" i="5"/>
  <c r="Z1081" i="5"/>
  <c r="AS1077" i="5"/>
  <c r="AO1072" i="5"/>
  <c r="AP1072" i="5" s="1"/>
  <c r="AH1072" i="5"/>
  <c r="AH1071" i="5"/>
  <c r="AR1069" i="5"/>
  <c r="Z1067" i="5"/>
  <c r="AR1059" i="5"/>
  <c r="AO1045" i="5"/>
  <c r="AH1045" i="5"/>
  <c r="AS1045" i="5"/>
  <c r="V1035" i="5"/>
  <c r="AB1058" i="5"/>
  <c r="AD1058" i="5" s="1"/>
  <c r="AC1053" i="5"/>
  <c r="AB1046" i="5"/>
  <c r="AC1045" i="5"/>
  <c r="AN1044" i="5"/>
  <c r="AS1041" i="5"/>
  <c r="AO1039" i="5"/>
  <c r="V1034" i="5"/>
  <c r="AS1033" i="5"/>
  <c r="AL1107" i="5"/>
  <c r="R1105" i="5"/>
  <c r="R1104" i="5"/>
  <c r="AL1101" i="5"/>
  <c r="AN1095" i="5"/>
  <c r="AL1093" i="5"/>
  <c r="R1093" i="5"/>
  <c r="R1092" i="5"/>
  <c r="V1090" i="5"/>
  <c r="AL1088" i="5"/>
  <c r="V1087" i="5"/>
  <c r="V1084" i="5"/>
  <c r="AL1083" i="5"/>
  <c r="J1082" i="5"/>
  <c r="V1081" i="5"/>
  <c r="AL1077" i="5"/>
  <c r="AC1076" i="5"/>
  <c r="AH1075" i="5"/>
  <c r="AO1074" i="5"/>
  <c r="V1073" i="5"/>
  <c r="V1071" i="5"/>
  <c r="AO1068" i="5"/>
  <c r="V1067" i="5"/>
  <c r="AC1065" i="5"/>
  <c r="AL1062" i="5"/>
  <c r="AL1061" i="5"/>
  <c r="AL1058" i="5"/>
  <c r="AO1051" i="5"/>
  <c r="R1051" i="5"/>
  <c r="V1046" i="5"/>
  <c r="Z1045" i="5"/>
  <c r="AO1043" i="5"/>
  <c r="AL1042" i="5"/>
  <c r="Z1037" i="5"/>
  <c r="AO1034" i="5"/>
  <c r="AN1068" i="5"/>
  <c r="V1064" i="5"/>
  <c r="AR1057" i="5"/>
  <c r="Z1056" i="5"/>
  <c r="AO1055" i="5"/>
  <c r="Z1053" i="5"/>
  <c r="AH1050" i="5"/>
  <c r="Z1049" i="5"/>
  <c r="AL1046" i="5"/>
  <c r="AH1038" i="5"/>
  <c r="AR1035" i="5"/>
  <c r="V1033" i="5"/>
  <c r="AB1074" i="5"/>
  <c r="AH1073" i="5"/>
  <c r="R1073" i="5"/>
  <c r="R1072" i="5"/>
  <c r="AN1066" i="5"/>
  <c r="R1066" i="5"/>
  <c r="V1065" i="5"/>
  <c r="R1064" i="5"/>
  <c r="AN1062" i="5"/>
  <c r="J1053" i="5"/>
  <c r="AH1046" i="5"/>
  <c r="R1046" i="5"/>
  <c r="AO1044" i="5"/>
  <c r="V1044" i="5"/>
  <c r="AR1043" i="5"/>
  <c r="Z1043" i="5"/>
  <c r="AH1041" i="5"/>
  <c r="AL1040" i="5"/>
  <c r="AN1039" i="5"/>
  <c r="AB1039" i="5"/>
  <c r="Z1038" i="5"/>
  <c r="AH1037" i="5"/>
  <c r="AO1036" i="5"/>
  <c r="AP1036" i="5" s="1"/>
  <c r="V1048" i="5"/>
  <c r="AL1044" i="5"/>
  <c r="J1042" i="5"/>
  <c r="AB1038" i="5"/>
  <c r="AO1050" i="5"/>
  <c r="AB1042" i="5"/>
  <c r="AO1038" i="5"/>
  <c r="AS1037" i="5"/>
  <c r="AO1323" i="5"/>
  <c r="AB1322" i="5"/>
  <c r="AR1320" i="5"/>
  <c r="AO1319" i="5"/>
  <c r="AR1315" i="5"/>
  <c r="Z1305" i="5"/>
  <c r="AC1305" i="5"/>
  <c r="AD1305" i="5" s="1"/>
  <c r="AS1305" i="5"/>
  <c r="AS1300" i="5"/>
  <c r="AS1321" i="5"/>
  <c r="AH1321" i="5"/>
  <c r="J1320" i="5"/>
  <c r="AC1319" i="5"/>
  <c r="R1315" i="5"/>
  <c r="AS1314" i="5"/>
  <c r="AH1314" i="5"/>
  <c r="J1314" i="5"/>
  <c r="J1313" i="5"/>
  <c r="AH1309" i="5"/>
  <c r="V1309" i="5"/>
  <c r="AH1308" i="5"/>
  <c r="AH1307" i="5"/>
  <c r="AS1304" i="5"/>
  <c r="Z1304" i="5"/>
  <c r="AC1304" i="5"/>
  <c r="AR1317" i="5"/>
  <c r="AB1323" i="5"/>
  <c r="AO1320" i="5"/>
  <c r="AB1319" i="5"/>
  <c r="AC1317" i="5"/>
  <c r="AD1317" i="5" s="1"/>
  <c r="AO1315" i="5"/>
  <c r="AB1315" i="5"/>
  <c r="AR1314" i="5"/>
  <c r="AO1311" i="5"/>
  <c r="AC1311" i="5"/>
  <c r="AO1310" i="5"/>
  <c r="AO1306" i="5"/>
  <c r="J1306" i="5"/>
  <c r="Z1319" i="5"/>
  <c r="AS1318" i="5"/>
  <c r="AH1318" i="5"/>
  <c r="AC1310" i="5"/>
  <c r="AS1308" i="5"/>
  <c r="AN1321" i="5"/>
  <c r="AC1323" i="5"/>
  <c r="Z1323" i="5"/>
  <c r="AH1322" i="5"/>
  <c r="J1318" i="5"/>
  <c r="Z1317" i="5"/>
  <c r="J1316" i="5"/>
  <c r="AC1315" i="5"/>
  <c r="AR1313" i="5"/>
  <c r="J1312" i="5"/>
  <c r="J1311" i="5"/>
  <c r="AB1310" i="5"/>
  <c r="AO1309" i="5"/>
  <c r="AC1309" i="5"/>
  <c r="AD1309" i="5" s="1"/>
  <c r="AR1307" i="5"/>
  <c r="J1303" i="5"/>
  <c r="AH1300" i="5"/>
  <c r="AO1300" i="5"/>
  <c r="AN1316" i="5"/>
  <c r="AO1313" i="5"/>
  <c r="AC1313" i="5"/>
  <c r="Z1308" i="5"/>
  <c r="AO1307" i="5"/>
  <c r="J1307" i="5"/>
  <c r="AO1303" i="5"/>
  <c r="AP1303" i="5" s="1"/>
  <c r="AS1307" i="5"/>
  <c r="Z1307" i="5"/>
  <c r="AC1307" i="5"/>
  <c r="AS1303" i="5"/>
  <c r="AS1320" i="5"/>
  <c r="AH1317" i="5"/>
  <c r="J1317" i="5"/>
  <c r="Z1314" i="5"/>
  <c r="AN1312" i="5"/>
  <c r="R1311" i="5"/>
  <c r="AS1310" i="5"/>
  <c r="AS1309" i="5"/>
  <c r="J1309" i="5"/>
  <c r="AH1306" i="5"/>
  <c r="AS1306" i="5"/>
  <c r="AH1304" i="5"/>
  <c r="AO1304" i="5"/>
  <c r="Z1301" i="5"/>
  <c r="AC1301" i="5"/>
  <c r="AS1301" i="5"/>
  <c r="AC1303" i="5"/>
  <c r="AC1299" i="5"/>
  <c r="AS1297" i="5"/>
  <c r="AC1295" i="5"/>
  <c r="AS1293" i="5"/>
  <c r="AC1291" i="5"/>
  <c r="AS1289" i="5"/>
  <c r="AC1287" i="5"/>
  <c r="AS1285" i="5"/>
  <c r="AC1283" i="5"/>
  <c r="AS1281" i="5"/>
  <c r="AB1280" i="5"/>
  <c r="AS1279" i="5"/>
  <c r="AL1278" i="5"/>
  <c r="AC1277" i="5"/>
  <c r="AS1275" i="5"/>
  <c r="AO1273" i="5"/>
  <c r="AS1267" i="5"/>
  <c r="Z1267" i="5"/>
  <c r="AC1267" i="5"/>
  <c r="AR1305" i="5"/>
  <c r="AR1301" i="5"/>
  <c r="AR1297" i="5"/>
  <c r="AO1296" i="5"/>
  <c r="AR1293" i="5"/>
  <c r="AO1292" i="5"/>
  <c r="AP1292" i="5" s="1"/>
  <c r="AR1289" i="5"/>
  <c r="AO1288" i="5"/>
  <c r="AR1285" i="5"/>
  <c r="AO1284" i="5"/>
  <c r="AR1281" i="5"/>
  <c r="AR1279" i="5"/>
  <c r="J1279" i="5"/>
  <c r="AB1277" i="5"/>
  <c r="AO1276" i="5"/>
  <c r="AR1275" i="5"/>
  <c r="AC1275" i="5"/>
  <c r="AR1274" i="5"/>
  <c r="AC1273" i="5"/>
  <c r="Z1303" i="5"/>
  <c r="AS1302" i="5"/>
  <c r="AC1300" i="5"/>
  <c r="Z1299" i="5"/>
  <c r="AS1298" i="5"/>
  <c r="AC1296" i="5"/>
  <c r="Z1295" i="5"/>
  <c r="AS1294" i="5"/>
  <c r="AC1292" i="5"/>
  <c r="Z1291" i="5"/>
  <c r="AS1290" i="5"/>
  <c r="AC1288" i="5"/>
  <c r="Z1287" i="5"/>
  <c r="AS1286" i="5"/>
  <c r="AC1284" i="5"/>
  <c r="Z1283" i="5"/>
  <c r="AS1282" i="5"/>
  <c r="AS1280" i="5"/>
  <c r="Z1277" i="5"/>
  <c r="AN1276" i="5"/>
  <c r="AN1275" i="5"/>
  <c r="AC1274" i="5"/>
  <c r="AS1274" i="5"/>
  <c r="Z1273" i="5"/>
  <c r="V1272" i="5"/>
  <c r="Z1271" i="5"/>
  <c r="AO1270" i="5"/>
  <c r="AH1270" i="5"/>
  <c r="AR1302" i="5"/>
  <c r="AR1271" i="5"/>
  <c r="AB1271" i="5"/>
  <c r="J1302" i="5"/>
  <c r="Z1300" i="5"/>
  <c r="J1298" i="5"/>
  <c r="AC1297" i="5"/>
  <c r="Z1296" i="5"/>
  <c r="J1294" i="5"/>
  <c r="AC1293" i="5"/>
  <c r="Z1292" i="5"/>
  <c r="J1290" i="5"/>
  <c r="AC1289" i="5"/>
  <c r="Z1288" i="5"/>
  <c r="J1286" i="5"/>
  <c r="AC1285" i="5"/>
  <c r="Z1284" i="5"/>
  <c r="J1282" i="5"/>
  <c r="AH1280" i="5"/>
  <c r="J1280" i="5"/>
  <c r="AS1278" i="5"/>
  <c r="R1278" i="5"/>
  <c r="AS1277" i="5"/>
  <c r="AS1276" i="5"/>
  <c r="J1276" i="5"/>
  <c r="AL1274" i="5"/>
  <c r="J1273" i="5"/>
  <c r="AN1272" i="5"/>
  <c r="AR1272" i="5"/>
  <c r="Z1281" i="5"/>
  <c r="Z1278" i="5"/>
  <c r="AH1276" i="5"/>
  <c r="V1276" i="5"/>
  <c r="AH1275" i="5"/>
  <c r="J1275" i="5"/>
  <c r="AH1274" i="5"/>
  <c r="AR1270" i="5"/>
  <c r="J1269" i="5"/>
  <c r="AO1266" i="5"/>
  <c r="AH1266" i="5"/>
  <c r="AR1268" i="5"/>
  <c r="AR1264" i="5"/>
  <c r="AR1260" i="5"/>
  <c r="AR1256" i="5"/>
  <c r="AR1252" i="5"/>
  <c r="AL1250" i="5"/>
  <c r="AB1248" i="5"/>
  <c r="AR1248" i="5"/>
  <c r="J1248" i="5"/>
  <c r="AC1246" i="5"/>
  <c r="Z1245" i="5"/>
  <c r="AO1244" i="5"/>
  <c r="AC1244" i="5"/>
  <c r="AN1241" i="5"/>
  <c r="AB1241" i="5"/>
  <c r="Z1270" i="5"/>
  <c r="AS1269" i="5"/>
  <c r="J1268" i="5"/>
  <c r="Z1266" i="5"/>
  <c r="AS1265" i="5"/>
  <c r="J1264" i="5"/>
  <c r="AC1263" i="5"/>
  <c r="Z1262" i="5"/>
  <c r="AS1261" i="5"/>
  <c r="J1260" i="5"/>
  <c r="AC1259" i="5"/>
  <c r="Z1258" i="5"/>
  <c r="AS1257" i="5"/>
  <c r="J1256" i="5"/>
  <c r="AC1255" i="5"/>
  <c r="Z1254" i="5"/>
  <c r="AS1253" i="5"/>
  <c r="J1252" i="5"/>
  <c r="AC1251" i="5"/>
  <c r="AB1250" i="5"/>
  <c r="V1248" i="5"/>
  <c r="AN1246" i="5"/>
  <c r="AN1245" i="5"/>
  <c r="AN1244" i="5"/>
  <c r="Z1243" i="5"/>
  <c r="AR1243" i="5"/>
  <c r="AR1269" i="5"/>
  <c r="AB1267" i="5"/>
  <c r="AR1265" i="5"/>
  <c r="AB1263" i="5"/>
  <c r="AR1261" i="5"/>
  <c r="AB1259" i="5"/>
  <c r="AR1257" i="5"/>
  <c r="AB1255" i="5"/>
  <c r="AR1253" i="5"/>
  <c r="AB1251" i="5"/>
  <c r="AH1250" i="5"/>
  <c r="AH1247" i="5"/>
  <c r="J1247" i="5"/>
  <c r="AL1246" i="5"/>
  <c r="AH1239" i="5"/>
  <c r="AR1238" i="5"/>
  <c r="AC1272" i="5"/>
  <c r="AS1270" i="5"/>
  <c r="AC1268" i="5"/>
  <c r="AS1266" i="5"/>
  <c r="J1265" i="5"/>
  <c r="AC1264" i="5"/>
  <c r="Z1263" i="5"/>
  <c r="AS1262" i="5"/>
  <c r="AH1262" i="5"/>
  <c r="J1261" i="5"/>
  <c r="AC1260" i="5"/>
  <c r="Z1259" i="5"/>
  <c r="AS1258" i="5"/>
  <c r="AH1258" i="5"/>
  <c r="J1257" i="5"/>
  <c r="AC1256" i="5"/>
  <c r="Z1255" i="5"/>
  <c r="AS1254" i="5"/>
  <c r="AH1254" i="5"/>
  <c r="J1253" i="5"/>
  <c r="AC1252" i="5"/>
  <c r="Z1251" i="5"/>
  <c r="AS1250" i="5"/>
  <c r="J1250" i="5"/>
  <c r="AB1249" i="5"/>
  <c r="AR1246" i="5"/>
  <c r="AB1246" i="5"/>
  <c r="J1246" i="5"/>
  <c r="AB1244" i="5"/>
  <c r="AR1244" i="5"/>
  <c r="AT1244" i="5" s="1"/>
  <c r="AO1241" i="5"/>
  <c r="AH1241" i="5"/>
  <c r="AS1241" i="5"/>
  <c r="AB1237" i="5"/>
  <c r="V1246" i="5"/>
  <c r="AS1242" i="5"/>
  <c r="Z1242" i="5"/>
  <c r="J1242" i="5"/>
  <c r="J1237" i="5"/>
  <c r="AR1237" i="5"/>
  <c r="AH1234" i="5"/>
  <c r="AN1234" i="5"/>
  <c r="AR1242" i="5"/>
  <c r="AB1240" i="5"/>
  <c r="AR1240" i="5"/>
  <c r="Z1235" i="5"/>
  <c r="AB1235" i="5"/>
  <c r="AR1235" i="5"/>
  <c r="AO1250" i="5"/>
  <c r="AN1248" i="5"/>
  <c r="V1240" i="5"/>
  <c r="AP1223" i="5"/>
  <c r="Z1250" i="5"/>
  <c r="AR1245" i="5"/>
  <c r="AR1241" i="5"/>
  <c r="Z1239" i="5"/>
  <c r="AB1239" i="5"/>
  <c r="AR1239" i="5"/>
  <c r="Z1182" i="5"/>
  <c r="AS1182" i="5"/>
  <c r="AH1181" i="5"/>
  <c r="AS1181" i="5"/>
  <c r="AO1181" i="5"/>
  <c r="J1172" i="5"/>
  <c r="AS1172" i="5"/>
  <c r="AC1172" i="5"/>
  <c r="AH1169" i="5"/>
  <c r="AS1169" i="5"/>
  <c r="AO1169" i="5"/>
  <c r="J1156" i="5"/>
  <c r="AS1156" i="5"/>
  <c r="AC1156" i="5"/>
  <c r="AH1153" i="5"/>
  <c r="AS1153" i="5"/>
  <c r="AO1153" i="5"/>
  <c r="AR1231" i="5"/>
  <c r="AR1227" i="5"/>
  <c r="AR1223" i="5"/>
  <c r="AR1219" i="5"/>
  <c r="AR1215" i="5"/>
  <c r="AR1211" i="5"/>
  <c r="AR1207" i="5"/>
  <c r="AR1203" i="5"/>
  <c r="AR1199" i="5"/>
  <c r="AT1199" i="5" s="1"/>
  <c r="AR1195" i="5"/>
  <c r="AR1191" i="5"/>
  <c r="AL1189" i="5"/>
  <c r="Z1187" i="5"/>
  <c r="AN1184" i="5"/>
  <c r="AC1184" i="5"/>
  <c r="Z1170" i="5"/>
  <c r="AC1170" i="5"/>
  <c r="AS1170" i="5"/>
  <c r="Z1154" i="5"/>
  <c r="AC1154" i="5"/>
  <c r="AS1154" i="5"/>
  <c r="J1147" i="5"/>
  <c r="AN1147" i="5"/>
  <c r="AS1138" i="5"/>
  <c r="Z1138" i="5"/>
  <c r="AC1138" i="5"/>
  <c r="AS1236" i="5"/>
  <c r="AS1232" i="5"/>
  <c r="AN1230" i="5"/>
  <c r="AS1228" i="5"/>
  <c r="AN1226" i="5"/>
  <c r="AP1226" i="5" s="1"/>
  <c r="AS1224" i="5"/>
  <c r="AN1222" i="5"/>
  <c r="AS1220" i="5"/>
  <c r="AN1218" i="5"/>
  <c r="AP1218" i="5" s="1"/>
  <c r="AS1216" i="5"/>
  <c r="AN1214" i="5"/>
  <c r="AP1214" i="5" s="1"/>
  <c r="AS1212" i="5"/>
  <c r="AN1210" i="5"/>
  <c r="AS1208" i="5"/>
  <c r="AN1206" i="5"/>
  <c r="AP1206" i="5" s="1"/>
  <c r="AS1204" i="5"/>
  <c r="AN1202" i="5"/>
  <c r="AS1200" i="5"/>
  <c r="AN1198" i="5"/>
  <c r="AS1196" i="5"/>
  <c r="AN1194" i="5"/>
  <c r="AS1192" i="5"/>
  <c r="AN1190" i="5"/>
  <c r="AO1188" i="5"/>
  <c r="J1180" i="5"/>
  <c r="AS1180" i="5"/>
  <c r="AC1180" i="5"/>
  <c r="AO1172" i="5"/>
  <c r="J1168" i="5"/>
  <c r="AS1168" i="5"/>
  <c r="AC1168" i="5"/>
  <c r="AH1165" i="5"/>
  <c r="AS1165" i="5"/>
  <c r="AO1165" i="5"/>
  <c r="AO1156" i="5"/>
  <c r="AB1147" i="5"/>
  <c r="AR1134" i="5"/>
  <c r="AN1134" i="5"/>
  <c r="AB1242" i="5"/>
  <c r="AB1238" i="5"/>
  <c r="AR1236" i="5"/>
  <c r="AB1234" i="5"/>
  <c r="AR1232" i="5"/>
  <c r="AB1230" i="5"/>
  <c r="AR1228" i="5"/>
  <c r="AB1226" i="5"/>
  <c r="AR1224" i="5"/>
  <c r="AB1222" i="5"/>
  <c r="AD1222" i="5" s="1"/>
  <c r="AR1220" i="5"/>
  <c r="AB1218" i="5"/>
  <c r="AR1216" i="5"/>
  <c r="AB1214" i="5"/>
  <c r="AR1212" i="5"/>
  <c r="AB1210" i="5"/>
  <c r="AR1208" i="5"/>
  <c r="AB1206" i="5"/>
  <c r="AR1204" i="5"/>
  <c r="AB1202" i="5"/>
  <c r="AR1200" i="5"/>
  <c r="AB1198" i="5"/>
  <c r="AR1196" i="5"/>
  <c r="AB1194" i="5"/>
  <c r="AR1192" i="5"/>
  <c r="AB1190" i="5"/>
  <c r="AH1189" i="5"/>
  <c r="AC1188" i="5"/>
  <c r="AH1187" i="5"/>
  <c r="AR1187" i="5"/>
  <c r="J1187" i="5"/>
  <c r="Z1186" i="5"/>
  <c r="AS1185" i="5"/>
  <c r="AR1184" i="5"/>
  <c r="Z1184" i="5"/>
  <c r="AB1184" i="5"/>
  <c r="AL1182" i="5"/>
  <c r="Z1178" i="5"/>
  <c r="AC1178" i="5"/>
  <c r="AS1178" i="5"/>
  <c r="AH1177" i="5"/>
  <c r="AS1177" i="5"/>
  <c r="AO1177" i="5"/>
  <c r="V1172" i="5"/>
  <c r="Z1166" i="5"/>
  <c r="AC1166" i="5"/>
  <c r="AS1166" i="5"/>
  <c r="AL1158" i="5"/>
  <c r="V1156" i="5"/>
  <c r="J1240" i="5"/>
  <c r="Z1238" i="5"/>
  <c r="AS1237" i="5"/>
  <c r="AH1237" i="5"/>
  <c r="J1236" i="5"/>
  <c r="Z1234" i="5"/>
  <c r="AS1233" i="5"/>
  <c r="AH1233" i="5"/>
  <c r="J1232" i="5"/>
  <c r="Z1230" i="5"/>
  <c r="AS1229" i="5"/>
  <c r="AH1229" i="5"/>
  <c r="J1228" i="5"/>
  <c r="Z1226" i="5"/>
  <c r="AS1225" i="5"/>
  <c r="AH1225" i="5"/>
  <c r="J1224" i="5"/>
  <c r="Z1222" i="5"/>
  <c r="AS1221" i="5"/>
  <c r="AH1221" i="5"/>
  <c r="J1220" i="5"/>
  <c r="Z1218" i="5"/>
  <c r="AS1217" i="5"/>
  <c r="AH1217" i="5"/>
  <c r="J1216" i="5"/>
  <c r="Z1214" i="5"/>
  <c r="AS1213" i="5"/>
  <c r="AH1213" i="5"/>
  <c r="J1212" i="5"/>
  <c r="Z1210" i="5"/>
  <c r="AS1209" i="5"/>
  <c r="AH1209" i="5"/>
  <c r="J1208" i="5"/>
  <c r="Z1206" i="5"/>
  <c r="AS1205" i="5"/>
  <c r="AH1205" i="5"/>
  <c r="J1204" i="5"/>
  <c r="Z1202" i="5"/>
  <c r="AS1201" i="5"/>
  <c r="AH1201" i="5"/>
  <c r="J1200" i="5"/>
  <c r="Z1198" i="5"/>
  <c r="AS1197" i="5"/>
  <c r="AH1197" i="5"/>
  <c r="J1196" i="5"/>
  <c r="Z1194" i="5"/>
  <c r="AS1193" i="5"/>
  <c r="AH1193" i="5"/>
  <c r="J1192" i="5"/>
  <c r="Z1190" i="5"/>
  <c r="AS1189" i="5"/>
  <c r="AB1188" i="5"/>
  <c r="AO1180" i="5"/>
  <c r="J1164" i="5"/>
  <c r="AS1164" i="5"/>
  <c r="AC1164" i="5"/>
  <c r="AH1161" i="5"/>
  <c r="AS1161" i="5"/>
  <c r="AO1161" i="5"/>
  <c r="AR1139" i="5"/>
  <c r="AB1139" i="5"/>
  <c r="AN1137" i="5"/>
  <c r="AP1137" i="5" s="1"/>
  <c r="AR1137" i="5"/>
  <c r="AR1233" i="5"/>
  <c r="AB1231" i="5"/>
  <c r="AD1231" i="5" s="1"/>
  <c r="AR1229" i="5"/>
  <c r="AB1227" i="5"/>
  <c r="AR1225" i="5"/>
  <c r="AB1223" i="5"/>
  <c r="AR1221" i="5"/>
  <c r="AB1219" i="5"/>
  <c r="AR1217" i="5"/>
  <c r="AB1215" i="5"/>
  <c r="AR1213" i="5"/>
  <c r="AB1211" i="5"/>
  <c r="AD1211" i="5" s="1"/>
  <c r="AR1209" i="5"/>
  <c r="AB1207" i="5"/>
  <c r="AR1205" i="5"/>
  <c r="AB1203" i="5"/>
  <c r="AR1201" i="5"/>
  <c r="AB1199" i="5"/>
  <c r="AR1197" i="5"/>
  <c r="AB1195" i="5"/>
  <c r="AR1193" i="5"/>
  <c r="AB1191" i="5"/>
  <c r="J1176" i="5"/>
  <c r="AS1176" i="5"/>
  <c r="AC1176" i="5"/>
  <c r="AL1170" i="5"/>
  <c r="V1168" i="5"/>
  <c r="Z1162" i="5"/>
  <c r="AC1162" i="5"/>
  <c r="AS1162" i="5"/>
  <c r="AR1151" i="5"/>
  <c r="AB1151" i="5"/>
  <c r="AN1146" i="5"/>
  <c r="AR1146" i="5"/>
  <c r="AN1144" i="5"/>
  <c r="AH1144" i="5"/>
  <c r="AH1186" i="5"/>
  <c r="AC1185" i="5"/>
  <c r="Z1174" i="5"/>
  <c r="AC1174" i="5"/>
  <c r="AS1174" i="5"/>
  <c r="AH1173" i="5"/>
  <c r="AS1173" i="5"/>
  <c r="AO1173" i="5"/>
  <c r="AO1164" i="5"/>
  <c r="J1160" i="5"/>
  <c r="AS1160" i="5"/>
  <c r="AC1160" i="5"/>
  <c r="AH1157" i="5"/>
  <c r="AS1157" i="5"/>
  <c r="AO1157" i="5"/>
  <c r="AP1157" i="5" s="1"/>
  <c r="AS1188" i="5"/>
  <c r="AN1183" i="5"/>
  <c r="AC1182" i="5"/>
  <c r="AL1178" i="5"/>
  <c r="AL1166" i="5"/>
  <c r="V1164" i="5"/>
  <c r="Z1158" i="5"/>
  <c r="AC1158" i="5"/>
  <c r="AS1158" i="5"/>
  <c r="J1141" i="5"/>
  <c r="AC1141" i="5"/>
  <c r="AO1126" i="5"/>
  <c r="AH1126" i="5"/>
  <c r="AS1126" i="5"/>
  <c r="Z1119" i="5"/>
  <c r="AC1119" i="5"/>
  <c r="AS1119" i="5"/>
  <c r="Z1183" i="5"/>
  <c r="AH1182" i="5"/>
  <c r="J1181" i="5"/>
  <c r="AN1180" i="5"/>
  <c r="Z1179" i="5"/>
  <c r="AH1178" i="5"/>
  <c r="J1177" i="5"/>
  <c r="AN1176" i="5"/>
  <c r="Z1175" i="5"/>
  <c r="AH1174" i="5"/>
  <c r="J1173" i="5"/>
  <c r="AN1172" i="5"/>
  <c r="Z1171" i="5"/>
  <c r="AH1170" i="5"/>
  <c r="J1169" i="5"/>
  <c r="AN1168" i="5"/>
  <c r="Z1167" i="5"/>
  <c r="AH1166" i="5"/>
  <c r="J1165" i="5"/>
  <c r="AN1164" i="5"/>
  <c r="Z1163" i="5"/>
  <c r="AH1162" i="5"/>
  <c r="J1161" i="5"/>
  <c r="AN1160" i="5"/>
  <c r="Z1159" i="5"/>
  <c r="AH1158" i="5"/>
  <c r="J1157" i="5"/>
  <c r="AN1156" i="5"/>
  <c r="Z1155" i="5"/>
  <c r="AH1154" i="5"/>
  <c r="J1153" i="5"/>
  <c r="AN1152" i="5"/>
  <c r="AC1152" i="5"/>
  <c r="AL1149" i="5"/>
  <c r="AO1148" i="5"/>
  <c r="AR1145" i="5"/>
  <c r="AS1142" i="5"/>
  <c r="Z1142" i="5"/>
  <c r="AH1130" i="5"/>
  <c r="AR1182" i="5"/>
  <c r="AB1180" i="5"/>
  <c r="AR1178" i="5"/>
  <c r="AB1176" i="5"/>
  <c r="AR1174" i="5"/>
  <c r="AB1172" i="5"/>
  <c r="AR1170" i="5"/>
  <c r="AB1168" i="5"/>
  <c r="AR1166" i="5"/>
  <c r="AB1164" i="5"/>
  <c r="AR1162" i="5"/>
  <c r="AB1160" i="5"/>
  <c r="AR1158" i="5"/>
  <c r="AB1156" i="5"/>
  <c r="AR1154" i="5"/>
  <c r="AB1152" i="5"/>
  <c r="AS1151" i="5"/>
  <c r="AH1150" i="5"/>
  <c r="AO1150" i="5"/>
  <c r="AB1149" i="5"/>
  <c r="AO1145" i="5"/>
  <c r="AC1145" i="5"/>
  <c r="AC1140" i="5"/>
  <c r="J1140" i="5"/>
  <c r="AS1140" i="5"/>
  <c r="AH1137" i="5"/>
  <c r="AS1137" i="5"/>
  <c r="J1133" i="5"/>
  <c r="AR1130" i="5"/>
  <c r="AN1130" i="5"/>
  <c r="AC1181" i="5"/>
  <c r="Z1180" i="5"/>
  <c r="AC1177" i="5"/>
  <c r="Z1176" i="5"/>
  <c r="AC1173" i="5"/>
  <c r="Z1172" i="5"/>
  <c r="AC1169" i="5"/>
  <c r="Z1168" i="5"/>
  <c r="AC1165" i="5"/>
  <c r="Z1164" i="5"/>
  <c r="AC1161" i="5"/>
  <c r="AC1157" i="5"/>
  <c r="AC1153" i="5"/>
  <c r="Z1152" i="5"/>
  <c r="AS1146" i="5"/>
  <c r="Z1145" i="5"/>
  <c r="AH1141" i="5"/>
  <c r="AS1141" i="5"/>
  <c r="AR1133" i="5"/>
  <c r="J1129" i="5"/>
  <c r="AB1181" i="5"/>
  <c r="AB1177" i="5"/>
  <c r="AB1173" i="5"/>
  <c r="AB1169" i="5"/>
  <c r="AB1165" i="5"/>
  <c r="AB1161" i="5"/>
  <c r="AB1157" i="5"/>
  <c r="AB1153" i="5"/>
  <c r="AO1151" i="5"/>
  <c r="AC1150" i="5"/>
  <c r="J1149" i="5"/>
  <c r="J1148" i="5"/>
  <c r="J1144" i="5"/>
  <c r="AB1135" i="5"/>
  <c r="AR1135" i="5"/>
  <c r="AN1133" i="5"/>
  <c r="AR1129" i="5"/>
  <c r="AS1152" i="5"/>
  <c r="Z1147" i="5"/>
  <c r="AL1146" i="5"/>
  <c r="J1146" i="5"/>
  <c r="AR1144" i="5"/>
  <c r="AR1143" i="5"/>
  <c r="V1140" i="5"/>
  <c r="R1136" i="5"/>
  <c r="Z1131" i="5"/>
  <c r="Z1125" i="5"/>
  <c r="J1121" i="5"/>
  <c r="AR1116" i="5"/>
  <c r="AR1147" i="5"/>
  <c r="AH1142" i="5"/>
  <c r="AO1142" i="5"/>
  <c r="AH1138" i="5"/>
  <c r="AO1138" i="5"/>
  <c r="AP1138" i="5" s="1"/>
  <c r="AB1131" i="5"/>
  <c r="AR1131" i="5"/>
  <c r="AB1125" i="5"/>
  <c r="AR1125" i="5"/>
  <c r="AN1121" i="5"/>
  <c r="Z1151" i="5"/>
  <c r="V1147" i="5"/>
  <c r="AH1146" i="5"/>
  <c r="AO1146" i="5"/>
  <c r="AO1141" i="5"/>
  <c r="AP1141" i="5" s="1"/>
  <c r="R1140" i="5"/>
  <c r="Z1139" i="5"/>
  <c r="AC1139" i="5"/>
  <c r="J1137" i="5"/>
  <c r="AH1134" i="5"/>
  <c r="R1132" i="5"/>
  <c r="AH1127" i="5"/>
  <c r="AN1127" i="5"/>
  <c r="R1118" i="5"/>
  <c r="AB1141" i="5"/>
  <c r="AB1137" i="5"/>
  <c r="AO1134" i="5"/>
  <c r="AB1133" i="5"/>
  <c r="AO1130" i="5"/>
  <c r="AB1129" i="5"/>
  <c r="AH1125" i="5"/>
  <c r="V1125" i="5"/>
  <c r="Z1123" i="5"/>
  <c r="AS1121" i="5"/>
  <c r="AR1119" i="5"/>
  <c r="AB1119" i="5"/>
  <c r="J1119" i="5"/>
  <c r="AO1117" i="5"/>
  <c r="AC1117" i="5"/>
  <c r="AC1115" i="5"/>
  <c r="AC1107" i="5"/>
  <c r="AH1106" i="5"/>
  <c r="AO1106" i="5"/>
  <c r="AH1140" i="5"/>
  <c r="AS1136" i="5"/>
  <c r="AH1136" i="5"/>
  <c r="AC1134" i="5"/>
  <c r="AS1132" i="5"/>
  <c r="AH1132" i="5"/>
  <c r="AC1130" i="5"/>
  <c r="AH1128" i="5"/>
  <c r="AC1127" i="5"/>
  <c r="AH1124" i="5"/>
  <c r="J1124" i="5"/>
  <c r="AH1119" i="5"/>
  <c r="V1119" i="5"/>
  <c r="AB1116" i="5"/>
  <c r="AO1115" i="5"/>
  <c r="AN1112" i="5"/>
  <c r="AR1110" i="5"/>
  <c r="Z1110" i="5"/>
  <c r="AN1109" i="5"/>
  <c r="AH1109" i="5"/>
  <c r="AS1125" i="5"/>
  <c r="AR1123" i="5"/>
  <c r="AB1123" i="5"/>
  <c r="AO1121" i="5"/>
  <c r="AC1121" i="5"/>
  <c r="AH1118" i="5"/>
  <c r="J1118" i="5"/>
  <c r="AL1117" i="5"/>
  <c r="AS1115" i="5"/>
  <c r="J1115" i="5"/>
  <c r="AN1113" i="5"/>
  <c r="AH1113" i="5"/>
  <c r="Z1112" i="5"/>
  <c r="AB1112" i="5"/>
  <c r="AH1111" i="5"/>
  <c r="AN1111" i="5"/>
  <c r="J1110" i="5"/>
  <c r="AH1108" i="5"/>
  <c r="AO1108" i="5"/>
  <c r="J1106" i="5"/>
  <c r="J1098" i="5"/>
  <c r="AC1098" i="5"/>
  <c r="AO1098" i="5"/>
  <c r="AS1091" i="5"/>
  <c r="Z1091" i="5"/>
  <c r="AC1091" i="5"/>
  <c r="J1136" i="5"/>
  <c r="AC1135" i="5"/>
  <c r="Z1134" i="5"/>
  <c r="AS1133" i="5"/>
  <c r="AH1133" i="5"/>
  <c r="J1132" i="5"/>
  <c r="AC1131" i="5"/>
  <c r="Z1130" i="5"/>
  <c r="AS1129" i="5"/>
  <c r="AH1129" i="5"/>
  <c r="AL1127" i="5"/>
  <c r="V1123" i="5"/>
  <c r="AB1120" i="5"/>
  <c r="AB1117" i="5"/>
  <c r="AR1117" i="5"/>
  <c r="J1117" i="5"/>
  <c r="AL1115" i="5"/>
  <c r="AH1114" i="5"/>
  <c r="AC1109" i="5"/>
  <c r="AS1109" i="5"/>
  <c r="AS1099" i="5"/>
  <c r="Z1099" i="5"/>
  <c r="AC1099" i="5"/>
  <c r="AD1099" i="5" s="1"/>
  <c r="AH1094" i="5"/>
  <c r="AS1094" i="5"/>
  <c r="AT1094" i="5" s="1"/>
  <c r="AO1094" i="5"/>
  <c r="AP1094" i="5" s="1"/>
  <c r="AH1081" i="5"/>
  <c r="AN1081" i="5"/>
  <c r="AR1081" i="5"/>
  <c r="AR1127" i="5"/>
  <c r="AB1127" i="5"/>
  <c r="AC1111" i="5"/>
  <c r="AS1105" i="5"/>
  <c r="AC1105" i="5"/>
  <c r="J1095" i="5"/>
  <c r="Z1082" i="5"/>
  <c r="AC1082" i="5"/>
  <c r="AS1082" i="5"/>
  <c r="V1127" i="5"/>
  <c r="AB1121" i="5"/>
  <c r="AR1121" i="5"/>
  <c r="AH1116" i="5"/>
  <c r="AS1114" i="5"/>
  <c r="AC1113" i="5"/>
  <c r="AS1113" i="5"/>
  <c r="AH1112" i="5"/>
  <c r="AS1111" i="5"/>
  <c r="AS1108" i="5"/>
  <c r="AO1107" i="5"/>
  <c r="AH1107" i="5"/>
  <c r="V1106" i="5"/>
  <c r="AR1105" i="5"/>
  <c r="AL1125" i="5"/>
  <c r="V1121" i="5"/>
  <c r="AR1114" i="5"/>
  <c r="AO1111" i="5"/>
  <c r="AR1111" i="5"/>
  <c r="AL1109" i="5"/>
  <c r="J1108" i="5"/>
  <c r="Z1096" i="5"/>
  <c r="AC1096" i="5"/>
  <c r="J1093" i="5"/>
  <c r="AO1092" i="5"/>
  <c r="AP1092" i="5" s="1"/>
  <c r="AH1092" i="5"/>
  <c r="J1091" i="5"/>
  <c r="AH1090" i="5"/>
  <c r="AS1090" i="5"/>
  <c r="AC1089" i="5"/>
  <c r="AS1089" i="5"/>
  <c r="Z1089" i="5"/>
  <c r="J1081" i="5"/>
  <c r="AS1081" i="5"/>
  <c r="AC1081" i="5"/>
  <c r="AO1081" i="5"/>
  <c r="AC1040" i="5"/>
  <c r="AD1040" i="5" s="1"/>
  <c r="AS1040" i="5"/>
  <c r="Z1040" i="5"/>
  <c r="AN1104" i="5"/>
  <c r="AC1104" i="5"/>
  <c r="AH1098" i="5"/>
  <c r="AS1098" i="5"/>
  <c r="AC1093" i="5"/>
  <c r="AS1093" i="5"/>
  <c r="Z1093" i="5"/>
  <c r="AO1091" i="5"/>
  <c r="Z1088" i="5"/>
  <c r="AC1088" i="5"/>
  <c r="AS1088" i="5"/>
  <c r="AH1085" i="5"/>
  <c r="AO1085" i="5"/>
  <c r="AC1044" i="5"/>
  <c r="AS1044" i="5"/>
  <c r="Z1044" i="5"/>
  <c r="AB1115" i="5"/>
  <c r="AR1113" i="5"/>
  <c r="AB1111" i="5"/>
  <c r="AR1109" i="5"/>
  <c r="AC1106" i="5"/>
  <c r="AH1105" i="5"/>
  <c r="J1105" i="5"/>
  <c r="AS1103" i="5"/>
  <c r="R1103" i="5"/>
  <c r="AS1102" i="5"/>
  <c r="AH1102" i="5"/>
  <c r="J1102" i="5"/>
  <c r="AS1101" i="5"/>
  <c r="J1101" i="5"/>
  <c r="AL1099" i="5"/>
  <c r="AH1095" i="5"/>
  <c r="AL1091" i="5"/>
  <c r="V1089" i="5"/>
  <c r="AH1079" i="5"/>
  <c r="AN1079" i="5"/>
  <c r="Z1078" i="5"/>
  <c r="AB1078" i="5"/>
  <c r="AR1078" i="5"/>
  <c r="AC1048" i="5"/>
  <c r="AS1048" i="5"/>
  <c r="Z1048" i="5"/>
  <c r="AR1098" i="5"/>
  <c r="J1097" i="5"/>
  <c r="Z1092" i="5"/>
  <c r="AC1092" i="5"/>
  <c r="AS1092" i="5"/>
  <c r="J1079" i="5"/>
  <c r="AR1077" i="5"/>
  <c r="J1077" i="5"/>
  <c r="AN1077" i="5"/>
  <c r="AH1101" i="5"/>
  <c r="V1101" i="5"/>
  <c r="AH1100" i="5"/>
  <c r="AH1099" i="5"/>
  <c r="AC1097" i="5"/>
  <c r="AS1097" i="5"/>
  <c r="AH1096" i="5"/>
  <c r="J1090" i="5"/>
  <c r="AC1090" i="5"/>
  <c r="AS1087" i="5"/>
  <c r="AO1105" i="5"/>
  <c r="AO1103" i="5"/>
  <c r="AC1103" i="5"/>
  <c r="AN1098" i="5"/>
  <c r="AB1098" i="5"/>
  <c r="AS1095" i="5"/>
  <c r="Z1095" i="5"/>
  <c r="AC1095" i="5"/>
  <c r="J1094" i="5"/>
  <c r="J1083" i="5"/>
  <c r="AO1083" i="5"/>
  <c r="AN1060" i="5"/>
  <c r="AR1060" i="5"/>
  <c r="AS1106" i="5"/>
  <c r="AL1103" i="5"/>
  <c r="AS1100" i="5"/>
  <c r="V1097" i="5"/>
  <c r="AS1096" i="5"/>
  <c r="AO1088" i="5"/>
  <c r="AP1088" i="5" s="1"/>
  <c r="AH1088" i="5"/>
  <c r="AO1087" i="5"/>
  <c r="AS1085" i="5"/>
  <c r="AS1071" i="5"/>
  <c r="Z1071" i="5"/>
  <c r="AC1071" i="5"/>
  <c r="AO1079" i="5"/>
  <c r="AH1078" i="5"/>
  <c r="AO1077" i="5"/>
  <c r="AS1076" i="5"/>
  <c r="AH1076" i="5"/>
  <c r="AN1075" i="5"/>
  <c r="AC1075" i="5"/>
  <c r="AS1074" i="5"/>
  <c r="Z1073" i="5"/>
  <c r="AR1072" i="5"/>
  <c r="AR1071" i="5"/>
  <c r="AH1070" i="5"/>
  <c r="AO1070" i="5"/>
  <c r="AO1069" i="5"/>
  <c r="AR1063" i="5"/>
  <c r="AO1067" i="5"/>
  <c r="AH1067" i="5"/>
  <c r="AH1066" i="5"/>
  <c r="AO1066" i="5"/>
  <c r="AB1051" i="5"/>
  <c r="AR1051" i="5"/>
  <c r="AC1036" i="5"/>
  <c r="AS1036" i="5"/>
  <c r="Z1036" i="5"/>
  <c r="AC1087" i="5"/>
  <c r="AH1086" i="5"/>
  <c r="AC1085" i="5"/>
  <c r="AS1084" i="5"/>
  <c r="AC1083" i="5"/>
  <c r="AR1080" i="5"/>
  <c r="AB1079" i="5"/>
  <c r="AC1074" i="5"/>
  <c r="Z1059" i="5"/>
  <c r="AC1059" i="5"/>
  <c r="AS1059" i="5"/>
  <c r="J1086" i="5"/>
  <c r="AB1083" i="5"/>
  <c r="AB1077" i="5"/>
  <c r="AS1070" i="5"/>
  <c r="Z1070" i="5"/>
  <c r="AC1070" i="5"/>
  <c r="AH1064" i="5"/>
  <c r="AO1064" i="5"/>
  <c r="R1061" i="5"/>
  <c r="Z1087" i="5"/>
  <c r="AR1086" i="5"/>
  <c r="AL1085" i="5"/>
  <c r="AB1081" i="5"/>
  <c r="AR1075" i="5"/>
  <c r="AB1072" i="5"/>
  <c r="AR1070" i="5"/>
  <c r="AH1068" i="5"/>
  <c r="V1060" i="5"/>
  <c r="AB1085" i="5"/>
  <c r="AR1079" i="5"/>
  <c r="AN1071" i="5"/>
  <c r="AP1071" i="5" s="1"/>
  <c r="AB1071" i="5"/>
  <c r="J1065" i="5"/>
  <c r="AO1065" i="5"/>
  <c r="AP1065" i="5" s="1"/>
  <c r="AN1063" i="5"/>
  <c r="AH1063" i="5"/>
  <c r="J1062" i="5"/>
  <c r="AO1062" i="5"/>
  <c r="V1079" i="5"/>
  <c r="AL1070" i="5"/>
  <c r="AC1064" i="5"/>
  <c r="Z1064" i="5"/>
  <c r="AH1060" i="5"/>
  <c r="AB1067" i="5"/>
  <c r="AR1066" i="5"/>
  <c r="Z1065" i="5"/>
  <c r="Z1063" i="5"/>
  <c r="R1060" i="5"/>
  <c r="AO1058" i="5"/>
  <c r="Z1058" i="5"/>
  <c r="AO1057" i="5"/>
  <c r="AP1057" i="5" s="1"/>
  <c r="AH1054" i="5"/>
  <c r="AO1052" i="5"/>
  <c r="AC1052" i="5"/>
  <c r="AS1052" i="5"/>
  <c r="J1052" i="5"/>
  <c r="J1051" i="5"/>
  <c r="AR1050" i="5"/>
  <c r="AN1050" i="5"/>
  <c r="AH1043" i="5"/>
  <c r="AH1039" i="5"/>
  <c r="AC1062" i="5"/>
  <c r="AC1056" i="5"/>
  <c r="AS1056" i="5"/>
  <c r="AR1054" i="5"/>
  <c r="AN1054" i="5"/>
  <c r="AO1046" i="5"/>
  <c r="AC1066" i="5"/>
  <c r="AS1063" i="5"/>
  <c r="AS1047" i="5"/>
  <c r="AS1043" i="5"/>
  <c r="AS1039" i="5"/>
  <c r="AS1067" i="5"/>
  <c r="AT1067" i="5" s="1"/>
  <c r="AB1066" i="5"/>
  <c r="AS1065" i="5"/>
  <c r="AT1065" i="5" s="1"/>
  <c r="J1063" i="5"/>
  <c r="AR1061" i="5"/>
  <c r="J1061" i="5"/>
  <c r="AC1060" i="5"/>
  <c r="J1058" i="5"/>
  <c r="Z1057" i="5"/>
  <c r="V1056" i="5"/>
  <c r="AH1052" i="5"/>
  <c r="AS1051" i="5"/>
  <c r="AS1050" i="5"/>
  <c r="AC1050" i="5"/>
  <c r="J1050" i="5"/>
  <c r="J1049" i="5"/>
  <c r="AN1048" i="5"/>
  <c r="AR1048" i="5"/>
  <c r="AN1045" i="5"/>
  <c r="AB1045" i="5"/>
  <c r="AN1041" i="5"/>
  <c r="AB1041" i="5"/>
  <c r="AH1035" i="5"/>
  <c r="AS1035" i="5"/>
  <c r="AO1035" i="5"/>
  <c r="AS1062" i="5"/>
  <c r="AS1054" i="5"/>
  <c r="AC1054" i="5"/>
  <c r="AN1052" i="5"/>
  <c r="AR1052" i="5"/>
  <c r="J1034" i="5"/>
  <c r="AC1034" i="5"/>
  <c r="J1069" i="5"/>
  <c r="AC1068" i="5"/>
  <c r="AS1066" i="5"/>
  <c r="AO1063" i="5"/>
  <c r="AN1059" i="5"/>
  <c r="J1057" i="5"/>
  <c r="AN1056" i="5"/>
  <c r="AR1056" i="5"/>
  <c r="R1056" i="5"/>
  <c r="AR1055" i="5"/>
  <c r="AH1053" i="5"/>
  <c r="AL1050" i="5"/>
  <c r="V1050" i="5"/>
  <c r="AR1046" i="5"/>
  <c r="AN1046" i="5"/>
  <c r="AR1045" i="5"/>
  <c r="J1045" i="5"/>
  <c r="AR1042" i="5"/>
  <c r="AN1042" i="5"/>
  <c r="AR1041" i="5"/>
  <c r="J1041" i="5"/>
  <c r="AR1038" i="5"/>
  <c r="AN1038" i="5"/>
  <c r="AR1037" i="5"/>
  <c r="J1037" i="5"/>
  <c r="AH1062" i="5"/>
  <c r="AL1054" i="5"/>
  <c r="V1054" i="5"/>
  <c r="Z1051" i="5"/>
  <c r="AC1046" i="5"/>
  <c r="AC1042" i="5"/>
  <c r="AC1038" i="5"/>
  <c r="J1035" i="5"/>
  <c r="AN1034" i="5"/>
  <c r="AR1044" i="5"/>
  <c r="AR1040" i="5"/>
  <c r="AR1036" i="5"/>
  <c r="AB1034" i="5"/>
  <c r="AC1035" i="5"/>
  <c r="AR1033" i="5"/>
  <c r="AS1034" i="5"/>
  <c r="Z1011" i="5"/>
  <c r="Z1000" i="5"/>
  <c r="AB1000" i="5"/>
  <c r="AH999" i="5"/>
  <c r="AN999" i="5"/>
  <c r="AH996" i="5"/>
  <c r="AS996" i="5"/>
  <c r="AO996" i="5"/>
  <c r="Z993" i="5"/>
  <c r="AC993" i="5"/>
  <c r="AS993" i="5"/>
  <c r="Z985" i="5"/>
  <c r="AC985" i="5"/>
  <c r="AS985" i="5"/>
  <c r="Z1032" i="5"/>
  <c r="AS1031" i="5"/>
  <c r="AH1031" i="5"/>
  <c r="J1030" i="5"/>
  <c r="AN1029" i="5"/>
  <c r="AC1029" i="5"/>
  <c r="Z1028" i="5"/>
  <c r="AS1027" i="5"/>
  <c r="AH1027" i="5"/>
  <c r="J1026" i="5"/>
  <c r="AC1025" i="5"/>
  <c r="Z1024" i="5"/>
  <c r="AS1023" i="5"/>
  <c r="AH1023" i="5"/>
  <c r="J1022" i="5"/>
  <c r="AC1021" i="5"/>
  <c r="Z1020" i="5"/>
  <c r="AS1019" i="5"/>
  <c r="AH1019" i="5"/>
  <c r="J1018" i="5"/>
  <c r="AC1017" i="5"/>
  <c r="AD1017" i="5" s="1"/>
  <c r="Z1016" i="5"/>
  <c r="AS1015" i="5"/>
  <c r="AH1015" i="5"/>
  <c r="AB1013" i="5"/>
  <c r="AO1012" i="5"/>
  <c r="AB1010" i="5"/>
  <c r="AH1009" i="5"/>
  <c r="AN1008" i="5"/>
  <c r="AS1003" i="5"/>
  <c r="AC1003" i="5"/>
  <c r="J999" i="5"/>
  <c r="AS999" i="5"/>
  <c r="AC999" i="5"/>
  <c r="AL989" i="5"/>
  <c r="V987" i="5"/>
  <c r="AH988" i="5"/>
  <c r="AS988" i="5"/>
  <c r="AO988" i="5"/>
  <c r="AS1028" i="5"/>
  <c r="AH1028" i="5"/>
  <c r="AC1026" i="5"/>
  <c r="Z1025" i="5"/>
  <c r="AS1024" i="5"/>
  <c r="AH1024" i="5"/>
  <c r="AC1022" i="5"/>
  <c r="Z1021" i="5"/>
  <c r="AS1020" i="5"/>
  <c r="AH1020" i="5"/>
  <c r="AC1018" i="5"/>
  <c r="Z1017" i="5"/>
  <c r="AS1016" i="5"/>
  <c r="AH1016" i="5"/>
  <c r="AS1013" i="5"/>
  <c r="J1013" i="5"/>
  <c r="AR1009" i="5"/>
  <c r="Z1008" i="5"/>
  <c r="AO1003" i="5"/>
  <c r="AB1002" i="5"/>
  <c r="AR999" i="5"/>
  <c r="Z997" i="5"/>
  <c r="AC997" i="5"/>
  <c r="AS997" i="5"/>
  <c r="AO1026" i="5"/>
  <c r="AO1022" i="5"/>
  <c r="J991" i="5"/>
  <c r="AS991" i="5"/>
  <c r="AC991" i="5"/>
  <c r="AS1032" i="5"/>
  <c r="AC1030" i="5"/>
  <c r="Z1029" i="5"/>
  <c r="AB1030" i="5"/>
  <c r="AR1013" i="5"/>
  <c r="AN1007" i="5"/>
  <c r="J1006" i="5"/>
  <c r="AC1005" i="5"/>
  <c r="AS1005" i="5"/>
  <c r="AO999" i="5"/>
  <c r="V999" i="5"/>
  <c r="AL993" i="5"/>
  <c r="AO991" i="5"/>
  <c r="AL985" i="5"/>
  <c r="V983" i="5"/>
  <c r="AC1031" i="5"/>
  <c r="AC1027" i="5"/>
  <c r="AS1025" i="5"/>
  <c r="AC1023" i="5"/>
  <c r="AS1021" i="5"/>
  <c r="AC1019" i="5"/>
  <c r="AD1019" i="5" s="1"/>
  <c r="AS1017" i="5"/>
  <c r="AC1015" i="5"/>
  <c r="AO1009" i="5"/>
  <c r="J1002" i="5"/>
  <c r="AC1001" i="5"/>
  <c r="AS1001" i="5"/>
  <c r="J995" i="5"/>
  <c r="AS995" i="5"/>
  <c r="AC995" i="5"/>
  <c r="AH992" i="5"/>
  <c r="AS992" i="5"/>
  <c r="AO992" i="5"/>
  <c r="Z989" i="5"/>
  <c r="AC989" i="5"/>
  <c r="AS989" i="5"/>
  <c r="AH984" i="5"/>
  <c r="AS984" i="5"/>
  <c r="AO984" i="5"/>
  <c r="AO1030" i="5"/>
  <c r="AP1030" i="5" s="1"/>
  <c r="AO1018" i="5"/>
  <c r="AS1029" i="5"/>
  <c r="AH1014" i="5"/>
  <c r="AC1013" i="5"/>
  <c r="AS1012" i="5"/>
  <c r="J1010" i="5"/>
  <c r="AR1007" i="5"/>
  <c r="AB1007" i="5"/>
  <c r="AS1004" i="5"/>
  <c r="J987" i="5"/>
  <c r="AS987" i="5"/>
  <c r="AC987" i="5"/>
  <c r="AS1030" i="5"/>
  <c r="AS1026" i="5"/>
  <c r="AT1026" i="5" s="1"/>
  <c r="AS1022" i="5"/>
  <c r="AS1018" i="5"/>
  <c r="AB1011" i="5"/>
  <c r="AL1009" i="5"/>
  <c r="V1007" i="5"/>
  <c r="AL1005" i="5"/>
  <c r="Z1004" i="5"/>
  <c r="AB1004" i="5"/>
  <c r="AH1003" i="5"/>
  <c r="AN1003" i="5"/>
  <c r="AS1000" i="5"/>
  <c r="AL997" i="5"/>
  <c r="AO995" i="5"/>
  <c r="AH1005" i="5"/>
  <c r="Z1002" i="5"/>
  <c r="AH1001" i="5"/>
  <c r="Z998" i="5"/>
  <c r="AH997" i="5"/>
  <c r="AN995" i="5"/>
  <c r="Z994" i="5"/>
  <c r="AH993" i="5"/>
  <c r="AN991" i="5"/>
  <c r="Z990" i="5"/>
  <c r="AH989" i="5"/>
  <c r="AN987" i="5"/>
  <c r="Z986" i="5"/>
  <c r="AH985" i="5"/>
  <c r="AN983" i="5"/>
  <c r="AP983" i="5" s="1"/>
  <c r="AC983" i="5"/>
  <c r="AS981" i="5"/>
  <c r="AN979" i="5"/>
  <c r="AC979" i="5"/>
  <c r="AS977" i="5"/>
  <c r="AN975" i="5"/>
  <c r="AC975" i="5"/>
  <c r="AS973" i="5"/>
  <c r="AN971" i="5"/>
  <c r="AC971" i="5"/>
  <c r="AS969" i="5"/>
  <c r="AN967" i="5"/>
  <c r="AC967" i="5"/>
  <c r="AS965" i="5"/>
  <c r="AN963" i="5"/>
  <c r="AC963" i="5"/>
  <c r="AS961" i="5"/>
  <c r="AN959" i="5"/>
  <c r="AC959" i="5"/>
  <c r="AS957" i="5"/>
  <c r="AN955" i="5"/>
  <c r="AC955" i="5"/>
  <c r="AS953" i="5"/>
  <c r="AC951" i="5"/>
  <c r="AS949" i="5"/>
  <c r="AC947" i="5"/>
  <c r="AC942" i="5"/>
  <c r="AO937" i="5"/>
  <c r="AH937" i="5"/>
  <c r="AC936" i="5"/>
  <c r="J936" i="5"/>
  <c r="AL933" i="5"/>
  <c r="AC928" i="5"/>
  <c r="J928" i="5"/>
  <c r="AR1005" i="5"/>
  <c r="AB1003" i="5"/>
  <c r="AR1001" i="5"/>
  <c r="AB999" i="5"/>
  <c r="AR997" i="5"/>
  <c r="AB995" i="5"/>
  <c r="AR993" i="5"/>
  <c r="AB991" i="5"/>
  <c r="AR989" i="5"/>
  <c r="AB987" i="5"/>
  <c r="AR985" i="5"/>
  <c r="AB983" i="5"/>
  <c r="AR981" i="5"/>
  <c r="AO980" i="5"/>
  <c r="AB979" i="5"/>
  <c r="AR977" i="5"/>
  <c r="AO976" i="5"/>
  <c r="AB975" i="5"/>
  <c r="AR973" i="5"/>
  <c r="AO972" i="5"/>
  <c r="AB971" i="5"/>
  <c r="AR969" i="5"/>
  <c r="AO968" i="5"/>
  <c r="AB967" i="5"/>
  <c r="AR965" i="5"/>
  <c r="AO964" i="5"/>
  <c r="AB963" i="5"/>
  <c r="AR961" i="5"/>
  <c r="AO960" i="5"/>
  <c r="AB959" i="5"/>
  <c r="AR957" i="5"/>
  <c r="AO956" i="5"/>
  <c r="AB955" i="5"/>
  <c r="AR953" i="5"/>
  <c r="AO952" i="5"/>
  <c r="AP952" i="5" s="1"/>
  <c r="AB951" i="5"/>
  <c r="AR949" i="5"/>
  <c r="AO948" i="5"/>
  <c r="AB947" i="5"/>
  <c r="AO945" i="5"/>
  <c r="AS944" i="5"/>
  <c r="AH944" i="5"/>
  <c r="J944" i="5"/>
  <c r="AN943" i="5"/>
  <c r="AR943" i="5"/>
  <c r="R943" i="5"/>
  <c r="AN942" i="5"/>
  <c r="AB942" i="5"/>
  <c r="AS940" i="5"/>
  <c r="AS939" i="5"/>
  <c r="AC935" i="5"/>
  <c r="J935" i="5"/>
  <c r="Z1003" i="5"/>
  <c r="Z999" i="5"/>
  <c r="Z987" i="5"/>
  <c r="Z983" i="5"/>
  <c r="Z979" i="5"/>
  <c r="Z975" i="5"/>
  <c r="Z971" i="5"/>
  <c r="Z967" i="5"/>
  <c r="Z947" i="5"/>
  <c r="AS946" i="5"/>
  <c r="AO941" i="5"/>
  <c r="AH941" i="5"/>
  <c r="AS938" i="5"/>
  <c r="Z938" i="5"/>
  <c r="AC938" i="5"/>
  <c r="AS937" i="5"/>
  <c r="Z937" i="5"/>
  <c r="AC937" i="5"/>
  <c r="AO935" i="5"/>
  <c r="AO933" i="5"/>
  <c r="AH933" i="5"/>
  <c r="AC932" i="5"/>
  <c r="J932" i="5"/>
  <c r="AO929" i="5"/>
  <c r="AH929" i="5"/>
  <c r="AS926" i="5"/>
  <c r="Z926" i="5"/>
  <c r="AC926" i="5"/>
  <c r="AS925" i="5"/>
  <c r="AB996" i="5"/>
  <c r="AB992" i="5"/>
  <c r="AB988" i="5"/>
  <c r="AD988" i="5" s="1"/>
  <c r="AB984" i="5"/>
  <c r="AB980" i="5"/>
  <c r="AB976" i="5"/>
  <c r="AB972" i="5"/>
  <c r="AB968" i="5"/>
  <c r="AB964" i="5"/>
  <c r="AB960" i="5"/>
  <c r="AB956" i="5"/>
  <c r="AB952" i="5"/>
  <c r="AR946" i="5"/>
  <c r="J946" i="5"/>
  <c r="AR942" i="5"/>
  <c r="J942" i="5"/>
  <c r="Z940" i="5"/>
  <c r="V939" i="5"/>
  <c r="AS935" i="5"/>
  <c r="AS983" i="5"/>
  <c r="AC981" i="5"/>
  <c r="AS979" i="5"/>
  <c r="AC977" i="5"/>
  <c r="AS975" i="5"/>
  <c r="AC973" i="5"/>
  <c r="AS971" i="5"/>
  <c r="AC969" i="5"/>
  <c r="AS967" i="5"/>
  <c r="AC965" i="5"/>
  <c r="AS963" i="5"/>
  <c r="AC961" i="5"/>
  <c r="AS959" i="5"/>
  <c r="AC957" i="5"/>
  <c r="AS955" i="5"/>
  <c r="AC953" i="5"/>
  <c r="AS951" i="5"/>
  <c r="AC949" i="5"/>
  <c r="AS947" i="5"/>
  <c r="AC943" i="5"/>
  <c r="AH936" i="5"/>
  <c r="AS936" i="5"/>
  <c r="AS934" i="5"/>
  <c r="Z934" i="5"/>
  <c r="AC934" i="5"/>
  <c r="AS933" i="5"/>
  <c r="Z933" i="5"/>
  <c r="AC933" i="5"/>
  <c r="AS929" i="5"/>
  <c r="AN946" i="5"/>
  <c r="AC944" i="5"/>
  <c r="AS943" i="5"/>
  <c r="AS941" i="5"/>
  <c r="AC941" i="5"/>
  <c r="AC940" i="5"/>
  <c r="J940" i="5"/>
  <c r="V935" i="5"/>
  <c r="AS930" i="5"/>
  <c r="Z930" i="5"/>
  <c r="AC930" i="5"/>
  <c r="AS980" i="5"/>
  <c r="AS976" i="5"/>
  <c r="AS972" i="5"/>
  <c r="AS968" i="5"/>
  <c r="AS964" i="5"/>
  <c r="AS960" i="5"/>
  <c r="AS956" i="5"/>
  <c r="AS952" i="5"/>
  <c r="AS948" i="5"/>
  <c r="AL937" i="5"/>
  <c r="AH932" i="5"/>
  <c r="AS932" i="5"/>
  <c r="AC924" i="5"/>
  <c r="J924" i="5"/>
  <c r="AC939" i="5"/>
  <c r="J939" i="5"/>
  <c r="AO925" i="5"/>
  <c r="AH925" i="5"/>
  <c r="AS931" i="5"/>
  <c r="AC929" i="5"/>
  <c r="AS927" i="5"/>
  <c r="AC925" i="5"/>
  <c r="AD925" i="5" s="1"/>
  <c r="AS923" i="5"/>
  <c r="AC921" i="5"/>
  <c r="AS919" i="5"/>
  <c r="AC917" i="5"/>
  <c r="AS915" i="5"/>
  <c r="AC913" i="5"/>
  <c r="AS911" i="5"/>
  <c r="AC909" i="5"/>
  <c r="AS907" i="5"/>
  <c r="AC905" i="5"/>
  <c r="AS903" i="5"/>
  <c r="AC901" i="5"/>
  <c r="AS899" i="5"/>
  <c r="AC897" i="5"/>
  <c r="AD897" i="5" s="1"/>
  <c r="AS895" i="5"/>
  <c r="AC893" i="5"/>
  <c r="AS891" i="5"/>
  <c r="AO890" i="5"/>
  <c r="AC890" i="5"/>
  <c r="AO888" i="5"/>
  <c r="AB888" i="5"/>
  <c r="AS887" i="5"/>
  <c r="AH887" i="5"/>
  <c r="Z884" i="5"/>
  <c r="AR883" i="5"/>
  <c r="J883" i="5"/>
  <c r="J881" i="5"/>
  <c r="AC880" i="5"/>
  <c r="AO879" i="5"/>
  <c r="AC875" i="5"/>
  <c r="AS873" i="5"/>
  <c r="Z873" i="5"/>
  <c r="AC873" i="5"/>
  <c r="V867" i="5"/>
  <c r="AL857" i="5"/>
  <c r="AO856" i="5"/>
  <c r="AH856" i="5"/>
  <c r="AS856" i="5"/>
  <c r="AN846" i="5"/>
  <c r="AH816" i="5"/>
  <c r="AO816" i="5"/>
  <c r="AS816" i="5"/>
  <c r="AR811" i="5"/>
  <c r="Z811" i="5"/>
  <c r="AB811" i="5"/>
  <c r="AR939" i="5"/>
  <c r="AR935" i="5"/>
  <c r="AR931" i="5"/>
  <c r="AR927" i="5"/>
  <c r="AR923" i="5"/>
  <c r="AR919" i="5"/>
  <c r="AR915" i="5"/>
  <c r="AR911" i="5"/>
  <c r="AR907" i="5"/>
  <c r="AR903" i="5"/>
  <c r="AR899" i="5"/>
  <c r="AR895" i="5"/>
  <c r="AR891" i="5"/>
  <c r="AS882" i="5"/>
  <c r="AO881" i="5"/>
  <c r="AC879" i="5"/>
  <c r="Z879" i="5"/>
  <c r="AB878" i="5"/>
  <c r="J878" i="5"/>
  <c r="V871" i="5"/>
  <c r="AO860" i="5"/>
  <c r="AH860" i="5"/>
  <c r="AS860" i="5"/>
  <c r="J851" i="5"/>
  <c r="AS851" i="5"/>
  <c r="Z929" i="5"/>
  <c r="AS928" i="5"/>
  <c r="Z925" i="5"/>
  <c r="AS924" i="5"/>
  <c r="AC922" i="5"/>
  <c r="Z921" i="5"/>
  <c r="AS920" i="5"/>
  <c r="AC918" i="5"/>
  <c r="Z917" i="5"/>
  <c r="AS916" i="5"/>
  <c r="AT916" i="5" s="1"/>
  <c r="AC914" i="5"/>
  <c r="Z913" i="5"/>
  <c r="AS912" i="5"/>
  <c r="AC910" i="5"/>
  <c r="Z909" i="5"/>
  <c r="AS908" i="5"/>
  <c r="AC906" i="5"/>
  <c r="Z905" i="5"/>
  <c r="AS904" i="5"/>
  <c r="AC902" i="5"/>
  <c r="Z901" i="5"/>
  <c r="AS900" i="5"/>
  <c r="AC898" i="5"/>
  <c r="Z897" i="5"/>
  <c r="AS896" i="5"/>
  <c r="AT896" i="5" s="1"/>
  <c r="AC894" i="5"/>
  <c r="Z893" i="5"/>
  <c r="AS892" i="5"/>
  <c r="AR889" i="5"/>
  <c r="J889" i="5"/>
  <c r="AC888" i="5"/>
  <c r="AS886" i="5"/>
  <c r="AO885" i="5"/>
  <c r="AC881" i="5"/>
  <c r="AH880" i="5"/>
  <c r="V875" i="5"/>
  <c r="AO864" i="5"/>
  <c r="AH864" i="5"/>
  <c r="AS864" i="5"/>
  <c r="J855" i="5"/>
  <c r="AS855" i="5"/>
  <c r="AS849" i="5"/>
  <c r="Z849" i="5"/>
  <c r="AC849" i="5"/>
  <c r="AN844" i="5"/>
  <c r="AS890" i="5"/>
  <c r="AC885" i="5"/>
  <c r="AH884" i="5"/>
  <c r="AC883" i="5"/>
  <c r="J882" i="5"/>
  <c r="AO868" i="5"/>
  <c r="AH868" i="5"/>
  <c r="AS868" i="5"/>
  <c r="J859" i="5"/>
  <c r="AS859" i="5"/>
  <c r="AC855" i="5"/>
  <c r="AS853" i="5"/>
  <c r="Z853" i="5"/>
  <c r="AC853" i="5"/>
  <c r="AB823" i="5"/>
  <c r="J823" i="5"/>
  <c r="AR823" i="5"/>
  <c r="AN823" i="5"/>
  <c r="Z922" i="5"/>
  <c r="AH921" i="5"/>
  <c r="J920" i="5"/>
  <c r="Z918" i="5"/>
  <c r="AH917" i="5"/>
  <c r="J916" i="5"/>
  <c r="Z914" i="5"/>
  <c r="AH913" i="5"/>
  <c r="J912" i="5"/>
  <c r="Z910" i="5"/>
  <c r="AH909" i="5"/>
  <c r="J908" i="5"/>
  <c r="Z906" i="5"/>
  <c r="AH905" i="5"/>
  <c r="J904" i="5"/>
  <c r="Z902" i="5"/>
  <c r="AH901" i="5"/>
  <c r="J900" i="5"/>
  <c r="Z898" i="5"/>
  <c r="AH897" i="5"/>
  <c r="J896" i="5"/>
  <c r="Z894" i="5"/>
  <c r="AH893" i="5"/>
  <c r="J892" i="5"/>
  <c r="AC889" i="5"/>
  <c r="AH886" i="5"/>
  <c r="J886" i="5"/>
  <c r="AS884" i="5"/>
  <c r="AR882" i="5"/>
  <c r="Z881" i="5"/>
  <c r="Z877" i="5"/>
  <c r="AL873" i="5"/>
  <c r="AO872" i="5"/>
  <c r="AH872" i="5"/>
  <c r="AS872" i="5"/>
  <c r="J863" i="5"/>
  <c r="AS863" i="5"/>
  <c r="AC859" i="5"/>
  <c r="AS857" i="5"/>
  <c r="Z857" i="5"/>
  <c r="AC857" i="5"/>
  <c r="AO851" i="5"/>
  <c r="V851" i="5"/>
  <c r="J867" i="5"/>
  <c r="AS867" i="5"/>
  <c r="AS861" i="5"/>
  <c r="Z861" i="5"/>
  <c r="AC861" i="5"/>
  <c r="AO855" i="5"/>
  <c r="V855" i="5"/>
  <c r="V847" i="5"/>
  <c r="R884" i="5"/>
  <c r="AO882" i="5"/>
  <c r="AC882" i="5"/>
  <c r="AH878" i="5"/>
  <c r="AN875" i="5"/>
  <c r="AH875" i="5"/>
  <c r="J871" i="5"/>
  <c r="AS871" i="5"/>
  <c r="AC867" i="5"/>
  <c r="AS865" i="5"/>
  <c r="Z865" i="5"/>
  <c r="AC865" i="5"/>
  <c r="AO859" i="5"/>
  <c r="V859" i="5"/>
  <c r="AO848" i="5"/>
  <c r="AH848" i="5"/>
  <c r="AS848" i="5"/>
  <c r="AR843" i="5"/>
  <c r="AN843" i="5"/>
  <c r="AO886" i="5"/>
  <c r="AC886" i="5"/>
  <c r="AS883" i="5"/>
  <c r="AN882" i="5"/>
  <c r="AR878" i="5"/>
  <c r="Z876" i="5"/>
  <c r="AB876" i="5"/>
  <c r="J875" i="5"/>
  <c r="AS875" i="5"/>
  <c r="AS869" i="5"/>
  <c r="Z869" i="5"/>
  <c r="AC869" i="5"/>
  <c r="AO852" i="5"/>
  <c r="AH852" i="5"/>
  <c r="AS852" i="5"/>
  <c r="AS878" i="5"/>
  <c r="J877" i="5"/>
  <c r="Z875" i="5"/>
  <c r="AS874" i="5"/>
  <c r="AH874" i="5"/>
  <c r="J873" i="5"/>
  <c r="Z871" i="5"/>
  <c r="AS870" i="5"/>
  <c r="AH870" i="5"/>
  <c r="J869" i="5"/>
  <c r="Z867" i="5"/>
  <c r="AS866" i="5"/>
  <c r="AH866" i="5"/>
  <c r="J865" i="5"/>
  <c r="Z863" i="5"/>
  <c r="AS862" i="5"/>
  <c r="AH862" i="5"/>
  <c r="J861" i="5"/>
  <c r="Z859" i="5"/>
  <c r="AS858" i="5"/>
  <c r="AH858" i="5"/>
  <c r="J857" i="5"/>
  <c r="Z855" i="5"/>
  <c r="AS854" i="5"/>
  <c r="AH854" i="5"/>
  <c r="J853" i="5"/>
  <c r="Z851" i="5"/>
  <c r="AS850" i="5"/>
  <c r="AH850" i="5"/>
  <c r="J849" i="5"/>
  <c r="AC846" i="5"/>
  <c r="AR845" i="5"/>
  <c r="AN842" i="5"/>
  <c r="Z842" i="5"/>
  <c r="AL840" i="5"/>
  <c r="AR840" i="5"/>
  <c r="AB840" i="5"/>
  <c r="J840" i="5"/>
  <c r="V838" i="5"/>
  <c r="AS837" i="5"/>
  <c r="AB837" i="5"/>
  <c r="AD837" i="5" s="1"/>
  <c r="AL836" i="5"/>
  <c r="AB835" i="5"/>
  <c r="J835" i="5"/>
  <c r="AR835" i="5"/>
  <c r="AR825" i="5"/>
  <c r="Z825" i="5"/>
  <c r="AB825" i="5"/>
  <c r="AN824" i="5"/>
  <c r="AH824" i="5"/>
  <c r="AB872" i="5"/>
  <c r="AB868" i="5"/>
  <c r="AB864" i="5"/>
  <c r="AB860" i="5"/>
  <c r="AB856" i="5"/>
  <c r="AB852" i="5"/>
  <c r="AB848" i="5"/>
  <c r="AB846" i="5"/>
  <c r="Z845" i="5"/>
  <c r="AC844" i="5"/>
  <c r="AO839" i="5"/>
  <c r="AH839" i="5"/>
  <c r="AS839" i="5"/>
  <c r="AR829" i="5"/>
  <c r="Z829" i="5"/>
  <c r="AB829" i="5"/>
  <c r="AN828" i="5"/>
  <c r="AH828" i="5"/>
  <c r="AR818" i="5"/>
  <c r="Z818" i="5"/>
  <c r="AB818" i="5"/>
  <c r="AH871" i="5"/>
  <c r="AH867" i="5"/>
  <c r="AH863" i="5"/>
  <c r="AH859" i="5"/>
  <c r="AH855" i="5"/>
  <c r="AH851" i="5"/>
  <c r="AH847" i="5"/>
  <c r="J847" i="5"/>
  <c r="AB842" i="5"/>
  <c r="AR842" i="5"/>
  <c r="AR833" i="5"/>
  <c r="Z833" i="5"/>
  <c r="AB833" i="5"/>
  <c r="AN832" i="5"/>
  <c r="AH832" i="5"/>
  <c r="AS797" i="5"/>
  <c r="Z797" i="5"/>
  <c r="AC797" i="5"/>
  <c r="AB877" i="5"/>
  <c r="AR875" i="5"/>
  <c r="AB873" i="5"/>
  <c r="AR871" i="5"/>
  <c r="AB869" i="5"/>
  <c r="AR867" i="5"/>
  <c r="AB865" i="5"/>
  <c r="AR863" i="5"/>
  <c r="AB861" i="5"/>
  <c r="AR859" i="5"/>
  <c r="AB857" i="5"/>
  <c r="AR855" i="5"/>
  <c r="AB853" i="5"/>
  <c r="AR851" i="5"/>
  <c r="AB849" i="5"/>
  <c r="AR847" i="5"/>
  <c r="AL844" i="5"/>
  <c r="AR844" i="5"/>
  <c r="AB844" i="5"/>
  <c r="V842" i="5"/>
  <c r="AS838" i="5"/>
  <c r="AN836" i="5"/>
  <c r="AH836" i="5"/>
  <c r="AR828" i="5"/>
  <c r="AR846" i="5"/>
  <c r="J846" i="5"/>
  <c r="V844" i="5"/>
  <c r="AO843" i="5"/>
  <c r="AH843" i="5"/>
  <c r="AS843" i="5"/>
  <c r="R841" i="5"/>
  <c r="AS840" i="5"/>
  <c r="AB839" i="5"/>
  <c r="AR832" i="5"/>
  <c r="AS805" i="5"/>
  <c r="Z805" i="5"/>
  <c r="AC805" i="5"/>
  <c r="AC847" i="5"/>
  <c r="AS842" i="5"/>
  <c r="AO840" i="5"/>
  <c r="AC840" i="5"/>
  <c r="J838" i="5"/>
  <c r="AB827" i="5"/>
  <c r="J827" i="5"/>
  <c r="AR827" i="5"/>
  <c r="AR809" i="5"/>
  <c r="J809" i="5"/>
  <c r="AN809" i="5"/>
  <c r="AR877" i="5"/>
  <c r="AR873" i="5"/>
  <c r="AR869" i="5"/>
  <c r="AR865" i="5"/>
  <c r="AR861" i="5"/>
  <c r="AR857" i="5"/>
  <c r="AR853" i="5"/>
  <c r="AR849" i="5"/>
  <c r="AO846" i="5"/>
  <c r="AS845" i="5"/>
  <c r="AS844" i="5"/>
  <c r="AO842" i="5"/>
  <c r="AB831" i="5"/>
  <c r="J831" i="5"/>
  <c r="AR831" i="5"/>
  <c r="AR821" i="5"/>
  <c r="Z821" i="5"/>
  <c r="AB821" i="5"/>
  <c r="AD821" i="5" s="1"/>
  <c r="AN820" i="5"/>
  <c r="AH820" i="5"/>
  <c r="AR838" i="5"/>
  <c r="AB836" i="5"/>
  <c r="AR834" i="5"/>
  <c r="AB832" i="5"/>
  <c r="AR830" i="5"/>
  <c r="AB828" i="5"/>
  <c r="AD828" i="5" s="1"/>
  <c r="AR826" i="5"/>
  <c r="AB824" i="5"/>
  <c r="AR822" i="5"/>
  <c r="AB820" i="5"/>
  <c r="AO818" i="5"/>
  <c r="AH817" i="5"/>
  <c r="AC816" i="5"/>
  <c r="AS815" i="5"/>
  <c r="J815" i="5"/>
  <c r="J814" i="5"/>
  <c r="V807" i="5"/>
  <c r="AC803" i="5"/>
  <c r="J803" i="5"/>
  <c r="AS803" i="5"/>
  <c r="AO800" i="5"/>
  <c r="AH800" i="5"/>
  <c r="AS800" i="5"/>
  <c r="V799" i="5"/>
  <c r="AC795" i="5"/>
  <c r="J795" i="5"/>
  <c r="AS795" i="5"/>
  <c r="AO792" i="5"/>
  <c r="AH792" i="5"/>
  <c r="AS792" i="5"/>
  <c r="V791" i="5"/>
  <c r="AL786" i="5"/>
  <c r="Z836" i="5"/>
  <c r="AS835" i="5"/>
  <c r="AH835" i="5"/>
  <c r="J834" i="5"/>
  <c r="Z832" i="5"/>
  <c r="AS831" i="5"/>
  <c r="AH831" i="5"/>
  <c r="J830" i="5"/>
  <c r="Z828" i="5"/>
  <c r="AS827" i="5"/>
  <c r="AH827" i="5"/>
  <c r="J826" i="5"/>
  <c r="Z824" i="5"/>
  <c r="AS823" i="5"/>
  <c r="AH823" i="5"/>
  <c r="J822" i="5"/>
  <c r="Z820" i="5"/>
  <c r="AS819" i="5"/>
  <c r="AH819" i="5"/>
  <c r="AC818" i="5"/>
  <c r="AS817" i="5"/>
  <c r="AR815" i="5"/>
  <c r="AR814" i="5"/>
  <c r="AH813" i="5"/>
  <c r="AN810" i="5"/>
  <c r="AO808" i="5"/>
  <c r="AH808" i="5"/>
  <c r="AS808" i="5"/>
  <c r="AL805" i="5"/>
  <c r="AS801" i="5"/>
  <c r="Z801" i="5"/>
  <c r="AC801" i="5"/>
  <c r="AL797" i="5"/>
  <c r="AS793" i="5"/>
  <c r="Z793" i="5"/>
  <c r="AC793" i="5"/>
  <c r="AR810" i="5"/>
  <c r="AS809" i="5"/>
  <c r="Z809" i="5"/>
  <c r="AH789" i="5"/>
  <c r="R788" i="5"/>
  <c r="AB769" i="5"/>
  <c r="AN769" i="5"/>
  <c r="AS836" i="5"/>
  <c r="AC834" i="5"/>
  <c r="AS832" i="5"/>
  <c r="AC830" i="5"/>
  <c r="AS828" i="5"/>
  <c r="AC826" i="5"/>
  <c r="AS824" i="5"/>
  <c r="AC822" i="5"/>
  <c r="AS820" i="5"/>
  <c r="AB809" i="5"/>
  <c r="Z790" i="5"/>
  <c r="AC790" i="5"/>
  <c r="AS790" i="5"/>
  <c r="AC789" i="5"/>
  <c r="AO789" i="5"/>
  <c r="J789" i="5"/>
  <c r="AS789" i="5"/>
  <c r="AN787" i="5"/>
  <c r="AH787" i="5"/>
  <c r="J785" i="5"/>
  <c r="AO785" i="5"/>
  <c r="AC785" i="5"/>
  <c r="AS813" i="5"/>
  <c r="AR812" i="5"/>
  <c r="AT812" i="5" s="1"/>
  <c r="AC807" i="5"/>
  <c r="J807" i="5"/>
  <c r="AS807" i="5"/>
  <c r="AO804" i="5"/>
  <c r="AH804" i="5"/>
  <c r="AS804" i="5"/>
  <c r="V803" i="5"/>
  <c r="AC799" i="5"/>
  <c r="J799" i="5"/>
  <c r="AS799" i="5"/>
  <c r="AO796" i="5"/>
  <c r="AH796" i="5"/>
  <c r="AS796" i="5"/>
  <c r="V795" i="5"/>
  <c r="AC791" i="5"/>
  <c r="J791" i="5"/>
  <c r="AS791" i="5"/>
  <c r="AN814" i="5"/>
  <c r="AB814" i="5"/>
  <c r="V789" i="5"/>
  <c r="AB787" i="5"/>
  <c r="Z786" i="5"/>
  <c r="AB786" i="5"/>
  <c r="AR786" i="5"/>
  <c r="AB813" i="5"/>
  <c r="AH811" i="5"/>
  <c r="AR789" i="5"/>
  <c r="AN758" i="5"/>
  <c r="AR758" i="5"/>
  <c r="AS810" i="5"/>
  <c r="Z807" i="5"/>
  <c r="AS806" i="5"/>
  <c r="AH806" i="5"/>
  <c r="J805" i="5"/>
  <c r="Z803" i="5"/>
  <c r="AS802" i="5"/>
  <c r="AH802" i="5"/>
  <c r="AS798" i="5"/>
  <c r="AS794" i="5"/>
  <c r="J790" i="5"/>
  <c r="AR788" i="5"/>
  <c r="AR785" i="5"/>
  <c r="AR784" i="5"/>
  <c r="AB777" i="5"/>
  <c r="AN773" i="5"/>
  <c r="AP773" i="5" s="1"/>
  <c r="AN770" i="5"/>
  <c r="AR770" i="5"/>
  <c r="Z763" i="5"/>
  <c r="J757" i="5"/>
  <c r="AO809" i="5"/>
  <c r="AO805" i="5"/>
  <c r="AO801" i="5"/>
  <c r="AR798" i="5"/>
  <c r="AO797" i="5"/>
  <c r="AR794" i="5"/>
  <c r="AO793" i="5"/>
  <c r="AP793" i="5" s="1"/>
  <c r="AR790" i="5"/>
  <c r="AL789" i="5"/>
  <c r="Z787" i="5"/>
  <c r="Z783" i="5"/>
  <c r="AC783" i="5"/>
  <c r="AR781" i="5"/>
  <c r="AN777" i="5"/>
  <c r="AN774" i="5"/>
  <c r="AR774" i="5"/>
  <c r="Z767" i="5"/>
  <c r="AR763" i="5"/>
  <c r="AB763" i="5"/>
  <c r="AR761" i="5"/>
  <c r="R760" i="5"/>
  <c r="AB757" i="5"/>
  <c r="AR783" i="5"/>
  <c r="AB783" i="5"/>
  <c r="AO782" i="5"/>
  <c r="AH782" i="5"/>
  <c r="AS782" i="5"/>
  <c r="Z779" i="5"/>
  <c r="AC779" i="5"/>
  <c r="AR767" i="5"/>
  <c r="AB767" i="5"/>
  <c r="AL756" i="5"/>
  <c r="AR807" i="5"/>
  <c r="AR803" i="5"/>
  <c r="AR799" i="5"/>
  <c r="AR795" i="5"/>
  <c r="AR791" i="5"/>
  <c r="AN788" i="5"/>
  <c r="AR787" i="5"/>
  <c r="J787" i="5"/>
  <c r="AL783" i="5"/>
  <c r="J781" i="5"/>
  <c r="AS779" i="5"/>
  <c r="AR779" i="5"/>
  <c r="AB779" i="5"/>
  <c r="AR771" i="5"/>
  <c r="AB771" i="5"/>
  <c r="AR769" i="5"/>
  <c r="AB761" i="5"/>
  <c r="V787" i="5"/>
  <c r="AS785" i="5"/>
  <c r="AO781" i="5"/>
  <c r="R780" i="5"/>
  <c r="AR778" i="5"/>
  <c r="AR775" i="5"/>
  <c r="AB775" i="5"/>
  <c r="AR773" i="5"/>
  <c r="J769" i="5"/>
  <c r="R768" i="5"/>
  <c r="AB765" i="5"/>
  <c r="AH786" i="5"/>
  <c r="V785" i="5"/>
  <c r="AL781" i="5"/>
  <c r="V781" i="5"/>
  <c r="J777" i="5"/>
  <c r="R776" i="5"/>
  <c r="Z759" i="5"/>
  <c r="AR752" i="5"/>
  <c r="AN752" i="5"/>
  <c r="AR805" i="5"/>
  <c r="AR801" i="5"/>
  <c r="AR797" i="5"/>
  <c r="AR793" i="5"/>
  <c r="AN766" i="5"/>
  <c r="AR766" i="5"/>
  <c r="AN762" i="5"/>
  <c r="AR762" i="5"/>
  <c r="AR759" i="5"/>
  <c r="AB759" i="5"/>
  <c r="AR757" i="5"/>
  <c r="Z752" i="5"/>
  <c r="AS752" i="5"/>
  <c r="AN749" i="5"/>
  <c r="AH749" i="5"/>
  <c r="AL743" i="5"/>
  <c r="J733" i="5"/>
  <c r="J730" i="5"/>
  <c r="AS781" i="5"/>
  <c r="AS777" i="5"/>
  <c r="AC775" i="5"/>
  <c r="AS773" i="5"/>
  <c r="AC771" i="5"/>
  <c r="AS769" i="5"/>
  <c r="AC767" i="5"/>
  <c r="AS765" i="5"/>
  <c r="AC763" i="5"/>
  <c r="AS761" i="5"/>
  <c r="AC759" i="5"/>
  <c r="AS757" i="5"/>
  <c r="AO756" i="5"/>
  <c r="AP756" i="5" s="1"/>
  <c r="AC756" i="5"/>
  <c r="AB754" i="5"/>
  <c r="AB753" i="5"/>
  <c r="AH742" i="5"/>
  <c r="AS742" i="5"/>
  <c r="AO742" i="5"/>
  <c r="AS739" i="5"/>
  <c r="Z739" i="5"/>
  <c r="AC739" i="5"/>
  <c r="J737" i="5"/>
  <c r="AO780" i="5"/>
  <c r="AO776" i="5"/>
  <c r="AO772" i="5"/>
  <c r="AP772" i="5" s="1"/>
  <c r="AO768" i="5"/>
  <c r="AO764" i="5"/>
  <c r="AO760" i="5"/>
  <c r="AB756" i="5"/>
  <c r="AS755" i="5"/>
  <c r="Z754" i="5"/>
  <c r="AC753" i="5"/>
  <c r="Z753" i="5"/>
  <c r="J752" i="5"/>
  <c r="J751" i="5"/>
  <c r="AO748" i="5"/>
  <c r="AH748" i="5"/>
  <c r="J747" i="5"/>
  <c r="AC733" i="5"/>
  <c r="AS730" i="5"/>
  <c r="AS778" i="5"/>
  <c r="AH778" i="5"/>
  <c r="AS774" i="5"/>
  <c r="AH774" i="5"/>
  <c r="AS770" i="5"/>
  <c r="AH770" i="5"/>
  <c r="AS766" i="5"/>
  <c r="AH766" i="5"/>
  <c r="AS762" i="5"/>
  <c r="AH762" i="5"/>
  <c r="AS758" i="5"/>
  <c r="AH758" i="5"/>
  <c r="Z756" i="5"/>
  <c r="AR755" i="5"/>
  <c r="J755" i="5"/>
  <c r="AC754" i="5"/>
  <c r="AC749" i="5"/>
  <c r="AS749" i="5"/>
  <c r="Z749" i="5"/>
  <c r="AO747" i="5"/>
  <c r="AS747" i="5"/>
  <c r="AT747" i="5" s="1"/>
  <c r="AC747" i="5"/>
  <c r="V745" i="5"/>
  <c r="AC737" i="5"/>
  <c r="AL735" i="5"/>
  <c r="AO733" i="5"/>
  <c r="AN726" i="5"/>
  <c r="V753" i="5"/>
  <c r="AO752" i="5"/>
  <c r="AH752" i="5"/>
  <c r="AR749" i="5"/>
  <c r="AB746" i="5"/>
  <c r="AD746" i="5" s="1"/>
  <c r="AS743" i="5"/>
  <c r="Z743" i="5"/>
  <c r="AC743" i="5"/>
  <c r="AD743" i="5" s="1"/>
  <c r="J741" i="5"/>
  <c r="AO737" i="5"/>
  <c r="V733" i="5"/>
  <c r="AS731" i="5"/>
  <c r="Z731" i="5"/>
  <c r="AC731" i="5"/>
  <c r="V730" i="5"/>
  <c r="R729" i="5"/>
  <c r="Z722" i="5"/>
  <c r="AC722" i="5"/>
  <c r="AS722" i="5"/>
  <c r="R721" i="5"/>
  <c r="AR748" i="5"/>
  <c r="AB748" i="5"/>
  <c r="AL747" i="5"/>
  <c r="AR746" i="5"/>
  <c r="AT746" i="5" s="1"/>
  <c r="AL739" i="5"/>
  <c r="AH734" i="5"/>
  <c r="AS734" i="5"/>
  <c r="AO734" i="5"/>
  <c r="Z727" i="5"/>
  <c r="J756" i="5"/>
  <c r="AS754" i="5"/>
  <c r="AC752" i="5"/>
  <c r="AH738" i="5"/>
  <c r="AS738" i="5"/>
  <c r="AO738" i="5"/>
  <c r="AH728" i="5"/>
  <c r="AN728" i="5"/>
  <c r="AB727" i="5"/>
  <c r="AR727" i="5"/>
  <c r="AS780" i="5"/>
  <c r="AS776" i="5"/>
  <c r="AS772" i="5"/>
  <c r="AS768" i="5"/>
  <c r="AS764" i="5"/>
  <c r="AS760" i="5"/>
  <c r="AS753" i="5"/>
  <c r="AO751" i="5"/>
  <c r="Z751" i="5"/>
  <c r="J745" i="5"/>
  <c r="AS735" i="5"/>
  <c r="Z735" i="5"/>
  <c r="AC735" i="5"/>
  <c r="AB728" i="5"/>
  <c r="AR731" i="5"/>
  <c r="AO730" i="5"/>
  <c r="AP730" i="5" s="1"/>
  <c r="AC730" i="5"/>
  <c r="AS729" i="5"/>
  <c r="AH729" i="5"/>
  <c r="AC728" i="5"/>
  <c r="AS727" i="5"/>
  <c r="J727" i="5"/>
  <c r="AR725" i="5"/>
  <c r="J725" i="5"/>
  <c r="AH722" i="5"/>
  <c r="V722" i="5"/>
  <c r="AN720" i="5"/>
  <c r="Z720" i="5"/>
  <c r="AH717" i="5"/>
  <c r="AN717" i="5"/>
  <c r="AR713" i="5"/>
  <c r="Z707" i="5"/>
  <c r="AC707" i="5"/>
  <c r="AS707" i="5"/>
  <c r="AS748" i="5"/>
  <c r="Z745" i="5"/>
  <c r="AS744" i="5"/>
  <c r="AH744" i="5"/>
  <c r="J743" i="5"/>
  <c r="AC742" i="5"/>
  <c r="Z741" i="5"/>
  <c r="AS740" i="5"/>
  <c r="AH740" i="5"/>
  <c r="J739" i="5"/>
  <c r="AC738" i="5"/>
  <c r="Z737" i="5"/>
  <c r="AS736" i="5"/>
  <c r="AH736" i="5"/>
  <c r="J735" i="5"/>
  <c r="AC734" i="5"/>
  <c r="Z733" i="5"/>
  <c r="AS732" i="5"/>
  <c r="AH732" i="5"/>
  <c r="J731" i="5"/>
  <c r="Z730" i="5"/>
  <c r="J729" i="5"/>
  <c r="AL726" i="5"/>
  <c r="Z724" i="5"/>
  <c r="AH721" i="5"/>
  <c r="AL720" i="5"/>
  <c r="J708" i="5"/>
  <c r="AB703" i="5"/>
  <c r="AR703" i="5"/>
  <c r="AB726" i="5"/>
  <c r="AR720" i="5"/>
  <c r="AB720" i="5"/>
  <c r="Z718" i="5"/>
  <c r="AB718" i="5"/>
  <c r="AR718" i="5"/>
  <c r="J712" i="5"/>
  <c r="AH709" i="5"/>
  <c r="AN709" i="5"/>
  <c r="AS745" i="5"/>
  <c r="AH745" i="5"/>
  <c r="AS741" i="5"/>
  <c r="AH741" i="5"/>
  <c r="AS737" i="5"/>
  <c r="AT737" i="5" s="1"/>
  <c r="AH737" i="5"/>
  <c r="AS733" i="5"/>
  <c r="AH733" i="5"/>
  <c r="AR724" i="5"/>
  <c r="J724" i="5"/>
  <c r="AR717" i="5"/>
  <c r="AN712" i="5"/>
  <c r="AC729" i="5"/>
  <c r="AR728" i="5"/>
  <c r="J728" i="5"/>
  <c r="J726" i="5"/>
  <c r="AB725" i="5"/>
  <c r="AS724" i="5"/>
  <c r="V724" i="5"/>
  <c r="Z710" i="5"/>
  <c r="AB710" i="5"/>
  <c r="AD710" i="5" s="1"/>
  <c r="AR710" i="5"/>
  <c r="V728" i="5"/>
  <c r="AR726" i="5"/>
  <c r="AS720" i="5"/>
  <c r="J716" i="5"/>
  <c r="AH713" i="5"/>
  <c r="AN713" i="5"/>
  <c r="AH700" i="5"/>
  <c r="AN700" i="5"/>
  <c r="Z705" i="5"/>
  <c r="AC705" i="5"/>
  <c r="AS705" i="5"/>
  <c r="Z701" i="5"/>
  <c r="AB701" i="5"/>
  <c r="AR701" i="5"/>
  <c r="AH727" i="5"/>
  <c r="AO726" i="5"/>
  <c r="AB722" i="5"/>
  <c r="AR722" i="5"/>
  <c r="J722" i="5"/>
  <c r="J719" i="5"/>
  <c r="Z714" i="5"/>
  <c r="AB714" i="5"/>
  <c r="AR714" i="5"/>
  <c r="AR706" i="5"/>
  <c r="J706" i="5"/>
  <c r="AB706" i="5"/>
  <c r="AN706" i="5"/>
  <c r="AB716" i="5"/>
  <c r="AB712" i="5"/>
  <c r="AB708" i="5"/>
  <c r="AO706" i="5"/>
  <c r="AC706" i="5"/>
  <c r="AH705" i="5"/>
  <c r="AO704" i="5"/>
  <c r="AB704" i="5"/>
  <c r="AS703" i="5"/>
  <c r="AH703" i="5"/>
  <c r="AS702" i="5"/>
  <c r="J702" i="5"/>
  <c r="J701" i="5"/>
  <c r="AR699" i="5"/>
  <c r="J699" i="5"/>
  <c r="AR680" i="5"/>
  <c r="J679" i="5"/>
  <c r="AS719" i="5"/>
  <c r="AT719" i="5" s="1"/>
  <c r="AH719" i="5"/>
  <c r="AS715" i="5"/>
  <c r="AH715" i="5"/>
  <c r="AS711" i="5"/>
  <c r="AH711" i="5"/>
  <c r="AH707" i="5"/>
  <c r="AR684" i="5"/>
  <c r="AR679" i="5"/>
  <c r="AB679" i="5"/>
  <c r="AH676" i="5"/>
  <c r="AN676" i="5"/>
  <c r="AR671" i="5"/>
  <c r="AB671" i="5"/>
  <c r="AD671" i="5" s="1"/>
  <c r="Z643" i="5"/>
  <c r="AC643" i="5"/>
  <c r="AS643" i="5"/>
  <c r="AB717" i="5"/>
  <c r="AR715" i="5"/>
  <c r="AB713" i="5"/>
  <c r="AR711" i="5"/>
  <c r="AB709" i="5"/>
  <c r="AR707" i="5"/>
  <c r="AC704" i="5"/>
  <c r="V702" i="5"/>
  <c r="J700" i="5"/>
  <c r="AH696" i="5"/>
  <c r="AN696" i="5"/>
  <c r="AB695" i="5"/>
  <c r="AR691" i="5"/>
  <c r="J691" i="5"/>
  <c r="Z677" i="5"/>
  <c r="AB677" i="5"/>
  <c r="AR677" i="5"/>
  <c r="Z717" i="5"/>
  <c r="Z713" i="5"/>
  <c r="AS706" i="5"/>
  <c r="Z697" i="5"/>
  <c r="AB697" i="5"/>
  <c r="AR697" i="5"/>
  <c r="AT697" i="5" s="1"/>
  <c r="AH692" i="5"/>
  <c r="AN692" i="5"/>
  <c r="AB691" i="5"/>
  <c r="AR700" i="5"/>
  <c r="Z693" i="5"/>
  <c r="AB693" i="5"/>
  <c r="AD693" i="5" s="1"/>
  <c r="AR693" i="5"/>
  <c r="AH688" i="5"/>
  <c r="AN688" i="5"/>
  <c r="J687" i="5"/>
  <c r="AB687" i="5"/>
  <c r="AB683" i="5"/>
  <c r="AR676" i="5"/>
  <c r="J675" i="5"/>
  <c r="AH669" i="5"/>
  <c r="AO669" i="5"/>
  <c r="Z689" i="5"/>
  <c r="AB689" i="5"/>
  <c r="AR689" i="5"/>
  <c r="AH684" i="5"/>
  <c r="AN684" i="5"/>
  <c r="AH680" i="5"/>
  <c r="AN680" i="5"/>
  <c r="AR675" i="5"/>
  <c r="AB675" i="5"/>
  <c r="AH672" i="5"/>
  <c r="AN672" i="5"/>
  <c r="J669" i="5"/>
  <c r="AC669" i="5"/>
  <c r="Z703" i="5"/>
  <c r="AC702" i="5"/>
  <c r="AN699" i="5"/>
  <c r="AB699" i="5"/>
  <c r="Z685" i="5"/>
  <c r="AB685" i="5"/>
  <c r="AR685" i="5"/>
  <c r="Z681" i="5"/>
  <c r="AB681" i="5"/>
  <c r="AR681" i="5"/>
  <c r="Z673" i="5"/>
  <c r="AB673" i="5"/>
  <c r="AR673" i="5"/>
  <c r="AH634" i="5"/>
  <c r="AO634" i="5"/>
  <c r="Z663" i="5"/>
  <c r="AC663" i="5"/>
  <c r="AS663" i="5"/>
  <c r="Z655" i="5"/>
  <c r="AC655" i="5"/>
  <c r="AS655" i="5"/>
  <c r="AH646" i="5"/>
  <c r="AS646" i="5"/>
  <c r="AO646" i="5"/>
  <c r="AC700" i="5"/>
  <c r="AS698" i="5"/>
  <c r="AC696" i="5"/>
  <c r="AS694" i="5"/>
  <c r="AC692" i="5"/>
  <c r="AS690" i="5"/>
  <c r="AC688" i="5"/>
  <c r="AS686" i="5"/>
  <c r="AC684" i="5"/>
  <c r="AS682" i="5"/>
  <c r="AC680" i="5"/>
  <c r="AD680" i="5" s="1"/>
  <c r="AS678" i="5"/>
  <c r="AC676" i="5"/>
  <c r="AS674" i="5"/>
  <c r="AC672" i="5"/>
  <c r="AS670" i="5"/>
  <c r="AH666" i="5"/>
  <c r="AS666" i="5"/>
  <c r="AO666" i="5"/>
  <c r="V657" i="5"/>
  <c r="AL651" i="5"/>
  <c r="J641" i="5"/>
  <c r="AS641" i="5"/>
  <c r="AC641" i="5"/>
  <c r="AH638" i="5"/>
  <c r="AS638" i="5"/>
  <c r="AO638" i="5"/>
  <c r="AR698" i="5"/>
  <c r="AR694" i="5"/>
  <c r="AR690" i="5"/>
  <c r="AR686" i="5"/>
  <c r="AR682" i="5"/>
  <c r="AR678" i="5"/>
  <c r="AR674" i="5"/>
  <c r="AR670" i="5"/>
  <c r="J661" i="5"/>
  <c r="AS661" i="5"/>
  <c r="AC661" i="5"/>
  <c r="AH658" i="5"/>
  <c r="AS658" i="5"/>
  <c r="AO658" i="5"/>
  <c r="J649" i="5"/>
  <c r="AS649" i="5"/>
  <c r="AC649" i="5"/>
  <c r="Z647" i="5"/>
  <c r="AC647" i="5"/>
  <c r="AS647" i="5"/>
  <c r="Z635" i="5"/>
  <c r="AC635" i="5"/>
  <c r="AS635" i="5"/>
  <c r="AS634" i="5"/>
  <c r="Z680" i="5"/>
  <c r="AS679" i="5"/>
  <c r="AH679" i="5"/>
  <c r="Z676" i="5"/>
  <c r="AS675" i="5"/>
  <c r="AH675" i="5"/>
  <c r="Z672" i="5"/>
  <c r="AS671" i="5"/>
  <c r="AH671" i="5"/>
  <c r="Z667" i="5"/>
  <c r="AC667" i="5"/>
  <c r="AS667" i="5"/>
  <c r="AO661" i="5"/>
  <c r="J637" i="5"/>
  <c r="AS637" i="5"/>
  <c r="AC637" i="5"/>
  <c r="J633" i="5"/>
  <c r="AS633" i="5"/>
  <c r="AC633" i="5"/>
  <c r="Z659" i="5"/>
  <c r="AC659" i="5"/>
  <c r="AS659" i="5"/>
  <c r="J653" i="5"/>
  <c r="AS653" i="5"/>
  <c r="AC653" i="5"/>
  <c r="AH650" i="5"/>
  <c r="AS650" i="5"/>
  <c r="AO650" i="5"/>
  <c r="Z639" i="5"/>
  <c r="AC639" i="5"/>
  <c r="AS639" i="5"/>
  <c r="AB669" i="5"/>
  <c r="J665" i="5"/>
  <c r="AH662" i="5"/>
  <c r="AO662" i="5"/>
  <c r="AO653" i="5"/>
  <c r="V649" i="5"/>
  <c r="AH642" i="5"/>
  <c r="AS642" i="5"/>
  <c r="AO642" i="5"/>
  <c r="AO633" i="5"/>
  <c r="J657" i="5"/>
  <c r="AS657" i="5"/>
  <c r="AT657" i="5" s="1"/>
  <c r="AC657" i="5"/>
  <c r="AH654" i="5"/>
  <c r="AS654" i="5"/>
  <c r="AO654" i="5"/>
  <c r="Z651" i="5"/>
  <c r="AC651" i="5"/>
  <c r="AS651" i="5"/>
  <c r="AL647" i="5"/>
  <c r="J645" i="5"/>
  <c r="AS645" i="5"/>
  <c r="AC645" i="5"/>
  <c r="AO637" i="5"/>
  <c r="V637" i="5"/>
  <c r="AL635" i="5"/>
  <c r="AH667" i="5"/>
  <c r="AN665" i="5"/>
  <c r="AC665" i="5"/>
  <c r="J662" i="5"/>
  <c r="Z660" i="5"/>
  <c r="J658" i="5"/>
  <c r="J654" i="5"/>
  <c r="J650" i="5"/>
  <c r="Z648" i="5"/>
  <c r="AH647" i="5"/>
  <c r="J646" i="5"/>
  <c r="J642" i="5"/>
  <c r="J638" i="5"/>
  <c r="AN637" i="5"/>
  <c r="Z636" i="5"/>
  <c r="AH635" i="5"/>
  <c r="J634" i="5"/>
  <c r="AR667" i="5"/>
  <c r="AB665" i="5"/>
  <c r="AR663" i="5"/>
  <c r="AB661" i="5"/>
  <c r="AR659" i="5"/>
  <c r="AB657" i="5"/>
  <c r="AR655" i="5"/>
  <c r="AB653" i="5"/>
  <c r="AR651" i="5"/>
  <c r="AB649" i="5"/>
  <c r="AR647" i="5"/>
  <c r="AB645" i="5"/>
  <c r="AR643" i="5"/>
  <c r="AB641" i="5"/>
  <c r="AR639" i="5"/>
  <c r="AB637" i="5"/>
  <c r="AR635" i="5"/>
  <c r="AS668" i="5"/>
  <c r="Z665" i="5"/>
  <c r="AS664" i="5"/>
  <c r="AH664" i="5"/>
  <c r="Z661" i="5"/>
  <c r="AH660" i="5"/>
  <c r="Z657" i="5"/>
  <c r="AH656" i="5"/>
  <c r="Z653" i="5"/>
  <c r="AH652" i="5"/>
  <c r="Z649" i="5"/>
  <c r="AH648" i="5"/>
  <c r="Z645" i="5"/>
  <c r="AS644" i="5"/>
  <c r="AH644" i="5"/>
  <c r="AH640" i="5"/>
  <c r="AS636" i="5"/>
  <c r="AH636" i="5"/>
  <c r="AC634" i="5"/>
  <c r="AH632" i="5"/>
  <c r="AB642" i="5"/>
  <c r="AR632" i="5"/>
  <c r="J664" i="5"/>
  <c r="H333" i="5"/>
  <c r="I333" i="5"/>
  <c r="P333" i="5"/>
  <c r="Q333" i="5"/>
  <c r="T333" i="5"/>
  <c r="U333" i="5"/>
  <c r="X333" i="5"/>
  <c r="Y333" i="5"/>
  <c r="AF333" i="5"/>
  <c r="AG333" i="5"/>
  <c r="AJ333" i="5"/>
  <c r="AK333" i="5"/>
  <c r="H334" i="5"/>
  <c r="I334" i="5"/>
  <c r="P334" i="5"/>
  <c r="Q334" i="5"/>
  <c r="T334" i="5"/>
  <c r="U334" i="5"/>
  <c r="X334" i="5"/>
  <c r="Y334" i="5"/>
  <c r="AF334" i="5"/>
  <c r="AG334" i="5"/>
  <c r="AJ334" i="5"/>
  <c r="AK334" i="5"/>
  <c r="H335" i="5"/>
  <c r="I335" i="5"/>
  <c r="P335" i="5"/>
  <c r="Q335" i="5"/>
  <c r="T335" i="5"/>
  <c r="U335" i="5"/>
  <c r="X335" i="5"/>
  <c r="Y335" i="5"/>
  <c r="AF335" i="5"/>
  <c r="AG335" i="5"/>
  <c r="AJ335" i="5"/>
  <c r="AK335" i="5"/>
  <c r="H336" i="5"/>
  <c r="I336" i="5"/>
  <c r="P336" i="5"/>
  <c r="Q336" i="5"/>
  <c r="T336" i="5"/>
  <c r="U336" i="5"/>
  <c r="X336" i="5"/>
  <c r="Y336" i="5"/>
  <c r="AF336" i="5"/>
  <c r="AG336" i="5"/>
  <c r="AJ336" i="5"/>
  <c r="AK336" i="5"/>
  <c r="H337" i="5"/>
  <c r="I337" i="5"/>
  <c r="P337" i="5"/>
  <c r="Q337" i="5"/>
  <c r="T337" i="5"/>
  <c r="U337" i="5"/>
  <c r="X337" i="5"/>
  <c r="Y337" i="5"/>
  <c r="AF337" i="5"/>
  <c r="AG337" i="5"/>
  <c r="AJ337" i="5"/>
  <c r="AK337" i="5"/>
  <c r="H338" i="5"/>
  <c r="I338" i="5"/>
  <c r="P338" i="5"/>
  <c r="Q338" i="5"/>
  <c r="T338" i="5"/>
  <c r="U338" i="5"/>
  <c r="X338" i="5"/>
  <c r="Y338" i="5"/>
  <c r="AF338" i="5"/>
  <c r="AG338" i="5"/>
  <c r="AJ338" i="5"/>
  <c r="AK338" i="5"/>
  <c r="H339" i="5"/>
  <c r="I339" i="5"/>
  <c r="P339" i="5"/>
  <c r="Q339" i="5"/>
  <c r="T339" i="5"/>
  <c r="U339" i="5"/>
  <c r="X339" i="5"/>
  <c r="Y339" i="5"/>
  <c r="AF339" i="5"/>
  <c r="AG339" i="5"/>
  <c r="AJ339" i="5"/>
  <c r="AK339" i="5"/>
  <c r="H340" i="5"/>
  <c r="I340" i="5"/>
  <c r="P340" i="5"/>
  <c r="Q340" i="5"/>
  <c r="T340" i="5"/>
  <c r="U340" i="5"/>
  <c r="X340" i="5"/>
  <c r="Y340" i="5"/>
  <c r="AF340" i="5"/>
  <c r="AG340" i="5"/>
  <c r="AJ340" i="5"/>
  <c r="AK340" i="5"/>
  <c r="H341" i="5"/>
  <c r="I341" i="5"/>
  <c r="P341" i="5"/>
  <c r="Q341" i="5"/>
  <c r="T341" i="5"/>
  <c r="U341" i="5"/>
  <c r="X341" i="5"/>
  <c r="Y341" i="5"/>
  <c r="AF341" i="5"/>
  <c r="AG341" i="5"/>
  <c r="AJ341" i="5"/>
  <c r="AK341" i="5"/>
  <c r="H342" i="5"/>
  <c r="I342" i="5"/>
  <c r="P342" i="5"/>
  <c r="Q342" i="5"/>
  <c r="T342" i="5"/>
  <c r="U342" i="5"/>
  <c r="X342" i="5"/>
  <c r="Y342" i="5"/>
  <c r="AF342" i="5"/>
  <c r="AG342" i="5"/>
  <c r="AJ342" i="5"/>
  <c r="AK342" i="5"/>
  <c r="H343" i="5"/>
  <c r="I343" i="5"/>
  <c r="P343" i="5"/>
  <c r="Q343" i="5"/>
  <c r="T343" i="5"/>
  <c r="U343" i="5"/>
  <c r="X343" i="5"/>
  <c r="Y343" i="5"/>
  <c r="AF343" i="5"/>
  <c r="AG343" i="5"/>
  <c r="AJ343" i="5"/>
  <c r="AK343" i="5"/>
  <c r="H344" i="5"/>
  <c r="I344" i="5"/>
  <c r="P344" i="5"/>
  <c r="Q344" i="5"/>
  <c r="T344" i="5"/>
  <c r="U344" i="5"/>
  <c r="X344" i="5"/>
  <c r="Y344" i="5"/>
  <c r="AF344" i="5"/>
  <c r="AG344" i="5"/>
  <c r="AJ344" i="5"/>
  <c r="AK344" i="5"/>
  <c r="H345" i="5"/>
  <c r="I345" i="5"/>
  <c r="P345" i="5"/>
  <c r="Q345" i="5"/>
  <c r="T345" i="5"/>
  <c r="U345" i="5"/>
  <c r="X345" i="5"/>
  <c r="Y345" i="5"/>
  <c r="AF345" i="5"/>
  <c r="AG345" i="5"/>
  <c r="AJ345" i="5"/>
  <c r="AK345" i="5"/>
  <c r="H346" i="5"/>
  <c r="I346" i="5"/>
  <c r="P346" i="5"/>
  <c r="Q346" i="5"/>
  <c r="T346" i="5"/>
  <c r="U346" i="5"/>
  <c r="X346" i="5"/>
  <c r="Y346" i="5"/>
  <c r="AF346" i="5"/>
  <c r="AG346" i="5"/>
  <c r="AJ346" i="5"/>
  <c r="AK346" i="5"/>
  <c r="H347" i="5"/>
  <c r="I347" i="5"/>
  <c r="P347" i="5"/>
  <c r="Q347" i="5"/>
  <c r="T347" i="5"/>
  <c r="U347" i="5"/>
  <c r="X347" i="5"/>
  <c r="Y347" i="5"/>
  <c r="AF347" i="5"/>
  <c r="AG347" i="5"/>
  <c r="AJ347" i="5"/>
  <c r="AK347" i="5"/>
  <c r="H348" i="5"/>
  <c r="I348" i="5"/>
  <c r="P348" i="5"/>
  <c r="Q348" i="5"/>
  <c r="T348" i="5"/>
  <c r="U348" i="5"/>
  <c r="X348" i="5"/>
  <c r="Y348" i="5"/>
  <c r="AF348" i="5"/>
  <c r="AG348" i="5"/>
  <c r="AJ348" i="5"/>
  <c r="AK348" i="5"/>
  <c r="H349" i="5"/>
  <c r="I349" i="5"/>
  <c r="P349" i="5"/>
  <c r="Q349" i="5"/>
  <c r="T349" i="5"/>
  <c r="U349" i="5"/>
  <c r="X349" i="5"/>
  <c r="Y349" i="5"/>
  <c r="AF349" i="5"/>
  <c r="AG349" i="5"/>
  <c r="AJ349" i="5"/>
  <c r="AK349" i="5"/>
  <c r="H350" i="5"/>
  <c r="I350" i="5"/>
  <c r="P350" i="5"/>
  <c r="Q350" i="5"/>
  <c r="T350" i="5"/>
  <c r="U350" i="5"/>
  <c r="X350" i="5"/>
  <c r="Y350" i="5"/>
  <c r="AF350" i="5"/>
  <c r="AG350" i="5"/>
  <c r="AJ350" i="5"/>
  <c r="AK350" i="5"/>
  <c r="H351" i="5"/>
  <c r="I351" i="5"/>
  <c r="P351" i="5"/>
  <c r="Q351" i="5"/>
  <c r="T351" i="5"/>
  <c r="U351" i="5"/>
  <c r="X351" i="5"/>
  <c r="Y351" i="5"/>
  <c r="AF351" i="5"/>
  <c r="AG351" i="5"/>
  <c r="AJ351" i="5"/>
  <c r="AK351" i="5"/>
  <c r="H352" i="5"/>
  <c r="I352" i="5"/>
  <c r="P352" i="5"/>
  <c r="Q352" i="5"/>
  <c r="T352" i="5"/>
  <c r="U352" i="5"/>
  <c r="X352" i="5"/>
  <c r="Y352" i="5"/>
  <c r="AF352" i="5"/>
  <c r="AG352" i="5"/>
  <c r="AJ352" i="5"/>
  <c r="AK352" i="5"/>
  <c r="H353" i="5"/>
  <c r="I353" i="5"/>
  <c r="P353" i="5"/>
  <c r="Q353" i="5"/>
  <c r="T353" i="5"/>
  <c r="U353" i="5"/>
  <c r="X353" i="5"/>
  <c r="Y353" i="5"/>
  <c r="AF353" i="5"/>
  <c r="AG353" i="5"/>
  <c r="AJ353" i="5"/>
  <c r="AK353" i="5"/>
  <c r="H354" i="5"/>
  <c r="I354" i="5"/>
  <c r="P354" i="5"/>
  <c r="Q354" i="5"/>
  <c r="T354" i="5"/>
  <c r="U354" i="5"/>
  <c r="X354" i="5"/>
  <c r="Y354" i="5"/>
  <c r="AF354" i="5"/>
  <c r="AG354" i="5"/>
  <c r="AJ354" i="5"/>
  <c r="AK354" i="5"/>
  <c r="H355" i="5"/>
  <c r="I355" i="5"/>
  <c r="P355" i="5"/>
  <c r="Q355" i="5"/>
  <c r="T355" i="5"/>
  <c r="U355" i="5"/>
  <c r="X355" i="5"/>
  <c r="Y355" i="5"/>
  <c r="AF355" i="5"/>
  <c r="AG355" i="5"/>
  <c r="AJ355" i="5"/>
  <c r="AK355" i="5"/>
  <c r="H356" i="5"/>
  <c r="I356" i="5"/>
  <c r="P356" i="5"/>
  <c r="Q356" i="5"/>
  <c r="T356" i="5"/>
  <c r="U356" i="5"/>
  <c r="X356" i="5"/>
  <c r="Y356" i="5"/>
  <c r="AF356" i="5"/>
  <c r="AG356" i="5"/>
  <c r="AJ356" i="5"/>
  <c r="AK356" i="5"/>
  <c r="H357" i="5"/>
  <c r="I357" i="5"/>
  <c r="P357" i="5"/>
  <c r="Q357" i="5"/>
  <c r="T357" i="5"/>
  <c r="U357" i="5"/>
  <c r="X357" i="5"/>
  <c r="Y357" i="5"/>
  <c r="AF357" i="5"/>
  <c r="AG357" i="5"/>
  <c r="AJ357" i="5"/>
  <c r="AK357" i="5"/>
  <c r="H358" i="5"/>
  <c r="I358" i="5"/>
  <c r="P358" i="5"/>
  <c r="Q358" i="5"/>
  <c r="T358" i="5"/>
  <c r="U358" i="5"/>
  <c r="X358" i="5"/>
  <c r="Y358" i="5"/>
  <c r="AF358" i="5"/>
  <c r="AG358" i="5"/>
  <c r="AJ358" i="5"/>
  <c r="AK358" i="5"/>
  <c r="H359" i="5"/>
  <c r="I359" i="5"/>
  <c r="P359" i="5"/>
  <c r="Q359" i="5"/>
  <c r="T359" i="5"/>
  <c r="U359" i="5"/>
  <c r="X359" i="5"/>
  <c r="Y359" i="5"/>
  <c r="AF359" i="5"/>
  <c r="AG359" i="5"/>
  <c r="AJ359" i="5"/>
  <c r="AK359" i="5"/>
  <c r="H360" i="5"/>
  <c r="I360" i="5"/>
  <c r="P360" i="5"/>
  <c r="Q360" i="5"/>
  <c r="T360" i="5"/>
  <c r="U360" i="5"/>
  <c r="X360" i="5"/>
  <c r="Y360" i="5"/>
  <c r="AF360" i="5"/>
  <c r="AG360" i="5"/>
  <c r="AJ360" i="5"/>
  <c r="AK360" i="5"/>
  <c r="H361" i="5"/>
  <c r="I361" i="5"/>
  <c r="P361" i="5"/>
  <c r="Q361" i="5"/>
  <c r="T361" i="5"/>
  <c r="U361" i="5"/>
  <c r="X361" i="5"/>
  <c r="Y361" i="5"/>
  <c r="AF361" i="5"/>
  <c r="AG361" i="5"/>
  <c r="AJ361" i="5"/>
  <c r="AK361" i="5"/>
  <c r="H362" i="5"/>
  <c r="I362" i="5"/>
  <c r="P362" i="5"/>
  <c r="Q362" i="5"/>
  <c r="T362" i="5"/>
  <c r="U362" i="5"/>
  <c r="X362" i="5"/>
  <c r="Y362" i="5"/>
  <c r="AF362" i="5"/>
  <c r="AG362" i="5"/>
  <c r="AJ362" i="5"/>
  <c r="AK362" i="5"/>
  <c r="H363" i="5"/>
  <c r="I363" i="5"/>
  <c r="P363" i="5"/>
  <c r="Q363" i="5"/>
  <c r="T363" i="5"/>
  <c r="U363" i="5"/>
  <c r="X363" i="5"/>
  <c r="Y363" i="5"/>
  <c r="AF363" i="5"/>
  <c r="AG363" i="5"/>
  <c r="AJ363" i="5"/>
  <c r="AK363" i="5"/>
  <c r="H364" i="5"/>
  <c r="I364" i="5"/>
  <c r="P364" i="5"/>
  <c r="Q364" i="5"/>
  <c r="T364" i="5"/>
  <c r="U364" i="5"/>
  <c r="X364" i="5"/>
  <c r="Y364" i="5"/>
  <c r="AF364" i="5"/>
  <c r="AG364" i="5"/>
  <c r="AJ364" i="5"/>
  <c r="AK364" i="5"/>
  <c r="H365" i="5"/>
  <c r="I365" i="5"/>
  <c r="P365" i="5"/>
  <c r="Q365" i="5"/>
  <c r="T365" i="5"/>
  <c r="U365" i="5"/>
  <c r="X365" i="5"/>
  <c r="Y365" i="5"/>
  <c r="AF365" i="5"/>
  <c r="AG365" i="5"/>
  <c r="AJ365" i="5"/>
  <c r="AK365" i="5"/>
  <c r="H366" i="5"/>
  <c r="I366" i="5"/>
  <c r="P366" i="5"/>
  <c r="Q366" i="5"/>
  <c r="T366" i="5"/>
  <c r="U366" i="5"/>
  <c r="X366" i="5"/>
  <c r="Y366" i="5"/>
  <c r="AF366" i="5"/>
  <c r="AG366" i="5"/>
  <c r="AJ366" i="5"/>
  <c r="AK366" i="5"/>
  <c r="H367" i="5"/>
  <c r="I367" i="5"/>
  <c r="P367" i="5"/>
  <c r="Q367" i="5"/>
  <c r="T367" i="5"/>
  <c r="U367" i="5"/>
  <c r="X367" i="5"/>
  <c r="Y367" i="5"/>
  <c r="AF367" i="5"/>
  <c r="AG367" i="5"/>
  <c r="AJ367" i="5"/>
  <c r="AK367" i="5"/>
  <c r="H368" i="5"/>
  <c r="I368" i="5"/>
  <c r="P368" i="5"/>
  <c r="Q368" i="5"/>
  <c r="T368" i="5"/>
  <c r="U368" i="5"/>
  <c r="X368" i="5"/>
  <c r="Y368" i="5"/>
  <c r="AF368" i="5"/>
  <c r="AG368" i="5"/>
  <c r="AJ368" i="5"/>
  <c r="AK368" i="5"/>
  <c r="H369" i="5"/>
  <c r="I369" i="5"/>
  <c r="P369" i="5"/>
  <c r="Q369" i="5"/>
  <c r="T369" i="5"/>
  <c r="U369" i="5"/>
  <c r="X369" i="5"/>
  <c r="Y369" i="5"/>
  <c r="AF369" i="5"/>
  <c r="AG369" i="5"/>
  <c r="AJ369" i="5"/>
  <c r="AK369" i="5"/>
  <c r="H370" i="5"/>
  <c r="I370" i="5"/>
  <c r="P370" i="5"/>
  <c r="Q370" i="5"/>
  <c r="T370" i="5"/>
  <c r="U370" i="5"/>
  <c r="X370" i="5"/>
  <c r="Y370" i="5"/>
  <c r="AF370" i="5"/>
  <c r="AG370" i="5"/>
  <c r="AJ370" i="5"/>
  <c r="AK370" i="5"/>
  <c r="H371" i="5"/>
  <c r="I371" i="5"/>
  <c r="P371" i="5"/>
  <c r="Q371" i="5"/>
  <c r="T371" i="5"/>
  <c r="U371" i="5"/>
  <c r="X371" i="5"/>
  <c r="Y371" i="5"/>
  <c r="AF371" i="5"/>
  <c r="AG371" i="5"/>
  <c r="AJ371" i="5"/>
  <c r="AK371" i="5"/>
  <c r="H372" i="5"/>
  <c r="I372" i="5"/>
  <c r="P372" i="5"/>
  <c r="Q372" i="5"/>
  <c r="T372" i="5"/>
  <c r="U372" i="5"/>
  <c r="X372" i="5"/>
  <c r="Y372" i="5"/>
  <c r="AF372" i="5"/>
  <c r="AG372" i="5"/>
  <c r="AJ372" i="5"/>
  <c r="AK372" i="5"/>
  <c r="H373" i="5"/>
  <c r="I373" i="5"/>
  <c r="P373" i="5"/>
  <c r="Q373" i="5"/>
  <c r="T373" i="5"/>
  <c r="U373" i="5"/>
  <c r="X373" i="5"/>
  <c r="Y373" i="5"/>
  <c r="AF373" i="5"/>
  <c r="AG373" i="5"/>
  <c r="AJ373" i="5"/>
  <c r="AK373" i="5"/>
  <c r="H374" i="5"/>
  <c r="I374" i="5"/>
  <c r="P374" i="5"/>
  <c r="Q374" i="5"/>
  <c r="T374" i="5"/>
  <c r="U374" i="5"/>
  <c r="X374" i="5"/>
  <c r="Y374" i="5"/>
  <c r="AF374" i="5"/>
  <c r="AG374" i="5"/>
  <c r="AJ374" i="5"/>
  <c r="AK374" i="5"/>
  <c r="H375" i="5"/>
  <c r="I375" i="5"/>
  <c r="P375" i="5"/>
  <c r="Q375" i="5"/>
  <c r="T375" i="5"/>
  <c r="U375" i="5"/>
  <c r="X375" i="5"/>
  <c r="Y375" i="5"/>
  <c r="AF375" i="5"/>
  <c r="AG375" i="5"/>
  <c r="AJ375" i="5"/>
  <c r="AK375" i="5"/>
  <c r="H376" i="5"/>
  <c r="I376" i="5"/>
  <c r="P376" i="5"/>
  <c r="Q376" i="5"/>
  <c r="T376" i="5"/>
  <c r="U376" i="5"/>
  <c r="X376" i="5"/>
  <c r="Y376" i="5"/>
  <c r="AF376" i="5"/>
  <c r="AG376" i="5"/>
  <c r="AJ376" i="5"/>
  <c r="AK376" i="5"/>
  <c r="H377" i="5"/>
  <c r="I377" i="5"/>
  <c r="P377" i="5"/>
  <c r="Q377" i="5"/>
  <c r="T377" i="5"/>
  <c r="U377" i="5"/>
  <c r="X377" i="5"/>
  <c r="Y377" i="5"/>
  <c r="AF377" i="5"/>
  <c r="AG377" i="5"/>
  <c r="AJ377" i="5"/>
  <c r="AK377" i="5"/>
  <c r="H378" i="5"/>
  <c r="I378" i="5"/>
  <c r="P378" i="5"/>
  <c r="Q378" i="5"/>
  <c r="T378" i="5"/>
  <c r="U378" i="5"/>
  <c r="X378" i="5"/>
  <c r="Y378" i="5"/>
  <c r="AF378" i="5"/>
  <c r="AG378" i="5"/>
  <c r="AJ378" i="5"/>
  <c r="AK378" i="5"/>
  <c r="H379" i="5"/>
  <c r="I379" i="5"/>
  <c r="P379" i="5"/>
  <c r="Q379" i="5"/>
  <c r="T379" i="5"/>
  <c r="U379" i="5"/>
  <c r="X379" i="5"/>
  <c r="Y379" i="5"/>
  <c r="AF379" i="5"/>
  <c r="AG379" i="5"/>
  <c r="AJ379" i="5"/>
  <c r="AK379" i="5"/>
  <c r="H380" i="5"/>
  <c r="I380" i="5"/>
  <c r="P380" i="5"/>
  <c r="Q380" i="5"/>
  <c r="T380" i="5"/>
  <c r="U380" i="5"/>
  <c r="X380" i="5"/>
  <c r="Y380" i="5"/>
  <c r="AF380" i="5"/>
  <c r="AG380" i="5"/>
  <c r="AJ380" i="5"/>
  <c r="AK380" i="5"/>
  <c r="H381" i="5"/>
  <c r="I381" i="5"/>
  <c r="P381" i="5"/>
  <c r="Q381" i="5"/>
  <c r="T381" i="5"/>
  <c r="U381" i="5"/>
  <c r="X381" i="5"/>
  <c r="Y381" i="5"/>
  <c r="AF381" i="5"/>
  <c r="AG381" i="5"/>
  <c r="AJ381" i="5"/>
  <c r="AK381" i="5"/>
  <c r="H382" i="5"/>
  <c r="I382" i="5"/>
  <c r="P382" i="5"/>
  <c r="Q382" i="5"/>
  <c r="T382" i="5"/>
  <c r="U382" i="5"/>
  <c r="X382" i="5"/>
  <c r="Y382" i="5"/>
  <c r="AF382" i="5"/>
  <c r="AG382" i="5"/>
  <c r="AJ382" i="5"/>
  <c r="AK382" i="5"/>
  <c r="H383" i="5"/>
  <c r="I383" i="5"/>
  <c r="P383" i="5"/>
  <c r="Q383" i="5"/>
  <c r="T383" i="5"/>
  <c r="U383" i="5"/>
  <c r="X383" i="5"/>
  <c r="Y383" i="5"/>
  <c r="AF383" i="5"/>
  <c r="AG383" i="5"/>
  <c r="AJ383" i="5"/>
  <c r="AK383" i="5"/>
  <c r="H384" i="5"/>
  <c r="I384" i="5"/>
  <c r="P384" i="5"/>
  <c r="Q384" i="5"/>
  <c r="T384" i="5"/>
  <c r="U384" i="5"/>
  <c r="X384" i="5"/>
  <c r="Y384" i="5"/>
  <c r="AF384" i="5"/>
  <c r="AG384" i="5"/>
  <c r="AJ384" i="5"/>
  <c r="AK384" i="5"/>
  <c r="H385" i="5"/>
  <c r="I385" i="5"/>
  <c r="P385" i="5"/>
  <c r="Q385" i="5"/>
  <c r="T385" i="5"/>
  <c r="U385" i="5"/>
  <c r="X385" i="5"/>
  <c r="Y385" i="5"/>
  <c r="AF385" i="5"/>
  <c r="AG385" i="5"/>
  <c r="AJ385" i="5"/>
  <c r="AK385" i="5"/>
  <c r="H386" i="5"/>
  <c r="I386" i="5"/>
  <c r="P386" i="5"/>
  <c r="Q386" i="5"/>
  <c r="T386" i="5"/>
  <c r="U386" i="5"/>
  <c r="X386" i="5"/>
  <c r="Y386" i="5"/>
  <c r="AF386" i="5"/>
  <c r="AG386" i="5"/>
  <c r="AJ386" i="5"/>
  <c r="AK386" i="5"/>
  <c r="H387" i="5"/>
  <c r="I387" i="5"/>
  <c r="P387" i="5"/>
  <c r="Q387" i="5"/>
  <c r="T387" i="5"/>
  <c r="U387" i="5"/>
  <c r="X387" i="5"/>
  <c r="Y387" i="5"/>
  <c r="AF387" i="5"/>
  <c r="AG387" i="5"/>
  <c r="AJ387" i="5"/>
  <c r="AK387" i="5"/>
  <c r="H388" i="5"/>
  <c r="I388" i="5"/>
  <c r="P388" i="5"/>
  <c r="Q388" i="5"/>
  <c r="T388" i="5"/>
  <c r="U388" i="5"/>
  <c r="X388" i="5"/>
  <c r="Y388" i="5"/>
  <c r="AF388" i="5"/>
  <c r="AG388" i="5"/>
  <c r="AJ388" i="5"/>
  <c r="AK388" i="5"/>
  <c r="H389" i="5"/>
  <c r="I389" i="5"/>
  <c r="P389" i="5"/>
  <c r="Q389" i="5"/>
  <c r="T389" i="5"/>
  <c r="U389" i="5"/>
  <c r="X389" i="5"/>
  <c r="Y389" i="5"/>
  <c r="AF389" i="5"/>
  <c r="AG389" i="5"/>
  <c r="AJ389" i="5"/>
  <c r="AK389" i="5"/>
  <c r="H390" i="5"/>
  <c r="I390" i="5"/>
  <c r="P390" i="5"/>
  <c r="Q390" i="5"/>
  <c r="T390" i="5"/>
  <c r="U390" i="5"/>
  <c r="X390" i="5"/>
  <c r="Y390" i="5"/>
  <c r="AF390" i="5"/>
  <c r="AG390" i="5"/>
  <c r="AJ390" i="5"/>
  <c r="AK390" i="5"/>
  <c r="H391" i="5"/>
  <c r="I391" i="5"/>
  <c r="P391" i="5"/>
  <c r="Q391" i="5"/>
  <c r="T391" i="5"/>
  <c r="U391" i="5"/>
  <c r="X391" i="5"/>
  <c r="Y391" i="5"/>
  <c r="AF391" i="5"/>
  <c r="AG391" i="5"/>
  <c r="AJ391" i="5"/>
  <c r="AK391" i="5"/>
  <c r="H392" i="5"/>
  <c r="I392" i="5"/>
  <c r="P392" i="5"/>
  <c r="Q392" i="5"/>
  <c r="T392" i="5"/>
  <c r="U392" i="5"/>
  <c r="X392" i="5"/>
  <c r="Y392" i="5"/>
  <c r="AF392" i="5"/>
  <c r="AG392" i="5"/>
  <c r="AJ392" i="5"/>
  <c r="AK392" i="5"/>
  <c r="H393" i="5"/>
  <c r="I393" i="5"/>
  <c r="P393" i="5"/>
  <c r="Q393" i="5"/>
  <c r="T393" i="5"/>
  <c r="U393" i="5"/>
  <c r="X393" i="5"/>
  <c r="Y393" i="5"/>
  <c r="AF393" i="5"/>
  <c r="AG393" i="5"/>
  <c r="AJ393" i="5"/>
  <c r="AK393" i="5"/>
  <c r="H394" i="5"/>
  <c r="I394" i="5"/>
  <c r="P394" i="5"/>
  <c r="Q394" i="5"/>
  <c r="T394" i="5"/>
  <c r="U394" i="5"/>
  <c r="X394" i="5"/>
  <c r="Y394" i="5"/>
  <c r="AF394" i="5"/>
  <c r="AG394" i="5"/>
  <c r="AJ394" i="5"/>
  <c r="AK394" i="5"/>
  <c r="H395" i="5"/>
  <c r="I395" i="5"/>
  <c r="P395" i="5"/>
  <c r="Q395" i="5"/>
  <c r="T395" i="5"/>
  <c r="U395" i="5"/>
  <c r="X395" i="5"/>
  <c r="Y395" i="5"/>
  <c r="AF395" i="5"/>
  <c r="AG395" i="5"/>
  <c r="AJ395" i="5"/>
  <c r="AK395" i="5"/>
  <c r="H396" i="5"/>
  <c r="I396" i="5"/>
  <c r="P396" i="5"/>
  <c r="Q396" i="5"/>
  <c r="T396" i="5"/>
  <c r="U396" i="5"/>
  <c r="X396" i="5"/>
  <c r="Y396" i="5"/>
  <c r="AF396" i="5"/>
  <c r="AG396" i="5"/>
  <c r="AJ396" i="5"/>
  <c r="AK396" i="5"/>
  <c r="H397" i="5"/>
  <c r="I397" i="5"/>
  <c r="P397" i="5"/>
  <c r="Q397" i="5"/>
  <c r="T397" i="5"/>
  <c r="U397" i="5"/>
  <c r="X397" i="5"/>
  <c r="Y397" i="5"/>
  <c r="AF397" i="5"/>
  <c r="AG397" i="5"/>
  <c r="AJ397" i="5"/>
  <c r="AK397" i="5"/>
  <c r="H398" i="5"/>
  <c r="I398" i="5"/>
  <c r="P398" i="5"/>
  <c r="Q398" i="5"/>
  <c r="T398" i="5"/>
  <c r="U398" i="5"/>
  <c r="X398" i="5"/>
  <c r="Y398" i="5"/>
  <c r="AF398" i="5"/>
  <c r="AG398" i="5"/>
  <c r="AJ398" i="5"/>
  <c r="AK398" i="5"/>
  <c r="H399" i="5"/>
  <c r="I399" i="5"/>
  <c r="P399" i="5"/>
  <c r="Q399" i="5"/>
  <c r="T399" i="5"/>
  <c r="U399" i="5"/>
  <c r="X399" i="5"/>
  <c r="Y399" i="5"/>
  <c r="AF399" i="5"/>
  <c r="AG399" i="5"/>
  <c r="AJ399" i="5"/>
  <c r="AK399" i="5"/>
  <c r="H400" i="5"/>
  <c r="I400" i="5"/>
  <c r="P400" i="5"/>
  <c r="Q400" i="5"/>
  <c r="T400" i="5"/>
  <c r="U400" i="5"/>
  <c r="X400" i="5"/>
  <c r="Y400" i="5"/>
  <c r="AF400" i="5"/>
  <c r="AG400" i="5"/>
  <c r="AJ400" i="5"/>
  <c r="AK400" i="5"/>
  <c r="H401" i="5"/>
  <c r="I401" i="5"/>
  <c r="P401" i="5"/>
  <c r="Q401" i="5"/>
  <c r="T401" i="5"/>
  <c r="U401" i="5"/>
  <c r="X401" i="5"/>
  <c r="Y401" i="5"/>
  <c r="AF401" i="5"/>
  <c r="AG401" i="5"/>
  <c r="AJ401" i="5"/>
  <c r="AK401" i="5"/>
  <c r="H402" i="5"/>
  <c r="I402" i="5"/>
  <c r="P402" i="5"/>
  <c r="Q402" i="5"/>
  <c r="T402" i="5"/>
  <c r="U402" i="5"/>
  <c r="X402" i="5"/>
  <c r="Y402" i="5"/>
  <c r="AF402" i="5"/>
  <c r="AG402" i="5"/>
  <c r="AJ402" i="5"/>
  <c r="AK402" i="5"/>
  <c r="H403" i="5"/>
  <c r="I403" i="5"/>
  <c r="P403" i="5"/>
  <c r="Q403" i="5"/>
  <c r="T403" i="5"/>
  <c r="U403" i="5"/>
  <c r="X403" i="5"/>
  <c r="Y403" i="5"/>
  <c r="AF403" i="5"/>
  <c r="AG403" i="5"/>
  <c r="AJ403" i="5"/>
  <c r="AK403" i="5"/>
  <c r="H404" i="5"/>
  <c r="I404" i="5"/>
  <c r="P404" i="5"/>
  <c r="Q404" i="5"/>
  <c r="T404" i="5"/>
  <c r="U404" i="5"/>
  <c r="X404" i="5"/>
  <c r="Y404" i="5"/>
  <c r="AF404" i="5"/>
  <c r="AG404" i="5"/>
  <c r="AJ404" i="5"/>
  <c r="AK404" i="5"/>
  <c r="H405" i="5"/>
  <c r="I405" i="5"/>
  <c r="P405" i="5"/>
  <c r="Q405" i="5"/>
  <c r="T405" i="5"/>
  <c r="U405" i="5"/>
  <c r="X405" i="5"/>
  <c r="Y405" i="5"/>
  <c r="AF405" i="5"/>
  <c r="AG405" i="5"/>
  <c r="AJ405" i="5"/>
  <c r="AK405" i="5"/>
  <c r="H406" i="5"/>
  <c r="I406" i="5"/>
  <c r="P406" i="5"/>
  <c r="Q406" i="5"/>
  <c r="T406" i="5"/>
  <c r="U406" i="5"/>
  <c r="X406" i="5"/>
  <c r="Y406" i="5"/>
  <c r="AF406" i="5"/>
  <c r="AG406" i="5"/>
  <c r="AJ406" i="5"/>
  <c r="AK406" i="5"/>
  <c r="H407" i="5"/>
  <c r="I407" i="5"/>
  <c r="P407" i="5"/>
  <c r="Q407" i="5"/>
  <c r="T407" i="5"/>
  <c r="U407" i="5"/>
  <c r="X407" i="5"/>
  <c r="Y407" i="5"/>
  <c r="AF407" i="5"/>
  <c r="AG407" i="5"/>
  <c r="AJ407" i="5"/>
  <c r="AK407" i="5"/>
  <c r="H408" i="5"/>
  <c r="I408" i="5"/>
  <c r="P408" i="5"/>
  <c r="Q408" i="5"/>
  <c r="T408" i="5"/>
  <c r="U408" i="5"/>
  <c r="X408" i="5"/>
  <c r="Y408" i="5"/>
  <c r="AF408" i="5"/>
  <c r="AG408" i="5"/>
  <c r="AJ408" i="5"/>
  <c r="AK408" i="5"/>
  <c r="H409" i="5"/>
  <c r="I409" i="5"/>
  <c r="P409" i="5"/>
  <c r="Q409" i="5"/>
  <c r="T409" i="5"/>
  <c r="U409" i="5"/>
  <c r="X409" i="5"/>
  <c r="Y409" i="5"/>
  <c r="AF409" i="5"/>
  <c r="AG409" i="5"/>
  <c r="AJ409" i="5"/>
  <c r="AK409" i="5"/>
  <c r="H410" i="5"/>
  <c r="I410" i="5"/>
  <c r="P410" i="5"/>
  <c r="Q410" i="5"/>
  <c r="T410" i="5"/>
  <c r="U410" i="5"/>
  <c r="X410" i="5"/>
  <c r="Y410" i="5"/>
  <c r="AF410" i="5"/>
  <c r="AG410" i="5"/>
  <c r="AJ410" i="5"/>
  <c r="AK410" i="5"/>
  <c r="H411" i="5"/>
  <c r="I411" i="5"/>
  <c r="P411" i="5"/>
  <c r="Q411" i="5"/>
  <c r="T411" i="5"/>
  <c r="U411" i="5"/>
  <c r="X411" i="5"/>
  <c r="Y411" i="5"/>
  <c r="AF411" i="5"/>
  <c r="AG411" i="5"/>
  <c r="AJ411" i="5"/>
  <c r="AK411" i="5"/>
  <c r="H412" i="5"/>
  <c r="I412" i="5"/>
  <c r="P412" i="5"/>
  <c r="Q412" i="5"/>
  <c r="T412" i="5"/>
  <c r="U412" i="5"/>
  <c r="X412" i="5"/>
  <c r="Y412" i="5"/>
  <c r="AF412" i="5"/>
  <c r="AG412" i="5"/>
  <c r="AJ412" i="5"/>
  <c r="AK412" i="5"/>
  <c r="H413" i="5"/>
  <c r="I413" i="5"/>
  <c r="P413" i="5"/>
  <c r="Q413" i="5"/>
  <c r="T413" i="5"/>
  <c r="U413" i="5"/>
  <c r="X413" i="5"/>
  <c r="Y413" i="5"/>
  <c r="AF413" i="5"/>
  <c r="AG413" i="5"/>
  <c r="AJ413" i="5"/>
  <c r="AK413" i="5"/>
  <c r="H414" i="5"/>
  <c r="I414" i="5"/>
  <c r="P414" i="5"/>
  <c r="Q414" i="5"/>
  <c r="T414" i="5"/>
  <c r="U414" i="5"/>
  <c r="X414" i="5"/>
  <c r="Y414" i="5"/>
  <c r="AF414" i="5"/>
  <c r="AG414" i="5"/>
  <c r="AJ414" i="5"/>
  <c r="AK414" i="5"/>
  <c r="H415" i="5"/>
  <c r="I415" i="5"/>
  <c r="P415" i="5"/>
  <c r="Q415" i="5"/>
  <c r="T415" i="5"/>
  <c r="U415" i="5"/>
  <c r="X415" i="5"/>
  <c r="Y415" i="5"/>
  <c r="AF415" i="5"/>
  <c r="AG415" i="5"/>
  <c r="AJ415" i="5"/>
  <c r="AK415" i="5"/>
  <c r="H416" i="5"/>
  <c r="I416" i="5"/>
  <c r="P416" i="5"/>
  <c r="Q416" i="5"/>
  <c r="T416" i="5"/>
  <c r="U416" i="5"/>
  <c r="X416" i="5"/>
  <c r="Y416" i="5"/>
  <c r="AF416" i="5"/>
  <c r="AG416" i="5"/>
  <c r="AJ416" i="5"/>
  <c r="AK416" i="5"/>
  <c r="H417" i="5"/>
  <c r="I417" i="5"/>
  <c r="P417" i="5"/>
  <c r="Q417" i="5"/>
  <c r="T417" i="5"/>
  <c r="U417" i="5"/>
  <c r="X417" i="5"/>
  <c r="Y417" i="5"/>
  <c r="AF417" i="5"/>
  <c r="AG417" i="5"/>
  <c r="AJ417" i="5"/>
  <c r="AK417" i="5"/>
  <c r="H418" i="5"/>
  <c r="I418" i="5"/>
  <c r="P418" i="5"/>
  <c r="Q418" i="5"/>
  <c r="T418" i="5"/>
  <c r="U418" i="5"/>
  <c r="X418" i="5"/>
  <c r="Y418" i="5"/>
  <c r="AF418" i="5"/>
  <c r="AG418" i="5"/>
  <c r="AJ418" i="5"/>
  <c r="AK418" i="5"/>
  <c r="H419" i="5"/>
  <c r="I419" i="5"/>
  <c r="P419" i="5"/>
  <c r="Q419" i="5"/>
  <c r="T419" i="5"/>
  <c r="U419" i="5"/>
  <c r="X419" i="5"/>
  <c r="Y419" i="5"/>
  <c r="AF419" i="5"/>
  <c r="AG419" i="5"/>
  <c r="AJ419" i="5"/>
  <c r="AK419" i="5"/>
  <c r="H420" i="5"/>
  <c r="I420" i="5"/>
  <c r="P420" i="5"/>
  <c r="Q420" i="5"/>
  <c r="T420" i="5"/>
  <c r="U420" i="5"/>
  <c r="X420" i="5"/>
  <c r="Y420" i="5"/>
  <c r="AF420" i="5"/>
  <c r="AG420" i="5"/>
  <c r="AJ420" i="5"/>
  <c r="AK420" i="5"/>
  <c r="H421" i="5"/>
  <c r="I421" i="5"/>
  <c r="P421" i="5"/>
  <c r="Q421" i="5"/>
  <c r="T421" i="5"/>
  <c r="U421" i="5"/>
  <c r="X421" i="5"/>
  <c r="Y421" i="5"/>
  <c r="AF421" i="5"/>
  <c r="AG421" i="5"/>
  <c r="AJ421" i="5"/>
  <c r="AK421" i="5"/>
  <c r="H422" i="5"/>
  <c r="I422" i="5"/>
  <c r="P422" i="5"/>
  <c r="Q422" i="5"/>
  <c r="T422" i="5"/>
  <c r="U422" i="5"/>
  <c r="X422" i="5"/>
  <c r="Y422" i="5"/>
  <c r="AF422" i="5"/>
  <c r="AG422" i="5"/>
  <c r="AJ422" i="5"/>
  <c r="AK422" i="5"/>
  <c r="H423" i="5"/>
  <c r="I423" i="5"/>
  <c r="P423" i="5"/>
  <c r="Q423" i="5"/>
  <c r="T423" i="5"/>
  <c r="U423" i="5"/>
  <c r="X423" i="5"/>
  <c r="Y423" i="5"/>
  <c r="AF423" i="5"/>
  <c r="AG423" i="5"/>
  <c r="AJ423" i="5"/>
  <c r="AK423" i="5"/>
  <c r="H424" i="5"/>
  <c r="I424" i="5"/>
  <c r="P424" i="5"/>
  <c r="Q424" i="5"/>
  <c r="T424" i="5"/>
  <c r="U424" i="5"/>
  <c r="X424" i="5"/>
  <c r="Y424" i="5"/>
  <c r="AF424" i="5"/>
  <c r="AG424" i="5"/>
  <c r="AJ424" i="5"/>
  <c r="AK424" i="5"/>
  <c r="H425" i="5"/>
  <c r="I425" i="5"/>
  <c r="P425" i="5"/>
  <c r="Q425" i="5"/>
  <c r="T425" i="5"/>
  <c r="U425" i="5"/>
  <c r="X425" i="5"/>
  <c r="Y425" i="5"/>
  <c r="AF425" i="5"/>
  <c r="AG425" i="5"/>
  <c r="AJ425" i="5"/>
  <c r="AK425" i="5"/>
  <c r="H426" i="5"/>
  <c r="I426" i="5"/>
  <c r="P426" i="5"/>
  <c r="Q426" i="5"/>
  <c r="T426" i="5"/>
  <c r="U426" i="5"/>
  <c r="X426" i="5"/>
  <c r="Y426" i="5"/>
  <c r="AF426" i="5"/>
  <c r="AG426" i="5"/>
  <c r="AJ426" i="5"/>
  <c r="AK426" i="5"/>
  <c r="H427" i="5"/>
  <c r="I427" i="5"/>
  <c r="P427" i="5"/>
  <c r="Q427" i="5"/>
  <c r="T427" i="5"/>
  <c r="U427" i="5"/>
  <c r="X427" i="5"/>
  <c r="Y427" i="5"/>
  <c r="AF427" i="5"/>
  <c r="AG427" i="5"/>
  <c r="AJ427" i="5"/>
  <c r="AK427" i="5"/>
  <c r="H428" i="5"/>
  <c r="I428" i="5"/>
  <c r="P428" i="5"/>
  <c r="Q428" i="5"/>
  <c r="T428" i="5"/>
  <c r="U428" i="5"/>
  <c r="X428" i="5"/>
  <c r="Y428" i="5"/>
  <c r="AF428" i="5"/>
  <c r="AG428" i="5"/>
  <c r="AJ428" i="5"/>
  <c r="AK428" i="5"/>
  <c r="H429" i="5"/>
  <c r="I429" i="5"/>
  <c r="P429" i="5"/>
  <c r="Q429" i="5"/>
  <c r="T429" i="5"/>
  <c r="U429" i="5"/>
  <c r="X429" i="5"/>
  <c r="Y429" i="5"/>
  <c r="AF429" i="5"/>
  <c r="AG429" i="5"/>
  <c r="AJ429" i="5"/>
  <c r="AK429" i="5"/>
  <c r="H430" i="5"/>
  <c r="I430" i="5"/>
  <c r="P430" i="5"/>
  <c r="Q430" i="5"/>
  <c r="T430" i="5"/>
  <c r="U430" i="5"/>
  <c r="X430" i="5"/>
  <c r="Y430" i="5"/>
  <c r="AF430" i="5"/>
  <c r="AG430" i="5"/>
  <c r="AJ430" i="5"/>
  <c r="AK430" i="5"/>
  <c r="H431" i="5"/>
  <c r="I431" i="5"/>
  <c r="P431" i="5"/>
  <c r="Q431" i="5"/>
  <c r="T431" i="5"/>
  <c r="U431" i="5"/>
  <c r="X431" i="5"/>
  <c r="Y431" i="5"/>
  <c r="AF431" i="5"/>
  <c r="AG431" i="5"/>
  <c r="AJ431" i="5"/>
  <c r="AK431" i="5"/>
  <c r="H432" i="5"/>
  <c r="I432" i="5"/>
  <c r="P432" i="5"/>
  <c r="Q432" i="5"/>
  <c r="T432" i="5"/>
  <c r="U432" i="5"/>
  <c r="X432" i="5"/>
  <c r="Y432" i="5"/>
  <c r="AF432" i="5"/>
  <c r="AG432" i="5"/>
  <c r="AJ432" i="5"/>
  <c r="AK432" i="5"/>
  <c r="H433" i="5"/>
  <c r="I433" i="5"/>
  <c r="P433" i="5"/>
  <c r="Q433" i="5"/>
  <c r="T433" i="5"/>
  <c r="U433" i="5"/>
  <c r="X433" i="5"/>
  <c r="Y433" i="5"/>
  <c r="AF433" i="5"/>
  <c r="AG433" i="5"/>
  <c r="AJ433" i="5"/>
  <c r="AK433" i="5"/>
  <c r="H434" i="5"/>
  <c r="I434" i="5"/>
  <c r="P434" i="5"/>
  <c r="Q434" i="5"/>
  <c r="T434" i="5"/>
  <c r="U434" i="5"/>
  <c r="X434" i="5"/>
  <c r="Y434" i="5"/>
  <c r="AF434" i="5"/>
  <c r="AG434" i="5"/>
  <c r="AJ434" i="5"/>
  <c r="AK434" i="5"/>
  <c r="H435" i="5"/>
  <c r="I435" i="5"/>
  <c r="P435" i="5"/>
  <c r="Q435" i="5"/>
  <c r="T435" i="5"/>
  <c r="U435" i="5"/>
  <c r="X435" i="5"/>
  <c r="Y435" i="5"/>
  <c r="AF435" i="5"/>
  <c r="AG435" i="5"/>
  <c r="AJ435" i="5"/>
  <c r="AK435" i="5"/>
  <c r="H436" i="5"/>
  <c r="I436" i="5"/>
  <c r="P436" i="5"/>
  <c r="Q436" i="5"/>
  <c r="T436" i="5"/>
  <c r="U436" i="5"/>
  <c r="X436" i="5"/>
  <c r="Y436" i="5"/>
  <c r="AF436" i="5"/>
  <c r="AG436" i="5"/>
  <c r="AJ436" i="5"/>
  <c r="AK436" i="5"/>
  <c r="H437" i="5"/>
  <c r="I437" i="5"/>
  <c r="P437" i="5"/>
  <c r="Q437" i="5"/>
  <c r="T437" i="5"/>
  <c r="U437" i="5"/>
  <c r="X437" i="5"/>
  <c r="Y437" i="5"/>
  <c r="AF437" i="5"/>
  <c r="AG437" i="5"/>
  <c r="AJ437" i="5"/>
  <c r="AK437" i="5"/>
  <c r="H438" i="5"/>
  <c r="I438" i="5"/>
  <c r="P438" i="5"/>
  <c r="Q438" i="5"/>
  <c r="T438" i="5"/>
  <c r="U438" i="5"/>
  <c r="X438" i="5"/>
  <c r="Y438" i="5"/>
  <c r="AF438" i="5"/>
  <c r="AG438" i="5"/>
  <c r="AJ438" i="5"/>
  <c r="AK438" i="5"/>
  <c r="H439" i="5"/>
  <c r="I439" i="5"/>
  <c r="P439" i="5"/>
  <c r="Q439" i="5"/>
  <c r="T439" i="5"/>
  <c r="U439" i="5"/>
  <c r="X439" i="5"/>
  <c r="Y439" i="5"/>
  <c r="AF439" i="5"/>
  <c r="AG439" i="5"/>
  <c r="AJ439" i="5"/>
  <c r="AK439" i="5"/>
  <c r="H440" i="5"/>
  <c r="I440" i="5"/>
  <c r="P440" i="5"/>
  <c r="Q440" i="5"/>
  <c r="T440" i="5"/>
  <c r="U440" i="5"/>
  <c r="X440" i="5"/>
  <c r="Y440" i="5"/>
  <c r="AF440" i="5"/>
  <c r="AG440" i="5"/>
  <c r="AJ440" i="5"/>
  <c r="AK440" i="5"/>
  <c r="H441" i="5"/>
  <c r="I441" i="5"/>
  <c r="P441" i="5"/>
  <c r="Q441" i="5"/>
  <c r="T441" i="5"/>
  <c r="U441" i="5"/>
  <c r="X441" i="5"/>
  <c r="Y441" i="5"/>
  <c r="AF441" i="5"/>
  <c r="AG441" i="5"/>
  <c r="AJ441" i="5"/>
  <c r="AK441" i="5"/>
  <c r="H442" i="5"/>
  <c r="I442" i="5"/>
  <c r="P442" i="5"/>
  <c r="Q442" i="5"/>
  <c r="T442" i="5"/>
  <c r="U442" i="5"/>
  <c r="X442" i="5"/>
  <c r="Y442" i="5"/>
  <c r="AF442" i="5"/>
  <c r="AG442" i="5"/>
  <c r="AJ442" i="5"/>
  <c r="AK442" i="5"/>
  <c r="H443" i="5"/>
  <c r="I443" i="5"/>
  <c r="P443" i="5"/>
  <c r="Q443" i="5"/>
  <c r="T443" i="5"/>
  <c r="U443" i="5"/>
  <c r="X443" i="5"/>
  <c r="Y443" i="5"/>
  <c r="AF443" i="5"/>
  <c r="AG443" i="5"/>
  <c r="AJ443" i="5"/>
  <c r="AK443" i="5"/>
  <c r="H444" i="5"/>
  <c r="I444" i="5"/>
  <c r="P444" i="5"/>
  <c r="Q444" i="5"/>
  <c r="T444" i="5"/>
  <c r="U444" i="5"/>
  <c r="X444" i="5"/>
  <c r="Y444" i="5"/>
  <c r="AF444" i="5"/>
  <c r="AG444" i="5"/>
  <c r="AJ444" i="5"/>
  <c r="AK444" i="5"/>
  <c r="H445" i="5"/>
  <c r="I445" i="5"/>
  <c r="P445" i="5"/>
  <c r="Q445" i="5"/>
  <c r="T445" i="5"/>
  <c r="U445" i="5"/>
  <c r="X445" i="5"/>
  <c r="Y445" i="5"/>
  <c r="AF445" i="5"/>
  <c r="AG445" i="5"/>
  <c r="AJ445" i="5"/>
  <c r="AK445" i="5"/>
  <c r="H446" i="5"/>
  <c r="I446" i="5"/>
  <c r="P446" i="5"/>
  <c r="Q446" i="5"/>
  <c r="T446" i="5"/>
  <c r="U446" i="5"/>
  <c r="X446" i="5"/>
  <c r="Y446" i="5"/>
  <c r="AF446" i="5"/>
  <c r="AG446" i="5"/>
  <c r="AJ446" i="5"/>
  <c r="AK446" i="5"/>
  <c r="H447" i="5"/>
  <c r="I447" i="5"/>
  <c r="P447" i="5"/>
  <c r="Q447" i="5"/>
  <c r="T447" i="5"/>
  <c r="U447" i="5"/>
  <c r="X447" i="5"/>
  <c r="Y447" i="5"/>
  <c r="AF447" i="5"/>
  <c r="AG447" i="5"/>
  <c r="AJ447" i="5"/>
  <c r="AK447" i="5"/>
  <c r="H448" i="5"/>
  <c r="I448" i="5"/>
  <c r="P448" i="5"/>
  <c r="Q448" i="5"/>
  <c r="T448" i="5"/>
  <c r="U448" i="5"/>
  <c r="X448" i="5"/>
  <c r="Y448" i="5"/>
  <c r="AF448" i="5"/>
  <c r="AG448" i="5"/>
  <c r="AJ448" i="5"/>
  <c r="AK448" i="5"/>
  <c r="H449" i="5"/>
  <c r="I449" i="5"/>
  <c r="P449" i="5"/>
  <c r="Q449" i="5"/>
  <c r="T449" i="5"/>
  <c r="U449" i="5"/>
  <c r="X449" i="5"/>
  <c r="Y449" i="5"/>
  <c r="AF449" i="5"/>
  <c r="AG449" i="5"/>
  <c r="AJ449" i="5"/>
  <c r="AK449" i="5"/>
  <c r="H450" i="5"/>
  <c r="I450" i="5"/>
  <c r="P450" i="5"/>
  <c r="Q450" i="5"/>
  <c r="T450" i="5"/>
  <c r="U450" i="5"/>
  <c r="X450" i="5"/>
  <c r="Y450" i="5"/>
  <c r="AF450" i="5"/>
  <c r="AG450" i="5"/>
  <c r="AJ450" i="5"/>
  <c r="AK450" i="5"/>
  <c r="H451" i="5"/>
  <c r="I451" i="5"/>
  <c r="P451" i="5"/>
  <c r="Q451" i="5"/>
  <c r="T451" i="5"/>
  <c r="U451" i="5"/>
  <c r="X451" i="5"/>
  <c r="Y451" i="5"/>
  <c r="AF451" i="5"/>
  <c r="AG451" i="5"/>
  <c r="AJ451" i="5"/>
  <c r="AK451" i="5"/>
  <c r="H452" i="5"/>
  <c r="I452" i="5"/>
  <c r="P452" i="5"/>
  <c r="Q452" i="5"/>
  <c r="T452" i="5"/>
  <c r="U452" i="5"/>
  <c r="X452" i="5"/>
  <c r="Y452" i="5"/>
  <c r="AF452" i="5"/>
  <c r="AG452" i="5"/>
  <c r="AJ452" i="5"/>
  <c r="AK452" i="5"/>
  <c r="H453" i="5"/>
  <c r="I453" i="5"/>
  <c r="P453" i="5"/>
  <c r="Q453" i="5"/>
  <c r="T453" i="5"/>
  <c r="U453" i="5"/>
  <c r="X453" i="5"/>
  <c r="Y453" i="5"/>
  <c r="AF453" i="5"/>
  <c r="AG453" i="5"/>
  <c r="AJ453" i="5"/>
  <c r="AK453" i="5"/>
  <c r="H454" i="5"/>
  <c r="I454" i="5"/>
  <c r="P454" i="5"/>
  <c r="Q454" i="5"/>
  <c r="T454" i="5"/>
  <c r="U454" i="5"/>
  <c r="X454" i="5"/>
  <c r="Y454" i="5"/>
  <c r="AF454" i="5"/>
  <c r="AG454" i="5"/>
  <c r="AJ454" i="5"/>
  <c r="AK454" i="5"/>
  <c r="H455" i="5"/>
  <c r="I455" i="5"/>
  <c r="P455" i="5"/>
  <c r="Q455" i="5"/>
  <c r="T455" i="5"/>
  <c r="U455" i="5"/>
  <c r="X455" i="5"/>
  <c r="Y455" i="5"/>
  <c r="AF455" i="5"/>
  <c r="AG455" i="5"/>
  <c r="AJ455" i="5"/>
  <c r="AK455" i="5"/>
  <c r="H456" i="5"/>
  <c r="I456" i="5"/>
  <c r="P456" i="5"/>
  <c r="Q456" i="5"/>
  <c r="T456" i="5"/>
  <c r="U456" i="5"/>
  <c r="X456" i="5"/>
  <c r="Y456" i="5"/>
  <c r="AF456" i="5"/>
  <c r="AG456" i="5"/>
  <c r="AJ456" i="5"/>
  <c r="AK456" i="5"/>
  <c r="H457" i="5"/>
  <c r="I457" i="5"/>
  <c r="P457" i="5"/>
  <c r="Q457" i="5"/>
  <c r="T457" i="5"/>
  <c r="U457" i="5"/>
  <c r="X457" i="5"/>
  <c r="Y457" i="5"/>
  <c r="AF457" i="5"/>
  <c r="AG457" i="5"/>
  <c r="AJ457" i="5"/>
  <c r="AK457" i="5"/>
  <c r="H458" i="5"/>
  <c r="I458" i="5"/>
  <c r="P458" i="5"/>
  <c r="Q458" i="5"/>
  <c r="T458" i="5"/>
  <c r="U458" i="5"/>
  <c r="X458" i="5"/>
  <c r="Y458" i="5"/>
  <c r="AF458" i="5"/>
  <c r="AG458" i="5"/>
  <c r="AJ458" i="5"/>
  <c r="AK458" i="5"/>
  <c r="H459" i="5"/>
  <c r="I459" i="5"/>
  <c r="P459" i="5"/>
  <c r="Q459" i="5"/>
  <c r="T459" i="5"/>
  <c r="U459" i="5"/>
  <c r="X459" i="5"/>
  <c r="Y459" i="5"/>
  <c r="AF459" i="5"/>
  <c r="AG459" i="5"/>
  <c r="AJ459" i="5"/>
  <c r="AK459" i="5"/>
  <c r="H460" i="5"/>
  <c r="I460" i="5"/>
  <c r="P460" i="5"/>
  <c r="Q460" i="5"/>
  <c r="T460" i="5"/>
  <c r="U460" i="5"/>
  <c r="X460" i="5"/>
  <c r="Y460" i="5"/>
  <c r="AF460" i="5"/>
  <c r="AG460" i="5"/>
  <c r="AJ460" i="5"/>
  <c r="AK460" i="5"/>
  <c r="H461" i="5"/>
  <c r="I461" i="5"/>
  <c r="P461" i="5"/>
  <c r="Q461" i="5"/>
  <c r="T461" i="5"/>
  <c r="U461" i="5"/>
  <c r="X461" i="5"/>
  <c r="Y461" i="5"/>
  <c r="AF461" i="5"/>
  <c r="AG461" i="5"/>
  <c r="AJ461" i="5"/>
  <c r="AK461" i="5"/>
  <c r="H462" i="5"/>
  <c r="I462" i="5"/>
  <c r="P462" i="5"/>
  <c r="Q462" i="5"/>
  <c r="T462" i="5"/>
  <c r="U462" i="5"/>
  <c r="X462" i="5"/>
  <c r="Y462" i="5"/>
  <c r="AF462" i="5"/>
  <c r="AG462" i="5"/>
  <c r="AJ462" i="5"/>
  <c r="AK462" i="5"/>
  <c r="H463" i="5"/>
  <c r="I463" i="5"/>
  <c r="P463" i="5"/>
  <c r="Q463" i="5"/>
  <c r="T463" i="5"/>
  <c r="U463" i="5"/>
  <c r="X463" i="5"/>
  <c r="Y463" i="5"/>
  <c r="AF463" i="5"/>
  <c r="AG463" i="5"/>
  <c r="AJ463" i="5"/>
  <c r="AK463" i="5"/>
  <c r="H464" i="5"/>
  <c r="I464" i="5"/>
  <c r="P464" i="5"/>
  <c r="Q464" i="5"/>
  <c r="T464" i="5"/>
  <c r="U464" i="5"/>
  <c r="X464" i="5"/>
  <c r="Y464" i="5"/>
  <c r="AF464" i="5"/>
  <c r="AG464" i="5"/>
  <c r="AJ464" i="5"/>
  <c r="AK464" i="5"/>
  <c r="H465" i="5"/>
  <c r="I465" i="5"/>
  <c r="P465" i="5"/>
  <c r="Q465" i="5"/>
  <c r="T465" i="5"/>
  <c r="U465" i="5"/>
  <c r="X465" i="5"/>
  <c r="Y465" i="5"/>
  <c r="AF465" i="5"/>
  <c r="AG465" i="5"/>
  <c r="AJ465" i="5"/>
  <c r="AK465" i="5"/>
  <c r="H466" i="5"/>
  <c r="I466" i="5"/>
  <c r="P466" i="5"/>
  <c r="Q466" i="5"/>
  <c r="T466" i="5"/>
  <c r="U466" i="5"/>
  <c r="X466" i="5"/>
  <c r="Y466" i="5"/>
  <c r="AF466" i="5"/>
  <c r="AG466" i="5"/>
  <c r="AJ466" i="5"/>
  <c r="AK466" i="5"/>
  <c r="H467" i="5"/>
  <c r="I467" i="5"/>
  <c r="P467" i="5"/>
  <c r="Q467" i="5"/>
  <c r="T467" i="5"/>
  <c r="U467" i="5"/>
  <c r="X467" i="5"/>
  <c r="Y467" i="5"/>
  <c r="AF467" i="5"/>
  <c r="AG467" i="5"/>
  <c r="AJ467" i="5"/>
  <c r="AK467" i="5"/>
  <c r="H468" i="5"/>
  <c r="I468" i="5"/>
  <c r="P468" i="5"/>
  <c r="Q468" i="5"/>
  <c r="T468" i="5"/>
  <c r="U468" i="5"/>
  <c r="X468" i="5"/>
  <c r="Y468" i="5"/>
  <c r="AF468" i="5"/>
  <c r="AG468" i="5"/>
  <c r="AJ468" i="5"/>
  <c r="AK468" i="5"/>
  <c r="H469" i="5"/>
  <c r="I469" i="5"/>
  <c r="P469" i="5"/>
  <c r="Q469" i="5"/>
  <c r="T469" i="5"/>
  <c r="U469" i="5"/>
  <c r="X469" i="5"/>
  <c r="Y469" i="5"/>
  <c r="AF469" i="5"/>
  <c r="AG469" i="5"/>
  <c r="AJ469" i="5"/>
  <c r="AK469" i="5"/>
  <c r="H470" i="5"/>
  <c r="I470" i="5"/>
  <c r="P470" i="5"/>
  <c r="Q470" i="5"/>
  <c r="T470" i="5"/>
  <c r="U470" i="5"/>
  <c r="X470" i="5"/>
  <c r="Y470" i="5"/>
  <c r="AF470" i="5"/>
  <c r="AG470" i="5"/>
  <c r="AJ470" i="5"/>
  <c r="AK470" i="5"/>
  <c r="H471" i="5"/>
  <c r="I471" i="5"/>
  <c r="P471" i="5"/>
  <c r="Q471" i="5"/>
  <c r="T471" i="5"/>
  <c r="U471" i="5"/>
  <c r="X471" i="5"/>
  <c r="Y471" i="5"/>
  <c r="AF471" i="5"/>
  <c r="AG471" i="5"/>
  <c r="AJ471" i="5"/>
  <c r="AK471" i="5"/>
  <c r="H472" i="5"/>
  <c r="I472" i="5"/>
  <c r="P472" i="5"/>
  <c r="Q472" i="5"/>
  <c r="T472" i="5"/>
  <c r="U472" i="5"/>
  <c r="X472" i="5"/>
  <c r="Y472" i="5"/>
  <c r="AF472" i="5"/>
  <c r="AG472" i="5"/>
  <c r="AJ472" i="5"/>
  <c r="AK472" i="5"/>
  <c r="H473" i="5"/>
  <c r="I473" i="5"/>
  <c r="P473" i="5"/>
  <c r="Q473" i="5"/>
  <c r="T473" i="5"/>
  <c r="U473" i="5"/>
  <c r="X473" i="5"/>
  <c r="Y473" i="5"/>
  <c r="AF473" i="5"/>
  <c r="AG473" i="5"/>
  <c r="AJ473" i="5"/>
  <c r="AK473" i="5"/>
  <c r="H474" i="5"/>
  <c r="I474" i="5"/>
  <c r="P474" i="5"/>
  <c r="Q474" i="5"/>
  <c r="T474" i="5"/>
  <c r="U474" i="5"/>
  <c r="X474" i="5"/>
  <c r="Y474" i="5"/>
  <c r="AF474" i="5"/>
  <c r="AG474" i="5"/>
  <c r="AJ474" i="5"/>
  <c r="AK474" i="5"/>
  <c r="H475" i="5"/>
  <c r="I475" i="5"/>
  <c r="P475" i="5"/>
  <c r="Q475" i="5"/>
  <c r="T475" i="5"/>
  <c r="U475" i="5"/>
  <c r="X475" i="5"/>
  <c r="Y475" i="5"/>
  <c r="AF475" i="5"/>
  <c r="AG475" i="5"/>
  <c r="AJ475" i="5"/>
  <c r="AK475" i="5"/>
  <c r="H476" i="5"/>
  <c r="I476" i="5"/>
  <c r="P476" i="5"/>
  <c r="Q476" i="5"/>
  <c r="T476" i="5"/>
  <c r="U476" i="5"/>
  <c r="X476" i="5"/>
  <c r="Y476" i="5"/>
  <c r="AF476" i="5"/>
  <c r="AG476" i="5"/>
  <c r="AJ476" i="5"/>
  <c r="AK476" i="5"/>
  <c r="H477" i="5"/>
  <c r="I477" i="5"/>
  <c r="P477" i="5"/>
  <c r="Q477" i="5"/>
  <c r="T477" i="5"/>
  <c r="U477" i="5"/>
  <c r="X477" i="5"/>
  <c r="Y477" i="5"/>
  <c r="AF477" i="5"/>
  <c r="AG477" i="5"/>
  <c r="AJ477" i="5"/>
  <c r="AK477" i="5"/>
  <c r="H478" i="5"/>
  <c r="I478" i="5"/>
  <c r="P478" i="5"/>
  <c r="Q478" i="5"/>
  <c r="T478" i="5"/>
  <c r="U478" i="5"/>
  <c r="X478" i="5"/>
  <c r="Y478" i="5"/>
  <c r="AF478" i="5"/>
  <c r="AG478" i="5"/>
  <c r="AJ478" i="5"/>
  <c r="AK478" i="5"/>
  <c r="H479" i="5"/>
  <c r="I479" i="5"/>
  <c r="P479" i="5"/>
  <c r="Q479" i="5"/>
  <c r="T479" i="5"/>
  <c r="U479" i="5"/>
  <c r="X479" i="5"/>
  <c r="Y479" i="5"/>
  <c r="AF479" i="5"/>
  <c r="AG479" i="5"/>
  <c r="AJ479" i="5"/>
  <c r="AK479" i="5"/>
  <c r="H480" i="5"/>
  <c r="I480" i="5"/>
  <c r="P480" i="5"/>
  <c r="Q480" i="5"/>
  <c r="T480" i="5"/>
  <c r="U480" i="5"/>
  <c r="X480" i="5"/>
  <c r="Y480" i="5"/>
  <c r="AF480" i="5"/>
  <c r="AG480" i="5"/>
  <c r="AJ480" i="5"/>
  <c r="AK480" i="5"/>
  <c r="H481" i="5"/>
  <c r="I481" i="5"/>
  <c r="P481" i="5"/>
  <c r="Q481" i="5"/>
  <c r="T481" i="5"/>
  <c r="U481" i="5"/>
  <c r="X481" i="5"/>
  <c r="Y481" i="5"/>
  <c r="AF481" i="5"/>
  <c r="AG481" i="5"/>
  <c r="AJ481" i="5"/>
  <c r="AK481" i="5"/>
  <c r="H482" i="5"/>
  <c r="I482" i="5"/>
  <c r="P482" i="5"/>
  <c r="Q482" i="5"/>
  <c r="T482" i="5"/>
  <c r="U482" i="5"/>
  <c r="X482" i="5"/>
  <c r="Y482" i="5"/>
  <c r="AF482" i="5"/>
  <c r="AG482" i="5"/>
  <c r="AJ482" i="5"/>
  <c r="AK482" i="5"/>
  <c r="H483" i="5"/>
  <c r="I483" i="5"/>
  <c r="P483" i="5"/>
  <c r="Q483" i="5"/>
  <c r="T483" i="5"/>
  <c r="U483" i="5"/>
  <c r="X483" i="5"/>
  <c r="Y483" i="5"/>
  <c r="AF483" i="5"/>
  <c r="AG483" i="5"/>
  <c r="AJ483" i="5"/>
  <c r="AK483" i="5"/>
  <c r="H484" i="5"/>
  <c r="I484" i="5"/>
  <c r="P484" i="5"/>
  <c r="Q484" i="5"/>
  <c r="T484" i="5"/>
  <c r="U484" i="5"/>
  <c r="X484" i="5"/>
  <c r="Y484" i="5"/>
  <c r="AF484" i="5"/>
  <c r="AG484" i="5"/>
  <c r="AJ484" i="5"/>
  <c r="AK484" i="5"/>
  <c r="H485" i="5"/>
  <c r="I485" i="5"/>
  <c r="P485" i="5"/>
  <c r="Q485" i="5"/>
  <c r="T485" i="5"/>
  <c r="U485" i="5"/>
  <c r="X485" i="5"/>
  <c r="Y485" i="5"/>
  <c r="AF485" i="5"/>
  <c r="AG485" i="5"/>
  <c r="AJ485" i="5"/>
  <c r="AK485" i="5"/>
  <c r="H486" i="5"/>
  <c r="I486" i="5"/>
  <c r="P486" i="5"/>
  <c r="Q486" i="5"/>
  <c r="T486" i="5"/>
  <c r="U486" i="5"/>
  <c r="X486" i="5"/>
  <c r="Y486" i="5"/>
  <c r="AF486" i="5"/>
  <c r="AG486" i="5"/>
  <c r="AJ486" i="5"/>
  <c r="AK486" i="5"/>
  <c r="H487" i="5"/>
  <c r="I487" i="5"/>
  <c r="P487" i="5"/>
  <c r="Q487" i="5"/>
  <c r="T487" i="5"/>
  <c r="U487" i="5"/>
  <c r="X487" i="5"/>
  <c r="Y487" i="5"/>
  <c r="AF487" i="5"/>
  <c r="AG487" i="5"/>
  <c r="AJ487" i="5"/>
  <c r="AK487" i="5"/>
  <c r="H488" i="5"/>
  <c r="I488" i="5"/>
  <c r="P488" i="5"/>
  <c r="Q488" i="5"/>
  <c r="T488" i="5"/>
  <c r="U488" i="5"/>
  <c r="X488" i="5"/>
  <c r="Y488" i="5"/>
  <c r="AF488" i="5"/>
  <c r="AG488" i="5"/>
  <c r="AJ488" i="5"/>
  <c r="AK488" i="5"/>
  <c r="H489" i="5"/>
  <c r="I489" i="5"/>
  <c r="P489" i="5"/>
  <c r="Q489" i="5"/>
  <c r="T489" i="5"/>
  <c r="U489" i="5"/>
  <c r="X489" i="5"/>
  <c r="Y489" i="5"/>
  <c r="AF489" i="5"/>
  <c r="AG489" i="5"/>
  <c r="AJ489" i="5"/>
  <c r="AK489" i="5"/>
  <c r="H490" i="5"/>
  <c r="I490" i="5"/>
  <c r="P490" i="5"/>
  <c r="Q490" i="5"/>
  <c r="T490" i="5"/>
  <c r="U490" i="5"/>
  <c r="X490" i="5"/>
  <c r="Y490" i="5"/>
  <c r="AF490" i="5"/>
  <c r="AG490" i="5"/>
  <c r="AJ490" i="5"/>
  <c r="AK490" i="5"/>
  <c r="H491" i="5"/>
  <c r="I491" i="5"/>
  <c r="P491" i="5"/>
  <c r="Q491" i="5"/>
  <c r="T491" i="5"/>
  <c r="U491" i="5"/>
  <c r="X491" i="5"/>
  <c r="Y491" i="5"/>
  <c r="AF491" i="5"/>
  <c r="AG491" i="5"/>
  <c r="AJ491" i="5"/>
  <c r="AK491" i="5"/>
  <c r="H492" i="5"/>
  <c r="I492" i="5"/>
  <c r="P492" i="5"/>
  <c r="Q492" i="5"/>
  <c r="T492" i="5"/>
  <c r="U492" i="5"/>
  <c r="X492" i="5"/>
  <c r="Y492" i="5"/>
  <c r="AF492" i="5"/>
  <c r="AG492" i="5"/>
  <c r="AJ492" i="5"/>
  <c r="AK492" i="5"/>
  <c r="H493" i="5"/>
  <c r="I493" i="5"/>
  <c r="P493" i="5"/>
  <c r="Q493" i="5"/>
  <c r="T493" i="5"/>
  <c r="U493" i="5"/>
  <c r="X493" i="5"/>
  <c r="Y493" i="5"/>
  <c r="AF493" i="5"/>
  <c r="AG493" i="5"/>
  <c r="AJ493" i="5"/>
  <c r="AK493" i="5"/>
  <c r="H494" i="5"/>
  <c r="I494" i="5"/>
  <c r="P494" i="5"/>
  <c r="Q494" i="5"/>
  <c r="T494" i="5"/>
  <c r="U494" i="5"/>
  <c r="X494" i="5"/>
  <c r="Y494" i="5"/>
  <c r="AF494" i="5"/>
  <c r="AG494" i="5"/>
  <c r="AJ494" i="5"/>
  <c r="AK494" i="5"/>
  <c r="H495" i="5"/>
  <c r="I495" i="5"/>
  <c r="P495" i="5"/>
  <c r="Q495" i="5"/>
  <c r="T495" i="5"/>
  <c r="U495" i="5"/>
  <c r="X495" i="5"/>
  <c r="Y495" i="5"/>
  <c r="AF495" i="5"/>
  <c r="AG495" i="5"/>
  <c r="AJ495" i="5"/>
  <c r="AK495" i="5"/>
  <c r="H496" i="5"/>
  <c r="I496" i="5"/>
  <c r="P496" i="5"/>
  <c r="Q496" i="5"/>
  <c r="T496" i="5"/>
  <c r="U496" i="5"/>
  <c r="X496" i="5"/>
  <c r="Y496" i="5"/>
  <c r="AF496" i="5"/>
  <c r="AG496" i="5"/>
  <c r="AJ496" i="5"/>
  <c r="AK496" i="5"/>
  <c r="H497" i="5"/>
  <c r="I497" i="5"/>
  <c r="P497" i="5"/>
  <c r="Q497" i="5"/>
  <c r="T497" i="5"/>
  <c r="U497" i="5"/>
  <c r="X497" i="5"/>
  <c r="Y497" i="5"/>
  <c r="AF497" i="5"/>
  <c r="AG497" i="5"/>
  <c r="AJ497" i="5"/>
  <c r="AK497" i="5"/>
  <c r="H498" i="5"/>
  <c r="I498" i="5"/>
  <c r="P498" i="5"/>
  <c r="Q498" i="5"/>
  <c r="T498" i="5"/>
  <c r="U498" i="5"/>
  <c r="X498" i="5"/>
  <c r="Y498" i="5"/>
  <c r="AF498" i="5"/>
  <c r="AG498" i="5"/>
  <c r="AJ498" i="5"/>
  <c r="AK498" i="5"/>
  <c r="H499" i="5"/>
  <c r="I499" i="5"/>
  <c r="P499" i="5"/>
  <c r="Q499" i="5"/>
  <c r="T499" i="5"/>
  <c r="U499" i="5"/>
  <c r="X499" i="5"/>
  <c r="Y499" i="5"/>
  <c r="AF499" i="5"/>
  <c r="AG499" i="5"/>
  <c r="AJ499" i="5"/>
  <c r="AK499" i="5"/>
  <c r="H500" i="5"/>
  <c r="I500" i="5"/>
  <c r="P500" i="5"/>
  <c r="Q500" i="5"/>
  <c r="T500" i="5"/>
  <c r="U500" i="5"/>
  <c r="X500" i="5"/>
  <c r="Y500" i="5"/>
  <c r="AF500" i="5"/>
  <c r="AG500" i="5"/>
  <c r="AJ500" i="5"/>
  <c r="AK500" i="5"/>
  <c r="H501" i="5"/>
  <c r="I501" i="5"/>
  <c r="P501" i="5"/>
  <c r="Q501" i="5"/>
  <c r="T501" i="5"/>
  <c r="U501" i="5"/>
  <c r="X501" i="5"/>
  <c r="Y501" i="5"/>
  <c r="AF501" i="5"/>
  <c r="AG501" i="5"/>
  <c r="AJ501" i="5"/>
  <c r="AK501" i="5"/>
  <c r="H502" i="5"/>
  <c r="I502" i="5"/>
  <c r="P502" i="5"/>
  <c r="Q502" i="5"/>
  <c r="T502" i="5"/>
  <c r="U502" i="5"/>
  <c r="X502" i="5"/>
  <c r="Y502" i="5"/>
  <c r="AF502" i="5"/>
  <c r="AG502" i="5"/>
  <c r="AJ502" i="5"/>
  <c r="AK502" i="5"/>
  <c r="H503" i="5"/>
  <c r="I503" i="5"/>
  <c r="P503" i="5"/>
  <c r="Q503" i="5"/>
  <c r="T503" i="5"/>
  <c r="U503" i="5"/>
  <c r="X503" i="5"/>
  <c r="Y503" i="5"/>
  <c r="AF503" i="5"/>
  <c r="AG503" i="5"/>
  <c r="AJ503" i="5"/>
  <c r="AK503" i="5"/>
  <c r="H504" i="5"/>
  <c r="I504" i="5"/>
  <c r="P504" i="5"/>
  <c r="Q504" i="5"/>
  <c r="T504" i="5"/>
  <c r="U504" i="5"/>
  <c r="X504" i="5"/>
  <c r="Y504" i="5"/>
  <c r="AF504" i="5"/>
  <c r="AG504" i="5"/>
  <c r="AJ504" i="5"/>
  <c r="AK504" i="5"/>
  <c r="H505" i="5"/>
  <c r="I505" i="5"/>
  <c r="P505" i="5"/>
  <c r="Q505" i="5"/>
  <c r="T505" i="5"/>
  <c r="U505" i="5"/>
  <c r="X505" i="5"/>
  <c r="Y505" i="5"/>
  <c r="AF505" i="5"/>
  <c r="AG505" i="5"/>
  <c r="AJ505" i="5"/>
  <c r="AK505" i="5"/>
  <c r="H506" i="5"/>
  <c r="I506" i="5"/>
  <c r="P506" i="5"/>
  <c r="Q506" i="5"/>
  <c r="T506" i="5"/>
  <c r="U506" i="5"/>
  <c r="X506" i="5"/>
  <c r="Y506" i="5"/>
  <c r="AF506" i="5"/>
  <c r="AG506" i="5"/>
  <c r="AJ506" i="5"/>
  <c r="AK506" i="5"/>
  <c r="H507" i="5"/>
  <c r="I507" i="5"/>
  <c r="P507" i="5"/>
  <c r="Q507" i="5"/>
  <c r="T507" i="5"/>
  <c r="U507" i="5"/>
  <c r="X507" i="5"/>
  <c r="Y507" i="5"/>
  <c r="AF507" i="5"/>
  <c r="AG507" i="5"/>
  <c r="AJ507" i="5"/>
  <c r="AK507" i="5"/>
  <c r="H508" i="5"/>
  <c r="I508" i="5"/>
  <c r="P508" i="5"/>
  <c r="Q508" i="5"/>
  <c r="T508" i="5"/>
  <c r="U508" i="5"/>
  <c r="X508" i="5"/>
  <c r="Y508" i="5"/>
  <c r="AF508" i="5"/>
  <c r="AG508" i="5"/>
  <c r="AJ508" i="5"/>
  <c r="AK508" i="5"/>
  <c r="H509" i="5"/>
  <c r="I509" i="5"/>
  <c r="P509" i="5"/>
  <c r="Q509" i="5"/>
  <c r="T509" i="5"/>
  <c r="U509" i="5"/>
  <c r="X509" i="5"/>
  <c r="Y509" i="5"/>
  <c r="AF509" i="5"/>
  <c r="AG509" i="5"/>
  <c r="AJ509" i="5"/>
  <c r="AK509" i="5"/>
  <c r="H510" i="5"/>
  <c r="I510" i="5"/>
  <c r="P510" i="5"/>
  <c r="Q510" i="5"/>
  <c r="T510" i="5"/>
  <c r="U510" i="5"/>
  <c r="X510" i="5"/>
  <c r="Y510" i="5"/>
  <c r="AF510" i="5"/>
  <c r="AG510" i="5"/>
  <c r="AJ510" i="5"/>
  <c r="AK510" i="5"/>
  <c r="H511" i="5"/>
  <c r="I511" i="5"/>
  <c r="P511" i="5"/>
  <c r="Q511" i="5"/>
  <c r="T511" i="5"/>
  <c r="U511" i="5"/>
  <c r="X511" i="5"/>
  <c r="Y511" i="5"/>
  <c r="AF511" i="5"/>
  <c r="AG511" i="5"/>
  <c r="AJ511" i="5"/>
  <c r="AK511" i="5"/>
  <c r="H512" i="5"/>
  <c r="I512" i="5"/>
  <c r="P512" i="5"/>
  <c r="Q512" i="5"/>
  <c r="T512" i="5"/>
  <c r="U512" i="5"/>
  <c r="X512" i="5"/>
  <c r="Y512" i="5"/>
  <c r="AF512" i="5"/>
  <c r="AG512" i="5"/>
  <c r="AJ512" i="5"/>
  <c r="AK512" i="5"/>
  <c r="H513" i="5"/>
  <c r="I513" i="5"/>
  <c r="P513" i="5"/>
  <c r="Q513" i="5"/>
  <c r="T513" i="5"/>
  <c r="U513" i="5"/>
  <c r="X513" i="5"/>
  <c r="Y513" i="5"/>
  <c r="AF513" i="5"/>
  <c r="AG513" i="5"/>
  <c r="AJ513" i="5"/>
  <c r="AK513" i="5"/>
  <c r="H514" i="5"/>
  <c r="I514" i="5"/>
  <c r="P514" i="5"/>
  <c r="Q514" i="5"/>
  <c r="T514" i="5"/>
  <c r="U514" i="5"/>
  <c r="X514" i="5"/>
  <c r="Y514" i="5"/>
  <c r="AF514" i="5"/>
  <c r="AG514" i="5"/>
  <c r="AJ514" i="5"/>
  <c r="AK514" i="5"/>
  <c r="H515" i="5"/>
  <c r="I515" i="5"/>
  <c r="P515" i="5"/>
  <c r="Q515" i="5"/>
  <c r="T515" i="5"/>
  <c r="U515" i="5"/>
  <c r="X515" i="5"/>
  <c r="Y515" i="5"/>
  <c r="AF515" i="5"/>
  <c r="AG515" i="5"/>
  <c r="AJ515" i="5"/>
  <c r="AK515" i="5"/>
  <c r="H516" i="5"/>
  <c r="I516" i="5"/>
  <c r="P516" i="5"/>
  <c r="Q516" i="5"/>
  <c r="T516" i="5"/>
  <c r="U516" i="5"/>
  <c r="X516" i="5"/>
  <c r="Y516" i="5"/>
  <c r="AF516" i="5"/>
  <c r="AG516" i="5"/>
  <c r="AJ516" i="5"/>
  <c r="AK516" i="5"/>
  <c r="H517" i="5"/>
  <c r="I517" i="5"/>
  <c r="P517" i="5"/>
  <c r="Q517" i="5"/>
  <c r="T517" i="5"/>
  <c r="U517" i="5"/>
  <c r="X517" i="5"/>
  <c r="Y517" i="5"/>
  <c r="AF517" i="5"/>
  <c r="AG517" i="5"/>
  <c r="AJ517" i="5"/>
  <c r="AK517" i="5"/>
  <c r="H518" i="5"/>
  <c r="I518" i="5"/>
  <c r="P518" i="5"/>
  <c r="Q518" i="5"/>
  <c r="T518" i="5"/>
  <c r="U518" i="5"/>
  <c r="X518" i="5"/>
  <c r="Y518" i="5"/>
  <c r="AF518" i="5"/>
  <c r="AG518" i="5"/>
  <c r="AJ518" i="5"/>
  <c r="AK518" i="5"/>
  <c r="H519" i="5"/>
  <c r="I519" i="5"/>
  <c r="P519" i="5"/>
  <c r="Q519" i="5"/>
  <c r="T519" i="5"/>
  <c r="U519" i="5"/>
  <c r="X519" i="5"/>
  <c r="Y519" i="5"/>
  <c r="AF519" i="5"/>
  <c r="AG519" i="5"/>
  <c r="AJ519" i="5"/>
  <c r="AK519" i="5"/>
  <c r="H520" i="5"/>
  <c r="I520" i="5"/>
  <c r="P520" i="5"/>
  <c r="Q520" i="5"/>
  <c r="T520" i="5"/>
  <c r="U520" i="5"/>
  <c r="X520" i="5"/>
  <c r="Y520" i="5"/>
  <c r="AF520" i="5"/>
  <c r="AG520" i="5"/>
  <c r="AJ520" i="5"/>
  <c r="AK520" i="5"/>
  <c r="H521" i="5"/>
  <c r="I521" i="5"/>
  <c r="P521" i="5"/>
  <c r="Q521" i="5"/>
  <c r="T521" i="5"/>
  <c r="U521" i="5"/>
  <c r="X521" i="5"/>
  <c r="Y521" i="5"/>
  <c r="AF521" i="5"/>
  <c r="AG521" i="5"/>
  <c r="AJ521" i="5"/>
  <c r="AK521" i="5"/>
  <c r="H522" i="5"/>
  <c r="I522" i="5"/>
  <c r="P522" i="5"/>
  <c r="Q522" i="5"/>
  <c r="T522" i="5"/>
  <c r="U522" i="5"/>
  <c r="X522" i="5"/>
  <c r="Y522" i="5"/>
  <c r="AF522" i="5"/>
  <c r="AG522" i="5"/>
  <c r="AJ522" i="5"/>
  <c r="AK522" i="5"/>
  <c r="H523" i="5"/>
  <c r="I523" i="5"/>
  <c r="P523" i="5"/>
  <c r="Q523" i="5"/>
  <c r="T523" i="5"/>
  <c r="U523" i="5"/>
  <c r="X523" i="5"/>
  <c r="Y523" i="5"/>
  <c r="AF523" i="5"/>
  <c r="AG523" i="5"/>
  <c r="AJ523" i="5"/>
  <c r="AK523" i="5"/>
  <c r="H524" i="5"/>
  <c r="I524" i="5"/>
  <c r="P524" i="5"/>
  <c r="Q524" i="5"/>
  <c r="T524" i="5"/>
  <c r="U524" i="5"/>
  <c r="X524" i="5"/>
  <c r="Y524" i="5"/>
  <c r="AF524" i="5"/>
  <c r="AG524" i="5"/>
  <c r="AJ524" i="5"/>
  <c r="AK524" i="5"/>
  <c r="H525" i="5"/>
  <c r="I525" i="5"/>
  <c r="P525" i="5"/>
  <c r="Q525" i="5"/>
  <c r="T525" i="5"/>
  <c r="U525" i="5"/>
  <c r="X525" i="5"/>
  <c r="Y525" i="5"/>
  <c r="AF525" i="5"/>
  <c r="AG525" i="5"/>
  <c r="AJ525" i="5"/>
  <c r="AK525" i="5"/>
  <c r="H526" i="5"/>
  <c r="I526" i="5"/>
  <c r="P526" i="5"/>
  <c r="Q526" i="5"/>
  <c r="T526" i="5"/>
  <c r="U526" i="5"/>
  <c r="X526" i="5"/>
  <c r="Y526" i="5"/>
  <c r="AF526" i="5"/>
  <c r="AG526" i="5"/>
  <c r="AJ526" i="5"/>
  <c r="AK526" i="5"/>
  <c r="H527" i="5"/>
  <c r="I527" i="5"/>
  <c r="P527" i="5"/>
  <c r="Q527" i="5"/>
  <c r="T527" i="5"/>
  <c r="U527" i="5"/>
  <c r="X527" i="5"/>
  <c r="Y527" i="5"/>
  <c r="AF527" i="5"/>
  <c r="AG527" i="5"/>
  <c r="AJ527" i="5"/>
  <c r="AK527" i="5"/>
  <c r="H528" i="5"/>
  <c r="I528" i="5"/>
  <c r="P528" i="5"/>
  <c r="Q528" i="5"/>
  <c r="T528" i="5"/>
  <c r="U528" i="5"/>
  <c r="X528" i="5"/>
  <c r="Y528" i="5"/>
  <c r="AF528" i="5"/>
  <c r="AG528" i="5"/>
  <c r="AJ528" i="5"/>
  <c r="AK528" i="5"/>
  <c r="H529" i="5"/>
  <c r="I529" i="5"/>
  <c r="P529" i="5"/>
  <c r="Q529" i="5"/>
  <c r="T529" i="5"/>
  <c r="U529" i="5"/>
  <c r="X529" i="5"/>
  <c r="Y529" i="5"/>
  <c r="AF529" i="5"/>
  <c r="AG529" i="5"/>
  <c r="AJ529" i="5"/>
  <c r="AK529" i="5"/>
  <c r="H530" i="5"/>
  <c r="I530" i="5"/>
  <c r="P530" i="5"/>
  <c r="Q530" i="5"/>
  <c r="T530" i="5"/>
  <c r="U530" i="5"/>
  <c r="X530" i="5"/>
  <c r="Y530" i="5"/>
  <c r="AF530" i="5"/>
  <c r="AG530" i="5"/>
  <c r="AJ530" i="5"/>
  <c r="AK530" i="5"/>
  <c r="H531" i="5"/>
  <c r="I531" i="5"/>
  <c r="P531" i="5"/>
  <c r="Q531" i="5"/>
  <c r="T531" i="5"/>
  <c r="U531" i="5"/>
  <c r="X531" i="5"/>
  <c r="Y531" i="5"/>
  <c r="AF531" i="5"/>
  <c r="AG531" i="5"/>
  <c r="AJ531" i="5"/>
  <c r="AK531" i="5"/>
  <c r="H532" i="5"/>
  <c r="I532" i="5"/>
  <c r="P532" i="5"/>
  <c r="Q532" i="5"/>
  <c r="T532" i="5"/>
  <c r="U532" i="5"/>
  <c r="X532" i="5"/>
  <c r="Y532" i="5"/>
  <c r="AF532" i="5"/>
  <c r="AG532" i="5"/>
  <c r="AJ532" i="5"/>
  <c r="AK532" i="5"/>
  <c r="H533" i="5"/>
  <c r="I533" i="5"/>
  <c r="P533" i="5"/>
  <c r="Q533" i="5"/>
  <c r="T533" i="5"/>
  <c r="U533" i="5"/>
  <c r="X533" i="5"/>
  <c r="Y533" i="5"/>
  <c r="AF533" i="5"/>
  <c r="AG533" i="5"/>
  <c r="AJ533" i="5"/>
  <c r="AK533" i="5"/>
  <c r="H534" i="5"/>
  <c r="I534" i="5"/>
  <c r="P534" i="5"/>
  <c r="Q534" i="5"/>
  <c r="T534" i="5"/>
  <c r="U534" i="5"/>
  <c r="X534" i="5"/>
  <c r="Y534" i="5"/>
  <c r="AF534" i="5"/>
  <c r="AG534" i="5"/>
  <c r="AJ534" i="5"/>
  <c r="AK534" i="5"/>
  <c r="H535" i="5"/>
  <c r="I535" i="5"/>
  <c r="P535" i="5"/>
  <c r="Q535" i="5"/>
  <c r="T535" i="5"/>
  <c r="U535" i="5"/>
  <c r="X535" i="5"/>
  <c r="Y535" i="5"/>
  <c r="AF535" i="5"/>
  <c r="AG535" i="5"/>
  <c r="AJ535" i="5"/>
  <c r="AK535" i="5"/>
  <c r="H536" i="5"/>
  <c r="I536" i="5"/>
  <c r="P536" i="5"/>
  <c r="Q536" i="5"/>
  <c r="T536" i="5"/>
  <c r="U536" i="5"/>
  <c r="X536" i="5"/>
  <c r="Y536" i="5"/>
  <c r="AF536" i="5"/>
  <c r="AG536" i="5"/>
  <c r="AJ536" i="5"/>
  <c r="AK536" i="5"/>
  <c r="H537" i="5"/>
  <c r="I537" i="5"/>
  <c r="P537" i="5"/>
  <c r="Q537" i="5"/>
  <c r="T537" i="5"/>
  <c r="U537" i="5"/>
  <c r="X537" i="5"/>
  <c r="Y537" i="5"/>
  <c r="AF537" i="5"/>
  <c r="AG537" i="5"/>
  <c r="AJ537" i="5"/>
  <c r="AK537" i="5"/>
  <c r="H538" i="5"/>
  <c r="I538" i="5"/>
  <c r="P538" i="5"/>
  <c r="Q538" i="5"/>
  <c r="T538" i="5"/>
  <c r="U538" i="5"/>
  <c r="X538" i="5"/>
  <c r="Y538" i="5"/>
  <c r="AF538" i="5"/>
  <c r="AG538" i="5"/>
  <c r="AJ538" i="5"/>
  <c r="AK538" i="5"/>
  <c r="H539" i="5"/>
  <c r="I539" i="5"/>
  <c r="P539" i="5"/>
  <c r="Q539" i="5"/>
  <c r="T539" i="5"/>
  <c r="U539" i="5"/>
  <c r="X539" i="5"/>
  <c r="Y539" i="5"/>
  <c r="AF539" i="5"/>
  <c r="AG539" i="5"/>
  <c r="AJ539" i="5"/>
  <c r="AK539" i="5"/>
  <c r="H540" i="5"/>
  <c r="I540" i="5"/>
  <c r="P540" i="5"/>
  <c r="Q540" i="5"/>
  <c r="T540" i="5"/>
  <c r="U540" i="5"/>
  <c r="X540" i="5"/>
  <c r="Y540" i="5"/>
  <c r="AF540" i="5"/>
  <c r="AG540" i="5"/>
  <c r="AJ540" i="5"/>
  <c r="AK540" i="5"/>
  <c r="H541" i="5"/>
  <c r="I541" i="5"/>
  <c r="P541" i="5"/>
  <c r="Q541" i="5"/>
  <c r="T541" i="5"/>
  <c r="U541" i="5"/>
  <c r="X541" i="5"/>
  <c r="Y541" i="5"/>
  <c r="AF541" i="5"/>
  <c r="AG541" i="5"/>
  <c r="AJ541" i="5"/>
  <c r="AK541" i="5"/>
  <c r="H542" i="5"/>
  <c r="I542" i="5"/>
  <c r="P542" i="5"/>
  <c r="Q542" i="5"/>
  <c r="T542" i="5"/>
  <c r="U542" i="5"/>
  <c r="X542" i="5"/>
  <c r="Y542" i="5"/>
  <c r="AF542" i="5"/>
  <c r="AG542" i="5"/>
  <c r="AJ542" i="5"/>
  <c r="AK542" i="5"/>
  <c r="H543" i="5"/>
  <c r="I543" i="5"/>
  <c r="P543" i="5"/>
  <c r="Q543" i="5"/>
  <c r="T543" i="5"/>
  <c r="U543" i="5"/>
  <c r="X543" i="5"/>
  <c r="Y543" i="5"/>
  <c r="AF543" i="5"/>
  <c r="AG543" i="5"/>
  <c r="AJ543" i="5"/>
  <c r="AK543" i="5"/>
  <c r="H544" i="5"/>
  <c r="I544" i="5"/>
  <c r="P544" i="5"/>
  <c r="Q544" i="5"/>
  <c r="T544" i="5"/>
  <c r="U544" i="5"/>
  <c r="X544" i="5"/>
  <c r="Y544" i="5"/>
  <c r="AF544" i="5"/>
  <c r="AG544" i="5"/>
  <c r="AJ544" i="5"/>
  <c r="AK544" i="5"/>
  <c r="H545" i="5"/>
  <c r="I545" i="5"/>
  <c r="P545" i="5"/>
  <c r="Q545" i="5"/>
  <c r="T545" i="5"/>
  <c r="U545" i="5"/>
  <c r="X545" i="5"/>
  <c r="Y545" i="5"/>
  <c r="AF545" i="5"/>
  <c r="AG545" i="5"/>
  <c r="AJ545" i="5"/>
  <c r="AK545" i="5"/>
  <c r="H546" i="5"/>
  <c r="I546" i="5"/>
  <c r="P546" i="5"/>
  <c r="Q546" i="5"/>
  <c r="T546" i="5"/>
  <c r="U546" i="5"/>
  <c r="X546" i="5"/>
  <c r="Y546" i="5"/>
  <c r="AF546" i="5"/>
  <c r="AG546" i="5"/>
  <c r="AJ546" i="5"/>
  <c r="AK546" i="5"/>
  <c r="H547" i="5"/>
  <c r="I547" i="5"/>
  <c r="P547" i="5"/>
  <c r="Q547" i="5"/>
  <c r="T547" i="5"/>
  <c r="U547" i="5"/>
  <c r="X547" i="5"/>
  <c r="Y547" i="5"/>
  <c r="AF547" i="5"/>
  <c r="AG547" i="5"/>
  <c r="AJ547" i="5"/>
  <c r="AK547" i="5"/>
  <c r="H548" i="5"/>
  <c r="I548" i="5"/>
  <c r="P548" i="5"/>
  <c r="Q548" i="5"/>
  <c r="T548" i="5"/>
  <c r="U548" i="5"/>
  <c r="X548" i="5"/>
  <c r="Y548" i="5"/>
  <c r="AF548" i="5"/>
  <c r="AG548" i="5"/>
  <c r="AJ548" i="5"/>
  <c r="AK548" i="5"/>
  <c r="H549" i="5"/>
  <c r="I549" i="5"/>
  <c r="P549" i="5"/>
  <c r="Q549" i="5"/>
  <c r="T549" i="5"/>
  <c r="U549" i="5"/>
  <c r="X549" i="5"/>
  <c r="Y549" i="5"/>
  <c r="AF549" i="5"/>
  <c r="AG549" i="5"/>
  <c r="AJ549" i="5"/>
  <c r="AK549" i="5"/>
  <c r="H550" i="5"/>
  <c r="I550" i="5"/>
  <c r="P550" i="5"/>
  <c r="Q550" i="5"/>
  <c r="T550" i="5"/>
  <c r="U550" i="5"/>
  <c r="X550" i="5"/>
  <c r="Y550" i="5"/>
  <c r="AF550" i="5"/>
  <c r="AG550" i="5"/>
  <c r="AJ550" i="5"/>
  <c r="AK550" i="5"/>
  <c r="H551" i="5"/>
  <c r="I551" i="5"/>
  <c r="P551" i="5"/>
  <c r="Q551" i="5"/>
  <c r="T551" i="5"/>
  <c r="U551" i="5"/>
  <c r="X551" i="5"/>
  <c r="Y551" i="5"/>
  <c r="AF551" i="5"/>
  <c r="AG551" i="5"/>
  <c r="AJ551" i="5"/>
  <c r="AK551" i="5"/>
  <c r="H552" i="5"/>
  <c r="I552" i="5"/>
  <c r="P552" i="5"/>
  <c r="Q552" i="5"/>
  <c r="T552" i="5"/>
  <c r="U552" i="5"/>
  <c r="X552" i="5"/>
  <c r="Y552" i="5"/>
  <c r="AF552" i="5"/>
  <c r="AG552" i="5"/>
  <c r="AJ552" i="5"/>
  <c r="AK552" i="5"/>
  <c r="H553" i="5"/>
  <c r="I553" i="5"/>
  <c r="P553" i="5"/>
  <c r="Q553" i="5"/>
  <c r="T553" i="5"/>
  <c r="U553" i="5"/>
  <c r="X553" i="5"/>
  <c r="Y553" i="5"/>
  <c r="AF553" i="5"/>
  <c r="AG553" i="5"/>
  <c r="AJ553" i="5"/>
  <c r="AK553" i="5"/>
  <c r="H554" i="5"/>
  <c r="I554" i="5"/>
  <c r="P554" i="5"/>
  <c r="Q554" i="5"/>
  <c r="T554" i="5"/>
  <c r="U554" i="5"/>
  <c r="X554" i="5"/>
  <c r="Y554" i="5"/>
  <c r="AF554" i="5"/>
  <c r="AG554" i="5"/>
  <c r="AJ554" i="5"/>
  <c r="AK554" i="5"/>
  <c r="H555" i="5"/>
  <c r="I555" i="5"/>
  <c r="P555" i="5"/>
  <c r="Q555" i="5"/>
  <c r="T555" i="5"/>
  <c r="U555" i="5"/>
  <c r="X555" i="5"/>
  <c r="Y555" i="5"/>
  <c r="AF555" i="5"/>
  <c r="AG555" i="5"/>
  <c r="AJ555" i="5"/>
  <c r="AK555" i="5"/>
  <c r="H556" i="5"/>
  <c r="I556" i="5"/>
  <c r="P556" i="5"/>
  <c r="Q556" i="5"/>
  <c r="T556" i="5"/>
  <c r="U556" i="5"/>
  <c r="X556" i="5"/>
  <c r="Y556" i="5"/>
  <c r="AF556" i="5"/>
  <c r="AG556" i="5"/>
  <c r="AJ556" i="5"/>
  <c r="AK556" i="5"/>
  <c r="H557" i="5"/>
  <c r="I557" i="5"/>
  <c r="P557" i="5"/>
  <c r="Q557" i="5"/>
  <c r="T557" i="5"/>
  <c r="U557" i="5"/>
  <c r="X557" i="5"/>
  <c r="Y557" i="5"/>
  <c r="AF557" i="5"/>
  <c r="AG557" i="5"/>
  <c r="AJ557" i="5"/>
  <c r="AK557" i="5"/>
  <c r="H558" i="5"/>
  <c r="I558" i="5"/>
  <c r="P558" i="5"/>
  <c r="Q558" i="5"/>
  <c r="T558" i="5"/>
  <c r="U558" i="5"/>
  <c r="X558" i="5"/>
  <c r="Y558" i="5"/>
  <c r="AF558" i="5"/>
  <c r="AG558" i="5"/>
  <c r="AJ558" i="5"/>
  <c r="AK558" i="5"/>
  <c r="H559" i="5"/>
  <c r="I559" i="5"/>
  <c r="P559" i="5"/>
  <c r="Q559" i="5"/>
  <c r="T559" i="5"/>
  <c r="U559" i="5"/>
  <c r="X559" i="5"/>
  <c r="Y559" i="5"/>
  <c r="AF559" i="5"/>
  <c r="AG559" i="5"/>
  <c r="AJ559" i="5"/>
  <c r="AK559" i="5"/>
  <c r="H560" i="5"/>
  <c r="I560" i="5"/>
  <c r="P560" i="5"/>
  <c r="Q560" i="5"/>
  <c r="T560" i="5"/>
  <c r="U560" i="5"/>
  <c r="X560" i="5"/>
  <c r="Y560" i="5"/>
  <c r="AF560" i="5"/>
  <c r="AG560" i="5"/>
  <c r="AJ560" i="5"/>
  <c r="AK560" i="5"/>
  <c r="H561" i="5"/>
  <c r="I561" i="5"/>
  <c r="P561" i="5"/>
  <c r="Q561" i="5"/>
  <c r="T561" i="5"/>
  <c r="U561" i="5"/>
  <c r="X561" i="5"/>
  <c r="Y561" i="5"/>
  <c r="AF561" i="5"/>
  <c r="AG561" i="5"/>
  <c r="AJ561" i="5"/>
  <c r="AK561" i="5"/>
  <c r="H562" i="5"/>
  <c r="I562" i="5"/>
  <c r="P562" i="5"/>
  <c r="Q562" i="5"/>
  <c r="T562" i="5"/>
  <c r="U562" i="5"/>
  <c r="X562" i="5"/>
  <c r="Y562" i="5"/>
  <c r="AF562" i="5"/>
  <c r="AG562" i="5"/>
  <c r="AJ562" i="5"/>
  <c r="AK562" i="5"/>
  <c r="H563" i="5"/>
  <c r="I563" i="5"/>
  <c r="P563" i="5"/>
  <c r="Q563" i="5"/>
  <c r="T563" i="5"/>
  <c r="U563" i="5"/>
  <c r="X563" i="5"/>
  <c r="Y563" i="5"/>
  <c r="AF563" i="5"/>
  <c r="AG563" i="5"/>
  <c r="AJ563" i="5"/>
  <c r="AK563" i="5"/>
  <c r="H564" i="5"/>
  <c r="I564" i="5"/>
  <c r="P564" i="5"/>
  <c r="Q564" i="5"/>
  <c r="T564" i="5"/>
  <c r="U564" i="5"/>
  <c r="X564" i="5"/>
  <c r="Y564" i="5"/>
  <c r="AF564" i="5"/>
  <c r="AG564" i="5"/>
  <c r="AJ564" i="5"/>
  <c r="AK564" i="5"/>
  <c r="H565" i="5"/>
  <c r="I565" i="5"/>
  <c r="P565" i="5"/>
  <c r="Q565" i="5"/>
  <c r="T565" i="5"/>
  <c r="U565" i="5"/>
  <c r="X565" i="5"/>
  <c r="Y565" i="5"/>
  <c r="AF565" i="5"/>
  <c r="AG565" i="5"/>
  <c r="AJ565" i="5"/>
  <c r="AK565" i="5"/>
  <c r="H566" i="5"/>
  <c r="I566" i="5"/>
  <c r="P566" i="5"/>
  <c r="Q566" i="5"/>
  <c r="T566" i="5"/>
  <c r="U566" i="5"/>
  <c r="X566" i="5"/>
  <c r="Y566" i="5"/>
  <c r="AF566" i="5"/>
  <c r="AG566" i="5"/>
  <c r="AJ566" i="5"/>
  <c r="AK566" i="5"/>
  <c r="H567" i="5"/>
  <c r="I567" i="5"/>
  <c r="P567" i="5"/>
  <c r="Q567" i="5"/>
  <c r="T567" i="5"/>
  <c r="U567" i="5"/>
  <c r="X567" i="5"/>
  <c r="Y567" i="5"/>
  <c r="AF567" i="5"/>
  <c r="AG567" i="5"/>
  <c r="AJ567" i="5"/>
  <c r="AK567" i="5"/>
  <c r="H568" i="5"/>
  <c r="I568" i="5"/>
  <c r="P568" i="5"/>
  <c r="Q568" i="5"/>
  <c r="T568" i="5"/>
  <c r="U568" i="5"/>
  <c r="X568" i="5"/>
  <c r="Y568" i="5"/>
  <c r="AF568" i="5"/>
  <c r="AG568" i="5"/>
  <c r="AJ568" i="5"/>
  <c r="AK568" i="5"/>
  <c r="H569" i="5"/>
  <c r="I569" i="5"/>
  <c r="P569" i="5"/>
  <c r="Q569" i="5"/>
  <c r="T569" i="5"/>
  <c r="U569" i="5"/>
  <c r="X569" i="5"/>
  <c r="Y569" i="5"/>
  <c r="AF569" i="5"/>
  <c r="AG569" i="5"/>
  <c r="AJ569" i="5"/>
  <c r="AK569" i="5"/>
  <c r="H570" i="5"/>
  <c r="I570" i="5"/>
  <c r="P570" i="5"/>
  <c r="Q570" i="5"/>
  <c r="T570" i="5"/>
  <c r="U570" i="5"/>
  <c r="X570" i="5"/>
  <c r="Y570" i="5"/>
  <c r="AF570" i="5"/>
  <c r="AG570" i="5"/>
  <c r="AJ570" i="5"/>
  <c r="AK570" i="5"/>
  <c r="H571" i="5"/>
  <c r="I571" i="5"/>
  <c r="P571" i="5"/>
  <c r="Q571" i="5"/>
  <c r="T571" i="5"/>
  <c r="U571" i="5"/>
  <c r="X571" i="5"/>
  <c r="Y571" i="5"/>
  <c r="AF571" i="5"/>
  <c r="AG571" i="5"/>
  <c r="AJ571" i="5"/>
  <c r="AK571" i="5"/>
  <c r="H572" i="5"/>
  <c r="I572" i="5"/>
  <c r="P572" i="5"/>
  <c r="Q572" i="5"/>
  <c r="T572" i="5"/>
  <c r="U572" i="5"/>
  <c r="X572" i="5"/>
  <c r="Y572" i="5"/>
  <c r="AF572" i="5"/>
  <c r="AG572" i="5"/>
  <c r="AJ572" i="5"/>
  <c r="AK572" i="5"/>
  <c r="H573" i="5"/>
  <c r="I573" i="5"/>
  <c r="P573" i="5"/>
  <c r="Q573" i="5"/>
  <c r="T573" i="5"/>
  <c r="U573" i="5"/>
  <c r="X573" i="5"/>
  <c r="Y573" i="5"/>
  <c r="AF573" i="5"/>
  <c r="AG573" i="5"/>
  <c r="AJ573" i="5"/>
  <c r="AK573" i="5"/>
  <c r="H574" i="5"/>
  <c r="I574" i="5"/>
  <c r="P574" i="5"/>
  <c r="Q574" i="5"/>
  <c r="T574" i="5"/>
  <c r="U574" i="5"/>
  <c r="X574" i="5"/>
  <c r="Y574" i="5"/>
  <c r="AF574" i="5"/>
  <c r="AG574" i="5"/>
  <c r="AJ574" i="5"/>
  <c r="AK574" i="5"/>
  <c r="H575" i="5"/>
  <c r="I575" i="5"/>
  <c r="P575" i="5"/>
  <c r="Q575" i="5"/>
  <c r="T575" i="5"/>
  <c r="U575" i="5"/>
  <c r="X575" i="5"/>
  <c r="Y575" i="5"/>
  <c r="AF575" i="5"/>
  <c r="AG575" i="5"/>
  <c r="AJ575" i="5"/>
  <c r="AK575" i="5"/>
  <c r="H576" i="5"/>
  <c r="I576" i="5"/>
  <c r="P576" i="5"/>
  <c r="Q576" i="5"/>
  <c r="T576" i="5"/>
  <c r="U576" i="5"/>
  <c r="X576" i="5"/>
  <c r="Y576" i="5"/>
  <c r="AF576" i="5"/>
  <c r="AG576" i="5"/>
  <c r="AJ576" i="5"/>
  <c r="AK576" i="5"/>
  <c r="H577" i="5"/>
  <c r="I577" i="5"/>
  <c r="P577" i="5"/>
  <c r="Q577" i="5"/>
  <c r="T577" i="5"/>
  <c r="U577" i="5"/>
  <c r="X577" i="5"/>
  <c r="Y577" i="5"/>
  <c r="AF577" i="5"/>
  <c r="AG577" i="5"/>
  <c r="AJ577" i="5"/>
  <c r="AK577" i="5"/>
  <c r="H578" i="5"/>
  <c r="I578" i="5"/>
  <c r="P578" i="5"/>
  <c r="Q578" i="5"/>
  <c r="T578" i="5"/>
  <c r="U578" i="5"/>
  <c r="X578" i="5"/>
  <c r="Y578" i="5"/>
  <c r="AF578" i="5"/>
  <c r="AG578" i="5"/>
  <c r="AJ578" i="5"/>
  <c r="AK578" i="5"/>
  <c r="H579" i="5"/>
  <c r="I579" i="5"/>
  <c r="P579" i="5"/>
  <c r="Q579" i="5"/>
  <c r="T579" i="5"/>
  <c r="U579" i="5"/>
  <c r="X579" i="5"/>
  <c r="Y579" i="5"/>
  <c r="AF579" i="5"/>
  <c r="AG579" i="5"/>
  <c r="AJ579" i="5"/>
  <c r="AK579" i="5"/>
  <c r="H580" i="5"/>
  <c r="I580" i="5"/>
  <c r="P580" i="5"/>
  <c r="Q580" i="5"/>
  <c r="T580" i="5"/>
  <c r="U580" i="5"/>
  <c r="X580" i="5"/>
  <c r="Y580" i="5"/>
  <c r="AF580" i="5"/>
  <c r="AG580" i="5"/>
  <c r="AJ580" i="5"/>
  <c r="AK580" i="5"/>
  <c r="H581" i="5"/>
  <c r="I581" i="5"/>
  <c r="P581" i="5"/>
  <c r="Q581" i="5"/>
  <c r="T581" i="5"/>
  <c r="U581" i="5"/>
  <c r="X581" i="5"/>
  <c r="Y581" i="5"/>
  <c r="AF581" i="5"/>
  <c r="AG581" i="5"/>
  <c r="AJ581" i="5"/>
  <c r="AK581" i="5"/>
  <c r="H582" i="5"/>
  <c r="I582" i="5"/>
  <c r="P582" i="5"/>
  <c r="Q582" i="5"/>
  <c r="T582" i="5"/>
  <c r="U582" i="5"/>
  <c r="X582" i="5"/>
  <c r="Y582" i="5"/>
  <c r="AF582" i="5"/>
  <c r="AG582" i="5"/>
  <c r="AJ582" i="5"/>
  <c r="AK582" i="5"/>
  <c r="H583" i="5"/>
  <c r="I583" i="5"/>
  <c r="P583" i="5"/>
  <c r="Q583" i="5"/>
  <c r="T583" i="5"/>
  <c r="U583" i="5"/>
  <c r="X583" i="5"/>
  <c r="Y583" i="5"/>
  <c r="AF583" i="5"/>
  <c r="AG583" i="5"/>
  <c r="AJ583" i="5"/>
  <c r="AK583" i="5"/>
  <c r="H584" i="5"/>
  <c r="I584" i="5"/>
  <c r="P584" i="5"/>
  <c r="Q584" i="5"/>
  <c r="T584" i="5"/>
  <c r="U584" i="5"/>
  <c r="X584" i="5"/>
  <c r="Y584" i="5"/>
  <c r="AF584" i="5"/>
  <c r="AG584" i="5"/>
  <c r="AJ584" i="5"/>
  <c r="AK584" i="5"/>
  <c r="H585" i="5"/>
  <c r="I585" i="5"/>
  <c r="P585" i="5"/>
  <c r="Q585" i="5"/>
  <c r="T585" i="5"/>
  <c r="U585" i="5"/>
  <c r="X585" i="5"/>
  <c r="Y585" i="5"/>
  <c r="AF585" i="5"/>
  <c r="AG585" i="5"/>
  <c r="AJ585" i="5"/>
  <c r="AK585" i="5"/>
  <c r="H586" i="5"/>
  <c r="I586" i="5"/>
  <c r="P586" i="5"/>
  <c r="Q586" i="5"/>
  <c r="T586" i="5"/>
  <c r="U586" i="5"/>
  <c r="X586" i="5"/>
  <c r="Y586" i="5"/>
  <c r="AF586" i="5"/>
  <c r="AG586" i="5"/>
  <c r="AJ586" i="5"/>
  <c r="AK586" i="5"/>
  <c r="H587" i="5"/>
  <c r="I587" i="5"/>
  <c r="P587" i="5"/>
  <c r="Q587" i="5"/>
  <c r="T587" i="5"/>
  <c r="U587" i="5"/>
  <c r="X587" i="5"/>
  <c r="Y587" i="5"/>
  <c r="AF587" i="5"/>
  <c r="AG587" i="5"/>
  <c r="AJ587" i="5"/>
  <c r="AK587" i="5"/>
  <c r="H588" i="5"/>
  <c r="I588" i="5"/>
  <c r="P588" i="5"/>
  <c r="Q588" i="5"/>
  <c r="T588" i="5"/>
  <c r="U588" i="5"/>
  <c r="X588" i="5"/>
  <c r="Y588" i="5"/>
  <c r="AF588" i="5"/>
  <c r="AG588" i="5"/>
  <c r="AJ588" i="5"/>
  <c r="AK588" i="5"/>
  <c r="H589" i="5"/>
  <c r="I589" i="5"/>
  <c r="P589" i="5"/>
  <c r="Q589" i="5"/>
  <c r="T589" i="5"/>
  <c r="U589" i="5"/>
  <c r="X589" i="5"/>
  <c r="Y589" i="5"/>
  <c r="AF589" i="5"/>
  <c r="AG589" i="5"/>
  <c r="AJ589" i="5"/>
  <c r="AK589" i="5"/>
  <c r="H590" i="5"/>
  <c r="I590" i="5"/>
  <c r="P590" i="5"/>
  <c r="Q590" i="5"/>
  <c r="T590" i="5"/>
  <c r="U590" i="5"/>
  <c r="X590" i="5"/>
  <c r="Y590" i="5"/>
  <c r="AF590" i="5"/>
  <c r="AG590" i="5"/>
  <c r="AJ590" i="5"/>
  <c r="AK590" i="5"/>
  <c r="H591" i="5"/>
  <c r="I591" i="5"/>
  <c r="P591" i="5"/>
  <c r="Q591" i="5"/>
  <c r="T591" i="5"/>
  <c r="U591" i="5"/>
  <c r="X591" i="5"/>
  <c r="Y591" i="5"/>
  <c r="AF591" i="5"/>
  <c r="AG591" i="5"/>
  <c r="AJ591" i="5"/>
  <c r="AK591" i="5"/>
  <c r="H592" i="5"/>
  <c r="I592" i="5"/>
  <c r="P592" i="5"/>
  <c r="Q592" i="5"/>
  <c r="T592" i="5"/>
  <c r="U592" i="5"/>
  <c r="X592" i="5"/>
  <c r="Y592" i="5"/>
  <c r="AF592" i="5"/>
  <c r="AG592" i="5"/>
  <c r="AJ592" i="5"/>
  <c r="AK592" i="5"/>
  <c r="H593" i="5"/>
  <c r="I593" i="5"/>
  <c r="P593" i="5"/>
  <c r="Q593" i="5"/>
  <c r="T593" i="5"/>
  <c r="U593" i="5"/>
  <c r="X593" i="5"/>
  <c r="Y593" i="5"/>
  <c r="AF593" i="5"/>
  <c r="AG593" i="5"/>
  <c r="AJ593" i="5"/>
  <c r="AK593" i="5"/>
  <c r="H594" i="5"/>
  <c r="I594" i="5"/>
  <c r="P594" i="5"/>
  <c r="Q594" i="5"/>
  <c r="T594" i="5"/>
  <c r="U594" i="5"/>
  <c r="X594" i="5"/>
  <c r="Y594" i="5"/>
  <c r="AF594" i="5"/>
  <c r="AG594" i="5"/>
  <c r="AJ594" i="5"/>
  <c r="AK594" i="5"/>
  <c r="H595" i="5"/>
  <c r="I595" i="5"/>
  <c r="P595" i="5"/>
  <c r="Q595" i="5"/>
  <c r="T595" i="5"/>
  <c r="U595" i="5"/>
  <c r="X595" i="5"/>
  <c r="Y595" i="5"/>
  <c r="AF595" i="5"/>
  <c r="AG595" i="5"/>
  <c r="AJ595" i="5"/>
  <c r="AK595" i="5"/>
  <c r="H596" i="5"/>
  <c r="I596" i="5"/>
  <c r="P596" i="5"/>
  <c r="Q596" i="5"/>
  <c r="T596" i="5"/>
  <c r="U596" i="5"/>
  <c r="X596" i="5"/>
  <c r="Y596" i="5"/>
  <c r="AF596" i="5"/>
  <c r="AG596" i="5"/>
  <c r="AJ596" i="5"/>
  <c r="AK596" i="5"/>
  <c r="H597" i="5"/>
  <c r="I597" i="5"/>
  <c r="P597" i="5"/>
  <c r="Q597" i="5"/>
  <c r="T597" i="5"/>
  <c r="U597" i="5"/>
  <c r="X597" i="5"/>
  <c r="Y597" i="5"/>
  <c r="AF597" i="5"/>
  <c r="AG597" i="5"/>
  <c r="AJ597" i="5"/>
  <c r="AK597" i="5"/>
  <c r="H598" i="5"/>
  <c r="I598" i="5"/>
  <c r="P598" i="5"/>
  <c r="Q598" i="5"/>
  <c r="T598" i="5"/>
  <c r="U598" i="5"/>
  <c r="X598" i="5"/>
  <c r="Y598" i="5"/>
  <c r="AF598" i="5"/>
  <c r="AG598" i="5"/>
  <c r="AJ598" i="5"/>
  <c r="AK598" i="5"/>
  <c r="H599" i="5"/>
  <c r="I599" i="5"/>
  <c r="P599" i="5"/>
  <c r="Q599" i="5"/>
  <c r="T599" i="5"/>
  <c r="U599" i="5"/>
  <c r="X599" i="5"/>
  <c r="Y599" i="5"/>
  <c r="AF599" i="5"/>
  <c r="AG599" i="5"/>
  <c r="AJ599" i="5"/>
  <c r="AK599" i="5"/>
  <c r="H600" i="5"/>
  <c r="I600" i="5"/>
  <c r="P600" i="5"/>
  <c r="Q600" i="5"/>
  <c r="T600" i="5"/>
  <c r="U600" i="5"/>
  <c r="X600" i="5"/>
  <c r="Y600" i="5"/>
  <c r="AF600" i="5"/>
  <c r="AG600" i="5"/>
  <c r="AJ600" i="5"/>
  <c r="AK600" i="5"/>
  <c r="H601" i="5"/>
  <c r="I601" i="5"/>
  <c r="P601" i="5"/>
  <c r="Q601" i="5"/>
  <c r="T601" i="5"/>
  <c r="U601" i="5"/>
  <c r="X601" i="5"/>
  <c r="Y601" i="5"/>
  <c r="AF601" i="5"/>
  <c r="AG601" i="5"/>
  <c r="AJ601" i="5"/>
  <c r="AK601" i="5"/>
  <c r="H602" i="5"/>
  <c r="I602" i="5"/>
  <c r="P602" i="5"/>
  <c r="Q602" i="5"/>
  <c r="T602" i="5"/>
  <c r="U602" i="5"/>
  <c r="X602" i="5"/>
  <c r="Y602" i="5"/>
  <c r="AF602" i="5"/>
  <c r="AG602" i="5"/>
  <c r="AJ602" i="5"/>
  <c r="AK602" i="5"/>
  <c r="H603" i="5"/>
  <c r="I603" i="5"/>
  <c r="P603" i="5"/>
  <c r="Q603" i="5"/>
  <c r="T603" i="5"/>
  <c r="U603" i="5"/>
  <c r="X603" i="5"/>
  <c r="Y603" i="5"/>
  <c r="AF603" i="5"/>
  <c r="AG603" i="5"/>
  <c r="AJ603" i="5"/>
  <c r="AK603" i="5"/>
  <c r="H604" i="5"/>
  <c r="I604" i="5"/>
  <c r="P604" i="5"/>
  <c r="Q604" i="5"/>
  <c r="T604" i="5"/>
  <c r="U604" i="5"/>
  <c r="X604" i="5"/>
  <c r="Y604" i="5"/>
  <c r="AF604" i="5"/>
  <c r="AG604" i="5"/>
  <c r="AJ604" i="5"/>
  <c r="AK604" i="5"/>
  <c r="H605" i="5"/>
  <c r="I605" i="5"/>
  <c r="P605" i="5"/>
  <c r="Q605" i="5"/>
  <c r="T605" i="5"/>
  <c r="U605" i="5"/>
  <c r="X605" i="5"/>
  <c r="Y605" i="5"/>
  <c r="AF605" i="5"/>
  <c r="AG605" i="5"/>
  <c r="AJ605" i="5"/>
  <c r="AK605" i="5"/>
  <c r="H606" i="5"/>
  <c r="I606" i="5"/>
  <c r="P606" i="5"/>
  <c r="Q606" i="5"/>
  <c r="T606" i="5"/>
  <c r="U606" i="5"/>
  <c r="X606" i="5"/>
  <c r="Y606" i="5"/>
  <c r="AF606" i="5"/>
  <c r="AG606" i="5"/>
  <c r="AJ606" i="5"/>
  <c r="AK606" i="5"/>
  <c r="H607" i="5"/>
  <c r="I607" i="5"/>
  <c r="P607" i="5"/>
  <c r="Q607" i="5"/>
  <c r="T607" i="5"/>
  <c r="U607" i="5"/>
  <c r="X607" i="5"/>
  <c r="Y607" i="5"/>
  <c r="AF607" i="5"/>
  <c r="AG607" i="5"/>
  <c r="AJ607" i="5"/>
  <c r="AK607" i="5"/>
  <c r="H608" i="5"/>
  <c r="I608" i="5"/>
  <c r="P608" i="5"/>
  <c r="Q608" i="5"/>
  <c r="T608" i="5"/>
  <c r="U608" i="5"/>
  <c r="X608" i="5"/>
  <c r="Y608" i="5"/>
  <c r="AF608" i="5"/>
  <c r="AG608" i="5"/>
  <c r="AJ608" i="5"/>
  <c r="AK608" i="5"/>
  <c r="H609" i="5"/>
  <c r="I609" i="5"/>
  <c r="P609" i="5"/>
  <c r="Q609" i="5"/>
  <c r="T609" i="5"/>
  <c r="U609" i="5"/>
  <c r="X609" i="5"/>
  <c r="Y609" i="5"/>
  <c r="AF609" i="5"/>
  <c r="AG609" i="5"/>
  <c r="AJ609" i="5"/>
  <c r="AK609" i="5"/>
  <c r="H610" i="5"/>
  <c r="I610" i="5"/>
  <c r="P610" i="5"/>
  <c r="Q610" i="5"/>
  <c r="T610" i="5"/>
  <c r="U610" i="5"/>
  <c r="X610" i="5"/>
  <c r="Y610" i="5"/>
  <c r="AF610" i="5"/>
  <c r="AG610" i="5"/>
  <c r="AJ610" i="5"/>
  <c r="AK610" i="5"/>
  <c r="H611" i="5"/>
  <c r="I611" i="5"/>
  <c r="P611" i="5"/>
  <c r="Q611" i="5"/>
  <c r="T611" i="5"/>
  <c r="U611" i="5"/>
  <c r="X611" i="5"/>
  <c r="Y611" i="5"/>
  <c r="AF611" i="5"/>
  <c r="AG611" i="5"/>
  <c r="AJ611" i="5"/>
  <c r="AK611" i="5"/>
  <c r="H612" i="5"/>
  <c r="I612" i="5"/>
  <c r="P612" i="5"/>
  <c r="Q612" i="5"/>
  <c r="T612" i="5"/>
  <c r="U612" i="5"/>
  <c r="X612" i="5"/>
  <c r="Y612" i="5"/>
  <c r="AF612" i="5"/>
  <c r="AG612" i="5"/>
  <c r="AJ612" i="5"/>
  <c r="AK612" i="5"/>
  <c r="H613" i="5"/>
  <c r="I613" i="5"/>
  <c r="P613" i="5"/>
  <c r="Q613" i="5"/>
  <c r="T613" i="5"/>
  <c r="U613" i="5"/>
  <c r="X613" i="5"/>
  <c r="Y613" i="5"/>
  <c r="AF613" i="5"/>
  <c r="AG613" i="5"/>
  <c r="AJ613" i="5"/>
  <c r="AK613" i="5"/>
  <c r="H614" i="5"/>
  <c r="I614" i="5"/>
  <c r="P614" i="5"/>
  <c r="Q614" i="5"/>
  <c r="T614" i="5"/>
  <c r="U614" i="5"/>
  <c r="X614" i="5"/>
  <c r="Y614" i="5"/>
  <c r="AF614" i="5"/>
  <c r="AG614" i="5"/>
  <c r="AJ614" i="5"/>
  <c r="AK614" i="5"/>
  <c r="H615" i="5"/>
  <c r="I615" i="5"/>
  <c r="P615" i="5"/>
  <c r="Q615" i="5"/>
  <c r="T615" i="5"/>
  <c r="U615" i="5"/>
  <c r="X615" i="5"/>
  <c r="Y615" i="5"/>
  <c r="AF615" i="5"/>
  <c r="AG615" i="5"/>
  <c r="AJ615" i="5"/>
  <c r="AK615" i="5"/>
  <c r="H616" i="5"/>
  <c r="I616" i="5"/>
  <c r="P616" i="5"/>
  <c r="Q616" i="5"/>
  <c r="T616" i="5"/>
  <c r="U616" i="5"/>
  <c r="X616" i="5"/>
  <c r="Y616" i="5"/>
  <c r="AF616" i="5"/>
  <c r="AG616" i="5"/>
  <c r="AJ616" i="5"/>
  <c r="AK616" i="5"/>
  <c r="H617" i="5"/>
  <c r="I617" i="5"/>
  <c r="P617" i="5"/>
  <c r="Q617" i="5"/>
  <c r="T617" i="5"/>
  <c r="U617" i="5"/>
  <c r="X617" i="5"/>
  <c r="Y617" i="5"/>
  <c r="AF617" i="5"/>
  <c r="AG617" i="5"/>
  <c r="AJ617" i="5"/>
  <c r="AK617" i="5"/>
  <c r="H618" i="5"/>
  <c r="I618" i="5"/>
  <c r="P618" i="5"/>
  <c r="Q618" i="5"/>
  <c r="T618" i="5"/>
  <c r="U618" i="5"/>
  <c r="X618" i="5"/>
  <c r="Y618" i="5"/>
  <c r="AF618" i="5"/>
  <c r="AG618" i="5"/>
  <c r="AJ618" i="5"/>
  <c r="AK618" i="5"/>
  <c r="H619" i="5"/>
  <c r="I619" i="5"/>
  <c r="P619" i="5"/>
  <c r="Q619" i="5"/>
  <c r="T619" i="5"/>
  <c r="U619" i="5"/>
  <c r="X619" i="5"/>
  <c r="Y619" i="5"/>
  <c r="AF619" i="5"/>
  <c r="AG619" i="5"/>
  <c r="AJ619" i="5"/>
  <c r="AK619" i="5"/>
  <c r="H620" i="5"/>
  <c r="I620" i="5"/>
  <c r="P620" i="5"/>
  <c r="Q620" i="5"/>
  <c r="T620" i="5"/>
  <c r="U620" i="5"/>
  <c r="X620" i="5"/>
  <c r="Y620" i="5"/>
  <c r="AF620" i="5"/>
  <c r="AG620" i="5"/>
  <c r="AJ620" i="5"/>
  <c r="AK620" i="5"/>
  <c r="H621" i="5"/>
  <c r="I621" i="5"/>
  <c r="P621" i="5"/>
  <c r="Q621" i="5"/>
  <c r="T621" i="5"/>
  <c r="U621" i="5"/>
  <c r="X621" i="5"/>
  <c r="Y621" i="5"/>
  <c r="AF621" i="5"/>
  <c r="AG621" i="5"/>
  <c r="AJ621" i="5"/>
  <c r="AK621" i="5"/>
  <c r="H622" i="5"/>
  <c r="I622" i="5"/>
  <c r="P622" i="5"/>
  <c r="Q622" i="5"/>
  <c r="T622" i="5"/>
  <c r="U622" i="5"/>
  <c r="X622" i="5"/>
  <c r="Y622" i="5"/>
  <c r="AF622" i="5"/>
  <c r="AG622" i="5"/>
  <c r="AJ622" i="5"/>
  <c r="AK622" i="5"/>
  <c r="H623" i="5"/>
  <c r="I623" i="5"/>
  <c r="P623" i="5"/>
  <c r="Q623" i="5"/>
  <c r="T623" i="5"/>
  <c r="U623" i="5"/>
  <c r="X623" i="5"/>
  <c r="Y623" i="5"/>
  <c r="AF623" i="5"/>
  <c r="AG623" i="5"/>
  <c r="AJ623" i="5"/>
  <c r="AK623" i="5"/>
  <c r="H624" i="5"/>
  <c r="I624" i="5"/>
  <c r="P624" i="5"/>
  <c r="Q624" i="5"/>
  <c r="T624" i="5"/>
  <c r="U624" i="5"/>
  <c r="X624" i="5"/>
  <c r="Y624" i="5"/>
  <c r="AF624" i="5"/>
  <c r="AG624" i="5"/>
  <c r="AJ624" i="5"/>
  <c r="AK624" i="5"/>
  <c r="H625" i="5"/>
  <c r="I625" i="5"/>
  <c r="P625" i="5"/>
  <c r="Q625" i="5"/>
  <c r="T625" i="5"/>
  <c r="U625" i="5"/>
  <c r="X625" i="5"/>
  <c r="Y625" i="5"/>
  <c r="AF625" i="5"/>
  <c r="AG625" i="5"/>
  <c r="AJ625" i="5"/>
  <c r="AK625" i="5"/>
  <c r="H626" i="5"/>
  <c r="I626" i="5"/>
  <c r="P626" i="5"/>
  <c r="Q626" i="5"/>
  <c r="T626" i="5"/>
  <c r="U626" i="5"/>
  <c r="X626" i="5"/>
  <c r="Y626" i="5"/>
  <c r="AF626" i="5"/>
  <c r="AG626" i="5"/>
  <c r="AJ626" i="5"/>
  <c r="AK626" i="5"/>
  <c r="H627" i="5"/>
  <c r="I627" i="5"/>
  <c r="P627" i="5"/>
  <c r="Q627" i="5"/>
  <c r="T627" i="5"/>
  <c r="U627" i="5"/>
  <c r="X627" i="5"/>
  <c r="Y627" i="5"/>
  <c r="AF627" i="5"/>
  <c r="AG627" i="5"/>
  <c r="AJ627" i="5"/>
  <c r="AK627" i="5"/>
  <c r="H628" i="5"/>
  <c r="I628" i="5"/>
  <c r="P628" i="5"/>
  <c r="Q628" i="5"/>
  <c r="T628" i="5"/>
  <c r="U628" i="5"/>
  <c r="X628" i="5"/>
  <c r="Y628" i="5"/>
  <c r="AF628" i="5"/>
  <c r="AG628" i="5"/>
  <c r="AJ628" i="5"/>
  <c r="AK628" i="5"/>
  <c r="H629" i="5"/>
  <c r="I629" i="5"/>
  <c r="P629" i="5"/>
  <c r="Q629" i="5"/>
  <c r="T629" i="5"/>
  <c r="U629" i="5"/>
  <c r="X629" i="5"/>
  <c r="Y629" i="5"/>
  <c r="AF629" i="5"/>
  <c r="AG629" i="5"/>
  <c r="AJ629" i="5"/>
  <c r="AK629" i="5"/>
  <c r="H630" i="5"/>
  <c r="I630" i="5"/>
  <c r="P630" i="5"/>
  <c r="Q630" i="5"/>
  <c r="T630" i="5"/>
  <c r="U630" i="5"/>
  <c r="X630" i="5"/>
  <c r="Y630" i="5"/>
  <c r="AF630" i="5"/>
  <c r="AG630" i="5"/>
  <c r="AJ630" i="5"/>
  <c r="AK630" i="5"/>
  <c r="H631" i="5"/>
  <c r="I631" i="5"/>
  <c r="P631" i="5"/>
  <c r="Q631" i="5"/>
  <c r="T631" i="5"/>
  <c r="U631" i="5"/>
  <c r="X631" i="5"/>
  <c r="Y631" i="5"/>
  <c r="AF631" i="5"/>
  <c r="AG631" i="5"/>
  <c r="AJ631" i="5"/>
  <c r="AK631" i="5"/>
  <c r="AP764" i="5" l="1"/>
  <c r="AP855" i="5"/>
  <c r="AP933" i="5"/>
  <c r="AD1080" i="5"/>
  <c r="AD900" i="5"/>
  <c r="AP1281" i="5"/>
  <c r="AP782" i="5"/>
  <c r="AD1227" i="5"/>
  <c r="AP915" i="5"/>
  <c r="AP818" i="5"/>
  <c r="AD852" i="5"/>
  <c r="AD1088" i="5"/>
  <c r="AD1199" i="5"/>
  <c r="AP1122" i="5"/>
  <c r="AP1186" i="5"/>
  <c r="AP1249" i="5"/>
  <c r="AD1270" i="5"/>
  <c r="AT721" i="5"/>
  <c r="AP841" i="5"/>
  <c r="AD714" i="5"/>
  <c r="AD1015" i="5"/>
  <c r="AP737" i="5"/>
  <c r="AD1097" i="5"/>
  <c r="AD1260" i="5"/>
  <c r="AD640" i="5"/>
  <c r="AD1321" i="5"/>
  <c r="AP969" i="5"/>
  <c r="AP748" i="5"/>
  <c r="AD878" i="5"/>
  <c r="AP876" i="5"/>
  <c r="AP897" i="5"/>
  <c r="AP911" i="5"/>
  <c r="AP938" i="5"/>
  <c r="AP1173" i="5"/>
  <c r="AD1195" i="5"/>
  <c r="AD1285" i="5"/>
  <c r="AP1203" i="5"/>
  <c r="AT700" i="5"/>
  <c r="AD1011" i="5"/>
  <c r="AD676" i="5"/>
  <c r="AD718" i="5"/>
  <c r="AP1104" i="5"/>
  <c r="AT1131" i="5"/>
  <c r="AD1204" i="5"/>
  <c r="AD785" i="5"/>
  <c r="AD1273" i="5"/>
  <c r="AP908" i="5"/>
  <c r="AD744" i="5"/>
  <c r="AT929" i="5"/>
  <c r="AD1070" i="5"/>
  <c r="AD804" i="5"/>
  <c r="AD980" i="5"/>
  <c r="AT1277" i="5"/>
  <c r="AP1047" i="5"/>
  <c r="AT976" i="5"/>
  <c r="AD1235" i="5"/>
  <c r="AP1049" i="5"/>
  <c r="AD910" i="5"/>
  <c r="AD880" i="5"/>
  <c r="AT941" i="5"/>
  <c r="AD953" i="5"/>
  <c r="AP868" i="5"/>
  <c r="AD935" i="5"/>
  <c r="AD677" i="5"/>
  <c r="AP1220" i="5"/>
  <c r="AT693" i="5"/>
  <c r="AD662" i="5"/>
  <c r="AP968" i="5"/>
  <c r="AP1264" i="5"/>
  <c r="AT1061" i="5"/>
  <c r="AT1095" i="5"/>
  <c r="AT1191" i="5"/>
  <c r="AD1065" i="5"/>
  <c r="AD762" i="5"/>
  <c r="AP898" i="5"/>
  <c r="AD822" i="5"/>
  <c r="AT759" i="5"/>
  <c r="AD1268" i="5"/>
  <c r="AD1245" i="5"/>
  <c r="AT1255" i="5"/>
  <c r="AP681" i="5"/>
  <c r="AP811" i="5"/>
  <c r="AT1021" i="5"/>
  <c r="AD1133" i="5"/>
  <c r="AP1080" i="5"/>
  <c r="AT646" i="5"/>
  <c r="AT1230" i="5"/>
  <c r="AP1166" i="5"/>
  <c r="AD902" i="5"/>
  <c r="AD964" i="5"/>
  <c r="AT1294" i="5"/>
  <c r="AP1089" i="5"/>
  <c r="AT975" i="5"/>
  <c r="AP1316" i="5"/>
  <c r="AP1174" i="5"/>
  <c r="AP710" i="5"/>
  <c r="AD918" i="5"/>
  <c r="AD1147" i="5"/>
  <c r="AP1183" i="5"/>
  <c r="AD1306" i="5"/>
  <c r="AP835" i="5"/>
  <c r="AP633" i="5"/>
  <c r="AD996" i="5"/>
  <c r="AP937" i="5"/>
  <c r="AP1035" i="5"/>
  <c r="AP1117" i="5"/>
  <c r="AP729" i="5"/>
  <c r="AD802" i="5"/>
  <c r="AT886" i="5"/>
  <c r="AP1105" i="5"/>
  <c r="AP1224" i="5"/>
  <c r="AD954" i="5"/>
  <c r="AD634" i="5"/>
  <c r="AP988" i="5"/>
  <c r="AP1106" i="5"/>
  <c r="AT905" i="5"/>
  <c r="AP1160" i="5"/>
  <c r="AP640" i="5"/>
  <c r="AT650" i="5"/>
  <c r="AD825" i="5"/>
  <c r="AT1157" i="5"/>
  <c r="AT677" i="5"/>
  <c r="AP777" i="5"/>
  <c r="AT971" i="5"/>
  <c r="AT991" i="5"/>
  <c r="AP1114" i="5"/>
  <c r="AP827" i="5"/>
  <c r="AD824" i="5"/>
  <c r="AD812" i="5"/>
  <c r="AD943" i="5"/>
  <c r="AT942" i="5"/>
  <c r="AP1026" i="5"/>
  <c r="AT1101" i="5"/>
  <c r="AP1132" i="5"/>
  <c r="AD1072" i="5"/>
  <c r="AT1272" i="5"/>
  <c r="AP1050" i="5"/>
  <c r="AD772" i="5"/>
  <c r="AD1118" i="5"/>
  <c r="AT716" i="5"/>
  <c r="AP1298" i="5"/>
  <c r="AD1087" i="5"/>
  <c r="AT1092" i="5"/>
  <c r="AP1148" i="5"/>
  <c r="AP785" i="5"/>
  <c r="AP832" i="5"/>
  <c r="AD721" i="5"/>
  <c r="AP893" i="5"/>
  <c r="AP1000" i="5"/>
  <c r="AD1149" i="5"/>
  <c r="AP1197" i="5"/>
  <c r="AP695" i="5"/>
  <c r="AP725" i="5"/>
  <c r="AP1243" i="5"/>
  <c r="AP1187" i="5"/>
  <c r="AD750" i="5"/>
  <c r="AP694" i="5"/>
  <c r="AP792" i="5"/>
  <c r="AD1045" i="5"/>
  <c r="AD729" i="5"/>
  <c r="AP1254" i="5"/>
  <c r="AP714" i="5"/>
  <c r="AP833" i="5"/>
  <c r="AP1158" i="5"/>
  <c r="AP1102" i="5"/>
  <c r="AP692" i="5"/>
  <c r="AP1073" i="5"/>
  <c r="AP1317" i="5"/>
  <c r="AP658" i="5"/>
  <c r="AD1142" i="5"/>
  <c r="AD1265" i="5"/>
  <c r="AP639" i="5"/>
  <c r="AD1079" i="5"/>
  <c r="AD1214" i="5"/>
  <c r="AP1261" i="5"/>
  <c r="AT821" i="5"/>
  <c r="AT833" i="5"/>
  <c r="AP1059" i="5"/>
  <c r="AP1113" i="5"/>
  <c r="AD1102" i="5"/>
  <c r="AP674" i="5"/>
  <c r="AT912" i="5"/>
  <c r="AD1280" i="5"/>
  <c r="AP1274" i="5"/>
  <c r="AP789" i="5"/>
  <c r="AD820" i="5"/>
  <c r="AP1177" i="5"/>
  <c r="AP1188" i="5"/>
  <c r="AD1322" i="5"/>
  <c r="AP1055" i="5"/>
  <c r="AP1240" i="5"/>
  <c r="AD725" i="5"/>
  <c r="AP839" i="5"/>
  <c r="AP1153" i="5"/>
  <c r="AT1318" i="5"/>
  <c r="AP1116" i="5"/>
  <c r="AT725" i="5"/>
  <c r="AD1093" i="5"/>
  <c r="AP1151" i="5"/>
  <c r="AT1254" i="5"/>
  <c r="AD949" i="5"/>
  <c r="AP1075" i="5"/>
  <c r="AD1198" i="5"/>
  <c r="AT1260" i="5"/>
  <c r="AD1291" i="5"/>
  <c r="AP1171" i="5"/>
  <c r="AP662" i="5"/>
  <c r="AT1264" i="5"/>
  <c r="AD1275" i="5"/>
  <c r="AP1154" i="5"/>
  <c r="AD1144" i="5"/>
  <c r="AP1301" i="5"/>
  <c r="AT633" i="5"/>
  <c r="AD679" i="5"/>
  <c r="AT701" i="5"/>
  <c r="AD836" i="5"/>
  <c r="AT1188" i="5"/>
  <c r="AT1238" i="5"/>
  <c r="AP1033" i="5"/>
  <c r="AD673" i="5"/>
  <c r="AD699" i="5"/>
  <c r="AT848" i="5"/>
  <c r="AT1308" i="5"/>
  <c r="AT1284" i="5"/>
  <c r="AT945" i="5"/>
  <c r="AP638" i="5"/>
  <c r="AD787" i="5"/>
  <c r="AD1026" i="5"/>
  <c r="AT1034" i="5"/>
  <c r="AD1048" i="5"/>
  <c r="AT1103" i="5"/>
  <c r="AD1299" i="5"/>
  <c r="AT705" i="5"/>
  <c r="AT780" i="5"/>
  <c r="AD1242" i="5"/>
  <c r="AP1273" i="5"/>
  <c r="AT906" i="5"/>
  <c r="AD1167" i="5"/>
  <c r="AD1192" i="5"/>
  <c r="AT1299" i="5"/>
  <c r="AT1112" i="5"/>
  <c r="AT804" i="5"/>
  <c r="AP645" i="5"/>
  <c r="AT1207" i="5"/>
  <c r="AP954" i="5"/>
  <c r="AD1196" i="5"/>
  <c r="AD841" i="5"/>
  <c r="AT1295" i="5"/>
  <c r="AD1108" i="5"/>
  <c r="AT1059" i="5"/>
  <c r="AP1097" i="5"/>
  <c r="AD690" i="5"/>
  <c r="AT750" i="5"/>
  <c r="AP1119" i="5"/>
  <c r="AT1183" i="5"/>
  <c r="AT1287" i="5"/>
  <c r="AP862" i="5"/>
  <c r="AP962" i="5"/>
  <c r="AD850" i="5"/>
  <c r="AP683" i="5"/>
  <c r="AD1276" i="5"/>
  <c r="AD798" i="5"/>
  <c r="AP775" i="5"/>
  <c r="AP1034" i="5"/>
  <c r="AD692" i="5"/>
  <c r="AT850" i="5"/>
  <c r="AD1051" i="5"/>
  <c r="AP923" i="5"/>
  <c r="AT920" i="5"/>
  <c r="AD702" i="5"/>
  <c r="AD859" i="5"/>
  <c r="AD1230" i="5"/>
  <c r="AP1319" i="5"/>
  <c r="AD1124" i="5"/>
  <c r="AD974" i="5"/>
  <c r="AD1163" i="5"/>
  <c r="AP1198" i="5"/>
  <c r="AP719" i="5"/>
  <c r="AD1154" i="5"/>
  <c r="AP747" i="5"/>
  <c r="AD1145" i="5"/>
  <c r="AD883" i="5"/>
  <c r="AT1282" i="5"/>
  <c r="AP1135" i="5"/>
  <c r="AP716" i="5"/>
  <c r="AP667" i="5"/>
  <c r="AP1060" i="5"/>
  <c r="AP1139" i="5"/>
  <c r="AO373" i="5"/>
  <c r="AO357" i="5"/>
  <c r="AO353" i="5"/>
  <c r="AO349" i="5"/>
  <c r="AO345" i="5"/>
  <c r="AO341" i="5"/>
  <c r="AO337" i="5"/>
  <c r="AO333" i="5"/>
  <c r="AP666" i="5"/>
  <c r="AP967" i="5"/>
  <c r="AP1083" i="5"/>
  <c r="AP1210" i="5"/>
  <c r="AD903" i="5"/>
  <c r="AD1234" i="5"/>
  <c r="AT1258" i="5"/>
  <c r="AP1208" i="5"/>
  <c r="AT1290" i="5"/>
  <c r="AD1178" i="5"/>
  <c r="AP1309" i="5"/>
  <c r="AP836" i="5"/>
  <c r="AP1082" i="5"/>
  <c r="AP1204" i="5"/>
  <c r="AT825" i="5"/>
  <c r="AT739" i="5"/>
  <c r="AT940" i="5"/>
  <c r="AT1039" i="5"/>
  <c r="AP1202" i="5"/>
  <c r="AD1247" i="5"/>
  <c r="AP924" i="5"/>
  <c r="AP1002" i="5"/>
  <c r="AP926" i="5"/>
  <c r="AP678" i="5"/>
  <c r="AT645" i="5"/>
  <c r="AD761" i="5"/>
  <c r="AP823" i="5"/>
  <c r="AD776" i="5"/>
  <c r="AD1043" i="5"/>
  <c r="AD1241" i="5"/>
  <c r="AD1297" i="5"/>
  <c r="AP1110" i="5"/>
  <c r="AP660" i="5"/>
  <c r="AD1320" i="5"/>
  <c r="AP871" i="5"/>
  <c r="AP1201" i="5"/>
  <c r="AP742" i="5"/>
  <c r="AP766" i="5"/>
  <c r="AP685" i="5"/>
  <c r="AP644" i="5"/>
  <c r="AP1314" i="5"/>
  <c r="AP1229" i="5"/>
  <c r="AP1143" i="5"/>
  <c r="AP634" i="5"/>
  <c r="AP673" i="5"/>
  <c r="AP847" i="5"/>
  <c r="AD667" i="5"/>
  <c r="AT1306" i="5"/>
  <c r="AD1086" i="5"/>
  <c r="AP922" i="5"/>
  <c r="AP1016" i="5"/>
  <c r="AP642" i="5"/>
  <c r="AP669" i="5"/>
  <c r="AD780" i="5"/>
  <c r="AO360" i="5"/>
  <c r="AO354" i="5"/>
  <c r="AO346" i="5"/>
  <c r="AP680" i="5"/>
  <c r="AD1239" i="5"/>
  <c r="AP1248" i="5"/>
  <c r="AD1101" i="5"/>
  <c r="AP1253" i="5"/>
  <c r="AP771" i="5"/>
  <c r="AP863" i="5"/>
  <c r="AO336" i="5"/>
  <c r="AO334" i="5"/>
  <c r="AT984" i="5"/>
  <c r="AD1096" i="5"/>
  <c r="AD1082" i="5"/>
  <c r="AD1037" i="5"/>
  <c r="AT1148" i="5"/>
  <c r="AT1323" i="5"/>
  <c r="AP974" i="5"/>
  <c r="AO344" i="5"/>
  <c r="AD833" i="5"/>
  <c r="AP1239" i="5"/>
  <c r="AP670" i="5"/>
  <c r="AP711" i="5"/>
  <c r="AP689" i="5"/>
  <c r="AP1205" i="5"/>
  <c r="AP993" i="5"/>
  <c r="AP1011" i="5"/>
  <c r="AP899" i="5"/>
  <c r="AP849" i="5"/>
  <c r="AP994" i="5"/>
  <c r="AP917" i="5"/>
  <c r="AP735" i="5"/>
  <c r="AP1217" i="5"/>
  <c r="AT1009" i="5"/>
  <c r="AP1067" i="5"/>
  <c r="AD1293" i="5"/>
  <c r="AD1284" i="5"/>
  <c r="AP1216" i="5"/>
  <c r="AP1290" i="5"/>
  <c r="AD1298" i="5"/>
  <c r="AP703" i="5"/>
  <c r="AT718" i="5"/>
  <c r="AP769" i="5"/>
  <c r="AP1142" i="5"/>
  <c r="AP1190" i="5"/>
  <c r="AP1247" i="5"/>
  <c r="AP1163" i="5"/>
  <c r="AP713" i="5"/>
  <c r="AP712" i="5"/>
  <c r="AT819" i="5"/>
  <c r="AT890" i="5"/>
  <c r="AP1041" i="5"/>
  <c r="AD1036" i="5"/>
  <c r="AP1170" i="5"/>
  <c r="AP1305" i="5"/>
  <c r="AD751" i="5"/>
  <c r="AP688" i="5"/>
  <c r="AT1032" i="5"/>
  <c r="AP1221" i="5"/>
  <c r="AP1282" i="5"/>
  <c r="AP894" i="5"/>
  <c r="AD717" i="5"/>
  <c r="AD797" i="5"/>
  <c r="AP1315" i="5"/>
  <c r="AP740" i="5"/>
  <c r="AP887" i="5"/>
  <c r="AP921" i="5"/>
  <c r="AP798" i="5"/>
  <c r="AD1216" i="5"/>
  <c r="AP797" i="5"/>
  <c r="AD1063" i="5"/>
  <c r="AP778" i="5"/>
  <c r="AD656" i="5"/>
  <c r="AP1027" i="5"/>
  <c r="AD1186" i="5"/>
  <c r="AP890" i="5"/>
  <c r="AP1209" i="5"/>
  <c r="AP900" i="5"/>
  <c r="AP654" i="5"/>
  <c r="AT642" i="5"/>
  <c r="AP804" i="5"/>
  <c r="AD1223" i="5"/>
  <c r="AP663" i="5"/>
  <c r="AP751" i="5"/>
  <c r="AP768" i="5"/>
  <c r="AT872" i="5"/>
  <c r="AP1176" i="5"/>
  <c r="AP1266" i="5"/>
  <c r="AD1143" i="5"/>
  <c r="AP1271" i="5"/>
  <c r="AP907" i="5"/>
  <c r="AP1028" i="5"/>
  <c r="AT733" i="5"/>
  <c r="AP814" i="5"/>
  <c r="AD1283" i="5"/>
  <c r="AP1311" i="5"/>
  <c r="AT1206" i="5"/>
  <c r="AP1267" i="5"/>
  <c r="AD1308" i="5"/>
  <c r="AD994" i="5"/>
  <c r="AP708" i="5"/>
  <c r="AD703" i="5"/>
  <c r="AP859" i="5"/>
  <c r="AP1091" i="5"/>
  <c r="AP1165" i="5"/>
  <c r="AT1156" i="5"/>
  <c r="AT1280" i="5"/>
  <c r="AD1205" i="5"/>
  <c r="AP641" i="5"/>
  <c r="AP702" i="5"/>
  <c r="AP918" i="5"/>
  <c r="AP861" i="5"/>
  <c r="AP763" i="5"/>
  <c r="AP636" i="5"/>
  <c r="AP1231" i="5"/>
  <c r="AD701" i="5"/>
  <c r="AP720" i="5"/>
  <c r="AD789" i="5"/>
  <c r="AP1064" i="5"/>
  <c r="AT1097" i="5"/>
  <c r="AP722" i="5"/>
  <c r="AP986" i="5"/>
  <c r="AT879" i="5"/>
  <c r="AP910" i="5"/>
  <c r="AT654" i="5"/>
  <c r="AP801" i="5"/>
  <c r="AD1000" i="5"/>
  <c r="AD1215" i="5"/>
  <c r="AD1289" i="5"/>
  <c r="AP732" i="5"/>
  <c r="AP791" i="5"/>
  <c r="AP704" i="5"/>
  <c r="AP1062" i="5"/>
  <c r="AD1074" i="5"/>
  <c r="AP1169" i="5"/>
  <c r="AP1250" i="5"/>
  <c r="AD1313" i="5"/>
  <c r="AT1155" i="5"/>
  <c r="AP1283" i="5"/>
  <c r="AP1295" i="5"/>
  <c r="AD1233" i="5"/>
  <c r="AP635" i="5"/>
  <c r="AP1263" i="5"/>
  <c r="AP690" i="5"/>
  <c r="AD731" i="5"/>
  <c r="AD909" i="5"/>
  <c r="AD1075" i="5"/>
  <c r="AT1185" i="5"/>
  <c r="AT1068" i="5"/>
  <c r="AD1047" i="5"/>
  <c r="AP1262" i="5"/>
  <c r="AD1281" i="5"/>
  <c r="AP665" i="5"/>
  <c r="AD713" i="5"/>
  <c r="AD835" i="5"/>
  <c r="AD1090" i="5"/>
  <c r="AD1130" i="5"/>
  <c r="AT1138" i="5"/>
  <c r="AT1218" i="5"/>
  <c r="AP1037" i="5"/>
  <c r="AD1179" i="5"/>
  <c r="AP1280" i="5"/>
  <c r="AT914" i="5"/>
  <c r="AP779" i="5"/>
  <c r="AP761" i="5"/>
  <c r="AP869" i="5"/>
  <c r="AP813" i="5"/>
  <c r="AP671" i="5"/>
  <c r="AT1088" i="5"/>
  <c r="AD1185" i="5"/>
  <c r="AD1296" i="5"/>
  <c r="AP807" i="5"/>
  <c r="AP1286" i="5"/>
  <c r="AT644" i="5"/>
  <c r="AT673" i="5"/>
  <c r="AD689" i="5"/>
  <c r="AP1061" i="5"/>
  <c r="AP1213" i="5"/>
  <c r="AP657" i="5"/>
  <c r="AD654" i="5"/>
  <c r="AP901" i="5"/>
  <c r="AP891" i="5"/>
  <c r="AP1023" i="5"/>
  <c r="AP745" i="5"/>
  <c r="AP805" i="5"/>
  <c r="AD864" i="5"/>
  <c r="AP960" i="5"/>
  <c r="AP1029" i="5"/>
  <c r="AD1060" i="5"/>
  <c r="AD1059" i="5"/>
  <c r="AT1187" i="5"/>
  <c r="AT1172" i="5"/>
  <c r="AP1095" i="5"/>
  <c r="AD1110" i="5"/>
  <c r="AD1278" i="5"/>
  <c r="AP930" i="5"/>
  <c r="AP1040" i="5"/>
  <c r="AT664" i="5"/>
  <c r="AD643" i="5"/>
  <c r="AP780" i="5"/>
  <c r="AT874" i="5"/>
  <c r="AP851" i="5"/>
  <c r="AT1276" i="5"/>
  <c r="AP1238" i="5"/>
  <c r="AT1171" i="5"/>
  <c r="AP765" i="5"/>
  <c r="AP951" i="5"/>
  <c r="AP1299" i="5"/>
  <c r="AT735" i="5"/>
  <c r="AT788" i="5"/>
  <c r="AD807" i="5"/>
  <c r="AP875" i="5"/>
  <c r="AP955" i="5"/>
  <c r="AP987" i="5"/>
  <c r="AT1210" i="5"/>
  <c r="AD970" i="5"/>
  <c r="AD1009" i="5"/>
  <c r="AP653" i="5"/>
  <c r="AT726" i="5"/>
  <c r="AD913" i="5"/>
  <c r="AT1031" i="5"/>
  <c r="AD1300" i="5"/>
  <c r="AP1322" i="5"/>
  <c r="AP731" i="5"/>
  <c r="AP754" i="5"/>
  <c r="AP873" i="5"/>
  <c r="AD817" i="5"/>
  <c r="AD808" i="5"/>
  <c r="AP936" i="5"/>
  <c r="AP762" i="5"/>
  <c r="AD848" i="5"/>
  <c r="AP879" i="5"/>
  <c r="AT959" i="5"/>
  <c r="AD1203" i="5"/>
  <c r="AD1138" i="5"/>
  <c r="AP1234" i="5"/>
  <c r="AT709" i="5"/>
  <c r="AD998" i="5"/>
  <c r="AD1028" i="5"/>
  <c r="AD874" i="5"/>
  <c r="AD683" i="5"/>
  <c r="AP696" i="5"/>
  <c r="AP749" i="5"/>
  <c r="AD795" i="5"/>
  <c r="AT870" i="5"/>
  <c r="AD876" i="5"/>
  <c r="AT1085" i="5"/>
  <c r="AD1249" i="5"/>
  <c r="AP939" i="5"/>
  <c r="AP958" i="5"/>
  <c r="AP830" i="5"/>
  <c r="AP723" i="5"/>
  <c r="AT1259" i="5"/>
  <c r="AD847" i="5"/>
  <c r="AP860" i="5"/>
  <c r="AT811" i="5"/>
  <c r="AP942" i="5"/>
  <c r="AP971" i="5"/>
  <c r="AT1102" i="5"/>
  <c r="AD1301" i="5"/>
  <c r="AD644" i="5"/>
  <c r="AD745" i="5"/>
  <c r="AP1215" i="5"/>
  <c r="AD688" i="5"/>
  <c r="AD752" i="5"/>
  <c r="AP886" i="5"/>
  <c r="AT1019" i="5"/>
  <c r="AD1052" i="5"/>
  <c r="AD1078" i="5"/>
  <c r="AT1161" i="5"/>
  <c r="AD1304" i="5"/>
  <c r="AP1199" i="5"/>
  <c r="AD915" i="5"/>
  <c r="AT710" i="5"/>
  <c r="AT743" i="5"/>
  <c r="AT782" i="5"/>
  <c r="AT1106" i="5"/>
  <c r="AT1143" i="5"/>
  <c r="AD735" i="5"/>
  <c r="AP980" i="5"/>
  <c r="AP1310" i="5"/>
  <c r="AT876" i="5"/>
  <c r="AT681" i="5"/>
  <c r="AD1125" i="5"/>
  <c r="AD684" i="5"/>
  <c r="AT775" i="5"/>
  <c r="AD872" i="5"/>
  <c r="AD893" i="5"/>
  <c r="AT1046" i="5"/>
  <c r="AD1056" i="5"/>
  <c r="AP1127" i="5"/>
  <c r="AT1134" i="5"/>
  <c r="AT908" i="5"/>
  <c r="AP786" i="5"/>
  <c r="AP1291" i="5"/>
  <c r="AD794" i="5"/>
  <c r="AP914" i="5"/>
  <c r="AP906" i="5"/>
  <c r="AT712" i="5"/>
  <c r="AP1136" i="5"/>
  <c r="AP1196" i="5"/>
  <c r="AP1149" i="5"/>
  <c r="AD711" i="5"/>
  <c r="AT1008" i="5"/>
  <c r="AD1236" i="5"/>
  <c r="AP788" i="5"/>
  <c r="AT992" i="5"/>
  <c r="AD1103" i="5"/>
  <c r="AT1082" i="5"/>
  <c r="AT990" i="5"/>
  <c r="AT1002" i="5"/>
  <c r="AP1259" i="5"/>
  <c r="AO384" i="5"/>
  <c r="AO366" i="5"/>
  <c r="AP808" i="5"/>
  <c r="AD803" i="5"/>
  <c r="AT887" i="5"/>
  <c r="AD1010" i="5"/>
  <c r="AT1075" i="5"/>
  <c r="AD1162" i="5"/>
  <c r="AD1166" i="5"/>
  <c r="AT1270" i="5"/>
  <c r="AO372" i="5"/>
  <c r="AT744" i="5"/>
  <c r="AT796" i="5"/>
  <c r="AT822" i="5"/>
  <c r="AT860" i="5"/>
  <c r="AT1079" i="5"/>
  <c r="AT1136" i="5"/>
  <c r="AT1152" i="5"/>
  <c r="AP691" i="5"/>
  <c r="AP759" i="5"/>
  <c r="AP944" i="5"/>
  <c r="AP932" i="5"/>
  <c r="AD926" i="5"/>
  <c r="AP1042" i="5"/>
  <c r="AD1109" i="5"/>
  <c r="AD1253" i="5"/>
  <c r="AD740" i="5"/>
  <c r="AP1265" i="5"/>
  <c r="AD709" i="5"/>
  <c r="AT814" i="5"/>
  <c r="AT1042" i="5"/>
  <c r="AD1068" i="5"/>
  <c r="AT1058" i="5"/>
  <c r="AP909" i="5"/>
  <c r="AD868" i="5"/>
  <c r="AT980" i="5"/>
  <c r="AT1003" i="5"/>
  <c r="AT1076" i="5"/>
  <c r="AD1107" i="5"/>
  <c r="AT1198" i="5"/>
  <c r="AD1175" i="5"/>
  <c r="AN337" i="5"/>
  <c r="AD691" i="5"/>
  <c r="AD742" i="5"/>
  <c r="AT877" i="5"/>
  <c r="AT937" i="5"/>
  <c r="AT1160" i="5"/>
  <c r="AP1053" i="5"/>
  <c r="AD1126" i="5"/>
  <c r="AD1084" i="5"/>
  <c r="AT1163" i="5"/>
  <c r="AP1227" i="5"/>
  <c r="AP1236" i="5"/>
  <c r="AP802" i="5"/>
  <c r="AT884" i="5"/>
  <c r="AT1267" i="5"/>
  <c r="AP784" i="5"/>
  <c r="AP741" i="5"/>
  <c r="AD1014" i="5"/>
  <c r="AT734" i="5"/>
  <c r="AT742" i="5"/>
  <c r="AP781" i="5"/>
  <c r="AT834" i="5"/>
  <c r="AT963" i="5"/>
  <c r="AD1002" i="5"/>
  <c r="AP1038" i="5"/>
  <c r="AT1077" i="5"/>
  <c r="AT1132" i="5"/>
  <c r="AT1147" i="5"/>
  <c r="AT1135" i="5"/>
  <c r="AP1126" i="5"/>
  <c r="AD1303" i="5"/>
  <c r="AD1073" i="5"/>
  <c r="AT1118" i="5"/>
  <c r="AT1150" i="5"/>
  <c r="AP1207" i="5"/>
  <c r="AD1100" i="5"/>
  <c r="AP648" i="5"/>
  <c r="AP718" i="5"/>
  <c r="AP997" i="5"/>
  <c r="AP985" i="5"/>
  <c r="AP1005" i="5"/>
  <c r="AP1257" i="5"/>
  <c r="AP853" i="5"/>
  <c r="AP1014" i="5"/>
  <c r="AP959" i="5"/>
  <c r="AP1230" i="5"/>
  <c r="AT962" i="5"/>
  <c r="AP895" i="5"/>
  <c r="AD633" i="5"/>
  <c r="AP684" i="5"/>
  <c r="AD705" i="5"/>
  <c r="AD737" i="5"/>
  <c r="AP810" i="5"/>
  <c r="AP872" i="5"/>
  <c r="AT1043" i="5"/>
  <c r="AT1072" i="5"/>
  <c r="AP1241" i="5"/>
  <c r="AD1287" i="5"/>
  <c r="AT1309" i="5"/>
  <c r="AP1093" i="5"/>
  <c r="AD819" i="5"/>
  <c r="AP822" i="5"/>
  <c r="AD851" i="5"/>
  <c r="AT902" i="5"/>
  <c r="AP799" i="5"/>
  <c r="AP920" i="5"/>
  <c r="AP1225" i="5"/>
  <c r="AD1312" i="5"/>
  <c r="AP989" i="5"/>
  <c r="AD663" i="5"/>
  <c r="AT968" i="5"/>
  <c r="AP956" i="5"/>
  <c r="AP825" i="5"/>
  <c r="AN345" i="5"/>
  <c r="AT676" i="5"/>
  <c r="AT699" i="5"/>
  <c r="AT740" i="5"/>
  <c r="AT829" i="5"/>
  <c r="AD855" i="5"/>
  <c r="AT987" i="5"/>
  <c r="AP996" i="5"/>
  <c r="AD1062" i="5"/>
  <c r="AD1129" i="5"/>
  <c r="AT1310" i="5"/>
  <c r="AD1307" i="5"/>
  <c r="AT784" i="5"/>
  <c r="AD764" i="5"/>
  <c r="AD810" i="5"/>
  <c r="AP857" i="5"/>
  <c r="AP850" i="5"/>
  <c r="AD723" i="5"/>
  <c r="AD962" i="5"/>
  <c r="AP661" i="5"/>
  <c r="AD791" i="5"/>
  <c r="AP828" i="5"/>
  <c r="AP854" i="5"/>
  <c r="AD651" i="5"/>
  <c r="AD730" i="5"/>
  <c r="AD790" i="5"/>
  <c r="AD830" i="5"/>
  <c r="AP929" i="5"/>
  <c r="AP972" i="5"/>
  <c r="AP975" i="5"/>
  <c r="AT1000" i="5"/>
  <c r="AT1074" i="5"/>
  <c r="AT1227" i="5"/>
  <c r="AD1252" i="5"/>
  <c r="AT1243" i="5"/>
  <c r="AT1268" i="5"/>
  <c r="AT1234" i="5"/>
  <c r="AT1316" i="5"/>
  <c r="AD755" i="5"/>
  <c r="AP870" i="5"/>
  <c r="AP829" i="5"/>
  <c r="AP990" i="5"/>
  <c r="AD642" i="5"/>
  <c r="AT754" i="5"/>
  <c r="AD739" i="5"/>
  <c r="AP820" i="5"/>
  <c r="AD805" i="5"/>
  <c r="AD860" i="5"/>
  <c r="AD879" i="5"/>
  <c r="AT955" i="5"/>
  <c r="AP992" i="5"/>
  <c r="AT1028" i="5"/>
  <c r="AT1286" i="5"/>
  <c r="AP1300" i="5"/>
  <c r="AP1293" i="5"/>
  <c r="AD1316" i="5"/>
  <c r="AP698" i="5"/>
  <c r="AP865" i="5"/>
  <c r="AP896" i="5"/>
  <c r="AP973" i="5"/>
  <c r="AD1302" i="5"/>
  <c r="AD1314" i="5"/>
  <c r="AT1312" i="5"/>
  <c r="AP767" i="5"/>
  <c r="AR336" i="5"/>
  <c r="AT728" i="5"/>
  <c r="AT753" i="5"/>
  <c r="AD727" i="5"/>
  <c r="AD834" i="5"/>
  <c r="AD827" i="5"/>
  <c r="AD867" i="5"/>
  <c r="AP864" i="5"/>
  <c r="AD922" i="5"/>
  <c r="AP881" i="5"/>
  <c r="AP888" i="5"/>
  <c r="AT936" i="5"/>
  <c r="AT1139" i="5"/>
  <c r="AP1194" i="5"/>
  <c r="AP1321" i="5"/>
  <c r="AD1221" i="5"/>
  <c r="AT1263" i="5"/>
  <c r="AT1292" i="5"/>
  <c r="AD736" i="5"/>
  <c r="AT751" i="5"/>
  <c r="AP783" i="5"/>
  <c r="AT921" i="5"/>
  <c r="AP950" i="5"/>
  <c r="AP877" i="5"/>
  <c r="AP953" i="5"/>
  <c r="AT994" i="5"/>
  <c r="AP831" i="5"/>
  <c r="AD1200" i="5"/>
  <c r="AT1167" i="5"/>
  <c r="AD1254" i="5"/>
  <c r="AT1006" i="5"/>
  <c r="AP803" i="5"/>
  <c r="AD1266" i="5"/>
  <c r="AD1294" i="5"/>
  <c r="AD782" i="5"/>
  <c r="AD1290" i="5"/>
  <c r="AP675" i="5"/>
  <c r="AD858" i="5"/>
  <c r="AD632" i="5"/>
  <c r="AP1129" i="5"/>
  <c r="AP892" i="5"/>
  <c r="AT960" i="5"/>
  <c r="AT1047" i="5"/>
  <c r="AT1099" i="5"/>
  <c r="AP1109" i="5"/>
  <c r="AT1141" i="5"/>
  <c r="AD1174" i="5"/>
  <c r="AT1180" i="5"/>
  <c r="AT1215" i="5"/>
  <c r="AD1272" i="5"/>
  <c r="AP1245" i="5"/>
  <c r="AT1107" i="5"/>
  <c r="AT1128" i="5"/>
  <c r="AD1128" i="5"/>
  <c r="AD1201" i="5"/>
  <c r="AT1226" i="5"/>
  <c r="AP687" i="5"/>
  <c r="AP1297" i="5"/>
  <c r="AP715" i="5"/>
  <c r="AP701" i="5"/>
  <c r="AP795" i="5"/>
  <c r="AP838" i="5"/>
  <c r="AP981" i="5"/>
  <c r="AT918" i="5"/>
  <c r="AR342" i="5"/>
  <c r="AT752" i="5"/>
  <c r="AD1044" i="5"/>
  <c r="AP1270" i="5"/>
  <c r="AD678" i="5"/>
  <c r="AT1247" i="5"/>
  <c r="AP878" i="5"/>
  <c r="AD896" i="5"/>
  <c r="AP1021" i="5"/>
  <c r="AP1076" i="5"/>
  <c r="AD884" i="5"/>
  <c r="AD660" i="5"/>
  <c r="AT680" i="5"/>
  <c r="AT778" i="5"/>
  <c r="AT813" i="5"/>
  <c r="AP945" i="5"/>
  <c r="AD1007" i="5"/>
  <c r="AP1152" i="5"/>
  <c r="AT1176" i="5"/>
  <c r="AD1219" i="5"/>
  <c r="AD1190" i="5"/>
  <c r="AT1223" i="5"/>
  <c r="AT1049" i="5"/>
  <c r="AP1123" i="5"/>
  <c r="AT1057" i="5"/>
  <c r="AT1124" i="5"/>
  <c r="AD1171" i="5"/>
  <c r="AP1287" i="5"/>
  <c r="AD919" i="5"/>
  <c r="AT1086" i="5"/>
  <c r="AT1080" i="5"/>
  <c r="AP1069" i="5"/>
  <c r="AT1130" i="5"/>
  <c r="AD1250" i="5"/>
  <c r="AP1307" i="5"/>
  <c r="AD986" i="5"/>
  <c r="AN341" i="5"/>
  <c r="AP341" i="5" s="1"/>
  <c r="AT933" i="5"/>
  <c r="AP1054" i="5"/>
  <c r="AP1107" i="5"/>
  <c r="AD1191" i="5"/>
  <c r="AD1194" i="5"/>
  <c r="AD1226" i="5"/>
  <c r="AT1245" i="5"/>
  <c r="AD666" i="5"/>
  <c r="AD741" i="5"/>
  <c r="AP874" i="5"/>
  <c r="AD1006" i="5"/>
  <c r="AT998" i="5"/>
  <c r="AD1020" i="5"/>
  <c r="AN353" i="5"/>
  <c r="AN349" i="5"/>
  <c r="AP676" i="5"/>
  <c r="AD747" i="5"/>
  <c r="AT995" i="5"/>
  <c r="AT1024" i="5"/>
  <c r="AT1045" i="5"/>
  <c r="AD1104" i="5"/>
  <c r="AT1108" i="5"/>
  <c r="AT1266" i="5"/>
  <c r="AP1162" i="5"/>
  <c r="AD674" i="5"/>
  <c r="AP727" i="5"/>
  <c r="AP883" i="5"/>
  <c r="AD760" i="5"/>
  <c r="AP1020" i="5"/>
  <c r="AD1055" i="5"/>
  <c r="AT1222" i="5"/>
  <c r="AP705" i="5"/>
  <c r="AD1159" i="5"/>
  <c r="AO533" i="5"/>
  <c r="AO503" i="5"/>
  <c r="AO431" i="5"/>
  <c r="AO413" i="5"/>
  <c r="AN557" i="5"/>
  <c r="AN551" i="5"/>
  <c r="AN533" i="5"/>
  <c r="AN527" i="5"/>
  <c r="AN509" i="5"/>
  <c r="AN491" i="5"/>
  <c r="AN485" i="5"/>
  <c r="AN479" i="5"/>
  <c r="AN473" i="5"/>
  <c r="AN425" i="5"/>
  <c r="AN419" i="5"/>
  <c r="AN401" i="5"/>
  <c r="AN389" i="5"/>
  <c r="AN381" i="5"/>
  <c r="AN369" i="5"/>
  <c r="AN363" i="5"/>
  <c r="AD672" i="5"/>
  <c r="AD697" i="5"/>
  <c r="AT714" i="5"/>
  <c r="AP776" i="5"/>
  <c r="AD1035" i="5"/>
  <c r="AD1210" i="5"/>
  <c r="AD1271" i="5"/>
  <c r="AP1228" i="5"/>
  <c r="AO595" i="5"/>
  <c r="AO553" i="5"/>
  <c r="AO481" i="5"/>
  <c r="AO463" i="5"/>
  <c r="AO421" i="5"/>
  <c r="AN555" i="5"/>
  <c r="AN519" i="5"/>
  <c r="AN513" i="5"/>
  <c r="AN507" i="5"/>
  <c r="AN483" i="5"/>
  <c r="AN453" i="5"/>
  <c r="AN423" i="5"/>
  <c r="AN391" i="5"/>
  <c r="AN373" i="5"/>
  <c r="AN355" i="5"/>
  <c r="AD647" i="5"/>
  <c r="AD734" i="5"/>
  <c r="AT738" i="5"/>
  <c r="AT904" i="5"/>
  <c r="AD914" i="5"/>
  <c r="AD890" i="5"/>
  <c r="AP946" i="5"/>
  <c r="AP1007" i="5"/>
  <c r="AT1116" i="5"/>
  <c r="AT1168" i="5"/>
  <c r="AT1195" i="5"/>
  <c r="AP1084" i="5"/>
  <c r="AT661" i="5"/>
  <c r="AD712" i="5"/>
  <c r="AD726" i="5"/>
  <c r="AT729" i="5"/>
  <c r="AT765" i="5"/>
  <c r="AT824" i="5"/>
  <c r="AD839" i="5"/>
  <c r="AT858" i="5"/>
  <c r="AD881" i="5"/>
  <c r="AD894" i="5"/>
  <c r="AT816" i="5"/>
  <c r="AD924" i="5"/>
  <c r="AT964" i="5"/>
  <c r="AD968" i="5"/>
  <c r="AT938" i="5"/>
  <c r="AP979" i="5"/>
  <c r="AT1029" i="5"/>
  <c r="AD1023" i="5"/>
  <c r="AP1022" i="5"/>
  <c r="AD1018" i="5"/>
  <c r="AD1046" i="5"/>
  <c r="AP1048" i="5"/>
  <c r="AP1070" i="5"/>
  <c r="AD1140" i="5"/>
  <c r="AP1161" i="5"/>
  <c r="AP1147" i="5"/>
  <c r="AT1169" i="5"/>
  <c r="AD1292" i="5"/>
  <c r="AT1194" i="5"/>
  <c r="AP1074" i="5"/>
  <c r="AT1190" i="5"/>
  <c r="AP902" i="5"/>
  <c r="AP912" i="5"/>
  <c r="AD920" i="5"/>
  <c r="AD1146" i="5"/>
  <c r="AT1179" i="5"/>
  <c r="AP1289" i="5"/>
  <c r="AO598" i="5"/>
  <c r="AO590" i="5"/>
  <c r="AO574" i="5"/>
  <c r="AO494" i="5"/>
  <c r="AO454" i="5"/>
  <c r="AO422" i="5"/>
  <c r="AO414" i="5"/>
  <c r="AO406" i="5"/>
  <c r="AO592" i="5"/>
  <c r="AO584" i="5"/>
  <c r="AO576" i="5"/>
  <c r="AO496" i="5"/>
  <c r="AO488" i="5"/>
  <c r="AO472" i="5"/>
  <c r="AO464" i="5"/>
  <c r="AN588" i="5"/>
  <c r="AN552" i="5"/>
  <c r="AN522" i="5"/>
  <c r="AN394" i="5"/>
  <c r="AN380" i="5"/>
  <c r="AN374" i="5"/>
  <c r="AN358" i="5"/>
  <c r="AT653" i="5"/>
  <c r="AT634" i="5"/>
  <c r="AD655" i="5"/>
  <c r="AT689" i="5"/>
  <c r="AT736" i="5"/>
  <c r="AT713" i="5"/>
  <c r="AD831" i="5"/>
  <c r="AP824" i="5"/>
  <c r="AT972" i="5"/>
  <c r="AD940" i="5"/>
  <c r="AT947" i="5"/>
  <c r="AT979" i="5"/>
  <c r="AD928" i="5"/>
  <c r="AD1004" i="5"/>
  <c r="AD1027" i="5"/>
  <c r="AT1020" i="5"/>
  <c r="AD1021" i="5"/>
  <c r="AT1027" i="5"/>
  <c r="AP1056" i="5"/>
  <c r="AD1064" i="5"/>
  <c r="AP1145" i="5"/>
  <c r="AP1168" i="5"/>
  <c r="AD1182" i="5"/>
  <c r="AD1151" i="5"/>
  <c r="AP1184" i="5"/>
  <c r="AT1240" i="5"/>
  <c r="AP1296" i="5"/>
  <c r="AD1053" i="5"/>
  <c r="AT1083" i="5"/>
  <c r="AP1195" i="5"/>
  <c r="AP1182" i="5"/>
  <c r="AP1193" i="5"/>
  <c r="AT1288" i="5"/>
  <c r="AP1268" i="5"/>
  <c r="AT662" i="5"/>
  <c r="AT708" i="5"/>
  <c r="AP707" i="5"/>
  <c r="AD774" i="5"/>
  <c r="AP858" i="5"/>
  <c r="AT898" i="5"/>
  <c r="AD838" i="5"/>
  <c r="AP916" i="5"/>
  <c r="AP949" i="5"/>
  <c r="AP1015" i="5"/>
  <c r="AD862" i="5"/>
  <c r="AD843" i="5"/>
  <c r="AD758" i="5"/>
  <c r="AO588" i="5"/>
  <c r="AO476" i="5"/>
  <c r="AO468" i="5"/>
  <c r="AO452" i="5"/>
  <c r="AN604" i="5"/>
  <c r="AN586" i="5"/>
  <c r="AN544" i="5"/>
  <c r="AN526" i="5"/>
  <c r="AN496" i="5"/>
  <c r="AN410" i="5"/>
  <c r="AN406" i="5"/>
  <c r="AN382" i="5"/>
  <c r="AN350" i="5"/>
  <c r="AN344" i="5"/>
  <c r="AL619" i="5"/>
  <c r="R619" i="5"/>
  <c r="AD687" i="5"/>
  <c r="AP760" i="5"/>
  <c r="AP796" i="5"/>
  <c r="AD856" i="5"/>
  <c r="AT864" i="5"/>
  <c r="AD941" i="5"/>
  <c r="AD965" i="5"/>
  <c r="AD981" i="5"/>
  <c r="AT1030" i="5"/>
  <c r="AD985" i="5"/>
  <c r="AT1089" i="5"/>
  <c r="AP1115" i="5"/>
  <c r="AD1137" i="5"/>
  <c r="AD1202" i="5"/>
  <c r="AD1264" i="5"/>
  <c r="AT1073" i="5"/>
  <c r="AD1136" i="5"/>
  <c r="AP1200" i="5"/>
  <c r="AD1225" i="5"/>
  <c r="AT665" i="5"/>
  <c r="AP664" i="5"/>
  <c r="AP686" i="5"/>
  <c r="AP682" i="5"/>
  <c r="AP755" i="5"/>
  <c r="AD871" i="5"/>
  <c r="AP884" i="5"/>
  <c r="AD1032" i="5"/>
  <c r="AP947" i="5"/>
  <c r="AD732" i="5"/>
  <c r="AD854" i="5"/>
  <c r="AP934" i="5"/>
  <c r="AP1013" i="5"/>
  <c r="AT954" i="5"/>
  <c r="AP889" i="5"/>
  <c r="AD866" i="5"/>
  <c r="AD664" i="5"/>
  <c r="AD815" i="5"/>
  <c r="AO599" i="5"/>
  <c r="AO557" i="5"/>
  <c r="AO618" i="5"/>
  <c r="AO594" i="5"/>
  <c r="AO530" i="5"/>
  <c r="AO458" i="5"/>
  <c r="AO402" i="5"/>
  <c r="AN602" i="5"/>
  <c r="AN530" i="5"/>
  <c r="AN476" i="5"/>
  <c r="AN462" i="5"/>
  <c r="AN454" i="5"/>
  <c r="AN450" i="5"/>
  <c r="AN438" i="5"/>
  <c r="AN434" i="5"/>
  <c r="AN430" i="5"/>
  <c r="AN412" i="5"/>
  <c r="AN396" i="5"/>
  <c r="AN378" i="5"/>
  <c r="AN360" i="5"/>
  <c r="AN354" i="5"/>
  <c r="AD748" i="5"/>
  <c r="AT792" i="5"/>
  <c r="AT800" i="5"/>
  <c r="AT852" i="5"/>
  <c r="AD875" i="5"/>
  <c r="AD929" i="5"/>
  <c r="AT948" i="5"/>
  <c r="AT967" i="5"/>
  <c r="AT983" i="5"/>
  <c r="AD952" i="5"/>
  <c r="AD984" i="5"/>
  <c r="AP963" i="5"/>
  <c r="AD1089" i="5"/>
  <c r="AT1115" i="5"/>
  <c r="AD1116" i="5"/>
  <c r="AT1177" i="5"/>
  <c r="AP1284" i="5"/>
  <c r="AD1187" i="5"/>
  <c r="AD1228" i="5"/>
  <c r="AT660" i="5"/>
  <c r="AD670" i="5"/>
  <c r="AP1269" i="5"/>
  <c r="AD768" i="5"/>
  <c r="AP919" i="5"/>
  <c r="AP1024" i="5"/>
  <c r="AD636" i="5"/>
  <c r="AT692" i="5"/>
  <c r="AD650" i="5"/>
  <c r="AD870" i="5"/>
  <c r="AT636" i="5"/>
  <c r="AT668" i="5"/>
  <c r="AD659" i="5"/>
  <c r="AT658" i="5"/>
  <c r="AP699" i="5"/>
  <c r="AT741" i="5"/>
  <c r="AT764" i="5"/>
  <c r="AP734" i="5"/>
  <c r="AD765" i="5"/>
  <c r="AT787" i="5"/>
  <c r="AP787" i="5"/>
  <c r="AD809" i="5"/>
  <c r="AT817" i="5"/>
  <c r="AT889" i="5"/>
  <c r="AD811" i="5"/>
  <c r="AD930" i="5"/>
  <c r="AD936" i="5"/>
  <c r="AT1012" i="5"/>
  <c r="AD1005" i="5"/>
  <c r="AD1054" i="5"/>
  <c r="AT1090" i="5"/>
  <c r="AT1127" i="5"/>
  <c r="AP1133" i="5"/>
  <c r="AT1219" i="5"/>
  <c r="AP1181" i="5"/>
  <c r="AD1288" i="5"/>
  <c r="AT648" i="5"/>
  <c r="AP819" i="5"/>
  <c r="AD766" i="5"/>
  <c r="AP821" i="5"/>
  <c r="AD863" i="5"/>
  <c r="AP904" i="5"/>
  <c r="AT970" i="5"/>
  <c r="AP1001" i="5"/>
  <c r="AD1232" i="5"/>
  <c r="AD1208" i="5"/>
  <c r="AT1120" i="5"/>
  <c r="AP1025" i="5"/>
  <c r="AD1197" i="5"/>
  <c r="AO583" i="5"/>
  <c r="AO555" i="5"/>
  <c r="AO465" i="5"/>
  <c r="AO405" i="5"/>
  <c r="AN627" i="5"/>
  <c r="AN541" i="5"/>
  <c r="AN535" i="5"/>
  <c r="AN493" i="5"/>
  <c r="AN457" i="5"/>
  <c r="AN415" i="5"/>
  <c r="AN383" i="5"/>
  <c r="AP650" i="5"/>
  <c r="AD681" i="5"/>
  <c r="AD720" i="5"/>
  <c r="AT771" i="5"/>
  <c r="AD757" i="5"/>
  <c r="AT806" i="5"/>
  <c r="AT786" i="5"/>
  <c r="AT836" i="5"/>
  <c r="AT830" i="5"/>
  <c r="AD823" i="5"/>
  <c r="AD917" i="5"/>
  <c r="AD944" i="5"/>
  <c r="AD993" i="5"/>
  <c r="AD1095" i="5"/>
  <c r="AD1134" i="5"/>
  <c r="AT1145" i="5"/>
  <c r="AT1173" i="5"/>
  <c r="AD1207" i="5"/>
  <c r="AT1246" i="5"/>
  <c r="AT1256" i="5"/>
  <c r="AD1295" i="5"/>
  <c r="AP1285" i="5"/>
  <c r="AP643" i="5"/>
  <c r="AP790" i="5"/>
  <c r="AD931" i="5"/>
  <c r="AP1233" i="5"/>
  <c r="AD1209" i="5"/>
  <c r="AD1155" i="5"/>
  <c r="AP1279" i="5"/>
  <c r="AT1175" i="5"/>
  <c r="AD786" i="5"/>
  <c r="AT837" i="5"/>
  <c r="AT854" i="5"/>
  <c r="AT862" i="5"/>
  <c r="AD882" i="5"/>
  <c r="AT892" i="5"/>
  <c r="AT924" i="5"/>
  <c r="AD956" i="5"/>
  <c r="AP943" i="5"/>
  <c r="AD997" i="5"/>
  <c r="AT1033" i="5"/>
  <c r="AT652" i="5"/>
  <c r="AD638" i="5"/>
  <c r="AP977" i="5"/>
  <c r="AT966" i="5"/>
  <c r="AD958" i="5"/>
  <c r="AD948" i="5"/>
  <c r="AN540" i="5"/>
  <c r="AN472" i="5"/>
  <c r="AT649" i="5"/>
  <c r="AD695" i="5"/>
  <c r="AP700" i="5"/>
  <c r="AP770" i="5"/>
  <c r="AD769" i="5"/>
  <c r="AD832" i="5"/>
  <c r="AT934" i="5"/>
  <c r="AD938" i="5"/>
  <c r="AT723" i="5"/>
  <c r="AP806" i="5"/>
  <c r="AP905" i="5"/>
  <c r="AD945" i="5"/>
  <c r="AT958" i="5"/>
  <c r="AP679" i="5"/>
  <c r="AD781" i="5"/>
  <c r="AP757" i="5"/>
  <c r="AD784" i="5"/>
  <c r="AT1010" i="5"/>
  <c r="AN584" i="5"/>
  <c r="AN556" i="5"/>
  <c r="AN468" i="5"/>
  <c r="AN436" i="5"/>
  <c r="AN418" i="5"/>
  <c r="AN372" i="5"/>
  <c r="AN366" i="5"/>
  <c r="AD639" i="5"/>
  <c r="AP672" i="5"/>
  <c r="AD738" i="5"/>
  <c r="AP717" i="5"/>
  <c r="AT760" i="5"/>
  <c r="AD826" i="5"/>
  <c r="AD957" i="5"/>
  <c r="AD973" i="5"/>
  <c r="AP964" i="5"/>
  <c r="AT1017" i="5"/>
  <c r="AT1037" i="5"/>
  <c r="AP693" i="5"/>
  <c r="AP744" i="5"/>
  <c r="AD908" i="5"/>
  <c r="AT885" i="5"/>
  <c r="AP1006" i="5"/>
  <c r="AP1032" i="5"/>
  <c r="AD845" i="5"/>
  <c r="AT974" i="5"/>
  <c r="AP927" i="5"/>
  <c r="AT986" i="5"/>
  <c r="AD1012" i="5"/>
  <c r="AD719" i="5"/>
  <c r="AD635" i="5"/>
  <c r="AT732" i="5"/>
  <c r="AD777" i="5"/>
  <c r="AP758" i="5"/>
  <c r="AT846" i="5"/>
  <c r="AD877" i="5"/>
  <c r="AP848" i="5"/>
  <c r="AP885" i="5"/>
  <c r="AT925" i="5"/>
  <c r="AT944" i="5"/>
  <c r="AP976" i="5"/>
  <c r="AD1029" i="5"/>
  <c r="AT1035" i="5"/>
  <c r="AT695" i="5"/>
  <c r="AT704" i="5"/>
  <c r="AT683" i="5"/>
  <c r="AT950" i="5"/>
  <c r="AT841" i="5"/>
  <c r="AD990" i="5"/>
  <c r="AP1019" i="5"/>
  <c r="AD1024" i="5"/>
  <c r="AD927" i="5"/>
  <c r="AN392" i="5"/>
  <c r="AD700" i="5"/>
  <c r="AD675" i="5"/>
  <c r="AT768" i="5"/>
  <c r="AP733" i="5"/>
  <c r="AD814" i="5"/>
  <c r="AD933" i="5"/>
  <c r="AD977" i="5"/>
  <c r="AD972" i="5"/>
  <c r="AT1018" i="5"/>
  <c r="AP1008" i="5"/>
  <c r="AT1023" i="5"/>
  <c r="AT696" i="5"/>
  <c r="AP794" i="5"/>
  <c r="AD895" i="5"/>
  <c r="AD911" i="5"/>
  <c r="AD950" i="5"/>
  <c r="AP961" i="5"/>
  <c r="AP1004" i="5"/>
  <c r="AD686" i="5"/>
  <c r="AT772" i="5"/>
  <c r="AD842" i="5"/>
  <c r="AD898" i="5"/>
  <c r="AD976" i="5"/>
  <c r="AP941" i="5"/>
  <c r="AD1001" i="5"/>
  <c r="AT656" i="5"/>
  <c r="AD778" i="5"/>
  <c r="AP903" i="5"/>
  <c r="AT897" i="5"/>
  <c r="AT685" i="5"/>
  <c r="AT745" i="5"/>
  <c r="AP738" i="5"/>
  <c r="AD799" i="5"/>
  <c r="AT826" i="5"/>
  <c r="AP856" i="5"/>
  <c r="AD901" i="5"/>
  <c r="AP1103" i="5"/>
  <c r="AD1105" i="5"/>
  <c r="AT1091" i="5"/>
  <c r="AD1150" i="5"/>
  <c r="AD1158" i="5"/>
  <c r="AT1203" i="5"/>
  <c r="AD1248" i="5"/>
  <c r="AD1274" i="5"/>
  <c r="AT1315" i="5"/>
  <c r="AD1269" i="5"/>
  <c r="AD646" i="5"/>
  <c r="AN477" i="5"/>
  <c r="AN409" i="5"/>
  <c r="AN333" i="5"/>
  <c r="AB521" i="5"/>
  <c r="AR503" i="5"/>
  <c r="AB497" i="5"/>
  <c r="AR493" i="5"/>
  <c r="AT632" i="5"/>
  <c r="AT637" i="5"/>
  <c r="AD685" i="5"/>
  <c r="AP709" i="5"/>
  <c r="AT810" i="5"/>
  <c r="AT820" i="5"/>
  <c r="AD793" i="5"/>
  <c r="AT808" i="5"/>
  <c r="AP800" i="5"/>
  <c r="AT847" i="5"/>
  <c r="AD829" i="5"/>
  <c r="AP852" i="5"/>
  <c r="AP925" i="5"/>
  <c r="AT952" i="5"/>
  <c r="AD934" i="5"/>
  <c r="AT951" i="5"/>
  <c r="AT926" i="5"/>
  <c r="AP935" i="5"/>
  <c r="AD1022" i="5"/>
  <c r="AT988" i="5"/>
  <c r="AT1055" i="5"/>
  <c r="AP1150" i="5"/>
  <c r="AT1153" i="5"/>
  <c r="AD1256" i="5"/>
  <c r="AT1262" i="5"/>
  <c r="AP1275" i="5"/>
  <c r="AP1043" i="5"/>
  <c r="AP1235" i="5"/>
  <c r="AD1282" i="5"/>
  <c r="AT638" i="5"/>
  <c r="AT684" i="5"/>
  <c r="AD707" i="5"/>
  <c r="AT776" i="5"/>
  <c r="AD749" i="5"/>
  <c r="AT763" i="5"/>
  <c r="AD816" i="5"/>
  <c r="AD889" i="5"/>
  <c r="AT928" i="5"/>
  <c r="AD905" i="5"/>
  <c r="AD921" i="5"/>
  <c r="AT956" i="5"/>
  <c r="AD969" i="5"/>
  <c r="AD937" i="5"/>
  <c r="AP948" i="5"/>
  <c r="AT1022" i="5"/>
  <c r="AD989" i="5"/>
  <c r="AT1015" i="5"/>
  <c r="AT996" i="5"/>
  <c r="AT1100" i="5"/>
  <c r="AD1092" i="5"/>
  <c r="AT1093" i="5"/>
  <c r="AD1112" i="5"/>
  <c r="AT1142" i="5"/>
  <c r="AT1126" i="5"/>
  <c r="AT1164" i="5"/>
  <c r="AD1218" i="5"/>
  <c r="AT1250" i="5"/>
  <c r="AP1246" i="5"/>
  <c r="AT1252" i="5"/>
  <c r="AT1278" i="5"/>
  <c r="AT1313" i="5"/>
  <c r="AD668" i="5"/>
  <c r="AP845" i="5"/>
  <c r="AD907" i="5"/>
  <c r="AD966" i="5"/>
  <c r="AD982" i="5"/>
  <c r="AN559" i="5"/>
  <c r="AD696" i="5"/>
  <c r="AT691" i="5"/>
  <c r="AT730" i="5"/>
  <c r="AT777" i="5"/>
  <c r="AT802" i="5"/>
  <c r="AT866" i="5"/>
  <c r="AD885" i="5"/>
  <c r="AD906" i="5"/>
  <c r="AP816" i="5"/>
  <c r="AD939" i="5"/>
  <c r="AT930" i="5"/>
  <c r="AD960" i="5"/>
  <c r="AD992" i="5"/>
  <c r="AT1016" i="5"/>
  <c r="AT1038" i="5"/>
  <c r="AD1067" i="5"/>
  <c r="AD1077" i="5"/>
  <c r="AT1087" i="5"/>
  <c r="AT1144" i="5"/>
  <c r="AT1140" i="5"/>
  <c r="AT1165" i="5"/>
  <c r="AT1239" i="5"/>
  <c r="AP1272" i="5"/>
  <c r="AT1303" i="5"/>
  <c r="AP1125" i="5"/>
  <c r="AD1061" i="5"/>
  <c r="AD887" i="5"/>
  <c r="AT978" i="5"/>
  <c r="AD946" i="5"/>
  <c r="AD1243" i="5"/>
  <c r="AT666" i="5"/>
  <c r="AT702" i="5"/>
  <c r="AD708" i="5"/>
  <c r="AD733" i="5"/>
  <c r="AT1004" i="5"/>
  <c r="AP1018" i="5"/>
  <c r="AT1025" i="5"/>
  <c r="AP1144" i="5"/>
  <c r="AT1184" i="5"/>
  <c r="AD1206" i="5"/>
  <c r="AD1238" i="5"/>
  <c r="AP1320" i="5"/>
  <c r="AT1304" i="5"/>
  <c r="AT1122" i="5"/>
  <c r="AP1185" i="5"/>
  <c r="AP1219" i="5"/>
  <c r="AD1229" i="5"/>
  <c r="AD1213" i="5"/>
  <c r="AT1273" i="5"/>
  <c r="AT1319" i="5"/>
  <c r="AT1251" i="5"/>
  <c r="AP753" i="5"/>
  <c r="AT893" i="5"/>
  <c r="AT901" i="5"/>
  <c r="AT917" i="5"/>
  <c r="AD1008" i="5"/>
  <c r="AT641" i="5"/>
  <c r="AT783" i="5"/>
  <c r="AP774" i="5"/>
  <c r="AD801" i="5"/>
  <c r="AP840" i="5"/>
  <c r="AT839" i="5"/>
  <c r="AD886" i="5"/>
  <c r="AT868" i="5"/>
  <c r="AT932" i="5"/>
  <c r="AD1038" i="5"/>
  <c r="AT1084" i="5"/>
  <c r="AP1087" i="5"/>
  <c r="AT1060" i="5"/>
  <c r="AP1081" i="5"/>
  <c r="AD1113" i="5"/>
  <c r="AP1108" i="5"/>
  <c r="AD1123" i="5"/>
  <c r="AP1222" i="5"/>
  <c r="AD1170" i="5"/>
  <c r="AT1181" i="5"/>
  <c r="AT1271" i="5"/>
  <c r="AP1288" i="5"/>
  <c r="AD1311" i="5"/>
  <c r="AP1051" i="5"/>
  <c r="AP1100" i="5"/>
  <c r="AT1202" i="5"/>
  <c r="AP1131" i="5"/>
  <c r="AP1211" i="5"/>
  <c r="AT1149" i="5"/>
  <c r="AD1193" i="5"/>
  <c r="AT1214" i="5"/>
  <c r="AT669" i="5"/>
  <c r="AD892" i="5"/>
  <c r="AP957" i="5"/>
  <c r="AT880" i="5"/>
  <c r="AD1016" i="5"/>
  <c r="AP646" i="5"/>
  <c r="AD716" i="5"/>
  <c r="AT717" i="5"/>
  <c r="AP728" i="5"/>
  <c r="AT767" i="5"/>
  <c r="AD813" i="5"/>
  <c r="AT818" i="5"/>
  <c r="AP844" i="5"/>
  <c r="AT900" i="5"/>
  <c r="AT856" i="5"/>
  <c r="AD961" i="5"/>
  <c r="AD932" i="5"/>
  <c r="AT1007" i="5"/>
  <c r="AP984" i="5"/>
  <c r="AP1009" i="5"/>
  <c r="AD1031" i="5"/>
  <c r="AP1012" i="5"/>
  <c r="AD1025" i="5"/>
  <c r="AD1041" i="5"/>
  <c r="AP1058" i="5"/>
  <c r="AT1117" i="5"/>
  <c r="AD1091" i="5"/>
  <c r="AT1189" i="5"/>
  <c r="AT1235" i="5"/>
  <c r="AD1237" i="5"/>
  <c r="AP1304" i="5"/>
  <c r="AP1312" i="5"/>
  <c r="AP1313" i="5"/>
  <c r="AP1086" i="5"/>
  <c r="AP880" i="5"/>
  <c r="AD724" i="5"/>
  <c r="AB461" i="5"/>
  <c r="AB401" i="5"/>
  <c r="AB377" i="5"/>
  <c r="AR371" i="5"/>
  <c r="AT727" i="5"/>
  <c r="AP1121" i="5"/>
  <c r="AT1170" i="5"/>
  <c r="AP697" i="5"/>
  <c r="AT888" i="5"/>
  <c r="V343" i="5"/>
  <c r="AT1041" i="5"/>
  <c r="AD1262" i="5"/>
  <c r="AT1249" i="5"/>
  <c r="AT1317" i="5"/>
  <c r="AD788" i="5"/>
  <c r="AP1112" i="5"/>
  <c r="AT1211" i="5"/>
  <c r="R471" i="5"/>
  <c r="AL469" i="5"/>
  <c r="R469" i="5"/>
  <c r="R463" i="5"/>
  <c r="AL461" i="5"/>
  <c r="Z402" i="5"/>
  <c r="AL357" i="5"/>
  <c r="AT722" i="5"/>
  <c r="AT762" i="5"/>
  <c r="AT1146" i="5"/>
  <c r="AP1251" i="5"/>
  <c r="AT1296" i="5"/>
  <c r="AT640" i="5"/>
  <c r="AP1031" i="5"/>
  <c r="AD1013" i="5"/>
  <c r="AT1125" i="5"/>
  <c r="AT1159" i="5"/>
  <c r="AP651" i="5"/>
  <c r="Z355" i="5"/>
  <c r="AL354" i="5"/>
  <c r="R352" i="5"/>
  <c r="R350" i="5"/>
  <c r="R348" i="5"/>
  <c r="R344" i="5"/>
  <c r="AL342" i="5"/>
  <c r="AT828" i="5"/>
  <c r="AT883" i="5"/>
  <c r="AT1071" i="5"/>
  <c r="AT1151" i="5"/>
  <c r="AD1217" i="5"/>
  <c r="AL614" i="5"/>
  <c r="R594" i="5"/>
  <c r="AL586" i="5"/>
  <c r="Z581" i="5"/>
  <c r="AL470" i="5"/>
  <c r="AL438" i="5"/>
  <c r="R438" i="5"/>
  <c r="R342" i="5"/>
  <c r="AN336" i="5"/>
  <c r="AT1133" i="5"/>
  <c r="AT1200" i="5"/>
  <c r="AT1216" i="5"/>
  <c r="AT1232" i="5"/>
  <c r="AT1298" i="5"/>
  <c r="AP1306" i="5"/>
  <c r="AT1321" i="5"/>
  <c r="AD1076" i="5"/>
  <c r="AP1159" i="5"/>
  <c r="AD1286" i="5"/>
  <c r="AP652" i="5"/>
  <c r="AT894" i="5"/>
  <c r="AD916" i="5"/>
  <c r="AD1258" i="5"/>
  <c r="R336" i="5"/>
  <c r="R334" i="5"/>
  <c r="AP998" i="5"/>
  <c r="V535" i="5"/>
  <c r="J532" i="5"/>
  <c r="V527" i="5"/>
  <c r="AH450" i="5"/>
  <c r="J450" i="5"/>
  <c r="AH448" i="5"/>
  <c r="AH444" i="5"/>
  <c r="AP1146" i="5"/>
  <c r="AP1178" i="5"/>
  <c r="AP1192" i="5"/>
  <c r="AP1258" i="5"/>
  <c r="AD706" i="5"/>
  <c r="AT748" i="5"/>
  <c r="AT790" i="5"/>
  <c r="AD869" i="5"/>
  <c r="AD1240" i="5"/>
  <c r="AT688" i="5"/>
  <c r="AT1011" i="5"/>
  <c r="AD1224" i="5"/>
  <c r="AL541" i="5"/>
  <c r="R525" i="5"/>
  <c r="R411" i="5"/>
  <c r="R357" i="5"/>
  <c r="AT1261" i="5"/>
  <c r="AT1078" i="5"/>
  <c r="AT1123" i="5"/>
  <c r="V446" i="5"/>
  <c r="AH445" i="5"/>
  <c r="J433" i="5"/>
  <c r="V432" i="5"/>
  <c r="AH419" i="5"/>
  <c r="AH397" i="5"/>
  <c r="J393" i="5"/>
  <c r="AT1070" i="5"/>
  <c r="AT1322" i="5"/>
  <c r="AT687" i="5"/>
  <c r="AD694" i="5"/>
  <c r="AT703" i="5"/>
  <c r="AD818" i="5"/>
  <c r="AD1183" i="5"/>
  <c r="AT982" i="5"/>
  <c r="AP1044" i="5"/>
  <c r="V567" i="5"/>
  <c r="J562" i="5"/>
  <c r="V543" i="5"/>
  <c r="V485" i="5"/>
  <c r="AD669" i="5"/>
  <c r="AD754" i="5"/>
  <c r="AT807" i="5"/>
  <c r="AP843" i="5"/>
  <c r="AT859" i="5"/>
  <c r="AT1005" i="5"/>
  <c r="AP1079" i="5"/>
  <c r="AD1120" i="5"/>
  <c r="AD1117" i="5"/>
  <c r="AP1191" i="5"/>
  <c r="AP1278" i="5"/>
  <c r="AD682" i="5"/>
  <c r="AT909" i="5"/>
  <c r="AD912" i="5"/>
  <c r="AD899" i="5"/>
  <c r="AC478" i="5"/>
  <c r="AD1042" i="5"/>
  <c r="AD1050" i="5"/>
  <c r="AT1036" i="5"/>
  <c r="AT1096" i="5"/>
  <c r="AT1269" i="5"/>
  <c r="AT1301" i="5"/>
  <c r="AP1090" i="5"/>
  <c r="AP752" i="5"/>
  <c r="AT875" i="5"/>
  <c r="AD975" i="5"/>
  <c r="AT1013" i="5"/>
  <c r="AP1063" i="5"/>
  <c r="AT1081" i="5"/>
  <c r="AT1248" i="5"/>
  <c r="AD1315" i="5"/>
  <c r="AP1318" i="5"/>
  <c r="AP750" i="5"/>
  <c r="AP867" i="5"/>
  <c r="AC397" i="5"/>
  <c r="AT1110" i="5"/>
  <c r="AT1300" i="5"/>
  <c r="AT1186" i="5"/>
  <c r="AT881" i="5"/>
  <c r="R624" i="5"/>
  <c r="AL622" i="5"/>
  <c r="AB611" i="5"/>
  <c r="J543" i="5"/>
  <c r="AP1045" i="5"/>
  <c r="AT1129" i="5"/>
  <c r="AD1173" i="5"/>
  <c r="AT1137" i="5"/>
  <c r="AT1231" i="5"/>
  <c r="AP1323" i="5"/>
  <c r="AC549" i="5"/>
  <c r="AS463" i="5"/>
  <c r="R340" i="5"/>
  <c r="AL338" i="5"/>
  <c r="R338" i="5"/>
  <c r="J333" i="5"/>
  <c r="AD661" i="5"/>
  <c r="AT686" i="5"/>
  <c r="AD771" i="5"/>
  <c r="AT827" i="5"/>
  <c r="AD844" i="5"/>
  <c r="AD846" i="5"/>
  <c r="AD995" i="5"/>
  <c r="AT1062" i="5"/>
  <c r="AT1063" i="5"/>
  <c r="AP1066" i="5"/>
  <c r="AT1274" i="5"/>
  <c r="AT1104" i="5"/>
  <c r="AD1122" i="5"/>
  <c r="AD658" i="5"/>
  <c r="AP677" i="5"/>
  <c r="AD978" i="5"/>
  <c r="AD1318" i="5"/>
  <c r="Z515" i="5"/>
  <c r="Z495" i="5"/>
  <c r="R494" i="5"/>
  <c r="AT679" i="5"/>
  <c r="AT773" i="5"/>
  <c r="AD959" i="5"/>
  <c r="AD1034" i="5"/>
  <c r="AD1106" i="5"/>
  <c r="AP1085" i="5"/>
  <c r="AP736" i="5"/>
  <c r="AB510" i="5"/>
  <c r="AB494" i="5"/>
  <c r="AB492" i="5"/>
  <c r="AB484" i="5"/>
  <c r="AH525" i="5"/>
  <c r="AT675" i="5"/>
  <c r="AT774" i="5"/>
  <c r="AT757" i="5"/>
  <c r="AT815" i="5"/>
  <c r="AL602" i="5"/>
  <c r="AL600" i="5"/>
  <c r="R578" i="5"/>
  <c r="Z527" i="5"/>
  <c r="V333" i="5"/>
  <c r="AT639" i="5"/>
  <c r="AT667" i="5"/>
  <c r="AT720" i="5"/>
  <c r="AT707" i="5"/>
  <c r="AD759" i="5"/>
  <c r="AT769" i="5"/>
  <c r="AT863" i="5"/>
  <c r="AT853" i="5"/>
  <c r="AT919" i="5"/>
  <c r="AB625" i="5"/>
  <c r="Z505" i="5"/>
  <c r="R504" i="5"/>
  <c r="AC489" i="5"/>
  <c r="AC473" i="5"/>
  <c r="Z434" i="5"/>
  <c r="AR426" i="5"/>
  <c r="AB420" i="5"/>
  <c r="R419" i="5"/>
  <c r="AD665" i="5"/>
  <c r="AT682" i="5"/>
  <c r="AT698" i="5"/>
  <c r="AD704" i="5"/>
  <c r="AP809" i="5"/>
  <c r="AT797" i="5"/>
  <c r="AT865" i="5"/>
  <c r="AT873" i="5"/>
  <c r="AT931" i="5"/>
  <c r="AT798" i="5"/>
  <c r="AT899" i="5"/>
  <c r="AL591" i="5"/>
  <c r="V511" i="5"/>
  <c r="V366" i="5"/>
  <c r="V348" i="5"/>
  <c r="V342" i="5"/>
  <c r="AD641" i="5"/>
  <c r="AP726" i="5"/>
  <c r="AD722" i="5"/>
  <c r="AT869" i="5"/>
  <c r="AP882" i="5"/>
  <c r="AS361" i="5"/>
  <c r="AC359" i="5"/>
  <c r="AD657" i="5"/>
  <c r="AT671" i="5"/>
  <c r="AD649" i="5"/>
  <c r="AT674" i="5"/>
  <c r="AT878" i="5"/>
  <c r="AT871" i="5"/>
  <c r="AT851" i="5"/>
  <c r="R475" i="5"/>
  <c r="R473" i="5"/>
  <c r="Z472" i="5"/>
  <c r="R388" i="5"/>
  <c r="AT690" i="5"/>
  <c r="AT770" i="5"/>
  <c r="AT789" i="5"/>
  <c r="AP846" i="5"/>
  <c r="AT842" i="5"/>
  <c r="AT915" i="5"/>
  <c r="AD942" i="5"/>
  <c r="AT957" i="5"/>
  <c r="AD979" i="5"/>
  <c r="AT989" i="5"/>
  <c r="AP991" i="5"/>
  <c r="AT1051" i="5"/>
  <c r="AT1114" i="5"/>
  <c r="AD1165" i="5"/>
  <c r="AD1181" i="5"/>
  <c r="AT1053" i="5"/>
  <c r="AD1094" i="5"/>
  <c r="AP1155" i="5"/>
  <c r="AP1252" i="5"/>
  <c r="AD1279" i="5"/>
  <c r="AP721" i="5"/>
  <c r="AD792" i="5"/>
  <c r="AD891" i="5"/>
  <c r="AT910" i="5"/>
  <c r="AP837" i="5"/>
  <c r="AD904" i="5"/>
  <c r="AP970" i="5"/>
  <c r="AT1014" i="5"/>
  <c r="AD1127" i="5"/>
  <c r="AP1156" i="5"/>
  <c r="AD1184" i="5"/>
  <c r="AD1319" i="5"/>
  <c r="AP668" i="5"/>
  <c r="AD773" i="5"/>
  <c r="AP1134" i="5"/>
  <c r="AT1154" i="5"/>
  <c r="AP1078" i="5"/>
  <c r="AD1132" i="5"/>
  <c r="AD652" i="5"/>
  <c r="AP999" i="5"/>
  <c r="AT1066" i="5"/>
  <c r="AP1052" i="5"/>
  <c r="AT1237" i="5"/>
  <c r="AT1182" i="5"/>
  <c r="AT1275" i="5"/>
  <c r="AT1285" i="5"/>
  <c r="AP1039" i="5"/>
  <c r="AT1064" i="5"/>
  <c r="AT1283" i="5"/>
  <c r="AP746" i="5"/>
  <c r="AT913" i="5"/>
  <c r="AD800" i="5"/>
  <c r="AP1017" i="5"/>
  <c r="AD1030" i="5"/>
  <c r="AD1152" i="5"/>
  <c r="AD1172" i="5"/>
  <c r="AD1039" i="5"/>
  <c r="AP1120" i="5"/>
  <c r="AD1212" i="5"/>
  <c r="AD1189" i="5"/>
  <c r="AP1242" i="5"/>
  <c r="AP1277" i="5"/>
  <c r="AD1251" i="5"/>
  <c r="AD1057" i="5"/>
  <c r="AD1069" i="5"/>
  <c r="AD1220" i="5"/>
  <c r="AT672" i="5"/>
  <c r="AT922" i="5"/>
  <c r="AP982" i="5"/>
  <c r="AP1010" i="5"/>
  <c r="AT1048" i="5"/>
  <c r="AD1098" i="5"/>
  <c r="AD1161" i="5"/>
  <c r="AD1177" i="5"/>
  <c r="AP1244" i="5"/>
  <c r="AP1276" i="5"/>
  <c r="AD1267" i="5"/>
  <c r="AT1069" i="5"/>
  <c r="AD1148" i="5"/>
  <c r="AT1291" i="5"/>
  <c r="AT756" i="5"/>
  <c r="AD796" i="5"/>
  <c r="AD698" i="5"/>
  <c r="AP966" i="5"/>
  <c r="AD999" i="5"/>
  <c r="AT1050" i="5"/>
  <c r="AP1130" i="5"/>
  <c r="AT1193" i="5"/>
  <c r="AT1209" i="5"/>
  <c r="AT1225" i="5"/>
  <c r="AT1241" i="5"/>
  <c r="AP1068" i="5"/>
  <c r="AP815" i="5"/>
  <c r="AP812" i="5"/>
  <c r="AP826" i="5"/>
  <c r="AP928" i="5"/>
  <c r="AD1066" i="5"/>
  <c r="AD1111" i="5"/>
  <c r="AT1197" i="5"/>
  <c r="AT1205" i="5"/>
  <c r="AT1213" i="5"/>
  <c r="AT1221" i="5"/>
  <c r="AT1229" i="5"/>
  <c r="AT1208" i="5"/>
  <c r="AD1259" i="5"/>
  <c r="AT1265" i="5"/>
  <c r="AT1314" i="5"/>
  <c r="AT1305" i="5"/>
  <c r="AP1046" i="5"/>
  <c r="AD1083" i="5"/>
  <c r="AD1071" i="5"/>
  <c r="AT1098" i="5"/>
  <c r="AD1131" i="5"/>
  <c r="AD1141" i="5"/>
  <c r="AD1160" i="5"/>
  <c r="AT1174" i="5"/>
  <c r="AT1162" i="5"/>
  <c r="AD1176" i="5"/>
  <c r="AD1164" i="5"/>
  <c r="AT1166" i="5"/>
  <c r="AD1188" i="5"/>
  <c r="AT1220" i="5"/>
  <c r="AT1242" i="5"/>
  <c r="AT1253" i="5"/>
  <c r="AD1246" i="5"/>
  <c r="AT1279" i="5"/>
  <c r="AT1289" i="5"/>
  <c r="AT1307" i="5"/>
  <c r="AD1310" i="5"/>
  <c r="AT1109" i="5"/>
  <c r="AD1169" i="5"/>
  <c r="AT1119" i="5"/>
  <c r="AP1172" i="5"/>
  <c r="AT1105" i="5"/>
  <c r="AT1044" i="5"/>
  <c r="AT1111" i="5"/>
  <c r="AD1119" i="5"/>
  <c r="AT1178" i="5"/>
  <c r="AD1180" i="5"/>
  <c r="AT1212" i="5"/>
  <c r="AD1255" i="5"/>
  <c r="AT1302" i="5"/>
  <c r="AT1281" i="5"/>
  <c r="AT1056" i="5"/>
  <c r="AT1052" i="5"/>
  <c r="AD1085" i="5"/>
  <c r="AD1115" i="5"/>
  <c r="AD1139" i="5"/>
  <c r="AD1153" i="5"/>
  <c r="AT1201" i="5"/>
  <c r="AT1217" i="5"/>
  <c r="AT1233" i="5"/>
  <c r="AT1192" i="5"/>
  <c r="AT1224" i="5"/>
  <c r="AT1236" i="5"/>
  <c r="AT1293" i="5"/>
  <c r="AT1054" i="5"/>
  <c r="AP1077" i="5"/>
  <c r="AD1081" i="5"/>
  <c r="AT1113" i="5"/>
  <c r="AP1098" i="5"/>
  <c r="AD1121" i="5"/>
  <c r="AT1121" i="5"/>
  <c r="AD1157" i="5"/>
  <c r="AP1164" i="5"/>
  <c r="AT1204" i="5"/>
  <c r="AD1263" i="5"/>
  <c r="AT1320" i="5"/>
  <c r="AD1323" i="5"/>
  <c r="AT1158" i="5"/>
  <c r="AP1180" i="5"/>
  <c r="AD1168" i="5"/>
  <c r="AT1257" i="5"/>
  <c r="AD1244" i="5"/>
  <c r="AT1040" i="5"/>
  <c r="AP1111" i="5"/>
  <c r="AD1135" i="5"/>
  <c r="AT1196" i="5"/>
  <c r="AT1228" i="5"/>
  <c r="AD1156" i="5"/>
  <c r="AD1277" i="5"/>
  <c r="AT1297" i="5"/>
  <c r="AT651" i="5"/>
  <c r="AT635" i="5"/>
  <c r="AT655" i="5"/>
  <c r="AT724" i="5"/>
  <c r="AT731" i="5"/>
  <c r="AD753" i="5"/>
  <c r="AD763" i="5"/>
  <c r="AD779" i="5"/>
  <c r="AT794" i="5"/>
  <c r="AT801" i="5"/>
  <c r="AT795" i="5"/>
  <c r="AT844" i="5"/>
  <c r="AT840" i="5"/>
  <c r="AT838" i="5"/>
  <c r="AD865" i="5"/>
  <c r="AD853" i="5"/>
  <c r="AT891" i="5"/>
  <c r="AT923" i="5"/>
  <c r="AT939" i="5"/>
  <c r="AT949" i="5"/>
  <c r="AT961" i="5"/>
  <c r="AD983" i="5"/>
  <c r="AD653" i="5"/>
  <c r="AT678" i="5"/>
  <c r="AT694" i="5"/>
  <c r="AT706" i="5"/>
  <c r="AT715" i="5"/>
  <c r="AD756" i="5"/>
  <c r="AD775" i="5"/>
  <c r="AT803" i="5"/>
  <c r="AT845" i="5"/>
  <c r="AT805" i="5"/>
  <c r="AT867" i="5"/>
  <c r="AD857" i="5"/>
  <c r="AT849" i="5"/>
  <c r="AT903" i="5"/>
  <c r="AD951" i="5"/>
  <c r="AD963" i="5"/>
  <c r="AT973" i="5"/>
  <c r="AT997" i="5"/>
  <c r="AP1003" i="5"/>
  <c r="AP637" i="5"/>
  <c r="AD840" i="5"/>
  <c r="AT953" i="5"/>
  <c r="AD1003" i="5"/>
  <c r="AD645" i="5"/>
  <c r="AT647" i="5"/>
  <c r="AT670" i="5"/>
  <c r="AT663" i="5"/>
  <c r="AT643" i="5"/>
  <c r="AP706" i="5"/>
  <c r="AD728" i="5"/>
  <c r="AT758" i="5"/>
  <c r="AD767" i="5"/>
  <c r="AT779" i="5"/>
  <c r="AD783" i="5"/>
  <c r="AT823" i="5"/>
  <c r="AT831" i="5"/>
  <c r="AT843" i="5"/>
  <c r="AT857" i="5"/>
  <c r="AD873" i="5"/>
  <c r="AT895" i="5"/>
  <c r="AT927" i="5"/>
  <c r="AT946" i="5"/>
  <c r="AD955" i="5"/>
  <c r="AT965" i="5"/>
  <c r="AT1001" i="5"/>
  <c r="AD991" i="5"/>
  <c r="AT993" i="5"/>
  <c r="AT659" i="5"/>
  <c r="AD637" i="5"/>
  <c r="AT749" i="5"/>
  <c r="AT755" i="5"/>
  <c r="AT781" i="5"/>
  <c r="AT791" i="5"/>
  <c r="AT832" i="5"/>
  <c r="AT793" i="5"/>
  <c r="AD861" i="5"/>
  <c r="AT855" i="5"/>
  <c r="AD888" i="5"/>
  <c r="AT882" i="5"/>
  <c r="AT907" i="5"/>
  <c r="AT943" i="5"/>
  <c r="AT935" i="5"/>
  <c r="AD967" i="5"/>
  <c r="AT977" i="5"/>
  <c r="AD987" i="5"/>
  <c r="AT785" i="5"/>
  <c r="AT861" i="5"/>
  <c r="AT969" i="5"/>
  <c r="AP995" i="5"/>
  <c r="AT799" i="5"/>
  <c r="AT711" i="5"/>
  <c r="AT766" i="5"/>
  <c r="AT761" i="5"/>
  <c r="AT809" i="5"/>
  <c r="AT835" i="5"/>
  <c r="AP842" i="5"/>
  <c r="AD849" i="5"/>
  <c r="AT911" i="5"/>
  <c r="AD947" i="5"/>
  <c r="AD971" i="5"/>
  <c r="AT981" i="5"/>
  <c r="AT999" i="5"/>
  <c r="AT985" i="5"/>
  <c r="AN518" i="5"/>
  <c r="AR597" i="5"/>
  <c r="AB591" i="5"/>
  <c r="AB585" i="5"/>
  <c r="V574" i="5"/>
  <c r="V570" i="5"/>
  <c r="AH565" i="5"/>
  <c r="AH549" i="5"/>
  <c r="V544" i="5"/>
  <c r="AB526" i="5"/>
  <c r="Z518" i="5"/>
  <c r="AL517" i="5"/>
  <c r="AB506" i="5"/>
  <c r="J504" i="5"/>
  <c r="AH498" i="5"/>
  <c r="V495" i="5"/>
  <c r="AL454" i="5"/>
  <c r="R454" i="5"/>
  <c r="J443" i="5"/>
  <c r="J439" i="5"/>
  <c r="AS433" i="5"/>
  <c r="V359" i="5"/>
  <c r="AB607" i="5"/>
  <c r="AS508" i="5"/>
  <c r="AL505" i="5"/>
  <c r="AC443" i="5"/>
  <c r="R442" i="5"/>
  <c r="AC441" i="5"/>
  <c r="R440" i="5"/>
  <c r="AC439" i="5"/>
  <c r="AH437" i="5"/>
  <c r="AN411" i="5"/>
  <c r="AB404" i="5"/>
  <c r="AL373" i="5"/>
  <c r="AB368" i="5"/>
  <c r="R363" i="5"/>
  <c r="AB362" i="5"/>
  <c r="AN624" i="5"/>
  <c r="V613" i="5"/>
  <c r="V601" i="5"/>
  <c r="J513" i="5"/>
  <c r="V512" i="5"/>
  <c r="AO511" i="5"/>
  <c r="AO589" i="5"/>
  <c r="AO596" i="5"/>
  <c r="R493" i="5"/>
  <c r="AB480" i="5"/>
  <c r="AB476" i="5"/>
  <c r="AC462" i="5"/>
  <c r="AB437" i="5"/>
  <c r="AB433" i="5"/>
  <c r="AB417" i="5"/>
  <c r="AB413" i="5"/>
  <c r="AC574" i="5"/>
  <c r="J560" i="5"/>
  <c r="V551" i="5"/>
  <c r="J550" i="5"/>
  <c r="AB527" i="5"/>
  <c r="Z519" i="5"/>
  <c r="AL518" i="5"/>
  <c r="AO497" i="5"/>
  <c r="AH493" i="5"/>
  <c r="V480" i="5"/>
  <c r="J479" i="5"/>
  <c r="R459" i="5"/>
  <c r="R457" i="5"/>
  <c r="V427" i="5"/>
  <c r="V419" i="5"/>
  <c r="R404" i="5"/>
  <c r="AC367" i="5"/>
  <c r="AR347" i="5"/>
  <c r="AB631" i="5"/>
  <c r="AB604" i="5"/>
  <c r="AB600" i="5"/>
  <c r="AB513" i="5"/>
  <c r="Z625" i="5"/>
  <c r="J609" i="5"/>
  <c r="J605" i="5"/>
  <c r="V604" i="5"/>
  <c r="R567" i="5"/>
  <c r="AL553" i="5"/>
  <c r="R553" i="5"/>
  <c r="AL545" i="5"/>
  <c r="R543" i="5"/>
  <c r="AH514" i="5"/>
  <c r="AL498" i="5"/>
  <c r="V460" i="5"/>
  <c r="J453" i="5"/>
  <c r="AL429" i="5"/>
  <c r="AH410" i="5"/>
  <c r="J410" i="5"/>
  <c r="J408" i="5"/>
  <c r="V393" i="5"/>
  <c r="J392" i="5"/>
  <c r="AH386" i="5"/>
  <c r="V381" i="5"/>
  <c r="AH374" i="5"/>
  <c r="V371" i="5"/>
  <c r="V363" i="5"/>
  <c r="AN610" i="5"/>
  <c r="AS604" i="5"/>
  <c r="AN565" i="5"/>
  <c r="R551" i="5"/>
  <c r="R486" i="5"/>
  <c r="AC427" i="5"/>
  <c r="Z403" i="5"/>
  <c r="V376" i="5"/>
  <c r="AB360" i="5"/>
  <c r="AO612" i="5"/>
  <c r="AO571" i="5"/>
  <c r="AL629" i="5"/>
  <c r="AN614" i="5"/>
  <c r="AN608" i="5"/>
  <c r="AO600" i="5"/>
  <c r="J625" i="5"/>
  <c r="AB616" i="5"/>
  <c r="AL615" i="5"/>
  <c r="AL596" i="5"/>
  <c r="AB583" i="5"/>
  <c r="AL580" i="5"/>
  <c r="AB579" i="5"/>
  <c r="AS567" i="5"/>
  <c r="AS545" i="5"/>
  <c r="AC545" i="5"/>
  <c r="AC457" i="5"/>
  <c r="AC455" i="5"/>
  <c r="AC453" i="5"/>
  <c r="AS449" i="5"/>
  <c r="AL428" i="5"/>
  <c r="V405" i="5"/>
  <c r="J404" i="5"/>
  <c r="V403" i="5"/>
  <c r="AC395" i="5"/>
  <c r="AC393" i="5"/>
  <c r="R386" i="5"/>
  <c r="Z383" i="5"/>
  <c r="R380" i="5"/>
  <c r="Z379" i="5"/>
  <c r="R368" i="5"/>
  <c r="AH361" i="5"/>
  <c r="AB356" i="5"/>
  <c r="R355" i="5"/>
  <c r="AB354" i="5"/>
  <c r="AB348" i="5"/>
  <c r="AR346" i="5"/>
  <c r="AB344" i="5"/>
  <c r="AL341" i="5"/>
  <c r="R341" i="5"/>
  <c r="V335" i="5"/>
  <c r="AO608" i="5"/>
  <c r="AO606" i="5"/>
  <c r="AH615" i="5"/>
  <c r="AB614" i="5"/>
  <c r="AB612" i="5"/>
  <c r="AB610" i="5"/>
  <c r="V597" i="5"/>
  <c r="V593" i="5"/>
  <c r="AH578" i="5"/>
  <c r="R572" i="5"/>
  <c r="AR571" i="5"/>
  <c r="AR561" i="5"/>
  <c r="AC555" i="5"/>
  <c r="AB536" i="5"/>
  <c r="AC511" i="5"/>
  <c r="AH462" i="5"/>
  <c r="AB457" i="5"/>
  <c r="AB453" i="5"/>
  <c r="AH441" i="5"/>
  <c r="AS432" i="5"/>
  <c r="V429" i="5"/>
  <c r="R416" i="5"/>
  <c r="AB408" i="5"/>
  <c r="AB393" i="5"/>
  <c r="AB387" i="5"/>
  <c r="AO500" i="5"/>
  <c r="AN621" i="5"/>
  <c r="V573" i="5"/>
  <c r="J570" i="5"/>
  <c r="R548" i="5"/>
  <c r="R508" i="5"/>
  <c r="AH501" i="5"/>
  <c r="J501" i="5"/>
  <c r="V500" i="5"/>
  <c r="AH452" i="5"/>
  <c r="AL450" i="5"/>
  <c r="R444" i="5"/>
  <c r="R431" i="5"/>
  <c r="AR343" i="5"/>
  <c r="J337" i="5"/>
  <c r="AL333" i="5"/>
  <c r="AL628" i="5"/>
  <c r="AN613" i="5"/>
  <c r="R487" i="5"/>
  <c r="AL483" i="5"/>
  <c r="R481" i="5"/>
  <c r="R477" i="5"/>
  <c r="AL475" i="5"/>
  <c r="R399" i="5"/>
  <c r="AB361" i="5"/>
  <c r="AB359" i="5"/>
  <c r="AC357" i="5"/>
  <c r="AN616" i="5"/>
  <c r="AO577" i="5"/>
  <c r="AO563" i="5"/>
  <c r="AO502" i="5"/>
  <c r="AN623" i="5"/>
  <c r="AN596" i="5"/>
  <c r="AN570" i="5"/>
  <c r="AH630" i="5"/>
  <c r="V629" i="5"/>
  <c r="V627" i="5"/>
  <c r="V625" i="5"/>
  <c r="AB615" i="5"/>
  <c r="AR594" i="5"/>
  <c r="V555" i="5"/>
  <c r="AC527" i="5"/>
  <c r="AC497" i="5"/>
  <c r="V492" i="5"/>
  <c r="AS487" i="5"/>
  <c r="V486" i="5"/>
  <c r="AB441" i="5"/>
  <c r="Z439" i="5"/>
  <c r="AL427" i="5"/>
  <c r="V423" i="5"/>
  <c r="V413" i="5"/>
  <c r="AC409" i="5"/>
  <c r="AL395" i="5"/>
  <c r="Z390" i="5"/>
  <c r="R387" i="5"/>
  <c r="AL381" i="5"/>
  <c r="R377" i="5"/>
  <c r="R375" i="5"/>
  <c r="AC370" i="5"/>
  <c r="AB355" i="5"/>
  <c r="AB351" i="5"/>
  <c r="AB343" i="5"/>
  <c r="AO610" i="5"/>
  <c r="AO540" i="5"/>
  <c r="AN619" i="5"/>
  <c r="AN592" i="5"/>
  <c r="V621" i="5"/>
  <c r="J616" i="5"/>
  <c r="Z607" i="5"/>
  <c r="AL606" i="5"/>
  <c r="R606" i="5"/>
  <c r="R604" i="5"/>
  <c r="Z603" i="5"/>
  <c r="J597" i="5"/>
  <c r="J593" i="5"/>
  <c r="V588" i="5"/>
  <c r="V584" i="5"/>
  <c r="AL569" i="5"/>
  <c r="AB568" i="5"/>
  <c r="AB560" i="5"/>
  <c r="Z558" i="5"/>
  <c r="AL557" i="5"/>
  <c r="R557" i="5"/>
  <c r="AS554" i="5"/>
  <c r="R538" i="5"/>
  <c r="R534" i="5"/>
  <c r="AO521" i="5"/>
  <c r="J508" i="5"/>
  <c r="AL500" i="5"/>
  <c r="AC495" i="5"/>
  <c r="R492" i="5"/>
  <c r="AL490" i="5"/>
  <c r="R490" i="5"/>
  <c r="R461" i="5"/>
  <c r="AS452" i="5"/>
  <c r="AL451" i="5"/>
  <c r="R451" i="5"/>
  <c r="AL436" i="5"/>
  <c r="Z435" i="5"/>
  <c r="R434" i="5"/>
  <c r="V430" i="5"/>
  <c r="AL425" i="5"/>
  <c r="Z422" i="5"/>
  <c r="R421" i="5"/>
  <c r="R415" i="5"/>
  <c r="AS414" i="5"/>
  <c r="Z412" i="5"/>
  <c r="AL365" i="5"/>
  <c r="V351" i="5"/>
  <c r="AH350" i="5"/>
  <c r="V347" i="5"/>
  <c r="Z544" i="5"/>
  <c r="AB544" i="5"/>
  <c r="AL630" i="5"/>
  <c r="AR593" i="5"/>
  <c r="AS600" i="5"/>
  <c r="AN598" i="5"/>
  <c r="Z575" i="5"/>
  <c r="AB575" i="5"/>
  <c r="AH566" i="5"/>
  <c r="AR623" i="5"/>
  <c r="AB621" i="5"/>
  <c r="AR598" i="5"/>
  <c r="AO602" i="5"/>
  <c r="AL631" i="5"/>
  <c r="AC626" i="5"/>
  <c r="AL620" i="5"/>
  <c r="AL618" i="5"/>
  <c r="R616" i="5"/>
  <c r="Z611" i="5"/>
  <c r="V606" i="5"/>
  <c r="J621" i="5"/>
  <c r="AR630" i="5"/>
  <c r="AB613" i="5"/>
  <c r="AB609" i="5"/>
  <c r="AB622" i="5"/>
  <c r="AL623" i="5"/>
  <c r="V590" i="5"/>
  <c r="R549" i="5"/>
  <c r="AC578" i="5"/>
  <c r="V566" i="5"/>
  <c r="AL559" i="5"/>
  <c r="AB509" i="5"/>
  <c r="J496" i="5"/>
  <c r="Z474" i="5"/>
  <c r="R455" i="5"/>
  <c r="AS440" i="5"/>
  <c r="J440" i="5"/>
  <c r="AB425" i="5"/>
  <c r="AL424" i="5"/>
  <c r="AR423" i="5"/>
  <c r="AB421" i="5"/>
  <c r="AL413" i="5"/>
  <c r="AB412" i="5"/>
  <c r="AC405" i="5"/>
  <c r="AH390" i="5"/>
  <c r="AC385" i="5"/>
  <c r="J381" i="5"/>
  <c r="AB376" i="5"/>
  <c r="AS370" i="5"/>
  <c r="AL368" i="5"/>
  <c r="AS365" i="5"/>
  <c r="Z358" i="5"/>
  <c r="AN348" i="5"/>
  <c r="Z347" i="5"/>
  <c r="AH338" i="5"/>
  <c r="V617" i="5"/>
  <c r="AC610" i="5"/>
  <c r="AN594" i="5"/>
  <c r="V582" i="5"/>
  <c r="V580" i="5"/>
  <c r="AL575" i="5"/>
  <c r="AL566" i="5"/>
  <c r="AH559" i="5"/>
  <c r="V549" i="5"/>
  <c r="V547" i="5"/>
  <c r="R537" i="5"/>
  <c r="V529" i="5"/>
  <c r="AO525" i="5"/>
  <c r="AL513" i="5"/>
  <c r="AH510" i="5"/>
  <c r="AC510" i="5"/>
  <c r="AH506" i="5"/>
  <c r="Z503" i="5"/>
  <c r="AH499" i="5"/>
  <c r="AC496" i="5"/>
  <c r="AC492" i="5"/>
  <c r="AC487" i="5"/>
  <c r="AL484" i="5"/>
  <c r="AC483" i="5"/>
  <c r="AC479" i="5"/>
  <c r="V474" i="5"/>
  <c r="J473" i="5"/>
  <c r="AH471" i="5"/>
  <c r="AL467" i="5"/>
  <c r="AB466" i="5"/>
  <c r="Z461" i="5"/>
  <c r="AH457" i="5"/>
  <c r="J457" i="5"/>
  <c r="J455" i="5"/>
  <c r="R448" i="5"/>
  <c r="Z447" i="5"/>
  <c r="R446" i="5"/>
  <c r="AC445" i="5"/>
  <c r="AL444" i="5"/>
  <c r="AH438" i="5"/>
  <c r="AO420" i="5"/>
  <c r="AS419" i="5"/>
  <c r="AN417" i="5"/>
  <c r="J417" i="5"/>
  <c r="V416" i="5"/>
  <c r="J413" i="5"/>
  <c r="V407" i="5"/>
  <c r="AR405" i="5"/>
  <c r="AL404" i="5"/>
  <c r="AL402" i="5"/>
  <c r="R395" i="5"/>
  <c r="AL382" i="5"/>
  <c r="AH377" i="5"/>
  <c r="AR374" i="5"/>
  <c r="AB365" i="5"/>
  <c r="AL364" i="5"/>
  <c r="AH357" i="5"/>
  <c r="AL349" i="5"/>
  <c r="J348" i="5"/>
  <c r="AL346" i="5"/>
  <c r="R346" i="5"/>
  <c r="AC345" i="5"/>
  <c r="AB620" i="5"/>
  <c r="AB599" i="5"/>
  <c r="V598" i="5"/>
  <c r="AO597" i="5"/>
  <c r="AB596" i="5"/>
  <c r="AL588" i="5"/>
  <c r="AB587" i="5"/>
  <c r="AL584" i="5"/>
  <c r="AB576" i="5"/>
  <c r="AL571" i="5"/>
  <c r="AR568" i="5"/>
  <c r="V552" i="5"/>
  <c r="AB550" i="5"/>
  <c r="Z534" i="5"/>
  <c r="AL533" i="5"/>
  <c r="AC532" i="5"/>
  <c r="AL531" i="5"/>
  <c r="AB525" i="5"/>
  <c r="AN521" i="5"/>
  <c r="V520" i="5"/>
  <c r="AH517" i="5"/>
  <c r="AB514" i="5"/>
  <c r="AC506" i="5"/>
  <c r="AS499" i="5"/>
  <c r="V498" i="5"/>
  <c r="R495" i="5"/>
  <c r="AR490" i="5"/>
  <c r="AR481" i="5"/>
  <c r="R478" i="5"/>
  <c r="V470" i="5"/>
  <c r="AH467" i="5"/>
  <c r="AC465" i="5"/>
  <c r="V454" i="5"/>
  <c r="J441" i="5"/>
  <c r="R439" i="5"/>
  <c r="J436" i="5"/>
  <c r="AH434" i="5"/>
  <c r="AC434" i="5"/>
  <c r="Z433" i="5"/>
  <c r="AO429" i="5"/>
  <c r="AB428" i="5"/>
  <c r="R427" i="5"/>
  <c r="AL418" i="5"/>
  <c r="R418" i="5"/>
  <c r="R409" i="5"/>
  <c r="Z408" i="5"/>
  <c r="AO404" i="5"/>
  <c r="AC401" i="5"/>
  <c r="Z399" i="5"/>
  <c r="AL398" i="5"/>
  <c r="AB392" i="5"/>
  <c r="AL389" i="5"/>
  <c r="AL387" i="5"/>
  <c r="V385" i="5"/>
  <c r="V383" i="5"/>
  <c r="AH382" i="5"/>
  <c r="AB381" i="5"/>
  <c r="AR379" i="5"/>
  <c r="R371" i="5"/>
  <c r="AR334" i="5"/>
  <c r="R598" i="5"/>
  <c r="AH586" i="5"/>
  <c r="V585" i="5"/>
  <c r="AO566" i="5"/>
  <c r="R558" i="5"/>
  <c r="R554" i="5"/>
  <c r="V550" i="5"/>
  <c r="Z546" i="5"/>
  <c r="V540" i="5"/>
  <c r="V538" i="5"/>
  <c r="AL529" i="5"/>
  <c r="AR527" i="5"/>
  <c r="Z523" i="5"/>
  <c r="AN515" i="5"/>
  <c r="R511" i="5"/>
  <c r="Z510" i="5"/>
  <c r="AL509" i="5"/>
  <c r="AL507" i="5"/>
  <c r="AN497" i="5"/>
  <c r="V496" i="5"/>
  <c r="J486" i="5"/>
  <c r="AH484" i="5"/>
  <c r="J482" i="5"/>
  <c r="J480" i="5"/>
  <c r="V479" i="5"/>
  <c r="AL474" i="5"/>
  <c r="R474" i="5"/>
  <c r="V461" i="5"/>
  <c r="AH460" i="5"/>
  <c r="R458" i="5"/>
  <c r="R376" i="5"/>
  <c r="J373" i="5"/>
  <c r="V372" i="5"/>
  <c r="AL358" i="5"/>
  <c r="R358" i="5"/>
  <c r="J353" i="5"/>
  <c r="J349" i="5"/>
  <c r="AH446" i="5"/>
  <c r="J444" i="5"/>
  <c r="V443" i="5"/>
  <c r="AL440" i="5"/>
  <c r="Z438" i="5"/>
  <c r="R435" i="5"/>
  <c r="AL433" i="5"/>
  <c r="AH432" i="5"/>
  <c r="R430" i="5"/>
  <c r="V428" i="5"/>
  <c r="Z420" i="5"/>
  <c r="AH418" i="5"/>
  <c r="J418" i="5"/>
  <c r="AH409" i="5"/>
  <c r="V408" i="5"/>
  <c r="AL405" i="5"/>
  <c r="R405" i="5"/>
  <c r="AS404" i="5"/>
  <c r="J400" i="5"/>
  <c r="V399" i="5"/>
  <c r="AH398" i="5"/>
  <c r="V390" i="5"/>
  <c r="J389" i="5"/>
  <c r="V388" i="5"/>
  <c r="Z386" i="5"/>
  <c r="R385" i="5"/>
  <c r="AL378" i="5"/>
  <c r="R620" i="5"/>
  <c r="V612" i="5"/>
  <c r="J611" i="5"/>
  <c r="AO609" i="5"/>
  <c r="AB608" i="5"/>
  <c r="AL607" i="5"/>
  <c r="R607" i="5"/>
  <c r="AC606" i="5"/>
  <c r="AL603" i="5"/>
  <c r="R603" i="5"/>
  <c r="AB597" i="5"/>
  <c r="AB595" i="5"/>
  <c r="V594" i="5"/>
  <c r="AO593" i="5"/>
  <c r="AB592" i="5"/>
  <c r="AB573" i="5"/>
  <c r="AC562" i="5"/>
  <c r="AC547" i="5"/>
  <c r="R545" i="5"/>
  <c r="AC537" i="5"/>
  <c r="AL536" i="5"/>
  <c r="AR531" i="5"/>
  <c r="AL527" i="5"/>
  <c r="V523" i="5"/>
  <c r="AH522" i="5"/>
  <c r="AB517" i="5"/>
  <c r="AH509" i="5"/>
  <c r="J509" i="5"/>
  <c r="Z506" i="5"/>
  <c r="AB504" i="5"/>
  <c r="R503" i="5"/>
  <c r="AB500" i="5"/>
  <c r="AL496" i="5"/>
  <c r="AN495" i="5"/>
  <c r="AO491" i="5"/>
  <c r="AO489" i="5"/>
  <c r="AL485" i="5"/>
  <c r="R485" i="5"/>
  <c r="R483" i="5"/>
  <c r="Z482" i="5"/>
  <c r="AL481" i="5"/>
  <c r="AC472" i="5"/>
  <c r="R470" i="5"/>
  <c r="AB465" i="5"/>
  <c r="AL464" i="5"/>
  <c r="R464" i="5"/>
  <c r="AH458" i="5"/>
  <c r="V457" i="5"/>
  <c r="V455" i="5"/>
  <c r="R447" i="5"/>
  <c r="AL445" i="5"/>
  <c r="AH442" i="5"/>
  <c r="V438" i="5"/>
  <c r="AH425" i="5"/>
  <c r="V424" i="5"/>
  <c r="J421" i="5"/>
  <c r="AR411" i="5"/>
  <c r="AR407" i="5"/>
  <c r="AL392" i="5"/>
  <c r="Z391" i="5"/>
  <c r="AL390" i="5"/>
  <c r="AN387" i="5"/>
  <c r="R381" i="5"/>
  <c r="V379" i="5"/>
  <c r="V375" i="5"/>
  <c r="AH369" i="5"/>
  <c r="Z362" i="5"/>
  <c r="AC341" i="5"/>
  <c r="AB586" i="5"/>
  <c r="AB584" i="5"/>
  <c r="AR577" i="5"/>
  <c r="AL574" i="5"/>
  <c r="Z573" i="5"/>
  <c r="AB564" i="5"/>
  <c r="AC535" i="5"/>
  <c r="AC533" i="5"/>
  <c r="AL532" i="5"/>
  <c r="AH520" i="5"/>
  <c r="AH516" i="5"/>
  <c r="J516" i="5"/>
  <c r="V506" i="5"/>
  <c r="R501" i="5"/>
  <c r="Z478" i="5"/>
  <c r="AS461" i="5"/>
  <c r="AO440" i="5"/>
  <c r="J435" i="5"/>
  <c r="AH433" i="5"/>
  <c r="R433" i="5"/>
  <c r="Z398" i="5"/>
  <c r="J396" i="5"/>
  <c r="AH394" i="5"/>
  <c r="R390" i="5"/>
  <c r="AL388" i="5"/>
  <c r="V384" i="5"/>
  <c r="R359" i="5"/>
  <c r="AO356" i="5"/>
  <c r="AO628" i="5"/>
  <c r="AR624" i="5"/>
  <c r="AH461" i="5"/>
  <c r="AR461" i="5"/>
  <c r="AB624" i="5"/>
  <c r="AL617" i="5"/>
  <c r="AH610" i="5"/>
  <c r="V610" i="5"/>
  <c r="V608" i="5"/>
  <c r="AL604" i="5"/>
  <c r="AS599" i="5"/>
  <c r="AS595" i="5"/>
  <c r="Z591" i="5"/>
  <c r="R590" i="5"/>
  <c r="Z589" i="5"/>
  <c r="AR584" i="5"/>
  <c r="AR580" i="5"/>
  <c r="AO578" i="5"/>
  <c r="AN577" i="5"/>
  <c r="J577" i="5"/>
  <c r="V576" i="5"/>
  <c r="AH574" i="5"/>
  <c r="AL572" i="5"/>
  <c r="V562" i="5"/>
  <c r="R561" i="5"/>
  <c r="V559" i="5"/>
  <c r="Z557" i="5"/>
  <c r="AL556" i="5"/>
  <c r="AH555" i="5"/>
  <c r="R555" i="5"/>
  <c r="AB554" i="5"/>
  <c r="AH552" i="5"/>
  <c r="AS548" i="5"/>
  <c r="J546" i="5"/>
  <c r="AL544" i="5"/>
  <c r="Z542" i="5"/>
  <c r="V539" i="5"/>
  <c r="J535" i="5"/>
  <c r="V534" i="5"/>
  <c r="AH530" i="5"/>
  <c r="AR529" i="5"/>
  <c r="R528" i="5"/>
  <c r="Z525" i="5"/>
  <c r="R524" i="5"/>
  <c r="AC523" i="5"/>
  <c r="AL521" i="5"/>
  <c r="AN517" i="5"/>
  <c r="J517" i="5"/>
  <c r="V516" i="5"/>
  <c r="R515" i="5"/>
  <c r="Z513" i="5"/>
  <c r="AN511" i="5"/>
  <c r="V509" i="5"/>
  <c r="Z507" i="5"/>
  <c r="AL506" i="5"/>
  <c r="J505" i="5"/>
  <c r="V504" i="5"/>
  <c r="AR499" i="5"/>
  <c r="R497" i="5"/>
  <c r="AS495" i="5"/>
  <c r="AL491" i="5"/>
  <c r="R491" i="5"/>
  <c r="J477" i="5"/>
  <c r="AO477" i="5"/>
  <c r="AN618" i="5"/>
  <c r="R631" i="5"/>
  <c r="AC630" i="5"/>
  <c r="AC628" i="5"/>
  <c r="Z621" i="5"/>
  <c r="AH619" i="5"/>
  <c r="AR618" i="5"/>
  <c r="R614" i="5"/>
  <c r="Z613" i="5"/>
  <c r="R612" i="5"/>
  <c r="R610" i="5"/>
  <c r="Z609" i="5"/>
  <c r="AO605" i="5"/>
  <c r="AH604" i="5"/>
  <c r="J603" i="5"/>
  <c r="AL598" i="5"/>
  <c r="R597" i="5"/>
  <c r="AL594" i="5"/>
  <c r="R588" i="5"/>
  <c r="AS586" i="5"/>
  <c r="AR585" i="5"/>
  <c r="R584" i="5"/>
  <c r="AO581" i="5"/>
  <c r="Z580" i="5"/>
  <c r="AL579" i="5"/>
  <c r="AB577" i="5"/>
  <c r="AO575" i="5"/>
  <c r="AN573" i="5"/>
  <c r="AC571" i="5"/>
  <c r="Z569" i="5"/>
  <c r="V568" i="5"/>
  <c r="AN566" i="5"/>
  <c r="J566" i="5"/>
  <c r="AC565" i="5"/>
  <c r="AL564" i="5"/>
  <c r="AS560" i="5"/>
  <c r="J555" i="5"/>
  <c r="V554" i="5"/>
  <c r="R550" i="5"/>
  <c r="R547" i="5"/>
  <c r="V542" i="5"/>
  <c r="R541" i="5"/>
  <c r="AL534" i="5"/>
  <c r="J533" i="5"/>
  <c r="R531" i="5"/>
  <c r="Z526" i="5"/>
  <c r="AN523" i="5"/>
  <c r="AH521" i="5"/>
  <c r="R521" i="5"/>
  <c r="V519" i="5"/>
  <c r="R512" i="5"/>
  <c r="AO509" i="5"/>
  <c r="AR508" i="5"/>
  <c r="V499" i="5"/>
  <c r="J497" i="5"/>
  <c r="AL492" i="5"/>
  <c r="J491" i="5"/>
  <c r="R489" i="5"/>
  <c r="Z481" i="5"/>
  <c r="AL480" i="5"/>
  <c r="Z459" i="5"/>
  <c r="AL625" i="5"/>
  <c r="AN622" i="5"/>
  <c r="J622" i="5"/>
  <c r="R615" i="5"/>
  <c r="AO614" i="5"/>
  <c r="AP614" i="5" s="1"/>
  <c r="AN605" i="5"/>
  <c r="V589" i="5"/>
  <c r="AS587" i="5"/>
  <c r="AL582" i="5"/>
  <c r="AN581" i="5"/>
  <c r="J581" i="5"/>
  <c r="Z577" i="5"/>
  <c r="AL576" i="5"/>
  <c r="R576" i="5"/>
  <c r="AN567" i="5"/>
  <c r="R564" i="5"/>
  <c r="Z563" i="5"/>
  <c r="J561" i="5"/>
  <c r="R559" i="5"/>
  <c r="AH556" i="5"/>
  <c r="AH553" i="5"/>
  <c r="J549" i="5"/>
  <c r="R539" i="5"/>
  <c r="Z538" i="5"/>
  <c r="AL537" i="5"/>
  <c r="AN536" i="5"/>
  <c r="Z530" i="5"/>
  <c r="AH528" i="5"/>
  <c r="AL525" i="5"/>
  <c r="AH524" i="5"/>
  <c r="J524" i="5"/>
  <c r="AL522" i="5"/>
  <c r="Z517" i="5"/>
  <c r="R516" i="5"/>
  <c r="J515" i="5"/>
  <c r="Z514" i="5"/>
  <c r="AS513" i="5"/>
  <c r="AO580" i="5"/>
  <c r="AR523" i="5"/>
  <c r="AO517" i="5"/>
  <c r="AR511" i="5"/>
  <c r="V507" i="5"/>
  <c r="AN506" i="5"/>
  <c r="AR505" i="5"/>
  <c r="AN503" i="5"/>
  <c r="J503" i="5"/>
  <c r="R499" i="5"/>
  <c r="AS497" i="5"/>
  <c r="AL495" i="5"/>
  <c r="J494" i="5"/>
  <c r="AN489" i="5"/>
  <c r="J489" i="5"/>
  <c r="Z484" i="5"/>
  <c r="AS484" i="5"/>
  <c r="AC482" i="5"/>
  <c r="J460" i="5"/>
  <c r="AN617" i="5"/>
  <c r="AS631" i="5"/>
  <c r="V628" i="5"/>
  <c r="V626" i="5"/>
  <c r="J623" i="5"/>
  <c r="Z622" i="5"/>
  <c r="AL621" i="5"/>
  <c r="AO620" i="5"/>
  <c r="Z619" i="5"/>
  <c r="R618" i="5"/>
  <c r="AR616" i="5"/>
  <c r="V616" i="5"/>
  <c r="V609" i="5"/>
  <c r="AR605" i="5"/>
  <c r="J604" i="5"/>
  <c r="AB603" i="5"/>
  <c r="V600" i="5"/>
  <c r="Z597" i="5"/>
  <c r="V596" i="5"/>
  <c r="Z593" i="5"/>
  <c r="V592" i="5"/>
  <c r="R591" i="5"/>
  <c r="AC590" i="5"/>
  <c r="R589" i="5"/>
  <c r="V586" i="5"/>
  <c r="AO585" i="5"/>
  <c r="R585" i="5"/>
  <c r="AH582" i="5"/>
  <c r="AO582" i="5"/>
  <c r="AN580" i="5"/>
  <c r="V577" i="5"/>
  <c r="AC575" i="5"/>
  <c r="V571" i="5"/>
  <c r="V569" i="5"/>
  <c r="AO565" i="5"/>
  <c r="AC559" i="5"/>
  <c r="AB558" i="5"/>
  <c r="AS556" i="5"/>
  <c r="AS555" i="5"/>
  <c r="R542" i="5"/>
  <c r="AR534" i="5"/>
  <c r="AB533" i="5"/>
  <c r="R532" i="5"/>
  <c r="AB518" i="5"/>
  <c r="AO514" i="5"/>
  <c r="AO485" i="5"/>
  <c r="AH485" i="5"/>
  <c r="Z469" i="5"/>
  <c r="AC469" i="5"/>
  <c r="AS467" i="5"/>
  <c r="R628" i="5"/>
  <c r="Z627" i="5"/>
  <c r="AL626" i="5"/>
  <c r="AN625" i="5"/>
  <c r="AN620" i="5"/>
  <c r="J620" i="5"/>
  <c r="AB617" i="5"/>
  <c r="R613" i="5"/>
  <c r="AL609" i="5"/>
  <c r="AR604" i="5"/>
  <c r="AB598" i="5"/>
  <c r="J598" i="5"/>
  <c r="AB594" i="5"/>
  <c r="J594" i="5"/>
  <c r="AL587" i="5"/>
  <c r="AB581" i="5"/>
  <c r="R580" i="5"/>
  <c r="Z579" i="5"/>
  <c r="AL578" i="5"/>
  <c r="V578" i="5"/>
  <c r="AN576" i="5"/>
  <c r="AR573" i="5"/>
  <c r="R571" i="5"/>
  <c r="R569" i="5"/>
  <c r="AN568" i="5"/>
  <c r="R565" i="5"/>
  <c r="AB556" i="5"/>
  <c r="AH554" i="5"/>
  <c r="J554" i="5"/>
  <c r="AO551" i="5"/>
  <c r="AL549" i="5"/>
  <c r="AL546" i="5"/>
  <c r="J542" i="5"/>
  <c r="AC541" i="5"/>
  <c r="J539" i="5"/>
  <c r="AN537" i="5"/>
  <c r="Z536" i="5"/>
  <c r="R535" i="5"/>
  <c r="V533" i="5"/>
  <c r="Z531" i="5"/>
  <c r="AH529" i="5"/>
  <c r="AB528" i="5"/>
  <c r="AL526" i="5"/>
  <c r="R520" i="5"/>
  <c r="AC519" i="5"/>
  <c r="AB515" i="5"/>
  <c r="AL514" i="5"/>
  <c r="AH513" i="5"/>
  <c r="AL511" i="5"/>
  <c r="R510" i="5"/>
  <c r="R507" i="5"/>
  <c r="AR504" i="5"/>
  <c r="AB503" i="5"/>
  <c r="V497" i="5"/>
  <c r="Z489" i="5"/>
  <c r="AL488" i="5"/>
  <c r="J487" i="5"/>
  <c r="R479" i="5"/>
  <c r="V631" i="5"/>
  <c r="R626" i="5"/>
  <c r="J624" i="5"/>
  <c r="Z623" i="5"/>
  <c r="AO622" i="5"/>
  <c r="Z620" i="5"/>
  <c r="AH618" i="5"/>
  <c r="AL610" i="5"/>
  <c r="R600" i="5"/>
  <c r="J599" i="5"/>
  <c r="R596" i="5"/>
  <c r="J595" i="5"/>
  <c r="R592" i="5"/>
  <c r="J589" i="5"/>
  <c r="AO586" i="5"/>
  <c r="AL583" i="5"/>
  <c r="AR581" i="5"/>
  <c r="V581" i="5"/>
  <c r="R577" i="5"/>
  <c r="J573" i="5"/>
  <c r="V572" i="5"/>
  <c r="V556" i="5"/>
  <c r="AL552" i="5"/>
  <c r="R546" i="5"/>
  <c r="AN545" i="5"/>
  <c r="J545" i="5"/>
  <c r="AR541" i="5"/>
  <c r="AL540" i="5"/>
  <c r="AC539" i="5"/>
  <c r="AL538" i="5"/>
  <c r="V536" i="5"/>
  <c r="AO535" i="5"/>
  <c r="AS533" i="5"/>
  <c r="AR532" i="5"/>
  <c r="AN525" i="5"/>
  <c r="J525" i="5"/>
  <c r="V524" i="5"/>
  <c r="R523" i="5"/>
  <c r="Z522" i="5"/>
  <c r="R517" i="5"/>
  <c r="V515" i="5"/>
  <c r="R514" i="5"/>
  <c r="AB512" i="5"/>
  <c r="AO510" i="5"/>
  <c r="AS509" i="5"/>
  <c r="AL508" i="5"/>
  <c r="J507" i="5"/>
  <c r="V503" i="5"/>
  <c r="AL502" i="5"/>
  <c r="R502" i="5"/>
  <c r="R500" i="5"/>
  <c r="J495" i="5"/>
  <c r="AL486" i="5"/>
  <c r="AH481" i="5"/>
  <c r="Z476" i="5"/>
  <c r="AC477" i="5"/>
  <c r="AO475" i="5"/>
  <c r="J388" i="5"/>
  <c r="V387" i="5"/>
  <c r="AR363" i="5"/>
  <c r="AL361" i="5"/>
  <c r="J360" i="5"/>
  <c r="AH354" i="5"/>
  <c r="R354" i="5"/>
  <c r="V349" i="5"/>
  <c r="AN347" i="5"/>
  <c r="AL344" i="5"/>
  <c r="AL337" i="5"/>
  <c r="AR477" i="5"/>
  <c r="V469" i="5"/>
  <c r="R466" i="5"/>
  <c r="AN446" i="5"/>
  <c r="Z443" i="5"/>
  <c r="AC430" i="5"/>
  <c r="V426" i="5"/>
  <c r="AO425" i="5"/>
  <c r="AL421" i="5"/>
  <c r="AL408" i="5"/>
  <c r="V395" i="5"/>
  <c r="AR382" i="5"/>
  <c r="AH370" i="5"/>
  <c r="AO370" i="5"/>
  <c r="AN367" i="5"/>
  <c r="Z366" i="5"/>
  <c r="V365" i="5"/>
  <c r="J364" i="5"/>
  <c r="AL362" i="5"/>
  <c r="R361" i="5"/>
  <c r="AL359" i="5"/>
  <c r="AH358" i="5"/>
  <c r="AC353" i="5"/>
  <c r="AR350" i="5"/>
  <c r="AL345" i="5"/>
  <c r="R345" i="5"/>
  <c r="J341" i="5"/>
  <c r="V340" i="5"/>
  <c r="V487" i="5"/>
  <c r="AC485" i="5"/>
  <c r="V484" i="5"/>
  <c r="AH480" i="5"/>
  <c r="Z475" i="5"/>
  <c r="J471" i="5"/>
  <c r="J468" i="5"/>
  <c r="V465" i="5"/>
  <c r="AC463" i="5"/>
  <c r="J463" i="5"/>
  <c r="R460" i="5"/>
  <c r="AN459" i="5"/>
  <c r="Z453" i="5"/>
  <c r="AN448" i="5"/>
  <c r="AL431" i="5"/>
  <c r="V414" i="5"/>
  <c r="AH413" i="5"/>
  <c r="AL411" i="5"/>
  <c r="R392" i="5"/>
  <c r="AB383" i="5"/>
  <c r="AB373" i="5"/>
  <c r="AR369" i="5"/>
  <c r="AB366" i="5"/>
  <c r="V356" i="5"/>
  <c r="AL352" i="5"/>
  <c r="AR485" i="5"/>
  <c r="AS482" i="5"/>
  <c r="AC476" i="5"/>
  <c r="AS471" i="5"/>
  <c r="AN469" i="5"/>
  <c r="AS468" i="5"/>
  <c r="AS464" i="5"/>
  <c r="AC459" i="5"/>
  <c r="Z458" i="5"/>
  <c r="Z457" i="5"/>
  <c r="V452" i="5"/>
  <c r="Z450" i="5"/>
  <c r="AL449" i="5"/>
  <c r="J445" i="5"/>
  <c r="AL443" i="5"/>
  <c r="AN441" i="5"/>
  <c r="AN440" i="5"/>
  <c r="AR437" i="5"/>
  <c r="AC435" i="5"/>
  <c r="AR433" i="5"/>
  <c r="AL432" i="5"/>
  <c r="R429" i="5"/>
  <c r="R424" i="5"/>
  <c r="V422" i="5"/>
  <c r="AH421" i="5"/>
  <c r="AL419" i="5"/>
  <c r="AL416" i="5"/>
  <c r="AR415" i="5"/>
  <c r="AH411" i="5"/>
  <c r="AO409" i="5"/>
  <c r="V409" i="5"/>
  <c r="R406" i="5"/>
  <c r="AH405" i="5"/>
  <c r="J405" i="5"/>
  <c r="AC404" i="5"/>
  <c r="AC403" i="5"/>
  <c r="V402" i="5"/>
  <c r="J401" i="5"/>
  <c r="V400" i="5"/>
  <c r="AN397" i="5"/>
  <c r="V396" i="5"/>
  <c r="Z394" i="5"/>
  <c r="AL393" i="5"/>
  <c r="AO392" i="5"/>
  <c r="AB391" i="5"/>
  <c r="AN384" i="5"/>
  <c r="AB379" i="5"/>
  <c r="R378" i="5"/>
  <c r="V373" i="5"/>
  <c r="R372" i="5"/>
  <c r="AR366" i="5"/>
  <c r="R365" i="5"/>
  <c r="AN361" i="5"/>
  <c r="J361" i="5"/>
  <c r="V360" i="5"/>
  <c r="AL350" i="5"/>
  <c r="V350" i="5"/>
  <c r="AB347" i="5"/>
  <c r="V346" i="5"/>
  <c r="J345" i="5"/>
  <c r="R335" i="5"/>
  <c r="AS486" i="5"/>
  <c r="R484" i="5"/>
  <c r="J483" i="5"/>
  <c r="AB472" i="5"/>
  <c r="AO471" i="5"/>
  <c r="V471" i="5"/>
  <c r="R467" i="5"/>
  <c r="AL465" i="5"/>
  <c r="AO460" i="5"/>
  <c r="AS457" i="5"/>
  <c r="Z454" i="5"/>
  <c r="AL453" i="5"/>
  <c r="AO446" i="5"/>
  <c r="AO442" i="5"/>
  <c r="AR438" i="5"/>
  <c r="AL437" i="5"/>
  <c r="AB367" i="5"/>
  <c r="AB364" i="5"/>
  <c r="AL363" i="5"/>
  <c r="AC337" i="5"/>
  <c r="R333" i="5"/>
  <c r="AH477" i="5"/>
  <c r="Z473" i="5"/>
  <c r="AH470" i="5"/>
  <c r="AN460" i="5"/>
  <c r="AB459" i="5"/>
  <c r="V458" i="5"/>
  <c r="AL457" i="5"/>
  <c r="AL456" i="5"/>
  <c r="R452" i="5"/>
  <c r="Z451" i="5"/>
  <c r="AS444" i="5"/>
  <c r="Z441" i="5"/>
  <c r="V434" i="5"/>
  <c r="Z431" i="5"/>
  <c r="AL430" i="5"/>
  <c r="AL417" i="5"/>
  <c r="V415" i="5"/>
  <c r="AO412" i="5"/>
  <c r="AS411" i="5"/>
  <c r="R407" i="5"/>
  <c r="R400" i="5"/>
  <c r="AN399" i="5"/>
  <c r="R396" i="5"/>
  <c r="AN395" i="5"/>
  <c r="AL385" i="5"/>
  <c r="AL383" i="5"/>
  <c r="AB380" i="5"/>
  <c r="AB371" i="5"/>
  <c r="R369" i="5"/>
  <c r="R366" i="5"/>
  <c r="AN365" i="5"/>
  <c r="AN356" i="5"/>
  <c r="J356" i="5"/>
  <c r="AL353" i="5"/>
  <c r="R353" i="5"/>
  <c r="AL347" i="5"/>
  <c r="AR344" i="5"/>
  <c r="AH342" i="5"/>
  <c r="V339" i="5"/>
  <c r="V336" i="5"/>
  <c r="AC335" i="5"/>
  <c r="V334" i="5"/>
  <c r="AO432" i="5"/>
  <c r="V404" i="5"/>
  <c r="AL403" i="5"/>
  <c r="AC399" i="5"/>
  <c r="AN393" i="5"/>
  <c r="R391" i="5"/>
  <c r="AN390" i="5"/>
  <c r="V389" i="5"/>
  <c r="V380" i="5"/>
  <c r="AL379" i="5"/>
  <c r="R379" i="5"/>
  <c r="V377" i="5"/>
  <c r="AL374" i="5"/>
  <c r="AL370" i="5"/>
  <c r="AR335" i="5"/>
  <c r="J478" i="5"/>
  <c r="Z477" i="5"/>
  <c r="AH475" i="5"/>
  <c r="AC474" i="5"/>
  <c r="AS473" i="5"/>
  <c r="AH472" i="5"/>
  <c r="R472" i="5"/>
  <c r="AO462" i="5"/>
  <c r="AC461" i="5"/>
  <c r="J461" i="5"/>
  <c r="AL458" i="5"/>
  <c r="R450" i="5"/>
  <c r="Z449" i="5"/>
  <c r="AS445" i="5"/>
  <c r="V445" i="5"/>
  <c r="AH439" i="5"/>
  <c r="AL435" i="5"/>
  <c r="V435" i="5"/>
  <c r="V431" i="5"/>
  <c r="R423" i="5"/>
  <c r="V421" i="5"/>
  <c r="AN420" i="5"/>
  <c r="AR419" i="5"/>
  <c r="AH417" i="5"/>
  <c r="R413" i="5"/>
  <c r="V411" i="5"/>
  <c r="AL410" i="5"/>
  <c r="R410" i="5"/>
  <c r="AH407" i="5"/>
  <c r="AO400" i="5"/>
  <c r="AL397" i="5"/>
  <c r="V397" i="5"/>
  <c r="AL394" i="5"/>
  <c r="AL377" i="5"/>
  <c r="R374" i="5"/>
  <c r="AH373" i="5"/>
  <c r="R370" i="5"/>
  <c r="R367" i="5"/>
  <c r="AH366" i="5"/>
  <c r="R364" i="5"/>
  <c r="V354" i="5"/>
  <c r="AR349" i="5"/>
  <c r="AL348" i="5"/>
  <c r="R347" i="5"/>
  <c r="AH346" i="5"/>
  <c r="AL336" i="5"/>
  <c r="Z335" i="5"/>
  <c r="AB565" i="5"/>
  <c r="AR565" i="5"/>
  <c r="AN600" i="5"/>
  <c r="AR600" i="5"/>
  <c r="AN572" i="5"/>
  <c r="AR572" i="5"/>
  <c r="AB627" i="5"/>
  <c r="AB623" i="5"/>
  <c r="AR621" i="5"/>
  <c r="V620" i="5"/>
  <c r="V619" i="5"/>
  <c r="AS614" i="5"/>
  <c r="AC614" i="5"/>
  <c r="AR613" i="5"/>
  <c r="AN612" i="5"/>
  <c r="AR612" i="5"/>
  <c r="J583" i="5"/>
  <c r="J529" i="5"/>
  <c r="V630" i="5"/>
  <c r="AO629" i="5"/>
  <c r="AH629" i="5"/>
  <c r="R630" i="5"/>
  <c r="AN629" i="5"/>
  <c r="AR626" i="5"/>
  <c r="V623" i="5"/>
  <c r="Z616" i="5"/>
  <c r="AS616" i="5"/>
  <c r="AS615" i="5"/>
  <c r="Z615" i="5"/>
  <c r="AL611" i="5"/>
  <c r="V605" i="5"/>
  <c r="J601" i="5"/>
  <c r="AL599" i="5"/>
  <c r="AL595" i="5"/>
  <c r="V563" i="5"/>
  <c r="J617" i="5"/>
  <c r="AB601" i="5"/>
  <c r="AS583" i="5"/>
  <c r="Z583" i="5"/>
  <c r="AN631" i="5"/>
  <c r="Z629" i="5"/>
  <c r="AR628" i="5"/>
  <c r="J628" i="5"/>
  <c r="R625" i="5"/>
  <c r="V624" i="5"/>
  <c r="AH622" i="5"/>
  <c r="AH620" i="5"/>
  <c r="AO615" i="5"/>
  <c r="J613" i="5"/>
  <c r="AR576" i="5"/>
  <c r="AB552" i="5"/>
  <c r="Z552" i="5"/>
  <c r="AB588" i="5"/>
  <c r="AR588" i="5"/>
  <c r="AS630" i="5"/>
  <c r="AL627" i="5"/>
  <c r="AL624" i="5"/>
  <c r="AB619" i="5"/>
  <c r="AB618" i="5"/>
  <c r="AS602" i="5"/>
  <c r="AC602" i="5"/>
  <c r="AR601" i="5"/>
  <c r="AB589" i="5"/>
  <c r="Z553" i="5"/>
  <c r="AS553" i="5"/>
  <c r="AC553" i="5"/>
  <c r="AO630" i="5"/>
  <c r="AN626" i="5"/>
  <c r="J626" i="5"/>
  <c r="AC625" i="5"/>
  <c r="AS625" i="5"/>
  <c r="AO624" i="5"/>
  <c r="AH624" i="5"/>
  <c r="AS618" i="5"/>
  <c r="AC618" i="5"/>
  <c r="AR617" i="5"/>
  <c r="R608" i="5"/>
  <c r="AH603" i="5"/>
  <c r="AO603" i="5"/>
  <c r="AL590" i="5"/>
  <c r="AC582" i="5"/>
  <c r="AH572" i="5"/>
  <c r="AL561" i="5"/>
  <c r="AN553" i="5"/>
  <c r="AL613" i="5"/>
  <c r="AH611" i="5"/>
  <c r="R611" i="5"/>
  <c r="AS610" i="5"/>
  <c r="AR609" i="5"/>
  <c r="AH606" i="5"/>
  <c r="R605" i="5"/>
  <c r="AR602" i="5"/>
  <c r="AL601" i="5"/>
  <c r="Z600" i="5"/>
  <c r="AH599" i="5"/>
  <c r="R599" i="5"/>
  <c r="AS598" i="5"/>
  <c r="AH595" i="5"/>
  <c r="R595" i="5"/>
  <c r="AS594" i="5"/>
  <c r="Z592" i="5"/>
  <c r="AH590" i="5"/>
  <c r="J588" i="5"/>
  <c r="Z587" i="5"/>
  <c r="R586" i="5"/>
  <c r="AN585" i="5"/>
  <c r="AH584" i="5"/>
  <c r="R579" i="5"/>
  <c r="J576" i="5"/>
  <c r="J572" i="5"/>
  <c r="AL570" i="5"/>
  <c r="AH567" i="5"/>
  <c r="V565" i="5"/>
  <c r="AH563" i="5"/>
  <c r="R563" i="5"/>
  <c r="Z560" i="5"/>
  <c r="AC560" i="5"/>
  <c r="J558" i="5"/>
  <c r="AH557" i="5"/>
  <c r="AO552" i="5"/>
  <c r="AH548" i="5"/>
  <c r="AO548" i="5"/>
  <c r="V546" i="5"/>
  <c r="AC544" i="5"/>
  <c r="AO544" i="5"/>
  <c r="Z540" i="5"/>
  <c r="AN539" i="5"/>
  <c r="J538" i="5"/>
  <c r="AH526" i="5"/>
  <c r="AR522" i="5"/>
  <c r="AB522" i="5"/>
  <c r="J520" i="5"/>
  <c r="J490" i="5"/>
  <c r="AN589" i="5"/>
  <c r="AS582" i="5"/>
  <c r="J559" i="5"/>
  <c r="AC548" i="5"/>
  <c r="AO541" i="5"/>
  <c r="AH541" i="5"/>
  <c r="AR540" i="5"/>
  <c r="AB540" i="5"/>
  <c r="AH505" i="5"/>
  <c r="AO505" i="5"/>
  <c r="AH623" i="5"/>
  <c r="R623" i="5"/>
  <c r="AR622" i="5"/>
  <c r="V618" i="5"/>
  <c r="AO617" i="5"/>
  <c r="R617" i="5"/>
  <c r="J615" i="5"/>
  <c r="AH614" i="5"/>
  <c r="V614" i="5"/>
  <c r="AO613" i="5"/>
  <c r="J612" i="5"/>
  <c r="AR608" i="5"/>
  <c r="J608" i="5"/>
  <c r="AB605" i="5"/>
  <c r="AH602" i="5"/>
  <c r="V602" i="5"/>
  <c r="AO601" i="5"/>
  <c r="R601" i="5"/>
  <c r="J600" i="5"/>
  <c r="AL597" i="5"/>
  <c r="J596" i="5"/>
  <c r="AL593" i="5"/>
  <c r="AR592" i="5"/>
  <c r="J592" i="5"/>
  <c r="AC586" i="5"/>
  <c r="J586" i="5"/>
  <c r="J585" i="5"/>
  <c r="AL581" i="5"/>
  <c r="AB580" i="5"/>
  <c r="AL573" i="5"/>
  <c r="AO570" i="5"/>
  <c r="AP570" i="5" s="1"/>
  <c r="AC567" i="5"/>
  <c r="AC566" i="5"/>
  <c r="AL565" i="5"/>
  <c r="AB562" i="5"/>
  <c r="AS561" i="5"/>
  <c r="V558" i="5"/>
  <c r="AS557" i="5"/>
  <c r="AC556" i="5"/>
  <c r="AH551" i="5"/>
  <c r="Z548" i="5"/>
  <c r="AB548" i="5"/>
  <c r="AH545" i="5"/>
  <c r="AO545" i="5"/>
  <c r="AC536" i="5"/>
  <c r="AO536" i="5"/>
  <c r="V532" i="5"/>
  <c r="R527" i="5"/>
  <c r="AH518" i="5"/>
  <c r="AB507" i="5"/>
  <c r="AR507" i="5"/>
  <c r="AS490" i="5"/>
  <c r="AC490" i="5"/>
  <c r="Z490" i="5"/>
  <c r="Z605" i="5"/>
  <c r="AS603" i="5"/>
  <c r="R602" i="5"/>
  <c r="AN601" i="5"/>
  <c r="Z599" i="5"/>
  <c r="AH598" i="5"/>
  <c r="Z595" i="5"/>
  <c r="AH594" i="5"/>
  <c r="AS591" i="5"/>
  <c r="V587" i="5"/>
  <c r="R583" i="5"/>
  <c r="J580" i="5"/>
  <c r="AH576" i="5"/>
  <c r="AL560" i="5"/>
  <c r="AL558" i="5"/>
  <c r="AC557" i="5"/>
  <c r="J557" i="5"/>
  <c r="Z556" i="5"/>
  <c r="Z554" i="5"/>
  <c r="AO539" i="5"/>
  <c r="AS539" i="5"/>
  <c r="AH539" i="5"/>
  <c r="J502" i="5"/>
  <c r="AB502" i="5"/>
  <c r="V622" i="5"/>
  <c r="AL612" i="5"/>
  <c r="AS590" i="5"/>
  <c r="AO573" i="5"/>
  <c r="Z567" i="5"/>
  <c r="AS550" i="5"/>
  <c r="Z550" i="5"/>
  <c r="AL547" i="5"/>
  <c r="AO543" i="5"/>
  <c r="AH543" i="5"/>
  <c r="AS543" i="5"/>
  <c r="AH537" i="5"/>
  <c r="AR530" i="5"/>
  <c r="AB530" i="5"/>
  <c r="J521" i="5"/>
  <c r="R519" i="5"/>
  <c r="J512" i="5"/>
  <c r="Z502" i="5"/>
  <c r="AS502" i="5"/>
  <c r="AC502" i="5"/>
  <c r="AR620" i="5"/>
  <c r="AL616" i="5"/>
  <c r="AO611" i="5"/>
  <c r="AS611" i="5"/>
  <c r="AN609" i="5"/>
  <c r="AS606" i="5"/>
  <c r="AH631" i="5"/>
  <c r="R629" i="5"/>
  <c r="AH628" i="5"/>
  <c r="R627" i="5"/>
  <c r="AO626" i="5"/>
  <c r="AO625" i="5"/>
  <c r="Z624" i="5"/>
  <c r="R622" i="5"/>
  <c r="AS619" i="5"/>
  <c r="J618" i="5"/>
  <c r="AO616" i="5"/>
  <c r="V615" i="5"/>
  <c r="J614" i="5"/>
  <c r="AH612" i="5"/>
  <c r="AL608" i="5"/>
  <c r="V607" i="5"/>
  <c r="AO604" i="5"/>
  <c r="V603" i="5"/>
  <c r="J602" i="5"/>
  <c r="Z601" i="5"/>
  <c r="AH600" i="5"/>
  <c r="AN597" i="5"/>
  <c r="AH596" i="5"/>
  <c r="AN593" i="5"/>
  <c r="AL592" i="5"/>
  <c r="V591" i="5"/>
  <c r="AR589" i="5"/>
  <c r="AH587" i="5"/>
  <c r="R587" i="5"/>
  <c r="AR586" i="5"/>
  <c r="AL585" i="5"/>
  <c r="J584" i="5"/>
  <c r="R582" i="5"/>
  <c r="AS578" i="5"/>
  <c r="R575" i="5"/>
  <c r="R574" i="5"/>
  <c r="AO567" i="5"/>
  <c r="J565" i="5"/>
  <c r="AS563" i="5"/>
  <c r="R562" i="5"/>
  <c r="V561" i="5"/>
  <c r="AO560" i="5"/>
  <c r="R560" i="5"/>
  <c r="AO556" i="5"/>
  <c r="Z551" i="5"/>
  <c r="AC551" i="5"/>
  <c r="AO549" i="5"/>
  <c r="Z549" i="5"/>
  <c r="AS549" i="5"/>
  <c r="AN543" i="5"/>
  <c r="J610" i="5"/>
  <c r="AB602" i="5"/>
  <c r="V599" i="5"/>
  <c r="AC598" i="5"/>
  <c r="AC594" i="5"/>
  <c r="AB593" i="5"/>
  <c r="Z588" i="5"/>
  <c r="V579" i="5"/>
  <c r="AR578" i="5"/>
  <c r="AS576" i="5"/>
  <c r="Z576" i="5"/>
  <c r="AO572" i="5"/>
  <c r="AL567" i="5"/>
  <c r="Z565" i="5"/>
  <c r="AL563" i="5"/>
  <c r="AO559" i="5"/>
  <c r="AP559" i="5" s="1"/>
  <c r="AS559" i="5"/>
  <c r="AS552" i="5"/>
  <c r="AS551" i="5"/>
  <c r="J551" i="5"/>
  <c r="AN549" i="5"/>
  <c r="AN547" i="5"/>
  <c r="Z521" i="5"/>
  <c r="AS521" i="5"/>
  <c r="AN492" i="5"/>
  <c r="AH492" i="5"/>
  <c r="AR492" i="5"/>
  <c r="AS498" i="5"/>
  <c r="Z498" i="5"/>
  <c r="AC498" i="5"/>
  <c r="AN548" i="5"/>
  <c r="AH547" i="5"/>
  <c r="AC543" i="5"/>
  <c r="AS537" i="5"/>
  <c r="AS534" i="5"/>
  <c r="V531" i="5"/>
  <c r="AL530" i="5"/>
  <c r="AR524" i="5"/>
  <c r="AR521" i="5"/>
  <c r="AR519" i="5"/>
  <c r="AR516" i="5"/>
  <c r="AR514" i="5"/>
  <c r="AO513" i="5"/>
  <c r="Z511" i="5"/>
  <c r="AN505" i="5"/>
  <c r="AS504" i="5"/>
  <c r="AN499" i="5"/>
  <c r="AB498" i="5"/>
  <c r="Z491" i="5"/>
  <c r="AC491" i="5"/>
  <c r="AB488" i="5"/>
  <c r="Z488" i="5"/>
  <c r="AO487" i="5"/>
  <c r="AC484" i="5"/>
  <c r="J484" i="5"/>
  <c r="AH389" i="5"/>
  <c r="AO389" i="5"/>
  <c r="V553" i="5"/>
  <c r="AL551" i="5"/>
  <c r="AL550" i="5"/>
  <c r="J548" i="5"/>
  <c r="AO547" i="5"/>
  <c r="AH546" i="5"/>
  <c r="AS544" i="5"/>
  <c r="Z543" i="5"/>
  <c r="AS542" i="5"/>
  <c r="V541" i="5"/>
  <c r="AL539" i="5"/>
  <c r="AO537" i="5"/>
  <c r="AS535" i="5"/>
  <c r="AB534" i="5"/>
  <c r="J534" i="5"/>
  <c r="AH533" i="5"/>
  <c r="R533" i="5"/>
  <c r="AL528" i="5"/>
  <c r="J527" i="5"/>
  <c r="V521" i="5"/>
  <c r="AB519" i="5"/>
  <c r="J519" i="5"/>
  <c r="AR513" i="5"/>
  <c r="AN510" i="5"/>
  <c r="R509" i="5"/>
  <c r="AH508" i="5"/>
  <c r="AO506" i="5"/>
  <c r="AS505" i="5"/>
  <c r="AB505" i="5"/>
  <c r="AC503" i="5"/>
  <c r="AH502" i="5"/>
  <c r="V502" i="5"/>
  <c r="AL499" i="5"/>
  <c r="AN494" i="5"/>
  <c r="AS491" i="5"/>
  <c r="V490" i="5"/>
  <c r="AS489" i="5"/>
  <c r="AS488" i="5"/>
  <c r="V488" i="5"/>
  <c r="R482" i="5"/>
  <c r="AN481" i="5"/>
  <c r="AO479" i="5"/>
  <c r="AS479" i="5"/>
  <c r="AH479" i="5"/>
  <c r="J474" i="5"/>
  <c r="Z464" i="5"/>
  <c r="R456" i="5"/>
  <c r="J449" i="5"/>
  <c r="AR544" i="5"/>
  <c r="AB542" i="5"/>
  <c r="AH538" i="5"/>
  <c r="AR537" i="5"/>
  <c r="AR536" i="5"/>
  <c r="R530" i="5"/>
  <c r="R529" i="5"/>
  <c r="AS525" i="5"/>
  <c r="AB524" i="5"/>
  <c r="R522" i="5"/>
  <c r="AL519" i="5"/>
  <c r="AS517" i="5"/>
  <c r="AB516" i="5"/>
  <c r="AC515" i="5"/>
  <c r="V513" i="5"/>
  <c r="AL512" i="5"/>
  <c r="AB511" i="5"/>
  <c r="J511" i="5"/>
  <c r="AO507" i="5"/>
  <c r="AR506" i="5"/>
  <c r="AN502" i="5"/>
  <c r="AS496" i="5"/>
  <c r="AC493" i="5"/>
  <c r="Z493" i="5"/>
  <c r="J470" i="5"/>
  <c r="AO467" i="5"/>
  <c r="AO453" i="5"/>
  <c r="AH453" i="5"/>
  <c r="AR445" i="5"/>
  <c r="AB445" i="5"/>
  <c r="J416" i="5"/>
  <c r="AO529" i="5"/>
  <c r="AR526" i="5"/>
  <c r="AR518" i="5"/>
  <c r="AO498" i="5"/>
  <c r="V489" i="5"/>
  <c r="AC486" i="5"/>
  <c r="AO456" i="5"/>
  <c r="AS456" i="5"/>
  <c r="AH456" i="5"/>
  <c r="AC442" i="5"/>
  <c r="Z442" i="5"/>
  <c r="AN429" i="5"/>
  <c r="AS426" i="5"/>
  <c r="Z426" i="5"/>
  <c r="J424" i="5"/>
  <c r="AS574" i="5"/>
  <c r="AC572" i="5"/>
  <c r="R568" i="5"/>
  <c r="Z564" i="5"/>
  <c r="AS558" i="5"/>
  <c r="V557" i="5"/>
  <c r="AL555" i="5"/>
  <c r="AL554" i="5"/>
  <c r="AC552" i="5"/>
  <c r="AS547" i="5"/>
  <c r="AS546" i="5"/>
  <c r="V545" i="5"/>
  <c r="AL543" i="5"/>
  <c r="AL542" i="5"/>
  <c r="AS541" i="5"/>
  <c r="AC540" i="5"/>
  <c r="V537" i="5"/>
  <c r="AL535" i="5"/>
  <c r="AR533" i="5"/>
  <c r="AN529" i="5"/>
  <c r="AO528" i="5"/>
  <c r="AR525" i="5"/>
  <c r="AR520" i="5"/>
  <c r="AR517" i="5"/>
  <c r="AR515" i="5"/>
  <c r="AN514" i="5"/>
  <c r="R513" i="5"/>
  <c r="AH512" i="5"/>
  <c r="AB508" i="5"/>
  <c r="AC507" i="5"/>
  <c r="V505" i="5"/>
  <c r="AL504" i="5"/>
  <c r="Z501" i="5"/>
  <c r="AN500" i="5"/>
  <c r="R498" i="5"/>
  <c r="AB495" i="5"/>
  <c r="V494" i="5"/>
  <c r="AS493" i="5"/>
  <c r="V493" i="5"/>
  <c r="AH489" i="5"/>
  <c r="AH488" i="5"/>
  <c r="AN487" i="5"/>
  <c r="AH487" i="5"/>
  <c r="Z486" i="5"/>
  <c r="AH483" i="5"/>
  <c r="AC467" i="5"/>
  <c r="AR449" i="5"/>
  <c r="AB449" i="5"/>
  <c r="AL548" i="5"/>
  <c r="V548" i="5"/>
  <c r="J547" i="5"/>
  <c r="AB546" i="5"/>
  <c r="R544" i="5"/>
  <c r="AS538" i="5"/>
  <c r="AH535" i="5"/>
  <c r="AH534" i="5"/>
  <c r="V525" i="5"/>
  <c r="AB523" i="5"/>
  <c r="J523" i="5"/>
  <c r="V517" i="5"/>
  <c r="AC514" i="5"/>
  <c r="AR512" i="5"/>
  <c r="AL510" i="5"/>
  <c r="AR510" i="5"/>
  <c r="Z509" i="5"/>
  <c r="V508" i="5"/>
  <c r="R506" i="5"/>
  <c r="AL503" i="5"/>
  <c r="AR501" i="5"/>
  <c r="AC500" i="5"/>
  <c r="J499" i="5"/>
  <c r="AH497" i="5"/>
  <c r="AH496" i="5"/>
  <c r="AR494" i="5"/>
  <c r="AC488" i="5"/>
  <c r="J488" i="5"/>
  <c r="AN442" i="5"/>
  <c r="J437" i="5"/>
  <c r="AB538" i="5"/>
  <c r="AS529" i="5"/>
  <c r="R526" i="5"/>
  <c r="AL523" i="5"/>
  <c r="AB520" i="5"/>
  <c r="R518" i="5"/>
  <c r="AL515" i="5"/>
  <c r="AS512" i="5"/>
  <c r="V510" i="5"/>
  <c r="AR509" i="5"/>
  <c r="R505" i="5"/>
  <c r="AH504" i="5"/>
  <c r="V501" i="5"/>
  <c r="Z499" i="5"/>
  <c r="R496" i="5"/>
  <c r="AL494" i="5"/>
  <c r="AL493" i="5"/>
  <c r="AO492" i="5"/>
  <c r="Z487" i="5"/>
  <c r="AS480" i="5"/>
  <c r="Z480" i="5"/>
  <c r="AH473" i="5"/>
  <c r="AO469" i="5"/>
  <c r="AS469" i="5"/>
  <c r="AH469" i="5"/>
  <c r="J481" i="5"/>
  <c r="AS477" i="5"/>
  <c r="V475" i="5"/>
  <c r="Z471" i="5"/>
  <c r="AS470" i="5"/>
  <c r="AL468" i="5"/>
  <c r="V468" i="5"/>
  <c r="AS465" i="5"/>
  <c r="V463" i="5"/>
  <c r="AH454" i="5"/>
  <c r="V453" i="5"/>
  <c r="V451" i="5"/>
  <c r="Z448" i="5"/>
  <c r="AS448" i="5"/>
  <c r="Z446" i="5"/>
  <c r="AC446" i="5"/>
  <c r="V444" i="5"/>
  <c r="AN426" i="5"/>
  <c r="AB426" i="5"/>
  <c r="Z418" i="5"/>
  <c r="AR418" i="5"/>
  <c r="AB418" i="5"/>
  <c r="Z410" i="5"/>
  <c r="AR410" i="5"/>
  <c r="AB410" i="5"/>
  <c r="AC480" i="5"/>
  <c r="AH468" i="5"/>
  <c r="J467" i="5"/>
  <c r="AL463" i="5"/>
  <c r="AN456" i="5"/>
  <c r="Z455" i="5"/>
  <c r="AC454" i="5"/>
  <c r="AL452" i="5"/>
  <c r="V450" i="5"/>
  <c r="AO448" i="5"/>
  <c r="V448" i="5"/>
  <c r="AC438" i="5"/>
  <c r="AC437" i="5"/>
  <c r="Z437" i="5"/>
  <c r="AB429" i="5"/>
  <c r="AR422" i="5"/>
  <c r="AN422" i="5"/>
  <c r="AR414" i="5"/>
  <c r="AN414" i="5"/>
  <c r="AS483" i="5"/>
  <c r="V481" i="5"/>
  <c r="AL477" i="5"/>
  <c r="J476" i="5"/>
  <c r="AO473" i="5"/>
  <c r="AL471" i="5"/>
  <c r="V467" i="5"/>
  <c r="AL466" i="5"/>
  <c r="AH465" i="5"/>
  <c r="R465" i="5"/>
  <c r="AN461" i="5"/>
  <c r="J456" i="5"/>
  <c r="J454" i="5"/>
  <c r="AO449" i="5"/>
  <c r="AH449" i="5"/>
  <c r="AL448" i="5"/>
  <c r="AL446" i="5"/>
  <c r="R443" i="5"/>
  <c r="V441" i="5"/>
  <c r="V440" i="5"/>
  <c r="AL439" i="5"/>
  <c r="V439" i="5"/>
  <c r="AO438" i="5"/>
  <c r="AS437" i="5"/>
  <c r="R436" i="5"/>
  <c r="AB424" i="5"/>
  <c r="AB416" i="5"/>
  <c r="AB409" i="5"/>
  <c r="AH402" i="5"/>
  <c r="AN402" i="5"/>
  <c r="AO393" i="5"/>
  <c r="AH393" i="5"/>
  <c r="AS393" i="5"/>
  <c r="J380" i="5"/>
  <c r="AO483" i="5"/>
  <c r="AS476" i="5"/>
  <c r="AN475" i="5"/>
  <c r="AN463" i="5"/>
  <c r="AN449" i="5"/>
  <c r="J428" i="5"/>
  <c r="AR406" i="5"/>
  <c r="AB406" i="5"/>
  <c r="AR502" i="5"/>
  <c r="AL501" i="5"/>
  <c r="AN501" i="5"/>
  <c r="Z500" i="5"/>
  <c r="AN498" i="5"/>
  <c r="AB496" i="5"/>
  <c r="AH495" i="5"/>
  <c r="Z494" i="5"/>
  <c r="AN488" i="5"/>
  <c r="AL487" i="5"/>
  <c r="AS485" i="5"/>
  <c r="AO484" i="5"/>
  <c r="V483" i="5"/>
  <c r="AL482" i="5"/>
  <c r="V482" i="5"/>
  <c r="AS478" i="5"/>
  <c r="V477" i="5"/>
  <c r="AL476" i="5"/>
  <c r="V476" i="5"/>
  <c r="AC475" i="5"/>
  <c r="AL473" i="5"/>
  <c r="AR473" i="5"/>
  <c r="J472" i="5"/>
  <c r="J469" i="5"/>
  <c r="Z468" i="5"/>
  <c r="AN465" i="5"/>
  <c r="R462" i="5"/>
  <c r="AO457" i="5"/>
  <c r="V456" i="5"/>
  <c r="AL455" i="5"/>
  <c r="AS453" i="5"/>
  <c r="AC451" i="5"/>
  <c r="J451" i="5"/>
  <c r="AC449" i="5"/>
  <c r="AO445" i="5"/>
  <c r="AN444" i="5"/>
  <c r="AO441" i="5"/>
  <c r="AS441" i="5"/>
  <c r="AO436" i="5"/>
  <c r="AH436" i="5"/>
  <c r="AC387" i="5"/>
  <c r="Z387" i="5"/>
  <c r="Z485" i="5"/>
  <c r="AN484" i="5"/>
  <c r="AS481" i="5"/>
  <c r="AC481" i="5"/>
  <c r="AO480" i="5"/>
  <c r="AS475" i="5"/>
  <c r="J475" i="5"/>
  <c r="AS472" i="5"/>
  <c r="AN471" i="5"/>
  <c r="AC470" i="5"/>
  <c r="AR469" i="5"/>
  <c r="Z465" i="5"/>
  <c r="AC464" i="5"/>
  <c r="J462" i="5"/>
  <c r="J459" i="5"/>
  <c r="AC458" i="5"/>
  <c r="AN452" i="5"/>
  <c r="AC450" i="5"/>
  <c r="AC447" i="5"/>
  <c r="Z444" i="5"/>
  <c r="AH440" i="5"/>
  <c r="Z492" i="5"/>
  <c r="AL489" i="5"/>
  <c r="J485" i="5"/>
  <c r="AH482" i="5"/>
  <c r="AN480" i="5"/>
  <c r="AL479" i="5"/>
  <c r="AL478" i="5"/>
  <c r="V478" i="5"/>
  <c r="AH476" i="5"/>
  <c r="R476" i="5"/>
  <c r="AS474" i="5"/>
  <c r="V473" i="5"/>
  <c r="AL472" i="5"/>
  <c r="V472" i="5"/>
  <c r="AC471" i="5"/>
  <c r="Z470" i="5"/>
  <c r="AB468" i="5"/>
  <c r="AC468" i="5"/>
  <c r="AN467" i="5"/>
  <c r="Z462" i="5"/>
  <c r="AO461" i="5"/>
  <c r="AL460" i="5"/>
  <c r="AL459" i="5"/>
  <c r="V459" i="5"/>
  <c r="AH455" i="5"/>
  <c r="J452" i="5"/>
  <c r="AO450" i="5"/>
  <c r="J447" i="5"/>
  <c r="Z445" i="5"/>
  <c r="Z436" i="5"/>
  <c r="AS436" i="5"/>
  <c r="AO434" i="5"/>
  <c r="AO417" i="5"/>
  <c r="AH401" i="5"/>
  <c r="AO401" i="5"/>
  <c r="AO408" i="5"/>
  <c r="J397" i="5"/>
  <c r="AO397" i="5"/>
  <c r="AR389" i="5"/>
  <c r="AB389" i="5"/>
  <c r="AB385" i="5"/>
  <c r="AC377" i="5"/>
  <c r="AR353" i="5"/>
  <c r="AB353" i="5"/>
  <c r="AS333" i="5"/>
  <c r="AC333" i="5"/>
  <c r="AR457" i="5"/>
  <c r="AR453" i="5"/>
  <c r="Z452" i="5"/>
  <c r="V449" i="5"/>
  <c r="J448" i="5"/>
  <c r="AN445" i="5"/>
  <c r="AL442" i="5"/>
  <c r="Z440" i="5"/>
  <c r="AO437" i="5"/>
  <c r="AH431" i="5"/>
  <c r="AH428" i="5"/>
  <c r="R428" i="5"/>
  <c r="AH427" i="5"/>
  <c r="AH426" i="5"/>
  <c r="R426" i="5"/>
  <c r="V425" i="5"/>
  <c r="AO424" i="5"/>
  <c r="AL423" i="5"/>
  <c r="V417" i="5"/>
  <c r="AO416" i="5"/>
  <c r="AL415" i="5"/>
  <c r="AN408" i="5"/>
  <c r="AN407" i="5"/>
  <c r="AH406" i="5"/>
  <c r="AB399" i="5"/>
  <c r="AR399" i="5"/>
  <c r="AS397" i="5"/>
  <c r="AR395" i="5"/>
  <c r="AB395" i="5"/>
  <c r="AR393" i="5"/>
  <c r="AR391" i="5"/>
  <c r="AH378" i="5"/>
  <c r="AO378" i="5"/>
  <c r="V367" i="5"/>
  <c r="J365" i="5"/>
  <c r="AO365" i="5"/>
  <c r="AN362" i="5"/>
  <c r="AR362" i="5"/>
  <c r="AR357" i="5"/>
  <c r="AB357" i="5"/>
  <c r="AL447" i="5"/>
  <c r="V447" i="5"/>
  <c r="AO444" i="5"/>
  <c r="V442" i="5"/>
  <c r="AL441" i="5"/>
  <c r="AR441" i="5"/>
  <c r="AN437" i="5"/>
  <c r="AL434" i="5"/>
  <c r="AC433" i="5"/>
  <c r="AN432" i="5"/>
  <c r="Z430" i="5"/>
  <c r="AN428" i="5"/>
  <c r="R425" i="5"/>
  <c r="AN424" i="5"/>
  <c r="AL422" i="5"/>
  <c r="AN421" i="5"/>
  <c r="AC421" i="5"/>
  <c r="V420" i="5"/>
  <c r="AB419" i="5"/>
  <c r="R417" i="5"/>
  <c r="AN416" i="5"/>
  <c r="AH415" i="5"/>
  <c r="AL414" i="5"/>
  <c r="AN413" i="5"/>
  <c r="AC413" i="5"/>
  <c r="V412" i="5"/>
  <c r="AB411" i="5"/>
  <c r="AS407" i="5"/>
  <c r="AL401" i="5"/>
  <c r="V401" i="5"/>
  <c r="AL399" i="5"/>
  <c r="AN398" i="5"/>
  <c r="AR398" i="5"/>
  <c r="AR397" i="5"/>
  <c r="AB397" i="5"/>
  <c r="V394" i="5"/>
  <c r="V391" i="5"/>
  <c r="AR390" i="5"/>
  <c r="R384" i="5"/>
  <c r="Z375" i="5"/>
  <c r="AN359" i="5"/>
  <c r="AR359" i="5"/>
  <c r="Z339" i="5"/>
  <c r="AB430" i="5"/>
  <c r="AR421" i="5"/>
  <c r="AR413" i="5"/>
  <c r="AN388" i="5"/>
  <c r="AN376" i="5"/>
  <c r="AB375" i="5"/>
  <c r="AR375" i="5"/>
  <c r="AR352" i="5"/>
  <c r="AR341" i="5"/>
  <c r="AB341" i="5"/>
  <c r="AB339" i="5"/>
  <c r="AR339" i="5"/>
  <c r="V433" i="5"/>
  <c r="AR430" i="5"/>
  <c r="AR429" i="5"/>
  <c r="J429" i="5"/>
  <c r="AS423" i="5"/>
  <c r="AH422" i="5"/>
  <c r="R422" i="5"/>
  <c r="AL420" i="5"/>
  <c r="R420" i="5"/>
  <c r="AO418" i="5"/>
  <c r="AS418" i="5"/>
  <c r="Z416" i="5"/>
  <c r="AS415" i="5"/>
  <c r="AH414" i="5"/>
  <c r="R414" i="5"/>
  <c r="AL412" i="5"/>
  <c r="R412" i="5"/>
  <c r="AO410" i="5"/>
  <c r="AS410" i="5"/>
  <c r="J409" i="5"/>
  <c r="AB407" i="5"/>
  <c r="AS406" i="5"/>
  <c r="Z406" i="5"/>
  <c r="AB405" i="5"/>
  <c r="R403" i="5"/>
  <c r="R402" i="5"/>
  <c r="R401" i="5"/>
  <c r="R393" i="5"/>
  <c r="J376" i="5"/>
  <c r="AS363" i="5"/>
  <c r="AC363" i="5"/>
  <c r="V355" i="5"/>
  <c r="AR337" i="5"/>
  <c r="AB337" i="5"/>
  <c r="AB352" i="5"/>
  <c r="AR345" i="5"/>
  <c r="AB345" i="5"/>
  <c r="AN340" i="5"/>
  <c r="AB340" i="5"/>
  <c r="AO433" i="5"/>
  <c r="AC425" i="5"/>
  <c r="AB423" i="5"/>
  <c r="AB422" i="5"/>
  <c r="AC417" i="5"/>
  <c r="AB415" i="5"/>
  <c r="AB414" i="5"/>
  <c r="AN403" i="5"/>
  <c r="R398" i="5"/>
  <c r="AO381" i="5"/>
  <c r="J377" i="5"/>
  <c r="V437" i="5"/>
  <c r="V436" i="5"/>
  <c r="AN433" i="5"/>
  <c r="R432" i="5"/>
  <c r="AL426" i="5"/>
  <c r="AR425" i="5"/>
  <c r="J420" i="5"/>
  <c r="V418" i="5"/>
  <c r="AR417" i="5"/>
  <c r="Z414" i="5"/>
  <c r="J414" i="5"/>
  <c r="J412" i="5"/>
  <c r="V410" i="5"/>
  <c r="AL409" i="5"/>
  <c r="R408" i="5"/>
  <c r="AL407" i="5"/>
  <c r="AL406" i="5"/>
  <c r="V406" i="5"/>
  <c r="AS401" i="5"/>
  <c r="AB400" i="5"/>
  <c r="Z395" i="5"/>
  <c r="AC391" i="5"/>
  <c r="AC389" i="5"/>
  <c r="AS389" i="5"/>
  <c r="AR387" i="5"/>
  <c r="AH385" i="5"/>
  <c r="AO385" i="5"/>
  <c r="J385" i="5"/>
  <c r="R383" i="5"/>
  <c r="AN352" i="5"/>
  <c r="AB396" i="5"/>
  <c r="R394" i="5"/>
  <c r="AL391" i="5"/>
  <c r="AB388" i="5"/>
  <c r="AN385" i="5"/>
  <c r="AC381" i="5"/>
  <c r="Z378" i="5"/>
  <c r="AO377" i="5"/>
  <c r="AL371" i="5"/>
  <c r="Z370" i="5"/>
  <c r="V369" i="5"/>
  <c r="AO368" i="5"/>
  <c r="AC365" i="5"/>
  <c r="V364" i="5"/>
  <c r="AB363" i="5"/>
  <c r="V358" i="5"/>
  <c r="V357" i="5"/>
  <c r="AL356" i="5"/>
  <c r="R356" i="5"/>
  <c r="Z354" i="5"/>
  <c r="V353" i="5"/>
  <c r="V352" i="5"/>
  <c r="AR351" i="5"/>
  <c r="AO348" i="5"/>
  <c r="AN346" i="5"/>
  <c r="Z346" i="5"/>
  <c r="V345" i="5"/>
  <c r="V344" i="5"/>
  <c r="AL343" i="5"/>
  <c r="AN342" i="5"/>
  <c r="Z342" i="5"/>
  <c r="V341" i="5"/>
  <c r="AL340" i="5"/>
  <c r="AN338" i="5"/>
  <c r="AR338" i="5"/>
  <c r="V337" i="5"/>
  <c r="AL335" i="5"/>
  <c r="AR333" i="5"/>
  <c r="AN386" i="5"/>
  <c r="AB384" i="5"/>
  <c r="J384" i="5"/>
  <c r="Z382" i="5"/>
  <c r="AR378" i="5"/>
  <c r="AL375" i="5"/>
  <c r="R373" i="5"/>
  <c r="AR370" i="5"/>
  <c r="AL369" i="5"/>
  <c r="AL366" i="5"/>
  <c r="AR365" i="5"/>
  <c r="AS359" i="5"/>
  <c r="AL351" i="5"/>
  <c r="R349" i="5"/>
  <c r="AO340" i="5"/>
  <c r="AL339" i="5"/>
  <c r="AL334" i="5"/>
  <c r="AO352" i="5"/>
  <c r="V338" i="5"/>
  <c r="R337" i="5"/>
  <c r="AR383" i="5"/>
  <c r="AO376" i="5"/>
  <c r="AN371" i="5"/>
  <c r="J368" i="5"/>
  <c r="AO364" i="5"/>
  <c r="AO361" i="5"/>
  <c r="AC361" i="5"/>
  <c r="AB358" i="5"/>
  <c r="R351" i="5"/>
  <c r="AN343" i="5"/>
  <c r="R343" i="5"/>
  <c r="AN335" i="5"/>
  <c r="AR386" i="5"/>
  <c r="AO380" i="5"/>
  <c r="AN375" i="5"/>
  <c r="AB372" i="5"/>
  <c r="Z371" i="5"/>
  <c r="AR367" i="5"/>
  <c r="AH365" i="5"/>
  <c r="AN364" i="5"/>
  <c r="AR361" i="5"/>
  <c r="AR358" i="5"/>
  <c r="AN357" i="5"/>
  <c r="AN351" i="5"/>
  <c r="AB349" i="5"/>
  <c r="Z343" i="5"/>
  <c r="AN339" i="5"/>
  <c r="R339" i="5"/>
  <c r="AR409" i="5"/>
  <c r="J406" i="5"/>
  <c r="AN405" i="5"/>
  <c r="AN404" i="5"/>
  <c r="R397" i="5"/>
  <c r="AO396" i="5"/>
  <c r="AR394" i="5"/>
  <c r="V392" i="5"/>
  <c r="R389" i="5"/>
  <c r="AO388" i="5"/>
  <c r="AL386" i="5"/>
  <c r="R382" i="5"/>
  <c r="AH381" i="5"/>
  <c r="AN379" i="5"/>
  <c r="AN377" i="5"/>
  <c r="AC373" i="5"/>
  <c r="J372" i="5"/>
  <c r="V368" i="5"/>
  <c r="V362" i="5"/>
  <c r="V361" i="5"/>
  <c r="AL360" i="5"/>
  <c r="R360" i="5"/>
  <c r="AO358" i="5"/>
  <c r="AS357" i="5"/>
  <c r="J357" i="5"/>
  <c r="AR355" i="5"/>
  <c r="AR354" i="5"/>
  <c r="AS351" i="5"/>
  <c r="AC349" i="5"/>
  <c r="J344" i="5"/>
  <c r="AB336" i="5"/>
  <c r="J336" i="5"/>
  <c r="Z374" i="5"/>
  <c r="AL367" i="5"/>
  <c r="AH362" i="5"/>
  <c r="R362" i="5"/>
  <c r="AL355" i="5"/>
  <c r="J352" i="5"/>
  <c r="J340" i="5"/>
  <c r="Z334" i="5"/>
  <c r="AB333" i="5"/>
  <c r="AR591" i="5"/>
  <c r="AN591" i="5"/>
  <c r="AH627" i="5"/>
  <c r="J627" i="5"/>
  <c r="AB626" i="5"/>
  <c r="AR625" i="5"/>
  <c r="AS624" i="5"/>
  <c r="AS622" i="5"/>
  <c r="AC620" i="5"/>
  <c r="AO619" i="5"/>
  <c r="J619" i="5"/>
  <c r="AH616" i="5"/>
  <c r="Z604" i="5"/>
  <c r="AR595" i="5"/>
  <c r="AN595" i="5"/>
  <c r="AR590" i="5"/>
  <c r="AC589" i="5"/>
  <c r="AS589" i="5"/>
  <c r="AH575" i="5"/>
  <c r="AR574" i="5"/>
  <c r="AL568" i="5"/>
  <c r="AR567" i="5"/>
  <c r="AB535" i="5"/>
  <c r="AR535" i="5"/>
  <c r="AS607" i="5"/>
  <c r="AN574" i="5"/>
  <c r="AB563" i="5"/>
  <c r="Z626" i="5"/>
  <c r="AC621" i="5"/>
  <c r="AS621" i="5"/>
  <c r="AS608" i="5"/>
  <c r="Z608" i="5"/>
  <c r="AR599" i="5"/>
  <c r="AN599" i="5"/>
  <c r="AC593" i="5"/>
  <c r="AS593" i="5"/>
  <c r="AH588" i="5"/>
  <c r="AO587" i="5"/>
  <c r="J587" i="5"/>
  <c r="AS580" i="5"/>
  <c r="AR575" i="5"/>
  <c r="AN575" i="5"/>
  <c r="AC573" i="5"/>
  <c r="AS573" i="5"/>
  <c r="Z566" i="5"/>
  <c r="AB566" i="5"/>
  <c r="AR566" i="5"/>
  <c r="AC585" i="5"/>
  <c r="AS585" i="5"/>
  <c r="Z630" i="5"/>
  <c r="AR629" i="5"/>
  <c r="Z628" i="5"/>
  <c r="AC622" i="5"/>
  <c r="AS612" i="5"/>
  <c r="Z612" i="5"/>
  <c r="V611" i="5"/>
  <c r="R609" i="5"/>
  <c r="AH607" i="5"/>
  <c r="AN606" i="5"/>
  <c r="AB606" i="5"/>
  <c r="J606" i="5"/>
  <c r="AR603" i="5"/>
  <c r="AN603" i="5"/>
  <c r="AC597" i="5"/>
  <c r="AS597" i="5"/>
  <c r="AH592" i="5"/>
  <c r="AO591" i="5"/>
  <c r="J591" i="5"/>
  <c r="AL589" i="5"/>
  <c r="AS584" i="5"/>
  <c r="Z584" i="5"/>
  <c r="V583" i="5"/>
  <c r="R581" i="5"/>
  <c r="AH579" i="5"/>
  <c r="AN578" i="5"/>
  <c r="AB578" i="5"/>
  <c r="J578" i="5"/>
  <c r="AB547" i="5"/>
  <c r="AR547" i="5"/>
  <c r="AR596" i="5"/>
  <c r="AN563" i="5"/>
  <c r="AN630" i="5"/>
  <c r="J629" i="5"/>
  <c r="AN628" i="5"/>
  <c r="J631" i="5"/>
  <c r="AB630" i="5"/>
  <c r="AS629" i="5"/>
  <c r="AO627" i="5"/>
  <c r="AC627" i="5"/>
  <c r="AH626" i="5"/>
  <c r="AC624" i="5"/>
  <c r="AO623" i="5"/>
  <c r="AR607" i="5"/>
  <c r="AN607" i="5"/>
  <c r="AC601" i="5"/>
  <c r="AS601" i="5"/>
  <c r="AH583" i="5"/>
  <c r="AN582" i="5"/>
  <c r="AB582" i="5"/>
  <c r="J582" i="5"/>
  <c r="AR579" i="5"/>
  <c r="AN579" i="5"/>
  <c r="J575" i="5"/>
  <c r="AC570" i="5"/>
  <c r="Z570" i="5"/>
  <c r="AS570" i="5"/>
  <c r="AR569" i="5"/>
  <c r="AH569" i="5"/>
  <c r="AN569" i="5"/>
  <c r="AR564" i="5"/>
  <c r="AN564" i="5"/>
  <c r="AO562" i="5"/>
  <c r="AH562" i="5"/>
  <c r="AS623" i="5"/>
  <c r="AR611" i="5"/>
  <c r="AN611" i="5"/>
  <c r="AR606" i="5"/>
  <c r="AC605" i="5"/>
  <c r="AS605" i="5"/>
  <c r="AS588" i="5"/>
  <c r="AR583" i="5"/>
  <c r="AN583" i="5"/>
  <c r="AC577" i="5"/>
  <c r="AS577" i="5"/>
  <c r="AS572" i="5"/>
  <c r="AB570" i="5"/>
  <c r="AR570" i="5"/>
  <c r="J569" i="5"/>
  <c r="AS569" i="5"/>
  <c r="AN562" i="5"/>
  <c r="AR562" i="5"/>
  <c r="AC617" i="5"/>
  <c r="AS617" i="5"/>
  <c r="AB628" i="5"/>
  <c r="AR627" i="5"/>
  <c r="AR631" i="5"/>
  <c r="AC623" i="5"/>
  <c r="AO621" i="5"/>
  <c r="AH621" i="5"/>
  <c r="AR615" i="5"/>
  <c r="AN615" i="5"/>
  <c r="AR610" i="5"/>
  <c r="AC609" i="5"/>
  <c r="AS609" i="5"/>
  <c r="AS592" i="5"/>
  <c r="AR582" i="5"/>
  <c r="AC581" i="5"/>
  <c r="AS581" i="5"/>
  <c r="Z572" i="5"/>
  <c r="AB572" i="5"/>
  <c r="AH571" i="5"/>
  <c r="AN571" i="5"/>
  <c r="J571" i="5"/>
  <c r="AS571" i="5"/>
  <c r="AB569" i="5"/>
  <c r="AS568" i="5"/>
  <c r="Z568" i="5"/>
  <c r="AC568" i="5"/>
  <c r="AH561" i="5"/>
  <c r="AO561" i="5"/>
  <c r="AC579" i="5"/>
  <c r="AO631" i="5"/>
  <c r="AC631" i="5"/>
  <c r="AB629" i="5"/>
  <c r="AS628" i="5"/>
  <c r="AS626" i="5"/>
  <c r="AH625" i="5"/>
  <c r="Z631" i="5"/>
  <c r="J630" i="5"/>
  <c r="AC629" i="5"/>
  <c r="AS627" i="5"/>
  <c r="R621" i="5"/>
  <c r="AS620" i="5"/>
  <c r="AR619" i="5"/>
  <c r="Z617" i="5"/>
  <c r="AR614" i="5"/>
  <c r="AC613" i="5"/>
  <c r="AS613" i="5"/>
  <c r="AH608" i="5"/>
  <c r="AO607" i="5"/>
  <c r="J607" i="5"/>
  <c r="AL605" i="5"/>
  <c r="AS596" i="5"/>
  <c r="Z596" i="5"/>
  <c r="V595" i="5"/>
  <c r="R593" i="5"/>
  <c r="AH591" i="5"/>
  <c r="AN590" i="5"/>
  <c r="AB590" i="5"/>
  <c r="J590" i="5"/>
  <c r="AR587" i="5"/>
  <c r="AN587" i="5"/>
  <c r="Z585" i="5"/>
  <c r="AH580" i="5"/>
  <c r="AO579" i="5"/>
  <c r="J579" i="5"/>
  <c r="AL577" i="5"/>
  <c r="V575" i="5"/>
  <c r="AB574" i="5"/>
  <c r="J574" i="5"/>
  <c r="R573" i="5"/>
  <c r="AB571" i="5"/>
  <c r="AO569" i="5"/>
  <c r="AR554" i="5"/>
  <c r="AN554" i="5"/>
  <c r="AR553" i="5"/>
  <c r="AB551" i="5"/>
  <c r="AR551" i="5"/>
  <c r="AR538" i="5"/>
  <c r="AN538" i="5"/>
  <c r="AC619" i="5"/>
  <c r="Z618" i="5"/>
  <c r="AH617" i="5"/>
  <c r="AC615" i="5"/>
  <c r="Z614" i="5"/>
  <c r="AH613" i="5"/>
  <c r="AC611" i="5"/>
  <c r="Z610" i="5"/>
  <c r="AH609" i="5"/>
  <c r="AC607" i="5"/>
  <c r="Z606" i="5"/>
  <c r="AH605" i="5"/>
  <c r="AC603" i="5"/>
  <c r="Z602" i="5"/>
  <c r="AH601" i="5"/>
  <c r="AC599" i="5"/>
  <c r="Z598" i="5"/>
  <c r="AH597" i="5"/>
  <c r="AC595" i="5"/>
  <c r="Z594" i="5"/>
  <c r="AH593" i="5"/>
  <c r="AC591" i="5"/>
  <c r="Z590" i="5"/>
  <c r="AH589" i="5"/>
  <c r="AC587" i="5"/>
  <c r="Z586" i="5"/>
  <c r="AH585" i="5"/>
  <c r="AC583" i="5"/>
  <c r="Z582" i="5"/>
  <c r="AH581" i="5"/>
  <c r="Z578" i="5"/>
  <c r="AH577" i="5"/>
  <c r="Z574" i="5"/>
  <c r="AH573" i="5"/>
  <c r="AH570" i="5"/>
  <c r="AC569" i="5"/>
  <c r="AH568" i="5"/>
  <c r="J568" i="5"/>
  <c r="AB567" i="5"/>
  <c r="AS566" i="5"/>
  <c r="AO564" i="5"/>
  <c r="AC564" i="5"/>
  <c r="AR563" i="5"/>
  <c r="AC563" i="5"/>
  <c r="AS562" i="5"/>
  <c r="Z562" i="5"/>
  <c r="AH558" i="5"/>
  <c r="Z555" i="5"/>
  <c r="J541" i="5"/>
  <c r="AN561" i="5"/>
  <c r="AC561" i="5"/>
  <c r="AR558" i="5"/>
  <c r="AN558" i="5"/>
  <c r="AR557" i="5"/>
  <c r="AB555" i="5"/>
  <c r="AR555" i="5"/>
  <c r="AH542" i="5"/>
  <c r="Z539" i="5"/>
  <c r="R536" i="5"/>
  <c r="AC616" i="5"/>
  <c r="AC612" i="5"/>
  <c r="AC608" i="5"/>
  <c r="AC604" i="5"/>
  <c r="AC600" i="5"/>
  <c r="AC596" i="5"/>
  <c r="AC592" i="5"/>
  <c r="AC588" i="5"/>
  <c r="AC584" i="5"/>
  <c r="AC580" i="5"/>
  <c r="AC576" i="5"/>
  <c r="Z571" i="5"/>
  <c r="R566" i="5"/>
  <c r="Z561" i="5"/>
  <c r="V560" i="5"/>
  <c r="Z559" i="5"/>
  <c r="R552" i="5"/>
  <c r="AR542" i="5"/>
  <c r="AN542" i="5"/>
  <c r="AB539" i="5"/>
  <c r="AR539" i="5"/>
  <c r="R570" i="5"/>
  <c r="AO568" i="5"/>
  <c r="AS565" i="5"/>
  <c r="AS564" i="5"/>
  <c r="J564" i="5"/>
  <c r="AL562" i="5"/>
  <c r="AB561" i="5"/>
  <c r="AH560" i="5"/>
  <c r="AB559" i="5"/>
  <c r="AR559" i="5"/>
  <c r="AS579" i="5"/>
  <c r="AS575" i="5"/>
  <c r="AN560" i="5"/>
  <c r="AR560" i="5"/>
  <c r="R556" i="5"/>
  <c r="AH550" i="5"/>
  <c r="AR546" i="5"/>
  <c r="AN546" i="5"/>
  <c r="AR545" i="5"/>
  <c r="AB543" i="5"/>
  <c r="AR543" i="5"/>
  <c r="J537" i="5"/>
  <c r="J567" i="5"/>
  <c r="AH564" i="5"/>
  <c r="V564" i="5"/>
  <c r="J563" i="5"/>
  <c r="J553" i="5"/>
  <c r="AR550" i="5"/>
  <c r="AN550" i="5"/>
  <c r="AR549" i="5"/>
  <c r="Z547" i="5"/>
  <c r="R540" i="5"/>
  <c r="Z535" i="5"/>
  <c r="AO558" i="5"/>
  <c r="AB557" i="5"/>
  <c r="AO554" i="5"/>
  <c r="AB553" i="5"/>
  <c r="AO550" i="5"/>
  <c r="AB549" i="5"/>
  <c r="AO546" i="5"/>
  <c r="AB545" i="5"/>
  <c r="AO542" i="5"/>
  <c r="AB541" i="5"/>
  <c r="AO538" i="5"/>
  <c r="AB537" i="5"/>
  <c r="AO534" i="5"/>
  <c r="Z533" i="5"/>
  <c r="AN531" i="5"/>
  <c r="AB531" i="5"/>
  <c r="AC530" i="5"/>
  <c r="AS530" i="5"/>
  <c r="V528" i="5"/>
  <c r="V526" i="5"/>
  <c r="V522" i="5"/>
  <c r="V518" i="5"/>
  <c r="V514" i="5"/>
  <c r="AC558" i="5"/>
  <c r="AC554" i="5"/>
  <c r="AC550" i="5"/>
  <c r="AC546" i="5"/>
  <c r="Z545" i="5"/>
  <c r="AH544" i="5"/>
  <c r="AC542" i="5"/>
  <c r="Z541" i="5"/>
  <c r="AS540" i="5"/>
  <c r="AH540" i="5"/>
  <c r="AC538" i="5"/>
  <c r="Z537" i="5"/>
  <c r="AS536" i="5"/>
  <c r="AH536" i="5"/>
  <c r="AN534" i="5"/>
  <c r="AC534" i="5"/>
  <c r="AO532" i="5"/>
  <c r="AS532" i="5"/>
  <c r="Z532" i="5"/>
  <c r="AB529" i="5"/>
  <c r="AR556" i="5"/>
  <c r="AR552" i="5"/>
  <c r="AR548" i="5"/>
  <c r="AN532" i="5"/>
  <c r="AB532" i="5"/>
  <c r="V530" i="5"/>
  <c r="Z529" i="5"/>
  <c r="AL524" i="5"/>
  <c r="AL520" i="5"/>
  <c r="AL516" i="5"/>
  <c r="J556" i="5"/>
  <c r="J552" i="5"/>
  <c r="J544" i="5"/>
  <c r="J540" i="5"/>
  <c r="J536" i="5"/>
  <c r="J531" i="5"/>
  <c r="AH531" i="5"/>
  <c r="AS531" i="5"/>
  <c r="AR528" i="5"/>
  <c r="AN528" i="5"/>
  <c r="AC526" i="5"/>
  <c r="J526" i="5"/>
  <c r="AS526" i="5"/>
  <c r="AC522" i="5"/>
  <c r="J522" i="5"/>
  <c r="AS522" i="5"/>
  <c r="AC518" i="5"/>
  <c r="J518" i="5"/>
  <c r="AS518" i="5"/>
  <c r="AH532" i="5"/>
  <c r="AO527" i="5"/>
  <c r="AH527" i="5"/>
  <c r="AS527" i="5"/>
  <c r="AO526" i="5"/>
  <c r="AO522" i="5"/>
  <c r="AO518" i="5"/>
  <c r="AS528" i="5"/>
  <c r="Z528" i="5"/>
  <c r="AC528" i="5"/>
  <c r="J528" i="5"/>
  <c r="AS524" i="5"/>
  <c r="Z524" i="5"/>
  <c r="AC524" i="5"/>
  <c r="AO523" i="5"/>
  <c r="AH523" i="5"/>
  <c r="AS523" i="5"/>
  <c r="AS520" i="5"/>
  <c r="Z520" i="5"/>
  <c r="AC520" i="5"/>
  <c r="AO519" i="5"/>
  <c r="AH519" i="5"/>
  <c r="AS519" i="5"/>
  <c r="AS516" i="5"/>
  <c r="Z516" i="5"/>
  <c r="AC516" i="5"/>
  <c r="AO515" i="5"/>
  <c r="AH515" i="5"/>
  <c r="AS515" i="5"/>
  <c r="AO531" i="5"/>
  <c r="AC531" i="5"/>
  <c r="J530" i="5"/>
  <c r="AS501" i="5"/>
  <c r="AR497" i="5"/>
  <c r="Z496" i="5"/>
  <c r="AS492" i="5"/>
  <c r="AR491" i="5"/>
  <c r="AR489" i="5"/>
  <c r="AB489" i="5"/>
  <c r="Z479" i="5"/>
  <c r="Z467" i="5"/>
  <c r="J464" i="5"/>
  <c r="AB464" i="5"/>
  <c r="Z463" i="5"/>
  <c r="AB463" i="5"/>
  <c r="AR463" i="5"/>
  <c r="AO524" i="5"/>
  <c r="AO520" i="5"/>
  <c r="AO516" i="5"/>
  <c r="AO512" i="5"/>
  <c r="AO508" i="5"/>
  <c r="AO504" i="5"/>
  <c r="AO495" i="5"/>
  <c r="AH494" i="5"/>
  <c r="AO493" i="5"/>
  <c r="AH491" i="5"/>
  <c r="V491" i="5"/>
  <c r="AH486" i="5"/>
  <c r="R480" i="5"/>
  <c r="AB479" i="5"/>
  <c r="AR479" i="5"/>
  <c r="AH474" i="5"/>
  <c r="R468" i="5"/>
  <c r="AB467" i="5"/>
  <c r="AR467" i="5"/>
  <c r="V466" i="5"/>
  <c r="AB431" i="5"/>
  <c r="AC429" i="5"/>
  <c r="Z429" i="5"/>
  <c r="AS429" i="5"/>
  <c r="AN524" i="5"/>
  <c r="AN520" i="5"/>
  <c r="AN516" i="5"/>
  <c r="AS514" i="5"/>
  <c r="AN512" i="5"/>
  <c r="AC512" i="5"/>
  <c r="AS510" i="5"/>
  <c r="AN508" i="5"/>
  <c r="AC508" i="5"/>
  <c r="AS506" i="5"/>
  <c r="AN504" i="5"/>
  <c r="AC504" i="5"/>
  <c r="AO499" i="5"/>
  <c r="AS494" i="5"/>
  <c r="AR486" i="5"/>
  <c r="AN486" i="5"/>
  <c r="AR474" i="5"/>
  <c r="AN474" i="5"/>
  <c r="AB432" i="5"/>
  <c r="AR432" i="5"/>
  <c r="AO501" i="5"/>
  <c r="AC501" i="5"/>
  <c r="AS500" i="5"/>
  <c r="AH500" i="5"/>
  <c r="AC499" i="5"/>
  <c r="J498" i="5"/>
  <c r="Z497" i="5"/>
  <c r="AR496" i="5"/>
  <c r="AN490" i="5"/>
  <c r="AC529" i="5"/>
  <c r="AC525" i="5"/>
  <c r="AC521" i="5"/>
  <c r="AC517" i="5"/>
  <c r="J514" i="5"/>
  <c r="AC513" i="5"/>
  <c r="Z512" i="5"/>
  <c r="AS511" i="5"/>
  <c r="AH511" i="5"/>
  <c r="J510" i="5"/>
  <c r="AC509" i="5"/>
  <c r="Z508" i="5"/>
  <c r="AS507" i="5"/>
  <c r="AH507" i="5"/>
  <c r="J506" i="5"/>
  <c r="AC505" i="5"/>
  <c r="Z504" i="5"/>
  <c r="AS503" i="5"/>
  <c r="AH503" i="5"/>
  <c r="AR500" i="5"/>
  <c r="J500" i="5"/>
  <c r="AB499" i="5"/>
  <c r="AR498" i="5"/>
  <c r="AL497" i="5"/>
  <c r="AC494" i="5"/>
  <c r="AB493" i="5"/>
  <c r="AB490" i="5"/>
  <c r="AR482" i="5"/>
  <c r="AN482" i="5"/>
  <c r="AB475" i="5"/>
  <c r="AR475" i="5"/>
  <c r="AR470" i="5"/>
  <c r="AN470" i="5"/>
  <c r="R488" i="5"/>
  <c r="AB487" i="5"/>
  <c r="AR487" i="5"/>
  <c r="AH466" i="5"/>
  <c r="AB501" i="5"/>
  <c r="AR495" i="5"/>
  <c r="J493" i="5"/>
  <c r="J492" i="5"/>
  <c r="AB491" i="5"/>
  <c r="AH490" i="5"/>
  <c r="Z483" i="5"/>
  <c r="AH478" i="5"/>
  <c r="AR466" i="5"/>
  <c r="AN466" i="5"/>
  <c r="J466" i="5"/>
  <c r="AC466" i="5"/>
  <c r="AH464" i="5"/>
  <c r="AN464" i="5"/>
  <c r="AP464" i="5" s="1"/>
  <c r="Z460" i="5"/>
  <c r="AC460" i="5"/>
  <c r="AS460" i="5"/>
  <c r="AB483" i="5"/>
  <c r="AR483" i="5"/>
  <c r="AR478" i="5"/>
  <c r="AN478" i="5"/>
  <c r="AB471" i="5"/>
  <c r="AR471" i="5"/>
  <c r="AS466" i="5"/>
  <c r="AB456" i="5"/>
  <c r="AR456" i="5"/>
  <c r="AO490" i="5"/>
  <c r="AO486" i="5"/>
  <c r="AB485" i="5"/>
  <c r="AO482" i="5"/>
  <c r="AB481" i="5"/>
  <c r="AO478" i="5"/>
  <c r="AB477" i="5"/>
  <c r="AO474" i="5"/>
  <c r="AB473" i="5"/>
  <c r="AO470" i="5"/>
  <c r="AB469" i="5"/>
  <c r="AO466" i="5"/>
  <c r="AH463" i="5"/>
  <c r="AL462" i="5"/>
  <c r="AB460" i="5"/>
  <c r="AR460" i="5"/>
  <c r="AH459" i="5"/>
  <c r="AS459" i="5"/>
  <c r="AO459" i="5"/>
  <c r="AB452" i="5"/>
  <c r="AR452" i="5"/>
  <c r="AB448" i="5"/>
  <c r="AR448" i="5"/>
  <c r="R445" i="5"/>
  <c r="J442" i="5"/>
  <c r="AR439" i="5"/>
  <c r="AN439" i="5"/>
  <c r="AB436" i="5"/>
  <c r="AR436" i="5"/>
  <c r="AR431" i="5"/>
  <c r="AB427" i="5"/>
  <c r="AN427" i="5"/>
  <c r="AR427" i="5"/>
  <c r="AR462" i="5"/>
  <c r="AB462" i="5"/>
  <c r="AR488" i="5"/>
  <c r="AB486" i="5"/>
  <c r="AR484" i="5"/>
  <c r="AB482" i="5"/>
  <c r="AR480" i="5"/>
  <c r="AB478" i="5"/>
  <c r="AR476" i="5"/>
  <c r="AB474" i="5"/>
  <c r="AR472" i="5"/>
  <c r="AB470" i="5"/>
  <c r="AR468" i="5"/>
  <c r="Z466" i="5"/>
  <c r="AR465" i="5"/>
  <c r="J465" i="5"/>
  <c r="V462" i="5"/>
  <c r="AN458" i="5"/>
  <c r="J458" i="5"/>
  <c r="R453" i="5"/>
  <c r="R449" i="5"/>
  <c r="J446" i="5"/>
  <c r="AH443" i="5"/>
  <c r="AR442" i="5"/>
  <c r="AR459" i="5"/>
  <c r="AR443" i="5"/>
  <c r="AN443" i="5"/>
  <c r="AB440" i="5"/>
  <c r="AR440" i="5"/>
  <c r="R437" i="5"/>
  <c r="J434" i="5"/>
  <c r="AS462" i="5"/>
  <c r="AR458" i="5"/>
  <c r="AH447" i="5"/>
  <c r="AR446" i="5"/>
  <c r="AR464" i="5"/>
  <c r="AR455" i="5"/>
  <c r="AN455" i="5"/>
  <c r="AR454" i="5"/>
  <c r="AH451" i="5"/>
  <c r="AR450" i="5"/>
  <c r="AR447" i="5"/>
  <c r="AN447" i="5"/>
  <c r="AB444" i="5"/>
  <c r="AR444" i="5"/>
  <c r="J438" i="5"/>
  <c r="AH435" i="5"/>
  <c r="AR434" i="5"/>
  <c r="AN431" i="5"/>
  <c r="V464" i="5"/>
  <c r="Z456" i="5"/>
  <c r="AR451" i="5"/>
  <c r="AN451" i="5"/>
  <c r="R441" i="5"/>
  <c r="AR435" i="5"/>
  <c r="AN435" i="5"/>
  <c r="Z432" i="5"/>
  <c r="J431" i="5"/>
  <c r="AB458" i="5"/>
  <c r="AO455" i="5"/>
  <c r="AB454" i="5"/>
  <c r="AO451" i="5"/>
  <c r="AB450" i="5"/>
  <c r="AO447" i="5"/>
  <c r="AB446" i="5"/>
  <c r="AO443" i="5"/>
  <c r="AB442" i="5"/>
  <c r="AO439" i="5"/>
  <c r="AB438" i="5"/>
  <c r="AO435" i="5"/>
  <c r="AB434" i="5"/>
  <c r="J432" i="5"/>
  <c r="AC431" i="5"/>
  <c r="AH430" i="5"/>
  <c r="J430" i="5"/>
  <c r="AO426" i="5"/>
  <c r="AB455" i="5"/>
  <c r="AB451" i="5"/>
  <c r="AB447" i="5"/>
  <c r="AB443" i="5"/>
  <c r="AB439" i="5"/>
  <c r="AB435" i="5"/>
  <c r="AH429" i="5"/>
  <c r="J426" i="5"/>
  <c r="AS458" i="5"/>
  <c r="AC456" i="5"/>
  <c r="AS454" i="5"/>
  <c r="AC452" i="5"/>
  <c r="AS450" i="5"/>
  <c r="AC448" i="5"/>
  <c r="AS446" i="5"/>
  <c r="AC444" i="5"/>
  <c r="AS442" i="5"/>
  <c r="AC440" i="5"/>
  <c r="AS438" i="5"/>
  <c r="AC436" i="5"/>
  <c r="AS434" i="5"/>
  <c r="AC432" i="5"/>
  <c r="AO430" i="5"/>
  <c r="AS431" i="5"/>
  <c r="AR428" i="5"/>
  <c r="AO427" i="5"/>
  <c r="AS427" i="5"/>
  <c r="Z427" i="5"/>
  <c r="J422" i="5"/>
  <c r="AS455" i="5"/>
  <c r="AS451" i="5"/>
  <c r="AS447" i="5"/>
  <c r="AS443" i="5"/>
  <c r="AS439" i="5"/>
  <c r="AS435" i="5"/>
  <c r="J425" i="5"/>
  <c r="AS425" i="5"/>
  <c r="AS422" i="5"/>
  <c r="AS430" i="5"/>
  <c r="AO428" i="5"/>
  <c r="Z428" i="5"/>
  <c r="AC428" i="5"/>
  <c r="AS428" i="5"/>
  <c r="Z424" i="5"/>
  <c r="AC424" i="5"/>
  <c r="AS424" i="5"/>
  <c r="AH423" i="5"/>
  <c r="AO423" i="5"/>
  <c r="AH403" i="5"/>
  <c r="AS403" i="5"/>
  <c r="AO403" i="5"/>
  <c r="J402" i="5"/>
  <c r="AC402" i="5"/>
  <c r="AH371" i="5"/>
  <c r="AS371" i="5"/>
  <c r="AO371" i="5"/>
  <c r="AN368" i="5"/>
  <c r="AR368" i="5"/>
  <c r="AH367" i="5"/>
  <c r="AO367" i="5"/>
  <c r="J427" i="5"/>
  <c r="AC426" i="5"/>
  <c r="Z425" i="5"/>
  <c r="AH424" i="5"/>
  <c r="J423" i="5"/>
  <c r="AC422" i="5"/>
  <c r="Z421" i="5"/>
  <c r="AS420" i="5"/>
  <c r="AH420" i="5"/>
  <c r="J419" i="5"/>
  <c r="AC418" i="5"/>
  <c r="Z417" i="5"/>
  <c r="AS416" i="5"/>
  <c r="AH416" i="5"/>
  <c r="J415" i="5"/>
  <c r="AC414" i="5"/>
  <c r="Z413" i="5"/>
  <c r="AS412" i="5"/>
  <c r="AH412" i="5"/>
  <c r="J411" i="5"/>
  <c r="AC410" i="5"/>
  <c r="Z409" i="5"/>
  <c r="AS408" i="5"/>
  <c r="AH408" i="5"/>
  <c r="J407" i="5"/>
  <c r="AC406" i="5"/>
  <c r="Z405" i="5"/>
  <c r="AH404" i="5"/>
  <c r="AL400" i="5"/>
  <c r="V382" i="5"/>
  <c r="AL380" i="5"/>
  <c r="J374" i="5"/>
  <c r="AS374" i="5"/>
  <c r="AC374" i="5"/>
  <c r="Z372" i="5"/>
  <c r="AC372" i="5"/>
  <c r="AS372" i="5"/>
  <c r="V370" i="5"/>
  <c r="AR424" i="5"/>
  <c r="AR420" i="5"/>
  <c r="AO419" i="5"/>
  <c r="AR416" i="5"/>
  <c r="AO415" i="5"/>
  <c r="AR412" i="5"/>
  <c r="AO411" i="5"/>
  <c r="AR408" i="5"/>
  <c r="AO407" i="5"/>
  <c r="AR404" i="5"/>
  <c r="AR402" i="5"/>
  <c r="AB402" i="5"/>
  <c r="AL396" i="5"/>
  <c r="AH383" i="5"/>
  <c r="AS383" i="5"/>
  <c r="AO383" i="5"/>
  <c r="AH347" i="5"/>
  <c r="AO347" i="5"/>
  <c r="AC423" i="5"/>
  <c r="AS421" i="5"/>
  <c r="AC419" i="5"/>
  <c r="AS417" i="5"/>
  <c r="AC415" i="5"/>
  <c r="AS413" i="5"/>
  <c r="AC411" i="5"/>
  <c r="AS409" i="5"/>
  <c r="AC407" i="5"/>
  <c r="AS405" i="5"/>
  <c r="AR403" i="5"/>
  <c r="J398" i="5"/>
  <c r="AS398" i="5"/>
  <c r="AC398" i="5"/>
  <c r="J386" i="5"/>
  <c r="AS386" i="5"/>
  <c r="AC386" i="5"/>
  <c r="Z384" i="5"/>
  <c r="AC384" i="5"/>
  <c r="AS384" i="5"/>
  <c r="V378" i="5"/>
  <c r="AL376" i="5"/>
  <c r="AO374" i="5"/>
  <c r="J369" i="5"/>
  <c r="AC369" i="5"/>
  <c r="AO369" i="5"/>
  <c r="AS369" i="5"/>
  <c r="AN400" i="5"/>
  <c r="AH400" i="5"/>
  <c r="AO398" i="5"/>
  <c r="J394" i="5"/>
  <c r="AS394" i="5"/>
  <c r="AC394" i="5"/>
  <c r="J390" i="5"/>
  <c r="AS390" i="5"/>
  <c r="AC390" i="5"/>
  <c r="AH379" i="5"/>
  <c r="AS379" i="5"/>
  <c r="AO379" i="5"/>
  <c r="AP379" i="5" s="1"/>
  <c r="AN370" i="5"/>
  <c r="AH339" i="5"/>
  <c r="AO339" i="5"/>
  <c r="Z423" i="5"/>
  <c r="AC420" i="5"/>
  <c r="Z419" i="5"/>
  <c r="AC416" i="5"/>
  <c r="Z415" i="5"/>
  <c r="AC412" i="5"/>
  <c r="Z411" i="5"/>
  <c r="AC408" i="5"/>
  <c r="Z407" i="5"/>
  <c r="AB403" i="5"/>
  <c r="Z400" i="5"/>
  <c r="AC400" i="5"/>
  <c r="AS400" i="5"/>
  <c r="AH399" i="5"/>
  <c r="AS399" i="5"/>
  <c r="AO399" i="5"/>
  <c r="AO394" i="5"/>
  <c r="AO390" i="5"/>
  <c r="AO386" i="5"/>
  <c r="J382" i="5"/>
  <c r="AS382" i="5"/>
  <c r="AC382" i="5"/>
  <c r="Z380" i="5"/>
  <c r="AC380" i="5"/>
  <c r="AS380" i="5"/>
  <c r="V374" i="5"/>
  <c r="AL372" i="5"/>
  <c r="J370" i="5"/>
  <c r="AR401" i="5"/>
  <c r="Z401" i="5"/>
  <c r="Z396" i="5"/>
  <c r="AC396" i="5"/>
  <c r="AS396" i="5"/>
  <c r="AH395" i="5"/>
  <c r="AS395" i="5"/>
  <c r="AO395" i="5"/>
  <c r="Z392" i="5"/>
  <c r="AC392" i="5"/>
  <c r="AS392" i="5"/>
  <c r="AH391" i="5"/>
  <c r="AS391" i="5"/>
  <c r="AO391" i="5"/>
  <c r="Z388" i="5"/>
  <c r="AC388" i="5"/>
  <c r="AS388" i="5"/>
  <c r="AH387" i="5"/>
  <c r="AS387" i="5"/>
  <c r="AO387" i="5"/>
  <c r="AH375" i="5"/>
  <c r="AS375" i="5"/>
  <c r="AO375" i="5"/>
  <c r="Z364" i="5"/>
  <c r="AC364" i="5"/>
  <c r="AS364" i="5"/>
  <c r="J354" i="5"/>
  <c r="AS354" i="5"/>
  <c r="AC354" i="5"/>
  <c r="Z404" i="5"/>
  <c r="AS402" i="5"/>
  <c r="V398" i="5"/>
  <c r="V386" i="5"/>
  <c r="AL384" i="5"/>
  <c r="AO382" i="5"/>
  <c r="J378" i="5"/>
  <c r="AS378" i="5"/>
  <c r="AC378" i="5"/>
  <c r="Z376" i="5"/>
  <c r="AC376" i="5"/>
  <c r="AS376" i="5"/>
  <c r="J403" i="5"/>
  <c r="J399" i="5"/>
  <c r="Z397" i="5"/>
  <c r="AH396" i="5"/>
  <c r="J395" i="5"/>
  <c r="Z393" i="5"/>
  <c r="AH392" i="5"/>
  <c r="J391" i="5"/>
  <c r="Z389" i="5"/>
  <c r="AH388" i="5"/>
  <c r="J387" i="5"/>
  <c r="Z385" i="5"/>
  <c r="AH384" i="5"/>
  <c r="J383" i="5"/>
  <c r="Z381" i="5"/>
  <c r="AH380" i="5"/>
  <c r="J379" i="5"/>
  <c r="Z377" i="5"/>
  <c r="AH376" i="5"/>
  <c r="J375" i="5"/>
  <c r="Z373" i="5"/>
  <c r="AH372" i="5"/>
  <c r="J371" i="5"/>
  <c r="Z352" i="5"/>
  <c r="AC352" i="5"/>
  <c r="AS352" i="5"/>
  <c r="J342" i="5"/>
  <c r="AS342" i="5"/>
  <c r="AT342" i="5" s="1"/>
  <c r="AC342" i="5"/>
  <c r="Z340" i="5"/>
  <c r="AC340" i="5"/>
  <c r="AS340" i="5"/>
  <c r="AR400" i="5"/>
  <c r="AB398" i="5"/>
  <c r="AR396" i="5"/>
  <c r="AB394" i="5"/>
  <c r="AR392" i="5"/>
  <c r="AB390" i="5"/>
  <c r="AR388" i="5"/>
  <c r="AB386" i="5"/>
  <c r="AR384" i="5"/>
  <c r="AB382" i="5"/>
  <c r="AR380" i="5"/>
  <c r="AB378" i="5"/>
  <c r="AR376" i="5"/>
  <c r="AB374" i="5"/>
  <c r="AR372" i="5"/>
  <c r="AB370" i="5"/>
  <c r="Z368" i="5"/>
  <c r="AC368" i="5"/>
  <c r="AS368" i="5"/>
  <c r="AH355" i="5"/>
  <c r="AO355" i="5"/>
  <c r="J350" i="5"/>
  <c r="AS350" i="5"/>
  <c r="AC350" i="5"/>
  <c r="Z348" i="5"/>
  <c r="AC348" i="5"/>
  <c r="AS348" i="5"/>
  <c r="AO342" i="5"/>
  <c r="AH335" i="5"/>
  <c r="AS335" i="5"/>
  <c r="AO335" i="5"/>
  <c r="AS385" i="5"/>
  <c r="AC383" i="5"/>
  <c r="AS381" i="5"/>
  <c r="AC379" i="5"/>
  <c r="AS377" i="5"/>
  <c r="AC375" i="5"/>
  <c r="AS373" i="5"/>
  <c r="AC371" i="5"/>
  <c r="AS367" i="5"/>
  <c r="J358" i="5"/>
  <c r="AC358" i="5"/>
  <c r="AO350" i="5"/>
  <c r="AS347" i="5"/>
  <c r="AS339" i="5"/>
  <c r="AR385" i="5"/>
  <c r="AR381" i="5"/>
  <c r="AR377" i="5"/>
  <c r="AR373" i="5"/>
  <c r="AH343" i="5"/>
  <c r="AO343" i="5"/>
  <c r="J338" i="5"/>
  <c r="AS338" i="5"/>
  <c r="AC338" i="5"/>
  <c r="Z336" i="5"/>
  <c r="AC336" i="5"/>
  <c r="AS336" i="5"/>
  <c r="J362" i="5"/>
  <c r="AC362" i="5"/>
  <c r="AH359" i="5"/>
  <c r="AO359" i="5"/>
  <c r="Z356" i="5"/>
  <c r="AC356" i="5"/>
  <c r="AS356" i="5"/>
  <c r="AS355" i="5"/>
  <c r="J346" i="5"/>
  <c r="AS346" i="5"/>
  <c r="AC346" i="5"/>
  <c r="AO338" i="5"/>
  <c r="J334" i="5"/>
  <c r="AS334" i="5"/>
  <c r="AC334" i="5"/>
  <c r="AB369" i="5"/>
  <c r="J366" i="5"/>
  <c r="AC366" i="5"/>
  <c r="AO362" i="5"/>
  <c r="Z344" i="5"/>
  <c r="AC344" i="5"/>
  <c r="AS344" i="5"/>
  <c r="Z369" i="5"/>
  <c r="AH363" i="5"/>
  <c r="AO363" i="5"/>
  <c r="Z360" i="5"/>
  <c r="AC360" i="5"/>
  <c r="AS360" i="5"/>
  <c r="AH351" i="5"/>
  <c r="AO351" i="5"/>
  <c r="AS343" i="5"/>
  <c r="AH368" i="5"/>
  <c r="J367" i="5"/>
  <c r="Z365" i="5"/>
  <c r="AH364" i="5"/>
  <c r="J363" i="5"/>
  <c r="Z361" i="5"/>
  <c r="AH360" i="5"/>
  <c r="J359" i="5"/>
  <c r="Z357" i="5"/>
  <c r="AH356" i="5"/>
  <c r="J355" i="5"/>
  <c r="Z353" i="5"/>
  <c r="AH352" i="5"/>
  <c r="J351" i="5"/>
  <c r="Z349" i="5"/>
  <c r="AH348" i="5"/>
  <c r="J347" i="5"/>
  <c r="Z345" i="5"/>
  <c r="AH344" i="5"/>
  <c r="J343" i="5"/>
  <c r="Z341" i="5"/>
  <c r="AH340" i="5"/>
  <c r="J339" i="5"/>
  <c r="Z337" i="5"/>
  <c r="AH336" i="5"/>
  <c r="J335" i="5"/>
  <c r="AN334" i="5"/>
  <c r="Z333" i="5"/>
  <c r="AR364" i="5"/>
  <c r="AR360" i="5"/>
  <c r="AR356" i="5"/>
  <c r="AB350" i="5"/>
  <c r="AR348" i="5"/>
  <c r="AB346" i="5"/>
  <c r="AB342" i="5"/>
  <c r="AR340" i="5"/>
  <c r="AB338" i="5"/>
  <c r="AB334" i="5"/>
  <c r="AC355" i="5"/>
  <c r="AS353" i="5"/>
  <c r="AH353" i="5"/>
  <c r="AC351" i="5"/>
  <c r="Z350" i="5"/>
  <c r="AS349" i="5"/>
  <c r="AH349" i="5"/>
  <c r="AC347" i="5"/>
  <c r="AS345" i="5"/>
  <c r="AH345" i="5"/>
  <c r="AC343" i="5"/>
  <c r="AS341" i="5"/>
  <c r="AH341" i="5"/>
  <c r="AC339" i="5"/>
  <c r="Z338" i="5"/>
  <c r="AS337" i="5"/>
  <c r="AH337" i="5"/>
  <c r="AH333" i="5"/>
  <c r="AB335" i="5"/>
  <c r="Z367" i="5"/>
  <c r="AS366" i="5"/>
  <c r="Z363" i="5"/>
  <c r="AS362" i="5"/>
  <c r="Z359" i="5"/>
  <c r="AS358" i="5"/>
  <c r="Z351" i="5"/>
  <c r="AH334" i="5"/>
  <c r="I330" i="5"/>
  <c r="AP431" i="5" l="1"/>
  <c r="AP410" i="5"/>
  <c r="AP414" i="5"/>
  <c r="AD612" i="5"/>
  <c r="AD373" i="5"/>
  <c r="AP373" i="5"/>
  <c r="AD409" i="5"/>
  <c r="AP422" i="5"/>
  <c r="AP372" i="5"/>
  <c r="AP334" i="5"/>
  <c r="AP369" i="5"/>
  <c r="AP519" i="5"/>
  <c r="AT336" i="5"/>
  <c r="AP450" i="5"/>
  <c r="AP485" i="5"/>
  <c r="AD624" i="5"/>
  <c r="AP344" i="5"/>
  <c r="AP355" i="5"/>
  <c r="AP405" i="5"/>
  <c r="AP357" i="5"/>
  <c r="AP409" i="5"/>
  <c r="AP530" i="5"/>
  <c r="AP394" i="5"/>
  <c r="AD479" i="5"/>
  <c r="AD443" i="5"/>
  <c r="AT567" i="5"/>
  <c r="AD355" i="5"/>
  <c r="AT554" i="5"/>
  <c r="AD526" i="5"/>
  <c r="AD437" i="5"/>
  <c r="AD344" i="5"/>
  <c r="AD489" i="5"/>
  <c r="AD600" i="5"/>
  <c r="AD555" i="5"/>
  <c r="AT597" i="5"/>
  <c r="AP336" i="5"/>
  <c r="AP346" i="5"/>
  <c r="AP600" i="5"/>
  <c r="AP391" i="5"/>
  <c r="AP400" i="5"/>
  <c r="AP518" i="5"/>
  <c r="AT582" i="5"/>
  <c r="AD519" i="5"/>
  <c r="AD492" i="5"/>
  <c r="AT548" i="5"/>
  <c r="AT498" i="5"/>
  <c r="AT411" i="5"/>
  <c r="AP353" i="5"/>
  <c r="AP360" i="5"/>
  <c r="AP337" i="5"/>
  <c r="AP354" i="5"/>
  <c r="AP333" i="5"/>
  <c r="AT485" i="5"/>
  <c r="AP415" i="5"/>
  <c r="AP436" i="5"/>
  <c r="AP618" i="5"/>
  <c r="AP526" i="5"/>
  <c r="AP378" i="5"/>
  <c r="AP384" i="5"/>
  <c r="AP389" i="5"/>
  <c r="AP374" i="5"/>
  <c r="AD527" i="5"/>
  <c r="AT616" i="5"/>
  <c r="AD545" i="5"/>
  <c r="AT471" i="5"/>
  <c r="AP349" i="5"/>
  <c r="AP345" i="5"/>
  <c r="AP430" i="5"/>
  <c r="AT583" i="5"/>
  <c r="AP350" i="5"/>
  <c r="AP398" i="5"/>
  <c r="AD395" i="5"/>
  <c r="AP630" i="5"/>
  <c r="AT480" i="5"/>
  <c r="AP454" i="5"/>
  <c r="AT344" i="5"/>
  <c r="AD403" i="5"/>
  <c r="AT435" i="5"/>
  <c r="AP509" i="5"/>
  <c r="AP421" i="5"/>
  <c r="AD377" i="5"/>
  <c r="AP488" i="5"/>
  <c r="AT628" i="5"/>
  <c r="AP462" i="5"/>
  <c r="AD621" i="5"/>
  <c r="AD510" i="5"/>
  <c r="AP613" i="5"/>
  <c r="AD476" i="5"/>
  <c r="AT508" i="5"/>
  <c r="AP440" i="5"/>
  <c r="AP406" i="5"/>
  <c r="AP411" i="5"/>
  <c r="AD631" i="5"/>
  <c r="AT571" i="5"/>
  <c r="AP621" i="5"/>
  <c r="AT449" i="5"/>
  <c r="AD348" i="5"/>
  <c r="AP441" i="5"/>
  <c r="AT414" i="5"/>
  <c r="AD495" i="5"/>
  <c r="AP533" i="5"/>
  <c r="AT488" i="5"/>
  <c r="AD571" i="5"/>
  <c r="AD608" i="5"/>
  <c r="AD478" i="5"/>
  <c r="AP515" i="5"/>
  <c r="AD359" i="5"/>
  <c r="AT363" i="5"/>
  <c r="AP442" i="5"/>
  <c r="AP419" i="5"/>
  <c r="AD439" i="5"/>
  <c r="AD549" i="5"/>
  <c r="AD611" i="5"/>
  <c r="AP576" i="5"/>
  <c r="AP599" i="5"/>
  <c r="AD347" i="5"/>
  <c r="AT404" i="5"/>
  <c r="AP367" i="5"/>
  <c r="AP571" i="5"/>
  <c r="AP605" i="5"/>
  <c r="AP493" i="5"/>
  <c r="AP574" i="5"/>
  <c r="AD387" i="5"/>
  <c r="AD574" i="5"/>
  <c r="AD421" i="5"/>
  <c r="AP453" i="5"/>
  <c r="AP597" i="5"/>
  <c r="AT511" i="5"/>
  <c r="AT610" i="5"/>
  <c r="AT481" i="5"/>
  <c r="AP472" i="5"/>
  <c r="AP555" i="5"/>
  <c r="AD455" i="5"/>
  <c r="AT496" i="5"/>
  <c r="AT497" i="5"/>
  <c r="AD622" i="5"/>
  <c r="AP481" i="5"/>
  <c r="AP556" i="5"/>
  <c r="AP586" i="5"/>
  <c r="AD420" i="5"/>
  <c r="AD592" i="5"/>
  <c r="AT577" i="5"/>
  <c r="AP623" i="5"/>
  <c r="AT370" i="5"/>
  <c r="AD353" i="5"/>
  <c r="AD461" i="5"/>
  <c r="AP412" i="5"/>
  <c r="AT337" i="5"/>
  <c r="AT560" i="5"/>
  <c r="AD357" i="5"/>
  <c r="AT532" i="5"/>
  <c r="AP476" i="5"/>
  <c r="AD341" i="5"/>
  <c r="AT346" i="5"/>
  <c r="AD462" i="5"/>
  <c r="AD405" i="5"/>
  <c r="AP491" i="5"/>
  <c r="AD604" i="5"/>
  <c r="AP404" i="5"/>
  <c r="AP465" i="5"/>
  <c r="AP392" i="5"/>
  <c r="AD494" i="5"/>
  <c r="AP477" i="5"/>
  <c r="AP594" i="5"/>
  <c r="AP383" i="5"/>
  <c r="AP540" i="5"/>
  <c r="AT440" i="5"/>
  <c r="AP418" i="5"/>
  <c r="AT371" i="5"/>
  <c r="AP358" i="5"/>
  <c r="AP381" i="5"/>
  <c r="AP503" i="5"/>
  <c r="AP366" i="5"/>
  <c r="AD335" i="5"/>
  <c r="AT335" i="5"/>
  <c r="AP560" i="5"/>
  <c r="AT584" i="5"/>
  <c r="AD354" i="5"/>
  <c r="AP527" i="5"/>
  <c r="AD550" i="5"/>
  <c r="AP339" i="5"/>
  <c r="AT501" i="5"/>
  <c r="AD617" i="5"/>
  <c r="AP397" i="5"/>
  <c r="AP544" i="5"/>
  <c r="AP390" i="5"/>
  <c r="AD493" i="5"/>
  <c r="AT613" i="5"/>
  <c r="AT589" i="5"/>
  <c r="AP588" i="5"/>
  <c r="AP363" i="5"/>
  <c r="AD385" i="5"/>
  <c r="AT390" i="5"/>
  <c r="AD442" i="5"/>
  <c r="AD484" i="5"/>
  <c r="AP468" i="5"/>
  <c r="AD433" i="5"/>
  <c r="AD594" i="5"/>
  <c r="AD522" i="5"/>
  <c r="AD368" i="5"/>
  <c r="AP458" i="5"/>
  <c r="AP568" i="5"/>
  <c r="AD425" i="5"/>
  <c r="AP413" i="5"/>
  <c r="AP511" i="5"/>
  <c r="AT461" i="5"/>
  <c r="AP521" i="5"/>
  <c r="AD393" i="5"/>
  <c r="AT433" i="5"/>
  <c r="AP584" i="5"/>
  <c r="AD513" i="5"/>
  <c r="AP393" i="5"/>
  <c r="AP438" i="5"/>
  <c r="AP479" i="5"/>
  <c r="AP513" i="5"/>
  <c r="AD428" i="5"/>
  <c r="AD567" i="5"/>
  <c r="AD473" i="5"/>
  <c r="AD576" i="5"/>
  <c r="AD591" i="5"/>
  <c r="AP627" i="5"/>
  <c r="AD365" i="5"/>
  <c r="AT490" i="5"/>
  <c r="AP553" i="5"/>
  <c r="AP535" i="5"/>
  <c r="AP610" i="5"/>
  <c r="AD441" i="5"/>
  <c r="AP434" i="5"/>
  <c r="AP592" i="5"/>
  <c r="AD615" i="5"/>
  <c r="AD568" i="5"/>
  <c r="AD628" i="5"/>
  <c r="AP483" i="5"/>
  <c r="AD356" i="5"/>
  <c r="AT423" i="5"/>
  <c r="AD392" i="5"/>
  <c r="AT526" i="5"/>
  <c r="AD595" i="5"/>
  <c r="AT361" i="5"/>
  <c r="AT513" i="5"/>
  <c r="AP602" i="5"/>
  <c r="AT421" i="5"/>
  <c r="AD376" i="5"/>
  <c r="AT452" i="5"/>
  <c r="AP590" i="5"/>
  <c r="AT568" i="5"/>
  <c r="AD413" i="5"/>
  <c r="AP604" i="5"/>
  <c r="AD506" i="5"/>
  <c r="AD362" i="5"/>
  <c r="AD509" i="5"/>
  <c r="AP502" i="5"/>
  <c r="AP425" i="5"/>
  <c r="AP551" i="5"/>
  <c r="AT495" i="5"/>
  <c r="AT503" i="5"/>
  <c r="AP582" i="5"/>
  <c r="AT426" i="5"/>
  <c r="AP596" i="5"/>
  <c r="AD537" i="5"/>
  <c r="AP428" i="5"/>
  <c r="AP522" i="5"/>
  <c r="AD626" i="5"/>
  <c r="AT389" i="5"/>
  <c r="AP541" i="5"/>
  <c r="AP598" i="5"/>
  <c r="AP382" i="5"/>
  <c r="AD408" i="5"/>
  <c r="AD518" i="5"/>
  <c r="AP563" i="5"/>
  <c r="AP575" i="5"/>
  <c r="AD360" i="5"/>
  <c r="AD477" i="5"/>
  <c r="AD520" i="5"/>
  <c r="AP552" i="5"/>
  <c r="AD343" i="5"/>
  <c r="AD371" i="5"/>
  <c r="AT550" i="5"/>
  <c r="AD585" i="5"/>
  <c r="AP452" i="5"/>
  <c r="AP402" i="5"/>
  <c r="AP507" i="5"/>
  <c r="AD453" i="5"/>
  <c r="AD625" i="5"/>
  <c r="AP557" i="5"/>
  <c r="AP496" i="5"/>
  <c r="AP589" i="5"/>
  <c r="AT343" i="5"/>
  <c r="AD366" i="5"/>
  <c r="AD543" i="5"/>
  <c r="AD616" i="5"/>
  <c r="AD630" i="5"/>
  <c r="AT608" i="5"/>
  <c r="AP595" i="5"/>
  <c r="AP473" i="5"/>
  <c r="AD521" i="5"/>
  <c r="AD530" i="5"/>
  <c r="AT572" i="5"/>
  <c r="AD417" i="5"/>
  <c r="AD523" i="5"/>
  <c r="AD511" i="5"/>
  <c r="AT334" i="5"/>
  <c r="AP387" i="5"/>
  <c r="AD482" i="5"/>
  <c r="AT510" i="5"/>
  <c r="AT523" i="5"/>
  <c r="AD583" i="5"/>
  <c r="AP619" i="5"/>
  <c r="AP457" i="5"/>
  <c r="AP500" i="5"/>
  <c r="AT463" i="5"/>
  <c r="AD588" i="5"/>
  <c r="AD590" i="5"/>
  <c r="AD607" i="5"/>
  <c r="AT606" i="5"/>
  <c r="AD361" i="5"/>
  <c r="AP365" i="5"/>
  <c r="AP401" i="5"/>
  <c r="AP463" i="5"/>
  <c r="AD447" i="5"/>
  <c r="AD524" i="5"/>
  <c r="AT546" i="5"/>
  <c r="AD596" i="5"/>
  <c r="AP380" i="5"/>
  <c r="AD397" i="5"/>
  <c r="AT445" i="5"/>
  <c r="AT598" i="5"/>
  <c r="AD404" i="5"/>
  <c r="AT531" i="5"/>
  <c r="AT555" i="5"/>
  <c r="AP606" i="5"/>
  <c r="AP417" i="5"/>
  <c r="AD480" i="5"/>
  <c r="AT493" i="5"/>
  <c r="AD401" i="5"/>
  <c r="AT339" i="5"/>
  <c r="AT623" i="5"/>
  <c r="AP583" i="5"/>
  <c r="AT347" i="5"/>
  <c r="AP423" i="5"/>
  <c r="AD491" i="5"/>
  <c r="AD627" i="5"/>
  <c r="AP396" i="5"/>
  <c r="AT529" i="5"/>
  <c r="AP494" i="5"/>
  <c r="AP536" i="5"/>
  <c r="AD457" i="5"/>
  <c r="AP608" i="5"/>
  <c r="AT574" i="5"/>
  <c r="AP359" i="5"/>
  <c r="AT338" i="5"/>
  <c r="AT387" i="5"/>
  <c r="AT588" i="5"/>
  <c r="AT601" i="5"/>
  <c r="AD593" i="5"/>
  <c r="AT473" i="5"/>
  <c r="AD586" i="5"/>
  <c r="AT386" i="5"/>
  <c r="AT456" i="5"/>
  <c r="AD558" i="5"/>
  <c r="AP437" i="5"/>
  <c r="AP609" i="5"/>
  <c r="AP624" i="5"/>
  <c r="AT419" i="5"/>
  <c r="AP565" i="5"/>
  <c r="AP489" i="5"/>
  <c r="AP469" i="5"/>
  <c r="AP514" i="5"/>
  <c r="AT586" i="5"/>
  <c r="AT515" i="5"/>
  <c r="AT522" i="5"/>
  <c r="AT622" i="5"/>
  <c r="AD515" i="5"/>
  <c r="AD560" i="5"/>
  <c r="AD459" i="5"/>
  <c r="AD497" i="5"/>
  <c r="AD336" i="5"/>
  <c r="AT378" i="5"/>
  <c r="AT417" i="5"/>
  <c r="AT476" i="5"/>
  <c r="AT595" i="5"/>
  <c r="AD544" i="5"/>
  <c r="AT594" i="5"/>
  <c r="AT602" i="5"/>
  <c r="AD367" i="5"/>
  <c r="AD572" i="5"/>
  <c r="AP446" i="5"/>
  <c r="AD364" i="5"/>
  <c r="AT507" i="5"/>
  <c r="AT467" i="5"/>
  <c r="AT492" i="5"/>
  <c r="AT539" i="5"/>
  <c r="AD587" i="5"/>
  <c r="AT599" i="5"/>
  <c r="AD399" i="5"/>
  <c r="AT505" i="5"/>
  <c r="AP616" i="5"/>
  <c r="AP617" i="5"/>
  <c r="AP612" i="5"/>
  <c r="AP420" i="5"/>
  <c r="AD533" i="5"/>
  <c r="AP497" i="5"/>
  <c r="AT401" i="5"/>
  <c r="AT394" i="5"/>
  <c r="AP347" i="5"/>
  <c r="AD414" i="5"/>
  <c r="AT478" i="5"/>
  <c r="AT581" i="5"/>
  <c r="AD578" i="5"/>
  <c r="AP506" i="5"/>
  <c r="AP525" i="5"/>
  <c r="AT375" i="5"/>
  <c r="AT439" i="5"/>
  <c r="AD451" i="5"/>
  <c r="AT520" i="5"/>
  <c r="AT551" i="5"/>
  <c r="AP631" i="5"/>
  <c r="AD535" i="5"/>
  <c r="AD598" i="5"/>
  <c r="AP573" i="5"/>
  <c r="AT600" i="5"/>
  <c r="AP338" i="5"/>
  <c r="AT391" i="5"/>
  <c r="AT470" i="5"/>
  <c r="AD597" i="5"/>
  <c r="AT604" i="5"/>
  <c r="AP362" i="5"/>
  <c r="AP335" i="5"/>
  <c r="AD463" i="5"/>
  <c r="AT563" i="5"/>
  <c r="AD601" i="5"/>
  <c r="AT547" i="5"/>
  <c r="AD573" i="5"/>
  <c r="AD503" i="5"/>
  <c r="AD556" i="5"/>
  <c r="AD488" i="5"/>
  <c r="AD529" i="5"/>
  <c r="AT477" i="5"/>
  <c r="AD467" i="5"/>
  <c r="AT451" i="5"/>
  <c r="AT512" i="5"/>
  <c r="AT578" i="5"/>
  <c r="AD465" i="5"/>
  <c r="AP459" i="5"/>
  <c r="AD339" i="5"/>
  <c r="AT402" i="5"/>
  <c r="AP395" i="5"/>
  <c r="AP403" i="5"/>
  <c r="AT626" i="5"/>
  <c r="AP603" i="5"/>
  <c r="AT362" i="5"/>
  <c r="AD400" i="5"/>
  <c r="AD416" i="5"/>
  <c r="AT413" i="5"/>
  <c r="AT524" i="5"/>
  <c r="AP564" i="5"/>
  <c r="AP615" i="5"/>
  <c r="AD539" i="5"/>
  <c r="AT612" i="5"/>
  <c r="AD498" i="5"/>
  <c r="AT366" i="5"/>
  <c r="AT350" i="5"/>
  <c r="AD340" i="5"/>
  <c r="AD435" i="5"/>
  <c r="AD481" i="5"/>
  <c r="AD623" i="5"/>
  <c r="AP388" i="5"/>
  <c r="AP505" i="5"/>
  <c r="AT341" i="5"/>
  <c r="AD415" i="5"/>
  <c r="AP368" i="5"/>
  <c r="AP499" i="5"/>
  <c r="AT489" i="5"/>
  <c r="AT596" i="5"/>
  <c r="AP484" i="5"/>
  <c r="AT358" i="5"/>
  <c r="AD407" i="5"/>
  <c r="AD424" i="5"/>
  <c r="AT453" i="5"/>
  <c r="AP572" i="5"/>
  <c r="AP611" i="5"/>
  <c r="AP577" i="5"/>
  <c r="AD610" i="5"/>
  <c r="AT427" i="5"/>
  <c r="AD450" i="5"/>
  <c r="AD349" i="5"/>
  <c r="AP376" i="5"/>
  <c r="AT544" i="5"/>
  <c r="AT537" i="5"/>
  <c r="AP356" i="5"/>
  <c r="AD388" i="5"/>
  <c r="AD440" i="5"/>
  <c r="AD456" i="5"/>
  <c r="AD429" i="5"/>
  <c r="AP549" i="5"/>
  <c r="AP537" i="5"/>
  <c r="AD496" i="5"/>
  <c r="AD370" i="5"/>
  <c r="AP386" i="5"/>
  <c r="AT538" i="5"/>
  <c r="AT333" i="5"/>
  <c r="AP429" i="5"/>
  <c r="AP460" i="5"/>
  <c r="AT465" i="5"/>
  <c r="AT430" i="5"/>
  <c r="AD458" i="5"/>
  <c r="AD427" i="5"/>
  <c r="AD475" i="5"/>
  <c r="AT432" i="5"/>
  <c r="AT575" i="5"/>
  <c r="AD584" i="5"/>
  <c r="AD603" i="5"/>
  <c r="AD551" i="5"/>
  <c r="AT611" i="5"/>
  <c r="AD582" i="5"/>
  <c r="AD606" i="5"/>
  <c r="AD464" i="5"/>
  <c r="AT630" i="5"/>
  <c r="AP351" i="5"/>
  <c r="AD375" i="5"/>
  <c r="AT369" i="5"/>
  <c r="AT355" i="5"/>
  <c r="AD466" i="5"/>
  <c r="AT479" i="5"/>
  <c r="AT545" i="5"/>
  <c r="AD561" i="5"/>
  <c r="AD569" i="5"/>
  <c r="AT570" i="5"/>
  <c r="AP448" i="5"/>
  <c r="AD536" i="5"/>
  <c r="AP385" i="5"/>
  <c r="AT349" i="5"/>
  <c r="AT374" i="5"/>
  <c r="AD446" i="5"/>
  <c r="AD486" i="5"/>
  <c r="AT487" i="5"/>
  <c r="AD504" i="5"/>
  <c r="AD579" i="5"/>
  <c r="AD566" i="5"/>
  <c r="AT365" i="5"/>
  <c r="AD345" i="5"/>
  <c r="AP416" i="5"/>
  <c r="AD500" i="5"/>
  <c r="AT502" i="5"/>
  <c r="AT561" i="5"/>
  <c r="AD358" i="5"/>
  <c r="AD412" i="5"/>
  <c r="AT409" i="5"/>
  <c r="AD487" i="5"/>
  <c r="AT474" i="5"/>
  <c r="AT609" i="5"/>
  <c r="AT590" i="5"/>
  <c r="AD389" i="5"/>
  <c r="AP444" i="5"/>
  <c r="AT397" i="5"/>
  <c r="AT576" i="5"/>
  <c r="AP593" i="5"/>
  <c r="AD614" i="5"/>
  <c r="AD565" i="5"/>
  <c r="AT499" i="5"/>
  <c r="AD472" i="5"/>
  <c r="AD547" i="5"/>
  <c r="AP566" i="5"/>
  <c r="AD351" i="5"/>
  <c r="AT382" i="5"/>
  <c r="AP407" i="5"/>
  <c r="AT438" i="5"/>
  <c r="AD434" i="5"/>
  <c r="AT491" i="5"/>
  <c r="AD532" i="5"/>
  <c r="AD553" i="5"/>
  <c r="AD619" i="5"/>
  <c r="AT593" i="5"/>
  <c r="AP348" i="5"/>
  <c r="AD391" i="5"/>
  <c r="AT410" i="5"/>
  <c r="AD514" i="5"/>
  <c r="AD445" i="5"/>
  <c r="AP620" i="5"/>
  <c r="AT534" i="5"/>
  <c r="AP343" i="5"/>
  <c r="AT379" i="5"/>
  <c r="AT464" i="5"/>
  <c r="AT558" i="5"/>
  <c r="AT494" i="5"/>
  <c r="AD438" i="5"/>
  <c r="AD483" i="5"/>
  <c r="AT565" i="5"/>
  <c r="AD577" i="5"/>
  <c r="AP628" i="5"/>
  <c r="AT535" i="5"/>
  <c r="AT521" i="5"/>
  <c r="AT533" i="5"/>
  <c r="AD575" i="5"/>
  <c r="AT483" i="5"/>
  <c r="AD512" i="5"/>
  <c r="AP607" i="5"/>
  <c r="AP432" i="5"/>
  <c r="AD396" i="5"/>
  <c r="AT447" i="5"/>
  <c r="AP495" i="5"/>
  <c r="AT559" i="5"/>
  <c r="AP578" i="5"/>
  <c r="AT580" i="5"/>
  <c r="AD381" i="5"/>
  <c r="AT457" i="5"/>
  <c r="AD562" i="5"/>
  <c r="AP581" i="5"/>
  <c r="AP517" i="5"/>
  <c r="AT624" i="5"/>
  <c r="AD379" i="5"/>
  <c r="AD380" i="5"/>
  <c r="AD418" i="5"/>
  <c r="AP482" i="5"/>
  <c r="AD517" i="5"/>
  <c r="AT527" i="5"/>
  <c r="AD564" i="5"/>
  <c r="AD613" i="5"/>
  <c r="AP543" i="5"/>
  <c r="AP585" i="5"/>
  <c r="AP567" i="5"/>
  <c r="AT514" i="5"/>
  <c r="AT405" i="5"/>
  <c r="AD406" i="5"/>
  <c r="AD448" i="5"/>
  <c r="AD469" i="5"/>
  <c r="AD485" i="5"/>
  <c r="AD490" i="5"/>
  <c r="AT516" i="5"/>
  <c r="AT631" i="5"/>
  <c r="AD589" i="5"/>
  <c r="AT393" i="5"/>
  <c r="AD337" i="5"/>
  <c r="AD431" i="5"/>
  <c r="AT444" i="5"/>
  <c r="AT462" i="5"/>
  <c r="AT468" i="5"/>
  <c r="AD471" i="5"/>
  <c r="AD525" i="5"/>
  <c r="AT486" i="5"/>
  <c r="AP523" i="5"/>
  <c r="AD546" i="5"/>
  <c r="AT566" i="5"/>
  <c r="AD599" i="5"/>
  <c r="AD609" i="5"/>
  <c r="AT406" i="5"/>
  <c r="AD468" i="5"/>
  <c r="AT472" i="5"/>
  <c r="AP445" i="5"/>
  <c r="AP492" i="5"/>
  <c r="AT541" i="5"/>
  <c r="AT525" i="5"/>
  <c r="AT542" i="5"/>
  <c r="AP629" i="5"/>
  <c r="AT345" i="5"/>
  <c r="AT367" i="5"/>
  <c r="AP370" i="5"/>
  <c r="AD436" i="5"/>
  <c r="AT448" i="5"/>
  <c r="AP490" i="5"/>
  <c r="AT557" i="5"/>
  <c r="AD605" i="5"/>
  <c r="AT629" i="5"/>
  <c r="AT573" i="5"/>
  <c r="AT621" i="5"/>
  <c r="AD620" i="5"/>
  <c r="AD430" i="5"/>
  <c r="AT407" i="5"/>
  <c r="AT553" i="5"/>
  <c r="AP622" i="5"/>
  <c r="AP580" i="5"/>
  <c r="AT395" i="5"/>
  <c r="AD411" i="5"/>
  <c r="AD538" i="5"/>
  <c r="AD449" i="5"/>
  <c r="AT437" i="5"/>
  <c r="AD552" i="5"/>
  <c r="AD422" i="5"/>
  <c r="AP435" i="5"/>
  <c r="AT518" i="5"/>
  <c r="AD554" i="5"/>
  <c r="AT615" i="5"/>
  <c r="AT484" i="5"/>
  <c r="AT506" i="5"/>
  <c r="AT398" i="5"/>
  <c r="AT383" i="5"/>
  <c r="AD410" i="5"/>
  <c r="AD454" i="5"/>
  <c r="AD470" i="5"/>
  <c r="AD508" i="5"/>
  <c r="AP528" i="5"/>
  <c r="AT540" i="5"/>
  <c r="AD559" i="5"/>
  <c r="AT587" i="5"/>
  <c r="AD581" i="5"/>
  <c r="AT585" i="5"/>
  <c r="AT357" i="5"/>
  <c r="AP361" i="5"/>
  <c r="AP424" i="5"/>
  <c r="AP480" i="5"/>
  <c r="AT509" i="5"/>
  <c r="AP548" i="5"/>
  <c r="AP625" i="5"/>
  <c r="AP545" i="5"/>
  <c r="AP342" i="5"/>
  <c r="AD372" i="5"/>
  <c r="AP371" i="5"/>
  <c r="AP426" i="5"/>
  <c r="AP455" i="5"/>
  <c r="AT436" i="5"/>
  <c r="AP470" i="5"/>
  <c r="AT475" i="5"/>
  <c r="AD505" i="5"/>
  <c r="AP501" i="5"/>
  <c r="AT429" i="5"/>
  <c r="AD516" i="5"/>
  <c r="AD528" i="5"/>
  <c r="AD534" i="5"/>
  <c r="AP377" i="5"/>
  <c r="AP364" i="5"/>
  <c r="AP475" i="5"/>
  <c r="AD507" i="5"/>
  <c r="AT504" i="5"/>
  <c r="AP626" i="5"/>
  <c r="AD602" i="5"/>
  <c r="AD419" i="5"/>
  <c r="AD474" i="5"/>
  <c r="AP516" i="5"/>
  <c r="AD531" i="5"/>
  <c r="AT552" i="5"/>
  <c r="AP569" i="5"/>
  <c r="AT614" i="5"/>
  <c r="AT592" i="5"/>
  <c r="AT359" i="5"/>
  <c r="AP510" i="5"/>
  <c r="AD383" i="5"/>
  <c r="AT352" i="5"/>
  <c r="AD426" i="5"/>
  <c r="AT422" i="5"/>
  <c r="AT556" i="5"/>
  <c r="AP579" i="5"/>
  <c r="AP352" i="5"/>
  <c r="AP601" i="5"/>
  <c r="AT354" i="5"/>
  <c r="AD384" i="5"/>
  <c r="AT353" i="5"/>
  <c r="AP399" i="5"/>
  <c r="AT385" i="5"/>
  <c r="AD352" i="5"/>
  <c r="AP375" i="5"/>
  <c r="AT399" i="5"/>
  <c r="AD423" i="5"/>
  <c r="AT425" i="5"/>
  <c r="AT450" i="5"/>
  <c r="AT482" i="5"/>
  <c r="AT519" i="5"/>
  <c r="AT536" i="5"/>
  <c r="AT530" i="5"/>
  <c r="AD541" i="5"/>
  <c r="AD557" i="5"/>
  <c r="AT549" i="5"/>
  <c r="AD580" i="5"/>
  <c r="AT619" i="5"/>
  <c r="AT605" i="5"/>
  <c r="AT625" i="5"/>
  <c r="AT415" i="5"/>
  <c r="AP408" i="5"/>
  <c r="AP467" i="5"/>
  <c r="AP471" i="5"/>
  <c r="AT618" i="5"/>
  <c r="AP520" i="5"/>
  <c r="AD444" i="5"/>
  <c r="AT454" i="5"/>
  <c r="AT376" i="5"/>
  <c r="AT392" i="5"/>
  <c r="AT380" i="5"/>
  <c r="AD374" i="5"/>
  <c r="AT443" i="5"/>
  <c r="AP427" i="5"/>
  <c r="AT446" i="5"/>
  <c r="AP443" i="5"/>
  <c r="AP474" i="5"/>
  <c r="AD563" i="5"/>
  <c r="AT459" i="5"/>
  <c r="AD390" i="5"/>
  <c r="AD402" i="5"/>
  <c r="AT373" i="5"/>
  <c r="AD452" i="5"/>
  <c r="AP433" i="5"/>
  <c r="AT418" i="5"/>
  <c r="AT603" i="5"/>
  <c r="AD542" i="5"/>
  <c r="AT591" i="5"/>
  <c r="AT351" i="5"/>
  <c r="AP498" i="5"/>
  <c r="AP539" i="5"/>
  <c r="AP554" i="5"/>
  <c r="AT564" i="5"/>
  <c r="AT620" i="5"/>
  <c r="AT617" i="5"/>
  <c r="AP461" i="5"/>
  <c r="AP529" i="5"/>
  <c r="AP547" i="5"/>
  <c r="AD502" i="5"/>
  <c r="AD618" i="5"/>
  <c r="AP531" i="5"/>
  <c r="AP558" i="5"/>
  <c r="AT543" i="5"/>
  <c r="AT562" i="5"/>
  <c r="AT627" i="5"/>
  <c r="AD363" i="5"/>
  <c r="AP449" i="5"/>
  <c r="AP456" i="5"/>
  <c r="AT469" i="5"/>
  <c r="AP487" i="5"/>
  <c r="AP591" i="5"/>
  <c r="AD333" i="5"/>
  <c r="AP340" i="5"/>
  <c r="AT441" i="5"/>
  <c r="AD540" i="5"/>
  <c r="AD548" i="5"/>
  <c r="AP546" i="5"/>
  <c r="AT517" i="5"/>
  <c r="AT381" i="5"/>
  <c r="AT372" i="5"/>
  <c r="AT420" i="5"/>
  <c r="AP504" i="5"/>
  <c r="AT360" i="5"/>
  <c r="AT348" i="5"/>
  <c r="AD346" i="5"/>
  <c r="AD338" i="5"/>
  <c r="AT368" i="5"/>
  <c r="AT364" i="5"/>
  <c r="AT396" i="5"/>
  <c r="AD394" i="5"/>
  <c r="AT408" i="5"/>
  <c r="AT428" i="5"/>
  <c r="AD432" i="5"/>
  <c r="AT442" i="5"/>
  <c r="AP439" i="5"/>
  <c r="AP451" i="5"/>
  <c r="AP466" i="5"/>
  <c r="AP478" i="5"/>
  <c r="AD499" i="5"/>
  <c r="AP508" i="5"/>
  <c r="AP542" i="5"/>
  <c r="AT579" i="5"/>
  <c r="AT607" i="5"/>
  <c r="AT384" i="5"/>
  <c r="AT403" i="5"/>
  <c r="AT460" i="5"/>
  <c r="AP512" i="5"/>
  <c r="AP532" i="5"/>
  <c r="AD334" i="5"/>
  <c r="AD350" i="5"/>
  <c r="AT388" i="5"/>
  <c r="AD369" i="5"/>
  <c r="AT416" i="5"/>
  <c r="AT434" i="5"/>
  <c r="AD460" i="5"/>
  <c r="AT500" i="5"/>
  <c r="AP534" i="5"/>
  <c r="AP561" i="5"/>
  <c r="AT340" i="5"/>
  <c r="AD501" i="5"/>
  <c r="AP587" i="5"/>
  <c r="AD398" i="5"/>
  <c r="AT458" i="5"/>
  <c r="AP524" i="5"/>
  <c r="AT400" i="5"/>
  <c r="AT356" i="5"/>
  <c r="AT377" i="5"/>
  <c r="AD378" i="5"/>
  <c r="AD382" i="5"/>
  <c r="AD386" i="5"/>
  <c r="AT412" i="5"/>
  <c r="AT424" i="5"/>
  <c r="AT431" i="5"/>
  <c r="AP447" i="5"/>
  <c r="AP486" i="5"/>
  <c r="AT466" i="5"/>
  <c r="AP538" i="5"/>
  <c r="AP550" i="5"/>
  <c r="AD629" i="5"/>
  <c r="AP562" i="5"/>
  <c r="AD570" i="5"/>
  <c r="AD342" i="5"/>
  <c r="AT455" i="5"/>
  <c r="AT528" i="5"/>
  <c r="AT569" i="5"/>
  <c r="AF291" i="5"/>
  <c r="AG291" i="5"/>
  <c r="AJ291" i="5"/>
  <c r="AK291" i="5"/>
  <c r="AF292" i="5"/>
  <c r="AG292" i="5"/>
  <c r="AJ292" i="5"/>
  <c r="AK292" i="5"/>
  <c r="AF293" i="5"/>
  <c r="AG293" i="5"/>
  <c r="AJ293" i="5"/>
  <c r="AK293" i="5"/>
  <c r="AF294" i="5"/>
  <c r="AG294" i="5"/>
  <c r="AJ294" i="5"/>
  <c r="AK294" i="5"/>
  <c r="AF295" i="5"/>
  <c r="AG295" i="5"/>
  <c r="AJ295" i="5"/>
  <c r="AK295" i="5"/>
  <c r="AF296" i="5"/>
  <c r="AG296" i="5"/>
  <c r="AJ296" i="5"/>
  <c r="AK296" i="5"/>
  <c r="AF297" i="5"/>
  <c r="AG297" i="5"/>
  <c r="AJ297" i="5"/>
  <c r="AK297" i="5"/>
  <c r="AF298" i="5"/>
  <c r="AG298" i="5"/>
  <c r="AJ298" i="5"/>
  <c r="AK298" i="5"/>
  <c r="AF299" i="5"/>
  <c r="AG299" i="5"/>
  <c r="AJ299" i="5"/>
  <c r="AK299" i="5"/>
  <c r="AF300" i="5"/>
  <c r="AG300" i="5"/>
  <c r="AJ300" i="5"/>
  <c r="AK300" i="5"/>
  <c r="AF301" i="5"/>
  <c r="AG301" i="5"/>
  <c r="AJ301" i="5"/>
  <c r="AK301" i="5"/>
  <c r="AF302" i="5"/>
  <c r="AG302" i="5"/>
  <c r="AJ302" i="5"/>
  <c r="AK302" i="5"/>
  <c r="AF303" i="5"/>
  <c r="AG303" i="5"/>
  <c r="AJ303" i="5"/>
  <c r="AK303" i="5"/>
  <c r="AF304" i="5"/>
  <c r="AG304" i="5"/>
  <c r="AJ304" i="5"/>
  <c r="AK304" i="5"/>
  <c r="AF305" i="5"/>
  <c r="AG305" i="5"/>
  <c r="AJ305" i="5"/>
  <c r="AK305" i="5"/>
  <c r="AF306" i="5"/>
  <c r="AG306" i="5"/>
  <c r="AJ306" i="5"/>
  <c r="AK306" i="5"/>
  <c r="AF307" i="5"/>
  <c r="AG307" i="5"/>
  <c r="AJ307" i="5"/>
  <c r="AK307" i="5"/>
  <c r="AF308" i="5"/>
  <c r="AG308" i="5"/>
  <c r="AJ308" i="5"/>
  <c r="AK308" i="5"/>
  <c r="AF309" i="5"/>
  <c r="AG309" i="5"/>
  <c r="AJ309" i="5"/>
  <c r="AK309" i="5"/>
  <c r="AF310" i="5"/>
  <c r="AG310" i="5"/>
  <c r="AJ310" i="5"/>
  <c r="AK310" i="5"/>
  <c r="AF311" i="5"/>
  <c r="AG311" i="5"/>
  <c r="AJ311" i="5"/>
  <c r="AK311" i="5"/>
  <c r="AF312" i="5"/>
  <c r="AG312" i="5"/>
  <c r="AJ312" i="5"/>
  <c r="AK312" i="5"/>
  <c r="AF313" i="5"/>
  <c r="AG313" i="5"/>
  <c r="AJ313" i="5"/>
  <c r="AK313" i="5"/>
  <c r="AF314" i="5"/>
  <c r="AG314" i="5"/>
  <c r="AJ314" i="5"/>
  <c r="AK314" i="5"/>
  <c r="AF315" i="5"/>
  <c r="AG315" i="5"/>
  <c r="AJ315" i="5"/>
  <c r="AK315" i="5"/>
  <c r="AF316" i="5"/>
  <c r="AG316" i="5"/>
  <c r="AJ316" i="5"/>
  <c r="AK316" i="5"/>
  <c r="AF317" i="5"/>
  <c r="AG317" i="5"/>
  <c r="AJ317" i="5"/>
  <c r="AK317" i="5"/>
  <c r="AF318" i="5"/>
  <c r="AG318" i="5"/>
  <c r="AJ318" i="5"/>
  <c r="AK318" i="5"/>
  <c r="AF319" i="5"/>
  <c r="AG319" i="5"/>
  <c r="AJ319" i="5"/>
  <c r="AK319" i="5"/>
  <c r="AF320" i="5"/>
  <c r="AG320" i="5"/>
  <c r="AJ320" i="5"/>
  <c r="AK320" i="5"/>
  <c r="AF321" i="5"/>
  <c r="AG321" i="5"/>
  <c r="AJ321" i="5"/>
  <c r="AK321" i="5"/>
  <c r="AF322" i="5"/>
  <c r="AG322" i="5"/>
  <c r="AJ322" i="5"/>
  <c r="AK322" i="5"/>
  <c r="AF323" i="5"/>
  <c r="AG323" i="5"/>
  <c r="AJ323" i="5"/>
  <c r="AK323" i="5"/>
  <c r="AF324" i="5"/>
  <c r="AG324" i="5"/>
  <c r="AJ324" i="5"/>
  <c r="AK324" i="5"/>
  <c r="AF325" i="5"/>
  <c r="AG325" i="5"/>
  <c r="AJ325" i="5"/>
  <c r="AK325" i="5"/>
  <c r="AF326" i="5"/>
  <c r="AG326" i="5"/>
  <c r="AJ326" i="5"/>
  <c r="AK326" i="5"/>
  <c r="AF327" i="5"/>
  <c r="AG327" i="5"/>
  <c r="AJ327" i="5"/>
  <c r="AK327" i="5"/>
  <c r="AF328" i="5"/>
  <c r="AG328" i="5"/>
  <c r="AJ328" i="5"/>
  <c r="AK328" i="5"/>
  <c r="AF329" i="5"/>
  <c r="AG329" i="5"/>
  <c r="AJ329" i="5"/>
  <c r="AK329" i="5"/>
  <c r="AF330" i="5"/>
  <c r="AG330" i="5"/>
  <c r="AJ330" i="5"/>
  <c r="AK330" i="5"/>
  <c r="AF331" i="5"/>
  <c r="AG331" i="5"/>
  <c r="AJ331" i="5"/>
  <c r="AK331" i="5"/>
  <c r="AF332" i="5"/>
  <c r="AG332" i="5"/>
  <c r="AJ332" i="5"/>
  <c r="AK332" i="5"/>
  <c r="Y332" i="5"/>
  <c r="X332" i="5"/>
  <c r="U332" i="5"/>
  <c r="T332" i="5"/>
  <c r="Q332" i="5"/>
  <c r="P332" i="5"/>
  <c r="I332" i="5"/>
  <c r="H332" i="5"/>
  <c r="Y331" i="5"/>
  <c r="X331" i="5"/>
  <c r="U331" i="5"/>
  <c r="T331" i="5"/>
  <c r="Q331" i="5"/>
  <c r="P331" i="5"/>
  <c r="I331" i="5"/>
  <c r="H331" i="5"/>
  <c r="Y330" i="5"/>
  <c r="X330" i="5"/>
  <c r="U330" i="5"/>
  <c r="T330" i="5"/>
  <c r="Q330" i="5"/>
  <c r="P330" i="5"/>
  <c r="H330" i="5"/>
  <c r="Y329" i="5"/>
  <c r="X329" i="5"/>
  <c r="U329" i="5"/>
  <c r="T329" i="5"/>
  <c r="Q329" i="5"/>
  <c r="P329" i="5"/>
  <c r="I329" i="5"/>
  <c r="H329" i="5"/>
  <c r="Y328" i="5"/>
  <c r="X328" i="5"/>
  <c r="U328" i="5"/>
  <c r="T328" i="5"/>
  <c r="Q328" i="5"/>
  <c r="P328" i="5"/>
  <c r="I328" i="5"/>
  <c r="H328" i="5"/>
  <c r="Y327" i="5"/>
  <c r="X327" i="5"/>
  <c r="U327" i="5"/>
  <c r="T327" i="5"/>
  <c r="Q327" i="5"/>
  <c r="P327" i="5"/>
  <c r="I327" i="5"/>
  <c r="H327" i="5"/>
  <c r="Y326" i="5"/>
  <c r="X326" i="5"/>
  <c r="U326" i="5"/>
  <c r="T326" i="5"/>
  <c r="Q326" i="5"/>
  <c r="P326" i="5"/>
  <c r="I326" i="5"/>
  <c r="H326" i="5"/>
  <c r="Y325" i="5"/>
  <c r="X325" i="5"/>
  <c r="U325" i="5"/>
  <c r="T325" i="5"/>
  <c r="Q325" i="5"/>
  <c r="P325" i="5"/>
  <c r="I325" i="5"/>
  <c r="H325" i="5"/>
  <c r="Y324" i="5"/>
  <c r="X324" i="5"/>
  <c r="U324" i="5"/>
  <c r="T324" i="5"/>
  <c r="Q324" i="5"/>
  <c r="P324" i="5"/>
  <c r="I324" i="5"/>
  <c r="H324" i="5"/>
  <c r="Y323" i="5"/>
  <c r="X323" i="5"/>
  <c r="U323" i="5"/>
  <c r="T323" i="5"/>
  <c r="Q323" i="5"/>
  <c r="P323" i="5"/>
  <c r="I323" i="5"/>
  <c r="H323" i="5"/>
  <c r="Y322" i="5"/>
  <c r="X322" i="5"/>
  <c r="U322" i="5"/>
  <c r="T322" i="5"/>
  <c r="Q322" i="5"/>
  <c r="P322" i="5"/>
  <c r="I322" i="5"/>
  <c r="H322" i="5"/>
  <c r="Y321" i="5"/>
  <c r="X321" i="5"/>
  <c r="U321" i="5"/>
  <c r="T321" i="5"/>
  <c r="Q321" i="5"/>
  <c r="P321" i="5"/>
  <c r="I321" i="5"/>
  <c r="H321" i="5"/>
  <c r="Y320" i="5"/>
  <c r="X320" i="5"/>
  <c r="U320" i="5"/>
  <c r="T320" i="5"/>
  <c r="Q320" i="5"/>
  <c r="P320" i="5"/>
  <c r="I320" i="5"/>
  <c r="H320" i="5"/>
  <c r="Y319" i="5"/>
  <c r="X319" i="5"/>
  <c r="U319" i="5"/>
  <c r="T319" i="5"/>
  <c r="Q319" i="5"/>
  <c r="P319" i="5"/>
  <c r="I319" i="5"/>
  <c r="H319" i="5"/>
  <c r="Y318" i="5"/>
  <c r="X318" i="5"/>
  <c r="U318" i="5"/>
  <c r="T318" i="5"/>
  <c r="Q318" i="5"/>
  <c r="P318" i="5"/>
  <c r="I318" i="5"/>
  <c r="H318" i="5"/>
  <c r="Y317" i="5"/>
  <c r="X317" i="5"/>
  <c r="U317" i="5"/>
  <c r="T317" i="5"/>
  <c r="Q317" i="5"/>
  <c r="P317" i="5"/>
  <c r="I317" i="5"/>
  <c r="H317" i="5"/>
  <c r="Y316" i="5"/>
  <c r="X316" i="5"/>
  <c r="U316" i="5"/>
  <c r="T316" i="5"/>
  <c r="Q316" i="5"/>
  <c r="P316" i="5"/>
  <c r="I316" i="5"/>
  <c r="H316" i="5"/>
  <c r="Y315" i="5"/>
  <c r="X315" i="5"/>
  <c r="U315" i="5"/>
  <c r="T315" i="5"/>
  <c r="Q315" i="5"/>
  <c r="P315" i="5"/>
  <c r="I315" i="5"/>
  <c r="H315" i="5"/>
  <c r="Y314" i="5"/>
  <c r="X314" i="5"/>
  <c r="U314" i="5"/>
  <c r="T314" i="5"/>
  <c r="Q314" i="5"/>
  <c r="P314" i="5"/>
  <c r="I314" i="5"/>
  <c r="H314" i="5"/>
  <c r="Y313" i="5"/>
  <c r="X313" i="5"/>
  <c r="U313" i="5"/>
  <c r="T313" i="5"/>
  <c r="Q313" i="5"/>
  <c r="P313" i="5"/>
  <c r="I313" i="5"/>
  <c r="H313" i="5"/>
  <c r="Y312" i="5"/>
  <c r="X312" i="5"/>
  <c r="U312" i="5"/>
  <c r="T312" i="5"/>
  <c r="Q312" i="5"/>
  <c r="P312" i="5"/>
  <c r="I312" i="5"/>
  <c r="H312" i="5"/>
  <c r="Y311" i="5"/>
  <c r="X311" i="5"/>
  <c r="U311" i="5"/>
  <c r="T311" i="5"/>
  <c r="Q311" i="5"/>
  <c r="P311" i="5"/>
  <c r="I311" i="5"/>
  <c r="H311" i="5"/>
  <c r="Y310" i="5"/>
  <c r="X310" i="5"/>
  <c r="U310" i="5"/>
  <c r="T310" i="5"/>
  <c r="Q310" i="5"/>
  <c r="P310" i="5"/>
  <c r="I310" i="5"/>
  <c r="H310" i="5"/>
  <c r="Y309" i="5"/>
  <c r="X309" i="5"/>
  <c r="U309" i="5"/>
  <c r="T309" i="5"/>
  <c r="Q309" i="5"/>
  <c r="P309" i="5"/>
  <c r="I309" i="5"/>
  <c r="H309" i="5"/>
  <c r="Y308" i="5"/>
  <c r="X308" i="5"/>
  <c r="U308" i="5"/>
  <c r="T308" i="5"/>
  <c r="Q308" i="5"/>
  <c r="P308" i="5"/>
  <c r="I308" i="5"/>
  <c r="H308" i="5"/>
  <c r="Y307" i="5"/>
  <c r="X307" i="5"/>
  <c r="U307" i="5"/>
  <c r="T307" i="5"/>
  <c r="Q307" i="5"/>
  <c r="P307" i="5"/>
  <c r="I307" i="5"/>
  <c r="H307" i="5"/>
  <c r="Y306" i="5"/>
  <c r="X306" i="5"/>
  <c r="U306" i="5"/>
  <c r="T306" i="5"/>
  <c r="Q306" i="5"/>
  <c r="P306" i="5"/>
  <c r="I306" i="5"/>
  <c r="H306" i="5"/>
  <c r="Y305" i="5"/>
  <c r="X305" i="5"/>
  <c r="U305" i="5"/>
  <c r="T305" i="5"/>
  <c r="Q305" i="5"/>
  <c r="P305" i="5"/>
  <c r="I305" i="5"/>
  <c r="H305" i="5"/>
  <c r="Y304" i="5"/>
  <c r="X304" i="5"/>
  <c r="U304" i="5"/>
  <c r="T304" i="5"/>
  <c r="Q304" i="5"/>
  <c r="P304" i="5"/>
  <c r="I304" i="5"/>
  <c r="H304" i="5"/>
  <c r="Y303" i="5"/>
  <c r="X303" i="5"/>
  <c r="U303" i="5"/>
  <c r="T303" i="5"/>
  <c r="Q303" i="5"/>
  <c r="P303" i="5"/>
  <c r="I303" i="5"/>
  <c r="H303" i="5"/>
  <c r="Y302" i="5"/>
  <c r="X302" i="5"/>
  <c r="U302" i="5"/>
  <c r="T302" i="5"/>
  <c r="Q302" i="5"/>
  <c r="P302" i="5"/>
  <c r="I302" i="5"/>
  <c r="H302" i="5"/>
  <c r="Y301" i="5"/>
  <c r="X301" i="5"/>
  <c r="U301" i="5"/>
  <c r="T301" i="5"/>
  <c r="Q301" i="5"/>
  <c r="P301" i="5"/>
  <c r="I301" i="5"/>
  <c r="H301" i="5"/>
  <c r="Y300" i="5"/>
  <c r="X300" i="5"/>
  <c r="U300" i="5"/>
  <c r="T300" i="5"/>
  <c r="Q300" i="5"/>
  <c r="P300" i="5"/>
  <c r="I300" i="5"/>
  <c r="H300" i="5"/>
  <c r="Y299" i="5"/>
  <c r="X299" i="5"/>
  <c r="U299" i="5"/>
  <c r="T299" i="5"/>
  <c r="Q299" i="5"/>
  <c r="P299" i="5"/>
  <c r="I299" i="5"/>
  <c r="H299" i="5"/>
  <c r="Y298" i="5"/>
  <c r="X298" i="5"/>
  <c r="U298" i="5"/>
  <c r="T298" i="5"/>
  <c r="Q298" i="5"/>
  <c r="P298" i="5"/>
  <c r="I298" i="5"/>
  <c r="H298" i="5"/>
  <c r="Y297" i="5"/>
  <c r="X297" i="5"/>
  <c r="U297" i="5"/>
  <c r="T297" i="5"/>
  <c r="Q297" i="5"/>
  <c r="P297" i="5"/>
  <c r="I297" i="5"/>
  <c r="H297" i="5"/>
  <c r="Y296" i="5"/>
  <c r="X296" i="5"/>
  <c r="U296" i="5"/>
  <c r="T296" i="5"/>
  <c r="Q296" i="5"/>
  <c r="P296" i="5"/>
  <c r="I296" i="5"/>
  <c r="H296" i="5"/>
  <c r="Y295" i="5"/>
  <c r="X295" i="5"/>
  <c r="U295" i="5"/>
  <c r="T295" i="5"/>
  <c r="Q295" i="5"/>
  <c r="P295" i="5"/>
  <c r="I295" i="5"/>
  <c r="H295" i="5"/>
  <c r="Y294" i="5"/>
  <c r="X294" i="5"/>
  <c r="U294" i="5"/>
  <c r="T294" i="5"/>
  <c r="Q294" i="5"/>
  <c r="P294" i="5"/>
  <c r="I294" i="5"/>
  <c r="H294" i="5"/>
  <c r="Y293" i="5"/>
  <c r="X293" i="5"/>
  <c r="U293" i="5"/>
  <c r="T293" i="5"/>
  <c r="Q293" i="5"/>
  <c r="P293" i="5"/>
  <c r="I293" i="5"/>
  <c r="H293" i="5"/>
  <c r="Y292" i="5"/>
  <c r="X292" i="5"/>
  <c r="U292" i="5"/>
  <c r="T292" i="5"/>
  <c r="Q292" i="5"/>
  <c r="P292" i="5"/>
  <c r="I292" i="5"/>
  <c r="H292" i="5"/>
  <c r="Y291" i="5"/>
  <c r="X291" i="5"/>
  <c r="U291" i="5"/>
  <c r="T291" i="5"/>
  <c r="Q291" i="5"/>
  <c r="P291" i="5"/>
  <c r="I291" i="5"/>
  <c r="H291" i="5"/>
  <c r="P288" i="5"/>
  <c r="Q288" i="5"/>
  <c r="T288" i="5"/>
  <c r="U288" i="5"/>
  <c r="X288" i="5"/>
  <c r="Y288" i="5"/>
  <c r="AF288" i="5"/>
  <c r="AG288" i="5"/>
  <c r="AJ288" i="5"/>
  <c r="AK288" i="5"/>
  <c r="P289" i="5"/>
  <c r="Q289" i="5"/>
  <c r="T289" i="5"/>
  <c r="U289" i="5"/>
  <c r="X289" i="5"/>
  <c r="Y289" i="5"/>
  <c r="AF289" i="5"/>
  <c r="AG289" i="5"/>
  <c r="AJ289" i="5"/>
  <c r="AK289" i="5"/>
  <c r="P290" i="5"/>
  <c r="Q290" i="5"/>
  <c r="T290" i="5"/>
  <c r="U290" i="5"/>
  <c r="X290" i="5"/>
  <c r="Y290" i="5"/>
  <c r="AF290" i="5"/>
  <c r="AG290" i="5"/>
  <c r="AJ290" i="5"/>
  <c r="AK290" i="5"/>
  <c r="P262" i="5"/>
  <c r="Q262" i="5"/>
  <c r="T262" i="5"/>
  <c r="U262" i="5"/>
  <c r="X262" i="5"/>
  <c r="Y262" i="5"/>
  <c r="AF262" i="5"/>
  <c r="AG262" i="5"/>
  <c r="AJ262" i="5"/>
  <c r="AK262" i="5"/>
  <c r="P263" i="5"/>
  <c r="Q263" i="5"/>
  <c r="T263" i="5"/>
  <c r="U263" i="5"/>
  <c r="X263" i="5"/>
  <c r="Y263" i="5"/>
  <c r="AF263" i="5"/>
  <c r="AG263" i="5"/>
  <c r="AJ263" i="5"/>
  <c r="AK263" i="5"/>
  <c r="P264" i="5"/>
  <c r="Q264" i="5"/>
  <c r="T264" i="5"/>
  <c r="U264" i="5"/>
  <c r="X264" i="5"/>
  <c r="Y264" i="5"/>
  <c r="AF264" i="5"/>
  <c r="AG264" i="5"/>
  <c r="AJ264" i="5"/>
  <c r="AK264" i="5"/>
  <c r="P265" i="5"/>
  <c r="Q265" i="5"/>
  <c r="T265" i="5"/>
  <c r="U265" i="5"/>
  <c r="X265" i="5"/>
  <c r="Y265" i="5"/>
  <c r="AF265" i="5"/>
  <c r="AG265" i="5"/>
  <c r="AJ265" i="5"/>
  <c r="AK265" i="5"/>
  <c r="P266" i="5"/>
  <c r="Q266" i="5"/>
  <c r="T266" i="5"/>
  <c r="U266" i="5"/>
  <c r="X266" i="5"/>
  <c r="Y266" i="5"/>
  <c r="AF266" i="5"/>
  <c r="AG266" i="5"/>
  <c r="AJ266" i="5"/>
  <c r="AK266" i="5"/>
  <c r="P267" i="5"/>
  <c r="Q267" i="5"/>
  <c r="T267" i="5"/>
  <c r="U267" i="5"/>
  <c r="X267" i="5"/>
  <c r="Y267" i="5"/>
  <c r="AF267" i="5"/>
  <c r="AG267" i="5"/>
  <c r="AJ267" i="5"/>
  <c r="AK267" i="5"/>
  <c r="P268" i="5"/>
  <c r="Q268" i="5"/>
  <c r="T268" i="5"/>
  <c r="U268" i="5"/>
  <c r="X268" i="5"/>
  <c r="Y268" i="5"/>
  <c r="AF268" i="5"/>
  <c r="AG268" i="5"/>
  <c r="AJ268" i="5"/>
  <c r="AK268" i="5"/>
  <c r="P269" i="5"/>
  <c r="Q269" i="5"/>
  <c r="T269" i="5"/>
  <c r="U269" i="5"/>
  <c r="X269" i="5"/>
  <c r="Y269" i="5"/>
  <c r="AF269" i="5"/>
  <c r="AG269" i="5"/>
  <c r="AJ269" i="5"/>
  <c r="AK269" i="5"/>
  <c r="P270" i="5"/>
  <c r="Q270" i="5"/>
  <c r="T270" i="5"/>
  <c r="U270" i="5"/>
  <c r="X270" i="5"/>
  <c r="Y270" i="5"/>
  <c r="AF270" i="5"/>
  <c r="AG270" i="5"/>
  <c r="AJ270" i="5"/>
  <c r="AK270" i="5"/>
  <c r="P271" i="5"/>
  <c r="Q271" i="5"/>
  <c r="T271" i="5"/>
  <c r="U271" i="5"/>
  <c r="X271" i="5"/>
  <c r="Y271" i="5"/>
  <c r="AF271" i="5"/>
  <c r="AG271" i="5"/>
  <c r="AJ271" i="5"/>
  <c r="AK271" i="5"/>
  <c r="P272" i="5"/>
  <c r="Q272" i="5"/>
  <c r="T272" i="5"/>
  <c r="U272" i="5"/>
  <c r="X272" i="5"/>
  <c r="Y272" i="5"/>
  <c r="AF272" i="5"/>
  <c r="AG272" i="5"/>
  <c r="AJ272" i="5"/>
  <c r="AK272" i="5"/>
  <c r="P273" i="5"/>
  <c r="Q273" i="5"/>
  <c r="T273" i="5"/>
  <c r="U273" i="5"/>
  <c r="X273" i="5"/>
  <c r="Y273" i="5"/>
  <c r="AF273" i="5"/>
  <c r="AG273" i="5"/>
  <c r="AJ273" i="5"/>
  <c r="AK273" i="5"/>
  <c r="P274" i="5"/>
  <c r="Q274" i="5"/>
  <c r="T274" i="5"/>
  <c r="U274" i="5"/>
  <c r="X274" i="5"/>
  <c r="Y274" i="5"/>
  <c r="AF274" i="5"/>
  <c r="AG274" i="5"/>
  <c r="AJ274" i="5"/>
  <c r="AK274" i="5"/>
  <c r="P275" i="5"/>
  <c r="Q275" i="5"/>
  <c r="T275" i="5"/>
  <c r="U275" i="5"/>
  <c r="X275" i="5"/>
  <c r="Y275" i="5"/>
  <c r="AF275" i="5"/>
  <c r="AG275" i="5"/>
  <c r="AJ275" i="5"/>
  <c r="AK275" i="5"/>
  <c r="P276" i="5"/>
  <c r="Q276" i="5"/>
  <c r="T276" i="5"/>
  <c r="U276" i="5"/>
  <c r="X276" i="5"/>
  <c r="Y276" i="5"/>
  <c r="AF276" i="5"/>
  <c r="AG276" i="5"/>
  <c r="AJ276" i="5"/>
  <c r="AK276" i="5"/>
  <c r="P277" i="5"/>
  <c r="Q277" i="5"/>
  <c r="T277" i="5"/>
  <c r="U277" i="5"/>
  <c r="X277" i="5"/>
  <c r="Y277" i="5"/>
  <c r="AF277" i="5"/>
  <c r="AG277" i="5"/>
  <c r="AJ277" i="5"/>
  <c r="AK277" i="5"/>
  <c r="P278" i="5"/>
  <c r="Q278" i="5"/>
  <c r="T278" i="5"/>
  <c r="U278" i="5"/>
  <c r="X278" i="5"/>
  <c r="Y278" i="5"/>
  <c r="AF278" i="5"/>
  <c r="AG278" i="5"/>
  <c r="AJ278" i="5"/>
  <c r="AK278" i="5"/>
  <c r="P279" i="5"/>
  <c r="Q279" i="5"/>
  <c r="T279" i="5"/>
  <c r="U279" i="5"/>
  <c r="X279" i="5"/>
  <c r="Y279" i="5"/>
  <c r="AF279" i="5"/>
  <c r="AG279" i="5"/>
  <c r="AJ279" i="5"/>
  <c r="AK279" i="5"/>
  <c r="P280" i="5"/>
  <c r="Q280" i="5"/>
  <c r="T280" i="5"/>
  <c r="U280" i="5"/>
  <c r="X280" i="5"/>
  <c r="Y280" i="5"/>
  <c r="AF280" i="5"/>
  <c r="AG280" i="5"/>
  <c r="AJ280" i="5"/>
  <c r="AK280" i="5"/>
  <c r="P281" i="5"/>
  <c r="Q281" i="5"/>
  <c r="T281" i="5"/>
  <c r="U281" i="5"/>
  <c r="X281" i="5"/>
  <c r="Y281" i="5"/>
  <c r="AF281" i="5"/>
  <c r="AG281" i="5"/>
  <c r="AJ281" i="5"/>
  <c r="AK281" i="5"/>
  <c r="P282" i="5"/>
  <c r="Q282" i="5"/>
  <c r="T282" i="5"/>
  <c r="U282" i="5"/>
  <c r="X282" i="5"/>
  <c r="Y282" i="5"/>
  <c r="AF282" i="5"/>
  <c r="AG282" i="5"/>
  <c r="AJ282" i="5"/>
  <c r="AK282" i="5"/>
  <c r="P283" i="5"/>
  <c r="Q283" i="5"/>
  <c r="T283" i="5"/>
  <c r="U283" i="5"/>
  <c r="X283" i="5"/>
  <c r="Y283" i="5"/>
  <c r="AF283" i="5"/>
  <c r="AG283" i="5"/>
  <c r="AJ283" i="5"/>
  <c r="AK283" i="5"/>
  <c r="P284" i="5"/>
  <c r="Q284" i="5"/>
  <c r="T284" i="5"/>
  <c r="U284" i="5"/>
  <c r="X284" i="5"/>
  <c r="Y284" i="5"/>
  <c r="AF284" i="5"/>
  <c r="AG284" i="5"/>
  <c r="AJ284" i="5"/>
  <c r="AK284" i="5"/>
  <c r="P285" i="5"/>
  <c r="Q285" i="5"/>
  <c r="T285" i="5"/>
  <c r="U285" i="5"/>
  <c r="X285" i="5"/>
  <c r="Y285" i="5"/>
  <c r="AF285" i="5"/>
  <c r="AG285" i="5"/>
  <c r="AJ285" i="5"/>
  <c r="AK285" i="5"/>
  <c r="P286" i="5"/>
  <c r="Q286" i="5"/>
  <c r="T286" i="5"/>
  <c r="U286" i="5"/>
  <c r="X286" i="5"/>
  <c r="Y286" i="5"/>
  <c r="AF286" i="5"/>
  <c r="AG286" i="5"/>
  <c r="AJ286" i="5"/>
  <c r="AK286" i="5"/>
  <c r="P287" i="5"/>
  <c r="Q287" i="5"/>
  <c r="T287" i="5"/>
  <c r="U287" i="5"/>
  <c r="X287" i="5"/>
  <c r="Y287" i="5"/>
  <c r="AF287" i="5"/>
  <c r="AG287" i="5"/>
  <c r="AJ287" i="5"/>
  <c r="AK287" i="5"/>
  <c r="P5" i="5"/>
  <c r="Q5" i="5"/>
  <c r="T5" i="5"/>
  <c r="U5" i="5"/>
  <c r="X5" i="5"/>
  <c r="Y5" i="5"/>
  <c r="AF5" i="5"/>
  <c r="AG5" i="5"/>
  <c r="AJ5" i="5"/>
  <c r="AK5" i="5"/>
  <c r="P6" i="5"/>
  <c r="Q6" i="5"/>
  <c r="T6" i="5"/>
  <c r="U6" i="5"/>
  <c r="X6" i="5"/>
  <c r="Y6" i="5"/>
  <c r="AF6" i="5"/>
  <c r="AG6" i="5"/>
  <c r="AJ6" i="5"/>
  <c r="AK6" i="5"/>
  <c r="P7" i="5"/>
  <c r="Q7" i="5"/>
  <c r="T7" i="5"/>
  <c r="U7" i="5"/>
  <c r="X7" i="5"/>
  <c r="Y7" i="5"/>
  <c r="AF7" i="5"/>
  <c r="AG7" i="5"/>
  <c r="AJ7" i="5"/>
  <c r="AK7" i="5"/>
  <c r="P8" i="5"/>
  <c r="Q8" i="5"/>
  <c r="T8" i="5"/>
  <c r="U8" i="5"/>
  <c r="X8" i="5"/>
  <c r="Y8" i="5"/>
  <c r="AF8" i="5"/>
  <c r="AG8" i="5"/>
  <c r="AJ8" i="5"/>
  <c r="AK8" i="5"/>
  <c r="P9" i="5"/>
  <c r="Q9" i="5"/>
  <c r="T9" i="5"/>
  <c r="U9" i="5"/>
  <c r="X9" i="5"/>
  <c r="Y9" i="5"/>
  <c r="AF9" i="5"/>
  <c r="AG9" i="5"/>
  <c r="AJ9" i="5"/>
  <c r="AK9" i="5"/>
  <c r="P10" i="5"/>
  <c r="Q10" i="5"/>
  <c r="T10" i="5"/>
  <c r="U10" i="5"/>
  <c r="X10" i="5"/>
  <c r="Y10" i="5"/>
  <c r="AF10" i="5"/>
  <c r="AG10" i="5"/>
  <c r="AJ10" i="5"/>
  <c r="AK10" i="5"/>
  <c r="P11" i="5"/>
  <c r="Q11" i="5"/>
  <c r="T11" i="5"/>
  <c r="U11" i="5"/>
  <c r="X11" i="5"/>
  <c r="Y11" i="5"/>
  <c r="AF11" i="5"/>
  <c r="AG11" i="5"/>
  <c r="AJ11" i="5"/>
  <c r="AK11" i="5"/>
  <c r="P12" i="5"/>
  <c r="Q12" i="5"/>
  <c r="T12" i="5"/>
  <c r="U12" i="5"/>
  <c r="X12" i="5"/>
  <c r="Y12" i="5"/>
  <c r="AF12" i="5"/>
  <c r="AG12" i="5"/>
  <c r="AJ12" i="5"/>
  <c r="AK12" i="5"/>
  <c r="P13" i="5"/>
  <c r="Q13" i="5"/>
  <c r="T13" i="5"/>
  <c r="U13" i="5"/>
  <c r="X13" i="5"/>
  <c r="Y13" i="5"/>
  <c r="AF13" i="5"/>
  <c r="AG13" i="5"/>
  <c r="AJ13" i="5"/>
  <c r="AK13" i="5"/>
  <c r="P14" i="5"/>
  <c r="Q14" i="5"/>
  <c r="T14" i="5"/>
  <c r="U14" i="5"/>
  <c r="X14" i="5"/>
  <c r="Y14" i="5"/>
  <c r="AF14" i="5"/>
  <c r="AG14" i="5"/>
  <c r="AJ14" i="5"/>
  <c r="AK14" i="5"/>
  <c r="P15" i="5"/>
  <c r="Q15" i="5"/>
  <c r="T15" i="5"/>
  <c r="U15" i="5"/>
  <c r="X15" i="5"/>
  <c r="Y15" i="5"/>
  <c r="AF15" i="5"/>
  <c r="AG15" i="5"/>
  <c r="AJ15" i="5"/>
  <c r="AK15" i="5"/>
  <c r="P16" i="5"/>
  <c r="Q16" i="5"/>
  <c r="T16" i="5"/>
  <c r="U16" i="5"/>
  <c r="X16" i="5"/>
  <c r="Y16" i="5"/>
  <c r="AF16" i="5"/>
  <c r="AG16" i="5"/>
  <c r="AJ16" i="5"/>
  <c r="AK16" i="5"/>
  <c r="P17" i="5"/>
  <c r="Q17" i="5"/>
  <c r="T17" i="5"/>
  <c r="U17" i="5"/>
  <c r="X17" i="5"/>
  <c r="Y17" i="5"/>
  <c r="AF17" i="5"/>
  <c r="AG17" i="5"/>
  <c r="AJ17" i="5"/>
  <c r="AK17" i="5"/>
  <c r="P18" i="5"/>
  <c r="Q18" i="5"/>
  <c r="T18" i="5"/>
  <c r="U18" i="5"/>
  <c r="X18" i="5"/>
  <c r="Y18" i="5"/>
  <c r="AF18" i="5"/>
  <c r="AG18" i="5"/>
  <c r="AJ18" i="5"/>
  <c r="AK18" i="5"/>
  <c r="P19" i="5"/>
  <c r="Q19" i="5"/>
  <c r="T19" i="5"/>
  <c r="U19" i="5"/>
  <c r="X19" i="5"/>
  <c r="Y19" i="5"/>
  <c r="AF19" i="5"/>
  <c r="AG19" i="5"/>
  <c r="AJ19" i="5"/>
  <c r="AK19" i="5"/>
  <c r="P20" i="5"/>
  <c r="Q20" i="5"/>
  <c r="T20" i="5"/>
  <c r="U20" i="5"/>
  <c r="X20" i="5"/>
  <c r="Y20" i="5"/>
  <c r="AF20" i="5"/>
  <c r="AG20" i="5"/>
  <c r="AJ20" i="5"/>
  <c r="AK20" i="5"/>
  <c r="P21" i="5"/>
  <c r="Q21" i="5"/>
  <c r="T21" i="5"/>
  <c r="U21" i="5"/>
  <c r="X21" i="5"/>
  <c r="Y21" i="5"/>
  <c r="AF21" i="5"/>
  <c r="AG21" i="5"/>
  <c r="AJ21" i="5"/>
  <c r="AK21" i="5"/>
  <c r="P22" i="5"/>
  <c r="Q22" i="5"/>
  <c r="T22" i="5"/>
  <c r="U22" i="5"/>
  <c r="X22" i="5"/>
  <c r="Y22" i="5"/>
  <c r="AF22" i="5"/>
  <c r="AG22" i="5"/>
  <c r="AJ22" i="5"/>
  <c r="AK22" i="5"/>
  <c r="P23" i="5"/>
  <c r="Q23" i="5"/>
  <c r="T23" i="5"/>
  <c r="U23" i="5"/>
  <c r="X23" i="5"/>
  <c r="Y23" i="5"/>
  <c r="AF23" i="5"/>
  <c r="AG23" i="5"/>
  <c r="AJ23" i="5"/>
  <c r="AK23" i="5"/>
  <c r="P24" i="5"/>
  <c r="Q24" i="5"/>
  <c r="T24" i="5"/>
  <c r="U24" i="5"/>
  <c r="X24" i="5"/>
  <c r="Y24" i="5"/>
  <c r="AF24" i="5"/>
  <c r="AG24" i="5"/>
  <c r="AJ24" i="5"/>
  <c r="AK24" i="5"/>
  <c r="P25" i="5"/>
  <c r="Q25" i="5"/>
  <c r="T25" i="5"/>
  <c r="U25" i="5"/>
  <c r="X25" i="5"/>
  <c r="Y25" i="5"/>
  <c r="AF25" i="5"/>
  <c r="AG25" i="5"/>
  <c r="AJ25" i="5"/>
  <c r="AK25" i="5"/>
  <c r="P26" i="5"/>
  <c r="Q26" i="5"/>
  <c r="T26" i="5"/>
  <c r="U26" i="5"/>
  <c r="X26" i="5"/>
  <c r="Y26" i="5"/>
  <c r="AF26" i="5"/>
  <c r="AG26" i="5"/>
  <c r="AJ26" i="5"/>
  <c r="AK26" i="5"/>
  <c r="P27" i="5"/>
  <c r="Q27" i="5"/>
  <c r="T27" i="5"/>
  <c r="U27" i="5"/>
  <c r="X27" i="5"/>
  <c r="Y27" i="5"/>
  <c r="AF27" i="5"/>
  <c r="AG27" i="5"/>
  <c r="AJ27" i="5"/>
  <c r="AK27" i="5"/>
  <c r="P28" i="5"/>
  <c r="Q28" i="5"/>
  <c r="T28" i="5"/>
  <c r="U28" i="5"/>
  <c r="X28" i="5"/>
  <c r="Y28" i="5"/>
  <c r="AF28" i="5"/>
  <c r="AG28" i="5"/>
  <c r="AJ28" i="5"/>
  <c r="AK28" i="5"/>
  <c r="P29" i="5"/>
  <c r="Q29" i="5"/>
  <c r="T29" i="5"/>
  <c r="U29" i="5"/>
  <c r="X29" i="5"/>
  <c r="Y29" i="5"/>
  <c r="AF29" i="5"/>
  <c r="AG29" i="5"/>
  <c r="AJ29" i="5"/>
  <c r="AK29" i="5"/>
  <c r="P30" i="5"/>
  <c r="Q30" i="5"/>
  <c r="T30" i="5"/>
  <c r="U30" i="5"/>
  <c r="X30" i="5"/>
  <c r="Y30" i="5"/>
  <c r="AF30" i="5"/>
  <c r="AG30" i="5"/>
  <c r="AJ30" i="5"/>
  <c r="AK30" i="5"/>
  <c r="P31" i="5"/>
  <c r="Q31" i="5"/>
  <c r="T31" i="5"/>
  <c r="U31" i="5"/>
  <c r="X31" i="5"/>
  <c r="Y31" i="5"/>
  <c r="AF31" i="5"/>
  <c r="AG31" i="5"/>
  <c r="AJ31" i="5"/>
  <c r="AK31" i="5"/>
  <c r="P32" i="5"/>
  <c r="Q32" i="5"/>
  <c r="T32" i="5"/>
  <c r="U32" i="5"/>
  <c r="X32" i="5"/>
  <c r="Y32" i="5"/>
  <c r="AF32" i="5"/>
  <c r="AG32" i="5"/>
  <c r="AJ32" i="5"/>
  <c r="AK32" i="5"/>
  <c r="P33" i="5"/>
  <c r="Q33" i="5"/>
  <c r="T33" i="5"/>
  <c r="U33" i="5"/>
  <c r="X33" i="5"/>
  <c r="Y33" i="5"/>
  <c r="AF33" i="5"/>
  <c r="AG33" i="5"/>
  <c r="AJ33" i="5"/>
  <c r="AK33" i="5"/>
  <c r="P34" i="5"/>
  <c r="Q34" i="5"/>
  <c r="T34" i="5"/>
  <c r="U34" i="5"/>
  <c r="X34" i="5"/>
  <c r="Y34" i="5"/>
  <c r="AF34" i="5"/>
  <c r="AG34" i="5"/>
  <c r="AJ34" i="5"/>
  <c r="AK34" i="5"/>
  <c r="P35" i="5"/>
  <c r="Q35" i="5"/>
  <c r="T35" i="5"/>
  <c r="U35" i="5"/>
  <c r="X35" i="5"/>
  <c r="Y35" i="5"/>
  <c r="AF35" i="5"/>
  <c r="AG35" i="5"/>
  <c r="AJ35" i="5"/>
  <c r="AK35" i="5"/>
  <c r="P36" i="5"/>
  <c r="Q36" i="5"/>
  <c r="T36" i="5"/>
  <c r="U36" i="5"/>
  <c r="X36" i="5"/>
  <c r="Y36" i="5"/>
  <c r="AF36" i="5"/>
  <c r="AG36" i="5"/>
  <c r="AJ36" i="5"/>
  <c r="AK36" i="5"/>
  <c r="P37" i="5"/>
  <c r="Q37" i="5"/>
  <c r="T37" i="5"/>
  <c r="U37" i="5"/>
  <c r="X37" i="5"/>
  <c r="Y37" i="5"/>
  <c r="AF37" i="5"/>
  <c r="AG37" i="5"/>
  <c r="AJ37" i="5"/>
  <c r="AK37" i="5"/>
  <c r="P38" i="5"/>
  <c r="Q38" i="5"/>
  <c r="T38" i="5"/>
  <c r="U38" i="5"/>
  <c r="X38" i="5"/>
  <c r="Y38" i="5"/>
  <c r="AF38" i="5"/>
  <c r="AG38" i="5"/>
  <c r="AJ38" i="5"/>
  <c r="AK38" i="5"/>
  <c r="P39" i="5"/>
  <c r="Q39" i="5"/>
  <c r="T39" i="5"/>
  <c r="U39" i="5"/>
  <c r="X39" i="5"/>
  <c r="Y39" i="5"/>
  <c r="AF39" i="5"/>
  <c r="AG39" i="5"/>
  <c r="AJ39" i="5"/>
  <c r="AK39" i="5"/>
  <c r="P40" i="5"/>
  <c r="Q40" i="5"/>
  <c r="T40" i="5"/>
  <c r="U40" i="5"/>
  <c r="X40" i="5"/>
  <c r="Y40" i="5"/>
  <c r="AF40" i="5"/>
  <c r="AG40" i="5"/>
  <c r="AJ40" i="5"/>
  <c r="AK40" i="5"/>
  <c r="P41" i="5"/>
  <c r="Q41" i="5"/>
  <c r="T41" i="5"/>
  <c r="U41" i="5"/>
  <c r="X41" i="5"/>
  <c r="Y41" i="5"/>
  <c r="AF41" i="5"/>
  <c r="AG41" i="5"/>
  <c r="AJ41" i="5"/>
  <c r="AK41" i="5"/>
  <c r="P42" i="5"/>
  <c r="Q42" i="5"/>
  <c r="T42" i="5"/>
  <c r="U42" i="5"/>
  <c r="X42" i="5"/>
  <c r="Y42" i="5"/>
  <c r="AF42" i="5"/>
  <c r="AG42" i="5"/>
  <c r="AJ42" i="5"/>
  <c r="AK42" i="5"/>
  <c r="P43" i="5"/>
  <c r="Q43" i="5"/>
  <c r="T43" i="5"/>
  <c r="U43" i="5"/>
  <c r="X43" i="5"/>
  <c r="Y43" i="5"/>
  <c r="AF43" i="5"/>
  <c r="AG43" i="5"/>
  <c r="AJ43" i="5"/>
  <c r="AK43" i="5"/>
  <c r="P44" i="5"/>
  <c r="Q44" i="5"/>
  <c r="T44" i="5"/>
  <c r="U44" i="5"/>
  <c r="X44" i="5"/>
  <c r="Y44" i="5"/>
  <c r="AF44" i="5"/>
  <c r="AG44" i="5"/>
  <c r="AJ44" i="5"/>
  <c r="AK44" i="5"/>
  <c r="P45" i="5"/>
  <c r="Q45" i="5"/>
  <c r="T45" i="5"/>
  <c r="U45" i="5"/>
  <c r="X45" i="5"/>
  <c r="Y45" i="5"/>
  <c r="AF45" i="5"/>
  <c r="AG45" i="5"/>
  <c r="AJ45" i="5"/>
  <c r="AK45" i="5"/>
  <c r="P46" i="5"/>
  <c r="Q46" i="5"/>
  <c r="T46" i="5"/>
  <c r="U46" i="5"/>
  <c r="X46" i="5"/>
  <c r="Y46" i="5"/>
  <c r="AF46" i="5"/>
  <c r="AG46" i="5"/>
  <c r="AJ46" i="5"/>
  <c r="AK46" i="5"/>
  <c r="P47" i="5"/>
  <c r="Q47" i="5"/>
  <c r="T47" i="5"/>
  <c r="U47" i="5"/>
  <c r="X47" i="5"/>
  <c r="Y47" i="5"/>
  <c r="AF47" i="5"/>
  <c r="AG47" i="5"/>
  <c r="AJ47" i="5"/>
  <c r="AK47" i="5"/>
  <c r="P48" i="5"/>
  <c r="Q48" i="5"/>
  <c r="T48" i="5"/>
  <c r="U48" i="5"/>
  <c r="X48" i="5"/>
  <c r="Y48" i="5"/>
  <c r="AF48" i="5"/>
  <c r="AG48" i="5"/>
  <c r="AJ48" i="5"/>
  <c r="AK48" i="5"/>
  <c r="P49" i="5"/>
  <c r="Q49" i="5"/>
  <c r="T49" i="5"/>
  <c r="U49" i="5"/>
  <c r="X49" i="5"/>
  <c r="Y49" i="5"/>
  <c r="AF49" i="5"/>
  <c r="AG49" i="5"/>
  <c r="AJ49" i="5"/>
  <c r="AK49" i="5"/>
  <c r="P50" i="5"/>
  <c r="Q50" i="5"/>
  <c r="T50" i="5"/>
  <c r="U50" i="5"/>
  <c r="X50" i="5"/>
  <c r="Y50" i="5"/>
  <c r="AF50" i="5"/>
  <c r="AG50" i="5"/>
  <c r="AJ50" i="5"/>
  <c r="AK50" i="5"/>
  <c r="P51" i="5"/>
  <c r="Q51" i="5"/>
  <c r="T51" i="5"/>
  <c r="U51" i="5"/>
  <c r="X51" i="5"/>
  <c r="Y51" i="5"/>
  <c r="AF51" i="5"/>
  <c r="AG51" i="5"/>
  <c r="AJ51" i="5"/>
  <c r="AK51" i="5"/>
  <c r="P52" i="5"/>
  <c r="Q52" i="5"/>
  <c r="T52" i="5"/>
  <c r="U52" i="5"/>
  <c r="X52" i="5"/>
  <c r="Y52" i="5"/>
  <c r="AF52" i="5"/>
  <c r="AG52" i="5"/>
  <c r="AJ52" i="5"/>
  <c r="AK52" i="5"/>
  <c r="P53" i="5"/>
  <c r="Q53" i="5"/>
  <c r="T53" i="5"/>
  <c r="U53" i="5"/>
  <c r="X53" i="5"/>
  <c r="Y53" i="5"/>
  <c r="AF53" i="5"/>
  <c r="AG53" i="5"/>
  <c r="AJ53" i="5"/>
  <c r="AK53" i="5"/>
  <c r="P54" i="5"/>
  <c r="Q54" i="5"/>
  <c r="T54" i="5"/>
  <c r="U54" i="5"/>
  <c r="X54" i="5"/>
  <c r="Y54" i="5"/>
  <c r="AF54" i="5"/>
  <c r="AG54" i="5"/>
  <c r="AJ54" i="5"/>
  <c r="AK54" i="5"/>
  <c r="P55" i="5"/>
  <c r="Q55" i="5"/>
  <c r="T55" i="5"/>
  <c r="U55" i="5"/>
  <c r="X55" i="5"/>
  <c r="Y55" i="5"/>
  <c r="AF55" i="5"/>
  <c r="AG55" i="5"/>
  <c r="AJ55" i="5"/>
  <c r="AK55" i="5"/>
  <c r="P56" i="5"/>
  <c r="Q56" i="5"/>
  <c r="T56" i="5"/>
  <c r="U56" i="5"/>
  <c r="X56" i="5"/>
  <c r="Y56" i="5"/>
  <c r="AF56" i="5"/>
  <c r="AG56" i="5"/>
  <c r="AJ56" i="5"/>
  <c r="AK56" i="5"/>
  <c r="P57" i="5"/>
  <c r="Q57" i="5"/>
  <c r="T57" i="5"/>
  <c r="U57" i="5"/>
  <c r="X57" i="5"/>
  <c r="Y57" i="5"/>
  <c r="AF57" i="5"/>
  <c r="AG57" i="5"/>
  <c r="AJ57" i="5"/>
  <c r="AK57" i="5"/>
  <c r="P58" i="5"/>
  <c r="Q58" i="5"/>
  <c r="T58" i="5"/>
  <c r="U58" i="5"/>
  <c r="X58" i="5"/>
  <c r="Y58" i="5"/>
  <c r="AF58" i="5"/>
  <c r="AG58" i="5"/>
  <c r="AJ58" i="5"/>
  <c r="AK58" i="5"/>
  <c r="P59" i="5"/>
  <c r="Q59" i="5"/>
  <c r="T59" i="5"/>
  <c r="U59" i="5"/>
  <c r="X59" i="5"/>
  <c r="Y59" i="5"/>
  <c r="AF59" i="5"/>
  <c r="AG59" i="5"/>
  <c r="AJ59" i="5"/>
  <c r="AK59" i="5"/>
  <c r="P60" i="5"/>
  <c r="Q60" i="5"/>
  <c r="T60" i="5"/>
  <c r="U60" i="5"/>
  <c r="X60" i="5"/>
  <c r="Y60" i="5"/>
  <c r="AF60" i="5"/>
  <c r="AG60" i="5"/>
  <c r="AJ60" i="5"/>
  <c r="AK60" i="5"/>
  <c r="P61" i="5"/>
  <c r="Q61" i="5"/>
  <c r="T61" i="5"/>
  <c r="U61" i="5"/>
  <c r="X61" i="5"/>
  <c r="Y61" i="5"/>
  <c r="AF61" i="5"/>
  <c r="AG61" i="5"/>
  <c r="AJ61" i="5"/>
  <c r="AK61" i="5"/>
  <c r="P62" i="5"/>
  <c r="Q62" i="5"/>
  <c r="T62" i="5"/>
  <c r="U62" i="5"/>
  <c r="X62" i="5"/>
  <c r="Y62" i="5"/>
  <c r="AF62" i="5"/>
  <c r="AG62" i="5"/>
  <c r="AJ62" i="5"/>
  <c r="AK62" i="5"/>
  <c r="P63" i="5"/>
  <c r="Q63" i="5"/>
  <c r="T63" i="5"/>
  <c r="U63" i="5"/>
  <c r="X63" i="5"/>
  <c r="Y63" i="5"/>
  <c r="AF63" i="5"/>
  <c r="AG63" i="5"/>
  <c r="AJ63" i="5"/>
  <c r="AK63" i="5"/>
  <c r="P64" i="5"/>
  <c r="Q64" i="5"/>
  <c r="T64" i="5"/>
  <c r="U64" i="5"/>
  <c r="X64" i="5"/>
  <c r="Y64" i="5"/>
  <c r="AF64" i="5"/>
  <c r="AG64" i="5"/>
  <c r="AJ64" i="5"/>
  <c r="AK64" i="5"/>
  <c r="P65" i="5"/>
  <c r="Q65" i="5"/>
  <c r="T65" i="5"/>
  <c r="U65" i="5"/>
  <c r="X65" i="5"/>
  <c r="Y65" i="5"/>
  <c r="AF65" i="5"/>
  <c r="AG65" i="5"/>
  <c r="AJ65" i="5"/>
  <c r="AK65" i="5"/>
  <c r="P66" i="5"/>
  <c r="Q66" i="5"/>
  <c r="T66" i="5"/>
  <c r="U66" i="5"/>
  <c r="X66" i="5"/>
  <c r="Y66" i="5"/>
  <c r="AF66" i="5"/>
  <c r="AG66" i="5"/>
  <c r="AJ66" i="5"/>
  <c r="AK66" i="5"/>
  <c r="P67" i="5"/>
  <c r="Q67" i="5"/>
  <c r="T67" i="5"/>
  <c r="U67" i="5"/>
  <c r="X67" i="5"/>
  <c r="Y67" i="5"/>
  <c r="AF67" i="5"/>
  <c r="AG67" i="5"/>
  <c r="AJ67" i="5"/>
  <c r="AK67" i="5"/>
  <c r="P68" i="5"/>
  <c r="Q68" i="5"/>
  <c r="T68" i="5"/>
  <c r="U68" i="5"/>
  <c r="X68" i="5"/>
  <c r="Y68" i="5"/>
  <c r="AF68" i="5"/>
  <c r="AG68" i="5"/>
  <c r="AJ68" i="5"/>
  <c r="AK68" i="5"/>
  <c r="P69" i="5"/>
  <c r="Q69" i="5"/>
  <c r="T69" i="5"/>
  <c r="U69" i="5"/>
  <c r="X69" i="5"/>
  <c r="Y69" i="5"/>
  <c r="AF69" i="5"/>
  <c r="AG69" i="5"/>
  <c r="AJ69" i="5"/>
  <c r="AK69" i="5"/>
  <c r="P70" i="5"/>
  <c r="Q70" i="5"/>
  <c r="T70" i="5"/>
  <c r="U70" i="5"/>
  <c r="X70" i="5"/>
  <c r="Y70" i="5"/>
  <c r="AF70" i="5"/>
  <c r="AG70" i="5"/>
  <c r="AJ70" i="5"/>
  <c r="AK70" i="5"/>
  <c r="P71" i="5"/>
  <c r="Q71" i="5"/>
  <c r="T71" i="5"/>
  <c r="U71" i="5"/>
  <c r="X71" i="5"/>
  <c r="Y71" i="5"/>
  <c r="AF71" i="5"/>
  <c r="AG71" i="5"/>
  <c r="AJ71" i="5"/>
  <c r="AK71" i="5"/>
  <c r="P72" i="5"/>
  <c r="Q72" i="5"/>
  <c r="T72" i="5"/>
  <c r="U72" i="5"/>
  <c r="X72" i="5"/>
  <c r="Y72" i="5"/>
  <c r="AF72" i="5"/>
  <c r="AG72" i="5"/>
  <c r="AJ72" i="5"/>
  <c r="AK72" i="5"/>
  <c r="P73" i="5"/>
  <c r="Q73" i="5"/>
  <c r="T73" i="5"/>
  <c r="U73" i="5"/>
  <c r="X73" i="5"/>
  <c r="Y73" i="5"/>
  <c r="AF73" i="5"/>
  <c r="AG73" i="5"/>
  <c r="AJ73" i="5"/>
  <c r="AK73" i="5"/>
  <c r="P74" i="5"/>
  <c r="Q74" i="5"/>
  <c r="T74" i="5"/>
  <c r="U74" i="5"/>
  <c r="X74" i="5"/>
  <c r="Y74" i="5"/>
  <c r="AF74" i="5"/>
  <c r="AG74" i="5"/>
  <c r="AJ74" i="5"/>
  <c r="AK74" i="5"/>
  <c r="P75" i="5"/>
  <c r="Q75" i="5"/>
  <c r="T75" i="5"/>
  <c r="U75" i="5"/>
  <c r="X75" i="5"/>
  <c r="Y75" i="5"/>
  <c r="AF75" i="5"/>
  <c r="AG75" i="5"/>
  <c r="AJ75" i="5"/>
  <c r="AK75" i="5"/>
  <c r="P76" i="5"/>
  <c r="Q76" i="5"/>
  <c r="T76" i="5"/>
  <c r="U76" i="5"/>
  <c r="X76" i="5"/>
  <c r="Y76" i="5"/>
  <c r="AF76" i="5"/>
  <c r="AG76" i="5"/>
  <c r="AJ76" i="5"/>
  <c r="AK76" i="5"/>
  <c r="P77" i="5"/>
  <c r="Q77" i="5"/>
  <c r="T77" i="5"/>
  <c r="U77" i="5"/>
  <c r="X77" i="5"/>
  <c r="Y77" i="5"/>
  <c r="AF77" i="5"/>
  <c r="AG77" i="5"/>
  <c r="AJ77" i="5"/>
  <c r="AK77" i="5"/>
  <c r="P78" i="5"/>
  <c r="Q78" i="5"/>
  <c r="T78" i="5"/>
  <c r="U78" i="5"/>
  <c r="X78" i="5"/>
  <c r="Y78" i="5"/>
  <c r="AF78" i="5"/>
  <c r="AG78" i="5"/>
  <c r="AJ78" i="5"/>
  <c r="AK78" i="5"/>
  <c r="P79" i="5"/>
  <c r="Q79" i="5"/>
  <c r="T79" i="5"/>
  <c r="U79" i="5"/>
  <c r="X79" i="5"/>
  <c r="Y79" i="5"/>
  <c r="AF79" i="5"/>
  <c r="AG79" i="5"/>
  <c r="AJ79" i="5"/>
  <c r="AK79" i="5"/>
  <c r="P80" i="5"/>
  <c r="Q80" i="5"/>
  <c r="T80" i="5"/>
  <c r="U80" i="5"/>
  <c r="X80" i="5"/>
  <c r="Y80" i="5"/>
  <c r="AF80" i="5"/>
  <c r="AG80" i="5"/>
  <c r="AJ80" i="5"/>
  <c r="AK80" i="5"/>
  <c r="P81" i="5"/>
  <c r="Q81" i="5"/>
  <c r="T81" i="5"/>
  <c r="U81" i="5"/>
  <c r="X81" i="5"/>
  <c r="Y81" i="5"/>
  <c r="AF81" i="5"/>
  <c r="AG81" i="5"/>
  <c r="AJ81" i="5"/>
  <c r="AK81" i="5"/>
  <c r="P82" i="5"/>
  <c r="Q82" i="5"/>
  <c r="T82" i="5"/>
  <c r="U82" i="5"/>
  <c r="X82" i="5"/>
  <c r="Y82" i="5"/>
  <c r="AF82" i="5"/>
  <c r="AG82" i="5"/>
  <c r="AJ82" i="5"/>
  <c r="AK82" i="5"/>
  <c r="P83" i="5"/>
  <c r="Q83" i="5"/>
  <c r="T83" i="5"/>
  <c r="U83" i="5"/>
  <c r="X83" i="5"/>
  <c r="Y83" i="5"/>
  <c r="AF83" i="5"/>
  <c r="AG83" i="5"/>
  <c r="AJ83" i="5"/>
  <c r="AK83" i="5"/>
  <c r="P84" i="5"/>
  <c r="Q84" i="5"/>
  <c r="T84" i="5"/>
  <c r="U84" i="5"/>
  <c r="X84" i="5"/>
  <c r="Y84" i="5"/>
  <c r="AF84" i="5"/>
  <c r="AG84" i="5"/>
  <c r="AJ84" i="5"/>
  <c r="AK84" i="5"/>
  <c r="P85" i="5"/>
  <c r="Q85" i="5"/>
  <c r="T85" i="5"/>
  <c r="U85" i="5"/>
  <c r="X85" i="5"/>
  <c r="Y85" i="5"/>
  <c r="AF85" i="5"/>
  <c r="AG85" i="5"/>
  <c r="AJ85" i="5"/>
  <c r="AK85" i="5"/>
  <c r="P86" i="5"/>
  <c r="Q86" i="5"/>
  <c r="T86" i="5"/>
  <c r="U86" i="5"/>
  <c r="X86" i="5"/>
  <c r="Y86" i="5"/>
  <c r="AF86" i="5"/>
  <c r="AG86" i="5"/>
  <c r="AJ86" i="5"/>
  <c r="AK86" i="5"/>
  <c r="P87" i="5"/>
  <c r="Q87" i="5"/>
  <c r="T87" i="5"/>
  <c r="U87" i="5"/>
  <c r="X87" i="5"/>
  <c r="Y87" i="5"/>
  <c r="AF87" i="5"/>
  <c r="AG87" i="5"/>
  <c r="AJ87" i="5"/>
  <c r="AK87" i="5"/>
  <c r="P88" i="5"/>
  <c r="Q88" i="5"/>
  <c r="T88" i="5"/>
  <c r="U88" i="5"/>
  <c r="X88" i="5"/>
  <c r="Y88" i="5"/>
  <c r="AF88" i="5"/>
  <c r="AG88" i="5"/>
  <c r="AJ88" i="5"/>
  <c r="AK88" i="5"/>
  <c r="P89" i="5"/>
  <c r="Q89" i="5"/>
  <c r="T89" i="5"/>
  <c r="U89" i="5"/>
  <c r="X89" i="5"/>
  <c r="Y89" i="5"/>
  <c r="AF89" i="5"/>
  <c r="AG89" i="5"/>
  <c r="AJ89" i="5"/>
  <c r="AK89" i="5"/>
  <c r="P90" i="5"/>
  <c r="Q90" i="5"/>
  <c r="T90" i="5"/>
  <c r="U90" i="5"/>
  <c r="X90" i="5"/>
  <c r="Y90" i="5"/>
  <c r="AF90" i="5"/>
  <c r="AG90" i="5"/>
  <c r="AJ90" i="5"/>
  <c r="AK90" i="5"/>
  <c r="P91" i="5"/>
  <c r="Q91" i="5"/>
  <c r="T91" i="5"/>
  <c r="U91" i="5"/>
  <c r="X91" i="5"/>
  <c r="Y91" i="5"/>
  <c r="AF91" i="5"/>
  <c r="AG91" i="5"/>
  <c r="AJ91" i="5"/>
  <c r="AK91" i="5"/>
  <c r="P92" i="5"/>
  <c r="Q92" i="5"/>
  <c r="T92" i="5"/>
  <c r="U92" i="5"/>
  <c r="X92" i="5"/>
  <c r="Y92" i="5"/>
  <c r="AF92" i="5"/>
  <c r="AG92" i="5"/>
  <c r="AJ92" i="5"/>
  <c r="AK92" i="5"/>
  <c r="P93" i="5"/>
  <c r="Q93" i="5"/>
  <c r="T93" i="5"/>
  <c r="U93" i="5"/>
  <c r="X93" i="5"/>
  <c r="Y93" i="5"/>
  <c r="AF93" i="5"/>
  <c r="AG93" i="5"/>
  <c r="AJ93" i="5"/>
  <c r="AK93" i="5"/>
  <c r="P94" i="5"/>
  <c r="Q94" i="5"/>
  <c r="T94" i="5"/>
  <c r="U94" i="5"/>
  <c r="X94" i="5"/>
  <c r="Y94" i="5"/>
  <c r="AF94" i="5"/>
  <c r="AG94" i="5"/>
  <c r="AJ94" i="5"/>
  <c r="AK94" i="5"/>
  <c r="P95" i="5"/>
  <c r="Q95" i="5"/>
  <c r="T95" i="5"/>
  <c r="U95" i="5"/>
  <c r="X95" i="5"/>
  <c r="Y95" i="5"/>
  <c r="AF95" i="5"/>
  <c r="AG95" i="5"/>
  <c r="AJ95" i="5"/>
  <c r="AK95" i="5"/>
  <c r="P96" i="5"/>
  <c r="Q96" i="5"/>
  <c r="T96" i="5"/>
  <c r="U96" i="5"/>
  <c r="X96" i="5"/>
  <c r="Y96" i="5"/>
  <c r="AF96" i="5"/>
  <c r="AG96" i="5"/>
  <c r="AJ96" i="5"/>
  <c r="AK96" i="5"/>
  <c r="P97" i="5"/>
  <c r="Q97" i="5"/>
  <c r="T97" i="5"/>
  <c r="U97" i="5"/>
  <c r="X97" i="5"/>
  <c r="Y97" i="5"/>
  <c r="AF97" i="5"/>
  <c r="AG97" i="5"/>
  <c r="AJ97" i="5"/>
  <c r="AK97" i="5"/>
  <c r="P98" i="5"/>
  <c r="Q98" i="5"/>
  <c r="T98" i="5"/>
  <c r="U98" i="5"/>
  <c r="X98" i="5"/>
  <c r="Y98" i="5"/>
  <c r="AF98" i="5"/>
  <c r="AG98" i="5"/>
  <c r="AJ98" i="5"/>
  <c r="AK98" i="5"/>
  <c r="P99" i="5"/>
  <c r="Q99" i="5"/>
  <c r="T99" i="5"/>
  <c r="U99" i="5"/>
  <c r="X99" i="5"/>
  <c r="Y99" i="5"/>
  <c r="AF99" i="5"/>
  <c r="AG99" i="5"/>
  <c r="AJ99" i="5"/>
  <c r="AK99" i="5"/>
  <c r="P100" i="5"/>
  <c r="Q100" i="5"/>
  <c r="T100" i="5"/>
  <c r="U100" i="5"/>
  <c r="X100" i="5"/>
  <c r="Y100" i="5"/>
  <c r="AF100" i="5"/>
  <c r="AG100" i="5"/>
  <c r="AJ100" i="5"/>
  <c r="AK100" i="5"/>
  <c r="P101" i="5"/>
  <c r="Q101" i="5"/>
  <c r="T101" i="5"/>
  <c r="U101" i="5"/>
  <c r="X101" i="5"/>
  <c r="Y101" i="5"/>
  <c r="AF101" i="5"/>
  <c r="AG101" i="5"/>
  <c r="AJ101" i="5"/>
  <c r="AK101" i="5"/>
  <c r="P102" i="5"/>
  <c r="Q102" i="5"/>
  <c r="T102" i="5"/>
  <c r="U102" i="5"/>
  <c r="X102" i="5"/>
  <c r="Y102" i="5"/>
  <c r="AF102" i="5"/>
  <c r="AG102" i="5"/>
  <c r="AJ102" i="5"/>
  <c r="AK102" i="5"/>
  <c r="P103" i="5"/>
  <c r="Q103" i="5"/>
  <c r="T103" i="5"/>
  <c r="U103" i="5"/>
  <c r="X103" i="5"/>
  <c r="Y103" i="5"/>
  <c r="AF103" i="5"/>
  <c r="AG103" i="5"/>
  <c r="AJ103" i="5"/>
  <c r="AK103" i="5"/>
  <c r="P104" i="5"/>
  <c r="Q104" i="5"/>
  <c r="T104" i="5"/>
  <c r="U104" i="5"/>
  <c r="X104" i="5"/>
  <c r="Y104" i="5"/>
  <c r="AF104" i="5"/>
  <c r="AG104" i="5"/>
  <c r="AJ104" i="5"/>
  <c r="AK104" i="5"/>
  <c r="P105" i="5"/>
  <c r="Q105" i="5"/>
  <c r="T105" i="5"/>
  <c r="U105" i="5"/>
  <c r="X105" i="5"/>
  <c r="Y105" i="5"/>
  <c r="AF105" i="5"/>
  <c r="AG105" i="5"/>
  <c r="AJ105" i="5"/>
  <c r="AK105" i="5"/>
  <c r="P106" i="5"/>
  <c r="Q106" i="5"/>
  <c r="T106" i="5"/>
  <c r="U106" i="5"/>
  <c r="X106" i="5"/>
  <c r="Y106" i="5"/>
  <c r="AF106" i="5"/>
  <c r="AG106" i="5"/>
  <c r="AJ106" i="5"/>
  <c r="AK106" i="5"/>
  <c r="P107" i="5"/>
  <c r="Q107" i="5"/>
  <c r="T107" i="5"/>
  <c r="U107" i="5"/>
  <c r="X107" i="5"/>
  <c r="Y107" i="5"/>
  <c r="AF107" i="5"/>
  <c r="AG107" i="5"/>
  <c r="AJ107" i="5"/>
  <c r="AK107" i="5"/>
  <c r="P108" i="5"/>
  <c r="Q108" i="5"/>
  <c r="T108" i="5"/>
  <c r="U108" i="5"/>
  <c r="X108" i="5"/>
  <c r="Y108" i="5"/>
  <c r="AF108" i="5"/>
  <c r="AG108" i="5"/>
  <c r="AJ108" i="5"/>
  <c r="AK108" i="5"/>
  <c r="P109" i="5"/>
  <c r="Q109" i="5"/>
  <c r="T109" i="5"/>
  <c r="U109" i="5"/>
  <c r="X109" i="5"/>
  <c r="Y109" i="5"/>
  <c r="AF109" i="5"/>
  <c r="AG109" i="5"/>
  <c r="AJ109" i="5"/>
  <c r="AK109" i="5"/>
  <c r="P110" i="5"/>
  <c r="Q110" i="5"/>
  <c r="T110" i="5"/>
  <c r="U110" i="5"/>
  <c r="X110" i="5"/>
  <c r="Y110" i="5"/>
  <c r="AF110" i="5"/>
  <c r="AG110" i="5"/>
  <c r="AJ110" i="5"/>
  <c r="AK110" i="5"/>
  <c r="P111" i="5"/>
  <c r="Q111" i="5"/>
  <c r="T111" i="5"/>
  <c r="U111" i="5"/>
  <c r="X111" i="5"/>
  <c r="Y111" i="5"/>
  <c r="AF111" i="5"/>
  <c r="AG111" i="5"/>
  <c r="AJ111" i="5"/>
  <c r="AK111" i="5"/>
  <c r="P112" i="5"/>
  <c r="Q112" i="5"/>
  <c r="T112" i="5"/>
  <c r="U112" i="5"/>
  <c r="X112" i="5"/>
  <c r="Y112" i="5"/>
  <c r="AF112" i="5"/>
  <c r="AG112" i="5"/>
  <c r="AJ112" i="5"/>
  <c r="AK112" i="5"/>
  <c r="P113" i="5"/>
  <c r="Q113" i="5"/>
  <c r="T113" i="5"/>
  <c r="U113" i="5"/>
  <c r="X113" i="5"/>
  <c r="Y113" i="5"/>
  <c r="AF113" i="5"/>
  <c r="AG113" i="5"/>
  <c r="AJ113" i="5"/>
  <c r="AK113" i="5"/>
  <c r="P114" i="5"/>
  <c r="Q114" i="5"/>
  <c r="T114" i="5"/>
  <c r="U114" i="5"/>
  <c r="X114" i="5"/>
  <c r="Y114" i="5"/>
  <c r="AF114" i="5"/>
  <c r="AG114" i="5"/>
  <c r="AJ114" i="5"/>
  <c r="AK114" i="5"/>
  <c r="P115" i="5"/>
  <c r="Q115" i="5"/>
  <c r="T115" i="5"/>
  <c r="U115" i="5"/>
  <c r="X115" i="5"/>
  <c r="Y115" i="5"/>
  <c r="AF115" i="5"/>
  <c r="AG115" i="5"/>
  <c r="AJ115" i="5"/>
  <c r="AK115" i="5"/>
  <c r="P116" i="5"/>
  <c r="Q116" i="5"/>
  <c r="T116" i="5"/>
  <c r="U116" i="5"/>
  <c r="X116" i="5"/>
  <c r="Y116" i="5"/>
  <c r="AF116" i="5"/>
  <c r="AG116" i="5"/>
  <c r="AJ116" i="5"/>
  <c r="AK116" i="5"/>
  <c r="P117" i="5"/>
  <c r="Q117" i="5"/>
  <c r="T117" i="5"/>
  <c r="U117" i="5"/>
  <c r="X117" i="5"/>
  <c r="Y117" i="5"/>
  <c r="AF117" i="5"/>
  <c r="AG117" i="5"/>
  <c r="AJ117" i="5"/>
  <c r="AK117" i="5"/>
  <c r="P118" i="5"/>
  <c r="Q118" i="5"/>
  <c r="T118" i="5"/>
  <c r="U118" i="5"/>
  <c r="X118" i="5"/>
  <c r="Y118" i="5"/>
  <c r="AF118" i="5"/>
  <c r="AG118" i="5"/>
  <c r="AJ118" i="5"/>
  <c r="AK118" i="5"/>
  <c r="P119" i="5"/>
  <c r="Q119" i="5"/>
  <c r="T119" i="5"/>
  <c r="U119" i="5"/>
  <c r="X119" i="5"/>
  <c r="Y119" i="5"/>
  <c r="AF119" i="5"/>
  <c r="AG119" i="5"/>
  <c r="AJ119" i="5"/>
  <c r="AK119" i="5"/>
  <c r="P120" i="5"/>
  <c r="Q120" i="5"/>
  <c r="T120" i="5"/>
  <c r="U120" i="5"/>
  <c r="X120" i="5"/>
  <c r="Y120" i="5"/>
  <c r="AF120" i="5"/>
  <c r="AG120" i="5"/>
  <c r="AJ120" i="5"/>
  <c r="AK120" i="5"/>
  <c r="P121" i="5"/>
  <c r="Q121" i="5"/>
  <c r="T121" i="5"/>
  <c r="U121" i="5"/>
  <c r="X121" i="5"/>
  <c r="Y121" i="5"/>
  <c r="AF121" i="5"/>
  <c r="AG121" i="5"/>
  <c r="AJ121" i="5"/>
  <c r="AK121" i="5"/>
  <c r="P122" i="5"/>
  <c r="Q122" i="5"/>
  <c r="T122" i="5"/>
  <c r="U122" i="5"/>
  <c r="X122" i="5"/>
  <c r="Y122" i="5"/>
  <c r="AF122" i="5"/>
  <c r="AG122" i="5"/>
  <c r="AJ122" i="5"/>
  <c r="AK122" i="5"/>
  <c r="P123" i="5"/>
  <c r="Q123" i="5"/>
  <c r="T123" i="5"/>
  <c r="U123" i="5"/>
  <c r="X123" i="5"/>
  <c r="Y123" i="5"/>
  <c r="AF123" i="5"/>
  <c r="AG123" i="5"/>
  <c r="AJ123" i="5"/>
  <c r="AK123" i="5"/>
  <c r="P124" i="5"/>
  <c r="Q124" i="5"/>
  <c r="T124" i="5"/>
  <c r="U124" i="5"/>
  <c r="X124" i="5"/>
  <c r="Y124" i="5"/>
  <c r="AF124" i="5"/>
  <c r="AG124" i="5"/>
  <c r="AJ124" i="5"/>
  <c r="AK124" i="5"/>
  <c r="P125" i="5"/>
  <c r="Q125" i="5"/>
  <c r="T125" i="5"/>
  <c r="U125" i="5"/>
  <c r="X125" i="5"/>
  <c r="Y125" i="5"/>
  <c r="AF125" i="5"/>
  <c r="AG125" i="5"/>
  <c r="AJ125" i="5"/>
  <c r="AK125" i="5"/>
  <c r="P126" i="5"/>
  <c r="Q126" i="5"/>
  <c r="T126" i="5"/>
  <c r="U126" i="5"/>
  <c r="X126" i="5"/>
  <c r="Y126" i="5"/>
  <c r="AF126" i="5"/>
  <c r="AG126" i="5"/>
  <c r="AJ126" i="5"/>
  <c r="AK126" i="5"/>
  <c r="P127" i="5"/>
  <c r="Q127" i="5"/>
  <c r="T127" i="5"/>
  <c r="U127" i="5"/>
  <c r="X127" i="5"/>
  <c r="Y127" i="5"/>
  <c r="AF127" i="5"/>
  <c r="AG127" i="5"/>
  <c r="AJ127" i="5"/>
  <c r="AK127" i="5"/>
  <c r="P128" i="5"/>
  <c r="Q128" i="5"/>
  <c r="T128" i="5"/>
  <c r="U128" i="5"/>
  <c r="X128" i="5"/>
  <c r="Y128" i="5"/>
  <c r="AF128" i="5"/>
  <c r="AG128" i="5"/>
  <c r="AJ128" i="5"/>
  <c r="AK128" i="5"/>
  <c r="P129" i="5"/>
  <c r="Q129" i="5"/>
  <c r="T129" i="5"/>
  <c r="U129" i="5"/>
  <c r="X129" i="5"/>
  <c r="Y129" i="5"/>
  <c r="AF129" i="5"/>
  <c r="AG129" i="5"/>
  <c r="AJ129" i="5"/>
  <c r="AK129" i="5"/>
  <c r="P130" i="5"/>
  <c r="Q130" i="5"/>
  <c r="T130" i="5"/>
  <c r="U130" i="5"/>
  <c r="X130" i="5"/>
  <c r="Y130" i="5"/>
  <c r="AF130" i="5"/>
  <c r="AG130" i="5"/>
  <c r="AJ130" i="5"/>
  <c r="AK130" i="5"/>
  <c r="P131" i="5"/>
  <c r="Q131" i="5"/>
  <c r="T131" i="5"/>
  <c r="U131" i="5"/>
  <c r="X131" i="5"/>
  <c r="Y131" i="5"/>
  <c r="AF131" i="5"/>
  <c r="AG131" i="5"/>
  <c r="AJ131" i="5"/>
  <c r="AK131" i="5"/>
  <c r="P132" i="5"/>
  <c r="Q132" i="5"/>
  <c r="T132" i="5"/>
  <c r="U132" i="5"/>
  <c r="X132" i="5"/>
  <c r="Y132" i="5"/>
  <c r="AF132" i="5"/>
  <c r="AG132" i="5"/>
  <c r="AJ132" i="5"/>
  <c r="AK132" i="5"/>
  <c r="P133" i="5"/>
  <c r="Q133" i="5"/>
  <c r="T133" i="5"/>
  <c r="U133" i="5"/>
  <c r="X133" i="5"/>
  <c r="Y133" i="5"/>
  <c r="AF133" i="5"/>
  <c r="AG133" i="5"/>
  <c r="AJ133" i="5"/>
  <c r="AK133" i="5"/>
  <c r="P134" i="5"/>
  <c r="Q134" i="5"/>
  <c r="T134" i="5"/>
  <c r="U134" i="5"/>
  <c r="X134" i="5"/>
  <c r="Y134" i="5"/>
  <c r="AF134" i="5"/>
  <c r="AG134" i="5"/>
  <c r="AJ134" i="5"/>
  <c r="AK134" i="5"/>
  <c r="P135" i="5"/>
  <c r="Q135" i="5"/>
  <c r="T135" i="5"/>
  <c r="U135" i="5"/>
  <c r="X135" i="5"/>
  <c r="Y135" i="5"/>
  <c r="AF135" i="5"/>
  <c r="AG135" i="5"/>
  <c r="AJ135" i="5"/>
  <c r="AK135" i="5"/>
  <c r="P136" i="5"/>
  <c r="Q136" i="5"/>
  <c r="T136" i="5"/>
  <c r="U136" i="5"/>
  <c r="X136" i="5"/>
  <c r="Y136" i="5"/>
  <c r="AF136" i="5"/>
  <c r="AG136" i="5"/>
  <c r="AJ136" i="5"/>
  <c r="AK136" i="5"/>
  <c r="P137" i="5"/>
  <c r="Q137" i="5"/>
  <c r="T137" i="5"/>
  <c r="U137" i="5"/>
  <c r="X137" i="5"/>
  <c r="Y137" i="5"/>
  <c r="AF137" i="5"/>
  <c r="AG137" i="5"/>
  <c r="AJ137" i="5"/>
  <c r="AK137" i="5"/>
  <c r="P138" i="5"/>
  <c r="Q138" i="5"/>
  <c r="T138" i="5"/>
  <c r="U138" i="5"/>
  <c r="X138" i="5"/>
  <c r="Y138" i="5"/>
  <c r="AF138" i="5"/>
  <c r="AG138" i="5"/>
  <c r="AJ138" i="5"/>
  <c r="AK138" i="5"/>
  <c r="P139" i="5"/>
  <c r="Q139" i="5"/>
  <c r="T139" i="5"/>
  <c r="U139" i="5"/>
  <c r="X139" i="5"/>
  <c r="Y139" i="5"/>
  <c r="AF139" i="5"/>
  <c r="AG139" i="5"/>
  <c r="AJ139" i="5"/>
  <c r="AK139" i="5"/>
  <c r="P140" i="5"/>
  <c r="Q140" i="5"/>
  <c r="T140" i="5"/>
  <c r="U140" i="5"/>
  <c r="X140" i="5"/>
  <c r="Y140" i="5"/>
  <c r="AF140" i="5"/>
  <c r="AG140" i="5"/>
  <c r="AJ140" i="5"/>
  <c r="AK140" i="5"/>
  <c r="P141" i="5"/>
  <c r="Q141" i="5"/>
  <c r="T141" i="5"/>
  <c r="U141" i="5"/>
  <c r="X141" i="5"/>
  <c r="Y141" i="5"/>
  <c r="AF141" i="5"/>
  <c r="AG141" i="5"/>
  <c r="AJ141" i="5"/>
  <c r="AK141" i="5"/>
  <c r="P142" i="5"/>
  <c r="Q142" i="5"/>
  <c r="T142" i="5"/>
  <c r="U142" i="5"/>
  <c r="X142" i="5"/>
  <c r="Y142" i="5"/>
  <c r="AF142" i="5"/>
  <c r="AG142" i="5"/>
  <c r="AJ142" i="5"/>
  <c r="AK142" i="5"/>
  <c r="P143" i="5"/>
  <c r="Q143" i="5"/>
  <c r="T143" i="5"/>
  <c r="U143" i="5"/>
  <c r="X143" i="5"/>
  <c r="Y143" i="5"/>
  <c r="AF143" i="5"/>
  <c r="AG143" i="5"/>
  <c r="AJ143" i="5"/>
  <c r="AK143" i="5"/>
  <c r="P144" i="5"/>
  <c r="Q144" i="5"/>
  <c r="T144" i="5"/>
  <c r="U144" i="5"/>
  <c r="X144" i="5"/>
  <c r="Y144" i="5"/>
  <c r="AF144" i="5"/>
  <c r="AG144" i="5"/>
  <c r="AJ144" i="5"/>
  <c r="AK144" i="5"/>
  <c r="P145" i="5"/>
  <c r="Q145" i="5"/>
  <c r="T145" i="5"/>
  <c r="U145" i="5"/>
  <c r="X145" i="5"/>
  <c r="Y145" i="5"/>
  <c r="AF145" i="5"/>
  <c r="AG145" i="5"/>
  <c r="AJ145" i="5"/>
  <c r="AK145" i="5"/>
  <c r="P146" i="5"/>
  <c r="Q146" i="5"/>
  <c r="T146" i="5"/>
  <c r="U146" i="5"/>
  <c r="X146" i="5"/>
  <c r="Y146" i="5"/>
  <c r="AF146" i="5"/>
  <c r="AG146" i="5"/>
  <c r="AJ146" i="5"/>
  <c r="AK146" i="5"/>
  <c r="P147" i="5"/>
  <c r="Q147" i="5"/>
  <c r="T147" i="5"/>
  <c r="U147" i="5"/>
  <c r="X147" i="5"/>
  <c r="Y147" i="5"/>
  <c r="AF147" i="5"/>
  <c r="AG147" i="5"/>
  <c r="AJ147" i="5"/>
  <c r="AK147" i="5"/>
  <c r="P148" i="5"/>
  <c r="Q148" i="5"/>
  <c r="T148" i="5"/>
  <c r="U148" i="5"/>
  <c r="X148" i="5"/>
  <c r="Y148" i="5"/>
  <c r="AF148" i="5"/>
  <c r="AG148" i="5"/>
  <c r="AJ148" i="5"/>
  <c r="AK148" i="5"/>
  <c r="P149" i="5"/>
  <c r="Q149" i="5"/>
  <c r="T149" i="5"/>
  <c r="U149" i="5"/>
  <c r="X149" i="5"/>
  <c r="Y149" i="5"/>
  <c r="AF149" i="5"/>
  <c r="AG149" i="5"/>
  <c r="AJ149" i="5"/>
  <c r="AK149" i="5"/>
  <c r="P150" i="5"/>
  <c r="Q150" i="5"/>
  <c r="T150" i="5"/>
  <c r="U150" i="5"/>
  <c r="X150" i="5"/>
  <c r="Y150" i="5"/>
  <c r="AF150" i="5"/>
  <c r="AG150" i="5"/>
  <c r="AJ150" i="5"/>
  <c r="AK150" i="5"/>
  <c r="P151" i="5"/>
  <c r="Q151" i="5"/>
  <c r="T151" i="5"/>
  <c r="U151" i="5"/>
  <c r="X151" i="5"/>
  <c r="Y151" i="5"/>
  <c r="AF151" i="5"/>
  <c r="AG151" i="5"/>
  <c r="AJ151" i="5"/>
  <c r="AK151" i="5"/>
  <c r="P152" i="5"/>
  <c r="Q152" i="5"/>
  <c r="T152" i="5"/>
  <c r="U152" i="5"/>
  <c r="X152" i="5"/>
  <c r="Y152" i="5"/>
  <c r="AF152" i="5"/>
  <c r="AG152" i="5"/>
  <c r="AJ152" i="5"/>
  <c r="AK152" i="5"/>
  <c r="P153" i="5"/>
  <c r="Q153" i="5"/>
  <c r="T153" i="5"/>
  <c r="U153" i="5"/>
  <c r="X153" i="5"/>
  <c r="Y153" i="5"/>
  <c r="AF153" i="5"/>
  <c r="AG153" i="5"/>
  <c r="AJ153" i="5"/>
  <c r="AK153" i="5"/>
  <c r="P154" i="5"/>
  <c r="Q154" i="5"/>
  <c r="T154" i="5"/>
  <c r="U154" i="5"/>
  <c r="X154" i="5"/>
  <c r="Y154" i="5"/>
  <c r="AF154" i="5"/>
  <c r="AG154" i="5"/>
  <c r="AJ154" i="5"/>
  <c r="AK154" i="5"/>
  <c r="P155" i="5"/>
  <c r="Q155" i="5"/>
  <c r="T155" i="5"/>
  <c r="U155" i="5"/>
  <c r="X155" i="5"/>
  <c r="Y155" i="5"/>
  <c r="AF155" i="5"/>
  <c r="AG155" i="5"/>
  <c r="AJ155" i="5"/>
  <c r="AK155" i="5"/>
  <c r="P156" i="5"/>
  <c r="Q156" i="5"/>
  <c r="T156" i="5"/>
  <c r="U156" i="5"/>
  <c r="X156" i="5"/>
  <c r="Y156" i="5"/>
  <c r="AF156" i="5"/>
  <c r="AG156" i="5"/>
  <c r="AJ156" i="5"/>
  <c r="AK156" i="5"/>
  <c r="P157" i="5"/>
  <c r="Q157" i="5"/>
  <c r="T157" i="5"/>
  <c r="U157" i="5"/>
  <c r="X157" i="5"/>
  <c r="Y157" i="5"/>
  <c r="AF157" i="5"/>
  <c r="AG157" i="5"/>
  <c r="AJ157" i="5"/>
  <c r="AK157" i="5"/>
  <c r="P158" i="5"/>
  <c r="Q158" i="5"/>
  <c r="T158" i="5"/>
  <c r="U158" i="5"/>
  <c r="X158" i="5"/>
  <c r="Y158" i="5"/>
  <c r="AF158" i="5"/>
  <c r="AG158" i="5"/>
  <c r="AJ158" i="5"/>
  <c r="AK158" i="5"/>
  <c r="P159" i="5"/>
  <c r="Q159" i="5"/>
  <c r="T159" i="5"/>
  <c r="U159" i="5"/>
  <c r="X159" i="5"/>
  <c r="Y159" i="5"/>
  <c r="AF159" i="5"/>
  <c r="AG159" i="5"/>
  <c r="AJ159" i="5"/>
  <c r="AK159" i="5"/>
  <c r="P160" i="5"/>
  <c r="Q160" i="5"/>
  <c r="T160" i="5"/>
  <c r="U160" i="5"/>
  <c r="X160" i="5"/>
  <c r="Y160" i="5"/>
  <c r="AF160" i="5"/>
  <c r="AG160" i="5"/>
  <c r="AJ160" i="5"/>
  <c r="AK160" i="5"/>
  <c r="P161" i="5"/>
  <c r="Q161" i="5"/>
  <c r="T161" i="5"/>
  <c r="U161" i="5"/>
  <c r="X161" i="5"/>
  <c r="Y161" i="5"/>
  <c r="AF161" i="5"/>
  <c r="AG161" i="5"/>
  <c r="AJ161" i="5"/>
  <c r="AK161" i="5"/>
  <c r="P162" i="5"/>
  <c r="Q162" i="5"/>
  <c r="T162" i="5"/>
  <c r="U162" i="5"/>
  <c r="X162" i="5"/>
  <c r="Y162" i="5"/>
  <c r="AF162" i="5"/>
  <c r="AG162" i="5"/>
  <c r="AJ162" i="5"/>
  <c r="AK162" i="5"/>
  <c r="P163" i="5"/>
  <c r="Q163" i="5"/>
  <c r="T163" i="5"/>
  <c r="U163" i="5"/>
  <c r="X163" i="5"/>
  <c r="Y163" i="5"/>
  <c r="AF163" i="5"/>
  <c r="AG163" i="5"/>
  <c r="AJ163" i="5"/>
  <c r="AK163" i="5"/>
  <c r="P164" i="5"/>
  <c r="Q164" i="5"/>
  <c r="T164" i="5"/>
  <c r="U164" i="5"/>
  <c r="X164" i="5"/>
  <c r="Y164" i="5"/>
  <c r="AF164" i="5"/>
  <c r="AG164" i="5"/>
  <c r="AJ164" i="5"/>
  <c r="AK164" i="5"/>
  <c r="P165" i="5"/>
  <c r="Q165" i="5"/>
  <c r="T165" i="5"/>
  <c r="U165" i="5"/>
  <c r="X165" i="5"/>
  <c r="Y165" i="5"/>
  <c r="AF165" i="5"/>
  <c r="AG165" i="5"/>
  <c r="AJ165" i="5"/>
  <c r="AK165" i="5"/>
  <c r="P166" i="5"/>
  <c r="Q166" i="5"/>
  <c r="T166" i="5"/>
  <c r="U166" i="5"/>
  <c r="X166" i="5"/>
  <c r="Y166" i="5"/>
  <c r="AF166" i="5"/>
  <c r="AG166" i="5"/>
  <c r="AJ166" i="5"/>
  <c r="AK166" i="5"/>
  <c r="P167" i="5"/>
  <c r="Q167" i="5"/>
  <c r="T167" i="5"/>
  <c r="U167" i="5"/>
  <c r="X167" i="5"/>
  <c r="Y167" i="5"/>
  <c r="AF167" i="5"/>
  <c r="AG167" i="5"/>
  <c r="AJ167" i="5"/>
  <c r="AK167" i="5"/>
  <c r="P168" i="5"/>
  <c r="Q168" i="5"/>
  <c r="T168" i="5"/>
  <c r="U168" i="5"/>
  <c r="X168" i="5"/>
  <c r="Y168" i="5"/>
  <c r="AF168" i="5"/>
  <c r="AG168" i="5"/>
  <c r="AJ168" i="5"/>
  <c r="AK168" i="5"/>
  <c r="P169" i="5"/>
  <c r="Q169" i="5"/>
  <c r="T169" i="5"/>
  <c r="U169" i="5"/>
  <c r="X169" i="5"/>
  <c r="Y169" i="5"/>
  <c r="AF169" i="5"/>
  <c r="AG169" i="5"/>
  <c r="AJ169" i="5"/>
  <c r="AK169" i="5"/>
  <c r="P170" i="5"/>
  <c r="Q170" i="5"/>
  <c r="T170" i="5"/>
  <c r="U170" i="5"/>
  <c r="X170" i="5"/>
  <c r="Y170" i="5"/>
  <c r="AF170" i="5"/>
  <c r="AG170" i="5"/>
  <c r="AJ170" i="5"/>
  <c r="AK170" i="5"/>
  <c r="P171" i="5"/>
  <c r="Q171" i="5"/>
  <c r="T171" i="5"/>
  <c r="U171" i="5"/>
  <c r="X171" i="5"/>
  <c r="Y171" i="5"/>
  <c r="AF171" i="5"/>
  <c r="AG171" i="5"/>
  <c r="AJ171" i="5"/>
  <c r="AK171" i="5"/>
  <c r="P172" i="5"/>
  <c r="Q172" i="5"/>
  <c r="T172" i="5"/>
  <c r="U172" i="5"/>
  <c r="X172" i="5"/>
  <c r="Y172" i="5"/>
  <c r="AF172" i="5"/>
  <c r="AG172" i="5"/>
  <c r="AJ172" i="5"/>
  <c r="AK172" i="5"/>
  <c r="P173" i="5"/>
  <c r="Q173" i="5"/>
  <c r="T173" i="5"/>
  <c r="U173" i="5"/>
  <c r="X173" i="5"/>
  <c r="Y173" i="5"/>
  <c r="AF173" i="5"/>
  <c r="AG173" i="5"/>
  <c r="AJ173" i="5"/>
  <c r="AK173" i="5"/>
  <c r="P174" i="5"/>
  <c r="Q174" i="5"/>
  <c r="T174" i="5"/>
  <c r="U174" i="5"/>
  <c r="X174" i="5"/>
  <c r="Y174" i="5"/>
  <c r="AF174" i="5"/>
  <c r="AG174" i="5"/>
  <c r="AJ174" i="5"/>
  <c r="AK174" i="5"/>
  <c r="P175" i="5"/>
  <c r="Q175" i="5"/>
  <c r="T175" i="5"/>
  <c r="U175" i="5"/>
  <c r="X175" i="5"/>
  <c r="Y175" i="5"/>
  <c r="AF175" i="5"/>
  <c r="AG175" i="5"/>
  <c r="AJ175" i="5"/>
  <c r="AK175" i="5"/>
  <c r="P176" i="5"/>
  <c r="Q176" i="5"/>
  <c r="T176" i="5"/>
  <c r="U176" i="5"/>
  <c r="X176" i="5"/>
  <c r="Y176" i="5"/>
  <c r="AF176" i="5"/>
  <c r="AG176" i="5"/>
  <c r="AJ176" i="5"/>
  <c r="AK176" i="5"/>
  <c r="P177" i="5"/>
  <c r="Q177" i="5"/>
  <c r="T177" i="5"/>
  <c r="U177" i="5"/>
  <c r="X177" i="5"/>
  <c r="Y177" i="5"/>
  <c r="AF177" i="5"/>
  <c r="AG177" i="5"/>
  <c r="AJ177" i="5"/>
  <c r="AK177" i="5"/>
  <c r="P178" i="5"/>
  <c r="Q178" i="5"/>
  <c r="T178" i="5"/>
  <c r="U178" i="5"/>
  <c r="X178" i="5"/>
  <c r="Y178" i="5"/>
  <c r="AF178" i="5"/>
  <c r="AG178" i="5"/>
  <c r="AJ178" i="5"/>
  <c r="AK178" i="5"/>
  <c r="P179" i="5"/>
  <c r="Q179" i="5"/>
  <c r="T179" i="5"/>
  <c r="U179" i="5"/>
  <c r="X179" i="5"/>
  <c r="Y179" i="5"/>
  <c r="AF179" i="5"/>
  <c r="AG179" i="5"/>
  <c r="AJ179" i="5"/>
  <c r="AK179" i="5"/>
  <c r="P180" i="5"/>
  <c r="Q180" i="5"/>
  <c r="T180" i="5"/>
  <c r="U180" i="5"/>
  <c r="X180" i="5"/>
  <c r="Y180" i="5"/>
  <c r="AF180" i="5"/>
  <c r="AG180" i="5"/>
  <c r="AJ180" i="5"/>
  <c r="AK180" i="5"/>
  <c r="P181" i="5"/>
  <c r="Q181" i="5"/>
  <c r="T181" i="5"/>
  <c r="U181" i="5"/>
  <c r="X181" i="5"/>
  <c r="Y181" i="5"/>
  <c r="AF181" i="5"/>
  <c r="AG181" i="5"/>
  <c r="AJ181" i="5"/>
  <c r="AK181" i="5"/>
  <c r="P182" i="5"/>
  <c r="Q182" i="5"/>
  <c r="T182" i="5"/>
  <c r="U182" i="5"/>
  <c r="X182" i="5"/>
  <c r="Y182" i="5"/>
  <c r="AF182" i="5"/>
  <c r="AG182" i="5"/>
  <c r="AJ182" i="5"/>
  <c r="AK182" i="5"/>
  <c r="P183" i="5"/>
  <c r="Q183" i="5"/>
  <c r="T183" i="5"/>
  <c r="U183" i="5"/>
  <c r="X183" i="5"/>
  <c r="Y183" i="5"/>
  <c r="AF183" i="5"/>
  <c r="AG183" i="5"/>
  <c r="AJ183" i="5"/>
  <c r="AK183" i="5"/>
  <c r="P184" i="5"/>
  <c r="Q184" i="5"/>
  <c r="T184" i="5"/>
  <c r="U184" i="5"/>
  <c r="X184" i="5"/>
  <c r="Y184" i="5"/>
  <c r="AF184" i="5"/>
  <c r="AG184" i="5"/>
  <c r="AJ184" i="5"/>
  <c r="AK184" i="5"/>
  <c r="P185" i="5"/>
  <c r="Q185" i="5"/>
  <c r="T185" i="5"/>
  <c r="U185" i="5"/>
  <c r="X185" i="5"/>
  <c r="Y185" i="5"/>
  <c r="AF185" i="5"/>
  <c r="AG185" i="5"/>
  <c r="AJ185" i="5"/>
  <c r="AK185" i="5"/>
  <c r="P186" i="5"/>
  <c r="Q186" i="5"/>
  <c r="T186" i="5"/>
  <c r="U186" i="5"/>
  <c r="X186" i="5"/>
  <c r="Y186" i="5"/>
  <c r="AF186" i="5"/>
  <c r="AG186" i="5"/>
  <c r="AJ186" i="5"/>
  <c r="AK186" i="5"/>
  <c r="P187" i="5"/>
  <c r="Q187" i="5"/>
  <c r="T187" i="5"/>
  <c r="U187" i="5"/>
  <c r="X187" i="5"/>
  <c r="Y187" i="5"/>
  <c r="AF187" i="5"/>
  <c r="AG187" i="5"/>
  <c r="AJ187" i="5"/>
  <c r="AK187" i="5"/>
  <c r="P188" i="5"/>
  <c r="Q188" i="5"/>
  <c r="T188" i="5"/>
  <c r="U188" i="5"/>
  <c r="X188" i="5"/>
  <c r="Y188" i="5"/>
  <c r="AF188" i="5"/>
  <c r="AG188" i="5"/>
  <c r="AJ188" i="5"/>
  <c r="AK188" i="5"/>
  <c r="P189" i="5"/>
  <c r="Q189" i="5"/>
  <c r="T189" i="5"/>
  <c r="U189" i="5"/>
  <c r="X189" i="5"/>
  <c r="Y189" i="5"/>
  <c r="AF189" i="5"/>
  <c r="AG189" i="5"/>
  <c r="AJ189" i="5"/>
  <c r="AK189" i="5"/>
  <c r="P190" i="5"/>
  <c r="Q190" i="5"/>
  <c r="T190" i="5"/>
  <c r="U190" i="5"/>
  <c r="X190" i="5"/>
  <c r="Y190" i="5"/>
  <c r="AF190" i="5"/>
  <c r="AG190" i="5"/>
  <c r="AJ190" i="5"/>
  <c r="AK190" i="5"/>
  <c r="P191" i="5"/>
  <c r="Q191" i="5"/>
  <c r="T191" i="5"/>
  <c r="U191" i="5"/>
  <c r="X191" i="5"/>
  <c r="Y191" i="5"/>
  <c r="AF191" i="5"/>
  <c r="AG191" i="5"/>
  <c r="AJ191" i="5"/>
  <c r="AK191" i="5"/>
  <c r="P192" i="5"/>
  <c r="Q192" i="5"/>
  <c r="T192" i="5"/>
  <c r="U192" i="5"/>
  <c r="X192" i="5"/>
  <c r="Y192" i="5"/>
  <c r="AF192" i="5"/>
  <c r="AG192" i="5"/>
  <c r="AJ192" i="5"/>
  <c r="AK192" i="5"/>
  <c r="P193" i="5"/>
  <c r="Q193" i="5"/>
  <c r="T193" i="5"/>
  <c r="U193" i="5"/>
  <c r="X193" i="5"/>
  <c r="Y193" i="5"/>
  <c r="AF193" i="5"/>
  <c r="AG193" i="5"/>
  <c r="AJ193" i="5"/>
  <c r="AK193" i="5"/>
  <c r="P194" i="5"/>
  <c r="Q194" i="5"/>
  <c r="T194" i="5"/>
  <c r="U194" i="5"/>
  <c r="X194" i="5"/>
  <c r="Y194" i="5"/>
  <c r="AF194" i="5"/>
  <c r="AG194" i="5"/>
  <c r="AJ194" i="5"/>
  <c r="AK194" i="5"/>
  <c r="P195" i="5"/>
  <c r="Q195" i="5"/>
  <c r="T195" i="5"/>
  <c r="U195" i="5"/>
  <c r="X195" i="5"/>
  <c r="Y195" i="5"/>
  <c r="AF195" i="5"/>
  <c r="AG195" i="5"/>
  <c r="AJ195" i="5"/>
  <c r="AK195" i="5"/>
  <c r="P196" i="5"/>
  <c r="Q196" i="5"/>
  <c r="T196" i="5"/>
  <c r="U196" i="5"/>
  <c r="X196" i="5"/>
  <c r="Y196" i="5"/>
  <c r="AF196" i="5"/>
  <c r="AG196" i="5"/>
  <c r="AJ196" i="5"/>
  <c r="AK196" i="5"/>
  <c r="P197" i="5"/>
  <c r="Q197" i="5"/>
  <c r="T197" i="5"/>
  <c r="U197" i="5"/>
  <c r="X197" i="5"/>
  <c r="Y197" i="5"/>
  <c r="AF197" i="5"/>
  <c r="AG197" i="5"/>
  <c r="AJ197" i="5"/>
  <c r="AK197" i="5"/>
  <c r="P198" i="5"/>
  <c r="Q198" i="5"/>
  <c r="T198" i="5"/>
  <c r="U198" i="5"/>
  <c r="X198" i="5"/>
  <c r="Y198" i="5"/>
  <c r="AF198" i="5"/>
  <c r="AG198" i="5"/>
  <c r="AJ198" i="5"/>
  <c r="AK198" i="5"/>
  <c r="P199" i="5"/>
  <c r="Q199" i="5"/>
  <c r="T199" i="5"/>
  <c r="U199" i="5"/>
  <c r="X199" i="5"/>
  <c r="Y199" i="5"/>
  <c r="AF199" i="5"/>
  <c r="AG199" i="5"/>
  <c r="AJ199" i="5"/>
  <c r="AK199" i="5"/>
  <c r="P200" i="5"/>
  <c r="Q200" i="5"/>
  <c r="T200" i="5"/>
  <c r="U200" i="5"/>
  <c r="X200" i="5"/>
  <c r="Y200" i="5"/>
  <c r="AF200" i="5"/>
  <c r="AG200" i="5"/>
  <c r="AJ200" i="5"/>
  <c r="AK200" i="5"/>
  <c r="P201" i="5"/>
  <c r="Q201" i="5"/>
  <c r="T201" i="5"/>
  <c r="U201" i="5"/>
  <c r="X201" i="5"/>
  <c r="Y201" i="5"/>
  <c r="AF201" i="5"/>
  <c r="AG201" i="5"/>
  <c r="AJ201" i="5"/>
  <c r="AK201" i="5"/>
  <c r="P202" i="5"/>
  <c r="Q202" i="5"/>
  <c r="T202" i="5"/>
  <c r="U202" i="5"/>
  <c r="X202" i="5"/>
  <c r="Y202" i="5"/>
  <c r="AF202" i="5"/>
  <c r="AG202" i="5"/>
  <c r="AJ202" i="5"/>
  <c r="AK202" i="5"/>
  <c r="P203" i="5"/>
  <c r="Q203" i="5"/>
  <c r="T203" i="5"/>
  <c r="U203" i="5"/>
  <c r="X203" i="5"/>
  <c r="Y203" i="5"/>
  <c r="AF203" i="5"/>
  <c r="AG203" i="5"/>
  <c r="AJ203" i="5"/>
  <c r="AK203" i="5"/>
  <c r="P204" i="5"/>
  <c r="Q204" i="5"/>
  <c r="T204" i="5"/>
  <c r="U204" i="5"/>
  <c r="X204" i="5"/>
  <c r="Y204" i="5"/>
  <c r="AF204" i="5"/>
  <c r="AG204" i="5"/>
  <c r="AJ204" i="5"/>
  <c r="AK204" i="5"/>
  <c r="P205" i="5"/>
  <c r="Q205" i="5"/>
  <c r="T205" i="5"/>
  <c r="U205" i="5"/>
  <c r="X205" i="5"/>
  <c r="Y205" i="5"/>
  <c r="AF205" i="5"/>
  <c r="AG205" i="5"/>
  <c r="AJ205" i="5"/>
  <c r="AK205" i="5"/>
  <c r="P206" i="5"/>
  <c r="Q206" i="5"/>
  <c r="T206" i="5"/>
  <c r="U206" i="5"/>
  <c r="X206" i="5"/>
  <c r="Y206" i="5"/>
  <c r="AF206" i="5"/>
  <c r="AG206" i="5"/>
  <c r="AJ206" i="5"/>
  <c r="AK206" i="5"/>
  <c r="P207" i="5"/>
  <c r="Q207" i="5"/>
  <c r="T207" i="5"/>
  <c r="U207" i="5"/>
  <c r="X207" i="5"/>
  <c r="Y207" i="5"/>
  <c r="AF207" i="5"/>
  <c r="AG207" i="5"/>
  <c r="AJ207" i="5"/>
  <c r="AK207" i="5"/>
  <c r="P208" i="5"/>
  <c r="Q208" i="5"/>
  <c r="T208" i="5"/>
  <c r="U208" i="5"/>
  <c r="X208" i="5"/>
  <c r="Y208" i="5"/>
  <c r="AF208" i="5"/>
  <c r="AG208" i="5"/>
  <c r="AJ208" i="5"/>
  <c r="AK208" i="5"/>
  <c r="P209" i="5"/>
  <c r="Q209" i="5"/>
  <c r="T209" i="5"/>
  <c r="U209" i="5"/>
  <c r="X209" i="5"/>
  <c r="Y209" i="5"/>
  <c r="AF209" i="5"/>
  <c r="AG209" i="5"/>
  <c r="AJ209" i="5"/>
  <c r="AK209" i="5"/>
  <c r="P210" i="5"/>
  <c r="Q210" i="5"/>
  <c r="T210" i="5"/>
  <c r="U210" i="5"/>
  <c r="X210" i="5"/>
  <c r="Y210" i="5"/>
  <c r="AF210" i="5"/>
  <c r="AG210" i="5"/>
  <c r="AJ210" i="5"/>
  <c r="AK210" i="5"/>
  <c r="P211" i="5"/>
  <c r="Q211" i="5"/>
  <c r="T211" i="5"/>
  <c r="U211" i="5"/>
  <c r="X211" i="5"/>
  <c r="Y211" i="5"/>
  <c r="AF211" i="5"/>
  <c r="AG211" i="5"/>
  <c r="AJ211" i="5"/>
  <c r="AK211" i="5"/>
  <c r="P212" i="5"/>
  <c r="Q212" i="5"/>
  <c r="T212" i="5"/>
  <c r="U212" i="5"/>
  <c r="X212" i="5"/>
  <c r="Y212" i="5"/>
  <c r="AF212" i="5"/>
  <c r="AG212" i="5"/>
  <c r="AJ212" i="5"/>
  <c r="AK212" i="5"/>
  <c r="P213" i="5"/>
  <c r="Q213" i="5"/>
  <c r="T213" i="5"/>
  <c r="U213" i="5"/>
  <c r="X213" i="5"/>
  <c r="Y213" i="5"/>
  <c r="AF213" i="5"/>
  <c r="AG213" i="5"/>
  <c r="AJ213" i="5"/>
  <c r="AK213" i="5"/>
  <c r="P214" i="5"/>
  <c r="Q214" i="5"/>
  <c r="T214" i="5"/>
  <c r="U214" i="5"/>
  <c r="X214" i="5"/>
  <c r="Y214" i="5"/>
  <c r="AF214" i="5"/>
  <c r="AG214" i="5"/>
  <c r="AJ214" i="5"/>
  <c r="AK214" i="5"/>
  <c r="P215" i="5"/>
  <c r="Q215" i="5"/>
  <c r="T215" i="5"/>
  <c r="U215" i="5"/>
  <c r="X215" i="5"/>
  <c r="Y215" i="5"/>
  <c r="AF215" i="5"/>
  <c r="AG215" i="5"/>
  <c r="AJ215" i="5"/>
  <c r="AK215" i="5"/>
  <c r="P216" i="5"/>
  <c r="Q216" i="5"/>
  <c r="T216" i="5"/>
  <c r="U216" i="5"/>
  <c r="X216" i="5"/>
  <c r="Y216" i="5"/>
  <c r="AF216" i="5"/>
  <c r="AG216" i="5"/>
  <c r="AJ216" i="5"/>
  <c r="AK216" i="5"/>
  <c r="P217" i="5"/>
  <c r="Q217" i="5"/>
  <c r="T217" i="5"/>
  <c r="U217" i="5"/>
  <c r="X217" i="5"/>
  <c r="Y217" i="5"/>
  <c r="AF217" i="5"/>
  <c r="AG217" i="5"/>
  <c r="AJ217" i="5"/>
  <c r="AK217" i="5"/>
  <c r="P218" i="5"/>
  <c r="Q218" i="5"/>
  <c r="T218" i="5"/>
  <c r="U218" i="5"/>
  <c r="X218" i="5"/>
  <c r="Y218" i="5"/>
  <c r="AF218" i="5"/>
  <c r="AG218" i="5"/>
  <c r="AJ218" i="5"/>
  <c r="AK218" i="5"/>
  <c r="P219" i="5"/>
  <c r="Q219" i="5"/>
  <c r="T219" i="5"/>
  <c r="U219" i="5"/>
  <c r="X219" i="5"/>
  <c r="Y219" i="5"/>
  <c r="AF219" i="5"/>
  <c r="AG219" i="5"/>
  <c r="AJ219" i="5"/>
  <c r="AK219" i="5"/>
  <c r="P220" i="5"/>
  <c r="Q220" i="5"/>
  <c r="T220" i="5"/>
  <c r="U220" i="5"/>
  <c r="X220" i="5"/>
  <c r="Y220" i="5"/>
  <c r="AF220" i="5"/>
  <c r="AG220" i="5"/>
  <c r="AJ220" i="5"/>
  <c r="AK220" i="5"/>
  <c r="P221" i="5"/>
  <c r="Q221" i="5"/>
  <c r="T221" i="5"/>
  <c r="U221" i="5"/>
  <c r="X221" i="5"/>
  <c r="Y221" i="5"/>
  <c r="AF221" i="5"/>
  <c r="AG221" i="5"/>
  <c r="AJ221" i="5"/>
  <c r="AK221" i="5"/>
  <c r="P222" i="5"/>
  <c r="Q222" i="5"/>
  <c r="T222" i="5"/>
  <c r="U222" i="5"/>
  <c r="X222" i="5"/>
  <c r="Y222" i="5"/>
  <c r="AF222" i="5"/>
  <c r="AG222" i="5"/>
  <c r="AJ222" i="5"/>
  <c r="AK222" i="5"/>
  <c r="P223" i="5"/>
  <c r="Q223" i="5"/>
  <c r="T223" i="5"/>
  <c r="U223" i="5"/>
  <c r="X223" i="5"/>
  <c r="Y223" i="5"/>
  <c r="AF223" i="5"/>
  <c r="AG223" i="5"/>
  <c r="AJ223" i="5"/>
  <c r="AK223" i="5"/>
  <c r="P224" i="5"/>
  <c r="Q224" i="5"/>
  <c r="T224" i="5"/>
  <c r="U224" i="5"/>
  <c r="X224" i="5"/>
  <c r="Y224" i="5"/>
  <c r="AF224" i="5"/>
  <c r="AG224" i="5"/>
  <c r="AJ224" i="5"/>
  <c r="AK224" i="5"/>
  <c r="P225" i="5"/>
  <c r="Q225" i="5"/>
  <c r="T225" i="5"/>
  <c r="U225" i="5"/>
  <c r="X225" i="5"/>
  <c r="Y225" i="5"/>
  <c r="AF225" i="5"/>
  <c r="AG225" i="5"/>
  <c r="AJ225" i="5"/>
  <c r="AK225" i="5"/>
  <c r="P226" i="5"/>
  <c r="Q226" i="5"/>
  <c r="T226" i="5"/>
  <c r="U226" i="5"/>
  <c r="X226" i="5"/>
  <c r="Y226" i="5"/>
  <c r="AF226" i="5"/>
  <c r="AG226" i="5"/>
  <c r="AJ226" i="5"/>
  <c r="AK226" i="5"/>
  <c r="P227" i="5"/>
  <c r="Q227" i="5"/>
  <c r="T227" i="5"/>
  <c r="U227" i="5"/>
  <c r="X227" i="5"/>
  <c r="Y227" i="5"/>
  <c r="AF227" i="5"/>
  <c r="AG227" i="5"/>
  <c r="AJ227" i="5"/>
  <c r="AK227" i="5"/>
  <c r="P228" i="5"/>
  <c r="Q228" i="5"/>
  <c r="T228" i="5"/>
  <c r="U228" i="5"/>
  <c r="X228" i="5"/>
  <c r="Y228" i="5"/>
  <c r="AF228" i="5"/>
  <c r="AG228" i="5"/>
  <c r="AJ228" i="5"/>
  <c r="AK228" i="5"/>
  <c r="P229" i="5"/>
  <c r="Q229" i="5"/>
  <c r="T229" i="5"/>
  <c r="U229" i="5"/>
  <c r="X229" i="5"/>
  <c r="Y229" i="5"/>
  <c r="AF229" i="5"/>
  <c r="AG229" i="5"/>
  <c r="AJ229" i="5"/>
  <c r="AK229" i="5"/>
  <c r="P230" i="5"/>
  <c r="Q230" i="5"/>
  <c r="T230" i="5"/>
  <c r="U230" i="5"/>
  <c r="X230" i="5"/>
  <c r="Y230" i="5"/>
  <c r="AF230" i="5"/>
  <c r="AG230" i="5"/>
  <c r="AJ230" i="5"/>
  <c r="AK230" i="5"/>
  <c r="P231" i="5"/>
  <c r="Q231" i="5"/>
  <c r="T231" i="5"/>
  <c r="U231" i="5"/>
  <c r="X231" i="5"/>
  <c r="Y231" i="5"/>
  <c r="AF231" i="5"/>
  <c r="AG231" i="5"/>
  <c r="AJ231" i="5"/>
  <c r="AK231" i="5"/>
  <c r="P232" i="5"/>
  <c r="Q232" i="5"/>
  <c r="T232" i="5"/>
  <c r="U232" i="5"/>
  <c r="X232" i="5"/>
  <c r="Y232" i="5"/>
  <c r="AF232" i="5"/>
  <c r="AG232" i="5"/>
  <c r="AJ232" i="5"/>
  <c r="AK232" i="5"/>
  <c r="P233" i="5"/>
  <c r="Q233" i="5"/>
  <c r="T233" i="5"/>
  <c r="U233" i="5"/>
  <c r="X233" i="5"/>
  <c r="Y233" i="5"/>
  <c r="AF233" i="5"/>
  <c r="AG233" i="5"/>
  <c r="AJ233" i="5"/>
  <c r="AK233" i="5"/>
  <c r="P234" i="5"/>
  <c r="Q234" i="5"/>
  <c r="T234" i="5"/>
  <c r="U234" i="5"/>
  <c r="X234" i="5"/>
  <c r="Y234" i="5"/>
  <c r="AF234" i="5"/>
  <c r="AG234" i="5"/>
  <c r="AJ234" i="5"/>
  <c r="AK234" i="5"/>
  <c r="P235" i="5"/>
  <c r="Q235" i="5"/>
  <c r="T235" i="5"/>
  <c r="U235" i="5"/>
  <c r="X235" i="5"/>
  <c r="Y235" i="5"/>
  <c r="AF235" i="5"/>
  <c r="AG235" i="5"/>
  <c r="AJ235" i="5"/>
  <c r="AK235" i="5"/>
  <c r="P236" i="5"/>
  <c r="Q236" i="5"/>
  <c r="T236" i="5"/>
  <c r="U236" i="5"/>
  <c r="X236" i="5"/>
  <c r="Y236" i="5"/>
  <c r="AF236" i="5"/>
  <c r="AG236" i="5"/>
  <c r="AJ236" i="5"/>
  <c r="AK236" i="5"/>
  <c r="P237" i="5"/>
  <c r="Q237" i="5"/>
  <c r="T237" i="5"/>
  <c r="U237" i="5"/>
  <c r="X237" i="5"/>
  <c r="Y237" i="5"/>
  <c r="AF237" i="5"/>
  <c r="AG237" i="5"/>
  <c r="AJ237" i="5"/>
  <c r="AK237" i="5"/>
  <c r="P238" i="5"/>
  <c r="Q238" i="5"/>
  <c r="T238" i="5"/>
  <c r="U238" i="5"/>
  <c r="X238" i="5"/>
  <c r="Y238" i="5"/>
  <c r="AF238" i="5"/>
  <c r="AG238" i="5"/>
  <c r="AJ238" i="5"/>
  <c r="AK238" i="5"/>
  <c r="P239" i="5"/>
  <c r="Q239" i="5"/>
  <c r="T239" i="5"/>
  <c r="U239" i="5"/>
  <c r="X239" i="5"/>
  <c r="Y239" i="5"/>
  <c r="AF239" i="5"/>
  <c r="AG239" i="5"/>
  <c r="AJ239" i="5"/>
  <c r="AK239" i="5"/>
  <c r="P240" i="5"/>
  <c r="Q240" i="5"/>
  <c r="T240" i="5"/>
  <c r="U240" i="5"/>
  <c r="X240" i="5"/>
  <c r="Y240" i="5"/>
  <c r="AF240" i="5"/>
  <c r="AG240" i="5"/>
  <c r="AJ240" i="5"/>
  <c r="AK240" i="5"/>
  <c r="P241" i="5"/>
  <c r="Q241" i="5"/>
  <c r="T241" i="5"/>
  <c r="U241" i="5"/>
  <c r="X241" i="5"/>
  <c r="Y241" i="5"/>
  <c r="AF241" i="5"/>
  <c r="AG241" i="5"/>
  <c r="AJ241" i="5"/>
  <c r="AK241" i="5"/>
  <c r="P242" i="5"/>
  <c r="Q242" i="5"/>
  <c r="T242" i="5"/>
  <c r="U242" i="5"/>
  <c r="X242" i="5"/>
  <c r="Y242" i="5"/>
  <c r="AF242" i="5"/>
  <c r="AG242" i="5"/>
  <c r="AJ242" i="5"/>
  <c r="AK242" i="5"/>
  <c r="P243" i="5"/>
  <c r="Q243" i="5"/>
  <c r="T243" i="5"/>
  <c r="U243" i="5"/>
  <c r="X243" i="5"/>
  <c r="Y243" i="5"/>
  <c r="AF243" i="5"/>
  <c r="AG243" i="5"/>
  <c r="AJ243" i="5"/>
  <c r="AK243" i="5"/>
  <c r="P244" i="5"/>
  <c r="Q244" i="5"/>
  <c r="T244" i="5"/>
  <c r="U244" i="5"/>
  <c r="X244" i="5"/>
  <c r="Y244" i="5"/>
  <c r="AF244" i="5"/>
  <c r="AG244" i="5"/>
  <c r="AJ244" i="5"/>
  <c r="AK244" i="5"/>
  <c r="P245" i="5"/>
  <c r="Q245" i="5"/>
  <c r="T245" i="5"/>
  <c r="U245" i="5"/>
  <c r="X245" i="5"/>
  <c r="Y245" i="5"/>
  <c r="AF245" i="5"/>
  <c r="AG245" i="5"/>
  <c r="AJ245" i="5"/>
  <c r="AK245" i="5"/>
  <c r="P246" i="5"/>
  <c r="Q246" i="5"/>
  <c r="T246" i="5"/>
  <c r="U246" i="5"/>
  <c r="X246" i="5"/>
  <c r="Y246" i="5"/>
  <c r="AF246" i="5"/>
  <c r="AG246" i="5"/>
  <c r="AJ246" i="5"/>
  <c r="AK246" i="5"/>
  <c r="P247" i="5"/>
  <c r="Q247" i="5"/>
  <c r="T247" i="5"/>
  <c r="U247" i="5"/>
  <c r="X247" i="5"/>
  <c r="Y247" i="5"/>
  <c r="AF247" i="5"/>
  <c r="AG247" i="5"/>
  <c r="AJ247" i="5"/>
  <c r="AK247" i="5"/>
  <c r="P248" i="5"/>
  <c r="Q248" i="5"/>
  <c r="T248" i="5"/>
  <c r="U248" i="5"/>
  <c r="X248" i="5"/>
  <c r="Y248" i="5"/>
  <c r="AF248" i="5"/>
  <c r="AG248" i="5"/>
  <c r="AJ248" i="5"/>
  <c r="AK248" i="5"/>
  <c r="P249" i="5"/>
  <c r="Q249" i="5"/>
  <c r="T249" i="5"/>
  <c r="U249" i="5"/>
  <c r="X249" i="5"/>
  <c r="Y249" i="5"/>
  <c r="AF249" i="5"/>
  <c r="AG249" i="5"/>
  <c r="AJ249" i="5"/>
  <c r="AK249" i="5"/>
  <c r="P250" i="5"/>
  <c r="Q250" i="5"/>
  <c r="T250" i="5"/>
  <c r="U250" i="5"/>
  <c r="X250" i="5"/>
  <c r="Y250" i="5"/>
  <c r="AF250" i="5"/>
  <c r="AG250" i="5"/>
  <c r="AJ250" i="5"/>
  <c r="AK250" i="5"/>
  <c r="P251" i="5"/>
  <c r="Q251" i="5"/>
  <c r="T251" i="5"/>
  <c r="U251" i="5"/>
  <c r="X251" i="5"/>
  <c r="Y251" i="5"/>
  <c r="AF251" i="5"/>
  <c r="AG251" i="5"/>
  <c r="AJ251" i="5"/>
  <c r="AK251" i="5"/>
  <c r="P252" i="5"/>
  <c r="Q252" i="5"/>
  <c r="T252" i="5"/>
  <c r="U252" i="5"/>
  <c r="X252" i="5"/>
  <c r="Y252" i="5"/>
  <c r="AF252" i="5"/>
  <c r="AG252" i="5"/>
  <c r="AJ252" i="5"/>
  <c r="AK252" i="5"/>
  <c r="P253" i="5"/>
  <c r="Q253" i="5"/>
  <c r="T253" i="5"/>
  <c r="U253" i="5"/>
  <c r="X253" i="5"/>
  <c r="Y253" i="5"/>
  <c r="AF253" i="5"/>
  <c r="AG253" i="5"/>
  <c r="AJ253" i="5"/>
  <c r="AK253" i="5"/>
  <c r="P254" i="5"/>
  <c r="Q254" i="5"/>
  <c r="T254" i="5"/>
  <c r="U254" i="5"/>
  <c r="X254" i="5"/>
  <c r="Y254" i="5"/>
  <c r="AF254" i="5"/>
  <c r="AG254" i="5"/>
  <c r="AJ254" i="5"/>
  <c r="AK254" i="5"/>
  <c r="P255" i="5"/>
  <c r="Q255" i="5"/>
  <c r="T255" i="5"/>
  <c r="U255" i="5"/>
  <c r="X255" i="5"/>
  <c r="Y255" i="5"/>
  <c r="AF255" i="5"/>
  <c r="AG255" i="5"/>
  <c r="AJ255" i="5"/>
  <c r="AK255" i="5"/>
  <c r="P256" i="5"/>
  <c r="Q256" i="5"/>
  <c r="T256" i="5"/>
  <c r="U256" i="5"/>
  <c r="X256" i="5"/>
  <c r="Y256" i="5"/>
  <c r="AF256" i="5"/>
  <c r="AG256" i="5"/>
  <c r="AJ256" i="5"/>
  <c r="AK256" i="5"/>
  <c r="P257" i="5"/>
  <c r="Q257" i="5"/>
  <c r="T257" i="5"/>
  <c r="U257" i="5"/>
  <c r="X257" i="5"/>
  <c r="Y257" i="5"/>
  <c r="AF257" i="5"/>
  <c r="AG257" i="5"/>
  <c r="AJ257" i="5"/>
  <c r="AK257" i="5"/>
  <c r="P258" i="5"/>
  <c r="Q258" i="5"/>
  <c r="T258" i="5"/>
  <c r="U258" i="5"/>
  <c r="X258" i="5"/>
  <c r="Y258" i="5"/>
  <c r="AF258" i="5"/>
  <c r="AG258" i="5"/>
  <c r="AJ258" i="5"/>
  <c r="AK258" i="5"/>
  <c r="P259" i="5"/>
  <c r="Q259" i="5"/>
  <c r="T259" i="5"/>
  <c r="U259" i="5"/>
  <c r="X259" i="5"/>
  <c r="Y259" i="5"/>
  <c r="AF259" i="5"/>
  <c r="AG259" i="5"/>
  <c r="AJ259" i="5"/>
  <c r="AK259" i="5"/>
  <c r="P260" i="5"/>
  <c r="Q260" i="5"/>
  <c r="T260" i="5"/>
  <c r="U260" i="5"/>
  <c r="X260" i="5"/>
  <c r="Y260" i="5"/>
  <c r="AF260" i="5"/>
  <c r="AG260" i="5"/>
  <c r="AJ260" i="5"/>
  <c r="AK260" i="5"/>
  <c r="P261" i="5"/>
  <c r="Q261" i="5"/>
  <c r="T261" i="5"/>
  <c r="U261" i="5"/>
  <c r="X261" i="5"/>
  <c r="Y261" i="5"/>
  <c r="AF261" i="5"/>
  <c r="AG261" i="5"/>
  <c r="AJ261" i="5"/>
  <c r="AK261" i="5"/>
  <c r="H10" i="5"/>
  <c r="I10" i="5"/>
  <c r="H11" i="5"/>
  <c r="I11" i="5"/>
  <c r="H12" i="5"/>
  <c r="I12" i="5"/>
  <c r="H13" i="5"/>
  <c r="I13" i="5"/>
  <c r="H14" i="5"/>
  <c r="I14" i="5"/>
  <c r="H15" i="5"/>
  <c r="I15" i="5"/>
  <c r="H16" i="5"/>
  <c r="I16" i="5"/>
  <c r="H17" i="5"/>
  <c r="I17" i="5"/>
  <c r="H18" i="5"/>
  <c r="I18" i="5"/>
  <c r="H19" i="5"/>
  <c r="I19" i="5"/>
  <c r="H20" i="5"/>
  <c r="I20" i="5"/>
  <c r="H21" i="5"/>
  <c r="I21" i="5"/>
  <c r="H22" i="5"/>
  <c r="I22" i="5"/>
  <c r="H23" i="5"/>
  <c r="I23" i="5"/>
  <c r="H24" i="5"/>
  <c r="I24" i="5"/>
  <c r="H25" i="5"/>
  <c r="I25" i="5"/>
  <c r="H26" i="5"/>
  <c r="I26" i="5"/>
  <c r="H27" i="5"/>
  <c r="I27" i="5"/>
  <c r="H28" i="5"/>
  <c r="I28" i="5"/>
  <c r="H29" i="5"/>
  <c r="I29" i="5"/>
  <c r="H30" i="5"/>
  <c r="I30" i="5"/>
  <c r="H31" i="5"/>
  <c r="I31" i="5"/>
  <c r="H32" i="5"/>
  <c r="I32" i="5"/>
  <c r="H33" i="5"/>
  <c r="I33" i="5"/>
  <c r="H34" i="5"/>
  <c r="I34" i="5"/>
  <c r="H35" i="5"/>
  <c r="I35" i="5"/>
  <c r="H36" i="5"/>
  <c r="I36" i="5"/>
  <c r="H37" i="5"/>
  <c r="I37" i="5"/>
  <c r="H38" i="5"/>
  <c r="I38" i="5"/>
  <c r="H39" i="5"/>
  <c r="I39" i="5"/>
  <c r="H40" i="5"/>
  <c r="I40" i="5"/>
  <c r="H41" i="5"/>
  <c r="I41" i="5"/>
  <c r="H42" i="5"/>
  <c r="I42" i="5"/>
  <c r="H43" i="5"/>
  <c r="I43" i="5"/>
  <c r="H44" i="5"/>
  <c r="I44" i="5"/>
  <c r="H45" i="5"/>
  <c r="I45" i="5"/>
  <c r="H46" i="5"/>
  <c r="I46" i="5"/>
  <c r="H47" i="5"/>
  <c r="I47" i="5"/>
  <c r="H48" i="5"/>
  <c r="I48" i="5"/>
  <c r="H49" i="5"/>
  <c r="I49" i="5"/>
  <c r="H50" i="5"/>
  <c r="I50" i="5"/>
  <c r="H51" i="5"/>
  <c r="I51" i="5"/>
  <c r="H52" i="5"/>
  <c r="I52" i="5"/>
  <c r="H53" i="5"/>
  <c r="I53" i="5"/>
  <c r="H54" i="5"/>
  <c r="I54" i="5"/>
  <c r="H55" i="5"/>
  <c r="I55" i="5"/>
  <c r="H56" i="5"/>
  <c r="I56" i="5"/>
  <c r="H57" i="5"/>
  <c r="I57" i="5"/>
  <c r="H58" i="5"/>
  <c r="I58" i="5"/>
  <c r="H59" i="5"/>
  <c r="I59" i="5"/>
  <c r="H60" i="5"/>
  <c r="I60" i="5"/>
  <c r="H61" i="5"/>
  <c r="I61" i="5"/>
  <c r="H62" i="5"/>
  <c r="I62" i="5"/>
  <c r="H63" i="5"/>
  <c r="I63" i="5"/>
  <c r="H64" i="5"/>
  <c r="I64" i="5"/>
  <c r="H65" i="5"/>
  <c r="I65" i="5"/>
  <c r="H66" i="5"/>
  <c r="I66" i="5"/>
  <c r="H67" i="5"/>
  <c r="I67" i="5"/>
  <c r="H68" i="5"/>
  <c r="I68" i="5"/>
  <c r="H69" i="5"/>
  <c r="I69" i="5"/>
  <c r="H70" i="5"/>
  <c r="I70" i="5"/>
  <c r="H71" i="5"/>
  <c r="I71" i="5"/>
  <c r="H72" i="5"/>
  <c r="I72" i="5"/>
  <c r="H73" i="5"/>
  <c r="I73" i="5"/>
  <c r="H74" i="5"/>
  <c r="I74" i="5"/>
  <c r="H75" i="5"/>
  <c r="I75" i="5"/>
  <c r="H76" i="5"/>
  <c r="I76" i="5"/>
  <c r="H77" i="5"/>
  <c r="I77" i="5"/>
  <c r="H78" i="5"/>
  <c r="I78" i="5"/>
  <c r="H79" i="5"/>
  <c r="I79" i="5"/>
  <c r="H80" i="5"/>
  <c r="I80" i="5"/>
  <c r="H81" i="5"/>
  <c r="I81" i="5"/>
  <c r="H82" i="5"/>
  <c r="I82" i="5"/>
  <c r="H83" i="5"/>
  <c r="I83" i="5"/>
  <c r="H84" i="5"/>
  <c r="I84" i="5"/>
  <c r="H85" i="5"/>
  <c r="I85" i="5"/>
  <c r="H86" i="5"/>
  <c r="I86" i="5"/>
  <c r="H87" i="5"/>
  <c r="I87" i="5"/>
  <c r="H88" i="5"/>
  <c r="I88" i="5"/>
  <c r="H89" i="5"/>
  <c r="I89" i="5"/>
  <c r="H90" i="5"/>
  <c r="I90" i="5"/>
  <c r="H91" i="5"/>
  <c r="I91" i="5"/>
  <c r="H92" i="5"/>
  <c r="I92" i="5"/>
  <c r="H93" i="5"/>
  <c r="I93" i="5"/>
  <c r="H94" i="5"/>
  <c r="I94" i="5"/>
  <c r="H95" i="5"/>
  <c r="I95" i="5"/>
  <c r="H96" i="5"/>
  <c r="I96" i="5"/>
  <c r="H97" i="5"/>
  <c r="I97" i="5"/>
  <c r="H98" i="5"/>
  <c r="I98" i="5"/>
  <c r="H99" i="5"/>
  <c r="I99" i="5"/>
  <c r="H100" i="5"/>
  <c r="I100" i="5"/>
  <c r="H101" i="5"/>
  <c r="I101" i="5"/>
  <c r="H102" i="5"/>
  <c r="I102" i="5"/>
  <c r="H103" i="5"/>
  <c r="I103" i="5"/>
  <c r="H104" i="5"/>
  <c r="I104" i="5"/>
  <c r="H105" i="5"/>
  <c r="I105" i="5"/>
  <c r="H106" i="5"/>
  <c r="I106" i="5"/>
  <c r="H107" i="5"/>
  <c r="I107" i="5"/>
  <c r="H108" i="5"/>
  <c r="I108" i="5"/>
  <c r="H109" i="5"/>
  <c r="I109" i="5"/>
  <c r="H110" i="5"/>
  <c r="I110" i="5"/>
  <c r="H111" i="5"/>
  <c r="I111" i="5"/>
  <c r="H112" i="5"/>
  <c r="I112" i="5"/>
  <c r="H113" i="5"/>
  <c r="I113" i="5"/>
  <c r="H114" i="5"/>
  <c r="I114" i="5"/>
  <c r="H115" i="5"/>
  <c r="I115" i="5"/>
  <c r="H116" i="5"/>
  <c r="I116" i="5"/>
  <c r="H117" i="5"/>
  <c r="I117" i="5"/>
  <c r="H118" i="5"/>
  <c r="I118" i="5"/>
  <c r="H119" i="5"/>
  <c r="I119" i="5"/>
  <c r="H120" i="5"/>
  <c r="I120" i="5"/>
  <c r="H121" i="5"/>
  <c r="I121" i="5"/>
  <c r="H122" i="5"/>
  <c r="I122" i="5"/>
  <c r="H123" i="5"/>
  <c r="I123" i="5"/>
  <c r="H124" i="5"/>
  <c r="I124" i="5"/>
  <c r="H125" i="5"/>
  <c r="I125" i="5"/>
  <c r="H126" i="5"/>
  <c r="I126" i="5"/>
  <c r="H127" i="5"/>
  <c r="I127" i="5"/>
  <c r="H128" i="5"/>
  <c r="I128" i="5"/>
  <c r="H129" i="5"/>
  <c r="I129" i="5"/>
  <c r="H130" i="5"/>
  <c r="I130" i="5"/>
  <c r="H131" i="5"/>
  <c r="I131" i="5"/>
  <c r="H132" i="5"/>
  <c r="I132" i="5"/>
  <c r="H133" i="5"/>
  <c r="I133" i="5"/>
  <c r="H134" i="5"/>
  <c r="I134" i="5"/>
  <c r="H135" i="5"/>
  <c r="I135" i="5"/>
  <c r="H136" i="5"/>
  <c r="I136" i="5"/>
  <c r="H137" i="5"/>
  <c r="I137" i="5"/>
  <c r="H138" i="5"/>
  <c r="I138" i="5"/>
  <c r="H139" i="5"/>
  <c r="I139" i="5"/>
  <c r="H140" i="5"/>
  <c r="I140" i="5"/>
  <c r="H141" i="5"/>
  <c r="I141" i="5"/>
  <c r="H142" i="5"/>
  <c r="I142" i="5"/>
  <c r="H143" i="5"/>
  <c r="I143" i="5"/>
  <c r="H144" i="5"/>
  <c r="I144" i="5"/>
  <c r="H145" i="5"/>
  <c r="I145" i="5"/>
  <c r="H146" i="5"/>
  <c r="I146" i="5"/>
  <c r="H147" i="5"/>
  <c r="I147" i="5"/>
  <c r="H148" i="5"/>
  <c r="I148" i="5"/>
  <c r="H149" i="5"/>
  <c r="I149" i="5"/>
  <c r="H150" i="5"/>
  <c r="I150" i="5"/>
  <c r="H151" i="5"/>
  <c r="I151" i="5"/>
  <c r="H152" i="5"/>
  <c r="I152" i="5"/>
  <c r="H153" i="5"/>
  <c r="I153" i="5"/>
  <c r="H154" i="5"/>
  <c r="I154" i="5"/>
  <c r="H155" i="5"/>
  <c r="I155" i="5"/>
  <c r="H156" i="5"/>
  <c r="I156" i="5"/>
  <c r="H157" i="5"/>
  <c r="I157" i="5"/>
  <c r="H158" i="5"/>
  <c r="I158" i="5"/>
  <c r="H159" i="5"/>
  <c r="I159" i="5"/>
  <c r="H160" i="5"/>
  <c r="I160" i="5"/>
  <c r="H161" i="5"/>
  <c r="I161" i="5"/>
  <c r="H162" i="5"/>
  <c r="I162" i="5"/>
  <c r="H163" i="5"/>
  <c r="I163" i="5"/>
  <c r="H164" i="5"/>
  <c r="I164" i="5"/>
  <c r="H165" i="5"/>
  <c r="I165" i="5"/>
  <c r="H166" i="5"/>
  <c r="I166" i="5"/>
  <c r="H167" i="5"/>
  <c r="I167" i="5"/>
  <c r="H168" i="5"/>
  <c r="I168" i="5"/>
  <c r="H169" i="5"/>
  <c r="I169" i="5"/>
  <c r="H170" i="5"/>
  <c r="I170" i="5"/>
  <c r="H171" i="5"/>
  <c r="I171" i="5"/>
  <c r="H172" i="5"/>
  <c r="I172" i="5"/>
  <c r="H173" i="5"/>
  <c r="I173" i="5"/>
  <c r="H174" i="5"/>
  <c r="I174" i="5"/>
  <c r="H175" i="5"/>
  <c r="I175" i="5"/>
  <c r="H176" i="5"/>
  <c r="I176" i="5"/>
  <c r="H177" i="5"/>
  <c r="I177" i="5"/>
  <c r="H178" i="5"/>
  <c r="I178" i="5"/>
  <c r="H179" i="5"/>
  <c r="I179" i="5"/>
  <c r="H180" i="5"/>
  <c r="I180" i="5"/>
  <c r="H181" i="5"/>
  <c r="I181" i="5"/>
  <c r="H182" i="5"/>
  <c r="I182" i="5"/>
  <c r="H183" i="5"/>
  <c r="I183" i="5"/>
  <c r="H184" i="5"/>
  <c r="I184" i="5"/>
  <c r="H185" i="5"/>
  <c r="I185" i="5"/>
  <c r="H186" i="5"/>
  <c r="I186" i="5"/>
  <c r="H187" i="5"/>
  <c r="I187" i="5"/>
  <c r="H188" i="5"/>
  <c r="I188" i="5"/>
  <c r="H189" i="5"/>
  <c r="I189" i="5"/>
  <c r="H190" i="5"/>
  <c r="I190" i="5"/>
  <c r="H191" i="5"/>
  <c r="I191" i="5"/>
  <c r="H192" i="5"/>
  <c r="I192" i="5"/>
  <c r="H193" i="5"/>
  <c r="I193" i="5"/>
  <c r="H194" i="5"/>
  <c r="I194" i="5"/>
  <c r="H195" i="5"/>
  <c r="I195" i="5"/>
  <c r="H196" i="5"/>
  <c r="I196" i="5"/>
  <c r="H197" i="5"/>
  <c r="I197" i="5"/>
  <c r="H198" i="5"/>
  <c r="I198" i="5"/>
  <c r="H199" i="5"/>
  <c r="I199" i="5"/>
  <c r="H200" i="5"/>
  <c r="I200" i="5"/>
  <c r="H201" i="5"/>
  <c r="I201" i="5"/>
  <c r="H202" i="5"/>
  <c r="I202" i="5"/>
  <c r="H203" i="5"/>
  <c r="I203" i="5"/>
  <c r="H204" i="5"/>
  <c r="I204" i="5"/>
  <c r="H205" i="5"/>
  <c r="I205" i="5"/>
  <c r="H206" i="5"/>
  <c r="I206" i="5"/>
  <c r="H207" i="5"/>
  <c r="I207" i="5"/>
  <c r="H208" i="5"/>
  <c r="I208" i="5"/>
  <c r="H209" i="5"/>
  <c r="I209" i="5"/>
  <c r="H210" i="5"/>
  <c r="I210" i="5"/>
  <c r="H211" i="5"/>
  <c r="I211" i="5"/>
  <c r="H212" i="5"/>
  <c r="I212" i="5"/>
  <c r="H213" i="5"/>
  <c r="I213" i="5"/>
  <c r="H214" i="5"/>
  <c r="I214" i="5"/>
  <c r="H215" i="5"/>
  <c r="I215" i="5"/>
  <c r="H216" i="5"/>
  <c r="I216" i="5"/>
  <c r="H217" i="5"/>
  <c r="I217" i="5"/>
  <c r="H218" i="5"/>
  <c r="I218" i="5"/>
  <c r="H219" i="5"/>
  <c r="I219" i="5"/>
  <c r="H220" i="5"/>
  <c r="I220" i="5"/>
  <c r="H221" i="5"/>
  <c r="I221" i="5"/>
  <c r="H222" i="5"/>
  <c r="I222" i="5"/>
  <c r="H223" i="5"/>
  <c r="I223" i="5"/>
  <c r="H224" i="5"/>
  <c r="I224" i="5"/>
  <c r="H225" i="5"/>
  <c r="I225" i="5"/>
  <c r="H226" i="5"/>
  <c r="I226" i="5"/>
  <c r="H227" i="5"/>
  <c r="I227" i="5"/>
  <c r="H228" i="5"/>
  <c r="I228" i="5"/>
  <c r="H229" i="5"/>
  <c r="I229" i="5"/>
  <c r="H230" i="5"/>
  <c r="I230" i="5"/>
  <c r="H231" i="5"/>
  <c r="I231" i="5"/>
  <c r="H232" i="5"/>
  <c r="I232" i="5"/>
  <c r="H233" i="5"/>
  <c r="I233" i="5"/>
  <c r="H234" i="5"/>
  <c r="I234" i="5"/>
  <c r="H235" i="5"/>
  <c r="I235" i="5"/>
  <c r="H236" i="5"/>
  <c r="I236" i="5"/>
  <c r="H237" i="5"/>
  <c r="I237" i="5"/>
  <c r="H238" i="5"/>
  <c r="I238" i="5"/>
  <c r="H239" i="5"/>
  <c r="I239" i="5"/>
  <c r="H240" i="5"/>
  <c r="I240" i="5"/>
  <c r="H241" i="5"/>
  <c r="I241" i="5"/>
  <c r="H242" i="5"/>
  <c r="I242" i="5"/>
  <c r="H243" i="5"/>
  <c r="I243" i="5"/>
  <c r="H244" i="5"/>
  <c r="I244" i="5"/>
  <c r="H245" i="5"/>
  <c r="I245" i="5"/>
  <c r="H246" i="5"/>
  <c r="I246" i="5"/>
  <c r="H247" i="5"/>
  <c r="I247" i="5"/>
  <c r="H248" i="5"/>
  <c r="I248" i="5"/>
  <c r="H249" i="5"/>
  <c r="I249" i="5"/>
  <c r="H250" i="5"/>
  <c r="I250" i="5"/>
  <c r="H251" i="5"/>
  <c r="I251" i="5"/>
  <c r="H252" i="5"/>
  <c r="I252" i="5"/>
  <c r="H253" i="5"/>
  <c r="I253" i="5"/>
  <c r="H254" i="5"/>
  <c r="I254" i="5"/>
  <c r="H255" i="5"/>
  <c r="I255" i="5"/>
  <c r="H256" i="5"/>
  <c r="I256" i="5"/>
  <c r="H257" i="5"/>
  <c r="I257" i="5"/>
  <c r="H258" i="5"/>
  <c r="I258" i="5"/>
  <c r="H259" i="5"/>
  <c r="I259" i="5"/>
  <c r="H260" i="5"/>
  <c r="I260" i="5"/>
  <c r="H261" i="5"/>
  <c r="I261" i="5"/>
  <c r="H262" i="5"/>
  <c r="I262" i="5"/>
  <c r="H263" i="5"/>
  <c r="I263" i="5"/>
  <c r="H264" i="5"/>
  <c r="I264" i="5"/>
  <c r="H265" i="5"/>
  <c r="I265" i="5"/>
  <c r="H266" i="5"/>
  <c r="I266" i="5"/>
  <c r="H267" i="5"/>
  <c r="I267" i="5"/>
  <c r="H268" i="5"/>
  <c r="I268" i="5"/>
  <c r="H269" i="5"/>
  <c r="I269" i="5"/>
  <c r="H270" i="5"/>
  <c r="I270" i="5"/>
  <c r="H271" i="5"/>
  <c r="I271" i="5"/>
  <c r="H272" i="5"/>
  <c r="I272" i="5"/>
  <c r="H273" i="5"/>
  <c r="I273" i="5"/>
  <c r="H274" i="5"/>
  <c r="I274" i="5"/>
  <c r="H275" i="5"/>
  <c r="I275" i="5"/>
  <c r="H276" i="5"/>
  <c r="I276" i="5"/>
  <c r="H277" i="5"/>
  <c r="I277" i="5"/>
  <c r="H278" i="5"/>
  <c r="I278" i="5"/>
  <c r="H279" i="5"/>
  <c r="I279" i="5"/>
  <c r="H280" i="5"/>
  <c r="I280" i="5"/>
  <c r="H281" i="5"/>
  <c r="I281" i="5"/>
  <c r="H282" i="5"/>
  <c r="I282" i="5"/>
  <c r="H283" i="5"/>
  <c r="I283" i="5"/>
  <c r="H284" i="5"/>
  <c r="I284" i="5"/>
  <c r="H285" i="5"/>
  <c r="I285" i="5"/>
  <c r="H286" i="5"/>
  <c r="I286" i="5"/>
  <c r="H287" i="5"/>
  <c r="I287" i="5"/>
  <c r="H288" i="5"/>
  <c r="I288" i="5"/>
  <c r="H289" i="5"/>
  <c r="I289" i="5"/>
  <c r="H290" i="5"/>
  <c r="I290" i="5"/>
  <c r="H5" i="5"/>
  <c r="I5" i="5"/>
  <c r="H6" i="5"/>
  <c r="I6" i="5"/>
  <c r="H7" i="5"/>
  <c r="I7" i="5"/>
  <c r="H8" i="5"/>
  <c r="I8" i="5"/>
  <c r="H9" i="5"/>
  <c r="I9" i="5"/>
  <c r="H3" i="5"/>
  <c r="H4" i="5"/>
  <c r="J5" i="5" l="1"/>
  <c r="AO17" i="5"/>
  <c r="L1040" i="5"/>
  <c r="L1047" i="5"/>
  <c r="L1043" i="5"/>
  <c r="L1046" i="5"/>
  <c r="L1049" i="5"/>
  <c r="L1052" i="5"/>
  <c r="L1060" i="5"/>
  <c r="L1080" i="5"/>
  <c r="L1090" i="5"/>
  <c r="L1068" i="5"/>
  <c r="L1038" i="5"/>
  <c r="L1064" i="5"/>
  <c r="L1088" i="5"/>
  <c r="L1100" i="5"/>
  <c r="L1140" i="5"/>
  <c r="L1144" i="5"/>
  <c r="L1142" i="5"/>
  <c r="L1059" i="5"/>
  <c r="L1092" i="5"/>
  <c r="L1058" i="5"/>
  <c r="L1063" i="5"/>
  <c r="L1169" i="5"/>
  <c r="L1165" i="5"/>
  <c r="L1082" i="5"/>
  <c r="L1094" i="5"/>
  <c r="L1116" i="5"/>
  <c r="L1138" i="5"/>
  <c r="L1148" i="5"/>
  <c r="L1128" i="5"/>
  <c r="L1161" i="5"/>
  <c r="L1145" i="5"/>
  <c r="L1150" i="5"/>
  <c r="L1108" i="5"/>
  <c r="L1099" i="5"/>
  <c r="L1157" i="5"/>
  <c r="L1266" i="5"/>
  <c r="L1274" i="5"/>
  <c r="L1181" i="5"/>
  <c r="L1254" i="5"/>
  <c r="L1291" i="5"/>
  <c r="L1300" i="5"/>
  <c r="L1277" i="5"/>
  <c r="L1299" i="5"/>
  <c r="L1262" i="5"/>
  <c r="L1290" i="5"/>
  <c r="L1303" i="5"/>
  <c r="L1289" i="5"/>
  <c r="L646" i="5"/>
  <c r="L664" i="5"/>
  <c r="L668" i="5"/>
  <c r="L1273" i="5"/>
  <c r="L673" i="5"/>
  <c r="L729" i="5"/>
  <c r="L1319" i="5"/>
  <c r="L732" i="5"/>
  <c r="L700" i="5"/>
  <c r="L692" i="5"/>
  <c r="L634" i="5"/>
  <c r="L778" i="5"/>
  <c r="L766" i="5"/>
  <c r="L786" i="5"/>
  <c r="L762" i="5"/>
  <c r="L763" i="5"/>
  <c r="L774" i="5"/>
  <c r="L705" i="5"/>
  <c r="L764" i="5"/>
  <c r="L776" i="5"/>
  <c r="L738" i="5"/>
  <c r="L744" i="5"/>
  <c r="L704" i="5"/>
  <c r="L784" i="5"/>
  <c r="L792" i="5"/>
  <c r="L843" i="5"/>
  <c r="L812" i="5"/>
  <c r="L880" i="5"/>
  <c r="L760" i="5"/>
  <c r="L851" i="5"/>
  <c r="L856" i="5"/>
  <c r="L892" i="5"/>
  <c r="L893" i="5"/>
  <c r="L855" i="5"/>
  <c r="L863" i="5"/>
  <c r="L871" i="5"/>
  <c r="L895" i="5"/>
  <c r="L845" i="5"/>
  <c r="L908" i="5"/>
  <c r="L933" i="5"/>
  <c r="L946" i="5"/>
  <c r="L852" i="5"/>
  <c r="L876" i="5"/>
  <c r="L929" i="5"/>
  <c r="L772" i="5"/>
  <c r="L879" i="5"/>
  <c r="L808" i="5"/>
  <c r="L901" i="5"/>
  <c r="L911" i="5"/>
  <c r="L915" i="5"/>
  <c r="L900" i="5"/>
  <c r="L916" i="5"/>
  <c r="L920" i="5"/>
  <c r="L924" i="5"/>
  <c r="L941" i="5"/>
  <c r="L945" i="5"/>
  <c r="L952" i="5"/>
  <c r="L960" i="5"/>
  <c r="L972" i="5"/>
  <c r="L839" i="5"/>
  <c r="L921" i="5"/>
  <c r="L800" i="5"/>
  <c r="L903" i="5"/>
  <c r="L909" i="5"/>
  <c r="L925" i="5"/>
  <c r="L936" i="5"/>
  <c r="L948" i="5"/>
  <c r="L1015" i="5"/>
  <c r="L1023" i="5"/>
  <c r="L1031" i="5"/>
  <c r="L976" i="5"/>
  <c r="L1009" i="5"/>
  <c r="L996" i="5"/>
  <c r="L1026" i="5"/>
  <c r="L1030" i="5"/>
  <c r="L1019" i="5"/>
  <c r="L1012" i="5"/>
  <c r="L753" i="5"/>
  <c r="L927" i="5"/>
  <c r="L904" i="5"/>
  <c r="L987" i="5"/>
  <c r="L943" i="5"/>
  <c r="L910" i="5"/>
  <c r="L791" i="5"/>
  <c r="L701" i="5"/>
  <c r="L824" i="5"/>
  <c r="L898" i="5"/>
  <c r="L797" i="5"/>
  <c r="L795" i="5"/>
  <c r="L710" i="5"/>
  <c r="L717" i="5"/>
  <c r="L697" i="5"/>
  <c r="L1318" i="5"/>
  <c r="L1307" i="5"/>
  <c r="L1315" i="5"/>
  <c r="L676" i="5"/>
  <c r="L648" i="5"/>
  <c r="L1310" i="5"/>
  <c r="L1258" i="5"/>
  <c r="L657" i="5"/>
  <c r="L643" i="5"/>
  <c r="L1242" i="5"/>
  <c r="L1194" i="5"/>
  <c r="L1238" i="5"/>
  <c r="L1199" i="5"/>
  <c r="L1202" i="5"/>
  <c r="L1207" i="5"/>
  <c r="L1222" i="5"/>
  <c r="L1215" i="5"/>
  <c r="L1125" i="5"/>
  <c r="L1103" i="5"/>
  <c r="L1154" i="5"/>
  <c r="L1119" i="5"/>
  <c r="L1111" i="5"/>
  <c r="L1113" i="5"/>
  <c r="L1102" i="5"/>
  <c r="L1070" i="5"/>
  <c r="L1057" i="5"/>
  <c r="L1054" i="5"/>
  <c r="L1217" i="5"/>
  <c r="L1186" i="5"/>
  <c r="L1162" i="5"/>
  <c r="L1024" i="5"/>
  <c r="L1006" i="5"/>
  <c r="L1014" i="5"/>
  <c r="L989" i="5"/>
  <c r="L988" i="5"/>
  <c r="L899" i="5"/>
  <c r="L881" i="5"/>
  <c r="L947" i="5"/>
  <c r="L934" i="5"/>
  <c r="L926" i="5"/>
  <c r="L923" i="5"/>
  <c r="L888" i="5"/>
  <c r="L833" i="5"/>
  <c r="L1025" i="5"/>
  <c r="L979" i="5"/>
  <c r="L914" i="5"/>
  <c r="L811" i="5"/>
  <c r="L869" i="5"/>
  <c r="L822" i="5"/>
  <c r="L815" i="5"/>
  <c r="L906" i="5"/>
  <c r="L826" i="5"/>
  <c r="L788" i="5"/>
  <c r="L790" i="5"/>
  <c r="L814" i="5"/>
  <c r="L799" i="5"/>
  <c r="L660" i="5"/>
  <c r="L767" i="5"/>
  <c r="L1278" i="5"/>
  <c r="L1311" i="5"/>
  <c r="L726" i="5"/>
  <c r="L723" i="5"/>
  <c r="L1294" i="5"/>
  <c r="L652" i="5"/>
  <c r="L1301" i="5"/>
  <c r="L684" i="5"/>
  <c r="L647" i="5"/>
  <c r="L1295" i="5"/>
  <c r="L1269" i="5"/>
  <c r="L1245" i="5"/>
  <c r="L1281" i="5"/>
  <c r="L1236" i="5"/>
  <c r="L1219" i="5"/>
  <c r="L1208" i="5"/>
  <c r="L1152" i="5"/>
  <c r="L1224" i="5"/>
  <c r="L1156" i="5"/>
  <c r="L1206" i="5"/>
  <c r="L1214" i="5"/>
  <c r="L1198" i="5"/>
  <c r="L1188" i="5"/>
  <c r="L1187" i="5"/>
  <c r="L1076" i="5"/>
  <c r="L1122" i="5"/>
  <c r="L1048" i="5"/>
  <c r="L1044" i="5"/>
  <c r="L1085" i="5"/>
  <c r="L1321" i="5"/>
  <c r="L1237" i="5"/>
  <c r="L1137" i="5"/>
  <c r="L1205" i="5"/>
  <c r="L1182" i="5"/>
  <c r="L1179" i="5"/>
  <c r="L1163" i="5"/>
  <c r="L1055" i="5"/>
  <c r="L1061" i="5"/>
  <c r="L1020" i="5"/>
  <c r="L1018" i="5"/>
  <c r="L964" i="5"/>
  <c r="L999" i="5"/>
  <c r="L951" i="5"/>
  <c r="L940" i="5"/>
  <c r="L804" i="5"/>
  <c r="L912" i="5"/>
  <c r="L897" i="5"/>
  <c r="L806" i="5"/>
  <c r="L758" i="5"/>
  <c r="L919" i="5"/>
  <c r="L770" i="5"/>
  <c r="L857" i="5"/>
  <c r="L783" i="5"/>
  <c r="L740" i="5"/>
  <c r="L743" i="5"/>
  <c r="L749" i="5"/>
  <c r="L638" i="5"/>
  <c r="L658" i="5"/>
  <c r="L756" i="5"/>
  <c r="L736" i="5"/>
  <c r="L703" i="5"/>
  <c r="L1304" i="5"/>
  <c r="L722" i="5"/>
  <c r="L639" i="5"/>
  <c r="L725" i="5"/>
  <c r="L1279" i="5"/>
  <c r="L651" i="5"/>
  <c r="L1268" i="5"/>
  <c r="L1246" i="5"/>
  <c r="L669" i="5"/>
  <c r="L663" i="5"/>
  <c r="L653" i="5"/>
  <c r="L1265" i="5"/>
  <c r="L1257" i="5"/>
  <c r="L1226" i="5"/>
  <c r="L1240" i="5"/>
  <c r="L1204" i="5"/>
  <c r="L1071" i="5"/>
  <c r="L1101" i="5"/>
  <c r="L1039" i="5"/>
  <c r="L1123" i="5"/>
  <c r="L1053" i="5"/>
  <c r="L1117" i="5"/>
  <c r="L1127" i="5"/>
  <c r="L1320" i="5"/>
  <c r="L935" i="5"/>
  <c r="L922" i="5"/>
  <c r="L913" i="5"/>
  <c r="L905" i="5"/>
  <c r="L942" i="5"/>
  <c r="L896" i="5"/>
  <c r="L907" i="5"/>
  <c r="L878" i="5"/>
  <c r="L838" i="5"/>
  <c r="L805" i="5"/>
  <c r="L696" i="5"/>
  <c r="L794" i="5"/>
  <c r="L885" i="5"/>
  <c r="L818" i="5"/>
  <c r="L877" i="5"/>
  <c r="L745" i="5"/>
  <c r="L741" i="5"/>
  <c r="L779" i="5"/>
  <c r="L739" i="5"/>
  <c r="L688" i="5"/>
  <c r="L1270" i="5"/>
  <c r="L681" i="5"/>
  <c r="L734" i="5"/>
  <c r="L666" i="5"/>
  <c r="L650" i="5"/>
  <c r="L1309" i="5"/>
  <c r="L1282" i="5"/>
  <c r="L689" i="5"/>
  <c r="L636" i="5"/>
  <c r="L667" i="5"/>
  <c r="L1288" i="5"/>
  <c r="L672" i="5"/>
  <c r="L1284" i="5"/>
  <c r="L1285" i="5"/>
  <c r="L1297" i="5"/>
  <c r="L1314" i="5"/>
  <c r="L1264" i="5"/>
  <c r="L1267" i="5"/>
  <c r="L1244" i="5"/>
  <c r="L1228" i="5"/>
  <c r="L1256" i="5"/>
  <c r="L1261" i="5"/>
  <c r="L1218" i="5"/>
  <c r="L1203" i="5"/>
  <c r="L1107" i="5"/>
  <c r="L1158" i="5"/>
  <c r="L1141" i="5"/>
  <c r="L1087" i="5"/>
  <c r="L1126" i="5"/>
  <c r="L1115" i="5"/>
  <c r="L1091" i="5"/>
  <c r="L1062" i="5"/>
  <c r="L1106" i="5"/>
  <c r="L1172" i="5"/>
  <c r="L1120" i="5"/>
  <c r="L1051" i="5"/>
  <c r="L1069" i="5"/>
  <c r="L1041" i="5"/>
  <c r="L1280" i="5"/>
  <c r="L1213" i="5"/>
  <c r="L1175" i="5"/>
  <c r="L1159" i="5"/>
  <c r="L1110" i="5"/>
  <c r="L1086" i="5"/>
  <c r="L1002" i="5"/>
  <c r="L985" i="5"/>
  <c r="L975" i="5"/>
  <c r="L932" i="5"/>
  <c r="L1029" i="5"/>
  <c r="L917" i="5"/>
  <c r="L1008" i="5"/>
  <c r="L937" i="5"/>
  <c r="L829" i="5"/>
  <c r="L859" i="5"/>
  <c r="L984" i="5"/>
  <c r="L867" i="5"/>
  <c r="L821" i="5"/>
  <c r="L891" i="5"/>
  <c r="L883" i="5"/>
  <c r="L819" i="5"/>
  <c r="L837" i="5"/>
  <c r="L750" i="5"/>
  <c r="L842" i="5"/>
  <c r="L931" i="5"/>
  <c r="L830" i="5"/>
  <c r="L782" i="5"/>
  <c r="L751" i="5"/>
  <c r="L873" i="5"/>
  <c r="L816" i="5"/>
  <c r="L793" i="5"/>
  <c r="L828" i="5"/>
  <c r="L768" i="5"/>
  <c r="L803" i="5"/>
  <c r="L777" i="5"/>
  <c r="L1292" i="5"/>
  <c r="L680" i="5"/>
  <c r="L781" i="5"/>
  <c r="L775" i="5"/>
  <c r="L785" i="5"/>
  <c r="L789" i="5"/>
  <c r="L735" i="5"/>
  <c r="L709" i="5"/>
  <c r="L693" i="5"/>
  <c r="L662" i="5"/>
  <c r="L731" i="5"/>
  <c r="L727" i="5"/>
  <c r="L632" i="5"/>
  <c r="L1298" i="5"/>
  <c r="L637" i="5"/>
  <c r="L1251" i="5"/>
  <c r="L641" i="5"/>
  <c r="L655" i="5"/>
  <c r="L1227" i="5"/>
  <c r="L1160" i="5"/>
  <c r="L1260" i="5"/>
  <c r="L1232" i="5"/>
  <c r="L1177" i="5"/>
  <c r="L1191" i="5"/>
  <c r="L1173" i="5"/>
  <c r="L1136" i="5"/>
  <c r="L1093" i="5"/>
  <c r="L1056" i="5"/>
  <c r="L1037" i="5"/>
  <c r="L1034" i="5"/>
  <c r="L1316" i="5"/>
  <c r="L1233" i="5"/>
  <c r="L1201" i="5"/>
  <c r="L1178" i="5"/>
  <c r="L1146" i="5"/>
  <c r="L1129" i="5"/>
  <c r="L1135" i="5"/>
  <c r="L1124" i="5"/>
  <c r="L1118" i="5"/>
  <c r="L1005" i="5"/>
  <c r="L1022" i="5"/>
  <c r="L1027" i="5"/>
  <c r="L956" i="5"/>
  <c r="L1011" i="5"/>
  <c r="L868" i="5"/>
  <c r="L884" i="5"/>
  <c r="L959" i="5"/>
  <c r="L992" i="5"/>
  <c r="L983" i="5"/>
  <c r="L864" i="5"/>
  <c r="L939" i="5"/>
  <c r="L938" i="5"/>
  <c r="L796" i="5"/>
  <c r="L963" i="5"/>
  <c r="L860" i="5"/>
  <c r="L742" i="5"/>
  <c r="L861" i="5"/>
  <c r="L930" i="5"/>
  <c r="L810" i="5"/>
  <c r="L759" i="5"/>
  <c r="L849" i="5"/>
  <c r="L746" i="5"/>
  <c r="L840" i="5"/>
  <c r="L832" i="5"/>
  <c r="L820" i="5"/>
  <c r="L802" i="5"/>
  <c r="L714" i="5"/>
  <c r="L747" i="5"/>
  <c r="L699" i="5"/>
  <c r="L677" i="5"/>
  <c r="L642" i="5"/>
  <c r="L659" i="5"/>
  <c r="L724" i="5"/>
  <c r="L721" i="5"/>
  <c r="L1323" i="5"/>
  <c r="L1322" i="5"/>
  <c r="L661" i="5"/>
  <c r="L1296" i="5"/>
  <c r="L654" i="5"/>
  <c r="L640" i="5"/>
  <c r="L633" i="5"/>
  <c r="L1286" i="5"/>
  <c r="L1263" i="5"/>
  <c r="L1235" i="5"/>
  <c r="L1271" i="5"/>
  <c r="L1234" i="5"/>
  <c r="L1255" i="5"/>
  <c r="L1212" i="5"/>
  <c r="L1211" i="5"/>
  <c r="L1185" i="5"/>
  <c r="L1243" i="5"/>
  <c r="L1097" i="5"/>
  <c r="L1190" i="5"/>
  <c r="L1164" i="5"/>
  <c r="L1095" i="5"/>
  <c r="L1132" i="5"/>
  <c r="L1143" i="5"/>
  <c r="L1109" i="5"/>
  <c r="L1045" i="5"/>
  <c r="L1104" i="5"/>
  <c r="L1083" i="5"/>
  <c r="L1067" i="5"/>
  <c r="L1098" i="5"/>
  <c r="L1033" i="5"/>
  <c r="L1312" i="5"/>
  <c r="L1241" i="5"/>
  <c r="L1221" i="5"/>
  <c r="L1166" i="5"/>
  <c r="L1149" i="5"/>
  <c r="L1171" i="5"/>
  <c r="L1155" i="5"/>
  <c r="L995" i="5"/>
  <c r="L1000" i="5"/>
  <c r="L1021" i="5"/>
  <c r="L1004" i="5"/>
  <c r="L980" i="5"/>
  <c r="L902" i="5"/>
  <c r="L890" i="5"/>
  <c r="L928" i="5"/>
  <c r="L991" i="5"/>
  <c r="L968" i="5"/>
  <c r="L848" i="5"/>
  <c r="L875" i="5"/>
  <c r="L841" i="5"/>
  <c r="L886" i="5"/>
  <c r="L836" i="5"/>
  <c r="L754" i="5"/>
  <c r="L771" i="5"/>
  <c r="L801" i="5"/>
  <c r="L773" i="5"/>
  <c r="L713" i="5"/>
  <c r="L787" i="5"/>
  <c r="L1308" i="5"/>
  <c r="L730" i="5"/>
  <c r="L733" i="5"/>
  <c r="L707" i="5"/>
  <c r="L656" i="5"/>
  <c r="L737" i="5"/>
  <c r="L1306" i="5"/>
  <c r="L1272" i="5"/>
  <c r="L1283" i="5"/>
  <c r="L1317" i="5"/>
  <c r="L645" i="5"/>
  <c r="L1305" i="5"/>
  <c r="L1252" i="5"/>
  <c r="L635" i="5"/>
  <c r="L1275" i="5"/>
  <c r="L1250" i="5"/>
  <c r="L1259" i="5"/>
  <c r="L1183" i="5"/>
  <c r="L1216" i="5"/>
  <c r="L1153" i="5"/>
  <c r="L1089" i="5"/>
  <c r="L1231" i="5"/>
  <c r="L1196" i="5"/>
  <c r="L1184" i="5"/>
  <c r="L1134" i="5"/>
  <c r="L1081" i="5"/>
  <c r="L1073" i="5"/>
  <c r="L1042" i="5"/>
  <c r="L1050" i="5"/>
  <c r="L1035" i="5"/>
  <c r="L1065" i="5"/>
  <c r="L1066" i="5"/>
  <c r="L1072" i="5"/>
  <c r="L1036" i="5"/>
  <c r="L1247" i="5"/>
  <c r="L1249" i="5"/>
  <c r="L1147" i="5"/>
  <c r="L1209" i="5"/>
  <c r="L1105" i="5"/>
  <c r="L1084" i="5"/>
  <c r="L1013" i="5"/>
  <c r="L1017" i="5"/>
  <c r="L1007" i="5"/>
  <c r="L971" i="5"/>
  <c r="L918" i="5"/>
  <c r="L1003" i="5"/>
  <c r="L967" i="5"/>
  <c r="L944" i="5"/>
  <c r="L872" i="5"/>
  <c r="L955" i="5"/>
  <c r="L853" i="5"/>
  <c r="L825" i="5"/>
  <c r="L894" i="5"/>
  <c r="L865" i="5"/>
  <c r="L834" i="5"/>
  <c r="L780" i="5"/>
  <c r="L807" i="5"/>
  <c r="L798" i="5"/>
  <c r="L748" i="5"/>
  <c r="L718" i="5"/>
  <c r="L720" i="5"/>
  <c r="L1287" i="5"/>
  <c r="L1276" i="5"/>
  <c r="L1253" i="5"/>
  <c r="L685" i="5"/>
  <c r="L1313" i="5"/>
  <c r="L1293" i="5"/>
  <c r="L649" i="5"/>
  <c r="L665" i="5"/>
  <c r="L644" i="5"/>
  <c r="L1302" i="5"/>
  <c r="L1239" i="5"/>
  <c r="L1220" i="5"/>
  <c r="L1248" i="5"/>
  <c r="L1210" i="5"/>
  <c r="L1176" i="5"/>
  <c r="L1192" i="5"/>
  <c r="L1230" i="5"/>
  <c r="L1223" i="5"/>
  <c r="L1180" i="5"/>
  <c r="L1195" i="5"/>
  <c r="L1200" i="5"/>
  <c r="L1189" i="5"/>
  <c r="L1168" i="5"/>
  <c r="L1096" i="5"/>
  <c r="L1130" i="5"/>
  <c r="L1151" i="5"/>
  <c r="L1075" i="5"/>
  <c r="L1074" i="5"/>
  <c r="L1078" i="5"/>
  <c r="L1229" i="5"/>
  <c r="L1197" i="5"/>
  <c r="L1174" i="5"/>
  <c r="L1167" i="5"/>
  <c r="L1121" i="5"/>
  <c r="L1131" i="5"/>
  <c r="L1114" i="5"/>
  <c r="L1112" i="5"/>
  <c r="L1077" i="5"/>
  <c r="L1028" i="5"/>
  <c r="L1001" i="5"/>
  <c r="L998" i="5"/>
  <c r="L982" i="5"/>
  <c r="L966" i="5"/>
  <c r="L950" i="5"/>
  <c r="L1032" i="5"/>
  <c r="L970" i="5"/>
  <c r="L862" i="5"/>
  <c r="L847" i="5"/>
  <c r="L827" i="5"/>
  <c r="L831" i="5"/>
  <c r="L691" i="5"/>
  <c r="L698" i="5"/>
  <c r="L682" i="5"/>
  <c r="L1133" i="5"/>
  <c r="L997" i="5"/>
  <c r="L986" i="5"/>
  <c r="L813" i="5"/>
  <c r="L712" i="5"/>
  <c r="L719" i="5"/>
  <c r="L679" i="5"/>
  <c r="L711" i="5"/>
  <c r="L1225" i="5"/>
  <c r="L1139" i="5"/>
  <c r="L1079" i="5"/>
  <c r="L1016" i="5"/>
  <c r="L887" i="5"/>
  <c r="L889" i="5"/>
  <c r="L874" i="5"/>
  <c r="L858" i="5"/>
  <c r="L706" i="5"/>
  <c r="L694" i="5"/>
  <c r="L678" i="5"/>
  <c r="L1193" i="5"/>
  <c r="L981" i="5"/>
  <c r="L973" i="5"/>
  <c r="L965" i="5"/>
  <c r="L957" i="5"/>
  <c r="L949" i="5"/>
  <c r="L962" i="5"/>
  <c r="L823" i="5"/>
  <c r="L708" i="5"/>
  <c r="L675" i="5"/>
  <c r="L993" i="5"/>
  <c r="L978" i="5"/>
  <c r="L870" i="5"/>
  <c r="L854" i="5"/>
  <c r="L809" i="5"/>
  <c r="L817" i="5"/>
  <c r="L757" i="5"/>
  <c r="L761" i="5"/>
  <c r="L752" i="5"/>
  <c r="L728" i="5"/>
  <c r="L695" i="5"/>
  <c r="L687" i="5"/>
  <c r="L690" i="5"/>
  <c r="L674" i="5"/>
  <c r="L994" i="5"/>
  <c r="L958" i="5"/>
  <c r="L846" i="5"/>
  <c r="L882" i="5"/>
  <c r="L769" i="5"/>
  <c r="L1170" i="5"/>
  <c r="L974" i="5"/>
  <c r="L844" i="5"/>
  <c r="L866" i="5"/>
  <c r="L850" i="5"/>
  <c r="L755" i="5"/>
  <c r="L671" i="5"/>
  <c r="L715" i="5"/>
  <c r="L702" i="5"/>
  <c r="L686" i="5"/>
  <c r="L670" i="5"/>
  <c r="L1010" i="5"/>
  <c r="L977" i="5"/>
  <c r="L969" i="5"/>
  <c r="L961" i="5"/>
  <c r="L953" i="5"/>
  <c r="L990" i="5"/>
  <c r="L954" i="5"/>
  <c r="L835" i="5"/>
  <c r="L765" i="5"/>
  <c r="L716" i="5"/>
  <c r="L683" i="5"/>
  <c r="AN294" i="5"/>
  <c r="AN298" i="5"/>
  <c r="AN302" i="5"/>
  <c r="L347" i="5"/>
  <c r="L367" i="5"/>
  <c r="L355" i="5"/>
  <c r="L359" i="5"/>
  <c r="L391" i="5"/>
  <c r="L412" i="5"/>
  <c r="L420" i="5"/>
  <c r="L387" i="5"/>
  <c r="L423" i="5"/>
  <c r="L425" i="5"/>
  <c r="L363" i="5"/>
  <c r="L379" i="5"/>
  <c r="L428" i="5"/>
  <c r="L395" i="5"/>
  <c r="L411" i="5"/>
  <c r="L413" i="5"/>
  <c r="L419" i="5"/>
  <c r="L421" i="5"/>
  <c r="L472" i="5"/>
  <c r="L476" i="5"/>
  <c r="L480" i="5"/>
  <c r="L497" i="5"/>
  <c r="L507" i="5"/>
  <c r="L529" i="5"/>
  <c r="L501" i="5"/>
  <c r="L503" i="5"/>
  <c r="L573" i="5"/>
  <c r="L546" i="5"/>
  <c r="L584" i="5"/>
  <c r="L554" i="5"/>
  <c r="L570" i="5"/>
  <c r="L577" i="5"/>
  <c r="L605" i="5"/>
  <c r="L566" i="5"/>
  <c r="L595" i="5"/>
  <c r="L599" i="5"/>
  <c r="L611" i="5"/>
  <c r="L625" i="5"/>
  <c r="L568" i="5"/>
  <c r="L585" i="5"/>
  <c r="L591" i="5"/>
  <c r="L592" i="5"/>
  <c r="L596" i="5"/>
  <c r="L600" i="5"/>
  <c r="L607" i="5"/>
  <c r="L612" i="5"/>
  <c r="L615" i="5"/>
  <c r="L604" i="5"/>
  <c r="L616" i="5"/>
  <c r="L576" i="5"/>
  <c r="L575" i="5"/>
  <c r="L620" i="5"/>
  <c r="L621" i="5"/>
  <c r="L619" i="5"/>
  <c r="L581" i="5"/>
  <c r="L587" i="5"/>
  <c r="L588" i="5"/>
  <c r="L558" i="5"/>
  <c r="L629" i="5"/>
  <c r="L551" i="5"/>
  <c r="L583" i="5"/>
  <c r="L593" i="5"/>
  <c r="L630" i="5"/>
  <c r="L598" i="5"/>
  <c r="L582" i="5"/>
  <c r="L520" i="5"/>
  <c r="L586" i="5"/>
  <c r="L578" i="5"/>
  <c r="L521" i="5"/>
  <c r="L506" i="5"/>
  <c r="L376" i="5"/>
  <c r="L513" i="5"/>
  <c r="L494" i="5"/>
  <c r="L444" i="5"/>
  <c r="L455" i="5"/>
  <c r="L384" i="5"/>
  <c r="L479" i="5"/>
  <c r="L469" i="5"/>
  <c r="L478" i="5"/>
  <c r="L396" i="5"/>
  <c r="L447" i="5"/>
  <c r="L627" i="5"/>
  <c r="L580" i="5"/>
  <c r="L613" i="5"/>
  <c r="L553" i="5"/>
  <c r="L590" i="5"/>
  <c r="L549" i="5"/>
  <c r="L536" i="5"/>
  <c r="L516" i="5"/>
  <c r="L424" i="5"/>
  <c r="L541" i="5"/>
  <c r="L462" i="5"/>
  <c r="L468" i="5"/>
  <c r="L443" i="5"/>
  <c r="L339" i="5"/>
  <c r="L439" i="5"/>
  <c r="L370" i="5"/>
  <c r="L358" i="5"/>
  <c r="L401" i="5"/>
  <c r="L350" i="5"/>
  <c r="L571" i="5"/>
  <c r="L535" i="5"/>
  <c r="L431" i="5"/>
  <c r="L617" i="5"/>
  <c r="L589" i="5"/>
  <c r="L603" i="5"/>
  <c r="L547" i="5"/>
  <c r="L550" i="5"/>
  <c r="L602" i="5"/>
  <c r="L534" i="5"/>
  <c r="L492" i="5"/>
  <c r="L484" i="5"/>
  <c r="L416" i="5"/>
  <c r="L510" i="5"/>
  <c r="L525" i="5"/>
  <c r="L500" i="5"/>
  <c r="L509" i="5"/>
  <c r="L475" i="5"/>
  <c r="L458" i="5"/>
  <c r="L422" i="5"/>
  <c r="L456" i="5"/>
  <c r="L504" i="5"/>
  <c r="L418" i="5"/>
  <c r="L371" i="5"/>
  <c r="L457" i="5"/>
  <c r="L364" i="5"/>
  <c r="L389" i="5"/>
  <c r="L343" i="5"/>
  <c r="L381" i="5"/>
  <c r="L344" i="5"/>
  <c r="L567" i="5"/>
  <c r="L563" i="5"/>
  <c r="L608" i="5"/>
  <c r="L623" i="5"/>
  <c r="L556" i="5"/>
  <c r="L624" i="5"/>
  <c r="L552" i="5"/>
  <c r="L527" i="5"/>
  <c r="L555" i="5"/>
  <c r="L505" i="5"/>
  <c r="L465" i="5"/>
  <c r="L442" i="5"/>
  <c r="L523" i="5"/>
  <c r="L532" i="5"/>
  <c r="L522" i="5"/>
  <c r="L426" i="5"/>
  <c r="L477" i="5"/>
  <c r="L409" i="5"/>
  <c r="L451" i="5"/>
  <c r="L410" i="5"/>
  <c r="L400" i="5"/>
  <c r="L390" i="5"/>
  <c r="L393" i="5"/>
  <c r="L383" i="5"/>
  <c r="L340" i="5"/>
  <c r="L335" i="5"/>
  <c r="L380" i="5"/>
  <c r="L365" i="5"/>
  <c r="L356" i="5"/>
  <c r="L369" i="5"/>
  <c r="L348" i="5"/>
  <c r="L334" i="5"/>
  <c r="L357" i="5"/>
  <c r="L342" i="5"/>
  <c r="L333" i="5"/>
  <c r="L543" i="5"/>
  <c r="L519" i="5"/>
  <c r="L579" i="5"/>
  <c r="L574" i="5"/>
  <c r="L572" i="5"/>
  <c r="L511" i="5"/>
  <c r="L606" i="5"/>
  <c r="L518" i="5"/>
  <c r="L481" i="5"/>
  <c r="L531" i="5"/>
  <c r="L446" i="5"/>
  <c r="L486" i="5"/>
  <c r="L454" i="5"/>
  <c r="L493" i="5"/>
  <c r="L461" i="5"/>
  <c r="L450" i="5"/>
  <c r="L453" i="5"/>
  <c r="L610" i="5"/>
  <c r="L601" i="5"/>
  <c r="L626" i="5"/>
  <c r="L562" i="5"/>
  <c r="L618" i="5"/>
  <c r="L594" i="5"/>
  <c r="L614" i="5"/>
  <c r="L491" i="5"/>
  <c r="L429" i="5"/>
  <c r="L495" i="5"/>
  <c r="L530" i="5"/>
  <c r="L508" i="5"/>
  <c r="L533" i="5"/>
  <c r="L514" i="5"/>
  <c r="L488" i="5"/>
  <c r="L452" i="5"/>
  <c r="L414" i="5"/>
  <c r="L407" i="5"/>
  <c r="L482" i="5"/>
  <c r="L473" i="5"/>
  <c r="L459" i="5"/>
  <c r="L463" i="5"/>
  <c r="L398" i="5"/>
  <c r="L386" i="5"/>
  <c r="L361" i="5"/>
  <c r="L372" i="5"/>
  <c r="L628" i="5"/>
  <c r="L597" i="5"/>
  <c r="L538" i="5"/>
  <c r="L559" i="5"/>
  <c r="L466" i="5"/>
  <c r="L542" i="5"/>
  <c r="L496" i="5"/>
  <c r="L545" i="5"/>
  <c r="L474" i="5"/>
  <c r="L524" i="5"/>
  <c r="L517" i="5"/>
  <c r="L540" i="5"/>
  <c r="L499" i="5"/>
  <c r="L470" i="5"/>
  <c r="L430" i="5"/>
  <c r="L415" i="5"/>
  <c r="L460" i="5"/>
  <c r="L489" i="5"/>
  <c r="L408" i="5"/>
  <c r="L434" i="5"/>
  <c r="L405" i="5"/>
  <c r="L435" i="5"/>
  <c r="L341" i="5"/>
  <c r="L366" i="5"/>
  <c r="L336" i="5"/>
  <c r="L565" i="5"/>
  <c r="L512" i="5"/>
  <c r="L432" i="5"/>
  <c r="L351" i="5"/>
  <c r="L402" i="5"/>
  <c r="L394" i="5"/>
  <c r="L382" i="5"/>
  <c r="L346" i="5"/>
  <c r="L539" i="5"/>
  <c r="L464" i="5"/>
  <c r="L368" i="5"/>
  <c r="L609" i="5"/>
  <c r="L548" i="5"/>
  <c r="L557" i="5"/>
  <c r="L397" i="5"/>
  <c r="L375" i="5"/>
  <c r="L378" i="5"/>
  <c r="L436" i="5"/>
  <c r="L377" i="5"/>
  <c r="L349" i="5"/>
  <c r="L373" i="5"/>
  <c r="L345" i="5"/>
  <c r="L631" i="5"/>
  <c r="L467" i="5"/>
  <c r="L427" i="5"/>
  <c r="L448" i="5"/>
  <c r="L360" i="5"/>
  <c r="L417" i="5"/>
  <c r="L404" i="5"/>
  <c r="L560" i="5"/>
  <c r="L561" i="5"/>
  <c r="L544" i="5"/>
  <c r="L385" i="5"/>
  <c r="L338" i="5"/>
  <c r="L502" i="5"/>
  <c r="L433" i="5"/>
  <c r="L388" i="5"/>
  <c r="L337" i="5"/>
  <c r="L487" i="5"/>
  <c r="L449" i="5"/>
  <c r="L528" i="5"/>
  <c r="L485" i="5"/>
  <c r="L438" i="5"/>
  <c r="L353" i="5"/>
  <c r="L515" i="5"/>
  <c r="L537" i="5"/>
  <c r="L526" i="5"/>
  <c r="L445" i="5"/>
  <c r="L406" i="5"/>
  <c r="L354" i="5"/>
  <c r="L498" i="5"/>
  <c r="L471" i="5"/>
  <c r="L440" i="5"/>
  <c r="L403" i="5"/>
  <c r="L622" i="5"/>
  <c r="L564" i="5"/>
  <c r="L399" i="5"/>
  <c r="L441" i="5"/>
  <c r="L352" i="5"/>
  <c r="L437" i="5"/>
  <c r="L362" i="5"/>
  <c r="L392" i="5"/>
  <c r="L374" i="5"/>
  <c r="L569" i="5"/>
  <c r="L490" i="5"/>
  <c r="L483" i="5"/>
  <c r="L298" i="5"/>
  <c r="AN301" i="5"/>
  <c r="AN309" i="5"/>
  <c r="AN317" i="5"/>
  <c r="AN325" i="5"/>
  <c r="J292" i="5"/>
  <c r="J296" i="5"/>
  <c r="J302" i="5"/>
  <c r="J326" i="5"/>
  <c r="AH318" i="5"/>
  <c r="AH302" i="5"/>
  <c r="V295" i="5"/>
  <c r="V298" i="5"/>
  <c r="V306" i="5"/>
  <c r="AN245" i="5"/>
  <c r="AN197" i="5"/>
  <c r="J303" i="5"/>
  <c r="J314" i="5"/>
  <c r="J315" i="5"/>
  <c r="J317" i="5"/>
  <c r="R302" i="5"/>
  <c r="R304" i="5"/>
  <c r="R305" i="5"/>
  <c r="R306" i="5"/>
  <c r="R308" i="5"/>
  <c r="R310" i="5"/>
  <c r="R311" i="5"/>
  <c r="AH295" i="5"/>
  <c r="R291" i="5"/>
  <c r="R295" i="5"/>
  <c r="R296" i="5"/>
  <c r="R297" i="5"/>
  <c r="R298" i="5"/>
  <c r="R299" i="5"/>
  <c r="R300" i="5"/>
  <c r="R316" i="5"/>
  <c r="R327" i="5"/>
  <c r="R332" i="5"/>
  <c r="AH328" i="5"/>
  <c r="AH294" i="5"/>
  <c r="V311" i="5"/>
  <c r="V312" i="5"/>
  <c r="V314" i="5"/>
  <c r="V317" i="5"/>
  <c r="V319" i="5"/>
  <c r="V321" i="5"/>
  <c r="V324" i="5"/>
  <c r="V325" i="5"/>
  <c r="V326" i="5"/>
  <c r="V327" i="5"/>
  <c r="V328" i="5"/>
  <c r="AL330" i="5"/>
  <c r="AL328" i="5"/>
  <c r="AL324" i="5"/>
  <c r="AL320" i="5"/>
  <c r="AL318" i="5"/>
  <c r="V293" i="5"/>
  <c r="V294" i="5"/>
  <c r="V296" i="5"/>
  <c r="V297" i="5"/>
  <c r="V299" i="5"/>
  <c r="V300" i="5"/>
  <c r="V301" i="5"/>
  <c r="R313" i="5"/>
  <c r="R315" i="5"/>
  <c r="R317" i="5"/>
  <c r="R318" i="5"/>
  <c r="R319" i="5"/>
  <c r="R322" i="5"/>
  <c r="R325" i="5"/>
  <c r="V302" i="5"/>
  <c r="V303" i="5"/>
  <c r="V304" i="5"/>
  <c r="V305" i="5"/>
  <c r="V307" i="5"/>
  <c r="V308" i="5"/>
  <c r="V310" i="5"/>
  <c r="V313" i="5"/>
  <c r="V318" i="5"/>
  <c r="V322" i="5"/>
  <c r="R330" i="5"/>
  <c r="R331" i="5"/>
  <c r="AL329" i="5"/>
  <c r="AC295" i="5"/>
  <c r="AC298" i="5"/>
  <c r="AC301" i="5"/>
  <c r="AL313" i="5"/>
  <c r="AL309" i="5"/>
  <c r="AL305" i="5"/>
  <c r="AL301" i="5"/>
  <c r="AL297" i="5"/>
  <c r="AL293" i="5"/>
  <c r="V30" i="5"/>
  <c r="R15" i="5"/>
  <c r="Z13" i="5"/>
  <c r="V285" i="5"/>
  <c r="Z284" i="5"/>
  <c r="AL282" i="5"/>
  <c r="R278" i="5"/>
  <c r="R270" i="5"/>
  <c r="V269" i="5"/>
  <c r="Z268" i="5"/>
  <c r="AL266" i="5"/>
  <c r="V265" i="5"/>
  <c r="AL262" i="5"/>
  <c r="R262" i="5"/>
  <c r="J299" i="5"/>
  <c r="AB311" i="5"/>
  <c r="AB315" i="5"/>
  <c r="AC324" i="5"/>
  <c r="AB331" i="5"/>
  <c r="AO210" i="5"/>
  <c r="AN326" i="5"/>
  <c r="AC328" i="5"/>
  <c r="AC329" i="5"/>
  <c r="AC332" i="5"/>
  <c r="R303" i="5"/>
  <c r="AL312" i="5"/>
  <c r="AL310" i="5"/>
  <c r="AL308" i="5"/>
  <c r="AL304" i="5"/>
  <c r="AL296" i="5"/>
  <c r="AL294" i="5"/>
  <c r="AL292" i="5"/>
  <c r="AB294" i="5"/>
  <c r="AR294" i="5"/>
  <c r="AB302" i="5"/>
  <c r="AR302" i="5"/>
  <c r="R292" i="5"/>
  <c r="J294" i="5"/>
  <c r="L300" i="5"/>
  <c r="L299" i="5"/>
  <c r="J301" i="5"/>
  <c r="AC309" i="5"/>
  <c r="Z309" i="5"/>
  <c r="L326" i="5"/>
  <c r="L301" i="5"/>
  <c r="L308" i="5"/>
  <c r="L294" i="5"/>
  <c r="AB291" i="5"/>
  <c r="V292" i="5"/>
  <c r="L307" i="5"/>
  <c r="J307" i="5"/>
  <c r="AR313" i="5"/>
  <c r="AB313" i="5"/>
  <c r="L291" i="5"/>
  <c r="Z291" i="5"/>
  <c r="AC291" i="5"/>
  <c r="AR292" i="5"/>
  <c r="AB292" i="5"/>
  <c r="L295" i="5"/>
  <c r="L306" i="5"/>
  <c r="J309" i="5"/>
  <c r="L312" i="5"/>
  <c r="Z292" i="5"/>
  <c r="AC292" i="5"/>
  <c r="AR293" i="5"/>
  <c r="AB293" i="5"/>
  <c r="R294" i="5"/>
  <c r="Z295" i="5"/>
  <c r="AR296" i="5"/>
  <c r="AB296" i="5"/>
  <c r="L314" i="5"/>
  <c r="L316" i="5"/>
  <c r="AN318" i="5"/>
  <c r="L318" i="5"/>
  <c r="J318" i="5"/>
  <c r="J291" i="5"/>
  <c r="AN293" i="5"/>
  <c r="L293" i="5"/>
  <c r="Z293" i="5"/>
  <c r="AC293" i="5"/>
  <c r="L313" i="5"/>
  <c r="L321" i="5"/>
  <c r="J321" i="5"/>
  <c r="L327" i="5"/>
  <c r="L328" i="5"/>
  <c r="L292" i="5"/>
  <c r="J293" i="5"/>
  <c r="L320" i="5"/>
  <c r="J325" i="5"/>
  <c r="AB330" i="5"/>
  <c r="AR330" i="5"/>
  <c r="V291" i="5"/>
  <c r="L296" i="5"/>
  <c r="Z296" i="5"/>
  <c r="AC296" i="5"/>
  <c r="AB297" i="5"/>
  <c r="AR297" i="5"/>
  <c r="J300" i="5"/>
  <c r="R301" i="5"/>
  <c r="L302" i="5"/>
  <c r="Z302" i="5"/>
  <c r="AS302" i="5"/>
  <c r="AC302" i="5"/>
  <c r="AB307" i="5"/>
  <c r="L309" i="5"/>
  <c r="Z313" i="5"/>
  <c r="AC313" i="5"/>
  <c r="L317" i="5"/>
  <c r="AB321" i="5"/>
  <c r="AR321" i="5"/>
  <c r="R323" i="5"/>
  <c r="R324" i="5"/>
  <c r="R326" i="5"/>
  <c r="J327" i="5"/>
  <c r="Z329" i="5"/>
  <c r="Z330" i="5"/>
  <c r="AC330" i="5"/>
  <c r="AC331" i="5"/>
  <c r="V332" i="5"/>
  <c r="L297" i="5"/>
  <c r="Z297" i="5"/>
  <c r="AC297" i="5"/>
  <c r="AB298" i="5"/>
  <c r="AR298" i="5"/>
  <c r="AR300" i="5"/>
  <c r="AB300" i="5"/>
  <c r="L303" i="5"/>
  <c r="AB303" i="5"/>
  <c r="Z307" i="5"/>
  <c r="AC307" i="5"/>
  <c r="L310" i="5"/>
  <c r="AN310" i="5"/>
  <c r="AB310" i="5"/>
  <c r="AR310" i="5"/>
  <c r="AB314" i="5"/>
  <c r="AR314" i="5"/>
  <c r="Z321" i="5"/>
  <c r="AC321" i="5"/>
  <c r="AB322" i="5"/>
  <c r="AR322" i="5"/>
  <c r="L325" i="5"/>
  <c r="Z325" i="5"/>
  <c r="AB325" i="5"/>
  <c r="AR325" i="5"/>
  <c r="AB327" i="5"/>
  <c r="L330" i="5"/>
  <c r="L331" i="5"/>
  <c r="Z331" i="5"/>
  <c r="AB332" i="5"/>
  <c r="AR332" i="5"/>
  <c r="Z300" i="5"/>
  <c r="AC300" i="5"/>
  <c r="AC303" i="5"/>
  <c r="AR304" i="5"/>
  <c r="AB304" i="5"/>
  <c r="AS310" i="5"/>
  <c r="AC310" i="5"/>
  <c r="Z314" i="5"/>
  <c r="AC314" i="5"/>
  <c r="AB318" i="5"/>
  <c r="AR318" i="5"/>
  <c r="L322" i="5"/>
  <c r="Z322" i="5"/>
  <c r="AC322" i="5"/>
  <c r="AC325" i="5"/>
  <c r="AC327" i="5"/>
  <c r="L332" i="5"/>
  <c r="R293" i="5"/>
  <c r="Z294" i="5"/>
  <c r="AC294" i="5"/>
  <c r="AS294" i="5"/>
  <c r="Z298" i="5"/>
  <c r="Z301" i="5"/>
  <c r="AR301" i="5"/>
  <c r="AB301" i="5"/>
  <c r="Z303" i="5"/>
  <c r="Z304" i="5"/>
  <c r="AC304" i="5"/>
  <c r="AB305" i="5"/>
  <c r="AR305" i="5"/>
  <c r="J308" i="5"/>
  <c r="R309" i="5"/>
  <c r="L311" i="5"/>
  <c r="Z311" i="5"/>
  <c r="AC311" i="5"/>
  <c r="AR312" i="5"/>
  <c r="AB312" i="5"/>
  <c r="L315" i="5"/>
  <c r="Z315" i="5"/>
  <c r="AC315" i="5"/>
  <c r="V316" i="5"/>
  <c r="Z318" i="5"/>
  <c r="AC318" i="5"/>
  <c r="AS318" i="5"/>
  <c r="AB319" i="5"/>
  <c r="V320" i="5"/>
  <c r="J322" i="5"/>
  <c r="L323" i="5"/>
  <c r="AB323" i="5"/>
  <c r="AR324" i="5"/>
  <c r="AB324" i="5"/>
  <c r="Z327" i="5"/>
  <c r="R329" i="5"/>
  <c r="Z332" i="5"/>
  <c r="L304" i="5"/>
  <c r="L305" i="5"/>
  <c r="Z305" i="5"/>
  <c r="AC305" i="5"/>
  <c r="AB306" i="5"/>
  <c r="AR306" i="5"/>
  <c r="AR308" i="5"/>
  <c r="AB308" i="5"/>
  <c r="Z312" i="5"/>
  <c r="AC312" i="5"/>
  <c r="AR316" i="5"/>
  <c r="AB316" i="5"/>
  <c r="L319" i="5"/>
  <c r="Z319" i="5"/>
  <c r="AC319" i="5"/>
  <c r="AR320" i="5"/>
  <c r="AB320" i="5"/>
  <c r="Z323" i="5"/>
  <c r="AC323" i="5"/>
  <c r="AD323" i="5" s="1"/>
  <c r="AB326" i="5"/>
  <c r="AR326" i="5"/>
  <c r="J295" i="5"/>
  <c r="AB295" i="5"/>
  <c r="AB299" i="5"/>
  <c r="AC306" i="5"/>
  <c r="R307" i="5"/>
  <c r="Z308" i="5"/>
  <c r="AC308" i="5"/>
  <c r="V309" i="5"/>
  <c r="J313" i="5"/>
  <c r="R314" i="5"/>
  <c r="Z316" i="5"/>
  <c r="AC316" i="5"/>
  <c r="Z317" i="5"/>
  <c r="AR317" i="5"/>
  <c r="AB317" i="5"/>
  <c r="AC320" i="5"/>
  <c r="R321" i="5"/>
  <c r="J323" i="5"/>
  <c r="L324" i="5"/>
  <c r="Z324" i="5"/>
  <c r="AS326" i="5"/>
  <c r="AC326" i="5"/>
  <c r="J328" i="5"/>
  <c r="Z328" i="5"/>
  <c r="AR328" i="5"/>
  <c r="AB328" i="5"/>
  <c r="V329" i="5"/>
  <c r="V330" i="5"/>
  <c r="Z299" i="5"/>
  <c r="AC299" i="5"/>
  <c r="Z306" i="5"/>
  <c r="AR309" i="5"/>
  <c r="AB309" i="5"/>
  <c r="AC317" i="5"/>
  <c r="Z320" i="5"/>
  <c r="AB329" i="5"/>
  <c r="AR329" i="5"/>
  <c r="AR327" i="5"/>
  <c r="AN321" i="5"/>
  <c r="AR311" i="5"/>
  <c r="AN305" i="5"/>
  <c r="AO326" i="5"/>
  <c r="AH326" i="5"/>
  <c r="AN328" i="5"/>
  <c r="AN314" i="5"/>
  <c r="AO329" i="5"/>
  <c r="AH320" i="5"/>
  <c r="AO316" i="5"/>
  <c r="AL302" i="5"/>
  <c r="AO330" i="5"/>
  <c r="AN329" i="5"/>
  <c r="AL326" i="5"/>
  <c r="AL325" i="5"/>
  <c r="AO324" i="5"/>
  <c r="AL321" i="5"/>
  <c r="AN320" i="5"/>
  <c r="AL317" i="5"/>
  <c r="AN316" i="5"/>
  <c r="AO310" i="5"/>
  <c r="AO307" i="5"/>
  <c r="AN304" i="5"/>
  <c r="AO331" i="5"/>
  <c r="AN330" i="5"/>
  <c r="AN324" i="5"/>
  <c r="AN313" i="5"/>
  <c r="AN307" i="5"/>
  <c r="AO299" i="5"/>
  <c r="AN296" i="5"/>
  <c r="AL332" i="5"/>
  <c r="AN331" i="5"/>
  <c r="AH327" i="5"/>
  <c r="AO325" i="5"/>
  <c r="AP325" i="5" s="1"/>
  <c r="AO321" i="5"/>
  <c r="AO317" i="5"/>
  <c r="AO314" i="5"/>
  <c r="AH311" i="5"/>
  <c r="AL300" i="5"/>
  <c r="AN299" i="5"/>
  <c r="AO291" i="5"/>
  <c r="AO332" i="5"/>
  <c r="AO322" i="5"/>
  <c r="AH319" i="5"/>
  <c r="AO318" i="5"/>
  <c r="AO315" i="5"/>
  <c r="AH303" i="5"/>
  <c r="AN297" i="5"/>
  <c r="AN332" i="5"/>
  <c r="AO323" i="5"/>
  <c r="AN322" i="5"/>
  <c r="AR319" i="5"/>
  <c r="AL316" i="5"/>
  <c r="AN315" i="5"/>
  <c r="AO306" i="5"/>
  <c r="AR303" i="5"/>
  <c r="AN323" i="5"/>
  <c r="AN312" i="5"/>
  <c r="AN306" i="5"/>
  <c r="AO298" i="5"/>
  <c r="AR295" i="5"/>
  <c r="AN291" i="5"/>
  <c r="AO313" i="5"/>
  <c r="AH312" i="5"/>
  <c r="AH310" i="5"/>
  <c r="AO308" i="5"/>
  <c r="AO305" i="5"/>
  <c r="AP305" i="5" s="1"/>
  <c r="AH304" i="5"/>
  <c r="AO300" i="5"/>
  <c r="AO297" i="5"/>
  <c r="AH296" i="5"/>
  <c r="AO292" i="5"/>
  <c r="AO309" i="5"/>
  <c r="AN308" i="5"/>
  <c r="AO302" i="5"/>
  <c r="AO301" i="5"/>
  <c r="AN300" i="5"/>
  <c r="AO294" i="5"/>
  <c r="AO293" i="5"/>
  <c r="AN292" i="5"/>
  <c r="AL331" i="5"/>
  <c r="AL327" i="5"/>
  <c r="AL323" i="5"/>
  <c r="AL319" i="5"/>
  <c r="AL315" i="5"/>
  <c r="AL311" i="5"/>
  <c r="AL307" i="5"/>
  <c r="AL303" i="5"/>
  <c r="AL299" i="5"/>
  <c r="AL295" i="5"/>
  <c r="AL291" i="5"/>
  <c r="AL322" i="5"/>
  <c r="AL314" i="5"/>
  <c r="AL306" i="5"/>
  <c r="AL298" i="5"/>
  <c r="AS329" i="5"/>
  <c r="AH329" i="5"/>
  <c r="AS321" i="5"/>
  <c r="AH321" i="5"/>
  <c r="AS313" i="5"/>
  <c r="AH313" i="5"/>
  <c r="AS305" i="5"/>
  <c r="AH305" i="5"/>
  <c r="AS297" i="5"/>
  <c r="AH297" i="5"/>
  <c r="AS330" i="5"/>
  <c r="AH330" i="5"/>
  <c r="AO327" i="5"/>
  <c r="AS322" i="5"/>
  <c r="AH322" i="5"/>
  <c r="AO319" i="5"/>
  <c r="AS314" i="5"/>
  <c r="AH314" i="5"/>
  <c r="AO311" i="5"/>
  <c r="AS306" i="5"/>
  <c r="AH306" i="5"/>
  <c r="AO303" i="5"/>
  <c r="AS298" i="5"/>
  <c r="AH298" i="5"/>
  <c r="AO295" i="5"/>
  <c r="AS331" i="5"/>
  <c r="AH331" i="5"/>
  <c r="AO328" i="5"/>
  <c r="AN327" i="5"/>
  <c r="AS323" i="5"/>
  <c r="AH323" i="5"/>
  <c r="AO320" i="5"/>
  <c r="AN319" i="5"/>
  <c r="AS315" i="5"/>
  <c r="AH315" i="5"/>
  <c r="AO312" i="5"/>
  <c r="AN311" i="5"/>
  <c r="AS307" i="5"/>
  <c r="AH307" i="5"/>
  <c r="AO304" i="5"/>
  <c r="AN303" i="5"/>
  <c r="AS299" i="5"/>
  <c r="AH299" i="5"/>
  <c r="AO296" i="5"/>
  <c r="AN295" i="5"/>
  <c r="AS291" i="5"/>
  <c r="AH291" i="5"/>
  <c r="AS332" i="5"/>
  <c r="AH332" i="5"/>
  <c r="AR331" i="5"/>
  <c r="AS324" i="5"/>
  <c r="AH324" i="5"/>
  <c r="AR323" i="5"/>
  <c r="AS316" i="5"/>
  <c r="AH316" i="5"/>
  <c r="AR315" i="5"/>
  <c r="AS308" i="5"/>
  <c r="AH308" i="5"/>
  <c r="AR307" i="5"/>
  <c r="AS300" i="5"/>
  <c r="AH300" i="5"/>
  <c r="AR299" i="5"/>
  <c r="AS292" i="5"/>
  <c r="AH292" i="5"/>
  <c r="AR291" i="5"/>
  <c r="AS325" i="5"/>
  <c r="AT325" i="5" s="1"/>
  <c r="AH325" i="5"/>
  <c r="AS317" i="5"/>
  <c r="AH317" i="5"/>
  <c r="AS309" i="5"/>
  <c r="AH309" i="5"/>
  <c r="AS301" i="5"/>
  <c r="AH301" i="5"/>
  <c r="AS293" i="5"/>
  <c r="AH293" i="5"/>
  <c r="AS327" i="5"/>
  <c r="AS319" i="5"/>
  <c r="AS311" i="5"/>
  <c r="AS303" i="5"/>
  <c r="AS295" i="5"/>
  <c r="AS328" i="5"/>
  <c r="AS320" i="5"/>
  <c r="AS312" i="5"/>
  <c r="AS304" i="5"/>
  <c r="AS296" i="5"/>
  <c r="J298" i="5"/>
  <c r="J306" i="5"/>
  <c r="J312" i="5"/>
  <c r="J316" i="5"/>
  <c r="Z326" i="5"/>
  <c r="J332" i="5"/>
  <c r="J305" i="5"/>
  <c r="J311" i="5"/>
  <c r="J320" i="5"/>
  <c r="J324" i="5"/>
  <c r="J330" i="5"/>
  <c r="J297" i="5"/>
  <c r="J304" i="5"/>
  <c r="V315" i="5"/>
  <c r="J319" i="5"/>
  <c r="V331" i="5"/>
  <c r="J310" i="5"/>
  <c r="V323" i="5"/>
  <c r="L329" i="5"/>
  <c r="J329" i="5"/>
  <c r="R312" i="5"/>
  <c r="R328" i="5"/>
  <c r="J331" i="5"/>
  <c r="Z310" i="5"/>
  <c r="R320" i="5"/>
  <c r="AN206" i="5"/>
  <c r="Z260" i="5"/>
  <c r="AH259" i="5"/>
  <c r="AL258" i="5"/>
  <c r="V229" i="5"/>
  <c r="Z228" i="5"/>
  <c r="R202" i="5"/>
  <c r="AL189" i="5"/>
  <c r="V119" i="5"/>
  <c r="AH117" i="5"/>
  <c r="J267" i="5"/>
  <c r="J235" i="5"/>
  <c r="AR115" i="5"/>
  <c r="Z145" i="5"/>
  <c r="Z121" i="5"/>
  <c r="AL118" i="5"/>
  <c r="Z112" i="5"/>
  <c r="V112" i="5"/>
  <c r="AL105" i="5"/>
  <c r="AH102" i="5"/>
  <c r="AH66" i="5"/>
  <c r="AL65" i="5"/>
  <c r="V52" i="5"/>
  <c r="AL49" i="5"/>
  <c r="V44" i="5"/>
  <c r="R37" i="5"/>
  <c r="V36" i="5"/>
  <c r="AH30" i="5"/>
  <c r="R29" i="5"/>
  <c r="R13" i="5"/>
  <c r="AL284" i="5"/>
  <c r="AL280" i="5"/>
  <c r="V279" i="5"/>
  <c r="AL272" i="5"/>
  <c r="AL264" i="5"/>
  <c r="AL120" i="5"/>
  <c r="AO254" i="5"/>
  <c r="AO246" i="5"/>
  <c r="AL150" i="5"/>
  <c r="V149" i="5"/>
  <c r="Z148" i="5"/>
  <c r="AL146" i="5"/>
  <c r="AH139" i="5"/>
  <c r="R138" i="5"/>
  <c r="Z136" i="5"/>
  <c r="J209" i="5"/>
  <c r="J81" i="5"/>
  <c r="J65" i="5"/>
  <c r="J49" i="5"/>
  <c r="J41" i="5"/>
  <c r="R257" i="5"/>
  <c r="V256" i="5"/>
  <c r="R249" i="5"/>
  <c r="AH246" i="5"/>
  <c r="Z231" i="5"/>
  <c r="R229" i="5"/>
  <c r="R225" i="5"/>
  <c r="V224" i="5"/>
  <c r="V204" i="5"/>
  <c r="AL197" i="5"/>
  <c r="V196" i="5"/>
  <c r="Z195" i="5"/>
  <c r="Z191" i="5"/>
  <c r="AH190" i="5"/>
  <c r="J250" i="5"/>
  <c r="Z93" i="5"/>
  <c r="AL91" i="5"/>
  <c r="AL87" i="5"/>
  <c r="AL75" i="5"/>
  <c r="AL67" i="5"/>
  <c r="Z175" i="5"/>
  <c r="AL173" i="5"/>
  <c r="R173" i="5"/>
  <c r="AH99" i="5"/>
  <c r="AH31" i="5"/>
  <c r="V276" i="5"/>
  <c r="AH290" i="5"/>
  <c r="AL289" i="5"/>
  <c r="R289" i="5"/>
  <c r="AH221" i="5"/>
  <c r="AL220" i="5"/>
  <c r="J283" i="5"/>
  <c r="J275" i="5"/>
  <c r="AO247" i="5"/>
  <c r="V258" i="5"/>
  <c r="AH252" i="5"/>
  <c r="AL235" i="5"/>
  <c r="R235" i="5"/>
  <c r="AH228" i="5"/>
  <c r="V226" i="5"/>
  <c r="AL211" i="5"/>
  <c r="R211" i="5"/>
  <c r="V210" i="5"/>
  <c r="AL207" i="5"/>
  <c r="AH196" i="5"/>
  <c r="AL195" i="5"/>
  <c r="R195" i="5"/>
  <c r="R28" i="5"/>
  <c r="AH9" i="5"/>
  <c r="AL287" i="5"/>
  <c r="Z285" i="5"/>
  <c r="AB244" i="5"/>
  <c r="AB236" i="5"/>
  <c r="AH210" i="5"/>
  <c r="AL209" i="5"/>
  <c r="V200" i="5"/>
  <c r="R107" i="5"/>
  <c r="R103" i="5"/>
  <c r="AL43" i="5"/>
  <c r="J259" i="5"/>
  <c r="J255" i="5"/>
  <c r="J243" i="5"/>
  <c r="J239" i="5"/>
  <c r="AL260" i="5"/>
  <c r="Z258" i="5"/>
  <c r="AL256" i="5"/>
  <c r="R256" i="5"/>
  <c r="V247" i="5"/>
  <c r="V239" i="5"/>
  <c r="Z238" i="5"/>
  <c r="V231" i="5"/>
  <c r="Z230" i="5"/>
  <c r="AL228" i="5"/>
  <c r="R228" i="5"/>
  <c r="V227" i="5"/>
  <c r="Z226" i="5"/>
  <c r="R224" i="5"/>
  <c r="V223" i="5"/>
  <c r="Z222" i="5"/>
  <c r="AH182" i="5"/>
  <c r="V144" i="5"/>
  <c r="Z143" i="5"/>
  <c r="R137" i="5"/>
  <c r="V136" i="5"/>
  <c r="V128" i="5"/>
  <c r="R121" i="5"/>
  <c r="V120" i="5"/>
  <c r="Z119" i="5"/>
  <c r="AH91" i="5"/>
  <c r="AL90" i="5"/>
  <c r="R78" i="5"/>
  <c r="V77" i="5"/>
  <c r="Z76" i="5"/>
  <c r="AL74" i="5"/>
  <c r="V73" i="5"/>
  <c r="R70" i="5"/>
  <c r="V69" i="5"/>
  <c r="AH67" i="5"/>
  <c r="AH189" i="5"/>
  <c r="AH185" i="5"/>
  <c r="AL184" i="5"/>
  <c r="V179" i="5"/>
  <c r="AH177" i="5"/>
  <c r="AL176" i="5"/>
  <c r="V116" i="5"/>
  <c r="J281" i="5"/>
  <c r="L242" i="5"/>
  <c r="AB234" i="5"/>
  <c r="L230" i="5"/>
  <c r="J178" i="5"/>
  <c r="J170" i="5"/>
  <c r="J162" i="5"/>
  <c r="J138" i="5"/>
  <c r="J130" i="5"/>
  <c r="AH172" i="5"/>
  <c r="AL171" i="5"/>
  <c r="R167" i="5"/>
  <c r="Z165" i="5"/>
  <c r="AH164" i="5"/>
  <c r="AL163" i="5"/>
  <c r="R155" i="5"/>
  <c r="Z153" i="5"/>
  <c r="L289" i="5"/>
  <c r="AC257" i="5"/>
  <c r="J249" i="5"/>
  <c r="J225" i="5"/>
  <c r="AH207" i="5"/>
  <c r="AL206" i="5"/>
  <c r="R206" i="5"/>
  <c r="Z192" i="5"/>
  <c r="AL108" i="5"/>
  <c r="R108" i="5"/>
  <c r="Z102" i="5"/>
  <c r="AH101" i="5"/>
  <c r="AL100" i="5"/>
  <c r="R100" i="5"/>
  <c r="AL40" i="5"/>
  <c r="J6" i="5"/>
  <c r="J193" i="5"/>
  <c r="J177" i="5"/>
  <c r="J169" i="5"/>
  <c r="J145" i="5"/>
  <c r="J97" i="5"/>
  <c r="V177" i="5"/>
  <c r="AL170" i="5"/>
  <c r="V169" i="5"/>
  <c r="AL162" i="5"/>
  <c r="AL154" i="5"/>
  <c r="L55" i="5"/>
  <c r="L51" i="5"/>
  <c r="Z261" i="5"/>
  <c r="R193" i="5"/>
  <c r="AL132" i="5"/>
  <c r="R124" i="5"/>
  <c r="AH40" i="5"/>
  <c r="Z37" i="5"/>
  <c r="AL23" i="5"/>
  <c r="AH20" i="5"/>
  <c r="V6" i="5"/>
  <c r="Z276" i="5"/>
  <c r="L233" i="5"/>
  <c r="J129" i="5"/>
  <c r="J113" i="5"/>
  <c r="J105" i="5"/>
  <c r="L94" i="5"/>
  <c r="J74" i="5"/>
  <c r="J66" i="5"/>
  <c r="J50" i="5"/>
  <c r="J42" i="5"/>
  <c r="J34" i="5"/>
  <c r="V206" i="5"/>
  <c r="R203" i="5"/>
  <c r="AH197" i="5"/>
  <c r="AL196" i="5"/>
  <c r="AH193" i="5"/>
  <c r="AL192" i="5"/>
  <c r="R192" i="5"/>
  <c r="V191" i="5"/>
  <c r="Z190" i="5"/>
  <c r="R189" i="5"/>
  <c r="AL181" i="5"/>
  <c r="V180" i="5"/>
  <c r="AH178" i="5"/>
  <c r="AL177" i="5"/>
  <c r="V176" i="5"/>
  <c r="Z172" i="5"/>
  <c r="V162" i="5"/>
  <c r="R147" i="5"/>
  <c r="V146" i="5"/>
  <c r="Z141" i="5"/>
  <c r="V134" i="5"/>
  <c r="AH132" i="5"/>
  <c r="AL131" i="5"/>
  <c r="AL127" i="5"/>
  <c r="R123" i="5"/>
  <c r="V122" i="5"/>
  <c r="AL97" i="5"/>
  <c r="AL89" i="5"/>
  <c r="AL85" i="5"/>
  <c r="R85" i="5"/>
  <c r="AL81" i="5"/>
  <c r="V80" i="5"/>
  <c r="AH74" i="5"/>
  <c r="AL73" i="5"/>
  <c r="V72" i="5"/>
  <c r="R42" i="5"/>
  <c r="AL26" i="5"/>
  <c r="R26" i="5"/>
  <c r="V25" i="5"/>
  <c r="AH23" i="5"/>
  <c r="V13" i="5"/>
  <c r="AH7" i="5"/>
  <c r="AL6" i="5"/>
  <c r="AL281" i="5"/>
  <c r="V268" i="5"/>
  <c r="Z267" i="5"/>
  <c r="AH266" i="5"/>
  <c r="AL265" i="5"/>
  <c r="R290" i="5"/>
  <c r="L252" i="5"/>
  <c r="AO236" i="5"/>
  <c r="AN221" i="5"/>
  <c r="L260" i="5"/>
  <c r="L279" i="5"/>
  <c r="V221" i="5"/>
  <c r="R184" i="5"/>
  <c r="V165" i="5"/>
  <c r="V111" i="5"/>
  <c r="AL45" i="5"/>
  <c r="V288" i="5"/>
  <c r="L229" i="5"/>
  <c r="J278" i="5"/>
  <c r="J274" i="5"/>
  <c r="J270" i="5"/>
  <c r="L263" i="5"/>
  <c r="L259" i="5"/>
  <c r="L255" i="5"/>
  <c r="AN239" i="5"/>
  <c r="AL205" i="5"/>
  <c r="AH203" i="5"/>
  <c r="R187" i="5"/>
  <c r="V186" i="5"/>
  <c r="R183" i="5"/>
  <c r="V175" i="5"/>
  <c r="Z174" i="5"/>
  <c r="AH170" i="5"/>
  <c r="V168" i="5"/>
  <c r="AL161" i="5"/>
  <c r="V160" i="5"/>
  <c r="AL115" i="5"/>
  <c r="Z113" i="5"/>
  <c r="AL111" i="5"/>
  <c r="R111" i="5"/>
  <c r="R95" i="5"/>
  <c r="V87" i="5"/>
  <c r="Z86" i="5"/>
  <c r="R80" i="5"/>
  <c r="V63" i="5"/>
  <c r="V59" i="5"/>
  <c r="V55" i="5"/>
  <c r="AH53" i="5"/>
  <c r="R52" i="5"/>
  <c r="Z50" i="5"/>
  <c r="AL48" i="5"/>
  <c r="R48" i="5"/>
  <c r="V43" i="5"/>
  <c r="Z42" i="5"/>
  <c r="V40" i="5"/>
  <c r="V20" i="5"/>
  <c r="R5" i="5"/>
  <c r="J7" i="5"/>
  <c r="J289" i="5"/>
  <c r="V39" i="5"/>
  <c r="V31" i="5"/>
  <c r="Z22" i="5"/>
  <c r="Z6" i="5"/>
  <c r="AL283" i="5"/>
  <c r="V282" i="5"/>
  <c r="R279" i="5"/>
  <c r="V278" i="5"/>
  <c r="AL275" i="5"/>
  <c r="V274" i="5"/>
  <c r="R271" i="5"/>
  <c r="V270" i="5"/>
  <c r="AH289" i="5"/>
  <c r="J273" i="5"/>
  <c r="Z199" i="5"/>
  <c r="AH198" i="5"/>
  <c r="R168" i="5"/>
  <c r="V167" i="5"/>
  <c r="V163" i="5"/>
  <c r="V140" i="5"/>
  <c r="AH111" i="5"/>
  <c r="AL110" i="5"/>
  <c r="R110" i="5"/>
  <c r="R102" i="5"/>
  <c r="AL47" i="5"/>
  <c r="AH44" i="5"/>
  <c r="Z41" i="5"/>
  <c r="J201" i="5"/>
  <c r="AL236" i="5"/>
  <c r="AH213" i="5"/>
  <c r="AL212" i="5"/>
  <c r="AL208" i="5"/>
  <c r="Z200" i="5"/>
  <c r="Z187" i="5"/>
  <c r="R185" i="5"/>
  <c r="AH179" i="5"/>
  <c r="AL178" i="5"/>
  <c r="AL175" i="5"/>
  <c r="AH173" i="5"/>
  <c r="R172" i="5"/>
  <c r="R151" i="5"/>
  <c r="V150" i="5"/>
  <c r="Z149" i="5"/>
  <c r="AL147" i="5"/>
  <c r="AL134" i="5"/>
  <c r="AH119" i="5"/>
  <c r="V118" i="5"/>
  <c r="AH116" i="5"/>
  <c r="AH112" i="5"/>
  <c r="AL93" i="5"/>
  <c r="AL62" i="5"/>
  <c r="R62" i="5"/>
  <c r="V61" i="5"/>
  <c r="Z56" i="5"/>
  <c r="AH55" i="5"/>
  <c r="AL54" i="5"/>
  <c r="R54" i="5"/>
  <c r="R50" i="5"/>
  <c r="V49" i="5"/>
  <c r="V46" i="5"/>
  <c r="R40" i="5"/>
  <c r="AL29" i="5"/>
  <c r="V17" i="5"/>
  <c r="Z9" i="5"/>
  <c r="AH281" i="5"/>
  <c r="AL277" i="5"/>
  <c r="AL273" i="5"/>
  <c r="V264" i="5"/>
  <c r="J185" i="5"/>
  <c r="J161" i="5"/>
  <c r="J153" i="5"/>
  <c r="J121" i="5"/>
  <c r="R255" i="5"/>
  <c r="V222" i="5"/>
  <c r="Z123" i="5"/>
  <c r="V110" i="5"/>
  <c r="V103" i="5"/>
  <c r="AH90" i="5"/>
  <c r="AL46" i="5"/>
  <c r="AH43" i="5"/>
  <c r="AL39" i="5"/>
  <c r="AL36" i="5"/>
  <c r="AH33" i="5"/>
  <c r="V28" i="5"/>
  <c r="R25" i="5"/>
  <c r="V24" i="5"/>
  <c r="R21" i="5"/>
  <c r="V9" i="5"/>
  <c r="Z8" i="5"/>
  <c r="Z5" i="5"/>
  <c r="AL286" i="5"/>
  <c r="R286" i="5"/>
  <c r="AL276" i="5"/>
  <c r="AH273" i="5"/>
  <c r="J73" i="5"/>
  <c r="V261" i="5"/>
  <c r="V241" i="5"/>
  <c r="AL238" i="5"/>
  <c r="R234" i="5"/>
  <c r="Z224" i="5"/>
  <c r="AL222" i="5"/>
  <c r="Z221" i="5"/>
  <c r="R194" i="5"/>
  <c r="V183" i="5"/>
  <c r="R177" i="5"/>
  <c r="R174" i="5"/>
  <c r="R171" i="5"/>
  <c r="AH168" i="5"/>
  <c r="AH147" i="5"/>
  <c r="AL143" i="5"/>
  <c r="R143" i="5"/>
  <c r="V142" i="5"/>
  <c r="AH133" i="5"/>
  <c r="R128" i="5"/>
  <c r="Z122" i="5"/>
  <c r="AH121" i="5"/>
  <c r="AL107" i="5"/>
  <c r="R96" i="5"/>
  <c r="V95" i="5"/>
  <c r="V75" i="5"/>
  <c r="V67" i="5"/>
  <c r="AH46" i="5"/>
  <c r="V38" i="5"/>
  <c r="AL31" i="5"/>
  <c r="R24" i="5"/>
  <c r="V23" i="5"/>
  <c r="AB140" i="5"/>
  <c r="J17" i="5"/>
  <c r="AL261" i="5"/>
  <c r="AN255" i="5"/>
  <c r="V209" i="5"/>
  <c r="AL203" i="5"/>
  <c r="J33" i="5"/>
  <c r="J25" i="5"/>
  <c r="AO258" i="5"/>
  <c r="V166" i="5"/>
  <c r="R163" i="5"/>
  <c r="Z58" i="5"/>
  <c r="AL41" i="5"/>
  <c r="V37" i="5"/>
  <c r="AL34" i="5"/>
  <c r="R34" i="5"/>
  <c r="Z32" i="5"/>
  <c r="AH28" i="5"/>
  <c r="V19" i="5"/>
  <c r="Z18" i="5"/>
  <c r="AH17" i="5"/>
  <c r="AH6" i="5"/>
  <c r="V284" i="5"/>
  <c r="Z283" i="5"/>
  <c r="AH282" i="5"/>
  <c r="AL278" i="5"/>
  <c r="Z277" i="5"/>
  <c r="J184" i="5"/>
  <c r="J57" i="5"/>
  <c r="J265" i="5"/>
  <c r="AN261" i="5"/>
  <c r="L257" i="5"/>
  <c r="L253" i="5"/>
  <c r="L241" i="5"/>
  <c r="L237" i="5"/>
  <c r="J233" i="5"/>
  <c r="L222" i="5"/>
  <c r="J202" i="5"/>
  <c r="J194" i="5"/>
  <c r="L183" i="5"/>
  <c r="L179" i="5"/>
  <c r="AH250" i="5"/>
  <c r="AL249" i="5"/>
  <c r="AB247" i="5"/>
  <c r="R241" i="5"/>
  <c r="V240" i="5"/>
  <c r="AL233" i="5"/>
  <c r="AL225" i="5"/>
  <c r="R221" i="5"/>
  <c r="V216" i="5"/>
  <c r="Z215" i="5"/>
  <c r="AH214" i="5"/>
  <c r="AL213" i="5"/>
  <c r="R213" i="5"/>
  <c r="Z198" i="5"/>
  <c r="R197" i="5"/>
  <c r="R186" i="5"/>
  <c r="V185" i="5"/>
  <c r="V182" i="5"/>
  <c r="AL179" i="5"/>
  <c r="AH174" i="5"/>
  <c r="V172" i="5"/>
  <c r="Z171" i="5"/>
  <c r="AL166" i="5"/>
  <c r="R166" i="5"/>
  <c r="AH163" i="5"/>
  <c r="AL159" i="5"/>
  <c r="R159" i="5"/>
  <c r="V158" i="5"/>
  <c r="Z157" i="5"/>
  <c r="R148" i="5"/>
  <c r="Z140" i="5"/>
  <c r="R131" i="5"/>
  <c r="AH120" i="5"/>
  <c r="AL116" i="5"/>
  <c r="R116" i="5"/>
  <c r="V115" i="5"/>
  <c r="Z114" i="5"/>
  <c r="AL112" i="5"/>
  <c r="Z111" i="5"/>
  <c r="AL109" i="5"/>
  <c r="R109" i="5"/>
  <c r="AL98" i="5"/>
  <c r="V97" i="5"/>
  <c r="R87" i="5"/>
  <c r="Z77" i="5"/>
  <c r="AH76" i="5"/>
  <c r="R63" i="5"/>
  <c r="R59" i="5"/>
  <c r="AH56" i="5"/>
  <c r="R55" i="5"/>
  <c r="V54" i="5"/>
  <c r="R51" i="5"/>
  <c r="V50" i="5"/>
  <c r="V18" i="5"/>
  <c r="AL15" i="5"/>
  <c r="R12" i="5"/>
  <c r="V11" i="5"/>
  <c r="Z10" i="5"/>
  <c r="V277" i="5"/>
  <c r="AL274" i="5"/>
  <c r="V273" i="5"/>
  <c r="Z269" i="5"/>
  <c r="AO261" i="5"/>
  <c r="AH258" i="5"/>
  <c r="AB256" i="5"/>
  <c r="AN248" i="5"/>
  <c r="AN241" i="5"/>
  <c r="AN237" i="5"/>
  <c r="J217" i="5"/>
  <c r="L190" i="5"/>
  <c r="L151" i="5"/>
  <c r="J89" i="5"/>
  <c r="L62" i="5"/>
  <c r="L23" i="5"/>
  <c r="R254" i="5"/>
  <c r="Z252" i="5"/>
  <c r="AH251" i="5"/>
  <c r="AL250" i="5"/>
  <c r="J240" i="5"/>
  <c r="L243" i="5"/>
  <c r="L232" i="5"/>
  <c r="L201" i="5"/>
  <c r="J146" i="5"/>
  <c r="L108" i="5"/>
  <c r="L73" i="5"/>
  <c r="L69" i="5"/>
  <c r="J18" i="5"/>
  <c r="AC261" i="5"/>
  <c r="AB258" i="5"/>
  <c r="AN257" i="5"/>
  <c r="AS255" i="5"/>
  <c r="AL253" i="5"/>
  <c r="R253" i="5"/>
  <c r="V252" i="5"/>
  <c r="Z248" i="5"/>
  <c r="V246" i="5"/>
  <c r="Z245" i="5"/>
  <c r="J251" i="5"/>
  <c r="L258" i="5"/>
  <c r="L250" i="5"/>
  <c r="AO243" i="5"/>
  <c r="L254" i="5"/>
  <c r="J242" i="5"/>
  <c r="L273" i="5"/>
  <c r="J257" i="5"/>
  <c r="L169" i="5"/>
  <c r="L165" i="5"/>
  <c r="J114" i="5"/>
  <c r="L41" i="5"/>
  <c r="L37" i="5"/>
  <c r="AL252" i="5"/>
  <c r="R252" i="5"/>
  <c r="Z250" i="5"/>
  <c r="R246" i="5"/>
  <c r="V245" i="5"/>
  <c r="Z244" i="5"/>
  <c r="J234" i="5"/>
  <c r="J226" i="5"/>
  <c r="L215" i="5"/>
  <c r="L211" i="5"/>
  <c r="L180" i="5"/>
  <c r="J137" i="5"/>
  <c r="J106" i="5"/>
  <c r="J98" i="5"/>
  <c r="L83" i="5"/>
  <c r="AC260" i="5"/>
  <c r="AH256" i="5"/>
  <c r="Z254" i="5"/>
  <c r="AR254" i="5"/>
  <c r="AN253" i="5"/>
  <c r="J290" i="5"/>
  <c r="J286" i="5"/>
  <c r="J252" i="5"/>
  <c r="J241" i="5"/>
  <c r="L145" i="5"/>
  <c r="L137" i="5"/>
  <c r="L133" i="5"/>
  <c r="J82" i="5"/>
  <c r="AC253" i="5"/>
  <c r="AH226" i="5"/>
  <c r="AN226" i="5"/>
  <c r="AH242" i="5"/>
  <c r="R231" i="5"/>
  <c r="V230" i="5"/>
  <c r="Z229" i="5"/>
  <c r="AS221" i="5"/>
  <c r="V219" i="5"/>
  <c r="V212" i="5"/>
  <c r="Z211" i="5"/>
  <c r="R209" i="5"/>
  <c r="V208" i="5"/>
  <c r="R198" i="5"/>
  <c r="R196" i="5"/>
  <c r="AL190" i="5"/>
  <c r="V156" i="5"/>
  <c r="AH39" i="5"/>
  <c r="R39" i="5"/>
  <c r="AH36" i="5"/>
  <c r="R35" i="5"/>
  <c r="AH32" i="5"/>
  <c r="V22" i="5"/>
  <c r="AS15" i="5"/>
  <c r="AO8" i="5"/>
  <c r="AB275" i="5"/>
  <c r="AB272" i="5"/>
  <c r="AC264" i="5"/>
  <c r="AS288" i="5"/>
  <c r="Z253" i="5"/>
  <c r="Z246" i="5"/>
  <c r="AO245" i="5"/>
  <c r="V243" i="5"/>
  <c r="Z242" i="5"/>
  <c r="AL241" i="5"/>
  <c r="Z239" i="5"/>
  <c r="V237" i="5"/>
  <c r="AL234" i="5"/>
  <c r="AL230" i="5"/>
  <c r="AS227" i="5"/>
  <c r="AH224" i="5"/>
  <c r="AL223" i="5"/>
  <c r="Z201" i="5"/>
  <c r="V192" i="5"/>
  <c r="AH188" i="5"/>
  <c r="V184" i="5"/>
  <c r="V181" i="5"/>
  <c r="R176" i="5"/>
  <c r="R160" i="5"/>
  <c r="V159" i="5"/>
  <c r="R144" i="5"/>
  <c r="V143" i="5"/>
  <c r="R141" i="5"/>
  <c r="R134" i="5"/>
  <c r="V130" i="5"/>
  <c r="AL124" i="5"/>
  <c r="R113" i="5"/>
  <c r="V105" i="5"/>
  <c r="Z104" i="5"/>
  <c r="AL99" i="5"/>
  <c r="R99" i="5"/>
  <c r="AL92" i="5"/>
  <c r="AL86" i="5"/>
  <c r="R86" i="5"/>
  <c r="V85" i="5"/>
  <c r="Z84" i="5"/>
  <c r="AH83" i="5"/>
  <c r="AL82" i="5"/>
  <c r="R66" i="5"/>
  <c r="V58" i="5"/>
  <c r="Z57" i="5"/>
  <c r="Z54" i="5"/>
  <c r="V47" i="5"/>
  <c r="R43" i="5"/>
  <c r="AH41" i="5"/>
  <c r="R31" i="5"/>
  <c r="Z27" i="5"/>
  <c r="AL22" i="5"/>
  <c r="AL19" i="5"/>
  <c r="R19" i="5"/>
  <c r="V16" i="5"/>
  <c r="AL13" i="5"/>
  <c r="AL10" i="5"/>
  <c r="R10" i="5"/>
  <c r="AL7" i="5"/>
  <c r="R7" i="5"/>
  <c r="AL5" i="5"/>
  <c r="V287" i="5"/>
  <c r="V281" i="5"/>
  <c r="V272" i="5"/>
  <c r="AH270" i="5"/>
  <c r="Z289" i="5"/>
  <c r="R233" i="5"/>
  <c r="V232" i="5"/>
  <c r="AL219" i="5"/>
  <c r="R219" i="5"/>
  <c r="V218" i="5"/>
  <c r="AH216" i="5"/>
  <c r="AL215" i="5"/>
  <c r="R212" i="5"/>
  <c r="Z210" i="5"/>
  <c r="V201" i="5"/>
  <c r="Z188" i="5"/>
  <c r="R178" i="5"/>
  <c r="AL152" i="5"/>
  <c r="R149" i="5"/>
  <c r="V148" i="5"/>
  <c r="R72" i="5"/>
  <c r="R58" i="5"/>
  <c r="V57" i="5"/>
  <c r="R47" i="5"/>
  <c r="Z46" i="5"/>
  <c r="AL42" i="5"/>
  <c r="V42" i="5"/>
  <c r="AL37" i="5"/>
  <c r="AL30" i="5"/>
  <c r="Z29" i="5"/>
  <c r="V27" i="5"/>
  <c r="Z26" i="5"/>
  <c r="AH25" i="5"/>
  <c r="AH22" i="5"/>
  <c r="AL21" i="5"/>
  <c r="AL16" i="5"/>
  <c r="R16" i="5"/>
  <c r="V15" i="5"/>
  <c r="Z14" i="5"/>
  <c r="V12" i="5"/>
  <c r="Z11" i="5"/>
  <c r="R287" i="5"/>
  <c r="V286" i="5"/>
  <c r="AH237" i="5"/>
  <c r="Z234" i="5"/>
  <c r="R232" i="5"/>
  <c r="Z213" i="5"/>
  <c r="R165" i="5"/>
  <c r="V164" i="5"/>
  <c r="R94" i="5"/>
  <c r="AH92" i="5"/>
  <c r="AH75" i="5"/>
  <c r="V74" i="5"/>
  <c r="R71" i="5"/>
  <c r="V70" i="5"/>
  <c r="Z69" i="5"/>
  <c r="AH19" i="5"/>
  <c r="V280" i="5"/>
  <c r="AH278" i="5"/>
  <c r="Z273" i="5"/>
  <c r="Z270" i="5"/>
  <c r="Z220" i="5"/>
  <c r="AH219" i="5"/>
  <c r="Z216" i="5"/>
  <c r="R214" i="5"/>
  <c r="R201" i="5"/>
  <c r="AL194" i="5"/>
  <c r="V193" i="5"/>
  <c r="V188" i="5"/>
  <c r="AH181" i="5"/>
  <c r="AL180" i="5"/>
  <c r="R180" i="5"/>
  <c r="Z176" i="5"/>
  <c r="AL172" i="5"/>
  <c r="R164" i="5"/>
  <c r="V161" i="5"/>
  <c r="R158" i="5"/>
  <c r="Z156" i="5"/>
  <c r="V147" i="5"/>
  <c r="V145" i="5"/>
  <c r="AH143" i="5"/>
  <c r="AL142" i="5"/>
  <c r="R142" i="5"/>
  <c r="AL129" i="5"/>
  <c r="R129" i="5"/>
  <c r="R120" i="5"/>
  <c r="V117" i="5"/>
  <c r="R115" i="5"/>
  <c r="R112" i="5"/>
  <c r="AH108" i="5"/>
  <c r="Z106" i="5"/>
  <c r="AL104" i="5"/>
  <c r="R104" i="5"/>
  <c r="V93" i="5"/>
  <c r="R84" i="5"/>
  <c r="Z45" i="5"/>
  <c r="R44" i="5"/>
  <c r="Z43" i="5"/>
  <c r="R33" i="5"/>
  <c r="V32" i="5"/>
  <c r="R30" i="5"/>
  <c r="AL27" i="5"/>
  <c r="R27" i="5"/>
  <c r="V26" i="5"/>
  <c r="R18" i="5"/>
  <c r="AH16" i="5"/>
  <c r="V14" i="5"/>
  <c r="R9" i="5"/>
  <c r="Z262" i="5"/>
  <c r="R239" i="5"/>
  <c r="AC237" i="5"/>
  <c r="AL145" i="5"/>
  <c r="R139" i="5"/>
  <c r="V138" i="5"/>
  <c r="Z137" i="5"/>
  <c r="AL135" i="5"/>
  <c r="R132" i="5"/>
  <c r="V131" i="5"/>
  <c r="Z127" i="5"/>
  <c r="R122" i="5"/>
  <c r="R36" i="5"/>
  <c r="V35" i="5"/>
  <c r="Z34" i="5"/>
  <c r="AL32" i="5"/>
  <c r="R32" i="5"/>
  <c r="AL17" i="5"/>
  <c r="AH15" i="5"/>
  <c r="AL12" i="5"/>
  <c r="AL8" i="5"/>
  <c r="R8" i="5"/>
  <c r="AL267" i="5"/>
  <c r="V266" i="5"/>
  <c r="Z265" i="5"/>
  <c r="Z237" i="5"/>
  <c r="R217" i="5"/>
  <c r="Z212" i="5"/>
  <c r="AH211" i="5"/>
  <c r="AL210" i="5"/>
  <c r="V198" i="5"/>
  <c r="V121" i="5"/>
  <c r="AL119" i="5"/>
  <c r="R117" i="5"/>
  <c r="AL114" i="5"/>
  <c r="R90" i="5"/>
  <c r="V86" i="5"/>
  <c r="AL83" i="5"/>
  <c r="R83" i="5"/>
  <c r="V82" i="5"/>
  <c r="R79" i="5"/>
  <c r="V78" i="5"/>
  <c r="AL76" i="5"/>
  <c r="Z51" i="5"/>
  <c r="V41" i="5"/>
  <c r="AL14" i="5"/>
  <c r="AH12" i="5"/>
  <c r="AL11" i="5"/>
  <c r="R11" i="5"/>
  <c r="V10" i="5"/>
  <c r="V7" i="5"/>
  <c r="R6" i="5"/>
  <c r="AH286" i="5"/>
  <c r="AL285" i="5"/>
  <c r="Z281" i="5"/>
  <c r="Z275" i="5"/>
  <c r="AH274" i="5"/>
  <c r="AN9" i="5"/>
  <c r="L9" i="5"/>
  <c r="L246" i="5"/>
  <c r="AR246" i="5"/>
  <c r="L101" i="5"/>
  <c r="AN101" i="5"/>
  <c r="AR101" i="5"/>
  <c r="AB101" i="5"/>
  <c r="AC129" i="5"/>
  <c r="Z129" i="5"/>
  <c r="AN12" i="5"/>
  <c r="AN6" i="5"/>
  <c r="AC289" i="5"/>
  <c r="AS5" i="5"/>
  <c r="AN285" i="5"/>
  <c r="L285" i="5"/>
  <c r="AB285" i="5"/>
  <c r="L282" i="5"/>
  <c r="AO275" i="5"/>
  <c r="AS272" i="5"/>
  <c r="AN269" i="5"/>
  <c r="L269" i="5"/>
  <c r="L266" i="5"/>
  <c r="J262" i="5"/>
  <c r="J256" i="5"/>
  <c r="J245" i="5"/>
  <c r="J228" i="5"/>
  <c r="J221" i="5"/>
  <c r="AN218" i="5"/>
  <c r="L218" i="5"/>
  <c r="J214" i="5"/>
  <c r="AO214" i="5"/>
  <c r="J210" i="5"/>
  <c r="J207" i="5"/>
  <c r="J203" i="5"/>
  <c r="AO203" i="5"/>
  <c r="AC200" i="5"/>
  <c r="J196" i="5"/>
  <c r="J189" i="5"/>
  <c r="L186" i="5"/>
  <c r="J182" i="5"/>
  <c r="AO182" i="5"/>
  <c r="J175" i="5"/>
  <c r="J171" i="5"/>
  <c r="J164" i="5"/>
  <c r="J157" i="5"/>
  <c r="L154" i="5"/>
  <c r="AB154" i="5"/>
  <c r="J150" i="5"/>
  <c r="J143" i="5"/>
  <c r="AO143" i="5"/>
  <c r="AS143" i="5"/>
  <c r="J139" i="5"/>
  <c r="AC139" i="5"/>
  <c r="J132" i="5"/>
  <c r="AO129" i="5"/>
  <c r="J125" i="5"/>
  <c r="L122" i="5"/>
  <c r="AB122" i="5"/>
  <c r="J118" i="5"/>
  <c r="AO118" i="5"/>
  <c r="J111" i="5"/>
  <c r="AC111" i="5"/>
  <c r="AS111" i="5"/>
  <c r="J107" i="5"/>
  <c r="J100" i="5"/>
  <c r="AO100" i="5"/>
  <c r="J93" i="5"/>
  <c r="AC93" i="5"/>
  <c r="AB90" i="5"/>
  <c r="L90" i="5"/>
  <c r="J86" i="5"/>
  <c r="AC86" i="5"/>
  <c r="J79" i="5"/>
  <c r="J75" i="5"/>
  <c r="J68" i="5"/>
  <c r="AS68" i="5"/>
  <c r="J61" i="5"/>
  <c r="L58" i="5"/>
  <c r="AB58" i="5"/>
  <c r="J54" i="5"/>
  <c r="J47" i="5"/>
  <c r="J43" i="5"/>
  <c r="AO43" i="5"/>
  <c r="AO40" i="5"/>
  <c r="J36" i="5"/>
  <c r="AO36" i="5"/>
  <c r="J29" i="5"/>
  <c r="L26" i="5"/>
  <c r="AR26" i="5"/>
  <c r="AB26" i="5"/>
  <c r="AO22" i="5"/>
  <c r="AC22" i="5"/>
  <c r="J15" i="5"/>
  <c r="AC15" i="5"/>
  <c r="J11" i="5"/>
  <c r="AC11" i="5"/>
  <c r="AS11" i="5"/>
  <c r="V260" i="5"/>
  <c r="AO259" i="5"/>
  <c r="Z257" i="5"/>
  <c r="AR256" i="5"/>
  <c r="AL255" i="5"/>
  <c r="V254" i="5"/>
  <c r="L251" i="5"/>
  <c r="V250" i="5"/>
  <c r="AO249" i="5"/>
  <c r="AB248" i="5"/>
  <c r="Z247" i="5"/>
  <c r="AL246" i="5"/>
  <c r="L245" i="5"/>
  <c r="V244" i="5"/>
  <c r="AH243" i="5"/>
  <c r="AR242" i="5"/>
  <c r="AB239" i="5"/>
  <c r="AB238" i="5"/>
  <c r="AO234" i="5"/>
  <c r="AN232" i="5"/>
  <c r="AR232" i="5"/>
  <c r="L221" i="5"/>
  <c r="AC212" i="5"/>
  <c r="AN208" i="5"/>
  <c r="AR208" i="5"/>
  <c r="AO205" i="5"/>
  <c r="AS193" i="5"/>
  <c r="AR169" i="5"/>
  <c r="AO155" i="5"/>
  <c r="AS155" i="5"/>
  <c r="AH155" i="5"/>
  <c r="L126" i="5"/>
  <c r="AB126" i="5"/>
  <c r="AO90" i="5"/>
  <c r="AS90" i="5"/>
  <c r="AN175" i="5"/>
  <c r="AR175" i="5"/>
  <c r="AR275" i="5"/>
  <c r="L275" i="5"/>
  <c r="J272" i="5"/>
  <c r="L272" i="5"/>
  <c r="J268" i="5"/>
  <c r="AC268" i="5"/>
  <c r="L262" i="5"/>
  <c r="J258" i="5"/>
  <c r="L249" i="5"/>
  <c r="J238" i="5"/>
  <c r="L235" i="5"/>
  <c r="J232" i="5"/>
  <c r="AB232" i="5"/>
  <c r="L228" i="5"/>
  <c r="L225" i="5"/>
  <c r="AR214" i="5"/>
  <c r="L214" i="5"/>
  <c r="L207" i="5"/>
  <c r="L203" i="5"/>
  <c r="AB203" i="5"/>
  <c r="J200" i="5"/>
  <c r="L200" i="5"/>
  <c r="AN200" i="5"/>
  <c r="AB200" i="5"/>
  <c r="AR200" i="5"/>
  <c r="L196" i="5"/>
  <c r="L193" i="5"/>
  <c r="L189" i="5"/>
  <c r="AN189" i="5"/>
  <c r="L182" i="5"/>
  <c r="AO178" i="5"/>
  <c r="L175" i="5"/>
  <c r="L171" i="5"/>
  <c r="J168" i="5"/>
  <c r="L168" i="5"/>
  <c r="AB168" i="5"/>
  <c r="L164" i="5"/>
  <c r="AB164" i="5"/>
  <c r="L161" i="5"/>
  <c r="L157" i="5"/>
  <c r="L150" i="5"/>
  <c r="AN150" i="5"/>
  <c r="AN143" i="5"/>
  <c r="L143" i="5"/>
  <c r="L139" i="5"/>
  <c r="J136" i="5"/>
  <c r="L136" i="5"/>
  <c r="L132" i="5"/>
  <c r="L129" i="5"/>
  <c r="AN129" i="5"/>
  <c r="L125" i="5"/>
  <c r="L118" i="5"/>
  <c r="L111" i="5"/>
  <c r="AB111" i="5"/>
  <c r="AN111" i="5"/>
  <c r="L107" i="5"/>
  <c r="J104" i="5"/>
  <c r="AB104" i="5"/>
  <c r="L104" i="5"/>
  <c r="L100" i="5"/>
  <c r="L97" i="5"/>
  <c r="L93" i="5"/>
  <c r="L86" i="5"/>
  <c r="AN86" i="5"/>
  <c r="AC82" i="5"/>
  <c r="AS82" i="5"/>
  <c r="AR79" i="5"/>
  <c r="L79" i="5"/>
  <c r="AN79" i="5"/>
  <c r="L75" i="5"/>
  <c r="J72" i="5"/>
  <c r="L72" i="5"/>
  <c r="L68" i="5"/>
  <c r="L65" i="5"/>
  <c r="L61" i="5"/>
  <c r="L54" i="5"/>
  <c r="AN47" i="5"/>
  <c r="L47" i="5"/>
  <c r="L43" i="5"/>
  <c r="J40" i="5"/>
  <c r="AR40" i="5"/>
  <c r="L40" i="5"/>
  <c r="L36" i="5"/>
  <c r="AN36" i="5"/>
  <c r="AR33" i="5"/>
  <c r="L33" i="5"/>
  <c r="AB33" i="5"/>
  <c r="L29" i="5"/>
  <c r="AB29" i="5"/>
  <c r="J22" i="5"/>
  <c r="L22" i="5"/>
  <c r="AN22" i="5"/>
  <c r="AB22" i="5"/>
  <c r="AR22" i="5"/>
  <c r="L15" i="5"/>
  <c r="AN15" i="5"/>
  <c r="AR11" i="5"/>
  <c r="L11" i="5"/>
  <c r="AB11" i="5"/>
  <c r="AN11" i="5"/>
  <c r="AB257" i="5"/>
  <c r="AH253" i="5"/>
  <c r="AN250" i="5"/>
  <c r="AR249" i="5"/>
  <c r="AN249" i="5"/>
  <c r="AC245" i="5"/>
  <c r="AL244" i="5"/>
  <c r="Z243" i="5"/>
  <c r="AS243" i="5"/>
  <c r="AO242" i="5"/>
  <c r="L240" i="5"/>
  <c r="L239" i="5"/>
  <c r="L236" i="5"/>
  <c r="V235" i="5"/>
  <c r="AS232" i="5"/>
  <c r="Z232" i="5"/>
  <c r="AH229" i="5"/>
  <c r="AN229" i="5"/>
  <c r="AC221" i="5"/>
  <c r="AB215" i="5"/>
  <c r="AR156" i="5"/>
  <c r="AR6" i="5"/>
  <c r="L6" i="5"/>
  <c r="AB6" i="5"/>
  <c r="J269" i="5"/>
  <c r="AC269" i="5"/>
  <c r="L204" i="5"/>
  <c r="AB204" i="5"/>
  <c r="J176" i="5"/>
  <c r="L176" i="5"/>
  <c r="AR176" i="5"/>
  <c r="AB176" i="5"/>
  <c r="L147" i="5"/>
  <c r="AN147" i="5"/>
  <c r="J112" i="5"/>
  <c r="L112" i="5"/>
  <c r="AR112" i="5"/>
  <c r="AC26" i="5"/>
  <c r="J284" i="5"/>
  <c r="AR284" i="5"/>
  <c r="L284" i="5"/>
  <c r="AS281" i="5"/>
  <c r="AN278" i="5"/>
  <c r="L278" i="5"/>
  <c r="J271" i="5"/>
  <c r="AR268" i="5"/>
  <c r="L268" i="5"/>
  <c r="AS265" i="5"/>
  <c r="J261" i="5"/>
  <c r="J244" i="5"/>
  <c r="L238" i="5"/>
  <c r="J231" i="5"/>
  <c r="J227" i="5"/>
  <c r="J220" i="5"/>
  <c r="AC220" i="5"/>
  <c r="AC217" i="5"/>
  <c r="J213" i="5"/>
  <c r="AO213" i="5"/>
  <c r="L210" i="5"/>
  <c r="J206" i="5"/>
  <c r="J199" i="5"/>
  <c r="J195" i="5"/>
  <c r="AO195" i="5"/>
  <c r="AC192" i="5"/>
  <c r="J188" i="5"/>
  <c r="J181" i="5"/>
  <c r="AC181" i="5"/>
  <c r="AO181" i="5"/>
  <c r="L178" i="5"/>
  <c r="J174" i="5"/>
  <c r="AO174" i="5"/>
  <c r="J167" i="5"/>
  <c r="AS167" i="5"/>
  <c r="AC167" i="5"/>
  <c r="AO167" i="5"/>
  <c r="J163" i="5"/>
  <c r="AO163" i="5"/>
  <c r="AC163" i="5"/>
  <c r="AS163" i="5"/>
  <c r="AO160" i="5"/>
  <c r="J156" i="5"/>
  <c r="AO156" i="5"/>
  <c r="AC153" i="5"/>
  <c r="J149" i="5"/>
  <c r="AN146" i="5"/>
  <c r="AR146" i="5"/>
  <c r="L146" i="5"/>
  <c r="J142" i="5"/>
  <c r="AC142" i="5"/>
  <c r="J135" i="5"/>
  <c r="AO135" i="5"/>
  <c r="J131" i="5"/>
  <c r="J124" i="5"/>
  <c r="AC124" i="5"/>
  <c r="J117" i="5"/>
  <c r="AO117" i="5"/>
  <c r="L114" i="5"/>
  <c r="J110" i="5"/>
  <c r="J103" i="5"/>
  <c r="J99" i="5"/>
  <c r="AO99" i="5"/>
  <c r="AS99" i="5"/>
  <c r="J92" i="5"/>
  <c r="AO92" i="5"/>
  <c r="J85" i="5"/>
  <c r="L82" i="5"/>
  <c r="J78" i="5"/>
  <c r="J71" i="5"/>
  <c r="J67" i="5"/>
  <c r="AS67" i="5"/>
  <c r="AO67" i="5"/>
  <c r="J60" i="5"/>
  <c r="AO60" i="5"/>
  <c r="J53" i="5"/>
  <c r="L50" i="5"/>
  <c r="J46" i="5"/>
  <c r="AO46" i="5"/>
  <c r="J39" i="5"/>
  <c r="AO39" i="5"/>
  <c r="J35" i="5"/>
  <c r="AS32" i="5"/>
  <c r="AC32" i="5"/>
  <c r="J28" i="5"/>
  <c r="AO28" i="5"/>
  <c r="AC25" i="5"/>
  <c r="AO25" i="5"/>
  <c r="AS25" i="5"/>
  <c r="J21" i="5"/>
  <c r="L18" i="5"/>
  <c r="AN18" i="5"/>
  <c r="J14" i="5"/>
  <c r="AC14" i="5"/>
  <c r="AS14" i="5"/>
  <c r="J10" i="5"/>
  <c r="AH261" i="5"/>
  <c r="R261" i="5"/>
  <c r="AH260" i="5"/>
  <c r="R260" i="5"/>
  <c r="AS259" i="5"/>
  <c r="AR258" i="5"/>
  <c r="V257" i="5"/>
  <c r="R250" i="5"/>
  <c r="AC249" i="5"/>
  <c r="R244" i="5"/>
  <c r="AS240" i="5"/>
  <c r="AO239" i="5"/>
  <c r="AS239" i="5"/>
  <c r="AC239" i="5"/>
  <c r="AR238" i="5"/>
  <c r="AS235" i="5"/>
  <c r="AH231" i="5"/>
  <c r="AO231" i="5"/>
  <c r="AR227" i="5"/>
  <c r="AO226" i="5"/>
  <c r="AB224" i="5"/>
  <c r="AR223" i="5"/>
  <c r="AN223" i="5"/>
  <c r="AB218" i="5"/>
  <c r="AR217" i="5"/>
  <c r="AN217" i="5"/>
  <c r="AB208" i="5"/>
  <c r="AO207" i="5"/>
  <c r="AC202" i="5"/>
  <c r="AB196" i="5"/>
  <c r="AR196" i="5"/>
  <c r="AS181" i="5"/>
  <c r="AO266" i="5"/>
  <c r="AS266" i="5"/>
  <c r="AN158" i="5"/>
  <c r="L158" i="5"/>
  <c r="AB158" i="5"/>
  <c r="L140" i="5"/>
  <c r="AR140" i="5"/>
  <c r="J80" i="5"/>
  <c r="L80" i="5"/>
  <c r="J48" i="5"/>
  <c r="L48" i="5"/>
  <c r="AN48" i="5"/>
  <c r="L19" i="5"/>
  <c r="AN19" i="5"/>
  <c r="AB5" i="5"/>
  <c r="L5" i="5"/>
  <c r="AC7" i="5"/>
  <c r="AS7" i="5"/>
  <c r="L281" i="5"/>
  <c r="AB281" i="5"/>
  <c r="AO274" i="5"/>
  <c r="AS274" i="5"/>
  <c r="L265" i="5"/>
  <c r="J254" i="5"/>
  <c r="J248" i="5"/>
  <c r="L248" i="5"/>
  <c r="J237" i="5"/>
  <c r="L231" i="5"/>
  <c r="J224" i="5"/>
  <c r="AR224" i="5"/>
  <c r="L224" i="5"/>
  <c r="AN213" i="5"/>
  <c r="L213" i="5"/>
  <c r="AO202" i="5"/>
  <c r="AB195" i="5"/>
  <c r="L195" i="5"/>
  <c r="L185" i="5"/>
  <c r="AN185" i="5"/>
  <c r="L174" i="5"/>
  <c r="L167" i="5"/>
  <c r="L156" i="5"/>
  <c r="L149" i="5"/>
  <c r="L92" i="5"/>
  <c r="L89" i="5"/>
  <c r="L85" i="5"/>
  <c r="L78" i="5"/>
  <c r="L71" i="5"/>
  <c r="L67" i="5"/>
  <c r="J64" i="5"/>
  <c r="L64" i="5"/>
  <c r="AB64" i="5"/>
  <c r="L60" i="5"/>
  <c r="L57" i="5"/>
  <c r="L53" i="5"/>
  <c r="L46" i="5"/>
  <c r="AC42" i="5"/>
  <c r="L39" i="5"/>
  <c r="AN39" i="5"/>
  <c r="AN35" i="5"/>
  <c r="L35" i="5"/>
  <c r="J32" i="5"/>
  <c r="L32" i="5"/>
  <c r="AR32" i="5"/>
  <c r="AB28" i="5"/>
  <c r="AR28" i="5"/>
  <c r="L28" i="5"/>
  <c r="L25" i="5"/>
  <c r="AB25" i="5"/>
  <c r="AN25" i="5"/>
  <c r="L21" i="5"/>
  <c r="AR14" i="5"/>
  <c r="L14" i="5"/>
  <c r="AB14" i="5"/>
  <c r="AN14" i="5"/>
  <c r="L10" i="5"/>
  <c r="AN260" i="5"/>
  <c r="AR259" i="5"/>
  <c r="AN258" i="5"/>
  <c r="AR255" i="5"/>
  <c r="AC252" i="5"/>
  <c r="AR251" i="5"/>
  <c r="AR248" i="5"/>
  <c r="AS245" i="5"/>
  <c r="AH244" i="5"/>
  <c r="AO244" i="5"/>
  <c r="AB240" i="5"/>
  <c r="AC236" i="5"/>
  <c r="AN231" i="5"/>
  <c r="AC223" i="5"/>
  <c r="L197" i="5"/>
  <c r="J208" i="5"/>
  <c r="L208" i="5"/>
  <c r="J144" i="5"/>
  <c r="L144" i="5"/>
  <c r="L119" i="5"/>
  <c r="AN119" i="5"/>
  <c r="AB30" i="5"/>
  <c r="AR30" i="5"/>
  <c r="L30" i="5"/>
  <c r="L12" i="5"/>
  <c r="AR12" i="5"/>
  <c r="AO218" i="5"/>
  <c r="J288" i="5"/>
  <c r="L288" i="5"/>
  <c r="L287" i="5"/>
  <c r="AB287" i="5"/>
  <c r="J277" i="5"/>
  <c r="AC277" i="5"/>
  <c r="L271" i="5"/>
  <c r="L227" i="5"/>
  <c r="L220" i="5"/>
  <c r="L217" i="5"/>
  <c r="L206" i="5"/>
  <c r="L199" i="5"/>
  <c r="J192" i="5"/>
  <c r="L192" i="5"/>
  <c r="L188" i="5"/>
  <c r="L181" i="5"/>
  <c r="L163" i="5"/>
  <c r="J160" i="5"/>
  <c r="L160" i="5"/>
  <c r="AB160" i="5"/>
  <c r="L153" i="5"/>
  <c r="AB153" i="5"/>
  <c r="L142" i="5"/>
  <c r="AB142" i="5"/>
  <c r="L135" i="5"/>
  <c r="L131" i="5"/>
  <c r="AR131" i="5"/>
  <c r="J128" i="5"/>
  <c r="AN128" i="5"/>
  <c r="L128" i="5"/>
  <c r="L124" i="5"/>
  <c r="AB124" i="5"/>
  <c r="L121" i="5"/>
  <c r="L117" i="5"/>
  <c r="L110" i="5"/>
  <c r="L103" i="5"/>
  <c r="AB99" i="5"/>
  <c r="L99" i="5"/>
  <c r="J96" i="5"/>
  <c r="L96" i="5"/>
  <c r="L7" i="5"/>
  <c r="L290" i="5"/>
  <c r="AO283" i="5"/>
  <c r="AS280" i="5"/>
  <c r="AC280" i="5"/>
  <c r="AN277" i="5"/>
  <c r="L277" i="5"/>
  <c r="L274" i="5"/>
  <c r="AO267" i="5"/>
  <c r="AS264" i="5"/>
  <c r="J260" i="5"/>
  <c r="J247" i="5"/>
  <c r="AN234" i="5"/>
  <c r="L234" i="5"/>
  <c r="J230" i="5"/>
  <c r="AO230" i="5"/>
  <c r="J223" i="5"/>
  <c r="AO223" i="5"/>
  <c r="J219" i="5"/>
  <c r="J212" i="5"/>
  <c r="AC209" i="5"/>
  <c r="J205" i="5"/>
  <c r="AS205" i="5"/>
  <c r="AC205" i="5"/>
  <c r="L202" i="5"/>
  <c r="J198" i="5"/>
  <c r="J191" i="5"/>
  <c r="J187" i="5"/>
  <c r="J180" i="5"/>
  <c r="J173" i="5"/>
  <c r="L170" i="5"/>
  <c r="AN170" i="5"/>
  <c r="J166" i="5"/>
  <c r="J159" i="5"/>
  <c r="AO159" i="5"/>
  <c r="AC159" i="5"/>
  <c r="J155" i="5"/>
  <c r="J148" i="5"/>
  <c r="J141" i="5"/>
  <c r="AC141" i="5"/>
  <c r="L138" i="5"/>
  <c r="J134" i="5"/>
  <c r="AO134" i="5"/>
  <c r="J127" i="5"/>
  <c r="AC127" i="5"/>
  <c r="J123" i="5"/>
  <c r="AC123" i="5"/>
  <c r="J116" i="5"/>
  <c r="AC113" i="5"/>
  <c r="J109" i="5"/>
  <c r="L106" i="5"/>
  <c r="J102" i="5"/>
  <c r="AC102" i="5"/>
  <c r="J95" i="5"/>
  <c r="J91" i="5"/>
  <c r="AO91" i="5"/>
  <c r="AS91" i="5"/>
  <c r="J84" i="5"/>
  <c r="AS84" i="5"/>
  <c r="AC81" i="5"/>
  <c r="J77" i="5"/>
  <c r="AC77" i="5"/>
  <c r="L74" i="5"/>
  <c r="J70" i="5"/>
  <c r="AC70" i="5"/>
  <c r="J63" i="5"/>
  <c r="J59" i="5"/>
  <c r="AO56" i="5"/>
  <c r="J52" i="5"/>
  <c r="AO49" i="5"/>
  <c r="J45" i="5"/>
  <c r="AC45" i="5"/>
  <c r="AS45" i="5"/>
  <c r="L42" i="5"/>
  <c r="J38" i="5"/>
  <c r="J31" i="5"/>
  <c r="AS31" i="5"/>
  <c r="AO31" i="5"/>
  <c r="AC31" i="5"/>
  <c r="J27" i="5"/>
  <c r="J20" i="5"/>
  <c r="AO20" i="5"/>
  <c r="AS17" i="5"/>
  <c r="J13" i="5"/>
  <c r="AO13" i="5"/>
  <c r="AC13" i="5"/>
  <c r="AS261" i="5"/>
  <c r="V259" i="5"/>
  <c r="AL257" i="5"/>
  <c r="AN256" i="5"/>
  <c r="AC255" i="5"/>
  <c r="AN254" i="5"/>
  <c r="AS253" i="5"/>
  <c r="AB252" i="5"/>
  <c r="V251" i="5"/>
  <c r="AO250" i="5"/>
  <c r="AB249" i="5"/>
  <c r="V248" i="5"/>
  <c r="AH247" i="5"/>
  <c r="AL245" i="5"/>
  <c r="AN244" i="5"/>
  <c r="L244" i="5"/>
  <c r="Z241" i="5"/>
  <c r="AC241" i="5"/>
  <c r="AR240" i="5"/>
  <c r="Z236" i="5"/>
  <c r="AO233" i="5"/>
  <c r="AC231" i="5"/>
  <c r="AB223" i="5"/>
  <c r="AN222" i="5"/>
  <c r="AR222" i="5"/>
  <c r="AC207" i="5"/>
  <c r="Z207" i="5"/>
  <c r="AS207" i="5"/>
  <c r="L184" i="5"/>
  <c r="AS177" i="5"/>
  <c r="AR162" i="5"/>
  <c r="AB162" i="5"/>
  <c r="AS282" i="5"/>
  <c r="AO282" i="5"/>
  <c r="AN87" i="5"/>
  <c r="L87" i="5"/>
  <c r="AR215" i="5"/>
  <c r="AN215" i="5"/>
  <c r="J8" i="5"/>
  <c r="AN8" i="5"/>
  <c r="L8" i="5"/>
  <c r="J287" i="5"/>
  <c r="AR283" i="5"/>
  <c r="L283" i="5"/>
  <c r="AB283" i="5"/>
  <c r="J280" i="5"/>
  <c r="L280" i="5"/>
  <c r="AB280" i="5"/>
  <c r="J276" i="5"/>
  <c r="AC276" i="5"/>
  <c r="AC270" i="5"/>
  <c r="AR267" i="5"/>
  <c r="L267" i="5"/>
  <c r="J264" i="5"/>
  <c r="L264" i="5"/>
  <c r="J253" i="5"/>
  <c r="L247" i="5"/>
  <c r="J236" i="5"/>
  <c r="L223" i="5"/>
  <c r="L219" i="5"/>
  <c r="J216" i="5"/>
  <c r="AR216" i="5"/>
  <c r="L216" i="5"/>
  <c r="L212" i="5"/>
  <c r="L209" i="5"/>
  <c r="AN209" i="5"/>
  <c r="L205" i="5"/>
  <c r="L198" i="5"/>
  <c r="L191" i="5"/>
  <c r="L187" i="5"/>
  <c r="AB187" i="5"/>
  <c r="L177" i="5"/>
  <c r="AN177" i="5"/>
  <c r="L173" i="5"/>
  <c r="AN173" i="5"/>
  <c r="L166" i="5"/>
  <c r="AN166" i="5"/>
  <c r="AR166" i="5"/>
  <c r="L159" i="5"/>
  <c r="AN159" i="5"/>
  <c r="L155" i="5"/>
  <c r="J152" i="5"/>
  <c r="L152" i="5"/>
  <c r="AB152" i="5"/>
  <c r="L148" i="5"/>
  <c r="L141" i="5"/>
  <c r="L134" i="5"/>
  <c r="L127" i="5"/>
  <c r="AB127" i="5"/>
  <c r="L123" i="5"/>
  <c r="J120" i="5"/>
  <c r="AN120" i="5"/>
  <c r="L120" i="5"/>
  <c r="L116" i="5"/>
  <c r="AN116" i="5"/>
  <c r="L113" i="5"/>
  <c r="L109" i="5"/>
  <c r="L102" i="5"/>
  <c r="AR102" i="5"/>
  <c r="AO98" i="5"/>
  <c r="AS98" i="5"/>
  <c r="AC98" i="5"/>
  <c r="L95" i="5"/>
  <c r="AR95" i="5"/>
  <c r="L91" i="5"/>
  <c r="J88" i="5"/>
  <c r="L88" i="5"/>
  <c r="AB88" i="5"/>
  <c r="AB84" i="5"/>
  <c r="L84" i="5"/>
  <c r="L81" i="5"/>
  <c r="AB81" i="5"/>
  <c r="L77" i="5"/>
  <c r="AB77" i="5"/>
  <c r="L70" i="5"/>
  <c r="AO66" i="5"/>
  <c r="AS66" i="5"/>
  <c r="L63" i="5"/>
  <c r="L59" i="5"/>
  <c r="J56" i="5"/>
  <c r="L56" i="5"/>
  <c r="AN52" i="5"/>
  <c r="L52" i="5"/>
  <c r="AB52" i="5"/>
  <c r="AB49" i="5"/>
  <c r="L49" i="5"/>
  <c r="L45" i="5"/>
  <c r="AB45" i="5"/>
  <c r="AN38" i="5"/>
  <c r="L38" i="5"/>
  <c r="L31" i="5"/>
  <c r="AN27" i="5"/>
  <c r="L27" i="5"/>
  <c r="J24" i="5"/>
  <c r="L24" i="5"/>
  <c r="L20" i="5"/>
  <c r="AN20" i="5"/>
  <c r="L17" i="5"/>
  <c r="L13" i="5"/>
  <c r="L261" i="5"/>
  <c r="AB260" i="5"/>
  <c r="R258" i="5"/>
  <c r="AO257" i="5"/>
  <c r="L256" i="5"/>
  <c r="AB255" i="5"/>
  <c r="AC254" i="5"/>
  <c r="AO253" i="5"/>
  <c r="AO252" i="5"/>
  <c r="AS251" i="5"/>
  <c r="AR247" i="5"/>
  <c r="AN247" i="5"/>
  <c r="AB241" i="5"/>
  <c r="AN240" i="5"/>
  <c r="AS237" i="5"/>
  <c r="AO235" i="5"/>
  <c r="AN233" i="5"/>
  <c r="AC228" i="5"/>
  <c r="AB216" i="5"/>
  <c r="AC213" i="5"/>
  <c r="Z184" i="5"/>
  <c r="AC184" i="5"/>
  <c r="AC166" i="5"/>
  <c r="L115" i="5"/>
  <c r="J285" i="5"/>
  <c r="AR172" i="5"/>
  <c r="L172" i="5"/>
  <c r="AN105" i="5"/>
  <c r="L105" i="5"/>
  <c r="L76" i="5"/>
  <c r="AB76" i="5"/>
  <c r="AN44" i="5"/>
  <c r="L44" i="5"/>
  <c r="J16" i="5"/>
  <c r="L16" i="5"/>
  <c r="J9" i="5"/>
  <c r="AS6" i="5"/>
  <c r="AC6" i="5"/>
  <c r="AO6" i="5"/>
  <c r="AN286" i="5"/>
  <c r="L286" i="5"/>
  <c r="J282" i="5"/>
  <c r="J279" i="5"/>
  <c r="AR276" i="5"/>
  <c r="L276" i="5"/>
  <c r="AS273" i="5"/>
  <c r="AN270" i="5"/>
  <c r="L270" i="5"/>
  <c r="J266" i="5"/>
  <c r="J263" i="5"/>
  <c r="J246" i="5"/>
  <c r="J229" i="5"/>
  <c r="AO229" i="5"/>
  <c r="AC229" i="5"/>
  <c r="AS229" i="5"/>
  <c r="L226" i="5"/>
  <c r="AB226" i="5"/>
  <c r="J222" i="5"/>
  <c r="AO222" i="5"/>
  <c r="J218" i="5"/>
  <c r="J215" i="5"/>
  <c r="AO215" i="5"/>
  <c r="J211" i="5"/>
  <c r="AS211" i="5"/>
  <c r="J204" i="5"/>
  <c r="J197" i="5"/>
  <c r="L194" i="5"/>
  <c r="J190" i="5"/>
  <c r="AO190" i="5"/>
  <c r="J186" i="5"/>
  <c r="J183" i="5"/>
  <c r="J179" i="5"/>
  <c r="AO179" i="5"/>
  <c r="AC176" i="5"/>
  <c r="J172" i="5"/>
  <c r="J165" i="5"/>
  <c r="AC165" i="5"/>
  <c r="L162" i="5"/>
  <c r="AN162" i="5"/>
  <c r="J158" i="5"/>
  <c r="AC158" i="5"/>
  <c r="J154" i="5"/>
  <c r="J151" i="5"/>
  <c r="J147" i="5"/>
  <c r="AO147" i="5"/>
  <c r="AO144" i="5"/>
  <c r="J140" i="5"/>
  <c r="AO140" i="5"/>
  <c r="AC137" i="5"/>
  <c r="J133" i="5"/>
  <c r="L130" i="5"/>
  <c r="AR130" i="5"/>
  <c r="AN130" i="5"/>
  <c r="J126" i="5"/>
  <c r="J122" i="5"/>
  <c r="J119" i="5"/>
  <c r="J115" i="5"/>
  <c r="AS112" i="5"/>
  <c r="J108" i="5"/>
  <c r="AO105" i="5"/>
  <c r="AC105" i="5"/>
  <c r="J101" i="5"/>
  <c r="AC101" i="5"/>
  <c r="L98" i="5"/>
  <c r="AB98" i="5"/>
  <c r="J94" i="5"/>
  <c r="J90" i="5"/>
  <c r="J87" i="5"/>
  <c r="J83" i="5"/>
  <c r="J76" i="5"/>
  <c r="AC73" i="5"/>
  <c r="J69" i="5"/>
  <c r="AB66" i="5"/>
  <c r="L66" i="5"/>
  <c r="J62" i="5"/>
  <c r="AC62" i="5"/>
  <c r="J58" i="5"/>
  <c r="J55" i="5"/>
  <c r="J51" i="5"/>
  <c r="AC48" i="5"/>
  <c r="J44" i="5"/>
  <c r="AO44" i="5"/>
  <c r="AS41" i="5"/>
  <c r="AO41" i="5"/>
  <c r="AC41" i="5"/>
  <c r="J37" i="5"/>
  <c r="AO37" i="5"/>
  <c r="AC37" i="5"/>
  <c r="L34" i="5"/>
  <c r="AB34" i="5"/>
  <c r="J30" i="5"/>
  <c r="AO30" i="5"/>
  <c r="J26" i="5"/>
  <c r="J23" i="5"/>
  <c r="J19" i="5"/>
  <c r="AO19" i="5"/>
  <c r="J12" i="5"/>
  <c r="AO12" i="5"/>
  <c r="AO260" i="5"/>
  <c r="AL259" i="5"/>
  <c r="R259" i="5"/>
  <c r="AR257" i="5"/>
  <c r="AS256" i="5"/>
  <c r="Z256" i="5"/>
  <c r="AO255" i="5"/>
  <c r="Z255" i="5"/>
  <c r="AL251" i="5"/>
  <c r="R251" i="5"/>
  <c r="AH248" i="5"/>
  <c r="R248" i="5"/>
  <c r="AH245" i="5"/>
  <c r="R245" i="5"/>
  <c r="AC244" i="5"/>
  <c r="AB242" i="5"/>
  <c r="AO237" i="5"/>
  <c r="Z233" i="5"/>
  <c r="AC233" i="5"/>
  <c r="AB231" i="5"/>
  <c r="AN230" i="5"/>
  <c r="AR230" i="5"/>
  <c r="AC225" i="5"/>
  <c r="AH212" i="5"/>
  <c r="AO212" i="5"/>
  <c r="AC189" i="5"/>
  <c r="AH254" i="5"/>
  <c r="AN252" i="5"/>
  <c r="Z251" i="5"/>
  <c r="AR250" i="5"/>
  <c r="V249" i="5"/>
  <c r="AL248" i="5"/>
  <c r="AB246" i="5"/>
  <c r="AL242" i="5"/>
  <c r="R242" i="5"/>
  <c r="AO241" i="5"/>
  <c r="AH240" i="5"/>
  <c r="R240" i="5"/>
  <c r="AH239" i="5"/>
  <c r="R238" i="5"/>
  <c r="R237" i="5"/>
  <c r="AH236" i="5"/>
  <c r="R236" i="5"/>
  <c r="AH235" i="5"/>
  <c r="AB233" i="5"/>
  <c r="AB228" i="5"/>
  <c r="AO225" i="5"/>
  <c r="AN224" i="5"/>
  <c r="R223" i="5"/>
  <c r="AH218" i="5"/>
  <c r="AN212" i="5"/>
  <c r="AN210" i="5"/>
  <c r="AO209" i="5"/>
  <c r="AR207" i="5"/>
  <c r="AB207" i="5"/>
  <c r="AH205" i="5"/>
  <c r="AN205" i="5"/>
  <c r="AO200" i="5"/>
  <c r="AO198" i="5"/>
  <c r="AC197" i="5"/>
  <c r="AS197" i="5"/>
  <c r="AB194" i="5"/>
  <c r="AN190" i="5"/>
  <c r="AO185" i="5"/>
  <c r="AB184" i="5"/>
  <c r="AR184" i="5"/>
  <c r="AB166" i="5"/>
  <c r="AN163" i="5"/>
  <c r="AH152" i="5"/>
  <c r="AO152" i="5"/>
  <c r="AL247" i="5"/>
  <c r="AS247" i="5"/>
  <c r="AL243" i="5"/>
  <c r="R243" i="5"/>
  <c r="AR241" i="5"/>
  <c r="AR239" i="5"/>
  <c r="AH238" i="5"/>
  <c r="AN236" i="5"/>
  <c r="Z235" i="5"/>
  <c r="AR234" i="5"/>
  <c r="V233" i="5"/>
  <c r="AL232" i="5"/>
  <c r="AB230" i="5"/>
  <c r="AO228" i="5"/>
  <c r="AL226" i="5"/>
  <c r="R226" i="5"/>
  <c r="AR225" i="5"/>
  <c r="AN225" i="5"/>
  <c r="V220" i="5"/>
  <c r="AO219" i="5"/>
  <c r="Z217" i="5"/>
  <c r="AS216" i="5"/>
  <c r="AC215" i="5"/>
  <c r="R215" i="5"/>
  <c r="AN214" i="5"/>
  <c r="AR211" i="5"/>
  <c r="R210" i="5"/>
  <c r="AR209" i="5"/>
  <c r="V207" i="5"/>
  <c r="V199" i="5"/>
  <c r="AR197" i="5"/>
  <c r="AN192" i="5"/>
  <c r="AO171" i="5"/>
  <c r="AB170" i="5"/>
  <c r="AR170" i="5"/>
  <c r="AR158" i="5"/>
  <c r="R157" i="5"/>
  <c r="AC155" i="5"/>
  <c r="AN152" i="5"/>
  <c r="AR124" i="5"/>
  <c r="AN124" i="5"/>
  <c r="AB118" i="5"/>
  <c r="AN238" i="5"/>
  <c r="AR235" i="5"/>
  <c r="V234" i="5"/>
  <c r="AL231" i="5"/>
  <c r="AS231" i="5"/>
  <c r="AL227" i="5"/>
  <c r="R227" i="5"/>
  <c r="AL221" i="5"/>
  <c r="Z218" i="5"/>
  <c r="AB217" i="5"/>
  <c r="Z214" i="5"/>
  <c r="AS213" i="5"/>
  <c r="AB212" i="5"/>
  <c r="V211" i="5"/>
  <c r="AH206" i="5"/>
  <c r="AL199" i="5"/>
  <c r="AH187" i="5"/>
  <c r="AO187" i="5"/>
  <c r="AB182" i="5"/>
  <c r="R181" i="5"/>
  <c r="AB180" i="5"/>
  <c r="AN176" i="5"/>
  <c r="AL164" i="5"/>
  <c r="Z161" i="5"/>
  <c r="AC161" i="5"/>
  <c r="AO157" i="5"/>
  <c r="AS127" i="5"/>
  <c r="AC69" i="5"/>
  <c r="AH232" i="5"/>
  <c r="AL229" i="5"/>
  <c r="V228" i="5"/>
  <c r="Z225" i="5"/>
  <c r="AS224" i="5"/>
  <c r="AS223" i="5"/>
  <c r="Z223" i="5"/>
  <c r="AH220" i="5"/>
  <c r="AO220" i="5"/>
  <c r="R220" i="5"/>
  <c r="Z219" i="5"/>
  <c r="AS219" i="5"/>
  <c r="AR218" i="5"/>
  <c r="V217" i="5"/>
  <c r="AL216" i="5"/>
  <c r="AB214" i="5"/>
  <c r="AC195" i="5"/>
  <c r="AN193" i="5"/>
  <c r="AO173" i="5"/>
  <c r="AB161" i="5"/>
  <c r="AN157" i="5"/>
  <c r="AN154" i="5"/>
  <c r="AH151" i="5"/>
  <c r="AH148" i="5"/>
  <c r="AO148" i="5"/>
  <c r="AN133" i="5"/>
  <c r="AN127" i="5"/>
  <c r="AO227" i="5"/>
  <c r="AB225" i="5"/>
  <c r="AN220" i="5"/>
  <c r="AR219" i="5"/>
  <c r="AS215" i="5"/>
  <c r="AB209" i="5"/>
  <c r="AC206" i="5"/>
  <c r="AS203" i="5"/>
  <c r="AB192" i="5"/>
  <c r="AC183" i="5"/>
  <c r="Z183" i="5"/>
  <c r="AN181" i="5"/>
  <c r="Z169" i="5"/>
  <c r="AC169" i="5"/>
  <c r="AN151" i="5"/>
  <c r="AB136" i="5"/>
  <c r="AH126" i="5"/>
  <c r="AO126" i="5"/>
  <c r="AO106" i="5"/>
  <c r="AR233" i="5"/>
  <c r="AR231" i="5"/>
  <c r="R230" i="5"/>
  <c r="AH227" i="5"/>
  <c r="R222" i="5"/>
  <c r="AO221" i="5"/>
  <c r="AL217" i="5"/>
  <c r="V214" i="5"/>
  <c r="AN204" i="5"/>
  <c r="AR204" i="5"/>
  <c r="AO194" i="5"/>
  <c r="AN191" i="5"/>
  <c r="AO189" i="5"/>
  <c r="AH186" i="5"/>
  <c r="AO186" i="5"/>
  <c r="AB183" i="5"/>
  <c r="AR183" i="5"/>
  <c r="AC179" i="5"/>
  <c r="Z179" i="5"/>
  <c r="AC173" i="5"/>
  <c r="AB169" i="5"/>
  <c r="AS161" i="5"/>
  <c r="AN156" i="5"/>
  <c r="AC151" i="5"/>
  <c r="AN100" i="5"/>
  <c r="AC94" i="5"/>
  <c r="AH255" i="5"/>
  <c r="V255" i="5"/>
  <c r="AL254" i="5"/>
  <c r="V253" i="5"/>
  <c r="AO251" i="5"/>
  <c r="AB250" i="5"/>
  <c r="Z249" i="5"/>
  <c r="AS248" i="5"/>
  <c r="AC247" i="5"/>
  <c r="R247" i="5"/>
  <c r="AN246" i="5"/>
  <c r="AR243" i="5"/>
  <c r="AN242" i="5"/>
  <c r="V242" i="5"/>
  <c r="AL240" i="5"/>
  <c r="AL239" i="5"/>
  <c r="AO238" i="5"/>
  <c r="V238" i="5"/>
  <c r="AL237" i="5"/>
  <c r="V236" i="5"/>
  <c r="AH234" i="5"/>
  <c r="AH230" i="5"/>
  <c r="AN228" i="5"/>
  <c r="Z227" i="5"/>
  <c r="AR226" i="5"/>
  <c r="AH223" i="5"/>
  <c r="AH222" i="5"/>
  <c r="AB220" i="5"/>
  <c r="AR210" i="5"/>
  <c r="AB210" i="5"/>
  <c r="AH208" i="5"/>
  <c r="R208" i="5"/>
  <c r="AN207" i="5"/>
  <c r="AS206" i="5"/>
  <c r="R205" i="5"/>
  <c r="AN201" i="5"/>
  <c r="AR201" i="5"/>
  <c r="AL200" i="5"/>
  <c r="AO197" i="5"/>
  <c r="AL188" i="5"/>
  <c r="AN184" i="5"/>
  <c r="AB179" i="5"/>
  <c r="AS169" i="5"/>
  <c r="AL165" i="5"/>
  <c r="AL158" i="5"/>
  <c r="AO206" i="5"/>
  <c r="AR206" i="5"/>
  <c r="AS204" i="5"/>
  <c r="AB202" i="5"/>
  <c r="AB201" i="5"/>
  <c r="R199" i="5"/>
  <c r="AR195" i="5"/>
  <c r="AR192" i="5"/>
  <c r="AB190" i="5"/>
  <c r="AS189" i="5"/>
  <c r="R188" i="5"/>
  <c r="AN187" i="5"/>
  <c r="AC175" i="5"/>
  <c r="AB174" i="5"/>
  <c r="AS173" i="5"/>
  <c r="AL160" i="5"/>
  <c r="AC157" i="5"/>
  <c r="AB156" i="5"/>
  <c r="AN155" i="5"/>
  <c r="AC145" i="5"/>
  <c r="AN138" i="5"/>
  <c r="Z135" i="5"/>
  <c r="AS135" i="5"/>
  <c r="AC135" i="5"/>
  <c r="AB133" i="5"/>
  <c r="AN132" i="5"/>
  <c r="AC115" i="5"/>
  <c r="Z103" i="5"/>
  <c r="AC103" i="5"/>
  <c r="AS103" i="5"/>
  <c r="AC100" i="5"/>
  <c r="AS100" i="5"/>
  <c r="AO96" i="5"/>
  <c r="AS83" i="5"/>
  <c r="AB205" i="5"/>
  <c r="V203" i="5"/>
  <c r="V202" i="5"/>
  <c r="R200" i="5"/>
  <c r="AN199" i="5"/>
  <c r="AN198" i="5"/>
  <c r="V195" i="5"/>
  <c r="AC191" i="5"/>
  <c r="V190" i="5"/>
  <c r="AO188" i="5"/>
  <c r="AS186" i="5"/>
  <c r="AO184" i="5"/>
  <c r="AL183" i="5"/>
  <c r="R182" i="5"/>
  <c r="AR181" i="5"/>
  <c r="AB175" i="5"/>
  <c r="AL174" i="5"/>
  <c r="V174" i="5"/>
  <c r="AN172" i="5"/>
  <c r="R170" i="5"/>
  <c r="AN168" i="5"/>
  <c r="AN164" i="5"/>
  <c r="AH159" i="5"/>
  <c r="AR154" i="5"/>
  <c r="AO153" i="5"/>
  <c r="AS153" i="5"/>
  <c r="R153" i="5"/>
  <c r="AR148" i="5"/>
  <c r="AB145" i="5"/>
  <c r="AC143" i="5"/>
  <c r="AO137" i="5"/>
  <c r="AS137" i="5"/>
  <c r="AL136" i="5"/>
  <c r="AB135" i="5"/>
  <c r="AC132" i="5"/>
  <c r="AB130" i="5"/>
  <c r="AH125" i="5"/>
  <c r="AO125" i="5"/>
  <c r="AC121" i="5"/>
  <c r="AR119" i="5"/>
  <c r="AB119" i="5"/>
  <c r="Z115" i="5"/>
  <c r="AB115" i="5"/>
  <c r="AL113" i="5"/>
  <c r="AN108" i="5"/>
  <c r="AB36" i="5"/>
  <c r="AR36" i="5"/>
  <c r="AB191" i="5"/>
  <c r="AN188" i="5"/>
  <c r="AB186" i="5"/>
  <c r="AO169" i="5"/>
  <c r="R169" i="5"/>
  <c r="AO162" i="5"/>
  <c r="R162" i="5"/>
  <c r="AS156" i="5"/>
  <c r="V154" i="5"/>
  <c r="AL149" i="5"/>
  <c r="AC146" i="5"/>
  <c r="AS145" i="5"/>
  <c r="AR138" i="5"/>
  <c r="AB132" i="5"/>
  <c r="AS128" i="5"/>
  <c r="AN125" i="5"/>
  <c r="AS108" i="5"/>
  <c r="AC108" i="5"/>
  <c r="AR87" i="5"/>
  <c r="AO76" i="5"/>
  <c r="AS71" i="5"/>
  <c r="AC71" i="5"/>
  <c r="AL202" i="5"/>
  <c r="AC199" i="5"/>
  <c r="AR189" i="5"/>
  <c r="AS188" i="5"/>
  <c r="AC187" i="5"/>
  <c r="AN179" i="5"/>
  <c r="AO177" i="5"/>
  <c r="AR173" i="5"/>
  <c r="AB172" i="5"/>
  <c r="AB171" i="5"/>
  <c r="AN169" i="5"/>
  <c r="AH166" i="5"/>
  <c r="AO166" i="5"/>
  <c r="AS164" i="5"/>
  <c r="Z164" i="5"/>
  <c r="AB157" i="5"/>
  <c r="AC150" i="5"/>
  <c r="AB146" i="5"/>
  <c r="AR143" i="5"/>
  <c r="AS136" i="5"/>
  <c r="AB128" i="5"/>
  <c r="AO122" i="5"/>
  <c r="AO109" i="5"/>
  <c r="AH109" i="5"/>
  <c r="AN78" i="5"/>
  <c r="AR77" i="5"/>
  <c r="AB71" i="5"/>
  <c r="AR71" i="5"/>
  <c r="V225" i="5"/>
  <c r="AL224" i="5"/>
  <c r="AB222" i="5"/>
  <c r="AL218" i="5"/>
  <c r="R218" i="5"/>
  <c r="AO217" i="5"/>
  <c r="AN216" i="5"/>
  <c r="R216" i="5"/>
  <c r="AH215" i="5"/>
  <c r="V215" i="5"/>
  <c r="AL214" i="5"/>
  <c r="V213" i="5"/>
  <c r="AO211" i="5"/>
  <c r="Z209" i="5"/>
  <c r="AS208" i="5"/>
  <c r="AL204" i="5"/>
  <c r="AH202" i="5"/>
  <c r="AB199" i="5"/>
  <c r="AB198" i="5"/>
  <c r="AO196" i="5"/>
  <c r="AN195" i="5"/>
  <c r="AO193" i="5"/>
  <c r="AL191" i="5"/>
  <c r="AR188" i="5"/>
  <c r="AB188" i="5"/>
  <c r="AL185" i="5"/>
  <c r="AN183" i="5"/>
  <c r="AN182" i="5"/>
  <c r="AO180" i="5"/>
  <c r="AS178" i="5"/>
  <c r="AO176" i="5"/>
  <c r="R175" i="5"/>
  <c r="Z167" i="5"/>
  <c r="AR164" i="5"/>
  <c r="AS159" i="5"/>
  <c r="Z159" i="5"/>
  <c r="R154" i="5"/>
  <c r="AB150" i="5"/>
  <c r="AR150" i="5"/>
  <c r="AO149" i="5"/>
  <c r="AL148" i="5"/>
  <c r="AC147" i="5"/>
  <c r="AO139" i="5"/>
  <c r="AS139" i="5"/>
  <c r="AB137" i="5"/>
  <c r="AS131" i="5"/>
  <c r="AN122" i="5"/>
  <c r="AR122" i="5"/>
  <c r="AL121" i="5"/>
  <c r="AC116" i="5"/>
  <c r="AB114" i="5"/>
  <c r="AB110" i="5"/>
  <c r="AN109" i="5"/>
  <c r="Z105" i="5"/>
  <c r="AB82" i="5"/>
  <c r="AC78" i="5"/>
  <c r="AL66" i="5"/>
  <c r="AO204" i="5"/>
  <c r="R204" i="5"/>
  <c r="AR202" i="5"/>
  <c r="AO201" i="5"/>
  <c r="AR199" i="5"/>
  <c r="AL198" i="5"/>
  <c r="AN196" i="5"/>
  <c r="AS194" i="5"/>
  <c r="AO192" i="5"/>
  <c r="AP192" i="5" s="1"/>
  <c r="R191" i="5"/>
  <c r="AL187" i="5"/>
  <c r="V187" i="5"/>
  <c r="AL186" i="5"/>
  <c r="Z182" i="5"/>
  <c r="AN180" i="5"/>
  <c r="AB178" i="5"/>
  <c r="AN174" i="5"/>
  <c r="AO170" i="5"/>
  <c r="AB165" i="5"/>
  <c r="AO164" i="5"/>
  <c r="AP164" i="5" s="1"/>
  <c r="AC162" i="5"/>
  <c r="AR159" i="5"/>
  <c r="AO154" i="5"/>
  <c r="AO151" i="5"/>
  <c r="AN149" i="5"/>
  <c r="AB144" i="5"/>
  <c r="AN142" i="5"/>
  <c r="AR142" i="5"/>
  <c r="AN139" i="5"/>
  <c r="AL138" i="5"/>
  <c r="V137" i="5"/>
  <c r="AH127" i="5"/>
  <c r="AO127" i="5"/>
  <c r="AL126" i="5"/>
  <c r="R126" i="5"/>
  <c r="AH124" i="5"/>
  <c r="AO124" i="5"/>
  <c r="AC118" i="5"/>
  <c r="Z118" i="5"/>
  <c r="AR116" i="5"/>
  <c r="AB116" i="5"/>
  <c r="V114" i="5"/>
  <c r="AB105" i="5"/>
  <c r="AR92" i="5"/>
  <c r="AB92" i="5"/>
  <c r="AN60" i="5"/>
  <c r="AS140" i="5"/>
  <c r="AO138" i="5"/>
  <c r="AO133" i="5"/>
  <c r="R133" i="5"/>
  <c r="AB129" i="5"/>
  <c r="AN123" i="5"/>
  <c r="AR108" i="5"/>
  <c r="AB108" i="5"/>
  <c r="AO104" i="5"/>
  <c r="AB103" i="5"/>
  <c r="V102" i="5"/>
  <c r="AB97" i="5"/>
  <c r="V94" i="5"/>
  <c r="AC90" i="5"/>
  <c r="AC87" i="5"/>
  <c r="Z85" i="5"/>
  <c r="AC85" i="5"/>
  <c r="AN83" i="5"/>
  <c r="AB80" i="5"/>
  <c r="Z78" i="5"/>
  <c r="R74" i="5"/>
  <c r="AB73" i="5"/>
  <c r="AN46" i="5"/>
  <c r="AN148" i="5"/>
  <c r="AL144" i="5"/>
  <c r="AB141" i="5"/>
  <c r="AN136" i="5"/>
  <c r="AO131" i="5"/>
  <c r="AR121" i="5"/>
  <c r="AO120" i="5"/>
  <c r="AO119" i="5"/>
  <c r="AO114" i="5"/>
  <c r="AR113" i="5"/>
  <c r="AB106" i="5"/>
  <c r="AR106" i="5"/>
  <c r="AO95" i="5"/>
  <c r="AB85" i="5"/>
  <c r="AN70" i="5"/>
  <c r="AO68" i="5"/>
  <c r="AN63" i="5"/>
  <c r="AR63" i="5"/>
  <c r="AB60" i="5"/>
  <c r="AH48" i="5"/>
  <c r="AO48" i="5"/>
  <c r="AB38" i="5"/>
  <c r="AR38" i="5"/>
  <c r="AO172" i="5"/>
  <c r="AN171" i="5"/>
  <c r="V170" i="5"/>
  <c r="AL169" i="5"/>
  <c r="AL168" i="5"/>
  <c r="AL167" i="5"/>
  <c r="AO161" i="5"/>
  <c r="AH160" i="5"/>
  <c r="AL157" i="5"/>
  <c r="V157" i="5"/>
  <c r="AL156" i="5"/>
  <c r="AC154" i="5"/>
  <c r="AS151" i="5"/>
  <c r="R150" i="5"/>
  <c r="AC149" i="5"/>
  <c r="AB148" i="5"/>
  <c r="AO145" i="5"/>
  <c r="AH144" i="5"/>
  <c r="AL141" i="5"/>
  <c r="V141" i="5"/>
  <c r="AL140" i="5"/>
  <c r="AB138" i="5"/>
  <c r="R135" i="5"/>
  <c r="AN131" i="5"/>
  <c r="AH129" i="5"/>
  <c r="AL128" i="5"/>
  <c r="Z126" i="5"/>
  <c r="V125" i="5"/>
  <c r="AS124" i="5"/>
  <c r="AT124" i="5" s="1"/>
  <c r="AR120" i="5"/>
  <c r="AN114" i="5"/>
  <c r="AN112" i="5"/>
  <c r="AO111" i="5"/>
  <c r="AH110" i="5"/>
  <c r="AO110" i="5"/>
  <c r="AN107" i="5"/>
  <c r="V106" i="5"/>
  <c r="R105" i="5"/>
  <c r="AN102" i="5"/>
  <c r="AB96" i="5"/>
  <c r="AN95" i="5"/>
  <c r="AL94" i="5"/>
  <c r="Z91" i="5"/>
  <c r="AO84" i="5"/>
  <c r="AR78" i="5"/>
  <c r="AO74" i="5"/>
  <c r="AC63" i="5"/>
  <c r="R161" i="5"/>
  <c r="AN160" i="5"/>
  <c r="AL155" i="5"/>
  <c r="V155" i="5"/>
  <c r="V152" i="5"/>
  <c r="Z151" i="5"/>
  <c r="AO146" i="5"/>
  <c r="R146" i="5"/>
  <c r="R145" i="5"/>
  <c r="AN144" i="5"/>
  <c r="AC138" i="5"/>
  <c r="AC133" i="5"/>
  <c r="AR132" i="5"/>
  <c r="AC131" i="5"/>
  <c r="AR129" i="5"/>
  <c r="AN117" i="5"/>
  <c r="AN115" i="5"/>
  <c r="AC112" i="5"/>
  <c r="AC107" i="5"/>
  <c r="AC104" i="5"/>
  <c r="AC95" i="5"/>
  <c r="AR86" i="5"/>
  <c r="AR85" i="5"/>
  <c r="AH82" i="5"/>
  <c r="AC79" i="5"/>
  <c r="AB72" i="5"/>
  <c r="AC68" i="5"/>
  <c r="Z68" i="5"/>
  <c r="AB40" i="5"/>
  <c r="AH156" i="5"/>
  <c r="R156" i="5"/>
  <c r="AL153" i="5"/>
  <c r="AR153" i="5"/>
  <c r="AR151" i="5"/>
  <c r="AS148" i="5"/>
  <c r="AS147" i="5"/>
  <c r="AO141" i="5"/>
  <c r="AH140" i="5"/>
  <c r="R140" i="5"/>
  <c r="AL139" i="5"/>
  <c r="V139" i="5"/>
  <c r="AC136" i="5"/>
  <c r="AR133" i="5"/>
  <c r="AO132" i="5"/>
  <c r="AO128" i="5"/>
  <c r="AR127" i="5"/>
  <c r="V126" i="5"/>
  <c r="R125" i="5"/>
  <c r="V124" i="5"/>
  <c r="AR123" i="5"/>
  <c r="V123" i="5"/>
  <c r="AO121" i="5"/>
  <c r="AO116" i="5"/>
  <c r="Z107" i="5"/>
  <c r="AB107" i="5"/>
  <c r="AS101" i="5"/>
  <c r="AS89" i="5"/>
  <c r="AC89" i="5"/>
  <c r="AN82" i="5"/>
  <c r="AB79" i="5"/>
  <c r="AS74" i="5"/>
  <c r="AR68" i="5"/>
  <c r="AB68" i="5"/>
  <c r="AN58" i="5"/>
  <c r="AR58" i="5"/>
  <c r="V153" i="5"/>
  <c r="R152" i="5"/>
  <c r="AL151" i="5"/>
  <c r="V151" i="5"/>
  <c r="AB149" i="5"/>
  <c r="AN141" i="5"/>
  <c r="AN140" i="5"/>
  <c r="AL137" i="5"/>
  <c r="AR136" i="5"/>
  <c r="AB134" i="5"/>
  <c r="AL133" i="5"/>
  <c r="V133" i="5"/>
  <c r="Z131" i="5"/>
  <c r="V127" i="5"/>
  <c r="AL123" i="5"/>
  <c r="AN121" i="5"/>
  <c r="AC119" i="5"/>
  <c r="AS119" i="5"/>
  <c r="AT119" i="5" s="1"/>
  <c r="AS116" i="5"/>
  <c r="AR114" i="5"/>
  <c r="AN113" i="5"/>
  <c r="AB113" i="5"/>
  <c r="Z110" i="5"/>
  <c r="AO108" i="5"/>
  <c r="V107" i="5"/>
  <c r="AS102" i="5"/>
  <c r="AO101" i="5"/>
  <c r="AN94" i="5"/>
  <c r="AC92" i="5"/>
  <c r="Z92" i="5"/>
  <c r="AS92" i="5"/>
  <c r="AB89" i="5"/>
  <c r="AC84" i="5"/>
  <c r="AO75" i="5"/>
  <c r="AS75" i="5"/>
  <c r="AB74" i="5"/>
  <c r="AN71" i="5"/>
  <c r="AO35" i="5"/>
  <c r="AH113" i="5"/>
  <c r="AB112" i="5"/>
  <c r="V108" i="5"/>
  <c r="AN104" i="5"/>
  <c r="Z101" i="5"/>
  <c r="AR99" i="5"/>
  <c r="Z98" i="5"/>
  <c r="AN96" i="5"/>
  <c r="AO93" i="5"/>
  <c r="V91" i="5"/>
  <c r="AR90" i="5"/>
  <c r="V89" i="5"/>
  <c r="AO88" i="5"/>
  <c r="R88" i="5"/>
  <c r="AO87" i="5"/>
  <c r="AR84" i="5"/>
  <c r="AO83" i="5"/>
  <c r="AO82" i="5"/>
  <c r="AS81" i="5"/>
  <c r="AL80" i="5"/>
  <c r="AL79" i="5"/>
  <c r="V79" i="5"/>
  <c r="AN75" i="5"/>
  <c r="AN74" i="5"/>
  <c r="AR70" i="5"/>
  <c r="Z70" i="5"/>
  <c r="AB69" i="5"/>
  <c r="AS65" i="5"/>
  <c r="AC65" i="5"/>
  <c r="AO64" i="5"/>
  <c r="R64" i="5"/>
  <c r="Z62" i="5"/>
  <c r="AR62" i="5"/>
  <c r="AB62" i="5"/>
  <c r="AH61" i="5"/>
  <c r="AC46" i="5"/>
  <c r="AN42" i="5"/>
  <c r="AS33" i="5"/>
  <c r="AR27" i="5"/>
  <c r="AB27" i="5"/>
  <c r="AR25" i="5"/>
  <c r="AO24" i="5"/>
  <c r="AL106" i="5"/>
  <c r="AS105" i="5"/>
  <c r="AL101" i="5"/>
  <c r="V100" i="5"/>
  <c r="V99" i="5"/>
  <c r="AR98" i="5"/>
  <c r="R97" i="5"/>
  <c r="AN93" i="5"/>
  <c r="V90" i="5"/>
  <c r="AN88" i="5"/>
  <c r="AO85" i="5"/>
  <c r="AL84" i="5"/>
  <c r="V83" i="5"/>
  <c r="Z82" i="5"/>
  <c r="AL78" i="5"/>
  <c r="AL77" i="5"/>
  <c r="AS76" i="5"/>
  <c r="AC76" i="5"/>
  <c r="Z75" i="5"/>
  <c r="AS73" i="5"/>
  <c r="AL71" i="5"/>
  <c r="V71" i="5"/>
  <c r="AR69" i="5"/>
  <c r="AL68" i="5"/>
  <c r="R67" i="5"/>
  <c r="AB65" i="5"/>
  <c r="AN64" i="5"/>
  <c r="AS63" i="5"/>
  <c r="V62" i="5"/>
  <c r="AO57" i="5"/>
  <c r="V56" i="5"/>
  <c r="AC55" i="5"/>
  <c r="AR52" i="5"/>
  <c r="AN51" i="5"/>
  <c r="AS48" i="5"/>
  <c r="R45" i="5"/>
  <c r="AB44" i="5"/>
  <c r="Z35" i="5"/>
  <c r="AN24" i="5"/>
  <c r="AB20" i="5"/>
  <c r="AR20" i="5"/>
  <c r="V98" i="5"/>
  <c r="AS95" i="5"/>
  <c r="R92" i="5"/>
  <c r="R91" i="5"/>
  <c r="AH89" i="5"/>
  <c r="R89" i="5"/>
  <c r="AN85" i="5"/>
  <c r="AR82" i="5"/>
  <c r="V81" i="5"/>
  <c r="AO80" i="5"/>
  <c r="AO79" i="5"/>
  <c r="AR76" i="5"/>
  <c r="AC74" i="5"/>
  <c r="AL70" i="5"/>
  <c r="AL69" i="5"/>
  <c r="R68" i="5"/>
  <c r="V65" i="5"/>
  <c r="AS61" i="5"/>
  <c r="AR60" i="5"/>
  <c r="AC51" i="5"/>
  <c r="AO47" i="5"/>
  <c r="AO45" i="5"/>
  <c r="AR41" i="5"/>
  <c r="AC39" i="5"/>
  <c r="AS39" i="5"/>
  <c r="AL38" i="5"/>
  <c r="AB35" i="5"/>
  <c r="AR35" i="5"/>
  <c r="V33" i="5"/>
  <c r="AN32" i="5"/>
  <c r="AN30" i="5"/>
  <c r="AN28" i="5"/>
  <c r="Z24" i="5"/>
  <c r="R23" i="5"/>
  <c r="AB95" i="5"/>
  <c r="AS87" i="5"/>
  <c r="AN80" i="5"/>
  <c r="AO77" i="5"/>
  <c r="AR74" i="5"/>
  <c r="AO72" i="5"/>
  <c r="AO71" i="5"/>
  <c r="AO59" i="5"/>
  <c r="AC54" i="5"/>
  <c r="AS37" i="5"/>
  <c r="AN34" i="5"/>
  <c r="AR34" i="5"/>
  <c r="Z30" i="5"/>
  <c r="AC30" i="5"/>
  <c r="AS30" i="5"/>
  <c r="AB24" i="5"/>
  <c r="AR24" i="5"/>
  <c r="AC21" i="5"/>
  <c r="AC19" i="5"/>
  <c r="AS19" i="5"/>
  <c r="Z19" i="5"/>
  <c r="AB121" i="5"/>
  <c r="AB120" i="5"/>
  <c r="R119" i="5"/>
  <c r="R118" i="5"/>
  <c r="AO113" i="5"/>
  <c r="AS113" i="5"/>
  <c r="AO112" i="5"/>
  <c r="AN106" i="5"/>
  <c r="AH105" i="5"/>
  <c r="V101" i="5"/>
  <c r="R98" i="5"/>
  <c r="V96" i="5"/>
  <c r="AR94" i="5"/>
  <c r="Z94" i="5"/>
  <c r="AB87" i="5"/>
  <c r="AH84" i="5"/>
  <c r="AH81" i="5"/>
  <c r="R81" i="5"/>
  <c r="AN77" i="5"/>
  <c r="AN72" i="5"/>
  <c r="AO69" i="5"/>
  <c r="R69" i="5"/>
  <c r="AH68" i="5"/>
  <c r="AN67" i="5"/>
  <c r="AC66" i="5"/>
  <c r="R65" i="5"/>
  <c r="AL63" i="5"/>
  <c r="AN59" i="5"/>
  <c r="AR59" i="5"/>
  <c r="AB57" i="5"/>
  <c r="V51" i="5"/>
  <c r="AC47" i="5"/>
  <c r="AN43" i="5"/>
  <c r="AB42" i="5"/>
  <c r="AO38" i="5"/>
  <c r="AP38" i="5" s="1"/>
  <c r="AB37" i="5"/>
  <c r="AB32" i="5"/>
  <c r="AR19" i="5"/>
  <c r="AR111" i="5"/>
  <c r="AC110" i="5"/>
  <c r="V109" i="5"/>
  <c r="AR105" i="5"/>
  <c r="V104" i="5"/>
  <c r="AL102" i="5"/>
  <c r="AB102" i="5"/>
  <c r="R101" i="5"/>
  <c r="AN99" i="5"/>
  <c r="AN98" i="5"/>
  <c r="AS97" i="5"/>
  <c r="AL96" i="5"/>
  <c r="AL95" i="5"/>
  <c r="AR93" i="5"/>
  <c r="AB93" i="5"/>
  <c r="AN91" i="5"/>
  <c r="AN90" i="5"/>
  <c r="V88" i="5"/>
  <c r="R82" i="5"/>
  <c r="AS79" i="5"/>
  <c r="R76" i="5"/>
  <c r="R75" i="5"/>
  <c r="R73" i="5"/>
  <c r="AN69" i="5"/>
  <c r="Z67" i="5"/>
  <c r="AR66" i="5"/>
  <c r="R60" i="5"/>
  <c r="AC59" i="5"/>
  <c r="AL55" i="5"/>
  <c r="AB50" i="5"/>
  <c r="AC43" i="5"/>
  <c r="AL35" i="5"/>
  <c r="AO33" i="5"/>
  <c r="AO29" i="5"/>
  <c r="AO27" i="5"/>
  <c r="AN23" i="5"/>
  <c r="V66" i="5"/>
  <c r="AH65" i="5"/>
  <c r="AO63" i="5"/>
  <c r="AH60" i="5"/>
  <c r="AH52" i="5"/>
  <c r="AO52" i="5"/>
  <c r="Z49" i="5"/>
  <c r="AS49" i="5"/>
  <c r="AC49" i="5"/>
  <c r="AN41" i="5"/>
  <c r="AS40" i="5"/>
  <c r="AT40" i="5" s="1"/>
  <c r="Z38" i="5"/>
  <c r="V34" i="5"/>
  <c r="AC23" i="5"/>
  <c r="AN62" i="5"/>
  <c r="AB61" i="5"/>
  <c r="AN57" i="5"/>
  <c r="AL56" i="5"/>
  <c r="R56" i="5"/>
  <c r="AO54" i="5"/>
  <c r="AO51" i="5"/>
  <c r="AS46" i="5"/>
  <c r="AL44" i="5"/>
  <c r="AS43" i="5"/>
  <c r="AR42" i="5"/>
  <c r="AB41" i="5"/>
  <c r="R41" i="5"/>
  <c r="AN40" i="5"/>
  <c r="AC40" i="5"/>
  <c r="AH38" i="5"/>
  <c r="AH35" i="5"/>
  <c r="AC34" i="5"/>
  <c r="AC33" i="5"/>
  <c r="AD33" i="5" s="1"/>
  <c r="AO32" i="5"/>
  <c r="AN31" i="5"/>
  <c r="AC29" i="5"/>
  <c r="AH27" i="5"/>
  <c r="Z25" i="5"/>
  <c r="AH24" i="5"/>
  <c r="AS23" i="5"/>
  <c r="R22" i="5"/>
  <c r="AO21" i="5"/>
  <c r="AL18" i="5"/>
  <c r="AO14" i="5"/>
  <c r="AO11" i="5"/>
  <c r="AB9" i="5"/>
  <c r="AC286" i="5"/>
  <c r="AC274" i="5"/>
  <c r="AB264" i="5"/>
  <c r="AO55" i="5"/>
  <c r="AN54" i="5"/>
  <c r="AS53" i="5"/>
  <c r="AN50" i="5"/>
  <c r="AR46" i="5"/>
  <c r="AR43" i="5"/>
  <c r="AS38" i="5"/>
  <c r="AS35" i="5"/>
  <c r="AN33" i="5"/>
  <c r="AS29" i="5"/>
  <c r="AO23" i="5"/>
  <c r="AB12" i="5"/>
  <c r="AB271" i="5"/>
  <c r="AS262" i="5"/>
  <c r="AB63" i="5"/>
  <c r="Z59" i="5"/>
  <c r="AC58" i="5"/>
  <c r="AC57" i="5"/>
  <c r="AN55" i="5"/>
  <c r="AB53" i="5"/>
  <c r="AN49" i="5"/>
  <c r="AH47" i="5"/>
  <c r="R46" i="5"/>
  <c r="Z40" i="5"/>
  <c r="AL33" i="5"/>
  <c r="Z33" i="5"/>
  <c r="AL28" i="5"/>
  <c r="AS27" i="5"/>
  <c r="AS24" i="5"/>
  <c r="R20" i="5"/>
  <c r="AO16" i="5"/>
  <c r="AB8" i="5"/>
  <c r="AO7" i="5"/>
  <c r="AO5" i="5"/>
  <c r="AC285" i="5"/>
  <c r="AB267" i="5"/>
  <c r="AB263" i="5"/>
  <c r="AN262" i="5"/>
  <c r="AN66" i="5"/>
  <c r="V64" i="5"/>
  <c r="AL61" i="5"/>
  <c r="R61" i="5"/>
  <c r="V60" i="5"/>
  <c r="AS57" i="5"/>
  <c r="AN56" i="5"/>
  <c r="AB54" i="5"/>
  <c r="V53" i="5"/>
  <c r="AR48" i="5"/>
  <c r="AB46" i="5"/>
  <c r="V45" i="5"/>
  <c r="AR44" i="5"/>
  <c r="AB43" i="5"/>
  <c r="AC38" i="5"/>
  <c r="R38" i="5"/>
  <c r="AC35" i="5"/>
  <c r="AC27" i="5"/>
  <c r="Z21" i="5"/>
  <c r="AS21" i="5"/>
  <c r="AN17" i="5"/>
  <c r="AN16" i="5"/>
  <c r="AN10" i="5"/>
  <c r="AN7" i="5"/>
  <c r="AC282" i="5"/>
  <c r="AC266" i="5"/>
  <c r="AC262" i="5"/>
  <c r="AL59" i="5"/>
  <c r="AL58" i="5"/>
  <c r="AS55" i="5"/>
  <c r="AR51" i="5"/>
  <c r="AC50" i="5"/>
  <c r="AS47" i="5"/>
  <c r="AC24" i="5"/>
  <c r="AS22" i="5"/>
  <c r="AB21" i="5"/>
  <c r="Z16" i="5"/>
  <c r="AB279" i="5"/>
  <c r="AB273" i="5"/>
  <c r="AL57" i="5"/>
  <c r="AS56" i="5"/>
  <c r="AR56" i="5"/>
  <c r="AL53" i="5"/>
  <c r="R53" i="5"/>
  <c r="AR50" i="5"/>
  <c r="V48" i="5"/>
  <c r="V29" i="5"/>
  <c r="V21" i="5"/>
  <c r="AB19" i="5"/>
  <c r="AC18" i="5"/>
  <c r="AC17" i="5"/>
  <c r="AB16" i="5"/>
  <c r="AS13" i="5"/>
  <c r="AB10" i="5"/>
  <c r="AO9" i="5"/>
  <c r="AC278" i="5"/>
  <c r="AC290" i="5"/>
  <c r="AL51" i="5"/>
  <c r="AL50" i="5"/>
  <c r="AN26" i="5"/>
  <c r="AL24" i="5"/>
  <c r="AB18" i="5"/>
  <c r="AR18" i="5"/>
  <c r="Z17" i="5"/>
  <c r="AB17" i="5"/>
  <c r="AR17" i="5"/>
  <c r="AR16" i="5"/>
  <c r="AB13" i="5"/>
  <c r="AC284" i="5"/>
  <c r="AC272" i="5"/>
  <c r="AB265" i="5"/>
  <c r="AB282" i="5"/>
  <c r="AR281" i="5"/>
  <c r="Z280" i="5"/>
  <c r="AL279" i="5"/>
  <c r="AO277" i="5"/>
  <c r="AO276" i="5"/>
  <c r="V275" i="5"/>
  <c r="AN271" i="5"/>
  <c r="AN267" i="5"/>
  <c r="AO265" i="5"/>
  <c r="AN264" i="5"/>
  <c r="AC263" i="5"/>
  <c r="Z290" i="5"/>
  <c r="AR288" i="5"/>
  <c r="AS16" i="5"/>
  <c r="AS9" i="5"/>
  <c r="AH8" i="5"/>
  <c r="V5" i="5"/>
  <c r="AO279" i="5"/>
  <c r="AR278" i="5"/>
  <c r="R277" i="5"/>
  <c r="AN276" i="5"/>
  <c r="R276" i="5"/>
  <c r="AH275" i="5"/>
  <c r="R275" i="5"/>
  <c r="R274" i="5"/>
  <c r="R273" i="5"/>
  <c r="AO272" i="5"/>
  <c r="R272" i="5"/>
  <c r="AB269" i="5"/>
  <c r="AN266" i="5"/>
  <c r="AN265" i="5"/>
  <c r="AS290" i="5"/>
  <c r="AO289" i="5"/>
  <c r="AB289" i="5"/>
  <c r="AO15" i="5"/>
  <c r="AR9" i="5"/>
  <c r="AS8" i="5"/>
  <c r="AO285" i="5"/>
  <c r="AO284" i="5"/>
  <c r="V283" i="5"/>
  <c r="AN279" i="5"/>
  <c r="AN275" i="5"/>
  <c r="AO273" i="5"/>
  <c r="AN272" i="5"/>
  <c r="AC271" i="5"/>
  <c r="AR269" i="5"/>
  <c r="V263" i="5"/>
  <c r="V262" i="5"/>
  <c r="AL290" i="5"/>
  <c r="AB290" i="5"/>
  <c r="AR8" i="5"/>
  <c r="V8" i="5"/>
  <c r="AO287" i="5"/>
  <c r="AR286" i="5"/>
  <c r="R285" i="5"/>
  <c r="AN284" i="5"/>
  <c r="R284" i="5"/>
  <c r="AH283" i="5"/>
  <c r="R283" i="5"/>
  <c r="R282" i="5"/>
  <c r="R281" i="5"/>
  <c r="AO280" i="5"/>
  <c r="R280" i="5"/>
  <c r="AB277" i="5"/>
  <c r="AN274" i="5"/>
  <c r="AN273" i="5"/>
  <c r="AB268" i="5"/>
  <c r="AC267" i="5"/>
  <c r="V290" i="5"/>
  <c r="AL288" i="5"/>
  <c r="R288" i="5"/>
  <c r="AL25" i="5"/>
  <c r="AL20" i="5"/>
  <c r="R17" i="5"/>
  <c r="AC16" i="5"/>
  <c r="AH14" i="5"/>
  <c r="AH11" i="5"/>
  <c r="AC10" i="5"/>
  <c r="AD10" i="5" s="1"/>
  <c r="AC9" i="5"/>
  <c r="AC5" i="5"/>
  <c r="AN287" i="5"/>
  <c r="AN283" i="5"/>
  <c r="AO281" i="5"/>
  <c r="AN280" i="5"/>
  <c r="AC279" i="5"/>
  <c r="Z278" i="5"/>
  <c r="AR277" i="5"/>
  <c r="V271" i="5"/>
  <c r="AL270" i="5"/>
  <c r="AL269" i="5"/>
  <c r="AL268" i="5"/>
  <c r="AB266" i="5"/>
  <c r="AR265" i="5"/>
  <c r="Z264" i="5"/>
  <c r="AL263" i="5"/>
  <c r="R263" i="5"/>
  <c r="V289" i="5"/>
  <c r="AR10" i="5"/>
  <c r="AC8" i="5"/>
  <c r="AN282" i="5"/>
  <c r="AN281" i="5"/>
  <c r="AB276" i="5"/>
  <c r="AC275" i="5"/>
  <c r="AO263" i="5"/>
  <c r="AO262" i="5"/>
  <c r="AO290" i="5"/>
  <c r="AO288" i="5"/>
  <c r="AL9" i="5"/>
  <c r="AC287" i="5"/>
  <c r="Z286" i="5"/>
  <c r="AR285" i="5"/>
  <c r="AB274" i="5"/>
  <c r="AR273" i="5"/>
  <c r="Z272" i="5"/>
  <c r="AL271" i="5"/>
  <c r="AO269" i="5"/>
  <c r="AO268" i="5"/>
  <c r="V267" i="5"/>
  <c r="AN263" i="5"/>
  <c r="AR262" i="5"/>
  <c r="AN290" i="5"/>
  <c r="AN289" i="5"/>
  <c r="AH288" i="5"/>
  <c r="R14" i="5"/>
  <c r="AB284" i="5"/>
  <c r="AD284" i="5" s="1"/>
  <c r="AC283" i="5"/>
  <c r="AO271" i="5"/>
  <c r="AP271" i="5" s="1"/>
  <c r="AR270" i="5"/>
  <c r="R269" i="5"/>
  <c r="AN268" i="5"/>
  <c r="R268" i="5"/>
  <c r="AH267" i="5"/>
  <c r="R267" i="5"/>
  <c r="R266" i="5"/>
  <c r="AH265" i="5"/>
  <c r="R265" i="5"/>
  <c r="AO264" i="5"/>
  <c r="R264" i="5"/>
  <c r="AC288" i="5"/>
  <c r="AR290" i="5"/>
  <c r="AN288" i="5"/>
  <c r="AS289" i="5"/>
  <c r="AB288" i="5"/>
  <c r="AR289" i="5"/>
  <c r="Z288" i="5"/>
  <c r="Z282" i="5"/>
  <c r="AH280" i="5"/>
  <c r="Z274" i="5"/>
  <c r="AH272" i="5"/>
  <c r="Z266" i="5"/>
  <c r="AH264" i="5"/>
  <c r="Z287" i="5"/>
  <c r="AO286" i="5"/>
  <c r="AS285" i="5"/>
  <c r="AH285" i="5"/>
  <c r="AC281" i="5"/>
  <c r="AR280" i="5"/>
  <c r="Z279" i="5"/>
  <c r="AO278" i="5"/>
  <c r="AS277" i="5"/>
  <c r="AH277" i="5"/>
  <c r="AC273" i="5"/>
  <c r="AR272" i="5"/>
  <c r="Z271" i="5"/>
  <c r="AO270" i="5"/>
  <c r="AS269" i="5"/>
  <c r="AH269" i="5"/>
  <c r="AC265" i="5"/>
  <c r="AR264" i="5"/>
  <c r="Z263" i="5"/>
  <c r="AS287" i="5"/>
  <c r="AH287" i="5"/>
  <c r="AB286" i="5"/>
  <c r="AR282" i="5"/>
  <c r="AS279" i="5"/>
  <c r="AH279" i="5"/>
  <c r="AB278" i="5"/>
  <c r="AR274" i="5"/>
  <c r="AS271" i="5"/>
  <c r="AH271" i="5"/>
  <c r="AB270" i="5"/>
  <c r="AR266" i="5"/>
  <c r="AS263" i="5"/>
  <c r="AH263" i="5"/>
  <c r="AB262" i="5"/>
  <c r="AR287" i="5"/>
  <c r="AS284" i="5"/>
  <c r="AH284" i="5"/>
  <c r="AR279" i="5"/>
  <c r="AS276" i="5"/>
  <c r="AH276" i="5"/>
  <c r="AR271" i="5"/>
  <c r="AS268" i="5"/>
  <c r="AH268" i="5"/>
  <c r="AR263" i="5"/>
  <c r="AS286" i="5"/>
  <c r="AS278" i="5"/>
  <c r="AS270" i="5"/>
  <c r="AH262" i="5"/>
  <c r="AS283" i="5"/>
  <c r="AS275" i="5"/>
  <c r="AS267" i="5"/>
  <c r="AR261" i="5"/>
  <c r="AS258" i="5"/>
  <c r="AR253" i="5"/>
  <c r="AS250" i="5"/>
  <c r="AC246" i="5"/>
  <c r="AR245" i="5"/>
  <c r="AS242" i="5"/>
  <c r="AC238" i="5"/>
  <c r="AR237" i="5"/>
  <c r="AS234" i="5"/>
  <c r="AC230" i="5"/>
  <c r="AR229" i="5"/>
  <c r="AS226" i="5"/>
  <c r="AC222" i="5"/>
  <c r="AR221" i="5"/>
  <c r="AS218" i="5"/>
  <c r="AC214" i="5"/>
  <c r="AR213" i="5"/>
  <c r="AS210" i="5"/>
  <c r="AC203" i="5"/>
  <c r="AS202" i="5"/>
  <c r="Z202" i="5"/>
  <c r="AH201" i="5"/>
  <c r="AS196" i="5"/>
  <c r="Z196" i="5"/>
  <c r="V189" i="5"/>
  <c r="AC174" i="5"/>
  <c r="AS174" i="5"/>
  <c r="Z170" i="5"/>
  <c r="AC170" i="5"/>
  <c r="AS170" i="5"/>
  <c r="AH167" i="5"/>
  <c r="AN167" i="5"/>
  <c r="AR194" i="5"/>
  <c r="AN194" i="5"/>
  <c r="AN259" i="5"/>
  <c r="AC259" i="5"/>
  <c r="AO256" i="5"/>
  <c r="AB254" i="5"/>
  <c r="AN251" i="5"/>
  <c r="AC251" i="5"/>
  <c r="AO248" i="5"/>
  <c r="AN243" i="5"/>
  <c r="AC243" i="5"/>
  <c r="AO240" i="5"/>
  <c r="AN235" i="5"/>
  <c r="AC235" i="5"/>
  <c r="AO232" i="5"/>
  <c r="AN227" i="5"/>
  <c r="AC227" i="5"/>
  <c r="AO224" i="5"/>
  <c r="AN219" i="5"/>
  <c r="AC219" i="5"/>
  <c r="AO216" i="5"/>
  <c r="AN211" i="5"/>
  <c r="AC211" i="5"/>
  <c r="AO208" i="5"/>
  <c r="AB206" i="5"/>
  <c r="AH204" i="5"/>
  <c r="AN202" i="5"/>
  <c r="V197" i="5"/>
  <c r="AC182" i="5"/>
  <c r="AS182" i="5"/>
  <c r="V178" i="5"/>
  <c r="Z177" i="5"/>
  <c r="AC177" i="5"/>
  <c r="AO165" i="5"/>
  <c r="AH165" i="5"/>
  <c r="AS165" i="5"/>
  <c r="Z163" i="5"/>
  <c r="AB163" i="5"/>
  <c r="AR163" i="5"/>
  <c r="AH135" i="5"/>
  <c r="AN135" i="5"/>
  <c r="AH199" i="5"/>
  <c r="AS199" i="5"/>
  <c r="AO199" i="5"/>
  <c r="AR180" i="5"/>
  <c r="AS260" i="5"/>
  <c r="AB259" i="5"/>
  <c r="AC256" i="5"/>
  <c r="AS252" i="5"/>
  <c r="AB251" i="5"/>
  <c r="AC248" i="5"/>
  <c r="AS244" i="5"/>
  <c r="AB243" i="5"/>
  <c r="AC240" i="5"/>
  <c r="AS236" i="5"/>
  <c r="AB235" i="5"/>
  <c r="AC232" i="5"/>
  <c r="AS228" i="5"/>
  <c r="AB227" i="5"/>
  <c r="AC224" i="5"/>
  <c r="AS220" i="5"/>
  <c r="AB219" i="5"/>
  <c r="AC216" i="5"/>
  <c r="AS212" i="5"/>
  <c r="AB211" i="5"/>
  <c r="AC208" i="5"/>
  <c r="R207" i="5"/>
  <c r="Z206" i="5"/>
  <c r="AR205" i="5"/>
  <c r="Z205" i="5"/>
  <c r="AN203" i="5"/>
  <c r="Z203" i="5"/>
  <c r="AR191" i="5"/>
  <c r="AC190" i="5"/>
  <c r="AS190" i="5"/>
  <c r="Z185" i="5"/>
  <c r="AC185" i="5"/>
  <c r="AB177" i="5"/>
  <c r="AR177" i="5"/>
  <c r="AN165" i="5"/>
  <c r="AR165" i="5"/>
  <c r="Z144" i="5"/>
  <c r="AC144" i="5"/>
  <c r="AS144" i="5"/>
  <c r="AH142" i="5"/>
  <c r="AO142" i="5"/>
  <c r="AR260" i="5"/>
  <c r="Z259" i="5"/>
  <c r="AS257" i="5"/>
  <c r="AH257" i="5"/>
  <c r="AR252" i="5"/>
  <c r="AS249" i="5"/>
  <c r="AH249" i="5"/>
  <c r="AR244" i="5"/>
  <c r="AS241" i="5"/>
  <c r="AH241" i="5"/>
  <c r="AR236" i="5"/>
  <c r="AS233" i="5"/>
  <c r="AH233" i="5"/>
  <c r="AR228" i="5"/>
  <c r="AS225" i="5"/>
  <c r="AH225" i="5"/>
  <c r="AR220" i="5"/>
  <c r="AS217" i="5"/>
  <c r="AH217" i="5"/>
  <c r="AR212" i="5"/>
  <c r="AS209" i="5"/>
  <c r="AH209" i="5"/>
  <c r="V205" i="5"/>
  <c r="AS201" i="5"/>
  <c r="AC201" i="5"/>
  <c r="AC198" i="5"/>
  <c r="AS198" i="5"/>
  <c r="V194" i="5"/>
  <c r="Z193" i="5"/>
  <c r="AC193" i="5"/>
  <c r="AS185" i="5"/>
  <c r="AB185" i="5"/>
  <c r="AR185" i="5"/>
  <c r="AL182" i="5"/>
  <c r="AH180" i="5"/>
  <c r="R179" i="5"/>
  <c r="AB261" i="5"/>
  <c r="AC258" i="5"/>
  <c r="AS254" i="5"/>
  <c r="AB253" i="5"/>
  <c r="AC250" i="5"/>
  <c r="AS246" i="5"/>
  <c r="AB245" i="5"/>
  <c r="AC242" i="5"/>
  <c r="Z240" i="5"/>
  <c r="AS238" i="5"/>
  <c r="AB237" i="5"/>
  <c r="AC234" i="5"/>
  <c r="AS230" i="5"/>
  <c r="AB229" i="5"/>
  <c r="AC226" i="5"/>
  <c r="AS222" i="5"/>
  <c r="AB221" i="5"/>
  <c r="AC218" i="5"/>
  <c r="AS214" i="5"/>
  <c r="AB213" i="5"/>
  <c r="AC210" i="5"/>
  <c r="Z208" i="5"/>
  <c r="AR203" i="5"/>
  <c r="AB193" i="5"/>
  <c r="AR193" i="5"/>
  <c r="AH175" i="5"/>
  <c r="AS175" i="5"/>
  <c r="AO175" i="5"/>
  <c r="Z152" i="5"/>
  <c r="AC152" i="5"/>
  <c r="AS152" i="5"/>
  <c r="AH150" i="5"/>
  <c r="AO150" i="5"/>
  <c r="Z204" i="5"/>
  <c r="AC204" i="5"/>
  <c r="AH183" i="5"/>
  <c r="AS183" i="5"/>
  <c r="AO183" i="5"/>
  <c r="AR178" i="5"/>
  <c r="AN178" i="5"/>
  <c r="AS172" i="5"/>
  <c r="AC171" i="5"/>
  <c r="AS171" i="5"/>
  <c r="Z155" i="5"/>
  <c r="AB155" i="5"/>
  <c r="AR155" i="5"/>
  <c r="AL201" i="5"/>
  <c r="AH194" i="5"/>
  <c r="AL193" i="5"/>
  <c r="AH191" i="5"/>
  <c r="AS191" i="5"/>
  <c r="AO191" i="5"/>
  <c r="R190" i="5"/>
  <c r="AR186" i="5"/>
  <c r="AN186" i="5"/>
  <c r="AS180" i="5"/>
  <c r="Z180" i="5"/>
  <c r="V173" i="5"/>
  <c r="AB197" i="5"/>
  <c r="AC194" i="5"/>
  <c r="AB189" i="5"/>
  <c r="AC186" i="5"/>
  <c r="AB181" i="5"/>
  <c r="AC178" i="5"/>
  <c r="AB173" i="5"/>
  <c r="AS166" i="5"/>
  <c r="Z160" i="5"/>
  <c r="AC160" i="5"/>
  <c r="AS160" i="5"/>
  <c r="AH158" i="5"/>
  <c r="AO158" i="5"/>
  <c r="AR145" i="5"/>
  <c r="AR137" i="5"/>
  <c r="AN134" i="5"/>
  <c r="AH134" i="5"/>
  <c r="AB83" i="5"/>
  <c r="AR83" i="5"/>
  <c r="AR198" i="5"/>
  <c r="Z197" i="5"/>
  <c r="AS195" i="5"/>
  <c r="AH195" i="5"/>
  <c r="AR190" i="5"/>
  <c r="Z189" i="5"/>
  <c r="AS187" i="5"/>
  <c r="AR182" i="5"/>
  <c r="Z181" i="5"/>
  <c r="AS179" i="5"/>
  <c r="AR174" i="5"/>
  <c r="Z173" i="5"/>
  <c r="AH171" i="5"/>
  <c r="V171" i="5"/>
  <c r="AH169" i="5"/>
  <c r="AC130" i="5"/>
  <c r="AS130" i="5"/>
  <c r="Z130" i="5"/>
  <c r="AS200" i="5"/>
  <c r="AH200" i="5"/>
  <c r="AC196" i="5"/>
  <c r="Z194" i="5"/>
  <c r="AS192" i="5"/>
  <c r="AH192" i="5"/>
  <c r="AC188" i="5"/>
  <c r="AR187" i="5"/>
  <c r="Z186" i="5"/>
  <c r="AS184" i="5"/>
  <c r="AH184" i="5"/>
  <c r="AC180" i="5"/>
  <c r="AR179" i="5"/>
  <c r="Z178" i="5"/>
  <c r="AS176" i="5"/>
  <c r="AH176" i="5"/>
  <c r="AC172" i="5"/>
  <c r="AR171" i="5"/>
  <c r="AR168" i="5"/>
  <c r="AR161" i="5"/>
  <c r="AS142" i="5"/>
  <c r="AR134" i="5"/>
  <c r="AR167" i="5"/>
  <c r="AB167" i="5"/>
  <c r="AS150" i="5"/>
  <c r="AH145" i="5"/>
  <c r="AN145" i="5"/>
  <c r="AH137" i="5"/>
  <c r="AN137" i="5"/>
  <c r="AH136" i="5"/>
  <c r="AO136" i="5"/>
  <c r="AR118" i="5"/>
  <c r="AN118" i="5"/>
  <c r="AO168" i="5"/>
  <c r="Z168" i="5"/>
  <c r="AC168" i="5"/>
  <c r="AS168" i="5"/>
  <c r="AS158" i="5"/>
  <c r="AH153" i="5"/>
  <c r="AN153" i="5"/>
  <c r="AH161" i="5"/>
  <c r="AN161" i="5"/>
  <c r="Z147" i="5"/>
  <c r="AB147" i="5"/>
  <c r="AR147" i="5"/>
  <c r="Z139" i="5"/>
  <c r="AB139" i="5"/>
  <c r="AR139" i="5"/>
  <c r="AC164" i="5"/>
  <c r="Z162" i="5"/>
  <c r="AB159" i="5"/>
  <c r="AC156" i="5"/>
  <c r="Z154" i="5"/>
  <c r="AB151" i="5"/>
  <c r="AC148" i="5"/>
  <c r="Z146" i="5"/>
  <c r="AB143" i="5"/>
  <c r="AC140" i="5"/>
  <c r="Z138" i="5"/>
  <c r="Z133" i="5"/>
  <c r="AS132" i="5"/>
  <c r="Z132" i="5"/>
  <c r="AH131" i="5"/>
  <c r="AR126" i="5"/>
  <c r="AN126" i="5"/>
  <c r="AC122" i="5"/>
  <c r="AS122" i="5"/>
  <c r="R114" i="5"/>
  <c r="V113" i="5"/>
  <c r="AH86" i="5"/>
  <c r="AS86" i="5"/>
  <c r="AO86" i="5"/>
  <c r="Z12" i="5"/>
  <c r="AC12" i="5"/>
  <c r="AS12" i="5"/>
  <c r="AH10" i="5"/>
  <c r="AS10" i="5"/>
  <c r="AO10" i="5"/>
  <c r="AR160" i="5"/>
  <c r="AS157" i="5"/>
  <c r="AH157" i="5"/>
  <c r="AR152" i="5"/>
  <c r="AS149" i="5"/>
  <c r="AH149" i="5"/>
  <c r="AR144" i="5"/>
  <c r="AS141" i="5"/>
  <c r="AH141" i="5"/>
  <c r="R136" i="5"/>
  <c r="AL130" i="5"/>
  <c r="AH128" i="5"/>
  <c r="Z109" i="5"/>
  <c r="AC109" i="5"/>
  <c r="AC106" i="5"/>
  <c r="AS106" i="5"/>
  <c r="Z96" i="5"/>
  <c r="AC96" i="5"/>
  <c r="AS96" i="5"/>
  <c r="AB67" i="5"/>
  <c r="AR67" i="5"/>
  <c r="AS162" i="5"/>
  <c r="AH162" i="5"/>
  <c r="AR157" i="5"/>
  <c r="AS154" i="5"/>
  <c r="AH154" i="5"/>
  <c r="AR149" i="5"/>
  <c r="AS146" i="5"/>
  <c r="AH146" i="5"/>
  <c r="AR141" i="5"/>
  <c r="AS138" i="5"/>
  <c r="AH138" i="5"/>
  <c r="Z134" i="5"/>
  <c r="AC134" i="5"/>
  <c r="V132" i="5"/>
  <c r="AL122" i="5"/>
  <c r="AS109" i="5"/>
  <c r="AB109" i="5"/>
  <c r="AR109" i="5"/>
  <c r="AR97" i="5"/>
  <c r="AN97" i="5"/>
  <c r="AO130" i="5"/>
  <c r="AH130" i="5"/>
  <c r="Z125" i="5"/>
  <c r="AC125" i="5"/>
  <c r="AH123" i="5"/>
  <c r="AS123" i="5"/>
  <c r="AO123" i="5"/>
  <c r="Z117" i="5"/>
  <c r="AC117" i="5"/>
  <c r="AC114" i="5"/>
  <c r="AS114" i="5"/>
  <c r="AH107" i="5"/>
  <c r="AS107" i="5"/>
  <c r="AO107" i="5"/>
  <c r="Z166" i="5"/>
  <c r="Z158" i="5"/>
  <c r="Z150" i="5"/>
  <c r="Z142" i="5"/>
  <c r="R130" i="5"/>
  <c r="V129" i="5"/>
  <c r="AR128" i="5"/>
  <c r="AS125" i="5"/>
  <c r="AB125" i="5"/>
  <c r="AR125" i="5"/>
  <c r="AS120" i="5"/>
  <c r="Z120" i="5"/>
  <c r="AS117" i="5"/>
  <c r="AB117" i="5"/>
  <c r="AR117" i="5"/>
  <c r="AH103" i="5"/>
  <c r="AO103" i="5"/>
  <c r="Z80" i="5"/>
  <c r="AC80" i="5"/>
  <c r="AS80" i="5"/>
  <c r="R77" i="5"/>
  <c r="AR135" i="5"/>
  <c r="AS133" i="5"/>
  <c r="Z128" i="5"/>
  <c r="AH115" i="5"/>
  <c r="AS115" i="5"/>
  <c r="AO115" i="5"/>
  <c r="AR110" i="5"/>
  <c r="AN110" i="5"/>
  <c r="AN103" i="5"/>
  <c r="AR103" i="5"/>
  <c r="V135" i="5"/>
  <c r="AS134" i="5"/>
  <c r="R127" i="5"/>
  <c r="AL125" i="5"/>
  <c r="AH118" i="5"/>
  <c r="AL117" i="5"/>
  <c r="AR107" i="5"/>
  <c r="R106" i="5"/>
  <c r="AR104" i="5"/>
  <c r="AR100" i="5"/>
  <c r="AB100" i="5"/>
  <c r="Z100" i="5"/>
  <c r="Z83" i="5"/>
  <c r="AC126" i="5"/>
  <c r="Z124" i="5"/>
  <c r="AH122" i="5"/>
  <c r="Z116" i="5"/>
  <c r="AH114" i="5"/>
  <c r="Z108" i="5"/>
  <c r="AH106" i="5"/>
  <c r="AO102" i="5"/>
  <c r="AH100" i="5"/>
  <c r="Z99" i="5"/>
  <c r="AR89" i="5"/>
  <c r="AN89" i="5"/>
  <c r="V84" i="5"/>
  <c r="AH73" i="5"/>
  <c r="AH70" i="5"/>
  <c r="AS70" i="5"/>
  <c r="AO70" i="5"/>
  <c r="V68" i="5"/>
  <c r="AL64" i="5"/>
  <c r="Z88" i="5"/>
  <c r="AC88" i="5"/>
  <c r="AS88" i="5"/>
  <c r="AR73" i="5"/>
  <c r="AN73" i="5"/>
  <c r="Z15" i="5"/>
  <c r="AB15" i="5"/>
  <c r="AR15" i="5"/>
  <c r="AB131" i="5"/>
  <c r="AC128" i="5"/>
  <c r="AB123" i="5"/>
  <c r="AC120" i="5"/>
  <c r="Z72" i="5"/>
  <c r="AC72" i="5"/>
  <c r="AS72" i="5"/>
  <c r="AS129" i="5"/>
  <c r="AS121" i="5"/>
  <c r="AS104" i="5"/>
  <c r="AB91" i="5"/>
  <c r="AR91" i="5"/>
  <c r="AS126" i="5"/>
  <c r="AS118" i="5"/>
  <c r="AS110" i="5"/>
  <c r="AL103" i="5"/>
  <c r="AH94" i="5"/>
  <c r="AS94" i="5"/>
  <c r="AO94" i="5"/>
  <c r="V92" i="5"/>
  <c r="AL88" i="5"/>
  <c r="AH78" i="5"/>
  <c r="AS78" i="5"/>
  <c r="AO78" i="5"/>
  <c r="AB75" i="5"/>
  <c r="AR75" i="5"/>
  <c r="AR65" i="5"/>
  <c r="AN65" i="5"/>
  <c r="AH104" i="5"/>
  <c r="AH97" i="5"/>
  <c r="R93" i="5"/>
  <c r="AR81" i="5"/>
  <c r="AN81" i="5"/>
  <c r="V76" i="5"/>
  <c r="AL72" i="5"/>
  <c r="Z64" i="5"/>
  <c r="AC64" i="5"/>
  <c r="AS64" i="5"/>
  <c r="AO97" i="5"/>
  <c r="AH96" i="5"/>
  <c r="AN92" i="5"/>
  <c r="Z90" i="5"/>
  <c r="AO89" i="5"/>
  <c r="AH88" i="5"/>
  <c r="AN84" i="5"/>
  <c r="AO81" i="5"/>
  <c r="AH80" i="5"/>
  <c r="AN76" i="5"/>
  <c r="Z74" i="5"/>
  <c r="AO73" i="5"/>
  <c r="AH72" i="5"/>
  <c r="AN68" i="5"/>
  <c r="Z66" i="5"/>
  <c r="AO65" i="5"/>
  <c r="AH64" i="5"/>
  <c r="Z60" i="5"/>
  <c r="AC60" i="5"/>
  <c r="AS60" i="5"/>
  <c r="AL52" i="5"/>
  <c r="AR29" i="5"/>
  <c r="AH29" i="5"/>
  <c r="AN29" i="5"/>
  <c r="AC97" i="5"/>
  <c r="AR96" i="5"/>
  <c r="Z95" i="5"/>
  <c r="AS93" i="5"/>
  <c r="AH93" i="5"/>
  <c r="AR88" i="5"/>
  <c r="Z87" i="5"/>
  <c r="AS85" i="5"/>
  <c r="AH85" i="5"/>
  <c r="AR80" i="5"/>
  <c r="Z79" i="5"/>
  <c r="AS77" i="5"/>
  <c r="AH77" i="5"/>
  <c r="AR72" i="5"/>
  <c r="Z71" i="5"/>
  <c r="AS69" i="5"/>
  <c r="AH69" i="5"/>
  <c r="AR64" i="5"/>
  <c r="Z63" i="5"/>
  <c r="R57" i="5"/>
  <c r="Z31" i="5"/>
  <c r="AB31" i="5"/>
  <c r="AR31" i="5"/>
  <c r="Z28" i="5"/>
  <c r="AC28" i="5"/>
  <c r="AS28" i="5"/>
  <c r="AH26" i="5"/>
  <c r="AS26" i="5"/>
  <c r="AO26" i="5"/>
  <c r="AR5" i="5"/>
  <c r="AH5" i="5"/>
  <c r="AN5" i="5"/>
  <c r="AH98" i="5"/>
  <c r="AH62" i="5"/>
  <c r="AS62" i="5"/>
  <c r="AR53" i="5"/>
  <c r="AN53" i="5"/>
  <c r="AR45" i="5"/>
  <c r="AH45" i="5"/>
  <c r="AN45" i="5"/>
  <c r="Z7" i="5"/>
  <c r="AB7" i="5"/>
  <c r="AR7" i="5"/>
  <c r="AC99" i="5"/>
  <c r="Z97" i="5"/>
  <c r="AH95" i="5"/>
  <c r="AB94" i="5"/>
  <c r="AC91" i="5"/>
  <c r="Z89" i="5"/>
  <c r="AH87" i="5"/>
  <c r="AB86" i="5"/>
  <c r="AC83" i="5"/>
  <c r="Z81" i="5"/>
  <c r="AH79" i="5"/>
  <c r="AB78" i="5"/>
  <c r="AC75" i="5"/>
  <c r="Z73" i="5"/>
  <c r="AH71" i="5"/>
  <c r="AB70" i="5"/>
  <c r="AC67" i="5"/>
  <c r="Z65" i="5"/>
  <c r="AH63" i="5"/>
  <c r="AL60" i="5"/>
  <c r="AH50" i="5"/>
  <c r="AS50" i="5"/>
  <c r="AO50" i="5"/>
  <c r="Z47" i="5"/>
  <c r="AB47" i="5"/>
  <c r="AR47" i="5"/>
  <c r="Z44" i="5"/>
  <c r="AC44" i="5"/>
  <c r="AS44" i="5"/>
  <c r="AH42" i="5"/>
  <c r="AS42" i="5"/>
  <c r="AO42" i="5"/>
  <c r="AR21" i="5"/>
  <c r="AH21" i="5"/>
  <c r="AN21" i="5"/>
  <c r="Z23" i="5"/>
  <c r="AB23" i="5"/>
  <c r="AR23" i="5"/>
  <c r="Z20" i="5"/>
  <c r="AC20" i="5"/>
  <c r="AS20" i="5"/>
  <c r="AH18" i="5"/>
  <c r="AS18" i="5"/>
  <c r="AO18" i="5"/>
  <c r="AR61" i="5"/>
  <c r="AN61" i="5"/>
  <c r="Z52" i="5"/>
  <c r="AC52" i="5"/>
  <c r="AS52" i="5"/>
  <c r="AR37" i="5"/>
  <c r="AH37" i="5"/>
  <c r="AN37" i="5"/>
  <c r="AO62" i="5"/>
  <c r="AH58" i="5"/>
  <c r="AS58" i="5"/>
  <c r="AO58" i="5"/>
  <c r="Z55" i="5"/>
  <c r="AB55" i="5"/>
  <c r="AR55" i="5"/>
  <c r="R49" i="5"/>
  <c r="Z39" i="5"/>
  <c r="AB39" i="5"/>
  <c r="AR39" i="5"/>
  <c r="Z36" i="5"/>
  <c r="AC36" i="5"/>
  <c r="AS36" i="5"/>
  <c r="AH34" i="5"/>
  <c r="AS34" i="5"/>
  <c r="AO34" i="5"/>
  <c r="AR13" i="5"/>
  <c r="AH13" i="5"/>
  <c r="AN13" i="5"/>
  <c r="AO61" i="5"/>
  <c r="AB59" i="5"/>
  <c r="AC56" i="5"/>
  <c r="AO53" i="5"/>
  <c r="AB51" i="5"/>
  <c r="AC61" i="5"/>
  <c r="AH57" i="5"/>
  <c r="AB56" i="5"/>
  <c r="AC53" i="5"/>
  <c r="AH49" i="5"/>
  <c r="AB48" i="5"/>
  <c r="AR57" i="5"/>
  <c r="AS54" i="5"/>
  <c r="AH54" i="5"/>
  <c r="AR49" i="5"/>
  <c r="Z48" i="5"/>
  <c r="Z61" i="5"/>
  <c r="AS59" i="5"/>
  <c r="AH59" i="5"/>
  <c r="AR54" i="5"/>
  <c r="Z53" i="5"/>
  <c r="AS51" i="5"/>
  <c r="AH51" i="5"/>
  <c r="X4" i="5"/>
  <c r="X3" i="5"/>
  <c r="AK4" i="5"/>
  <c r="AJ4" i="5"/>
  <c r="AK3" i="5"/>
  <c r="AJ3" i="5"/>
  <c r="AG4" i="5"/>
  <c r="AF4" i="5"/>
  <c r="AG3" i="5"/>
  <c r="AF3" i="5"/>
  <c r="Y4" i="5"/>
  <c r="Y3" i="5"/>
  <c r="U4" i="5"/>
  <c r="T4" i="5"/>
  <c r="U3" i="5"/>
  <c r="T3" i="5"/>
  <c r="Q4" i="5"/>
  <c r="Q3" i="5"/>
  <c r="P4" i="5"/>
  <c r="P3" i="5"/>
  <c r="I4" i="5"/>
  <c r="I3" i="5"/>
  <c r="AD128" i="5" l="1"/>
  <c r="AT133" i="5"/>
  <c r="AP274" i="5"/>
  <c r="AD234" i="5"/>
  <c r="AD274" i="5"/>
  <c r="AP304" i="5"/>
  <c r="AT251" i="5"/>
  <c r="AD310" i="5"/>
  <c r="AT105" i="5"/>
  <c r="AP302" i="5"/>
  <c r="AP294" i="5"/>
  <c r="AP298" i="5"/>
  <c r="M1041" i="5"/>
  <c r="N1041" i="5" s="1"/>
  <c r="M1072" i="5"/>
  <c r="N1072" i="5" s="1"/>
  <c r="M1082" i="5"/>
  <c r="N1082" i="5" s="1"/>
  <c r="M1039" i="5"/>
  <c r="N1039" i="5" s="1"/>
  <c r="M1086" i="5"/>
  <c r="N1086" i="5" s="1"/>
  <c r="M1047" i="5"/>
  <c r="N1047" i="5" s="1"/>
  <c r="M1076" i="5"/>
  <c r="N1076" i="5" s="1"/>
  <c r="M1114" i="5"/>
  <c r="N1114" i="5" s="1"/>
  <c r="M1104" i="5"/>
  <c r="N1104" i="5" s="1"/>
  <c r="M1088" i="5"/>
  <c r="N1088" i="5" s="1"/>
  <c r="M1185" i="5"/>
  <c r="N1185" i="5" s="1"/>
  <c r="M1135" i="5"/>
  <c r="N1135" i="5" s="1"/>
  <c r="M1139" i="5"/>
  <c r="N1139" i="5" s="1"/>
  <c r="M1147" i="5"/>
  <c r="N1147" i="5" s="1"/>
  <c r="M1201" i="5"/>
  <c r="N1201" i="5" s="1"/>
  <c r="M1209" i="5"/>
  <c r="N1209" i="5" s="1"/>
  <c r="M1182" i="5"/>
  <c r="N1182" i="5" s="1"/>
  <c r="M1197" i="5"/>
  <c r="N1197" i="5" s="1"/>
  <c r="M1127" i="5"/>
  <c r="N1127" i="5" s="1"/>
  <c r="M1195" i="5"/>
  <c r="N1195" i="5" s="1"/>
  <c r="M1193" i="5"/>
  <c r="N1193" i="5" s="1"/>
  <c r="M1205" i="5"/>
  <c r="N1205" i="5" s="1"/>
  <c r="M1190" i="5"/>
  <c r="N1190" i="5" s="1"/>
  <c r="M1186" i="5"/>
  <c r="N1186" i="5" s="1"/>
  <c r="M1203" i="5"/>
  <c r="N1203" i="5" s="1"/>
  <c r="M1217" i="5"/>
  <c r="N1217" i="5" s="1"/>
  <c r="M1199" i="5"/>
  <c r="N1199" i="5" s="1"/>
  <c r="M1219" i="5"/>
  <c r="N1219" i="5" s="1"/>
  <c r="M1211" i="5"/>
  <c r="N1211" i="5" s="1"/>
  <c r="M1225" i="5"/>
  <c r="N1225" i="5" s="1"/>
  <c r="M1246" i="5"/>
  <c r="N1246" i="5" s="1"/>
  <c r="M1247" i="5"/>
  <c r="N1247" i="5" s="1"/>
  <c r="M1249" i="5"/>
  <c r="N1249" i="5" s="1"/>
  <c r="M1251" i="5"/>
  <c r="N1251" i="5" s="1"/>
  <c r="M1240" i="5"/>
  <c r="N1240" i="5" s="1"/>
  <c r="M1227" i="5"/>
  <c r="N1227" i="5" s="1"/>
  <c r="M1233" i="5"/>
  <c r="N1233" i="5" s="1"/>
  <c r="M1271" i="5"/>
  <c r="N1271" i="5" s="1"/>
  <c r="M1322" i="5"/>
  <c r="N1322" i="5" s="1"/>
  <c r="M1300" i="5"/>
  <c r="N1300" i="5" s="1"/>
  <c r="M1267" i="5"/>
  <c r="N1267" i="5" s="1"/>
  <c r="M1259" i="5"/>
  <c r="N1259" i="5" s="1"/>
  <c r="M659" i="5"/>
  <c r="N659" i="5" s="1"/>
  <c r="M671" i="5"/>
  <c r="N671" i="5" s="1"/>
  <c r="M643" i="5"/>
  <c r="N643" i="5" s="1"/>
  <c r="M666" i="5"/>
  <c r="N666" i="5" s="1"/>
  <c r="M1241" i="5"/>
  <c r="N1241" i="5" s="1"/>
  <c r="M1278" i="5"/>
  <c r="N1278" i="5" s="1"/>
  <c r="M1288" i="5"/>
  <c r="N1288" i="5" s="1"/>
  <c r="M1310" i="5"/>
  <c r="N1310" i="5" s="1"/>
  <c r="M647" i="5"/>
  <c r="N647" i="5" s="1"/>
  <c r="M675" i="5"/>
  <c r="N675" i="5" s="1"/>
  <c r="M711" i="5"/>
  <c r="N711" i="5" s="1"/>
  <c r="M714" i="5"/>
  <c r="N714" i="5" s="1"/>
  <c r="M713" i="5"/>
  <c r="N713" i="5" s="1"/>
  <c r="M701" i="5"/>
  <c r="N701" i="5" s="1"/>
  <c r="M1281" i="5"/>
  <c r="N1281" i="5" s="1"/>
  <c r="M710" i="5"/>
  <c r="N710" i="5" s="1"/>
  <c r="M722" i="5"/>
  <c r="N722" i="5" s="1"/>
  <c r="M736" i="5"/>
  <c r="N736" i="5" s="1"/>
  <c r="M753" i="5"/>
  <c r="N753" i="5" s="1"/>
  <c r="M768" i="5"/>
  <c r="N768" i="5" s="1"/>
  <c r="M763" i="5"/>
  <c r="N763" i="5" s="1"/>
  <c r="M1304" i="5"/>
  <c r="N1304" i="5" s="1"/>
  <c r="M742" i="5"/>
  <c r="N742" i="5" s="1"/>
  <c r="M746" i="5"/>
  <c r="N746" i="5" s="1"/>
  <c r="M784" i="5"/>
  <c r="N784" i="5" s="1"/>
  <c r="M825" i="5"/>
  <c r="N825" i="5" s="1"/>
  <c r="M837" i="5"/>
  <c r="N837" i="5" s="1"/>
  <c r="M800" i="5"/>
  <c r="N800" i="5" s="1"/>
  <c r="M811" i="5"/>
  <c r="N811" i="5" s="1"/>
  <c r="M852" i="5"/>
  <c r="N852" i="5" s="1"/>
  <c r="M876" i="5"/>
  <c r="N876" i="5" s="1"/>
  <c r="M790" i="5"/>
  <c r="N790" i="5" s="1"/>
  <c r="M813" i="5"/>
  <c r="N813" i="5" s="1"/>
  <c r="M821" i="5"/>
  <c r="N821" i="5" s="1"/>
  <c r="M833" i="5"/>
  <c r="N833" i="5" s="1"/>
  <c r="M841" i="5"/>
  <c r="N841" i="5" s="1"/>
  <c r="M771" i="5"/>
  <c r="N771" i="5" s="1"/>
  <c r="M815" i="5"/>
  <c r="N815" i="5" s="1"/>
  <c r="M817" i="5"/>
  <c r="N817" i="5" s="1"/>
  <c r="M677" i="5"/>
  <c r="N677" i="5" s="1"/>
  <c r="M770" i="5"/>
  <c r="N770" i="5" s="1"/>
  <c r="M782" i="5"/>
  <c r="N782" i="5" s="1"/>
  <c r="M894" i="5"/>
  <c r="N894" i="5" s="1"/>
  <c r="M1275" i="5"/>
  <c r="N1275" i="5" s="1"/>
  <c r="M759" i="5"/>
  <c r="N759" i="5" s="1"/>
  <c r="M831" i="5"/>
  <c r="N831" i="5" s="1"/>
  <c r="M848" i="5"/>
  <c r="N848" i="5" s="1"/>
  <c r="M948" i="5"/>
  <c r="N948" i="5" s="1"/>
  <c r="M868" i="5"/>
  <c r="N868" i="5" s="1"/>
  <c r="M902" i="5"/>
  <c r="N902" i="5" s="1"/>
  <c r="M805" i="5"/>
  <c r="N805" i="5" s="1"/>
  <c r="M809" i="5"/>
  <c r="N809" i="5" s="1"/>
  <c r="M860" i="5"/>
  <c r="N860" i="5" s="1"/>
  <c r="M938" i="5"/>
  <c r="N938" i="5" s="1"/>
  <c r="M957" i="5"/>
  <c r="N957" i="5" s="1"/>
  <c r="M965" i="5"/>
  <c r="N965" i="5" s="1"/>
  <c r="M981" i="5"/>
  <c r="N981" i="5" s="1"/>
  <c r="M986" i="5"/>
  <c r="N986" i="5" s="1"/>
  <c r="M994" i="5"/>
  <c r="N994" i="5" s="1"/>
  <c r="M804" i="5"/>
  <c r="N804" i="5" s="1"/>
  <c r="M942" i="5"/>
  <c r="N942" i="5" s="1"/>
  <c r="M968" i="5"/>
  <c r="N968" i="5" s="1"/>
  <c r="M970" i="5"/>
  <c r="N970" i="5" s="1"/>
  <c r="M984" i="5"/>
  <c r="N984" i="5" s="1"/>
  <c r="M989" i="5"/>
  <c r="N989" i="5" s="1"/>
  <c r="M910" i="5"/>
  <c r="N910" i="5" s="1"/>
  <c r="M996" i="5"/>
  <c r="N996" i="5" s="1"/>
  <c r="M918" i="5"/>
  <c r="N918" i="5" s="1"/>
  <c r="M922" i="5"/>
  <c r="N922" i="5" s="1"/>
  <c r="M952" i="5"/>
  <c r="N952" i="5" s="1"/>
  <c r="M954" i="5"/>
  <c r="N954" i="5" s="1"/>
  <c r="M960" i="5"/>
  <c r="N960" i="5" s="1"/>
  <c r="M962" i="5"/>
  <c r="N962" i="5" s="1"/>
  <c r="M972" i="5"/>
  <c r="N972" i="5" s="1"/>
  <c r="M974" i="5"/>
  <c r="N974" i="5" s="1"/>
  <c r="M926" i="5"/>
  <c r="N926" i="5" s="1"/>
  <c r="M930" i="5"/>
  <c r="N930" i="5" s="1"/>
  <c r="M934" i="5"/>
  <c r="N934" i="5" s="1"/>
  <c r="M992" i="5"/>
  <c r="N992" i="5" s="1"/>
  <c r="M1013" i="5"/>
  <c r="N1013" i="5" s="1"/>
  <c r="M1016" i="5"/>
  <c r="N1016" i="5" s="1"/>
  <c r="M1028" i="5"/>
  <c r="N1028" i="5" s="1"/>
  <c r="M998" i="5"/>
  <c r="N998" i="5" s="1"/>
  <c r="M961" i="5"/>
  <c r="N961" i="5" s="1"/>
  <c r="M1004" i="5"/>
  <c r="N1004" i="5" s="1"/>
  <c r="M1005" i="5"/>
  <c r="N1005" i="5" s="1"/>
  <c r="M1031" i="5"/>
  <c r="N1031" i="5" s="1"/>
  <c r="M997" i="5"/>
  <c r="N997" i="5" s="1"/>
  <c r="M1002" i="5"/>
  <c r="N1002" i="5" s="1"/>
  <c r="M953" i="5"/>
  <c r="N953" i="5" s="1"/>
  <c r="M1027" i="5"/>
  <c r="N1027" i="5" s="1"/>
  <c r="M1032" i="5"/>
  <c r="N1032" i="5" s="1"/>
  <c r="M1000" i="5"/>
  <c r="N1000" i="5" s="1"/>
  <c r="M1001" i="5"/>
  <c r="N1001" i="5" s="1"/>
  <c r="M1014" i="5"/>
  <c r="N1014" i="5" s="1"/>
  <c r="M973" i="5"/>
  <c r="N973" i="5" s="1"/>
  <c r="M1007" i="5"/>
  <c r="N1007" i="5" s="1"/>
  <c r="M1010" i="5"/>
  <c r="N1010" i="5" s="1"/>
  <c r="M881" i="5"/>
  <c r="N881" i="5" s="1"/>
  <c r="M884" i="5"/>
  <c r="N884" i="5" s="1"/>
  <c r="M901" i="5"/>
  <c r="N901" i="5" s="1"/>
  <c r="M788" i="5"/>
  <c r="N788" i="5" s="1"/>
  <c r="M870" i="5"/>
  <c r="N870" i="5" s="1"/>
  <c r="M836" i="5"/>
  <c r="N836" i="5" s="1"/>
  <c r="M893" i="5"/>
  <c r="N893" i="5" s="1"/>
  <c r="M887" i="5"/>
  <c r="N887" i="5" s="1"/>
  <c r="M828" i="5"/>
  <c r="N828" i="5" s="1"/>
  <c r="M723" i="5"/>
  <c r="N723" i="5" s="1"/>
  <c r="M697" i="5"/>
  <c r="N697" i="5" s="1"/>
  <c r="M772" i="5"/>
  <c r="N772" i="5" s="1"/>
  <c r="M686" i="5"/>
  <c r="N686" i="5" s="1"/>
  <c r="M690" i="5"/>
  <c r="N690" i="5" s="1"/>
  <c r="M676" i="5"/>
  <c r="N676" i="5" s="1"/>
  <c r="M646" i="5"/>
  <c r="N646" i="5" s="1"/>
  <c r="M1296" i="5"/>
  <c r="N1296" i="5" s="1"/>
  <c r="M1274" i="5"/>
  <c r="N1274" i="5" s="1"/>
  <c r="M651" i="5"/>
  <c r="N651" i="5" s="1"/>
  <c r="M1237" i="5"/>
  <c r="N1237" i="5" s="1"/>
  <c r="M1234" i="5"/>
  <c r="N1234" i="5" s="1"/>
  <c r="M1260" i="5"/>
  <c r="N1260" i="5" s="1"/>
  <c r="M1272" i="5"/>
  <c r="N1272" i="5" s="1"/>
  <c r="M1177" i="5"/>
  <c r="N1177" i="5" s="1"/>
  <c r="M1122" i="5"/>
  <c r="N1122" i="5" s="1"/>
  <c r="M1181" i="5"/>
  <c r="N1181" i="5" s="1"/>
  <c r="M1218" i="5"/>
  <c r="N1218" i="5" s="1"/>
  <c r="M1183" i="5"/>
  <c r="N1183" i="5" s="1"/>
  <c r="M1100" i="5"/>
  <c r="N1100" i="5" s="1"/>
  <c r="M1188" i="5"/>
  <c r="N1188" i="5" s="1"/>
  <c r="M1119" i="5"/>
  <c r="N1119" i="5" s="1"/>
  <c r="M1165" i="5"/>
  <c r="N1165" i="5" s="1"/>
  <c r="M1167" i="5"/>
  <c r="N1167" i="5" s="1"/>
  <c r="M1202" i="5"/>
  <c r="N1202" i="5" s="1"/>
  <c r="M1125" i="5"/>
  <c r="N1125" i="5" s="1"/>
  <c r="M1105" i="5"/>
  <c r="N1105" i="5" s="1"/>
  <c r="M1069" i="5"/>
  <c r="N1069" i="5" s="1"/>
  <c r="M1306" i="5"/>
  <c r="N1306" i="5" s="1"/>
  <c r="M1298" i="5"/>
  <c r="N1298" i="5" s="1"/>
  <c r="M1290" i="5"/>
  <c r="N1290" i="5" s="1"/>
  <c r="M1282" i="5"/>
  <c r="N1282" i="5" s="1"/>
  <c r="M1253" i="5"/>
  <c r="N1253" i="5" s="1"/>
  <c r="M1156" i="5"/>
  <c r="N1156" i="5" s="1"/>
  <c r="M1220" i="5"/>
  <c r="N1220" i="5" s="1"/>
  <c r="M1168" i="5"/>
  <c r="N1168" i="5" s="1"/>
  <c r="M1164" i="5"/>
  <c r="N1164" i="5" s="1"/>
  <c r="M1154" i="5"/>
  <c r="N1154" i="5" s="1"/>
  <c r="M1098" i="5"/>
  <c r="N1098" i="5" s="1"/>
  <c r="M1089" i="5"/>
  <c r="N1089" i="5" s="1"/>
  <c r="M1062" i="5"/>
  <c r="N1062" i="5" s="1"/>
  <c r="M1063" i="5"/>
  <c r="N1063" i="5" s="1"/>
  <c r="M1060" i="5"/>
  <c r="N1060" i="5" s="1"/>
  <c r="M1034" i="5"/>
  <c r="N1034" i="5" s="1"/>
  <c r="M1021" i="5"/>
  <c r="N1021" i="5" s="1"/>
  <c r="M928" i="5"/>
  <c r="N928" i="5" s="1"/>
  <c r="M955" i="5"/>
  <c r="N955" i="5" s="1"/>
  <c r="M943" i="5"/>
  <c r="N943" i="5" s="1"/>
  <c r="M1024" i="5"/>
  <c r="N1024" i="5" s="1"/>
  <c r="M1023" i="5"/>
  <c r="N1023" i="5" s="1"/>
  <c r="M1011" i="5"/>
  <c r="N1011" i="5" s="1"/>
  <c r="M978" i="5"/>
  <c r="N978" i="5" s="1"/>
  <c r="M827" i="5"/>
  <c r="N827" i="5" s="1"/>
  <c r="M941" i="5"/>
  <c r="N941" i="5" s="1"/>
  <c r="M914" i="5"/>
  <c r="N914" i="5" s="1"/>
  <c r="M823" i="5"/>
  <c r="N823" i="5" s="1"/>
  <c r="M898" i="5"/>
  <c r="N898" i="5" s="1"/>
  <c r="M832" i="5"/>
  <c r="N832" i="5" s="1"/>
  <c r="M847" i="5"/>
  <c r="N847" i="5" s="1"/>
  <c r="M865" i="5"/>
  <c r="N865" i="5" s="1"/>
  <c r="M822" i="5"/>
  <c r="N822" i="5" s="1"/>
  <c r="M858" i="5"/>
  <c r="N858" i="5" s="1"/>
  <c r="M897" i="5"/>
  <c r="N897" i="5" s="1"/>
  <c r="M878" i="5"/>
  <c r="N878" i="5" s="1"/>
  <c r="M806" i="5"/>
  <c r="N806" i="5" s="1"/>
  <c r="M720" i="5"/>
  <c r="N720" i="5" s="1"/>
  <c r="M775" i="5"/>
  <c r="N775" i="5" s="1"/>
  <c r="M750" i="5"/>
  <c r="N750" i="5" s="1"/>
  <c r="M687" i="5"/>
  <c r="N687" i="5" s="1"/>
  <c r="M732" i="5"/>
  <c r="N732" i="5" s="1"/>
  <c r="M779" i="5"/>
  <c r="N779" i="5" s="1"/>
  <c r="M752" i="5"/>
  <c r="M703" i="5"/>
  <c r="N703" i="5" s="1"/>
  <c r="M794" i="5"/>
  <c r="N794" i="5" s="1"/>
  <c r="M717" i="5"/>
  <c r="N717" i="5" s="1"/>
  <c r="M706" i="5"/>
  <c r="N706" i="5" s="1"/>
  <c r="M689" i="5"/>
  <c r="N689" i="5" s="1"/>
  <c r="M725" i="5"/>
  <c r="N725" i="5" s="1"/>
  <c r="M1312" i="5"/>
  <c r="N1312" i="5" s="1"/>
  <c r="M685" i="5"/>
  <c r="N685" i="5" s="1"/>
  <c r="M1313" i="5"/>
  <c r="N1313" i="5" s="1"/>
  <c r="M1256" i="5"/>
  <c r="N1256" i="5" s="1"/>
  <c r="M638" i="5"/>
  <c r="N638" i="5" s="1"/>
  <c r="M1314" i="5"/>
  <c r="N1314" i="5" s="1"/>
  <c r="M654" i="5"/>
  <c r="N654" i="5" s="1"/>
  <c r="M1309" i="5"/>
  <c r="N1309" i="5" s="1"/>
  <c r="M1268" i="5"/>
  <c r="N1268" i="5" s="1"/>
  <c r="M1266" i="5"/>
  <c r="N1266" i="5" s="1"/>
  <c r="M1229" i="5"/>
  <c r="N1229" i="5" s="1"/>
  <c r="M1245" i="5"/>
  <c r="N1245" i="5" s="1"/>
  <c r="M1258" i="5"/>
  <c r="N1258" i="5" s="1"/>
  <c r="M1238" i="5"/>
  <c r="N1238" i="5" s="1"/>
  <c r="M1175" i="5"/>
  <c r="N1175" i="5" s="1"/>
  <c r="M1239" i="5"/>
  <c r="N1239" i="5" s="1"/>
  <c r="M1179" i="5"/>
  <c r="N1179" i="5" s="1"/>
  <c r="M1131" i="5"/>
  <c r="N1131" i="5" s="1"/>
  <c r="M1115" i="5"/>
  <c r="N1115" i="5" s="1"/>
  <c r="M1074" i="5"/>
  <c r="N1074" i="5" s="1"/>
  <c r="M1051" i="5"/>
  <c r="N1051" i="5" s="1"/>
  <c r="M1128" i="5"/>
  <c r="N1128" i="5" s="1"/>
  <c r="M1149" i="5"/>
  <c r="N1149" i="5" s="1"/>
  <c r="M1059" i="5"/>
  <c r="N1059" i="5" s="1"/>
  <c r="M1101" i="5"/>
  <c r="N1101" i="5" s="1"/>
  <c r="M1043" i="5"/>
  <c r="N1043" i="5" s="1"/>
  <c r="M1068" i="5"/>
  <c r="N1068" i="5" s="1"/>
  <c r="M1071" i="5"/>
  <c r="N1071" i="5" s="1"/>
  <c r="M1053" i="5"/>
  <c r="N1053" i="5" s="1"/>
  <c r="M1315" i="5"/>
  <c r="N1315" i="5" s="1"/>
  <c r="M1301" i="5"/>
  <c r="N1301" i="5" s="1"/>
  <c r="M1265" i="5"/>
  <c r="N1265" i="5" s="1"/>
  <c r="M1172" i="5"/>
  <c r="N1172" i="5" s="1"/>
  <c r="M1208" i="5"/>
  <c r="N1208" i="5" s="1"/>
  <c r="M1187" i="5"/>
  <c r="N1187" i="5" s="1"/>
  <c r="M1141" i="5"/>
  <c r="N1141" i="5" s="1"/>
  <c r="M1123" i="5"/>
  <c r="N1123" i="5" s="1"/>
  <c r="M1090" i="5"/>
  <c r="N1090" i="5" s="1"/>
  <c r="M1094" i="5"/>
  <c r="N1094" i="5" s="1"/>
  <c r="M1019" i="5"/>
  <c r="N1019" i="5" s="1"/>
  <c r="M969" i="5"/>
  <c r="N969" i="5" s="1"/>
  <c r="M964" i="5"/>
  <c r="N964" i="5" s="1"/>
  <c r="M958" i="5"/>
  <c r="N958" i="5" s="1"/>
  <c r="M988" i="5"/>
  <c r="N988" i="5" s="1"/>
  <c r="M909" i="5"/>
  <c r="N909" i="5" s="1"/>
  <c r="M925" i="5"/>
  <c r="N925" i="5" s="1"/>
  <c r="M840" i="5"/>
  <c r="N840" i="5" s="1"/>
  <c r="M812" i="5"/>
  <c r="N812" i="5" s="1"/>
  <c r="M906" i="5"/>
  <c r="N906" i="5" s="1"/>
  <c r="M778" i="5"/>
  <c r="N778" i="5" s="1"/>
  <c r="M864" i="5"/>
  <c r="N864" i="5" s="1"/>
  <c r="M810" i="5"/>
  <c r="N810" i="5" s="1"/>
  <c r="M849" i="5"/>
  <c r="N849" i="5" s="1"/>
  <c r="M857" i="5"/>
  <c r="N857" i="5" s="1"/>
  <c r="M819" i="5"/>
  <c r="N819" i="5" s="1"/>
  <c r="M726" i="5"/>
  <c r="N726" i="5" s="1"/>
  <c r="M905" i="5"/>
  <c r="N905" i="5" s="1"/>
  <c r="M844" i="5"/>
  <c r="N844" i="5" s="1"/>
  <c r="M715" i="5"/>
  <c r="N715" i="5" s="1"/>
  <c r="M744" i="5"/>
  <c r="N744" i="5" s="1"/>
  <c r="M729" i="5"/>
  <c r="N729" i="5" s="1"/>
  <c r="M708" i="5"/>
  <c r="N708" i="5" s="1"/>
  <c r="M798" i="5"/>
  <c r="N798" i="5" s="1"/>
  <c r="M691" i="5"/>
  <c r="N691" i="5" s="1"/>
  <c r="M735" i="5"/>
  <c r="N735" i="5" s="1"/>
  <c r="M716" i="5"/>
  <c r="N716" i="5" s="1"/>
  <c r="M696" i="5"/>
  <c r="N696" i="5" s="1"/>
  <c r="M739" i="5"/>
  <c r="N739" i="5" s="1"/>
  <c r="M698" i="5"/>
  <c r="N698" i="5" s="1"/>
  <c r="M655" i="5"/>
  <c r="N655" i="5" s="1"/>
  <c r="M673" i="5"/>
  <c r="N673" i="5" s="1"/>
  <c r="M642" i="5"/>
  <c r="N642" i="5" s="1"/>
  <c r="M1270" i="5"/>
  <c r="N1270" i="5" s="1"/>
  <c r="M1320" i="5"/>
  <c r="N1320" i="5" s="1"/>
  <c r="M1191" i="5"/>
  <c r="N1191" i="5" s="1"/>
  <c r="M1223" i="5"/>
  <c r="N1223" i="5" s="1"/>
  <c r="M1162" i="5"/>
  <c r="N1162" i="5" s="1"/>
  <c r="M1110" i="5"/>
  <c r="N1110" i="5" s="1"/>
  <c r="M1230" i="5"/>
  <c r="N1230" i="5" s="1"/>
  <c r="M1109" i="5"/>
  <c r="N1109" i="5" s="1"/>
  <c r="M1210" i="5"/>
  <c r="N1210" i="5" s="1"/>
  <c r="M1142" i="5"/>
  <c r="N1142" i="5" s="1"/>
  <c r="M1118" i="5"/>
  <c r="N1118" i="5" s="1"/>
  <c r="M1096" i="5"/>
  <c r="N1096" i="5" s="1"/>
  <c r="M1151" i="5"/>
  <c r="N1151" i="5" s="1"/>
  <c r="M1134" i="5"/>
  <c r="N1134" i="5" s="1"/>
  <c r="M1054" i="5"/>
  <c r="N1054" i="5" s="1"/>
  <c r="M1045" i="5"/>
  <c r="N1045" i="5" s="1"/>
  <c r="M1050" i="5"/>
  <c r="N1050" i="5" s="1"/>
  <c r="M1044" i="5"/>
  <c r="N1044" i="5" s="1"/>
  <c r="M1038" i="5"/>
  <c r="N1038" i="5" s="1"/>
  <c r="M1289" i="5"/>
  <c r="N1289" i="5" s="1"/>
  <c r="M1299" i="5"/>
  <c r="N1299" i="5" s="1"/>
  <c r="M1291" i="5"/>
  <c r="N1291" i="5" s="1"/>
  <c r="M1283" i="5"/>
  <c r="N1283" i="5" s="1"/>
  <c r="M1269" i="5"/>
  <c r="N1269" i="5" s="1"/>
  <c r="M946" i="5"/>
  <c r="N946" i="5" s="1"/>
  <c r="M1030" i="5"/>
  <c r="N1030" i="5" s="1"/>
  <c r="M944" i="5"/>
  <c r="N944" i="5" s="1"/>
  <c r="M985" i="5"/>
  <c r="N985" i="5" s="1"/>
  <c r="M982" i="5"/>
  <c r="N982" i="5" s="1"/>
  <c r="M929" i="5"/>
  <c r="N929" i="5" s="1"/>
  <c r="M877" i="5"/>
  <c r="N877" i="5" s="1"/>
  <c r="M802" i="5"/>
  <c r="N802" i="5" s="1"/>
  <c r="M829" i="5"/>
  <c r="N829" i="5" s="1"/>
  <c r="M756" i="5"/>
  <c r="N756" i="5" s="1"/>
  <c r="M843" i="5"/>
  <c r="N843" i="5" s="1"/>
  <c r="M830" i="5"/>
  <c r="N830" i="5" s="1"/>
  <c r="M856" i="5"/>
  <c r="N856" i="5" s="1"/>
  <c r="M886" i="5"/>
  <c r="N886" i="5" s="1"/>
  <c r="M816" i="5"/>
  <c r="N816" i="5" s="1"/>
  <c r="M786" i="5"/>
  <c r="N786" i="5" s="1"/>
  <c r="M818" i="5"/>
  <c r="N818" i="5" s="1"/>
  <c r="M866" i="5"/>
  <c r="N866" i="5" s="1"/>
  <c r="M845" i="5"/>
  <c r="N845" i="5" s="1"/>
  <c r="M796" i="5"/>
  <c r="N796" i="5" s="1"/>
  <c r="M787" i="5"/>
  <c r="N787" i="5" s="1"/>
  <c r="M913" i="5"/>
  <c r="N913" i="5" s="1"/>
  <c r="M853" i="5"/>
  <c r="N853" i="5" s="1"/>
  <c r="M842" i="5"/>
  <c r="N842" i="5" s="1"/>
  <c r="M776" i="5"/>
  <c r="N776" i="5" s="1"/>
  <c r="M764" i="5"/>
  <c r="N764" i="5" s="1"/>
  <c r="M683" i="5"/>
  <c r="N683" i="5" s="1"/>
  <c r="M774" i="5"/>
  <c r="N774" i="5" s="1"/>
  <c r="M727" i="5"/>
  <c r="N727" i="5" s="1"/>
  <c r="M767" i="5"/>
  <c r="N767" i="5" s="1"/>
  <c r="M679" i="5"/>
  <c r="N679" i="5" s="1"/>
  <c r="M672" i="5"/>
  <c r="N672" i="5" s="1"/>
  <c r="M1292" i="5"/>
  <c r="N1292" i="5" s="1"/>
  <c r="M1254" i="5"/>
  <c r="N1254" i="5" s="1"/>
  <c r="M634" i="5"/>
  <c r="N634" i="5" s="1"/>
  <c r="M1235" i="5"/>
  <c r="N1235" i="5" s="1"/>
  <c r="M1213" i="5"/>
  <c r="N1213" i="5" s="1"/>
  <c r="M1207" i="5"/>
  <c r="N1207" i="5" s="1"/>
  <c r="M1178" i="5"/>
  <c r="N1178" i="5" s="1"/>
  <c r="M1174" i="5"/>
  <c r="N1174" i="5" s="1"/>
  <c r="M1144" i="5"/>
  <c r="N1144" i="5" s="1"/>
  <c r="M1058" i="5"/>
  <c r="N1058" i="5" s="1"/>
  <c r="M1311" i="5"/>
  <c r="N1311" i="5" s="1"/>
  <c r="M1257" i="5"/>
  <c r="N1257" i="5" s="1"/>
  <c r="M1244" i="5"/>
  <c r="N1244" i="5" s="1"/>
  <c r="M1216" i="5"/>
  <c r="N1216" i="5" s="1"/>
  <c r="M1180" i="5"/>
  <c r="N1180" i="5" s="1"/>
  <c r="M1158" i="5"/>
  <c r="N1158" i="5" s="1"/>
  <c r="M1132" i="5"/>
  <c r="N1132" i="5" s="1"/>
  <c r="M1095" i="5"/>
  <c r="N1095" i="5" s="1"/>
  <c r="M1083" i="5"/>
  <c r="N1083" i="5" s="1"/>
  <c r="M1073" i="5"/>
  <c r="N1073" i="5" s="1"/>
  <c r="M1064" i="5"/>
  <c r="N1064" i="5" s="1"/>
  <c r="M1017" i="5"/>
  <c r="N1017" i="5" s="1"/>
  <c r="M1006" i="5"/>
  <c r="N1006" i="5" s="1"/>
  <c r="M1008" i="5"/>
  <c r="N1008" i="5" s="1"/>
  <c r="M1009" i="5"/>
  <c r="N1009" i="5" s="1"/>
  <c r="M990" i="5"/>
  <c r="N990" i="5" s="1"/>
  <c r="M950" i="5"/>
  <c r="N950" i="5" s="1"/>
  <c r="M933" i="5"/>
  <c r="N933" i="5" s="1"/>
  <c r="M801" i="5"/>
  <c r="N801" i="5" s="1"/>
  <c r="M921" i="5"/>
  <c r="N921" i="5" s="1"/>
  <c r="M940" i="5"/>
  <c r="N940" i="5" s="1"/>
  <c r="M882" i="5"/>
  <c r="N882" i="5" s="1"/>
  <c r="M862" i="5"/>
  <c r="N862" i="5" s="1"/>
  <c r="M883" i="5"/>
  <c r="N883" i="5" s="1"/>
  <c r="M755" i="5"/>
  <c r="N755" i="5" s="1"/>
  <c r="M758" i="5"/>
  <c r="N758" i="5" s="1"/>
  <c r="M748" i="5"/>
  <c r="N748" i="5" s="1"/>
  <c r="M724" i="5"/>
  <c r="N724" i="5" s="1"/>
  <c r="M695" i="5"/>
  <c r="N695" i="5" s="1"/>
  <c r="M719" i="5"/>
  <c r="N719" i="5" s="1"/>
  <c r="M681" i="5"/>
  <c r="N681" i="5" s="1"/>
  <c r="M1279" i="5"/>
  <c r="N1279" i="5" s="1"/>
  <c r="M738" i="5"/>
  <c r="N738" i="5" s="1"/>
  <c r="M1308" i="5"/>
  <c r="N1308" i="5" s="1"/>
  <c r="M662" i="5"/>
  <c r="N662" i="5" s="1"/>
  <c r="M1264" i="5"/>
  <c r="N1264" i="5" s="1"/>
  <c r="M680" i="5"/>
  <c r="N680" i="5" s="1"/>
  <c r="M1243" i="5"/>
  <c r="N1243" i="5" s="1"/>
  <c r="M1242" i="5"/>
  <c r="N1242" i="5" s="1"/>
  <c r="M1206" i="5"/>
  <c r="N1206" i="5" s="1"/>
  <c r="M1159" i="5"/>
  <c r="N1159" i="5" s="1"/>
  <c r="M1107" i="5"/>
  <c r="N1107" i="5" s="1"/>
  <c r="M1248" i="5"/>
  <c r="N1248" i="5" s="1"/>
  <c r="M1184" i="5"/>
  <c r="N1184" i="5" s="1"/>
  <c r="M1085" i="5"/>
  <c r="N1085" i="5" s="1"/>
  <c r="M1121" i="5"/>
  <c r="N1121" i="5" s="1"/>
  <c r="M1171" i="5"/>
  <c r="N1171" i="5" s="1"/>
  <c r="M1150" i="5"/>
  <c r="N1150" i="5" s="1"/>
  <c r="M1084" i="5"/>
  <c r="N1084" i="5" s="1"/>
  <c r="M1146" i="5"/>
  <c r="N1146" i="5" s="1"/>
  <c r="M1037" i="5"/>
  <c r="N1037" i="5" s="1"/>
  <c r="M1077" i="5"/>
  <c r="N1077" i="5" s="1"/>
  <c r="M1067" i="5"/>
  <c r="N1067" i="5" s="1"/>
  <c r="M1079" i="5"/>
  <c r="N1079" i="5" s="1"/>
  <c r="M1099" i="5"/>
  <c r="N1099" i="5" s="1"/>
  <c r="M1040" i="5"/>
  <c r="N1040" i="5" s="1"/>
  <c r="M1035" i="5"/>
  <c r="N1035" i="5" s="1"/>
  <c r="M1318" i="5"/>
  <c r="N1318" i="5" s="1"/>
  <c r="M1297" i="5"/>
  <c r="N1297" i="5" s="1"/>
  <c r="M1302" i="5"/>
  <c r="N1302" i="5" s="1"/>
  <c r="M1294" i="5"/>
  <c r="N1294" i="5" s="1"/>
  <c r="M1286" i="5"/>
  <c r="N1286" i="5" s="1"/>
  <c r="M1277" i="5"/>
  <c r="N1277" i="5" s="1"/>
  <c r="M1250" i="5"/>
  <c r="N1250" i="5" s="1"/>
  <c r="M1204" i="5"/>
  <c r="N1204" i="5" s="1"/>
  <c r="M1160" i="5"/>
  <c r="N1160" i="5" s="1"/>
  <c r="M1133" i="5"/>
  <c r="N1133" i="5" s="1"/>
  <c r="M1108" i="5"/>
  <c r="N1108" i="5" s="1"/>
  <c r="M1080" i="5"/>
  <c r="N1080" i="5" s="1"/>
  <c r="M936" i="5"/>
  <c r="N936" i="5" s="1"/>
  <c r="M971" i="5"/>
  <c r="N971" i="5" s="1"/>
  <c r="M924" i="5"/>
  <c r="N924" i="5" s="1"/>
  <c r="M1022" i="5"/>
  <c r="N1022" i="5" s="1"/>
  <c r="M980" i="5"/>
  <c r="N980" i="5" s="1"/>
  <c r="M869" i="5"/>
  <c r="N869" i="5" s="1"/>
  <c r="M780" i="5"/>
  <c r="N780" i="5" s="1"/>
  <c r="M850" i="5"/>
  <c r="N850" i="5" s="1"/>
  <c r="M874" i="5"/>
  <c r="N874" i="5" s="1"/>
  <c r="M743" i="5"/>
  <c r="N743" i="5" s="1"/>
  <c r="M734" i="5"/>
  <c r="N734" i="5" s="1"/>
  <c r="M702" i="5"/>
  <c r="N702" i="5" s="1"/>
  <c r="M682" i="5"/>
  <c r="N682" i="5" s="1"/>
  <c r="M721" i="5"/>
  <c r="N721" i="5" s="1"/>
  <c r="M700" i="5"/>
  <c r="N700" i="5" s="1"/>
  <c r="M1319" i="5"/>
  <c r="N1319" i="5" s="1"/>
  <c r="M694" i="5"/>
  <c r="N694" i="5" s="1"/>
  <c r="M688" i="5"/>
  <c r="N688" i="5" s="1"/>
  <c r="M1284" i="5"/>
  <c r="N1284" i="5" s="1"/>
  <c r="M1276" i="5"/>
  <c r="N1276" i="5" s="1"/>
  <c r="M1221" i="5"/>
  <c r="N1221" i="5" s="1"/>
  <c r="M1215" i="5"/>
  <c r="N1215" i="5" s="1"/>
  <c r="M1252" i="5"/>
  <c r="N1252" i="5" s="1"/>
  <c r="M1120" i="5"/>
  <c r="N1120" i="5" s="1"/>
  <c r="M1231" i="5"/>
  <c r="N1231" i="5" s="1"/>
  <c r="M1153" i="5"/>
  <c r="N1153" i="5" s="1"/>
  <c r="M1214" i="5"/>
  <c r="N1214" i="5" s="1"/>
  <c r="M1157" i="5"/>
  <c r="N1157" i="5" s="1"/>
  <c r="M1092" i="5"/>
  <c r="N1092" i="5" s="1"/>
  <c r="M1198" i="5"/>
  <c r="N1198" i="5" s="1"/>
  <c r="M1124" i="5"/>
  <c r="N1124" i="5" s="1"/>
  <c r="M1138" i="5"/>
  <c r="N1138" i="5" s="1"/>
  <c r="M1116" i="5"/>
  <c r="N1116" i="5" s="1"/>
  <c r="M1170" i="5"/>
  <c r="N1170" i="5" s="1"/>
  <c r="M1055" i="5"/>
  <c r="N1055" i="5" s="1"/>
  <c r="M1042" i="5"/>
  <c r="N1042" i="5" s="1"/>
  <c r="M1070" i="5"/>
  <c r="N1070" i="5" s="1"/>
  <c r="M1066" i="5"/>
  <c r="N1066" i="5" s="1"/>
  <c r="M1303" i="5"/>
  <c r="N1303" i="5" s="1"/>
  <c r="M1285" i="5"/>
  <c r="N1285" i="5" s="1"/>
  <c r="M1236" i="5"/>
  <c r="N1236" i="5" s="1"/>
  <c r="M1224" i="5"/>
  <c r="N1224" i="5" s="1"/>
  <c r="M1192" i="5"/>
  <c r="N1192" i="5" s="1"/>
  <c r="M1145" i="5"/>
  <c r="N1145" i="5" s="1"/>
  <c r="M1091" i="5"/>
  <c r="N1091" i="5" s="1"/>
  <c r="M1097" i="5"/>
  <c r="N1097" i="5" s="1"/>
  <c r="M1065" i="5"/>
  <c r="N1065" i="5" s="1"/>
  <c r="M1020" i="5"/>
  <c r="N1020" i="5" s="1"/>
  <c r="M966" i="5"/>
  <c r="N966" i="5" s="1"/>
  <c r="M949" i="5"/>
  <c r="N949" i="5" s="1"/>
  <c r="M1018" i="5"/>
  <c r="N1018" i="5" s="1"/>
  <c r="M977" i="5"/>
  <c r="N977" i="5" s="1"/>
  <c r="M1015" i="5"/>
  <c r="N1015" i="5" s="1"/>
  <c r="M917" i="5"/>
  <c r="N917" i="5" s="1"/>
  <c r="M937" i="5"/>
  <c r="N937" i="5" s="1"/>
  <c r="M820" i="5"/>
  <c r="N820" i="5" s="1"/>
  <c r="M861" i="5"/>
  <c r="N861" i="5" s="1"/>
  <c r="M792" i="5"/>
  <c r="N792" i="5" s="1"/>
  <c r="M766" i="5"/>
  <c r="N766" i="5" s="1"/>
  <c r="M872" i="5"/>
  <c r="N872" i="5" s="1"/>
  <c r="M824" i="5"/>
  <c r="N824" i="5" s="1"/>
  <c r="M873" i="5"/>
  <c r="N873" i="5" s="1"/>
  <c r="M835" i="5"/>
  <c r="N835" i="5" s="1"/>
  <c r="M793" i="5"/>
  <c r="N793" i="5" s="1"/>
  <c r="M814" i="5"/>
  <c r="N814" i="5" s="1"/>
  <c r="M890" i="5"/>
  <c r="N890" i="5" s="1"/>
  <c r="M839" i="5"/>
  <c r="N839" i="5" s="1"/>
  <c r="M712" i="5"/>
  <c r="N712" i="5" s="1"/>
  <c r="M749" i="5"/>
  <c r="N749" i="5" s="1"/>
  <c r="M693" i="5"/>
  <c r="N693" i="5" s="1"/>
  <c r="M760" i="5"/>
  <c r="N760" i="5" s="1"/>
  <c r="M731" i="5"/>
  <c r="N731" i="5" s="1"/>
  <c r="M692" i="5"/>
  <c r="N692" i="5" s="1"/>
  <c r="M1263" i="5"/>
  <c r="N1263" i="5" s="1"/>
  <c r="M1307" i="5"/>
  <c r="N1307" i="5" s="1"/>
  <c r="M1317" i="5"/>
  <c r="N1317" i="5" s="1"/>
  <c r="M1280" i="5"/>
  <c r="N1280" i="5" s="1"/>
  <c r="M1173" i="5"/>
  <c r="N1173" i="5" s="1"/>
  <c r="M1161" i="5"/>
  <c r="N1161" i="5" s="1"/>
  <c r="M1226" i="5"/>
  <c r="N1226" i="5" s="1"/>
  <c r="M1163" i="5"/>
  <c r="N1163" i="5" s="1"/>
  <c r="M1106" i="5"/>
  <c r="N1106" i="5" s="1"/>
  <c r="M1169" i="5"/>
  <c r="N1169" i="5" s="1"/>
  <c r="M1130" i="5"/>
  <c r="N1130" i="5" s="1"/>
  <c r="M1194" i="5"/>
  <c r="N1194" i="5" s="1"/>
  <c r="M1056" i="5"/>
  <c r="N1056" i="5" s="1"/>
  <c r="M1078" i="5"/>
  <c r="N1078" i="5" s="1"/>
  <c r="M1046" i="5"/>
  <c r="N1046" i="5" s="1"/>
  <c r="M1295" i="5"/>
  <c r="N1295" i="5" s="1"/>
  <c r="M1287" i="5"/>
  <c r="N1287" i="5" s="1"/>
  <c r="M1261" i="5"/>
  <c r="N1261" i="5" s="1"/>
  <c r="M1212" i="5"/>
  <c r="N1212" i="5" s="1"/>
  <c r="M1137" i="5"/>
  <c r="N1137" i="5" s="1"/>
  <c r="M1111" i="5"/>
  <c r="N1111" i="5" s="1"/>
  <c r="M1102" i="5"/>
  <c r="N1102" i="5" s="1"/>
  <c r="M1081" i="5"/>
  <c r="N1081" i="5" s="1"/>
  <c r="M999" i="5"/>
  <c r="N999" i="5" s="1"/>
  <c r="M976" i="5"/>
  <c r="N976" i="5" s="1"/>
  <c r="M1026" i="5"/>
  <c r="N1026" i="5" s="1"/>
  <c r="M993" i="5"/>
  <c r="N993" i="5" s="1"/>
  <c r="M956" i="5"/>
  <c r="N956" i="5" s="1"/>
  <c r="M797" i="5"/>
  <c r="N797" i="5" s="1"/>
  <c r="M846" i="5"/>
  <c r="N846" i="5" s="1"/>
  <c r="M826" i="5"/>
  <c r="N826" i="5" s="1"/>
  <c r="M854" i="5"/>
  <c r="N854" i="5" s="1"/>
  <c r="M740" i="5"/>
  <c r="N740" i="5" s="1"/>
  <c r="M834" i="5"/>
  <c r="N834" i="5" s="1"/>
  <c r="M879" i="5"/>
  <c r="N879" i="5" s="1"/>
  <c r="M699" i="5"/>
  <c r="N699" i="5" s="1"/>
  <c r="M718" i="5"/>
  <c r="N718" i="5" s="1"/>
  <c r="M762" i="5"/>
  <c r="N762" i="5" s="1"/>
  <c r="M709" i="5"/>
  <c r="N709" i="5" s="1"/>
  <c r="M1316" i="5"/>
  <c r="N1316" i="5" s="1"/>
  <c r="M684" i="5"/>
  <c r="N684" i="5" s="1"/>
  <c r="M658" i="5"/>
  <c r="N658" i="5" s="1"/>
  <c r="M1262" i="5"/>
  <c r="N1262" i="5" s="1"/>
  <c r="M650" i="5"/>
  <c r="N650" i="5" s="1"/>
  <c r="M1323" i="5"/>
  <c r="N1323" i="5" s="1"/>
  <c r="M1321" i="5"/>
  <c r="N1321" i="5" s="1"/>
  <c r="M1255" i="5"/>
  <c r="N1255" i="5" s="1"/>
  <c r="M1273" i="5"/>
  <c r="N1273" i="5" s="1"/>
  <c r="M1143" i="5"/>
  <c r="N1143" i="5" s="1"/>
  <c r="M1222" i="5"/>
  <c r="N1222" i="5" s="1"/>
  <c r="M1126" i="5"/>
  <c r="N1126" i="5" s="1"/>
  <c r="M1166" i="5"/>
  <c r="N1166" i="5" s="1"/>
  <c r="M1112" i="5"/>
  <c r="N1112" i="5" s="1"/>
  <c r="M1155" i="5"/>
  <c r="N1155" i="5" s="1"/>
  <c r="M1061" i="5"/>
  <c r="N1061" i="5" s="1"/>
  <c r="M1113" i="5"/>
  <c r="N1113" i="5" s="1"/>
  <c r="M1048" i="5"/>
  <c r="N1048" i="5" s="1"/>
  <c r="M1103" i="5"/>
  <c r="N1103" i="5" s="1"/>
  <c r="M1052" i="5"/>
  <c r="N1052" i="5" s="1"/>
  <c r="M1057" i="5"/>
  <c r="N1057" i="5" s="1"/>
  <c r="M1049" i="5"/>
  <c r="N1049" i="5" s="1"/>
  <c r="M1087" i="5"/>
  <c r="N1087" i="5" s="1"/>
  <c r="M1305" i="5"/>
  <c r="N1305" i="5" s="1"/>
  <c r="M1293" i="5"/>
  <c r="N1293" i="5" s="1"/>
  <c r="M1232" i="5"/>
  <c r="N1232" i="5" s="1"/>
  <c r="M1200" i="5"/>
  <c r="N1200" i="5" s="1"/>
  <c r="M1189" i="5"/>
  <c r="N1189" i="5" s="1"/>
  <c r="M1176" i="5"/>
  <c r="N1176" i="5" s="1"/>
  <c r="M1140" i="5"/>
  <c r="N1140" i="5" s="1"/>
  <c r="M1152" i="5"/>
  <c r="N1152" i="5" s="1"/>
  <c r="M1136" i="5"/>
  <c r="N1136" i="5" s="1"/>
  <c r="M1117" i="5"/>
  <c r="N1117" i="5" s="1"/>
  <c r="M995" i="5"/>
  <c r="N995" i="5" s="1"/>
  <c r="M967" i="5"/>
  <c r="N967" i="5" s="1"/>
  <c r="M939" i="5"/>
  <c r="N939" i="5" s="1"/>
  <c r="M915" i="5"/>
  <c r="N915" i="5" s="1"/>
  <c r="M1093" i="5"/>
  <c r="N1093" i="5" s="1"/>
  <c r="M1025" i="5"/>
  <c r="N1025" i="5" s="1"/>
  <c r="M963" i="5"/>
  <c r="N963" i="5" s="1"/>
  <c r="M951" i="5"/>
  <c r="N951" i="5" s="1"/>
  <c r="M927" i="5"/>
  <c r="N927" i="5" s="1"/>
  <c r="M880" i="5"/>
  <c r="N880" i="5" s="1"/>
  <c r="M851" i="5"/>
  <c r="N851" i="5" s="1"/>
  <c r="M867" i="5"/>
  <c r="N867" i="5" s="1"/>
  <c r="M871" i="5"/>
  <c r="N871" i="5" s="1"/>
  <c r="M885" i="5"/>
  <c r="N885" i="5" s="1"/>
  <c r="M875" i="5"/>
  <c r="N875" i="5" s="1"/>
  <c r="M791" i="5"/>
  <c r="N791" i="5" s="1"/>
  <c r="M777" i="5"/>
  <c r="N777" i="5" s="1"/>
  <c r="M754" i="5"/>
  <c r="N754" i="5" s="1"/>
  <c r="M747" i="5"/>
  <c r="N747" i="5" s="1"/>
  <c r="M641" i="5"/>
  <c r="N641" i="5" s="1"/>
  <c r="M661" i="5"/>
  <c r="N661" i="5" s="1"/>
  <c r="M668" i="5"/>
  <c r="N668" i="5" s="1"/>
  <c r="M648" i="5"/>
  <c r="N648" i="5" s="1"/>
  <c r="M1036" i="5"/>
  <c r="N1036" i="5" s="1"/>
  <c r="M1033" i="5"/>
  <c r="N1033" i="5" s="1"/>
  <c r="M991" i="5"/>
  <c r="N991" i="5" s="1"/>
  <c r="M975" i="5"/>
  <c r="N975" i="5" s="1"/>
  <c r="M903" i="5"/>
  <c r="N903" i="5" s="1"/>
  <c r="M789" i="5"/>
  <c r="N789" i="5" s="1"/>
  <c r="M765" i="5"/>
  <c r="N765" i="5" s="1"/>
  <c r="M707" i="5"/>
  <c r="N707" i="5" s="1"/>
  <c r="M669" i="5"/>
  <c r="N669" i="5" s="1"/>
  <c r="M637" i="5"/>
  <c r="N637" i="5" s="1"/>
  <c r="M636" i="5"/>
  <c r="N636" i="5" s="1"/>
  <c r="M891" i="5"/>
  <c r="N891" i="5" s="1"/>
  <c r="M920" i="5"/>
  <c r="N920" i="5" s="1"/>
  <c r="M912" i="5"/>
  <c r="N912" i="5" s="1"/>
  <c r="M904" i="5"/>
  <c r="N904" i="5" s="1"/>
  <c r="M896" i="5"/>
  <c r="N896" i="5" s="1"/>
  <c r="M888" i="5"/>
  <c r="N888" i="5" s="1"/>
  <c r="M859" i="5"/>
  <c r="N859" i="5" s="1"/>
  <c r="M783" i="5"/>
  <c r="N783" i="5" s="1"/>
  <c r="M674" i="5"/>
  <c r="N674" i="5" s="1"/>
  <c r="M665" i="5"/>
  <c r="N665" i="5" s="1"/>
  <c r="M645" i="5"/>
  <c r="N645" i="5" s="1"/>
  <c r="M667" i="5"/>
  <c r="N667" i="5" s="1"/>
  <c r="M656" i="5"/>
  <c r="N656" i="5" s="1"/>
  <c r="M935" i="5"/>
  <c r="N935" i="5" s="1"/>
  <c r="M932" i="5"/>
  <c r="N932" i="5" s="1"/>
  <c r="M945" i="5"/>
  <c r="N945" i="5" s="1"/>
  <c r="M983" i="5"/>
  <c r="N983" i="5" s="1"/>
  <c r="M959" i="5"/>
  <c r="N959" i="5" s="1"/>
  <c r="M947" i="5"/>
  <c r="N947" i="5" s="1"/>
  <c r="M923" i="5"/>
  <c r="N923" i="5" s="1"/>
  <c r="M911" i="5"/>
  <c r="N911" i="5" s="1"/>
  <c r="M838" i="5"/>
  <c r="N838" i="5" s="1"/>
  <c r="M733" i="5"/>
  <c r="N733" i="5" s="1"/>
  <c r="M773" i="5"/>
  <c r="N773" i="5" s="1"/>
  <c r="M1148" i="5"/>
  <c r="N1148" i="5" s="1"/>
  <c r="M899" i="5"/>
  <c r="N899" i="5" s="1"/>
  <c r="M863" i="5"/>
  <c r="N863" i="5" s="1"/>
  <c r="M781" i="5"/>
  <c r="N781" i="5" s="1"/>
  <c r="M761" i="5"/>
  <c r="N761" i="5" s="1"/>
  <c r="M737" i="5"/>
  <c r="N737" i="5" s="1"/>
  <c r="M751" i="5"/>
  <c r="N751" i="5" s="1"/>
  <c r="M728" i="5"/>
  <c r="N728" i="5" s="1"/>
  <c r="M653" i="5"/>
  <c r="N653" i="5" s="1"/>
  <c r="M635" i="5"/>
  <c r="N635" i="5" s="1"/>
  <c r="M664" i="5"/>
  <c r="N664" i="5" s="1"/>
  <c r="M644" i="5"/>
  <c r="N644" i="5" s="1"/>
  <c r="M632" i="5"/>
  <c r="N632" i="5" s="1"/>
  <c r="M1228" i="5"/>
  <c r="N1228" i="5" s="1"/>
  <c r="M1075" i="5"/>
  <c r="N1075" i="5" s="1"/>
  <c r="M1029" i="5"/>
  <c r="N1029" i="5" s="1"/>
  <c r="M931" i="5"/>
  <c r="N931" i="5" s="1"/>
  <c r="M889" i="5"/>
  <c r="N889" i="5" s="1"/>
  <c r="M803" i="5"/>
  <c r="N803" i="5" s="1"/>
  <c r="M785" i="5"/>
  <c r="N785" i="5" s="1"/>
  <c r="M808" i="5"/>
  <c r="N808" i="5" s="1"/>
  <c r="M730" i="5"/>
  <c r="N730" i="5" s="1"/>
  <c r="M741" i="5"/>
  <c r="N741" i="5" s="1"/>
  <c r="M705" i="5"/>
  <c r="N705" i="5" s="1"/>
  <c r="M704" i="5"/>
  <c r="N704" i="5" s="1"/>
  <c r="M670" i="5"/>
  <c r="N670" i="5" s="1"/>
  <c r="M633" i="5"/>
  <c r="N633" i="5" s="1"/>
  <c r="M663" i="5"/>
  <c r="N663" i="5" s="1"/>
  <c r="M652" i="5"/>
  <c r="N652" i="5" s="1"/>
  <c r="M1196" i="5"/>
  <c r="N1196" i="5" s="1"/>
  <c r="M1012" i="5"/>
  <c r="N1012" i="5" s="1"/>
  <c r="M987" i="5"/>
  <c r="N987" i="5" s="1"/>
  <c r="M979" i="5"/>
  <c r="N979" i="5" s="1"/>
  <c r="M919" i="5"/>
  <c r="N919" i="5" s="1"/>
  <c r="M907" i="5"/>
  <c r="N907" i="5" s="1"/>
  <c r="M916" i="5"/>
  <c r="N916" i="5" s="1"/>
  <c r="M908" i="5"/>
  <c r="N908" i="5" s="1"/>
  <c r="M900" i="5"/>
  <c r="N900" i="5" s="1"/>
  <c r="M892" i="5"/>
  <c r="N892" i="5" s="1"/>
  <c r="M795" i="5"/>
  <c r="N795" i="5" s="1"/>
  <c r="M807" i="5"/>
  <c r="N807" i="5" s="1"/>
  <c r="M769" i="5"/>
  <c r="N769" i="5" s="1"/>
  <c r="M640" i="5"/>
  <c r="N640" i="5" s="1"/>
  <c r="M1129" i="5"/>
  <c r="N1129" i="5" s="1"/>
  <c r="M1003" i="5"/>
  <c r="N1003" i="5" s="1"/>
  <c r="M895" i="5"/>
  <c r="N895" i="5" s="1"/>
  <c r="M855" i="5"/>
  <c r="N855" i="5" s="1"/>
  <c r="M799" i="5"/>
  <c r="N799" i="5" s="1"/>
  <c r="M757" i="5"/>
  <c r="N757" i="5" s="1"/>
  <c r="M745" i="5"/>
  <c r="N745" i="5" s="1"/>
  <c r="M678" i="5"/>
  <c r="N678" i="5" s="1"/>
  <c r="M649" i="5"/>
  <c r="N649" i="5" s="1"/>
  <c r="M657" i="5"/>
  <c r="N657" i="5" s="1"/>
  <c r="M639" i="5"/>
  <c r="N639" i="5" s="1"/>
  <c r="M660" i="5"/>
  <c r="N660" i="5" s="1"/>
  <c r="N752" i="5"/>
  <c r="M301" i="5"/>
  <c r="N301" i="5" s="1"/>
  <c r="M336" i="5"/>
  <c r="N336" i="5" s="1"/>
  <c r="M344" i="5"/>
  <c r="N344" i="5" s="1"/>
  <c r="M357" i="5"/>
  <c r="N357" i="5" s="1"/>
  <c r="M372" i="5"/>
  <c r="N372" i="5" s="1"/>
  <c r="M348" i="5"/>
  <c r="N348" i="5" s="1"/>
  <c r="M393" i="5"/>
  <c r="N393" i="5" s="1"/>
  <c r="M401" i="5"/>
  <c r="N401" i="5" s="1"/>
  <c r="M360" i="5"/>
  <c r="N360" i="5" s="1"/>
  <c r="M436" i="5"/>
  <c r="N436" i="5" s="1"/>
  <c r="M388" i="5"/>
  <c r="N388" i="5" s="1"/>
  <c r="M441" i="5"/>
  <c r="N441" i="5" s="1"/>
  <c r="M452" i="5"/>
  <c r="N452" i="5" s="1"/>
  <c r="M485" i="5"/>
  <c r="N485" i="5" s="1"/>
  <c r="M396" i="5"/>
  <c r="N396" i="5" s="1"/>
  <c r="M453" i="5"/>
  <c r="N453" i="5" s="1"/>
  <c r="M459" i="5"/>
  <c r="N459" i="5" s="1"/>
  <c r="M468" i="5"/>
  <c r="N468" i="5" s="1"/>
  <c r="M469" i="5"/>
  <c r="N469" i="5" s="1"/>
  <c r="M478" i="5"/>
  <c r="N478" i="5" s="1"/>
  <c r="M400" i="5"/>
  <c r="N400" i="5" s="1"/>
  <c r="M460" i="5"/>
  <c r="N460" i="5" s="1"/>
  <c r="M472" i="5"/>
  <c r="N472" i="5" s="1"/>
  <c r="M473" i="5"/>
  <c r="N473" i="5" s="1"/>
  <c r="M479" i="5"/>
  <c r="N479" i="5" s="1"/>
  <c r="M433" i="5"/>
  <c r="N433" i="5" s="1"/>
  <c r="M461" i="5"/>
  <c r="N461" i="5" s="1"/>
  <c r="M482" i="5"/>
  <c r="N482" i="5" s="1"/>
  <c r="M483" i="5"/>
  <c r="N483" i="5" s="1"/>
  <c r="M440" i="5"/>
  <c r="N440" i="5" s="1"/>
  <c r="M457" i="5"/>
  <c r="N457" i="5" s="1"/>
  <c r="M476" i="5"/>
  <c r="N476" i="5" s="1"/>
  <c r="M513" i="5"/>
  <c r="N513" i="5" s="1"/>
  <c r="M486" i="5"/>
  <c r="N486" i="5" s="1"/>
  <c r="M509" i="5"/>
  <c r="N509" i="5" s="1"/>
  <c r="M533" i="5"/>
  <c r="N533" i="5" s="1"/>
  <c r="M508" i="5"/>
  <c r="N508" i="5" s="1"/>
  <c r="M546" i="5"/>
  <c r="N546" i="5" s="1"/>
  <c r="M389" i="5"/>
  <c r="N389" i="5" s="1"/>
  <c r="M392" i="5"/>
  <c r="N392" i="5" s="1"/>
  <c r="M477" i="5"/>
  <c r="N477" i="5" s="1"/>
  <c r="M494" i="5"/>
  <c r="N494" i="5" s="1"/>
  <c r="M535" i="5"/>
  <c r="N535" i="5" s="1"/>
  <c r="M504" i="5"/>
  <c r="N504" i="5" s="1"/>
  <c r="M551" i="5"/>
  <c r="N551" i="5" s="1"/>
  <c r="M534" i="5"/>
  <c r="N534" i="5" s="1"/>
  <c r="M555" i="5"/>
  <c r="N555" i="5" s="1"/>
  <c r="M584" i="5"/>
  <c r="N584" i="5" s="1"/>
  <c r="M542" i="5"/>
  <c r="N542" i="5" s="1"/>
  <c r="M566" i="5"/>
  <c r="N566" i="5" s="1"/>
  <c r="M580" i="5"/>
  <c r="N580" i="5" s="1"/>
  <c r="M592" i="5"/>
  <c r="N592" i="5" s="1"/>
  <c r="M596" i="5"/>
  <c r="N596" i="5" s="1"/>
  <c r="M600" i="5"/>
  <c r="N600" i="5" s="1"/>
  <c r="M608" i="5"/>
  <c r="N608" i="5" s="1"/>
  <c r="M612" i="5"/>
  <c r="N612" i="5" s="1"/>
  <c r="M572" i="5"/>
  <c r="N572" i="5" s="1"/>
  <c r="M625" i="5"/>
  <c r="N625" i="5" s="1"/>
  <c r="M622" i="5"/>
  <c r="N622" i="5" s="1"/>
  <c r="M630" i="5"/>
  <c r="N630" i="5" s="1"/>
  <c r="M562" i="5"/>
  <c r="N562" i="5" s="1"/>
  <c r="M538" i="5"/>
  <c r="N538" i="5" s="1"/>
  <c r="M604" i="5"/>
  <c r="N604" i="5" s="1"/>
  <c r="M616" i="5"/>
  <c r="N616" i="5" s="1"/>
  <c r="M559" i="5"/>
  <c r="N559" i="5" s="1"/>
  <c r="M512" i="5"/>
  <c r="N512" i="5" s="1"/>
  <c r="M487" i="5"/>
  <c r="N487" i="5" s="1"/>
  <c r="M525" i="5"/>
  <c r="N525" i="5" s="1"/>
  <c r="M470" i="5"/>
  <c r="N470" i="5" s="1"/>
  <c r="M437" i="5"/>
  <c r="N437" i="5" s="1"/>
  <c r="M444" i="5"/>
  <c r="N444" i="5" s="1"/>
  <c r="M443" i="5"/>
  <c r="N443" i="5" s="1"/>
  <c r="M445" i="5"/>
  <c r="N445" i="5" s="1"/>
  <c r="M412" i="5"/>
  <c r="N412" i="5" s="1"/>
  <c r="M432" i="5"/>
  <c r="N432" i="5" s="1"/>
  <c r="M597" i="5"/>
  <c r="N597" i="5" s="1"/>
  <c r="M567" i="5"/>
  <c r="N567" i="5" s="1"/>
  <c r="M502" i="5"/>
  <c r="N502" i="5" s="1"/>
  <c r="M619" i="5"/>
  <c r="N619" i="5" s="1"/>
  <c r="M543" i="5"/>
  <c r="N543" i="5" s="1"/>
  <c r="M493" i="5"/>
  <c r="N493" i="5" s="1"/>
  <c r="M488" i="5"/>
  <c r="N488" i="5" s="1"/>
  <c r="M447" i="5"/>
  <c r="N447" i="5" s="1"/>
  <c r="M429" i="5"/>
  <c r="N429" i="5" s="1"/>
  <c r="M496" i="5"/>
  <c r="N496" i="5" s="1"/>
  <c r="M375" i="5"/>
  <c r="N375" i="5" s="1"/>
  <c r="M395" i="5"/>
  <c r="N395" i="5" s="1"/>
  <c r="M407" i="5"/>
  <c r="N407" i="5" s="1"/>
  <c r="M424" i="5"/>
  <c r="N424" i="5" s="1"/>
  <c r="M376" i="5"/>
  <c r="N376" i="5" s="1"/>
  <c r="M624" i="5"/>
  <c r="N624" i="5" s="1"/>
  <c r="M614" i="5"/>
  <c r="N614" i="5" s="1"/>
  <c r="M598" i="5"/>
  <c r="N598" i="5" s="1"/>
  <c r="M582" i="5"/>
  <c r="N582" i="5" s="1"/>
  <c r="M561" i="5"/>
  <c r="N561" i="5" s="1"/>
  <c r="M541" i="5"/>
  <c r="N541" i="5" s="1"/>
  <c r="M522" i="5"/>
  <c r="N522" i="5" s="1"/>
  <c r="M628" i="5"/>
  <c r="N628" i="5" s="1"/>
  <c r="M607" i="5"/>
  <c r="N607" i="5" s="1"/>
  <c r="M539" i="5"/>
  <c r="N539" i="5" s="1"/>
  <c r="M576" i="5"/>
  <c r="N576" i="5" s="1"/>
  <c r="M558" i="5"/>
  <c r="N558" i="5" s="1"/>
  <c r="M505" i="5"/>
  <c r="N505" i="5" s="1"/>
  <c r="M484" i="5"/>
  <c r="N484" i="5" s="1"/>
  <c r="M499" i="5"/>
  <c r="N499" i="5" s="1"/>
  <c r="M423" i="5"/>
  <c r="N423" i="5" s="1"/>
  <c r="M481" i="5"/>
  <c r="N481" i="5" s="1"/>
  <c r="M391" i="5"/>
  <c r="N391" i="5" s="1"/>
  <c r="M419" i="5"/>
  <c r="N419" i="5" s="1"/>
  <c r="M416" i="5"/>
  <c r="N416" i="5" s="1"/>
  <c r="M383" i="5"/>
  <c r="N383" i="5" s="1"/>
  <c r="M371" i="5"/>
  <c r="N371" i="5" s="1"/>
  <c r="M623" i="5"/>
  <c r="N623" i="5" s="1"/>
  <c r="M529" i="5"/>
  <c r="N529" i="5" s="1"/>
  <c r="M627" i="5"/>
  <c r="N627" i="5" s="1"/>
  <c r="M617" i="5"/>
  <c r="N617" i="5" s="1"/>
  <c r="M629" i="5"/>
  <c r="N629" i="5" s="1"/>
  <c r="M575" i="5"/>
  <c r="N575" i="5" s="1"/>
  <c r="M581" i="5"/>
  <c r="N581" i="5" s="1"/>
  <c r="M554" i="5"/>
  <c r="N554" i="5" s="1"/>
  <c r="M579" i="5"/>
  <c r="N579" i="5" s="1"/>
  <c r="M611" i="5"/>
  <c r="N611" i="5" s="1"/>
  <c r="M601" i="5"/>
  <c r="N601" i="5" s="1"/>
  <c r="M589" i="5"/>
  <c r="N589" i="5" s="1"/>
  <c r="M516" i="5"/>
  <c r="N516" i="5" s="1"/>
  <c r="M467" i="5"/>
  <c r="N467" i="5" s="1"/>
  <c r="M475" i="5"/>
  <c r="N475" i="5" s="1"/>
  <c r="M404" i="5"/>
  <c r="N404" i="5" s="1"/>
  <c r="M380" i="5"/>
  <c r="N380" i="5" s="1"/>
  <c r="M415" i="5"/>
  <c r="N415" i="5" s="1"/>
  <c r="M451" i="5"/>
  <c r="N451" i="5" s="1"/>
  <c r="M474" i="5"/>
  <c r="N474" i="5" s="1"/>
  <c r="M368" i="5"/>
  <c r="N368" i="5" s="1"/>
  <c r="M365" i="5"/>
  <c r="N365" i="5" s="1"/>
  <c r="M367" i="5"/>
  <c r="N367" i="5" s="1"/>
  <c r="M610" i="5"/>
  <c r="N610" i="5" s="1"/>
  <c r="M594" i="5"/>
  <c r="N594" i="5" s="1"/>
  <c r="M578" i="5"/>
  <c r="N578" i="5" s="1"/>
  <c r="M540" i="5"/>
  <c r="N540" i="5" s="1"/>
  <c r="M537" i="5"/>
  <c r="N537" i="5" s="1"/>
  <c r="M514" i="5"/>
  <c r="N514" i="5" s="1"/>
  <c r="M613" i="5"/>
  <c r="N613" i="5" s="1"/>
  <c r="M547" i="5"/>
  <c r="N547" i="5" s="1"/>
  <c r="M587" i="5"/>
  <c r="N587" i="5" s="1"/>
  <c r="M521" i="5"/>
  <c r="N521" i="5" s="1"/>
  <c r="M498" i="5"/>
  <c r="N498" i="5" s="1"/>
  <c r="M501" i="5"/>
  <c r="N501" i="5" s="1"/>
  <c r="M471" i="5"/>
  <c r="N471" i="5" s="1"/>
  <c r="M464" i="5"/>
  <c r="N464" i="5" s="1"/>
  <c r="M403" i="5"/>
  <c r="N403" i="5" s="1"/>
  <c r="M480" i="5"/>
  <c r="N480" i="5" s="1"/>
  <c r="M420" i="5"/>
  <c r="N420" i="5" s="1"/>
  <c r="M399" i="5"/>
  <c r="N399" i="5" s="1"/>
  <c r="M563" i="5"/>
  <c r="N563" i="5" s="1"/>
  <c r="M564" i="5"/>
  <c r="N564" i="5" s="1"/>
  <c r="M599" i="5"/>
  <c r="N599" i="5" s="1"/>
  <c r="M605" i="5"/>
  <c r="N605" i="5" s="1"/>
  <c r="M588" i="5"/>
  <c r="N588" i="5" s="1"/>
  <c r="M491" i="5"/>
  <c r="N491" i="5" s="1"/>
  <c r="M520" i="5"/>
  <c r="N520" i="5" s="1"/>
  <c r="M463" i="5"/>
  <c r="N463" i="5" s="1"/>
  <c r="M448" i="5"/>
  <c r="N448" i="5" s="1"/>
  <c r="M455" i="5"/>
  <c r="N455" i="5" s="1"/>
  <c r="M489" i="5"/>
  <c r="N489" i="5" s="1"/>
  <c r="M449" i="5"/>
  <c r="N449" i="5" s="1"/>
  <c r="M439" i="5"/>
  <c r="N439" i="5" s="1"/>
  <c r="M427" i="5"/>
  <c r="N427" i="5" s="1"/>
  <c r="M340" i="5"/>
  <c r="N340" i="5" s="1"/>
  <c r="M381" i="5"/>
  <c r="N381" i="5" s="1"/>
  <c r="M361" i="5"/>
  <c r="N361" i="5" s="1"/>
  <c r="M359" i="5"/>
  <c r="N359" i="5" s="1"/>
  <c r="M339" i="5"/>
  <c r="N339" i="5" s="1"/>
  <c r="M577" i="5"/>
  <c r="N577" i="5" s="1"/>
  <c r="M606" i="5"/>
  <c r="N606" i="5" s="1"/>
  <c r="M590" i="5"/>
  <c r="N590" i="5" s="1"/>
  <c r="M574" i="5"/>
  <c r="N574" i="5" s="1"/>
  <c r="M526" i="5"/>
  <c r="N526" i="5" s="1"/>
  <c r="M518" i="5"/>
  <c r="N518" i="5" s="1"/>
  <c r="M631" i="5"/>
  <c r="N631" i="5" s="1"/>
  <c r="M490" i="5"/>
  <c r="N490" i="5" s="1"/>
  <c r="M621" i="5"/>
  <c r="N621" i="5" s="1"/>
  <c r="M568" i="5"/>
  <c r="N568" i="5" s="1"/>
  <c r="M603" i="5"/>
  <c r="N603" i="5" s="1"/>
  <c r="M456" i="5"/>
  <c r="N456" i="5" s="1"/>
  <c r="M428" i="5"/>
  <c r="N428" i="5" s="1"/>
  <c r="M379" i="5"/>
  <c r="N379" i="5" s="1"/>
  <c r="M435" i="5"/>
  <c r="N435" i="5" s="1"/>
  <c r="M377" i="5"/>
  <c r="N377" i="5" s="1"/>
  <c r="M385" i="5"/>
  <c r="N385" i="5" s="1"/>
  <c r="M355" i="5"/>
  <c r="N355" i="5" s="1"/>
  <c r="M373" i="5"/>
  <c r="N373" i="5" s="1"/>
  <c r="M347" i="5"/>
  <c r="N347" i="5" s="1"/>
  <c r="M620" i="5"/>
  <c r="N620" i="5" s="1"/>
  <c r="M585" i="5"/>
  <c r="N585" i="5" s="1"/>
  <c r="M618" i="5"/>
  <c r="N618" i="5" s="1"/>
  <c r="M602" i="5"/>
  <c r="N602" i="5" s="1"/>
  <c r="M586" i="5"/>
  <c r="N586" i="5" s="1"/>
  <c r="M545" i="5"/>
  <c r="N545" i="5" s="1"/>
  <c r="M552" i="5"/>
  <c r="N552" i="5" s="1"/>
  <c r="M523" i="5"/>
  <c r="N523" i="5" s="1"/>
  <c r="M507" i="5"/>
  <c r="N507" i="5" s="1"/>
  <c r="M442" i="5"/>
  <c r="N442" i="5" s="1"/>
  <c r="M431" i="5"/>
  <c r="N431" i="5" s="1"/>
  <c r="M422" i="5"/>
  <c r="N422" i="5" s="1"/>
  <c r="M425" i="5"/>
  <c r="N425" i="5" s="1"/>
  <c r="M409" i="5"/>
  <c r="N409" i="5" s="1"/>
  <c r="M350" i="5"/>
  <c r="N350" i="5" s="1"/>
  <c r="M334" i="5"/>
  <c r="N334" i="5" s="1"/>
  <c r="M345" i="5"/>
  <c r="N345" i="5" s="1"/>
  <c r="M362" i="5"/>
  <c r="N362" i="5" s="1"/>
  <c r="M337" i="5"/>
  <c r="N337" i="5" s="1"/>
  <c r="M583" i="5"/>
  <c r="N583" i="5" s="1"/>
  <c r="M411" i="5"/>
  <c r="N411" i="5" s="1"/>
  <c r="M557" i="5"/>
  <c r="N557" i="5" s="1"/>
  <c r="M506" i="5"/>
  <c r="N506" i="5" s="1"/>
  <c r="M410" i="5"/>
  <c r="N410" i="5" s="1"/>
  <c r="M346" i="5"/>
  <c r="N346" i="5" s="1"/>
  <c r="M609" i="5"/>
  <c r="N609" i="5" s="1"/>
  <c r="M524" i="5"/>
  <c r="N524" i="5" s="1"/>
  <c r="M408" i="5"/>
  <c r="N408" i="5" s="1"/>
  <c r="M573" i="5"/>
  <c r="N573" i="5" s="1"/>
  <c r="M548" i="5"/>
  <c r="N548" i="5" s="1"/>
  <c r="M531" i="5"/>
  <c r="N531" i="5" s="1"/>
  <c r="M519" i="5"/>
  <c r="N519" i="5" s="1"/>
  <c r="M511" i="5"/>
  <c r="N511" i="5" s="1"/>
  <c r="M426" i="5"/>
  <c r="N426" i="5" s="1"/>
  <c r="M450" i="5"/>
  <c r="N450" i="5" s="1"/>
  <c r="M374" i="5"/>
  <c r="N374" i="5" s="1"/>
  <c r="M417" i="5"/>
  <c r="N417" i="5" s="1"/>
  <c r="M369" i="5"/>
  <c r="N369" i="5" s="1"/>
  <c r="M338" i="5"/>
  <c r="N338" i="5" s="1"/>
  <c r="M370" i="5"/>
  <c r="N370" i="5" s="1"/>
  <c r="M550" i="5"/>
  <c r="N550" i="5" s="1"/>
  <c r="M595" i="5"/>
  <c r="N595" i="5" s="1"/>
  <c r="M384" i="5"/>
  <c r="N384" i="5" s="1"/>
  <c r="M363" i="5"/>
  <c r="N363" i="5" s="1"/>
  <c r="M364" i="5"/>
  <c r="N364" i="5" s="1"/>
  <c r="M343" i="5"/>
  <c r="N343" i="5" s="1"/>
  <c r="M626" i="5"/>
  <c r="N626" i="5" s="1"/>
  <c r="M565" i="5"/>
  <c r="N565" i="5" s="1"/>
  <c r="M553" i="5"/>
  <c r="N553" i="5" s="1"/>
  <c r="M465" i="5"/>
  <c r="N465" i="5" s="1"/>
  <c r="M438" i="5"/>
  <c r="N438" i="5" s="1"/>
  <c r="M405" i="5"/>
  <c r="N405" i="5" s="1"/>
  <c r="M394" i="5"/>
  <c r="N394" i="5" s="1"/>
  <c r="M418" i="5"/>
  <c r="N418" i="5" s="1"/>
  <c r="M333" i="5"/>
  <c r="N333" i="5" s="1"/>
  <c r="M517" i="5"/>
  <c r="N517" i="5" s="1"/>
  <c r="M335" i="5"/>
  <c r="N335" i="5" s="1"/>
  <c r="M569" i="5"/>
  <c r="N569" i="5" s="1"/>
  <c r="M560" i="5"/>
  <c r="N560" i="5" s="1"/>
  <c r="M500" i="5"/>
  <c r="N500" i="5" s="1"/>
  <c r="M515" i="5"/>
  <c r="N515" i="5" s="1"/>
  <c r="M495" i="5"/>
  <c r="N495" i="5" s="1"/>
  <c r="M458" i="5"/>
  <c r="N458" i="5" s="1"/>
  <c r="M406" i="5"/>
  <c r="N406" i="5" s="1"/>
  <c r="M402" i="5"/>
  <c r="N402" i="5" s="1"/>
  <c r="M342" i="5"/>
  <c r="N342" i="5" s="1"/>
  <c r="M349" i="5"/>
  <c r="N349" i="5" s="1"/>
  <c r="M341" i="5"/>
  <c r="N341" i="5" s="1"/>
  <c r="M446" i="5"/>
  <c r="N446" i="5" s="1"/>
  <c r="M413" i="5"/>
  <c r="N413" i="5" s="1"/>
  <c r="M591" i="5"/>
  <c r="N591" i="5" s="1"/>
  <c r="M570" i="5"/>
  <c r="N570" i="5" s="1"/>
  <c r="M352" i="5"/>
  <c r="N352" i="5" s="1"/>
  <c r="M387" i="5"/>
  <c r="N387" i="5" s="1"/>
  <c r="M571" i="5"/>
  <c r="N571" i="5" s="1"/>
  <c r="M549" i="5"/>
  <c r="N549" i="5" s="1"/>
  <c r="M510" i="5"/>
  <c r="N510" i="5" s="1"/>
  <c r="M593" i="5"/>
  <c r="N593" i="5" s="1"/>
  <c r="M497" i="5"/>
  <c r="N497" i="5" s="1"/>
  <c r="M397" i="5"/>
  <c r="N397" i="5" s="1"/>
  <c r="M556" i="5"/>
  <c r="N556" i="5" s="1"/>
  <c r="M544" i="5"/>
  <c r="N544" i="5" s="1"/>
  <c r="M528" i="5"/>
  <c r="N528" i="5" s="1"/>
  <c r="M527" i="5"/>
  <c r="N527" i="5" s="1"/>
  <c r="M503" i="5"/>
  <c r="N503" i="5" s="1"/>
  <c r="M492" i="5"/>
  <c r="N492" i="5" s="1"/>
  <c r="M462" i="5"/>
  <c r="N462" i="5" s="1"/>
  <c r="M434" i="5"/>
  <c r="N434" i="5" s="1"/>
  <c r="M386" i="5"/>
  <c r="N386" i="5" s="1"/>
  <c r="M414" i="5"/>
  <c r="N414" i="5" s="1"/>
  <c r="M382" i="5"/>
  <c r="N382" i="5" s="1"/>
  <c r="M378" i="5"/>
  <c r="N378" i="5" s="1"/>
  <c r="M358" i="5"/>
  <c r="N358" i="5" s="1"/>
  <c r="M366" i="5"/>
  <c r="N366" i="5" s="1"/>
  <c r="M615" i="5"/>
  <c r="N615" i="5" s="1"/>
  <c r="M532" i="5"/>
  <c r="N532" i="5" s="1"/>
  <c r="M356" i="5"/>
  <c r="N356" i="5" s="1"/>
  <c r="M351" i="5"/>
  <c r="N351" i="5" s="1"/>
  <c r="M536" i="5"/>
  <c r="N536" i="5" s="1"/>
  <c r="M530" i="5"/>
  <c r="N530" i="5" s="1"/>
  <c r="M466" i="5"/>
  <c r="N466" i="5" s="1"/>
  <c r="M430" i="5"/>
  <c r="N430" i="5" s="1"/>
  <c r="M454" i="5"/>
  <c r="N454" i="5" s="1"/>
  <c r="M421" i="5"/>
  <c r="N421" i="5" s="1"/>
  <c r="M398" i="5"/>
  <c r="N398" i="5" s="1"/>
  <c r="M390" i="5"/>
  <c r="N390" i="5" s="1"/>
  <c r="M354" i="5"/>
  <c r="N354" i="5" s="1"/>
  <c r="M353" i="5"/>
  <c r="N353" i="5" s="1"/>
  <c r="AD329" i="5"/>
  <c r="AP317" i="5"/>
  <c r="AP210" i="5"/>
  <c r="AP113" i="5"/>
  <c r="AP74" i="5"/>
  <c r="AP301" i="5"/>
  <c r="AD294" i="5"/>
  <c r="AT293" i="5"/>
  <c r="AT297" i="5"/>
  <c r="AT313" i="5"/>
  <c r="AD324" i="5"/>
  <c r="AP197" i="5"/>
  <c r="AT320" i="5"/>
  <c r="AP313" i="5"/>
  <c r="AT302" i="5"/>
  <c r="AD188" i="5"/>
  <c r="AD186" i="5"/>
  <c r="AD152" i="5"/>
  <c r="AD322" i="5"/>
  <c r="AD52" i="5"/>
  <c r="AD86" i="5"/>
  <c r="AT300" i="5"/>
  <c r="AT330" i="5"/>
  <c r="AP332" i="5"/>
  <c r="AD320" i="5"/>
  <c r="AP206" i="5"/>
  <c r="AT315" i="5"/>
  <c r="AP309" i="5"/>
  <c r="AD305" i="5"/>
  <c r="AP245" i="5"/>
  <c r="AT308" i="5"/>
  <c r="AD302" i="5"/>
  <c r="AP293" i="5"/>
  <c r="AD312" i="5"/>
  <c r="AD331" i="5"/>
  <c r="AD317" i="5"/>
  <c r="AD295" i="5"/>
  <c r="AT304" i="5"/>
  <c r="AT327" i="5"/>
  <c r="AP321" i="5"/>
  <c r="AD292" i="5"/>
  <c r="AT303" i="5"/>
  <c r="AP291" i="5"/>
  <c r="AD306" i="5"/>
  <c r="AD315" i="5"/>
  <c r="AD327" i="5"/>
  <c r="AT154" i="5"/>
  <c r="AP299" i="5"/>
  <c r="AP296" i="5"/>
  <c r="AP312" i="5"/>
  <c r="AP328" i="5"/>
  <c r="AP307" i="5"/>
  <c r="AD328" i="5"/>
  <c r="M305" i="5"/>
  <c r="N305" i="5" s="1"/>
  <c r="M313" i="5"/>
  <c r="N313" i="5" s="1"/>
  <c r="AT324" i="5"/>
  <c r="AT321" i="5"/>
  <c r="AD325" i="5"/>
  <c r="AD332" i="5"/>
  <c r="AT314" i="5"/>
  <c r="AP323" i="5"/>
  <c r="M319" i="5"/>
  <c r="N319" i="5" s="1"/>
  <c r="AT253" i="5"/>
  <c r="AT332" i="5"/>
  <c r="AP320" i="5"/>
  <c r="AP324" i="5"/>
  <c r="AT318" i="5"/>
  <c r="AT292" i="5"/>
  <c r="AT305" i="5"/>
  <c r="AD318" i="5"/>
  <c r="AD311" i="5"/>
  <c r="AT311" i="5"/>
  <c r="AT309" i="5"/>
  <c r="AT296" i="5"/>
  <c r="AT319" i="5"/>
  <c r="AP310" i="5"/>
  <c r="AD301" i="5"/>
  <c r="AD298" i="5"/>
  <c r="AT329" i="5"/>
  <c r="AD296" i="5"/>
  <c r="AT295" i="5"/>
  <c r="AT317" i="5"/>
  <c r="AT306" i="5"/>
  <c r="AP326" i="5"/>
  <c r="AT210" i="5"/>
  <c r="AT280" i="5"/>
  <c r="AD287" i="5"/>
  <c r="AP117" i="5"/>
  <c r="AT312" i="5"/>
  <c r="AP308" i="5"/>
  <c r="AP316" i="5"/>
  <c r="AD299" i="5"/>
  <c r="AT310" i="5"/>
  <c r="AD330" i="5"/>
  <c r="AT299" i="5"/>
  <c r="AT328" i="5"/>
  <c r="AP292" i="5"/>
  <c r="AP318" i="5"/>
  <c r="AD303" i="5"/>
  <c r="AD307" i="5"/>
  <c r="AD297" i="5"/>
  <c r="AP297" i="5"/>
  <c r="AP314" i="5"/>
  <c r="AD308" i="5"/>
  <c r="AD319" i="5"/>
  <c r="AP300" i="5"/>
  <c r="AD232" i="5"/>
  <c r="AT234" i="5"/>
  <c r="M317" i="5"/>
  <c r="N317" i="5" s="1"/>
  <c r="AP295" i="5"/>
  <c r="AP330" i="5"/>
  <c r="AD326" i="5"/>
  <c r="M304" i="5"/>
  <c r="N304" i="5" s="1"/>
  <c r="M332" i="5"/>
  <c r="N332" i="5" s="1"/>
  <c r="AD313" i="5"/>
  <c r="M325" i="5"/>
  <c r="N325" i="5" s="1"/>
  <c r="M291" i="5"/>
  <c r="N291" i="5" s="1"/>
  <c r="M299" i="5"/>
  <c r="N299" i="5" s="1"/>
  <c r="M292" i="5"/>
  <c r="N292" i="5" s="1"/>
  <c r="AT301" i="5"/>
  <c r="AT326" i="5"/>
  <c r="M312" i="5"/>
  <c r="N312" i="5" s="1"/>
  <c r="AD321" i="5"/>
  <c r="M323" i="5"/>
  <c r="N323" i="5" s="1"/>
  <c r="AT52" i="5"/>
  <c r="AT20" i="5"/>
  <c r="M314" i="5"/>
  <c r="N314" i="5" s="1"/>
  <c r="M330" i="5"/>
  <c r="N330" i="5" s="1"/>
  <c r="AT298" i="5"/>
  <c r="AP315" i="5"/>
  <c r="M311" i="5"/>
  <c r="N311" i="5" s="1"/>
  <c r="AD304" i="5"/>
  <c r="M298" i="5"/>
  <c r="N298" i="5" s="1"/>
  <c r="M331" i="5"/>
  <c r="N331" i="5" s="1"/>
  <c r="AD314" i="5"/>
  <c r="AD300" i="5"/>
  <c r="AD291" i="5"/>
  <c r="AT316" i="5"/>
  <c r="AT291" i="5"/>
  <c r="AT307" i="5"/>
  <c r="AT323" i="5"/>
  <c r="AP303" i="5"/>
  <c r="AT322" i="5"/>
  <c r="AP306" i="5"/>
  <c r="AP331" i="5"/>
  <c r="M326" i="5"/>
  <c r="N326" i="5" s="1"/>
  <c r="M306" i="5"/>
  <c r="N306" i="5" s="1"/>
  <c r="AD316" i="5"/>
  <c r="AT294" i="5"/>
  <c r="M309" i="5"/>
  <c r="N309" i="5" s="1"/>
  <c r="M297" i="5"/>
  <c r="N297" i="5" s="1"/>
  <c r="AP329" i="5"/>
  <c r="M324" i="5"/>
  <c r="N324" i="5" s="1"/>
  <c r="AP322" i="5"/>
  <c r="M316" i="5"/>
  <c r="N316" i="5" s="1"/>
  <c r="M303" i="5"/>
  <c r="N303" i="5" s="1"/>
  <c r="AD293" i="5"/>
  <c r="AD309" i="5"/>
  <c r="M244" i="5"/>
  <c r="N244" i="5" s="1"/>
  <c r="M308" i="5"/>
  <c r="N308" i="5" s="1"/>
  <c r="M322" i="5"/>
  <c r="N322" i="5" s="1"/>
  <c r="M321" i="5"/>
  <c r="N321" i="5" s="1"/>
  <c r="M318" i="5"/>
  <c r="N318" i="5" s="1"/>
  <c r="M307" i="5"/>
  <c r="N307" i="5" s="1"/>
  <c r="M300" i="5"/>
  <c r="N300" i="5" s="1"/>
  <c r="M329" i="5"/>
  <c r="N329" i="5" s="1"/>
  <c r="M328" i="5"/>
  <c r="N328" i="5" s="1"/>
  <c r="M295" i="5"/>
  <c r="N295" i="5" s="1"/>
  <c r="M296" i="5"/>
  <c r="N296" i="5" s="1"/>
  <c r="M293" i="5"/>
  <c r="N293" i="5" s="1"/>
  <c r="M320" i="5"/>
  <c r="N320" i="5" s="1"/>
  <c r="M315" i="5"/>
  <c r="N315" i="5" s="1"/>
  <c r="M310" i="5"/>
  <c r="N310" i="5" s="1"/>
  <c r="M327" i="5"/>
  <c r="N327" i="5" s="1"/>
  <c r="M302" i="5"/>
  <c r="N302" i="5" s="1"/>
  <c r="M294" i="5"/>
  <c r="N294" i="5" s="1"/>
  <c r="AP319" i="5"/>
  <c r="AP327" i="5"/>
  <c r="AP311" i="5"/>
  <c r="AT331" i="5"/>
  <c r="AD123" i="5"/>
  <c r="AD139" i="5"/>
  <c r="AP226" i="5"/>
  <c r="AD257" i="5"/>
  <c r="AP153" i="5"/>
  <c r="AD181" i="5"/>
  <c r="AP246" i="5"/>
  <c r="AD244" i="5"/>
  <c r="AD60" i="5"/>
  <c r="AT58" i="5"/>
  <c r="AD180" i="5"/>
  <c r="AP261" i="5"/>
  <c r="AP107" i="5"/>
  <c r="AT226" i="5"/>
  <c r="AD162" i="5"/>
  <c r="AT106" i="5"/>
  <c r="AP37" i="5"/>
  <c r="AP84" i="5"/>
  <c r="AT229" i="5"/>
  <c r="AP237" i="5"/>
  <c r="AP254" i="5"/>
  <c r="AP270" i="5"/>
  <c r="AT230" i="5"/>
  <c r="AT115" i="5"/>
  <c r="AT194" i="5"/>
  <c r="AD74" i="5"/>
  <c r="AD169" i="5"/>
  <c r="AD82" i="5"/>
  <c r="AT78" i="5"/>
  <c r="AD194" i="5"/>
  <c r="AP191" i="5"/>
  <c r="AD201" i="5"/>
  <c r="AT196" i="5"/>
  <c r="AD154" i="5"/>
  <c r="AP258" i="5"/>
  <c r="AD237" i="5"/>
  <c r="AT275" i="5"/>
  <c r="AT140" i="5"/>
  <c r="AD44" i="5"/>
  <c r="AT238" i="5"/>
  <c r="AP235" i="5"/>
  <c r="AD5" i="5"/>
  <c r="AP75" i="5"/>
  <c r="AT102" i="5"/>
  <c r="AP122" i="5"/>
  <c r="AD48" i="5"/>
  <c r="AT45" i="5"/>
  <c r="AT29" i="5"/>
  <c r="AT91" i="5"/>
  <c r="AD140" i="5"/>
  <c r="AD173" i="5"/>
  <c r="AD261" i="5"/>
  <c r="AT156" i="5"/>
  <c r="AT37" i="5"/>
  <c r="AT200" i="5"/>
  <c r="AT145" i="5"/>
  <c r="AT94" i="5"/>
  <c r="AD80" i="5"/>
  <c r="AT179" i="5"/>
  <c r="AD270" i="5"/>
  <c r="AT111" i="5"/>
  <c r="AT112" i="5"/>
  <c r="AD70" i="5"/>
  <c r="AD131" i="5"/>
  <c r="AT86" i="5"/>
  <c r="AP136" i="5"/>
  <c r="AT186" i="5"/>
  <c r="AT155" i="5"/>
  <c r="AD206" i="5"/>
  <c r="AD29" i="5"/>
  <c r="AD113" i="5"/>
  <c r="AP214" i="5"/>
  <c r="AD256" i="5"/>
  <c r="AP64" i="5"/>
  <c r="AD212" i="5"/>
  <c r="AT254" i="5"/>
  <c r="AT268" i="5"/>
  <c r="AT264" i="5"/>
  <c r="AT67" i="5"/>
  <c r="AD218" i="5"/>
  <c r="AD258" i="5"/>
  <c r="AP256" i="5"/>
  <c r="AT146" i="5"/>
  <c r="AP150" i="5"/>
  <c r="AT255" i="5"/>
  <c r="AD88" i="5"/>
  <c r="AD245" i="5"/>
  <c r="AP162" i="5"/>
  <c r="AT247" i="5"/>
  <c r="AT98" i="5"/>
  <c r="AD249" i="5"/>
  <c r="AT73" i="5"/>
  <c r="AT132" i="5"/>
  <c r="AD253" i="5"/>
  <c r="AT87" i="5"/>
  <c r="AP87" i="5"/>
  <c r="AT161" i="5"/>
  <c r="AT53" i="5"/>
  <c r="AT26" i="5"/>
  <c r="AT93" i="5"/>
  <c r="AT60" i="5"/>
  <c r="AD222" i="5"/>
  <c r="AT48" i="5"/>
  <c r="AD108" i="5"/>
  <c r="AP181" i="5"/>
  <c r="AT7" i="5"/>
  <c r="AP92" i="5"/>
  <c r="AD100" i="5"/>
  <c r="AD114" i="5"/>
  <c r="AD191" i="5"/>
  <c r="AT127" i="5"/>
  <c r="AT239" i="5"/>
  <c r="AT134" i="5"/>
  <c r="AD98" i="5"/>
  <c r="AT13" i="5"/>
  <c r="AP224" i="5"/>
  <c r="AT24" i="5"/>
  <c r="AD135" i="5"/>
  <c r="AP247" i="5"/>
  <c r="AD61" i="5"/>
  <c r="AT23" i="5"/>
  <c r="AD155" i="5"/>
  <c r="AP278" i="5"/>
  <c r="AP111" i="5"/>
  <c r="AP200" i="5"/>
  <c r="AP239" i="5"/>
  <c r="AT147" i="5"/>
  <c r="AT168" i="5"/>
  <c r="AP175" i="5"/>
  <c r="AT213" i="5"/>
  <c r="AT258" i="5"/>
  <c r="AT282" i="5"/>
  <c r="AT289" i="5"/>
  <c r="AP285" i="5"/>
  <c r="AD90" i="5"/>
  <c r="AT224" i="5"/>
  <c r="AT42" i="5"/>
  <c r="AD229" i="5"/>
  <c r="AT114" i="5"/>
  <c r="AT12" i="5"/>
  <c r="AD156" i="5"/>
  <c r="AD204" i="5"/>
  <c r="AT214" i="5"/>
  <c r="AT237" i="5"/>
  <c r="AT261" i="5"/>
  <c r="AT288" i="5"/>
  <c r="AP51" i="5"/>
  <c r="AT101" i="5"/>
  <c r="AD165" i="5"/>
  <c r="AP221" i="5"/>
  <c r="AP185" i="5"/>
  <c r="AD78" i="5"/>
  <c r="AD94" i="5"/>
  <c r="AT118" i="5"/>
  <c r="AD15" i="5"/>
  <c r="AD196" i="5"/>
  <c r="AD240" i="5"/>
  <c r="AP232" i="5"/>
  <c r="AP282" i="5"/>
  <c r="AP141" i="5"/>
  <c r="AP170" i="5"/>
  <c r="AP177" i="5"/>
  <c r="AT169" i="5"/>
  <c r="AP166" i="5"/>
  <c r="AT84" i="5"/>
  <c r="AT232" i="5"/>
  <c r="AT204" i="5"/>
  <c r="AD59" i="5"/>
  <c r="AT5" i="5"/>
  <c r="AD31" i="5"/>
  <c r="AT126" i="5"/>
  <c r="AD221" i="5"/>
  <c r="AT205" i="5"/>
  <c r="AD182" i="5"/>
  <c r="AD254" i="5"/>
  <c r="AD8" i="5"/>
  <c r="AP15" i="5"/>
  <c r="AP63" i="5"/>
  <c r="AP236" i="5"/>
  <c r="AP223" i="5"/>
  <c r="AP129" i="5"/>
  <c r="AP86" i="5"/>
  <c r="AT150" i="5"/>
  <c r="AP178" i="5"/>
  <c r="AT249" i="5"/>
  <c r="AD224" i="5"/>
  <c r="AD215" i="5"/>
  <c r="AT256" i="5"/>
  <c r="AD236" i="5"/>
  <c r="AT15" i="5"/>
  <c r="AT138" i="5"/>
  <c r="AD283" i="5"/>
  <c r="AD79" i="5"/>
  <c r="AP195" i="5"/>
  <c r="AP257" i="5"/>
  <c r="AT227" i="5"/>
  <c r="AD142" i="5"/>
  <c r="AT21" i="5"/>
  <c r="AP26" i="5"/>
  <c r="AT120" i="5"/>
  <c r="AT172" i="5"/>
  <c r="AT225" i="5"/>
  <c r="AT221" i="5"/>
  <c r="AT242" i="5"/>
  <c r="AP287" i="5"/>
  <c r="AP77" i="5"/>
  <c r="AT25" i="5"/>
  <c r="AD85" i="5"/>
  <c r="AP196" i="5"/>
  <c r="AD220" i="5"/>
  <c r="AD231" i="5"/>
  <c r="AT176" i="5"/>
  <c r="AT203" i="5"/>
  <c r="AD226" i="5"/>
  <c r="AD144" i="5"/>
  <c r="AD262" i="5"/>
  <c r="AP179" i="5"/>
  <c r="AD7" i="5"/>
  <c r="AT28" i="5"/>
  <c r="AT103" i="5"/>
  <c r="AD130" i="5"/>
  <c r="AP183" i="5"/>
  <c r="AP283" i="5"/>
  <c r="AP253" i="5"/>
  <c r="AP34" i="5"/>
  <c r="AD97" i="5"/>
  <c r="AD174" i="5"/>
  <c r="AD49" i="5"/>
  <c r="AP5" i="5"/>
  <c r="AT85" i="5"/>
  <c r="AT191" i="5"/>
  <c r="AD198" i="5"/>
  <c r="AT217" i="5"/>
  <c r="AP248" i="5"/>
  <c r="AT79" i="5"/>
  <c r="AT129" i="5"/>
  <c r="AP134" i="5"/>
  <c r="AT163" i="5"/>
  <c r="AP208" i="5"/>
  <c r="AD66" i="5"/>
  <c r="AD84" i="5"/>
  <c r="AP124" i="5"/>
  <c r="AT131" i="5"/>
  <c r="AD272" i="5"/>
  <c r="AT89" i="5"/>
  <c r="AT128" i="5"/>
  <c r="AT100" i="5"/>
  <c r="AD213" i="5"/>
  <c r="AD187" i="5"/>
  <c r="AD209" i="5"/>
  <c r="AD195" i="5"/>
  <c r="AT243" i="5"/>
  <c r="AT19" i="5"/>
  <c r="AT81" i="5"/>
  <c r="AT244" i="5"/>
  <c r="AT104" i="5"/>
  <c r="AD164" i="5"/>
  <c r="AD16" i="5"/>
  <c r="AP273" i="5"/>
  <c r="AD57" i="5"/>
  <c r="AP54" i="5"/>
  <c r="AP69" i="5"/>
  <c r="AD103" i="5"/>
  <c r="AP243" i="5"/>
  <c r="AT215" i="5"/>
  <c r="AD125" i="5"/>
  <c r="AT148" i="5"/>
  <c r="AD138" i="5"/>
  <c r="AP171" i="5"/>
  <c r="AT159" i="5"/>
  <c r="AD23" i="5"/>
  <c r="AT44" i="5"/>
  <c r="AT50" i="5"/>
  <c r="AP70" i="5"/>
  <c r="AD109" i="5"/>
  <c r="AD172" i="5"/>
  <c r="AT177" i="5"/>
  <c r="AP203" i="5"/>
  <c r="AD216" i="5"/>
  <c r="AT284" i="5"/>
  <c r="AT272" i="5"/>
  <c r="AP14" i="5"/>
  <c r="AP255" i="5"/>
  <c r="AD14" i="5"/>
  <c r="AT57" i="5"/>
  <c r="AT167" i="5"/>
  <c r="AP288" i="5"/>
  <c r="AP281" i="5"/>
  <c r="AP149" i="5"/>
  <c r="AT235" i="5"/>
  <c r="AD26" i="5"/>
  <c r="AT69" i="5"/>
  <c r="AP29" i="5"/>
  <c r="AD126" i="5"/>
  <c r="AT122" i="5"/>
  <c r="AD159" i="5"/>
  <c r="AD168" i="5"/>
  <c r="AP186" i="5"/>
  <c r="AP116" i="5"/>
  <c r="AP128" i="5"/>
  <c r="AD95" i="5"/>
  <c r="AD247" i="5"/>
  <c r="AP209" i="5"/>
  <c r="AP6" i="5"/>
  <c r="AT31" i="5"/>
  <c r="AD64" i="5"/>
  <c r="AP102" i="5"/>
  <c r="AP199" i="5"/>
  <c r="AT245" i="5"/>
  <c r="AT248" i="5"/>
  <c r="AP241" i="5"/>
  <c r="AD239" i="5"/>
  <c r="AP90" i="5"/>
  <c r="AD55" i="5"/>
  <c r="AP123" i="5"/>
  <c r="AD122" i="5"/>
  <c r="AD36" i="5"/>
  <c r="AD47" i="5"/>
  <c r="AP110" i="5"/>
  <c r="AD96" i="5"/>
  <c r="AP126" i="5"/>
  <c r="AD143" i="5"/>
  <c r="AP168" i="5"/>
  <c r="AT192" i="5"/>
  <c r="AD246" i="5"/>
  <c r="AD282" i="5"/>
  <c r="AD63" i="5"/>
  <c r="AD34" i="5"/>
  <c r="AT30" i="5"/>
  <c r="AD76" i="5"/>
  <c r="AD68" i="5"/>
  <c r="AD107" i="5"/>
  <c r="AD118" i="5"/>
  <c r="AT208" i="5"/>
  <c r="AP228" i="5"/>
  <c r="AP190" i="5"/>
  <c r="AP13" i="5"/>
  <c r="AP58" i="5"/>
  <c r="AD20" i="5"/>
  <c r="AP42" i="5"/>
  <c r="AD99" i="5"/>
  <c r="AT139" i="5"/>
  <c r="AT246" i="5"/>
  <c r="AD208" i="5"/>
  <c r="AP202" i="5"/>
  <c r="AP259" i="5"/>
  <c r="AT270" i="5"/>
  <c r="AT266" i="5"/>
  <c r="AD275" i="5"/>
  <c r="AD9" i="5"/>
  <c r="AP72" i="5"/>
  <c r="AT151" i="5"/>
  <c r="AP144" i="5"/>
  <c r="AP172" i="5"/>
  <c r="AD87" i="5"/>
  <c r="AP193" i="5"/>
  <c r="AP125" i="5"/>
  <c r="AP96" i="5"/>
  <c r="AD133" i="5"/>
  <c r="AD183" i="5"/>
  <c r="AP220" i="5"/>
  <c r="AD217" i="5"/>
  <c r="AP30" i="5"/>
  <c r="AP41" i="5"/>
  <c r="AP159" i="5"/>
  <c r="AP8" i="5"/>
  <c r="AD13" i="5"/>
  <c r="AP49" i="5"/>
  <c r="AP156" i="5"/>
  <c r="AP242" i="5"/>
  <c r="AT68" i="5"/>
  <c r="AD200" i="5"/>
  <c r="AD210" i="5"/>
  <c r="AD250" i="5"/>
  <c r="AT209" i="5"/>
  <c r="AT199" i="5"/>
  <c r="AD273" i="5"/>
  <c r="AT285" i="5"/>
  <c r="AD62" i="5"/>
  <c r="AD112" i="5"/>
  <c r="AP222" i="5"/>
  <c r="AD280" i="5"/>
  <c r="AD22" i="5"/>
  <c r="AD289" i="5"/>
  <c r="AT51" i="5"/>
  <c r="AD83" i="5"/>
  <c r="AP68" i="5"/>
  <c r="AP10" i="5"/>
  <c r="AD148" i="5"/>
  <c r="AP137" i="5"/>
  <c r="AT130" i="5"/>
  <c r="AD190" i="5"/>
  <c r="AP219" i="5"/>
  <c r="AP268" i="5"/>
  <c r="AD279" i="5"/>
  <c r="AD271" i="5"/>
  <c r="AT8" i="5"/>
  <c r="AD269" i="5"/>
  <c r="AT27" i="5"/>
  <c r="AD40" i="5"/>
  <c r="AP33" i="5"/>
  <c r="AP112" i="5"/>
  <c r="AP83" i="5"/>
  <c r="AP93" i="5"/>
  <c r="AT92" i="5"/>
  <c r="AP140" i="5"/>
  <c r="AD149" i="5"/>
  <c r="AD38" i="5"/>
  <c r="AD132" i="5"/>
  <c r="AP108" i="5"/>
  <c r="AP201" i="5"/>
  <c r="AP44" i="5"/>
  <c r="AP56" i="5"/>
  <c r="AD81" i="5"/>
  <c r="AD51" i="5"/>
  <c r="AD39" i="5"/>
  <c r="AP94" i="5"/>
  <c r="AT162" i="5"/>
  <c r="AD106" i="5"/>
  <c r="AT10" i="5"/>
  <c r="AD151" i="5"/>
  <c r="AT142" i="5"/>
  <c r="AP158" i="5"/>
  <c r="AD178" i="5"/>
  <c r="AD171" i="5"/>
  <c r="AP194" i="5"/>
  <c r="AT250" i="5"/>
  <c r="AD265" i="5"/>
  <c r="AT277" i="5"/>
  <c r="AP269" i="5"/>
  <c r="AD266" i="5"/>
  <c r="AD267" i="5"/>
  <c r="AT9" i="5"/>
  <c r="AP277" i="5"/>
  <c r="AP47" i="5"/>
  <c r="AP48" i="5"/>
  <c r="AP95" i="5"/>
  <c r="AP131" i="5"/>
  <c r="AP139" i="5"/>
  <c r="AP184" i="5"/>
  <c r="AD137" i="5"/>
  <c r="AD260" i="5"/>
  <c r="AP233" i="5"/>
  <c r="AD255" i="5"/>
  <c r="AP39" i="5"/>
  <c r="AP143" i="5"/>
  <c r="AP62" i="5"/>
  <c r="AT77" i="5"/>
  <c r="AT193" i="5"/>
  <c r="AD263" i="5"/>
  <c r="AT22" i="5"/>
  <c r="AP31" i="5"/>
  <c r="AD43" i="5"/>
  <c r="AD93" i="5"/>
  <c r="AD92" i="5"/>
  <c r="AD37" i="5"/>
  <c r="AD285" i="5"/>
  <c r="AP18" i="5"/>
  <c r="AP145" i="5"/>
  <c r="AT276" i="5"/>
  <c r="AT269" i="5"/>
  <c r="AP187" i="5"/>
  <c r="AT59" i="5"/>
  <c r="AT55" i="5"/>
  <c r="AT18" i="5"/>
  <c r="AP21" i="5"/>
  <c r="AD75" i="5"/>
  <c r="AP76" i="5"/>
  <c r="AP78" i="5"/>
  <c r="AD72" i="5"/>
  <c r="AP115" i="5"/>
  <c r="AT123" i="5"/>
  <c r="AD12" i="5"/>
  <c r="AD147" i="5"/>
  <c r="AT158" i="5"/>
  <c r="AD189" i="5"/>
  <c r="AT178" i="5"/>
  <c r="AT201" i="5"/>
  <c r="AP251" i="5"/>
  <c r="AT278" i="5"/>
  <c r="AD286" i="5"/>
  <c r="AP264" i="5"/>
  <c r="AP289" i="5"/>
  <c r="AP265" i="5"/>
  <c r="AT281" i="5"/>
  <c r="AT56" i="5"/>
  <c r="AD35" i="5"/>
  <c r="AP66" i="5"/>
  <c r="AP16" i="5"/>
  <c r="AT35" i="5"/>
  <c r="AD264" i="5"/>
  <c r="AP59" i="5"/>
  <c r="AP80" i="5"/>
  <c r="AT95" i="5"/>
  <c r="AP85" i="5"/>
  <c r="AP101" i="5"/>
  <c r="AT116" i="5"/>
  <c r="AP121" i="5"/>
  <c r="AD104" i="5"/>
  <c r="AT113" i="5"/>
  <c r="AP154" i="5"/>
  <c r="AT136" i="5"/>
  <c r="AD115" i="5"/>
  <c r="AD179" i="5"/>
  <c r="AT216" i="5"/>
  <c r="AP252" i="5"/>
  <c r="AP215" i="5"/>
  <c r="AD77" i="5"/>
  <c r="AP91" i="5"/>
  <c r="AD205" i="5"/>
  <c r="AP218" i="5"/>
  <c r="AT223" i="5"/>
  <c r="AP28" i="5"/>
  <c r="AT36" i="5"/>
  <c r="AT110" i="5"/>
  <c r="AT97" i="5"/>
  <c r="AT184" i="5"/>
  <c r="AD185" i="5"/>
  <c r="AP211" i="5"/>
  <c r="AT170" i="5"/>
  <c r="AT218" i="5"/>
  <c r="AT286" i="5"/>
  <c r="AD281" i="5"/>
  <c r="AD288" i="5"/>
  <c r="AT262" i="5"/>
  <c r="AP263" i="5"/>
  <c r="AD277" i="5"/>
  <c r="AP284" i="5"/>
  <c r="AD50" i="5"/>
  <c r="AD54" i="5"/>
  <c r="AP17" i="5"/>
  <c r="AT38" i="5"/>
  <c r="AT43" i="5"/>
  <c r="AT49" i="5"/>
  <c r="AP71" i="5"/>
  <c r="AT39" i="5"/>
  <c r="AP82" i="5"/>
  <c r="AP114" i="5"/>
  <c r="AP148" i="5"/>
  <c r="AP176" i="5"/>
  <c r="AP169" i="5"/>
  <c r="AT108" i="5"/>
  <c r="AT83" i="5"/>
  <c r="AP198" i="5"/>
  <c r="AP212" i="5"/>
  <c r="AD233" i="5"/>
  <c r="AD41" i="5"/>
  <c r="AP147" i="5"/>
  <c r="AP229" i="5"/>
  <c r="AD184" i="5"/>
  <c r="AD153" i="5"/>
  <c r="M165" i="5"/>
  <c r="N165" i="5" s="1"/>
  <c r="M283" i="5"/>
  <c r="N283" i="5" s="1"/>
  <c r="M106" i="5"/>
  <c r="N106" i="5" s="1"/>
  <c r="M89" i="5"/>
  <c r="N89" i="5" s="1"/>
  <c r="M284" i="5"/>
  <c r="N284" i="5" s="1"/>
  <c r="M278" i="5"/>
  <c r="N278" i="5" s="1"/>
  <c r="M186" i="5"/>
  <c r="N186" i="5" s="1"/>
  <c r="M104" i="5"/>
  <c r="N104" i="5" s="1"/>
  <c r="M161" i="5"/>
  <c r="N161" i="5" s="1"/>
  <c r="M16" i="5"/>
  <c r="N16" i="5" s="1"/>
  <c r="M80" i="5"/>
  <c r="N80" i="5" s="1"/>
  <c r="M49" i="5"/>
  <c r="N49" i="5" s="1"/>
  <c r="M91" i="5"/>
  <c r="N91" i="5" s="1"/>
  <c r="M184" i="5"/>
  <c r="N184" i="5" s="1"/>
  <c r="AP267" i="5"/>
  <c r="M202" i="5"/>
  <c r="N202" i="5" s="1"/>
  <c r="M237" i="5"/>
  <c r="N237" i="5" s="1"/>
  <c r="M28" i="5"/>
  <c r="N28" i="5" s="1"/>
  <c r="AD167" i="5"/>
  <c r="M271" i="5"/>
  <c r="N271" i="5" s="1"/>
  <c r="AT143" i="5"/>
  <c r="AP262" i="5"/>
  <c r="AD65" i="5"/>
  <c r="AP88" i="5"/>
  <c r="AP104" i="5"/>
  <c r="AT188" i="5"/>
  <c r="M247" i="5"/>
  <c r="N247" i="5" s="1"/>
  <c r="M19" i="5"/>
  <c r="N19" i="5" s="1"/>
  <c r="M101" i="5"/>
  <c r="N101" i="5" s="1"/>
  <c r="M285" i="5"/>
  <c r="N285" i="5" s="1"/>
  <c r="M240" i="5"/>
  <c r="N240" i="5" s="1"/>
  <c r="M218" i="5"/>
  <c r="N218" i="5" s="1"/>
  <c r="M38" i="5"/>
  <c r="N38" i="5" s="1"/>
  <c r="M187" i="5"/>
  <c r="N187" i="5" s="1"/>
  <c r="M252" i="5"/>
  <c r="N252" i="5" s="1"/>
  <c r="M67" i="5"/>
  <c r="N67" i="5" s="1"/>
  <c r="M40" i="5"/>
  <c r="N40" i="5" s="1"/>
  <c r="AP132" i="5"/>
  <c r="AT189" i="5"/>
  <c r="M87" i="5"/>
  <c r="N87" i="5" s="1"/>
  <c r="AD176" i="5"/>
  <c r="M273" i="5"/>
  <c r="N273" i="5" s="1"/>
  <c r="M256" i="5"/>
  <c r="N256" i="5" s="1"/>
  <c r="AD42" i="5"/>
  <c r="M117" i="5"/>
  <c r="N117" i="5" s="1"/>
  <c r="AD192" i="5"/>
  <c r="M190" i="5"/>
  <c r="N190" i="5" s="1"/>
  <c r="M243" i="5"/>
  <c r="N243" i="5" s="1"/>
  <c r="M175" i="5"/>
  <c r="N175" i="5" s="1"/>
  <c r="M248" i="5"/>
  <c r="N248" i="5" s="1"/>
  <c r="M8" i="5"/>
  <c r="N8" i="5" s="1"/>
  <c r="M196" i="5"/>
  <c r="N196" i="5" s="1"/>
  <c r="M157" i="5"/>
  <c r="N157" i="5" s="1"/>
  <c r="M143" i="5"/>
  <c r="N143" i="5" s="1"/>
  <c r="M100" i="5"/>
  <c r="N100" i="5" s="1"/>
  <c r="M206" i="5"/>
  <c r="N206" i="5" s="1"/>
  <c r="M131" i="5"/>
  <c r="N131" i="5" s="1"/>
  <c r="M85" i="5"/>
  <c r="N85" i="5" s="1"/>
  <c r="M53" i="5"/>
  <c r="N53" i="5" s="1"/>
  <c r="M266" i="5"/>
  <c r="N266" i="5" s="1"/>
  <c r="M7" i="5"/>
  <c r="N7" i="5" s="1"/>
  <c r="M241" i="5"/>
  <c r="N241" i="5" s="1"/>
  <c r="M267" i="5"/>
  <c r="N267" i="5" s="1"/>
  <c r="M230" i="5"/>
  <c r="N230" i="5" s="1"/>
  <c r="M166" i="5"/>
  <c r="N166" i="5" s="1"/>
  <c r="M134" i="5"/>
  <c r="N134" i="5" s="1"/>
  <c r="M120" i="5"/>
  <c r="N120" i="5" s="1"/>
  <c r="M228" i="5"/>
  <c r="N228" i="5" s="1"/>
  <c r="M236" i="5"/>
  <c r="N236" i="5" s="1"/>
  <c r="M98" i="5"/>
  <c r="N98" i="5" s="1"/>
  <c r="M9" i="5"/>
  <c r="N9" i="5" s="1"/>
  <c r="M204" i="5"/>
  <c r="N204" i="5" s="1"/>
  <c r="M172" i="5"/>
  <c r="N172" i="5" s="1"/>
  <c r="M158" i="5"/>
  <c r="N158" i="5" s="1"/>
  <c r="M144" i="5"/>
  <c r="N144" i="5" s="1"/>
  <c r="M133" i="5"/>
  <c r="N133" i="5" s="1"/>
  <c r="M119" i="5"/>
  <c r="N119" i="5" s="1"/>
  <c r="M94" i="5"/>
  <c r="N94" i="5" s="1"/>
  <c r="M76" i="5"/>
  <c r="N76" i="5" s="1"/>
  <c r="M30" i="5"/>
  <c r="N30" i="5" s="1"/>
  <c r="M229" i="5"/>
  <c r="N229" i="5" s="1"/>
  <c r="M235" i="5"/>
  <c r="N235" i="5" s="1"/>
  <c r="M262" i="5"/>
  <c r="N262" i="5" s="1"/>
  <c r="M221" i="5"/>
  <c r="N221" i="5" s="1"/>
  <c r="M207" i="5"/>
  <c r="N207" i="5" s="1"/>
  <c r="M193" i="5"/>
  <c r="N193" i="5" s="1"/>
  <c r="M86" i="5"/>
  <c r="N86" i="5" s="1"/>
  <c r="M68" i="5"/>
  <c r="N68" i="5" s="1"/>
  <c r="M54" i="5"/>
  <c r="N54" i="5" s="1"/>
  <c r="M178" i="5"/>
  <c r="N178" i="5" s="1"/>
  <c r="M114" i="5"/>
  <c r="N114" i="5" s="1"/>
  <c r="M217" i="5"/>
  <c r="N217" i="5" s="1"/>
  <c r="M188" i="5"/>
  <c r="N188" i="5" s="1"/>
  <c r="M156" i="5"/>
  <c r="N156" i="5" s="1"/>
  <c r="M128" i="5"/>
  <c r="N128" i="5" s="1"/>
  <c r="M35" i="5"/>
  <c r="N35" i="5" s="1"/>
  <c r="M290" i="5"/>
  <c r="N290" i="5" s="1"/>
  <c r="M212" i="5"/>
  <c r="N212" i="5" s="1"/>
  <c r="M180" i="5"/>
  <c r="N180" i="5" s="1"/>
  <c r="M148" i="5"/>
  <c r="N148" i="5" s="1"/>
  <c r="M102" i="5"/>
  <c r="N102" i="5" s="1"/>
  <c r="M88" i="5"/>
  <c r="N88" i="5" s="1"/>
  <c r="M77" i="5"/>
  <c r="N77" i="5" s="1"/>
  <c r="M59" i="5"/>
  <c r="N59" i="5" s="1"/>
  <c r="M31" i="5"/>
  <c r="N31" i="5" s="1"/>
  <c r="M20" i="5"/>
  <c r="N20" i="5" s="1"/>
  <c r="M261" i="5"/>
  <c r="N261" i="5" s="1"/>
  <c r="M287" i="5"/>
  <c r="N287" i="5" s="1"/>
  <c r="M226" i="5"/>
  <c r="N226" i="5" s="1"/>
  <c r="M130" i="5"/>
  <c r="N130" i="5" s="1"/>
  <c r="M215" i="5"/>
  <c r="N215" i="5" s="1"/>
  <c r="M201" i="5"/>
  <c r="N201" i="5" s="1"/>
  <c r="M183" i="5"/>
  <c r="N183" i="5" s="1"/>
  <c r="M169" i="5"/>
  <c r="N169" i="5" s="1"/>
  <c r="M73" i="5"/>
  <c r="N73" i="5" s="1"/>
  <c r="M62" i="5"/>
  <c r="N62" i="5" s="1"/>
  <c r="M37" i="5"/>
  <c r="N37" i="5" s="1"/>
  <c r="M12" i="5"/>
  <c r="N12" i="5" s="1"/>
  <c r="M246" i="5"/>
  <c r="N246" i="5" s="1"/>
  <c r="M5" i="5"/>
  <c r="N5" i="5" s="1"/>
  <c r="M275" i="5"/>
  <c r="N275" i="5" s="1"/>
  <c r="M171" i="5"/>
  <c r="N171" i="5" s="1"/>
  <c r="M139" i="5"/>
  <c r="N139" i="5" s="1"/>
  <c r="M125" i="5"/>
  <c r="N125" i="5" s="1"/>
  <c r="M97" i="5"/>
  <c r="N97" i="5" s="1"/>
  <c r="M22" i="5"/>
  <c r="N22" i="5" s="1"/>
  <c r="M90" i="5"/>
  <c r="N90" i="5" s="1"/>
  <c r="M231" i="5"/>
  <c r="N231" i="5" s="1"/>
  <c r="M199" i="5"/>
  <c r="N199" i="5" s="1"/>
  <c r="M185" i="5"/>
  <c r="N185" i="5" s="1"/>
  <c r="M174" i="5"/>
  <c r="N174" i="5" s="1"/>
  <c r="M163" i="5"/>
  <c r="N163" i="5" s="1"/>
  <c r="M153" i="5"/>
  <c r="N153" i="5" s="1"/>
  <c r="M142" i="5"/>
  <c r="N142" i="5" s="1"/>
  <c r="M96" i="5"/>
  <c r="N96" i="5" s="1"/>
  <c r="M64" i="5"/>
  <c r="N64" i="5" s="1"/>
  <c r="M254" i="5"/>
  <c r="N254" i="5" s="1"/>
  <c r="M170" i="5"/>
  <c r="N170" i="5" s="1"/>
  <c r="M280" i="5"/>
  <c r="N280" i="5" s="1"/>
  <c r="M264" i="5"/>
  <c r="N264" i="5" s="1"/>
  <c r="M198" i="5"/>
  <c r="N198" i="5" s="1"/>
  <c r="M177" i="5"/>
  <c r="N177" i="5" s="1"/>
  <c r="M145" i="5"/>
  <c r="N145" i="5" s="1"/>
  <c r="M116" i="5"/>
  <c r="N116" i="5" s="1"/>
  <c r="M56" i="5"/>
  <c r="N56" i="5" s="1"/>
  <c r="M45" i="5"/>
  <c r="N45" i="5" s="1"/>
  <c r="M17" i="5"/>
  <c r="N17" i="5" s="1"/>
  <c r="M260" i="5"/>
  <c r="N260" i="5" s="1"/>
  <c r="M58" i="5"/>
  <c r="N58" i="5" s="1"/>
  <c r="M286" i="5"/>
  <c r="N286" i="5" s="1"/>
  <c r="M276" i="5"/>
  <c r="N276" i="5" s="1"/>
  <c r="M257" i="5"/>
  <c r="N257" i="5" s="1"/>
  <c r="M6" i="5"/>
  <c r="N6" i="5" s="1"/>
  <c r="M279" i="5"/>
  <c r="N279" i="5" s="1"/>
  <c r="M115" i="5"/>
  <c r="N115" i="5" s="1"/>
  <c r="M44" i="5"/>
  <c r="N44" i="5" s="1"/>
  <c r="M242" i="5"/>
  <c r="N242" i="5" s="1"/>
  <c r="M122" i="5"/>
  <c r="N122" i="5" s="1"/>
  <c r="M189" i="5"/>
  <c r="N189" i="5" s="1"/>
  <c r="M168" i="5"/>
  <c r="N168" i="5" s="1"/>
  <c r="M111" i="5"/>
  <c r="N111" i="5" s="1"/>
  <c r="M65" i="5"/>
  <c r="N65" i="5" s="1"/>
  <c r="M47" i="5"/>
  <c r="N47" i="5" s="1"/>
  <c r="M36" i="5"/>
  <c r="N36" i="5" s="1"/>
  <c r="M11" i="5"/>
  <c r="N11" i="5" s="1"/>
  <c r="M238" i="5"/>
  <c r="N238" i="5" s="1"/>
  <c r="M210" i="5"/>
  <c r="N210" i="5" s="1"/>
  <c r="M50" i="5"/>
  <c r="N50" i="5" s="1"/>
  <c r="M234" i="5"/>
  <c r="N234" i="5" s="1"/>
  <c r="M281" i="5"/>
  <c r="N281" i="5" s="1"/>
  <c r="M265" i="5"/>
  <c r="N265" i="5" s="1"/>
  <c r="M124" i="5"/>
  <c r="N124" i="5" s="1"/>
  <c r="M110" i="5"/>
  <c r="N110" i="5" s="1"/>
  <c r="M78" i="5"/>
  <c r="N78" i="5" s="1"/>
  <c r="M46" i="5"/>
  <c r="N46" i="5" s="1"/>
  <c r="M32" i="5"/>
  <c r="N32" i="5" s="1"/>
  <c r="M25" i="5"/>
  <c r="N25" i="5" s="1"/>
  <c r="M14" i="5"/>
  <c r="N14" i="5" s="1"/>
  <c r="M74" i="5"/>
  <c r="N74" i="5" s="1"/>
  <c r="M138" i="5"/>
  <c r="N138" i="5" s="1"/>
  <c r="M209" i="5"/>
  <c r="N209" i="5" s="1"/>
  <c r="M127" i="5"/>
  <c r="N127" i="5" s="1"/>
  <c r="M113" i="5"/>
  <c r="N113" i="5" s="1"/>
  <c r="M84" i="5"/>
  <c r="N84" i="5" s="1"/>
  <c r="M253" i="5"/>
  <c r="N253" i="5" s="1"/>
  <c r="M288" i="5"/>
  <c r="N288" i="5" s="1"/>
  <c r="M272" i="5"/>
  <c r="N272" i="5" s="1"/>
  <c r="M245" i="5"/>
  <c r="N245" i="5" s="1"/>
  <c r="M203" i="5"/>
  <c r="N203" i="5" s="1"/>
  <c r="M150" i="5"/>
  <c r="N150" i="5" s="1"/>
  <c r="M136" i="5"/>
  <c r="N136" i="5" s="1"/>
  <c r="M93" i="5"/>
  <c r="N93" i="5" s="1"/>
  <c r="M79" i="5"/>
  <c r="N79" i="5" s="1"/>
  <c r="M33" i="5"/>
  <c r="N33" i="5" s="1"/>
  <c r="M26" i="5"/>
  <c r="N26" i="5" s="1"/>
  <c r="M227" i="5"/>
  <c r="N227" i="5" s="1"/>
  <c r="M92" i="5"/>
  <c r="N92" i="5" s="1"/>
  <c r="M60" i="5"/>
  <c r="N60" i="5" s="1"/>
  <c r="M223" i="5"/>
  <c r="N223" i="5" s="1"/>
  <c r="M191" i="5"/>
  <c r="N191" i="5" s="1"/>
  <c r="M173" i="5"/>
  <c r="N173" i="5" s="1"/>
  <c r="M159" i="5"/>
  <c r="N159" i="5" s="1"/>
  <c r="M141" i="5"/>
  <c r="N141" i="5" s="1"/>
  <c r="M95" i="5"/>
  <c r="N95" i="5" s="1"/>
  <c r="M282" i="5"/>
  <c r="N282" i="5" s="1"/>
  <c r="M270" i="5"/>
  <c r="N270" i="5" s="1"/>
  <c r="M250" i="5"/>
  <c r="N250" i="5" s="1"/>
  <c r="M194" i="5"/>
  <c r="N194" i="5" s="1"/>
  <c r="M211" i="5"/>
  <c r="N211" i="5" s="1"/>
  <c r="M151" i="5"/>
  <c r="N151" i="5" s="1"/>
  <c r="M140" i="5"/>
  <c r="N140" i="5" s="1"/>
  <c r="M112" i="5"/>
  <c r="N112" i="5" s="1"/>
  <c r="M69" i="5"/>
  <c r="N69" i="5" s="1"/>
  <c r="M55" i="5"/>
  <c r="N55" i="5" s="1"/>
  <c r="M249" i="5"/>
  <c r="N249" i="5" s="1"/>
  <c r="M232" i="5"/>
  <c r="N232" i="5" s="1"/>
  <c r="M200" i="5"/>
  <c r="N200" i="5" s="1"/>
  <c r="M164" i="5"/>
  <c r="N164" i="5" s="1"/>
  <c r="M107" i="5"/>
  <c r="N107" i="5" s="1"/>
  <c r="M61" i="5"/>
  <c r="N61" i="5" s="1"/>
  <c r="M43" i="5"/>
  <c r="N43" i="5" s="1"/>
  <c r="M268" i="5"/>
  <c r="N268" i="5" s="1"/>
  <c r="M251" i="5"/>
  <c r="N251" i="5" s="1"/>
  <c r="M224" i="5"/>
  <c r="N224" i="5" s="1"/>
  <c r="M213" i="5"/>
  <c r="N213" i="5" s="1"/>
  <c r="M195" i="5"/>
  <c r="N195" i="5" s="1"/>
  <c r="M181" i="5"/>
  <c r="N181" i="5" s="1"/>
  <c r="M167" i="5"/>
  <c r="N167" i="5" s="1"/>
  <c r="M160" i="5"/>
  <c r="N160" i="5" s="1"/>
  <c r="M149" i="5"/>
  <c r="N149" i="5" s="1"/>
  <c r="M135" i="5"/>
  <c r="N135" i="5" s="1"/>
  <c r="M121" i="5"/>
  <c r="N121" i="5" s="1"/>
  <c r="M103" i="5"/>
  <c r="N103" i="5" s="1"/>
  <c r="M71" i="5"/>
  <c r="N71" i="5" s="1"/>
  <c r="M21" i="5"/>
  <c r="N21" i="5" s="1"/>
  <c r="M10" i="5"/>
  <c r="N10" i="5" s="1"/>
  <c r="M42" i="5"/>
  <c r="N42" i="5" s="1"/>
  <c r="M277" i="5"/>
  <c r="N277" i="5" s="1"/>
  <c r="M81" i="5"/>
  <c r="N81" i="5" s="1"/>
  <c r="M70" i="5"/>
  <c r="N70" i="5" s="1"/>
  <c r="M52" i="5"/>
  <c r="N52" i="5" s="1"/>
  <c r="M27" i="5"/>
  <c r="N27" i="5" s="1"/>
  <c r="M13" i="5"/>
  <c r="N13" i="5" s="1"/>
  <c r="M289" i="5"/>
  <c r="N289" i="5" s="1"/>
  <c r="M233" i="5"/>
  <c r="N233" i="5" s="1"/>
  <c r="M222" i="5"/>
  <c r="N222" i="5" s="1"/>
  <c r="M176" i="5"/>
  <c r="N176" i="5" s="1"/>
  <c r="M137" i="5"/>
  <c r="N137" i="5" s="1"/>
  <c r="M126" i="5"/>
  <c r="N126" i="5" s="1"/>
  <c r="M83" i="5"/>
  <c r="N83" i="5" s="1"/>
  <c r="M41" i="5"/>
  <c r="N41" i="5" s="1"/>
  <c r="AP97" i="5"/>
  <c r="AT267" i="5"/>
  <c r="AT274" i="5"/>
  <c r="M197" i="5"/>
  <c r="N197" i="5" s="1"/>
  <c r="M162" i="5"/>
  <c r="N162" i="5" s="1"/>
  <c r="M24" i="5"/>
  <c r="N24" i="5" s="1"/>
  <c r="M123" i="5"/>
  <c r="N123" i="5" s="1"/>
  <c r="AP231" i="5"/>
  <c r="M192" i="5"/>
  <c r="N192" i="5" s="1"/>
  <c r="M72" i="5"/>
  <c r="N72" i="5" s="1"/>
  <c r="M129" i="5"/>
  <c r="N129" i="5" s="1"/>
  <c r="AP182" i="5"/>
  <c r="M258" i="5"/>
  <c r="N258" i="5" s="1"/>
  <c r="AD120" i="5"/>
  <c r="AT70" i="5"/>
  <c r="AP135" i="5"/>
  <c r="AT202" i="5"/>
  <c r="M23" i="5"/>
  <c r="N23" i="5" s="1"/>
  <c r="M48" i="5"/>
  <c r="N48" i="5" s="1"/>
  <c r="M179" i="5"/>
  <c r="N179" i="5" s="1"/>
  <c r="M63" i="5"/>
  <c r="N63" i="5" s="1"/>
  <c r="M216" i="5"/>
  <c r="N216" i="5" s="1"/>
  <c r="M57" i="5"/>
  <c r="N57" i="5" s="1"/>
  <c r="M99" i="5"/>
  <c r="N99" i="5" s="1"/>
  <c r="M82" i="5"/>
  <c r="N82" i="5" s="1"/>
  <c r="M146" i="5"/>
  <c r="N146" i="5" s="1"/>
  <c r="M29" i="5"/>
  <c r="N29" i="5" s="1"/>
  <c r="M75" i="5"/>
  <c r="N75" i="5" s="1"/>
  <c r="M132" i="5"/>
  <c r="N132" i="5" s="1"/>
  <c r="M182" i="5"/>
  <c r="N182" i="5" s="1"/>
  <c r="M225" i="5"/>
  <c r="N225" i="5" s="1"/>
  <c r="AP276" i="5"/>
  <c r="AD71" i="5"/>
  <c r="AT173" i="5"/>
  <c r="AT219" i="5"/>
  <c r="M51" i="5"/>
  <c r="N51" i="5" s="1"/>
  <c r="M105" i="5"/>
  <c r="N105" i="5" s="1"/>
  <c r="M147" i="5"/>
  <c r="N147" i="5" s="1"/>
  <c r="M263" i="5"/>
  <c r="N263" i="5" s="1"/>
  <c r="M255" i="5"/>
  <c r="N255" i="5" s="1"/>
  <c r="M34" i="5"/>
  <c r="N34" i="5" s="1"/>
  <c r="M66" i="5"/>
  <c r="N66" i="5" s="1"/>
  <c r="M152" i="5"/>
  <c r="N152" i="5" s="1"/>
  <c r="M219" i="5"/>
  <c r="N219" i="5" s="1"/>
  <c r="M39" i="5"/>
  <c r="N39" i="5" s="1"/>
  <c r="M220" i="5"/>
  <c r="N220" i="5" s="1"/>
  <c r="M15" i="5"/>
  <c r="N15" i="5" s="1"/>
  <c r="M118" i="5"/>
  <c r="N118" i="5" s="1"/>
  <c r="AD53" i="5"/>
  <c r="AT61" i="5"/>
  <c r="AT62" i="5"/>
  <c r="M108" i="5"/>
  <c r="N108" i="5" s="1"/>
  <c r="M208" i="5"/>
  <c r="N208" i="5" s="1"/>
  <c r="M109" i="5"/>
  <c r="N109" i="5" s="1"/>
  <c r="M155" i="5"/>
  <c r="N155" i="5" s="1"/>
  <c r="M205" i="5"/>
  <c r="N205" i="5" s="1"/>
  <c r="M274" i="5"/>
  <c r="N274" i="5" s="1"/>
  <c r="M269" i="5"/>
  <c r="N269" i="5" s="1"/>
  <c r="M18" i="5"/>
  <c r="N18" i="5" s="1"/>
  <c r="M154" i="5"/>
  <c r="N154" i="5" s="1"/>
  <c r="M239" i="5"/>
  <c r="N239" i="5" s="1"/>
  <c r="M259" i="5"/>
  <c r="N259" i="5" s="1"/>
  <c r="M214" i="5"/>
  <c r="N214" i="5" s="1"/>
  <c r="AP53" i="5"/>
  <c r="AD28" i="5"/>
  <c r="AT75" i="5"/>
  <c r="AP130" i="5"/>
  <c r="AP118" i="5"/>
  <c r="AT166" i="5"/>
  <c r="AD197" i="5"/>
  <c r="AT233" i="5"/>
  <c r="AD248" i="5"/>
  <c r="AP227" i="5"/>
  <c r="AP167" i="5"/>
  <c r="AD203" i="5"/>
  <c r="AP9" i="5"/>
  <c r="AP43" i="5"/>
  <c r="AT76" i="5"/>
  <c r="AD69" i="5"/>
  <c r="AD119" i="5"/>
  <c r="AD89" i="5"/>
  <c r="AP160" i="5"/>
  <c r="AP119" i="5"/>
  <c r="AP217" i="5"/>
  <c r="AD199" i="5"/>
  <c r="AD121" i="5"/>
  <c r="AD157" i="5"/>
  <c r="AP106" i="5"/>
  <c r="AP157" i="5"/>
  <c r="AT211" i="5"/>
  <c r="AT273" i="5"/>
  <c r="AD141" i="5"/>
  <c r="AT181" i="5"/>
  <c r="AP60" i="5"/>
  <c r="AD6" i="5"/>
  <c r="AP249" i="5"/>
  <c r="AT34" i="5"/>
  <c r="AT47" i="5"/>
  <c r="AD91" i="5"/>
  <c r="AP45" i="5"/>
  <c r="AT121" i="5"/>
  <c r="AT141" i="5"/>
  <c r="AP161" i="5"/>
  <c r="AT152" i="5"/>
  <c r="AT222" i="5"/>
  <c r="AD242" i="5"/>
  <c r="AT198" i="5"/>
  <c r="AT257" i="5"/>
  <c r="AD230" i="5"/>
  <c r="AT290" i="5"/>
  <c r="AD276" i="5"/>
  <c r="AP280" i="5"/>
  <c r="AP266" i="5"/>
  <c r="AT16" i="5"/>
  <c r="AT46" i="5"/>
  <c r="AP52" i="5"/>
  <c r="AP98" i="5"/>
  <c r="AD110" i="5"/>
  <c r="AP24" i="5"/>
  <c r="AP120" i="5"/>
  <c r="AP109" i="5"/>
  <c r="AP180" i="5"/>
  <c r="AD150" i="5"/>
  <c r="AD161" i="5"/>
  <c r="AP205" i="5"/>
  <c r="AT41" i="5"/>
  <c r="AD101" i="5"/>
  <c r="AD207" i="5"/>
  <c r="AD127" i="5"/>
  <c r="AP19" i="5"/>
  <c r="AD32" i="5"/>
  <c r="AP46" i="5"/>
  <c r="AD124" i="5"/>
  <c r="AP213" i="5"/>
  <c r="AP11" i="5"/>
  <c r="AT33" i="5"/>
  <c r="AT90" i="5"/>
  <c r="AD241" i="5"/>
  <c r="AP250" i="5"/>
  <c r="AP22" i="5"/>
  <c r="AT183" i="5"/>
  <c r="AT241" i="5"/>
  <c r="AP216" i="5"/>
  <c r="AD170" i="5"/>
  <c r="AD214" i="5"/>
  <c r="AD278" i="5"/>
  <c r="AP286" i="5"/>
  <c r="AP23" i="5"/>
  <c r="AD19" i="5"/>
  <c r="AP57" i="5"/>
  <c r="AP146" i="5"/>
  <c r="AT71" i="5"/>
  <c r="AP189" i="5"/>
  <c r="AD136" i="5"/>
  <c r="AP127" i="5"/>
  <c r="AP173" i="5"/>
  <c r="AP225" i="5"/>
  <c r="AD225" i="5"/>
  <c r="AP12" i="5"/>
  <c r="AD73" i="5"/>
  <c r="AD102" i="5"/>
  <c r="AP260" i="5"/>
  <c r="AD202" i="5"/>
  <c r="AT259" i="5"/>
  <c r="AT14" i="5"/>
  <c r="AT32" i="5"/>
  <c r="AT265" i="5"/>
  <c r="AP155" i="5"/>
  <c r="AT11" i="5"/>
  <c r="AP36" i="5"/>
  <c r="AD160" i="5"/>
  <c r="AT180" i="5"/>
  <c r="AP142" i="5"/>
  <c r="AP240" i="5"/>
  <c r="AD238" i="5"/>
  <c r="AT283" i="5"/>
  <c r="AD268" i="5"/>
  <c r="AP272" i="5"/>
  <c r="AD17" i="5"/>
  <c r="AD46" i="5"/>
  <c r="AP7" i="5"/>
  <c r="AD21" i="5"/>
  <c r="AP204" i="5"/>
  <c r="AD116" i="5"/>
  <c r="AT164" i="5"/>
  <c r="AD175" i="5"/>
  <c r="AT206" i="5"/>
  <c r="AP151" i="5"/>
  <c r="AP133" i="5"/>
  <c r="AT207" i="5"/>
  <c r="AD228" i="5"/>
  <c r="AD105" i="5"/>
  <c r="AD158" i="5"/>
  <c r="AT6" i="5"/>
  <c r="AP27" i="5"/>
  <c r="AT66" i="5"/>
  <c r="AD252" i="5"/>
  <c r="AD45" i="5"/>
  <c r="AP230" i="5"/>
  <c r="AD30" i="5"/>
  <c r="AP35" i="5"/>
  <c r="AP207" i="5"/>
  <c r="AP25" i="5"/>
  <c r="AP67" i="5"/>
  <c r="AT99" i="5"/>
  <c r="AP163" i="5"/>
  <c r="AP174" i="5"/>
  <c r="AD11" i="5"/>
  <c r="AP100" i="5"/>
  <c r="AD111" i="5"/>
  <c r="AP275" i="5"/>
  <c r="AD129" i="5"/>
  <c r="AP50" i="5"/>
  <c r="AD67" i="5"/>
  <c r="AP65" i="5"/>
  <c r="AP81" i="5"/>
  <c r="AT65" i="5"/>
  <c r="AT135" i="5"/>
  <c r="AD134" i="5"/>
  <c r="AT195" i="5"/>
  <c r="AT137" i="5"/>
  <c r="AT175" i="5"/>
  <c r="AD163" i="5"/>
  <c r="AT174" i="5"/>
  <c r="AP290" i="5"/>
  <c r="AD290" i="5"/>
  <c r="AP279" i="5"/>
  <c r="AT17" i="5"/>
  <c r="AD18" i="5"/>
  <c r="AD24" i="5"/>
  <c r="AD27" i="5"/>
  <c r="AD58" i="5"/>
  <c r="AP55" i="5"/>
  <c r="AP32" i="5"/>
  <c r="AP79" i="5"/>
  <c r="AT63" i="5"/>
  <c r="AT74" i="5"/>
  <c r="AP138" i="5"/>
  <c r="AD146" i="5"/>
  <c r="AT153" i="5"/>
  <c r="AP188" i="5"/>
  <c r="AD145" i="5"/>
  <c r="AP238" i="5"/>
  <c r="AT231" i="5"/>
  <c r="AP152" i="5"/>
  <c r="AT197" i="5"/>
  <c r="AP105" i="5"/>
  <c r="AD166" i="5"/>
  <c r="AP244" i="5"/>
  <c r="AP20" i="5"/>
  <c r="AD223" i="5"/>
  <c r="AT240" i="5"/>
  <c r="AD25" i="5"/>
  <c r="AP99" i="5"/>
  <c r="AT82" i="5"/>
  <c r="AP234" i="5"/>
  <c r="AP40" i="5"/>
  <c r="AT263" i="5"/>
  <c r="AT279" i="5"/>
  <c r="AT271" i="5"/>
  <c r="AT287" i="5"/>
  <c r="AT190" i="5"/>
  <c r="AT165" i="5"/>
  <c r="AD227" i="5"/>
  <c r="AP89" i="5"/>
  <c r="AT125" i="5"/>
  <c r="AT160" i="5"/>
  <c r="AT185" i="5"/>
  <c r="AT228" i="5"/>
  <c r="AD251" i="5"/>
  <c r="AT54" i="5"/>
  <c r="AP73" i="5"/>
  <c r="AT72" i="5"/>
  <c r="AT88" i="5"/>
  <c r="AT80" i="5"/>
  <c r="AT117" i="5"/>
  <c r="AD117" i="5"/>
  <c r="AT149" i="5"/>
  <c r="AT252" i="5"/>
  <c r="AP165" i="5"/>
  <c r="AD211" i="5"/>
  <c r="AT109" i="5"/>
  <c r="AT96" i="5"/>
  <c r="AT171" i="5"/>
  <c r="AT212" i="5"/>
  <c r="AD177" i="5"/>
  <c r="AD235" i="5"/>
  <c r="AD56" i="5"/>
  <c r="AT187" i="5"/>
  <c r="AD193" i="5"/>
  <c r="AT236" i="5"/>
  <c r="AP103" i="5"/>
  <c r="AT107" i="5"/>
  <c r="AT157" i="5"/>
  <c r="AT144" i="5"/>
  <c r="AT260" i="5"/>
  <c r="AD219" i="5"/>
  <c r="AD259" i="5"/>
  <c r="AP61" i="5"/>
  <c r="AT64" i="5"/>
  <c r="AT220" i="5"/>
  <c r="AT182" i="5"/>
  <c r="AD243" i="5"/>
  <c r="AC3" i="5"/>
  <c r="AB3" i="5"/>
  <c r="AC4" i="5"/>
  <c r="AO4" i="5"/>
  <c r="Z4" i="5" l="1"/>
  <c r="AH4" i="5"/>
  <c r="J4" i="5"/>
  <c r="R4" i="5"/>
  <c r="V4" i="5"/>
  <c r="AB4" i="5"/>
  <c r="M4" i="5" l="1"/>
  <c r="L4" i="5"/>
  <c r="AD4" i="5"/>
  <c r="N4" i="5" l="1"/>
  <c r="AL4" i="5"/>
  <c r="V3" i="5"/>
  <c r="AS4" i="5" l="1"/>
  <c r="AR4" i="5"/>
  <c r="AN4" i="5"/>
  <c r="AP4" i="5" s="1"/>
  <c r="AS3" i="5"/>
  <c r="AR3" i="5"/>
  <c r="AO3" i="5"/>
  <c r="AN3" i="5"/>
  <c r="AL3" i="5"/>
  <c r="AH3" i="5"/>
  <c r="AD3" i="5"/>
  <c r="Z3" i="5"/>
  <c r="R3" i="5"/>
  <c r="M3" i="5"/>
  <c r="L3" i="5"/>
  <c r="J3" i="5"/>
  <c r="AP3" i="5" l="1"/>
  <c r="N3" i="5"/>
  <c r="AT4" i="5"/>
  <c r="AT3" i="5"/>
</calcChain>
</file>

<file path=xl/connections.xml><?xml version="1.0" encoding="utf-8"?>
<connections xmlns="http://schemas.openxmlformats.org/spreadsheetml/2006/main">
  <connection id="1" keepAlive="1" name="Продажи и Склад" type="5" refreshedVersion="6" background="1" saveData="1">
    <dbPr connection="Provider=MSOLAP.5;Integrated Security=SSPI;Persist Security Info=True;Initial Catalog=RetailAnalytics;Data Source=SAS-POB;MDX Compatibility=1;Safety Options=2;MDX Missing Member Mode=Error;Update Isolation Level=2" command="Продажи и Склад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6">
    <s v="Продажи и Склад"/>
    <s v="{[dct_db].[owner_name].&amp;[7E2EA747-8026-48D9-B423-B27FDA815F64],[dct_db].[owner_name].&amp;[C3DD5718-AC8E-4484-A32A-F4F65B98E819]}"/>
    <s v="{[dct_db].[L District].[Все]}"/>
    <s v="{[dct_db].[Comparability Year1].&amp;[Да]}"/>
    <s v="{[dct_date].[y-m-d].[month_full_name].&amp;[202504],[dct_date].[y-m-d].[month_full_name].&amp;[202604],[dct_date].[y-m-d].[date_name].&amp;[20250331],[dct_date].[y-m-d].[date_name].&amp;[20250501],[dct_date].[y-m-d].[date_name].&amp;[20250502],[dct_date].[y-m-d].[date_name].&amp;[20250503],[dct_date].[y-m-d].[date_name].&amp;[20250504],[dct_date].[y-m-d].[date_name].&amp;[20250505],[dct_date].[y-m-d].[date_name].&amp;[20250506],[dct_date].[y-m-d].[date_name].&amp;[20250507],[dct_date].[y-m-d].[date_name].&amp;[20250508],[dct_date].[y-m-d].[date_name].&amp;[20250509],[dct_date].[y-m-d].[date_name].&amp;[20250510],[dct_date].[y-m-d].[date_name].&amp;[20250511],[dct_date].[y-m-d].[date_name].&amp;[20250512],[dct_date].[y-m-d].[date_name].&amp;[20250513],[dct_date].[y-m-d].[date_name].&amp;[20250514],[dct_date].[y-m-d].[date_name].&amp;[20250515],[dct_date].[y-m-d].[date_name].&amp;[20250516],[dct_date].[y-m-d].[date_name].&amp;[20250517],[dct_date].[y-m-d].[date_name].&amp;[20250518],[dct_date].[y-m-d].[date_name].&amp;[20250519],[dct_date].[y-m-d].[date_name].&amp;[20250520],[dct_date].[y-m-d].[date_name].&amp;[20250521],[dct_date].[y-m-d].[date_name].&amp;[20250522],[dct_date].[y-m-d].[date_name].&amp;[20250523],[dct_date].[y-m-d].[date_name].&amp;[20250524],[dct_date].[y-m-d].[date_name].&amp;[20250525],[dct_date].[y-m-d].[date_name].&amp;[20260330],[dct_date].[y-m-d].[date_name].&amp;[20260331],[dct_date].[y-m-d].[date_name].&amp;[20260501],[dct_date].[y-m-d].[date_name].&amp;[20260502],[dct_date].[y-m-d].[date_name].&amp;[20260503],[dct_date].[y-m-d].[date_name].&amp;[20260504],[dct_date].[y-m-d].[date_name].&amp;[20260505],[dct_date].[y-m-d].[date_name].&amp;[20260506],[dct_date].[y-m-d].[date_name].&amp;[20260507],[dct_date].[y-m-d].[date_name].&amp;[20260508],[dct_date].[y-m-d].[date_name].&amp;[20260509],[dct_date].[y-m-d].[date_name].&amp;[20260510],[dct_date].[y-m-d].[date_name].&amp;[20260511],[dct_date].[y-m-d].[date_name].&amp;[20260512],[dct_date].[y-m-d].[date_name].&amp;[20260513],[dct_date].[y-m-d].[date_name].&amp;[20260514],[dct_date].[y-m-d].[date_name].&amp;[20260515],[dct_date].[y-m-d].[date_name].&amp;[20260516],[dct_date].[y-m-d].[date_name].&amp;[20260517],[dct_date].[y-m-d].[date_name].&amp;[20260518],[dct_date].[y-m-d].[date_name].&amp;[20260519],[dct_date].[y-m-d].[date_name].&amp;[20260520],[dct_date].[y-m-d].[date_name].&amp;[20260521],[dct_date].[y-m-d].[date_name].&amp;[20260522],[dct_date].[y-m-d].[date_name].&amp;[20260523],[dct_date].[y-m-d].[date_name].&amp;[20260524]}"/>
    <s v="{[dct_goods].[g-s-n (rrun)].[sub_group_name].&amp;[03C91C34-9EA6-47DE-B1EA-1260F3BA6CF3].&amp;[МОЛОКО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sharedStrings.xml><?xml version="1.0" encoding="utf-8"?>
<sst xmlns="http://schemas.openxmlformats.org/spreadsheetml/2006/main" count="3280" uniqueCount="495">
  <si>
    <t>Г-М-Д</t>
  </si>
  <si>
    <t>(несколько элементов)</t>
  </si>
  <si>
    <t>Юр. лицо</t>
  </si>
  <si>
    <t>Классификатор</t>
  </si>
  <si>
    <t>Год</t>
  </si>
  <si>
    <t>Значения</t>
  </si>
  <si>
    <t>Уровень 4</t>
  </si>
  <si>
    <t>Номенклатура</t>
  </si>
  <si>
    <t>Код товара</t>
  </si>
  <si>
    <t>Продажи, шт</t>
  </si>
  <si>
    <t>Общий итог</t>
  </si>
  <si>
    <t>Уровень 1</t>
  </si>
  <si>
    <t>Уровень 2</t>
  </si>
  <si>
    <t>Уровень 3</t>
  </si>
  <si>
    <t>Уровень 5</t>
  </si>
  <si>
    <t>Потери, шт</t>
  </si>
  <si>
    <t>Динамика</t>
  </si>
  <si>
    <t>РТО, руб без ндс</t>
  </si>
  <si>
    <t>Операционный доход, руб без ндс</t>
  </si>
  <si>
    <t>Маржа без ндс, %</t>
  </si>
  <si>
    <t>Потери, руб без ндс</t>
  </si>
  <si>
    <t>Доля в структуре РТО, %</t>
  </si>
  <si>
    <t>Доля потерь в РТО, %</t>
  </si>
  <si>
    <t>Доходность, %</t>
  </si>
  <si>
    <t>Да</t>
  </si>
  <si>
    <t>Продажи, кг</t>
  </si>
  <si>
    <t>ФРЕШ</t>
  </si>
  <si>
    <t>2025</t>
  </si>
  <si>
    <t>Логистический округ</t>
  </si>
  <si>
    <t>Все</t>
  </si>
  <si>
    <t>Сопоставимость к 2025 году</t>
  </si>
  <si>
    <t>2026</t>
  </si>
  <si>
    <t>МОЛОЧНЫЕ ПРОДУКТЫ</t>
  </si>
  <si>
    <t>МОЛОКО</t>
  </si>
  <si>
    <t>МОЛОКО ПАСТЕРИЗОВАННОЕ</t>
  </si>
  <si>
    <t>МОЛОКО ПАСТЕРИЗОВАННОЕ ЖИРНОСТЬЮ 2-3%</t>
  </si>
  <si>
    <t>Молоко 2.5% 1л ф/п ХК Лабинский</t>
  </si>
  <si>
    <t>182232</t>
  </si>
  <si>
    <t>Молоко АГРОСИЛА Халяль 2.5% 770г ф/п</t>
  </si>
  <si>
    <t>189544</t>
  </si>
  <si>
    <t>Молоко АДЫГЕЙСКИЙ МК Майкопское 2.5% 900г</t>
  </si>
  <si>
    <t>160045</t>
  </si>
  <si>
    <t>160046</t>
  </si>
  <si>
    <t>Молоко БАВЛИНСКОЕ МОЛОКО 2.5% 900мл ф/п</t>
  </si>
  <si>
    <t>207853</t>
  </si>
  <si>
    <t>Молоко БЕЖИН ЛУГ 2.5% 1.4кг пэт</t>
  </si>
  <si>
    <t>196325</t>
  </si>
  <si>
    <t>Молоко БЕЛАЯ ДОЛИНА 2.5% 0.9л пленка</t>
  </si>
  <si>
    <t>177471</t>
  </si>
  <si>
    <t>Молоко БЕЛАЯ ДОЛИНА 2.5% 1.6кг пэт</t>
  </si>
  <si>
    <t>154250</t>
  </si>
  <si>
    <t>Молоко БЕЛЫЙ МЕДВЕДЬ 2.5% 1л ф/п</t>
  </si>
  <si>
    <t>176685</t>
  </si>
  <si>
    <t>Молоко БЕЛЫЙ МЕДВЕДЬ 2.5% 900г</t>
  </si>
  <si>
    <t>156101</t>
  </si>
  <si>
    <t>163761</t>
  </si>
  <si>
    <t>Молоко БОГДАША 2.5% 1.5л пэт</t>
  </si>
  <si>
    <t>182031</t>
  </si>
  <si>
    <t>Молоко ВКУСНОТЕЕВО Пастеризованное 2.5% 900г кувшин</t>
  </si>
  <si>
    <t>162895</t>
  </si>
  <si>
    <t>Молоко ВКУСНОТЕЕВО Пастеризованное 2.5% 900г пэт</t>
  </si>
  <si>
    <t>6990</t>
  </si>
  <si>
    <t>Молоко ВКУСНЯЕВ 2.5% 900г Пастеризованное п/пакет</t>
  </si>
  <si>
    <t>156832</t>
  </si>
  <si>
    <t>Молоко ВКУСНЯЕВ Пастеризованное 2.5% 800г пакет</t>
  </si>
  <si>
    <t>140419</t>
  </si>
  <si>
    <t>Молоко ВКУСНЯЕВ Пастеризованное 2.5% 930г пэт</t>
  </si>
  <si>
    <t>156838</t>
  </si>
  <si>
    <t>Молоко ВОЛЖСКИЕ ПРОСТОРЫ Пастеризованное 2.5% 900г</t>
  </si>
  <si>
    <t>28835</t>
  </si>
  <si>
    <t>Молоко ВРЕМЯ МУ 2.5% 800г пакет</t>
  </si>
  <si>
    <t>191464</t>
  </si>
  <si>
    <t>Молоко ДЕРЕВНЯ СЧАСТЛИВОВО 2.5% 900мл пэт</t>
  </si>
  <si>
    <t>174772</t>
  </si>
  <si>
    <t>Молоко ДОБРАЯ БУРЕНКА 2.5% 900г пленка</t>
  </si>
  <si>
    <t>182597</t>
  </si>
  <si>
    <t>Молоко ДОБРАЯ БУРЕНКА 2.5% 900г пэт</t>
  </si>
  <si>
    <t>208700</t>
  </si>
  <si>
    <t>Молоко ДОБРЫНЯ 2.5% 900г пленка</t>
  </si>
  <si>
    <t>193288</t>
  </si>
  <si>
    <t>Молоко ДОМАШКИНО 2.5% 870мл пэт</t>
  </si>
  <si>
    <t>206418</t>
  </si>
  <si>
    <t>Молоко ДОМИК В ДЕРЕВНЕ 2.5% 1.4л пэт</t>
  </si>
  <si>
    <t>177566</t>
  </si>
  <si>
    <t>Молоко ЗДОРОВЬЕ ИЗ ПРЕДГОРЬЯ 2.5% 1л пленка</t>
  </si>
  <si>
    <t>213884</t>
  </si>
  <si>
    <t>Молоко ИВАН ПОДДУБНЫЙ 2.5% 900г ф/п</t>
  </si>
  <si>
    <t>74428</t>
  </si>
  <si>
    <t>Молоко ИЗ СЕЛА УДОЕВО Пастеризованное 2.5% 835г пэт</t>
  </si>
  <si>
    <t>173974</t>
  </si>
  <si>
    <t>Молоко КВИЛЛИ МИЛЛИ 2.5% 1.3л пэт</t>
  </si>
  <si>
    <t>180613</t>
  </si>
  <si>
    <t>Молоко КВИЛЛИ МИЛЛИ 2.5% 900г фл/п</t>
  </si>
  <si>
    <t>176038</t>
  </si>
  <si>
    <t>Молоко КУБАНСКАЯ БУРЕНКА 2.5% 1.4л пэт</t>
  </si>
  <si>
    <t>170996</t>
  </si>
  <si>
    <t>Молоко КУБАНСКИЙ МОЛОЧНИК 2.5% 900г пленка</t>
  </si>
  <si>
    <t>186295</t>
  </si>
  <si>
    <t>Молоко ЛЕБЕДЯНЬМОЛОКО 2.5% 1.4кг пэт</t>
  </si>
  <si>
    <t>180682</t>
  </si>
  <si>
    <t>Молоко ЛЕБЕДЯНЬМОЛОКО 2.5% 900г пэт</t>
  </si>
  <si>
    <t>214345</t>
  </si>
  <si>
    <t>Молоко ЛЕБЕДЯНЬМОЛОКО 2.5% 900г ф/п</t>
  </si>
  <si>
    <t>154935</t>
  </si>
  <si>
    <t>Молоко ЛЕТО БЛИЗКО 2.5% 900г пэт</t>
  </si>
  <si>
    <t>175034</t>
  </si>
  <si>
    <t>Молоко ЛЮБИМОЕ ДЕЛО 2.5% 800г ф/п</t>
  </si>
  <si>
    <t>202442</t>
  </si>
  <si>
    <t>Молоко МЕГАТРЕЙД-ЮГ 2.5% 1кг</t>
  </si>
  <si>
    <t>172181</t>
  </si>
  <si>
    <t>Молоко МЕСТНОЕ 2.5% 1700мл пэт</t>
  </si>
  <si>
    <t>210796</t>
  </si>
  <si>
    <t>Молоко МК СТАВРОПОЛЬСКИЙ 2.5% 1л</t>
  </si>
  <si>
    <t>164133</t>
  </si>
  <si>
    <t>Молоко МОЛКОМ 2.5% 900мл пэт</t>
  </si>
  <si>
    <t>213978</t>
  </si>
  <si>
    <t>Молоко МОЛКОМ 2.5% 950г пэт</t>
  </si>
  <si>
    <t>185873</t>
  </si>
  <si>
    <t>Молоко МОЛКОМ Российские 2.5% 900мл п/п</t>
  </si>
  <si>
    <t>210048</t>
  </si>
  <si>
    <t>Молоко МОЛКОМ Российское 2.5% 1л пленка</t>
  </si>
  <si>
    <t>185872</t>
  </si>
  <si>
    <t>Молоко МОЛОКО ОРЕНБУРЖЬЯ  2.5% 900г пленка</t>
  </si>
  <si>
    <t>200987</t>
  </si>
  <si>
    <t>Молоко МОЛОКОВЪ Пастеризованное 2.5% 900мл фл/п</t>
  </si>
  <si>
    <t>176644</t>
  </si>
  <si>
    <t>Молоко МОЛОКОВЬЕ 2.5% 900мл пэт</t>
  </si>
  <si>
    <t>214965</t>
  </si>
  <si>
    <t>Молоко МОЛОЧНАЯ ПОЛЯНА Пастеризованное 2.5% 930мл</t>
  </si>
  <si>
    <t>164891</t>
  </si>
  <si>
    <t>Молоко МОЛОЧНЫЕ ИСТИНЫ 2.5% 900г пэт</t>
  </si>
  <si>
    <t>202169</t>
  </si>
  <si>
    <t>Молоко МОЯ СТАНИЦА 2.7% 0.9л пленка</t>
  </si>
  <si>
    <t>200759</t>
  </si>
  <si>
    <t>Молоко МСК-ВОЛЖСКИЙ 2.5% 900г п/п</t>
  </si>
  <si>
    <t>203466</t>
  </si>
  <si>
    <t>Молоко НАША КОРОВА 2.5% 900г п/п</t>
  </si>
  <si>
    <t>206175</t>
  </si>
  <si>
    <t>Молоко НАША КОРОВА 2.5% 900г пленка</t>
  </si>
  <si>
    <t>192121</t>
  </si>
  <si>
    <t>Молоко НАША КОРОВА 2.5% 900г пэт</t>
  </si>
  <si>
    <t>176204</t>
  </si>
  <si>
    <t>Молоко НАША КОРОВА 2.5% 900г эколин</t>
  </si>
  <si>
    <t>196876</t>
  </si>
  <si>
    <t>Молоко НОРОВ 2.5% 900мл пленка</t>
  </si>
  <si>
    <t>156367</t>
  </si>
  <si>
    <t>Молоко НОРОВ 2.5% 900мл пэт</t>
  </si>
  <si>
    <t>183227</t>
  </si>
  <si>
    <t>Молоко ОЧЕНЬ ВАЖНАЯ КОРОВА 2.5% 1400г пэт</t>
  </si>
  <si>
    <t>192159</t>
  </si>
  <si>
    <t>Молоко ОЧЕНЬ ВАЖНАЯ КОРОВА 2.5% 930г пэт</t>
  </si>
  <si>
    <t>135865</t>
  </si>
  <si>
    <t>Молоко ПЕРВЫЙ ВКУС 2.5% 1.5л пэт</t>
  </si>
  <si>
    <t>204277</t>
  </si>
  <si>
    <t>Молоко ПЕРВЫЙ ВКУС 2.5% 930г пэт</t>
  </si>
  <si>
    <t>204278</t>
  </si>
  <si>
    <t>Молоко ПЕСТРАВКА 2.5% 2кг пэт</t>
  </si>
  <si>
    <t>212573</t>
  </si>
  <si>
    <t>Молоко ПРОСТО МОЛОКО 2.3% 770г ф/п</t>
  </si>
  <si>
    <t>205259</t>
  </si>
  <si>
    <t>Молоко ПРОСТО МОЛОКО 2.5% 800г</t>
  </si>
  <si>
    <t>156033</t>
  </si>
  <si>
    <t>Молоко ПРОСТОКВАШИНО 2.5% 930мл</t>
  </si>
  <si>
    <t>27749</t>
  </si>
  <si>
    <t>Молоко СЕВЕРНАЯ ДОЛИНА 2.5% 950г</t>
  </si>
  <si>
    <t>166891</t>
  </si>
  <si>
    <t>Молоко СЕЛО ДОМАШКИНО 2.5% 900мл пэт</t>
  </si>
  <si>
    <t>83391</t>
  </si>
  <si>
    <t>Молоко СЕРНУРСКИЙ СЗ 2.5% 900мл пэт</t>
  </si>
  <si>
    <t>177947</t>
  </si>
  <si>
    <t>Молоко СТАНИЦА 2.5% 0.9л</t>
  </si>
  <si>
    <t>155066</t>
  </si>
  <si>
    <t>Молоко ТОЛЬЯТТИМОЛОКО 2.5% 0.9л п/п</t>
  </si>
  <si>
    <t>195581</t>
  </si>
  <si>
    <t>Молоко ТОЛЬЯТТИМОЛОКО 2.5% 0.9л ф/п</t>
  </si>
  <si>
    <t>118408</t>
  </si>
  <si>
    <t>Молоко ТОММОЛОКО Пастеризованное 2.5% 1л</t>
  </si>
  <si>
    <t>164890</t>
  </si>
  <si>
    <t>Молоко ТОЧНО МОЛОЧНО 2.5% 800г пэт</t>
  </si>
  <si>
    <t>197113</t>
  </si>
  <si>
    <t>Молоко ТОЧНО МОЛОЧНО 2.5% 900г пленка</t>
  </si>
  <si>
    <t>192338</t>
  </si>
  <si>
    <t>Молоко ТУЛЬСКИЙ МК 2.5% 800г ф/п</t>
  </si>
  <si>
    <t>216296</t>
  </si>
  <si>
    <t>Молоко ТУЛЬСКИЙ МК 2.5% 900г п/п</t>
  </si>
  <si>
    <t>192119</t>
  </si>
  <si>
    <t>Молоко ТУЛЬСКИЙ МК 2.5% 900г ф/п</t>
  </si>
  <si>
    <t>170147</t>
  </si>
  <si>
    <t>Молоко ЧЕРНОМОРСКИЙ МЗ 2.5% 1000мл пленка</t>
  </si>
  <si>
    <t>193917</t>
  </si>
  <si>
    <t>Молоко ЧЕРНОМОРСКИЙ МЗ 2.5% 500мл пленка</t>
  </si>
  <si>
    <t>193918</t>
  </si>
  <si>
    <t>Молоко ЭКОВАКИНО 2.5% 1.43л пэт</t>
  </si>
  <si>
    <t>177032</t>
  </si>
  <si>
    <t>Молоко ЭКОВАКИНО 2.5% 930мл пэт</t>
  </si>
  <si>
    <t>154392</t>
  </si>
  <si>
    <t>Молоко ЭКОМИЛК 2.5% 900мл пэт</t>
  </si>
  <si>
    <t>205571</t>
  </si>
  <si>
    <t>Молоко ЭКОМИЛК 2.5% 930мл пэт</t>
  </si>
  <si>
    <t>153890</t>
  </si>
  <si>
    <t>Продукт м/с ДЕРЕВНЯ СЧАСТЛИВОВО Пастеризованный 2.5% 900мл пэт</t>
  </si>
  <si>
    <t>211402</t>
  </si>
  <si>
    <t>МОЛОКО ПАСТЕРИЗОВАННОЕ ЖИРНОСТЬЮ 2-3% Итог</t>
  </si>
  <si>
    <t>МОЛОКО ПАСТЕРИЗОВАННОЕ ЖИРНОСТЬЮ 3,2%</t>
  </si>
  <si>
    <t>Молоко 3.2% 1л ф/п ХК Лабинский</t>
  </si>
  <si>
    <t>182233</t>
  </si>
  <si>
    <t>Молоко АДЫГЕЙСКИЙ МК Майкопское 3.2% 900г</t>
  </si>
  <si>
    <t>160047</t>
  </si>
  <si>
    <t>160048</t>
  </si>
  <si>
    <t>Молоко АМКА 3.2% 1л ф/п</t>
  </si>
  <si>
    <t>203391</t>
  </si>
  <si>
    <t>Молоко БАВЛИНСКОЕ МОЛОКО 3.2% 900мл пэт</t>
  </si>
  <si>
    <t>207858</t>
  </si>
  <si>
    <t>Молоко БЕЖИН ЛУГ 3.2% 1.4кг пэт</t>
  </si>
  <si>
    <t>170148</t>
  </si>
  <si>
    <t>Молоко Белая Долина 3.2% 835г пэт</t>
  </si>
  <si>
    <t>116727</t>
  </si>
  <si>
    <t>Молоко БЕЛЫЙ МЕДВЕДЬ 3.2% 900г пленка</t>
  </si>
  <si>
    <t>186025</t>
  </si>
  <si>
    <t>Молоко БОГДАША 3.2% 900мл пэт</t>
  </si>
  <si>
    <t>182034</t>
  </si>
  <si>
    <t>Молоко ВЕСЕЛЫЙ ЛУГ 3.2% 900г пленка</t>
  </si>
  <si>
    <t>185551</t>
  </si>
  <si>
    <t>Молоко ВКУСНОТЕЕВО Пастеризованное 3.2% 900г кувшин</t>
  </si>
  <si>
    <t>80840</t>
  </si>
  <si>
    <t>Молоко ВКУСНОТЕЕВО Пастеризованное 3.2% 900г пэт</t>
  </si>
  <si>
    <t>4956</t>
  </si>
  <si>
    <t>Молоко ВКУСНЯЕВ Пастеризованное 3.2% 770г пакет</t>
  </si>
  <si>
    <t>210139</t>
  </si>
  <si>
    <t>Молоко ВКУСНЯЕВ Пастеризованное 3.2% 900г пакет</t>
  </si>
  <si>
    <t>156839</t>
  </si>
  <si>
    <t>Молоко ВКУСНЯЕВ Пастеризованное 3.2% 930г пэт</t>
  </si>
  <si>
    <t>142040</t>
  </si>
  <si>
    <t>Молоко ВОЛЖСКИЕ ПРОСТОРЫ Пастеризованное 3.2% 900г ф/п</t>
  </si>
  <si>
    <t>28836</t>
  </si>
  <si>
    <t>Молоко ВРЕМЯ МОЛОКА 3.2% 900г пэт</t>
  </si>
  <si>
    <t>210802</t>
  </si>
  <si>
    <t>Молоко ДАРЕНКА 3.2% 930г пэт</t>
  </si>
  <si>
    <t>204279</t>
  </si>
  <si>
    <t>Молоко ДЕРЕВНЯ МАСЛОВКА 3.2% 900мл пленка</t>
  </si>
  <si>
    <t>193041</t>
  </si>
  <si>
    <t>Молоко ДЕРЕВНЯ СЧАСТЛИВОВО 3.2% 900мл пэт</t>
  </si>
  <si>
    <t>174773</t>
  </si>
  <si>
    <t>Молоко ДОБРАЯ БУРЕНКА 3.2% 900г пленка</t>
  </si>
  <si>
    <t>112931</t>
  </si>
  <si>
    <t>Молоко ДОБРАЯ БУРЕНКА 3.2% 900г пэт</t>
  </si>
  <si>
    <t>208701</t>
  </si>
  <si>
    <t>Молоко ДОБРЫНЯ 3.2% 900г пленка</t>
  </si>
  <si>
    <t>193265</t>
  </si>
  <si>
    <t>Молоко ДОМАШКИНО 3.2% 870мл пэт</t>
  </si>
  <si>
    <t>206420</t>
  </si>
  <si>
    <t>Молоко ДОМИК В ДЕРЕВНЕ 3.2% 930мл пэт</t>
  </si>
  <si>
    <t>205045</t>
  </si>
  <si>
    <t>Молоко ЗДОРОВЬЕ ИЗ ПРЕДГОРЬЯ 3.2% 1л пленка</t>
  </si>
  <si>
    <t>213885</t>
  </si>
  <si>
    <t>Молоко ИЗ СЕЛА УДОЕВО Пастеризованное 3.2% 1.35кг пэт</t>
  </si>
  <si>
    <t>173977</t>
  </si>
  <si>
    <t>Молоко КВИЛЛИ МИЛЛИ 3.2% 1.3л пэт</t>
  </si>
  <si>
    <t>180617</t>
  </si>
  <si>
    <t>Молоко КВИЛЛИ МИЛЛИ 3.2% 900г фл/п</t>
  </si>
  <si>
    <t>176039</t>
  </si>
  <si>
    <t>Молоко КУБАНСКАЯ БУРЕНКА 3.2% 1.4л пэт</t>
  </si>
  <si>
    <t>205054</t>
  </si>
  <si>
    <t>Молоко ЛЕБЕДЯНЬМОЛОКО 3.2% 1.4кг пэт</t>
  </si>
  <si>
    <t>176814</t>
  </si>
  <si>
    <t>204653</t>
  </si>
  <si>
    <t>Молоко ЛЕБЕДЯНЬМОЛОКО 3.2% 900г пэт</t>
  </si>
  <si>
    <t>154940</t>
  </si>
  <si>
    <t>Молоко ЛЕБЕДЯНЬМОЛОКО 3.2% 900г ф/п</t>
  </si>
  <si>
    <t>154936</t>
  </si>
  <si>
    <t>Молоко ЛЕТО БЛИЗКО 3.2% 1400г пэт</t>
  </si>
  <si>
    <t>192134</t>
  </si>
  <si>
    <t>Молоко ЛЕТО БЛИЗКО 3.2% 900г пэт</t>
  </si>
  <si>
    <t>175035</t>
  </si>
  <si>
    <t>Молоко ЛУЖОК 3.2% 0.9л</t>
  </si>
  <si>
    <t>147960</t>
  </si>
  <si>
    <t>Молоко ЛЮБИМОЕ ДЕЛО 3.2% 900г ф/п</t>
  </si>
  <si>
    <t>200793</t>
  </si>
  <si>
    <t>Молоко МЕСТНОЕ 3.2% 1700мл пэт</t>
  </si>
  <si>
    <t>210805</t>
  </si>
  <si>
    <t>Молоко МК СТАВРОПОЛЬСКИЙ 3.2% 900г ф/п</t>
  </si>
  <si>
    <t>164134</t>
  </si>
  <si>
    <t>Молоко МОЛКОМ 3.2% 900мл пэт</t>
  </si>
  <si>
    <t>213979</t>
  </si>
  <si>
    <t>Молоко МОЛКОМ 3.2% 950г пэт</t>
  </si>
  <si>
    <t>88097</t>
  </si>
  <si>
    <t>Молоко МОЛКОМ Российское 3.2% 900мл пленка</t>
  </si>
  <si>
    <t>216520</t>
  </si>
  <si>
    <t>Молоко МОЛОКО ОРЕНБУРЖЬЯ  3.2% 900г пленка</t>
  </si>
  <si>
    <t>200988</t>
  </si>
  <si>
    <t>Молоко МОЛОКОВЬЕ 3.2% 900мл пэт</t>
  </si>
  <si>
    <t>203572</t>
  </si>
  <si>
    <t>Молоко МОЛОЧНАЯ КРЕПОСТЬ 3.2% 1400мл пэт</t>
  </si>
  <si>
    <t>189862</t>
  </si>
  <si>
    <t>Молоко МОЛОЧНАЯ КРЕПОСТЬ 3.2% 900мл пэт</t>
  </si>
  <si>
    <t>189863</t>
  </si>
  <si>
    <t>Молоко МОЛОЧНОЕ ИЗОБИЛИЕ 3.2% 900г</t>
  </si>
  <si>
    <t>163957</t>
  </si>
  <si>
    <t>Молоко МОЛОЧНЫЙ ФЕРМЕР 3.2% 800г пленка</t>
  </si>
  <si>
    <t>209779</t>
  </si>
  <si>
    <t>Молоко МСК-ВОЛЖСКИЙ 3.2% 1400г п/п</t>
  </si>
  <si>
    <t>201539</t>
  </si>
  <si>
    <t>Молоко МСК-ВОЛЖСКИЙ 3.2% 900г п/п</t>
  </si>
  <si>
    <t>178287</t>
  </si>
  <si>
    <t>Молоко Муромское 3.2% 900мл пленка</t>
  </si>
  <si>
    <t>202782</t>
  </si>
  <si>
    <t>Молоко МУРОМСКОЕ ПОДВОРЬЕ 3.2% 870мл п/п</t>
  </si>
  <si>
    <t>202781</t>
  </si>
  <si>
    <t>Молоко НАША КОРОВА 3.2% 900г п/п</t>
  </si>
  <si>
    <t>206176</t>
  </si>
  <si>
    <t>Молоко НАША КОРОВА 3.2% 900г эколин</t>
  </si>
  <si>
    <t>196877</t>
  </si>
  <si>
    <t>Молоко НОРОВ 3.2% 900мл пэт</t>
  </si>
  <si>
    <t>156365</t>
  </si>
  <si>
    <t>Молоко ОЧЕНЬ ВАЖНАЯ КОРОВА 3.2% 1400г пэт</t>
  </si>
  <si>
    <t>148713</t>
  </si>
  <si>
    <t>Молоко ПЕРВЫЙ ВКУС 3.2% 900г ф/п</t>
  </si>
  <si>
    <t>204280</t>
  </si>
  <si>
    <t>Молоко ПЕСТРАВКА Пастеризованное 3.2% 2000г пэт</t>
  </si>
  <si>
    <t>165714</t>
  </si>
  <si>
    <t>Молоко СЕВЕРНАЯ ДОЛИНА 3.2% 900мл пэт</t>
  </si>
  <si>
    <t>207010</t>
  </si>
  <si>
    <t>Молоко СЕВЕРНАЯ ДОЛИНА 3.2% 950г</t>
  </si>
  <si>
    <t>166892</t>
  </si>
  <si>
    <t>Молоко СЕЛО ДОМАШКИНО Пастеризованное 3.2% 900мл пэт</t>
  </si>
  <si>
    <t>83393</t>
  </si>
  <si>
    <t>Молоко СЕРНУРСКИЙ СЗ 3.2% 900мл ф/п</t>
  </si>
  <si>
    <t>177946</t>
  </si>
  <si>
    <t>Молоко СТАНИЦА 3.2% 0.9л</t>
  </si>
  <si>
    <t>155068</t>
  </si>
  <si>
    <t>Молоко ТОММОЛОКО Пастеризованное 3.2% 1.5л пэт</t>
  </si>
  <si>
    <t>216906</t>
  </si>
  <si>
    <t>Молоко ТОЧНО МОЛОЧНО 3.2% 800г пэт</t>
  </si>
  <si>
    <t>197120</t>
  </si>
  <si>
    <t>Молоко ТОЧНО МОЛОЧНО 3.2% 900г пленка</t>
  </si>
  <si>
    <t>192339</t>
  </si>
  <si>
    <t>Молоко ТУЛЬСКИЙ МК 3.2% 800г ф/п</t>
  </si>
  <si>
    <t>216299</t>
  </si>
  <si>
    <t>Молоко ТУЛЬСКИЙ МК 3.2% 900г п/п</t>
  </si>
  <si>
    <t>206096</t>
  </si>
  <si>
    <t>Молоко ТУЛЬСКИЙ МК 3.2% 900г ф/п</t>
  </si>
  <si>
    <t>170149</t>
  </si>
  <si>
    <t>Молоко ЧЕРНОМОРСКИЙ МЗ 3.2% 900мл пэт</t>
  </si>
  <si>
    <t>196319</t>
  </si>
  <si>
    <t>Молоко ЩЕДРАЯ БУРЕНУШКА 3.2% 900мл пленка</t>
  </si>
  <si>
    <t>193040</t>
  </si>
  <si>
    <t>Молоко ЩЕДРАЯ БУРЕНУШКА 3.2% 900мл пэт</t>
  </si>
  <si>
    <t>207002</t>
  </si>
  <si>
    <t>Молоко ЭГО Отборное 3.2% 1700мл пэт</t>
  </si>
  <si>
    <t>158550</t>
  </si>
  <si>
    <t>Молоко ЭКОМИЛК 3.2% 900мл пэт</t>
  </si>
  <si>
    <t>205574</t>
  </si>
  <si>
    <t>Молоко ЭКОМИЛК 3.2% 930мл пэт</t>
  </si>
  <si>
    <t>153892</t>
  </si>
  <si>
    <t>Продукт м/с ДЕРЕВНЯ СЧАСТЛИВОВО Пастеризованный 3.2% 900мл пэт</t>
  </si>
  <si>
    <t>211404</t>
  </si>
  <si>
    <t>МОЛОКО ПАСТЕРИЗОВАННОЕ ЖИРНОСТЬЮ 3,2% Итог</t>
  </si>
  <si>
    <t>МОЛОКО ПАСТЕРИЗОВАННОЕ ЖИРНОСТЬЮ СВЫШЕ 3,2%</t>
  </si>
  <si>
    <t>Молоко АГРОСИЛА Отборное Халяль 3.4-6% 770г</t>
  </si>
  <si>
    <t>157308</t>
  </si>
  <si>
    <t>Молоко БЕЖИН ЛУГ Отборное 3.4-5% 925г пэт</t>
  </si>
  <si>
    <t>170151</t>
  </si>
  <si>
    <t>Молоко БЕЛАЯ ДОЛИНА Отборное 3.4-6% 835г пэт</t>
  </si>
  <si>
    <t>116728</t>
  </si>
  <si>
    <t>Молоко БЕЛЫЙ МЕДВЕДЬ Отборное 3.2-6% 900г пэт</t>
  </si>
  <si>
    <t>156102</t>
  </si>
  <si>
    <t>Молоко ВКУСНОТЕЕВО Пастеризованное Цельное 3.5-6% 900г пэт</t>
  </si>
  <si>
    <t>40681</t>
  </si>
  <si>
    <t>Молоко ВКУСНЯЕВ Отборное 3.4% 930г пэт</t>
  </si>
  <si>
    <t>138616</t>
  </si>
  <si>
    <t>Молоко ДОМИК В ДЕРЕВНЕ Деревенское Отборное 3.7-4.5% 930мл пэт</t>
  </si>
  <si>
    <t>39598</t>
  </si>
  <si>
    <t>Молоко ИЗ СЕЛА УДОЕВО Отборное 3.4-6% 1.35кг пэт</t>
  </si>
  <si>
    <t>211031</t>
  </si>
  <si>
    <t>Молоко КУБАНСКАЯ БУРЕНКА Отборное 3.4-4.5% 1.4л пэ</t>
  </si>
  <si>
    <t>180284</t>
  </si>
  <si>
    <t>Молоко КУБАНСКИЙ МОЛОЧНИК Отборное 3.4-6% 900г пленка</t>
  </si>
  <si>
    <t>186296</t>
  </si>
  <si>
    <t>Молоко ЛЕБЕДЯНЬМОЛОКО Отборное 3.4-4.5% 900г пэт</t>
  </si>
  <si>
    <t>154941</t>
  </si>
  <si>
    <t>Молоко МОЛКОМ Цельное 3.2-6% 900мл пэт</t>
  </si>
  <si>
    <t>185875</t>
  </si>
  <si>
    <t>Молоко МОЛОКОВЬЕ Отборное 3.4-6% 900мл пэт</t>
  </si>
  <si>
    <t>203571</t>
  </si>
  <si>
    <t>Молоко МОЛОЧНАЯ КРЕПОСТЬ Отборное 3.4-6% 900мл пэт</t>
  </si>
  <si>
    <t>214651</t>
  </si>
  <si>
    <t>Молоко МОЛОЧНАЯ ФЕРМА Отборное 3.4-6% 900мл фл/п</t>
  </si>
  <si>
    <t>176646</t>
  </si>
  <si>
    <t>Молоко МОЛОЧНЫЕ ИСТИНЫ Отборное 3.4-6% 900г пэт</t>
  </si>
  <si>
    <t>202170</t>
  </si>
  <si>
    <t>Молоко МОЯ СТАНИЦА 3.5-4% 0.9л пленка</t>
  </si>
  <si>
    <t>200760</t>
  </si>
  <si>
    <t>Молоко МСК-ВОЛЖСКИЙ Отборное 3.4-6% 900г п/п</t>
  </si>
  <si>
    <t>203470</t>
  </si>
  <si>
    <t>Молоко МУРОМСКОЕ ПОДВОРЬЕ 3.2-3.6% 1л п/п</t>
  </si>
  <si>
    <t>202783</t>
  </si>
  <si>
    <t>Молоко НАША КОРОВА 3.2% 900г пэт</t>
  </si>
  <si>
    <t>183395</t>
  </si>
  <si>
    <t>Молоко НАША КОРОВА 3.4-6% 900г пэт</t>
  </si>
  <si>
    <t>176205</t>
  </si>
  <si>
    <t>Молоко ОЧЕНЬ ВАЖНАЯ КОРОВА Отборное 3.4-6% 930г пэт</t>
  </si>
  <si>
    <t>4855</t>
  </si>
  <si>
    <t>Молоко ПРОСТОКВАШИНО Отборное 3.4-4.5% 930мл пэт</t>
  </si>
  <si>
    <t>7905</t>
  </si>
  <si>
    <t>Молоко ТОЛЬЯТТИМОЛОКО Отборное 3.4-6% 900г п/п</t>
  </si>
  <si>
    <t>94101</t>
  </si>
  <si>
    <t>Молоко ТОЧНО МОЛОЧНО Отборное 3.4-6% 900мл ф/п</t>
  </si>
  <si>
    <t>204220</t>
  </si>
  <si>
    <t>Молоко ЭКОВАКИНО 3.4-6% 930мл</t>
  </si>
  <si>
    <t>154391</t>
  </si>
  <si>
    <t>Молоко ЭКОМИЛК 3.4-4.5% Цельное Отборное 900мл пл/уп</t>
  </si>
  <si>
    <t>152636</t>
  </si>
  <si>
    <t>МОЛОКО ПАСТЕРИЗОВАННОЕ ЖИРНОСТЬЮ СВЫШЕ 3,2% Итог</t>
  </si>
  <si>
    <t>МОЛОКО ПАСТЕРИЗОВАННОЕ ТОПЛЕНОЕ</t>
  </si>
  <si>
    <t>Молоко БЕЖИН ЛУГ Топленое 3.2% 925г пэт</t>
  </si>
  <si>
    <t>170153</t>
  </si>
  <si>
    <t>Молоко ВКУСНЯЕВ Топленое 4% 930г пэт</t>
  </si>
  <si>
    <t>138617</t>
  </si>
  <si>
    <t>Молоко ГАРМОНИЯ ДНЯ Топленое 2.5% 900г пэт</t>
  </si>
  <si>
    <t>183709</t>
  </si>
  <si>
    <t>Молоко ДЕРЕВНЯ СЧАСТЛИВОВО Топленое 3.2% 900мл пэт</t>
  </si>
  <si>
    <t>181834</t>
  </si>
  <si>
    <t>Молоко ДОБРАЯ БУРЕНКА Топленое 4% 950г ТБА</t>
  </si>
  <si>
    <t>128928</t>
  </si>
  <si>
    <t>Молоко ДОМАШКИНО Топленое 2.5% 870мл пэт</t>
  </si>
  <si>
    <t>206421</t>
  </si>
  <si>
    <t>Молоко МОЛКОМ Топленое 3.2% 900мл пэт</t>
  </si>
  <si>
    <t>216089</t>
  </si>
  <si>
    <t>Молоко МОЛОЧНАЯ ПОЛЯНА Топленое 2.5% 450мл пэт</t>
  </si>
  <si>
    <t>164892</t>
  </si>
  <si>
    <t>Молоко ОЧЕНЬ ВАЖНАЯ КОРОВА Топленое 4% 930г</t>
  </si>
  <si>
    <t>4854</t>
  </si>
  <si>
    <t>Молоко ПЕРВЫЙ ВКУС Топленое 4% 930г пэт</t>
  </si>
  <si>
    <t>204281</t>
  </si>
  <si>
    <t>Молоко ПРОСТОКВАШИНО Топленое 2.5% 930мл пэт</t>
  </si>
  <si>
    <t>213878</t>
  </si>
  <si>
    <t>Молоко ПРОСТОКВАШИНО Топленое 3.2% 930мл</t>
  </si>
  <si>
    <t>95383</t>
  </si>
  <si>
    <t>Молоко СЕВЕРНАЯ ДОЛИНА Топленое 3.2% 900мл пэт</t>
  </si>
  <si>
    <t>208351</t>
  </si>
  <si>
    <t>Молоко СЕЛО ДОМАШКИНО Топленое 2.5% 900мл пэт</t>
  </si>
  <si>
    <t>172458</t>
  </si>
  <si>
    <t>Молоко ЭКОВАКИНО Топленое 2% 930г пэт</t>
  </si>
  <si>
    <t>212509</t>
  </si>
  <si>
    <t>МОЛОКО ПАСТЕРИЗОВАННОЕ ТОПЛЕНОЕ Итог</t>
  </si>
  <si>
    <t>МОЛОКО ПАСТЕРИЗОВАННОЕ Итог</t>
  </si>
  <si>
    <t>МОЛОКО РАСТИТЕЛЬНОЕ</t>
  </si>
  <si>
    <t>Напиток NEMOLOKO Овсяный Классический 3.2% 1л т/п</t>
  </si>
  <si>
    <t>120249</t>
  </si>
  <si>
    <t>Напиток NEMOLOKO Овсяный Шоколадный 1л т/п</t>
  </si>
  <si>
    <t>134110</t>
  </si>
  <si>
    <t>МОЛОКО РАСТИТЕЛЬНОЕ Итог</t>
  </si>
  <si>
    <t>МОЛОКО СТЕРИЛИЗОВАННОЕ</t>
  </si>
  <si>
    <t>МОЛОКО СТЕРИЛИЗОВАННОЕ ЖИРНОСТЬЮ 2-3%</t>
  </si>
  <si>
    <t>Молоко 2.5% 1л т/п МСЗ СЛАВЯНСКИЙ</t>
  </si>
  <si>
    <t>174776</t>
  </si>
  <si>
    <t>Молоко МОЛОЧНАЯ РЕЧКА Ультрапастеризованное 2.5% 1кг ТБА</t>
  </si>
  <si>
    <t>207483</t>
  </si>
  <si>
    <t>Молоко МОЛОЧНЫЙ ГОСТЬ ультрапастеризованное 2.5% 1л</t>
  </si>
  <si>
    <t>159774</t>
  </si>
  <si>
    <t>Молоко МОЛОЧНЫЙ ТЕРЕМ Ультрапастеризованное 2.5% 1л ТБА</t>
  </si>
  <si>
    <t>137395</t>
  </si>
  <si>
    <t>Молоко МОЛОЧНЫЙ ФЕРМЕР Ультрапастеризованное 2.5% 900г т/п</t>
  </si>
  <si>
    <t>206533</t>
  </si>
  <si>
    <t>Молоко ПРИЯТНОГО АППЕТИТА! Ультрапастеризованное 2.5% 900г ТФА</t>
  </si>
  <si>
    <t>210166</t>
  </si>
  <si>
    <t>Молоко ПРОСТО МОЛОКО 2.5% 1л т/п</t>
  </si>
  <si>
    <t>204651</t>
  </si>
  <si>
    <t>Молоко Ультрапастеризованное Эконом 2.5% 1л ТБА Пятигорский МК</t>
  </si>
  <si>
    <t>209047</t>
  </si>
  <si>
    <t>МОЛОКО СТЕРИЛИЗОВАННОЕ ЖИРНОСТЬЮ 2-3% Итог</t>
  </si>
  <si>
    <t>МОЛОКО СТЕРИЛИЗОВАННОЕ ЖИРНОСТЬЮ 3,2%</t>
  </si>
  <si>
    <t>Молоко 3.2% 1л т/п МСЗ СЛАВЯНСКИЙ</t>
  </si>
  <si>
    <t>174777</t>
  </si>
  <si>
    <t>Молоко АГРОСИЛА Халяль 3.2% 1л т/п</t>
  </si>
  <si>
    <t>204654</t>
  </si>
  <si>
    <t>Молоко МОЛОЧНАЯ РЕЧКА Ультрапастеризованное 3.2% 1кг ТБА</t>
  </si>
  <si>
    <t>106926</t>
  </si>
  <si>
    <t>Молоко МОЛОЧНЫЙ ГОСТЬ ультрапастеризованное 3.2% 1л</t>
  </si>
  <si>
    <t>159775</t>
  </si>
  <si>
    <t>Молоко МОЛОЧНЫЙ ФЕРМЕР Ультрапастеризованное 3.2% 900г т/п</t>
  </si>
  <si>
    <t>206536</t>
  </si>
  <si>
    <t>Молоко ПРИЯТНОГО АППЕТИТА! Ультрапастеризованное 3.2% 900г ТФА</t>
  </si>
  <si>
    <t>210167</t>
  </si>
  <si>
    <t>Молоко Ультрапастеризованное Эконом 3.2% 1л ТБА Пятигорский МК</t>
  </si>
  <si>
    <t>209048</t>
  </si>
  <si>
    <t>МОЛОКО СТЕРИЛИЗОВАННОЕ ЖИРНОСТЬЮ 3,2% Итог</t>
  </si>
  <si>
    <t>МОЛОКО СТЕРИЛИЗОВАННОЕ ТОПЛЕНОЕ</t>
  </si>
  <si>
    <t>Молоко ЛЕБЕДЯНЬМОЛОКО Топленое 4% 450г п/п</t>
  </si>
  <si>
    <t>154917</t>
  </si>
  <si>
    <t>МОЛОКО СТЕРИЛИЗОВАННОЕ ТОПЛЕНОЕ Итог</t>
  </si>
  <si>
    <t>МОЛОКО СТЕРИЛИЗОВАННОЕ Итог</t>
  </si>
  <si>
    <t>МОЛОКО Итог</t>
  </si>
  <si>
    <t>МОЛОЧНЫЕ ПРОДУКТЫ Итог</t>
  </si>
  <si>
    <t>ФРЕШ Итог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</si>
</sst>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\ _₽_-;\-* #,##0.00\ _₽_-;_-* &quot;-&quot;??\ _₽_-;_-@_-"/>
    <numFmt numFmtId="164" formatCode="#,###"/>
    <numFmt numFmtId="165" formatCode="#,###.00"/>
    <numFmt numFmtId="166" formatCode="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 tint="-0.249977111117893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 style="thin">
        <color theme="4" tint="0.39997558519241921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</cellStyleXfs>
  <cellXfs count="49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10" fontId="0" fillId="0" borderId="0" xfId="0" applyNumberFormat="1"/>
    <xf numFmtId="0" fontId="4" fillId="4" borderId="1" xfId="0" applyFont="1" applyFill="1" applyBorder="1" applyAlignment="1">
      <alignment horizontal="center" vertical="center"/>
    </xf>
    <xf numFmtId="0" fontId="5" fillId="0" borderId="0" xfId="0" applyFont="1"/>
    <xf numFmtId="0" fontId="4" fillId="2" borderId="1" xfId="0" applyFont="1" applyFill="1" applyBorder="1"/>
    <xf numFmtId="164" fontId="4" fillId="4" borderId="1" xfId="0" applyNumberFormat="1" applyFont="1" applyFill="1" applyBorder="1" applyAlignment="1">
      <alignment horizontal="center" vertical="center"/>
    </xf>
    <xf numFmtId="10" fontId="4" fillId="5" borderId="1" xfId="1" applyNumberFormat="1" applyFont="1" applyFill="1" applyBorder="1"/>
    <xf numFmtId="164" fontId="2" fillId="6" borderId="1" xfId="0" applyNumberFormat="1" applyFont="1" applyFill="1" applyBorder="1"/>
    <xf numFmtId="10" fontId="5" fillId="2" borderId="1" xfId="1" applyNumberFormat="1" applyFont="1" applyFill="1" applyBorder="1" applyAlignment="1">
      <alignment horizontal="center" vertical="center"/>
    </xf>
    <xf numFmtId="10" fontId="4" fillId="2" borderId="1" xfId="0" applyNumberFormat="1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0" fontId="5" fillId="6" borderId="1" xfId="0" applyFont="1" applyFill="1" applyBorder="1"/>
    <xf numFmtId="10" fontId="4" fillId="3" borderId="1" xfId="0" applyNumberFormat="1" applyFont="1" applyFill="1" applyBorder="1" applyAlignment="1">
      <alignment horizontal="center" vertical="center"/>
    </xf>
    <xf numFmtId="10" fontId="4" fillId="0" borderId="1" xfId="1" applyNumberFormat="1" applyFont="1" applyBorder="1" applyAlignment="1">
      <alignment horizontal="center"/>
    </xf>
    <xf numFmtId="10" fontId="5" fillId="3" borderId="1" xfId="1" applyNumberFormat="1" applyFont="1" applyFill="1" applyBorder="1" applyAlignment="1">
      <alignment horizontal="center" vertical="center"/>
    </xf>
    <xf numFmtId="10" fontId="4" fillId="2" borderId="1" xfId="1" applyNumberFormat="1" applyFont="1" applyFill="1" applyBorder="1" applyAlignment="1">
      <alignment horizontal="center" vertical="center"/>
    </xf>
    <xf numFmtId="10" fontId="4" fillId="0" borderId="1" xfId="1" applyNumberFormat="1" applyFont="1" applyBorder="1"/>
    <xf numFmtId="0" fontId="4" fillId="0" borderId="0" xfId="0" applyFont="1"/>
    <xf numFmtId="0" fontId="4" fillId="7" borderId="0" xfId="0" applyFont="1" applyFill="1"/>
    <xf numFmtId="0" fontId="3" fillId="0" borderId="0" xfId="0" applyFont="1"/>
    <xf numFmtId="3" fontId="5" fillId="0" borderId="0" xfId="0" applyNumberFormat="1" applyFont="1"/>
    <xf numFmtId="10" fontId="5" fillId="0" borderId="0" xfId="0" applyNumberFormat="1" applyFont="1"/>
    <xf numFmtId="0" fontId="5" fillId="5" borderId="1" xfId="0" applyFont="1" applyFill="1" applyBorder="1"/>
    <xf numFmtId="0" fontId="2" fillId="2" borderId="1" xfId="0" applyFont="1" applyFill="1" applyBorder="1"/>
    <xf numFmtId="164" fontId="0" fillId="0" borderId="1" xfId="0" applyNumberFormat="1" applyBorder="1"/>
    <xf numFmtId="164" fontId="0" fillId="5" borderId="1" xfId="0" applyNumberFormat="1" applyFill="1" applyBorder="1"/>
    <xf numFmtId="10" fontId="0" fillId="5" borderId="1" xfId="0" applyNumberFormat="1" applyFill="1" applyBorder="1"/>
    <xf numFmtId="0" fontId="4" fillId="2" borderId="1" xfId="0" applyFont="1" applyFill="1" applyBorder="1" applyAlignment="1">
      <alignment horizontal="center" vertical="center"/>
    </xf>
    <xf numFmtId="0" fontId="2" fillId="0" borderId="0" xfId="0" applyFont="1"/>
    <xf numFmtId="0" fontId="2" fillId="0" borderId="2" xfId="0" applyFont="1" applyBorder="1"/>
    <xf numFmtId="166" fontId="0" fillId="0" borderId="1" xfId="1" applyNumberFormat="1" applyFont="1" applyBorder="1"/>
    <xf numFmtId="0" fontId="4" fillId="3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2" fillId="0" borderId="3" xfId="0" applyFont="1" applyBorder="1"/>
    <xf numFmtId="0" fontId="2" fillId="2" borderId="4" xfId="0" applyFont="1" applyFill="1" applyBorder="1"/>
    <xf numFmtId="3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2" fillId="8" borderId="0" xfId="0" applyFont="1" applyFill="1"/>
    <xf numFmtId="0" fontId="0" fillId="8" borderId="0" xfId="0" applyFill="1"/>
    <xf numFmtId="0" fontId="2" fillId="9" borderId="0" xfId="0" applyFont="1" applyFill="1"/>
  </cellXfs>
  <cellStyles count="5">
    <cellStyle name="Обычный" xfId="0" builtinId="0"/>
    <cellStyle name="Обычный 2" xfId="3"/>
    <cellStyle name="Процентный" xfId="1" builtinId="5"/>
    <cellStyle name="Процентный 2" xfId="4"/>
    <cellStyle name="Финансовый 2" xfId="2"/>
  </cellStyles>
  <dxfs count="2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39994506668294322"/>
        </patternFill>
      </fill>
    </dxf>
    <dxf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ill>
        <patternFill>
          <bgColor rgb="FFFFCCCC"/>
        </patternFill>
      </fill>
    </dxf>
    <dxf>
      <fill>
        <patternFill>
          <bgColor theme="6" tint="0.3999450666829432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6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Бурнаев Андрей Владиславович" refreshedDate="46167.473705439814" backgroundQuery="1" createdVersion="6" refreshedVersion="6" minRefreshableVersion="3" recordCount="0" supportSubquery="1" supportAdvancedDrill="1">
  <cacheSource type="external" connectionId="1"/>
  <cacheFields count="111">
    <cacheField name="[dct_date].[y-m-d].[year_name]" caption="Год" numFmtId="0" hierarchy="14" level="1">
      <sharedItems count="1">
        <s v="[dct_date].[y-m-d].[year_name].&amp;[2016]" c="2016"/>
      </sharedItems>
    </cacheField>
    <cacheField name="[dct_date].[y-m-d].[month_full_name]" caption="Год/Месяц" numFmtId="0" hierarchy="14" level="2">
      <sharedItems count="1">
        <s v="[dct_date].[y-m-d].[month_full_name].&amp;[201607]" c="2016/Июль"/>
      </sharedItems>
    </cacheField>
    <cacheField name="[dct_date].[y-m-d].[date_name]" caption="Год-месяц-дата" numFmtId="0" hierarchy="14" level="3">
      <sharedItems count="21">
        <s v="[dct_date].[y-m-d].[date_name].&amp;[20160711]" c="11.07.2016"/>
        <s v="[dct_date].[y-m-d].[date_name].&amp;[20160712]" c="12.07.2016"/>
        <s v="[dct_date].[y-m-d].[date_name].&amp;[20160713]" c="13.07.2016"/>
        <s v="[dct_date].[y-m-d].[date_name].&amp;[20160714]" c="14.07.2016"/>
        <s v="[dct_date].[y-m-d].[date_name].&amp;[20160715]" c="15.07.2016"/>
        <s v="[dct_date].[y-m-d].[date_name].&amp;[20160716]" c="16.07.2016"/>
        <s v="[dct_date].[y-m-d].[date_name].&amp;[20160717]" c="17.07.2016"/>
        <s v="[dct_date].[y-m-d].[date_name].&amp;[20160718]" c="18.07.2016"/>
        <s v="[dct_date].[y-m-d].[date_name].&amp;[20160719]" c="19.07.2016"/>
        <s v="[dct_date].[y-m-d].[date_name].&amp;[20160720]" c="20.07.2016"/>
        <s v="[dct_date].[y-m-d].[date_name].&amp;[20160721]" c="21.07.2016"/>
        <s v="[dct_date].[y-m-d].[date_name].&amp;[20160722]" c="22.07.2016"/>
        <s v="[dct_date].[y-m-d].[date_name].&amp;[20160723]" c="23.07.2016"/>
        <s v="[dct_date].[y-m-d].[date_name].&amp;[20160724]" c="24.07.2016"/>
        <s v="[dct_date].[y-m-d].[date_name].&amp;[20160725]" c="25.07.2016"/>
        <s v="[dct_date].[y-m-d].[date_name].&amp;[20160726]" c="26.07.2016"/>
        <s v="[dct_date].[y-m-d].[date_name].&amp;[20160727]" c="27.07.2016"/>
        <s v="[dct_date].[y-m-d].[date_name].&amp;[20160728]" c="28.07.2016"/>
        <s v="[dct_date].[y-m-d].[date_name].&amp;[20160729]" c="29.07.2016"/>
        <s v="[dct_date].[y-m-d].[date_name].&amp;[20160730]" c="30.07.2016"/>
        <s v="[dct_date].[y-m-d].[date_name].&amp;[20160731]" c="31.07.2016"/>
      </sharedItems>
    </cacheField>
    <cacheField name="[dct_date].[y-m-d].[month_full_name].[quarter_full_name]" caption="Год/Квартал" propertyName="quarter_full_name" numFmtId="0" hierarchy="14" level="2" memberPropertyField="1">
      <sharedItems containsSemiMixedTypes="0" containsString="0"/>
    </cacheField>
    <cacheField name="[dct_date].[y-m-d].[date_name].[date_id]" caption="Код даты" propertyName="date_id" numFmtId="0" hierarchy="14" level="3" memberPropertyField="1">
      <sharedItems containsSemiMixedTypes="0" containsString="0"/>
    </cacheField>
    <cacheField name="[dct_date].[y-m-d].[date_name].[date_time]" caption="Дата время" propertyName="date_time" numFmtId="0" hierarchy="14" level="3" memberPropertyField="1">
      <sharedItems containsSemiMixedTypes="0" containsString="0"/>
    </cacheField>
    <cacheField name="[dct_date].[y-m-d].[date_name].[date_type_id]" caption="Код типа дня" propertyName="date_type_id" numFmtId="0" hierarchy="14" level="3" memberPropertyField="1">
      <sharedItems containsSemiMixedTypes="0" containsString="0"/>
    </cacheField>
    <cacheField name="[dct_date].[y-m-d].[date_name].[date_type_name]" caption="Тип дня" propertyName="date_type_name" numFmtId="0" hierarchy="14" level="3" memberPropertyField="1">
      <sharedItems containsSemiMixedTypes="0" containsString="0"/>
    </cacheField>
    <cacheField name="[dct_date].[y-m-d].[date_name].[month_full_name]" caption="Год/Месяц" propertyName="month_full_name" numFmtId="0" hierarchy="14" level="3" memberPropertyField="1">
      <sharedItems containsSemiMixedTypes="0" containsString="0"/>
    </cacheField>
    <cacheField name="[dct_date].[y-m-d].[date_name].[month_id]" caption="Код месяца" propertyName="month_id" numFmtId="0" hierarchy="14" level="3" memberPropertyField="1">
      <sharedItems containsSemiMixedTypes="0" containsString="0"/>
    </cacheField>
    <cacheField name="[dct_date].[y-m-d].[date_name].[month_name]" caption="Месяц" propertyName="month_name" numFmtId="0" hierarchy="14" level="3" memberPropertyField="1">
      <sharedItems containsSemiMixedTypes="0" containsString="0"/>
    </cacheField>
    <cacheField name="[dct_date].[y-m-d].[date_name].[month_number]" caption="Номер месяца" propertyName="month_number" numFmtId="0" hierarchy="14" level="3" memberPropertyField="1">
      <sharedItems containsSemiMixedTypes="0" containsString="0"/>
    </cacheField>
    <cacheField name="[dct_date].[y-m-d].[date_name].[quarter_id]" caption="Код квартала" propertyName="quarter_id" numFmtId="0" hierarchy="14" level="3" memberPropertyField="1">
      <sharedItems containsSemiMixedTypes="0" containsString="0"/>
    </cacheField>
    <cacheField name="[dct_date].[y-m-d].[date_name].[quarter_name]" caption="Квартал" propertyName="quarter_name" numFmtId="0" hierarchy="14" level="3" memberPropertyField="1">
      <sharedItems containsSemiMixedTypes="0" containsString="0"/>
    </cacheField>
    <cacheField name="[dct_date].[y-m-d].[date_name].[week_id]" caption="Код недели" propertyName="week_id" numFmtId="0" hierarchy="14" level="3" memberPropertyField="1">
      <sharedItems containsSemiMixedTypes="0" containsString="0"/>
    </cacheField>
    <cacheField name="[dct_date].[y-m-d].[date_name].[week_name]" caption="Неделя" propertyName="week_name" numFmtId="0" hierarchy="14" level="3" memberPropertyField="1">
      <sharedItems containsSemiMixedTypes="0" containsString="0"/>
    </cacheField>
    <cacheField name="[dct_date].[y-m-d].[date_name].[week_number]" caption="Номер дня недели" propertyName="week_number" numFmtId="0" hierarchy="14" level="3" memberPropertyField="1">
      <sharedItems containsSemiMixedTypes="0" containsString="0"/>
    </cacheField>
    <cacheField name="[dct_date].[y-m-d].[date_name].[weekday_name]" caption="День недели" propertyName="weekday_name" numFmtId="0" hierarchy="14" level="3" memberPropertyField="1">
      <sharedItems containsSemiMixedTypes="0" containsString="0"/>
    </cacheField>
    <cacheField name="[dct_date].[y-m-d].[date_name].[weekday_number]" caption="Номер дня недели" propertyName="weekday_number" numFmtId="0" hierarchy="14" level="3" memberPropertyField="1">
      <sharedItems containsSemiMixedTypes="0" containsString="0"/>
    </cacheField>
    <cacheField name="[dct_date].[y-m-d].[date_name].[year_id]" caption="Код года" propertyName="year_id" numFmtId="0" hierarchy="14" level="3" memberPropertyField="1">
      <sharedItems containsSemiMixedTypes="0" containsString="0"/>
    </cacheField>
    <cacheField name="[dct_db].[o-n].[owner_name]" caption="Юр. лицо" numFmtId="0" hierarchy="39" level="1">
      <sharedItems count="1">
        <s v="[dct_db].[o-n].[owner_name].&amp;[6C7F1E86-B14F-44B8-988F-B33E3EB5FA5E]" c="АО &quot;Гулливер&quot;"/>
      </sharedItems>
    </cacheField>
    <cacheField name="[dct_db].[o-n].[name]" caption="Подразделения" numFmtId="0" hierarchy="39" level="2">
      <sharedItems containsSemiMixedTypes="0" containsString="0"/>
    </cacheField>
    <cacheField name="[dct_db].[o-n].[name].[db_id]" caption="Код" propertyName="db_id" numFmtId="0" hierarchy="39" level="2" memberPropertyField="1">
      <sharedItems containsSemiMixedTypes="0" containsString="0"/>
    </cacheField>
    <cacheField name="[dct_db].[o-n].[name].[format]" caption="Формат" propertyName="format" numFmtId="0" hierarchy="39" level="2" memberPropertyField="1">
      <sharedItems containsSemiMixedTypes="0" containsString="0"/>
    </cacheField>
    <cacheField name="[dct_db].[o-n].[name].[owner_name]" caption="Юр. лицо" propertyName="owner_name" numFmtId="0" hierarchy="39" level="2" memberPropertyField="1">
      <sharedItems containsSemiMixedTypes="0" containsString="0"/>
    </cacheField>
    <cacheField name="[dct_db].[o-n].[name].[type_name]" caption="Тип подразделения" propertyName="type_name" numFmtId="0" hierarchy="39" level="2" memberPropertyField="1">
      <sharedItems containsSemiMixedTypes="0" containsString="0"/>
    </cacheField>
    <cacheField name="[dct_db].[o-n].[name].[Cash Count]" caption="Количество касс" propertyName="Cash Count" numFmtId="0" hierarchy="39" level="2" memberPropertyField="1">
      <sharedItems containsSemiMixedTypes="0" containsString="0"/>
    </cacheField>
    <cacheField name="[dct_db].[o-n].[name].[Cheif Name]" caption="ФИО Директора" propertyName="Cheif Name" numFmtId="0" hierarchy="39" level="2" memberPropertyField="1">
      <sharedItems containsSemiMixedTypes="0" containsString="0"/>
    </cacheField>
    <cacheField name="[dct_db].[o-n].[name].[Comparability Year1]" caption="Сопоставимость &quot;- 1 год&quot;" propertyName="Comparability Year1" numFmtId="0" hierarchy="39" level="2" memberPropertyField="1">
      <sharedItems containsSemiMixedTypes="0" containsString="0"/>
    </cacheField>
    <cacheField name="[dct_db].[o-n].[name].[Comparability Year2]" caption="Сопоставимость &quot;- 2 года&quot;" propertyName="Comparability Year2" numFmtId="0" hierarchy="39" level="2" memberPropertyField="1">
      <sharedItems containsSemiMixedTypes="0" containsString="0"/>
    </cacheField>
    <cacheField name="[dct_db].[o-n].[name].[Comparability10]" caption="Кулинарный участок" propertyName="Comparability10" numFmtId="0" hierarchy="39" level="2" memberPropertyField="1">
      <sharedItems containsSemiMixedTypes="0" containsString="0"/>
    </cacheField>
    <cacheField name="[dct_db].[o-n].[name].[Comparability20]" caption="Пекарня" propertyName="Comparability20" numFmtId="0" hierarchy="39" level="2" memberPropertyField="1">
      <sharedItems containsSemiMixedTypes="0" containsString="0"/>
    </cacheField>
    <cacheField name="[dct_db].[o-n].[name].[Comparability50]" caption="Сопоставимость 50" propertyName="Comparability50" numFmtId="0" hierarchy="39" level="2" memberPropertyField="1">
      <sharedItems containsSemiMixedTypes="0" containsString="0"/>
    </cacheField>
    <cacheField name="[dct_db].[o-n].[name].[Floor Space]" caption="Площадь полезная, м2" propertyName="Floor Space" numFmtId="0" hierarchy="39" level="2" memberPropertyField="1">
      <sharedItems containsSemiMixedTypes="0" containsString="0"/>
    </cacheField>
    <cacheField name="[dct_db].[o-n].[name].[Group1 Name]" caption="Дивизион" propertyName="Group1 Name" numFmtId="0" hierarchy="39" level="2" memberPropertyField="1">
      <sharedItems containsSemiMixedTypes="0" containsString="0"/>
    </cacheField>
    <cacheField name="[dct_db].[o-n].[name].[Group2 Name]" caption="Группа" propertyName="Group2 Name" numFmtId="0" hierarchy="39" level="2" memberPropertyField="1">
      <sharedItems containsSemiMixedTypes="0" containsString="0"/>
    </cacheField>
    <cacheField name="[dct_db].[o-n].[name].[Name Full]" caption="Полное имя подразделения" propertyName="Name Full" numFmtId="0" hierarchy="39" level="2" memberPropertyField="1">
      <sharedItems containsSemiMixedTypes="0" containsString="0"/>
    </cacheField>
    <cacheField name="[dct_db].[o-n].[name].[Note Division]" caption="IP адрес" propertyName="Note Division" numFmtId="0" hierarchy="39" level="2" memberPropertyField="1">
      <sharedItems containsSemiMixedTypes="0" containsString="0"/>
    </cacheField>
    <cacheField name="[dct_db].[o-n].[name].[Opening Date]" caption="Дата открытия" propertyName="Opening Date" numFmtId="0" hierarchy="39" level="2" memberPropertyField="1">
      <sharedItems containsSemiMixedTypes="0" containsString="0"/>
    </cacheField>
    <cacheField name="[dct_db].[o-n].[name].[Reconstruction Date Begin]" caption="Начало реконструкции" propertyName="Reconstruction Date Begin" numFmtId="0" hierarchy="39" level="2" memberPropertyField="1">
      <sharedItems containsSemiMixedTypes="0" containsString="0"/>
    </cacheField>
    <cacheField name="[dct_db].[o-n].[name].[Reconstruction Date End]" caption="Конец реконструкции" propertyName="Reconstruction Date End" numFmtId="0" hierarchy="39" level="2" memberPropertyField="1">
      <sharedItems containsSemiMixedTypes="0" containsString="0"/>
    </cacheField>
    <cacheField name="[dct_db].[o-n].[name].[Total Space]" caption="Площадь общая, м2" propertyName="Total Space" numFmtId="0" hierarchy="39" level="2" memberPropertyField="1">
      <sharedItems containsSemiMixedTypes="0" containsString="0"/>
    </cacheField>
    <cacheField name="[dct_db].[o-n].[name].[Upd City]" caption="Город" propertyName="Upd City" numFmtId="0" hierarchy="39" level="2" memberPropertyField="1">
      <sharedItems containsSemiMixedTypes="0" containsString="0"/>
    </cacheField>
    <cacheField name="[dct_db].[o-n].[name].[Upd House]" caption="Дом" propertyName="Upd House" numFmtId="0" hierarchy="39" level="2" memberPropertyField="1">
      <sharedItems containsSemiMixedTypes="0" containsString="0"/>
    </cacheField>
    <cacheField name="[dct_db].[o-n].[name].[Upd Postal Index]" caption="Код региона" propertyName="Upd Postal Index" numFmtId="0" hierarchy="39" level="2" memberPropertyField="1">
      <sharedItems containsSemiMixedTypes="0" containsString="0"/>
    </cacheField>
    <cacheField name="[dct_db].[o-n].[name].[Upd Region]" caption="Регион" propertyName="Upd Region" numFmtId="0" hierarchy="39" level="2" memberPropertyField="1">
      <sharedItems containsSemiMixedTypes="0" containsString="0"/>
    </cacheField>
    <cacheField name="[dct_db].[o-n].[name].[Upd Street]" caption="Улица" propertyName="Upd Street" numFmtId="0" hierarchy="39" level="2" memberPropertyField="1">
      <sharedItems containsSemiMixedTypes="0" containsString="0"/>
    </cacheField>
    <cacheField name="[dct_goods].[g-s-n (rrun)].[group_name]" caption="Уровень 1" numFmtId="0" hierarchy="73" level="1">
      <sharedItems containsSemiMixedTypes="0" containsString="0"/>
    </cacheField>
    <cacheField name="[dct_goods].[g-s-n (rrun)].[sub_group_name]" caption="Уровень 2" numFmtId="0" hierarchy="73" level="2">
      <sharedItems containsSemiMixedTypes="0" containsString="0"/>
    </cacheField>
    <cacheField name="[dct_goods].[g-s-n (rrun)].[Level 3 Name]" caption="Уровень 3" numFmtId="0" hierarchy="73" level="3">
      <sharedItems containsSemiMixedTypes="0" containsString="0"/>
    </cacheField>
    <cacheField name="[dct_goods].[g-s-n (rrun)].[Level 4 Name]" caption="Уровень 4" numFmtId="0" hierarchy="73" level="4">
      <sharedItems containsSemiMixedTypes="0" containsString="0"/>
    </cacheField>
    <cacheField name="[dct_goods].[g-s-n (rrun)].[Level 5 Name]" caption="Уровень 5" numFmtId="0" hierarchy="73" level="5">
      <sharedItems containsSemiMixedTypes="0" containsString="0"/>
    </cacheField>
    <cacheField name="[dct_goods].[g-s-n (rrun)].[name_rrun]" caption="Номенклатура" numFmtId="0" hierarchy="73" level="6">
      <sharedItems containsSemiMixedTypes="0" containsString="0"/>
    </cacheField>
    <cacheField name="[dct_goods].[g-s-n (rrun)].[sub_group_name].[group_name]" caption="Группа" propertyName="group_name" numFmtId="0" hierarchy="73" level="2" memberPropertyField="1">
      <sharedItems containsSemiMixedTypes="0" containsString="0"/>
    </cacheField>
    <cacheField name="[dct_date].[y-m-d].[date_name].[Week Full Name]" caption="Год/Неделя" propertyName="Week Full Name" numFmtId="0" hierarchy="14" level="3" memberPropertyField="1">
      <sharedItems containsSemiMixedTypes="0" containsString="0"/>
    </cacheField>
    <cacheField name="[dct_date].[y-m-d].[date_name].[Year w Id]" caption="Код года недели" propertyName="Year w Id" numFmtId="0" hierarchy="14" level="3" memberPropertyField="1">
      <sharedItems containsSemiMixedTypes="0" containsString="0"/>
    </cacheField>
    <cacheField name="[dct_db].[o-n].[name].[Comparability Year3]" caption="Сопоставимость к 2018 году" propertyName="Comparability Year3" numFmtId="0" hierarchy="39" level="2" memberPropertyField="1">
      <sharedItems containsSemiMixedTypes="0" containsString="0"/>
    </cacheField>
    <cacheField name="[dct_date].[y-m-d].[date_name].[day_month]" caption="День месяца" propertyName="day_month" numFmtId="0" hierarchy="14" level="3" memberPropertyField="1">
      <sharedItems containsSemiMixedTypes="0" containsString="0"/>
    </cacheField>
    <cacheField name="[dct_db].[o-n].[name].[F District]" caption="Федеральный округ" propertyName="F District" numFmtId="0" hierarchy="39" level="2" memberPropertyField="1">
      <sharedItems containsSemiMixedTypes="0" containsString="0"/>
    </cacheField>
    <cacheField name="[dct_db].[o-n].[name].[Location Type]" caption="Тип локации" propertyName="Location Type" numFmtId="0" hierarchy="39" level="2" memberPropertyField="1">
      <sharedItems containsSemiMixedTypes="0" containsString="0"/>
    </cacheField>
    <cacheField name="[dct_db].[o-n].[name].[Closing Date]" caption="Дата закрытия" propertyName="Closing Date" numFmtId="0" hierarchy="39" level="2" memberPropertyField="1">
      <sharedItems containsSemiMixedTypes="0" containsString="0"/>
    </cacheField>
    <cacheField name="[dct_db].[o-n].[name].[L District]" caption="Логистический округ" propertyName="L District" numFmtId="0" hierarchy="39" level="2" memberPropertyField="1">
      <sharedItems containsSemiMixedTypes="0" containsString="0"/>
    </cacheField>
    <cacheField name="[dct_db].[o-n].[name].[Retail Com]" caption="Торговая Сеть" propertyName="Retail Com" numFmtId="0" hierarchy="39" level="2" memberPropertyField="1">
      <sharedItems containsSemiMixedTypes="0" containsString="0"/>
    </cacheField>
    <cacheField name="[dct_db].[owner_name].[owner_name]" caption="Юр. лицо" numFmtId="0" hierarchy="40" level="1">
      <sharedItems containsSemiMixedTypes="0" containsString="0"/>
    </cacheField>
    <cacheField name="[dct_goods].[Good Cod Rr Int].[Good Cod Rr Int]" caption="Код товара" numFmtId="0" hierarchy="69" level="1">
      <sharedItems count="221">
        <s v="[dct_goods].[Good Cod Rr Int].&amp;[106926]" c="106926"/>
        <s v="[dct_goods].[Good Cod Rr Int].&amp;[112931]" c="112931"/>
        <s v="[dct_goods].[Good Cod Rr Int].&amp;[116727]" c="116727"/>
        <s v="[dct_goods].[Good Cod Rr Int].&amp;[116728]" c="116728"/>
        <s v="[dct_goods].[Good Cod Rr Int].&amp;[118408]" c="118408"/>
        <s v="[dct_goods].[Good Cod Rr Int].&amp;[120249]" c="120249"/>
        <s v="[dct_goods].[Good Cod Rr Int].&amp;[128928]" c="128928"/>
        <s v="[dct_goods].[Good Cod Rr Int].&amp;[134110]" c="134110"/>
        <s v="[dct_goods].[Good Cod Rr Int].&amp;[135865]" c="135865"/>
        <s v="[dct_goods].[Good Cod Rr Int].&amp;[137395]" c="137395"/>
        <s v="[dct_goods].[Good Cod Rr Int].&amp;[138616]" c="138616"/>
        <s v="[dct_goods].[Good Cod Rr Int].&amp;[138617]" c="138617"/>
        <s v="[dct_goods].[Good Cod Rr Int].&amp;[140419]" c="140419"/>
        <s v="[dct_goods].[Good Cod Rr Int].&amp;[142040]" c="142040"/>
        <s v="[dct_goods].[Good Cod Rr Int].&amp;[147960]" c="147960"/>
        <s v="[dct_goods].[Good Cod Rr Int].&amp;[148713]" c="148713"/>
        <s v="[dct_goods].[Good Cod Rr Int].&amp;[152636]" c="152636"/>
        <s v="[dct_goods].[Good Cod Rr Int].&amp;[153890]" c="153890"/>
        <s v="[dct_goods].[Good Cod Rr Int].&amp;[153892]" c="153892"/>
        <s v="[dct_goods].[Good Cod Rr Int].&amp;[154250]" c="154250"/>
        <s v="[dct_goods].[Good Cod Rr Int].&amp;[154391]" c="154391"/>
        <s v="[dct_goods].[Good Cod Rr Int].&amp;[154392]" c="154392"/>
        <s v="[dct_goods].[Good Cod Rr Int].&amp;[154917]" c="154917"/>
        <s v="[dct_goods].[Good Cod Rr Int].&amp;[154935]" c="154935"/>
        <s v="[dct_goods].[Good Cod Rr Int].&amp;[154936]" c="154936"/>
        <s v="[dct_goods].[Good Cod Rr Int].&amp;[154940]" c="154940"/>
        <s v="[dct_goods].[Good Cod Rr Int].&amp;[154941]" c="154941"/>
        <s v="[dct_goods].[Good Cod Rr Int].&amp;[155066]" c="155066"/>
        <s v="[dct_goods].[Good Cod Rr Int].&amp;[155068]" c="155068"/>
        <s v="[dct_goods].[Good Cod Rr Int].&amp;[156033]" c="156033"/>
        <s v="[dct_goods].[Good Cod Rr Int].&amp;[156101]" c="156101"/>
        <s v="[dct_goods].[Good Cod Rr Int].&amp;[156102]" c="156102"/>
        <s v="[dct_goods].[Good Cod Rr Int].&amp;[156365]" c="156365"/>
        <s v="[dct_goods].[Good Cod Rr Int].&amp;[156367]" c="156367"/>
        <s v="[dct_goods].[Good Cod Rr Int].&amp;[156832]" c="156832"/>
        <s v="[dct_goods].[Good Cod Rr Int].&amp;[156838]" c="156838"/>
        <s v="[dct_goods].[Good Cod Rr Int].&amp;[156839]" c="156839"/>
        <s v="[dct_goods].[Good Cod Rr Int].&amp;[157308]" c="157308"/>
        <s v="[dct_goods].[Good Cod Rr Int].&amp;[158550]" c="158550"/>
        <s v="[dct_goods].[Good Cod Rr Int].&amp;[159774]" c="159774"/>
        <s v="[dct_goods].[Good Cod Rr Int].&amp;[159775]" c="159775"/>
        <s v="[dct_goods].[Good Cod Rr Int].&amp;[160045]" c="160045"/>
        <s v="[dct_goods].[Good Cod Rr Int].&amp;[160046]" c="160046"/>
        <s v="[dct_goods].[Good Cod Rr Int].&amp;[160047]" c="160047"/>
        <s v="[dct_goods].[Good Cod Rr Int].&amp;[160048]" c="160048"/>
        <s v="[dct_goods].[Good Cod Rr Int].&amp;[162895]" c="162895"/>
        <s v="[dct_goods].[Good Cod Rr Int].&amp;[163761]" c="163761"/>
        <s v="[dct_goods].[Good Cod Rr Int].&amp;[163957]" c="163957"/>
        <s v="[dct_goods].[Good Cod Rr Int].&amp;[164133]" c="164133"/>
        <s v="[dct_goods].[Good Cod Rr Int].&amp;[164134]" c="164134"/>
        <s v="[dct_goods].[Good Cod Rr Int].&amp;[164890]" c="164890"/>
        <s v="[dct_goods].[Good Cod Rr Int].&amp;[164891]" c="164891"/>
        <s v="[dct_goods].[Good Cod Rr Int].&amp;[164892]" c="164892"/>
        <s v="[dct_goods].[Good Cod Rr Int].&amp;[165714]" c="165714"/>
        <s v="[dct_goods].[Good Cod Rr Int].&amp;[166891]" c="166891"/>
        <s v="[dct_goods].[Good Cod Rr Int].&amp;[166892]" c="166892"/>
        <s v="[dct_goods].[Good Cod Rr Int].&amp;[170147]" c="170147"/>
        <s v="[dct_goods].[Good Cod Rr Int].&amp;[170148]" c="170148"/>
        <s v="[dct_goods].[Good Cod Rr Int].&amp;[170149]" c="170149"/>
        <s v="[dct_goods].[Good Cod Rr Int].&amp;[170151]" c="170151"/>
        <s v="[dct_goods].[Good Cod Rr Int].&amp;[170153]" c="170153"/>
        <s v="[dct_goods].[Good Cod Rr Int].&amp;[170996]" c="170996"/>
        <s v="[dct_goods].[Good Cod Rr Int].&amp;[172181]" c="172181"/>
        <s v="[dct_goods].[Good Cod Rr Int].&amp;[172458]" c="172458"/>
        <s v="[dct_goods].[Good Cod Rr Int].&amp;[173974]" c="173974"/>
        <s v="[dct_goods].[Good Cod Rr Int].&amp;[173977]" c="173977"/>
        <s v="[dct_goods].[Good Cod Rr Int].&amp;[174772]" c="174772"/>
        <s v="[dct_goods].[Good Cod Rr Int].&amp;[174773]" c="174773"/>
        <s v="[dct_goods].[Good Cod Rr Int].&amp;[174776]" c="174776"/>
        <s v="[dct_goods].[Good Cod Rr Int].&amp;[174777]" c="174777"/>
        <s v="[dct_goods].[Good Cod Rr Int].&amp;[175034]" c="175034"/>
        <s v="[dct_goods].[Good Cod Rr Int].&amp;[175035]" c="175035"/>
        <s v="[dct_goods].[Good Cod Rr Int].&amp;[176038]" c="176038"/>
        <s v="[dct_goods].[Good Cod Rr Int].&amp;[176039]" c="176039"/>
        <s v="[dct_goods].[Good Cod Rr Int].&amp;[176204]" c="176204"/>
        <s v="[dct_goods].[Good Cod Rr Int].&amp;[176205]" c="176205"/>
        <s v="[dct_goods].[Good Cod Rr Int].&amp;[176644]" c="176644"/>
        <s v="[dct_goods].[Good Cod Rr Int].&amp;[176646]" c="176646"/>
        <s v="[dct_goods].[Good Cod Rr Int].&amp;[176685]" c="176685"/>
        <s v="[dct_goods].[Good Cod Rr Int].&amp;[176814]" c="176814"/>
        <s v="[dct_goods].[Good Cod Rr Int].&amp;[177032]" c="177032"/>
        <s v="[dct_goods].[Good Cod Rr Int].&amp;[177471]" c="177471"/>
        <s v="[dct_goods].[Good Cod Rr Int].&amp;[177566]" c="177566"/>
        <s v="[dct_goods].[Good Cod Rr Int].&amp;[177946]" c="177946"/>
        <s v="[dct_goods].[Good Cod Rr Int].&amp;[177947]" c="177947"/>
        <s v="[dct_goods].[Good Cod Rr Int].&amp;[178287]" c="178287"/>
        <s v="[dct_goods].[Good Cod Rr Int].&amp;[180284]" c="180284"/>
        <s v="[dct_goods].[Good Cod Rr Int].&amp;[180613]" c="180613"/>
        <s v="[dct_goods].[Good Cod Rr Int].&amp;[180617]" c="180617"/>
        <s v="[dct_goods].[Good Cod Rr Int].&amp;[180682]" c="180682"/>
        <s v="[dct_goods].[Good Cod Rr Int].&amp;[181834]" c="181834"/>
        <s v="[dct_goods].[Good Cod Rr Int].&amp;[182031]" c="182031"/>
        <s v="[dct_goods].[Good Cod Rr Int].&amp;[182034]" c="182034"/>
        <s v="[dct_goods].[Good Cod Rr Int].&amp;[182232]" c="182232"/>
        <s v="[dct_goods].[Good Cod Rr Int].&amp;[182233]" c="182233"/>
        <s v="[dct_goods].[Good Cod Rr Int].&amp;[182597]" c="182597"/>
        <s v="[dct_goods].[Good Cod Rr Int].&amp;[183227]" c="183227"/>
        <s v="[dct_goods].[Good Cod Rr Int].&amp;[183395]" c="183395"/>
        <s v="[dct_goods].[Good Cod Rr Int].&amp;[183709]" c="183709"/>
        <s v="[dct_goods].[Good Cod Rr Int].&amp;[185551]" c="185551"/>
        <s v="[dct_goods].[Good Cod Rr Int].&amp;[185872]" c="185872"/>
        <s v="[dct_goods].[Good Cod Rr Int].&amp;[185873]" c="185873"/>
        <s v="[dct_goods].[Good Cod Rr Int].&amp;[185875]" c="185875"/>
        <s v="[dct_goods].[Good Cod Rr Int].&amp;[186025]" c="186025"/>
        <s v="[dct_goods].[Good Cod Rr Int].&amp;[186295]" c="186295"/>
        <s v="[dct_goods].[Good Cod Rr Int].&amp;[186296]" c="186296"/>
        <s v="[dct_goods].[Good Cod Rr Int].&amp;[189544]" c="189544"/>
        <s v="[dct_goods].[Good Cod Rr Int].&amp;[189862]" c="189862"/>
        <s v="[dct_goods].[Good Cod Rr Int].&amp;[189863]" c="189863"/>
        <s v="[dct_goods].[Good Cod Rr Int].&amp;[191464]" c="191464"/>
        <s v="[dct_goods].[Good Cod Rr Int].&amp;[192119]" c="192119"/>
        <s v="[dct_goods].[Good Cod Rr Int].&amp;[192121]" c="192121"/>
        <s v="[dct_goods].[Good Cod Rr Int].&amp;[192134]" c="192134"/>
        <s v="[dct_goods].[Good Cod Rr Int].&amp;[192159]" c="192159"/>
        <s v="[dct_goods].[Good Cod Rr Int].&amp;[192338]" c="192338"/>
        <s v="[dct_goods].[Good Cod Rr Int].&amp;[192339]" c="192339"/>
        <s v="[dct_goods].[Good Cod Rr Int].&amp;[193040]" c="193040"/>
        <s v="[dct_goods].[Good Cod Rr Int].&amp;[193041]" c="193041"/>
        <s v="[dct_goods].[Good Cod Rr Int].&amp;[193265]" c="193265"/>
        <s v="[dct_goods].[Good Cod Rr Int].&amp;[193288]" c="193288"/>
        <s v="[dct_goods].[Good Cod Rr Int].&amp;[193917]" c="193917"/>
        <s v="[dct_goods].[Good Cod Rr Int].&amp;[193918]" c="193918"/>
        <s v="[dct_goods].[Good Cod Rr Int].&amp;[195581]" c="195581"/>
        <s v="[dct_goods].[Good Cod Rr Int].&amp;[196319]" c="196319"/>
        <s v="[dct_goods].[Good Cod Rr Int].&amp;[196325]" c="196325"/>
        <s v="[dct_goods].[Good Cod Rr Int].&amp;[196876]" c="196876"/>
        <s v="[dct_goods].[Good Cod Rr Int].&amp;[196877]" c="196877"/>
        <s v="[dct_goods].[Good Cod Rr Int].&amp;[197113]" c="197113"/>
        <s v="[dct_goods].[Good Cod Rr Int].&amp;[197120]" c="197120"/>
        <s v="[dct_goods].[Good Cod Rr Int].&amp;[200759]" c="200759"/>
        <s v="[dct_goods].[Good Cod Rr Int].&amp;[200760]" c="200760"/>
        <s v="[dct_goods].[Good Cod Rr Int].&amp;[200793]" c="200793"/>
        <s v="[dct_goods].[Good Cod Rr Int].&amp;[200987]" c="200987"/>
        <s v="[dct_goods].[Good Cod Rr Int].&amp;[200988]" c="200988"/>
        <s v="[dct_goods].[Good Cod Rr Int].&amp;[201539]" c="201539"/>
        <s v="[dct_goods].[Good Cod Rr Int].&amp;[202169]" c="202169"/>
        <s v="[dct_goods].[Good Cod Rr Int].&amp;[202170]" c="202170"/>
        <s v="[dct_goods].[Good Cod Rr Int].&amp;[202442]" c="202442"/>
        <s v="[dct_goods].[Good Cod Rr Int].&amp;[202781]" c="202781"/>
        <s v="[dct_goods].[Good Cod Rr Int].&amp;[202782]" c="202782"/>
        <s v="[dct_goods].[Good Cod Rr Int].&amp;[202783]" c="202783"/>
        <s v="[dct_goods].[Good Cod Rr Int].&amp;[203391]" c="203391"/>
        <s v="[dct_goods].[Good Cod Rr Int].&amp;[203466]" c="203466"/>
        <s v="[dct_goods].[Good Cod Rr Int].&amp;[203470]" c="203470"/>
        <s v="[dct_goods].[Good Cod Rr Int].&amp;[203571]" c="203571"/>
        <s v="[dct_goods].[Good Cod Rr Int].&amp;[203572]" c="203572"/>
        <s v="[dct_goods].[Good Cod Rr Int].&amp;[204220]" c="204220"/>
        <s v="[dct_goods].[Good Cod Rr Int].&amp;[204277]" c="204277"/>
        <s v="[dct_goods].[Good Cod Rr Int].&amp;[204278]" c="204278"/>
        <s v="[dct_goods].[Good Cod Rr Int].&amp;[204279]" c="204279"/>
        <s v="[dct_goods].[Good Cod Rr Int].&amp;[204280]" c="204280"/>
        <s v="[dct_goods].[Good Cod Rr Int].&amp;[204281]" c="204281"/>
        <s v="[dct_goods].[Good Cod Rr Int].&amp;[204651]" c="204651"/>
        <s v="[dct_goods].[Good Cod Rr Int].&amp;[204653]" c="204653"/>
        <s v="[dct_goods].[Good Cod Rr Int].&amp;[204654]" c="204654"/>
        <s v="[dct_goods].[Good Cod Rr Int].&amp;[205045]" c="205045"/>
        <s v="[dct_goods].[Good Cod Rr Int].&amp;[205054]" c="205054"/>
        <s v="[dct_goods].[Good Cod Rr Int].&amp;[205259]" c="205259"/>
        <s v="[dct_goods].[Good Cod Rr Int].&amp;[205571]" c="205571"/>
        <s v="[dct_goods].[Good Cod Rr Int].&amp;[205574]" c="205574"/>
        <s v="[dct_goods].[Good Cod Rr Int].&amp;[206096]" c="206096"/>
        <s v="[dct_goods].[Good Cod Rr Int].&amp;[206175]" c="206175"/>
        <s v="[dct_goods].[Good Cod Rr Int].&amp;[206176]" c="206176"/>
        <s v="[dct_goods].[Good Cod Rr Int].&amp;[206418]" c="206418"/>
        <s v="[dct_goods].[Good Cod Rr Int].&amp;[206420]" c="206420"/>
        <s v="[dct_goods].[Good Cod Rr Int].&amp;[206421]" c="206421"/>
        <s v="[dct_goods].[Good Cod Rr Int].&amp;[206533]" c="206533"/>
        <s v="[dct_goods].[Good Cod Rr Int].&amp;[206536]" c="206536"/>
        <s v="[dct_goods].[Good Cod Rr Int].&amp;[207002]" c="207002"/>
        <s v="[dct_goods].[Good Cod Rr Int].&amp;[207010]" c="207010"/>
        <s v="[dct_goods].[Good Cod Rr Int].&amp;[207483]" c="207483"/>
        <s v="[dct_goods].[Good Cod Rr Int].&amp;[207853]" c="207853"/>
        <s v="[dct_goods].[Good Cod Rr Int].&amp;[207858]" c="207858"/>
        <s v="[dct_goods].[Good Cod Rr Int].&amp;[208351]" c="208351"/>
        <s v="[dct_goods].[Good Cod Rr Int].&amp;[208700]" c="208700"/>
        <s v="[dct_goods].[Good Cod Rr Int].&amp;[208701]" c="208701"/>
        <s v="[dct_goods].[Good Cod Rr Int].&amp;[209047]" c="209047"/>
        <s v="[dct_goods].[Good Cod Rr Int].&amp;[209048]" c="209048"/>
        <s v="[dct_goods].[Good Cod Rr Int].&amp;[209779]" c="209779"/>
        <s v="[dct_goods].[Good Cod Rr Int].&amp;[210048]" c="210048"/>
        <s v="[dct_goods].[Good Cod Rr Int].&amp;[210139]" c="210139"/>
        <s v="[dct_goods].[Good Cod Rr Int].&amp;[210166]" c="210166"/>
        <s v="[dct_goods].[Good Cod Rr Int].&amp;[210167]" c="210167"/>
        <s v="[dct_goods].[Good Cod Rr Int].&amp;[210796]" c="210796"/>
        <s v="[dct_goods].[Good Cod Rr Int].&amp;[210802]" c="210802"/>
        <s v="[dct_goods].[Good Cod Rr Int].&amp;[210805]" c="210805"/>
        <s v="[dct_goods].[Good Cod Rr Int].&amp;[211031]" c="211031"/>
        <s v="[dct_goods].[Good Cod Rr Int].&amp;[211402]" c="211402"/>
        <s v="[dct_goods].[Good Cod Rr Int].&amp;[211404]" c="211404"/>
        <s v="[dct_goods].[Good Cod Rr Int].&amp;[212509]" c="212509"/>
        <s v="[dct_goods].[Good Cod Rr Int].&amp;[212573]" c="212573"/>
        <s v="[dct_goods].[Good Cod Rr Int].&amp;[213878]" c="213878"/>
        <s v="[dct_goods].[Good Cod Rr Int].&amp;[213884]" c="213884"/>
        <s v="[dct_goods].[Good Cod Rr Int].&amp;[213885]" c="213885"/>
        <s v="[dct_goods].[Good Cod Rr Int].&amp;[213978]" c="213978"/>
        <s v="[dct_goods].[Good Cod Rr Int].&amp;[213979]" c="213979"/>
        <s v="[dct_goods].[Good Cod Rr Int].&amp;[214345]" c="214345"/>
        <s v="[dct_goods].[Good Cod Rr Int].&amp;[214651]" c="214651"/>
        <s v="[dct_goods].[Good Cod Rr Int].&amp;[214965]" c="214965"/>
        <s v="[dct_goods].[Good Cod Rr Int].&amp;[216089]" c="216089"/>
        <s v="[dct_goods].[Good Cod Rr Int].&amp;[216296]" c="216296"/>
        <s v="[dct_goods].[Good Cod Rr Int].&amp;[216299]" c="216299"/>
        <s v="[dct_goods].[Good Cod Rr Int].&amp;[216520]" c="216520"/>
        <s v="[dct_goods].[Good Cod Rr Int].&amp;[216906]" c="216906"/>
        <s v="[dct_goods].[Good Cod Rr Int].&amp;[27749]" c="27749"/>
        <s v="[dct_goods].[Good Cod Rr Int].&amp;[28835]" c="28835"/>
        <s v="[dct_goods].[Good Cod Rr Int].&amp;[28836]" c="28836"/>
        <s v="[dct_goods].[Good Cod Rr Int].&amp;[39598]" c="39598"/>
        <s v="[dct_goods].[Good Cod Rr Int].&amp;[40681]" c="40681"/>
        <s v="[dct_goods].[Good Cod Rr Int].&amp;[4854]" c="4854"/>
        <s v="[dct_goods].[Good Cod Rr Int].&amp;[4855]" c="4855"/>
        <s v="[dct_goods].[Good Cod Rr Int].&amp;[4956]" c="4956"/>
        <s v="[dct_goods].[Good Cod Rr Int].&amp;[6990]" c="6990"/>
        <s v="[dct_goods].[Good Cod Rr Int].&amp;[74428]" c="74428"/>
        <s v="[dct_goods].[Good Cod Rr Int].&amp;[7905]" c="7905"/>
        <s v="[dct_goods].[Good Cod Rr Int].&amp;[80840]" c="80840"/>
        <s v="[dct_goods].[Good Cod Rr Int].&amp;[83391]" c="83391"/>
        <s v="[dct_goods].[Good Cod Rr Int].&amp;[83393]" c="83393"/>
        <s v="[dct_goods].[Good Cod Rr Int].&amp;[88097]" c="88097"/>
        <s v="[dct_goods].[Good Cod Rr Int].&amp;[94101]" c="94101"/>
        <s v="[dct_goods].[Good Cod Rr Int].&amp;[95383]" c="95383"/>
      </sharedItems>
    </cacheField>
    <cacheField name="[dct_goods].[name_rrun].[name_rrun]" caption="Номенклатура" numFmtId="0" hierarchy="87" level="1">
      <sharedItems count="217">
        <s v="[dct_goods].[name_rrun].&amp;[Молоко 2.5% 1л т/п МСЗ СЛАВЯНСКИЙ]" c="Молоко 2.5% 1л т/п МСЗ СЛАВЯНСКИЙ"/>
        <s v="[dct_goods].[name_rrun].&amp;[Молоко 2.5% 1л ф/п ХК Лабинский]" c="Молоко 2.5% 1л ф/п ХК Лабинский"/>
        <s v="[dct_goods].[name_rrun].&amp;[Молоко 3.2% 1л т/п МСЗ СЛАВЯНСКИЙ]" c="Молоко 3.2% 1л т/п МСЗ СЛАВЯНСКИЙ"/>
        <s v="[dct_goods].[name_rrun].&amp;[Молоко 3.2% 1л ф/п ХК Лабинский]" c="Молоко 3.2% 1л ф/п ХК Лабинский"/>
        <s v="[dct_goods].[name_rrun].&amp;[Молоко АГРОСИЛА Отборное Халяль 3.4-6% 770г]" c="Молоко АГРОСИЛА Отборное Халяль 3.4-6% 770г"/>
        <s v="[dct_goods].[name_rrun].&amp;[Молоко АГРОСИЛА Халяль 2.5% 770г ф/п]" c="Молоко АГРОСИЛА Халяль 2.5% 770г ф/п"/>
        <s v="[dct_goods].[name_rrun].&amp;[Молоко АГРОСИЛА Халяль 3.2% 1л т/п]" c="Молоко АГРОСИЛА Халяль 3.2% 1л т/п"/>
        <s v="[dct_goods].[name_rrun].&amp;[Молоко АДЫГЕЙСКИЙ МК Майкопское 2.5% 900г]" c="Молоко АДЫГЕЙСКИЙ МК Майкопское 2.5% 900г"/>
        <s v="[dct_goods].[name_rrun].&amp;[Молоко АДЫГЕЙСКИЙ МК Майкопское 3.2% 900г]" c="Молоко АДЫГЕЙСКИЙ МК Майкопское 3.2% 900г"/>
        <s v="[dct_goods].[name_rrun].&amp;[Молоко АМКА 3.2% 1л ф/п]" c="Молоко АМКА 3.2% 1л ф/п"/>
        <s v="[dct_goods].[name_rrun].&amp;[Молоко БАВЛИНСКОЕ МОЛОКО 2.5% 900мл ф/п]" c="Молоко БАВЛИНСКОЕ МОЛОКО 2.5% 900мл ф/п"/>
        <s v="[dct_goods].[name_rrun].&amp;[Молоко БАВЛИНСКОЕ МОЛОКО 3.2% 900мл пэт]" c="Молоко БАВЛИНСКОЕ МОЛОКО 3.2% 900мл пэт"/>
        <s v="[dct_goods].[name_rrun].&amp;[Молоко БЕЖИН ЛУГ 2.5% 1.4кг пэт]" c="Молоко БЕЖИН ЛУГ 2.5% 1.4кг пэт"/>
        <s v="[dct_goods].[name_rrun].&amp;[Молоко БЕЖИН ЛУГ 3.2% 1.4кг пэт]" c="Молоко БЕЖИН ЛУГ 3.2% 1.4кг пэт"/>
        <s v="[dct_goods].[name_rrun].&amp;[Молоко БЕЖИН ЛУГ Отборное 3.4-5% 925г пэт]" c="Молоко БЕЖИН ЛУГ Отборное 3.4-5% 925г пэт"/>
        <s v="[dct_goods].[name_rrun].&amp;[Молоко БЕЖИН ЛУГ Топленое 3.2% 925г пэт]" c="Молоко БЕЖИН ЛУГ Топленое 3.2% 925г пэт"/>
        <s v="[dct_goods].[name_rrun].&amp;[Молоко БЕЛАЯ ДОЛИНА 2.5% 0.9л пленка]" c="Молоко БЕЛАЯ ДОЛИНА 2.5% 0.9л пленка"/>
        <s v="[dct_goods].[name_rrun].&amp;[Молоко БЕЛАЯ ДОЛИНА 2.5% 1.6кг пэт]" c="Молоко БЕЛАЯ ДОЛИНА 2.5% 1.6кг пэт"/>
        <s v="[dct_goods].[name_rrun].&amp;[Молоко Белая Долина 3.2% 835г пэт]" c="Молоко Белая Долина 3.2% 835г пэт"/>
        <s v="[dct_goods].[name_rrun].&amp;[Молоко БЕЛАЯ ДОЛИНА Отборное 3.4-6% 835г пэт]" c="Молоко БЕЛАЯ ДОЛИНА Отборное 3.4-6% 835г пэт"/>
        <s v="[dct_goods].[name_rrun].&amp;[Молоко БЕЛЫЙ МЕДВЕДЬ 2.5% 1л ф/п]" c="Молоко БЕЛЫЙ МЕДВЕДЬ 2.5% 1л ф/п"/>
        <s v="[dct_goods].[name_rrun].&amp;[Молоко БЕЛЫЙ МЕДВЕДЬ 2.5% 900г]" c="Молоко БЕЛЫЙ МЕДВЕДЬ 2.5% 900г"/>
        <s v="[dct_goods].[name_rrun].&amp;[Молоко БЕЛЫЙ МЕДВЕДЬ 3.2% 900г пленка]" c="Молоко БЕЛЫЙ МЕДВЕДЬ 3.2% 900г пленка"/>
        <s v="[dct_goods].[name_rrun].&amp;[Молоко БЕЛЫЙ МЕДВЕДЬ Отборное 3.2-6% 900г пэт]" c="Молоко БЕЛЫЙ МЕДВЕДЬ Отборное 3.2-6% 900г пэт"/>
        <s v="[dct_goods].[name_rrun].&amp;[Молоко БОГДАША 2.5% 1.5л пэт]" c="Молоко БОГДАША 2.5% 1.5л пэт"/>
        <s v="[dct_goods].[name_rrun].&amp;[Молоко БОГДАША 3.2% 900мл пэт]" c="Молоко БОГДАША 3.2% 900мл пэт"/>
        <s v="[dct_goods].[name_rrun].&amp;[Молоко ВЕСЕЛЫЙ ЛУГ 3.2% 900г пленка]" c="Молоко ВЕСЕЛЫЙ ЛУГ 3.2% 900г пленка"/>
        <s v="[dct_goods].[name_rrun].&amp;[Молоко ВКУСНОТЕЕВО Пастеризованное 2.5% 900г кувшин]" c="Молоко ВКУСНОТЕЕВО Пастеризованное 2.5% 900г кувшин"/>
        <s v="[dct_goods].[name_rrun].&amp;[Молоко ВКУСНОТЕЕВО Пастеризованное 2.5% 900г пэт]" c="Молоко ВКУСНОТЕЕВО Пастеризованное 2.5% 900г пэт"/>
        <s v="[dct_goods].[name_rrun].&amp;[Молоко ВКУСНОТЕЕВО Пастеризованное 3.2% 900г кувшин]" c="Молоко ВКУСНОТЕЕВО Пастеризованное 3.2% 900г кувшин"/>
        <s v="[dct_goods].[name_rrun].&amp;[Молоко ВКУСНОТЕЕВО Пастеризованное 3.2% 900г пэт]" c="Молоко ВКУСНОТЕЕВО Пастеризованное 3.2% 900г пэт"/>
        <s v="[dct_goods].[name_rrun].&amp;[Молоко ВКУСНОТЕЕВО Пастеризованное Цельное 3.5-6% 900г пэт]" c="Молоко ВКУСНОТЕЕВО Пастеризованное Цельное 3.5-6% 900г пэт"/>
        <s v="[dct_goods].[name_rrun].&amp;[Молоко ВКУСНЯЕВ 2.5% 900г Пастеризованное п/пакет]" c="Молоко ВКУСНЯЕВ 2.5% 900г Пастеризованное п/пакет"/>
        <s v="[dct_goods].[name_rrun].&amp;[Молоко ВКУСНЯЕВ Отборное 3.4% 930г пэт]" c="Молоко ВКУСНЯЕВ Отборное 3.4% 930г пэт"/>
        <s v="[dct_goods].[name_rrun].&amp;[Молоко ВКУСНЯЕВ Пастеризованное 2.5% 800г пакет]" c="Молоко ВКУСНЯЕВ Пастеризованное 2.5% 800г пакет"/>
        <s v="[dct_goods].[name_rrun].&amp;[Молоко ВКУСНЯЕВ Пастеризованное 2.5% 930г пэт]" c="Молоко ВКУСНЯЕВ Пастеризованное 2.5% 930г пэт"/>
        <s v="[dct_goods].[name_rrun].&amp;[Молоко ВКУСНЯЕВ Пастеризованное 3.2% 770г пакет]" c="Молоко ВКУСНЯЕВ Пастеризованное 3.2% 770г пакет"/>
        <s v="[dct_goods].[name_rrun].&amp;[Молоко ВКУСНЯЕВ Пастеризованное 3.2% 900г пакет]" c="Молоко ВКУСНЯЕВ Пастеризованное 3.2% 900г пакет"/>
        <s v="[dct_goods].[name_rrun].&amp;[Молоко ВКУСНЯЕВ Пастеризованное 3.2% 930г пэт]" c="Молоко ВКУСНЯЕВ Пастеризованное 3.2% 930г пэт"/>
        <s v="[dct_goods].[name_rrun].&amp;[Молоко ВКУСНЯЕВ Топленое 4% 930г пэт]" c="Молоко ВКУСНЯЕВ Топленое 4% 930г пэт"/>
        <s v="[dct_goods].[name_rrun].&amp;[Молоко ВОЛЖСКИЕ ПРОСТОРЫ Пастеризованное 2.5% 900г]" c="Молоко ВОЛЖСКИЕ ПРОСТОРЫ Пастеризованное 2.5% 900г"/>
        <s v="[dct_goods].[name_rrun].&amp;[Молоко ВОЛЖСКИЕ ПРОСТОРЫ Пастеризованное 3.2% 900г ф/п]" c="Молоко ВОЛЖСКИЕ ПРОСТОРЫ Пастеризованное 3.2% 900г ф/п"/>
        <s v="[dct_goods].[name_rrun].&amp;[Молоко ВРЕМЯ МОЛОКА 3.2% 900г пэт]" c="Молоко ВРЕМЯ МОЛОКА 3.2% 900г пэт"/>
        <s v="[dct_goods].[name_rrun].&amp;[Молоко ВРЕМЯ МУ 2.5% 800г пакет]" c="Молоко ВРЕМЯ МУ 2.5% 800г пакет"/>
        <s v="[dct_goods].[name_rrun].&amp;[Молоко ГАРМОНИЯ ДНЯ Топленое 2.5% 900г пэт]" c="Молоко ГАРМОНИЯ ДНЯ Топленое 2.5% 900г пэт"/>
        <s v="[dct_goods].[name_rrun].&amp;[Молоко ДАРЕНКА 3.2% 930г пэт]" c="Молоко ДАРЕНКА 3.2% 930г пэт"/>
        <s v="[dct_goods].[name_rrun].&amp;[Молоко ДЕРЕВНЯ МАСЛОВКА 3.2% 900мл пленка]" c="Молоко ДЕРЕВНЯ МАСЛОВКА 3.2% 900мл пленка"/>
        <s v="[dct_goods].[name_rrun].&amp;[Молоко ДЕРЕВНЯ СЧАСТЛИВОВО 2.5% 900мл пэт]" c="Молоко ДЕРЕВНЯ СЧАСТЛИВОВО 2.5% 900мл пэт"/>
        <s v="[dct_goods].[name_rrun].&amp;[Молоко ДЕРЕВНЯ СЧАСТЛИВОВО 3.2% 900мл пэт]" c="Молоко ДЕРЕВНЯ СЧАСТЛИВОВО 3.2% 900мл пэт"/>
        <s v="[dct_goods].[name_rrun].&amp;[Молоко ДЕРЕВНЯ СЧАСТЛИВОВО Топленое 3.2% 900мл пэт]" c="Молоко ДЕРЕВНЯ СЧАСТЛИВОВО Топленое 3.2% 900мл пэт"/>
        <s v="[dct_goods].[name_rrun].&amp;[Молоко ДОБРАЯ БУРЕНКА 2.5% 900г пленка]" c="Молоко ДОБРАЯ БУРЕНКА 2.5% 900г пленка"/>
        <s v="[dct_goods].[name_rrun].&amp;[Молоко ДОБРАЯ БУРЕНКА 2.5% 900г пэт]" c="Молоко ДОБРАЯ БУРЕНКА 2.5% 900г пэт"/>
        <s v="[dct_goods].[name_rrun].&amp;[Молоко ДОБРАЯ БУРЕНКА 3.2% 900г пленка]" c="Молоко ДОБРАЯ БУРЕНКА 3.2% 900г пленка"/>
        <s v="[dct_goods].[name_rrun].&amp;[Молоко ДОБРАЯ БУРЕНКА 3.2% 900г пэт]" c="Молоко ДОБРАЯ БУРЕНКА 3.2% 900г пэт"/>
        <s v="[dct_goods].[name_rrun].&amp;[Молоко ДОБРАЯ БУРЕНКА Топленое 4% 950г ТБА]" c="Молоко ДОБРАЯ БУРЕНКА Топленое 4% 950г ТБА"/>
        <s v="[dct_goods].[name_rrun].&amp;[Молоко ДОБРЫНЯ 2.5% 900г пленка]" c="Молоко ДОБРЫНЯ 2.5% 900г пленка"/>
        <s v="[dct_goods].[name_rrun].&amp;[Молоко ДОБРЫНЯ 3.2% 900г пленка]" c="Молоко ДОБРЫНЯ 3.2% 900г пленка"/>
        <s v="[dct_goods].[name_rrun].&amp;[Молоко ДОМАШКИНО 2.5% 870мл пэт]" c="Молоко ДОМАШКИНО 2.5% 870мл пэт"/>
        <s v="[dct_goods].[name_rrun].&amp;[Молоко ДОМАШКИНО 3.2% 870мл пэт]" c="Молоко ДОМАШКИНО 3.2% 870мл пэт"/>
        <s v="[dct_goods].[name_rrun].&amp;[Молоко ДОМАШКИНО Топленое 2.5% 870мл пэт]" c="Молоко ДОМАШКИНО Топленое 2.5% 870мл пэт"/>
        <s v="[dct_goods].[name_rrun].&amp;[Молоко ДОМИК В ДЕРЕВНЕ 2.5% 1.4л пэт]" c="Молоко ДОМИК В ДЕРЕВНЕ 2.5% 1.4л пэт"/>
        <s v="[dct_goods].[name_rrun].&amp;[Молоко ДОМИК В ДЕРЕВНЕ 3.2% 930мл пэт]" c="Молоко ДОМИК В ДЕРЕВНЕ 3.2% 930мл пэт"/>
        <s v="[dct_goods].[name_rrun].&amp;[Молоко ДОМИК В ДЕРЕВНЕ Деревенское Отборное 3.7-4.5% 930мл пэт]" c="Молоко ДОМИК В ДЕРЕВНЕ Деревенское Отборное 3.7-4.5% 930мл пэт"/>
        <s v="[dct_goods].[name_rrun].&amp;[Молоко ЗДОРОВЬЕ ИЗ ПРЕДГОРЬЯ 2.5% 1л пленка]" c="Молоко ЗДОРОВЬЕ ИЗ ПРЕДГОРЬЯ 2.5% 1л пленка"/>
        <s v="[dct_goods].[name_rrun].&amp;[Молоко ЗДОРОВЬЕ ИЗ ПРЕДГОРЬЯ 3.2% 1л пленка]" c="Молоко ЗДОРОВЬЕ ИЗ ПРЕДГОРЬЯ 3.2% 1л пленка"/>
        <s v="[dct_goods].[name_rrun].&amp;[Молоко ИВАН ПОДДУБНЫЙ 2.5% 900г ф/п]" c="Молоко ИВАН ПОДДУБНЫЙ 2.5% 900г ф/п"/>
        <s v="[dct_goods].[name_rrun].&amp;[Молоко ИЗ СЕЛА УДОЕВО Отборное 3.4-6% 1.35кг пэт]" c="Молоко ИЗ СЕЛА УДОЕВО Отборное 3.4-6% 1.35кг пэт"/>
        <s v="[dct_goods].[name_rrun].&amp;[Молоко ИЗ СЕЛА УДОЕВО Пастеризованное 2.5% 835г пэт]" c="Молоко ИЗ СЕЛА УДОЕВО Пастеризованное 2.5% 835г пэт"/>
        <s v="[dct_goods].[name_rrun].&amp;[Молоко ИЗ СЕЛА УДОЕВО Пастеризованное 3.2% 1.35кг пэт]" c="Молоко ИЗ СЕЛА УДОЕВО Пастеризованное 3.2% 1.35кг пэт"/>
        <s v="[dct_goods].[name_rrun].&amp;[Молоко КВИЛЛИ МИЛЛИ 2.5% 1.3л пэт]" c="Молоко КВИЛЛИ МИЛЛИ 2.5% 1.3л пэт"/>
        <s v="[dct_goods].[name_rrun].&amp;[Молоко КВИЛЛИ МИЛЛИ 2.5% 900г фл/п]" c="Молоко КВИЛЛИ МИЛЛИ 2.5% 900г фл/п"/>
        <s v="[dct_goods].[name_rrun].&amp;[Молоко КВИЛЛИ МИЛЛИ 3.2% 1.3л пэт]" c="Молоко КВИЛЛИ МИЛЛИ 3.2% 1.3л пэт"/>
        <s v="[dct_goods].[name_rrun].&amp;[Молоко КВИЛЛИ МИЛЛИ 3.2% 900г фл/п]" c="Молоко КВИЛЛИ МИЛЛИ 3.2% 900г фл/п"/>
        <s v="[dct_goods].[name_rrun].&amp;[Молоко КУБАНСКАЯ БУРЕНКА 2.5% 1.4л пэт]" c="Молоко КУБАНСКАЯ БУРЕНКА 2.5% 1.4л пэт"/>
        <s v="[dct_goods].[name_rrun].&amp;[Молоко КУБАНСКАЯ БУРЕНКА 3.2% 1.4л пэт]" c="Молоко КУБАНСКАЯ БУРЕНКА 3.2% 1.4л пэт"/>
        <s v="[dct_goods].[name_rrun].&amp;[Молоко КУБАНСКАЯ БУРЕНКА Отборное 3.4-4.5% 1.4л пэ]" c="Молоко КУБАНСКАЯ БУРЕНКА Отборное 3.4-4.5% 1.4л пэ"/>
        <s v="[dct_goods].[name_rrun].&amp;[Молоко КУБАНСКИЙ МОЛОЧНИК 2.5% 900г пленка]" c="Молоко КУБАНСКИЙ МОЛОЧНИК 2.5% 900г пленка"/>
        <s v="[dct_goods].[name_rrun].&amp;[Молоко КУБАНСКИЙ МОЛОЧНИК Отборное 3.4-6% 900г пленка]" c="Молоко КУБАНСКИЙ МОЛОЧНИК Отборное 3.4-6% 900г пленка"/>
        <s v="[dct_goods].[name_rrun].&amp;[Молоко ЛЕБЕДЯНЬМОЛОКО 2.5% 1.4кг пэт]" c="Молоко ЛЕБЕДЯНЬМОЛОКО 2.5% 1.4кг пэт"/>
        <s v="[dct_goods].[name_rrun].&amp;[Молоко ЛЕБЕДЯНЬМОЛОКО 2.5% 900г пэт]" c="Молоко ЛЕБЕДЯНЬМОЛОКО 2.5% 900г пэт"/>
        <s v="[dct_goods].[name_rrun].&amp;[Молоко ЛЕБЕДЯНЬМОЛОКО 2.5% 900г ф/п]" c="Молоко ЛЕБЕДЯНЬМОЛОКО 2.5% 900г ф/п"/>
        <s v="[dct_goods].[name_rrun].&amp;[Молоко ЛЕБЕДЯНЬМОЛОКО 3.2% 1.4кг пэт]" c="Молоко ЛЕБЕДЯНЬМОЛОКО 3.2% 1.4кг пэт"/>
        <s v="[dct_goods].[name_rrun].&amp;[Молоко ЛЕБЕДЯНЬМОЛОКО 3.2% 900г пэт]" c="Молоко ЛЕБЕДЯНЬМОЛОКО 3.2% 900г пэт"/>
        <s v="[dct_goods].[name_rrun].&amp;[Молоко ЛЕБЕДЯНЬМОЛОКО 3.2% 900г ф/п]" c="Молоко ЛЕБЕДЯНЬМОЛОКО 3.2% 900г ф/п"/>
        <s v="[dct_goods].[name_rrun].&amp;[Молоко ЛЕБЕДЯНЬМОЛОКО Отборное 3.4-4.5% 900г пэт]" c="Молоко ЛЕБЕДЯНЬМОЛОКО Отборное 3.4-4.5% 900г пэт"/>
        <s v="[dct_goods].[name_rrun].&amp;[Молоко ЛЕБЕДЯНЬМОЛОКО Топленое 4% 450г п/п]" c="Молоко ЛЕБЕДЯНЬМОЛОКО Топленое 4% 450г п/п"/>
        <s v="[dct_goods].[name_rrun].&amp;[Молоко ЛЕТО БЛИЗКО 2.5% 900г пэт]" c="Молоко ЛЕТО БЛИЗКО 2.5% 900г пэт"/>
        <s v="[dct_goods].[name_rrun].&amp;[Молоко ЛЕТО БЛИЗКО 3.2% 1400г пэт]" c="Молоко ЛЕТО БЛИЗКО 3.2% 1400г пэт"/>
        <s v="[dct_goods].[name_rrun].&amp;[Молоко ЛЕТО БЛИЗКО 3.2% 900г пэт]" c="Молоко ЛЕТО БЛИЗКО 3.2% 900г пэт"/>
        <s v="[dct_goods].[name_rrun].&amp;[Молоко ЛУЖОК 3.2% 0.9л]" c="Молоко ЛУЖОК 3.2% 0.9л"/>
        <s v="[dct_goods].[name_rrun].&amp;[Молоко ЛЮБИМОЕ ДЕЛО 2.5% 800г ф/п]" c="Молоко ЛЮБИМОЕ ДЕЛО 2.5% 800г ф/п"/>
        <s v="[dct_goods].[name_rrun].&amp;[Молоко ЛЮБИМОЕ ДЕЛО 3.2% 900г ф/п]" c="Молоко ЛЮБИМОЕ ДЕЛО 3.2% 900г ф/п"/>
        <s v="[dct_goods].[name_rrun].&amp;[Молоко МЕГАТРЕЙД-ЮГ 2.5% 1кг]" c="Молоко МЕГАТРЕЙД-ЮГ 2.5% 1кг"/>
        <s v="[dct_goods].[name_rrun].&amp;[Молоко МЕСТНОЕ 2.5% 1700мл пэт]" c="Молоко МЕСТНОЕ 2.5% 1700мл пэт"/>
        <s v="[dct_goods].[name_rrun].&amp;[Молоко МЕСТНОЕ 3.2% 1700мл пэт]" c="Молоко МЕСТНОЕ 3.2% 1700мл пэт"/>
        <s v="[dct_goods].[name_rrun].&amp;[Молоко МК СТАВРОПОЛЬСКИЙ 2.5% 1л]" c="Молоко МК СТАВРОПОЛЬСКИЙ 2.5% 1л"/>
        <s v="[dct_goods].[name_rrun].&amp;[Молоко МК СТАВРОПОЛЬСКИЙ 3.2% 900г ф/п]" c="Молоко МК СТАВРОПОЛЬСКИЙ 3.2% 900г ф/п"/>
        <s v="[dct_goods].[name_rrun].&amp;[Молоко МОЛКОМ 2.5% 900мл пэт]" c="Молоко МОЛКОМ 2.5% 900мл пэт"/>
        <s v="[dct_goods].[name_rrun].&amp;[Молоко МОЛКОМ 2.5% 950г пэт]" c="Молоко МОЛКОМ 2.5% 950г пэт"/>
        <s v="[dct_goods].[name_rrun].&amp;[Молоко МОЛКОМ 3.2% 900мл пэт]" c="Молоко МОЛКОМ 3.2% 900мл пэт"/>
        <s v="[dct_goods].[name_rrun].&amp;[Молоко МОЛКОМ 3.2% 950г пэт]" c="Молоко МОЛКОМ 3.2% 950г пэт"/>
        <s v="[dct_goods].[name_rrun].&amp;[Молоко МОЛКОМ Российские 2.5% 900мл п/п]" c="Молоко МОЛКОМ Российские 2.5% 900мл п/п"/>
        <s v="[dct_goods].[name_rrun].&amp;[Молоко МОЛКОМ Российское 2.5% 1л пленка]" c="Молоко МОЛКОМ Российское 2.5% 1л пленка"/>
        <s v="[dct_goods].[name_rrun].&amp;[Молоко МОЛКОМ Российское 3.2% 900мл пленка]" c="Молоко МОЛКОМ Российское 3.2% 900мл пленка"/>
        <s v="[dct_goods].[name_rrun].&amp;[Молоко МОЛКОМ Топленое 3.2% 900мл пэт]" c="Молоко МОЛКОМ Топленое 3.2% 900мл пэт"/>
        <s v="[dct_goods].[name_rrun].&amp;[Молоко МОЛКОМ Цельное 3.2-6% 900мл пэт]" c="Молоко МОЛКОМ Цельное 3.2-6% 900мл пэт"/>
        <s v="[dct_goods].[name_rrun].&amp;[Молоко МОЛОКО ОРЕНБУРЖЬЯ  2.5% 900г пленка]" c="Молоко МОЛОКО ОРЕНБУРЖЬЯ  2.5% 900г пленка"/>
        <s v="[dct_goods].[name_rrun].&amp;[Молоко МОЛОКО ОРЕНБУРЖЬЯ  3.2% 900г пленка]" c="Молоко МОЛОКО ОРЕНБУРЖЬЯ  3.2% 900г пленка"/>
        <s v="[dct_goods].[name_rrun].&amp;[Молоко МОЛОКОВЪ Пастеризованное 2.5% 900мл фл/п]" c="Молоко МОЛОКОВЪ Пастеризованное 2.5% 900мл фл/п"/>
        <s v="[dct_goods].[name_rrun].&amp;[Молоко МОЛОКОВЬЕ 2.5% 900мл пэт]" c="Молоко МОЛОКОВЬЕ 2.5% 900мл пэт"/>
        <s v="[dct_goods].[name_rrun].&amp;[Молоко МОЛОКОВЬЕ 3.2% 900мл пэт]" c="Молоко МОЛОКОВЬЕ 3.2% 900мл пэт"/>
        <s v="[dct_goods].[name_rrun].&amp;[Молоко МОЛОКОВЬЕ Отборное 3.4-6% 900мл пэт]" c="Молоко МОЛОКОВЬЕ Отборное 3.4-6% 900мл пэт"/>
        <s v="[dct_goods].[name_rrun].&amp;[Молоко МОЛОЧНАЯ КРЕПОСТЬ 3.2% 1400мл пэт]" c="Молоко МОЛОЧНАЯ КРЕПОСТЬ 3.2% 1400мл пэт"/>
        <s v="[dct_goods].[name_rrun].&amp;[Молоко МОЛОЧНАЯ КРЕПОСТЬ 3.2% 900мл пэт]" c="Молоко МОЛОЧНАЯ КРЕПОСТЬ 3.2% 900мл пэт"/>
        <s v="[dct_goods].[name_rrun].&amp;[Молоко МОЛОЧНАЯ КРЕПОСТЬ Отборное 3.4-6% 900мл пэт]" c="Молоко МОЛОЧНАЯ КРЕПОСТЬ Отборное 3.4-6% 900мл пэт"/>
        <s v="[dct_goods].[name_rrun].&amp;[Молоко МОЛОЧНАЯ ПОЛЯНА Пастеризованное 2.5% 930мл]" c="Молоко МОЛОЧНАЯ ПОЛЯНА Пастеризованное 2.5% 930мл"/>
        <s v="[dct_goods].[name_rrun].&amp;[Молоко МОЛОЧНАЯ ПОЛЯНА Топленое 2.5% 450мл пэт]" c="Молоко МОЛОЧНАЯ ПОЛЯНА Топленое 2.5% 450мл пэт"/>
        <s v="[dct_goods].[name_rrun].&amp;[Молоко МОЛОЧНАЯ РЕЧКА Ультрапастеризованное 2.5% 1кг ТБА]" c="Молоко МОЛОЧНАЯ РЕЧКА Ультрапастеризованное 2.5% 1кг ТБА"/>
        <s v="[dct_goods].[name_rrun].&amp;[Молоко МОЛОЧНАЯ РЕЧКА Ультрапастеризованное 3.2% 1кг ТБА]" c="Молоко МОЛОЧНАЯ РЕЧКА Ультрапастеризованное 3.2% 1кг ТБА"/>
        <s v="[dct_goods].[name_rrun].&amp;[Молоко МОЛОЧНАЯ ФЕРМА Отборное 3.4-6% 900мл фл/п]" c="Молоко МОЛОЧНАЯ ФЕРМА Отборное 3.4-6% 900мл фл/п"/>
        <s v="[dct_goods].[name_rrun].&amp;[Молоко МОЛОЧНОЕ ИЗОБИЛИЕ 3.2% 900г]" c="Молоко МОЛОЧНОЕ ИЗОБИЛИЕ 3.2% 900г"/>
        <s v="[dct_goods].[name_rrun].&amp;[Молоко МОЛОЧНЫЕ ИСТИНЫ 2.5% 900г пэт]" c="Молоко МОЛОЧНЫЕ ИСТИНЫ 2.5% 900г пэт"/>
        <s v="[dct_goods].[name_rrun].&amp;[Молоко МОЛОЧНЫЕ ИСТИНЫ Отборное 3.4-6% 900г пэт]" c="Молоко МОЛОЧНЫЕ ИСТИНЫ Отборное 3.4-6% 900г пэт"/>
        <s v="[dct_goods].[name_rrun].&amp;[Молоко МОЛОЧНЫЙ ГОСТЬ ультрапастеризованное 2.5% 1л]" c="Молоко МОЛОЧНЫЙ ГОСТЬ ультрапастеризованное 2.5% 1л"/>
        <s v="[dct_goods].[name_rrun].&amp;[Молоко МОЛОЧНЫЙ ГОСТЬ ультрапастеризованное 3.2% 1л]" c="Молоко МОЛОЧНЫЙ ГОСТЬ ультрапастеризованное 3.2% 1л"/>
        <s v="[dct_goods].[name_rrun].&amp;[Молоко МОЛОЧНЫЙ ТЕРЕМ Ультрапастеризованное 2.5% 1л ТБА]" c="Молоко МОЛОЧНЫЙ ТЕРЕМ Ультрапастеризованное 2.5% 1л ТБА"/>
        <s v="[dct_goods].[name_rrun].&amp;[Молоко МОЛОЧНЫЙ ФЕРМЕР 3.2% 800г пленка]" c="Молоко МОЛОЧНЫЙ ФЕРМЕР 3.2% 800г пленка"/>
        <s v="[dct_goods].[name_rrun].&amp;[Молоко МОЛОЧНЫЙ ФЕРМЕР Ультрапастеризованное 2.5% 900г т/п]" c="Молоко МОЛОЧНЫЙ ФЕРМЕР Ультрапастеризованное 2.5% 900г т/п"/>
        <s v="[dct_goods].[name_rrun].&amp;[Молоко МОЛОЧНЫЙ ФЕРМЕР Ультрапастеризованное 3.2% 900г т/п]" c="Молоко МОЛОЧНЫЙ ФЕРМЕР Ультрапастеризованное 3.2% 900г т/п"/>
        <s v="[dct_goods].[name_rrun].&amp;[Молоко МОЯ СТАНИЦА 2.7% 0.9л пленка]" c="Молоко МОЯ СТАНИЦА 2.7% 0.9л пленка"/>
        <s v="[dct_goods].[name_rrun].&amp;[Молоко МОЯ СТАНИЦА 3.5-4% 0.9л пленка]" c="Молоко МОЯ СТАНИЦА 3.5-4% 0.9л пленка"/>
        <s v="[dct_goods].[name_rrun].&amp;[Молоко МСК-ВОЛЖСКИЙ 2.5% 900г п/п]" c="Молоко МСК-ВОЛЖСКИЙ 2.5% 900г п/п"/>
        <s v="[dct_goods].[name_rrun].&amp;[Молоко МСК-ВОЛЖСКИЙ 3.2% 1400г п/п]" c="Молоко МСК-ВОЛЖСКИЙ 3.2% 1400г п/п"/>
        <s v="[dct_goods].[name_rrun].&amp;[Молоко МСК-ВОЛЖСКИЙ 3.2% 900г п/п]" c="Молоко МСК-ВОЛЖСКИЙ 3.2% 900г п/п"/>
        <s v="[dct_goods].[name_rrun].&amp;[Молоко МСК-ВОЛЖСКИЙ Отборное 3.4-6% 900г п/п]" c="Молоко МСК-ВОЛЖСКИЙ Отборное 3.4-6% 900г п/п"/>
        <s v="[dct_goods].[name_rrun].&amp;[Молоко Муромское 3.2% 900мл пленка]" c="Молоко Муромское 3.2% 900мл пленка"/>
        <s v="[dct_goods].[name_rrun].&amp;[Молоко МУРОМСКОЕ ПОДВОРЬЕ 3.2% 870мл п/п]" c="Молоко МУРОМСКОЕ ПОДВОРЬЕ 3.2% 870мл п/п"/>
        <s v="[dct_goods].[name_rrun].&amp;[Молоко МУРОМСКОЕ ПОДВОРЬЕ 3.2-3.6% 1л п/п]" c="Молоко МУРОМСКОЕ ПОДВОРЬЕ 3.2-3.6% 1л п/п"/>
        <s v="[dct_goods].[name_rrun].&amp;[Молоко НАША КОРОВА 2.5% 900г п/п]" c="Молоко НАША КОРОВА 2.5% 900г п/п"/>
        <s v="[dct_goods].[name_rrun].&amp;[Молоко НАША КОРОВА 2.5% 900г пленка]" c="Молоко НАША КОРОВА 2.5% 900г пленка"/>
        <s v="[dct_goods].[name_rrun].&amp;[Молоко НАША КОРОВА 2.5% 900г пэт]" c="Молоко НАША КОРОВА 2.5% 900г пэт"/>
        <s v="[dct_goods].[name_rrun].&amp;[Молоко НАША КОРОВА 2.5% 900г эколин]" c="Молоко НАША КОРОВА 2.5% 900г эколин"/>
        <s v="[dct_goods].[name_rrun].&amp;[Молоко НАША КОРОВА 3.2% 900г п/п]" c="Молоко НАША КОРОВА 3.2% 900г п/п"/>
        <s v="[dct_goods].[name_rrun].&amp;[Молоко НАША КОРОВА 3.2% 900г пэт]" c="Молоко НАША КОРОВА 3.2% 900г пэт"/>
        <s v="[dct_goods].[name_rrun].&amp;[Молоко НАША КОРОВА 3.2% 900г эколин]" c="Молоко НАША КОРОВА 3.2% 900г эколин"/>
        <s v="[dct_goods].[name_rrun].&amp;[Молоко НАША КОРОВА 3.4-6% 900г пэт]" c="Молоко НАША КОРОВА 3.4-6% 900г пэт"/>
        <s v="[dct_goods].[name_rrun].&amp;[Молоко НОРОВ 2.5% 900мл пленка]" c="Молоко НОРОВ 2.5% 900мл пленка"/>
        <s v="[dct_goods].[name_rrun].&amp;[Молоко НОРОВ 2.5% 900мл пэт]" c="Молоко НОРОВ 2.5% 900мл пэт"/>
        <s v="[dct_goods].[name_rrun].&amp;[Молоко НОРОВ 3.2% 900мл пэт]" c="Молоко НОРОВ 3.2% 900мл пэт"/>
        <s v="[dct_goods].[name_rrun].&amp;[Молоко ОЧЕНЬ ВАЖНАЯ КОРОВА 2.5% 1400г пэт]" c="Молоко ОЧЕНЬ ВАЖНАЯ КОРОВА 2.5% 1400г пэт"/>
        <s v="[dct_goods].[name_rrun].&amp;[Молоко ОЧЕНЬ ВАЖНАЯ КОРОВА 2.5% 930г пэт]" c="Молоко ОЧЕНЬ ВАЖНАЯ КОРОВА 2.5% 930г пэт"/>
        <s v="[dct_goods].[name_rrun].&amp;[Молоко ОЧЕНЬ ВАЖНАЯ КОРОВА 3.2% 1400г пэт]" c="Молоко ОЧЕНЬ ВАЖНАЯ КОРОВА 3.2% 1400г пэт"/>
        <s v="[dct_goods].[name_rrun].&amp;[Молоко ОЧЕНЬ ВАЖНАЯ КОРОВА Отборное 3.4-6% 930г пэт]" c="Молоко ОЧЕНЬ ВАЖНАЯ КОРОВА Отборное 3.4-6% 930г пэт"/>
        <s v="[dct_goods].[name_rrun].&amp;[Молоко ОЧЕНЬ ВАЖНАЯ КОРОВА Топленое 4% 930г]" c="Молоко ОЧЕНЬ ВАЖНАЯ КОРОВА Топленое 4% 930г"/>
        <s v="[dct_goods].[name_rrun].&amp;[Молоко ПЕРВЫЙ ВКУС 2.5% 1.5л пэт]" c="Молоко ПЕРВЫЙ ВКУС 2.5% 1.5л пэт"/>
        <s v="[dct_goods].[name_rrun].&amp;[Молоко ПЕРВЫЙ ВКУС 2.5% 930г пэт]" c="Молоко ПЕРВЫЙ ВКУС 2.5% 930г пэт"/>
        <s v="[dct_goods].[name_rrun].&amp;[Молоко ПЕРВЫЙ ВКУС 3.2% 900г ф/п]" c="Молоко ПЕРВЫЙ ВКУС 3.2% 900г ф/п"/>
        <s v="[dct_goods].[name_rrun].&amp;[Молоко ПЕРВЫЙ ВКУС Топленое 4% 930г пэт]" c="Молоко ПЕРВЫЙ ВКУС Топленое 4% 930г пэт"/>
        <s v="[dct_goods].[name_rrun].&amp;[Молоко ПЕСТРАВКА 2.5% 2кг пэт]" c="Молоко ПЕСТРАВКА 2.5% 2кг пэт"/>
        <s v="[dct_goods].[name_rrun].&amp;[Молоко ПЕСТРАВКА Пастеризованное 3.2% 2000г пэт]" c="Молоко ПЕСТРАВКА Пастеризованное 3.2% 2000г пэт"/>
        <s v="[dct_goods].[name_rrun].&amp;[Молоко ПРИЯТНОГО АППЕТИТА! Ультрапастеризованное 2.5% 900г ТФА]" c="Молоко ПРИЯТНОГО АППЕТИТА! Ультрапастеризованное 2.5% 900г ТФА"/>
        <s v="[dct_goods].[name_rrun].&amp;[Молоко ПРИЯТНОГО АППЕТИТА! Ультрапастеризованное 3.2% 900г ТФА]" c="Молоко ПРИЯТНОГО АППЕТИТА! Ультрапастеризованное 3.2% 900г ТФА"/>
        <s v="[dct_goods].[name_rrun].&amp;[Молоко ПРОСТО МОЛОКО 2.3% 770г ф/п]" c="Молоко ПРОСТО МОЛОКО 2.3% 770г ф/п"/>
        <s v="[dct_goods].[name_rrun].&amp;[Молоко ПРОСТО МОЛОКО 2.5% 1л т/п]" c="Молоко ПРОСТО МОЛОКО 2.5% 1л т/п"/>
        <s v="[dct_goods].[name_rrun].&amp;[Молоко ПРОСТО МОЛОКО 2.5% 800г]" c="Молоко ПРОСТО МОЛОКО 2.5% 800г"/>
        <s v="[dct_goods].[name_rrun].&amp;[Молоко ПРОСТОКВАШИНО 2.5% 930мл]" c="Молоко ПРОСТОКВАШИНО 2.5% 930мл"/>
        <s v="[dct_goods].[name_rrun].&amp;[Молоко ПРОСТОКВАШИНО Отборное 3.4-4.5% 930мл пэт]" c="Молоко ПРОСТОКВАШИНО Отборное 3.4-4.5% 930мл пэт"/>
        <s v="[dct_goods].[name_rrun].&amp;[Молоко ПРОСТОКВАШИНО Топленое 2.5% 930мл пэт]" c="Молоко ПРОСТОКВАШИНО Топленое 2.5% 930мл пэт"/>
        <s v="[dct_goods].[name_rrun].&amp;[Молоко ПРОСТОКВАШИНО Топленое 3.2% 930мл]" c="Молоко ПРОСТОКВАШИНО Топленое 3.2% 930мл"/>
        <s v="[dct_goods].[name_rrun].&amp;[Молоко СЕВЕРНАЯ ДОЛИНА 2.5% 950г]" c="Молоко СЕВЕРНАЯ ДОЛИНА 2.5% 950г"/>
        <s v="[dct_goods].[name_rrun].&amp;[Молоко СЕВЕРНАЯ ДОЛИНА 3.2% 900мл пэт]" c="Молоко СЕВЕРНАЯ ДОЛИНА 3.2% 900мл пэт"/>
        <s v="[dct_goods].[name_rrun].&amp;[Молоко СЕВЕРНАЯ ДОЛИНА 3.2% 950г]" c="Молоко СЕВЕРНАЯ ДОЛИНА 3.2% 950г"/>
        <s v="[dct_goods].[name_rrun].&amp;[Молоко СЕВЕРНАЯ ДОЛИНА Топленое 3.2% 900мл пэт]" c="Молоко СЕВЕРНАЯ ДОЛИНА Топленое 3.2% 900мл пэт"/>
        <s v="[dct_goods].[name_rrun].&amp;[Молоко СЕЛО ДОМАШКИНО 2.5% 900мл пэт]" c="Молоко СЕЛО ДОМАШКИНО 2.5% 900мл пэт"/>
        <s v="[dct_goods].[name_rrun].&amp;[Молоко СЕЛО ДОМАШКИНО Пастеризованное 3.2% 900мл пэт]" c="Молоко СЕЛО ДОМАШКИНО Пастеризованное 3.2% 900мл пэт"/>
        <s v="[dct_goods].[name_rrun].&amp;[Молоко СЕЛО ДОМАШКИНО Топленое 2.5% 900мл пэт]" c="Молоко СЕЛО ДОМАШКИНО Топленое 2.5% 900мл пэт"/>
        <s v="[dct_goods].[name_rrun].&amp;[Молоко СЕРНУРСКИЙ СЗ 2.5% 900мл пэт]" c="Молоко СЕРНУРСКИЙ СЗ 2.5% 900мл пэт"/>
        <s v="[dct_goods].[name_rrun].&amp;[Молоко СЕРНУРСКИЙ СЗ 3.2% 900мл ф/п]" c="Молоко СЕРНУРСКИЙ СЗ 3.2% 900мл ф/п"/>
        <s v="[dct_goods].[name_rrun].&amp;[Молоко СТАНИЦА 2.5% 0.9л]" c="Молоко СТАНИЦА 2.5% 0.9л"/>
        <s v="[dct_goods].[name_rrun].&amp;[Молоко СТАНИЦА 3.2% 0.9л]" c="Молоко СТАНИЦА 3.2% 0.9л"/>
        <s v="[dct_goods].[name_rrun].&amp;[Молоко ТОЛЬЯТТИМОЛОКО 2.5% 0.9л п/п]" c="Молоко ТОЛЬЯТТИМОЛОКО 2.5% 0.9л п/п"/>
        <s v="[dct_goods].[name_rrun].&amp;[Молоко ТОЛЬЯТТИМОЛОКО 2.5% 0.9л ф/п]" c="Молоко ТОЛЬЯТТИМОЛОКО 2.5% 0.9л ф/п"/>
        <s v="[dct_goods].[name_rrun].&amp;[Молоко ТОЛЬЯТТИМОЛОКО Отборное 3.4-6% 900г п/п]" c="Молоко ТОЛЬЯТТИМОЛОКО Отборное 3.4-6% 900г п/п"/>
        <s v="[dct_goods].[name_rrun].&amp;[Молоко ТОММОЛОКО Пастеризованное 2.5% 1л]" c="Молоко ТОММОЛОКО Пастеризованное 2.5% 1л"/>
        <s v="[dct_goods].[name_rrun].&amp;[Молоко ТОММОЛОКО Пастеризованное 3.2% 1.5л пэт]" c="Молоко ТОММОЛОКО Пастеризованное 3.2% 1.5л пэт"/>
        <s v="[dct_goods].[name_rrun].&amp;[Молоко ТОЧНО МОЛОЧНО 2.5% 800г пэт]" c="Молоко ТОЧНО МОЛОЧНО 2.5% 800г пэт"/>
        <s v="[dct_goods].[name_rrun].&amp;[Молоко ТОЧНО МОЛОЧНО 2.5% 900г пленка]" c="Молоко ТОЧНО МОЛОЧНО 2.5% 900г пленка"/>
        <s v="[dct_goods].[name_rrun].&amp;[Молоко ТОЧНО МОЛОЧНО 3.2% 800г пэт]" c="Молоко ТОЧНО МОЛОЧНО 3.2% 800г пэт"/>
        <s v="[dct_goods].[name_rrun].&amp;[Молоко ТОЧНО МОЛОЧНО 3.2% 900г пленка]" c="Молоко ТОЧНО МОЛОЧНО 3.2% 900г пленка"/>
        <s v="[dct_goods].[name_rrun].&amp;[Молоко ТОЧНО МОЛОЧНО Отборное 3.4-6% 900мл ф/п]" c="Молоко ТОЧНО МОЛОЧНО Отборное 3.4-6% 900мл ф/п"/>
        <s v="[dct_goods].[name_rrun].&amp;[Молоко ТУЛЬСКИЙ МК 2.5% 800г ф/п]" c="Молоко ТУЛЬСКИЙ МК 2.5% 800г ф/п"/>
        <s v="[dct_goods].[name_rrun].&amp;[Молоко ТУЛЬСКИЙ МК 2.5% 900г п/п]" c="Молоко ТУЛЬСКИЙ МК 2.5% 900г п/п"/>
        <s v="[dct_goods].[name_rrun].&amp;[Молоко ТУЛЬСКИЙ МК 2.5% 900г ф/п]" c="Молоко ТУЛЬСКИЙ МК 2.5% 900г ф/п"/>
        <s v="[dct_goods].[name_rrun].&amp;[Молоко ТУЛЬСКИЙ МК 3.2% 800г ф/п]" c="Молоко ТУЛЬСКИЙ МК 3.2% 800г ф/п"/>
        <s v="[dct_goods].[name_rrun].&amp;[Молоко ТУЛЬСКИЙ МК 3.2% 900г п/п]" c="Молоко ТУЛЬСКИЙ МК 3.2% 900г п/п"/>
        <s v="[dct_goods].[name_rrun].&amp;[Молоко ТУЛЬСКИЙ МК 3.2% 900г ф/п]" c="Молоко ТУЛЬСКИЙ МК 3.2% 900г ф/п"/>
        <s v="[dct_goods].[name_rrun].&amp;[Молоко Ультрапастеризованное Эконом 2.5% 1л ТБА Пятигорский МК]" c="Молоко Ультрапастеризованное Эконом 2.5% 1л ТБА Пятигорский МК"/>
        <s v="[dct_goods].[name_rrun].&amp;[Молоко Ультрапастеризованное Эконом 3.2% 1л ТБА Пятигорский МК]" c="Молоко Ультрапастеризованное Эконом 3.2% 1л ТБА Пятигорский МК"/>
        <s v="[dct_goods].[name_rrun].&amp;[Молоко ЧЕРНОМОРСКИЙ МЗ 2.5% 1000мл пленка]" c="Молоко ЧЕРНОМОРСКИЙ МЗ 2.5% 1000мл пленка"/>
        <s v="[dct_goods].[name_rrun].&amp;[Молоко ЧЕРНОМОРСКИЙ МЗ 2.5% 500мл пленка]" c="Молоко ЧЕРНОМОРСКИЙ МЗ 2.5% 500мл пленка"/>
        <s v="[dct_goods].[name_rrun].&amp;[Молоко ЧЕРНОМОРСКИЙ МЗ 3.2% 900мл пэт]" c="Молоко ЧЕРНОМОРСКИЙ МЗ 3.2% 900мл пэт"/>
        <s v="[dct_goods].[name_rrun].&amp;[Молоко ЩЕДРАЯ БУРЕНУШКА 3.2% 900мл пленка]" c="Молоко ЩЕДРАЯ БУРЕНУШКА 3.2% 900мл пленка"/>
        <s v="[dct_goods].[name_rrun].&amp;[Молоко ЩЕДРАЯ БУРЕНУШКА 3.2% 900мл пэт]" c="Молоко ЩЕДРАЯ БУРЕНУШКА 3.2% 900мл пэт"/>
        <s v="[dct_goods].[name_rrun].&amp;[Молоко ЭГО Отборное 3.2% 1700мл пэт]" c="Молоко ЭГО Отборное 3.2% 1700мл пэт"/>
        <s v="[dct_goods].[name_rrun].&amp;[Молоко ЭКОВАКИНО 2.5% 1.43л пэт]" c="Молоко ЭКОВАКИНО 2.5% 1.43л пэт"/>
        <s v="[dct_goods].[name_rrun].&amp;[Молоко ЭКОВАКИНО 2.5% 930мл пэт]" c="Молоко ЭКОВАКИНО 2.5% 930мл пэт"/>
        <s v="[dct_goods].[name_rrun].&amp;[Молоко ЭКОВАКИНО 3.4-6% 930мл]" c="Молоко ЭКОВАКИНО 3.4-6% 930мл"/>
        <s v="[dct_goods].[name_rrun].&amp;[Молоко ЭКОВАКИНО Топленое 2% 930г пэт]" c="Молоко ЭКОВАКИНО Топленое 2% 930г пэт"/>
        <s v="[dct_goods].[name_rrun].&amp;[Молоко ЭКОМИЛК 2.5% 900мл пэт]" c="Молоко ЭКОМИЛК 2.5% 900мл пэт"/>
        <s v="[dct_goods].[name_rrun].&amp;[Молоко ЭКОМИЛК 2.5% 930мл пэт]" c="Молоко ЭКОМИЛК 2.5% 930мл пэт"/>
        <s v="[dct_goods].[name_rrun].&amp;[Молоко ЭКОМИЛК 3.2% 900мл пэт]" c="Молоко ЭКОМИЛК 3.2% 900мл пэт"/>
        <s v="[dct_goods].[name_rrun].&amp;[Молоко ЭКОМИЛК 3.2% 930мл пэт]" c="Молоко ЭКОМИЛК 3.2% 930мл пэт"/>
        <s v="[dct_goods].[name_rrun].&amp;[Молоко ЭКОМИЛК 3.4-4.5% Цельное Отборное 900мл пл/уп]" c="Молоко ЭКОМИЛК 3.4-4.5% Цельное Отборное 900мл пл/уп"/>
        <s v="[dct_goods].[name_rrun].&amp;[Напиток NEMOLOKO Овсяный Классический 3.2% 1л т/п]" c="Напиток NEMOLOKO Овсяный Классический 3.2% 1л т/п"/>
        <s v="[dct_goods].[name_rrun].&amp;[Напиток NEMOLOKO Овсяный Шоколадный 1л т/п]" c="Напиток NEMOLOKO Овсяный Шоколадный 1л т/п"/>
        <s v="[dct_goods].[name_rrun].&amp;[Продукт м/с ДЕРЕВНЯ СЧАСТЛИВОВО Пастеризованный 2.5% 900мл пэт]" c="Продукт м/с ДЕРЕВНЯ СЧАСТЛИВОВО Пастеризованный 2.5% 900мл пэт"/>
        <s v="[dct_goods].[name_rrun].&amp;[Продукт м/с ДЕРЕВНЯ СЧАСТЛИВОВО Пастеризованный 3.2% 900мл пэт]" c="Продукт м/с ДЕРЕВНЯ СЧАСТЛИВОВО Пастеризованный 3.2% 900мл пэт"/>
      </sharedItems>
    </cacheField>
    <cacheField name="[Measures].[quantity]" caption="Продажи, шт" numFmtId="0" hierarchy="175" level="32767"/>
    <cacheField name="[dct_goods].[Level 4 Name].[Level 4 Name]" caption="Уровень 4" numFmtId="0" hierarchy="79" level="1">
      <sharedItems count="3">
        <s v="[dct_goods].[Level 4 Name].&amp;[МОЛОКО ПАСТЕРИЗОВАННОЕ]" c="МОЛОКО ПАСТЕРИЗОВАННОЕ"/>
        <s v="[dct_goods].[Level 4 Name].&amp;[МОЛОКО РАСТИТЕЛЬНОЕ]" c="МОЛОКО РАСТИТЕЛЬНОЕ"/>
        <s v="[dct_goods].[Level 4 Name].&amp;[МОЛОКО СТЕРИЛИЗОВАННОЕ]" c="МОЛОКО СТЕРИЛИЗОВАННОЕ"/>
      </sharedItems>
    </cacheField>
    <cacheField name="[Measures].[Потери, шт]" caption="Потери, шт" numFmtId="0" hierarchy="357" level="32767"/>
    <cacheField name="[dct_goods].[group_name].[group_name]" caption="Уровень 1" numFmtId="0" hierarchy="72" level="1">
      <sharedItems count="1">
        <s v="[dct_goods].[group_name].&amp;[6DEB5BF5-33FD-4F00-B1E5-EB9E52E408F3]" c="ФРЕШ"/>
      </sharedItems>
    </cacheField>
    <cacheField name="[dct_goods].[sub_group_name].[sub_group_name]" caption="Уровень 2" numFmtId="0" hierarchy="98" level="1" mappingCount="1">
      <sharedItems count="1">
        <s v="[dct_goods].[sub_group_name].&amp;[03C91C34-9EA6-47DE-B1EA-1260F3BA6CF3]" c="МОЛОЧНЫЕ ПРОДУКТЫ" cp="1">
          <x/>
        </s>
      </sharedItems>
      <mpMap v="71"/>
    </cacheField>
    <cacheField name="[dct_goods].[sub_group_name].[sub_group_name].[group_name]" caption="Группа" propertyName="group_name" numFmtId="0" hierarchy="98" level="1" memberPropertyField="1">
      <sharedItems count="1">
        <s v="ФРЕШ"/>
      </sharedItems>
    </cacheField>
    <cacheField name="[dct_goods].[Level 3 Name].[Level 3 Name]" caption="Уровень 3" numFmtId="0" hierarchy="78" level="1">
      <sharedItems count="1">
        <s v="[dct_goods].[Level 3 Name].&amp;[МОЛОКО]" c="МОЛОКО"/>
      </sharedItems>
    </cacheField>
    <cacheField name="[dct_goods].[Level 5 Name].[Level 5 Name]" caption="Уровень 5" numFmtId="0" hierarchy="80" level="1">
      <sharedItems count="8">
        <s v="[dct_goods].[Level 5 Name].&amp;[МОЛОКО ПАСТЕРИЗОВАННОЕ ЖИРНОСТЬЮ 2-3%]" c="МОЛОКО ПАСТЕРИЗОВАННОЕ ЖИРНОСТЬЮ 2-3%"/>
        <s v="[dct_goods].[Level 5 Name].&amp;[МОЛОКО ПАСТЕРИЗОВАННОЕ ЖИРНОСТЬЮ 3,2%]" c="МОЛОКО ПАСТЕРИЗОВАННОЕ ЖИРНОСТЬЮ 3,2%"/>
        <s v="[dct_goods].[Level 5 Name].&amp;[МОЛОКО ПАСТЕРИЗОВАННОЕ ЖИРНОСТЬЮ СВЫШЕ 3,2%]" c="МОЛОКО ПАСТЕРИЗОВАННОЕ ЖИРНОСТЬЮ СВЫШЕ 3,2%"/>
        <s v="[dct_goods].[Level 5 Name].&amp;[МОЛОКО ПАСТЕРИЗОВАННОЕ ТОПЛЕНОЕ]" c="МОЛОКО ПАСТЕРИЗОВАННОЕ ТОПЛЕНОЕ"/>
        <s v="[dct_goods].[Level 5 Name].&amp;[МОЛОКО РАСТИТЕЛЬНОЕ]" c="МОЛОКО РАСТИТЕЛЬНОЕ"/>
        <s v="[dct_goods].[Level 5 Name].&amp;[МОЛОКО СТЕРИЛИЗОВАННОЕ ЖИРНОСТЬЮ 2-3%]" c="МОЛОКО СТЕРИЛИЗОВАННОЕ ЖИРНОСТЬЮ 2-3%"/>
        <s v="[dct_goods].[Level 5 Name].&amp;[МОЛОКО СТЕРИЛИЗОВАННОЕ ЖИРНОСТЬЮ 3,2%]" c="МОЛОКО СТЕРИЛИЗОВАННОЕ ЖИРНОСТЬЮ 3,2%"/>
        <s v="[dct_goods].[Level 5 Name].&amp;[МОЛОКО СТЕРИЛИЗОВАННОЕ ТОПЛЕНОЕ]" c="МОЛОКО СТЕРИЛИЗОВАННОЕ ТОПЛЕНОЕ"/>
      </sharedItems>
    </cacheField>
    <cacheField name="[Measures].[sale_net]" caption="РТО, руб без ндс" numFmtId="0" hierarchy="179" level="32767"/>
    <cacheField name="[Measures].[Операционный доход без НДС]" caption="Операционный доход, руб без ндс" numFmtId="0" hierarchy="235" level="32767"/>
    <cacheField name="[Measures].[Маржа без ндс, %]" caption="Маржа без ндс, %" numFmtId="0" hierarchy="283" level="32767"/>
    <cacheField name="[Measures].[Потери, руб без ндс]" caption="Потери, руб без ндс" numFmtId="0" hierarchy="361" level="32767"/>
    <cacheField name="[dct_db].[o-n].[name].[Day Name Close]" caption="Дата закрытия" propertyName="Day Name Close" numFmtId="0" hierarchy="39" level="2" memberPropertyField="1">
      <sharedItems containsSemiMixedTypes="0" containsString="0"/>
    </cacheField>
    <cacheField name="[dct_db].[o-n].[name].[Day Name Open]" caption="Дата открытия" propertyName="Day Name Open" numFmtId="0" hierarchy="39" level="2" memberPropertyField="1">
      <sharedItems containsSemiMixedTypes="0" containsString="0"/>
    </cacheField>
    <cacheField name="[dct_db].[o-n].[name].[Latitude]" caption="Широта" propertyName="Latitude" numFmtId="0" hierarchy="39" level="2" memberPropertyField="1">
      <sharedItems containsSemiMixedTypes="0" containsString="0"/>
    </cacheField>
    <cacheField name="[dct_db].[o-n].[name].[Longitude]" caption="Долгота" propertyName="Longitude" numFmtId="0" hierarchy="39" level="2" memberPropertyField="1">
      <sharedItems containsSemiMixedTypes="0" containsString="0"/>
    </cacheField>
    <cacheField name="[dct_db].[o-n].[name].[Month Id Close]" caption="Month Id Close" propertyName="Month Id Close" numFmtId="0" hierarchy="39" level="2" memberPropertyField="1">
      <sharedItems containsSemiMixedTypes="0" containsString="0"/>
    </cacheField>
    <cacheField name="[dct_db].[o-n].[name].[Month Id Open]" caption="Month Id Open" propertyName="Month Id Open" numFmtId="0" hierarchy="39" level="2" memberPropertyField="1">
      <sharedItems containsSemiMixedTypes="0" containsString="0"/>
    </cacheField>
    <cacheField name="[Measures].[weight]" caption="Продажи, кг" numFmtId="0" hierarchy="180" level="32767"/>
    <cacheField name="[dct_date].[y-w-d].[Year w Name]" caption="Год" numFmtId="0" hierarchy="16" level="1">
      <sharedItems count="2">
        <s v="[dct_date].[y-w-d].[Year w Name].&amp;[2025]" c="2025"/>
        <s v="[dct_date].[y-w-d].[Year w Name].&amp;[2026]" c="2026"/>
      </sharedItems>
    </cacheField>
    <cacheField name="[dct_date].[y-w-d].[Week Full Name]" caption="Год/Неделя" numFmtId="0" hierarchy="16" level="2">
      <sharedItems containsSemiMixedTypes="0" containsString="0"/>
    </cacheField>
    <cacheField name="[dct_date].[y-w-d].[date_name]" caption="Дата" numFmtId="0" hierarchy="16" level="3">
      <sharedItems containsSemiMixedTypes="0" containsString="0"/>
    </cacheField>
    <cacheField name="[dct_date].[y-w-d].[Week Full Name].[Year w Name]" caption="Год недели" propertyName="Year w Name" numFmtId="0" hierarchy="16" level="2" memberPropertyField="1">
      <sharedItems containsSemiMixedTypes="0" containsString="0"/>
    </cacheField>
    <cacheField name="[dct_date].[y-w-d].[date_name].[date_id]" caption="Код даты" propertyName="date_id" numFmtId="0" hierarchy="16" level="3" memberPropertyField="1">
      <sharedItems containsSemiMixedTypes="0" containsString="0"/>
    </cacheField>
    <cacheField name="[dct_date].[y-w-d].[date_name].[date_time]" caption="Дата время" propertyName="date_time" numFmtId="0" hierarchy="16" level="3" memberPropertyField="1">
      <sharedItems containsSemiMixedTypes="0" containsString="0"/>
    </cacheField>
    <cacheField name="[dct_date].[y-w-d].[date_name].[date_type_id]" caption="Код типа дня" propertyName="date_type_id" numFmtId="0" hierarchy="16" level="3" memberPropertyField="1">
      <sharedItems containsSemiMixedTypes="0" containsString="0"/>
    </cacheField>
    <cacheField name="[dct_date].[y-w-d].[date_name].[date_type_name]" caption="Тип дня" propertyName="date_type_name" numFmtId="0" hierarchy="16" level="3" memberPropertyField="1">
      <sharedItems containsSemiMixedTypes="0" containsString="0"/>
    </cacheField>
    <cacheField name="[dct_date].[y-w-d].[date_name].[day_month]" caption="День месяца" propertyName="day_month" numFmtId="0" hierarchy="16" level="3" memberPropertyField="1">
      <sharedItems containsSemiMixedTypes="0" containsString="0"/>
    </cacheField>
    <cacheField name="[dct_date].[y-w-d].[date_name].[month_full_name]" caption="Год/Месяц" propertyName="month_full_name" numFmtId="0" hierarchy="16" level="3" memberPropertyField="1">
      <sharedItems containsSemiMixedTypes="0" containsString="0"/>
    </cacheField>
    <cacheField name="[dct_date].[y-w-d].[date_name].[month_id]" caption="Код месяца" propertyName="month_id" numFmtId="0" hierarchy="16" level="3" memberPropertyField="1">
      <sharedItems containsSemiMixedTypes="0" containsString="0"/>
    </cacheField>
    <cacheField name="[dct_date].[y-w-d].[date_name].[month_name]" caption="Месяц" propertyName="month_name" numFmtId="0" hierarchy="16" level="3" memberPropertyField="1">
      <sharedItems containsSemiMixedTypes="0" containsString="0"/>
    </cacheField>
    <cacheField name="[dct_date].[y-w-d].[date_name].[month_number]" caption="Номер месяца" propertyName="month_number" numFmtId="0" hierarchy="16" level="3" memberPropertyField="1">
      <sharedItems containsSemiMixedTypes="0" containsString="0"/>
    </cacheField>
    <cacheField name="[dct_date].[y-w-d].[date_name].[quarter_id]" caption="Код квартала" propertyName="quarter_id" numFmtId="0" hierarchy="16" level="3" memberPropertyField="1">
      <sharedItems containsSemiMixedTypes="0" containsString="0"/>
    </cacheField>
    <cacheField name="[dct_date].[y-w-d].[date_name].[quarter_name]" caption="Квартал" propertyName="quarter_name" numFmtId="0" hierarchy="16" level="3" memberPropertyField="1">
      <sharedItems containsSemiMixedTypes="0" containsString="0"/>
    </cacheField>
    <cacheField name="[dct_date].[y-w-d].[date_name].[Week Full Name]" caption="Год/Неделя" propertyName="Week Full Name" numFmtId="0" hierarchy="16" level="3" memberPropertyField="1">
      <sharedItems containsSemiMixedTypes="0" containsString="0"/>
    </cacheField>
    <cacheField name="[dct_date].[y-w-d].[date_name].[week_id]" caption="Код недели" propertyName="week_id" numFmtId="0" hierarchy="16" level="3" memberPropertyField="1">
      <sharedItems containsSemiMixedTypes="0" containsString="0"/>
    </cacheField>
    <cacheField name="[dct_date].[y-w-d].[date_name].[week_name]" caption="Неделя" propertyName="week_name" numFmtId="0" hierarchy="16" level="3" memberPropertyField="1">
      <sharedItems containsSemiMixedTypes="0" containsString="0"/>
    </cacheField>
    <cacheField name="[dct_date].[y-w-d].[date_name].[week_number]" caption="Номер дня недели" propertyName="week_number" numFmtId="0" hierarchy="16" level="3" memberPropertyField="1">
      <sharedItems containsSemiMixedTypes="0" containsString="0"/>
    </cacheField>
    <cacheField name="[dct_date].[y-w-d].[date_name].[weekday_name]" caption="День недели" propertyName="weekday_name" numFmtId="0" hierarchy="16" level="3" memberPropertyField="1">
      <sharedItems containsSemiMixedTypes="0" containsString="0"/>
    </cacheField>
    <cacheField name="[dct_date].[y-w-d].[date_name].[weekday_number]" caption="Номер дня недели" propertyName="weekday_number" numFmtId="0" hierarchy="16" level="3" memberPropertyField="1">
      <sharedItems containsSemiMixedTypes="0" containsString="0"/>
    </cacheField>
    <cacheField name="[dct_date].[y-w-d].[date_name].[Year w Id]" caption="Код года недели" propertyName="Year w Id" numFmtId="0" hierarchy="16" level="3" memberPropertyField="1">
      <sharedItems containsSemiMixedTypes="0" containsString="0"/>
    </cacheField>
    <cacheField name="[dct_date].[y-w-d].[date_name].[year_id]" caption="Код года" propertyName="year_id" numFmtId="0" hierarchy="16" level="3" memberPropertyField="1">
      <sharedItems containsSemiMixedTypes="0" containsString="0"/>
    </cacheField>
    <cacheField name="[dct_db].[L District].[L District]" caption="Логистический округ" numFmtId="0" hierarchy="32" level="1">
      <sharedItems containsSemiMixedTypes="0" containsString="0"/>
    </cacheField>
    <cacheField name="[dct_db].[o-n].[name].[Repl Code]" caption="Код репликации" propertyName="Repl Code" numFmtId="0" hierarchy="39" level="2" memberPropertyField="1">
      <sharedItems containsSemiMixedTypes="0" containsString="0"/>
    </cacheField>
    <cacheField name="[dct_db].[Comparability Year1].[Comparability Year1]" caption="Сопоставимость к 2025 году" numFmtId="0" hierarchy="18" level="1">
      <sharedItems containsSemiMixedTypes="0" containsString="0"/>
    </cacheField>
  </cacheFields>
  <cacheHierarchies count="468">
    <cacheHierarchy uniqueName="[dct_date].[date_id]" caption="Код даты" attribute="1" time="1" defaultMemberUniqueName="[dct_date].[date_id].[Все]" allUniqueName="[dct_date].[date_id].[Все]" dimensionUniqueName="[dct_date]" displayFolder="" count="0" unbalanced="0"/>
    <cacheHierarchy uniqueName="[dct_date].[date_name]" caption="Год-месяц-дата" attribute="1" time="1" keyAttribute="1" defaultMemberUniqueName="[dct_date].[date_name].[Все]" allUniqueName="[dct_date].[date_name].[Все]" dimensionUniqueName="[dct_date]" displayFolder="" count="0" memberValueDatatype="130" unbalanced="0"/>
    <cacheHierarchy uniqueName="[dct_date].[date_type_name]" caption="Тип дня" attribute="1" time="1" defaultMemberUniqueName="[dct_date].[date_type_name].[Все]" allUniqueName="[dct_date].[date_type_name].[Все]" dimensionUniqueName="[dct_date]" displayFolder="" count="0" unbalanced="0"/>
    <cacheHierarchy uniqueName="[dct_date].[day_month]" caption="День месяца" attribute="1" time="1" defaultMemberUniqueName="[dct_date].[day_month].[Все]" allUniqueName="[dct_date].[day_month].[Все]" dimensionUniqueName="[dct_date]" displayFolder="" count="0" unbalanced="0"/>
    <cacheHierarchy uniqueName="[dct_date].[month_full_name]" caption="Год/Месяц" attribute="1" time="1" defaultMemberUniqueName="[dct_date].[month_full_name].[Все]" allUniqueName="[dct_date].[month_full_name].[Все]" dimensionUniqueName="[dct_date]" displayFolder="" count="0" unbalanced="0"/>
    <cacheHierarchy uniqueName="[dct_date].[month_name]" caption="Месяц" attribute="1" time="1" defaultMemberUniqueName="[dct_date].[month_name].[Все]" allUniqueName="[dct_date].[month_name].[Все]" dimensionUniqueName="[dct_date]" displayFolder="" count="0" unbalanced="0"/>
    <cacheHierarchy uniqueName="[dct_date].[month_number]" caption="Номер месяца" attribute="1" time="1" defaultMemberUniqueName="[dct_date].[month_number].[Все]" allUniqueName="[dct_date].[month_number].[Все]" dimensionUniqueName="[dct_date]" displayFolder="" count="0" unbalanced="0"/>
    <cacheHierarchy uniqueName="[dct_date].[quarter_full_name]" caption="Год/Квартал" attribute="1" time="1" defaultMemberUniqueName="[dct_date].[quarter_full_name].[Все]" allUniqueName="[dct_date].[quarter_full_name].[Все]" dimensionUniqueName="[dct_date]" displayFolder="" count="0" unbalanced="0"/>
    <cacheHierarchy uniqueName="[dct_date].[Week Full Name]" caption="Год/Неделя" attribute="1" time="1" defaultMemberUniqueName="[dct_date].[Week Full Name].[Все]" allUniqueName="[dct_date].[Week Full Name].[Все]" dimensionUniqueName="[dct_date]" displayFolder="" count="0" unbalanced="0"/>
    <cacheHierarchy uniqueName="[dct_date].[week_name]" caption="Неделя" attribute="1" time="1" defaultMemberUniqueName="[dct_date].[week_name].[Все]" allUniqueName="[dct_date].[week_name].[Все]" dimensionUniqueName="[dct_date]" displayFolder="" count="0" unbalanced="0"/>
    <cacheHierarchy uniqueName="[dct_date].[week_number]" caption="Номер недели" attribute="1" time="1" defaultMemberUniqueName="[dct_date].[week_number].[Все]" allUniqueName="[dct_date].[week_number].[Все]" dimensionUniqueName="[dct_date]" displayFolder="" count="0" unbalanced="0"/>
    <cacheHierarchy uniqueName="[dct_date].[weekday_name]" caption="День недели" attribute="1" time="1" defaultMemberUniqueName="[dct_date].[weekday_name].[Все]" allUniqueName="[dct_date].[weekday_name].[Все]" dimensionUniqueName="[dct_date]" displayFolder="" count="0" unbalanced="0"/>
    <cacheHierarchy uniqueName="[dct_date].[weekday_number]" caption="Номер дня недели" attribute="1" time="1" defaultMemberUniqueName="[dct_date].[weekday_number].[Все]" allUniqueName="[dct_date].[weekday_number].[Все]" dimensionUniqueName="[dct_date]" displayFolder="" count="0" unbalanced="0"/>
    <cacheHierarchy uniqueName="[dct_date].[year_name]" caption="Год" attribute="1" time="1" defaultMemberUniqueName="[dct_date].[year_name].[Все]" allUniqueName="[dct_date].[year_name].[Все]" dimensionUniqueName="[dct_date]" displayFolder="" count="0" unbalanced="0"/>
    <cacheHierarchy uniqueName="[dct_date].[y-m-d]" caption="Г-М-Д" time="1" defaultMemberUniqueName="[dct_date].[y-m-d].[Все]" allUniqueName="[dct_date].[y-m-d].[Все]" dimensionUniqueName="[dct_date]" displayFolder="" count="4" unbalanced="0">
      <fieldsUsage count="4">
        <fieldUsage x="-1"/>
        <fieldUsage x="0"/>
        <fieldUsage x="1"/>
        <fieldUsage x="2"/>
      </fieldsUsage>
    </cacheHierarchy>
    <cacheHierarchy uniqueName="[dct_date].[y-q-m-d]" caption="Г-К-М-Д" time="1" defaultMemberUniqueName="[dct_date].[y-q-m-d].[Все]" allUniqueName="[dct_date].[y-q-m-d].[Все]" dimensionUniqueName="[dct_date]" displayFolder="" count="0" unbalanced="0"/>
    <cacheHierarchy uniqueName="[dct_date].[y-w-d]" caption="Г-Н-Д" time="1" defaultMemberUniqueName="[dct_date].[y-w-d].[All]" allUniqueName="[dct_date].[y-w-d].[All]" dimensionUniqueName="[dct_date]" displayFolder="" count="4" unbalanced="0">
      <fieldsUsage count="4">
        <fieldUsage x="-1"/>
        <fieldUsage x="85"/>
        <fieldUsage x="86"/>
        <fieldUsage x="87"/>
      </fieldsUsage>
    </cacheHierarchy>
    <cacheHierarchy uniqueName="[dct_db].[Cash Count]" caption="Количество касс" attribute="1" defaultMemberUniqueName="[dct_db].[Cash Count].[Все]" allUniqueName="[dct_db].[Cash Count].[Все]" dimensionUniqueName="[dct_db]" displayFolder="" count="0" unbalanced="0"/>
    <cacheHierarchy uniqueName="[dct_db].[Comparability Year1]" caption="Сопоставимость к 2025 году" attribute="1" defaultMemberUniqueName="[dct_db].[Comparability Year1].[Все]" allUniqueName="[dct_db].[Comparability Year1].[Все]" dimensionUniqueName="[dct_db]" displayFolder="" count="2" unbalanced="0">
      <fieldsUsage count="2">
        <fieldUsage x="-1"/>
        <fieldUsage x="110"/>
      </fieldsUsage>
    </cacheHierarchy>
    <cacheHierarchy uniqueName="[dct_db].[Comparability Year2]" caption="Сопоставимость к 2024 году" attribute="1" defaultMemberUniqueName="[dct_db].[Comparability Year2].[Все]" allUniqueName="[dct_db].[Comparability Year2].[Все]" dimensionUniqueName="[dct_db]" displayFolder="" count="2" unbalanced="0"/>
    <cacheHierarchy uniqueName="[dct_db].[Comparability Year3]" caption="Сопоставимость к 2023 году" attribute="1" defaultMemberUniqueName="[dct_db].[Comparability Year3].[Все]" allUniqueName="[dct_db].[Comparability Year3].[Все]" dimensionUniqueName="[dct_db]" displayFolder="" count="0" unbalanced="0"/>
    <cacheHierarchy uniqueName="[dct_db].[Comparability10]" caption="Наличие КЦ" attribute="1" defaultMemberUniqueName="[dct_db].[Comparability10].[Все]" allUniqueName="[dct_db].[Comparability10].[Все]" dimensionUniqueName="[dct_db]" displayFolder="" count="0" unbalanced="0"/>
    <cacheHierarchy uniqueName="[dct_db].[Comparability20]" caption="Наличие Пекарни" attribute="1" defaultMemberUniqueName="[dct_db].[Comparability20].[Все]" allUniqueName="[dct_db].[Comparability20].[Все]" dimensionUniqueName="[dct_db]" displayFolder="" count="0" unbalanced="0"/>
    <cacheHierarchy uniqueName="[dct_db].[Comparability50]" caption="Сопоставимые 50 (Гулливер)" attribute="1" defaultMemberUniqueName="[dct_db].[Comparability50].[Все]" allUniqueName="[dct_db].[Comparability50].[Все]" dimensionUniqueName="[dct_db]" displayFolder="" count="0" unbalanced="0"/>
    <cacheHierarchy uniqueName="[dct_db].[Day Name Close]" caption="Дата закрытия" attribute="1" defaultMemberUniqueName="[dct_db].[Day Name Close].[Все]" allUniqueName="[dct_db].[Day Name Close].[Все]" dimensionUniqueName="[dct_db]" displayFolder="" count="0" unbalanced="0"/>
    <cacheHierarchy uniqueName="[dct_db].[Day Name Open]" caption="Дата открытия" attribute="1" defaultMemberUniqueName="[dct_db].[Day Name Open].[Все]" allUniqueName="[dct_db].[Day Name Open].[Все]" dimensionUniqueName="[dct_db]" displayFolder="" count="0" unbalanced="0"/>
    <cacheHierarchy uniqueName="[dct_db].[db_id]" caption="Код BI" attribute="1" defaultMemberUniqueName="[dct_db].[db_id].[Все]" allUniqueName="[dct_db].[db_id].[Все]" dimensionUniqueName="[dct_db]" displayFolder="" count="0" unbalanced="0"/>
    <cacheHierarchy uniqueName="[dct_db].[F District]" caption="Федеральный округ" attribute="1" defaultMemberUniqueName="[dct_db].[F District].[Все]" allUniqueName="[dct_db].[F District].[Все]" dimensionUniqueName="[dct_db]" displayFolder="" count="0" unbalanced="0"/>
    <cacheHierarchy uniqueName="[dct_db].[Floor Space]" caption="Торговая площадь, кв.м" attribute="1" defaultMemberUniqueName="[dct_db].[Floor Space].[Все]" allUniqueName="[dct_db].[Floor Space].[Все]" dimensionUniqueName="[dct_db]" displayFolder="" count="0" unbalanced="0"/>
    <cacheHierarchy uniqueName="[dct_db].[format]" caption="Формат подразделения" attribute="1" defaultMemberUniqueName="[dct_db].[format].[Все]" allUniqueName="[dct_db].[format].[Все]" dimensionUniqueName="[dct_db]" displayFolder="" count="0" unbalanced="0"/>
    <cacheHierarchy uniqueName="[dct_db].[Group1 Name]" caption="Дивизион" attribute="1" defaultMemberUniqueName="[dct_db].[Group1 Name].[Все]" allUniqueName="[dct_db].[Group1 Name].[Все]" dimensionUniqueName="[dct_db]" displayFolder="" count="0" unbalanced="0"/>
    <cacheHierarchy uniqueName="[dct_db].[Group2 Name]" caption="Группа" attribute="1" defaultMemberUniqueName="[dct_db].[Group2 Name].[Все]" allUniqueName="[dct_db].[Group2 Name].[Все]" dimensionUniqueName="[dct_db]" displayFolder="" count="0" unbalanced="0"/>
    <cacheHierarchy uniqueName="[dct_db].[L District]" caption="Логистический округ" attribute="1" defaultMemberUniqueName="[dct_db].[L District].[Все]" allUniqueName="[dct_db].[L District].[Все]" dimensionUniqueName="[dct_db]" displayFolder="" count="2" unbalanced="0">
      <fieldsUsage count="2">
        <fieldUsage x="-1"/>
        <fieldUsage x="108"/>
      </fieldsUsage>
    </cacheHierarchy>
    <cacheHierarchy uniqueName="[dct_db].[Latitude]" caption="Координаты (Широта)" attribute="1" defaultMemberUniqueName="[dct_db].[Latitude].[Все]" allUniqueName="[dct_db].[Latitude].[Все]" dimensionUniqueName="[dct_db]" displayFolder="" count="0" unbalanced="0"/>
    <cacheHierarchy uniqueName="[dct_db].[Location Type]" caption="Тип локации" attribute="1" defaultMemberUniqueName="[dct_db].[Location Type].[Все]" allUniqueName="[dct_db].[Location Type].[Все]" dimensionUniqueName="[dct_db]" displayFolder="" count="0" unbalanced="0"/>
    <cacheHierarchy uniqueName="[dct_db].[Longitude]" caption="Координаты (Долгота)" attribute="1" defaultMemberUniqueName="[dct_db].[Longitude].[Все]" allUniqueName="[dct_db].[Longitude].[Все]" dimensionUniqueName="[dct_db]" displayFolder="" count="0" unbalanced="0"/>
    <cacheHierarchy uniqueName="[dct_db].[name]" caption="Подразделения" attribute="1" keyAttribute="1" defaultMemberUniqueName="[dct_db].[name].[Все]" allUniqueName="[dct_db].[name].[Все]" dimensionUniqueName="[dct_db]" displayFolder="" count="0" unbalanced="0"/>
    <cacheHierarchy uniqueName="[dct_db].[Name Full]" caption="Полное имя подразделения" attribute="1" defaultMemberUniqueName="[dct_db].[Name Full].[Все]" allUniqueName="[dct_db].[Name Full].[Все]" dimensionUniqueName="[dct_db]" displayFolder="" count="0" unbalanced="0"/>
    <cacheHierarchy uniqueName="[dct_db].[Note Division]" caption="IP адрес" attribute="1" defaultMemberUniqueName="[dct_db].[Note Division].[Все]" allUniqueName="[dct_db].[Note Division].[Все]" dimensionUniqueName="[dct_db]" displayFolder="" count="0" unbalanced="0"/>
    <cacheHierarchy uniqueName="[dct_db].[o-n]" caption="Подразделения" defaultMemberUniqueName="[dct_db].[o-n].[Все]" allUniqueName="[dct_db].[o-n].[Все]" dimensionUniqueName="[dct_db]" displayFolder="" count="3" unbalanced="0">
      <fieldsUsage count="3">
        <fieldUsage x="-1"/>
        <fieldUsage x="20"/>
        <fieldUsage x="21"/>
      </fieldsUsage>
    </cacheHierarchy>
    <cacheHierarchy uniqueName="[dct_db].[owner_name]" caption="Юр. лицо" attribute="1" defaultMemberUniqueName="[dct_db].[owner_name].[Все]" allUniqueName="[dct_db].[owner_name].[Все]" dimensionUniqueName="[dct_db]" displayFolder="" count="2" unbalanced="0">
      <fieldsUsage count="2">
        <fieldUsage x="-1"/>
        <fieldUsage x="63"/>
      </fieldsUsage>
    </cacheHierarchy>
    <cacheHierarchy uniqueName="[dct_db].[Repl Code]" caption="Код репликации" attribute="1" defaultMemberUniqueName="[dct_db].[Repl Code].[Все]" allUniqueName="[dct_db].[Repl Code].[Все]" dimensionUniqueName="[dct_db]" displayFolder="" count="0" unbalanced="0"/>
    <cacheHierarchy uniqueName="[dct_db].[Retail Com]" caption="Торговая Сеть" attribute="1" defaultMemberUniqueName="[dct_db].[Retail Com].[Все]" allUniqueName="[dct_db].[Retail Com].[Все]" dimensionUniqueName="[dct_db]" displayFolder="" count="0" unbalanced="0"/>
    <cacheHierarchy uniqueName="[dct_db].[Total Space]" caption="Общая площадь, кв.м" attribute="1" defaultMemberUniqueName="[dct_db].[Total Space].[Все]" allUniqueName="[dct_db].[Total Space].[Все]" dimensionUniqueName="[dct_db]" displayFolder="" count="0" unbalanced="0"/>
    <cacheHierarchy uniqueName="[dct_db].[type_name]" caption="Тип подразделения" attribute="1" defaultMemberUniqueName="[dct_db].[type_name].[Все]" allUniqueName="[dct_db].[type_name].[Все]" dimensionUniqueName="[dct_db]" displayFolder="" count="0" unbalanced="0"/>
    <cacheHierarchy uniqueName="[dct_db].[Upd City]" caption="Город" attribute="1" defaultMemberUniqueName="[dct_db].[Upd City].[Все]" allUniqueName="[dct_db].[Upd City].[Все]" dimensionUniqueName="[dct_db]" displayFolder="" count="0" unbalanced="0"/>
    <cacheHierarchy uniqueName="[dct_db].[Upd Postal Index]" caption="Код региона" attribute="1" defaultMemberUniqueName="[dct_db].[Upd Postal Index].[Все]" allUniqueName="[dct_db].[Upd Postal Index].[Все]" dimensionUniqueName="[dct_db]" displayFolder="" count="0" unbalanced="0"/>
    <cacheHierarchy uniqueName="[dct_db].[Upd Region]" caption="Регион" attribute="1" defaultMemberUniqueName="[dct_db].[Upd Region].[Все]" allUniqueName="[dct_db].[Upd Region].[Все]" dimensionUniqueName="[dct_db]" displayFolder="" count="0" unbalanced="0"/>
    <cacheHierarchy uniqueName="[dct_db].[y-m-d-close]" caption="Дата закрытия  Г-М-Д" defaultMemberUniqueName="[dct_db].[y-m-d-close].[Все]" allUniqueName="[dct_db].[y-m-d-close].[Все]" dimensionUniqueName="[dct_db]" displayFolder="" count="0" unbalanced="0"/>
    <cacheHierarchy uniqueName="[dct_db].[y-m-d-open]" caption="Дата открытия Г-М-Д" defaultMemberUniqueName="[dct_db].[y-m-d-open].[Все]" allUniqueName="[dct_db].[y-m-d-open].[Все]" dimensionUniqueName="[dct_db]" displayFolder="" count="0" unbalanced="0"/>
    <cacheHierarchy uniqueName="[dct_db_supplier].[Db Id]" caption="Код BI (внут.контрагент)" attribute="1" defaultMemberUniqueName="[dct_db_supplier].[Db Id].[All]" allUniqueName="[dct_db_supplier].[Db Id].[All]" dimensionUniqueName="[dct_db_supplier]" displayFolder="" count="0" unbalanced="0"/>
    <cacheHierarchy uniqueName="[dct_db_supplier].[F District]" caption="Федеральный округ (внут.контрагент)" attribute="1" defaultMemberUniqueName="[dct_db_supplier].[F District].[All]" allUniqueName="[dct_db_supplier].[F District].[All]" dimensionUniqueName="[dct_db_supplier]" displayFolder="" count="0" unbalanced="0"/>
    <cacheHierarchy uniqueName="[dct_db_supplier].[Group1 Name]" caption="Дивизион (внут.контрагент)" attribute="1" defaultMemberUniqueName="[dct_db_supplier].[Group1 Name].[All]" allUniqueName="[dct_db_supplier].[Group1 Name].[All]" dimensionUniqueName="[dct_db_supplier]" displayFolder="" count="0" unbalanced="0"/>
    <cacheHierarchy uniqueName="[dct_db_supplier].[Group2 Name]" caption="Группа (внут.контрагент)" attribute="1" defaultMemberUniqueName="[dct_db_supplier].[Group2 Name].[All]" allUniqueName="[dct_db_supplier].[Group2 Name].[All]" dimensionUniqueName="[dct_db_supplier]" displayFolder="" count="0" unbalanced="0"/>
    <cacheHierarchy uniqueName="[dct_db_supplier].[L District]" caption="Логистический округ (внут.контрагент)" attribute="1" defaultMemberUniqueName="[dct_db_supplier].[L District].[All]" allUniqueName="[dct_db_supplier].[L District].[All]" dimensionUniqueName="[dct_db_supplier]" displayFolder="" count="0" unbalanced="0"/>
    <cacheHierarchy uniqueName="[dct_db_supplier].[Name]" caption="Подразделение (внут.контрагент)" attribute="1" keyAttribute="1" defaultMemberUniqueName="[dct_db_supplier].[Name].[All]" allUniqueName="[dct_db_supplier].[Name].[All]" dimensionUniqueName="[dct_db_supplier]" displayFolder="" count="0" unbalanced="0"/>
    <cacheHierarchy uniqueName="[dct_db_supplier].[Name Full]" caption="Полное имя подразделения (внут.контрагент)" attribute="1" defaultMemberUniqueName="[dct_db_supplier].[Name Full].[All]" allUniqueName="[dct_db_supplier].[Name Full].[All]" dimensionUniqueName="[dct_db_supplier]" displayFolder="" count="0" unbalanced="0"/>
    <cacheHierarchy uniqueName="[dct_db_supplier].[Owner Name]" caption="Юр. лицо (внут.контрагент)" attribute="1" defaultMemberUniqueName="[dct_db_supplier].[Owner Name].[All]" allUniqueName="[dct_db_supplier].[Owner Name].[All]" dimensionUniqueName="[dct_db_supplier]" displayFolder="" count="0" unbalanced="0"/>
    <cacheHierarchy uniqueName="[dct_db_supplier].[Owner-db]" caption="Юр.Лицо-Подразделение (внут.контрагент)" defaultMemberUniqueName="[dct_db_supplier].[Owner-db].[All]" allUniqueName="[dct_db_supplier].[Owner-db].[All]" dimensionUniqueName="[dct_db_supplier]" displayFolder="" count="0" unbalanced="0"/>
    <cacheHierarchy uniqueName="[dct_db_supplier].[Type Name]" caption="Тип подразделения (внут.контрагент)" attribute="1" defaultMemberUniqueName="[dct_db_supplier].[Type Name].[All]" allUniqueName="[dct_db_supplier].[Type Name].[All]" dimensionUniqueName="[dct_db_supplier]" displayFolder="" count="0" unbalanced="0"/>
    <cacheHierarchy uniqueName="[dct_db_supplier].[Upd Region]" caption="Регион (внут.контрагент)" attribute="1" defaultMemberUniqueName="[dct_db_supplier].[Upd Region].[All]" allUniqueName="[dct_db_supplier].[Upd Region].[All]" dimensionUniqueName="[dct_db_supplier]" displayFolder="" count="0" unbalanced="0"/>
    <cacheHierarchy uniqueName="[dct_doc_types_s].[Doc Type2 Name]" caption="Подтип накладной" attribute="1" defaultMemberUniqueName="[dct_doc_types_s].[Doc Type2 Name].[All]" allUniqueName="[dct_doc_types_s].[Doc Type2 Name].[All]" dimensionUniqueName="[dct_doc_types_s]" displayFolder="" count="0" unbalanced="0"/>
    <cacheHierarchy uniqueName="[dct_doc_types_s].[Docs Typ1 Name]" caption="Тип накладной" attribute="1" defaultMemberUniqueName="[dct_doc_types_s].[Docs Typ1 Name].[All]" allUniqueName="[dct_doc_types_s].[Docs Typ1 Name].[All]" dimensionUniqueName="[dct_doc_types_s]" displayFolder="" count="0" unbalanced="0"/>
    <cacheHierarchy uniqueName="[dct_doc_types_s].[In Out Name]" caption="Тип движения" attribute="1" defaultMemberUniqueName="[dct_doc_types_s].[In Out Name].[All]" allUniqueName="[dct_doc_types_s].[In Out Name].[All]" dimensionUniqueName="[dct_doc_types_s]" displayFolder="" count="0" unbalanced="0"/>
    <cacheHierarchy uniqueName="[dct_doc_types_s].[Т-Т-П]" caption="Т-Т-П" defaultMemberUniqueName="[dct_doc_types_s].[Т-Т-П].[All]" allUniqueName="[dct_doc_types_s].[Т-Т-П].[All]" dimensionUniqueName="[dct_doc_types_s]" displayFolder="" count="0" unbalanced="0"/>
    <cacheHierarchy uniqueName="[dct_goods].[bonus_group_name]" caption="Группа бонусов" attribute="1" defaultMemberUniqueName="[dct_goods].[bonus_group_name].[Все]" allUniqueName="[dct_goods].[bonus_group_name].[Все]" dimensionUniqueName="[dct_goods]" displayFolder="" count="0" unbalanced="0"/>
    <cacheHierarchy uniqueName="[dct_goods].[Brand Name]" caption="Бренд" attribute="1" defaultMemberUniqueName="[dct_goods].[Brand Name].[Все]" allUniqueName="[dct_goods].[Brand Name].[Все]" dimensionUniqueName="[dct_goods]" displayFolder="" count="0" unbalanced="0"/>
    <cacheHierarchy uniqueName="[dct_goods].[Deny Order]" caption="Запрет заказа" attribute="1" defaultMemberUniqueName="[dct_goods].[Deny Order].[Все]" allUniqueName="[dct_goods].[Deny Order].[Все]" dimensionUniqueName="[dct_goods]" displayFolder="" count="0" unbalanced="0"/>
    <cacheHierarchy uniqueName="[dct_goods].[Format Level]" caption="Формат товара" attribute="1" defaultMemberUniqueName="[dct_goods].[Format Level].[Все]" allUniqueName="[dct_goods].[Format Level].[Все]" dimensionUniqueName="[dct_goods]" displayFolder="" count="0" unbalanced="0"/>
    <cacheHierarchy uniqueName="[dct_goods].[Good Cod Rr Int]" caption="Код товара" attribute="1" defaultMemberUniqueName="[dct_goods].[Good Cod Rr Int].[Все]" allUniqueName="[dct_goods].[Good Cod Rr Int].[Все]" dimensionUniqueName="[dct_goods]" displayFolder="" count="2" unbalanced="0">
      <fieldsUsage count="2">
        <fieldUsage x="-1"/>
        <fieldUsage x="64"/>
      </fieldsUsage>
    </cacheHierarchy>
    <cacheHierarchy uniqueName="[dct_goods].[Gross Weight Thing]" caption="Вес брутто шт, кг" attribute="1" defaultMemberUniqueName="[dct_goods].[Gross Weight Thing].[Все]" allUniqueName="[dct_goods].[Gross Weight Thing].[Все]" dimensionUniqueName="[dct_goods]" displayFolder="" count="0" unbalanced="0"/>
    <cacheHierarchy uniqueName="[dct_goods].[gross_weight]" caption="Вес брутто уп, кг" attribute="1" defaultMemberUniqueName="[dct_goods].[gross_weight].[Все]" allUniqueName="[dct_goods].[gross_weight].[Все]" dimensionUniqueName="[dct_goods]" displayFolder="" count="0" unbalanced="0"/>
    <cacheHierarchy uniqueName="[dct_goods].[group_name]" caption="Уровень 1" attribute="1" defaultMemberUniqueName="[dct_goods].[group_name].[Все]" allUniqueName="[dct_goods].[group_name].[Все]" dimensionUniqueName="[dct_goods]" displayFolder="" count="2" unbalanced="0">
      <fieldsUsage count="2">
        <fieldUsage x="-1"/>
        <fieldUsage x="69"/>
      </fieldsUsage>
    </cacheHierarchy>
    <cacheHierarchy uniqueName="[dct_goods].[g-s-n (rrun)]" caption="Классификатор" defaultMemberUniqueName="[dct_goods].[g-s-n (rrun)].[Все]" allUniqueName="[dct_goods].[g-s-n (rrun)].[Все]" dimensionUniqueName="[dct_goods]" displayFolder="" count="7" unbalanced="0">
      <fieldsUsage count="7">
        <fieldUsage x="-1"/>
        <fieldUsage x="47"/>
        <fieldUsage x="48"/>
        <fieldUsage x="49"/>
        <fieldUsage x="50"/>
        <fieldUsage x="51"/>
        <fieldUsage x="52"/>
      </fieldsUsage>
    </cacheHierarchy>
    <cacheHierarchy uniqueName="[dct_goods].[Import]" caption="Победа Импорт" attribute="1" defaultMemberUniqueName="[dct_goods].[Import].[Все]" allUniqueName="[dct_goods].[Import].[Все]" dimensionUniqueName="[dct_goods]" displayFolder="" count="0" unbalanced="0"/>
    <cacheHierarchy uniqueName="[dct_goods].[In Out]" caption="In-out" attribute="1" defaultMemberUniqueName="[dct_goods].[In Out].[Все]" allUniqueName="[dct_goods].[In Out].[Все]" dimensionUniqueName="[dct_goods]" displayFolder="" count="0" unbalanced="0"/>
    <cacheHierarchy uniqueName="[dct_goods].[Is Head Order]" caption="Центрозаказ" attribute="1" defaultMemberUniqueName="[dct_goods].[Is Head Order].[Все]" allUniqueName="[dct_goods].[Is Head Order].[Все]" dimensionUniqueName="[dct_goods]" displayFolder="" count="0" unbalanced="0"/>
    <cacheHierarchy uniqueName="[dct_goods].[Is New]" caption="Новинка" attribute="1" defaultMemberUniqueName="[dct_goods].[Is New].[Все]" allUniqueName="[dct_goods].[Is New].[Все]" dimensionUniqueName="[dct_goods]" displayFolder="" count="0" unbalanced="0"/>
    <cacheHierarchy uniqueName="[dct_goods].[Level 3 Name]" caption="Уровень 3" attribute="1" defaultMemberUniqueName="[dct_goods].[Level 3 Name].[Все]" allUniqueName="[dct_goods].[Level 3 Name].[Все]" dimensionUniqueName="[dct_goods]" displayFolder="" count="2" unbalanced="0">
      <fieldsUsage count="2">
        <fieldUsage x="-1"/>
        <fieldUsage x="72"/>
      </fieldsUsage>
    </cacheHierarchy>
    <cacheHierarchy uniqueName="[dct_goods].[Level 4 Name]" caption="Уровень 4" attribute="1" defaultMemberUniqueName="[dct_goods].[Level 4 Name].[Все]" allUniqueName="[dct_goods].[Level 4 Name].[Все]" dimensionUniqueName="[dct_goods]" displayFolder="" count="2" unbalanced="0">
      <fieldsUsage count="2">
        <fieldUsage x="-1"/>
        <fieldUsage x="67"/>
      </fieldsUsage>
    </cacheHierarchy>
    <cacheHierarchy uniqueName="[dct_goods].[Level 5 Name]" caption="Уровень 5" attribute="1" defaultMemberUniqueName="[dct_goods].[Level 5 Name].[Все]" allUniqueName="[dct_goods].[Level 5 Name].[Все]" dimensionUniqueName="[dct_goods]" displayFolder="" count="2" unbalanced="0">
      <fieldsUsage count="2">
        <fieldUsage x="-1"/>
        <fieldUsage x="73"/>
      </fieldsUsage>
    </cacheHierarchy>
    <cacheHierarchy uniqueName="[dct_goods].[Local Assortment]" caption="Локальный ассортимент" attribute="1" defaultMemberUniqueName="[dct_goods].[Local Assortment].[Все]" allUniqueName="[dct_goods].[Local Assortment].[Все]" dimensionUniqueName="[dct_goods]" displayFolder="" count="0" unbalanced="0"/>
    <cacheHierarchy uniqueName="[dct_goods].[Localgoods]" caption="Товар местного производителя" attribute="1" defaultMemberUniqueName="[dct_goods].[Localgoods].[Все]" allUniqueName="[dct_goods].[Localgoods].[Все]" dimensionUniqueName="[dct_goods]" displayFolder="" count="0" unbalanced="0"/>
    <cacheHierarchy uniqueName="[dct_goods].[man_name]" caption="Производитель" attribute="1" defaultMemberUniqueName="[dct_goods].[man_name].[Все]" allUniqueName="[dct_goods].[man_name].[Все]" dimensionUniqueName="[dct_goods]" displayFolder="" count="0" unbalanced="0"/>
    <cacheHierarchy uniqueName="[dct_goods].[manager]" caption="Менеджер ТС Гулливер" attribute="1" defaultMemberUniqueName="[dct_goods].[manager].[Все]" allUniqueName="[dct_goods].[manager].[Все]" dimensionUniqueName="[dct_goods]" displayFolder="" count="0" unbalanced="0"/>
    <cacheHierarchy uniqueName="[dct_goods].[Manager Leto]" caption="Менеджер ТС Победа" attribute="1" defaultMemberUniqueName="[dct_goods].[Manager Leto].[Все]" allUniqueName="[dct_goods].[Manager Leto].[Все]" dimensionUniqueName="[dct_goods]" displayFolder="" count="0" unbalanced="0"/>
    <cacheHierarchy uniqueName="[dct_goods].[Measurement Price List Life]" caption="Срок годности" attribute="1" defaultMemberUniqueName="[dct_goods].[Measurement Price List Life].[Все]" allUniqueName="[dct_goods].[Measurement Price List Life].[Все]" dimensionUniqueName="[dct_goods]" displayFolder="" count="0" unbalanced="0"/>
    <cacheHierarchy uniqueName="[dct_goods].[name_rrun]" caption="Номенклатура" attribute="1" defaultMemberUniqueName="[dct_goods].[name_rrun].[Все]" allUniqueName="[dct_goods].[name_rrun].[Все]" dimensionUniqueName="[dct_goods]" displayFolder="" count="2" unbalanced="0">
      <fieldsUsage count="2">
        <fieldUsage x="-1"/>
        <fieldUsage x="65"/>
      </fieldsUsage>
    </cacheHierarchy>
    <cacheHierarchy uniqueName="[dct_goods].[net_volume]" caption="Объем нетто, л" attribute="1" defaultMemberUniqueName="[dct_goods].[net_volume].[Все]" allUniqueName="[dct_goods].[net_volume].[Все]" dimensionUniqueName="[dct_goods]" displayFolder="" count="0" unbalanced="0"/>
    <cacheHierarchy uniqueName="[dct_goods].[net_weight]" caption="Вес нетто шт, кг" attribute="1" defaultMemberUniqueName="[dct_goods].[net_weight].[Все]" allUniqueName="[dct_goods].[net_weight].[Все]" dimensionUniqueName="[dct_goods]" displayFolder="" count="0" unbalanced="0"/>
    <cacheHierarchy uniqueName="[dct_goods].[package]" caption="Количество штук в упаковке, шт" attribute="1" defaultMemberUniqueName="[dct_goods].[package].[Все]" allUniqueName="[dct_goods].[package].[Все]" dimensionUniqueName="[dct_goods]" displayFolder="" count="0" unbalanced="0"/>
    <cacheHierarchy uniqueName="[dct_goods].[Package Form]" caption="Вид упаковки" attribute="1" defaultMemberUniqueName="[dct_goods].[Package Form].[Все]" allUniqueName="[dct_goods].[Package Form].[Все]" dimensionUniqueName="[dct_goods]" displayFolder="" count="0" unbalanced="0"/>
    <cacheHierarchy uniqueName="[dct_goods].[Package Type]" caption="Тип упаковки" attribute="1" defaultMemberUniqueName="[dct_goods].[Package Type].[Все]" allUniqueName="[dct_goods].[Package Type].[Все]" dimensionUniqueName="[dct_goods]" displayFolder="" count="0" unbalanced="0"/>
    <cacheHierarchy uniqueName="[dct_goods].[Price Range]" caption="Ценовой сегмент ТС Победа" attribute="1" defaultMemberUniqueName="[dct_goods].[Price Range].[Все]" allUniqueName="[dct_goods].[Price Range].[Все]" dimensionUniqueName="[dct_goods]" displayFolder="" count="0" unbalanced="0"/>
    <cacheHierarchy uniqueName="[dct_goods].[Price Segment]" caption="Ценовой сегмент ТС Гулливер" attribute="1" defaultMemberUniqueName="[dct_goods].[Price Segment].[Все]" allUniqueName="[dct_goods].[Price Segment].[Все]" dimensionUniqueName="[dct_goods]" displayFolder="" count="0" unbalanced="0"/>
    <cacheHierarchy uniqueName="[dct_goods].[Seasonal Lvl 1]" caption="Сезонный товар ПОБЕДА" attribute="1" defaultMemberUniqueName="[dct_goods].[Seasonal Lvl 1].[Все]" allUniqueName="[dct_goods].[Seasonal Lvl 1].[Все]" dimensionUniqueName="[dct_goods]" displayFolder="" count="0" unbalanced="0"/>
    <cacheHierarchy uniqueName="[dct_goods].[STM]" caption="Признак СТМ" attribute="1" defaultMemberUniqueName="[dct_goods].[STM].[Все]" allUniqueName="[dct_goods].[STM].[Все]" dimensionUniqueName="[dct_goods]" displayFolder="" count="0" unbalanced="0"/>
    <cacheHierarchy uniqueName="[dct_goods].[STM Gul]" caption="Признак СТМ Гулливер" attribute="1" defaultMemberUniqueName="[dct_goods].[STM Gul].[Все]" allUniqueName="[dct_goods].[STM Gul].[Все]" dimensionUniqueName="[dct_goods]" displayFolder="" count="0" unbalanced="0"/>
    <cacheHierarchy uniqueName="[dct_goods].[sub_group_name]" caption="Уровень 2" attribute="1" defaultMemberUniqueName="[dct_goods].[sub_group_name].[Все]" allUniqueName="[dct_goods].[sub_group_name].[Все]" dimensionUniqueName="[dct_goods]" displayFolder="" count="2" unbalanced="0">
      <fieldsUsage count="2">
        <fieldUsage x="-1"/>
        <fieldUsage x="70"/>
      </fieldsUsage>
    </cacheHierarchy>
    <cacheHierarchy uniqueName="[dct_goods].[unit_name]" caption="Единица измерения" attribute="1" defaultMemberUniqueName="[dct_goods].[unit_name].[Все]" allUniqueName="[dct_goods].[unit_name].[Все]" dimensionUniqueName="[dct_goods]" displayFolder="" count="0" unbalanced="0"/>
    <cacheHierarchy uniqueName="[dct_goods].[vat]" caption="Ставка НДС" attribute="1" defaultMemberUniqueName="[dct_goods].[vat].[Все]" allUniqueName="[dct_goods].[vat].[Все]" dimensionUniqueName="[dct_goods]" displayFolder="" count="0" unbalanced="0"/>
    <cacheHierarchy uniqueName="[dct_goods].[ZKD Leto]" caption="ЗКД ТС Победа" attribute="1" defaultMemberUniqueName="[dct_goods].[ZKD Leto].[Все]" allUniqueName="[dct_goods].[ZKD Leto].[Все]" dimensionUniqueName="[dct_goods]" displayFolder="" count="0" unbalanced="0"/>
    <cacheHierarchy uniqueName="[dct_goods].[zona_sklada]" caption="Зона склада" attribute="1" defaultMemberUniqueName="[dct_goods].[zona_sklada].[Все]" allUniqueName="[dct_goods].[zona_sklada].[Все]" dimensionUniqueName="[dct_goods]" displayFolder="" count="0" unbalanced="0"/>
    <cacheHierarchy uniqueName="[dct_Recipients].[address]" caption="Адрес ( Получатель)" attribute="1" defaultMemberUniqueName="[dct_Recipients].[address].[Все]" allUniqueName="[dct_Recipients].[address].[Все]" dimensionUniqueName="[dct_Recipients]" displayFolder="" count="0" unbalanced="0"/>
    <cacheHierarchy uniqueName="[dct_Recipients].[inn]" caption="ИНН ( Получатель)" attribute="1" defaultMemberUniqueName="[dct_Recipients].[inn].[Все]" allUniqueName="[dct_Recipients].[inn].[Все]" dimensionUniqueName="[dct_Recipients]" displayFolder="" count="0" unbalanced="0"/>
    <cacheHierarchy uniqueName="[dct_Recipients].[kpp]" caption="КПП ( Получатель)" attribute="1" defaultMemberUniqueName="[dct_Recipients].[kpp].[Все]" allUniqueName="[dct_Recipients].[kpp].[Все]" dimensionUniqueName="[dct_Recipients]" displayFolder="" count="0" unbalanced="0"/>
    <cacheHierarchy uniqueName="[dct_Recipients].[name]" caption="Контрагент ( Получатель)" attribute="1" keyAttribute="1" defaultMemberUniqueName="[dct_Recipients].[name].[Все]" allUniqueName="[dct_Recipients].[name].[Все]" dimensionUniqueName="[dct_Recipients]" displayFolder="" count="0" unbalanced="0"/>
    <cacheHierarchy uniqueName="[dct_Recipients].[name_full]" caption="Наименование Получателя" attribute="1" defaultMemberUniqueName="[dct_Recipients].[name_full].[Все]" allUniqueName="[dct_Recipients].[name_full].[Все]" dimensionUniqueName="[dct_Recipients]" displayFolder="" count="0" unbalanced="0"/>
    <cacheHierarchy uniqueName="[dct_Recipients].[phone]" caption="Телефон ( Получатель)" attribute="1" defaultMemberUniqueName="[dct_Recipients].[phone].[Все]" allUniqueName="[dct_Recipients].[phone].[Все]" dimensionUniqueName="[dct_Recipients]" displayFolder="" count="0" unbalanced="0"/>
    <cacheHierarchy uniqueName="[dct_suppliers].[address]" caption="Адрес" attribute="1" defaultMemberUniqueName="[dct_suppliers].[address].[Все]" allUniqueName="[dct_suppliers].[address].[Все]" dimensionUniqueName="[dct_suppliers]" displayFolder="" count="0" unbalanced="0"/>
    <cacheHierarchy uniqueName="[dct_suppliers].[inn]" caption="ИНН" attribute="1" defaultMemberUniqueName="[dct_suppliers].[inn].[Все]" allUniqueName="[dct_suppliers].[inn].[Все]" dimensionUniqueName="[dct_suppliers]" displayFolder="" count="0" unbalanced="0"/>
    <cacheHierarchy uniqueName="[dct_suppliers].[kpp]" caption="КПП" attribute="1" defaultMemberUniqueName="[dct_suppliers].[kpp].[Все]" allUniqueName="[dct_suppliers].[kpp].[Все]" dimensionUniqueName="[dct_suppliers]" displayFolder="" count="0" unbalanced="0"/>
    <cacheHierarchy uniqueName="[dct_suppliers].[name]" caption="Контрагент список" attribute="1" keyAttribute="1" defaultMemberUniqueName="[dct_suppliers].[name].[Все]" allUniqueName="[dct_suppliers].[name].[Все]" dimensionUniqueName="[dct_suppliers]" displayFolder="" count="0" unbalanced="0"/>
    <cacheHierarchy uniqueName="[dct_suppliers].[name_full]" caption="Наименование полное" attribute="1" defaultMemberUniqueName="[dct_suppliers].[name_full].[Все]" allUniqueName="[dct_suppliers].[name_full].[Все]" dimensionUniqueName="[dct_suppliers]" displayFolder="" count="0" unbalanced="0"/>
    <cacheHierarchy uniqueName="[dct_suppliers].[phone]" caption="Телефон" attribute="1" defaultMemberUniqueName="[dct_suppliers].[phone].[Все]" allUniqueName="[dct_suppliers].[phone].[Все]" dimensionUniqueName="[dct_suppliers]" displayFolder="" count="0" unbalanced="0"/>
    <cacheHierarchy uniqueName="[v_dct_agreement].[Agreement Id]" caption="Agreement Id" attribute="1" defaultMemberUniqueName="[v_dct_agreement].[Agreement Id].[All]" allUniqueName="[v_dct_agreement].[Agreement Id].[All]" dimensionUniqueName="[v_dct_agreement]" displayFolder="" count="0" unbalanced="0"/>
    <cacheHierarchy uniqueName="[v_dct_agreement].[Agreement Name]" caption="Название договора" attribute="1" keyAttribute="1" defaultMemberUniqueName="[v_dct_agreement].[Agreement Name].[All]" allUniqueName="[v_dct_agreement].[Agreement Name].[All]" dimensionUniqueName="[v_dct_agreement]" displayFolder="" count="0" unbalanced="0"/>
    <cacheHierarchy uniqueName="[v_dct_agreement].[Buyer Name]" caption="Покупатель" attribute="1" defaultMemberUniqueName="[v_dct_agreement].[Buyer Name].[All]" allUniqueName="[v_dct_agreement].[Buyer Name].[All]" dimensionUniqueName="[v_dct_agreement]" displayFolder="" count="0" unbalanced="0"/>
    <cacheHierarchy uniqueName="[v_dct_agreement].[Hierarchy]" caption="Договор" defaultMemberUniqueName="[v_dct_agreement].[Hierarchy].[All]" allUniqueName="[v_dct_agreement].[Hierarchy].[All]" dimensionUniqueName="[v_dct_agreement]" displayFolder="" count="3" unbalanced="0"/>
    <cacheHierarchy uniqueName="[v_dct_agreement].[Seller Name]" caption="Продавец" attribute="1" defaultMemberUniqueName="[v_dct_agreement].[Seller Name].[All]" allUniqueName="[v_dct_agreement].[Seller Name].[All]" dimensionUniqueName="[v_dct_agreement]" displayFolder="" count="0" unbalanced="0"/>
    <cacheHierarchy uniqueName="[v_Olap_Dct_FixPrice].[Action Type]" caption="Тип промо" attribute="1" defaultMemberUniqueName="[v_Olap_Dct_FixPrice].[Action Type].[All]" allUniqueName="[v_Olap_Dct_FixPrice].[Action Type].[All]" dimensionUniqueName="[v_Olap_Dct_FixPrice]" displayFolder="" count="0" unbalanced="0"/>
    <cacheHierarchy uniqueName="[v_Olap_Dct_FixPrice].[Fix Price Date From]" caption="Дата начала акции" attribute="1" defaultMemberUniqueName="[v_Olap_Dct_FixPrice].[Fix Price Date From].[All]" allUniqueName="[v_Olap_Dct_FixPrice].[Fix Price Date From].[All]" dimensionUniqueName="[v_Olap_Dct_FixPrice]" displayFolder="" count="0" unbalanced="0"/>
    <cacheHierarchy uniqueName="[v_Olap_Dct_FixPrice].[Fix Price Date To]" caption="Дата окончания акции" attribute="1" defaultMemberUniqueName="[v_Olap_Dct_FixPrice].[Fix Price Date To].[All]" allUniqueName="[v_Olap_Dct_FixPrice].[Fix Price Date To].[All]" dimensionUniqueName="[v_Olap_Dct_FixPrice]" displayFolder="" count="0" unbalanced="0"/>
    <cacheHierarchy uniqueName="[v_Olap_Dct_FixPrice].[Fix Price Name]" caption="Название акции" attribute="1" keyAttribute="1" defaultMemberUniqueName="[v_Olap_Dct_FixPrice].[Fix Price Name].[All]" allUniqueName="[v_Olap_Dct_FixPrice].[Fix Price Name].[All]" dimensionUniqueName="[v_Olap_Dct_FixPrice]" displayFolder="" count="0" unbalanced="0"/>
    <cacheHierarchy uniqueName="[v_Olap_Dct_FixPrice].[Hierarchy]" caption="T-A" defaultMemberUniqueName="[v_Olap_Dct_FixPrice].[Hierarchy].[All]" allUniqueName="[v_Olap_Dct_FixPrice].[Hierarchy].[All]" dimensionUniqueName="[v_Olap_Dct_FixPrice]" displayFolder="" count="0" unbalanced="0"/>
    <cacheHierarchy uniqueName="[v_Olap_Dct_FixPrice].[Sale Action Type Name]" caption="Тип акции" attribute="1" defaultMemberUniqueName="[v_Olap_Dct_FixPrice].[Sale Action Type Name].[All]" allUniqueName="[v_Olap_Dct_FixPrice].[Sale Action Type Name].[All]" dimensionUniqueName="[v_Olap_Dct_FixPrice]" displayFolder="" count="0" unbalanced="0"/>
    <cacheHierarchy uniqueName="[dct_date].[date_time]" caption="Дата время" attribute="1" time="1" defaultMemberUniqueName="[dct_date].[date_time].[Все]" allUniqueName="[dct_date].[date_time].[Все]" dimensionUniqueName="[dct_date]" displayFolder="" count="0" unbalanced="0" hidden="1"/>
    <cacheHierarchy uniqueName="[dct_date].[date_type_id]" caption="Код типа дня" attribute="1" time="1" defaultMemberUniqueName="[dct_date].[date_type_id].[Все]" allUniqueName="[dct_date].[date_type_id].[Все]" dimensionUniqueName="[dct_date]" displayFolder="" count="0" unbalanced="0" hidden="1"/>
    <cacheHierarchy uniqueName="[dct_date].[month_id]" caption="Код месяца" attribute="1" time="1" defaultMemberUniqueName="[dct_date].[month_id].[Все]" allUniqueName="[dct_date].[month_id].[Все]" dimensionUniqueName="[dct_date]" displayFolder="" count="0" unbalanced="0" hidden="1"/>
    <cacheHierarchy uniqueName="[dct_date].[quarter_id]" caption="Код квартала" attribute="1" time="1" defaultMemberUniqueName="[dct_date].[quarter_id].[Все]" allUniqueName="[dct_date].[quarter_id].[Все]" dimensionUniqueName="[dct_date]" displayFolder="" count="0" unbalanced="0" hidden="1"/>
    <cacheHierarchy uniqueName="[dct_date].[quarter_name]" caption="Квартал" attribute="1" time="1" defaultMemberUniqueName="[dct_date].[quarter_name].[Все]" allUniqueName="[dct_date].[quarter_name].[Все]" dimensionUniqueName="[dct_date]" displayFolder="" count="0" unbalanced="0" hidden="1"/>
    <cacheHierarchy uniqueName="[dct_date].[week_id]" caption="Код недели" attribute="1" time="1" defaultMemberUniqueName="[dct_date].[week_id].[Все]" allUniqueName="[dct_date].[week_id].[Все]" dimensionUniqueName="[dct_date]" displayFolder="" count="0" unbalanced="0" hidden="1"/>
    <cacheHierarchy uniqueName="[dct_date].[Year w Id]" caption="Код года недели" attribute="1" time="1" defaultMemberUniqueName="[dct_date].[Year w Id].[Все]" allUniqueName="[dct_date].[Year w Id].[Все]" dimensionUniqueName="[dct_date]" displayFolder="" count="0" unbalanced="0" hidden="1"/>
    <cacheHierarchy uniqueName="[dct_date].[Year w Name]" caption="Год недели" attribute="1" time="1" defaultMemberUniqueName="[dct_date].[Year w Name].[Все]" allUniqueName="[dct_date].[Year w Name].[Все]" dimensionUniqueName="[dct_date]" displayFolder="" count="0" unbalanced="0" hidden="1"/>
    <cacheHierarchy uniqueName="[dct_date].[year_id]" caption="Код года" attribute="1" time="1" defaultMemberUniqueName="[dct_date].[year_id].[Все]" allUniqueName="[dct_date].[year_id].[Все]" dimensionUniqueName="[dct_date]" displayFolder="" count="0" unbalanced="0" hidden="1"/>
    <cacheHierarchy uniqueName="[dct_db].[Cheif Name]" caption="ФИО Директора" attribute="1" defaultMemberUniqueName="[dct_db].[Cheif Name].[Все]" allUniqueName="[dct_db].[Cheif Name].[Все]" dimensionUniqueName="[dct_db]" displayFolder="" count="0" unbalanced="0" hidden="1"/>
    <cacheHierarchy uniqueName="[dct_db].[Closing Date]" caption="Дата закрытия" attribute="1" defaultMemberUniqueName="[dct_db].[Closing Date].[Все]" allUniqueName="[dct_db].[Closing Date].[Все]" dimensionUniqueName="[dct_db]" displayFolder="" count="0" unbalanced="0" hidden="1"/>
    <cacheHierarchy uniqueName="[dct_db].[Month Id Close]" caption="Month Id Close" attribute="1" defaultMemberUniqueName="[dct_db].[Month Id Close].[Все]" allUniqueName="[dct_db].[Month Id Close].[Все]" dimensionUniqueName="[dct_db]" displayFolder="" count="0" unbalanced="0" hidden="1"/>
    <cacheHierarchy uniqueName="[dct_db].[Month Id Open]" caption="Month Id Open" attribute="1" defaultMemberUniqueName="[dct_db].[Month Id Open].[Все]" allUniqueName="[dct_db].[Month Id Open].[Все]" dimensionUniqueName="[dct_db]" displayFolder="" count="0" unbalanced="0" hidden="1"/>
    <cacheHierarchy uniqueName="[dct_db].[Month Name Close]" caption="Month Name Close" attribute="1" defaultMemberUniqueName="[dct_db].[Month Name Close].[Все]" allUniqueName="[dct_db].[Month Name Close].[Все]" dimensionUniqueName="[dct_db]" displayFolder="" count="0" unbalanced="0" hidden="1"/>
    <cacheHierarchy uniqueName="[dct_db].[Month Name Open]" caption="Month Name Open" attribute="1" defaultMemberUniqueName="[dct_db].[Month Name Open].[Все]" allUniqueName="[dct_db].[Month Name Open].[Все]" dimensionUniqueName="[dct_db]" displayFolder="" count="0" unbalanced="0" hidden="1"/>
    <cacheHierarchy uniqueName="[dct_db].[Opening Date]" caption="Дата открытия" attribute="1" defaultMemberUniqueName="[dct_db].[Opening Date].[Все]" allUniqueName="[dct_db].[Opening Date].[Все]" dimensionUniqueName="[dct_db]" displayFolder="" count="0" unbalanced="0" hidden="1"/>
    <cacheHierarchy uniqueName="[dct_db].[Reconstruction Date Begin]" caption="Начало реконструкции" attribute="1" defaultMemberUniqueName="[dct_db].[Reconstruction Date Begin].[Все]" allUniqueName="[dct_db].[Reconstruction Date Begin].[Все]" dimensionUniqueName="[dct_db]" displayFolder="" count="0" unbalanced="0" hidden="1"/>
    <cacheHierarchy uniqueName="[dct_db].[Reconstruction Date End]" caption="Конец реконструкции" attribute="1" defaultMemberUniqueName="[dct_db].[Reconstruction Date End].[Все]" allUniqueName="[dct_db].[Reconstruction Date End].[Все]" dimensionUniqueName="[dct_db]" displayFolder="" count="0" unbalanced="0" hidden="1"/>
    <cacheHierarchy uniqueName="[dct_db].[Upd House]" caption="Дом" attribute="1" defaultMemberUniqueName="[dct_db].[Upd House].[Все]" allUniqueName="[dct_db].[Upd House].[Все]" dimensionUniqueName="[dct_db]" displayFolder="" count="0" unbalanced="0" hidden="1"/>
    <cacheHierarchy uniqueName="[dct_db].[Upd Street]" caption="Улица" attribute="1" defaultMemberUniqueName="[dct_db].[Upd Street].[Все]" allUniqueName="[dct_db].[Upd Street].[Все]" dimensionUniqueName="[dct_db]" displayFolder="" count="0" unbalanced="0" hidden="1"/>
    <cacheHierarchy uniqueName="[dct_db].[Year Name Close]" caption="Year Name Close" attribute="1" defaultMemberUniqueName="[dct_db].[Year Name Close].[Все]" allUniqueName="[dct_db].[Year Name Close].[Все]" dimensionUniqueName="[dct_db]" displayFolder="" count="0" unbalanced="0" hidden="1"/>
    <cacheHierarchy uniqueName="[dct_db].[Year Name Open]" caption="Year Name Open" attribute="1" defaultMemberUniqueName="[dct_db].[Year Name Open].[Все]" allUniqueName="[dct_db].[Year Name Open].[Все]" dimensionUniqueName="[dct_db]" displayFolder="" count="0" unbalanced="0" hidden="1"/>
    <cacheHierarchy uniqueName="[dct_db_supplier].[Owner Cod]" caption="Owner Cod" attribute="1" defaultMemberUniqueName="[dct_db_supplier].[Owner Cod].[All]" allUniqueName="[dct_db_supplier].[Owner Cod].[All]" dimensionUniqueName="[dct_db_supplier]" displayFolder="" count="0" unbalanced="0" hidden="1"/>
    <cacheHierarchy uniqueName="[dct_doc_types_s].[Doc Type2 Id]" caption="Doc Type2 Id" attribute="1" defaultMemberUniqueName="[dct_doc_types_s].[Doc Type2 Id].[All]" allUniqueName="[dct_doc_types_s].[Doc Type2 Id].[All]" dimensionUniqueName="[dct_doc_types_s]" displayFolder="" count="0" unbalanced="0" hidden="1"/>
    <cacheHierarchy uniqueName="[dct_doc_types_s].[Docs Typ Id]" caption="Docs Typ Id" attribute="1" keyAttribute="1" defaultMemberUniqueName="[dct_doc_types_s].[Docs Typ Id].[All]" allUniqueName="[dct_doc_types_s].[Docs Typ Id].[All]" dimensionUniqueName="[dct_doc_types_s]" displayFolder="" count="0" unbalanced="0" hidden="1"/>
    <cacheHierarchy uniqueName="[dct_doc_types_s].[Docs Typ1 Cod]" caption="Docs Typ1 Cod" attribute="1" defaultMemberUniqueName="[dct_doc_types_s].[Docs Typ1 Cod].[All]" allUniqueName="[dct_doc_types_s].[Docs Typ1 Cod].[All]" dimensionUniqueName="[dct_doc_types_s]" displayFolder="" count="0" unbalanced="0" hidden="1"/>
    <cacheHierarchy uniqueName="[dct_doc_types_s].[Docs Typ1 Id]" caption="Docs Typ1 Id" attribute="1" defaultMemberUniqueName="[dct_doc_types_s].[Docs Typ1 Id].[All]" allUniqueName="[dct_doc_types_s].[Docs Typ1 Id].[All]" dimensionUniqueName="[dct_doc_types_s]" displayFolder="" count="0" unbalanced="0" hidden="1"/>
    <cacheHierarchy uniqueName="[dct_doc_types_s].[In Out Id]" caption="In Out Id" attribute="1" defaultMemberUniqueName="[dct_doc_types_s].[In Out Id].[All]" allUniqueName="[dct_doc_types_s].[In Out Id].[All]" dimensionUniqueName="[dct_doc_types_s]" displayFolder="" count="0" unbalanced="0" hidden="1"/>
    <cacheHierarchy uniqueName="[dct_doc_types_s].[Order 1id]" caption="Order 1id" attribute="1" defaultMemberUniqueName="[dct_doc_types_s].[Order 1id].[All]" allUniqueName="[dct_doc_types_s].[Order 1id].[All]" dimensionUniqueName="[dct_doc_types_s]" displayFolder="" count="0" unbalanced="0" hidden="1"/>
    <cacheHierarchy uniqueName="[dct_doc_types_s].[Source]" caption="Source" attribute="1" defaultMemberUniqueName="[dct_doc_types_s].[Source].[All]" allUniqueName="[dct_doc_types_s].[Source].[All]" dimensionUniqueName="[dct_doc_types_s]" displayFolder="" count="0" unbalanced="0" hidden="1"/>
    <cacheHierarchy uniqueName="[dct_goods].[full_name]" caption="Наименование полное" attribute="1" defaultMemberUniqueName="[dct_goods].[full_name].[Все]" allUniqueName="[dct_goods].[full_name].[Все]" dimensionUniqueName="[dct_goods]" displayFolder="" count="0" unbalanced="0" hidden="1"/>
    <cacheHierarchy uniqueName="[dct_goods].[good_cod_rr]" caption="Код товара rrun" attribute="1" defaultMemberUniqueName="[dct_goods].[good_cod_rr].[Все]" allUniqueName="[dct_goods].[good_cod_rr].[Все]" dimensionUniqueName="[dct_goods]" displayFolder="" count="0" unbalanced="0" hidden="1"/>
    <cacheHierarchy uniqueName="[dct_goods].[manager_account]" caption="Аккаунт менеджера" attribute="1" defaultMemberUniqueName="[dct_goods].[manager_account].[Все]" allUniqueName="[dct_goods].[manager_account].[Все]" dimensionUniqueName="[dct_goods]" displayFolder="" count="0" unbalanced="0" hidden="1"/>
    <cacheHierarchy uniqueName="[dct_goods].[name]" caption="Номенклатура" attribute="1" keyAttribute="1" defaultMemberUniqueName="[dct_goods].[name].[Все]" allUniqueName="[dct_goods].[name].[Все]" dimensionUniqueName="[dct_goods]" displayFolder="" count="0" unbalanced="0" hidden="1"/>
    <cacheHierarchy uniqueName="[dct_goods].[prop_1]" caption="prop_1" attribute="1" defaultMemberUniqueName="[dct_goods].[prop_1].[Все]" allUniqueName="[dct_goods].[prop_1].[Все]" dimensionUniqueName="[dct_goods]" displayFolder="" count="0" unbalanced="0" hidden="1"/>
    <cacheHierarchy uniqueName="[dct_goods].[prop_2]" caption="prop_2" attribute="1" defaultMemberUniqueName="[dct_goods].[prop_2].[Все]" allUniqueName="[dct_goods].[prop_2].[Все]" dimensionUniqueName="[dct_goods]" displayFolder="" count="0" unbalanced="0" hidden="1"/>
    <cacheHierarchy uniqueName="[dct_goods].[prop_3]" caption="prop_3" attribute="1" defaultMemberUniqueName="[dct_goods].[prop_3].[Все]" allUniqueName="[dct_goods].[prop_3].[Все]" dimensionUniqueName="[dct_goods]" displayFolder="" count="0" unbalanced="0" hidden="1"/>
    <cacheHierarchy uniqueName="[dct_goods].[Seasonal Lvl 2]" caption="Сезонный товар ПОБЕДА - Ур2" attribute="1" defaultMemberUniqueName="[dct_goods].[Seasonal Lvl 2].[Все]" allUniqueName="[dct_goods].[Seasonal Lvl 2].[Все]" dimensionUniqueName="[dct_goods]" displayFolder="" count="0" unbalanced="0" hidden="1"/>
    <cacheHierarchy uniqueName="[dct_goods].[supplier_name]" caption="Основной поставщик" attribute="1" defaultMemberUniqueName="[dct_goods].[supplier_name].[Все]" allUniqueName="[dct_goods].[supplier_name].[Все]" dimensionUniqueName="[dct_goods]" displayFolder="" count="0" unbalanced="0" hidden="1"/>
    <cacheHierarchy uniqueName="[dct_type_CrossIncome].[Cross Income Id]" caption="Cross Income Id" attribute="1" keyAttribute="1" defaultMemberUniqueName="[dct_type_CrossIncome].[Cross Income Id].[All]" allUniqueName="[dct_type_CrossIncome].[Cross Income Id].[All]" dimensionUniqueName="[dct_type_CrossIncome]" displayFolder="" count="0" unbalanced="0" hidden="1"/>
    <cacheHierarchy uniqueName="[doc_types].[in_out]" caption="Тип движения" attribute="1" defaultMemberUniqueName="[doc_types].[in_out].[Все]" allUniqueName="[doc_types].[in_out].[Все]" dimensionUniqueName="[doc_types]" displayFolder="" count="0" unbalanced="0" hidden="1"/>
    <cacheHierarchy uniqueName="[doc_types].[name]" caption="Тип документа" attribute="1" keyAttribute="1" defaultMemberUniqueName="[doc_types].[name].[Все]" allUniqueName="[doc_types].[name].[Все]" dimensionUniqueName="[doc_types]" displayFolder="" count="0" unbalanced="0" hidden="1"/>
    <cacheHierarchy uniqueName="[doc_types].[s-io-n]" caption="И - Т - Т" defaultMemberUniqueName="[doc_types].[s-io-n].[Все]" allUniqueName="[doc_types].[s-io-n].[Все]" dimensionUniqueName="[doc_types]" displayFolder="" count="0" unbalanced="0" hidden="1"/>
    <cacheHierarchy uniqueName="[doc_types].[source_name]" caption="Источник" attribute="1" defaultMemberUniqueName="[doc_types].[source_name].[Все]" allUniqueName="[doc_types].[source_name].[Все]" dimensionUniqueName="[doc_types]" displayFolder="" count="0" unbalanced="0" hidden="1"/>
    <cacheHierarchy uniqueName="[Gulliver Dct Type2].[Doc Type Name]" caption="Тип документа" attribute="1" defaultMemberUniqueName="[Gulliver Dct Type2].[Doc Type Name].[All]" allUniqueName="[Gulliver Dct Type2].[Doc Type Name].[All]" dimensionUniqueName="[Gulliver Dct Type2]" displayFolder="" count="0" unbalanced="0" hidden="1"/>
    <cacheHierarchy uniqueName="[Gulliver Dct Type2].[Doc Type2 Name]" caption="Подтип документа" attribute="1" keyAttribute="1" defaultMemberUniqueName="[Gulliver Dct Type2].[Doc Type2 Name].[All]" allUniqueName="[Gulliver Dct Type2].[Doc Type2 Name].[All]" dimensionUniqueName="[Gulliver Dct Type2]" displayFolder="" count="0" unbalanced="0" hidden="1"/>
    <cacheHierarchy uniqueName="[Gulliver Dct Type2].[Hierarchy]" caption="И - Т - Т- П" defaultMemberUniqueName="[Gulliver Dct Type2].[Hierarchy].[All]" allUniqueName="[Gulliver Dct Type2].[Hierarchy].[All]" dimensionUniqueName="[Gulliver Dct Type2]" displayFolder="" count="0" unbalanced="0" hidden="1"/>
    <cacheHierarchy uniqueName="[Gulliver Dct Type2].[In Out]" caption="Тип движения" attribute="1" defaultMemberUniqueName="[Gulliver Dct Type2].[In Out].[All]" allUniqueName="[Gulliver Dct Type2].[In Out].[All]" dimensionUniqueName="[Gulliver Dct Type2]" displayFolder="" count="0" unbalanced="0" hidden="1"/>
    <cacheHierarchy uniqueName="[Gulliver Dct Type2].[Source Name]" caption="Источник" attribute="1" defaultMemberUniqueName="[Gulliver Dct Type2].[Source Name].[All]" allUniqueName="[Gulliver Dct Type2].[Source Name].[All]" dimensionUniqueName="[Gulliver Dct Type2]" displayFolder="" count="0" unbalanced="0" hidden="1"/>
    <cacheHierarchy uniqueName="[Measures].[quantity]" caption="Продажи, шт" measure="1" displayFolder="" measureGroup="Продажи" count="0" oneField="1">
      <fieldsUsage count="1">
        <fieldUsage x="66"/>
      </fieldsUsage>
    </cacheHierarchy>
    <cacheHierarchy uniqueName="[Measures].[cost_grs]" caption="Себестоимость, руб с ндс" measure="1" displayFolder="" measureGroup="Продажи" count="0"/>
    <cacheHierarchy uniqueName="[Measures].[sale_grs]" caption="РТО, руб с ндс" measure="1" displayFolder="" measureGroup="Продажи" count="0"/>
    <cacheHierarchy uniqueName="[Measures].[cost_net]" caption="Себестоимость, руб без НДС" measure="1" displayFolder="" measureGroup="Продажи" count="0"/>
    <cacheHierarchy uniqueName="[Measures].[sale_net]" caption="РТО, руб без ндс" measure="1" displayFolder="" measureGroup="Продажи" count="0" oneField="1">
      <fieldsUsage count="1">
        <fieldUsage x="74"/>
      </fieldsUsage>
    </cacheHierarchy>
    <cacheHierarchy uniqueName="[Measures].[weight]" caption="Продажи, кг" measure="1" displayFolder="" measureGroup="Продажи" count="0" oneField="1">
      <fieldsUsage count="1">
        <fieldUsage x="84"/>
      </fieldsUsage>
    </cacheHierarchy>
    <cacheHierarchy uniqueName="[Measures].[volume]" caption="Продажи, л" measure="1" displayFolder="" measureGroup="Продажи" count="0"/>
    <cacheHierarchy uniqueName="[Measures].[Date Db Sale]" caption="Магазино-дни, дн" measure="1" displayFolder="" measureGroup="Продажи" count="0"/>
    <cacheHierarchy uniqueName="[Measures].[Brutto Quantity]" caption="Продажи, кг (брутто шт.)" measure="1" displayFolder="" measureGroup="Продажи" count="0"/>
    <cacheHierarchy uniqueName="[Measures].[day_count]" caption="Количество дней в периоде, дн" measure="1" displayFolder="" measureGroup="Кол-во дней" count="0"/>
    <cacheHierarchy uniqueName="[Measures].[Payment Deferment]" caption="Отсрочка платежа, дн" measure="1" displayFolder="" measureGroup="Кредитное плечо" count="0"/>
    <cacheHierarchy uniqueName="[Measures].[Bonus Stock Grs]" caption="Бонус на остатках, руб с ндс" measure="1" displayFolder="" measureGroup="Ретро Бонусы" count="0"/>
    <cacheHierarchy uniqueName="[Measures].[Bonus Stock NET]" caption="Бонус на остатках, руб без ндс" measure="1" displayFolder="" measureGroup="Ретро Бонусы" count="0"/>
    <cacheHierarchy uniqueName="[Measures].[Bonus Add Grs]" caption="Бонус начисленный, руб с ндс" measure="1" displayFolder="" measureGroup="Ретро Бонусы" count="0"/>
    <cacheHierarchy uniqueName="[Measures].[Bonus Add NET]" caption="Бонус начисленный, руб без ндс" measure="1" displayFolder="" measureGroup="Ретро Бонусы" count="0"/>
    <cacheHierarchy uniqueName="[Measures].[Bonus Sales Grs]" caption="Бонус распределенный, руб с ндс" measure="1" displayFolder="" measureGroup="Ретро Бонусы" count="0"/>
    <cacheHierarchy uniqueName="[Measures].[Bonus Sales Net]" caption="Бонус распределенный, руб без ндс" measure="1" displayFolder="" measureGroup="Ретро Бонусы" count="0"/>
    <cacheHierarchy uniqueName="[Measures].[Sales UL]" caption="РТО, руб (Ulyanovsk ST)" measure="1" displayFolder="" measureGroup="Nilsen" count="0"/>
    <cacheHierarchy uniqueName="[Measures].[Volume UL]" caption="Продажи, шт (Ulyanovsk ST)" measure="1" displayFolder="" measureGroup="Nilsen" count="0"/>
    <cacheHierarchy uniqueName="[Measures].[Sales VMT]" caption="РТО, руб (Volga Modern Trade)" measure="1" displayFolder="" measureGroup="Nilsen" count="0"/>
    <cacheHierarchy uniqueName="[Measures].[Volume VMT]" caption="Продажи, шт (Volga Modern Trade)" measure="1" displayFolder="" measureGroup="Nilsen" count="0"/>
    <cacheHierarchy uniqueName="[Measures].[Plan_Sale Grs]" caption="План по РТО, руб с ндс" measure="1" displayFolder="Планы по магазинам" measureGroup="Планы" count="0"/>
    <cacheHierarchy uniqueName="[Measures].[Plan_GM]" caption="План по доходу, руб с ндс" measure="1" displayFolder="Планы по магазинам" measureGroup="Планы" count="0"/>
    <cacheHierarchy uniqueName="[Measures].[Plan_KC]" caption="План по КЦ, руб с ндс" measure="1" displayFolder="Планы по магазинам" measureGroup="Планы" count="0"/>
    <cacheHierarchy uniqueName="[Measures].[Plan_SP Sales]" caption="Планы по СП, руб с ндс" measure="1" displayFolder="Планы по магазинам" measureGroup="Планы" count="0"/>
    <cacheHierarchy uniqueName="[Measures].[Plan_FK]" caption="Планы по ФК, руб с ндс" measure="1" displayFolder="Планы по магазинам" measureGroup="Планы" count="0"/>
    <cacheHierarchy uniqueName="[Measures].[Los Neiz]" caption="Норма Неизвестные потери, руб" measure="1" displayFolder="Нормы потерь (руб)" measureGroup="Планы" count="0"/>
    <cacheHierarchy uniqueName="[Measures].[Los Izv]" caption="Норма Известные потери, руб" measure="1" displayFolder="Нормы потерь (руб)" measureGroup="Планы" count="0"/>
    <cacheHierarchy uniqueName="[Measures].[Los Kc]" caption="Норма Списание КЦ, руб" measure="1" displayFolder="Нормы потерь (руб)" measureGroup="Планы" count="0"/>
    <cacheHierarchy uniqueName="[Measures].[Los Ucenka]" caption="Норма Уценки, руб" measure="1" displayFolder="Нормы потерь (руб)" measureGroup="Планы" count="0"/>
    <cacheHierarchy uniqueName="[Measures].[Los Frov]" caption="Норма Списание ФРОВ, руб" measure="1" displayFolder="Нормы потерь (руб)" measureGroup="Планы" count="0"/>
    <cacheHierarchy uniqueName="[Measures].[Los Upak]" caption="Норма Списание, упаковочные материалы, руб" measure="1" displayFolder="Нормы потерь (руб)" measureGroup="Планы" count="0"/>
    <cacheHierarchy uniqueName="[Measures].[Los Bitov]" caption="Норма Списание, бытовые нужды, руб" measure="1" displayFolder="Нормы потерь (руб)" measureGroup="Планы" count="0"/>
    <cacheHierarchy uniqueName="[Measures].[Los Rash]" caption="Норма Списание, расходные материалы, руб" measure="1" displayFolder="Нормы потерь (руб)" measureGroup="Планы" count="0"/>
    <cacheHierarchy uniqueName="[Measures].[Los Kanc]" caption="Норма Списание, канцелярские расходы, руб" measure="1" displayFolder="Нормы потерь (руб)" measureGroup="Планы" count="0"/>
    <cacheHierarchy uniqueName="[Measures].[Plan_Sale Net]" caption="План по РТО, руб без ндс" measure="1" displayFolder="Планы по магазинам" measureGroup="Планы" count="0"/>
    <cacheHierarchy uniqueName="[Measures].[Plan_GM Net]" caption="План по доходу, руб без ндс" measure="1" displayFolder="Планы по магазинам" measureGroup="Планы" count="0"/>
    <cacheHierarchy uniqueName="[Measures].[Quantity Mag]" caption="Магнит приходы, шт" measure="1" displayFolder="" measureGroup="Магнит" count="0"/>
    <cacheHierarchy uniqueName="[Measures].[Quantity Gul]" caption="Гулливер приходы, шт" measure="1" displayFolder="Пересекающиеся позиции Гулливер" measureGroup="Магнит" count="0"/>
    <cacheHierarchy uniqueName="[Measures].[Quantity Pob]" caption="Победа приходы, шт" measure="1" displayFolder="Пересекающиеся позиции Победа" measureGroup="Магнит" count="0"/>
    <cacheHierarchy uniqueName="[Measures].[Cost Mag]" caption="Магнит приходы, руб с ндс" measure="1" displayFolder="" measureGroup="Магнит" count="0"/>
    <cacheHierarchy uniqueName="[Measures].[Cost Gul]" caption="Гулливер приходы, руб с ндс" measure="1" displayFolder="Пересекающиеся позиции Гулливер" measureGroup="Магнит" count="0"/>
    <cacheHierarchy uniqueName="[Measures].[Cost Pob]" caption="Победа приходы, руб с ндс" measure="1" displayFolder="Пересекающиеся позиции Победа" measureGroup="Магнит" count="0"/>
    <cacheHierarchy uniqueName="[Measures].[Qty]" caption="Продажи уценки, шт" measure="1" displayFolder="" measureGroup="Уценка" count="0"/>
    <cacheHierarchy uniqueName="[Measures].[Ucenka Sale Grs]" caption="РТО уценки, руб с ндс" measure="1" displayFolder="" measureGroup="Уценка" count="0"/>
    <cacheHierarchy uniqueName="[Measures].[Ucenka Sale Net]" caption="РТО уценки, руб без ндс" measure="1" displayFolder="" measureGroup="Уценка" count="0"/>
    <cacheHierarchy uniqueName="[Measures].[Ucenka Cost Grs]" caption="Себестоимость уценки, руб с ндс" measure="1" displayFolder="" measureGroup="Уценка" count="0"/>
    <cacheHierarchy uniqueName="[Measures].[Ucenka Cost Net]" caption="Себестоимость уценки, руб без ндс" measure="1" displayFolder="" measureGroup="Уценка" count="0"/>
    <cacheHierarchy uniqueName="[Measures].[Sum Bonus Grs Type1]" caption="Наценка на крым, руб с ндс" measure="1" displayFolder="" measureGroup="Additional Bonus" count="0"/>
    <cacheHierarchy uniqueName="[Measures].[Sum Bonus Net Type1]" caption="Наценка на крым, руб без ндс" measure="1" displayFolder="" measureGroup="Additional Bonus" count="0"/>
    <cacheHierarchy uniqueName="[Measures].[Цена розн. за кг]" caption="Цена розн. за кг" measure="1" displayFolder="" measureGroup="Продажи" count="0"/>
    <cacheHierarchy uniqueName="[Measures].[Цена закуп. за кг]" caption="Цена закуп. за кг" measure="1" displayFolder="" measureGroup="Продажи" count="0"/>
    <cacheHierarchy uniqueName="[Measures].[Оборачиваемость ТЗ 30 дней, дн]" caption="Оборачиваемость ТЗ 30 дней, дн" measure="1" displayFolder="04 Остатки и оборачиваемость" measureGroup="Склад" count="0"/>
    <cacheHierarchy uniqueName="[Measures].[Средняя закупочная цена (+доп), руб без НДС]" caption="Средняя закупочная цена (+доп), руб без НДС" measure="1" displayFolder="Средние показатели" measureGroup="Продажи" count="0"/>
    <cacheHierarchy uniqueName="[Measures].[Средняя закупочная цена, руб без НДС]" caption="Средняя закупочная цена, руб без НДС" measure="1" displayFolder="Средние показатели" measureGroup="Продажи" count="0"/>
    <cacheHierarchy uniqueName="[Measures].[Среднедневные продажи на 1 МП, кг (брутто шт.)]" caption="Среднедневные продажи на 1 МП, кг (брутто шт.)" measure="1" displayFolder="Средние показатели" measureGroup="Продажи" count="0"/>
    <cacheHierarchy uniqueName="[Measures].[Движение, кг (брутто шт.)]" caption="Движение, кг (брутто шт.)" measure="1" displayFolder="" measureGroup="Склад" count="0"/>
    <cacheHierarchy uniqueName="[Measures].[Приход, кг (брутто шт.)]" caption="Приход, кг (брутто шт.)" measure="1" displayFolder="" measureGroup="Склад" count="0"/>
    <cacheHierarchy uniqueName="[Measures].[Расход,кг (брутто шт.)]" caption="Расход,кг (брутто шт.)" measure="1" displayFolder="" measureGroup="Склад" count="0"/>
    <cacheHierarchy uniqueName="[Measures].[Среднедневные продажи на 1 МП, кг]" caption="Среднедневные продажи на 1 МП, кг" measure="1" displayFolder="Средние показатели" measureGroup="Продажи" count="0"/>
    <cacheHierarchy uniqueName="[Measures].[Операционный доход без НДС]" caption="Операционный доход, руб без ндс" measure="1" displayFolder="" measureGroup="Продажи" count="0" oneField="1">
      <fieldsUsage count="1">
        <fieldUsage x="75"/>
      </fieldsUsage>
    </cacheHierarchy>
    <cacheHierarchy uniqueName="[Measures].[Операционный доход (+доп), руб без ндс]" caption="Операционный доход (+доп), руб без ндс" measure="1" displayFolder="" measureGroup="Продажи" count="0"/>
    <cacheHierarchy uniqueName="[Measures].[Операционный доход (+доп), руб с ндс]" caption="Операционный доход (+доп), руб с ндс" measure="1" displayFolder="" measureGroup="Продажи" count="0"/>
    <cacheHierarchy uniqueName="[Measures].[Среднедневная Маржа на 1 МП, руб с НДС]" caption="Среднедневная Маржа на 1 МП, руб с НДС" measure="1" displayFolder="Средние показатели" measureGroup="Продажи" count="0"/>
    <cacheHierarchy uniqueName="[Measures].[Маржа (+доп), %]" caption="Маржа (+доп), %" measure="1" displayFolder="" measureGroup="Продажи" count="0"/>
    <cacheHierarchy uniqueName="[Measures].[Маржа (+доп) без ндс, %]" caption="Маржа (+доп) без ндс, %" measure="1" displayFolder="" measureGroup="Продажи" count="0"/>
    <cacheHierarchy uniqueName="[Measures].[Себестоимость (+доп), руб без ндс]" caption="Себестоимость (+доп), руб без ндс" measure="1" displayFolder="" measureGroup="Продажи" count="0"/>
    <cacheHierarchy uniqueName="[Measures].[Себестоимость (+доп), руб с ндс]" caption="Себестоимость (+доп), руб с ндс" measure="1" displayFolder="" measureGroup="Продажи" count="0"/>
    <cacheHierarchy uniqueName="[Measures].[mov_volume_out]" caption="Расход, л" measure="1" displayFolder="" measureGroup="Склад" count="0"/>
    <cacheHierarchy uniqueName="[Measures].[mov_volume_in]" caption="Приход, л" measure="1" displayFolder="" measureGroup="Склад" count="0"/>
    <cacheHierarchy uniqueName="[Measures].[mov_volume]" caption="Движение, л" measure="1" displayFolder="" measureGroup="Склад" count="0"/>
    <cacheHierarchy uniqueName="[Measures].[mov_cost_grs]" caption="Движение, руб закуп с ндс" measure="1" displayFolder="" measureGroup="Склад" count="0"/>
    <cacheHierarchy uniqueName="[Measures].[day_DB]" caption="Количество магазинов, шт" measure="1" displayFolder="" measureGroup="Продажи" count="0"/>
    <cacheHierarchy uniqueName="[Measures].[mov_cost_net]" caption="Движение, руб закуп без ндс" measure="1" displayFolder="" measureGroup="Склад" count="0"/>
    <cacheHierarchy uniqueName="[Measures].[mov_quantity]" caption="Движение, шт" measure="1" displayFolder="" measureGroup="Склад" count="0"/>
    <cacheHierarchy uniqueName="[Measures].[mov_weight]" caption="Движение, кг" measure="1" displayFolder="" measureGroup="Склад" count="0"/>
    <cacheHierarchy uniqueName="[Measures].[mov_sale_grs]" caption="Движение, руб розн с ндс" measure="1" displayFolder="" measureGroup="Склад" count="0"/>
    <cacheHierarchy uniqueName="[Measures].[mov_sale_net]" caption="Движение, руб розн без ндс" measure="1" displayFolder="" measureGroup="Склад" count="0"/>
    <cacheHierarchy uniqueName="[Measures].[mov_cost_grs_in]" caption="Приход, руб закуп с ндс" measure="1" displayFolder="" measureGroup="Склад" count="0"/>
    <cacheHierarchy uniqueName="[Measures].[mov_cost_net_in]" caption="Приход, руб закуп без ндс" measure="1" displayFolder="" measureGroup="Склад" count="0"/>
    <cacheHierarchy uniqueName="[Measures].[mov_quantity_in]" caption="Приход, шт" measure="1" displayFolder="" measureGroup="Склад" count="0"/>
    <cacheHierarchy uniqueName="[Measures].[mov_weight_in]" caption="Приход, кг" measure="1" displayFolder="" measureGroup="Склад" count="0"/>
    <cacheHierarchy uniqueName="[Measures].[mov_cost_grs_out]" caption="Расход, руб закуп с ндс" measure="1" displayFolder="" measureGroup="Склад" count="0"/>
    <cacheHierarchy uniqueName="[Measures].[mov_cost_net_out]" caption="Расход, руб закуп без ндс" measure="1" displayFolder="" measureGroup="Склад" count="0"/>
    <cacheHierarchy uniqueName="[Measures].[mov_quantity_out]" caption="Расход, шт" measure="1" displayFolder="" measureGroup="Склад" count="0"/>
    <cacheHierarchy uniqueName="[Measures].[mov_weight_out]" caption="Расход, кг" measure="1" displayFolder="" measureGroup="Склад" count="0"/>
    <cacheHierarchy uniqueName="[Measures].[mov_sale_grs_out]" caption="Расход, руб розн с ндс" measure="1" displayFolder="" measureGroup="Склад" count="0"/>
    <cacheHierarchy uniqueName="[Measures].[mov_sale_net_out]" caption="Расход, руб розн без ндс" measure="1" displayFolder="" measureGroup="Склад" count="0"/>
    <cacheHierarchy uniqueName="[Measures].[Потери известные РЦ, шт]" caption="Потери известные РЦ, шт" measure="1" displayFolder="08 Потери товара" measureGroup="Склад" count="0"/>
    <cacheHierarchy uniqueName="[Measures].[Потери известные РЦ, кг]" caption="Потери известные РЦ, кг" measure="1" displayFolder="08 Потери товара" measureGroup="Склад" count="0"/>
    <cacheHierarchy uniqueName="[Measures].[Потери известные РЦ, л]" caption="Потери известные РЦ, л" measure="1" displayFolder="08 Потери товара" measureGroup="Склад" count="0"/>
    <cacheHierarchy uniqueName="[Measures].[Потери известные РЦ, руб с НДС]" caption="Потери известные РЦ, руб с НДС" measure="1" displayFolder="08 Потери товара" measureGroup="Склад" count="0"/>
    <cacheHierarchy uniqueName="[Measures].[Потери известные РЦ, руб без НДС]" caption="Потери известные РЦ, руб без НДС" measure="1" displayFolder="08 Потери товара" measureGroup="Склад" count="0"/>
    <cacheHierarchy uniqueName="[Measures].[Потери известные МП, шт]" caption="Потери известные МП, шт" measure="1" displayFolder="08 Потери товара" measureGroup="Склад" count="0"/>
    <cacheHierarchy uniqueName="[Measures].[Потери известные МП, кг]" caption="Потери известные МП, кг" measure="1" displayFolder="08 Потери товара" measureGroup="Склад" count="0"/>
    <cacheHierarchy uniqueName="[Measures].[Потери известные МП, л]" caption="Потери известные МП, л" measure="1" displayFolder="08 Потери товара" measureGroup="Склад" count="0"/>
    <cacheHierarchy uniqueName="[Measures].[Потери известные МП, руб с НДС]" caption="Потери известные МП, руб с НДС" measure="1" displayFolder="08 Потери товара" measureGroup="Склад" count="0"/>
    <cacheHierarchy uniqueName="[Measures].[Потери известные МП, руб без НДС]" caption="Потери известные МП, руб без НДС" measure="1" displayFolder="08 Потери товара" measureGroup="Склад" count="0"/>
    <cacheHierarchy uniqueName="[Measures].[Потери МП ФРОВ (ИЗВ + НЕИЗВ), руб с НДС]" caption="Потери МП ФРОВ (ИЗВ + НЕИЗВ), руб с НДС" measure="1" displayFolder="08 Потери товара" measureGroup="Склад" count="0"/>
    <cacheHierarchy uniqueName="[Measures].[Потери МП ФРОВ (ИЗВ + НЕИЗВ), руб без НДС]" caption="Потери МП ФРОВ (ИЗВ + НЕИЗВ), руб без НДС" measure="1" displayFolder="08 Потери товара" measureGroup="Склад" count="0"/>
    <cacheHierarchy uniqueName="[Measures].[Потери известные МП+РЦ, шт]" caption="Потери известные МП+РЦ, шт" measure="1" displayFolder="08 Потери товара" measureGroup="Склад" count="0"/>
    <cacheHierarchy uniqueName="[Measures].[Потери известные МП+РЦ, кг]" caption="Потери известные МП+РЦ, кг" measure="1" displayFolder="08 Потери товара" measureGroup="Склад" count="0"/>
    <cacheHierarchy uniqueName="[Measures].[Потери известные МП+РЦ, л]" caption="Потери известные МП+РЦ, л" measure="1" displayFolder="08 Потери товара" measureGroup="Склад" count="0"/>
    <cacheHierarchy uniqueName="[Measures].[Потери известные МП+РЦ, руб с НДС]" caption="Потери известные МП+РЦ, руб с НДС" measure="1" displayFolder="08 Потери товара" measureGroup="Склад" count="0"/>
    <cacheHierarchy uniqueName="[Measures].[Потери известные МП+РЦ, руб без НДС]" caption="Потери известные МП+РЦ, руб без НДС" measure="1" displayFolder="08 Потери товара" measureGroup="Склад" count="0"/>
    <cacheHierarchy uniqueName="[Measures].[Маржа, руб.]" caption="Операционный доход, руб с ндс" measure="1" displayFolder="" measureGroup="Продажи" count="0"/>
    <cacheHierarchy uniqueName="[Measures].[Маржа, %]" caption="Маржа, %" measure="1" displayFolder="" measureGroup="Продажи" count="0"/>
    <cacheHierarchy uniqueName="[Measures].[Наценка, %]" caption="Наценка, %" measure="1" displayFolder="" measureGroup="Продажи" count="0"/>
    <cacheHierarchy uniqueName="[Measures].[Маржа без ндс, %]" caption="Маржа без ндс, %" measure="1" displayFolder="" measureGroup="Продажи" count="0" oneField="1">
      <fieldsUsage count="1">
        <fieldUsage x="76"/>
      </fieldsUsage>
    </cacheHierarchy>
    <cacheHierarchy uniqueName="[Measures].[Среднедневной РТО на 1 МП, руб с ндс]" caption="Среднедневной РТО на 1 МП, руб с ндс" measure="1" displayFolder="Средние показатели" measureGroup="Продажи" count="0"/>
    <cacheHierarchy uniqueName="[Measures].[Среднедневной РТО на 1 МП, шт]" caption="Среднедневной РТО на 1 МП, шт" measure="1" displayFolder="Средние показатели" measureGroup="Продажи" count="0"/>
    <cacheHierarchy uniqueName="[Measures].[Средняя розн цена, руб]" caption="Средняя розн цена, руб" measure="1" displayFolder="Средние показатели" measureGroup="Продажи" count="0"/>
    <cacheHierarchy uniqueName="[Measures].[Средняя закуп цена, руб]" caption="Средняя закуп цена, руб" measure="1" displayFolder="Средние показатели" measureGroup="Продажи" count="0"/>
    <cacheHierarchy uniqueName="[Measures].[Среднедневной РТО, руб с ндс]" caption="Среднедневной РТО, руб с ндс" measure="1" displayFolder="Средние показатели" measureGroup="Продажи" count="0"/>
    <cacheHierarchy uniqueName="[Measures].[Средняя себестоимость (+доп), руб без НДС]" caption="Средняя себестоимость (+доп), руб без НДС" measure="1" displayFolder="Средние показатели" measureGroup="Продажи" count="0"/>
    <cacheHierarchy uniqueName="[Measures].[Средняя себестоимость (+доп), руб с НДС]" caption="Средняя себестоимость (+доп), руб с НДС" measure="1" displayFolder="Средние показатели" measureGroup="Продажи" count="0"/>
    <cacheHierarchy uniqueName="[Measures].[Средняя себестоимость, руб без НДС]" caption="Средняя себестоимость, руб без НДС" measure="1" displayFolder="Средние показатели" measureGroup="Продажи" count="0"/>
    <cacheHierarchy uniqueName="[Measures].[Средняя себестоимость, руб с НДС]" caption="Средняя себестоимость, руб с НДС" measure="1" displayFolder="Средние показатели" measureGroup="Продажи" count="0"/>
    <cacheHierarchy uniqueName="[Measures].[rst1_quantity]" caption="Остаток на конец периода, шт" measure="1" displayFolder="04 Остатки и оборачиваемость" measureGroup="Склад" count="0"/>
    <cacheHierarchy uniqueName="[Measures].[Остаток на конец периода, кг]" caption="Остаток на конец периода, кг" measure="1" displayFolder="04 Остатки и оборачиваемость" measureGroup="Склад" count="0"/>
    <cacheHierarchy uniqueName="[Measures].[rst1_cost_grs]" caption="Остаток на конец периода, руб закуп с ндс" measure="1" displayFolder="04 Остатки и оборачиваемость" measureGroup="Склад" count="0"/>
    <cacheHierarchy uniqueName="[Measures].[Остаток на конец периода, руб закуп без ндс]" caption="Остаток на конец периода, руб закуп без ндс" measure="1" displayFolder="04 Остатки и оборачиваемость" measureGroup="Склад" count="0"/>
    <cacheHierarchy uniqueName="[Measures].[Средний остаток, шт]" caption="Средний остаток, шт" measure="1" displayFolder="04 Остатки и оборачиваемость" measureGroup="Склад" count="0"/>
    <cacheHierarchy uniqueName="[Measures].[Средний остаток, руб закуп с ндс]" caption="Средний остаток, руб закуп с ндс" measure="1" displayFolder="04 Остатки и оборачиваемость" measureGroup="Склад" count="0"/>
    <cacheHierarchy uniqueName="[Measures].[Средний остаток, руб закуп без ндс]" caption="Средний остаток, руб закуп без ндс" measure="1" displayFolder="04 Остатки и оборачиваемость" measureGroup="Склад" count="0"/>
    <cacheHierarchy uniqueName="[Measures].[Оборачиваемости сети, дн.]" caption="Оборачиваемости сети, дн." measure="1" displayFolder="04 Остатки и оборачиваемость" measureGroup="Склад" count="0"/>
    <cacheHierarchy uniqueName="[Measures].[Оборачиваемость продажная, дн]" caption="Оборачиваемость продажная, дн" measure="1" displayFolder="04 Остатки и оборачиваемость" measureGroup="Склад" count="0"/>
    <cacheHierarchy uniqueName="[Measures].[Оборачиваемость складская, дн]" caption="Оборачиваемость складская, дн" measure="1" displayFolder="04 Остатки и оборачиваемость" measureGroup="Склад" count="0"/>
    <cacheHierarchy uniqueName="[Measures].[Уровень Товарного запаса Сети, дн]" caption="Уровень Товарного запаса Сети, дн" measure="1" displayFolder="04 Остатки и оборачиваемость" measureGroup="Склад" count="0"/>
    <cacheHierarchy uniqueName="[Measures].[Уровень Товарного запаса РЦ, дн]" caption="Уровень Товарного запаса РЦ, дн" measure="1" displayFolder="04 Остатки и оборачиваемость" measureGroup="Склад" count="0"/>
    <cacheHierarchy uniqueName="[Measures].[ТЗ кредитное плечо, дн]" caption="ТЗ кредитное плечо, дн" measure="1" displayFolder="" measureGroup="Кредитное плечо" count="0"/>
    <cacheHierarchy uniqueName="[Measures].[Кредитное плечо, дн]" caption="Кредитное плечо, дн" measure="1" displayFolder="" measureGroup="Кредитное плечо" count="0"/>
    <cacheHierarchy uniqueName="[Measures].[Замороженные деньги, руб с ндс ]" caption="Замороженные деньги, руб с ндс " measure="1" displayFolder="" measureGroup="Кредитное плечо" count="0"/>
    <cacheHierarchy uniqueName="[Measures].[Индекс кредитного плеча]" caption="Индекс кредитного плеча" measure="1" displayFolder="" measureGroup="Кредитное плечо" count="0"/>
    <cacheHierarchy uniqueName="[Measures].[%Promo]" caption="Доля Промо в РТО,%" measure="1" displayFolder="" measureGroup="Продажи" count="0"/>
    <cacheHierarchy uniqueName="[Measures].[day_sales]" caption="Дни с продажами, дн" measure="1" displayFolder="" measureGroup="Продажи" count="0"/>
    <cacheHierarchy uniqueName="[Measures].[GMROI, %]" caption="GMROI, %" measure="1" displayFolder="" measureGroup="Продажи" count="0"/>
    <cacheHierarchy uniqueName="[Measures].[Оптовые продажи, шт]" caption="Оптовые продажи, шт" measure="1" displayFolder="03 Оптовые продажи" measureGroup="Склад" count="0"/>
    <cacheHierarchy uniqueName="[Measures].[Оптовые продажи, кг]" caption="Оптовые продажи, кг" measure="1" displayFolder="03 Оптовые продажи" measureGroup="Склад" count="0"/>
    <cacheHierarchy uniqueName="[Measures].[Оптовые продажи, л]" caption="Оптовые продажи, л" measure="1" displayFolder="03 Оптовые продажи" measureGroup="Склад" count="0"/>
    <cacheHierarchy uniqueName="[Measures].[Оптовые продажи, руб закуп с ндс]" caption="Оптовые продажи, руб закуп с ндс" measure="1" displayFolder="03 Оптовые продажи" measureGroup="Склад" count="0"/>
    <cacheHierarchy uniqueName="[Measures].[Оптовые продажи, руб розн с ндс]" caption="Оптовые продажи, руб розн с ндс" measure="1" displayFolder="03 Оптовые продажи" measureGroup="Склад" count="0"/>
    <cacheHierarchy uniqueName="[Measures].[Оптовые продажи, руб закуп без ндс]" caption="Оптовые продажи, руб закуп без ндс" measure="1" displayFolder="03 Оптовые продажи" measureGroup="Склад" count="0"/>
    <cacheHierarchy uniqueName="[Measures].[Оптовые продажи, руб розн без ндс]" caption="Оптовые продажи, руб розн без ндс" measure="1" displayFolder="03 Оптовые продажи" measureGroup="Склад" count="0"/>
    <cacheHierarchy uniqueName="[Measures].[Доход ОПТ, руб с ндс]" caption="Доход ОПТ, руб с ндс" measure="1" displayFolder="03 Оптовые продажи" measureGroup="Склад" count="0"/>
    <cacheHierarchy uniqueName="[Measures].[Доход ОПТ, руб без ндс]" caption="Доход ОПТ, руб без ндс" measure="1" displayFolder="03 Оптовые продажи" measureGroup="Склад" count="0"/>
    <cacheHierarchy uniqueName="[Measures].[Оптовые продажи (+доп),руб закуп c ндс]" caption="Оптовые продажи (+доп),руб закуп c ндс" measure="1" displayFolder="03 Оптовые продажи" measureGroup="Склад" count="0"/>
    <cacheHierarchy uniqueName="[Measures].[Оптовые продажи (+доп), руб закуп без ндс]" caption="Оптовые продажи (+доп), руб закуп без ндс" measure="1" displayFolder="03 Оптовые продажи" measureGroup="Склад" count="0"/>
    <cacheHierarchy uniqueName="[Measures].[Доход ОПТ (+доп), руб закуп с ндс]" caption="Доход ОПТ (+доп), руб закуп с ндс" measure="1" displayFolder="03 Оптовые продажи" measureGroup="Склад" count="0"/>
    <cacheHierarchy uniqueName="[Measures].[Доход ОПТ (+доп), руб закуп без ндс]" caption="Доход ОПТ (+доп), руб закуп без ндс" measure="1" displayFolder="03 Оптовые продажи" measureGroup="Склад" count="0"/>
    <cacheHierarchy uniqueName="[Measures].[Приход от поставщика, шт]" caption="Приход от поставщика, шт" measure="1" displayFolder="05 Приход от поставщика" measureGroup="Склад" count="0"/>
    <cacheHierarchy uniqueName="[Measures].[Приход от поставщика, кг]" caption="Приход от поставщика, кг" measure="1" displayFolder="05 Приход от поставщика" measureGroup="Склад" count="0"/>
    <cacheHierarchy uniqueName="[Measures].[Приход от поставщика, л]" caption="Приход от поставщика, л" measure="1" displayFolder="05 Приход от поставщика" measureGroup="Склад" count="0"/>
    <cacheHierarchy uniqueName="[Measures].[Приход от поставщика, руб с ндс]" caption="Приход от поставщика, руб с ндс" measure="1" displayFolder="05 Приход от поставщика" measureGroup="Склад" count="0"/>
    <cacheHierarchy uniqueName="[Measures].[Приход от поставщика, руб без ндс]" caption="Приход от поставщика, руб без ндс" measure="1" displayFolder="05 Приход от поставщика" measureGroup="Склад" count="0"/>
    <cacheHierarchy uniqueName="[Measures].[Цена Приход от поставщика, руб с ндс]" caption="Цена Приход от поставщика, руб с ндс" measure="1" displayFolder="05 Приход от поставщика" measureGroup="Склад" count="0"/>
    <cacheHierarchy uniqueName="[Measures].[Недостача, шт]" caption="Недостача, шт" measure="1" displayFolder="09 Инвентаризация" measureGroup="Склад" count="0"/>
    <cacheHierarchy uniqueName="[Measures].[Недостача, кг]" caption="Недостача, кг" measure="1" displayFolder="09 Инвентаризация" measureGroup="Склад" count="0"/>
    <cacheHierarchy uniqueName="[Measures].[Недостача, л]" caption="Недостача, л" measure="1" displayFolder="09 Инвентаризация" measureGroup="Склад" count="0"/>
    <cacheHierarchy uniqueName="[Measures].[Недостача, руб с ндс]" caption="Недостача, руб с ндс" measure="1" displayFolder="09 Инвентаризация" measureGroup="Склад" count="0"/>
    <cacheHierarchy uniqueName="[Measures].[Недостача, руб без ндс]" caption="Недостача, руб без ндс" measure="1" displayFolder="09 Инвентаризация" measureGroup="Склад" count="0"/>
    <cacheHierarchy uniqueName="[Measures].[Излишки, шт]" caption="Излишки, шт" measure="1" displayFolder="09 Инвентаризация" measureGroup="Склад" count="0"/>
    <cacheHierarchy uniqueName="[Measures].[Излишки, кг]" caption="Излишки, кг" measure="1" displayFolder="09 Инвентаризация" measureGroup="Склад" count="0"/>
    <cacheHierarchy uniqueName="[Measures].[Излишки, л]" caption="Излишки, л" measure="1" displayFolder="09 Инвентаризация" measureGroup="Склад" count="0"/>
    <cacheHierarchy uniqueName="[Measures].[Излишки, руб с ндс]" caption="Излишки, руб с ндс" measure="1" displayFolder="09 Инвентаризация" measureGroup="Склад" count="0"/>
    <cacheHierarchy uniqueName="[Measures].[Излишки, руб без ндс]" caption="Излишки, руб без ндс" measure="1" displayFolder="09 Инвентаризация" measureGroup="Склад" count="0"/>
    <cacheHierarchy uniqueName="[Measures].[Сальдо, шт]" caption="Сальдо, шт" measure="1" displayFolder="09 Инвентаризация" measureGroup="Склад" count="0"/>
    <cacheHierarchy uniqueName="[Measures].[Сальдо, кг]" caption="Сальдо, кг" measure="1" displayFolder="09 Инвентаризация" measureGroup="Склад" count="0"/>
    <cacheHierarchy uniqueName="[Measures].[Сальдо, л]" caption="Сальдо, л" measure="1" displayFolder="09 Инвентаризация" measureGroup="Склад" count="0"/>
    <cacheHierarchy uniqueName="[Measures].[Сальдо, руб с ндс]" caption="Сальдо, руб с ндс" measure="1" displayFolder="09 Инвентаризация" measureGroup="Склад" count="0"/>
    <cacheHierarchy uniqueName="[Measures].[Сальдо, руб без ндс]" caption="Сальдо, руб без ндс" measure="1" displayFolder="09 Инвентаризация" measureGroup="Склад" count="0"/>
    <cacheHierarchy uniqueName="[Measures].[Приход товара, шт]" caption="Приход товара, шт" measure="1" displayFolder="06 Приход (Поставщик + Внут.Перемещение)" measureGroup="Склад" count="0"/>
    <cacheHierarchy uniqueName="[Measures].[Приход товара, кг]" caption="Приход товара, кг" measure="1" displayFolder="06 Приход (Поставщик + Внут.Перемещение)" measureGroup="Склад" count="0"/>
    <cacheHierarchy uniqueName="[Measures].[Приход товара, л]" caption="Приход товара, л" measure="1" displayFolder="06 Приход (Поставщик + Внут.Перемещение)" measureGroup="Склад" count="0"/>
    <cacheHierarchy uniqueName="[Measures].[Приход товара, руб с ндс]" caption="Приход товара, руб с ндс" measure="1" displayFolder="06 Приход (Поставщик + Внут.Перемещение)" measureGroup="Склад" count="0"/>
    <cacheHierarchy uniqueName="[Measures].[Приход товара, руб без ндс]" caption="Приход товара, руб без ндс" measure="1" displayFolder="06 Приход (Поставщик + Внут.Перемещение)" measureGroup="Склад" count="0"/>
    <cacheHierarchy uniqueName="[Measures].[Цена Приход товара, руб с ндс]" caption="Цена Приход товара, руб с ндс" measure="1" displayFolder="06 Приход (Поставщик + Внут.Перемещение)" measureGroup="Склад" count="0"/>
    <cacheHierarchy uniqueName="[Measures].[Списания, шт]" caption="Списания, шт" measure="1" displayFolder="07 Списания в брак" measureGroup="Склад" count="0"/>
    <cacheHierarchy uniqueName="[Measures].[Списания, кг]" caption="Списания, кг" measure="1" displayFolder="07 Списания в брак" measureGroup="Склад" count="0"/>
    <cacheHierarchy uniqueName="[Measures].[Списания, л]" caption="Списания, л" measure="1" displayFolder="07 Списания в брак" measureGroup="Склад" count="0"/>
    <cacheHierarchy uniqueName="[Measures].[Списания, руб с ндс]" caption="Списания, руб с ндс" measure="1" displayFolder="07 Списания в брак" measureGroup="Склад" count="0"/>
    <cacheHierarchy uniqueName="[Measures].[Списания, руб без ндс]" caption="Списания, руб без ндс" measure="1" displayFolder="07 Списания в брак" measureGroup="Склад" count="0"/>
    <cacheHierarchy uniqueName="[Measures].[Потери, шт]" caption="Потери, шт" measure="1" displayFolder="08 Потери товара" measureGroup="Склад" count="0" oneField="1">
      <fieldsUsage count="1">
        <fieldUsage x="68"/>
      </fieldsUsage>
    </cacheHierarchy>
    <cacheHierarchy uniqueName="[Measures].[Потери, кг]" caption="Потери, кг" measure="1" displayFolder="08 Потери товара" measureGroup="Склад" count="0"/>
    <cacheHierarchy uniqueName="[Measures].[Потери, л]" caption="Потери, л" measure="1" displayFolder="08 Потери товара" measureGroup="Склад" count="0"/>
    <cacheHierarchy uniqueName="[Measures].[Потери, руб с ндс]" caption="Потери, руб с ндс" measure="1" displayFolder="08 Потери товара" measureGroup="Склад" count="0"/>
    <cacheHierarchy uniqueName="[Measures].[Потери, руб без ндс]" caption="Потери, руб без ндс" measure="1" displayFolder="08 Потери товара" measureGroup="Склад" count="0" oneField="1">
      <fieldsUsage count="1">
        <fieldUsage x="77"/>
      </fieldsUsage>
    </cacheHierarchy>
    <cacheHierarchy uniqueName="[Measures].[Возвраты поставщику, шт]" caption="Возвраты поставщику, шт" measure="1" displayFolder="10 Возвраты поставщику" measureGroup="Склад" count="0"/>
    <cacheHierarchy uniqueName="[Measures].[Возвраты поставщику, кг]" caption="Возвраты поставщику, кг" measure="1" displayFolder="10 Возвраты поставщику" measureGroup="Склад" count="0"/>
    <cacheHierarchy uniqueName="[Measures].[Возвраты поставщику, л]" caption="Возвраты поставщику, л" measure="1" displayFolder="10 Возвраты поставщику" measureGroup="Склад" count="0"/>
    <cacheHierarchy uniqueName="[Measures].[Возвраты поставщику, руб с ндс]" caption="Возвраты поставщику, руб с ндс" measure="1" displayFolder="10 Возвраты поставщику" measureGroup="Склад" count="0"/>
    <cacheHierarchy uniqueName="[Measures].[Возвраты поставщику, руб без ндс]" caption="Возвраты поставщику, руб без ндс" measure="1" displayFolder="10 Возвраты поставщику" measureGroup="Склад" count="0"/>
    <cacheHierarchy uniqueName="[Measures].[Гросс маржа, руб с ндс]" caption="Гросс маржа, руб с ндс" measure="1" displayFolder="" measureGroup="Ретро Бонусы" count="0"/>
    <cacheHierarchy uniqueName="[Measures].[Гросс маржа, руб без ндс]" caption="Гросс маржа, руб без ндс" measure="1" displayFolder="" measureGroup="Ретро Бонусы" count="0"/>
    <cacheHierarchy uniqueName="[Measures].[Гросс маржа с ндс, %]" caption="Гросс маржа с ндс, %" measure="1" displayFolder="" measureGroup="Ретро Бонусы" count="0"/>
    <cacheHierarchy uniqueName="[Measures].[Гросс маржа без ндс, %]" caption="Гросс маржа без ндс, %" measure="1" displayFolder="" measureGroup="Ретро Бонусы" count="0"/>
    <cacheHierarchy uniqueName="[Measures].[Цена, руб (Ulyanovsk ST)]" caption="Цена, руб (Ulyanovsk ST)" measure="1" displayFolder="" measureGroup="Nilsen" count="0"/>
    <cacheHierarchy uniqueName="[Measures].[Цена, руб (Volga Modern Trade)]" caption="Цена, руб (Volga Modern Trade)" measure="1" displayFolder="" measureGroup="Nilsen" count="0"/>
    <cacheHierarchy uniqueName="[Measures].[План по марже, %]" caption="План по марже, %" measure="1" displayFolder="Планы по магазинам" measureGroup="Планы" count="0"/>
    <cacheHierarchy uniqueName="[Measures].[Выполнение плана по РТО, %]" caption="Выполнение плана по РТО, %" measure="1" displayFolder="Планы по магазинам" measureGroup="Планы" count="0"/>
    <cacheHierarchy uniqueName="[Measures].[Выполнение плана по марже, %]" caption="Выполнение плана по марже, %" measure="1" displayFolder="Планы по магазинам" measureGroup="Планы" count="0"/>
    <cacheHierarchy uniqueName="[Measures].[Магнит цена прихода, руб]" caption="Магнит цена прихода, руб" measure="1" displayFolder="" measureGroup="Магнит" count="0"/>
    <cacheHierarchy uniqueName="[Measures].[Магнит приход (г), шт]" caption="Магнит приход (г), шт" measure="1" displayFolder="Пересекающиеся позиции Гулливер" measureGroup="Магнит" count="0"/>
    <cacheHierarchy uniqueName="[Measures].[Магнит приход (г), руб]" caption="Магнит приход (г), руб" measure="1" displayFolder="Пересекающиеся позиции Гулливер" measureGroup="Магнит" count="0"/>
    <cacheHierarchy uniqueName="[Measures].[Магнит цена прихода (г), руб]" caption="Магнит цена прихода (г), руб" measure="1" displayFolder="Пересекающиеся позиции Гулливер" measureGroup="Магнит" count="0"/>
    <cacheHierarchy uniqueName="[Measures].[Гулливер цена прихода, руб]" caption="Гулливер цена прихода, руб" measure="1" displayFolder="Пересекающиеся позиции Гулливер" measureGroup="Магнит" count="0"/>
    <cacheHierarchy uniqueName="[Measures].[Динамика цены Гулливер/Магнит, %]" caption="Динамика цены Гулливер/Магнит, %" measure="1" displayFolder="Пересекающиеся позиции Гулливер" measureGroup="Магнит" count="0"/>
    <cacheHierarchy uniqueName="[Measures].[Магнит приход (п), шт]" caption="Магнит приход (п), шт" measure="1" displayFolder="Пересекающиеся позиции Победа" measureGroup="Магнит" count="0"/>
    <cacheHierarchy uniqueName="[Measures].[Магнит приход (п), руб]" caption="Магнит приход (п), руб" measure="1" displayFolder="Пересекающиеся позиции Победа" measureGroup="Магнит" count="0"/>
    <cacheHierarchy uniqueName="[Measures].[Магнит цена прихода (п), руб]" caption="Магнит цена прихода (п), руб" measure="1" displayFolder="Пересекающиеся позиции Победа" measureGroup="Магнит" count="0"/>
    <cacheHierarchy uniqueName="[Measures].[Победа цена прихода, руб]" caption="Победа цена прихода, руб" measure="1" displayFolder="Пересекающиеся позиции Победа" measureGroup="Магнит" count="0"/>
    <cacheHierarchy uniqueName="[Measures].[Динамика цены Победа/Магнит, %]" caption="Динамика цены Победа/Магнит, %" measure="1" displayFolder="Пересекающиеся позиции Победа" measureGroup="Магнит" count="0"/>
    <cacheHierarchy uniqueName="[Measures].[Норма Итого потери, руб]" caption="Норма Итого потери, руб" measure="1" displayFolder="Нормы потерь (руб)" measureGroup="Планы" count="0"/>
    <cacheHierarchy uniqueName="[Measures].[Норма Итого потери, %]" caption="Норма Итого потери, %" measure="1" displayFolder="Нормы потерь (%)" measureGroup="Планы" count="0"/>
    <cacheHierarchy uniqueName="[Measures].[Норма Списание ФРОВ, %]" caption="Норма Списание ФРОВ, %" measure="1" displayFolder="Нормы потерь (%)" measureGroup="Планы" count="0"/>
    <cacheHierarchy uniqueName="[Measures].[Норма Списание КЦ, %]" caption="Норма Списание КЦ, %" measure="1" displayFolder="Нормы потерь (%)" measureGroup="Планы" count="0"/>
    <cacheHierarchy uniqueName="[Measures].[Норма Известные потери,%]" caption="Норма Известные потери,%" measure="1" displayFolder="Нормы потерь (%)" measureGroup="Планы" count="0"/>
    <cacheHierarchy uniqueName="[Measures].[Норма Неизвестные потери, %]" caption="Норма Неизвестные потери, %" measure="1" displayFolder="Нормы потерь (%)" measureGroup="Планы" count="0"/>
    <cacheHierarchy uniqueName="[Measures].[Норма Списание, расходные материалы, %]" caption="Норма Списание, расходные материалы, %" measure="1" displayFolder="Нормы потерь (%)" measureGroup="Планы" count="0"/>
    <cacheHierarchy uniqueName="[Measures].[Норма Списание, упаковочные материалы, %]" caption="Норма Списание, упаковочные материалы, %" measure="1" displayFolder="Нормы потерь (%)" measureGroup="Планы" count="0"/>
    <cacheHierarchy uniqueName="[Measures].[Норма Списание, бытовые нужды,%]" caption="Норма Списание, бытовые нужды,%" measure="1" displayFolder="Нормы потерь (%)" measureGroup="Планы" count="0"/>
    <cacheHierarchy uniqueName="[Measures].[Норма Уценки, %]" caption="Норма Уценки, %" measure="1" displayFolder="Нормы потерь (%)" measureGroup="Планы" count="0"/>
    <cacheHierarchy uniqueName="[Measures].[Норма Списание, канцелярские товары, %]" caption="Норма Списание, канцелярские товары, %" measure="1" displayFolder="Нормы потерь (%)" measureGroup="Планы" count="0"/>
    <cacheHierarchy uniqueName="[Measures].[mov_quantity0]" caption="mov_quantity0" measure="1" displayFolder="" measureGroup="Склад" count="0" hidden="1"/>
    <cacheHierarchy uniqueName="[Measures].[mov_cost_grs0]" caption="mov_cost_grs0" measure="1" displayFolder="" measureGroup="Склад" count="0" hidden="1"/>
    <cacheHierarchy uniqueName="[Measures].[mov_sale_grs0]" caption="mov_sale_grs0" measure="1" displayFolder="" measureGroup="Склад" count="0" hidden="1"/>
    <cacheHierarchy uniqueName="[Measures].[quantity_rest0]" caption="quantity_rest0" measure="1" displayFolder="" measureGroup="Склад" count="0" hidden="1"/>
    <cacheHierarchy uniqueName="[Measures].[cost_grs_rest0]" caption="cost_grs_rest0" measure="1" displayFolder="" measureGroup="Склад" count="0" hidden="1"/>
    <cacheHierarchy uniqueName="[Measures].[sale_grs_rest0]" caption="sale_grs_rest0" measure="1" displayFolder="" measureGroup="Склад" count="0" hidden="1"/>
    <cacheHierarchy uniqueName="[Measures].[quantity_rest]" caption="quantity_rest" measure="1" displayFolder="" measureGroup="Склад" count="0" hidden="1"/>
    <cacheHierarchy uniqueName="[Measures].[cost_grs_rest]" caption="cost_grs_rest" measure="1" displayFolder="" measureGroup="Склад" count="0" hidden="1"/>
    <cacheHierarchy uniqueName="[Measures].[sale_grs_rest]" caption="sale_grs_rest" measure="1" displayFolder="" measureGroup="Склад" count="0" hidden="1"/>
    <cacheHierarchy uniqueName="[Measures].[mov_quantity_in0]" caption="mov_quantity_in0" measure="1" displayFolder="" measureGroup="Склад" count="0" hidden="1"/>
    <cacheHierarchy uniqueName="[Measures].[mov_cost_grs_in0]" caption="mov_cost_grs_in0" measure="1" displayFolder="" measureGroup="Склад" count="0" hidden="1"/>
    <cacheHierarchy uniqueName="[Measures].[mov_sale_grs_in0]" caption="mov_sale_grs_in0" measure="1" displayFolder="" measureGroup="Склад" count="0" hidden="1"/>
    <cacheHierarchy uniqueName="[Measures].[mov_quantity_out0]" caption="mov_quantity_out0" measure="1" displayFolder="" measureGroup="Склад" count="0" hidden="1"/>
    <cacheHierarchy uniqueName="[Measures].[mov_cost_grs_out0]" caption="mov_cost_grs_out0" measure="1" displayFolder="" measureGroup="Склад" count="0" hidden="1"/>
    <cacheHierarchy uniqueName="[Measures].[mov_sale_grs_out0]" caption="mov_sale_grs_out0" measure="1" displayFolder="" measureGroup="Склад" count="0" hidden="1"/>
    <cacheHierarchy uniqueName="[Measures].[mov_cost_net0]" caption="mov_cost_net0" measure="1" displayFolder="" measureGroup="Склад" count="0" hidden="1"/>
    <cacheHierarchy uniqueName="[Measures].[mov_sale_net0]" caption="mov_sale_net0" measure="1" displayFolder="" measureGroup="Склад" count="0" hidden="1"/>
    <cacheHierarchy uniqueName="[Measures].[cost_net_rest0]" caption="cost_net_rest0" measure="1" displayFolder="" measureGroup="Склад" count="0" hidden="1"/>
    <cacheHierarchy uniqueName="[Measures].[sale_net_rest0]" caption="sale_net_rest0" measure="1" displayFolder="" measureGroup="Склад" count="0" hidden="1"/>
    <cacheHierarchy uniqueName="[Measures].[cost_net_rest]" caption="cost_net_rest" measure="1" displayFolder="" measureGroup="Склад" count="0" hidden="1"/>
    <cacheHierarchy uniqueName="[Measures].[sale_net_rest]" caption="sale_net_rest" measure="1" displayFolder="" measureGroup="Склад" count="0" hidden="1"/>
    <cacheHierarchy uniqueName="[Measures].[cost_net_in0]" caption="cost_net_in0" measure="1" displayFolder="" measureGroup="Склад" count="0" hidden="1"/>
    <cacheHierarchy uniqueName="[Measures].[sale_net_in0]" caption="sale_net_in0" measure="1" displayFolder="" measureGroup="Склад" count="0" hidden="1"/>
    <cacheHierarchy uniqueName="[Measures].[cost_net_out0]" caption="cost_net_out0" measure="1" displayFolder="" measureGroup="Склад" count="0" hidden="1"/>
    <cacheHierarchy uniqueName="[Measures].[sale_net_out0]" caption="sale_net_out0" measure="1" displayFolder="" measureGroup="Склад" count="0" hidden="1"/>
    <cacheHierarchy uniqueName="[Measures].[mov_cost_net_in0]" caption="mov_cost_net_in0" measure="1" displayFolder="" measureGroup="Склад" count="0" hidden="1"/>
    <cacheHierarchy uniqueName="[Measures].[mov_sale_net_in0]" caption="mov_sale_net_in0" measure="1" displayFolder="" measureGroup="Склад" count="0" hidden="1"/>
    <cacheHierarchy uniqueName="[Measures].[mov_cost_net_out0]" caption="mov_cost_net_out0" measure="1" displayFolder="" measureGroup="Склад" count="0" hidden="1"/>
    <cacheHierarchy uniqueName="[Measures].[mov_sale_net_out0]" caption="mov_sale_net_out0" measure="1" displayFolder="" measureGroup="Склад" count="0" hidden="1"/>
    <cacheHierarchy uniqueName="[Measures].[mov_weight0]" caption="mov_weight0" measure="1" displayFolder="" measureGroup="Склад" count="0" hidden="1"/>
    <cacheHierarchy uniqueName="[Measures].[mov_weight_in0]" caption="mov_weight_in0" measure="1" displayFolder="" measureGroup="Склад" count="0" hidden="1"/>
    <cacheHierarchy uniqueName="[Measures].[mov_weight_out0]" caption="mov_weight_out0" measure="1" displayFolder="" measureGroup="Склад" count="0" hidden="1"/>
    <cacheHierarchy uniqueName="[Measures].[weight_rest0]" caption="weight_rest0" measure="1" displayFolder="" measureGroup="Склад" count="0" hidden="1"/>
    <cacheHierarchy uniqueName="[Measures].[weight_rest]" caption="weight_rest" measure="1" displayFolder="" measureGroup="Склад" count="0" hidden="1"/>
    <cacheHierarchy uniqueName="[Measures].[mov_volume0]" caption="mov_volume0" measure="1" displayFolder="" measureGroup="Склад" count="0" hidden="1"/>
    <cacheHierarchy uniqueName="[Measures].[mov_volume_in0]" caption="mov_volume_in0" measure="1" displayFolder="" measureGroup="Склад" count="0" hidden="1"/>
    <cacheHierarchy uniqueName="[Measures].[mov_volume_out0]" caption="mov_volume_out0" measure="1" displayFolder="" measureGroup="Склад" count="0" hidden="1"/>
    <cacheHierarchy uniqueName="[Measures].[Brutto Quantity0]" caption="Brutto Quantity0" measure="1" displayFolder="" measureGroup="Склад" count="0" hidden="1"/>
    <cacheHierarchy uniqueName="[Measures].[Brutto Quantity In]" caption="Brutto Quantity In" measure="1" displayFolder="" measureGroup="Склад" count="0" hidden="1"/>
    <cacheHierarchy uniqueName="[Measures].[Brutto Quantity Out]" caption="Brutto Quantity Out" measure="1" displayFolder="" measureGroup="Склад" count="0" hidden="1"/>
    <cacheHierarchy uniqueName="[Measures].[Agreement Id]" caption="Agreement Id" measure="1" displayFolder="" measureGroup="Кредитное плечо" count="0" hidden="1"/>
    <cacheHierarchy uniqueName="[Measures].[Seller Id]" caption="Seller Id" measure="1" displayFolder="" measureGroup="Кредитное плечо" count="0" hidden="1"/>
    <cacheHierarchy uniqueName="[Measures].[Buyer Id]" caption="Buyer Id" measure="1" displayFolder="" measureGroup="Кредитное плечо" count="0" hidden="1"/>
    <cacheHierarchy uniqueName="[Measures].[Gulliver v Olap Dct Agreement Count]" caption="Gulliver v Olap Dct Agreement Count" measure="1" displayFolder="" measureGroup="Кредитное плечо" count="0" hidden="1"/>
    <cacheHierarchy uniqueName="[Measures].[Sum Bonus Grs]" caption="Sum Bonus Grs" measure="1" displayFolder="" measureGroup="Additional Bonus" count="0" hidden="1"/>
    <cacheHierarchy uniqueName="[Measures].[Sum Bonus Net]" caption="Sum Bonus Net" measure="1" displayFolder="" measureGroup="Additional Bonus" count="0" hidden="1"/>
    <cacheHierarchy uniqueName="[Measures].[MaxDate]" caption="MaxDate" measure="1" displayFolder="" count="0" hidden="1"/>
    <cacheHierarchy uniqueName="[Measures].[DateFromInteger]" caption="DateFromInteger" measure="1" displayFolder="" count="0" hidden="1"/>
    <cacheHierarchy uniqueName="[Measures].[MaxDateAsDate]" caption="MaxDateAsDate" measure="1" displayFolder="" count="0" hidden="1"/>
    <cacheHierarchy uniqueName="[Measures].[DateFirst]" caption="DateFirst" measure="1" displayFolder="" count="0" hidden="1"/>
    <cacheHierarchy uniqueName="[Measures].[Средняя себестоимость за 30 дней, руб без ндс]" caption="Средняя себестоимость за 30 дней, руб без ндс" measure="1" displayFolder="" count="0" hidden="1"/>
    <cacheHierarchy uniqueName="[Measures].[Средний остаток за 30 дней, руб закуп без ндс]" caption="Средний остаток за 30 дней, руб закуп без ндс" measure="1" displayFolder="" count="0" hidden="1"/>
    <cacheHierarchy uniqueName="[Measures].[UseAsDefaultmeasure]" caption="UseAsDefaultmeasure" measure="1" displayFolder="" count="0" hidden="1"/>
    <cacheHierarchy uniqueName="[Measures].[mov_sale_grs_in]" caption="Приход, розн с ндс" measure="1" displayFolder="" measureGroup="Склад" count="0" hidden="1"/>
    <cacheHierarchy uniqueName="[Measures].[mov_sale_net_in]" caption="Приход, розн без ндс" measure="1" displayFolder="" measureGroup="Склад" count="0" hidden="1"/>
    <cacheHierarchy uniqueName="[Measures].[Потери известные МП ФРОВ, руб с НДС]" caption="Потери известные МП ФРОВ, руб с НДС" measure="1" displayFolder="08 Потери товара" measureGroup="Склад" count="0" hidden="1"/>
    <cacheHierarchy uniqueName="[Measures].[Сальдо ФРОВ, руб с НДС]" caption="Сальдо ФРОВ, руб с НДС" measure="1" displayFolder="" count="0" hidden="1"/>
    <cacheHierarchy uniqueName="[Measures].[Потери известные МП ФРОВ, руб без НДС]" caption="Потери известные МП ФРОВ, руб без НДС" measure="1" displayFolder="08 Потери товара" measureGroup="Склад" count="0" hidden="1"/>
    <cacheHierarchy uniqueName="[Measures].[Сальдо ФРОВ, руб без НДС]" caption="Сальдо ФРОВ, руб без НДС" measure="1" displayFolder="" count="0" hidden="1"/>
    <cacheHierarchy uniqueName="[Measures].[Ср маржа с ед, руб]" caption="Ср маржа с ед, руб" measure="1" displayFolder="Средние показатели" measureGroup="Продажи" count="0" hidden="1"/>
    <cacheHierarchy uniqueName="[Measures].[rst1_sale_grs]" caption="Остаток на конец, розн с ндс" measure="1" displayFolder="04 Остатки и оборачиваемость" measureGroup="Склад" count="0" hidden="1"/>
    <cacheHierarchy uniqueName="[Measures].[rst1_sale_net]" caption="Остаток на конец периода, руб закуп без ндс" measure="1" displayFolder="04 Остатки и оборачиваемость" measureGroup="Склад" count="0" hidden="1"/>
    <cacheHierarchy uniqueName="[Measures].[Средний остаток, руб закуп без ндс по МП]" caption="Средний остаток, руб закуп без ндс по МП" measure="1" displayFolder="04 Остатки и оборачиваемость" measureGroup="Склад" count="0" hidden="1"/>
    <cacheHierarchy uniqueName="[Measures].[Средняя себестоимость, руб без ндс по МП]" caption="Средняя себестоимость, руб без ндс по МП" measure="1" displayFolder="04 Остатки и оборачиваемость" measureGroup="Склад" count="0" hidden="1"/>
    <cacheHierarchy uniqueName="[Measures].[Средний остаток, руб закуп без ндс по РЦ]" caption="Средний остаток, руб закуп без ндс по РЦ" measure="1" displayFolder="04 Остатки и оборачиваемость" measureGroup="Склад" count="0" hidden="1"/>
    <cacheHierarchy uniqueName="[Measures].[Средние продажи за 30 дней, шт]" caption="Средние продажи за 30 дней, шт" measure="1" displayFolder="" count="0" hidden="1"/>
    <cacheHierarchy uniqueName="[Measures].[Средний расход за 30 дней, шт]" caption="Средний расход за 30 дней, шт" measure="1" displayFolder="" count="0" hidden="1"/>
    <cacheHierarchy uniqueName="[Measures].[Расход РЦ, шт]" caption="Расход РЦ, шт" measure="1" displayFolder="Расход РЦ" measureGroup="Склад" count="0" hidden="1"/>
    <cacheHierarchy uniqueName="[Measures].[Расход РЦ, руб закуп с ндс]" caption="Расход РЦ, руб закуп с ндс" measure="1" displayFolder="Расход РЦ" measureGroup="Склад" count="0" hidden="1"/>
    <cacheHierarchy uniqueName="[Measures].[Расход РЦ, руб закуп без ндс]" caption="Расход РЦ, руб закуп без ндс" measure="1" displayFolder="Расход РЦ" measureGroup="Склад" count="0" hidden="1"/>
  </cacheHierarchies>
  <kpis count="0"/>
  <dimensions count="10">
    <dimension name="dct_date" uniqueName="[dct_date]" caption="01 Дата"/>
    <dimension name="dct_db" uniqueName="[dct_db]" caption="03 Подразделение"/>
    <dimension name="dct_db_supplier" uniqueName="[dct_db_supplier]" caption="06 Внутренний контрагент"/>
    <dimension name="dct_doc_types_s" uniqueName="[dct_doc_types_s]" caption="04 Накладные"/>
    <dimension name="dct_goods" uniqueName="[dct_goods]" caption="02 Номенклатура"/>
    <dimension name="dct_Recipients" uniqueName="[dct_Recipients]" caption="05 Получатель"/>
    <dimension name="dct_suppliers" uniqueName="[dct_suppliers]" caption="05 Поставщик"/>
    <dimension measure="1" name="Measures" uniqueName="[Measures]" caption="Measures"/>
    <dimension name="v_dct_agreement" uniqueName="[v_dct_agreement]" caption="07 Договоры с поставщиками"/>
    <dimension name="v_Olap_Dct_FixPrice" uniqueName="[v_Olap_Dct_FixPrice]" caption="08 Акции"/>
  </dimensions>
  <measureGroups count="10">
    <measureGroup name="Additional Bonus" caption="09 ДопУсловия на доход"/>
    <measureGroup name="Nilsen" caption="07 Nielsen"/>
    <measureGroup name="Кол-во дней" caption="00 Количество Дней"/>
    <measureGroup name="Кредитное плечо" caption="04  Кредитное плечо"/>
    <measureGroup name="Магнит" caption="08 Аналитика приходов ТС Магнит"/>
    <measureGroup name="Планы" caption="03 Планы"/>
    <measureGroup name="Продажи" caption="01 Продажи"/>
    <measureGroup name="Ретро Бонусы" caption="06  Ретро Бонусы"/>
    <measureGroup name="Склад" caption="02 Склад"/>
    <measureGroup name="Уценка" caption="05 Уценка"/>
  </measureGroups>
  <maps count="75">
    <map measureGroup="0" dimension="0"/>
    <map measureGroup="0" dimension="1"/>
    <map measureGroup="0" dimension="2"/>
    <map measureGroup="0" dimension="3"/>
    <map measureGroup="0" dimension="4"/>
    <map measureGroup="0" dimension="5"/>
    <map measureGroup="0" dimension="6"/>
    <map measureGroup="0" dimension="8"/>
    <map measureGroup="0" dimension="9"/>
    <map measureGroup="1" dimension="0"/>
    <map measureGroup="1" dimension="1"/>
    <map measureGroup="1" dimension="2"/>
    <map measureGroup="1" dimension="3"/>
    <map measureGroup="1" dimension="4"/>
    <map measureGroup="1" dimension="5"/>
    <map measureGroup="1" dimension="6"/>
    <map measureGroup="1" dimension="8"/>
    <map measureGroup="1" dimension="9"/>
    <map measureGroup="2" dimension="0"/>
    <map measureGroup="3" dimension="6"/>
    <map measureGroup="3" dimension="8"/>
    <map measureGroup="4" dimension="0"/>
    <map measureGroup="4" dimension="1"/>
    <map measureGroup="4" dimension="2"/>
    <map measureGroup="4" dimension="3"/>
    <map measureGroup="4" dimension="4"/>
    <map measureGroup="4" dimension="5"/>
    <map measureGroup="4" dimension="6"/>
    <map measureGroup="4" dimension="8"/>
    <map measureGroup="4" dimension="9"/>
    <map measureGroup="5" dimension="0"/>
    <map measureGroup="5" dimension="1"/>
    <map measureGroup="5" dimension="2"/>
    <map measureGroup="5" dimension="3"/>
    <map measureGroup="5" dimension="4"/>
    <map measureGroup="5" dimension="5"/>
    <map measureGroup="5" dimension="6"/>
    <map measureGroup="5" dimension="8"/>
    <map measureGroup="5" dimension="9"/>
    <map measureGroup="6" dimension="0"/>
    <map measureGroup="6" dimension="1"/>
    <map measureGroup="6" dimension="2"/>
    <map measureGroup="6" dimension="3"/>
    <map measureGroup="6" dimension="4"/>
    <map measureGroup="6" dimension="5"/>
    <map measureGroup="6" dimension="6"/>
    <map measureGroup="6" dimension="8"/>
    <map measureGroup="6" dimension="9"/>
    <map measureGroup="7" dimension="0"/>
    <map measureGroup="7" dimension="1"/>
    <map measureGroup="7" dimension="2"/>
    <map measureGroup="7" dimension="3"/>
    <map measureGroup="7" dimension="4"/>
    <map measureGroup="7" dimension="5"/>
    <map measureGroup="7" dimension="6"/>
    <map measureGroup="7" dimension="8"/>
    <map measureGroup="7" dimension="9"/>
    <map measureGroup="8" dimension="0"/>
    <map measureGroup="8" dimension="1"/>
    <map measureGroup="8" dimension="2"/>
    <map measureGroup="8" dimension="3"/>
    <map measureGroup="8" dimension="4"/>
    <map measureGroup="8" dimension="5"/>
    <map measureGroup="8" dimension="6"/>
    <map measureGroup="8" dimension="8"/>
    <map measureGroup="8" dimension="9"/>
    <map measureGroup="9" dimension="0"/>
    <map measureGroup="9" dimension="1"/>
    <map measureGroup="9" dimension="2"/>
    <map measureGroup="9" dimension="3"/>
    <map measureGroup="9" dimension="4"/>
    <map measureGroup="9" dimension="5"/>
    <map measureGroup="9" dimension="6"/>
    <map measureGroup="9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3" cacheId="0" dataPosition="0" applyNumberFormats="0" applyBorderFormats="0" applyFontFormats="0" applyPatternFormats="0" applyAlignmentFormats="0" applyWidthHeightFormats="1" dataCaption="Значения" updatedVersion="6" minRefreshableVersion="3" useAutoFormatting="1" subtotalHiddenItems="1" colGrandTotals="0" itemPrintTitles="1" createdVersion="6" indent="0" compact="0" compactData="0" multipleFieldFilters="0" fieldListSortAscending="1">
  <location ref="A13:U251" firstHeaderRow="1" firstDataRow="3" firstDataCol="7" rowPageCount="5" colPageCount="1"/>
  <pivotFields count="111">
    <pivotField axis="axisPage" compact="0" allDrilled="1" outline="0" showAll="0" dataSourceSort="1" defaultSubtotal="0">
      <items count="1">
        <item c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ataSourceSort="1" defaultSubtotal="0">
      <items count="1">
        <item c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ataSourceSort="1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dataSourceSort="1" defaultSubtotal="0">
      <items count="1">
        <item s="1" c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allDrilled="1" outline="0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allDrilled="1" outline="0" showAll="0" dataSourceSort="1" defaultAttributeDrillState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2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2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4"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showPropTip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allDrilled="1" outline="0" showAll="0" dataSourceSort="1">
      <items count="3">
        <item s="1" c="1" x="0"/>
        <item s="1" c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showPropTip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allDrilled="1" outline="0" showAll="0" dataSourceSort="1" defaultAttributeDrillState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showPropTip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allDrilled="1" outline="0" showAll="0" dataSourceSort="1" defaultAttributeDrillState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9"/>
    <field x="70"/>
    <field x="72"/>
    <field x="67"/>
    <field x="73"/>
    <field x="65"/>
    <field x="64"/>
  </rowFields>
  <rowItems count="236">
    <i>
      <x/>
      <x/>
      <x/>
      <x/>
      <x/>
      <x v="1"/>
      <x v="93"/>
    </i>
    <i r="5">
      <x v="5"/>
      <x v="106"/>
    </i>
    <i r="5">
      <x v="7"/>
      <x v="41"/>
    </i>
    <i r="6">
      <x v="42"/>
    </i>
    <i r="5">
      <x v="10"/>
      <x v="171"/>
    </i>
    <i r="5">
      <x v="12"/>
      <x v="124"/>
    </i>
    <i r="5">
      <x v="16"/>
      <x v="81"/>
    </i>
    <i r="5">
      <x v="17"/>
      <x v="19"/>
    </i>
    <i r="5">
      <x v="20"/>
      <x v="78"/>
    </i>
    <i r="5">
      <x v="21"/>
      <x v="30"/>
    </i>
    <i r="6">
      <x v="46"/>
    </i>
    <i r="5">
      <x v="24"/>
      <x v="91"/>
    </i>
    <i r="5">
      <x v="27"/>
      <x v="45"/>
    </i>
    <i r="5">
      <x v="28"/>
      <x v="212"/>
    </i>
    <i r="5">
      <x v="32"/>
      <x v="34"/>
    </i>
    <i r="5">
      <x v="34"/>
      <x v="12"/>
    </i>
    <i r="5">
      <x v="35"/>
      <x v="35"/>
    </i>
    <i r="5">
      <x v="40"/>
      <x v="205"/>
    </i>
    <i r="5">
      <x v="43"/>
      <x v="109"/>
    </i>
    <i r="5">
      <x v="47"/>
      <x v="66"/>
    </i>
    <i r="5">
      <x v="50"/>
      <x v="95"/>
    </i>
    <i r="5">
      <x v="51"/>
      <x v="174"/>
    </i>
    <i r="5">
      <x v="55"/>
      <x v="119"/>
    </i>
    <i r="5">
      <x v="57"/>
      <x v="163"/>
    </i>
    <i r="5">
      <x v="60"/>
      <x v="82"/>
    </i>
    <i r="5">
      <x v="63"/>
      <x v="192"/>
    </i>
    <i r="5">
      <x v="65"/>
      <x v="213"/>
    </i>
    <i r="5">
      <x v="67"/>
      <x v="64"/>
    </i>
    <i r="5">
      <x v="69"/>
      <x v="87"/>
    </i>
    <i r="5">
      <x v="70"/>
      <x v="72"/>
    </i>
    <i r="5">
      <x v="73"/>
      <x v="61"/>
    </i>
    <i r="5">
      <x v="76"/>
      <x v="104"/>
    </i>
    <i r="5">
      <x v="78"/>
      <x v="89"/>
    </i>
    <i r="5">
      <x v="79"/>
      <x v="196"/>
    </i>
    <i r="5">
      <x v="80"/>
      <x v="23"/>
    </i>
    <i r="5">
      <x v="86"/>
      <x v="70"/>
    </i>
    <i r="5">
      <x v="90"/>
      <x v="137"/>
    </i>
    <i r="5">
      <x v="92"/>
      <x v="62"/>
    </i>
    <i r="5">
      <x v="93"/>
      <x v="183"/>
    </i>
    <i r="5">
      <x v="95"/>
      <x v="48"/>
    </i>
    <i r="5">
      <x v="97"/>
      <x v="194"/>
    </i>
    <i r="5">
      <x v="98"/>
      <x v="101"/>
    </i>
    <i r="5">
      <x v="101"/>
      <x v="179"/>
    </i>
    <i r="5">
      <x v="102"/>
      <x v="100"/>
    </i>
    <i r="5">
      <x v="106"/>
      <x v="132"/>
    </i>
    <i r="5">
      <x v="108"/>
      <x v="76"/>
    </i>
    <i r="5">
      <x v="109"/>
      <x v="198"/>
    </i>
    <i r="5">
      <x v="115"/>
      <x v="51"/>
    </i>
    <i r="5">
      <x v="121"/>
      <x v="135"/>
    </i>
    <i r="5">
      <x v="129"/>
      <x v="129"/>
    </i>
    <i r="5">
      <x v="131"/>
      <x v="142"/>
    </i>
    <i r="5">
      <x v="138"/>
      <x v="161"/>
    </i>
    <i r="5">
      <x v="139"/>
      <x v="111"/>
    </i>
    <i r="5">
      <x v="140"/>
      <x v="74"/>
    </i>
    <i r="5">
      <x v="141"/>
      <x v="125"/>
    </i>
    <i r="5">
      <x v="146"/>
      <x v="33"/>
    </i>
    <i r="5">
      <x v="147"/>
      <x v="96"/>
    </i>
    <i r="5">
      <x v="149"/>
      <x v="113"/>
    </i>
    <i r="5">
      <x v="150"/>
      <x v="8"/>
    </i>
    <i r="5">
      <x v="154"/>
      <x v="147"/>
    </i>
    <i r="5">
      <x v="155"/>
      <x v="148"/>
    </i>
    <i r="5">
      <x v="158"/>
      <x v="190"/>
    </i>
    <i r="5">
      <x v="162"/>
      <x v="157"/>
    </i>
    <i r="5">
      <x v="164"/>
      <x v="29"/>
    </i>
    <i r="5">
      <x v="165"/>
      <x v="204"/>
    </i>
    <i r="5">
      <x v="169"/>
      <x v="54"/>
    </i>
    <i r="5">
      <x v="173"/>
      <x v="216"/>
    </i>
    <i r="5">
      <x v="176"/>
      <x v="84"/>
    </i>
    <i r="5">
      <x v="178"/>
      <x v="27"/>
    </i>
    <i r="5">
      <x v="180"/>
      <x v="122"/>
    </i>
    <i r="5">
      <x v="181"/>
      <x v="4"/>
    </i>
    <i r="5">
      <x v="183"/>
      <x v="50"/>
    </i>
    <i r="5">
      <x v="185"/>
      <x v="127"/>
    </i>
    <i r="5">
      <x v="186"/>
      <x v="114"/>
    </i>
    <i r="5">
      <x v="190"/>
      <x v="200"/>
    </i>
    <i r="5">
      <x v="191"/>
      <x v="110"/>
    </i>
    <i r="5">
      <x v="192"/>
      <x v="56"/>
    </i>
    <i r="5">
      <x v="198"/>
      <x v="120"/>
    </i>
    <i r="5">
      <x v="199"/>
      <x v="121"/>
    </i>
    <i r="5">
      <x v="204"/>
      <x v="80"/>
    </i>
    <i r="5">
      <x v="205"/>
      <x v="21"/>
    </i>
    <i r="5">
      <x v="208"/>
      <x v="158"/>
    </i>
    <i r="5">
      <x v="209"/>
      <x v="17"/>
    </i>
    <i r="5">
      <x v="215"/>
      <x v="187"/>
    </i>
    <i t="default" r="4">
      <x/>
    </i>
    <i r="4">
      <x v="1"/>
      <x v="3"/>
      <x v="94"/>
    </i>
    <i r="5">
      <x v="8"/>
      <x v="43"/>
    </i>
    <i r="6">
      <x v="44"/>
    </i>
    <i r="5">
      <x v="9"/>
      <x v="141"/>
    </i>
    <i r="5">
      <x v="11"/>
      <x v="172"/>
    </i>
    <i r="5">
      <x v="13"/>
      <x v="57"/>
    </i>
    <i r="5">
      <x v="18"/>
      <x v="2"/>
    </i>
    <i r="5">
      <x v="22"/>
      <x v="103"/>
    </i>
    <i r="5">
      <x v="25"/>
      <x v="92"/>
    </i>
    <i r="5">
      <x v="26"/>
      <x v="99"/>
    </i>
    <i r="5">
      <x v="29"/>
      <x v="215"/>
    </i>
    <i r="5">
      <x v="30"/>
      <x v="211"/>
    </i>
    <i r="5">
      <x v="36"/>
      <x v="180"/>
    </i>
    <i r="5">
      <x v="37"/>
      <x v="36"/>
    </i>
    <i r="5">
      <x v="38"/>
      <x v="13"/>
    </i>
    <i r="5">
      <x v="41"/>
      <x v="206"/>
    </i>
    <i r="5">
      <x v="42"/>
      <x v="184"/>
    </i>
    <i r="5">
      <x v="45"/>
      <x v="149"/>
    </i>
    <i r="5">
      <x v="46"/>
      <x v="117"/>
    </i>
    <i r="5">
      <x v="48"/>
      <x v="67"/>
    </i>
    <i r="5">
      <x v="52"/>
      <x v="1"/>
    </i>
    <i r="5">
      <x v="53"/>
      <x v="175"/>
    </i>
    <i r="5">
      <x v="56"/>
      <x v="118"/>
    </i>
    <i r="5">
      <x v="58"/>
      <x v="164"/>
    </i>
    <i r="5">
      <x v="61"/>
      <x v="155"/>
    </i>
    <i r="5">
      <x v="64"/>
      <x v="193"/>
    </i>
    <i r="5">
      <x v="68"/>
      <x v="65"/>
    </i>
    <i r="5">
      <x v="71"/>
      <x v="88"/>
    </i>
    <i r="5">
      <x v="72"/>
      <x v="73"/>
    </i>
    <i r="5">
      <x v="74"/>
      <x v="156"/>
    </i>
    <i r="5">
      <x v="81"/>
      <x v="79"/>
    </i>
    <i r="6">
      <x v="153"/>
    </i>
    <i r="5">
      <x v="82"/>
      <x v="25"/>
    </i>
    <i r="5">
      <x v="83"/>
      <x v="24"/>
    </i>
    <i r="5">
      <x v="87"/>
      <x v="112"/>
    </i>
    <i r="5">
      <x v="88"/>
      <x v="71"/>
    </i>
    <i r="5">
      <x v="89"/>
      <x v="14"/>
    </i>
    <i r="5">
      <x v="91"/>
      <x v="131"/>
    </i>
    <i r="5">
      <x v="94"/>
      <x v="185"/>
    </i>
    <i r="5">
      <x v="96"/>
      <x v="49"/>
    </i>
    <i r="5">
      <x v="99"/>
      <x v="195"/>
    </i>
    <i r="5">
      <x v="100"/>
      <x v="218"/>
    </i>
    <i r="5">
      <x v="103"/>
      <x v="202"/>
    </i>
    <i r="5">
      <x v="107"/>
      <x v="133"/>
    </i>
    <i r="5">
      <x v="110"/>
      <x v="145"/>
    </i>
    <i r="5">
      <x v="112"/>
      <x v="107"/>
    </i>
    <i r="5">
      <x v="113"/>
      <x v="108"/>
    </i>
    <i r="5">
      <x v="120"/>
      <x v="47"/>
    </i>
    <i r="5">
      <x v="126"/>
      <x v="178"/>
    </i>
    <i r="5">
      <x v="132"/>
      <x v="134"/>
    </i>
    <i r="5">
      <x v="133"/>
      <x v="85"/>
    </i>
    <i r="5">
      <x v="135"/>
      <x v="139"/>
    </i>
    <i r="5">
      <x v="136"/>
      <x v="138"/>
    </i>
    <i r="5">
      <x v="142"/>
      <x v="162"/>
    </i>
    <i r="5">
      <x v="144"/>
      <x v="126"/>
    </i>
    <i r="5">
      <x v="148"/>
      <x v="32"/>
    </i>
    <i r="5">
      <x v="151"/>
      <x v="15"/>
    </i>
    <i r="5">
      <x v="156"/>
      <x v="150"/>
    </i>
    <i r="5">
      <x v="159"/>
      <x v="53"/>
    </i>
    <i r="5">
      <x v="170"/>
      <x v="169"/>
    </i>
    <i r="5">
      <x v="171"/>
      <x v="55"/>
    </i>
    <i r="5">
      <x v="174"/>
      <x v="217"/>
    </i>
    <i r="5">
      <x v="177"/>
      <x v="83"/>
    </i>
    <i r="5">
      <x v="179"/>
      <x v="28"/>
    </i>
    <i r="5">
      <x v="184"/>
      <x v="203"/>
    </i>
    <i r="5">
      <x v="187"/>
      <x v="128"/>
    </i>
    <i r="5">
      <x v="188"/>
      <x v="115"/>
    </i>
    <i r="5">
      <x v="193"/>
      <x v="201"/>
    </i>
    <i r="5">
      <x v="194"/>
      <x v="160"/>
    </i>
    <i r="5">
      <x v="195"/>
      <x v="58"/>
    </i>
    <i r="5">
      <x v="200"/>
      <x v="123"/>
    </i>
    <i r="5">
      <x v="201"/>
      <x v="116"/>
    </i>
    <i r="5">
      <x v="202"/>
      <x v="168"/>
    </i>
    <i r="5">
      <x v="203"/>
      <x v="38"/>
    </i>
    <i r="5">
      <x v="210"/>
      <x v="159"/>
    </i>
    <i r="5">
      <x v="211"/>
      <x v="18"/>
    </i>
    <i r="5">
      <x v="216"/>
      <x v="188"/>
    </i>
    <i t="default" r="4">
      <x v="1"/>
    </i>
    <i r="4">
      <x v="2"/>
      <x v="4"/>
      <x v="37"/>
    </i>
    <i r="5">
      <x v="14"/>
      <x v="59"/>
    </i>
    <i r="5">
      <x v="19"/>
      <x v="3"/>
    </i>
    <i r="5">
      <x v="23"/>
      <x v="31"/>
    </i>
    <i r="5">
      <x v="31"/>
      <x v="208"/>
    </i>
    <i r="5">
      <x v="33"/>
      <x v="10"/>
    </i>
    <i r="5">
      <x v="62"/>
      <x v="207"/>
    </i>
    <i r="5">
      <x v="66"/>
      <x v="186"/>
    </i>
    <i r="5">
      <x v="75"/>
      <x v="86"/>
    </i>
    <i r="5">
      <x v="77"/>
      <x v="105"/>
    </i>
    <i r="5">
      <x v="84"/>
      <x v="26"/>
    </i>
    <i r="5">
      <x v="105"/>
      <x v="102"/>
    </i>
    <i r="5">
      <x v="111"/>
      <x v="144"/>
    </i>
    <i r="5">
      <x v="114"/>
      <x v="197"/>
    </i>
    <i r="5">
      <x v="119"/>
      <x v="77"/>
    </i>
    <i r="5">
      <x v="122"/>
      <x v="136"/>
    </i>
    <i r="5">
      <x v="130"/>
      <x v="130"/>
    </i>
    <i r="5">
      <x v="134"/>
      <x v="143"/>
    </i>
    <i r="5">
      <x v="137"/>
      <x v="140"/>
    </i>
    <i r="5">
      <x v="143"/>
      <x v="97"/>
    </i>
    <i r="5">
      <x v="145"/>
      <x v="75"/>
    </i>
    <i r="5">
      <x v="152"/>
      <x v="210"/>
    </i>
    <i r="5">
      <x v="166"/>
      <x v="214"/>
    </i>
    <i r="5">
      <x v="182"/>
      <x v="219"/>
    </i>
    <i r="5">
      <x v="189"/>
      <x v="146"/>
    </i>
    <i r="5">
      <x v="206"/>
      <x v="20"/>
    </i>
    <i r="5">
      <x v="212"/>
      <x v="16"/>
    </i>
    <i t="default" r="4">
      <x v="2"/>
    </i>
    <i r="4">
      <x v="3"/>
      <x v="15"/>
      <x v="60"/>
    </i>
    <i r="5">
      <x v="39"/>
      <x v="11"/>
    </i>
    <i r="5">
      <x v="44"/>
      <x v="98"/>
    </i>
    <i r="5">
      <x v="49"/>
      <x v="90"/>
    </i>
    <i r="5">
      <x v="54"/>
      <x v="6"/>
    </i>
    <i r="5">
      <x v="59"/>
      <x v="165"/>
    </i>
    <i r="5">
      <x v="104"/>
      <x v="199"/>
    </i>
    <i r="5">
      <x v="116"/>
      <x v="52"/>
    </i>
    <i r="5">
      <x v="153"/>
      <x v="209"/>
    </i>
    <i r="5">
      <x v="157"/>
      <x v="151"/>
    </i>
    <i r="5">
      <x v="167"/>
      <x v="191"/>
    </i>
    <i r="5">
      <x v="168"/>
      <x v="220"/>
    </i>
    <i r="5">
      <x v="172"/>
      <x v="173"/>
    </i>
    <i r="5">
      <x v="175"/>
      <x v="63"/>
    </i>
    <i r="5">
      <x v="207"/>
      <x v="189"/>
    </i>
    <i t="default" r="4">
      <x v="3"/>
    </i>
    <i t="default" r="3">
      <x/>
    </i>
    <i r="3">
      <x v="1"/>
      <x v="4"/>
      <x v="213"/>
      <x v="5"/>
    </i>
    <i r="5">
      <x v="214"/>
      <x v="7"/>
    </i>
    <i t="default" r="4">
      <x v="4"/>
    </i>
    <i t="default" r="3">
      <x v="1"/>
    </i>
    <i r="3">
      <x v="2"/>
      <x v="5"/>
      <x/>
      <x v="68"/>
    </i>
    <i r="5">
      <x v="117"/>
      <x v="170"/>
    </i>
    <i r="5">
      <x v="123"/>
      <x v="39"/>
    </i>
    <i r="5">
      <x v="125"/>
      <x v="9"/>
    </i>
    <i r="5">
      <x v="127"/>
      <x v="166"/>
    </i>
    <i r="5">
      <x v="160"/>
      <x v="181"/>
    </i>
    <i r="5">
      <x v="163"/>
      <x v="152"/>
    </i>
    <i r="5">
      <x v="196"/>
      <x v="176"/>
    </i>
    <i t="default" r="4">
      <x v="5"/>
    </i>
    <i r="4">
      <x v="6"/>
      <x v="2"/>
      <x v="69"/>
    </i>
    <i r="5">
      <x v="6"/>
      <x v="154"/>
    </i>
    <i r="5">
      <x v="118"/>
      <x/>
    </i>
    <i r="5">
      <x v="124"/>
      <x v="40"/>
    </i>
    <i r="5">
      <x v="128"/>
      <x v="167"/>
    </i>
    <i r="5">
      <x v="161"/>
      <x v="182"/>
    </i>
    <i r="5">
      <x v="197"/>
      <x v="177"/>
    </i>
    <i t="default" r="4">
      <x v="6"/>
    </i>
    <i r="4">
      <x v="7"/>
      <x v="85"/>
      <x v="22"/>
    </i>
    <i t="default" r="4">
      <x v="7"/>
    </i>
    <i t="default" r="3">
      <x v="2"/>
    </i>
    <i t="default" r="2">
      <x/>
    </i>
    <i t="default" r="1">
      <x/>
    </i>
    <i t="default">
      <x/>
    </i>
    <i t="grand">
      <x/>
    </i>
  </rowItems>
  <colFields count="2">
    <field x="-2"/>
    <field x="85"/>
  </colFields>
  <colItems count="14">
    <i>
      <x/>
      <x/>
    </i>
    <i r="1">
      <x v="1"/>
    </i>
    <i i="1">
      <x v="1"/>
      <x/>
    </i>
    <i r="1" i="1">
      <x v="1"/>
    </i>
    <i i="2">
      <x v="2"/>
      <x/>
    </i>
    <i r="1" i="2">
      <x v="1"/>
    </i>
    <i i="3">
      <x v="3"/>
      <x/>
    </i>
    <i r="1" i="3">
      <x v="1"/>
    </i>
    <i i="4">
      <x v="4"/>
      <x/>
    </i>
    <i r="1" i="4">
      <x v="1"/>
    </i>
    <i i="5">
      <x v="5"/>
      <x/>
    </i>
    <i r="1" i="5">
      <x v="1"/>
    </i>
    <i i="6">
      <x v="6"/>
      <x/>
    </i>
    <i r="1" i="6">
      <x v="1"/>
    </i>
  </colItems>
  <pageFields count="5">
    <pageField fld="110" hier="18" name="[dct_db].[Comparability Year1].&amp;[Да]" cap="Да"/>
    <pageField fld="0" hier="14" name="[dct_date].[y-m-d].[month_full_name].&amp;[202504]" cap="2025/Апрель"/>
    <pageField fld="63" hier="40" name="[dct_db].[owner_name].&amp;[7E2EA747-8026-48D9-B423-B27FDA815F64]" cap="ООО &quot;ТК Лето&quot;"/>
    <pageField fld="47" hier="73" name="[dct_goods].[g-s-n (rrun)].[sub_group_name].&amp;[03C91C34-9EA6-47DE-B1EA-1260F3BA6CF3].&amp;[МОЛОКО]" cap="МОЛОКО"/>
    <pageField fld="108" hier="32" name="[dct_db].[L District].[Все]" cap="Все"/>
  </pageFields>
  <dataFields count="7">
    <dataField fld="74" baseField="0" baseItem="0"/>
    <dataField fld="66" baseField="0" baseItem="0"/>
    <dataField fld="84" baseField="0" baseItem="0"/>
    <dataField fld="75" baseField="0" baseItem="0"/>
    <dataField fld="76" baseField="0" baseItem="0"/>
    <dataField fld="77" baseField="0" baseItem="0"/>
    <dataField fld="68" baseField="0" baseItem="0"/>
  </dataFields>
  <pivotHierarchies count="468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ps count="20">
        <mp field="3"/>
        <mp field="4"/>
        <mp field="5"/>
        <mp field="6"/>
        <mp field="7"/>
        <mp field="8"/>
        <mp field="9"/>
        <mp field="10"/>
        <mp field="11"/>
        <mp field="12"/>
        <mp field="13"/>
        <mp field="14"/>
        <mp field="15"/>
        <mp field="16"/>
        <mp field="17"/>
        <mp field="18"/>
        <mp field="19"/>
        <mp field="54"/>
        <mp field="55"/>
        <mp field="57"/>
      </mps>
      <members count="2" level="2">
        <member name="[dct_date].[y-m-d].[month_full_name].&amp;[202504]"/>
        <member name="[dct_date].[y-m-d].[month_full_name].&amp;[202604]"/>
      </members>
      <members count="52" level="3">
        <member name="[dct_date].[y-m-d].[date_name].&amp;[20250331]"/>
        <member name="[dct_date].[y-m-d].[date_name].&amp;[20250501]"/>
        <member name="[dct_date].[y-m-d].[date_name].&amp;[20250502]"/>
        <member name="[dct_date].[y-m-d].[date_name].&amp;[20250503]"/>
        <member name="[dct_date].[y-m-d].[date_name].&amp;[20250504]"/>
        <member name="[dct_date].[y-m-d].[date_name].&amp;[20250505]"/>
        <member name="[dct_date].[y-m-d].[date_name].&amp;[20250506]"/>
        <member name="[dct_date].[y-m-d].[date_name].&amp;[20250507]"/>
        <member name="[dct_date].[y-m-d].[date_name].&amp;[20250508]"/>
        <member name="[dct_date].[y-m-d].[date_name].&amp;[20250509]"/>
        <member name="[dct_date].[y-m-d].[date_name].&amp;[20250510]"/>
        <member name="[dct_date].[y-m-d].[date_name].&amp;[20250511]"/>
        <member name="[dct_date].[y-m-d].[date_name].&amp;[20250512]"/>
        <member name="[dct_date].[y-m-d].[date_name].&amp;[20250513]"/>
        <member name="[dct_date].[y-m-d].[date_name].&amp;[20250514]"/>
        <member name="[dct_date].[y-m-d].[date_name].&amp;[20250515]"/>
        <member name="[dct_date].[y-m-d].[date_name].&amp;[20250516]"/>
        <member name="[dct_date].[y-m-d].[date_name].&amp;[20250517]"/>
        <member name="[dct_date].[y-m-d].[date_name].&amp;[20250518]"/>
        <member name="[dct_date].[y-m-d].[date_name].&amp;[20250519]"/>
        <member name="[dct_date].[y-m-d].[date_name].&amp;[20250520]"/>
        <member name="[dct_date].[y-m-d].[date_name].&amp;[20250521]"/>
        <member name="[dct_date].[y-m-d].[date_name].&amp;[20250522]"/>
        <member name="[dct_date].[y-m-d].[date_name].&amp;[20250523]"/>
        <member name="[dct_date].[y-m-d].[date_name].&amp;[20250524]"/>
        <member name="[dct_date].[y-m-d].[date_name].&amp;[20250525]"/>
        <member name="[dct_date].[y-m-d].[date_name].&amp;[20260330]"/>
        <member name="[dct_date].[y-m-d].[date_name].&amp;[20260331]"/>
        <member name="[dct_date].[y-m-d].[date_name].&amp;[20260501]"/>
        <member name="[dct_date].[y-m-d].[date_name].&amp;[20260502]"/>
        <member name="[dct_date].[y-m-d].[date_name].&amp;[20260503]"/>
        <member name="[dct_date].[y-m-d].[date_name].&amp;[20260504]"/>
        <member name="[dct_date].[y-m-d].[date_name].&amp;[20260505]"/>
        <member name="[dct_date].[y-m-d].[date_name].&amp;[20260506]"/>
        <member name="[dct_date].[y-m-d].[date_name].&amp;[20260507]"/>
        <member name="[dct_date].[y-m-d].[date_name].&amp;[20260508]"/>
        <member name="[dct_date].[y-m-d].[date_name].&amp;[20260509]"/>
        <member name="[dct_date].[y-m-d].[date_name].&amp;[20260510]"/>
        <member name="[dct_date].[y-m-d].[date_name].&amp;[20260511]"/>
        <member name="[dct_date].[y-m-d].[date_name].&amp;[20260512]"/>
        <member name="[dct_date].[y-m-d].[date_name].&amp;[20260513]"/>
        <member name="[dct_date].[y-m-d].[date_name].&amp;[20260514]"/>
        <member name="[dct_date].[y-m-d].[date_name].&amp;[20260515]"/>
        <member name="[dct_date].[y-m-d].[date_name].&amp;[20260516]"/>
        <member name="[dct_date].[y-m-d].[date_name].&amp;[20260517]"/>
        <member name="[dct_date].[y-m-d].[date_name].&amp;[20260518]"/>
        <member name="[dct_date].[y-m-d].[date_name].&amp;[20260519]"/>
        <member name="[dct_date].[y-m-d].[date_name].&amp;[20260520]"/>
        <member name="[dct_date].[y-m-d].[date_name].&amp;[20260521]"/>
        <member name="[dct_date].[y-m-d].[date_name].&amp;[20260522]"/>
        <member name="[dct_date].[y-m-d].[date_name].&amp;[20260523]"/>
        <member name="[dct_date].[y-m-d].[date_name].&amp;[20260524]"/>
      </members>
    </pivotHierarchy>
    <pivotHierarchy/>
    <pivotHierarchy>
      <mps count="20">
        <mp field="88"/>
        <mp field="89"/>
        <mp field="90"/>
        <mp field="91"/>
        <mp field="92"/>
        <mp field="93"/>
        <mp field="94"/>
        <mp field="95"/>
        <mp field="96"/>
        <mp field="97"/>
        <mp field="98"/>
        <mp field="99"/>
        <mp field="100"/>
        <mp field="101"/>
        <mp field="102"/>
        <mp field="103"/>
        <mp field="104"/>
        <mp field="105"/>
        <mp field="106"/>
        <mp field="107"/>
      </mps>
    </pivotHierarchy>
    <pivotHierarchy/>
    <pivotHierarchy multipleItemSelectionAllowed="1">
      <members count="1" level="1">
        <member name="[dct_db].[Comparability Year1].&amp;[Да]"/>
      </members>
    </pivotHierarchy>
    <pivotHierarchy multipleItemSelectionAllowed="1"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 multipleItemSelectionAllowed="1"/>
    <pivotHierarchy/>
    <pivotHierarchy/>
    <pivotHierarchy/>
    <pivotHierarchy multipleItemSelectionAllowed="1"/>
    <pivotHierarchy/>
    <pivotHierarchy/>
    <pivotHierarchy multipleItemSelectionAllowed="1">
      <mps count="38">
        <mp field="22"/>
        <mp field="23"/>
        <mp field="24"/>
        <mp field="25"/>
        <mp field="26"/>
        <mp field="27"/>
        <mp field="28"/>
        <mp field="29"/>
        <mp field="30"/>
        <mp field="31"/>
        <mp field="32"/>
        <mp field="33"/>
        <mp field="34"/>
        <mp field="35"/>
        <mp field="36"/>
        <mp field="37"/>
        <mp field="38"/>
        <mp field="39"/>
        <mp field="40"/>
        <mp field="41"/>
        <mp field="42"/>
        <mp field="43"/>
        <mp field="44"/>
        <mp field="45"/>
        <mp field="46"/>
        <mp field="56"/>
        <mp field="58"/>
        <mp field="59"/>
        <mp field="60"/>
        <mp field="61"/>
        <mp field="62"/>
        <mp field="78"/>
        <mp field="79"/>
        <mp field="80"/>
        <mp field="81"/>
        <mp field="82"/>
        <mp field="83"/>
        <mp field="109"/>
      </mps>
    </pivotHierarchy>
    <pivotHierarchy multipleItemSelectionAllowed="1">
      <members count="2" level="1">
        <member name="[dct_db].[owner_name].&amp;[7E2EA747-8026-48D9-B423-B27FDA815F64]"/>
        <member name="[dct_db].[owner_name].&amp;[C3DD5718-AC8E-4484-A32A-F4F65B98E819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ps count="1">
        <mp field="53"/>
      </mps>
      <members count="1" level="3">
        <member name="[dct_goods].[g-s-n (rrun)].[sub_group_name].&amp;[03C91C34-9EA6-47DE-B1EA-1260F3BA6CF3].&amp;[МОЛОКО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7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7">
    <rowHierarchyUsage hierarchyUsage="72"/>
    <rowHierarchyUsage hierarchyUsage="98"/>
    <rowHierarchyUsage hierarchyUsage="78"/>
    <rowHierarchyUsage hierarchyUsage="79"/>
    <rowHierarchyUsage hierarchyUsage="80"/>
    <rowHierarchyUsage hierarchyUsage="87"/>
    <rowHierarchyUsage hierarchyUsage="69"/>
  </rowHierarchiesUsage>
  <colHierarchiesUsage count="2">
    <colHierarchyUsage hierarchyUsage="-2"/>
    <colHierarchyUsage hierarchyUsage="16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9" tint="0.79998168889431442"/>
  </sheetPr>
  <dimension ref="A1:AX1323"/>
  <sheetViews>
    <sheetView tabSelected="1" zoomScale="70" zoomScaleNormal="70" workbookViewId="0">
      <selection activeCell="F133" sqref="F133"/>
    </sheetView>
  </sheetViews>
  <sheetFormatPr defaultColWidth="9.140625" defaultRowHeight="15" x14ac:dyDescent="0.25"/>
  <cols>
    <col min="1" max="1" width="30" style="6" customWidth="1"/>
    <col min="2" max="2" width="24.5703125" style="6" customWidth="1"/>
    <col min="3" max="3" width="33.7109375" style="6" customWidth="1"/>
    <col min="4" max="4" width="31" style="6" customWidth="1"/>
    <col min="5" max="5" width="50" style="6" customWidth="1"/>
    <col min="6" max="6" width="78.140625" style="6" bestFit="1" customWidth="1"/>
    <col min="7" max="7" width="15.5703125" style="37" bestFit="1" customWidth="1"/>
    <col min="8" max="9" width="14.85546875" style="23" customWidth="1"/>
    <col min="10" max="10" width="17" style="6" customWidth="1"/>
    <col min="11" max="11" width="3.7109375" style="6" customWidth="1"/>
    <col min="12" max="12" width="10.7109375" style="6" customWidth="1"/>
    <col min="13" max="13" width="9.7109375" style="6" customWidth="1"/>
    <col min="14" max="14" width="11.28515625" style="6" customWidth="1"/>
    <col min="15" max="15" width="3.85546875" style="6" customWidth="1"/>
    <col min="16" max="16" width="16" style="23" customWidth="1"/>
    <col min="17" max="17" width="14.85546875" style="23" customWidth="1"/>
    <col min="18" max="18" width="14.42578125" style="6" customWidth="1"/>
    <col min="19" max="19" width="3.7109375" style="6" customWidth="1"/>
    <col min="20" max="20" width="13.85546875" style="6" bestFit="1" customWidth="1"/>
    <col min="21" max="21" width="13.85546875" style="6" customWidth="1"/>
    <col min="22" max="22" width="16" style="6" customWidth="1"/>
    <col min="23" max="23" width="3.5703125" style="6" customWidth="1"/>
    <col min="24" max="25" width="13.28515625" style="23" customWidth="1"/>
    <col min="26" max="26" width="13.85546875" style="6" customWidth="1"/>
    <col min="27" max="27" width="3.5703125" style="6" customWidth="1"/>
    <col min="28" max="28" width="11.5703125" style="24" customWidth="1"/>
    <col min="29" max="29" width="17" style="24" customWidth="1"/>
    <col min="30" max="30" width="17" style="6" customWidth="1"/>
    <col min="31" max="31" width="3.85546875" style="6" customWidth="1"/>
    <col min="32" max="32" width="14.85546875" style="23" customWidth="1"/>
    <col min="33" max="33" width="17.42578125" style="23" customWidth="1"/>
    <col min="34" max="34" width="12" style="6" customWidth="1"/>
    <col min="35" max="35" width="4.140625" style="6" customWidth="1"/>
    <col min="36" max="37" width="12" style="6" customWidth="1"/>
    <col min="38" max="38" width="11.28515625" style="6" customWidth="1"/>
    <col min="39" max="39" width="4.140625" style="6" customWidth="1"/>
    <col min="40" max="40" width="10.5703125" style="6" customWidth="1"/>
    <col min="41" max="41" width="13.7109375" style="6" customWidth="1"/>
    <col min="42" max="42" width="14" style="6" customWidth="1"/>
    <col min="43" max="43" width="3.42578125" style="6" customWidth="1"/>
    <col min="44" max="44" width="12.5703125" style="6" customWidth="1"/>
    <col min="45" max="45" width="16.85546875" style="6" customWidth="1"/>
    <col min="46" max="46" width="17" style="6" customWidth="1"/>
    <col min="47" max="47" width="3.42578125" style="6" customWidth="1"/>
    <col min="48" max="50" width="8.85546875" customWidth="1"/>
    <col min="51" max="16384" width="9.140625" style="6"/>
  </cols>
  <sheetData>
    <row r="1" spans="1:50" ht="15" customHeight="1" x14ac:dyDescent="0.25">
      <c r="A1" s="34"/>
      <c r="B1" s="34"/>
      <c r="C1" s="34"/>
      <c r="D1" s="34"/>
      <c r="E1" s="34"/>
      <c r="F1" s="34"/>
      <c r="G1" s="35"/>
      <c r="H1" s="44" t="s">
        <v>17</v>
      </c>
      <c r="I1" s="44"/>
      <c r="J1" s="44"/>
      <c r="K1" s="5"/>
      <c r="L1" s="44" t="s">
        <v>21</v>
      </c>
      <c r="M1" s="44"/>
      <c r="N1" s="44"/>
      <c r="O1" s="5"/>
      <c r="P1" s="45" t="s">
        <v>9</v>
      </c>
      <c r="Q1" s="45"/>
      <c r="R1" s="45"/>
      <c r="S1" s="5"/>
      <c r="T1" s="45" t="s">
        <v>25</v>
      </c>
      <c r="U1" s="45"/>
      <c r="V1" s="45"/>
      <c r="W1" s="5"/>
      <c r="X1" s="45" t="s">
        <v>18</v>
      </c>
      <c r="Y1" s="45"/>
      <c r="Z1" s="45"/>
      <c r="AA1" s="5"/>
      <c r="AB1" s="44" t="s">
        <v>19</v>
      </c>
      <c r="AC1" s="44"/>
      <c r="AD1" s="44"/>
      <c r="AE1" s="5"/>
      <c r="AF1" s="43" t="s">
        <v>20</v>
      </c>
      <c r="AG1" s="43"/>
      <c r="AH1" s="43"/>
      <c r="AI1" s="5"/>
      <c r="AJ1" s="44" t="s">
        <v>15</v>
      </c>
      <c r="AK1" s="44"/>
      <c r="AL1" s="44"/>
      <c r="AM1" s="5"/>
      <c r="AN1" s="44" t="s">
        <v>22</v>
      </c>
      <c r="AO1" s="44"/>
      <c r="AP1" s="44"/>
      <c r="AQ1" s="5"/>
      <c r="AR1" s="44" t="s">
        <v>23</v>
      </c>
      <c r="AS1" s="44"/>
      <c r="AT1" s="44"/>
      <c r="AU1" s="5"/>
    </row>
    <row r="2" spans="1:50" x14ac:dyDescent="0.25">
      <c r="A2" s="7" t="s">
        <v>11</v>
      </c>
      <c r="B2" s="7" t="s">
        <v>12</v>
      </c>
      <c r="C2" s="7" t="s">
        <v>13</v>
      </c>
      <c r="D2" s="7" t="s">
        <v>6</v>
      </c>
      <c r="E2" s="7" t="s">
        <v>14</v>
      </c>
      <c r="F2" s="7" t="s">
        <v>8</v>
      </c>
      <c r="G2" s="36" t="s">
        <v>7</v>
      </c>
      <c r="H2" s="40">
        <v>2025</v>
      </c>
      <c r="I2" s="40">
        <v>2026</v>
      </c>
      <c r="J2" s="41" t="s">
        <v>16</v>
      </c>
      <c r="K2" s="8"/>
      <c r="L2" s="42">
        <v>2025</v>
      </c>
      <c r="M2" s="42">
        <v>2026</v>
      </c>
      <c r="N2" s="30" t="s">
        <v>16</v>
      </c>
      <c r="O2" s="8"/>
      <c r="P2" s="42">
        <v>2025</v>
      </c>
      <c r="Q2" s="42">
        <v>2026</v>
      </c>
      <c r="R2" s="30" t="s">
        <v>16</v>
      </c>
      <c r="S2" s="8"/>
      <c r="T2" s="42">
        <v>2025</v>
      </c>
      <c r="U2" s="42">
        <v>2026</v>
      </c>
      <c r="V2" s="30" t="s">
        <v>16</v>
      </c>
      <c r="W2" s="8"/>
      <c r="X2" s="42">
        <v>2025</v>
      </c>
      <c r="Y2" s="42">
        <v>2026</v>
      </c>
      <c r="Z2" s="30" t="s">
        <v>16</v>
      </c>
      <c r="AA2" s="8"/>
      <c r="AB2" s="42">
        <v>2025</v>
      </c>
      <c r="AC2" s="42">
        <v>2026</v>
      </c>
      <c r="AD2" s="30" t="s">
        <v>16</v>
      </c>
      <c r="AE2" s="8"/>
      <c r="AF2" s="42">
        <v>2025</v>
      </c>
      <c r="AG2" s="42">
        <v>2026</v>
      </c>
      <c r="AH2" s="30" t="s">
        <v>16</v>
      </c>
      <c r="AI2" s="8"/>
      <c r="AJ2" s="42">
        <v>2025</v>
      </c>
      <c r="AK2" s="42">
        <v>2026</v>
      </c>
      <c r="AL2" s="30" t="s">
        <v>16</v>
      </c>
      <c r="AM2" s="8"/>
      <c r="AN2" s="42">
        <v>2025</v>
      </c>
      <c r="AO2" s="42">
        <v>2026</v>
      </c>
      <c r="AP2" s="30" t="s">
        <v>16</v>
      </c>
      <c r="AQ2" s="8"/>
      <c r="AR2" s="42">
        <v>2025</v>
      </c>
      <c r="AS2" s="42">
        <v>2026</v>
      </c>
      <c r="AT2" s="30" t="s">
        <v>16</v>
      </c>
      <c r="AU2" s="8"/>
    </row>
    <row r="3" spans="1:50" ht="15" customHeight="1" x14ac:dyDescent="0.25">
      <c r="A3" s="25"/>
      <c r="B3" s="25"/>
      <c r="C3" s="25"/>
      <c r="D3" s="25"/>
      <c r="E3" s="25"/>
      <c r="F3" s="26"/>
      <c r="G3" s="26" t="s">
        <v>10</v>
      </c>
      <c r="H3" s="28">
        <f>VLOOKUP(G3,куб!A:H,8,0)</f>
        <v>478722684.07529914</v>
      </c>
      <c r="I3" s="28">
        <f>VLOOKUP(G3,куб!A:I,9,0)</f>
        <v>469004650.5826</v>
      </c>
      <c r="J3" s="9">
        <f t="shared" ref="J3:J4" si="0">IFERROR((I3-H3)/ABS(H3),"-")</f>
        <v>-2.0299922723466722E-2</v>
      </c>
      <c r="K3" s="10"/>
      <c r="L3" s="11">
        <f t="shared" ref="L3:L4" si="1">H3/$H$3</f>
        <v>1</v>
      </c>
      <c r="M3" s="11">
        <f t="shared" ref="M3:M4" si="2">I3/$I$3</f>
        <v>1</v>
      </c>
      <c r="N3" s="12">
        <f t="shared" ref="N3:N4" si="3">M3-L3</f>
        <v>0</v>
      </c>
      <c r="O3" s="10"/>
      <c r="P3" s="28">
        <f>VLOOKUP(G3,куб!A:J,10,0)</f>
        <v>6305394</v>
      </c>
      <c r="Q3" s="28">
        <f>VLOOKUP(G3,куб!A:K,11,0)</f>
        <v>5889916</v>
      </c>
      <c r="R3" s="13">
        <f t="shared" ref="R3:R4" si="4">IFERROR((Q3-P3)/ABS(P3),"-")</f>
        <v>-6.5892472381583134E-2</v>
      </c>
      <c r="S3" s="14"/>
      <c r="T3" s="28">
        <f>VLOOKUP(G3,куб!A:L,12,0)</f>
        <v>6243057.9497999977</v>
      </c>
      <c r="U3" s="28">
        <f>VLOOKUP(G3,куб!A:M,13,0)</f>
        <v>6076759.4709999971</v>
      </c>
      <c r="V3" s="13">
        <f t="shared" ref="V3:V4" si="5">IFERROR((U3-T3)/ABS(T3),"-")</f>
        <v>-2.6637343452070337E-2</v>
      </c>
      <c r="W3" s="14"/>
      <c r="X3" s="28">
        <f>VLOOKUP(G3,куб!A:N,14,0)</f>
        <v>50601470.336699843</v>
      </c>
      <c r="Y3" s="28">
        <f>VLOOKUP(G3,куб!A:O,15,0)</f>
        <v>53614462.639200151</v>
      </c>
      <c r="Z3" s="13">
        <f t="shared" ref="Z3:Z4" si="6">IFERROR((Y3-X3)/ABS(X3),"-")</f>
        <v>5.9543572201598019E-2</v>
      </c>
      <c r="AA3" s="14"/>
      <c r="AB3" s="29">
        <f>IFERROR(X3/H3,"")</f>
        <v>0.10570100816183728</v>
      </c>
      <c r="AC3" s="29">
        <f>IFERROR(Y3/I3,"")</f>
        <v>0.1143154179230419</v>
      </c>
      <c r="AD3" s="15">
        <f>AC3-AB3</f>
        <v>8.6144097612046167E-3</v>
      </c>
      <c r="AE3" s="14"/>
      <c r="AF3" s="28">
        <f>VLOOKUP($G3,куб!A:R,18,0)</f>
        <v>2569503.4103000006</v>
      </c>
      <c r="AG3" s="28">
        <f>VLOOKUP($G3,куб!A:S,19,0)</f>
        <v>3116733.3760999995</v>
      </c>
      <c r="AH3" s="16">
        <f t="shared" ref="AH3:AH4" si="7">IFERROR((AG3-AF3)/ABS(AF3),"-")</f>
        <v>0.21297109924291072</v>
      </c>
      <c r="AI3" s="14"/>
      <c r="AJ3" s="28">
        <f>VLOOKUP($G3,куб!A:T,20,0)</f>
        <v>39740.666700000002</v>
      </c>
      <c r="AK3" s="28">
        <f>VLOOKUP($G3,куб!A:U,21,0)</f>
        <v>49391</v>
      </c>
      <c r="AL3" s="16">
        <f t="shared" ref="AL3:AL4" si="8">IFERROR((AK3-AJ3)/ABS(AJ3),"-")</f>
        <v>0.24283269762054591</v>
      </c>
      <c r="AM3" s="10"/>
      <c r="AN3" s="11">
        <f t="shared" ref="AN3:AO4" si="9">IFERROR(AF3/H3," ")</f>
        <v>5.3674151983486096E-3</v>
      </c>
      <c r="AO3" s="11">
        <f t="shared" ref="AO3" si="10">IFERROR(AG3/I3," ")</f>
        <v>6.645421046952045E-3</v>
      </c>
      <c r="AP3" s="16">
        <f>IFERROR(AO3-AN3,"-")</f>
        <v>1.2780058486034354E-3</v>
      </c>
      <c r="AQ3" s="10"/>
      <c r="AR3" s="11">
        <f t="shared" ref="AR3:AR4" si="11">IFERROR((X3-AF3)/H3,"-")</f>
        <v>0.10033359296348866</v>
      </c>
      <c r="AS3" s="11">
        <f t="shared" ref="AS3:AS4" si="12">IFERROR((Y3-AG3)/I3,"-")</f>
        <v>0.10766999687608986</v>
      </c>
      <c r="AT3" s="18">
        <f t="shared" ref="AT3:AT4" si="13">IFERROR(AS3-AR3,"-")</f>
        <v>7.3364039126011943E-3</v>
      </c>
      <c r="AU3" s="10"/>
    </row>
    <row r="4" spans="1:50" s="20" customFormat="1" ht="15" customHeight="1" x14ac:dyDescent="0.25">
      <c r="A4" s="31" t="s">
        <v>26</v>
      </c>
      <c r="B4" s="31" t="s">
        <v>32</v>
      </c>
      <c r="C4" t="s">
        <v>33</v>
      </c>
      <c r="D4" s="31" t="s">
        <v>34</v>
      </c>
      <c r="E4" t="s">
        <v>35</v>
      </c>
      <c r="F4" s="31" t="s">
        <v>36</v>
      </c>
      <c r="G4" t="s">
        <v>37</v>
      </c>
      <c r="H4" s="27">
        <f>IF($G4&lt;&gt;0,SUMIF(куб!$G:$G,$G4,куб!H:H),IF($E4&lt;&gt;0,SUMIF(куб!$E:$E,$E4,куб!H:H),IF($D4&lt;&gt;0,SUMIF(куб!$D:$D,$D4,куб!H:H),IF($C4&lt;&gt;0,SUMIF(куб!$C:$C,$C4,куб!H:H),IF($B4&lt;&gt;0,SUMIF(куб!$B:$B,$B4,куб!H:H),IF($G4&lt;&gt;0,SUMIF(куб!$A:$A,$G4,куб!H:H),SUMIF(куб!$A:$A,$G4,куб!H:H)))))))</f>
        <v>651118.42720000073</v>
      </c>
      <c r="I4" s="27">
        <f>IF($G4&lt;&gt;0,SUMIF(куб!$G:$G,$G4,куб!I:I),IF($E4&lt;&gt;0,SUMIF(куб!$E:$E,$E4,куб!I:I),IF($D4&lt;&gt;0,SUMIF(куб!$D:$D,$D4,куб!I:I),IF($C4&lt;&gt;0,SUMIF(куб!$C:$C,$C4,куб!I:I),IF($B4&lt;&gt;0,SUMIF(куб!$B:$B,$B4,куб!I:I),IF($G4&lt;&gt;0,SUMIF(куб!$A:$A,$G4,куб!I:I),SUMIF(куб!$A:$A,$G4,куб!I:I)))))))</f>
        <v>0</v>
      </c>
      <c r="J4" s="19">
        <f t="shared" si="0"/>
        <v>-1</v>
      </c>
      <c r="K4" s="5"/>
      <c r="L4" s="17">
        <f t="shared" si="1"/>
        <v>1.3601160940549563E-3</v>
      </c>
      <c r="M4" s="17">
        <f t="shared" si="2"/>
        <v>0</v>
      </c>
      <c r="N4" s="12">
        <f t="shared" si="3"/>
        <v>-1.3601160940549563E-3</v>
      </c>
      <c r="O4" s="5"/>
      <c r="P4" s="27">
        <f>IF($G4&lt;&gt;0,SUMIF(куб!$G:$G,$G4,куб!J:J),IF($E4&lt;&gt;0,SUMIF(куб!$E:$E,$E4,куб!J:J),IF($D4&lt;&gt;0,SUMIF(куб!$D:$D,$D4,куб!J:J),IF($C4&lt;&gt;0,SUMIF(куб!$C:$C,$C4,куб!J:J),IF($B4&lt;&gt;0,SUMIF(куб!$B:$B,$B4,куб!J:J))))))</f>
        <v>11700</v>
      </c>
      <c r="Q4" s="27">
        <f>IF($G4&lt;&gt;0,SUMIF(куб!$G:$G,$G4,куб!K:K),IF($E4&lt;&gt;0,SUMIF(куб!$E:$E,$E4,куб!K:K),IF($D4&lt;&gt;0,SUMIF(куб!$D:$D,$D4,куб!K:K),IF($C4&lt;&gt;0,SUMIF(куб!$C:$C,$C4,куб!K:K),IF($B4&lt;&gt;0,SUMIF(куб!$B:$B,$B4,куб!K:K))))))</f>
        <v>0</v>
      </c>
      <c r="R4" s="13">
        <f t="shared" si="4"/>
        <v>-1</v>
      </c>
      <c r="S4" s="5"/>
      <c r="T4" s="27">
        <f>IF($G4&lt;&gt;0,SUMIF(куб!$G:$G,$G4,куб!L:L),IF($E4&lt;&gt;0,SUMIF(куб!$E:$E,$E4,куб!L:L),IF($D4&lt;&gt;0,SUMIF(куб!$D:$D,$D4,куб!L:L),IF($C4&lt;&gt;0,SUMIF(куб!$C:$C,$C4,куб!L:L),IF($B4&lt;&gt;0,SUMIF(куб!$B:$B,$B4,куб!L:L))))))</f>
        <v>11700</v>
      </c>
      <c r="U4" s="27">
        <f>IF($G4&lt;&gt;0,SUMIF(куб!$G:$G,$G4,куб!M:M),IF($E4&lt;&gt;0,SUMIF(куб!$E:$E,$E4,куб!M:M),IF($D4&lt;&gt;0,SUMIF(куб!$D:$D,$D4,куб!M:M),IF($C4&lt;&gt;0,SUMIF(куб!$C:$C,$C4,куб!M:M),IF($B4&lt;&gt;0,SUMIF(куб!$B:$B,$B4,куб!M:M))))))</f>
        <v>0</v>
      </c>
      <c r="V4" s="13">
        <f t="shared" si="5"/>
        <v>-1</v>
      </c>
      <c r="W4" s="5"/>
      <c r="X4" s="27">
        <f>IF($G4&lt;&gt;0,SUMIF(куб!$G:$G,$G4,куб!N:N),IF($E4&lt;&gt;0,SUMIF(куб!$E:$E,$E4,куб!N:N),IF($D4&lt;&gt;0,SUMIF(куб!$D:$D,$D4,куб!N:N),IF($C4&lt;&gt;0,SUMIF(куб!$C:$C,$C4,куб!N:N),IF($B4&lt;&gt;0,SUMIF(куб!$B:$B,$B4,куб!N:N))))))</f>
        <v>106648.98810000066</v>
      </c>
      <c r="Y4" s="27">
        <f>IF($G4&lt;&gt;0,SUMIF(куб!$G:$G,$G4,куб!O:O),IF($E4&lt;&gt;0,SUMIF(куб!$E:$E,$E4,куб!O:O),IF($D4&lt;&gt;0,SUMIF(куб!$D:$D,$D4,куб!O:O),IF($C4&lt;&gt;0,SUMIF(куб!$C:$C,$C4,куб!O:O),IF($B4&lt;&gt;0,SUMIF(куб!$B:$B,$B4,куб!O:O))))))</f>
        <v>0</v>
      </c>
      <c r="Z4" s="13">
        <f t="shared" si="6"/>
        <v>-1</v>
      </c>
      <c r="AA4" s="5"/>
      <c r="AB4" s="33">
        <f>IFERROR(X4/H4,"")</f>
        <v>0.16379353377944228</v>
      </c>
      <c r="AC4" s="33" t="str">
        <f>IFERROR(Y4/I4,"")</f>
        <v/>
      </c>
      <c r="AD4" s="15" t="str">
        <f>IFERROR(AC4-AB4," ")</f>
        <v xml:space="preserve"> </v>
      </c>
      <c r="AE4" s="5"/>
      <c r="AF4" s="27">
        <f>IF($G4&lt;&gt;0,SUMIF(куб!$G:$G,$G4,куб!R:R),IF($E4&lt;&gt;0,SUMIF(куб!$E:$E,$E4,куб!R:R),IF($D4&lt;&gt;0,SUMIF(куб!$D:$D,$D4,куб!R:R),IF($C4&lt;&gt;0,SUMIF(куб!$C:$C,$C4,куб!R:R),IF($B4&lt;&gt;0,SUMIF(куб!$B:$B,$B4,куб!R:R))))))</f>
        <v>92408.176200000016</v>
      </c>
      <c r="AG4" s="27">
        <f>IF($G4&lt;&gt;0,SUMIF(куб!$G:$G,$G4,куб!S:S),IF($E4&lt;&gt;0,SUMIF(куб!$E:$E,$E4,куб!S:S),IF($D4&lt;&gt;0,SUMIF(куб!$D:$D,$D4,куб!S:S),IF($C4&lt;&gt;0,SUMIF(куб!$C:$C,$C4,куб!S:S),IF($B4&lt;&gt;0,SUMIF(куб!$B:$B,$B4,куб!S:S))))))</f>
        <v>0</v>
      </c>
      <c r="AH4" s="16">
        <f t="shared" si="7"/>
        <v>-1</v>
      </c>
      <c r="AI4" s="8"/>
      <c r="AJ4" s="27">
        <f>IF($G4&lt;&gt;0,SUMIF(куб!$G:$G,$G4,куб!T:T),IF($E4&lt;&gt;0,SUMIF(куб!$E:$E,$E4,куб!T:T),IF($D4&lt;&gt;0,SUMIF(куб!$D:$D,$D4,куб!T:T),IF($C4&lt;&gt;0,SUMIF(куб!$C:$C,$C4,куб!T:T),IF($B4&lt;&gt;0,SUMIF(куб!$B:$B,$B4,куб!T:T))))))</f>
        <v>1999</v>
      </c>
      <c r="AK4" s="27">
        <f>IF($G4&lt;&gt;0,SUMIF(куб!$G:$G,$G4,куб!U:U),IF($E4&lt;&gt;0,SUMIF(куб!$E:$E,$E4,куб!U:U),IF($D4&lt;&gt;0,SUMIF(куб!$D:$D,$D4,куб!U:U),IF($C4&lt;&gt;0,SUMIF(куб!$C:$C,$C4,куб!U:U),IF($B4&lt;&gt;0,SUMIF(куб!$B:$B,$B4,куб!U:U))))))</f>
        <v>0</v>
      </c>
      <c r="AL4" s="16">
        <f t="shared" si="8"/>
        <v>-1</v>
      </c>
      <c r="AM4" s="8"/>
      <c r="AN4" s="17">
        <f t="shared" si="9"/>
        <v>0.14192222541970151</v>
      </c>
      <c r="AO4" s="17" t="str">
        <f t="shared" si="9"/>
        <v xml:space="preserve"> </v>
      </c>
      <c r="AP4" s="16" t="str">
        <f t="shared" ref="AP4" si="14">IFERROR(AO4-AN4,"-")</f>
        <v>-</v>
      </c>
      <c r="AQ4" s="8"/>
      <c r="AR4" s="17">
        <f t="shared" si="11"/>
        <v>2.1871308359740774E-2</v>
      </c>
      <c r="AS4" s="17" t="str">
        <f t="shared" si="12"/>
        <v>-</v>
      </c>
      <c r="AT4" s="13" t="str">
        <f t="shared" si="13"/>
        <v>-</v>
      </c>
      <c r="AU4" s="8"/>
    </row>
    <row r="5" spans="1:50" s="20" customFormat="1" ht="15" customHeight="1" x14ac:dyDescent="0.25">
      <c r="A5" s="31" t="s">
        <v>26</v>
      </c>
      <c r="B5" s="31" t="s">
        <v>32</v>
      </c>
      <c r="C5" t="s">
        <v>33</v>
      </c>
      <c r="D5" s="31" t="s">
        <v>34</v>
      </c>
      <c r="E5" t="s">
        <v>35</v>
      </c>
      <c r="F5" s="31" t="s">
        <v>38</v>
      </c>
      <c r="G5" t="s">
        <v>39</v>
      </c>
      <c r="H5" s="27">
        <f>IF($G5&lt;&gt;0,SUMIF(куб!$G:$G,$G5,куб!H:H),IF($E5&lt;&gt;0,SUMIF(куб!$E:$E,$E5,куб!H:H),IF($D5&lt;&gt;0,SUMIF(куб!$D:$D,$D5,куб!H:H),IF($C5&lt;&gt;0,SUMIF(куб!$C:$C,$C5,куб!H:H),IF($B5&lt;&gt;0,SUMIF(куб!$B:$B,$B5,куб!H:H),IF($G5&lt;&gt;0,SUMIF(куб!$A:$A,$G5,куб!H:H),SUMIF(куб!$A:$A,$G5,куб!H:H)))))))</f>
        <v>464339.77830000059</v>
      </c>
      <c r="I5" s="27">
        <f>IF($G5&lt;&gt;0,SUMIF(куб!$G:$G,$G5,куб!I:I),IF($E5&lt;&gt;0,SUMIF(куб!$E:$E,$E5,куб!I:I),IF($D5&lt;&gt;0,SUMIF(куб!$D:$D,$D5,куб!I:I),IF($C5&lt;&gt;0,SUMIF(куб!$C:$C,$C5,куб!I:I),IF($B5&lt;&gt;0,SUMIF(куб!$B:$B,$B5,куб!I:I),IF($G5&lt;&gt;0,SUMIF(куб!$A:$A,$G5,куб!I:I),SUMIF(куб!$A:$A,$G5,куб!I:I)))))))</f>
        <v>0</v>
      </c>
      <c r="J5" s="19">
        <f>IFERROR((I5-H5)/ABS(H5),"-")</f>
        <v>-1</v>
      </c>
      <c r="K5" s="5"/>
      <c r="L5" s="17">
        <f t="shared" ref="L5:L68" si="15">H5/$H$3</f>
        <v>9.699556627380618E-4</v>
      </c>
      <c r="M5" s="17">
        <f t="shared" ref="M5:M68" si="16">I5/$I$3</f>
        <v>0</v>
      </c>
      <c r="N5" s="12">
        <f t="shared" ref="N5:N68" si="17">M5-L5</f>
        <v>-9.699556627380618E-4</v>
      </c>
      <c r="O5" s="5"/>
      <c r="P5" s="27">
        <f>IF($G5&lt;&gt;0,SUMIF(куб!$G:$G,$G5,куб!J:J),IF($E5&lt;&gt;0,SUMIF(куб!$E:$E,$E5,куб!J:J),IF($D5&lt;&gt;0,SUMIF(куб!$D:$D,$D5,куб!J:J),IF($C5&lt;&gt;0,SUMIF(куб!$C:$C,$C5,куб!J:J),IF($B5&lt;&gt;0,SUMIF(куб!$B:$B,$B5,куб!J:J))))))</f>
        <v>8760</v>
      </c>
      <c r="Q5" s="27">
        <f>IF($G5&lt;&gt;0,SUMIF(куб!$G:$G,$G5,куб!K:K),IF($E5&lt;&gt;0,SUMIF(куб!$E:$E,$E5,куб!K:K),IF($D5&lt;&gt;0,SUMIF(куб!$D:$D,$D5,куб!K:K),IF($C5&lt;&gt;0,SUMIF(куб!$C:$C,$C5,куб!K:K),IF($B5&lt;&gt;0,SUMIF(куб!$B:$B,$B5,куб!K:K))))))</f>
        <v>0</v>
      </c>
      <c r="R5" s="13">
        <f t="shared" ref="R5:R68" si="18">IFERROR((Q5-P5)/ABS(P5),"-")</f>
        <v>-1</v>
      </c>
      <c r="S5" s="5"/>
      <c r="T5" s="27">
        <f>IF($G5&lt;&gt;0,SUMIF(куб!$G:$G,$G5,куб!L:L),IF($E5&lt;&gt;0,SUMIF(куб!$E:$E,$E5,куб!L:L),IF($D5&lt;&gt;0,SUMIF(куб!$D:$D,$D5,куб!L:L),IF($C5&lt;&gt;0,SUMIF(куб!$C:$C,$C5,куб!L:L),IF($B5&lt;&gt;0,SUMIF(куб!$B:$B,$B5,куб!L:L))))))</f>
        <v>6745.1999999999898</v>
      </c>
      <c r="U5" s="27">
        <f>IF($G5&lt;&gt;0,SUMIF(куб!$G:$G,$G5,куб!M:M),IF($E5&lt;&gt;0,SUMIF(куб!$E:$E,$E5,куб!M:M),IF($D5&lt;&gt;0,SUMIF(куб!$D:$D,$D5,куб!M:M),IF($C5&lt;&gt;0,SUMIF(куб!$C:$C,$C5,куб!M:M),IF($B5&lt;&gt;0,SUMIF(куб!$B:$B,$B5,куб!M:M))))))</f>
        <v>0</v>
      </c>
      <c r="V5" s="13">
        <f t="shared" ref="V5:V68" si="19">IFERROR((U5-T5)/ABS(T5),"-")</f>
        <v>-1</v>
      </c>
      <c r="W5" s="5"/>
      <c r="X5" s="27">
        <f>IF($G5&lt;&gt;0,SUMIF(куб!$G:$G,$G5,куб!N:N),IF($E5&lt;&gt;0,SUMIF(куб!$E:$E,$E5,куб!N:N),IF($D5&lt;&gt;0,SUMIF(куб!$D:$D,$D5,куб!N:N),IF($C5&lt;&gt;0,SUMIF(куб!$C:$C,$C5,куб!N:N),IF($B5&lt;&gt;0,SUMIF(куб!$B:$B,$B5,куб!N:N))))))</f>
        <v>39321.253100000729</v>
      </c>
      <c r="Y5" s="27">
        <f>IF($G5&lt;&gt;0,SUMIF(куб!$G:$G,$G5,куб!O:O),IF($E5&lt;&gt;0,SUMIF(куб!$E:$E,$E5,куб!O:O),IF($D5&lt;&gt;0,SUMIF(куб!$D:$D,$D5,куб!O:O),IF($C5&lt;&gt;0,SUMIF(куб!$C:$C,$C5,куб!O:O),IF($B5&lt;&gt;0,SUMIF(куб!$B:$B,$B5,куб!O:O))))))</f>
        <v>0</v>
      </c>
      <c r="Z5" s="13">
        <f t="shared" ref="Z5:Z68" si="20">IFERROR((Y5-X5)/ABS(X5),"-")</f>
        <v>-1</v>
      </c>
      <c r="AA5" s="5"/>
      <c r="AB5" s="33">
        <f t="shared" ref="AB5:AB68" si="21">IFERROR(X5/H5,"")</f>
        <v>8.4682068902130675E-2</v>
      </c>
      <c r="AC5" s="33" t="str">
        <f t="shared" ref="AC5:AC68" si="22">IFERROR(Y5/I5,"")</f>
        <v/>
      </c>
      <c r="AD5" s="15" t="str">
        <f t="shared" ref="AD5:AD68" si="23">IFERROR(AC5-AB5," ")</f>
        <v xml:space="preserve"> </v>
      </c>
      <c r="AE5" s="5"/>
      <c r="AF5" s="27">
        <f>IF($G5&lt;&gt;0,SUMIF(куб!$G:$G,$G5,куб!R:R),IF($E5&lt;&gt;0,SUMIF(куб!$E:$E,$E5,куб!R:R),IF($D5&lt;&gt;0,SUMIF(куб!$D:$D,$D5,куб!R:R),IF($C5&lt;&gt;0,SUMIF(куб!$C:$C,$C5,куб!R:R),IF($B5&lt;&gt;0,SUMIF(куб!$B:$B,$B5,куб!R:R))))))</f>
        <v>9688.8680999999997</v>
      </c>
      <c r="AG5" s="27">
        <f>IF($G5&lt;&gt;0,SUMIF(куб!$G:$G,$G5,куб!S:S),IF($E5&lt;&gt;0,SUMIF(куб!$E:$E,$E5,куб!S:S),IF($D5&lt;&gt;0,SUMIF(куб!$D:$D,$D5,куб!S:S),IF($C5&lt;&gt;0,SUMIF(куб!$C:$C,$C5,куб!S:S),IF($B5&lt;&gt;0,SUMIF(куб!$B:$B,$B5,куб!S:S))))))</f>
        <v>0</v>
      </c>
      <c r="AH5" s="16">
        <f t="shared" ref="AH5:AH68" si="24">IFERROR((AG5-AF5)/ABS(AF5),"-")</f>
        <v>-1</v>
      </c>
      <c r="AI5" s="8"/>
      <c r="AJ5" s="27">
        <f>IF($G5&lt;&gt;0,SUMIF(куб!$G:$G,$G5,куб!T:T),IF($E5&lt;&gt;0,SUMIF(куб!$E:$E,$E5,куб!T:T),IF($D5&lt;&gt;0,SUMIF(куб!$D:$D,$D5,куб!T:T),IF($C5&lt;&gt;0,SUMIF(куб!$C:$C,$C5,куб!T:T),IF($B5&lt;&gt;0,SUMIF(куб!$B:$B,$B5,куб!T:T))))))</f>
        <v>204</v>
      </c>
      <c r="AK5" s="27">
        <f>IF($G5&lt;&gt;0,SUMIF(куб!$G:$G,$G5,куб!U:U),IF($E5&lt;&gt;0,SUMIF(куб!$E:$E,$E5,куб!U:U),IF($D5&lt;&gt;0,SUMIF(куб!$D:$D,$D5,куб!U:U),IF($C5&lt;&gt;0,SUMIF(куб!$C:$C,$C5,куб!U:U),IF($B5&lt;&gt;0,SUMIF(куб!$B:$B,$B5,куб!U:U))))))</f>
        <v>0</v>
      </c>
      <c r="AL5" s="16">
        <f t="shared" ref="AL5:AL68" si="25">IFERROR((AK5-AJ5)/ABS(AJ5),"-")</f>
        <v>-1</v>
      </c>
      <c r="AM5" s="8"/>
      <c r="AN5" s="17">
        <f t="shared" ref="AN5:AN68" si="26">IFERROR(AF5/H5," ")</f>
        <v>2.0865901550524101E-2</v>
      </c>
      <c r="AO5" s="17" t="str">
        <f t="shared" ref="AO5:AO68" si="27">IFERROR(AG5/I5," ")</f>
        <v xml:space="preserve"> </v>
      </c>
      <c r="AP5" s="16" t="str">
        <f t="shared" ref="AP5:AP68" si="28">IFERROR(AO5-AN5,"-")</f>
        <v>-</v>
      </c>
      <c r="AQ5" s="8"/>
      <c r="AR5" s="17">
        <f t="shared" ref="AR5:AR68" si="29">IFERROR((X5-AF5)/H5,"-")</f>
        <v>6.381616735160657E-2</v>
      </c>
      <c r="AS5" s="17" t="str">
        <f t="shared" ref="AS5:AS68" si="30">IFERROR((Y5-AG5)/I5,"-")</f>
        <v>-</v>
      </c>
      <c r="AT5" s="13" t="str">
        <f t="shared" ref="AT5:AT68" si="31">IFERROR(AS5-AR5,"-")</f>
        <v>-</v>
      </c>
      <c r="AU5" s="8"/>
    </row>
    <row r="6" spans="1:50" s="21" customFormat="1" ht="15" customHeight="1" x14ac:dyDescent="0.25">
      <c r="A6" s="31" t="s">
        <v>26</v>
      </c>
      <c r="B6" s="31" t="s">
        <v>32</v>
      </c>
      <c r="C6" t="s">
        <v>33</v>
      </c>
      <c r="D6" s="31" t="s">
        <v>34</v>
      </c>
      <c r="E6" t="s">
        <v>35</v>
      </c>
      <c r="F6" s="31" t="s">
        <v>40</v>
      </c>
      <c r="G6" t="s">
        <v>41</v>
      </c>
      <c r="H6" s="27">
        <f>IF($G6&lt;&gt;0,SUMIF(куб!$G:$G,$G6,куб!H:H),IF($E6&lt;&gt;0,SUMIF(куб!$E:$E,$E6,куб!H:H),IF($D6&lt;&gt;0,SUMIF(куб!$D:$D,$D6,куб!H:H),IF($C6&lt;&gt;0,SUMIF(куб!$C:$C,$C6,куб!H:H),IF($B6&lt;&gt;0,SUMIF(куб!$B:$B,$B6,куб!H:H),IF($G6&lt;&gt;0,SUMIF(куб!$A:$A,$G6,куб!H:H),SUMIF(куб!$A:$A,$G6,куб!H:H)))))))</f>
        <v>87171.299800000008</v>
      </c>
      <c r="I6" s="27">
        <f>IF($G6&lt;&gt;0,SUMIF(куб!$G:$G,$G6,куб!I:I),IF($E6&lt;&gt;0,SUMIF(куб!$E:$E,$E6,куб!I:I),IF($D6&lt;&gt;0,SUMIF(куб!$D:$D,$D6,куб!I:I),IF($C6&lt;&gt;0,SUMIF(куб!$C:$C,$C6,куб!I:I),IF($B6&lt;&gt;0,SUMIF(куб!$B:$B,$B6,куб!I:I),IF($G6&lt;&gt;0,SUMIF(куб!$A:$A,$G6,куб!I:I),SUMIF(куб!$A:$A,$G6,куб!I:I)))))))</f>
        <v>127422.58900000004</v>
      </c>
      <c r="J6" s="19">
        <f t="shared" ref="J6:J10" si="32">IFERROR((I6-H6)/ABS(H6),"-")</f>
        <v>0.46174932910659688</v>
      </c>
      <c r="K6" s="8"/>
      <c r="L6" s="17">
        <f t="shared" si="15"/>
        <v>1.8209143351621224E-4</v>
      </c>
      <c r="M6" s="17">
        <f t="shared" si="16"/>
        <v>2.7168726118539558E-4</v>
      </c>
      <c r="N6" s="12">
        <f t="shared" si="17"/>
        <v>8.9595827669183337E-5</v>
      </c>
      <c r="O6" s="5"/>
      <c r="P6" s="27">
        <f>IF($G6&lt;&gt;0,SUMIF(куб!$G:$G,$G6,куб!J:J),IF($E6&lt;&gt;0,SUMIF(куб!$E:$E,$E6,куб!J:J),IF($D6&lt;&gt;0,SUMIF(куб!$D:$D,$D6,куб!J:J),IF($C6&lt;&gt;0,SUMIF(куб!$C:$C,$C6,куб!J:J),IF($B6&lt;&gt;0,SUMIF(куб!$B:$B,$B6,куб!J:J))))))</f>
        <v>980</v>
      </c>
      <c r="Q6" s="27">
        <f>IF($G6&lt;&gt;0,SUMIF(куб!$G:$G,$G6,куб!K:K),IF($E6&lt;&gt;0,SUMIF(куб!$E:$E,$E6,куб!K:K),IF($D6&lt;&gt;0,SUMIF(куб!$D:$D,$D6,куб!K:K),IF($C6&lt;&gt;0,SUMIF(куб!$C:$C,$C6,куб!K:K),IF($B6&lt;&gt;0,SUMIF(куб!$B:$B,$B6,куб!K:K))))))</f>
        <v>1331</v>
      </c>
      <c r="R6" s="13">
        <f t="shared" si="18"/>
        <v>0.35816326530612247</v>
      </c>
      <c r="S6" s="5"/>
      <c r="T6" s="27">
        <f>IF($G6&lt;&gt;0,SUMIF(куб!$G:$G,$G6,куб!L:L),IF($E6&lt;&gt;0,SUMIF(куб!$E:$E,$E6,куб!L:L),IF($D6&lt;&gt;0,SUMIF(куб!$D:$D,$D6,куб!L:L),IF($C6&lt;&gt;0,SUMIF(куб!$C:$C,$C6,куб!L:L),IF($B6&lt;&gt;0,SUMIF(куб!$B:$B,$B6,куб!L:L))))))</f>
        <v>882.00000000000023</v>
      </c>
      <c r="U6" s="27">
        <f>IF($G6&lt;&gt;0,SUMIF(куб!$G:$G,$G6,куб!M:M),IF($E6&lt;&gt;0,SUMIF(куб!$E:$E,$E6,куб!M:M),IF($D6&lt;&gt;0,SUMIF(куб!$D:$D,$D6,куб!M:M),IF($C6&lt;&gt;0,SUMIF(куб!$C:$C,$C6,куб!M:M),IF($B6&lt;&gt;0,SUMIF(куб!$B:$B,$B6,куб!M:M))))))</f>
        <v>1197.9000000000001</v>
      </c>
      <c r="V6" s="13">
        <f t="shared" si="19"/>
        <v>0.35816326530612219</v>
      </c>
      <c r="W6" s="5"/>
      <c r="X6" s="27">
        <f>IF($G6&lt;&gt;0,SUMIF(куб!$G:$G,$G6,куб!N:N),IF($E6&lt;&gt;0,SUMIF(куб!$E:$E,$E6,куб!N:N),IF($D6&lt;&gt;0,SUMIF(куб!$D:$D,$D6,куб!N:N),IF($C6&lt;&gt;0,SUMIF(куб!$C:$C,$C6,куб!N:N),IF($B6&lt;&gt;0,SUMIF(куб!$B:$B,$B6,куб!N:N))))))</f>
        <v>7793.5365000000311</v>
      </c>
      <c r="Y6" s="27">
        <f>IF($G6&lt;&gt;0,SUMIF(куб!$G:$G,$G6,куб!O:O),IF($E6&lt;&gt;0,SUMIF(куб!$E:$E,$E6,куб!O:O),IF($D6&lt;&gt;0,SUMIF(куб!$D:$D,$D6,куб!O:O),IF($C6&lt;&gt;0,SUMIF(куб!$C:$C,$C6,куб!O:O),IF($B6&lt;&gt;0,SUMIF(куб!$B:$B,$B6,куб!O:O))))))</f>
        <v>12871.911499999973</v>
      </c>
      <c r="Z6" s="13">
        <f t="shared" si="20"/>
        <v>0.65161368013095489</v>
      </c>
      <c r="AA6" s="5"/>
      <c r="AB6" s="33">
        <f t="shared" si="21"/>
        <v>8.9404844460057378E-2</v>
      </c>
      <c r="AC6" s="33">
        <f t="shared" si="22"/>
        <v>0.10101750090794318</v>
      </c>
      <c r="AD6" s="15">
        <f t="shared" si="23"/>
        <v>1.1612656447885797E-2</v>
      </c>
      <c r="AE6" s="5"/>
      <c r="AF6" s="27">
        <f>IF($G6&lt;&gt;0,SUMIF(куб!$G:$G,$G6,куб!R:R),IF($E6&lt;&gt;0,SUMIF(куб!$E:$E,$E6,куб!R:R),IF($D6&lt;&gt;0,SUMIF(куб!$D:$D,$D6,куб!R:R),IF($C6&lt;&gt;0,SUMIF(куб!$C:$C,$C6,куб!R:R),IF($B6&lt;&gt;0,SUMIF(куб!$B:$B,$B6,куб!R:R))))))</f>
        <v>1589.7538999999999</v>
      </c>
      <c r="AG6" s="27">
        <f>IF($G6&lt;&gt;0,SUMIF(куб!$G:$G,$G6,куб!S:S),IF($E6&lt;&gt;0,SUMIF(куб!$E:$E,$E6,куб!S:S),IF($D6&lt;&gt;0,SUMIF(куб!$D:$D,$D6,куб!S:S),IF($C6&lt;&gt;0,SUMIF(куб!$C:$C,$C6,куб!S:S),IF($B6&lt;&gt;0,SUMIF(куб!$B:$B,$B6,куб!S:S))))))</f>
        <v>5680.1983999999993</v>
      </c>
      <c r="AH6" s="16">
        <f t="shared" si="24"/>
        <v>2.5730048531411054</v>
      </c>
      <c r="AI6" s="8"/>
      <c r="AJ6" s="27">
        <f>IF($G6&lt;&gt;0,SUMIF(куб!$G:$G,$G6,куб!T:T),IF($E6&lt;&gt;0,SUMIF(куб!$E:$E,$E6,куб!T:T),IF($D6&lt;&gt;0,SUMIF(куб!$D:$D,$D6,куб!T:T),IF($C6&lt;&gt;0,SUMIF(куб!$C:$C,$C6,куб!T:T),IF($B6&lt;&gt;0,SUMIF(куб!$B:$B,$B6,куб!T:T))))))</f>
        <v>20</v>
      </c>
      <c r="AK6" s="27">
        <f>IF($G6&lt;&gt;0,SUMIF(куб!$G:$G,$G6,куб!U:U),IF($E6&lt;&gt;0,SUMIF(куб!$E:$E,$E6,куб!U:U),IF($D6&lt;&gt;0,SUMIF(куб!$D:$D,$D6,куб!U:U),IF($C6&lt;&gt;0,SUMIF(куб!$C:$C,$C6,куб!U:U),IF($B6&lt;&gt;0,SUMIF(куб!$B:$B,$B6,куб!U:U))))))</f>
        <v>66</v>
      </c>
      <c r="AL6" s="16">
        <f t="shared" si="25"/>
        <v>2.2999999999999998</v>
      </c>
      <c r="AM6" s="8"/>
      <c r="AN6" s="17">
        <f t="shared" si="26"/>
        <v>1.8237125104792803E-2</v>
      </c>
      <c r="AO6" s="17">
        <f t="shared" si="27"/>
        <v>4.4577640782357653E-2</v>
      </c>
      <c r="AP6" s="16">
        <f t="shared" si="28"/>
        <v>2.634051567756485E-2</v>
      </c>
      <c r="AQ6" s="8"/>
      <c r="AR6" s="17">
        <f t="shared" si="29"/>
        <v>7.1167719355264572E-2</v>
      </c>
      <c r="AS6" s="17">
        <f t="shared" si="30"/>
        <v>5.6439860125585516E-2</v>
      </c>
      <c r="AT6" s="13">
        <f t="shared" si="31"/>
        <v>-1.4727859229679056E-2</v>
      </c>
      <c r="AU6" s="8"/>
      <c r="AV6"/>
      <c r="AW6"/>
      <c r="AX6"/>
    </row>
    <row r="7" spans="1:50" ht="15" customHeight="1" x14ac:dyDescent="0.25">
      <c r="A7" s="31" t="s">
        <v>26</v>
      </c>
      <c r="B7" s="31" t="s">
        <v>32</v>
      </c>
      <c r="C7" t="s">
        <v>33</v>
      </c>
      <c r="D7" s="31" t="s">
        <v>34</v>
      </c>
      <c r="E7" t="s">
        <v>35</v>
      </c>
      <c r="F7" s="31" t="s">
        <v>40</v>
      </c>
      <c r="G7" t="s">
        <v>42</v>
      </c>
      <c r="H7" s="27">
        <f>IF($G7&lt;&gt;0,SUMIF(куб!$G:$G,$G7,куб!H:H),IF($E7&lt;&gt;0,SUMIF(куб!$E:$E,$E7,куб!H:H),IF($D7&lt;&gt;0,SUMIF(куб!$D:$D,$D7,куб!H:H),IF($C7&lt;&gt;0,SUMIF(куб!$C:$C,$C7,куб!H:H),IF($B7&lt;&gt;0,SUMIF(куб!$B:$B,$B7,куб!H:H),IF($G7&lt;&gt;0,SUMIF(куб!$A:$A,$G7,куб!H:H),SUMIF(куб!$A:$A,$G7,куб!H:H)))))))</f>
        <v>3160914.9930999991</v>
      </c>
      <c r="I7" s="27">
        <f>IF($G7&lt;&gt;0,SUMIF(куб!$G:$G,$G7,куб!I:I),IF($E7&lt;&gt;0,SUMIF(куб!$E:$E,$E7,куб!I:I),IF($D7&lt;&gt;0,SUMIF(куб!$D:$D,$D7,куб!I:I),IF($C7&lt;&gt;0,SUMIF(куб!$C:$C,$C7,куб!I:I),IF($B7&lt;&gt;0,SUMIF(куб!$B:$B,$B7,куб!I:I),IF($G7&lt;&gt;0,SUMIF(куб!$A:$A,$G7,куб!I:I),SUMIF(куб!$A:$A,$G7,куб!I:I)))))))</f>
        <v>3912634.6828000001</v>
      </c>
      <c r="J7" s="19">
        <f t="shared" si="32"/>
        <v>0.23781711667062835</v>
      </c>
      <c r="K7" s="10"/>
      <c r="L7" s="17">
        <f t="shared" si="15"/>
        <v>6.6028101409182716E-3</v>
      </c>
      <c r="M7" s="17">
        <f t="shared" si="16"/>
        <v>8.3424219310825696E-3</v>
      </c>
      <c r="N7" s="12">
        <f t="shared" si="17"/>
        <v>1.739611790164298E-3</v>
      </c>
      <c r="O7" s="5"/>
      <c r="P7" s="27">
        <f>IF($G7&lt;&gt;0,SUMIF(куб!$G:$G,$G7,куб!J:J),IF($E7&lt;&gt;0,SUMIF(куб!$E:$E,$E7,куб!J:J),IF($D7&lt;&gt;0,SUMIF(куб!$D:$D,$D7,куб!J:J),IF($C7&lt;&gt;0,SUMIF(куб!$C:$C,$C7,куб!J:J),IF($B7&lt;&gt;0,SUMIF(куб!$B:$B,$B7,куб!J:J))))))</f>
        <v>50950</v>
      </c>
      <c r="Q7" s="27">
        <f>IF($G7&lt;&gt;0,SUMIF(куб!$G:$G,$G7,куб!K:K),IF($E7&lt;&gt;0,SUMIF(куб!$E:$E,$E7,куб!K:K),IF($D7&lt;&gt;0,SUMIF(куб!$D:$D,$D7,куб!K:K),IF($C7&lt;&gt;0,SUMIF(куб!$C:$C,$C7,куб!K:K),IF($B7&lt;&gt;0,SUMIF(куб!$B:$B,$B7,куб!K:K))))))</f>
        <v>58641</v>
      </c>
      <c r="R7" s="13">
        <f t="shared" si="18"/>
        <v>0.15095191364082433</v>
      </c>
      <c r="S7" s="5"/>
      <c r="T7" s="27">
        <f>IF($G7&lt;&gt;0,SUMIF(куб!$G:$G,$G7,куб!L:L),IF($E7&lt;&gt;0,SUMIF(куб!$E:$E,$E7,куб!L:L),IF($D7&lt;&gt;0,SUMIF(куб!$D:$D,$D7,куб!L:L),IF($C7&lt;&gt;0,SUMIF(куб!$C:$C,$C7,куб!L:L),IF($B7&lt;&gt;0,SUMIF(куб!$B:$B,$B7,куб!L:L))))))</f>
        <v>45855.000000000015</v>
      </c>
      <c r="U7" s="27">
        <f>IF($G7&lt;&gt;0,SUMIF(куб!$G:$G,$G7,куб!M:M),IF($E7&lt;&gt;0,SUMIF(куб!$E:$E,$E7,куб!M:M),IF($D7&lt;&gt;0,SUMIF(куб!$D:$D,$D7,куб!M:M),IF($C7&lt;&gt;0,SUMIF(куб!$C:$C,$C7,куб!M:M),IF($B7&lt;&gt;0,SUMIF(куб!$B:$B,$B7,куб!M:M))))))</f>
        <v>52776.900000000009</v>
      </c>
      <c r="V7" s="13">
        <f t="shared" si="19"/>
        <v>0.15095191364082416</v>
      </c>
      <c r="W7" s="5"/>
      <c r="X7" s="27">
        <f>IF($G7&lt;&gt;0,SUMIF(куб!$G:$G,$G7,куб!N:N),IF($E7&lt;&gt;0,SUMIF(куб!$E:$E,$E7,куб!N:N),IF($D7&lt;&gt;0,SUMIF(куб!$D:$D,$D7,куб!N:N),IF($C7&lt;&gt;0,SUMIF(куб!$C:$C,$C7,куб!N:N),IF($B7&lt;&gt;0,SUMIF(куб!$B:$B,$B7,куб!N:N))))))</f>
        <v>302008.80619999906</v>
      </c>
      <c r="Y7" s="27">
        <f>IF($G7&lt;&gt;0,SUMIF(куб!$G:$G,$G7,куб!O:O),IF($E7&lt;&gt;0,SUMIF(куб!$E:$E,$E7,куб!O:O),IF($D7&lt;&gt;0,SUMIF(куб!$D:$D,$D7,куб!O:O),IF($C7&lt;&gt;0,SUMIF(куб!$C:$C,$C7,куб!O:O),IF($B7&lt;&gt;0,SUMIF(куб!$B:$B,$B7,куб!O:O))))))</f>
        <v>456779.68029999966</v>
      </c>
      <c r="Z7" s="13">
        <f t="shared" si="20"/>
        <v>0.51247139461723779</v>
      </c>
      <c r="AA7" s="5"/>
      <c r="AB7" s="33">
        <f t="shared" si="21"/>
        <v>9.5544741588830404E-2</v>
      </c>
      <c r="AC7" s="33">
        <f t="shared" si="22"/>
        <v>0.11674478128714902</v>
      </c>
      <c r="AD7" s="15">
        <f t="shared" si="23"/>
        <v>2.1200039698318615E-2</v>
      </c>
      <c r="AE7" s="5"/>
      <c r="AF7" s="27">
        <f>IF($G7&lt;&gt;0,SUMIF(куб!$G:$G,$G7,куб!R:R),IF($E7&lt;&gt;0,SUMIF(куб!$E:$E,$E7,куб!R:R),IF($D7&lt;&gt;0,SUMIF(куб!$D:$D,$D7,куб!R:R),IF($C7&lt;&gt;0,SUMIF(куб!$C:$C,$C7,куб!R:R),IF($B7&lt;&gt;0,SUMIF(куб!$B:$B,$B7,куб!R:R))))))</f>
        <v>14502.530799999999</v>
      </c>
      <c r="AG7" s="27">
        <f>IF($G7&lt;&gt;0,SUMIF(куб!$G:$G,$G7,куб!S:S),IF($E7&lt;&gt;0,SUMIF(куб!$E:$E,$E7,куб!S:S),IF($D7&lt;&gt;0,SUMIF(куб!$D:$D,$D7,куб!S:S),IF($C7&lt;&gt;0,SUMIF(куб!$C:$C,$C7,куб!S:S),IF($B7&lt;&gt;0,SUMIF(куб!$B:$B,$B7,куб!S:S))))))</f>
        <v>14171.293699999998</v>
      </c>
      <c r="AH7" s="16">
        <f t="shared" si="24"/>
        <v>-2.2839951493155961E-2</v>
      </c>
      <c r="AI7" s="8"/>
      <c r="AJ7" s="27">
        <f>IF($G7&lt;&gt;0,SUMIF(куб!$G:$G,$G7,куб!T:T),IF($E7&lt;&gt;0,SUMIF(куб!$E:$E,$E7,куб!T:T),IF($D7&lt;&gt;0,SUMIF(куб!$D:$D,$D7,куб!T:T),IF($C7&lt;&gt;0,SUMIF(куб!$C:$C,$C7,куб!T:T),IF($B7&lt;&gt;0,SUMIF(куб!$B:$B,$B7,куб!T:T))))))</f>
        <v>262</v>
      </c>
      <c r="AK7" s="27">
        <f>IF($G7&lt;&gt;0,SUMIF(куб!$G:$G,$G7,куб!U:U),IF($E7&lt;&gt;0,SUMIF(куб!$E:$E,$E7,куб!U:U),IF($D7&lt;&gt;0,SUMIF(куб!$D:$D,$D7,куб!U:U),IF($C7&lt;&gt;0,SUMIF(куб!$C:$C,$C7,куб!U:U),IF($B7&lt;&gt;0,SUMIF(куб!$B:$B,$B7,куб!U:U))))))</f>
        <v>242</v>
      </c>
      <c r="AL7" s="16">
        <f t="shared" si="25"/>
        <v>-7.6335877862595422E-2</v>
      </c>
      <c r="AM7" s="8"/>
      <c r="AN7" s="17">
        <f t="shared" si="26"/>
        <v>4.5880799805302431E-3</v>
      </c>
      <c r="AO7" s="17">
        <f t="shared" si="27"/>
        <v>3.6219312174216559E-3</v>
      </c>
      <c r="AP7" s="16">
        <f t="shared" si="28"/>
        <v>-9.6614876310858718E-4</v>
      </c>
      <c r="AQ7" s="8"/>
      <c r="AR7" s="17">
        <f t="shared" si="29"/>
        <v>9.0956661608300154E-2</v>
      </c>
      <c r="AS7" s="17">
        <f t="shared" si="30"/>
        <v>0.11312285006972736</v>
      </c>
      <c r="AT7" s="13">
        <f t="shared" si="31"/>
        <v>2.2166188461427205E-2</v>
      </c>
      <c r="AU7" s="8"/>
    </row>
    <row r="8" spans="1:50" ht="15" customHeight="1" x14ac:dyDescent="0.25">
      <c r="A8" s="31" t="s">
        <v>26</v>
      </c>
      <c r="B8" s="31" t="s">
        <v>32</v>
      </c>
      <c r="C8" t="s">
        <v>33</v>
      </c>
      <c r="D8" s="31" t="s">
        <v>34</v>
      </c>
      <c r="E8" t="s">
        <v>35</v>
      </c>
      <c r="F8" s="31" t="s">
        <v>43</v>
      </c>
      <c r="G8" t="s">
        <v>44</v>
      </c>
      <c r="H8" s="27">
        <f>IF($G8&lt;&gt;0,SUMIF(куб!$G:$G,$G8,куб!H:H),IF($E8&lt;&gt;0,SUMIF(куб!$E:$E,$E8,куб!H:H),IF($D8&lt;&gt;0,SUMIF(куб!$D:$D,$D8,куб!H:H),IF($C8&lt;&gt;0,SUMIF(куб!$C:$C,$C8,куб!H:H),IF($B8&lt;&gt;0,SUMIF(куб!$B:$B,$B8,куб!H:H),IF($G8&lt;&gt;0,SUMIF(куб!$A:$A,$G8,куб!H:H),SUMIF(куб!$A:$A,$G8,куб!H:H)))))))</f>
        <v>0</v>
      </c>
      <c r="I8" s="27">
        <f>IF($G8&lt;&gt;0,SUMIF(куб!$G:$G,$G8,куб!I:I),IF($E8&lt;&gt;0,SUMIF(куб!$E:$E,$E8,куб!I:I),IF($D8&lt;&gt;0,SUMIF(куб!$D:$D,$D8,куб!I:I),IF($C8&lt;&gt;0,SUMIF(куб!$C:$C,$C8,куб!I:I),IF($B8&lt;&gt;0,SUMIF(куб!$B:$B,$B8,куб!I:I),IF($G8&lt;&gt;0,SUMIF(куб!$A:$A,$G8,куб!I:I),SUMIF(куб!$A:$A,$G8,куб!I:I)))))))</f>
        <v>438235.66899999994</v>
      </c>
      <c r="J8" s="19" t="str">
        <f t="shared" si="32"/>
        <v>-</v>
      </c>
      <c r="K8" s="5"/>
      <c r="L8" s="17">
        <f t="shared" si="15"/>
        <v>0</v>
      </c>
      <c r="M8" s="17">
        <f t="shared" si="16"/>
        <v>9.3439514609422599E-4</v>
      </c>
      <c r="N8" s="12">
        <f t="shared" si="17"/>
        <v>9.3439514609422599E-4</v>
      </c>
      <c r="O8" s="5"/>
      <c r="P8" s="27">
        <f>IF($G8&lt;&gt;0,SUMIF(куб!$G:$G,$G8,куб!J:J),IF($E8&lt;&gt;0,SUMIF(куб!$E:$E,$E8,куб!J:J),IF($D8&lt;&gt;0,SUMIF(куб!$D:$D,$D8,куб!J:J),IF($C8&lt;&gt;0,SUMIF(куб!$C:$C,$C8,куб!J:J),IF($B8&lt;&gt;0,SUMIF(куб!$B:$B,$B8,куб!J:J))))))</f>
        <v>0</v>
      </c>
      <c r="Q8" s="27">
        <f>IF($G8&lt;&gt;0,SUMIF(куб!$G:$G,$G8,куб!K:K),IF($E8&lt;&gt;0,SUMIF(куб!$E:$E,$E8,куб!K:K),IF($D8&lt;&gt;0,SUMIF(куб!$D:$D,$D8,куб!K:K),IF($C8&lt;&gt;0,SUMIF(куб!$C:$C,$C8,куб!K:K),IF($B8&lt;&gt;0,SUMIF(куб!$B:$B,$B8,куб!K:K))))))</f>
        <v>6980</v>
      </c>
      <c r="R8" s="13" t="str">
        <f t="shared" si="18"/>
        <v>-</v>
      </c>
      <c r="S8" s="5"/>
      <c r="T8" s="27">
        <f>IF($G8&lt;&gt;0,SUMIF(куб!$G:$G,$G8,куб!L:L),IF($E8&lt;&gt;0,SUMIF(куб!$E:$E,$E8,куб!L:L),IF($D8&lt;&gt;0,SUMIF(куб!$D:$D,$D8,куб!L:L),IF($C8&lt;&gt;0,SUMIF(куб!$C:$C,$C8,куб!L:L),IF($B8&lt;&gt;0,SUMIF(куб!$B:$B,$B8,куб!L:L))))))</f>
        <v>0</v>
      </c>
      <c r="U8" s="27">
        <f>IF($G8&lt;&gt;0,SUMIF(куб!$G:$G,$G8,куб!M:M),IF($E8&lt;&gt;0,SUMIF(куб!$E:$E,$E8,куб!M:M),IF($D8&lt;&gt;0,SUMIF(куб!$D:$D,$D8,куб!M:M),IF($C8&lt;&gt;0,SUMIF(куб!$C:$C,$C8,куб!M:M),IF($B8&lt;&gt;0,SUMIF(куб!$B:$B,$B8,куб!M:M))))))</f>
        <v>6281.9999999999991</v>
      </c>
      <c r="V8" s="13" t="str">
        <f t="shared" si="19"/>
        <v>-</v>
      </c>
      <c r="W8" s="5"/>
      <c r="X8" s="27">
        <f>IF($G8&lt;&gt;0,SUMIF(куб!$G:$G,$G8,куб!N:N),IF($E8&lt;&gt;0,SUMIF(куб!$E:$E,$E8,куб!N:N),IF($D8&lt;&gt;0,SUMIF(куб!$D:$D,$D8,куб!N:N),IF($C8&lt;&gt;0,SUMIF(куб!$C:$C,$C8,куб!N:N),IF($B8&lt;&gt;0,SUMIF(куб!$B:$B,$B8,куб!N:N))))))</f>
        <v>0</v>
      </c>
      <c r="Y8" s="27">
        <f>IF($G8&lt;&gt;0,SUMIF(куб!$G:$G,$G8,куб!O:O),IF($E8&lt;&gt;0,SUMIF(куб!$E:$E,$E8,куб!O:O),IF($D8&lt;&gt;0,SUMIF(куб!$D:$D,$D8,куб!O:O),IF($C8&lt;&gt;0,SUMIF(куб!$C:$C,$C8,куб!O:O),IF($B8&lt;&gt;0,SUMIF(куб!$B:$B,$B8,куб!O:O))))))</f>
        <v>59503.182400000049</v>
      </c>
      <c r="Z8" s="13" t="str">
        <f t="shared" si="20"/>
        <v>-</v>
      </c>
      <c r="AA8" s="5"/>
      <c r="AB8" s="33" t="str">
        <f t="shared" si="21"/>
        <v/>
      </c>
      <c r="AC8" s="33">
        <f t="shared" si="22"/>
        <v>0.1357789577826447</v>
      </c>
      <c r="AD8" s="15" t="str">
        <f t="shared" si="23"/>
        <v xml:space="preserve"> </v>
      </c>
      <c r="AE8" s="5"/>
      <c r="AF8" s="27">
        <f>IF($G8&lt;&gt;0,SUMIF(куб!$G:$G,$G8,куб!R:R),IF($E8&lt;&gt;0,SUMIF(куб!$E:$E,$E8,куб!R:R),IF($D8&lt;&gt;0,SUMIF(куб!$D:$D,$D8,куб!R:R),IF($C8&lt;&gt;0,SUMIF(куб!$C:$C,$C8,куб!R:R),IF($B8&lt;&gt;0,SUMIF(куб!$B:$B,$B8,куб!R:R))))))</f>
        <v>0</v>
      </c>
      <c r="AG8" s="27">
        <f>IF($G8&lt;&gt;0,SUMIF(куб!$G:$G,$G8,куб!S:S),IF($E8&lt;&gt;0,SUMIF(куб!$E:$E,$E8,куб!S:S),IF($D8&lt;&gt;0,SUMIF(куб!$D:$D,$D8,куб!S:S),IF($C8&lt;&gt;0,SUMIF(куб!$C:$C,$C8,куб!S:S),IF($B8&lt;&gt;0,SUMIF(куб!$B:$B,$B8,куб!S:S))))))</f>
        <v>9135.1945999999989</v>
      </c>
      <c r="AH8" s="16" t="str">
        <f t="shared" si="24"/>
        <v>-</v>
      </c>
      <c r="AI8" s="8"/>
      <c r="AJ8" s="27">
        <f>IF($G8&lt;&gt;0,SUMIF(куб!$G:$G,$G8,куб!T:T),IF($E8&lt;&gt;0,SUMIF(куб!$E:$E,$E8,куб!T:T),IF($D8&lt;&gt;0,SUMIF(куб!$D:$D,$D8,куб!T:T),IF($C8&lt;&gt;0,SUMIF(куб!$C:$C,$C8,куб!T:T),IF($B8&lt;&gt;0,SUMIF(куб!$B:$B,$B8,куб!T:T))))))</f>
        <v>0</v>
      </c>
      <c r="AK8" s="27">
        <f>IF($G8&lt;&gt;0,SUMIF(куб!$G:$G,$G8,куб!U:U),IF($E8&lt;&gt;0,SUMIF(куб!$E:$E,$E8,куб!U:U),IF($D8&lt;&gt;0,SUMIF(куб!$D:$D,$D8,куб!U:U),IF($C8&lt;&gt;0,SUMIF(куб!$C:$C,$C8,куб!U:U),IF($B8&lt;&gt;0,SUMIF(куб!$B:$B,$B8,куб!U:U))))))</f>
        <v>168</v>
      </c>
      <c r="AL8" s="16" t="str">
        <f t="shared" si="25"/>
        <v>-</v>
      </c>
      <c r="AM8" s="8"/>
      <c r="AN8" s="17" t="str">
        <f t="shared" si="26"/>
        <v xml:space="preserve"> </v>
      </c>
      <c r="AO8" s="17">
        <f t="shared" si="27"/>
        <v>2.0845392664739941E-2</v>
      </c>
      <c r="AP8" s="16" t="str">
        <f t="shared" si="28"/>
        <v>-</v>
      </c>
      <c r="AQ8" s="8"/>
      <c r="AR8" s="17" t="str">
        <f t="shared" si="29"/>
        <v>-</v>
      </c>
      <c r="AS8" s="17">
        <f t="shared" si="30"/>
        <v>0.11493356511790476</v>
      </c>
      <c r="AT8" s="13" t="str">
        <f t="shared" si="31"/>
        <v>-</v>
      </c>
      <c r="AU8" s="8"/>
      <c r="AV8" s="21"/>
      <c r="AW8" s="21"/>
      <c r="AX8" s="21"/>
    </row>
    <row r="9" spans="1:50" s="20" customFormat="1" ht="15" customHeight="1" x14ac:dyDescent="0.25">
      <c r="A9" s="31" t="s">
        <v>26</v>
      </c>
      <c r="B9" s="31" t="s">
        <v>32</v>
      </c>
      <c r="C9" t="s">
        <v>33</v>
      </c>
      <c r="D9" s="31" t="s">
        <v>34</v>
      </c>
      <c r="E9" t="s">
        <v>35</v>
      </c>
      <c r="F9" s="31" t="s">
        <v>45</v>
      </c>
      <c r="G9" t="s">
        <v>46</v>
      </c>
      <c r="H9" s="27">
        <f>IF($G9&lt;&gt;0,SUMIF(куб!$G:$G,$G9,куб!H:H),IF($E9&lt;&gt;0,SUMIF(куб!$E:$E,$E9,куб!H:H),IF($D9&lt;&gt;0,SUMIF(куб!$D:$D,$D9,куб!H:H),IF($C9&lt;&gt;0,SUMIF(куб!$C:$C,$C9,куб!H:H),IF($B9&lt;&gt;0,SUMIF(куб!$B:$B,$B9,куб!H:H),IF($G9&lt;&gt;0,SUMIF(куб!$A:$A,$G9,куб!H:H),SUMIF(куб!$A:$A,$G9,куб!H:H)))))))</f>
        <v>1334273.5273999998</v>
      </c>
      <c r="I9" s="27">
        <f>IF($G9&lt;&gt;0,SUMIF(куб!$G:$G,$G9,куб!I:I),IF($E9&lt;&gt;0,SUMIF(куб!$E:$E,$E9,куб!I:I),IF($D9&lt;&gt;0,SUMIF(куб!$D:$D,$D9,куб!I:I),IF($C9&lt;&gt;0,SUMIF(куб!$C:$C,$C9,куб!I:I),IF($B9&lt;&gt;0,SUMIF(куб!$B:$B,$B9,куб!I:I),IF($G9&lt;&gt;0,SUMIF(куб!$A:$A,$G9,куб!I:I),SUMIF(куб!$A:$A,$G9,куб!I:I)))))))</f>
        <v>1740218.2068000005</v>
      </c>
      <c r="J9" s="19">
        <f t="shared" si="32"/>
        <v>0.30424397326613767</v>
      </c>
      <c r="K9" s="5"/>
      <c r="L9" s="17">
        <f t="shared" si="15"/>
        <v>2.7871533390511519E-3</v>
      </c>
      <c r="M9" s="17">
        <f t="shared" si="16"/>
        <v>3.7104497890123106E-3</v>
      </c>
      <c r="N9" s="12">
        <f t="shared" si="17"/>
        <v>9.2329644996115871E-4</v>
      </c>
      <c r="O9" s="5"/>
      <c r="P9" s="27">
        <f>IF($G9&lt;&gt;0,SUMIF(куб!$G:$G,$G9,куб!J:J),IF($E9&lt;&gt;0,SUMIF(куб!$E:$E,$E9,куб!J:J),IF($D9&lt;&gt;0,SUMIF(куб!$D:$D,$D9,куб!J:J),IF($C9&lt;&gt;0,SUMIF(куб!$C:$C,$C9,куб!J:J),IF($B9&lt;&gt;0,SUMIF(куб!$B:$B,$B9,куб!J:J))))))</f>
        <v>11524</v>
      </c>
      <c r="Q9" s="27">
        <f>IF($G9&lt;&gt;0,SUMIF(куб!$G:$G,$G9,куб!K:K),IF($E9&lt;&gt;0,SUMIF(куб!$E:$E,$E9,куб!K:K),IF($D9&lt;&gt;0,SUMIF(куб!$D:$D,$D9,куб!K:K),IF($C9&lt;&gt;0,SUMIF(куб!$C:$C,$C9,куб!K:K),IF($B9&lt;&gt;0,SUMIF(куб!$B:$B,$B9,куб!K:K))))))</f>
        <v>14924</v>
      </c>
      <c r="R9" s="13">
        <f t="shared" si="18"/>
        <v>0.29503644567858384</v>
      </c>
      <c r="S9" s="5"/>
      <c r="T9" s="27">
        <f>IF($G9&lt;&gt;0,SUMIF(куб!$G:$G,$G9,куб!L:L),IF($E9&lt;&gt;0,SUMIF(куб!$E:$E,$E9,куб!L:L),IF($D9&lt;&gt;0,SUMIF(куб!$D:$D,$D9,куб!L:L),IF($C9&lt;&gt;0,SUMIF(куб!$C:$C,$C9,куб!L:L),IF($B9&lt;&gt;0,SUMIF(куб!$B:$B,$B9,куб!L:L))))))</f>
        <v>16133.600000000004</v>
      </c>
      <c r="U9" s="27">
        <f>IF($G9&lt;&gt;0,SUMIF(куб!$G:$G,$G9,куб!M:M),IF($E9&lt;&gt;0,SUMIF(куб!$E:$E,$E9,куб!M:M),IF($D9&lt;&gt;0,SUMIF(куб!$D:$D,$D9,куб!M:M),IF($C9&lt;&gt;0,SUMIF(куб!$C:$C,$C9,куб!M:M),IF($B9&lt;&gt;0,SUMIF(куб!$B:$B,$B9,куб!M:M))))))</f>
        <v>20893.600000000002</v>
      </c>
      <c r="V9" s="13">
        <f t="shared" si="19"/>
        <v>0.29503644567858361</v>
      </c>
      <c r="W9" s="5"/>
      <c r="X9" s="27">
        <f>IF($G9&lt;&gt;0,SUMIF(куб!$G:$G,$G9,куб!N:N),IF($E9&lt;&gt;0,SUMIF(куб!$E:$E,$E9,куб!N:N),IF($D9&lt;&gt;0,SUMIF(куб!$D:$D,$D9,куб!N:N),IF($C9&lt;&gt;0,SUMIF(куб!$C:$C,$C9,куб!N:N),IF($B9&lt;&gt;0,SUMIF(куб!$B:$B,$B9,куб!N:N))))))</f>
        <v>194414.13719999953</v>
      </c>
      <c r="Y9" s="27">
        <f>IF($G9&lt;&gt;0,SUMIF(куб!$G:$G,$G9,куб!O:O),IF($E9&lt;&gt;0,SUMIF(куб!$E:$E,$E9,куб!O:O),IF($D9&lt;&gt;0,SUMIF(куб!$D:$D,$D9,куб!O:O),IF($C9&lt;&gt;0,SUMIF(куб!$C:$C,$C9,куб!O:O),IF($B9&lt;&gt;0,SUMIF(куб!$B:$B,$B9,куб!O:O))))))</f>
        <v>206106.48990000016</v>
      </c>
      <c r="Z9" s="13">
        <f t="shared" si="20"/>
        <v>6.0141473600617647E-2</v>
      </c>
      <c r="AA9" s="5"/>
      <c r="AB9" s="33">
        <f t="shared" si="21"/>
        <v>0.14570785765257593</v>
      </c>
      <c r="AC9" s="33">
        <f t="shared" si="22"/>
        <v>0.11843715293554996</v>
      </c>
      <c r="AD9" s="15">
        <f t="shared" si="23"/>
        <v>-2.7270704717025973E-2</v>
      </c>
      <c r="AE9" s="5"/>
      <c r="AF9" s="27">
        <f>IF($G9&lt;&gt;0,SUMIF(куб!$G:$G,$G9,куб!R:R),IF($E9&lt;&gt;0,SUMIF(куб!$E:$E,$E9,куб!R:R),IF($D9&lt;&gt;0,SUMIF(куб!$D:$D,$D9,куб!R:R),IF($C9&lt;&gt;0,SUMIF(куб!$C:$C,$C9,куб!R:R),IF($B9&lt;&gt;0,SUMIF(куб!$B:$B,$B9,куб!R:R))))))</f>
        <v>1087.9992999999999</v>
      </c>
      <c r="AG9" s="27">
        <f>IF($G9&lt;&gt;0,SUMIF(куб!$G:$G,$G9,куб!S:S),IF($E9&lt;&gt;0,SUMIF(куб!$E:$E,$E9,куб!S:S),IF($D9&lt;&gt;0,SUMIF(куб!$D:$D,$D9,куб!S:S),IF($C9&lt;&gt;0,SUMIF(куб!$C:$C,$C9,куб!S:S),IF($B9&lt;&gt;0,SUMIF(куб!$B:$B,$B9,куб!S:S))))))</f>
        <v>6018.4346999999998</v>
      </c>
      <c r="AH9" s="16">
        <f t="shared" si="24"/>
        <v>4.5316530994091639</v>
      </c>
      <c r="AI9" s="8"/>
      <c r="AJ9" s="27">
        <f>IF($G9&lt;&gt;0,SUMIF(куб!$G:$G,$G9,куб!T:T),IF($E9&lt;&gt;0,SUMIF(куб!$E:$E,$E9,куб!T:T),IF($D9&lt;&gt;0,SUMIF(куб!$D:$D,$D9,куб!T:T),IF($C9&lt;&gt;0,SUMIF(куб!$C:$C,$C9,куб!T:T),IF($B9&lt;&gt;0,SUMIF(куб!$B:$B,$B9,куб!T:T))))))</f>
        <v>11</v>
      </c>
      <c r="AK9" s="27">
        <f>IF($G9&lt;&gt;0,SUMIF(куб!$G:$G,$G9,куб!U:U),IF($E9&lt;&gt;0,SUMIF(куб!$E:$E,$E9,куб!U:U),IF($D9&lt;&gt;0,SUMIF(куб!$D:$D,$D9,куб!U:U),IF($C9&lt;&gt;0,SUMIF(куб!$C:$C,$C9,куб!U:U),IF($B9&lt;&gt;0,SUMIF(куб!$B:$B,$B9,куб!U:U))))))</f>
        <v>57</v>
      </c>
      <c r="AL9" s="16">
        <f t="shared" si="25"/>
        <v>4.1818181818181817</v>
      </c>
      <c r="AM9" s="8"/>
      <c r="AN9" s="17">
        <f t="shared" si="26"/>
        <v>8.1542448205511786E-4</v>
      </c>
      <c r="AO9" s="17">
        <f t="shared" si="27"/>
        <v>3.4584368077995205E-3</v>
      </c>
      <c r="AP9" s="16">
        <f t="shared" si="28"/>
        <v>2.6430123257444025E-3</v>
      </c>
      <c r="AQ9" s="8"/>
      <c r="AR9" s="17">
        <f t="shared" si="29"/>
        <v>0.14489243317052081</v>
      </c>
      <c r="AS9" s="17">
        <f t="shared" si="30"/>
        <v>0.11497871612775043</v>
      </c>
      <c r="AT9" s="13">
        <f t="shared" si="31"/>
        <v>-2.9913717042770377E-2</v>
      </c>
      <c r="AU9" s="8"/>
      <c r="AV9"/>
      <c r="AW9"/>
      <c r="AX9"/>
    </row>
    <row r="10" spans="1:50" ht="15" customHeight="1" x14ac:dyDescent="0.25">
      <c r="A10" s="31" t="s">
        <v>26</v>
      </c>
      <c r="B10" s="31" t="s">
        <v>32</v>
      </c>
      <c r="C10" t="s">
        <v>33</v>
      </c>
      <c r="D10" s="31" t="s">
        <v>34</v>
      </c>
      <c r="E10" t="s">
        <v>35</v>
      </c>
      <c r="F10" s="31" t="s">
        <v>47</v>
      </c>
      <c r="G10" t="s">
        <v>48</v>
      </c>
      <c r="H10" s="27">
        <f>IF($G10&lt;&gt;0,SUMIF(куб!$G:$G,$G10,куб!H:H),IF($E10&lt;&gt;0,SUMIF(куб!$E:$E,$E10,куб!H:H),IF($D10&lt;&gt;0,SUMIF(куб!$D:$D,$D10,куб!H:H),IF($C10&lt;&gt;0,SUMIF(куб!$C:$C,$C10,куб!H:H),IF($B10&lt;&gt;0,SUMIF(куб!$B:$B,$B10,куб!H:H),IF($G10&lt;&gt;0,SUMIF(куб!$A:$A,$G10,куб!H:H),SUMIF(куб!$A:$A,$G10,куб!H:H)))))))</f>
        <v>439990.81539999985</v>
      </c>
      <c r="I10" s="27">
        <f>IF($G10&lt;&gt;0,SUMIF(куб!$G:$G,$G10,куб!I:I),IF($E10&lt;&gt;0,SUMIF(куб!$E:$E,$E10,куб!I:I),IF($D10&lt;&gt;0,SUMIF(куб!$D:$D,$D10,куб!I:I),IF($C10&lt;&gt;0,SUMIF(куб!$C:$C,$C10,куб!I:I),IF($B10&lt;&gt;0,SUMIF(куб!$B:$B,$B10,куб!I:I),IF($G10&lt;&gt;0,SUMIF(куб!$A:$A,$G10,куб!I:I),SUMIF(куб!$A:$A,$G10,куб!I:I)))))))</f>
        <v>1071609.7872000001</v>
      </c>
      <c r="J10" s="19">
        <f t="shared" si="32"/>
        <v>1.4355276285160394</v>
      </c>
      <c r="K10" s="8"/>
      <c r="L10" s="17">
        <f t="shared" si="15"/>
        <v>9.190933081641749E-4</v>
      </c>
      <c r="M10" s="17">
        <f t="shared" si="16"/>
        <v>2.2848596189160193E-3</v>
      </c>
      <c r="N10" s="12">
        <f t="shared" si="17"/>
        <v>1.3657663107518444E-3</v>
      </c>
      <c r="O10" s="5"/>
      <c r="P10" s="27">
        <f>IF($G10&lt;&gt;0,SUMIF(куб!$G:$G,$G10,куб!J:J),IF($E10&lt;&gt;0,SUMIF(куб!$E:$E,$E10,куб!J:J),IF($D10&lt;&gt;0,SUMIF(куб!$D:$D,$D10,куб!J:J),IF($C10&lt;&gt;0,SUMIF(куб!$C:$C,$C10,куб!J:J),IF($B10&lt;&gt;0,SUMIF(куб!$B:$B,$B10,куб!J:J))))))</f>
        <v>7250</v>
      </c>
      <c r="Q10" s="27">
        <f>IF($G10&lt;&gt;0,SUMIF(куб!$G:$G,$G10,куб!K:K),IF($E10&lt;&gt;0,SUMIF(куб!$E:$E,$E10,куб!K:K),IF($D10&lt;&gt;0,SUMIF(куб!$D:$D,$D10,куб!K:K),IF($C10&lt;&gt;0,SUMIF(куб!$C:$C,$C10,куб!K:K),IF($B10&lt;&gt;0,SUMIF(куб!$B:$B,$B10,куб!K:K))))))</f>
        <v>17553</v>
      </c>
      <c r="R10" s="13">
        <f t="shared" si="18"/>
        <v>1.421103448275862</v>
      </c>
      <c r="S10" s="5"/>
      <c r="T10" s="27">
        <f>IF($G10&lt;&gt;0,SUMIF(куб!$G:$G,$G10,куб!L:L),IF($E10&lt;&gt;0,SUMIF(куб!$E:$E,$E10,куб!L:L),IF($D10&lt;&gt;0,SUMIF(куб!$D:$D,$D10,куб!L:L),IF($C10&lt;&gt;0,SUMIF(куб!$C:$C,$C10,куб!L:L),IF($B10&lt;&gt;0,SUMIF(куб!$B:$B,$B10,куб!L:L))))))</f>
        <v>6525</v>
      </c>
      <c r="U10" s="27">
        <f>IF($G10&lt;&gt;0,SUMIF(куб!$G:$G,$G10,куб!M:M),IF($E10&lt;&gt;0,SUMIF(куб!$E:$E,$E10,куб!M:M),IF($D10&lt;&gt;0,SUMIF(куб!$D:$D,$D10,куб!M:M),IF($C10&lt;&gt;0,SUMIF(куб!$C:$C,$C10,куб!M:M),IF($B10&lt;&gt;0,SUMIF(куб!$B:$B,$B10,куб!M:M))))))</f>
        <v>15797.700000000004</v>
      </c>
      <c r="V10" s="13">
        <f t="shared" si="19"/>
        <v>1.4211034482758627</v>
      </c>
      <c r="W10" s="5"/>
      <c r="X10" s="27">
        <f>IF($G10&lt;&gt;0,SUMIF(куб!$G:$G,$G10,куб!N:N),IF($E10&lt;&gt;0,SUMIF(куб!$E:$E,$E10,куб!N:N),IF($D10&lt;&gt;0,SUMIF(куб!$D:$D,$D10,куб!N:N),IF($C10&lt;&gt;0,SUMIF(куб!$C:$C,$C10,куб!N:N),IF($B10&lt;&gt;0,SUMIF(куб!$B:$B,$B10,куб!N:N))))))</f>
        <v>54093.149099999864</v>
      </c>
      <c r="Y10" s="27">
        <f>IF($G10&lt;&gt;0,SUMIF(куб!$G:$G,$G10,куб!O:O),IF($E10&lt;&gt;0,SUMIF(куб!$E:$E,$E10,куб!O:O),IF($D10&lt;&gt;0,SUMIF(куб!$D:$D,$D10,куб!O:O),IF($C10&lt;&gt;0,SUMIF(куб!$C:$C,$C10,куб!O:O),IF($B10&lt;&gt;0,SUMIF(куб!$B:$B,$B10,куб!O:O))))))</f>
        <v>109355.87409999955</v>
      </c>
      <c r="Z10" s="13">
        <f t="shared" si="20"/>
        <v>1.0216215162078597</v>
      </c>
      <c r="AA10" s="5"/>
      <c r="AB10" s="33">
        <f t="shared" si="21"/>
        <v>0.12294154152018666</v>
      </c>
      <c r="AC10" s="33">
        <f t="shared" si="22"/>
        <v>0.10204822259577767</v>
      </c>
      <c r="AD10" s="15">
        <f t="shared" si="23"/>
        <v>-2.0893318924408988E-2</v>
      </c>
      <c r="AE10" s="5"/>
      <c r="AF10" s="27">
        <f>IF($G10&lt;&gt;0,SUMIF(куб!$G:$G,$G10,куб!R:R),IF($E10&lt;&gt;0,SUMIF(куб!$E:$E,$E10,куб!R:R),IF($D10&lt;&gt;0,SUMIF(куб!$D:$D,$D10,куб!R:R),IF($C10&lt;&gt;0,SUMIF(куб!$C:$C,$C10,куб!R:R),IF($B10&lt;&gt;0,SUMIF(куб!$B:$B,$B10,куб!R:R))))))</f>
        <v>4204.9525999999978</v>
      </c>
      <c r="AG10" s="27">
        <f>IF($G10&lt;&gt;0,SUMIF(куб!$G:$G,$G10,куб!S:S),IF($E10&lt;&gt;0,SUMIF(куб!$E:$E,$E10,куб!S:S),IF($D10&lt;&gt;0,SUMIF(куб!$D:$D,$D10,куб!S:S),IF($C10&lt;&gt;0,SUMIF(куб!$C:$C,$C10,куб!S:S),IF($B10&lt;&gt;0,SUMIF(куб!$B:$B,$B10,куб!S:S))))))</f>
        <v>19186.354900000006</v>
      </c>
      <c r="AH10" s="16">
        <f t="shared" si="24"/>
        <v>3.5627993285822095</v>
      </c>
      <c r="AI10" s="8"/>
      <c r="AJ10" s="27">
        <f>IF($G10&lt;&gt;0,SUMIF(куб!$G:$G,$G10,куб!T:T),IF($E10&lt;&gt;0,SUMIF(куб!$E:$E,$E10,куб!T:T),IF($D10&lt;&gt;0,SUMIF(куб!$D:$D,$D10,куб!T:T),IF($C10&lt;&gt;0,SUMIF(куб!$C:$C,$C10,куб!T:T),IF($B10&lt;&gt;0,SUMIF(куб!$B:$B,$B10,куб!T:T))))))</f>
        <v>79</v>
      </c>
      <c r="AK10" s="27">
        <f>IF($G10&lt;&gt;0,SUMIF(куб!$G:$G,$G10,куб!U:U),IF($E10&lt;&gt;0,SUMIF(куб!$E:$E,$E10,куб!U:U),IF($D10&lt;&gt;0,SUMIF(куб!$D:$D,$D10,куб!U:U),IF($C10&lt;&gt;0,SUMIF(куб!$C:$C,$C10,куб!U:U),IF($B10&lt;&gt;0,SUMIF(куб!$B:$B,$B10,куб!U:U))))))</f>
        <v>350</v>
      </c>
      <c r="AL10" s="16">
        <f t="shared" si="25"/>
        <v>3.4303797468354431</v>
      </c>
      <c r="AM10" s="8"/>
      <c r="AN10" s="17">
        <f t="shared" si="26"/>
        <v>9.5569099463524831E-3</v>
      </c>
      <c r="AO10" s="17">
        <f t="shared" si="27"/>
        <v>1.7904236345332256E-2</v>
      </c>
      <c r="AP10" s="16">
        <f t="shared" si="28"/>
        <v>8.3473263989797732E-3</v>
      </c>
      <c r="AQ10" s="8"/>
      <c r="AR10" s="17">
        <f t="shared" si="29"/>
        <v>0.11338463157383417</v>
      </c>
      <c r="AS10" s="17">
        <f t="shared" si="30"/>
        <v>8.4143986250445404E-2</v>
      </c>
      <c r="AT10" s="13">
        <f t="shared" si="31"/>
        <v>-2.924064532338877E-2</v>
      </c>
      <c r="AU10" s="8"/>
    </row>
    <row r="11" spans="1:50" ht="15" customHeight="1" x14ac:dyDescent="0.25">
      <c r="A11" s="31" t="s">
        <v>26</v>
      </c>
      <c r="B11" s="31" t="s">
        <v>32</v>
      </c>
      <c r="C11" t="s">
        <v>33</v>
      </c>
      <c r="D11" s="31" t="s">
        <v>34</v>
      </c>
      <c r="E11" t="s">
        <v>35</v>
      </c>
      <c r="F11" s="31" t="s">
        <v>49</v>
      </c>
      <c r="G11" t="s">
        <v>50</v>
      </c>
      <c r="H11" s="27">
        <f>IF($G11&lt;&gt;0,SUMIF(куб!$G:$G,$G11,куб!H:H),IF($E11&lt;&gt;0,SUMIF(куб!$E:$E,$E11,куб!H:H),IF($D11&lt;&gt;0,SUMIF(куб!$D:$D,$D11,куб!H:H),IF($C11&lt;&gt;0,SUMIF(куб!$C:$C,$C11,куб!H:H),IF($B11&lt;&gt;0,SUMIF(куб!$B:$B,$B11,куб!H:H),IF($G11&lt;&gt;0,SUMIF(куб!$A:$A,$G11,куб!H:H),SUMIF(куб!$A:$A,$G11,куб!H:H)))))))</f>
        <v>1611751.9487999999</v>
      </c>
      <c r="I11" s="27">
        <f>IF($G11&lt;&gt;0,SUMIF(куб!$G:$G,$G11,куб!I:I),IF($E11&lt;&gt;0,SUMIF(куб!$E:$E,$E11,куб!I:I),IF($D11&lt;&gt;0,SUMIF(куб!$D:$D,$D11,куб!I:I),IF($C11&lt;&gt;0,SUMIF(куб!$C:$C,$C11,куб!I:I),IF($B11&lt;&gt;0,SUMIF(куб!$B:$B,$B11,куб!I:I),IF($G11&lt;&gt;0,SUMIF(куб!$A:$A,$G11,куб!I:I),SUMIF(куб!$A:$A,$G11,куб!I:I)))))))</f>
        <v>2360908.6737000006</v>
      </c>
      <c r="J11" s="19">
        <f t="shared" ref="J11:J74" si="33">IFERROR((I11-H11)/ABS(H11),"-")</f>
        <v>0.46480894622635421</v>
      </c>
      <c r="K11" s="10"/>
      <c r="L11" s="17">
        <f t="shared" si="15"/>
        <v>3.3667758023901884E-3</v>
      </c>
      <c r="M11" s="17">
        <f t="shared" si="16"/>
        <v>5.0338704973762367E-3</v>
      </c>
      <c r="N11" s="12">
        <f t="shared" si="17"/>
        <v>1.6670946949860484E-3</v>
      </c>
      <c r="O11" s="5"/>
      <c r="P11" s="27">
        <f>IF($G11&lt;&gt;0,SUMIF(куб!$G:$G,$G11,куб!J:J),IF($E11&lt;&gt;0,SUMIF(куб!$E:$E,$E11,куб!J:J),IF($D11&lt;&gt;0,SUMIF(куб!$D:$D,$D11,куб!J:J),IF($C11&lt;&gt;0,SUMIF(куб!$C:$C,$C11,куб!J:J),IF($B11&lt;&gt;0,SUMIF(куб!$B:$B,$B11,куб!J:J))))))</f>
        <v>12678</v>
      </c>
      <c r="Q11" s="27">
        <f>IF($G11&lt;&gt;0,SUMIF(куб!$G:$G,$G11,куб!K:K),IF($E11&lt;&gt;0,SUMIF(куб!$E:$E,$E11,куб!K:K),IF($D11&lt;&gt;0,SUMIF(куб!$D:$D,$D11,куб!K:K),IF($C11&lt;&gt;0,SUMIF(куб!$C:$C,$C11,куб!K:K),IF($B11&lt;&gt;0,SUMIF(куб!$B:$B,$B11,куб!K:K))))))</f>
        <v>17873</v>
      </c>
      <c r="R11" s="13">
        <f t="shared" si="18"/>
        <v>0.40976494715254774</v>
      </c>
      <c r="S11" s="5"/>
      <c r="T11" s="27">
        <f>IF($G11&lt;&gt;0,SUMIF(куб!$G:$G,$G11,куб!L:L),IF($E11&lt;&gt;0,SUMIF(куб!$E:$E,$E11,куб!L:L),IF($D11&lt;&gt;0,SUMIF(куб!$D:$D,$D11,куб!L:L),IF($C11&lt;&gt;0,SUMIF(куб!$C:$C,$C11,куб!L:L),IF($B11&lt;&gt;0,SUMIF(куб!$B:$B,$B11,куб!L:L))))))</f>
        <v>20284.8</v>
      </c>
      <c r="U11" s="27">
        <f>IF($G11&lt;&gt;0,SUMIF(куб!$G:$G,$G11,куб!M:M),IF($E11&lt;&gt;0,SUMIF(куб!$E:$E,$E11,куб!M:M),IF($D11&lt;&gt;0,SUMIF(куб!$D:$D,$D11,куб!M:M),IF($C11&lt;&gt;0,SUMIF(куб!$C:$C,$C11,куб!M:M),IF($B11&lt;&gt;0,SUMIF(куб!$B:$B,$B11,куб!M:M))))))</f>
        <v>28596.799999999992</v>
      </c>
      <c r="V11" s="13">
        <f t="shared" si="19"/>
        <v>0.40976494715254735</v>
      </c>
      <c r="W11" s="5"/>
      <c r="X11" s="27">
        <f>IF($G11&lt;&gt;0,SUMIF(куб!$G:$G,$G11,куб!N:N),IF($E11&lt;&gt;0,SUMIF(куб!$E:$E,$E11,куб!N:N),IF($D11&lt;&gt;0,SUMIF(куб!$D:$D,$D11,куб!N:N),IF($C11&lt;&gt;0,SUMIF(куб!$C:$C,$C11,куб!N:N),IF($B11&lt;&gt;0,SUMIF(куб!$B:$B,$B11,куб!N:N))))))</f>
        <v>166779.71970000025</v>
      </c>
      <c r="Y11" s="27">
        <f>IF($G11&lt;&gt;0,SUMIF(куб!$G:$G,$G11,куб!O:O),IF($E11&lt;&gt;0,SUMIF(куб!$E:$E,$E11,куб!O:O),IF($D11&lt;&gt;0,SUMIF(куб!$D:$D,$D11,куб!O:O),IF($C11&lt;&gt;0,SUMIF(куб!$C:$C,$C11,куб!O:O),IF($B11&lt;&gt;0,SUMIF(куб!$B:$B,$B11,куб!O:O))))))</f>
        <v>221998.13400000241</v>
      </c>
      <c r="Z11" s="13">
        <f t="shared" si="20"/>
        <v>0.33108590420542644</v>
      </c>
      <c r="AA11" s="5"/>
      <c r="AB11" s="33">
        <f t="shared" si="21"/>
        <v>0.10347728744747169</v>
      </c>
      <c r="AC11" s="33">
        <f t="shared" si="22"/>
        <v>9.4030801137296172E-2</v>
      </c>
      <c r="AD11" s="15">
        <f t="shared" si="23"/>
        <v>-9.4464863101755142E-3</v>
      </c>
      <c r="AE11" s="5"/>
      <c r="AF11" s="27">
        <f>IF($G11&lt;&gt;0,SUMIF(куб!$G:$G,$G11,куб!R:R),IF($E11&lt;&gt;0,SUMIF(куб!$E:$E,$E11,куб!R:R),IF($D11&lt;&gt;0,SUMIF(куб!$D:$D,$D11,куб!R:R),IF($C11&lt;&gt;0,SUMIF(куб!$C:$C,$C11,куб!R:R),IF($B11&lt;&gt;0,SUMIF(куб!$B:$B,$B11,куб!R:R))))))</f>
        <v>1139.7270000000001</v>
      </c>
      <c r="AG11" s="27">
        <f>IF($G11&lt;&gt;0,SUMIF(куб!$G:$G,$G11,куб!S:S),IF($E11&lt;&gt;0,SUMIF(куб!$E:$E,$E11,куб!S:S),IF($D11&lt;&gt;0,SUMIF(куб!$D:$D,$D11,куб!S:S),IF($C11&lt;&gt;0,SUMIF(куб!$C:$C,$C11,куб!S:S),IF($B11&lt;&gt;0,SUMIF(куб!$B:$B,$B11,куб!S:S))))))</f>
        <v>1675.4178000000004</v>
      </c>
      <c r="AH11" s="16">
        <f t="shared" si="24"/>
        <v>0.47001676717319169</v>
      </c>
      <c r="AI11" s="8"/>
      <c r="AJ11" s="27">
        <f>IF($G11&lt;&gt;0,SUMIF(куб!$G:$G,$G11,куб!T:T),IF($E11&lt;&gt;0,SUMIF(куб!$E:$E,$E11,куб!T:T),IF($D11&lt;&gt;0,SUMIF(куб!$D:$D,$D11,куб!T:T),IF($C11&lt;&gt;0,SUMIF(куб!$C:$C,$C11,куб!T:T),IF($B11&lt;&gt;0,SUMIF(куб!$B:$B,$B11,куб!T:T))))))</f>
        <v>10</v>
      </c>
      <c r="AK11" s="27">
        <f>IF($G11&lt;&gt;0,SUMIF(куб!$G:$G,$G11,куб!U:U),IF($E11&lt;&gt;0,SUMIF(куб!$E:$E,$E11,куб!U:U),IF($D11&lt;&gt;0,SUMIF(куб!$D:$D,$D11,куб!U:U),IF($C11&lt;&gt;0,SUMIF(куб!$C:$C,$C11,куб!U:U),IF($B11&lt;&gt;0,SUMIF(куб!$B:$B,$B11,куб!U:U))))))</f>
        <v>14</v>
      </c>
      <c r="AL11" s="16">
        <f t="shared" si="25"/>
        <v>0.4</v>
      </c>
      <c r="AM11" s="8"/>
      <c r="AN11" s="17">
        <f t="shared" si="26"/>
        <v>7.0713548747284758E-4</v>
      </c>
      <c r="AO11" s="17">
        <f t="shared" si="27"/>
        <v>7.0964955936829888E-4</v>
      </c>
      <c r="AP11" s="16">
        <f t="shared" si="28"/>
        <v>2.5140718954512996E-6</v>
      </c>
      <c r="AQ11" s="8"/>
      <c r="AR11" s="17">
        <f t="shared" si="29"/>
        <v>0.10277015195999882</v>
      </c>
      <c r="AS11" s="17">
        <f t="shared" si="30"/>
        <v>9.3321151577927877E-2</v>
      </c>
      <c r="AT11" s="13">
        <f t="shared" si="31"/>
        <v>-9.4490003820709434E-3</v>
      </c>
      <c r="AU11" s="8"/>
      <c r="AV11" s="20"/>
      <c r="AW11" s="20"/>
      <c r="AX11" s="20"/>
    </row>
    <row r="12" spans="1:50" ht="15" customHeight="1" x14ac:dyDescent="0.25">
      <c r="A12" s="31" t="s">
        <v>26</v>
      </c>
      <c r="B12" s="31" t="s">
        <v>32</v>
      </c>
      <c r="C12" t="s">
        <v>33</v>
      </c>
      <c r="D12" s="31" t="s">
        <v>34</v>
      </c>
      <c r="E12" t="s">
        <v>35</v>
      </c>
      <c r="F12" s="31" t="s">
        <v>51</v>
      </c>
      <c r="G12" t="s">
        <v>52</v>
      </c>
      <c r="H12" s="27">
        <f>IF($G12&lt;&gt;0,SUMIF(куб!$G:$G,$G12,куб!H:H),IF($E12&lt;&gt;0,SUMIF(куб!$E:$E,$E12,куб!H:H),IF($D12&lt;&gt;0,SUMIF(куб!$D:$D,$D12,куб!H:H),IF($C12&lt;&gt;0,SUMIF(куб!$C:$C,$C12,куб!H:H),IF($B12&lt;&gt;0,SUMIF(куб!$B:$B,$B12,куб!H:H),IF($G12&lt;&gt;0,SUMIF(куб!$A:$A,$G12,куб!H:H),SUMIF(куб!$A:$A,$G12,куб!H:H)))))))</f>
        <v>332767.34070000006</v>
      </c>
      <c r="I12" s="27">
        <f>IF($G12&lt;&gt;0,SUMIF(куб!$G:$G,$G12,куб!I:I),IF($E12&lt;&gt;0,SUMIF(куб!$E:$E,$E12,куб!I:I),IF($D12&lt;&gt;0,SUMIF(куб!$D:$D,$D12,куб!I:I),IF($C12&lt;&gt;0,SUMIF(куб!$C:$C,$C12,куб!I:I),IF($B12&lt;&gt;0,SUMIF(куб!$B:$B,$B12,куб!I:I),IF($G12&lt;&gt;0,SUMIF(куб!$A:$A,$G12,куб!I:I),SUMIF(куб!$A:$A,$G12,куб!I:I)))))))</f>
        <v>409395.53840000008</v>
      </c>
      <c r="J12" s="19">
        <f t="shared" si="33"/>
        <v>0.23027559597287128</v>
      </c>
      <c r="K12" s="5"/>
      <c r="L12" s="17">
        <f t="shared" si="15"/>
        <v>6.9511504628775537E-4</v>
      </c>
      <c r="M12" s="17">
        <f t="shared" si="16"/>
        <v>8.7290294006988375E-4</v>
      </c>
      <c r="N12" s="12">
        <f t="shared" si="17"/>
        <v>1.7778789378212838E-4</v>
      </c>
      <c r="O12" s="5"/>
      <c r="P12" s="27">
        <f>IF($G12&lt;&gt;0,SUMIF(куб!$G:$G,$G12,куб!J:J),IF($E12&lt;&gt;0,SUMIF(куб!$E:$E,$E12,куб!J:J),IF($D12&lt;&gt;0,SUMIF(куб!$D:$D,$D12,куб!J:J),IF($C12&lt;&gt;0,SUMIF(куб!$C:$C,$C12,куб!J:J),IF($B12&lt;&gt;0,SUMIF(куб!$B:$B,$B12,куб!J:J))))))</f>
        <v>4871</v>
      </c>
      <c r="Q12" s="27">
        <f>IF($G12&lt;&gt;0,SUMIF(куб!$G:$G,$G12,куб!K:K),IF($E12&lt;&gt;0,SUMIF(куб!$E:$E,$E12,куб!K:K),IF($D12&lt;&gt;0,SUMIF(куб!$D:$D,$D12,куб!K:K),IF($C12&lt;&gt;0,SUMIF(куб!$C:$C,$C12,куб!K:K),IF($B12&lt;&gt;0,SUMIF(куб!$B:$B,$B12,куб!K:K))))))</f>
        <v>6013</v>
      </c>
      <c r="R12" s="13">
        <f t="shared" si="18"/>
        <v>0.23444877848491069</v>
      </c>
      <c r="S12" s="5"/>
      <c r="T12" s="27">
        <f>IF($G12&lt;&gt;0,SUMIF(куб!$G:$G,$G12,куб!L:L),IF($E12&lt;&gt;0,SUMIF(куб!$E:$E,$E12,куб!L:L),IF($D12&lt;&gt;0,SUMIF(куб!$D:$D,$D12,куб!L:L),IF($C12&lt;&gt;0,SUMIF(куб!$C:$C,$C12,куб!L:L),IF($B12&lt;&gt;0,SUMIF(куб!$B:$B,$B12,куб!L:L))))))</f>
        <v>4871</v>
      </c>
      <c r="U12" s="27">
        <f>IF($G12&lt;&gt;0,SUMIF(куб!$G:$G,$G12,куб!M:M),IF($E12&lt;&gt;0,SUMIF(куб!$E:$E,$E12,куб!M:M),IF($D12&lt;&gt;0,SUMIF(куб!$D:$D,$D12,куб!M:M),IF($C12&lt;&gt;0,SUMIF(куб!$C:$C,$C12,куб!M:M),IF($B12&lt;&gt;0,SUMIF(куб!$B:$B,$B12,куб!M:M))))))</f>
        <v>6013</v>
      </c>
      <c r="V12" s="13">
        <f t="shared" si="19"/>
        <v>0.23444877848491069</v>
      </c>
      <c r="W12" s="5"/>
      <c r="X12" s="27">
        <f>IF($G12&lt;&gt;0,SUMIF(куб!$G:$G,$G12,куб!N:N),IF($E12&lt;&gt;0,SUMIF(куб!$E:$E,$E12,куб!N:N),IF($D12&lt;&gt;0,SUMIF(куб!$D:$D,$D12,куб!N:N),IF($C12&lt;&gt;0,SUMIF(куб!$C:$C,$C12,куб!N:N),IF($B12&lt;&gt;0,SUMIF(куб!$B:$B,$B12,куб!N:N))))))</f>
        <v>40201.701499999908</v>
      </c>
      <c r="Y12" s="27">
        <f>IF($G12&lt;&gt;0,SUMIF(куб!$G:$G,$G12,куб!O:O),IF($E12&lt;&gt;0,SUMIF(куб!$E:$E,$E12,куб!O:O),IF($D12&lt;&gt;0,SUMIF(куб!$D:$D,$D12,куб!O:O),IF($C12&lt;&gt;0,SUMIF(куб!$C:$C,$C12,куб!O:O),IF($B12&lt;&gt;0,SUMIF(куб!$B:$B,$B12,куб!O:O))))))</f>
        <v>48068.952600000135</v>
      </c>
      <c r="Z12" s="13">
        <f t="shared" si="20"/>
        <v>0.19569448074231993</v>
      </c>
      <c r="AA12" s="5"/>
      <c r="AB12" s="33">
        <f t="shared" si="21"/>
        <v>0.12081023761356129</v>
      </c>
      <c r="AC12" s="33">
        <f t="shared" si="22"/>
        <v>0.11741445152984141</v>
      </c>
      <c r="AD12" s="15">
        <f t="shared" si="23"/>
        <v>-3.3957860837198761E-3</v>
      </c>
      <c r="AE12" s="5"/>
      <c r="AF12" s="27">
        <f>IF($G12&lt;&gt;0,SUMIF(куб!$G:$G,$G12,куб!R:R),IF($E12&lt;&gt;0,SUMIF(куб!$E:$E,$E12,куб!R:R),IF($D12&lt;&gt;0,SUMIF(куб!$D:$D,$D12,куб!R:R),IF($C12&lt;&gt;0,SUMIF(куб!$C:$C,$C12,куб!R:R),IF($B12&lt;&gt;0,SUMIF(куб!$B:$B,$B12,куб!R:R))))))</f>
        <v>46189.245600000002</v>
      </c>
      <c r="AG12" s="27">
        <f>IF($G12&lt;&gt;0,SUMIF(куб!$G:$G,$G12,куб!S:S),IF($E12&lt;&gt;0,SUMIF(куб!$E:$E,$E12,куб!S:S),IF($D12&lt;&gt;0,SUMIF(куб!$D:$D,$D12,куб!S:S),IF($C12&lt;&gt;0,SUMIF(куб!$C:$C,$C12,куб!S:S),IF($B12&lt;&gt;0,SUMIF(куб!$B:$B,$B12,куб!S:S))))))</f>
        <v>63516.08229999998</v>
      </c>
      <c r="AH12" s="16">
        <f t="shared" si="24"/>
        <v>0.37512707719997873</v>
      </c>
      <c r="AI12" s="8"/>
      <c r="AJ12" s="27">
        <f>IF($G12&lt;&gt;0,SUMIF(куб!$G:$G,$G12,куб!T:T),IF($E12&lt;&gt;0,SUMIF(куб!$E:$E,$E12,куб!T:T),IF($D12&lt;&gt;0,SUMIF(куб!$D:$D,$D12,куб!T:T),IF($C12&lt;&gt;0,SUMIF(куб!$C:$C,$C12,куб!T:T),IF($B12&lt;&gt;0,SUMIF(куб!$B:$B,$B12,куб!T:T))))))</f>
        <v>775</v>
      </c>
      <c r="AK12" s="27">
        <f>IF($G12&lt;&gt;0,SUMIF(куб!$G:$G,$G12,куб!U:U),IF($E12&lt;&gt;0,SUMIF(куб!$E:$E,$E12,куб!U:U),IF($D12&lt;&gt;0,SUMIF(куб!$D:$D,$D12,куб!U:U),IF($C12&lt;&gt;0,SUMIF(куб!$C:$C,$C12,куб!U:U),IF($B12&lt;&gt;0,SUMIF(куб!$B:$B,$B12,куб!U:U))))))</f>
        <v>1057</v>
      </c>
      <c r="AL12" s="16">
        <f t="shared" si="25"/>
        <v>0.3638709677419355</v>
      </c>
      <c r="AM12" s="8"/>
      <c r="AN12" s="17">
        <f t="shared" si="26"/>
        <v>0.1388034219429034</v>
      </c>
      <c r="AO12" s="17">
        <f t="shared" si="27"/>
        <v>0.15514600512803237</v>
      </c>
      <c r="AP12" s="16">
        <f t="shared" si="28"/>
        <v>1.6342583185128962E-2</v>
      </c>
      <c r="AQ12" s="8"/>
      <c r="AR12" s="17">
        <f t="shared" si="29"/>
        <v>-1.7993184329342129E-2</v>
      </c>
      <c r="AS12" s="17">
        <f t="shared" si="30"/>
        <v>-3.7731553598190949E-2</v>
      </c>
      <c r="AT12" s="13">
        <f t="shared" si="31"/>
        <v>-1.973836926884882E-2</v>
      </c>
      <c r="AU12" s="8"/>
    </row>
    <row r="13" spans="1:50" s="20" customFormat="1" ht="15" customHeight="1" x14ac:dyDescent="0.25">
      <c r="A13" s="31" t="s">
        <v>26</v>
      </c>
      <c r="B13" s="31" t="s">
        <v>32</v>
      </c>
      <c r="C13" t="s">
        <v>33</v>
      </c>
      <c r="D13" s="31" t="s">
        <v>34</v>
      </c>
      <c r="E13" t="s">
        <v>35</v>
      </c>
      <c r="F13" s="31" t="s">
        <v>53</v>
      </c>
      <c r="G13" t="s">
        <v>54</v>
      </c>
      <c r="H13" s="27">
        <f>IF($G13&lt;&gt;0,SUMIF(куб!$G:$G,$G13,куб!H:H),IF($E13&lt;&gt;0,SUMIF(куб!$E:$E,$E13,куб!H:H),IF($D13&lt;&gt;0,SUMIF(куб!$D:$D,$D13,куб!H:H),IF($C13&lt;&gt;0,SUMIF(куб!$C:$C,$C13,куб!H:H),IF($B13&lt;&gt;0,SUMIF(куб!$B:$B,$B13,куб!H:H),IF($G13&lt;&gt;0,SUMIF(куб!$A:$A,$G13,куб!H:H),SUMIF(куб!$A:$A,$G13,куб!H:H)))))))</f>
        <v>357060.67940000008</v>
      </c>
      <c r="I13" s="27">
        <f>IF($G13&lt;&gt;0,SUMIF(куб!$G:$G,$G13,куб!I:I),IF($E13&lt;&gt;0,SUMIF(куб!$E:$E,$E13,куб!I:I),IF($D13&lt;&gt;0,SUMIF(куб!$D:$D,$D13,куб!I:I),IF($C13&lt;&gt;0,SUMIF(куб!$C:$C,$C13,куб!I:I),IF($B13&lt;&gt;0,SUMIF(куб!$B:$B,$B13,куб!I:I),IF($G13&lt;&gt;0,SUMIF(куб!$A:$A,$G13,куб!I:I),SUMIF(куб!$A:$A,$G13,куб!I:I)))))))</f>
        <v>565015.7864000001</v>
      </c>
      <c r="J13" s="19">
        <f t="shared" si="33"/>
        <v>0.58240831040103591</v>
      </c>
      <c r="K13" s="5"/>
      <c r="L13" s="17">
        <f t="shared" si="15"/>
        <v>7.4586120791350966E-4</v>
      </c>
      <c r="M13" s="17">
        <f t="shared" si="16"/>
        <v>1.2047125453833658E-3</v>
      </c>
      <c r="N13" s="12">
        <f t="shared" si="17"/>
        <v>4.5885133746985613E-4</v>
      </c>
      <c r="O13" s="5"/>
      <c r="P13" s="27">
        <f>IF($G13&lt;&gt;0,SUMIF(куб!$G:$G,$G13,куб!J:J),IF($E13&lt;&gt;0,SUMIF(куб!$E:$E,$E13,куб!J:J),IF($D13&lt;&gt;0,SUMIF(куб!$D:$D,$D13,куб!J:J),IF($C13&lt;&gt;0,SUMIF(куб!$C:$C,$C13,куб!J:J),IF($B13&lt;&gt;0,SUMIF(куб!$B:$B,$B13,куб!J:J))))))</f>
        <v>4279</v>
      </c>
      <c r="Q13" s="27">
        <f>IF($G13&lt;&gt;0,SUMIF(куб!$G:$G,$G13,куб!K:K),IF($E13&lt;&gt;0,SUMIF(куб!$E:$E,$E13,куб!K:K),IF($D13&lt;&gt;0,SUMIF(куб!$D:$D,$D13,куб!K:K),IF($C13&lt;&gt;0,SUMIF(куб!$C:$C,$C13,куб!K:K),IF($B13&lt;&gt;0,SUMIF(куб!$B:$B,$B13,куб!K:K))))))</f>
        <v>7687</v>
      </c>
      <c r="R13" s="13">
        <f t="shared" si="18"/>
        <v>0.79644776817013319</v>
      </c>
      <c r="S13" s="5"/>
      <c r="T13" s="27">
        <f>IF($G13&lt;&gt;0,SUMIF(куб!$G:$G,$G13,куб!L:L),IF($E13&lt;&gt;0,SUMIF(куб!$E:$E,$E13,куб!L:L),IF($D13&lt;&gt;0,SUMIF(куб!$D:$D,$D13,куб!L:L),IF($C13&lt;&gt;0,SUMIF(куб!$C:$C,$C13,куб!L:L),IF($B13&lt;&gt;0,SUMIF(куб!$B:$B,$B13,куб!L:L))))))</f>
        <v>3851.0999999999985</v>
      </c>
      <c r="U13" s="27">
        <f>IF($G13&lt;&gt;0,SUMIF(куб!$G:$G,$G13,куб!M:M),IF($E13&lt;&gt;0,SUMIF(куб!$E:$E,$E13,куб!M:M),IF($D13&lt;&gt;0,SUMIF(куб!$D:$D,$D13,куб!M:M),IF($C13&lt;&gt;0,SUMIF(куб!$C:$C,$C13,куб!M:M),IF($B13&lt;&gt;0,SUMIF(куб!$B:$B,$B13,куб!M:M))))))</f>
        <v>6918.2999999999993</v>
      </c>
      <c r="V13" s="13">
        <f t="shared" si="19"/>
        <v>0.79644776817013374</v>
      </c>
      <c r="W13" s="5"/>
      <c r="X13" s="27">
        <f>IF($G13&lt;&gt;0,SUMIF(куб!$G:$G,$G13,куб!N:N),IF($E13&lt;&gt;0,SUMIF(куб!$E:$E,$E13,куб!N:N),IF($D13&lt;&gt;0,SUMIF(куб!$D:$D,$D13,куб!N:N),IF($C13&lt;&gt;0,SUMIF(куб!$C:$C,$C13,куб!N:N),IF($B13&lt;&gt;0,SUMIF(куб!$B:$B,$B13,куб!N:N))))))</f>
        <v>46101.616600000183</v>
      </c>
      <c r="Y13" s="27">
        <f>IF($G13&lt;&gt;0,SUMIF(куб!$G:$G,$G13,куб!O:O),IF($E13&lt;&gt;0,SUMIF(куб!$E:$E,$E13,куб!O:O),IF($D13&lt;&gt;0,SUMIF(куб!$D:$D,$D13,куб!O:O),IF($C13&lt;&gt;0,SUMIF(куб!$C:$C,$C13,куб!O:O),IF($B13&lt;&gt;0,SUMIF(куб!$B:$B,$B13,куб!O:O))))))</f>
        <v>6170.8863999999594</v>
      </c>
      <c r="Z13" s="13">
        <f t="shared" si="20"/>
        <v>-0.86614598673314347</v>
      </c>
      <c r="AA13" s="5"/>
      <c r="AB13" s="33">
        <f t="shared" si="21"/>
        <v>0.12911423536601319</v>
      </c>
      <c r="AC13" s="33">
        <f t="shared" si="22"/>
        <v>1.0921617676061375E-2</v>
      </c>
      <c r="AD13" s="15">
        <f t="shared" si="23"/>
        <v>-0.11819261768995182</v>
      </c>
      <c r="AE13" s="5"/>
      <c r="AF13" s="27">
        <f>IF($G13&lt;&gt;0,SUMIF(куб!$G:$G,$G13,куб!R:R),IF($E13&lt;&gt;0,SUMIF(куб!$E:$E,$E13,куб!R:R),IF($D13&lt;&gt;0,SUMIF(куб!$D:$D,$D13,куб!R:R),IF($C13&lt;&gt;0,SUMIF(куб!$C:$C,$C13,куб!R:R),IF($B13&lt;&gt;0,SUMIF(куб!$B:$B,$B13,куб!R:R))))))</f>
        <v>9125.7172999999984</v>
      </c>
      <c r="AG13" s="27">
        <f>IF($G13&lt;&gt;0,SUMIF(куб!$G:$G,$G13,куб!S:S),IF($E13&lt;&gt;0,SUMIF(куб!$E:$E,$E13,куб!S:S),IF($D13&lt;&gt;0,SUMIF(куб!$D:$D,$D13,куб!S:S),IF($C13&lt;&gt;0,SUMIF(куб!$C:$C,$C13,куб!S:S),IF($B13&lt;&gt;0,SUMIF(куб!$B:$B,$B13,куб!S:S))))))</f>
        <v>2326.4</v>
      </c>
      <c r="AH13" s="16">
        <f t="shared" si="24"/>
        <v>-0.74507209422321241</v>
      </c>
      <c r="AI13" s="8"/>
      <c r="AJ13" s="27">
        <f>IF($G13&lt;&gt;0,SUMIF(куб!$G:$G,$G13,куб!T:T),IF($E13&lt;&gt;0,SUMIF(куб!$E:$E,$E13,куб!T:T),IF($D13&lt;&gt;0,SUMIF(куб!$D:$D,$D13,куб!T:T),IF($C13&lt;&gt;0,SUMIF(куб!$C:$C,$C13,куб!T:T),IF($B13&lt;&gt;0,SUMIF(куб!$B:$B,$B13,куб!T:T))))))</f>
        <v>126</v>
      </c>
      <c r="AK13" s="27">
        <f>IF($G13&lt;&gt;0,SUMIF(куб!$G:$G,$G13,куб!U:U),IF($E13&lt;&gt;0,SUMIF(куб!$E:$E,$E13,куб!U:U),IF($D13&lt;&gt;0,SUMIF(куб!$D:$D,$D13,куб!U:U),IF($C13&lt;&gt;0,SUMIF(куб!$C:$C,$C13,куб!U:U),IF($B13&lt;&gt;0,SUMIF(куб!$B:$B,$B13,куб!U:U))))))</f>
        <v>32</v>
      </c>
      <c r="AL13" s="16">
        <f t="shared" si="25"/>
        <v>-0.74603174603174605</v>
      </c>
      <c r="AM13" s="8"/>
      <c r="AN13" s="17">
        <f t="shared" si="26"/>
        <v>2.5557889251022346E-2</v>
      </c>
      <c r="AO13" s="17">
        <f t="shared" si="27"/>
        <v>4.117407081353718E-3</v>
      </c>
      <c r="AP13" s="16">
        <f t="shared" si="28"/>
        <v>-2.1440482169668627E-2</v>
      </c>
      <c r="AQ13" s="8"/>
      <c r="AR13" s="17">
        <f t="shared" si="29"/>
        <v>0.10355634611499083</v>
      </c>
      <c r="AS13" s="17">
        <f t="shared" si="30"/>
        <v>6.804210594707657E-3</v>
      </c>
      <c r="AT13" s="13">
        <f t="shared" si="31"/>
        <v>-9.6752135520283167E-2</v>
      </c>
      <c r="AU13" s="8"/>
      <c r="AV13"/>
      <c r="AW13"/>
      <c r="AX13"/>
    </row>
    <row r="14" spans="1:50" s="20" customFormat="1" ht="15" customHeight="1" x14ac:dyDescent="0.25">
      <c r="A14" s="31" t="s">
        <v>26</v>
      </c>
      <c r="B14" s="31" t="s">
        <v>32</v>
      </c>
      <c r="C14" t="s">
        <v>33</v>
      </c>
      <c r="D14" s="31" t="s">
        <v>34</v>
      </c>
      <c r="E14" t="s">
        <v>35</v>
      </c>
      <c r="F14" s="31" t="s">
        <v>53</v>
      </c>
      <c r="G14" t="s">
        <v>55</v>
      </c>
      <c r="H14" s="27">
        <f>IF($G14&lt;&gt;0,SUMIF(куб!$G:$G,$G14,куб!H:H),IF($E14&lt;&gt;0,SUMIF(куб!$E:$E,$E14,куб!H:H),IF($D14&lt;&gt;0,SUMIF(куб!$D:$D,$D14,куб!H:H),IF($C14&lt;&gt;0,SUMIF(куб!$C:$C,$C14,куб!H:H),IF($B14&lt;&gt;0,SUMIF(куб!$B:$B,$B14,куб!H:H),IF($G14&lt;&gt;0,SUMIF(куб!$A:$A,$G14,куб!H:H),SUMIF(куб!$A:$A,$G14,куб!H:H)))))))</f>
        <v>421736.7931999999</v>
      </c>
      <c r="I14" s="27">
        <f>IF($G14&lt;&gt;0,SUMIF(куб!$G:$G,$G14,куб!I:I),IF($E14&lt;&gt;0,SUMIF(куб!$E:$E,$E14,куб!I:I),IF($D14&lt;&gt;0,SUMIF(куб!$D:$D,$D14,куб!I:I),IF($C14&lt;&gt;0,SUMIF(куб!$C:$C,$C14,куб!I:I),IF($B14&lt;&gt;0,SUMIF(куб!$B:$B,$B14,куб!I:I),IF($G14&lt;&gt;0,SUMIF(куб!$A:$A,$G14,куб!I:I),SUMIF(куб!$A:$A,$G14,куб!I:I)))))))</f>
        <v>301581.72249999992</v>
      </c>
      <c r="J14" s="19">
        <f t="shared" si="33"/>
        <v>-0.28490535480270257</v>
      </c>
      <c r="K14" s="8"/>
      <c r="L14" s="17">
        <f t="shared" si="15"/>
        <v>8.809626266501801E-4</v>
      </c>
      <c r="M14" s="17">
        <f t="shared" si="16"/>
        <v>6.4302501505128691E-4</v>
      </c>
      <c r="N14" s="12">
        <f t="shared" si="17"/>
        <v>-2.3793761159889319E-4</v>
      </c>
      <c r="O14" s="5"/>
      <c r="P14" s="27">
        <f>IF($G14&lt;&gt;0,SUMIF(куб!$G:$G,$G14,куб!J:J),IF($E14&lt;&gt;0,SUMIF(куб!$E:$E,$E14,куб!J:J),IF($D14&lt;&gt;0,SUMIF(куб!$D:$D,$D14,куб!J:J),IF($C14&lt;&gt;0,SUMIF(куб!$C:$C,$C14,куб!J:J),IF($B14&lt;&gt;0,SUMIF(куб!$B:$B,$B14,куб!J:J))))))</f>
        <v>6966</v>
      </c>
      <c r="Q14" s="27">
        <f>IF($G14&lt;&gt;0,SUMIF(куб!$G:$G,$G14,куб!K:K),IF($E14&lt;&gt;0,SUMIF(куб!$E:$E,$E14,куб!K:K),IF($D14&lt;&gt;0,SUMIF(куб!$D:$D,$D14,куб!K:K),IF($C14&lt;&gt;0,SUMIF(куб!$C:$C,$C14,куб!K:K),IF($B14&lt;&gt;0,SUMIF(куб!$B:$B,$B14,куб!K:K))))))</f>
        <v>4857</v>
      </c>
      <c r="R14" s="13">
        <f t="shared" si="18"/>
        <v>-0.30275624461670975</v>
      </c>
      <c r="S14" s="5"/>
      <c r="T14" s="27">
        <f>IF($G14&lt;&gt;0,SUMIF(куб!$G:$G,$G14,куб!L:L),IF($E14&lt;&gt;0,SUMIF(куб!$E:$E,$E14,куб!L:L),IF($D14&lt;&gt;0,SUMIF(куб!$D:$D,$D14,куб!L:L),IF($C14&lt;&gt;0,SUMIF(куб!$C:$C,$C14,куб!L:L),IF($B14&lt;&gt;0,SUMIF(куб!$B:$B,$B14,куб!L:L))))))</f>
        <v>6269.3999999999978</v>
      </c>
      <c r="U14" s="27">
        <f>IF($G14&lt;&gt;0,SUMIF(куб!$G:$G,$G14,куб!M:M),IF($E14&lt;&gt;0,SUMIF(куб!$E:$E,$E14,куб!M:M),IF($D14&lt;&gt;0,SUMIF(куб!$D:$D,$D14,куб!M:M),IF($C14&lt;&gt;0,SUMIF(куб!$C:$C,$C14,куб!M:M),IF($B14&lt;&gt;0,SUMIF(куб!$B:$B,$B14,куб!M:M))))))</f>
        <v>4371.2999999999984</v>
      </c>
      <c r="V14" s="13">
        <f t="shared" si="19"/>
        <v>-0.30275624461670975</v>
      </c>
      <c r="W14" s="5"/>
      <c r="X14" s="27">
        <f>IF($G14&lt;&gt;0,SUMIF(куб!$G:$G,$G14,куб!N:N),IF($E14&lt;&gt;0,SUMIF(куб!$E:$E,$E14,куб!N:N),IF($D14&lt;&gt;0,SUMIF(куб!$D:$D,$D14,куб!N:N),IF($C14&lt;&gt;0,SUMIF(куб!$C:$C,$C14,куб!N:N),IF($B14&lt;&gt;0,SUMIF(куб!$B:$B,$B14,куб!N:N))))))</f>
        <v>42235.950199999905</v>
      </c>
      <c r="Y14" s="27">
        <f>IF($G14&lt;&gt;0,SUMIF(куб!$G:$G,$G14,куб!O:O),IF($E14&lt;&gt;0,SUMIF(куб!$E:$E,$E14,куб!O:O),IF($D14&lt;&gt;0,SUMIF(куб!$D:$D,$D14,куб!O:O),IF($C14&lt;&gt;0,SUMIF(куб!$C:$C,$C14,куб!O:O),IF($B14&lt;&gt;0,SUMIF(куб!$B:$B,$B14,куб!O:O))))))</f>
        <v>36898.543999999994</v>
      </c>
      <c r="Z14" s="13">
        <f t="shared" si="20"/>
        <v>-0.12637116425049488</v>
      </c>
      <c r="AA14" s="5"/>
      <c r="AB14" s="33">
        <f t="shared" si="21"/>
        <v>0.10014765342034168</v>
      </c>
      <c r="AC14" s="33">
        <f t="shared" si="22"/>
        <v>0.12235006715302518</v>
      </c>
      <c r="AD14" s="15">
        <f t="shared" si="23"/>
        <v>2.2202413732683501E-2</v>
      </c>
      <c r="AE14" s="5"/>
      <c r="AF14" s="27">
        <f>IF($G14&lt;&gt;0,SUMIF(куб!$G:$G,$G14,куб!R:R),IF($E14&lt;&gt;0,SUMIF(куб!$E:$E,$E14,куб!R:R),IF($D14&lt;&gt;0,SUMIF(куб!$D:$D,$D14,куб!R:R),IF($C14&lt;&gt;0,SUMIF(куб!$C:$C,$C14,куб!R:R),IF($B14&lt;&gt;0,SUMIF(куб!$B:$B,$B14,куб!R:R))))))</f>
        <v>26394.039999999997</v>
      </c>
      <c r="AG14" s="27">
        <f>IF($G14&lt;&gt;0,SUMIF(куб!$G:$G,$G14,куб!S:S),IF($E14&lt;&gt;0,SUMIF(куб!$E:$E,$E14,куб!S:S),IF($D14&lt;&gt;0,SUMIF(куб!$D:$D,$D14,куб!S:S),IF($C14&lt;&gt;0,SUMIF(куб!$C:$C,$C14,куб!S:S),IF($B14&lt;&gt;0,SUMIF(куб!$B:$B,$B14,куб!S:S))))))</f>
        <v>17981.997599999992</v>
      </c>
      <c r="AH14" s="16">
        <f t="shared" si="24"/>
        <v>-0.3187099208760768</v>
      </c>
      <c r="AI14" s="8"/>
      <c r="AJ14" s="27">
        <f>IF($G14&lt;&gt;0,SUMIF(куб!$G:$G,$G14,куб!T:T),IF($E14&lt;&gt;0,SUMIF(куб!$E:$E,$E14,куб!T:T),IF($D14&lt;&gt;0,SUMIF(куб!$D:$D,$D14,куб!T:T),IF($C14&lt;&gt;0,SUMIF(куб!$C:$C,$C14,куб!T:T),IF($B14&lt;&gt;0,SUMIF(куб!$B:$B,$B14,куб!T:T))))))</f>
        <v>488</v>
      </c>
      <c r="AK14" s="27">
        <f>IF($G14&lt;&gt;0,SUMIF(куб!$G:$G,$G14,куб!U:U),IF($E14&lt;&gt;0,SUMIF(куб!$E:$E,$E14,куб!U:U),IF($D14&lt;&gt;0,SUMIF(куб!$D:$D,$D14,куб!U:U),IF($C14&lt;&gt;0,SUMIF(куб!$C:$C,$C14,куб!U:U),IF($B14&lt;&gt;0,SUMIF(куб!$B:$B,$B14,куб!U:U))))))</f>
        <v>330</v>
      </c>
      <c r="AL14" s="16">
        <f t="shared" si="25"/>
        <v>-0.32377049180327871</v>
      </c>
      <c r="AM14" s="8"/>
      <c r="AN14" s="17">
        <f t="shared" si="26"/>
        <v>6.2584153020491085E-2</v>
      </c>
      <c r="AO14" s="17">
        <f t="shared" si="27"/>
        <v>5.9625621376971867E-2</v>
      </c>
      <c r="AP14" s="16">
        <f t="shared" si="28"/>
        <v>-2.9585316435192174E-3</v>
      </c>
      <c r="AQ14" s="8"/>
      <c r="AR14" s="17">
        <f t="shared" si="29"/>
        <v>3.7563500399850604E-2</v>
      </c>
      <c r="AS14" s="17">
        <f t="shared" si="30"/>
        <v>6.2724445776053322E-2</v>
      </c>
      <c r="AT14" s="13">
        <f t="shared" si="31"/>
        <v>2.5160945376202719E-2</v>
      </c>
      <c r="AU14" s="8"/>
      <c r="AV14" s="22"/>
      <c r="AW14" s="22"/>
      <c r="AX14" s="22"/>
    </row>
    <row r="15" spans="1:50" ht="15" customHeight="1" x14ac:dyDescent="0.25">
      <c r="A15" s="31" t="s">
        <v>26</v>
      </c>
      <c r="B15" s="31" t="s">
        <v>32</v>
      </c>
      <c r="C15" t="s">
        <v>33</v>
      </c>
      <c r="D15" s="31" t="s">
        <v>34</v>
      </c>
      <c r="E15" t="s">
        <v>35</v>
      </c>
      <c r="F15" s="31" t="s">
        <v>56</v>
      </c>
      <c r="G15" t="s">
        <v>57</v>
      </c>
      <c r="H15" s="27">
        <f>IF($G15&lt;&gt;0,SUMIF(куб!$G:$G,$G15,куб!H:H),IF($E15&lt;&gt;0,SUMIF(куб!$E:$E,$E15,куб!H:H),IF($D15&lt;&gt;0,SUMIF(куб!$D:$D,$D15,куб!H:H),IF($C15&lt;&gt;0,SUMIF(куб!$C:$C,$C15,куб!H:H),IF($B15&lt;&gt;0,SUMIF(куб!$B:$B,$B15,куб!H:H),IF($G15&lt;&gt;0,SUMIF(куб!$A:$A,$G15,куб!H:H),SUMIF(куб!$A:$A,$G15,куб!H:H)))))))</f>
        <v>81313.4954</v>
      </c>
      <c r="I15" s="27">
        <f>IF($G15&lt;&gt;0,SUMIF(куб!$G:$G,$G15,куб!I:I),IF($E15&lt;&gt;0,SUMIF(куб!$E:$E,$E15,куб!I:I),IF($D15&lt;&gt;0,SUMIF(куб!$D:$D,$D15,куб!I:I),IF($C15&lt;&gt;0,SUMIF(куб!$C:$C,$C15,куб!I:I),IF($B15&lt;&gt;0,SUMIF(куб!$B:$B,$B15,куб!I:I),IF($G15&lt;&gt;0,SUMIF(куб!$A:$A,$G15,куб!I:I),SUMIF(куб!$A:$A,$G15,куб!I:I)))))))</f>
        <v>0</v>
      </c>
      <c r="J15" s="19">
        <f t="shared" si="33"/>
        <v>-1</v>
      </c>
      <c r="K15" s="10"/>
      <c r="L15" s="17">
        <f t="shared" si="15"/>
        <v>1.6985511258373973E-4</v>
      </c>
      <c r="M15" s="17">
        <f t="shared" si="16"/>
        <v>0</v>
      </c>
      <c r="N15" s="12">
        <f t="shared" si="17"/>
        <v>-1.6985511258373973E-4</v>
      </c>
      <c r="O15" s="5"/>
      <c r="P15" s="27">
        <f>IF($G15&lt;&gt;0,SUMIF(куб!$G:$G,$G15,куб!J:J),IF($E15&lt;&gt;0,SUMIF(куб!$E:$E,$E15,куб!J:J),IF($D15&lt;&gt;0,SUMIF(куб!$D:$D,$D15,куб!J:J),IF($C15&lt;&gt;0,SUMIF(куб!$C:$C,$C15,куб!J:J),IF($B15&lt;&gt;0,SUMIF(куб!$B:$B,$B15,куб!J:J))))))</f>
        <v>585</v>
      </c>
      <c r="Q15" s="27">
        <f>IF($G15&lt;&gt;0,SUMIF(куб!$G:$G,$G15,куб!K:K),IF($E15&lt;&gt;0,SUMIF(куб!$E:$E,$E15,куб!K:K),IF($D15&lt;&gt;0,SUMIF(куб!$D:$D,$D15,куб!K:K),IF($C15&lt;&gt;0,SUMIF(куб!$C:$C,$C15,куб!K:K),IF($B15&lt;&gt;0,SUMIF(куб!$B:$B,$B15,куб!K:K))))))</f>
        <v>0</v>
      </c>
      <c r="R15" s="13">
        <f t="shared" si="18"/>
        <v>-1</v>
      </c>
      <c r="S15" s="5"/>
      <c r="T15" s="27">
        <f>IF($G15&lt;&gt;0,SUMIF(куб!$G:$G,$G15,куб!L:L),IF($E15&lt;&gt;0,SUMIF(куб!$E:$E,$E15,куб!L:L),IF($D15&lt;&gt;0,SUMIF(куб!$D:$D,$D15,куб!L:L),IF($C15&lt;&gt;0,SUMIF(куб!$C:$C,$C15,куб!L:L),IF($B15&lt;&gt;0,SUMIF(куб!$B:$B,$B15,куб!L:L))))))</f>
        <v>877.5</v>
      </c>
      <c r="U15" s="27">
        <f>IF($G15&lt;&gt;0,SUMIF(куб!$G:$G,$G15,куб!M:M),IF($E15&lt;&gt;0,SUMIF(куб!$E:$E,$E15,куб!M:M),IF($D15&lt;&gt;0,SUMIF(куб!$D:$D,$D15,куб!M:M),IF($C15&lt;&gt;0,SUMIF(куб!$C:$C,$C15,куб!M:M),IF($B15&lt;&gt;0,SUMIF(куб!$B:$B,$B15,куб!M:M))))))</f>
        <v>0</v>
      </c>
      <c r="V15" s="13">
        <f t="shared" si="19"/>
        <v>-1</v>
      </c>
      <c r="W15" s="5"/>
      <c r="X15" s="27">
        <f>IF($G15&lt;&gt;0,SUMIF(куб!$G:$G,$G15,куб!N:N),IF($E15&lt;&gt;0,SUMIF(куб!$E:$E,$E15,куб!N:N),IF($D15&lt;&gt;0,SUMIF(куб!$D:$D,$D15,куб!N:N),IF($C15&lt;&gt;0,SUMIF(куб!$C:$C,$C15,куб!N:N),IF($B15&lt;&gt;0,SUMIF(куб!$B:$B,$B15,куб!N:N))))))</f>
        <v>5087.9953999999852</v>
      </c>
      <c r="Y15" s="27">
        <f>IF($G15&lt;&gt;0,SUMIF(куб!$G:$G,$G15,куб!O:O),IF($E15&lt;&gt;0,SUMIF(куб!$E:$E,$E15,куб!O:O),IF($D15&lt;&gt;0,SUMIF(куб!$D:$D,$D15,куб!O:O),IF($C15&lt;&gt;0,SUMIF(куб!$C:$C,$C15,куб!O:O),IF($B15&lt;&gt;0,SUMIF(куб!$B:$B,$B15,куб!O:O))))))</f>
        <v>0</v>
      </c>
      <c r="Z15" s="13">
        <f t="shared" si="20"/>
        <v>-1</v>
      </c>
      <c r="AA15" s="5"/>
      <c r="AB15" s="33">
        <f t="shared" si="21"/>
        <v>6.2572582508856028E-2</v>
      </c>
      <c r="AC15" s="33" t="str">
        <f t="shared" si="22"/>
        <v/>
      </c>
      <c r="AD15" s="15" t="str">
        <f t="shared" si="23"/>
        <v xml:space="preserve"> </v>
      </c>
      <c r="AE15" s="5"/>
      <c r="AF15" s="27">
        <f>IF($G15&lt;&gt;0,SUMIF(куб!$G:$G,$G15,куб!R:R),IF($E15&lt;&gt;0,SUMIF(куб!$E:$E,$E15,куб!R:R),IF($D15&lt;&gt;0,SUMIF(куб!$D:$D,$D15,куб!R:R),IF($C15&lt;&gt;0,SUMIF(куб!$C:$C,$C15,куб!R:R),IF($B15&lt;&gt;0,SUMIF(куб!$B:$B,$B15,куб!R:R))))))</f>
        <v>1042.4000000000001</v>
      </c>
      <c r="AG15" s="27">
        <f>IF($G15&lt;&gt;0,SUMIF(куб!$G:$G,$G15,куб!S:S),IF($E15&lt;&gt;0,SUMIF(куб!$E:$E,$E15,куб!S:S),IF($D15&lt;&gt;0,SUMIF(куб!$D:$D,$D15,куб!S:S),IF($C15&lt;&gt;0,SUMIF(куб!$C:$C,$C15,куб!S:S),IF($B15&lt;&gt;0,SUMIF(куб!$B:$B,$B15,куб!S:S))))))</f>
        <v>0</v>
      </c>
      <c r="AH15" s="16">
        <f t="shared" si="24"/>
        <v>-1</v>
      </c>
      <c r="AI15" s="8"/>
      <c r="AJ15" s="27">
        <f>IF($G15&lt;&gt;0,SUMIF(куб!$G:$G,$G15,куб!T:T),IF($E15&lt;&gt;0,SUMIF(куб!$E:$E,$E15,куб!T:T),IF($D15&lt;&gt;0,SUMIF(куб!$D:$D,$D15,куб!T:T),IF($C15&lt;&gt;0,SUMIF(куб!$C:$C,$C15,куб!T:T),IF($B15&lt;&gt;0,SUMIF(куб!$B:$B,$B15,куб!T:T))))))</f>
        <v>8</v>
      </c>
      <c r="AK15" s="27">
        <f>IF($G15&lt;&gt;0,SUMIF(куб!$G:$G,$G15,куб!U:U),IF($E15&lt;&gt;0,SUMIF(куб!$E:$E,$E15,куб!U:U),IF($D15&lt;&gt;0,SUMIF(куб!$D:$D,$D15,куб!U:U),IF($C15&lt;&gt;0,SUMIF(куб!$C:$C,$C15,куб!U:U),IF($B15&lt;&gt;0,SUMIF(куб!$B:$B,$B15,куб!U:U))))))</f>
        <v>0</v>
      </c>
      <c r="AL15" s="16">
        <f t="shared" si="25"/>
        <v>-1</v>
      </c>
      <c r="AM15" s="8"/>
      <c r="AN15" s="17">
        <f t="shared" si="26"/>
        <v>1.281952023919513E-2</v>
      </c>
      <c r="AO15" s="17" t="str">
        <f t="shared" si="27"/>
        <v xml:space="preserve"> </v>
      </c>
      <c r="AP15" s="16" t="str">
        <f t="shared" si="28"/>
        <v>-</v>
      </c>
      <c r="AQ15" s="8"/>
      <c r="AR15" s="17">
        <f t="shared" si="29"/>
        <v>4.9753062269660898E-2</v>
      </c>
      <c r="AS15" s="17" t="str">
        <f t="shared" si="30"/>
        <v>-</v>
      </c>
      <c r="AT15" s="13" t="str">
        <f t="shared" si="31"/>
        <v>-</v>
      </c>
      <c r="AU15" s="8"/>
    </row>
    <row r="16" spans="1:50" s="20" customFormat="1" ht="15" customHeight="1" x14ac:dyDescent="0.25">
      <c r="A16" s="31" t="s">
        <v>26</v>
      </c>
      <c r="B16" s="31" t="s">
        <v>32</v>
      </c>
      <c r="C16" t="s">
        <v>33</v>
      </c>
      <c r="D16" s="31" t="s">
        <v>34</v>
      </c>
      <c r="E16" t="s">
        <v>35</v>
      </c>
      <c r="F16" s="31" t="s">
        <v>58</v>
      </c>
      <c r="G16" t="s">
        <v>59</v>
      </c>
      <c r="H16" s="27">
        <f>IF($G16&lt;&gt;0,SUMIF(куб!$G:$G,$G16,куб!H:H),IF($E16&lt;&gt;0,SUMIF(куб!$E:$E,$E16,куб!H:H),IF($D16&lt;&gt;0,SUMIF(куб!$D:$D,$D16,куб!H:H),IF($C16&lt;&gt;0,SUMIF(куб!$C:$C,$C16,куб!H:H),IF($B16&lt;&gt;0,SUMIF(куб!$B:$B,$B16,куб!H:H),IF($G16&lt;&gt;0,SUMIF(куб!$A:$A,$G16,куб!H:H),SUMIF(куб!$A:$A,$G16,куб!H:H)))))))</f>
        <v>750726.48250000051</v>
      </c>
      <c r="I16" s="27">
        <f>IF($G16&lt;&gt;0,SUMIF(куб!$G:$G,$G16,куб!I:I),IF($E16&lt;&gt;0,SUMIF(куб!$E:$E,$E16,куб!I:I),IF($D16&lt;&gt;0,SUMIF(куб!$D:$D,$D16,куб!I:I),IF($C16&lt;&gt;0,SUMIF(куб!$C:$C,$C16,куб!I:I),IF($B16&lt;&gt;0,SUMIF(куб!$B:$B,$B16,куб!I:I),IF($G16&lt;&gt;0,SUMIF(куб!$A:$A,$G16,куб!I:I),SUMIF(куб!$A:$A,$G16,куб!I:I)))))))</f>
        <v>870456.34830000089</v>
      </c>
      <c r="J16" s="19">
        <f t="shared" si="33"/>
        <v>0.15948533665854833</v>
      </c>
      <c r="K16" s="5"/>
      <c r="L16" s="17">
        <f t="shared" si="15"/>
        <v>1.5681865670311905E-3</v>
      </c>
      <c r="M16" s="17">
        <f t="shared" si="16"/>
        <v>1.8559652814075841E-3</v>
      </c>
      <c r="N16" s="12">
        <f t="shared" si="17"/>
        <v>2.8777871437639358E-4</v>
      </c>
      <c r="O16" s="5"/>
      <c r="P16" s="27">
        <f>IF($G16&lt;&gt;0,SUMIF(куб!$G:$G,$G16,куб!J:J),IF($E16&lt;&gt;0,SUMIF(куб!$E:$E,$E16,куб!J:J),IF($D16&lt;&gt;0,SUMIF(куб!$D:$D,$D16,куб!J:J),IF($C16&lt;&gt;0,SUMIF(куб!$C:$C,$C16,куб!J:J),IF($B16&lt;&gt;0,SUMIF(куб!$B:$B,$B16,куб!J:J))))))</f>
        <v>10256</v>
      </c>
      <c r="Q16" s="27">
        <f>IF($G16&lt;&gt;0,SUMIF(куб!$G:$G,$G16,куб!K:K),IF($E16&lt;&gt;0,SUMIF(куб!$E:$E,$E16,куб!K:K),IF($D16&lt;&gt;0,SUMIF(куб!$D:$D,$D16,куб!K:K),IF($C16&lt;&gt;0,SUMIF(куб!$C:$C,$C16,куб!K:K),IF($B16&lt;&gt;0,SUMIF(куб!$B:$B,$B16,куб!K:K))))))</f>
        <v>11502</v>
      </c>
      <c r="R16" s="13">
        <f t="shared" si="18"/>
        <v>0.12148985959438377</v>
      </c>
      <c r="S16" s="5"/>
      <c r="T16" s="27">
        <f>IF($G16&lt;&gt;0,SUMIF(куб!$G:$G,$G16,куб!L:L),IF($E16&lt;&gt;0,SUMIF(куб!$E:$E,$E16,куб!L:L),IF($D16&lt;&gt;0,SUMIF(куб!$D:$D,$D16,куб!L:L),IF($C16&lt;&gt;0,SUMIF(куб!$C:$C,$C16,куб!L:L),IF($B16&lt;&gt;0,SUMIF(куб!$B:$B,$B16,куб!L:L))))))</f>
        <v>9230.4000000000033</v>
      </c>
      <c r="U16" s="27">
        <f>IF($G16&lt;&gt;0,SUMIF(куб!$G:$G,$G16,куб!M:M),IF($E16&lt;&gt;0,SUMIF(куб!$E:$E,$E16,куб!M:M),IF($D16&lt;&gt;0,SUMIF(куб!$D:$D,$D16,куб!M:M),IF($C16&lt;&gt;0,SUMIF(куб!$C:$C,$C16,куб!M:M),IF($B16&lt;&gt;0,SUMIF(куб!$B:$B,$B16,куб!M:M))))))</f>
        <v>10351.800000000003</v>
      </c>
      <c r="V16" s="13">
        <f t="shared" si="19"/>
        <v>0.12148985959438369</v>
      </c>
      <c r="W16" s="5"/>
      <c r="X16" s="27">
        <f>IF($G16&lt;&gt;0,SUMIF(куб!$G:$G,$G16,куб!N:N),IF($E16&lt;&gt;0,SUMIF(куб!$E:$E,$E16,куб!N:N),IF($D16&lt;&gt;0,SUMIF(куб!$D:$D,$D16,куб!N:N),IF($C16&lt;&gt;0,SUMIF(куб!$C:$C,$C16,куб!N:N),IF($B16&lt;&gt;0,SUMIF(куб!$B:$B,$B16,куб!N:N))))))</f>
        <v>85812.305999999866</v>
      </c>
      <c r="Y16" s="27">
        <f>IF($G16&lt;&gt;0,SUMIF(куб!$G:$G,$G16,куб!O:O),IF($E16&lt;&gt;0,SUMIF(куб!$E:$E,$E16,куб!O:O),IF($D16&lt;&gt;0,SUMIF(куб!$D:$D,$D16,куб!O:O),IF($C16&lt;&gt;0,SUMIF(куб!$C:$C,$C16,куб!O:O),IF($B16&lt;&gt;0,SUMIF(куб!$B:$B,$B16,куб!O:O))))))</f>
        <v>107135.67640000151</v>
      </c>
      <c r="Z16" s="13">
        <f t="shared" si="20"/>
        <v>0.24848849068339543</v>
      </c>
      <c r="AA16" s="5"/>
      <c r="AB16" s="33">
        <f t="shared" si="21"/>
        <v>0.11430568655875252</v>
      </c>
      <c r="AC16" s="33">
        <f t="shared" si="22"/>
        <v>0.12307989551599827</v>
      </c>
      <c r="AD16" s="15">
        <f t="shared" si="23"/>
        <v>8.7742089572457466E-3</v>
      </c>
      <c r="AE16" s="5"/>
      <c r="AF16" s="27">
        <f>IF($G16&lt;&gt;0,SUMIF(куб!$G:$G,$G16,куб!R:R),IF($E16&lt;&gt;0,SUMIF(куб!$E:$E,$E16,куб!R:R),IF($D16&lt;&gt;0,SUMIF(куб!$D:$D,$D16,куб!R:R),IF($C16&lt;&gt;0,SUMIF(куб!$C:$C,$C16,куб!R:R),IF($B16&lt;&gt;0,SUMIF(куб!$B:$B,$B16,куб!R:R))))))</f>
        <v>30514.425499999994</v>
      </c>
      <c r="AG16" s="27">
        <f>IF($G16&lt;&gt;0,SUMIF(куб!$G:$G,$G16,куб!S:S),IF($E16&lt;&gt;0,SUMIF(куб!$E:$E,$E16,куб!S:S),IF($D16&lt;&gt;0,SUMIF(куб!$D:$D,$D16,куб!S:S),IF($C16&lt;&gt;0,SUMIF(куб!$C:$C,$C16,куб!S:S),IF($B16&lt;&gt;0,SUMIF(куб!$B:$B,$B16,куб!S:S))))))</f>
        <v>46539.151300000005</v>
      </c>
      <c r="AH16" s="16">
        <f t="shared" si="24"/>
        <v>0.52515246600333387</v>
      </c>
      <c r="AI16" s="8"/>
      <c r="AJ16" s="27">
        <f>IF($G16&lt;&gt;0,SUMIF(куб!$G:$G,$G16,куб!T:T),IF($E16&lt;&gt;0,SUMIF(куб!$E:$E,$E16,куб!T:T),IF($D16&lt;&gt;0,SUMIF(куб!$D:$D,$D16,куб!T:T),IF($C16&lt;&gt;0,SUMIF(куб!$C:$C,$C16,куб!T:T),IF($B16&lt;&gt;0,SUMIF(куб!$B:$B,$B16,куб!T:T))))))</f>
        <v>467</v>
      </c>
      <c r="AK16" s="27">
        <f>IF($G16&lt;&gt;0,SUMIF(куб!$G:$G,$G16,куб!U:U),IF($E16&lt;&gt;0,SUMIF(куб!$E:$E,$E16,куб!U:U),IF($D16&lt;&gt;0,SUMIF(куб!$D:$D,$D16,куб!U:U),IF($C16&lt;&gt;0,SUMIF(куб!$C:$C,$C16,куб!U:U),IF($B16&lt;&gt;0,SUMIF(куб!$B:$B,$B16,куб!U:U))))))</f>
        <v>699</v>
      </c>
      <c r="AL16" s="16">
        <f t="shared" si="25"/>
        <v>0.49678800856531047</v>
      </c>
      <c r="AM16" s="8"/>
      <c r="AN16" s="17">
        <f t="shared" si="26"/>
        <v>4.064652867763989E-2</v>
      </c>
      <c r="AO16" s="17">
        <f t="shared" si="27"/>
        <v>5.3465232795292784E-2</v>
      </c>
      <c r="AP16" s="16">
        <f t="shared" si="28"/>
        <v>1.2818704117652895E-2</v>
      </c>
      <c r="AQ16" s="8"/>
      <c r="AR16" s="17">
        <f t="shared" si="29"/>
        <v>7.3659157881112616E-2</v>
      </c>
      <c r="AS16" s="17">
        <f t="shared" si="30"/>
        <v>6.9614662720705489E-2</v>
      </c>
      <c r="AT16" s="13">
        <f t="shared" si="31"/>
        <v>-4.0444951604071272E-3</v>
      </c>
      <c r="AU16" s="8"/>
      <c r="AV16"/>
      <c r="AW16"/>
      <c r="AX16"/>
    </row>
    <row r="17" spans="1:50" ht="15" customHeight="1" x14ac:dyDescent="0.25">
      <c r="A17" s="31" t="s">
        <v>26</v>
      </c>
      <c r="B17" s="31" t="s">
        <v>32</v>
      </c>
      <c r="C17" t="s">
        <v>33</v>
      </c>
      <c r="D17" s="31" t="s">
        <v>34</v>
      </c>
      <c r="E17" t="s">
        <v>35</v>
      </c>
      <c r="F17" s="31" t="s">
        <v>60</v>
      </c>
      <c r="G17" t="s">
        <v>61</v>
      </c>
      <c r="H17" s="27">
        <f>IF($G17&lt;&gt;0,SUMIF(куб!$G:$G,$G17,куб!H:H),IF($E17&lt;&gt;0,SUMIF(куб!$E:$E,$E17,куб!H:H),IF($D17&lt;&gt;0,SUMIF(куб!$D:$D,$D17,куб!H:H),IF($C17&lt;&gt;0,SUMIF(куб!$C:$C,$C17,куб!H:H),IF($B17&lt;&gt;0,SUMIF(куб!$B:$B,$B17,куб!H:H),IF($G17&lt;&gt;0,SUMIF(куб!$A:$A,$G17,куб!H:H),SUMIF(куб!$A:$A,$G17,куб!H:H)))))))</f>
        <v>1310939.6857000007</v>
      </c>
      <c r="I17" s="27">
        <f>IF($G17&lt;&gt;0,SUMIF(куб!$G:$G,$G17,куб!I:I),IF($E17&lt;&gt;0,SUMIF(куб!$E:$E,$E17,куб!I:I),IF($D17&lt;&gt;0,SUMIF(куб!$D:$D,$D17,куб!I:I),IF($C17&lt;&gt;0,SUMIF(куб!$C:$C,$C17,куб!I:I),IF($B17&lt;&gt;0,SUMIF(куб!$B:$B,$B17,куб!I:I),IF($G17&lt;&gt;0,SUMIF(куб!$A:$A,$G17,куб!I:I),SUMIF(куб!$A:$A,$G17,куб!I:I)))))))</f>
        <v>1905165.3147000007</v>
      </c>
      <c r="J17" s="19">
        <f t="shared" si="33"/>
        <v>0.45328220320273704</v>
      </c>
      <c r="K17" s="5"/>
      <c r="L17" s="17">
        <f t="shared" si="15"/>
        <v>2.7384114630628212E-3</v>
      </c>
      <c r="M17" s="17">
        <f t="shared" si="16"/>
        <v>4.0621458920149182E-3</v>
      </c>
      <c r="N17" s="12">
        <f t="shared" si="17"/>
        <v>1.323734428952097E-3</v>
      </c>
      <c r="O17" s="5"/>
      <c r="P17" s="27">
        <f>IF($G17&lt;&gt;0,SUMIF(куб!$G:$G,$G17,куб!J:J),IF($E17&lt;&gt;0,SUMIF(куб!$E:$E,$E17,куб!J:J),IF($D17&lt;&gt;0,SUMIF(куб!$D:$D,$D17,куб!J:J),IF($C17&lt;&gt;0,SUMIF(куб!$C:$C,$C17,куб!J:J),IF($B17&lt;&gt;0,SUMIF(куб!$B:$B,$B17,куб!J:J))))))</f>
        <v>15475</v>
      </c>
      <c r="Q17" s="27">
        <f>IF($G17&lt;&gt;0,SUMIF(куб!$G:$G,$G17,куб!K:K),IF($E17&lt;&gt;0,SUMIF(куб!$E:$E,$E17,куб!K:K),IF($D17&lt;&gt;0,SUMIF(куб!$D:$D,$D17,куб!K:K),IF($C17&lt;&gt;0,SUMIF(куб!$C:$C,$C17,куб!K:K),IF($B17&lt;&gt;0,SUMIF(куб!$B:$B,$B17,куб!K:K))))))</f>
        <v>23643</v>
      </c>
      <c r="R17" s="13">
        <f t="shared" si="18"/>
        <v>0.52781906300484649</v>
      </c>
      <c r="S17" s="5"/>
      <c r="T17" s="27">
        <f>IF($G17&lt;&gt;0,SUMIF(куб!$G:$G,$G17,куб!L:L),IF($E17&lt;&gt;0,SUMIF(куб!$E:$E,$E17,куб!L:L),IF($D17&lt;&gt;0,SUMIF(куб!$D:$D,$D17,куб!L:L),IF($C17&lt;&gt;0,SUMIF(куб!$C:$C,$C17,куб!L:L),IF($B17&lt;&gt;0,SUMIF(куб!$B:$B,$B17,куб!L:L))))))</f>
        <v>13927.499999999998</v>
      </c>
      <c r="U17" s="27">
        <f>IF($G17&lt;&gt;0,SUMIF(куб!$G:$G,$G17,куб!M:M),IF($E17&lt;&gt;0,SUMIF(куб!$E:$E,$E17,куб!M:M),IF($D17&lt;&gt;0,SUMIF(куб!$D:$D,$D17,куб!M:M),IF($C17&lt;&gt;0,SUMIF(куб!$C:$C,$C17,куб!M:M),IF($B17&lt;&gt;0,SUMIF(куб!$B:$B,$B17,куб!M:M))))))</f>
        <v>21278.700000000019</v>
      </c>
      <c r="V17" s="13">
        <f t="shared" si="19"/>
        <v>0.52781906300484804</v>
      </c>
      <c r="W17" s="5"/>
      <c r="X17" s="27">
        <f>IF($G17&lt;&gt;0,SUMIF(куб!$G:$G,$G17,куб!N:N),IF($E17&lt;&gt;0,SUMIF(куб!$E:$E,$E17,куб!N:N),IF($D17&lt;&gt;0,SUMIF(куб!$D:$D,$D17,куб!N:N),IF($C17&lt;&gt;0,SUMIF(куб!$C:$C,$C17,куб!N:N),IF($B17&lt;&gt;0,SUMIF(куб!$B:$B,$B17,куб!N:N))))))</f>
        <v>89937.317700001178</v>
      </c>
      <c r="Y17" s="27">
        <f>IF($G17&lt;&gt;0,SUMIF(куб!$G:$G,$G17,куб!O:O),IF($E17&lt;&gt;0,SUMIF(куб!$E:$E,$E17,куб!O:O),IF($D17&lt;&gt;0,SUMIF(куб!$D:$D,$D17,куб!O:O),IF($C17&lt;&gt;0,SUMIF(куб!$C:$C,$C17,куб!O:O),IF($B17&lt;&gt;0,SUMIF(куб!$B:$B,$B17,куб!O:O))))))</f>
        <v>97889.681299998891</v>
      </c>
      <c r="Z17" s="13">
        <f t="shared" si="20"/>
        <v>8.8421178253547228E-2</v>
      </c>
      <c r="AA17" s="5"/>
      <c r="AB17" s="33">
        <f t="shared" si="21"/>
        <v>6.8605229272601861E-2</v>
      </c>
      <c r="AC17" s="33">
        <f t="shared" si="22"/>
        <v>5.1381200646838994E-2</v>
      </c>
      <c r="AD17" s="15">
        <f t="shared" si="23"/>
        <v>-1.7224028625762867E-2</v>
      </c>
      <c r="AE17" s="5"/>
      <c r="AF17" s="27">
        <f>IF($G17&lt;&gt;0,SUMIF(куб!$G:$G,$G17,куб!R:R),IF($E17&lt;&gt;0,SUMIF(куб!$E:$E,$E17,куб!R:R),IF($D17&lt;&gt;0,SUMIF(куб!$D:$D,$D17,куб!R:R),IF($C17&lt;&gt;0,SUMIF(куб!$C:$C,$C17,куб!R:R),IF($B17&lt;&gt;0,SUMIF(куб!$B:$B,$B17,куб!R:R))))))</f>
        <v>1166.9814000000003</v>
      </c>
      <c r="AG17" s="27">
        <f>IF($G17&lt;&gt;0,SUMIF(куб!$G:$G,$G17,куб!S:S),IF($E17&lt;&gt;0,SUMIF(куб!$E:$E,$E17,куб!S:S),IF($D17&lt;&gt;0,SUMIF(куб!$D:$D,$D17,куб!S:S),IF($C17&lt;&gt;0,SUMIF(куб!$C:$C,$C17,куб!S:S),IF($B17&lt;&gt;0,SUMIF(куб!$B:$B,$B17,куб!S:S))))))</f>
        <v>5572.0804000000007</v>
      </c>
      <c r="AH17" s="16">
        <f t="shared" si="24"/>
        <v>3.7747808148441773</v>
      </c>
      <c r="AI17" s="8"/>
      <c r="AJ17" s="27">
        <f>IF($G17&lt;&gt;0,SUMIF(куб!$G:$G,$G17,куб!T:T),IF($E17&lt;&gt;0,SUMIF(куб!$E:$E,$E17,куб!T:T),IF($D17&lt;&gt;0,SUMIF(куб!$D:$D,$D17,куб!T:T),IF($C17&lt;&gt;0,SUMIF(куб!$C:$C,$C17,куб!T:T),IF($B17&lt;&gt;0,SUMIF(куб!$B:$B,$B17,куб!T:T))))))</f>
        <v>15</v>
      </c>
      <c r="AK17" s="27">
        <f>IF($G17&lt;&gt;0,SUMIF(куб!$G:$G,$G17,куб!U:U),IF($E17&lt;&gt;0,SUMIF(куб!$E:$E,$E17,куб!U:U),IF($D17&lt;&gt;0,SUMIF(куб!$D:$D,$D17,куб!U:U),IF($C17&lt;&gt;0,SUMIF(куб!$C:$C,$C17,куб!U:U),IF($B17&lt;&gt;0,SUMIF(куб!$B:$B,$B17,куб!U:U))))))</f>
        <v>65</v>
      </c>
      <c r="AL17" s="16">
        <f t="shared" si="25"/>
        <v>3.3333333333333335</v>
      </c>
      <c r="AM17" s="8"/>
      <c r="AN17" s="17">
        <f t="shared" si="26"/>
        <v>8.9018694965883871E-4</v>
      </c>
      <c r="AO17" s="17">
        <f>IFERROR(AG17/I17," ")</f>
        <v>2.9247227823258034E-3</v>
      </c>
      <c r="AP17" s="16">
        <f t="shared" si="28"/>
        <v>2.0345358326669645E-3</v>
      </c>
      <c r="AQ17" s="8"/>
      <c r="AR17" s="17">
        <f t="shared" si="29"/>
        <v>6.7715042322943023E-2</v>
      </c>
      <c r="AS17" s="17">
        <f t="shared" si="30"/>
        <v>4.8456477864513188E-2</v>
      </c>
      <c r="AT17" s="13">
        <f t="shared" si="31"/>
        <v>-1.9258564458429835E-2</v>
      </c>
      <c r="AU17" s="8"/>
      <c r="AV17" s="20"/>
      <c r="AW17" s="20"/>
      <c r="AX17" s="20"/>
    </row>
    <row r="18" spans="1:50" ht="15" customHeight="1" x14ac:dyDescent="0.25">
      <c r="A18" s="31" t="s">
        <v>26</v>
      </c>
      <c r="B18" s="31" t="s">
        <v>32</v>
      </c>
      <c r="C18" t="s">
        <v>33</v>
      </c>
      <c r="D18" s="31" t="s">
        <v>34</v>
      </c>
      <c r="E18" t="s">
        <v>35</v>
      </c>
      <c r="F18" s="31" t="s">
        <v>62</v>
      </c>
      <c r="G18" t="s">
        <v>63</v>
      </c>
      <c r="H18" s="27">
        <f>IF($G18&lt;&gt;0,SUMIF(куб!$G:$G,$G18,куб!H:H),IF($E18&lt;&gt;0,SUMIF(куб!$E:$E,$E18,куб!H:H),IF($D18&lt;&gt;0,SUMIF(куб!$D:$D,$D18,куб!H:H),IF($C18&lt;&gt;0,SUMIF(куб!$C:$C,$C18,куб!H:H),IF($B18&lt;&gt;0,SUMIF(куб!$B:$B,$B18,куб!H:H),IF($G18&lt;&gt;0,SUMIF(куб!$A:$A,$G18,куб!H:H),SUMIF(куб!$A:$A,$G18,куб!H:H)))))))</f>
        <v>30.818100000000001</v>
      </c>
      <c r="I18" s="27">
        <f>IF($G18&lt;&gt;0,SUMIF(куб!$G:$G,$G18,куб!I:I),IF($E18&lt;&gt;0,SUMIF(куб!$E:$E,$E18,куб!I:I),IF($D18&lt;&gt;0,SUMIF(куб!$D:$D,$D18,куб!I:I),IF($C18&lt;&gt;0,SUMIF(куб!$C:$C,$C18,куб!I:I),IF($B18&lt;&gt;0,SUMIF(куб!$B:$B,$B18,куб!I:I),IF($G18&lt;&gt;0,SUMIF(куб!$A:$A,$G18,куб!I:I),SUMIF(куб!$A:$A,$G18,куб!I:I)))))))</f>
        <v>0</v>
      </c>
      <c r="J18" s="19">
        <f t="shared" si="33"/>
        <v>-1</v>
      </c>
      <c r="K18" s="8"/>
      <c r="L18" s="17">
        <f t="shared" si="15"/>
        <v>6.4375683511902623E-8</v>
      </c>
      <c r="M18" s="17">
        <f t="shared" si="16"/>
        <v>0</v>
      </c>
      <c r="N18" s="12">
        <f t="shared" si="17"/>
        <v>-6.4375683511902623E-8</v>
      </c>
      <c r="O18" s="5"/>
      <c r="P18" s="27">
        <f>IF($G18&lt;&gt;0,SUMIF(куб!$G:$G,$G18,куб!J:J),IF($E18&lt;&gt;0,SUMIF(куб!$E:$E,$E18,куб!J:J),IF($D18&lt;&gt;0,SUMIF(куб!$D:$D,$D18,куб!J:J),IF($C18&lt;&gt;0,SUMIF(куб!$C:$C,$C18,куб!J:J),IF($B18&lt;&gt;0,SUMIF(куб!$B:$B,$B18,куб!J:J))))))</f>
        <v>1</v>
      </c>
      <c r="Q18" s="27">
        <f>IF($G18&lt;&gt;0,SUMIF(куб!$G:$G,$G18,куб!K:K),IF($E18&lt;&gt;0,SUMIF(куб!$E:$E,$E18,куб!K:K),IF($D18&lt;&gt;0,SUMIF(куб!$D:$D,$D18,куб!K:K),IF($C18&lt;&gt;0,SUMIF(куб!$C:$C,$C18,куб!K:K),IF($B18&lt;&gt;0,SUMIF(куб!$B:$B,$B18,куб!K:K))))))</f>
        <v>0</v>
      </c>
      <c r="R18" s="13">
        <f t="shared" si="18"/>
        <v>-1</v>
      </c>
      <c r="S18" s="5"/>
      <c r="T18" s="27">
        <f>IF($G18&lt;&gt;0,SUMIF(куб!$G:$G,$G18,куб!L:L),IF($E18&lt;&gt;0,SUMIF(куб!$E:$E,$E18,куб!L:L),IF($D18&lt;&gt;0,SUMIF(куб!$D:$D,$D18,куб!L:L),IF($C18&lt;&gt;0,SUMIF(куб!$C:$C,$C18,куб!L:L),IF($B18&lt;&gt;0,SUMIF(куб!$B:$B,$B18,куб!L:L))))))</f>
        <v>0.9</v>
      </c>
      <c r="U18" s="27">
        <f>IF($G18&lt;&gt;0,SUMIF(куб!$G:$G,$G18,куб!M:M),IF($E18&lt;&gt;0,SUMIF(куб!$E:$E,$E18,куб!M:M),IF($D18&lt;&gt;0,SUMIF(куб!$D:$D,$D18,куб!M:M),IF($C18&lt;&gt;0,SUMIF(куб!$C:$C,$C18,куб!M:M),IF($B18&lt;&gt;0,SUMIF(куб!$B:$B,$B18,куб!M:M))))))</f>
        <v>0</v>
      </c>
      <c r="V18" s="13">
        <f t="shared" si="19"/>
        <v>-1</v>
      </c>
      <c r="W18" s="5"/>
      <c r="X18" s="27">
        <f>IF($G18&lt;&gt;0,SUMIF(куб!$G:$G,$G18,куб!N:N),IF($E18&lt;&gt;0,SUMIF(куб!$E:$E,$E18,куб!N:N),IF($D18&lt;&gt;0,SUMIF(куб!$D:$D,$D18,куб!N:N),IF($C18&lt;&gt;0,SUMIF(куб!$C:$C,$C18,куб!N:N),IF($B18&lt;&gt;0,SUMIF(куб!$B:$B,$B18,куб!N:N))))))</f>
        <v>29.909100000000002</v>
      </c>
      <c r="Y18" s="27">
        <f>IF($G18&lt;&gt;0,SUMIF(куб!$G:$G,$G18,куб!O:O),IF($E18&lt;&gt;0,SUMIF(куб!$E:$E,$E18,куб!O:O),IF($D18&lt;&gt;0,SUMIF(куб!$D:$D,$D18,куб!O:O),IF($C18&lt;&gt;0,SUMIF(куб!$C:$C,$C18,куб!O:O),IF($B18&lt;&gt;0,SUMIF(куб!$B:$B,$B18,куб!O:O))))))</f>
        <v>0</v>
      </c>
      <c r="Z18" s="13">
        <f t="shared" si="20"/>
        <v>-1</v>
      </c>
      <c r="AA18" s="5"/>
      <c r="AB18" s="33">
        <f t="shared" si="21"/>
        <v>0.97050434647171635</v>
      </c>
      <c r="AC18" s="33" t="str">
        <f t="shared" si="22"/>
        <v/>
      </c>
      <c r="AD18" s="15" t="str">
        <f t="shared" si="23"/>
        <v xml:space="preserve"> </v>
      </c>
      <c r="AE18" s="5"/>
      <c r="AF18" s="27">
        <f>IF($G18&lt;&gt;0,SUMIF(куб!$G:$G,$G18,куб!R:R),IF($E18&lt;&gt;0,SUMIF(куб!$E:$E,$E18,куб!R:R),IF($D18&lt;&gt;0,SUMIF(куб!$D:$D,$D18,куб!R:R),IF($C18&lt;&gt;0,SUMIF(куб!$C:$C,$C18,куб!R:R),IF($B18&lt;&gt;0,SUMIF(куб!$B:$B,$B18,куб!R:R))))))</f>
        <v>0</v>
      </c>
      <c r="AG18" s="27">
        <f>IF($G18&lt;&gt;0,SUMIF(куб!$G:$G,$G18,куб!S:S),IF($E18&lt;&gt;0,SUMIF(куб!$E:$E,$E18,куб!S:S),IF($D18&lt;&gt;0,SUMIF(куб!$D:$D,$D18,куб!S:S),IF($C18&lt;&gt;0,SUMIF(куб!$C:$C,$C18,куб!S:S),IF($B18&lt;&gt;0,SUMIF(куб!$B:$B,$B18,куб!S:S))))))</f>
        <v>0</v>
      </c>
      <c r="AH18" s="16" t="str">
        <f t="shared" si="24"/>
        <v>-</v>
      </c>
      <c r="AI18" s="8"/>
      <c r="AJ18" s="27">
        <f>IF($G18&lt;&gt;0,SUMIF(куб!$G:$G,$G18,куб!T:T),IF($E18&lt;&gt;0,SUMIF(куб!$E:$E,$E18,куб!T:T),IF($D18&lt;&gt;0,SUMIF(куб!$D:$D,$D18,куб!T:T),IF($C18&lt;&gt;0,SUMIF(куб!$C:$C,$C18,куб!T:T),IF($B18&lt;&gt;0,SUMIF(куб!$B:$B,$B18,куб!T:T))))))</f>
        <v>0</v>
      </c>
      <c r="AK18" s="27">
        <f>IF($G18&lt;&gt;0,SUMIF(куб!$G:$G,$G18,куб!U:U),IF($E18&lt;&gt;0,SUMIF(куб!$E:$E,$E18,куб!U:U),IF($D18&lt;&gt;0,SUMIF(куб!$D:$D,$D18,куб!U:U),IF($C18&lt;&gt;0,SUMIF(куб!$C:$C,$C18,куб!U:U),IF($B18&lt;&gt;0,SUMIF(куб!$B:$B,$B18,куб!U:U))))))</f>
        <v>0</v>
      </c>
      <c r="AL18" s="16" t="str">
        <f t="shared" si="25"/>
        <v>-</v>
      </c>
      <c r="AM18" s="8"/>
      <c r="AN18" s="17">
        <f t="shared" si="26"/>
        <v>0</v>
      </c>
      <c r="AO18" s="17" t="str">
        <f t="shared" si="27"/>
        <v xml:space="preserve"> </v>
      </c>
      <c r="AP18" s="16" t="str">
        <f t="shared" si="28"/>
        <v>-</v>
      </c>
      <c r="AQ18" s="8"/>
      <c r="AR18" s="17">
        <f t="shared" si="29"/>
        <v>0.97050434647171635</v>
      </c>
      <c r="AS18" s="17" t="str">
        <f t="shared" si="30"/>
        <v>-</v>
      </c>
      <c r="AT18" s="13" t="str">
        <f t="shared" si="31"/>
        <v>-</v>
      </c>
      <c r="AU18" s="8"/>
      <c r="AV18" s="22"/>
      <c r="AW18" s="22"/>
      <c r="AX18" s="22"/>
    </row>
    <row r="19" spans="1:50" ht="15" customHeight="1" x14ac:dyDescent="0.25">
      <c r="A19" s="31" t="s">
        <v>26</v>
      </c>
      <c r="B19" s="31" t="s">
        <v>32</v>
      </c>
      <c r="C19" t="s">
        <v>33</v>
      </c>
      <c r="D19" s="31" t="s">
        <v>34</v>
      </c>
      <c r="E19" t="s">
        <v>35</v>
      </c>
      <c r="F19" s="31" t="s">
        <v>64</v>
      </c>
      <c r="G19" t="s">
        <v>65</v>
      </c>
      <c r="H19" s="27">
        <f>IF($G19&lt;&gt;0,SUMIF(куб!$G:$G,$G19,куб!H:H),IF($E19&lt;&gt;0,SUMIF(куб!$E:$E,$E19,куб!H:H),IF($D19&lt;&gt;0,SUMIF(куб!$D:$D,$D19,куб!H:H),IF($C19&lt;&gt;0,SUMIF(куб!$C:$C,$C19,куб!H:H),IF($B19&lt;&gt;0,SUMIF(куб!$B:$B,$B19,куб!H:H),IF($G19&lt;&gt;0,SUMIF(куб!$A:$A,$G19,куб!H:H),SUMIF(куб!$A:$A,$G19,куб!H:H)))))))</f>
        <v>2638699.3806000003</v>
      </c>
      <c r="I19" s="27">
        <f>IF($G19&lt;&gt;0,SUMIF(куб!$G:$G,$G19,куб!I:I),IF($E19&lt;&gt;0,SUMIF(куб!$E:$E,$E19,куб!I:I),IF($D19&lt;&gt;0,SUMIF(куб!$D:$D,$D19,куб!I:I),IF($C19&lt;&gt;0,SUMIF(куб!$C:$C,$C19,куб!I:I),IF($B19&lt;&gt;0,SUMIF(куб!$B:$B,$B19,куб!I:I),IF($G19&lt;&gt;0,SUMIF(куб!$A:$A,$G19,куб!I:I),SUMIF(куб!$A:$A,$G19,куб!I:I)))))))</f>
        <v>2926582.8172999974</v>
      </c>
      <c r="J19" s="19">
        <f t="shared" si="33"/>
        <v>0.10910050565689557</v>
      </c>
      <c r="K19" s="10"/>
      <c r="L19" s="17">
        <f t="shared" si="15"/>
        <v>5.5119581093110567E-3</v>
      </c>
      <c r="M19" s="17">
        <f t="shared" si="16"/>
        <v>6.2399867755353411E-3</v>
      </c>
      <c r="N19" s="12">
        <f t="shared" si="17"/>
        <v>7.2802866622428443E-4</v>
      </c>
      <c r="O19" s="5"/>
      <c r="P19" s="27">
        <f>IF($G19&lt;&gt;0,SUMIF(куб!$G:$G,$G19,куб!J:J),IF($E19&lt;&gt;0,SUMIF(куб!$E:$E,$E19,куб!J:J),IF($D19&lt;&gt;0,SUMIF(куб!$D:$D,$D19,куб!J:J),IF($C19&lt;&gt;0,SUMIF(куб!$C:$C,$C19,куб!J:J),IF($B19&lt;&gt;0,SUMIF(куб!$B:$B,$B19,куб!J:J))))))</f>
        <v>46633</v>
      </c>
      <c r="Q19" s="27">
        <f>IF($G19&lt;&gt;0,SUMIF(куб!$G:$G,$G19,куб!K:K),IF($E19&lt;&gt;0,SUMIF(куб!$E:$E,$E19,куб!K:K),IF($D19&lt;&gt;0,SUMIF(куб!$D:$D,$D19,куб!K:K),IF($C19&lt;&gt;0,SUMIF(куб!$C:$C,$C19,куб!K:K),IF($B19&lt;&gt;0,SUMIF(куб!$B:$B,$B19,куб!K:K))))))</f>
        <v>49801</v>
      </c>
      <c r="R19" s="13">
        <f t="shared" si="18"/>
        <v>6.7934724336843014E-2</v>
      </c>
      <c r="S19" s="5"/>
      <c r="T19" s="27">
        <f>IF($G19&lt;&gt;0,SUMIF(куб!$G:$G,$G19,куб!L:L),IF($E19&lt;&gt;0,SUMIF(куб!$E:$E,$E19,куб!L:L),IF($D19&lt;&gt;0,SUMIF(куб!$D:$D,$D19,куб!L:L),IF($C19&lt;&gt;0,SUMIF(куб!$C:$C,$C19,куб!L:L),IF($B19&lt;&gt;0,SUMIF(куб!$B:$B,$B19,куб!L:L))))))</f>
        <v>37306.400000000001</v>
      </c>
      <c r="U19" s="27">
        <f>IF($G19&lt;&gt;0,SUMIF(куб!$G:$G,$G19,куб!M:M),IF($E19&lt;&gt;0,SUMIF(куб!$E:$E,$E19,куб!M:M),IF($D19&lt;&gt;0,SUMIF(куб!$D:$D,$D19,куб!M:M),IF($C19&lt;&gt;0,SUMIF(куб!$C:$C,$C19,куб!M:M),IF($B19&lt;&gt;0,SUMIF(куб!$B:$B,$B19,куб!M:M))))))</f>
        <v>39840.800000000003</v>
      </c>
      <c r="V19" s="13">
        <f t="shared" si="19"/>
        <v>6.7934724336843041E-2</v>
      </c>
      <c r="W19" s="5"/>
      <c r="X19" s="27">
        <f>IF($G19&lt;&gt;0,SUMIF(куб!$G:$G,$G19,куб!N:N),IF($E19&lt;&gt;0,SUMIF(куб!$E:$E,$E19,куб!N:N),IF($D19&lt;&gt;0,SUMIF(куб!$D:$D,$D19,куб!N:N),IF($C19&lt;&gt;0,SUMIF(куб!$C:$C,$C19,куб!N:N),IF($B19&lt;&gt;0,SUMIF(куб!$B:$B,$B19,куб!N:N))))))</f>
        <v>218393.29899999918</v>
      </c>
      <c r="Y19" s="27">
        <f>IF($G19&lt;&gt;0,SUMIF(куб!$G:$G,$G19,куб!O:O),IF($E19&lt;&gt;0,SUMIF(куб!$E:$E,$E19,куб!O:O),IF($D19&lt;&gt;0,SUMIF(куб!$D:$D,$D19,куб!O:O),IF($C19&lt;&gt;0,SUMIF(куб!$C:$C,$C19,куб!O:O),IF($B19&lt;&gt;0,SUMIF(куб!$B:$B,$B19,куб!O:O))))))</f>
        <v>225093.91569999792</v>
      </c>
      <c r="Z19" s="13">
        <f t="shared" si="20"/>
        <v>3.0681420770143492E-2</v>
      </c>
      <c r="AA19" s="5"/>
      <c r="AB19" s="33">
        <f t="shared" si="21"/>
        <v>8.2765509631620049E-2</v>
      </c>
      <c r="AC19" s="33">
        <f t="shared" si="22"/>
        <v>7.6913564300792533E-2</v>
      </c>
      <c r="AD19" s="15">
        <f t="shared" si="23"/>
        <v>-5.8519453308275154E-3</v>
      </c>
      <c r="AE19" s="5"/>
      <c r="AF19" s="27">
        <f>IF($G19&lt;&gt;0,SUMIF(куб!$G:$G,$G19,куб!R:R),IF($E19&lt;&gt;0,SUMIF(куб!$E:$E,$E19,куб!R:R),IF($D19&lt;&gt;0,SUMIF(куб!$D:$D,$D19,куб!R:R),IF($C19&lt;&gt;0,SUMIF(куб!$C:$C,$C19,куб!R:R),IF($B19&lt;&gt;0,SUMIF(куб!$B:$B,$B19,куб!R:R))))))</f>
        <v>32333.7</v>
      </c>
      <c r="AG19" s="27">
        <f>IF($G19&lt;&gt;0,SUMIF(куб!$G:$G,$G19,куб!S:S),IF($E19&lt;&gt;0,SUMIF(куб!$E:$E,$E19,куб!S:S),IF($D19&lt;&gt;0,SUMIF(куб!$D:$D,$D19,куб!S:S),IF($C19&lt;&gt;0,SUMIF(куб!$C:$C,$C19,куб!S:S),IF($B19&lt;&gt;0,SUMIF(куб!$B:$B,$B19,куб!S:S))))))</f>
        <v>29777.399699999994</v>
      </c>
      <c r="AH19" s="16">
        <f t="shared" si="24"/>
        <v>-7.9059937464626875E-2</v>
      </c>
      <c r="AI19" s="8"/>
      <c r="AJ19" s="27">
        <f>IF($G19&lt;&gt;0,SUMIF(куб!$G:$G,$G19,куб!T:T),IF($E19&lt;&gt;0,SUMIF(куб!$E:$E,$E19,куб!T:T),IF($D19&lt;&gt;0,SUMIF(куб!$D:$D,$D19,куб!T:T),IF($C19&lt;&gt;0,SUMIF(куб!$C:$C,$C19,куб!T:T),IF($B19&lt;&gt;0,SUMIF(куб!$B:$B,$B19,куб!T:T))))))</f>
        <v>623</v>
      </c>
      <c r="AK19" s="27">
        <f>IF($G19&lt;&gt;0,SUMIF(куб!$G:$G,$G19,куб!U:U),IF($E19&lt;&gt;0,SUMIF(куб!$E:$E,$E19,куб!U:U),IF($D19&lt;&gt;0,SUMIF(куб!$D:$D,$D19,куб!U:U),IF($C19&lt;&gt;0,SUMIF(куб!$C:$C,$C19,куб!U:U),IF($B19&lt;&gt;0,SUMIF(куб!$B:$B,$B19,куб!U:U))))))</f>
        <v>549</v>
      </c>
      <c r="AL19" s="16">
        <f t="shared" si="25"/>
        <v>-0.1187800963081862</v>
      </c>
      <c r="AM19" s="8"/>
      <c r="AN19" s="17">
        <f t="shared" si="26"/>
        <v>1.2253650505897268E-2</v>
      </c>
      <c r="AO19" s="17">
        <f t="shared" si="27"/>
        <v>1.0174801657406021E-2</v>
      </c>
      <c r="AP19" s="16">
        <f t="shared" si="28"/>
        <v>-2.0788488484912472E-3</v>
      </c>
      <c r="AQ19" s="8"/>
      <c r="AR19" s="17">
        <f t="shared" si="29"/>
        <v>7.0511859125722776E-2</v>
      </c>
      <c r="AS19" s="17">
        <f t="shared" si="30"/>
        <v>6.6738762643386504E-2</v>
      </c>
      <c r="AT19" s="13">
        <f t="shared" si="31"/>
        <v>-3.7730964823362717E-3</v>
      </c>
      <c r="AU19" s="8"/>
    </row>
    <row r="20" spans="1:50" ht="15" customHeight="1" x14ac:dyDescent="0.25">
      <c r="A20" s="31" t="s">
        <v>26</v>
      </c>
      <c r="B20" s="31" t="s">
        <v>32</v>
      </c>
      <c r="C20" t="s">
        <v>33</v>
      </c>
      <c r="D20" s="31" t="s">
        <v>34</v>
      </c>
      <c r="E20" t="s">
        <v>35</v>
      </c>
      <c r="F20" s="31" t="s">
        <v>66</v>
      </c>
      <c r="G20" t="s">
        <v>67</v>
      </c>
      <c r="H20" s="27">
        <f>IF($G20&lt;&gt;0,SUMIF(куб!$G:$G,$G20,куб!H:H),IF($E20&lt;&gt;0,SUMIF(куб!$E:$E,$E20,куб!H:H),IF($D20&lt;&gt;0,SUMIF(куб!$D:$D,$D20,куб!H:H),IF($C20&lt;&gt;0,SUMIF(куб!$C:$C,$C20,куб!H:H),IF($B20&lt;&gt;0,SUMIF(куб!$B:$B,$B20,куб!H:H),IF($G20&lt;&gt;0,SUMIF(куб!$A:$A,$G20,куб!H:H),SUMIF(куб!$A:$A,$G20,куб!H:H)))))))</f>
        <v>1496449.1653000007</v>
      </c>
      <c r="I20" s="27">
        <f>IF($G20&lt;&gt;0,SUMIF(куб!$G:$G,$G20,куб!I:I),IF($E20&lt;&gt;0,SUMIF(куб!$E:$E,$E20,куб!I:I),IF($D20&lt;&gt;0,SUMIF(куб!$D:$D,$D20,куб!I:I),IF($C20&lt;&gt;0,SUMIF(куб!$C:$C,$C20,куб!I:I),IF($B20&lt;&gt;0,SUMIF(куб!$B:$B,$B20,куб!I:I),IF($G20&lt;&gt;0,SUMIF(куб!$A:$A,$G20,куб!I:I),SUMIF(куб!$A:$A,$G20,куб!I:I)))))))</f>
        <v>2196666.2511000005</v>
      </c>
      <c r="J20" s="19">
        <f t="shared" si="33"/>
        <v>0.46791905935516609</v>
      </c>
      <c r="K20" s="5"/>
      <c r="L20" s="17">
        <f t="shared" si="15"/>
        <v>3.1259207367424885E-3</v>
      </c>
      <c r="M20" s="17">
        <f t="shared" si="16"/>
        <v>4.6836769067668954E-3</v>
      </c>
      <c r="N20" s="12">
        <f t="shared" si="17"/>
        <v>1.5577561700244069E-3</v>
      </c>
      <c r="O20" s="5"/>
      <c r="P20" s="27">
        <f>IF($G20&lt;&gt;0,SUMIF(куб!$G:$G,$G20,куб!J:J),IF($E20&lt;&gt;0,SUMIF(куб!$E:$E,$E20,куб!J:J),IF($D20&lt;&gt;0,SUMIF(куб!$D:$D,$D20,куб!J:J),IF($C20&lt;&gt;0,SUMIF(куб!$C:$C,$C20,куб!J:J),IF($B20&lt;&gt;0,SUMIF(куб!$B:$B,$B20,куб!J:J))))))</f>
        <v>18759</v>
      </c>
      <c r="Q20" s="27">
        <f>IF($G20&lt;&gt;0,SUMIF(куб!$G:$G,$G20,куб!K:K),IF($E20&lt;&gt;0,SUMIF(куб!$E:$E,$E20,куб!K:K),IF($D20&lt;&gt;0,SUMIF(куб!$D:$D,$D20,куб!K:K),IF($C20&lt;&gt;0,SUMIF(куб!$C:$C,$C20,куб!K:K),IF($B20&lt;&gt;0,SUMIF(куб!$B:$B,$B20,куб!K:K))))))</f>
        <v>29273</v>
      </c>
      <c r="R20" s="13">
        <f t="shared" si="18"/>
        <v>0.56047763740071432</v>
      </c>
      <c r="S20" s="5"/>
      <c r="T20" s="27">
        <f>IF($G20&lt;&gt;0,SUMIF(куб!$G:$G,$G20,куб!L:L),IF($E20&lt;&gt;0,SUMIF(куб!$E:$E,$E20,куб!L:L),IF($D20&lt;&gt;0,SUMIF(куб!$D:$D,$D20,куб!L:L),IF($C20&lt;&gt;0,SUMIF(куб!$C:$C,$C20,куб!L:L),IF($B20&lt;&gt;0,SUMIF(куб!$B:$B,$B20,куб!L:L))))))</f>
        <v>17445.869999999995</v>
      </c>
      <c r="U20" s="27">
        <f>IF($G20&lt;&gt;0,SUMIF(куб!$G:$G,$G20,куб!M:M),IF($E20&lt;&gt;0,SUMIF(куб!$E:$E,$E20,куб!M:M),IF($D20&lt;&gt;0,SUMIF(куб!$D:$D,$D20,куб!M:M),IF($C20&lt;&gt;0,SUMIF(куб!$C:$C,$C20,куб!M:M),IF($B20&lt;&gt;0,SUMIF(куб!$B:$B,$B20,куб!M:M))))))</f>
        <v>27223.890000000007</v>
      </c>
      <c r="V20" s="13">
        <f t="shared" si="19"/>
        <v>0.5604776374007151</v>
      </c>
      <c r="W20" s="5"/>
      <c r="X20" s="27">
        <f>IF($G20&lt;&gt;0,SUMIF(куб!$G:$G,$G20,куб!N:N),IF($E20&lt;&gt;0,SUMIF(куб!$E:$E,$E20,куб!N:N),IF($D20&lt;&gt;0,SUMIF(куб!$D:$D,$D20,куб!N:N),IF($C20&lt;&gt;0,SUMIF(куб!$C:$C,$C20,куб!N:N),IF($B20&lt;&gt;0,SUMIF(куб!$B:$B,$B20,куб!N:N))))))</f>
        <v>185195.06530000153</v>
      </c>
      <c r="Y20" s="27">
        <f>IF($G20&lt;&gt;0,SUMIF(куб!$G:$G,$G20,куб!O:O),IF($E20&lt;&gt;0,SUMIF(куб!$E:$E,$E20,куб!O:O),IF($D20&lt;&gt;0,SUMIF(куб!$D:$D,$D20,куб!O:O),IF($C20&lt;&gt;0,SUMIF(куб!$C:$C,$C20,куб!O:O),IF($B20&lt;&gt;0,SUMIF(куб!$B:$B,$B20,куб!O:O))))))</f>
        <v>202734.6875000007</v>
      </c>
      <c r="Z20" s="13">
        <f t="shared" si="20"/>
        <v>9.4708906911673649E-2</v>
      </c>
      <c r="AA20" s="5"/>
      <c r="AB20" s="33">
        <f t="shared" si="21"/>
        <v>0.12375633572749833</v>
      </c>
      <c r="AC20" s="33">
        <f t="shared" si="22"/>
        <v>9.2291984455298778E-2</v>
      </c>
      <c r="AD20" s="15">
        <f t="shared" si="23"/>
        <v>-3.1464351272199556E-2</v>
      </c>
      <c r="AE20" s="5"/>
      <c r="AF20" s="27">
        <f>IF($G20&lt;&gt;0,SUMIF(куб!$G:$G,$G20,куб!R:R),IF($E20&lt;&gt;0,SUMIF(куб!$E:$E,$E20,куб!R:R),IF($D20&lt;&gt;0,SUMIF(куб!$D:$D,$D20,куб!R:R),IF($C20&lt;&gt;0,SUMIF(куб!$C:$C,$C20,куб!R:R),IF($B20&lt;&gt;0,SUMIF(куб!$B:$B,$B20,куб!R:R))))))</f>
        <v>1328.1000000000001</v>
      </c>
      <c r="AG20" s="27">
        <f>IF($G20&lt;&gt;0,SUMIF(куб!$G:$G,$G20,куб!S:S),IF($E20&lt;&gt;0,SUMIF(куб!$E:$E,$E20,куб!S:S),IF($D20&lt;&gt;0,SUMIF(куб!$D:$D,$D20,куб!S:S),IF($C20&lt;&gt;0,SUMIF(куб!$C:$C,$C20,куб!S:S),IF($B20&lt;&gt;0,SUMIF(куб!$B:$B,$B20,куб!S:S))))))</f>
        <v>2266.3811000000001</v>
      </c>
      <c r="AH20" s="16">
        <f t="shared" si="24"/>
        <v>0.70648377381221283</v>
      </c>
      <c r="AI20" s="8"/>
      <c r="AJ20" s="27">
        <f>IF($G20&lt;&gt;0,SUMIF(куб!$G:$G,$G20,куб!T:T),IF($E20&lt;&gt;0,SUMIF(куб!$E:$E,$E20,куб!T:T),IF($D20&lt;&gt;0,SUMIF(куб!$D:$D,$D20,куб!T:T),IF($C20&lt;&gt;0,SUMIF(куб!$C:$C,$C20,куб!T:T),IF($B20&lt;&gt;0,SUMIF(куб!$B:$B,$B20,куб!T:T))))))</f>
        <v>19</v>
      </c>
      <c r="AK20" s="27">
        <f>IF($G20&lt;&gt;0,SUMIF(куб!$G:$G,$G20,куб!U:U),IF($E20&lt;&gt;0,SUMIF(куб!$E:$E,$E20,куб!U:U),IF($D20&lt;&gt;0,SUMIF(куб!$D:$D,$D20,куб!U:U),IF($C20&lt;&gt;0,SUMIF(куб!$C:$C,$C20,куб!U:U),IF($B20&lt;&gt;0,SUMIF(куб!$B:$B,$B20,куб!U:U))))))</f>
        <v>33</v>
      </c>
      <c r="AL20" s="16">
        <f t="shared" si="25"/>
        <v>0.73684210526315785</v>
      </c>
      <c r="AM20" s="8"/>
      <c r="AN20" s="17">
        <f t="shared" si="26"/>
        <v>8.8750091269137717E-4</v>
      </c>
      <c r="AO20" s="17">
        <f t="shared" si="27"/>
        <v>1.0317366595244449E-3</v>
      </c>
      <c r="AP20" s="16">
        <f t="shared" si="28"/>
        <v>1.4423574683306776E-4</v>
      </c>
      <c r="AQ20" s="8"/>
      <c r="AR20" s="17">
        <f t="shared" si="29"/>
        <v>0.12286883481480695</v>
      </c>
      <c r="AS20" s="17">
        <f t="shared" si="30"/>
        <v>9.1260247795774338E-2</v>
      </c>
      <c r="AT20" s="13">
        <f t="shared" si="31"/>
        <v>-3.1608587019032616E-2</v>
      </c>
      <c r="AU20" s="8"/>
    </row>
    <row r="21" spans="1:50" ht="15" customHeight="1" x14ac:dyDescent="0.25">
      <c r="A21" s="31" t="s">
        <v>26</v>
      </c>
      <c r="B21" s="31" t="s">
        <v>32</v>
      </c>
      <c r="C21" t="s">
        <v>33</v>
      </c>
      <c r="D21" s="31" t="s">
        <v>34</v>
      </c>
      <c r="E21" t="s">
        <v>35</v>
      </c>
      <c r="F21" s="31" t="s">
        <v>68</v>
      </c>
      <c r="G21" t="s">
        <v>69</v>
      </c>
      <c r="H21" s="27">
        <f>IF($G21&lt;&gt;0,SUMIF(куб!$G:$G,$G21,куб!H:H),IF($E21&lt;&gt;0,SUMIF(куб!$E:$E,$E21,куб!H:H),IF($D21&lt;&gt;0,SUMIF(куб!$D:$D,$D21,куб!H:H),IF($C21&lt;&gt;0,SUMIF(куб!$C:$C,$C21,куб!H:H),IF($B21&lt;&gt;0,SUMIF(куб!$B:$B,$B21,куб!H:H),IF($G21&lt;&gt;0,SUMIF(куб!$A:$A,$G21,куб!H:H),SUMIF(куб!$A:$A,$G21,куб!H:H)))))))</f>
        <v>1792310.3994000014</v>
      </c>
      <c r="I21" s="27">
        <f>IF($G21&lt;&gt;0,SUMIF(куб!$G:$G,$G21,куб!I:I),IF($E21&lt;&gt;0,SUMIF(куб!$E:$E,$E21,куб!I:I),IF($D21&lt;&gt;0,SUMIF(куб!$D:$D,$D21,куб!I:I),IF($C21&lt;&gt;0,SUMIF(куб!$C:$C,$C21,куб!I:I),IF($B21&lt;&gt;0,SUMIF(куб!$B:$B,$B21,куб!I:I),IF($G21&lt;&gt;0,SUMIF(куб!$A:$A,$G21,куб!I:I),SUMIF(куб!$A:$A,$G21,куб!I:I)))))))</f>
        <v>1765078.3002000004</v>
      </c>
      <c r="J21" s="19">
        <f t="shared" si="33"/>
        <v>-1.5193852141413271E-2</v>
      </c>
      <c r="K21" s="5"/>
      <c r="L21" s="17">
        <f t="shared" si="15"/>
        <v>3.7439429110446868E-3</v>
      </c>
      <c r="M21" s="17">
        <f t="shared" si="16"/>
        <v>3.7634558591421452E-3</v>
      </c>
      <c r="N21" s="12">
        <f t="shared" si="17"/>
        <v>1.9512948097458356E-5</v>
      </c>
      <c r="O21" s="5"/>
      <c r="P21" s="27">
        <f>IF($G21&lt;&gt;0,SUMIF(куб!$G:$G,$G21,куб!J:J),IF($E21&lt;&gt;0,SUMIF(куб!$E:$E,$E21,куб!J:J),IF($D21&lt;&gt;0,SUMIF(куб!$D:$D,$D21,куб!J:J),IF($C21&lt;&gt;0,SUMIF(куб!$C:$C,$C21,куб!J:J),IF($B21&lt;&gt;0,SUMIF(куб!$B:$B,$B21,куб!J:J))))))</f>
        <v>25746</v>
      </c>
      <c r="Q21" s="27">
        <f>IF($G21&lt;&gt;0,SUMIF(куб!$G:$G,$G21,куб!K:K),IF($E21&lt;&gt;0,SUMIF(куб!$E:$E,$E21,куб!K:K),IF($D21&lt;&gt;0,SUMIF(куб!$D:$D,$D21,куб!K:K),IF($C21&lt;&gt;0,SUMIF(куб!$C:$C,$C21,куб!K:K),IF($B21&lt;&gt;0,SUMIF(куб!$B:$B,$B21,куб!K:K))))))</f>
        <v>27985</v>
      </c>
      <c r="R21" s="13">
        <f t="shared" si="18"/>
        <v>8.696496543152335E-2</v>
      </c>
      <c r="S21" s="5"/>
      <c r="T21" s="27">
        <f>IF($G21&lt;&gt;0,SUMIF(куб!$G:$G,$G21,куб!L:L),IF($E21&lt;&gt;0,SUMIF(куб!$E:$E,$E21,куб!L:L),IF($D21&lt;&gt;0,SUMIF(куб!$D:$D,$D21,куб!L:L),IF($C21&lt;&gt;0,SUMIF(куб!$C:$C,$C21,куб!L:L),IF($B21&lt;&gt;0,SUMIF(куб!$B:$B,$B21,куб!L:L))))))</f>
        <v>23171.400000000023</v>
      </c>
      <c r="U21" s="27">
        <f>IF($G21&lt;&gt;0,SUMIF(куб!$G:$G,$G21,куб!M:M),IF($E21&lt;&gt;0,SUMIF(куб!$E:$E,$E21,куб!M:M),IF($D21&lt;&gt;0,SUMIF(куб!$D:$D,$D21,куб!M:M),IF($C21&lt;&gt;0,SUMIF(куб!$C:$C,$C21,куб!M:M),IF($B21&lt;&gt;0,SUMIF(куб!$B:$B,$B21,куб!M:M))))))</f>
        <v>25186.5</v>
      </c>
      <c r="V21" s="13">
        <f t="shared" si="19"/>
        <v>8.6964965431522254E-2</v>
      </c>
      <c r="W21" s="5"/>
      <c r="X21" s="27">
        <f>IF($G21&lt;&gt;0,SUMIF(куб!$G:$G,$G21,куб!N:N),IF($E21&lt;&gt;0,SUMIF(куб!$E:$E,$E21,куб!N:N),IF($D21&lt;&gt;0,SUMIF(куб!$D:$D,$D21,куб!N:N),IF($C21&lt;&gt;0,SUMIF(куб!$C:$C,$C21,куб!N:N),IF($B21&lt;&gt;0,SUMIF(куб!$B:$B,$B21,куб!N:N))))))</f>
        <v>139046.36180000217</v>
      </c>
      <c r="Y21" s="27">
        <f>IF($G21&lt;&gt;0,SUMIF(куб!$G:$G,$G21,куб!O:O),IF($E21&lt;&gt;0,SUMIF(куб!$E:$E,$E21,куб!O:O),IF($D21&lt;&gt;0,SUMIF(куб!$D:$D,$D21,куб!O:O),IF($C21&lt;&gt;0,SUMIF(куб!$C:$C,$C21,куб!O:O),IF($B21&lt;&gt;0,SUMIF(куб!$B:$B,$B21,куб!O:O))))))</f>
        <v>12136.539400000358</v>
      </c>
      <c r="Z21" s="13">
        <f t="shared" si="20"/>
        <v>-0.91271587948876365</v>
      </c>
      <c r="AA21" s="5"/>
      <c r="AB21" s="33">
        <f t="shared" si="21"/>
        <v>7.757939799185995E-2</v>
      </c>
      <c r="AC21" s="33">
        <f t="shared" si="22"/>
        <v>6.8759212543858085E-3</v>
      </c>
      <c r="AD21" s="15">
        <f t="shared" si="23"/>
        <v>-7.0703476737474139E-2</v>
      </c>
      <c r="AE21" s="5"/>
      <c r="AF21" s="27">
        <f>IF($G21&lt;&gt;0,SUMIF(куб!$G:$G,$G21,куб!R:R),IF($E21&lt;&gt;0,SUMIF(куб!$E:$E,$E21,куб!R:R),IF($D21&lt;&gt;0,SUMIF(куб!$D:$D,$D21,куб!R:R),IF($C21&lt;&gt;0,SUMIF(куб!$C:$C,$C21,куб!R:R),IF($B21&lt;&gt;0,SUMIF(куб!$B:$B,$B21,куб!R:R))))))</f>
        <v>90216.847999999998</v>
      </c>
      <c r="AG21" s="27">
        <f>IF($G21&lt;&gt;0,SUMIF(куб!$G:$G,$G21,куб!S:S),IF($E21&lt;&gt;0,SUMIF(куб!$E:$E,$E21,куб!S:S),IF($D21&lt;&gt;0,SUMIF(куб!$D:$D,$D21,куб!S:S),IF($C21&lt;&gt;0,SUMIF(куб!$C:$C,$C21,куб!S:S),IF($B21&lt;&gt;0,SUMIF(куб!$B:$B,$B21,куб!S:S))))))</f>
        <v>52531.353399999978</v>
      </c>
      <c r="AH21" s="16">
        <f t="shared" si="24"/>
        <v>-0.41772125091313345</v>
      </c>
      <c r="AI21" s="8"/>
      <c r="AJ21" s="27">
        <f>IF($G21&lt;&gt;0,SUMIF(куб!$G:$G,$G21,куб!T:T),IF($E21&lt;&gt;0,SUMIF(куб!$E:$E,$E21,куб!T:T),IF($D21&lt;&gt;0,SUMIF(куб!$D:$D,$D21,куб!T:T),IF($C21&lt;&gt;0,SUMIF(куб!$C:$C,$C21,куб!T:T),IF($B21&lt;&gt;0,SUMIF(куб!$B:$B,$B21,куб!T:T))))))</f>
        <v>1397</v>
      </c>
      <c r="AK21" s="27">
        <f>IF($G21&lt;&gt;0,SUMIF(куб!$G:$G,$G21,куб!U:U),IF($E21&lt;&gt;0,SUMIF(куб!$E:$E,$E21,куб!U:U),IF($D21&lt;&gt;0,SUMIF(куб!$D:$D,$D21,куб!U:U),IF($C21&lt;&gt;0,SUMIF(куб!$C:$C,$C21,куб!U:U),IF($B21&lt;&gt;0,SUMIF(куб!$B:$B,$B21,куб!U:U))))))</f>
        <v>839</v>
      </c>
      <c r="AL21" s="16">
        <f t="shared" si="25"/>
        <v>-0.3994273443092341</v>
      </c>
      <c r="AM21" s="8"/>
      <c r="AN21" s="17">
        <f t="shared" si="26"/>
        <v>5.0335504402697899E-2</v>
      </c>
      <c r="AO21" s="17">
        <f t="shared" si="27"/>
        <v>2.9761486158459752E-2</v>
      </c>
      <c r="AP21" s="16">
        <f t="shared" si="28"/>
        <v>-2.0574018244238147E-2</v>
      </c>
      <c r="AQ21" s="8"/>
      <c r="AR21" s="17">
        <f t="shared" si="29"/>
        <v>2.7243893589162047E-2</v>
      </c>
      <c r="AS21" s="17">
        <f t="shared" si="30"/>
        <v>-2.2885564904073941E-2</v>
      </c>
      <c r="AT21" s="13">
        <f t="shared" si="31"/>
        <v>-5.0129458493235989E-2</v>
      </c>
      <c r="AU21" s="8"/>
    </row>
    <row r="22" spans="1:50" ht="15" customHeight="1" x14ac:dyDescent="0.25">
      <c r="A22" s="31" t="s">
        <v>26</v>
      </c>
      <c r="B22" s="31" t="s">
        <v>32</v>
      </c>
      <c r="C22" t="s">
        <v>33</v>
      </c>
      <c r="D22" s="31" t="s">
        <v>34</v>
      </c>
      <c r="E22" t="s">
        <v>35</v>
      </c>
      <c r="F22" s="31" t="s">
        <v>70</v>
      </c>
      <c r="G22" t="s">
        <v>71</v>
      </c>
      <c r="H22" s="27">
        <f>IF($G22&lt;&gt;0,SUMIF(куб!$G:$G,$G22,куб!H:H),IF($E22&lt;&gt;0,SUMIF(куб!$E:$E,$E22,куб!H:H),IF($D22&lt;&gt;0,SUMIF(куб!$D:$D,$D22,куб!H:H),IF($C22&lt;&gt;0,SUMIF(куб!$C:$C,$C22,куб!H:H),IF($B22&lt;&gt;0,SUMIF(куб!$B:$B,$B22,куб!H:H),IF($G22&lt;&gt;0,SUMIF(куб!$A:$A,$G22,куб!H:H),SUMIF(куб!$A:$A,$G22,куб!H:H)))))))</f>
        <v>35520.388799999993</v>
      </c>
      <c r="I22" s="27">
        <f>IF($G22&lt;&gt;0,SUMIF(куб!$G:$G,$G22,куб!I:I),IF($E22&lt;&gt;0,SUMIF(куб!$E:$E,$E22,куб!I:I),IF($D22&lt;&gt;0,SUMIF(куб!$D:$D,$D22,куб!I:I),IF($C22&lt;&gt;0,SUMIF(куб!$C:$C,$C22,куб!I:I),IF($B22&lt;&gt;0,SUMIF(куб!$B:$B,$B22,куб!I:I),IF($G22&lt;&gt;0,SUMIF(куб!$A:$A,$G22,куб!I:I),SUMIF(куб!$A:$A,$G22,куб!I:I)))))))</f>
        <v>0</v>
      </c>
      <c r="J22" s="19">
        <f t="shared" si="33"/>
        <v>-1</v>
      </c>
      <c r="K22" s="8"/>
      <c r="L22" s="17">
        <f t="shared" si="15"/>
        <v>7.419825711541366E-5</v>
      </c>
      <c r="M22" s="17">
        <f t="shared" si="16"/>
        <v>0</v>
      </c>
      <c r="N22" s="12">
        <f t="shared" si="17"/>
        <v>-7.419825711541366E-5</v>
      </c>
      <c r="O22" s="5"/>
      <c r="P22" s="27">
        <f>IF($G22&lt;&gt;0,SUMIF(куб!$G:$G,$G22,куб!J:J),IF($E22&lt;&gt;0,SUMIF(куб!$E:$E,$E22,куб!J:J),IF($D22&lt;&gt;0,SUMIF(куб!$D:$D,$D22,куб!J:J),IF($C22&lt;&gt;0,SUMIF(куб!$C:$C,$C22,куб!J:J),IF($B22&lt;&gt;0,SUMIF(куб!$B:$B,$B22,куб!J:J))))))</f>
        <v>612</v>
      </c>
      <c r="Q22" s="27">
        <f>IF($G22&lt;&gt;0,SUMIF(куб!$G:$G,$G22,куб!K:K),IF($E22&lt;&gt;0,SUMIF(куб!$E:$E,$E22,куб!K:K),IF($D22&lt;&gt;0,SUMIF(куб!$D:$D,$D22,куб!K:K),IF($C22&lt;&gt;0,SUMIF(куб!$C:$C,$C22,куб!K:K),IF($B22&lt;&gt;0,SUMIF(куб!$B:$B,$B22,куб!K:K))))))</f>
        <v>0</v>
      </c>
      <c r="R22" s="13">
        <f t="shared" si="18"/>
        <v>-1</v>
      </c>
      <c r="S22" s="5"/>
      <c r="T22" s="27">
        <f>IF($G22&lt;&gt;0,SUMIF(куб!$G:$G,$G22,куб!L:L),IF($E22&lt;&gt;0,SUMIF(куб!$E:$E,$E22,куб!L:L),IF($D22&lt;&gt;0,SUMIF(куб!$D:$D,$D22,куб!L:L),IF($C22&lt;&gt;0,SUMIF(куб!$C:$C,$C22,куб!L:L),IF($B22&lt;&gt;0,SUMIF(куб!$B:$B,$B22,куб!L:L))))))</f>
        <v>489.59999999999985</v>
      </c>
      <c r="U22" s="27">
        <f>IF($G22&lt;&gt;0,SUMIF(куб!$G:$G,$G22,куб!M:M),IF($E22&lt;&gt;0,SUMIF(куб!$E:$E,$E22,куб!M:M),IF($D22&lt;&gt;0,SUMIF(куб!$D:$D,$D22,куб!M:M),IF($C22&lt;&gt;0,SUMIF(куб!$C:$C,$C22,куб!M:M),IF($B22&lt;&gt;0,SUMIF(куб!$B:$B,$B22,куб!M:M))))))</f>
        <v>0</v>
      </c>
      <c r="V22" s="13">
        <f t="shared" si="19"/>
        <v>-1</v>
      </c>
      <c r="W22" s="5"/>
      <c r="X22" s="27">
        <f>IF($G22&lt;&gt;0,SUMIF(куб!$G:$G,$G22,куб!N:N),IF($E22&lt;&gt;0,SUMIF(куб!$E:$E,$E22,куб!N:N),IF($D22&lt;&gt;0,SUMIF(куб!$D:$D,$D22,куб!N:N),IF($C22&lt;&gt;0,SUMIF(куб!$C:$C,$C22,куб!N:N),IF($B22&lt;&gt;0,SUMIF(куб!$B:$B,$B22,куб!N:N))))))</f>
        <v>4219.38129999999</v>
      </c>
      <c r="Y22" s="27">
        <f>IF($G22&lt;&gt;0,SUMIF(куб!$G:$G,$G22,куб!O:O),IF($E22&lt;&gt;0,SUMIF(куб!$E:$E,$E22,куб!O:O),IF($D22&lt;&gt;0,SUMIF(куб!$D:$D,$D22,куб!O:O),IF($C22&lt;&gt;0,SUMIF(куб!$C:$C,$C22,куб!O:O),IF($B22&lt;&gt;0,SUMIF(куб!$B:$B,$B22,куб!O:O))))))</f>
        <v>0</v>
      </c>
      <c r="Z22" s="13">
        <f t="shared" si="20"/>
        <v>-1</v>
      </c>
      <c r="AA22" s="5"/>
      <c r="AB22" s="33">
        <f t="shared" si="21"/>
        <v>0.11878758770793608</v>
      </c>
      <c r="AC22" s="33" t="str">
        <f t="shared" si="22"/>
        <v/>
      </c>
      <c r="AD22" s="15" t="str">
        <f t="shared" si="23"/>
        <v xml:space="preserve"> </v>
      </c>
      <c r="AE22" s="5"/>
      <c r="AF22" s="27">
        <f>IF($G22&lt;&gt;0,SUMIF(куб!$G:$G,$G22,куб!R:R),IF($E22&lt;&gt;0,SUMIF(куб!$E:$E,$E22,куб!R:R),IF($D22&lt;&gt;0,SUMIF(куб!$D:$D,$D22,куб!R:R),IF($C22&lt;&gt;0,SUMIF(куб!$C:$C,$C22,куб!R:R),IF($B22&lt;&gt;0,SUMIF(куб!$B:$B,$B22,куб!R:R))))))</f>
        <v>10945.123899999999</v>
      </c>
      <c r="AG22" s="27">
        <f>IF($G22&lt;&gt;0,SUMIF(куб!$G:$G,$G22,куб!S:S),IF($E22&lt;&gt;0,SUMIF(куб!$E:$E,$E22,куб!S:S),IF($D22&lt;&gt;0,SUMIF(куб!$D:$D,$D22,куб!S:S),IF($C22&lt;&gt;0,SUMIF(куб!$C:$C,$C22,куб!S:S),IF($B22&lt;&gt;0,SUMIF(куб!$B:$B,$B22,куб!S:S))))))</f>
        <v>0</v>
      </c>
      <c r="AH22" s="16">
        <f t="shared" si="24"/>
        <v>-1</v>
      </c>
      <c r="AI22" s="8"/>
      <c r="AJ22" s="27">
        <f>IF($G22&lt;&gt;0,SUMIF(куб!$G:$G,$G22,куб!T:T),IF($E22&lt;&gt;0,SUMIF(куб!$E:$E,$E22,куб!T:T),IF($D22&lt;&gt;0,SUMIF(куб!$D:$D,$D22,куб!T:T),IF($C22&lt;&gt;0,SUMIF(куб!$C:$C,$C22,куб!T:T),IF($B22&lt;&gt;0,SUMIF(куб!$B:$B,$B22,куб!T:T))))))</f>
        <v>214</v>
      </c>
      <c r="AK22" s="27">
        <f>IF($G22&lt;&gt;0,SUMIF(куб!$G:$G,$G22,куб!U:U),IF($E22&lt;&gt;0,SUMIF(куб!$E:$E,$E22,куб!U:U),IF($D22&lt;&gt;0,SUMIF(куб!$D:$D,$D22,куб!U:U),IF($C22&lt;&gt;0,SUMIF(куб!$C:$C,$C22,куб!U:U),IF($B22&lt;&gt;0,SUMIF(куб!$B:$B,$B22,куб!U:U))))))</f>
        <v>0</v>
      </c>
      <c r="AL22" s="16">
        <f t="shared" si="25"/>
        <v>-1</v>
      </c>
      <c r="AM22" s="8"/>
      <c r="AN22" s="17">
        <f t="shared" si="26"/>
        <v>0.30813637659281479</v>
      </c>
      <c r="AO22" s="17" t="str">
        <f t="shared" si="27"/>
        <v xml:space="preserve"> </v>
      </c>
      <c r="AP22" s="16" t="str">
        <f t="shared" si="28"/>
        <v>-</v>
      </c>
      <c r="AQ22" s="8"/>
      <c r="AR22" s="17">
        <f t="shared" si="29"/>
        <v>-0.18934878888487869</v>
      </c>
      <c r="AS22" s="17" t="str">
        <f t="shared" si="30"/>
        <v>-</v>
      </c>
      <c r="AT22" s="13" t="str">
        <f t="shared" si="31"/>
        <v>-</v>
      </c>
      <c r="AU22" s="8"/>
    </row>
    <row r="23" spans="1:50" ht="15" customHeight="1" x14ac:dyDescent="0.25">
      <c r="A23" s="31" t="s">
        <v>26</v>
      </c>
      <c r="B23" s="31" t="s">
        <v>32</v>
      </c>
      <c r="C23" t="s">
        <v>33</v>
      </c>
      <c r="D23" s="31" t="s">
        <v>34</v>
      </c>
      <c r="E23" t="s">
        <v>35</v>
      </c>
      <c r="F23" s="31" t="s">
        <v>72</v>
      </c>
      <c r="G23" t="s">
        <v>73</v>
      </c>
      <c r="H23" s="27">
        <f>IF($G23&lt;&gt;0,SUMIF(куб!$G:$G,$G23,куб!H:H),IF($E23&lt;&gt;0,SUMIF(куб!$E:$E,$E23,куб!H:H),IF($D23&lt;&gt;0,SUMIF(куб!$D:$D,$D23,куб!H:H),IF($C23&lt;&gt;0,SUMIF(куб!$C:$C,$C23,куб!H:H),IF($B23&lt;&gt;0,SUMIF(куб!$B:$B,$B23,куб!H:H),IF($G23&lt;&gt;0,SUMIF(куб!$A:$A,$G23,куб!H:H),SUMIF(куб!$A:$A,$G23,куб!H:H)))))))</f>
        <v>45553893.479099803</v>
      </c>
      <c r="I23" s="27">
        <f>IF($G23&lt;&gt;0,SUMIF(куб!$G:$G,$G23,куб!I:I),IF($E23&lt;&gt;0,SUMIF(куб!$E:$E,$E23,куб!I:I),IF($D23&lt;&gt;0,SUMIF(куб!$D:$D,$D23,куб!I:I),IF($C23&lt;&gt;0,SUMIF(куб!$C:$C,$C23,куб!I:I),IF($B23&lt;&gt;0,SUMIF(куб!$B:$B,$B23,куб!I:I),IF($G23&lt;&gt;0,SUMIF(куб!$A:$A,$G23,куб!I:I),SUMIF(куб!$A:$A,$G23,куб!I:I)))))))</f>
        <v>23720126.464799926</v>
      </c>
      <c r="J23" s="19">
        <f t="shared" si="33"/>
        <v>-0.47929529940875948</v>
      </c>
      <c r="K23" s="10"/>
      <c r="L23" s="17">
        <f t="shared" si="15"/>
        <v>9.5157165086278944E-2</v>
      </c>
      <c r="M23" s="17">
        <f t="shared" si="16"/>
        <v>5.0575461107549069E-2</v>
      </c>
      <c r="N23" s="12">
        <f t="shared" si="17"/>
        <v>-4.4581703978729875E-2</v>
      </c>
      <c r="O23" s="5"/>
      <c r="P23" s="27">
        <f>IF($G23&lt;&gt;0,SUMIF(куб!$G:$G,$G23,куб!J:J),IF($E23&lt;&gt;0,SUMIF(куб!$E:$E,$E23,куб!J:J),IF($D23&lt;&gt;0,SUMIF(куб!$D:$D,$D23,куб!J:J),IF($C23&lt;&gt;0,SUMIF(куб!$C:$C,$C23,куб!J:J),IF($B23&lt;&gt;0,SUMIF(куб!$B:$B,$B23,куб!J:J))))))</f>
        <v>734414</v>
      </c>
      <c r="Q23" s="27">
        <f>IF($G23&lt;&gt;0,SUMIF(куб!$G:$G,$G23,куб!K:K),IF($E23&lt;&gt;0,SUMIF(куб!$E:$E,$E23,куб!K:K),IF($D23&lt;&gt;0,SUMIF(куб!$D:$D,$D23,куб!K:K),IF($C23&lt;&gt;0,SUMIF(куб!$C:$C,$C23,куб!K:K),IF($B23&lt;&gt;0,SUMIF(куб!$B:$B,$B23,куб!K:K))))))</f>
        <v>401780</v>
      </c>
      <c r="R23" s="13">
        <f t="shared" si="18"/>
        <v>-0.4529243723567361</v>
      </c>
      <c r="S23" s="5"/>
      <c r="T23" s="27">
        <f>IF($G23&lt;&gt;0,SUMIF(куб!$G:$G,$G23,куб!L:L),IF($E23&lt;&gt;0,SUMIF(куб!$E:$E,$E23,куб!L:L),IF($D23&lt;&gt;0,SUMIF(куб!$D:$D,$D23,куб!L:L),IF($C23&lt;&gt;0,SUMIF(куб!$C:$C,$C23,куб!L:L),IF($B23&lt;&gt;0,SUMIF(куб!$B:$B,$B23,куб!L:L))))))</f>
        <v>660972.59999999916</v>
      </c>
      <c r="U23" s="27">
        <f>IF($G23&lt;&gt;0,SUMIF(куб!$G:$G,$G23,куб!M:M),IF($E23&lt;&gt;0,SUMIF(куб!$E:$E,$E23,куб!M:M),IF($D23&lt;&gt;0,SUMIF(куб!$D:$D,$D23,куб!M:M),IF($C23&lt;&gt;0,SUMIF(куб!$C:$C,$C23,куб!M:M),IF($B23&lt;&gt;0,SUMIF(куб!$B:$B,$B23,куб!M:M))))))</f>
        <v>361601.99999999977</v>
      </c>
      <c r="V23" s="13">
        <f t="shared" si="19"/>
        <v>-0.45292437235673577</v>
      </c>
      <c r="W23" s="5"/>
      <c r="X23" s="27">
        <f>IF($G23&lt;&gt;0,SUMIF(куб!$G:$G,$G23,куб!N:N),IF($E23&lt;&gt;0,SUMIF(куб!$E:$E,$E23,куб!N:N),IF($D23&lt;&gt;0,SUMIF(куб!$D:$D,$D23,куб!N:N),IF($C23&lt;&gt;0,SUMIF(куб!$C:$C,$C23,куб!N:N),IF($B23&lt;&gt;0,SUMIF(куб!$B:$B,$B23,куб!N:N))))))</f>
        <v>3730469.4967999607</v>
      </c>
      <c r="Y23" s="27">
        <f>IF($G23&lt;&gt;0,SUMIF(куб!$G:$G,$G23,куб!O:O),IF($E23&lt;&gt;0,SUMIF(куб!$E:$E,$E23,куб!O:O),IF($D23&lt;&gt;0,SUMIF(куб!$D:$D,$D23,куб!O:O),IF($C23&lt;&gt;0,SUMIF(куб!$C:$C,$C23,куб!O:O),IF($B23&lt;&gt;0,SUMIF(куб!$B:$B,$B23,куб!O:O))))))</f>
        <v>1774948.8630000763</v>
      </c>
      <c r="Z23" s="13">
        <f t="shared" si="20"/>
        <v>-0.52420228485378373</v>
      </c>
      <c r="AA23" s="5"/>
      <c r="AB23" s="33">
        <f t="shared" si="21"/>
        <v>8.1891342581101353E-2</v>
      </c>
      <c r="AC23" s="33">
        <f t="shared" si="22"/>
        <v>7.4828811120971714E-2</v>
      </c>
      <c r="AD23" s="15">
        <f t="shared" si="23"/>
        <v>-7.0625314601296396E-3</v>
      </c>
      <c r="AE23" s="5"/>
      <c r="AF23" s="27">
        <f>IF($G23&lt;&gt;0,SUMIF(куб!$G:$G,$G23,куб!R:R),IF($E23&lt;&gt;0,SUMIF(куб!$E:$E,$E23,куб!R:R),IF($D23&lt;&gt;0,SUMIF(куб!$D:$D,$D23,куб!R:R),IF($C23&lt;&gt;0,SUMIF(куб!$C:$C,$C23,куб!R:R),IF($B23&lt;&gt;0,SUMIF(куб!$B:$B,$B23,куб!R:R))))))</f>
        <v>83965.730900000039</v>
      </c>
      <c r="AG23" s="27">
        <f>IF($G23&lt;&gt;0,SUMIF(куб!$G:$G,$G23,куб!S:S),IF($E23&lt;&gt;0,SUMIF(куб!$E:$E,$E23,куб!S:S),IF($D23&lt;&gt;0,SUMIF(куб!$D:$D,$D23,куб!S:S),IF($C23&lt;&gt;0,SUMIF(куб!$C:$C,$C23,куб!S:S),IF($B23&lt;&gt;0,SUMIF(куб!$B:$B,$B23,куб!S:S))))))</f>
        <v>154217.20070000004</v>
      </c>
      <c r="AH23" s="16">
        <f t="shared" si="24"/>
        <v>0.83666835323171085</v>
      </c>
      <c r="AI23" s="8"/>
      <c r="AJ23" s="27">
        <f>IF($G23&lt;&gt;0,SUMIF(куб!$G:$G,$G23,куб!T:T),IF($E23&lt;&gt;0,SUMIF(куб!$E:$E,$E23,куб!T:T),IF($D23&lt;&gt;0,SUMIF(куб!$D:$D,$D23,куб!T:T),IF($C23&lt;&gt;0,SUMIF(куб!$C:$C,$C23,куб!T:T),IF($B23&lt;&gt;0,SUMIF(куб!$B:$B,$B23,куб!T:T))))))</f>
        <v>1485</v>
      </c>
      <c r="AK23" s="27">
        <f>IF($G23&lt;&gt;0,SUMIF(куб!$G:$G,$G23,куб!U:U),IF($E23&lt;&gt;0,SUMIF(куб!$E:$E,$E23,куб!U:U),IF($D23&lt;&gt;0,SUMIF(куб!$D:$D,$D23,куб!U:U),IF($C23&lt;&gt;0,SUMIF(куб!$C:$C,$C23,куб!U:U),IF($B23&lt;&gt;0,SUMIF(куб!$B:$B,$B23,куб!U:U))))))</f>
        <v>2812</v>
      </c>
      <c r="AL23" s="16">
        <f t="shared" si="25"/>
        <v>0.89360269360269362</v>
      </c>
      <c r="AM23" s="8"/>
      <c r="AN23" s="17">
        <f t="shared" si="26"/>
        <v>1.8432174395482494E-3</v>
      </c>
      <c r="AO23" s="17">
        <f t="shared" si="27"/>
        <v>6.5015336629361785E-3</v>
      </c>
      <c r="AP23" s="16">
        <f t="shared" si="28"/>
        <v>4.6583162233879288E-3</v>
      </c>
      <c r="AQ23" s="8"/>
      <c r="AR23" s="17">
        <f t="shared" si="29"/>
        <v>8.00481251415531E-2</v>
      </c>
      <c r="AS23" s="17">
        <f t="shared" si="30"/>
        <v>6.8327277458035546E-2</v>
      </c>
      <c r="AT23" s="13">
        <f t="shared" si="31"/>
        <v>-1.1720847683517555E-2</v>
      </c>
      <c r="AU23" s="8"/>
    </row>
    <row r="24" spans="1:50" ht="15" customHeight="1" x14ac:dyDescent="0.25">
      <c r="A24" s="31" t="s">
        <v>26</v>
      </c>
      <c r="B24" s="31" t="s">
        <v>32</v>
      </c>
      <c r="C24" t="s">
        <v>33</v>
      </c>
      <c r="D24" s="31" t="s">
        <v>34</v>
      </c>
      <c r="E24" t="s">
        <v>35</v>
      </c>
      <c r="F24" s="31" t="s">
        <v>74</v>
      </c>
      <c r="G24" t="s">
        <v>75</v>
      </c>
      <c r="H24" s="27">
        <f>IF($G24&lt;&gt;0,SUMIF(куб!$G:$G,$G24,куб!H:H),IF($E24&lt;&gt;0,SUMIF(куб!$E:$E,$E24,куб!H:H),IF($D24&lt;&gt;0,SUMIF(куб!$D:$D,$D24,куб!H:H),IF($C24&lt;&gt;0,SUMIF(куб!$C:$C,$C24,куб!H:H),IF($B24&lt;&gt;0,SUMIF(куб!$B:$B,$B24,куб!H:H),IF($G24&lt;&gt;0,SUMIF(куб!$A:$A,$G24,куб!H:H),SUMIF(куб!$A:$A,$G24,куб!H:H)))))))</f>
        <v>353116.7068000001</v>
      </c>
      <c r="I24" s="27">
        <f>IF($G24&lt;&gt;0,SUMIF(куб!$G:$G,$G24,куб!I:I),IF($E24&lt;&gt;0,SUMIF(куб!$E:$E,$E24,куб!I:I),IF($D24&lt;&gt;0,SUMIF(куб!$D:$D,$D24,куб!I:I),IF($C24&lt;&gt;0,SUMIF(куб!$C:$C,$C24,куб!I:I),IF($B24&lt;&gt;0,SUMIF(куб!$B:$B,$B24,куб!I:I),IF($G24&lt;&gt;0,SUMIF(куб!$A:$A,$G24,куб!I:I),SUMIF(куб!$A:$A,$G24,куб!I:I)))))))</f>
        <v>0</v>
      </c>
      <c r="J24" s="19">
        <f t="shared" si="33"/>
        <v>-1</v>
      </c>
      <c r="K24" s="5"/>
      <c r="L24" s="17">
        <f t="shared" si="15"/>
        <v>7.3762267497743588E-4</v>
      </c>
      <c r="M24" s="17">
        <f t="shared" si="16"/>
        <v>0</v>
      </c>
      <c r="N24" s="12">
        <f t="shared" si="17"/>
        <v>-7.3762267497743588E-4</v>
      </c>
      <c r="O24" s="5"/>
      <c r="P24" s="27">
        <f>IF($G24&lt;&gt;0,SUMIF(куб!$G:$G,$G24,куб!J:J),IF($E24&lt;&gt;0,SUMIF(куб!$E:$E,$E24,куб!J:J),IF($D24&lt;&gt;0,SUMIF(куб!$D:$D,$D24,куб!J:J),IF($C24&lt;&gt;0,SUMIF(куб!$C:$C,$C24,куб!J:J),IF($B24&lt;&gt;0,SUMIF(куб!$B:$B,$B24,куб!J:J))))))</f>
        <v>5220</v>
      </c>
      <c r="Q24" s="27">
        <f>IF($G24&lt;&gt;0,SUMIF(куб!$G:$G,$G24,куб!K:K),IF($E24&lt;&gt;0,SUMIF(куб!$E:$E,$E24,куб!K:K),IF($D24&lt;&gt;0,SUMIF(куб!$D:$D,$D24,куб!K:K),IF($C24&lt;&gt;0,SUMIF(куб!$C:$C,$C24,куб!K:K),IF($B24&lt;&gt;0,SUMIF(куб!$B:$B,$B24,куб!K:K))))))</f>
        <v>0</v>
      </c>
      <c r="R24" s="13">
        <f t="shared" si="18"/>
        <v>-1</v>
      </c>
      <c r="S24" s="5"/>
      <c r="T24" s="27">
        <f>IF($G24&lt;&gt;0,SUMIF(куб!$G:$G,$G24,куб!L:L),IF($E24&lt;&gt;0,SUMIF(куб!$E:$E,$E24,куб!L:L),IF($D24&lt;&gt;0,SUMIF(куб!$D:$D,$D24,куб!L:L),IF($C24&lt;&gt;0,SUMIF(куб!$C:$C,$C24,куб!L:L),IF($B24&lt;&gt;0,SUMIF(куб!$B:$B,$B24,куб!L:L))))))</f>
        <v>4697.9999999999964</v>
      </c>
      <c r="U24" s="27">
        <f>IF($G24&lt;&gt;0,SUMIF(куб!$G:$G,$G24,куб!M:M),IF($E24&lt;&gt;0,SUMIF(куб!$E:$E,$E24,куб!M:M),IF($D24&lt;&gt;0,SUMIF(куб!$D:$D,$D24,куб!M:M),IF($C24&lt;&gt;0,SUMIF(куб!$C:$C,$C24,куб!M:M),IF($B24&lt;&gt;0,SUMIF(куб!$B:$B,$B24,куб!M:M))))))</f>
        <v>0</v>
      </c>
      <c r="V24" s="13">
        <f t="shared" si="19"/>
        <v>-1</v>
      </c>
      <c r="W24" s="5"/>
      <c r="X24" s="27">
        <f>IF($G24&lt;&gt;0,SUMIF(куб!$G:$G,$G24,куб!N:N),IF($E24&lt;&gt;0,SUMIF(куб!$E:$E,$E24,куб!N:N),IF($D24&lt;&gt;0,SUMIF(куб!$D:$D,$D24,куб!N:N),IF($C24&lt;&gt;0,SUMIF(куб!$C:$C,$C24,куб!N:N),IF($B24&lt;&gt;0,SUMIF(куб!$B:$B,$B24,куб!N:N))))))</f>
        <v>38531.864300000772</v>
      </c>
      <c r="Y24" s="27">
        <f>IF($G24&lt;&gt;0,SUMIF(куб!$G:$G,$G24,куб!O:O),IF($E24&lt;&gt;0,SUMIF(куб!$E:$E,$E24,куб!O:O),IF($D24&lt;&gt;0,SUMIF(куб!$D:$D,$D24,куб!O:O),IF($C24&lt;&gt;0,SUMIF(куб!$C:$C,$C24,куб!O:O),IF($B24&lt;&gt;0,SUMIF(куб!$B:$B,$B24,куб!O:O))))))</f>
        <v>0</v>
      </c>
      <c r="Z24" s="13">
        <f t="shared" si="20"/>
        <v>-1</v>
      </c>
      <c r="AA24" s="5"/>
      <c r="AB24" s="33">
        <f t="shared" si="21"/>
        <v>0.10911934654461034</v>
      </c>
      <c r="AC24" s="33" t="str">
        <f t="shared" si="22"/>
        <v/>
      </c>
      <c r="AD24" s="15" t="str">
        <f t="shared" si="23"/>
        <v xml:space="preserve"> </v>
      </c>
      <c r="AE24" s="5"/>
      <c r="AF24" s="27">
        <f>IF($G24&lt;&gt;0,SUMIF(куб!$G:$G,$G24,куб!R:R),IF($E24&lt;&gt;0,SUMIF(куб!$E:$E,$E24,куб!R:R),IF($D24&lt;&gt;0,SUMIF(куб!$D:$D,$D24,куб!R:R),IF($C24&lt;&gt;0,SUMIF(куб!$C:$C,$C24,куб!R:R),IF($B24&lt;&gt;0,SUMIF(куб!$B:$B,$B24,куб!R:R))))))</f>
        <v>32542.353799999997</v>
      </c>
      <c r="AG24" s="27">
        <f>IF($G24&lt;&gt;0,SUMIF(куб!$G:$G,$G24,куб!S:S),IF($E24&lt;&gt;0,SUMIF(куб!$E:$E,$E24,куб!S:S),IF($D24&lt;&gt;0,SUMIF(куб!$D:$D,$D24,куб!S:S),IF($C24&lt;&gt;0,SUMIF(куб!$C:$C,$C24,куб!S:S),IF($B24&lt;&gt;0,SUMIF(куб!$B:$B,$B24,куб!S:S))))))</f>
        <v>0</v>
      </c>
      <c r="AH24" s="16">
        <f t="shared" si="24"/>
        <v>-1</v>
      </c>
      <c r="AI24" s="8"/>
      <c r="AJ24" s="27">
        <f>IF($G24&lt;&gt;0,SUMIF(куб!$G:$G,$G24,куб!T:T),IF($E24&lt;&gt;0,SUMIF(куб!$E:$E,$E24,куб!T:T),IF($D24&lt;&gt;0,SUMIF(куб!$D:$D,$D24,куб!T:T),IF($C24&lt;&gt;0,SUMIF(куб!$C:$C,$C24,куб!T:T),IF($B24&lt;&gt;0,SUMIF(куб!$B:$B,$B24,куб!T:T))))))</f>
        <v>540</v>
      </c>
      <c r="AK24" s="27">
        <f>IF($G24&lt;&gt;0,SUMIF(куб!$G:$G,$G24,куб!U:U),IF($E24&lt;&gt;0,SUMIF(куб!$E:$E,$E24,куб!U:U),IF($D24&lt;&gt;0,SUMIF(куб!$D:$D,$D24,куб!U:U),IF($C24&lt;&gt;0,SUMIF(куб!$C:$C,$C24,куб!U:U),IF($B24&lt;&gt;0,SUMIF(куб!$B:$B,$B24,куб!U:U))))))</f>
        <v>0</v>
      </c>
      <c r="AL24" s="16">
        <f t="shared" si="25"/>
        <v>-1</v>
      </c>
      <c r="AM24" s="8"/>
      <c r="AN24" s="17">
        <f t="shared" si="26"/>
        <v>9.2157502529132643E-2</v>
      </c>
      <c r="AO24" s="17" t="str">
        <f t="shared" si="27"/>
        <v xml:space="preserve"> </v>
      </c>
      <c r="AP24" s="16" t="str">
        <f t="shared" si="28"/>
        <v>-</v>
      </c>
      <c r="AQ24" s="8"/>
      <c r="AR24" s="17">
        <f t="shared" si="29"/>
        <v>1.6961844015477699E-2</v>
      </c>
      <c r="AS24" s="17" t="str">
        <f t="shared" si="30"/>
        <v>-</v>
      </c>
      <c r="AT24" s="13" t="str">
        <f t="shared" si="31"/>
        <v>-</v>
      </c>
      <c r="AU24" s="8"/>
    </row>
    <row r="25" spans="1:50" ht="15" customHeight="1" x14ac:dyDescent="0.25">
      <c r="A25" s="31" t="s">
        <v>26</v>
      </c>
      <c r="B25" s="31" t="s">
        <v>32</v>
      </c>
      <c r="C25" t="s">
        <v>33</v>
      </c>
      <c r="D25" s="31" t="s">
        <v>34</v>
      </c>
      <c r="E25" t="s">
        <v>35</v>
      </c>
      <c r="F25" s="31" t="s">
        <v>76</v>
      </c>
      <c r="G25" t="s">
        <v>77</v>
      </c>
      <c r="H25" s="27">
        <f>IF($G25&lt;&gt;0,SUMIF(куб!$G:$G,$G25,куб!H:H),IF($E25&lt;&gt;0,SUMIF(куб!$E:$E,$E25,куб!H:H),IF($D25&lt;&gt;0,SUMIF(куб!$D:$D,$D25,куб!H:H),IF($C25&lt;&gt;0,SUMIF(куб!$C:$C,$C25,куб!H:H),IF($B25&lt;&gt;0,SUMIF(куб!$B:$B,$B25,куб!H:H),IF($G25&lt;&gt;0,SUMIF(куб!$A:$A,$G25,куб!H:H),SUMIF(куб!$A:$A,$G25,куб!H:H)))))))</f>
        <v>0</v>
      </c>
      <c r="I25" s="27">
        <f>IF($G25&lt;&gt;0,SUMIF(куб!$G:$G,$G25,куб!I:I),IF($E25&lt;&gt;0,SUMIF(куб!$E:$E,$E25,куб!I:I),IF($D25&lt;&gt;0,SUMIF(куб!$D:$D,$D25,куб!I:I),IF($C25&lt;&gt;0,SUMIF(куб!$C:$C,$C25,куб!I:I),IF($B25&lt;&gt;0,SUMIF(куб!$B:$B,$B25,куб!I:I),IF($G25&lt;&gt;0,SUMIF(куб!$A:$A,$G25,куб!I:I),SUMIF(куб!$A:$A,$G25,куб!I:I)))))))</f>
        <v>95925.547299999962</v>
      </c>
      <c r="J25" s="19" t="str">
        <f t="shared" si="33"/>
        <v>-</v>
      </c>
      <c r="K25" s="5"/>
      <c r="L25" s="17">
        <f t="shared" si="15"/>
        <v>0</v>
      </c>
      <c r="M25" s="17">
        <f t="shared" si="16"/>
        <v>2.0453005568460943E-4</v>
      </c>
      <c r="N25" s="12">
        <f t="shared" si="17"/>
        <v>2.0453005568460943E-4</v>
      </c>
      <c r="O25" s="5"/>
      <c r="P25" s="27">
        <f>IF($G25&lt;&gt;0,SUMIF(куб!$G:$G,$G25,куб!J:J),IF($E25&lt;&gt;0,SUMIF(куб!$E:$E,$E25,куб!J:J),IF($D25&lt;&gt;0,SUMIF(куб!$D:$D,$D25,куб!J:J),IF($C25&lt;&gt;0,SUMIF(куб!$C:$C,$C25,куб!J:J),IF($B25&lt;&gt;0,SUMIF(куб!$B:$B,$B25,куб!J:J))))))</f>
        <v>0</v>
      </c>
      <c r="Q25" s="27">
        <f>IF($G25&lt;&gt;0,SUMIF(куб!$G:$G,$G25,куб!K:K),IF($E25&lt;&gt;0,SUMIF(куб!$E:$E,$E25,куб!K:K),IF($D25&lt;&gt;0,SUMIF(куб!$D:$D,$D25,куб!K:K),IF($C25&lt;&gt;0,SUMIF(куб!$C:$C,$C25,куб!K:K),IF($B25&lt;&gt;0,SUMIF(куб!$B:$B,$B25,куб!K:K))))))</f>
        <v>1338</v>
      </c>
      <c r="R25" s="13" t="str">
        <f t="shared" si="18"/>
        <v>-</v>
      </c>
      <c r="S25" s="5"/>
      <c r="T25" s="27">
        <f>IF($G25&lt;&gt;0,SUMIF(куб!$G:$G,$G25,куб!L:L),IF($E25&lt;&gt;0,SUMIF(куб!$E:$E,$E25,куб!L:L),IF($D25&lt;&gt;0,SUMIF(куб!$D:$D,$D25,куб!L:L),IF($C25&lt;&gt;0,SUMIF(куб!$C:$C,$C25,куб!L:L),IF($B25&lt;&gt;0,SUMIF(куб!$B:$B,$B25,куб!L:L))))))</f>
        <v>0</v>
      </c>
      <c r="U25" s="27">
        <f>IF($G25&lt;&gt;0,SUMIF(куб!$G:$G,$G25,куб!M:M),IF($E25&lt;&gt;0,SUMIF(куб!$E:$E,$E25,куб!M:M),IF($D25&lt;&gt;0,SUMIF(куб!$D:$D,$D25,куб!M:M),IF($C25&lt;&gt;0,SUMIF(куб!$C:$C,$C25,куб!M:M),IF($B25&lt;&gt;0,SUMIF(куб!$B:$B,$B25,куб!M:M))))))</f>
        <v>1204.2000000000003</v>
      </c>
      <c r="V25" s="13" t="str">
        <f t="shared" si="19"/>
        <v>-</v>
      </c>
      <c r="W25" s="5"/>
      <c r="X25" s="27">
        <f>IF($G25&lt;&gt;0,SUMIF(куб!$G:$G,$G25,куб!N:N),IF($E25&lt;&gt;0,SUMIF(куб!$E:$E,$E25,куб!N:N),IF($D25&lt;&gt;0,SUMIF(куб!$D:$D,$D25,куб!N:N),IF($C25&lt;&gt;0,SUMIF(куб!$C:$C,$C25,куб!N:N),IF($B25&lt;&gt;0,SUMIF(куб!$B:$B,$B25,куб!N:N))))))</f>
        <v>0</v>
      </c>
      <c r="Y25" s="27">
        <f>IF($G25&lt;&gt;0,SUMIF(куб!$G:$G,$G25,куб!O:O),IF($E25&lt;&gt;0,SUMIF(куб!$E:$E,$E25,куб!O:O),IF($D25&lt;&gt;0,SUMIF(куб!$D:$D,$D25,куб!O:O),IF($C25&lt;&gt;0,SUMIF(куб!$C:$C,$C25,куб!O:O),IF($B25&lt;&gt;0,SUMIF(куб!$B:$B,$B25,куб!O:O))))))</f>
        <v>11850.510899999979</v>
      </c>
      <c r="Z25" s="13" t="str">
        <f t="shared" si="20"/>
        <v>-</v>
      </c>
      <c r="AA25" s="5"/>
      <c r="AB25" s="33" t="str">
        <f t="shared" si="21"/>
        <v/>
      </c>
      <c r="AC25" s="33">
        <f t="shared" si="22"/>
        <v>0.12353863213246409</v>
      </c>
      <c r="AD25" s="15" t="str">
        <f t="shared" si="23"/>
        <v xml:space="preserve"> </v>
      </c>
      <c r="AE25" s="5"/>
      <c r="AF25" s="27">
        <f>IF($G25&lt;&gt;0,SUMIF(куб!$G:$G,$G25,куб!R:R),IF($E25&lt;&gt;0,SUMIF(куб!$E:$E,$E25,куб!R:R),IF($D25&lt;&gt;0,SUMIF(куб!$D:$D,$D25,куб!R:R),IF($C25&lt;&gt;0,SUMIF(куб!$C:$C,$C25,куб!R:R),IF($B25&lt;&gt;0,SUMIF(куб!$B:$B,$B25,куб!R:R))))))</f>
        <v>0</v>
      </c>
      <c r="AG25" s="27">
        <f>IF($G25&lt;&gt;0,SUMIF(куб!$G:$G,$G25,куб!S:S),IF($E25&lt;&gt;0,SUMIF(куб!$E:$E,$E25,куб!S:S),IF($D25&lt;&gt;0,SUMIF(куб!$D:$D,$D25,куб!S:S),IF($C25&lt;&gt;0,SUMIF(куб!$C:$C,$C25,куб!S:S),IF($B25&lt;&gt;0,SUMIF(куб!$B:$B,$B25,куб!S:S))))))</f>
        <v>1068.2176999999999</v>
      </c>
      <c r="AH25" s="16" t="str">
        <f t="shared" si="24"/>
        <v>-</v>
      </c>
      <c r="AI25" s="8"/>
      <c r="AJ25" s="27">
        <f>IF($G25&lt;&gt;0,SUMIF(куб!$G:$G,$G25,куб!T:T),IF($E25&lt;&gt;0,SUMIF(куб!$E:$E,$E25,куб!T:T),IF($D25&lt;&gt;0,SUMIF(куб!$D:$D,$D25,куб!T:T),IF($C25&lt;&gt;0,SUMIF(куб!$C:$C,$C25,куб!T:T),IF($B25&lt;&gt;0,SUMIF(куб!$B:$B,$B25,куб!T:T))))))</f>
        <v>0</v>
      </c>
      <c r="AK25" s="27">
        <f>IF($G25&lt;&gt;0,SUMIF(куб!$G:$G,$G25,куб!U:U),IF($E25&lt;&gt;0,SUMIF(куб!$E:$E,$E25,куб!U:U),IF($D25&lt;&gt;0,SUMIF(куб!$D:$D,$D25,куб!U:U),IF($C25&lt;&gt;0,SUMIF(куб!$C:$C,$C25,куб!U:U),IF($B25&lt;&gt;0,SUMIF(куб!$B:$B,$B25,куб!U:U))))))</f>
        <v>17</v>
      </c>
      <c r="AL25" s="16" t="str">
        <f t="shared" si="25"/>
        <v>-</v>
      </c>
      <c r="AM25" s="8"/>
      <c r="AN25" s="17" t="str">
        <f t="shared" si="26"/>
        <v xml:space="preserve"> </v>
      </c>
      <c r="AO25" s="17">
        <f t="shared" si="27"/>
        <v>1.1135904147194793E-2</v>
      </c>
      <c r="AP25" s="16" t="str">
        <f t="shared" si="28"/>
        <v>-</v>
      </c>
      <c r="AQ25" s="8"/>
      <c r="AR25" s="17" t="str">
        <f t="shared" si="29"/>
        <v>-</v>
      </c>
      <c r="AS25" s="17">
        <f t="shared" si="30"/>
        <v>0.1124027279852693</v>
      </c>
      <c r="AT25" s="13" t="str">
        <f t="shared" si="31"/>
        <v>-</v>
      </c>
      <c r="AU25" s="8"/>
    </row>
    <row r="26" spans="1:50" ht="15" customHeight="1" x14ac:dyDescent="0.25">
      <c r="A26" s="31" t="s">
        <v>26</v>
      </c>
      <c r="B26" s="31" t="s">
        <v>32</v>
      </c>
      <c r="C26" t="s">
        <v>33</v>
      </c>
      <c r="D26" s="31" t="s">
        <v>34</v>
      </c>
      <c r="E26" t="s">
        <v>35</v>
      </c>
      <c r="F26" s="31" t="s">
        <v>78</v>
      </c>
      <c r="G26" t="s">
        <v>79</v>
      </c>
      <c r="H26" s="27">
        <f>IF($G26&lt;&gt;0,SUMIF(куб!$G:$G,$G26,куб!H:H),IF($E26&lt;&gt;0,SUMIF(куб!$E:$E,$E26,куб!H:H),IF($D26&lt;&gt;0,SUMIF(куб!$D:$D,$D26,куб!H:H),IF($C26&lt;&gt;0,SUMIF(куб!$C:$C,$C26,куб!H:H),IF($B26&lt;&gt;0,SUMIF(куб!$B:$B,$B26,куб!H:H),IF($G26&lt;&gt;0,SUMIF(куб!$A:$A,$G26,куб!H:H),SUMIF(куб!$A:$A,$G26,куб!H:H)))))))</f>
        <v>69329.24089999999</v>
      </c>
      <c r="I26" s="27">
        <f>IF($G26&lt;&gt;0,SUMIF(куб!$G:$G,$G26,куб!I:I),IF($E26&lt;&gt;0,SUMIF(куб!$E:$E,$E26,куб!I:I),IF($D26&lt;&gt;0,SUMIF(куб!$D:$D,$D26,куб!I:I),IF($C26&lt;&gt;0,SUMIF(куб!$C:$C,$C26,куб!I:I),IF($B26&lt;&gt;0,SUMIF(куб!$B:$B,$B26,куб!I:I),IF($G26&lt;&gt;0,SUMIF(куб!$A:$A,$G26,куб!I:I),SUMIF(куб!$A:$A,$G26,куб!I:I)))))))</f>
        <v>84142.325099999987</v>
      </c>
      <c r="J26" s="19">
        <f t="shared" si="33"/>
        <v>0.21366286443791135</v>
      </c>
      <c r="K26" s="8"/>
      <c r="L26" s="17">
        <f t="shared" si="15"/>
        <v>1.4482129885680343E-4</v>
      </c>
      <c r="M26" s="17">
        <f t="shared" si="16"/>
        <v>1.7940616366059049E-4</v>
      </c>
      <c r="N26" s="12">
        <f t="shared" si="17"/>
        <v>3.458486480378706E-5</v>
      </c>
      <c r="O26" s="5"/>
      <c r="P26" s="27">
        <f>IF($G26&lt;&gt;0,SUMIF(куб!$G:$G,$G26,куб!J:J),IF($E26&lt;&gt;0,SUMIF(куб!$E:$E,$E26,куб!J:J),IF($D26&lt;&gt;0,SUMIF(куб!$D:$D,$D26,куб!J:J),IF($C26&lt;&gt;0,SUMIF(куб!$C:$C,$C26,куб!J:J),IF($B26&lt;&gt;0,SUMIF(куб!$B:$B,$B26,куб!J:J))))))</f>
        <v>920</v>
      </c>
      <c r="Q26" s="27">
        <f>IF($G26&lt;&gt;0,SUMIF(куб!$G:$G,$G26,куб!K:K),IF($E26&lt;&gt;0,SUMIF(куб!$E:$E,$E26,куб!K:K),IF($D26&lt;&gt;0,SUMIF(куб!$D:$D,$D26,куб!K:K),IF($C26&lt;&gt;0,SUMIF(куб!$C:$C,$C26,куб!K:K),IF($B26&lt;&gt;0,SUMIF(куб!$B:$B,$B26,куб!K:K))))))</f>
        <v>1077</v>
      </c>
      <c r="R26" s="13">
        <f t="shared" si="18"/>
        <v>0.17065217391304346</v>
      </c>
      <c r="S26" s="5"/>
      <c r="T26" s="27">
        <f>IF($G26&lt;&gt;0,SUMIF(куб!$G:$G,$G26,куб!L:L),IF($E26&lt;&gt;0,SUMIF(куб!$E:$E,$E26,куб!L:L),IF($D26&lt;&gt;0,SUMIF(куб!$D:$D,$D26,куб!L:L),IF($C26&lt;&gt;0,SUMIF(куб!$C:$C,$C26,куб!L:L),IF($B26&lt;&gt;0,SUMIF(куб!$B:$B,$B26,куб!L:L))))))</f>
        <v>828.00000000000011</v>
      </c>
      <c r="U26" s="27">
        <f>IF($G26&lt;&gt;0,SUMIF(куб!$G:$G,$G26,куб!M:M),IF($E26&lt;&gt;0,SUMIF(куб!$E:$E,$E26,куб!M:M),IF($D26&lt;&gt;0,SUMIF(куб!$D:$D,$D26,куб!M:M),IF($C26&lt;&gt;0,SUMIF(куб!$C:$C,$C26,куб!M:M),IF($B26&lt;&gt;0,SUMIF(куб!$B:$B,$B26,куб!M:M))))))</f>
        <v>969.3</v>
      </c>
      <c r="V26" s="13">
        <f t="shared" si="19"/>
        <v>0.17065217391304327</v>
      </c>
      <c r="W26" s="5"/>
      <c r="X26" s="27">
        <f>IF($G26&lt;&gt;0,SUMIF(куб!$G:$G,$G26,куб!N:N),IF($E26&lt;&gt;0,SUMIF(куб!$E:$E,$E26,куб!N:N),IF($D26&lt;&gt;0,SUMIF(куб!$D:$D,$D26,куб!N:N),IF($C26&lt;&gt;0,SUMIF(куб!$C:$C,$C26,куб!N:N),IF($B26&lt;&gt;0,SUMIF(куб!$B:$B,$B26,куб!N:N))))))</f>
        <v>9111.0641000000032</v>
      </c>
      <c r="Y26" s="27">
        <f>IF($G26&lt;&gt;0,SUMIF(куб!$G:$G,$G26,куб!O:O),IF($E26&lt;&gt;0,SUMIF(куб!$E:$E,$E26,куб!O:O),IF($D26&lt;&gt;0,SUMIF(куб!$D:$D,$D26,куб!O:O),IF($C26&lt;&gt;0,SUMIF(куб!$C:$C,$C26,куб!O:O),IF($B26&lt;&gt;0,SUMIF(куб!$B:$B,$B26,куб!O:O))))))</f>
        <v>9731.4205999999831</v>
      </c>
      <c r="Z26" s="13">
        <f t="shared" si="20"/>
        <v>6.8088259855397099E-2</v>
      </c>
      <c r="AA26" s="5"/>
      <c r="AB26" s="33">
        <f t="shared" si="21"/>
        <v>0.13141733533678435</v>
      </c>
      <c r="AC26" s="33">
        <f t="shared" si="22"/>
        <v>0.11565428681028907</v>
      </c>
      <c r="AD26" s="15">
        <f t="shared" si="23"/>
        <v>-1.576304852649528E-2</v>
      </c>
      <c r="AE26" s="5"/>
      <c r="AF26" s="27">
        <f>IF($G26&lt;&gt;0,SUMIF(куб!$G:$G,$G26,куб!R:R),IF($E26&lt;&gt;0,SUMIF(куб!$E:$E,$E26,куб!R:R),IF($D26&lt;&gt;0,SUMIF(куб!$D:$D,$D26,куб!R:R),IF($C26&lt;&gt;0,SUMIF(куб!$C:$C,$C26,куб!R:R),IF($B26&lt;&gt;0,SUMIF(куб!$B:$B,$B26,куб!R:R))))))</f>
        <v>1108.3811999999998</v>
      </c>
      <c r="AG26" s="27">
        <f>IF($G26&lt;&gt;0,SUMIF(куб!$G:$G,$G26,куб!S:S),IF($E26&lt;&gt;0,SUMIF(куб!$E:$E,$E26,куб!S:S),IF($D26&lt;&gt;0,SUMIF(куб!$D:$D,$D26,куб!S:S),IF($C26&lt;&gt;0,SUMIF(куб!$C:$C,$C26,куб!S:S),IF($B26&lt;&gt;0,SUMIF(куб!$B:$B,$B26,куб!S:S))))))</f>
        <v>621.81810000000019</v>
      </c>
      <c r="AH26" s="16">
        <f t="shared" si="24"/>
        <v>-0.43898534186613747</v>
      </c>
      <c r="AI26" s="8"/>
      <c r="AJ26" s="27">
        <f>IF($G26&lt;&gt;0,SUMIF(куб!$G:$G,$G26,куб!T:T),IF($E26&lt;&gt;0,SUMIF(куб!$E:$E,$E26,куб!T:T),IF($D26&lt;&gt;0,SUMIF(куб!$D:$D,$D26,куб!T:T),IF($C26&lt;&gt;0,SUMIF(куб!$C:$C,$C26,куб!T:T),IF($B26&lt;&gt;0,SUMIF(куб!$B:$B,$B26,куб!T:T))))))</f>
        <v>17</v>
      </c>
      <c r="AK26" s="27">
        <f>IF($G26&lt;&gt;0,SUMIF(куб!$G:$G,$G26,куб!U:U),IF($E26&lt;&gt;0,SUMIF(куб!$E:$E,$E26,куб!U:U),IF($D26&lt;&gt;0,SUMIF(куб!$D:$D,$D26,куб!U:U),IF($C26&lt;&gt;0,SUMIF(куб!$C:$C,$C26,куб!U:U),IF($B26&lt;&gt;0,SUMIF(куб!$B:$B,$B26,куб!U:U))))))</f>
        <v>9</v>
      </c>
      <c r="AL26" s="16">
        <f t="shared" si="25"/>
        <v>-0.47058823529411764</v>
      </c>
      <c r="AM26" s="8"/>
      <c r="AN26" s="17">
        <f t="shared" si="26"/>
        <v>1.598721096050541E-2</v>
      </c>
      <c r="AO26" s="17">
        <f t="shared" si="27"/>
        <v>7.3900750812506402E-3</v>
      </c>
      <c r="AP26" s="16">
        <f t="shared" si="28"/>
        <v>-8.5971358792547685E-3</v>
      </c>
      <c r="AQ26" s="8"/>
      <c r="AR26" s="17">
        <f t="shared" si="29"/>
        <v>0.11543012437627893</v>
      </c>
      <c r="AS26" s="17">
        <f t="shared" si="30"/>
        <v>0.10826421172903843</v>
      </c>
      <c r="AT26" s="13">
        <f t="shared" si="31"/>
        <v>-7.1659126472405077E-3</v>
      </c>
      <c r="AU26" s="8"/>
    </row>
    <row r="27" spans="1:50" ht="15" customHeight="1" x14ac:dyDescent="0.25">
      <c r="A27" s="31" t="s">
        <v>26</v>
      </c>
      <c r="B27" s="31" t="s">
        <v>32</v>
      </c>
      <c r="C27" t="s">
        <v>33</v>
      </c>
      <c r="D27" s="31" t="s">
        <v>34</v>
      </c>
      <c r="E27" t="s">
        <v>35</v>
      </c>
      <c r="F27" s="31" t="s">
        <v>80</v>
      </c>
      <c r="G27" t="s">
        <v>81</v>
      </c>
      <c r="H27" s="27">
        <f>IF($G27&lt;&gt;0,SUMIF(куб!$G:$G,$G27,куб!H:H),IF($E27&lt;&gt;0,SUMIF(куб!$E:$E,$E27,куб!H:H),IF($D27&lt;&gt;0,SUMIF(куб!$D:$D,$D27,куб!H:H),IF($C27&lt;&gt;0,SUMIF(куб!$C:$C,$C27,куб!H:H),IF($B27&lt;&gt;0,SUMIF(куб!$B:$B,$B27,куб!H:H),IF($G27&lt;&gt;0,SUMIF(куб!$A:$A,$G27,куб!H:H),SUMIF(куб!$A:$A,$G27,куб!H:H)))))))</f>
        <v>0</v>
      </c>
      <c r="I27" s="27">
        <f>IF($G27&lt;&gt;0,SUMIF(куб!$G:$G,$G27,куб!I:I),IF($E27&lt;&gt;0,SUMIF(куб!$E:$E,$E27,куб!I:I),IF($D27&lt;&gt;0,SUMIF(куб!$D:$D,$D27,куб!I:I),IF($C27&lt;&gt;0,SUMIF(куб!$C:$C,$C27,куб!I:I),IF($B27&lt;&gt;0,SUMIF(куб!$B:$B,$B27,куб!I:I),IF($G27&lt;&gt;0,SUMIF(куб!$A:$A,$G27,куб!I:I),SUMIF(куб!$A:$A,$G27,куб!I:I)))))))</f>
        <v>1029342.3344000004</v>
      </c>
      <c r="J27" s="19" t="str">
        <f t="shared" si="33"/>
        <v>-</v>
      </c>
      <c r="K27" s="10"/>
      <c r="L27" s="17">
        <f t="shared" si="15"/>
        <v>0</v>
      </c>
      <c r="M27" s="17">
        <f t="shared" si="16"/>
        <v>2.1947380119181036E-3</v>
      </c>
      <c r="N27" s="12">
        <f t="shared" si="17"/>
        <v>2.1947380119181036E-3</v>
      </c>
      <c r="O27" s="5"/>
      <c r="P27" s="27">
        <f>IF($G27&lt;&gt;0,SUMIF(куб!$G:$G,$G27,куб!J:J),IF($E27&lt;&gt;0,SUMIF(куб!$E:$E,$E27,куб!J:J),IF($D27&lt;&gt;0,SUMIF(куб!$D:$D,$D27,куб!J:J),IF($C27&lt;&gt;0,SUMIF(куб!$C:$C,$C27,куб!J:J),IF($B27&lt;&gt;0,SUMIF(куб!$B:$B,$B27,куб!J:J))))))</f>
        <v>0</v>
      </c>
      <c r="Q27" s="27">
        <f>IF($G27&lt;&gt;0,SUMIF(куб!$G:$G,$G27,куб!K:K),IF($E27&lt;&gt;0,SUMIF(куб!$E:$E,$E27,куб!K:K),IF($D27&lt;&gt;0,SUMIF(куб!$D:$D,$D27,куб!K:K),IF($C27&lt;&gt;0,SUMIF(куб!$C:$C,$C27,куб!K:K),IF($B27&lt;&gt;0,SUMIF(куб!$B:$B,$B27,куб!K:K))))))</f>
        <v>13163</v>
      </c>
      <c r="R27" s="13" t="str">
        <f t="shared" si="18"/>
        <v>-</v>
      </c>
      <c r="S27" s="5"/>
      <c r="T27" s="27">
        <f>IF($G27&lt;&gt;0,SUMIF(куб!$G:$G,$G27,куб!L:L),IF($E27&lt;&gt;0,SUMIF(куб!$E:$E,$E27,куб!L:L),IF($D27&lt;&gt;0,SUMIF(куб!$D:$D,$D27,куб!L:L),IF($C27&lt;&gt;0,SUMIF(куб!$C:$C,$C27,куб!L:L),IF($B27&lt;&gt;0,SUMIF(куб!$B:$B,$B27,куб!L:L))))))</f>
        <v>0</v>
      </c>
      <c r="U27" s="27">
        <f>IF($G27&lt;&gt;0,SUMIF(куб!$G:$G,$G27,куб!M:M),IF($E27&lt;&gt;0,SUMIF(куб!$E:$E,$E27,куб!M:M),IF($D27&lt;&gt;0,SUMIF(куб!$D:$D,$D27,куб!M:M),IF($C27&lt;&gt;0,SUMIF(куб!$C:$C,$C27,куб!M:M),IF($B27&lt;&gt;0,SUMIF(куб!$B:$B,$B27,куб!M:M))))))</f>
        <v>11767.722000000042</v>
      </c>
      <c r="V27" s="13" t="str">
        <f t="shared" si="19"/>
        <v>-</v>
      </c>
      <c r="W27" s="5"/>
      <c r="X27" s="27">
        <f>IF($G27&lt;&gt;0,SUMIF(куб!$G:$G,$G27,куб!N:N),IF($E27&lt;&gt;0,SUMIF(куб!$E:$E,$E27,куб!N:N),IF($D27&lt;&gt;0,SUMIF(куб!$D:$D,$D27,куб!N:N),IF($C27&lt;&gt;0,SUMIF(куб!$C:$C,$C27,куб!N:N),IF($B27&lt;&gt;0,SUMIF(куб!$B:$B,$B27,куб!N:N))))))</f>
        <v>0</v>
      </c>
      <c r="Y27" s="27">
        <f>IF($G27&lt;&gt;0,SUMIF(куб!$G:$G,$G27,куб!O:O),IF($E27&lt;&gt;0,SUMIF(куб!$E:$E,$E27,куб!O:O),IF($D27&lt;&gt;0,SUMIF(куб!$D:$D,$D27,куб!O:O),IF($C27&lt;&gt;0,SUMIF(куб!$C:$C,$C27,куб!O:O),IF($B27&lt;&gt;0,SUMIF(куб!$B:$B,$B27,куб!O:O))))))</f>
        <v>125244.15480000048</v>
      </c>
      <c r="Z27" s="13" t="str">
        <f t="shared" si="20"/>
        <v>-</v>
      </c>
      <c r="AA27" s="5"/>
      <c r="AB27" s="33" t="str">
        <f t="shared" si="21"/>
        <v/>
      </c>
      <c r="AC27" s="33">
        <f t="shared" si="22"/>
        <v>0.12167395686975685</v>
      </c>
      <c r="AD27" s="15" t="str">
        <f t="shared" si="23"/>
        <v xml:space="preserve"> </v>
      </c>
      <c r="AE27" s="5"/>
      <c r="AF27" s="27">
        <f>IF($G27&lt;&gt;0,SUMIF(куб!$G:$G,$G27,куб!R:R),IF($E27&lt;&gt;0,SUMIF(куб!$E:$E,$E27,куб!R:R),IF($D27&lt;&gt;0,SUMIF(куб!$D:$D,$D27,куб!R:R),IF($C27&lt;&gt;0,SUMIF(куб!$C:$C,$C27,куб!R:R),IF($B27&lt;&gt;0,SUMIF(куб!$B:$B,$B27,куб!R:R))))))</f>
        <v>0</v>
      </c>
      <c r="AG27" s="27">
        <f>IF($G27&lt;&gt;0,SUMIF(куб!$G:$G,$G27,куб!S:S),IF($E27&lt;&gt;0,SUMIF(куб!$E:$E,$E27,куб!S:S),IF($D27&lt;&gt;0,SUMIF(куб!$D:$D,$D27,куб!S:S),IF($C27&lt;&gt;0,SUMIF(куб!$C:$C,$C27,куб!S:S),IF($B27&lt;&gt;0,SUMIF(куб!$B:$B,$B27,куб!S:S))))))</f>
        <v>12255.515900000002</v>
      </c>
      <c r="AH27" s="16" t="str">
        <f t="shared" si="24"/>
        <v>-</v>
      </c>
      <c r="AI27" s="8"/>
      <c r="AJ27" s="27">
        <f>IF($G27&lt;&gt;0,SUMIF(куб!$G:$G,$G27,куб!T:T),IF($E27&lt;&gt;0,SUMIF(куб!$E:$E,$E27,куб!T:T),IF($D27&lt;&gt;0,SUMIF(куб!$D:$D,$D27,куб!T:T),IF($C27&lt;&gt;0,SUMIF(куб!$C:$C,$C27,куб!T:T),IF($B27&lt;&gt;0,SUMIF(куб!$B:$B,$B27,куб!T:T))))))</f>
        <v>0</v>
      </c>
      <c r="AK27" s="27">
        <f>IF($G27&lt;&gt;0,SUMIF(куб!$G:$G,$G27,куб!U:U),IF($E27&lt;&gt;0,SUMIF(куб!$E:$E,$E27,куб!U:U),IF($D27&lt;&gt;0,SUMIF(куб!$D:$D,$D27,куб!U:U),IF($C27&lt;&gt;0,SUMIF(куб!$C:$C,$C27,куб!U:U),IF($B27&lt;&gt;0,SUMIF(куб!$B:$B,$B27,куб!U:U))))))</f>
        <v>178</v>
      </c>
      <c r="AL27" s="16" t="str">
        <f t="shared" si="25"/>
        <v>-</v>
      </c>
      <c r="AM27" s="8"/>
      <c r="AN27" s="17" t="str">
        <f t="shared" si="26"/>
        <v xml:space="preserve"> </v>
      </c>
      <c r="AO27" s="17">
        <f t="shared" si="27"/>
        <v>1.1906161332753981E-2</v>
      </c>
      <c r="AP27" s="16" t="str">
        <f t="shared" si="28"/>
        <v>-</v>
      </c>
      <c r="AQ27" s="8"/>
      <c r="AR27" s="17" t="str">
        <f t="shared" si="29"/>
        <v>-</v>
      </c>
      <c r="AS27" s="17">
        <f t="shared" si="30"/>
        <v>0.10976779553700287</v>
      </c>
      <c r="AT27" s="13" t="str">
        <f t="shared" si="31"/>
        <v>-</v>
      </c>
      <c r="AU27" s="8"/>
    </row>
    <row r="28" spans="1:50" ht="15" customHeight="1" x14ac:dyDescent="0.25">
      <c r="A28" s="31" t="s">
        <v>26</v>
      </c>
      <c r="B28" s="31" t="s">
        <v>32</v>
      </c>
      <c r="C28" t="s">
        <v>33</v>
      </c>
      <c r="D28" s="31" t="s">
        <v>34</v>
      </c>
      <c r="E28" t="s">
        <v>35</v>
      </c>
      <c r="F28" s="31" t="s">
        <v>82</v>
      </c>
      <c r="G28" t="s">
        <v>83</v>
      </c>
      <c r="H28" s="27">
        <f>IF($G28&lt;&gt;0,SUMIF(куб!$G:$G,$G28,куб!H:H),IF($E28&lt;&gt;0,SUMIF(куб!$E:$E,$E28,куб!H:H),IF($D28&lt;&gt;0,SUMIF(куб!$D:$D,$D28,куб!H:H),IF($C28&lt;&gt;0,SUMIF(куб!$C:$C,$C28,куб!H:H),IF($B28&lt;&gt;0,SUMIF(куб!$B:$B,$B28,куб!H:H),IF($G28&lt;&gt;0,SUMIF(куб!$A:$A,$G28,куб!H:H),SUMIF(куб!$A:$A,$G28,куб!H:H)))))))</f>
        <v>307571.04829999985</v>
      </c>
      <c r="I28" s="27">
        <f>IF($G28&lt;&gt;0,SUMIF(куб!$G:$G,$G28,куб!I:I),IF($E28&lt;&gt;0,SUMIF(куб!$E:$E,$E28,куб!I:I),IF($D28&lt;&gt;0,SUMIF(куб!$D:$D,$D28,куб!I:I),IF($C28&lt;&gt;0,SUMIF(куб!$C:$C,$C28,куб!I:I),IF($B28&lt;&gt;0,SUMIF(куб!$B:$B,$B28,куб!I:I),IF($G28&lt;&gt;0,SUMIF(куб!$A:$A,$G28,куб!I:I),SUMIF(куб!$A:$A,$G28,куб!I:I)))))))</f>
        <v>405235.99759999971</v>
      </c>
      <c r="J28" s="19">
        <f t="shared" si="33"/>
        <v>0.31753622403607717</v>
      </c>
      <c r="K28" s="5"/>
      <c r="L28" s="17">
        <f t="shared" si="15"/>
        <v>6.4248271187337643E-4</v>
      </c>
      <c r="M28" s="17">
        <f t="shared" si="16"/>
        <v>8.6403407108354569E-4</v>
      </c>
      <c r="N28" s="12">
        <f t="shared" si="17"/>
        <v>2.2155135921016927E-4</v>
      </c>
      <c r="O28" s="5"/>
      <c r="P28" s="27">
        <f>IF($G28&lt;&gt;0,SUMIF(куб!$G:$G,$G28,куб!J:J),IF($E28&lt;&gt;0,SUMIF(куб!$E:$E,$E28,куб!J:J),IF($D28&lt;&gt;0,SUMIF(куб!$D:$D,$D28,куб!J:J),IF($C28&lt;&gt;0,SUMIF(куб!$C:$C,$C28,куб!J:J),IF($B28&lt;&gt;0,SUMIF(куб!$B:$B,$B28,куб!J:J))))))</f>
        <v>2382</v>
      </c>
      <c r="Q28" s="27">
        <f>IF($G28&lt;&gt;0,SUMIF(куб!$G:$G,$G28,куб!K:K),IF($E28&lt;&gt;0,SUMIF(куб!$E:$E,$E28,куб!K:K),IF($D28&lt;&gt;0,SUMIF(куб!$D:$D,$D28,куб!K:K),IF($C28&lt;&gt;0,SUMIF(куб!$C:$C,$C28,куб!K:K),IF($B28&lt;&gt;0,SUMIF(куб!$B:$B,$B28,куб!K:K))))))</f>
        <v>3017</v>
      </c>
      <c r="R28" s="13">
        <f t="shared" si="18"/>
        <v>0.26658270361041142</v>
      </c>
      <c r="S28" s="5"/>
      <c r="T28" s="27">
        <f>IF($G28&lt;&gt;0,SUMIF(куб!$G:$G,$G28,куб!L:L),IF($E28&lt;&gt;0,SUMIF(куб!$E:$E,$E28,куб!L:L),IF($D28&lt;&gt;0,SUMIF(куб!$D:$D,$D28,куб!L:L),IF($C28&lt;&gt;0,SUMIF(куб!$C:$C,$C28,куб!L:L),IF($B28&lt;&gt;0,SUMIF(куб!$B:$B,$B28,куб!L:L))))))</f>
        <v>3334.7999999999988</v>
      </c>
      <c r="U28" s="27">
        <f>IF($G28&lt;&gt;0,SUMIF(куб!$G:$G,$G28,куб!M:M),IF($E28&lt;&gt;0,SUMIF(куб!$E:$E,$E28,куб!M:M),IF($D28&lt;&gt;0,SUMIF(куб!$D:$D,$D28,куб!M:M),IF($C28&lt;&gt;0,SUMIF(куб!$C:$C,$C28,куб!M:M),IF($B28&lt;&gt;0,SUMIF(куб!$B:$B,$B28,куб!M:M))))))</f>
        <v>4223.7999999999984</v>
      </c>
      <c r="V28" s="13">
        <f t="shared" si="19"/>
        <v>0.26658270361041136</v>
      </c>
      <c r="W28" s="5"/>
      <c r="X28" s="27">
        <f>IF($G28&lt;&gt;0,SUMIF(куб!$G:$G,$G28,куб!N:N),IF($E28&lt;&gt;0,SUMIF(куб!$E:$E,$E28,куб!N:N),IF($D28&lt;&gt;0,SUMIF(куб!$D:$D,$D28,куб!N:N),IF($C28&lt;&gt;0,SUMIF(куб!$C:$C,$C28,куб!N:N),IF($B28&lt;&gt;0,SUMIF(куб!$B:$B,$B28,куб!N:N))))))</f>
        <v>23830.294500000251</v>
      </c>
      <c r="Y28" s="27">
        <f>IF($G28&lt;&gt;0,SUMIF(куб!$G:$G,$G28,куб!O:O),IF($E28&lt;&gt;0,SUMIF(куб!$E:$E,$E28,куб!O:O),IF($D28&lt;&gt;0,SUMIF(куб!$D:$D,$D28,куб!O:O),IF($C28&lt;&gt;0,SUMIF(куб!$C:$C,$C28,куб!O:O),IF($B28&lt;&gt;0,SUMIF(куб!$B:$B,$B28,куб!O:O))))))</f>
        <v>57434.597800000338</v>
      </c>
      <c r="Z28" s="13">
        <f t="shared" si="20"/>
        <v>1.4101505669600405</v>
      </c>
      <c r="AA28" s="5"/>
      <c r="AB28" s="33">
        <f t="shared" si="21"/>
        <v>7.7478991054959645E-2</v>
      </c>
      <c r="AC28" s="33">
        <f t="shared" si="22"/>
        <v>0.1417312335038233</v>
      </c>
      <c r="AD28" s="15">
        <f t="shared" si="23"/>
        <v>6.4252242448863656E-2</v>
      </c>
      <c r="AE28" s="5"/>
      <c r="AF28" s="27">
        <f>IF($G28&lt;&gt;0,SUMIF(куб!$G:$G,$G28,куб!R:R),IF($E28&lt;&gt;0,SUMIF(куб!$E:$E,$E28,куб!R:R),IF($D28&lt;&gt;0,SUMIF(куб!$D:$D,$D28,куб!R:R),IF($C28&lt;&gt;0,SUMIF(куб!$C:$C,$C28,куб!R:R),IF($B28&lt;&gt;0,SUMIF(куб!$B:$B,$B28,куб!R:R))))))</f>
        <v>5121.6885000000002</v>
      </c>
      <c r="AG28" s="27">
        <f>IF($G28&lt;&gt;0,SUMIF(куб!$G:$G,$G28,куб!S:S),IF($E28&lt;&gt;0,SUMIF(куб!$E:$E,$E28,куб!S:S),IF($D28&lt;&gt;0,SUMIF(куб!$D:$D,$D28,куб!S:S),IF($C28&lt;&gt;0,SUMIF(куб!$C:$C,$C28,куб!S:S),IF($B28&lt;&gt;0,SUMIF(куб!$B:$B,$B28,куб!S:S))))))</f>
        <v>15214.797700000006</v>
      </c>
      <c r="AH28" s="16">
        <f t="shared" si="24"/>
        <v>1.9706604960453971</v>
      </c>
      <c r="AI28" s="8"/>
      <c r="AJ28" s="27">
        <f>IF($G28&lt;&gt;0,SUMIF(куб!$G:$G,$G28,куб!T:T),IF($E28&lt;&gt;0,SUMIF(куб!$E:$E,$E28,куб!T:T),IF($D28&lt;&gt;0,SUMIF(куб!$D:$D,$D28,куб!T:T),IF($C28&lt;&gt;0,SUMIF(куб!$C:$C,$C28,куб!T:T),IF($B28&lt;&gt;0,SUMIF(куб!$B:$B,$B28,куб!T:T))))))</f>
        <v>43</v>
      </c>
      <c r="AK28" s="27">
        <f>IF($G28&lt;&gt;0,SUMIF(куб!$G:$G,$G28,куб!U:U),IF($E28&lt;&gt;0,SUMIF(куб!$E:$E,$E28,куб!U:U),IF($D28&lt;&gt;0,SUMIF(куб!$D:$D,$D28,куб!U:U),IF($C28&lt;&gt;0,SUMIF(куб!$C:$C,$C28,куб!U:U),IF($B28&lt;&gt;0,SUMIF(куб!$B:$B,$B28,куб!U:U))))))</f>
        <v>132</v>
      </c>
      <c r="AL28" s="16">
        <f t="shared" si="25"/>
        <v>2.0697674418604652</v>
      </c>
      <c r="AM28" s="8"/>
      <c r="AN28" s="17">
        <f t="shared" si="26"/>
        <v>1.6652050081789192E-2</v>
      </c>
      <c r="AO28" s="17">
        <f t="shared" si="27"/>
        <v>3.7545523571719377E-2</v>
      </c>
      <c r="AP28" s="16">
        <f t="shared" si="28"/>
        <v>2.0893473489930186E-2</v>
      </c>
      <c r="AQ28" s="8"/>
      <c r="AR28" s="17">
        <f t="shared" si="29"/>
        <v>6.0826940973170457E-2</v>
      </c>
      <c r="AS28" s="17">
        <f t="shared" si="30"/>
        <v>0.10418570993210391</v>
      </c>
      <c r="AT28" s="13">
        <f t="shared" si="31"/>
        <v>4.3358768958933452E-2</v>
      </c>
      <c r="AU28" s="8"/>
    </row>
    <row r="29" spans="1:50" ht="15" customHeight="1" x14ac:dyDescent="0.25">
      <c r="A29" s="31" t="s">
        <v>26</v>
      </c>
      <c r="B29" s="31" t="s">
        <v>32</v>
      </c>
      <c r="C29" t="s">
        <v>33</v>
      </c>
      <c r="D29" s="31" t="s">
        <v>34</v>
      </c>
      <c r="E29" t="s">
        <v>35</v>
      </c>
      <c r="F29" s="31" t="s">
        <v>84</v>
      </c>
      <c r="G29" t="s">
        <v>85</v>
      </c>
      <c r="H29" s="27">
        <f>IF($G29&lt;&gt;0,SUMIF(куб!$G:$G,$G29,куб!H:H),IF($E29&lt;&gt;0,SUMIF(куб!$E:$E,$E29,куб!H:H),IF($D29&lt;&gt;0,SUMIF(куб!$D:$D,$D29,куб!H:H),IF($C29&lt;&gt;0,SUMIF(куб!$C:$C,$C29,куб!H:H),IF($B29&lt;&gt;0,SUMIF(куб!$B:$B,$B29,куб!H:H),IF($G29&lt;&gt;0,SUMIF(куб!$A:$A,$G29,куб!H:H),SUMIF(куб!$A:$A,$G29,куб!H:H)))))))</f>
        <v>0</v>
      </c>
      <c r="I29" s="27">
        <f>IF($G29&lt;&gt;0,SUMIF(куб!$G:$G,$G29,куб!I:I),IF($E29&lt;&gt;0,SUMIF(куб!$E:$E,$E29,куб!I:I),IF($D29&lt;&gt;0,SUMIF(куб!$D:$D,$D29,куб!I:I),IF($C29&lt;&gt;0,SUMIF(куб!$C:$C,$C29,куб!I:I),IF($B29&lt;&gt;0,SUMIF(куб!$B:$B,$B29,куб!I:I),IF($G29&lt;&gt;0,SUMIF(куб!$A:$A,$G29,куб!I:I),SUMIF(куб!$A:$A,$G29,куб!I:I)))))))</f>
        <v>773007.66750000033</v>
      </c>
      <c r="J29" s="19" t="str">
        <f t="shared" si="33"/>
        <v>-</v>
      </c>
      <c r="K29" s="5"/>
      <c r="L29" s="17">
        <f t="shared" si="15"/>
        <v>0</v>
      </c>
      <c r="M29" s="17">
        <f t="shared" si="16"/>
        <v>1.6481876385229148E-3</v>
      </c>
      <c r="N29" s="12">
        <f t="shared" si="17"/>
        <v>1.6481876385229148E-3</v>
      </c>
      <c r="O29" s="5"/>
      <c r="P29" s="27">
        <f>IF($G29&lt;&gt;0,SUMIF(куб!$G:$G,$G29,куб!J:J),IF($E29&lt;&gt;0,SUMIF(куб!$E:$E,$E29,куб!J:J),IF($D29&lt;&gt;0,SUMIF(куб!$D:$D,$D29,куб!J:J),IF($C29&lt;&gt;0,SUMIF(куб!$C:$C,$C29,куб!J:J),IF($B29&lt;&gt;0,SUMIF(куб!$B:$B,$B29,куб!J:J))))))</f>
        <v>0</v>
      </c>
      <c r="Q29" s="27">
        <f>IF($G29&lt;&gt;0,SUMIF(куб!$G:$G,$G29,куб!K:K),IF($E29&lt;&gt;0,SUMIF(куб!$E:$E,$E29,куб!K:K),IF($D29&lt;&gt;0,SUMIF(куб!$D:$D,$D29,куб!K:K),IF($C29&lt;&gt;0,SUMIF(куб!$C:$C,$C29,куб!K:K),IF($B29&lt;&gt;0,SUMIF(куб!$B:$B,$B29,куб!K:K))))))</f>
        <v>11534</v>
      </c>
      <c r="R29" s="13" t="str">
        <f t="shared" si="18"/>
        <v>-</v>
      </c>
      <c r="S29" s="5"/>
      <c r="T29" s="27">
        <f>IF($G29&lt;&gt;0,SUMIF(куб!$G:$G,$G29,куб!L:L),IF($E29&lt;&gt;0,SUMIF(куб!$E:$E,$E29,куб!L:L),IF($D29&lt;&gt;0,SUMIF(куб!$D:$D,$D29,куб!L:L),IF($C29&lt;&gt;0,SUMIF(куб!$C:$C,$C29,куб!L:L),IF($B29&lt;&gt;0,SUMIF(куб!$B:$B,$B29,куб!L:L))))))</f>
        <v>0</v>
      </c>
      <c r="U29" s="27">
        <f>IF($G29&lt;&gt;0,SUMIF(куб!$G:$G,$G29,куб!M:M),IF($E29&lt;&gt;0,SUMIF(куб!$E:$E,$E29,куб!M:M),IF($D29&lt;&gt;0,SUMIF(куб!$D:$D,$D29,куб!M:M),IF($C29&lt;&gt;0,SUMIF(куб!$C:$C,$C29,куб!M:M),IF($B29&lt;&gt;0,SUMIF(куб!$B:$B,$B29,куб!M:M))))))</f>
        <v>11880.019999999951</v>
      </c>
      <c r="V29" s="13" t="str">
        <f t="shared" si="19"/>
        <v>-</v>
      </c>
      <c r="W29" s="5"/>
      <c r="X29" s="27">
        <f>IF($G29&lt;&gt;0,SUMIF(куб!$G:$G,$G29,куб!N:N),IF($E29&lt;&gt;0,SUMIF(куб!$E:$E,$E29,куб!N:N),IF($D29&lt;&gt;0,SUMIF(куб!$D:$D,$D29,куб!N:N),IF($C29&lt;&gt;0,SUMIF(куб!$C:$C,$C29,куб!N:N),IF($B29&lt;&gt;0,SUMIF(куб!$B:$B,$B29,куб!N:N))))))</f>
        <v>0</v>
      </c>
      <c r="Y29" s="27">
        <f>IF($G29&lt;&gt;0,SUMIF(куб!$G:$G,$G29,куб!O:O),IF($E29&lt;&gt;0,SUMIF(куб!$E:$E,$E29,куб!O:O),IF($D29&lt;&gt;0,SUMIF(куб!$D:$D,$D29,куб!O:O),IF($C29&lt;&gt;0,SUMIF(куб!$C:$C,$C29,куб!O:O),IF($B29&lt;&gt;0,SUMIF(куб!$B:$B,$B29,куб!O:O))))))</f>
        <v>65535.189100001473</v>
      </c>
      <c r="Z29" s="13" t="str">
        <f t="shared" si="20"/>
        <v>-</v>
      </c>
      <c r="AA29" s="5"/>
      <c r="AB29" s="33" t="str">
        <f t="shared" si="21"/>
        <v/>
      </c>
      <c r="AC29" s="33">
        <f t="shared" si="22"/>
        <v>8.4779481310903612E-2</v>
      </c>
      <c r="AD29" s="15" t="str">
        <f t="shared" si="23"/>
        <v xml:space="preserve"> </v>
      </c>
      <c r="AE29" s="5"/>
      <c r="AF29" s="27">
        <f>IF($G29&lt;&gt;0,SUMIF(куб!$G:$G,$G29,куб!R:R),IF($E29&lt;&gt;0,SUMIF(куб!$E:$E,$E29,куб!R:R),IF($D29&lt;&gt;0,SUMIF(куб!$D:$D,$D29,куб!R:R),IF($C29&lt;&gt;0,SUMIF(куб!$C:$C,$C29,куб!R:R),IF($B29&lt;&gt;0,SUMIF(куб!$B:$B,$B29,куб!R:R))))))</f>
        <v>0</v>
      </c>
      <c r="AG29" s="27">
        <f>IF($G29&lt;&gt;0,SUMIF(куб!$G:$G,$G29,куб!S:S),IF($E29&lt;&gt;0,SUMIF(куб!$E:$E,$E29,куб!S:S),IF($D29&lt;&gt;0,SUMIF(куб!$D:$D,$D29,куб!S:S),IF($C29&lt;&gt;0,SUMIF(куб!$C:$C,$C29,куб!S:S),IF($B29&lt;&gt;0,SUMIF(куб!$B:$B,$B29,куб!S:S))))))</f>
        <v>107754.51999999996</v>
      </c>
      <c r="AH29" s="16" t="str">
        <f t="shared" si="24"/>
        <v>-</v>
      </c>
      <c r="AI29" s="8"/>
      <c r="AJ29" s="27">
        <f>IF($G29&lt;&gt;0,SUMIF(куб!$G:$G,$G29,куб!T:T),IF($E29&lt;&gt;0,SUMIF(куб!$E:$E,$E29,куб!T:T),IF($D29&lt;&gt;0,SUMIF(куб!$D:$D,$D29,куб!T:T),IF($C29&lt;&gt;0,SUMIF(куб!$C:$C,$C29,куб!T:T),IF($B29&lt;&gt;0,SUMIF(куб!$B:$B,$B29,куб!T:T))))))</f>
        <v>0</v>
      </c>
      <c r="AK29" s="27">
        <f>IF($G29&lt;&gt;0,SUMIF(куб!$G:$G,$G29,куб!U:U),IF($E29&lt;&gt;0,SUMIF(куб!$E:$E,$E29,куб!U:U),IF($D29&lt;&gt;0,SUMIF(куб!$D:$D,$D29,куб!U:U),IF($C29&lt;&gt;0,SUMIF(куб!$C:$C,$C29,куб!U:U),IF($B29&lt;&gt;0,SUMIF(куб!$B:$B,$B29,куб!U:U))))))</f>
        <v>1756</v>
      </c>
      <c r="AL29" s="16" t="str">
        <f t="shared" si="25"/>
        <v>-</v>
      </c>
      <c r="AM29" s="8"/>
      <c r="AN29" s="17" t="str">
        <f t="shared" si="26"/>
        <v xml:space="preserve"> </v>
      </c>
      <c r="AO29" s="17">
        <f t="shared" si="27"/>
        <v>0.13939644395571266</v>
      </c>
      <c r="AP29" s="16" t="str">
        <f t="shared" si="28"/>
        <v>-</v>
      </c>
      <c r="AQ29" s="8"/>
      <c r="AR29" s="17" t="str">
        <f t="shared" si="29"/>
        <v>-</v>
      </c>
      <c r="AS29" s="17">
        <f t="shared" si="30"/>
        <v>-5.4616962644809045E-2</v>
      </c>
      <c r="AT29" s="13" t="str">
        <f t="shared" si="31"/>
        <v>-</v>
      </c>
      <c r="AU29" s="8"/>
    </row>
    <row r="30" spans="1:50" ht="15" customHeight="1" x14ac:dyDescent="0.25">
      <c r="A30" s="31" t="s">
        <v>26</v>
      </c>
      <c r="B30" s="31" t="s">
        <v>32</v>
      </c>
      <c r="C30" t="s">
        <v>33</v>
      </c>
      <c r="D30" s="31" t="s">
        <v>34</v>
      </c>
      <c r="E30" t="s">
        <v>35</v>
      </c>
      <c r="F30" s="31" t="s">
        <v>86</v>
      </c>
      <c r="G30" t="s">
        <v>87</v>
      </c>
      <c r="H30" s="27">
        <f>IF($G30&lt;&gt;0,SUMIF(куб!$G:$G,$G30,куб!H:H),IF($E30&lt;&gt;0,SUMIF(куб!$E:$E,$E30,куб!H:H),IF($D30&lt;&gt;0,SUMIF(куб!$D:$D,$D30,куб!H:H),IF($C30&lt;&gt;0,SUMIF(куб!$C:$C,$C30,куб!H:H),IF($B30&lt;&gt;0,SUMIF(куб!$B:$B,$B30,куб!H:H),IF($G30&lt;&gt;0,SUMIF(куб!$A:$A,$G30,куб!H:H),SUMIF(куб!$A:$A,$G30,куб!H:H)))))))</f>
        <v>26984.249600000003</v>
      </c>
      <c r="I30" s="27">
        <f>IF($G30&lt;&gt;0,SUMIF(куб!$G:$G,$G30,куб!I:I),IF($E30&lt;&gt;0,SUMIF(куб!$E:$E,$E30,куб!I:I),IF($D30&lt;&gt;0,SUMIF(куб!$D:$D,$D30,куб!I:I),IF($C30&lt;&gt;0,SUMIF(куб!$C:$C,$C30,куб!I:I),IF($B30&lt;&gt;0,SUMIF(куб!$B:$B,$B30,куб!I:I),IF($G30&lt;&gt;0,SUMIF(куб!$A:$A,$G30,куб!I:I),SUMIF(куб!$A:$A,$G30,куб!I:I)))))))</f>
        <v>25012.126100000001</v>
      </c>
      <c r="J30" s="19">
        <f t="shared" si="33"/>
        <v>-7.3084244669898157E-2</v>
      </c>
      <c r="K30" s="8"/>
      <c r="L30" s="17">
        <f t="shared" si="15"/>
        <v>5.6367183961885544E-5</v>
      </c>
      <c r="M30" s="17">
        <f t="shared" si="16"/>
        <v>5.3330230454921523E-5</v>
      </c>
      <c r="N30" s="12">
        <f t="shared" si="17"/>
        <v>-3.0369535069640213E-6</v>
      </c>
      <c r="O30" s="5"/>
      <c r="P30" s="27">
        <f>IF($G30&lt;&gt;0,SUMIF(куб!$G:$G,$G30,куб!J:J),IF($E30&lt;&gt;0,SUMIF(куб!$E:$E,$E30,куб!J:J),IF($D30&lt;&gt;0,SUMIF(куб!$D:$D,$D30,куб!J:J),IF($C30&lt;&gt;0,SUMIF(куб!$C:$C,$C30,куб!J:J),IF($B30&lt;&gt;0,SUMIF(куб!$B:$B,$B30,куб!J:J))))))</f>
        <v>375</v>
      </c>
      <c r="Q30" s="27">
        <f>IF($G30&lt;&gt;0,SUMIF(куб!$G:$G,$G30,куб!K:K),IF($E30&lt;&gt;0,SUMIF(куб!$E:$E,$E30,куб!K:K),IF($D30&lt;&gt;0,SUMIF(куб!$D:$D,$D30,куб!K:K),IF($C30&lt;&gt;0,SUMIF(куб!$C:$C,$C30,куб!K:K),IF($B30&lt;&gt;0,SUMIF(куб!$B:$B,$B30,куб!K:K))))))</f>
        <v>332</v>
      </c>
      <c r="R30" s="13">
        <f t="shared" si="18"/>
        <v>-0.11466666666666667</v>
      </c>
      <c r="S30" s="5"/>
      <c r="T30" s="27">
        <f>IF($G30&lt;&gt;0,SUMIF(куб!$G:$G,$G30,куб!L:L),IF($E30&lt;&gt;0,SUMIF(куб!$E:$E,$E30,куб!L:L),IF($D30&lt;&gt;0,SUMIF(куб!$D:$D,$D30,куб!L:L),IF($C30&lt;&gt;0,SUMIF(куб!$C:$C,$C30,куб!L:L),IF($B30&lt;&gt;0,SUMIF(куб!$B:$B,$B30,куб!L:L))))))</f>
        <v>337.5</v>
      </c>
      <c r="U30" s="27">
        <f>IF($G30&lt;&gt;0,SUMIF(куб!$G:$G,$G30,куб!M:M),IF($E30&lt;&gt;0,SUMIF(куб!$E:$E,$E30,куб!M:M),IF($D30&lt;&gt;0,SUMIF(куб!$D:$D,$D30,куб!M:M),IF($C30&lt;&gt;0,SUMIF(куб!$C:$C,$C30,куб!M:M),IF($B30&lt;&gt;0,SUMIF(куб!$B:$B,$B30,куб!M:M))))))</f>
        <v>298.8</v>
      </c>
      <c r="V30" s="13">
        <f t="shared" si="19"/>
        <v>-0.11466666666666664</v>
      </c>
      <c r="W30" s="5"/>
      <c r="X30" s="27">
        <f>IF($G30&lt;&gt;0,SUMIF(куб!$G:$G,$G30,куб!N:N),IF($E30&lt;&gt;0,SUMIF(куб!$E:$E,$E30,куб!N:N),IF($D30&lt;&gt;0,SUMIF(куб!$D:$D,$D30,куб!N:N),IF($C30&lt;&gt;0,SUMIF(куб!$C:$C,$C30,куб!N:N),IF($B30&lt;&gt;0,SUMIF(куб!$B:$B,$B30,куб!N:N))))))</f>
        <v>3127.9477000000006</v>
      </c>
      <c r="Y30" s="27">
        <f>IF($G30&lt;&gt;0,SUMIF(куб!$G:$G,$G30,куб!O:O),IF($E30&lt;&gt;0,SUMIF(куб!$E:$E,$E30,куб!O:O),IF($D30&lt;&gt;0,SUMIF(куб!$D:$D,$D30,куб!O:O),IF($C30&lt;&gt;0,SUMIF(куб!$C:$C,$C30,куб!O:O),IF($B30&lt;&gt;0,SUMIF(куб!$B:$B,$B30,куб!O:O))))))</f>
        <v>2831.5875000000051</v>
      </c>
      <c r="Z30" s="13">
        <f t="shared" si="20"/>
        <v>-9.4745893609408965E-2</v>
      </c>
      <c r="AA30" s="5"/>
      <c r="AB30" s="33">
        <f t="shared" si="21"/>
        <v>0.11591753509424996</v>
      </c>
      <c r="AC30" s="33">
        <f t="shared" si="22"/>
        <v>0.11320858885322847</v>
      </c>
      <c r="AD30" s="15">
        <f t="shared" si="23"/>
        <v>-2.7089462410214843E-3</v>
      </c>
      <c r="AE30" s="5"/>
      <c r="AF30" s="27">
        <f>IF($G30&lt;&gt;0,SUMIF(куб!$G:$G,$G30,куб!R:R),IF($E30&lt;&gt;0,SUMIF(куб!$E:$E,$E30,куб!R:R),IF($D30&lt;&gt;0,SUMIF(куб!$D:$D,$D30,куб!R:R),IF($C30&lt;&gt;0,SUMIF(куб!$C:$C,$C30,куб!R:R),IF($B30&lt;&gt;0,SUMIF(куб!$B:$B,$B30,куб!R:R))))))</f>
        <v>11852.214700000004</v>
      </c>
      <c r="AG30" s="27">
        <f>IF($G30&lt;&gt;0,SUMIF(куб!$G:$G,$G30,куб!S:S),IF($E30&lt;&gt;0,SUMIF(куб!$E:$E,$E30,куб!S:S),IF($D30&lt;&gt;0,SUMIF(куб!$D:$D,$D30,куб!S:S),IF($C30&lt;&gt;0,SUMIF(куб!$C:$C,$C30,куб!S:S),IF($B30&lt;&gt;0,SUMIF(куб!$B:$B,$B30,куб!S:S))))))</f>
        <v>11150.369899999996</v>
      </c>
      <c r="AH30" s="16">
        <f t="shared" si="24"/>
        <v>-5.9216342073182979E-2</v>
      </c>
      <c r="AI30" s="8"/>
      <c r="AJ30" s="27">
        <f>IF($G30&lt;&gt;0,SUMIF(куб!$G:$G,$G30,куб!T:T),IF($E30&lt;&gt;0,SUMIF(куб!$E:$E,$E30,куб!T:T),IF($D30&lt;&gt;0,SUMIF(куб!$D:$D,$D30,куб!T:T),IF($C30&lt;&gt;0,SUMIF(куб!$C:$C,$C30,куб!T:T),IF($B30&lt;&gt;0,SUMIF(куб!$B:$B,$B30,куб!T:T))))))</f>
        <v>184</v>
      </c>
      <c r="AK30" s="27">
        <f>IF($G30&lt;&gt;0,SUMIF(куб!$G:$G,$G30,куб!U:U),IF($E30&lt;&gt;0,SUMIF(куб!$E:$E,$E30,куб!U:U),IF($D30&lt;&gt;0,SUMIF(куб!$D:$D,$D30,куб!U:U),IF($C30&lt;&gt;0,SUMIF(куб!$C:$C,$C30,куб!U:U),IF($B30&lt;&gt;0,SUMIF(куб!$B:$B,$B30,куб!U:U))))))</f>
        <v>167</v>
      </c>
      <c r="AL30" s="16">
        <f t="shared" si="25"/>
        <v>-9.2391304347826081E-2</v>
      </c>
      <c r="AM30" s="8"/>
      <c r="AN30" s="17">
        <f t="shared" si="26"/>
        <v>0.43922713715188888</v>
      </c>
      <c r="AO30" s="17">
        <f t="shared" si="27"/>
        <v>0.4457985640812836</v>
      </c>
      <c r="AP30" s="16">
        <f t="shared" si="28"/>
        <v>6.5714269293947192E-3</v>
      </c>
      <c r="AQ30" s="8"/>
      <c r="AR30" s="17">
        <f t="shared" si="29"/>
        <v>-0.32330960205763892</v>
      </c>
      <c r="AS30" s="17">
        <f t="shared" si="30"/>
        <v>-0.33258997522805511</v>
      </c>
      <c r="AT30" s="13">
        <f t="shared" si="31"/>
        <v>-9.2803731704161896E-3</v>
      </c>
      <c r="AU30" s="8"/>
    </row>
    <row r="31" spans="1:50" ht="15" customHeight="1" x14ac:dyDescent="0.25">
      <c r="A31" s="31" t="s">
        <v>26</v>
      </c>
      <c r="B31" s="31" t="s">
        <v>32</v>
      </c>
      <c r="C31" t="s">
        <v>33</v>
      </c>
      <c r="D31" s="31" t="s">
        <v>34</v>
      </c>
      <c r="E31" t="s">
        <v>35</v>
      </c>
      <c r="F31" s="31" t="s">
        <v>88</v>
      </c>
      <c r="G31" t="s">
        <v>89</v>
      </c>
      <c r="H31" s="27">
        <f>IF($G31&lt;&gt;0,SUMIF(куб!$G:$G,$G31,куб!H:H),IF($E31&lt;&gt;0,SUMIF(куб!$E:$E,$E31,куб!H:H),IF($D31&lt;&gt;0,SUMIF(куб!$D:$D,$D31,куб!H:H),IF($C31&lt;&gt;0,SUMIF(куб!$C:$C,$C31,куб!H:H),IF($B31&lt;&gt;0,SUMIF(куб!$B:$B,$B31,куб!H:H),IF($G31&lt;&gt;0,SUMIF(куб!$A:$A,$G31,куб!H:H),SUMIF(куб!$A:$A,$G31,куб!H:H)))))))</f>
        <v>519564.95649999956</v>
      </c>
      <c r="I31" s="27">
        <f>IF($G31&lt;&gt;0,SUMIF(куб!$G:$G,$G31,куб!I:I),IF($E31&lt;&gt;0,SUMIF(куб!$E:$E,$E31,куб!I:I),IF($D31&lt;&gt;0,SUMIF(куб!$D:$D,$D31,куб!I:I),IF($C31&lt;&gt;0,SUMIF(куб!$C:$C,$C31,куб!I:I),IF($B31&lt;&gt;0,SUMIF(куб!$B:$B,$B31,куб!I:I),IF($G31&lt;&gt;0,SUMIF(куб!$A:$A,$G31,куб!I:I),SUMIF(куб!$A:$A,$G31,куб!I:I)))))))</f>
        <v>422007.34109999979</v>
      </c>
      <c r="J31" s="19">
        <f t="shared" si="33"/>
        <v>-0.18776788961516472</v>
      </c>
      <c r="K31" s="10"/>
      <c r="L31" s="17">
        <f t="shared" si="15"/>
        <v>1.0853150974109184E-3</v>
      </c>
      <c r="M31" s="17">
        <f t="shared" si="16"/>
        <v>8.9979351073764431E-4</v>
      </c>
      <c r="N31" s="12">
        <f t="shared" si="17"/>
        <v>-1.855215866732741E-4</v>
      </c>
      <c r="O31" s="5"/>
      <c r="P31" s="27">
        <f>IF($G31&lt;&gt;0,SUMIF(куб!$G:$G,$G31,куб!J:J),IF($E31&lt;&gt;0,SUMIF(куб!$E:$E,$E31,куб!J:J),IF($D31&lt;&gt;0,SUMIF(куб!$D:$D,$D31,куб!J:J),IF($C31&lt;&gt;0,SUMIF(куб!$C:$C,$C31,куб!J:J),IF($B31&lt;&gt;0,SUMIF(куб!$B:$B,$B31,куб!J:J))))))</f>
        <v>6504</v>
      </c>
      <c r="Q31" s="27">
        <f>IF($G31&lt;&gt;0,SUMIF(куб!$G:$G,$G31,куб!K:K),IF($E31&lt;&gt;0,SUMIF(куб!$E:$E,$E31,куб!K:K),IF($D31&lt;&gt;0,SUMIF(куб!$D:$D,$D31,куб!K:K),IF($C31&lt;&gt;0,SUMIF(куб!$C:$C,$C31,куб!K:K),IF($B31&lt;&gt;0,SUMIF(куб!$B:$B,$B31,куб!K:K))))))</f>
        <v>5330</v>
      </c>
      <c r="R31" s="13">
        <f t="shared" si="18"/>
        <v>-0.18050430504305043</v>
      </c>
      <c r="S31" s="5"/>
      <c r="T31" s="27">
        <f>IF($G31&lt;&gt;0,SUMIF(куб!$G:$G,$G31,куб!L:L),IF($E31&lt;&gt;0,SUMIF(куб!$E:$E,$E31,куб!L:L),IF($D31&lt;&gt;0,SUMIF(куб!$D:$D,$D31,куб!L:L),IF($C31&lt;&gt;0,SUMIF(куб!$C:$C,$C31,куб!L:L),IF($B31&lt;&gt;0,SUMIF(куб!$B:$B,$B31,куб!L:L))))))</f>
        <v>5430.8399999999992</v>
      </c>
      <c r="U31" s="27">
        <f>IF($G31&lt;&gt;0,SUMIF(куб!$G:$G,$G31,куб!M:M),IF($E31&lt;&gt;0,SUMIF(куб!$E:$E,$E31,куб!M:M),IF($D31&lt;&gt;0,SUMIF(куб!$D:$D,$D31,куб!M:M),IF($C31&lt;&gt;0,SUMIF(куб!$C:$C,$C31,куб!M:M),IF($B31&lt;&gt;0,SUMIF(куб!$B:$B,$B31,куб!M:M))))))</f>
        <v>4450.5499999999965</v>
      </c>
      <c r="V31" s="13">
        <f t="shared" si="19"/>
        <v>-0.18050430504305096</v>
      </c>
      <c r="W31" s="5"/>
      <c r="X31" s="27">
        <f>IF($G31&lt;&gt;0,SUMIF(куб!$G:$G,$G31,куб!N:N),IF($E31&lt;&gt;0,SUMIF(куб!$E:$E,$E31,куб!N:N),IF($D31&lt;&gt;0,SUMIF(куб!$D:$D,$D31,куб!N:N),IF($C31&lt;&gt;0,SUMIF(куб!$C:$C,$C31,куб!N:N),IF($B31&lt;&gt;0,SUMIF(куб!$B:$B,$B31,куб!N:N))))))</f>
        <v>62511.226499999291</v>
      </c>
      <c r="Y31" s="27">
        <f>IF($G31&lt;&gt;0,SUMIF(куб!$G:$G,$G31,куб!O:O),IF($E31&lt;&gt;0,SUMIF(куб!$E:$E,$E31,куб!O:O),IF($D31&lt;&gt;0,SUMIF(куб!$D:$D,$D31,куб!O:O),IF($C31&lt;&gt;0,SUMIF(куб!$C:$C,$C31,куб!O:O),IF($B31&lt;&gt;0,SUMIF(куб!$B:$B,$B31,куб!O:O))))))</f>
        <v>28740.794599999906</v>
      </c>
      <c r="Z31" s="13">
        <f t="shared" si="20"/>
        <v>-0.54022987214944129</v>
      </c>
      <c r="AA31" s="5"/>
      <c r="AB31" s="33">
        <f t="shared" si="21"/>
        <v>0.12031455493284282</v>
      </c>
      <c r="AC31" s="33">
        <f t="shared" si="22"/>
        <v>6.8104963589222078E-2</v>
      </c>
      <c r="AD31" s="15">
        <f t="shared" si="23"/>
        <v>-5.2209591343620743E-2</v>
      </c>
      <c r="AE31" s="5"/>
      <c r="AF31" s="27">
        <f>IF($G31&lt;&gt;0,SUMIF(куб!$G:$G,$G31,куб!R:R),IF($E31&lt;&gt;0,SUMIF(куб!$E:$E,$E31,куб!R:R),IF($D31&lt;&gt;0,SUMIF(куб!$D:$D,$D31,куб!R:R),IF($C31&lt;&gt;0,SUMIF(куб!$C:$C,$C31,куб!R:R),IF($B31&lt;&gt;0,SUMIF(куб!$B:$B,$B31,куб!R:R))))))</f>
        <v>1124.3632</v>
      </c>
      <c r="AG31" s="27">
        <f>IF($G31&lt;&gt;0,SUMIF(куб!$G:$G,$G31,куб!S:S),IF($E31&lt;&gt;0,SUMIF(куб!$E:$E,$E31,куб!S:S),IF($D31&lt;&gt;0,SUMIF(куб!$D:$D,$D31,куб!S:S),IF($C31&lt;&gt;0,SUMIF(куб!$C:$C,$C31,куб!S:S),IF($B31&lt;&gt;0,SUMIF(куб!$B:$B,$B31,куб!S:S))))))</f>
        <v>368.90899999999999</v>
      </c>
      <c r="AH31" s="16">
        <f t="shared" si="24"/>
        <v>-0.67189516697095741</v>
      </c>
      <c r="AI31" s="8"/>
      <c r="AJ31" s="27">
        <f>IF($G31&lt;&gt;0,SUMIF(куб!$G:$G,$G31,куб!T:T),IF($E31&lt;&gt;0,SUMIF(куб!$E:$E,$E31,куб!T:T),IF($D31&lt;&gt;0,SUMIF(куб!$D:$D,$D31,куб!T:T),IF($C31&lt;&gt;0,SUMIF(куб!$C:$C,$C31,куб!T:T),IF($B31&lt;&gt;0,SUMIF(куб!$B:$B,$B31,куб!T:T))))))</f>
        <v>16</v>
      </c>
      <c r="AK31" s="27">
        <f>IF($G31&lt;&gt;0,SUMIF(куб!$G:$G,$G31,куб!U:U),IF($E31&lt;&gt;0,SUMIF(куб!$E:$E,$E31,куб!U:U),IF($D31&lt;&gt;0,SUMIF(куб!$D:$D,$D31,куб!U:U),IF($C31&lt;&gt;0,SUMIF(куб!$C:$C,$C31,куб!U:U),IF($B31&lt;&gt;0,SUMIF(куб!$B:$B,$B31,куб!U:U))))))</f>
        <v>5</v>
      </c>
      <c r="AL31" s="16">
        <f t="shared" si="25"/>
        <v>-0.6875</v>
      </c>
      <c r="AM31" s="8"/>
      <c r="AN31" s="17">
        <f t="shared" si="26"/>
        <v>2.1640474130013828E-3</v>
      </c>
      <c r="AO31" s="17">
        <f t="shared" si="27"/>
        <v>8.7417673597432158E-4</v>
      </c>
      <c r="AP31" s="16">
        <f t="shared" si="28"/>
        <v>-1.2898706770270612E-3</v>
      </c>
      <c r="AQ31" s="8"/>
      <c r="AR31" s="17">
        <f t="shared" si="29"/>
        <v>0.11815050751984145</v>
      </c>
      <c r="AS31" s="17">
        <f t="shared" si="30"/>
        <v>6.7230786853247751E-2</v>
      </c>
      <c r="AT31" s="13">
        <f t="shared" si="31"/>
        <v>-5.0919720666593699E-2</v>
      </c>
      <c r="AU31" s="8"/>
    </row>
    <row r="32" spans="1:50" ht="15" customHeight="1" x14ac:dyDescent="0.25">
      <c r="A32" s="31" t="s">
        <v>26</v>
      </c>
      <c r="B32" s="31" t="s">
        <v>32</v>
      </c>
      <c r="C32" t="s">
        <v>33</v>
      </c>
      <c r="D32" s="31" t="s">
        <v>34</v>
      </c>
      <c r="E32" t="s">
        <v>35</v>
      </c>
      <c r="F32" s="31" t="s">
        <v>90</v>
      </c>
      <c r="G32" t="s">
        <v>91</v>
      </c>
      <c r="H32" s="27">
        <f>IF($G32&lt;&gt;0,SUMIF(куб!$G:$G,$G32,куб!H:H),IF($E32&lt;&gt;0,SUMIF(куб!$E:$E,$E32,куб!H:H),IF($D32&lt;&gt;0,SUMIF(куб!$D:$D,$D32,куб!H:H),IF($C32&lt;&gt;0,SUMIF(куб!$C:$C,$C32,куб!H:H),IF($B32&lt;&gt;0,SUMIF(куб!$B:$B,$B32,куб!H:H),IF($G32&lt;&gt;0,SUMIF(куб!$A:$A,$G32,куб!H:H),SUMIF(куб!$A:$A,$G32,куб!H:H)))))))</f>
        <v>901512.94210000022</v>
      </c>
      <c r="I32" s="27">
        <f>IF($G32&lt;&gt;0,SUMIF(куб!$G:$G,$G32,куб!I:I),IF($E32&lt;&gt;0,SUMIF(куб!$E:$E,$E32,куб!I:I),IF($D32&lt;&gt;0,SUMIF(куб!$D:$D,$D32,куб!I:I),IF($C32&lt;&gt;0,SUMIF(куб!$C:$C,$C32,куб!I:I),IF($B32&lt;&gt;0,SUMIF(куб!$B:$B,$B32,куб!I:I),IF($G32&lt;&gt;0,SUMIF(куб!$A:$A,$G32,куб!I:I),SUMIF(куб!$A:$A,$G32,куб!I:I)))))))</f>
        <v>1040726.9291999997</v>
      </c>
      <c r="J32" s="19">
        <f t="shared" si="33"/>
        <v>0.15442261624742948</v>
      </c>
      <c r="K32" s="5"/>
      <c r="L32" s="17">
        <f t="shared" si="15"/>
        <v>1.8831632009278249E-3</v>
      </c>
      <c r="M32" s="17">
        <f t="shared" si="16"/>
        <v>2.2190119605577543E-3</v>
      </c>
      <c r="N32" s="12">
        <f t="shared" si="17"/>
        <v>3.3584875962992941E-4</v>
      </c>
      <c r="O32" s="5"/>
      <c r="P32" s="27">
        <f>IF($G32&lt;&gt;0,SUMIF(куб!$G:$G,$G32,куб!J:J),IF($E32&lt;&gt;0,SUMIF(куб!$E:$E,$E32,куб!J:J),IF($D32&lt;&gt;0,SUMIF(куб!$D:$D,$D32,куб!J:J),IF($C32&lt;&gt;0,SUMIF(куб!$C:$C,$C32,куб!J:J),IF($B32&lt;&gt;0,SUMIF(куб!$B:$B,$B32,куб!J:J))))))</f>
        <v>8692</v>
      </c>
      <c r="Q32" s="27">
        <f>IF($G32&lt;&gt;0,SUMIF(куб!$G:$G,$G32,куб!K:K),IF($E32&lt;&gt;0,SUMIF(куб!$E:$E,$E32,куб!K:K),IF($D32&lt;&gt;0,SUMIF(куб!$D:$D,$D32,куб!K:K),IF($C32&lt;&gt;0,SUMIF(куб!$C:$C,$C32,куб!K:K),IF($B32&lt;&gt;0,SUMIF(куб!$B:$B,$B32,куб!K:K))))))</f>
        <v>10655</v>
      </c>
      <c r="R32" s="13">
        <f t="shared" si="18"/>
        <v>0.22583985273815002</v>
      </c>
      <c r="S32" s="5"/>
      <c r="T32" s="27">
        <f>IF($G32&lt;&gt;0,SUMIF(куб!$G:$G,$G32,куб!L:L),IF($E32&lt;&gt;0,SUMIF(куб!$E:$E,$E32,куб!L:L),IF($D32&lt;&gt;0,SUMIF(куб!$D:$D,$D32,куб!L:L),IF($C32&lt;&gt;0,SUMIF(куб!$C:$C,$C32,куб!L:L),IF($B32&lt;&gt;0,SUMIF(куб!$B:$B,$B32,куб!L:L))))))</f>
        <v>11638.588000000018</v>
      </c>
      <c r="U32" s="27">
        <f>IF($G32&lt;&gt;0,SUMIF(куб!$G:$G,$G32,куб!M:M),IF($E32&lt;&gt;0,SUMIF(куб!$E:$E,$E32,куб!M:M),IF($D32&lt;&gt;0,SUMIF(куб!$D:$D,$D32,куб!M:M),IF($C32&lt;&gt;0,SUMIF(куб!$C:$C,$C32,куб!M:M),IF($B32&lt;&gt;0,SUMIF(куб!$B:$B,$B32,куб!M:M))))))</f>
        <v>14267.04500000002</v>
      </c>
      <c r="V32" s="13">
        <f t="shared" si="19"/>
        <v>0.22583985273814985</v>
      </c>
      <c r="W32" s="5"/>
      <c r="X32" s="27">
        <f>IF($G32&lt;&gt;0,SUMIF(куб!$G:$G,$G32,куб!N:N),IF($E32&lt;&gt;0,SUMIF(куб!$E:$E,$E32,куб!N:N),IF($D32&lt;&gt;0,SUMIF(куб!$D:$D,$D32,куб!N:N),IF($C32&lt;&gt;0,SUMIF(куб!$C:$C,$C32,куб!N:N),IF($B32&lt;&gt;0,SUMIF(куб!$B:$B,$B32,куб!N:N))))))</f>
        <v>105748.29589999979</v>
      </c>
      <c r="Y32" s="27">
        <f>IF($G32&lt;&gt;0,SUMIF(куб!$G:$G,$G32,куб!O:O),IF($E32&lt;&gt;0,SUMIF(куб!$E:$E,$E32,куб!O:O),IF($D32&lt;&gt;0,SUMIF(куб!$D:$D,$D32,куб!O:O),IF($C32&lt;&gt;0,SUMIF(куб!$C:$C,$C32,куб!O:O),IF($B32&lt;&gt;0,SUMIF(куб!$B:$B,$B32,куб!O:O))))))</f>
        <v>112697.92919999978</v>
      </c>
      <c r="Z32" s="13">
        <f t="shared" si="20"/>
        <v>6.5718631594516311E-2</v>
      </c>
      <c r="AA32" s="5"/>
      <c r="AB32" s="33">
        <f t="shared" si="21"/>
        <v>0.11730091822494289</v>
      </c>
      <c r="AC32" s="33">
        <f t="shared" si="22"/>
        <v>0.10828770356372923</v>
      </c>
      <c r="AD32" s="15">
        <f t="shared" si="23"/>
        <v>-9.0132146612136588E-3</v>
      </c>
      <c r="AE32" s="5"/>
      <c r="AF32" s="27">
        <f>IF($G32&lt;&gt;0,SUMIF(куб!$G:$G,$G32,куб!R:R),IF($E32&lt;&gt;0,SUMIF(куб!$E:$E,$E32,куб!R:R),IF($D32&lt;&gt;0,SUMIF(куб!$D:$D,$D32,куб!R:R),IF($C32&lt;&gt;0,SUMIF(куб!$C:$C,$C32,куб!R:R),IF($B32&lt;&gt;0,SUMIF(куб!$B:$B,$B32,куб!R:R))))))</f>
        <v>7689.8155999999999</v>
      </c>
      <c r="AG32" s="27">
        <f>IF($G32&lt;&gt;0,SUMIF(куб!$G:$G,$G32,куб!S:S),IF($E32&lt;&gt;0,SUMIF(куб!$E:$E,$E32,куб!S:S),IF($D32&lt;&gt;0,SUMIF(куб!$D:$D,$D32,куб!S:S),IF($C32&lt;&gt;0,SUMIF(куб!$C:$C,$C32,куб!S:S),IF($B32&lt;&gt;0,SUMIF(куб!$B:$B,$B32,куб!S:S))))))</f>
        <v>12557.4542</v>
      </c>
      <c r="AH32" s="16">
        <f t="shared" si="24"/>
        <v>0.63299809165775056</v>
      </c>
      <c r="AI32" s="8"/>
      <c r="AJ32" s="27">
        <f>IF($G32&lt;&gt;0,SUMIF(куб!$G:$G,$G32,куб!T:T),IF($E32&lt;&gt;0,SUMIF(куб!$E:$E,$E32,куб!T:T),IF($D32&lt;&gt;0,SUMIF(куб!$D:$D,$D32,куб!T:T),IF($C32&lt;&gt;0,SUMIF(куб!$C:$C,$C32,куб!T:T),IF($B32&lt;&gt;0,SUMIF(куб!$B:$B,$B32,куб!T:T))))))</f>
        <v>84</v>
      </c>
      <c r="AK32" s="27">
        <f>IF($G32&lt;&gt;0,SUMIF(куб!$G:$G,$G32,куб!U:U),IF($E32&lt;&gt;0,SUMIF(куб!$E:$E,$E32,куб!U:U),IF($D32&lt;&gt;0,SUMIF(куб!$D:$D,$D32,куб!U:U),IF($C32&lt;&gt;0,SUMIF(куб!$C:$C,$C32,куб!U:U),IF($B32&lt;&gt;0,SUMIF(куб!$B:$B,$B32,куб!U:U))))))</f>
        <v>144</v>
      </c>
      <c r="AL32" s="16">
        <f t="shared" si="25"/>
        <v>0.7142857142857143</v>
      </c>
      <c r="AM32" s="8"/>
      <c r="AN32" s="17">
        <f t="shared" si="26"/>
        <v>8.5299003939834812E-3</v>
      </c>
      <c r="AO32" s="17">
        <f t="shared" si="27"/>
        <v>1.2066041386718837E-2</v>
      </c>
      <c r="AP32" s="16">
        <f t="shared" si="28"/>
        <v>3.5361409927353558E-3</v>
      </c>
      <c r="AQ32" s="8"/>
      <c r="AR32" s="17">
        <f t="shared" si="29"/>
        <v>0.1087710178309594</v>
      </c>
      <c r="AS32" s="17">
        <f t="shared" si="30"/>
        <v>9.6221662177010392E-2</v>
      </c>
      <c r="AT32" s="13">
        <f t="shared" si="31"/>
        <v>-1.2549355653949004E-2</v>
      </c>
      <c r="AU32" s="8"/>
    </row>
    <row r="33" spans="1:50" ht="15" customHeight="1" x14ac:dyDescent="0.25">
      <c r="A33" s="31" t="s">
        <v>26</v>
      </c>
      <c r="B33" s="31" t="s">
        <v>32</v>
      </c>
      <c r="C33" t="s">
        <v>33</v>
      </c>
      <c r="D33" s="31" t="s">
        <v>34</v>
      </c>
      <c r="E33" t="s">
        <v>35</v>
      </c>
      <c r="F33" s="31" t="s">
        <v>92</v>
      </c>
      <c r="G33" t="s">
        <v>93</v>
      </c>
      <c r="H33" s="27">
        <f>IF($G33&lt;&gt;0,SUMIF(куб!$G:$G,$G33,куб!H:H),IF($E33&lt;&gt;0,SUMIF(куб!$E:$E,$E33,куб!H:H),IF($D33&lt;&gt;0,SUMIF(куб!$D:$D,$D33,куб!H:H),IF($C33&lt;&gt;0,SUMIF(куб!$C:$C,$C33,куб!H:H),IF($B33&lt;&gt;0,SUMIF(куб!$B:$B,$B33,куб!H:H),IF($G33&lt;&gt;0,SUMIF(куб!$A:$A,$G33,куб!H:H),SUMIF(куб!$A:$A,$G33,куб!H:H)))))))</f>
        <v>728282.23179999983</v>
      </c>
      <c r="I33" s="27">
        <f>IF($G33&lt;&gt;0,SUMIF(куб!$G:$G,$G33,куб!I:I),IF($E33&lt;&gt;0,SUMIF(куб!$E:$E,$E33,куб!I:I),IF($D33&lt;&gt;0,SUMIF(куб!$D:$D,$D33,куб!I:I),IF($C33&lt;&gt;0,SUMIF(куб!$C:$C,$C33,куб!I:I),IF($B33&lt;&gt;0,SUMIF(куб!$B:$B,$B33,куб!I:I),IF($G33&lt;&gt;0,SUMIF(куб!$A:$A,$G33,куб!I:I),SUMIF(куб!$A:$A,$G33,куб!I:I)))))))</f>
        <v>393524.14899999992</v>
      </c>
      <c r="J33" s="19">
        <f t="shared" si="33"/>
        <v>-0.45965433204737427</v>
      </c>
      <c r="K33" s="5"/>
      <c r="L33" s="17">
        <f t="shared" si="15"/>
        <v>1.521302950593933E-3</v>
      </c>
      <c r="M33" s="17">
        <f t="shared" si="16"/>
        <v>8.3906236006649865E-4</v>
      </c>
      <c r="N33" s="12">
        <f t="shared" si="17"/>
        <v>-6.8224059052743433E-4</v>
      </c>
      <c r="O33" s="5"/>
      <c r="P33" s="27">
        <f>IF($G33&lt;&gt;0,SUMIF(куб!$G:$G,$G33,куб!J:J),IF($E33&lt;&gt;0,SUMIF(куб!$E:$E,$E33,куб!J:J),IF($D33&lt;&gt;0,SUMIF(куб!$D:$D,$D33,куб!J:J),IF($C33&lt;&gt;0,SUMIF(куб!$C:$C,$C33,куб!J:J),IF($B33&lt;&gt;0,SUMIF(куб!$B:$B,$B33,куб!J:J))))))</f>
        <v>11536</v>
      </c>
      <c r="Q33" s="27">
        <f>IF($G33&lt;&gt;0,SUMIF(куб!$G:$G,$G33,куб!K:K),IF($E33&lt;&gt;0,SUMIF(куб!$E:$E,$E33,куб!K:K),IF($D33&lt;&gt;0,SUMIF(куб!$D:$D,$D33,куб!K:K),IF($C33&lt;&gt;0,SUMIF(куб!$C:$C,$C33,куб!K:K),IF($B33&lt;&gt;0,SUMIF(куб!$B:$B,$B33,куб!K:K))))))</f>
        <v>6485</v>
      </c>
      <c r="R33" s="13">
        <f t="shared" si="18"/>
        <v>-0.43784674063800277</v>
      </c>
      <c r="S33" s="5"/>
      <c r="T33" s="27">
        <f>IF($G33&lt;&gt;0,SUMIF(куб!$G:$G,$G33,куб!L:L),IF($E33&lt;&gt;0,SUMIF(куб!$E:$E,$E33,куб!L:L),IF($D33&lt;&gt;0,SUMIF(куб!$D:$D,$D33,куб!L:L),IF($C33&lt;&gt;0,SUMIF(куб!$C:$C,$C33,куб!L:L),IF($B33&lt;&gt;0,SUMIF(куб!$B:$B,$B33,куб!L:L))))))</f>
        <v>10693.871999999994</v>
      </c>
      <c r="U33" s="27">
        <f>IF($G33&lt;&gt;0,SUMIF(куб!$G:$G,$G33,куб!M:M),IF($E33&lt;&gt;0,SUMIF(куб!$E:$E,$E33,куб!M:M),IF($D33&lt;&gt;0,SUMIF(куб!$D:$D,$D33,куб!M:M),IF($C33&lt;&gt;0,SUMIF(куб!$C:$C,$C33,куб!M:M),IF($B33&lt;&gt;0,SUMIF(куб!$B:$B,$B33,куб!M:M))))))</f>
        <v>6011.5950000000003</v>
      </c>
      <c r="V33" s="13">
        <f t="shared" si="19"/>
        <v>-0.43784674063800244</v>
      </c>
      <c r="W33" s="5"/>
      <c r="X33" s="27">
        <f>IF($G33&lt;&gt;0,SUMIF(куб!$G:$G,$G33,куб!N:N),IF($E33&lt;&gt;0,SUMIF(куб!$E:$E,$E33,куб!N:N),IF($D33&lt;&gt;0,SUMIF(куб!$D:$D,$D33,куб!N:N),IF($C33&lt;&gt;0,SUMIF(куб!$C:$C,$C33,куб!N:N),IF($B33&lt;&gt;0,SUMIF(куб!$B:$B,$B33,куб!N:N))))))</f>
        <v>89591.050299999653</v>
      </c>
      <c r="Y33" s="27">
        <f>IF($G33&lt;&gt;0,SUMIF(куб!$G:$G,$G33,куб!O:O),IF($E33&lt;&gt;0,SUMIF(куб!$E:$E,$E33,куб!O:O),IF($D33&lt;&gt;0,SUMIF(куб!$D:$D,$D33,куб!O:O),IF($C33&lt;&gt;0,SUMIF(куб!$C:$C,$C33,куб!O:O),IF($B33&lt;&gt;0,SUMIF(куб!$B:$B,$B33,куб!O:O))))))</f>
        <v>16201.750799999922</v>
      </c>
      <c r="Z33" s="13">
        <f t="shared" si="20"/>
        <v>-0.8191588250640256</v>
      </c>
      <c r="AA33" s="5"/>
      <c r="AB33" s="33">
        <f t="shared" si="21"/>
        <v>0.12301693819794172</v>
      </c>
      <c r="AC33" s="33">
        <f t="shared" si="22"/>
        <v>4.1170918839849711E-2</v>
      </c>
      <c r="AD33" s="15">
        <f t="shared" si="23"/>
        <v>-8.184601935809202E-2</v>
      </c>
      <c r="AE33" s="5"/>
      <c r="AF33" s="27">
        <f>IF($G33&lt;&gt;0,SUMIF(куб!$G:$G,$G33,куб!R:R),IF($E33&lt;&gt;0,SUMIF(куб!$E:$E,$E33,куб!R:R),IF($D33&lt;&gt;0,SUMIF(куб!$D:$D,$D33,куб!R:R),IF($C33&lt;&gt;0,SUMIF(куб!$C:$C,$C33,куб!R:R),IF($B33&lt;&gt;0,SUMIF(куб!$B:$B,$B33,куб!R:R))))))</f>
        <v>14283.812</v>
      </c>
      <c r="AG33" s="27">
        <f>IF($G33&lt;&gt;0,SUMIF(куб!$G:$G,$G33,куб!S:S),IF($E33&lt;&gt;0,SUMIF(куб!$E:$E,$E33,куб!S:S),IF($D33&lt;&gt;0,SUMIF(куб!$D:$D,$D33,куб!S:S),IF($C33&lt;&gt;0,SUMIF(куб!$C:$C,$C33,куб!S:S),IF($B33&lt;&gt;0,SUMIF(куб!$B:$B,$B33,куб!S:S))))))</f>
        <v>18618.177100000001</v>
      </c>
      <c r="AH33" s="16">
        <f t="shared" si="24"/>
        <v>0.30344596386454825</v>
      </c>
      <c r="AI33" s="8"/>
      <c r="AJ33" s="27">
        <f>IF($G33&lt;&gt;0,SUMIF(куб!$G:$G,$G33,куб!T:T),IF($E33&lt;&gt;0,SUMIF(куб!$E:$E,$E33,куб!T:T),IF($D33&lt;&gt;0,SUMIF(куб!$D:$D,$D33,куб!T:T),IF($C33&lt;&gt;0,SUMIF(куб!$C:$C,$C33,куб!T:T),IF($B33&lt;&gt;0,SUMIF(куб!$B:$B,$B33,куб!T:T))))))</f>
        <v>258</v>
      </c>
      <c r="AK33" s="27">
        <f>IF($G33&lt;&gt;0,SUMIF(куб!$G:$G,$G33,куб!U:U),IF($E33&lt;&gt;0,SUMIF(куб!$E:$E,$E33,куб!U:U),IF($D33&lt;&gt;0,SUMIF(куб!$D:$D,$D33,куб!U:U),IF($C33&lt;&gt;0,SUMIF(куб!$C:$C,$C33,куб!U:U),IF($B33&lt;&gt;0,SUMIF(куб!$B:$B,$B33,куб!U:U))))))</f>
        <v>320</v>
      </c>
      <c r="AL33" s="16">
        <f t="shared" si="25"/>
        <v>0.24031007751937986</v>
      </c>
      <c r="AM33" s="8"/>
      <c r="AN33" s="17">
        <f t="shared" si="26"/>
        <v>1.9613017284105055E-2</v>
      </c>
      <c r="AO33" s="17">
        <f t="shared" si="27"/>
        <v>4.7311396638075202E-2</v>
      </c>
      <c r="AP33" s="16">
        <f t="shared" si="28"/>
        <v>2.7698379353970147E-2</v>
      </c>
      <c r="AQ33" s="8"/>
      <c r="AR33" s="17">
        <f t="shared" si="29"/>
        <v>0.10340392091383667</v>
      </c>
      <c r="AS33" s="17">
        <f t="shared" si="30"/>
        <v>-6.1404777982254901E-3</v>
      </c>
      <c r="AT33" s="13">
        <f t="shared" si="31"/>
        <v>-0.10954439871206216</v>
      </c>
      <c r="AU33" s="8"/>
    </row>
    <row r="34" spans="1:50" ht="15" customHeight="1" x14ac:dyDescent="0.25">
      <c r="A34" s="31" t="s">
        <v>26</v>
      </c>
      <c r="B34" s="31" t="s">
        <v>32</v>
      </c>
      <c r="C34" t="s">
        <v>33</v>
      </c>
      <c r="D34" s="31" t="s">
        <v>34</v>
      </c>
      <c r="E34" t="s">
        <v>35</v>
      </c>
      <c r="F34" s="31" t="s">
        <v>94</v>
      </c>
      <c r="G34" t="s">
        <v>95</v>
      </c>
      <c r="H34" s="27">
        <f>IF($G34&lt;&gt;0,SUMIF(куб!$G:$G,$G34,куб!H:H),IF($E34&lt;&gt;0,SUMIF(куб!$E:$E,$E34,куб!H:H),IF($D34&lt;&gt;0,SUMIF(куб!$D:$D,$D34,куб!H:H),IF($C34&lt;&gt;0,SUMIF(куб!$C:$C,$C34,куб!H:H),IF($B34&lt;&gt;0,SUMIF(куб!$B:$B,$B34,куб!H:H),IF($G34&lt;&gt;0,SUMIF(куб!$A:$A,$G34,куб!H:H),SUMIF(куб!$A:$A,$G34,куб!H:H)))))))</f>
        <v>20548731.365399908</v>
      </c>
      <c r="I34" s="27">
        <f>IF($G34&lt;&gt;0,SUMIF(куб!$G:$G,$G34,куб!I:I),IF($E34&lt;&gt;0,SUMIF(куб!$E:$E,$E34,куб!I:I),IF($D34&lt;&gt;0,SUMIF(куб!$D:$D,$D34,куб!I:I),IF($C34&lt;&gt;0,SUMIF(куб!$C:$C,$C34,куб!I:I),IF($B34&lt;&gt;0,SUMIF(куб!$B:$B,$B34,куб!I:I),IF($G34&lt;&gt;0,SUMIF(куб!$A:$A,$G34,куб!I:I),SUMIF(куб!$A:$A,$G34,куб!I:I)))))))</f>
        <v>26710217.810499959</v>
      </c>
      <c r="J34" s="19">
        <f t="shared" si="33"/>
        <v>0.29984753489331234</v>
      </c>
      <c r="K34" s="8"/>
      <c r="L34" s="17">
        <f t="shared" si="15"/>
        <v>4.2924081203905853E-2</v>
      </c>
      <c r="M34" s="17">
        <f t="shared" si="16"/>
        <v>5.6950859180863962E-2</v>
      </c>
      <c r="N34" s="12">
        <f t="shared" si="17"/>
        <v>1.4026777976958109E-2</v>
      </c>
      <c r="O34" s="5"/>
      <c r="P34" s="27">
        <f>IF($G34&lt;&gt;0,SUMIF(куб!$G:$G,$G34,куб!J:J),IF($E34&lt;&gt;0,SUMIF(куб!$E:$E,$E34,куб!J:J),IF($D34&lt;&gt;0,SUMIF(куб!$D:$D,$D34,куб!J:J),IF($C34&lt;&gt;0,SUMIF(куб!$C:$C,$C34,куб!J:J),IF($B34&lt;&gt;0,SUMIF(куб!$B:$B,$B34,куб!J:J))))))</f>
        <v>151980</v>
      </c>
      <c r="Q34" s="27">
        <f>IF($G34&lt;&gt;0,SUMIF(куб!$G:$G,$G34,куб!K:K),IF($E34&lt;&gt;0,SUMIF(куб!$E:$E,$E34,куб!K:K),IF($D34&lt;&gt;0,SUMIF(куб!$D:$D,$D34,куб!K:K),IF($C34&lt;&gt;0,SUMIF(куб!$C:$C,$C34,куб!K:K),IF($B34&lt;&gt;0,SUMIF(куб!$B:$B,$B34,куб!K:K))))))</f>
        <v>198750</v>
      </c>
      <c r="R34" s="13">
        <f t="shared" si="18"/>
        <v>0.30773786024476907</v>
      </c>
      <c r="S34" s="5"/>
      <c r="T34" s="27">
        <f>IF($G34&lt;&gt;0,SUMIF(куб!$G:$G,$G34,куб!L:L),IF($E34&lt;&gt;0,SUMIF(куб!$E:$E,$E34,куб!L:L),IF($D34&lt;&gt;0,SUMIF(куб!$D:$D,$D34,куб!L:L),IF($C34&lt;&gt;0,SUMIF(куб!$C:$C,$C34,куб!L:L),IF($B34&lt;&gt;0,SUMIF(куб!$B:$B,$B34,куб!L:L))))))</f>
        <v>212772.00000000006</v>
      </c>
      <c r="U34" s="27">
        <f>IF($G34&lt;&gt;0,SUMIF(куб!$G:$G,$G34,куб!M:M),IF($E34&lt;&gt;0,SUMIF(куб!$E:$E,$E34,куб!M:M),IF($D34&lt;&gt;0,SUMIF(куб!$D:$D,$D34,куб!M:M),IF($C34&lt;&gt;0,SUMIF(куб!$C:$C,$C34,куб!M:M),IF($B34&lt;&gt;0,SUMIF(куб!$B:$B,$B34,куб!M:M))))))</f>
        <v>286597.49999999767</v>
      </c>
      <c r="V34" s="13">
        <f t="shared" si="19"/>
        <v>0.34696999605210083</v>
      </c>
      <c r="W34" s="5"/>
      <c r="X34" s="27">
        <f>IF($G34&lt;&gt;0,SUMIF(куб!$G:$G,$G34,куб!N:N),IF($E34&lt;&gt;0,SUMIF(куб!$E:$E,$E34,куб!N:N),IF($D34&lt;&gt;0,SUMIF(куб!$D:$D,$D34,куб!N:N),IF($C34&lt;&gt;0,SUMIF(куб!$C:$C,$C34,куб!N:N),IF($B34&lt;&gt;0,SUMIF(куб!$B:$B,$B34,куб!N:N))))))</f>
        <v>2172042.805999916</v>
      </c>
      <c r="Y34" s="27">
        <f>IF($G34&lt;&gt;0,SUMIF(куб!$G:$G,$G34,куб!O:O),IF($E34&lt;&gt;0,SUMIF(куб!$E:$E,$E34,куб!O:O),IF($D34&lt;&gt;0,SUMIF(куб!$D:$D,$D34,куб!O:O),IF($C34&lt;&gt;0,SUMIF(куб!$C:$C,$C34,куб!O:O),IF($B34&lt;&gt;0,SUMIF(куб!$B:$B,$B34,куб!O:O))))))</f>
        <v>3862376.9015000053</v>
      </c>
      <c r="Z34" s="13">
        <f t="shared" si="20"/>
        <v>0.77822319653683403</v>
      </c>
      <c r="AA34" s="5"/>
      <c r="AB34" s="33">
        <f t="shared" si="21"/>
        <v>0.10570203908827268</v>
      </c>
      <c r="AC34" s="33">
        <f t="shared" si="22"/>
        <v>0.14460297287361243</v>
      </c>
      <c r="AD34" s="15">
        <f t="shared" si="23"/>
        <v>3.890093378533975E-2</v>
      </c>
      <c r="AE34" s="5"/>
      <c r="AF34" s="27">
        <f>IF($G34&lt;&gt;0,SUMIF(куб!$G:$G,$G34,куб!R:R),IF($E34&lt;&gt;0,SUMIF(куб!$E:$E,$E34,куб!R:R),IF($D34&lt;&gt;0,SUMIF(куб!$D:$D,$D34,куб!R:R),IF($C34&lt;&gt;0,SUMIF(куб!$C:$C,$C34,куб!R:R),IF($B34&lt;&gt;0,SUMIF(куб!$B:$B,$B34,куб!R:R))))))</f>
        <v>29226.162199999995</v>
      </c>
      <c r="AG34" s="27">
        <f>IF($G34&lt;&gt;0,SUMIF(куб!$G:$G,$G34,куб!S:S),IF($E34&lt;&gt;0,SUMIF(куб!$E:$E,$E34,куб!S:S),IF($D34&lt;&gt;0,SUMIF(куб!$D:$D,$D34,куб!S:S),IF($C34&lt;&gt;0,SUMIF(куб!$C:$C,$C34,куб!S:S),IF($B34&lt;&gt;0,SUMIF(куб!$B:$B,$B34,куб!S:S))))))</f>
        <v>69899.041299999997</v>
      </c>
      <c r="AH34" s="16">
        <f t="shared" si="24"/>
        <v>1.3916599388475306</v>
      </c>
      <c r="AI34" s="8"/>
      <c r="AJ34" s="27">
        <f>IF($G34&lt;&gt;0,SUMIF(куб!$G:$G,$G34,куб!T:T),IF($E34&lt;&gt;0,SUMIF(куб!$E:$E,$E34,куб!T:T),IF($D34&lt;&gt;0,SUMIF(куб!$D:$D,$D34,куб!T:T),IF($C34&lt;&gt;0,SUMIF(куб!$C:$C,$C34,куб!T:T),IF($B34&lt;&gt;0,SUMIF(куб!$B:$B,$B34,куб!T:T))))))</f>
        <v>242</v>
      </c>
      <c r="AK34" s="27">
        <f>IF($G34&lt;&gt;0,SUMIF(куб!$G:$G,$G34,куб!U:U),IF($E34&lt;&gt;0,SUMIF(куб!$E:$E,$E34,куб!U:U),IF($D34&lt;&gt;0,SUMIF(куб!$D:$D,$D34,куб!U:U),IF($C34&lt;&gt;0,SUMIF(куб!$C:$C,$C34,куб!U:U),IF($B34&lt;&gt;0,SUMIF(куб!$B:$B,$B34,куб!U:U))))))</f>
        <v>615</v>
      </c>
      <c r="AL34" s="16">
        <f t="shared" si="25"/>
        <v>1.5413223140495869</v>
      </c>
      <c r="AM34" s="8"/>
      <c r="AN34" s="17">
        <f t="shared" si="26"/>
        <v>1.4222854773998945E-3</v>
      </c>
      <c r="AO34" s="17">
        <f t="shared" si="27"/>
        <v>2.6169401461234895E-3</v>
      </c>
      <c r="AP34" s="16">
        <f t="shared" si="28"/>
        <v>1.194654668723595E-3</v>
      </c>
      <c r="AQ34" s="8"/>
      <c r="AR34" s="17">
        <f t="shared" si="29"/>
        <v>0.10427975361087279</v>
      </c>
      <c r="AS34" s="17">
        <f t="shared" si="30"/>
        <v>0.14198603272748894</v>
      </c>
      <c r="AT34" s="13">
        <f t="shared" si="31"/>
        <v>3.7706279116616156E-2</v>
      </c>
      <c r="AU34" s="8"/>
    </row>
    <row r="35" spans="1:50" s="20" customFormat="1" ht="15" customHeight="1" x14ac:dyDescent="0.25">
      <c r="A35" s="31" t="s">
        <v>26</v>
      </c>
      <c r="B35" s="31" t="s">
        <v>32</v>
      </c>
      <c r="C35" t="s">
        <v>33</v>
      </c>
      <c r="D35" s="31" t="s">
        <v>34</v>
      </c>
      <c r="E35" t="s">
        <v>35</v>
      </c>
      <c r="F35" s="31" t="s">
        <v>96</v>
      </c>
      <c r="G35" t="s">
        <v>97</v>
      </c>
      <c r="H35" s="27">
        <f>IF($G35&lt;&gt;0,SUMIF(куб!$G:$G,$G35,куб!H:H),IF($E35&lt;&gt;0,SUMIF(куб!$E:$E,$E35,куб!H:H),IF($D35&lt;&gt;0,SUMIF(куб!$D:$D,$D35,куб!H:H),IF($C35&lt;&gt;0,SUMIF(куб!$C:$C,$C35,куб!H:H),IF($B35&lt;&gt;0,SUMIF(куб!$B:$B,$B35,куб!H:H),IF($G35&lt;&gt;0,SUMIF(куб!$A:$A,$G35,куб!H:H),SUMIF(куб!$A:$A,$G35,куб!H:H)))))))</f>
        <v>530227.20889999997</v>
      </c>
      <c r="I35" s="27">
        <f>IF($G35&lt;&gt;0,SUMIF(куб!$G:$G,$G35,куб!I:I),IF($E35&lt;&gt;0,SUMIF(куб!$E:$E,$E35,куб!I:I),IF($D35&lt;&gt;0,SUMIF(куб!$D:$D,$D35,куб!I:I),IF($C35&lt;&gt;0,SUMIF(куб!$C:$C,$C35,куб!I:I),IF($B35&lt;&gt;0,SUMIF(куб!$B:$B,$B35,куб!I:I),IF($G35&lt;&gt;0,SUMIF(куб!$A:$A,$G35,куб!I:I),SUMIF(куб!$A:$A,$G35,куб!I:I)))))))</f>
        <v>856435.12260000012</v>
      </c>
      <c r="J35" s="19">
        <f t="shared" si="33"/>
        <v>0.61522288600908537</v>
      </c>
      <c r="K35" s="10"/>
      <c r="L35" s="17">
        <f t="shared" si="15"/>
        <v>1.1075873914857136E-3</v>
      </c>
      <c r="M35" s="17">
        <f t="shared" si="16"/>
        <v>1.8260695742273174E-3</v>
      </c>
      <c r="N35" s="12">
        <f t="shared" si="17"/>
        <v>7.1848218274160386E-4</v>
      </c>
      <c r="O35" s="5"/>
      <c r="P35" s="27">
        <f>IF($G35&lt;&gt;0,SUMIF(куб!$G:$G,$G35,куб!J:J),IF($E35&lt;&gt;0,SUMIF(куб!$E:$E,$E35,куб!J:J),IF($D35&lt;&gt;0,SUMIF(куб!$D:$D,$D35,куб!J:J),IF($C35&lt;&gt;0,SUMIF(куб!$C:$C,$C35,куб!J:J),IF($B35&lt;&gt;0,SUMIF(куб!$B:$B,$B35,куб!J:J))))))</f>
        <v>7501</v>
      </c>
      <c r="Q35" s="27">
        <f>IF($G35&lt;&gt;0,SUMIF(куб!$G:$G,$G35,куб!K:K),IF($E35&lt;&gt;0,SUMIF(куб!$E:$E,$E35,куб!K:K),IF($D35&lt;&gt;0,SUMIF(куб!$D:$D,$D35,куб!K:K),IF($C35&lt;&gt;0,SUMIF(куб!$C:$C,$C35,куб!K:K),IF($B35&lt;&gt;0,SUMIF(куб!$B:$B,$B35,куб!K:K))))))</f>
        <v>12176</v>
      </c>
      <c r="R35" s="13">
        <f t="shared" si="18"/>
        <v>0.6232502333022264</v>
      </c>
      <c r="S35" s="5"/>
      <c r="T35" s="27">
        <f>IF($G35&lt;&gt;0,SUMIF(куб!$G:$G,$G35,куб!L:L),IF($E35&lt;&gt;0,SUMIF(куб!$E:$E,$E35,куб!L:L),IF($D35&lt;&gt;0,SUMIF(куб!$D:$D,$D35,куб!L:L),IF($C35&lt;&gt;0,SUMIF(куб!$C:$C,$C35,куб!L:L),IF($B35&lt;&gt;0,SUMIF(куб!$B:$B,$B35,куб!L:L))))))</f>
        <v>6750.9</v>
      </c>
      <c r="U35" s="27">
        <f>IF($G35&lt;&gt;0,SUMIF(куб!$G:$G,$G35,куб!M:M),IF($E35&lt;&gt;0,SUMIF(куб!$E:$E,$E35,куб!M:M),IF($D35&lt;&gt;0,SUMIF(куб!$D:$D,$D35,куб!M:M),IF($C35&lt;&gt;0,SUMIF(куб!$C:$C,$C35,куб!M:M),IF($B35&lt;&gt;0,SUMIF(куб!$B:$B,$B35,куб!M:M))))))</f>
        <v>10958.400000000001</v>
      </c>
      <c r="V35" s="13">
        <f t="shared" si="19"/>
        <v>0.62325023330222662</v>
      </c>
      <c r="W35" s="5"/>
      <c r="X35" s="27">
        <f>IF($G35&lt;&gt;0,SUMIF(куб!$G:$G,$G35,куб!N:N),IF($E35&lt;&gt;0,SUMIF(куб!$E:$E,$E35,куб!N:N),IF($D35&lt;&gt;0,SUMIF(куб!$D:$D,$D35,куб!N:N),IF($C35&lt;&gt;0,SUMIF(куб!$C:$C,$C35,куб!N:N),IF($B35&lt;&gt;0,SUMIF(куб!$B:$B,$B35,куб!N:N))))))</f>
        <v>72851.134700000053</v>
      </c>
      <c r="Y35" s="27">
        <f>IF($G35&lt;&gt;0,SUMIF(куб!$G:$G,$G35,куб!O:O),IF($E35&lt;&gt;0,SUMIF(куб!$E:$E,$E35,куб!O:O),IF($D35&lt;&gt;0,SUMIF(куб!$D:$D,$D35,куб!O:O),IF($C35&lt;&gt;0,SUMIF(куб!$C:$C,$C35,куб!O:O),IF($B35&lt;&gt;0,SUMIF(куб!$B:$B,$B35,куб!O:O))))))</f>
        <v>114031.28320000134</v>
      </c>
      <c r="Z35" s="13">
        <f t="shared" si="20"/>
        <v>0.56526433897811701</v>
      </c>
      <c r="AA35" s="5"/>
      <c r="AB35" s="33">
        <f t="shared" si="21"/>
        <v>0.13739606998127413</v>
      </c>
      <c r="AC35" s="33">
        <f t="shared" si="22"/>
        <v>0.13314643478635088</v>
      </c>
      <c r="AD35" s="15">
        <f t="shared" si="23"/>
        <v>-4.2496351949232458E-3</v>
      </c>
      <c r="AE35" s="5"/>
      <c r="AF35" s="27">
        <f>IF($G35&lt;&gt;0,SUMIF(куб!$G:$G,$G35,куб!R:R),IF($E35&lt;&gt;0,SUMIF(куб!$E:$E,$E35,куб!R:R),IF($D35&lt;&gt;0,SUMIF(куб!$D:$D,$D35,куб!R:R),IF($C35&lt;&gt;0,SUMIF(куб!$C:$C,$C35,куб!R:R),IF($B35&lt;&gt;0,SUMIF(куб!$B:$B,$B35,куб!R:R))))))</f>
        <v>11279.951500000003</v>
      </c>
      <c r="AG35" s="27">
        <f>IF($G35&lt;&gt;0,SUMIF(куб!$G:$G,$G35,куб!S:S),IF($E35&lt;&gt;0,SUMIF(куб!$E:$E,$E35,куб!S:S),IF($D35&lt;&gt;0,SUMIF(куб!$D:$D,$D35,куб!S:S),IF($C35&lt;&gt;0,SUMIF(куб!$C:$C,$C35,куб!S:S),IF($B35&lt;&gt;0,SUMIF(куб!$B:$B,$B35,куб!S:S))))))</f>
        <v>43778.409100000004</v>
      </c>
      <c r="AH35" s="16">
        <f t="shared" si="24"/>
        <v>2.8810813237982447</v>
      </c>
      <c r="AI35" s="8"/>
      <c r="AJ35" s="27">
        <f>IF($G35&lt;&gt;0,SUMIF(куб!$G:$G,$G35,куб!T:T),IF($E35&lt;&gt;0,SUMIF(куб!$E:$E,$E35,куб!T:T),IF($D35&lt;&gt;0,SUMIF(куб!$D:$D,$D35,куб!T:T),IF($C35&lt;&gt;0,SUMIF(куб!$C:$C,$C35,куб!T:T),IF($B35&lt;&gt;0,SUMIF(куб!$B:$B,$B35,куб!T:T))))))</f>
        <v>185</v>
      </c>
      <c r="AK35" s="27">
        <f>IF($G35&lt;&gt;0,SUMIF(куб!$G:$G,$G35,куб!U:U),IF($E35&lt;&gt;0,SUMIF(куб!$E:$E,$E35,куб!U:U),IF($D35&lt;&gt;0,SUMIF(куб!$D:$D,$D35,куб!U:U),IF($C35&lt;&gt;0,SUMIF(куб!$C:$C,$C35,куб!U:U),IF($B35&lt;&gt;0,SUMIF(куб!$B:$B,$B35,куб!U:U))))))</f>
        <v>718</v>
      </c>
      <c r="AL35" s="16">
        <f t="shared" si="25"/>
        <v>2.881081081081081</v>
      </c>
      <c r="AM35" s="8"/>
      <c r="AN35" s="17">
        <f t="shared" si="26"/>
        <v>2.1273807361567112E-2</v>
      </c>
      <c r="AO35" s="17">
        <f t="shared" si="27"/>
        <v>5.1117017442133567E-2</v>
      </c>
      <c r="AP35" s="16">
        <f t="shared" si="28"/>
        <v>2.9843210080566455E-2</v>
      </c>
      <c r="AQ35" s="8"/>
      <c r="AR35" s="17">
        <f t="shared" si="29"/>
        <v>0.11612226261970701</v>
      </c>
      <c r="AS35" s="17">
        <f t="shared" si="30"/>
        <v>8.2029417344217329E-2</v>
      </c>
      <c r="AT35" s="13">
        <f t="shared" si="31"/>
        <v>-3.4092845275489683E-2</v>
      </c>
      <c r="AU35" s="8"/>
      <c r="AV35"/>
      <c r="AW35"/>
      <c r="AX35"/>
    </row>
    <row r="36" spans="1:50" s="20" customFormat="1" ht="15" customHeight="1" x14ac:dyDescent="0.25">
      <c r="A36" s="31" t="s">
        <v>26</v>
      </c>
      <c r="B36" s="31" t="s">
        <v>32</v>
      </c>
      <c r="C36" t="s">
        <v>33</v>
      </c>
      <c r="D36" s="31" t="s">
        <v>34</v>
      </c>
      <c r="E36" t="s">
        <v>35</v>
      </c>
      <c r="F36" s="31" t="s">
        <v>98</v>
      </c>
      <c r="G36" t="s">
        <v>99</v>
      </c>
      <c r="H36" s="27">
        <f>IF($G36&lt;&gt;0,SUMIF(куб!$G:$G,$G36,куб!H:H),IF($E36&lt;&gt;0,SUMIF(куб!$E:$E,$E36,куб!H:H),IF($D36&lt;&gt;0,SUMIF(куб!$D:$D,$D36,куб!H:H),IF($C36&lt;&gt;0,SUMIF(куб!$C:$C,$C36,куб!H:H),IF($B36&lt;&gt;0,SUMIF(куб!$B:$B,$B36,куб!H:H),IF($G36&lt;&gt;0,SUMIF(куб!$A:$A,$G36,куб!H:H),SUMIF(куб!$A:$A,$G36,куб!H:H)))))))</f>
        <v>2493545.2854000009</v>
      </c>
      <c r="I36" s="27">
        <f>IF($G36&lt;&gt;0,SUMIF(куб!$G:$G,$G36,куб!I:I),IF($E36&lt;&gt;0,SUMIF(куб!$E:$E,$E36,куб!I:I),IF($D36&lt;&gt;0,SUMIF(куб!$D:$D,$D36,куб!I:I),IF($C36&lt;&gt;0,SUMIF(куб!$C:$C,$C36,куб!I:I),IF($B36&lt;&gt;0,SUMIF(куб!$B:$B,$B36,куб!I:I),IF($G36&lt;&gt;0,SUMIF(куб!$A:$A,$G36,куб!I:I),SUMIF(куб!$A:$A,$G36,куб!I:I)))))))</f>
        <v>4112386.7316000015</v>
      </c>
      <c r="J36" s="19">
        <f t="shared" si="33"/>
        <v>0.64921277174250913</v>
      </c>
      <c r="K36" s="5"/>
      <c r="L36" s="17">
        <f t="shared" si="15"/>
        <v>5.208746876527344E-3</v>
      </c>
      <c r="M36" s="17">
        <f t="shared" si="16"/>
        <v>8.7683282596272196E-3</v>
      </c>
      <c r="N36" s="12">
        <f t="shared" si="17"/>
        <v>3.5595813830998756E-3</v>
      </c>
      <c r="O36" s="5"/>
      <c r="P36" s="27">
        <f>IF($G36&lt;&gt;0,SUMIF(куб!$G:$G,$G36,куб!J:J),IF($E36&lt;&gt;0,SUMIF(куб!$E:$E,$E36,куб!J:J),IF($D36&lt;&gt;0,SUMIF(куб!$D:$D,$D36,куб!J:J),IF($C36&lt;&gt;0,SUMIF(куб!$C:$C,$C36,куб!J:J),IF($B36&lt;&gt;0,SUMIF(куб!$B:$B,$B36,куб!J:J))))))</f>
        <v>18990</v>
      </c>
      <c r="Q36" s="27">
        <f>IF($G36&lt;&gt;0,SUMIF(куб!$G:$G,$G36,куб!K:K),IF($E36&lt;&gt;0,SUMIF(куб!$E:$E,$E36,куб!K:K),IF($D36&lt;&gt;0,SUMIF(куб!$D:$D,$D36,куб!K:K),IF($C36&lt;&gt;0,SUMIF(куб!$C:$C,$C36,куб!K:K),IF($B36&lt;&gt;0,SUMIF(куб!$B:$B,$B36,куб!K:K))))))</f>
        <v>33067</v>
      </c>
      <c r="R36" s="13">
        <f t="shared" si="18"/>
        <v>0.74128488678251714</v>
      </c>
      <c r="S36" s="5"/>
      <c r="T36" s="27">
        <f>IF($G36&lt;&gt;0,SUMIF(куб!$G:$G,$G36,куб!L:L),IF($E36&lt;&gt;0,SUMIF(куб!$E:$E,$E36,куб!L:L),IF($D36&lt;&gt;0,SUMIF(куб!$D:$D,$D36,куб!L:L),IF($C36&lt;&gt;0,SUMIF(куб!$C:$C,$C36,куб!L:L),IF($B36&lt;&gt;0,SUMIF(куб!$B:$B,$B36,куб!L:L))))))</f>
        <v>26585.999999999996</v>
      </c>
      <c r="U36" s="27">
        <f>IF($G36&lt;&gt;0,SUMIF(куб!$G:$G,$G36,куб!M:M),IF($E36&lt;&gt;0,SUMIF(куб!$E:$E,$E36,куб!M:M),IF($D36&lt;&gt;0,SUMIF(куб!$D:$D,$D36,куб!M:M),IF($C36&lt;&gt;0,SUMIF(куб!$C:$C,$C36,куб!M:M),IF($B36&lt;&gt;0,SUMIF(куб!$B:$B,$B36,куб!M:M))))))</f>
        <v>46293.799999999981</v>
      </c>
      <c r="V36" s="13">
        <f t="shared" si="19"/>
        <v>0.74128488678251669</v>
      </c>
      <c r="W36" s="5"/>
      <c r="X36" s="27">
        <f>IF($G36&lt;&gt;0,SUMIF(куб!$G:$G,$G36,куб!N:N),IF($E36&lt;&gt;0,SUMIF(куб!$E:$E,$E36,куб!N:N),IF($D36&lt;&gt;0,SUMIF(куб!$D:$D,$D36,куб!N:N),IF($C36&lt;&gt;0,SUMIF(куб!$C:$C,$C36,куб!N:N),IF($B36&lt;&gt;0,SUMIF(куб!$B:$B,$B36,куб!N:N))))))</f>
        <v>301569.98529999889</v>
      </c>
      <c r="Y36" s="27">
        <f>IF($G36&lt;&gt;0,SUMIF(куб!$G:$G,$G36,куб!O:O),IF($E36&lt;&gt;0,SUMIF(куб!$E:$E,$E36,куб!O:O),IF($D36&lt;&gt;0,SUMIF(куб!$D:$D,$D36,куб!O:O),IF($C36&lt;&gt;0,SUMIF(куб!$C:$C,$C36,куб!O:O),IF($B36&lt;&gt;0,SUMIF(куб!$B:$B,$B36,куб!O:O))))))</f>
        <v>409244.49600000214</v>
      </c>
      <c r="Z36" s="13">
        <f t="shared" si="20"/>
        <v>0.35704650976087587</v>
      </c>
      <c r="AA36" s="5"/>
      <c r="AB36" s="33">
        <f t="shared" si="21"/>
        <v>0.12094024803388428</v>
      </c>
      <c r="AC36" s="33">
        <f t="shared" si="22"/>
        <v>9.9515080343812373E-2</v>
      </c>
      <c r="AD36" s="15">
        <f t="shared" si="23"/>
        <v>-2.1425167690071911E-2</v>
      </c>
      <c r="AE36" s="5"/>
      <c r="AF36" s="27">
        <f>IF($G36&lt;&gt;0,SUMIF(куб!$G:$G,$G36,куб!R:R),IF($E36&lt;&gt;0,SUMIF(куб!$E:$E,$E36,куб!R:R),IF($D36&lt;&gt;0,SUMIF(куб!$D:$D,$D36,куб!R:R),IF($C36&lt;&gt;0,SUMIF(куб!$C:$C,$C36,куб!R:R),IF($B36&lt;&gt;0,SUMIF(куб!$B:$B,$B36,куб!R:R))))))</f>
        <v>39272.739399999984</v>
      </c>
      <c r="AG36" s="27">
        <f>IF($G36&lt;&gt;0,SUMIF(куб!$G:$G,$G36,куб!S:S),IF($E36&lt;&gt;0,SUMIF(куб!$E:$E,$E36,куб!S:S),IF($D36&lt;&gt;0,SUMIF(куб!$D:$D,$D36,куб!S:S),IF($C36&lt;&gt;0,SUMIF(куб!$C:$C,$C36,куб!S:S),IF($B36&lt;&gt;0,SUMIF(куб!$B:$B,$B36,куб!S:S))))))</f>
        <v>48230.547200000001</v>
      </c>
      <c r="AH36" s="16">
        <f t="shared" si="24"/>
        <v>0.22809225780669684</v>
      </c>
      <c r="AI36" s="8"/>
      <c r="AJ36" s="27">
        <f>IF($G36&lt;&gt;0,SUMIF(куб!$G:$G,$G36,куб!T:T),IF($E36&lt;&gt;0,SUMIF(куб!$E:$E,$E36,куб!T:T),IF($D36&lt;&gt;0,SUMIF(куб!$D:$D,$D36,куб!T:T),IF($C36&lt;&gt;0,SUMIF(куб!$C:$C,$C36,куб!T:T),IF($B36&lt;&gt;0,SUMIF(куб!$B:$B,$B36,куб!T:T))))))</f>
        <v>340</v>
      </c>
      <c r="AK36" s="27">
        <f>IF($G36&lt;&gt;0,SUMIF(куб!$G:$G,$G36,куб!U:U),IF($E36&lt;&gt;0,SUMIF(куб!$E:$E,$E36,куб!U:U),IF($D36&lt;&gt;0,SUMIF(куб!$D:$D,$D36,куб!U:U),IF($C36&lt;&gt;0,SUMIF(куб!$C:$C,$C36,куб!U:U),IF($B36&lt;&gt;0,SUMIF(куб!$B:$B,$B36,куб!U:U))))))</f>
        <v>436</v>
      </c>
      <c r="AL36" s="16">
        <f t="shared" si="25"/>
        <v>0.28235294117647058</v>
      </c>
      <c r="AM36" s="8"/>
      <c r="AN36" s="17">
        <f t="shared" si="26"/>
        <v>1.5749759841919241E-2</v>
      </c>
      <c r="AO36" s="17">
        <f t="shared" si="27"/>
        <v>1.1728115653469925E-2</v>
      </c>
      <c r="AP36" s="16">
        <f t="shared" si="28"/>
        <v>-4.0216441884493165E-3</v>
      </c>
      <c r="AQ36" s="8"/>
      <c r="AR36" s="17">
        <f t="shared" si="29"/>
        <v>0.10519048819196505</v>
      </c>
      <c r="AS36" s="17">
        <f t="shared" si="30"/>
        <v>8.7786964690342445E-2</v>
      </c>
      <c r="AT36" s="13">
        <f t="shared" si="31"/>
        <v>-1.7403523501622609E-2</v>
      </c>
      <c r="AU36" s="8"/>
      <c r="AV36"/>
      <c r="AW36"/>
      <c r="AX36"/>
    </row>
    <row r="37" spans="1:50" ht="15" customHeight="1" x14ac:dyDescent="0.25">
      <c r="A37" s="31" t="s">
        <v>26</v>
      </c>
      <c r="B37" s="31" t="s">
        <v>32</v>
      </c>
      <c r="C37" t="s">
        <v>33</v>
      </c>
      <c r="D37" s="31" t="s">
        <v>34</v>
      </c>
      <c r="E37" t="s">
        <v>35</v>
      </c>
      <c r="F37" s="31" t="s">
        <v>100</v>
      </c>
      <c r="G37" t="s">
        <v>101</v>
      </c>
      <c r="H37" s="27">
        <f>IF($G37&lt;&gt;0,SUMIF(куб!$G:$G,$G37,куб!H:H),IF($E37&lt;&gt;0,SUMIF(куб!$E:$E,$E37,куб!H:H),IF($D37&lt;&gt;0,SUMIF(куб!$D:$D,$D37,куб!H:H),IF($C37&lt;&gt;0,SUMIF(куб!$C:$C,$C37,куб!H:H),IF($B37&lt;&gt;0,SUMIF(куб!$B:$B,$B37,куб!H:H),IF($G37&lt;&gt;0,SUMIF(куб!$A:$A,$G37,куб!H:H),SUMIF(куб!$A:$A,$G37,куб!H:H)))))))</f>
        <v>0</v>
      </c>
      <c r="I37" s="27">
        <f>IF($G37&lt;&gt;0,SUMIF(куб!$G:$G,$G37,куб!I:I),IF($E37&lt;&gt;0,SUMIF(куб!$E:$E,$E37,куб!I:I),IF($D37&lt;&gt;0,SUMIF(куб!$D:$D,$D37,куб!I:I),IF($C37&lt;&gt;0,SUMIF(куб!$C:$C,$C37,куб!I:I),IF($B37&lt;&gt;0,SUMIF(куб!$B:$B,$B37,куб!I:I),IF($G37&lt;&gt;0,SUMIF(куб!$A:$A,$G37,куб!I:I),SUMIF(куб!$A:$A,$G37,куб!I:I)))))))</f>
        <v>479736.97269999998</v>
      </c>
      <c r="J37" s="19" t="str">
        <f t="shared" si="33"/>
        <v>-</v>
      </c>
      <c r="K37" s="5"/>
      <c r="L37" s="17">
        <f t="shared" si="15"/>
        <v>0</v>
      </c>
      <c r="M37" s="17">
        <f t="shared" si="16"/>
        <v>1.0228831891199123E-3</v>
      </c>
      <c r="N37" s="12">
        <f t="shared" si="17"/>
        <v>1.0228831891199123E-3</v>
      </c>
      <c r="O37" s="5"/>
      <c r="P37" s="27">
        <f>IF($G37&lt;&gt;0,SUMIF(куб!$G:$G,$G37,куб!J:J),IF($E37&lt;&gt;0,SUMIF(куб!$E:$E,$E37,куб!J:J),IF($D37&lt;&gt;0,SUMIF(куб!$D:$D,$D37,куб!J:J),IF($C37&lt;&gt;0,SUMIF(куб!$C:$C,$C37,куб!J:J),IF($B37&lt;&gt;0,SUMIF(куб!$B:$B,$B37,куб!J:J))))))</f>
        <v>0</v>
      </c>
      <c r="Q37" s="27">
        <f>IF($G37&lt;&gt;0,SUMIF(куб!$G:$G,$G37,куб!K:K),IF($E37&lt;&gt;0,SUMIF(куб!$E:$E,$E37,куб!K:K),IF($D37&lt;&gt;0,SUMIF(куб!$D:$D,$D37,куб!K:K),IF($C37&lt;&gt;0,SUMIF(куб!$C:$C,$C37,куб!K:K),IF($B37&lt;&gt;0,SUMIF(куб!$B:$B,$B37,куб!K:K))))))</f>
        <v>5881</v>
      </c>
      <c r="R37" s="13" t="str">
        <f t="shared" si="18"/>
        <v>-</v>
      </c>
      <c r="S37" s="5"/>
      <c r="T37" s="27">
        <f>IF($G37&lt;&gt;0,SUMIF(куб!$G:$G,$G37,куб!L:L),IF($E37&lt;&gt;0,SUMIF(куб!$E:$E,$E37,куб!L:L),IF($D37&lt;&gt;0,SUMIF(куб!$D:$D,$D37,куб!L:L),IF($C37&lt;&gt;0,SUMIF(куб!$C:$C,$C37,куб!L:L),IF($B37&lt;&gt;0,SUMIF(куб!$B:$B,$B37,куб!L:L))))))</f>
        <v>0</v>
      </c>
      <c r="U37" s="27">
        <f>IF($G37&lt;&gt;0,SUMIF(куб!$G:$G,$G37,куб!M:M),IF($E37&lt;&gt;0,SUMIF(куб!$E:$E,$E37,куб!M:M),IF($D37&lt;&gt;0,SUMIF(куб!$D:$D,$D37,куб!M:M),IF($C37&lt;&gt;0,SUMIF(куб!$C:$C,$C37,куб!M:M),IF($B37&lt;&gt;0,SUMIF(куб!$B:$B,$B37,куб!M:M))))))</f>
        <v>5292.9</v>
      </c>
      <c r="V37" s="13" t="str">
        <f t="shared" si="19"/>
        <v>-</v>
      </c>
      <c r="W37" s="5"/>
      <c r="X37" s="27">
        <f>IF($G37&lt;&gt;0,SUMIF(куб!$G:$G,$G37,куб!N:N),IF($E37&lt;&gt;0,SUMIF(куб!$E:$E,$E37,куб!N:N),IF($D37&lt;&gt;0,SUMIF(куб!$D:$D,$D37,куб!N:N),IF($C37&lt;&gt;0,SUMIF(куб!$C:$C,$C37,куб!N:N),IF($B37&lt;&gt;0,SUMIF(куб!$B:$B,$B37,куб!N:N))))))</f>
        <v>0</v>
      </c>
      <c r="Y37" s="27">
        <f>IF($G37&lt;&gt;0,SUMIF(куб!$G:$G,$G37,куб!O:O),IF($E37&lt;&gt;0,SUMIF(куб!$E:$E,$E37,куб!O:O),IF($D37&lt;&gt;0,SUMIF(куб!$D:$D,$D37,куб!O:O),IF($C37&lt;&gt;0,SUMIF(куб!$C:$C,$C37,куб!O:O),IF($B37&lt;&gt;0,SUMIF(куб!$B:$B,$B37,куб!O:O))))))</f>
        <v>75107.804399999848</v>
      </c>
      <c r="Z37" s="13" t="str">
        <f t="shared" si="20"/>
        <v>-</v>
      </c>
      <c r="AA37" s="5"/>
      <c r="AB37" s="33" t="str">
        <f t="shared" si="21"/>
        <v/>
      </c>
      <c r="AC37" s="33">
        <f t="shared" si="22"/>
        <v>0.15656038344780226</v>
      </c>
      <c r="AD37" s="15" t="str">
        <f t="shared" si="23"/>
        <v xml:space="preserve"> </v>
      </c>
      <c r="AE37" s="5"/>
      <c r="AF37" s="27">
        <f>IF($G37&lt;&gt;0,SUMIF(куб!$G:$G,$G37,куб!R:R),IF($E37&lt;&gt;0,SUMIF(куб!$E:$E,$E37,куб!R:R),IF($D37&lt;&gt;0,SUMIF(куб!$D:$D,$D37,куб!R:R),IF($C37&lt;&gt;0,SUMIF(куб!$C:$C,$C37,куб!R:R),IF($B37&lt;&gt;0,SUMIF(куб!$B:$B,$B37,куб!R:R))))))</f>
        <v>0</v>
      </c>
      <c r="AG37" s="27">
        <f>IF($G37&lt;&gt;0,SUMIF(куб!$G:$G,$G37,куб!S:S),IF($E37&lt;&gt;0,SUMIF(куб!$E:$E,$E37,куб!S:S),IF($D37&lt;&gt;0,SUMIF(куб!$D:$D,$D37,куб!S:S),IF($C37&lt;&gt;0,SUMIF(куб!$C:$C,$C37,куб!S:S),IF($B37&lt;&gt;0,SUMIF(куб!$B:$B,$B37,куб!S:S))))))</f>
        <v>20411.9938</v>
      </c>
      <c r="AH37" s="16" t="str">
        <f t="shared" si="24"/>
        <v>-</v>
      </c>
      <c r="AI37" s="8"/>
      <c r="AJ37" s="27">
        <f>IF($G37&lt;&gt;0,SUMIF(куб!$G:$G,$G37,куб!T:T),IF($E37&lt;&gt;0,SUMIF(куб!$E:$E,$E37,куб!T:T),IF($D37&lt;&gt;0,SUMIF(куб!$D:$D,$D37,куб!T:T),IF($C37&lt;&gt;0,SUMIF(куб!$C:$C,$C37,куб!T:T),IF($B37&lt;&gt;0,SUMIF(куб!$B:$B,$B37,куб!T:T))))))</f>
        <v>0</v>
      </c>
      <c r="AK37" s="27">
        <f>IF($G37&lt;&gt;0,SUMIF(куб!$G:$G,$G37,куб!U:U),IF($E37&lt;&gt;0,SUMIF(куб!$E:$E,$E37,куб!U:U),IF($D37&lt;&gt;0,SUMIF(куб!$D:$D,$D37,куб!U:U),IF($C37&lt;&gt;0,SUMIF(куб!$C:$C,$C37,куб!U:U),IF($B37&lt;&gt;0,SUMIF(куб!$B:$B,$B37,куб!U:U))))))</f>
        <v>297</v>
      </c>
      <c r="AL37" s="16" t="str">
        <f t="shared" si="25"/>
        <v>-</v>
      </c>
      <c r="AM37" s="8"/>
      <c r="AN37" s="17" t="str">
        <f t="shared" si="26"/>
        <v xml:space="preserve"> </v>
      </c>
      <c r="AO37" s="17">
        <f t="shared" si="27"/>
        <v>4.2548302427306332E-2</v>
      </c>
      <c r="AP37" s="16" t="str">
        <f t="shared" si="28"/>
        <v>-</v>
      </c>
      <c r="AQ37" s="8"/>
      <c r="AR37" s="17" t="str">
        <f t="shared" si="29"/>
        <v>-</v>
      </c>
      <c r="AS37" s="17">
        <f t="shared" si="30"/>
        <v>0.11401208102049595</v>
      </c>
      <c r="AT37" s="13" t="str">
        <f t="shared" si="31"/>
        <v>-</v>
      </c>
      <c r="AU37" s="8"/>
    </row>
    <row r="38" spans="1:50" s="20" customFormat="1" ht="15" customHeight="1" x14ac:dyDescent="0.25">
      <c r="A38" s="31" t="s">
        <v>26</v>
      </c>
      <c r="B38" s="31" t="s">
        <v>32</v>
      </c>
      <c r="C38" t="s">
        <v>33</v>
      </c>
      <c r="D38" s="31" t="s">
        <v>34</v>
      </c>
      <c r="E38" t="s">
        <v>35</v>
      </c>
      <c r="F38" s="31" t="s">
        <v>102</v>
      </c>
      <c r="G38" t="s">
        <v>103</v>
      </c>
      <c r="H38" s="27">
        <f>IF($G38&lt;&gt;0,SUMIF(куб!$G:$G,$G38,куб!H:H),IF($E38&lt;&gt;0,SUMIF(куб!$E:$E,$E38,куб!H:H),IF($D38&lt;&gt;0,SUMIF(куб!$D:$D,$D38,куб!H:H),IF($C38&lt;&gt;0,SUMIF(куб!$C:$C,$C38,куб!H:H),IF($B38&lt;&gt;0,SUMIF(куб!$B:$B,$B38,куб!H:H),IF($G38&lt;&gt;0,SUMIF(куб!$A:$A,$G38,куб!H:H),SUMIF(куб!$A:$A,$G38,куб!H:H)))))))</f>
        <v>285662.45589999994</v>
      </c>
      <c r="I38" s="27">
        <f>IF($G38&lt;&gt;0,SUMIF(куб!$G:$G,$G38,куб!I:I),IF($E38&lt;&gt;0,SUMIF(куб!$E:$E,$E38,куб!I:I),IF($D38&lt;&gt;0,SUMIF(куб!$D:$D,$D38,куб!I:I),IF($C38&lt;&gt;0,SUMIF(куб!$C:$C,$C38,куб!I:I),IF($B38&lt;&gt;0,SUMIF(куб!$B:$B,$B38,куб!I:I),IF($G38&lt;&gt;0,SUMIF(куб!$A:$A,$G38,куб!I:I),SUMIF(куб!$A:$A,$G38,куб!I:I)))))))</f>
        <v>196775.01989999998</v>
      </c>
      <c r="J38" s="19">
        <f t="shared" si="33"/>
        <v>-0.31116247222601845</v>
      </c>
      <c r="K38" s="8"/>
      <c r="L38" s="17">
        <f t="shared" si="15"/>
        <v>5.9671802779052681E-4</v>
      </c>
      <c r="M38" s="17">
        <f t="shared" si="16"/>
        <v>4.1955878189174677E-4</v>
      </c>
      <c r="N38" s="12">
        <f t="shared" si="17"/>
        <v>-1.7715924589878005E-4</v>
      </c>
      <c r="O38" s="5"/>
      <c r="P38" s="27">
        <f>IF($G38&lt;&gt;0,SUMIF(куб!$G:$G,$G38,куб!J:J),IF($E38&lt;&gt;0,SUMIF(куб!$E:$E,$E38,куб!J:J),IF($D38&lt;&gt;0,SUMIF(куб!$D:$D,$D38,куб!J:J),IF($C38&lt;&gt;0,SUMIF(куб!$C:$C,$C38,куб!J:J),IF($B38&lt;&gt;0,SUMIF(куб!$B:$B,$B38,куб!J:J))))))</f>
        <v>3734</v>
      </c>
      <c r="Q38" s="27">
        <f>IF($G38&lt;&gt;0,SUMIF(куб!$G:$G,$G38,куб!K:K),IF($E38&lt;&gt;0,SUMIF(куб!$E:$E,$E38,куб!K:K),IF($D38&lt;&gt;0,SUMIF(куб!$D:$D,$D38,куб!K:K),IF($C38&lt;&gt;0,SUMIF(куб!$C:$C,$C38,куб!K:K),IF($B38&lt;&gt;0,SUMIF(куб!$B:$B,$B38,куб!K:K))))))</f>
        <v>2699</v>
      </c>
      <c r="R38" s="13">
        <f t="shared" si="18"/>
        <v>-0.27718264595607928</v>
      </c>
      <c r="S38" s="5"/>
      <c r="T38" s="27">
        <f>IF($G38&lt;&gt;0,SUMIF(куб!$G:$G,$G38,куб!L:L),IF($E38&lt;&gt;0,SUMIF(куб!$E:$E,$E38,куб!L:L),IF($D38&lt;&gt;0,SUMIF(куб!$D:$D,$D38,куб!L:L),IF($C38&lt;&gt;0,SUMIF(куб!$C:$C,$C38,куб!L:L),IF($B38&lt;&gt;0,SUMIF(куб!$B:$B,$B38,куб!L:L))))))</f>
        <v>3360.5999999999995</v>
      </c>
      <c r="U38" s="27">
        <f>IF($G38&lt;&gt;0,SUMIF(куб!$G:$G,$G38,куб!M:M),IF($E38&lt;&gt;0,SUMIF(куб!$E:$E,$E38,куб!M:M),IF($D38&lt;&gt;0,SUMIF(куб!$D:$D,$D38,куб!M:M),IF($C38&lt;&gt;0,SUMIF(куб!$C:$C,$C38,куб!M:M),IF($B38&lt;&gt;0,SUMIF(куб!$B:$B,$B38,куб!M:M))))))</f>
        <v>2429.099999999999</v>
      </c>
      <c r="V38" s="13">
        <f t="shared" si="19"/>
        <v>-0.27718264595607944</v>
      </c>
      <c r="W38" s="5"/>
      <c r="X38" s="27">
        <f>IF($G38&lt;&gt;0,SUMIF(куб!$G:$G,$G38,куб!N:N),IF($E38&lt;&gt;0,SUMIF(куб!$E:$E,$E38,куб!N:N),IF($D38&lt;&gt;0,SUMIF(куб!$D:$D,$D38,куб!N:N),IF($C38&lt;&gt;0,SUMIF(куб!$C:$C,$C38,куб!N:N),IF($B38&lt;&gt;0,SUMIF(куб!$B:$B,$B38,куб!N:N))))))</f>
        <v>33591.603299999842</v>
      </c>
      <c r="Y38" s="27">
        <f>IF($G38&lt;&gt;0,SUMIF(куб!$G:$G,$G38,куб!O:O),IF($E38&lt;&gt;0,SUMIF(куб!$E:$E,$E38,куб!O:O),IF($D38&lt;&gt;0,SUMIF(куб!$D:$D,$D38,куб!O:O),IF($C38&lt;&gt;0,SUMIF(куб!$C:$C,$C38,куб!O:O),IF($B38&lt;&gt;0,SUMIF(куб!$B:$B,$B38,куб!O:O))))))</f>
        <v>24286.720800000039</v>
      </c>
      <c r="Z38" s="13">
        <f t="shared" si="20"/>
        <v>-0.27700024964273873</v>
      </c>
      <c r="AA38" s="5"/>
      <c r="AB38" s="33">
        <f t="shared" si="21"/>
        <v>0.11759194324002817</v>
      </c>
      <c r="AC38" s="33">
        <f t="shared" si="22"/>
        <v>0.1234238005024338</v>
      </c>
      <c r="AD38" s="15">
        <f t="shared" si="23"/>
        <v>5.8318572624056347E-3</v>
      </c>
      <c r="AE38" s="5"/>
      <c r="AF38" s="27">
        <f>IF($G38&lt;&gt;0,SUMIF(куб!$G:$G,$G38,куб!R:R),IF($E38&lt;&gt;0,SUMIF(куб!$E:$E,$E38,куб!R:R),IF($D38&lt;&gt;0,SUMIF(куб!$D:$D,$D38,куб!R:R),IF($C38&lt;&gt;0,SUMIF(куб!$C:$C,$C38,куб!R:R),IF($B38&lt;&gt;0,SUMIF(куб!$B:$B,$B38,куб!R:R))))))</f>
        <v>53129.878100000002</v>
      </c>
      <c r="AG38" s="27">
        <f>IF($G38&lt;&gt;0,SUMIF(куб!$G:$G,$G38,куб!S:S),IF($E38&lt;&gt;0,SUMIF(куб!$E:$E,$E38,куб!S:S),IF($D38&lt;&gt;0,SUMIF(куб!$D:$D,$D38,куб!S:S),IF($C38&lt;&gt;0,SUMIF(куб!$C:$C,$C38,куб!S:S),IF($B38&lt;&gt;0,SUMIF(куб!$B:$B,$B38,куб!S:S))))))</f>
        <v>40261.699199999974</v>
      </c>
      <c r="AH38" s="16">
        <f t="shared" si="24"/>
        <v>-0.24220230424357078</v>
      </c>
      <c r="AI38" s="8"/>
      <c r="AJ38" s="27">
        <f>IF($G38&lt;&gt;0,SUMIF(куб!$G:$G,$G38,куб!T:T),IF($E38&lt;&gt;0,SUMIF(куб!$E:$E,$E38,куб!T:T),IF($D38&lt;&gt;0,SUMIF(куб!$D:$D,$D38,куб!T:T),IF($C38&lt;&gt;0,SUMIF(куб!$C:$C,$C38,куб!T:T),IF($B38&lt;&gt;0,SUMIF(куб!$B:$B,$B38,куб!T:T))))))</f>
        <v>777</v>
      </c>
      <c r="AK38" s="27">
        <f>IF($G38&lt;&gt;0,SUMIF(куб!$G:$G,$G38,куб!U:U),IF($E38&lt;&gt;0,SUMIF(куб!$E:$E,$E38,куб!U:U),IF($D38&lt;&gt;0,SUMIF(куб!$D:$D,$D38,куб!U:U),IF($C38&lt;&gt;0,SUMIF(куб!$C:$C,$C38,куб!U:U),IF($B38&lt;&gt;0,SUMIF(куб!$B:$B,$B38,куб!U:U))))))</f>
        <v>630</v>
      </c>
      <c r="AL38" s="16">
        <f t="shared" si="25"/>
        <v>-0.1891891891891892</v>
      </c>
      <c r="AM38" s="8"/>
      <c r="AN38" s="17">
        <f t="shared" si="26"/>
        <v>0.18598831243892563</v>
      </c>
      <c r="AO38" s="17">
        <f t="shared" si="27"/>
        <v>0.20460777603001007</v>
      </c>
      <c r="AP38" s="16">
        <f t="shared" si="28"/>
        <v>1.8619463591084434E-2</v>
      </c>
      <c r="AQ38" s="8"/>
      <c r="AR38" s="17">
        <f t="shared" si="29"/>
        <v>-6.8396369198897453E-2</v>
      </c>
      <c r="AS38" s="17">
        <f t="shared" si="30"/>
        <v>-8.118397552757628E-2</v>
      </c>
      <c r="AT38" s="13">
        <f t="shared" si="31"/>
        <v>-1.2787606328678827E-2</v>
      </c>
      <c r="AU38" s="8"/>
      <c r="AV38"/>
      <c r="AW38"/>
      <c r="AX38"/>
    </row>
    <row r="39" spans="1:50" ht="15" customHeight="1" x14ac:dyDescent="0.25">
      <c r="A39" s="31" t="s">
        <v>26</v>
      </c>
      <c r="B39" s="31" t="s">
        <v>32</v>
      </c>
      <c r="C39" t="s">
        <v>33</v>
      </c>
      <c r="D39" s="31" t="s">
        <v>34</v>
      </c>
      <c r="E39" t="s">
        <v>35</v>
      </c>
      <c r="F39" s="31" t="s">
        <v>104</v>
      </c>
      <c r="G39" t="s">
        <v>105</v>
      </c>
      <c r="H39" s="27">
        <f>IF($G39&lt;&gt;0,SUMIF(куб!$G:$G,$G39,куб!H:H),IF($E39&lt;&gt;0,SUMIF(куб!$E:$E,$E39,куб!H:H),IF($D39&lt;&gt;0,SUMIF(куб!$D:$D,$D39,куб!H:H),IF($C39&lt;&gt;0,SUMIF(куб!$C:$C,$C39,куб!H:H),IF($B39&lt;&gt;0,SUMIF(куб!$B:$B,$B39,куб!H:H),IF($G39&lt;&gt;0,SUMIF(куб!$A:$A,$G39,куб!H:H),SUMIF(куб!$A:$A,$G39,куб!H:H)))))))</f>
        <v>219481.05249999999</v>
      </c>
      <c r="I39" s="27">
        <f>IF($G39&lt;&gt;0,SUMIF(куб!$G:$G,$G39,куб!I:I),IF($E39&lt;&gt;0,SUMIF(куб!$E:$E,$E39,куб!I:I),IF($D39&lt;&gt;0,SUMIF(куб!$D:$D,$D39,куб!I:I),IF($C39&lt;&gt;0,SUMIF(куб!$C:$C,$C39,куб!I:I),IF($B39&lt;&gt;0,SUMIF(куб!$B:$B,$B39,куб!I:I),IF($G39&lt;&gt;0,SUMIF(куб!$A:$A,$G39,куб!I:I),SUMIF(куб!$A:$A,$G39,куб!I:I)))))))</f>
        <v>253043.06419999999</v>
      </c>
      <c r="J39" s="19">
        <f t="shared" si="33"/>
        <v>0.15291530324696254</v>
      </c>
      <c r="K39" s="10"/>
      <c r="L39" s="17">
        <f t="shared" si="15"/>
        <v>4.5847222160351486E-4</v>
      </c>
      <c r="M39" s="17">
        <f t="shared" si="16"/>
        <v>5.3953210034414067E-4</v>
      </c>
      <c r="N39" s="12">
        <f t="shared" si="17"/>
        <v>8.1059878740625808E-5</v>
      </c>
      <c r="O39" s="5"/>
      <c r="P39" s="27">
        <f>IF($G39&lt;&gt;0,SUMIF(куб!$G:$G,$G39,куб!J:J),IF($E39&lt;&gt;0,SUMIF(куб!$E:$E,$E39,куб!J:J),IF($D39&lt;&gt;0,SUMIF(куб!$D:$D,$D39,куб!J:J),IF($C39&lt;&gt;0,SUMIF(куб!$C:$C,$C39,куб!J:J),IF($B39&lt;&gt;0,SUMIF(куб!$B:$B,$B39,куб!J:J))))))</f>
        <v>2776</v>
      </c>
      <c r="Q39" s="27">
        <f>IF($G39&lt;&gt;0,SUMIF(куб!$G:$G,$G39,куб!K:K),IF($E39&lt;&gt;0,SUMIF(куб!$E:$E,$E39,куб!K:K),IF($D39&lt;&gt;0,SUMIF(куб!$D:$D,$D39,куб!K:K),IF($C39&lt;&gt;0,SUMIF(куб!$C:$C,$C39,куб!K:K),IF($B39&lt;&gt;0,SUMIF(куб!$B:$B,$B39,куб!K:K))))))</f>
        <v>3244</v>
      </c>
      <c r="R39" s="13">
        <f t="shared" si="18"/>
        <v>0.16858789625360229</v>
      </c>
      <c r="S39" s="5"/>
      <c r="T39" s="27">
        <f>IF($G39&lt;&gt;0,SUMIF(куб!$G:$G,$G39,куб!L:L),IF($E39&lt;&gt;0,SUMIF(куб!$E:$E,$E39,куб!L:L),IF($D39&lt;&gt;0,SUMIF(куб!$D:$D,$D39,куб!L:L),IF($C39&lt;&gt;0,SUMIF(куб!$C:$C,$C39,куб!L:L),IF($B39&lt;&gt;0,SUMIF(куб!$B:$B,$B39,куб!L:L))))))</f>
        <v>2498.4000000000005</v>
      </c>
      <c r="U39" s="27">
        <f>IF($G39&lt;&gt;0,SUMIF(куб!$G:$G,$G39,куб!M:M),IF($E39&lt;&gt;0,SUMIF(куб!$E:$E,$E39,куб!M:M),IF($D39&lt;&gt;0,SUMIF(куб!$D:$D,$D39,куб!M:M),IF($C39&lt;&gt;0,SUMIF(куб!$C:$C,$C39,куб!M:M),IF($B39&lt;&gt;0,SUMIF(куб!$B:$B,$B39,куб!M:M))))))</f>
        <v>2919.6000000000004</v>
      </c>
      <c r="V39" s="13">
        <f t="shared" si="19"/>
        <v>0.16858789625360221</v>
      </c>
      <c r="W39" s="5"/>
      <c r="X39" s="27">
        <f>IF($G39&lt;&gt;0,SUMIF(куб!$G:$G,$G39,куб!N:N),IF($E39&lt;&gt;0,SUMIF(куб!$E:$E,$E39,куб!N:N),IF($D39&lt;&gt;0,SUMIF(куб!$D:$D,$D39,куб!N:N),IF($C39&lt;&gt;0,SUMIF(куб!$C:$C,$C39,куб!N:N),IF($B39&lt;&gt;0,SUMIF(куб!$B:$B,$B39,куб!N:N))))))</f>
        <v>28874.247800000041</v>
      </c>
      <c r="Y39" s="27">
        <f>IF($G39&lt;&gt;0,SUMIF(куб!$G:$G,$G39,куб!O:O),IF($E39&lt;&gt;0,SUMIF(куб!$E:$E,$E39,куб!O:O),IF($D39&lt;&gt;0,SUMIF(куб!$D:$D,$D39,куб!O:O),IF($C39&lt;&gt;0,SUMIF(куб!$C:$C,$C39,куб!O:O),IF($B39&lt;&gt;0,SUMIF(куб!$B:$B,$B39,куб!O:O))))))</f>
        <v>19980.594100000017</v>
      </c>
      <c r="Z39" s="13">
        <f t="shared" si="20"/>
        <v>-0.30801334675807596</v>
      </c>
      <c r="AA39" s="5"/>
      <c r="AB39" s="33">
        <f t="shared" si="21"/>
        <v>0.13155690421158356</v>
      </c>
      <c r="AC39" s="33">
        <f t="shared" si="22"/>
        <v>7.8961239910562295E-2</v>
      </c>
      <c r="AD39" s="15">
        <f t="shared" si="23"/>
        <v>-5.2595664301021264E-2</v>
      </c>
      <c r="AE39" s="5"/>
      <c r="AF39" s="27">
        <f>IF($G39&lt;&gt;0,SUMIF(куб!$G:$G,$G39,куб!R:R),IF($E39&lt;&gt;0,SUMIF(куб!$E:$E,$E39,куб!R:R),IF($D39&lt;&gt;0,SUMIF(куб!$D:$D,$D39,куб!R:R),IF($C39&lt;&gt;0,SUMIF(куб!$C:$C,$C39,куб!R:R),IF($B39&lt;&gt;0,SUMIF(куб!$B:$B,$B39,куб!R:R))))))</f>
        <v>473.29989999999998</v>
      </c>
      <c r="AG39" s="27">
        <f>IF($G39&lt;&gt;0,SUMIF(куб!$G:$G,$G39,куб!S:S),IF($E39&lt;&gt;0,SUMIF(куб!$E:$E,$E39,куб!S:S),IF($D39&lt;&gt;0,SUMIF(куб!$D:$D,$D39,куб!S:S),IF($C39&lt;&gt;0,SUMIF(куб!$C:$C,$C39,куб!S:S),IF($B39&lt;&gt;0,SUMIF(куб!$B:$B,$B39,куб!S:S))))))</f>
        <v>1006.9175</v>
      </c>
      <c r="AH39" s="16">
        <f t="shared" si="24"/>
        <v>1.1274407621890477</v>
      </c>
      <c r="AI39" s="8"/>
      <c r="AJ39" s="27">
        <f>IF($G39&lt;&gt;0,SUMIF(куб!$G:$G,$G39,куб!T:T),IF($E39&lt;&gt;0,SUMIF(куб!$E:$E,$E39,куб!T:T),IF($D39&lt;&gt;0,SUMIF(куб!$D:$D,$D39,куб!T:T),IF($C39&lt;&gt;0,SUMIF(куб!$C:$C,$C39,куб!T:T),IF($B39&lt;&gt;0,SUMIF(куб!$B:$B,$B39,куб!T:T))))))</f>
        <v>7</v>
      </c>
      <c r="AK39" s="27">
        <f>IF($G39&lt;&gt;0,SUMIF(куб!$G:$G,$G39,куб!U:U),IF($E39&lt;&gt;0,SUMIF(куб!$E:$E,$E39,куб!U:U),IF($D39&lt;&gt;0,SUMIF(куб!$D:$D,$D39,куб!U:U),IF($C39&lt;&gt;0,SUMIF(куб!$C:$C,$C39,куб!U:U),IF($B39&lt;&gt;0,SUMIF(куб!$B:$B,$B39,куб!U:U))))))</f>
        <v>14</v>
      </c>
      <c r="AL39" s="16">
        <f t="shared" si="25"/>
        <v>1</v>
      </c>
      <c r="AM39" s="8"/>
      <c r="AN39" s="17">
        <f t="shared" si="26"/>
        <v>2.1564499286333611E-3</v>
      </c>
      <c r="AO39" s="17">
        <f t="shared" si="27"/>
        <v>3.9792337449887707E-3</v>
      </c>
      <c r="AP39" s="16">
        <f t="shared" si="28"/>
        <v>1.8227838163554096E-3</v>
      </c>
      <c r="AQ39" s="8"/>
      <c r="AR39" s="17">
        <f t="shared" si="29"/>
        <v>0.12940045428295022</v>
      </c>
      <c r="AS39" s="17">
        <f t="shared" si="30"/>
        <v>7.4982006165573531E-2</v>
      </c>
      <c r="AT39" s="13">
        <f t="shared" si="31"/>
        <v>-5.4418448117376686E-2</v>
      </c>
      <c r="AU39" s="8"/>
    </row>
    <row r="40" spans="1:50" ht="15" customHeight="1" x14ac:dyDescent="0.25">
      <c r="A40" s="31" t="s">
        <v>26</v>
      </c>
      <c r="B40" s="31" t="s">
        <v>32</v>
      </c>
      <c r="C40" t="s">
        <v>33</v>
      </c>
      <c r="D40" s="31" t="s">
        <v>34</v>
      </c>
      <c r="E40" t="s">
        <v>35</v>
      </c>
      <c r="F40" s="31" t="s">
        <v>106</v>
      </c>
      <c r="G40" t="s">
        <v>107</v>
      </c>
      <c r="H40" s="27">
        <f>IF($G40&lt;&gt;0,SUMIF(куб!$G:$G,$G40,куб!H:H),IF($E40&lt;&gt;0,SUMIF(куб!$E:$E,$E40,куб!H:H),IF($D40&lt;&gt;0,SUMIF(куб!$D:$D,$D40,куб!H:H),IF($C40&lt;&gt;0,SUMIF(куб!$C:$C,$C40,куб!H:H),IF($B40&lt;&gt;0,SUMIF(куб!$B:$B,$B40,куб!H:H),IF($G40&lt;&gt;0,SUMIF(куб!$A:$A,$G40,куб!H:H),SUMIF(куб!$A:$A,$G40,куб!H:H)))))))</f>
        <v>6763.2880999999998</v>
      </c>
      <c r="I40" s="27">
        <f>IF($G40&lt;&gt;0,SUMIF(куб!$G:$G,$G40,куб!I:I),IF($E40&lt;&gt;0,SUMIF(куб!$E:$E,$E40,куб!I:I),IF($D40&lt;&gt;0,SUMIF(куб!$D:$D,$D40,куб!I:I),IF($C40&lt;&gt;0,SUMIF(куб!$C:$C,$C40,куб!I:I),IF($B40&lt;&gt;0,SUMIF(куб!$B:$B,$B40,куб!I:I),IF($G40&lt;&gt;0,SUMIF(куб!$A:$A,$G40,куб!I:I),SUMIF(куб!$A:$A,$G40,куб!I:I)))))))</f>
        <v>8671.6493000000009</v>
      </c>
      <c r="J40" s="19">
        <f t="shared" si="33"/>
        <v>0.28216470624695128</v>
      </c>
      <c r="K40" s="5"/>
      <c r="L40" s="17">
        <f t="shared" si="15"/>
        <v>1.4127778617936121E-5</v>
      </c>
      <c r="M40" s="17">
        <f t="shared" si="16"/>
        <v>1.8489474015296082E-5</v>
      </c>
      <c r="N40" s="12">
        <f t="shared" si="17"/>
        <v>4.3616953973599613E-6</v>
      </c>
      <c r="O40" s="5"/>
      <c r="P40" s="27">
        <f>IF($G40&lt;&gt;0,SUMIF(куб!$G:$G,$G40,куб!J:J),IF($E40&lt;&gt;0,SUMIF(куб!$E:$E,$E40,куб!J:J),IF($D40&lt;&gt;0,SUMIF(куб!$D:$D,$D40,куб!J:J),IF($C40&lt;&gt;0,SUMIF(куб!$C:$C,$C40,куб!J:J),IF($B40&lt;&gt;0,SUMIF(куб!$B:$B,$B40,куб!J:J))))))</f>
        <v>117</v>
      </c>
      <c r="Q40" s="27">
        <f>IF($G40&lt;&gt;0,SUMIF(куб!$G:$G,$G40,куб!K:K),IF($E40&lt;&gt;0,SUMIF(куб!$E:$E,$E40,куб!K:K),IF($D40&lt;&gt;0,SUMIF(куб!$D:$D,$D40,куб!K:K),IF($C40&lt;&gt;0,SUMIF(куб!$C:$C,$C40,куб!K:K),IF($B40&lt;&gt;0,SUMIF(куб!$B:$B,$B40,куб!K:K))))))</f>
        <v>144</v>
      </c>
      <c r="R40" s="13">
        <f t="shared" si="18"/>
        <v>0.23076923076923078</v>
      </c>
      <c r="S40" s="5"/>
      <c r="T40" s="27">
        <f>IF($G40&lt;&gt;0,SUMIF(куб!$G:$G,$G40,куб!L:L),IF($E40&lt;&gt;0,SUMIF(куб!$E:$E,$E40,куб!L:L),IF($D40&lt;&gt;0,SUMIF(куб!$D:$D,$D40,куб!L:L),IF($C40&lt;&gt;0,SUMIF(куб!$C:$C,$C40,куб!L:L),IF($B40&lt;&gt;0,SUMIF(куб!$B:$B,$B40,куб!L:L))))))</f>
        <v>93.600000000000009</v>
      </c>
      <c r="U40" s="27">
        <f>IF($G40&lt;&gt;0,SUMIF(куб!$G:$G,$G40,куб!M:M),IF($E40&lt;&gt;0,SUMIF(куб!$E:$E,$E40,куб!M:M),IF($D40&lt;&gt;0,SUMIF(куб!$D:$D,$D40,куб!M:M),IF($C40&lt;&gt;0,SUMIF(куб!$C:$C,$C40,куб!M:M),IF($B40&lt;&gt;0,SUMIF(куб!$B:$B,$B40,куб!M:M))))))</f>
        <v>115.2</v>
      </c>
      <c r="V40" s="13">
        <f t="shared" si="19"/>
        <v>0.2307692307692307</v>
      </c>
      <c r="W40" s="5"/>
      <c r="X40" s="27">
        <f>IF($G40&lt;&gt;0,SUMIF(куб!$G:$G,$G40,куб!N:N),IF($E40&lt;&gt;0,SUMIF(куб!$E:$E,$E40,куб!N:N),IF($D40&lt;&gt;0,SUMIF(куб!$D:$D,$D40,куб!N:N),IF($C40&lt;&gt;0,SUMIF(куб!$C:$C,$C40,куб!N:N),IF($B40&lt;&gt;0,SUMIF(куб!$B:$B,$B40,куб!N:N))))))</f>
        <v>955.83660000000054</v>
      </c>
      <c r="Y40" s="27">
        <f>IF($G40&lt;&gt;0,SUMIF(куб!$G:$G,$G40,куб!O:O),IF($E40&lt;&gt;0,SUMIF(куб!$E:$E,$E40,куб!O:O),IF($D40&lt;&gt;0,SUMIF(куб!$D:$D,$D40,куб!O:O),IF($C40&lt;&gt;0,SUMIF(куб!$C:$C,$C40,куб!O:O),IF($B40&lt;&gt;0,SUMIF(куб!$B:$B,$B40,куб!O:O))))))</f>
        <v>1131.2884999999987</v>
      </c>
      <c r="Z40" s="13">
        <f t="shared" si="20"/>
        <v>0.18355846595537156</v>
      </c>
      <c r="AA40" s="5"/>
      <c r="AB40" s="33">
        <f t="shared" si="21"/>
        <v>0.14132720444069219</v>
      </c>
      <c r="AC40" s="33">
        <f t="shared" si="22"/>
        <v>0.13045828548440014</v>
      </c>
      <c r="AD40" s="15">
        <f t="shared" si="23"/>
        <v>-1.0868918956292051E-2</v>
      </c>
      <c r="AE40" s="5"/>
      <c r="AF40" s="27">
        <f>IF($G40&lt;&gt;0,SUMIF(куб!$G:$G,$G40,куб!R:R),IF($E40&lt;&gt;0,SUMIF(куб!$E:$E,$E40,куб!R:R),IF($D40&lt;&gt;0,SUMIF(куб!$D:$D,$D40,куб!R:R),IF($C40&lt;&gt;0,SUMIF(куб!$C:$C,$C40,куб!R:R),IF($B40&lt;&gt;0,SUMIF(куб!$B:$B,$B40,куб!R:R))))))</f>
        <v>943.09049999999991</v>
      </c>
      <c r="AG40" s="27">
        <f>IF($G40&lt;&gt;0,SUMIF(куб!$G:$G,$G40,куб!S:S),IF($E40&lt;&gt;0,SUMIF(куб!$E:$E,$E40,куб!S:S),IF($D40&lt;&gt;0,SUMIF(куб!$D:$D,$D40,куб!S:S),IF($C40&lt;&gt;0,SUMIF(куб!$C:$C,$C40,куб!S:S),IF($B40&lt;&gt;0,SUMIF(куб!$B:$B,$B40,куб!S:S))))))</f>
        <v>1518.5449999999998</v>
      </c>
      <c r="AH40" s="16">
        <f t="shared" si="24"/>
        <v>0.61017951087408895</v>
      </c>
      <c r="AI40" s="8"/>
      <c r="AJ40" s="27">
        <f>IF($G40&lt;&gt;0,SUMIF(куб!$G:$G,$G40,куб!T:T),IF($E40&lt;&gt;0,SUMIF(куб!$E:$E,$E40,куб!T:T),IF($D40&lt;&gt;0,SUMIF(куб!$D:$D,$D40,куб!T:T),IF($C40&lt;&gt;0,SUMIF(куб!$C:$C,$C40,куб!T:T),IF($B40&lt;&gt;0,SUMIF(куб!$B:$B,$B40,куб!T:T))))))</f>
        <v>19</v>
      </c>
      <c r="AK40" s="27">
        <f>IF($G40&lt;&gt;0,SUMIF(куб!$G:$G,$G40,куб!U:U),IF($E40&lt;&gt;0,SUMIF(куб!$E:$E,$E40,куб!U:U),IF($D40&lt;&gt;0,SUMIF(куб!$D:$D,$D40,куб!U:U),IF($C40&lt;&gt;0,SUMIF(куб!$C:$C,$C40,куб!U:U),IF($B40&lt;&gt;0,SUMIF(куб!$B:$B,$B40,куб!U:U))))))</f>
        <v>29</v>
      </c>
      <c r="AL40" s="16">
        <f t="shared" si="25"/>
        <v>0.52631578947368418</v>
      </c>
      <c r="AM40" s="8"/>
      <c r="AN40" s="17">
        <f t="shared" si="26"/>
        <v>0.1394426033692103</v>
      </c>
      <c r="AO40" s="17">
        <f t="shared" si="27"/>
        <v>0.17511605318263962</v>
      </c>
      <c r="AP40" s="16">
        <f t="shared" si="28"/>
        <v>3.567344981342932E-2</v>
      </c>
      <c r="AQ40" s="8"/>
      <c r="AR40" s="17">
        <f t="shared" si="29"/>
        <v>1.8846010714818784E-3</v>
      </c>
      <c r="AS40" s="17">
        <f t="shared" si="30"/>
        <v>-4.4657767698239488E-2</v>
      </c>
      <c r="AT40" s="13">
        <f t="shared" si="31"/>
        <v>-4.6542368769721364E-2</v>
      </c>
      <c r="AU40" s="8"/>
    </row>
    <row r="41" spans="1:50" ht="15" customHeight="1" x14ac:dyDescent="0.25">
      <c r="A41" s="31" t="s">
        <v>26</v>
      </c>
      <c r="B41" s="31" t="s">
        <v>32</v>
      </c>
      <c r="C41" t="s">
        <v>33</v>
      </c>
      <c r="D41" s="31" t="s">
        <v>34</v>
      </c>
      <c r="E41" t="s">
        <v>35</v>
      </c>
      <c r="F41" s="31" t="s">
        <v>108</v>
      </c>
      <c r="G41" t="s">
        <v>109</v>
      </c>
      <c r="H41" s="27">
        <f>IF($G41&lt;&gt;0,SUMIF(куб!$G:$G,$G41,куб!H:H),IF($E41&lt;&gt;0,SUMIF(куб!$E:$E,$E41,куб!H:H),IF($D41&lt;&gt;0,SUMIF(куб!$D:$D,$D41,куб!H:H),IF($C41&lt;&gt;0,SUMIF(куб!$C:$C,$C41,куб!H:H),IF($B41&lt;&gt;0,SUMIF(куб!$B:$B,$B41,куб!H:H),IF($G41&lt;&gt;0,SUMIF(куб!$A:$A,$G41,куб!H:H),SUMIF(куб!$A:$A,$G41,куб!H:H)))))))</f>
        <v>1416919.2701000008</v>
      </c>
      <c r="I41" s="27">
        <f>IF($G41&lt;&gt;0,SUMIF(куб!$G:$G,$G41,куб!I:I),IF($E41&lt;&gt;0,SUMIF(куб!$E:$E,$E41,куб!I:I),IF($D41&lt;&gt;0,SUMIF(куб!$D:$D,$D41,куб!I:I),IF($C41&lt;&gt;0,SUMIF(куб!$C:$C,$C41,куб!I:I),IF($B41&lt;&gt;0,SUMIF(куб!$B:$B,$B41,куб!I:I),IF($G41&lt;&gt;0,SUMIF(куб!$A:$A,$G41,куб!I:I),SUMIF(куб!$A:$A,$G41,куб!I:I)))))))</f>
        <v>1942590.8038000008</v>
      </c>
      <c r="J41" s="19">
        <f t="shared" si="33"/>
        <v>0.3709961073949542</v>
      </c>
      <c r="K41" s="5"/>
      <c r="L41" s="17">
        <f t="shared" si="15"/>
        <v>2.9597913724036754E-3</v>
      </c>
      <c r="M41" s="17">
        <f t="shared" si="16"/>
        <v>4.1419435849663847E-3</v>
      </c>
      <c r="N41" s="12">
        <f t="shared" si="17"/>
        <v>1.1821522125627093E-3</v>
      </c>
      <c r="O41" s="5"/>
      <c r="P41" s="27">
        <f>IF($G41&lt;&gt;0,SUMIF(куб!$G:$G,$G41,куб!J:J),IF($E41&lt;&gt;0,SUMIF(куб!$E:$E,$E41,куб!J:J),IF($D41&lt;&gt;0,SUMIF(куб!$D:$D,$D41,куб!J:J),IF($C41&lt;&gt;0,SUMIF(куб!$C:$C,$C41,куб!J:J),IF($B41&lt;&gt;0,SUMIF(куб!$B:$B,$B41,куб!J:J))))))</f>
        <v>15197</v>
      </c>
      <c r="Q41" s="27">
        <f>IF($G41&lt;&gt;0,SUMIF(куб!$G:$G,$G41,куб!K:K),IF($E41&lt;&gt;0,SUMIF(куб!$E:$E,$E41,куб!K:K),IF($D41&lt;&gt;0,SUMIF(куб!$D:$D,$D41,куб!K:K),IF($C41&lt;&gt;0,SUMIF(куб!$C:$C,$C41,куб!K:K),IF($B41&lt;&gt;0,SUMIF(куб!$B:$B,$B41,куб!K:K))))))</f>
        <v>20155</v>
      </c>
      <c r="R41" s="13">
        <f t="shared" si="18"/>
        <v>0.32624860169770348</v>
      </c>
      <c r="S41" s="5"/>
      <c r="T41" s="27">
        <f>IF($G41&lt;&gt;0,SUMIF(куб!$G:$G,$G41,куб!L:L),IF($E41&lt;&gt;0,SUMIF(куб!$E:$E,$E41,куб!L:L),IF($D41&lt;&gt;0,SUMIF(куб!$D:$D,$D41,куб!L:L),IF($C41&lt;&gt;0,SUMIF(куб!$C:$C,$C41,куб!L:L),IF($B41&lt;&gt;0,SUMIF(куб!$B:$B,$B41,куб!L:L))))))</f>
        <v>15197</v>
      </c>
      <c r="U41" s="27">
        <f>IF($G41&lt;&gt;0,SUMIF(куб!$G:$G,$G41,куб!M:M),IF($E41&lt;&gt;0,SUMIF(куб!$E:$E,$E41,куб!M:M),IF($D41&lt;&gt;0,SUMIF(куб!$D:$D,$D41,куб!M:M),IF($C41&lt;&gt;0,SUMIF(куб!$C:$C,$C41,куб!M:M),IF($B41&lt;&gt;0,SUMIF(куб!$B:$B,$B41,куб!M:M))))))</f>
        <v>20155</v>
      </c>
      <c r="V41" s="13">
        <f t="shared" si="19"/>
        <v>0.32624860169770348</v>
      </c>
      <c r="W41" s="5"/>
      <c r="X41" s="27">
        <f>IF($G41&lt;&gt;0,SUMIF(куб!$G:$G,$G41,куб!N:N),IF($E41&lt;&gt;0,SUMIF(куб!$E:$E,$E41,куб!N:N),IF($D41&lt;&gt;0,SUMIF(куб!$D:$D,$D41,куб!N:N),IF($C41&lt;&gt;0,SUMIF(куб!$C:$C,$C41,куб!N:N),IF($B41&lt;&gt;0,SUMIF(куб!$B:$B,$B41,куб!N:N))))))</f>
        <v>182070.80750000011</v>
      </c>
      <c r="Y41" s="27">
        <f>IF($G41&lt;&gt;0,SUMIF(куб!$G:$G,$G41,куб!O:O),IF($E41&lt;&gt;0,SUMIF(куб!$E:$E,$E41,куб!O:O),IF($D41&lt;&gt;0,SUMIF(куб!$D:$D,$D41,куб!O:O),IF($C41&lt;&gt;0,SUMIF(куб!$C:$C,$C41,куб!O:O),IF($B41&lt;&gt;0,SUMIF(куб!$B:$B,$B41,куб!O:O))))))</f>
        <v>238318.99700000021</v>
      </c>
      <c r="Z41" s="13">
        <f t="shared" si="20"/>
        <v>0.30893579411405675</v>
      </c>
      <c r="AA41" s="5"/>
      <c r="AB41" s="33">
        <f t="shared" si="21"/>
        <v>0.12849765780032779</v>
      </c>
      <c r="AC41" s="33">
        <f t="shared" si="22"/>
        <v>0.12268100751522774</v>
      </c>
      <c r="AD41" s="15">
        <f t="shared" si="23"/>
        <v>-5.8166502851000473E-3</v>
      </c>
      <c r="AE41" s="5"/>
      <c r="AF41" s="27">
        <f>IF($G41&lt;&gt;0,SUMIF(куб!$G:$G,$G41,куб!R:R),IF($E41&lt;&gt;0,SUMIF(куб!$E:$E,$E41,куб!R:R),IF($D41&lt;&gt;0,SUMIF(куб!$D:$D,$D41,куб!R:R),IF($C41&lt;&gt;0,SUMIF(куб!$C:$C,$C41,куб!R:R),IF($B41&lt;&gt;0,SUMIF(куб!$B:$B,$B41,куб!R:R))))))</f>
        <v>26244.96439999999</v>
      </c>
      <c r="AG41" s="27">
        <f>IF($G41&lt;&gt;0,SUMIF(куб!$G:$G,$G41,куб!S:S),IF($E41&lt;&gt;0,SUMIF(куб!$E:$E,$E41,куб!S:S),IF($D41&lt;&gt;0,SUMIF(куб!$D:$D,$D41,куб!S:S),IF($C41&lt;&gt;0,SUMIF(куб!$C:$C,$C41,куб!S:S),IF($B41&lt;&gt;0,SUMIF(куб!$B:$B,$B41,куб!S:S))))))</f>
        <v>30081.43069999999</v>
      </c>
      <c r="AH41" s="16">
        <f t="shared" si="24"/>
        <v>0.14617913903514387</v>
      </c>
      <c r="AI41" s="8"/>
      <c r="AJ41" s="27">
        <f>IF($G41&lt;&gt;0,SUMIF(куб!$G:$G,$G41,куб!T:T),IF($E41&lt;&gt;0,SUMIF(куб!$E:$E,$E41,куб!T:T),IF($D41&lt;&gt;0,SUMIF(куб!$D:$D,$D41,куб!T:T),IF($C41&lt;&gt;0,SUMIF(куб!$C:$C,$C41,куб!T:T),IF($B41&lt;&gt;0,SUMIF(куб!$B:$B,$B41,куб!T:T))))))</f>
        <v>323</v>
      </c>
      <c r="AK41" s="27">
        <f>IF($G41&lt;&gt;0,SUMIF(куб!$G:$G,$G41,куб!U:U),IF($E41&lt;&gt;0,SUMIF(куб!$E:$E,$E41,куб!U:U),IF($D41&lt;&gt;0,SUMIF(куб!$D:$D,$D41,куб!U:U),IF($C41&lt;&gt;0,SUMIF(куб!$C:$C,$C41,куб!U:U),IF($B41&lt;&gt;0,SUMIF(куб!$B:$B,$B41,куб!U:U))))))</f>
        <v>352</v>
      </c>
      <c r="AL41" s="16">
        <f t="shared" si="25"/>
        <v>8.9783281733746126E-2</v>
      </c>
      <c r="AM41" s="8"/>
      <c r="AN41" s="17">
        <f t="shared" si="26"/>
        <v>1.8522554498216205E-2</v>
      </c>
      <c r="AO41" s="17">
        <f t="shared" si="27"/>
        <v>1.5485212141000654E-2</v>
      </c>
      <c r="AP41" s="16">
        <f t="shared" si="28"/>
        <v>-3.0373423572155507E-3</v>
      </c>
      <c r="AQ41" s="8"/>
      <c r="AR41" s="17">
        <f t="shared" si="29"/>
        <v>0.10997510330211158</v>
      </c>
      <c r="AS41" s="17">
        <f t="shared" si="30"/>
        <v>0.10719579537422709</v>
      </c>
      <c r="AT41" s="13">
        <f t="shared" si="31"/>
        <v>-2.7793079278844862E-3</v>
      </c>
      <c r="AU41" s="8"/>
    </row>
    <row r="42" spans="1:50" ht="15" customHeight="1" x14ac:dyDescent="0.25">
      <c r="A42" s="31" t="s">
        <v>26</v>
      </c>
      <c r="B42" s="31" t="s">
        <v>32</v>
      </c>
      <c r="C42" t="s">
        <v>33</v>
      </c>
      <c r="D42" s="31" t="s">
        <v>34</v>
      </c>
      <c r="E42" t="s">
        <v>35</v>
      </c>
      <c r="F42" s="31" t="s">
        <v>110</v>
      </c>
      <c r="G42" t="s">
        <v>111</v>
      </c>
      <c r="H42" s="27">
        <f>IF($G42&lt;&gt;0,SUMIF(куб!$G:$G,$G42,куб!H:H),IF($E42&lt;&gt;0,SUMIF(куб!$E:$E,$E42,куб!H:H),IF($D42&lt;&gt;0,SUMIF(куб!$D:$D,$D42,куб!H:H),IF($C42&lt;&gt;0,SUMIF(куб!$C:$C,$C42,куб!H:H),IF($B42&lt;&gt;0,SUMIF(куб!$B:$B,$B42,куб!H:H),IF($G42&lt;&gt;0,SUMIF(куб!$A:$A,$G42,куб!H:H),SUMIF(куб!$A:$A,$G42,куб!H:H)))))))</f>
        <v>0</v>
      </c>
      <c r="I42" s="27">
        <f>IF($G42&lt;&gt;0,SUMIF(куб!$G:$G,$G42,куб!I:I),IF($E42&lt;&gt;0,SUMIF(куб!$E:$E,$E42,куб!I:I),IF($D42&lt;&gt;0,SUMIF(куб!$D:$D,$D42,куб!I:I),IF($C42&lt;&gt;0,SUMIF(куб!$C:$C,$C42,куб!I:I),IF($B42&lt;&gt;0,SUMIF(куб!$B:$B,$B42,куб!I:I),IF($G42&lt;&gt;0,SUMIF(куб!$A:$A,$G42,куб!I:I),SUMIF(куб!$A:$A,$G42,куб!I:I)))))))</f>
        <v>7364.9542999999994</v>
      </c>
      <c r="J42" s="19" t="str">
        <f t="shared" si="33"/>
        <v>-</v>
      </c>
      <c r="K42" s="8"/>
      <c r="L42" s="17">
        <f t="shared" si="15"/>
        <v>0</v>
      </c>
      <c r="M42" s="17">
        <f t="shared" si="16"/>
        <v>1.5703371578194834E-5</v>
      </c>
      <c r="N42" s="12">
        <f t="shared" si="17"/>
        <v>1.5703371578194834E-5</v>
      </c>
      <c r="O42" s="5"/>
      <c r="P42" s="27">
        <f>IF($G42&lt;&gt;0,SUMIF(куб!$G:$G,$G42,куб!J:J),IF($E42&lt;&gt;0,SUMIF(куб!$E:$E,$E42,куб!J:J),IF($D42&lt;&gt;0,SUMIF(куб!$D:$D,$D42,куб!J:J),IF($C42&lt;&gt;0,SUMIF(куб!$C:$C,$C42,куб!J:J),IF($B42&lt;&gt;0,SUMIF(куб!$B:$B,$B42,куб!J:J))))))</f>
        <v>0</v>
      </c>
      <c r="Q42" s="27">
        <f>IF($G42&lt;&gt;0,SUMIF(куб!$G:$G,$G42,куб!K:K),IF($E42&lt;&gt;0,SUMIF(куб!$E:$E,$E42,куб!K:K),IF($D42&lt;&gt;0,SUMIF(куб!$D:$D,$D42,куб!K:K),IF($C42&lt;&gt;0,SUMIF(куб!$C:$C,$C42,куб!K:K),IF($B42&lt;&gt;0,SUMIF(куб!$B:$B,$B42,куб!K:K))))))</f>
        <v>54</v>
      </c>
      <c r="R42" s="13" t="str">
        <f t="shared" si="18"/>
        <v>-</v>
      </c>
      <c r="S42" s="5"/>
      <c r="T42" s="27">
        <f>IF($G42&lt;&gt;0,SUMIF(куб!$G:$G,$G42,куб!L:L),IF($E42&lt;&gt;0,SUMIF(куб!$E:$E,$E42,куб!L:L),IF($D42&lt;&gt;0,SUMIF(куб!$D:$D,$D42,куб!L:L),IF($C42&lt;&gt;0,SUMIF(куб!$C:$C,$C42,куб!L:L),IF($B42&lt;&gt;0,SUMIF(куб!$B:$B,$B42,куб!L:L))))))</f>
        <v>0</v>
      </c>
      <c r="U42" s="27">
        <f>IF($G42&lt;&gt;0,SUMIF(куб!$G:$G,$G42,куб!M:M),IF($E42&lt;&gt;0,SUMIF(куб!$E:$E,$E42,куб!M:M),IF($D42&lt;&gt;0,SUMIF(куб!$D:$D,$D42,куб!M:M),IF($C42&lt;&gt;0,SUMIF(куб!$C:$C,$C42,куб!M:M),IF($B42&lt;&gt;0,SUMIF(куб!$B:$B,$B42,куб!M:M))))))</f>
        <v>94.5</v>
      </c>
      <c r="V42" s="13" t="str">
        <f t="shared" si="19"/>
        <v>-</v>
      </c>
      <c r="W42" s="5"/>
      <c r="X42" s="27">
        <f>IF($G42&lt;&gt;0,SUMIF(куб!$G:$G,$G42,куб!N:N),IF($E42&lt;&gt;0,SUMIF(куб!$E:$E,$E42,куб!N:N),IF($D42&lt;&gt;0,SUMIF(куб!$D:$D,$D42,куб!N:N),IF($C42&lt;&gt;0,SUMIF(куб!$C:$C,$C42,куб!N:N),IF($B42&lt;&gt;0,SUMIF(куб!$B:$B,$B42,куб!N:N))))))</f>
        <v>0</v>
      </c>
      <c r="Y42" s="27">
        <f>IF($G42&lt;&gt;0,SUMIF(куб!$G:$G,$G42,куб!O:O),IF($E42&lt;&gt;0,SUMIF(куб!$E:$E,$E42,куб!O:O),IF($D42&lt;&gt;0,SUMIF(куб!$D:$D,$D42,куб!O:O),IF($C42&lt;&gt;0,SUMIF(куб!$C:$C,$C42,куб!O:O),IF($B42&lt;&gt;0,SUMIF(куб!$B:$B,$B42,куб!O:O))))))</f>
        <v>759.77379999999812</v>
      </c>
      <c r="Z42" s="13" t="str">
        <f t="shared" si="20"/>
        <v>-</v>
      </c>
      <c r="AA42" s="5"/>
      <c r="AB42" s="33" t="str">
        <f t="shared" si="21"/>
        <v/>
      </c>
      <c r="AC42" s="33">
        <f t="shared" si="22"/>
        <v>0.10316069442548995</v>
      </c>
      <c r="AD42" s="15" t="str">
        <f t="shared" si="23"/>
        <v xml:space="preserve"> </v>
      </c>
      <c r="AE42" s="5"/>
      <c r="AF42" s="27">
        <f>IF($G42&lt;&gt;0,SUMIF(куб!$G:$G,$G42,куб!R:R),IF($E42&lt;&gt;0,SUMIF(куб!$E:$E,$E42,куб!R:R),IF($D42&lt;&gt;0,SUMIF(куб!$D:$D,$D42,куб!R:R),IF($C42&lt;&gt;0,SUMIF(куб!$C:$C,$C42,куб!R:R),IF($B42&lt;&gt;0,SUMIF(куб!$B:$B,$B42,куб!R:R))))))</f>
        <v>0</v>
      </c>
      <c r="AG42" s="27">
        <f>IF($G42&lt;&gt;0,SUMIF(куб!$G:$G,$G42,куб!S:S),IF($E42&lt;&gt;0,SUMIF(куб!$E:$E,$E42,куб!S:S),IF($D42&lt;&gt;0,SUMIF(куб!$D:$D,$D42,куб!S:S),IF($C42&lt;&gt;0,SUMIF(куб!$C:$C,$C42,куб!S:S),IF($B42&lt;&gt;0,SUMIF(куб!$B:$B,$B42,куб!S:S))))))</f>
        <v>611.59079999999994</v>
      </c>
      <c r="AH42" s="16" t="str">
        <f t="shared" si="24"/>
        <v>-</v>
      </c>
      <c r="AI42" s="8"/>
      <c r="AJ42" s="27">
        <f>IF($G42&lt;&gt;0,SUMIF(куб!$G:$G,$G42,куб!T:T),IF($E42&lt;&gt;0,SUMIF(куб!$E:$E,$E42,куб!T:T),IF($D42&lt;&gt;0,SUMIF(куб!$D:$D,$D42,куб!T:T),IF($C42&lt;&gt;0,SUMIF(куб!$C:$C,$C42,куб!T:T),IF($B42&lt;&gt;0,SUMIF(куб!$B:$B,$B42,куб!T:T))))))</f>
        <v>0</v>
      </c>
      <c r="AK42" s="27">
        <f>IF($G42&lt;&gt;0,SUMIF(куб!$G:$G,$G42,куб!U:U),IF($E42&lt;&gt;0,SUMIF(куб!$E:$E,$E42,куб!U:U),IF($D42&lt;&gt;0,SUMIF(куб!$D:$D,$D42,куб!U:U),IF($C42&lt;&gt;0,SUMIF(куб!$C:$C,$C42,куб!U:U),IF($B42&lt;&gt;0,SUMIF(куб!$B:$B,$B42,куб!U:U))))))</f>
        <v>5</v>
      </c>
      <c r="AL42" s="16" t="str">
        <f t="shared" si="25"/>
        <v>-</v>
      </c>
      <c r="AM42" s="8"/>
      <c r="AN42" s="17" t="str">
        <f t="shared" si="26"/>
        <v xml:space="preserve"> </v>
      </c>
      <c r="AO42" s="17">
        <f t="shared" si="27"/>
        <v>8.3040678202171606E-2</v>
      </c>
      <c r="AP42" s="16" t="str">
        <f t="shared" si="28"/>
        <v>-</v>
      </c>
      <c r="AQ42" s="8"/>
      <c r="AR42" s="17" t="str">
        <f t="shared" si="29"/>
        <v>-</v>
      </c>
      <c r="AS42" s="17">
        <f t="shared" si="30"/>
        <v>2.0120016223318344E-2</v>
      </c>
      <c r="AT42" s="13" t="str">
        <f t="shared" si="31"/>
        <v>-</v>
      </c>
      <c r="AU42" s="8"/>
    </row>
    <row r="43" spans="1:50" ht="15" customHeight="1" x14ac:dyDescent="0.25">
      <c r="A43" s="31" t="s">
        <v>26</v>
      </c>
      <c r="B43" s="31" t="s">
        <v>32</v>
      </c>
      <c r="C43" t="s">
        <v>33</v>
      </c>
      <c r="D43" s="31" t="s">
        <v>34</v>
      </c>
      <c r="E43" t="s">
        <v>35</v>
      </c>
      <c r="F43" s="31" t="s">
        <v>112</v>
      </c>
      <c r="G43" t="s">
        <v>113</v>
      </c>
      <c r="H43" s="27">
        <f>IF($G43&lt;&gt;0,SUMIF(куб!$G:$G,$G43,куб!H:H),IF($E43&lt;&gt;0,SUMIF(куб!$E:$E,$E43,куб!H:H),IF($D43&lt;&gt;0,SUMIF(куб!$D:$D,$D43,куб!H:H),IF($C43&lt;&gt;0,SUMIF(куб!$C:$C,$C43,куб!H:H),IF($B43&lt;&gt;0,SUMIF(куб!$B:$B,$B43,куб!H:H),IF($G43&lt;&gt;0,SUMIF(куб!$A:$A,$G43,куб!H:H),SUMIF(куб!$A:$A,$G43,куб!H:H)))))))</f>
        <v>0</v>
      </c>
      <c r="I43" s="27">
        <f>IF($G43&lt;&gt;0,SUMIF(куб!$G:$G,$G43,куб!I:I),IF($E43&lt;&gt;0,SUMIF(куб!$E:$E,$E43,куб!I:I),IF($D43&lt;&gt;0,SUMIF(куб!$D:$D,$D43,куб!I:I),IF($C43&lt;&gt;0,SUMIF(куб!$C:$C,$C43,куб!I:I),IF($B43&lt;&gt;0,SUMIF(куб!$B:$B,$B43,куб!I:I),IF($G43&lt;&gt;0,SUMIF(куб!$A:$A,$G43,куб!I:I),SUMIF(куб!$A:$A,$G43,куб!I:I)))))))</f>
        <v>52.636299999999999</v>
      </c>
      <c r="J43" s="19" t="str">
        <f t="shared" si="33"/>
        <v>-</v>
      </c>
      <c r="K43" s="10"/>
      <c r="L43" s="17">
        <f t="shared" si="15"/>
        <v>0</v>
      </c>
      <c r="M43" s="17">
        <f t="shared" si="16"/>
        <v>1.1222980397873436E-7</v>
      </c>
      <c r="N43" s="12">
        <f t="shared" si="17"/>
        <v>1.1222980397873436E-7</v>
      </c>
      <c r="O43" s="5"/>
      <c r="P43" s="27">
        <f>IF($G43&lt;&gt;0,SUMIF(куб!$G:$G,$G43,куб!J:J),IF($E43&lt;&gt;0,SUMIF(куб!$E:$E,$E43,куб!J:J),IF($D43&lt;&gt;0,SUMIF(куб!$D:$D,$D43,куб!J:J),IF($C43&lt;&gt;0,SUMIF(куб!$C:$C,$C43,куб!J:J),IF($B43&lt;&gt;0,SUMIF(куб!$B:$B,$B43,куб!J:J))))))</f>
        <v>0</v>
      </c>
      <c r="Q43" s="27">
        <f>IF($G43&lt;&gt;0,SUMIF(куб!$G:$G,$G43,куб!K:K),IF($E43&lt;&gt;0,SUMIF(куб!$E:$E,$E43,куб!K:K),IF($D43&lt;&gt;0,SUMIF(куб!$D:$D,$D43,куб!K:K),IF($C43&lt;&gt;0,SUMIF(куб!$C:$C,$C43,куб!K:K),IF($B43&lt;&gt;0,SUMIF(куб!$B:$B,$B43,куб!K:K))))))</f>
        <v>1</v>
      </c>
      <c r="R43" s="13" t="str">
        <f t="shared" si="18"/>
        <v>-</v>
      </c>
      <c r="S43" s="5"/>
      <c r="T43" s="27">
        <f>IF($G43&lt;&gt;0,SUMIF(куб!$G:$G,$G43,куб!L:L),IF($E43&lt;&gt;0,SUMIF(куб!$E:$E,$E43,куб!L:L),IF($D43&lt;&gt;0,SUMIF(куб!$D:$D,$D43,куб!L:L),IF($C43&lt;&gt;0,SUMIF(куб!$C:$C,$C43,куб!L:L),IF($B43&lt;&gt;0,SUMIF(куб!$B:$B,$B43,куб!L:L))))))</f>
        <v>0</v>
      </c>
      <c r="U43" s="27">
        <f>IF($G43&lt;&gt;0,SUMIF(куб!$G:$G,$G43,куб!M:M),IF($E43&lt;&gt;0,SUMIF(куб!$E:$E,$E43,куб!M:M),IF($D43&lt;&gt;0,SUMIF(куб!$D:$D,$D43,куб!M:M),IF($C43&lt;&gt;0,SUMIF(куб!$C:$C,$C43,куб!M:M),IF($B43&lt;&gt;0,SUMIF(куб!$B:$B,$B43,куб!M:M))))))</f>
        <v>0</v>
      </c>
      <c r="V43" s="13" t="str">
        <f t="shared" si="19"/>
        <v>-</v>
      </c>
      <c r="W43" s="5"/>
      <c r="X43" s="27">
        <f>IF($G43&lt;&gt;0,SUMIF(куб!$G:$G,$G43,куб!N:N),IF($E43&lt;&gt;0,SUMIF(куб!$E:$E,$E43,куб!N:N),IF($D43&lt;&gt;0,SUMIF(куб!$D:$D,$D43,куб!N:N),IF($C43&lt;&gt;0,SUMIF(куб!$C:$C,$C43,куб!N:N),IF($B43&lt;&gt;0,SUMIF(куб!$B:$B,$B43,куб!N:N))))))</f>
        <v>0</v>
      </c>
      <c r="Y43" s="27">
        <f>IF($G43&lt;&gt;0,SUMIF(куб!$G:$G,$G43,куб!O:O),IF($E43&lt;&gt;0,SUMIF(куб!$E:$E,$E43,куб!O:O),IF($D43&lt;&gt;0,SUMIF(куб!$D:$D,$D43,куб!O:O),IF($C43&lt;&gt;0,SUMIF(куб!$C:$C,$C43,куб!O:O),IF($B43&lt;&gt;0,SUMIF(куб!$B:$B,$B43,куб!O:O))))))</f>
        <v>51.7273</v>
      </c>
      <c r="Z43" s="13" t="str">
        <f t="shared" si="20"/>
        <v>-</v>
      </c>
      <c r="AA43" s="5"/>
      <c r="AB43" s="33" t="str">
        <f t="shared" si="21"/>
        <v/>
      </c>
      <c r="AC43" s="33">
        <f t="shared" si="22"/>
        <v>0.98273054906974844</v>
      </c>
      <c r="AD43" s="15" t="str">
        <f t="shared" si="23"/>
        <v xml:space="preserve"> </v>
      </c>
      <c r="AE43" s="5"/>
      <c r="AF43" s="27">
        <f>IF($G43&lt;&gt;0,SUMIF(куб!$G:$G,$G43,куб!R:R),IF($E43&lt;&gt;0,SUMIF(куб!$E:$E,$E43,куб!R:R),IF($D43&lt;&gt;0,SUMIF(куб!$D:$D,$D43,куб!R:R),IF($C43&lt;&gt;0,SUMIF(куб!$C:$C,$C43,куб!R:R),IF($B43&lt;&gt;0,SUMIF(куб!$B:$B,$B43,куб!R:R))))))</f>
        <v>0</v>
      </c>
      <c r="AG43" s="27">
        <f>IF($G43&lt;&gt;0,SUMIF(куб!$G:$G,$G43,куб!S:S),IF($E43&lt;&gt;0,SUMIF(куб!$E:$E,$E43,куб!S:S),IF($D43&lt;&gt;0,SUMIF(куб!$D:$D,$D43,куб!S:S),IF($C43&lt;&gt;0,SUMIF(куб!$C:$C,$C43,куб!S:S),IF($B43&lt;&gt;0,SUMIF(куб!$B:$B,$B43,куб!S:S))))))</f>
        <v>0</v>
      </c>
      <c r="AH43" s="16" t="str">
        <f t="shared" si="24"/>
        <v>-</v>
      </c>
      <c r="AI43" s="8"/>
      <c r="AJ43" s="27">
        <f>IF($G43&lt;&gt;0,SUMIF(куб!$G:$G,$G43,куб!T:T),IF($E43&lt;&gt;0,SUMIF(куб!$E:$E,$E43,куб!T:T),IF($D43&lt;&gt;0,SUMIF(куб!$D:$D,$D43,куб!T:T),IF($C43&lt;&gt;0,SUMIF(куб!$C:$C,$C43,куб!T:T),IF($B43&lt;&gt;0,SUMIF(куб!$B:$B,$B43,куб!T:T))))))</f>
        <v>0</v>
      </c>
      <c r="AK43" s="27">
        <f>IF($G43&lt;&gt;0,SUMIF(куб!$G:$G,$G43,куб!U:U),IF($E43&lt;&gt;0,SUMIF(куб!$E:$E,$E43,куб!U:U),IF($D43&lt;&gt;0,SUMIF(куб!$D:$D,$D43,куб!U:U),IF($C43&lt;&gt;0,SUMIF(куб!$C:$C,$C43,куб!U:U),IF($B43&lt;&gt;0,SUMIF(куб!$B:$B,$B43,куб!U:U))))))</f>
        <v>0</v>
      </c>
      <c r="AL43" s="16" t="str">
        <f t="shared" si="25"/>
        <v>-</v>
      </c>
      <c r="AM43" s="8"/>
      <c r="AN43" s="17" t="str">
        <f t="shared" si="26"/>
        <v xml:space="preserve"> </v>
      </c>
      <c r="AO43" s="17">
        <f t="shared" si="27"/>
        <v>0</v>
      </c>
      <c r="AP43" s="16" t="str">
        <f t="shared" si="28"/>
        <v>-</v>
      </c>
      <c r="AQ43" s="8"/>
      <c r="AR43" s="17" t="str">
        <f t="shared" si="29"/>
        <v>-</v>
      </c>
      <c r="AS43" s="17">
        <f t="shared" si="30"/>
        <v>0.98273054906974844</v>
      </c>
      <c r="AT43" s="13" t="str">
        <f t="shared" si="31"/>
        <v>-</v>
      </c>
      <c r="AU43" s="8"/>
    </row>
    <row r="44" spans="1:50" ht="15" customHeight="1" x14ac:dyDescent="0.25">
      <c r="A44" s="31" t="s">
        <v>26</v>
      </c>
      <c r="B44" s="31" t="s">
        <v>32</v>
      </c>
      <c r="C44" t="s">
        <v>33</v>
      </c>
      <c r="D44" s="31" t="s">
        <v>34</v>
      </c>
      <c r="E44" t="s">
        <v>35</v>
      </c>
      <c r="F44" s="31" t="s">
        <v>114</v>
      </c>
      <c r="G44" t="s">
        <v>115</v>
      </c>
      <c r="H44" s="27">
        <f>IF($G44&lt;&gt;0,SUMIF(куб!$G:$G,$G44,куб!H:H),IF($E44&lt;&gt;0,SUMIF(куб!$E:$E,$E44,куб!H:H),IF($D44&lt;&gt;0,SUMIF(куб!$D:$D,$D44,куб!H:H),IF($C44&lt;&gt;0,SUMIF(куб!$C:$C,$C44,куб!H:H),IF($B44&lt;&gt;0,SUMIF(куб!$B:$B,$B44,куб!H:H),IF($G44&lt;&gt;0,SUMIF(куб!$A:$A,$G44,куб!H:H),SUMIF(куб!$A:$A,$G44,куб!H:H)))))))</f>
        <v>0</v>
      </c>
      <c r="I44" s="27">
        <f>IF($G44&lt;&gt;0,SUMIF(куб!$G:$G,$G44,куб!I:I),IF($E44&lt;&gt;0,SUMIF(куб!$E:$E,$E44,куб!I:I),IF($D44&lt;&gt;0,SUMIF(куб!$D:$D,$D44,куб!I:I),IF($C44&lt;&gt;0,SUMIF(куб!$C:$C,$C44,куб!I:I),IF($B44&lt;&gt;0,SUMIF(куб!$B:$B,$B44,куб!I:I),IF($G44&lt;&gt;0,SUMIF(куб!$A:$A,$G44,куб!I:I),SUMIF(куб!$A:$A,$G44,куб!I:I)))))))</f>
        <v>1430872.0593000001</v>
      </c>
      <c r="J44" s="19" t="str">
        <f t="shared" si="33"/>
        <v>-</v>
      </c>
      <c r="K44" s="5"/>
      <c r="L44" s="17">
        <f t="shared" si="15"/>
        <v>0</v>
      </c>
      <c r="M44" s="17">
        <f t="shared" si="16"/>
        <v>3.0508696609352665E-3</v>
      </c>
      <c r="N44" s="12">
        <f t="shared" si="17"/>
        <v>3.0508696609352665E-3</v>
      </c>
      <c r="O44" s="5"/>
      <c r="P44" s="27">
        <f>IF($G44&lt;&gt;0,SUMIF(куб!$G:$G,$G44,куб!J:J),IF($E44&lt;&gt;0,SUMIF(куб!$E:$E,$E44,куб!J:J),IF($D44&lt;&gt;0,SUMIF(куб!$D:$D,$D44,куб!J:J),IF($C44&lt;&gt;0,SUMIF(куб!$C:$C,$C44,куб!J:J),IF($B44&lt;&gt;0,SUMIF(куб!$B:$B,$B44,куб!J:J))))))</f>
        <v>0</v>
      </c>
      <c r="Q44" s="27">
        <f>IF($G44&lt;&gt;0,SUMIF(куб!$G:$G,$G44,куб!K:K),IF($E44&lt;&gt;0,SUMIF(куб!$E:$E,$E44,куб!K:K),IF($D44&lt;&gt;0,SUMIF(куб!$D:$D,$D44,куб!K:K),IF($C44&lt;&gt;0,SUMIF(куб!$C:$C,$C44,куб!K:K),IF($B44&lt;&gt;0,SUMIF(куб!$B:$B,$B44,куб!K:K))))))</f>
        <v>21758</v>
      </c>
      <c r="R44" s="13" t="str">
        <f t="shared" si="18"/>
        <v>-</v>
      </c>
      <c r="S44" s="5"/>
      <c r="T44" s="27">
        <f>IF($G44&lt;&gt;0,SUMIF(куб!$G:$G,$G44,куб!L:L),IF($E44&lt;&gt;0,SUMIF(куб!$E:$E,$E44,куб!L:L),IF($D44&lt;&gt;0,SUMIF(куб!$D:$D,$D44,куб!L:L),IF($C44&lt;&gt;0,SUMIF(куб!$C:$C,$C44,куб!L:L),IF($B44&lt;&gt;0,SUMIF(куб!$B:$B,$B44,куб!L:L))))))</f>
        <v>0</v>
      </c>
      <c r="U44" s="27">
        <f>IF($G44&lt;&gt;0,SUMIF(куб!$G:$G,$G44,куб!M:M),IF($E44&lt;&gt;0,SUMIF(куб!$E:$E,$E44,куб!M:M),IF($D44&lt;&gt;0,SUMIF(куб!$D:$D,$D44,куб!M:M),IF($C44&lt;&gt;0,SUMIF(куб!$C:$C,$C44,куб!M:M),IF($B44&lt;&gt;0,SUMIF(куб!$B:$B,$B44,куб!M:M))))))</f>
        <v>20130.5016</v>
      </c>
      <c r="V44" s="13" t="str">
        <f t="shared" si="19"/>
        <v>-</v>
      </c>
      <c r="W44" s="5"/>
      <c r="X44" s="27">
        <f>IF($G44&lt;&gt;0,SUMIF(куб!$G:$G,$G44,куб!N:N),IF($E44&lt;&gt;0,SUMIF(куб!$E:$E,$E44,куб!N:N),IF($D44&lt;&gt;0,SUMIF(куб!$D:$D,$D44,куб!N:N),IF($C44&lt;&gt;0,SUMIF(куб!$C:$C,$C44,куб!N:N),IF($B44&lt;&gt;0,SUMIF(куб!$B:$B,$B44,куб!N:N))))))</f>
        <v>0</v>
      </c>
      <c r="Y44" s="27">
        <f>IF($G44&lt;&gt;0,SUMIF(куб!$G:$G,$G44,куб!O:O),IF($E44&lt;&gt;0,SUMIF(куб!$E:$E,$E44,куб!O:O),IF($D44&lt;&gt;0,SUMIF(куб!$D:$D,$D44,куб!O:O),IF($C44&lt;&gt;0,SUMIF(куб!$C:$C,$C44,куб!O:O),IF($B44&lt;&gt;0,SUMIF(куб!$B:$B,$B44,куб!O:O))))))</f>
        <v>194955.15290000034</v>
      </c>
      <c r="Z44" s="13" t="str">
        <f t="shared" si="20"/>
        <v>-</v>
      </c>
      <c r="AA44" s="5"/>
      <c r="AB44" s="33" t="str">
        <f t="shared" si="21"/>
        <v/>
      </c>
      <c r="AC44" s="33">
        <f t="shared" si="22"/>
        <v>0.13624918568566832</v>
      </c>
      <c r="AD44" s="15" t="str">
        <f t="shared" si="23"/>
        <v xml:space="preserve"> </v>
      </c>
      <c r="AE44" s="5"/>
      <c r="AF44" s="27">
        <f>IF($G44&lt;&gt;0,SUMIF(куб!$G:$G,$G44,куб!R:R),IF($E44&lt;&gt;0,SUMIF(куб!$E:$E,$E44,куб!R:R),IF($D44&lt;&gt;0,SUMIF(куб!$D:$D,$D44,куб!R:R),IF($C44&lt;&gt;0,SUMIF(куб!$C:$C,$C44,куб!R:R),IF($B44&lt;&gt;0,SUMIF(куб!$B:$B,$B44,куб!R:R))))))</f>
        <v>0</v>
      </c>
      <c r="AG44" s="27">
        <f>IF($G44&lt;&gt;0,SUMIF(куб!$G:$G,$G44,куб!S:S),IF($E44&lt;&gt;0,SUMIF(куб!$E:$E,$E44,куб!S:S),IF($D44&lt;&gt;0,SUMIF(куб!$D:$D,$D44,куб!S:S),IF($C44&lt;&gt;0,SUMIF(куб!$C:$C,$C44,куб!S:S),IF($B44&lt;&gt;0,SUMIF(куб!$B:$B,$B44,куб!S:S))))))</f>
        <v>633.96310000000005</v>
      </c>
      <c r="AH44" s="16" t="str">
        <f t="shared" si="24"/>
        <v>-</v>
      </c>
      <c r="AI44" s="8"/>
      <c r="AJ44" s="27">
        <f>IF($G44&lt;&gt;0,SUMIF(куб!$G:$G,$G44,куб!T:T),IF($E44&lt;&gt;0,SUMIF(куб!$E:$E,$E44,куб!T:T),IF($D44&lt;&gt;0,SUMIF(куб!$D:$D,$D44,куб!T:T),IF($C44&lt;&gt;0,SUMIF(куб!$C:$C,$C44,куб!T:T),IF($B44&lt;&gt;0,SUMIF(куб!$B:$B,$B44,куб!T:T))))))</f>
        <v>0</v>
      </c>
      <c r="AK44" s="27">
        <f>IF($G44&lt;&gt;0,SUMIF(куб!$G:$G,$G44,куб!U:U),IF($E44&lt;&gt;0,SUMIF(куб!$E:$E,$E44,куб!U:U),IF($D44&lt;&gt;0,SUMIF(куб!$D:$D,$D44,куб!U:U),IF($C44&lt;&gt;0,SUMIF(куб!$C:$C,$C44,куб!U:U),IF($B44&lt;&gt;0,SUMIF(куб!$B:$B,$B44,куб!U:U))))))</f>
        <v>11</v>
      </c>
      <c r="AL44" s="16" t="str">
        <f t="shared" si="25"/>
        <v>-</v>
      </c>
      <c r="AM44" s="8"/>
      <c r="AN44" s="17" t="str">
        <f t="shared" si="26"/>
        <v xml:space="preserve"> </v>
      </c>
      <c r="AO44" s="17">
        <f t="shared" si="27"/>
        <v>4.430606467430376E-4</v>
      </c>
      <c r="AP44" s="16" t="str">
        <f t="shared" si="28"/>
        <v>-</v>
      </c>
      <c r="AQ44" s="8"/>
      <c r="AR44" s="17" t="str">
        <f t="shared" si="29"/>
        <v>-</v>
      </c>
      <c r="AS44" s="17">
        <f t="shared" si="30"/>
        <v>0.13580612503892531</v>
      </c>
      <c r="AT44" s="13" t="str">
        <f t="shared" si="31"/>
        <v>-</v>
      </c>
      <c r="AU44" s="8"/>
      <c r="AV44" s="22"/>
      <c r="AW44" s="22"/>
      <c r="AX44" s="22"/>
    </row>
    <row r="45" spans="1:50" ht="15" customHeight="1" x14ac:dyDescent="0.25">
      <c r="A45" s="31" t="s">
        <v>26</v>
      </c>
      <c r="B45" s="31" t="s">
        <v>32</v>
      </c>
      <c r="C45" t="s">
        <v>33</v>
      </c>
      <c r="D45" s="31" t="s">
        <v>34</v>
      </c>
      <c r="E45" t="s">
        <v>35</v>
      </c>
      <c r="F45" s="31" t="s">
        <v>116</v>
      </c>
      <c r="G45" t="s">
        <v>117</v>
      </c>
      <c r="H45" s="27">
        <f>IF($G45&lt;&gt;0,SUMIF(куб!$G:$G,$G45,куб!H:H),IF($E45&lt;&gt;0,SUMIF(куб!$E:$E,$E45,куб!H:H),IF($D45&lt;&gt;0,SUMIF(куб!$D:$D,$D45,куб!H:H),IF($C45&lt;&gt;0,SUMIF(куб!$C:$C,$C45,куб!H:H),IF($B45&lt;&gt;0,SUMIF(куб!$B:$B,$B45,куб!H:H),IF($G45&lt;&gt;0,SUMIF(куб!$A:$A,$G45,куб!H:H),SUMIF(куб!$A:$A,$G45,куб!H:H)))))))</f>
        <v>1395568.8409</v>
      </c>
      <c r="I45" s="27">
        <f>IF($G45&lt;&gt;0,SUMIF(куб!$G:$G,$G45,куб!I:I),IF($E45&lt;&gt;0,SUMIF(куб!$E:$E,$E45,куб!I:I),IF($D45&lt;&gt;0,SUMIF(куб!$D:$D,$D45,куб!I:I),IF($C45&lt;&gt;0,SUMIF(куб!$C:$C,$C45,куб!I:I),IF($B45&lt;&gt;0,SUMIF(куб!$B:$B,$B45,куб!I:I),IF($G45&lt;&gt;0,SUMIF(куб!$A:$A,$G45,куб!I:I),SUMIF(куб!$A:$A,$G45,куб!I:I)))))))</f>
        <v>0</v>
      </c>
      <c r="J45" s="19">
        <f t="shared" si="33"/>
        <v>-1</v>
      </c>
      <c r="K45" s="5"/>
      <c r="L45" s="17">
        <f t="shared" si="15"/>
        <v>2.9151926309815067E-3</v>
      </c>
      <c r="M45" s="17">
        <f t="shared" si="16"/>
        <v>0</v>
      </c>
      <c r="N45" s="12">
        <f t="shared" si="17"/>
        <v>-2.9151926309815067E-3</v>
      </c>
      <c r="O45" s="5"/>
      <c r="P45" s="27">
        <f>IF($G45&lt;&gt;0,SUMIF(куб!$G:$G,$G45,куб!J:J),IF($E45&lt;&gt;0,SUMIF(куб!$E:$E,$E45,куб!J:J),IF($D45&lt;&gt;0,SUMIF(куб!$D:$D,$D45,куб!J:J),IF($C45&lt;&gt;0,SUMIF(куб!$C:$C,$C45,куб!J:J),IF($B45&lt;&gt;0,SUMIF(куб!$B:$B,$B45,куб!J:J))))))</f>
        <v>17312</v>
      </c>
      <c r="Q45" s="27">
        <f>IF($G45&lt;&gt;0,SUMIF(куб!$G:$G,$G45,куб!K:K),IF($E45&lt;&gt;0,SUMIF(куб!$E:$E,$E45,куб!K:K),IF($D45&lt;&gt;0,SUMIF(куб!$D:$D,$D45,куб!K:K),IF($C45&lt;&gt;0,SUMIF(куб!$C:$C,$C45,куб!K:K),IF($B45&lt;&gt;0,SUMIF(куб!$B:$B,$B45,куб!K:K))))))</f>
        <v>0</v>
      </c>
      <c r="R45" s="13">
        <f t="shared" si="18"/>
        <v>-1</v>
      </c>
      <c r="S45" s="5"/>
      <c r="T45" s="27">
        <f>IF($G45&lt;&gt;0,SUMIF(куб!$G:$G,$G45,куб!L:L),IF($E45&lt;&gt;0,SUMIF(куб!$E:$E,$E45,куб!L:L),IF($D45&lt;&gt;0,SUMIF(куб!$D:$D,$D45,куб!L:L),IF($C45&lt;&gt;0,SUMIF(куб!$C:$C,$C45,куб!L:L),IF($B45&lt;&gt;0,SUMIF(куб!$B:$B,$B45,куб!L:L))))))</f>
        <v>16913.824000000001</v>
      </c>
      <c r="U45" s="27">
        <f>IF($G45&lt;&gt;0,SUMIF(куб!$G:$G,$G45,куб!M:M),IF($E45&lt;&gt;0,SUMIF(куб!$E:$E,$E45,куб!M:M),IF($D45&lt;&gt;0,SUMIF(куб!$D:$D,$D45,куб!M:M),IF($C45&lt;&gt;0,SUMIF(куб!$C:$C,$C45,куб!M:M),IF($B45&lt;&gt;0,SUMIF(куб!$B:$B,$B45,куб!M:M))))))</f>
        <v>0</v>
      </c>
      <c r="V45" s="13">
        <f t="shared" si="19"/>
        <v>-1</v>
      </c>
      <c r="W45" s="5"/>
      <c r="X45" s="27">
        <f>IF($G45&lt;&gt;0,SUMIF(куб!$G:$G,$G45,куб!N:N),IF($E45&lt;&gt;0,SUMIF(куб!$E:$E,$E45,куб!N:N),IF($D45&lt;&gt;0,SUMIF(куб!$D:$D,$D45,куб!N:N),IF($C45&lt;&gt;0,SUMIF(куб!$C:$C,$C45,куб!N:N),IF($B45&lt;&gt;0,SUMIF(куб!$B:$B,$B45,куб!N:N))))))</f>
        <v>192664.87929999945</v>
      </c>
      <c r="Y45" s="27">
        <f>IF($G45&lt;&gt;0,SUMIF(куб!$G:$G,$G45,куб!O:O),IF($E45&lt;&gt;0,SUMIF(куб!$E:$E,$E45,куб!O:O),IF($D45&lt;&gt;0,SUMIF(куб!$D:$D,$D45,куб!O:O),IF($C45&lt;&gt;0,SUMIF(куб!$C:$C,$C45,куб!O:O),IF($B45&lt;&gt;0,SUMIF(куб!$B:$B,$B45,куб!O:O))))))</f>
        <v>0</v>
      </c>
      <c r="Z45" s="13">
        <f t="shared" si="20"/>
        <v>-1</v>
      </c>
      <c r="AA45" s="5"/>
      <c r="AB45" s="33">
        <f t="shared" si="21"/>
        <v>0.13805472983744047</v>
      </c>
      <c r="AC45" s="33" t="str">
        <f t="shared" si="22"/>
        <v/>
      </c>
      <c r="AD45" s="15" t="str">
        <f t="shared" si="23"/>
        <v xml:space="preserve"> </v>
      </c>
      <c r="AE45" s="5"/>
      <c r="AF45" s="27">
        <f>IF($G45&lt;&gt;0,SUMIF(куб!$G:$G,$G45,куб!R:R),IF($E45&lt;&gt;0,SUMIF(куб!$E:$E,$E45,куб!R:R),IF($D45&lt;&gt;0,SUMIF(куб!$D:$D,$D45,куб!R:R),IF($C45&lt;&gt;0,SUMIF(куб!$C:$C,$C45,куб!R:R),IF($B45&lt;&gt;0,SUMIF(куб!$B:$B,$B45,куб!R:R))))))</f>
        <v>11749.633800000001</v>
      </c>
      <c r="AG45" s="27">
        <f>IF($G45&lt;&gt;0,SUMIF(куб!$G:$G,$G45,куб!S:S),IF($E45&lt;&gt;0,SUMIF(куб!$E:$E,$E45,куб!S:S),IF($D45&lt;&gt;0,SUMIF(куб!$D:$D,$D45,куб!S:S),IF($C45&lt;&gt;0,SUMIF(куб!$C:$C,$C45,куб!S:S),IF($B45&lt;&gt;0,SUMIF(куб!$B:$B,$B45,куб!S:S))))))</f>
        <v>0</v>
      </c>
      <c r="AH45" s="16">
        <f t="shared" si="24"/>
        <v>-1</v>
      </c>
      <c r="AI45" s="8"/>
      <c r="AJ45" s="27">
        <f>IF($G45&lt;&gt;0,SUMIF(куб!$G:$G,$G45,куб!T:T),IF($E45&lt;&gt;0,SUMIF(куб!$E:$E,$E45,куб!T:T),IF($D45&lt;&gt;0,SUMIF(куб!$D:$D,$D45,куб!T:T),IF($C45&lt;&gt;0,SUMIF(куб!$C:$C,$C45,куб!T:T),IF($B45&lt;&gt;0,SUMIF(куб!$B:$B,$B45,куб!T:T))))))</f>
        <v>166</v>
      </c>
      <c r="AK45" s="27">
        <f>IF($G45&lt;&gt;0,SUMIF(куб!$G:$G,$G45,куб!U:U),IF($E45&lt;&gt;0,SUMIF(куб!$E:$E,$E45,куб!U:U),IF($D45&lt;&gt;0,SUMIF(куб!$D:$D,$D45,куб!U:U),IF($C45&lt;&gt;0,SUMIF(куб!$C:$C,$C45,куб!U:U),IF($B45&lt;&gt;0,SUMIF(куб!$B:$B,$B45,куб!U:U))))))</f>
        <v>0</v>
      </c>
      <c r="AL45" s="16">
        <f t="shared" si="25"/>
        <v>-1</v>
      </c>
      <c r="AM45" s="8"/>
      <c r="AN45" s="17">
        <f t="shared" si="26"/>
        <v>8.4192434336830581E-3</v>
      </c>
      <c r="AO45" s="17" t="str">
        <f t="shared" si="27"/>
        <v xml:space="preserve"> </v>
      </c>
      <c r="AP45" s="16" t="str">
        <f t="shared" si="28"/>
        <v>-</v>
      </c>
      <c r="AQ45" s="8"/>
      <c r="AR45" s="17">
        <f t="shared" si="29"/>
        <v>0.12963548640375741</v>
      </c>
      <c r="AS45" s="17" t="str">
        <f t="shared" si="30"/>
        <v>-</v>
      </c>
      <c r="AT45" s="13" t="str">
        <f t="shared" si="31"/>
        <v>-</v>
      </c>
      <c r="AU45" s="8"/>
      <c r="AV45" s="22"/>
      <c r="AW45" s="22"/>
      <c r="AX45" s="22"/>
    </row>
    <row r="46" spans="1:50" ht="15" customHeight="1" x14ac:dyDescent="0.25">
      <c r="A46" s="31" t="s">
        <v>26</v>
      </c>
      <c r="B46" s="31" t="s">
        <v>32</v>
      </c>
      <c r="C46" t="s">
        <v>33</v>
      </c>
      <c r="D46" s="31" t="s">
        <v>34</v>
      </c>
      <c r="E46" t="s">
        <v>35</v>
      </c>
      <c r="F46" s="31" t="s">
        <v>118</v>
      </c>
      <c r="G46" t="s">
        <v>119</v>
      </c>
      <c r="H46" s="27">
        <f>IF($G46&lt;&gt;0,SUMIF(куб!$G:$G,$G46,куб!H:H),IF($E46&lt;&gt;0,SUMIF(куб!$E:$E,$E46,куб!H:H),IF($D46&lt;&gt;0,SUMIF(куб!$D:$D,$D46,куб!H:H),IF($C46&lt;&gt;0,SUMIF(куб!$C:$C,$C46,куб!H:H),IF($B46&lt;&gt;0,SUMIF(куб!$B:$B,$B46,куб!H:H),IF($G46&lt;&gt;0,SUMIF(куб!$A:$A,$G46,куб!H:H),SUMIF(куб!$A:$A,$G46,куб!H:H)))))))</f>
        <v>0</v>
      </c>
      <c r="I46" s="27">
        <f>IF($G46&lt;&gt;0,SUMIF(куб!$G:$G,$G46,куб!I:I),IF($E46&lt;&gt;0,SUMIF(куб!$E:$E,$E46,куб!I:I),IF($D46&lt;&gt;0,SUMIF(куб!$D:$D,$D46,куб!I:I),IF($C46&lt;&gt;0,SUMIF(куб!$C:$C,$C46,куб!I:I),IF($B46&lt;&gt;0,SUMIF(куб!$B:$B,$B46,куб!I:I),IF($G46&lt;&gt;0,SUMIF(куб!$A:$A,$G46,куб!I:I),SUMIF(куб!$A:$A,$G46,куб!I:I)))))))</f>
        <v>277066.76479999995</v>
      </c>
      <c r="J46" s="19" t="str">
        <f t="shared" si="33"/>
        <v>-</v>
      </c>
      <c r="K46" s="8"/>
      <c r="L46" s="17">
        <f t="shared" si="15"/>
        <v>0</v>
      </c>
      <c r="M46" s="17">
        <f t="shared" si="16"/>
        <v>5.9075483463932855E-4</v>
      </c>
      <c r="N46" s="12">
        <f t="shared" si="17"/>
        <v>5.9075483463932855E-4</v>
      </c>
      <c r="O46" s="5"/>
      <c r="P46" s="27">
        <f>IF($G46&lt;&gt;0,SUMIF(куб!$G:$G,$G46,куб!J:J),IF($E46&lt;&gt;0,SUMIF(куб!$E:$E,$E46,куб!J:J),IF($D46&lt;&gt;0,SUMIF(куб!$D:$D,$D46,куб!J:J),IF($C46&lt;&gt;0,SUMIF(куб!$C:$C,$C46,куб!J:J),IF($B46&lt;&gt;0,SUMIF(куб!$B:$B,$B46,куб!J:J))))))</f>
        <v>0</v>
      </c>
      <c r="Q46" s="27">
        <f>IF($G46&lt;&gt;0,SUMIF(куб!$G:$G,$G46,куб!K:K),IF($E46&lt;&gt;0,SUMIF(куб!$E:$E,$E46,куб!K:K),IF($D46&lt;&gt;0,SUMIF(куб!$D:$D,$D46,куб!K:K),IF($C46&lt;&gt;0,SUMIF(куб!$C:$C,$C46,куб!K:K),IF($B46&lt;&gt;0,SUMIF(куб!$B:$B,$B46,куб!K:K))))))</f>
        <v>5094</v>
      </c>
      <c r="R46" s="13" t="str">
        <f t="shared" si="18"/>
        <v>-</v>
      </c>
      <c r="S46" s="5"/>
      <c r="T46" s="27">
        <f>IF($G46&lt;&gt;0,SUMIF(куб!$G:$G,$G46,куб!L:L),IF($E46&lt;&gt;0,SUMIF(куб!$E:$E,$E46,куб!L:L),IF($D46&lt;&gt;0,SUMIF(куб!$D:$D,$D46,куб!L:L),IF($C46&lt;&gt;0,SUMIF(куб!$C:$C,$C46,куб!L:L),IF($B46&lt;&gt;0,SUMIF(куб!$B:$B,$B46,куб!L:L))))))</f>
        <v>0</v>
      </c>
      <c r="U46" s="27">
        <f>IF($G46&lt;&gt;0,SUMIF(куб!$G:$G,$G46,куб!M:M),IF($E46&lt;&gt;0,SUMIF(куб!$E:$E,$E46,куб!M:M),IF($D46&lt;&gt;0,SUMIF(куб!$D:$D,$D46,куб!M:M),IF($C46&lt;&gt;0,SUMIF(куб!$C:$C,$C46,куб!M:M),IF($B46&lt;&gt;0,SUMIF(куб!$B:$B,$B46,куб!M:M))))))</f>
        <v>4711.95</v>
      </c>
      <c r="V46" s="13" t="str">
        <f t="shared" si="19"/>
        <v>-</v>
      </c>
      <c r="W46" s="5"/>
      <c r="X46" s="27">
        <f>IF($G46&lt;&gt;0,SUMIF(куб!$G:$G,$G46,куб!N:N),IF($E46&lt;&gt;0,SUMIF(куб!$E:$E,$E46,куб!N:N),IF($D46&lt;&gt;0,SUMIF(куб!$D:$D,$D46,куб!N:N),IF($C46&lt;&gt;0,SUMIF(куб!$C:$C,$C46,куб!N:N),IF($B46&lt;&gt;0,SUMIF(куб!$B:$B,$B46,куб!N:N))))))</f>
        <v>0</v>
      </c>
      <c r="Y46" s="27">
        <f>IF($G46&lt;&gt;0,SUMIF(куб!$G:$G,$G46,куб!O:O),IF($E46&lt;&gt;0,SUMIF(куб!$E:$E,$E46,куб!O:O),IF($D46&lt;&gt;0,SUMIF(куб!$D:$D,$D46,куб!O:O),IF($C46&lt;&gt;0,SUMIF(куб!$C:$C,$C46,куб!O:O),IF($B46&lt;&gt;0,SUMIF(куб!$B:$B,$B46,куб!O:O))))))</f>
        <v>39948.445599999977</v>
      </c>
      <c r="Z46" s="13" t="str">
        <f t="shared" si="20"/>
        <v>-</v>
      </c>
      <c r="AA46" s="5"/>
      <c r="AB46" s="33" t="str">
        <f t="shared" si="21"/>
        <v/>
      </c>
      <c r="AC46" s="33">
        <f t="shared" si="22"/>
        <v>0.1441834628878591</v>
      </c>
      <c r="AD46" s="15" t="str">
        <f t="shared" si="23"/>
        <v xml:space="preserve"> </v>
      </c>
      <c r="AE46" s="5"/>
      <c r="AF46" s="27">
        <f>IF($G46&lt;&gt;0,SUMIF(куб!$G:$G,$G46,куб!R:R),IF($E46&lt;&gt;0,SUMIF(куб!$E:$E,$E46,куб!R:R),IF($D46&lt;&gt;0,SUMIF(куб!$D:$D,$D46,куб!R:R),IF($C46&lt;&gt;0,SUMIF(куб!$C:$C,$C46,куб!R:R),IF($B46&lt;&gt;0,SUMIF(куб!$B:$B,$B46,куб!R:R))))))</f>
        <v>0</v>
      </c>
      <c r="AG46" s="27">
        <f>IF($G46&lt;&gt;0,SUMIF(куб!$G:$G,$G46,куб!S:S),IF($E46&lt;&gt;0,SUMIF(куб!$E:$E,$E46,куб!S:S),IF($D46&lt;&gt;0,SUMIF(куб!$D:$D,$D46,куб!S:S),IF($C46&lt;&gt;0,SUMIF(куб!$C:$C,$C46,куб!S:S),IF($B46&lt;&gt;0,SUMIF(куб!$B:$B,$B46,куб!S:S))))))</f>
        <v>2851.4159999999993</v>
      </c>
      <c r="AH46" s="16" t="str">
        <f t="shared" si="24"/>
        <v>-</v>
      </c>
      <c r="AI46" s="8"/>
      <c r="AJ46" s="27">
        <f>IF($G46&lt;&gt;0,SUMIF(куб!$G:$G,$G46,куб!T:T),IF($E46&lt;&gt;0,SUMIF(куб!$E:$E,$E46,куб!T:T),IF($D46&lt;&gt;0,SUMIF(куб!$D:$D,$D46,куб!T:T),IF($C46&lt;&gt;0,SUMIF(куб!$C:$C,$C46,куб!T:T),IF($B46&lt;&gt;0,SUMIF(куб!$B:$B,$B46,куб!T:T))))))</f>
        <v>0</v>
      </c>
      <c r="AK46" s="27">
        <f>IF($G46&lt;&gt;0,SUMIF(куб!$G:$G,$G46,куб!U:U),IF($E46&lt;&gt;0,SUMIF(куб!$E:$E,$E46,куб!U:U),IF($D46&lt;&gt;0,SUMIF(куб!$D:$D,$D46,куб!U:U),IF($C46&lt;&gt;0,SUMIF(куб!$C:$C,$C46,куб!U:U),IF($B46&lt;&gt;0,SUMIF(куб!$B:$B,$B46,куб!U:U))))))</f>
        <v>61</v>
      </c>
      <c r="AL46" s="16" t="str">
        <f t="shared" si="25"/>
        <v>-</v>
      </c>
      <c r="AM46" s="8"/>
      <c r="AN46" s="17" t="str">
        <f t="shared" si="26"/>
        <v xml:space="preserve"> </v>
      </c>
      <c r="AO46" s="17">
        <f t="shared" si="27"/>
        <v>1.0291440050770029E-2</v>
      </c>
      <c r="AP46" s="16" t="str">
        <f t="shared" si="28"/>
        <v>-</v>
      </c>
      <c r="AQ46" s="8"/>
      <c r="AR46" s="17" t="str">
        <f t="shared" si="29"/>
        <v>-</v>
      </c>
      <c r="AS46" s="17">
        <f t="shared" si="30"/>
        <v>0.13389202283708906</v>
      </c>
      <c r="AT46" s="13" t="str">
        <f t="shared" si="31"/>
        <v>-</v>
      </c>
      <c r="AU46" s="8"/>
    </row>
    <row r="47" spans="1:50" ht="15" customHeight="1" x14ac:dyDescent="0.25">
      <c r="A47" s="31" t="s">
        <v>26</v>
      </c>
      <c r="B47" s="31" t="s">
        <v>32</v>
      </c>
      <c r="C47" t="s">
        <v>33</v>
      </c>
      <c r="D47" s="31" t="s">
        <v>34</v>
      </c>
      <c r="E47" t="s">
        <v>35</v>
      </c>
      <c r="F47" s="31" t="s">
        <v>120</v>
      </c>
      <c r="G47" t="s">
        <v>121</v>
      </c>
      <c r="H47" s="27">
        <f>IF($G47&lt;&gt;0,SUMIF(куб!$G:$G,$G47,куб!H:H),IF($E47&lt;&gt;0,SUMIF(куб!$E:$E,$E47,куб!H:H),IF($D47&lt;&gt;0,SUMIF(куб!$D:$D,$D47,куб!H:H),IF($C47&lt;&gt;0,SUMIF(куб!$C:$C,$C47,куб!H:H),IF($B47&lt;&gt;0,SUMIF(куб!$B:$B,$B47,куб!H:H),IF($G47&lt;&gt;0,SUMIF(куб!$A:$A,$G47,куб!H:H),SUMIF(куб!$A:$A,$G47,куб!H:H)))))))</f>
        <v>176539.52890000009</v>
      </c>
      <c r="I47" s="27">
        <f>IF($G47&lt;&gt;0,SUMIF(куб!$G:$G,$G47,куб!I:I),IF($E47&lt;&gt;0,SUMIF(куб!$E:$E,$E47,куб!I:I),IF($D47&lt;&gt;0,SUMIF(куб!$D:$D,$D47,куб!I:I),IF($C47&lt;&gt;0,SUMIF(куб!$C:$C,$C47,куб!I:I),IF($B47&lt;&gt;0,SUMIF(куб!$B:$B,$B47,куб!I:I),IF($G47&lt;&gt;0,SUMIF(куб!$A:$A,$G47,куб!I:I),SUMIF(куб!$A:$A,$G47,куб!I:I)))))))</f>
        <v>0</v>
      </c>
      <c r="J47" s="19">
        <f t="shared" si="33"/>
        <v>-1</v>
      </c>
      <c r="K47" s="10"/>
      <c r="L47" s="17">
        <f t="shared" si="15"/>
        <v>3.6877201514067356E-4</v>
      </c>
      <c r="M47" s="17">
        <f t="shared" si="16"/>
        <v>0</v>
      </c>
      <c r="N47" s="12">
        <f t="shared" si="17"/>
        <v>-3.6877201514067356E-4</v>
      </c>
      <c r="O47" s="5"/>
      <c r="P47" s="27">
        <f>IF($G47&lt;&gt;0,SUMIF(куб!$G:$G,$G47,куб!J:J),IF($E47&lt;&gt;0,SUMIF(куб!$E:$E,$E47,куб!J:J),IF($D47&lt;&gt;0,SUMIF(куб!$D:$D,$D47,куб!J:J),IF($C47&lt;&gt;0,SUMIF(куб!$C:$C,$C47,куб!J:J),IF($B47&lt;&gt;0,SUMIF(куб!$B:$B,$B47,куб!J:J))))))</f>
        <v>2372</v>
      </c>
      <c r="Q47" s="27">
        <f>IF($G47&lt;&gt;0,SUMIF(куб!$G:$G,$G47,куб!K:K),IF($E47&lt;&gt;0,SUMIF(куб!$E:$E,$E47,куб!K:K),IF($D47&lt;&gt;0,SUMIF(куб!$D:$D,$D47,куб!K:K),IF($C47&lt;&gt;0,SUMIF(куб!$C:$C,$C47,куб!K:K),IF($B47&lt;&gt;0,SUMIF(куб!$B:$B,$B47,куб!K:K))))))</f>
        <v>0</v>
      </c>
      <c r="R47" s="13">
        <f t="shared" si="18"/>
        <v>-1</v>
      </c>
      <c r="S47" s="5"/>
      <c r="T47" s="27">
        <f>IF($G47&lt;&gt;0,SUMIF(куб!$G:$G,$G47,куб!L:L),IF($E47&lt;&gt;0,SUMIF(куб!$E:$E,$E47,куб!L:L),IF($D47&lt;&gt;0,SUMIF(куб!$D:$D,$D47,куб!L:L),IF($C47&lt;&gt;0,SUMIF(куб!$C:$C,$C47,куб!L:L),IF($B47&lt;&gt;0,SUMIF(куб!$B:$B,$B47,куб!L:L))))))</f>
        <v>2438.4160000000006</v>
      </c>
      <c r="U47" s="27">
        <f>IF($G47&lt;&gt;0,SUMIF(куб!$G:$G,$G47,куб!M:M),IF($E47&lt;&gt;0,SUMIF(куб!$E:$E,$E47,куб!M:M),IF($D47&lt;&gt;0,SUMIF(куб!$D:$D,$D47,куб!M:M),IF($C47&lt;&gt;0,SUMIF(куб!$C:$C,$C47,куб!M:M),IF($B47&lt;&gt;0,SUMIF(куб!$B:$B,$B47,куб!M:M))))))</f>
        <v>0</v>
      </c>
      <c r="V47" s="13">
        <f t="shared" si="19"/>
        <v>-1</v>
      </c>
      <c r="W47" s="5"/>
      <c r="X47" s="27">
        <f>IF($G47&lt;&gt;0,SUMIF(куб!$G:$G,$G47,куб!N:N),IF($E47&lt;&gt;0,SUMIF(куб!$E:$E,$E47,куб!N:N),IF($D47&lt;&gt;0,SUMIF(куб!$D:$D,$D47,куб!N:N),IF($C47&lt;&gt;0,SUMIF(куб!$C:$C,$C47,куб!N:N),IF($B47&lt;&gt;0,SUMIF(куб!$B:$B,$B47,куб!N:N))))))</f>
        <v>25942.892600000079</v>
      </c>
      <c r="Y47" s="27">
        <f>IF($G47&lt;&gt;0,SUMIF(куб!$G:$G,$G47,куб!O:O),IF($E47&lt;&gt;0,SUMIF(куб!$E:$E,$E47,куб!O:O),IF($D47&lt;&gt;0,SUMIF(куб!$D:$D,$D47,куб!O:O),IF($C47&lt;&gt;0,SUMIF(куб!$C:$C,$C47,куб!O:O),IF($B47&lt;&gt;0,SUMIF(куб!$B:$B,$B47,куб!O:O))))))</f>
        <v>0</v>
      </c>
      <c r="Z47" s="13">
        <f t="shared" si="20"/>
        <v>-1</v>
      </c>
      <c r="AA47" s="5"/>
      <c r="AB47" s="33">
        <f t="shared" si="21"/>
        <v>0.14695231578812754</v>
      </c>
      <c r="AC47" s="33" t="str">
        <f t="shared" si="22"/>
        <v/>
      </c>
      <c r="AD47" s="15" t="str">
        <f t="shared" si="23"/>
        <v xml:space="preserve"> </v>
      </c>
      <c r="AE47" s="5"/>
      <c r="AF47" s="27">
        <f>IF($G47&lt;&gt;0,SUMIF(куб!$G:$G,$G47,куб!R:R),IF($E47&lt;&gt;0,SUMIF(куб!$E:$E,$E47,куб!R:R),IF($D47&lt;&gt;0,SUMIF(куб!$D:$D,$D47,куб!R:R),IF($C47&lt;&gt;0,SUMIF(куб!$C:$C,$C47,куб!R:R),IF($B47&lt;&gt;0,SUMIF(куб!$B:$B,$B47,куб!R:R))))))</f>
        <v>18415</v>
      </c>
      <c r="AG47" s="27">
        <f>IF($G47&lt;&gt;0,SUMIF(куб!$G:$G,$G47,куб!S:S),IF($E47&lt;&gt;0,SUMIF(куб!$E:$E,$E47,куб!S:S),IF($D47&lt;&gt;0,SUMIF(куб!$D:$D,$D47,куб!S:S),IF($C47&lt;&gt;0,SUMIF(куб!$C:$C,$C47,куб!S:S),IF($B47&lt;&gt;0,SUMIF(куб!$B:$B,$B47,куб!S:S))))))</f>
        <v>0</v>
      </c>
      <c r="AH47" s="16">
        <f t="shared" si="24"/>
        <v>-1</v>
      </c>
      <c r="AI47" s="8"/>
      <c r="AJ47" s="27">
        <f>IF($G47&lt;&gt;0,SUMIF(куб!$G:$G,$G47,куб!T:T),IF($E47&lt;&gt;0,SUMIF(куб!$E:$E,$E47,куб!T:T),IF($D47&lt;&gt;0,SUMIF(куб!$D:$D,$D47,куб!T:T),IF($C47&lt;&gt;0,SUMIF(куб!$C:$C,$C47,куб!T:T),IF($B47&lt;&gt;0,SUMIF(куб!$B:$B,$B47,куб!T:T))))))</f>
        <v>290</v>
      </c>
      <c r="AK47" s="27">
        <f>IF($G47&lt;&gt;0,SUMIF(куб!$G:$G,$G47,куб!U:U),IF($E47&lt;&gt;0,SUMIF(куб!$E:$E,$E47,куб!U:U),IF($D47&lt;&gt;0,SUMIF(куб!$D:$D,$D47,куб!U:U),IF($C47&lt;&gt;0,SUMIF(куб!$C:$C,$C47,куб!U:U),IF($B47&lt;&gt;0,SUMIF(куб!$B:$B,$B47,куб!U:U))))))</f>
        <v>0</v>
      </c>
      <c r="AL47" s="16">
        <f t="shared" si="25"/>
        <v>-1</v>
      </c>
      <c r="AM47" s="8"/>
      <c r="AN47" s="17">
        <f t="shared" si="26"/>
        <v>0.1043109161712507</v>
      </c>
      <c r="AO47" s="17" t="str">
        <f t="shared" si="27"/>
        <v xml:space="preserve"> </v>
      </c>
      <c r="AP47" s="16" t="str">
        <f t="shared" si="28"/>
        <v>-</v>
      </c>
      <c r="AQ47" s="8"/>
      <c r="AR47" s="17">
        <f t="shared" si="29"/>
        <v>4.2641399616876824E-2</v>
      </c>
      <c r="AS47" s="17" t="str">
        <f t="shared" si="30"/>
        <v>-</v>
      </c>
      <c r="AT47" s="13" t="str">
        <f t="shared" si="31"/>
        <v>-</v>
      </c>
      <c r="AU47" s="8"/>
      <c r="AV47" s="22"/>
      <c r="AW47" s="22"/>
      <c r="AX47" s="22"/>
    </row>
    <row r="48" spans="1:50" ht="15" customHeight="1" x14ac:dyDescent="0.25">
      <c r="A48" s="31" t="s">
        <v>26</v>
      </c>
      <c r="B48" s="31" t="s">
        <v>32</v>
      </c>
      <c r="C48" t="s">
        <v>33</v>
      </c>
      <c r="D48" s="31" t="s">
        <v>34</v>
      </c>
      <c r="E48" t="s">
        <v>35</v>
      </c>
      <c r="F48" s="31" t="s">
        <v>122</v>
      </c>
      <c r="G48" t="s">
        <v>123</v>
      </c>
      <c r="H48" s="27">
        <f>IF($G48&lt;&gt;0,SUMIF(куб!$G:$G,$G48,куб!H:H),IF($E48&lt;&gt;0,SUMIF(куб!$E:$E,$E48,куб!H:H),IF($D48&lt;&gt;0,SUMIF(куб!$D:$D,$D48,куб!H:H),IF($C48&lt;&gt;0,SUMIF(куб!$C:$C,$C48,куб!H:H),IF($B48&lt;&gt;0,SUMIF(куб!$B:$B,$B48,куб!H:H),IF($G48&lt;&gt;0,SUMIF(куб!$A:$A,$G48,куб!H:H),SUMIF(куб!$A:$A,$G48,куб!H:H)))))))</f>
        <v>153040.06540000002</v>
      </c>
      <c r="I48" s="27">
        <f>IF($G48&lt;&gt;0,SUMIF(куб!$G:$G,$G48,куб!I:I),IF($E48&lt;&gt;0,SUMIF(куб!$E:$E,$E48,куб!I:I),IF($D48&lt;&gt;0,SUMIF(куб!$D:$D,$D48,куб!I:I),IF($C48&lt;&gt;0,SUMIF(куб!$C:$C,$C48,куб!I:I),IF($B48&lt;&gt;0,SUMIF(куб!$B:$B,$B48,куб!I:I),IF($G48&lt;&gt;0,SUMIF(куб!$A:$A,$G48,куб!I:I),SUMIF(куб!$A:$A,$G48,куб!I:I)))))))</f>
        <v>156150.78289999996</v>
      </c>
      <c r="J48" s="19">
        <f t="shared" si="33"/>
        <v>2.0326164209806593E-2</v>
      </c>
      <c r="K48" s="5"/>
      <c r="L48" s="17">
        <f t="shared" si="15"/>
        <v>3.1968417309409986E-4</v>
      </c>
      <c r="M48" s="17">
        <f t="shared" si="16"/>
        <v>3.3294079857423299E-4</v>
      </c>
      <c r="N48" s="12">
        <f t="shared" si="17"/>
        <v>1.3256625480133138E-5</v>
      </c>
      <c r="O48" s="5"/>
      <c r="P48" s="27">
        <f>IF($G48&lt;&gt;0,SUMIF(куб!$G:$G,$G48,куб!J:J),IF($E48&lt;&gt;0,SUMIF(куб!$E:$E,$E48,куб!J:J),IF($D48&lt;&gt;0,SUMIF(куб!$D:$D,$D48,куб!J:J),IF($C48&lt;&gt;0,SUMIF(куб!$C:$C,$C48,куб!J:J),IF($B48&lt;&gt;0,SUMIF(куб!$B:$B,$B48,куб!J:J))))))</f>
        <v>2233</v>
      </c>
      <c r="Q48" s="27">
        <f>IF($G48&lt;&gt;0,SUMIF(куб!$G:$G,$G48,куб!K:K),IF($E48&lt;&gt;0,SUMIF(куб!$E:$E,$E48,куб!K:K),IF($D48&lt;&gt;0,SUMIF(куб!$D:$D,$D48,куб!K:K),IF($C48&lt;&gt;0,SUMIF(куб!$C:$C,$C48,куб!K:K),IF($B48&lt;&gt;0,SUMIF(куб!$B:$B,$B48,куб!K:K))))))</f>
        <v>2215</v>
      </c>
      <c r="R48" s="13">
        <f t="shared" si="18"/>
        <v>-8.0609046126287505E-3</v>
      </c>
      <c r="S48" s="5"/>
      <c r="T48" s="27">
        <f>IF($G48&lt;&gt;0,SUMIF(куб!$G:$G,$G48,куб!L:L),IF($E48&lt;&gt;0,SUMIF(куб!$E:$E,$E48,куб!L:L),IF($D48&lt;&gt;0,SUMIF(куб!$D:$D,$D48,куб!L:L),IF($C48&lt;&gt;0,SUMIF(куб!$C:$C,$C48,куб!L:L),IF($B48&lt;&gt;0,SUMIF(куб!$B:$B,$B48,куб!L:L))))))</f>
        <v>2069.9910000000009</v>
      </c>
      <c r="U48" s="27">
        <f>IF($G48&lt;&gt;0,SUMIF(куб!$G:$G,$G48,куб!M:M),IF($E48&lt;&gt;0,SUMIF(куб!$E:$E,$E48,куб!M:M),IF($D48&lt;&gt;0,SUMIF(куб!$D:$D,$D48,куб!M:M),IF($C48&lt;&gt;0,SUMIF(куб!$C:$C,$C48,куб!M:M),IF($B48&lt;&gt;0,SUMIF(куб!$B:$B,$B48,куб!M:M))))))</f>
        <v>2053.3050000000007</v>
      </c>
      <c r="V48" s="13">
        <f t="shared" si="19"/>
        <v>-8.0609046126288199E-3</v>
      </c>
      <c r="W48" s="5"/>
      <c r="X48" s="27">
        <f>IF($G48&lt;&gt;0,SUMIF(куб!$G:$G,$G48,куб!N:N),IF($E48&lt;&gt;0,SUMIF(куб!$E:$E,$E48,куб!N:N),IF($D48&lt;&gt;0,SUMIF(куб!$D:$D,$D48,куб!N:N),IF($C48&lt;&gt;0,SUMIF(куб!$C:$C,$C48,куб!N:N),IF($B48&lt;&gt;0,SUMIF(куб!$B:$B,$B48,куб!N:N))))))</f>
        <v>12888.893100000016</v>
      </c>
      <c r="Y48" s="27">
        <f>IF($G48&lt;&gt;0,SUMIF(куб!$G:$G,$G48,куб!O:O),IF($E48&lt;&gt;0,SUMIF(куб!$E:$E,$E48,куб!O:O),IF($D48&lt;&gt;0,SUMIF(куб!$D:$D,$D48,куб!O:O),IF($C48&lt;&gt;0,SUMIF(куб!$C:$C,$C48,куб!O:O),IF($B48&lt;&gt;0,SUMIF(куб!$B:$B,$B48,куб!O:O))))))</f>
        <v>17129.358099999954</v>
      </c>
      <c r="Z48" s="13">
        <f t="shared" si="20"/>
        <v>0.32900148733485368</v>
      </c>
      <c r="AA48" s="5"/>
      <c r="AB48" s="33">
        <f t="shared" si="21"/>
        <v>8.4219077313593557E-2</v>
      </c>
      <c r="AC48" s="33">
        <f t="shared" si="22"/>
        <v>0.10969754862497047</v>
      </c>
      <c r="AD48" s="15">
        <f t="shared" si="23"/>
        <v>2.5478471311376913E-2</v>
      </c>
      <c r="AE48" s="5"/>
      <c r="AF48" s="27">
        <f>IF($G48&lt;&gt;0,SUMIF(куб!$G:$G,$G48,куб!R:R),IF($E48&lt;&gt;0,SUMIF(куб!$E:$E,$E48,куб!R:R),IF($D48&lt;&gt;0,SUMIF(куб!$D:$D,$D48,куб!R:R),IF($C48&lt;&gt;0,SUMIF(куб!$C:$C,$C48,куб!R:R),IF($B48&lt;&gt;0,SUMIF(куб!$B:$B,$B48,куб!R:R))))))</f>
        <v>10669.815500000001</v>
      </c>
      <c r="AG48" s="27">
        <f>IF($G48&lt;&gt;0,SUMIF(куб!$G:$G,$G48,куб!S:S),IF($E48&lt;&gt;0,SUMIF(куб!$E:$E,$E48,куб!S:S),IF($D48&lt;&gt;0,SUMIF(куб!$D:$D,$D48,куб!S:S),IF($C48&lt;&gt;0,SUMIF(куб!$C:$C,$C48,куб!S:S),IF($B48&lt;&gt;0,SUMIF(куб!$B:$B,$B48,куб!S:S))))))</f>
        <v>3012.6536999999998</v>
      </c>
      <c r="AH48" s="16">
        <f t="shared" si="24"/>
        <v>-0.71764706709314707</v>
      </c>
      <c r="AI48" s="8"/>
      <c r="AJ48" s="27">
        <f>IF($G48&lt;&gt;0,SUMIF(куб!$G:$G,$G48,куб!T:T),IF($E48&lt;&gt;0,SUMIF(куб!$E:$E,$E48,куб!T:T),IF($D48&lt;&gt;0,SUMIF(куб!$D:$D,$D48,куб!T:T),IF($C48&lt;&gt;0,SUMIF(куб!$C:$C,$C48,куб!T:T),IF($B48&lt;&gt;0,SUMIF(куб!$B:$B,$B48,куб!T:T))))))</f>
        <v>170</v>
      </c>
      <c r="AK48" s="27">
        <f>IF($G48&lt;&gt;0,SUMIF(куб!$G:$G,$G48,куб!U:U),IF($E48&lt;&gt;0,SUMIF(куб!$E:$E,$E48,куб!U:U),IF($D48&lt;&gt;0,SUMIF(куб!$D:$D,$D48,куб!U:U),IF($C48&lt;&gt;0,SUMIF(куб!$C:$C,$C48,куб!U:U),IF($B48&lt;&gt;0,SUMIF(куб!$B:$B,$B48,куб!U:U))))))</f>
        <v>48</v>
      </c>
      <c r="AL48" s="16">
        <f t="shared" si="25"/>
        <v>-0.71764705882352942</v>
      </c>
      <c r="AM48" s="8"/>
      <c r="AN48" s="17">
        <f t="shared" si="26"/>
        <v>6.9719099192177947E-2</v>
      </c>
      <c r="AO48" s="17">
        <f t="shared" si="27"/>
        <v>1.9293234680285428E-2</v>
      </c>
      <c r="AP48" s="16">
        <f t="shared" si="28"/>
        <v>-5.0425864511892515E-2</v>
      </c>
      <c r="AQ48" s="8"/>
      <c r="AR48" s="17">
        <f t="shared" si="29"/>
        <v>1.4499978121415614E-2</v>
      </c>
      <c r="AS48" s="17">
        <f t="shared" si="30"/>
        <v>9.0404313944685052E-2</v>
      </c>
      <c r="AT48" s="13">
        <f t="shared" si="31"/>
        <v>7.5904335823269442E-2</v>
      </c>
      <c r="AU48" s="8"/>
    </row>
    <row r="49" spans="1:47" x14ac:dyDescent="0.25">
      <c r="A49" s="31" t="s">
        <v>26</v>
      </c>
      <c r="B49" s="31" t="s">
        <v>32</v>
      </c>
      <c r="C49" t="s">
        <v>33</v>
      </c>
      <c r="D49" s="31" t="s">
        <v>34</v>
      </c>
      <c r="E49" t="s">
        <v>35</v>
      </c>
      <c r="F49" s="31" t="s">
        <v>124</v>
      </c>
      <c r="G49" t="s">
        <v>125</v>
      </c>
      <c r="H49" s="27">
        <f>IF($G49&lt;&gt;0,SUMIF(куб!$G:$G,$G49,куб!H:H),IF($E49&lt;&gt;0,SUMIF(куб!$E:$E,$E49,куб!H:H),IF($D49&lt;&gt;0,SUMIF(куб!$D:$D,$D49,куб!H:H),IF($C49&lt;&gt;0,SUMIF(куб!$C:$C,$C49,куб!H:H),IF($B49&lt;&gt;0,SUMIF(куб!$B:$B,$B49,куб!H:H),IF($G49&lt;&gt;0,SUMIF(куб!$A:$A,$G49,куб!H:H),SUMIF(куб!$A:$A,$G49,куб!H:H)))))))</f>
        <v>193558.14480000004</v>
      </c>
      <c r="I49" s="27">
        <f>IF($G49&lt;&gt;0,SUMIF(куб!$G:$G,$G49,куб!I:I),IF($E49&lt;&gt;0,SUMIF(куб!$E:$E,$E49,куб!I:I),IF($D49&lt;&gt;0,SUMIF(куб!$D:$D,$D49,куб!I:I),IF($C49&lt;&gt;0,SUMIF(куб!$C:$C,$C49,куб!I:I),IF($B49&lt;&gt;0,SUMIF(куб!$B:$B,$B49,куб!I:I),IF($G49&lt;&gt;0,SUMIF(куб!$A:$A,$G49,куб!I:I),SUMIF(куб!$A:$A,$G49,куб!I:I)))))))</f>
        <v>314826.93969999999</v>
      </c>
      <c r="J49" s="19">
        <f t="shared" si="33"/>
        <v>0.62652385424185941</v>
      </c>
      <c r="K49" s="5"/>
      <c r="L49" s="17">
        <f t="shared" si="15"/>
        <v>4.043220662790964E-4</v>
      </c>
      <c r="M49" s="17">
        <f t="shared" si="16"/>
        <v>6.7126613629293517E-4</v>
      </c>
      <c r="N49" s="12">
        <f t="shared" si="17"/>
        <v>2.6694407001383877E-4</v>
      </c>
      <c r="O49" s="5"/>
      <c r="P49" s="27">
        <f>IF($G49&lt;&gt;0,SUMIF(куб!$G:$G,$G49,куб!J:J),IF($E49&lt;&gt;0,SUMIF(куб!$E:$E,$E49,куб!J:J),IF($D49&lt;&gt;0,SUMIF(куб!$D:$D,$D49,куб!J:J),IF($C49&lt;&gt;0,SUMIF(куб!$C:$C,$C49,куб!J:J),IF($B49&lt;&gt;0,SUMIF(куб!$B:$B,$B49,куб!J:J))))))</f>
        <v>5089</v>
      </c>
      <c r="Q49" s="27">
        <f>IF($G49&lt;&gt;0,SUMIF(куб!$G:$G,$G49,куб!K:K),IF($E49&lt;&gt;0,SUMIF(куб!$E:$E,$E49,куб!K:K),IF($D49&lt;&gt;0,SUMIF(куб!$D:$D,$D49,куб!K:K),IF($C49&lt;&gt;0,SUMIF(куб!$C:$C,$C49,куб!K:K),IF($B49&lt;&gt;0,SUMIF(куб!$B:$B,$B49,куб!K:K))))))</f>
        <v>8275</v>
      </c>
      <c r="R49" s="13">
        <f t="shared" si="18"/>
        <v>0.62605619964629589</v>
      </c>
      <c r="S49" s="5"/>
      <c r="T49" s="27">
        <f>IF($G49&lt;&gt;0,SUMIF(куб!$G:$G,$G49,куб!L:L),IF($E49&lt;&gt;0,SUMIF(куб!$E:$E,$E49,куб!L:L),IF($D49&lt;&gt;0,SUMIF(куб!$D:$D,$D49,куб!L:L),IF($C49&lt;&gt;0,SUMIF(куб!$C:$C,$C49,куб!L:L),IF($B49&lt;&gt;0,SUMIF(куб!$B:$B,$B49,куб!L:L))))))</f>
        <v>4580.0999999999995</v>
      </c>
      <c r="U49" s="27">
        <f>IF($G49&lt;&gt;0,SUMIF(куб!$G:$G,$G49,куб!M:M),IF($E49&lt;&gt;0,SUMIF(куб!$E:$E,$E49,куб!M:M),IF($D49&lt;&gt;0,SUMIF(куб!$D:$D,$D49,куб!M:M),IF($C49&lt;&gt;0,SUMIF(куб!$C:$C,$C49,куб!M:M),IF($B49&lt;&gt;0,SUMIF(куб!$B:$B,$B49,куб!M:M))))))</f>
        <v>7447.4999999999982</v>
      </c>
      <c r="V49" s="13">
        <f t="shared" si="19"/>
        <v>0.62605619964629577</v>
      </c>
      <c r="W49" s="5"/>
      <c r="X49" s="27">
        <f>IF($G49&lt;&gt;0,SUMIF(куб!$G:$G,$G49,куб!N:N),IF($E49&lt;&gt;0,SUMIF(куб!$E:$E,$E49,куб!N:N),IF($D49&lt;&gt;0,SUMIF(куб!$D:$D,$D49,куб!N:N),IF($C49&lt;&gt;0,SUMIF(куб!$C:$C,$C49,куб!N:N),IF($B49&lt;&gt;0,SUMIF(куб!$B:$B,$B49,куб!N:N))))))</f>
        <v>20286.051300000021</v>
      </c>
      <c r="Y49" s="27">
        <f>IF($G49&lt;&gt;0,SUMIF(куб!$G:$G,$G49,куб!O:O),IF($E49&lt;&gt;0,SUMIF(куб!$E:$E,$E49,куб!O:O),IF($D49&lt;&gt;0,SUMIF(куб!$D:$D,$D49,куб!O:O),IF($C49&lt;&gt;0,SUMIF(куб!$C:$C,$C49,куб!O:O),IF($B49&lt;&gt;0,SUMIF(куб!$B:$B,$B49,куб!O:O))))))</f>
        <v>33100.851500000106</v>
      </c>
      <c r="Z49" s="13">
        <f t="shared" si="20"/>
        <v>0.63170500806138019</v>
      </c>
      <c r="AA49" s="5"/>
      <c r="AB49" s="33">
        <f t="shared" si="21"/>
        <v>0.10480598127741518</v>
      </c>
      <c r="AC49" s="33">
        <f t="shared" si="22"/>
        <v>0.10513983184393959</v>
      </c>
      <c r="AD49" s="15">
        <f t="shared" si="23"/>
        <v>3.3385056652440737E-4</v>
      </c>
      <c r="AE49" s="5"/>
      <c r="AF49" s="27">
        <f>IF($G49&lt;&gt;0,SUMIF(куб!$G:$G,$G49,куб!R:R),IF($E49&lt;&gt;0,SUMIF(куб!$E:$E,$E49,куб!R:R),IF($D49&lt;&gt;0,SUMIF(куб!$D:$D,$D49,куб!R:R),IF($C49&lt;&gt;0,SUMIF(куб!$C:$C,$C49,куб!R:R),IF($B49&lt;&gt;0,SUMIF(куб!$B:$B,$B49,куб!R:R))))))</f>
        <v>1768.8525999999997</v>
      </c>
      <c r="AG49" s="27">
        <f>IF($G49&lt;&gt;0,SUMIF(куб!$G:$G,$G49,куб!S:S),IF($E49&lt;&gt;0,SUMIF(куб!$E:$E,$E49,куб!S:S),IF($D49&lt;&gt;0,SUMIF(куб!$D:$D,$D49,куб!S:S),IF($C49&lt;&gt;0,SUMIF(куб!$C:$C,$C49,куб!S:S),IF($B49&lt;&gt;0,SUMIF(куб!$B:$B,$B49,куб!S:S))))))</f>
        <v>1123.4986999999999</v>
      </c>
      <c r="AH49" s="16">
        <f t="shared" si="24"/>
        <v>-0.36484323227384802</v>
      </c>
      <c r="AI49" s="8"/>
      <c r="AJ49" s="27">
        <f>IF($G49&lt;&gt;0,SUMIF(куб!$G:$G,$G49,куб!T:T),IF($E49&lt;&gt;0,SUMIF(куб!$E:$E,$E49,куб!T:T),IF($D49&lt;&gt;0,SUMIF(куб!$D:$D,$D49,куб!T:T),IF($C49&lt;&gt;0,SUMIF(куб!$C:$C,$C49,куб!T:T),IF($B49&lt;&gt;0,SUMIF(куб!$B:$B,$B49,куб!T:T))))))</f>
        <v>52</v>
      </c>
      <c r="AK49" s="27">
        <f>IF($G49&lt;&gt;0,SUMIF(куб!$G:$G,$G49,куб!U:U),IF($E49&lt;&gt;0,SUMIF(куб!$E:$E,$E49,куб!U:U),IF($D49&lt;&gt;0,SUMIF(куб!$D:$D,$D49,куб!U:U),IF($C49&lt;&gt;0,SUMIF(куб!$C:$C,$C49,куб!U:U),IF($B49&lt;&gt;0,SUMIF(куб!$B:$B,$B49,куб!U:U))))))</f>
        <v>33</v>
      </c>
      <c r="AL49" s="16">
        <f t="shared" si="25"/>
        <v>-0.36538461538461536</v>
      </c>
      <c r="AM49" s="8"/>
      <c r="AN49" s="17">
        <f t="shared" si="26"/>
        <v>9.1386110454185314E-3</v>
      </c>
      <c r="AO49" s="17">
        <f t="shared" si="27"/>
        <v>3.5686231333017016E-3</v>
      </c>
      <c r="AP49" s="16">
        <f t="shared" si="28"/>
        <v>-5.5699879121168302E-3</v>
      </c>
      <c r="AQ49" s="8"/>
      <c r="AR49" s="17">
        <f t="shared" si="29"/>
        <v>9.566737023199666E-2</v>
      </c>
      <c r="AS49" s="17">
        <f t="shared" si="30"/>
        <v>0.10157120871063788</v>
      </c>
      <c r="AT49" s="13">
        <f t="shared" si="31"/>
        <v>5.9038384786412185E-3</v>
      </c>
      <c r="AU49" s="8"/>
    </row>
    <row r="50" spans="1:47" ht="15" customHeight="1" x14ac:dyDescent="0.25">
      <c r="A50" s="31" t="s">
        <v>26</v>
      </c>
      <c r="B50" s="31" t="s">
        <v>32</v>
      </c>
      <c r="C50" t="s">
        <v>33</v>
      </c>
      <c r="D50" s="31" t="s">
        <v>34</v>
      </c>
      <c r="E50" t="s">
        <v>35</v>
      </c>
      <c r="F50" s="31" t="s">
        <v>126</v>
      </c>
      <c r="G50" t="s">
        <v>127</v>
      </c>
      <c r="H50" s="27">
        <f>IF($G50&lt;&gt;0,SUMIF(куб!$G:$G,$G50,куб!H:H),IF($E50&lt;&gt;0,SUMIF(куб!$E:$E,$E50,куб!H:H),IF($D50&lt;&gt;0,SUMIF(куб!$D:$D,$D50,куб!H:H),IF($C50&lt;&gt;0,SUMIF(куб!$C:$C,$C50,куб!H:H),IF($B50&lt;&gt;0,SUMIF(куб!$B:$B,$B50,куб!H:H),IF($G50&lt;&gt;0,SUMIF(куб!$A:$A,$G50,куб!H:H),SUMIF(куб!$A:$A,$G50,куб!H:H)))))))</f>
        <v>0</v>
      </c>
      <c r="I50" s="27">
        <f>IF($G50&lt;&gt;0,SUMIF(куб!$G:$G,$G50,куб!I:I),IF($E50&lt;&gt;0,SUMIF(куб!$E:$E,$E50,куб!I:I),IF($D50&lt;&gt;0,SUMIF(куб!$D:$D,$D50,куб!I:I),IF($C50&lt;&gt;0,SUMIF(куб!$C:$C,$C50,куб!I:I),IF($B50&lt;&gt;0,SUMIF(куб!$B:$B,$B50,куб!I:I),IF($G50&lt;&gt;0,SUMIF(куб!$A:$A,$G50,куб!I:I),SUMIF(куб!$A:$A,$G50,куб!I:I)))))))</f>
        <v>213154.86099999998</v>
      </c>
      <c r="J50" s="19" t="str">
        <f t="shared" si="33"/>
        <v>-</v>
      </c>
      <c r="K50" s="8"/>
      <c r="L50" s="17">
        <f t="shared" si="15"/>
        <v>0</v>
      </c>
      <c r="M50" s="17">
        <f t="shared" si="16"/>
        <v>4.5448346990849216E-4</v>
      </c>
      <c r="N50" s="12">
        <f t="shared" si="17"/>
        <v>4.5448346990849216E-4</v>
      </c>
      <c r="O50" s="5"/>
      <c r="P50" s="27">
        <f>IF($G50&lt;&gt;0,SUMIF(куб!$G:$G,$G50,куб!J:J),IF($E50&lt;&gt;0,SUMIF(куб!$E:$E,$E50,куб!J:J),IF($D50&lt;&gt;0,SUMIF(куб!$D:$D,$D50,куб!J:J),IF($C50&lt;&gt;0,SUMIF(куб!$C:$C,$C50,куб!J:J),IF($B50&lt;&gt;0,SUMIF(куб!$B:$B,$B50,куб!J:J))))))</f>
        <v>0</v>
      </c>
      <c r="Q50" s="27">
        <f>IF($G50&lt;&gt;0,SUMIF(куб!$G:$G,$G50,куб!K:K),IF($E50&lt;&gt;0,SUMIF(куб!$E:$E,$E50,куб!K:K),IF($D50&lt;&gt;0,SUMIF(куб!$D:$D,$D50,куб!K:K),IF($C50&lt;&gt;0,SUMIF(куб!$C:$C,$C50,куб!K:K),IF($B50&lt;&gt;0,SUMIF(куб!$B:$B,$B50,куб!K:K))))))</f>
        <v>2671</v>
      </c>
      <c r="R50" s="13" t="str">
        <f t="shared" si="18"/>
        <v>-</v>
      </c>
      <c r="S50" s="5"/>
      <c r="T50" s="27">
        <f>IF($G50&lt;&gt;0,SUMIF(куб!$G:$G,$G50,куб!L:L),IF($E50&lt;&gt;0,SUMIF(куб!$E:$E,$E50,куб!L:L),IF($D50&lt;&gt;0,SUMIF(куб!$D:$D,$D50,куб!L:L),IF($C50&lt;&gt;0,SUMIF(куб!$C:$C,$C50,куб!L:L),IF($B50&lt;&gt;0,SUMIF(куб!$B:$B,$B50,куб!L:L))))))</f>
        <v>0</v>
      </c>
      <c r="U50" s="27">
        <f>IF($G50&lt;&gt;0,SUMIF(куб!$G:$G,$G50,куб!M:M),IF($E50&lt;&gt;0,SUMIF(куб!$E:$E,$E50,куб!M:M),IF($D50&lt;&gt;0,SUMIF(куб!$D:$D,$D50,куб!M:M),IF($C50&lt;&gt;0,SUMIF(куб!$C:$C,$C50,куб!M:M),IF($B50&lt;&gt;0,SUMIF(куб!$B:$B,$B50,куб!M:M))))))</f>
        <v>2470.6750000000002</v>
      </c>
      <c r="V50" s="13" t="str">
        <f t="shared" si="19"/>
        <v>-</v>
      </c>
      <c r="W50" s="5"/>
      <c r="X50" s="27">
        <f>IF($G50&lt;&gt;0,SUMIF(куб!$G:$G,$G50,куб!N:N),IF($E50&lt;&gt;0,SUMIF(куб!$E:$E,$E50,куб!N:N),IF($D50&lt;&gt;0,SUMIF(куб!$D:$D,$D50,куб!N:N),IF($C50&lt;&gt;0,SUMIF(куб!$C:$C,$C50,куб!N:N),IF($B50&lt;&gt;0,SUMIF(куб!$B:$B,$B50,куб!N:N))))))</f>
        <v>0</v>
      </c>
      <c r="Y50" s="27">
        <f>IF($G50&lt;&gt;0,SUMIF(куб!$G:$G,$G50,куб!O:O),IF($E50&lt;&gt;0,SUMIF(куб!$E:$E,$E50,куб!O:O),IF($D50&lt;&gt;0,SUMIF(куб!$D:$D,$D50,куб!O:O),IF($C50&lt;&gt;0,SUMIF(куб!$C:$C,$C50,куб!O:O),IF($B50&lt;&gt;0,SUMIF(куб!$B:$B,$B50,куб!O:O))))))</f>
        <v>27423.851999999984</v>
      </c>
      <c r="Z50" s="13" t="str">
        <f t="shared" si="20"/>
        <v>-</v>
      </c>
      <c r="AA50" s="5"/>
      <c r="AB50" s="33" t="str">
        <f t="shared" si="21"/>
        <v/>
      </c>
      <c r="AC50" s="33">
        <f t="shared" si="22"/>
        <v>0.12865693923818133</v>
      </c>
      <c r="AD50" s="15" t="str">
        <f t="shared" si="23"/>
        <v xml:space="preserve"> </v>
      </c>
      <c r="AE50" s="5"/>
      <c r="AF50" s="27">
        <f>IF($G50&lt;&gt;0,SUMIF(куб!$G:$G,$G50,куб!R:R),IF($E50&lt;&gt;0,SUMIF(куб!$E:$E,$E50,куб!R:R),IF($D50&lt;&gt;0,SUMIF(куб!$D:$D,$D50,куб!R:R),IF($C50&lt;&gt;0,SUMIF(куб!$C:$C,$C50,куб!R:R),IF($B50&lt;&gt;0,SUMIF(куб!$B:$B,$B50,куб!R:R))))))</f>
        <v>0</v>
      </c>
      <c r="AG50" s="27">
        <f>IF($G50&lt;&gt;0,SUMIF(куб!$G:$G,$G50,куб!S:S),IF($E50&lt;&gt;0,SUMIF(куб!$E:$E,$E50,куб!S:S),IF($D50&lt;&gt;0,SUMIF(куб!$D:$D,$D50,куб!S:S),IF($C50&lt;&gt;0,SUMIF(куб!$C:$C,$C50,куб!S:S),IF($B50&lt;&gt;0,SUMIF(куб!$B:$B,$B50,куб!S:S))))))</f>
        <v>1459.5</v>
      </c>
      <c r="AH50" s="16" t="str">
        <f t="shared" si="24"/>
        <v>-</v>
      </c>
      <c r="AI50" s="8"/>
      <c r="AJ50" s="27">
        <f>IF($G50&lt;&gt;0,SUMIF(куб!$G:$G,$G50,куб!T:T),IF($E50&lt;&gt;0,SUMIF(куб!$E:$E,$E50,куб!T:T),IF($D50&lt;&gt;0,SUMIF(куб!$D:$D,$D50,куб!T:T),IF($C50&lt;&gt;0,SUMIF(куб!$C:$C,$C50,куб!T:T),IF($B50&lt;&gt;0,SUMIF(куб!$B:$B,$B50,куб!T:T))))))</f>
        <v>0</v>
      </c>
      <c r="AK50" s="27">
        <f>IF($G50&lt;&gt;0,SUMIF(куб!$G:$G,$G50,куб!U:U),IF($E50&lt;&gt;0,SUMIF(куб!$E:$E,$E50,куб!U:U),IF($D50&lt;&gt;0,SUMIF(куб!$D:$D,$D50,куб!U:U),IF($C50&lt;&gt;0,SUMIF(куб!$C:$C,$C50,куб!U:U),IF($B50&lt;&gt;0,SUMIF(куб!$B:$B,$B50,куб!U:U))))))</f>
        <v>21</v>
      </c>
      <c r="AL50" s="16" t="str">
        <f t="shared" si="25"/>
        <v>-</v>
      </c>
      <c r="AM50" s="8"/>
      <c r="AN50" s="17" t="str">
        <f t="shared" si="26"/>
        <v xml:space="preserve"> </v>
      </c>
      <c r="AO50" s="17">
        <f t="shared" si="27"/>
        <v>6.8471344878219794E-3</v>
      </c>
      <c r="AP50" s="16" t="str">
        <f t="shared" si="28"/>
        <v>-</v>
      </c>
      <c r="AQ50" s="8"/>
      <c r="AR50" s="17" t="str">
        <f t="shared" si="29"/>
        <v>-</v>
      </c>
      <c r="AS50" s="17">
        <f t="shared" si="30"/>
        <v>0.12180980475035935</v>
      </c>
      <c r="AT50" s="13" t="str">
        <f t="shared" si="31"/>
        <v>-</v>
      </c>
      <c r="AU50" s="8"/>
    </row>
    <row r="51" spans="1:47" ht="15" customHeight="1" x14ac:dyDescent="0.25">
      <c r="A51" s="31" t="s">
        <v>26</v>
      </c>
      <c r="B51" s="31" t="s">
        <v>32</v>
      </c>
      <c r="C51" t="s">
        <v>33</v>
      </c>
      <c r="D51" s="31" t="s">
        <v>34</v>
      </c>
      <c r="E51" t="s">
        <v>35</v>
      </c>
      <c r="F51" s="31" t="s">
        <v>128</v>
      </c>
      <c r="G51" t="s">
        <v>129</v>
      </c>
      <c r="H51" s="27">
        <f>IF($G51&lt;&gt;0,SUMIF(куб!$G:$G,$G51,куб!H:H),IF($E51&lt;&gt;0,SUMIF(куб!$E:$E,$E51,куб!H:H),IF($D51&lt;&gt;0,SUMIF(куб!$D:$D,$D51,куб!H:H),IF($C51&lt;&gt;0,SUMIF(куб!$C:$C,$C51,куб!H:H),IF($B51&lt;&gt;0,SUMIF(куб!$B:$B,$B51,куб!H:H),IF($G51&lt;&gt;0,SUMIF(куб!$A:$A,$G51,куб!H:H),SUMIF(куб!$A:$A,$G51,куб!H:H)))))))</f>
        <v>634473.10520000011</v>
      </c>
      <c r="I51" s="27">
        <f>IF($G51&lt;&gt;0,SUMIF(куб!$G:$G,$G51,куб!I:I),IF($E51&lt;&gt;0,SUMIF(куб!$E:$E,$E51,куб!I:I),IF($D51&lt;&gt;0,SUMIF(куб!$D:$D,$D51,куб!I:I),IF($C51&lt;&gt;0,SUMIF(куб!$C:$C,$C51,куб!I:I),IF($B51&lt;&gt;0,SUMIF(куб!$B:$B,$B51,куб!I:I),IF($G51&lt;&gt;0,SUMIF(куб!$A:$A,$G51,куб!I:I),SUMIF(куб!$A:$A,$G51,куб!I:I)))))))</f>
        <v>889701.24509999994</v>
      </c>
      <c r="J51" s="19">
        <f t="shared" si="33"/>
        <v>0.40226786259056041</v>
      </c>
      <c r="K51" s="10"/>
      <c r="L51" s="17">
        <f t="shared" si="15"/>
        <v>1.3253458135696003E-3</v>
      </c>
      <c r="M51" s="17">
        <f t="shared" si="16"/>
        <v>1.8969987696173343E-3</v>
      </c>
      <c r="N51" s="12">
        <f t="shared" si="17"/>
        <v>5.71652956047734E-4</v>
      </c>
      <c r="O51" s="5"/>
      <c r="P51" s="27">
        <f>IF($G51&lt;&gt;0,SUMIF(куб!$G:$G,$G51,куб!J:J),IF($E51&lt;&gt;0,SUMIF(куб!$E:$E,$E51,куб!J:J),IF($D51&lt;&gt;0,SUMIF(куб!$D:$D,$D51,куб!J:J),IF($C51&lt;&gt;0,SUMIF(куб!$C:$C,$C51,куб!J:J),IF($B51&lt;&gt;0,SUMIF(куб!$B:$B,$B51,куб!J:J))))))</f>
        <v>7685</v>
      </c>
      <c r="Q51" s="27">
        <f>IF($G51&lt;&gt;0,SUMIF(куб!$G:$G,$G51,куб!K:K),IF($E51&lt;&gt;0,SUMIF(куб!$E:$E,$E51,куб!K:K),IF($D51&lt;&gt;0,SUMIF(куб!$D:$D,$D51,куб!K:K),IF($C51&lt;&gt;0,SUMIF(куб!$C:$C,$C51,куб!K:K),IF($B51&lt;&gt;0,SUMIF(куб!$B:$B,$B51,куб!K:K))))))</f>
        <v>10840</v>
      </c>
      <c r="R51" s="13">
        <f t="shared" si="18"/>
        <v>0.41054001301236176</v>
      </c>
      <c r="S51" s="5"/>
      <c r="T51" s="27">
        <f>IF($G51&lt;&gt;0,SUMIF(куб!$G:$G,$G51,куб!L:L),IF($E51&lt;&gt;0,SUMIF(куб!$E:$E,$E51,куб!L:L),IF($D51&lt;&gt;0,SUMIF(куб!$D:$D,$D51,куб!L:L),IF($C51&lt;&gt;0,SUMIF(куб!$C:$C,$C51,куб!L:L),IF($B51&lt;&gt;0,SUMIF(куб!$B:$B,$B51,куб!L:L))))))</f>
        <v>7147.05</v>
      </c>
      <c r="U51" s="27">
        <f>IF($G51&lt;&gt;0,SUMIF(куб!$G:$G,$G51,куб!M:M),IF($E51&lt;&gt;0,SUMIF(куб!$E:$E,$E51,куб!M:M),IF($D51&lt;&gt;0,SUMIF(куб!$D:$D,$D51,куб!M:M),IF($C51&lt;&gt;0,SUMIF(куб!$C:$C,$C51,куб!M:M),IF($B51&lt;&gt;0,SUMIF(куб!$B:$B,$B51,куб!M:M))))))</f>
        <v>10081.200000000003</v>
      </c>
      <c r="V51" s="13">
        <f t="shared" si="19"/>
        <v>0.41054001301236204</v>
      </c>
      <c r="W51" s="5"/>
      <c r="X51" s="27">
        <f>IF($G51&lt;&gt;0,SUMIF(куб!$G:$G,$G51,куб!N:N),IF($E51&lt;&gt;0,SUMIF(куб!$E:$E,$E51,куб!N:N),IF($D51&lt;&gt;0,SUMIF(куб!$D:$D,$D51,куб!N:N),IF($C51&lt;&gt;0,SUMIF(куб!$C:$C,$C51,куб!N:N),IF($B51&lt;&gt;0,SUMIF(куб!$B:$B,$B51,куб!N:N))))))</f>
        <v>60500.639500000048</v>
      </c>
      <c r="Y51" s="27">
        <f>IF($G51&lt;&gt;0,SUMIF(куб!$G:$G,$G51,куб!O:O),IF($E51&lt;&gt;0,SUMIF(куб!$E:$E,$E51,куб!O:O),IF($D51&lt;&gt;0,SUMIF(куб!$D:$D,$D51,куб!O:O),IF($C51&lt;&gt;0,SUMIF(куб!$C:$C,$C51,куб!O:O),IF($B51&lt;&gt;0,SUMIF(куб!$B:$B,$B51,куб!O:O))))))</f>
        <v>120084.99060000025</v>
      </c>
      <c r="Z51" s="13">
        <f t="shared" si="20"/>
        <v>0.98485489727757602</v>
      </c>
      <c r="AA51" s="5"/>
      <c r="AB51" s="33">
        <f t="shared" si="21"/>
        <v>9.5355719579207215E-2</v>
      </c>
      <c r="AC51" s="33">
        <f t="shared" si="22"/>
        <v>0.1349722631741434</v>
      </c>
      <c r="AD51" s="15">
        <f t="shared" si="23"/>
        <v>3.9616543594936188E-2</v>
      </c>
      <c r="AE51" s="5"/>
      <c r="AF51" s="27">
        <f>IF($G51&lt;&gt;0,SUMIF(куб!$G:$G,$G51,куб!R:R),IF($E51&lt;&gt;0,SUMIF(куб!$E:$E,$E51,куб!R:R),IF($D51&lt;&gt;0,SUMIF(куб!$D:$D,$D51,куб!R:R),IF($C51&lt;&gt;0,SUMIF(куб!$C:$C,$C51,куб!R:R),IF($B51&lt;&gt;0,SUMIF(куб!$B:$B,$B51,куб!R:R))))))</f>
        <v>672.13619999999992</v>
      </c>
      <c r="AG51" s="27">
        <f>IF($G51&lt;&gt;0,SUMIF(куб!$G:$G,$G51,куб!S:S),IF($E51&lt;&gt;0,SUMIF(куб!$E:$E,$E51,куб!S:S),IF($D51&lt;&gt;0,SUMIF(куб!$D:$D,$D51,куб!S:S),IF($C51&lt;&gt;0,SUMIF(куб!$C:$C,$C51,куб!S:S),IF($B51&lt;&gt;0,SUMIF(куб!$B:$B,$B51,куб!S:S))))))</f>
        <v>853.0634</v>
      </c>
      <c r="AH51" s="16">
        <f t="shared" si="24"/>
        <v>0.26918234726830681</v>
      </c>
      <c r="AI51" s="8"/>
      <c r="AJ51" s="27">
        <f>IF($G51&lt;&gt;0,SUMIF(куб!$G:$G,$G51,куб!T:T),IF($E51&lt;&gt;0,SUMIF(куб!$E:$E,$E51,куб!T:T),IF($D51&lt;&gt;0,SUMIF(куб!$D:$D,$D51,куб!T:T),IF($C51&lt;&gt;0,SUMIF(куб!$C:$C,$C51,куб!T:T),IF($B51&lt;&gt;0,SUMIF(куб!$B:$B,$B51,куб!T:T))))))</f>
        <v>9</v>
      </c>
      <c r="AK51" s="27">
        <f>IF($G51&lt;&gt;0,SUMIF(куб!$G:$G,$G51,куб!U:U),IF($E51&lt;&gt;0,SUMIF(куб!$E:$E,$E51,куб!U:U),IF($D51&lt;&gt;0,SUMIF(куб!$D:$D,$D51,куб!U:U),IF($C51&lt;&gt;0,SUMIF(куб!$C:$C,$C51,куб!U:U),IF($B51&lt;&gt;0,SUMIF(куб!$B:$B,$B51,куб!U:U))))))</f>
        <v>12</v>
      </c>
      <c r="AL51" s="16">
        <f t="shared" si="25"/>
        <v>0.33333333333333331</v>
      </c>
      <c r="AM51" s="8"/>
      <c r="AN51" s="17">
        <f t="shared" si="26"/>
        <v>1.0593612156154792E-3</v>
      </c>
      <c r="AO51" s="17">
        <f t="shared" si="27"/>
        <v>9.5882005864127802E-4</v>
      </c>
      <c r="AP51" s="16">
        <f t="shared" si="28"/>
        <v>-1.0054115697420121E-4</v>
      </c>
      <c r="AQ51" s="8"/>
      <c r="AR51" s="17">
        <f t="shared" si="29"/>
        <v>9.4296358363591737E-2</v>
      </c>
      <c r="AS51" s="17">
        <f t="shared" si="30"/>
        <v>0.13401344311550212</v>
      </c>
      <c r="AT51" s="13">
        <f t="shared" si="31"/>
        <v>3.9717084751910381E-2</v>
      </c>
      <c r="AU51" s="8"/>
    </row>
    <row r="52" spans="1:47" ht="15" customHeight="1" x14ac:dyDescent="0.25">
      <c r="A52" s="31" t="s">
        <v>26</v>
      </c>
      <c r="B52" s="31" t="s">
        <v>32</v>
      </c>
      <c r="C52" t="s">
        <v>33</v>
      </c>
      <c r="D52" s="31" t="s">
        <v>34</v>
      </c>
      <c r="E52" t="s">
        <v>35</v>
      </c>
      <c r="F52" s="31" t="s">
        <v>130</v>
      </c>
      <c r="G52" t="s">
        <v>131</v>
      </c>
      <c r="H52" s="27">
        <f>IF($G52&lt;&gt;0,SUMIF(куб!$G:$G,$G52,куб!H:H),IF($E52&lt;&gt;0,SUMIF(куб!$E:$E,$E52,куб!H:H),IF($D52&lt;&gt;0,SUMIF(куб!$D:$D,$D52,куб!H:H),IF($C52&lt;&gt;0,SUMIF(куб!$C:$C,$C52,куб!H:H),IF($B52&lt;&gt;0,SUMIF(куб!$B:$B,$B52,куб!H:H),IF($G52&lt;&gt;0,SUMIF(куб!$A:$A,$G52,куб!H:H),SUMIF(куб!$A:$A,$G52,куб!H:H)))))))</f>
        <v>411194.06580000016</v>
      </c>
      <c r="I52" s="27">
        <f>IF($G52&lt;&gt;0,SUMIF(куб!$G:$G,$G52,куб!I:I),IF($E52&lt;&gt;0,SUMIF(куб!$E:$E,$E52,куб!I:I),IF($D52&lt;&gt;0,SUMIF(куб!$D:$D,$D52,куб!I:I),IF($C52&lt;&gt;0,SUMIF(куб!$C:$C,$C52,куб!I:I),IF($B52&lt;&gt;0,SUMIF(куб!$B:$B,$B52,куб!I:I),IF($G52&lt;&gt;0,SUMIF(куб!$A:$A,$G52,куб!I:I),SUMIF(куб!$A:$A,$G52,куб!I:I)))))))</f>
        <v>551593.86799999978</v>
      </c>
      <c r="J52" s="19">
        <f t="shared" si="33"/>
        <v>0.34144413520862532</v>
      </c>
      <c r="K52" s="5"/>
      <c r="L52" s="17">
        <f t="shared" si="15"/>
        <v>8.5894000739543549E-4</v>
      </c>
      <c r="M52" s="17">
        <f t="shared" si="16"/>
        <v>1.176094666257162E-3</v>
      </c>
      <c r="N52" s="12">
        <f t="shared" si="17"/>
        <v>3.1715465886172651E-4</v>
      </c>
      <c r="O52" s="5"/>
      <c r="P52" s="27">
        <f>IF($G52&lt;&gt;0,SUMIF(куб!$G:$G,$G52,куб!J:J),IF($E52&lt;&gt;0,SUMIF(куб!$E:$E,$E52,куб!J:J),IF($D52&lt;&gt;0,SUMIF(куб!$D:$D,$D52,куб!J:J),IF($C52&lt;&gt;0,SUMIF(куб!$C:$C,$C52,куб!J:J),IF($B52&lt;&gt;0,SUMIF(куб!$B:$B,$B52,куб!J:J))))))</f>
        <v>5314</v>
      </c>
      <c r="Q52" s="27">
        <f>IF($G52&lt;&gt;0,SUMIF(куб!$G:$G,$G52,куб!K:K),IF($E52&lt;&gt;0,SUMIF(куб!$E:$E,$E52,куб!K:K),IF($D52&lt;&gt;0,SUMIF(куб!$D:$D,$D52,куб!K:K),IF($C52&lt;&gt;0,SUMIF(куб!$C:$C,$C52,куб!K:K),IF($B52&lt;&gt;0,SUMIF(куб!$B:$B,$B52,куб!K:K))))))</f>
        <v>7406</v>
      </c>
      <c r="R52" s="13">
        <f t="shared" si="18"/>
        <v>0.39367707941287167</v>
      </c>
      <c r="S52" s="5"/>
      <c r="T52" s="27">
        <f>IF($G52&lt;&gt;0,SUMIF(куб!$G:$G,$G52,куб!L:L),IF($E52&lt;&gt;0,SUMIF(куб!$E:$E,$E52,куб!L:L),IF($D52&lt;&gt;0,SUMIF(куб!$D:$D,$D52,куб!L:L),IF($C52&lt;&gt;0,SUMIF(куб!$C:$C,$C52,куб!L:L),IF($B52&lt;&gt;0,SUMIF(куб!$B:$B,$B52,куб!L:L))))))</f>
        <v>4782.5999999999967</v>
      </c>
      <c r="U52" s="27">
        <f>IF($G52&lt;&gt;0,SUMIF(куб!$G:$G,$G52,куб!M:M),IF($E52&lt;&gt;0,SUMIF(куб!$E:$E,$E52,куб!M:M),IF($D52&lt;&gt;0,SUMIF(куб!$D:$D,$D52,куб!M:M),IF($C52&lt;&gt;0,SUMIF(куб!$C:$C,$C52,куб!M:M),IF($B52&lt;&gt;0,SUMIF(куб!$B:$B,$B52,куб!M:M))))))</f>
        <v>6665.399999999996</v>
      </c>
      <c r="V52" s="13">
        <f t="shared" si="19"/>
        <v>0.39367707941287178</v>
      </c>
      <c r="W52" s="5"/>
      <c r="X52" s="27">
        <f>IF($G52&lt;&gt;0,SUMIF(куб!$G:$G,$G52,куб!N:N),IF($E52&lt;&gt;0,SUMIF(куб!$E:$E,$E52,куб!N:N),IF($D52&lt;&gt;0,SUMIF(куб!$D:$D,$D52,куб!N:N),IF($C52&lt;&gt;0,SUMIF(куб!$C:$C,$C52,куб!N:N),IF($B52&lt;&gt;0,SUMIF(куб!$B:$B,$B52,куб!N:N))))))</f>
        <v>47638.781700000458</v>
      </c>
      <c r="Y52" s="27">
        <f>IF($G52&lt;&gt;0,SUMIF(куб!$G:$G,$G52,куб!O:O),IF($E52&lt;&gt;0,SUMIF(куб!$E:$E,$E52,куб!O:O),IF($D52&lt;&gt;0,SUMIF(куб!$D:$D,$D52,куб!O:O),IF($C52&lt;&gt;0,SUMIF(куб!$C:$C,$C52,куб!O:O),IF($B52&lt;&gt;0,SUMIF(куб!$B:$B,$B52,куб!O:O))))))</f>
        <v>47464.603799999575</v>
      </c>
      <c r="Z52" s="13">
        <f t="shared" si="20"/>
        <v>-3.656220704755788E-3</v>
      </c>
      <c r="AA52" s="5"/>
      <c r="AB52" s="33">
        <f t="shared" si="21"/>
        <v>0.11585474028502003</v>
      </c>
      <c r="AC52" s="33">
        <f t="shared" si="22"/>
        <v>8.6049911997933215E-2</v>
      </c>
      <c r="AD52" s="15">
        <f t="shared" si="23"/>
        <v>-2.9804828287086818E-2</v>
      </c>
      <c r="AE52" s="5"/>
      <c r="AF52" s="27">
        <f>IF($G52&lt;&gt;0,SUMIF(куб!$G:$G,$G52,куб!R:R),IF($E52&lt;&gt;0,SUMIF(куб!$E:$E,$E52,куб!R:R),IF($D52&lt;&gt;0,SUMIF(куб!$D:$D,$D52,куб!R:R),IF($C52&lt;&gt;0,SUMIF(куб!$C:$C,$C52,куб!R:R),IF($B52&lt;&gt;0,SUMIF(куб!$B:$B,$B52,куб!R:R))))))</f>
        <v>20530.29589999999</v>
      </c>
      <c r="AG52" s="27">
        <f>IF($G52&lt;&gt;0,SUMIF(куб!$G:$G,$G52,куб!S:S),IF($E52&lt;&gt;0,SUMIF(куб!$E:$E,$E52,куб!S:S),IF($D52&lt;&gt;0,SUMIF(куб!$D:$D,$D52,куб!S:S),IF($C52&lt;&gt;0,SUMIF(куб!$C:$C,$C52,куб!S:S),IF($B52&lt;&gt;0,SUMIF(куб!$B:$B,$B52,куб!S:S))))))</f>
        <v>12240.968999999999</v>
      </c>
      <c r="AH52" s="16">
        <f t="shared" si="24"/>
        <v>-0.40376071247955053</v>
      </c>
      <c r="AI52" s="8"/>
      <c r="AJ52" s="27">
        <f>IF($G52&lt;&gt;0,SUMIF(куб!$G:$G,$G52,куб!T:T),IF($E52&lt;&gt;0,SUMIF(куб!$E:$E,$E52,куб!T:T),IF($D52&lt;&gt;0,SUMIF(куб!$D:$D,$D52,куб!T:T),IF($C52&lt;&gt;0,SUMIF(куб!$C:$C,$C52,куб!T:T),IF($B52&lt;&gt;0,SUMIF(куб!$B:$B,$B52,куб!T:T))))))</f>
        <v>301</v>
      </c>
      <c r="AK52" s="27">
        <f>IF($G52&lt;&gt;0,SUMIF(куб!$G:$G,$G52,куб!U:U),IF($E52&lt;&gt;0,SUMIF(куб!$E:$E,$E52,куб!U:U),IF($D52&lt;&gt;0,SUMIF(куб!$D:$D,$D52,куб!U:U),IF($C52&lt;&gt;0,SUMIF(куб!$C:$C,$C52,куб!U:U),IF($B52&lt;&gt;0,SUMIF(куб!$B:$B,$B52,куб!U:U))))))</f>
        <v>180</v>
      </c>
      <c r="AL52" s="16">
        <f t="shared" si="25"/>
        <v>-0.4019933554817276</v>
      </c>
      <c r="AM52" s="8"/>
      <c r="AN52" s="17">
        <f t="shared" si="26"/>
        <v>4.9928482941642642E-2</v>
      </c>
      <c r="AO52" s="17">
        <f t="shared" si="27"/>
        <v>2.2191996159029097E-2</v>
      </c>
      <c r="AP52" s="16">
        <f t="shared" si="28"/>
        <v>-2.7736486782613545E-2</v>
      </c>
      <c r="AQ52" s="8"/>
      <c r="AR52" s="17">
        <f t="shared" si="29"/>
        <v>6.5926257343377398E-2</v>
      </c>
      <c r="AS52" s="17">
        <f t="shared" si="30"/>
        <v>6.3857915838904128E-2</v>
      </c>
      <c r="AT52" s="13">
        <f t="shared" si="31"/>
        <v>-2.06834150447327E-3</v>
      </c>
      <c r="AU52" s="8"/>
    </row>
    <row r="53" spans="1:47" ht="15" customHeight="1" x14ac:dyDescent="0.25">
      <c r="A53" s="31" t="s">
        <v>26</v>
      </c>
      <c r="B53" s="31" t="s">
        <v>32</v>
      </c>
      <c r="C53" t="s">
        <v>33</v>
      </c>
      <c r="D53" s="31" t="s">
        <v>34</v>
      </c>
      <c r="E53" t="s">
        <v>35</v>
      </c>
      <c r="F53" s="31" t="s">
        <v>132</v>
      </c>
      <c r="G53" t="s">
        <v>133</v>
      </c>
      <c r="H53" s="27">
        <f>IF($G53&lt;&gt;0,SUMIF(куб!$G:$G,$G53,куб!H:H),IF($E53&lt;&gt;0,SUMIF(куб!$E:$E,$E53,куб!H:H),IF($D53&lt;&gt;0,SUMIF(куб!$D:$D,$D53,куб!H:H),IF($C53&lt;&gt;0,SUMIF(куб!$C:$C,$C53,куб!H:H),IF($B53&lt;&gt;0,SUMIF(куб!$B:$B,$B53,куб!H:H),IF($G53&lt;&gt;0,SUMIF(куб!$A:$A,$G53,куб!H:H),SUMIF(куб!$A:$A,$G53,куб!H:H)))))))</f>
        <v>223318.19679999998</v>
      </c>
      <c r="I53" s="27">
        <f>IF($G53&lt;&gt;0,SUMIF(куб!$G:$G,$G53,куб!I:I),IF($E53&lt;&gt;0,SUMIF(куб!$E:$E,$E53,куб!I:I),IF($D53&lt;&gt;0,SUMIF(куб!$D:$D,$D53,куб!I:I),IF($C53&lt;&gt;0,SUMIF(куб!$C:$C,$C53,куб!I:I),IF($B53&lt;&gt;0,SUMIF(куб!$B:$B,$B53,куб!I:I),IF($G53&lt;&gt;0,SUMIF(куб!$A:$A,$G53,куб!I:I),SUMIF(куб!$A:$A,$G53,куб!I:I)))))))</f>
        <v>0</v>
      </c>
      <c r="J53" s="19">
        <f t="shared" si="33"/>
        <v>-1</v>
      </c>
      <c r="K53" s="5"/>
      <c r="L53" s="17">
        <f t="shared" si="15"/>
        <v>4.6648760175499405E-4</v>
      </c>
      <c r="M53" s="17">
        <f t="shared" si="16"/>
        <v>0</v>
      </c>
      <c r="N53" s="12">
        <f t="shared" si="17"/>
        <v>-4.6648760175499405E-4</v>
      </c>
      <c r="O53" s="5"/>
      <c r="P53" s="27">
        <f>IF($G53&lt;&gt;0,SUMIF(куб!$G:$G,$G53,куб!J:J),IF($E53&lt;&gt;0,SUMIF(куб!$E:$E,$E53,куб!J:J),IF($D53&lt;&gt;0,SUMIF(куб!$D:$D,$D53,куб!J:J),IF($C53&lt;&gt;0,SUMIF(куб!$C:$C,$C53,куб!J:J),IF($B53&lt;&gt;0,SUMIF(куб!$B:$B,$B53,куб!J:J))))))</f>
        <v>3732</v>
      </c>
      <c r="Q53" s="27">
        <f>IF($G53&lt;&gt;0,SUMIF(куб!$G:$G,$G53,куб!K:K),IF($E53&lt;&gt;0,SUMIF(куб!$E:$E,$E53,куб!K:K),IF($D53&lt;&gt;0,SUMIF(куб!$D:$D,$D53,куб!K:K),IF($C53&lt;&gt;0,SUMIF(куб!$C:$C,$C53,куб!K:K),IF($B53&lt;&gt;0,SUMIF(куб!$B:$B,$B53,куб!K:K))))))</f>
        <v>0</v>
      </c>
      <c r="R53" s="13">
        <f t="shared" si="18"/>
        <v>-1</v>
      </c>
      <c r="S53" s="5"/>
      <c r="T53" s="27">
        <f>IF($G53&lt;&gt;0,SUMIF(куб!$G:$G,$G53,куб!L:L),IF($E53&lt;&gt;0,SUMIF(куб!$E:$E,$E53,куб!L:L),IF($D53&lt;&gt;0,SUMIF(куб!$D:$D,$D53,куб!L:L),IF($C53&lt;&gt;0,SUMIF(куб!$C:$C,$C53,куб!L:L),IF($B53&lt;&gt;0,SUMIF(куб!$B:$B,$B53,куб!L:L))))))</f>
        <v>3452.1</v>
      </c>
      <c r="U53" s="27">
        <f>IF($G53&lt;&gt;0,SUMIF(куб!$G:$G,$G53,куб!M:M),IF($E53&lt;&gt;0,SUMIF(куб!$E:$E,$E53,куб!M:M),IF($D53&lt;&gt;0,SUMIF(куб!$D:$D,$D53,куб!M:M),IF($C53&lt;&gt;0,SUMIF(куб!$C:$C,$C53,куб!M:M),IF($B53&lt;&gt;0,SUMIF(куб!$B:$B,$B53,куб!M:M))))))</f>
        <v>0</v>
      </c>
      <c r="V53" s="13">
        <f t="shared" si="19"/>
        <v>-1</v>
      </c>
      <c r="W53" s="5"/>
      <c r="X53" s="27">
        <f>IF($G53&lt;&gt;0,SUMIF(куб!$G:$G,$G53,куб!N:N),IF($E53&lt;&gt;0,SUMIF(куб!$E:$E,$E53,куб!N:N),IF($D53&lt;&gt;0,SUMIF(куб!$D:$D,$D53,куб!N:N),IF($C53&lt;&gt;0,SUMIF(куб!$C:$C,$C53,куб!N:N),IF($B53&lt;&gt;0,SUMIF(куб!$B:$B,$B53,куб!N:N))))))</f>
        <v>29008.881799999974</v>
      </c>
      <c r="Y53" s="27">
        <f>IF($G53&lt;&gt;0,SUMIF(куб!$G:$G,$G53,куб!O:O),IF($E53&lt;&gt;0,SUMIF(куб!$E:$E,$E53,куб!O:O),IF($D53&lt;&gt;0,SUMIF(куб!$D:$D,$D53,куб!O:O),IF($C53&lt;&gt;0,SUMIF(куб!$C:$C,$C53,куб!O:O),IF($B53&lt;&gt;0,SUMIF(куб!$B:$B,$B53,куб!O:O))))))</f>
        <v>0</v>
      </c>
      <c r="Z53" s="13">
        <f t="shared" si="20"/>
        <v>-1</v>
      </c>
      <c r="AA53" s="5"/>
      <c r="AB53" s="33">
        <f t="shared" si="21"/>
        <v>0.12989931951662606</v>
      </c>
      <c r="AC53" s="33" t="str">
        <f t="shared" si="22"/>
        <v/>
      </c>
      <c r="AD53" s="15" t="str">
        <f t="shared" si="23"/>
        <v xml:space="preserve"> </v>
      </c>
      <c r="AE53" s="5"/>
      <c r="AF53" s="27">
        <f>IF($G53&lt;&gt;0,SUMIF(куб!$G:$G,$G53,куб!R:R),IF($E53&lt;&gt;0,SUMIF(куб!$E:$E,$E53,куб!R:R),IF($D53&lt;&gt;0,SUMIF(куб!$D:$D,$D53,куб!R:R),IF($C53&lt;&gt;0,SUMIF(куб!$C:$C,$C53,куб!R:R),IF($B53&lt;&gt;0,SUMIF(куб!$B:$B,$B53,куб!R:R))))))</f>
        <v>4685.7251999999989</v>
      </c>
      <c r="AG53" s="27">
        <f>IF($G53&lt;&gt;0,SUMIF(куб!$G:$G,$G53,куб!S:S),IF($E53&lt;&gt;0,SUMIF(куб!$E:$E,$E53,куб!S:S),IF($D53&lt;&gt;0,SUMIF(куб!$D:$D,$D53,куб!S:S),IF($C53&lt;&gt;0,SUMIF(куб!$C:$C,$C53,куб!S:S),IF($B53&lt;&gt;0,SUMIF(куб!$B:$B,$B53,куб!S:S))))))</f>
        <v>0</v>
      </c>
      <c r="AH53" s="16">
        <f t="shared" si="24"/>
        <v>-1</v>
      </c>
      <c r="AI53" s="8"/>
      <c r="AJ53" s="27">
        <f>IF($G53&lt;&gt;0,SUMIF(куб!$G:$G,$G53,куб!T:T),IF($E53&lt;&gt;0,SUMIF(куб!$E:$E,$E53,куб!T:T),IF($D53&lt;&gt;0,SUMIF(куб!$D:$D,$D53,куб!T:T),IF($C53&lt;&gt;0,SUMIF(куб!$C:$C,$C53,куб!T:T),IF($B53&lt;&gt;0,SUMIF(куб!$B:$B,$B53,куб!T:T))))))</f>
        <v>90</v>
      </c>
      <c r="AK53" s="27">
        <f>IF($G53&lt;&gt;0,SUMIF(куб!$G:$G,$G53,куб!U:U),IF($E53&lt;&gt;0,SUMIF(куб!$E:$E,$E53,куб!U:U),IF($D53&lt;&gt;0,SUMIF(куб!$D:$D,$D53,куб!U:U),IF($C53&lt;&gt;0,SUMIF(куб!$C:$C,$C53,куб!U:U),IF($B53&lt;&gt;0,SUMIF(куб!$B:$B,$B53,куб!U:U))))))</f>
        <v>0</v>
      </c>
      <c r="AL53" s="16">
        <f t="shared" si="25"/>
        <v>-1</v>
      </c>
      <c r="AM53" s="8"/>
      <c r="AN53" s="17">
        <f t="shared" si="26"/>
        <v>2.0982281189546124E-2</v>
      </c>
      <c r="AO53" s="17" t="str">
        <f t="shared" si="27"/>
        <v xml:space="preserve"> </v>
      </c>
      <c r="AP53" s="16" t="str">
        <f t="shared" si="28"/>
        <v>-</v>
      </c>
      <c r="AQ53" s="8"/>
      <c r="AR53" s="17">
        <f t="shared" si="29"/>
        <v>0.10891703832707991</v>
      </c>
      <c r="AS53" s="17" t="str">
        <f t="shared" si="30"/>
        <v>-</v>
      </c>
      <c r="AT53" s="13" t="str">
        <f t="shared" si="31"/>
        <v>-</v>
      </c>
      <c r="AU53" s="8"/>
    </row>
    <row r="54" spans="1:47" ht="15" customHeight="1" x14ac:dyDescent="0.25">
      <c r="A54" s="31" t="s">
        <v>26</v>
      </c>
      <c r="B54" s="31" t="s">
        <v>32</v>
      </c>
      <c r="C54" t="s">
        <v>33</v>
      </c>
      <c r="D54" s="31" t="s">
        <v>34</v>
      </c>
      <c r="E54" t="s">
        <v>35</v>
      </c>
      <c r="F54" s="31" t="s">
        <v>134</v>
      </c>
      <c r="G54" t="s">
        <v>135</v>
      </c>
      <c r="H54" s="27">
        <f>IF($G54&lt;&gt;0,SUMIF(куб!$G:$G,$G54,куб!H:H),IF($E54&lt;&gt;0,SUMIF(куб!$E:$E,$E54,куб!H:H),IF($D54&lt;&gt;0,SUMIF(куб!$D:$D,$D54,куб!H:H),IF($C54&lt;&gt;0,SUMIF(куб!$C:$C,$C54,куб!H:H),IF($B54&lt;&gt;0,SUMIF(куб!$B:$B,$B54,куб!H:H),IF($G54&lt;&gt;0,SUMIF(куб!$A:$A,$G54,куб!H:H),SUMIF(куб!$A:$A,$G54,куб!H:H)))))))</f>
        <v>339932.7800999998</v>
      </c>
      <c r="I54" s="27">
        <f>IF($G54&lt;&gt;0,SUMIF(куб!$G:$G,$G54,куб!I:I),IF($E54&lt;&gt;0,SUMIF(куб!$E:$E,$E54,куб!I:I),IF($D54&lt;&gt;0,SUMIF(куб!$D:$D,$D54,куб!I:I),IF($C54&lt;&gt;0,SUMIF(куб!$C:$C,$C54,куб!I:I),IF($B54&lt;&gt;0,SUMIF(куб!$B:$B,$B54,куб!I:I),IF($G54&lt;&gt;0,SUMIF(куб!$A:$A,$G54,куб!I:I),SUMIF(куб!$A:$A,$G54,куб!I:I)))))))</f>
        <v>290279.6203999999</v>
      </c>
      <c r="J54" s="19">
        <f t="shared" si="33"/>
        <v>-0.14606758337749357</v>
      </c>
      <c r="K54" s="8"/>
      <c r="L54" s="17">
        <f t="shared" si="15"/>
        <v>7.1008287555166525E-4</v>
      </c>
      <c r="M54" s="17">
        <f t="shared" si="16"/>
        <v>6.1892695528586561E-4</v>
      </c>
      <c r="N54" s="12">
        <f t="shared" si="17"/>
        <v>-9.1155920265799644E-5</v>
      </c>
      <c r="O54" s="5"/>
      <c r="P54" s="27">
        <f>IF($G54&lt;&gt;0,SUMIF(куб!$G:$G,$G54,куб!J:J),IF($E54&lt;&gt;0,SUMIF(куб!$E:$E,$E54,куб!J:J),IF($D54&lt;&gt;0,SUMIF(куб!$D:$D,$D54,куб!J:J),IF($C54&lt;&gt;0,SUMIF(куб!$C:$C,$C54,куб!J:J),IF($B54&lt;&gt;0,SUMIF(куб!$B:$B,$B54,куб!J:J))))))</f>
        <v>4708</v>
      </c>
      <c r="Q54" s="27">
        <f>IF($G54&lt;&gt;0,SUMIF(куб!$G:$G,$G54,куб!K:K),IF($E54&lt;&gt;0,SUMIF(куб!$E:$E,$E54,куб!K:K),IF($D54&lt;&gt;0,SUMIF(куб!$D:$D,$D54,куб!K:K),IF($C54&lt;&gt;0,SUMIF(куб!$C:$C,$C54,куб!K:K),IF($B54&lt;&gt;0,SUMIF(куб!$B:$B,$B54,куб!K:K))))))</f>
        <v>3961</v>
      </c>
      <c r="R54" s="13">
        <f t="shared" si="18"/>
        <v>-0.15866610025488531</v>
      </c>
      <c r="S54" s="5"/>
      <c r="T54" s="27">
        <f>IF($G54&lt;&gt;0,SUMIF(куб!$G:$G,$G54,куб!L:L),IF($E54&lt;&gt;0,SUMIF(куб!$E:$E,$E54,куб!L:L),IF($D54&lt;&gt;0,SUMIF(куб!$D:$D,$D54,куб!L:L),IF($C54&lt;&gt;0,SUMIF(куб!$C:$C,$C54,куб!L:L),IF($B54&lt;&gt;0,SUMIF(куб!$B:$B,$B54,куб!L:L))))))</f>
        <v>4237.2000000000007</v>
      </c>
      <c r="U54" s="27">
        <f>IF($G54&lt;&gt;0,SUMIF(куб!$G:$G,$G54,куб!M:M),IF($E54&lt;&gt;0,SUMIF(куб!$E:$E,$E54,куб!M:M),IF($D54&lt;&gt;0,SUMIF(куб!$D:$D,$D54,куб!M:M),IF($C54&lt;&gt;0,SUMIF(куб!$C:$C,$C54,куб!M:M),IF($B54&lt;&gt;0,SUMIF(куб!$B:$B,$B54,куб!M:M))))))</f>
        <v>3564.8999999999996</v>
      </c>
      <c r="V54" s="13">
        <f t="shared" si="19"/>
        <v>-0.15866610025488553</v>
      </c>
      <c r="W54" s="5"/>
      <c r="X54" s="27">
        <f>IF($G54&lt;&gt;0,SUMIF(куб!$G:$G,$G54,куб!N:N),IF($E54&lt;&gt;0,SUMIF(куб!$E:$E,$E54,куб!N:N),IF($D54&lt;&gt;0,SUMIF(куб!$D:$D,$D54,куб!N:N),IF($C54&lt;&gt;0,SUMIF(куб!$C:$C,$C54,куб!N:N),IF($B54&lt;&gt;0,SUMIF(куб!$B:$B,$B54,куб!N:N))))))</f>
        <v>30146.380099999777</v>
      </c>
      <c r="Y54" s="27">
        <f>IF($G54&lt;&gt;0,SUMIF(куб!$G:$G,$G54,куб!O:O),IF($E54&lt;&gt;0,SUMIF(куб!$E:$E,$E54,куб!O:O),IF($D54&lt;&gt;0,SUMIF(куб!$D:$D,$D54,куб!O:O),IF($C54&lt;&gt;0,SUMIF(куб!$C:$C,$C54,куб!O:O),IF($B54&lt;&gt;0,SUMIF(куб!$B:$B,$B54,куб!O:O))))))</f>
        <v>28583.456799999985</v>
      </c>
      <c r="Z54" s="13">
        <f t="shared" si="20"/>
        <v>-5.1844476677311013E-2</v>
      </c>
      <c r="AA54" s="5"/>
      <c r="AB54" s="33">
        <f t="shared" si="21"/>
        <v>8.8683357018794887E-2</v>
      </c>
      <c r="AC54" s="33">
        <f t="shared" si="22"/>
        <v>9.8468699802667911E-2</v>
      </c>
      <c r="AD54" s="15">
        <f t="shared" si="23"/>
        <v>9.7853427838730245E-3</v>
      </c>
      <c r="AE54" s="5"/>
      <c r="AF54" s="27">
        <f>IF($G54&lt;&gt;0,SUMIF(куб!$G:$G,$G54,куб!R:R),IF($E54&lt;&gt;0,SUMIF(куб!$E:$E,$E54,куб!R:R),IF($D54&lt;&gt;0,SUMIF(куб!$D:$D,$D54,куб!R:R),IF($C54&lt;&gt;0,SUMIF(куб!$C:$C,$C54,куб!R:R),IF($B54&lt;&gt;0,SUMIF(куб!$B:$B,$B54,куб!R:R))))))</f>
        <v>5264</v>
      </c>
      <c r="AG54" s="27">
        <f>IF($G54&lt;&gt;0,SUMIF(куб!$G:$G,$G54,куб!S:S),IF($E54&lt;&gt;0,SUMIF(куб!$E:$E,$E54,куб!S:S),IF($D54&lt;&gt;0,SUMIF(куб!$D:$D,$D54,куб!S:S),IF($C54&lt;&gt;0,SUMIF(куб!$C:$C,$C54,куб!S:S),IF($B54&lt;&gt;0,SUMIF(куб!$B:$B,$B54,куб!S:S))))))</f>
        <v>10199</v>
      </c>
      <c r="AH54" s="16">
        <f t="shared" si="24"/>
        <v>0.9375</v>
      </c>
      <c r="AI54" s="8"/>
      <c r="AJ54" s="27">
        <f>IF($G54&lt;&gt;0,SUMIF(куб!$G:$G,$G54,куб!T:T),IF($E54&lt;&gt;0,SUMIF(куб!$E:$E,$E54,куб!T:T),IF($D54&lt;&gt;0,SUMIF(куб!$D:$D,$D54,куб!T:T),IF($C54&lt;&gt;0,SUMIF(куб!$C:$C,$C54,куб!T:T),IF($B54&lt;&gt;0,SUMIF(куб!$B:$B,$B54,куб!T:T))))))</f>
        <v>80</v>
      </c>
      <c r="AK54" s="27">
        <f>IF($G54&lt;&gt;0,SUMIF(куб!$G:$G,$G54,куб!U:U),IF($E54&lt;&gt;0,SUMIF(куб!$E:$E,$E54,куб!U:U),IF($D54&lt;&gt;0,SUMIF(куб!$D:$D,$D54,куб!U:U),IF($C54&lt;&gt;0,SUMIF(куб!$C:$C,$C54,куб!U:U),IF($B54&lt;&gt;0,SUMIF(куб!$B:$B,$B54,куб!U:U))))))</f>
        <v>155</v>
      </c>
      <c r="AL54" s="16">
        <f t="shared" si="25"/>
        <v>0.9375</v>
      </c>
      <c r="AM54" s="8"/>
      <c r="AN54" s="17">
        <f t="shared" si="26"/>
        <v>1.5485414494158115E-2</v>
      </c>
      <c r="AO54" s="17">
        <f t="shared" si="27"/>
        <v>3.5135087974643098E-2</v>
      </c>
      <c r="AP54" s="16">
        <f t="shared" si="28"/>
        <v>1.9649673480484985E-2</v>
      </c>
      <c r="AQ54" s="8"/>
      <c r="AR54" s="17">
        <f t="shared" si="29"/>
        <v>7.319794252463678E-2</v>
      </c>
      <c r="AS54" s="17">
        <f t="shared" si="30"/>
        <v>6.3333611828024813E-2</v>
      </c>
      <c r="AT54" s="13">
        <f t="shared" si="31"/>
        <v>-9.864330696611967E-3</v>
      </c>
      <c r="AU54" s="8"/>
    </row>
    <row r="55" spans="1:47" ht="15" customHeight="1" x14ac:dyDescent="0.25">
      <c r="A55" s="31" t="s">
        <v>26</v>
      </c>
      <c r="B55" s="31" t="s">
        <v>32</v>
      </c>
      <c r="C55" t="s">
        <v>33</v>
      </c>
      <c r="D55" s="31" t="s">
        <v>34</v>
      </c>
      <c r="E55" t="s">
        <v>35</v>
      </c>
      <c r="F55" s="31" t="s">
        <v>136</v>
      </c>
      <c r="G55" t="s">
        <v>137</v>
      </c>
      <c r="H55" s="27">
        <f>IF($G55&lt;&gt;0,SUMIF(куб!$G:$G,$G55,куб!H:H),IF($E55&lt;&gt;0,SUMIF(куб!$E:$E,$E55,куб!H:H),IF($D55&lt;&gt;0,SUMIF(куб!$D:$D,$D55,куб!H:H),IF($C55&lt;&gt;0,SUMIF(куб!$C:$C,$C55,куб!H:H),IF($B55&lt;&gt;0,SUMIF(куб!$B:$B,$B55,куб!H:H),IF($G55&lt;&gt;0,SUMIF(куб!$A:$A,$G55,куб!H:H),SUMIF(куб!$A:$A,$G55,куб!H:H)))))))</f>
        <v>53187.865400000002</v>
      </c>
      <c r="I55" s="27">
        <f>IF($G55&lt;&gt;0,SUMIF(куб!$G:$G,$G55,куб!I:I),IF($E55&lt;&gt;0,SUMIF(куб!$E:$E,$E55,куб!I:I),IF($D55&lt;&gt;0,SUMIF(куб!$D:$D,$D55,куб!I:I),IF($C55&lt;&gt;0,SUMIF(куб!$C:$C,$C55,куб!I:I),IF($B55&lt;&gt;0,SUMIF(куб!$B:$B,$B55,куб!I:I),IF($G55&lt;&gt;0,SUMIF(куб!$A:$A,$G55,куб!I:I),SUMIF(куб!$A:$A,$G55,куб!I:I)))))))</f>
        <v>1262162.1613999996</v>
      </c>
      <c r="J55" s="19">
        <f t="shared" si="33"/>
        <v>22.73026538869145</v>
      </c>
      <c r="K55" s="10"/>
      <c r="L55" s="17">
        <f t="shared" si="15"/>
        <v>1.1110370819953455E-4</v>
      </c>
      <c r="M55" s="17">
        <f t="shared" si="16"/>
        <v>2.6911506310910464E-3</v>
      </c>
      <c r="N55" s="12">
        <f t="shared" si="17"/>
        <v>2.5800469228915118E-3</v>
      </c>
      <c r="O55" s="5"/>
      <c r="P55" s="27">
        <f>IF($G55&lt;&gt;0,SUMIF(куб!$G:$G,$G55,куб!J:J),IF($E55&lt;&gt;0,SUMIF(куб!$E:$E,$E55,куб!J:J),IF($D55&lt;&gt;0,SUMIF(куб!$D:$D,$D55,куб!J:J),IF($C55&lt;&gt;0,SUMIF(куб!$C:$C,$C55,куб!J:J),IF($B55&lt;&gt;0,SUMIF(куб!$B:$B,$B55,куб!J:J))))))</f>
        <v>771</v>
      </c>
      <c r="Q55" s="27">
        <f>IF($G55&lt;&gt;0,SUMIF(куб!$G:$G,$G55,куб!K:K),IF($E55&lt;&gt;0,SUMIF(куб!$E:$E,$E55,куб!K:K),IF($D55&lt;&gt;0,SUMIF(куб!$D:$D,$D55,куб!K:K),IF($C55&lt;&gt;0,SUMIF(куб!$C:$C,$C55,куб!K:K),IF($B55&lt;&gt;0,SUMIF(куб!$B:$B,$B55,куб!K:K))))))</f>
        <v>19277</v>
      </c>
      <c r="R55" s="13">
        <f t="shared" si="18"/>
        <v>24.002594033722438</v>
      </c>
      <c r="S55" s="5"/>
      <c r="T55" s="27">
        <f>IF($G55&lt;&gt;0,SUMIF(куб!$G:$G,$G55,куб!L:L),IF($E55&lt;&gt;0,SUMIF(куб!$E:$E,$E55,куб!L:L),IF($D55&lt;&gt;0,SUMIF(куб!$D:$D,$D55,куб!L:L),IF($C55&lt;&gt;0,SUMIF(куб!$C:$C,$C55,куб!L:L),IF($B55&lt;&gt;0,SUMIF(куб!$B:$B,$B55,куб!L:L))))))</f>
        <v>693.89999999999986</v>
      </c>
      <c r="U55" s="27">
        <f>IF($G55&lt;&gt;0,SUMIF(куб!$G:$G,$G55,куб!M:M),IF($E55&lt;&gt;0,SUMIF(куб!$E:$E,$E55,куб!M:M),IF($D55&lt;&gt;0,SUMIF(куб!$D:$D,$D55,куб!M:M),IF($C55&lt;&gt;0,SUMIF(куб!$C:$C,$C55,куб!M:M),IF($B55&lt;&gt;0,SUMIF(куб!$B:$B,$B55,куб!M:M))))))</f>
        <v>17869.778999999991</v>
      </c>
      <c r="V55" s="13">
        <f t="shared" si="19"/>
        <v>24.752671854734103</v>
      </c>
      <c r="W55" s="5"/>
      <c r="X55" s="27">
        <f>IF($G55&lt;&gt;0,SUMIF(куб!$G:$G,$G55,куб!N:N),IF($E55&lt;&gt;0,SUMIF(куб!$E:$E,$E55,куб!N:N),IF($D55&lt;&gt;0,SUMIF(куб!$D:$D,$D55,куб!N:N),IF($C55&lt;&gt;0,SUMIF(куб!$C:$C,$C55,куб!N:N),IF($B55&lt;&gt;0,SUMIF(куб!$B:$B,$B55,куб!N:N))))))</f>
        <v>7247.3147000000172</v>
      </c>
      <c r="Y55" s="27">
        <f>IF($G55&lt;&gt;0,SUMIF(куб!$G:$G,$G55,куб!O:O),IF($E55&lt;&gt;0,SUMIF(куб!$E:$E,$E55,куб!O:O),IF($D55&lt;&gt;0,SUMIF(куб!$D:$D,$D55,куб!O:O),IF($C55&lt;&gt;0,SUMIF(куб!$C:$C,$C55,куб!O:O),IF($B55&lt;&gt;0,SUMIF(куб!$B:$B,$B55,куб!O:O))))))</f>
        <v>192702.77189999982</v>
      </c>
      <c r="Z55" s="13">
        <f t="shared" si="20"/>
        <v>25.589541075123915</v>
      </c>
      <c r="AA55" s="5"/>
      <c r="AB55" s="33">
        <f t="shared" si="21"/>
        <v>0.13625879973743066</v>
      </c>
      <c r="AC55" s="33">
        <f t="shared" si="22"/>
        <v>0.15267671444551345</v>
      </c>
      <c r="AD55" s="15">
        <f t="shared" si="23"/>
        <v>1.6417914708082793E-2</v>
      </c>
      <c r="AE55" s="5"/>
      <c r="AF55" s="27">
        <f>IF($G55&lt;&gt;0,SUMIF(куб!$G:$G,$G55,куб!R:R),IF($E55&lt;&gt;0,SUMIF(куб!$E:$E,$E55,куб!R:R),IF($D55&lt;&gt;0,SUMIF(куб!$D:$D,$D55,куб!R:R),IF($C55&lt;&gt;0,SUMIF(куб!$C:$C,$C55,куб!R:R),IF($B55&lt;&gt;0,SUMIF(куб!$B:$B,$B55,куб!R:R))))))</f>
        <v>184.0635</v>
      </c>
      <c r="AG55" s="27">
        <f>IF($G55&lt;&gt;0,SUMIF(куб!$G:$G,$G55,куб!S:S),IF($E55&lt;&gt;0,SUMIF(куб!$E:$E,$E55,куб!S:S),IF($D55&lt;&gt;0,SUMIF(куб!$D:$D,$D55,куб!S:S),IF($C55&lt;&gt;0,SUMIF(куб!$C:$C,$C55,куб!S:S),IF($B55&lt;&gt;0,SUMIF(куб!$B:$B,$B55,куб!S:S))))))</f>
        <v>5068.7065999999995</v>
      </c>
      <c r="AH55" s="16">
        <f t="shared" si="24"/>
        <v>26.537814938866202</v>
      </c>
      <c r="AI55" s="8"/>
      <c r="AJ55" s="27">
        <f>IF($G55&lt;&gt;0,SUMIF(куб!$G:$G,$G55,куб!T:T),IF($E55&lt;&gt;0,SUMIF(куб!$E:$E,$E55,куб!T:T),IF($D55&lt;&gt;0,SUMIF(куб!$D:$D,$D55,куб!T:T),IF($C55&lt;&gt;0,SUMIF(куб!$C:$C,$C55,куб!T:T),IF($B55&lt;&gt;0,SUMIF(куб!$B:$B,$B55,куб!T:T))))))</f>
        <v>3</v>
      </c>
      <c r="AK55" s="27">
        <f>IF($G55&lt;&gt;0,SUMIF(куб!$G:$G,$G55,куб!U:U),IF($E55&lt;&gt;0,SUMIF(куб!$E:$E,$E55,куб!U:U),IF($D55&lt;&gt;0,SUMIF(куб!$D:$D,$D55,куб!U:U),IF($C55&lt;&gt;0,SUMIF(куб!$C:$C,$C55,куб!U:U),IF($B55&lt;&gt;0,SUMIF(куб!$B:$B,$B55,куб!U:U))))))</f>
        <v>90</v>
      </c>
      <c r="AL55" s="16">
        <f t="shared" si="25"/>
        <v>29</v>
      </c>
      <c r="AM55" s="8"/>
      <c r="AN55" s="17">
        <f t="shared" si="26"/>
        <v>3.4606295743540029E-3</v>
      </c>
      <c r="AO55" s="17">
        <f t="shared" si="27"/>
        <v>4.0158917411830444E-3</v>
      </c>
      <c r="AP55" s="16">
        <f t="shared" si="28"/>
        <v>5.5526216682904141E-4</v>
      </c>
      <c r="AQ55" s="8"/>
      <c r="AR55" s="17">
        <f t="shared" si="29"/>
        <v>0.13279817016307666</v>
      </c>
      <c r="AS55" s="17">
        <f t="shared" si="30"/>
        <v>0.14866082270433043</v>
      </c>
      <c r="AT55" s="13">
        <f t="shared" si="31"/>
        <v>1.5862652541253769E-2</v>
      </c>
      <c r="AU55" s="8"/>
    </row>
    <row r="56" spans="1:47" ht="15" customHeight="1" x14ac:dyDescent="0.25">
      <c r="A56" s="31" t="s">
        <v>26</v>
      </c>
      <c r="B56" s="31" t="s">
        <v>32</v>
      </c>
      <c r="C56" t="s">
        <v>33</v>
      </c>
      <c r="D56" s="31" t="s">
        <v>34</v>
      </c>
      <c r="E56" t="s">
        <v>35</v>
      </c>
      <c r="F56" s="31" t="s">
        <v>138</v>
      </c>
      <c r="G56" t="s">
        <v>139</v>
      </c>
      <c r="H56" s="27">
        <f>IF($G56&lt;&gt;0,SUMIF(куб!$G:$G,$G56,куб!H:H),IF($E56&lt;&gt;0,SUMIF(куб!$E:$E,$E56,куб!H:H),IF($D56&lt;&gt;0,SUMIF(куб!$D:$D,$D56,куб!H:H),IF($C56&lt;&gt;0,SUMIF(куб!$C:$C,$C56,куб!H:H),IF($B56&lt;&gt;0,SUMIF(куб!$B:$B,$B56,куб!H:H),IF($G56&lt;&gt;0,SUMIF(куб!$A:$A,$G56,куб!H:H),SUMIF(куб!$A:$A,$G56,куб!H:H)))))))</f>
        <v>1870358.2547000004</v>
      </c>
      <c r="I56" s="27">
        <f>IF($G56&lt;&gt;0,SUMIF(куб!$G:$G,$G56,куб!I:I),IF($E56&lt;&gt;0,SUMIF(куб!$E:$E,$E56,куб!I:I),IF($D56&lt;&gt;0,SUMIF(куб!$D:$D,$D56,куб!I:I),IF($C56&lt;&gt;0,SUMIF(куб!$C:$C,$C56,куб!I:I),IF($B56&lt;&gt;0,SUMIF(куб!$B:$B,$B56,куб!I:I),IF($G56&lt;&gt;0,SUMIF(куб!$A:$A,$G56,куб!I:I),SUMIF(куб!$A:$A,$G56,куб!I:I)))))))</f>
        <v>2168196.4331</v>
      </c>
      <c r="J56" s="19">
        <f t="shared" si="33"/>
        <v>0.15924124570871154</v>
      </c>
      <c r="K56" s="5"/>
      <c r="L56" s="17">
        <f t="shared" si="15"/>
        <v>3.9069764540462185E-3</v>
      </c>
      <c r="M56" s="17">
        <f t="shared" si="16"/>
        <v>4.6229742720176768E-3</v>
      </c>
      <c r="N56" s="12">
        <f t="shared" si="17"/>
        <v>7.1599781797145826E-4</v>
      </c>
      <c r="O56" s="5"/>
      <c r="P56" s="27">
        <f>IF($G56&lt;&gt;0,SUMIF(куб!$G:$G,$G56,куб!J:J),IF($E56&lt;&gt;0,SUMIF(куб!$E:$E,$E56,куб!J:J),IF($D56&lt;&gt;0,SUMIF(куб!$D:$D,$D56,куб!J:J),IF($C56&lt;&gt;0,SUMIF(куб!$C:$C,$C56,куб!J:J),IF($B56&lt;&gt;0,SUMIF(куб!$B:$B,$B56,куб!J:J))))))</f>
        <v>31257</v>
      </c>
      <c r="Q56" s="27">
        <f>IF($G56&lt;&gt;0,SUMIF(куб!$G:$G,$G56,куб!K:K),IF($E56&lt;&gt;0,SUMIF(куб!$E:$E,$E56,куб!K:K),IF($D56&lt;&gt;0,SUMIF(куб!$D:$D,$D56,куб!K:K),IF($C56&lt;&gt;0,SUMIF(куб!$C:$C,$C56,куб!K:K),IF($B56&lt;&gt;0,SUMIF(куб!$B:$B,$B56,куб!K:K))))))</f>
        <v>36197</v>
      </c>
      <c r="R56" s="13">
        <f t="shared" si="18"/>
        <v>0.15804459801004575</v>
      </c>
      <c r="S56" s="5"/>
      <c r="T56" s="27">
        <f>IF($G56&lt;&gt;0,SUMIF(куб!$G:$G,$G56,куб!L:L),IF($E56&lt;&gt;0,SUMIF(куб!$E:$E,$E56,куб!L:L),IF($D56&lt;&gt;0,SUMIF(куб!$D:$D,$D56,куб!L:L),IF($C56&lt;&gt;0,SUMIF(куб!$C:$C,$C56,куб!L:L),IF($B56&lt;&gt;0,SUMIF(куб!$B:$B,$B56,куб!L:L))))))</f>
        <v>28975.238999999998</v>
      </c>
      <c r="U56" s="27">
        <f>IF($G56&lt;&gt;0,SUMIF(куб!$G:$G,$G56,куб!M:M),IF($E56&lt;&gt;0,SUMIF(куб!$E:$E,$E56,куб!M:M),IF($D56&lt;&gt;0,SUMIF(куб!$D:$D,$D56,куб!M:M),IF($C56&lt;&gt;0,SUMIF(куб!$C:$C,$C56,куб!M:M),IF($B56&lt;&gt;0,SUMIF(куб!$B:$B,$B56,куб!M:M))))))</f>
        <v>33554.619000000006</v>
      </c>
      <c r="V56" s="13">
        <f t="shared" si="19"/>
        <v>0.15804459801004606</v>
      </c>
      <c r="W56" s="5"/>
      <c r="X56" s="27">
        <f>IF($G56&lt;&gt;0,SUMIF(куб!$G:$G,$G56,куб!N:N),IF($E56&lt;&gt;0,SUMIF(куб!$E:$E,$E56,куб!N:N),IF($D56&lt;&gt;0,SUMIF(куб!$D:$D,$D56,куб!N:N),IF($C56&lt;&gt;0,SUMIF(куб!$C:$C,$C56,куб!N:N),IF($B56&lt;&gt;0,SUMIF(куб!$B:$B,$B56,куб!N:N))))))</f>
        <v>242008.05269999988</v>
      </c>
      <c r="Y56" s="27">
        <f>IF($G56&lt;&gt;0,SUMIF(куб!$G:$G,$G56,куб!O:O),IF($E56&lt;&gt;0,SUMIF(куб!$E:$E,$E56,куб!O:O),IF($D56&lt;&gt;0,SUMIF(куб!$D:$D,$D56,куб!O:O),IF($C56&lt;&gt;0,SUMIF(куб!$C:$C,$C56,куб!O:O),IF($B56&lt;&gt;0,SUMIF(куб!$B:$B,$B56,куб!O:O))))))</f>
        <v>285286.58109999937</v>
      </c>
      <c r="Z56" s="13">
        <f t="shared" si="20"/>
        <v>0.17883094350438325</v>
      </c>
      <c r="AA56" s="5"/>
      <c r="AB56" s="33">
        <f t="shared" si="21"/>
        <v>0.12939128217380857</v>
      </c>
      <c r="AC56" s="33">
        <f t="shared" si="22"/>
        <v>0.13157782973201745</v>
      </c>
      <c r="AD56" s="15">
        <f t="shared" si="23"/>
        <v>2.1865475582088789E-3</v>
      </c>
      <c r="AE56" s="5"/>
      <c r="AF56" s="27">
        <f>IF($G56&lt;&gt;0,SUMIF(куб!$G:$G,$G56,куб!R:R),IF($E56&lt;&gt;0,SUMIF(куб!$E:$E,$E56,куб!R:R),IF($D56&lt;&gt;0,SUMIF(куб!$D:$D,$D56,куб!R:R),IF($C56&lt;&gt;0,SUMIF(куб!$C:$C,$C56,куб!R:R),IF($B56&lt;&gt;0,SUMIF(куб!$B:$B,$B56,куб!R:R))))))</f>
        <v>7128.2105000000001</v>
      </c>
      <c r="AG56" s="27">
        <f>IF($G56&lt;&gt;0,SUMIF(куб!$G:$G,$G56,куб!S:S),IF($E56&lt;&gt;0,SUMIF(куб!$E:$E,$E56,куб!S:S),IF($D56&lt;&gt;0,SUMIF(куб!$D:$D,$D56,куб!S:S),IF($C56&lt;&gt;0,SUMIF(куб!$C:$C,$C56,куб!S:S),IF($B56&lt;&gt;0,SUMIF(куб!$B:$B,$B56,куб!S:S))))))</f>
        <v>14415.761199999992</v>
      </c>
      <c r="AH56" s="16">
        <f t="shared" si="24"/>
        <v>1.0223534644494563</v>
      </c>
      <c r="AI56" s="8"/>
      <c r="AJ56" s="27">
        <f>IF($G56&lt;&gt;0,SUMIF(куб!$G:$G,$G56,куб!T:T),IF($E56&lt;&gt;0,SUMIF(куб!$E:$E,$E56,куб!T:T),IF($D56&lt;&gt;0,SUMIF(куб!$D:$D,$D56,куб!T:T),IF($C56&lt;&gt;0,SUMIF(куб!$C:$C,$C56,куб!T:T),IF($B56&lt;&gt;0,SUMIF(куб!$B:$B,$B56,куб!T:T))))))</f>
        <v>137</v>
      </c>
      <c r="AK56" s="27">
        <f>IF($G56&lt;&gt;0,SUMIF(куб!$G:$G,$G56,куб!U:U),IF($E56&lt;&gt;0,SUMIF(куб!$E:$E,$E56,куб!U:U),IF($D56&lt;&gt;0,SUMIF(куб!$D:$D,$D56,куб!U:U),IF($C56&lt;&gt;0,SUMIF(куб!$C:$C,$C56,куб!U:U),IF($B56&lt;&gt;0,SUMIF(куб!$B:$B,$B56,куб!U:U))))))</f>
        <v>277</v>
      </c>
      <c r="AL56" s="16">
        <f t="shared" si="25"/>
        <v>1.0218978102189782</v>
      </c>
      <c r="AM56" s="8"/>
      <c r="AN56" s="17">
        <f t="shared" si="26"/>
        <v>3.8111471329557358E-3</v>
      </c>
      <c r="AO56" s="17">
        <f t="shared" si="27"/>
        <v>6.6487339338479204E-3</v>
      </c>
      <c r="AP56" s="16">
        <f t="shared" si="28"/>
        <v>2.8375868008921846E-3</v>
      </c>
      <c r="AQ56" s="8"/>
      <c r="AR56" s="17">
        <f t="shared" si="29"/>
        <v>0.12558013504085286</v>
      </c>
      <c r="AS56" s="17">
        <f t="shared" si="30"/>
        <v>0.12492909579816952</v>
      </c>
      <c r="AT56" s="13">
        <f t="shared" si="31"/>
        <v>-6.5103924268333779E-4</v>
      </c>
      <c r="AU56" s="8"/>
    </row>
    <row r="57" spans="1:47" ht="15" customHeight="1" x14ac:dyDescent="0.25">
      <c r="A57" s="31" t="s">
        <v>26</v>
      </c>
      <c r="B57" s="31" t="s">
        <v>32</v>
      </c>
      <c r="C57" t="s">
        <v>33</v>
      </c>
      <c r="D57" s="31" t="s">
        <v>34</v>
      </c>
      <c r="E57" t="s">
        <v>35</v>
      </c>
      <c r="F57" s="31" t="s">
        <v>140</v>
      </c>
      <c r="G57" t="s">
        <v>141</v>
      </c>
      <c r="H57" s="27">
        <f>IF($G57&lt;&gt;0,SUMIF(куб!$G:$G,$G57,куб!H:H),IF($E57&lt;&gt;0,SUMIF(куб!$E:$E,$E57,куб!H:H),IF($D57&lt;&gt;0,SUMIF(куб!$D:$D,$D57,куб!H:H),IF($C57&lt;&gt;0,SUMIF(куб!$C:$C,$C57,куб!H:H),IF($B57&lt;&gt;0,SUMIF(куб!$B:$B,$B57,куб!H:H),IF($G57&lt;&gt;0,SUMIF(куб!$A:$A,$G57,куб!H:H),SUMIF(куб!$A:$A,$G57,куб!H:H)))))))</f>
        <v>5718587.1554999994</v>
      </c>
      <c r="I57" s="27">
        <f>IF($G57&lt;&gt;0,SUMIF(куб!$G:$G,$G57,куб!I:I),IF($E57&lt;&gt;0,SUMIF(куб!$E:$E,$E57,куб!I:I),IF($D57&lt;&gt;0,SUMIF(куб!$D:$D,$D57,куб!I:I),IF($C57&lt;&gt;0,SUMIF(куб!$C:$C,$C57,куб!I:I),IF($B57&lt;&gt;0,SUMIF(куб!$B:$B,$B57,куб!I:I),IF($G57&lt;&gt;0,SUMIF(куб!$A:$A,$G57,куб!I:I),SUMIF(куб!$A:$A,$G57,куб!I:I)))))))</f>
        <v>5748399.6162</v>
      </c>
      <c r="J57" s="19">
        <f t="shared" si="33"/>
        <v>5.2132563322616725E-3</v>
      </c>
      <c r="K57" s="5"/>
      <c r="L57" s="17">
        <f t="shared" si="15"/>
        <v>1.1945511139807432E-2</v>
      </c>
      <c r="M57" s="17">
        <f t="shared" si="16"/>
        <v>1.225659406374608E-2</v>
      </c>
      <c r="N57" s="12">
        <f t="shared" si="17"/>
        <v>3.1108292393864853E-4</v>
      </c>
      <c r="O57" s="5"/>
      <c r="P57" s="27">
        <f>IF($G57&lt;&gt;0,SUMIF(куб!$G:$G,$G57,куб!J:J),IF($E57&lt;&gt;0,SUMIF(куб!$E:$E,$E57,куб!J:J),IF($D57&lt;&gt;0,SUMIF(куб!$D:$D,$D57,куб!J:J),IF($C57&lt;&gt;0,SUMIF(куб!$C:$C,$C57,куб!J:J),IF($B57&lt;&gt;0,SUMIF(куб!$B:$B,$B57,куб!J:J))))))</f>
        <v>81890</v>
      </c>
      <c r="Q57" s="27">
        <f>IF($G57&lt;&gt;0,SUMIF(куб!$G:$G,$G57,куб!K:K),IF($E57&lt;&gt;0,SUMIF(куб!$E:$E,$E57,куб!K:K),IF($D57&lt;&gt;0,SUMIF(куб!$D:$D,$D57,куб!K:K),IF($C57&lt;&gt;0,SUMIF(куб!$C:$C,$C57,куб!K:K),IF($B57&lt;&gt;0,SUMIF(куб!$B:$B,$B57,куб!K:K))))))</f>
        <v>82096</v>
      </c>
      <c r="R57" s="13">
        <f t="shared" si="18"/>
        <v>2.5155696666259615E-3</v>
      </c>
      <c r="S57" s="5"/>
      <c r="T57" s="27">
        <f>IF($G57&lt;&gt;0,SUMIF(куб!$G:$G,$G57,куб!L:L),IF($E57&lt;&gt;0,SUMIF(куб!$E:$E,$E57,куб!L:L),IF($D57&lt;&gt;0,SUMIF(куб!$D:$D,$D57,куб!L:L),IF($C57&lt;&gt;0,SUMIF(куб!$C:$C,$C57,куб!L:L),IF($B57&lt;&gt;0,SUMIF(куб!$B:$B,$B57,куб!L:L))))))</f>
        <v>75912.029999999984</v>
      </c>
      <c r="U57" s="27">
        <f>IF($G57&lt;&gt;0,SUMIF(куб!$G:$G,$G57,куб!M:M),IF($E57&lt;&gt;0,SUMIF(куб!$E:$E,$E57,куб!M:M),IF($D57&lt;&gt;0,SUMIF(куб!$D:$D,$D57,куб!M:M),IF($C57&lt;&gt;0,SUMIF(куб!$C:$C,$C57,куб!M:M),IF($B57&lt;&gt;0,SUMIF(куб!$B:$B,$B57,куб!M:M))))))</f>
        <v>76102.992000000013</v>
      </c>
      <c r="V57" s="13">
        <f t="shared" si="19"/>
        <v>2.5155696666263393E-3</v>
      </c>
      <c r="W57" s="5"/>
      <c r="X57" s="27">
        <f>IF($G57&lt;&gt;0,SUMIF(куб!$G:$G,$G57,куб!N:N),IF($E57&lt;&gt;0,SUMIF(куб!$E:$E,$E57,куб!N:N),IF($D57&lt;&gt;0,SUMIF(куб!$D:$D,$D57,куб!N:N),IF($C57&lt;&gt;0,SUMIF(куб!$C:$C,$C57,куб!N:N),IF($B57&lt;&gt;0,SUMIF(куб!$B:$B,$B57,куб!N:N))))))</f>
        <v>758993.76210000087</v>
      </c>
      <c r="Y57" s="27">
        <f>IF($G57&lt;&gt;0,SUMIF(куб!$G:$G,$G57,куб!O:O),IF($E57&lt;&gt;0,SUMIF(куб!$E:$E,$E57,куб!O:O),IF($D57&lt;&gt;0,SUMIF(куб!$D:$D,$D57,куб!O:O),IF($C57&lt;&gt;0,SUMIF(куб!$C:$C,$C57,куб!O:O),IF($B57&lt;&gt;0,SUMIF(куб!$B:$B,$B57,куб!O:O))))))</f>
        <v>776302.07449999731</v>
      </c>
      <c r="Z57" s="13">
        <f t="shared" si="20"/>
        <v>2.2804288077556027E-2</v>
      </c>
      <c r="AA57" s="5"/>
      <c r="AB57" s="33">
        <f t="shared" si="21"/>
        <v>0.13272400008278601</v>
      </c>
      <c r="AC57" s="33">
        <f t="shared" si="22"/>
        <v>0.13504664364534463</v>
      </c>
      <c r="AD57" s="15">
        <f t="shared" si="23"/>
        <v>2.3226435625586239E-3</v>
      </c>
      <c r="AE57" s="5"/>
      <c r="AF57" s="27">
        <f>IF($G57&lt;&gt;0,SUMIF(куб!$G:$G,$G57,куб!R:R),IF($E57&lt;&gt;0,SUMIF(куб!$E:$E,$E57,куб!R:R),IF($D57&lt;&gt;0,SUMIF(куб!$D:$D,$D57,куб!R:R),IF($C57&lt;&gt;0,SUMIF(куб!$C:$C,$C57,куб!R:R),IF($B57&lt;&gt;0,SUMIF(куб!$B:$B,$B57,куб!R:R))))))</f>
        <v>2180.2901999999995</v>
      </c>
      <c r="AG57" s="27">
        <f>IF($G57&lt;&gt;0,SUMIF(куб!$G:$G,$G57,куб!S:S),IF($E57&lt;&gt;0,SUMIF(куб!$E:$E,$E57,куб!S:S),IF($D57&lt;&gt;0,SUMIF(куб!$D:$D,$D57,куб!S:S),IF($C57&lt;&gt;0,SUMIF(куб!$C:$C,$C57,куб!S:S),IF($B57&lt;&gt;0,SUMIF(куб!$B:$B,$B57,куб!S:S))))))</f>
        <v>3270.4347999999986</v>
      </c>
      <c r="AH57" s="16">
        <f t="shared" si="24"/>
        <v>0.49999977067272944</v>
      </c>
      <c r="AI57" s="8"/>
      <c r="AJ57" s="27">
        <f>IF($G57&lt;&gt;0,SUMIF(куб!$G:$G,$G57,куб!T:T),IF($E57&lt;&gt;0,SUMIF(куб!$E:$E,$E57,куб!T:T),IF($D57&lt;&gt;0,SUMIF(куб!$D:$D,$D57,куб!T:T),IF($C57&lt;&gt;0,SUMIF(куб!$C:$C,$C57,куб!T:T),IF($B57&lt;&gt;0,SUMIF(куб!$B:$B,$B57,куб!T:T))))))</f>
        <v>36</v>
      </c>
      <c r="AK57" s="27">
        <f>IF($G57&lt;&gt;0,SUMIF(куб!$G:$G,$G57,куб!U:U),IF($E57&lt;&gt;0,SUMIF(куб!$E:$E,$E57,куб!U:U),IF($D57&lt;&gt;0,SUMIF(куб!$D:$D,$D57,куб!U:U),IF($C57&lt;&gt;0,SUMIF(куб!$C:$C,$C57,куб!U:U),IF($B57&lt;&gt;0,SUMIF(куб!$B:$B,$B57,куб!U:U))))))</f>
        <v>54</v>
      </c>
      <c r="AL57" s="16">
        <f t="shared" si="25"/>
        <v>0.5</v>
      </c>
      <c r="AM57" s="8"/>
      <c r="AN57" s="17">
        <f t="shared" si="26"/>
        <v>3.8126378784015711E-4</v>
      </c>
      <c r="AO57" s="17">
        <f t="shared" si="27"/>
        <v>5.6892961839036704E-4</v>
      </c>
      <c r="AP57" s="16">
        <f t="shared" si="28"/>
        <v>1.8766583055020993E-4</v>
      </c>
      <c r="AQ57" s="8"/>
      <c r="AR57" s="17">
        <f t="shared" si="29"/>
        <v>0.13234273629494583</v>
      </c>
      <c r="AS57" s="17">
        <f t="shared" si="30"/>
        <v>0.13447771402695427</v>
      </c>
      <c r="AT57" s="13">
        <f t="shared" si="31"/>
        <v>2.1349777320084362E-3</v>
      </c>
      <c r="AU57" s="8"/>
    </row>
    <row r="58" spans="1:47" ht="15" customHeight="1" x14ac:dyDescent="0.25">
      <c r="A58" s="31" t="s">
        <v>26</v>
      </c>
      <c r="B58" s="31" t="s">
        <v>32</v>
      </c>
      <c r="C58" t="s">
        <v>33</v>
      </c>
      <c r="D58" s="31" t="s">
        <v>34</v>
      </c>
      <c r="E58" t="s">
        <v>35</v>
      </c>
      <c r="F58" s="31" t="s">
        <v>142</v>
      </c>
      <c r="G58" t="s">
        <v>143</v>
      </c>
      <c r="H58" s="27">
        <f>IF($G58&lt;&gt;0,SUMIF(куб!$G:$G,$G58,куб!H:H),IF($E58&lt;&gt;0,SUMIF(куб!$E:$E,$E58,куб!H:H),IF($D58&lt;&gt;0,SUMIF(куб!$D:$D,$D58,куб!H:H),IF($C58&lt;&gt;0,SUMIF(куб!$C:$C,$C58,куб!H:H),IF($B58&lt;&gt;0,SUMIF(куб!$B:$B,$B58,куб!H:H),IF($G58&lt;&gt;0,SUMIF(куб!$A:$A,$G58,куб!H:H),SUMIF(куб!$A:$A,$G58,куб!H:H)))))))</f>
        <v>29084.974200000001</v>
      </c>
      <c r="I58" s="27">
        <f>IF($G58&lt;&gt;0,SUMIF(куб!$G:$G,$G58,куб!I:I),IF($E58&lt;&gt;0,SUMIF(куб!$E:$E,$E58,куб!I:I),IF($D58&lt;&gt;0,SUMIF(куб!$D:$D,$D58,куб!I:I),IF($C58&lt;&gt;0,SUMIF(куб!$C:$C,$C58,куб!I:I),IF($B58&lt;&gt;0,SUMIF(куб!$B:$B,$B58,куб!I:I),IF($G58&lt;&gt;0,SUMIF(куб!$A:$A,$G58,куб!I:I),SUMIF(куб!$A:$A,$G58,куб!I:I)))))))</f>
        <v>0</v>
      </c>
      <c r="J58" s="19">
        <f t="shared" si="33"/>
        <v>-1</v>
      </c>
      <c r="K58" s="8"/>
      <c r="L58" s="17">
        <f t="shared" si="15"/>
        <v>6.0755370838924303E-5</v>
      </c>
      <c r="M58" s="17">
        <f t="shared" si="16"/>
        <v>0</v>
      </c>
      <c r="N58" s="12">
        <f t="shared" si="17"/>
        <v>-6.0755370838924303E-5</v>
      </c>
      <c r="O58" s="5"/>
      <c r="P58" s="27">
        <f>IF($G58&lt;&gt;0,SUMIF(куб!$G:$G,$G58,куб!J:J),IF($E58&lt;&gt;0,SUMIF(куб!$E:$E,$E58,куб!J:J),IF($D58&lt;&gt;0,SUMIF(куб!$D:$D,$D58,куб!J:J),IF($C58&lt;&gt;0,SUMIF(куб!$C:$C,$C58,куб!J:J),IF($B58&lt;&gt;0,SUMIF(куб!$B:$B,$B58,куб!J:J))))))</f>
        <v>402</v>
      </c>
      <c r="Q58" s="27">
        <f>IF($G58&lt;&gt;0,SUMIF(куб!$G:$G,$G58,куб!K:K),IF($E58&lt;&gt;0,SUMIF(куб!$E:$E,$E58,куб!K:K),IF($D58&lt;&gt;0,SUMIF(куб!$D:$D,$D58,куб!K:K),IF($C58&lt;&gt;0,SUMIF(куб!$C:$C,$C58,куб!K:K),IF($B58&lt;&gt;0,SUMIF(куб!$B:$B,$B58,куб!K:K))))))</f>
        <v>0</v>
      </c>
      <c r="R58" s="13">
        <f t="shared" si="18"/>
        <v>-1</v>
      </c>
      <c r="S58" s="5"/>
      <c r="T58" s="27">
        <f>IF($G58&lt;&gt;0,SUMIF(куб!$G:$G,$G58,куб!L:L),IF($E58&lt;&gt;0,SUMIF(куб!$E:$E,$E58,куб!L:L),IF($D58&lt;&gt;0,SUMIF(куб!$D:$D,$D58,куб!L:L),IF($C58&lt;&gt;0,SUMIF(куб!$C:$C,$C58,куб!L:L),IF($B58&lt;&gt;0,SUMIF(куб!$B:$B,$B58,куб!L:L))))))</f>
        <v>361.80000000000018</v>
      </c>
      <c r="U58" s="27">
        <f>IF($G58&lt;&gt;0,SUMIF(куб!$G:$G,$G58,куб!M:M),IF($E58&lt;&gt;0,SUMIF(куб!$E:$E,$E58,куб!M:M),IF($D58&lt;&gt;0,SUMIF(куб!$D:$D,$D58,куб!M:M),IF($C58&lt;&gt;0,SUMIF(куб!$C:$C,$C58,куб!M:M),IF($B58&lt;&gt;0,SUMIF(куб!$B:$B,$B58,куб!M:M))))))</f>
        <v>0</v>
      </c>
      <c r="V58" s="13">
        <f t="shared" si="19"/>
        <v>-1</v>
      </c>
      <c r="W58" s="5"/>
      <c r="X58" s="27">
        <f>IF($G58&lt;&gt;0,SUMIF(куб!$G:$G,$G58,куб!N:N),IF($E58&lt;&gt;0,SUMIF(куб!$E:$E,$E58,куб!N:N),IF($D58&lt;&gt;0,SUMIF(куб!$D:$D,$D58,куб!N:N),IF($C58&lt;&gt;0,SUMIF(куб!$C:$C,$C58,куб!N:N),IF($B58&lt;&gt;0,SUMIF(куб!$B:$B,$B58,куб!N:N))))))</f>
        <v>3930.745900000009</v>
      </c>
      <c r="Y58" s="27">
        <f>IF($G58&lt;&gt;0,SUMIF(куб!$G:$G,$G58,куб!O:O),IF($E58&lt;&gt;0,SUMIF(куб!$E:$E,$E58,куб!O:O),IF($D58&lt;&gt;0,SUMIF(куб!$D:$D,$D58,куб!O:O),IF($C58&lt;&gt;0,SUMIF(куб!$C:$C,$C58,куб!O:O),IF($B58&lt;&gt;0,SUMIF(куб!$B:$B,$B58,куб!O:O))))))</f>
        <v>0</v>
      </c>
      <c r="Z58" s="13">
        <f t="shared" si="20"/>
        <v>-1</v>
      </c>
      <c r="AA58" s="5"/>
      <c r="AB58" s="33">
        <f t="shared" si="21"/>
        <v>0.13514696189759759</v>
      </c>
      <c r="AC58" s="33" t="str">
        <f t="shared" si="22"/>
        <v/>
      </c>
      <c r="AD58" s="15" t="str">
        <f t="shared" si="23"/>
        <v xml:space="preserve"> </v>
      </c>
      <c r="AE58" s="5"/>
      <c r="AF58" s="27">
        <f>IF($G58&lt;&gt;0,SUMIF(куб!$G:$G,$G58,куб!R:R),IF($E58&lt;&gt;0,SUMIF(куб!$E:$E,$E58,куб!R:R),IF($D58&lt;&gt;0,SUMIF(куб!$D:$D,$D58,куб!R:R),IF($C58&lt;&gt;0,SUMIF(куб!$C:$C,$C58,куб!R:R),IF($B58&lt;&gt;0,SUMIF(куб!$B:$B,$B58,куб!R:R))))))</f>
        <v>2002.3264999999999</v>
      </c>
      <c r="AG58" s="27">
        <f>IF($G58&lt;&gt;0,SUMIF(куб!$G:$G,$G58,куб!S:S),IF($E58&lt;&gt;0,SUMIF(куб!$E:$E,$E58,куб!S:S),IF($D58&lt;&gt;0,SUMIF(куб!$D:$D,$D58,куб!S:S),IF($C58&lt;&gt;0,SUMIF(куб!$C:$C,$C58,куб!S:S),IF($B58&lt;&gt;0,SUMIF(куб!$B:$B,$B58,куб!S:S))))))</f>
        <v>0</v>
      </c>
      <c r="AH58" s="16">
        <f t="shared" si="24"/>
        <v>-1</v>
      </c>
      <c r="AI58" s="8"/>
      <c r="AJ58" s="27">
        <f>IF($G58&lt;&gt;0,SUMIF(куб!$G:$G,$G58,куб!T:T),IF($E58&lt;&gt;0,SUMIF(куб!$E:$E,$E58,куб!T:T),IF($D58&lt;&gt;0,SUMIF(куб!$D:$D,$D58,куб!T:T),IF($C58&lt;&gt;0,SUMIF(куб!$C:$C,$C58,куб!T:T),IF($B58&lt;&gt;0,SUMIF(куб!$B:$B,$B58,куб!T:T))))))</f>
        <v>32</v>
      </c>
      <c r="AK58" s="27">
        <f>IF($G58&lt;&gt;0,SUMIF(куб!$G:$G,$G58,куб!U:U),IF($E58&lt;&gt;0,SUMIF(куб!$E:$E,$E58,куб!U:U),IF($D58&lt;&gt;0,SUMIF(куб!$D:$D,$D58,куб!U:U),IF($C58&lt;&gt;0,SUMIF(куб!$C:$C,$C58,куб!U:U),IF($B58&lt;&gt;0,SUMIF(куб!$B:$B,$B58,куб!U:U))))))</f>
        <v>0</v>
      </c>
      <c r="AL58" s="16">
        <f t="shared" si="25"/>
        <v>-1</v>
      </c>
      <c r="AM58" s="8"/>
      <c r="AN58" s="17">
        <f t="shared" si="26"/>
        <v>6.8844018434783411E-2</v>
      </c>
      <c r="AO58" s="17" t="str">
        <f t="shared" si="27"/>
        <v xml:space="preserve"> </v>
      </c>
      <c r="AP58" s="16" t="str">
        <f t="shared" si="28"/>
        <v>-</v>
      </c>
      <c r="AQ58" s="8"/>
      <c r="AR58" s="17">
        <f t="shared" si="29"/>
        <v>6.6302943462814179E-2</v>
      </c>
      <c r="AS58" s="17" t="str">
        <f t="shared" si="30"/>
        <v>-</v>
      </c>
      <c r="AT58" s="13" t="str">
        <f t="shared" si="31"/>
        <v>-</v>
      </c>
      <c r="AU58" s="8"/>
    </row>
    <row r="59" spans="1:47" ht="15" customHeight="1" x14ac:dyDescent="0.25">
      <c r="A59" s="31" t="s">
        <v>26</v>
      </c>
      <c r="B59" s="31" t="s">
        <v>32</v>
      </c>
      <c r="C59" t="s">
        <v>33</v>
      </c>
      <c r="D59" s="31" t="s">
        <v>34</v>
      </c>
      <c r="E59" t="s">
        <v>35</v>
      </c>
      <c r="F59" s="31" t="s">
        <v>144</v>
      </c>
      <c r="G59" t="s">
        <v>145</v>
      </c>
      <c r="H59" s="27">
        <f>IF($G59&lt;&gt;0,SUMIF(куб!$G:$G,$G59,куб!H:H),IF($E59&lt;&gt;0,SUMIF(куб!$E:$E,$E59,куб!H:H),IF($D59&lt;&gt;0,SUMIF(куб!$D:$D,$D59,куб!H:H),IF($C59&lt;&gt;0,SUMIF(куб!$C:$C,$C59,куб!H:H),IF($B59&lt;&gt;0,SUMIF(куб!$B:$B,$B59,куб!H:H),IF($G59&lt;&gt;0,SUMIF(куб!$A:$A,$G59,куб!H:H),SUMIF(куб!$A:$A,$G59,куб!H:H)))))))</f>
        <v>433292.09299999994</v>
      </c>
      <c r="I59" s="27">
        <f>IF($G59&lt;&gt;0,SUMIF(куб!$G:$G,$G59,куб!I:I),IF($E59&lt;&gt;0,SUMIF(куб!$E:$E,$E59,куб!I:I),IF($D59&lt;&gt;0,SUMIF(куб!$D:$D,$D59,куб!I:I),IF($C59&lt;&gt;0,SUMIF(куб!$C:$C,$C59,куб!I:I),IF($B59&lt;&gt;0,SUMIF(куб!$B:$B,$B59,куб!I:I),IF($G59&lt;&gt;0,SUMIF(куб!$A:$A,$G59,куб!I:I),SUMIF(куб!$A:$A,$G59,куб!I:I)))))))</f>
        <v>371270.28659999993</v>
      </c>
      <c r="J59" s="19">
        <f t="shared" si="33"/>
        <v>-0.14314086825489339</v>
      </c>
      <c r="K59" s="10"/>
      <c r="L59" s="17">
        <f t="shared" si="15"/>
        <v>9.0510040032246869E-4</v>
      </c>
      <c r="M59" s="17">
        <f t="shared" si="16"/>
        <v>7.9161323056990175E-4</v>
      </c>
      <c r="N59" s="12">
        <f t="shared" si="17"/>
        <v>-1.1348716975256694E-4</v>
      </c>
      <c r="O59" s="5"/>
      <c r="P59" s="27">
        <f>IF($G59&lt;&gt;0,SUMIF(куб!$G:$G,$G59,куб!J:J),IF($E59&lt;&gt;0,SUMIF(куб!$E:$E,$E59,куб!J:J),IF($D59&lt;&gt;0,SUMIF(куб!$D:$D,$D59,куб!J:J),IF($C59&lt;&gt;0,SUMIF(куб!$C:$C,$C59,куб!J:J),IF($B59&lt;&gt;0,SUMIF(куб!$B:$B,$B59,куб!J:J))))))</f>
        <v>7017</v>
      </c>
      <c r="Q59" s="27">
        <f>IF($G59&lt;&gt;0,SUMIF(куб!$G:$G,$G59,куб!K:K),IF($E59&lt;&gt;0,SUMIF(куб!$E:$E,$E59,куб!K:K),IF($D59&lt;&gt;0,SUMIF(куб!$D:$D,$D59,куб!K:K),IF($C59&lt;&gt;0,SUMIF(куб!$C:$C,$C59,куб!K:K),IF($B59&lt;&gt;0,SUMIF(куб!$B:$B,$B59,куб!K:K))))))</f>
        <v>5965</v>
      </c>
      <c r="R59" s="13">
        <f t="shared" si="18"/>
        <v>-0.14992161892546674</v>
      </c>
      <c r="S59" s="5"/>
      <c r="T59" s="27">
        <f>IF($G59&lt;&gt;0,SUMIF(куб!$G:$G,$G59,куб!L:L),IF($E59&lt;&gt;0,SUMIF(куб!$E:$E,$E59,куб!L:L),IF($D59&lt;&gt;0,SUMIF(куб!$D:$D,$D59,куб!L:L),IF($C59&lt;&gt;0,SUMIF(куб!$C:$C,$C59,куб!L:L),IF($B59&lt;&gt;0,SUMIF(куб!$B:$B,$B59,куб!L:L))))))</f>
        <v>6315.2999999999984</v>
      </c>
      <c r="U59" s="27">
        <f>IF($G59&lt;&gt;0,SUMIF(куб!$G:$G,$G59,куб!M:M),IF($E59&lt;&gt;0,SUMIF(куб!$E:$E,$E59,куб!M:M),IF($D59&lt;&gt;0,SUMIF(куб!$D:$D,$D59,куб!M:M),IF($C59&lt;&gt;0,SUMIF(куб!$C:$C,$C59,куб!M:M),IF($B59&lt;&gt;0,SUMIF(куб!$B:$B,$B59,куб!M:M))))))</f>
        <v>5518.8180000000011</v>
      </c>
      <c r="V59" s="13">
        <f t="shared" si="19"/>
        <v>-0.12611942425537939</v>
      </c>
      <c r="W59" s="5"/>
      <c r="X59" s="27">
        <f>IF($G59&lt;&gt;0,SUMIF(куб!$G:$G,$G59,куб!N:N),IF($E59&lt;&gt;0,SUMIF(куб!$E:$E,$E59,куб!N:N),IF($D59&lt;&gt;0,SUMIF(куб!$D:$D,$D59,куб!N:N),IF($C59&lt;&gt;0,SUMIF(куб!$C:$C,$C59,куб!N:N),IF($B59&lt;&gt;0,SUMIF(куб!$B:$B,$B59,куб!N:N))))))</f>
        <v>50530.501000000047</v>
      </c>
      <c r="Y59" s="27">
        <f>IF($G59&lt;&gt;0,SUMIF(куб!$G:$G,$G59,куб!O:O),IF($E59&lt;&gt;0,SUMIF(куб!$E:$E,$E59,куб!O:O),IF($D59&lt;&gt;0,SUMIF(куб!$D:$D,$D59,куб!O:O),IF($C59&lt;&gt;0,SUMIF(куб!$C:$C,$C59,куб!O:O),IF($B59&lt;&gt;0,SUMIF(куб!$B:$B,$B59,куб!O:O))))))</f>
        <v>33618.605600000068</v>
      </c>
      <c r="Z59" s="13">
        <f t="shared" si="20"/>
        <v>-0.33468687357760341</v>
      </c>
      <c r="AA59" s="5"/>
      <c r="AB59" s="33">
        <f t="shared" si="21"/>
        <v>0.11661994718191189</v>
      </c>
      <c r="AC59" s="33">
        <f t="shared" si="22"/>
        <v>9.0550218569524693E-2</v>
      </c>
      <c r="AD59" s="15">
        <f t="shared" si="23"/>
        <v>-2.6069728612387197E-2</v>
      </c>
      <c r="AE59" s="5"/>
      <c r="AF59" s="27">
        <f>IF($G59&lt;&gt;0,SUMIF(куб!$G:$G,$G59,куб!R:R),IF($E59&lt;&gt;0,SUMIF(куб!$E:$E,$E59,куб!R:R),IF($D59&lt;&gt;0,SUMIF(куб!$D:$D,$D59,куб!R:R),IF($C59&lt;&gt;0,SUMIF(куб!$C:$C,$C59,куб!R:R),IF($B59&lt;&gt;0,SUMIF(куб!$B:$B,$B59,куб!R:R))))))</f>
        <v>9709.087000000005</v>
      </c>
      <c r="AG59" s="27">
        <f>IF($G59&lt;&gt;0,SUMIF(куб!$G:$G,$G59,куб!S:S),IF($E59&lt;&gt;0,SUMIF(куб!$E:$E,$E59,куб!S:S),IF($D59&lt;&gt;0,SUMIF(куб!$D:$D,$D59,куб!S:S),IF($C59&lt;&gt;0,SUMIF(куб!$C:$C,$C59,куб!S:S),IF($B59&lt;&gt;0,SUMIF(куб!$B:$B,$B59,куб!S:S))))))</f>
        <v>14796.558800000001</v>
      </c>
      <c r="AH59" s="16">
        <f t="shared" si="24"/>
        <v>0.5239907521685605</v>
      </c>
      <c r="AI59" s="8"/>
      <c r="AJ59" s="27">
        <f>IF($G59&lt;&gt;0,SUMIF(куб!$G:$G,$G59,куб!T:T),IF($E59&lt;&gt;0,SUMIF(куб!$E:$E,$E59,куб!T:T),IF($D59&lt;&gt;0,SUMIF(куб!$D:$D,$D59,куб!T:T),IF($C59&lt;&gt;0,SUMIF(куб!$C:$C,$C59,куб!T:T),IF($B59&lt;&gt;0,SUMIF(куб!$B:$B,$B59,куб!T:T))))))</f>
        <v>178</v>
      </c>
      <c r="AK59" s="27">
        <f>IF($G59&lt;&gt;0,SUMIF(куб!$G:$G,$G59,куб!U:U),IF($E59&lt;&gt;0,SUMIF(куб!$E:$E,$E59,куб!U:U),IF($D59&lt;&gt;0,SUMIF(куб!$D:$D,$D59,куб!U:U),IF($C59&lt;&gt;0,SUMIF(куб!$C:$C,$C59,куб!U:U),IF($B59&lt;&gt;0,SUMIF(куб!$B:$B,$B59,куб!U:U))))))</f>
        <v>260</v>
      </c>
      <c r="AL59" s="16">
        <f t="shared" si="25"/>
        <v>0.4606741573033708</v>
      </c>
      <c r="AM59" s="8"/>
      <c r="AN59" s="17">
        <f t="shared" si="26"/>
        <v>2.2407717927130526E-2</v>
      </c>
      <c r="AO59" s="17">
        <f t="shared" si="27"/>
        <v>3.9853872863091659E-2</v>
      </c>
      <c r="AP59" s="16">
        <f t="shared" si="28"/>
        <v>1.7446154935961133E-2</v>
      </c>
      <c r="AQ59" s="8"/>
      <c r="AR59" s="17">
        <f t="shared" si="29"/>
        <v>9.4212229254781357E-2</v>
      </c>
      <c r="AS59" s="17">
        <f t="shared" si="30"/>
        <v>5.0696345706433034E-2</v>
      </c>
      <c r="AT59" s="13">
        <f t="shared" si="31"/>
        <v>-4.3515883548348323E-2</v>
      </c>
      <c r="AU59" s="8"/>
    </row>
    <row r="60" spans="1:47" ht="15" customHeight="1" x14ac:dyDescent="0.25">
      <c r="A60" s="31" t="s">
        <v>26</v>
      </c>
      <c r="B60" s="31" t="s">
        <v>32</v>
      </c>
      <c r="C60" t="s">
        <v>33</v>
      </c>
      <c r="D60" s="31" t="s">
        <v>34</v>
      </c>
      <c r="E60" t="s">
        <v>35</v>
      </c>
      <c r="F60" s="31" t="s">
        <v>146</v>
      </c>
      <c r="G60" t="s">
        <v>147</v>
      </c>
      <c r="H60" s="27">
        <f>IF($G60&lt;&gt;0,SUMIF(куб!$G:$G,$G60,куб!H:H),IF($E60&lt;&gt;0,SUMIF(куб!$E:$E,$E60,куб!H:H),IF($D60&lt;&gt;0,SUMIF(куб!$D:$D,$D60,куб!H:H),IF($C60&lt;&gt;0,SUMIF(куб!$C:$C,$C60,куб!H:H),IF($B60&lt;&gt;0,SUMIF(куб!$B:$B,$B60,куб!H:H),IF($G60&lt;&gt;0,SUMIF(куб!$A:$A,$G60,куб!H:H),SUMIF(куб!$A:$A,$G60,куб!H:H)))))))</f>
        <v>2224618.8929999997</v>
      </c>
      <c r="I60" s="27">
        <f>IF($G60&lt;&gt;0,SUMIF(куб!$G:$G,$G60,куб!I:I),IF($E60&lt;&gt;0,SUMIF(куб!$E:$E,$E60,куб!I:I),IF($D60&lt;&gt;0,SUMIF(куб!$D:$D,$D60,куб!I:I),IF($C60&lt;&gt;0,SUMIF(куб!$C:$C,$C60,куб!I:I),IF($B60&lt;&gt;0,SUMIF(куб!$B:$B,$B60,куб!I:I),IF($G60&lt;&gt;0,SUMIF(куб!$A:$A,$G60,куб!I:I),SUMIF(куб!$A:$A,$G60,куб!I:I)))))))</f>
        <v>2301072.9233999997</v>
      </c>
      <c r="J60" s="19">
        <f t="shared" si="33"/>
        <v>3.4367248538871444E-2</v>
      </c>
      <c r="K60" s="5"/>
      <c r="L60" s="17">
        <f t="shared" si="15"/>
        <v>4.6469886784184337E-3</v>
      </c>
      <c r="M60" s="17">
        <f t="shared" si="16"/>
        <v>4.9062902053137319E-3</v>
      </c>
      <c r="N60" s="12">
        <f t="shared" si="17"/>
        <v>2.593015268952982E-4</v>
      </c>
      <c r="O60" s="5"/>
      <c r="P60" s="27">
        <f>IF($G60&lt;&gt;0,SUMIF(куб!$G:$G,$G60,куб!J:J),IF($E60&lt;&gt;0,SUMIF(куб!$E:$E,$E60,куб!J:J),IF($D60&lt;&gt;0,SUMIF(куб!$D:$D,$D60,куб!J:J),IF($C60&lt;&gt;0,SUMIF(куб!$C:$C,$C60,куб!J:J),IF($B60&lt;&gt;0,SUMIF(куб!$B:$B,$B60,куб!J:J))))))</f>
        <v>34543</v>
      </c>
      <c r="Q60" s="27">
        <f>IF($G60&lt;&gt;0,SUMIF(куб!$G:$G,$G60,куб!K:K),IF($E60&lt;&gt;0,SUMIF(куб!$E:$E,$E60,куб!K:K),IF($D60&lt;&gt;0,SUMIF(куб!$D:$D,$D60,куб!K:K),IF($C60&lt;&gt;0,SUMIF(куб!$C:$C,$C60,куб!K:K),IF($B60&lt;&gt;0,SUMIF(куб!$B:$B,$B60,куб!K:K))))))</f>
        <v>34013</v>
      </c>
      <c r="R60" s="13">
        <f t="shared" si="18"/>
        <v>-1.5343195437570564E-2</v>
      </c>
      <c r="S60" s="5"/>
      <c r="T60" s="27">
        <f>IF($G60&lt;&gt;0,SUMIF(куб!$G:$G,$G60,куб!L:L),IF($E60&lt;&gt;0,SUMIF(куб!$E:$E,$E60,куб!L:L),IF($D60&lt;&gt;0,SUMIF(куб!$D:$D,$D60,куб!L:L),IF($C60&lt;&gt;0,SUMIF(куб!$C:$C,$C60,куб!L:L),IF($B60&lt;&gt;0,SUMIF(куб!$B:$B,$B60,куб!L:L))))))</f>
        <v>31088.699999999993</v>
      </c>
      <c r="U60" s="27">
        <f>IF($G60&lt;&gt;0,SUMIF(куб!$G:$G,$G60,куб!M:M),IF($E60&lt;&gt;0,SUMIF(куб!$E:$E,$E60,куб!M:M),IF($D60&lt;&gt;0,SUMIF(куб!$D:$D,$D60,куб!M:M),IF($C60&lt;&gt;0,SUMIF(куб!$C:$C,$C60,куб!M:M),IF($B60&lt;&gt;0,SUMIF(куб!$B:$B,$B60,куб!M:M))))))</f>
        <v>31468.827600000001</v>
      </c>
      <c r="V60" s="13">
        <f t="shared" si="19"/>
        <v>1.222719509017769E-2</v>
      </c>
      <c r="W60" s="5"/>
      <c r="X60" s="27">
        <f>IF($G60&lt;&gt;0,SUMIF(куб!$G:$G,$G60,куб!N:N),IF($E60&lt;&gt;0,SUMIF(куб!$E:$E,$E60,куб!N:N),IF($D60&lt;&gt;0,SUMIF(куб!$D:$D,$D60,куб!N:N),IF($C60&lt;&gt;0,SUMIF(куб!$C:$C,$C60,куб!N:N),IF($B60&lt;&gt;0,SUMIF(куб!$B:$B,$B60,куб!N:N))))))</f>
        <v>277609.39809999964</v>
      </c>
      <c r="Y60" s="27">
        <f>IF($G60&lt;&gt;0,SUMIF(куб!$G:$G,$G60,куб!O:O),IF($E60&lt;&gt;0,SUMIF(куб!$E:$E,$E60,куб!O:O),IF($D60&lt;&gt;0,SUMIF(куб!$D:$D,$D60,куб!O:O),IF($C60&lt;&gt;0,SUMIF(куб!$C:$C,$C60,куб!O:O),IF($B60&lt;&gt;0,SUMIF(куб!$B:$B,$B60,куб!O:O))))))</f>
        <v>291168.88329999871</v>
      </c>
      <c r="Z60" s="13">
        <f t="shared" si="20"/>
        <v>4.8843754184124219E-2</v>
      </c>
      <c r="AA60" s="5"/>
      <c r="AB60" s="33">
        <f t="shared" si="21"/>
        <v>0.12478964328385737</v>
      </c>
      <c r="AC60" s="33">
        <f t="shared" si="22"/>
        <v>0.12653613900674468</v>
      </c>
      <c r="AD60" s="15">
        <f t="shared" si="23"/>
        <v>1.7464957228873063E-3</v>
      </c>
      <c r="AE60" s="5"/>
      <c r="AF60" s="27">
        <f>IF($G60&lt;&gt;0,SUMIF(куб!$G:$G,$G60,куб!R:R),IF($E60&lt;&gt;0,SUMIF(куб!$E:$E,$E60,куб!R:R),IF($D60&lt;&gt;0,SUMIF(куб!$D:$D,$D60,куб!R:R),IF($C60&lt;&gt;0,SUMIF(куб!$C:$C,$C60,куб!R:R),IF($B60&lt;&gt;0,SUMIF(куб!$B:$B,$B60,куб!R:R))))))</f>
        <v>9243.6325999999972</v>
      </c>
      <c r="AG60" s="27">
        <f>IF($G60&lt;&gt;0,SUMIF(куб!$G:$G,$G60,куб!S:S),IF($E60&lt;&gt;0,SUMIF(куб!$E:$E,$E60,куб!S:S),IF($D60&lt;&gt;0,SUMIF(куб!$D:$D,$D60,куб!S:S),IF($C60&lt;&gt;0,SUMIF(куб!$C:$C,$C60,куб!S:S),IF($B60&lt;&gt;0,SUMIF(куб!$B:$B,$B60,куб!S:S))))))</f>
        <v>7622.7261000000017</v>
      </c>
      <c r="AH60" s="16">
        <f t="shared" si="24"/>
        <v>-0.17535384303352733</v>
      </c>
      <c r="AI60" s="8"/>
      <c r="AJ60" s="27">
        <f>IF($G60&lt;&gt;0,SUMIF(куб!$G:$G,$G60,куб!T:T),IF($E60&lt;&gt;0,SUMIF(куб!$E:$E,$E60,куб!T:T),IF($D60&lt;&gt;0,SUMIF(куб!$D:$D,$D60,куб!T:T),IF($C60&lt;&gt;0,SUMIF(куб!$C:$C,$C60,куб!T:T),IF($B60&lt;&gt;0,SUMIF(куб!$B:$B,$B60,куб!T:T))))))</f>
        <v>164</v>
      </c>
      <c r="AK60" s="27">
        <f>IF($G60&lt;&gt;0,SUMIF(куб!$G:$G,$G60,куб!U:U),IF($E60&lt;&gt;0,SUMIF(куб!$E:$E,$E60,куб!U:U),IF($D60&lt;&gt;0,SUMIF(куб!$D:$D,$D60,куб!U:U),IF($C60&lt;&gt;0,SUMIF(куб!$C:$C,$C60,куб!U:U),IF($B60&lt;&gt;0,SUMIF(куб!$B:$B,$B60,куб!U:U))))))</f>
        <v>129</v>
      </c>
      <c r="AL60" s="16">
        <f t="shared" si="25"/>
        <v>-0.21341463414634146</v>
      </c>
      <c r="AM60" s="8"/>
      <c r="AN60" s="17">
        <f t="shared" si="26"/>
        <v>4.155153329447157E-3</v>
      </c>
      <c r="AO60" s="17">
        <f t="shared" si="27"/>
        <v>3.3126834106312801E-3</v>
      </c>
      <c r="AP60" s="16">
        <f t="shared" si="28"/>
        <v>-8.4246991881587689E-4</v>
      </c>
      <c r="AQ60" s="8"/>
      <c r="AR60" s="17">
        <f t="shared" si="29"/>
        <v>0.12063448995441022</v>
      </c>
      <c r="AS60" s="17">
        <f t="shared" si="30"/>
        <v>0.12322345559611338</v>
      </c>
      <c r="AT60" s="13">
        <f t="shared" si="31"/>
        <v>2.5889656417031615E-3</v>
      </c>
      <c r="AU60" s="8"/>
    </row>
    <row r="61" spans="1:47" ht="15" customHeight="1" x14ac:dyDescent="0.25">
      <c r="A61" s="31" t="s">
        <v>26</v>
      </c>
      <c r="B61" s="31" t="s">
        <v>32</v>
      </c>
      <c r="C61" t="s">
        <v>33</v>
      </c>
      <c r="D61" s="31" t="s">
        <v>34</v>
      </c>
      <c r="E61" t="s">
        <v>35</v>
      </c>
      <c r="F61" s="31" t="s">
        <v>148</v>
      </c>
      <c r="G61" t="s">
        <v>149</v>
      </c>
      <c r="H61" s="27">
        <f>IF($G61&lt;&gt;0,SUMIF(куб!$G:$G,$G61,куб!H:H),IF($E61&lt;&gt;0,SUMIF(куб!$E:$E,$E61,куб!H:H),IF($D61&lt;&gt;0,SUMIF(куб!$D:$D,$D61,куб!H:H),IF($C61&lt;&gt;0,SUMIF(куб!$C:$C,$C61,куб!H:H),IF($B61&lt;&gt;0,SUMIF(куб!$B:$B,$B61,куб!H:H),IF($G61&lt;&gt;0,SUMIF(куб!$A:$A,$G61,куб!H:H),SUMIF(куб!$A:$A,$G61,куб!H:H)))))))</f>
        <v>3985682.9404000016</v>
      </c>
      <c r="I61" s="27">
        <f>IF($G61&lt;&gt;0,SUMIF(куб!$G:$G,$G61,куб!I:I),IF($E61&lt;&gt;0,SUMIF(куб!$E:$E,$E61,куб!I:I),IF($D61&lt;&gt;0,SUMIF(куб!$D:$D,$D61,куб!I:I),IF($C61&lt;&gt;0,SUMIF(куб!$C:$C,$C61,куб!I:I),IF($B61&lt;&gt;0,SUMIF(куб!$B:$B,$B61,куб!I:I),IF($G61&lt;&gt;0,SUMIF(куб!$A:$A,$G61,куб!I:I),SUMIF(куб!$A:$A,$G61,куб!I:I)))))))</f>
        <v>998712.09050000017</v>
      </c>
      <c r="J61" s="19">
        <f t="shared" si="33"/>
        <v>-0.74942510344293223</v>
      </c>
      <c r="K61" s="5"/>
      <c r="L61" s="17">
        <f t="shared" si="15"/>
        <v>8.3256613337610013E-3</v>
      </c>
      <c r="M61" s="17">
        <f t="shared" si="16"/>
        <v>2.1294289710334317E-3</v>
      </c>
      <c r="N61" s="12">
        <f t="shared" si="17"/>
        <v>-6.1962323627275696E-3</v>
      </c>
      <c r="O61" s="5"/>
      <c r="P61" s="27">
        <f>IF($G61&lt;&gt;0,SUMIF(куб!$G:$G,$G61,куб!J:J),IF($E61&lt;&gt;0,SUMIF(куб!$E:$E,$E61,куб!J:J),IF($D61&lt;&gt;0,SUMIF(куб!$D:$D,$D61,куб!J:J),IF($C61&lt;&gt;0,SUMIF(куб!$C:$C,$C61,куб!J:J),IF($B61&lt;&gt;0,SUMIF(куб!$B:$B,$B61,куб!J:J))))))</f>
        <v>30262</v>
      </c>
      <c r="Q61" s="27">
        <f>IF($G61&lt;&gt;0,SUMIF(куб!$G:$G,$G61,куб!K:K),IF($E61&lt;&gt;0,SUMIF(куб!$E:$E,$E61,куб!K:K),IF($D61&lt;&gt;0,SUMIF(куб!$D:$D,$D61,куб!K:K),IF($C61&lt;&gt;0,SUMIF(куб!$C:$C,$C61,куб!K:K),IF($B61&lt;&gt;0,SUMIF(куб!$B:$B,$B61,куб!K:K))))))</f>
        <v>7719</v>
      </c>
      <c r="R61" s="13">
        <f t="shared" si="18"/>
        <v>-0.74492763201374657</v>
      </c>
      <c r="S61" s="5"/>
      <c r="T61" s="27">
        <f>IF($G61&lt;&gt;0,SUMIF(куб!$G:$G,$G61,куб!L:L),IF($E61&lt;&gt;0,SUMIF(куб!$E:$E,$E61,куб!L:L),IF($D61&lt;&gt;0,SUMIF(куб!$D:$D,$D61,куб!L:L),IF($C61&lt;&gt;0,SUMIF(куб!$C:$C,$C61,куб!L:L),IF($B61&lt;&gt;0,SUMIF(куб!$B:$B,$B61,куб!L:L))))))</f>
        <v>42366.799999999974</v>
      </c>
      <c r="U61" s="27">
        <f>IF($G61&lt;&gt;0,SUMIF(куб!$G:$G,$G61,куб!M:M),IF($E61&lt;&gt;0,SUMIF(куб!$E:$E,$E61,куб!M:M),IF($D61&lt;&gt;0,SUMIF(куб!$D:$D,$D61,куб!M:M),IF($C61&lt;&gt;0,SUMIF(куб!$C:$C,$C61,куб!M:M),IF($B61&lt;&gt;0,SUMIF(куб!$B:$B,$B61,куб!M:M))))))</f>
        <v>10806.600000000008</v>
      </c>
      <c r="V61" s="13">
        <f t="shared" si="19"/>
        <v>-0.74492763201374634</v>
      </c>
      <c r="W61" s="5"/>
      <c r="X61" s="27">
        <f>IF($G61&lt;&gt;0,SUMIF(куб!$G:$G,$G61,куб!N:N),IF($E61&lt;&gt;0,SUMIF(куб!$E:$E,$E61,куб!N:N),IF($D61&lt;&gt;0,SUMIF(куб!$D:$D,$D61,куб!N:N),IF($C61&lt;&gt;0,SUMIF(куб!$C:$C,$C61,куб!N:N),IF($B61&lt;&gt;0,SUMIF(куб!$B:$B,$B61,куб!N:N))))))</f>
        <v>403693.41739999503</v>
      </c>
      <c r="Y61" s="27">
        <f>IF($G61&lt;&gt;0,SUMIF(куб!$G:$G,$G61,куб!O:O),IF($E61&lt;&gt;0,SUMIF(куб!$E:$E,$E61,куб!O:O),IF($D61&lt;&gt;0,SUMIF(куб!$D:$D,$D61,куб!O:O),IF($C61&lt;&gt;0,SUMIF(куб!$C:$C,$C61,куб!O:O),IF($B61&lt;&gt;0,SUMIF(куб!$B:$B,$B61,куб!O:O))))))</f>
        <v>135270.48409999895</v>
      </c>
      <c r="Z61" s="13">
        <f t="shared" si="20"/>
        <v>-0.66491778594951001</v>
      </c>
      <c r="AA61" s="5"/>
      <c r="AB61" s="33">
        <f t="shared" si="21"/>
        <v>0.10128588335716451</v>
      </c>
      <c r="AC61" s="33">
        <f t="shared" si="22"/>
        <v>0.13544492490551152</v>
      </c>
      <c r="AD61" s="15">
        <f t="shared" si="23"/>
        <v>3.4159041548347008E-2</v>
      </c>
      <c r="AE61" s="5"/>
      <c r="AF61" s="27">
        <f>IF($G61&lt;&gt;0,SUMIF(куб!$G:$G,$G61,куб!R:R),IF($E61&lt;&gt;0,SUMIF(куб!$E:$E,$E61,куб!R:R),IF($D61&lt;&gt;0,SUMIF(куб!$D:$D,$D61,куб!R:R),IF($C61&lt;&gt;0,SUMIF(куб!$C:$C,$C61,куб!R:R),IF($B61&lt;&gt;0,SUMIF(куб!$B:$B,$B61,куб!R:R))))))</f>
        <v>25069.059600000001</v>
      </c>
      <c r="AG61" s="27">
        <f>IF($G61&lt;&gt;0,SUMIF(куб!$G:$G,$G61,куб!S:S),IF($E61&lt;&gt;0,SUMIF(куб!$E:$E,$E61,куб!S:S),IF($D61&lt;&gt;0,SUMIF(куб!$D:$D,$D61,куб!S:S),IF($C61&lt;&gt;0,SUMIF(куб!$C:$C,$C61,куб!S:S),IF($B61&lt;&gt;0,SUMIF(куб!$B:$B,$B61,куб!S:S))))))</f>
        <v>16824.604899999995</v>
      </c>
      <c r="AH61" s="16">
        <f t="shared" si="24"/>
        <v>-0.32886972353761551</v>
      </c>
      <c r="AI61" s="8"/>
      <c r="AJ61" s="27">
        <f>IF($G61&lt;&gt;0,SUMIF(куб!$G:$G,$G61,куб!T:T),IF($E61&lt;&gt;0,SUMIF(куб!$E:$E,$E61,куб!T:T),IF($D61&lt;&gt;0,SUMIF(куб!$D:$D,$D61,куб!T:T),IF($C61&lt;&gt;0,SUMIF(куб!$C:$C,$C61,куб!T:T),IF($B61&lt;&gt;0,SUMIF(куб!$B:$B,$B61,куб!T:T))))))</f>
        <v>211</v>
      </c>
      <c r="AK61" s="27">
        <f>IF($G61&lt;&gt;0,SUMIF(куб!$G:$G,$G61,куб!U:U),IF($E61&lt;&gt;0,SUMIF(куб!$E:$E,$E61,куб!U:U),IF($D61&lt;&gt;0,SUMIF(куб!$D:$D,$D61,куб!U:U),IF($C61&lt;&gt;0,SUMIF(куб!$C:$C,$C61,куб!U:U),IF($B61&lt;&gt;0,SUMIF(куб!$B:$B,$B61,куб!U:U))))))</f>
        <v>147</v>
      </c>
      <c r="AL61" s="16">
        <f t="shared" si="25"/>
        <v>-0.30331753554502372</v>
      </c>
      <c r="AM61" s="8"/>
      <c r="AN61" s="17">
        <f t="shared" si="26"/>
        <v>6.289777680480545E-3</v>
      </c>
      <c r="AO61" s="17">
        <f t="shared" si="27"/>
        <v>1.6846301411627893E-2</v>
      </c>
      <c r="AP61" s="16">
        <f t="shared" si="28"/>
        <v>1.0556523731147347E-2</v>
      </c>
      <c r="AQ61" s="8"/>
      <c r="AR61" s="17">
        <f t="shared" si="29"/>
        <v>9.499610567668397E-2</v>
      </c>
      <c r="AS61" s="17">
        <f t="shared" si="30"/>
        <v>0.11859862349388364</v>
      </c>
      <c r="AT61" s="13">
        <f t="shared" si="31"/>
        <v>2.3602517817199672E-2</v>
      </c>
      <c r="AU61" s="8"/>
    </row>
    <row r="62" spans="1:47" ht="15" customHeight="1" x14ac:dyDescent="0.25">
      <c r="A62" s="31" t="s">
        <v>26</v>
      </c>
      <c r="B62" s="31" t="s">
        <v>32</v>
      </c>
      <c r="C62" t="s">
        <v>33</v>
      </c>
      <c r="D62" s="31" t="s">
        <v>34</v>
      </c>
      <c r="E62" t="s">
        <v>35</v>
      </c>
      <c r="F62" s="31" t="s">
        <v>150</v>
      </c>
      <c r="G62" t="s">
        <v>151</v>
      </c>
      <c r="H62" s="27">
        <f>IF($G62&lt;&gt;0,SUMIF(куб!$G:$G,$G62,куб!H:H),IF($E62&lt;&gt;0,SUMIF(куб!$E:$E,$E62,куб!H:H),IF($D62&lt;&gt;0,SUMIF(куб!$D:$D,$D62,куб!H:H),IF($C62&lt;&gt;0,SUMIF(куб!$C:$C,$C62,куб!H:H),IF($B62&lt;&gt;0,SUMIF(куб!$B:$B,$B62,куб!H:H),IF($G62&lt;&gt;0,SUMIF(куб!$A:$A,$G62,куб!H:H),SUMIF(куб!$A:$A,$G62,куб!H:H)))))))</f>
        <v>2106999.7745000012</v>
      </c>
      <c r="I62" s="27">
        <f>IF($G62&lt;&gt;0,SUMIF(куб!$G:$G,$G62,куб!I:I),IF($E62&lt;&gt;0,SUMIF(куб!$E:$E,$E62,куб!I:I),IF($D62&lt;&gt;0,SUMIF(куб!$D:$D,$D62,куб!I:I),IF($C62&lt;&gt;0,SUMIF(куб!$C:$C,$C62,куб!I:I),IF($B62&lt;&gt;0,SUMIF(куб!$B:$B,$B62,куб!I:I),IF($G62&lt;&gt;0,SUMIF(куб!$A:$A,$G62,куб!I:I),SUMIF(куб!$A:$A,$G62,куб!I:I)))))))</f>
        <v>2110022.4425000013</v>
      </c>
      <c r="J62" s="19">
        <f t="shared" si="33"/>
        <v>1.4345839219263104E-3</v>
      </c>
      <c r="K62" s="8"/>
      <c r="L62" s="17">
        <f t="shared" si="15"/>
        <v>4.4012950390472563E-3</v>
      </c>
      <c r="M62" s="17">
        <f t="shared" si="16"/>
        <v>4.4989371424759231E-3</v>
      </c>
      <c r="N62" s="12">
        <f t="shared" si="17"/>
        <v>9.7642103428666888E-5</v>
      </c>
      <c r="O62" s="5"/>
      <c r="P62" s="27">
        <f>IF($G62&lt;&gt;0,SUMIF(куб!$G:$G,$G62,куб!J:J),IF($E62&lt;&gt;0,SUMIF(куб!$E:$E,$E62,куб!J:J),IF($D62&lt;&gt;0,SUMIF(куб!$D:$D,$D62,куб!J:J),IF($C62&lt;&gt;0,SUMIF(куб!$C:$C,$C62,куб!J:J),IF($B62&lt;&gt;0,SUMIF(куб!$B:$B,$B62,куб!J:J))))))</f>
        <v>25478</v>
      </c>
      <c r="Q62" s="27">
        <f>IF($G62&lt;&gt;0,SUMIF(куб!$G:$G,$G62,куб!K:K),IF($E62&lt;&gt;0,SUMIF(куб!$E:$E,$E62,куб!K:K),IF($D62&lt;&gt;0,SUMIF(куб!$D:$D,$D62,куб!K:K),IF($C62&lt;&gt;0,SUMIF(куб!$C:$C,$C62,куб!K:K),IF($B62&lt;&gt;0,SUMIF(куб!$B:$B,$B62,куб!K:K))))))</f>
        <v>26595</v>
      </c>
      <c r="R62" s="13">
        <f t="shared" si="18"/>
        <v>4.3841745819923068E-2</v>
      </c>
      <c r="S62" s="5"/>
      <c r="T62" s="27">
        <f>IF($G62&lt;&gt;0,SUMIF(куб!$G:$G,$G62,куб!L:L),IF($E62&lt;&gt;0,SUMIF(куб!$E:$E,$E62,куб!L:L),IF($D62&lt;&gt;0,SUMIF(куб!$D:$D,$D62,куб!L:L),IF($C62&lt;&gt;0,SUMIF(куб!$C:$C,$C62,куб!L:L),IF($B62&lt;&gt;0,SUMIF(куб!$B:$B,$B62,куб!L:L))))))</f>
        <v>23694.539999999968</v>
      </c>
      <c r="U62" s="27">
        <f>IF($G62&lt;&gt;0,SUMIF(куб!$G:$G,$G62,куб!M:M),IF($E62&lt;&gt;0,SUMIF(куб!$E:$E,$E62,куб!M:M),IF($D62&lt;&gt;0,SUMIF(куб!$D:$D,$D62,куб!M:M),IF($C62&lt;&gt;0,SUMIF(куб!$C:$C,$C62,куб!M:M),IF($B62&lt;&gt;0,SUMIF(куб!$B:$B,$B62,куб!M:M))))))</f>
        <v>24733.350000000002</v>
      </c>
      <c r="V62" s="13">
        <f t="shared" si="19"/>
        <v>4.3841745819924567E-2</v>
      </c>
      <c r="W62" s="5"/>
      <c r="X62" s="27">
        <f>IF($G62&lt;&gt;0,SUMIF(куб!$G:$G,$G62,куб!N:N),IF($E62&lt;&gt;0,SUMIF(куб!$E:$E,$E62,куб!N:N),IF($D62&lt;&gt;0,SUMIF(куб!$D:$D,$D62,куб!N:N),IF($C62&lt;&gt;0,SUMIF(куб!$C:$C,$C62,куб!N:N),IF($B62&lt;&gt;0,SUMIF(куб!$B:$B,$B62,куб!N:N))))))</f>
        <v>248265.07739999634</v>
      </c>
      <c r="Y62" s="27">
        <f>IF($G62&lt;&gt;0,SUMIF(куб!$G:$G,$G62,куб!O:O),IF($E62&lt;&gt;0,SUMIF(куб!$E:$E,$E62,куб!O:O),IF($D62&lt;&gt;0,SUMIF(куб!$D:$D,$D62,куб!O:O),IF($C62&lt;&gt;0,SUMIF(куб!$C:$C,$C62,куб!O:O),IF($B62&lt;&gt;0,SUMIF(куб!$B:$B,$B62,куб!O:O))))))</f>
        <v>299410.27090000105</v>
      </c>
      <c r="Z62" s="13">
        <f t="shared" si="20"/>
        <v>0.20601042255170385</v>
      </c>
      <c r="AA62" s="5"/>
      <c r="AB62" s="33">
        <f t="shared" si="21"/>
        <v>0.11782871569547773</v>
      </c>
      <c r="AC62" s="33">
        <f t="shared" si="22"/>
        <v>0.14189909304720624</v>
      </c>
      <c r="AD62" s="15">
        <f t="shared" si="23"/>
        <v>2.4070377351728511E-2</v>
      </c>
      <c r="AE62" s="5"/>
      <c r="AF62" s="27">
        <f>IF($G62&lt;&gt;0,SUMIF(куб!$G:$G,$G62,куб!R:R),IF($E62&lt;&gt;0,SUMIF(куб!$E:$E,$E62,куб!R:R),IF($D62&lt;&gt;0,SUMIF(куб!$D:$D,$D62,куб!R:R),IF($C62&lt;&gt;0,SUMIF(куб!$C:$C,$C62,куб!R:R),IF($B62&lt;&gt;0,SUMIF(куб!$B:$B,$B62,куб!R:R))))))</f>
        <v>12544.686399999997</v>
      </c>
      <c r="AG62" s="27">
        <f>IF($G62&lt;&gt;0,SUMIF(куб!$G:$G,$G62,куб!S:S),IF($E62&lt;&gt;0,SUMIF(куб!$E:$E,$E62,куб!S:S),IF($D62&lt;&gt;0,SUMIF(куб!$D:$D,$D62,куб!S:S),IF($C62&lt;&gt;0,SUMIF(куб!$C:$C,$C62,куб!S:S),IF($B62&lt;&gt;0,SUMIF(куб!$B:$B,$B62,куб!S:S))))))</f>
        <v>7561.4707999999991</v>
      </c>
      <c r="AH62" s="16">
        <f t="shared" si="24"/>
        <v>-0.39723716010947863</v>
      </c>
      <c r="AI62" s="8"/>
      <c r="AJ62" s="27">
        <f>IF($G62&lt;&gt;0,SUMIF(куб!$G:$G,$G62,куб!T:T),IF($E62&lt;&gt;0,SUMIF(куб!$E:$E,$E62,куб!T:T),IF($D62&lt;&gt;0,SUMIF(куб!$D:$D,$D62,куб!T:T),IF($C62&lt;&gt;0,SUMIF(куб!$C:$C,$C62,куб!T:T),IF($B62&lt;&gt;0,SUMIF(куб!$B:$B,$B62,куб!T:T))))))</f>
        <v>171</v>
      </c>
      <c r="AK62" s="27">
        <f>IF($G62&lt;&gt;0,SUMIF(куб!$G:$G,$G62,куб!U:U),IF($E62&lt;&gt;0,SUMIF(куб!$E:$E,$E62,куб!U:U),IF($D62&lt;&gt;0,SUMIF(куб!$D:$D,$D62,куб!U:U),IF($C62&lt;&gt;0,SUMIF(куб!$C:$C,$C62,куб!U:U),IF($B62&lt;&gt;0,SUMIF(куб!$B:$B,$B62,куб!U:U))))))</f>
        <v>108</v>
      </c>
      <c r="AL62" s="16">
        <f t="shared" si="25"/>
        <v>-0.36842105263157893</v>
      </c>
      <c r="AM62" s="8"/>
      <c r="AN62" s="17">
        <f t="shared" si="26"/>
        <v>5.9538147805340402E-3</v>
      </c>
      <c r="AO62" s="17">
        <f t="shared" si="27"/>
        <v>3.5835973341785889E-3</v>
      </c>
      <c r="AP62" s="16">
        <f t="shared" si="28"/>
        <v>-2.3702174463554513E-3</v>
      </c>
      <c r="AQ62" s="8"/>
      <c r="AR62" s="17">
        <f t="shared" si="29"/>
        <v>0.11187490091494369</v>
      </c>
      <c r="AS62" s="17">
        <f t="shared" si="30"/>
        <v>0.13831549571302765</v>
      </c>
      <c r="AT62" s="13">
        <f t="shared" si="31"/>
        <v>2.6440594798083958E-2</v>
      </c>
      <c r="AU62" s="8"/>
    </row>
    <row r="63" spans="1:47" ht="15" customHeight="1" x14ac:dyDescent="0.25">
      <c r="A63" s="31" t="s">
        <v>26</v>
      </c>
      <c r="B63" s="31" t="s">
        <v>32</v>
      </c>
      <c r="C63" t="s">
        <v>33</v>
      </c>
      <c r="D63" s="31" t="s">
        <v>34</v>
      </c>
      <c r="E63" t="s">
        <v>35</v>
      </c>
      <c r="F63" s="31" t="s">
        <v>152</v>
      </c>
      <c r="G63" t="s">
        <v>153</v>
      </c>
      <c r="H63" s="27">
        <f>IF($G63&lt;&gt;0,SUMIF(куб!$G:$G,$G63,куб!H:H),IF($E63&lt;&gt;0,SUMIF(куб!$E:$E,$E63,куб!H:H),IF($D63&lt;&gt;0,SUMIF(куб!$D:$D,$D63,куб!H:H),IF($C63&lt;&gt;0,SUMIF(куб!$C:$C,$C63,куб!H:H),IF($B63&lt;&gt;0,SUMIF(куб!$B:$B,$B63,куб!H:H),IF($G63&lt;&gt;0,SUMIF(куб!$A:$A,$G63,куб!H:H),SUMIF(куб!$A:$A,$G63,куб!H:H)))))))</f>
        <v>272114.10609999998</v>
      </c>
      <c r="I63" s="27">
        <f>IF($G63&lt;&gt;0,SUMIF(куб!$G:$G,$G63,куб!I:I),IF($E63&lt;&gt;0,SUMIF(куб!$E:$E,$E63,куб!I:I),IF($D63&lt;&gt;0,SUMIF(куб!$D:$D,$D63,куб!I:I),IF($C63&lt;&gt;0,SUMIF(куб!$C:$C,$C63,куб!I:I),IF($B63&lt;&gt;0,SUMIF(куб!$B:$B,$B63,куб!I:I),IF($G63&lt;&gt;0,SUMIF(куб!$A:$A,$G63,куб!I:I),SUMIF(куб!$A:$A,$G63,куб!I:I)))))))</f>
        <v>540765.66469999996</v>
      </c>
      <c r="J63" s="19">
        <f t="shared" si="33"/>
        <v>0.98727538403052317</v>
      </c>
      <c r="K63" s="10"/>
      <c r="L63" s="17">
        <f t="shared" si="15"/>
        <v>5.6841698785512049E-4</v>
      </c>
      <c r="M63" s="17">
        <f t="shared" si="16"/>
        <v>1.1530070416748705E-3</v>
      </c>
      <c r="N63" s="12">
        <f t="shared" si="17"/>
        <v>5.8459005381975005E-4</v>
      </c>
      <c r="O63" s="5"/>
      <c r="P63" s="27">
        <f>IF($G63&lt;&gt;0,SUMIF(куб!$G:$G,$G63,куб!J:J),IF($E63&lt;&gt;0,SUMIF(куб!$E:$E,$E63,куб!J:J),IF($D63&lt;&gt;0,SUMIF(куб!$D:$D,$D63,куб!J:J),IF($C63&lt;&gt;0,SUMIF(куб!$C:$C,$C63,куб!J:J),IF($B63&lt;&gt;0,SUMIF(куб!$B:$B,$B63,куб!J:J))))))</f>
        <v>2133</v>
      </c>
      <c r="Q63" s="27">
        <f>IF($G63&lt;&gt;0,SUMIF(куб!$G:$G,$G63,куб!K:K),IF($E63&lt;&gt;0,SUMIF(куб!$E:$E,$E63,куб!K:K),IF($D63&lt;&gt;0,SUMIF(куб!$D:$D,$D63,куб!K:K),IF($C63&lt;&gt;0,SUMIF(куб!$C:$C,$C63,куб!K:K),IF($B63&lt;&gt;0,SUMIF(куб!$B:$B,$B63,куб!K:K))))))</f>
        <v>4274</v>
      </c>
      <c r="R63" s="13">
        <f t="shared" si="18"/>
        <v>1.003750586029067</v>
      </c>
      <c r="S63" s="5"/>
      <c r="T63" s="27">
        <f>IF($G63&lt;&gt;0,SUMIF(куб!$G:$G,$G63,куб!L:L),IF($E63&lt;&gt;0,SUMIF(куб!$E:$E,$E63,куб!L:L),IF($D63&lt;&gt;0,SUMIF(куб!$D:$D,$D63,куб!L:L),IF($C63&lt;&gt;0,SUMIF(куб!$C:$C,$C63,куб!L:L),IF($B63&lt;&gt;0,SUMIF(куб!$B:$B,$B63,куб!L:L))))))</f>
        <v>3199.5</v>
      </c>
      <c r="U63" s="27">
        <f>IF($G63&lt;&gt;0,SUMIF(куб!$G:$G,$G63,куб!M:M),IF($E63&lt;&gt;0,SUMIF(куб!$E:$E,$E63,куб!M:M),IF($D63&lt;&gt;0,SUMIF(куб!$D:$D,$D63,куб!M:M),IF($C63&lt;&gt;0,SUMIF(куб!$C:$C,$C63,куб!M:M),IF($B63&lt;&gt;0,SUMIF(куб!$B:$B,$B63,куб!M:M))))))</f>
        <v>6411</v>
      </c>
      <c r="V63" s="13">
        <f t="shared" si="19"/>
        <v>1.003750586029067</v>
      </c>
      <c r="W63" s="5"/>
      <c r="X63" s="27">
        <f>IF($G63&lt;&gt;0,SUMIF(куб!$G:$G,$G63,куб!N:N),IF($E63&lt;&gt;0,SUMIF(куб!$E:$E,$E63,куб!N:N),IF($D63&lt;&gt;0,SUMIF(куб!$D:$D,$D63,куб!N:N),IF($C63&lt;&gt;0,SUMIF(куб!$C:$C,$C63,куб!N:N),IF($B63&lt;&gt;0,SUMIF(куб!$B:$B,$B63,куб!N:N))))))</f>
        <v>40336.918099999923</v>
      </c>
      <c r="Y63" s="27">
        <f>IF($G63&lt;&gt;0,SUMIF(куб!$G:$G,$G63,куб!O:O),IF($E63&lt;&gt;0,SUMIF(куб!$E:$E,$E63,куб!O:O),IF($D63&lt;&gt;0,SUMIF(куб!$D:$D,$D63,куб!O:O),IF($C63&lt;&gt;0,SUMIF(куб!$C:$C,$C63,куб!O:O),IF($B63&lt;&gt;0,SUMIF(куб!$B:$B,$B63,куб!O:O))))))</f>
        <v>95943.855699999956</v>
      </c>
      <c r="Z63" s="13">
        <f t="shared" si="20"/>
        <v>1.3785618787767562</v>
      </c>
      <c r="AA63" s="5"/>
      <c r="AB63" s="33">
        <f t="shared" si="21"/>
        <v>0.14823530715888869</v>
      </c>
      <c r="AC63" s="33">
        <f t="shared" si="22"/>
        <v>0.17742224028448003</v>
      </c>
      <c r="AD63" s="15">
        <f t="shared" si="23"/>
        <v>2.9186933125591341E-2</v>
      </c>
      <c r="AE63" s="5"/>
      <c r="AF63" s="27">
        <f>IF($G63&lt;&gt;0,SUMIF(куб!$G:$G,$G63,куб!R:R),IF($E63&lt;&gt;0,SUMIF(куб!$E:$E,$E63,куб!R:R),IF($D63&lt;&gt;0,SUMIF(куб!$D:$D,$D63,куб!R:R),IF($C63&lt;&gt;0,SUMIF(куб!$C:$C,$C63,куб!R:R),IF($B63&lt;&gt;0,SUMIF(куб!$B:$B,$B63,куб!R:R))))))</f>
        <v>3909.9445000000001</v>
      </c>
      <c r="AG63" s="27">
        <f>IF($G63&lt;&gt;0,SUMIF(куб!$G:$G,$G63,куб!S:S),IF($E63&lt;&gt;0,SUMIF(куб!$E:$E,$E63,куб!S:S),IF($D63&lt;&gt;0,SUMIF(куб!$D:$D,$D63,куб!S:S),IF($C63&lt;&gt;0,SUMIF(куб!$C:$C,$C63,куб!S:S),IF($B63&lt;&gt;0,SUMIF(куб!$B:$B,$B63,куб!S:S))))))</f>
        <v>946.83600000000013</v>
      </c>
      <c r="AH63" s="16">
        <f t="shared" si="24"/>
        <v>-0.75783901791956376</v>
      </c>
      <c r="AI63" s="8"/>
      <c r="AJ63" s="27">
        <f>IF($G63&lt;&gt;0,SUMIF(куб!$G:$G,$G63,куб!T:T),IF($E63&lt;&gt;0,SUMIF(куб!$E:$E,$E63,куб!T:T),IF($D63&lt;&gt;0,SUMIF(куб!$D:$D,$D63,куб!T:T),IF($C63&lt;&gt;0,SUMIF(куб!$C:$C,$C63,куб!T:T),IF($B63&lt;&gt;0,SUMIF(куб!$B:$B,$B63,куб!T:T))))))</f>
        <v>36</v>
      </c>
      <c r="AK63" s="27">
        <f>IF($G63&lt;&gt;0,SUMIF(куб!$G:$G,$G63,куб!U:U),IF($E63&lt;&gt;0,SUMIF(куб!$E:$E,$E63,куб!U:U),IF($D63&lt;&gt;0,SUMIF(куб!$D:$D,$D63,куб!U:U),IF($C63&lt;&gt;0,SUMIF(куб!$C:$C,$C63,куб!U:U),IF($B63&lt;&gt;0,SUMIF(куб!$B:$B,$B63,куб!U:U))))))</f>
        <v>9</v>
      </c>
      <c r="AL63" s="16">
        <f t="shared" si="25"/>
        <v>-0.75</v>
      </c>
      <c r="AM63" s="8"/>
      <c r="AN63" s="17">
        <f t="shared" si="26"/>
        <v>1.4368768146709468E-2</v>
      </c>
      <c r="AO63" s="17">
        <f t="shared" si="27"/>
        <v>1.7509173784642474E-3</v>
      </c>
      <c r="AP63" s="16">
        <f t="shared" si="28"/>
        <v>-1.2617850768245221E-2</v>
      </c>
      <c r="AQ63" s="8"/>
      <c r="AR63" s="17">
        <f t="shared" si="29"/>
        <v>0.13386653901217924</v>
      </c>
      <c r="AS63" s="17">
        <f t="shared" si="30"/>
        <v>0.17567132290601578</v>
      </c>
      <c r="AT63" s="13">
        <f t="shared" si="31"/>
        <v>4.1804783893836545E-2</v>
      </c>
      <c r="AU63" s="8"/>
    </row>
    <row r="64" spans="1:47" ht="15" customHeight="1" x14ac:dyDescent="0.25">
      <c r="A64" s="31" t="s">
        <v>26</v>
      </c>
      <c r="B64" s="31" t="s">
        <v>32</v>
      </c>
      <c r="C64" t="s">
        <v>33</v>
      </c>
      <c r="D64" s="31" t="s">
        <v>34</v>
      </c>
      <c r="E64" t="s">
        <v>35</v>
      </c>
      <c r="F64" s="31" t="s">
        <v>154</v>
      </c>
      <c r="G64" t="s">
        <v>155</v>
      </c>
      <c r="H64" s="27">
        <f>IF($G64&lt;&gt;0,SUMIF(куб!$G:$G,$G64,куб!H:H),IF($E64&lt;&gt;0,SUMIF(куб!$E:$E,$E64,куб!H:H),IF($D64&lt;&gt;0,SUMIF(куб!$D:$D,$D64,куб!H:H),IF($C64&lt;&gt;0,SUMIF(куб!$C:$C,$C64,куб!H:H),IF($B64&lt;&gt;0,SUMIF(куб!$B:$B,$B64,куб!H:H),IF($G64&lt;&gt;0,SUMIF(куб!$A:$A,$G64,куб!H:H),SUMIF(куб!$A:$A,$G64,куб!H:H)))))))</f>
        <v>149931.65199999997</v>
      </c>
      <c r="I64" s="27">
        <f>IF($G64&lt;&gt;0,SUMIF(куб!$G:$G,$G64,куб!I:I),IF($E64&lt;&gt;0,SUMIF(куб!$E:$E,$E64,куб!I:I),IF($D64&lt;&gt;0,SUMIF(куб!$D:$D,$D64,куб!I:I),IF($C64&lt;&gt;0,SUMIF(куб!$C:$C,$C64,куб!I:I),IF($B64&lt;&gt;0,SUMIF(куб!$B:$B,$B64,куб!I:I),IF($G64&lt;&gt;0,SUMIF(куб!$A:$A,$G64,куб!I:I),SUMIF(куб!$A:$A,$G64,куб!I:I)))))))</f>
        <v>301575.2169</v>
      </c>
      <c r="J64" s="19">
        <f t="shared" si="33"/>
        <v>1.0114179552960576</v>
      </c>
      <c r="K64" s="5"/>
      <c r="L64" s="17">
        <f t="shared" si="15"/>
        <v>3.1319103311264223E-4</v>
      </c>
      <c r="M64" s="17">
        <f t="shared" si="16"/>
        <v>6.4301114397348025E-4</v>
      </c>
      <c r="N64" s="12">
        <f t="shared" si="17"/>
        <v>3.2982011086083802E-4</v>
      </c>
      <c r="O64" s="5"/>
      <c r="P64" s="27">
        <f>IF($G64&lt;&gt;0,SUMIF(куб!$G:$G,$G64,куб!J:J),IF($E64&lt;&gt;0,SUMIF(куб!$E:$E,$E64,куб!J:J),IF($D64&lt;&gt;0,SUMIF(куб!$D:$D,$D64,куб!J:J),IF($C64&lt;&gt;0,SUMIF(куб!$C:$C,$C64,куб!J:J),IF($B64&lt;&gt;0,SUMIF(куб!$B:$B,$B64,куб!J:J))))))</f>
        <v>1859</v>
      </c>
      <c r="Q64" s="27">
        <f>IF($G64&lt;&gt;0,SUMIF(куб!$G:$G,$G64,куб!K:K),IF($E64&lt;&gt;0,SUMIF(куб!$E:$E,$E64,куб!K:K),IF($D64&lt;&gt;0,SUMIF(куб!$D:$D,$D64,куб!K:K),IF($C64&lt;&gt;0,SUMIF(куб!$C:$C,$C64,куб!K:K),IF($B64&lt;&gt;0,SUMIF(куб!$B:$B,$B64,куб!K:K))))))</f>
        <v>3720</v>
      </c>
      <c r="R64" s="13">
        <f t="shared" si="18"/>
        <v>1.0010758472296934</v>
      </c>
      <c r="S64" s="5"/>
      <c r="T64" s="27">
        <f>IF($G64&lt;&gt;0,SUMIF(куб!$G:$G,$G64,куб!L:L),IF($E64&lt;&gt;0,SUMIF(куб!$E:$E,$E64,куб!L:L),IF($D64&lt;&gt;0,SUMIF(куб!$D:$D,$D64,куб!L:L),IF($C64&lt;&gt;0,SUMIF(куб!$C:$C,$C64,куб!L:L),IF($B64&lt;&gt;0,SUMIF(куб!$B:$B,$B64,куб!L:L))))))</f>
        <v>1728.870000000001</v>
      </c>
      <c r="U64" s="27">
        <f>IF($G64&lt;&gt;0,SUMIF(куб!$G:$G,$G64,куб!M:M),IF($E64&lt;&gt;0,SUMIF(куб!$E:$E,$E64,куб!M:M),IF($D64&lt;&gt;0,SUMIF(куб!$D:$D,$D64,куб!M:M),IF($C64&lt;&gt;0,SUMIF(куб!$C:$C,$C64,куб!M:M),IF($B64&lt;&gt;0,SUMIF(куб!$B:$B,$B64,куб!M:M))))))</f>
        <v>3459.6000000000004</v>
      </c>
      <c r="V64" s="13">
        <f t="shared" si="19"/>
        <v>1.0010758472296923</v>
      </c>
      <c r="W64" s="5"/>
      <c r="X64" s="27">
        <f>IF($G64&lt;&gt;0,SUMIF(куб!$G:$G,$G64,куб!N:N),IF($E64&lt;&gt;0,SUMIF(куб!$E:$E,$E64,куб!N:N),IF($D64&lt;&gt;0,SUMIF(куб!$D:$D,$D64,куб!N:N),IF($C64&lt;&gt;0,SUMIF(куб!$C:$C,$C64,куб!N:N),IF($B64&lt;&gt;0,SUMIF(куб!$B:$B,$B64,куб!N:N))))))</f>
        <v>17607.409700000018</v>
      </c>
      <c r="Y64" s="27">
        <f>IF($G64&lt;&gt;0,SUMIF(куб!$G:$G,$G64,куб!O:O),IF($E64&lt;&gt;0,SUMIF(куб!$E:$E,$E64,куб!O:O),IF($D64&lt;&gt;0,SUMIF(куб!$D:$D,$D64,куб!O:O),IF($C64&lt;&gt;0,SUMIF(куб!$C:$C,$C64,куб!O:O),IF($B64&lt;&gt;0,SUMIF(куб!$B:$B,$B64,куб!O:O))))))</f>
        <v>51395.416900000069</v>
      </c>
      <c r="Z64" s="13">
        <f t="shared" si="20"/>
        <v>1.9189652410939251</v>
      </c>
      <c r="AA64" s="5"/>
      <c r="AB64" s="33">
        <f t="shared" si="21"/>
        <v>0.11743624154824908</v>
      </c>
      <c r="AC64" s="33">
        <f t="shared" si="22"/>
        <v>0.17042321125824603</v>
      </c>
      <c r="AD64" s="15">
        <f t="shared" si="23"/>
        <v>5.2986969709996945E-2</v>
      </c>
      <c r="AE64" s="5"/>
      <c r="AF64" s="27">
        <f>IF($G64&lt;&gt;0,SUMIF(куб!$G:$G,$G64,куб!R:R),IF($E64&lt;&gt;0,SUMIF(куб!$E:$E,$E64,куб!R:R),IF($D64&lt;&gt;0,SUMIF(куб!$D:$D,$D64,куб!R:R),IF($C64&lt;&gt;0,SUMIF(куб!$C:$C,$C64,куб!R:R),IF($B64&lt;&gt;0,SUMIF(куб!$B:$B,$B64,куб!R:R))))))</f>
        <v>2059.5176999999999</v>
      </c>
      <c r="AG64" s="27">
        <f>IF($G64&lt;&gt;0,SUMIF(куб!$G:$G,$G64,куб!S:S),IF($E64&lt;&gt;0,SUMIF(куб!$E:$E,$E64,куб!S:S),IF($D64&lt;&gt;0,SUMIF(куб!$D:$D,$D64,куб!S:S),IF($C64&lt;&gt;0,SUMIF(куб!$C:$C,$C64,куб!S:S),IF($B64&lt;&gt;0,SUMIF(куб!$B:$B,$B64,куб!S:S))))))</f>
        <v>3050.2538999999997</v>
      </c>
      <c r="AH64" s="16">
        <f t="shared" si="24"/>
        <v>0.48105252991999042</v>
      </c>
      <c r="AI64" s="8"/>
      <c r="AJ64" s="27">
        <f>IF($G64&lt;&gt;0,SUMIF(куб!$G:$G,$G64,куб!T:T),IF($E64&lt;&gt;0,SUMIF(куб!$E:$E,$E64,куб!T:T),IF($D64&lt;&gt;0,SUMIF(куб!$D:$D,$D64,куб!T:T),IF($C64&lt;&gt;0,SUMIF(куб!$C:$C,$C64,куб!T:T),IF($B64&lt;&gt;0,SUMIF(куб!$B:$B,$B64,куб!T:T))))))</f>
        <v>29</v>
      </c>
      <c r="AK64" s="27">
        <f>IF($G64&lt;&gt;0,SUMIF(куб!$G:$G,$G64,куб!U:U),IF($E64&lt;&gt;0,SUMIF(куб!$E:$E,$E64,куб!U:U),IF($D64&lt;&gt;0,SUMIF(куб!$D:$D,$D64,куб!U:U),IF($C64&lt;&gt;0,SUMIF(куб!$C:$C,$C64,куб!U:U),IF($B64&lt;&gt;0,SUMIF(куб!$B:$B,$B64,куб!U:U))))))</f>
        <v>45</v>
      </c>
      <c r="AL64" s="16">
        <f t="shared" si="25"/>
        <v>0.55172413793103448</v>
      </c>
      <c r="AM64" s="8"/>
      <c r="AN64" s="17">
        <f t="shared" si="26"/>
        <v>1.3736377025979813E-2</v>
      </c>
      <c r="AO64" s="17">
        <f t="shared" si="27"/>
        <v>1.011440506071638E-2</v>
      </c>
      <c r="AP64" s="16">
        <f t="shared" si="28"/>
        <v>-3.6219719652634333E-3</v>
      </c>
      <c r="AQ64" s="8"/>
      <c r="AR64" s="17">
        <f t="shared" si="29"/>
        <v>0.10369986452226926</v>
      </c>
      <c r="AS64" s="17">
        <f t="shared" si="30"/>
        <v>0.16030880619752966</v>
      </c>
      <c r="AT64" s="13">
        <f t="shared" si="31"/>
        <v>5.6608941675260399E-2</v>
      </c>
      <c r="AU64" s="8"/>
    </row>
    <row r="65" spans="1:47" ht="15" customHeight="1" x14ac:dyDescent="0.25">
      <c r="A65" s="31" t="s">
        <v>26</v>
      </c>
      <c r="B65" s="31" t="s">
        <v>32</v>
      </c>
      <c r="C65" t="s">
        <v>33</v>
      </c>
      <c r="D65" s="31" t="s">
        <v>34</v>
      </c>
      <c r="E65" t="s">
        <v>35</v>
      </c>
      <c r="F65" s="31" t="s">
        <v>156</v>
      </c>
      <c r="G65" t="s">
        <v>157</v>
      </c>
      <c r="H65" s="27">
        <f>IF($G65&lt;&gt;0,SUMIF(куб!$G:$G,$G65,куб!H:H),IF($E65&lt;&gt;0,SUMIF(куб!$E:$E,$E65,куб!H:H),IF($D65&lt;&gt;0,SUMIF(куб!$D:$D,$D65,куб!H:H),IF($C65&lt;&gt;0,SUMIF(куб!$C:$C,$C65,куб!H:H),IF($B65&lt;&gt;0,SUMIF(куб!$B:$B,$B65,куб!H:H),IF($G65&lt;&gt;0,SUMIF(куб!$A:$A,$G65,куб!H:H),SUMIF(куб!$A:$A,$G65,куб!H:H)))))))</f>
        <v>0</v>
      </c>
      <c r="I65" s="27">
        <f>IF($G65&lt;&gt;0,SUMIF(куб!$G:$G,$G65,куб!I:I),IF($E65&lt;&gt;0,SUMIF(куб!$E:$E,$E65,куб!I:I),IF($D65&lt;&gt;0,SUMIF(куб!$D:$D,$D65,куб!I:I),IF($C65&lt;&gt;0,SUMIF(куб!$C:$C,$C65,куб!I:I),IF($B65&lt;&gt;0,SUMIF(куб!$B:$B,$B65,куб!I:I),IF($G65&lt;&gt;0,SUMIF(куб!$A:$A,$G65,куб!I:I),SUMIF(куб!$A:$A,$G65,куб!I:I)))))))</f>
        <v>9063326.0105999801</v>
      </c>
      <c r="J65" s="19" t="str">
        <f t="shared" si="33"/>
        <v>-</v>
      </c>
      <c r="K65" s="5"/>
      <c r="L65" s="17">
        <f t="shared" si="15"/>
        <v>0</v>
      </c>
      <c r="M65" s="17">
        <f t="shared" si="16"/>
        <v>1.9324597313355996E-2</v>
      </c>
      <c r="N65" s="12">
        <f t="shared" si="17"/>
        <v>1.9324597313355996E-2</v>
      </c>
      <c r="O65" s="5"/>
      <c r="P65" s="27">
        <f>IF($G65&lt;&gt;0,SUMIF(куб!$G:$G,$G65,куб!J:J),IF($E65&lt;&gt;0,SUMIF(куб!$E:$E,$E65,куб!J:J),IF($D65&lt;&gt;0,SUMIF(куб!$D:$D,$D65,куб!J:J),IF($C65&lt;&gt;0,SUMIF(куб!$C:$C,$C65,куб!J:J),IF($B65&lt;&gt;0,SUMIF(куб!$B:$B,$B65,куб!J:J))))))</f>
        <v>0</v>
      </c>
      <c r="Q65" s="27">
        <f>IF($G65&lt;&gt;0,SUMIF(куб!$G:$G,$G65,куб!K:K),IF($E65&lt;&gt;0,SUMIF(куб!$E:$E,$E65,куб!K:K),IF($D65&lt;&gt;0,SUMIF(куб!$D:$D,$D65,куб!K:K),IF($C65&lt;&gt;0,SUMIF(куб!$C:$C,$C65,куб!K:K),IF($B65&lt;&gt;0,SUMIF(куб!$B:$B,$B65,куб!K:K))))))</f>
        <v>53916</v>
      </c>
      <c r="R65" s="13" t="str">
        <f t="shared" si="18"/>
        <v>-</v>
      </c>
      <c r="S65" s="5"/>
      <c r="T65" s="27">
        <f>IF($G65&lt;&gt;0,SUMIF(куб!$G:$G,$G65,куб!L:L),IF($E65&lt;&gt;0,SUMIF(куб!$E:$E,$E65,куб!L:L),IF($D65&lt;&gt;0,SUMIF(куб!$D:$D,$D65,куб!L:L),IF($C65&lt;&gt;0,SUMIF(куб!$C:$C,$C65,куб!L:L),IF($B65&lt;&gt;0,SUMIF(куб!$B:$B,$B65,куб!L:L))))))</f>
        <v>0</v>
      </c>
      <c r="U65" s="27">
        <f>IF($G65&lt;&gt;0,SUMIF(куб!$G:$G,$G65,куб!M:M),IF($E65&lt;&gt;0,SUMIF(куб!$E:$E,$E65,куб!M:M),IF($D65&lt;&gt;0,SUMIF(куб!$D:$D,$D65,куб!M:M),IF($C65&lt;&gt;0,SUMIF(куб!$C:$C,$C65,куб!M:M),IF($B65&lt;&gt;0,SUMIF(куб!$B:$B,$B65,куб!M:M))))))</f>
        <v>107832</v>
      </c>
      <c r="V65" s="13" t="str">
        <f t="shared" si="19"/>
        <v>-</v>
      </c>
      <c r="W65" s="5"/>
      <c r="X65" s="27">
        <f>IF($G65&lt;&gt;0,SUMIF(куб!$G:$G,$G65,куб!N:N),IF($E65&lt;&gt;0,SUMIF(куб!$E:$E,$E65,куб!N:N),IF($D65&lt;&gt;0,SUMIF(куб!$D:$D,$D65,куб!N:N),IF($C65&lt;&gt;0,SUMIF(куб!$C:$C,$C65,куб!N:N),IF($B65&lt;&gt;0,SUMIF(куб!$B:$B,$B65,куб!N:N))))))</f>
        <v>0</v>
      </c>
      <c r="Y65" s="27">
        <f>IF($G65&lt;&gt;0,SUMIF(куб!$G:$G,$G65,куб!O:O),IF($E65&lt;&gt;0,SUMIF(куб!$E:$E,$E65,куб!O:O),IF($D65&lt;&gt;0,SUMIF(куб!$D:$D,$D65,куб!O:O),IF($C65&lt;&gt;0,SUMIF(куб!$C:$C,$C65,куб!O:O),IF($B65&lt;&gt;0,SUMIF(куб!$B:$B,$B65,куб!O:O))))))</f>
        <v>1101485.3271000031</v>
      </c>
      <c r="Z65" s="13" t="str">
        <f t="shared" si="20"/>
        <v>-</v>
      </c>
      <c r="AA65" s="5"/>
      <c r="AB65" s="33" t="str">
        <f t="shared" si="21"/>
        <v/>
      </c>
      <c r="AC65" s="33">
        <f t="shared" si="22"/>
        <v>0.12153213134027895</v>
      </c>
      <c r="AD65" s="15" t="str">
        <f t="shared" si="23"/>
        <v xml:space="preserve"> </v>
      </c>
      <c r="AE65" s="5"/>
      <c r="AF65" s="27">
        <f>IF($G65&lt;&gt;0,SUMIF(куб!$G:$G,$G65,куб!R:R),IF($E65&lt;&gt;0,SUMIF(куб!$E:$E,$E65,куб!R:R),IF($D65&lt;&gt;0,SUMIF(куб!$D:$D,$D65,куб!R:R),IF($C65&lt;&gt;0,SUMIF(куб!$C:$C,$C65,куб!R:R),IF($B65&lt;&gt;0,SUMIF(куб!$B:$B,$B65,куб!R:R))))))</f>
        <v>0</v>
      </c>
      <c r="AG65" s="27">
        <f>IF($G65&lt;&gt;0,SUMIF(куб!$G:$G,$G65,куб!S:S),IF($E65&lt;&gt;0,SUMIF(куб!$E:$E,$E65,куб!S:S),IF($D65&lt;&gt;0,SUMIF(куб!$D:$D,$D65,куб!S:S),IF($C65&lt;&gt;0,SUMIF(куб!$C:$C,$C65,куб!S:S),IF($B65&lt;&gt;0,SUMIF(куб!$B:$B,$B65,куб!S:S))))))</f>
        <v>43373.424599999998</v>
      </c>
      <c r="AH65" s="16" t="str">
        <f t="shared" si="24"/>
        <v>-</v>
      </c>
      <c r="AI65" s="8"/>
      <c r="AJ65" s="27">
        <f>IF($G65&lt;&gt;0,SUMIF(куб!$G:$G,$G65,куб!T:T),IF($E65&lt;&gt;0,SUMIF(куб!$E:$E,$E65,куб!T:T),IF($D65&lt;&gt;0,SUMIF(куб!$D:$D,$D65,куб!T:T),IF($C65&lt;&gt;0,SUMIF(куб!$C:$C,$C65,куб!T:T),IF($B65&lt;&gt;0,SUMIF(куб!$B:$B,$B65,куб!T:T))))))</f>
        <v>0</v>
      </c>
      <c r="AK65" s="27">
        <f>IF($G65&lt;&gt;0,SUMIF(куб!$G:$G,$G65,куб!U:U),IF($E65&lt;&gt;0,SUMIF(куб!$E:$E,$E65,куб!U:U),IF($D65&lt;&gt;0,SUMIF(куб!$D:$D,$D65,куб!U:U),IF($C65&lt;&gt;0,SUMIF(куб!$C:$C,$C65,куб!U:U),IF($B65&lt;&gt;0,SUMIF(куб!$B:$B,$B65,куб!U:U))))))</f>
        <v>292</v>
      </c>
      <c r="AL65" s="16" t="str">
        <f t="shared" si="25"/>
        <v>-</v>
      </c>
      <c r="AM65" s="8"/>
      <c r="AN65" s="17" t="str">
        <f t="shared" si="26"/>
        <v xml:space="preserve"> </v>
      </c>
      <c r="AO65" s="17">
        <f t="shared" si="27"/>
        <v>4.7855968713111244E-3</v>
      </c>
      <c r="AP65" s="16" t="str">
        <f t="shared" si="28"/>
        <v>-</v>
      </c>
      <c r="AQ65" s="8"/>
      <c r="AR65" s="17" t="str">
        <f t="shared" si="29"/>
        <v>-</v>
      </c>
      <c r="AS65" s="17">
        <f t="shared" si="30"/>
        <v>0.11674653446896781</v>
      </c>
      <c r="AT65" s="13" t="str">
        <f t="shared" si="31"/>
        <v>-</v>
      </c>
      <c r="AU65" s="8"/>
    </row>
    <row r="66" spans="1:47" ht="15" customHeight="1" x14ac:dyDescent="0.25">
      <c r="A66" s="31" t="s">
        <v>26</v>
      </c>
      <c r="B66" s="31" t="s">
        <v>32</v>
      </c>
      <c r="C66" t="s">
        <v>33</v>
      </c>
      <c r="D66" s="31" t="s">
        <v>34</v>
      </c>
      <c r="E66" t="s">
        <v>35</v>
      </c>
      <c r="F66" s="31" t="s">
        <v>158</v>
      </c>
      <c r="G66" t="s">
        <v>159</v>
      </c>
      <c r="H66" s="27">
        <f>IF($G66&lt;&gt;0,SUMIF(куб!$G:$G,$G66,куб!H:H),IF($E66&lt;&gt;0,SUMIF(куб!$E:$E,$E66,куб!H:H),IF($D66&lt;&gt;0,SUMIF(куб!$D:$D,$D66,куб!H:H),IF($C66&lt;&gt;0,SUMIF(куб!$C:$C,$C66,куб!H:H),IF($B66&lt;&gt;0,SUMIF(куб!$B:$B,$B66,куб!H:H),IF($G66&lt;&gt;0,SUMIF(куб!$A:$A,$G66,куб!H:H),SUMIF(куб!$A:$A,$G66,куб!H:H)))))))</f>
        <v>1173910.1144000003</v>
      </c>
      <c r="I66" s="27">
        <f>IF($G66&lt;&gt;0,SUMIF(куб!$G:$G,$G66,куб!I:I),IF($E66&lt;&gt;0,SUMIF(куб!$E:$E,$E66,куб!I:I),IF($D66&lt;&gt;0,SUMIF(куб!$D:$D,$D66,куб!I:I),IF($C66&lt;&gt;0,SUMIF(куб!$C:$C,$C66,куб!I:I),IF($B66&lt;&gt;0,SUMIF(куб!$B:$B,$B66,куб!I:I),IF($G66&lt;&gt;0,SUMIF(куб!$A:$A,$G66,куб!I:I),SUMIF(куб!$A:$A,$G66,куб!I:I)))))))</f>
        <v>1899206.1271000002</v>
      </c>
      <c r="J66" s="19">
        <f t="shared" si="33"/>
        <v>0.61784629317271655</v>
      </c>
      <c r="K66" s="8"/>
      <c r="L66" s="17">
        <f t="shared" si="15"/>
        <v>2.4521714835124752E-3</v>
      </c>
      <c r="M66" s="17">
        <f t="shared" si="16"/>
        <v>4.0494398610777024E-3</v>
      </c>
      <c r="N66" s="12">
        <f t="shared" si="17"/>
        <v>1.5972683775652271E-3</v>
      </c>
      <c r="O66" s="5"/>
      <c r="P66" s="27">
        <f>IF($G66&lt;&gt;0,SUMIF(куб!$G:$G,$G66,куб!J:J),IF($E66&lt;&gt;0,SUMIF(куб!$E:$E,$E66,куб!J:J),IF($D66&lt;&gt;0,SUMIF(куб!$D:$D,$D66,куб!J:J),IF($C66&lt;&gt;0,SUMIF(куб!$C:$C,$C66,куб!J:J),IF($B66&lt;&gt;0,SUMIF(куб!$B:$B,$B66,куб!J:J))))))</f>
        <v>23189</v>
      </c>
      <c r="Q66" s="27">
        <f>IF($G66&lt;&gt;0,SUMIF(куб!$G:$G,$G66,куб!K:K),IF($E66&lt;&gt;0,SUMIF(куб!$E:$E,$E66,куб!K:K),IF($D66&lt;&gt;0,SUMIF(куб!$D:$D,$D66,куб!K:K),IF($C66&lt;&gt;0,SUMIF(куб!$C:$C,$C66,куб!K:K),IF($B66&lt;&gt;0,SUMIF(куб!$B:$B,$B66,куб!K:K))))))</f>
        <v>37545</v>
      </c>
      <c r="R66" s="13">
        <f t="shared" si="18"/>
        <v>0.61908663590495494</v>
      </c>
      <c r="S66" s="5"/>
      <c r="T66" s="27">
        <f>IF($G66&lt;&gt;0,SUMIF(куб!$G:$G,$G66,куб!L:L),IF($E66&lt;&gt;0,SUMIF(куб!$E:$E,$E66,куб!L:L),IF($D66&lt;&gt;0,SUMIF(куб!$D:$D,$D66,куб!L:L),IF($C66&lt;&gt;0,SUMIF(куб!$C:$C,$C66,куб!L:L),IF($B66&lt;&gt;0,SUMIF(куб!$B:$B,$B66,куб!L:L))))))</f>
        <v>17855.529999999973</v>
      </c>
      <c r="U66" s="27">
        <f>IF($G66&lt;&gt;0,SUMIF(куб!$G:$G,$G66,куб!M:M),IF($E66&lt;&gt;0,SUMIF(куб!$E:$E,$E66,куб!M:M),IF($D66&lt;&gt;0,SUMIF(куб!$D:$D,$D66,куб!M:M),IF($C66&lt;&gt;0,SUMIF(куб!$C:$C,$C66,куб!M:M),IF($B66&lt;&gt;0,SUMIF(куб!$B:$B,$B66,куб!M:M))))))</f>
        <v>28909.649999999976</v>
      </c>
      <c r="V66" s="13">
        <f t="shared" si="19"/>
        <v>0.61908663590495605</v>
      </c>
      <c r="W66" s="5"/>
      <c r="X66" s="27">
        <f>IF($G66&lt;&gt;0,SUMIF(куб!$G:$G,$G66,куб!N:N),IF($E66&lt;&gt;0,SUMIF(куб!$E:$E,$E66,куб!N:N),IF($D66&lt;&gt;0,SUMIF(куб!$D:$D,$D66,куб!N:N),IF($C66&lt;&gt;0,SUMIF(куб!$C:$C,$C66,куб!N:N),IF($B66&lt;&gt;0,SUMIF(куб!$B:$B,$B66,куб!N:N))))))</f>
        <v>155641.61669999943</v>
      </c>
      <c r="Y66" s="27">
        <f>IF($G66&lt;&gt;0,SUMIF(куб!$G:$G,$G66,куб!O:O),IF($E66&lt;&gt;0,SUMIF(куб!$E:$E,$E66,куб!O:O),IF($D66&lt;&gt;0,SUMIF(куб!$D:$D,$D66,куб!O:O),IF($C66&lt;&gt;0,SUMIF(куб!$C:$C,$C66,куб!O:O),IF($B66&lt;&gt;0,SUMIF(куб!$B:$B,$B66,куб!O:O))))))</f>
        <v>250422.67749999836</v>
      </c>
      <c r="Z66" s="13">
        <f t="shared" si="20"/>
        <v>0.60896990669719298</v>
      </c>
      <c r="AA66" s="5"/>
      <c r="AB66" s="33">
        <f t="shared" si="21"/>
        <v>0.13258393022667647</v>
      </c>
      <c r="AC66" s="33">
        <f t="shared" si="22"/>
        <v>0.13185650252844444</v>
      </c>
      <c r="AD66" s="15">
        <f t="shared" si="23"/>
        <v>-7.2742769823203046E-4</v>
      </c>
      <c r="AE66" s="5"/>
      <c r="AF66" s="27">
        <f>IF($G66&lt;&gt;0,SUMIF(куб!$G:$G,$G66,куб!R:R),IF($E66&lt;&gt;0,SUMIF(куб!$E:$E,$E66,куб!R:R),IF($D66&lt;&gt;0,SUMIF(куб!$D:$D,$D66,куб!R:R),IF($C66&lt;&gt;0,SUMIF(куб!$C:$C,$C66,куб!R:R),IF($B66&lt;&gt;0,SUMIF(куб!$B:$B,$B66,куб!R:R))))))</f>
        <v>17914.891600000006</v>
      </c>
      <c r="AG66" s="27">
        <f>IF($G66&lt;&gt;0,SUMIF(куб!$G:$G,$G66,куб!S:S),IF($E66&lt;&gt;0,SUMIF(куб!$E:$E,$E66,куб!S:S),IF($D66&lt;&gt;0,SUMIF(куб!$D:$D,$D66,куб!S:S),IF($C66&lt;&gt;0,SUMIF(куб!$C:$C,$C66,куб!S:S),IF($B66&lt;&gt;0,SUMIF(куб!$B:$B,$B66,куб!S:S))))))</f>
        <v>19539.5239</v>
      </c>
      <c r="AH66" s="16">
        <f t="shared" si="24"/>
        <v>9.0686136219768884E-2</v>
      </c>
      <c r="AI66" s="8"/>
      <c r="AJ66" s="27">
        <f>IF($G66&lt;&gt;0,SUMIF(куб!$G:$G,$G66,куб!T:T),IF($E66&lt;&gt;0,SUMIF(куб!$E:$E,$E66,куб!T:T),IF($D66&lt;&gt;0,SUMIF(куб!$D:$D,$D66,куб!T:T),IF($C66&lt;&gt;0,SUMIF(куб!$C:$C,$C66,куб!T:T),IF($B66&lt;&gt;0,SUMIF(куб!$B:$B,$B66,куб!T:T))))))</f>
        <v>408</v>
      </c>
      <c r="AK66" s="27">
        <f>IF($G66&lt;&gt;0,SUMIF(куб!$G:$G,$G66,куб!U:U),IF($E66&lt;&gt;0,SUMIF(куб!$E:$E,$E66,куб!U:U),IF($D66&lt;&gt;0,SUMIF(куб!$D:$D,$D66,куб!U:U),IF($C66&lt;&gt;0,SUMIF(куб!$C:$C,$C66,куб!U:U),IF($B66&lt;&gt;0,SUMIF(куб!$B:$B,$B66,куб!U:U))))))</f>
        <v>445</v>
      </c>
      <c r="AL66" s="16">
        <f t="shared" si="25"/>
        <v>9.0686274509803919E-2</v>
      </c>
      <c r="AM66" s="8"/>
      <c r="AN66" s="17">
        <f t="shared" si="26"/>
        <v>1.5260871663207812E-2</v>
      </c>
      <c r="AO66" s="17">
        <f t="shared" si="27"/>
        <v>1.0288258668286811E-2</v>
      </c>
      <c r="AP66" s="16">
        <f t="shared" si="28"/>
        <v>-4.972612994921001E-3</v>
      </c>
      <c r="AQ66" s="8"/>
      <c r="AR66" s="17">
        <f t="shared" si="29"/>
        <v>0.11732305856346865</v>
      </c>
      <c r="AS66" s="17">
        <f t="shared" si="30"/>
        <v>0.12156824386015763</v>
      </c>
      <c r="AT66" s="13">
        <f t="shared" si="31"/>
        <v>4.2451852966889775E-3</v>
      </c>
      <c r="AU66" s="8"/>
    </row>
    <row r="67" spans="1:47" ht="15" customHeight="1" x14ac:dyDescent="0.25">
      <c r="A67" s="31" t="s">
        <v>26</v>
      </c>
      <c r="B67" s="31" t="s">
        <v>32</v>
      </c>
      <c r="C67" t="s">
        <v>33</v>
      </c>
      <c r="D67" s="31" t="s">
        <v>34</v>
      </c>
      <c r="E67" t="s">
        <v>35</v>
      </c>
      <c r="F67" s="31" t="s">
        <v>160</v>
      </c>
      <c r="G67" t="s">
        <v>161</v>
      </c>
      <c r="H67" s="27">
        <f>IF($G67&lt;&gt;0,SUMIF(куб!$G:$G,$G67,куб!H:H),IF($E67&lt;&gt;0,SUMIF(куб!$E:$E,$E67,куб!H:H),IF($D67&lt;&gt;0,SUMIF(куб!$D:$D,$D67,куб!H:H),IF($C67&lt;&gt;0,SUMIF(куб!$C:$C,$C67,куб!H:H),IF($B67&lt;&gt;0,SUMIF(куб!$B:$B,$B67,куб!H:H),IF($G67&lt;&gt;0,SUMIF(куб!$A:$A,$G67,куб!H:H),SUMIF(куб!$A:$A,$G67,куб!H:H)))))))</f>
        <v>0</v>
      </c>
      <c r="I67" s="27">
        <f>IF($G67&lt;&gt;0,SUMIF(куб!$G:$G,$G67,куб!I:I),IF($E67&lt;&gt;0,SUMIF(куб!$E:$E,$E67,куб!I:I),IF($D67&lt;&gt;0,SUMIF(куб!$D:$D,$D67,куб!I:I),IF($C67&lt;&gt;0,SUMIF(куб!$C:$C,$C67,куб!I:I),IF($B67&lt;&gt;0,SUMIF(куб!$B:$B,$B67,куб!I:I),IF($G67&lt;&gt;0,SUMIF(куб!$A:$A,$G67,куб!I:I),SUMIF(куб!$A:$A,$G67,куб!I:I)))))))</f>
        <v>0</v>
      </c>
      <c r="J67" s="19" t="str">
        <f t="shared" si="33"/>
        <v>-</v>
      </c>
      <c r="K67" s="10"/>
      <c r="L67" s="17">
        <f t="shared" si="15"/>
        <v>0</v>
      </c>
      <c r="M67" s="17">
        <f t="shared" si="16"/>
        <v>0</v>
      </c>
      <c r="N67" s="12">
        <f t="shared" si="17"/>
        <v>0</v>
      </c>
      <c r="O67" s="5"/>
      <c r="P67" s="27">
        <f>IF($G67&lt;&gt;0,SUMIF(куб!$G:$G,$G67,куб!J:J),IF($E67&lt;&gt;0,SUMIF(куб!$E:$E,$E67,куб!J:J),IF($D67&lt;&gt;0,SUMIF(куб!$D:$D,$D67,куб!J:J),IF($C67&lt;&gt;0,SUMIF(куб!$C:$C,$C67,куб!J:J),IF($B67&lt;&gt;0,SUMIF(куб!$B:$B,$B67,куб!J:J))))))</f>
        <v>0</v>
      </c>
      <c r="Q67" s="27">
        <f>IF($G67&lt;&gt;0,SUMIF(куб!$G:$G,$G67,куб!K:K),IF($E67&lt;&gt;0,SUMIF(куб!$E:$E,$E67,куб!K:K),IF($D67&lt;&gt;0,SUMIF(куб!$D:$D,$D67,куб!K:K),IF($C67&lt;&gt;0,SUMIF(куб!$C:$C,$C67,куб!K:K),IF($B67&lt;&gt;0,SUMIF(куб!$B:$B,$B67,куб!K:K))))))</f>
        <v>0</v>
      </c>
      <c r="R67" s="13" t="str">
        <f t="shared" si="18"/>
        <v>-</v>
      </c>
      <c r="S67" s="5"/>
      <c r="T67" s="27">
        <f>IF($G67&lt;&gt;0,SUMIF(куб!$G:$G,$G67,куб!L:L),IF($E67&lt;&gt;0,SUMIF(куб!$E:$E,$E67,куб!L:L),IF($D67&lt;&gt;0,SUMIF(куб!$D:$D,$D67,куб!L:L),IF($C67&lt;&gt;0,SUMIF(куб!$C:$C,$C67,куб!L:L),IF($B67&lt;&gt;0,SUMIF(куб!$B:$B,$B67,куб!L:L))))))</f>
        <v>0</v>
      </c>
      <c r="U67" s="27">
        <f>IF($G67&lt;&gt;0,SUMIF(куб!$G:$G,$G67,куб!M:M),IF($E67&lt;&gt;0,SUMIF(куб!$E:$E,$E67,куб!M:M),IF($D67&lt;&gt;0,SUMIF(куб!$D:$D,$D67,куб!M:M),IF($C67&lt;&gt;0,SUMIF(куб!$C:$C,$C67,куб!M:M),IF($B67&lt;&gt;0,SUMIF(куб!$B:$B,$B67,куб!M:M))))))</f>
        <v>0</v>
      </c>
      <c r="V67" s="13" t="str">
        <f t="shared" si="19"/>
        <v>-</v>
      </c>
      <c r="W67" s="5"/>
      <c r="X67" s="27">
        <f>IF($G67&lt;&gt;0,SUMIF(куб!$G:$G,$G67,куб!N:N),IF($E67&lt;&gt;0,SUMIF(куб!$E:$E,$E67,куб!N:N),IF($D67&lt;&gt;0,SUMIF(куб!$D:$D,$D67,куб!N:N),IF($C67&lt;&gt;0,SUMIF(куб!$C:$C,$C67,куб!N:N),IF($B67&lt;&gt;0,SUMIF(куб!$B:$B,$B67,куб!N:N))))))</f>
        <v>0</v>
      </c>
      <c r="Y67" s="27">
        <f>IF($G67&lt;&gt;0,SUMIF(куб!$G:$G,$G67,куб!O:O),IF($E67&lt;&gt;0,SUMIF(куб!$E:$E,$E67,куб!O:O),IF($D67&lt;&gt;0,SUMIF(куб!$D:$D,$D67,куб!O:O),IF($C67&lt;&gt;0,SUMIF(куб!$C:$C,$C67,куб!O:O),IF($B67&lt;&gt;0,SUMIF(куб!$B:$B,$B67,куб!O:O))))))</f>
        <v>0</v>
      </c>
      <c r="Z67" s="13" t="str">
        <f t="shared" si="20"/>
        <v>-</v>
      </c>
      <c r="AA67" s="5"/>
      <c r="AB67" s="33" t="str">
        <f t="shared" si="21"/>
        <v/>
      </c>
      <c r="AC67" s="33" t="str">
        <f t="shared" si="22"/>
        <v/>
      </c>
      <c r="AD67" s="15" t="str">
        <f t="shared" si="23"/>
        <v xml:space="preserve"> </v>
      </c>
      <c r="AE67" s="5"/>
      <c r="AF67" s="27">
        <f>IF($G67&lt;&gt;0,SUMIF(куб!$G:$G,$G67,куб!R:R),IF($E67&lt;&gt;0,SUMIF(куб!$E:$E,$E67,куб!R:R),IF($D67&lt;&gt;0,SUMIF(куб!$D:$D,$D67,куб!R:R),IF($C67&lt;&gt;0,SUMIF(куб!$C:$C,$C67,куб!R:R),IF($B67&lt;&gt;0,SUMIF(куб!$B:$B,$B67,куб!R:R))))))</f>
        <v>307.36309999999997</v>
      </c>
      <c r="AG67" s="27">
        <f>IF($G67&lt;&gt;0,SUMIF(куб!$G:$G,$G67,куб!S:S),IF($E67&lt;&gt;0,SUMIF(куб!$E:$E,$E67,куб!S:S),IF($D67&lt;&gt;0,SUMIF(куб!$D:$D,$D67,куб!S:S),IF($C67&lt;&gt;0,SUMIF(куб!$C:$C,$C67,куб!S:S),IF($B67&lt;&gt;0,SUMIF(куб!$B:$B,$B67,куб!S:S))))))</f>
        <v>0</v>
      </c>
      <c r="AH67" s="16">
        <f t="shared" si="24"/>
        <v>-1</v>
      </c>
      <c r="AI67" s="8"/>
      <c r="AJ67" s="27">
        <f>IF($G67&lt;&gt;0,SUMIF(куб!$G:$G,$G67,куб!T:T),IF($E67&lt;&gt;0,SUMIF(куб!$E:$E,$E67,куб!T:T),IF($D67&lt;&gt;0,SUMIF(куб!$D:$D,$D67,куб!T:T),IF($C67&lt;&gt;0,SUMIF(куб!$C:$C,$C67,куб!T:T),IF($B67&lt;&gt;0,SUMIF(куб!$B:$B,$B67,куб!T:T))))))</f>
        <v>7</v>
      </c>
      <c r="AK67" s="27">
        <f>IF($G67&lt;&gt;0,SUMIF(куб!$G:$G,$G67,куб!U:U),IF($E67&lt;&gt;0,SUMIF(куб!$E:$E,$E67,куб!U:U),IF($D67&lt;&gt;0,SUMIF(куб!$D:$D,$D67,куб!U:U),IF($C67&lt;&gt;0,SUMIF(куб!$C:$C,$C67,куб!U:U),IF($B67&lt;&gt;0,SUMIF(куб!$B:$B,$B67,куб!U:U))))))</f>
        <v>0</v>
      </c>
      <c r="AL67" s="16">
        <f t="shared" si="25"/>
        <v>-1</v>
      </c>
      <c r="AM67" s="8"/>
      <c r="AN67" s="17" t="str">
        <f t="shared" si="26"/>
        <v xml:space="preserve"> </v>
      </c>
      <c r="AO67" s="17" t="str">
        <f t="shared" si="27"/>
        <v xml:space="preserve"> </v>
      </c>
      <c r="AP67" s="16" t="str">
        <f t="shared" si="28"/>
        <v>-</v>
      </c>
      <c r="AQ67" s="8"/>
      <c r="AR67" s="17" t="str">
        <f t="shared" si="29"/>
        <v>-</v>
      </c>
      <c r="AS67" s="17" t="str">
        <f t="shared" si="30"/>
        <v>-</v>
      </c>
      <c r="AT67" s="13" t="str">
        <f t="shared" si="31"/>
        <v>-</v>
      </c>
      <c r="AU67" s="8"/>
    </row>
    <row r="68" spans="1:47" ht="15" customHeight="1" x14ac:dyDescent="0.25">
      <c r="A68" s="31" t="s">
        <v>26</v>
      </c>
      <c r="B68" s="31" t="s">
        <v>32</v>
      </c>
      <c r="C68" t="s">
        <v>33</v>
      </c>
      <c r="D68" s="31" t="s">
        <v>34</v>
      </c>
      <c r="E68" t="s">
        <v>35</v>
      </c>
      <c r="F68" s="31" t="s">
        <v>162</v>
      </c>
      <c r="G68" t="s">
        <v>163</v>
      </c>
      <c r="H68" s="27">
        <f>IF($G68&lt;&gt;0,SUMIF(куб!$G:$G,$G68,куб!H:H),IF($E68&lt;&gt;0,SUMIF(куб!$E:$E,$E68,куб!H:H),IF($D68&lt;&gt;0,SUMIF(куб!$D:$D,$D68,куб!H:H),IF($C68&lt;&gt;0,SUMIF(куб!$C:$C,$C68,куб!H:H),IF($B68&lt;&gt;0,SUMIF(куб!$B:$B,$B68,куб!H:H),IF($G68&lt;&gt;0,SUMIF(куб!$A:$A,$G68,куб!H:H),SUMIF(куб!$A:$A,$G68,куб!H:H)))))))</f>
        <v>38808.583499999993</v>
      </c>
      <c r="I68" s="27">
        <f>IF($G68&lt;&gt;0,SUMIF(куб!$G:$G,$G68,куб!I:I),IF($E68&lt;&gt;0,SUMIF(куб!$E:$E,$E68,куб!I:I),IF($D68&lt;&gt;0,SUMIF(куб!$D:$D,$D68,куб!I:I),IF($C68&lt;&gt;0,SUMIF(куб!$C:$C,$C68,куб!I:I),IF($B68&lt;&gt;0,SUMIF(куб!$B:$B,$B68,куб!I:I),IF($G68&lt;&gt;0,SUMIF(куб!$A:$A,$G68,куб!I:I),SUMIF(куб!$A:$A,$G68,куб!I:I)))))))</f>
        <v>48281.073400000008</v>
      </c>
      <c r="J68" s="19">
        <f t="shared" si="33"/>
        <v>0.24408234070176812</v>
      </c>
      <c r="K68" s="5"/>
      <c r="L68" s="17">
        <f t="shared" si="15"/>
        <v>8.1066940821830204E-5</v>
      </c>
      <c r="M68" s="17">
        <f t="shared" si="16"/>
        <v>1.0294369861796681E-4</v>
      </c>
      <c r="N68" s="12">
        <f t="shared" si="17"/>
        <v>2.187675779613661E-5</v>
      </c>
      <c r="O68" s="5"/>
      <c r="P68" s="27">
        <f>IF($G68&lt;&gt;0,SUMIF(куб!$G:$G,$G68,куб!J:J),IF($E68&lt;&gt;0,SUMIF(куб!$E:$E,$E68,куб!J:J),IF($D68&lt;&gt;0,SUMIF(куб!$D:$D,$D68,куб!J:J),IF($C68&lt;&gt;0,SUMIF(куб!$C:$C,$C68,куб!J:J),IF($B68&lt;&gt;0,SUMIF(куб!$B:$B,$B68,куб!J:J))))))</f>
        <v>475</v>
      </c>
      <c r="Q68" s="27">
        <f>IF($G68&lt;&gt;0,SUMIF(куб!$G:$G,$G68,куб!K:K),IF($E68&lt;&gt;0,SUMIF(куб!$E:$E,$E68,куб!K:K),IF($D68&lt;&gt;0,SUMIF(куб!$D:$D,$D68,куб!K:K),IF($C68&lt;&gt;0,SUMIF(куб!$C:$C,$C68,куб!K:K),IF($B68&lt;&gt;0,SUMIF(куб!$B:$B,$B68,куб!K:K))))))</f>
        <v>585</v>
      </c>
      <c r="R68" s="13">
        <f t="shared" si="18"/>
        <v>0.23157894736842105</v>
      </c>
      <c r="S68" s="5"/>
      <c r="T68" s="27">
        <f>IF($G68&lt;&gt;0,SUMIF(куб!$G:$G,$G68,куб!L:L),IF($E68&lt;&gt;0,SUMIF(куб!$E:$E,$E68,куб!L:L),IF($D68&lt;&gt;0,SUMIF(куб!$D:$D,$D68,куб!L:L),IF($C68&lt;&gt;0,SUMIF(куб!$C:$C,$C68,куб!L:L),IF($B68&lt;&gt;0,SUMIF(куб!$B:$B,$B68,куб!L:L))))))</f>
        <v>455.0499999999999</v>
      </c>
      <c r="U68" s="27">
        <f>IF($G68&lt;&gt;0,SUMIF(куб!$G:$G,$G68,куб!M:M),IF($E68&lt;&gt;0,SUMIF(куб!$E:$E,$E68,куб!M:M),IF($D68&lt;&gt;0,SUMIF(куб!$D:$D,$D68,куб!M:M),IF($C68&lt;&gt;0,SUMIF(куб!$C:$C,$C68,куб!M:M),IF($B68&lt;&gt;0,SUMIF(куб!$B:$B,$B68,куб!M:M))))))</f>
        <v>560.42999999999995</v>
      </c>
      <c r="V68" s="13">
        <f t="shared" si="19"/>
        <v>0.23157894736842122</v>
      </c>
      <c r="W68" s="5"/>
      <c r="X68" s="27">
        <f>IF($G68&lt;&gt;0,SUMIF(куб!$G:$G,$G68,куб!N:N),IF($E68&lt;&gt;0,SUMIF(куб!$E:$E,$E68,куб!N:N),IF($D68&lt;&gt;0,SUMIF(куб!$D:$D,$D68,куб!N:N),IF($C68&lt;&gt;0,SUMIF(куб!$C:$C,$C68,куб!N:N),IF($B68&lt;&gt;0,SUMIF(куб!$B:$B,$B68,куб!N:N))))))</f>
        <v>3446.9507999999914</v>
      </c>
      <c r="Y68" s="27">
        <f>IF($G68&lt;&gt;0,SUMIF(куб!$G:$G,$G68,куб!O:O),IF($E68&lt;&gt;0,SUMIF(куб!$E:$E,$E68,куб!O:O),IF($D68&lt;&gt;0,SUMIF(куб!$D:$D,$D68,куб!O:O),IF($C68&lt;&gt;0,SUMIF(куб!$C:$C,$C68,куб!O:O),IF($B68&lt;&gt;0,SUMIF(куб!$B:$B,$B68,куб!O:O))))))</f>
        <v>5554.0437000000093</v>
      </c>
      <c r="Z68" s="13">
        <f t="shared" si="20"/>
        <v>0.61129184089312305</v>
      </c>
      <c r="AA68" s="5"/>
      <c r="AB68" s="33">
        <f t="shared" si="21"/>
        <v>8.8819289165758708E-2</v>
      </c>
      <c r="AC68" s="33">
        <f t="shared" si="22"/>
        <v>0.11503563009019614</v>
      </c>
      <c r="AD68" s="15">
        <f t="shared" si="23"/>
        <v>2.6216340924437434E-2</v>
      </c>
      <c r="AE68" s="5"/>
      <c r="AF68" s="27">
        <f>IF($G68&lt;&gt;0,SUMIF(куб!$G:$G,$G68,куб!R:R),IF($E68&lt;&gt;0,SUMIF(куб!$E:$E,$E68,куб!R:R),IF($D68&lt;&gt;0,SUMIF(куб!$D:$D,$D68,куб!R:R),IF($C68&lt;&gt;0,SUMIF(куб!$C:$C,$C68,куб!R:R),IF($B68&lt;&gt;0,SUMIF(куб!$B:$B,$B68,куб!R:R))))))</f>
        <v>223.4727</v>
      </c>
      <c r="AG68" s="27">
        <f>IF($G68&lt;&gt;0,SUMIF(куб!$G:$G,$G68,куб!S:S),IF($E68&lt;&gt;0,SUMIF(куб!$E:$E,$E68,куб!S:S),IF($D68&lt;&gt;0,SUMIF(куб!$D:$D,$D68,куб!S:S),IF($C68&lt;&gt;0,SUMIF(куб!$C:$C,$C68,куб!S:S),IF($B68&lt;&gt;0,SUMIF(куб!$B:$B,$B68,куб!S:S))))))</f>
        <v>659.28139999999985</v>
      </c>
      <c r="AH68" s="16">
        <f t="shared" si="24"/>
        <v>1.950165277458946</v>
      </c>
      <c r="AI68" s="8"/>
      <c r="AJ68" s="27">
        <f>IF($G68&lt;&gt;0,SUMIF(куб!$G:$G,$G68,куб!T:T),IF($E68&lt;&gt;0,SUMIF(куб!$E:$E,$E68,куб!T:T),IF($D68&lt;&gt;0,SUMIF(куб!$D:$D,$D68,куб!T:T),IF($C68&lt;&gt;0,SUMIF(куб!$C:$C,$C68,куб!T:T),IF($B68&lt;&gt;0,SUMIF(куб!$B:$B,$B68,куб!T:T))))))</f>
        <v>3</v>
      </c>
      <c r="AK68" s="27">
        <f>IF($G68&lt;&gt;0,SUMIF(куб!$G:$G,$G68,куб!U:U),IF($E68&lt;&gt;0,SUMIF(куб!$E:$E,$E68,куб!U:U),IF($D68&lt;&gt;0,SUMIF(куб!$D:$D,$D68,куб!U:U),IF($C68&lt;&gt;0,SUMIF(куб!$C:$C,$C68,куб!U:U),IF($B68&lt;&gt;0,SUMIF(куб!$B:$B,$B68,куб!U:U))))))</f>
        <v>9</v>
      </c>
      <c r="AL68" s="16">
        <f t="shared" si="25"/>
        <v>2</v>
      </c>
      <c r="AM68" s="8"/>
      <c r="AN68" s="17">
        <f t="shared" si="26"/>
        <v>5.7583317876056988E-3</v>
      </c>
      <c r="AO68" s="17">
        <f t="shared" si="27"/>
        <v>1.365506923464547E-2</v>
      </c>
      <c r="AP68" s="16">
        <f t="shared" si="28"/>
        <v>7.8967374470397707E-3</v>
      </c>
      <c r="AQ68" s="8"/>
      <c r="AR68" s="17">
        <f t="shared" si="29"/>
        <v>8.3060957378153014E-2</v>
      </c>
      <c r="AS68" s="17">
        <f t="shared" si="30"/>
        <v>0.10138056085555067</v>
      </c>
      <c r="AT68" s="13">
        <f t="shared" si="31"/>
        <v>1.8319603477397653E-2</v>
      </c>
      <c r="AU68" s="8"/>
    </row>
    <row r="69" spans="1:47" ht="15" customHeight="1" x14ac:dyDescent="0.25">
      <c r="A69" s="31" t="s">
        <v>26</v>
      </c>
      <c r="B69" s="31" t="s">
        <v>32</v>
      </c>
      <c r="C69" t="s">
        <v>33</v>
      </c>
      <c r="D69" s="31" t="s">
        <v>34</v>
      </c>
      <c r="E69" t="s">
        <v>35</v>
      </c>
      <c r="F69" s="31" t="s">
        <v>164</v>
      </c>
      <c r="G69" t="s">
        <v>165</v>
      </c>
      <c r="H69" s="27">
        <f>IF($G69&lt;&gt;0,SUMIF(куб!$G:$G,$G69,куб!H:H),IF($E69&lt;&gt;0,SUMIF(куб!$E:$E,$E69,куб!H:H),IF($D69&lt;&gt;0,SUMIF(куб!$D:$D,$D69,куб!H:H),IF($C69&lt;&gt;0,SUMIF(куб!$C:$C,$C69,куб!H:H),IF($B69&lt;&gt;0,SUMIF(куб!$B:$B,$B69,куб!H:H),IF($G69&lt;&gt;0,SUMIF(куб!$A:$A,$G69,куб!H:H),SUMIF(куб!$A:$A,$G69,куб!H:H)))))))</f>
        <v>21133.662199999999</v>
      </c>
      <c r="I69" s="27">
        <f>IF($G69&lt;&gt;0,SUMIF(куб!$G:$G,$G69,куб!I:I),IF($E69&lt;&gt;0,SUMIF(куб!$E:$E,$E69,куб!I:I),IF($D69&lt;&gt;0,SUMIF(куб!$D:$D,$D69,куб!I:I),IF($C69&lt;&gt;0,SUMIF(куб!$C:$C,$C69,куб!I:I),IF($B69&lt;&gt;0,SUMIF(куб!$B:$B,$B69,куб!I:I),IF($G69&lt;&gt;0,SUMIF(куб!$A:$A,$G69,куб!I:I),SUMIF(куб!$A:$A,$G69,куб!I:I)))))))</f>
        <v>0</v>
      </c>
      <c r="J69" s="19">
        <f t="shared" si="33"/>
        <v>-1</v>
      </c>
      <c r="K69" s="5"/>
      <c r="L69" s="17">
        <f t="shared" ref="L69:L132" si="34">H69/$H$3</f>
        <v>4.4145938563203426E-5</v>
      </c>
      <c r="M69" s="17">
        <f t="shared" ref="M69:M132" si="35">I69/$I$3</f>
        <v>0</v>
      </c>
      <c r="N69" s="12">
        <f t="shared" ref="N69:N132" si="36">M69-L69</f>
        <v>-4.4145938563203426E-5</v>
      </c>
      <c r="O69" s="5"/>
      <c r="P69" s="27">
        <f>IF($G69&lt;&gt;0,SUMIF(куб!$G:$G,$G69,куб!J:J),IF($E69&lt;&gt;0,SUMIF(куб!$E:$E,$E69,куб!J:J),IF($D69&lt;&gt;0,SUMIF(куб!$D:$D,$D69,куб!J:J),IF($C69&lt;&gt;0,SUMIF(куб!$C:$C,$C69,куб!J:J),IF($B69&lt;&gt;0,SUMIF(куб!$B:$B,$B69,куб!J:J))))))</f>
        <v>291</v>
      </c>
      <c r="Q69" s="27">
        <f>IF($G69&lt;&gt;0,SUMIF(куб!$G:$G,$G69,куб!K:K),IF($E69&lt;&gt;0,SUMIF(куб!$E:$E,$E69,куб!K:K),IF($D69&lt;&gt;0,SUMIF(куб!$D:$D,$D69,куб!K:K),IF($C69&lt;&gt;0,SUMIF(куб!$C:$C,$C69,куб!K:K),IF($B69&lt;&gt;0,SUMIF(куб!$B:$B,$B69,куб!K:K))))))</f>
        <v>0</v>
      </c>
      <c r="R69" s="13">
        <f t="shared" ref="R69:R132" si="37">IFERROR((Q69-P69)/ABS(P69),"-")</f>
        <v>-1</v>
      </c>
      <c r="S69" s="5"/>
      <c r="T69" s="27">
        <f>IF($G69&lt;&gt;0,SUMIF(куб!$G:$G,$G69,куб!L:L),IF($E69&lt;&gt;0,SUMIF(куб!$E:$E,$E69,куб!L:L),IF($D69&lt;&gt;0,SUMIF(куб!$D:$D,$D69,куб!L:L),IF($C69&lt;&gt;0,SUMIF(куб!$C:$C,$C69,куб!L:L),IF($B69&lt;&gt;0,SUMIF(куб!$B:$B,$B69,куб!L:L))))))</f>
        <v>276.45</v>
      </c>
      <c r="U69" s="27">
        <f>IF($G69&lt;&gt;0,SUMIF(куб!$G:$G,$G69,куб!M:M),IF($E69&lt;&gt;0,SUMIF(куб!$E:$E,$E69,куб!M:M),IF($D69&lt;&gt;0,SUMIF(куб!$D:$D,$D69,куб!M:M),IF($C69&lt;&gt;0,SUMIF(куб!$C:$C,$C69,куб!M:M),IF($B69&lt;&gt;0,SUMIF(куб!$B:$B,$B69,куб!M:M))))))</f>
        <v>0</v>
      </c>
      <c r="V69" s="13">
        <f t="shared" ref="V69:V132" si="38">IFERROR((U69-T69)/ABS(T69),"-")</f>
        <v>-1</v>
      </c>
      <c r="W69" s="5"/>
      <c r="X69" s="27">
        <f>IF($G69&lt;&gt;0,SUMIF(куб!$G:$G,$G69,куб!N:N),IF($E69&lt;&gt;0,SUMIF(куб!$E:$E,$E69,куб!N:N),IF($D69&lt;&gt;0,SUMIF(куб!$D:$D,$D69,куб!N:N),IF($C69&lt;&gt;0,SUMIF(куб!$C:$C,$C69,куб!N:N),IF($B69&lt;&gt;0,SUMIF(куб!$B:$B,$B69,куб!N:N))))))</f>
        <v>2887.9621999999945</v>
      </c>
      <c r="Y69" s="27">
        <f>IF($G69&lt;&gt;0,SUMIF(куб!$G:$G,$G69,куб!O:O),IF($E69&lt;&gt;0,SUMIF(куб!$E:$E,$E69,куб!O:O),IF($D69&lt;&gt;0,SUMIF(куб!$D:$D,$D69,куб!O:O),IF($C69&lt;&gt;0,SUMIF(куб!$C:$C,$C69,куб!O:O),IF($B69&lt;&gt;0,SUMIF(куб!$B:$B,$B69,куб!O:O))))))</f>
        <v>0</v>
      </c>
      <c r="Z69" s="13">
        <f t="shared" ref="Z69:Z132" si="39">IFERROR((Y69-X69)/ABS(X69),"-")</f>
        <v>-1</v>
      </c>
      <c r="AA69" s="5"/>
      <c r="AB69" s="33">
        <f t="shared" ref="AB69:AB132" si="40">IFERROR(X69/H69,"")</f>
        <v>0.13665223626031056</v>
      </c>
      <c r="AC69" s="33" t="str">
        <f t="shared" ref="AC69:AC132" si="41">IFERROR(Y69/I69,"")</f>
        <v/>
      </c>
      <c r="AD69" s="15" t="str">
        <f t="shared" ref="AD69:AD132" si="42">IFERROR(AC69-AB69," ")</f>
        <v xml:space="preserve"> </v>
      </c>
      <c r="AE69" s="5"/>
      <c r="AF69" s="27">
        <f>IF($G69&lt;&gt;0,SUMIF(куб!$G:$G,$G69,куб!R:R),IF($E69&lt;&gt;0,SUMIF(куб!$E:$E,$E69,куб!R:R),IF($D69&lt;&gt;0,SUMIF(куб!$D:$D,$D69,куб!R:R),IF($C69&lt;&gt;0,SUMIF(куб!$C:$C,$C69,куб!R:R),IF($B69&lt;&gt;0,SUMIF(куб!$B:$B,$B69,куб!R:R))))))</f>
        <v>0</v>
      </c>
      <c r="AG69" s="27">
        <f>IF($G69&lt;&gt;0,SUMIF(куб!$G:$G,$G69,куб!S:S),IF($E69&lt;&gt;0,SUMIF(куб!$E:$E,$E69,куб!S:S),IF($D69&lt;&gt;0,SUMIF(куб!$D:$D,$D69,куб!S:S),IF($C69&lt;&gt;0,SUMIF(куб!$C:$C,$C69,куб!S:S),IF($B69&lt;&gt;0,SUMIF(куб!$B:$B,$B69,куб!S:S))))))</f>
        <v>0</v>
      </c>
      <c r="AH69" s="16" t="str">
        <f t="shared" ref="AH69:AH132" si="43">IFERROR((AG69-AF69)/ABS(AF69),"-")</f>
        <v>-</v>
      </c>
      <c r="AI69" s="8"/>
      <c r="AJ69" s="27">
        <f>IF($G69&lt;&gt;0,SUMIF(куб!$G:$G,$G69,куб!T:T),IF($E69&lt;&gt;0,SUMIF(куб!$E:$E,$E69,куб!T:T),IF($D69&lt;&gt;0,SUMIF(куб!$D:$D,$D69,куб!T:T),IF($C69&lt;&gt;0,SUMIF(куб!$C:$C,$C69,куб!T:T),IF($B69&lt;&gt;0,SUMIF(куб!$B:$B,$B69,куб!T:T))))))</f>
        <v>0</v>
      </c>
      <c r="AK69" s="27">
        <f>IF($G69&lt;&gt;0,SUMIF(куб!$G:$G,$G69,куб!U:U),IF($E69&lt;&gt;0,SUMIF(куб!$E:$E,$E69,куб!U:U),IF($D69&lt;&gt;0,SUMIF(куб!$D:$D,$D69,куб!U:U),IF($C69&lt;&gt;0,SUMIF(куб!$C:$C,$C69,куб!U:U),IF($B69&lt;&gt;0,SUMIF(куб!$B:$B,$B69,куб!U:U))))))</f>
        <v>0</v>
      </c>
      <c r="AL69" s="16" t="str">
        <f t="shared" ref="AL69:AL132" si="44">IFERROR((AK69-AJ69)/ABS(AJ69),"-")</f>
        <v>-</v>
      </c>
      <c r="AM69" s="8"/>
      <c r="AN69" s="17">
        <f t="shared" ref="AN69:AN132" si="45">IFERROR(AF69/H69," ")</f>
        <v>0</v>
      </c>
      <c r="AO69" s="17" t="str">
        <f t="shared" ref="AO69:AO132" si="46">IFERROR(AG69/I69," ")</f>
        <v xml:space="preserve"> </v>
      </c>
      <c r="AP69" s="16" t="str">
        <f t="shared" ref="AP69:AP132" si="47">IFERROR(AO69-AN69,"-")</f>
        <v>-</v>
      </c>
      <c r="AQ69" s="8"/>
      <c r="AR69" s="17">
        <f t="shared" ref="AR69:AR132" si="48">IFERROR((X69-AF69)/H69,"-")</f>
        <v>0.13665223626031056</v>
      </c>
      <c r="AS69" s="17" t="str">
        <f t="shared" ref="AS69:AS132" si="49">IFERROR((Y69-AG69)/I69,"-")</f>
        <v>-</v>
      </c>
      <c r="AT69" s="13" t="str">
        <f t="shared" ref="AT69:AT132" si="50">IFERROR(AS69-AR69,"-")</f>
        <v>-</v>
      </c>
      <c r="AU69" s="8"/>
    </row>
    <row r="70" spans="1:47" ht="15" customHeight="1" x14ac:dyDescent="0.25">
      <c r="A70" s="31" t="s">
        <v>26</v>
      </c>
      <c r="B70" s="31" t="s">
        <v>32</v>
      </c>
      <c r="C70" t="s">
        <v>33</v>
      </c>
      <c r="D70" s="31" t="s">
        <v>34</v>
      </c>
      <c r="E70" t="s">
        <v>35</v>
      </c>
      <c r="F70" s="31" t="s">
        <v>166</v>
      </c>
      <c r="G70" t="s">
        <v>167</v>
      </c>
      <c r="H70" s="27">
        <f>IF($G70&lt;&gt;0,SUMIF(куб!$G:$G,$G70,куб!H:H),IF($E70&lt;&gt;0,SUMIF(куб!$E:$E,$E70,куб!H:H),IF($D70&lt;&gt;0,SUMIF(куб!$D:$D,$D70,куб!H:H),IF($C70&lt;&gt;0,SUMIF(куб!$C:$C,$C70,куб!H:H),IF($B70&lt;&gt;0,SUMIF(куб!$B:$B,$B70,куб!H:H),IF($G70&lt;&gt;0,SUMIF(куб!$A:$A,$G70,куб!H:H),SUMIF(куб!$A:$A,$G70,куб!H:H)))))))</f>
        <v>1289503.7374000035</v>
      </c>
      <c r="I70" s="27">
        <f>IF($G70&lt;&gt;0,SUMIF(куб!$G:$G,$G70,куб!I:I),IF($E70&lt;&gt;0,SUMIF(куб!$E:$E,$E70,куб!I:I),IF($D70&lt;&gt;0,SUMIF(куб!$D:$D,$D70,куб!I:I),IF($C70&lt;&gt;0,SUMIF(куб!$C:$C,$C70,куб!I:I),IF($B70&lt;&gt;0,SUMIF(куб!$B:$B,$B70,куб!I:I),IF($G70&lt;&gt;0,SUMIF(куб!$A:$A,$G70,куб!I:I),SUMIF(куб!$A:$A,$G70,куб!I:I)))))))</f>
        <v>780.90900000000011</v>
      </c>
      <c r="J70" s="19">
        <f t="shared" si="33"/>
        <v>-0.99939441121622918</v>
      </c>
      <c r="K70" s="8"/>
      <c r="L70" s="17">
        <f t="shared" si="34"/>
        <v>2.6936340814741402E-3</v>
      </c>
      <c r="M70" s="17">
        <f t="shared" si="35"/>
        <v>1.6650346623001519E-6</v>
      </c>
      <c r="N70" s="12">
        <f t="shared" si="36"/>
        <v>-2.6919690468118402E-3</v>
      </c>
      <c r="O70" s="5"/>
      <c r="P70" s="27">
        <f>IF($G70&lt;&gt;0,SUMIF(куб!$G:$G,$G70,куб!J:J),IF($E70&lt;&gt;0,SUMIF(куб!$E:$E,$E70,куб!J:J),IF($D70&lt;&gt;0,SUMIF(куб!$D:$D,$D70,куб!J:J),IF($C70&lt;&gt;0,SUMIF(куб!$C:$C,$C70,куб!J:J),IF($B70&lt;&gt;0,SUMIF(куб!$B:$B,$B70,куб!J:J))))))</f>
        <v>14628</v>
      </c>
      <c r="Q70" s="27">
        <f>IF($G70&lt;&gt;0,SUMIF(куб!$G:$G,$G70,куб!K:K),IF($E70&lt;&gt;0,SUMIF(куб!$E:$E,$E70,куб!K:K),IF($D70&lt;&gt;0,SUMIF(куб!$D:$D,$D70,куб!K:K),IF($C70&lt;&gt;0,SUMIF(куб!$C:$C,$C70,куб!K:K),IF($B70&lt;&gt;0,SUMIF(куб!$B:$B,$B70,куб!K:K))))))</f>
        <v>10</v>
      </c>
      <c r="R70" s="13">
        <f t="shared" si="37"/>
        <v>-0.99931637954607599</v>
      </c>
      <c r="S70" s="5"/>
      <c r="T70" s="27">
        <f>IF($G70&lt;&gt;0,SUMIF(куб!$G:$G,$G70,куб!L:L),IF($E70&lt;&gt;0,SUMIF(куб!$E:$E,$E70,куб!L:L),IF($D70&lt;&gt;0,SUMIF(куб!$D:$D,$D70,куб!L:L),IF($C70&lt;&gt;0,SUMIF(куб!$C:$C,$C70,куб!L:L),IF($B70&lt;&gt;0,SUMIF(куб!$B:$B,$B70,куб!L:L))))))</f>
        <v>13530.899999999987</v>
      </c>
      <c r="U70" s="27">
        <f>IF($G70&lt;&gt;0,SUMIF(куб!$G:$G,$G70,куб!M:M),IF($E70&lt;&gt;0,SUMIF(куб!$E:$E,$E70,куб!M:M),IF($D70&lt;&gt;0,SUMIF(куб!$D:$D,$D70,куб!M:M),IF($C70&lt;&gt;0,SUMIF(куб!$C:$C,$C70,куб!M:M),IF($B70&lt;&gt;0,SUMIF(куб!$B:$B,$B70,куб!M:M))))))</f>
        <v>9.2500000000000018</v>
      </c>
      <c r="V70" s="13">
        <f t="shared" si="38"/>
        <v>-0.99931637954607599</v>
      </c>
      <c r="W70" s="5"/>
      <c r="X70" s="27">
        <f>IF($G70&lt;&gt;0,SUMIF(куб!$G:$G,$G70,куб!N:N),IF($E70&lt;&gt;0,SUMIF(куб!$E:$E,$E70,куб!N:N),IF($D70&lt;&gt;0,SUMIF(куб!$D:$D,$D70,куб!N:N),IF($C70&lt;&gt;0,SUMIF(куб!$C:$C,$C70,куб!N:N),IF($B70&lt;&gt;0,SUMIF(куб!$B:$B,$B70,куб!N:N))))))</f>
        <v>82207.30120000313</v>
      </c>
      <c r="Y70" s="27">
        <f>IF($G70&lt;&gt;0,SUMIF(куб!$G:$G,$G70,куб!O:O),IF($E70&lt;&gt;0,SUMIF(куб!$E:$E,$E70,куб!O:O),IF($D70&lt;&gt;0,SUMIF(куб!$D:$D,$D70,куб!O:O),IF($C70&lt;&gt;0,SUMIF(куб!$C:$C,$C70,куб!O:O),IF($B70&lt;&gt;0,SUMIF(куб!$B:$B,$B70,куб!O:O))))))</f>
        <v>-44.090999999999894</v>
      </c>
      <c r="Z70" s="13">
        <f t="shared" si="39"/>
        <v>-1.0005363392223852</v>
      </c>
      <c r="AA70" s="5"/>
      <c r="AB70" s="33">
        <f t="shared" si="40"/>
        <v>6.3751115111737339E-2</v>
      </c>
      <c r="AC70" s="33">
        <f t="shared" si="41"/>
        <v>-5.6461124151469491E-2</v>
      </c>
      <c r="AD70" s="15">
        <f t="shared" si="42"/>
        <v>-0.12021223926320683</v>
      </c>
      <c r="AE70" s="5"/>
      <c r="AF70" s="27">
        <f>IF($G70&lt;&gt;0,SUMIF(куб!$G:$G,$G70,куб!R:R),IF($E70&lt;&gt;0,SUMIF(куб!$E:$E,$E70,куб!R:R),IF($D70&lt;&gt;0,SUMIF(куб!$D:$D,$D70,куб!R:R),IF($C70&lt;&gt;0,SUMIF(куб!$C:$C,$C70,куб!R:R),IF($B70&lt;&gt;0,SUMIF(куб!$B:$B,$B70,куб!R:R))))))</f>
        <v>11550</v>
      </c>
      <c r="AG70" s="27">
        <f>IF($G70&lt;&gt;0,SUMIF(куб!$G:$G,$G70,куб!S:S),IF($E70&lt;&gt;0,SUMIF(куб!$E:$E,$E70,куб!S:S),IF($D70&lt;&gt;0,SUMIF(куб!$D:$D,$D70,куб!S:S),IF($C70&lt;&gt;0,SUMIF(куб!$C:$C,$C70,куб!S:S),IF($B70&lt;&gt;0,SUMIF(куб!$B:$B,$B70,куб!S:S))))))</f>
        <v>0</v>
      </c>
      <c r="AH70" s="16">
        <f t="shared" si="43"/>
        <v>-1</v>
      </c>
      <c r="AI70" s="8"/>
      <c r="AJ70" s="27">
        <f>IF($G70&lt;&gt;0,SUMIF(куб!$G:$G,$G70,куб!T:T),IF($E70&lt;&gt;0,SUMIF(куб!$E:$E,$E70,куб!T:T),IF($D70&lt;&gt;0,SUMIF(куб!$D:$D,$D70,куб!T:T),IF($C70&lt;&gt;0,SUMIF(куб!$C:$C,$C70,куб!T:T),IF($B70&lt;&gt;0,SUMIF(куб!$B:$B,$B70,куб!T:T))))))</f>
        <v>140</v>
      </c>
      <c r="AK70" s="27">
        <f>IF($G70&lt;&gt;0,SUMIF(куб!$G:$G,$G70,куб!U:U),IF($E70&lt;&gt;0,SUMIF(куб!$E:$E,$E70,куб!U:U),IF($D70&lt;&gt;0,SUMIF(куб!$D:$D,$D70,куб!U:U),IF($C70&lt;&gt;0,SUMIF(куб!$C:$C,$C70,куб!U:U),IF($B70&lt;&gt;0,SUMIF(куб!$B:$B,$B70,куб!U:U))))))</f>
        <v>0</v>
      </c>
      <c r="AL70" s="16">
        <f t="shared" si="44"/>
        <v>-1</v>
      </c>
      <c r="AM70" s="8"/>
      <c r="AN70" s="17">
        <f t="shared" si="45"/>
        <v>8.9569341018646432E-3</v>
      </c>
      <c r="AO70" s="17">
        <f t="shared" si="46"/>
        <v>0</v>
      </c>
      <c r="AP70" s="16">
        <f t="shared" si="47"/>
        <v>-8.9569341018646432E-3</v>
      </c>
      <c r="AQ70" s="8"/>
      <c r="AR70" s="17">
        <f t="shared" si="48"/>
        <v>5.479418100987269E-2</v>
      </c>
      <c r="AS70" s="17">
        <f t="shared" si="49"/>
        <v>-5.6461124151469491E-2</v>
      </c>
      <c r="AT70" s="13">
        <f t="shared" si="50"/>
        <v>-0.11125530516134219</v>
      </c>
      <c r="AU70" s="8"/>
    </row>
    <row r="71" spans="1:47" ht="15" customHeight="1" x14ac:dyDescent="0.25">
      <c r="A71" s="31" t="s">
        <v>26</v>
      </c>
      <c r="B71" s="31" t="s">
        <v>32</v>
      </c>
      <c r="C71" t="s">
        <v>33</v>
      </c>
      <c r="D71" s="31" t="s">
        <v>34</v>
      </c>
      <c r="E71" t="s">
        <v>35</v>
      </c>
      <c r="F71" s="31" t="s">
        <v>168</v>
      </c>
      <c r="G71" t="s">
        <v>169</v>
      </c>
      <c r="H71" s="27">
        <f>IF($G71&lt;&gt;0,SUMIF(куб!$G:$G,$G71,куб!H:H),IF($E71&lt;&gt;0,SUMIF(куб!$E:$E,$E71,куб!H:H),IF($D71&lt;&gt;0,SUMIF(куб!$D:$D,$D71,куб!H:H),IF($C71&lt;&gt;0,SUMIF(куб!$C:$C,$C71,куб!H:H),IF($B71&lt;&gt;0,SUMIF(куб!$B:$B,$B71,куб!H:H),IF($G71&lt;&gt;0,SUMIF(куб!$A:$A,$G71,куб!H:H),SUMIF(куб!$A:$A,$G71,куб!H:H)))))))</f>
        <v>3748423.5614000005</v>
      </c>
      <c r="I71" s="27">
        <f>IF($G71&lt;&gt;0,SUMIF(куб!$G:$G,$G71,куб!I:I),IF($E71&lt;&gt;0,SUMIF(куб!$E:$E,$E71,куб!I:I),IF($D71&lt;&gt;0,SUMIF(куб!$D:$D,$D71,куб!I:I),IF($C71&lt;&gt;0,SUMIF(куб!$C:$C,$C71,куб!I:I),IF($B71&lt;&gt;0,SUMIF(куб!$B:$B,$B71,куб!I:I),IF($G71&lt;&gt;0,SUMIF(куб!$A:$A,$G71,куб!I:I),SUMIF(куб!$A:$A,$G71,куб!I:I)))))))</f>
        <v>3763332.5142000006</v>
      </c>
      <c r="J71" s="19">
        <f t="shared" si="33"/>
        <v>3.977392777467159E-3</v>
      </c>
      <c r="K71" s="10"/>
      <c r="L71" s="17">
        <f t="shared" si="34"/>
        <v>7.8300521076005748E-3</v>
      </c>
      <c r="M71" s="17">
        <f t="shared" si="35"/>
        <v>8.0240835768369666E-3</v>
      </c>
      <c r="N71" s="12">
        <f t="shared" si="36"/>
        <v>1.9403146923639182E-4</v>
      </c>
      <c r="O71" s="5"/>
      <c r="P71" s="27">
        <f>IF($G71&lt;&gt;0,SUMIF(куб!$G:$G,$G71,куб!J:J),IF($E71&lt;&gt;0,SUMIF(куб!$E:$E,$E71,куб!J:J),IF($D71&lt;&gt;0,SUMIF(куб!$D:$D,$D71,куб!J:J),IF($C71&lt;&gt;0,SUMIF(куб!$C:$C,$C71,куб!J:J),IF($B71&lt;&gt;0,SUMIF(куб!$B:$B,$B71,куб!J:J))))))</f>
        <v>52285</v>
      </c>
      <c r="Q71" s="27">
        <f>IF($G71&lt;&gt;0,SUMIF(куб!$G:$G,$G71,куб!K:K),IF($E71&lt;&gt;0,SUMIF(куб!$E:$E,$E71,куб!K:K),IF($D71&lt;&gt;0,SUMIF(куб!$D:$D,$D71,куб!K:K),IF($C71&lt;&gt;0,SUMIF(куб!$C:$C,$C71,куб!K:K),IF($B71&lt;&gt;0,SUMIF(куб!$B:$B,$B71,куб!K:K))))))</f>
        <v>53787</v>
      </c>
      <c r="R71" s="13">
        <f t="shared" si="37"/>
        <v>2.8727168403939945E-2</v>
      </c>
      <c r="S71" s="5"/>
      <c r="T71" s="27">
        <f>IF($G71&lt;&gt;0,SUMIF(куб!$G:$G,$G71,куб!L:L),IF($E71&lt;&gt;0,SUMIF(куб!$E:$E,$E71,куб!L:L),IF($D71&lt;&gt;0,SUMIF(куб!$D:$D,$D71,куб!L:L),IF($C71&lt;&gt;0,SUMIF(куб!$C:$C,$C71,куб!L:L),IF($B71&lt;&gt;0,SUMIF(куб!$B:$B,$B71,куб!L:L))))))</f>
        <v>47056.499999999985</v>
      </c>
      <c r="U71" s="27">
        <f>IF($G71&lt;&gt;0,SUMIF(куб!$G:$G,$G71,куб!M:M),IF($E71&lt;&gt;0,SUMIF(куб!$E:$E,$E71,куб!M:M),IF($D71&lt;&gt;0,SUMIF(куб!$D:$D,$D71,куб!M:M),IF($C71&lt;&gt;0,SUMIF(куб!$C:$C,$C71,куб!M:M),IF($B71&lt;&gt;0,SUMIF(куб!$B:$B,$B71,куб!M:M))))))</f>
        <v>48408.300000000017</v>
      </c>
      <c r="V71" s="13">
        <f t="shared" si="38"/>
        <v>2.8727168403940635E-2</v>
      </c>
      <c r="W71" s="5"/>
      <c r="X71" s="27">
        <f>IF($G71&lt;&gt;0,SUMIF(куб!$G:$G,$G71,куб!N:N),IF($E71&lt;&gt;0,SUMIF(куб!$E:$E,$E71,куб!N:N),IF($D71&lt;&gt;0,SUMIF(куб!$D:$D,$D71,куб!N:N),IF($C71&lt;&gt;0,SUMIF(куб!$C:$C,$C71,куб!N:N),IF($B71&lt;&gt;0,SUMIF(куб!$B:$B,$B71,куб!N:N))))))</f>
        <v>494357.93240000028</v>
      </c>
      <c r="Y71" s="27">
        <f>IF($G71&lt;&gt;0,SUMIF(куб!$G:$G,$G71,куб!O:O),IF($E71&lt;&gt;0,SUMIF(куб!$E:$E,$E71,куб!O:O),IF($D71&lt;&gt;0,SUMIF(куб!$D:$D,$D71,куб!O:O),IF($C71&lt;&gt;0,SUMIF(куб!$C:$C,$C71,куб!O:O),IF($B71&lt;&gt;0,SUMIF(куб!$B:$B,$B71,куб!O:O))))))</f>
        <v>574802.53320000041</v>
      </c>
      <c r="Z71" s="13">
        <f t="shared" si="39"/>
        <v>0.16272541720825451</v>
      </c>
      <c r="AA71" s="5"/>
      <c r="AB71" s="33">
        <f t="shared" si="40"/>
        <v>0.13188422394169411</v>
      </c>
      <c r="AC71" s="33">
        <f t="shared" si="41"/>
        <v>0.15273764171279733</v>
      </c>
      <c r="AD71" s="15">
        <f t="shared" si="42"/>
        <v>2.0853417771103222E-2</v>
      </c>
      <c r="AE71" s="5"/>
      <c r="AF71" s="27">
        <f>IF($G71&lt;&gt;0,SUMIF(куб!$G:$G,$G71,куб!R:R),IF($E71&lt;&gt;0,SUMIF(куб!$E:$E,$E71,куб!R:R),IF($D71&lt;&gt;0,SUMIF(куб!$D:$D,$D71,куб!R:R),IF($C71&lt;&gt;0,SUMIF(куб!$C:$C,$C71,куб!R:R),IF($B71&lt;&gt;0,SUMIF(куб!$B:$B,$B71,куб!R:R))))))</f>
        <v>4951.2069000000001</v>
      </c>
      <c r="AG71" s="27">
        <f>IF($G71&lt;&gt;0,SUMIF(куб!$G:$G,$G71,куб!S:S),IF($E71&lt;&gt;0,SUMIF(куб!$E:$E,$E71,куб!S:S),IF($D71&lt;&gt;0,SUMIF(куб!$D:$D,$D71,куб!S:S),IF($C71&lt;&gt;0,SUMIF(куб!$C:$C,$C71,куб!S:S),IF($B71&lt;&gt;0,SUMIF(куб!$B:$B,$B71,куб!S:S))))))</f>
        <v>15883.896600000004</v>
      </c>
      <c r="AH71" s="16">
        <f t="shared" si="43"/>
        <v>2.208085810350604</v>
      </c>
      <c r="AI71" s="8"/>
      <c r="AJ71" s="27">
        <f>IF($G71&lt;&gt;0,SUMIF(куб!$G:$G,$G71,куб!T:T),IF($E71&lt;&gt;0,SUMIF(куб!$E:$E,$E71,куб!T:T),IF($D71&lt;&gt;0,SUMIF(куб!$D:$D,$D71,куб!T:T),IF($C71&lt;&gt;0,SUMIF(куб!$C:$C,$C71,куб!T:T),IF($B71&lt;&gt;0,SUMIF(куб!$B:$B,$B71,куб!T:T))))))</f>
        <v>80</v>
      </c>
      <c r="AK71" s="27">
        <f>IF($G71&lt;&gt;0,SUMIF(куб!$G:$G,$G71,куб!U:U),IF($E71&lt;&gt;0,SUMIF(куб!$E:$E,$E71,куб!U:U),IF($D71&lt;&gt;0,SUMIF(куб!$D:$D,$D71,куб!U:U),IF($C71&lt;&gt;0,SUMIF(куб!$C:$C,$C71,куб!U:U),IF($B71&lt;&gt;0,SUMIF(куб!$B:$B,$B71,куб!U:U))))))</f>
        <v>272</v>
      </c>
      <c r="AL71" s="16">
        <f t="shared" si="44"/>
        <v>2.4</v>
      </c>
      <c r="AM71" s="8"/>
      <c r="AN71" s="17">
        <f t="shared" si="45"/>
        <v>1.3208771151120317E-3</v>
      </c>
      <c r="AO71" s="17">
        <f t="shared" si="46"/>
        <v>4.2206997495081991E-3</v>
      </c>
      <c r="AP71" s="16">
        <f t="shared" si="47"/>
        <v>2.8998226343961674E-3</v>
      </c>
      <c r="AQ71" s="8"/>
      <c r="AR71" s="17">
        <f t="shared" si="48"/>
        <v>0.13056334682658208</v>
      </c>
      <c r="AS71" s="17">
        <f t="shared" si="49"/>
        <v>0.14851694196328913</v>
      </c>
      <c r="AT71" s="13">
        <f t="shared" si="50"/>
        <v>1.7953595136707051E-2</v>
      </c>
      <c r="AU71" s="8"/>
    </row>
    <row r="72" spans="1:47" ht="15" customHeight="1" x14ac:dyDescent="0.25">
      <c r="A72" s="31" t="s">
        <v>26</v>
      </c>
      <c r="B72" s="31" t="s">
        <v>32</v>
      </c>
      <c r="C72" t="s">
        <v>33</v>
      </c>
      <c r="D72" s="31" t="s">
        <v>34</v>
      </c>
      <c r="E72" t="s">
        <v>35</v>
      </c>
      <c r="F72" s="31" t="s">
        <v>170</v>
      </c>
      <c r="G72" t="s">
        <v>171</v>
      </c>
      <c r="H72" s="27">
        <f>IF($G72&lt;&gt;0,SUMIF(куб!$G:$G,$G72,куб!H:H),IF($E72&lt;&gt;0,SUMIF(куб!$E:$E,$E72,куб!H:H),IF($D72&lt;&gt;0,SUMIF(куб!$D:$D,$D72,куб!H:H),IF($C72&lt;&gt;0,SUMIF(куб!$C:$C,$C72,куб!H:H),IF($B72&lt;&gt;0,SUMIF(куб!$B:$B,$B72,куб!H:H),IF($G72&lt;&gt;0,SUMIF(куб!$A:$A,$G72,куб!H:H),SUMIF(куб!$A:$A,$G72,куб!H:H)))))))</f>
        <v>2586265.3780000014</v>
      </c>
      <c r="I72" s="27">
        <f>IF($G72&lt;&gt;0,SUMIF(куб!$G:$G,$G72,куб!I:I),IF($E72&lt;&gt;0,SUMIF(куб!$E:$E,$E72,куб!I:I),IF($D72&lt;&gt;0,SUMIF(куб!$D:$D,$D72,куб!I:I),IF($C72&lt;&gt;0,SUMIF(куб!$C:$C,$C72,куб!I:I),IF($B72&lt;&gt;0,SUMIF(куб!$B:$B,$B72,куб!I:I),IF($G72&lt;&gt;0,SUMIF(куб!$A:$A,$G72,куб!I:I),SUMIF(куб!$A:$A,$G72,куб!I:I)))))))</f>
        <v>2214457.8869000021</v>
      </c>
      <c r="J72" s="19">
        <f t="shared" si="33"/>
        <v>-0.14376231235308254</v>
      </c>
      <c r="K72" s="5"/>
      <c r="L72" s="17">
        <f t="shared" si="34"/>
        <v>5.4024291391071896E-3</v>
      </c>
      <c r="M72" s="17">
        <f t="shared" si="35"/>
        <v>4.7216117881756416E-3</v>
      </c>
      <c r="N72" s="12">
        <f t="shared" si="36"/>
        <v>-6.8081735093154794E-4</v>
      </c>
      <c r="O72" s="5"/>
      <c r="P72" s="27">
        <f>IF($G72&lt;&gt;0,SUMIF(куб!$G:$G,$G72,куб!J:J),IF($E72&lt;&gt;0,SUMIF(куб!$E:$E,$E72,куб!J:J),IF($D72&lt;&gt;0,SUMIF(куб!$D:$D,$D72,куб!J:J),IF($C72&lt;&gt;0,SUMIF(куб!$C:$C,$C72,куб!J:J),IF($B72&lt;&gt;0,SUMIF(куб!$B:$B,$B72,куб!J:J))))))</f>
        <v>48075</v>
      </c>
      <c r="Q72" s="27">
        <f>IF($G72&lt;&gt;0,SUMIF(куб!$G:$G,$G72,куб!K:K),IF($E72&lt;&gt;0,SUMIF(куб!$E:$E,$E72,куб!K:K),IF($D72&lt;&gt;0,SUMIF(куб!$D:$D,$D72,куб!K:K),IF($C72&lt;&gt;0,SUMIF(куб!$C:$C,$C72,куб!K:K),IF($B72&lt;&gt;0,SUMIF(куб!$B:$B,$B72,куб!K:K))))))</f>
        <v>35525</v>
      </c>
      <c r="R72" s="13">
        <f t="shared" si="37"/>
        <v>-0.26105044201768068</v>
      </c>
      <c r="S72" s="5"/>
      <c r="T72" s="27">
        <f>IF($G72&lt;&gt;0,SUMIF(куб!$G:$G,$G72,куб!L:L),IF($E72&lt;&gt;0,SUMIF(куб!$E:$E,$E72,куб!L:L),IF($D72&lt;&gt;0,SUMIF(куб!$D:$D,$D72,куб!L:L),IF($C72&lt;&gt;0,SUMIF(куб!$C:$C,$C72,куб!L:L),IF($B72&lt;&gt;0,SUMIF(куб!$B:$B,$B72,куб!L:L))))))</f>
        <v>43267.500000000015</v>
      </c>
      <c r="U72" s="27">
        <f>IF($G72&lt;&gt;0,SUMIF(куб!$G:$G,$G72,куб!M:M),IF($E72&lt;&gt;0,SUMIF(куб!$E:$E,$E72,куб!M:M),IF($D72&lt;&gt;0,SUMIF(куб!$D:$D,$D72,куб!M:M),IF($C72&lt;&gt;0,SUMIF(куб!$C:$C,$C72,куб!M:M),IF($B72&lt;&gt;0,SUMIF(куб!$B:$B,$B72,куб!M:M))))))</f>
        <v>31972.5</v>
      </c>
      <c r="V72" s="13">
        <f t="shared" si="38"/>
        <v>-0.26105044201768096</v>
      </c>
      <c r="W72" s="5"/>
      <c r="X72" s="27">
        <f>IF($G72&lt;&gt;0,SUMIF(куб!$G:$G,$G72,куб!N:N),IF($E72&lt;&gt;0,SUMIF(куб!$E:$E,$E72,куб!N:N),IF($D72&lt;&gt;0,SUMIF(куб!$D:$D,$D72,куб!N:N),IF($C72&lt;&gt;0,SUMIF(куб!$C:$C,$C72,куб!N:N),IF($B72&lt;&gt;0,SUMIF(куб!$B:$B,$B72,куб!N:N))))))</f>
        <v>313596.35490000062</v>
      </c>
      <c r="Y72" s="27">
        <f>IF($G72&lt;&gt;0,SUMIF(куб!$G:$G,$G72,куб!O:O),IF($E72&lt;&gt;0,SUMIF(куб!$E:$E,$E72,куб!O:O),IF($D72&lt;&gt;0,SUMIF(куб!$D:$D,$D72,куб!O:O),IF($C72&lt;&gt;0,SUMIF(куб!$C:$C,$C72,куб!O:O),IF($B72&lt;&gt;0,SUMIF(куб!$B:$B,$B72,куб!O:O))))))</f>
        <v>273483.42049999954</v>
      </c>
      <c r="Z72" s="13">
        <f t="shared" si="39"/>
        <v>-0.12791262963752323</v>
      </c>
      <c r="AA72" s="5"/>
      <c r="AB72" s="33">
        <f t="shared" si="40"/>
        <v>0.12125451532066267</v>
      </c>
      <c r="AC72" s="33">
        <f t="shared" si="41"/>
        <v>0.1234990388021541</v>
      </c>
      <c r="AD72" s="15">
        <f t="shared" si="42"/>
        <v>2.2445234814914283E-3</v>
      </c>
      <c r="AE72" s="5"/>
      <c r="AF72" s="27">
        <f>IF($G72&lt;&gt;0,SUMIF(куб!$G:$G,$G72,куб!R:R),IF($E72&lt;&gt;0,SUMIF(куб!$E:$E,$E72,куб!R:R),IF($D72&lt;&gt;0,SUMIF(куб!$D:$D,$D72,куб!R:R),IF($C72&lt;&gt;0,SUMIF(куб!$C:$C,$C72,куб!R:R),IF($B72&lt;&gt;0,SUMIF(куб!$B:$B,$B72,куб!R:R))))))</f>
        <v>45736.203700000013</v>
      </c>
      <c r="AG72" s="27">
        <f>IF($G72&lt;&gt;0,SUMIF(куб!$G:$G,$G72,куб!S:S),IF($E72&lt;&gt;0,SUMIF(куб!$E:$E,$E72,куб!S:S),IF($D72&lt;&gt;0,SUMIF(куб!$D:$D,$D72,куб!S:S),IF($C72&lt;&gt;0,SUMIF(куб!$C:$C,$C72,куб!S:S),IF($B72&lt;&gt;0,SUMIF(куб!$B:$B,$B72,куб!S:S))))))</f>
        <v>95449.703800000003</v>
      </c>
      <c r="AH72" s="16">
        <f t="shared" si="43"/>
        <v>1.0869616644636375</v>
      </c>
      <c r="AI72" s="8"/>
      <c r="AJ72" s="27">
        <f>IF($G72&lt;&gt;0,SUMIF(куб!$G:$G,$G72,куб!T:T),IF($E72&lt;&gt;0,SUMIF(куб!$E:$E,$E72,куб!T:T),IF($D72&lt;&gt;0,SUMIF(куб!$D:$D,$D72,куб!T:T),IF($C72&lt;&gt;0,SUMIF(куб!$C:$C,$C72,куб!T:T),IF($B72&lt;&gt;0,SUMIF(куб!$B:$B,$B72,куб!T:T))))))</f>
        <v>968</v>
      </c>
      <c r="AK72" s="27">
        <f>IF($G72&lt;&gt;0,SUMIF(куб!$G:$G,$G72,куб!U:U),IF($E72&lt;&gt;0,SUMIF(куб!$E:$E,$E72,куб!U:U),IF($D72&lt;&gt;0,SUMIF(куб!$D:$D,$D72,куб!U:U),IF($C72&lt;&gt;0,SUMIF(куб!$C:$C,$C72,куб!U:U),IF($B72&lt;&gt;0,SUMIF(куб!$B:$B,$B72,куб!U:U))))))</f>
        <v>1747</v>
      </c>
      <c r="AL72" s="16">
        <f t="shared" si="44"/>
        <v>0.80475206611570249</v>
      </c>
      <c r="AM72" s="8"/>
      <c r="AN72" s="17">
        <f t="shared" si="45"/>
        <v>1.7684265539435293E-2</v>
      </c>
      <c r="AO72" s="17">
        <f t="shared" si="46"/>
        <v>4.3102966357883243E-2</v>
      </c>
      <c r="AP72" s="16">
        <f t="shared" si="47"/>
        <v>2.5418700818447951E-2</v>
      </c>
      <c r="AQ72" s="8"/>
      <c r="AR72" s="17">
        <f t="shared" si="48"/>
        <v>0.10357024978122738</v>
      </c>
      <c r="AS72" s="17">
        <f t="shared" si="49"/>
        <v>8.0396072444270855E-2</v>
      </c>
      <c r="AT72" s="13">
        <f t="shared" si="50"/>
        <v>-2.3174177336956522E-2</v>
      </c>
      <c r="AU72" s="8"/>
    </row>
    <row r="73" spans="1:47" ht="15" customHeight="1" x14ac:dyDescent="0.25">
      <c r="A73" s="31" t="s">
        <v>26</v>
      </c>
      <c r="B73" s="31" t="s">
        <v>32</v>
      </c>
      <c r="C73" t="s">
        <v>33</v>
      </c>
      <c r="D73" s="31" t="s">
        <v>34</v>
      </c>
      <c r="E73" t="s">
        <v>35</v>
      </c>
      <c r="F73" s="31" t="s">
        <v>172</v>
      </c>
      <c r="G73" t="s">
        <v>173</v>
      </c>
      <c r="H73" s="27">
        <f>IF($G73&lt;&gt;0,SUMIF(куб!$G:$G,$G73,куб!H:H),IF($E73&lt;&gt;0,SUMIF(куб!$E:$E,$E73,куб!H:H),IF($D73&lt;&gt;0,SUMIF(куб!$D:$D,$D73,куб!H:H),IF($C73&lt;&gt;0,SUMIF(куб!$C:$C,$C73,куб!H:H),IF($B73&lt;&gt;0,SUMIF(куб!$B:$B,$B73,куб!H:H),IF($G73&lt;&gt;0,SUMIF(куб!$A:$A,$G73,куб!H:H),SUMIF(куб!$A:$A,$G73,куб!H:H)))))))</f>
        <v>845303.07440000132</v>
      </c>
      <c r="I73" s="27">
        <f>IF($G73&lt;&gt;0,SUMIF(куб!$G:$G,$G73,куб!I:I),IF($E73&lt;&gt;0,SUMIF(куб!$E:$E,$E73,куб!I:I),IF($D73&lt;&gt;0,SUMIF(куб!$D:$D,$D73,куб!I:I),IF($C73&lt;&gt;0,SUMIF(куб!$C:$C,$C73,куб!I:I),IF($B73&lt;&gt;0,SUMIF(куб!$B:$B,$B73,куб!I:I),IF($G73&lt;&gt;0,SUMIF(куб!$A:$A,$G73,куб!I:I),SUMIF(куб!$A:$A,$G73,куб!I:I)))))))</f>
        <v>1040.7629999999999</v>
      </c>
      <c r="J73" s="19">
        <f t="shared" si="33"/>
        <v>-0.9987687694135754</v>
      </c>
      <c r="K73" s="5"/>
      <c r="L73" s="17">
        <f t="shared" si="34"/>
        <v>1.7657468562050469E-3</v>
      </c>
      <c r="M73" s="17">
        <f t="shared" si="35"/>
        <v>2.2190888698164481E-6</v>
      </c>
      <c r="N73" s="12">
        <f t="shared" si="36"/>
        <v>-1.7635277673352305E-3</v>
      </c>
      <c r="O73" s="5"/>
      <c r="P73" s="27">
        <f>IF($G73&lt;&gt;0,SUMIF(куб!$G:$G,$G73,куб!J:J),IF($E73&lt;&gt;0,SUMIF(куб!$E:$E,$E73,куб!J:J),IF($D73&lt;&gt;0,SUMIF(куб!$D:$D,$D73,куб!J:J),IF($C73&lt;&gt;0,SUMIF(куб!$C:$C,$C73,куб!J:J),IF($B73&lt;&gt;0,SUMIF(куб!$B:$B,$B73,куб!J:J))))))</f>
        <v>9840</v>
      </c>
      <c r="Q73" s="27">
        <f>IF($G73&lt;&gt;0,SUMIF(куб!$G:$G,$G73,куб!K:K),IF($E73&lt;&gt;0,SUMIF(куб!$E:$E,$E73,куб!K:K),IF($D73&lt;&gt;0,SUMIF(куб!$D:$D,$D73,куб!K:K),IF($C73&lt;&gt;0,SUMIF(куб!$C:$C,$C73,куб!K:K),IF($B73&lt;&gt;0,SUMIF(куб!$B:$B,$B73,куб!K:K))))))</f>
        <v>12</v>
      </c>
      <c r="R73" s="13">
        <f t="shared" si="37"/>
        <v>-0.99878048780487805</v>
      </c>
      <c r="S73" s="5"/>
      <c r="T73" s="27">
        <f>IF($G73&lt;&gt;0,SUMIF(куб!$G:$G,$G73,куб!L:L),IF($E73&lt;&gt;0,SUMIF(куб!$E:$E,$E73,куб!L:L),IF($D73&lt;&gt;0,SUMIF(куб!$D:$D,$D73,куб!L:L),IF($C73&lt;&gt;0,SUMIF(куб!$C:$C,$C73,куб!L:L),IF($B73&lt;&gt;0,SUMIF(куб!$B:$B,$B73,куб!L:L))))))</f>
        <v>8856.0000000000091</v>
      </c>
      <c r="U73" s="27">
        <f>IF($G73&lt;&gt;0,SUMIF(куб!$G:$G,$G73,куб!M:M),IF($E73&lt;&gt;0,SUMIF(куб!$E:$E,$E73,куб!M:M),IF($D73&lt;&gt;0,SUMIF(куб!$D:$D,$D73,куб!M:M),IF($C73&lt;&gt;0,SUMIF(куб!$C:$C,$C73,куб!M:M),IF($B73&lt;&gt;0,SUMIF(куб!$B:$B,$B73,куб!M:M))))))</f>
        <v>10.8</v>
      </c>
      <c r="V73" s="13">
        <f t="shared" si="38"/>
        <v>-0.99878048780487816</v>
      </c>
      <c r="W73" s="5"/>
      <c r="X73" s="27">
        <f>IF($G73&lt;&gt;0,SUMIF(куб!$G:$G,$G73,куб!N:N),IF($E73&lt;&gt;0,SUMIF(куб!$E:$E,$E73,куб!N:N),IF($D73&lt;&gt;0,SUMIF(куб!$D:$D,$D73,куб!N:N),IF($C73&lt;&gt;0,SUMIF(куб!$C:$C,$C73,куб!N:N),IF($B73&lt;&gt;0,SUMIF(куб!$B:$B,$B73,куб!N:N))))))</f>
        <v>93872.538200001116</v>
      </c>
      <c r="Y73" s="27">
        <f>IF($G73&lt;&gt;0,SUMIF(куб!$G:$G,$G73,куб!O:O),IF($E73&lt;&gt;0,SUMIF(куб!$E:$E,$E73,куб!O:O),IF($D73&lt;&gt;0,SUMIF(куб!$D:$D,$D73,куб!O:O),IF($C73&lt;&gt;0,SUMIF(куб!$C:$C,$C73,куб!O:O),IF($B73&lt;&gt;0,SUMIF(куб!$B:$B,$B73,куб!O:O))))))</f>
        <v>71.163000000000011</v>
      </c>
      <c r="Z73" s="13">
        <f t="shared" si="39"/>
        <v>-0.99924191886823832</v>
      </c>
      <c r="AA73" s="5"/>
      <c r="AB73" s="33">
        <f t="shared" si="40"/>
        <v>0.11105193041753944</v>
      </c>
      <c r="AC73" s="33">
        <f t="shared" si="41"/>
        <v>6.837579737173595E-2</v>
      </c>
      <c r="AD73" s="15">
        <f t="shared" si="42"/>
        <v>-4.2676133045803491E-2</v>
      </c>
      <c r="AE73" s="5"/>
      <c r="AF73" s="27">
        <f>IF($G73&lt;&gt;0,SUMIF(куб!$G:$G,$G73,куб!R:R),IF($E73&lt;&gt;0,SUMIF(куб!$E:$E,$E73,куб!R:R),IF($D73&lt;&gt;0,SUMIF(куб!$D:$D,$D73,куб!R:R),IF($C73&lt;&gt;0,SUMIF(куб!$C:$C,$C73,куб!R:R),IF($B73&lt;&gt;0,SUMIF(куб!$B:$B,$B73,куб!R:R))))))</f>
        <v>36036.727100000004</v>
      </c>
      <c r="AG73" s="27">
        <f>IF($G73&lt;&gt;0,SUMIF(куб!$G:$G,$G73,куб!S:S),IF($E73&lt;&gt;0,SUMIF(куб!$E:$E,$E73,куб!S:S),IF($D73&lt;&gt;0,SUMIF(куб!$D:$D,$D73,куб!S:S),IF($C73&lt;&gt;0,SUMIF(куб!$C:$C,$C73,куб!S:S),IF($B73&lt;&gt;0,SUMIF(куб!$B:$B,$B73,куб!S:S))))))</f>
        <v>1373.6000000000001</v>
      </c>
      <c r="AH73" s="16">
        <f t="shared" si="43"/>
        <v>-0.96188333096431511</v>
      </c>
      <c r="AI73" s="8"/>
      <c r="AJ73" s="27">
        <f>IF($G73&lt;&gt;0,SUMIF(куб!$G:$G,$G73,куб!T:T),IF($E73&lt;&gt;0,SUMIF(куб!$E:$E,$E73,куб!T:T),IF($D73&lt;&gt;0,SUMIF(куб!$D:$D,$D73,куб!T:T),IF($C73&lt;&gt;0,SUMIF(куб!$C:$C,$C73,куб!T:T),IF($B73&lt;&gt;0,SUMIF(куб!$B:$B,$B73,куб!T:T))))))</f>
        <v>472</v>
      </c>
      <c r="AK73" s="27">
        <f>IF($G73&lt;&gt;0,SUMIF(куб!$G:$G,$G73,куб!U:U),IF($E73&lt;&gt;0,SUMIF(куб!$E:$E,$E73,куб!U:U),IF($D73&lt;&gt;0,SUMIF(куб!$D:$D,$D73,куб!U:U),IF($C73&lt;&gt;0,SUMIF(куб!$C:$C,$C73,куб!U:U),IF($B73&lt;&gt;0,SUMIF(куб!$B:$B,$B73,куб!U:U))))))</f>
        <v>17</v>
      </c>
      <c r="AL73" s="16">
        <f t="shared" si="44"/>
        <v>-0.96398305084745761</v>
      </c>
      <c r="AM73" s="8"/>
      <c r="AN73" s="17">
        <f t="shared" si="45"/>
        <v>4.263172368748213E-2</v>
      </c>
      <c r="AO73" s="17">
        <f t="shared" si="46"/>
        <v>1.3198009537233744</v>
      </c>
      <c r="AP73" s="16">
        <f t="shared" si="47"/>
        <v>1.2771692300358923</v>
      </c>
      <c r="AQ73" s="8"/>
      <c r="AR73" s="17">
        <f t="shared" si="48"/>
        <v>6.8420206730057317E-2</v>
      </c>
      <c r="AS73" s="17">
        <f t="shared" si="49"/>
        <v>-1.2514251563516383</v>
      </c>
      <c r="AT73" s="13">
        <f t="shared" si="50"/>
        <v>-1.3198453630816955</v>
      </c>
      <c r="AU73" s="8"/>
    </row>
    <row r="74" spans="1:47" ht="15" customHeight="1" x14ac:dyDescent="0.25">
      <c r="A74" s="31" t="s">
        <v>26</v>
      </c>
      <c r="B74" s="31" t="s">
        <v>32</v>
      </c>
      <c r="C74" t="s">
        <v>33</v>
      </c>
      <c r="D74" s="31" t="s">
        <v>34</v>
      </c>
      <c r="E74" t="s">
        <v>35</v>
      </c>
      <c r="F74" s="31" t="s">
        <v>174</v>
      </c>
      <c r="G74" t="s">
        <v>175</v>
      </c>
      <c r="H74" s="27">
        <f>IF($G74&lt;&gt;0,SUMIF(куб!$G:$G,$G74,куб!H:H),IF($E74&lt;&gt;0,SUMIF(куб!$E:$E,$E74,куб!H:H),IF($D74&lt;&gt;0,SUMIF(куб!$D:$D,$D74,куб!H:H),IF($C74&lt;&gt;0,SUMIF(куб!$C:$C,$C74,куб!H:H),IF($B74&lt;&gt;0,SUMIF(куб!$B:$B,$B74,куб!H:H),IF($G74&lt;&gt;0,SUMIF(куб!$A:$A,$G74,куб!H:H),SUMIF(куб!$A:$A,$G74,куб!H:H)))))))</f>
        <v>505475.12699999998</v>
      </c>
      <c r="I74" s="27">
        <f>IF($G74&lt;&gt;0,SUMIF(куб!$G:$G,$G74,куб!I:I),IF($E74&lt;&gt;0,SUMIF(куб!$E:$E,$E74,куб!I:I),IF($D74&lt;&gt;0,SUMIF(куб!$D:$D,$D74,куб!I:I),IF($C74&lt;&gt;0,SUMIF(куб!$C:$C,$C74,куб!I:I),IF($B74&lt;&gt;0,SUMIF(куб!$B:$B,$B74,куб!I:I),IF($G74&lt;&gt;0,SUMIF(куб!$A:$A,$G74,куб!I:I),SUMIF(куб!$A:$A,$G74,куб!I:I)))))))</f>
        <v>612444.93409999995</v>
      </c>
      <c r="J74" s="19">
        <f t="shared" si="33"/>
        <v>0.21162229630341431</v>
      </c>
      <c r="K74" s="8"/>
      <c r="L74" s="17">
        <f t="shared" si="34"/>
        <v>1.0558829648450352E-3</v>
      </c>
      <c r="M74" s="17">
        <f t="shared" si="35"/>
        <v>1.3058397893053249E-3</v>
      </c>
      <c r="N74" s="12">
        <f t="shared" si="36"/>
        <v>2.4995682446028972E-4</v>
      </c>
      <c r="O74" s="5"/>
      <c r="P74" s="27">
        <f>IF($G74&lt;&gt;0,SUMIF(куб!$G:$G,$G74,куб!J:J),IF($E74&lt;&gt;0,SUMIF(куб!$E:$E,$E74,куб!J:J),IF($D74&lt;&gt;0,SUMIF(куб!$D:$D,$D74,куб!J:J),IF($C74&lt;&gt;0,SUMIF(куб!$C:$C,$C74,куб!J:J),IF($B74&lt;&gt;0,SUMIF(куб!$B:$B,$B74,куб!J:J))))))</f>
        <v>6718</v>
      </c>
      <c r="Q74" s="27">
        <f>IF($G74&lt;&gt;0,SUMIF(куб!$G:$G,$G74,куб!K:K),IF($E74&lt;&gt;0,SUMIF(куб!$E:$E,$E74,куб!K:K),IF($D74&lt;&gt;0,SUMIF(куб!$D:$D,$D74,куб!K:K),IF($C74&lt;&gt;0,SUMIF(куб!$C:$C,$C74,куб!K:K),IF($B74&lt;&gt;0,SUMIF(куб!$B:$B,$B74,куб!K:K))))))</f>
        <v>8552</v>
      </c>
      <c r="R74" s="13">
        <f t="shared" si="37"/>
        <v>0.27299791604644241</v>
      </c>
      <c r="S74" s="5"/>
      <c r="T74" s="27">
        <f>IF($G74&lt;&gt;0,SUMIF(куб!$G:$G,$G74,куб!L:L),IF($E74&lt;&gt;0,SUMIF(куб!$E:$E,$E74,куб!L:L),IF($D74&lt;&gt;0,SUMIF(куб!$D:$D,$D74,куб!L:L),IF($C74&lt;&gt;0,SUMIF(куб!$C:$C,$C74,куб!L:L),IF($B74&lt;&gt;0,SUMIF(куб!$B:$B,$B74,куб!L:L))))))</f>
        <v>6214.1500000000015</v>
      </c>
      <c r="U74" s="27">
        <f>IF($G74&lt;&gt;0,SUMIF(куб!$G:$G,$G74,куб!M:M),IF($E74&lt;&gt;0,SUMIF(куб!$E:$E,$E74,куб!M:M),IF($D74&lt;&gt;0,SUMIF(куб!$D:$D,$D74,куб!M:M),IF($C74&lt;&gt;0,SUMIF(куб!$C:$C,$C74,куб!M:M),IF($B74&lt;&gt;0,SUMIF(куб!$B:$B,$B74,куб!M:M))))))</f>
        <v>7910.5999999999995</v>
      </c>
      <c r="V74" s="13">
        <f t="shared" si="38"/>
        <v>0.27299791604644202</v>
      </c>
      <c r="W74" s="5"/>
      <c r="X74" s="27">
        <f>IF($G74&lt;&gt;0,SUMIF(куб!$G:$G,$G74,куб!N:N),IF($E74&lt;&gt;0,SUMIF(куб!$E:$E,$E74,куб!N:N),IF($D74&lt;&gt;0,SUMIF(куб!$D:$D,$D74,куб!N:N),IF($C74&lt;&gt;0,SUMIF(куб!$C:$C,$C74,куб!N:N),IF($B74&lt;&gt;0,SUMIF(куб!$B:$B,$B74,куб!N:N))))))</f>
        <v>61406.063399999985</v>
      </c>
      <c r="Y74" s="27">
        <f>IF($G74&lt;&gt;0,SUMIF(куб!$G:$G,$G74,куб!O:O),IF($E74&lt;&gt;0,SUMIF(куб!$E:$E,$E74,куб!O:O),IF($D74&lt;&gt;0,SUMIF(куб!$D:$D,$D74,куб!O:O),IF($C74&lt;&gt;0,SUMIF(куб!$C:$C,$C74,куб!O:O),IF($B74&lt;&gt;0,SUMIF(куб!$B:$B,$B74,куб!O:O))))))</f>
        <v>74506.479699999909</v>
      </c>
      <c r="Z74" s="13">
        <f t="shared" si="39"/>
        <v>0.2133407610688805</v>
      </c>
      <c r="AA74" s="5"/>
      <c r="AB74" s="33">
        <f t="shared" si="40"/>
        <v>0.12148186947287712</v>
      </c>
      <c r="AC74" s="33">
        <f t="shared" si="41"/>
        <v>0.1216541693001162</v>
      </c>
      <c r="AD74" s="15">
        <f t="shared" si="42"/>
        <v>1.7229982723908355E-4</v>
      </c>
      <c r="AE74" s="5"/>
      <c r="AF74" s="27">
        <f>IF($G74&lt;&gt;0,SUMIF(куб!$G:$G,$G74,куб!R:R),IF($E74&lt;&gt;0,SUMIF(куб!$E:$E,$E74,куб!R:R),IF($D74&lt;&gt;0,SUMIF(куб!$D:$D,$D74,куб!R:R),IF($C74&lt;&gt;0,SUMIF(куб!$C:$C,$C74,куб!R:R),IF($B74&lt;&gt;0,SUMIF(куб!$B:$B,$B74,куб!R:R))))))</f>
        <v>6279.5000000000018</v>
      </c>
      <c r="AG74" s="27">
        <f>IF($G74&lt;&gt;0,SUMIF(куб!$G:$G,$G74,куб!S:S),IF($E74&lt;&gt;0,SUMIF(куб!$E:$E,$E74,куб!S:S),IF($D74&lt;&gt;0,SUMIF(куб!$D:$D,$D74,куб!S:S),IF($C74&lt;&gt;0,SUMIF(куб!$C:$C,$C74,куб!S:S),IF($B74&lt;&gt;0,SUMIF(куб!$B:$B,$B74,куб!S:S))))))</f>
        <v>12177.643999999997</v>
      </c>
      <c r="AH74" s="16">
        <f t="shared" si="43"/>
        <v>0.93926968707699543</v>
      </c>
      <c r="AI74" s="8"/>
      <c r="AJ74" s="27">
        <f>IF($G74&lt;&gt;0,SUMIF(куб!$G:$G,$G74,куб!T:T),IF($E74&lt;&gt;0,SUMIF(куб!$E:$E,$E74,куб!T:T),IF($D74&lt;&gt;0,SUMIF(куб!$D:$D,$D74,куб!T:T),IF($C74&lt;&gt;0,SUMIF(куб!$C:$C,$C74,куб!T:T),IF($B74&lt;&gt;0,SUMIF(куб!$B:$B,$B74,куб!T:T))))))</f>
        <v>95</v>
      </c>
      <c r="AK74" s="27">
        <f>IF($G74&lt;&gt;0,SUMIF(куб!$G:$G,$G74,куб!U:U),IF($E74&lt;&gt;0,SUMIF(куб!$E:$E,$E74,куб!U:U),IF($D74&lt;&gt;0,SUMIF(куб!$D:$D,$D74,куб!U:U),IF($C74&lt;&gt;0,SUMIF(куб!$C:$C,$C74,куб!U:U),IF($B74&lt;&gt;0,SUMIF(куб!$B:$B,$B74,куб!U:U))))))</f>
        <v>192</v>
      </c>
      <c r="AL74" s="16">
        <f t="shared" si="44"/>
        <v>1.0210526315789474</v>
      </c>
      <c r="AM74" s="8"/>
      <c r="AN74" s="17">
        <f t="shared" si="45"/>
        <v>1.2422965373724516E-2</v>
      </c>
      <c r="AO74" s="17">
        <f t="shared" si="46"/>
        <v>1.9883655365515084E-2</v>
      </c>
      <c r="AP74" s="16">
        <f t="shared" si="47"/>
        <v>7.4606899917905676E-3</v>
      </c>
      <c r="AQ74" s="8"/>
      <c r="AR74" s="17">
        <f t="shared" si="48"/>
        <v>0.10905890409915261</v>
      </c>
      <c r="AS74" s="17">
        <f t="shared" si="49"/>
        <v>0.10177051393460111</v>
      </c>
      <c r="AT74" s="13">
        <f t="shared" si="50"/>
        <v>-7.2883901645515031E-3</v>
      </c>
      <c r="AU74" s="8"/>
    </row>
    <row r="75" spans="1:47" ht="15" customHeight="1" x14ac:dyDescent="0.25">
      <c r="A75" s="31" t="s">
        <v>26</v>
      </c>
      <c r="B75" s="31" t="s">
        <v>32</v>
      </c>
      <c r="C75" t="s">
        <v>33</v>
      </c>
      <c r="D75" s="31" t="s">
        <v>34</v>
      </c>
      <c r="E75" t="s">
        <v>35</v>
      </c>
      <c r="F75" s="31" t="s">
        <v>176</v>
      </c>
      <c r="G75" t="s">
        <v>177</v>
      </c>
      <c r="H75" s="27">
        <f>IF($G75&lt;&gt;0,SUMIF(куб!$G:$G,$G75,куб!H:H),IF($E75&lt;&gt;0,SUMIF(куб!$E:$E,$E75,куб!H:H),IF($D75&lt;&gt;0,SUMIF(куб!$D:$D,$D75,куб!H:H),IF($C75&lt;&gt;0,SUMIF(куб!$C:$C,$C75,куб!H:H),IF($B75&lt;&gt;0,SUMIF(куб!$B:$B,$B75,куб!H:H),IF($G75&lt;&gt;0,SUMIF(куб!$A:$A,$G75,куб!H:H),SUMIF(куб!$A:$A,$G75,куб!H:H)))))))</f>
        <v>1308183.0958</v>
      </c>
      <c r="I75" s="27">
        <f>IF($G75&lt;&gt;0,SUMIF(куб!$G:$G,$G75,куб!I:I),IF($E75&lt;&gt;0,SUMIF(куб!$E:$E,$E75,куб!I:I),IF($D75&lt;&gt;0,SUMIF(куб!$D:$D,$D75,куб!I:I),IF($C75&lt;&gt;0,SUMIF(куб!$C:$C,$C75,куб!I:I),IF($B75&lt;&gt;0,SUMIF(куб!$B:$B,$B75,куб!I:I),IF($G75&lt;&gt;0,SUMIF(куб!$A:$A,$G75,куб!I:I),SUMIF(куб!$A:$A,$G75,куб!I:I)))))))</f>
        <v>1451050.2296000002</v>
      </c>
      <c r="J75" s="19">
        <f t="shared" ref="J75:J138" si="51">IFERROR((I75-H75)/ABS(H75),"-")</f>
        <v>0.10921035003332764</v>
      </c>
      <c r="K75" s="10"/>
      <c r="L75" s="17">
        <f t="shared" si="34"/>
        <v>2.7326532443869601E-3</v>
      </c>
      <c r="M75" s="17">
        <f t="shared" si="35"/>
        <v>3.093893051588077E-3</v>
      </c>
      <c r="N75" s="12">
        <f t="shared" si="36"/>
        <v>3.6123980720111689E-4</v>
      </c>
      <c r="O75" s="5"/>
      <c r="P75" s="27">
        <f>IF($G75&lt;&gt;0,SUMIF(куб!$G:$G,$G75,куб!J:J),IF($E75&lt;&gt;0,SUMIF(куб!$E:$E,$E75,куб!J:J),IF($D75&lt;&gt;0,SUMIF(куб!$D:$D,$D75,куб!J:J),IF($C75&lt;&gt;0,SUMIF(куб!$C:$C,$C75,куб!J:J),IF($B75&lt;&gt;0,SUMIF(куб!$B:$B,$B75,куб!J:J))))))</f>
        <v>19032</v>
      </c>
      <c r="Q75" s="27">
        <f>IF($G75&lt;&gt;0,SUMIF(куб!$G:$G,$G75,куб!K:K),IF($E75&lt;&gt;0,SUMIF(куб!$E:$E,$E75,куб!K:K),IF($D75&lt;&gt;0,SUMIF(куб!$D:$D,$D75,куб!K:K),IF($C75&lt;&gt;0,SUMIF(куб!$C:$C,$C75,куб!K:K),IF($B75&lt;&gt;0,SUMIF(куб!$B:$B,$B75,куб!K:K))))))</f>
        <v>21430</v>
      </c>
      <c r="R75" s="13">
        <f t="shared" si="37"/>
        <v>0.12599831862126945</v>
      </c>
      <c r="S75" s="5"/>
      <c r="T75" s="27">
        <f>IF($G75&lt;&gt;0,SUMIF(куб!$G:$G,$G75,куб!L:L),IF($E75&lt;&gt;0,SUMIF(куб!$E:$E,$E75,куб!L:L),IF($D75&lt;&gt;0,SUMIF(куб!$D:$D,$D75,куб!L:L),IF($C75&lt;&gt;0,SUMIF(куб!$C:$C,$C75,куб!L:L),IF($B75&lt;&gt;0,SUMIF(куб!$B:$B,$B75,куб!L:L))))))</f>
        <v>19032</v>
      </c>
      <c r="U75" s="27">
        <f>IF($G75&lt;&gt;0,SUMIF(куб!$G:$G,$G75,куб!M:M),IF($E75&lt;&gt;0,SUMIF(куб!$E:$E,$E75,куб!M:M),IF($D75&lt;&gt;0,SUMIF(куб!$D:$D,$D75,куб!M:M),IF($C75&lt;&gt;0,SUMIF(куб!$C:$C,$C75,куб!M:M),IF($B75&lt;&gt;0,SUMIF(куб!$B:$B,$B75,куб!M:M))))))</f>
        <v>21430</v>
      </c>
      <c r="V75" s="13">
        <f t="shared" si="38"/>
        <v>0.12599831862126945</v>
      </c>
      <c r="W75" s="5"/>
      <c r="X75" s="27">
        <f>IF($G75&lt;&gt;0,SUMIF(куб!$G:$G,$G75,куб!N:N),IF($E75&lt;&gt;0,SUMIF(куб!$E:$E,$E75,куб!N:N),IF($D75&lt;&gt;0,SUMIF(куб!$D:$D,$D75,куб!N:N),IF($C75&lt;&gt;0,SUMIF(куб!$C:$C,$C75,куб!N:N),IF($B75&lt;&gt;0,SUMIF(куб!$B:$B,$B75,куб!N:N))))))</f>
        <v>141867.57140000025</v>
      </c>
      <c r="Y75" s="27">
        <f>IF($G75&lt;&gt;0,SUMIF(куб!$G:$G,$G75,куб!O:O),IF($E75&lt;&gt;0,SUMIF(куб!$E:$E,$E75,куб!O:O),IF($D75&lt;&gt;0,SUMIF(куб!$D:$D,$D75,куб!O:O),IF($C75&lt;&gt;0,SUMIF(куб!$C:$C,$C75,куб!O:O),IF($B75&lt;&gt;0,SUMIF(куб!$B:$B,$B75,куб!O:O))))))</f>
        <v>202256.76370000001</v>
      </c>
      <c r="Z75" s="13">
        <f t="shared" si="39"/>
        <v>0.42567298293794331</v>
      </c>
      <c r="AA75" s="5"/>
      <c r="AB75" s="33">
        <f t="shared" si="40"/>
        <v>0.10844626555370923</v>
      </c>
      <c r="AC75" s="33">
        <f t="shared" si="41"/>
        <v>0.13938646614304631</v>
      </c>
      <c r="AD75" s="15">
        <f t="shared" si="42"/>
        <v>3.094020058933708E-2</v>
      </c>
      <c r="AE75" s="5"/>
      <c r="AF75" s="27">
        <f>IF($G75&lt;&gt;0,SUMIF(куб!$G:$G,$G75,куб!R:R),IF($E75&lt;&gt;0,SUMIF(куб!$E:$E,$E75,куб!R:R),IF($D75&lt;&gt;0,SUMIF(куб!$D:$D,$D75,куб!R:R),IF($C75&lt;&gt;0,SUMIF(куб!$C:$C,$C75,куб!R:R),IF($B75&lt;&gt;0,SUMIF(куб!$B:$B,$B75,куб!R:R))))))</f>
        <v>13543.2785</v>
      </c>
      <c r="AG75" s="27">
        <f>IF($G75&lt;&gt;0,SUMIF(куб!$G:$G,$G75,куб!S:S),IF($E75&lt;&gt;0,SUMIF(куб!$E:$E,$E75,куб!S:S),IF($D75&lt;&gt;0,SUMIF(куб!$D:$D,$D75,куб!S:S),IF($C75&lt;&gt;0,SUMIF(куб!$C:$C,$C75,куб!S:S),IF($B75&lt;&gt;0,SUMIF(куб!$B:$B,$B75,куб!S:S))))))</f>
        <v>10597.703100000001</v>
      </c>
      <c r="AH75" s="16">
        <f t="shared" si="43"/>
        <v>-0.21749352640130673</v>
      </c>
      <c r="AI75" s="8"/>
      <c r="AJ75" s="27">
        <f>IF($G75&lt;&gt;0,SUMIF(куб!$G:$G,$G75,куб!T:T),IF($E75&lt;&gt;0,SUMIF(куб!$E:$E,$E75,куб!T:T),IF($D75&lt;&gt;0,SUMIF(куб!$D:$D,$D75,куб!T:T),IF($C75&lt;&gt;0,SUMIF(куб!$C:$C,$C75,куб!T:T),IF($B75&lt;&gt;0,SUMIF(куб!$B:$B,$B75,куб!T:T))))))</f>
        <v>221</v>
      </c>
      <c r="AK75" s="27">
        <f>IF($G75&lt;&gt;0,SUMIF(куб!$G:$G,$G75,куб!U:U),IF($E75&lt;&gt;0,SUMIF(куб!$E:$E,$E75,куб!U:U),IF($D75&lt;&gt;0,SUMIF(куб!$D:$D,$D75,куб!U:U),IF($C75&lt;&gt;0,SUMIF(куб!$C:$C,$C75,куб!U:U),IF($B75&lt;&gt;0,SUMIF(куб!$B:$B,$B75,куб!U:U))))))</f>
        <v>182</v>
      </c>
      <c r="AL75" s="16">
        <f t="shared" si="44"/>
        <v>-0.17647058823529413</v>
      </c>
      <c r="AM75" s="8"/>
      <c r="AN75" s="17">
        <f t="shared" si="45"/>
        <v>1.0352739263702081E-2</v>
      </c>
      <c r="AO75" s="17">
        <f t="shared" si="46"/>
        <v>7.3034708818600904E-3</v>
      </c>
      <c r="AP75" s="16">
        <f t="shared" si="47"/>
        <v>-3.0492683818419903E-3</v>
      </c>
      <c r="AQ75" s="8"/>
      <c r="AR75" s="17">
        <f t="shared" si="48"/>
        <v>9.8093526290007158E-2</v>
      </c>
      <c r="AS75" s="17">
        <f t="shared" si="49"/>
        <v>0.13208299526118622</v>
      </c>
      <c r="AT75" s="13">
        <f t="shared" si="50"/>
        <v>3.3989468971179063E-2</v>
      </c>
      <c r="AU75" s="8"/>
    </row>
    <row r="76" spans="1:47" ht="15" customHeight="1" x14ac:dyDescent="0.25">
      <c r="A76" s="31" t="s">
        <v>26</v>
      </c>
      <c r="B76" s="31" t="s">
        <v>32</v>
      </c>
      <c r="C76" t="s">
        <v>33</v>
      </c>
      <c r="D76" s="31" t="s">
        <v>34</v>
      </c>
      <c r="E76" t="s">
        <v>35</v>
      </c>
      <c r="F76" s="31" t="s">
        <v>178</v>
      </c>
      <c r="G76" t="s">
        <v>179</v>
      </c>
      <c r="H76" s="27">
        <f>IF($G76&lt;&gt;0,SUMIF(куб!$G:$G,$G76,куб!H:H),IF($E76&lt;&gt;0,SUMIF(куб!$E:$E,$E76,куб!H:H),IF($D76&lt;&gt;0,SUMIF(куб!$D:$D,$D76,куб!H:H),IF($C76&lt;&gt;0,SUMIF(куб!$C:$C,$C76,куб!H:H),IF($B76&lt;&gt;0,SUMIF(куб!$B:$B,$B76,куб!H:H),IF($G76&lt;&gt;0,SUMIF(куб!$A:$A,$G76,куб!H:H),SUMIF(куб!$A:$A,$G76,куб!H:H)))))))</f>
        <v>133842.46230000001</v>
      </c>
      <c r="I76" s="27">
        <f>IF($G76&lt;&gt;0,SUMIF(куб!$G:$G,$G76,куб!I:I),IF($E76&lt;&gt;0,SUMIF(куб!$E:$E,$E76,куб!I:I),IF($D76&lt;&gt;0,SUMIF(куб!$D:$D,$D76,куб!I:I),IF($C76&lt;&gt;0,SUMIF(куб!$C:$C,$C76,куб!I:I),IF($B76&lt;&gt;0,SUMIF(куб!$B:$B,$B76,куб!I:I),IF($G76&lt;&gt;0,SUMIF(куб!$A:$A,$G76,куб!I:I),SUMIF(куб!$A:$A,$G76,куб!I:I)))))))</f>
        <v>231904.20260000005</v>
      </c>
      <c r="J76" s="19">
        <f t="shared" si="51"/>
        <v>0.73266539343994141</v>
      </c>
      <c r="K76" s="5"/>
      <c r="L76" s="17">
        <f t="shared" si="34"/>
        <v>2.7958245295714397E-4</v>
      </c>
      <c r="M76" s="17">
        <f t="shared" si="35"/>
        <v>4.944603477000227E-4</v>
      </c>
      <c r="N76" s="12">
        <f t="shared" si="36"/>
        <v>2.1487789474287873E-4</v>
      </c>
      <c r="O76" s="5"/>
      <c r="P76" s="27">
        <f>IF($G76&lt;&gt;0,SUMIF(куб!$G:$G,$G76,куб!J:J),IF($E76&lt;&gt;0,SUMIF(куб!$E:$E,$E76,куб!J:J),IF($D76&lt;&gt;0,SUMIF(куб!$D:$D,$D76,куб!J:J),IF($C76&lt;&gt;0,SUMIF(куб!$C:$C,$C76,куб!J:J),IF($B76&lt;&gt;0,SUMIF(куб!$B:$B,$B76,куб!J:J))))))</f>
        <v>1904</v>
      </c>
      <c r="Q76" s="27">
        <f>IF($G76&lt;&gt;0,SUMIF(куб!$G:$G,$G76,куб!K:K),IF($E76&lt;&gt;0,SUMIF(куб!$E:$E,$E76,куб!K:K),IF($D76&lt;&gt;0,SUMIF(куб!$D:$D,$D76,куб!K:K),IF($C76&lt;&gt;0,SUMIF(куб!$C:$C,$C76,куб!K:K),IF($B76&lt;&gt;0,SUMIF(куб!$B:$B,$B76,куб!K:K))))))</f>
        <v>3279</v>
      </c>
      <c r="R76" s="13">
        <f t="shared" si="37"/>
        <v>0.72216386554621848</v>
      </c>
      <c r="S76" s="5"/>
      <c r="T76" s="27">
        <f>IF($G76&lt;&gt;0,SUMIF(куб!$G:$G,$G76,куб!L:L),IF($E76&lt;&gt;0,SUMIF(куб!$E:$E,$E76,куб!L:L),IF($D76&lt;&gt;0,SUMIF(куб!$D:$D,$D76,куб!L:L),IF($C76&lt;&gt;0,SUMIF(куб!$C:$C,$C76,куб!L:L),IF($B76&lt;&gt;0,SUMIF(куб!$B:$B,$B76,куб!L:L))))))</f>
        <v>1523.2</v>
      </c>
      <c r="U76" s="27">
        <f>IF($G76&lt;&gt;0,SUMIF(куб!$G:$G,$G76,куб!M:M),IF($E76&lt;&gt;0,SUMIF(куб!$E:$E,$E76,куб!M:M),IF($D76&lt;&gt;0,SUMIF(куб!$D:$D,$D76,куб!M:M),IF($C76&lt;&gt;0,SUMIF(куб!$C:$C,$C76,куб!M:M),IF($B76&lt;&gt;0,SUMIF(куб!$B:$B,$B76,куб!M:M))))))</f>
        <v>2623.2000000000003</v>
      </c>
      <c r="V76" s="13">
        <f t="shared" si="38"/>
        <v>0.72216386554621859</v>
      </c>
      <c r="W76" s="5"/>
      <c r="X76" s="27">
        <f>IF($G76&lt;&gt;0,SUMIF(куб!$G:$G,$G76,куб!N:N),IF($E76&lt;&gt;0,SUMIF(куб!$E:$E,$E76,куб!N:N),IF($D76&lt;&gt;0,SUMIF(куб!$D:$D,$D76,куб!N:N),IF($C76&lt;&gt;0,SUMIF(куб!$C:$C,$C76,куб!N:N),IF($B76&lt;&gt;0,SUMIF(куб!$B:$B,$B76,куб!N:N))))))</f>
        <v>23168.455700000035</v>
      </c>
      <c r="Y76" s="27">
        <f>IF($G76&lt;&gt;0,SUMIF(куб!$G:$G,$G76,куб!O:O),IF($E76&lt;&gt;0,SUMIF(куб!$E:$E,$E76,куб!O:O),IF($D76&lt;&gt;0,SUMIF(куб!$D:$D,$D76,куб!O:O),IF($C76&lt;&gt;0,SUMIF(куб!$C:$C,$C76,куб!O:O),IF($B76&lt;&gt;0,SUMIF(куб!$B:$B,$B76,куб!O:O))))))</f>
        <v>41304.894800000038</v>
      </c>
      <c r="Z76" s="13">
        <f t="shared" si="39"/>
        <v>0.78280742293928451</v>
      </c>
      <c r="AA76" s="5"/>
      <c r="AB76" s="33">
        <f t="shared" si="40"/>
        <v>0.1731024317833402</v>
      </c>
      <c r="AC76" s="33">
        <f t="shared" si="41"/>
        <v>0.17811188558425906</v>
      </c>
      <c r="AD76" s="15">
        <f t="shared" si="42"/>
        <v>5.0094538009188561E-3</v>
      </c>
      <c r="AE76" s="5"/>
      <c r="AF76" s="27">
        <f>IF($G76&lt;&gt;0,SUMIF(куб!$G:$G,$G76,куб!R:R),IF($E76&lt;&gt;0,SUMIF(куб!$E:$E,$E76,куб!R:R),IF($D76&lt;&gt;0,SUMIF(куб!$D:$D,$D76,куб!R:R),IF($C76&lt;&gt;0,SUMIF(куб!$C:$C,$C76,куб!R:R),IF($B76&lt;&gt;0,SUMIF(куб!$B:$B,$B76,куб!R:R))))))</f>
        <v>1095.3449000000001</v>
      </c>
      <c r="AG76" s="27">
        <f>IF($G76&lt;&gt;0,SUMIF(куб!$G:$G,$G76,куб!S:S),IF($E76&lt;&gt;0,SUMIF(куб!$E:$E,$E76,куб!S:S),IF($D76&lt;&gt;0,SUMIF(куб!$D:$D,$D76,куб!S:S),IF($C76&lt;&gt;0,SUMIF(куб!$C:$C,$C76,куб!S:S),IF($B76&lt;&gt;0,SUMIF(куб!$B:$B,$B76,куб!S:S))))))</f>
        <v>871.90859999999998</v>
      </c>
      <c r="AH76" s="16">
        <f t="shared" si="43"/>
        <v>-0.20398716422562432</v>
      </c>
      <c r="AI76" s="8"/>
      <c r="AJ76" s="27">
        <f>IF($G76&lt;&gt;0,SUMIF(куб!$G:$G,$G76,куб!T:T),IF($E76&lt;&gt;0,SUMIF(куб!$E:$E,$E76,куб!T:T),IF($D76&lt;&gt;0,SUMIF(куб!$D:$D,$D76,куб!T:T),IF($C76&lt;&gt;0,SUMIF(куб!$C:$C,$C76,куб!T:T),IF($B76&lt;&gt;0,SUMIF(куб!$B:$B,$B76,куб!T:T))))))</f>
        <v>19</v>
      </c>
      <c r="AK76" s="27">
        <f>IF($G76&lt;&gt;0,SUMIF(куб!$G:$G,$G76,куб!U:U),IF($E76&lt;&gt;0,SUMIF(куб!$E:$E,$E76,куб!U:U),IF($D76&lt;&gt;0,SUMIF(куб!$D:$D,$D76,куб!U:U),IF($C76&lt;&gt;0,SUMIF(куб!$C:$C,$C76,куб!U:U),IF($B76&lt;&gt;0,SUMIF(куб!$B:$B,$B76,куб!U:U))))))</f>
        <v>15</v>
      </c>
      <c r="AL76" s="16">
        <f t="shared" si="44"/>
        <v>-0.21052631578947367</v>
      </c>
      <c r="AM76" s="8"/>
      <c r="AN76" s="17">
        <f t="shared" si="45"/>
        <v>8.1838370362975598E-3</v>
      </c>
      <c r="AO76" s="17">
        <f t="shared" si="46"/>
        <v>3.7597792115217138E-3</v>
      </c>
      <c r="AP76" s="16">
        <f t="shared" si="47"/>
        <v>-4.424057824775846E-3</v>
      </c>
      <c r="AQ76" s="8"/>
      <c r="AR76" s="17">
        <f t="shared" si="48"/>
        <v>0.16491859474704265</v>
      </c>
      <c r="AS76" s="17">
        <f t="shared" si="49"/>
        <v>0.17435210637273732</v>
      </c>
      <c r="AT76" s="13">
        <f t="shared" si="50"/>
        <v>9.4335116256946683E-3</v>
      </c>
      <c r="AU76" s="8"/>
    </row>
    <row r="77" spans="1:47" ht="15" customHeight="1" x14ac:dyDescent="0.25">
      <c r="A77" s="31" t="s">
        <v>26</v>
      </c>
      <c r="B77" s="31" t="s">
        <v>32</v>
      </c>
      <c r="C77" t="s">
        <v>33</v>
      </c>
      <c r="D77" s="31" t="s">
        <v>34</v>
      </c>
      <c r="E77" t="s">
        <v>35</v>
      </c>
      <c r="F77" s="31" t="s">
        <v>180</v>
      </c>
      <c r="G77" t="s">
        <v>181</v>
      </c>
      <c r="H77" s="27">
        <f>IF($G77&lt;&gt;0,SUMIF(куб!$G:$G,$G77,куб!H:H),IF($E77&lt;&gt;0,SUMIF(куб!$E:$E,$E77,куб!H:H),IF($D77&lt;&gt;0,SUMIF(куб!$D:$D,$D77,куб!H:H),IF($C77&lt;&gt;0,SUMIF(куб!$C:$C,$C77,куб!H:H),IF($B77&lt;&gt;0,SUMIF(куб!$B:$B,$B77,куб!H:H),IF($G77&lt;&gt;0,SUMIF(куб!$A:$A,$G77,куб!H:H),SUMIF(куб!$A:$A,$G77,куб!H:H)))))))</f>
        <v>63.545400000000001</v>
      </c>
      <c r="I77" s="27">
        <f>IF($G77&lt;&gt;0,SUMIF(куб!$G:$G,$G77,куб!I:I),IF($E77&lt;&gt;0,SUMIF(куб!$E:$E,$E77,куб!I:I),IF($D77&lt;&gt;0,SUMIF(куб!$D:$D,$D77,куб!I:I),IF($C77&lt;&gt;0,SUMIF(куб!$C:$C,$C77,куб!I:I),IF($B77&lt;&gt;0,SUMIF(куб!$B:$B,$B77,куб!I:I),IF($G77&lt;&gt;0,SUMIF(куб!$A:$A,$G77,куб!I:I),SUMIF(куб!$A:$A,$G77,куб!I:I)))))))</f>
        <v>108763.87650000001</v>
      </c>
      <c r="J77" s="19">
        <f t="shared" si="51"/>
        <v>1710.5932309813143</v>
      </c>
      <c r="K77" s="5"/>
      <c r="L77" s="17">
        <f t="shared" si="34"/>
        <v>1.3273947969009304E-7</v>
      </c>
      <c r="M77" s="17">
        <f t="shared" si="35"/>
        <v>2.3190362049692464E-4</v>
      </c>
      <c r="N77" s="12">
        <f t="shared" si="36"/>
        <v>2.3177088101723455E-4</v>
      </c>
      <c r="O77" s="5"/>
      <c r="P77" s="27">
        <f>IF($G77&lt;&gt;0,SUMIF(куб!$G:$G,$G77,куб!J:J),IF($E77&lt;&gt;0,SUMIF(куб!$E:$E,$E77,куб!J:J),IF($D77&lt;&gt;0,SUMIF(куб!$D:$D,$D77,куб!J:J),IF($C77&lt;&gt;0,SUMIF(куб!$C:$C,$C77,куб!J:J),IF($B77&lt;&gt;0,SUMIF(куб!$B:$B,$B77,куб!J:J))))))</f>
        <v>1</v>
      </c>
      <c r="Q77" s="27">
        <f>IF($G77&lt;&gt;0,SUMIF(куб!$G:$G,$G77,куб!K:K),IF($E77&lt;&gt;0,SUMIF(куб!$E:$E,$E77,куб!K:K),IF($D77&lt;&gt;0,SUMIF(куб!$D:$D,$D77,куб!K:K),IF($C77&lt;&gt;0,SUMIF(куб!$C:$C,$C77,куб!K:K),IF($B77&lt;&gt;0,SUMIF(куб!$B:$B,$B77,куб!K:K))))))</f>
        <v>1590</v>
      </c>
      <c r="R77" s="13">
        <f t="shared" si="37"/>
        <v>1589</v>
      </c>
      <c r="S77" s="5"/>
      <c r="T77" s="27">
        <f>IF($G77&lt;&gt;0,SUMIF(куб!$G:$G,$G77,куб!L:L),IF($E77&lt;&gt;0,SUMIF(куб!$E:$E,$E77,куб!L:L),IF($D77&lt;&gt;0,SUMIF(куб!$D:$D,$D77,куб!L:L),IF($C77&lt;&gt;0,SUMIF(куб!$C:$C,$C77,куб!L:L),IF($B77&lt;&gt;0,SUMIF(куб!$B:$B,$B77,куб!L:L))))))</f>
        <v>0.92700000000000005</v>
      </c>
      <c r="U77" s="27">
        <f>IF($G77&lt;&gt;0,SUMIF(куб!$G:$G,$G77,куб!M:M),IF($E77&lt;&gt;0,SUMIF(куб!$E:$E,$E77,куб!M:M),IF($D77&lt;&gt;0,SUMIF(куб!$D:$D,$D77,куб!M:M),IF($C77&lt;&gt;0,SUMIF(куб!$C:$C,$C77,куб!M:M),IF($B77&lt;&gt;0,SUMIF(куб!$B:$B,$B77,куб!M:M))))))</f>
        <v>1473.93</v>
      </c>
      <c r="V77" s="13">
        <f t="shared" si="38"/>
        <v>1589</v>
      </c>
      <c r="W77" s="5"/>
      <c r="X77" s="27">
        <f>IF($G77&lt;&gt;0,SUMIF(куб!$G:$G,$G77,куб!N:N),IF($E77&lt;&gt;0,SUMIF(куб!$E:$E,$E77,куб!N:N),IF($D77&lt;&gt;0,SUMIF(куб!$D:$D,$D77,куб!N:N),IF($C77&lt;&gt;0,SUMIF(куб!$C:$C,$C77,куб!N:N),IF($B77&lt;&gt;0,SUMIF(куб!$B:$B,$B77,куб!N:N))))))</f>
        <v>8.9453999999999994</v>
      </c>
      <c r="Y77" s="27">
        <f>IF($G77&lt;&gt;0,SUMIF(куб!$G:$G,$G77,куб!O:O),IF($E77&lt;&gt;0,SUMIF(куб!$E:$E,$E77,куб!O:O),IF($D77&lt;&gt;0,SUMIF(куб!$D:$D,$D77,куб!O:O),IF($C77&lt;&gt;0,SUMIF(куб!$C:$C,$C77,куб!O:O),IF($B77&lt;&gt;0,SUMIF(куб!$B:$B,$B77,куб!O:O))))))</f>
        <v>17826.085800000015</v>
      </c>
      <c r="Z77" s="13">
        <f t="shared" si="39"/>
        <v>1991.7656449124709</v>
      </c>
      <c r="AA77" s="5"/>
      <c r="AB77" s="33">
        <f t="shared" si="40"/>
        <v>0.14077179465390097</v>
      </c>
      <c r="AC77" s="33">
        <f t="shared" si="41"/>
        <v>0.16389711707268922</v>
      </c>
      <c r="AD77" s="15">
        <f t="shared" si="42"/>
        <v>2.3125322418788258E-2</v>
      </c>
      <c r="AE77" s="5"/>
      <c r="AF77" s="27">
        <f>IF($G77&lt;&gt;0,SUMIF(куб!$G:$G,$G77,куб!R:R),IF($E77&lt;&gt;0,SUMIF(куб!$E:$E,$E77,куб!R:R),IF($D77&lt;&gt;0,SUMIF(куб!$D:$D,$D77,куб!R:R),IF($C77&lt;&gt;0,SUMIF(куб!$C:$C,$C77,куб!R:R),IF($B77&lt;&gt;0,SUMIF(куб!$B:$B,$B77,куб!R:R))))))</f>
        <v>513.34540000000004</v>
      </c>
      <c r="AG77" s="27">
        <f>IF($G77&lt;&gt;0,SUMIF(куб!$G:$G,$G77,куб!S:S),IF($E77&lt;&gt;0,SUMIF(куб!$E:$E,$E77,куб!S:S),IF($D77&lt;&gt;0,SUMIF(куб!$D:$D,$D77,куб!S:S),IF($C77&lt;&gt;0,SUMIF(куб!$C:$C,$C77,куб!S:S),IF($B77&lt;&gt;0,SUMIF(куб!$B:$B,$B77,куб!S:S))))))</f>
        <v>6209.1719000000012</v>
      </c>
      <c r="AH77" s="16">
        <f t="shared" si="43"/>
        <v>11.095505092672498</v>
      </c>
      <c r="AI77" s="8"/>
      <c r="AJ77" s="27">
        <f>IF($G77&lt;&gt;0,SUMIF(куб!$G:$G,$G77,куб!T:T),IF($E77&lt;&gt;0,SUMIF(куб!$E:$E,$E77,куб!T:T),IF($D77&lt;&gt;0,SUMIF(куб!$D:$D,$D77,куб!T:T),IF($C77&lt;&gt;0,SUMIF(куб!$C:$C,$C77,куб!T:T),IF($B77&lt;&gt;0,SUMIF(куб!$B:$B,$B77,куб!T:T))))))</f>
        <v>10</v>
      </c>
      <c r="AK77" s="27">
        <f>IF($G77&lt;&gt;0,SUMIF(куб!$G:$G,$G77,куб!U:U),IF($E77&lt;&gt;0,SUMIF(куб!$E:$E,$E77,куб!U:U),IF($D77&lt;&gt;0,SUMIF(куб!$D:$D,$D77,куб!U:U),IF($C77&lt;&gt;0,SUMIF(куб!$C:$C,$C77,куб!U:U),IF($B77&lt;&gt;0,SUMIF(куб!$B:$B,$B77,куб!U:U))))))</f>
        <v>107</v>
      </c>
      <c r="AL77" s="16">
        <f t="shared" si="44"/>
        <v>9.6999999999999993</v>
      </c>
      <c r="AM77" s="8"/>
      <c r="AN77" s="17">
        <f t="shared" si="45"/>
        <v>8.0784037868988161</v>
      </c>
      <c r="AO77" s="17">
        <f t="shared" si="46"/>
        <v>5.7088549064357785E-2</v>
      </c>
      <c r="AP77" s="16">
        <f t="shared" si="47"/>
        <v>-8.0213152378344574</v>
      </c>
      <c r="AQ77" s="8"/>
      <c r="AR77" s="17">
        <f t="shared" si="48"/>
        <v>-7.9376319922449152</v>
      </c>
      <c r="AS77" s="17">
        <f t="shared" si="49"/>
        <v>0.10680856800833145</v>
      </c>
      <c r="AT77" s="13">
        <f t="shared" si="50"/>
        <v>8.0444405602532463</v>
      </c>
      <c r="AU77" s="8"/>
    </row>
    <row r="78" spans="1:47" ht="15" customHeight="1" x14ac:dyDescent="0.25">
      <c r="A78" s="31" t="s">
        <v>26</v>
      </c>
      <c r="B78" s="31" t="s">
        <v>32</v>
      </c>
      <c r="C78" t="s">
        <v>33</v>
      </c>
      <c r="D78" s="31" t="s">
        <v>34</v>
      </c>
      <c r="E78" t="s">
        <v>35</v>
      </c>
      <c r="F78" s="31" t="s">
        <v>182</v>
      </c>
      <c r="G78" t="s">
        <v>183</v>
      </c>
      <c r="H78" s="27">
        <f>IF($G78&lt;&gt;0,SUMIF(куб!$G:$G,$G78,куб!H:H),IF($E78&lt;&gt;0,SUMIF(куб!$E:$E,$E78,куб!H:H),IF($D78&lt;&gt;0,SUMIF(куб!$D:$D,$D78,куб!H:H),IF($C78&lt;&gt;0,SUMIF(куб!$C:$C,$C78,куб!H:H),IF($B78&lt;&gt;0,SUMIF(куб!$B:$B,$B78,куб!H:H),IF($G78&lt;&gt;0,SUMIF(куб!$A:$A,$G78,куб!H:H),SUMIF(куб!$A:$A,$G78,куб!H:H)))))))</f>
        <v>0</v>
      </c>
      <c r="I78" s="27">
        <f>IF($G78&lt;&gt;0,SUMIF(куб!$G:$G,$G78,куб!I:I),IF($E78&lt;&gt;0,SUMIF(куб!$E:$E,$E78,куб!I:I),IF($D78&lt;&gt;0,SUMIF(куб!$D:$D,$D78,куб!I:I),IF($C78&lt;&gt;0,SUMIF(куб!$C:$C,$C78,куб!I:I),IF($B78&lt;&gt;0,SUMIF(куб!$B:$B,$B78,куб!I:I),IF($G78&lt;&gt;0,SUMIF(куб!$A:$A,$G78,куб!I:I),SUMIF(куб!$A:$A,$G78,куб!I:I)))))))</f>
        <v>56860.599699999992</v>
      </c>
      <c r="J78" s="19" t="str">
        <f t="shared" si="51"/>
        <v>-</v>
      </c>
      <c r="K78" s="8"/>
      <c r="L78" s="17">
        <f t="shared" si="34"/>
        <v>0</v>
      </c>
      <c r="M78" s="17">
        <f t="shared" si="35"/>
        <v>1.2123675027394176E-4</v>
      </c>
      <c r="N78" s="12">
        <f t="shared" si="36"/>
        <v>1.2123675027394176E-4</v>
      </c>
      <c r="O78" s="5"/>
      <c r="P78" s="27">
        <f>IF($G78&lt;&gt;0,SUMIF(куб!$G:$G,$G78,куб!J:J),IF($E78&lt;&gt;0,SUMIF(куб!$E:$E,$E78,куб!J:J),IF($D78&lt;&gt;0,SUMIF(куб!$D:$D,$D78,куб!J:J),IF($C78&lt;&gt;0,SUMIF(куб!$C:$C,$C78,куб!J:J),IF($B78&lt;&gt;0,SUMIF(куб!$B:$B,$B78,куб!J:J))))))</f>
        <v>0</v>
      </c>
      <c r="Q78" s="27">
        <f>IF($G78&lt;&gt;0,SUMIF(куб!$G:$G,$G78,куб!K:K),IF($E78&lt;&gt;0,SUMIF(куб!$E:$E,$E78,куб!K:K),IF($D78&lt;&gt;0,SUMIF(куб!$D:$D,$D78,куб!K:K),IF($C78&lt;&gt;0,SUMIF(куб!$C:$C,$C78,куб!K:K),IF($B78&lt;&gt;0,SUMIF(куб!$B:$B,$B78,куб!K:K))))))</f>
        <v>872</v>
      </c>
      <c r="R78" s="13" t="str">
        <f t="shared" si="37"/>
        <v>-</v>
      </c>
      <c r="S78" s="5"/>
      <c r="T78" s="27">
        <f>IF($G78&lt;&gt;0,SUMIF(куб!$G:$G,$G78,куб!L:L),IF($E78&lt;&gt;0,SUMIF(куб!$E:$E,$E78,куб!L:L),IF($D78&lt;&gt;0,SUMIF(куб!$D:$D,$D78,куб!L:L),IF($C78&lt;&gt;0,SUMIF(куб!$C:$C,$C78,куб!L:L),IF($B78&lt;&gt;0,SUMIF(куб!$B:$B,$B78,куб!L:L))))))</f>
        <v>0</v>
      </c>
      <c r="U78" s="27">
        <f>IF($G78&lt;&gt;0,SUMIF(куб!$G:$G,$G78,куб!M:M),IF($E78&lt;&gt;0,SUMIF(куб!$E:$E,$E78,куб!M:M),IF($D78&lt;&gt;0,SUMIF(куб!$D:$D,$D78,куб!M:M),IF($C78&lt;&gt;0,SUMIF(куб!$C:$C,$C78,куб!M:M),IF($B78&lt;&gt;0,SUMIF(куб!$B:$B,$B78,куб!M:M))))))</f>
        <v>697.59999999999991</v>
      </c>
      <c r="V78" s="13" t="str">
        <f t="shared" si="38"/>
        <v>-</v>
      </c>
      <c r="W78" s="5"/>
      <c r="X78" s="27">
        <f>IF($G78&lt;&gt;0,SUMIF(куб!$G:$G,$G78,куб!N:N),IF($E78&lt;&gt;0,SUMIF(куб!$E:$E,$E78,куб!N:N),IF($D78&lt;&gt;0,SUMIF(куб!$D:$D,$D78,куб!N:N),IF($C78&lt;&gt;0,SUMIF(куб!$C:$C,$C78,куб!N:N),IF($B78&lt;&gt;0,SUMIF(куб!$B:$B,$B78,куб!N:N))))))</f>
        <v>0</v>
      </c>
      <c r="Y78" s="27">
        <f>IF($G78&lt;&gt;0,SUMIF(куб!$G:$G,$G78,куб!O:O),IF($E78&lt;&gt;0,SUMIF(куб!$E:$E,$E78,куб!O:O),IF($D78&lt;&gt;0,SUMIF(куб!$D:$D,$D78,куб!O:O),IF($C78&lt;&gt;0,SUMIF(куб!$C:$C,$C78,куб!O:O),IF($B78&lt;&gt;0,SUMIF(куб!$B:$B,$B78,куб!O:O))))))</f>
        <v>8670.7199999999793</v>
      </c>
      <c r="Z78" s="13" t="str">
        <f t="shared" si="39"/>
        <v>-</v>
      </c>
      <c r="AA78" s="5"/>
      <c r="AB78" s="33" t="str">
        <f t="shared" si="40"/>
        <v/>
      </c>
      <c r="AC78" s="33">
        <f t="shared" si="41"/>
        <v>0.15249082925166513</v>
      </c>
      <c r="AD78" s="15" t="str">
        <f t="shared" si="42"/>
        <v xml:space="preserve"> </v>
      </c>
      <c r="AE78" s="5"/>
      <c r="AF78" s="27">
        <f>IF($G78&lt;&gt;0,SUMIF(куб!$G:$G,$G78,куб!R:R),IF($E78&lt;&gt;0,SUMIF(куб!$E:$E,$E78,куб!R:R),IF($D78&lt;&gt;0,SUMIF(куб!$D:$D,$D78,куб!R:R),IF($C78&lt;&gt;0,SUMIF(куб!$C:$C,$C78,куб!R:R),IF($B78&lt;&gt;0,SUMIF(куб!$B:$B,$B78,куб!R:R))))))</f>
        <v>0</v>
      </c>
      <c r="AG78" s="27">
        <f>IF($G78&lt;&gt;0,SUMIF(куб!$G:$G,$G78,куб!S:S),IF($E78&lt;&gt;0,SUMIF(куб!$E:$E,$E78,куб!S:S),IF($D78&lt;&gt;0,SUMIF(куб!$D:$D,$D78,куб!S:S),IF($C78&lt;&gt;0,SUMIF(куб!$C:$C,$C78,куб!S:S),IF($B78&lt;&gt;0,SUMIF(куб!$B:$B,$B78,куб!S:S))))))</f>
        <v>6963.2167999999992</v>
      </c>
      <c r="AH78" s="16" t="str">
        <f t="shared" si="43"/>
        <v>-</v>
      </c>
      <c r="AI78" s="8"/>
      <c r="AJ78" s="27">
        <f>IF($G78&lt;&gt;0,SUMIF(куб!$G:$G,$G78,куб!T:T),IF($E78&lt;&gt;0,SUMIF(куб!$E:$E,$E78,куб!T:T),IF($D78&lt;&gt;0,SUMIF(куб!$D:$D,$D78,куб!T:T),IF($C78&lt;&gt;0,SUMIF(куб!$C:$C,$C78,куб!T:T),IF($B78&lt;&gt;0,SUMIF(куб!$B:$B,$B78,куб!T:T))))))</f>
        <v>0</v>
      </c>
      <c r="AK78" s="27">
        <f>IF($G78&lt;&gt;0,SUMIF(куб!$G:$G,$G78,куб!U:U),IF($E78&lt;&gt;0,SUMIF(куб!$E:$E,$E78,куб!U:U),IF($D78&lt;&gt;0,SUMIF(куб!$D:$D,$D78,куб!U:U),IF($C78&lt;&gt;0,SUMIF(куб!$C:$C,$C78,куб!U:U),IF($B78&lt;&gt;0,SUMIF(куб!$B:$B,$B78,куб!U:U))))))</f>
        <v>126</v>
      </c>
      <c r="AL78" s="16" t="str">
        <f t="shared" si="44"/>
        <v>-</v>
      </c>
      <c r="AM78" s="8"/>
      <c r="AN78" s="17" t="str">
        <f t="shared" si="45"/>
        <v xml:space="preserve"> </v>
      </c>
      <c r="AO78" s="17">
        <f t="shared" si="46"/>
        <v>0.12246119169932006</v>
      </c>
      <c r="AP78" s="16" t="str">
        <f t="shared" si="47"/>
        <v>-</v>
      </c>
      <c r="AQ78" s="8"/>
      <c r="AR78" s="17" t="str">
        <f t="shared" si="48"/>
        <v>-</v>
      </c>
      <c r="AS78" s="17">
        <f t="shared" si="49"/>
        <v>3.0029637552345063E-2</v>
      </c>
      <c r="AT78" s="13" t="str">
        <f t="shared" si="50"/>
        <v>-</v>
      </c>
      <c r="AU78" s="8"/>
    </row>
    <row r="79" spans="1:47" ht="15" customHeight="1" x14ac:dyDescent="0.25">
      <c r="A79" s="31" t="s">
        <v>26</v>
      </c>
      <c r="B79" s="31" t="s">
        <v>32</v>
      </c>
      <c r="C79" t="s">
        <v>33</v>
      </c>
      <c r="D79" s="31" t="s">
        <v>34</v>
      </c>
      <c r="E79" t="s">
        <v>35</v>
      </c>
      <c r="F79" s="31" t="s">
        <v>184</v>
      </c>
      <c r="G79" t="s">
        <v>185</v>
      </c>
      <c r="H79" s="27">
        <f>IF($G79&lt;&gt;0,SUMIF(куб!$G:$G,$G79,куб!H:H),IF($E79&lt;&gt;0,SUMIF(куб!$E:$E,$E79,куб!H:H),IF($D79&lt;&gt;0,SUMIF(куб!$D:$D,$D79,куб!H:H),IF($C79&lt;&gt;0,SUMIF(куб!$C:$C,$C79,куб!H:H),IF($B79&lt;&gt;0,SUMIF(куб!$B:$B,$B79,куб!H:H),IF($G79&lt;&gt;0,SUMIF(куб!$A:$A,$G79,куб!H:H),SUMIF(куб!$A:$A,$G79,куб!H:H)))))))</f>
        <v>435940.78440000006</v>
      </c>
      <c r="I79" s="27">
        <f>IF($G79&lt;&gt;0,SUMIF(куб!$G:$G,$G79,куб!I:I),IF($E79&lt;&gt;0,SUMIF(куб!$E:$E,$E79,куб!I:I),IF($D79&lt;&gt;0,SUMIF(куб!$D:$D,$D79,куб!I:I),IF($C79&lt;&gt;0,SUMIF(куб!$C:$C,$C79,куб!I:I),IF($B79&lt;&gt;0,SUMIF(куб!$B:$B,$B79,куб!I:I),IF($G79&lt;&gt;0,SUMIF(куб!$A:$A,$G79,куб!I:I),SUMIF(куб!$A:$A,$G79,куб!I:I)))))))</f>
        <v>636269.21909999975</v>
      </c>
      <c r="J79" s="19">
        <f t="shared" si="51"/>
        <v>0.45953129844393531</v>
      </c>
      <c r="K79" s="10"/>
      <c r="L79" s="17">
        <f t="shared" si="34"/>
        <v>9.1063323068148194E-4</v>
      </c>
      <c r="M79" s="17">
        <f t="shared" si="35"/>
        <v>1.3566373346396946E-3</v>
      </c>
      <c r="N79" s="12">
        <f t="shared" si="36"/>
        <v>4.4600410395821265E-4</v>
      </c>
      <c r="O79" s="5"/>
      <c r="P79" s="27">
        <f>IF($G79&lt;&gt;0,SUMIF(куб!$G:$G,$G79,куб!J:J),IF($E79&lt;&gt;0,SUMIF(куб!$E:$E,$E79,куб!J:J),IF($D79&lt;&gt;0,SUMIF(куб!$D:$D,$D79,куб!J:J),IF($C79&lt;&gt;0,SUMIF(куб!$C:$C,$C79,куб!J:J),IF($B79&lt;&gt;0,SUMIF(куб!$B:$B,$B79,куб!J:J))))))</f>
        <v>5927</v>
      </c>
      <c r="Q79" s="27">
        <f>IF($G79&lt;&gt;0,SUMIF(куб!$G:$G,$G79,куб!K:K),IF($E79&lt;&gt;0,SUMIF(куб!$E:$E,$E79,куб!K:K),IF($D79&lt;&gt;0,SUMIF(куб!$D:$D,$D79,куб!K:K),IF($C79&lt;&gt;0,SUMIF(куб!$C:$C,$C79,куб!K:K),IF($B79&lt;&gt;0,SUMIF(куб!$B:$B,$B79,куб!K:K))))))</f>
        <v>8583</v>
      </c>
      <c r="R79" s="13">
        <f t="shared" si="37"/>
        <v>0.44811877847140208</v>
      </c>
      <c r="S79" s="5"/>
      <c r="T79" s="27">
        <f>IF($G79&lt;&gt;0,SUMIF(куб!$G:$G,$G79,куб!L:L),IF($E79&lt;&gt;0,SUMIF(куб!$E:$E,$E79,куб!L:L),IF($D79&lt;&gt;0,SUMIF(куб!$D:$D,$D79,куб!L:L),IF($C79&lt;&gt;0,SUMIF(куб!$C:$C,$C79,куб!L:L),IF($B79&lt;&gt;0,SUMIF(куб!$B:$B,$B79,куб!L:L))))))</f>
        <v>5334.2999999999975</v>
      </c>
      <c r="U79" s="27">
        <f>IF($G79&lt;&gt;0,SUMIF(куб!$G:$G,$G79,куб!M:M),IF($E79&lt;&gt;0,SUMIF(куб!$E:$E,$E79,куб!M:M),IF($D79&lt;&gt;0,SUMIF(куб!$D:$D,$D79,куб!M:M),IF($C79&lt;&gt;0,SUMIF(куб!$C:$C,$C79,куб!M:M),IF($B79&lt;&gt;0,SUMIF(куб!$B:$B,$B79,куб!M:M))))))</f>
        <v>7724.699999999998</v>
      </c>
      <c r="V79" s="13">
        <f t="shared" si="38"/>
        <v>0.44811877847140236</v>
      </c>
      <c r="W79" s="5"/>
      <c r="X79" s="27">
        <f>IF($G79&lt;&gt;0,SUMIF(куб!$G:$G,$G79,куб!N:N),IF($E79&lt;&gt;0,SUMIF(куб!$E:$E,$E79,куб!N:N),IF($D79&lt;&gt;0,SUMIF(куб!$D:$D,$D79,куб!N:N),IF($C79&lt;&gt;0,SUMIF(куб!$C:$C,$C79,куб!N:N),IF($B79&lt;&gt;0,SUMIF(куб!$B:$B,$B79,куб!N:N))))))</f>
        <v>50014.324099999794</v>
      </c>
      <c r="Y79" s="27">
        <f>IF($G79&lt;&gt;0,SUMIF(куб!$G:$G,$G79,куб!O:O),IF($E79&lt;&gt;0,SUMIF(куб!$E:$E,$E79,куб!O:O),IF($D79&lt;&gt;0,SUMIF(куб!$D:$D,$D79,куб!O:O),IF($C79&lt;&gt;0,SUMIF(куб!$C:$C,$C79,куб!O:O),IF($B79&lt;&gt;0,SUMIF(куб!$B:$B,$B79,куб!O:O))))))</f>
        <v>74019.631999999052</v>
      </c>
      <c r="Z79" s="13">
        <f t="shared" si="39"/>
        <v>0.4799686556195879</v>
      </c>
      <c r="AA79" s="5"/>
      <c r="AB79" s="33">
        <f t="shared" si="40"/>
        <v>0.11472733428425649</v>
      </c>
      <c r="AC79" s="33">
        <f t="shared" si="41"/>
        <v>0.11633382501938334</v>
      </c>
      <c r="AD79" s="15">
        <f t="shared" si="42"/>
        <v>1.6064907351268504E-3</v>
      </c>
      <c r="AE79" s="5"/>
      <c r="AF79" s="27">
        <f>IF($G79&lt;&gt;0,SUMIF(куб!$G:$G,$G79,куб!R:R),IF($E79&lt;&gt;0,SUMIF(куб!$E:$E,$E79,куб!R:R),IF($D79&lt;&gt;0,SUMIF(куб!$D:$D,$D79,куб!R:R),IF($C79&lt;&gt;0,SUMIF(куб!$C:$C,$C79,куб!R:R),IF($B79&lt;&gt;0,SUMIF(куб!$B:$B,$B79,куб!R:R))))))</f>
        <v>5313.1057999999994</v>
      </c>
      <c r="AG79" s="27">
        <f>IF($G79&lt;&gt;0,SUMIF(куб!$G:$G,$G79,куб!S:S),IF($E79&lt;&gt;0,SUMIF(куб!$E:$E,$E79,куб!S:S),IF($D79&lt;&gt;0,SUMIF(куб!$D:$D,$D79,куб!S:S),IF($C79&lt;&gt;0,SUMIF(куб!$C:$C,$C79,куб!S:S),IF($B79&lt;&gt;0,SUMIF(куб!$B:$B,$B79,куб!S:S))))))</f>
        <v>8031.1953999999987</v>
      </c>
      <c r="AH79" s="16">
        <f t="shared" si="43"/>
        <v>0.51158205808738078</v>
      </c>
      <c r="AI79" s="8"/>
      <c r="AJ79" s="27">
        <f>IF($G79&lt;&gt;0,SUMIF(куб!$G:$G,$G79,куб!T:T),IF($E79&lt;&gt;0,SUMIF(куб!$E:$E,$E79,куб!T:T),IF($D79&lt;&gt;0,SUMIF(куб!$D:$D,$D79,куб!T:T),IF($C79&lt;&gt;0,SUMIF(куб!$C:$C,$C79,куб!T:T),IF($B79&lt;&gt;0,SUMIF(куб!$B:$B,$B79,куб!T:T))))))</f>
        <v>80</v>
      </c>
      <c r="AK79" s="27">
        <f>IF($G79&lt;&gt;0,SUMIF(куб!$G:$G,$G79,куб!U:U),IF($E79&lt;&gt;0,SUMIF(куб!$E:$E,$E79,куб!U:U),IF($D79&lt;&gt;0,SUMIF(куб!$D:$D,$D79,куб!U:U),IF($C79&lt;&gt;0,SUMIF(куб!$C:$C,$C79,куб!U:U),IF($B79&lt;&gt;0,SUMIF(куб!$B:$B,$B79,куб!U:U))))))</f>
        <v>122</v>
      </c>
      <c r="AL79" s="16">
        <f t="shared" si="44"/>
        <v>0.52500000000000002</v>
      </c>
      <c r="AM79" s="8"/>
      <c r="AN79" s="17">
        <f t="shared" si="45"/>
        <v>1.2187677753786229E-2</v>
      </c>
      <c r="AO79" s="17">
        <f t="shared" si="46"/>
        <v>1.2622322688122635E-2</v>
      </c>
      <c r="AP79" s="16">
        <f t="shared" si="47"/>
        <v>4.3464493433640651E-4</v>
      </c>
      <c r="AQ79" s="8"/>
      <c r="AR79" s="17">
        <f t="shared" si="48"/>
        <v>0.10253965653047027</v>
      </c>
      <c r="AS79" s="17">
        <f t="shared" si="49"/>
        <v>0.10371150233126071</v>
      </c>
      <c r="AT79" s="13">
        <f t="shared" si="50"/>
        <v>1.1718458007904387E-3</v>
      </c>
      <c r="AU79" s="8"/>
    </row>
    <row r="80" spans="1:47" ht="15" customHeight="1" x14ac:dyDescent="0.25">
      <c r="A80" s="31" t="s">
        <v>26</v>
      </c>
      <c r="B80" s="31" t="s">
        <v>32</v>
      </c>
      <c r="C80" t="s">
        <v>33</v>
      </c>
      <c r="D80" s="31" t="s">
        <v>34</v>
      </c>
      <c r="E80" t="s">
        <v>35</v>
      </c>
      <c r="F80" s="31" t="s">
        <v>186</v>
      </c>
      <c r="G80" t="s">
        <v>187</v>
      </c>
      <c r="H80" s="27">
        <f>IF($G80&lt;&gt;0,SUMIF(куб!$G:$G,$G80,куб!H:H),IF($E80&lt;&gt;0,SUMIF(куб!$E:$E,$E80,куб!H:H),IF($D80&lt;&gt;0,SUMIF(куб!$D:$D,$D80,куб!H:H),IF($C80&lt;&gt;0,SUMIF(куб!$C:$C,$C80,куб!H:H),IF($B80&lt;&gt;0,SUMIF(куб!$B:$B,$B80,куб!H:H),IF($G80&lt;&gt;0,SUMIF(куб!$A:$A,$G80,куб!H:H),SUMIF(куб!$A:$A,$G80,куб!H:H)))))))</f>
        <v>171017.72849999997</v>
      </c>
      <c r="I80" s="27">
        <f>IF($G80&lt;&gt;0,SUMIF(куб!$G:$G,$G80,куб!I:I),IF($E80&lt;&gt;0,SUMIF(куб!$E:$E,$E80,куб!I:I),IF($D80&lt;&gt;0,SUMIF(куб!$D:$D,$D80,куб!I:I),IF($C80&lt;&gt;0,SUMIF(куб!$C:$C,$C80,куб!I:I),IF($B80&lt;&gt;0,SUMIF(куб!$B:$B,$B80,куб!I:I),IF($G80&lt;&gt;0,SUMIF(куб!$A:$A,$G80,куб!I:I),SUMIF(куб!$A:$A,$G80,куб!I:I)))))))</f>
        <v>124775.52909999997</v>
      </c>
      <c r="J80" s="19">
        <f t="shared" si="51"/>
        <v>-0.27039418547767696</v>
      </c>
      <c r="K80" s="5"/>
      <c r="L80" s="17">
        <f t="shared" si="34"/>
        <v>3.5723757028630857E-4</v>
      </c>
      <c r="M80" s="17">
        <f t="shared" si="35"/>
        <v>2.6604326619150399E-4</v>
      </c>
      <c r="N80" s="12">
        <f t="shared" si="36"/>
        <v>-9.1194304094804576E-5</v>
      </c>
      <c r="O80" s="5"/>
      <c r="P80" s="27">
        <f>IF($G80&lt;&gt;0,SUMIF(куб!$G:$G,$G80,куб!J:J),IF($E80&lt;&gt;0,SUMIF(куб!$E:$E,$E80,куб!J:J),IF($D80&lt;&gt;0,SUMIF(куб!$D:$D,$D80,куб!J:J),IF($C80&lt;&gt;0,SUMIF(куб!$C:$C,$C80,куб!J:J),IF($B80&lt;&gt;0,SUMIF(куб!$B:$B,$B80,куб!J:J))))))</f>
        <v>2417</v>
      </c>
      <c r="Q80" s="27">
        <f>IF($G80&lt;&gt;0,SUMIF(куб!$G:$G,$G80,куб!K:K),IF($E80&lt;&gt;0,SUMIF(куб!$E:$E,$E80,куб!K:K),IF($D80&lt;&gt;0,SUMIF(куб!$D:$D,$D80,куб!K:K),IF($C80&lt;&gt;0,SUMIF(куб!$C:$C,$C80,куб!K:K),IF($B80&lt;&gt;0,SUMIF(куб!$B:$B,$B80,куб!K:K))))))</f>
        <v>1712</v>
      </c>
      <c r="R80" s="13">
        <f t="shared" si="37"/>
        <v>-0.2916839056681837</v>
      </c>
      <c r="S80" s="5"/>
      <c r="T80" s="27">
        <f>IF($G80&lt;&gt;0,SUMIF(куб!$G:$G,$G80,куб!L:L),IF($E80&lt;&gt;0,SUMIF(куб!$E:$E,$E80,куб!L:L),IF($D80&lt;&gt;0,SUMIF(куб!$D:$D,$D80,куб!L:L),IF($C80&lt;&gt;0,SUMIF(куб!$C:$C,$C80,куб!L:L),IF($B80&lt;&gt;0,SUMIF(куб!$B:$B,$B80,куб!L:L))))))</f>
        <v>2175.2999999999993</v>
      </c>
      <c r="U80" s="27">
        <f>IF($G80&lt;&gt;0,SUMIF(куб!$G:$G,$G80,куб!M:M),IF($E80&lt;&gt;0,SUMIF(куб!$E:$E,$E80,куб!M:M),IF($D80&lt;&gt;0,SUMIF(куб!$D:$D,$D80,куб!M:M),IF($C80&lt;&gt;0,SUMIF(куб!$C:$C,$C80,куб!M:M),IF($B80&lt;&gt;0,SUMIF(куб!$B:$B,$B80,куб!M:M))))))</f>
        <v>1540.7999999999997</v>
      </c>
      <c r="V80" s="13">
        <f t="shared" si="38"/>
        <v>-0.29168390566818359</v>
      </c>
      <c r="W80" s="5"/>
      <c r="X80" s="27">
        <f>IF($G80&lt;&gt;0,SUMIF(куб!$G:$G,$G80,куб!N:N),IF($E80&lt;&gt;0,SUMIF(куб!$E:$E,$E80,куб!N:N),IF($D80&lt;&gt;0,SUMIF(куб!$D:$D,$D80,куб!N:N),IF($C80&lt;&gt;0,SUMIF(куб!$C:$C,$C80,куб!N:N),IF($B80&lt;&gt;0,SUMIF(куб!$B:$B,$B80,куб!N:N))))))</f>
        <v>20768.248199999944</v>
      </c>
      <c r="Y80" s="27">
        <f>IF($G80&lt;&gt;0,SUMIF(куб!$G:$G,$G80,куб!O:O),IF($E80&lt;&gt;0,SUMIF(куб!$E:$E,$E80,куб!O:O),IF($D80&lt;&gt;0,SUMIF(куб!$D:$D,$D80,куб!O:O),IF($C80&lt;&gt;0,SUMIF(куб!$C:$C,$C80,куб!O:O),IF($B80&lt;&gt;0,SUMIF(куб!$B:$B,$B80,куб!O:O))))))</f>
        <v>28996.929099999979</v>
      </c>
      <c r="Z80" s="13">
        <f t="shared" si="39"/>
        <v>0.39621449150439458</v>
      </c>
      <c r="AA80" s="5"/>
      <c r="AB80" s="33">
        <f t="shared" si="40"/>
        <v>0.12143915360213632</v>
      </c>
      <c r="AC80" s="33">
        <f t="shared" si="41"/>
        <v>0.23239275608890195</v>
      </c>
      <c r="AD80" s="15">
        <f t="shared" si="42"/>
        <v>0.11095360248676563</v>
      </c>
      <c r="AE80" s="5"/>
      <c r="AF80" s="27">
        <f>IF($G80&lt;&gt;0,SUMIF(куб!$G:$G,$G80,куб!R:R),IF($E80&lt;&gt;0,SUMIF(куб!$E:$E,$E80,куб!R:R),IF($D80&lt;&gt;0,SUMIF(куб!$D:$D,$D80,куб!R:R),IF($C80&lt;&gt;0,SUMIF(куб!$C:$C,$C80,куб!R:R),IF($B80&lt;&gt;0,SUMIF(куб!$B:$B,$B80,куб!R:R))))))</f>
        <v>18338.267799999994</v>
      </c>
      <c r="AG80" s="27">
        <f>IF($G80&lt;&gt;0,SUMIF(куб!$G:$G,$G80,куб!S:S),IF($E80&lt;&gt;0,SUMIF(куб!$E:$E,$E80,куб!S:S),IF($D80&lt;&gt;0,SUMIF(куб!$D:$D,$D80,куб!S:S),IF($C80&lt;&gt;0,SUMIF(куб!$C:$C,$C80,куб!S:S),IF($B80&lt;&gt;0,SUMIF(куб!$B:$B,$B80,куб!S:S))))))</f>
        <v>15888.505699999998</v>
      </c>
      <c r="AH80" s="16">
        <f t="shared" si="43"/>
        <v>-0.13358743185111502</v>
      </c>
      <c r="AI80" s="8"/>
      <c r="AJ80" s="27">
        <f>IF($G80&lt;&gt;0,SUMIF(куб!$G:$G,$G80,куб!T:T),IF($E80&lt;&gt;0,SUMIF(куб!$E:$E,$E80,куб!T:T),IF($D80&lt;&gt;0,SUMIF(куб!$D:$D,$D80,куб!T:T),IF($C80&lt;&gt;0,SUMIF(куб!$C:$C,$C80,куб!T:T),IF($B80&lt;&gt;0,SUMIF(куб!$B:$B,$B80,куб!T:T))))))</f>
        <v>295</v>
      </c>
      <c r="AK80" s="27">
        <f>IF($G80&lt;&gt;0,SUMIF(куб!$G:$G,$G80,куб!U:U),IF($E80&lt;&gt;0,SUMIF(куб!$E:$E,$E80,куб!U:U),IF($D80&lt;&gt;0,SUMIF(куб!$D:$D,$D80,куб!U:U),IF($C80&lt;&gt;0,SUMIF(куб!$C:$C,$C80,куб!U:U),IF($B80&lt;&gt;0,SUMIF(куб!$B:$B,$B80,куб!U:U))))))</f>
        <v>284</v>
      </c>
      <c r="AL80" s="16">
        <f t="shared" si="44"/>
        <v>-3.7288135593220341E-2</v>
      </c>
      <c r="AM80" s="8"/>
      <c r="AN80" s="17">
        <f t="shared" si="45"/>
        <v>0.10723021502416925</v>
      </c>
      <c r="AO80" s="17">
        <f t="shared" si="46"/>
        <v>0.12733671269200814</v>
      </c>
      <c r="AP80" s="16">
        <f t="shared" si="47"/>
        <v>2.0106497667838882E-2</v>
      </c>
      <c r="AQ80" s="8"/>
      <c r="AR80" s="17">
        <f t="shared" si="48"/>
        <v>1.4208938577967078E-2</v>
      </c>
      <c r="AS80" s="17">
        <f t="shared" si="49"/>
        <v>0.1050560433968938</v>
      </c>
      <c r="AT80" s="13">
        <f t="shared" si="50"/>
        <v>9.0847104818926716E-2</v>
      </c>
      <c r="AU80" s="8"/>
    </row>
    <row r="81" spans="1:47" ht="15" customHeight="1" x14ac:dyDescent="0.25">
      <c r="A81" s="31" t="s">
        <v>26</v>
      </c>
      <c r="B81" s="31" t="s">
        <v>32</v>
      </c>
      <c r="C81" t="s">
        <v>33</v>
      </c>
      <c r="D81" s="31" t="s">
        <v>34</v>
      </c>
      <c r="E81" t="s">
        <v>35</v>
      </c>
      <c r="F81" s="31" t="s">
        <v>188</v>
      </c>
      <c r="G81" t="s">
        <v>189</v>
      </c>
      <c r="H81" s="27">
        <f>IF($G81&lt;&gt;0,SUMIF(куб!$G:$G,$G81,куб!H:H),IF($E81&lt;&gt;0,SUMIF(куб!$E:$E,$E81,куб!H:H),IF($D81&lt;&gt;0,SUMIF(куб!$D:$D,$D81,куб!H:H),IF($C81&lt;&gt;0,SUMIF(куб!$C:$C,$C81,куб!H:H),IF($B81&lt;&gt;0,SUMIF(куб!$B:$B,$B81,куб!H:H),IF($G81&lt;&gt;0,SUMIF(куб!$A:$A,$G81,куб!H:H),SUMIF(куб!$A:$A,$G81,куб!H:H)))))))</f>
        <v>636505.35390000057</v>
      </c>
      <c r="I81" s="27">
        <f>IF($G81&lt;&gt;0,SUMIF(куб!$G:$G,$G81,куб!I:I),IF($E81&lt;&gt;0,SUMIF(куб!$E:$E,$E81,куб!I:I),IF($D81&lt;&gt;0,SUMIF(куб!$D:$D,$D81,куб!I:I),IF($C81&lt;&gt;0,SUMIF(куб!$C:$C,$C81,куб!I:I),IF($B81&lt;&gt;0,SUMIF(куб!$B:$B,$B81,куб!I:I),IF($G81&lt;&gt;0,SUMIF(куб!$A:$A,$G81,куб!I:I),SUMIF(куб!$A:$A,$G81,куб!I:I)))))))</f>
        <v>888126.41190000041</v>
      </c>
      <c r="J81" s="19">
        <f t="shared" si="51"/>
        <v>0.39531648313445494</v>
      </c>
      <c r="K81" s="5"/>
      <c r="L81" s="17">
        <f t="shared" si="34"/>
        <v>1.3295909616847894E-3</v>
      </c>
      <c r="M81" s="17">
        <f t="shared" si="35"/>
        <v>1.8936409496084212E-3</v>
      </c>
      <c r="N81" s="12">
        <f t="shared" si="36"/>
        <v>5.6404998792363185E-4</v>
      </c>
      <c r="O81" s="5"/>
      <c r="P81" s="27">
        <f>IF($G81&lt;&gt;0,SUMIF(куб!$G:$G,$G81,куб!J:J),IF($E81&lt;&gt;0,SUMIF(куб!$E:$E,$E81,куб!J:J),IF($D81&lt;&gt;0,SUMIF(куб!$D:$D,$D81,куб!J:J),IF($C81&lt;&gt;0,SUMIF(куб!$C:$C,$C81,куб!J:J),IF($B81&lt;&gt;0,SUMIF(куб!$B:$B,$B81,куб!J:J))))))</f>
        <v>7385</v>
      </c>
      <c r="Q81" s="27">
        <f>IF($G81&lt;&gt;0,SUMIF(куб!$G:$G,$G81,куб!K:K),IF($E81&lt;&gt;0,SUMIF(куб!$E:$E,$E81,куб!K:K),IF($D81&lt;&gt;0,SUMIF(куб!$D:$D,$D81,куб!K:K),IF($C81&lt;&gt;0,SUMIF(куб!$C:$C,$C81,куб!K:K),IF($B81&lt;&gt;0,SUMIF(куб!$B:$B,$B81,куб!K:K))))))</f>
        <v>9799</v>
      </c>
      <c r="R81" s="13">
        <f t="shared" si="37"/>
        <v>0.32687880839539607</v>
      </c>
      <c r="S81" s="5"/>
      <c r="T81" s="27">
        <f>IF($G81&lt;&gt;0,SUMIF(куб!$G:$G,$G81,куб!L:L),IF($E81&lt;&gt;0,SUMIF(куб!$E:$E,$E81,куб!L:L),IF($D81&lt;&gt;0,SUMIF(куб!$D:$D,$D81,куб!L:L),IF($C81&lt;&gt;0,SUMIF(куб!$C:$C,$C81,куб!L:L),IF($B81&lt;&gt;0,SUMIF(куб!$B:$B,$B81,куб!L:L))))))</f>
        <v>7385</v>
      </c>
      <c r="U81" s="27">
        <f>IF($G81&lt;&gt;0,SUMIF(куб!$G:$G,$G81,куб!M:M),IF($E81&lt;&gt;0,SUMIF(куб!$E:$E,$E81,куб!M:M),IF($D81&lt;&gt;0,SUMIF(куб!$D:$D,$D81,куб!M:M),IF($C81&lt;&gt;0,SUMIF(куб!$C:$C,$C81,куб!M:M),IF($B81&lt;&gt;0,SUMIF(куб!$B:$B,$B81,куб!M:M))))))</f>
        <v>9799</v>
      </c>
      <c r="V81" s="13">
        <f t="shared" si="38"/>
        <v>0.32687880839539607</v>
      </c>
      <c r="W81" s="5"/>
      <c r="X81" s="27">
        <f>IF($G81&lt;&gt;0,SUMIF(куб!$G:$G,$G81,куб!N:N),IF($E81&lt;&gt;0,SUMIF(куб!$E:$E,$E81,куб!N:N),IF($D81&lt;&gt;0,SUMIF(куб!$D:$D,$D81,куб!N:N),IF($C81&lt;&gt;0,SUMIF(куб!$C:$C,$C81,куб!N:N),IF($B81&lt;&gt;0,SUMIF(куб!$B:$B,$B81,куб!N:N))))))</f>
        <v>83357.481200000388</v>
      </c>
      <c r="Y81" s="27">
        <f>IF($G81&lt;&gt;0,SUMIF(куб!$G:$G,$G81,куб!O:O),IF($E81&lt;&gt;0,SUMIF(куб!$E:$E,$E81,куб!O:O),IF($D81&lt;&gt;0,SUMIF(куб!$D:$D,$D81,куб!O:O),IF($C81&lt;&gt;0,SUMIF(куб!$C:$C,$C81,куб!O:O),IF($B81&lt;&gt;0,SUMIF(куб!$B:$B,$B81,куб!O:O))))))</f>
        <v>154153.72050000064</v>
      </c>
      <c r="Z81" s="13">
        <f t="shared" si="39"/>
        <v>0.849308763662594</v>
      </c>
      <c r="AA81" s="5"/>
      <c r="AB81" s="33">
        <f t="shared" si="40"/>
        <v>0.13096116268190328</v>
      </c>
      <c r="AC81" s="33">
        <f t="shared" si="41"/>
        <v>0.17357182314870481</v>
      </c>
      <c r="AD81" s="15">
        <f t="shared" si="42"/>
        <v>4.2610660466801537E-2</v>
      </c>
      <c r="AE81" s="5"/>
      <c r="AF81" s="27">
        <f>IF($G81&lt;&gt;0,SUMIF(куб!$G:$G,$G81,куб!R:R),IF($E81&lt;&gt;0,SUMIF(куб!$E:$E,$E81,куб!R:R),IF($D81&lt;&gt;0,SUMIF(куб!$D:$D,$D81,куб!R:R),IF($C81&lt;&gt;0,SUMIF(куб!$C:$C,$C81,куб!R:R),IF($B81&lt;&gt;0,SUMIF(куб!$B:$B,$B81,куб!R:R))))))</f>
        <v>9287.4</v>
      </c>
      <c r="AG81" s="27">
        <f>IF($G81&lt;&gt;0,SUMIF(куб!$G:$G,$G81,куб!S:S),IF($E81&lt;&gt;0,SUMIF(куб!$E:$E,$E81,куб!S:S),IF($D81&lt;&gt;0,SUMIF(куб!$D:$D,$D81,куб!S:S),IF($C81&lt;&gt;0,SUMIF(куб!$C:$C,$C81,куб!S:S),IF($B81&lt;&gt;0,SUMIF(куб!$B:$B,$B81,куб!S:S))))))</f>
        <v>9287.6000000000022</v>
      </c>
      <c r="AH81" s="16">
        <f t="shared" si="43"/>
        <v>2.1534552189261429E-5</v>
      </c>
      <c r="AI81" s="8"/>
      <c r="AJ81" s="27">
        <f>IF($G81&lt;&gt;0,SUMIF(куб!$G:$G,$G81,куб!T:T),IF($E81&lt;&gt;0,SUMIF(куб!$E:$E,$E81,куб!T:T),IF($D81&lt;&gt;0,SUMIF(куб!$D:$D,$D81,куб!T:T),IF($C81&lt;&gt;0,SUMIF(куб!$C:$C,$C81,куб!T:T),IF($B81&lt;&gt;0,SUMIF(куб!$B:$B,$B81,куб!T:T))))))</f>
        <v>124</v>
      </c>
      <c r="AK81" s="27">
        <f>IF($G81&lt;&gt;0,SUMIF(куб!$G:$G,$G81,куб!U:U),IF($E81&lt;&gt;0,SUMIF(куб!$E:$E,$E81,куб!U:U),IF($D81&lt;&gt;0,SUMIF(куб!$D:$D,$D81,куб!U:U),IF($C81&lt;&gt;0,SUMIF(куб!$C:$C,$C81,куб!U:U),IF($B81&lt;&gt;0,SUMIF(куб!$B:$B,$B81,куб!U:U))))))</f>
        <v>124</v>
      </c>
      <c r="AL81" s="16">
        <f t="shared" si="44"/>
        <v>0</v>
      </c>
      <c r="AM81" s="8"/>
      <c r="AN81" s="17">
        <f t="shared" si="45"/>
        <v>1.4591236260770109E-2</v>
      </c>
      <c r="AO81" s="17">
        <f t="shared" si="46"/>
        <v>1.045752032093124E-2</v>
      </c>
      <c r="AP81" s="16">
        <f t="shared" si="47"/>
        <v>-4.1337159398388695E-3</v>
      </c>
      <c r="AQ81" s="8"/>
      <c r="AR81" s="17">
        <f t="shared" si="48"/>
        <v>0.11636992642113317</v>
      </c>
      <c r="AS81" s="17">
        <f t="shared" si="49"/>
        <v>0.16311430282777356</v>
      </c>
      <c r="AT81" s="13">
        <f t="shared" si="50"/>
        <v>4.6744376406640392E-2</v>
      </c>
      <c r="AU81" s="8"/>
    </row>
    <row r="82" spans="1:47" ht="15" customHeight="1" x14ac:dyDescent="0.25">
      <c r="A82" s="31" t="s">
        <v>26</v>
      </c>
      <c r="B82" s="31" t="s">
        <v>32</v>
      </c>
      <c r="C82" t="s">
        <v>33</v>
      </c>
      <c r="D82" s="31" t="s">
        <v>34</v>
      </c>
      <c r="E82" t="s">
        <v>35</v>
      </c>
      <c r="F82" s="31" t="s">
        <v>190</v>
      </c>
      <c r="G82" t="s">
        <v>191</v>
      </c>
      <c r="H82" s="27">
        <f>IF($G82&lt;&gt;0,SUMIF(куб!$G:$G,$G82,куб!H:H),IF($E82&lt;&gt;0,SUMIF(куб!$E:$E,$E82,куб!H:H),IF($D82&lt;&gt;0,SUMIF(куб!$D:$D,$D82,куб!H:H),IF($C82&lt;&gt;0,SUMIF(куб!$C:$C,$C82,куб!H:H),IF($B82&lt;&gt;0,SUMIF(куб!$B:$B,$B82,куб!H:H),IF($G82&lt;&gt;0,SUMIF(куб!$A:$A,$G82,куб!H:H),SUMIF(куб!$A:$A,$G82,куб!H:H)))))))</f>
        <v>151939.39789999998</v>
      </c>
      <c r="I82" s="27">
        <f>IF($G82&lt;&gt;0,SUMIF(куб!$G:$G,$G82,куб!I:I),IF($E82&lt;&gt;0,SUMIF(куб!$E:$E,$E82,куб!I:I),IF($D82&lt;&gt;0,SUMIF(куб!$D:$D,$D82,куб!I:I),IF($C82&lt;&gt;0,SUMIF(куб!$C:$C,$C82,куб!I:I),IF($B82&lt;&gt;0,SUMIF(куб!$B:$B,$B82,куб!I:I),IF($G82&lt;&gt;0,SUMIF(куб!$A:$A,$G82,куб!I:I),SUMIF(куб!$A:$A,$G82,куб!I:I)))))))</f>
        <v>166089.91449999984</v>
      </c>
      <c r="J82" s="19">
        <f t="shared" si="51"/>
        <v>9.3132635745424783E-2</v>
      </c>
      <c r="K82" s="8"/>
      <c r="L82" s="17">
        <f t="shared" si="34"/>
        <v>3.1738499752416406E-4</v>
      </c>
      <c r="M82" s="17">
        <f t="shared" si="35"/>
        <v>3.5413276668724305E-4</v>
      </c>
      <c r="N82" s="12">
        <f t="shared" si="36"/>
        <v>3.6747769163078992E-5</v>
      </c>
      <c r="O82" s="5"/>
      <c r="P82" s="27">
        <f>IF($G82&lt;&gt;0,SUMIF(куб!$G:$G,$G82,куб!J:J),IF($E82&lt;&gt;0,SUMIF(куб!$E:$E,$E82,куб!J:J),IF($D82&lt;&gt;0,SUMIF(куб!$D:$D,$D82,куб!J:J),IF($C82&lt;&gt;0,SUMIF(куб!$C:$C,$C82,куб!J:J),IF($B82&lt;&gt;0,SUMIF(куб!$B:$B,$B82,куб!J:J))))))</f>
        <v>3020</v>
      </c>
      <c r="Q82" s="27">
        <f>IF($G82&lt;&gt;0,SUMIF(куб!$G:$G,$G82,куб!K:K),IF($E82&lt;&gt;0,SUMIF(куб!$E:$E,$E82,куб!K:K),IF($D82&lt;&gt;0,SUMIF(куб!$D:$D,$D82,куб!K:K),IF($C82&lt;&gt;0,SUMIF(куб!$C:$C,$C82,куб!K:K),IF($B82&lt;&gt;0,SUMIF(куб!$B:$B,$B82,куб!K:K))))))</f>
        <v>3229</v>
      </c>
      <c r="R82" s="13">
        <f t="shared" si="37"/>
        <v>6.9205298013245028E-2</v>
      </c>
      <c r="S82" s="5"/>
      <c r="T82" s="27">
        <f>IF($G82&lt;&gt;0,SUMIF(куб!$G:$G,$G82,куб!L:L),IF($E82&lt;&gt;0,SUMIF(куб!$E:$E,$E82,куб!L:L),IF($D82&lt;&gt;0,SUMIF(куб!$D:$D,$D82,куб!L:L),IF($C82&lt;&gt;0,SUMIF(куб!$C:$C,$C82,куб!L:L),IF($B82&lt;&gt;0,SUMIF(куб!$B:$B,$B82,куб!L:L))))))</f>
        <v>1510</v>
      </c>
      <c r="U82" s="27">
        <f>IF($G82&lt;&gt;0,SUMIF(куб!$G:$G,$G82,куб!M:M),IF($E82&lt;&gt;0,SUMIF(куб!$E:$E,$E82,куб!M:M),IF($D82&lt;&gt;0,SUMIF(куб!$D:$D,$D82,куб!M:M),IF($C82&lt;&gt;0,SUMIF(куб!$C:$C,$C82,куб!M:M),IF($B82&lt;&gt;0,SUMIF(куб!$B:$B,$B82,куб!M:M))))))</f>
        <v>1614.5</v>
      </c>
      <c r="V82" s="13">
        <f t="shared" si="38"/>
        <v>6.9205298013245028E-2</v>
      </c>
      <c r="W82" s="5"/>
      <c r="X82" s="27">
        <f>IF($G82&lt;&gt;0,SUMIF(куб!$G:$G,$G82,куб!N:N),IF($E82&lt;&gt;0,SUMIF(куб!$E:$E,$E82,куб!N:N),IF($D82&lt;&gt;0,SUMIF(куб!$D:$D,$D82,куб!N:N),IF($C82&lt;&gt;0,SUMIF(куб!$C:$C,$C82,куб!N:N),IF($B82&lt;&gt;0,SUMIF(куб!$B:$B,$B82,куб!N:N))))))</f>
        <v>19059.39790000004</v>
      </c>
      <c r="Y82" s="27">
        <f>IF($G82&lt;&gt;0,SUMIF(куб!$G:$G,$G82,куб!O:O),IF($E82&lt;&gt;0,SUMIF(куб!$E:$E,$E82,куб!O:O),IF($D82&lt;&gt;0,SUMIF(куб!$D:$D,$D82,куб!O:O),IF($C82&lt;&gt;0,SUMIF(куб!$C:$C,$C82,куб!O:O),IF($B82&lt;&gt;0,SUMIF(куб!$B:$B,$B82,куб!O:O))))))</f>
        <v>20301.418799999781</v>
      </c>
      <c r="Z82" s="13">
        <f t="shared" si="39"/>
        <v>6.5165799387594439E-2</v>
      </c>
      <c r="AA82" s="5"/>
      <c r="AB82" s="33">
        <f t="shared" si="40"/>
        <v>0.12544078865275035</v>
      </c>
      <c r="AC82" s="33">
        <f t="shared" si="41"/>
        <v>0.12223149648258624</v>
      </c>
      <c r="AD82" s="15">
        <f t="shared" si="42"/>
        <v>-3.2092921701641075E-3</v>
      </c>
      <c r="AE82" s="5"/>
      <c r="AF82" s="27">
        <f>IF($G82&lt;&gt;0,SUMIF(куб!$G:$G,$G82,куб!R:R),IF($E82&lt;&gt;0,SUMIF(куб!$E:$E,$E82,куб!R:R),IF($D82&lt;&gt;0,SUMIF(куб!$D:$D,$D82,куб!R:R),IF($C82&lt;&gt;0,SUMIF(куб!$C:$C,$C82,куб!R:R),IF($B82&lt;&gt;0,SUMIF(куб!$B:$B,$B82,куб!R:R))))))</f>
        <v>14483.618</v>
      </c>
      <c r="AG82" s="27">
        <f>IF($G82&lt;&gt;0,SUMIF(куб!$G:$G,$G82,куб!S:S),IF($E82&lt;&gt;0,SUMIF(куб!$E:$E,$E82,куб!S:S),IF($D82&lt;&gt;0,SUMIF(куб!$D:$D,$D82,куб!S:S),IF($C82&lt;&gt;0,SUMIF(куб!$C:$C,$C82,куб!S:S),IF($B82&lt;&gt;0,SUMIF(куб!$B:$B,$B82,куб!S:S))))))</f>
        <v>12777.234200000001</v>
      </c>
      <c r="AH82" s="16">
        <f t="shared" si="43"/>
        <v>-0.11781474766871092</v>
      </c>
      <c r="AI82" s="8"/>
      <c r="AJ82" s="27">
        <f>IF($G82&lt;&gt;0,SUMIF(куб!$G:$G,$G82,куб!T:T),IF($E82&lt;&gt;0,SUMIF(куб!$E:$E,$E82,куб!T:T),IF($D82&lt;&gt;0,SUMIF(куб!$D:$D,$D82,куб!T:T),IF($C82&lt;&gt;0,SUMIF(куб!$C:$C,$C82,куб!T:T),IF($B82&lt;&gt;0,SUMIF(куб!$B:$B,$B82,куб!T:T))))))</f>
        <v>329</v>
      </c>
      <c r="AK82" s="27">
        <f>IF($G82&lt;&gt;0,SUMIF(куб!$G:$G,$G82,куб!U:U),IF($E82&lt;&gt;0,SUMIF(куб!$E:$E,$E82,куб!U:U),IF($D82&lt;&gt;0,SUMIF(куб!$D:$D,$D82,куб!U:U),IF($C82&lt;&gt;0,SUMIF(куб!$C:$C,$C82,куб!U:U),IF($B82&lt;&gt;0,SUMIF(куб!$B:$B,$B82,куб!U:U))))))</f>
        <v>279</v>
      </c>
      <c r="AL82" s="16">
        <f t="shared" si="44"/>
        <v>-0.1519756838905775</v>
      </c>
      <c r="AM82" s="8"/>
      <c r="AN82" s="17">
        <f t="shared" si="45"/>
        <v>9.5324966402279013E-2</v>
      </c>
      <c r="AO82" s="17">
        <f t="shared" si="46"/>
        <v>7.6929621154088884E-2</v>
      </c>
      <c r="AP82" s="16">
        <f t="shared" si="47"/>
        <v>-1.8395345248190129E-2</v>
      </c>
      <c r="AQ82" s="8"/>
      <c r="AR82" s="17">
        <f t="shared" si="48"/>
        <v>3.0115822250471352E-2</v>
      </c>
      <c r="AS82" s="17">
        <f t="shared" si="49"/>
        <v>4.5301875328497374E-2</v>
      </c>
      <c r="AT82" s="13">
        <f t="shared" si="50"/>
        <v>1.5186053078026021E-2</v>
      </c>
      <c r="AU82" s="8"/>
    </row>
    <row r="83" spans="1:47" ht="15" customHeight="1" x14ac:dyDescent="0.25">
      <c r="A83" s="31" t="s">
        <v>26</v>
      </c>
      <c r="B83" s="31" t="s">
        <v>32</v>
      </c>
      <c r="C83" t="s">
        <v>33</v>
      </c>
      <c r="D83" s="31" t="s">
        <v>34</v>
      </c>
      <c r="E83" t="s">
        <v>35</v>
      </c>
      <c r="F83" s="31" t="s">
        <v>192</v>
      </c>
      <c r="G83" t="s">
        <v>193</v>
      </c>
      <c r="H83" s="27">
        <f>IF($G83&lt;&gt;0,SUMIF(куб!$G:$G,$G83,куб!H:H),IF($E83&lt;&gt;0,SUMIF(куб!$E:$E,$E83,куб!H:H),IF($D83&lt;&gt;0,SUMIF(куб!$D:$D,$D83,куб!H:H),IF($C83&lt;&gt;0,SUMIF(куб!$C:$C,$C83,куб!H:H),IF($B83&lt;&gt;0,SUMIF(куб!$B:$B,$B83,куб!H:H),IF($G83&lt;&gt;0,SUMIF(куб!$A:$A,$G83,куб!H:H),SUMIF(куб!$A:$A,$G83,куб!H:H)))))))</f>
        <v>0</v>
      </c>
      <c r="I83" s="27">
        <f>IF($G83&lt;&gt;0,SUMIF(куб!$G:$G,$G83,куб!I:I),IF($E83&lt;&gt;0,SUMIF(куб!$E:$E,$E83,куб!I:I),IF($D83&lt;&gt;0,SUMIF(куб!$D:$D,$D83,куб!I:I),IF($C83&lt;&gt;0,SUMIF(куб!$C:$C,$C83,куб!I:I),IF($B83&lt;&gt;0,SUMIF(куб!$B:$B,$B83,куб!I:I),IF($G83&lt;&gt;0,SUMIF(куб!$A:$A,$G83,куб!I:I),SUMIF(куб!$A:$A,$G83,куб!I:I)))))))</f>
        <v>489261.07519999996</v>
      </c>
      <c r="J83" s="19" t="str">
        <f t="shared" si="51"/>
        <v>-</v>
      </c>
      <c r="K83" s="10"/>
      <c r="L83" s="17">
        <f t="shared" si="34"/>
        <v>0</v>
      </c>
      <c r="M83" s="17">
        <f t="shared" si="35"/>
        <v>1.0431902425535383E-3</v>
      </c>
      <c r="N83" s="12">
        <f t="shared" si="36"/>
        <v>1.0431902425535383E-3</v>
      </c>
      <c r="O83" s="5"/>
      <c r="P83" s="27">
        <f>IF($G83&lt;&gt;0,SUMIF(куб!$G:$G,$G83,куб!J:J),IF($E83&lt;&gt;0,SUMIF(куб!$E:$E,$E83,куб!J:J),IF($D83&lt;&gt;0,SUMIF(куб!$D:$D,$D83,куб!J:J),IF($C83&lt;&gt;0,SUMIF(куб!$C:$C,$C83,куб!J:J),IF($B83&lt;&gt;0,SUMIF(куб!$B:$B,$B83,куб!J:J))))))</f>
        <v>0</v>
      </c>
      <c r="Q83" s="27">
        <f>IF($G83&lt;&gt;0,SUMIF(куб!$G:$G,$G83,куб!K:K),IF($E83&lt;&gt;0,SUMIF(куб!$E:$E,$E83,куб!K:K),IF($D83&lt;&gt;0,SUMIF(куб!$D:$D,$D83,куб!K:K),IF($C83&lt;&gt;0,SUMIF(куб!$C:$C,$C83,куб!K:K),IF($B83&lt;&gt;0,SUMIF(куб!$B:$B,$B83,куб!K:K))))))</f>
        <v>3961</v>
      </c>
      <c r="R83" s="13" t="str">
        <f t="shared" si="37"/>
        <v>-</v>
      </c>
      <c r="S83" s="5"/>
      <c r="T83" s="27">
        <f>IF($G83&lt;&gt;0,SUMIF(куб!$G:$G,$G83,куб!L:L),IF($E83&lt;&gt;0,SUMIF(куб!$E:$E,$E83,куб!L:L),IF($D83&lt;&gt;0,SUMIF(куб!$D:$D,$D83,куб!L:L),IF($C83&lt;&gt;0,SUMIF(куб!$C:$C,$C83,куб!L:L),IF($B83&lt;&gt;0,SUMIF(куб!$B:$B,$B83,куб!L:L))))))</f>
        <v>0</v>
      </c>
      <c r="U83" s="27">
        <f>IF($G83&lt;&gt;0,SUMIF(куб!$G:$G,$G83,куб!M:M),IF($E83&lt;&gt;0,SUMIF(куб!$E:$E,$E83,куб!M:M),IF($D83&lt;&gt;0,SUMIF(куб!$D:$D,$D83,куб!M:M),IF($C83&lt;&gt;0,SUMIF(куб!$C:$C,$C83,куб!M:M),IF($B83&lt;&gt;0,SUMIF(куб!$B:$B,$B83,куб!M:M))))))</f>
        <v>5826.6310000000003</v>
      </c>
      <c r="V83" s="13" t="str">
        <f t="shared" si="38"/>
        <v>-</v>
      </c>
      <c r="W83" s="5"/>
      <c r="X83" s="27">
        <f>IF($G83&lt;&gt;0,SUMIF(куб!$G:$G,$G83,куб!N:N),IF($E83&lt;&gt;0,SUMIF(куб!$E:$E,$E83,куб!N:N),IF($D83&lt;&gt;0,SUMIF(куб!$D:$D,$D83,куб!N:N),IF($C83&lt;&gt;0,SUMIF(куб!$C:$C,$C83,куб!N:N),IF($B83&lt;&gt;0,SUMIF(куб!$B:$B,$B83,куб!N:N))))))</f>
        <v>0</v>
      </c>
      <c r="Y83" s="27">
        <f>IF($G83&lt;&gt;0,SUMIF(куб!$G:$G,$G83,куб!O:O),IF($E83&lt;&gt;0,SUMIF(куб!$E:$E,$E83,куб!O:O),IF($D83&lt;&gt;0,SUMIF(куб!$D:$D,$D83,куб!O:O),IF($C83&lt;&gt;0,SUMIF(куб!$C:$C,$C83,куб!O:O),IF($B83&lt;&gt;0,SUMIF(куб!$B:$B,$B83,куб!O:O))))))</f>
        <v>79405.62069999997</v>
      </c>
      <c r="Z83" s="13" t="str">
        <f t="shared" si="39"/>
        <v>-</v>
      </c>
      <c r="AA83" s="5"/>
      <c r="AB83" s="33" t="str">
        <f t="shared" si="40"/>
        <v/>
      </c>
      <c r="AC83" s="33">
        <f t="shared" si="41"/>
        <v>0.16229703265795378</v>
      </c>
      <c r="AD83" s="15" t="str">
        <f t="shared" si="42"/>
        <v xml:space="preserve"> </v>
      </c>
      <c r="AE83" s="5"/>
      <c r="AF83" s="27">
        <f>IF($G83&lt;&gt;0,SUMIF(куб!$G:$G,$G83,куб!R:R),IF($E83&lt;&gt;0,SUMIF(куб!$E:$E,$E83,куб!R:R),IF($D83&lt;&gt;0,SUMIF(куб!$D:$D,$D83,куб!R:R),IF($C83&lt;&gt;0,SUMIF(куб!$C:$C,$C83,куб!R:R),IF($B83&lt;&gt;0,SUMIF(куб!$B:$B,$B83,куб!R:R))))))</f>
        <v>0</v>
      </c>
      <c r="AG83" s="27">
        <f>IF($G83&lt;&gt;0,SUMIF(куб!$G:$G,$G83,куб!S:S),IF($E83&lt;&gt;0,SUMIF(куб!$E:$E,$E83,куб!S:S),IF($D83&lt;&gt;0,SUMIF(куб!$D:$D,$D83,куб!S:S),IF($C83&lt;&gt;0,SUMIF(куб!$C:$C,$C83,куб!S:S),IF($B83&lt;&gt;0,SUMIF(куб!$B:$B,$B83,куб!S:S))))))</f>
        <v>1241.6724000000002</v>
      </c>
      <c r="AH83" s="16" t="str">
        <f t="shared" si="43"/>
        <v>-</v>
      </c>
      <c r="AI83" s="8"/>
      <c r="AJ83" s="27">
        <f>IF($G83&lt;&gt;0,SUMIF(куб!$G:$G,$G83,куб!T:T),IF($E83&lt;&gt;0,SUMIF(куб!$E:$E,$E83,куб!T:T),IF($D83&lt;&gt;0,SUMIF(куб!$D:$D,$D83,куб!T:T),IF($C83&lt;&gt;0,SUMIF(куб!$C:$C,$C83,куб!T:T),IF($B83&lt;&gt;0,SUMIF(куб!$B:$B,$B83,куб!T:T))))))</f>
        <v>0</v>
      </c>
      <c r="AK83" s="27">
        <f>IF($G83&lt;&gt;0,SUMIF(куб!$G:$G,$G83,куб!U:U),IF($E83&lt;&gt;0,SUMIF(куб!$E:$E,$E83,куб!U:U),IF($D83&lt;&gt;0,SUMIF(куб!$D:$D,$D83,куб!U:U),IF($C83&lt;&gt;0,SUMIF(куб!$C:$C,$C83,куб!U:U),IF($B83&lt;&gt;0,SUMIF(куб!$B:$B,$B83,куб!U:U))))))</f>
        <v>12</v>
      </c>
      <c r="AL83" s="16" t="str">
        <f t="shared" si="44"/>
        <v>-</v>
      </c>
      <c r="AM83" s="8"/>
      <c r="AN83" s="17" t="str">
        <f t="shared" si="45"/>
        <v xml:space="preserve"> </v>
      </c>
      <c r="AO83" s="17">
        <f t="shared" si="46"/>
        <v>2.5378524124209756E-3</v>
      </c>
      <c r="AP83" s="16" t="str">
        <f t="shared" si="47"/>
        <v>-</v>
      </c>
      <c r="AQ83" s="8"/>
      <c r="AR83" s="17" t="str">
        <f t="shared" si="48"/>
        <v>-</v>
      </c>
      <c r="AS83" s="17">
        <f t="shared" si="49"/>
        <v>0.15975918024553282</v>
      </c>
      <c r="AT83" s="13" t="str">
        <f t="shared" si="50"/>
        <v>-</v>
      </c>
      <c r="AU83" s="8"/>
    </row>
    <row r="84" spans="1:47" ht="15" customHeight="1" x14ac:dyDescent="0.25">
      <c r="A84" s="31" t="s">
        <v>26</v>
      </c>
      <c r="B84" s="31" t="s">
        <v>32</v>
      </c>
      <c r="C84" t="s">
        <v>33</v>
      </c>
      <c r="D84" s="31" t="s">
        <v>34</v>
      </c>
      <c r="E84" t="s">
        <v>35</v>
      </c>
      <c r="F84" s="31" t="s">
        <v>194</v>
      </c>
      <c r="G84" t="s">
        <v>195</v>
      </c>
      <c r="H84" s="27">
        <f>IF($G84&lt;&gt;0,SUMIF(куб!$G:$G,$G84,куб!H:H),IF($E84&lt;&gt;0,SUMIF(куб!$E:$E,$E84,куб!H:H),IF($D84&lt;&gt;0,SUMIF(куб!$D:$D,$D84,куб!H:H),IF($C84&lt;&gt;0,SUMIF(куб!$C:$C,$C84,куб!H:H),IF($B84&lt;&gt;0,SUMIF(куб!$B:$B,$B84,куб!H:H),IF($G84&lt;&gt;0,SUMIF(куб!$A:$A,$G84,куб!H:H),SUMIF(куб!$A:$A,$G84,куб!H:H)))))))</f>
        <v>454222.79879999999</v>
      </c>
      <c r="I84" s="27">
        <f>IF($G84&lt;&gt;0,SUMIF(куб!$G:$G,$G84,куб!I:I),IF($E84&lt;&gt;0,SUMIF(куб!$E:$E,$E84,куб!I:I),IF($D84&lt;&gt;0,SUMIF(куб!$D:$D,$D84,куб!I:I),IF($C84&lt;&gt;0,SUMIF(куб!$C:$C,$C84,куб!I:I),IF($B84&lt;&gt;0,SUMIF(куб!$B:$B,$B84,куб!I:I),IF($G84&lt;&gt;0,SUMIF(куб!$A:$A,$G84,куб!I:I),SUMIF(куб!$A:$A,$G84,куб!I:I)))))))</f>
        <v>333712.99660000001</v>
      </c>
      <c r="J84" s="19">
        <f t="shared" si="51"/>
        <v>-0.26530989311494679</v>
      </c>
      <c r="K84" s="5"/>
      <c r="L84" s="17">
        <f t="shared" si="34"/>
        <v>9.4882238487899704E-4</v>
      </c>
      <c r="M84" s="17">
        <f t="shared" si="35"/>
        <v>7.115345150319085E-4</v>
      </c>
      <c r="N84" s="12">
        <f t="shared" si="36"/>
        <v>-2.3728786984708854E-4</v>
      </c>
      <c r="O84" s="5"/>
      <c r="P84" s="27">
        <f>IF($G84&lt;&gt;0,SUMIF(куб!$G:$G,$G84,куб!J:J),IF($E84&lt;&gt;0,SUMIF(куб!$E:$E,$E84,куб!J:J),IF($D84&lt;&gt;0,SUMIF(куб!$D:$D,$D84,куб!J:J),IF($C84&lt;&gt;0,SUMIF(куб!$C:$C,$C84,куб!J:J),IF($B84&lt;&gt;0,SUMIF(куб!$B:$B,$B84,куб!J:J))))))</f>
        <v>5379</v>
      </c>
      <c r="Q84" s="27">
        <f>IF($G84&lt;&gt;0,SUMIF(куб!$G:$G,$G84,куб!K:K),IF($E84&lt;&gt;0,SUMIF(куб!$E:$E,$E84,куб!K:K),IF($D84&lt;&gt;0,SUMIF(куб!$D:$D,$D84,куб!K:K),IF($C84&lt;&gt;0,SUMIF(куб!$C:$C,$C84,куб!K:K),IF($B84&lt;&gt;0,SUMIF(куб!$B:$B,$B84,куб!K:K))))))</f>
        <v>3995</v>
      </c>
      <c r="R84" s="13">
        <f t="shared" si="37"/>
        <v>-0.25729689533370514</v>
      </c>
      <c r="S84" s="5"/>
      <c r="T84" s="27">
        <f>IF($G84&lt;&gt;0,SUMIF(куб!$G:$G,$G84,куб!L:L),IF($E84&lt;&gt;0,SUMIF(куб!$E:$E,$E84,куб!L:L),IF($D84&lt;&gt;0,SUMIF(куб!$D:$D,$D84,куб!L:L),IF($C84&lt;&gt;0,SUMIF(куб!$C:$C,$C84,куб!L:L),IF($B84&lt;&gt;0,SUMIF(куб!$B:$B,$B84,куб!L:L))))))</f>
        <v>5002.4700000000021</v>
      </c>
      <c r="U84" s="27">
        <f>IF($G84&lt;&gt;0,SUMIF(куб!$G:$G,$G84,куб!M:M),IF($E84&lt;&gt;0,SUMIF(куб!$E:$E,$E84,куб!M:M),IF($D84&lt;&gt;0,SUMIF(куб!$D:$D,$D84,куб!M:M),IF($C84&lt;&gt;0,SUMIF(куб!$C:$C,$C84,куб!M:M),IF($B84&lt;&gt;0,SUMIF(куб!$B:$B,$B84,куб!M:M))))))</f>
        <v>3823.2150000000006</v>
      </c>
      <c r="V84" s="13">
        <f t="shared" si="38"/>
        <v>-0.23573454713371614</v>
      </c>
      <c r="W84" s="5"/>
      <c r="X84" s="27">
        <f>IF($G84&lt;&gt;0,SUMIF(куб!$G:$G,$G84,куб!N:N),IF($E84&lt;&gt;0,SUMIF(куб!$E:$E,$E84,куб!N:N),IF($D84&lt;&gt;0,SUMIF(куб!$D:$D,$D84,куб!N:N),IF($C84&lt;&gt;0,SUMIF(куб!$C:$C,$C84,куб!N:N),IF($B84&lt;&gt;0,SUMIF(куб!$B:$B,$B84,куб!N:N))))))</f>
        <v>56616.917600000044</v>
      </c>
      <c r="Y84" s="27">
        <f>IF($G84&lt;&gt;0,SUMIF(куб!$G:$G,$G84,куб!O:O),IF($E84&lt;&gt;0,SUMIF(куб!$E:$E,$E84,куб!O:O),IF($D84&lt;&gt;0,SUMIF(куб!$D:$D,$D84,куб!O:O),IF($C84&lt;&gt;0,SUMIF(куб!$C:$C,$C84,куб!O:O),IF($B84&lt;&gt;0,SUMIF(куб!$B:$B,$B84,куб!O:O))))))</f>
        <v>22505.266500000027</v>
      </c>
      <c r="Z84" s="13">
        <f t="shared" si="39"/>
        <v>-0.60249926251725139</v>
      </c>
      <c r="AA84" s="5"/>
      <c r="AB84" s="33">
        <f t="shared" si="40"/>
        <v>0.12464569755101436</v>
      </c>
      <c r="AC84" s="33">
        <f t="shared" si="41"/>
        <v>6.7438987181478047E-2</v>
      </c>
      <c r="AD84" s="15">
        <f t="shared" si="42"/>
        <v>-5.7206710369536312E-2</v>
      </c>
      <c r="AE84" s="5"/>
      <c r="AF84" s="27">
        <f>IF($G84&lt;&gt;0,SUMIF(куб!$G:$G,$G84,куб!R:R),IF($E84&lt;&gt;0,SUMIF(куб!$E:$E,$E84,куб!R:R),IF($D84&lt;&gt;0,SUMIF(куб!$D:$D,$D84,куб!R:R),IF($C84&lt;&gt;0,SUMIF(куб!$C:$C,$C84,куб!R:R),IF($B84&lt;&gt;0,SUMIF(куб!$B:$B,$B84,куб!R:R))))))</f>
        <v>813.09909999999991</v>
      </c>
      <c r="AG84" s="27">
        <f>IF($G84&lt;&gt;0,SUMIF(куб!$G:$G,$G84,куб!S:S),IF($E84&lt;&gt;0,SUMIF(куб!$E:$E,$E84,куб!S:S),IF($D84&lt;&gt;0,SUMIF(куб!$D:$D,$D84,куб!S:S),IF($C84&lt;&gt;0,SUMIF(куб!$C:$C,$C84,куб!S:S),IF($B84&lt;&gt;0,SUMIF(куб!$B:$B,$B84,куб!S:S))))))</f>
        <v>77.890900000000002</v>
      </c>
      <c r="AH84" s="16">
        <f t="shared" si="43"/>
        <v>-0.904204911799804</v>
      </c>
      <c r="AI84" s="8"/>
      <c r="AJ84" s="27">
        <f>IF($G84&lt;&gt;0,SUMIF(куб!$G:$G,$G84,куб!T:T),IF($E84&lt;&gt;0,SUMIF(куб!$E:$E,$E84,куб!T:T),IF($D84&lt;&gt;0,SUMIF(куб!$D:$D,$D84,куб!T:T),IF($C84&lt;&gt;0,SUMIF(куб!$C:$C,$C84,куб!T:T),IF($B84&lt;&gt;0,SUMIF(куб!$B:$B,$B84,куб!T:T))))))</f>
        <v>11</v>
      </c>
      <c r="AK84" s="27">
        <f>IF($G84&lt;&gt;0,SUMIF(куб!$G:$G,$G84,куб!U:U),IF($E84&lt;&gt;0,SUMIF(куб!$E:$E,$E84,куб!U:U),IF($D84&lt;&gt;0,SUMIF(куб!$D:$D,$D84,куб!U:U),IF($C84&lt;&gt;0,SUMIF(куб!$C:$C,$C84,куб!U:U),IF($B84&lt;&gt;0,SUMIF(куб!$B:$B,$B84,куб!U:U))))))</f>
        <v>1</v>
      </c>
      <c r="AL84" s="16">
        <f t="shared" si="44"/>
        <v>-0.90909090909090906</v>
      </c>
      <c r="AM84" s="8"/>
      <c r="AN84" s="17">
        <f t="shared" si="45"/>
        <v>1.7900887012895575E-3</v>
      </c>
      <c r="AO84" s="17">
        <f t="shared" si="46"/>
        <v>2.3340685197634881E-4</v>
      </c>
      <c r="AP84" s="16">
        <f t="shared" si="47"/>
        <v>-1.5566818493132086E-3</v>
      </c>
      <c r="AQ84" s="8"/>
      <c r="AR84" s="17">
        <f t="shared" si="48"/>
        <v>0.1228556088497248</v>
      </c>
      <c r="AS84" s="17">
        <f t="shared" si="49"/>
        <v>6.7205580329501705E-2</v>
      </c>
      <c r="AT84" s="13">
        <f t="shared" si="50"/>
        <v>-5.5650028520223091E-2</v>
      </c>
      <c r="AU84" s="8"/>
    </row>
    <row r="85" spans="1:47" ht="15" customHeight="1" x14ac:dyDescent="0.25">
      <c r="A85" s="31" t="s">
        <v>26</v>
      </c>
      <c r="B85" s="31" t="s">
        <v>32</v>
      </c>
      <c r="C85" t="s">
        <v>33</v>
      </c>
      <c r="D85" s="31" t="s">
        <v>34</v>
      </c>
      <c r="E85" t="s">
        <v>35</v>
      </c>
      <c r="F85" s="31" t="s">
        <v>196</v>
      </c>
      <c r="G85" t="s">
        <v>197</v>
      </c>
      <c r="H85" s="27">
        <f>IF($G85&lt;&gt;0,SUMIF(куб!$G:$G,$G85,куб!H:H),IF($E85&lt;&gt;0,SUMIF(куб!$E:$E,$E85,куб!H:H),IF($D85&lt;&gt;0,SUMIF(куб!$D:$D,$D85,куб!H:H),IF($C85&lt;&gt;0,SUMIF(куб!$C:$C,$C85,куб!H:H),IF($B85&lt;&gt;0,SUMIF(куб!$B:$B,$B85,куб!H:H),IF($G85&lt;&gt;0,SUMIF(куб!$A:$A,$G85,куб!H:H),SUMIF(куб!$A:$A,$G85,куб!H:H)))))))</f>
        <v>245069.16309999995</v>
      </c>
      <c r="I85" s="27">
        <f>IF($G85&lt;&gt;0,SUMIF(куб!$G:$G,$G85,куб!I:I),IF($E85&lt;&gt;0,SUMIF(куб!$E:$E,$E85,куб!I:I),IF($D85&lt;&gt;0,SUMIF(куб!$D:$D,$D85,куб!I:I),IF($C85&lt;&gt;0,SUMIF(куб!$C:$C,$C85,куб!I:I),IF($B85&lt;&gt;0,SUMIF(куб!$B:$B,$B85,куб!I:I),IF($G85&lt;&gt;0,SUMIF(куб!$A:$A,$G85,куб!I:I),SUMIF(куб!$A:$A,$G85,куб!I:I)))))))</f>
        <v>588576.43450000021</v>
      </c>
      <c r="J85" s="19">
        <f t="shared" si="51"/>
        <v>1.4016748050012022</v>
      </c>
      <c r="K85" s="5"/>
      <c r="L85" s="17">
        <f t="shared" si="34"/>
        <v>5.1192302193361818E-4</v>
      </c>
      <c r="M85" s="17">
        <f t="shared" si="35"/>
        <v>1.2549479707053386E-3</v>
      </c>
      <c r="N85" s="12">
        <f t="shared" si="36"/>
        <v>7.4302494877172037E-4</v>
      </c>
      <c r="O85" s="5"/>
      <c r="P85" s="27">
        <f>IF($G85&lt;&gt;0,SUMIF(куб!$G:$G,$G85,куб!J:J),IF($E85&lt;&gt;0,SUMIF(куб!$E:$E,$E85,куб!J:J),IF($D85&lt;&gt;0,SUMIF(куб!$D:$D,$D85,куб!J:J),IF($C85&lt;&gt;0,SUMIF(куб!$C:$C,$C85,куб!J:J),IF($B85&lt;&gt;0,SUMIF(куб!$B:$B,$B85,куб!J:J))))))</f>
        <v>2929</v>
      </c>
      <c r="Q85" s="27">
        <f>IF($G85&lt;&gt;0,SUMIF(куб!$G:$G,$G85,куб!K:K),IF($E85&lt;&gt;0,SUMIF(куб!$E:$E,$E85,куб!K:K),IF($D85&lt;&gt;0,SUMIF(куб!$D:$D,$D85,куб!K:K),IF($C85&lt;&gt;0,SUMIF(куб!$C:$C,$C85,куб!K:K),IF($B85&lt;&gt;0,SUMIF(куб!$B:$B,$B85,куб!K:K))))))</f>
        <v>7319</v>
      </c>
      <c r="R85" s="13">
        <f t="shared" si="37"/>
        <v>1.4988050529190851</v>
      </c>
      <c r="S85" s="5"/>
      <c r="T85" s="27">
        <f>IF($G85&lt;&gt;0,SUMIF(куб!$G:$G,$G85,куб!L:L),IF($E85&lt;&gt;0,SUMIF(куб!$E:$E,$E85,куб!L:L),IF($D85&lt;&gt;0,SUMIF(куб!$D:$D,$D85,куб!L:L),IF($C85&lt;&gt;0,SUMIF(куб!$C:$C,$C85,куб!L:L),IF($B85&lt;&gt;0,SUMIF(куб!$B:$B,$B85,куб!L:L))))))</f>
        <v>2706.3959999999997</v>
      </c>
      <c r="U85" s="27">
        <f>IF($G85&lt;&gt;0,SUMIF(куб!$G:$G,$G85,куб!M:M),IF($E85&lt;&gt;0,SUMIF(куб!$E:$E,$E85,куб!M:M),IF($D85&lt;&gt;0,SUMIF(куб!$D:$D,$D85,куб!M:M),IF($C85&lt;&gt;0,SUMIF(куб!$C:$C,$C85,куб!M:M),IF($B85&lt;&gt;0,SUMIF(куб!$B:$B,$B85,куб!M:M))))))</f>
        <v>6762.7559999999976</v>
      </c>
      <c r="V85" s="13">
        <f t="shared" si="38"/>
        <v>1.4988050529190844</v>
      </c>
      <c r="W85" s="5"/>
      <c r="X85" s="27">
        <f>IF($G85&lt;&gt;0,SUMIF(куб!$G:$G,$G85,куб!N:N),IF($E85&lt;&gt;0,SUMIF(куб!$E:$E,$E85,куб!N:N),IF($D85&lt;&gt;0,SUMIF(куб!$D:$D,$D85,куб!N:N),IF($C85&lt;&gt;0,SUMIF(куб!$C:$C,$C85,куб!N:N),IF($B85&lt;&gt;0,SUMIF(куб!$B:$B,$B85,куб!N:N))))))</f>
        <v>43287.714500000176</v>
      </c>
      <c r="Y85" s="27">
        <f>IF($G85&lt;&gt;0,SUMIF(куб!$G:$G,$G85,куб!O:O),IF($E85&lt;&gt;0,SUMIF(куб!$E:$E,$E85,куб!O:O),IF($D85&lt;&gt;0,SUMIF(куб!$D:$D,$D85,куб!O:O),IF($C85&lt;&gt;0,SUMIF(куб!$C:$C,$C85,куб!O:O),IF($B85&lt;&gt;0,SUMIF(куб!$B:$B,$B85,куб!O:O))))))</f>
        <v>84363.929300000542</v>
      </c>
      <c r="Z85" s="13">
        <f t="shared" si="39"/>
        <v>0.94891160862743629</v>
      </c>
      <c r="AA85" s="5"/>
      <c r="AB85" s="33">
        <f t="shared" si="40"/>
        <v>0.1766346852963166</v>
      </c>
      <c r="AC85" s="33">
        <f t="shared" si="41"/>
        <v>0.14333555398232736</v>
      </c>
      <c r="AD85" s="15">
        <f t="shared" si="42"/>
        <v>-3.3299131313989233E-2</v>
      </c>
      <c r="AE85" s="5"/>
      <c r="AF85" s="27">
        <f>IF($G85&lt;&gt;0,SUMIF(куб!$G:$G,$G85,куб!R:R),IF($E85&lt;&gt;0,SUMIF(куб!$E:$E,$E85,куб!R:R),IF($D85&lt;&gt;0,SUMIF(куб!$D:$D,$D85,куб!R:R),IF($C85&lt;&gt;0,SUMIF(куб!$C:$C,$C85,куб!R:R),IF($B85&lt;&gt;0,SUMIF(куб!$B:$B,$B85,куб!R:R))))))</f>
        <v>413.34540000000004</v>
      </c>
      <c r="AG85" s="27">
        <f>IF($G85&lt;&gt;0,SUMIF(куб!$G:$G,$G85,куб!S:S),IF($E85&lt;&gt;0,SUMIF(куб!$E:$E,$E85,куб!S:S),IF($D85&lt;&gt;0,SUMIF(куб!$D:$D,$D85,куб!S:S),IF($C85&lt;&gt;0,SUMIF(куб!$C:$C,$C85,куб!S:S),IF($B85&lt;&gt;0,SUMIF(куб!$B:$B,$B85,куб!S:S))))))</f>
        <v>5649.0537999999997</v>
      </c>
      <c r="AH85" s="16">
        <f t="shared" si="43"/>
        <v>12.666666666666664</v>
      </c>
      <c r="AI85" s="8"/>
      <c r="AJ85" s="27">
        <f>IF($G85&lt;&gt;0,SUMIF(куб!$G:$G,$G85,куб!T:T),IF($E85&lt;&gt;0,SUMIF(куб!$E:$E,$E85,куб!T:T),IF($D85&lt;&gt;0,SUMIF(куб!$D:$D,$D85,куб!T:T),IF($C85&lt;&gt;0,SUMIF(куб!$C:$C,$C85,куб!T:T),IF($B85&lt;&gt;0,SUMIF(куб!$B:$B,$B85,куб!T:T))))))</f>
        <v>6</v>
      </c>
      <c r="AK85" s="27">
        <f>IF($G85&lt;&gt;0,SUMIF(куб!$G:$G,$G85,куб!U:U),IF($E85&lt;&gt;0,SUMIF(куб!$E:$E,$E85,куб!U:U),IF($D85&lt;&gt;0,SUMIF(куб!$D:$D,$D85,куб!U:U),IF($C85&lt;&gt;0,SUMIF(куб!$C:$C,$C85,куб!U:U),IF($B85&lt;&gt;0,SUMIF(куб!$B:$B,$B85,куб!U:U))))))</f>
        <v>82</v>
      </c>
      <c r="AL85" s="16">
        <f t="shared" si="44"/>
        <v>12.666666666666666</v>
      </c>
      <c r="AM85" s="8"/>
      <c r="AN85" s="17">
        <f t="shared" si="45"/>
        <v>1.686647943671866E-3</v>
      </c>
      <c r="AO85" s="17">
        <f t="shared" si="46"/>
        <v>9.5978253101466939E-3</v>
      </c>
      <c r="AP85" s="16">
        <f t="shared" si="47"/>
        <v>7.9111773664748281E-3</v>
      </c>
      <c r="AQ85" s="8"/>
      <c r="AR85" s="17">
        <f t="shared" si="48"/>
        <v>0.17494803735264475</v>
      </c>
      <c r="AS85" s="17">
        <f t="shared" si="49"/>
        <v>0.13373772867218067</v>
      </c>
      <c r="AT85" s="13">
        <f t="shared" si="50"/>
        <v>-4.1210308680464075E-2</v>
      </c>
      <c r="AU85" s="8"/>
    </row>
    <row r="86" spans="1:47" ht="15" customHeight="1" x14ac:dyDescent="0.25">
      <c r="A86" s="31" t="s">
        <v>26</v>
      </c>
      <c r="B86" s="31" t="s">
        <v>32</v>
      </c>
      <c r="C86" t="s">
        <v>33</v>
      </c>
      <c r="D86" s="31" t="s">
        <v>34</v>
      </c>
      <c r="E86" t="s">
        <v>35</v>
      </c>
      <c r="F86" s="31" t="s">
        <v>198</v>
      </c>
      <c r="G86" t="s">
        <v>199</v>
      </c>
      <c r="H86" s="27">
        <f>IF($G86&lt;&gt;0,SUMIF(куб!$G:$G,$G86,куб!H:H),IF($E86&lt;&gt;0,SUMIF(куб!$E:$E,$E86,куб!H:H),IF($D86&lt;&gt;0,SUMIF(куб!$D:$D,$D86,куб!H:H),IF($C86&lt;&gt;0,SUMIF(куб!$C:$C,$C86,куб!H:H),IF($B86&lt;&gt;0,SUMIF(куб!$B:$B,$B86,куб!H:H),IF($G86&lt;&gt;0,SUMIF(куб!$A:$A,$G86,куб!H:H),SUMIF(куб!$A:$A,$G86,куб!H:H)))))))</f>
        <v>75598.075899999938</v>
      </c>
      <c r="I86" s="27">
        <f>IF($G86&lt;&gt;0,SUMIF(куб!$G:$G,$G86,куб!I:I),IF($E86&lt;&gt;0,SUMIF(куб!$E:$E,$E86,куб!I:I),IF($D86&lt;&gt;0,SUMIF(куб!$D:$D,$D86,куб!I:I),IF($C86&lt;&gt;0,SUMIF(куб!$C:$C,$C86,куб!I:I),IF($B86&lt;&gt;0,SUMIF(куб!$B:$B,$B86,куб!I:I),IF($G86&lt;&gt;0,SUMIF(куб!$A:$A,$G86,куб!I:I),SUMIF(куб!$A:$A,$G86,куб!I:I)))))))</f>
        <v>0</v>
      </c>
      <c r="J86" s="19">
        <f t="shared" si="51"/>
        <v>-1</v>
      </c>
      <c r="K86" s="8"/>
      <c r="L86" s="17">
        <f t="shared" si="34"/>
        <v>1.5791621833426424E-4</v>
      </c>
      <c r="M86" s="17">
        <f t="shared" si="35"/>
        <v>0</v>
      </c>
      <c r="N86" s="12">
        <f t="shared" si="36"/>
        <v>-1.5791621833426424E-4</v>
      </c>
      <c r="O86" s="5"/>
      <c r="P86" s="27">
        <f>IF($G86&lt;&gt;0,SUMIF(куб!$G:$G,$G86,куб!J:J),IF($E86&lt;&gt;0,SUMIF(куб!$E:$E,$E86,куб!J:J),IF($D86&lt;&gt;0,SUMIF(куб!$D:$D,$D86,куб!J:J),IF($C86&lt;&gt;0,SUMIF(куб!$C:$C,$C86,куб!J:J),IF($B86&lt;&gt;0,SUMIF(куб!$B:$B,$B86,куб!J:J))))))</f>
        <v>921</v>
      </c>
      <c r="Q86" s="27">
        <f>IF($G86&lt;&gt;0,SUMIF(куб!$G:$G,$G86,куб!K:K),IF($E86&lt;&gt;0,SUMIF(куб!$E:$E,$E86,куб!K:K),IF($D86&lt;&gt;0,SUMIF(куб!$D:$D,$D86,куб!K:K),IF($C86&lt;&gt;0,SUMIF(куб!$C:$C,$C86,куб!K:K),IF($B86&lt;&gt;0,SUMIF(куб!$B:$B,$B86,куб!K:K))))))</f>
        <v>0</v>
      </c>
      <c r="R86" s="13">
        <f t="shared" si="37"/>
        <v>-1</v>
      </c>
      <c r="S86" s="5"/>
      <c r="T86" s="27">
        <f>IF($G86&lt;&gt;0,SUMIF(куб!$G:$G,$G86,куб!L:L),IF($E86&lt;&gt;0,SUMIF(куб!$E:$E,$E86,куб!L:L),IF($D86&lt;&gt;0,SUMIF(куб!$D:$D,$D86,куб!L:L),IF($C86&lt;&gt;0,SUMIF(куб!$C:$C,$C86,куб!L:L),IF($B86&lt;&gt;0,SUMIF(куб!$B:$B,$B86,куб!L:L))))))</f>
        <v>880.476</v>
      </c>
      <c r="U86" s="27">
        <f>IF($G86&lt;&gt;0,SUMIF(куб!$G:$G,$G86,куб!M:M),IF($E86&lt;&gt;0,SUMIF(куб!$E:$E,$E86,куб!M:M),IF($D86&lt;&gt;0,SUMIF(куб!$D:$D,$D86,куб!M:M),IF($C86&lt;&gt;0,SUMIF(куб!$C:$C,$C86,куб!M:M),IF($B86&lt;&gt;0,SUMIF(куб!$B:$B,$B86,куб!M:M))))))</f>
        <v>0</v>
      </c>
      <c r="V86" s="13">
        <f t="shared" si="38"/>
        <v>-1</v>
      </c>
      <c r="W86" s="5"/>
      <c r="X86" s="27">
        <f>IF($G86&lt;&gt;0,SUMIF(куб!$G:$G,$G86,куб!N:N),IF($E86&lt;&gt;0,SUMIF(куб!$E:$E,$E86,куб!N:N),IF($D86&lt;&gt;0,SUMIF(куб!$D:$D,$D86,куб!N:N),IF($C86&lt;&gt;0,SUMIF(куб!$C:$C,$C86,куб!N:N),IF($B86&lt;&gt;0,SUMIF(куб!$B:$B,$B86,куб!N:N))))))</f>
        <v>10282.183499999934</v>
      </c>
      <c r="Y86" s="27">
        <f>IF($G86&lt;&gt;0,SUMIF(куб!$G:$G,$G86,куб!O:O),IF($E86&lt;&gt;0,SUMIF(куб!$E:$E,$E86,куб!O:O),IF($D86&lt;&gt;0,SUMIF(куб!$D:$D,$D86,куб!O:O),IF($C86&lt;&gt;0,SUMIF(куб!$C:$C,$C86,куб!O:O),IF($B86&lt;&gt;0,SUMIF(куб!$B:$B,$B86,куб!O:O))))))</f>
        <v>0</v>
      </c>
      <c r="Z86" s="13">
        <f t="shared" si="39"/>
        <v>-1</v>
      </c>
      <c r="AA86" s="5"/>
      <c r="AB86" s="33">
        <f t="shared" si="40"/>
        <v>0.13601117988242267</v>
      </c>
      <c r="AC86" s="33" t="str">
        <f t="shared" si="41"/>
        <v/>
      </c>
      <c r="AD86" s="15" t="str">
        <f t="shared" si="42"/>
        <v xml:space="preserve"> </v>
      </c>
      <c r="AE86" s="5"/>
      <c r="AF86" s="27">
        <f>IF($G86&lt;&gt;0,SUMIF(куб!$G:$G,$G86,куб!R:R),IF($E86&lt;&gt;0,SUMIF(куб!$E:$E,$E86,куб!R:R),IF($D86&lt;&gt;0,SUMIF(куб!$D:$D,$D86,куб!R:R),IF($C86&lt;&gt;0,SUMIF(куб!$C:$C,$C86,куб!R:R),IF($B86&lt;&gt;0,SUMIF(куб!$B:$B,$B86,куб!R:R))))))</f>
        <v>1751.3179</v>
      </c>
      <c r="AG86" s="27">
        <f>IF($G86&lt;&gt;0,SUMIF(куб!$G:$G,$G86,куб!S:S),IF($E86&lt;&gt;0,SUMIF(куб!$E:$E,$E86,куб!S:S),IF($D86&lt;&gt;0,SUMIF(куб!$D:$D,$D86,куб!S:S),IF($C86&lt;&gt;0,SUMIF(куб!$C:$C,$C86,куб!S:S),IF($B86&lt;&gt;0,SUMIF(куб!$B:$B,$B86,куб!S:S))))))</f>
        <v>0</v>
      </c>
      <c r="AH86" s="16">
        <f t="shared" si="43"/>
        <v>-1</v>
      </c>
      <c r="AI86" s="8"/>
      <c r="AJ86" s="27">
        <f>IF($G86&lt;&gt;0,SUMIF(куб!$G:$G,$G86,куб!T:T),IF($E86&lt;&gt;0,SUMIF(куб!$E:$E,$E86,куб!T:T),IF($D86&lt;&gt;0,SUMIF(куб!$D:$D,$D86,куб!T:T),IF($C86&lt;&gt;0,SUMIF(куб!$C:$C,$C86,куб!T:T),IF($B86&lt;&gt;0,SUMIF(куб!$B:$B,$B86,куб!T:T))))))</f>
        <v>25</v>
      </c>
      <c r="AK86" s="27">
        <f>IF($G86&lt;&gt;0,SUMIF(куб!$G:$G,$G86,куб!U:U),IF($E86&lt;&gt;0,SUMIF(куб!$E:$E,$E86,куб!U:U),IF($D86&lt;&gt;0,SUMIF(куб!$D:$D,$D86,куб!U:U),IF($C86&lt;&gt;0,SUMIF(куб!$C:$C,$C86,куб!U:U),IF($B86&lt;&gt;0,SUMIF(куб!$B:$B,$B86,куб!U:U))))))</f>
        <v>0</v>
      </c>
      <c r="AL86" s="16">
        <f t="shared" si="44"/>
        <v>-1</v>
      </c>
      <c r="AM86" s="8"/>
      <c r="AN86" s="17">
        <f t="shared" si="45"/>
        <v>2.3166170291379087E-2</v>
      </c>
      <c r="AO86" s="17" t="str">
        <f t="shared" si="46"/>
        <v xml:space="preserve"> </v>
      </c>
      <c r="AP86" s="16" t="str">
        <f t="shared" si="47"/>
        <v>-</v>
      </c>
      <c r="AQ86" s="8"/>
      <c r="AR86" s="17">
        <f t="shared" si="48"/>
        <v>0.11284500959104359</v>
      </c>
      <c r="AS86" s="17" t="str">
        <f t="shared" si="49"/>
        <v>-</v>
      </c>
      <c r="AT86" s="13" t="str">
        <f t="shared" si="50"/>
        <v>-</v>
      </c>
      <c r="AU86" s="8"/>
    </row>
    <row r="87" spans="1:47" ht="15" customHeight="1" x14ac:dyDescent="0.25">
      <c r="A87" s="31" t="s">
        <v>26</v>
      </c>
      <c r="B87" s="31" t="s">
        <v>32</v>
      </c>
      <c r="C87" t="s">
        <v>33</v>
      </c>
      <c r="D87" s="31" t="s">
        <v>34</v>
      </c>
      <c r="E87" t="s">
        <v>35</v>
      </c>
      <c r="F87" s="31" t="s">
        <v>200</v>
      </c>
      <c r="G87" t="s">
        <v>201</v>
      </c>
      <c r="H87" s="27">
        <f>IF($G87&lt;&gt;0,SUMIF(куб!$G:$G,$G87,куб!H:H),IF($E87&lt;&gt;0,SUMIF(куб!$E:$E,$E87,куб!H:H),IF($D87&lt;&gt;0,SUMIF(куб!$D:$D,$D87,куб!H:H),IF($C87&lt;&gt;0,SUMIF(куб!$C:$C,$C87,куб!H:H),IF($B87&lt;&gt;0,SUMIF(куб!$B:$B,$B87,куб!H:H),IF($G87&lt;&gt;0,SUMIF(куб!$A:$A,$G87,куб!H:H),SUMIF(куб!$A:$A,$G87,куб!H:H)))))))</f>
        <v>0</v>
      </c>
      <c r="I87" s="27">
        <f>IF($G87&lt;&gt;0,SUMIF(куб!$G:$G,$G87,куб!I:I),IF($E87&lt;&gt;0,SUMIF(куб!$E:$E,$E87,куб!I:I),IF($D87&lt;&gt;0,SUMIF(куб!$D:$D,$D87,куб!I:I),IF($C87&lt;&gt;0,SUMIF(куб!$C:$C,$C87,куб!I:I),IF($B87&lt;&gt;0,SUMIF(куб!$B:$B,$B87,куб!I:I),IF($G87&lt;&gt;0,SUMIF(куб!$A:$A,$G87,куб!I:I),SUMIF(куб!$A:$A,$G87,куб!I:I)))))))</f>
        <v>4095974.4607999986</v>
      </c>
      <c r="J87" s="19" t="str">
        <f t="shared" si="51"/>
        <v>-</v>
      </c>
      <c r="K87" s="10"/>
      <c r="L87" s="17">
        <f t="shared" si="34"/>
        <v>0</v>
      </c>
      <c r="M87" s="17">
        <f t="shared" si="35"/>
        <v>8.7333344258142386E-3</v>
      </c>
      <c r="N87" s="12">
        <f t="shared" si="36"/>
        <v>8.7333344258142386E-3</v>
      </c>
      <c r="O87" s="5"/>
      <c r="P87" s="27">
        <f>IF($G87&lt;&gt;0,SUMIF(куб!$G:$G,$G87,куб!J:J),IF($E87&lt;&gt;0,SUMIF(куб!$E:$E,$E87,куб!J:J),IF($D87&lt;&gt;0,SUMIF(куб!$D:$D,$D87,куб!J:J),IF($C87&lt;&gt;0,SUMIF(куб!$C:$C,$C87,куб!J:J),IF($B87&lt;&gt;0,SUMIF(куб!$B:$B,$B87,куб!J:J))))))</f>
        <v>0</v>
      </c>
      <c r="Q87" s="27">
        <f>IF($G87&lt;&gt;0,SUMIF(куб!$G:$G,$G87,куб!K:K),IF($E87&lt;&gt;0,SUMIF(куб!$E:$E,$E87,куб!K:K),IF($D87&lt;&gt;0,SUMIF(куб!$D:$D,$D87,куб!K:K),IF($C87&lt;&gt;0,SUMIF(куб!$C:$C,$C87,куб!K:K),IF($B87&lt;&gt;0,SUMIF(куб!$B:$B,$B87,куб!K:K))))))</f>
        <v>82176</v>
      </c>
      <c r="R87" s="13" t="str">
        <f t="shared" si="37"/>
        <v>-</v>
      </c>
      <c r="S87" s="5"/>
      <c r="T87" s="27">
        <f>IF($G87&lt;&gt;0,SUMIF(куб!$G:$G,$G87,куб!L:L),IF($E87&lt;&gt;0,SUMIF(куб!$E:$E,$E87,куб!L:L),IF($D87&lt;&gt;0,SUMIF(куб!$D:$D,$D87,куб!L:L),IF($C87&lt;&gt;0,SUMIF(куб!$C:$C,$C87,куб!L:L),IF($B87&lt;&gt;0,SUMIF(куб!$B:$B,$B87,куб!L:L))))))</f>
        <v>0</v>
      </c>
      <c r="U87" s="27">
        <f>IF($G87&lt;&gt;0,SUMIF(куб!$G:$G,$G87,куб!M:M),IF($E87&lt;&gt;0,SUMIF(куб!$E:$E,$E87,куб!M:M),IF($D87&lt;&gt;0,SUMIF(куб!$D:$D,$D87,куб!M:M),IF($C87&lt;&gt;0,SUMIF(куб!$C:$C,$C87,куб!M:M),IF($B87&lt;&gt;0,SUMIF(куб!$B:$B,$B87,куб!M:M))))))</f>
        <v>73958.399999999892</v>
      </c>
      <c r="V87" s="13" t="str">
        <f t="shared" si="38"/>
        <v>-</v>
      </c>
      <c r="W87" s="5"/>
      <c r="X87" s="27">
        <f>IF($G87&lt;&gt;0,SUMIF(куб!$G:$G,$G87,куб!N:N),IF($E87&lt;&gt;0,SUMIF(куб!$E:$E,$E87,куб!N:N),IF($D87&lt;&gt;0,SUMIF(куб!$D:$D,$D87,куб!N:N),IF($C87&lt;&gt;0,SUMIF(куб!$C:$C,$C87,куб!N:N),IF($B87&lt;&gt;0,SUMIF(куб!$B:$B,$B87,куб!N:N))))))</f>
        <v>0</v>
      </c>
      <c r="Y87" s="27">
        <f>IF($G87&lt;&gt;0,SUMIF(куб!$G:$G,$G87,куб!O:O),IF($E87&lt;&gt;0,SUMIF(куб!$E:$E,$E87,куб!O:O),IF($D87&lt;&gt;0,SUMIF(куб!$D:$D,$D87,куб!O:O),IF($C87&lt;&gt;0,SUMIF(куб!$C:$C,$C87,куб!O:O),IF($B87&lt;&gt;0,SUMIF(куб!$B:$B,$B87,куб!O:O))))))</f>
        <v>305509.92770000407</v>
      </c>
      <c r="Z87" s="13" t="str">
        <f t="shared" si="39"/>
        <v>-</v>
      </c>
      <c r="AA87" s="5"/>
      <c r="AB87" s="33" t="str">
        <f t="shared" si="40"/>
        <v/>
      </c>
      <c r="AC87" s="33">
        <f t="shared" si="41"/>
        <v>7.4587849759281427E-2</v>
      </c>
      <c r="AD87" s="15" t="str">
        <f t="shared" si="42"/>
        <v xml:space="preserve"> </v>
      </c>
      <c r="AE87" s="5"/>
      <c r="AF87" s="27">
        <f>IF($G87&lt;&gt;0,SUMIF(куб!$G:$G,$G87,куб!R:R),IF($E87&lt;&gt;0,SUMIF(куб!$E:$E,$E87,куб!R:R),IF($D87&lt;&gt;0,SUMIF(куб!$D:$D,$D87,куб!R:R),IF($C87&lt;&gt;0,SUMIF(куб!$C:$C,$C87,куб!R:R),IF($B87&lt;&gt;0,SUMIF(куб!$B:$B,$B87,куб!R:R))))))</f>
        <v>0</v>
      </c>
      <c r="AG87" s="27">
        <f>IF($G87&lt;&gt;0,SUMIF(куб!$G:$G,$G87,куб!S:S),IF($E87&lt;&gt;0,SUMIF(куб!$E:$E,$E87,куб!S:S),IF($D87&lt;&gt;0,SUMIF(куб!$D:$D,$D87,куб!S:S),IF($C87&lt;&gt;0,SUMIF(куб!$C:$C,$C87,куб!S:S),IF($B87&lt;&gt;0,SUMIF(куб!$B:$B,$B87,куб!S:S))))))</f>
        <v>117402.53679999999</v>
      </c>
      <c r="AH87" s="16" t="str">
        <f t="shared" si="43"/>
        <v>-</v>
      </c>
      <c r="AI87" s="8"/>
      <c r="AJ87" s="27">
        <f>IF($G87&lt;&gt;0,SUMIF(куб!$G:$G,$G87,куб!T:T),IF($E87&lt;&gt;0,SUMIF(куб!$E:$E,$E87,куб!T:T),IF($D87&lt;&gt;0,SUMIF(куб!$D:$D,$D87,куб!T:T),IF($C87&lt;&gt;0,SUMIF(куб!$C:$C,$C87,куб!T:T),IF($B87&lt;&gt;0,SUMIF(куб!$B:$B,$B87,куб!T:T))))))</f>
        <v>0</v>
      </c>
      <c r="AK87" s="27">
        <f>IF($G87&lt;&gt;0,SUMIF(куб!$G:$G,$G87,куб!U:U),IF($E87&lt;&gt;0,SUMIF(куб!$E:$E,$E87,куб!U:U),IF($D87&lt;&gt;0,SUMIF(куб!$D:$D,$D87,куб!U:U),IF($C87&lt;&gt;0,SUMIF(куб!$C:$C,$C87,куб!U:U),IF($B87&lt;&gt;0,SUMIF(куб!$B:$B,$B87,куб!U:U))))))</f>
        <v>2497</v>
      </c>
      <c r="AL87" s="16" t="str">
        <f t="shared" si="44"/>
        <v>-</v>
      </c>
      <c r="AM87" s="8"/>
      <c r="AN87" s="17" t="str">
        <f t="shared" si="45"/>
        <v xml:space="preserve"> </v>
      </c>
      <c r="AO87" s="17">
        <f t="shared" si="46"/>
        <v>2.8662907428643903E-2</v>
      </c>
      <c r="AP87" s="16" t="str">
        <f t="shared" si="47"/>
        <v>-</v>
      </c>
      <c r="AQ87" s="8"/>
      <c r="AR87" s="17" t="str">
        <f t="shared" si="48"/>
        <v>-</v>
      </c>
      <c r="AS87" s="17">
        <f t="shared" si="49"/>
        <v>4.5924942330637528E-2</v>
      </c>
      <c r="AT87" s="13" t="str">
        <f t="shared" si="50"/>
        <v>-</v>
      </c>
      <c r="AU87" s="8"/>
    </row>
    <row r="88" spans="1:47" ht="15" customHeight="1" x14ac:dyDescent="0.25">
      <c r="A88" s="31" t="s">
        <v>26</v>
      </c>
      <c r="B88" s="31" t="s">
        <v>32</v>
      </c>
      <c r="C88" t="s">
        <v>33</v>
      </c>
      <c r="D88" s="31" t="s">
        <v>34</v>
      </c>
      <c r="E88" t="s">
        <v>202</v>
      </c>
      <c r="F88"/>
      <c r="G88"/>
      <c r="H88" s="27">
        <f>IF($G88&lt;&gt;0,SUMIF(куб!$G:$G,$G88,куб!H:H),IF($E88&lt;&gt;0,SUMIF(куб!$E:$E,$E88,куб!H:H),IF($D88&lt;&gt;0,SUMIF(куб!$D:$D,$D88,куб!H:H),IF($C88&lt;&gt;0,SUMIF(куб!$C:$C,$C88,куб!H:H),IF($B88&lt;&gt;0,SUMIF(куб!$B:$B,$B88,куб!H:H),IF($G88&lt;&gt;0,SUMIF(куб!$A:$A,$G88,куб!H:H),SUMIF(куб!$A:$A,$G88,куб!H:H)))))))</f>
        <v>125121388.28150046</v>
      </c>
      <c r="I88" s="27">
        <f>IF($G88&lt;&gt;0,SUMIF(куб!$G:$G,$G88,куб!I:I),IF($E88&lt;&gt;0,SUMIF(куб!$E:$E,$E88,куб!I:I),IF($D88&lt;&gt;0,SUMIF(куб!$D:$D,$D88,куб!I:I),IF($C88&lt;&gt;0,SUMIF(куб!$C:$C,$C88,куб!I:I),IF($B88&lt;&gt;0,SUMIF(куб!$B:$B,$B88,куб!I:I),IF($G88&lt;&gt;0,SUMIF(куб!$A:$A,$G88,куб!I:I),SUMIF(куб!$A:$A,$G88,куб!I:I)))))))</f>
        <v>129847355.47960028</v>
      </c>
      <c r="J88" s="19">
        <f t="shared" si="51"/>
        <v>3.7771057874351997E-2</v>
      </c>
      <c r="K88" s="5"/>
      <c r="L88" s="17">
        <f t="shared" si="34"/>
        <v>0.26136507093492961</v>
      </c>
      <c r="M88" s="17">
        <f t="shared" si="35"/>
        <v>0.27685728770131218</v>
      </c>
      <c r="N88" s="12">
        <f t="shared" si="36"/>
        <v>1.5492216766382572E-2</v>
      </c>
      <c r="O88" s="5"/>
      <c r="P88" s="27">
        <f>IF($G88&lt;&gt;0,SUMIF(куб!$G:$G,$G88,куб!J:J),IF($E88&lt;&gt;0,SUMIF(куб!$E:$E,$E88,куб!J:J),IF($D88&lt;&gt;0,SUMIF(куб!$D:$D,$D88,куб!J:J),IF($C88&lt;&gt;0,SUMIF(куб!$C:$C,$C88,куб!J:J),IF($B88&lt;&gt;0,SUMIF(куб!$B:$B,$B88,куб!J:J))))))</f>
        <v>1676836</v>
      </c>
      <c r="Q88" s="27">
        <f>IF($G88&lt;&gt;0,SUMIF(куб!$G:$G,$G88,куб!K:K),IF($E88&lt;&gt;0,SUMIF(куб!$E:$E,$E88,куб!K:K),IF($D88&lt;&gt;0,SUMIF(куб!$D:$D,$D88,куб!K:K),IF($C88&lt;&gt;0,SUMIF(куб!$C:$C,$C88,куб!K:K),IF($B88&lt;&gt;0,SUMIF(куб!$B:$B,$B88,куб!K:K))))))</f>
        <v>1628898</v>
      </c>
      <c r="R88" s="13">
        <f t="shared" si="37"/>
        <v>-2.8588365230708311E-2</v>
      </c>
      <c r="S88" s="5"/>
      <c r="T88" s="27">
        <f>IF($G88&lt;&gt;0,SUMIF(куб!$G:$G,$G88,куб!L:L),IF($E88&lt;&gt;0,SUMIF(куб!$E:$E,$E88,куб!L:L),IF($D88&lt;&gt;0,SUMIF(куб!$D:$D,$D88,куб!L:L),IF($C88&lt;&gt;0,SUMIF(куб!$C:$C,$C88,куб!L:L),IF($B88&lt;&gt;0,SUMIF(куб!$B:$B,$B88,куб!L:L))))))</f>
        <v>1633779.4790000017</v>
      </c>
      <c r="U88" s="27">
        <f>IF($G88&lt;&gt;0,SUMIF(куб!$G:$G,$G88,куб!M:M),IF($E88&lt;&gt;0,SUMIF(куб!$E:$E,$E88,куб!M:M),IF($D88&lt;&gt;0,SUMIF(куб!$D:$D,$D88,куб!M:M),IF($C88&lt;&gt;0,SUMIF(куб!$C:$C,$C88,куб!M:M),IF($B88&lt;&gt;0,SUMIF(куб!$B:$B,$B88,куб!M:M))))))</f>
        <v>1688199.5011999977</v>
      </c>
      <c r="V88" s="13">
        <f t="shared" si="38"/>
        <v>3.3309282494664014E-2</v>
      </c>
      <c r="W88" s="5"/>
      <c r="X88" s="27">
        <f>IF($G88&lt;&gt;0,SUMIF(куб!$G:$G,$G88,куб!N:N),IF($E88&lt;&gt;0,SUMIF(куб!$E:$E,$E88,куб!N:N),IF($D88&lt;&gt;0,SUMIF(куб!$D:$D,$D88,куб!N:N),IF($C88&lt;&gt;0,SUMIF(куб!$C:$C,$C88,куб!N:N),IF($B88&lt;&gt;0,SUMIF(куб!$B:$B,$B88,куб!N:N))))))</f>
        <v>12707346.110899419</v>
      </c>
      <c r="Y88" s="27">
        <f>IF($G88&lt;&gt;0,SUMIF(куб!$G:$G,$G88,куб!O:O),IF($E88&lt;&gt;0,SUMIF(куб!$E:$E,$E88,куб!O:O),IF($D88&lt;&gt;0,SUMIF(куб!$D:$D,$D88,куб!O:O),IF($C88&lt;&gt;0,SUMIF(куб!$C:$C,$C88,куб!O:O),IF($B88&lt;&gt;0,SUMIF(куб!$B:$B,$B88,куб!O:O))))))</f>
        <v>14742636.658299744</v>
      </c>
      <c r="Z88" s="13">
        <f t="shared" si="39"/>
        <v>0.16016645251006459</v>
      </c>
      <c r="AA88" s="5"/>
      <c r="AB88" s="33">
        <f t="shared" si="40"/>
        <v>0.10156014319718218</v>
      </c>
      <c r="AC88" s="33">
        <f t="shared" si="41"/>
        <v>0.11353821264858868</v>
      </c>
      <c r="AD88" s="15">
        <f t="shared" si="42"/>
        <v>1.1978069451406503E-2</v>
      </c>
      <c r="AE88" s="5"/>
      <c r="AF88" s="27">
        <f>IF($G88&lt;&gt;0,SUMIF(куб!$G:$G,$G88,куб!R:R),IF($E88&lt;&gt;0,SUMIF(куб!$E:$E,$E88,куб!R:R),IF($D88&lt;&gt;0,SUMIF(куб!$D:$D,$D88,куб!R:R),IF($C88&lt;&gt;0,SUMIF(куб!$C:$C,$C88,куб!R:R),IF($B88&lt;&gt;0,SUMIF(куб!$B:$B,$B88,куб!R:R))))))</f>
        <v>1028474.8011</v>
      </c>
      <c r="AG88" s="27">
        <f>IF($G88&lt;&gt;0,SUMIF(куб!$G:$G,$G88,куб!S:S),IF($E88&lt;&gt;0,SUMIF(куб!$E:$E,$E88,куб!S:S),IF($D88&lt;&gt;0,SUMIF(куб!$D:$D,$D88,куб!S:S),IF($C88&lt;&gt;0,SUMIF(куб!$C:$C,$C88,куб!S:S),IF($B88&lt;&gt;0,SUMIF(куб!$B:$B,$B88,куб!S:S))))))</f>
        <v>1355391.0757000002</v>
      </c>
      <c r="AH88" s="16">
        <f t="shared" si="43"/>
        <v>0.31786512829516916</v>
      </c>
      <c r="AI88" s="8"/>
      <c r="AJ88" s="27">
        <f>IF($G88&lt;&gt;0,SUMIF(куб!$G:$G,$G88,куб!T:T),IF($E88&lt;&gt;0,SUMIF(куб!$E:$E,$E88,куб!T:T),IF($D88&lt;&gt;0,SUMIF(куб!$D:$D,$D88,куб!T:T),IF($C88&lt;&gt;0,SUMIF(куб!$C:$C,$C88,куб!T:T),IF($B88&lt;&gt;0,SUMIF(куб!$B:$B,$B88,куб!T:T))))))</f>
        <v>16685</v>
      </c>
      <c r="AK88" s="27">
        <f>IF($G88&lt;&gt;0,SUMIF(куб!$G:$G,$G88,куб!U:U),IF($E88&lt;&gt;0,SUMIF(куб!$E:$E,$E88,куб!U:U),IF($D88&lt;&gt;0,SUMIF(куб!$D:$D,$D88,куб!U:U),IF($C88&lt;&gt;0,SUMIF(куб!$C:$C,$C88,куб!U:U),IF($B88&lt;&gt;0,SUMIF(куб!$B:$B,$B88,куб!U:U))))))</f>
        <v>21582</v>
      </c>
      <c r="AL88" s="16">
        <f t="shared" si="44"/>
        <v>0.29349715313155528</v>
      </c>
      <c r="AM88" s="8"/>
      <c r="AN88" s="17">
        <f t="shared" si="45"/>
        <v>8.2198160940007963E-3</v>
      </c>
      <c r="AO88" s="17">
        <f t="shared" si="46"/>
        <v>1.0438341779805746E-2</v>
      </c>
      <c r="AP88" s="16">
        <f t="shared" si="47"/>
        <v>2.21852568580495E-3</v>
      </c>
      <c r="AQ88" s="8"/>
      <c r="AR88" s="17">
        <f t="shared" si="48"/>
        <v>9.3340327103181381E-2</v>
      </c>
      <c r="AS88" s="17">
        <f t="shared" si="49"/>
        <v>0.10309987086878294</v>
      </c>
      <c r="AT88" s="13">
        <f t="shared" si="50"/>
        <v>9.7595437656015638E-3</v>
      </c>
      <c r="AU88" s="8"/>
    </row>
    <row r="89" spans="1:47" ht="15" customHeight="1" x14ac:dyDescent="0.25">
      <c r="A89" s="31" t="s">
        <v>26</v>
      </c>
      <c r="B89" s="31" t="s">
        <v>32</v>
      </c>
      <c r="C89" t="s">
        <v>33</v>
      </c>
      <c r="D89" s="31" t="s">
        <v>34</v>
      </c>
      <c r="E89" t="s">
        <v>203</v>
      </c>
      <c r="F89" s="31" t="s">
        <v>204</v>
      </c>
      <c r="G89" t="s">
        <v>205</v>
      </c>
      <c r="H89" s="27">
        <f>IF($G89&lt;&gt;0,SUMIF(куб!$G:$G,$G89,куб!H:H),IF($E89&lt;&gt;0,SUMIF(куб!$E:$E,$E89,куб!H:H),IF($D89&lt;&gt;0,SUMIF(куб!$D:$D,$D89,куб!H:H),IF($C89&lt;&gt;0,SUMIF(куб!$C:$C,$C89,куб!H:H),IF($B89&lt;&gt;0,SUMIF(куб!$B:$B,$B89,куб!H:H),IF($G89&lt;&gt;0,SUMIF(куб!$A:$A,$G89,куб!H:H),SUMIF(куб!$A:$A,$G89,куб!H:H)))))))</f>
        <v>510238.08460000047</v>
      </c>
      <c r="I89" s="27">
        <f>IF($G89&lt;&gt;0,SUMIF(куб!$G:$G,$G89,куб!I:I),IF($E89&lt;&gt;0,SUMIF(куб!$E:$E,$E89,куб!I:I),IF($D89&lt;&gt;0,SUMIF(куб!$D:$D,$D89,куб!I:I),IF($C89&lt;&gt;0,SUMIF(куб!$C:$C,$C89,куб!I:I),IF($B89&lt;&gt;0,SUMIF(куб!$B:$B,$B89,куб!I:I),IF($G89&lt;&gt;0,SUMIF(куб!$A:$A,$G89,куб!I:I),SUMIF(куб!$A:$A,$G89,куб!I:I)))))))</f>
        <v>0</v>
      </c>
      <c r="J89" s="19">
        <f t="shared" si="51"/>
        <v>-1</v>
      </c>
      <c r="K89" s="5"/>
      <c r="L89" s="17">
        <f t="shared" si="34"/>
        <v>1.06583226902142E-3</v>
      </c>
      <c r="M89" s="17">
        <f t="shared" si="35"/>
        <v>0</v>
      </c>
      <c r="N89" s="12">
        <f t="shared" si="36"/>
        <v>-1.06583226902142E-3</v>
      </c>
      <c r="O89" s="5"/>
      <c r="P89" s="27">
        <f>IF($G89&lt;&gt;0,SUMIF(куб!$G:$G,$G89,куб!J:J),IF($E89&lt;&gt;0,SUMIF(куб!$E:$E,$E89,куб!J:J),IF($D89&lt;&gt;0,SUMIF(куб!$D:$D,$D89,куб!J:J),IF($C89&lt;&gt;0,SUMIF(куб!$C:$C,$C89,куб!J:J),IF($B89&lt;&gt;0,SUMIF(куб!$B:$B,$B89,куб!J:J))))))</f>
        <v>9084</v>
      </c>
      <c r="Q89" s="27">
        <f>IF($G89&lt;&gt;0,SUMIF(куб!$G:$G,$G89,куб!K:K),IF($E89&lt;&gt;0,SUMIF(куб!$E:$E,$E89,куб!K:K),IF($D89&lt;&gt;0,SUMIF(куб!$D:$D,$D89,куб!K:K),IF($C89&lt;&gt;0,SUMIF(куб!$C:$C,$C89,куб!K:K),IF($B89&lt;&gt;0,SUMIF(куб!$B:$B,$B89,куб!K:K))))))</f>
        <v>0</v>
      </c>
      <c r="R89" s="13">
        <f t="shared" si="37"/>
        <v>-1</v>
      </c>
      <c r="S89" s="5"/>
      <c r="T89" s="27">
        <f>IF($G89&lt;&gt;0,SUMIF(куб!$G:$G,$G89,куб!L:L),IF($E89&lt;&gt;0,SUMIF(куб!$E:$E,$E89,куб!L:L),IF($D89&lt;&gt;0,SUMIF(куб!$D:$D,$D89,куб!L:L),IF($C89&lt;&gt;0,SUMIF(куб!$C:$C,$C89,куб!L:L),IF($B89&lt;&gt;0,SUMIF(куб!$B:$B,$B89,куб!L:L))))))</f>
        <v>9084</v>
      </c>
      <c r="U89" s="27">
        <f>IF($G89&lt;&gt;0,SUMIF(куб!$G:$G,$G89,куб!M:M),IF($E89&lt;&gt;0,SUMIF(куб!$E:$E,$E89,куб!M:M),IF($D89&lt;&gt;0,SUMIF(куб!$D:$D,$D89,куб!M:M),IF($C89&lt;&gt;0,SUMIF(куб!$C:$C,$C89,куб!M:M),IF($B89&lt;&gt;0,SUMIF(куб!$B:$B,$B89,куб!M:M))))))</f>
        <v>0</v>
      </c>
      <c r="V89" s="13">
        <f t="shared" si="38"/>
        <v>-1</v>
      </c>
      <c r="W89" s="5"/>
      <c r="X89" s="27">
        <f>IF($G89&lt;&gt;0,SUMIF(куб!$G:$G,$G89,куб!N:N),IF($E89&lt;&gt;0,SUMIF(куб!$E:$E,$E89,куб!N:N),IF($D89&lt;&gt;0,SUMIF(куб!$D:$D,$D89,куб!N:N),IF($C89&lt;&gt;0,SUMIF(куб!$C:$C,$C89,куб!N:N),IF($B89&lt;&gt;0,SUMIF(куб!$B:$B,$B89,куб!N:N))))))</f>
        <v>73424.453700000653</v>
      </c>
      <c r="Y89" s="27">
        <f>IF($G89&lt;&gt;0,SUMIF(куб!$G:$G,$G89,куб!O:O),IF($E89&lt;&gt;0,SUMIF(куб!$E:$E,$E89,куб!O:O),IF($D89&lt;&gt;0,SUMIF(куб!$D:$D,$D89,куб!O:O),IF($C89&lt;&gt;0,SUMIF(куб!$C:$C,$C89,куб!O:O),IF($B89&lt;&gt;0,SUMIF(куб!$B:$B,$B89,куб!O:O))))))</f>
        <v>0</v>
      </c>
      <c r="Z89" s="13">
        <f t="shared" si="39"/>
        <v>-1</v>
      </c>
      <c r="AA89" s="5"/>
      <c r="AB89" s="33">
        <f t="shared" si="40"/>
        <v>0.14390233876320996</v>
      </c>
      <c r="AC89" s="33" t="str">
        <f t="shared" si="41"/>
        <v/>
      </c>
      <c r="AD89" s="15" t="str">
        <f t="shared" si="42"/>
        <v xml:space="preserve"> </v>
      </c>
      <c r="AE89" s="5"/>
      <c r="AF89" s="27">
        <f>IF($G89&lt;&gt;0,SUMIF(куб!$G:$G,$G89,куб!R:R),IF($E89&lt;&gt;0,SUMIF(куб!$E:$E,$E89,куб!R:R),IF($D89&lt;&gt;0,SUMIF(куб!$D:$D,$D89,куб!R:R),IF($C89&lt;&gt;0,SUMIF(куб!$C:$C,$C89,куб!R:R),IF($B89&lt;&gt;0,SUMIF(куб!$B:$B,$B89,куб!R:R))))))</f>
        <v>139969.0667</v>
      </c>
      <c r="AG89" s="27">
        <f>IF($G89&lt;&gt;0,SUMIF(куб!$G:$G,$G89,куб!S:S),IF($E89&lt;&gt;0,SUMIF(куб!$E:$E,$E89,куб!S:S),IF($D89&lt;&gt;0,SUMIF(куб!$D:$D,$D89,куб!S:S),IF($C89&lt;&gt;0,SUMIF(куб!$C:$C,$C89,куб!S:S),IF($B89&lt;&gt;0,SUMIF(куб!$B:$B,$B89,куб!S:S))))))</f>
        <v>0</v>
      </c>
      <c r="AH89" s="16">
        <f t="shared" si="43"/>
        <v>-1</v>
      </c>
      <c r="AI89" s="8"/>
      <c r="AJ89" s="27">
        <f>IF($G89&lt;&gt;0,SUMIF(куб!$G:$G,$G89,куб!T:T),IF($E89&lt;&gt;0,SUMIF(куб!$E:$E,$E89,куб!T:T),IF($D89&lt;&gt;0,SUMIF(куб!$D:$D,$D89,куб!T:T),IF($C89&lt;&gt;0,SUMIF(куб!$C:$C,$C89,куб!T:T),IF($B89&lt;&gt;0,SUMIF(куб!$B:$B,$B89,куб!T:T))))))</f>
        <v>2859</v>
      </c>
      <c r="AK89" s="27">
        <f>IF($G89&lt;&gt;0,SUMIF(куб!$G:$G,$G89,куб!U:U),IF($E89&lt;&gt;0,SUMIF(куб!$E:$E,$E89,куб!U:U),IF($D89&lt;&gt;0,SUMIF(куб!$D:$D,$D89,куб!U:U),IF($C89&lt;&gt;0,SUMIF(куб!$C:$C,$C89,куб!U:U),IF($B89&lt;&gt;0,SUMIF(куб!$B:$B,$B89,куб!U:U))))))</f>
        <v>0</v>
      </c>
      <c r="AL89" s="16">
        <f t="shared" si="44"/>
        <v>-1</v>
      </c>
      <c r="AM89" s="8"/>
      <c r="AN89" s="17">
        <f t="shared" si="45"/>
        <v>0.2743210883792187</v>
      </c>
      <c r="AO89" s="17" t="str">
        <f t="shared" si="46"/>
        <v xml:space="preserve"> </v>
      </c>
      <c r="AP89" s="16" t="str">
        <f t="shared" si="47"/>
        <v>-</v>
      </c>
      <c r="AQ89" s="8"/>
      <c r="AR89" s="17">
        <f t="shared" si="48"/>
        <v>-0.13041874961600874</v>
      </c>
      <c r="AS89" s="17" t="str">
        <f t="shared" si="49"/>
        <v>-</v>
      </c>
      <c r="AT89" s="13" t="str">
        <f t="shared" si="50"/>
        <v>-</v>
      </c>
      <c r="AU89" s="8"/>
    </row>
    <row r="90" spans="1:47" ht="15" customHeight="1" x14ac:dyDescent="0.25">
      <c r="A90" s="31" t="s">
        <v>26</v>
      </c>
      <c r="B90" s="31" t="s">
        <v>32</v>
      </c>
      <c r="C90" t="s">
        <v>33</v>
      </c>
      <c r="D90" s="31" t="s">
        <v>34</v>
      </c>
      <c r="E90" t="s">
        <v>203</v>
      </c>
      <c r="F90" s="31" t="s">
        <v>206</v>
      </c>
      <c r="G90" t="s">
        <v>207</v>
      </c>
      <c r="H90" s="27">
        <f>IF($G90&lt;&gt;0,SUMIF(куб!$G:$G,$G90,куб!H:H),IF($E90&lt;&gt;0,SUMIF(куб!$E:$E,$E90,куб!H:H),IF($D90&lt;&gt;0,SUMIF(куб!$D:$D,$D90,куб!H:H),IF($C90&lt;&gt;0,SUMIF(куб!$C:$C,$C90,куб!H:H),IF($B90&lt;&gt;0,SUMIF(куб!$B:$B,$B90,куб!H:H),IF($G90&lt;&gt;0,SUMIF(куб!$A:$A,$G90,куб!H:H),SUMIF(куб!$A:$A,$G90,куб!H:H)))))))</f>
        <v>607918.24849999999</v>
      </c>
      <c r="I90" s="27">
        <f>IF($G90&lt;&gt;0,SUMIF(куб!$G:$G,$G90,куб!I:I),IF($E90&lt;&gt;0,SUMIF(куб!$E:$E,$E90,куб!I:I),IF($D90&lt;&gt;0,SUMIF(куб!$D:$D,$D90,куб!I:I),IF($C90&lt;&gt;0,SUMIF(куб!$C:$C,$C90,куб!I:I),IF($B90&lt;&gt;0,SUMIF(куб!$B:$B,$B90,куб!I:I),IF($G90&lt;&gt;0,SUMIF(куб!$A:$A,$G90,куб!I:I),SUMIF(куб!$A:$A,$G90,куб!I:I)))))))</f>
        <v>662100.71580000012</v>
      </c>
      <c r="J90" s="19">
        <f t="shared" si="51"/>
        <v>8.912788427340676E-2</v>
      </c>
      <c r="K90" s="8"/>
      <c r="L90" s="17">
        <f t="shared" si="34"/>
        <v>1.2698755850148505E-3</v>
      </c>
      <c r="M90" s="17">
        <f t="shared" si="35"/>
        <v>1.411714606619647E-3</v>
      </c>
      <c r="N90" s="12">
        <f t="shared" si="36"/>
        <v>1.4183902160479645E-4</v>
      </c>
      <c r="O90" s="5"/>
      <c r="P90" s="27">
        <f>IF($G90&lt;&gt;0,SUMIF(куб!$G:$G,$G90,куб!J:J),IF($E90&lt;&gt;0,SUMIF(куб!$E:$E,$E90,куб!J:J),IF($D90&lt;&gt;0,SUMIF(куб!$D:$D,$D90,куб!J:J),IF($C90&lt;&gt;0,SUMIF(куб!$C:$C,$C90,куб!J:J),IF($B90&lt;&gt;0,SUMIF(куб!$B:$B,$B90,куб!J:J))))))</f>
        <v>6382</v>
      </c>
      <c r="Q90" s="27">
        <f>IF($G90&lt;&gt;0,SUMIF(куб!$G:$G,$G90,куб!K:K),IF($E90&lt;&gt;0,SUMIF(куб!$E:$E,$E90,куб!K:K),IF($D90&lt;&gt;0,SUMIF(куб!$D:$D,$D90,куб!K:K),IF($C90&lt;&gt;0,SUMIF(куб!$C:$C,$C90,куб!K:K),IF($B90&lt;&gt;0,SUMIF(куб!$B:$B,$B90,куб!K:K))))))</f>
        <v>6519</v>
      </c>
      <c r="R90" s="13">
        <f t="shared" si="37"/>
        <v>2.146662488248198E-2</v>
      </c>
      <c r="S90" s="5"/>
      <c r="T90" s="27">
        <f>IF($G90&lt;&gt;0,SUMIF(куб!$G:$G,$G90,куб!L:L),IF($E90&lt;&gt;0,SUMIF(куб!$E:$E,$E90,куб!L:L),IF($D90&lt;&gt;0,SUMIF(куб!$D:$D,$D90,куб!L:L),IF($C90&lt;&gt;0,SUMIF(куб!$C:$C,$C90,куб!L:L),IF($B90&lt;&gt;0,SUMIF(куб!$B:$B,$B90,куб!L:L))))))</f>
        <v>5743.7999999999984</v>
      </c>
      <c r="U90" s="27">
        <f>IF($G90&lt;&gt;0,SUMIF(куб!$G:$G,$G90,куб!M:M),IF($E90&lt;&gt;0,SUMIF(куб!$E:$E,$E90,куб!M:M),IF($D90&lt;&gt;0,SUMIF(куб!$D:$D,$D90,куб!M:M),IF($C90&lt;&gt;0,SUMIF(куб!$C:$C,$C90,куб!M:M),IF($B90&lt;&gt;0,SUMIF(куб!$B:$B,$B90,куб!M:M))))))</f>
        <v>5867.0999999999985</v>
      </c>
      <c r="V90" s="13">
        <f t="shared" si="38"/>
        <v>2.1466624882482018E-2</v>
      </c>
      <c r="W90" s="5"/>
      <c r="X90" s="27">
        <f>IF($G90&lt;&gt;0,SUMIF(куб!$G:$G,$G90,куб!N:N),IF($E90&lt;&gt;0,SUMIF(куб!$E:$E,$E90,куб!N:N),IF($D90&lt;&gt;0,SUMIF(куб!$D:$D,$D90,куб!N:N),IF($C90&lt;&gt;0,SUMIF(куб!$C:$C,$C90,куб!N:N),IF($B90&lt;&gt;0,SUMIF(куб!$B:$B,$B90,куб!N:N))))))</f>
        <v>54857.564299999853</v>
      </c>
      <c r="Y90" s="27">
        <f>IF($G90&lt;&gt;0,SUMIF(куб!$G:$G,$G90,куб!O:O),IF($E90&lt;&gt;0,SUMIF(куб!$E:$E,$E90,куб!O:O),IF($D90&lt;&gt;0,SUMIF(куб!$D:$D,$D90,куб!O:O),IF($C90&lt;&gt;0,SUMIF(куб!$C:$C,$C90,куб!O:O),IF($B90&lt;&gt;0,SUMIF(куб!$B:$B,$B90,куб!O:O))))))</f>
        <v>62150.773300001514</v>
      </c>
      <c r="Z90" s="13">
        <f t="shared" si="39"/>
        <v>0.13294810101515356</v>
      </c>
      <c r="AA90" s="5"/>
      <c r="AB90" s="33">
        <f t="shared" si="40"/>
        <v>9.0238390499639443E-2</v>
      </c>
      <c r="AC90" s="33">
        <f t="shared" si="41"/>
        <v>9.3869062239128151E-2</v>
      </c>
      <c r="AD90" s="15">
        <f t="shared" si="42"/>
        <v>3.6306717394887084E-3</v>
      </c>
      <c r="AE90" s="5"/>
      <c r="AF90" s="27">
        <f>IF($G90&lt;&gt;0,SUMIF(куб!$G:$G,$G90,куб!R:R),IF($E90&lt;&gt;0,SUMIF(куб!$E:$E,$E90,куб!R:R),IF($D90&lt;&gt;0,SUMIF(куб!$D:$D,$D90,куб!R:R),IF($C90&lt;&gt;0,SUMIF(куб!$C:$C,$C90,куб!R:R),IF($B90&lt;&gt;0,SUMIF(куб!$B:$B,$B90,куб!R:R))))))</f>
        <v>6010.9069</v>
      </c>
      <c r="AG90" s="27">
        <f>IF($G90&lt;&gt;0,SUMIF(куб!$G:$G,$G90,куб!S:S),IF($E90&lt;&gt;0,SUMIF(куб!$E:$E,$E90,куб!S:S),IF($D90&lt;&gt;0,SUMIF(куб!$D:$D,$D90,куб!S:S),IF($C90&lt;&gt;0,SUMIF(куб!$C:$C,$C90,куб!S:S),IF($B90&lt;&gt;0,SUMIF(куб!$B:$B,$B90,куб!S:S))))))</f>
        <v>14172.195400000004</v>
      </c>
      <c r="AH90" s="16">
        <f t="shared" si="43"/>
        <v>1.3577466155731017</v>
      </c>
      <c r="AI90" s="8"/>
      <c r="AJ90" s="27">
        <f>IF($G90&lt;&gt;0,SUMIF(куб!$G:$G,$G90,куб!T:T),IF($E90&lt;&gt;0,SUMIF(куб!$E:$E,$E90,куб!T:T),IF($D90&lt;&gt;0,SUMIF(куб!$D:$D,$D90,куб!T:T),IF($C90&lt;&gt;0,SUMIF(куб!$C:$C,$C90,куб!T:T),IF($B90&lt;&gt;0,SUMIF(куб!$B:$B,$B90,куб!T:T))))))</f>
        <v>70</v>
      </c>
      <c r="AK90" s="27">
        <f>IF($G90&lt;&gt;0,SUMIF(куб!$G:$G,$G90,куб!U:U),IF($E90&lt;&gt;0,SUMIF(куб!$E:$E,$E90,куб!U:U),IF($D90&lt;&gt;0,SUMIF(куб!$D:$D,$D90,куб!U:U),IF($C90&lt;&gt;0,SUMIF(куб!$C:$C,$C90,куб!U:U),IF($B90&lt;&gt;0,SUMIF(куб!$B:$B,$B90,куб!U:U))))))</f>
        <v>154</v>
      </c>
      <c r="AL90" s="16">
        <f t="shared" si="44"/>
        <v>1.2</v>
      </c>
      <c r="AM90" s="8"/>
      <c r="AN90" s="17">
        <f t="shared" si="45"/>
        <v>9.8876895287014904E-3</v>
      </c>
      <c r="AO90" s="17">
        <f t="shared" si="46"/>
        <v>2.1404893638992804E-2</v>
      </c>
      <c r="AP90" s="16">
        <f t="shared" si="47"/>
        <v>1.1517204110291314E-2</v>
      </c>
      <c r="AQ90" s="8"/>
      <c r="AR90" s="17">
        <f t="shared" si="48"/>
        <v>8.0350700970937952E-2</v>
      </c>
      <c r="AS90" s="17">
        <f t="shared" si="49"/>
        <v>7.2464168600135354E-2</v>
      </c>
      <c r="AT90" s="13">
        <f t="shared" si="50"/>
        <v>-7.8865323708025986E-3</v>
      </c>
      <c r="AU90" s="8"/>
    </row>
    <row r="91" spans="1:47" ht="15" customHeight="1" x14ac:dyDescent="0.25">
      <c r="A91" s="31" t="s">
        <v>26</v>
      </c>
      <c r="B91" s="31" t="s">
        <v>32</v>
      </c>
      <c r="C91" t="s">
        <v>33</v>
      </c>
      <c r="D91" s="31" t="s">
        <v>34</v>
      </c>
      <c r="E91" t="s">
        <v>203</v>
      </c>
      <c r="F91" s="31" t="s">
        <v>206</v>
      </c>
      <c r="G91" t="s">
        <v>208</v>
      </c>
      <c r="H91" s="27">
        <f>IF($G91&lt;&gt;0,SUMIF(куб!$G:$G,$G91,куб!H:H),IF($E91&lt;&gt;0,SUMIF(куб!$E:$E,$E91,куб!H:H),IF($D91&lt;&gt;0,SUMIF(куб!$D:$D,$D91,куб!H:H),IF($C91&lt;&gt;0,SUMIF(куб!$C:$C,$C91,куб!H:H),IF($B91&lt;&gt;0,SUMIF(куб!$B:$B,$B91,куб!H:H),IF($G91&lt;&gt;0,SUMIF(куб!$A:$A,$G91,куб!H:H),SUMIF(куб!$A:$A,$G91,куб!H:H)))))))</f>
        <v>2439177.0129000004</v>
      </c>
      <c r="I91" s="27">
        <f>IF($G91&lt;&gt;0,SUMIF(куб!$G:$G,$G91,куб!I:I),IF($E91&lt;&gt;0,SUMIF(куб!$E:$E,$E91,куб!I:I),IF($D91&lt;&gt;0,SUMIF(куб!$D:$D,$D91,куб!I:I),IF($C91&lt;&gt;0,SUMIF(куб!$C:$C,$C91,куб!I:I),IF($B91&lt;&gt;0,SUMIF(куб!$B:$B,$B91,куб!I:I),IF($G91&lt;&gt;0,SUMIF(куб!$A:$A,$G91,куб!I:I),SUMIF(куб!$A:$A,$G91,куб!I:I)))))))</f>
        <v>2971065.912500001</v>
      </c>
      <c r="J91" s="19">
        <f t="shared" si="51"/>
        <v>0.21806080361819422</v>
      </c>
      <c r="K91" s="10"/>
      <c r="L91" s="17">
        <f t="shared" si="34"/>
        <v>5.095177425342848E-3</v>
      </c>
      <c r="M91" s="17">
        <f t="shared" si="35"/>
        <v>6.3348325199106825E-3</v>
      </c>
      <c r="N91" s="12">
        <f t="shared" si="36"/>
        <v>1.2396550945678346E-3</v>
      </c>
      <c r="O91" s="5"/>
      <c r="P91" s="27">
        <f>IF($G91&lt;&gt;0,SUMIF(куб!$G:$G,$G91,куб!J:J),IF($E91&lt;&gt;0,SUMIF(куб!$E:$E,$E91,куб!J:J),IF($D91&lt;&gt;0,SUMIF(куб!$D:$D,$D91,куб!J:J),IF($C91&lt;&gt;0,SUMIF(куб!$C:$C,$C91,куб!J:J),IF($B91&lt;&gt;0,SUMIF(куб!$B:$B,$B91,куб!J:J))))))</f>
        <v>34857</v>
      </c>
      <c r="Q91" s="27">
        <f>IF($G91&lt;&gt;0,SUMIF(куб!$G:$G,$G91,куб!K:K),IF($E91&lt;&gt;0,SUMIF(куб!$E:$E,$E91,куб!K:K),IF($D91&lt;&gt;0,SUMIF(куб!$D:$D,$D91,куб!K:K),IF($C91&lt;&gt;0,SUMIF(куб!$C:$C,$C91,куб!K:K),IF($B91&lt;&gt;0,SUMIF(куб!$B:$B,$B91,куб!K:K))))))</f>
        <v>40207</v>
      </c>
      <c r="R91" s="13">
        <f t="shared" si="37"/>
        <v>0.15348423559112948</v>
      </c>
      <c r="S91" s="5"/>
      <c r="T91" s="27">
        <f>IF($G91&lt;&gt;0,SUMIF(куб!$G:$G,$G91,куб!L:L),IF($E91&lt;&gt;0,SUMIF(куб!$E:$E,$E91,куб!L:L),IF($D91&lt;&gt;0,SUMIF(куб!$D:$D,$D91,куб!L:L),IF($C91&lt;&gt;0,SUMIF(куб!$C:$C,$C91,куб!L:L),IF($B91&lt;&gt;0,SUMIF(куб!$B:$B,$B91,куб!L:L))))))</f>
        <v>31371.300000000003</v>
      </c>
      <c r="U91" s="27">
        <f>IF($G91&lt;&gt;0,SUMIF(куб!$G:$G,$G91,куб!M:M),IF($E91&lt;&gt;0,SUMIF(куб!$E:$E,$E91,куб!M:M),IF($D91&lt;&gt;0,SUMIF(куб!$D:$D,$D91,куб!M:M),IF($C91&lt;&gt;0,SUMIF(куб!$C:$C,$C91,куб!M:M),IF($B91&lt;&gt;0,SUMIF(куб!$B:$B,$B91,куб!M:M))))))</f>
        <v>36186.299999999996</v>
      </c>
      <c r="V91" s="13">
        <f t="shared" si="38"/>
        <v>0.15348423559112923</v>
      </c>
      <c r="W91" s="5"/>
      <c r="X91" s="27">
        <f>IF($G91&lt;&gt;0,SUMIF(куб!$G:$G,$G91,куб!N:N),IF($E91&lt;&gt;0,SUMIF(куб!$E:$E,$E91,куб!N:N),IF($D91&lt;&gt;0,SUMIF(куб!$D:$D,$D91,куб!N:N),IF($C91&lt;&gt;0,SUMIF(куб!$C:$C,$C91,куб!N:N),IF($B91&lt;&gt;0,SUMIF(куб!$B:$B,$B91,куб!N:N))))))</f>
        <v>229926.44849999994</v>
      </c>
      <c r="Y91" s="27">
        <f>IF($G91&lt;&gt;0,SUMIF(куб!$G:$G,$G91,куб!O:O),IF($E91&lt;&gt;0,SUMIF(куб!$E:$E,$E91,куб!O:O),IF($D91&lt;&gt;0,SUMIF(куб!$D:$D,$D91,куб!O:O),IF($C91&lt;&gt;0,SUMIF(куб!$C:$C,$C91,куб!O:O),IF($B91&lt;&gt;0,SUMIF(куб!$B:$B,$B91,куб!O:O))))))</f>
        <v>296349.09819999989</v>
      </c>
      <c r="Z91" s="13">
        <f t="shared" si="39"/>
        <v>0.28888651189686848</v>
      </c>
      <c r="AA91" s="5"/>
      <c r="AB91" s="33">
        <f t="shared" si="40"/>
        <v>9.4263945291381074E-2</v>
      </c>
      <c r="AC91" s="33">
        <f t="shared" si="41"/>
        <v>9.9745043337203243E-2</v>
      </c>
      <c r="AD91" s="15">
        <f t="shared" si="42"/>
        <v>5.4810980458221692E-3</v>
      </c>
      <c r="AE91" s="5"/>
      <c r="AF91" s="27">
        <f>IF($G91&lt;&gt;0,SUMIF(куб!$G:$G,$G91,куб!R:R),IF($E91&lt;&gt;0,SUMIF(куб!$E:$E,$E91,куб!R:R),IF($D91&lt;&gt;0,SUMIF(куб!$D:$D,$D91,куб!R:R),IF($C91&lt;&gt;0,SUMIF(куб!$C:$C,$C91,куб!R:R),IF($B91&lt;&gt;0,SUMIF(куб!$B:$B,$B91,куб!R:R))))))</f>
        <v>19810.300999999996</v>
      </c>
      <c r="AG91" s="27">
        <f>IF($G91&lt;&gt;0,SUMIF(куб!$G:$G,$G91,куб!S:S),IF($E91&lt;&gt;0,SUMIF(куб!$E:$E,$E91,куб!S:S),IF($D91&lt;&gt;0,SUMIF(куб!$D:$D,$D91,куб!S:S),IF($C91&lt;&gt;0,SUMIF(куб!$C:$C,$C91,куб!S:S),IF($B91&lt;&gt;0,SUMIF(куб!$B:$B,$B91,куб!S:S))))))</f>
        <v>24485.938399999995</v>
      </c>
      <c r="AH91" s="16">
        <f t="shared" si="43"/>
        <v>0.23602051276252695</v>
      </c>
      <c r="AI91" s="8"/>
      <c r="AJ91" s="27">
        <f>IF($G91&lt;&gt;0,SUMIF(куб!$G:$G,$G91,куб!T:T),IF($E91&lt;&gt;0,SUMIF(куб!$E:$E,$E91,куб!T:T),IF($D91&lt;&gt;0,SUMIF(куб!$D:$D,$D91,куб!T:T),IF($C91&lt;&gt;0,SUMIF(куб!$C:$C,$C91,куб!T:T),IF($B91&lt;&gt;0,SUMIF(куб!$B:$B,$B91,куб!T:T))))))</f>
        <v>316</v>
      </c>
      <c r="AK91" s="27">
        <f>IF($G91&lt;&gt;0,SUMIF(куб!$G:$G,$G91,куб!U:U),IF($E91&lt;&gt;0,SUMIF(куб!$E:$E,$E91,куб!U:U),IF($D91&lt;&gt;0,SUMIF(куб!$D:$D,$D91,куб!U:U),IF($C91&lt;&gt;0,SUMIF(куб!$C:$C,$C91,куб!U:U),IF($B91&lt;&gt;0,SUMIF(куб!$B:$B,$B91,куб!U:U))))))</f>
        <v>369</v>
      </c>
      <c r="AL91" s="16">
        <f t="shared" si="44"/>
        <v>0.16772151898734178</v>
      </c>
      <c r="AM91" s="8"/>
      <c r="AN91" s="17">
        <f t="shared" si="45"/>
        <v>8.1217151913247233E-3</v>
      </c>
      <c r="AO91" s="17">
        <f t="shared" si="46"/>
        <v>8.2414658984782743E-3</v>
      </c>
      <c r="AP91" s="16">
        <f t="shared" si="47"/>
        <v>1.1975070715355106E-4</v>
      </c>
      <c r="AQ91" s="8"/>
      <c r="AR91" s="17">
        <f t="shared" si="48"/>
        <v>8.6142230100056338E-2</v>
      </c>
      <c r="AS91" s="17">
        <f t="shared" si="49"/>
        <v>9.1503577438724976E-2</v>
      </c>
      <c r="AT91" s="13">
        <f t="shared" si="50"/>
        <v>5.3613473386686372E-3</v>
      </c>
      <c r="AU91" s="8"/>
    </row>
    <row r="92" spans="1:47" ht="15" customHeight="1" x14ac:dyDescent="0.25">
      <c r="A92" s="31" t="s">
        <v>26</v>
      </c>
      <c r="B92" s="31" t="s">
        <v>32</v>
      </c>
      <c r="C92" t="s">
        <v>33</v>
      </c>
      <c r="D92" s="31" t="s">
        <v>34</v>
      </c>
      <c r="E92" t="s">
        <v>203</v>
      </c>
      <c r="F92" s="31" t="s">
        <v>209</v>
      </c>
      <c r="G92" t="s">
        <v>210</v>
      </c>
      <c r="H92" s="27">
        <f>IF($G92&lt;&gt;0,SUMIF(куб!$G:$G,$G92,куб!H:H),IF($E92&lt;&gt;0,SUMIF(куб!$E:$E,$E92,куб!H:H),IF($D92&lt;&gt;0,SUMIF(куб!$D:$D,$D92,куб!H:H),IF($C92&lt;&gt;0,SUMIF(куб!$C:$C,$C92,куб!H:H),IF($B92&lt;&gt;0,SUMIF(куб!$B:$B,$B92,куб!H:H),IF($G92&lt;&gt;0,SUMIF(куб!$A:$A,$G92,куб!H:H),SUMIF(куб!$A:$A,$G92,куб!H:H)))))))</f>
        <v>0</v>
      </c>
      <c r="I92" s="27">
        <f>IF($G92&lt;&gt;0,SUMIF(куб!$G:$G,$G92,куб!I:I),IF($E92&lt;&gt;0,SUMIF(куб!$E:$E,$E92,куб!I:I),IF($D92&lt;&gt;0,SUMIF(куб!$D:$D,$D92,куб!I:I),IF($C92&lt;&gt;0,SUMIF(куб!$C:$C,$C92,куб!I:I),IF($B92&lt;&gt;0,SUMIF(куб!$B:$B,$B92,куб!I:I),IF($G92&lt;&gt;0,SUMIF(куб!$A:$A,$G92,куб!I:I),SUMIF(куб!$A:$A,$G92,куб!I:I)))))))</f>
        <v>0</v>
      </c>
      <c r="J92" s="19" t="str">
        <f t="shared" si="51"/>
        <v>-</v>
      </c>
      <c r="K92" s="5"/>
      <c r="L92" s="17">
        <f t="shared" si="34"/>
        <v>0</v>
      </c>
      <c r="M92" s="17">
        <f t="shared" si="35"/>
        <v>0</v>
      </c>
      <c r="N92" s="12">
        <f t="shared" si="36"/>
        <v>0</v>
      </c>
      <c r="O92" s="5"/>
      <c r="P92" s="27">
        <f>IF($G92&lt;&gt;0,SUMIF(куб!$G:$G,$G92,куб!J:J),IF($E92&lt;&gt;0,SUMIF(куб!$E:$E,$E92,куб!J:J),IF($D92&lt;&gt;0,SUMIF(куб!$D:$D,$D92,куб!J:J),IF($C92&lt;&gt;0,SUMIF(куб!$C:$C,$C92,куб!J:J),IF($B92&lt;&gt;0,SUMIF(куб!$B:$B,$B92,куб!J:J))))))</f>
        <v>0</v>
      </c>
      <c r="Q92" s="27">
        <f>IF($G92&lt;&gt;0,SUMIF(куб!$G:$G,$G92,куб!K:K),IF($E92&lt;&gt;0,SUMIF(куб!$E:$E,$E92,куб!K:K),IF($D92&lt;&gt;0,SUMIF(куб!$D:$D,$D92,куб!K:K),IF($C92&lt;&gt;0,SUMIF(куб!$C:$C,$C92,куб!K:K),IF($B92&lt;&gt;0,SUMIF(куб!$B:$B,$B92,куб!K:K))))))</f>
        <v>0</v>
      </c>
      <c r="R92" s="13" t="str">
        <f t="shared" si="37"/>
        <v>-</v>
      </c>
      <c r="S92" s="5"/>
      <c r="T92" s="27">
        <f>IF($G92&lt;&gt;0,SUMIF(куб!$G:$G,$G92,куб!L:L),IF($E92&lt;&gt;0,SUMIF(куб!$E:$E,$E92,куб!L:L),IF($D92&lt;&gt;0,SUMIF(куб!$D:$D,$D92,куб!L:L),IF($C92&lt;&gt;0,SUMIF(куб!$C:$C,$C92,куб!L:L),IF($B92&lt;&gt;0,SUMIF(куб!$B:$B,$B92,куб!L:L))))))</f>
        <v>0</v>
      </c>
      <c r="U92" s="27">
        <f>IF($G92&lt;&gt;0,SUMIF(куб!$G:$G,$G92,куб!M:M),IF($E92&lt;&gt;0,SUMIF(куб!$E:$E,$E92,куб!M:M),IF($D92&lt;&gt;0,SUMIF(куб!$D:$D,$D92,куб!M:M),IF($C92&lt;&gt;0,SUMIF(куб!$C:$C,$C92,куб!M:M),IF($B92&lt;&gt;0,SUMIF(куб!$B:$B,$B92,куб!M:M))))))</f>
        <v>0</v>
      </c>
      <c r="V92" s="13" t="str">
        <f t="shared" si="38"/>
        <v>-</v>
      </c>
      <c r="W92" s="5"/>
      <c r="X92" s="27">
        <f>IF($G92&lt;&gt;0,SUMIF(куб!$G:$G,$G92,куб!N:N),IF($E92&lt;&gt;0,SUMIF(куб!$E:$E,$E92,куб!N:N),IF($D92&lt;&gt;0,SUMIF(куб!$D:$D,$D92,куб!N:N),IF($C92&lt;&gt;0,SUMIF(куб!$C:$C,$C92,куб!N:N),IF($B92&lt;&gt;0,SUMIF(куб!$B:$B,$B92,куб!N:N))))))</f>
        <v>0</v>
      </c>
      <c r="Y92" s="27">
        <f>IF($G92&lt;&gt;0,SUMIF(куб!$G:$G,$G92,куб!O:O),IF($E92&lt;&gt;0,SUMIF(куб!$E:$E,$E92,куб!O:O),IF($D92&lt;&gt;0,SUMIF(куб!$D:$D,$D92,куб!O:O),IF($C92&lt;&gt;0,SUMIF(куб!$C:$C,$C92,куб!O:O),IF($B92&lt;&gt;0,SUMIF(куб!$B:$B,$B92,куб!O:O))))))</f>
        <v>0</v>
      </c>
      <c r="Z92" s="13" t="str">
        <f t="shared" si="39"/>
        <v>-</v>
      </c>
      <c r="AA92" s="5"/>
      <c r="AB92" s="33" t="str">
        <f t="shared" si="40"/>
        <v/>
      </c>
      <c r="AC92" s="33" t="str">
        <f t="shared" si="41"/>
        <v/>
      </c>
      <c r="AD92" s="15" t="str">
        <f t="shared" si="42"/>
        <v xml:space="preserve"> </v>
      </c>
      <c r="AE92" s="5"/>
      <c r="AF92" s="27">
        <f>IF($G92&lt;&gt;0,SUMIF(куб!$G:$G,$G92,куб!R:R),IF($E92&lt;&gt;0,SUMIF(куб!$E:$E,$E92,куб!R:R),IF($D92&lt;&gt;0,SUMIF(куб!$D:$D,$D92,куб!R:R),IF($C92&lt;&gt;0,SUMIF(куб!$C:$C,$C92,куб!R:R),IF($B92&lt;&gt;0,SUMIF(куб!$B:$B,$B92,куб!R:R))))))</f>
        <v>226.0909</v>
      </c>
      <c r="AG92" s="27">
        <f>IF($G92&lt;&gt;0,SUMIF(куб!$G:$G,$G92,куб!S:S),IF($E92&lt;&gt;0,SUMIF(куб!$E:$E,$E92,куб!S:S),IF($D92&lt;&gt;0,SUMIF(куб!$D:$D,$D92,куб!S:S),IF($C92&lt;&gt;0,SUMIF(куб!$C:$C,$C92,куб!S:S),IF($B92&lt;&gt;0,SUMIF(куб!$B:$B,$B92,куб!S:S))))))</f>
        <v>0</v>
      </c>
      <c r="AH92" s="16">
        <f t="shared" si="43"/>
        <v>-1</v>
      </c>
      <c r="AI92" s="8"/>
      <c r="AJ92" s="27">
        <f>IF($G92&lt;&gt;0,SUMIF(куб!$G:$G,$G92,куб!T:T),IF($E92&lt;&gt;0,SUMIF(куб!$E:$E,$E92,куб!T:T),IF($D92&lt;&gt;0,SUMIF(куб!$D:$D,$D92,куб!T:T),IF($C92&lt;&gt;0,SUMIF(куб!$C:$C,$C92,куб!T:T),IF($B92&lt;&gt;0,SUMIF(куб!$B:$B,$B92,куб!T:T))))))</f>
        <v>3</v>
      </c>
      <c r="AK92" s="27">
        <f>IF($G92&lt;&gt;0,SUMIF(куб!$G:$G,$G92,куб!U:U),IF($E92&lt;&gt;0,SUMIF(куб!$E:$E,$E92,куб!U:U),IF($D92&lt;&gt;0,SUMIF(куб!$D:$D,$D92,куб!U:U),IF($C92&lt;&gt;0,SUMIF(куб!$C:$C,$C92,куб!U:U),IF($B92&lt;&gt;0,SUMIF(куб!$B:$B,$B92,куб!U:U))))))</f>
        <v>0</v>
      </c>
      <c r="AL92" s="16">
        <f t="shared" si="44"/>
        <v>-1</v>
      </c>
      <c r="AM92" s="8"/>
      <c r="AN92" s="17" t="str">
        <f t="shared" si="45"/>
        <v xml:space="preserve"> </v>
      </c>
      <c r="AO92" s="17" t="str">
        <f t="shared" si="46"/>
        <v xml:space="preserve"> </v>
      </c>
      <c r="AP92" s="16" t="str">
        <f t="shared" si="47"/>
        <v>-</v>
      </c>
      <c r="AQ92" s="8"/>
      <c r="AR92" s="17" t="str">
        <f t="shared" si="48"/>
        <v>-</v>
      </c>
      <c r="AS92" s="17" t="str">
        <f t="shared" si="49"/>
        <v>-</v>
      </c>
      <c r="AT92" s="13" t="str">
        <f t="shared" si="50"/>
        <v>-</v>
      </c>
      <c r="AU92" s="8"/>
    </row>
    <row r="93" spans="1:47" ht="15" customHeight="1" x14ac:dyDescent="0.25">
      <c r="A93" s="31" t="s">
        <v>26</v>
      </c>
      <c r="B93" s="31" t="s">
        <v>32</v>
      </c>
      <c r="C93" t="s">
        <v>33</v>
      </c>
      <c r="D93" s="31" t="s">
        <v>34</v>
      </c>
      <c r="E93" t="s">
        <v>203</v>
      </c>
      <c r="F93" s="31" t="s">
        <v>211</v>
      </c>
      <c r="G93" t="s">
        <v>212</v>
      </c>
      <c r="H93" s="27">
        <f>IF($G93&lt;&gt;0,SUMIF(куб!$G:$G,$G93,куб!H:H),IF($E93&lt;&gt;0,SUMIF(куб!$E:$E,$E93,куб!H:H),IF($D93&lt;&gt;0,SUMIF(куб!$D:$D,$D93,куб!H:H),IF($C93&lt;&gt;0,SUMIF(куб!$C:$C,$C93,куб!H:H),IF($B93&lt;&gt;0,SUMIF(куб!$B:$B,$B93,куб!H:H),IF($G93&lt;&gt;0,SUMIF(куб!$A:$A,$G93,куб!H:H),SUMIF(куб!$A:$A,$G93,куб!H:H)))))))</f>
        <v>0</v>
      </c>
      <c r="I93" s="27">
        <f>IF($G93&lt;&gt;0,SUMIF(куб!$G:$G,$G93,куб!I:I),IF($E93&lt;&gt;0,SUMIF(куб!$E:$E,$E93,куб!I:I),IF($D93&lt;&gt;0,SUMIF(куб!$D:$D,$D93,куб!I:I),IF($C93&lt;&gt;0,SUMIF(куб!$C:$C,$C93,куб!I:I),IF($B93&lt;&gt;0,SUMIF(куб!$B:$B,$B93,куб!I:I),IF($G93&lt;&gt;0,SUMIF(куб!$A:$A,$G93,куб!I:I),SUMIF(куб!$A:$A,$G93,куб!I:I)))))))</f>
        <v>544642.55689999997</v>
      </c>
      <c r="J93" s="19" t="str">
        <f t="shared" si="51"/>
        <v>-</v>
      </c>
      <c r="K93" s="5"/>
      <c r="L93" s="17">
        <f t="shared" si="34"/>
        <v>0</v>
      </c>
      <c r="M93" s="17">
        <f t="shared" si="35"/>
        <v>1.1612732543769921E-3</v>
      </c>
      <c r="N93" s="12">
        <f t="shared" si="36"/>
        <v>1.1612732543769921E-3</v>
      </c>
      <c r="O93" s="5"/>
      <c r="P93" s="27">
        <f>IF($G93&lt;&gt;0,SUMIF(куб!$G:$G,$G93,куб!J:J),IF($E93&lt;&gt;0,SUMIF(куб!$E:$E,$E93,куб!J:J),IF($D93&lt;&gt;0,SUMIF(куб!$D:$D,$D93,куб!J:J),IF($C93&lt;&gt;0,SUMIF(куб!$C:$C,$C93,куб!J:J),IF($B93&lt;&gt;0,SUMIF(куб!$B:$B,$B93,куб!J:J))))))</f>
        <v>0</v>
      </c>
      <c r="Q93" s="27">
        <f>IF($G93&lt;&gt;0,SUMIF(куб!$G:$G,$G93,куб!K:K),IF($E93&lt;&gt;0,SUMIF(куб!$E:$E,$E93,куб!K:K),IF($D93&lt;&gt;0,SUMIF(куб!$D:$D,$D93,куб!K:K),IF($C93&lt;&gt;0,SUMIF(куб!$C:$C,$C93,куб!K:K),IF($B93&lt;&gt;0,SUMIF(куб!$B:$B,$B93,куб!K:K))))))</f>
        <v>6864</v>
      </c>
      <c r="R93" s="13" t="str">
        <f t="shared" si="37"/>
        <v>-</v>
      </c>
      <c r="S93" s="5"/>
      <c r="T93" s="27">
        <f>IF($G93&lt;&gt;0,SUMIF(куб!$G:$G,$G93,куб!L:L),IF($E93&lt;&gt;0,SUMIF(куб!$E:$E,$E93,куб!L:L),IF($D93&lt;&gt;0,SUMIF(куб!$D:$D,$D93,куб!L:L),IF($C93&lt;&gt;0,SUMIF(куб!$C:$C,$C93,куб!L:L),IF($B93&lt;&gt;0,SUMIF(куб!$B:$B,$B93,куб!L:L))))))</f>
        <v>0</v>
      </c>
      <c r="U93" s="27">
        <f>IF($G93&lt;&gt;0,SUMIF(куб!$G:$G,$G93,куб!M:M),IF($E93&lt;&gt;0,SUMIF(куб!$E:$E,$E93,куб!M:M),IF($D93&lt;&gt;0,SUMIF(куб!$D:$D,$D93,куб!M:M),IF($C93&lt;&gt;0,SUMIF(куб!$C:$C,$C93,куб!M:M),IF($B93&lt;&gt;0,SUMIF(куб!$B:$B,$B93,куб!M:M))))))</f>
        <v>6177.6</v>
      </c>
      <c r="V93" s="13" t="str">
        <f t="shared" si="38"/>
        <v>-</v>
      </c>
      <c r="W93" s="5"/>
      <c r="X93" s="27">
        <f>IF($G93&lt;&gt;0,SUMIF(куб!$G:$G,$G93,куб!N:N),IF($E93&lt;&gt;0,SUMIF(куб!$E:$E,$E93,куб!N:N),IF($D93&lt;&gt;0,SUMIF(куб!$D:$D,$D93,куб!N:N),IF($C93&lt;&gt;0,SUMIF(куб!$C:$C,$C93,куб!N:N),IF($B93&lt;&gt;0,SUMIF(куб!$B:$B,$B93,куб!N:N))))))</f>
        <v>0</v>
      </c>
      <c r="Y93" s="27">
        <f>IF($G93&lt;&gt;0,SUMIF(куб!$G:$G,$G93,куб!O:O),IF($E93&lt;&gt;0,SUMIF(куб!$E:$E,$E93,куб!O:O),IF($D93&lt;&gt;0,SUMIF(куб!$D:$D,$D93,куб!O:O),IF($C93&lt;&gt;0,SUMIF(куб!$C:$C,$C93,куб!O:O),IF($B93&lt;&gt;0,SUMIF(куб!$B:$B,$B93,куб!O:O))))))</f>
        <v>68031.400400000042</v>
      </c>
      <c r="Z93" s="13" t="str">
        <f t="shared" si="39"/>
        <v>-</v>
      </c>
      <c r="AA93" s="5"/>
      <c r="AB93" s="33" t="str">
        <f t="shared" si="40"/>
        <v/>
      </c>
      <c r="AC93" s="33">
        <f t="shared" si="41"/>
        <v>0.12491018106851878</v>
      </c>
      <c r="AD93" s="15" t="str">
        <f t="shared" si="42"/>
        <v xml:space="preserve"> </v>
      </c>
      <c r="AE93" s="5"/>
      <c r="AF93" s="27">
        <f>IF($G93&lt;&gt;0,SUMIF(куб!$G:$G,$G93,куб!R:R),IF($E93&lt;&gt;0,SUMIF(куб!$E:$E,$E93,куб!R:R),IF($D93&lt;&gt;0,SUMIF(куб!$D:$D,$D93,куб!R:R),IF($C93&lt;&gt;0,SUMIF(куб!$C:$C,$C93,куб!R:R),IF($B93&lt;&gt;0,SUMIF(куб!$B:$B,$B93,куб!R:R))))))</f>
        <v>0</v>
      </c>
      <c r="AG93" s="27">
        <f>IF($G93&lt;&gt;0,SUMIF(куб!$G:$G,$G93,куб!S:S),IF($E93&lt;&gt;0,SUMIF(куб!$E:$E,$E93,куб!S:S),IF($D93&lt;&gt;0,SUMIF(куб!$D:$D,$D93,куб!S:S),IF($C93&lt;&gt;0,SUMIF(куб!$C:$C,$C93,куб!S:S),IF($B93&lt;&gt;0,SUMIF(куб!$B:$B,$B93,куб!S:S))))))</f>
        <v>3402.3806000000004</v>
      </c>
      <c r="AH93" s="16" t="str">
        <f t="shared" si="43"/>
        <v>-</v>
      </c>
      <c r="AI93" s="8"/>
      <c r="AJ93" s="27">
        <f>IF($G93&lt;&gt;0,SUMIF(куб!$G:$G,$G93,куб!T:T),IF($E93&lt;&gt;0,SUMIF(куб!$E:$E,$E93,куб!T:T),IF($D93&lt;&gt;0,SUMIF(куб!$D:$D,$D93,куб!T:T),IF($C93&lt;&gt;0,SUMIF(куб!$C:$C,$C93,куб!T:T),IF($B93&lt;&gt;0,SUMIF(куб!$B:$B,$B93,куб!T:T))))))</f>
        <v>0</v>
      </c>
      <c r="AK93" s="27">
        <f>IF($G93&lt;&gt;0,SUMIF(куб!$G:$G,$G93,куб!U:U),IF($E93&lt;&gt;0,SUMIF(куб!$E:$E,$E93,куб!U:U),IF($D93&lt;&gt;0,SUMIF(куб!$D:$D,$D93,куб!U:U),IF($C93&lt;&gt;0,SUMIF(куб!$C:$C,$C93,куб!U:U),IF($B93&lt;&gt;0,SUMIF(куб!$B:$B,$B93,куб!U:U))))))</f>
        <v>49</v>
      </c>
      <c r="AL93" s="16" t="str">
        <f t="shared" si="44"/>
        <v>-</v>
      </c>
      <c r="AM93" s="8"/>
      <c r="AN93" s="17" t="str">
        <f t="shared" si="45"/>
        <v xml:space="preserve"> </v>
      </c>
      <c r="AO93" s="17">
        <f t="shared" si="46"/>
        <v>6.2469973322791597E-3</v>
      </c>
      <c r="AP93" s="16" t="str">
        <f t="shared" si="47"/>
        <v>-</v>
      </c>
      <c r="AQ93" s="8"/>
      <c r="AR93" s="17" t="str">
        <f t="shared" si="48"/>
        <v>-</v>
      </c>
      <c r="AS93" s="17">
        <f t="shared" si="49"/>
        <v>0.11866318373623962</v>
      </c>
      <c r="AT93" s="13" t="str">
        <f t="shared" si="50"/>
        <v>-</v>
      </c>
      <c r="AU93" s="8"/>
    </row>
    <row r="94" spans="1:47" ht="15" customHeight="1" x14ac:dyDescent="0.25">
      <c r="A94" s="31" t="s">
        <v>26</v>
      </c>
      <c r="B94" s="31" t="s">
        <v>32</v>
      </c>
      <c r="C94" t="s">
        <v>33</v>
      </c>
      <c r="D94" s="31" t="s">
        <v>34</v>
      </c>
      <c r="E94" t="s">
        <v>203</v>
      </c>
      <c r="F94" s="31" t="s">
        <v>213</v>
      </c>
      <c r="G94" t="s">
        <v>214</v>
      </c>
      <c r="H94" s="27">
        <f>IF($G94&lt;&gt;0,SUMIF(куб!$G:$G,$G94,куб!H:H),IF($E94&lt;&gt;0,SUMIF(куб!$E:$E,$E94,куб!H:H),IF($D94&lt;&gt;0,SUMIF(куб!$D:$D,$D94,куб!H:H),IF($C94&lt;&gt;0,SUMIF(куб!$C:$C,$C94,куб!H:H),IF($B94&lt;&gt;0,SUMIF(куб!$B:$B,$B94,куб!H:H),IF($G94&lt;&gt;0,SUMIF(куб!$A:$A,$G94,куб!H:H),SUMIF(куб!$A:$A,$G94,куб!H:H)))))))</f>
        <v>2442253.8650000007</v>
      </c>
      <c r="I94" s="27">
        <f>IF($G94&lt;&gt;0,SUMIF(куб!$G:$G,$G94,куб!I:I),IF($E94&lt;&gt;0,SUMIF(куб!$E:$E,$E94,куб!I:I),IF($D94&lt;&gt;0,SUMIF(куб!$D:$D,$D94,куб!I:I),IF($C94&lt;&gt;0,SUMIF(куб!$C:$C,$C94,куб!I:I),IF($B94&lt;&gt;0,SUMIF(куб!$B:$B,$B94,куб!I:I),IF($G94&lt;&gt;0,SUMIF(куб!$A:$A,$G94,куб!I:I),SUMIF(куб!$A:$A,$G94,куб!I:I)))))))</f>
        <v>4203460.7093000002</v>
      </c>
      <c r="J94" s="19">
        <f t="shared" si="51"/>
        <v>0.72113995581700063</v>
      </c>
      <c r="K94" s="8"/>
      <c r="L94" s="17">
        <f t="shared" si="34"/>
        <v>5.1016046371762372E-3</v>
      </c>
      <c r="M94" s="17">
        <f t="shared" si="35"/>
        <v>8.962513919805357E-3</v>
      </c>
      <c r="N94" s="12">
        <f t="shared" si="36"/>
        <v>3.8609092826291198E-3</v>
      </c>
      <c r="O94" s="5"/>
      <c r="P94" s="27">
        <f>IF($G94&lt;&gt;0,SUMIF(куб!$G:$G,$G94,куб!J:J),IF($E94&lt;&gt;0,SUMIF(куб!$E:$E,$E94,куб!J:J),IF($D94&lt;&gt;0,SUMIF(куб!$D:$D,$D94,куб!J:J),IF($C94&lt;&gt;0,SUMIF(куб!$C:$C,$C94,куб!J:J),IF($B94&lt;&gt;0,SUMIF(куб!$B:$B,$B94,куб!J:J))))))</f>
        <v>19926</v>
      </c>
      <c r="Q94" s="27">
        <f>IF($G94&lt;&gt;0,SUMIF(куб!$G:$G,$G94,куб!K:K),IF($E94&lt;&gt;0,SUMIF(куб!$E:$E,$E94,куб!K:K),IF($D94&lt;&gt;0,SUMIF(куб!$D:$D,$D94,куб!K:K),IF($C94&lt;&gt;0,SUMIF(куб!$C:$C,$C94,куб!K:K),IF($B94&lt;&gt;0,SUMIF(куб!$B:$B,$B94,куб!K:K))))))</f>
        <v>33250</v>
      </c>
      <c r="R94" s="13">
        <f t="shared" si="37"/>
        <v>0.66867409414834889</v>
      </c>
      <c r="S94" s="5"/>
      <c r="T94" s="27">
        <f>IF($G94&lt;&gt;0,SUMIF(куб!$G:$G,$G94,куб!L:L),IF($E94&lt;&gt;0,SUMIF(куб!$E:$E,$E94,куб!L:L),IF($D94&lt;&gt;0,SUMIF(куб!$D:$D,$D94,куб!L:L),IF($C94&lt;&gt;0,SUMIF(куб!$C:$C,$C94,куб!L:L),IF($B94&lt;&gt;0,SUMIF(куб!$B:$B,$B94,куб!L:L))))))</f>
        <v>27896.399999999994</v>
      </c>
      <c r="U94" s="27">
        <f>IF($G94&lt;&gt;0,SUMIF(куб!$G:$G,$G94,куб!M:M),IF($E94&lt;&gt;0,SUMIF(куб!$E:$E,$E94,куб!M:M),IF($D94&lt;&gt;0,SUMIF(куб!$D:$D,$D94,куб!M:M),IF($C94&lt;&gt;0,SUMIF(куб!$C:$C,$C94,куб!M:M),IF($B94&lt;&gt;0,SUMIF(куб!$B:$B,$B94,куб!M:M))))))</f>
        <v>46549.999999999993</v>
      </c>
      <c r="V94" s="13">
        <f t="shared" si="38"/>
        <v>0.668674094148349</v>
      </c>
      <c r="W94" s="5"/>
      <c r="X94" s="27">
        <f>IF($G94&lt;&gt;0,SUMIF(куб!$G:$G,$G94,куб!N:N),IF($E94&lt;&gt;0,SUMIF(куб!$E:$E,$E94,куб!N:N),IF($D94&lt;&gt;0,SUMIF(куб!$D:$D,$D94,куб!N:N),IF($C94&lt;&gt;0,SUMIF(куб!$C:$C,$C94,куб!N:N),IF($B94&lt;&gt;0,SUMIF(куб!$B:$B,$B94,куб!N:N))))))</f>
        <v>385602.17010000069</v>
      </c>
      <c r="Y94" s="27">
        <f>IF($G94&lt;&gt;0,SUMIF(куб!$G:$G,$G94,куб!O:O),IF($E94&lt;&gt;0,SUMIF(куб!$E:$E,$E94,куб!O:O),IF($D94&lt;&gt;0,SUMIF(куб!$D:$D,$D94,куб!O:O),IF($C94&lt;&gt;0,SUMIF(куб!$C:$C,$C94,куб!O:O),IF($B94&lt;&gt;0,SUMIF(куб!$B:$B,$B94,куб!O:O))))))</f>
        <v>637084.51899999753</v>
      </c>
      <c r="Z94" s="13">
        <f t="shared" si="39"/>
        <v>0.65218084440442414</v>
      </c>
      <c r="AA94" s="5"/>
      <c r="AB94" s="33">
        <f t="shared" si="40"/>
        <v>0.15788783288505537</v>
      </c>
      <c r="AC94" s="33">
        <f t="shared" si="41"/>
        <v>0.15156190650015397</v>
      </c>
      <c r="AD94" s="15">
        <f t="shared" si="42"/>
        <v>-6.325926384901398E-3</v>
      </c>
      <c r="AE94" s="5"/>
      <c r="AF94" s="27">
        <f>IF($G94&lt;&gt;0,SUMIF(куб!$G:$G,$G94,куб!R:R),IF($E94&lt;&gt;0,SUMIF(куб!$E:$E,$E94,куб!R:R),IF($D94&lt;&gt;0,SUMIF(куб!$D:$D,$D94,куб!R:R),IF($C94&lt;&gt;0,SUMIF(куб!$C:$C,$C94,куб!R:R),IF($B94&lt;&gt;0,SUMIF(куб!$B:$B,$B94,куб!R:R))))))</f>
        <v>3405.8978999999986</v>
      </c>
      <c r="AG94" s="27">
        <f>IF($G94&lt;&gt;0,SUMIF(куб!$G:$G,$G94,куб!S:S),IF($E94&lt;&gt;0,SUMIF(куб!$E:$E,$E94,куб!S:S),IF($D94&lt;&gt;0,SUMIF(куб!$D:$D,$D94,куб!S:S),IF($C94&lt;&gt;0,SUMIF(куб!$C:$C,$C94,куб!S:S),IF($B94&lt;&gt;0,SUMIF(куб!$B:$B,$B94,куб!S:S))))))</f>
        <v>7209.2442000000001</v>
      </c>
      <c r="AH94" s="16">
        <f t="shared" si="43"/>
        <v>1.1166941616188797</v>
      </c>
      <c r="AI94" s="8"/>
      <c r="AJ94" s="27">
        <f>IF($G94&lt;&gt;0,SUMIF(куб!$G:$G,$G94,куб!T:T),IF($E94&lt;&gt;0,SUMIF(куб!$E:$E,$E94,куб!T:T),IF($D94&lt;&gt;0,SUMIF(куб!$D:$D,$D94,куб!T:T),IF($C94&lt;&gt;0,SUMIF(куб!$C:$C,$C94,куб!T:T),IF($B94&lt;&gt;0,SUMIF(куб!$B:$B,$B94,куб!T:T))))))</f>
        <v>33</v>
      </c>
      <c r="AK94" s="27">
        <f>IF($G94&lt;&gt;0,SUMIF(куб!$G:$G,$G94,куб!U:U),IF($E94&lt;&gt;0,SUMIF(куб!$E:$E,$E94,куб!U:U),IF($D94&lt;&gt;0,SUMIF(куб!$D:$D,$D94,куб!U:U),IF($C94&lt;&gt;0,SUMIF(куб!$C:$C,$C94,куб!U:U),IF($B94&lt;&gt;0,SUMIF(куб!$B:$B,$B94,куб!U:U))))))</f>
        <v>65</v>
      </c>
      <c r="AL94" s="16">
        <f t="shared" si="44"/>
        <v>0.96969696969696972</v>
      </c>
      <c r="AM94" s="8"/>
      <c r="AN94" s="17">
        <f t="shared" si="45"/>
        <v>1.3945716081403346E-3</v>
      </c>
      <c r="AO94" s="17">
        <f t="shared" si="46"/>
        <v>1.7150735307338108E-3</v>
      </c>
      <c r="AP94" s="16">
        <f t="shared" si="47"/>
        <v>3.2050192259347617E-4</v>
      </c>
      <c r="AQ94" s="8"/>
      <c r="AR94" s="17">
        <f t="shared" si="48"/>
        <v>0.15649326127691504</v>
      </c>
      <c r="AS94" s="17">
        <f t="shared" si="49"/>
        <v>0.14984683296942017</v>
      </c>
      <c r="AT94" s="13">
        <f t="shared" si="50"/>
        <v>-6.6464283074948727E-3</v>
      </c>
      <c r="AU94" s="8"/>
    </row>
    <row r="95" spans="1:47" x14ac:dyDescent="0.25">
      <c r="A95" s="31" t="s">
        <v>26</v>
      </c>
      <c r="B95" s="31" t="s">
        <v>32</v>
      </c>
      <c r="C95" t="s">
        <v>33</v>
      </c>
      <c r="D95" s="31" t="s">
        <v>34</v>
      </c>
      <c r="E95" t="s">
        <v>203</v>
      </c>
      <c r="F95" s="31" t="s">
        <v>215</v>
      </c>
      <c r="G95" t="s">
        <v>216</v>
      </c>
      <c r="H95" s="27">
        <f>IF($G95&lt;&gt;0,SUMIF(куб!$G:$G,$G95,куб!H:H),IF($E95&lt;&gt;0,SUMIF(куб!$E:$E,$E95,куб!H:H),IF($D95&lt;&gt;0,SUMIF(куб!$D:$D,$D95,куб!H:H),IF($C95&lt;&gt;0,SUMIF(куб!$C:$C,$C95,куб!H:H),IF($B95&lt;&gt;0,SUMIF(куб!$B:$B,$B95,куб!H:H),IF($G95&lt;&gt;0,SUMIF(куб!$A:$A,$G95,куб!H:H),SUMIF(куб!$A:$A,$G95,куб!H:H)))))))</f>
        <v>38742.878100000002</v>
      </c>
      <c r="I95" s="27">
        <f>IF($G95&lt;&gt;0,SUMIF(куб!$G:$G,$G95,куб!I:I),IF($E95&lt;&gt;0,SUMIF(куб!$E:$E,$E95,куб!I:I),IF($D95&lt;&gt;0,SUMIF(куб!$D:$D,$D95,куб!I:I),IF($C95&lt;&gt;0,SUMIF(куб!$C:$C,$C95,куб!I:I),IF($B95&lt;&gt;0,SUMIF(куб!$B:$B,$B95,куб!I:I),IF($G95&lt;&gt;0,SUMIF(куб!$A:$A,$G95,куб!I:I),SUMIF(куб!$A:$A,$G95,куб!I:I)))))))</f>
        <v>30362.955900000001</v>
      </c>
      <c r="J95" s="19">
        <f t="shared" si="51"/>
        <v>-0.21629580999043022</v>
      </c>
      <c r="K95" s="10"/>
      <c r="L95" s="17">
        <f t="shared" si="34"/>
        <v>8.0929689335352374E-5</v>
      </c>
      <c r="M95" s="17">
        <f t="shared" si="35"/>
        <v>6.4739136088060069E-5</v>
      </c>
      <c r="N95" s="12">
        <f t="shared" si="36"/>
        <v>-1.6190553247292304E-5</v>
      </c>
      <c r="O95" s="5"/>
      <c r="P95" s="27">
        <f>IF($G95&lt;&gt;0,SUMIF(куб!$G:$G,$G95,куб!J:J),IF($E95&lt;&gt;0,SUMIF(куб!$E:$E,$E95,куб!J:J),IF($D95&lt;&gt;0,SUMIF(куб!$D:$D,$D95,куб!J:J),IF($C95&lt;&gt;0,SUMIF(куб!$C:$C,$C95,куб!J:J),IF($B95&lt;&gt;0,SUMIF(куб!$B:$B,$B95,куб!J:J))))))</f>
        <v>485</v>
      </c>
      <c r="Q95" s="27">
        <f>IF($G95&lt;&gt;0,SUMIF(куб!$G:$G,$G95,куб!K:K),IF($E95&lt;&gt;0,SUMIF(куб!$E:$E,$E95,куб!K:K),IF($D95&lt;&gt;0,SUMIF(куб!$D:$D,$D95,куб!K:K),IF($C95&lt;&gt;0,SUMIF(куб!$C:$C,$C95,куб!K:K),IF($B95&lt;&gt;0,SUMIF(куб!$B:$B,$B95,куб!K:K))))))</f>
        <v>385</v>
      </c>
      <c r="R95" s="13">
        <f t="shared" si="37"/>
        <v>-0.20618556701030927</v>
      </c>
      <c r="S95" s="5"/>
      <c r="T95" s="27">
        <f>IF($G95&lt;&gt;0,SUMIF(куб!$G:$G,$G95,куб!L:L),IF($E95&lt;&gt;0,SUMIF(куб!$E:$E,$E95,куб!L:L),IF($D95&lt;&gt;0,SUMIF(куб!$D:$D,$D95,куб!L:L),IF($C95&lt;&gt;0,SUMIF(куб!$C:$C,$C95,куб!L:L),IF($B95&lt;&gt;0,SUMIF(куб!$B:$B,$B95,куб!L:L))))))</f>
        <v>404.97500000000008</v>
      </c>
      <c r="U95" s="27">
        <f>IF($G95&lt;&gt;0,SUMIF(куб!$G:$G,$G95,куб!M:M),IF($E95&lt;&gt;0,SUMIF(куб!$E:$E,$E95,куб!M:M),IF($D95&lt;&gt;0,SUMIF(куб!$D:$D,$D95,куб!M:M),IF($C95&lt;&gt;0,SUMIF(куб!$C:$C,$C95,куб!M:M),IF($B95&lt;&gt;0,SUMIF(куб!$B:$B,$B95,куб!M:M))))))</f>
        <v>321.47499999999997</v>
      </c>
      <c r="V95" s="13">
        <f t="shared" si="38"/>
        <v>-0.20618556701030952</v>
      </c>
      <c r="W95" s="5"/>
      <c r="X95" s="27">
        <f>IF($G95&lt;&gt;0,SUMIF(куб!$G:$G,$G95,куб!N:N),IF($E95&lt;&gt;0,SUMIF(куб!$E:$E,$E95,куб!N:N),IF($D95&lt;&gt;0,SUMIF(куб!$D:$D,$D95,куб!N:N),IF($C95&lt;&gt;0,SUMIF(куб!$C:$C,$C95,куб!N:N),IF($B95&lt;&gt;0,SUMIF(куб!$B:$B,$B95,куб!N:N))))))</f>
        <v>4603.2911999999997</v>
      </c>
      <c r="Y95" s="27">
        <f>IF($G95&lt;&gt;0,SUMIF(куб!$G:$G,$G95,куб!O:O),IF($E95&lt;&gt;0,SUMIF(куб!$E:$E,$E95,куб!O:O),IF($D95&lt;&gt;0,SUMIF(куб!$D:$D,$D95,куб!O:O),IF($C95&lt;&gt;0,SUMIF(куб!$C:$C,$C95,куб!O:O),IF($B95&lt;&gt;0,SUMIF(куб!$B:$B,$B95,куб!O:O))))))</f>
        <v>1907.959600000002</v>
      </c>
      <c r="Z95" s="13">
        <f t="shared" si="39"/>
        <v>-0.58552272339407896</v>
      </c>
      <c r="AA95" s="5"/>
      <c r="AB95" s="33">
        <f t="shared" si="40"/>
        <v>0.11881644900304915</v>
      </c>
      <c r="AC95" s="33">
        <f t="shared" si="41"/>
        <v>6.2838401053041143E-2</v>
      </c>
      <c r="AD95" s="15">
        <f t="shared" si="42"/>
        <v>-5.5978047950008006E-2</v>
      </c>
      <c r="AE95" s="5"/>
      <c r="AF95" s="27">
        <f>IF($G95&lt;&gt;0,SUMIF(куб!$G:$G,$G95,куб!R:R),IF($E95&lt;&gt;0,SUMIF(куб!$E:$E,$E95,куб!R:R),IF($D95&lt;&gt;0,SUMIF(куб!$D:$D,$D95,куб!R:R),IF($C95&lt;&gt;0,SUMIF(куб!$C:$C,$C95,куб!R:R),IF($B95&lt;&gt;0,SUMIF(куб!$B:$B,$B95,куб!R:R))))))</f>
        <v>0</v>
      </c>
      <c r="AG95" s="27">
        <f>IF($G95&lt;&gt;0,SUMIF(куб!$G:$G,$G95,куб!S:S),IF($E95&lt;&gt;0,SUMIF(куб!$E:$E,$E95,куб!S:S),IF($D95&lt;&gt;0,SUMIF(куб!$D:$D,$D95,куб!S:S),IF($C95&lt;&gt;0,SUMIF(куб!$C:$C,$C95,куб!S:S),IF($B95&lt;&gt;0,SUMIF(куб!$B:$B,$B95,куб!S:S))))))</f>
        <v>0</v>
      </c>
      <c r="AH95" s="16" t="str">
        <f t="shared" si="43"/>
        <v>-</v>
      </c>
      <c r="AI95" s="8"/>
      <c r="AJ95" s="27">
        <f>IF($G95&lt;&gt;0,SUMIF(куб!$G:$G,$G95,куб!T:T),IF($E95&lt;&gt;0,SUMIF(куб!$E:$E,$E95,куб!T:T),IF($D95&lt;&gt;0,SUMIF(куб!$D:$D,$D95,куб!T:T),IF($C95&lt;&gt;0,SUMIF(куб!$C:$C,$C95,куб!T:T),IF($B95&lt;&gt;0,SUMIF(куб!$B:$B,$B95,куб!T:T))))))</f>
        <v>0</v>
      </c>
      <c r="AK95" s="27">
        <f>IF($G95&lt;&gt;0,SUMIF(куб!$G:$G,$G95,куб!U:U),IF($E95&lt;&gt;0,SUMIF(куб!$E:$E,$E95,куб!U:U),IF($D95&lt;&gt;0,SUMIF(куб!$D:$D,$D95,куб!U:U),IF($C95&lt;&gt;0,SUMIF(куб!$C:$C,$C95,куб!U:U),IF($B95&lt;&gt;0,SUMIF(куб!$B:$B,$B95,куб!U:U))))))</f>
        <v>0</v>
      </c>
      <c r="AL95" s="16" t="str">
        <f t="shared" si="44"/>
        <v>-</v>
      </c>
      <c r="AM95" s="8"/>
      <c r="AN95" s="17">
        <f t="shared" si="45"/>
        <v>0</v>
      </c>
      <c r="AO95" s="17">
        <f t="shared" si="46"/>
        <v>0</v>
      </c>
      <c r="AP95" s="16">
        <f t="shared" si="47"/>
        <v>0</v>
      </c>
      <c r="AQ95" s="8"/>
      <c r="AR95" s="17">
        <f t="shared" si="48"/>
        <v>0.11881644900304915</v>
      </c>
      <c r="AS95" s="17">
        <f t="shared" si="49"/>
        <v>6.2838401053041143E-2</v>
      </c>
      <c r="AT95" s="13">
        <f t="shared" si="50"/>
        <v>-5.5978047950008006E-2</v>
      </c>
      <c r="AU95" s="8"/>
    </row>
    <row r="96" spans="1:47" ht="15" customHeight="1" x14ac:dyDescent="0.25">
      <c r="A96" s="31" t="s">
        <v>26</v>
      </c>
      <c r="B96" s="31" t="s">
        <v>32</v>
      </c>
      <c r="C96" t="s">
        <v>33</v>
      </c>
      <c r="D96" s="31" t="s">
        <v>34</v>
      </c>
      <c r="E96" t="s">
        <v>203</v>
      </c>
      <c r="F96" s="31" t="s">
        <v>217</v>
      </c>
      <c r="G96" t="s">
        <v>218</v>
      </c>
      <c r="H96" s="27">
        <f>IF($G96&lt;&gt;0,SUMIF(куб!$G:$G,$G96,куб!H:H),IF($E96&lt;&gt;0,SUMIF(куб!$E:$E,$E96,куб!H:H),IF($D96&lt;&gt;0,SUMIF(куб!$D:$D,$D96,куб!H:H),IF($C96&lt;&gt;0,SUMIF(куб!$C:$C,$C96,куб!H:H),IF($B96&lt;&gt;0,SUMIF(куб!$B:$B,$B96,куб!H:H),IF($G96&lt;&gt;0,SUMIF(куб!$A:$A,$G96,куб!H:H),SUMIF(куб!$A:$A,$G96,куб!H:H)))))))</f>
        <v>169695.88569999996</v>
      </c>
      <c r="I96" s="27">
        <f>IF($G96&lt;&gt;0,SUMIF(куб!$G:$G,$G96,куб!I:I),IF($E96&lt;&gt;0,SUMIF(куб!$E:$E,$E96,куб!I:I),IF($D96&lt;&gt;0,SUMIF(куб!$D:$D,$D96,куб!I:I),IF($C96&lt;&gt;0,SUMIF(куб!$C:$C,$C96,куб!I:I),IF($B96&lt;&gt;0,SUMIF(куб!$B:$B,$B96,куб!I:I),IF($G96&lt;&gt;0,SUMIF(куб!$A:$A,$G96,куб!I:I),SUMIF(куб!$A:$A,$G96,куб!I:I)))))))</f>
        <v>193337.49559999999</v>
      </c>
      <c r="J96" s="19">
        <f t="shared" si="51"/>
        <v>0.13931751970578299</v>
      </c>
      <c r="K96" s="5"/>
      <c r="L96" s="17">
        <f t="shared" si="34"/>
        <v>3.5447638339466736E-4</v>
      </c>
      <c r="M96" s="17">
        <f t="shared" si="35"/>
        <v>4.1222937845037392E-4</v>
      </c>
      <c r="N96" s="12">
        <f t="shared" si="36"/>
        <v>5.7752995055706559E-5</v>
      </c>
      <c r="O96" s="5"/>
      <c r="P96" s="27">
        <f>IF($G96&lt;&gt;0,SUMIF(куб!$G:$G,$G96,куб!J:J),IF($E96&lt;&gt;0,SUMIF(куб!$E:$E,$E96,куб!J:J),IF($D96&lt;&gt;0,SUMIF(куб!$D:$D,$D96,куб!J:J),IF($C96&lt;&gt;0,SUMIF(куб!$C:$C,$C96,куб!J:J),IF($B96&lt;&gt;0,SUMIF(куб!$B:$B,$B96,куб!J:J))))))</f>
        <v>2688</v>
      </c>
      <c r="Q96" s="27">
        <f>IF($G96&lt;&gt;0,SUMIF(куб!$G:$G,$G96,куб!K:K),IF($E96&lt;&gt;0,SUMIF(куб!$E:$E,$E96,куб!K:K),IF($D96&lt;&gt;0,SUMIF(куб!$D:$D,$D96,куб!K:K),IF($C96&lt;&gt;0,SUMIF(куб!$C:$C,$C96,куб!K:K),IF($B96&lt;&gt;0,SUMIF(куб!$B:$B,$B96,куб!K:K))))))</f>
        <v>3052</v>
      </c>
      <c r="R96" s="13">
        <f t="shared" si="37"/>
        <v>0.13541666666666666</v>
      </c>
      <c r="S96" s="5"/>
      <c r="T96" s="27">
        <f>IF($G96&lt;&gt;0,SUMIF(куб!$G:$G,$G96,куб!L:L),IF($E96&lt;&gt;0,SUMIF(куб!$E:$E,$E96,куб!L:L),IF($D96&lt;&gt;0,SUMIF(куб!$D:$D,$D96,куб!L:L),IF($C96&lt;&gt;0,SUMIF(куб!$C:$C,$C96,куб!L:L),IF($B96&lt;&gt;0,SUMIF(куб!$B:$B,$B96,куб!L:L))))))</f>
        <v>2419.1999999999998</v>
      </c>
      <c r="U96" s="27">
        <f>IF($G96&lt;&gt;0,SUMIF(куб!$G:$G,$G96,куб!M:M),IF($E96&lt;&gt;0,SUMIF(куб!$E:$E,$E96,куб!M:M),IF($D96&lt;&gt;0,SUMIF(куб!$D:$D,$D96,куб!M:M),IF($C96&lt;&gt;0,SUMIF(куб!$C:$C,$C96,куб!M:M),IF($B96&lt;&gt;0,SUMIF(куб!$B:$B,$B96,куб!M:M))))))</f>
        <v>2746.7999999999997</v>
      </c>
      <c r="V96" s="13">
        <f t="shared" si="38"/>
        <v>0.13541666666666663</v>
      </c>
      <c r="W96" s="5"/>
      <c r="X96" s="27">
        <f>IF($G96&lt;&gt;0,SUMIF(куб!$G:$G,$G96,куб!N:N),IF($E96&lt;&gt;0,SUMIF(куб!$E:$E,$E96,куб!N:N),IF($D96&lt;&gt;0,SUMIF(куб!$D:$D,$D96,куб!N:N),IF($C96&lt;&gt;0,SUMIF(куб!$C:$C,$C96,куб!N:N),IF($B96&lt;&gt;0,SUMIF(куб!$B:$B,$B96,куб!N:N))))))</f>
        <v>19062.912899999996</v>
      </c>
      <c r="Y96" s="27">
        <f>IF($G96&lt;&gt;0,SUMIF(куб!$G:$G,$G96,куб!O:O),IF($E96&lt;&gt;0,SUMIF(куб!$E:$E,$E96,куб!O:O),IF($D96&lt;&gt;0,SUMIF(куб!$D:$D,$D96,куб!O:O),IF($C96&lt;&gt;0,SUMIF(куб!$C:$C,$C96,куб!O:O),IF($B96&lt;&gt;0,SUMIF(куб!$B:$B,$B96,куб!O:O))))))</f>
        <v>22175.816200000001</v>
      </c>
      <c r="Z96" s="13">
        <f t="shared" si="39"/>
        <v>0.16329630819432669</v>
      </c>
      <c r="AA96" s="5"/>
      <c r="AB96" s="33">
        <f t="shared" si="40"/>
        <v>0.11233574002908192</v>
      </c>
      <c r="AC96" s="33">
        <f t="shared" si="41"/>
        <v>0.11470002821325467</v>
      </c>
      <c r="AD96" s="15">
        <f t="shared" si="42"/>
        <v>2.3642881841727525E-3</v>
      </c>
      <c r="AE96" s="5"/>
      <c r="AF96" s="27">
        <f>IF($G96&lt;&gt;0,SUMIF(куб!$G:$G,$G96,куб!R:R),IF($E96&lt;&gt;0,SUMIF(куб!$E:$E,$E96,куб!R:R),IF($D96&lt;&gt;0,SUMIF(куб!$D:$D,$D96,куб!R:R),IF($C96&lt;&gt;0,SUMIF(куб!$C:$C,$C96,куб!R:R),IF($B96&lt;&gt;0,SUMIF(куб!$B:$B,$B96,куб!R:R))))))</f>
        <v>16493.505799999999</v>
      </c>
      <c r="AG96" s="27">
        <f>IF($G96&lt;&gt;0,SUMIF(куб!$G:$G,$G96,куб!S:S),IF($E96&lt;&gt;0,SUMIF(куб!$E:$E,$E96,куб!S:S),IF($D96&lt;&gt;0,SUMIF(куб!$D:$D,$D96,куб!S:S),IF($C96&lt;&gt;0,SUMIF(куб!$C:$C,$C96,куб!S:S),IF($B96&lt;&gt;0,SUMIF(куб!$B:$B,$B96,куб!S:S))))))</f>
        <v>11328.525099999997</v>
      </c>
      <c r="AH96" s="16">
        <f t="shared" si="43"/>
        <v>-0.31315238631680126</v>
      </c>
      <c r="AI96" s="8"/>
      <c r="AJ96" s="27">
        <f>IF($G96&lt;&gt;0,SUMIF(куб!$G:$G,$G96,куб!T:T),IF($E96&lt;&gt;0,SUMIF(куб!$E:$E,$E96,куб!T:T),IF($D96&lt;&gt;0,SUMIF(куб!$D:$D,$D96,куб!T:T),IF($C96&lt;&gt;0,SUMIF(куб!$C:$C,$C96,куб!T:T),IF($B96&lt;&gt;0,SUMIF(куб!$B:$B,$B96,куб!T:T))))))</f>
        <v>298</v>
      </c>
      <c r="AK96" s="27">
        <f>IF($G96&lt;&gt;0,SUMIF(куб!$G:$G,$G96,куб!U:U),IF($E96&lt;&gt;0,SUMIF(куб!$E:$E,$E96,куб!U:U),IF($D96&lt;&gt;0,SUMIF(куб!$D:$D,$D96,куб!U:U),IF($C96&lt;&gt;0,SUMIF(куб!$C:$C,$C96,куб!U:U),IF($B96&lt;&gt;0,SUMIF(куб!$B:$B,$B96,куб!U:U))))))</f>
        <v>202</v>
      </c>
      <c r="AL96" s="16">
        <f t="shared" si="44"/>
        <v>-0.32214765100671139</v>
      </c>
      <c r="AM96" s="8"/>
      <c r="AN96" s="17">
        <f t="shared" si="45"/>
        <v>9.7194494327094955E-2</v>
      </c>
      <c r="AO96" s="17">
        <f t="shared" si="46"/>
        <v>5.8594558002539876E-2</v>
      </c>
      <c r="AP96" s="16">
        <f t="shared" si="47"/>
        <v>-3.8599936324555079E-2</v>
      </c>
      <c r="AQ96" s="8"/>
      <c r="AR96" s="17">
        <f t="shared" si="48"/>
        <v>1.5141245701986971E-2</v>
      </c>
      <c r="AS96" s="17">
        <f t="shared" si="49"/>
        <v>5.6105470210714804E-2</v>
      </c>
      <c r="AT96" s="13">
        <f t="shared" si="50"/>
        <v>4.0964224508727831E-2</v>
      </c>
      <c r="AU96" s="8"/>
    </row>
    <row r="97" spans="1:47" ht="15" customHeight="1" x14ac:dyDescent="0.25">
      <c r="A97" s="31" t="s">
        <v>26</v>
      </c>
      <c r="B97" s="31" t="s">
        <v>32</v>
      </c>
      <c r="C97" t="s">
        <v>33</v>
      </c>
      <c r="D97" s="31" t="s">
        <v>34</v>
      </c>
      <c r="E97" t="s">
        <v>203</v>
      </c>
      <c r="F97" s="31" t="s">
        <v>219</v>
      </c>
      <c r="G97" t="s">
        <v>220</v>
      </c>
      <c r="H97" s="27">
        <f>IF($G97&lt;&gt;0,SUMIF(куб!$G:$G,$G97,куб!H:H),IF($E97&lt;&gt;0,SUMIF(куб!$E:$E,$E97,куб!H:H),IF($D97&lt;&gt;0,SUMIF(куб!$D:$D,$D97,куб!H:H),IF($C97&lt;&gt;0,SUMIF(куб!$C:$C,$C97,куб!H:H),IF($B97&lt;&gt;0,SUMIF(куб!$B:$B,$B97,куб!H:H),IF($G97&lt;&gt;0,SUMIF(куб!$A:$A,$G97,куб!H:H),SUMIF(куб!$A:$A,$G97,куб!H:H)))))))</f>
        <v>4256.9993999999997</v>
      </c>
      <c r="I97" s="27">
        <f>IF($G97&lt;&gt;0,SUMIF(куб!$G:$G,$G97,куб!I:I),IF($E97&lt;&gt;0,SUMIF(куб!$E:$E,$E97,куб!I:I),IF($D97&lt;&gt;0,SUMIF(куб!$D:$D,$D97,куб!I:I),IF($C97&lt;&gt;0,SUMIF(куб!$C:$C,$C97,куб!I:I),IF($B97&lt;&gt;0,SUMIF(куб!$B:$B,$B97,куб!I:I),IF($G97&lt;&gt;0,SUMIF(куб!$A:$A,$G97,куб!I:I),SUMIF(куб!$A:$A,$G97,куб!I:I)))))))</f>
        <v>0</v>
      </c>
      <c r="J97" s="19">
        <f t="shared" si="51"/>
        <v>-1</v>
      </c>
      <c r="K97" s="5"/>
      <c r="L97" s="17">
        <f t="shared" si="34"/>
        <v>8.8924121241984193E-6</v>
      </c>
      <c r="M97" s="17">
        <f t="shared" si="35"/>
        <v>0</v>
      </c>
      <c r="N97" s="12">
        <f t="shared" si="36"/>
        <v>-8.8924121241984193E-6</v>
      </c>
      <c r="O97" s="5"/>
      <c r="P97" s="27">
        <f>IF($G97&lt;&gt;0,SUMIF(куб!$G:$G,$G97,куб!J:J),IF($E97&lt;&gt;0,SUMIF(куб!$E:$E,$E97,куб!J:J),IF($D97&lt;&gt;0,SUMIF(куб!$D:$D,$D97,куб!J:J),IF($C97&lt;&gt;0,SUMIF(куб!$C:$C,$C97,куб!J:J),IF($B97&lt;&gt;0,SUMIF(куб!$B:$B,$B97,куб!J:J))))))</f>
        <v>43</v>
      </c>
      <c r="Q97" s="27">
        <f>IF($G97&lt;&gt;0,SUMIF(куб!$G:$G,$G97,куб!K:K),IF($E97&lt;&gt;0,SUMIF(куб!$E:$E,$E97,куб!K:K),IF($D97&lt;&gt;0,SUMIF(куб!$D:$D,$D97,куб!K:K),IF($C97&lt;&gt;0,SUMIF(куб!$C:$C,$C97,куб!K:K),IF($B97&lt;&gt;0,SUMIF(куб!$B:$B,$B97,куб!K:K))))))</f>
        <v>0</v>
      </c>
      <c r="R97" s="13">
        <f t="shared" si="37"/>
        <v>-1</v>
      </c>
      <c r="S97" s="5"/>
      <c r="T97" s="27">
        <f>IF($G97&lt;&gt;0,SUMIF(куб!$G:$G,$G97,куб!L:L),IF($E97&lt;&gt;0,SUMIF(куб!$E:$E,$E97,куб!L:L),IF($D97&lt;&gt;0,SUMIF(куб!$D:$D,$D97,куб!L:L),IF($C97&lt;&gt;0,SUMIF(куб!$C:$C,$C97,куб!L:L),IF($B97&lt;&gt;0,SUMIF(куб!$B:$B,$B97,куб!L:L))))))</f>
        <v>38.699999999999996</v>
      </c>
      <c r="U97" s="27">
        <f>IF($G97&lt;&gt;0,SUMIF(куб!$G:$G,$G97,куб!M:M),IF($E97&lt;&gt;0,SUMIF(куб!$E:$E,$E97,куб!M:M),IF($D97&lt;&gt;0,SUMIF(куб!$D:$D,$D97,куб!M:M),IF($C97&lt;&gt;0,SUMIF(куб!$C:$C,$C97,куб!M:M),IF($B97&lt;&gt;0,SUMIF(куб!$B:$B,$B97,куб!M:M))))))</f>
        <v>0</v>
      </c>
      <c r="V97" s="13">
        <f t="shared" si="38"/>
        <v>-1</v>
      </c>
      <c r="W97" s="5"/>
      <c r="X97" s="27">
        <f>IF($G97&lt;&gt;0,SUMIF(куб!$G:$G,$G97,куб!N:N),IF($E97&lt;&gt;0,SUMIF(куб!$E:$E,$E97,куб!N:N),IF($D97&lt;&gt;0,SUMIF(куб!$D:$D,$D97,куб!N:N),IF($C97&lt;&gt;0,SUMIF(куб!$C:$C,$C97,куб!N:N),IF($B97&lt;&gt;0,SUMIF(куб!$B:$B,$B97,куб!N:N))))))</f>
        <v>554.30999999999995</v>
      </c>
      <c r="Y97" s="27">
        <f>IF($G97&lt;&gt;0,SUMIF(куб!$G:$G,$G97,куб!O:O),IF($E97&lt;&gt;0,SUMIF(куб!$E:$E,$E97,куб!O:O),IF($D97&lt;&gt;0,SUMIF(куб!$D:$D,$D97,куб!O:O),IF($C97&lt;&gt;0,SUMIF(куб!$C:$C,$C97,куб!O:O),IF($B97&lt;&gt;0,SUMIF(куб!$B:$B,$B97,куб!O:O))))))</f>
        <v>0</v>
      </c>
      <c r="Z97" s="13">
        <f t="shared" si="39"/>
        <v>-1</v>
      </c>
      <c r="AA97" s="5"/>
      <c r="AB97" s="33">
        <f t="shared" si="40"/>
        <v>0.13021143484304931</v>
      </c>
      <c r="AC97" s="33" t="str">
        <f t="shared" si="41"/>
        <v/>
      </c>
      <c r="AD97" s="15" t="str">
        <f t="shared" si="42"/>
        <v xml:space="preserve"> </v>
      </c>
      <c r="AE97" s="5"/>
      <c r="AF97" s="27">
        <f>IF($G97&lt;&gt;0,SUMIF(куб!$G:$G,$G97,куб!R:R),IF($E97&lt;&gt;0,SUMIF(куб!$E:$E,$E97,куб!R:R),IF($D97&lt;&gt;0,SUMIF(куб!$D:$D,$D97,куб!R:R),IF($C97&lt;&gt;0,SUMIF(куб!$C:$C,$C97,куб!R:R),IF($B97&lt;&gt;0,SUMIF(куб!$B:$B,$B97,куб!R:R))))))</f>
        <v>86.108999999999995</v>
      </c>
      <c r="AG97" s="27">
        <f>IF($G97&lt;&gt;0,SUMIF(куб!$G:$G,$G97,куб!S:S),IF($E97&lt;&gt;0,SUMIF(куб!$E:$E,$E97,куб!S:S),IF($D97&lt;&gt;0,SUMIF(куб!$D:$D,$D97,куб!S:S),IF($C97&lt;&gt;0,SUMIF(куб!$C:$C,$C97,куб!S:S),IF($B97&lt;&gt;0,SUMIF(куб!$B:$B,$B97,куб!S:S))))))</f>
        <v>0</v>
      </c>
      <c r="AH97" s="16">
        <f t="shared" si="43"/>
        <v>-1</v>
      </c>
      <c r="AI97" s="8"/>
      <c r="AJ97" s="27">
        <f>IF($G97&lt;&gt;0,SUMIF(куб!$G:$G,$G97,куб!T:T),IF($E97&lt;&gt;0,SUMIF(куб!$E:$E,$E97,куб!T:T),IF($D97&lt;&gt;0,SUMIF(куб!$D:$D,$D97,куб!T:T),IF($C97&lt;&gt;0,SUMIF(куб!$C:$C,$C97,куб!T:T),IF($B97&lt;&gt;0,SUMIF(куб!$B:$B,$B97,куб!T:T))))))</f>
        <v>1</v>
      </c>
      <c r="AK97" s="27">
        <f>IF($G97&lt;&gt;0,SUMIF(куб!$G:$G,$G97,куб!U:U),IF($E97&lt;&gt;0,SUMIF(куб!$E:$E,$E97,куб!U:U),IF($D97&lt;&gt;0,SUMIF(куб!$D:$D,$D97,куб!U:U),IF($C97&lt;&gt;0,SUMIF(куб!$C:$C,$C97,куб!U:U),IF($B97&lt;&gt;0,SUMIF(куб!$B:$B,$B97,куб!U:U))))))</f>
        <v>0</v>
      </c>
      <c r="AL97" s="16">
        <f t="shared" si="44"/>
        <v>-1</v>
      </c>
      <c r="AM97" s="8"/>
      <c r="AN97" s="17">
        <f t="shared" si="45"/>
        <v>2.0227627939059609E-2</v>
      </c>
      <c r="AO97" s="17" t="str">
        <f t="shared" si="46"/>
        <v xml:space="preserve"> </v>
      </c>
      <c r="AP97" s="16" t="str">
        <f t="shared" si="47"/>
        <v>-</v>
      </c>
      <c r="AQ97" s="8"/>
      <c r="AR97" s="17">
        <f t="shared" si="48"/>
        <v>0.10998380690398969</v>
      </c>
      <c r="AS97" s="17" t="str">
        <f t="shared" si="49"/>
        <v>-</v>
      </c>
      <c r="AT97" s="13" t="str">
        <f t="shared" si="50"/>
        <v>-</v>
      </c>
      <c r="AU97" s="8"/>
    </row>
    <row r="98" spans="1:47" ht="15" customHeight="1" x14ac:dyDescent="0.25">
      <c r="A98" s="31" t="s">
        <v>26</v>
      </c>
      <c r="B98" s="31" t="s">
        <v>32</v>
      </c>
      <c r="C98" t="s">
        <v>33</v>
      </c>
      <c r="D98" s="31" t="s">
        <v>34</v>
      </c>
      <c r="E98" t="s">
        <v>203</v>
      </c>
      <c r="F98" s="31" t="s">
        <v>221</v>
      </c>
      <c r="G98" t="s">
        <v>222</v>
      </c>
      <c r="H98" s="27">
        <f>IF($G98&lt;&gt;0,SUMIF(куб!$G:$G,$G98,куб!H:H),IF($E98&lt;&gt;0,SUMIF(куб!$E:$E,$E98,куб!H:H),IF($D98&lt;&gt;0,SUMIF(куб!$D:$D,$D98,куб!H:H),IF($C98&lt;&gt;0,SUMIF(куб!$C:$C,$C98,куб!H:H),IF($B98&lt;&gt;0,SUMIF(куб!$B:$B,$B98,куб!H:H),IF($G98&lt;&gt;0,SUMIF(куб!$A:$A,$G98,куб!H:H),SUMIF(куб!$A:$A,$G98,куб!H:H)))))))</f>
        <v>18686.150099999999</v>
      </c>
      <c r="I98" s="27">
        <f>IF($G98&lt;&gt;0,SUMIF(куб!$G:$G,$G98,куб!I:I),IF($E98&lt;&gt;0,SUMIF(куб!$E:$E,$E98,куб!I:I),IF($D98&lt;&gt;0,SUMIF(куб!$D:$D,$D98,куб!I:I),IF($C98&lt;&gt;0,SUMIF(куб!$C:$C,$C98,куб!I:I),IF($B98&lt;&gt;0,SUMIF(куб!$B:$B,$B98,куб!I:I),IF($G98&lt;&gt;0,SUMIF(куб!$A:$A,$G98,куб!I:I),SUMIF(куб!$A:$A,$G98,куб!I:I)))))))</f>
        <v>13108.513900000002</v>
      </c>
      <c r="J98" s="19">
        <f t="shared" si="51"/>
        <v>-0.29849038834382463</v>
      </c>
      <c r="K98" s="8"/>
      <c r="L98" s="17">
        <f t="shared" si="34"/>
        <v>3.9033350040836632E-5</v>
      </c>
      <c r="M98" s="17">
        <f t="shared" si="35"/>
        <v>2.794964588030532E-5</v>
      </c>
      <c r="N98" s="12">
        <f t="shared" si="36"/>
        <v>-1.1083704160531312E-5</v>
      </c>
      <c r="O98" s="5"/>
      <c r="P98" s="27">
        <f>IF($G98&lt;&gt;0,SUMIF(куб!$G:$G,$G98,куб!J:J),IF($E98&lt;&gt;0,SUMIF(куб!$E:$E,$E98,куб!J:J),IF($D98&lt;&gt;0,SUMIF(куб!$D:$D,$D98,куб!J:J),IF($C98&lt;&gt;0,SUMIF(куб!$C:$C,$C98,куб!J:J),IF($B98&lt;&gt;0,SUMIF(куб!$B:$B,$B98,куб!J:J))))))</f>
        <v>271</v>
      </c>
      <c r="Q98" s="27">
        <f>IF($G98&lt;&gt;0,SUMIF(куб!$G:$G,$G98,куб!K:K),IF($E98&lt;&gt;0,SUMIF(куб!$E:$E,$E98,куб!K:K),IF($D98&lt;&gt;0,SUMIF(куб!$D:$D,$D98,куб!K:K),IF($C98&lt;&gt;0,SUMIF(куб!$C:$C,$C98,куб!K:K),IF($B98&lt;&gt;0,SUMIF(куб!$B:$B,$B98,куб!K:K))))))</f>
        <v>190</v>
      </c>
      <c r="R98" s="13">
        <f t="shared" si="37"/>
        <v>-0.2988929889298893</v>
      </c>
      <c r="S98" s="5"/>
      <c r="T98" s="27">
        <f>IF($G98&lt;&gt;0,SUMIF(куб!$G:$G,$G98,куб!L:L),IF($E98&lt;&gt;0,SUMIF(куб!$E:$E,$E98,куб!L:L),IF($D98&lt;&gt;0,SUMIF(куб!$D:$D,$D98,куб!L:L),IF($C98&lt;&gt;0,SUMIF(куб!$C:$C,$C98,куб!L:L),IF($B98&lt;&gt;0,SUMIF(куб!$B:$B,$B98,куб!L:L))))))</f>
        <v>243.89999999999995</v>
      </c>
      <c r="U98" s="27">
        <f>IF($G98&lt;&gt;0,SUMIF(куб!$G:$G,$G98,куб!M:M),IF($E98&lt;&gt;0,SUMIF(куб!$E:$E,$E98,куб!M:M),IF($D98&lt;&gt;0,SUMIF(куб!$D:$D,$D98,куб!M:M),IF($C98&lt;&gt;0,SUMIF(куб!$C:$C,$C98,куб!M:M),IF($B98&lt;&gt;0,SUMIF(куб!$B:$B,$B98,куб!M:M))))))</f>
        <v>171</v>
      </c>
      <c r="V98" s="13">
        <f t="shared" si="38"/>
        <v>-0.29889298892988914</v>
      </c>
      <c r="W98" s="5"/>
      <c r="X98" s="27">
        <f>IF($G98&lt;&gt;0,SUMIF(куб!$G:$G,$G98,куб!N:N),IF($E98&lt;&gt;0,SUMIF(куб!$E:$E,$E98,куб!N:N),IF($D98&lt;&gt;0,SUMIF(куб!$D:$D,$D98,куб!N:N),IF($C98&lt;&gt;0,SUMIF(куб!$C:$C,$C98,куб!N:N),IF($B98&lt;&gt;0,SUMIF(куб!$B:$B,$B98,куб!N:N))))))</f>
        <v>2426.1500999999989</v>
      </c>
      <c r="Y98" s="27">
        <f>IF($G98&lt;&gt;0,SUMIF(куб!$G:$G,$G98,куб!O:O),IF($E98&lt;&gt;0,SUMIF(куб!$E:$E,$E98,куб!O:O),IF($D98&lt;&gt;0,SUMIF(куб!$D:$D,$D98,куб!O:O),IF($C98&lt;&gt;0,SUMIF(куб!$C:$C,$C98,куб!O:O),IF($B98&lt;&gt;0,SUMIF(куб!$B:$B,$B98,куб!O:O))))))</f>
        <v>1708.5139000000017</v>
      </c>
      <c r="Z98" s="13">
        <f t="shared" si="39"/>
        <v>-0.2957921688357194</v>
      </c>
      <c r="AA98" s="5"/>
      <c r="AB98" s="33">
        <f t="shared" si="40"/>
        <v>0.12983680892084876</v>
      </c>
      <c r="AC98" s="33">
        <f t="shared" si="41"/>
        <v>0.13033620081068087</v>
      </c>
      <c r="AD98" s="15">
        <f t="shared" si="42"/>
        <v>4.9939188983211258E-4</v>
      </c>
      <c r="AE98" s="5"/>
      <c r="AF98" s="27">
        <f>IF($G98&lt;&gt;0,SUMIF(куб!$G:$G,$G98,куб!R:R),IF($E98&lt;&gt;0,SUMIF(куб!$E:$E,$E98,куб!R:R),IF($D98&lt;&gt;0,SUMIF(куб!$D:$D,$D98,куб!R:R),IF($C98&lt;&gt;0,SUMIF(куб!$C:$C,$C98,куб!R:R),IF($B98&lt;&gt;0,SUMIF(куб!$B:$B,$B98,куб!R:R))))))</f>
        <v>1920</v>
      </c>
      <c r="AG98" s="27">
        <f>IF($G98&lt;&gt;0,SUMIF(куб!$G:$G,$G98,куб!S:S),IF($E98&lt;&gt;0,SUMIF(куб!$E:$E,$E98,куб!S:S),IF($D98&lt;&gt;0,SUMIF(куб!$D:$D,$D98,куб!S:S),IF($C98&lt;&gt;0,SUMIF(куб!$C:$C,$C98,куб!S:S),IF($B98&lt;&gt;0,SUMIF(куб!$B:$B,$B98,куб!S:S))))))</f>
        <v>1140</v>
      </c>
      <c r="AH98" s="16">
        <f t="shared" si="43"/>
        <v>-0.40625</v>
      </c>
      <c r="AI98" s="8"/>
      <c r="AJ98" s="27">
        <f>IF($G98&lt;&gt;0,SUMIF(куб!$G:$G,$G98,куб!T:T),IF($E98&lt;&gt;0,SUMIF(куб!$E:$E,$E98,куб!T:T),IF($D98&lt;&gt;0,SUMIF(куб!$D:$D,$D98,куб!T:T),IF($C98&lt;&gt;0,SUMIF(куб!$C:$C,$C98,куб!T:T),IF($B98&lt;&gt;0,SUMIF(куб!$B:$B,$B98,куб!T:T))))))</f>
        <v>32</v>
      </c>
      <c r="AK98" s="27">
        <f>IF($G98&lt;&gt;0,SUMIF(куб!$G:$G,$G98,куб!U:U),IF($E98&lt;&gt;0,SUMIF(куб!$E:$E,$E98,куб!U:U),IF($D98&lt;&gt;0,SUMIF(куб!$D:$D,$D98,куб!U:U),IF($C98&lt;&gt;0,SUMIF(куб!$C:$C,$C98,куб!U:U),IF($B98&lt;&gt;0,SUMIF(куб!$B:$B,$B98,куб!U:U))))))</f>
        <v>19</v>
      </c>
      <c r="AL98" s="16">
        <f t="shared" si="44"/>
        <v>-0.40625</v>
      </c>
      <c r="AM98" s="8"/>
      <c r="AN98" s="17">
        <f t="shared" si="45"/>
        <v>0.1027498971015972</v>
      </c>
      <c r="AO98" s="17">
        <f t="shared" si="46"/>
        <v>8.6966379918931913E-2</v>
      </c>
      <c r="AP98" s="16">
        <f t="shared" si="47"/>
        <v>-1.5783517182665283E-2</v>
      </c>
      <c r="AQ98" s="8"/>
      <c r="AR98" s="17">
        <f t="shared" si="48"/>
        <v>2.7086911819251571E-2</v>
      </c>
      <c r="AS98" s="17">
        <f t="shared" si="49"/>
        <v>4.3369820891748963E-2</v>
      </c>
      <c r="AT98" s="13">
        <f t="shared" si="50"/>
        <v>1.6282909072497392E-2</v>
      </c>
      <c r="AU98" s="8"/>
    </row>
    <row r="99" spans="1:47" ht="15" customHeight="1" x14ac:dyDescent="0.25">
      <c r="A99" s="31" t="s">
        <v>26</v>
      </c>
      <c r="B99" s="31" t="s">
        <v>32</v>
      </c>
      <c r="C99" t="s">
        <v>33</v>
      </c>
      <c r="D99" s="31" t="s">
        <v>34</v>
      </c>
      <c r="E99" t="s">
        <v>203</v>
      </c>
      <c r="F99" s="31" t="s">
        <v>223</v>
      </c>
      <c r="G99" t="s">
        <v>224</v>
      </c>
      <c r="H99" s="27">
        <f>IF($G99&lt;&gt;0,SUMIF(куб!$G:$G,$G99,куб!H:H),IF($E99&lt;&gt;0,SUMIF(куб!$E:$E,$E99,куб!H:H),IF($D99&lt;&gt;0,SUMIF(куб!$D:$D,$D99,куб!H:H),IF($C99&lt;&gt;0,SUMIF(куб!$C:$C,$C99,куб!H:H),IF($B99&lt;&gt;0,SUMIF(куб!$B:$B,$B99,куб!H:H),IF($G99&lt;&gt;0,SUMIF(куб!$A:$A,$G99,куб!H:H),SUMIF(куб!$A:$A,$G99,куб!H:H)))))))</f>
        <v>1385947.2012000014</v>
      </c>
      <c r="I99" s="27">
        <f>IF($G99&lt;&gt;0,SUMIF(куб!$G:$G,$G99,куб!I:I),IF($E99&lt;&gt;0,SUMIF(куб!$E:$E,$E99,куб!I:I),IF($D99&lt;&gt;0,SUMIF(куб!$D:$D,$D99,куб!I:I),IF($C99&lt;&gt;0,SUMIF(куб!$C:$C,$C99,куб!I:I),IF($B99&lt;&gt;0,SUMIF(куб!$B:$B,$B99,куб!I:I),IF($G99&lt;&gt;0,SUMIF(куб!$A:$A,$G99,куб!I:I),SUMIF(куб!$A:$A,$G99,куб!I:I)))))))</f>
        <v>695542.79799999972</v>
      </c>
      <c r="J99" s="19">
        <f t="shared" si="51"/>
        <v>-0.49814625160484144</v>
      </c>
      <c r="K99" s="10"/>
      <c r="L99" s="17">
        <f t="shared" si="34"/>
        <v>2.8950940644834858E-3</v>
      </c>
      <c r="M99" s="17">
        <f t="shared" si="35"/>
        <v>1.4830189788864415E-3</v>
      </c>
      <c r="N99" s="12">
        <f t="shared" si="36"/>
        <v>-1.4120750855970443E-3</v>
      </c>
      <c r="O99" s="5"/>
      <c r="P99" s="27">
        <f>IF($G99&lt;&gt;0,SUMIF(куб!$G:$G,$G99,куб!J:J),IF($E99&lt;&gt;0,SUMIF(куб!$E:$E,$E99,куб!J:J),IF($D99&lt;&gt;0,SUMIF(куб!$D:$D,$D99,куб!J:J),IF($C99&lt;&gt;0,SUMIF(куб!$C:$C,$C99,куб!J:J),IF($B99&lt;&gt;0,SUMIF(куб!$B:$B,$B99,куб!J:J))))))</f>
        <v>15512</v>
      </c>
      <c r="Q99" s="27">
        <f>IF($G99&lt;&gt;0,SUMIF(куб!$G:$G,$G99,куб!K:K),IF($E99&lt;&gt;0,SUMIF(куб!$E:$E,$E99,куб!K:K),IF($D99&lt;&gt;0,SUMIF(куб!$D:$D,$D99,куб!K:K),IF($C99&lt;&gt;0,SUMIF(куб!$C:$C,$C99,куб!K:K),IF($B99&lt;&gt;0,SUMIF(куб!$B:$B,$B99,куб!K:K))))))</f>
        <v>8756</v>
      </c>
      <c r="R99" s="13">
        <f t="shared" si="37"/>
        <v>-0.43553378029912326</v>
      </c>
      <c r="S99" s="5"/>
      <c r="T99" s="27">
        <f>IF($G99&lt;&gt;0,SUMIF(куб!$G:$G,$G99,куб!L:L),IF($E99&lt;&gt;0,SUMIF(куб!$E:$E,$E99,куб!L:L),IF($D99&lt;&gt;0,SUMIF(куб!$D:$D,$D99,куб!L:L),IF($C99&lt;&gt;0,SUMIF(куб!$C:$C,$C99,куб!L:L),IF($B99&lt;&gt;0,SUMIF(куб!$B:$B,$B99,куб!L:L))))))</f>
        <v>13960.800000000012</v>
      </c>
      <c r="U99" s="27">
        <f>IF($G99&lt;&gt;0,SUMIF(куб!$G:$G,$G99,куб!M:M),IF($E99&lt;&gt;0,SUMIF(куб!$E:$E,$E99,куб!M:M),IF($D99&lt;&gt;0,SUMIF(куб!$D:$D,$D99,куб!M:M),IF($C99&lt;&gt;0,SUMIF(куб!$C:$C,$C99,куб!M:M),IF($B99&lt;&gt;0,SUMIF(куб!$B:$B,$B99,куб!M:M))))))</f>
        <v>7880.4000000000042</v>
      </c>
      <c r="V99" s="13">
        <f t="shared" si="38"/>
        <v>-0.43553378029912343</v>
      </c>
      <c r="W99" s="5"/>
      <c r="X99" s="27">
        <f>IF($G99&lt;&gt;0,SUMIF(куб!$G:$G,$G99,куб!N:N),IF($E99&lt;&gt;0,SUMIF(куб!$E:$E,$E99,куб!N:N),IF($D99&lt;&gt;0,SUMIF(куб!$D:$D,$D99,куб!N:N),IF($C99&lt;&gt;0,SUMIF(куб!$C:$C,$C99,куб!N:N),IF($B99&lt;&gt;0,SUMIF(куб!$B:$B,$B99,куб!N:N))))))</f>
        <v>161707.62790000066</v>
      </c>
      <c r="Y99" s="27">
        <f>IF($G99&lt;&gt;0,SUMIF(куб!$G:$G,$G99,куб!O:O),IF($E99&lt;&gt;0,SUMIF(куб!$E:$E,$E99,куб!O:O),IF($D99&lt;&gt;0,SUMIF(куб!$D:$D,$D99,куб!O:O),IF($C99&lt;&gt;0,SUMIF(куб!$C:$C,$C99,куб!O:O),IF($B99&lt;&gt;0,SUMIF(куб!$B:$B,$B99,куб!O:O))))))</f>
        <v>20685.036399999051</v>
      </c>
      <c r="Z99" s="13">
        <f t="shared" si="39"/>
        <v>-0.8720837311843409</v>
      </c>
      <c r="AA99" s="5"/>
      <c r="AB99" s="33">
        <f t="shared" si="40"/>
        <v>0.11667661492442753</v>
      </c>
      <c r="AC99" s="33">
        <f t="shared" si="41"/>
        <v>2.973941569013135E-2</v>
      </c>
      <c r="AD99" s="15">
        <f t="shared" si="42"/>
        <v>-8.6937199234296186E-2</v>
      </c>
      <c r="AE99" s="5"/>
      <c r="AF99" s="27">
        <f>IF($G99&lt;&gt;0,SUMIF(куб!$G:$G,$G99,куб!R:R),IF($E99&lt;&gt;0,SUMIF(куб!$E:$E,$E99,куб!R:R),IF($D99&lt;&gt;0,SUMIF(куб!$D:$D,$D99,куб!R:R),IF($C99&lt;&gt;0,SUMIF(куб!$C:$C,$C99,куб!R:R),IF($B99&lt;&gt;0,SUMIF(куб!$B:$B,$B99,куб!R:R))))))</f>
        <v>36256.770899999989</v>
      </c>
      <c r="AG99" s="27">
        <f>IF($G99&lt;&gt;0,SUMIF(куб!$G:$G,$G99,куб!S:S),IF($E99&lt;&gt;0,SUMIF(куб!$E:$E,$E99,куб!S:S),IF($D99&lt;&gt;0,SUMIF(куб!$D:$D,$D99,куб!S:S),IF($C99&lt;&gt;0,SUMIF(куб!$C:$C,$C99,куб!S:S),IF($B99&lt;&gt;0,SUMIF(куб!$B:$B,$B99,куб!S:S))))))</f>
        <v>19037.383100000003</v>
      </c>
      <c r="AH99" s="16">
        <f t="shared" si="43"/>
        <v>-0.47492888562781499</v>
      </c>
      <c r="AI99" s="8"/>
      <c r="AJ99" s="27">
        <f>IF($G99&lt;&gt;0,SUMIF(куб!$G:$G,$G99,куб!T:T),IF($E99&lt;&gt;0,SUMIF(куб!$E:$E,$E99,куб!T:T),IF($D99&lt;&gt;0,SUMIF(куб!$D:$D,$D99,куб!T:T),IF($C99&lt;&gt;0,SUMIF(куб!$C:$C,$C99,куб!T:T),IF($B99&lt;&gt;0,SUMIF(куб!$B:$B,$B99,куб!T:T))))))</f>
        <v>457</v>
      </c>
      <c r="AK99" s="27">
        <f>IF($G99&lt;&gt;0,SUMIF(куб!$G:$G,$G99,куб!U:U),IF($E99&lt;&gt;0,SUMIF(куб!$E:$E,$E99,куб!U:U),IF($D99&lt;&gt;0,SUMIF(куб!$D:$D,$D99,куб!U:U),IF($C99&lt;&gt;0,SUMIF(куб!$C:$C,$C99,куб!U:U),IF($B99&lt;&gt;0,SUMIF(куб!$B:$B,$B99,куб!U:U))))))</f>
        <v>240</v>
      </c>
      <c r="AL99" s="16">
        <f t="shared" si="44"/>
        <v>-0.474835886214442</v>
      </c>
      <c r="AM99" s="8"/>
      <c r="AN99" s="17">
        <f t="shared" si="45"/>
        <v>2.6160282923193331E-2</v>
      </c>
      <c r="AO99" s="17">
        <f t="shared" si="46"/>
        <v>2.7370541618346268E-2</v>
      </c>
      <c r="AP99" s="16">
        <f t="shared" si="47"/>
        <v>1.2102586951529375E-3</v>
      </c>
      <c r="AQ99" s="8"/>
      <c r="AR99" s="17">
        <f t="shared" si="48"/>
        <v>9.0516332001234212E-2</v>
      </c>
      <c r="AS99" s="17">
        <f t="shared" si="49"/>
        <v>2.3688740717850826E-3</v>
      </c>
      <c r="AT99" s="13">
        <f t="shared" si="50"/>
        <v>-8.8147457929449127E-2</v>
      </c>
      <c r="AU99" s="8"/>
    </row>
    <row r="100" spans="1:47" ht="15" customHeight="1" x14ac:dyDescent="0.25">
      <c r="A100" s="31" t="s">
        <v>26</v>
      </c>
      <c r="B100" s="31" t="s">
        <v>32</v>
      </c>
      <c r="C100" t="s">
        <v>33</v>
      </c>
      <c r="D100" s="31" t="s">
        <v>34</v>
      </c>
      <c r="E100" t="s">
        <v>203</v>
      </c>
      <c r="F100" s="31" t="s">
        <v>225</v>
      </c>
      <c r="G100" t="s">
        <v>226</v>
      </c>
      <c r="H100" s="27">
        <f>IF($G100&lt;&gt;0,SUMIF(куб!$G:$G,$G100,куб!H:H),IF($E100&lt;&gt;0,SUMIF(куб!$E:$E,$E100,куб!H:H),IF($D100&lt;&gt;0,SUMIF(куб!$D:$D,$D100,куб!H:H),IF($C100&lt;&gt;0,SUMIF(куб!$C:$C,$C100,куб!H:H),IF($B100&lt;&gt;0,SUMIF(куб!$B:$B,$B100,куб!H:H),IF($G100&lt;&gt;0,SUMIF(куб!$A:$A,$G100,куб!H:H),SUMIF(куб!$A:$A,$G100,куб!H:H)))))))</f>
        <v>2426760.0160000003</v>
      </c>
      <c r="I100" s="27">
        <f>IF($G100&lt;&gt;0,SUMIF(куб!$G:$G,$G100,куб!I:I),IF($E100&lt;&gt;0,SUMIF(куб!$E:$E,$E100,куб!I:I),IF($D100&lt;&gt;0,SUMIF(куб!$D:$D,$D100,куб!I:I),IF($C100&lt;&gt;0,SUMIF(куб!$C:$C,$C100,куб!I:I),IF($B100&lt;&gt;0,SUMIF(куб!$B:$B,$B100,куб!I:I),IF($G100&lt;&gt;0,SUMIF(куб!$A:$A,$G100,куб!I:I),SUMIF(куб!$A:$A,$G100,куб!I:I)))))))</f>
        <v>4265931.7170999981</v>
      </c>
      <c r="J100" s="19">
        <f t="shared" si="51"/>
        <v>0.7578712723854264</v>
      </c>
      <c r="K100" s="5"/>
      <c r="L100" s="17">
        <f t="shared" si="34"/>
        <v>5.0692396594649164E-3</v>
      </c>
      <c r="M100" s="17">
        <f t="shared" si="35"/>
        <v>9.0957130420792967E-3</v>
      </c>
      <c r="N100" s="12">
        <f t="shared" si="36"/>
        <v>4.0264733826143803E-3</v>
      </c>
      <c r="O100" s="5"/>
      <c r="P100" s="27">
        <f>IF($G100&lt;&gt;0,SUMIF(куб!$G:$G,$G100,куб!J:J),IF($E100&lt;&gt;0,SUMIF(куб!$E:$E,$E100,куб!J:J),IF($D100&lt;&gt;0,SUMIF(куб!$D:$D,$D100,куб!J:J),IF($C100&lt;&gt;0,SUMIF(куб!$C:$C,$C100,куб!J:J),IF($B100&lt;&gt;0,SUMIF(куб!$B:$B,$B100,куб!J:J))))))</f>
        <v>28102</v>
      </c>
      <c r="Q100" s="27">
        <f>IF($G100&lt;&gt;0,SUMIF(куб!$G:$G,$G100,куб!K:K),IF($E100&lt;&gt;0,SUMIF(куб!$E:$E,$E100,куб!K:K),IF($D100&lt;&gt;0,SUMIF(куб!$D:$D,$D100,куб!K:K),IF($C100&lt;&gt;0,SUMIF(куб!$C:$C,$C100,куб!K:K),IF($B100&lt;&gt;0,SUMIF(куб!$B:$B,$B100,куб!K:K))))))</f>
        <v>51605</v>
      </c>
      <c r="R100" s="13">
        <f t="shared" si="37"/>
        <v>0.83634616753255997</v>
      </c>
      <c r="S100" s="5"/>
      <c r="T100" s="27">
        <f>IF($G100&lt;&gt;0,SUMIF(куб!$G:$G,$G100,куб!L:L),IF($E100&lt;&gt;0,SUMIF(куб!$E:$E,$E100,куб!L:L),IF($D100&lt;&gt;0,SUMIF(куб!$D:$D,$D100,куб!L:L),IF($C100&lt;&gt;0,SUMIF(куб!$C:$C,$C100,куб!L:L),IF($B100&lt;&gt;0,SUMIF(куб!$B:$B,$B100,куб!L:L))))))</f>
        <v>25291.799999999988</v>
      </c>
      <c r="U100" s="27">
        <f>IF($G100&lt;&gt;0,SUMIF(куб!$G:$G,$G100,куб!M:M),IF($E100&lt;&gt;0,SUMIF(куб!$E:$E,$E100,куб!M:M),IF($D100&lt;&gt;0,SUMIF(куб!$D:$D,$D100,куб!M:M),IF($C100&lt;&gt;0,SUMIF(куб!$C:$C,$C100,куб!M:M),IF($B100&lt;&gt;0,SUMIF(куб!$B:$B,$B100,куб!M:M))))))</f>
        <v>46444.499999999971</v>
      </c>
      <c r="V100" s="13">
        <f t="shared" si="38"/>
        <v>0.83634616753255964</v>
      </c>
      <c r="W100" s="5"/>
      <c r="X100" s="27">
        <f>IF($G100&lt;&gt;0,SUMIF(куб!$G:$G,$G100,куб!N:N),IF($E100&lt;&gt;0,SUMIF(куб!$E:$E,$E100,куб!N:N),IF($D100&lt;&gt;0,SUMIF(куб!$D:$D,$D100,куб!N:N),IF($C100&lt;&gt;0,SUMIF(куб!$C:$C,$C100,куб!N:N),IF($B100&lt;&gt;0,SUMIF(куб!$B:$B,$B100,куб!N:N))))))</f>
        <v>280001.24109999835</v>
      </c>
      <c r="Y100" s="27">
        <f>IF($G100&lt;&gt;0,SUMIF(куб!$G:$G,$G100,куб!O:O),IF($E100&lt;&gt;0,SUMIF(куб!$E:$E,$E100,куб!O:O),IF($D100&lt;&gt;0,SUMIF(куб!$D:$D,$D100,куб!O:O),IF($C100&lt;&gt;0,SUMIF(куб!$C:$C,$C100,куб!O:O),IF($B100&lt;&gt;0,SUMIF(куб!$B:$B,$B100,куб!O:O))))))</f>
        <v>519545.86819999572</v>
      </c>
      <c r="Z100" s="13">
        <f t="shared" si="39"/>
        <v>0.8555127332969481</v>
      </c>
      <c r="AA100" s="5"/>
      <c r="AB100" s="33">
        <f t="shared" si="40"/>
        <v>0.115380688347388</v>
      </c>
      <c r="AC100" s="33">
        <f t="shared" si="41"/>
        <v>0.12178954157128084</v>
      </c>
      <c r="AD100" s="15">
        <f t="shared" si="42"/>
        <v>6.4088532238928408E-3</v>
      </c>
      <c r="AE100" s="5"/>
      <c r="AF100" s="27">
        <f>IF($G100&lt;&gt;0,SUMIF(куб!$G:$G,$G100,куб!R:R),IF($E100&lt;&gt;0,SUMIF(куб!$E:$E,$E100,куб!R:R),IF($D100&lt;&gt;0,SUMIF(куб!$D:$D,$D100,куб!R:R),IF($C100&lt;&gt;0,SUMIF(куб!$C:$C,$C100,куб!R:R),IF($B100&lt;&gt;0,SUMIF(куб!$B:$B,$B100,куб!R:R))))))</f>
        <v>2445.5628999999994</v>
      </c>
      <c r="AG100" s="27">
        <f>IF($G100&lt;&gt;0,SUMIF(куб!$G:$G,$G100,куб!S:S),IF($E100&lt;&gt;0,SUMIF(куб!$E:$E,$E100,куб!S:S),IF($D100&lt;&gt;0,SUMIF(куб!$D:$D,$D100,куб!S:S),IF($C100&lt;&gt;0,SUMIF(куб!$C:$C,$C100,куб!S:S),IF($B100&lt;&gt;0,SUMIF(куб!$B:$B,$B100,куб!S:S))))))</f>
        <v>3882.8164000000002</v>
      </c>
      <c r="AH100" s="16">
        <f t="shared" si="43"/>
        <v>0.58769843948810352</v>
      </c>
      <c r="AI100" s="8"/>
      <c r="AJ100" s="27">
        <f>IF($G100&lt;&gt;0,SUMIF(куб!$G:$G,$G100,куб!T:T),IF($E100&lt;&gt;0,SUMIF(куб!$E:$E,$E100,куб!T:T),IF($D100&lt;&gt;0,SUMIF(куб!$D:$D,$D100,куб!T:T),IF($C100&lt;&gt;0,SUMIF(куб!$C:$C,$C100,куб!T:T),IF($B100&lt;&gt;0,SUMIF(куб!$B:$B,$B100,куб!T:T))))))</f>
        <v>32</v>
      </c>
      <c r="AK100" s="27">
        <f>IF($G100&lt;&gt;0,SUMIF(куб!$G:$G,$G100,куб!U:U),IF($E100&lt;&gt;0,SUMIF(куб!$E:$E,$E100,куб!U:U),IF($D100&lt;&gt;0,SUMIF(куб!$D:$D,$D100,куб!U:U),IF($C100&lt;&gt;0,SUMIF(куб!$C:$C,$C100,куб!U:U),IF($B100&lt;&gt;0,SUMIF(куб!$B:$B,$B100,куб!U:U))))))</f>
        <v>51</v>
      </c>
      <c r="AL100" s="16">
        <f t="shared" si="44"/>
        <v>0.59375</v>
      </c>
      <c r="AM100" s="8"/>
      <c r="AN100" s="17">
        <f t="shared" si="45"/>
        <v>1.0077481431521984E-3</v>
      </c>
      <c r="AO100" s="17">
        <f t="shared" si="46"/>
        <v>9.1019187776394093E-4</v>
      </c>
      <c r="AP100" s="16">
        <f t="shared" si="47"/>
        <v>-9.755626538825743E-5</v>
      </c>
      <c r="AQ100" s="8"/>
      <c r="AR100" s="17">
        <f t="shared" si="48"/>
        <v>0.1143729402042358</v>
      </c>
      <c r="AS100" s="17">
        <f t="shared" si="49"/>
        <v>0.12087934969351691</v>
      </c>
      <c r="AT100" s="13">
        <f t="shared" si="50"/>
        <v>6.5064094892811064E-3</v>
      </c>
      <c r="AU100" s="8"/>
    </row>
    <row r="101" spans="1:47" ht="15" customHeight="1" x14ac:dyDescent="0.25">
      <c r="A101" s="31" t="s">
        <v>26</v>
      </c>
      <c r="B101" s="31" t="s">
        <v>32</v>
      </c>
      <c r="C101" t="s">
        <v>33</v>
      </c>
      <c r="D101" s="31" t="s">
        <v>34</v>
      </c>
      <c r="E101" t="s">
        <v>203</v>
      </c>
      <c r="F101" s="31" t="s">
        <v>227</v>
      </c>
      <c r="G101" t="s">
        <v>228</v>
      </c>
      <c r="H101" s="27">
        <f>IF($G101&lt;&gt;0,SUMIF(куб!$G:$G,$G101,куб!H:H),IF($E101&lt;&gt;0,SUMIF(куб!$E:$E,$E101,куб!H:H),IF($D101&lt;&gt;0,SUMIF(куб!$D:$D,$D101,куб!H:H),IF($C101&lt;&gt;0,SUMIF(куб!$C:$C,$C101,куб!H:H),IF($B101&lt;&gt;0,SUMIF(куб!$B:$B,$B101,куб!H:H),IF($G101&lt;&gt;0,SUMIF(куб!$A:$A,$G101,куб!H:H),SUMIF(куб!$A:$A,$G101,куб!H:H)))))))</f>
        <v>0</v>
      </c>
      <c r="I101" s="27">
        <f>IF($G101&lt;&gt;0,SUMIF(куб!$G:$G,$G101,куб!I:I),IF($E101&lt;&gt;0,SUMIF(куб!$E:$E,$E101,куб!I:I),IF($D101&lt;&gt;0,SUMIF(куб!$D:$D,$D101,куб!I:I),IF($C101&lt;&gt;0,SUMIF(куб!$C:$C,$C101,куб!I:I),IF($B101&lt;&gt;0,SUMIF(куб!$B:$B,$B101,куб!I:I),IF($G101&lt;&gt;0,SUMIF(куб!$A:$A,$G101,куб!I:I),SUMIF(куб!$A:$A,$G101,куб!I:I)))))))</f>
        <v>903184.04170000006</v>
      </c>
      <c r="J101" s="19" t="str">
        <f t="shared" si="51"/>
        <v>-</v>
      </c>
      <c r="K101" s="5"/>
      <c r="L101" s="17">
        <f t="shared" si="34"/>
        <v>0</v>
      </c>
      <c r="M101" s="17">
        <f t="shared" si="35"/>
        <v>1.9257464517208095E-3</v>
      </c>
      <c r="N101" s="12">
        <f t="shared" si="36"/>
        <v>1.9257464517208095E-3</v>
      </c>
      <c r="O101" s="5"/>
      <c r="P101" s="27">
        <f>IF($G101&lt;&gt;0,SUMIF(куб!$G:$G,$G101,куб!J:J),IF($E101&lt;&gt;0,SUMIF(куб!$E:$E,$E101,куб!J:J),IF($D101&lt;&gt;0,SUMIF(куб!$D:$D,$D101,куб!J:J),IF($C101&lt;&gt;0,SUMIF(куб!$C:$C,$C101,куб!J:J),IF($B101&lt;&gt;0,SUMIF(куб!$B:$B,$B101,куб!J:J))))))</f>
        <v>0</v>
      </c>
      <c r="Q101" s="27">
        <f>IF($G101&lt;&gt;0,SUMIF(куб!$G:$G,$G101,куб!K:K),IF($E101&lt;&gt;0,SUMIF(куб!$E:$E,$E101,куб!K:K),IF($D101&lt;&gt;0,SUMIF(куб!$D:$D,$D101,куб!K:K),IF($C101&lt;&gt;0,SUMIF(куб!$C:$C,$C101,куб!K:K),IF($B101&lt;&gt;0,SUMIF(куб!$B:$B,$B101,куб!K:K))))))</f>
        <v>13731</v>
      </c>
      <c r="R101" s="13" t="str">
        <f t="shared" si="37"/>
        <v>-</v>
      </c>
      <c r="S101" s="5"/>
      <c r="T101" s="27">
        <f>IF($G101&lt;&gt;0,SUMIF(куб!$G:$G,$G101,куб!L:L),IF($E101&lt;&gt;0,SUMIF(куб!$E:$E,$E101,куб!L:L),IF($D101&lt;&gt;0,SUMIF(куб!$D:$D,$D101,куб!L:L),IF($C101&lt;&gt;0,SUMIF(куб!$C:$C,$C101,куб!L:L),IF($B101&lt;&gt;0,SUMIF(куб!$B:$B,$B101,куб!L:L))))))</f>
        <v>0</v>
      </c>
      <c r="U101" s="27">
        <f>IF($G101&lt;&gt;0,SUMIF(куб!$G:$G,$G101,куб!M:M),IF($E101&lt;&gt;0,SUMIF(куб!$E:$E,$E101,куб!M:M),IF($D101&lt;&gt;0,SUMIF(куб!$D:$D,$D101,куб!M:M),IF($C101&lt;&gt;0,SUMIF(куб!$C:$C,$C101,куб!M:M),IF($B101&lt;&gt;0,SUMIF(куб!$B:$B,$B101,куб!M:M))))))</f>
        <v>10572.869999999983</v>
      </c>
      <c r="V101" s="13" t="str">
        <f t="shared" si="38"/>
        <v>-</v>
      </c>
      <c r="W101" s="5"/>
      <c r="X101" s="27">
        <f>IF($G101&lt;&gt;0,SUMIF(куб!$G:$G,$G101,куб!N:N),IF($E101&lt;&gt;0,SUMIF(куб!$E:$E,$E101,куб!N:N),IF($D101&lt;&gt;0,SUMIF(куб!$D:$D,$D101,куб!N:N),IF($C101&lt;&gt;0,SUMIF(куб!$C:$C,$C101,куб!N:N),IF($B101&lt;&gt;0,SUMIF(куб!$B:$B,$B101,куб!N:N))))))</f>
        <v>0</v>
      </c>
      <c r="Y101" s="27">
        <f>IF($G101&lt;&gt;0,SUMIF(куб!$G:$G,$G101,куб!O:O),IF($E101&lt;&gt;0,SUMIF(куб!$E:$E,$E101,куб!O:O),IF($D101&lt;&gt;0,SUMIF(куб!$D:$D,$D101,куб!O:O),IF($C101&lt;&gt;0,SUMIF(куб!$C:$C,$C101,куб!O:O),IF($B101&lt;&gt;0,SUMIF(куб!$B:$B,$B101,куб!O:O))))))</f>
        <v>147085.26010000054</v>
      </c>
      <c r="Z101" s="13" t="str">
        <f t="shared" si="39"/>
        <v>-</v>
      </c>
      <c r="AA101" s="5"/>
      <c r="AB101" s="33" t="str">
        <f t="shared" si="40"/>
        <v/>
      </c>
      <c r="AC101" s="33">
        <f t="shared" si="41"/>
        <v>0.16285192530987622</v>
      </c>
      <c r="AD101" s="15" t="str">
        <f t="shared" si="42"/>
        <v xml:space="preserve"> </v>
      </c>
      <c r="AE101" s="5"/>
      <c r="AF101" s="27">
        <f>IF($G101&lt;&gt;0,SUMIF(куб!$G:$G,$G101,куб!R:R),IF($E101&lt;&gt;0,SUMIF(куб!$E:$E,$E101,куб!R:R),IF($D101&lt;&gt;0,SUMIF(куб!$D:$D,$D101,куб!R:R),IF($C101&lt;&gt;0,SUMIF(куб!$C:$C,$C101,куб!R:R),IF($B101&lt;&gt;0,SUMIF(куб!$B:$B,$B101,куб!R:R))))))</f>
        <v>0</v>
      </c>
      <c r="AG101" s="27">
        <f>IF($G101&lt;&gt;0,SUMIF(куб!$G:$G,$G101,куб!S:S),IF($E101&lt;&gt;0,SUMIF(куб!$E:$E,$E101,куб!S:S),IF($D101&lt;&gt;0,SUMIF(куб!$D:$D,$D101,куб!S:S),IF($C101&lt;&gt;0,SUMIF(куб!$C:$C,$C101,куб!S:S),IF($B101&lt;&gt;0,SUMIF(куб!$B:$B,$B101,куб!S:S))))))</f>
        <v>42988.753100000002</v>
      </c>
      <c r="AH101" s="16" t="str">
        <f t="shared" si="43"/>
        <v>-</v>
      </c>
      <c r="AI101" s="8"/>
      <c r="AJ101" s="27">
        <f>IF($G101&lt;&gt;0,SUMIF(куб!$G:$G,$G101,куб!T:T),IF($E101&lt;&gt;0,SUMIF(куб!$E:$E,$E101,куб!T:T),IF($D101&lt;&gt;0,SUMIF(куб!$D:$D,$D101,куб!T:T),IF($C101&lt;&gt;0,SUMIF(куб!$C:$C,$C101,куб!T:T),IF($B101&lt;&gt;0,SUMIF(куб!$B:$B,$B101,куб!T:T))))))</f>
        <v>0</v>
      </c>
      <c r="AK101" s="27">
        <f>IF($G101&lt;&gt;0,SUMIF(куб!$G:$G,$G101,куб!U:U),IF($E101&lt;&gt;0,SUMIF(куб!$E:$E,$E101,куб!U:U),IF($D101&lt;&gt;0,SUMIF(куб!$D:$D,$D101,куб!U:U),IF($C101&lt;&gt;0,SUMIF(куб!$C:$C,$C101,куб!U:U),IF($B101&lt;&gt;0,SUMIF(куб!$B:$B,$B101,куб!U:U))))))</f>
        <v>779</v>
      </c>
      <c r="AL101" s="16" t="str">
        <f t="shared" si="44"/>
        <v>-</v>
      </c>
      <c r="AM101" s="8"/>
      <c r="AN101" s="17" t="str">
        <f t="shared" si="45"/>
        <v xml:space="preserve"> </v>
      </c>
      <c r="AO101" s="17">
        <f t="shared" si="46"/>
        <v>4.7596891790830674E-2</v>
      </c>
      <c r="AP101" s="16" t="str">
        <f t="shared" si="47"/>
        <v>-</v>
      </c>
      <c r="AQ101" s="8"/>
      <c r="AR101" s="17" t="str">
        <f t="shared" si="48"/>
        <v>-</v>
      </c>
      <c r="AS101" s="17">
        <f t="shared" si="49"/>
        <v>0.11525503351904555</v>
      </c>
      <c r="AT101" s="13" t="str">
        <f t="shared" si="50"/>
        <v>-</v>
      </c>
      <c r="AU101" s="8"/>
    </row>
    <row r="102" spans="1:47" ht="15" customHeight="1" x14ac:dyDescent="0.25">
      <c r="A102" s="31" t="s">
        <v>26</v>
      </c>
      <c r="B102" s="31" t="s">
        <v>32</v>
      </c>
      <c r="C102" t="s">
        <v>33</v>
      </c>
      <c r="D102" s="31" t="s">
        <v>34</v>
      </c>
      <c r="E102" t="s">
        <v>203</v>
      </c>
      <c r="F102" s="31" t="s">
        <v>229</v>
      </c>
      <c r="G102" t="s">
        <v>230</v>
      </c>
      <c r="H102" s="27">
        <f>IF($G102&lt;&gt;0,SUMIF(куб!$G:$G,$G102,куб!H:H),IF($E102&lt;&gt;0,SUMIF(куб!$E:$E,$E102,куб!H:H),IF($D102&lt;&gt;0,SUMIF(куб!$D:$D,$D102,куб!H:H),IF($C102&lt;&gt;0,SUMIF(куб!$C:$C,$C102,куб!H:H),IF($B102&lt;&gt;0,SUMIF(куб!$B:$B,$B102,куб!H:H),IF($G102&lt;&gt;0,SUMIF(куб!$A:$A,$G102,куб!H:H),SUMIF(куб!$A:$A,$G102,куб!H:H)))))))</f>
        <v>1040898.2768000005</v>
      </c>
      <c r="I102" s="27">
        <f>IF($G102&lt;&gt;0,SUMIF(куб!$G:$G,$G102,куб!I:I),IF($E102&lt;&gt;0,SUMIF(куб!$E:$E,$E102,куб!I:I),IF($D102&lt;&gt;0,SUMIF(куб!$D:$D,$D102,куб!I:I),IF($C102&lt;&gt;0,SUMIF(куб!$C:$C,$C102,куб!I:I),IF($B102&lt;&gt;0,SUMIF(куб!$B:$B,$B102,куб!I:I),IF($G102&lt;&gt;0,SUMIF(куб!$A:$A,$G102,куб!I:I),SUMIF(куб!$A:$A,$G102,куб!I:I)))))))</f>
        <v>0</v>
      </c>
      <c r="J102" s="19">
        <f t="shared" si="51"/>
        <v>-1</v>
      </c>
      <c r="K102" s="8"/>
      <c r="L102" s="17">
        <f t="shared" si="34"/>
        <v>2.174324115872219E-3</v>
      </c>
      <c r="M102" s="17">
        <f t="shared" si="35"/>
        <v>0</v>
      </c>
      <c r="N102" s="12">
        <f t="shared" si="36"/>
        <v>-2.174324115872219E-3</v>
      </c>
      <c r="O102" s="5"/>
      <c r="P102" s="27">
        <f>IF($G102&lt;&gt;0,SUMIF(куб!$G:$G,$G102,куб!J:J),IF($E102&lt;&gt;0,SUMIF(куб!$E:$E,$E102,куб!J:J),IF($D102&lt;&gt;0,SUMIF(куб!$D:$D,$D102,куб!J:J),IF($C102&lt;&gt;0,SUMIF(куб!$C:$C,$C102,куб!J:J),IF($B102&lt;&gt;0,SUMIF(куб!$B:$B,$B102,куб!J:J))))))</f>
        <v>13918</v>
      </c>
      <c r="Q102" s="27">
        <f>IF($G102&lt;&gt;0,SUMIF(куб!$G:$G,$G102,куб!K:K),IF($E102&lt;&gt;0,SUMIF(куб!$E:$E,$E102,куб!K:K),IF($D102&lt;&gt;0,SUMIF(куб!$D:$D,$D102,куб!K:K),IF($C102&lt;&gt;0,SUMIF(куб!$C:$C,$C102,куб!K:K),IF($B102&lt;&gt;0,SUMIF(куб!$B:$B,$B102,куб!K:K))))))</f>
        <v>0</v>
      </c>
      <c r="R102" s="13">
        <f t="shared" si="37"/>
        <v>-1</v>
      </c>
      <c r="S102" s="5"/>
      <c r="T102" s="27">
        <f>IF($G102&lt;&gt;0,SUMIF(куб!$G:$G,$G102,куб!L:L),IF($E102&lt;&gt;0,SUMIF(куб!$E:$E,$E102,куб!L:L),IF($D102&lt;&gt;0,SUMIF(куб!$D:$D,$D102,куб!L:L),IF($C102&lt;&gt;0,SUMIF(куб!$C:$C,$C102,куб!L:L),IF($B102&lt;&gt;0,SUMIF(куб!$B:$B,$B102,куб!L:L))))))</f>
        <v>12526.200000000003</v>
      </c>
      <c r="U102" s="27">
        <f>IF($G102&lt;&gt;0,SUMIF(куб!$G:$G,$G102,куб!M:M),IF($E102&lt;&gt;0,SUMIF(куб!$E:$E,$E102,куб!M:M),IF($D102&lt;&gt;0,SUMIF(куб!$D:$D,$D102,куб!M:M),IF($C102&lt;&gt;0,SUMIF(куб!$C:$C,$C102,куб!M:M),IF($B102&lt;&gt;0,SUMIF(куб!$B:$B,$B102,куб!M:M))))))</f>
        <v>0</v>
      </c>
      <c r="V102" s="13">
        <f t="shared" si="38"/>
        <v>-1</v>
      </c>
      <c r="W102" s="5"/>
      <c r="X102" s="27">
        <f>IF($G102&lt;&gt;0,SUMIF(куб!$G:$G,$G102,куб!N:N),IF($E102&lt;&gt;0,SUMIF(куб!$E:$E,$E102,куб!N:N),IF($D102&lt;&gt;0,SUMIF(куб!$D:$D,$D102,куб!N:N),IF($C102&lt;&gt;0,SUMIF(куб!$C:$C,$C102,куб!N:N),IF($B102&lt;&gt;0,SUMIF(куб!$B:$B,$B102,куб!N:N))))))</f>
        <v>131769.49520000012</v>
      </c>
      <c r="Y102" s="27">
        <f>IF($G102&lt;&gt;0,SUMIF(куб!$G:$G,$G102,куб!O:O),IF($E102&lt;&gt;0,SUMIF(куб!$E:$E,$E102,куб!O:O),IF($D102&lt;&gt;0,SUMIF(куб!$D:$D,$D102,куб!O:O),IF($C102&lt;&gt;0,SUMIF(куб!$C:$C,$C102,куб!O:O),IF($B102&lt;&gt;0,SUMIF(куб!$B:$B,$B102,куб!O:O))))))</f>
        <v>0</v>
      </c>
      <c r="Z102" s="13">
        <f t="shared" si="39"/>
        <v>-1</v>
      </c>
      <c r="AA102" s="5"/>
      <c r="AB102" s="33">
        <f t="shared" si="40"/>
        <v>0.12659209659285323</v>
      </c>
      <c r="AC102" s="33" t="str">
        <f t="shared" si="41"/>
        <v/>
      </c>
      <c r="AD102" s="15" t="str">
        <f t="shared" si="42"/>
        <v xml:space="preserve"> </v>
      </c>
      <c r="AE102" s="5"/>
      <c r="AF102" s="27">
        <f>IF($G102&lt;&gt;0,SUMIF(куб!$G:$G,$G102,куб!R:R),IF($E102&lt;&gt;0,SUMIF(куб!$E:$E,$E102,куб!R:R),IF($D102&lt;&gt;0,SUMIF(куб!$D:$D,$D102,куб!R:R),IF($C102&lt;&gt;0,SUMIF(куб!$C:$C,$C102,куб!R:R),IF($B102&lt;&gt;0,SUMIF(куб!$B:$B,$B102,куб!R:R))))))</f>
        <v>40753.086199999991</v>
      </c>
      <c r="AG102" s="27">
        <f>IF($G102&lt;&gt;0,SUMIF(куб!$G:$G,$G102,куб!S:S),IF($E102&lt;&gt;0,SUMIF(куб!$E:$E,$E102,куб!S:S),IF($D102&lt;&gt;0,SUMIF(куб!$D:$D,$D102,куб!S:S),IF($C102&lt;&gt;0,SUMIF(куб!$C:$C,$C102,куб!S:S),IF($B102&lt;&gt;0,SUMIF(куб!$B:$B,$B102,куб!S:S))))))</f>
        <v>0</v>
      </c>
      <c r="AH102" s="16">
        <f t="shared" si="43"/>
        <v>-1</v>
      </c>
      <c r="AI102" s="8"/>
      <c r="AJ102" s="27">
        <f>IF($G102&lt;&gt;0,SUMIF(куб!$G:$G,$G102,куб!T:T),IF($E102&lt;&gt;0,SUMIF(куб!$E:$E,$E102,куб!T:T),IF($D102&lt;&gt;0,SUMIF(куб!$D:$D,$D102,куб!T:T),IF($C102&lt;&gt;0,SUMIF(куб!$C:$C,$C102,куб!T:T),IF($B102&lt;&gt;0,SUMIF(куб!$B:$B,$B102,куб!T:T))))))</f>
        <v>610</v>
      </c>
      <c r="AK102" s="27">
        <f>IF($G102&lt;&gt;0,SUMIF(куб!$G:$G,$G102,куб!U:U),IF($E102&lt;&gt;0,SUMIF(куб!$E:$E,$E102,куб!U:U),IF($D102&lt;&gt;0,SUMIF(куб!$D:$D,$D102,куб!U:U),IF($C102&lt;&gt;0,SUMIF(куб!$C:$C,$C102,куб!U:U),IF($B102&lt;&gt;0,SUMIF(куб!$B:$B,$B102,куб!U:U))))))</f>
        <v>0</v>
      </c>
      <c r="AL102" s="16">
        <f t="shared" si="44"/>
        <v>-1</v>
      </c>
      <c r="AM102" s="8"/>
      <c r="AN102" s="17">
        <f t="shared" si="45"/>
        <v>3.9151843276449522E-2</v>
      </c>
      <c r="AO102" s="17" t="str">
        <f t="shared" si="46"/>
        <v xml:space="preserve"> </v>
      </c>
      <c r="AP102" s="16" t="str">
        <f t="shared" si="47"/>
        <v>-</v>
      </c>
      <c r="AQ102" s="8"/>
      <c r="AR102" s="17">
        <f t="shared" si="48"/>
        <v>8.744025331640369E-2</v>
      </c>
      <c r="AS102" s="17" t="str">
        <f t="shared" si="49"/>
        <v>-</v>
      </c>
      <c r="AT102" s="13" t="str">
        <f t="shared" si="50"/>
        <v>-</v>
      </c>
      <c r="AU102" s="8"/>
    </row>
    <row r="103" spans="1:47" ht="15" customHeight="1" x14ac:dyDescent="0.25">
      <c r="A103" s="31" t="s">
        <v>26</v>
      </c>
      <c r="B103" s="31" t="s">
        <v>32</v>
      </c>
      <c r="C103" t="s">
        <v>33</v>
      </c>
      <c r="D103" s="31" t="s">
        <v>34</v>
      </c>
      <c r="E103" t="s">
        <v>203</v>
      </c>
      <c r="F103" s="31" t="s">
        <v>231</v>
      </c>
      <c r="G103" t="s">
        <v>232</v>
      </c>
      <c r="H103" s="27">
        <f>IF($G103&lt;&gt;0,SUMIF(куб!$G:$G,$G103,куб!H:H),IF($E103&lt;&gt;0,SUMIF(куб!$E:$E,$E103,куб!H:H),IF($D103&lt;&gt;0,SUMIF(куб!$D:$D,$D103,куб!H:H),IF($C103&lt;&gt;0,SUMIF(куб!$C:$C,$C103,куб!H:H),IF($B103&lt;&gt;0,SUMIF(куб!$B:$B,$B103,куб!H:H),IF($G103&lt;&gt;0,SUMIF(куб!$A:$A,$G103,куб!H:H),SUMIF(куб!$A:$A,$G103,куб!H:H)))))))</f>
        <v>1400738.1568000007</v>
      </c>
      <c r="I103" s="27">
        <f>IF($G103&lt;&gt;0,SUMIF(куб!$G:$G,$G103,куб!I:I),IF($E103&lt;&gt;0,SUMIF(куб!$E:$E,$E103,куб!I:I),IF($D103&lt;&gt;0,SUMIF(куб!$D:$D,$D103,куб!I:I),IF($C103&lt;&gt;0,SUMIF(куб!$C:$C,$C103,куб!I:I),IF($B103&lt;&gt;0,SUMIF(куб!$B:$B,$B103,куб!I:I),IF($G103&lt;&gt;0,SUMIF(куб!$A:$A,$G103,куб!I:I),SUMIF(куб!$A:$A,$G103,куб!I:I)))))))</f>
        <v>2062917.7584000013</v>
      </c>
      <c r="J103" s="19">
        <f t="shared" si="51"/>
        <v>0.4727361772686739</v>
      </c>
      <c r="K103" s="10"/>
      <c r="L103" s="17">
        <f t="shared" si="34"/>
        <v>2.9259907737726422E-3</v>
      </c>
      <c r="M103" s="17">
        <f t="shared" si="35"/>
        <v>4.3985017117366201E-3</v>
      </c>
      <c r="N103" s="12">
        <f t="shared" si="36"/>
        <v>1.472510937963978E-3</v>
      </c>
      <c r="O103" s="5"/>
      <c r="P103" s="27">
        <f>IF($G103&lt;&gt;0,SUMIF(куб!$G:$G,$G103,куб!J:J),IF($E103&lt;&gt;0,SUMIF(куб!$E:$E,$E103,куб!J:J),IF($D103&lt;&gt;0,SUMIF(куб!$D:$D,$D103,куб!J:J),IF($C103&lt;&gt;0,SUMIF(куб!$C:$C,$C103,куб!J:J),IF($B103&lt;&gt;0,SUMIF(куб!$B:$B,$B103,куб!J:J))))))</f>
        <v>16643</v>
      </c>
      <c r="Q103" s="27">
        <f>IF($G103&lt;&gt;0,SUMIF(куб!$G:$G,$G103,куб!K:K),IF($E103&lt;&gt;0,SUMIF(куб!$E:$E,$E103,куб!K:K),IF($D103&lt;&gt;0,SUMIF(куб!$D:$D,$D103,куб!K:K),IF($C103&lt;&gt;0,SUMIF(куб!$C:$C,$C103,куб!K:K),IF($B103&lt;&gt;0,SUMIF(куб!$B:$B,$B103,куб!K:K))))))</f>
        <v>24657</v>
      </c>
      <c r="R103" s="13">
        <f t="shared" si="37"/>
        <v>0.48152376374451722</v>
      </c>
      <c r="S103" s="5"/>
      <c r="T103" s="27">
        <f>IF($G103&lt;&gt;0,SUMIF(куб!$G:$G,$G103,куб!L:L),IF($E103&lt;&gt;0,SUMIF(куб!$E:$E,$E103,куб!L:L),IF($D103&lt;&gt;0,SUMIF(куб!$D:$D,$D103,куб!L:L),IF($C103&lt;&gt;0,SUMIF(куб!$C:$C,$C103,куб!L:L),IF($B103&lt;&gt;0,SUMIF(куб!$B:$B,$B103,куб!L:L))))))</f>
        <v>15477.989999999994</v>
      </c>
      <c r="U103" s="27">
        <f>IF($G103&lt;&gt;0,SUMIF(куб!$G:$G,$G103,куб!M:M),IF($E103&lt;&gt;0,SUMIF(куб!$E:$E,$E103,куб!M:M),IF($D103&lt;&gt;0,SUMIF(куб!$D:$D,$D103,куб!M:M),IF($C103&lt;&gt;0,SUMIF(куб!$C:$C,$C103,куб!M:M),IF($B103&lt;&gt;0,SUMIF(куб!$B:$B,$B103,куб!M:M))))))</f>
        <v>22931.01</v>
      </c>
      <c r="V103" s="13">
        <f t="shared" si="38"/>
        <v>0.48152376374451766</v>
      </c>
      <c r="W103" s="5"/>
      <c r="X103" s="27">
        <f>IF($G103&lt;&gt;0,SUMIF(куб!$G:$G,$G103,куб!N:N),IF($E103&lt;&gt;0,SUMIF(куб!$E:$E,$E103,куб!N:N),IF($D103&lt;&gt;0,SUMIF(куб!$D:$D,$D103,куб!N:N),IF($C103&lt;&gt;0,SUMIF(куб!$C:$C,$C103,куб!N:N),IF($B103&lt;&gt;0,SUMIF(куб!$B:$B,$B103,куб!N:N))))))</f>
        <v>148563.98620000063</v>
      </c>
      <c r="Y103" s="27">
        <f>IF($G103&lt;&gt;0,SUMIF(куб!$G:$G,$G103,куб!O:O),IF($E103&lt;&gt;0,SUMIF(куб!$E:$E,$E103,куб!O:O),IF($D103&lt;&gt;0,SUMIF(куб!$D:$D,$D103,куб!O:O),IF($C103&lt;&gt;0,SUMIF(куб!$C:$C,$C103,куб!O:O),IF($B103&lt;&gt;0,SUMIF(куб!$B:$B,$B103,куб!O:O))))))</f>
        <v>190983.8675000018</v>
      </c>
      <c r="Z103" s="13">
        <f t="shared" si="39"/>
        <v>0.28553273498527731</v>
      </c>
      <c r="AA103" s="5"/>
      <c r="AB103" s="33">
        <f t="shared" si="40"/>
        <v>0.10606121171097133</v>
      </c>
      <c r="AC103" s="33">
        <f t="shared" si="41"/>
        <v>9.2579486856581641E-2</v>
      </c>
      <c r="AD103" s="15">
        <f t="shared" si="42"/>
        <v>-1.3481724854389684E-2</v>
      </c>
      <c r="AE103" s="5"/>
      <c r="AF103" s="27">
        <f>IF($G103&lt;&gt;0,SUMIF(куб!$G:$G,$G103,куб!R:R),IF($E103&lt;&gt;0,SUMIF(куб!$E:$E,$E103,куб!R:R),IF($D103&lt;&gt;0,SUMIF(куб!$D:$D,$D103,куб!R:R),IF($C103&lt;&gt;0,SUMIF(куб!$C:$C,$C103,куб!R:R),IF($B103&lt;&gt;0,SUMIF(куб!$B:$B,$B103,куб!R:R))))))</f>
        <v>1654.9636000000003</v>
      </c>
      <c r="AG103" s="27">
        <f>IF($G103&lt;&gt;0,SUMIF(куб!$G:$G,$G103,куб!S:S),IF($E103&lt;&gt;0,SUMIF(куб!$E:$E,$E103,куб!S:S),IF($D103&lt;&gt;0,SUMIF(куб!$D:$D,$D103,куб!S:S),IF($C103&lt;&gt;0,SUMIF(куб!$C:$C,$C103,куб!S:S),IF($B103&lt;&gt;0,SUMIF(куб!$B:$B,$B103,куб!S:S))))))</f>
        <v>1290.3000000000002</v>
      </c>
      <c r="AH103" s="16">
        <f t="shared" si="43"/>
        <v>-0.22034539007383608</v>
      </c>
      <c r="AI103" s="8"/>
      <c r="AJ103" s="27">
        <f>IF($G103&lt;&gt;0,SUMIF(куб!$G:$G,$G103,куб!T:T),IF($E103&lt;&gt;0,SUMIF(куб!$E:$E,$E103,куб!T:T),IF($D103&lt;&gt;0,SUMIF(куб!$D:$D,$D103,куб!T:T),IF($C103&lt;&gt;0,SUMIF(куб!$C:$C,$C103,куб!T:T),IF($B103&lt;&gt;0,SUMIF(куб!$B:$B,$B103,куб!T:T))))))</f>
        <v>22</v>
      </c>
      <c r="AK103" s="27">
        <f>IF($G103&lt;&gt;0,SUMIF(куб!$G:$G,$G103,куб!U:U),IF($E103&lt;&gt;0,SUMIF(куб!$E:$E,$E103,куб!U:U),IF($D103&lt;&gt;0,SUMIF(куб!$D:$D,$D103,куб!U:U),IF($C103&lt;&gt;0,SUMIF(куб!$C:$C,$C103,куб!U:U),IF($B103&lt;&gt;0,SUMIF(куб!$B:$B,$B103,куб!U:U))))))</f>
        <v>17</v>
      </c>
      <c r="AL103" s="16">
        <f t="shared" si="44"/>
        <v>-0.22727272727272727</v>
      </c>
      <c r="AM103" s="8"/>
      <c r="AN103" s="17">
        <f t="shared" si="45"/>
        <v>1.1814939087407884E-3</v>
      </c>
      <c r="AO103" s="17">
        <f t="shared" si="46"/>
        <v>6.2547331067660042E-4</v>
      </c>
      <c r="AP103" s="16">
        <f t="shared" si="47"/>
        <v>-5.5602059806418797E-4</v>
      </c>
      <c r="AQ103" s="8"/>
      <c r="AR103" s="17">
        <f t="shared" si="48"/>
        <v>0.10487971780223054</v>
      </c>
      <c r="AS103" s="17">
        <f t="shared" si="49"/>
        <v>9.1954013545905058E-2</v>
      </c>
      <c r="AT103" s="13">
        <f t="shared" si="50"/>
        <v>-1.2925704256325485E-2</v>
      </c>
      <c r="AU103" s="8"/>
    </row>
    <row r="104" spans="1:47" ht="15" customHeight="1" x14ac:dyDescent="0.25">
      <c r="A104" s="31" t="s">
        <v>26</v>
      </c>
      <c r="B104" s="31" t="s">
        <v>32</v>
      </c>
      <c r="C104" t="s">
        <v>33</v>
      </c>
      <c r="D104" s="31" t="s">
        <v>34</v>
      </c>
      <c r="E104" t="s">
        <v>203</v>
      </c>
      <c r="F104" s="31" t="s">
        <v>233</v>
      </c>
      <c r="G104" t="s">
        <v>234</v>
      </c>
      <c r="H104" s="27">
        <f>IF($G104&lt;&gt;0,SUMIF(куб!$G:$G,$G104,куб!H:H),IF($E104&lt;&gt;0,SUMIF(куб!$E:$E,$E104,куб!H:H),IF($D104&lt;&gt;0,SUMIF(куб!$D:$D,$D104,куб!H:H),IF($C104&lt;&gt;0,SUMIF(куб!$C:$C,$C104,куб!H:H),IF($B104&lt;&gt;0,SUMIF(куб!$B:$B,$B104,куб!H:H),IF($G104&lt;&gt;0,SUMIF(куб!$A:$A,$G104,куб!H:H),SUMIF(куб!$A:$A,$G104,куб!H:H)))))))</f>
        <v>10496248.737899993</v>
      </c>
      <c r="I104" s="27">
        <f>IF($G104&lt;&gt;0,SUMIF(куб!$G:$G,$G104,куб!I:I),IF($E104&lt;&gt;0,SUMIF(куб!$E:$E,$E104,куб!I:I),IF($D104&lt;&gt;0,SUMIF(куб!$D:$D,$D104,куб!I:I),IF($C104&lt;&gt;0,SUMIF(куб!$C:$C,$C104,куб!I:I),IF($B104&lt;&gt;0,SUMIF(куб!$B:$B,$B104,куб!I:I),IF($G104&lt;&gt;0,SUMIF(куб!$A:$A,$G104,куб!I:I),SUMIF(куб!$A:$A,$G104,куб!I:I)))))))</f>
        <v>11971884.001899999</v>
      </c>
      <c r="J104" s="19">
        <f t="shared" si="51"/>
        <v>0.1405869183217584</v>
      </c>
      <c r="K104" s="5"/>
      <c r="L104" s="17">
        <f t="shared" si="34"/>
        <v>2.1925530347855878E-2</v>
      </c>
      <c r="M104" s="17">
        <f t="shared" si="35"/>
        <v>2.5526152005163408E-2</v>
      </c>
      <c r="N104" s="12">
        <f t="shared" si="36"/>
        <v>3.6006216573075296E-3</v>
      </c>
      <c r="O104" s="5"/>
      <c r="P104" s="27">
        <f>IF($G104&lt;&gt;0,SUMIF(куб!$G:$G,$G104,куб!J:J),IF($E104&lt;&gt;0,SUMIF(куб!$E:$E,$E104,куб!J:J),IF($D104&lt;&gt;0,SUMIF(куб!$D:$D,$D104,куб!J:J),IF($C104&lt;&gt;0,SUMIF(куб!$C:$C,$C104,куб!J:J),IF($B104&lt;&gt;0,SUMIF(куб!$B:$B,$B104,куб!J:J))))))</f>
        <v>141280</v>
      </c>
      <c r="Q104" s="27">
        <f>IF($G104&lt;&gt;0,SUMIF(куб!$G:$G,$G104,куб!K:K),IF($E104&lt;&gt;0,SUMIF(куб!$E:$E,$E104,куб!K:K),IF($D104&lt;&gt;0,SUMIF(куб!$D:$D,$D104,куб!K:K),IF($C104&lt;&gt;0,SUMIF(куб!$C:$C,$C104,куб!K:K),IF($B104&lt;&gt;0,SUMIF(куб!$B:$B,$B104,куб!K:K))))))</f>
        <v>179934</v>
      </c>
      <c r="R104" s="13">
        <f t="shared" si="37"/>
        <v>0.27359852774631938</v>
      </c>
      <c r="S104" s="5"/>
      <c r="T104" s="27">
        <f>IF($G104&lt;&gt;0,SUMIF(куб!$G:$G,$G104,куб!L:L),IF($E104&lt;&gt;0,SUMIF(куб!$E:$E,$E104,куб!L:L),IF($D104&lt;&gt;0,SUMIF(куб!$D:$D,$D104,куб!L:L),IF($C104&lt;&gt;0,SUMIF(куб!$C:$C,$C104,куб!L:L),IF($B104&lt;&gt;0,SUMIF(куб!$B:$B,$B104,куб!L:L))))))</f>
        <v>127152</v>
      </c>
      <c r="U104" s="27">
        <f>IF($G104&lt;&gt;0,SUMIF(куб!$G:$G,$G104,куб!M:M),IF($E104&lt;&gt;0,SUMIF(куб!$E:$E,$E104,куб!M:M),IF($D104&lt;&gt;0,SUMIF(куб!$D:$D,$D104,куб!M:M),IF($C104&lt;&gt;0,SUMIF(куб!$C:$C,$C104,куб!M:M),IF($B104&lt;&gt;0,SUMIF(куб!$B:$B,$B104,куб!M:M))))))</f>
        <v>161940.59999999998</v>
      </c>
      <c r="V104" s="13">
        <f t="shared" si="38"/>
        <v>0.27359852774631921</v>
      </c>
      <c r="W104" s="5"/>
      <c r="X104" s="27">
        <f>IF($G104&lt;&gt;0,SUMIF(куб!$G:$G,$G104,куб!N:N),IF($E104&lt;&gt;0,SUMIF(куб!$E:$E,$E104,куб!N:N),IF($D104&lt;&gt;0,SUMIF(куб!$D:$D,$D104,куб!N:N),IF($C104&lt;&gt;0,SUMIF(куб!$C:$C,$C104,куб!N:N),IF($B104&lt;&gt;0,SUMIF(куб!$B:$B,$B104,куб!N:N))))))</f>
        <v>715791.8601000011</v>
      </c>
      <c r="Y104" s="27">
        <f>IF($G104&lt;&gt;0,SUMIF(куб!$G:$G,$G104,куб!O:O),IF($E104&lt;&gt;0,SUMIF(куб!$E:$E,$E104,куб!O:O),IF($D104&lt;&gt;0,SUMIF(куб!$D:$D,$D104,куб!O:O),IF($C104&lt;&gt;0,SUMIF(куб!$C:$C,$C104,куб!O:O),IF($B104&lt;&gt;0,SUMIF(куб!$B:$B,$B104,куб!O:O))))))</f>
        <v>-66856.951099989936</v>
      </c>
      <c r="Z104" s="13">
        <f t="shared" si="39"/>
        <v>-1.0934027820470738</v>
      </c>
      <c r="AA104" s="5"/>
      <c r="AB104" s="33">
        <f t="shared" si="40"/>
        <v>6.8195016903077998E-2</v>
      </c>
      <c r="AC104" s="33">
        <f t="shared" si="41"/>
        <v>-5.5844970674105597E-3</v>
      </c>
      <c r="AD104" s="15">
        <f t="shared" si="42"/>
        <v>-7.3779513970488556E-2</v>
      </c>
      <c r="AE104" s="5"/>
      <c r="AF104" s="27">
        <f>IF($G104&lt;&gt;0,SUMIF(куб!$G:$G,$G104,куб!R:R),IF($E104&lt;&gt;0,SUMIF(куб!$E:$E,$E104,куб!R:R),IF($D104&lt;&gt;0,SUMIF(куб!$D:$D,$D104,куб!R:R),IF($C104&lt;&gt;0,SUMIF(куб!$C:$C,$C104,куб!R:R),IF($B104&lt;&gt;0,SUMIF(куб!$B:$B,$B104,куб!R:R))))))</f>
        <v>130955.5497</v>
      </c>
      <c r="AG104" s="27">
        <f>IF($G104&lt;&gt;0,SUMIF(куб!$G:$G,$G104,куб!S:S),IF($E104&lt;&gt;0,SUMIF(куб!$E:$E,$E104,куб!S:S),IF($D104&lt;&gt;0,SUMIF(куб!$D:$D,$D104,куб!S:S),IF($C104&lt;&gt;0,SUMIF(куб!$C:$C,$C104,куб!S:S),IF($B104&lt;&gt;0,SUMIF(куб!$B:$B,$B104,куб!S:S))))))</f>
        <v>90295.748500000002</v>
      </c>
      <c r="AH104" s="16">
        <f t="shared" si="43"/>
        <v>-0.31048551430730242</v>
      </c>
      <c r="AI104" s="8"/>
      <c r="AJ104" s="27">
        <f>IF($G104&lt;&gt;0,SUMIF(куб!$G:$G,$G104,куб!T:T),IF($E104&lt;&gt;0,SUMIF(куб!$E:$E,$E104,куб!T:T),IF($D104&lt;&gt;0,SUMIF(куб!$D:$D,$D104,куб!T:T),IF($C104&lt;&gt;0,SUMIF(куб!$C:$C,$C104,куб!T:T),IF($B104&lt;&gt;0,SUMIF(куб!$B:$B,$B104,куб!T:T))))))</f>
        <v>1900</v>
      </c>
      <c r="AK104" s="27">
        <f>IF($G104&lt;&gt;0,SUMIF(куб!$G:$G,$G104,куб!U:U),IF($E104&lt;&gt;0,SUMIF(куб!$E:$E,$E104,куб!U:U),IF($D104&lt;&gt;0,SUMIF(куб!$D:$D,$D104,куб!U:U),IF($C104&lt;&gt;0,SUMIF(куб!$C:$C,$C104,куб!U:U),IF($B104&lt;&gt;0,SUMIF(куб!$B:$B,$B104,куб!U:U))))))</f>
        <v>1358</v>
      </c>
      <c r="AL104" s="16">
        <f t="shared" si="44"/>
        <v>-0.28526315789473683</v>
      </c>
      <c r="AM104" s="8"/>
      <c r="AN104" s="17">
        <f t="shared" si="45"/>
        <v>1.2476414476263695E-2</v>
      </c>
      <c r="AO104" s="17">
        <f t="shared" si="46"/>
        <v>7.5423173567058964E-3</v>
      </c>
      <c r="AP104" s="16">
        <f t="shared" si="47"/>
        <v>-4.9340971195577987E-3</v>
      </c>
      <c r="AQ104" s="8"/>
      <c r="AR104" s="17">
        <f t="shared" si="48"/>
        <v>5.5718602426814305E-2</v>
      </c>
      <c r="AS104" s="17">
        <f t="shared" si="49"/>
        <v>-1.3126814424116454E-2</v>
      </c>
      <c r="AT104" s="13">
        <f t="shared" si="50"/>
        <v>-6.8845416850930763E-2</v>
      </c>
      <c r="AU104" s="8"/>
    </row>
    <row r="105" spans="1:47" ht="15" customHeight="1" x14ac:dyDescent="0.25">
      <c r="A105" s="31" t="s">
        <v>26</v>
      </c>
      <c r="B105" s="31" t="s">
        <v>32</v>
      </c>
      <c r="C105" t="s">
        <v>33</v>
      </c>
      <c r="D105" s="31" t="s">
        <v>34</v>
      </c>
      <c r="E105" t="s">
        <v>203</v>
      </c>
      <c r="F105" s="31" t="s">
        <v>235</v>
      </c>
      <c r="G105" t="s">
        <v>236</v>
      </c>
      <c r="H105" s="27">
        <f>IF($G105&lt;&gt;0,SUMIF(куб!$G:$G,$G105,куб!H:H),IF($E105&lt;&gt;0,SUMIF(куб!$E:$E,$E105,куб!H:H),IF($D105&lt;&gt;0,SUMIF(куб!$D:$D,$D105,куб!H:H),IF($C105&lt;&gt;0,SUMIF(куб!$C:$C,$C105,куб!H:H),IF($B105&lt;&gt;0,SUMIF(куб!$B:$B,$B105,куб!H:H),IF($G105&lt;&gt;0,SUMIF(куб!$A:$A,$G105,куб!H:H),SUMIF(куб!$A:$A,$G105,куб!H:H)))))))</f>
        <v>0</v>
      </c>
      <c r="I105" s="27">
        <f>IF($G105&lt;&gt;0,SUMIF(куб!$G:$G,$G105,куб!I:I),IF($E105&lt;&gt;0,SUMIF(куб!$E:$E,$E105,куб!I:I),IF($D105&lt;&gt;0,SUMIF(куб!$D:$D,$D105,куб!I:I),IF($C105&lt;&gt;0,SUMIF(куб!$C:$C,$C105,куб!I:I),IF($B105&lt;&gt;0,SUMIF(куб!$B:$B,$B105,куб!I:I),IF($G105&lt;&gt;0,SUMIF(куб!$A:$A,$G105,куб!I:I),SUMIF(куб!$A:$A,$G105,куб!I:I)))))))</f>
        <v>4393.4071000000004</v>
      </c>
      <c r="J105" s="19" t="str">
        <f t="shared" si="51"/>
        <v>-</v>
      </c>
      <c r="K105" s="5"/>
      <c r="L105" s="17">
        <f t="shared" si="34"/>
        <v>0</v>
      </c>
      <c r="M105" s="17">
        <f t="shared" si="35"/>
        <v>9.3675128690994591E-6</v>
      </c>
      <c r="N105" s="12">
        <f t="shared" si="36"/>
        <v>9.3675128690994591E-6</v>
      </c>
      <c r="O105" s="5"/>
      <c r="P105" s="27">
        <f>IF($G105&lt;&gt;0,SUMIF(куб!$G:$G,$G105,куб!J:J),IF($E105&lt;&gt;0,SUMIF(куб!$E:$E,$E105,куб!J:J),IF($D105&lt;&gt;0,SUMIF(куб!$D:$D,$D105,куб!J:J),IF($C105&lt;&gt;0,SUMIF(куб!$C:$C,$C105,куб!J:J),IF($B105&lt;&gt;0,SUMIF(куб!$B:$B,$B105,куб!J:J))))))</f>
        <v>0</v>
      </c>
      <c r="Q105" s="27">
        <f>IF($G105&lt;&gt;0,SUMIF(куб!$G:$G,$G105,куб!K:K),IF($E105&lt;&gt;0,SUMIF(куб!$E:$E,$E105,куб!K:K),IF($D105&lt;&gt;0,SUMIF(куб!$D:$D,$D105,куб!K:K),IF($C105&lt;&gt;0,SUMIF(куб!$C:$C,$C105,куб!K:K),IF($B105&lt;&gt;0,SUMIF(куб!$B:$B,$B105,куб!K:K))))))</f>
        <v>55</v>
      </c>
      <c r="R105" s="13" t="str">
        <f t="shared" si="37"/>
        <v>-</v>
      </c>
      <c r="S105" s="5"/>
      <c r="T105" s="27">
        <f>IF($G105&lt;&gt;0,SUMIF(куб!$G:$G,$G105,куб!L:L),IF($E105&lt;&gt;0,SUMIF(куб!$E:$E,$E105,куб!L:L),IF($D105&lt;&gt;0,SUMIF(куб!$D:$D,$D105,куб!L:L),IF($C105&lt;&gt;0,SUMIF(куб!$C:$C,$C105,куб!L:L),IF($B105&lt;&gt;0,SUMIF(куб!$B:$B,$B105,куб!L:L))))))</f>
        <v>0</v>
      </c>
      <c r="U105" s="27">
        <f>IF($G105&lt;&gt;0,SUMIF(куб!$G:$G,$G105,куб!M:M),IF($E105&lt;&gt;0,SUMIF(куб!$E:$E,$E105,куб!M:M),IF($D105&lt;&gt;0,SUMIF(куб!$D:$D,$D105,куб!M:M),IF($C105&lt;&gt;0,SUMIF(куб!$C:$C,$C105,куб!M:M),IF($B105&lt;&gt;0,SUMIF(куб!$B:$B,$B105,куб!M:M))))))</f>
        <v>49.5</v>
      </c>
      <c r="V105" s="13" t="str">
        <f t="shared" si="38"/>
        <v>-</v>
      </c>
      <c r="W105" s="5"/>
      <c r="X105" s="27">
        <f>IF($G105&lt;&gt;0,SUMIF(куб!$G:$G,$G105,куб!N:N),IF($E105&lt;&gt;0,SUMIF(куб!$E:$E,$E105,куб!N:N),IF($D105&lt;&gt;0,SUMIF(куб!$D:$D,$D105,куб!N:N),IF($C105&lt;&gt;0,SUMIF(куб!$C:$C,$C105,куб!N:N),IF($B105&lt;&gt;0,SUMIF(куб!$B:$B,$B105,куб!N:N))))))</f>
        <v>0</v>
      </c>
      <c r="Y105" s="27">
        <f>IF($G105&lt;&gt;0,SUMIF(куб!$G:$G,$G105,куб!O:O),IF($E105&lt;&gt;0,SUMIF(куб!$E:$E,$E105,куб!O:O),IF($D105&lt;&gt;0,SUMIF(куб!$D:$D,$D105,куб!O:O),IF($C105&lt;&gt;0,SUMIF(куб!$C:$C,$C105,куб!O:O),IF($B105&lt;&gt;0,SUMIF(куб!$B:$B,$B105,куб!O:O))))))</f>
        <v>543.40710000000036</v>
      </c>
      <c r="Z105" s="13" t="str">
        <f t="shared" si="39"/>
        <v>-</v>
      </c>
      <c r="AA105" s="5"/>
      <c r="AB105" s="33" t="str">
        <f t="shared" si="40"/>
        <v/>
      </c>
      <c r="AC105" s="33">
        <f t="shared" si="41"/>
        <v>0.12368694446731338</v>
      </c>
      <c r="AD105" s="15" t="str">
        <f t="shared" si="42"/>
        <v xml:space="preserve"> </v>
      </c>
      <c r="AE105" s="5"/>
      <c r="AF105" s="27">
        <f>IF($G105&lt;&gt;0,SUMIF(куб!$G:$G,$G105,куб!R:R),IF($E105&lt;&gt;0,SUMIF(куб!$E:$E,$E105,куб!R:R),IF($D105&lt;&gt;0,SUMIF(куб!$D:$D,$D105,куб!R:R),IF($C105&lt;&gt;0,SUMIF(куб!$C:$C,$C105,куб!R:R),IF($B105&lt;&gt;0,SUMIF(куб!$B:$B,$B105,куб!R:R))))))</f>
        <v>0</v>
      </c>
      <c r="AG105" s="27">
        <f>IF($G105&lt;&gt;0,SUMIF(куб!$G:$G,$G105,куб!S:S),IF($E105&lt;&gt;0,SUMIF(куб!$E:$E,$E105,куб!S:S),IF($D105&lt;&gt;0,SUMIF(куб!$D:$D,$D105,куб!S:S),IF($C105&lt;&gt;0,SUMIF(куб!$C:$C,$C105,куб!S:S),IF($B105&lt;&gt;0,SUMIF(куб!$B:$B,$B105,куб!S:S))))))</f>
        <v>140</v>
      </c>
      <c r="AH105" s="16" t="str">
        <f t="shared" si="43"/>
        <v>-</v>
      </c>
      <c r="AI105" s="8"/>
      <c r="AJ105" s="27">
        <f>IF($G105&lt;&gt;0,SUMIF(куб!$G:$G,$G105,куб!T:T),IF($E105&lt;&gt;0,SUMIF(куб!$E:$E,$E105,куб!T:T),IF($D105&lt;&gt;0,SUMIF(куб!$D:$D,$D105,куб!T:T),IF($C105&lt;&gt;0,SUMIF(куб!$C:$C,$C105,куб!T:T),IF($B105&lt;&gt;0,SUMIF(куб!$B:$B,$B105,куб!T:T))))))</f>
        <v>0</v>
      </c>
      <c r="AK105" s="27">
        <f>IF($G105&lt;&gt;0,SUMIF(куб!$G:$G,$G105,куб!U:U),IF($E105&lt;&gt;0,SUMIF(куб!$E:$E,$E105,куб!U:U),IF($D105&lt;&gt;0,SUMIF(куб!$D:$D,$D105,куб!U:U),IF($C105&lt;&gt;0,SUMIF(куб!$C:$C,$C105,куб!U:U),IF($B105&lt;&gt;0,SUMIF(куб!$B:$B,$B105,куб!U:U))))))</f>
        <v>2</v>
      </c>
      <c r="AL105" s="16" t="str">
        <f t="shared" si="44"/>
        <v>-</v>
      </c>
      <c r="AM105" s="8"/>
      <c r="AN105" s="17" t="str">
        <f t="shared" si="45"/>
        <v xml:space="preserve"> </v>
      </c>
      <c r="AO105" s="17">
        <f t="shared" si="46"/>
        <v>3.1865929292097694E-2</v>
      </c>
      <c r="AP105" s="16" t="str">
        <f t="shared" si="47"/>
        <v>-</v>
      </c>
      <c r="AQ105" s="8"/>
      <c r="AR105" s="17" t="str">
        <f t="shared" si="48"/>
        <v>-</v>
      </c>
      <c r="AS105" s="17">
        <f t="shared" si="49"/>
        <v>9.1821015175215681E-2</v>
      </c>
      <c r="AT105" s="13" t="str">
        <f t="shared" si="50"/>
        <v>-</v>
      </c>
      <c r="AU105" s="8"/>
    </row>
    <row r="106" spans="1:47" x14ac:dyDescent="0.25">
      <c r="A106" s="31" t="s">
        <v>26</v>
      </c>
      <c r="B106" s="31" t="s">
        <v>32</v>
      </c>
      <c r="C106" t="s">
        <v>33</v>
      </c>
      <c r="D106" s="31" t="s">
        <v>34</v>
      </c>
      <c r="E106" t="s">
        <v>203</v>
      </c>
      <c r="F106" s="31" t="s">
        <v>237</v>
      </c>
      <c r="G106" t="s">
        <v>238</v>
      </c>
      <c r="H106" s="27">
        <f>IF($G106&lt;&gt;0,SUMIF(куб!$G:$G,$G106,куб!H:H),IF($E106&lt;&gt;0,SUMIF(куб!$E:$E,$E106,куб!H:H),IF($D106&lt;&gt;0,SUMIF(куб!$D:$D,$D106,куб!H:H),IF($C106&lt;&gt;0,SUMIF(куб!$C:$C,$C106,куб!H:H),IF($B106&lt;&gt;0,SUMIF(куб!$B:$B,$B106,куб!H:H),IF($G106&lt;&gt;0,SUMIF(куб!$A:$A,$G106,куб!H:H),SUMIF(куб!$A:$A,$G106,куб!H:H)))))))</f>
        <v>10017.8637</v>
      </c>
      <c r="I106" s="27">
        <f>IF($G106&lt;&gt;0,SUMIF(куб!$G:$G,$G106,куб!I:I),IF($E106&lt;&gt;0,SUMIF(куб!$E:$E,$E106,куб!I:I),IF($D106&lt;&gt;0,SUMIF(куб!$D:$D,$D106,куб!I:I),IF($C106&lt;&gt;0,SUMIF(куб!$C:$C,$C106,куб!I:I),IF($B106&lt;&gt;0,SUMIF(куб!$B:$B,$B106,куб!I:I),IF($G106&lt;&gt;0,SUMIF(куб!$A:$A,$G106,куб!I:I),SUMIF(куб!$A:$A,$G106,куб!I:I)))))))</f>
        <v>0</v>
      </c>
      <c r="J106" s="19">
        <f t="shared" si="51"/>
        <v>-1</v>
      </c>
      <c r="K106" s="8"/>
      <c r="L106" s="17">
        <f t="shared" si="34"/>
        <v>2.0926235654260895E-5</v>
      </c>
      <c r="M106" s="17">
        <f t="shared" si="35"/>
        <v>0</v>
      </c>
      <c r="N106" s="12">
        <f t="shared" si="36"/>
        <v>-2.0926235654260895E-5</v>
      </c>
      <c r="O106" s="5"/>
      <c r="P106" s="27">
        <f>IF($G106&lt;&gt;0,SUMIF(куб!$G:$G,$G106,куб!J:J),IF($E106&lt;&gt;0,SUMIF(куб!$E:$E,$E106,куб!J:J),IF($D106&lt;&gt;0,SUMIF(куб!$D:$D,$D106,куб!J:J),IF($C106&lt;&gt;0,SUMIF(куб!$C:$C,$C106,куб!J:J),IF($B106&lt;&gt;0,SUMIF(куб!$B:$B,$B106,куб!J:J))))))</f>
        <v>116</v>
      </c>
      <c r="Q106" s="27">
        <f>IF($G106&lt;&gt;0,SUMIF(куб!$G:$G,$G106,куб!K:K),IF($E106&lt;&gt;0,SUMIF(куб!$E:$E,$E106,куб!K:K),IF($D106&lt;&gt;0,SUMIF(куб!$D:$D,$D106,куб!K:K),IF($C106&lt;&gt;0,SUMIF(куб!$C:$C,$C106,куб!K:K),IF($B106&lt;&gt;0,SUMIF(куб!$B:$B,$B106,куб!K:K))))))</f>
        <v>0</v>
      </c>
      <c r="R106" s="13">
        <f t="shared" si="37"/>
        <v>-1</v>
      </c>
      <c r="S106" s="5"/>
      <c r="T106" s="27">
        <f>IF($G106&lt;&gt;0,SUMIF(куб!$G:$G,$G106,куб!L:L),IF($E106&lt;&gt;0,SUMIF(куб!$E:$E,$E106,куб!L:L),IF($D106&lt;&gt;0,SUMIF(куб!$D:$D,$D106,куб!L:L),IF($C106&lt;&gt;0,SUMIF(куб!$C:$C,$C106,куб!L:L),IF($B106&lt;&gt;0,SUMIF(куб!$B:$B,$B106,куб!L:L))))))</f>
        <v>107.88000000000001</v>
      </c>
      <c r="U106" s="27">
        <f>IF($G106&lt;&gt;0,SUMIF(куб!$G:$G,$G106,куб!M:M),IF($E106&lt;&gt;0,SUMIF(куб!$E:$E,$E106,куб!M:M),IF($D106&lt;&gt;0,SUMIF(куб!$D:$D,$D106,куб!M:M),IF($C106&lt;&gt;0,SUMIF(куб!$C:$C,$C106,куб!M:M),IF($B106&lt;&gt;0,SUMIF(куб!$B:$B,$B106,куб!M:M))))))</f>
        <v>0</v>
      </c>
      <c r="V106" s="13">
        <f t="shared" si="38"/>
        <v>-1</v>
      </c>
      <c r="W106" s="5"/>
      <c r="X106" s="27">
        <f>IF($G106&lt;&gt;0,SUMIF(куб!$G:$G,$G106,куб!N:N),IF($E106&lt;&gt;0,SUMIF(куб!$E:$E,$E106,куб!N:N),IF($D106&lt;&gt;0,SUMIF(куб!$D:$D,$D106,куб!N:N),IF($C106&lt;&gt;0,SUMIF(куб!$C:$C,$C106,куб!N:N),IF($B106&lt;&gt;0,SUMIF(куб!$B:$B,$B106,куб!N:N))))))</f>
        <v>1326.7002999999986</v>
      </c>
      <c r="Y106" s="27">
        <f>IF($G106&lt;&gt;0,SUMIF(куб!$G:$G,$G106,куб!O:O),IF($E106&lt;&gt;0,SUMIF(куб!$E:$E,$E106,куб!O:O),IF($D106&lt;&gt;0,SUMIF(куб!$D:$D,$D106,куб!O:O),IF($C106&lt;&gt;0,SUMIF(куб!$C:$C,$C106,куб!O:O),IF($B106&lt;&gt;0,SUMIF(куб!$B:$B,$B106,куб!O:O))))))</f>
        <v>0</v>
      </c>
      <c r="Z106" s="13">
        <f t="shared" si="39"/>
        <v>-1</v>
      </c>
      <c r="AA106" s="5"/>
      <c r="AB106" s="33">
        <f t="shared" si="40"/>
        <v>0.13243345484926078</v>
      </c>
      <c r="AC106" s="33" t="str">
        <f t="shared" si="41"/>
        <v/>
      </c>
      <c r="AD106" s="15" t="str">
        <f t="shared" si="42"/>
        <v xml:space="preserve"> </v>
      </c>
      <c r="AE106" s="5"/>
      <c r="AF106" s="27">
        <f>IF($G106&lt;&gt;0,SUMIF(куб!$G:$G,$G106,куб!R:R),IF($E106&lt;&gt;0,SUMIF(куб!$E:$E,$E106,куб!R:R),IF($D106&lt;&gt;0,SUMIF(куб!$D:$D,$D106,куб!R:R),IF($C106&lt;&gt;0,SUMIF(куб!$C:$C,$C106,куб!R:R),IF($B106&lt;&gt;0,SUMIF(куб!$B:$B,$B106,куб!R:R))))))</f>
        <v>222.46349999999998</v>
      </c>
      <c r="AG106" s="27">
        <f>IF($G106&lt;&gt;0,SUMIF(куб!$G:$G,$G106,куб!S:S),IF($E106&lt;&gt;0,SUMIF(куб!$E:$E,$E106,куб!S:S),IF($D106&lt;&gt;0,SUMIF(куб!$D:$D,$D106,куб!S:S),IF($C106&lt;&gt;0,SUMIF(куб!$C:$C,$C106,куб!S:S),IF($B106&lt;&gt;0,SUMIF(куб!$B:$B,$B106,куб!S:S))))))</f>
        <v>0</v>
      </c>
      <c r="AH106" s="16">
        <f t="shared" si="43"/>
        <v>-1</v>
      </c>
      <c r="AI106" s="8"/>
      <c r="AJ106" s="27">
        <f>IF($G106&lt;&gt;0,SUMIF(куб!$G:$G,$G106,куб!T:T),IF($E106&lt;&gt;0,SUMIF(куб!$E:$E,$E106,куб!T:T),IF($D106&lt;&gt;0,SUMIF(куб!$D:$D,$D106,куб!T:T),IF($C106&lt;&gt;0,SUMIF(куб!$C:$C,$C106,куб!T:T),IF($B106&lt;&gt;0,SUMIF(куб!$B:$B,$B106,куб!T:T))))))</f>
        <v>3</v>
      </c>
      <c r="AK106" s="27">
        <f>IF($G106&lt;&gt;0,SUMIF(куб!$G:$G,$G106,куб!U:U),IF($E106&lt;&gt;0,SUMIF(куб!$E:$E,$E106,куб!U:U),IF($D106&lt;&gt;0,SUMIF(куб!$D:$D,$D106,куб!U:U),IF($C106&lt;&gt;0,SUMIF(куб!$C:$C,$C106,куб!U:U),IF($B106&lt;&gt;0,SUMIF(куб!$B:$B,$B106,куб!U:U))))))</f>
        <v>0</v>
      </c>
      <c r="AL106" s="16">
        <f t="shared" si="44"/>
        <v>-1</v>
      </c>
      <c r="AM106" s="8"/>
      <c r="AN106" s="17">
        <f t="shared" si="45"/>
        <v>2.2206680651883894E-2</v>
      </c>
      <c r="AO106" s="17" t="str">
        <f t="shared" si="46"/>
        <v xml:space="preserve"> </v>
      </c>
      <c r="AP106" s="16" t="str">
        <f t="shared" si="47"/>
        <v>-</v>
      </c>
      <c r="AQ106" s="8"/>
      <c r="AR106" s="17">
        <f t="shared" si="48"/>
        <v>0.11022677419737689</v>
      </c>
      <c r="AS106" s="17" t="str">
        <f t="shared" si="49"/>
        <v>-</v>
      </c>
      <c r="AT106" s="13" t="str">
        <f t="shared" si="50"/>
        <v>-</v>
      </c>
      <c r="AU106" s="8"/>
    </row>
    <row r="107" spans="1:47" ht="15" customHeight="1" x14ac:dyDescent="0.25">
      <c r="A107" s="31" t="s">
        <v>26</v>
      </c>
      <c r="B107" s="31" t="s">
        <v>32</v>
      </c>
      <c r="C107" t="s">
        <v>33</v>
      </c>
      <c r="D107" s="31" t="s">
        <v>34</v>
      </c>
      <c r="E107" t="s">
        <v>203</v>
      </c>
      <c r="F107" s="31" t="s">
        <v>239</v>
      </c>
      <c r="G107" t="s">
        <v>240</v>
      </c>
      <c r="H107" s="27">
        <f>IF($G107&lt;&gt;0,SUMIF(куб!$G:$G,$G107,куб!H:H),IF($E107&lt;&gt;0,SUMIF(куб!$E:$E,$E107,куб!H:H),IF($D107&lt;&gt;0,SUMIF(куб!$D:$D,$D107,куб!H:H),IF($C107&lt;&gt;0,SUMIF(куб!$C:$C,$C107,куб!H:H),IF($B107&lt;&gt;0,SUMIF(куб!$B:$B,$B107,куб!H:H),IF($G107&lt;&gt;0,SUMIF(куб!$A:$A,$G107,куб!H:H),SUMIF(куб!$A:$A,$G107,куб!H:H)))))))</f>
        <v>13279.466100000001</v>
      </c>
      <c r="I107" s="27">
        <f>IF($G107&lt;&gt;0,SUMIF(куб!$G:$G,$G107,куб!I:I),IF($E107&lt;&gt;0,SUMIF(куб!$E:$E,$E107,куб!I:I),IF($D107&lt;&gt;0,SUMIF(куб!$D:$D,$D107,куб!I:I),IF($C107&lt;&gt;0,SUMIF(куб!$C:$C,$C107,куб!I:I),IF($B107&lt;&gt;0,SUMIF(куб!$B:$B,$B107,куб!I:I),IF($G107&lt;&gt;0,SUMIF(куб!$A:$A,$G107,куб!I:I),SUMIF(куб!$A:$A,$G107,куб!I:I)))))))</f>
        <v>0</v>
      </c>
      <c r="J107" s="19">
        <f t="shared" si="51"/>
        <v>-1</v>
      </c>
      <c r="K107" s="10"/>
      <c r="L107" s="17">
        <f t="shared" si="34"/>
        <v>2.7739370917111692E-5</v>
      </c>
      <c r="M107" s="17">
        <f t="shared" si="35"/>
        <v>0</v>
      </c>
      <c r="N107" s="12">
        <f t="shared" si="36"/>
        <v>-2.7739370917111692E-5</v>
      </c>
      <c r="O107" s="5"/>
      <c r="P107" s="27">
        <f>IF($G107&lt;&gt;0,SUMIF(куб!$G:$G,$G107,куб!J:J),IF($E107&lt;&gt;0,SUMIF(куб!$E:$E,$E107,куб!J:J),IF($D107&lt;&gt;0,SUMIF(куб!$D:$D,$D107,куб!J:J),IF($C107&lt;&gt;0,SUMIF(куб!$C:$C,$C107,куб!J:J),IF($B107&lt;&gt;0,SUMIF(куб!$B:$B,$B107,куб!J:J))))))</f>
        <v>190</v>
      </c>
      <c r="Q107" s="27">
        <f>IF($G107&lt;&gt;0,SUMIF(куб!$G:$G,$G107,куб!K:K),IF($E107&lt;&gt;0,SUMIF(куб!$E:$E,$E107,куб!K:K),IF($D107&lt;&gt;0,SUMIF(куб!$D:$D,$D107,куб!K:K),IF($C107&lt;&gt;0,SUMIF(куб!$C:$C,$C107,куб!K:K),IF($B107&lt;&gt;0,SUMIF(куб!$B:$B,$B107,куб!K:K))))))</f>
        <v>0</v>
      </c>
      <c r="R107" s="13">
        <f t="shared" si="37"/>
        <v>-1</v>
      </c>
      <c r="S107" s="5"/>
      <c r="T107" s="27">
        <f>IF($G107&lt;&gt;0,SUMIF(куб!$G:$G,$G107,куб!L:L),IF($E107&lt;&gt;0,SUMIF(куб!$E:$E,$E107,куб!L:L),IF($D107&lt;&gt;0,SUMIF(куб!$D:$D,$D107,куб!L:L),IF($C107&lt;&gt;0,SUMIF(куб!$C:$C,$C107,куб!L:L),IF($B107&lt;&gt;0,SUMIF(куб!$B:$B,$B107,куб!L:L))))))</f>
        <v>171</v>
      </c>
      <c r="U107" s="27">
        <f>IF($G107&lt;&gt;0,SUMIF(куб!$G:$G,$G107,куб!M:M),IF($E107&lt;&gt;0,SUMIF(куб!$E:$E,$E107,куб!M:M),IF($D107&lt;&gt;0,SUMIF(куб!$D:$D,$D107,куб!M:M),IF($C107&lt;&gt;0,SUMIF(куб!$C:$C,$C107,куб!M:M),IF($B107&lt;&gt;0,SUMIF(куб!$B:$B,$B107,куб!M:M))))))</f>
        <v>0</v>
      </c>
      <c r="V107" s="13">
        <f t="shared" si="38"/>
        <v>-1</v>
      </c>
      <c r="W107" s="5"/>
      <c r="X107" s="27">
        <f>IF($G107&lt;&gt;0,SUMIF(куб!$G:$G,$G107,куб!N:N),IF($E107&lt;&gt;0,SUMIF(куб!$E:$E,$E107,куб!N:N),IF($D107&lt;&gt;0,SUMIF(куб!$D:$D,$D107,куб!N:N),IF($C107&lt;&gt;0,SUMIF(куб!$C:$C,$C107,куб!N:N),IF($B107&lt;&gt;0,SUMIF(куб!$B:$B,$B107,куб!N:N))))))</f>
        <v>1768.9240000000027</v>
      </c>
      <c r="Y107" s="27">
        <f>IF($G107&lt;&gt;0,SUMIF(куб!$G:$G,$G107,куб!O:O),IF($E107&lt;&gt;0,SUMIF(куб!$E:$E,$E107,куб!O:O),IF($D107&lt;&gt;0,SUMIF(куб!$D:$D,$D107,куб!O:O),IF($C107&lt;&gt;0,SUMIF(куб!$C:$C,$C107,куб!O:O),IF($B107&lt;&gt;0,SUMIF(куб!$B:$B,$B107,куб!O:O))))))</f>
        <v>0</v>
      </c>
      <c r="Z107" s="13">
        <f t="shared" si="39"/>
        <v>-1</v>
      </c>
      <c r="AA107" s="5"/>
      <c r="AB107" s="33">
        <f t="shared" si="40"/>
        <v>0.13320746381513052</v>
      </c>
      <c r="AC107" s="33" t="str">
        <f t="shared" si="41"/>
        <v/>
      </c>
      <c r="AD107" s="15" t="str">
        <f t="shared" si="42"/>
        <v xml:space="preserve"> </v>
      </c>
      <c r="AE107" s="5"/>
      <c r="AF107" s="27">
        <f>IF($G107&lt;&gt;0,SUMIF(куб!$G:$G,$G107,куб!R:R),IF($E107&lt;&gt;0,SUMIF(куб!$E:$E,$E107,куб!R:R),IF($D107&lt;&gt;0,SUMIF(куб!$D:$D,$D107,куб!R:R),IF($C107&lt;&gt;0,SUMIF(куб!$C:$C,$C107,куб!R:R),IF($B107&lt;&gt;0,SUMIF(куб!$B:$B,$B107,куб!R:R))))))</f>
        <v>1029.8905999999999</v>
      </c>
      <c r="AG107" s="27">
        <f>IF($G107&lt;&gt;0,SUMIF(куб!$G:$G,$G107,куб!S:S),IF($E107&lt;&gt;0,SUMIF(куб!$E:$E,$E107,куб!S:S),IF($D107&lt;&gt;0,SUMIF(куб!$D:$D,$D107,куб!S:S),IF($C107&lt;&gt;0,SUMIF(куб!$C:$C,$C107,куб!S:S),IF($B107&lt;&gt;0,SUMIF(куб!$B:$B,$B107,куб!S:S))))))</f>
        <v>0</v>
      </c>
      <c r="AH107" s="16">
        <f t="shared" si="43"/>
        <v>-1</v>
      </c>
      <c r="AI107" s="8"/>
      <c r="AJ107" s="27">
        <f>IF($G107&lt;&gt;0,SUMIF(куб!$G:$G,$G107,куб!T:T),IF($E107&lt;&gt;0,SUMIF(куб!$E:$E,$E107,куб!T:T),IF($D107&lt;&gt;0,SUMIF(куб!$D:$D,$D107,куб!T:T),IF($C107&lt;&gt;0,SUMIF(куб!$C:$C,$C107,куб!T:T),IF($B107&lt;&gt;0,SUMIF(куб!$B:$B,$B107,куб!T:T))))))</f>
        <v>17</v>
      </c>
      <c r="AK107" s="27">
        <f>IF($G107&lt;&gt;0,SUMIF(куб!$G:$G,$G107,куб!U:U),IF($E107&lt;&gt;0,SUMIF(куб!$E:$E,$E107,куб!U:U),IF($D107&lt;&gt;0,SUMIF(куб!$D:$D,$D107,куб!U:U),IF($C107&lt;&gt;0,SUMIF(куб!$C:$C,$C107,куб!U:U),IF($B107&lt;&gt;0,SUMIF(куб!$B:$B,$B107,куб!U:U))))))</f>
        <v>0</v>
      </c>
      <c r="AL107" s="16">
        <f t="shared" si="44"/>
        <v>-1</v>
      </c>
      <c r="AM107" s="8"/>
      <c r="AN107" s="17">
        <f t="shared" si="45"/>
        <v>7.7555120984871509E-2</v>
      </c>
      <c r="AO107" s="17" t="str">
        <f t="shared" si="46"/>
        <v xml:space="preserve"> </v>
      </c>
      <c r="AP107" s="16" t="str">
        <f t="shared" si="47"/>
        <v>-</v>
      </c>
      <c r="AQ107" s="8"/>
      <c r="AR107" s="17">
        <f t="shared" si="48"/>
        <v>5.5652342830259015E-2</v>
      </c>
      <c r="AS107" s="17" t="str">
        <f t="shared" si="49"/>
        <v>-</v>
      </c>
      <c r="AT107" s="13" t="str">
        <f t="shared" si="50"/>
        <v>-</v>
      </c>
      <c r="AU107" s="8"/>
    </row>
    <row r="108" spans="1:47" ht="15" customHeight="1" x14ac:dyDescent="0.25">
      <c r="A108" s="31" t="s">
        <v>26</v>
      </c>
      <c r="B108" s="31" t="s">
        <v>32</v>
      </c>
      <c r="C108" t="s">
        <v>33</v>
      </c>
      <c r="D108" s="31" t="s">
        <v>34</v>
      </c>
      <c r="E108" t="s">
        <v>203</v>
      </c>
      <c r="F108" s="46" t="s">
        <v>241</v>
      </c>
      <c r="G108" t="s">
        <v>242</v>
      </c>
      <c r="H108" s="27">
        <f>IF($G108&lt;&gt;0,SUMIF(куб!$G:$G,$G108,куб!H:H),IF($E108&lt;&gt;0,SUMIF(куб!$E:$E,$E108,куб!H:H),IF($D108&lt;&gt;0,SUMIF(куб!$D:$D,$D108,куб!H:H),IF($C108&lt;&gt;0,SUMIF(куб!$C:$C,$C108,куб!H:H),IF($B108&lt;&gt;0,SUMIF(куб!$B:$B,$B108,куб!H:H),IF($G108&lt;&gt;0,SUMIF(куб!$A:$A,$G108,куб!H:H),SUMIF(куб!$A:$A,$G108,куб!H:H)))))))</f>
        <v>97565422.519100219</v>
      </c>
      <c r="I108" s="27">
        <f>IF($G108&lt;&gt;0,SUMIF(куб!$G:$G,$G108,куб!I:I),IF($E108&lt;&gt;0,SUMIF(куб!$E:$E,$E108,куб!I:I),IF($D108&lt;&gt;0,SUMIF(куб!$D:$D,$D108,куб!I:I),IF($C108&lt;&gt;0,SUMIF(куб!$C:$C,$C108,куб!I:I),IF($B108&lt;&gt;0,SUMIF(куб!$B:$B,$B108,куб!I:I),IF($G108&lt;&gt;0,SUMIF(куб!$A:$A,$G108,куб!I:I),SUMIF(куб!$A:$A,$G108,куб!I:I)))))))</f>
        <v>47739425.217499807</v>
      </c>
      <c r="J108" s="19">
        <f t="shared" si="51"/>
        <v>-0.51069319452643236</v>
      </c>
      <c r="K108" s="5"/>
      <c r="L108" s="17">
        <f t="shared" si="34"/>
        <v>0.20380363363720191</v>
      </c>
      <c r="M108" s="17">
        <f t="shared" si="35"/>
        <v>0.1017888098938841</v>
      </c>
      <c r="N108" s="12">
        <f t="shared" si="36"/>
        <v>-0.10201482374331781</v>
      </c>
      <c r="O108" s="5"/>
      <c r="P108" s="27">
        <f>IF($G108&lt;&gt;0,SUMIF(куб!$G:$G,$G108,куб!J:J),IF($E108&lt;&gt;0,SUMIF(куб!$E:$E,$E108,куб!J:J),IF($D108&lt;&gt;0,SUMIF(куб!$D:$D,$D108,куб!J:J),IF($C108&lt;&gt;0,SUMIF(куб!$C:$C,$C108,куб!J:J),IF($B108&lt;&gt;0,SUMIF(куб!$B:$B,$B108,куб!J:J))))))</f>
        <v>1549278</v>
      </c>
      <c r="Q108" s="27">
        <f>IF($G108&lt;&gt;0,SUMIF(куб!$G:$G,$G108,куб!K:K),IF($E108&lt;&gt;0,SUMIF(куб!$E:$E,$E108,куб!K:K),IF($D108&lt;&gt;0,SUMIF(куб!$D:$D,$D108,куб!K:K),IF($C108&lt;&gt;0,SUMIF(куб!$C:$C,$C108,куб!K:K),IF($B108&lt;&gt;0,SUMIF(куб!$B:$B,$B108,куб!K:K))))))</f>
        <v>777527</v>
      </c>
      <c r="R108" s="13">
        <f t="shared" si="37"/>
        <v>-0.49813590588648388</v>
      </c>
      <c r="S108" s="5"/>
      <c r="T108" s="27">
        <f>IF($G108&lt;&gt;0,SUMIF(куб!$G:$G,$G108,куб!L:L),IF($E108&lt;&gt;0,SUMIF(куб!$E:$E,$E108,куб!L:L),IF($D108&lt;&gt;0,SUMIF(куб!$D:$D,$D108,куб!L:L),IF($C108&lt;&gt;0,SUMIF(куб!$C:$C,$C108,куб!L:L),IF($B108&lt;&gt;0,SUMIF(куб!$B:$B,$B108,куб!L:L))))))</f>
        <v>1394350.200000002</v>
      </c>
      <c r="U108" s="27">
        <f>IF($G108&lt;&gt;0,SUMIF(куб!$G:$G,$G108,куб!M:M),IF($E108&lt;&gt;0,SUMIF(куб!$E:$E,$E108,куб!M:M),IF($D108&lt;&gt;0,SUMIF(куб!$D:$D,$D108,куб!M:M),IF($C108&lt;&gt;0,SUMIF(куб!$C:$C,$C108,куб!M:M),IF($B108&lt;&gt;0,SUMIF(куб!$B:$B,$B108,куб!M:M))))))</f>
        <v>699774.30000000016</v>
      </c>
      <c r="V108" s="13">
        <f t="shared" si="38"/>
        <v>-0.49813590588648454</v>
      </c>
      <c r="W108" s="5"/>
      <c r="X108" s="27">
        <f>IF($G108&lt;&gt;0,SUMIF(куб!$G:$G,$G108,куб!N:N),IF($E108&lt;&gt;0,SUMIF(куб!$E:$E,$E108,куб!N:N),IF($D108&lt;&gt;0,SUMIF(куб!$D:$D,$D108,куб!N:N),IF($C108&lt;&gt;0,SUMIF(куб!$C:$C,$C108,куб!N:N),IF($B108&lt;&gt;0,SUMIF(куб!$B:$B,$B108,куб!N:N))))))</f>
        <v>8923570.9131993651</v>
      </c>
      <c r="Y108" s="27">
        <f>IF($G108&lt;&gt;0,SUMIF(куб!$G:$G,$G108,куб!O:O),IF($E108&lt;&gt;0,SUMIF(куб!$E:$E,$E108,куб!O:O),IF($D108&lt;&gt;0,SUMIF(куб!$D:$D,$D108,куб!O:O),IF($C108&lt;&gt;0,SUMIF(куб!$C:$C,$C108,куб!O:O),IF($B108&lt;&gt;0,SUMIF(куб!$B:$B,$B108,куб!O:O))))))</f>
        <v>5045970.3764000461</v>
      </c>
      <c r="Z108" s="13">
        <f t="shared" si="39"/>
        <v>-0.43453462459336073</v>
      </c>
      <c r="AA108" s="5"/>
      <c r="AB108" s="33">
        <f t="shared" si="40"/>
        <v>9.1462432927530368E-2</v>
      </c>
      <c r="AC108" s="33">
        <f t="shared" si="41"/>
        <v>0.10569818034906604</v>
      </c>
      <c r="AD108" s="15">
        <f t="shared" si="42"/>
        <v>1.4235747421535674E-2</v>
      </c>
      <c r="AE108" s="5"/>
      <c r="AF108" s="27">
        <f>IF($G108&lt;&gt;0,SUMIF(куб!$G:$G,$G108,куб!R:R),IF($E108&lt;&gt;0,SUMIF(куб!$E:$E,$E108,куб!R:R),IF($D108&lt;&gt;0,SUMIF(куб!$D:$D,$D108,куб!R:R),IF($C108&lt;&gt;0,SUMIF(куб!$C:$C,$C108,куб!R:R),IF($B108&lt;&gt;0,SUMIF(куб!$B:$B,$B108,куб!R:R))))))</f>
        <v>96440.496899999998</v>
      </c>
      <c r="AG108" s="27">
        <f>IF($G108&lt;&gt;0,SUMIF(куб!$G:$G,$G108,куб!S:S),IF($E108&lt;&gt;0,SUMIF(куб!$E:$E,$E108,куб!S:S),IF($D108&lt;&gt;0,SUMIF(куб!$D:$D,$D108,куб!S:S),IF($C108&lt;&gt;0,SUMIF(куб!$C:$C,$C108,куб!S:S),IF($B108&lt;&gt;0,SUMIF(куб!$B:$B,$B108,куб!S:S))))))</f>
        <v>234358.20300000004</v>
      </c>
      <c r="AH108" s="16">
        <f t="shared" si="43"/>
        <v>1.4300808325677554</v>
      </c>
      <c r="AI108" s="8"/>
      <c r="AJ108" s="27">
        <f>IF($G108&lt;&gt;0,SUMIF(куб!$G:$G,$G108,куб!T:T),IF($E108&lt;&gt;0,SUMIF(куб!$E:$E,$E108,куб!T:T),IF($D108&lt;&gt;0,SUMIF(куб!$D:$D,$D108,куб!T:T),IF($C108&lt;&gt;0,SUMIF(куб!$C:$C,$C108,куб!T:T),IF($B108&lt;&gt;0,SUMIF(куб!$B:$B,$B108,куб!T:T))))))</f>
        <v>1684</v>
      </c>
      <c r="AK108" s="27">
        <f>IF($G108&lt;&gt;0,SUMIF(куб!$G:$G,$G108,куб!U:U),IF($E108&lt;&gt;0,SUMIF(куб!$E:$E,$E108,куб!U:U),IF($D108&lt;&gt;0,SUMIF(куб!$D:$D,$D108,куб!U:U),IF($C108&lt;&gt;0,SUMIF(куб!$C:$C,$C108,куб!U:U),IF($B108&lt;&gt;0,SUMIF(куб!$B:$B,$B108,куб!U:U))))))</f>
        <v>4207</v>
      </c>
      <c r="AL108" s="16">
        <f t="shared" si="44"/>
        <v>1.4982185273159145</v>
      </c>
      <c r="AM108" s="8"/>
      <c r="AN108" s="17">
        <f t="shared" si="45"/>
        <v>9.8847003794935652E-4</v>
      </c>
      <c r="AO108" s="17">
        <f t="shared" si="46"/>
        <v>4.9091123726829351E-3</v>
      </c>
      <c r="AP108" s="16">
        <f t="shared" si="47"/>
        <v>3.9206423347335788E-3</v>
      </c>
      <c r="AQ108" s="8"/>
      <c r="AR108" s="17">
        <f t="shared" si="48"/>
        <v>9.0473962889581025E-2</v>
      </c>
      <c r="AS108" s="17">
        <f t="shared" si="49"/>
        <v>0.10078906797638311</v>
      </c>
      <c r="AT108" s="13">
        <f t="shared" si="50"/>
        <v>1.0315105086802084E-2</v>
      </c>
      <c r="AU108" s="8"/>
    </row>
    <row r="109" spans="1:47" ht="15" customHeight="1" x14ac:dyDescent="0.25">
      <c r="A109" s="31" t="s">
        <v>26</v>
      </c>
      <c r="B109" s="31" t="s">
        <v>32</v>
      </c>
      <c r="C109" t="s">
        <v>33</v>
      </c>
      <c r="D109" s="31" t="s">
        <v>34</v>
      </c>
      <c r="E109" t="s">
        <v>203</v>
      </c>
      <c r="F109" s="31" t="s">
        <v>243</v>
      </c>
      <c r="G109" t="s">
        <v>244</v>
      </c>
      <c r="H109" s="27">
        <f>IF($G109&lt;&gt;0,SUMIF(куб!$G:$G,$G109,куб!H:H),IF($E109&lt;&gt;0,SUMIF(куб!$E:$E,$E109,куб!H:H),IF($D109&lt;&gt;0,SUMIF(куб!$D:$D,$D109,куб!H:H),IF($C109&lt;&gt;0,SUMIF(куб!$C:$C,$C109,куб!H:H),IF($B109&lt;&gt;0,SUMIF(куб!$B:$B,$B109,куб!H:H),IF($G109&lt;&gt;0,SUMIF(куб!$A:$A,$G109,куб!H:H),SUMIF(куб!$A:$A,$G109,куб!H:H)))))))</f>
        <v>761567.39580000029</v>
      </c>
      <c r="I109" s="27">
        <f>IF($G109&lt;&gt;0,SUMIF(куб!$G:$G,$G109,куб!I:I),IF($E109&lt;&gt;0,SUMIF(куб!$E:$E,$E109,куб!I:I),IF($D109&lt;&gt;0,SUMIF(куб!$D:$D,$D109,куб!I:I),IF($C109&lt;&gt;0,SUMIF(куб!$C:$C,$C109,куб!I:I),IF($B109&lt;&gt;0,SUMIF(куб!$B:$B,$B109,куб!I:I),IF($G109&lt;&gt;0,SUMIF(куб!$A:$A,$G109,куб!I:I),SUMIF(куб!$A:$A,$G109,куб!I:I)))))))</f>
        <v>130888.1446</v>
      </c>
      <c r="J109" s="19">
        <f t="shared" si="51"/>
        <v>-0.82813320879827512</v>
      </c>
      <c r="K109" s="5"/>
      <c r="L109" s="17">
        <f t="shared" si="34"/>
        <v>1.5908320644363115E-3</v>
      </c>
      <c r="M109" s="17">
        <f t="shared" si="35"/>
        <v>2.7907643226439242E-4</v>
      </c>
      <c r="N109" s="12">
        <f t="shared" si="36"/>
        <v>-1.3117556321719189E-3</v>
      </c>
      <c r="O109" s="5"/>
      <c r="P109" s="27">
        <f>IF($G109&lt;&gt;0,SUMIF(куб!$G:$G,$G109,куб!J:J),IF($E109&lt;&gt;0,SUMIF(куб!$E:$E,$E109,куб!J:J),IF($D109&lt;&gt;0,SUMIF(куб!$D:$D,$D109,куб!J:J),IF($C109&lt;&gt;0,SUMIF(куб!$C:$C,$C109,куб!J:J),IF($B109&lt;&gt;0,SUMIF(куб!$B:$B,$B109,куб!J:J))))))</f>
        <v>10784</v>
      </c>
      <c r="Q109" s="27">
        <f>IF($G109&lt;&gt;0,SUMIF(куб!$G:$G,$G109,куб!K:K),IF($E109&lt;&gt;0,SUMIF(куб!$E:$E,$E109,куб!K:K),IF($D109&lt;&gt;0,SUMIF(куб!$D:$D,$D109,куб!K:K),IF($C109&lt;&gt;0,SUMIF(куб!$C:$C,$C109,куб!K:K),IF($B109&lt;&gt;0,SUMIF(куб!$B:$B,$B109,куб!K:K))))))</f>
        <v>1849</v>
      </c>
      <c r="R109" s="13">
        <f t="shared" si="37"/>
        <v>-0.82854228486646886</v>
      </c>
      <c r="S109" s="5"/>
      <c r="T109" s="27">
        <f>IF($G109&lt;&gt;0,SUMIF(куб!$G:$G,$G109,куб!L:L),IF($E109&lt;&gt;0,SUMIF(куб!$E:$E,$E109,куб!L:L),IF($D109&lt;&gt;0,SUMIF(куб!$D:$D,$D109,куб!L:L),IF($C109&lt;&gt;0,SUMIF(куб!$C:$C,$C109,куб!L:L),IF($B109&lt;&gt;0,SUMIF(куб!$B:$B,$B109,куб!L:L))))))</f>
        <v>9705.6000000000022</v>
      </c>
      <c r="U109" s="27">
        <f>IF($G109&lt;&gt;0,SUMIF(куб!$G:$G,$G109,куб!M:M),IF($E109&lt;&gt;0,SUMIF(куб!$E:$E,$E109,куб!M:M),IF($D109&lt;&gt;0,SUMIF(куб!$D:$D,$D109,куб!M:M),IF($C109&lt;&gt;0,SUMIF(куб!$C:$C,$C109,куб!M:M),IF($B109&lt;&gt;0,SUMIF(куб!$B:$B,$B109,куб!M:M))))))</f>
        <v>1664.1000000000004</v>
      </c>
      <c r="V109" s="13">
        <f t="shared" si="38"/>
        <v>-0.82854228486646886</v>
      </c>
      <c r="W109" s="5"/>
      <c r="X109" s="27">
        <f>IF($G109&lt;&gt;0,SUMIF(куб!$G:$G,$G109,куб!N:N),IF($E109&lt;&gt;0,SUMIF(куб!$E:$E,$E109,куб!N:N),IF($D109&lt;&gt;0,SUMIF(куб!$D:$D,$D109,куб!N:N),IF($C109&lt;&gt;0,SUMIF(куб!$C:$C,$C109,куб!N:N),IF($B109&lt;&gt;0,SUMIF(куб!$B:$B,$B109,куб!N:N))))))</f>
        <v>89813.778499998851</v>
      </c>
      <c r="Y109" s="27">
        <f>IF($G109&lt;&gt;0,SUMIF(куб!$G:$G,$G109,куб!O:O),IF($E109&lt;&gt;0,SUMIF(куб!$E:$E,$E109,куб!O:O),IF($D109&lt;&gt;0,SUMIF(куб!$D:$D,$D109,куб!O:O),IF($C109&lt;&gt;0,SUMIF(куб!$C:$C,$C109,куб!O:O),IF($B109&lt;&gt;0,SUMIF(куб!$B:$B,$B109,куб!O:O))))))</f>
        <v>15712.26870000003</v>
      </c>
      <c r="Z109" s="13">
        <f t="shared" si="39"/>
        <v>-0.82505725777921446</v>
      </c>
      <c r="AA109" s="5"/>
      <c r="AB109" s="33">
        <f t="shared" si="40"/>
        <v>0.11793280410284972</v>
      </c>
      <c r="AC109" s="33">
        <f t="shared" si="41"/>
        <v>0.12004348253248927</v>
      </c>
      <c r="AD109" s="15">
        <f t="shared" si="42"/>
        <v>2.1106784296395509E-3</v>
      </c>
      <c r="AE109" s="5"/>
      <c r="AF109" s="27">
        <f>IF($G109&lt;&gt;0,SUMIF(куб!$G:$G,$G109,куб!R:R),IF($E109&lt;&gt;0,SUMIF(куб!$E:$E,$E109,куб!R:R),IF($D109&lt;&gt;0,SUMIF(куб!$D:$D,$D109,куб!R:R),IF($C109&lt;&gt;0,SUMIF(куб!$C:$C,$C109,куб!R:R),IF($B109&lt;&gt;0,SUMIF(куб!$B:$B,$B109,куб!R:R))))))</f>
        <v>9655.0894999999982</v>
      </c>
      <c r="AG109" s="27">
        <f>IF($G109&lt;&gt;0,SUMIF(куб!$G:$G,$G109,куб!S:S),IF($E109&lt;&gt;0,SUMIF(куб!$E:$E,$E109,куб!S:S),IF($D109&lt;&gt;0,SUMIF(куб!$D:$D,$D109,куб!S:S),IF($C109&lt;&gt;0,SUMIF(куб!$C:$C,$C109,куб!S:S),IF($B109&lt;&gt;0,SUMIF(куб!$B:$B,$B109,куб!S:S))))))</f>
        <v>3052.2541999999989</v>
      </c>
      <c r="AH109" s="16">
        <f t="shared" si="43"/>
        <v>-0.68387095738470371</v>
      </c>
      <c r="AI109" s="8"/>
      <c r="AJ109" s="27">
        <f>IF($G109&lt;&gt;0,SUMIF(куб!$G:$G,$G109,куб!T:T),IF($E109&lt;&gt;0,SUMIF(куб!$E:$E,$E109,куб!T:T),IF($D109&lt;&gt;0,SUMIF(куб!$D:$D,$D109,куб!T:T),IF($C109&lt;&gt;0,SUMIF(куб!$C:$C,$C109,куб!T:T),IF($B109&lt;&gt;0,SUMIF(куб!$B:$B,$B109,куб!T:T))))))</f>
        <v>155</v>
      </c>
      <c r="AK109" s="27">
        <f>IF($G109&lt;&gt;0,SUMIF(куб!$G:$G,$G109,куб!U:U),IF($E109&lt;&gt;0,SUMIF(куб!$E:$E,$E109,куб!U:U),IF($D109&lt;&gt;0,SUMIF(куб!$D:$D,$D109,куб!U:U),IF($C109&lt;&gt;0,SUMIF(куб!$C:$C,$C109,куб!U:U),IF($B109&lt;&gt;0,SUMIF(куб!$B:$B,$B109,куб!U:U))))))</f>
        <v>49</v>
      </c>
      <c r="AL109" s="16">
        <f t="shared" si="44"/>
        <v>-0.68387096774193545</v>
      </c>
      <c r="AM109" s="8"/>
      <c r="AN109" s="17">
        <f t="shared" si="45"/>
        <v>1.2677918662546812E-2</v>
      </c>
      <c r="AO109" s="17">
        <f t="shared" si="46"/>
        <v>2.331956197658561E-2</v>
      </c>
      <c r="AP109" s="16">
        <f t="shared" si="47"/>
        <v>1.0641643314038798E-2</v>
      </c>
      <c r="AQ109" s="8"/>
      <c r="AR109" s="17">
        <f t="shared" si="48"/>
        <v>0.1052548854403029</v>
      </c>
      <c r="AS109" s="17">
        <f t="shared" si="49"/>
        <v>9.6723920555903661E-2</v>
      </c>
      <c r="AT109" s="13">
        <f t="shared" si="50"/>
        <v>-8.5309648843992364E-3</v>
      </c>
      <c r="AU109" s="8"/>
    </row>
    <row r="110" spans="1:47" x14ac:dyDescent="0.25">
      <c r="A110" s="31" t="s">
        <v>26</v>
      </c>
      <c r="B110" s="31" t="s">
        <v>32</v>
      </c>
      <c r="C110" t="s">
        <v>33</v>
      </c>
      <c r="D110" s="31" t="s">
        <v>34</v>
      </c>
      <c r="E110" t="s">
        <v>203</v>
      </c>
      <c r="F110" s="31" t="s">
        <v>245</v>
      </c>
      <c r="G110" t="s">
        <v>246</v>
      </c>
      <c r="H110" s="27">
        <f>IF($G110&lt;&gt;0,SUMIF(куб!$G:$G,$G110,куб!H:H),IF($E110&lt;&gt;0,SUMIF(куб!$E:$E,$E110,куб!H:H),IF($D110&lt;&gt;0,SUMIF(куб!$D:$D,$D110,куб!H:H),IF($C110&lt;&gt;0,SUMIF(куб!$C:$C,$C110,куб!H:H),IF($B110&lt;&gt;0,SUMIF(куб!$B:$B,$B110,куб!H:H),IF($G110&lt;&gt;0,SUMIF(куб!$A:$A,$G110,куб!H:H),SUMIF(куб!$A:$A,$G110,куб!H:H)))))))</f>
        <v>0</v>
      </c>
      <c r="I110" s="27">
        <f>IF($G110&lt;&gt;0,SUMIF(куб!$G:$G,$G110,куб!I:I),IF($E110&lt;&gt;0,SUMIF(куб!$E:$E,$E110,куб!I:I),IF($D110&lt;&gt;0,SUMIF(куб!$D:$D,$D110,куб!I:I),IF($C110&lt;&gt;0,SUMIF(куб!$C:$C,$C110,куб!I:I),IF($B110&lt;&gt;0,SUMIF(куб!$B:$B,$B110,куб!I:I),IF($G110&lt;&gt;0,SUMIF(куб!$A:$A,$G110,куб!I:I),SUMIF(куб!$A:$A,$G110,куб!I:I)))))))</f>
        <v>757628.12500000023</v>
      </c>
      <c r="J110" s="19" t="str">
        <f t="shared" si="51"/>
        <v>-</v>
      </c>
      <c r="K110" s="8"/>
      <c r="L110" s="17">
        <f t="shared" si="34"/>
        <v>0</v>
      </c>
      <c r="M110" s="17">
        <f t="shared" si="35"/>
        <v>1.6153957621931267E-3</v>
      </c>
      <c r="N110" s="12">
        <f t="shared" si="36"/>
        <v>1.6153957621931267E-3</v>
      </c>
      <c r="O110" s="5"/>
      <c r="P110" s="27">
        <f>IF($G110&lt;&gt;0,SUMIF(куб!$G:$G,$G110,куб!J:J),IF($E110&lt;&gt;0,SUMIF(куб!$E:$E,$E110,куб!J:J),IF($D110&lt;&gt;0,SUMIF(куб!$D:$D,$D110,куб!J:J),IF($C110&lt;&gt;0,SUMIF(куб!$C:$C,$C110,куб!J:J),IF($B110&lt;&gt;0,SUMIF(куб!$B:$B,$B110,куб!J:J))))))</f>
        <v>0</v>
      </c>
      <c r="Q110" s="27">
        <f>IF($G110&lt;&gt;0,SUMIF(куб!$G:$G,$G110,куб!K:K),IF($E110&lt;&gt;0,SUMIF(куб!$E:$E,$E110,куб!K:K),IF($D110&lt;&gt;0,SUMIF(куб!$D:$D,$D110,куб!K:K),IF($C110&lt;&gt;0,SUMIF(куб!$C:$C,$C110,куб!K:K),IF($B110&lt;&gt;0,SUMIF(куб!$B:$B,$B110,куб!K:K))))))</f>
        <v>9936</v>
      </c>
      <c r="R110" s="13" t="str">
        <f t="shared" si="37"/>
        <v>-</v>
      </c>
      <c r="S110" s="5"/>
      <c r="T110" s="27">
        <f>IF($G110&lt;&gt;0,SUMIF(куб!$G:$G,$G110,куб!L:L),IF($E110&lt;&gt;0,SUMIF(куб!$E:$E,$E110,куб!L:L),IF($D110&lt;&gt;0,SUMIF(куб!$D:$D,$D110,куб!L:L),IF($C110&lt;&gt;0,SUMIF(куб!$C:$C,$C110,куб!L:L),IF($B110&lt;&gt;0,SUMIF(куб!$B:$B,$B110,куб!L:L))))))</f>
        <v>0</v>
      </c>
      <c r="U110" s="27">
        <f>IF($G110&lt;&gt;0,SUMIF(куб!$G:$G,$G110,куб!M:M),IF($E110&lt;&gt;0,SUMIF(куб!$E:$E,$E110,куб!M:M),IF($D110&lt;&gt;0,SUMIF(куб!$D:$D,$D110,куб!M:M),IF($C110&lt;&gt;0,SUMIF(куб!$C:$C,$C110,куб!M:M),IF($B110&lt;&gt;0,SUMIF(куб!$B:$B,$B110,куб!M:M))))))</f>
        <v>8942.4000000000015</v>
      </c>
      <c r="V110" s="13" t="str">
        <f t="shared" si="38"/>
        <v>-</v>
      </c>
      <c r="W110" s="5"/>
      <c r="X110" s="27">
        <f>IF($G110&lt;&gt;0,SUMIF(куб!$G:$G,$G110,куб!N:N),IF($E110&lt;&gt;0,SUMIF(куб!$E:$E,$E110,куб!N:N),IF($D110&lt;&gt;0,SUMIF(куб!$D:$D,$D110,куб!N:N),IF($C110&lt;&gt;0,SUMIF(куб!$C:$C,$C110,куб!N:N),IF($B110&lt;&gt;0,SUMIF(куб!$B:$B,$B110,куб!N:N))))))</f>
        <v>0</v>
      </c>
      <c r="Y110" s="27">
        <f>IF($G110&lt;&gt;0,SUMIF(куб!$G:$G,$G110,куб!O:O),IF($E110&lt;&gt;0,SUMIF(куб!$E:$E,$E110,куб!O:O),IF($D110&lt;&gt;0,SUMIF(куб!$D:$D,$D110,куб!O:O),IF($C110&lt;&gt;0,SUMIF(куб!$C:$C,$C110,куб!O:O),IF($B110&lt;&gt;0,SUMIF(куб!$B:$B,$B110,куб!O:O))))))</f>
        <v>94264.711000000476</v>
      </c>
      <c r="Z110" s="13" t="str">
        <f t="shared" si="39"/>
        <v>-</v>
      </c>
      <c r="AA110" s="5"/>
      <c r="AB110" s="33" t="str">
        <f t="shared" si="40"/>
        <v/>
      </c>
      <c r="AC110" s="33">
        <f t="shared" si="41"/>
        <v>0.12442081793096112</v>
      </c>
      <c r="AD110" s="15" t="str">
        <f t="shared" si="42"/>
        <v xml:space="preserve"> </v>
      </c>
      <c r="AE110" s="5"/>
      <c r="AF110" s="27">
        <f>IF($G110&lt;&gt;0,SUMIF(куб!$G:$G,$G110,куб!R:R),IF($E110&lt;&gt;0,SUMIF(куб!$E:$E,$E110,куб!R:R),IF($D110&lt;&gt;0,SUMIF(куб!$D:$D,$D110,куб!R:R),IF($C110&lt;&gt;0,SUMIF(куб!$C:$C,$C110,куб!R:R),IF($B110&lt;&gt;0,SUMIF(куб!$B:$B,$B110,куб!R:R))))))</f>
        <v>0</v>
      </c>
      <c r="AG110" s="27">
        <f>IF($G110&lt;&gt;0,SUMIF(куб!$G:$G,$G110,куб!S:S),IF($E110&lt;&gt;0,SUMIF(куб!$E:$E,$E110,куб!S:S),IF($D110&lt;&gt;0,SUMIF(куб!$D:$D,$D110,куб!S:S),IF($C110&lt;&gt;0,SUMIF(куб!$C:$C,$C110,куб!S:S),IF($B110&lt;&gt;0,SUMIF(куб!$B:$B,$B110,куб!S:S))))))</f>
        <v>1001.7630999999999</v>
      </c>
      <c r="AH110" s="16" t="str">
        <f t="shared" si="43"/>
        <v>-</v>
      </c>
      <c r="AI110" s="8"/>
      <c r="AJ110" s="27">
        <f>IF($G110&lt;&gt;0,SUMIF(куб!$G:$G,$G110,куб!T:T),IF($E110&lt;&gt;0,SUMIF(куб!$E:$E,$E110,куб!T:T),IF($D110&lt;&gt;0,SUMIF(куб!$D:$D,$D110,куб!T:T),IF($C110&lt;&gt;0,SUMIF(куб!$C:$C,$C110,куб!T:T),IF($B110&lt;&gt;0,SUMIF(куб!$B:$B,$B110,куб!T:T))))))</f>
        <v>0</v>
      </c>
      <c r="AK110" s="27">
        <f>IF($G110&lt;&gt;0,SUMIF(куб!$G:$G,$G110,куб!U:U),IF($E110&lt;&gt;0,SUMIF(куб!$E:$E,$E110,куб!U:U),IF($D110&lt;&gt;0,SUMIF(куб!$D:$D,$D110,куб!U:U),IF($C110&lt;&gt;0,SUMIF(куб!$C:$C,$C110,куб!U:U),IF($B110&lt;&gt;0,SUMIF(куб!$B:$B,$B110,куб!U:U))))))</f>
        <v>15</v>
      </c>
      <c r="AL110" s="16" t="str">
        <f t="shared" si="44"/>
        <v>-</v>
      </c>
      <c r="AM110" s="8"/>
      <c r="AN110" s="17" t="str">
        <f t="shared" si="45"/>
        <v xml:space="preserve"> </v>
      </c>
      <c r="AO110" s="17">
        <f t="shared" si="46"/>
        <v>1.3222358924439342E-3</v>
      </c>
      <c r="AP110" s="16" t="str">
        <f t="shared" si="47"/>
        <v>-</v>
      </c>
      <c r="AQ110" s="8"/>
      <c r="AR110" s="17" t="str">
        <f t="shared" si="48"/>
        <v>-</v>
      </c>
      <c r="AS110" s="17">
        <f t="shared" si="49"/>
        <v>0.12309858203851719</v>
      </c>
      <c r="AT110" s="13" t="str">
        <f t="shared" si="50"/>
        <v>-</v>
      </c>
      <c r="AU110" s="8"/>
    </row>
    <row r="111" spans="1:47" ht="15" customHeight="1" x14ac:dyDescent="0.25">
      <c r="A111" s="31" t="s">
        <v>26</v>
      </c>
      <c r="B111" s="31" t="s">
        <v>32</v>
      </c>
      <c r="C111" t="s">
        <v>33</v>
      </c>
      <c r="D111" s="31" t="s">
        <v>34</v>
      </c>
      <c r="E111" t="s">
        <v>203</v>
      </c>
      <c r="F111" s="31" t="s">
        <v>247</v>
      </c>
      <c r="G111" t="s">
        <v>248</v>
      </c>
      <c r="H111" s="27">
        <f>IF($G111&lt;&gt;0,SUMIF(куб!$G:$G,$G111,куб!H:H),IF($E111&lt;&gt;0,SUMIF(куб!$E:$E,$E111,куб!H:H),IF($D111&lt;&gt;0,SUMIF(куб!$D:$D,$D111,куб!H:H),IF($C111&lt;&gt;0,SUMIF(куб!$C:$C,$C111,куб!H:H),IF($B111&lt;&gt;0,SUMIF(куб!$B:$B,$B111,куб!H:H),IF($G111&lt;&gt;0,SUMIF(куб!$A:$A,$G111,куб!H:H),SUMIF(куб!$A:$A,$G111,куб!H:H)))))))</f>
        <v>69499.040699999998</v>
      </c>
      <c r="I111" s="27">
        <f>IF($G111&lt;&gt;0,SUMIF(куб!$G:$G,$G111,куб!I:I),IF($E111&lt;&gt;0,SUMIF(куб!$E:$E,$E111,куб!I:I),IF($D111&lt;&gt;0,SUMIF(куб!$D:$D,$D111,куб!I:I),IF($C111&lt;&gt;0,SUMIF(куб!$C:$C,$C111,куб!I:I),IF($B111&lt;&gt;0,SUMIF(куб!$B:$B,$B111,куб!I:I),IF($G111&lt;&gt;0,SUMIF(куб!$A:$A,$G111,куб!I:I),SUMIF(куб!$A:$A,$G111,куб!I:I)))))))</f>
        <v>57064.528999999995</v>
      </c>
      <c r="J111" s="19">
        <f t="shared" si="51"/>
        <v>-0.17891630696997524</v>
      </c>
      <c r="K111" s="10"/>
      <c r="L111" s="17">
        <f t="shared" si="34"/>
        <v>1.4517599230595132E-4</v>
      </c>
      <c r="M111" s="17">
        <f t="shared" si="35"/>
        <v>1.2167156323314522E-4</v>
      </c>
      <c r="N111" s="12">
        <f t="shared" si="36"/>
        <v>-2.3504429072806105E-5</v>
      </c>
      <c r="O111" s="5"/>
      <c r="P111" s="27">
        <f>IF($G111&lt;&gt;0,SUMIF(куб!$G:$G,$G111,куб!J:J),IF($E111&lt;&gt;0,SUMIF(куб!$E:$E,$E111,куб!J:J),IF($D111&lt;&gt;0,SUMIF(куб!$D:$D,$D111,куб!J:J),IF($C111&lt;&gt;0,SUMIF(куб!$C:$C,$C111,куб!J:J),IF($B111&lt;&gt;0,SUMIF(куб!$B:$B,$B111,куб!J:J))))))</f>
        <v>860</v>
      </c>
      <c r="Q111" s="27">
        <f>IF($G111&lt;&gt;0,SUMIF(куб!$G:$G,$G111,куб!K:K),IF($E111&lt;&gt;0,SUMIF(куб!$E:$E,$E111,куб!K:K),IF($D111&lt;&gt;0,SUMIF(куб!$D:$D,$D111,куб!K:K),IF($C111&lt;&gt;0,SUMIF(куб!$C:$C,$C111,куб!K:K),IF($B111&lt;&gt;0,SUMIF(куб!$B:$B,$B111,куб!K:K))))))</f>
        <v>700</v>
      </c>
      <c r="R111" s="13">
        <f t="shared" si="37"/>
        <v>-0.18604651162790697</v>
      </c>
      <c r="S111" s="5"/>
      <c r="T111" s="27">
        <f>IF($G111&lt;&gt;0,SUMIF(куб!$G:$G,$G111,куб!L:L),IF($E111&lt;&gt;0,SUMIF(куб!$E:$E,$E111,куб!L:L),IF($D111&lt;&gt;0,SUMIF(куб!$D:$D,$D111,куб!L:L),IF($C111&lt;&gt;0,SUMIF(куб!$C:$C,$C111,куб!L:L),IF($B111&lt;&gt;0,SUMIF(куб!$B:$B,$B111,куб!L:L))))))</f>
        <v>774</v>
      </c>
      <c r="U111" s="27">
        <f>IF($G111&lt;&gt;0,SUMIF(куб!$G:$G,$G111,куб!M:M),IF($E111&lt;&gt;0,SUMIF(куб!$E:$E,$E111,куб!M:M),IF($D111&lt;&gt;0,SUMIF(куб!$D:$D,$D111,куб!M:M),IF($C111&lt;&gt;0,SUMIF(куб!$C:$C,$C111,куб!M:M),IF($B111&lt;&gt;0,SUMIF(куб!$B:$B,$B111,куб!M:M))))))</f>
        <v>630.00000000000011</v>
      </c>
      <c r="V111" s="13">
        <f t="shared" si="38"/>
        <v>-0.18604651162790684</v>
      </c>
      <c r="W111" s="5"/>
      <c r="X111" s="27">
        <f>IF($G111&lt;&gt;0,SUMIF(куб!$G:$G,$G111,куб!N:N),IF($E111&lt;&gt;0,SUMIF(куб!$E:$E,$E111,куб!N:N),IF($D111&lt;&gt;0,SUMIF(куб!$D:$D,$D111,куб!N:N),IF($C111&lt;&gt;0,SUMIF(куб!$C:$C,$C111,куб!N:N),IF($B111&lt;&gt;0,SUMIF(куб!$B:$B,$B111,куб!N:N))))))</f>
        <v>8908.1361000000034</v>
      </c>
      <c r="Y111" s="27">
        <f>IF($G111&lt;&gt;0,SUMIF(куб!$G:$G,$G111,куб!O:O),IF($E111&lt;&gt;0,SUMIF(куб!$E:$E,$E111,куб!O:O),IF($D111&lt;&gt;0,SUMIF(куб!$D:$D,$D111,куб!O:O),IF($C111&lt;&gt;0,SUMIF(куб!$C:$C,$C111,куб!O:O),IF($B111&lt;&gt;0,SUMIF(куб!$B:$B,$B111,куб!O:O))))))</f>
        <v>4246.351699999992</v>
      </c>
      <c r="Z111" s="13">
        <f t="shared" si="39"/>
        <v>-0.52331759951444945</v>
      </c>
      <c r="AA111" s="5"/>
      <c r="AB111" s="33">
        <f t="shared" si="40"/>
        <v>0.12817638934691086</v>
      </c>
      <c r="AC111" s="33">
        <f t="shared" si="41"/>
        <v>7.4413156025523175E-2</v>
      </c>
      <c r="AD111" s="15">
        <f t="shared" si="42"/>
        <v>-5.3763233321387688E-2</v>
      </c>
      <c r="AE111" s="5"/>
      <c r="AF111" s="27">
        <f>IF($G111&lt;&gt;0,SUMIF(куб!$G:$G,$G111,куб!R:R),IF($E111&lt;&gt;0,SUMIF(куб!$E:$E,$E111,куб!R:R),IF($D111&lt;&gt;0,SUMIF(куб!$D:$D,$D111,куб!R:R),IF($C111&lt;&gt;0,SUMIF(куб!$C:$C,$C111,куб!R:R),IF($B111&lt;&gt;0,SUMIF(куб!$B:$B,$B111,куб!R:R))))))</f>
        <v>1191.9719000000002</v>
      </c>
      <c r="AG111" s="27">
        <f>IF($G111&lt;&gt;0,SUMIF(куб!$G:$G,$G111,куб!S:S),IF($E111&lt;&gt;0,SUMIF(куб!$E:$E,$E111,куб!S:S),IF($D111&lt;&gt;0,SUMIF(куб!$D:$D,$D111,куб!S:S),IF($C111&lt;&gt;0,SUMIF(куб!$C:$C,$C111,куб!S:S),IF($B111&lt;&gt;0,SUMIF(куб!$B:$B,$B111,куб!S:S))))))</f>
        <v>1735.4538000000002</v>
      </c>
      <c r="AH111" s="16">
        <f t="shared" si="43"/>
        <v>0.45595193980663462</v>
      </c>
      <c r="AI111" s="8"/>
      <c r="AJ111" s="27">
        <f>IF($G111&lt;&gt;0,SUMIF(куб!$G:$G,$G111,куб!T:T),IF($E111&lt;&gt;0,SUMIF(куб!$E:$E,$E111,куб!T:T),IF($D111&lt;&gt;0,SUMIF(куб!$D:$D,$D111,куб!T:T),IF($C111&lt;&gt;0,SUMIF(куб!$C:$C,$C111,куб!T:T),IF($B111&lt;&gt;0,SUMIF(куб!$B:$B,$B111,куб!T:T))))))</f>
        <v>17</v>
      </c>
      <c r="AK111" s="27">
        <f>IF($G111&lt;&gt;0,SUMIF(куб!$G:$G,$G111,куб!U:U),IF($E111&lt;&gt;0,SUMIF(куб!$E:$E,$E111,куб!U:U),IF($D111&lt;&gt;0,SUMIF(куб!$D:$D,$D111,куб!U:U),IF($C111&lt;&gt;0,SUMIF(куб!$C:$C,$C111,куб!U:U),IF($B111&lt;&gt;0,SUMIF(куб!$B:$B,$B111,куб!U:U))))))</f>
        <v>23</v>
      </c>
      <c r="AL111" s="16">
        <f t="shared" si="44"/>
        <v>0.35294117647058826</v>
      </c>
      <c r="AM111" s="8"/>
      <c r="AN111" s="17">
        <f t="shared" si="45"/>
        <v>1.715091155207845E-2</v>
      </c>
      <c r="AO111" s="17">
        <f t="shared" si="46"/>
        <v>3.0412128697320896E-2</v>
      </c>
      <c r="AP111" s="16">
        <f t="shared" si="47"/>
        <v>1.3261217145242445E-2</v>
      </c>
      <c r="AQ111" s="8"/>
      <c r="AR111" s="17">
        <f t="shared" si="48"/>
        <v>0.11102547779483241</v>
      </c>
      <c r="AS111" s="17">
        <f t="shared" si="49"/>
        <v>4.400102732820229E-2</v>
      </c>
      <c r="AT111" s="13">
        <f t="shared" si="50"/>
        <v>-6.7024450466630109E-2</v>
      </c>
      <c r="AU111" s="8"/>
    </row>
    <row r="112" spans="1:47" ht="15" customHeight="1" x14ac:dyDescent="0.25">
      <c r="A112" s="31" t="s">
        <v>26</v>
      </c>
      <c r="B112" s="31" t="s">
        <v>32</v>
      </c>
      <c r="C112" t="s">
        <v>33</v>
      </c>
      <c r="D112" s="31" t="s">
        <v>34</v>
      </c>
      <c r="E112" t="s">
        <v>203</v>
      </c>
      <c r="F112" s="31" t="s">
        <v>249</v>
      </c>
      <c r="G112" t="s">
        <v>250</v>
      </c>
      <c r="H112" s="27">
        <f>IF($G112&lt;&gt;0,SUMIF(куб!$G:$G,$G112,куб!H:H),IF($E112&lt;&gt;0,SUMIF(куб!$E:$E,$E112,куб!H:H),IF($D112&lt;&gt;0,SUMIF(куб!$D:$D,$D112,куб!H:H),IF($C112&lt;&gt;0,SUMIF(куб!$C:$C,$C112,куб!H:H),IF($B112&lt;&gt;0,SUMIF(куб!$B:$B,$B112,куб!H:H),IF($G112&lt;&gt;0,SUMIF(куб!$A:$A,$G112,куб!H:H),SUMIF(куб!$A:$A,$G112,куб!H:H)))))))</f>
        <v>0</v>
      </c>
      <c r="I112" s="27">
        <f>IF($G112&lt;&gt;0,SUMIF(куб!$G:$G,$G112,куб!I:I),IF($E112&lt;&gt;0,SUMIF(куб!$E:$E,$E112,куб!I:I),IF($D112&lt;&gt;0,SUMIF(куб!$D:$D,$D112,куб!I:I),IF($C112&lt;&gt;0,SUMIF(куб!$C:$C,$C112,куб!I:I),IF($B112&lt;&gt;0,SUMIF(куб!$B:$B,$B112,куб!I:I),IF($G112&lt;&gt;0,SUMIF(куб!$A:$A,$G112,куб!I:I),SUMIF(куб!$A:$A,$G112,куб!I:I)))))))</f>
        <v>7593675.4584000129</v>
      </c>
      <c r="J112" s="19" t="str">
        <f t="shared" si="51"/>
        <v>-</v>
      </c>
      <c r="K112" s="5"/>
      <c r="L112" s="17">
        <f t="shared" si="34"/>
        <v>0</v>
      </c>
      <c r="M112" s="17">
        <f t="shared" si="35"/>
        <v>1.619104511856569E-2</v>
      </c>
      <c r="N112" s="12">
        <f t="shared" si="36"/>
        <v>1.619104511856569E-2</v>
      </c>
      <c r="O112" s="5"/>
      <c r="P112" s="27">
        <f>IF($G112&lt;&gt;0,SUMIF(куб!$G:$G,$G112,куб!J:J),IF($E112&lt;&gt;0,SUMIF(куб!$E:$E,$E112,куб!J:J),IF($D112&lt;&gt;0,SUMIF(куб!$D:$D,$D112,куб!J:J),IF($C112&lt;&gt;0,SUMIF(куб!$C:$C,$C112,куб!J:J),IF($B112&lt;&gt;0,SUMIF(куб!$B:$B,$B112,куб!J:J))))))</f>
        <v>0</v>
      </c>
      <c r="Q112" s="27">
        <f>IF($G112&lt;&gt;0,SUMIF(куб!$G:$G,$G112,куб!K:K),IF($E112&lt;&gt;0,SUMIF(куб!$E:$E,$E112,куб!K:K),IF($D112&lt;&gt;0,SUMIF(куб!$D:$D,$D112,куб!K:K),IF($C112&lt;&gt;0,SUMIF(куб!$C:$C,$C112,куб!K:K),IF($B112&lt;&gt;0,SUMIF(куб!$B:$B,$B112,куб!K:K))))))</f>
        <v>95737</v>
      </c>
      <c r="R112" s="13" t="str">
        <f t="shared" si="37"/>
        <v>-</v>
      </c>
      <c r="S112" s="5"/>
      <c r="T112" s="27">
        <f>IF($G112&lt;&gt;0,SUMIF(куб!$G:$G,$G112,куб!L:L),IF($E112&lt;&gt;0,SUMIF(куб!$E:$E,$E112,куб!L:L),IF($D112&lt;&gt;0,SUMIF(куб!$D:$D,$D112,куб!L:L),IF($C112&lt;&gt;0,SUMIF(куб!$C:$C,$C112,куб!L:L),IF($B112&lt;&gt;0,SUMIF(куб!$B:$B,$B112,куб!L:L))))))</f>
        <v>0</v>
      </c>
      <c r="U112" s="27">
        <f>IF($G112&lt;&gt;0,SUMIF(куб!$G:$G,$G112,куб!M:M),IF($E112&lt;&gt;0,SUMIF(куб!$E:$E,$E112,куб!M:M),IF($D112&lt;&gt;0,SUMIF(куб!$D:$D,$D112,куб!M:M),IF($C112&lt;&gt;0,SUMIF(куб!$C:$C,$C112,куб!M:M),IF($B112&lt;&gt;0,SUMIF(куб!$B:$B,$B112,куб!M:M))))))</f>
        <v>85588.877999999677</v>
      </c>
      <c r="V112" s="13" t="str">
        <f t="shared" si="38"/>
        <v>-</v>
      </c>
      <c r="W112" s="5"/>
      <c r="X112" s="27">
        <f>IF($G112&lt;&gt;0,SUMIF(куб!$G:$G,$G112,куб!N:N),IF($E112&lt;&gt;0,SUMIF(куб!$E:$E,$E112,куб!N:N),IF($D112&lt;&gt;0,SUMIF(куб!$D:$D,$D112,куб!N:N),IF($C112&lt;&gt;0,SUMIF(куб!$C:$C,$C112,куб!N:N),IF($B112&lt;&gt;0,SUMIF(куб!$B:$B,$B112,куб!N:N))))))</f>
        <v>0</v>
      </c>
      <c r="Y112" s="27">
        <f>IF($G112&lt;&gt;0,SUMIF(куб!$G:$G,$G112,куб!O:O),IF($E112&lt;&gt;0,SUMIF(куб!$E:$E,$E112,куб!O:O),IF($D112&lt;&gt;0,SUMIF(куб!$D:$D,$D112,куб!O:O),IF($C112&lt;&gt;0,SUMIF(куб!$C:$C,$C112,куб!O:O),IF($B112&lt;&gt;0,SUMIF(куб!$B:$B,$B112,куб!O:O))))))</f>
        <v>861626.28730003722</v>
      </c>
      <c r="Z112" s="13" t="str">
        <f t="shared" si="39"/>
        <v>-</v>
      </c>
      <c r="AA112" s="5"/>
      <c r="AB112" s="33" t="str">
        <f t="shared" si="40"/>
        <v/>
      </c>
      <c r="AC112" s="33">
        <f t="shared" si="41"/>
        <v>0.11346630390253494</v>
      </c>
      <c r="AD112" s="15" t="str">
        <f t="shared" si="42"/>
        <v xml:space="preserve"> </v>
      </c>
      <c r="AE112" s="5"/>
      <c r="AF112" s="27">
        <f>IF($G112&lt;&gt;0,SUMIF(куб!$G:$G,$G112,куб!R:R),IF($E112&lt;&gt;0,SUMIF(куб!$E:$E,$E112,куб!R:R),IF($D112&lt;&gt;0,SUMIF(куб!$D:$D,$D112,куб!R:R),IF($C112&lt;&gt;0,SUMIF(куб!$C:$C,$C112,куб!R:R),IF($B112&lt;&gt;0,SUMIF(куб!$B:$B,$B112,куб!R:R))))))</f>
        <v>0</v>
      </c>
      <c r="AG112" s="27">
        <f>IF($G112&lt;&gt;0,SUMIF(куб!$G:$G,$G112,куб!S:S),IF($E112&lt;&gt;0,SUMIF(куб!$E:$E,$E112,куб!S:S),IF($D112&lt;&gt;0,SUMIF(куб!$D:$D,$D112,куб!S:S),IF($C112&lt;&gt;0,SUMIF(куб!$C:$C,$C112,куб!S:S),IF($B112&lt;&gt;0,SUMIF(куб!$B:$B,$B112,куб!S:S))))))</f>
        <v>11414.3518</v>
      </c>
      <c r="AH112" s="16" t="str">
        <f t="shared" si="43"/>
        <v>-</v>
      </c>
      <c r="AI112" s="8"/>
      <c r="AJ112" s="27">
        <f>IF($G112&lt;&gt;0,SUMIF(куб!$G:$G,$G112,куб!T:T),IF($E112&lt;&gt;0,SUMIF(куб!$E:$E,$E112,куб!T:T),IF($D112&lt;&gt;0,SUMIF(куб!$D:$D,$D112,куб!T:T),IF($C112&lt;&gt;0,SUMIF(куб!$C:$C,$C112,куб!T:T),IF($B112&lt;&gt;0,SUMIF(куб!$B:$B,$B112,куб!T:T))))))</f>
        <v>0</v>
      </c>
      <c r="AK112" s="27">
        <f>IF($G112&lt;&gt;0,SUMIF(куб!$G:$G,$G112,куб!U:U),IF($E112&lt;&gt;0,SUMIF(куб!$E:$E,$E112,куб!U:U),IF($D112&lt;&gt;0,SUMIF(куб!$D:$D,$D112,куб!U:U),IF($C112&lt;&gt;0,SUMIF(куб!$C:$C,$C112,куб!U:U),IF($B112&lt;&gt;0,SUMIF(куб!$B:$B,$B112,куб!U:U))))))</f>
        <v>164</v>
      </c>
      <c r="AL112" s="16" t="str">
        <f t="shared" si="44"/>
        <v>-</v>
      </c>
      <c r="AM112" s="8"/>
      <c r="AN112" s="17" t="str">
        <f t="shared" si="45"/>
        <v xml:space="preserve"> </v>
      </c>
      <c r="AO112" s="17">
        <f t="shared" si="46"/>
        <v>1.5031392719547438E-3</v>
      </c>
      <c r="AP112" s="16" t="str">
        <f t="shared" si="47"/>
        <v>-</v>
      </c>
      <c r="AQ112" s="8"/>
      <c r="AR112" s="17" t="str">
        <f t="shared" si="48"/>
        <v>-</v>
      </c>
      <c r="AS112" s="17">
        <f t="shared" si="49"/>
        <v>0.1119631646305802</v>
      </c>
      <c r="AT112" s="13" t="str">
        <f t="shared" si="50"/>
        <v>-</v>
      </c>
      <c r="AU112" s="8"/>
    </row>
    <row r="113" spans="1:47" ht="15" customHeight="1" x14ac:dyDescent="0.25">
      <c r="A113" s="31" t="s">
        <v>26</v>
      </c>
      <c r="B113" s="31" t="s">
        <v>32</v>
      </c>
      <c r="C113" t="s">
        <v>33</v>
      </c>
      <c r="D113" s="31" t="s">
        <v>34</v>
      </c>
      <c r="E113" t="s">
        <v>203</v>
      </c>
      <c r="F113" s="31" t="s">
        <v>251</v>
      </c>
      <c r="G113" t="s">
        <v>252</v>
      </c>
      <c r="H113" s="27">
        <f>IF($G113&lt;&gt;0,SUMIF(куб!$G:$G,$G113,куб!H:H),IF($E113&lt;&gt;0,SUMIF(куб!$E:$E,$E113,куб!H:H),IF($D113&lt;&gt;0,SUMIF(куб!$D:$D,$D113,куб!H:H),IF($C113&lt;&gt;0,SUMIF(куб!$C:$C,$C113,куб!H:H),IF($B113&lt;&gt;0,SUMIF(куб!$B:$B,$B113,куб!H:H),IF($G113&lt;&gt;0,SUMIF(куб!$A:$A,$G113,куб!H:H),SUMIF(куб!$A:$A,$G113,куб!H:H)))))))</f>
        <v>213436.50059999985</v>
      </c>
      <c r="I113" s="27">
        <f>IF($G113&lt;&gt;0,SUMIF(куб!$G:$G,$G113,куб!I:I),IF($E113&lt;&gt;0,SUMIF(куб!$E:$E,$E113,куб!I:I),IF($D113&lt;&gt;0,SUMIF(куб!$D:$D,$D113,куб!I:I),IF($C113&lt;&gt;0,SUMIF(куб!$C:$C,$C113,куб!I:I),IF($B113&lt;&gt;0,SUMIF(куб!$B:$B,$B113,куб!I:I),IF($G113&lt;&gt;0,SUMIF(куб!$A:$A,$G113,куб!I:I),SUMIF(куб!$A:$A,$G113,куб!I:I)))))))</f>
        <v>576050.77739999979</v>
      </c>
      <c r="J113" s="19">
        <f t="shared" si="51"/>
        <v>1.6989328244261899</v>
      </c>
      <c r="K113" s="5"/>
      <c r="L113" s="17">
        <f t="shared" si="34"/>
        <v>4.4584580530641422E-4</v>
      </c>
      <c r="M113" s="17">
        <f t="shared" si="35"/>
        <v>1.228241077533936E-3</v>
      </c>
      <c r="N113" s="12">
        <f t="shared" si="36"/>
        <v>7.8239527222752174E-4</v>
      </c>
      <c r="O113" s="5"/>
      <c r="P113" s="27">
        <f>IF($G113&lt;&gt;0,SUMIF(куб!$G:$G,$G113,куб!J:J),IF($E113&lt;&gt;0,SUMIF(куб!$E:$E,$E113,куб!J:J),IF($D113&lt;&gt;0,SUMIF(куб!$D:$D,$D113,куб!J:J),IF($C113&lt;&gt;0,SUMIF(куб!$C:$C,$C113,куб!J:J),IF($B113&lt;&gt;0,SUMIF(куб!$B:$B,$B113,куб!J:J))))))</f>
        <v>2128</v>
      </c>
      <c r="Q113" s="27">
        <f>IF($G113&lt;&gt;0,SUMIF(куб!$G:$G,$G113,куб!K:K),IF($E113&lt;&gt;0,SUMIF(куб!$E:$E,$E113,куб!K:K),IF($D113&lt;&gt;0,SUMIF(куб!$D:$D,$D113,куб!K:K),IF($C113&lt;&gt;0,SUMIF(куб!$C:$C,$C113,куб!K:K),IF($B113&lt;&gt;0,SUMIF(куб!$B:$B,$B113,куб!K:K))))))</f>
        <v>5429</v>
      </c>
      <c r="R113" s="13">
        <f t="shared" si="37"/>
        <v>1.5512218045112782</v>
      </c>
      <c r="S113" s="5"/>
      <c r="T113" s="27">
        <f>IF($G113&lt;&gt;0,SUMIF(куб!$G:$G,$G113,куб!L:L),IF($E113&lt;&gt;0,SUMIF(куб!$E:$E,$E113,куб!L:L),IF($D113&lt;&gt;0,SUMIF(куб!$D:$D,$D113,куб!L:L),IF($C113&lt;&gt;0,SUMIF(куб!$C:$C,$C113,куб!L:L),IF($B113&lt;&gt;0,SUMIF(куб!$B:$B,$B113,куб!L:L))))))</f>
        <v>2032.2400000000011</v>
      </c>
      <c r="U113" s="27">
        <f>IF($G113&lt;&gt;0,SUMIF(куб!$G:$G,$G113,куб!M:M),IF($E113&lt;&gt;0,SUMIF(куб!$E:$E,$E113,куб!M:M),IF($D113&lt;&gt;0,SUMIF(куб!$D:$D,$D113,куб!M:M),IF($C113&lt;&gt;0,SUMIF(куб!$C:$C,$C113,куб!M:M),IF($B113&lt;&gt;0,SUMIF(куб!$B:$B,$B113,куб!M:M))))))</f>
        <v>5184.6950000000052</v>
      </c>
      <c r="V113" s="13">
        <f t="shared" si="38"/>
        <v>1.5512218045112793</v>
      </c>
      <c r="W113" s="5"/>
      <c r="X113" s="27">
        <f>IF($G113&lt;&gt;0,SUMIF(куб!$G:$G,$G113,куб!N:N),IF($E113&lt;&gt;0,SUMIF(куб!$E:$E,$E113,куб!N:N),IF($D113&lt;&gt;0,SUMIF(куб!$D:$D,$D113,куб!N:N),IF($C113&lt;&gt;0,SUMIF(куб!$C:$C,$C113,куб!N:N),IF($B113&lt;&gt;0,SUMIF(куб!$B:$B,$B113,куб!N:N))))))</f>
        <v>33717.278499999928</v>
      </c>
      <c r="Y113" s="27">
        <f>IF($G113&lt;&gt;0,SUMIF(куб!$G:$G,$G113,куб!O:O),IF($E113&lt;&gt;0,SUMIF(куб!$E:$E,$E113,куб!O:O),IF($D113&lt;&gt;0,SUMIF(куб!$D:$D,$D113,куб!O:O),IF($C113&lt;&gt;0,SUMIF(куб!$C:$C,$C113,куб!O:O),IF($B113&lt;&gt;0,SUMIF(куб!$B:$B,$B113,куб!O:O))))))</f>
        <v>96867.613000000769</v>
      </c>
      <c r="Z113" s="13">
        <f t="shared" si="39"/>
        <v>1.872936883088028</v>
      </c>
      <c r="AA113" s="5"/>
      <c r="AB113" s="33">
        <f t="shared" si="40"/>
        <v>0.15797334760088336</v>
      </c>
      <c r="AC113" s="33">
        <f t="shared" si="41"/>
        <v>0.16815811522243213</v>
      </c>
      <c r="AD113" s="15">
        <f t="shared" si="42"/>
        <v>1.0184767621548768E-2</v>
      </c>
      <c r="AE113" s="5"/>
      <c r="AF113" s="27">
        <f>IF($G113&lt;&gt;0,SUMIF(куб!$G:$G,$G113,куб!R:R),IF($E113&lt;&gt;0,SUMIF(куб!$E:$E,$E113,куб!R:R),IF($D113&lt;&gt;0,SUMIF(куб!$D:$D,$D113,куб!R:R),IF($C113&lt;&gt;0,SUMIF(куб!$C:$C,$C113,куб!R:R),IF($B113&lt;&gt;0,SUMIF(куб!$B:$B,$B113,куб!R:R))))))</f>
        <v>7178.6341999999986</v>
      </c>
      <c r="AG113" s="27">
        <f>IF($G113&lt;&gt;0,SUMIF(куб!$G:$G,$G113,куб!S:S),IF($E113&lt;&gt;0,SUMIF(куб!$E:$E,$E113,куб!S:S),IF($D113&lt;&gt;0,SUMIF(куб!$D:$D,$D113,куб!S:S),IF($C113&lt;&gt;0,SUMIF(куб!$C:$C,$C113,куб!S:S),IF($B113&lt;&gt;0,SUMIF(куб!$B:$B,$B113,куб!S:S))))))</f>
        <v>19947.577400000006</v>
      </c>
      <c r="AH113" s="16">
        <f t="shared" si="43"/>
        <v>1.778742702894655</v>
      </c>
      <c r="AI113" s="8"/>
      <c r="AJ113" s="27">
        <f>IF($G113&lt;&gt;0,SUMIF(куб!$G:$G,$G113,куб!T:T),IF($E113&lt;&gt;0,SUMIF(куб!$E:$E,$E113,куб!T:T),IF($D113&lt;&gt;0,SUMIF(куб!$D:$D,$D113,куб!T:T),IF($C113&lt;&gt;0,SUMIF(куб!$C:$C,$C113,куб!T:T),IF($B113&lt;&gt;0,SUMIF(куб!$B:$B,$B113,куб!T:T))))))</f>
        <v>85</v>
      </c>
      <c r="AK113" s="27">
        <f>IF($G113&lt;&gt;0,SUMIF(куб!$G:$G,$G113,куб!U:U),IF($E113&lt;&gt;0,SUMIF(куб!$E:$E,$E113,куб!U:U),IF($D113&lt;&gt;0,SUMIF(куб!$D:$D,$D113,куб!U:U),IF($C113&lt;&gt;0,SUMIF(куб!$C:$C,$C113,куб!U:U),IF($B113&lt;&gt;0,SUMIF(куб!$B:$B,$B113,куб!U:U))))))</f>
        <v>226</v>
      </c>
      <c r="AL113" s="16">
        <f t="shared" si="44"/>
        <v>1.6588235294117648</v>
      </c>
      <c r="AM113" s="8"/>
      <c r="AN113" s="17">
        <f t="shared" si="45"/>
        <v>3.3633582727508431E-2</v>
      </c>
      <c r="AO113" s="17">
        <f t="shared" si="46"/>
        <v>3.4628158111396398E-2</v>
      </c>
      <c r="AP113" s="16">
        <f t="shared" si="47"/>
        <v>9.9457538388796757E-4</v>
      </c>
      <c r="AQ113" s="8"/>
      <c r="AR113" s="17">
        <f t="shared" si="48"/>
        <v>0.12433976487337492</v>
      </c>
      <c r="AS113" s="17">
        <f t="shared" si="49"/>
        <v>0.13352995711103571</v>
      </c>
      <c r="AT113" s="13">
        <f t="shared" si="50"/>
        <v>9.1901922376607936E-3</v>
      </c>
      <c r="AU113" s="8"/>
    </row>
    <row r="114" spans="1:47" ht="15" customHeight="1" x14ac:dyDescent="0.25">
      <c r="A114" s="31" t="s">
        <v>26</v>
      </c>
      <c r="B114" s="31" t="s">
        <v>32</v>
      </c>
      <c r="C114" t="s">
        <v>33</v>
      </c>
      <c r="D114" s="31" t="s">
        <v>34</v>
      </c>
      <c r="E114" t="s">
        <v>203</v>
      </c>
      <c r="F114" s="31" t="s">
        <v>253</v>
      </c>
      <c r="G114" t="s">
        <v>254</v>
      </c>
      <c r="H114" s="27">
        <f>IF($G114&lt;&gt;0,SUMIF(куб!$G:$G,$G114,куб!H:H),IF($E114&lt;&gt;0,SUMIF(куб!$E:$E,$E114,куб!H:H),IF($D114&lt;&gt;0,SUMIF(куб!$D:$D,$D114,куб!H:H),IF($C114&lt;&gt;0,SUMIF(куб!$C:$C,$C114,куб!H:H),IF($B114&lt;&gt;0,SUMIF(куб!$B:$B,$B114,куб!H:H),IF($G114&lt;&gt;0,SUMIF(куб!$A:$A,$G114,куб!H:H),SUMIF(куб!$A:$A,$G114,куб!H:H)))))))</f>
        <v>0</v>
      </c>
      <c r="I114" s="27">
        <f>IF($G114&lt;&gt;0,SUMIF(куб!$G:$G,$G114,куб!I:I),IF($E114&lt;&gt;0,SUMIF(куб!$E:$E,$E114,куб!I:I),IF($D114&lt;&gt;0,SUMIF(куб!$D:$D,$D114,куб!I:I),IF($C114&lt;&gt;0,SUMIF(куб!$C:$C,$C114,куб!I:I),IF($B114&lt;&gt;0,SUMIF(куб!$B:$B,$B114,куб!I:I),IF($G114&lt;&gt;0,SUMIF(куб!$A:$A,$G114,куб!I:I),SUMIF(куб!$A:$A,$G114,куб!I:I)))))))</f>
        <v>596373.43039999972</v>
      </c>
      <c r="J114" s="19" t="str">
        <f t="shared" si="51"/>
        <v>-</v>
      </c>
      <c r="K114" s="8"/>
      <c r="L114" s="17">
        <f t="shared" si="34"/>
        <v>0</v>
      </c>
      <c r="M114" s="17">
        <f t="shared" si="35"/>
        <v>1.2715725305904356E-3</v>
      </c>
      <c r="N114" s="12">
        <f t="shared" si="36"/>
        <v>1.2715725305904356E-3</v>
      </c>
      <c r="O114" s="5"/>
      <c r="P114" s="27">
        <f>IF($G114&lt;&gt;0,SUMIF(куб!$G:$G,$G114,куб!J:J),IF($E114&lt;&gt;0,SUMIF(куб!$E:$E,$E114,куб!J:J),IF($D114&lt;&gt;0,SUMIF(куб!$D:$D,$D114,куб!J:J),IF($C114&lt;&gt;0,SUMIF(куб!$C:$C,$C114,куб!J:J),IF($B114&lt;&gt;0,SUMIF(куб!$B:$B,$B114,куб!J:J))))))</f>
        <v>0</v>
      </c>
      <c r="Q114" s="27">
        <f>IF($G114&lt;&gt;0,SUMIF(куб!$G:$G,$G114,куб!K:K),IF($E114&lt;&gt;0,SUMIF(куб!$E:$E,$E114,куб!K:K),IF($D114&lt;&gt;0,SUMIF(куб!$D:$D,$D114,куб!K:K),IF($C114&lt;&gt;0,SUMIF(куб!$C:$C,$C114,куб!K:K),IF($B114&lt;&gt;0,SUMIF(куб!$B:$B,$B114,куб!K:K))))))</f>
        <v>8368</v>
      </c>
      <c r="R114" s="13" t="str">
        <f t="shared" si="37"/>
        <v>-</v>
      </c>
      <c r="S114" s="5"/>
      <c r="T114" s="27">
        <f>IF($G114&lt;&gt;0,SUMIF(куб!$G:$G,$G114,куб!L:L),IF($E114&lt;&gt;0,SUMIF(куб!$E:$E,$E114,куб!L:L),IF($D114&lt;&gt;0,SUMIF(куб!$D:$D,$D114,куб!L:L),IF($C114&lt;&gt;0,SUMIF(куб!$C:$C,$C114,куб!L:L),IF($B114&lt;&gt;0,SUMIF(куб!$B:$B,$B114,куб!L:L))))))</f>
        <v>0</v>
      </c>
      <c r="U114" s="27">
        <f>IF($G114&lt;&gt;0,SUMIF(куб!$G:$G,$G114,куб!M:M),IF($E114&lt;&gt;0,SUMIF(куб!$E:$E,$E114,куб!M:M),IF($D114&lt;&gt;0,SUMIF(куб!$D:$D,$D114,куб!M:M),IF($C114&lt;&gt;0,SUMIF(куб!$C:$C,$C114,куб!M:M),IF($B114&lt;&gt;0,SUMIF(куб!$B:$B,$B114,куб!M:M))))))</f>
        <v>8619.03999999997</v>
      </c>
      <c r="V114" s="13" t="str">
        <f t="shared" si="38"/>
        <v>-</v>
      </c>
      <c r="W114" s="5"/>
      <c r="X114" s="27">
        <f>IF($G114&lt;&gt;0,SUMIF(куб!$G:$G,$G114,куб!N:N),IF($E114&lt;&gt;0,SUMIF(куб!$E:$E,$E114,куб!N:N),IF($D114&lt;&gt;0,SUMIF(куб!$D:$D,$D114,куб!N:N),IF($C114&lt;&gt;0,SUMIF(куб!$C:$C,$C114,куб!N:N),IF($B114&lt;&gt;0,SUMIF(куб!$B:$B,$B114,куб!N:N))))))</f>
        <v>0</v>
      </c>
      <c r="Y114" s="27">
        <f>IF($G114&lt;&gt;0,SUMIF(куб!$G:$G,$G114,куб!O:O),IF($E114&lt;&gt;0,SUMIF(куб!$E:$E,$E114,куб!O:O),IF($D114&lt;&gt;0,SUMIF(куб!$D:$D,$D114,куб!O:O),IF($C114&lt;&gt;0,SUMIF(куб!$C:$C,$C114,куб!O:O),IF($B114&lt;&gt;0,SUMIF(куб!$B:$B,$B114,куб!O:O))))))</f>
        <v>41042.645300000207</v>
      </c>
      <c r="Z114" s="13" t="str">
        <f t="shared" si="39"/>
        <v>-</v>
      </c>
      <c r="AA114" s="5"/>
      <c r="AB114" s="33" t="str">
        <f t="shared" si="40"/>
        <v/>
      </c>
      <c r="AC114" s="33">
        <f t="shared" si="41"/>
        <v>6.8820378655152489E-2</v>
      </c>
      <c r="AD114" s="15" t="str">
        <f t="shared" si="42"/>
        <v xml:space="preserve"> </v>
      </c>
      <c r="AE114" s="5"/>
      <c r="AF114" s="27">
        <f>IF($G114&lt;&gt;0,SUMIF(куб!$G:$G,$G114,куб!R:R),IF($E114&lt;&gt;0,SUMIF(куб!$E:$E,$E114,куб!R:R),IF($D114&lt;&gt;0,SUMIF(куб!$D:$D,$D114,куб!R:R),IF($C114&lt;&gt;0,SUMIF(куб!$C:$C,$C114,куб!R:R),IF($B114&lt;&gt;0,SUMIF(куб!$B:$B,$B114,куб!R:R))))))</f>
        <v>0</v>
      </c>
      <c r="AG114" s="27">
        <f>IF($G114&lt;&gt;0,SUMIF(куб!$G:$G,$G114,куб!S:S),IF($E114&lt;&gt;0,SUMIF(куб!$E:$E,$E114,куб!S:S),IF($D114&lt;&gt;0,SUMIF(куб!$D:$D,$D114,куб!S:S),IF($C114&lt;&gt;0,SUMIF(куб!$C:$C,$C114,куб!S:S),IF($B114&lt;&gt;0,SUMIF(куб!$B:$B,$B114,куб!S:S))))))</f>
        <v>77645.436399999991</v>
      </c>
      <c r="AH114" s="16" t="str">
        <f t="shared" si="43"/>
        <v>-</v>
      </c>
      <c r="AI114" s="8"/>
      <c r="AJ114" s="27">
        <f>IF($G114&lt;&gt;0,SUMIF(куб!$G:$G,$G114,куб!T:T),IF($E114&lt;&gt;0,SUMIF(куб!$E:$E,$E114,куб!T:T),IF($D114&lt;&gt;0,SUMIF(куб!$D:$D,$D114,куб!T:T),IF($C114&lt;&gt;0,SUMIF(куб!$C:$C,$C114,куб!T:T),IF($B114&lt;&gt;0,SUMIF(куб!$B:$B,$B114,куб!T:T))))))</f>
        <v>0</v>
      </c>
      <c r="AK114" s="27">
        <f>IF($G114&lt;&gt;0,SUMIF(куб!$G:$G,$G114,куб!U:U),IF($E114&lt;&gt;0,SUMIF(куб!$E:$E,$E114,куб!U:U),IF($D114&lt;&gt;0,SUMIF(куб!$D:$D,$D114,куб!U:U),IF($C114&lt;&gt;0,SUMIF(куб!$C:$C,$C114,куб!U:U),IF($B114&lt;&gt;0,SUMIF(куб!$B:$B,$B114,куб!U:U))))))</f>
        <v>1170</v>
      </c>
      <c r="AL114" s="16" t="str">
        <f t="shared" si="44"/>
        <v>-</v>
      </c>
      <c r="AM114" s="8"/>
      <c r="AN114" s="17" t="str">
        <f t="shared" si="45"/>
        <v xml:space="preserve"> </v>
      </c>
      <c r="AO114" s="17">
        <f t="shared" si="46"/>
        <v>0.13019600210546206</v>
      </c>
      <c r="AP114" s="16" t="str">
        <f t="shared" si="47"/>
        <v>-</v>
      </c>
      <c r="AQ114" s="8"/>
      <c r="AR114" s="17" t="str">
        <f t="shared" si="48"/>
        <v>-</v>
      </c>
      <c r="AS114" s="17">
        <f t="shared" si="49"/>
        <v>-6.1375623450309565E-2</v>
      </c>
      <c r="AT114" s="13" t="str">
        <f t="shared" si="50"/>
        <v>-</v>
      </c>
      <c r="AU114" s="8"/>
    </row>
    <row r="115" spans="1:47" ht="15" customHeight="1" x14ac:dyDescent="0.25">
      <c r="A115" s="31" t="s">
        <v>26</v>
      </c>
      <c r="B115" s="31" t="s">
        <v>32</v>
      </c>
      <c r="C115" t="s">
        <v>33</v>
      </c>
      <c r="D115" s="31" t="s">
        <v>34</v>
      </c>
      <c r="E115" t="s">
        <v>203</v>
      </c>
      <c r="F115" s="31" t="s">
        <v>255</v>
      </c>
      <c r="G115" t="s">
        <v>256</v>
      </c>
      <c r="H115" s="27">
        <f>IF($G115&lt;&gt;0,SUMIF(куб!$G:$G,$G115,куб!H:H),IF($E115&lt;&gt;0,SUMIF(куб!$E:$E,$E115,куб!H:H),IF($D115&lt;&gt;0,SUMIF(куб!$D:$D,$D115,куб!H:H),IF($C115&lt;&gt;0,SUMIF(куб!$C:$C,$C115,куб!H:H),IF($B115&lt;&gt;0,SUMIF(куб!$B:$B,$B115,куб!H:H),IF($G115&lt;&gt;0,SUMIF(куб!$A:$A,$G115,куб!H:H),SUMIF(куб!$A:$A,$G115,куб!H:H)))))))</f>
        <v>592567.86219999997</v>
      </c>
      <c r="I115" s="27">
        <f>IF($G115&lt;&gt;0,SUMIF(куб!$G:$G,$G115,куб!I:I),IF($E115&lt;&gt;0,SUMIF(куб!$E:$E,$E115,куб!I:I),IF($D115&lt;&gt;0,SUMIF(куб!$D:$D,$D115,куб!I:I),IF($C115&lt;&gt;0,SUMIF(куб!$C:$C,$C115,куб!I:I),IF($B115&lt;&gt;0,SUMIF(куб!$B:$B,$B115,куб!I:I),IF($G115&lt;&gt;0,SUMIF(куб!$A:$A,$G115,куб!I:I),SUMIF(куб!$A:$A,$G115,куб!I:I)))))))</f>
        <v>3584044.1993999993</v>
      </c>
      <c r="J115" s="19">
        <f t="shared" si="51"/>
        <v>5.0483269985207775</v>
      </c>
      <c r="K115" s="10"/>
      <c r="L115" s="17">
        <f t="shared" si="34"/>
        <v>1.2378102853943598E-3</v>
      </c>
      <c r="M115" s="17">
        <f t="shared" si="35"/>
        <v>7.6418095107327428E-3</v>
      </c>
      <c r="N115" s="12">
        <f t="shared" si="36"/>
        <v>6.403999225338383E-3</v>
      </c>
      <c r="O115" s="5"/>
      <c r="P115" s="27">
        <f>IF($G115&lt;&gt;0,SUMIF(куб!$G:$G,$G115,куб!J:J),IF($E115&lt;&gt;0,SUMIF(куб!$E:$E,$E115,куб!J:J),IF($D115&lt;&gt;0,SUMIF(куб!$D:$D,$D115,куб!J:J),IF($C115&lt;&gt;0,SUMIF(куб!$C:$C,$C115,куб!J:J),IF($B115&lt;&gt;0,SUMIF(куб!$B:$B,$B115,куб!J:J))))))</f>
        <v>4729</v>
      </c>
      <c r="Q115" s="27">
        <f>IF($G115&lt;&gt;0,SUMIF(куб!$G:$G,$G115,куб!K:K),IF($E115&lt;&gt;0,SUMIF(куб!$E:$E,$E115,куб!K:K),IF($D115&lt;&gt;0,SUMIF(куб!$D:$D,$D115,куб!K:K),IF($C115&lt;&gt;0,SUMIF(куб!$C:$C,$C115,куб!K:K),IF($B115&lt;&gt;0,SUMIF(куб!$B:$B,$B115,куб!K:K))))))</f>
        <v>29981</v>
      </c>
      <c r="R115" s="13">
        <f t="shared" si="37"/>
        <v>5.3398181433706915</v>
      </c>
      <c r="S115" s="5"/>
      <c r="T115" s="27">
        <f>IF($G115&lt;&gt;0,SUMIF(куб!$G:$G,$G115,куб!L:L),IF($E115&lt;&gt;0,SUMIF(куб!$E:$E,$E115,куб!L:L),IF($D115&lt;&gt;0,SUMIF(куб!$D:$D,$D115,куб!L:L),IF($C115&lt;&gt;0,SUMIF(куб!$C:$C,$C115,куб!L:L),IF($B115&lt;&gt;0,SUMIF(куб!$B:$B,$B115,куб!L:L))))))</f>
        <v>6384.15</v>
      </c>
      <c r="U115" s="27">
        <f>IF($G115&lt;&gt;0,SUMIF(куб!$G:$G,$G115,куб!M:M),IF($E115&lt;&gt;0,SUMIF(куб!$E:$E,$E115,куб!M:M),IF($D115&lt;&gt;0,SUMIF(куб!$D:$D,$D115,куб!M:M),IF($C115&lt;&gt;0,SUMIF(куб!$C:$C,$C115,куб!M:M),IF($B115&lt;&gt;0,SUMIF(куб!$B:$B,$B115,куб!M:M))))))</f>
        <v>40474.350000000013</v>
      </c>
      <c r="V115" s="13">
        <f t="shared" si="38"/>
        <v>5.3398181433706933</v>
      </c>
      <c r="W115" s="5"/>
      <c r="X115" s="27">
        <f>IF($G115&lt;&gt;0,SUMIF(куб!$G:$G,$G115,куб!N:N),IF($E115&lt;&gt;0,SUMIF(куб!$E:$E,$E115,куб!N:N),IF($D115&lt;&gt;0,SUMIF(куб!$D:$D,$D115,куб!N:N),IF($C115&lt;&gt;0,SUMIF(куб!$C:$C,$C115,куб!N:N),IF($B115&lt;&gt;0,SUMIF(куб!$B:$B,$B115,куб!N:N))))))</f>
        <v>75215.26220000023</v>
      </c>
      <c r="Y115" s="27">
        <f>IF($G115&lt;&gt;0,SUMIF(куб!$G:$G,$G115,куб!O:O),IF($E115&lt;&gt;0,SUMIF(куб!$E:$E,$E115,куб!O:O),IF($D115&lt;&gt;0,SUMIF(куб!$D:$D,$D115,куб!O:O),IF($C115&lt;&gt;0,SUMIF(куб!$C:$C,$C115,куб!O:O),IF($B115&lt;&gt;0,SUMIF(куб!$B:$B,$B115,куб!O:O))))))</f>
        <v>140034.06839999789</v>
      </c>
      <c r="Z115" s="13">
        <f t="shared" si="39"/>
        <v>0.86177730827610499</v>
      </c>
      <c r="AA115" s="5"/>
      <c r="AB115" s="33">
        <f t="shared" si="40"/>
        <v>0.12693105211739281</v>
      </c>
      <c r="AC115" s="33">
        <f t="shared" si="41"/>
        <v>3.9071523845448347E-2</v>
      </c>
      <c r="AD115" s="15">
        <f t="shared" si="42"/>
        <v>-8.7859528271944459E-2</v>
      </c>
      <c r="AE115" s="5"/>
      <c r="AF115" s="27">
        <f>IF($G115&lt;&gt;0,SUMIF(куб!$G:$G,$G115,куб!R:R),IF($E115&lt;&gt;0,SUMIF(куб!$E:$E,$E115,куб!R:R),IF($D115&lt;&gt;0,SUMIF(куб!$D:$D,$D115,куб!R:R),IF($C115&lt;&gt;0,SUMIF(куб!$C:$C,$C115,куб!R:R),IF($B115&lt;&gt;0,SUMIF(куб!$B:$B,$B115,куб!R:R))))))</f>
        <v>1094</v>
      </c>
      <c r="AG115" s="27">
        <f>IF($G115&lt;&gt;0,SUMIF(куб!$G:$G,$G115,куб!S:S),IF($E115&lt;&gt;0,SUMIF(куб!$E:$E,$E115,куб!S:S),IF($D115&lt;&gt;0,SUMIF(куб!$D:$D,$D115,куб!S:S),IF($C115&lt;&gt;0,SUMIF(куб!$C:$C,$C115,куб!S:S),IF($B115&lt;&gt;0,SUMIF(куб!$B:$B,$B115,куб!S:S))))))</f>
        <v>3446.1809999999987</v>
      </c>
      <c r="AH115" s="16">
        <f t="shared" si="43"/>
        <v>2.1500740402193772</v>
      </c>
      <c r="AI115" s="8"/>
      <c r="AJ115" s="27">
        <f>IF($G115&lt;&gt;0,SUMIF(куб!$G:$G,$G115,куб!T:T),IF($E115&lt;&gt;0,SUMIF(куб!$E:$E,$E115,куб!T:T),IF($D115&lt;&gt;0,SUMIF(куб!$D:$D,$D115,куб!T:T),IF($C115&lt;&gt;0,SUMIF(куб!$C:$C,$C115,куб!T:T),IF($B115&lt;&gt;0,SUMIF(куб!$B:$B,$B115,куб!T:T))))))</f>
        <v>10</v>
      </c>
      <c r="AK115" s="27">
        <f>IF($G115&lt;&gt;0,SUMIF(куб!$G:$G,$G115,куб!U:U),IF($E115&lt;&gt;0,SUMIF(куб!$E:$E,$E115,куб!U:U),IF($D115&lt;&gt;0,SUMIF(куб!$D:$D,$D115,куб!U:U),IF($C115&lt;&gt;0,SUMIF(куб!$C:$C,$C115,куб!U:U),IF($B115&lt;&gt;0,SUMIF(куб!$B:$B,$B115,куб!U:U))))))</f>
        <v>30</v>
      </c>
      <c r="AL115" s="16">
        <f t="shared" si="44"/>
        <v>2</v>
      </c>
      <c r="AM115" s="8"/>
      <c r="AN115" s="17">
        <f t="shared" si="45"/>
        <v>1.8462020466961464E-3</v>
      </c>
      <c r="AO115" s="17">
        <f t="shared" si="46"/>
        <v>9.6153417990127465E-4</v>
      </c>
      <c r="AP115" s="16">
        <f t="shared" si="47"/>
        <v>-8.8466786679487178E-4</v>
      </c>
      <c r="AQ115" s="8"/>
      <c r="AR115" s="17">
        <f t="shared" si="48"/>
        <v>0.12508485007069664</v>
      </c>
      <c r="AS115" s="17">
        <f t="shared" si="49"/>
        <v>3.8109989665547066E-2</v>
      </c>
      <c r="AT115" s="13">
        <f t="shared" si="50"/>
        <v>-8.6974860405149568E-2</v>
      </c>
      <c r="AU115" s="8"/>
    </row>
    <row r="116" spans="1:47" ht="15" customHeight="1" x14ac:dyDescent="0.25">
      <c r="A116" s="31" t="s">
        <v>26</v>
      </c>
      <c r="B116" s="31" t="s">
        <v>32</v>
      </c>
      <c r="C116" t="s">
        <v>33</v>
      </c>
      <c r="D116" s="31" t="s">
        <v>34</v>
      </c>
      <c r="E116" t="s">
        <v>203</v>
      </c>
      <c r="F116" s="31" t="s">
        <v>257</v>
      </c>
      <c r="G116" t="s">
        <v>258</v>
      </c>
      <c r="H116" s="27">
        <f>IF($G116&lt;&gt;0,SUMIF(куб!$G:$G,$G116,куб!H:H),IF($E116&lt;&gt;0,SUMIF(куб!$E:$E,$E116,куб!H:H),IF($D116&lt;&gt;0,SUMIF(куб!$D:$D,$D116,куб!H:H),IF($C116&lt;&gt;0,SUMIF(куб!$C:$C,$C116,куб!H:H),IF($B116&lt;&gt;0,SUMIF(куб!$B:$B,$B116,куб!H:H),IF($G116&lt;&gt;0,SUMIF(куб!$A:$A,$G116,куб!H:H),SUMIF(куб!$A:$A,$G116,куб!H:H)))))))</f>
        <v>1859652.0503000007</v>
      </c>
      <c r="I116" s="27">
        <f>IF($G116&lt;&gt;0,SUMIF(куб!$G:$G,$G116,куб!I:I),IF($E116&lt;&gt;0,SUMIF(куб!$E:$E,$E116,куб!I:I),IF($D116&lt;&gt;0,SUMIF(куб!$D:$D,$D116,куб!I:I),IF($C116&lt;&gt;0,SUMIF(куб!$C:$C,$C116,куб!I:I),IF($B116&lt;&gt;0,SUMIF(куб!$B:$B,$B116,куб!I:I),IF($G116&lt;&gt;0,SUMIF(куб!$A:$A,$G116,куб!I:I),SUMIF(куб!$A:$A,$G116,куб!I:I)))))))</f>
        <v>1868681.0883000004</v>
      </c>
      <c r="J116" s="19">
        <f t="shared" si="51"/>
        <v>4.8552297719044466E-3</v>
      </c>
      <c r="K116" s="5"/>
      <c r="L116" s="17">
        <f t="shared" si="34"/>
        <v>3.8846123489888621E-3</v>
      </c>
      <c r="M116" s="17">
        <f t="shared" si="35"/>
        <v>3.9843551358791753E-3</v>
      </c>
      <c r="N116" s="12">
        <f t="shared" si="36"/>
        <v>9.9742786890313212E-5</v>
      </c>
      <c r="O116" s="5"/>
      <c r="P116" s="27">
        <f>IF($G116&lt;&gt;0,SUMIF(куб!$G:$G,$G116,куб!J:J),IF($E116&lt;&gt;0,SUMIF(куб!$E:$E,$E116,куб!J:J),IF($D116&lt;&gt;0,SUMIF(куб!$D:$D,$D116,куб!J:J),IF($C116&lt;&gt;0,SUMIF(куб!$C:$C,$C116,куб!J:J),IF($B116&lt;&gt;0,SUMIF(куб!$B:$B,$B116,куб!J:J))))))</f>
        <v>17169</v>
      </c>
      <c r="Q116" s="27">
        <f>IF($G116&lt;&gt;0,SUMIF(куб!$G:$G,$G116,куб!K:K),IF($E116&lt;&gt;0,SUMIF(куб!$E:$E,$E116,куб!K:K),IF($D116&lt;&gt;0,SUMIF(куб!$D:$D,$D116,куб!K:K),IF($C116&lt;&gt;0,SUMIF(куб!$C:$C,$C116,куб!K:K),IF($B116&lt;&gt;0,SUMIF(куб!$B:$B,$B116,куб!K:K))))))</f>
        <v>17885</v>
      </c>
      <c r="R116" s="13">
        <f t="shared" si="37"/>
        <v>4.1703069485700975E-2</v>
      </c>
      <c r="S116" s="5"/>
      <c r="T116" s="27">
        <f>IF($G116&lt;&gt;0,SUMIF(куб!$G:$G,$G116,куб!L:L),IF($E116&lt;&gt;0,SUMIF(куб!$E:$E,$E116,куб!L:L),IF($D116&lt;&gt;0,SUMIF(куб!$D:$D,$D116,куб!L:L),IF($C116&lt;&gt;0,SUMIF(куб!$C:$C,$C116,куб!L:L),IF($B116&lt;&gt;0,SUMIF(куб!$B:$B,$B116,куб!L:L))))))</f>
        <v>22989.291000000008</v>
      </c>
      <c r="U116" s="27">
        <f>IF($G116&lt;&gt;0,SUMIF(куб!$G:$G,$G116,куб!M:M),IF($E116&lt;&gt;0,SUMIF(куб!$E:$E,$E116,куб!M:M),IF($D116&lt;&gt;0,SUMIF(куб!$D:$D,$D116,куб!M:M),IF($C116&lt;&gt;0,SUMIF(куб!$C:$C,$C116,куб!M:M),IF($B116&lt;&gt;0,SUMIF(куб!$B:$B,$B116,куб!M:M))))))</f>
        <v>23948.015000000014</v>
      </c>
      <c r="V116" s="13">
        <f t="shared" si="38"/>
        <v>4.1703069485701204E-2</v>
      </c>
      <c r="W116" s="5"/>
      <c r="X116" s="27">
        <f>IF($G116&lt;&gt;0,SUMIF(куб!$G:$G,$G116,куб!N:N),IF($E116&lt;&gt;0,SUMIF(куб!$E:$E,$E116,куб!N:N),IF($D116&lt;&gt;0,SUMIF(куб!$D:$D,$D116,куб!N:N),IF($C116&lt;&gt;0,SUMIF(куб!$C:$C,$C116,куб!N:N),IF($B116&lt;&gt;0,SUMIF(куб!$B:$B,$B116,куб!N:N))))))</f>
        <v>227835.51270000031</v>
      </c>
      <c r="Y116" s="27">
        <f>IF($G116&lt;&gt;0,SUMIF(куб!$G:$G,$G116,куб!O:O),IF($E116&lt;&gt;0,SUMIF(куб!$E:$E,$E116,куб!O:O),IF($D116&lt;&gt;0,SUMIF(куб!$D:$D,$D116,куб!O:O),IF($C116&lt;&gt;0,SUMIF(куб!$C:$C,$C116,куб!O:O),IF($B116&lt;&gt;0,SUMIF(куб!$B:$B,$B116,куб!O:O))))))</f>
        <v>47454.24619999947</v>
      </c>
      <c r="Z116" s="13">
        <f t="shared" si="39"/>
        <v>-0.79171707852899875</v>
      </c>
      <c r="AA116" s="5"/>
      <c r="AB116" s="33">
        <f t="shared" si="40"/>
        <v>0.12251513000146758</v>
      </c>
      <c r="AC116" s="33">
        <f t="shared" si="41"/>
        <v>2.5394513005517774E-2</v>
      </c>
      <c r="AD116" s="15">
        <f t="shared" si="42"/>
        <v>-9.7120616995949802E-2</v>
      </c>
      <c r="AE116" s="5"/>
      <c r="AF116" s="27">
        <f>IF($G116&lt;&gt;0,SUMIF(куб!$G:$G,$G116,куб!R:R),IF($E116&lt;&gt;0,SUMIF(куб!$E:$E,$E116,куб!R:R),IF($D116&lt;&gt;0,SUMIF(куб!$D:$D,$D116,куб!R:R),IF($C116&lt;&gt;0,SUMIF(куб!$C:$C,$C116,куб!R:R),IF($B116&lt;&gt;0,SUMIF(куб!$B:$B,$B116,куб!R:R))))))</f>
        <v>4446.8164999999999</v>
      </c>
      <c r="AG116" s="27">
        <f>IF($G116&lt;&gt;0,SUMIF(куб!$G:$G,$G116,куб!S:S),IF($E116&lt;&gt;0,SUMIF(куб!$E:$E,$E116,куб!S:S),IF($D116&lt;&gt;0,SUMIF(куб!$D:$D,$D116,куб!S:S),IF($C116&lt;&gt;0,SUMIF(куб!$C:$C,$C116,куб!S:S),IF($B116&lt;&gt;0,SUMIF(куб!$B:$B,$B116,куб!S:S))))))</f>
        <v>4069.089199999999</v>
      </c>
      <c r="AH116" s="16">
        <f t="shared" si="43"/>
        <v>-8.4943307195158815E-2</v>
      </c>
      <c r="AI116" s="8"/>
      <c r="AJ116" s="27">
        <f>IF($G116&lt;&gt;0,SUMIF(куб!$G:$G,$G116,куб!T:T),IF($E116&lt;&gt;0,SUMIF(куб!$E:$E,$E116,куб!T:T),IF($D116&lt;&gt;0,SUMIF(куб!$D:$D,$D116,куб!T:T),IF($C116&lt;&gt;0,SUMIF(куб!$C:$C,$C116,куб!T:T),IF($B116&lt;&gt;0,SUMIF(куб!$B:$B,$B116,куб!T:T))))))</f>
        <v>47</v>
      </c>
      <c r="AK116" s="27">
        <f>IF($G116&lt;&gt;0,SUMIF(куб!$G:$G,$G116,куб!U:U),IF($E116&lt;&gt;0,SUMIF(куб!$E:$E,$E116,куб!U:U),IF($D116&lt;&gt;0,SUMIF(куб!$D:$D,$D116,куб!U:U),IF($C116&lt;&gt;0,SUMIF(куб!$C:$C,$C116,куб!U:U),IF($B116&lt;&gt;0,SUMIF(куб!$B:$B,$B116,куб!U:U))))))</f>
        <v>40</v>
      </c>
      <c r="AL116" s="16">
        <f t="shared" si="44"/>
        <v>-0.14893617021276595</v>
      </c>
      <c r="AM116" s="8"/>
      <c r="AN116" s="17">
        <f t="shared" si="45"/>
        <v>2.3912088819425309E-3</v>
      </c>
      <c r="AO116" s="17">
        <f t="shared" si="46"/>
        <v>2.1775193346135809E-3</v>
      </c>
      <c r="AP116" s="16">
        <f t="shared" si="47"/>
        <v>-2.1368954732894994E-4</v>
      </c>
      <c r="AQ116" s="8"/>
      <c r="AR116" s="17">
        <f t="shared" si="48"/>
        <v>0.12012392111952505</v>
      </c>
      <c r="AS116" s="17">
        <f t="shared" si="49"/>
        <v>2.3216993670904192E-2</v>
      </c>
      <c r="AT116" s="13">
        <f t="shared" si="50"/>
        <v>-9.6906927448620866E-2</v>
      </c>
      <c r="AU116" s="8"/>
    </row>
    <row r="117" spans="1:47" ht="15" customHeight="1" x14ac:dyDescent="0.25">
      <c r="A117" s="31" t="s">
        <v>26</v>
      </c>
      <c r="B117" s="31" t="s">
        <v>32</v>
      </c>
      <c r="C117" t="s">
        <v>33</v>
      </c>
      <c r="D117" s="31" t="s">
        <v>34</v>
      </c>
      <c r="E117" t="s">
        <v>203</v>
      </c>
      <c r="F117" s="31" t="s">
        <v>259</v>
      </c>
      <c r="G117" t="s">
        <v>260</v>
      </c>
      <c r="H117" s="27">
        <f>IF($G117&lt;&gt;0,SUMIF(куб!$G:$G,$G117,куб!H:H),IF($E117&lt;&gt;0,SUMIF(куб!$E:$E,$E117,куб!H:H),IF($D117&lt;&gt;0,SUMIF(куб!$D:$D,$D117,куб!H:H),IF($C117&lt;&gt;0,SUMIF(куб!$C:$C,$C117,куб!H:H),IF($B117&lt;&gt;0,SUMIF(куб!$B:$B,$B117,куб!H:H),IF($G117&lt;&gt;0,SUMIF(куб!$A:$A,$G117,куб!H:H),SUMIF(куб!$A:$A,$G117,куб!H:H)))))))</f>
        <v>1615131.8050000002</v>
      </c>
      <c r="I117" s="27">
        <f>IF($G117&lt;&gt;0,SUMIF(куб!$G:$G,$G117,куб!I:I),IF($E117&lt;&gt;0,SUMIF(куб!$E:$E,$E117,куб!I:I),IF($D117&lt;&gt;0,SUMIF(куб!$D:$D,$D117,куб!I:I),IF($C117&lt;&gt;0,SUMIF(куб!$C:$C,$C117,куб!I:I),IF($B117&lt;&gt;0,SUMIF(куб!$B:$B,$B117,куб!I:I),IF($G117&lt;&gt;0,SUMIF(куб!$A:$A,$G117,куб!I:I),SUMIF(куб!$A:$A,$G117,куб!I:I)))))))</f>
        <v>1815908.3933000001</v>
      </c>
      <c r="J117" s="19">
        <f t="shared" si="51"/>
        <v>0.12430972362654943</v>
      </c>
      <c r="K117" s="5"/>
      <c r="L117" s="17">
        <f t="shared" si="34"/>
        <v>3.3738359570735389E-3</v>
      </c>
      <c r="M117" s="17">
        <f t="shared" si="35"/>
        <v>3.8718345138886562E-3</v>
      </c>
      <c r="N117" s="12">
        <f t="shared" si="36"/>
        <v>4.9799855681511738E-4</v>
      </c>
      <c r="O117" s="5"/>
      <c r="P117" s="27">
        <f>IF($G117&lt;&gt;0,SUMIF(куб!$G:$G,$G117,куб!J:J),IF($E117&lt;&gt;0,SUMIF(куб!$E:$E,$E117,куб!J:J),IF($D117&lt;&gt;0,SUMIF(куб!$D:$D,$D117,куб!J:J),IF($C117&lt;&gt;0,SUMIF(куб!$C:$C,$C117,куб!J:J),IF($B117&lt;&gt;0,SUMIF(куб!$B:$B,$B117,куб!J:J))))))</f>
        <v>24291</v>
      </c>
      <c r="Q117" s="27">
        <f>IF($G117&lt;&gt;0,SUMIF(куб!$G:$G,$G117,куб!K:K),IF($E117&lt;&gt;0,SUMIF(куб!$E:$E,$E117,куб!K:K),IF($D117&lt;&gt;0,SUMIF(куб!$D:$D,$D117,куб!K:K),IF($C117&lt;&gt;0,SUMIF(куб!$C:$C,$C117,куб!K:K),IF($B117&lt;&gt;0,SUMIF(куб!$B:$B,$B117,куб!K:K))))))</f>
        <v>30118</v>
      </c>
      <c r="R117" s="13">
        <f t="shared" si="37"/>
        <v>0.23988308426989419</v>
      </c>
      <c r="S117" s="5"/>
      <c r="T117" s="27">
        <f>IF($G117&lt;&gt;0,SUMIF(куб!$G:$G,$G117,куб!L:L),IF($E117&lt;&gt;0,SUMIF(куб!$E:$E,$E117,куб!L:L),IF($D117&lt;&gt;0,SUMIF(куб!$D:$D,$D117,куб!L:L),IF($C117&lt;&gt;0,SUMIF(куб!$C:$C,$C117,куб!L:L),IF($B117&lt;&gt;0,SUMIF(куб!$B:$B,$B117,куб!L:L))))))</f>
        <v>22517.757000000001</v>
      </c>
      <c r="U117" s="27">
        <f>IF($G117&lt;&gt;0,SUMIF(куб!$G:$G,$G117,куб!M:M),IF($E117&lt;&gt;0,SUMIF(куб!$E:$E,$E117,куб!M:M),IF($D117&lt;&gt;0,SUMIF(куб!$D:$D,$D117,куб!M:M),IF($C117&lt;&gt;0,SUMIF(куб!$C:$C,$C117,куб!M:M),IF($B117&lt;&gt;0,SUMIF(куб!$B:$B,$B117,куб!M:M))))))</f>
        <v>27919.386000000002</v>
      </c>
      <c r="V117" s="13">
        <f t="shared" si="38"/>
        <v>0.23988308426989421</v>
      </c>
      <c r="W117" s="5"/>
      <c r="X117" s="27">
        <f>IF($G117&lt;&gt;0,SUMIF(куб!$G:$G,$G117,куб!N:N),IF($E117&lt;&gt;0,SUMIF(куб!$E:$E,$E117,куб!N:N),IF($D117&lt;&gt;0,SUMIF(куб!$D:$D,$D117,куб!N:N),IF($C117&lt;&gt;0,SUMIF(куб!$C:$C,$C117,куб!N:N),IF($B117&lt;&gt;0,SUMIF(куб!$B:$B,$B117,куб!N:N))))))</f>
        <v>207062.99659999972</v>
      </c>
      <c r="Y117" s="27">
        <f>IF($G117&lt;&gt;0,SUMIF(куб!$G:$G,$G117,куб!O:O),IF($E117&lt;&gt;0,SUMIF(куб!$E:$E,$E117,куб!O:O),IF($D117&lt;&gt;0,SUMIF(куб!$D:$D,$D117,куб!O:O),IF($C117&lt;&gt;0,SUMIF(куб!$C:$C,$C117,куб!O:O),IF($B117&lt;&gt;0,SUMIF(куб!$B:$B,$B117,куб!O:O))))))</f>
        <v>152828.30289999908</v>
      </c>
      <c r="Z117" s="13">
        <f t="shared" si="39"/>
        <v>-0.26192363961954135</v>
      </c>
      <c r="AA117" s="5"/>
      <c r="AB117" s="33">
        <f t="shared" si="40"/>
        <v>0.12820191885206528</v>
      </c>
      <c r="AC117" s="33">
        <f t="shared" si="41"/>
        <v>8.416079988609361E-2</v>
      </c>
      <c r="AD117" s="15">
        <f t="shared" si="42"/>
        <v>-4.4041118965971668E-2</v>
      </c>
      <c r="AE117" s="5"/>
      <c r="AF117" s="27">
        <f>IF($G117&lt;&gt;0,SUMIF(куб!$G:$G,$G117,куб!R:R),IF($E117&lt;&gt;0,SUMIF(куб!$E:$E,$E117,куб!R:R),IF($D117&lt;&gt;0,SUMIF(куб!$D:$D,$D117,куб!R:R),IF($C117&lt;&gt;0,SUMIF(куб!$C:$C,$C117,куб!R:R),IF($B117&lt;&gt;0,SUMIF(куб!$B:$B,$B117,куб!R:R))))))</f>
        <v>16310.705500000004</v>
      </c>
      <c r="AG117" s="27">
        <f>IF($G117&lt;&gt;0,SUMIF(куб!$G:$G,$G117,куб!S:S),IF($E117&lt;&gt;0,SUMIF(куб!$E:$E,$E117,куб!S:S),IF($D117&lt;&gt;0,SUMIF(куб!$D:$D,$D117,куб!S:S),IF($C117&lt;&gt;0,SUMIF(куб!$C:$C,$C117,куб!S:S),IF($B117&lt;&gt;0,SUMIF(куб!$B:$B,$B117,куб!S:S))))))</f>
        <v>15882.076700000005</v>
      </c>
      <c r="AH117" s="16">
        <f t="shared" si="43"/>
        <v>-2.6278985908978522E-2</v>
      </c>
      <c r="AI117" s="8"/>
      <c r="AJ117" s="27">
        <f>IF($G117&lt;&gt;0,SUMIF(куб!$G:$G,$G117,куб!T:T),IF($E117&lt;&gt;0,SUMIF(куб!$E:$E,$E117,куб!T:T),IF($D117&lt;&gt;0,SUMIF(куб!$D:$D,$D117,куб!T:T),IF($C117&lt;&gt;0,SUMIF(куб!$C:$C,$C117,куб!T:T),IF($B117&lt;&gt;0,SUMIF(куб!$B:$B,$B117,куб!T:T))))))</f>
        <v>285</v>
      </c>
      <c r="AK117" s="27">
        <f>IF($G117&lt;&gt;0,SUMIF(куб!$G:$G,$G117,куб!U:U),IF($E117&lt;&gt;0,SUMIF(куб!$E:$E,$E117,куб!U:U),IF($D117&lt;&gt;0,SUMIF(куб!$D:$D,$D117,куб!U:U),IF($C117&lt;&gt;0,SUMIF(куб!$C:$C,$C117,куб!U:U),IF($B117&lt;&gt;0,SUMIF(куб!$B:$B,$B117,куб!U:U))))))</f>
        <v>287</v>
      </c>
      <c r="AL117" s="16">
        <f t="shared" si="44"/>
        <v>7.0175438596491229E-3</v>
      </c>
      <c r="AM117" s="8"/>
      <c r="AN117" s="17">
        <f t="shared" si="45"/>
        <v>1.0098683865618015E-2</v>
      </c>
      <c r="AO117" s="17">
        <f t="shared" si="46"/>
        <v>8.7460781384120084E-3</v>
      </c>
      <c r="AP117" s="16">
        <f t="shared" si="47"/>
        <v>-1.352605727206007E-3</v>
      </c>
      <c r="AQ117" s="8"/>
      <c r="AR117" s="17">
        <f t="shared" si="48"/>
        <v>0.11810323498644724</v>
      </c>
      <c r="AS117" s="17">
        <f t="shared" si="49"/>
        <v>7.5414721747681601E-2</v>
      </c>
      <c r="AT117" s="13">
        <f t="shared" si="50"/>
        <v>-4.2688513238765644E-2</v>
      </c>
      <c r="AU117" s="8"/>
    </row>
    <row r="118" spans="1:47" ht="15" customHeight="1" x14ac:dyDescent="0.25">
      <c r="A118" s="31" t="s">
        <v>26</v>
      </c>
      <c r="B118" s="31" t="s">
        <v>32</v>
      </c>
      <c r="C118" t="s">
        <v>33</v>
      </c>
      <c r="D118" s="31" t="s">
        <v>34</v>
      </c>
      <c r="E118" t="s">
        <v>203</v>
      </c>
      <c r="F118" s="31" t="s">
        <v>261</v>
      </c>
      <c r="G118" t="s">
        <v>262</v>
      </c>
      <c r="H118" s="27">
        <f>IF($G118&lt;&gt;0,SUMIF(куб!$G:$G,$G118,куб!H:H),IF($E118&lt;&gt;0,SUMIF(куб!$E:$E,$E118,куб!H:H),IF($D118&lt;&gt;0,SUMIF(куб!$D:$D,$D118,куб!H:H),IF($C118&lt;&gt;0,SUMIF(куб!$C:$C,$C118,куб!H:H),IF($B118&lt;&gt;0,SUMIF(куб!$B:$B,$B118,куб!H:H),IF($G118&lt;&gt;0,SUMIF(куб!$A:$A,$G118,куб!H:H),SUMIF(куб!$A:$A,$G118,куб!H:H)))))))</f>
        <v>3760926.1959999944</v>
      </c>
      <c r="I118" s="27">
        <f>IF($G118&lt;&gt;0,SUMIF(куб!$G:$G,$G118,куб!I:I),IF($E118&lt;&gt;0,SUMIF(куб!$E:$E,$E118,куб!I:I),IF($D118&lt;&gt;0,SUMIF(куб!$D:$D,$D118,куб!I:I),IF($C118&lt;&gt;0,SUMIF(куб!$C:$C,$C118,куб!I:I),IF($B118&lt;&gt;0,SUMIF(куб!$B:$B,$B118,куб!I:I),IF($G118&lt;&gt;0,SUMIF(куб!$A:$A,$G118,куб!I:I),SUMIF(куб!$A:$A,$G118,куб!I:I)))))))</f>
        <v>14937025.293099975</v>
      </c>
      <c r="J118" s="19">
        <f t="shared" si="51"/>
        <v>2.9716347821413076</v>
      </c>
      <c r="K118" s="8"/>
      <c r="L118" s="17">
        <f t="shared" si="34"/>
        <v>7.8561687613876094E-3</v>
      </c>
      <c r="M118" s="17">
        <f t="shared" si="35"/>
        <v>3.18483521955382E-2</v>
      </c>
      <c r="N118" s="12">
        <f t="shared" si="36"/>
        <v>2.3992183434150591E-2</v>
      </c>
      <c r="O118" s="5"/>
      <c r="P118" s="27">
        <f>IF($G118&lt;&gt;0,SUMIF(куб!$G:$G,$G118,куб!J:J),IF($E118&lt;&gt;0,SUMIF(куб!$E:$E,$E118,куб!J:J),IF($D118&lt;&gt;0,SUMIF(куб!$D:$D,$D118,куб!J:J),IF($C118&lt;&gt;0,SUMIF(куб!$C:$C,$C118,куб!J:J),IF($B118&lt;&gt;0,SUMIF(куб!$B:$B,$B118,куб!J:J))))))</f>
        <v>26594</v>
      </c>
      <c r="Q118" s="27">
        <f>IF($G118&lt;&gt;0,SUMIF(куб!$G:$G,$G118,куб!K:K),IF($E118&lt;&gt;0,SUMIF(куб!$E:$E,$E118,куб!K:K),IF($D118&lt;&gt;0,SUMIF(куб!$D:$D,$D118,куб!K:K),IF($C118&lt;&gt;0,SUMIF(куб!$C:$C,$C118,куб!K:K),IF($B118&lt;&gt;0,SUMIF(куб!$B:$B,$B118,куб!K:K))))))</f>
        <v>96996</v>
      </c>
      <c r="R118" s="13">
        <f t="shared" si="37"/>
        <v>2.6472888621493569</v>
      </c>
      <c r="S118" s="5"/>
      <c r="T118" s="27">
        <f>IF($G118&lt;&gt;0,SUMIF(куб!$G:$G,$G118,куб!L:L),IF($E118&lt;&gt;0,SUMIF(куб!$E:$E,$E118,куб!L:L),IF($D118&lt;&gt;0,SUMIF(куб!$D:$D,$D118,куб!L:L),IF($C118&lt;&gt;0,SUMIF(куб!$C:$C,$C118,куб!L:L),IF($B118&lt;&gt;0,SUMIF(куб!$B:$B,$B118,куб!L:L))))))</f>
        <v>38295.360000000022</v>
      </c>
      <c r="U118" s="27">
        <f>IF($G118&lt;&gt;0,SUMIF(куб!$G:$G,$G118,куб!M:M),IF($E118&lt;&gt;0,SUMIF(куб!$E:$E,$E118,куб!M:M),IF($D118&lt;&gt;0,SUMIF(куб!$D:$D,$D118,куб!M:M),IF($C118&lt;&gt;0,SUMIF(куб!$C:$C,$C118,куб!M:M),IF($B118&lt;&gt;0,SUMIF(куб!$B:$B,$B118,куб!M:M))))))</f>
        <v>139674.23999999982</v>
      </c>
      <c r="V118" s="13">
        <f t="shared" si="38"/>
        <v>2.6472888621493502</v>
      </c>
      <c r="W118" s="5"/>
      <c r="X118" s="27">
        <f>IF($G118&lt;&gt;0,SUMIF(куб!$G:$G,$G118,куб!N:N),IF($E118&lt;&gt;0,SUMIF(куб!$E:$E,$E118,куб!N:N),IF($D118&lt;&gt;0,SUMIF(куб!$D:$D,$D118,куб!N:N),IF($C118&lt;&gt;0,SUMIF(куб!$C:$C,$C118,куб!N:N),IF($B118&lt;&gt;0,SUMIF(куб!$B:$B,$B118,куб!N:N))))))</f>
        <v>429785.30520000029</v>
      </c>
      <c r="Y118" s="27">
        <f>IF($G118&lt;&gt;0,SUMIF(куб!$G:$G,$G118,куб!O:O),IF($E118&lt;&gt;0,SUMIF(куб!$E:$E,$E118,куб!O:O),IF($D118&lt;&gt;0,SUMIF(куб!$D:$D,$D118,куб!O:O),IF($C118&lt;&gt;0,SUMIF(куб!$C:$C,$C118,куб!O:O),IF($B118&lt;&gt;0,SUMIF(куб!$B:$B,$B118,куб!O:O))))))</f>
        <v>2796824.1943000332</v>
      </c>
      <c r="Z118" s="13">
        <f t="shared" si="39"/>
        <v>5.5074914392397218</v>
      </c>
      <c r="AA118" s="5"/>
      <c r="AB118" s="33">
        <f t="shared" si="40"/>
        <v>0.11427645287405712</v>
      </c>
      <c r="AC118" s="33">
        <f t="shared" si="41"/>
        <v>0.18724104293992197</v>
      </c>
      <c r="AD118" s="15">
        <f t="shared" si="42"/>
        <v>7.2964590065864851E-2</v>
      </c>
      <c r="AE118" s="5"/>
      <c r="AF118" s="27">
        <f>IF($G118&lt;&gt;0,SUMIF(куб!$G:$G,$G118,куб!R:R),IF($E118&lt;&gt;0,SUMIF(куб!$E:$E,$E118,куб!R:R),IF($D118&lt;&gt;0,SUMIF(куб!$D:$D,$D118,куб!R:R),IF($C118&lt;&gt;0,SUMIF(куб!$C:$C,$C118,куб!R:R),IF($B118&lt;&gt;0,SUMIF(куб!$B:$B,$B118,куб!R:R))))))</f>
        <v>7240.9720000000007</v>
      </c>
      <c r="AG118" s="27">
        <f>IF($G118&lt;&gt;0,SUMIF(куб!$G:$G,$G118,куб!S:S),IF($E118&lt;&gt;0,SUMIF(куб!$E:$E,$E118,куб!S:S),IF($D118&lt;&gt;0,SUMIF(куб!$D:$D,$D118,куб!S:S),IF($C118&lt;&gt;0,SUMIF(куб!$C:$C,$C118,куб!S:S),IF($B118&lt;&gt;0,SUMIF(куб!$B:$B,$B118,куб!S:S))))))</f>
        <v>78064.999999999985</v>
      </c>
      <c r="AH118" s="16">
        <f t="shared" si="43"/>
        <v>9.781011168113892</v>
      </c>
      <c r="AI118" s="8"/>
      <c r="AJ118" s="27">
        <f>IF($G118&lt;&gt;0,SUMIF(куб!$G:$G,$G118,куб!T:T),IF($E118&lt;&gt;0,SUMIF(куб!$E:$E,$E118,куб!T:T),IF($D118&lt;&gt;0,SUMIF(куб!$D:$D,$D118,куб!T:T),IF($C118&lt;&gt;0,SUMIF(куб!$C:$C,$C118,куб!T:T),IF($B118&lt;&gt;0,SUMIF(куб!$B:$B,$B118,куб!T:T))))))</f>
        <v>57</v>
      </c>
      <c r="AK118" s="27">
        <f>IF($G118&lt;&gt;0,SUMIF(куб!$G:$G,$G118,куб!U:U),IF($E118&lt;&gt;0,SUMIF(куб!$E:$E,$E118,куб!U:U),IF($D118&lt;&gt;0,SUMIF(куб!$D:$D,$D118,куб!U:U),IF($C118&lt;&gt;0,SUMIF(куб!$C:$C,$C118,куб!U:U),IF($B118&lt;&gt;0,SUMIF(куб!$B:$B,$B118,куб!U:U))))))</f>
        <v>627</v>
      </c>
      <c r="AL118" s="16">
        <f t="shared" si="44"/>
        <v>10</v>
      </c>
      <c r="AM118" s="8"/>
      <c r="AN118" s="17">
        <f t="shared" si="45"/>
        <v>1.9253161648588788E-3</v>
      </c>
      <c r="AO118" s="17">
        <f t="shared" si="46"/>
        <v>5.2262748752297692E-3</v>
      </c>
      <c r="AP118" s="16">
        <f t="shared" si="47"/>
        <v>3.3009587103708903E-3</v>
      </c>
      <c r="AQ118" s="8"/>
      <c r="AR118" s="17">
        <f t="shared" si="48"/>
        <v>0.11235113670919825</v>
      </c>
      <c r="AS118" s="17">
        <f t="shared" si="49"/>
        <v>0.18201476806469222</v>
      </c>
      <c r="AT118" s="13">
        <f t="shared" si="50"/>
        <v>6.9663631355493971E-2</v>
      </c>
      <c r="AU118" s="8"/>
    </row>
    <row r="119" spans="1:47" ht="15" customHeight="1" x14ac:dyDescent="0.25">
      <c r="A119" s="31" t="s">
        <v>26</v>
      </c>
      <c r="B119" s="31" t="s">
        <v>32</v>
      </c>
      <c r="C119" t="s">
        <v>33</v>
      </c>
      <c r="D119" s="31" t="s">
        <v>34</v>
      </c>
      <c r="E119" t="s">
        <v>203</v>
      </c>
      <c r="F119" s="31" t="s">
        <v>263</v>
      </c>
      <c r="G119" t="s">
        <v>264</v>
      </c>
      <c r="H119" s="27">
        <f>IF($G119&lt;&gt;0,SUMIF(куб!$G:$G,$G119,куб!H:H),IF($E119&lt;&gt;0,SUMIF(куб!$E:$E,$E119,куб!H:H),IF($D119&lt;&gt;0,SUMIF(куб!$D:$D,$D119,куб!H:H),IF($C119&lt;&gt;0,SUMIF(куб!$C:$C,$C119,куб!H:H),IF($B119&lt;&gt;0,SUMIF(куб!$B:$B,$B119,куб!H:H),IF($G119&lt;&gt;0,SUMIF(куб!$A:$A,$G119,куб!H:H),SUMIF(куб!$A:$A,$G119,куб!H:H)))))))</f>
        <v>18895271.53239999</v>
      </c>
      <c r="I119" s="27">
        <f>IF($G119&lt;&gt;0,SUMIF(куб!$G:$G,$G119,куб!I:I),IF($E119&lt;&gt;0,SUMIF(куб!$E:$E,$E119,куб!I:I),IF($D119&lt;&gt;0,SUMIF(куб!$D:$D,$D119,куб!I:I),IF($C119&lt;&gt;0,SUMIF(куб!$C:$C,$C119,куб!I:I),IF($B119&lt;&gt;0,SUMIF(куб!$B:$B,$B119,куб!I:I),IF($G119&lt;&gt;0,SUMIF(куб!$A:$A,$G119,куб!I:I),SUMIF(куб!$A:$A,$G119,куб!I:I)))))))</f>
        <v>23030149.238399997</v>
      </c>
      <c r="J119" s="19">
        <f t="shared" si="51"/>
        <v>0.21883134618678934</v>
      </c>
      <c r="K119" s="10"/>
      <c r="L119" s="17">
        <f t="shared" si="34"/>
        <v>3.9470182134565233E-2</v>
      </c>
      <c r="M119" s="17">
        <f t="shared" si="35"/>
        <v>4.9104308901397518E-2</v>
      </c>
      <c r="N119" s="12">
        <f t="shared" si="36"/>
        <v>9.634126766832285E-3</v>
      </c>
      <c r="O119" s="5"/>
      <c r="P119" s="27">
        <f>IF($G119&lt;&gt;0,SUMIF(куб!$G:$G,$G119,куб!J:J),IF($E119&lt;&gt;0,SUMIF(куб!$E:$E,$E119,куб!J:J),IF($D119&lt;&gt;0,SUMIF(куб!$D:$D,$D119,куб!J:J),IF($C119&lt;&gt;0,SUMIF(куб!$C:$C,$C119,куб!J:J),IF($B119&lt;&gt;0,SUMIF(куб!$B:$B,$B119,куб!J:J))))))</f>
        <v>138761</v>
      </c>
      <c r="Q119" s="27">
        <f>IF($G119&lt;&gt;0,SUMIF(куб!$G:$G,$G119,куб!K:K),IF($E119&lt;&gt;0,SUMIF(куб!$E:$E,$E119,куб!K:K),IF($D119&lt;&gt;0,SUMIF(куб!$D:$D,$D119,куб!K:K),IF($C119&lt;&gt;0,SUMIF(куб!$C:$C,$C119,куб!K:K),IF($B119&lt;&gt;0,SUMIF(куб!$B:$B,$B119,куб!K:K))))))</f>
        <v>181872</v>
      </c>
      <c r="R119" s="13">
        <f t="shared" si="37"/>
        <v>0.31068527900490772</v>
      </c>
      <c r="S119" s="5"/>
      <c r="T119" s="27">
        <f>IF($G119&lt;&gt;0,SUMIF(куб!$G:$G,$G119,куб!L:L),IF($E119&lt;&gt;0,SUMIF(куб!$E:$E,$E119,куб!L:L),IF($D119&lt;&gt;0,SUMIF(куб!$D:$D,$D119,куб!L:L),IF($C119&lt;&gt;0,SUMIF(куб!$C:$C,$C119,куб!L:L),IF($B119&lt;&gt;0,SUMIF(куб!$B:$B,$B119,куб!L:L))))))</f>
        <v>194265.39999999997</v>
      </c>
      <c r="U119" s="27">
        <f>IF($G119&lt;&gt;0,SUMIF(куб!$G:$G,$G119,куб!M:M),IF($E119&lt;&gt;0,SUMIF(куб!$E:$E,$E119,куб!M:M),IF($D119&lt;&gt;0,SUMIF(куб!$D:$D,$D119,куб!M:M),IF($C119&lt;&gt;0,SUMIF(куб!$C:$C,$C119,куб!M:M),IF($B119&lt;&gt;0,SUMIF(куб!$B:$B,$B119,куб!M:M))))))</f>
        <v>254620.80000000002</v>
      </c>
      <c r="V119" s="13">
        <f t="shared" si="38"/>
        <v>0.31068527900490805</v>
      </c>
      <c r="W119" s="5"/>
      <c r="X119" s="27">
        <f>IF($G119&lt;&gt;0,SUMIF(куб!$G:$G,$G119,куб!N:N),IF($E119&lt;&gt;0,SUMIF(куб!$E:$E,$E119,куб!N:N),IF($D119&lt;&gt;0,SUMIF(куб!$D:$D,$D119,куб!N:N),IF($C119&lt;&gt;0,SUMIF(куб!$C:$C,$C119,куб!N:N),IF($B119&lt;&gt;0,SUMIF(куб!$B:$B,$B119,куб!N:N))))))</f>
        <v>2398292.0139000192</v>
      </c>
      <c r="Y119" s="27">
        <f>IF($G119&lt;&gt;0,SUMIF(куб!$G:$G,$G119,куб!O:O),IF($E119&lt;&gt;0,SUMIF(куб!$E:$E,$E119,куб!O:O),IF($D119&lt;&gt;0,SUMIF(куб!$D:$D,$D119,куб!O:O),IF($C119&lt;&gt;0,SUMIF(куб!$C:$C,$C119,куб!O:O),IF($B119&lt;&gt;0,SUMIF(куб!$B:$B,$B119,куб!O:O))))))</f>
        <v>1999183.2711000219</v>
      </c>
      <c r="Z119" s="13">
        <f t="shared" si="39"/>
        <v>-0.16641373964756717</v>
      </c>
      <c r="AA119" s="5"/>
      <c r="AB119" s="33">
        <f t="shared" si="40"/>
        <v>0.12692551201434887</v>
      </c>
      <c r="AC119" s="33">
        <f t="shared" si="41"/>
        <v>8.6807221716419664E-2</v>
      </c>
      <c r="AD119" s="15">
        <f t="shared" si="42"/>
        <v>-4.011829029792921E-2</v>
      </c>
      <c r="AE119" s="5"/>
      <c r="AF119" s="27">
        <f>IF($G119&lt;&gt;0,SUMIF(куб!$G:$G,$G119,куб!R:R),IF($E119&lt;&gt;0,SUMIF(куб!$E:$E,$E119,куб!R:R),IF($D119&lt;&gt;0,SUMIF(куб!$D:$D,$D119,куб!R:R),IF($C119&lt;&gt;0,SUMIF(куб!$C:$C,$C119,куб!R:R),IF($B119&lt;&gt;0,SUMIF(куб!$B:$B,$B119,куб!R:R))))))</f>
        <v>24284.396300000004</v>
      </c>
      <c r="AG119" s="27">
        <f>IF($G119&lt;&gt;0,SUMIF(куб!$G:$G,$G119,куб!S:S),IF($E119&lt;&gt;0,SUMIF(куб!$E:$E,$E119,куб!S:S),IF($D119&lt;&gt;0,SUMIF(куб!$D:$D,$D119,куб!S:S),IF($C119&lt;&gt;0,SUMIF(куб!$C:$C,$C119,куб!S:S),IF($B119&lt;&gt;0,SUMIF(куб!$B:$B,$B119,куб!S:S))))))</f>
        <v>22447.551199999998</v>
      </c>
      <c r="AH119" s="16">
        <f t="shared" si="43"/>
        <v>-7.5638903158568763E-2</v>
      </c>
      <c r="AI119" s="8"/>
      <c r="AJ119" s="27">
        <f>IF($G119&lt;&gt;0,SUMIF(куб!$G:$G,$G119,куб!T:T),IF($E119&lt;&gt;0,SUMIF(куб!$E:$E,$E119,куб!T:T),IF($D119&lt;&gt;0,SUMIF(куб!$D:$D,$D119,куб!T:T),IF($C119&lt;&gt;0,SUMIF(куб!$C:$C,$C119,куб!T:T),IF($B119&lt;&gt;0,SUMIF(куб!$B:$B,$B119,куб!T:T))))))</f>
        <v>205</v>
      </c>
      <c r="AK119" s="27">
        <f>IF($G119&lt;&gt;0,SUMIF(куб!$G:$G,$G119,куб!U:U),IF($E119&lt;&gt;0,SUMIF(куб!$E:$E,$E119,куб!U:U),IF($D119&lt;&gt;0,SUMIF(куб!$D:$D,$D119,куб!U:U),IF($C119&lt;&gt;0,SUMIF(куб!$C:$C,$C119,куб!U:U),IF($B119&lt;&gt;0,SUMIF(куб!$B:$B,$B119,куб!U:U))))))</f>
        <v>191</v>
      </c>
      <c r="AL119" s="16">
        <f t="shared" si="44"/>
        <v>-6.8292682926829273E-2</v>
      </c>
      <c r="AM119" s="8"/>
      <c r="AN119" s="17">
        <f t="shared" si="45"/>
        <v>1.2852102314782408E-3</v>
      </c>
      <c r="AO119" s="17">
        <f t="shared" si="46"/>
        <v>9.7470281098185039E-4</v>
      </c>
      <c r="AP119" s="16">
        <f t="shared" si="47"/>
        <v>-3.1050742049639043E-4</v>
      </c>
      <c r="AQ119" s="8"/>
      <c r="AR119" s="17">
        <f t="shared" si="48"/>
        <v>0.12564030178287064</v>
      </c>
      <c r="AS119" s="17">
        <f t="shared" si="49"/>
        <v>8.5832518905437805E-2</v>
      </c>
      <c r="AT119" s="13">
        <f t="shared" si="50"/>
        <v>-3.9807782877432835E-2</v>
      </c>
      <c r="AU119" s="8"/>
    </row>
    <row r="120" spans="1:47" ht="15" customHeight="1" x14ac:dyDescent="0.25">
      <c r="A120" s="31" t="s">
        <v>26</v>
      </c>
      <c r="B120" s="31" t="s">
        <v>32</v>
      </c>
      <c r="C120" t="s">
        <v>33</v>
      </c>
      <c r="D120" s="31" t="s">
        <v>34</v>
      </c>
      <c r="E120" t="s">
        <v>203</v>
      </c>
      <c r="F120" s="31" t="s">
        <v>263</v>
      </c>
      <c r="G120" t="s">
        <v>265</v>
      </c>
      <c r="H120" s="27">
        <f>IF($G120&lt;&gt;0,SUMIF(куб!$G:$G,$G120,куб!H:H),IF($E120&lt;&gt;0,SUMIF(куб!$E:$E,$E120,куб!H:H),IF($D120&lt;&gt;0,SUMIF(куб!$D:$D,$D120,куб!H:H),IF($C120&lt;&gt;0,SUMIF(куб!$C:$C,$C120,куб!H:H),IF($B120&lt;&gt;0,SUMIF(куб!$B:$B,$B120,куб!H:H),IF($G120&lt;&gt;0,SUMIF(куб!$A:$A,$G120,куб!H:H),SUMIF(куб!$A:$A,$G120,куб!H:H)))))))</f>
        <v>32440.212500000001</v>
      </c>
      <c r="I120" s="27">
        <f>IF($G120&lt;&gt;0,SUMIF(куб!$G:$G,$G120,куб!I:I),IF($E120&lt;&gt;0,SUMIF(куб!$E:$E,$E120,куб!I:I),IF($D120&lt;&gt;0,SUMIF(куб!$D:$D,$D120,куб!I:I),IF($C120&lt;&gt;0,SUMIF(куб!$C:$C,$C120,куб!I:I),IF($B120&lt;&gt;0,SUMIF(куб!$B:$B,$B120,куб!I:I),IF($G120&lt;&gt;0,SUMIF(куб!$A:$A,$G120,куб!I:I),SUMIF(куб!$A:$A,$G120,куб!I:I)))))))</f>
        <v>91029.071899999995</v>
      </c>
      <c r="J120" s="19">
        <f t="shared" si="51"/>
        <v>1.8060565848636161</v>
      </c>
      <c r="K120" s="5"/>
      <c r="L120" s="17">
        <f t="shared" si="34"/>
        <v>6.7764101387135067E-5</v>
      </c>
      <c r="M120" s="17">
        <f t="shared" si="35"/>
        <v>1.9408991315314936E-4</v>
      </c>
      <c r="N120" s="12">
        <f t="shared" si="36"/>
        <v>1.2632581176601429E-4</v>
      </c>
      <c r="O120" s="5"/>
      <c r="P120" s="27">
        <f>IF($G120&lt;&gt;0,SUMIF(куб!$G:$G,$G120,куб!J:J),IF($E120&lt;&gt;0,SUMIF(куб!$E:$E,$E120,куб!J:J),IF($D120&lt;&gt;0,SUMIF(куб!$D:$D,$D120,куб!J:J),IF($C120&lt;&gt;0,SUMIF(куб!$C:$C,$C120,куб!J:J),IF($B120&lt;&gt;0,SUMIF(куб!$B:$B,$B120,куб!J:J))))))</f>
        <v>239</v>
      </c>
      <c r="Q120" s="27">
        <f>IF($G120&lt;&gt;0,SUMIF(куб!$G:$G,$G120,куб!K:K),IF($E120&lt;&gt;0,SUMIF(куб!$E:$E,$E120,куб!K:K),IF($D120&lt;&gt;0,SUMIF(куб!$D:$D,$D120,куб!K:K),IF($C120&lt;&gt;0,SUMIF(куб!$C:$C,$C120,куб!K:K),IF($B120&lt;&gt;0,SUMIF(куб!$B:$B,$B120,куб!K:K))))))</f>
        <v>725</v>
      </c>
      <c r="R120" s="13">
        <f t="shared" si="37"/>
        <v>2.0334728033472804</v>
      </c>
      <c r="S120" s="5"/>
      <c r="T120" s="27">
        <f>IF($G120&lt;&gt;0,SUMIF(куб!$G:$G,$G120,куб!L:L),IF($E120&lt;&gt;0,SUMIF(куб!$E:$E,$E120,куб!L:L),IF($D120&lt;&gt;0,SUMIF(куб!$D:$D,$D120,куб!L:L),IF($C120&lt;&gt;0,SUMIF(куб!$C:$C,$C120,куб!L:L),IF($B120&lt;&gt;0,SUMIF(куб!$B:$B,$B120,куб!L:L))))))</f>
        <v>334.6</v>
      </c>
      <c r="U120" s="27">
        <f>IF($G120&lt;&gt;0,SUMIF(куб!$G:$G,$G120,куб!M:M),IF($E120&lt;&gt;0,SUMIF(куб!$E:$E,$E120,куб!M:M),IF($D120&lt;&gt;0,SUMIF(куб!$D:$D,$D120,куб!M:M),IF($C120&lt;&gt;0,SUMIF(куб!$C:$C,$C120,куб!M:M),IF($B120&lt;&gt;0,SUMIF(куб!$B:$B,$B120,куб!M:M))))))</f>
        <v>1015.0000000000001</v>
      </c>
      <c r="V120" s="13">
        <f t="shared" si="38"/>
        <v>2.0334728033472804</v>
      </c>
      <c r="W120" s="5"/>
      <c r="X120" s="27">
        <f>IF($G120&lt;&gt;0,SUMIF(куб!$G:$G,$G120,куб!N:N),IF($E120&lt;&gt;0,SUMIF(куб!$E:$E,$E120,куб!N:N),IF($D120&lt;&gt;0,SUMIF(куб!$D:$D,$D120,куб!N:N),IF($C120&lt;&gt;0,SUMIF(куб!$C:$C,$C120,куб!N:N),IF($B120&lt;&gt;0,SUMIF(куб!$B:$B,$B120,куб!N:N))))))</f>
        <v>4194.7599999999984</v>
      </c>
      <c r="Y120" s="27">
        <f>IF($G120&lt;&gt;0,SUMIF(куб!$G:$G,$G120,куб!O:O),IF($E120&lt;&gt;0,SUMIF(куб!$E:$E,$E120,куб!O:O),IF($D120&lt;&gt;0,SUMIF(куб!$D:$D,$D120,куб!O:O),IF($C120&lt;&gt;0,SUMIF(куб!$C:$C,$C120,куб!O:O),IF($B120&lt;&gt;0,SUMIF(куб!$B:$B,$B120,куб!O:O))))))</f>
        <v>9631.3514999999898</v>
      </c>
      <c r="Z120" s="13">
        <f t="shared" si="39"/>
        <v>1.2960435161963959</v>
      </c>
      <c r="AA120" s="5"/>
      <c r="AB120" s="33">
        <f t="shared" si="40"/>
        <v>0.12930741437035895</v>
      </c>
      <c r="AC120" s="33">
        <f t="shared" si="41"/>
        <v>0.10580522572591439</v>
      </c>
      <c r="AD120" s="15">
        <f t="shared" si="42"/>
        <v>-2.350218864444456E-2</v>
      </c>
      <c r="AE120" s="5"/>
      <c r="AF120" s="27">
        <f>IF($G120&lt;&gt;0,SUMIF(куб!$G:$G,$G120,куб!R:R),IF($E120&lt;&gt;0,SUMIF(куб!$E:$E,$E120,куб!R:R),IF($D120&lt;&gt;0,SUMIF(куб!$D:$D,$D120,куб!R:R),IF($C120&lt;&gt;0,SUMIF(куб!$C:$C,$C120,куб!R:R),IF($B120&lt;&gt;0,SUMIF(куб!$B:$B,$B120,куб!R:R))))))</f>
        <v>118.1818</v>
      </c>
      <c r="AG120" s="27">
        <f>IF($G120&lt;&gt;0,SUMIF(куб!$G:$G,$G120,куб!S:S),IF($E120&lt;&gt;0,SUMIF(куб!$E:$E,$E120,куб!S:S),IF($D120&lt;&gt;0,SUMIF(куб!$D:$D,$D120,куб!S:S),IF($C120&lt;&gt;0,SUMIF(куб!$C:$C,$C120,куб!S:S),IF($B120&lt;&gt;0,SUMIF(куб!$B:$B,$B120,куб!S:S))))))</f>
        <v>0</v>
      </c>
      <c r="AH120" s="16">
        <f t="shared" si="43"/>
        <v>-1</v>
      </c>
      <c r="AI120" s="8"/>
      <c r="AJ120" s="27">
        <f>IF($G120&lt;&gt;0,SUMIF(куб!$G:$G,$G120,куб!T:T),IF($E120&lt;&gt;0,SUMIF(куб!$E:$E,$E120,куб!T:T),IF($D120&lt;&gt;0,SUMIF(куб!$D:$D,$D120,куб!T:T),IF($C120&lt;&gt;0,SUMIF(куб!$C:$C,$C120,куб!T:T),IF($B120&lt;&gt;0,SUMIF(куб!$B:$B,$B120,куб!T:T))))))</f>
        <v>1</v>
      </c>
      <c r="AK120" s="27">
        <f>IF($G120&lt;&gt;0,SUMIF(куб!$G:$G,$G120,куб!U:U),IF($E120&lt;&gt;0,SUMIF(куб!$E:$E,$E120,куб!U:U),IF($D120&lt;&gt;0,SUMIF(куб!$D:$D,$D120,куб!U:U),IF($C120&lt;&gt;0,SUMIF(куб!$C:$C,$C120,куб!U:U),IF($B120&lt;&gt;0,SUMIF(куб!$B:$B,$B120,куб!U:U))))))</f>
        <v>0</v>
      </c>
      <c r="AL120" s="16">
        <f t="shared" si="44"/>
        <v>-1</v>
      </c>
      <c r="AM120" s="8"/>
      <c r="AN120" s="17">
        <f t="shared" si="45"/>
        <v>3.6430649151882092E-3</v>
      </c>
      <c r="AO120" s="17">
        <f t="shared" si="46"/>
        <v>0</v>
      </c>
      <c r="AP120" s="16">
        <f t="shared" si="47"/>
        <v>-3.6430649151882092E-3</v>
      </c>
      <c r="AQ120" s="8"/>
      <c r="AR120" s="17">
        <f t="shared" si="48"/>
        <v>0.12566434945517074</v>
      </c>
      <c r="AS120" s="17">
        <f t="shared" si="49"/>
        <v>0.10580522572591439</v>
      </c>
      <c r="AT120" s="13">
        <f t="shared" si="50"/>
        <v>-1.9859123729256356E-2</v>
      </c>
      <c r="AU120" s="8"/>
    </row>
    <row r="121" spans="1:47" ht="15" customHeight="1" x14ac:dyDescent="0.25">
      <c r="A121" s="31" t="s">
        <v>26</v>
      </c>
      <c r="B121" s="31" t="s">
        <v>32</v>
      </c>
      <c r="C121" t="s">
        <v>33</v>
      </c>
      <c r="D121" s="31" t="s">
        <v>34</v>
      </c>
      <c r="E121" t="s">
        <v>203</v>
      </c>
      <c r="F121" s="31" t="s">
        <v>266</v>
      </c>
      <c r="G121" t="s">
        <v>267</v>
      </c>
      <c r="H121" s="27">
        <f>IF($G121&lt;&gt;0,SUMIF(куб!$G:$G,$G121,куб!H:H),IF($E121&lt;&gt;0,SUMIF(куб!$E:$E,$E121,куб!H:H),IF($D121&lt;&gt;0,SUMIF(куб!$D:$D,$D121,куб!H:H),IF($C121&lt;&gt;0,SUMIF(куб!$C:$C,$C121,куб!H:H),IF($B121&lt;&gt;0,SUMIF(куб!$B:$B,$B121,куб!H:H),IF($G121&lt;&gt;0,SUMIF(куб!$A:$A,$G121,куб!H:H),SUMIF(куб!$A:$A,$G121,куб!H:H)))))))</f>
        <v>139219.86859999999</v>
      </c>
      <c r="I121" s="27">
        <f>IF($G121&lt;&gt;0,SUMIF(куб!$G:$G,$G121,куб!I:I),IF($E121&lt;&gt;0,SUMIF(куб!$E:$E,$E121,куб!I:I),IF($D121&lt;&gt;0,SUMIF(куб!$D:$D,$D121,куб!I:I),IF($C121&lt;&gt;0,SUMIF(куб!$C:$C,$C121,куб!I:I),IF($B121&lt;&gt;0,SUMIF(куб!$B:$B,$B121,куб!I:I),IF($G121&lt;&gt;0,SUMIF(куб!$A:$A,$G121,куб!I:I),SUMIF(куб!$A:$A,$G121,куб!I:I)))))))</f>
        <v>945767.4571</v>
      </c>
      <c r="J121" s="19">
        <f t="shared" si="51"/>
        <v>5.7933368032212043</v>
      </c>
      <c r="K121" s="5"/>
      <c r="L121" s="17">
        <f t="shared" si="34"/>
        <v>2.9081527412664205E-4</v>
      </c>
      <c r="M121" s="17">
        <f t="shared" si="35"/>
        <v>2.0165417462815406E-3</v>
      </c>
      <c r="N121" s="12">
        <f t="shared" si="36"/>
        <v>1.7257264721548986E-3</v>
      </c>
      <c r="O121" s="5"/>
      <c r="P121" s="27">
        <f>IF($G121&lt;&gt;0,SUMIF(куб!$G:$G,$G121,куб!J:J),IF($E121&lt;&gt;0,SUMIF(куб!$E:$E,$E121,куб!J:J),IF($D121&lt;&gt;0,SUMIF(куб!$D:$D,$D121,куб!J:J),IF($C121&lt;&gt;0,SUMIF(куб!$C:$C,$C121,куб!J:J),IF($B121&lt;&gt;0,SUMIF(куб!$B:$B,$B121,куб!J:J))))))</f>
        <v>1535</v>
      </c>
      <c r="Q121" s="27">
        <f>IF($G121&lt;&gt;0,SUMIF(куб!$G:$G,$G121,куб!K:K),IF($E121&lt;&gt;0,SUMIF(куб!$E:$E,$E121,куб!K:K),IF($D121&lt;&gt;0,SUMIF(куб!$D:$D,$D121,куб!K:K),IF($C121&lt;&gt;0,SUMIF(куб!$C:$C,$C121,куб!K:K),IF($B121&lt;&gt;0,SUMIF(куб!$B:$B,$B121,куб!K:K))))))</f>
        <v>11169</v>
      </c>
      <c r="R121" s="13">
        <f t="shared" si="37"/>
        <v>6.2762214983713358</v>
      </c>
      <c r="S121" s="5"/>
      <c r="T121" s="27">
        <f>IF($G121&lt;&gt;0,SUMIF(куб!$G:$G,$G121,куб!L:L),IF($E121&lt;&gt;0,SUMIF(куб!$E:$E,$E121,куб!L:L),IF($D121&lt;&gt;0,SUMIF(куб!$D:$D,$D121,куб!L:L),IF($C121&lt;&gt;0,SUMIF(куб!$C:$C,$C121,куб!L:L),IF($B121&lt;&gt;0,SUMIF(куб!$B:$B,$B121,куб!L:L))))))</f>
        <v>1381.4999999999998</v>
      </c>
      <c r="U121" s="27">
        <f>IF($G121&lt;&gt;0,SUMIF(куб!$G:$G,$G121,куб!M:M),IF($E121&lt;&gt;0,SUMIF(куб!$E:$E,$E121,куб!M:M),IF($D121&lt;&gt;0,SUMIF(куб!$D:$D,$D121,куб!M:M),IF($C121&lt;&gt;0,SUMIF(куб!$C:$C,$C121,куб!M:M),IF($B121&lt;&gt;0,SUMIF(куб!$B:$B,$B121,куб!M:M))))))</f>
        <v>10052.100000000004</v>
      </c>
      <c r="V121" s="13">
        <f t="shared" si="38"/>
        <v>6.2762214983713394</v>
      </c>
      <c r="W121" s="5"/>
      <c r="X121" s="27">
        <f>IF($G121&lt;&gt;0,SUMIF(куб!$G:$G,$G121,куб!N:N),IF($E121&lt;&gt;0,SUMIF(куб!$E:$E,$E121,куб!N:N),IF($D121&lt;&gt;0,SUMIF(куб!$D:$D,$D121,куб!N:N),IF($C121&lt;&gt;0,SUMIF(куб!$C:$C,$C121,куб!N:N),IF($B121&lt;&gt;0,SUMIF(куб!$B:$B,$B121,куб!N:N))))))</f>
        <v>17859.515400000004</v>
      </c>
      <c r="Y121" s="27">
        <f>IF($G121&lt;&gt;0,SUMIF(куб!$G:$G,$G121,куб!O:O),IF($E121&lt;&gt;0,SUMIF(куб!$E:$E,$E121,куб!O:O),IF($D121&lt;&gt;0,SUMIF(куб!$D:$D,$D121,куб!O:O),IF($C121&lt;&gt;0,SUMIF(куб!$C:$C,$C121,куб!O:O),IF($B121&lt;&gt;0,SUMIF(куб!$B:$B,$B121,куб!O:O))))))</f>
        <v>149687.54489999951</v>
      </c>
      <c r="Z121" s="13">
        <f t="shared" si="39"/>
        <v>7.3813889429496768</v>
      </c>
      <c r="AA121" s="5"/>
      <c r="AB121" s="33">
        <f t="shared" si="40"/>
        <v>0.12828280603620687</v>
      </c>
      <c r="AC121" s="33">
        <f t="shared" si="41"/>
        <v>0.15827098276249149</v>
      </c>
      <c r="AD121" s="15">
        <f t="shared" si="42"/>
        <v>2.9988176726284621E-2</v>
      </c>
      <c r="AE121" s="5"/>
      <c r="AF121" s="27">
        <f>IF($G121&lt;&gt;0,SUMIF(куб!$G:$G,$G121,куб!R:R),IF($E121&lt;&gt;0,SUMIF(куб!$E:$E,$E121,куб!R:R),IF($D121&lt;&gt;0,SUMIF(куб!$D:$D,$D121,куб!R:R),IF($C121&lt;&gt;0,SUMIF(куб!$C:$C,$C121,куб!R:R),IF($B121&lt;&gt;0,SUMIF(куб!$B:$B,$B121,куб!R:R))))))</f>
        <v>553.63630000000001</v>
      </c>
      <c r="AG121" s="27">
        <f>IF($G121&lt;&gt;0,SUMIF(куб!$G:$G,$G121,куб!S:S),IF($E121&lt;&gt;0,SUMIF(куб!$E:$E,$E121,куб!S:S),IF($D121&lt;&gt;0,SUMIF(куб!$D:$D,$D121,куб!S:S),IF($C121&lt;&gt;0,SUMIF(куб!$C:$C,$C121,куб!S:S),IF($B121&lt;&gt;0,SUMIF(куб!$B:$B,$B121,куб!S:S))))))</f>
        <v>3594.4624999999996</v>
      </c>
      <c r="AH121" s="16">
        <f t="shared" si="43"/>
        <v>5.4924617479020066</v>
      </c>
      <c r="AI121" s="8"/>
      <c r="AJ121" s="27">
        <f>IF($G121&lt;&gt;0,SUMIF(куб!$G:$G,$G121,куб!T:T),IF($E121&lt;&gt;0,SUMIF(куб!$E:$E,$E121,куб!T:T),IF($D121&lt;&gt;0,SUMIF(куб!$D:$D,$D121,куб!T:T),IF($C121&lt;&gt;0,SUMIF(куб!$C:$C,$C121,куб!T:T),IF($B121&lt;&gt;0,SUMIF(куб!$B:$B,$B121,куб!T:T))))))</f>
        <v>7</v>
      </c>
      <c r="AK121" s="27">
        <f>IF($G121&lt;&gt;0,SUMIF(куб!$G:$G,$G121,куб!U:U),IF($E121&lt;&gt;0,SUMIF(куб!$E:$E,$E121,куб!U:U),IF($D121&lt;&gt;0,SUMIF(куб!$D:$D,$D121,куб!U:U),IF($C121&lt;&gt;0,SUMIF(куб!$C:$C,$C121,куб!U:U),IF($B121&lt;&gt;0,SUMIF(куб!$B:$B,$B121,куб!U:U))))))</f>
        <v>50</v>
      </c>
      <c r="AL121" s="16">
        <f t="shared" si="44"/>
        <v>6.1428571428571432</v>
      </c>
      <c r="AM121" s="8"/>
      <c r="AN121" s="17">
        <f t="shared" si="45"/>
        <v>3.9767046583751775E-3</v>
      </c>
      <c r="AO121" s="17">
        <f t="shared" si="46"/>
        <v>3.8005774812993401E-3</v>
      </c>
      <c r="AP121" s="16">
        <f t="shared" si="47"/>
        <v>-1.7612717707583738E-4</v>
      </c>
      <c r="AQ121" s="8"/>
      <c r="AR121" s="17">
        <f t="shared" si="48"/>
        <v>0.1243061013778317</v>
      </c>
      <c r="AS121" s="17">
        <f t="shared" si="49"/>
        <v>0.15447040528119216</v>
      </c>
      <c r="AT121" s="13">
        <f t="shared" si="50"/>
        <v>3.0164303903360459E-2</v>
      </c>
      <c r="AU121" s="8"/>
    </row>
    <row r="122" spans="1:47" ht="15" customHeight="1" x14ac:dyDescent="0.25">
      <c r="A122" s="31" t="s">
        <v>26</v>
      </c>
      <c r="B122" s="31" t="s">
        <v>32</v>
      </c>
      <c r="C122" t="s">
        <v>33</v>
      </c>
      <c r="D122" s="31" t="s">
        <v>34</v>
      </c>
      <c r="E122" t="s">
        <v>203</v>
      </c>
      <c r="F122" s="31" t="s">
        <v>268</v>
      </c>
      <c r="G122" t="s">
        <v>269</v>
      </c>
      <c r="H122" s="27">
        <f>IF($G122&lt;&gt;0,SUMIF(куб!$G:$G,$G122,куб!H:H),IF($E122&lt;&gt;0,SUMIF(куб!$E:$E,$E122,куб!H:H),IF($D122&lt;&gt;0,SUMIF(куб!$D:$D,$D122,куб!H:H),IF($C122&lt;&gt;0,SUMIF(куб!$C:$C,$C122,куб!H:H),IF($B122&lt;&gt;0,SUMIF(куб!$B:$B,$B122,куб!H:H),IF($G122&lt;&gt;0,SUMIF(куб!$A:$A,$G122,куб!H:H),SUMIF(куб!$A:$A,$G122,куб!H:H)))))))</f>
        <v>826124.23920000019</v>
      </c>
      <c r="I122" s="27">
        <f>IF($G122&lt;&gt;0,SUMIF(куб!$G:$G,$G122,куб!I:I),IF($E122&lt;&gt;0,SUMIF(куб!$E:$E,$E122,куб!I:I),IF($D122&lt;&gt;0,SUMIF(куб!$D:$D,$D122,куб!I:I),IF($C122&lt;&gt;0,SUMIF(куб!$C:$C,$C122,куб!I:I),IF($B122&lt;&gt;0,SUMIF(куб!$B:$B,$B122,куб!I:I),IF($G122&lt;&gt;0,SUMIF(куб!$A:$A,$G122,куб!I:I),SUMIF(куб!$A:$A,$G122,куб!I:I)))))))</f>
        <v>570966.82490000012</v>
      </c>
      <c r="J122" s="19">
        <f t="shared" si="51"/>
        <v>-0.30886082527621833</v>
      </c>
      <c r="K122" s="8"/>
      <c r="L122" s="17">
        <f t="shared" si="34"/>
        <v>1.7256843401848442E-3</v>
      </c>
      <c r="M122" s="17">
        <f t="shared" si="35"/>
        <v>1.217401201013129E-3</v>
      </c>
      <c r="N122" s="12">
        <f t="shared" si="36"/>
        <v>-5.0828313917171517E-4</v>
      </c>
      <c r="O122" s="5"/>
      <c r="P122" s="27">
        <f>IF($G122&lt;&gt;0,SUMIF(куб!$G:$G,$G122,куб!J:J),IF($E122&lt;&gt;0,SUMIF(куб!$E:$E,$E122,куб!J:J),IF($D122&lt;&gt;0,SUMIF(куб!$D:$D,$D122,куб!J:J),IF($C122&lt;&gt;0,SUMIF(куб!$C:$C,$C122,куб!J:J),IF($B122&lt;&gt;0,SUMIF(куб!$B:$B,$B122,куб!J:J))))))</f>
        <v>10056</v>
      </c>
      <c r="Q122" s="27">
        <f>IF($G122&lt;&gt;0,SUMIF(куб!$G:$G,$G122,куб!K:K),IF($E122&lt;&gt;0,SUMIF(куб!$E:$E,$E122,куб!K:K),IF($D122&lt;&gt;0,SUMIF(куб!$D:$D,$D122,куб!K:K),IF($C122&lt;&gt;0,SUMIF(куб!$C:$C,$C122,куб!K:K),IF($B122&lt;&gt;0,SUMIF(куб!$B:$B,$B122,куб!K:K))))))</f>
        <v>7297</v>
      </c>
      <c r="R122" s="13">
        <f t="shared" si="37"/>
        <v>-0.27436356404136836</v>
      </c>
      <c r="S122" s="5"/>
      <c r="T122" s="27">
        <f>IF($G122&lt;&gt;0,SUMIF(куб!$G:$G,$G122,куб!L:L),IF($E122&lt;&gt;0,SUMIF(куб!$E:$E,$E122,куб!L:L),IF($D122&lt;&gt;0,SUMIF(куб!$D:$D,$D122,куб!L:L),IF($C122&lt;&gt;0,SUMIF(куб!$C:$C,$C122,куб!L:L),IF($B122&lt;&gt;0,SUMIF(куб!$B:$B,$B122,куб!L:L))))))</f>
        <v>9050.4</v>
      </c>
      <c r="U122" s="27">
        <f>IF($G122&lt;&gt;0,SUMIF(куб!$G:$G,$G122,куб!M:M),IF($E122&lt;&gt;0,SUMIF(куб!$E:$E,$E122,куб!M:M),IF($D122&lt;&gt;0,SUMIF(куб!$D:$D,$D122,куб!M:M),IF($C122&lt;&gt;0,SUMIF(куб!$C:$C,$C122,куб!M:M),IF($B122&lt;&gt;0,SUMIF(куб!$B:$B,$B122,куб!M:M))))))</f>
        <v>6567.2999999999975</v>
      </c>
      <c r="V122" s="13">
        <f t="shared" si="38"/>
        <v>-0.27436356404136858</v>
      </c>
      <c r="W122" s="5"/>
      <c r="X122" s="27">
        <f>IF($G122&lt;&gt;0,SUMIF(куб!$G:$G,$G122,куб!N:N),IF($E122&lt;&gt;0,SUMIF(куб!$E:$E,$E122,куб!N:N),IF($D122&lt;&gt;0,SUMIF(куб!$D:$D,$D122,куб!N:N),IF($C122&lt;&gt;0,SUMIF(куб!$C:$C,$C122,куб!N:N),IF($B122&lt;&gt;0,SUMIF(куб!$B:$B,$B122,куб!N:N))))))</f>
        <v>101264.95179999969</v>
      </c>
      <c r="Y122" s="27">
        <f>IF($G122&lt;&gt;0,SUMIF(куб!$G:$G,$G122,куб!O:O),IF($E122&lt;&gt;0,SUMIF(куб!$E:$E,$E122,куб!O:O),IF($D122&lt;&gt;0,SUMIF(куб!$D:$D,$D122,куб!O:O),IF($C122&lt;&gt;0,SUMIF(куб!$C:$C,$C122,куб!O:O),IF($B122&lt;&gt;0,SUMIF(куб!$B:$B,$B122,куб!O:O))))))</f>
        <v>73090.930900000152</v>
      </c>
      <c r="Z122" s="13">
        <f t="shared" si="39"/>
        <v>-0.27822084935806607</v>
      </c>
      <c r="AA122" s="5"/>
      <c r="AB122" s="33">
        <f t="shared" si="40"/>
        <v>0.12257835685594015</v>
      </c>
      <c r="AC122" s="33">
        <f t="shared" si="41"/>
        <v>0.12801257045503719</v>
      </c>
      <c r="AD122" s="15">
        <f t="shared" si="42"/>
        <v>5.434213599097043E-3</v>
      </c>
      <c r="AE122" s="5"/>
      <c r="AF122" s="27">
        <f>IF($G122&lt;&gt;0,SUMIF(куб!$G:$G,$G122,куб!R:R),IF($E122&lt;&gt;0,SUMIF(куб!$E:$E,$E122,куб!R:R),IF($D122&lt;&gt;0,SUMIF(куб!$D:$D,$D122,куб!R:R),IF($C122&lt;&gt;0,SUMIF(куб!$C:$C,$C122,куб!R:R),IF($B122&lt;&gt;0,SUMIF(куб!$B:$B,$B122,куб!R:R))))))</f>
        <v>43143.955200000011</v>
      </c>
      <c r="AG122" s="27">
        <f>IF($G122&lt;&gt;0,SUMIF(куб!$G:$G,$G122,куб!S:S),IF($E122&lt;&gt;0,SUMIF(куб!$E:$E,$E122,куб!S:S),IF($D122&lt;&gt;0,SUMIF(куб!$D:$D,$D122,куб!S:S),IF($C122&lt;&gt;0,SUMIF(куб!$C:$C,$C122,куб!S:S),IF($B122&lt;&gt;0,SUMIF(куб!$B:$B,$B122,куб!S:S))))))</f>
        <v>11189.266699999998</v>
      </c>
      <c r="AH122" s="16">
        <f t="shared" si="43"/>
        <v>-0.74065273690994382</v>
      </c>
      <c r="AI122" s="8"/>
      <c r="AJ122" s="27">
        <f>IF($G122&lt;&gt;0,SUMIF(куб!$G:$G,$G122,куб!T:T),IF($E122&lt;&gt;0,SUMIF(куб!$E:$E,$E122,куб!T:T),IF($D122&lt;&gt;0,SUMIF(куб!$D:$D,$D122,куб!T:T),IF($C122&lt;&gt;0,SUMIF(куб!$C:$C,$C122,куб!T:T),IF($B122&lt;&gt;0,SUMIF(куб!$B:$B,$B122,куб!T:T))))))</f>
        <v>596</v>
      </c>
      <c r="AK122" s="27">
        <f>IF($G122&lt;&gt;0,SUMIF(куб!$G:$G,$G122,куб!U:U),IF($E122&lt;&gt;0,SUMIF(куб!$E:$E,$E122,куб!U:U),IF($D122&lt;&gt;0,SUMIF(куб!$D:$D,$D122,куб!U:U),IF($C122&lt;&gt;0,SUMIF(куб!$C:$C,$C122,куб!U:U),IF($B122&lt;&gt;0,SUMIF(куб!$B:$B,$B122,куб!U:U))))))</f>
        <v>164</v>
      </c>
      <c r="AL122" s="16">
        <f t="shared" si="44"/>
        <v>-0.72483221476510062</v>
      </c>
      <c r="AM122" s="8"/>
      <c r="AN122" s="17">
        <f t="shared" si="45"/>
        <v>5.2224536156667709E-2</v>
      </c>
      <c r="AO122" s="17">
        <f t="shared" si="46"/>
        <v>1.9597052248980843E-2</v>
      </c>
      <c r="AP122" s="16">
        <f t="shared" si="47"/>
        <v>-3.2627483907686869E-2</v>
      </c>
      <c r="AQ122" s="8"/>
      <c r="AR122" s="17">
        <f t="shared" si="48"/>
        <v>7.0353820699272457E-2</v>
      </c>
      <c r="AS122" s="17">
        <f t="shared" si="49"/>
        <v>0.10841551820605635</v>
      </c>
      <c r="AT122" s="13">
        <f t="shared" si="50"/>
        <v>3.8061697506783898E-2</v>
      </c>
      <c r="AU122" s="8"/>
    </row>
    <row r="123" spans="1:47" ht="15" customHeight="1" x14ac:dyDescent="0.25">
      <c r="A123" s="31" t="s">
        <v>26</v>
      </c>
      <c r="B123" s="31" t="s">
        <v>32</v>
      </c>
      <c r="C123" t="s">
        <v>33</v>
      </c>
      <c r="D123" s="31" t="s">
        <v>34</v>
      </c>
      <c r="E123" t="s">
        <v>203</v>
      </c>
      <c r="F123" s="31" t="s">
        <v>270</v>
      </c>
      <c r="G123" t="s">
        <v>271</v>
      </c>
      <c r="H123" s="27">
        <f>IF($G123&lt;&gt;0,SUMIF(куб!$G:$G,$G123,куб!H:H),IF($E123&lt;&gt;0,SUMIF(куб!$E:$E,$E123,куб!H:H),IF($D123&lt;&gt;0,SUMIF(куб!$D:$D,$D123,куб!H:H),IF($C123&lt;&gt;0,SUMIF(куб!$C:$C,$C123,куб!H:H),IF($B123&lt;&gt;0,SUMIF(куб!$B:$B,$B123,куб!H:H),IF($G123&lt;&gt;0,SUMIF(куб!$A:$A,$G123,куб!H:H),SUMIF(куб!$A:$A,$G123,куб!H:H)))))))</f>
        <v>421289.47289999999</v>
      </c>
      <c r="I123" s="27">
        <f>IF($G123&lt;&gt;0,SUMIF(куб!$G:$G,$G123,куб!I:I),IF($E123&lt;&gt;0,SUMIF(куб!$E:$E,$E123,куб!I:I),IF($D123&lt;&gt;0,SUMIF(куб!$D:$D,$D123,куб!I:I),IF($C123&lt;&gt;0,SUMIF(куб!$C:$C,$C123,куб!I:I),IF($B123&lt;&gt;0,SUMIF(куб!$B:$B,$B123,куб!I:I),IF($G123&lt;&gt;0,SUMIF(куб!$A:$A,$G123,куб!I:I),SUMIF(куб!$A:$A,$G123,куб!I:I)))))))</f>
        <v>110133.93239999998</v>
      </c>
      <c r="J123" s="19">
        <f t="shared" si="51"/>
        <v>-0.73857895939844176</v>
      </c>
      <c r="K123" s="10"/>
      <c r="L123" s="17">
        <f t="shared" si="34"/>
        <v>8.8002822284004116E-4</v>
      </c>
      <c r="M123" s="17">
        <f t="shared" si="35"/>
        <v>2.3482481946221864E-4</v>
      </c>
      <c r="N123" s="12">
        <f t="shared" si="36"/>
        <v>-6.4520340337782247E-4</v>
      </c>
      <c r="O123" s="5"/>
      <c r="P123" s="27">
        <f>IF($G123&lt;&gt;0,SUMIF(куб!$G:$G,$G123,куб!J:J),IF($E123&lt;&gt;0,SUMIF(куб!$E:$E,$E123,куб!J:J),IF($D123&lt;&gt;0,SUMIF(куб!$D:$D,$D123,куб!J:J),IF($C123&lt;&gt;0,SUMIF(куб!$C:$C,$C123,куб!J:J),IF($B123&lt;&gt;0,SUMIF(куб!$B:$B,$B123,куб!J:J))))))</f>
        <v>3244</v>
      </c>
      <c r="Q123" s="27">
        <f>IF($G123&lt;&gt;0,SUMIF(куб!$G:$G,$G123,куб!K:K),IF($E123&lt;&gt;0,SUMIF(куб!$E:$E,$E123,куб!K:K),IF($D123&lt;&gt;0,SUMIF(куб!$D:$D,$D123,куб!K:K),IF($C123&lt;&gt;0,SUMIF(куб!$C:$C,$C123,куб!K:K),IF($B123&lt;&gt;0,SUMIF(куб!$B:$B,$B123,куб!K:K))))))</f>
        <v>848</v>
      </c>
      <c r="R123" s="13">
        <f t="shared" si="37"/>
        <v>-0.73859432799013558</v>
      </c>
      <c r="S123" s="5"/>
      <c r="T123" s="27">
        <f>IF($G123&lt;&gt;0,SUMIF(куб!$G:$G,$G123,куб!L:L),IF($E123&lt;&gt;0,SUMIF(куб!$E:$E,$E123,куб!L:L),IF($D123&lt;&gt;0,SUMIF(куб!$D:$D,$D123,куб!L:L),IF($C123&lt;&gt;0,SUMIF(куб!$C:$C,$C123,куб!L:L),IF($B123&lt;&gt;0,SUMIF(куб!$B:$B,$B123,куб!L:L))))))</f>
        <v>4541.6000000000004</v>
      </c>
      <c r="U123" s="27">
        <f>IF($G123&lt;&gt;0,SUMIF(куб!$G:$G,$G123,куб!M:M),IF($E123&lt;&gt;0,SUMIF(куб!$E:$E,$E123,куб!M:M),IF($D123&lt;&gt;0,SUMIF(куб!$D:$D,$D123,куб!M:M),IF($C123&lt;&gt;0,SUMIF(куб!$C:$C,$C123,куб!M:M),IF($B123&lt;&gt;0,SUMIF(куб!$B:$B,$B123,куб!M:M))))))</f>
        <v>1187.2</v>
      </c>
      <c r="V123" s="13">
        <f t="shared" si="38"/>
        <v>-0.73859432799013569</v>
      </c>
      <c r="W123" s="5"/>
      <c r="X123" s="27">
        <f>IF($G123&lt;&gt;0,SUMIF(куб!$G:$G,$G123,куб!N:N),IF($E123&lt;&gt;0,SUMIF(куб!$E:$E,$E123,куб!N:N),IF($D123&lt;&gt;0,SUMIF(куб!$D:$D,$D123,куб!N:N),IF($C123&lt;&gt;0,SUMIF(куб!$C:$C,$C123,куб!N:N),IF($B123&lt;&gt;0,SUMIF(куб!$B:$B,$B123,куб!N:N))))))</f>
        <v>52931.68200000003</v>
      </c>
      <c r="Y123" s="27">
        <f>IF($G123&lt;&gt;0,SUMIF(куб!$G:$G,$G123,куб!O:O),IF($E123&lt;&gt;0,SUMIF(куб!$E:$E,$E123,куб!O:O),IF($D123&lt;&gt;0,SUMIF(куб!$D:$D,$D123,куб!O:O),IF($C123&lt;&gt;0,SUMIF(куб!$C:$C,$C123,куб!O:O),IF($B123&lt;&gt;0,SUMIF(куб!$B:$B,$B123,куб!O:O))))))</f>
        <v>13847.393899999966</v>
      </c>
      <c r="Z123" s="13">
        <f t="shared" si="39"/>
        <v>-0.7383911982997261</v>
      </c>
      <c r="AA123" s="5"/>
      <c r="AB123" s="33">
        <f t="shared" si="40"/>
        <v>0.12564207131889155</v>
      </c>
      <c r="AC123" s="33">
        <f t="shared" si="41"/>
        <v>0.1257323115432494</v>
      </c>
      <c r="AD123" s="15">
        <f t="shared" si="42"/>
        <v>9.0240224357857057E-5</v>
      </c>
      <c r="AE123" s="5"/>
      <c r="AF123" s="27">
        <f>IF($G123&lt;&gt;0,SUMIF(куб!$G:$G,$G123,куб!R:R),IF($E123&lt;&gt;0,SUMIF(куб!$E:$E,$E123,куб!R:R),IF($D123&lt;&gt;0,SUMIF(куб!$D:$D,$D123,куб!R:R),IF($C123&lt;&gt;0,SUMIF(куб!$C:$C,$C123,куб!R:R),IF($B123&lt;&gt;0,SUMIF(куб!$B:$B,$B123,куб!R:R))))))</f>
        <v>794.81790000000001</v>
      </c>
      <c r="AG123" s="27">
        <f>IF($G123&lt;&gt;0,SUMIF(куб!$G:$G,$G123,куб!S:S),IF($E123&lt;&gt;0,SUMIF(куб!$E:$E,$E123,куб!S:S),IF($D123&lt;&gt;0,SUMIF(куб!$D:$D,$D123,куб!S:S),IF($C123&lt;&gt;0,SUMIF(куб!$C:$C,$C123,куб!S:S),IF($B123&lt;&gt;0,SUMIF(куб!$B:$B,$B123,куб!S:S))))))</f>
        <v>340.63630000000001</v>
      </c>
      <c r="AH123" s="16">
        <f t="shared" si="43"/>
        <v>-0.57142849953429586</v>
      </c>
      <c r="AI123" s="8"/>
      <c r="AJ123" s="27">
        <f>IF($G123&lt;&gt;0,SUMIF(куб!$G:$G,$G123,куб!T:T),IF($E123&lt;&gt;0,SUMIF(куб!$E:$E,$E123,куб!T:T),IF($D123&lt;&gt;0,SUMIF(куб!$D:$D,$D123,куб!T:T),IF($C123&lt;&gt;0,SUMIF(куб!$C:$C,$C123,куб!T:T),IF($B123&lt;&gt;0,SUMIF(куб!$B:$B,$B123,куб!T:T))))))</f>
        <v>7</v>
      </c>
      <c r="AK123" s="27">
        <f>IF($G123&lt;&gt;0,SUMIF(куб!$G:$G,$G123,куб!U:U),IF($E123&lt;&gt;0,SUMIF(куб!$E:$E,$E123,куб!U:U),IF($D123&lt;&gt;0,SUMIF(куб!$D:$D,$D123,куб!U:U),IF($C123&lt;&gt;0,SUMIF(куб!$C:$C,$C123,куб!U:U),IF($B123&lt;&gt;0,SUMIF(куб!$B:$B,$B123,куб!U:U))))))</f>
        <v>3</v>
      </c>
      <c r="AL123" s="16">
        <f t="shared" si="44"/>
        <v>-0.5714285714285714</v>
      </c>
      <c r="AM123" s="8"/>
      <c r="AN123" s="17">
        <f t="shared" si="45"/>
        <v>1.8866312859155234E-3</v>
      </c>
      <c r="AO123" s="17">
        <f t="shared" si="46"/>
        <v>3.0929277887111937E-3</v>
      </c>
      <c r="AP123" s="16">
        <f t="shared" si="47"/>
        <v>1.2062965027956703E-3</v>
      </c>
      <c r="AQ123" s="8"/>
      <c r="AR123" s="17">
        <f t="shared" si="48"/>
        <v>0.12375544003297603</v>
      </c>
      <c r="AS123" s="17">
        <f t="shared" si="49"/>
        <v>0.12263938375453821</v>
      </c>
      <c r="AT123" s="13">
        <f t="shared" si="50"/>
        <v>-1.1160562784378186E-3</v>
      </c>
      <c r="AU123" s="8"/>
    </row>
    <row r="124" spans="1:47" ht="15" customHeight="1" x14ac:dyDescent="0.25">
      <c r="A124" s="31" t="s">
        <v>26</v>
      </c>
      <c r="B124" s="31" t="s">
        <v>32</v>
      </c>
      <c r="C124" t="s">
        <v>33</v>
      </c>
      <c r="D124" s="31" t="s">
        <v>34</v>
      </c>
      <c r="E124" t="s">
        <v>203</v>
      </c>
      <c r="F124" s="31" t="s">
        <v>272</v>
      </c>
      <c r="G124" t="s">
        <v>273</v>
      </c>
      <c r="H124" s="27">
        <f>IF($G124&lt;&gt;0,SUMIF(куб!$G:$G,$G124,куб!H:H),IF($E124&lt;&gt;0,SUMIF(куб!$E:$E,$E124,куб!H:H),IF($D124&lt;&gt;0,SUMIF(куб!$D:$D,$D124,куб!H:H),IF($C124&lt;&gt;0,SUMIF(куб!$C:$C,$C124,куб!H:H),IF($B124&lt;&gt;0,SUMIF(куб!$B:$B,$B124,куб!H:H),IF($G124&lt;&gt;0,SUMIF(куб!$A:$A,$G124,куб!H:H),SUMIF(куб!$A:$A,$G124,куб!H:H)))))))</f>
        <v>183558.87179999996</v>
      </c>
      <c r="I124" s="27">
        <f>IF($G124&lt;&gt;0,SUMIF(куб!$G:$G,$G124,куб!I:I),IF($E124&lt;&gt;0,SUMIF(куб!$E:$E,$E124,куб!I:I),IF($D124&lt;&gt;0,SUMIF(куб!$D:$D,$D124,куб!I:I),IF($C124&lt;&gt;0,SUMIF(куб!$C:$C,$C124,куб!I:I),IF($B124&lt;&gt;0,SUMIF(куб!$B:$B,$B124,куб!I:I),IF($G124&lt;&gt;0,SUMIF(куб!$A:$A,$G124,куб!I:I),SUMIF(куб!$A:$A,$G124,куб!I:I)))))))</f>
        <v>0</v>
      </c>
      <c r="J124" s="19">
        <f t="shared" si="51"/>
        <v>-1</v>
      </c>
      <c r="K124" s="5"/>
      <c r="L124" s="17">
        <f t="shared" si="34"/>
        <v>3.834346645899229E-4</v>
      </c>
      <c r="M124" s="17">
        <f t="shared" si="35"/>
        <v>0</v>
      </c>
      <c r="N124" s="12">
        <f t="shared" si="36"/>
        <v>-3.834346645899229E-4</v>
      </c>
      <c r="O124" s="5"/>
      <c r="P124" s="27">
        <f>IF($G124&lt;&gt;0,SUMIF(куб!$G:$G,$G124,куб!J:J),IF($E124&lt;&gt;0,SUMIF(куб!$E:$E,$E124,куб!J:J),IF($D124&lt;&gt;0,SUMIF(куб!$D:$D,$D124,куб!J:J),IF($C124&lt;&gt;0,SUMIF(куб!$C:$C,$C124,куб!J:J),IF($B124&lt;&gt;0,SUMIF(куб!$B:$B,$B124,куб!J:J))))))</f>
        <v>2151</v>
      </c>
      <c r="Q124" s="27">
        <f>IF($G124&lt;&gt;0,SUMIF(куб!$G:$G,$G124,куб!K:K),IF($E124&lt;&gt;0,SUMIF(куб!$E:$E,$E124,куб!K:K),IF($D124&lt;&gt;0,SUMIF(куб!$D:$D,$D124,куб!K:K),IF($C124&lt;&gt;0,SUMIF(куб!$C:$C,$C124,куб!K:K),IF($B124&lt;&gt;0,SUMIF(куб!$B:$B,$B124,куб!K:K))))))</f>
        <v>0</v>
      </c>
      <c r="R124" s="13">
        <f t="shared" si="37"/>
        <v>-1</v>
      </c>
      <c r="S124" s="5"/>
      <c r="T124" s="27">
        <f>IF($G124&lt;&gt;0,SUMIF(куб!$G:$G,$G124,куб!L:L),IF($E124&lt;&gt;0,SUMIF(куб!$E:$E,$E124,куб!L:L),IF($D124&lt;&gt;0,SUMIF(куб!$D:$D,$D124,куб!L:L),IF($C124&lt;&gt;0,SUMIF(куб!$C:$C,$C124,куб!L:L),IF($B124&lt;&gt;0,SUMIF(куб!$B:$B,$B124,куб!L:L))))))</f>
        <v>1935.8999999999994</v>
      </c>
      <c r="U124" s="27">
        <f>IF($G124&lt;&gt;0,SUMIF(куб!$G:$G,$G124,куб!M:M),IF($E124&lt;&gt;0,SUMIF(куб!$E:$E,$E124,куб!M:M),IF($D124&lt;&gt;0,SUMIF(куб!$D:$D,$D124,куб!M:M),IF($C124&lt;&gt;0,SUMIF(куб!$C:$C,$C124,куб!M:M),IF($B124&lt;&gt;0,SUMIF(куб!$B:$B,$B124,куб!M:M))))))</f>
        <v>0</v>
      </c>
      <c r="V124" s="13">
        <f t="shared" si="38"/>
        <v>-1</v>
      </c>
      <c r="W124" s="5"/>
      <c r="X124" s="27">
        <f>IF($G124&lt;&gt;0,SUMIF(куб!$G:$G,$G124,куб!N:N),IF($E124&lt;&gt;0,SUMIF(куб!$E:$E,$E124,куб!N:N),IF($D124&lt;&gt;0,SUMIF(куб!$D:$D,$D124,куб!N:N),IF($C124&lt;&gt;0,SUMIF(куб!$C:$C,$C124,куб!N:N),IF($B124&lt;&gt;0,SUMIF(куб!$B:$B,$B124,куб!N:N))))))</f>
        <v>23963.071699999913</v>
      </c>
      <c r="Y124" s="27">
        <f>IF($G124&lt;&gt;0,SUMIF(куб!$G:$G,$G124,куб!O:O),IF($E124&lt;&gt;0,SUMIF(куб!$E:$E,$E124,куб!O:O),IF($D124&lt;&gt;0,SUMIF(куб!$D:$D,$D124,куб!O:O),IF($C124&lt;&gt;0,SUMIF(куб!$C:$C,$C124,куб!O:O),IF($B124&lt;&gt;0,SUMIF(куб!$B:$B,$B124,куб!O:O))))))</f>
        <v>0</v>
      </c>
      <c r="Z124" s="13">
        <f t="shared" si="39"/>
        <v>-1</v>
      </c>
      <c r="AA124" s="5"/>
      <c r="AB124" s="33">
        <f t="shared" si="40"/>
        <v>0.13054706353888104</v>
      </c>
      <c r="AC124" s="33" t="str">
        <f t="shared" si="41"/>
        <v/>
      </c>
      <c r="AD124" s="15" t="str">
        <f t="shared" si="42"/>
        <v xml:space="preserve"> </v>
      </c>
      <c r="AE124" s="5"/>
      <c r="AF124" s="27">
        <f>IF($G124&lt;&gt;0,SUMIF(куб!$G:$G,$G124,куб!R:R),IF($E124&lt;&gt;0,SUMIF(куб!$E:$E,$E124,куб!R:R),IF($D124&lt;&gt;0,SUMIF(куб!$D:$D,$D124,куб!R:R),IF($C124&lt;&gt;0,SUMIF(куб!$C:$C,$C124,куб!R:R),IF($B124&lt;&gt;0,SUMIF(куб!$B:$B,$B124,куб!R:R))))))</f>
        <v>1409.6270999999999</v>
      </c>
      <c r="AG124" s="27">
        <f>IF($G124&lt;&gt;0,SUMIF(куб!$G:$G,$G124,куб!S:S),IF($E124&lt;&gt;0,SUMIF(куб!$E:$E,$E124,куб!S:S),IF($D124&lt;&gt;0,SUMIF(куб!$D:$D,$D124,куб!S:S),IF($C124&lt;&gt;0,SUMIF(куб!$C:$C,$C124,куб!S:S),IF($B124&lt;&gt;0,SUMIF(куб!$B:$B,$B124,куб!S:S))))))</f>
        <v>0</v>
      </c>
      <c r="AH124" s="16">
        <f t="shared" si="43"/>
        <v>-1</v>
      </c>
      <c r="AI124" s="8"/>
      <c r="AJ124" s="27">
        <f>IF($G124&lt;&gt;0,SUMIF(куб!$G:$G,$G124,куб!T:T),IF($E124&lt;&gt;0,SUMIF(куб!$E:$E,$E124,куб!T:T),IF($D124&lt;&gt;0,SUMIF(куб!$D:$D,$D124,куб!T:T),IF($C124&lt;&gt;0,SUMIF(куб!$C:$C,$C124,куб!T:T),IF($B124&lt;&gt;0,SUMIF(куб!$B:$B,$B124,куб!T:T))))))</f>
        <v>19</v>
      </c>
      <c r="AK124" s="27">
        <f>IF($G124&lt;&gt;0,SUMIF(куб!$G:$G,$G124,куб!U:U),IF($E124&lt;&gt;0,SUMIF(куб!$E:$E,$E124,куб!U:U),IF($D124&lt;&gt;0,SUMIF(куб!$D:$D,$D124,куб!U:U),IF($C124&lt;&gt;0,SUMIF(куб!$C:$C,$C124,куб!U:U),IF($B124&lt;&gt;0,SUMIF(куб!$B:$B,$B124,куб!U:U))))))</f>
        <v>0</v>
      </c>
      <c r="AL124" s="16">
        <f t="shared" si="44"/>
        <v>-1</v>
      </c>
      <c r="AM124" s="8"/>
      <c r="AN124" s="17">
        <f t="shared" si="45"/>
        <v>7.679427783451871E-3</v>
      </c>
      <c r="AO124" s="17" t="str">
        <f t="shared" si="46"/>
        <v xml:space="preserve"> </v>
      </c>
      <c r="AP124" s="16" t="str">
        <f t="shared" si="47"/>
        <v>-</v>
      </c>
      <c r="AQ124" s="8"/>
      <c r="AR124" s="17">
        <f t="shared" si="48"/>
        <v>0.12286763575542915</v>
      </c>
      <c r="AS124" s="17" t="str">
        <f t="shared" si="49"/>
        <v>-</v>
      </c>
      <c r="AT124" s="13" t="str">
        <f t="shared" si="50"/>
        <v>-</v>
      </c>
      <c r="AU124" s="8"/>
    </row>
    <row r="125" spans="1:47" ht="15" customHeight="1" x14ac:dyDescent="0.25">
      <c r="A125" s="31" t="s">
        <v>26</v>
      </c>
      <c r="B125" s="31" t="s">
        <v>32</v>
      </c>
      <c r="C125" t="s">
        <v>33</v>
      </c>
      <c r="D125" s="31" t="s">
        <v>34</v>
      </c>
      <c r="E125" t="s">
        <v>203</v>
      </c>
      <c r="F125" s="31" t="s">
        <v>274</v>
      </c>
      <c r="G125" t="s">
        <v>275</v>
      </c>
      <c r="H125" s="27">
        <f>IF($G125&lt;&gt;0,SUMIF(куб!$G:$G,$G125,куб!H:H),IF($E125&lt;&gt;0,SUMIF(куб!$E:$E,$E125,куб!H:H),IF($D125&lt;&gt;0,SUMIF(куб!$D:$D,$D125,куб!H:H),IF($C125&lt;&gt;0,SUMIF(куб!$C:$C,$C125,куб!H:H),IF($B125&lt;&gt;0,SUMIF(куб!$B:$B,$B125,куб!H:H),IF($G125&lt;&gt;0,SUMIF(куб!$A:$A,$G125,куб!H:H),SUMIF(куб!$A:$A,$G125,куб!H:H)))))))</f>
        <v>650007.60309999995</v>
      </c>
      <c r="I125" s="27">
        <f>IF($G125&lt;&gt;0,SUMIF(куб!$G:$G,$G125,куб!I:I),IF($E125&lt;&gt;0,SUMIF(куб!$E:$E,$E125,куб!I:I),IF($D125&lt;&gt;0,SUMIF(куб!$D:$D,$D125,куб!I:I),IF($C125&lt;&gt;0,SUMIF(куб!$C:$C,$C125,куб!I:I),IF($B125&lt;&gt;0,SUMIF(куб!$B:$B,$B125,куб!I:I),IF($G125&lt;&gt;0,SUMIF(куб!$A:$A,$G125,куб!I:I),SUMIF(куб!$A:$A,$G125,куб!I:I)))))))</f>
        <v>573182.56400000001</v>
      </c>
      <c r="J125" s="19">
        <f t="shared" si="51"/>
        <v>-0.11819098535710643</v>
      </c>
      <c r="K125" s="5"/>
      <c r="L125" s="17">
        <f t="shared" si="34"/>
        <v>1.3577957024442132E-3</v>
      </c>
      <c r="M125" s="17">
        <f t="shared" si="35"/>
        <v>1.2221255445718708E-3</v>
      </c>
      <c r="N125" s="12">
        <f t="shared" si="36"/>
        <v>-1.3567015787234243E-4</v>
      </c>
      <c r="O125" s="5"/>
      <c r="P125" s="27">
        <f>IF($G125&lt;&gt;0,SUMIF(куб!$G:$G,$G125,куб!J:J),IF($E125&lt;&gt;0,SUMIF(куб!$E:$E,$E125,куб!J:J),IF($D125&lt;&gt;0,SUMIF(куб!$D:$D,$D125,куб!J:J),IF($C125&lt;&gt;0,SUMIF(куб!$C:$C,$C125,куб!J:J),IF($B125&lt;&gt;0,SUMIF(куб!$B:$B,$B125,куб!J:J))))))</f>
        <v>9936</v>
      </c>
      <c r="Q125" s="27">
        <f>IF($G125&lt;&gt;0,SUMIF(куб!$G:$G,$G125,куб!K:K),IF($E125&lt;&gt;0,SUMIF(куб!$E:$E,$E125,куб!K:K),IF($D125&lt;&gt;0,SUMIF(куб!$D:$D,$D125,куб!K:K),IF($C125&lt;&gt;0,SUMIF(куб!$C:$C,$C125,куб!K:K),IF($B125&lt;&gt;0,SUMIF(куб!$B:$B,$B125,куб!K:K))))))</f>
        <v>8307</v>
      </c>
      <c r="R125" s="13">
        <f t="shared" si="37"/>
        <v>-0.16394927536231885</v>
      </c>
      <c r="S125" s="5"/>
      <c r="T125" s="27">
        <f>IF($G125&lt;&gt;0,SUMIF(куб!$G:$G,$G125,куб!L:L),IF($E125&lt;&gt;0,SUMIF(куб!$E:$E,$E125,куб!L:L),IF($D125&lt;&gt;0,SUMIF(куб!$D:$D,$D125,куб!L:L),IF($C125&lt;&gt;0,SUMIF(куб!$C:$C,$C125,куб!L:L),IF($B125&lt;&gt;0,SUMIF(куб!$B:$B,$B125,куб!L:L))))))</f>
        <v>8942.4</v>
      </c>
      <c r="U125" s="27">
        <f>IF($G125&lt;&gt;0,SUMIF(куб!$G:$G,$G125,куб!M:M),IF($E125&lt;&gt;0,SUMIF(куб!$E:$E,$E125,куб!M:M),IF($D125&lt;&gt;0,SUMIF(куб!$D:$D,$D125,куб!M:M),IF($C125&lt;&gt;0,SUMIF(куб!$C:$C,$C125,куб!M:M),IF($B125&lt;&gt;0,SUMIF(куб!$B:$B,$B125,куб!M:M))))))</f>
        <v>7476.2999999999993</v>
      </c>
      <c r="V125" s="13">
        <f t="shared" si="38"/>
        <v>-0.16394927536231887</v>
      </c>
      <c r="W125" s="5"/>
      <c r="X125" s="27">
        <f>IF($G125&lt;&gt;0,SUMIF(куб!$G:$G,$G125,куб!N:N),IF($E125&lt;&gt;0,SUMIF(куб!$E:$E,$E125,куб!N:N),IF($D125&lt;&gt;0,SUMIF(куб!$D:$D,$D125,куб!N:N),IF($C125&lt;&gt;0,SUMIF(куб!$C:$C,$C125,куб!N:N),IF($B125&lt;&gt;0,SUMIF(куб!$B:$B,$B125,куб!N:N))))))</f>
        <v>47238.238800000167</v>
      </c>
      <c r="Y125" s="27">
        <f>IF($G125&lt;&gt;0,SUMIF(куб!$G:$G,$G125,куб!O:O),IF($E125&lt;&gt;0,SUMIF(куб!$E:$E,$E125,куб!O:O),IF($D125&lt;&gt;0,SUMIF(куб!$D:$D,$D125,куб!O:O),IF($C125&lt;&gt;0,SUMIF(куб!$C:$C,$C125,куб!O:O),IF($B125&lt;&gt;0,SUMIF(куб!$B:$B,$B125,куб!O:O))))))</f>
        <v>75566.161300000153</v>
      </c>
      <c r="Z125" s="13">
        <f t="shared" si="39"/>
        <v>0.59968202074459831</v>
      </c>
      <c r="AA125" s="5"/>
      <c r="AB125" s="33">
        <f t="shared" si="40"/>
        <v>7.2673363472538999E-2</v>
      </c>
      <c r="AC125" s="33">
        <f t="shared" si="41"/>
        <v>0.13183611303989379</v>
      </c>
      <c r="AD125" s="15">
        <f t="shared" si="42"/>
        <v>5.9162749567354789E-2</v>
      </c>
      <c r="AE125" s="5"/>
      <c r="AF125" s="27">
        <f>IF($G125&lt;&gt;0,SUMIF(куб!$G:$G,$G125,куб!R:R),IF($E125&lt;&gt;0,SUMIF(куб!$E:$E,$E125,куб!R:R),IF($D125&lt;&gt;0,SUMIF(куб!$D:$D,$D125,куб!R:R),IF($C125&lt;&gt;0,SUMIF(куб!$C:$C,$C125,куб!R:R),IF($B125&lt;&gt;0,SUMIF(куб!$B:$B,$B125,куб!R:R))))))</f>
        <v>7825.6057999999975</v>
      </c>
      <c r="AG125" s="27">
        <f>IF($G125&lt;&gt;0,SUMIF(куб!$G:$G,$G125,куб!S:S),IF($E125&lt;&gt;0,SUMIF(куб!$E:$E,$E125,куб!S:S),IF($D125&lt;&gt;0,SUMIF(куб!$D:$D,$D125,куб!S:S),IF($C125&lt;&gt;0,SUMIF(куб!$C:$C,$C125,куб!S:S),IF($B125&lt;&gt;0,SUMIF(куб!$B:$B,$B125,куб!S:S))))))</f>
        <v>9093.1317999999992</v>
      </c>
      <c r="AH125" s="16">
        <f t="shared" si="43"/>
        <v>0.16197161375033764</v>
      </c>
      <c r="AI125" s="8"/>
      <c r="AJ125" s="27">
        <f>IF($G125&lt;&gt;0,SUMIF(куб!$G:$G,$G125,куб!T:T),IF($E125&lt;&gt;0,SUMIF(куб!$E:$E,$E125,куб!T:T),IF($D125&lt;&gt;0,SUMIF(куб!$D:$D,$D125,куб!T:T),IF($C125&lt;&gt;0,SUMIF(куб!$C:$C,$C125,куб!T:T),IF($B125&lt;&gt;0,SUMIF(куб!$B:$B,$B125,куб!T:T))))))</f>
        <v>129</v>
      </c>
      <c r="AK125" s="27">
        <f>IF($G125&lt;&gt;0,SUMIF(куб!$G:$G,$G125,куб!U:U),IF($E125&lt;&gt;0,SUMIF(куб!$E:$E,$E125,куб!U:U),IF($D125&lt;&gt;0,SUMIF(куб!$D:$D,$D125,куб!U:U),IF($C125&lt;&gt;0,SUMIF(куб!$C:$C,$C125,куб!U:U),IF($B125&lt;&gt;0,SUMIF(куб!$B:$B,$B125,куб!U:U))))))</f>
        <v>146</v>
      </c>
      <c r="AL125" s="16">
        <f t="shared" si="44"/>
        <v>0.13178294573643412</v>
      </c>
      <c r="AM125" s="8"/>
      <c r="AN125" s="17">
        <f t="shared" si="45"/>
        <v>1.2039252714396438E-2</v>
      </c>
      <c r="AO125" s="17">
        <f t="shared" si="46"/>
        <v>1.586428543210187E-2</v>
      </c>
      <c r="AP125" s="16">
        <f t="shared" si="47"/>
        <v>3.8250327177054323E-3</v>
      </c>
      <c r="AQ125" s="8"/>
      <c r="AR125" s="17">
        <f t="shared" si="48"/>
        <v>6.0634110758142568E-2</v>
      </c>
      <c r="AS125" s="17">
        <f t="shared" si="49"/>
        <v>0.1159718276077919</v>
      </c>
      <c r="AT125" s="13">
        <f t="shared" si="50"/>
        <v>5.5337716849649332E-2</v>
      </c>
      <c r="AU125" s="8"/>
    </row>
    <row r="126" spans="1:47" ht="15" customHeight="1" x14ac:dyDescent="0.25">
      <c r="A126" s="31" t="s">
        <v>26</v>
      </c>
      <c r="B126" s="31" t="s">
        <v>32</v>
      </c>
      <c r="C126" t="s">
        <v>33</v>
      </c>
      <c r="D126" s="31" t="s">
        <v>34</v>
      </c>
      <c r="E126" t="s">
        <v>203</v>
      </c>
      <c r="F126" s="31" t="s">
        <v>276</v>
      </c>
      <c r="G126" t="s">
        <v>277</v>
      </c>
      <c r="H126" s="27">
        <f>IF($G126&lt;&gt;0,SUMIF(куб!$G:$G,$G126,куб!H:H),IF($E126&lt;&gt;0,SUMIF(куб!$E:$E,$E126,куб!H:H),IF($D126&lt;&gt;0,SUMIF(куб!$D:$D,$D126,куб!H:H),IF($C126&lt;&gt;0,SUMIF(куб!$C:$C,$C126,куб!H:H),IF($B126&lt;&gt;0,SUMIF(куб!$B:$B,$B126,куб!H:H),IF($G126&lt;&gt;0,SUMIF(куб!$A:$A,$G126,куб!H:H),SUMIF(куб!$A:$A,$G126,куб!H:H)))))))</f>
        <v>6413.5887999999986</v>
      </c>
      <c r="I126" s="27">
        <f>IF($G126&lt;&gt;0,SUMIF(куб!$G:$G,$G126,куб!I:I),IF($E126&lt;&gt;0,SUMIF(куб!$E:$E,$E126,куб!I:I),IF($D126&lt;&gt;0,SUMIF(куб!$D:$D,$D126,куб!I:I),IF($C126&lt;&gt;0,SUMIF(куб!$C:$C,$C126,куб!I:I),IF($B126&lt;&gt;0,SUMIF(куб!$B:$B,$B126,куб!I:I),IF($G126&lt;&gt;0,SUMIF(куб!$A:$A,$G126,куб!I:I),SUMIF(куб!$A:$A,$G126,куб!I:I)))))))</f>
        <v>0</v>
      </c>
      <c r="J126" s="19">
        <f t="shared" si="51"/>
        <v>-1</v>
      </c>
      <c r="K126" s="8"/>
      <c r="L126" s="17">
        <f t="shared" si="34"/>
        <v>1.3397294536791145E-5</v>
      </c>
      <c r="M126" s="17">
        <f t="shared" si="35"/>
        <v>0</v>
      </c>
      <c r="N126" s="12">
        <f t="shared" si="36"/>
        <v>-1.3397294536791145E-5</v>
      </c>
      <c r="O126" s="5"/>
      <c r="P126" s="27">
        <f>IF($G126&lt;&gt;0,SUMIF(куб!$G:$G,$G126,куб!J:J),IF($E126&lt;&gt;0,SUMIF(куб!$E:$E,$E126,куб!J:J),IF($D126&lt;&gt;0,SUMIF(куб!$D:$D,$D126,куб!J:J),IF($C126&lt;&gt;0,SUMIF(куб!$C:$C,$C126,куб!J:J),IF($B126&lt;&gt;0,SUMIF(куб!$B:$B,$B126,куб!J:J))))))</f>
        <v>96</v>
      </c>
      <c r="Q126" s="27">
        <f>IF($G126&lt;&gt;0,SUMIF(куб!$G:$G,$G126,куб!K:K),IF($E126&lt;&gt;0,SUMIF(куб!$E:$E,$E126,куб!K:K),IF($D126&lt;&gt;0,SUMIF(куб!$D:$D,$D126,куб!K:K),IF($C126&lt;&gt;0,SUMIF(куб!$C:$C,$C126,куб!K:K),IF($B126&lt;&gt;0,SUMIF(куб!$B:$B,$B126,куб!K:K))))))</f>
        <v>0</v>
      </c>
      <c r="R126" s="13">
        <f t="shared" si="37"/>
        <v>-1</v>
      </c>
      <c r="S126" s="5"/>
      <c r="T126" s="27">
        <f>IF($G126&lt;&gt;0,SUMIF(куб!$G:$G,$G126,куб!L:L),IF($E126&lt;&gt;0,SUMIF(куб!$E:$E,$E126,куб!L:L),IF($D126&lt;&gt;0,SUMIF(куб!$D:$D,$D126,куб!L:L),IF($C126&lt;&gt;0,SUMIF(куб!$C:$C,$C126,куб!L:L),IF($B126&lt;&gt;0,SUMIF(куб!$B:$B,$B126,куб!L:L))))))</f>
        <v>86.4</v>
      </c>
      <c r="U126" s="27">
        <f>IF($G126&lt;&gt;0,SUMIF(куб!$G:$G,$G126,куб!M:M),IF($E126&lt;&gt;0,SUMIF(куб!$E:$E,$E126,куб!M:M),IF($D126&lt;&gt;0,SUMIF(куб!$D:$D,$D126,куб!M:M),IF($C126&lt;&gt;0,SUMIF(куб!$C:$C,$C126,куб!M:M),IF($B126&lt;&gt;0,SUMIF(куб!$B:$B,$B126,куб!M:M))))))</f>
        <v>0</v>
      </c>
      <c r="V126" s="13">
        <f t="shared" si="38"/>
        <v>-1</v>
      </c>
      <c r="W126" s="5"/>
      <c r="X126" s="27">
        <f>IF($G126&lt;&gt;0,SUMIF(куб!$G:$G,$G126,куб!N:N),IF($E126&lt;&gt;0,SUMIF(куб!$E:$E,$E126,куб!N:N),IF($D126&lt;&gt;0,SUMIF(куб!$D:$D,$D126,куб!N:N),IF($C126&lt;&gt;0,SUMIF(куб!$C:$C,$C126,куб!N:N),IF($B126&lt;&gt;0,SUMIF(куб!$B:$B,$B126,куб!N:N))))))</f>
        <v>636.13569999999891</v>
      </c>
      <c r="Y126" s="27">
        <f>IF($G126&lt;&gt;0,SUMIF(куб!$G:$G,$G126,куб!O:O),IF($E126&lt;&gt;0,SUMIF(куб!$E:$E,$E126,куб!O:O),IF($D126&lt;&gt;0,SUMIF(куб!$D:$D,$D126,куб!O:O),IF($C126&lt;&gt;0,SUMIF(куб!$C:$C,$C126,куб!O:O),IF($B126&lt;&gt;0,SUMIF(куб!$B:$B,$B126,куб!O:O))))))</f>
        <v>0</v>
      </c>
      <c r="Z126" s="13">
        <f t="shared" si="39"/>
        <v>-1</v>
      </c>
      <c r="AA126" s="5"/>
      <c r="AB126" s="33">
        <f t="shared" si="40"/>
        <v>9.9185607284333385E-2</v>
      </c>
      <c r="AC126" s="33" t="str">
        <f t="shared" si="41"/>
        <v/>
      </c>
      <c r="AD126" s="15" t="str">
        <f t="shared" si="42"/>
        <v xml:space="preserve"> </v>
      </c>
      <c r="AE126" s="5"/>
      <c r="AF126" s="27">
        <f>IF($G126&lt;&gt;0,SUMIF(куб!$G:$G,$G126,куб!R:R),IF($E126&lt;&gt;0,SUMIF(куб!$E:$E,$E126,куб!R:R),IF($D126&lt;&gt;0,SUMIF(куб!$D:$D,$D126,куб!R:R),IF($C126&lt;&gt;0,SUMIF(куб!$C:$C,$C126,куб!R:R),IF($B126&lt;&gt;0,SUMIF(куб!$B:$B,$B126,куб!R:R))))))</f>
        <v>2106.3632000000002</v>
      </c>
      <c r="AG126" s="27">
        <f>IF($G126&lt;&gt;0,SUMIF(куб!$G:$G,$G126,куб!S:S),IF($E126&lt;&gt;0,SUMIF(куб!$E:$E,$E126,куб!S:S),IF($D126&lt;&gt;0,SUMIF(куб!$D:$D,$D126,куб!S:S),IF($C126&lt;&gt;0,SUMIF(куб!$C:$C,$C126,куб!S:S),IF($B126&lt;&gt;0,SUMIF(куб!$B:$B,$B126,куб!S:S))))))</f>
        <v>0</v>
      </c>
      <c r="AH126" s="16">
        <f t="shared" si="43"/>
        <v>-1</v>
      </c>
      <c r="AI126" s="8"/>
      <c r="AJ126" s="27">
        <f>IF($G126&lt;&gt;0,SUMIF(куб!$G:$G,$G126,куб!T:T),IF($E126&lt;&gt;0,SUMIF(куб!$E:$E,$E126,куб!T:T),IF($D126&lt;&gt;0,SUMIF(куб!$D:$D,$D126,куб!T:T),IF($C126&lt;&gt;0,SUMIF(куб!$C:$C,$C126,куб!T:T),IF($B126&lt;&gt;0,SUMIF(куб!$B:$B,$B126,куб!T:T))))))</f>
        <v>35</v>
      </c>
      <c r="AK126" s="27">
        <f>IF($G126&lt;&gt;0,SUMIF(куб!$G:$G,$G126,куб!U:U),IF($E126&lt;&gt;0,SUMIF(куб!$E:$E,$E126,куб!U:U),IF($D126&lt;&gt;0,SUMIF(куб!$D:$D,$D126,куб!U:U),IF($C126&lt;&gt;0,SUMIF(куб!$C:$C,$C126,куб!U:U),IF($B126&lt;&gt;0,SUMIF(куб!$B:$B,$B126,куб!U:U))))))</f>
        <v>0</v>
      </c>
      <c r="AL126" s="16">
        <f t="shared" si="44"/>
        <v>-1</v>
      </c>
      <c r="AM126" s="8"/>
      <c r="AN126" s="17">
        <f t="shared" si="45"/>
        <v>0.32842192814107457</v>
      </c>
      <c r="AO126" s="17" t="str">
        <f t="shared" si="46"/>
        <v xml:space="preserve"> </v>
      </c>
      <c r="AP126" s="16" t="str">
        <f t="shared" si="47"/>
        <v>-</v>
      </c>
      <c r="AQ126" s="8"/>
      <c r="AR126" s="17">
        <f t="shared" si="48"/>
        <v>-0.22923632085674117</v>
      </c>
      <c r="AS126" s="17" t="str">
        <f t="shared" si="49"/>
        <v>-</v>
      </c>
      <c r="AT126" s="13" t="str">
        <f t="shared" si="50"/>
        <v>-</v>
      </c>
      <c r="AU126" s="8"/>
    </row>
    <row r="127" spans="1:47" ht="15" customHeight="1" x14ac:dyDescent="0.25">
      <c r="A127" s="31" t="s">
        <v>26</v>
      </c>
      <c r="B127" s="31" t="s">
        <v>32</v>
      </c>
      <c r="C127" t="s">
        <v>33</v>
      </c>
      <c r="D127" s="31" t="s">
        <v>34</v>
      </c>
      <c r="E127" t="s">
        <v>203</v>
      </c>
      <c r="F127" s="31" t="s">
        <v>278</v>
      </c>
      <c r="G127" t="s">
        <v>279</v>
      </c>
      <c r="H127" s="27">
        <f>IF($G127&lt;&gt;0,SUMIF(куб!$G:$G,$G127,куб!H:H),IF($E127&lt;&gt;0,SUMIF(куб!$E:$E,$E127,куб!H:H),IF($D127&lt;&gt;0,SUMIF(куб!$D:$D,$D127,куб!H:H),IF($C127&lt;&gt;0,SUMIF(куб!$C:$C,$C127,куб!H:H),IF($B127&lt;&gt;0,SUMIF(куб!$B:$B,$B127,куб!H:H),IF($G127&lt;&gt;0,SUMIF(куб!$A:$A,$G127,куб!H:H),SUMIF(куб!$A:$A,$G127,куб!H:H)))))))</f>
        <v>0</v>
      </c>
      <c r="I127" s="27">
        <f>IF($G127&lt;&gt;0,SUMIF(куб!$G:$G,$G127,куб!I:I),IF($E127&lt;&gt;0,SUMIF(куб!$E:$E,$E127,куб!I:I),IF($D127&lt;&gt;0,SUMIF(куб!$D:$D,$D127,куб!I:I),IF($C127&lt;&gt;0,SUMIF(куб!$C:$C,$C127,куб!I:I),IF($B127&lt;&gt;0,SUMIF(куб!$B:$B,$B127,куб!I:I),IF($G127&lt;&gt;0,SUMIF(куб!$A:$A,$G127,куб!I:I),SUMIF(куб!$A:$A,$G127,куб!I:I)))))))</f>
        <v>7220.1440999999995</v>
      </c>
      <c r="J127" s="19" t="str">
        <f t="shared" si="51"/>
        <v>-</v>
      </c>
      <c r="K127" s="10"/>
      <c r="L127" s="17">
        <f t="shared" si="34"/>
        <v>0</v>
      </c>
      <c r="M127" s="17">
        <f t="shared" si="35"/>
        <v>1.5394610887186511E-5</v>
      </c>
      <c r="N127" s="12">
        <f t="shared" si="36"/>
        <v>1.5394610887186511E-5</v>
      </c>
      <c r="O127" s="5"/>
      <c r="P127" s="27">
        <f>IF($G127&lt;&gt;0,SUMIF(куб!$G:$G,$G127,куб!J:J),IF($E127&lt;&gt;0,SUMIF(куб!$E:$E,$E127,куб!J:J),IF($D127&lt;&gt;0,SUMIF(куб!$D:$D,$D127,куб!J:J),IF($C127&lt;&gt;0,SUMIF(куб!$C:$C,$C127,куб!J:J),IF($B127&lt;&gt;0,SUMIF(куб!$B:$B,$B127,куб!J:J))))))</f>
        <v>0</v>
      </c>
      <c r="Q127" s="27">
        <f>IF($G127&lt;&gt;0,SUMIF(куб!$G:$G,$G127,куб!K:K),IF($E127&lt;&gt;0,SUMIF(куб!$E:$E,$E127,куб!K:K),IF($D127&lt;&gt;0,SUMIF(куб!$D:$D,$D127,куб!K:K),IF($C127&lt;&gt;0,SUMIF(куб!$C:$C,$C127,куб!K:K),IF($B127&lt;&gt;0,SUMIF(куб!$B:$B,$B127,куб!K:K))))))</f>
        <v>50</v>
      </c>
      <c r="R127" s="13" t="str">
        <f t="shared" si="37"/>
        <v>-</v>
      </c>
      <c r="S127" s="5"/>
      <c r="T127" s="27">
        <f>IF($G127&lt;&gt;0,SUMIF(куб!$G:$G,$G127,куб!L:L),IF($E127&lt;&gt;0,SUMIF(куб!$E:$E,$E127,куб!L:L),IF($D127&lt;&gt;0,SUMIF(куб!$D:$D,$D127,куб!L:L),IF($C127&lt;&gt;0,SUMIF(куб!$C:$C,$C127,куб!L:L),IF($B127&lt;&gt;0,SUMIF(куб!$B:$B,$B127,куб!L:L))))))</f>
        <v>0</v>
      </c>
      <c r="U127" s="27">
        <f>IF($G127&lt;&gt;0,SUMIF(куб!$G:$G,$G127,куб!M:M),IF($E127&lt;&gt;0,SUMIF(куб!$E:$E,$E127,куб!M:M),IF($D127&lt;&gt;0,SUMIF(куб!$D:$D,$D127,куб!M:M),IF($C127&lt;&gt;0,SUMIF(куб!$C:$C,$C127,куб!M:M),IF($B127&lt;&gt;0,SUMIF(куб!$B:$B,$B127,куб!M:M))))))</f>
        <v>87.5</v>
      </c>
      <c r="V127" s="13" t="str">
        <f t="shared" si="38"/>
        <v>-</v>
      </c>
      <c r="W127" s="5"/>
      <c r="X127" s="27">
        <f>IF($G127&lt;&gt;0,SUMIF(куб!$G:$G,$G127,куб!N:N),IF($E127&lt;&gt;0,SUMIF(куб!$E:$E,$E127,куб!N:N),IF($D127&lt;&gt;0,SUMIF(куб!$D:$D,$D127,куб!N:N),IF($C127&lt;&gt;0,SUMIF(куб!$C:$C,$C127,куб!N:N),IF($B127&lt;&gt;0,SUMIF(куб!$B:$B,$B127,куб!N:N))))))</f>
        <v>0</v>
      </c>
      <c r="Y127" s="27">
        <f>IF($G127&lt;&gt;0,SUMIF(куб!$G:$G,$G127,куб!O:O),IF($E127&lt;&gt;0,SUMIF(куб!$E:$E,$E127,куб!O:O),IF($D127&lt;&gt;0,SUMIF(куб!$D:$D,$D127,куб!O:O),IF($C127&lt;&gt;0,SUMIF(куб!$C:$C,$C127,куб!O:O),IF($B127&lt;&gt;0,SUMIF(куб!$B:$B,$B127,куб!O:O))))))</f>
        <v>879.86329999999998</v>
      </c>
      <c r="Z127" s="13" t="str">
        <f t="shared" si="39"/>
        <v>-</v>
      </c>
      <c r="AA127" s="5"/>
      <c r="AB127" s="33" t="str">
        <f t="shared" si="40"/>
        <v/>
      </c>
      <c r="AC127" s="33">
        <f t="shared" si="41"/>
        <v>0.12186229080940365</v>
      </c>
      <c r="AD127" s="15" t="str">
        <f t="shared" si="42"/>
        <v xml:space="preserve"> </v>
      </c>
      <c r="AE127" s="5"/>
      <c r="AF127" s="27">
        <f>IF($G127&lt;&gt;0,SUMIF(куб!$G:$G,$G127,куб!R:R),IF($E127&lt;&gt;0,SUMIF(куб!$E:$E,$E127,куб!R:R),IF($D127&lt;&gt;0,SUMIF(куб!$D:$D,$D127,куб!R:R),IF($C127&lt;&gt;0,SUMIF(куб!$C:$C,$C127,куб!R:R),IF($B127&lt;&gt;0,SUMIF(куб!$B:$B,$B127,куб!R:R))))))</f>
        <v>0</v>
      </c>
      <c r="AG127" s="27">
        <f>IF($G127&lt;&gt;0,SUMIF(куб!$G:$G,$G127,куб!S:S),IF($E127&lt;&gt;0,SUMIF(куб!$E:$E,$E127,куб!S:S),IF($D127&lt;&gt;0,SUMIF(куб!$D:$D,$D127,куб!S:S),IF($C127&lt;&gt;0,SUMIF(куб!$C:$C,$C127,куб!S:S),IF($B127&lt;&gt;0,SUMIF(куб!$B:$B,$B127,куб!S:S))))))</f>
        <v>758.67269999999996</v>
      </c>
      <c r="AH127" s="16" t="str">
        <f t="shared" si="43"/>
        <v>-</v>
      </c>
      <c r="AI127" s="8"/>
      <c r="AJ127" s="27">
        <f>IF($G127&lt;&gt;0,SUMIF(куб!$G:$G,$G127,куб!T:T),IF($E127&lt;&gt;0,SUMIF(куб!$E:$E,$E127,куб!T:T),IF($D127&lt;&gt;0,SUMIF(куб!$D:$D,$D127,куб!T:T),IF($C127&lt;&gt;0,SUMIF(куб!$C:$C,$C127,куб!T:T),IF($B127&lt;&gt;0,SUMIF(куб!$B:$B,$B127,куб!T:T))))))</f>
        <v>0</v>
      </c>
      <c r="AK127" s="27">
        <f>IF($G127&lt;&gt;0,SUMIF(куб!$G:$G,$G127,куб!U:U),IF($E127&lt;&gt;0,SUMIF(куб!$E:$E,$E127,куб!U:U),IF($D127&lt;&gt;0,SUMIF(куб!$D:$D,$D127,куб!U:U),IF($C127&lt;&gt;0,SUMIF(куб!$C:$C,$C127,куб!U:U),IF($B127&lt;&gt;0,SUMIF(куб!$B:$B,$B127,куб!U:U))))))</f>
        <v>6</v>
      </c>
      <c r="AL127" s="16" t="str">
        <f t="shared" si="44"/>
        <v>-</v>
      </c>
      <c r="AM127" s="8"/>
      <c r="AN127" s="17" t="str">
        <f t="shared" si="45"/>
        <v xml:space="preserve"> </v>
      </c>
      <c r="AO127" s="17">
        <f t="shared" si="46"/>
        <v>0.10507722415124651</v>
      </c>
      <c r="AP127" s="16" t="str">
        <f t="shared" si="47"/>
        <v>-</v>
      </c>
      <c r="AQ127" s="8"/>
      <c r="AR127" s="17" t="str">
        <f t="shared" si="48"/>
        <v>-</v>
      </c>
      <c r="AS127" s="17">
        <f t="shared" si="49"/>
        <v>1.6785066658157145E-2</v>
      </c>
      <c r="AT127" s="13" t="str">
        <f t="shared" si="50"/>
        <v>-</v>
      </c>
      <c r="AU127" s="8"/>
    </row>
    <row r="128" spans="1:47" ht="15" customHeight="1" x14ac:dyDescent="0.25">
      <c r="A128" s="31" t="s">
        <v>26</v>
      </c>
      <c r="B128" s="31" t="s">
        <v>32</v>
      </c>
      <c r="C128" t="s">
        <v>33</v>
      </c>
      <c r="D128" s="31" t="s">
        <v>34</v>
      </c>
      <c r="E128" t="s">
        <v>203</v>
      </c>
      <c r="F128" s="31" t="s">
        <v>280</v>
      </c>
      <c r="G128" t="s">
        <v>281</v>
      </c>
      <c r="H128" s="27">
        <f>IF($G128&lt;&gt;0,SUMIF(куб!$G:$G,$G128,куб!H:H),IF($E128&lt;&gt;0,SUMIF(куб!$E:$E,$E128,куб!H:H),IF($D128&lt;&gt;0,SUMIF(куб!$D:$D,$D128,куб!H:H),IF($C128&lt;&gt;0,SUMIF(куб!$C:$C,$C128,куб!H:H),IF($B128&lt;&gt;0,SUMIF(куб!$B:$B,$B128,куб!H:H),IF($G128&lt;&gt;0,SUMIF(куб!$A:$A,$G128,куб!H:H),SUMIF(куб!$A:$A,$G128,куб!H:H)))))))</f>
        <v>382738.70820000005</v>
      </c>
      <c r="I128" s="27">
        <f>IF($G128&lt;&gt;0,SUMIF(куб!$G:$G,$G128,куб!I:I),IF($E128&lt;&gt;0,SUMIF(куб!$E:$E,$E128,куб!I:I),IF($D128&lt;&gt;0,SUMIF(куб!$D:$D,$D128,куб!I:I),IF($C128&lt;&gt;0,SUMIF(куб!$C:$C,$C128,куб!I:I),IF($B128&lt;&gt;0,SUMIF(куб!$B:$B,$B128,куб!I:I),IF($G128&lt;&gt;0,SUMIF(куб!$A:$A,$G128,куб!I:I),SUMIF(куб!$A:$A,$G128,куб!I:I)))))))</f>
        <v>793111.16309999977</v>
      </c>
      <c r="J128" s="19">
        <f t="shared" si="51"/>
        <v>1.0722000312692692</v>
      </c>
      <c r="K128" s="5"/>
      <c r="L128" s="17">
        <f t="shared" si="34"/>
        <v>7.9949983765506799E-4</v>
      </c>
      <c r="M128" s="17">
        <f t="shared" si="35"/>
        <v>1.6910518096457956E-3</v>
      </c>
      <c r="N128" s="12">
        <f t="shared" si="36"/>
        <v>8.9155197199072757E-4</v>
      </c>
      <c r="O128" s="5"/>
      <c r="P128" s="27">
        <f>IF($G128&lt;&gt;0,SUMIF(куб!$G:$G,$G128,куб!J:J),IF($E128&lt;&gt;0,SUMIF(куб!$E:$E,$E128,куб!J:J),IF($D128&lt;&gt;0,SUMIF(куб!$D:$D,$D128,куб!J:J),IF($C128&lt;&gt;0,SUMIF(куб!$C:$C,$C128,куб!J:J),IF($B128&lt;&gt;0,SUMIF(куб!$B:$B,$B128,куб!J:J))))))</f>
        <v>5338</v>
      </c>
      <c r="Q128" s="27">
        <f>IF($G128&lt;&gt;0,SUMIF(куб!$G:$G,$G128,куб!K:K),IF($E128&lt;&gt;0,SUMIF(куб!$E:$E,$E128,куб!K:K),IF($D128&lt;&gt;0,SUMIF(куб!$D:$D,$D128,куб!K:K),IF($C128&lt;&gt;0,SUMIF(куб!$C:$C,$C128,куб!K:K),IF($B128&lt;&gt;0,SUMIF(куб!$B:$B,$B128,куб!K:K))))))</f>
        <v>10192</v>
      </c>
      <c r="R128" s="13">
        <f t="shared" si="37"/>
        <v>0.9093293368302735</v>
      </c>
      <c r="S128" s="5"/>
      <c r="T128" s="27">
        <f>IF($G128&lt;&gt;0,SUMIF(куб!$G:$G,$G128,куб!L:L),IF($E128&lt;&gt;0,SUMIF(куб!$E:$E,$E128,куб!L:L),IF($D128&lt;&gt;0,SUMIF(куб!$D:$D,$D128,куб!L:L),IF($C128&lt;&gt;0,SUMIF(куб!$C:$C,$C128,куб!L:L),IF($B128&lt;&gt;0,SUMIF(куб!$B:$B,$B128,куб!L:L))))))</f>
        <v>4804.2</v>
      </c>
      <c r="U128" s="27">
        <f>IF($G128&lt;&gt;0,SUMIF(куб!$G:$G,$G128,куб!M:M),IF($E128&lt;&gt;0,SUMIF(куб!$E:$E,$E128,куб!M:M),IF($D128&lt;&gt;0,SUMIF(куб!$D:$D,$D128,куб!M:M),IF($C128&lt;&gt;0,SUMIF(куб!$C:$C,$C128,куб!M:M),IF($B128&lt;&gt;0,SUMIF(куб!$B:$B,$B128,куб!M:M))))))</f>
        <v>9172.8000000000011</v>
      </c>
      <c r="V128" s="13">
        <f t="shared" si="38"/>
        <v>0.90932933683027384</v>
      </c>
      <c r="W128" s="5"/>
      <c r="X128" s="27">
        <f>IF($G128&lt;&gt;0,SUMIF(куб!$G:$G,$G128,куб!N:N),IF($E128&lt;&gt;0,SUMIF(куб!$E:$E,$E128,куб!N:N),IF($D128&lt;&gt;0,SUMIF(куб!$D:$D,$D128,куб!N:N),IF($C128&lt;&gt;0,SUMIF(куб!$C:$C,$C128,куб!N:N),IF($B128&lt;&gt;0,SUMIF(куб!$B:$B,$B128,куб!N:N))))))</f>
        <v>33633.508199999982</v>
      </c>
      <c r="Y128" s="27">
        <f>IF($G128&lt;&gt;0,SUMIF(куб!$G:$G,$G128,куб!O:O),IF($E128&lt;&gt;0,SUMIF(куб!$E:$E,$E128,куб!O:O),IF($D128&lt;&gt;0,SUMIF(куб!$D:$D,$D128,куб!O:O),IF($C128&lt;&gt;0,SUMIF(куб!$C:$C,$C128,куб!O:O),IF($B128&lt;&gt;0,SUMIF(куб!$B:$B,$B128,куб!O:O))))))</f>
        <v>61289.926899999846</v>
      </c>
      <c r="Z128" s="13">
        <f t="shared" si="39"/>
        <v>0.82228765835375683</v>
      </c>
      <c r="AA128" s="5"/>
      <c r="AB128" s="33">
        <f t="shared" si="40"/>
        <v>8.7875899352267237E-2</v>
      </c>
      <c r="AC128" s="33">
        <f t="shared" si="41"/>
        <v>7.7277851771041184E-2</v>
      </c>
      <c r="AD128" s="15">
        <f t="shared" si="42"/>
        <v>-1.0598047581226053E-2</v>
      </c>
      <c r="AE128" s="5"/>
      <c r="AF128" s="27">
        <f>IF($G128&lt;&gt;0,SUMIF(куб!$G:$G,$G128,куб!R:R),IF($E128&lt;&gt;0,SUMIF(куб!$E:$E,$E128,куб!R:R),IF($D128&lt;&gt;0,SUMIF(куб!$D:$D,$D128,куб!R:R),IF($C128&lt;&gt;0,SUMIF(куб!$C:$C,$C128,куб!R:R),IF($B128&lt;&gt;0,SUMIF(куб!$B:$B,$B128,куб!R:R))))))</f>
        <v>2289.0000000000005</v>
      </c>
      <c r="AG128" s="27">
        <f>IF($G128&lt;&gt;0,SUMIF(куб!$G:$G,$G128,куб!S:S),IF($E128&lt;&gt;0,SUMIF(куб!$E:$E,$E128,куб!S:S),IF($D128&lt;&gt;0,SUMIF(куб!$D:$D,$D128,куб!S:S),IF($C128&lt;&gt;0,SUMIF(куб!$C:$C,$C128,куб!S:S),IF($B128&lt;&gt;0,SUMIF(куб!$B:$B,$B128,куб!S:S))))))</f>
        <v>5600.4</v>
      </c>
      <c r="AH128" s="16">
        <f t="shared" si="43"/>
        <v>1.4466579292267359</v>
      </c>
      <c r="AI128" s="8"/>
      <c r="AJ128" s="27">
        <f>IF($G128&lt;&gt;0,SUMIF(куб!$G:$G,$G128,куб!T:T),IF($E128&lt;&gt;0,SUMIF(куб!$E:$E,$E128,куб!T:T),IF($D128&lt;&gt;0,SUMIF(куб!$D:$D,$D128,куб!T:T),IF($C128&lt;&gt;0,SUMIF(куб!$C:$C,$C128,куб!T:T),IF($B128&lt;&gt;0,SUMIF(куб!$B:$B,$B128,куб!T:T))))))</f>
        <v>35</v>
      </c>
      <c r="AK128" s="27">
        <f>IF($G128&lt;&gt;0,SUMIF(куб!$G:$G,$G128,куб!U:U),IF($E128&lt;&gt;0,SUMIF(куб!$E:$E,$E128,куб!U:U),IF($D128&lt;&gt;0,SUMIF(куб!$D:$D,$D128,куб!U:U),IF($C128&lt;&gt;0,SUMIF(куб!$C:$C,$C128,куб!U:U),IF($B128&lt;&gt;0,SUMIF(куб!$B:$B,$B128,куб!U:U))))))</f>
        <v>78</v>
      </c>
      <c r="AL128" s="16">
        <f t="shared" si="44"/>
        <v>1.2285714285714286</v>
      </c>
      <c r="AM128" s="8"/>
      <c r="AN128" s="17">
        <f t="shared" si="45"/>
        <v>5.9805814017741942E-3</v>
      </c>
      <c r="AO128" s="17">
        <f t="shared" si="46"/>
        <v>7.0613052249951383E-3</v>
      </c>
      <c r="AP128" s="16">
        <f t="shared" si="47"/>
        <v>1.0807238232209441E-3</v>
      </c>
      <c r="AQ128" s="8"/>
      <c r="AR128" s="17">
        <f t="shared" si="48"/>
        <v>8.1895317950493041E-2</v>
      </c>
      <c r="AS128" s="17">
        <f t="shared" si="49"/>
        <v>7.0216546546046033E-2</v>
      </c>
      <c r="AT128" s="13">
        <f t="shared" si="50"/>
        <v>-1.1678771404447008E-2</v>
      </c>
      <c r="AU128" s="8"/>
    </row>
    <row r="129" spans="1:47" ht="15" customHeight="1" x14ac:dyDescent="0.25">
      <c r="A129" s="31" t="s">
        <v>26</v>
      </c>
      <c r="B129" s="31" t="s">
        <v>32</v>
      </c>
      <c r="C129" t="s">
        <v>33</v>
      </c>
      <c r="D129" s="31" t="s">
        <v>34</v>
      </c>
      <c r="E129" t="s">
        <v>203</v>
      </c>
      <c r="F129" s="31" t="s">
        <v>282</v>
      </c>
      <c r="G129" t="s">
        <v>283</v>
      </c>
      <c r="H129" s="27">
        <f>IF($G129&lt;&gt;0,SUMIF(куб!$G:$G,$G129,куб!H:H),IF($E129&lt;&gt;0,SUMIF(куб!$E:$E,$E129,куб!H:H),IF($D129&lt;&gt;0,SUMIF(куб!$D:$D,$D129,куб!H:H),IF($C129&lt;&gt;0,SUMIF(куб!$C:$C,$C129,куб!H:H),IF($B129&lt;&gt;0,SUMIF(куб!$B:$B,$B129,куб!H:H),IF($G129&lt;&gt;0,SUMIF(куб!$A:$A,$G129,куб!H:H),SUMIF(куб!$A:$A,$G129,куб!H:H)))))))</f>
        <v>0</v>
      </c>
      <c r="I129" s="27">
        <f>IF($G129&lt;&gt;0,SUMIF(куб!$G:$G,$G129,куб!I:I),IF($E129&lt;&gt;0,SUMIF(куб!$E:$E,$E129,куб!I:I),IF($D129&lt;&gt;0,SUMIF(куб!$D:$D,$D129,куб!I:I),IF($C129&lt;&gt;0,SUMIF(куб!$C:$C,$C129,куб!I:I),IF($B129&lt;&gt;0,SUMIF(куб!$B:$B,$B129,куб!I:I),IF($G129&lt;&gt;0,SUMIF(куб!$A:$A,$G129,куб!I:I),SUMIF(куб!$A:$A,$G129,куб!I:I)))))))</f>
        <v>1233337.9849000003</v>
      </c>
      <c r="J129" s="19" t="str">
        <f t="shared" si="51"/>
        <v>-</v>
      </c>
      <c r="K129" s="5"/>
      <c r="L129" s="17">
        <f t="shared" si="34"/>
        <v>0</v>
      </c>
      <c r="M129" s="17">
        <f t="shared" si="35"/>
        <v>2.6296924420001837E-3</v>
      </c>
      <c r="N129" s="12">
        <f t="shared" si="36"/>
        <v>2.6296924420001837E-3</v>
      </c>
      <c r="O129" s="5"/>
      <c r="P129" s="27">
        <f>IF($G129&lt;&gt;0,SUMIF(куб!$G:$G,$G129,куб!J:J),IF($E129&lt;&gt;0,SUMIF(куб!$E:$E,$E129,куб!J:J),IF($D129&lt;&gt;0,SUMIF(куб!$D:$D,$D129,куб!J:J),IF($C129&lt;&gt;0,SUMIF(куб!$C:$C,$C129,куб!J:J),IF($B129&lt;&gt;0,SUMIF(куб!$B:$B,$B129,куб!J:J))))))</f>
        <v>0</v>
      </c>
      <c r="Q129" s="27">
        <f>IF($G129&lt;&gt;0,SUMIF(куб!$G:$G,$G129,куб!K:K),IF($E129&lt;&gt;0,SUMIF(куб!$E:$E,$E129,куб!K:K),IF($D129&lt;&gt;0,SUMIF(куб!$D:$D,$D129,куб!K:K),IF($C129&lt;&gt;0,SUMIF(куб!$C:$C,$C129,куб!K:K),IF($B129&lt;&gt;0,SUMIF(куб!$B:$B,$B129,куб!K:K))))))</f>
        <v>15967</v>
      </c>
      <c r="R129" s="13" t="str">
        <f t="shared" si="37"/>
        <v>-</v>
      </c>
      <c r="S129" s="5"/>
      <c r="T129" s="27">
        <f>IF($G129&lt;&gt;0,SUMIF(куб!$G:$G,$G129,куб!L:L),IF($E129&lt;&gt;0,SUMIF(куб!$E:$E,$E129,куб!L:L),IF($D129&lt;&gt;0,SUMIF(куб!$D:$D,$D129,куб!L:L),IF($C129&lt;&gt;0,SUMIF(куб!$C:$C,$C129,куб!L:L),IF($B129&lt;&gt;0,SUMIF(куб!$B:$B,$B129,куб!L:L))))))</f>
        <v>0</v>
      </c>
      <c r="U129" s="27">
        <f>IF($G129&lt;&gt;0,SUMIF(куб!$G:$G,$G129,куб!M:M),IF($E129&lt;&gt;0,SUMIF(куб!$E:$E,$E129,куб!M:M),IF($D129&lt;&gt;0,SUMIF(куб!$D:$D,$D129,куб!M:M),IF($C129&lt;&gt;0,SUMIF(куб!$C:$C,$C129,куб!M:M),IF($B129&lt;&gt;0,SUMIF(куб!$B:$B,$B129,куб!M:M))))))</f>
        <v>14758.298100000004</v>
      </c>
      <c r="V129" s="13" t="str">
        <f t="shared" si="38"/>
        <v>-</v>
      </c>
      <c r="W129" s="5"/>
      <c r="X129" s="27">
        <f>IF($G129&lt;&gt;0,SUMIF(куб!$G:$G,$G129,куб!N:N),IF($E129&lt;&gt;0,SUMIF(куб!$E:$E,$E129,куб!N:N),IF($D129&lt;&gt;0,SUMIF(куб!$D:$D,$D129,куб!N:N),IF($C129&lt;&gt;0,SUMIF(куб!$C:$C,$C129,куб!N:N),IF($B129&lt;&gt;0,SUMIF(куб!$B:$B,$B129,куб!N:N))))))</f>
        <v>0</v>
      </c>
      <c r="Y129" s="27">
        <f>IF($G129&lt;&gt;0,SUMIF(куб!$G:$G,$G129,куб!O:O),IF($E129&lt;&gt;0,SUMIF(куб!$E:$E,$E129,куб!O:O),IF($D129&lt;&gt;0,SUMIF(куб!$D:$D,$D129,куб!O:O),IF($C129&lt;&gt;0,SUMIF(куб!$C:$C,$C129,куб!O:O),IF($B129&lt;&gt;0,SUMIF(куб!$B:$B,$B129,куб!O:O))))))</f>
        <v>136159.49840000039</v>
      </c>
      <c r="Z129" s="13" t="str">
        <f t="shared" si="39"/>
        <v>-</v>
      </c>
      <c r="AA129" s="5"/>
      <c r="AB129" s="33" t="str">
        <f t="shared" si="40"/>
        <v/>
      </c>
      <c r="AC129" s="33">
        <f t="shared" si="41"/>
        <v>0.11039917692232619</v>
      </c>
      <c r="AD129" s="15" t="str">
        <f t="shared" si="42"/>
        <v xml:space="preserve"> </v>
      </c>
      <c r="AE129" s="5"/>
      <c r="AF129" s="27">
        <f>IF($G129&lt;&gt;0,SUMIF(куб!$G:$G,$G129,куб!R:R),IF($E129&lt;&gt;0,SUMIF(куб!$E:$E,$E129,куб!R:R),IF($D129&lt;&gt;0,SUMIF(куб!$D:$D,$D129,куб!R:R),IF($C129&lt;&gt;0,SUMIF(куб!$C:$C,$C129,куб!R:R),IF($B129&lt;&gt;0,SUMIF(куб!$B:$B,$B129,куб!R:R))))))</f>
        <v>0</v>
      </c>
      <c r="AG129" s="27">
        <f>IF($G129&lt;&gt;0,SUMIF(куб!$G:$G,$G129,куб!S:S),IF($E129&lt;&gt;0,SUMIF(куб!$E:$E,$E129,куб!S:S),IF($D129&lt;&gt;0,SUMIF(куб!$D:$D,$D129,куб!S:S),IF($C129&lt;&gt;0,SUMIF(куб!$C:$C,$C129,куб!S:S),IF($B129&lt;&gt;0,SUMIF(куб!$B:$B,$B129,куб!S:S))))))</f>
        <v>904.04510000000005</v>
      </c>
      <c r="AH129" s="16" t="str">
        <f t="shared" si="43"/>
        <v>-</v>
      </c>
      <c r="AI129" s="8"/>
      <c r="AJ129" s="27">
        <f>IF($G129&lt;&gt;0,SUMIF(куб!$G:$G,$G129,куб!T:T),IF($E129&lt;&gt;0,SUMIF(куб!$E:$E,$E129,куб!T:T),IF($D129&lt;&gt;0,SUMIF(куб!$D:$D,$D129,куб!T:T),IF($C129&lt;&gt;0,SUMIF(куб!$C:$C,$C129,куб!T:T),IF($B129&lt;&gt;0,SUMIF(куб!$B:$B,$B129,куб!T:T))))))</f>
        <v>0</v>
      </c>
      <c r="AK129" s="27">
        <f>IF($G129&lt;&gt;0,SUMIF(куб!$G:$G,$G129,куб!U:U),IF($E129&lt;&gt;0,SUMIF(куб!$E:$E,$E129,куб!U:U),IF($D129&lt;&gt;0,SUMIF(куб!$D:$D,$D129,куб!U:U),IF($C129&lt;&gt;0,SUMIF(куб!$C:$C,$C129,куб!U:U),IF($B129&lt;&gt;0,SUMIF(куб!$B:$B,$B129,куб!U:U))))))</f>
        <v>13</v>
      </c>
      <c r="AL129" s="16" t="str">
        <f t="shared" si="44"/>
        <v>-</v>
      </c>
      <c r="AM129" s="8"/>
      <c r="AN129" s="17" t="str">
        <f t="shared" si="45"/>
        <v xml:space="preserve"> </v>
      </c>
      <c r="AO129" s="17">
        <f t="shared" si="46"/>
        <v>7.3300677597576836E-4</v>
      </c>
      <c r="AP129" s="16" t="str">
        <f t="shared" si="47"/>
        <v>-</v>
      </c>
      <c r="AQ129" s="8"/>
      <c r="AR129" s="17" t="str">
        <f t="shared" si="48"/>
        <v>-</v>
      </c>
      <c r="AS129" s="17">
        <f t="shared" si="49"/>
        <v>0.10966617014635043</v>
      </c>
      <c r="AT129" s="13" t="str">
        <f t="shared" si="50"/>
        <v>-</v>
      </c>
      <c r="AU129" s="8"/>
    </row>
    <row r="130" spans="1:47" ht="15" customHeight="1" x14ac:dyDescent="0.25">
      <c r="A130" s="31" t="s">
        <v>26</v>
      </c>
      <c r="B130" s="31" t="s">
        <v>32</v>
      </c>
      <c r="C130" t="s">
        <v>33</v>
      </c>
      <c r="D130" s="31" t="s">
        <v>34</v>
      </c>
      <c r="E130" t="s">
        <v>203</v>
      </c>
      <c r="F130" s="46" t="s">
        <v>284</v>
      </c>
      <c r="G130" t="s">
        <v>285</v>
      </c>
      <c r="H130" s="27">
        <f>IF($G130&lt;&gt;0,SUMIF(куб!$G:$G,$G130,куб!H:H),IF($E130&lt;&gt;0,SUMIF(куб!$E:$E,$E130,куб!H:H),IF($D130&lt;&gt;0,SUMIF(куб!$D:$D,$D130,куб!H:H),IF($C130&lt;&gt;0,SUMIF(куб!$C:$C,$C130,куб!H:H),IF($B130&lt;&gt;0,SUMIF(куб!$B:$B,$B130,куб!H:H),IF($G130&lt;&gt;0,SUMIF(куб!$A:$A,$G130,куб!H:H),SUMIF(куб!$A:$A,$G130,куб!H:H)))))))</f>
        <v>1634936.1135</v>
      </c>
      <c r="I130" s="27">
        <f>IF($G130&lt;&gt;0,SUMIF(куб!$G:$G,$G130,куб!I:I),IF($E130&lt;&gt;0,SUMIF(куб!$E:$E,$E130,куб!I:I),IF($D130&lt;&gt;0,SUMIF(куб!$D:$D,$D130,куб!I:I),IF($C130&lt;&gt;0,SUMIF(куб!$C:$C,$C130,куб!I:I),IF($B130&lt;&gt;0,SUMIF(куб!$B:$B,$B130,куб!I:I),IF($G130&lt;&gt;0,SUMIF(куб!$A:$A,$G130,куб!I:I),SUMIF(куб!$A:$A,$G130,куб!I:I)))))))</f>
        <v>0</v>
      </c>
      <c r="J130" s="19">
        <f t="shared" si="51"/>
        <v>-1</v>
      </c>
      <c r="K130" s="8"/>
      <c r="L130" s="17">
        <f t="shared" si="34"/>
        <v>3.4152050192859419E-3</v>
      </c>
      <c r="M130" s="17">
        <f t="shared" si="35"/>
        <v>0</v>
      </c>
      <c r="N130" s="12">
        <f t="shared" si="36"/>
        <v>-3.4152050192859419E-3</v>
      </c>
      <c r="O130" s="5"/>
      <c r="P130" s="27">
        <f>IF($G130&lt;&gt;0,SUMIF(куб!$G:$G,$G130,куб!J:J),IF($E130&lt;&gt;0,SUMIF(куб!$E:$E,$E130,куб!J:J),IF($D130&lt;&gt;0,SUMIF(куб!$D:$D,$D130,куб!J:J),IF($C130&lt;&gt;0,SUMIF(куб!$C:$C,$C130,куб!J:J),IF($B130&lt;&gt;0,SUMIF(куб!$B:$B,$B130,куб!J:J))))))</f>
        <v>19095</v>
      </c>
      <c r="Q130" s="27">
        <f>IF($G130&lt;&gt;0,SUMIF(куб!$G:$G,$G130,куб!K:K),IF($E130&lt;&gt;0,SUMIF(куб!$E:$E,$E130,куб!K:K),IF($D130&lt;&gt;0,SUMIF(куб!$D:$D,$D130,куб!K:K),IF($C130&lt;&gt;0,SUMIF(куб!$C:$C,$C130,куб!K:K),IF($B130&lt;&gt;0,SUMIF(куб!$B:$B,$B130,куб!K:K))))))</f>
        <v>0</v>
      </c>
      <c r="R130" s="13">
        <f t="shared" si="37"/>
        <v>-1</v>
      </c>
      <c r="S130" s="5"/>
      <c r="T130" s="27">
        <f>IF($G130&lt;&gt;0,SUMIF(куб!$G:$G,$G130,куб!L:L),IF($E130&lt;&gt;0,SUMIF(куб!$E:$E,$E130,куб!L:L),IF($D130&lt;&gt;0,SUMIF(куб!$D:$D,$D130,куб!L:L),IF($C130&lt;&gt;0,SUMIF(куб!$C:$C,$C130,куб!L:L),IF($B130&lt;&gt;0,SUMIF(куб!$B:$B,$B130,куб!L:L))))))</f>
        <v>18636.720000000019</v>
      </c>
      <c r="U130" s="27">
        <f>IF($G130&lt;&gt;0,SUMIF(куб!$G:$G,$G130,куб!M:M),IF($E130&lt;&gt;0,SUMIF(куб!$E:$E,$E130,куб!M:M),IF($D130&lt;&gt;0,SUMIF(куб!$D:$D,$D130,куб!M:M),IF($C130&lt;&gt;0,SUMIF(куб!$C:$C,$C130,куб!M:M),IF($B130&lt;&gt;0,SUMIF(куб!$B:$B,$B130,куб!M:M))))))</f>
        <v>0</v>
      </c>
      <c r="V130" s="13">
        <f t="shared" si="38"/>
        <v>-1</v>
      </c>
      <c r="W130" s="5"/>
      <c r="X130" s="27">
        <f>IF($G130&lt;&gt;0,SUMIF(куб!$G:$G,$G130,куб!N:N),IF($E130&lt;&gt;0,SUMIF(куб!$E:$E,$E130,куб!N:N),IF($D130&lt;&gt;0,SUMIF(куб!$D:$D,$D130,куб!N:N),IF($C130&lt;&gt;0,SUMIF(куб!$C:$C,$C130,куб!N:N),IF($B130&lt;&gt;0,SUMIF(куб!$B:$B,$B130,куб!N:N))))))</f>
        <v>174160.49369999999</v>
      </c>
      <c r="Y130" s="27">
        <f>IF($G130&lt;&gt;0,SUMIF(куб!$G:$G,$G130,куб!O:O),IF($E130&lt;&gt;0,SUMIF(куб!$E:$E,$E130,куб!O:O),IF($D130&lt;&gt;0,SUMIF(куб!$D:$D,$D130,куб!O:O),IF($C130&lt;&gt;0,SUMIF(куб!$C:$C,$C130,куб!O:O),IF($B130&lt;&gt;0,SUMIF(куб!$B:$B,$B130,куб!O:O))))))</f>
        <v>0</v>
      </c>
      <c r="Z130" s="13">
        <f t="shared" si="39"/>
        <v>-1</v>
      </c>
      <c r="AA130" s="5"/>
      <c r="AB130" s="33">
        <f t="shared" si="40"/>
        <v>0.10652434199839454</v>
      </c>
      <c r="AC130" s="33" t="str">
        <f t="shared" si="41"/>
        <v/>
      </c>
      <c r="AD130" s="15" t="str">
        <f t="shared" si="42"/>
        <v xml:space="preserve"> </v>
      </c>
      <c r="AE130" s="5"/>
      <c r="AF130" s="27">
        <f>IF($G130&lt;&gt;0,SUMIF(куб!$G:$G,$G130,куб!R:R),IF($E130&lt;&gt;0,SUMIF(куб!$E:$E,$E130,куб!R:R),IF($D130&lt;&gt;0,SUMIF(куб!$D:$D,$D130,куб!R:R),IF($C130&lt;&gt;0,SUMIF(куб!$C:$C,$C130,куб!R:R),IF($B130&lt;&gt;0,SUMIF(куб!$B:$B,$B130,куб!R:R))))))</f>
        <v>2141.7451999999998</v>
      </c>
      <c r="AG130" s="27">
        <f>IF($G130&lt;&gt;0,SUMIF(куб!$G:$G,$G130,куб!S:S),IF($E130&lt;&gt;0,SUMIF(куб!$E:$E,$E130,куб!S:S),IF($D130&lt;&gt;0,SUMIF(куб!$D:$D,$D130,куб!S:S),IF($C130&lt;&gt;0,SUMIF(куб!$C:$C,$C130,куб!S:S),IF($B130&lt;&gt;0,SUMIF(куб!$B:$B,$B130,куб!S:S))))))</f>
        <v>0</v>
      </c>
      <c r="AH130" s="16">
        <f t="shared" si="43"/>
        <v>-1</v>
      </c>
      <c r="AI130" s="8"/>
      <c r="AJ130" s="27">
        <f>IF($G130&lt;&gt;0,SUMIF(куб!$G:$G,$G130,куб!T:T),IF($E130&lt;&gt;0,SUMIF(куб!$E:$E,$E130,куб!T:T),IF($D130&lt;&gt;0,SUMIF(куб!$D:$D,$D130,куб!T:T),IF($C130&lt;&gt;0,SUMIF(куб!$C:$C,$C130,куб!T:T),IF($B130&lt;&gt;0,SUMIF(куб!$B:$B,$B130,куб!T:T))))))</f>
        <v>28</v>
      </c>
      <c r="AK130" s="27">
        <f>IF($G130&lt;&gt;0,SUMIF(куб!$G:$G,$G130,куб!U:U),IF($E130&lt;&gt;0,SUMIF(куб!$E:$E,$E130,куб!U:U),IF($D130&lt;&gt;0,SUMIF(куб!$D:$D,$D130,куб!U:U),IF($C130&lt;&gt;0,SUMIF(куб!$C:$C,$C130,куб!U:U),IF($B130&lt;&gt;0,SUMIF(куб!$B:$B,$B130,куб!U:U))))))</f>
        <v>0</v>
      </c>
      <c r="AL130" s="16">
        <f t="shared" si="44"/>
        <v>-1</v>
      </c>
      <c r="AM130" s="8"/>
      <c r="AN130" s="17">
        <f t="shared" si="45"/>
        <v>1.3099870889848075E-3</v>
      </c>
      <c r="AO130" s="17" t="str">
        <f t="shared" si="46"/>
        <v xml:space="preserve"> </v>
      </c>
      <c r="AP130" s="16" t="str">
        <f t="shared" si="47"/>
        <v>-</v>
      </c>
      <c r="AQ130" s="8"/>
      <c r="AR130" s="17">
        <f t="shared" si="48"/>
        <v>0.10521435490940972</v>
      </c>
      <c r="AS130" s="17" t="str">
        <f t="shared" si="49"/>
        <v>-</v>
      </c>
      <c r="AT130" s="13" t="str">
        <f t="shared" si="50"/>
        <v>-</v>
      </c>
      <c r="AU130" s="8"/>
    </row>
    <row r="131" spans="1:47" ht="15" customHeight="1" x14ac:dyDescent="0.25">
      <c r="A131" s="31" t="s">
        <v>26</v>
      </c>
      <c r="B131" s="31" t="s">
        <v>32</v>
      </c>
      <c r="C131" t="s">
        <v>33</v>
      </c>
      <c r="D131" s="31" t="s">
        <v>34</v>
      </c>
      <c r="E131" t="s">
        <v>203</v>
      </c>
      <c r="F131" s="31" t="s">
        <v>286</v>
      </c>
      <c r="G131" t="s">
        <v>287</v>
      </c>
      <c r="H131" s="27">
        <f>IF($G131&lt;&gt;0,SUMIF(куб!$G:$G,$G131,куб!H:H),IF($E131&lt;&gt;0,SUMIF(куб!$E:$E,$E131,куб!H:H),IF($D131&lt;&gt;0,SUMIF(куб!$D:$D,$D131,куб!H:H),IF($C131&lt;&gt;0,SUMIF(куб!$C:$C,$C131,куб!H:H),IF($B131&lt;&gt;0,SUMIF(куб!$B:$B,$B131,куб!H:H),IF($G131&lt;&gt;0,SUMIF(куб!$A:$A,$G131,куб!H:H),SUMIF(куб!$A:$A,$G131,куб!H:H)))))))</f>
        <v>0</v>
      </c>
      <c r="I131" s="27">
        <f>IF($G131&lt;&gt;0,SUMIF(куб!$G:$G,$G131,куб!I:I),IF($E131&lt;&gt;0,SUMIF(куб!$E:$E,$E131,куб!I:I),IF($D131&lt;&gt;0,SUMIF(куб!$D:$D,$D131,куб!I:I),IF($C131&lt;&gt;0,SUMIF(куб!$C:$C,$C131,куб!I:I),IF($B131&lt;&gt;0,SUMIF(куб!$B:$B,$B131,куб!I:I),IF($G131&lt;&gt;0,SUMIF(куб!$A:$A,$G131,куб!I:I),SUMIF(куб!$A:$A,$G131,куб!I:I)))))))</f>
        <v>72922.046000000002</v>
      </c>
      <c r="J131" s="19" t="str">
        <f t="shared" si="51"/>
        <v>-</v>
      </c>
      <c r="K131" s="10"/>
      <c r="L131" s="17">
        <f t="shared" si="34"/>
        <v>0</v>
      </c>
      <c r="M131" s="17">
        <f t="shared" si="35"/>
        <v>1.5548256485178955E-4</v>
      </c>
      <c r="N131" s="12">
        <f t="shared" si="36"/>
        <v>1.5548256485178955E-4</v>
      </c>
      <c r="O131" s="5"/>
      <c r="P131" s="27">
        <f>IF($G131&lt;&gt;0,SUMIF(куб!$G:$G,$G131,куб!J:J),IF($E131&lt;&gt;0,SUMIF(куб!$E:$E,$E131,куб!J:J),IF($D131&lt;&gt;0,SUMIF(куб!$D:$D,$D131,куб!J:J),IF($C131&lt;&gt;0,SUMIF(куб!$C:$C,$C131,куб!J:J),IF($B131&lt;&gt;0,SUMIF(куб!$B:$B,$B131,куб!J:J))))))</f>
        <v>0</v>
      </c>
      <c r="Q131" s="27">
        <f>IF($G131&lt;&gt;0,SUMIF(куб!$G:$G,$G131,куб!K:K),IF($E131&lt;&gt;0,SUMIF(куб!$E:$E,$E131,куб!K:K),IF($D131&lt;&gt;0,SUMIF(куб!$D:$D,$D131,куб!K:K),IF($C131&lt;&gt;0,SUMIF(куб!$C:$C,$C131,куб!K:K),IF($B131&lt;&gt;0,SUMIF(куб!$B:$B,$B131,куб!K:K))))))</f>
        <v>1297</v>
      </c>
      <c r="R131" s="13" t="str">
        <f t="shared" si="37"/>
        <v>-</v>
      </c>
      <c r="S131" s="5"/>
      <c r="T131" s="27">
        <f>IF($G131&lt;&gt;0,SUMIF(куб!$G:$G,$G131,куб!L:L),IF($E131&lt;&gt;0,SUMIF(куб!$E:$E,$E131,куб!L:L),IF($D131&lt;&gt;0,SUMIF(куб!$D:$D,$D131,куб!L:L),IF($C131&lt;&gt;0,SUMIF(куб!$C:$C,$C131,куб!L:L),IF($B131&lt;&gt;0,SUMIF(куб!$B:$B,$B131,куб!L:L))))))</f>
        <v>0</v>
      </c>
      <c r="U131" s="27">
        <f>IF($G131&lt;&gt;0,SUMIF(куб!$G:$G,$G131,куб!M:M),IF($E131&lt;&gt;0,SUMIF(куб!$E:$E,$E131,куб!M:M),IF($D131&lt;&gt;0,SUMIF(куб!$D:$D,$D131,куб!M:M),IF($C131&lt;&gt;0,SUMIF(куб!$C:$C,$C131,куб!M:M),IF($B131&lt;&gt;0,SUMIF(куб!$B:$B,$B131,куб!M:M))))))</f>
        <v>1198.4279999999999</v>
      </c>
      <c r="V131" s="13" t="str">
        <f t="shared" si="38"/>
        <v>-</v>
      </c>
      <c r="W131" s="5"/>
      <c r="X131" s="27">
        <f>IF($G131&lt;&gt;0,SUMIF(куб!$G:$G,$G131,куб!N:N),IF($E131&lt;&gt;0,SUMIF(куб!$E:$E,$E131,куб!N:N),IF($D131&lt;&gt;0,SUMIF(куб!$D:$D,$D131,куб!N:N),IF($C131&lt;&gt;0,SUMIF(куб!$C:$C,$C131,куб!N:N),IF($B131&lt;&gt;0,SUMIF(куб!$B:$B,$B131,куб!N:N))))))</f>
        <v>0</v>
      </c>
      <c r="Y131" s="27">
        <f>IF($G131&lt;&gt;0,SUMIF(куб!$G:$G,$G131,куб!O:O),IF($E131&lt;&gt;0,SUMIF(куб!$E:$E,$E131,куб!O:O),IF($D131&lt;&gt;0,SUMIF(куб!$D:$D,$D131,куб!O:O),IF($C131&lt;&gt;0,SUMIF(куб!$C:$C,$C131,куб!O:O),IF($B131&lt;&gt;0,SUMIF(куб!$B:$B,$B131,куб!O:O))))))</f>
        <v>11161.282200000001</v>
      </c>
      <c r="Z131" s="13" t="str">
        <f t="shared" si="39"/>
        <v>-</v>
      </c>
      <c r="AA131" s="5"/>
      <c r="AB131" s="33" t="str">
        <f t="shared" si="40"/>
        <v/>
      </c>
      <c r="AC131" s="33">
        <f t="shared" si="41"/>
        <v>0.15305772139196425</v>
      </c>
      <c r="AD131" s="15" t="str">
        <f t="shared" si="42"/>
        <v xml:space="preserve"> </v>
      </c>
      <c r="AE131" s="5"/>
      <c r="AF131" s="27">
        <f>IF($G131&lt;&gt;0,SUMIF(куб!$G:$G,$G131,куб!R:R),IF($E131&lt;&gt;0,SUMIF(куб!$E:$E,$E131,куб!R:R),IF($D131&lt;&gt;0,SUMIF(куб!$D:$D,$D131,куб!R:R),IF($C131&lt;&gt;0,SUMIF(куб!$C:$C,$C131,куб!R:R),IF($B131&lt;&gt;0,SUMIF(куб!$B:$B,$B131,куб!R:R))))))</f>
        <v>0</v>
      </c>
      <c r="AG131" s="27">
        <f>IF($G131&lt;&gt;0,SUMIF(куб!$G:$G,$G131,куб!S:S),IF($E131&lt;&gt;0,SUMIF(куб!$E:$E,$E131,куб!S:S),IF($D131&lt;&gt;0,SUMIF(куб!$D:$D,$D131,куб!S:S),IF($C131&lt;&gt;0,SUMIF(куб!$C:$C,$C131,куб!S:S),IF($B131&lt;&gt;0,SUMIF(куб!$B:$B,$B131,куб!S:S))))))</f>
        <v>333.327</v>
      </c>
      <c r="AH131" s="16" t="str">
        <f t="shared" si="43"/>
        <v>-</v>
      </c>
      <c r="AI131" s="8"/>
      <c r="AJ131" s="27">
        <f>IF($G131&lt;&gt;0,SUMIF(куб!$G:$G,$G131,куб!T:T),IF($E131&lt;&gt;0,SUMIF(куб!$E:$E,$E131,куб!T:T),IF($D131&lt;&gt;0,SUMIF(куб!$D:$D,$D131,куб!T:T),IF($C131&lt;&gt;0,SUMIF(куб!$C:$C,$C131,куб!T:T),IF($B131&lt;&gt;0,SUMIF(куб!$B:$B,$B131,куб!T:T))))))</f>
        <v>0</v>
      </c>
      <c r="AK131" s="27">
        <f>IF($G131&lt;&gt;0,SUMIF(куб!$G:$G,$G131,куб!U:U),IF($E131&lt;&gt;0,SUMIF(куб!$E:$E,$E131,куб!U:U),IF($D131&lt;&gt;0,SUMIF(куб!$D:$D,$D131,куб!U:U),IF($C131&lt;&gt;0,SUMIF(куб!$C:$C,$C131,куб!U:U),IF($B131&lt;&gt;0,SUMIF(куб!$B:$B,$B131,куб!U:U))))))</f>
        <v>7</v>
      </c>
      <c r="AL131" s="16" t="str">
        <f t="shared" si="44"/>
        <v>-</v>
      </c>
      <c r="AM131" s="8"/>
      <c r="AN131" s="17" t="str">
        <f t="shared" si="45"/>
        <v xml:space="preserve"> </v>
      </c>
      <c r="AO131" s="17">
        <f t="shared" si="46"/>
        <v>4.5710044943061525E-3</v>
      </c>
      <c r="AP131" s="16" t="str">
        <f t="shared" si="47"/>
        <v>-</v>
      </c>
      <c r="AQ131" s="8"/>
      <c r="AR131" s="17" t="str">
        <f t="shared" si="48"/>
        <v>-</v>
      </c>
      <c r="AS131" s="17">
        <f t="shared" si="49"/>
        <v>0.14848671689765811</v>
      </c>
      <c r="AT131" s="13" t="str">
        <f t="shared" si="50"/>
        <v>-</v>
      </c>
      <c r="AU131" s="8"/>
    </row>
    <row r="132" spans="1:47" ht="15" customHeight="1" x14ac:dyDescent="0.25">
      <c r="A132" s="31" t="s">
        <v>26</v>
      </c>
      <c r="B132" s="31" t="s">
        <v>32</v>
      </c>
      <c r="C132" t="s">
        <v>33</v>
      </c>
      <c r="D132" s="31" t="s">
        <v>34</v>
      </c>
      <c r="E132" t="s">
        <v>203</v>
      </c>
      <c r="F132" s="31" t="s">
        <v>288</v>
      </c>
      <c r="G132" t="s">
        <v>289</v>
      </c>
      <c r="H132" s="27">
        <f>IF($G132&lt;&gt;0,SUMIF(куб!$G:$G,$G132,куб!H:H),IF($E132&lt;&gt;0,SUMIF(куб!$E:$E,$E132,куб!H:H),IF($D132&lt;&gt;0,SUMIF(куб!$D:$D,$D132,куб!H:H),IF($C132&lt;&gt;0,SUMIF(куб!$C:$C,$C132,куб!H:H),IF($B132&lt;&gt;0,SUMIF(куб!$B:$B,$B132,куб!H:H),IF($G132&lt;&gt;0,SUMIF(куб!$A:$A,$G132,куб!H:H),SUMIF(куб!$A:$A,$G132,куб!H:H)))))))</f>
        <v>165464.44139999995</v>
      </c>
      <c r="I132" s="27">
        <f>IF($G132&lt;&gt;0,SUMIF(куб!$G:$G,$G132,куб!I:I),IF($E132&lt;&gt;0,SUMIF(куб!$E:$E,$E132,куб!I:I),IF($D132&lt;&gt;0,SUMIF(куб!$D:$D,$D132,куб!I:I),IF($C132&lt;&gt;0,SUMIF(куб!$C:$C,$C132,куб!I:I),IF($B132&lt;&gt;0,SUMIF(куб!$B:$B,$B132,куб!I:I),IF($G132&lt;&gt;0,SUMIF(куб!$A:$A,$G132,куб!I:I),SUMIF(куб!$A:$A,$G132,куб!I:I)))))))</f>
        <v>138242.93229999999</v>
      </c>
      <c r="J132" s="19">
        <f t="shared" si="51"/>
        <v>-0.1645157646541934</v>
      </c>
      <c r="K132" s="5"/>
      <c r="L132" s="17">
        <f t="shared" si="34"/>
        <v>3.4563735311521972E-4</v>
      </c>
      <c r="M132" s="17">
        <f t="shared" si="35"/>
        <v>2.9475812687203398E-4</v>
      </c>
      <c r="N132" s="12">
        <f t="shared" si="36"/>
        <v>-5.0879226243185738E-5</v>
      </c>
      <c r="O132" s="5"/>
      <c r="P132" s="27">
        <f>IF($G132&lt;&gt;0,SUMIF(куб!$G:$G,$G132,куб!J:J),IF($E132&lt;&gt;0,SUMIF(куб!$E:$E,$E132,куб!J:J),IF($D132&lt;&gt;0,SUMIF(куб!$D:$D,$D132,куб!J:J),IF($C132&lt;&gt;0,SUMIF(куб!$C:$C,$C132,куб!J:J),IF($B132&lt;&gt;0,SUMIF(куб!$B:$B,$B132,куб!J:J))))))</f>
        <v>2267</v>
      </c>
      <c r="Q132" s="27">
        <f>IF($G132&lt;&gt;0,SUMIF(куб!$G:$G,$G132,куб!K:K),IF($E132&lt;&gt;0,SUMIF(куб!$E:$E,$E132,куб!K:K),IF($D132&lt;&gt;0,SUMIF(куб!$D:$D,$D132,куб!K:K),IF($C132&lt;&gt;0,SUMIF(куб!$C:$C,$C132,куб!K:K),IF($B132&lt;&gt;0,SUMIF(куб!$B:$B,$B132,куб!K:K))))))</f>
        <v>1816</v>
      </c>
      <c r="R132" s="13">
        <f t="shared" si="37"/>
        <v>-0.19894133215703572</v>
      </c>
      <c r="S132" s="5"/>
      <c r="T132" s="27">
        <f>IF($G132&lt;&gt;0,SUMIF(куб!$G:$G,$G132,куб!L:L),IF($E132&lt;&gt;0,SUMIF(куб!$E:$E,$E132,куб!L:L),IF($D132&lt;&gt;0,SUMIF(куб!$D:$D,$D132,куб!L:L),IF($C132&lt;&gt;0,SUMIF(куб!$C:$C,$C132,куб!L:L),IF($B132&lt;&gt;0,SUMIF(куб!$B:$B,$B132,куб!L:L))))))</f>
        <v>2101.5090000000009</v>
      </c>
      <c r="U132" s="27">
        <f>IF($G132&lt;&gt;0,SUMIF(куб!$G:$G,$G132,куб!M:M),IF($E132&lt;&gt;0,SUMIF(куб!$E:$E,$E132,куб!M:M),IF($D132&lt;&gt;0,SUMIF(куб!$D:$D,$D132,куб!M:M),IF($C132&lt;&gt;0,SUMIF(куб!$C:$C,$C132,куб!M:M),IF($B132&lt;&gt;0,SUMIF(куб!$B:$B,$B132,куб!M:M))))))</f>
        <v>1683.4320000000005</v>
      </c>
      <c r="V132" s="13">
        <f t="shared" si="38"/>
        <v>-0.19894133215703586</v>
      </c>
      <c r="W132" s="5"/>
      <c r="X132" s="27">
        <f>IF($G132&lt;&gt;0,SUMIF(куб!$G:$G,$G132,куб!N:N),IF($E132&lt;&gt;0,SUMIF(куб!$E:$E,$E132,куб!N:N),IF($D132&lt;&gt;0,SUMIF(куб!$D:$D,$D132,куб!N:N),IF($C132&lt;&gt;0,SUMIF(куб!$C:$C,$C132,куб!N:N),IF($B132&lt;&gt;0,SUMIF(куб!$B:$B,$B132,куб!N:N))))))</f>
        <v>12287.178599999897</v>
      </c>
      <c r="Y132" s="27">
        <f>IF($G132&lt;&gt;0,SUMIF(куб!$G:$G,$G132,куб!O:O),IF($E132&lt;&gt;0,SUMIF(куб!$E:$E,$E132,куб!O:O),IF($D132&lt;&gt;0,SUMIF(куб!$D:$D,$D132,куб!O:O),IF($C132&lt;&gt;0,SUMIF(куб!$C:$C,$C132,куб!O:O),IF($B132&lt;&gt;0,SUMIF(куб!$B:$B,$B132,куб!O:O))))))</f>
        <v>15547.394899999956</v>
      </c>
      <c r="Z132" s="13">
        <f t="shared" si="39"/>
        <v>0.26533481819822213</v>
      </c>
      <c r="AA132" s="5"/>
      <c r="AB132" s="33">
        <f t="shared" si="40"/>
        <v>7.4258725899278927E-2</v>
      </c>
      <c r="AC132" s="33">
        <f t="shared" si="41"/>
        <v>0.11246430209003862</v>
      </c>
      <c r="AD132" s="15">
        <f t="shared" si="42"/>
        <v>3.8205576190759691E-2</v>
      </c>
      <c r="AE132" s="5"/>
      <c r="AF132" s="27">
        <f>IF($G132&lt;&gt;0,SUMIF(куб!$G:$G,$G132,куб!R:R),IF($E132&lt;&gt;0,SUMIF(куб!$E:$E,$E132,куб!R:R),IF($D132&lt;&gt;0,SUMIF(куб!$D:$D,$D132,куб!R:R),IF($C132&lt;&gt;0,SUMIF(куб!$C:$C,$C132,куб!R:R),IF($B132&lt;&gt;0,SUMIF(куб!$B:$B,$B132,куб!R:R))))))</f>
        <v>6891.4886999999999</v>
      </c>
      <c r="AG132" s="27">
        <f>IF($G132&lt;&gt;0,SUMIF(куб!$G:$G,$G132,куб!S:S),IF($E132&lt;&gt;0,SUMIF(куб!$E:$E,$E132,куб!S:S),IF($D132&lt;&gt;0,SUMIF(куб!$D:$D,$D132,куб!S:S),IF($C132&lt;&gt;0,SUMIF(куб!$C:$C,$C132,куб!S:S),IF($B132&lt;&gt;0,SUMIF(куб!$B:$B,$B132,куб!S:S))))))</f>
        <v>7229.3071</v>
      </c>
      <c r="AH132" s="16">
        <f t="shared" si="43"/>
        <v>4.9019655216150919E-2</v>
      </c>
      <c r="AI132" s="8"/>
      <c r="AJ132" s="27">
        <f>IF($G132&lt;&gt;0,SUMIF(куб!$G:$G,$G132,куб!T:T),IF($E132&lt;&gt;0,SUMIF(куб!$E:$E,$E132,куб!T:T),IF($D132&lt;&gt;0,SUMIF(куб!$D:$D,$D132,куб!T:T),IF($C132&lt;&gt;0,SUMIF(куб!$C:$C,$C132,куб!T:T),IF($B132&lt;&gt;0,SUMIF(куб!$B:$B,$B132,куб!T:T))))))</f>
        <v>102</v>
      </c>
      <c r="AK132" s="27">
        <f>IF($G132&lt;&gt;0,SUMIF(куб!$G:$G,$G132,куб!U:U),IF($E132&lt;&gt;0,SUMIF(куб!$E:$E,$E132,куб!U:U),IF($D132&lt;&gt;0,SUMIF(куб!$D:$D,$D132,куб!U:U),IF($C132&lt;&gt;0,SUMIF(куб!$C:$C,$C132,куб!U:U),IF($B132&lt;&gt;0,SUMIF(куб!$B:$B,$B132,куб!U:U))))))</f>
        <v>107</v>
      </c>
      <c r="AL132" s="16">
        <f t="shared" si="44"/>
        <v>4.9019607843137254E-2</v>
      </c>
      <c r="AM132" s="8"/>
      <c r="AN132" s="17">
        <f t="shared" si="45"/>
        <v>4.1649363704315517E-2</v>
      </c>
      <c r="AO132" s="17">
        <f t="shared" si="46"/>
        <v>5.2294225677387493E-2</v>
      </c>
      <c r="AP132" s="16">
        <f t="shared" si="47"/>
        <v>1.0644861973071976E-2</v>
      </c>
      <c r="AQ132" s="8"/>
      <c r="AR132" s="17">
        <f t="shared" si="48"/>
        <v>3.2609362194963416E-2</v>
      </c>
      <c r="AS132" s="17">
        <f t="shared" si="49"/>
        <v>6.0170076412651124E-2</v>
      </c>
      <c r="AT132" s="13">
        <f t="shared" si="50"/>
        <v>2.7560714217687708E-2</v>
      </c>
      <c r="AU132" s="8"/>
    </row>
    <row r="133" spans="1:47" ht="15" customHeight="1" x14ac:dyDescent="0.25">
      <c r="A133" s="31" t="s">
        <v>26</v>
      </c>
      <c r="B133" s="31" t="s">
        <v>32</v>
      </c>
      <c r="C133" t="s">
        <v>33</v>
      </c>
      <c r="D133" s="31" t="s">
        <v>34</v>
      </c>
      <c r="E133" t="s">
        <v>203</v>
      </c>
      <c r="F133" s="31" t="s">
        <v>290</v>
      </c>
      <c r="G133" t="s">
        <v>291</v>
      </c>
      <c r="H133" s="27">
        <f>IF($G133&lt;&gt;0,SUMIF(куб!$G:$G,$G133,куб!H:H),IF($E133&lt;&gt;0,SUMIF(куб!$E:$E,$E133,куб!H:H),IF($D133&lt;&gt;0,SUMIF(куб!$D:$D,$D133,куб!H:H),IF($C133&lt;&gt;0,SUMIF(куб!$C:$C,$C133,куб!H:H),IF($B133&lt;&gt;0,SUMIF(куб!$B:$B,$B133,куб!H:H),IF($G133&lt;&gt;0,SUMIF(куб!$A:$A,$G133,куб!H:H),SUMIF(куб!$A:$A,$G133,куб!H:H)))))))</f>
        <v>473900.96519999957</v>
      </c>
      <c r="I133" s="27">
        <f>IF($G133&lt;&gt;0,SUMIF(куб!$G:$G,$G133,куб!I:I),IF($E133&lt;&gt;0,SUMIF(куб!$E:$E,$E133,куб!I:I),IF($D133&lt;&gt;0,SUMIF(куб!$D:$D,$D133,куб!I:I),IF($C133&lt;&gt;0,SUMIF(куб!$C:$C,$C133,куб!I:I),IF($B133&lt;&gt;0,SUMIF(куб!$B:$B,$B133,куб!I:I),IF($G133&lt;&gt;0,SUMIF(куб!$A:$A,$G133,куб!I:I),SUMIF(куб!$A:$A,$G133,куб!I:I)))))))</f>
        <v>479277.22579999984</v>
      </c>
      <c r="J133" s="19">
        <f t="shared" si="51"/>
        <v>1.1344692234866702E-2</v>
      </c>
      <c r="K133" s="5"/>
      <c r="L133" s="17">
        <f t="shared" ref="L133:L196" si="52">H133/$H$3</f>
        <v>9.8992794986389005E-4</v>
      </c>
      <c r="M133" s="17">
        <f t="shared" ref="M133:M196" si="53">I133/$I$3</f>
        <v>1.0219029282644409E-3</v>
      </c>
      <c r="N133" s="12">
        <f t="shared" ref="N133:N196" si="54">M133-L133</f>
        <v>3.1974978400550833E-5</v>
      </c>
      <c r="O133" s="5"/>
      <c r="P133" s="27">
        <f>IF($G133&lt;&gt;0,SUMIF(куб!$G:$G,$G133,куб!J:J),IF($E133&lt;&gt;0,SUMIF(куб!$E:$E,$E133,куб!J:J),IF($D133&lt;&gt;0,SUMIF(куб!$D:$D,$D133,куб!J:J),IF($C133&lt;&gt;0,SUMIF(куб!$C:$C,$C133,куб!J:J),IF($B133&lt;&gt;0,SUMIF(куб!$B:$B,$B133,куб!J:J))))))</f>
        <v>5229</v>
      </c>
      <c r="Q133" s="27">
        <f>IF($G133&lt;&gt;0,SUMIF(куб!$G:$G,$G133,куб!K:K),IF($E133&lt;&gt;0,SUMIF(куб!$E:$E,$E133,куб!K:K),IF($D133&lt;&gt;0,SUMIF(куб!$D:$D,$D133,куб!K:K),IF($C133&lt;&gt;0,SUMIF(куб!$C:$C,$C133,куб!K:K),IF($B133&lt;&gt;0,SUMIF(куб!$B:$B,$B133,куб!K:K))))))</f>
        <v>5692</v>
      </c>
      <c r="R133" s="13">
        <f t="shared" ref="R133:R196" si="55">IFERROR((Q133-P133)/ABS(P133),"-")</f>
        <v>8.8544654809715045E-2</v>
      </c>
      <c r="S133" s="5"/>
      <c r="T133" s="27">
        <f>IF($G133&lt;&gt;0,SUMIF(куб!$G:$G,$G133,куб!L:L),IF($E133&lt;&gt;0,SUMIF(куб!$E:$E,$E133,куб!L:L),IF($D133&lt;&gt;0,SUMIF(куб!$D:$D,$D133,куб!L:L),IF($C133&lt;&gt;0,SUMIF(куб!$C:$C,$C133,куб!L:L),IF($B133&lt;&gt;0,SUMIF(куб!$B:$B,$B133,куб!L:L))))))</f>
        <v>4706.0999999999958</v>
      </c>
      <c r="U133" s="27">
        <f>IF($G133&lt;&gt;0,SUMIF(куб!$G:$G,$G133,куб!M:M),IF($E133&lt;&gt;0,SUMIF(куб!$E:$E,$E133,куб!M:M),IF($D133&lt;&gt;0,SUMIF(куб!$D:$D,$D133,куб!M:M),IF($C133&lt;&gt;0,SUMIF(куб!$C:$C,$C133,куб!M:M),IF($B133&lt;&gt;0,SUMIF(куб!$B:$B,$B133,куб!M:M))))))</f>
        <v>5122.7999999999965</v>
      </c>
      <c r="V133" s="13">
        <f t="shared" ref="V133:V196" si="56">IFERROR((U133-T133)/ABS(T133),"-")</f>
        <v>8.8544654809715281E-2</v>
      </c>
      <c r="W133" s="5"/>
      <c r="X133" s="27">
        <f>IF($G133&lt;&gt;0,SUMIF(куб!$G:$G,$G133,куб!N:N),IF($E133&lt;&gt;0,SUMIF(куб!$E:$E,$E133,куб!N:N),IF($D133&lt;&gt;0,SUMIF(куб!$D:$D,$D133,куб!N:N),IF($C133&lt;&gt;0,SUMIF(куб!$C:$C,$C133,куб!N:N),IF($B133&lt;&gt;0,SUMIF(куб!$B:$B,$B133,куб!N:N))))))</f>
        <v>44557.35649999982</v>
      </c>
      <c r="Y133" s="27">
        <f>IF($G133&lt;&gt;0,SUMIF(куб!$G:$G,$G133,куб!O:O),IF($E133&lt;&gt;0,SUMIF(куб!$E:$E,$E133,куб!O:O),IF($D133&lt;&gt;0,SUMIF(куб!$D:$D,$D133,куб!O:O),IF($C133&lt;&gt;0,SUMIF(куб!$C:$C,$C133,куб!O:O),IF($B133&lt;&gt;0,SUMIF(куб!$B:$B,$B133,куб!O:O))))))</f>
        <v>57921.225799999782</v>
      </c>
      <c r="Z133" s="13">
        <f t="shared" ref="Z133:Z196" si="57">IFERROR((Y133-X133)/ABS(X133),"-")</f>
        <v>0.29992509317737504</v>
      </c>
      <c r="AA133" s="5"/>
      <c r="AB133" s="33">
        <f t="shared" ref="AB133:AB196" si="58">IFERROR(X133/H133,"")</f>
        <v>9.4022506329345334E-2</v>
      </c>
      <c r="AC133" s="33">
        <f t="shared" ref="AC133:AC196" si="59">IFERROR(Y133/I133,"")</f>
        <v>0.12085119567974223</v>
      </c>
      <c r="AD133" s="15">
        <f t="shared" ref="AD133:AD196" si="60">IFERROR(AC133-AB133," ")</f>
        <v>2.6828689350396895E-2</v>
      </c>
      <c r="AE133" s="5"/>
      <c r="AF133" s="27">
        <f>IF($G133&lt;&gt;0,SUMIF(куб!$G:$G,$G133,куб!R:R),IF($E133&lt;&gt;0,SUMIF(куб!$E:$E,$E133,куб!R:R),IF($D133&lt;&gt;0,SUMIF(куб!$D:$D,$D133,куб!R:R),IF($C133&lt;&gt;0,SUMIF(куб!$C:$C,$C133,куб!R:R),IF($B133&lt;&gt;0,SUMIF(куб!$B:$B,$B133,куб!R:R))))))</f>
        <v>11317.517799999998</v>
      </c>
      <c r="AG133" s="27">
        <f>IF($G133&lt;&gt;0,SUMIF(куб!$G:$G,$G133,куб!S:S),IF($E133&lt;&gt;0,SUMIF(куб!$E:$E,$E133,куб!S:S),IF($D133&lt;&gt;0,SUMIF(куб!$D:$D,$D133,куб!S:S),IF($C133&lt;&gt;0,SUMIF(куб!$C:$C,$C133,куб!S:S),IF($B133&lt;&gt;0,SUMIF(куб!$B:$B,$B133,куб!S:S))))))</f>
        <v>3891.3451999999997</v>
      </c>
      <c r="AH133" s="16">
        <f t="shared" ref="AH133:AH196" si="61">IFERROR((AG133-AF133)/ABS(AF133),"-")</f>
        <v>-0.65616619573595891</v>
      </c>
      <c r="AI133" s="8"/>
      <c r="AJ133" s="27">
        <f>IF($G133&lt;&gt;0,SUMIF(куб!$G:$G,$G133,куб!T:T),IF($E133&lt;&gt;0,SUMIF(куб!$E:$E,$E133,куб!T:T),IF($D133&lt;&gt;0,SUMIF(куб!$D:$D,$D133,куб!T:T),IF($C133&lt;&gt;0,SUMIF(куб!$C:$C,$C133,куб!T:T),IF($B133&lt;&gt;0,SUMIF(куб!$B:$B,$B133,куб!T:T))))))</f>
        <v>138</v>
      </c>
      <c r="AK133" s="27">
        <f>IF($G133&lt;&gt;0,SUMIF(куб!$G:$G,$G133,куб!U:U),IF($E133&lt;&gt;0,SUMIF(куб!$E:$E,$E133,куб!U:U),IF($D133&lt;&gt;0,SUMIF(куб!$D:$D,$D133,куб!U:U),IF($C133&lt;&gt;0,SUMIF(куб!$C:$C,$C133,куб!U:U),IF($B133&lt;&gt;0,SUMIF(куб!$B:$B,$B133,куб!U:U))))))</f>
        <v>50</v>
      </c>
      <c r="AL133" s="16">
        <f t="shared" ref="AL133:AL196" si="62">IFERROR((AK133-AJ133)/ABS(AJ133),"-")</f>
        <v>-0.6376811594202898</v>
      </c>
      <c r="AM133" s="8"/>
      <c r="AN133" s="17">
        <f t="shared" ref="AN133:AN196" si="63">IFERROR(AF133/H133," ")</f>
        <v>2.3881609515658375E-2</v>
      </c>
      <c r="AO133" s="17">
        <f t="shared" ref="AO133:AO196" si="64">IFERROR(AG133/I133," ")</f>
        <v>8.1191948845569396E-3</v>
      </c>
      <c r="AP133" s="16">
        <f t="shared" ref="AP133:AP196" si="65">IFERROR(AO133-AN133,"-")</f>
        <v>-1.5762414631101437E-2</v>
      </c>
      <c r="AQ133" s="8"/>
      <c r="AR133" s="17">
        <f t="shared" ref="AR133:AR196" si="66">IFERROR((X133-AF133)/H133,"-")</f>
        <v>7.0140896813686945E-2</v>
      </c>
      <c r="AS133" s="17">
        <f t="shared" ref="AS133:AS196" si="67">IFERROR((Y133-AG133)/I133,"-")</f>
        <v>0.11273200079518529</v>
      </c>
      <c r="AT133" s="13">
        <f t="shared" ref="AT133:AT196" si="68">IFERROR(AS133-AR133,"-")</f>
        <v>4.2591103981498346E-2</v>
      </c>
      <c r="AU133" s="8"/>
    </row>
    <row r="134" spans="1:47" ht="15" customHeight="1" x14ac:dyDescent="0.25">
      <c r="A134" s="31" t="s">
        <v>26</v>
      </c>
      <c r="B134" s="31" t="s">
        <v>32</v>
      </c>
      <c r="C134" t="s">
        <v>33</v>
      </c>
      <c r="D134" s="31" t="s">
        <v>34</v>
      </c>
      <c r="E134" t="s">
        <v>203</v>
      </c>
      <c r="F134" s="31" t="s">
        <v>292</v>
      </c>
      <c r="G134" t="s">
        <v>293</v>
      </c>
      <c r="H134" s="27">
        <f>IF($G134&lt;&gt;0,SUMIF(куб!$G:$G,$G134,куб!H:H),IF($E134&lt;&gt;0,SUMIF(куб!$E:$E,$E134,куб!H:H),IF($D134&lt;&gt;0,SUMIF(куб!$D:$D,$D134,куб!H:H),IF($C134&lt;&gt;0,SUMIF(куб!$C:$C,$C134,куб!H:H),IF($B134&lt;&gt;0,SUMIF(куб!$B:$B,$B134,куб!H:H),IF($G134&lt;&gt;0,SUMIF(куб!$A:$A,$G134,куб!H:H),SUMIF(куб!$A:$A,$G134,куб!H:H)))))))</f>
        <v>1505048.1301000004</v>
      </c>
      <c r="I134" s="27">
        <f>IF($G134&lt;&gt;0,SUMIF(куб!$G:$G,$G134,куб!I:I),IF($E134&lt;&gt;0,SUMIF(куб!$E:$E,$E134,куб!I:I),IF($D134&lt;&gt;0,SUMIF(куб!$D:$D,$D134,куб!I:I),IF($C134&lt;&gt;0,SUMIF(куб!$C:$C,$C134,куб!I:I),IF($B134&lt;&gt;0,SUMIF(куб!$B:$B,$B134,куб!I:I),IF($G134&lt;&gt;0,SUMIF(куб!$A:$A,$G134,куб!I:I),SUMIF(куб!$A:$A,$G134,куб!I:I)))))))</f>
        <v>1703533.2142000003</v>
      </c>
      <c r="J134" s="19">
        <f t="shared" si="51"/>
        <v>0.13187955928479966</v>
      </c>
      <c r="K134" s="8"/>
      <c r="L134" s="17">
        <f t="shared" si="52"/>
        <v>3.143883045791222E-3</v>
      </c>
      <c r="M134" s="17">
        <f t="shared" si="53"/>
        <v>3.6322309642001682E-3</v>
      </c>
      <c r="N134" s="12">
        <f t="shared" si="54"/>
        <v>4.883479184089462E-4</v>
      </c>
      <c r="O134" s="5"/>
      <c r="P134" s="27">
        <f>IF($G134&lt;&gt;0,SUMIF(куб!$G:$G,$G134,куб!J:J),IF($E134&lt;&gt;0,SUMIF(куб!$E:$E,$E134,куб!J:J),IF($D134&lt;&gt;0,SUMIF(куб!$D:$D,$D134,куб!J:J),IF($C134&lt;&gt;0,SUMIF(куб!$C:$C,$C134,куб!J:J),IF($B134&lt;&gt;0,SUMIF(куб!$B:$B,$B134,куб!J:J))))))</f>
        <v>12906</v>
      </c>
      <c r="Q134" s="27">
        <f>IF($G134&lt;&gt;0,SUMIF(куб!$G:$G,$G134,куб!K:K),IF($E134&lt;&gt;0,SUMIF(куб!$E:$E,$E134,куб!K:K),IF($D134&lt;&gt;0,SUMIF(куб!$D:$D,$D134,куб!K:K),IF($C134&lt;&gt;0,SUMIF(куб!$C:$C,$C134,куб!K:K),IF($B134&lt;&gt;0,SUMIF(куб!$B:$B,$B134,куб!K:K))))))</f>
        <v>13802</v>
      </c>
      <c r="R134" s="13">
        <f t="shared" si="55"/>
        <v>6.9425073609174034E-2</v>
      </c>
      <c r="S134" s="5"/>
      <c r="T134" s="27">
        <f>IF($G134&lt;&gt;0,SUMIF(куб!$G:$G,$G134,куб!L:L),IF($E134&lt;&gt;0,SUMIF(куб!$E:$E,$E134,куб!L:L),IF($D134&lt;&gt;0,SUMIF(куб!$D:$D,$D134,куб!L:L),IF($C134&lt;&gt;0,SUMIF(куб!$C:$C,$C134,куб!L:L),IF($B134&lt;&gt;0,SUMIF(куб!$B:$B,$B134,куб!L:L))))))</f>
        <v>18068.400000000005</v>
      </c>
      <c r="U134" s="27">
        <f>IF($G134&lt;&gt;0,SUMIF(куб!$G:$G,$G134,куб!M:M),IF($E134&lt;&gt;0,SUMIF(куб!$E:$E,$E134,куб!M:M),IF($D134&lt;&gt;0,SUMIF(куб!$D:$D,$D134,куб!M:M),IF($C134&lt;&gt;0,SUMIF(куб!$C:$C,$C134,куб!M:M),IF($B134&lt;&gt;0,SUMIF(куб!$B:$B,$B134,куб!M:M))))))</f>
        <v>19322.800000000003</v>
      </c>
      <c r="V134" s="13">
        <f t="shared" si="56"/>
        <v>6.9425073609173882E-2</v>
      </c>
      <c r="W134" s="5"/>
      <c r="X134" s="27">
        <f>IF($G134&lt;&gt;0,SUMIF(куб!$G:$G,$G134,куб!N:N),IF($E134&lt;&gt;0,SUMIF(куб!$E:$E,$E134,куб!N:N),IF($D134&lt;&gt;0,SUMIF(куб!$D:$D,$D134,куб!N:N),IF($C134&lt;&gt;0,SUMIF(куб!$C:$C,$C134,куб!N:N),IF($B134&lt;&gt;0,SUMIF(куб!$B:$B,$B134,куб!N:N))))))</f>
        <v>190982.74180000019</v>
      </c>
      <c r="Y134" s="27">
        <f>IF($G134&lt;&gt;0,SUMIF(куб!$G:$G,$G134,куб!O:O),IF($E134&lt;&gt;0,SUMIF(куб!$E:$E,$E134,куб!O:O),IF($D134&lt;&gt;0,SUMIF(куб!$D:$D,$D134,куб!O:O),IF($C134&lt;&gt;0,SUMIF(куб!$C:$C,$C134,куб!O:O),IF($B134&lt;&gt;0,SUMIF(куб!$B:$B,$B134,куб!O:O))))))</f>
        <v>276887.55529999989</v>
      </c>
      <c r="Z134" s="13">
        <f t="shared" si="57"/>
        <v>0.44980406444243232</v>
      </c>
      <c r="AA134" s="5"/>
      <c r="AB134" s="33">
        <f t="shared" si="58"/>
        <v>0.12689477364907303</v>
      </c>
      <c r="AC134" s="33">
        <f t="shared" si="59"/>
        <v>0.16253722145947688</v>
      </c>
      <c r="AD134" s="15">
        <f t="shared" si="60"/>
        <v>3.5642447810403849E-2</v>
      </c>
      <c r="AE134" s="5"/>
      <c r="AF134" s="27">
        <f>IF($G134&lt;&gt;0,SUMIF(куб!$G:$G,$G134,куб!R:R),IF($E134&lt;&gt;0,SUMIF(куб!$E:$E,$E134,куб!R:R),IF($D134&lt;&gt;0,SUMIF(куб!$D:$D,$D134,куб!R:R),IF($C134&lt;&gt;0,SUMIF(куб!$C:$C,$C134,куб!R:R),IF($B134&lt;&gt;0,SUMIF(куб!$B:$B,$B134,куб!R:R))))))</f>
        <v>2137.6268</v>
      </c>
      <c r="AG134" s="27">
        <f>IF($G134&lt;&gt;0,SUMIF(куб!$G:$G,$G134,куб!S:S),IF($E134&lt;&gt;0,SUMIF(куб!$E:$E,$E134,куб!S:S),IF($D134&lt;&gt;0,SUMIF(куб!$D:$D,$D134,куб!S:S),IF($C134&lt;&gt;0,SUMIF(куб!$C:$C,$C134,куб!S:S),IF($B134&lt;&gt;0,SUMIF(куб!$B:$B,$B134,куб!S:S))))))</f>
        <v>2825.4623999999999</v>
      </c>
      <c r="AH134" s="16">
        <f t="shared" si="61"/>
        <v>0.32177534450821815</v>
      </c>
      <c r="AI134" s="8"/>
      <c r="AJ134" s="27">
        <f>IF($G134&lt;&gt;0,SUMIF(куб!$G:$G,$G134,куб!T:T),IF($E134&lt;&gt;0,SUMIF(куб!$E:$E,$E134,куб!T:T),IF($D134&lt;&gt;0,SUMIF(куб!$D:$D,$D134,куб!T:T),IF($C134&lt;&gt;0,SUMIF(куб!$C:$C,$C134,куб!T:T),IF($B134&lt;&gt;0,SUMIF(куб!$B:$B,$B134,куб!T:T))))))</f>
        <v>21</v>
      </c>
      <c r="AK134" s="27">
        <f>IF($G134&lt;&gt;0,SUMIF(куб!$G:$G,$G134,куб!U:U),IF($E134&lt;&gt;0,SUMIF(куб!$E:$E,$E134,куб!U:U),IF($D134&lt;&gt;0,SUMIF(куб!$D:$D,$D134,куб!U:U),IF($C134&lt;&gt;0,SUMIF(куб!$C:$C,$C134,куб!U:U),IF($B134&lt;&gt;0,SUMIF(куб!$B:$B,$B134,куб!U:U))))))</f>
        <v>27</v>
      </c>
      <c r="AL134" s="16">
        <f t="shared" si="62"/>
        <v>0.2857142857142857</v>
      </c>
      <c r="AM134" s="8"/>
      <c r="AN134" s="17">
        <f t="shared" si="63"/>
        <v>1.4203046116923643E-3</v>
      </c>
      <c r="AO134" s="17">
        <f t="shared" si="64"/>
        <v>1.6585895575431274E-3</v>
      </c>
      <c r="AP134" s="16">
        <f t="shared" si="65"/>
        <v>2.3828494585076301E-4</v>
      </c>
      <c r="AQ134" s="8"/>
      <c r="AR134" s="17">
        <f t="shared" si="66"/>
        <v>0.12547446903738069</v>
      </c>
      <c r="AS134" s="17">
        <f t="shared" si="67"/>
        <v>0.16087863190193374</v>
      </c>
      <c r="AT134" s="13">
        <f t="shared" si="68"/>
        <v>3.5404162864553057E-2</v>
      </c>
      <c r="AU134" s="8"/>
    </row>
    <row r="135" spans="1:47" ht="15" customHeight="1" x14ac:dyDescent="0.25">
      <c r="A135" s="31" t="s">
        <v>26</v>
      </c>
      <c r="B135" s="31" t="s">
        <v>32</v>
      </c>
      <c r="C135" t="s">
        <v>33</v>
      </c>
      <c r="D135" s="31" t="s">
        <v>34</v>
      </c>
      <c r="E135" t="s">
        <v>203</v>
      </c>
      <c r="F135" s="31" t="s">
        <v>294</v>
      </c>
      <c r="G135" t="s">
        <v>295</v>
      </c>
      <c r="H135" s="27">
        <f>IF($G135&lt;&gt;0,SUMIF(куб!$G:$G,$G135,куб!H:H),IF($E135&lt;&gt;0,SUMIF(куб!$E:$E,$E135,куб!H:H),IF($D135&lt;&gt;0,SUMIF(куб!$D:$D,$D135,куб!H:H),IF($C135&lt;&gt;0,SUMIF(куб!$C:$C,$C135,куб!H:H),IF($B135&lt;&gt;0,SUMIF(куб!$B:$B,$B135,куб!H:H),IF($G135&lt;&gt;0,SUMIF(куб!$A:$A,$G135,куб!H:H),SUMIF(куб!$A:$A,$G135,куб!H:H)))))))</f>
        <v>396685.62339999992</v>
      </c>
      <c r="I135" s="27">
        <f>IF($G135&lt;&gt;0,SUMIF(куб!$G:$G,$G135,куб!I:I),IF($E135&lt;&gt;0,SUMIF(куб!$E:$E,$E135,куб!I:I),IF($D135&lt;&gt;0,SUMIF(куб!$D:$D,$D135,куб!I:I),IF($C135&lt;&gt;0,SUMIF(куб!$C:$C,$C135,куб!I:I),IF($B135&lt;&gt;0,SUMIF(куб!$B:$B,$B135,куб!I:I),IF($G135&lt;&gt;0,SUMIF(куб!$A:$A,$G135,куб!I:I),SUMIF(куб!$A:$A,$G135,куб!I:I)))))))</f>
        <v>591081.73050000006</v>
      </c>
      <c r="J135" s="19">
        <f t="shared" si="51"/>
        <v>0.49005080001091911</v>
      </c>
      <c r="K135" s="10"/>
      <c r="L135" s="17">
        <f t="shared" si="52"/>
        <v>8.2863343767851318E-4</v>
      </c>
      <c r="M135" s="17">
        <f t="shared" si="53"/>
        <v>1.2602897002529831E-3</v>
      </c>
      <c r="N135" s="12">
        <f t="shared" si="54"/>
        <v>4.3165626257446997E-4</v>
      </c>
      <c r="O135" s="5"/>
      <c r="P135" s="27">
        <f>IF($G135&lt;&gt;0,SUMIF(куб!$G:$G,$G135,куб!J:J),IF($E135&lt;&gt;0,SUMIF(куб!$E:$E,$E135,куб!J:J),IF($D135&lt;&gt;0,SUMIF(куб!$D:$D,$D135,куб!J:J),IF($C135&lt;&gt;0,SUMIF(куб!$C:$C,$C135,куб!J:J),IF($B135&lt;&gt;0,SUMIF(куб!$B:$B,$B135,куб!J:J))))))</f>
        <v>4765</v>
      </c>
      <c r="Q135" s="27">
        <f>IF($G135&lt;&gt;0,SUMIF(куб!$G:$G,$G135,куб!K:K),IF($E135&lt;&gt;0,SUMIF(куб!$E:$E,$E135,куб!K:K),IF($D135&lt;&gt;0,SUMIF(куб!$D:$D,$D135,куб!K:K),IF($C135&lt;&gt;0,SUMIF(куб!$C:$C,$C135,куб!K:K),IF($B135&lt;&gt;0,SUMIF(куб!$B:$B,$B135,куб!K:K))))))</f>
        <v>6635</v>
      </c>
      <c r="R135" s="13">
        <f t="shared" si="55"/>
        <v>0.39244491080797483</v>
      </c>
      <c r="S135" s="5"/>
      <c r="T135" s="27">
        <f>IF($G135&lt;&gt;0,SUMIF(куб!$G:$G,$G135,куб!L:L),IF($E135&lt;&gt;0,SUMIF(куб!$E:$E,$E135,куб!L:L),IF($D135&lt;&gt;0,SUMIF(куб!$D:$D,$D135,куб!L:L),IF($C135&lt;&gt;0,SUMIF(куб!$C:$C,$C135,куб!L:L),IF($B135&lt;&gt;0,SUMIF(куб!$B:$B,$B135,куб!L:L))))))</f>
        <v>4402.8600000000015</v>
      </c>
      <c r="U135" s="27">
        <f>IF($G135&lt;&gt;0,SUMIF(куб!$G:$G,$G135,куб!M:M),IF($E135&lt;&gt;0,SUMIF(куб!$E:$E,$E135,куб!M:M),IF($D135&lt;&gt;0,SUMIF(куб!$D:$D,$D135,куб!M:M),IF($C135&lt;&gt;0,SUMIF(куб!$C:$C,$C135,куб!M:M),IF($B135&lt;&gt;0,SUMIF(куб!$B:$B,$B135,куб!M:M))))))</f>
        <v>6130.7399999999989</v>
      </c>
      <c r="V135" s="13">
        <f t="shared" si="56"/>
        <v>0.39244491080797411</v>
      </c>
      <c r="W135" s="5"/>
      <c r="X135" s="27">
        <f>IF($G135&lt;&gt;0,SUMIF(куб!$G:$G,$G135,куб!N:N),IF($E135&lt;&gt;0,SUMIF(куб!$E:$E,$E135,куб!N:N),IF($D135&lt;&gt;0,SUMIF(куб!$D:$D,$D135,куб!N:N),IF($C135&lt;&gt;0,SUMIF(куб!$C:$C,$C135,куб!N:N),IF($B135&lt;&gt;0,SUMIF(куб!$B:$B,$B135,куб!N:N))))))</f>
        <v>51861.765499999863</v>
      </c>
      <c r="Y135" s="27">
        <f>IF($G135&lt;&gt;0,SUMIF(куб!$G:$G,$G135,куб!O:O),IF($E135&lt;&gt;0,SUMIF(куб!$E:$E,$E135,куб!O:O),IF($D135&lt;&gt;0,SUMIF(куб!$D:$D,$D135,куб!O:O),IF($C135&lt;&gt;0,SUMIF(куб!$C:$C,$C135,куб!O:O),IF($B135&lt;&gt;0,SUMIF(куб!$B:$B,$B135,куб!O:O))))))</f>
        <v>116936.01769999997</v>
      </c>
      <c r="Z135" s="13">
        <f t="shared" si="57"/>
        <v>1.2547635348048511</v>
      </c>
      <c r="AA135" s="5"/>
      <c r="AB135" s="33">
        <f t="shared" si="58"/>
        <v>0.13073769867304919</v>
      </c>
      <c r="AC135" s="33">
        <f t="shared" si="59"/>
        <v>0.19783392323948668</v>
      </c>
      <c r="AD135" s="15">
        <f t="shared" si="60"/>
        <v>6.709622456643749E-2</v>
      </c>
      <c r="AE135" s="5"/>
      <c r="AF135" s="27">
        <f>IF($G135&lt;&gt;0,SUMIF(куб!$G:$G,$G135,куб!R:R),IF($E135&lt;&gt;0,SUMIF(куб!$E:$E,$E135,куб!R:R),IF($D135&lt;&gt;0,SUMIF(куб!$D:$D,$D135,куб!R:R),IF($C135&lt;&gt;0,SUMIF(куб!$C:$C,$C135,куб!R:R),IF($B135&lt;&gt;0,SUMIF(куб!$B:$B,$B135,куб!R:R))))))</f>
        <v>3690.1894000000007</v>
      </c>
      <c r="AG135" s="27">
        <f>IF($G135&lt;&gt;0,SUMIF(куб!$G:$G,$G135,куб!S:S),IF($E135&lt;&gt;0,SUMIF(куб!$E:$E,$E135,куб!S:S),IF($D135&lt;&gt;0,SUMIF(куб!$D:$D,$D135,куб!S:S),IF($C135&lt;&gt;0,SUMIF(куб!$C:$C,$C135,куб!S:S),IF($B135&lt;&gt;0,SUMIF(куб!$B:$B,$B135,куб!S:S))))))</f>
        <v>3476.0622000000003</v>
      </c>
      <c r="AH135" s="16">
        <f t="shared" si="61"/>
        <v>-5.8026073133265278E-2</v>
      </c>
      <c r="AI135" s="8"/>
      <c r="AJ135" s="27">
        <f>IF($G135&lt;&gt;0,SUMIF(куб!$G:$G,$G135,куб!T:T),IF($E135&lt;&gt;0,SUMIF(куб!$E:$E,$E135,куб!T:T),IF($D135&lt;&gt;0,SUMIF(куб!$D:$D,$D135,куб!T:T),IF($C135&lt;&gt;0,SUMIF(куб!$C:$C,$C135,куб!T:T),IF($B135&lt;&gt;0,SUMIF(куб!$B:$B,$B135,куб!T:T))))))</f>
        <v>51</v>
      </c>
      <c r="AK135" s="27">
        <f>IF($G135&lt;&gt;0,SUMIF(куб!$G:$G,$G135,куб!U:U),IF($E135&lt;&gt;0,SUMIF(куб!$E:$E,$E135,куб!U:U),IF($D135&lt;&gt;0,SUMIF(куб!$D:$D,$D135,куб!U:U),IF($C135&lt;&gt;0,SUMIF(куб!$C:$C,$C135,куб!U:U),IF($B135&lt;&gt;0,SUMIF(куб!$B:$B,$B135,куб!U:U))))))</f>
        <v>48</v>
      </c>
      <c r="AL135" s="16">
        <f t="shared" si="62"/>
        <v>-5.8823529411764705E-2</v>
      </c>
      <c r="AM135" s="8"/>
      <c r="AN135" s="17">
        <f t="shared" si="63"/>
        <v>9.3025539175615145E-3</v>
      </c>
      <c r="AO135" s="17">
        <f t="shared" si="64"/>
        <v>5.8808486553282163E-3</v>
      </c>
      <c r="AP135" s="16">
        <f t="shared" si="65"/>
        <v>-3.4217052622332982E-3</v>
      </c>
      <c r="AQ135" s="8"/>
      <c r="AR135" s="17">
        <f t="shared" si="66"/>
        <v>0.12143514475548768</v>
      </c>
      <c r="AS135" s="17">
        <f t="shared" si="67"/>
        <v>0.19195307458415847</v>
      </c>
      <c r="AT135" s="13">
        <f t="shared" si="68"/>
        <v>7.0517929828670792E-2</v>
      </c>
      <c r="AU135" s="8"/>
    </row>
    <row r="136" spans="1:47" ht="15" customHeight="1" x14ac:dyDescent="0.25">
      <c r="A136" s="31" t="s">
        <v>26</v>
      </c>
      <c r="B136" s="31" t="s">
        <v>32</v>
      </c>
      <c r="C136" t="s">
        <v>33</v>
      </c>
      <c r="D136" s="31" t="s">
        <v>34</v>
      </c>
      <c r="E136" t="s">
        <v>203</v>
      </c>
      <c r="F136" s="31" t="s">
        <v>296</v>
      </c>
      <c r="G136" t="s">
        <v>297</v>
      </c>
      <c r="H136" s="27">
        <f>IF($G136&lt;&gt;0,SUMIF(куб!$G:$G,$G136,куб!H:H),IF($E136&lt;&gt;0,SUMIF(куб!$E:$E,$E136,куб!H:H),IF($D136&lt;&gt;0,SUMIF(куб!$D:$D,$D136,куб!H:H),IF($C136&lt;&gt;0,SUMIF(куб!$C:$C,$C136,куб!H:H),IF($B136&lt;&gt;0,SUMIF(куб!$B:$B,$B136,куб!H:H),IF($G136&lt;&gt;0,SUMIF(куб!$A:$A,$G136,куб!H:H),SUMIF(куб!$A:$A,$G136,куб!H:H)))))))</f>
        <v>270668.09090000001</v>
      </c>
      <c r="I136" s="27">
        <f>IF($G136&lt;&gt;0,SUMIF(куб!$G:$G,$G136,куб!I:I),IF($E136&lt;&gt;0,SUMIF(куб!$E:$E,$E136,куб!I:I),IF($D136&lt;&gt;0,SUMIF(куб!$D:$D,$D136,куб!I:I),IF($C136&lt;&gt;0,SUMIF(куб!$C:$C,$C136,куб!I:I),IF($B136&lt;&gt;0,SUMIF(куб!$B:$B,$B136,куб!I:I),IF($G136&lt;&gt;0,SUMIF(куб!$A:$A,$G136,куб!I:I),SUMIF(куб!$A:$A,$G136,куб!I:I)))))))</f>
        <v>706615.72000000009</v>
      </c>
      <c r="J136" s="19">
        <f t="shared" si="51"/>
        <v>1.6106354748002549</v>
      </c>
      <c r="K136" s="5"/>
      <c r="L136" s="17">
        <f t="shared" si="52"/>
        <v>5.6539641822660354E-4</v>
      </c>
      <c r="M136" s="17">
        <f t="shared" si="53"/>
        <v>1.5066283865676777E-3</v>
      </c>
      <c r="N136" s="12">
        <f t="shared" si="54"/>
        <v>9.4123196834107416E-4</v>
      </c>
      <c r="O136" s="5"/>
      <c r="P136" s="27">
        <f>IF($G136&lt;&gt;0,SUMIF(куб!$G:$G,$G136,куб!J:J),IF($E136&lt;&gt;0,SUMIF(куб!$E:$E,$E136,куб!J:J),IF($D136&lt;&gt;0,SUMIF(куб!$D:$D,$D136,куб!J:J),IF($C136&lt;&gt;0,SUMIF(куб!$C:$C,$C136,куб!J:J),IF($B136&lt;&gt;0,SUMIF(куб!$B:$B,$B136,куб!J:J))))))</f>
        <v>4091</v>
      </c>
      <c r="Q136" s="27">
        <f>IF($G136&lt;&gt;0,SUMIF(куб!$G:$G,$G136,куб!K:K),IF($E136&lt;&gt;0,SUMIF(куб!$E:$E,$E136,куб!K:K),IF($D136&lt;&gt;0,SUMIF(куб!$D:$D,$D136,куб!K:K),IF($C136&lt;&gt;0,SUMIF(куб!$C:$C,$C136,куб!K:K),IF($B136&lt;&gt;0,SUMIF(куб!$B:$B,$B136,куб!K:K))))))</f>
        <v>10546</v>
      </c>
      <c r="R136" s="13">
        <f t="shared" si="55"/>
        <v>1.5778538254705452</v>
      </c>
      <c r="S136" s="5"/>
      <c r="T136" s="27">
        <f>IF($G136&lt;&gt;0,SUMIF(куб!$G:$G,$G136,куб!L:L),IF($E136&lt;&gt;0,SUMIF(куб!$E:$E,$E136,куб!L:L),IF($D136&lt;&gt;0,SUMIF(куб!$D:$D,$D136,куб!L:L),IF($C136&lt;&gt;0,SUMIF(куб!$C:$C,$C136,куб!L:L),IF($B136&lt;&gt;0,SUMIF(куб!$B:$B,$B136,куб!L:L))))))</f>
        <v>3681.9000000000005</v>
      </c>
      <c r="U136" s="27">
        <f>IF($G136&lt;&gt;0,SUMIF(куб!$G:$G,$G136,куб!M:M),IF($E136&lt;&gt;0,SUMIF(куб!$E:$E,$E136,куб!M:M),IF($D136&lt;&gt;0,SUMIF(куб!$D:$D,$D136,куб!M:M),IF($C136&lt;&gt;0,SUMIF(куб!$C:$C,$C136,куб!M:M),IF($B136&lt;&gt;0,SUMIF(куб!$B:$B,$B136,куб!M:M))))))</f>
        <v>9491.4000000000015</v>
      </c>
      <c r="V136" s="13">
        <f t="shared" si="56"/>
        <v>1.5778538254705452</v>
      </c>
      <c r="W136" s="5"/>
      <c r="X136" s="27">
        <f>IF($G136&lt;&gt;0,SUMIF(куб!$G:$G,$G136,куб!N:N),IF($E136&lt;&gt;0,SUMIF(куб!$E:$E,$E136,куб!N:N),IF($D136&lt;&gt;0,SUMIF(куб!$D:$D,$D136,куб!N:N),IF($C136&lt;&gt;0,SUMIF(куб!$C:$C,$C136,куб!N:N),IF($B136&lt;&gt;0,SUMIF(куб!$B:$B,$B136,куб!N:N))))))</f>
        <v>30786.751900000032</v>
      </c>
      <c r="Y136" s="27">
        <f>IF($G136&lt;&gt;0,SUMIF(куб!$G:$G,$G136,куб!O:O),IF($E136&lt;&gt;0,SUMIF(куб!$E:$E,$E136,куб!O:O),IF($D136&lt;&gt;0,SUMIF(куб!$D:$D,$D136,куб!O:O),IF($C136&lt;&gt;0,SUMIF(куб!$C:$C,$C136,куб!O:O),IF($B136&lt;&gt;0,SUMIF(куб!$B:$B,$B136,куб!O:O))))))</f>
        <v>69716.951500000199</v>
      </c>
      <c r="Z136" s="13">
        <f t="shared" si="57"/>
        <v>1.264511427722264</v>
      </c>
      <c r="AA136" s="5"/>
      <c r="AB136" s="33">
        <f t="shared" si="58"/>
        <v>0.11374355875356724</v>
      </c>
      <c r="AC136" s="33">
        <f t="shared" si="59"/>
        <v>9.8663176499951336E-2</v>
      </c>
      <c r="AD136" s="15">
        <f t="shared" si="60"/>
        <v>-1.5080382253615909E-2</v>
      </c>
      <c r="AE136" s="5"/>
      <c r="AF136" s="27">
        <f>IF($G136&lt;&gt;0,SUMIF(куб!$G:$G,$G136,куб!R:R),IF($E136&lt;&gt;0,SUMIF(куб!$E:$E,$E136,куб!R:R),IF($D136&lt;&gt;0,SUMIF(куб!$D:$D,$D136,куб!R:R),IF($C136&lt;&gt;0,SUMIF(куб!$C:$C,$C136,куб!R:R),IF($B136&lt;&gt;0,SUMIF(куб!$B:$B,$B136,куб!R:R))))))</f>
        <v>1700.4536999999998</v>
      </c>
      <c r="AG136" s="27">
        <f>IF($G136&lt;&gt;0,SUMIF(куб!$G:$G,$G136,куб!S:S),IF($E136&lt;&gt;0,SUMIF(куб!$E:$E,$E136,куб!S:S),IF($D136&lt;&gt;0,SUMIF(куб!$D:$D,$D136,куб!S:S),IF($C136&lt;&gt;0,SUMIF(куб!$C:$C,$C136,куб!S:S),IF($B136&lt;&gt;0,SUMIF(куб!$B:$B,$B136,куб!S:S))))))</f>
        <v>17875.706400000003</v>
      </c>
      <c r="AH136" s="16">
        <f t="shared" si="61"/>
        <v>9.5123158601730839</v>
      </c>
      <c r="AI136" s="8"/>
      <c r="AJ136" s="27">
        <f>IF($G136&lt;&gt;0,SUMIF(куб!$G:$G,$G136,куб!T:T),IF($E136&lt;&gt;0,SUMIF(куб!$E:$E,$E136,куб!T:T),IF($D136&lt;&gt;0,SUMIF(куб!$D:$D,$D136,куб!T:T),IF($C136&lt;&gt;0,SUMIF(куб!$C:$C,$C136,куб!T:T),IF($B136&lt;&gt;0,SUMIF(куб!$B:$B,$B136,куб!T:T))))))</f>
        <v>29</v>
      </c>
      <c r="AK136" s="27">
        <f>IF($G136&lt;&gt;0,SUMIF(куб!$G:$G,$G136,куб!U:U),IF($E136&lt;&gt;0,SUMIF(куб!$E:$E,$E136,куб!U:U),IF($D136&lt;&gt;0,SUMIF(куб!$D:$D,$D136,куб!U:U),IF($C136&lt;&gt;0,SUMIF(куб!$C:$C,$C136,куб!U:U),IF($B136&lt;&gt;0,SUMIF(куб!$B:$B,$B136,куб!U:U))))))</f>
        <v>296</v>
      </c>
      <c r="AL136" s="16">
        <f t="shared" si="62"/>
        <v>9.2068965517241388</v>
      </c>
      <c r="AM136" s="8"/>
      <c r="AN136" s="17">
        <f t="shared" si="63"/>
        <v>6.2824313510536521E-3</v>
      </c>
      <c r="AO136" s="17">
        <f t="shared" si="64"/>
        <v>2.5297634759668241E-2</v>
      </c>
      <c r="AP136" s="16">
        <f t="shared" si="65"/>
        <v>1.9015203408614588E-2</v>
      </c>
      <c r="AQ136" s="8"/>
      <c r="AR136" s="17">
        <f t="shared" si="66"/>
        <v>0.10746112740251361</v>
      </c>
      <c r="AS136" s="17">
        <f t="shared" si="67"/>
        <v>7.3365541740283091E-2</v>
      </c>
      <c r="AT136" s="13">
        <f t="shared" si="68"/>
        <v>-3.4095585662230518E-2</v>
      </c>
      <c r="AU136" s="8"/>
    </row>
    <row r="137" spans="1:47" ht="15" customHeight="1" x14ac:dyDescent="0.25">
      <c r="A137" s="31" t="s">
        <v>26</v>
      </c>
      <c r="B137" s="31" t="s">
        <v>32</v>
      </c>
      <c r="C137" t="s">
        <v>33</v>
      </c>
      <c r="D137" s="31" t="s">
        <v>34</v>
      </c>
      <c r="E137" t="s">
        <v>203</v>
      </c>
      <c r="F137" s="31" t="s">
        <v>298</v>
      </c>
      <c r="G137" t="s">
        <v>299</v>
      </c>
      <c r="H137" s="27">
        <f>IF($G137&lt;&gt;0,SUMIF(куб!$G:$G,$G137,куб!H:H),IF($E137&lt;&gt;0,SUMIF(куб!$E:$E,$E137,куб!H:H),IF($D137&lt;&gt;0,SUMIF(куб!$D:$D,$D137,куб!H:H),IF($C137&lt;&gt;0,SUMIF(куб!$C:$C,$C137,куб!H:H),IF($B137&lt;&gt;0,SUMIF(куб!$B:$B,$B137,куб!H:H),IF($G137&lt;&gt;0,SUMIF(куб!$A:$A,$G137,куб!H:H),SUMIF(куб!$A:$A,$G137,куб!H:H)))))))</f>
        <v>0</v>
      </c>
      <c r="I137" s="27">
        <f>IF($G137&lt;&gt;0,SUMIF(куб!$G:$G,$G137,куб!I:I),IF($E137&lt;&gt;0,SUMIF(куб!$E:$E,$E137,куб!I:I),IF($D137&lt;&gt;0,SUMIF(куб!$D:$D,$D137,куб!I:I),IF($C137&lt;&gt;0,SUMIF(куб!$C:$C,$C137,куб!I:I),IF($B137&lt;&gt;0,SUMIF(куб!$B:$B,$B137,куб!I:I),IF($G137&lt;&gt;0,SUMIF(куб!$A:$A,$G137,куб!I:I),SUMIF(куб!$A:$A,$G137,куб!I:I)))))))</f>
        <v>124187.76450000002</v>
      </c>
      <c r="J137" s="19" t="str">
        <f t="shared" si="51"/>
        <v>-</v>
      </c>
      <c r="K137" s="5"/>
      <c r="L137" s="17">
        <f t="shared" si="52"/>
        <v>0</v>
      </c>
      <c r="M137" s="17">
        <f t="shared" si="53"/>
        <v>2.6479004919403962E-4</v>
      </c>
      <c r="N137" s="12">
        <f t="shared" si="54"/>
        <v>2.6479004919403962E-4</v>
      </c>
      <c r="O137" s="5"/>
      <c r="P137" s="27">
        <f>IF($G137&lt;&gt;0,SUMIF(куб!$G:$G,$G137,куб!J:J),IF($E137&lt;&gt;0,SUMIF(куб!$E:$E,$E137,куб!J:J),IF($D137&lt;&gt;0,SUMIF(куб!$D:$D,$D137,куб!J:J),IF($C137&lt;&gt;0,SUMIF(куб!$C:$C,$C137,куб!J:J),IF($B137&lt;&gt;0,SUMIF(куб!$B:$B,$B137,куб!J:J))))))</f>
        <v>0</v>
      </c>
      <c r="Q137" s="27">
        <f>IF($G137&lt;&gt;0,SUMIF(куб!$G:$G,$G137,куб!K:K),IF($E137&lt;&gt;0,SUMIF(куб!$E:$E,$E137,куб!K:K),IF($D137&lt;&gt;0,SUMIF(куб!$D:$D,$D137,куб!K:K),IF($C137&lt;&gt;0,SUMIF(куб!$C:$C,$C137,куб!K:K),IF($B137&lt;&gt;0,SUMIF(куб!$B:$B,$B137,куб!K:K))))))</f>
        <v>1781</v>
      </c>
      <c r="R137" s="13" t="str">
        <f t="shared" si="55"/>
        <v>-</v>
      </c>
      <c r="S137" s="5"/>
      <c r="T137" s="27">
        <f>IF($G137&lt;&gt;0,SUMIF(куб!$G:$G,$G137,куб!L:L),IF($E137&lt;&gt;0,SUMIF(куб!$E:$E,$E137,куб!L:L),IF($D137&lt;&gt;0,SUMIF(куб!$D:$D,$D137,куб!L:L),IF($C137&lt;&gt;0,SUMIF(куб!$C:$C,$C137,куб!L:L),IF($B137&lt;&gt;0,SUMIF(куб!$B:$B,$B137,куб!L:L))))))</f>
        <v>0</v>
      </c>
      <c r="U137" s="27">
        <f>IF($G137&lt;&gt;0,SUMIF(куб!$G:$G,$G137,куб!M:M),IF($E137&lt;&gt;0,SUMIF(куб!$E:$E,$E137,куб!M:M),IF($D137&lt;&gt;0,SUMIF(куб!$D:$D,$D137,куб!M:M),IF($C137&lt;&gt;0,SUMIF(куб!$C:$C,$C137,куб!M:M),IF($B137&lt;&gt;0,SUMIF(куб!$B:$B,$B137,куб!M:M))))))</f>
        <v>1424.8</v>
      </c>
      <c r="V137" s="13" t="str">
        <f t="shared" si="56"/>
        <v>-</v>
      </c>
      <c r="W137" s="5"/>
      <c r="X137" s="27">
        <f>IF($G137&lt;&gt;0,SUMIF(куб!$G:$G,$G137,куб!N:N),IF($E137&lt;&gt;0,SUMIF(куб!$E:$E,$E137,куб!N:N),IF($D137&lt;&gt;0,SUMIF(куб!$D:$D,$D137,куб!N:N),IF($C137&lt;&gt;0,SUMIF(куб!$C:$C,$C137,куб!N:N),IF($B137&lt;&gt;0,SUMIF(куб!$B:$B,$B137,куб!N:N))))))</f>
        <v>0</v>
      </c>
      <c r="Y137" s="27">
        <f>IF($G137&lt;&gt;0,SUMIF(куб!$G:$G,$G137,куб!O:O),IF($E137&lt;&gt;0,SUMIF(куб!$E:$E,$E137,куб!O:O),IF($D137&lt;&gt;0,SUMIF(куб!$D:$D,$D137,куб!O:O),IF($C137&lt;&gt;0,SUMIF(куб!$C:$C,$C137,куб!O:O),IF($B137&lt;&gt;0,SUMIF(куб!$B:$B,$B137,куб!O:O))))))</f>
        <v>25358.470000000059</v>
      </c>
      <c r="Z137" s="13" t="str">
        <f t="shared" si="57"/>
        <v>-</v>
      </c>
      <c r="AA137" s="5"/>
      <c r="AB137" s="33" t="str">
        <f t="shared" si="58"/>
        <v/>
      </c>
      <c r="AC137" s="33">
        <f t="shared" si="59"/>
        <v>0.20419459277729454</v>
      </c>
      <c r="AD137" s="15" t="str">
        <f t="shared" si="60"/>
        <v xml:space="preserve"> </v>
      </c>
      <c r="AE137" s="5"/>
      <c r="AF137" s="27">
        <f>IF($G137&lt;&gt;0,SUMIF(куб!$G:$G,$G137,куб!R:R),IF($E137&lt;&gt;0,SUMIF(куб!$E:$E,$E137,куб!R:R),IF($D137&lt;&gt;0,SUMIF(куб!$D:$D,$D137,куб!R:R),IF($C137&lt;&gt;0,SUMIF(куб!$C:$C,$C137,куб!R:R),IF($B137&lt;&gt;0,SUMIF(куб!$B:$B,$B137,куб!R:R))))))</f>
        <v>0</v>
      </c>
      <c r="AG137" s="27">
        <f>IF($G137&lt;&gt;0,SUMIF(куб!$G:$G,$G137,куб!S:S),IF($E137&lt;&gt;0,SUMIF(куб!$E:$E,$E137,куб!S:S),IF($D137&lt;&gt;0,SUMIF(куб!$D:$D,$D137,куб!S:S),IF($C137&lt;&gt;0,SUMIF(куб!$C:$C,$C137,куб!S:S),IF($B137&lt;&gt;0,SUMIF(куб!$B:$B,$B137,куб!S:S))))))</f>
        <v>1720.2179000000001</v>
      </c>
      <c r="AH137" s="16" t="str">
        <f t="shared" si="61"/>
        <v>-</v>
      </c>
      <c r="AI137" s="8"/>
      <c r="AJ137" s="27">
        <f>IF($G137&lt;&gt;0,SUMIF(куб!$G:$G,$G137,куб!T:T),IF($E137&lt;&gt;0,SUMIF(куб!$E:$E,$E137,куб!T:T),IF($D137&lt;&gt;0,SUMIF(куб!$D:$D,$D137,куб!T:T),IF($C137&lt;&gt;0,SUMIF(куб!$C:$C,$C137,куб!T:T),IF($B137&lt;&gt;0,SUMIF(куб!$B:$B,$B137,куб!T:T))))))</f>
        <v>0</v>
      </c>
      <c r="AK137" s="27">
        <f>IF($G137&lt;&gt;0,SUMIF(куб!$G:$G,$G137,куб!U:U),IF($E137&lt;&gt;0,SUMIF(куб!$E:$E,$E137,куб!U:U),IF($D137&lt;&gt;0,SUMIF(куб!$D:$D,$D137,куб!U:U),IF($C137&lt;&gt;0,SUMIF(куб!$C:$C,$C137,куб!U:U),IF($B137&lt;&gt;0,SUMIF(куб!$B:$B,$B137,куб!U:U))))))</f>
        <v>31</v>
      </c>
      <c r="AL137" s="16" t="str">
        <f t="shared" si="62"/>
        <v>-</v>
      </c>
      <c r="AM137" s="8"/>
      <c r="AN137" s="17" t="str">
        <f t="shared" si="63"/>
        <v xml:space="preserve"> </v>
      </c>
      <c r="AO137" s="17">
        <f t="shared" si="64"/>
        <v>1.3851750266428218E-2</v>
      </c>
      <c r="AP137" s="16" t="str">
        <f t="shared" si="65"/>
        <v>-</v>
      </c>
      <c r="AQ137" s="8"/>
      <c r="AR137" s="17" t="str">
        <f t="shared" si="66"/>
        <v>-</v>
      </c>
      <c r="AS137" s="17">
        <f t="shared" si="67"/>
        <v>0.19034284251086633</v>
      </c>
      <c r="AT137" s="13" t="str">
        <f t="shared" si="68"/>
        <v>-</v>
      </c>
      <c r="AU137" s="8"/>
    </row>
    <row r="138" spans="1:47" ht="15" customHeight="1" x14ac:dyDescent="0.25">
      <c r="A138" s="31" t="s">
        <v>26</v>
      </c>
      <c r="B138" s="31" t="s">
        <v>32</v>
      </c>
      <c r="C138" t="s">
        <v>33</v>
      </c>
      <c r="D138" s="31" t="s">
        <v>34</v>
      </c>
      <c r="E138" t="s">
        <v>203</v>
      </c>
      <c r="F138" s="31" t="s">
        <v>300</v>
      </c>
      <c r="G138" t="s">
        <v>301</v>
      </c>
      <c r="H138" s="27">
        <f>IF($G138&lt;&gt;0,SUMIF(куб!$G:$G,$G138,куб!H:H),IF($E138&lt;&gt;0,SUMIF(куб!$E:$E,$E138,куб!H:H),IF($D138&lt;&gt;0,SUMIF(куб!$D:$D,$D138,куб!H:H),IF($C138&lt;&gt;0,SUMIF(куб!$C:$C,$C138,куб!H:H),IF($B138&lt;&gt;0,SUMIF(куб!$B:$B,$B138,куб!H:H),IF($G138&lt;&gt;0,SUMIF(куб!$A:$A,$G138,куб!H:H),SUMIF(куб!$A:$A,$G138,куб!H:H)))))))</f>
        <v>55025.237700000005</v>
      </c>
      <c r="I138" s="27">
        <f>IF($G138&lt;&gt;0,SUMIF(куб!$G:$G,$G138,куб!I:I),IF($E138&lt;&gt;0,SUMIF(куб!$E:$E,$E138,куб!I:I),IF($D138&lt;&gt;0,SUMIF(куб!$D:$D,$D138,куб!I:I),IF($C138&lt;&gt;0,SUMIF(куб!$C:$C,$C138,куб!I:I),IF($B138&lt;&gt;0,SUMIF(куб!$B:$B,$B138,куб!I:I),IF($G138&lt;&gt;0,SUMIF(куб!$A:$A,$G138,куб!I:I),SUMIF(куб!$A:$A,$G138,куб!I:I)))))))</f>
        <v>32587.565799999997</v>
      </c>
      <c r="J138" s="19">
        <f t="shared" si="51"/>
        <v>-0.40777055834508474</v>
      </c>
      <c r="K138" s="8"/>
      <c r="L138" s="17">
        <f t="shared" si="52"/>
        <v>1.1494178055566087E-4</v>
      </c>
      <c r="M138" s="17">
        <f t="shared" si="53"/>
        <v>6.9482393744965123E-5</v>
      </c>
      <c r="N138" s="12">
        <f t="shared" si="54"/>
        <v>-4.5459386810695751E-5</v>
      </c>
      <c r="O138" s="5"/>
      <c r="P138" s="27">
        <f>IF($G138&lt;&gt;0,SUMIF(куб!$G:$G,$G138,куб!J:J),IF($E138&lt;&gt;0,SUMIF(куб!$E:$E,$E138,куб!J:J),IF($D138&lt;&gt;0,SUMIF(куб!$D:$D,$D138,куб!J:J),IF($C138&lt;&gt;0,SUMIF(куб!$C:$C,$C138,куб!J:J),IF($B138&lt;&gt;0,SUMIF(куб!$B:$B,$B138,куб!J:J))))))</f>
        <v>434</v>
      </c>
      <c r="Q138" s="27">
        <f>IF($G138&lt;&gt;0,SUMIF(куб!$G:$G,$G138,куб!K:K),IF($E138&lt;&gt;0,SUMIF(куб!$E:$E,$E138,куб!K:K),IF($D138&lt;&gt;0,SUMIF(куб!$D:$D,$D138,куб!K:K),IF($C138&lt;&gt;0,SUMIF(куб!$C:$C,$C138,куб!K:K),IF($B138&lt;&gt;0,SUMIF(куб!$B:$B,$B138,куб!K:K))))))</f>
        <v>260</v>
      </c>
      <c r="R138" s="13">
        <f t="shared" si="55"/>
        <v>-0.4009216589861751</v>
      </c>
      <c r="S138" s="5"/>
      <c r="T138" s="27">
        <f>IF($G138&lt;&gt;0,SUMIF(куб!$G:$G,$G138,куб!L:L),IF($E138&lt;&gt;0,SUMIF(куб!$E:$E,$E138,куб!L:L),IF($D138&lt;&gt;0,SUMIF(куб!$D:$D,$D138,куб!L:L),IF($C138&lt;&gt;0,SUMIF(куб!$C:$C,$C138,куб!L:L),IF($B138&lt;&gt;0,SUMIF(куб!$B:$B,$B138,куб!L:L))))))</f>
        <v>607.6</v>
      </c>
      <c r="U138" s="27">
        <f>IF($G138&lt;&gt;0,SUMIF(куб!$G:$G,$G138,куб!M:M),IF($E138&lt;&gt;0,SUMIF(куб!$E:$E,$E138,куб!M:M),IF($D138&lt;&gt;0,SUMIF(куб!$D:$D,$D138,куб!M:M),IF($C138&lt;&gt;0,SUMIF(куб!$C:$C,$C138,куб!M:M),IF($B138&lt;&gt;0,SUMIF(куб!$B:$B,$B138,куб!M:M))))))</f>
        <v>364</v>
      </c>
      <c r="V138" s="13">
        <f t="shared" si="56"/>
        <v>-0.40092165898617516</v>
      </c>
      <c r="W138" s="5"/>
      <c r="X138" s="27">
        <f>IF($G138&lt;&gt;0,SUMIF(куб!$G:$G,$G138,куб!N:N),IF($E138&lt;&gt;0,SUMIF(куб!$E:$E,$E138,куб!N:N),IF($D138&lt;&gt;0,SUMIF(куб!$D:$D,$D138,куб!N:N),IF($C138&lt;&gt;0,SUMIF(куб!$C:$C,$C138,куб!N:N),IF($B138&lt;&gt;0,SUMIF(куб!$B:$B,$B138,куб!N:N))))))</f>
        <v>6626.3562999999995</v>
      </c>
      <c r="Y138" s="27">
        <f>IF($G138&lt;&gt;0,SUMIF(куб!$G:$G,$G138,куб!O:O),IF($E138&lt;&gt;0,SUMIF(куб!$E:$E,$E138,куб!O:O),IF($D138&lt;&gt;0,SUMIF(куб!$D:$D,$D138,куб!O:O),IF($C138&lt;&gt;0,SUMIF(куб!$C:$C,$C138,куб!O:O),IF($B138&lt;&gt;0,SUMIF(куб!$B:$B,$B138,куб!O:O))))))</f>
        <v>3592.8440999999912</v>
      </c>
      <c r="Z138" s="13">
        <f t="shared" si="57"/>
        <v>-0.4577949121148237</v>
      </c>
      <c r="AA138" s="5"/>
      <c r="AB138" s="33">
        <f t="shared" si="58"/>
        <v>0.12042394684648493</v>
      </c>
      <c r="AC138" s="33">
        <f t="shared" si="59"/>
        <v>0.11025199372209604</v>
      </c>
      <c r="AD138" s="15">
        <f t="shared" si="60"/>
        <v>-1.0171953124388886E-2</v>
      </c>
      <c r="AE138" s="5"/>
      <c r="AF138" s="27">
        <f>IF($G138&lt;&gt;0,SUMIF(куб!$G:$G,$G138,куб!R:R),IF($E138&lt;&gt;0,SUMIF(куб!$E:$E,$E138,куб!R:R),IF($D138&lt;&gt;0,SUMIF(куб!$D:$D,$D138,куб!R:R),IF($C138&lt;&gt;0,SUMIF(куб!$C:$C,$C138,куб!R:R),IF($B138&lt;&gt;0,SUMIF(куб!$B:$B,$B138,куб!R:R))))))</f>
        <v>2230.3631</v>
      </c>
      <c r="AG138" s="27">
        <f>IF($G138&lt;&gt;0,SUMIF(куб!$G:$G,$G138,куб!S:S),IF($E138&lt;&gt;0,SUMIF(куб!$E:$E,$E138,куб!S:S),IF($D138&lt;&gt;0,SUMIF(куб!$D:$D,$D138,куб!S:S),IF($C138&lt;&gt;0,SUMIF(куб!$C:$C,$C138,куб!S:S),IF($B138&lt;&gt;0,SUMIF(куб!$B:$B,$B138,куб!S:S))))))</f>
        <v>1895.8082999999999</v>
      </c>
      <c r="AH138" s="16">
        <f t="shared" si="61"/>
        <v>-0.15000015019975901</v>
      </c>
      <c r="AI138" s="8"/>
      <c r="AJ138" s="27">
        <f>IF($G138&lt;&gt;0,SUMIF(куб!$G:$G,$G138,куб!T:T),IF($E138&lt;&gt;0,SUMIF(куб!$E:$E,$E138,куб!T:T),IF($D138&lt;&gt;0,SUMIF(куб!$D:$D,$D138,куб!T:T),IF($C138&lt;&gt;0,SUMIF(куб!$C:$C,$C138,куб!T:T),IF($B138&lt;&gt;0,SUMIF(куб!$B:$B,$B138,куб!T:T))))))</f>
        <v>20</v>
      </c>
      <c r="AK138" s="27">
        <f>IF($G138&lt;&gt;0,SUMIF(куб!$G:$G,$G138,куб!U:U),IF($E138&lt;&gt;0,SUMIF(куб!$E:$E,$E138,куб!U:U),IF($D138&lt;&gt;0,SUMIF(куб!$D:$D,$D138,куб!U:U),IF($C138&lt;&gt;0,SUMIF(куб!$C:$C,$C138,куб!U:U),IF($B138&lt;&gt;0,SUMIF(куб!$B:$B,$B138,куб!U:U))))))</f>
        <v>17</v>
      </c>
      <c r="AL138" s="16">
        <f t="shared" si="62"/>
        <v>-0.15</v>
      </c>
      <c r="AM138" s="8"/>
      <c r="AN138" s="17">
        <f t="shared" si="63"/>
        <v>4.0533456886820494E-2</v>
      </c>
      <c r="AO138" s="17">
        <f t="shared" si="64"/>
        <v>5.8175818090714836E-2</v>
      </c>
      <c r="AP138" s="16">
        <f t="shared" si="65"/>
        <v>1.7642361203894341E-2</v>
      </c>
      <c r="AQ138" s="8"/>
      <c r="AR138" s="17">
        <f t="shared" si="66"/>
        <v>7.9890489959664426E-2</v>
      </c>
      <c r="AS138" s="17">
        <f t="shared" si="67"/>
        <v>5.20761756313812E-2</v>
      </c>
      <c r="AT138" s="13">
        <f t="shared" si="68"/>
        <v>-2.7814314328283227E-2</v>
      </c>
      <c r="AU138" s="8"/>
    </row>
    <row r="139" spans="1:47" ht="15" customHeight="1" x14ac:dyDescent="0.25">
      <c r="A139" s="31" t="s">
        <v>26</v>
      </c>
      <c r="B139" s="31" t="s">
        <v>32</v>
      </c>
      <c r="C139" t="s">
        <v>33</v>
      </c>
      <c r="D139" s="31" t="s">
        <v>34</v>
      </c>
      <c r="E139" t="s">
        <v>203</v>
      </c>
      <c r="F139" s="31" t="s">
        <v>302</v>
      </c>
      <c r="G139" t="s">
        <v>303</v>
      </c>
      <c r="H139" s="27">
        <f>IF($G139&lt;&gt;0,SUMIF(куб!$G:$G,$G139,куб!H:H),IF($E139&lt;&gt;0,SUMIF(куб!$E:$E,$E139,куб!H:H),IF($D139&lt;&gt;0,SUMIF(куб!$D:$D,$D139,куб!H:H),IF($C139&lt;&gt;0,SUMIF(куб!$C:$C,$C139,куб!H:H),IF($B139&lt;&gt;0,SUMIF(куб!$B:$B,$B139,куб!H:H),IF($G139&lt;&gt;0,SUMIF(куб!$A:$A,$G139,куб!H:H),SUMIF(куб!$A:$A,$G139,куб!H:H)))))))</f>
        <v>1228072.9236999995</v>
      </c>
      <c r="I139" s="27">
        <f>IF($G139&lt;&gt;0,SUMIF(куб!$G:$G,$G139,куб!I:I),IF($E139&lt;&gt;0,SUMIF(куб!$E:$E,$E139,куб!I:I),IF($D139&lt;&gt;0,SUMIF(куб!$D:$D,$D139,куб!I:I),IF($C139&lt;&gt;0,SUMIF(куб!$C:$C,$C139,куб!I:I),IF($B139&lt;&gt;0,SUMIF(куб!$B:$B,$B139,куб!I:I),IF($G139&lt;&gt;0,SUMIF(куб!$A:$A,$G139,куб!I:I),SUMIF(куб!$A:$A,$G139,куб!I:I)))))))</f>
        <v>1689490.9622000006</v>
      </c>
      <c r="J139" s="19">
        <f t="shared" ref="J139:J202" si="69">IFERROR((I139-H139)/ABS(H139),"-")</f>
        <v>0.37572527623996294</v>
      </c>
      <c r="K139" s="10"/>
      <c r="L139" s="17">
        <f t="shared" si="52"/>
        <v>2.5653117442557489E-3</v>
      </c>
      <c r="M139" s="17">
        <f t="shared" si="53"/>
        <v>3.6022904252682917E-3</v>
      </c>
      <c r="N139" s="12">
        <f t="shared" si="54"/>
        <v>1.0369786810125428E-3</v>
      </c>
      <c r="O139" s="5"/>
      <c r="P139" s="27">
        <f>IF($G139&lt;&gt;0,SUMIF(куб!$G:$G,$G139,куб!J:J),IF($E139&lt;&gt;0,SUMIF(куб!$E:$E,$E139,куб!J:J),IF($D139&lt;&gt;0,SUMIF(куб!$D:$D,$D139,куб!J:J),IF($C139&lt;&gt;0,SUMIF(куб!$C:$C,$C139,куб!J:J),IF($B139&lt;&gt;0,SUMIF(куб!$B:$B,$B139,куб!J:J))))))</f>
        <v>15749</v>
      </c>
      <c r="Q139" s="27">
        <f>IF($G139&lt;&gt;0,SUMIF(куб!$G:$G,$G139,куб!K:K),IF($E139&lt;&gt;0,SUMIF(куб!$E:$E,$E139,куб!K:K),IF($D139&lt;&gt;0,SUMIF(куб!$D:$D,$D139,куб!K:K),IF($C139&lt;&gt;0,SUMIF(куб!$C:$C,$C139,куб!K:K),IF($B139&lt;&gt;0,SUMIF(куб!$B:$B,$B139,куб!K:K))))))</f>
        <v>23086</v>
      </c>
      <c r="R139" s="13">
        <f t="shared" si="55"/>
        <v>0.46587084894279002</v>
      </c>
      <c r="S139" s="5"/>
      <c r="T139" s="27">
        <f>IF($G139&lt;&gt;0,SUMIF(куб!$G:$G,$G139,куб!L:L),IF($E139&lt;&gt;0,SUMIF(куб!$E:$E,$E139,куб!L:L),IF($D139&lt;&gt;0,SUMIF(куб!$D:$D,$D139,куб!L:L),IF($C139&lt;&gt;0,SUMIF(куб!$C:$C,$C139,куб!L:L),IF($B139&lt;&gt;0,SUMIF(куб!$B:$B,$B139,куб!L:L))))))</f>
        <v>14174.100000000004</v>
      </c>
      <c r="U139" s="27">
        <f>IF($G139&lt;&gt;0,SUMIF(куб!$G:$G,$G139,куб!M:M),IF($E139&lt;&gt;0,SUMIF(куб!$E:$E,$E139,куб!M:M),IF($D139&lt;&gt;0,SUMIF(куб!$D:$D,$D139,куб!M:M),IF($C139&lt;&gt;0,SUMIF(куб!$C:$C,$C139,куб!M:M),IF($B139&lt;&gt;0,SUMIF(куб!$B:$B,$B139,куб!M:M))))))</f>
        <v>20777.400000000005</v>
      </c>
      <c r="V139" s="13">
        <f t="shared" si="56"/>
        <v>0.46587084894278996</v>
      </c>
      <c r="W139" s="5"/>
      <c r="X139" s="27">
        <f>IF($G139&lt;&gt;0,SUMIF(куб!$G:$G,$G139,куб!N:N),IF($E139&lt;&gt;0,SUMIF(куб!$E:$E,$E139,куб!N:N),IF($D139&lt;&gt;0,SUMIF(куб!$D:$D,$D139,куб!N:N),IF($C139&lt;&gt;0,SUMIF(куб!$C:$C,$C139,куб!N:N),IF($B139&lt;&gt;0,SUMIF(куб!$B:$B,$B139,куб!N:N))))))</f>
        <v>139630.97529999726</v>
      </c>
      <c r="Y139" s="27">
        <f>IF($G139&lt;&gt;0,SUMIF(куб!$G:$G,$G139,куб!O:O),IF($E139&lt;&gt;0,SUMIF(куб!$E:$E,$E139,куб!O:O),IF($D139&lt;&gt;0,SUMIF(куб!$D:$D,$D139,куб!O:O),IF($C139&lt;&gt;0,SUMIF(куб!$C:$C,$C139,куб!O:O),IF($B139&lt;&gt;0,SUMIF(куб!$B:$B,$B139,куб!O:O))))))</f>
        <v>78043.917999998434</v>
      </c>
      <c r="Z139" s="13">
        <f t="shared" si="57"/>
        <v>-0.44107016489485218</v>
      </c>
      <c r="AA139" s="5"/>
      <c r="AB139" s="33">
        <f t="shared" si="58"/>
        <v>0.11369925401441966</v>
      </c>
      <c r="AC139" s="33">
        <f t="shared" si="59"/>
        <v>4.6193746960547309E-2</v>
      </c>
      <c r="AD139" s="15">
        <f t="shared" si="60"/>
        <v>-6.7505507053872343E-2</v>
      </c>
      <c r="AE139" s="5"/>
      <c r="AF139" s="27">
        <f>IF($G139&lt;&gt;0,SUMIF(куб!$G:$G,$G139,куб!R:R),IF($E139&lt;&gt;0,SUMIF(куб!$E:$E,$E139,куб!R:R),IF($D139&lt;&gt;0,SUMIF(куб!$D:$D,$D139,куб!R:R),IF($C139&lt;&gt;0,SUMIF(куб!$C:$C,$C139,куб!R:R),IF($B139&lt;&gt;0,SUMIF(куб!$B:$B,$B139,куб!R:R))))))</f>
        <v>14832.160199999993</v>
      </c>
      <c r="AG139" s="27">
        <f>IF($G139&lt;&gt;0,SUMIF(куб!$G:$G,$G139,куб!S:S),IF($E139&lt;&gt;0,SUMIF(куб!$E:$E,$E139,куб!S:S),IF($D139&lt;&gt;0,SUMIF(куб!$D:$D,$D139,куб!S:S),IF($C139&lt;&gt;0,SUMIF(куб!$C:$C,$C139,куб!S:S),IF($B139&lt;&gt;0,SUMIF(куб!$B:$B,$B139,куб!S:S))))))</f>
        <v>6894.2164000000039</v>
      </c>
      <c r="AH139" s="16">
        <f t="shared" si="61"/>
        <v>-0.53518460513931021</v>
      </c>
      <c r="AI139" s="8"/>
      <c r="AJ139" s="27">
        <f>IF($G139&lt;&gt;0,SUMIF(куб!$G:$G,$G139,куб!T:T),IF($E139&lt;&gt;0,SUMIF(куб!$E:$E,$E139,куб!T:T),IF($D139&lt;&gt;0,SUMIF(куб!$D:$D,$D139,куб!T:T),IF($C139&lt;&gt;0,SUMIF(куб!$C:$C,$C139,куб!T:T),IF($B139&lt;&gt;0,SUMIF(куб!$B:$B,$B139,куб!T:T))))))</f>
        <v>215</v>
      </c>
      <c r="AK139" s="27">
        <f>IF($G139&lt;&gt;0,SUMIF(куб!$G:$G,$G139,куб!U:U),IF($E139&lt;&gt;0,SUMIF(куб!$E:$E,$E139,куб!U:U),IF($D139&lt;&gt;0,SUMIF(куб!$D:$D,$D139,куб!U:U),IF($C139&lt;&gt;0,SUMIF(куб!$C:$C,$C139,куб!U:U),IF($B139&lt;&gt;0,SUMIF(куб!$B:$B,$B139,куб!U:U))))))</f>
        <v>100</v>
      </c>
      <c r="AL139" s="16">
        <f t="shared" si="62"/>
        <v>-0.53488372093023251</v>
      </c>
      <c r="AM139" s="8"/>
      <c r="AN139" s="17">
        <f t="shared" si="63"/>
        <v>1.2077589134782745E-2</v>
      </c>
      <c r="AO139" s="17">
        <f t="shared" si="64"/>
        <v>4.0806471027359497E-3</v>
      </c>
      <c r="AP139" s="16">
        <f t="shared" si="65"/>
        <v>-7.9969420320467957E-3</v>
      </c>
      <c r="AQ139" s="8"/>
      <c r="AR139" s="17">
        <f t="shared" si="66"/>
        <v>0.10162166487963691</v>
      </c>
      <c r="AS139" s="17">
        <f t="shared" si="67"/>
        <v>4.2113099857811365E-2</v>
      </c>
      <c r="AT139" s="13">
        <f t="shared" si="68"/>
        <v>-5.9508565021825541E-2</v>
      </c>
      <c r="AU139" s="8"/>
    </row>
    <row r="140" spans="1:47" ht="15" customHeight="1" x14ac:dyDescent="0.25">
      <c r="A140" s="31" t="s">
        <v>26</v>
      </c>
      <c r="B140" s="31" t="s">
        <v>32</v>
      </c>
      <c r="C140" t="s">
        <v>33</v>
      </c>
      <c r="D140" s="31" t="s">
        <v>34</v>
      </c>
      <c r="E140" t="s">
        <v>203</v>
      </c>
      <c r="F140" s="31" t="s">
        <v>304</v>
      </c>
      <c r="G140" t="s">
        <v>305</v>
      </c>
      <c r="H140" s="27">
        <f>IF($G140&lt;&gt;0,SUMIF(куб!$G:$G,$G140,куб!H:H),IF($E140&lt;&gt;0,SUMIF(куб!$E:$E,$E140,куб!H:H),IF($D140&lt;&gt;0,SUMIF(куб!$D:$D,$D140,куб!H:H),IF($C140&lt;&gt;0,SUMIF(куб!$C:$C,$C140,куб!H:H),IF($B140&lt;&gt;0,SUMIF(куб!$B:$B,$B140,куб!H:H),IF($G140&lt;&gt;0,SUMIF(куб!$A:$A,$G140,куб!H:H),SUMIF(куб!$A:$A,$G140,куб!H:H)))))))</f>
        <v>39831.724399999999</v>
      </c>
      <c r="I140" s="27">
        <f>IF($G140&lt;&gt;0,SUMIF(куб!$G:$G,$G140,куб!I:I),IF($E140&lt;&gt;0,SUMIF(куб!$E:$E,$E140,куб!I:I),IF($D140&lt;&gt;0,SUMIF(куб!$D:$D,$D140,куб!I:I),IF($C140&lt;&gt;0,SUMIF(куб!$C:$C,$C140,куб!I:I),IF($B140&lt;&gt;0,SUMIF(куб!$B:$B,$B140,куб!I:I),IF($G140&lt;&gt;0,SUMIF(куб!$A:$A,$G140,куб!I:I),SUMIF(куб!$A:$A,$G140,куб!I:I)))))))</f>
        <v>77569.194300000003</v>
      </c>
      <c r="J140" s="19">
        <f t="shared" si="69"/>
        <v>0.94742244952869792</v>
      </c>
      <c r="K140" s="5"/>
      <c r="L140" s="17">
        <f t="shared" si="52"/>
        <v>8.3204171694806916E-5</v>
      </c>
      <c r="M140" s="17">
        <f t="shared" si="53"/>
        <v>1.6539109836894613E-4</v>
      </c>
      <c r="N140" s="12">
        <f t="shared" si="54"/>
        <v>8.2186926674139213E-5</v>
      </c>
      <c r="O140" s="5"/>
      <c r="P140" s="27">
        <f>IF($G140&lt;&gt;0,SUMIF(куб!$G:$G,$G140,куб!J:J),IF($E140&lt;&gt;0,SUMIF(куб!$E:$E,$E140,куб!J:J),IF($D140&lt;&gt;0,SUMIF(куб!$D:$D,$D140,куб!J:J),IF($C140&lt;&gt;0,SUMIF(куб!$C:$C,$C140,куб!J:J),IF($B140&lt;&gt;0,SUMIF(куб!$B:$B,$B140,куб!J:J))))))</f>
        <v>815</v>
      </c>
      <c r="Q140" s="27">
        <f>IF($G140&lt;&gt;0,SUMIF(куб!$G:$G,$G140,куб!K:K),IF($E140&lt;&gt;0,SUMIF(куб!$E:$E,$E140,куб!K:K),IF($D140&lt;&gt;0,SUMIF(куб!$D:$D,$D140,куб!K:K),IF($C140&lt;&gt;0,SUMIF(куб!$C:$C,$C140,куб!K:K),IF($B140&lt;&gt;0,SUMIF(куб!$B:$B,$B140,куб!K:K))))))</f>
        <v>1503</v>
      </c>
      <c r="R140" s="13">
        <f t="shared" si="55"/>
        <v>0.84417177914110431</v>
      </c>
      <c r="S140" s="5"/>
      <c r="T140" s="27">
        <f>IF($G140&lt;&gt;0,SUMIF(куб!$G:$G,$G140,куб!L:L),IF($E140&lt;&gt;0,SUMIF(куб!$E:$E,$E140,куб!L:L),IF($D140&lt;&gt;0,SUMIF(куб!$D:$D,$D140,куб!L:L),IF($C140&lt;&gt;0,SUMIF(куб!$C:$C,$C140,куб!L:L),IF($B140&lt;&gt;0,SUMIF(куб!$B:$B,$B140,куб!L:L))))))</f>
        <v>733.5</v>
      </c>
      <c r="U140" s="27">
        <f>IF($G140&lt;&gt;0,SUMIF(куб!$G:$G,$G140,куб!M:M),IF($E140&lt;&gt;0,SUMIF(куб!$E:$E,$E140,куб!M:M),IF($D140&lt;&gt;0,SUMIF(куб!$D:$D,$D140,куб!M:M),IF($C140&lt;&gt;0,SUMIF(куб!$C:$C,$C140,куб!M:M),IF($B140&lt;&gt;0,SUMIF(куб!$B:$B,$B140,куб!M:M))))))</f>
        <v>1352.6999999999998</v>
      </c>
      <c r="V140" s="13">
        <f t="shared" si="56"/>
        <v>0.84417177914110408</v>
      </c>
      <c r="W140" s="5"/>
      <c r="X140" s="27">
        <f>IF($G140&lt;&gt;0,SUMIF(куб!$G:$G,$G140,куб!N:N),IF($E140&lt;&gt;0,SUMIF(куб!$E:$E,$E140,куб!N:N),IF($D140&lt;&gt;0,SUMIF(куб!$D:$D,$D140,куб!N:N),IF($C140&lt;&gt;0,SUMIF(куб!$C:$C,$C140,куб!N:N),IF($B140&lt;&gt;0,SUMIF(куб!$B:$B,$B140,куб!N:N))))))</f>
        <v>5386.8663999999917</v>
      </c>
      <c r="Y140" s="27">
        <f>IF($G140&lt;&gt;0,SUMIF(куб!$G:$G,$G140,куб!O:O),IF($E140&lt;&gt;0,SUMIF(куб!$E:$E,$E140,куб!O:O),IF($D140&lt;&gt;0,SUMIF(куб!$D:$D,$D140,куб!O:O),IF($C140&lt;&gt;0,SUMIF(куб!$C:$C,$C140,куб!O:O),IF($B140&lt;&gt;0,SUMIF(куб!$B:$B,$B140,куб!O:O))))))</f>
        <v>14036.581600000005</v>
      </c>
      <c r="Z140" s="13">
        <f t="shared" si="57"/>
        <v>1.6057044221479164</v>
      </c>
      <c r="AA140" s="5"/>
      <c r="AB140" s="33">
        <f t="shared" si="58"/>
        <v>0.13524060233756768</v>
      </c>
      <c r="AC140" s="33">
        <f t="shared" si="59"/>
        <v>0.18095561938819835</v>
      </c>
      <c r="AD140" s="15">
        <f t="shared" si="60"/>
        <v>4.5715017050630663E-2</v>
      </c>
      <c r="AE140" s="5"/>
      <c r="AF140" s="27">
        <f>IF($G140&lt;&gt;0,SUMIF(куб!$G:$G,$G140,куб!R:R),IF($E140&lt;&gt;0,SUMIF(куб!$E:$E,$E140,куб!R:R),IF($D140&lt;&gt;0,SUMIF(куб!$D:$D,$D140,куб!R:R),IF($C140&lt;&gt;0,SUMIF(куб!$C:$C,$C140,куб!R:R),IF($B140&lt;&gt;0,SUMIF(куб!$B:$B,$B140,куб!R:R))))))</f>
        <v>1352.4358999999997</v>
      </c>
      <c r="AG140" s="27">
        <f>IF($G140&lt;&gt;0,SUMIF(куб!$G:$G,$G140,куб!S:S),IF($E140&lt;&gt;0,SUMIF(куб!$E:$E,$E140,куб!S:S),IF($D140&lt;&gt;0,SUMIF(куб!$D:$D,$D140,куб!S:S),IF($C140&lt;&gt;0,SUMIF(куб!$C:$C,$C140,куб!S:S),IF($B140&lt;&gt;0,SUMIF(куб!$B:$B,$B140,куб!S:S))))))</f>
        <v>1056.5903999999998</v>
      </c>
      <c r="AH140" s="16">
        <f t="shared" si="61"/>
        <v>-0.21875010860034103</v>
      </c>
      <c r="AI140" s="8"/>
      <c r="AJ140" s="27">
        <f>IF($G140&lt;&gt;0,SUMIF(куб!$G:$G,$G140,куб!T:T),IF($E140&lt;&gt;0,SUMIF(куб!$E:$E,$E140,куб!T:T),IF($D140&lt;&gt;0,SUMIF(куб!$D:$D,$D140,куб!T:T),IF($C140&lt;&gt;0,SUMIF(куб!$C:$C,$C140,куб!T:T),IF($B140&lt;&gt;0,SUMIF(куб!$B:$B,$B140,куб!T:T))))))</f>
        <v>32</v>
      </c>
      <c r="AK140" s="27">
        <f>IF($G140&lt;&gt;0,SUMIF(куб!$G:$G,$G140,куб!U:U),IF($E140&lt;&gt;0,SUMIF(куб!$E:$E,$E140,куб!U:U),IF($D140&lt;&gt;0,SUMIF(куб!$D:$D,$D140,куб!U:U),IF($C140&lt;&gt;0,SUMIF(куб!$C:$C,$C140,куб!U:U),IF($B140&lt;&gt;0,SUMIF(куб!$B:$B,$B140,куб!U:U))))))</f>
        <v>25</v>
      </c>
      <c r="AL140" s="16">
        <f t="shared" si="62"/>
        <v>-0.21875</v>
      </c>
      <c r="AM140" s="8"/>
      <c r="AN140" s="17">
        <f t="shared" si="63"/>
        <v>3.3953737137225215E-2</v>
      </c>
      <c r="AO140" s="17">
        <f t="shared" si="64"/>
        <v>1.3621263048235629E-2</v>
      </c>
      <c r="AP140" s="16">
        <f t="shared" si="65"/>
        <v>-2.0332474088989586E-2</v>
      </c>
      <c r="AQ140" s="8"/>
      <c r="AR140" s="17">
        <f t="shared" si="66"/>
        <v>0.10128686520034248</v>
      </c>
      <c r="AS140" s="17">
        <f t="shared" si="67"/>
        <v>0.16733435633996271</v>
      </c>
      <c r="AT140" s="13">
        <f t="shared" si="68"/>
        <v>6.6047491139620232E-2</v>
      </c>
      <c r="AU140" s="8"/>
    </row>
    <row r="141" spans="1:47" ht="15" customHeight="1" x14ac:dyDescent="0.25">
      <c r="A141" s="31" t="s">
        <v>26</v>
      </c>
      <c r="B141" s="31" t="s">
        <v>32</v>
      </c>
      <c r="C141" t="s">
        <v>33</v>
      </c>
      <c r="D141" s="31" t="s">
        <v>34</v>
      </c>
      <c r="E141" t="s">
        <v>203</v>
      </c>
      <c r="F141" s="31" t="s">
        <v>306</v>
      </c>
      <c r="G141" t="s">
        <v>307</v>
      </c>
      <c r="H141" s="27">
        <f>IF($G141&lt;&gt;0,SUMIF(куб!$G:$G,$G141,куб!H:H),IF($E141&lt;&gt;0,SUMIF(куб!$E:$E,$E141,куб!H:H),IF($D141&lt;&gt;0,SUMIF(куб!$D:$D,$D141,куб!H:H),IF($C141&lt;&gt;0,SUMIF(куб!$C:$C,$C141,куб!H:H),IF($B141&lt;&gt;0,SUMIF(куб!$B:$B,$B141,куб!H:H),IF($G141&lt;&gt;0,SUMIF(куб!$A:$A,$G141,куб!H:H),SUMIF(куб!$A:$A,$G141,куб!H:H)))))))</f>
        <v>64433.739799999996</v>
      </c>
      <c r="I141" s="27">
        <f>IF($G141&lt;&gt;0,SUMIF(куб!$G:$G,$G141,куб!I:I),IF($E141&lt;&gt;0,SUMIF(куб!$E:$E,$E141,куб!I:I),IF($D141&lt;&gt;0,SUMIF(куб!$D:$D,$D141,куб!I:I),IF($C141&lt;&gt;0,SUMIF(куб!$C:$C,$C141,куб!I:I),IF($B141&lt;&gt;0,SUMIF(куб!$B:$B,$B141,куб!I:I),IF($G141&lt;&gt;0,SUMIF(куб!$A:$A,$G141,куб!I:I),SUMIF(куб!$A:$A,$G141,куб!I:I)))))))</f>
        <v>86585.358000000007</v>
      </c>
      <c r="J141" s="19">
        <f t="shared" si="69"/>
        <v>0.34378911217566815</v>
      </c>
      <c r="K141" s="5"/>
      <c r="L141" s="17">
        <f t="shared" si="52"/>
        <v>1.3459512561946009E-4</v>
      </c>
      <c r="M141" s="17">
        <f t="shared" si="53"/>
        <v>1.8461513738177911E-4</v>
      </c>
      <c r="N141" s="12">
        <f t="shared" si="54"/>
        <v>5.0020011762319023E-5</v>
      </c>
      <c r="O141" s="5"/>
      <c r="P141" s="27">
        <f>IF($G141&lt;&gt;0,SUMIF(куб!$G:$G,$G141,куб!J:J),IF($E141&lt;&gt;0,SUMIF(куб!$E:$E,$E141,куб!J:J),IF($D141&lt;&gt;0,SUMIF(куб!$D:$D,$D141,куб!J:J),IF($C141&lt;&gt;0,SUMIF(куб!$C:$C,$C141,куб!J:J),IF($B141&lt;&gt;0,SUMIF(куб!$B:$B,$B141,куб!J:J))))))</f>
        <v>910</v>
      </c>
      <c r="Q141" s="27">
        <f>IF($G141&lt;&gt;0,SUMIF(куб!$G:$G,$G141,куб!K:K),IF($E141&lt;&gt;0,SUMIF(куб!$E:$E,$E141,куб!K:K),IF($D141&lt;&gt;0,SUMIF(куб!$D:$D,$D141,куб!K:K),IF($C141&lt;&gt;0,SUMIF(куб!$C:$C,$C141,куб!K:K),IF($B141&lt;&gt;0,SUMIF(куб!$B:$B,$B141,куб!K:K))))))</f>
        <v>1157</v>
      </c>
      <c r="R141" s="13">
        <f t="shared" si="55"/>
        <v>0.27142857142857141</v>
      </c>
      <c r="S141" s="5"/>
      <c r="T141" s="27">
        <f>IF($G141&lt;&gt;0,SUMIF(куб!$G:$G,$G141,куб!L:L),IF($E141&lt;&gt;0,SUMIF(куб!$E:$E,$E141,куб!L:L),IF($D141&lt;&gt;0,SUMIF(куб!$D:$D,$D141,куб!L:L),IF($C141&lt;&gt;0,SUMIF(куб!$C:$C,$C141,куб!L:L),IF($B141&lt;&gt;0,SUMIF(куб!$B:$B,$B141,куб!L:L))))))</f>
        <v>791.7</v>
      </c>
      <c r="U141" s="27">
        <f>IF($G141&lt;&gt;0,SUMIF(куб!$G:$G,$G141,куб!M:M),IF($E141&lt;&gt;0,SUMIF(куб!$E:$E,$E141,куб!M:M),IF($D141&lt;&gt;0,SUMIF(куб!$D:$D,$D141,куб!M:M),IF($C141&lt;&gt;0,SUMIF(куб!$C:$C,$C141,куб!M:M),IF($B141&lt;&gt;0,SUMIF(куб!$B:$B,$B141,куб!M:M))))))</f>
        <v>1006.5899999999999</v>
      </c>
      <c r="V141" s="13">
        <f t="shared" si="56"/>
        <v>0.27142857142857124</v>
      </c>
      <c r="W141" s="5"/>
      <c r="X141" s="27">
        <f>IF($G141&lt;&gt;0,SUMIF(куб!$G:$G,$G141,куб!N:N),IF($E141&lt;&gt;0,SUMIF(куб!$E:$E,$E141,куб!N:N),IF($D141&lt;&gt;0,SUMIF(куб!$D:$D,$D141,куб!N:N),IF($C141&lt;&gt;0,SUMIF(куб!$C:$C,$C141,куб!N:N),IF($B141&lt;&gt;0,SUMIF(куб!$B:$B,$B141,куб!N:N))))))</f>
        <v>8245.3819999999978</v>
      </c>
      <c r="Y141" s="27">
        <f>IF($G141&lt;&gt;0,SUMIF(куб!$G:$G,$G141,куб!O:O),IF($E141&lt;&gt;0,SUMIF(куб!$E:$E,$E141,куб!O:O),IF($D141&lt;&gt;0,SUMIF(куб!$D:$D,$D141,куб!O:O),IF($C141&lt;&gt;0,SUMIF(куб!$C:$C,$C141,куб!O:O),IF($B141&lt;&gt;0,SUMIF(куб!$B:$B,$B141,куб!O:O))))))</f>
        <v>15145.873500000016</v>
      </c>
      <c r="Z141" s="13">
        <f t="shared" si="57"/>
        <v>0.83689166857278663</v>
      </c>
      <c r="AA141" s="5"/>
      <c r="AB141" s="33">
        <f t="shared" si="58"/>
        <v>0.12796683888896354</v>
      </c>
      <c r="AC141" s="33">
        <f t="shared" si="59"/>
        <v>0.17492418868326462</v>
      </c>
      <c r="AD141" s="15">
        <f t="shared" si="60"/>
        <v>4.6957349794301079E-2</v>
      </c>
      <c r="AE141" s="5"/>
      <c r="AF141" s="27">
        <f>IF($G141&lt;&gt;0,SUMIF(куб!$G:$G,$G141,куб!R:R),IF($E141&lt;&gt;0,SUMIF(куб!$E:$E,$E141,куб!R:R),IF($D141&lt;&gt;0,SUMIF(куб!$D:$D,$D141,куб!R:R),IF($C141&lt;&gt;0,SUMIF(куб!$C:$C,$C141,куб!R:R),IF($B141&lt;&gt;0,SUMIF(куб!$B:$B,$B141,куб!R:R))))))</f>
        <v>987.92709999999988</v>
      </c>
      <c r="AG141" s="27">
        <f>IF($G141&lt;&gt;0,SUMIF(куб!$G:$G,$G141,куб!S:S),IF($E141&lt;&gt;0,SUMIF(куб!$E:$E,$E141,куб!S:S),IF($D141&lt;&gt;0,SUMIF(куб!$D:$D,$D141,куб!S:S),IF($C141&lt;&gt;0,SUMIF(куб!$C:$C,$C141,куб!S:S),IF($B141&lt;&gt;0,SUMIF(куб!$B:$B,$B141,куб!S:S))))))</f>
        <v>493.96350000000001</v>
      </c>
      <c r="AH141" s="16">
        <f t="shared" si="61"/>
        <v>-0.50000005061102171</v>
      </c>
      <c r="AI141" s="8"/>
      <c r="AJ141" s="27">
        <f>IF($G141&lt;&gt;0,SUMIF(куб!$G:$G,$G141,куб!T:T),IF($E141&lt;&gt;0,SUMIF(куб!$E:$E,$E141,куб!T:T),IF($D141&lt;&gt;0,SUMIF(куб!$D:$D,$D141,куб!T:T),IF($C141&lt;&gt;0,SUMIF(куб!$C:$C,$C141,куб!T:T),IF($B141&lt;&gt;0,SUMIF(куб!$B:$B,$B141,куб!T:T))))))</f>
        <v>16</v>
      </c>
      <c r="AK141" s="27">
        <f>IF($G141&lt;&gt;0,SUMIF(куб!$G:$G,$G141,куб!U:U),IF($E141&lt;&gt;0,SUMIF(куб!$E:$E,$E141,куб!U:U),IF($D141&lt;&gt;0,SUMIF(куб!$D:$D,$D141,куб!U:U),IF($C141&lt;&gt;0,SUMIF(куб!$C:$C,$C141,куб!U:U),IF($B141&lt;&gt;0,SUMIF(куб!$B:$B,$B141,куб!U:U))))))</f>
        <v>8</v>
      </c>
      <c r="AL141" s="16">
        <f t="shared" si="62"/>
        <v>-0.5</v>
      </c>
      <c r="AM141" s="8"/>
      <c r="AN141" s="17">
        <f t="shared" si="63"/>
        <v>1.5332450096277043E-2</v>
      </c>
      <c r="AO141" s="17">
        <f t="shared" si="64"/>
        <v>5.7049310808416354E-3</v>
      </c>
      <c r="AP141" s="16">
        <f t="shared" si="65"/>
        <v>-9.6275190154354075E-3</v>
      </c>
      <c r="AQ141" s="8"/>
      <c r="AR141" s="17">
        <f t="shared" si="66"/>
        <v>0.1126343887926865</v>
      </c>
      <c r="AS141" s="17">
        <f t="shared" si="67"/>
        <v>0.16921925760242298</v>
      </c>
      <c r="AT141" s="13">
        <f t="shared" si="68"/>
        <v>5.6584868809736483E-2</v>
      </c>
      <c r="AU141" s="8"/>
    </row>
    <row r="142" spans="1:47" ht="15" customHeight="1" x14ac:dyDescent="0.25">
      <c r="A142" s="31" t="s">
        <v>26</v>
      </c>
      <c r="B142" s="31" t="s">
        <v>32</v>
      </c>
      <c r="C142" t="s">
        <v>33</v>
      </c>
      <c r="D142" s="31" t="s">
        <v>34</v>
      </c>
      <c r="E142" t="s">
        <v>203</v>
      </c>
      <c r="F142" s="31" t="s">
        <v>308</v>
      </c>
      <c r="G142" t="s">
        <v>309</v>
      </c>
      <c r="H142" s="27">
        <f>IF($G142&lt;&gt;0,SUMIF(куб!$G:$G,$G142,куб!H:H),IF($E142&lt;&gt;0,SUMIF(куб!$E:$E,$E142,куб!H:H),IF($D142&lt;&gt;0,SUMIF(куб!$D:$D,$D142,куб!H:H),IF($C142&lt;&gt;0,SUMIF(куб!$C:$C,$C142,куб!H:H),IF($B142&lt;&gt;0,SUMIF(куб!$B:$B,$B142,куб!H:H),IF($G142&lt;&gt;0,SUMIF(куб!$A:$A,$G142,куб!H:H),SUMIF(куб!$A:$A,$G142,куб!H:H)))))))</f>
        <v>42117.202499999992</v>
      </c>
      <c r="I142" s="27">
        <f>IF($G142&lt;&gt;0,SUMIF(куб!$G:$G,$G142,куб!I:I),IF($E142&lt;&gt;0,SUMIF(куб!$E:$E,$E142,куб!I:I),IF($D142&lt;&gt;0,SUMIF(куб!$D:$D,$D142,куб!I:I),IF($C142&lt;&gt;0,SUMIF(куб!$C:$C,$C142,куб!I:I),IF($B142&lt;&gt;0,SUMIF(куб!$B:$B,$B142,куб!I:I),IF($G142&lt;&gt;0,SUMIF(куб!$A:$A,$G142,куб!I:I),SUMIF(куб!$A:$A,$G142,куб!I:I)))))))</f>
        <v>1019930.3809000001</v>
      </c>
      <c r="J142" s="19">
        <f t="shared" si="69"/>
        <v>23.21647973651622</v>
      </c>
      <c r="K142" s="8"/>
      <c r="L142" s="17">
        <f t="shared" si="52"/>
        <v>8.7978288685763015E-5</v>
      </c>
      <c r="M142" s="17">
        <f t="shared" si="53"/>
        <v>2.1746700797807385E-3</v>
      </c>
      <c r="N142" s="12">
        <f t="shared" si="54"/>
        <v>2.0866917910949754E-3</v>
      </c>
      <c r="O142" s="5"/>
      <c r="P142" s="27">
        <f>IF($G142&lt;&gt;0,SUMIF(куб!$G:$G,$G142,куб!J:J),IF($E142&lt;&gt;0,SUMIF(куб!$E:$E,$E142,куб!J:J),IF($D142&lt;&gt;0,SUMIF(куб!$D:$D,$D142,куб!J:J),IF($C142&lt;&gt;0,SUMIF(куб!$C:$C,$C142,куб!J:J),IF($B142&lt;&gt;0,SUMIF(куб!$B:$B,$B142,куб!J:J))))))</f>
        <v>580</v>
      </c>
      <c r="Q142" s="27">
        <f>IF($G142&lt;&gt;0,SUMIF(куб!$G:$G,$G142,куб!K:K),IF($E142&lt;&gt;0,SUMIF(куб!$E:$E,$E142,куб!K:K),IF($D142&lt;&gt;0,SUMIF(куб!$D:$D,$D142,куб!K:K),IF($C142&lt;&gt;0,SUMIF(куб!$C:$C,$C142,куб!K:K),IF($B142&lt;&gt;0,SUMIF(куб!$B:$B,$B142,куб!K:K))))))</f>
        <v>14779</v>
      </c>
      <c r="R142" s="13">
        <f t="shared" si="55"/>
        <v>24.48103448275862</v>
      </c>
      <c r="S142" s="5"/>
      <c r="T142" s="27">
        <f>IF($G142&lt;&gt;0,SUMIF(куб!$G:$G,$G142,куб!L:L),IF($E142&lt;&gt;0,SUMIF(куб!$E:$E,$E142,куб!L:L),IF($D142&lt;&gt;0,SUMIF(куб!$D:$D,$D142,куб!L:L),IF($C142&lt;&gt;0,SUMIF(куб!$C:$C,$C142,куб!L:L),IF($B142&lt;&gt;0,SUMIF(куб!$B:$B,$B142,куб!L:L))))))</f>
        <v>521.99999999999977</v>
      </c>
      <c r="U142" s="27">
        <f>IF($G142&lt;&gt;0,SUMIF(куб!$G:$G,$G142,куб!M:M),IF($E142&lt;&gt;0,SUMIF(куб!$E:$E,$E142,куб!M:M),IF($D142&lt;&gt;0,SUMIF(куб!$D:$D,$D142,куб!M:M),IF($C142&lt;&gt;0,SUMIF(куб!$C:$C,$C142,куб!M:M),IF($B142&lt;&gt;0,SUMIF(куб!$B:$B,$B142,куб!M:M))))))</f>
        <v>13700.132999999989</v>
      </c>
      <c r="V142" s="13">
        <f t="shared" si="56"/>
        <v>25.245465517241367</v>
      </c>
      <c r="W142" s="5"/>
      <c r="X142" s="27">
        <f>IF($G142&lt;&gt;0,SUMIF(куб!$G:$G,$G142,куб!N:N),IF($E142&lt;&gt;0,SUMIF(куб!$E:$E,$E142,куб!N:N),IF($D142&lt;&gt;0,SUMIF(куб!$D:$D,$D142,куб!N:N),IF($C142&lt;&gt;0,SUMIF(куб!$C:$C,$C142,куб!N:N),IF($B142&lt;&gt;0,SUMIF(куб!$B:$B,$B142,куб!N:N))))))</f>
        <v>5215.1933000000136</v>
      </c>
      <c r="Y142" s="27">
        <f>IF($G142&lt;&gt;0,SUMIF(куб!$G:$G,$G142,куб!O:O),IF($E142&lt;&gt;0,SUMIF(куб!$E:$E,$E142,куб!O:O),IF($D142&lt;&gt;0,SUMIF(куб!$D:$D,$D142,куб!O:O),IF($C142&lt;&gt;0,SUMIF(куб!$C:$C,$C142,куб!O:O),IF($B142&lt;&gt;0,SUMIF(куб!$B:$B,$B142,куб!O:O))))))</f>
        <v>147944.75580000051</v>
      </c>
      <c r="Z142" s="13">
        <f t="shared" si="57"/>
        <v>27.368029196540064</v>
      </c>
      <c r="AA142" s="5"/>
      <c r="AB142" s="33">
        <f t="shared" si="58"/>
        <v>0.12382572892869641</v>
      </c>
      <c r="AC142" s="33">
        <f t="shared" si="59"/>
        <v>0.14505377873875283</v>
      </c>
      <c r="AD142" s="15">
        <f t="shared" si="60"/>
        <v>2.1228049810056424E-2</v>
      </c>
      <c r="AE142" s="5"/>
      <c r="AF142" s="27">
        <f>IF($G142&lt;&gt;0,SUMIF(куб!$G:$G,$G142,куб!R:R),IF($E142&lt;&gt;0,SUMIF(куб!$E:$E,$E142,куб!R:R),IF($D142&lt;&gt;0,SUMIF(куб!$D:$D,$D142,куб!R:R),IF($C142&lt;&gt;0,SUMIF(куб!$C:$C,$C142,куб!R:R),IF($B142&lt;&gt;0,SUMIF(куб!$B:$B,$B142,куб!R:R))))))</f>
        <v>188.91810000000001</v>
      </c>
      <c r="AG142" s="27">
        <f>IF($G142&lt;&gt;0,SUMIF(куб!$G:$G,$G142,куб!S:S),IF($E142&lt;&gt;0,SUMIF(куб!$E:$E,$E142,куб!S:S),IF($D142&lt;&gt;0,SUMIF(куб!$D:$D,$D142,куб!S:S),IF($C142&lt;&gt;0,SUMIF(куб!$C:$C,$C142,куб!S:S),IF($B142&lt;&gt;0,SUMIF(куб!$B:$B,$B142,куб!S:S))))))</f>
        <v>8840.5142000000014</v>
      </c>
      <c r="AH142" s="16">
        <f t="shared" si="61"/>
        <v>45.795485451102884</v>
      </c>
      <c r="AI142" s="8"/>
      <c r="AJ142" s="27">
        <f>IF($G142&lt;&gt;0,SUMIF(куб!$G:$G,$G142,куб!T:T),IF($E142&lt;&gt;0,SUMIF(куб!$E:$E,$E142,куб!T:T),IF($D142&lt;&gt;0,SUMIF(куб!$D:$D,$D142,куб!T:T),IF($C142&lt;&gt;0,SUMIF(куб!$C:$C,$C142,куб!T:T),IF($B142&lt;&gt;0,SUMIF(куб!$B:$B,$B142,куб!T:T))))))</f>
        <v>3</v>
      </c>
      <c r="AK142" s="27">
        <f>IF($G142&lt;&gt;0,SUMIF(куб!$G:$G,$G142,куб!U:U),IF($E142&lt;&gt;0,SUMIF(куб!$E:$E,$E142,куб!U:U),IF($D142&lt;&gt;0,SUMIF(куб!$D:$D,$D142,куб!U:U),IF($C142&lt;&gt;0,SUMIF(куб!$C:$C,$C142,куб!U:U),IF($B142&lt;&gt;0,SUMIF(куб!$B:$B,$B142,куб!U:U))))))</f>
        <v>148</v>
      </c>
      <c r="AL142" s="16">
        <f t="shared" si="62"/>
        <v>48.333333333333336</v>
      </c>
      <c r="AM142" s="8"/>
      <c r="AN142" s="17">
        <f t="shared" si="63"/>
        <v>4.4855329600772993E-3</v>
      </c>
      <c r="AO142" s="17">
        <f t="shared" si="64"/>
        <v>8.6677623939381172E-3</v>
      </c>
      <c r="AP142" s="16">
        <f t="shared" si="65"/>
        <v>4.1822294338608179E-3</v>
      </c>
      <c r="AQ142" s="8"/>
      <c r="AR142" s="17">
        <f t="shared" si="66"/>
        <v>0.11934019596861911</v>
      </c>
      <c r="AS142" s="17">
        <f t="shared" si="67"/>
        <v>0.1363860163448147</v>
      </c>
      <c r="AT142" s="13">
        <f t="shared" si="68"/>
        <v>1.7045820376195592E-2</v>
      </c>
      <c r="AU142" s="8"/>
    </row>
    <row r="143" spans="1:47" ht="15" customHeight="1" x14ac:dyDescent="0.25">
      <c r="A143" s="31" t="s">
        <v>26</v>
      </c>
      <c r="B143" s="31" t="s">
        <v>32</v>
      </c>
      <c r="C143" t="s">
        <v>33</v>
      </c>
      <c r="D143" s="31" t="s">
        <v>34</v>
      </c>
      <c r="E143" t="s">
        <v>203</v>
      </c>
      <c r="F143" s="31" t="s">
        <v>310</v>
      </c>
      <c r="G143" t="s">
        <v>311</v>
      </c>
      <c r="H143" s="27">
        <f>IF($G143&lt;&gt;0,SUMIF(куб!$G:$G,$G143,куб!H:H),IF($E143&lt;&gt;0,SUMIF(куб!$E:$E,$E143,куб!H:H),IF($D143&lt;&gt;0,SUMIF(куб!$D:$D,$D143,куб!H:H),IF($C143&lt;&gt;0,SUMIF(куб!$C:$C,$C143,куб!H:H),IF($B143&lt;&gt;0,SUMIF(куб!$B:$B,$B143,куб!H:H),IF($G143&lt;&gt;0,SUMIF(куб!$A:$A,$G143,куб!H:H),SUMIF(куб!$A:$A,$G143,куб!H:H)))))))</f>
        <v>21624.662600000011</v>
      </c>
      <c r="I143" s="27">
        <f>IF($G143&lt;&gt;0,SUMIF(куб!$G:$G,$G143,куб!I:I),IF($E143&lt;&gt;0,SUMIF(куб!$E:$E,$E143,куб!I:I),IF($D143&lt;&gt;0,SUMIF(куб!$D:$D,$D143,куб!I:I),IF($C143&lt;&gt;0,SUMIF(куб!$C:$C,$C143,куб!I:I),IF($B143&lt;&gt;0,SUMIF(куб!$B:$B,$B143,куб!I:I),IF($G143&lt;&gt;0,SUMIF(куб!$A:$A,$G143,куб!I:I),SUMIF(куб!$A:$A,$G143,куб!I:I)))))))</f>
        <v>0</v>
      </c>
      <c r="J143" s="19">
        <f t="shared" si="69"/>
        <v>-1</v>
      </c>
      <c r="K143" s="10"/>
      <c r="L143" s="17">
        <f t="shared" si="52"/>
        <v>4.517158538616196E-5</v>
      </c>
      <c r="M143" s="17">
        <f t="shared" si="53"/>
        <v>0</v>
      </c>
      <c r="N143" s="12">
        <f t="shared" si="54"/>
        <v>-4.517158538616196E-5</v>
      </c>
      <c r="O143" s="5"/>
      <c r="P143" s="27">
        <f>IF($G143&lt;&gt;0,SUMIF(куб!$G:$G,$G143,куб!J:J),IF($E143&lt;&gt;0,SUMIF(куб!$E:$E,$E143,куб!J:J),IF($D143&lt;&gt;0,SUMIF(куб!$D:$D,$D143,куб!J:J),IF($C143&lt;&gt;0,SUMIF(куб!$C:$C,$C143,куб!J:J),IF($B143&lt;&gt;0,SUMIF(куб!$B:$B,$B143,куб!J:J))))))</f>
        <v>279</v>
      </c>
      <c r="Q143" s="27">
        <f>IF($G143&lt;&gt;0,SUMIF(куб!$G:$G,$G143,куб!K:K),IF($E143&lt;&gt;0,SUMIF(куб!$E:$E,$E143,куб!K:K),IF($D143&lt;&gt;0,SUMIF(куб!$D:$D,$D143,куб!K:K),IF($C143&lt;&gt;0,SUMIF(куб!$C:$C,$C143,куб!K:K),IF($B143&lt;&gt;0,SUMIF(куб!$B:$B,$B143,куб!K:K))))))</f>
        <v>0</v>
      </c>
      <c r="R143" s="13">
        <f t="shared" si="55"/>
        <v>-1</v>
      </c>
      <c r="S143" s="5"/>
      <c r="T143" s="27">
        <f>IF($G143&lt;&gt;0,SUMIF(куб!$G:$G,$G143,куб!L:L),IF($E143&lt;&gt;0,SUMIF(куб!$E:$E,$E143,куб!L:L),IF($D143&lt;&gt;0,SUMIF(куб!$D:$D,$D143,куб!L:L),IF($C143&lt;&gt;0,SUMIF(куб!$C:$C,$C143,куб!L:L),IF($B143&lt;&gt;0,SUMIF(куб!$B:$B,$B143,куб!L:L))))))</f>
        <v>251.10000000000005</v>
      </c>
      <c r="U143" s="27">
        <f>IF($G143&lt;&gt;0,SUMIF(куб!$G:$G,$G143,куб!M:M),IF($E143&lt;&gt;0,SUMIF(куб!$E:$E,$E143,куб!M:M),IF($D143&lt;&gt;0,SUMIF(куб!$D:$D,$D143,куб!M:M),IF($C143&lt;&gt;0,SUMIF(куб!$C:$C,$C143,куб!M:M),IF($B143&lt;&gt;0,SUMIF(куб!$B:$B,$B143,куб!M:M))))))</f>
        <v>0</v>
      </c>
      <c r="V143" s="13">
        <f t="shared" si="56"/>
        <v>-1</v>
      </c>
      <c r="W143" s="5"/>
      <c r="X143" s="27">
        <f>IF($G143&lt;&gt;0,SUMIF(куб!$G:$G,$G143,куб!N:N),IF($E143&lt;&gt;0,SUMIF(куб!$E:$E,$E143,куб!N:N),IF($D143&lt;&gt;0,SUMIF(куб!$D:$D,$D143,куб!N:N),IF($C143&lt;&gt;0,SUMIF(куб!$C:$C,$C143,куб!N:N),IF($B143&lt;&gt;0,SUMIF(куб!$B:$B,$B143,куб!N:N))))))</f>
        <v>2743.9781999999977</v>
      </c>
      <c r="Y143" s="27">
        <f>IF($G143&lt;&gt;0,SUMIF(куб!$G:$G,$G143,куб!O:O),IF($E143&lt;&gt;0,SUMIF(куб!$E:$E,$E143,куб!O:O),IF($D143&lt;&gt;0,SUMIF(куб!$D:$D,$D143,куб!O:O),IF($C143&lt;&gt;0,SUMIF(куб!$C:$C,$C143,куб!O:O),IF($B143&lt;&gt;0,SUMIF(куб!$B:$B,$B143,куб!O:O))))))</f>
        <v>0</v>
      </c>
      <c r="Z143" s="13">
        <f t="shared" si="57"/>
        <v>-1</v>
      </c>
      <c r="AA143" s="5"/>
      <c r="AB143" s="33">
        <f t="shared" si="58"/>
        <v>0.12689114511317259</v>
      </c>
      <c r="AC143" s="33" t="str">
        <f t="shared" si="59"/>
        <v/>
      </c>
      <c r="AD143" s="15" t="str">
        <f t="shared" si="60"/>
        <v xml:space="preserve"> </v>
      </c>
      <c r="AE143" s="5"/>
      <c r="AF143" s="27">
        <f>IF($G143&lt;&gt;0,SUMIF(куб!$G:$G,$G143,куб!R:R),IF($E143&lt;&gt;0,SUMIF(куб!$E:$E,$E143,куб!R:R),IF($D143&lt;&gt;0,SUMIF(куб!$D:$D,$D143,куб!R:R),IF($C143&lt;&gt;0,SUMIF(куб!$C:$C,$C143,куб!R:R),IF($B143&lt;&gt;0,SUMIF(куб!$B:$B,$B143,куб!R:R))))))</f>
        <v>4331.0532000000012</v>
      </c>
      <c r="AG143" s="27">
        <f>IF($G143&lt;&gt;0,SUMIF(куб!$G:$G,$G143,куб!S:S),IF($E143&lt;&gt;0,SUMIF(куб!$E:$E,$E143,куб!S:S),IF($D143&lt;&gt;0,SUMIF(куб!$D:$D,$D143,куб!S:S),IF($C143&lt;&gt;0,SUMIF(куб!$C:$C,$C143,куб!S:S),IF($B143&lt;&gt;0,SUMIF(куб!$B:$B,$B143,куб!S:S))))))</f>
        <v>0</v>
      </c>
      <c r="AH143" s="16">
        <f t="shared" si="61"/>
        <v>-1</v>
      </c>
      <c r="AI143" s="8"/>
      <c r="AJ143" s="27">
        <f>IF($G143&lt;&gt;0,SUMIF(куб!$G:$G,$G143,куб!T:T),IF($E143&lt;&gt;0,SUMIF(куб!$E:$E,$E143,куб!T:T),IF($D143&lt;&gt;0,SUMIF(куб!$D:$D,$D143,куб!T:T),IF($C143&lt;&gt;0,SUMIF(куб!$C:$C,$C143,куб!T:T),IF($B143&lt;&gt;0,SUMIF(куб!$B:$B,$B143,куб!T:T))))))</f>
        <v>64</v>
      </c>
      <c r="AK143" s="27">
        <f>IF($G143&lt;&gt;0,SUMIF(куб!$G:$G,$G143,куб!U:U),IF($E143&lt;&gt;0,SUMIF(куб!$E:$E,$E143,куб!U:U),IF($D143&lt;&gt;0,SUMIF(куб!$D:$D,$D143,куб!U:U),IF($C143&lt;&gt;0,SUMIF(куб!$C:$C,$C143,куб!U:U),IF($B143&lt;&gt;0,SUMIF(куб!$B:$B,$B143,куб!U:U))))))</f>
        <v>0</v>
      </c>
      <c r="AL143" s="16">
        <f t="shared" si="62"/>
        <v>-1</v>
      </c>
      <c r="AM143" s="8"/>
      <c r="AN143" s="17">
        <f t="shared" si="63"/>
        <v>0.20028304164153751</v>
      </c>
      <c r="AO143" s="17" t="str">
        <f t="shared" si="64"/>
        <v xml:space="preserve"> </v>
      </c>
      <c r="AP143" s="16" t="str">
        <f t="shared" si="65"/>
        <v>-</v>
      </c>
      <c r="AQ143" s="8"/>
      <c r="AR143" s="17">
        <f t="shared" si="66"/>
        <v>-7.3391896528364919E-2</v>
      </c>
      <c r="AS143" s="17" t="str">
        <f t="shared" si="67"/>
        <v>-</v>
      </c>
      <c r="AT143" s="13" t="str">
        <f t="shared" si="68"/>
        <v>-</v>
      </c>
      <c r="AU143" s="8"/>
    </row>
    <row r="144" spans="1:47" ht="15" customHeight="1" x14ac:dyDescent="0.25">
      <c r="A144" s="31" t="s">
        <v>26</v>
      </c>
      <c r="B144" s="31" t="s">
        <v>32</v>
      </c>
      <c r="C144" t="s">
        <v>33</v>
      </c>
      <c r="D144" s="31" t="s">
        <v>34</v>
      </c>
      <c r="E144" t="s">
        <v>203</v>
      </c>
      <c r="F144" s="31" t="s">
        <v>312</v>
      </c>
      <c r="G144" t="s">
        <v>313</v>
      </c>
      <c r="H144" s="27">
        <f>IF($G144&lt;&gt;0,SUMIF(куб!$G:$G,$G144,куб!H:H),IF($E144&lt;&gt;0,SUMIF(куб!$E:$E,$E144,куб!H:H),IF($D144&lt;&gt;0,SUMIF(куб!$D:$D,$D144,куб!H:H),IF($C144&lt;&gt;0,SUMIF(куб!$C:$C,$C144,куб!H:H),IF($B144&lt;&gt;0,SUMIF(куб!$B:$B,$B144,куб!H:H),IF($G144&lt;&gt;0,SUMIF(куб!$A:$A,$G144,куб!H:H),SUMIF(куб!$A:$A,$G144,куб!H:H)))))))</f>
        <v>0</v>
      </c>
      <c r="I144" s="27">
        <f>IF($G144&lt;&gt;0,SUMIF(куб!$G:$G,$G144,куб!I:I),IF($E144&lt;&gt;0,SUMIF(куб!$E:$E,$E144,куб!I:I),IF($D144&lt;&gt;0,SUMIF(куб!$D:$D,$D144,куб!I:I),IF($C144&lt;&gt;0,SUMIF(куб!$C:$C,$C144,куб!I:I),IF($B144&lt;&gt;0,SUMIF(куб!$B:$B,$B144,куб!I:I),IF($G144&lt;&gt;0,SUMIF(куб!$A:$A,$G144,куб!I:I),SUMIF(куб!$A:$A,$G144,куб!I:I)))))))</f>
        <v>808008.64679999999</v>
      </c>
      <c r="J144" s="19" t="str">
        <f t="shared" si="69"/>
        <v>-</v>
      </c>
      <c r="K144" s="5"/>
      <c r="L144" s="17">
        <f t="shared" si="52"/>
        <v>0</v>
      </c>
      <c r="M144" s="17">
        <f t="shared" si="53"/>
        <v>1.7228158522442955E-3</v>
      </c>
      <c r="N144" s="12">
        <f t="shared" si="54"/>
        <v>1.7228158522442955E-3</v>
      </c>
      <c r="O144" s="5"/>
      <c r="P144" s="27">
        <f>IF($G144&lt;&gt;0,SUMIF(куб!$G:$G,$G144,куб!J:J),IF($E144&lt;&gt;0,SUMIF(куб!$E:$E,$E144,куб!J:J),IF($D144&lt;&gt;0,SUMIF(куб!$D:$D,$D144,куб!J:J),IF($C144&lt;&gt;0,SUMIF(куб!$C:$C,$C144,куб!J:J),IF($B144&lt;&gt;0,SUMIF(куб!$B:$B,$B144,куб!J:J))))))</f>
        <v>0</v>
      </c>
      <c r="Q144" s="27">
        <f>IF($G144&lt;&gt;0,SUMIF(куб!$G:$G,$G144,куб!K:K),IF($E144&lt;&gt;0,SUMIF(куб!$E:$E,$E144,куб!K:K),IF($D144&lt;&gt;0,SUMIF(куб!$D:$D,$D144,куб!K:K),IF($C144&lt;&gt;0,SUMIF(куб!$C:$C,$C144,куб!K:K),IF($B144&lt;&gt;0,SUMIF(куб!$B:$B,$B144,куб!K:K))))))</f>
        <v>10811</v>
      </c>
      <c r="R144" s="13" t="str">
        <f t="shared" si="55"/>
        <v>-</v>
      </c>
      <c r="S144" s="5"/>
      <c r="T144" s="27">
        <f>IF($G144&lt;&gt;0,SUMIF(куб!$G:$G,$G144,куб!L:L),IF($E144&lt;&gt;0,SUMIF(куб!$E:$E,$E144,куб!L:L),IF($D144&lt;&gt;0,SUMIF(куб!$D:$D,$D144,куб!L:L),IF($C144&lt;&gt;0,SUMIF(куб!$C:$C,$C144,куб!L:L),IF($B144&lt;&gt;0,SUMIF(куб!$B:$B,$B144,куб!L:L))))))</f>
        <v>0</v>
      </c>
      <c r="U144" s="27">
        <f>IF($G144&lt;&gt;0,SUMIF(куб!$G:$G,$G144,куб!M:M),IF($E144&lt;&gt;0,SUMIF(куб!$E:$E,$E144,куб!M:M),IF($D144&lt;&gt;0,SUMIF(куб!$D:$D,$D144,куб!M:M),IF($C144&lt;&gt;0,SUMIF(куб!$C:$C,$C144,куб!M:M),IF($B144&lt;&gt;0,SUMIF(куб!$B:$B,$B144,куб!M:M))))))</f>
        <v>11102.897000000001</v>
      </c>
      <c r="V144" s="13" t="str">
        <f t="shared" si="56"/>
        <v>-</v>
      </c>
      <c r="W144" s="5"/>
      <c r="X144" s="27">
        <f>IF($G144&lt;&gt;0,SUMIF(куб!$G:$G,$G144,куб!N:N),IF($E144&lt;&gt;0,SUMIF(куб!$E:$E,$E144,куб!N:N),IF($D144&lt;&gt;0,SUMIF(куб!$D:$D,$D144,куб!N:N),IF($C144&lt;&gt;0,SUMIF(куб!$C:$C,$C144,куб!N:N),IF($B144&lt;&gt;0,SUMIF(куб!$B:$B,$B144,куб!N:N))))))</f>
        <v>0</v>
      </c>
      <c r="Y144" s="27">
        <f>IF($G144&lt;&gt;0,SUMIF(куб!$G:$G,$G144,куб!O:O),IF($E144&lt;&gt;0,SUMIF(куб!$E:$E,$E144,куб!O:O),IF($D144&lt;&gt;0,SUMIF(куб!$D:$D,$D144,куб!O:O),IF($C144&lt;&gt;0,SUMIF(куб!$C:$C,$C144,куб!O:O),IF($B144&lt;&gt;0,SUMIF(куб!$B:$B,$B144,куб!O:O))))))</f>
        <v>95456.067600000068</v>
      </c>
      <c r="Z144" s="13" t="str">
        <f t="shared" si="57"/>
        <v>-</v>
      </c>
      <c r="AA144" s="5"/>
      <c r="AB144" s="33" t="str">
        <f t="shared" si="58"/>
        <v/>
      </c>
      <c r="AC144" s="33">
        <f t="shared" si="59"/>
        <v>0.11813743327876484</v>
      </c>
      <c r="AD144" s="15" t="str">
        <f t="shared" si="60"/>
        <v xml:space="preserve"> </v>
      </c>
      <c r="AE144" s="5"/>
      <c r="AF144" s="27">
        <f>IF($G144&lt;&gt;0,SUMIF(куб!$G:$G,$G144,куб!R:R),IF($E144&lt;&gt;0,SUMIF(куб!$E:$E,$E144,куб!R:R),IF($D144&lt;&gt;0,SUMIF(куб!$D:$D,$D144,куб!R:R),IF($C144&lt;&gt;0,SUMIF(куб!$C:$C,$C144,куб!R:R),IF($B144&lt;&gt;0,SUMIF(куб!$B:$B,$B144,куб!R:R))))))</f>
        <v>0</v>
      </c>
      <c r="AG144" s="27">
        <f>IF($G144&lt;&gt;0,SUMIF(куб!$G:$G,$G144,куб!S:S),IF($E144&lt;&gt;0,SUMIF(куб!$E:$E,$E144,куб!S:S),IF($D144&lt;&gt;0,SUMIF(куб!$D:$D,$D144,куб!S:S),IF($C144&lt;&gt;0,SUMIF(куб!$C:$C,$C144,куб!S:S),IF($B144&lt;&gt;0,SUMIF(куб!$B:$B,$B144,куб!S:S))))))</f>
        <v>8436.3600999999981</v>
      </c>
      <c r="AH144" s="16" t="str">
        <f t="shared" si="61"/>
        <v>-</v>
      </c>
      <c r="AI144" s="8"/>
      <c r="AJ144" s="27">
        <f>IF($G144&lt;&gt;0,SUMIF(куб!$G:$G,$G144,куб!T:T),IF($E144&lt;&gt;0,SUMIF(куб!$E:$E,$E144,куб!T:T),IF($D144&lt;&gt;0,SUMIF(куб!$D:$D,$D144,куб!T:T),IF($C144&lt;&gt;0,SUMIF(куб!$C:$C,$C144,куб!T:T),IF($B144&lt;&gt;0,SUMIF(куб!$B:$B,$B144,куб!T:T))))))</f>
        <v>0</v>
      </c>
      <c r="AK144" s="27">
        <f>IF($G144&lt;&gt;0,SUMIF(куб!$G:$G,$G144,куб!U:U),IF($E144&lt;&gt;0,SUMIF(куб!$E:$E,$E144,куб!U:U),IF($D144&lt;&gt;0,SUMIF(куб!$D:$D,$D144,куб!U:U),IF($C144&lt;&gt;0,SUMIF(куб!$C:$C,$C144,куб!U:U),IF($B144&lt;&gt;0,SUMIF(куб!$B:$B,$B144,куб!U:U))))))</f>
        <v>128</v>
      </c>
      <c r="AL144" s="16" t="str">
        <f t="shared" si="62"/>
        <v>-</v>
      </c>
      <c r="AM144" s="8"/>
      <c r="AN144" s="17" t="str">
        <f t="shared" si="63"/>
        <v xml:space="preserve"> </v>
      </c>
      <c r="AO144" s="17">
        <f t="shared" si="64"/>
        <v>1.0440927994286902E-2</v>
      </c>
      <c r="AP144" s="16" t="str">
        <f t="shared" si="65"/>
        <v>-</v>
      </c>
      <c r="AQ144" s="8"/>
      <c r="AR144" s="17" t="str">
        <f t="shared" si="66"/>
        <v>-</v>
      </c>
      <c r="AS144" s="17">
        <f t="shared" si="67"/>
        <v>0.10769650528447795</v>
      </c>
      <c r="AT144" s="13" t="str">
        <f t="shared" si="68"/>
        <v>-</v>
      </c>
      <c r="AU144" s="8"/>
    </row>
    <row r="145" spans="1:47" ht="15" customHeight="1" x14ac:dyDescent="0.25">
      <c r="A145" s="31" t="s">
        <v>26</v>
      </c>
      <c r="B145" s="31" t="s">
        <v>32</v>
      </c>
      <c r="C145" t="s">
        <v>33</v>
      </c>
      <c r="D145" s="31" t="s">
        <v>34</v>
      </c>
      <c r="E145" t="s">
        <v>203</v>
      </c>
      <c r="F145" s="46" t="s">
        <v>314</v>
      </c>
      <c r="G145" t="s">
        <v>315</v>
      </c>
      <c r="H145" s="27">
        <f>IF($G145&lt;&gt;0,SUMIF(куб!$G:$G,$G145,куб!H:H),IF($E145&lt;&gt;0,SUMIF(куб!$E:$E,$E145,куб!H:H),IF($D145&lt;&gt;0,SUMIF(куб!$D:$D,$D145,куб!H:H),IF($C145&lt;&gt;0,SUMIF(куб!$C:$C,$C145,куб!H:H),IF($B145&lt;&gt;0,SUMIF(куб!$B:$B,$B145,куб!H:H),IF($G145&lt;&gt;0,SUMIF(куб!$A:$A,$G145,куб!H:H),SUMIF(куб!$A:$A,$G145,куб!H:H)))))))</f>
        <v>20619318.312199969</v>
      </c>
      <c r="I145" s="27">
        <f>IF($G145&lt;&gt;0,SUMIF(куб!$G:$G,$G145,куб!I:I),IF($E145&lt;&gt;0,SUMIF(куб!$E:$E,$E145,куб!I:I),IF($D145&lt;&gt;0,SUMIF(куб!$D:$D,$D145,куб!I:I),IF($C145&lt;&gt;0,SUMIF(куб!$C:$C,$C145,куб!I:I),IF($B145&lt;&gt;0,SUMIF(куб!$B:$B,$B145,куб!I:I),IF($G145&lt;&gt;0,SUMIF(куб!$A:$A,$G145,куб!I:I),SUMIF(куб!$A:$A,$G145,куб!I:I)))))))</f>
        <v>17522034.31659998</v>
      </c>
      <c r="J145" s="19">
        <f t="shared" si="69"/>
        <v>-0.15021272520767082</v>
      </c>
      <c r="K145" s="5"/>
      <c r="L145" s="17">
        <f t="shared" si="52"/>
        <v>4.3071529714595096E-2</v>
      </c>
      <c r="M145" s="17">
        <f t="shared" si="53"/>
        <v>3.7360043860618482E-2</v>
      </c>
      <c r="N145" s="12">
        <f t="shared" si="54"/>
        <v>-5.7114858539766139E-3</v>
      </c>
      <c r="O145" s="5"/>
      <c r="P145" s="27">
        <f>IF($G145&lt;&gt;0,SUMIF(куб!$G:$G,$G145,куб!J:J),IF($E145&lt;&gt;0,SUMIF(куб!$E:$E,$E145,куб!J:J),IF($D145&lt;&gt;0,SUMIF(куб!$D:$D,$D145,куб!J:J),IF($C145&lt;&gt;0,SUMIF(куб!$C:$C,$C145,куб!J:J),IF($B145&lt;&gt;0,SUMIF(куб!$B:$B,$B145,куб!J:J))))))</f>
        <v>151504</v>
      </c>
      <c r="Q145" s="27">
        <f>IF($G145&lt;&gt;0,SUMIF(куб!$G:$G,$G145,куб!K:K),IF($E145&lt;&gt;0,SUMIF(куб!$E:$E,$E145,куб!K:K),IF($D145&lt;&gt;0,SUMIF(куб!$D:$D,$D145,куб!K:K),IF($C145&lt;&gt;0,SUMIF(куб!$C:$C,$C145,куб!K:K),IF($B145&lt;&gt;0,SUMIF(куб!$B:$B,$B145,куб!K:K))))))</f>
        <v>134045</v>
      </c>
      <c r="R145" s="13">
        <f t="shared" si="55"/>
        <v>-0.115237881508079</v>
      </c>
      <c r="S145" s="5"/>
      <c r="T145" s="27">
        <f>IF($G145&lt;&gt;0,SUMIF(куб!$G:$G,$G145,куб!L:L),IF($E145&lt;&gt;0,SUMIF(куб!$E:$E,$E145,куб!L:L),IF($D145&lt;&gt;0,SUMIF(куб!$D:$D,$D145,куб!L:L),IF($C145&lt;&gt;0,SUMIF(куб!$C:$C,$C145,куб!L:L),IF($B145&lt;&gt;0,SUMIF(куб!$B:$B,$B145,куб!L:L))))))</f>
        <v>212105.60000000012</v>
      </c>
      <c r="U145" s="27">
        <f>IF($G145&lt;&gt;0,SUMIF(куб!$G:$G,$G145,куб!M:M),IF($E145&lt;&gt;0,SUMIF(куб!$E:$E,$E145,куб!M:M),IF($D145&lt;&gt;0,SUMIF(куб!$D:$D,$D145,куб!M:M),IF($C145&lt;&gt;0,SUMIF(куб!$C:$C,$C145,куб!M:M),IF($B145&lt;&gt;0,SUMIF(куб!$B:$B,$B145,куб!M:M))))))</f>
        <v>187663.00000000009</v>
      </c>
      <c r="V145" s="13">
        <f t="shared" si="56"/>
        <v>-0.11523788150807909</v>
      </c>
      <c r="W145" s="5"/>
      <c r="X145" s="27">
        <f>IF($G145&lt;&gt;0,SUMIF(куб!$G:$G,$G145,куб!N:N),IF($E145&lt;&gt;0,SUMIF(куб!$E:$E,$E145,куб!N:N),IF($D145&lt;&gt;0,SUMIF(куб!$D:$D,$D145,куб!N:N),IF($C145&lt;&gt;0,SUMIF(куб!$C:$C,$C145,куб!N:N),IF($B145&lt;&gt;0,SUMIF(куб!$B:$B,$B145,куб!N:N))))))</f>
        <v>2230409.9435000159</v>
      </c>
      <c r="Y145" s="27">
        <f>IF($G145&lt;&gt;0,SUMIF(куб!$G:$G,$G145,куб!O:O),IF($E145&lt;&gt;0,SUMIF(куб!$E:$E,$E145,куб!O:O),IF($D145&lt;&gt;0,SUMIF(куб!$D:$D,$D145,куб!O:O),IF($C145&lt;&gt;0,SUMIF(куб!$C:$C,$C145,куб!O:O),IF($B145&lt;&gt;0,SUMIF(куб!$B:$B,$B145,куб!O:O))))))</f>
        <v>2207263.0987000298</v>
      </c>
      <c r="Z145" s="13">
        <f t="shared" si="57"/>
        <v>-1.0377843260357553E-2</v>
      </c>
      <c r="AA145" s="5"/>
      <c r="AB145" s="33">
        <f t="shared" si="58"/>
        <v>0.10817088662821285</v>
      </c>
      <c r="AC145" s="33">
        <f t="shared" si="59"/>
        <v>0.12597070972569199</v>
      </c>
      <c r="AD145" s="15">
        <f t="shared" si="60"/>
        <v>1.7799823097479142E-2</v>
      </c>
      <c r="AE145" s="5"/>
      <c r="AF145" s="27">
        <f>IF($G145&lt;&gt;0,SUMIF(куб!$G:$G,$G145,куб!R:R),IF($E145&lt;&gt;0,SUMIF(куб!$E:$E,$E145,куб!R:R),IF($D145&lt;&gt;0,SUMIF(куб!$D:$D,$D145,куб!R:R),IF($C145&lt;&gt;0,SUMIF(куб!$C:$C,$C145,куб!R:R),IF($B145&lt;&gt;0,SUMIF(куб!$B:$B,$B145,куб!R:R))))))</f>
        <v>18854.585999999992</v>
      </c>
      <c r="AG145" s="27">
        <f>IF($G145&lt;&gt;0,SUMIF(куб!$G:$G,$G145,куб!S:S),IF($E145&lt;&gt;0,SUMIF(куб!$E:$E,$E145,куб!S:S),IF($D145&lt;&gt;0,SUMIF(куб!$D:$D,$D145,куб!S:S),IF($C145&lt;&gt;0,SUMIF(куб!$C:$C,$C145,куб!S:S),IF($B145&lt;&gt;0,SUMIF(куб!$B:$B,$B145,куб!S:S))))))</f>
        <v>28124.275400000002</v>
      </c>
      <c r="AH145" s="16">
        <f t="shared" si="61"/>
        <v>0.49164109994247629</v>
      </c>
      <c r="AI145" s="8"/>
      <c r="AJ145" s="27">
        <f>IF($G145&lt;&gt;0,SUMIF(куб!$G:$G,$G145,куб!T:T),IF($E145&lt;&gt;0,SUMIF(куб!$E:$E,$E145,куб!T:T),IF($D145&lt;&gt;0,SUMIF(куб!$D:$D,$D145,куб!T:T),IF($C145&lt;&gt;0,SUMIF(куб!$C:$C,$C145,куб!T:T),IF($B145&lt;&gt;0,SUMIF(куб!$B:$B,$B145,куб!T:T))))))</f>
        <v>155</v>
      </c>
      <c r="AK145" s="27">
        <f>IF($G145&lt;&gt;0,SUMIF(куб!$G:$G,$G145,куб!U:U),IF($E145&lt;&gt;0,SUMIF(куб!$E:$E,$E145,куб!U:U),IF($D145&lt;&gt;0,SUMIF(куб!$D:$D,$D145,куб!U:U),IF($C145&lt;&gt;0,SUMIF(куб!$C:$C,$C145,куб!U:U),IF($B145&lt;&gt;0,SUMIF(куб!$B:$B,$B145,куб!U:U))))))</f>
        <v>242</v>
      </c>
      <c r="AL145" s="16">
        <f t="shared" si="62"/>
        <v>0.56129032258064515</v>
      </c>
      <c r="AM145" s="8"/>
      <c r="AN145" s="17">
        <f t="shared" si="63"/>
        <v>9.1441364425923698E-4</v>
      </c>
      <c r="AO145" s="17">
        <f t="shared" si="64"/>
        <v>1.6050804884770542E-3</v>
      </c>
      <c r="AP145" s="16">
        <f t="shared" si="65"/>
        <v>6.9066684421781723E-4</v>
      </c>
      <c r="AQ145" s="8"/>
      <c r="AR145" s="17">
        <f t="shared" si="66"/>
        <v>0.1072564729839536</v>
      </c>
      <c r="AS145" s="17">
        <f t="shared" si="67"/>
        <v>0.12436562923721492</v>
      </c>
      <c r="AT145" s="13">
        <f t="shared" si="68"/>
        <v>1.7109156253261315E-2</v>
      </c>
      <c r="AU145" s="8"/>
    </row>
    <row r="146" spans="1:47" ht="15" customHeight="1" x14ac:dyDescent="0.25">
      <c r="A146" s="31" t="s">
        <v>26</v>
      </c>
      <c r="B146" s="31" t="s">
        <v>32</v>
      </c>
      <c r="C146" t="s">
        <v>33</v>
      </c>
      <c r="D146" s="31" t="s">
        <v>34</v>
      </c>
      <c r="E146" t="s">
        <v>203</v>
      </c>
      <c r="F146" s="31" t="s">
        <v>316</v>
      </c>
      <c r="G146" t="s">
        <v>317</v>
      </c>
      <c r="H146" s="27">
        <f>IF($G146&lt;&gt;0,SUMIF(куб!$G:$G,$G146,куб!H:H),IF($E146&lt;&gt;0,SUMIF(куб!$E:$E,$E146,куб!H:H),IF($D146&lt;&gt;0,SUMIF(куб!$D:$D,$D146,куб!H:H),IF($C146&lt;&gt;0,SUMIF(куб!$C:$C,$C146,куб!H:H),IF($B146&lt;&gt;0,SUMIF(куб!$B:$B,$B146,куб!H:H),IF($G146&lt;&gt;0,SUMIF(куб!$A:$A,$G146,куб!H:H),SUMIF(куб!$A:$A,$G146,куб!H:H)))))))</f>
        <v>66938.471300000005</v>
      </c>
      <c r="I146" s="27">
        <f>IF($G146&lt;&gt;0,SUMIF(куб!$G:$G,$G146,куб!I:I),IF($E146&lt;&gt;0,SUMIF(куб!$E:$E,$E146,куб!I:I),IF($D146&lt;&gt;0,SUMIF(куб!$D:$D,$D146,куб!I:I),IF($C146&lt;&gt;0,SUMIF(куб!$C:$C,$C146,куб!I:I),IF($B146&lt;&gt;0,SUMIF(куб!$B:$B,$B146,куб!I:I),IF($G146&lt;&gt;0,SUMIF(куб!$A:$A,$G146,куб!I:I),SUMIF(куб!$A:$A,$G146,куб!I:I)))))))</f>
        <v>94140.043199999986</v>
      </c>
      <c r="J146" s="19">
        <f t="shared" si="69"/>
        <v>0.4063667928430863</v>
      </c>
      <c r="K146" s="8"/>
      <c r="L146" s="17">
        <f t="shared" si="52"/>
        <v>1.3982723929052658E-4</v>
      </c>
      <c r="M146" s="17">
        <f t="shared" si="53"/>
        <v>2.0072304844538053E-4</v>
      </c>
      <c r="N146" s="12">
        <f t="shared" si="54"/>
        <v>6.0895809154853952E-5</v>
      </c>
      <c r="O146" s="5"/>
      <c r="P146" s="27">
        <f>IF($G146&lt;&gt;0,SUMIF(куб!$G:$G,$G146,куб!J:J),IF($E146&lt;&gt;0,SUMIF(куб!$E:$E,$E146,куб!J:J),IF($D146&lt;&gt;0,SUMIF(куб!$D:$D,$D146,куб!J:J),IF($C146&lt;&gt;0,SUMIF(куб!$C:$C,$C146,куб!J:J),IF($B146&lt;&gt;0,SUMIF(куб!$B:$B,$B146,куб!J:J))))))</f>
        <v>927</v>
      </c>
      <c r="Q146" s="27">
        <f>IF($G146&lt;&gt;0,SUMIF(куб!$G:$G,$G146,куб!K:K),IF($E146&lt;&gt;0,SUMIF(куб!$E:$E,$E146,куб!K:K),IF($D146&lt;&gt;0,SUMIF(куб!$D:$D,$D146,куб!K:K),IF($C146&lt;&gt;0,SUMIF(куб!$C:$C,$C146,куб!K:K),IF($B146&lt;&gt;0,SUMIF(куб!$B:$B,$B146,куб!K:K))))))</f>
        <v>1292</v>
      </c>
      <c r="R146" s="13">
        <f t="shared" si="55"/>
        <v>0.39374325782092773</v>
      </c>
      <c r="S146" s="5"/>
      <c r="T146" s="27">
        <f>IF($G146&lt;&gt;0,SUMIF(куб!$G:$G,$G146,куб!L:L),IF($E146&lt;&gt;0,SUMIF(куб!$E:$E,$E146,куб!L:L),IF($D146&lt;&gt;0,SUMIF(куб!$D:$D,$D146,куб!L:L),IF($C146&lt;&gt;0,SUMIF(куб!$C:$C,$C146,куб!L:L),IF($B146&lt;&gt;0,SUMIF(куб!$B:$B,$B146,куб!L:L))))))</f>
        <v>834.30000000000007</v>
      </c>
      <c r="U146" s="27">
        <f>IF($G146&lt;&gt;0,SUMIF(куб!$G:$G,$G146,куб!M:M),IF($E146&lt;&gt;0,SUMIF(куб!$E:$E,$E146,куб!M:M),IF($D146&lt;&gt;0,SUMIF(куб!$D:$D,$D146,куб!M:M),IF($C146&lt;&gt;0,SUMIF(куб!$C:$C,$C146,куб!M:M),IF($B146&lt;&gt;0,SUMIF(куб!$B:$B,$B146,куб!M:M))))))</f>
        <v>1162.8000000000002</v>
      </c>
      <c r="V146" s="13">
        <f t="shared" si="56"/>
        <v>0.39374325782092784</v>
      </c>
      <c r="W146" s="5"/>
      <c r="X146" s="27">
        <f>IF($G146&lt;&gt;0,SUMIF(куб!$G:$G,$G146,куб!N:N),IF($E146&lt;&gt;0,SUMIF(куб!$E:$E,$E146,куб!N:N),IF($D146&lt;&gt;0,SUMIF(куб!$D:$D,$D146,куб!N:N),IF($C146&lt;&gt;0,SUMIF(куб!$C:$C,$C146,куб!N:N),IF($B146&lt;&gt;0,SUMIF(куб!$B:$B,$B146,куб!N:N))))))</f>
        <v>6430.6712999999727</v>
      </c>
      <c r="Y146" s="27">
        <f>IF($G146&lt;&gt;0,SUMIF(куб!$G:$G,$G146,куб!O:O),IF($E146&lt;&gt;0,SUMIF(куб!$E:$E,$E146,куб!O:O),IF($D146&lt;&gt;0,SUMIF(куб!$D:$D,$D146,куб!O:O),IF($C146&lt;&gt;0,SUMIF(куб!$C:$C,$C146,куб!O:O),IF($B146&lt;&gt;0,SUMIF(куб!$B:$B,$B146,куб!O:O))))))</f>
        <v>16620.043199999986</v>
      </c>
      <c r="Z146" s="13">
        <f t="shared" si="57"/>
        <v>1.5844958363833737</v>
      </c>
      <c r="AA146" s="5"/>
      <c r="AB146" s="33">
        <f t="shared" si="58"/>
        <v>9.6068391989106758E-2</v>
      </c>
      <c r="AC146" s="33">
        <f t="shared" si="59"/>
        <v>0.17654594830268772</v>
      </c>
      <c r="AD146" s="15">
        <f t="shared" si="60"/>
        <v>8.0477556313580959E-2</v>
      </c>
      <c r="AE146" s="5"/>
      <c r="AF146" s="27">
        <f>IF($G146&lt;&gt;0,SUMIF(куб!$G:$G,$G146,куб!R:R),IF($E146&lt;&gt;0,SUMIF(куб!$E:$E,$E146,куб!R:R),IF($D146&lt;&gt;0,SUMIF(куб!$D:$D,$D146,куб!R:R),IF($C146&lt;&gt;0,SUMIF(куб!$C:$C,$C146,куб!R:R),IF($B146&lt;&gt;0,SUMIF(куб!$B:$B,$B146,куб!R:R))))))</f>
        <v>9399.2695000000058</v>
      </c>
      <c r="AG146" s="27">
        <f>IF($G146&lt;&gt;0,SUMIF(куб!$G:$G,$G146,куб!S:S),IF($E146&lt;&gt;0,SUMIF(куб!$E:$E,$E146,куб!S:S),IF($D146&lt;&gt;0,SUMIF(куб!$D:$D,$D146,куб!S:S),IF($C146&lt;&gt;0,SUMIF(куб!$C:$C,$C146,куб!S:S),IF($B146&lt;&gt;0,SUMIF(куб!$B:$B,$B146,куб!S:S))))))</f>
        <v>7440</v>
      </c>
      <c r="AH146" s="16">
        <f t="shared" si="61"/>
        <v>-0.20844912468995644</v>
      </c>
      <c r="AI146" s="8"/>
      <c r="AJ146" s="27">
        <f>IF($G146&lt;&gt;0,SUMIF(куб!$G:$G,$G146,куб!T:T),IF($E146&lt;&gt;0,SUMIF(куб!$E:$E,$E146,куб!T:T),IF($D146&lt;&gt;0,SUMIF(куб!$D:$D,$D146,куб!T:T),IF($C146&lt;&gt;0,SUMIF(куб!$C:$C,$C146,куб!T:T),IF($B146&lt;&gt;0,SUMIF(куб!$B:$B,$B146,куб!T:T))))))</f>
        <v>144</v>
      </c>
      <c r="AK146" s="27">
        <f>IF($G146&lt;&gt;0,SUMIF(куб!$G:$G,$G146,куб!U:U),IF($E146&lt;&gt;0,SUMIF(куб!$E:$E,$E146,куб!U:U),IF($D146&lt;&gt;0,SUMIF(куб!$D:$D,$D146,куб!U:U),IF($C146&lt;&gt;0,SUMIF(куб!$C:$C,$C146,куб!U:U),IF($B146&lt;&gt;0,SUMIF(куб!$B:$B,$B146,куб!U:U))))))</f>
        <v>124</v>
      </c>
      <c r="AL146" s="16">
        <f t="shared" si="62"/>
        <v>-0.1388888888888889</v>
      </c>
      <c r="AM146" s="8"/>
      <c r="AN146" s="17">
        <f t="shared" si="63"/>
        <v>0.14041655444856274</v>
      </c>
      <c r="AO146" s="17">
        <f t="shared" si="64"/>
        <v>7.9031193816150716E-2</v>
      </c>
      <c r="AP146" s="16">
        <f t="shared" si="65"/>
        <v>-6.1385360632412025E-2</v>
      </c>
      <c r="AQ146" s="8"/>
      <c r="AR146" s="17">
        <f t="shared" si="66"/>
        <v>-4.4348162459455998E-2</v>
      </c>
      <c r="AS146" s="17">
        <f t="shared" si="67"/>
        <v>9.7514754486537E-2</v>
      </c>
      <c r="AT146" s="13">
        <f t="shared" si="68"/>
        <v>0.14186291694599301</v>
      </c>
      <c r="AU146" s="8"/>
    </row>
    <row r="147" spans="1:47" ht="15" customHeight="1" x14ac:dyDescent="0.25">
      <c r="A147" s="31" t="s">
        <v>26</v>
      </c>
      <c r="B147" s="31" t="s">
        <v>32</v>
      </c>
      <c r="C147" t="s">
        <v>33</v>
      </c>
      <c r="D147" s="31" t="s">
        <v>34</v>
      </c>
      <c r="E147" t="s">
        <v>203</v>
      </c>
      <c r="F147" s="31" t="s">
        <v>318</v>
      </c>
      <c r="G147" t="s">
        <v>319</v>
      </c>
      <c r="H147" s="27">
        <f>IF($G147&lt;&gt;0,SUMIF(куб!$G:$G,$G147,куб!H:H),IF($E147&lt;&gt;0,SUMIF(куб!$E:$E,$E147,куб!H:H),IF($D147&lt;&gt;0,SUMIF(куб!$D:$D,$D147,куб!H:H),IF($C147&lt;&gt;0,SUMIF(куб!$C:$C,$C147,куб!H:H),IF($B147&lt;&gt;0,SUMIF(куб!$B:$B,$B147,куб!H:H),IF($G147&lt;&gt;0,SUMIF(куб!$A:$A,$G147,куб!H:H),SUMIF(куб!$A:$A,$G147,куб!H:H)))))))</f>
        <v>0</v>
      </c>
      <c r="I147" s="27">
        <f>IF($G147&lt;&gt;0,SUMIF(куб!$G:$G,$G147,куб!I:I),IF($E147&lt;&gt;0,SUMIF(куб!$E:$E,$E147,куб!I:I),IF($D147&lt;&gt;0,SUMIF(куб!$D:$D,$D147,куб!I:I),IF($C147&lt;&gt;0,SUMIF(куб!$C:$C,$C147,куб!I:I),IF($B147&lt;&gt;0,SUMIF(куб!$B:$B,$B147,куб!I:I),IF($G147&lt;&gt;0,SUMIF(куб!$A:$A,$G147,куб!I:I),SUMIF(куб!$A:$A,$G147,куб!I:I)))))))</f>
        <v>0</v>
      </c>
      <c r="J147" s="19" t="str">
        <f t="shared" si="69"/>
        <v>-</v>
      </c>
      <c r="K147" s="10"/>
      <c r="L147" s="17">
        <f t="shared" si="52"/>
        <v>0</v>
      </c>
      <c r="M147" s="17">
        <f t="shared" si="53"/>
        <v>0</v>
      </c>
      <c r="N147" s="12">
        <f t="shared" si="54"/>
        <v>0</v>
      </c>
      <c r="O147" s="5"/>
      <c r="P147" s="27">
        <f>IF($G147&lt;&gt;0,SUMIF(куб!$G:$G,$G147,куб!J:J),IF($E147&lt;&gt;0,SUMIF(куб!$E:$E,$E147,куб!J:J),IF($D147&lt;&gt;0,SUMIF(куб!$D:$D,$D147,куб!J:J),IF($C147&lt;&gt;0,SUMIF(куб!$C:$C,$C147,куб!J:J),IF($B147&lt;&gt;0,SUMIF(куб!$B:$B,$B147,куб!J:J))))))</f>
        <v>0</v>
      </c>
      <c r="Q147" s="27">
        <f>IF($G147&lt;&gt;0,SUMIF(куб!$G:$G,$G147,куб!K:K),IF($E147&lt;&gt;0,SUMIF(куб!$E:$E,$E147,куб!K:K),IF($D147&lt;&gt;0,SUMIF(куб!$D:$D,$D147,куб!K:K),IF($C147&lt;&gt;0,SUMIF(куб!$C:$C,$C147,куб!K:K),IF($B147&lt;&gt;0,SUMIF(куб!$B:$B,$B147,куб!K:K))))))</f>
        <v>0</v>
      </c>
      <c r="R147" s="13" t="str">
        <f t="shared" si="55"/>
        <v>-</v>
      </c>
      <c r="S147" s="5"/>
      <c r="T147" s="27">
        <f>IF($G147&lt;&gt;0,SUMIF(куб!$G:$G,$G147,куб!L:L),IF($E147&lt;&gt;0,SUMIF(куб!$E:$E,$E147,куб!L:L),IF($D147&lt;&gt;0,SUMIF(куб!$D:$D,$D147,куб!L:L),IF($C147&lt;&gt;0,SUMIF(куб!$C:$C,$C147,куб!L:L),IF($B147&lt;&gt;0,SUMIF(куб!$B:$B,$B147,куб!L:L))))))</f>
        <v>0</v>
      </c>
      <c r="U147" s="27">
        <f>IF($G147&lt;&gt;0,SUMIF(куб!$G:$G,$G147,куб!M:M),IF($E147&lt;&gt;0,SUMIF(куб!$E:$E,$E147,куб!M:M),IF($D147&lt;&gt;0,SUMIF(куб!$D:$D,$D147,куб!M:M),IF($C147&lt;&gt;0,SUMIF(куб!$C:$C,$C147,куб!M:M),IF($B147&lt;&gt;0,SUMIF(куб!$B:$B,$B147,куб!M:M))))))</f>
        <v>0</v>
      </c>
      <c r="V147" s="13" t="str">
        <f t="shared" si="56"/>
        <v>-</v>
      </c>
      <c r="W147" s="5"/>
      <c r="X147" s="27">
        <f>IF($G147&lt;&gt;0,SUMIF(куб!$G:$G,$G147,куб!N:N),IF($E147&lt;&gt;0,SUMIF(куб!$E:$E,$E147,куб!N:N),IF($D147&lt;&gt;0,SUMIF(куб!$D:$D,$D147,куб!N:N),IF($C147&lt;&gt;0,SUMIF(куб!$C:$C,$C147,куб!N:N),IF($B147&lt;&gt;0,SUMIF(куб!$B:$B,$B147,куб!N:N))))))</f>
        <v>0</v>
      </c>
      <c r="Y147" s="27">
        <f>IF($G147&lt;&gt;0,SUMIF(куб!$G:$G,$G147,куб!O:O),IF($E147&lt;&gt;0,SUMIF(куб!$E:$E,$E147,куб!O:O),IF($D147&lt;&gt;0,SUMIF(куб!$D:$D,$D147,куб!O:O),IF($C147&lt;&gt;0,SUMIF(куб!$C:$C,$C147,куб!O:O),IF($B147&lt;&gt;0,SUMIF(куб!$B:$B,$B147,куб!O:O))))))</f>
        <v>0</v>
      </c>
      <c r="Z147" s="13" t="str">
        <f t="shared" si="57"/>
        <v>-</v>
      </c>
      <c r="AA147" s="5"/>
      <c r="AB147" s="33" t="str">
        <f t="shared" si="58"/>
        <v/>
      </c>
      <c r="AC147" s="33" t="str">
        <f t="shared" si="59"/>
        <v/>
      </c>
      <c r="AD147" s="15" t="str">
        <f t="shared" si="60"/>
        <v xml:space="preserve"> </v>
      </c>
      <c r="AE147" s="5"/>
      <c r="AF147" s="27">
        <f>IF($G147&lt;&gt;0,SUMIF(куб!$G:$G,$G147,куб!R:R),IF($E147&lt;&gt;0,SUMIF(куб!$E:$E,$E147,куб!R:R),IF($D147&lt;&gt;0,SUMIF(куб!$D:$D,$D147,куб!R:R),IF($C147&lt;&gt;0,SUMIF(куб!$C:$C,$C147,куб!R:R),IF($B147&lt;&gt;0,SUMIF(куб!$B:$B,$B147,куб!R:R))))))</f>
        <v>0</v>
      </c>
      <c r="AG147" s="27">
        <f>IF($G147&lt;&gt;0,SUMIF(куб!$G:$G,$G147,куб!S:S),IF($E147&lt;&gt;0,SUMIF(куб!$E:$E,$E147,куб!S:S),IF($D147&lt;&gt;0,SUMIF(куб!$D:$D,$D147,куб!S:S),IF($C147&lt;&gt;0,SUMIF(куб!$C:$C,$C147,куб!S:S),IF($B147&lt;&gt;0,SUMIF(куб!$B:$B,$B147,куб!S:S))))))</f>
        <v>0</v>
      </c>
      <c r="AH147" s="16" t="str">
        <f t="shared" si="61"/>
        <v>-</v>
      </c>
      <c r="AI147" s="8"/>
      <c r="AJ147" s="27">
        <f>IF($G147&lt;&gt;0,SUMIF(куб!$G:$G,$G147,куб!T:T),IF($E147&lt;&gt;0,SUMIF(куб!$E:$E,$E147,куб!T:T),IF($D147&lt;&gt;0,SUMIF(куб!$D:$D,$D147,куб!T:T),IF($C147&lt;&gt;0,SUMIF(куб!$C:$C,$C147,куб!T:T),IF($B147&lt;&gt;0,SUMIF(куб!$B:$B,$B147,куб!T:T))))))</f>
        <v>0</v>
      </c>
      <c r="AK147" s="27">
        <f>IF($G147&lt;&gt;0,SUMIF(куб!$G:$G,$G147,куб!U:U),IF($E147&lt;&gt;0,SUMIF(куб!$E:$E,$E147,куб!U:U),IF($D147&lt;&gt;0,SUMIF(куб!$D:$D,$D147,куб!U:U),IF($C147&lt;&gt;0,SUMIF(куб!$C:$C,$C147,куб!U:U),IF($B147&lt;&gt;0,SUMIF(куб!$B:$B,$B147,куб!U:U))))))</f>
        <v>0</v>
      </c>
      <c r="AL147" s="16" t="str">
        <f t="shared" si="62"/>
        <v>-</v>
      </c>
      <c r="AM147" s="8"/>
      <c r="AN147" s="17" t="str">
        <f t="shared" si="63"/>
        <v xml:space="preserve"> </v>
      </c>
      <c r="AO147" s="17" t="str">
        <f t="shared" si="64"/>
        <v xml:space="preserve"> </v>
      </c>
      <c r="AP147" s="16" t="str">
        <f t="shared" si="65"/>
        <v>-</v>
      </c>
      <c r="AQ147" s="8"/>
      <c r="AR147" s="17" t="str">
        <f t="shared" si="66"/>
        <v>-</v>
      </c>
      <c r="AS147" s="17" t="str">
        <f t="shared" si="67"/>
        <v>-</v>
      </c>
      <c r="AT147" s="13" t="str">
        <f t="shared" si="68"/>
        <v>-</v>
      </c>
      <c r="AU147" s="8"/>
    </row>
    <row r="148" spans="1:47" ht="15" customHeight="1" x14ac:dyDescent="0.25">
      <c r="A148" s="31" t="s">
        <v>26</v>
      </c>
      <c r="B148" s="31" t="s">
        <v>32</v>
      </c>
      <c r="C148" t="s">
        <v>33</v>
      </c>
      <c r="D148" s="31" t="s">
        <v>34</v>
      </c>
      <c r="E148" t="s">
        <v>203</v>
      </c>
      <c r="F148" s="31" t="s">
        <v>320</v>
      </c>
      <c r="G148" t="s">
        <v>321</v>
      </c>
      <c r="H148" s="27">
        <f>IF($G148&lt;&gt;0,SUMIF(куб!$G:$G,$G148,куб!H:H),IF($E148&lt;&gt;0,SUMIF(куб!$E:$E,$E148,куб!H:H),IF($D148&lt;&gt;0,SUMIF(куб!$D:$D,$D148,куб!H:H),IF($C148&lt;&gt;0,SUMIF(куб!$C:$C,$C148,куб!H:H),IF($B148&lt;&gt;0,SUMIF(куб!$B:$B,$B148,куб!H:H),IF($G148&lt;&gt;0,SUMIF(куб!$A:$A,$G148,куб!H:H),SUMIF(куб!$A:$A,$G148,куб!H:H)))))))</f>
        <v>0</v>
      </c>
      <c r="I148" s="27">
        <f>IF($G148&lt;&gt;0,SUMIF(куб!$G:$G,$G148,куб!I:I),IF($E148&lt;&gt;0,SUMIF(куб!$E:$E,$E148,куб!I:I),IF($D148&lt;&gt;0,SUMIF(куб!$D:$D,$D148,куб!I:I),IF($C148&lt;&gt;0,SUMIF(куб!$C:$C,$C148,куб!I:I),IF($B148&lt;&gt;0,SUMIF(куб!$B:$B,$B148,куб!I:I),IF($G148&lt;&gt;0,SUMIF(куб!$A:$A,$G148,куб!I:I),SUMIF(куб!$A:$A,$G148,куб!I:I)))))))</f>
        <v>111700.9574</v>
      </c>
      <c r="J148" s="19" t="str">
        <f t="shared" si="69"/>
        <v>-</v>
      </c>
      <c r="K148" s="5"/>
      <c r="L148" s="17">
        <f t="shared" si="52"/>
        <v>0</v>
      </c>
      <c r="M148" s="17">
        <f t="shared" si="53"/>
        <v>2.3816599102214551E-4</v>
      </c>
      <c r="N148" s="12">
        <f t="shared" si="54"/>
        <v>2.3816599102214551E-4</v>
      </c>
      <c r="O148" s="5"/>
      <c r="P148" s="27">
        <f>IF($G148&lt;&gt;0,SUMIF(куб!$G:$G,$G148,куб!J:J),IF($E148&lt;&gt;0,SUMIF(куб!$E:$E,$E148,куб!J:J),IF($D148&lt;&gt;0,SUMIF(куб!$D:$D,$D148,куб!J:J),IF($C148&lt;&gt;0,SUMIF(куб!$C:$C,$C148,куб!J:J),IF($B148&lt;&gt;0,SUMIF(куб!$B:$B,$B148,куб!J:J))))))</f>
        <v>0</v>
      </c>
      <c r="Q148" s="27">
        <f>IF($G148&lt;&gt;0,SUMIF(куб!$G:$G,$G148,куб!K:K),IF($E148&lt;&gt;0,SUMIF(куб!$E:$E,$E148,куб!K:K),IF($D148&lt;&gt;0,SUMIF(куб!$D:$D,$D148,куб!K:K),IF($C148&lt;&gt;0,SUMIF(куб!$C:$C,$C148,куб!K:K),IF($B148&lt;&gt;0,SUMIF(куб!$B:$B,$B148,куб!K:K))))))</f>
        <v>1284</v>
      </c>
      <c r="R148" s="13" t="str">
        <f t="shared" si="55"/>
        <v>-</v>
      </c>
      <c r="S148" s="5"/>
      <c r="T148" s="27">
        <f>IF($G148&lt;&gt;0,SUMIF(куб!$G:$G,$G148,куб!L:L),IF($E148&lt;&gt;0,SUMIF(куб!$E:$E,$E148,куб!L:L),IF($D148&lt;&gt;0,SUMIF(куб!$D:$D,$D148,куб!L:L),IF($C148&lt;&gt;0,SUMIF(куб!$C:$C,$C148,куб!L:L),IF($B148&lt;&gt;0,SUMIF(куб!$B:$B,$B148,куб!L:L))))))</f>
        <v>0</v>
      </c>
      <c r="U148" s="27">
        <f>IF($G148&lt;&gt;0,SUMIF(куб!$G:$G,$G148,куб!M:M),IF($E148&lt;&gt;0,SUMIF(куб!$E:$E,$E148,куб!M:M),IF($D148&lt;&gt;0,SUMIF(куб!$D:$D,$D148,куб!M:M),IF($C148&lt;&gt;0,SUMIF(куб!$C:$C,$C148,куб!M:M),IF($B148&lt;&gt;0,SUMIF(куб!$B:$B,$B148,куб!M:M))))))</f>
        <v>1155.6000000000001</v>
      </c>
      <c r="V148" s="13" t="str">
        <f t="shared" si="56"/>
        <v>-</v>
      </c>
      <c r="W148" s="5"/>
      <c r="X148" s="27">
        <f>IF($G148&lt;&gt;0,SUMIF(куб!$G:$G,$G148,куб!N:N),IF($E148&lt;&gt;0,SUMIF(куб!$E:$E,$E148,куб!N:N),IF($D148&lt;&gt;0,SUMIF(куб!$D:$D,$D148,куб!N:N),IF($C148&lt;&gt;0,SUMIF(куб!$C:$C,$C148,куб!N:N),IF($B148&lt;&gt;0,SUMIF(куб!$B:$B,$B148,куб!N:N))))))</f>
        <v>0</v>
      </c>
      <c r="Y148" s="27">
        <f>IF($G148&lt;&gt;0,SUMIF(куб!$G:$G,$G148,куб!O:O),IF($E148&lt;&gt;0,SUMIF(куб!$E:$E,$E148,куб!O:O),IF($D148&lt;&gt;0,SUMIF(куб!$D:$D,$D148,куб!O:O),IF($C148&lt;&gt;0,SUMIF(куб!$C:$C,$C148,куб!O:O),IF($B148&lt;&gt;0,SUMIF(куб!$B:$B,$B148,куб!O:O))))))</f>
        <v>13766.782300000006</v>
      </c>
      <c r="Z148" s="13" t="str">
        <f t="shared" si="57"/>
        <v>-</v>
      </c>
      <c r="AA148" s="5"/>
      <c r="AB148" s="33" t="str">
        <f t="shared" si="58"/>
        <v/>
      </c>
      <c r="AC148" s="33">
        <f t="shared" si="59"/>
        <v>0.12324677084638852</v>
      </c>
      <c r="AD148" s="15" t="str">
        <f t="shared" si="60"/>
        <v xml:space="preserve"> </v>
      </c>
      <c r="AE148" s="5"/>
      <c r="AF148" s="27">
        <f>IF($G148&lt;&gt;0,SUMIF(куб!$G:$G,$G148,куб!R:R),IF($E148&lt;&gt;0,SUMIF(куб!$E:$E,$E148,куб!R:R),IF($D148&lt;&gt;0,SUMIF(куб!$D:$D,$D148,куб!R:R),IF($C148&lt;&gt;0,SUMIF(куб!$C:$C,$C148,куб!R:R),IF($B148&lt;&gt;0,SUMIF(куб!$B:$B,$B148,куб!R:R))))))</f>
        <v>0</v>
      </c>
      <c r="AG148" s="27">
        <f>IF($G148&lt;&gt;0,SUMIF(куб!$G:$G,$G148,куб!S:S),IF($E148&lt;&gt;0,SUMIF(куб!$E:$E,$E148,куб!S:S),IF($D148&lt;&gt;0,SUMIF(куб!$D:$D,$D148,куб!S:S),IF($C148&lt;&gt;0,SUMIF(куб!$C:$C,$C148,куб!S:S),IF($B148&lt;&gt;0,SUMIF(куб!$B:$B,$B148,куб!S:S))))))</f>
        <v>76.2727</v>
      </c>
      <c r="AH148" s="16" t="str">
        <f t="shared" si="61"/>
        <v>-</v>
      </c>
      <c r="AI148" s="8"/>
      <c r="AJ148" s="27">
        <f>IF($G148&lt;&gt;0,SUMIF(куб!$G:$G,$G148,куб!T:T),IF($E148&lt;&gt;0,SUMIF(куб!$E:$E,$E148,куб!T:T),IF($D148&lt;&gt;0,SUMIF(куб!$D:$D,$D148,куб!T:T),IF($C148&lt;&gt;0,SUMIF(куб!$C:$C,$C148,куб!T:T),IF($B148&lt;&gt;0,SUMIF(куб!$B:$B,$B148,куб!T:T))))))</f>
        <v>0</v>
      </c>
      <c r="AK148" s="27">
        <f>IF($G148&lt;&gt;0,SUMIF(куб!$G:$G,$G148,куб!U:U),IF($E148&lt;&gt;0,SUMIF(куб!$E:$E,$E148,куб!U:U),IF($D148&lt;&gt;0,SUMIF(куб!$D:$D,$D148,куб!U:U),IF($C148&lt;&gt;0,SUMIF(куб!$C:$C,$C148,куб!U:U),IF($B148&lt;&gt;0,SUMIF(куб!$B:$B,$B148,куб!U:U))))))</f>
        <v>1</v>
      </c>
      <c r="AL148" s="16" t="str">
        <f t="shared" si="62"/>
        <v>-</v>
      </c>
      <c r="AM148" s="8"/>
      <c r="AN148" s="17" t="str">
        <f t="shared" si="63"/>
        <v xml:space="preserve"> </v>
      </c>
      <c r="AO148" s="17">
        <f t="shared" si="64"/>
        <v>6.8282942040387559E-4</v>
      </c>
      <c r="AP148" s="16" t="str">
        <f t="shared" si="65"/>
        <v>-</v>
      </c>
      <c r="AQ148" s="8"/>
      <c r="AR148" s="17" t="str">
        <f t="shared" si="66"/>
        <v>-</v>
      </c>
      <c r="AS148" s="17">
        <f t="shared" si="67"/>
        <v>0.12256394142598465</v>
      </c>
      <c r="AT148" s="13" t="str">
        <f t="shared" si="68"/>
        <v>-</v>
      </c>
      <c r="AU148" s="8"/>
    </row>
    <row r="149" spans="1:47" ht="15" customHeight="1" x14ac:dyDescent="0.25">
      <c r="A149" s="31" t="s">
        <v>26</v>
      </c>
      <c r="B149" s="31" t="s">
        <v>32</v>
      </c>
      <c r="C149" t="s">
        <v>33</v>
      </c>
      <c r="D149" s="31" t="s">
        <v>34</v>
      </c>
      <c r="E149" t="s">
        <v>203</v>
      </c>
      <c r="F149" s="31" t="s">
        <v>322</v>
      </c>
      <c r="G149" t="s">
        <v>323</v>
      </c>
      <c r="H149" s="27">
        <f>IF($G149&lt;&gt;0,SUMIF(куб!$G:$G,$G149,куб!H:H),IF($E149&lt;&gt;0,SUMIF(куб!$E:$E,$E149,куб!H:H),IF($D149&lt;&gt;0,SUMIF(куб!$D:$D,$D149,куб!H:H),IF($C149&lt;&gt;0,SUMIF(куб!$C:$C,$C149,куб!H:H),IF($B149&lt;&gt;0,SUMIF(куб!$B:$B,$B149,куб!H:H),IF($G149&lt;&gt;0,SUMIF(куб!$A:$A,$G149,куб!H:H),SUMIF(куб!$A:$A,$G149,куб!H:H)))))))</f>
        <v>50828.704400000002</v>
      </c>
      <c r="I149" s="27">
        <f>IF($G149&lt;&gt;0,SUMIF(куб!$G:$G,$G149,куб!I:I),IF($E149&lt;&gt;0,SUMIF(куб!$E:$E,$E149,куб!I:I),IF($D149&lt;&gt;0,SUMIF(куб!$D:$D,$D149,куб!I:I),IF($C149&lt;&gt;0,SUMIF(куб!$C:$C,$C149,куб!I:I),IF($B149&lt;&gt;0,SUMIF(куб!$B:$B,$B149,куб!I:I),IF($G149&lt;&gt;0,SUMIF(куб!$A:$A,$G149,куб!I:I),SUMIF(куб!$A:$A,$G149,куб!I:I)))))))</f>
        <v>0</v>
      </c>
      <c r="J149" s="19">
        <f t="shared" si="69"/>
        <v>-1</v>
      </c>
      <c r="K149" s="5"/>
      <c r="L149" s="17">
        <f t="shared" si="52"/>
        <v>1.0617567558592036E-4</v>
      </c>
      <c r="M149" s="17">
        <f t="shared" si="53"/>
        <v>0</v>
      </c>
      <c r="N149" s="12">
        <f t="shared" si="54"/>
        <v>-1.0617567558592036E-4</v>
      </c>
      <c r="O149" s="5"/>
      <c r="P149" s="27">
        <f>IF($G149&lt;&gt;0,SUMIF(куб!$G:$G,$G149,куб!J:J),IF($E149&lt;&gt;0,SUMIF(куб!$E:$E,$E149,куб!J:J),IF($D149&lt;&gt;0,SUMIF(куб!$D:$D,$D149,куб!J:J),IF($C149&lt;&gt;0,SUMIF(куб!$C:$C,$C149,куб!J:J),IF($B149&lt;&gt;0,SUMIF(куб!$B:$B,$B149,куб!J:J))))))</f>
        <v>622</v>
      </c>
      <c r="Q149" s="27">
        <f>IF($G149&lt;&gt;0,SUMIF(куб!$G:$G,$G149,куб!K:K),IF($E149&lt;&gt;0,SUMIF(куб!$E:$E,$E149,куб!K:K),IF($D149&lt;&gt;0,SUMIF(куб!$D:$D,$D149,куб!K:K),IF($C149&lt;&gt;0,SUMIF(куб!$C:$C,$C149,куб!K:K),IF($B149&lt;&gt;0,SUMIF(куб!$B:$B,$B149,куб!K:K))))))</f>
        <v>0</v>
      </c>
      <c r="R149" s="13">
        <f t="shared" si="55"/>
        <v>-1</v>
      </c>
      <c r="S149" s="5"/>
      <c r="T149" s="27">
        <f>IF($G149&lt;&gt;0,SUMIF(куб!$G:$G,$G149,куб!L:L),IF($E149&lt;&gt;0,SUMIF(куб!$E:$E,$E149,куб!L:L),IF($D149&lt;&gt;0,SUMIF(куб!$D:$D,$D149,куб!L:L),IF($C149&lt;&gt;0,SUMIF(куб!$C:$C,$C149,куб!L:L),IF($B149&lt;&gt;0,SUMIF(куб!$B:$B,$B149,куб!L:L))))))</f>
        <v>590.9</v>
      </c>
      <c r="U149" s="27">
        <f>IF($G149&lt;&gt;0,SUMIF(куб!$G:$G,$G149,куб!M:M),IF($E149&lt;&gt;0,SUMIF(куб!$E:$E,$E149,куб!M:M),IF($D149&lt;&gt;0,SUMIF(куб!$D:$D,$D149,куб!M:M),IF($C149&lt;&gt;0,SUMIF(куб!$C:$C,$C149,куб!M:M),IF($B149&lt;&gt;0,SUMIF(куб!$B:$B,$B149,куб!M:M))))))</f>
        <v>0</v>
      </c>
      <c r="V149" s="13">
        <f t="shared" si="56"/>
        <v>-1</v>
      </c>
      <c r="W149" s="5"/>
      <c r="X149" s="27">
        <f>IF($G149&lt;&gt;0,SUMIF(куб!$G:$G,$G149,куб!N:N),IF($E149&lt;&gt;0,SUMIF(куб!$E:$E,$E149,куб!N:N),IF($D149&lt;&gt;0,SUMIF(куб!$D:$D,$D149,куб!N:N),IF($C149&lt;&gt;0,SUMIF(куб!$C:$C,$C149,куб!N:N),IF($B149&lt;&gt;0,SUMIF(куб!$B:$B,$B149,куб!N:N))))))</f>
        <v>6808.0707000000039</v>
      </c>
      <c r="Y149" s="27">
        <f>IF($G149&lt;&gt;0,SUMIF(куб!$G:$G,$G149,куб!O:O),IF($E149&lt;&gt;0,SUMIF(куб!$E:$E,$E149,куб!O:O),IF($D149&lt;&gt;0,SUMIF(куб!$D:$D,$D149,куб!O:O),IF($C149&lt;&gt;0,SUMIF(куб!$C:$C,$C149,куб!O:O),IF($B149&lt;&gt;0,SUMIF(куб!$B:$B,$B149,куб!O:O))))))</f>
        <v>0</v>
      </c>
      <c r="Z149" s="13">
        <f t="shared" si="57"/>
        <v>-1</v>
      </c>
      <c r="AA149" s="5"/>
      <c r="AB149" s="33">
        <f t="shared" si="58"/>
        <v>0.13394145651290698</v>
      </c>
      <c r="AC149" s="33" t="str">
        <f t="shared" si="59"/>
        <v/>
      </c>
      <c r="AD149" s="15" t="str">
        <f t="shared" si="60"/>
        <v xml:space="preserve"> </v>
      </c>
      <c r="AE149" s="5"/>
      <c r="AF149" s="27">
        <f>IF($G149&lt;&gt;0,SUMIF(куб!$G:$G,$G149,куб!R:R),IF($E149&lt;&gt;0,SUMIF(куб!$E:$E,$E149,куб!R:R),IF($D149&lt;&gt;0,SUMIF(куб!$D:$D,$D149,куб!R:R),IF($C149&lt;&gt;0,SUMIF(куб!$C:$C,$C149,куб!R:R),IF($B149&lt;&gt;0,SUMIF(куб!$B:$B,$B149,куб!R:R))))))</f>
        <v>141.5454</v>
      </c>
      <c r="AG149" s="27">
        <f>IF($G149&lt;&gt;0,SUMIF(куб!$G:$G,$G149,куб!S:S),IF($E149&lt;&gt;0,SUMIF(куб!$E:$E,$E149,куб!S:S),IF($D149&lt;&gt;0,SUMIF(куб!$D:$D,$D149,куб!S:S),IF($C149&lt;&gt;0,SUMIF(куб!$C:$C,$C149,куб!S:S),IF($B149&lt;&gt;0,SUMIF(куб!$B:$B,$B149,куб!S:S))))))</f>
        <v>0</v>
      </c>
      <c r="AH149" s="16">
        <f t="shared" si="61"/>
        <v>-1</v>
      </c>
      <c r="AI149" s="8"/>
      <c r="AJ149" s="27">
        <f>IF($G149&lt;&gt;0,SUMIF(куб!$G:$G,$G149,куб!T:T),IF($E149&lt;&gt;0,SUMIF(куб!$E:$E,$E149,куб!T:T),IF($D149&lt;&gt;0,SUMIF(куб!$D:$D,$D149,куб!T:T),IF($C149&lt;&gt;0,SUMIF(куб!$C:$C,$C149,куб!T:T),IF($B149&lt;&gt;0,SUMIF(куб!$B:$B,$B149,куб!T:T))))))</f>
        <v>2</v>
      </c>
      <c r="AK149" s="27">
        <f>IF($G149&lt;&gt;0,SUMIF(куб!$G:$G,$G149,куб!U:U),IF($E149&lt;&gt;0,SUMIF(куб!$E:$E,$E149,куб!U:U),IF($D149&lt;&gt;0,SUMIF(куб!$D:$D,$D149,куб!U:U),IF($C149&lt;&gt;0,SUMIF(куб!$C:$C,$C149,куб!U:U),IF($B149&lt;&gt;0,SUMIF(куб!$B:$B,$B149,куб!U:U))))))</f>
        <v>0</v>
      </c>
      <c r="AL149" s="16">
        <f t="shared" si="62"/>
        <v>-1</v>
      </c>
      <c r="AM149" s="8"/>
      <c r="AN149" s="17">
        <f t="shared" si="63"/>
        <v>2.7847532545016039E-3</v>
      </c>
      <c r="AO149" s="17" t="str">
        <f t="shared" si="64"/>
        <v xml:space="preserve"> </v>
      </c>
      <c r="AP149" s="16" t="str">
        <f t="shared" si="65"/>
        <v>-</v>
      </c>
      <c r="AQ149" s="8"/>
      <c r="AR149" s="17">
        <f t="shared" si="66"/>
        <v>0.13115670325840537</v>
      </c>
      <c r="AS149" s="17" t="str">
        <f t="shared" si="67"/>
        <v>-</v>
      </c>
      <c r="AT149" s="13" t="str">
        <f t="shared" si="68"/>
        <v>-</v>
      </c>
      <c r="AU149" s="8"/>
    </row>
    <row r="150" spans="1:47" ht="15" customHeight="1" x14ac:dyDescent="0.25">
      <c r="A150" s="31" t="s">
        <v>26</v>
      </c>
      <c r="B150" s="31" t="s">
        <v>32</v>
      </c>
      <c r="C150" t="s">
        <v>33</v>
      </c>
      <c r="D150" s="31" t="s">
        <v>34</v>
      </c>
      <c r="E150" t="s">
        <v>203</v>
      </c>
      <c r="F150" s="48" t="s">
        <v>324</v>
      </c>
      <c r="G150" t="s">
        <v>325</v>
      </c>
      <c r="H150" s="27">
        <f>IF($G150&lt;&gt;0,SUMIF(куб!$G:$G,$G150,куб!H:H),IF($E150&lt;&gt;0,SUMIF(куб!$E:$E,$E150,куб!H:H),IF($D150&lt;&gt;0,SUMIF(куб!$D:$D,$D150,куб!H:H),IF($C150&lt;&gt;0,SUMIF(куб!$C:$C,$C150,куб!H:H),IF($B150&lt;&gt;0,SUMIF(куб!$B:$B,$B150,куб!H:H),IF($G150&lt;&gt;0,SUMIF(куб!$A:$A,$G150,куб!H:H),SUMIF(куб!$A:$A,$G150,куб!H:H)))))))</f>
        <v>12701938.782599973</v>
      </c>
      <c r="I150" s="27">
        <f>IF($G150&lt;&gt;0,SUMIF(куб!$G:$G,$G150,куб!I:I),IF($E150&lt;&gt;0,SUMIF(куб!$E:$E,$E150,куб!I:I),IF($D150&lt;&gt;0,SUMIF(куб!$D:$D,$D150,куб!I:I),IF($C150&lt;&gt;0,SUMIF(куб!$C:$C,$C150,куб!I:I),IF($B150&lt;&gt;0,SUMIF(куб!$B:$B,$B150,куб!I:I),IF($G150&lt;&gt;0,SUMIF(куб!$A:$A,$G150,куб!I:I),SUMIF(куб!$A:$A,$G150,куб!I:I)))))))</f>
        <v>4308.5339999999997</v>
      </c>
      <c r="J150" s="19">
        <f t="shared" si="69"/>
        <v>-0.9996607971370558</v>
      </c>
      <c r="K150" s="8"/>
      <c r="L150" s="17">
        <f t="shared" si="52"/>
        <v>2.6532978705897426E-2</v>
      </c>
      <c r="M150" s="17">
        <f t="shared" si="53"/>
        <v>9.1865485654522113E-6</v>
      </c>
      <c r="N150" s="12">
        <f t="shared" si="54"/>
        <v>-2.6523792157331975E-2</v>
      </c>
      <c r="O150" s="5"/>
      <c r="P150" s="27">
        <f>IF($G150&lt;&gt;0,SUMIF(куб!$G:$G,$G150,куб!J:J),IF($E150&lt;&gt;0,SUMIF(куб!$E:$E,$E150,куб!J:J),IF($D150&lt;&gt;0,SUMIF(куб!$D:$D,$D150,куб!J:J),IF($C150&lt;&gt;0,SUMIF(куб!$C:$C,$C150,куб!J:J),IF($B150&lt;&gt;0,SUMIF(куб!$B:$B,$B150,куб!J:J))))))</f>
        <v>140256</v>
      </c>
      <c r="Q150" s="27">
        <f>IF($G150&lt;&gt;0,SUMIF(куб!$G:$G,$G150,куб!K:K),IF($E150&lt;&gt;0,SUMIF(куб!$E:$E,$E150,куб!K:K),IF($D150&lt;&gt;0,SUMIF(куб!$D:$D,$D150,куб!K:K),IF($C150&lt;&gt;0,SUMIF(куб!$C:$C,$C150,куб!K:K),IF($B150&lt;&gt;0,SUMIF(куб!$B:$B,$B150,куб!K:K))))))</f>
        <v>50</v>
      </c>
      <c r="R150" s="13">
        <f t="shared" si="55"/>
        <v>-0.9996435090120922</v>
      </c>
      <c r="S150" s="5"/>
      <c r="T150" s="27">
        <f>IF($G150&lt;&gt;0,SUMIF(куб!$G:$G,$G150,куб!L:L),IF($E150&lt;&gt;0,SUMIF(куб!$E:$E,$E150,куб!L:L),IF($D150&lt;&gt;0,SUMIF(куб!$D:$D,$D150,куб!L:L),IF($C150&lt;&gt;0,SUMIF(куб!$C:$C,$C150,куб!L:L),IF($B150&lt;&gt;0,SUMIF(куб!$B:$B,$B150,куб!L:L))))))</f>
        <v>129596.54400000158</v>
      </c>
      <c r="U150" s="27">
        <f>IF($G150&lt;&gt;0,SUMIF(куб!$G:$G,$G150,куб!M:M),IF($E150&lt;&gt;0,SUMIF(куб!$E:$E,$E150,куб!M:M),IF($D150&lt;&gt;0,SUMIF(куб!$D:$D,$D150,куб!M:M),IF($C150&lt;&gt;0,SUMIF(куб!$C:$C,$C150,куб!M:M),IF($B150&lt;&gt;0,SUMIF(куб!$B:$B,$B150,куб!M:M))))))</f>
        <v>46.2</v>
      </c>
      <c r="V150" s="13">
        <f t="shared" si="56"/>
        <v>-0.9996435090120922</v>
      </c>
      <c r="W150" s="5"/>
      <c r="X150" s="27">
        <f>IF($G150&lt;&gt;0,SUMIF(куб!$G:$G,$G150,куб!N:N),IF($E150&lt;&gt;0,SUMIF(куб!$E:$E,$E150,куб!N:N),IF($D150&lt;&gt;0,SUMIF(куб!$D:$D,$D150,куб!N:N),IF($C150&lt;&gt;0,SUMIF(куб!$C:$C,$C150,куб!N:N),IF($B150&lt;&gt;0,SUMIF(куб!$B:$B,$B150,куб!N:N))))))</f>
        <v>1331786.2197999842</v>
      </c>
      <c r="Y150" s="27">
        <f>IF($G150&lt;&gt;0,SUMIF(куб!$G:$G,$G150,куб!O:O),IF($E150&lt;&gt;0,SUMIF(куб!$E:$E,$E150,куб!O:O),IF($D150&lt;&gt;0,SUMIF(куб!$D:$D,$D150,куб!O:O),IF($C150&lt;&gt;0,SUMIF(куб!$C:$C,$C150,куб!O:O),IF($B150&lt;&gt;0,SUMIF(куб!$B:$B,$B150,куб!O:O))))))</f>
        <v>289.89810000000034</v>
      </c>
      <c r="Z150" s="13">
        <f t="shared" si="57"/>
        <v>-0.99978232384770904</v>
      </c>
      <c r="AA150" s="5"/>
      <c r="AB150" s="33">
        <f t="shared" si="58"/>
        <v>0.1048490504161743</v>
      </c>
      <c r="AC150" s="33">
        <f t="shared" si="59"/>
        <v>6.7284626278915377E-2</v>
      </c>
      <c r="AD150" s="15">
        <f t="shared" si="60"/>
        <v>-3.7564424137258925E-2</v>
      </c>
      <c r="AE150" s="5"/>
      <c r="AF150" s="27">
        <f>IF($G150&lt;&gt;0,SUMIF(куб!$G:$G,$G150,куб!R:R),IF($E150&lt;&gt;0,SUMIF(куб!$E:$E,$E150,куб!R:R),IF($D150&lt;&gt;0,SUMIF(куб!$D:$D,$D150,куб!R:R),IF($C150&lt;&gt;0,SUMIF(куб!$C:$C,$C150,куб!R:R),IF($B150&lt;&gt;0,SUMIF(куб!$B:$B,$B150,куб!R:R))))))</f>
        <v>20813.384300000002</v>
      </c>
      <c r="AG150" s="27">
        <f>IF($G150&lt;&gt;0,SUMIF(куб!$G:$G,$G150,куб!S:S),IF($E150&lt;&gt;0,SUMIF(куб!$E:$E,$E150,куб!S:S),IF($D150&lt;&gt;0,SUMIF(куб!$D:$D,$D150,куб!S:S),IF($C150&lt;&gt;0,SUMIF(куб!$C:$C,$C150,куб!S:S),IF($B150&lt;&gt;0,SUMIF(куб!$B:$B,$B150,куб!S:S))))))</f>
        <v>0</v>
      </c>
      <c r="AH150" s="16">
        <f t="shared" si="61"/>
        <v>-1</v>
      </c>
      <c r="AI150" s="8"/>
      <c r="AJ150" s="27">
        <f>IF($G150&lt;&gt;0,SUMIF(куб!$G:$G,$G150,куб!T:T),IF($E150&lt;&gt;0,SUMIF(куб!$E:$E,$E150,куб!T:T),IF($D150&lt;&gt;0,SUMIF(куб!$D:$D,$D150,куб!T:T),IF($C150&lt;&gt;0,SUMIF(куб!$C:$C,$C150,куб!T:T),IF($B150&lt;&gt;0,SUMIF(куб!$B:$B,$B150,куб!T:T))))))</f>
        <v>253</v>
      </c>
      <c r="AK150" s="27">
        <f>IF($G150&lt;&gt;0,SUMIF(куб!$G:$G,$G150,куб!U:U),IF($E150&lt;&gt;0,SUMIF(куб!$E:$E,$E150,куб!U:U),IF($D150&lt;&gt;0,SUMIF(куб!$D:$D,$D150,куб!U:U),IF($C150&lt;&gt;0,SUMIF(куб!$C:$C,$C150,куб!U:U),IF($B150&lt;&gt;0,SUMIF(куб!$B:$B,$B150,куб!U:U))))))</f>
        <v>0</v>
      </c>
      <c r="AL150" s="16">
        <f t="shared" si="62"/>
        <v>-1</v>
      </c>
      <c r="AM150" s="8"/>
      <c r="AN150" s="17">
        <f t="shared" si="63"/>
        <v>1.6385990088782091E-3</v>
      </c>
      <c r="AO150" s="17">
        <f t="shared" si="64"/>
        <v>0</v>
      </c>
      <c r="AP150" s="16">
        <f t="shared" si="65"/>
        <v>-1.6385990088782091E-3</v>
      </c>
      <c r="AQ150" s="8"/>
      <c r="AR150" s="17">
        <f t="shared" si="66"/>
        <v>0.10321045140729609</v>
      </c>
      <c r="AS150" s="17">
        <f t="shared" si="67"/>
        <v>6.7284626278915377E-2</v>
      </c>
      <c r="AT150" s="13">
        <f t="shared" si="68"/>
        <v>-3.5925825128380717E-2</v>
      </c>
      <c r="AU150" s="8"/>
    </row>
    <row r="151" spans="1:47" ht="15" customHeight="1" x14ac:dyDescent="0.25">
      <c r="A151" s="31" t="s">
        <v>26</v>
      </c>
      <c r="B151" s="31" t="s">
        <v>32</v>
      </c>
      <c r="C151" t="s">
        <v>33</v>
      </c>
      <c r="D151" s="31" t="s">
        <v>34</v>
      </c>
      <c r="E151" t="s">
        <v>203</v>
      </c>
      <c r="F151" s="31" t="s">
        <v>326</v>
      </c>
      <c r="G151" t="s">
        <v>327</v>
      </c>
      <c r="H151" s="27">
        <f>IF($G151&lt;&gt;0,SUMIF(куб!$G:$G,$G151,куб!H:H),IF($E151&lt;&gt;0,SUMIF(куб!$E:$E,$E151,куб!H:H),IF($D151&lt;&gt;0,SUMIF(куб!$D:$D,$D151,куб!H:H),IF($C151&lt;&gt;0,SUMIF(куб!$C:$C,$C151,куб!H:H),IF($B151&lt;&gt;0,SUMIF(куб!$B:$B,$B151,куб!H:H),IF($G151&lt;&gt;0,SUMIF(куб!$A:$A,$G151,куб!H:H),SUMIF(куб!$A:$A,$G151,куб!H:H)))))))</f>
        <v>1575213.4258000008</v>
      </c>
      <c r="I151" s="27">
        <f>IF($G151&lt;&gt;0,SUMIF(куб!$G:$G,$G151,куб!I:I),IF($E151&lt;&gt;0,SUMIF(куб!$E:$E,$E151,куб!I:I),IF($D151&lt;&gt;0,SUMIF(куб!$D:$D,$D151,куб!I:I),IF($C151&lt;&gt;0,SUMIF(куб!$C:$C,$C151,куб!I:I),IF($B151&lt;&gt;0,SUMIF(куб!$B:$B,$B151,куб!I:I),IF($G151&lt;&gt;0,SUMIF(куб!$A:$A,$G151,куб!I:I),SUMIF(куб!$A:$A,$G151,куб!I:I)))))))</f>
        <v>1562741.3331999998</v>
      </c>
      <c r="J151" s="19">
        <f t="shared" si="69"/>
        <v>-7.9177160349981415E-3</v>
      </c>
      <c r="K151" s="10"/>
      <c r="L151" s="17">
        <f t="shared" si="52"/>
        <v>3.2904507728575331E-3</v>
      </c>
      <c r="M151" s="17">
        <f t="shared" si="53"/>
        <v>3.3320380325840148E-3</v>
      </c>
      <c r="N151" s="12">
        <f t="shared" si="54"/>
        <v>4.1587259726481689E-5</v>
      </c>
      <c r="O151" s="5"/>
      <c r="P151" s="27">
        <f>IF($G151&lt;&gt;0,SUMIF(куб!$G:$G,$G151,куб!J:J),IF($E151&lt;&gt;0,SUMIF(куб!$E:$E,$E151,куб!J:J),IF($D151&lt;&gt;0,SUMIF(куб!$D:$D,$D151,куб!J:J),IF($C151&lt;&gt;0,SUMIF(куб!$C:$C,$C151,куб!J:J),IF($B151&lt;&gt;0,SUMIF(куб!$B:$B,$B151,куб!J:J))))))</f>
        <v>21805</v>
      </c>
      <c r="Q151" s="27">
        <f>IF($G151&lt;&gt;0,SUMIF(куб!$G:$G,$G151,куб!K:K),IF($E151&lt;&gt;0,SUMIF(куб!$E:$E,$E151,куб!K:K),IF($D151&lt;&gt;0,SUMIF(куб!$D:$D,$D151,куб!K:K),IF($C151&lt;&gt;0,SUMIF(куб!$C:$C,$C151,куб!K:K),IF($B151&lt;&gt;0,SUMIF(куб!$B:$B,$B151,куб!K:K))))))</f>
        <v>21560</v>
      </c>
      <c r="R151" s="13">
        <f t="shared" si="55"/>
        <v>-1.1235955056179775E-2</v>
      </c>
      <c r="S151" s="5"/>
      <c r="T151" s="27">
        <f>IF($G151&lt;&gt;0,SUMIF(куб!$G:$G,$G151,куб!L:L),IF($E151&lt;&gt;0,SUMIF(куб!$E:$E,$E151,куб!L:L),IF($D151&lt;&gt;0,SUMIF(куб!$D:$D,$D151,куб!L:L),IF($C151&lt;&gt;0,SUMIF(куб!$C:$C,$C151,куб!L:L),IF($B151&lt;&gt;0,SUMIF(куб!$B:$B,$B151,куб!L:L))))))</f>
        <v>19624.5</v>
      </c>
      <c r="U151" s="27">
        <f>IF($G151&lt;&gt;0,SUMIF(куб!$G:$G,$G151,куб!M:M),IF($E151&lt;&gt;0,SUMIF(куб!$E:$E,$E151,куб!M:M),IF($D151&lt;&gt;0,SUMIF(куб!$D:$D,$D151,куб!M:M),IF($C151&lt;&gt;0,SUMIF(куб!$C:$C,$C151,куб!M:M),IF($B151&lt;&gt;0,SUMIF(куб!$B:$B,$B151,куб!M:M))))))</f>
        <v>19404.000000000004</v>
      </c>
      <c r="V151" s="13">
        <f t="shared" si="56"/>
        <v>-1.1235955056179589E-2</v>
      </c>
      <c r="W151" s="5"/>
      <c r="X151" s="27">
        <f>IF($G151&lt;&gt;0,SUMIF(куб!$G:$G,$G151,куб!N:N),IF($E151&lt;&gt;0,SUMIF(куб!$E:$E,$E151,куб!N:N),IF($D151&lt;&gt;0,SUMIF(куб!$D:$D,$D151,куб!N:N),IF($C151&lt;&gt;0,SUMIF(куб!$C:$C,$C151,куб!N:N),IF($B151&lt;&gt;0,SUMIF(куб!$B:$B,$B151,куб!N:N))))))</f>
        <v>252767.79330000072</v>
      </c>
      <c r="Y151" s="27">
        <f>IF($G151&lt;&gt;0,SUMIF(куб!$G:$G,$G151,куб!O:O),IF($E151&lt;&gt;0,SUMIF(куб!$E:$E,$E151,куб!O:O),IF($D151&lt;&gt;0,SUMIF(куб!$D:$D,$D151,куб!O:O),IF($C151&lt;&gt;0,SUMIF(куб!$C:$C,$C151,куб!O:O),IF($B151&lt;&gt;0,SUMIF(куб!$B:$B,$B151,куб!O:O))))))</f>
        <v>255135.34799999907</v>
      </c>
      <c r="Z151" s="13">
        <f t="shared" si="57"/>
        <v>9.3665204300311562E-3</v>
      </c>
      <c r="AA151" s="5"/>
      <c r="AB151" s="33">
        <f t="shared" si="58"/>
        <v>0.16046574334625671</v>
      </c>
      <c r="AC151" s="33">
        <f t="shared" si="59"/>
        <v>0.16326140646549778</v>
      </c>
      <c r="AD151" s="15">
        <f t="shared" si="60"/>
        <v>2.7956631192410653E-3</v>
      </c>
      <c r="AE151" s="5"/>
      <c r="AF151" s="27">
        <f>IF($G151&lt;&gt;0,SUMIF(куб!$G:$G,$G151,куб!R:R),IF($E151&lt;&gt;0,SUMIF(куб!$E:$E,$E151,куб!R:R),IF($D151&lt;&gt;0,SUMIF(куб!$D:$D,$D151,куб!R:R),IF($C151&lt;&gt;0,SUMIF(куб!$C:$C,$C151,куб!R:R),IF($B151&lt;&gt;0,SUMIF(куб!$B:$B,$B151,куб!R:R))))))</f>
        <v>64014.905100000018</v>
      </c>
      <c r="AG151" s="27">
        <f>IF($G151&lt;&gt;0,SUMIF(куб!$G:$G,$G151,куб!S:S),IF($E151&lt;&gt;0,SUMIF(куб!$E:$E,$E151,куб!S:S),IF($D151&lt;&gt;0,SUMIF(куб!$D:$D,$D151,куб!S:S),IF($C151&lt;&gt;0,SUMIF(куб!$C:$C,$C151,куб!S:S),IF($B151&lt;&gt;0,SUMIF(куб!$B:$B,$B151,куб!S:S))))))</f>
        <v>41845.351700000014</v>
      </c>
      <c r="AH151" s="16">
        <f t="shared" si="61"/>
        <v>-0.34631861697472077</v>
      </c>
      <c r="AI151" s="8"/>
      <c r="AJ151" s="27">
        <f>IF($G151&lt;&gt;0,SUMIF(куб!$G:$G,$G151,куб!T:T),IF($E151&lt;&gt;0,SUMIF(куб!$E:$E,$E151,куб!T:T),IF($D151&lt;&gt;0,SUMIF(куб!$D:$D,$D151,куб!T:T),IF($C151&lt;&gt;0,SUMIF(куб!$C:$C,$C151,куб!T:T),IF($B151&lt;&gt;0,SUMIF(куб!$B:$B,$B151,куб!T:T))))))</f>
        <v>1061</v>
      </c>
      <c r="AK151" s="27">
        <f>IF($G151&lt;&gt;0,SUMIF(куб!$G:$G,$G151,куб!U:U),IF($E151&lt;&gt;0,SUMIF(куб!$E:$E,$E151,куб!U:U),IF($D151&lt;&gt;0,SUMIF(куб!$D:$D,$D151,куб!U:U),IF($C151&lt;&gt;0,SUMIF(куб!$C:$C,$C151,куб!U:U),IF($B151&lt;&gt;0,SUMIF(куб!$B:$B,$B151,куб!U:U))))))</f>
        <v>690</v>
      </c>
      <c r="AL151" s="16">
        <f t="shared" si="62"/>
        <v>-0.34967012252591895</v>
      </c>
      <c r="AM151" s="8"/>
      <c r="AN151" s="17">
        <f t="shared" si="63"/>
        <v>4.0638877279432079E-2</v>
      </c>
      <c r="AO151" s="17">
        <f t="shared" si="64"/>
        <v>2.6776889310474672E-2</v>
      </c>
      <c r="AP151" s="16">
        <f t="shared" si="65"/>
        <v>-1.3861987968957407E-2</v>
      </c>
      <c r="AQ151" s="8"/>
      <c r="AR151" s="17">
        <f t="shared" si="66"/>
        <v>0.11982686606682462</v>
      </c>
      <c r="AS151" s="17">
        <f t="shared" si="67"/>
        <v>0.13648451715502313</v>
      </c>
      <c r="AT151" s="13">
        <f t="shared" si="68"/>
        <v>1.6657651088198513E-2</v>
      </c>
      <c r="AU151" s="8"/>
    </row>
    <row r="152" spans="1:47" ht="15" customHeight="1" x14ac:dyDescent="0.25">
      <c r="A152" s="31" t="s">
        <v>26</v>
      </c>
      <c r="B152" s="31" t="s">
        <v>32</v>
      </c>
      <c r="C152" t="s">
        <v>33</v>
      </c>
      <c r="D152" s="31" t="s">
        <v>34</v>
      </c>
      <c r="E152" t="s">
        <v>203</v>
      </c>
      <c r="F152" s="31" t="s">
        <v>328</v>
      </c>
      <c r="G152" t="s">
        <v>329</v>
      </c>
      <c r="H152" s="27">
        <f>IF($G152&lt;&gt;0,SUMIF(куб!$G:$G,$G152,куб!H:H),IF($E152&lt;&gt;0,SUMIF(куб!$E:$E,$E152,куб!H:H),IF($D152&lt;&gt;0,SUMIF(куб!$D:$D,$D152,куб!H:H),IF($C152&lt;&gt;0,SUMIF(куб!$C:$C,$C152,куб!H:H),IF($B152&lt;&gt;0,SUMIF(куб!$B:$B,$B152,куб!H:H),IF($G152&lt;&gt;0,SUMIF(куб!$A:$A,$G152,куб!H:H),SUMIF(куб!$A:$A,$G152,куб!H:H)))))))</f>
        <v>2304997.6870999997</v>
      </c>
      <c r="I152" s="27">
        <f>IF($G152&lt;&gt;0,SUMIF(куб!$G:$G,$G152,куб!I:I),IF($E152&lt;&gt;0,SUMIF(куб!$E:$E,$E152,куб!I:I),IF($D152&lt;&gt;0,SUMIF(куб!$D:$D,$D152,куб!I:I),IF($C152&lt;&gt;0,SUMIF(куб!$C:$C,$C152,куб!I:I),IF($B152&lt;&gt;0,SUMIF(куб!$B:$B,$B152,куб!I:I),IF($G152&lt;&gt;0,SUMIF(куб!$A:$A,$G152,куб!I:I),SUMIF(куб!$A:$A,$G152,куб!I:I)))))))</f>
        <v>1829502.0463000003</v>
      </c>
      <c r="J152" s="19">
        <f t="shared" si="69"/>
        <v>-0.20628898825414335</v>
      </c>
      <c r="K152" s="5"/>
      <c r="L152" s="17">
        <f t="shared" si="52"/>
        <v>4.8148913009048938E-3</v>
      </c>
      <c r="M152" s="17">
        <f t="shared" si="53"/>
        <v>3.9008185612389628E-3</v>
      </c>
      <c r="N152" s="12">
        <f t="shared" si="54"/>
        <v>-9.1407273966593108E-4</v>
      </c>
      <c r="O152" s="5"/>
      <c r="P152" s="27">
        <f>IF($G152&lt;&gt;0,SUMIF(куб!$G:$G,$G152,куб!J:J),IF($E152&lt;&gt;0,SUMIF(куб!$E:$E,$E152,куб!J:J),IF($D152&lt;&gt;0,SUMIF(куб!$D:$D,$D152,куб!J:J),IF($C152&lt;&gt;0,SUMIF(куб!$C:$C,$C152,куб!J:J),IF($B152&lt;&gt;0,SUMIF(куб!$B:$B,$B152,куб!J:J))))))</f>
        <v>40105</v>
      </c>
      <c r="Q152" s="27">
        <f>IF($G152&lt;&gt;0,SUMIF(куб!$G:$G,$G152,куб!K:K),IF($E152&lt;&gt;0,SUMIF(куб!$E:$E,$E152,куб!K:K),IF($D152&lt;&gt;0,SUMIF(куб!$D:$D,$D152,куб!K:K),IF($C152&lt;&gt;0,SUMIF(куб!$C:$C,$C152,куб!K:K),IF($B152&lt;&gt;0,SUMIF(куб!$B:$B,$B152,куб!K:K))))))</f>
        <v>28288</v>
      </c>
      <c r="R152" s="13">
        <f t="shared" si="55"/>
        <v>-0.2946515397082658</v>
      </c>
      <c r="S152" s="5"/>
      <c r="T152" s="27">
        <f>IF($G152&lt;&gt;0,SUMIF(куб!$G:$G,$G152,куб!L:L),IF($E152&lt;&gt;0,SUMIF(куб!$E:$E,$E152,куб!L:L),IF($D152&lt;&gt;0,SUMIF(куб!$D:$D,$D152,куб!L:L),IF($C152&lt;&gt;0,SUMIF(куб!$C:$C,$C152,куб!L:L),IF($B152&lt;&gt;0,SUMIF(куб!$B:$B,$B152,куб!L:L))))))</f>
        <v>36094.499999999993</v>
      </c>
      <c r="U152" s="27">
        <f>IF($G152&lt;&gt;0,SUMIF(куб!$G:$G,$G152,куб!M:M),IF($E152&lt;&gt;0,SUMIF(куб!$E:$E,$E152,куб!M:M),IF($D152&lt;&gt;0,SUMIF(куб!$D:$D,$D152,куб!M:M),IF($C152&lt;&gt;0,SUMIF(куб!$C:$C,$C152,куб!M:M),IF($B152&lt;&gt;0,SUMIF(куб!$B:$B,$B152,куб!M:M))))))</f>
        <v>26222.976000000013</v>
      </c>
      <c r="V152" s="13">
        <f t="shared" si="56"/>
        <v>-0.27349108589951326</v>
      </c>
      <c r="W152" s="5"/>
      <c r="X152" s="27">
        <f>IF($G152&lt;&gt;0,SUMIF(куб!$G:$G,$G152,куб!N:N),IF($E152&lt;&gt;0,SUMIF(куб!$E:$E,$E152,куб!N:N),IF($D152&lt;&gt;0,SUMIF(куб!$D:$D,$D152,куб!N:N),IF($C152&lt;&gt;0,SUMIF(куб!$C:$C,$C152,куб!N:N),IF($B152&lt;&gt;0,SUMIF(куб!$B:$B,$B152,куб!N:N))))))</f>
        <v>299667.23999999976</v>
      </c>
      <c r="Y152" s="27">
        <f>IF($G152&lt;&gt;0,SUMIF(куб!$G:$G,$G152,куб!O:O),IF($E152&lt;&gt;0,SUMIF(куб!$E:$E,$E152,куб!O:O),IF($D152&lt;&gt;0,SUMIF(куб!$D:$D,$D152,куб!O:O),IF($C152&lt;&gt;0,SUMIF(куб!$C:$C,$C152,куб!O:O),IF($B152&lt;&gt;0,SUMIF(куб!$B:$B,$B152,куб!O:O))))))</f>
        <v>195704.31700000004</v>
      </c>
      <c r="Z152" s="13">
        <f t="shared" si="57"/>
        <v>-0.3469278890812349</v>
      </c>
      <c r="AA152" s="5"/>
      <c r="AB152" s="33">
        <f t="shared" si="58"/>
        <v>0.13000760984581372</v>
      </c>
      <c r="AC152" s="33">
        <f t="shared" si="59"/>
        <v>0.10697135725854695</v>
      </c>
      <c r="AD152" s="15">
        <f t="shared" si="60"/>
        <v>-2.303625258726677E-2</v>
      </c>
      <c r="AE152" s="5"/>
      <c r="AF152" s="27">
        <f>IF($G152&lt;&gt;0,SUMIF(куб!$G:$G,$G152,куб!R:R),IF($E152&lt;&gt;0,SUMIF(куб!$E:$E,$E152,куб!R:R),IF($D152&lt;&gt;0,SUMIF(куб!$D:$D,$D152,куб!R:R),IF($C152&lt;&gt;0,SUMIF(куб!$C:$C,$C152,куб!R:R),IF($B152&lt;&gt;0,SUMIF(куб!$B:$B,$B152,куб!R:R))))))</f>
        <v>41732.098800000007</v>
      </c>
      <c r="AG152" s="27">
        <f>IF($G152&lt;&gt;0,SUMIF(куб!$G:$G,$G152,куб!S:S),IF($E152&lt;&gt;0,SUMIF(куб!$E:$E,$E152,куб!S:S),IF($D152&lt;&gt;0,SUMIF(куб!$D:$D,$D152,куб!S:S),IF($C152&lt;&gt;0,SUMIF(куб!$C:$C,$C152,куб!S:S),IF($B152&lt;&gt;0,SUMIF(куб!$B:$B,$B152,куб!S:S))))))</f>
        <v>98526.793200000029</v>
      </c>
      <c r="AH152" s="16">
        <f t="shared" si="61"/>
        <v>1.3609354916987788</v>
      </c>
      <c r="AI152" s="8"/>
      <c r="AJ152" s="27">
        <f>IF($G152&lt;&gt;0,SUMIF(куб!$G:$G,$G152,куб!T:T),IF($E152&lt;&gt;0,SUMIF(куб!$E:$E,$E152,куб!T:T),IF($D152&lt;&gt;0,SUMIF(куб!$D:$D,$D152,куб!T:T),IF($C152&lt;&gt;0,SUMIF(куб!$C:$C,$C152,куб!T:T),IF($B152&lt;&gt;0,SUMIF(куб!$B:$B,$B152,куб!T:T))))))</f>
        <v>835</v>
      </c>
      <c r="AK152" s="27">
        <f>IF($G152&lt;&gt;0,SUMIF(куб!$G:$G,$G152,куб!U:U),IF($E152&lt;&gt;0,SUMIF(куб!$E:$E,$E152,куб!U:U),IF($D152&lt;&gt;0,SUMIF(куб!$D:$D,$D152,куб!U:U),IF($C152&lt;&gt;0,SUMIF(куб!$C:$C,$C152,куб!U:U),IF($B152&lt;&gt;0,SUMIF(куб!$B:$B,$B152,куб!U:U))))))</f>
        <v>1706</v>
      </c>
      <c r="AL152" s="16">
        <f t="shared" si="62"/>
        <v>1.0431137724550898</v>
      </c>
      <c r="AM152" s="8"/>
      <c r="AN152" s="17">
        <f t="shared" si="63"/>
        <v>1.8105050184455785E-2</v>
      </c>
      <c r="AO152" s="17">
        <f t="shared" si="64"/>
        <v>5.38544318107003E-2</v>
      </c>
      <c r="AP152" s="16">
        <f t="shared" si="65"/>
        <v>3.5749381626244511E-2</v>
      </c>
      <c r="AQ152" s="8"/>
      <c r="AR152" s="17">
        <f t="shared" si="66"/>
        <v>0.11190255966135793</v>
      </c>
      <c r="AS152" s="17">
        <f t="shared" si="67"/>
        <v>5.3116925447846651E-2</v>
      </c>
      <c r="AT152" s="13">
        <f t="shared" si="68"/>
        <v>-5.8785634213511274E-2</v>
      </c>
      <c r="AU152" s="8"/>
    </row>
    <row r="153" spans="1:47" ht="15" customHeight="1" x14ac:dyDescent="0.25">
      <c r="A153" s="31" t="s">
        <v>26</v>
      </c>
      <c r="B153" s="31" t="s">
        <v>32</v>
      </c>
      <c r="C153" t="s">
        <v>33</v>
      </c>
      <c r="D153" s="31" t="s">
        <v>34</v>
      </c>
      <c r="E153" t="s">
        <v>203</v>
      </c>
      <c r="F153" s="31" t="s">
        <v>330</v>
      </c>
      <c r="G153" t="s">
        <v>331</v>
      </c>
      <c r="H153" s="27">
        <f>IF($G153&lt;&gt;0,SUMIF(куб!$G:$G,$G153,куб!H:H),IF($E153&lt;&gt;0,SUMIF(куб!$E:$E,$E153,куб!H:H),IF($D153&lt;&gt;0,SUMIF(куб!$D:$D,$D153,куб!H:H),IF($C153&lt;&gt;0,SUMIF(куб!$C:$C,$C153,куб!H:H),IF($B153&lt;&gt;0,SUMIF(куб!$B:$B,$B153,куб!H:H),IF($G153&lt;&gt;0,SUMIF(куб!$A:$A,$G153,куб!H:H),SUMIF(куб!$A:$A,$G153,куб!H:H)))))))</f>
        <v>0</v>
      </c>
      <c r="I153" s="27">
        <f>IF($G153&lt;&gt;0,SUMIF(куб!$G:$G,$G153,куб!I:I),IF($E153&lt;&gt;0,SUMIF(куб!$E:$E,$E153,куб!I:I),IF($D153&lt;&gt;0,SUMIF(куб!$D:$D,$D153,куб!I:I),IF($C153&lt;&gt;0,SUMIF(куб!$C:$C,$C153,куб!I:I),IF($B153&lt;&gt;0,SUMIF(куб!$B:$B,$B153,куб!I:I),IF($G153&lt;&gt;0,SUMIF(куб!$A:$A,$G153,куб!I:I),SUMIF(куб!$A:$A,$G153,куб!I:I)))))))</f>
        <v>18000.8249</v>
      </c>
      <c r="J153" s="19" t="str">
        <f t="shared" si="69"/>
        <v>-</v>
      </c>
      <c r="K153" s="5"/>
      <c r="L153" s="17">
        <f t="shared" si="52"/>
        <v>0</v>
      </c>
      <c r="M153" s="17">
        <f t="shared" si="53"/>
        <v>3.8380909182114254E-5</v>
      </c>
      <c r="N153" s="12">
        <f t="shared" si="54"/>
        <v>3.8380909182114254E-5</v>
      </c>
      <c r="O153" s="5"/>
      <c r="P153" s="27">
        <f>IF($G153&lt;&gt;0,SUMIF(куб!$G:$G,$G153,куб!J:J),IF($E153&lt;&gt;0,SUMIF(куб!$E:$E,$E153,куб!J:J),IF($D153&lt;&gt;0,SUMIF(куб!$D:$D,$D153,куб!J:J),IF($C153&lt;&gt;0,SUMIF(куб!$C:$C,$C153,куб!J:J),IF($B153&lt;&gt;0,SUMIF(куб!$B:$B,$B153,куб!J:J))))))</f>
        <v>0</v>
      </c>
      <c r="Q153" s="27">
        <f>IF($G153&lt;&gt;0,SUMIF(куб!$G:$G,$G153,куб!K:K),IF($E153&lt;&gt;0,SUMIF(куб!$E:$E,$E153,куб!K:K),IF($D153&lt;&gt;0,SUMIF(куб!$D:$D,$D153,куб!K:K),IF($C153&lt;&gt;0,SUMIF(куб!$C:$C,$C153,куб!K:K),IF($B153&lt;&gt;0,SUMIF(куб!$B:$B,$B153,куб!K:K))))))</f>
        <v>133</v>
      </c>
      <c r="R153" s="13" t="str">
        <f t="shared" si="55"/>
        <v>-</v>
      </c>
      <c r="S153" s="5"/>
      <c r="T153" s="27">
        <f>IF($G153&lt;&gt;0,SUMIF(куб!$G:$G,$G153,куб!L:L),IF($E153&lt;&gt;0,SUMIF(куб!$E:$E,$E153,куб!L:L),IF($D153&lt;&gt;0,SUMIF(куб!$D:$D,$D153,куб!L:L),IF($C153&lt;&gt;0,SUMIF(куб!$C:$C,$C153,куб!L:L),IF($B153&lt;&gt;0,SUMIF(куб!$B:$B,$B153,куб!L:L))))))</f>
        <v>0</v>
      </c>
      <c r="U153" s="27">
        <f>IF($G153&lt;&gt;0,SUMIF(куб!$G:$G,$G153,куб!M:M),IF($E153&lt;&gt;0,SUMIF(куб!$E:$E,$E153,куб!M:M),IF($D153&lt;&gt;0,SUMIF(куб!$D:$D,$D153,куб!M:M),IF($C153&lt;&gt;0,SUMIF(куб!$C:$C,$C153,куб!M:M),IF($B153&lt;&gt;0,SUMIF(куб!$B:$B,$B153,куб!M:M))))))</f>
        <v>199.5</v>
      </c>
      <c r="V153" s="13" t="str">
        <f t="shared" si="56"/>
        <v>-</v>
      </c>
      <c r="W153" s="5"/>
      <c r="X153" s="27">
        <f>IF($G153&lt;&gt;0,SUMIF(куб!$G:$G,$G153,куб!N:N),IF($E153&lt;&gt;0,SUMIF(куб!$E:$E,$E153,куб!N:N),IF($D153&lt;&gt;0,SUMIF(куб!$D:$D,$D153,куб!N:N),IF($C153&lt;&gt;0,SUMIF(куб!$C:$C,$C153,куб!N:N),IF($B153&lt;&gt;0,SUMIF(куб!$B:$B,$B153,куб!N:N))))))</f>
        <v>0</v>
      </c>
      <c r="Y153" s="27">
        <f>IF($G153&lt;&gt;0,SUMIF(куб!$G:$G,$G153,куб!O:O),IF($E153&lt;&gt;0,SUMIF(куб!$E:$E,$E153,куб!O:O),IF($D153&lt;&gt;0,SUMIF(куб!$D:$D,$D153,куб!O:O),IF($C153&lt;&gt;0,SUMIF(куб!$C:$C,$C153,куб!O:O),IF($B153&lt;&gt;0,SUMIF(куб!$B:$B,$B153,куб!O:O))))))</f>
        <v>2494.2348000000002</v>
      </c>
      <c r="Z153" s="13" t="str">
        <f t="shared" si="57"/>
        <v>-</v>
      </c>
      <c r="AA153" s="5"/>
      <c r="AB153" s="33" t="str">
        <f t="shared" si="58"/>
        <v/>
      </c>
      <c r="AC153" s="33">
        <f t="shared" si="59"/>
        <v>0.13856224999999861</v>
      </c>
      <c r="AD153" s="15" t="str">
        <f t="shared" si="60"/>
        <v xml:space="preserve"> </v>
      </c>
      <c r="AE153" s="5"/>
      <c r="AF153" s="27">
        <f>IF($G153&lt;&gt;0,SUMIF(куб!$G:$G,$G153,куб!R:R),IF($E153&lt;&gt;0,SUMIF(куб!$E:$E,$E153,куб!R:R),IF($D153&lt;&gt;0,SUMIF(куб!$D:$D,$D153,куб!R:R),IF($C153&lt;&gt;0,SUMIF(куб!$C:$C,$C153,куб!R:R),IF($B153&lt;&gt;0,SUMIF(куб!$B:$B,$B153,куб!R:R))))))</f>
        <v>0</v>
      </c>
      <c r="AG153" s="27">
        <f>IF($G153&lt;&gt;0,SUMIF(куб!$G:$G,$G153,куб!S:S),IF($E153&lt;&gt;0,SUMIF(куб!$E:$E,$E153,куб!S:S),IF($D153&lt;&gt;0,SUMIF(куб!$D:$D,$D153,куб!S:S),IF($C153&lt;&gt;0,SUMIF(куб!$C:$C,$C153,куб!S:S),IF($B153&lt;&gt;0,SUMIF(куб!$B:$B,$B153,куб!S:S))))))</f>
        <v>0</v>
      </c>
      <c r="AH153" s="16" t="str">
        <f t="shared" si="61"/>
        <v>-</v>
      </c>
      <c r="AI153" s="8"/>
      <c r="AJ153" s="27">
        <f>IF($G153&lt;&gt;0,SUMIF(куб!$G:$G,$G153,куб!T:T),IF($E153&lt;&gt;0,SUMIF(куб!$E:$E,$E153,куб!T:T),IF($D153&lt;&gt;0,SUMIF(куб!$D:$D,$D153,куб!T:T),IF($C153&lt;&gt;0,SUMIF(куб!$C:$C,$C153,куб!T:T),IF($B153&lt;&gt;0,SUMIF(куб!$B:$B,$B153,куб!T:T))))))</f>
        <v>0</v>
      </c>
      <c r="AK153" s="27">
        <f>IF($G153&lt;&gt;0,SUMIF(куб!$G:$G,$G153,куб!U:U),IF($E153&lt;&gt;0,SUMIF(куб!$E:$E,$E153,куб!U:U),IF($D153&lt;&gt;0,SUMIF(куб!$D:$D,$D153,куб!U:U),IF($C153&lt;&gt;0,SUMIF(куб!$C:$C,$C153,куб!U:U),IF($B153&lt;&gt;0,SUMIF(куб!$B:$B,$B153,куб!U:U))))))</f>
        <v>0</v>
      </c>
      <c r="AL153" s="16" t="str">
        <f t="shared" si="62"/>
        <v>-</v>
      </c>
      <c r="AM153" s="8"/>
      <c r="AN153" s="17" t="str">
        <f t="shared" si="63"/>
        <v xml:space="preserve"> </v>
      </c>
      <c r="AO153" s="17">
        <f t="shared" si="64"/>
        <v>0</v>
      </c>
      <c r="AP153" s="16" t="str">
        <f t="shared" si="65"/>
        <v>-</v>
      </c>
      <c r="AQ153" s="8"/>
      <c r="AR153" s="17" t="str">
        <f t="shared" si="66"/>
        <v>-</v>
      </c>
      <c r="AS153" s="17">
        <f t="shared" si="67"/>
        <v>0.13856224999999861</v>
      </c>
      <c r="AT153" s="13" t="str">
        <f t="shared" si="68"/>
        <v>-</v>
      </c>
      <c r="AU153" s="8"/>
    </row>
    <row r="154" spans="1:47" ht="15" customHeight="1" x14ac:dyDescent="0.25">
      <c r="A154" s="31" t="s">
        <v>26</v>
      </c>
      <c r="B154" s="31" t="s">
        <v>32</v>
      </c>
      <c r="C154" t="s">
        <v>33</v>
      </c>
      <c r="D154" s="31" t="s">
        <v>34</v>
      </c>
      <c r="E154" t="s">
        <v>203</v>
      </c>
      <c r="F154" s="31" t="s">
        <v>332</v>
      </c>
      <c r="G154" t="s">
        <v>333</v>
      </c>
      <c r="H154" s="27">
        <f>IF($G154&lt;&gt;0,SUMIF(куб!$G:$G,$G154,куб!H:H),IF($E154&lt;&gt;0,SUMIF(куб!$E:$E,$E154,куб!H:H),IF($D154&lt;&gt;0,SUMIF(куб!$D:$D,$D154,куб!H:H),IF($C154&lt;&gt;0,SUMIF(куб!$C:$C,$C154,куб!H:H),IF($B154&lt;&gt;0,SUMIF(куб!$B:$B,$B154,куб!H:H),IF($G154&lt;&gt;0,SUMIF(куб!$A:$A,$G154,куб!H:H),SUMIF(куб!$A:$A,$G154,куб!H:H)))))))</f>
        <v>188709.34369999997</v>
      </c>
      <c r="I154" s="27">
        <f>IF($G154&lt;&gt;0,SUMIF(куб!$G:$G,$G154,куб!I:I),IF($E154&lt;&gt;0,SUMIF(куб!$E:$E,$E154,куб!I:I),IF($D154&lt;&gt;0,SUMIF(куб!$D:$D,$D154,куб!I:I),IF($C154&lt;&gt;0,SUMIF(куб!$C:$C,$C154,куб!I:I),IF($B154&lt;&gt;0,SUMIF(куб!$B:$B,$B154,куб!I:I),IF($G154&lt;&gt;0,SUMIF(куб!$A:$A,$G154,куб!I:I),SUMIF(куб!$A:$A,$G154,куб!I:I)))))))</f>
        <v>404500.06400000001</v>
      </c>
      <c r="J154" s="19">
        <f t="shared" si="69"/>
        <v>1.1435084032884593</v>
      </c>
      <c r="K154" s="8"/>
      <c r="L154" s="17">
        <f t="shared" si="52"/>
        <v>3.9419344429961781E-4</v>
      </c>
      <c r="M154" s="17">
        <f t="shared" si="53"/>
        <v>8.624649318456181E-4</v>
      </c>
      <c r="N154" s="12">
        <f t="shared" si="54"/>
        <v>4.6827148754600029E-4</v>
      </c>
      <c r="O154" s="5"/>
      <c r="P154" s="27">
        <f>IF($G154&lt;&gt;0,SUMIF(куб!$G:$G,$G154,куб!J:J),IF($E154&lt;&gt;0,SUMIF(куб!$E:$E,$E154,куб!J:J),IF($D154&lt;&gt;0,SUMIF(куб!$D:$D,$D154,куб!J:J),IF($C154&lt;&gt;0,SUMIF(куб!$C:$C,$C154,куб!J:J),IF($B154&lt;&gt;0,SUMIF(куб!$B:$B,$B154,куб!J:J))))))</f>
        <v>2639</v>
      </c>
      <c r="Q154" s="27">
        <f>IF($G154&lt;&gt;0,SUMIF(куб!$G:$G,$G154,куб!K:K),IF($E154&lt;&gt;0,SUMIF(куб!$E:$E,$E154,куб!K:K),IF($D154&lt;&gt;0,SUMIF(куб!$D:$D,$D154,куб!K:K),IF($C154&lt;&gt;0,SUMIF(куб!$C:$C,$C154,куб!K:K),IF($B154&lt;&gt;0,SUMIF(куб!$B:$B,$B154,куб!K:K))))))</f>
        <v>5643</v>
      </c>
      <c r="R154" s="13">
        <f t="shared" si="55"/>
        <v>1.1383099658961728</v>
      </c>
      <c r="S154" s="5"/>
      <c r="T154" s="27">
        <f>IF($G154&lt;&gt;0,SUMIF(куб!$G:$G,$G154,куб!L:L),IF($E154&lt;&gt;0,SUMIF(куб!$E:$E,$E154,куб!L:L),IF($D154&lt;&gt;0,SUMIF(куб!$D:$D,$D154,куб!L:L),IF($C154&lt;&gt;0,SUMIF(куб!$C:$C,$C154,куб!L:L),IF($B154&lt;&gt;0,SUMIF(куб!$B:$B,$B154,куб!L:L))))))</f>
        <v>2111.1999999999998</v>
      </c>
      <c r="U154" s="27">
        <f>IF($G154&lt;&gt;0,SUMIF(куб!$G:$G,$G154,куб!M:M),IF($E154&lt;&gt;0,SUMIF(куб!$E:$E,$E154,куб!M:M),IF($D154&lt;&gt;0,SUMIF(куб!$D:$D,$D154,куб!M:M),IF($C154&lt;&gt;0,SUMIF(куб!$C:$C,$C154,куб!M:M),IF($B154&lt;&gt;0,SUMIF(куб!$B:$B,$B154,куб!M:M))))))</f>
        <v>4514.4000000000005</v>
      </c>
      <c r="V154" s="13">
        <f t="shared" si="56"/>
        <v>1.1383099658961733</v>
      </c>
      <c r="W154" s="5"/>
      <c r="X154" s="27">
        <f>IF($G154&lt;&gt;0,SUMIF(куб!$G:$G,$G154,куб!N:N),IF($E154&lt;&gt;0,SUMIF(куб!$E:$E,$E154,куб!N:N),IF($D154&lt;&gt;0,SUMIF(куб!$D:$D,$D154,куб!N:N),IF($C154&lt;&gt;0,SUMIF(куб!$C:$C,$C154,куб!N:N),IF($B154&lt;&gt;0,SUMIF(куб!$B:$B,$B154,куб!N:N))))))</f>
        <v>24266.413899999985</v>
      </c>
      <c r="Y154" s="27">
        <f>IF($G154&lt;&gt;0,SUMIF(куб!$G:$G,$G154,куб!O:O),IF($E154&lt;&gt;0,SUMIF(куб!$E:$E,$E154,куб!O:O),IF($D154&lt;&gt;0,SUMIF(куб!$D:$D,$D154,куб!O:O),IF($C154&lt;&gt;0,SUMIF(куб!$C:$C,$C154,куб!O:O),IF($B154&lt;&gt;0,SUMIF(куб!$B:$B,$B154,куб!O:O))))))</f>
        <v>52889.886300000013</v>
      </c>
      <c r="Z154" s="13">
        <f t="shared" si="57"/>
        <v>1.1795509842515315</v>
      </c>
      <c r="AA154" s="5"/>
      <c r="AB154" s="33">
        <f t="shared" si="58"/>
        <v>0.12859148054999031</v>
      </c>
      <c r="AC154" s="33">
        <f t="shared" si="59"/>
        <v>0.13075371552969645</v>
      </c>
      <c r="AD154" s="15">
        <f t="shared" si="60"/>
        <v>2.1622349797061347E-3</v>
      </c>
      <c r="AE154" s="5"/>
      <c r="AF154" s="27">
        <f>IF($G154&lt;&gt;0,SUMIF(куб!$G:$G,$G154,куб!R:R),IF($E154&lt;&gt;0,SUMIF(куб!$E:$E,$E154,куб!R:R),IF($D154&lt;&gt;0,SUMIF(куб!$D:$D,$D154,куб!R:R),IF($C154&lt;&gt;0,SUMIF(куб!$C:$C,$C154,куб!R:R),IF($B154&lt;&gt;0,SUMIF(куб!$B:$B,$B154,куб!R:R))))))</f>
        <v>558.39929999999993</v>
      </c>
      <c r="AG154" s="27">
        <f>IF($G154&lt;&gt;0,SUMIF(куб!$G:$G,$G154,куб!S:S),IF($E154&lt;&gt;0,SUMIF(куб!$E:$E,$E154,куб!S:S),IF($D154&lt;&gt;0,SUMIF(куб!$D:$D,$D154,куб!S:S),IF($C154&lt;&gt;0,SUMIF(куб!$C:$C,$C154,куб!S:S),IF($B154&lt;&gt;0,SUMIF(куб!$B:$B,$B154,куб!S:S))))))</f>
        <v>373.85429999999997</v>
      </c>
      <c r="AH154" s="16">
        <f t="shared" si="61"/>
        <v>-0.3304893111434774</v>
      </c>
      <c r="AI154" s="8"/>
      <c r="AJ154" s="27">
        <f>IF($G154&lt;&gt;0,SUMIF(куб!$G:$G,$G154,куб!T:T),IF($E154&lt;&gt;0,SUMIF(куб!$E:$E,$E154,куб!T:T),IF($D154&lt;&gt;0,SUMIF(куб!$D:$D,$D154,куб!T:T),IF($C154&lt;&gt;0,SUMIF(куб!$C:$C,$C154,куб!T:T),IF($B154&lt;&gt;0,SUMIF(куб!$B:$B,$B154,куб!T:T))))))</f>
        <v>9</v>
      </c>
      <c r="AK154" s="27">
        <f>IF($G154&lt;&gt;0,SUMIF(куб!$G:$G,$G154,куб!U:U),IF($E154&lt;&gt;0,SUMIF(куб!$E:$E,$E154,куб!U:U),IF($D154&lt;&gt;0,SUMIF(куб!$D:$D,$D154,куб!U:U),IF($C154&lt;&gt;0,SUMIF(куб!$C:$C,$C154,куб!U:U),IF($B154&lt;&gt;0,SUMIF(куб!$B:$B,$B154,куб!U:U))))))</f>
        <v>6</v>
      </c>
      <c r="AL154" s="16">
        <f t="shared" si="62"/>
        <v>-0.33333333333333331</v>
      </c>
      <c r="AM154" s="8"/>
      <c r="AN154" s="17">
        <f t="shared" si="63"/>
        <v>2.9590442584958238E-3</v>
      </c>
      <c r="AO154" s="17">
        <f t="shared" si="64"/>
        <v>9.2423792546050116E-4</v>
      </c>
      <c r="AP154" s="16">
        <f t="shared" si="65"/>
        <v>-2.0348063330353225E-3</v>
      </c>
      <c r="AQ154" s="8"/>
      <c r="AR154" s="17">
        <f t="shared" si="66"/>
        <v>0.12563243629149448</v>
      </c>
      <c r="AS154" s="17">
        <f t="shared" si="67"/>
        <v>0.12982947760423597</v>
      </c>
      <c r="AT154" s="13">
        <f t="shared" si="68"/>
        <v>4.1970413127414841E-3</v>
      </c>
      <c r="AU154" s="8"/>
    </row>
    <row r="155" spans="1:47" ht="15" customHeight="1" x14ac:dyDescent="0.25">
      <c r="A155" s="31" t="s">
        <v>26</v>
      </c>
      <c r="B155" s="31" t="s">
        <v>32</v>
      </c>
      <c r="C155" t="s">
        <v>33</v>
      </c>
      <c r="D155" s="31" t="s">
        <v>34</v>
      </c>
      <c r="E155" t="s">
        <v>203</v>
      </c>
      <c r="F155" s="31" t="s">
        <v>334</v>
      </c>
      <c r="G155" t="s">
        <v>335</v>
      </c>
      <c r="H155" s="27">
        <f>IF($G155&lt;&gt;0,SUMIF(куб!$G:$G,$G155,куб!H:H),IF($E155&lt;&gt;0,SUMIF(куб!$E:$E,$E155,куб!H:H),IF($D155&lt;&gt;0,SUMIF(куб!$D:$D,$D155,куб!H:H),IF($C155&lt;&gt;0,SUMIF(куб!$C:$C,$C155,куб!H:H),IF($B155&lt;&gt;0,SUMIF(куб!$B:$B,$B155,куб!H:H),IF($G155&lt;&gt;0,SUMIF(куб!$A:$A,$G155,куб!H:H),SUMIF(куб!$A:$A,$G155,куб!H:H)))))))</f>
        <v>987001.78530000011</v>
      </c>
      <c r="I155" s="27">
        <f>IF($G155&lt;&gt;0,SUMIF(куб!$G:$G,$G155,куб!I:I),IF($E155&lt;&gt;0,SUMIF(куб!$E:$E,$E155,куб!I:I),IF($D155&lt;&gt;0,SUMIF(куб!$D:$D,$D155,куб!I:I),IF($C155&lt;&gt;0,SUMIF(куб!$C:$C,$C155,куб!I:I),IF($B155&lt;&gt;0,SUMIF(куб!$B:$B,$B155,куб!I:I),IF($G155&lt;&gt;0,SUMIF(куб!$A:$A,$G155,куб!I:I),SUMIF(куб!$A:$A,$G155,куб!I:I)))))))</f>
        <v>1820226.1263000001</v>
      </c>
      <c r="J155" s="19">
        <f t="shared" si="69"/>
        <v>0.84419740005509791</v>
      </c>
      <c r="K155" s="10"/>
      <c r="L155" s="17">
        <f t="shared" si="52"/>
        <v>2.0617401642591742E-3</v>
      </c>
      <c r="M155" s="17">
        <f t="shared" si="53"/>
        <v>3.8810406763321128E-3</v>
      </c>
      <c r="N155" s="12">
        <f t="shared" si="54"/>
        <v>1.8193005120729386E-3</v>
      </c>
      <c r="O155" s="5"/>
      <c r="P155" s="27">
        <f>IF($G155&lt;&gt;0,SUMIF(куб!$G:$G,$G155,куб!J:J),IF($E155&lt;&gt;0,SUMIF(куб!$E:$E,$E155,куб!J:J),IF($D155&lt;&gt;0,SUMIF(куб!$D:$D,$D155,куб!J:J),IF($C155&lt;&gt;0,SUMIF(куб!$C:$C,$C155,куб!J:J),IF($B155&lt;&gt;0,SUMIF(куб!$B:$B,$B155,куб!J:J))))))</f>
        <v>14714</v>
      </c>
      <c r="Q155" s="27">
        <f>IF($G155&lt;&gt;0,SUMIF(куб!$G:$G,$G155,куб!K:K),IF($E155&lt;&gt;0,SUMIF(куб!$E:$E,$E155,куб!K:K),IF($D155&lt;&gt;0,SUMIF(куб!$D:$D,$D155,куб!K:K),IF($C155&lt;&gt;0,SUMIF(куб!$C:$C,$C155,куб!K:K),IF($B155&lt;&gt;0,SUMIF(куб!$B:$B,$B155,куб!K:K))))))</f>
        <v>26766</v>
      </c>
      <c r="R155" s="13">
        <f t="shared" si="55"/>
        <v>0.81908386570613023</v>
      </c>
      <c r="S155" s="5"/>
      <c r="T155" s="27">
        <f>IF($G155&lt;&gt;0,SUMIF(куб!$G:$G,$G155,куб!L:L),IF($E155&lt;&gt;0,SUMIF(куб!$E:$E,$E155,куб!L:L),IF($D155&lt;&gt;0,SUMIF(куб!$D:$D,$D155,куб!L:L),IF($C155&lt;&gt;0,SUMIF(куб!$C:$C,$C155,куб!L:L),IF($B155&lt;&gt;0,SUMIF(куб!$B:$B,$B155,куб!L:L))))))</f>
        <v>13639.877999999999</v>
      </c>
      <c r="U155" s="27">
        <f>IF($G155&lt;&gt;0,SUMIF(куб!$G:$G,$G155,куб!M:M),IF($E155&lt;&gt;0,SUMIF(куб!$E:$E,$E155,куб!M:M),IF($D155&lt;&gt;0,SUMIF(куб!$D:$D,$D155,куб!M:M),IF($C155&lt;&gt;0,SUMIF(куб!$C:$C,$C155,куб!M:M),IF($B155&lt;&gt;0,SUMIF(куб!$B:$B,$B155,куб!M:M))))))</f>
        <v>24812.081999999995</v>
      </c>
      <c r="V155" s="13">
        <f t="shared" si="56"/>
        <v>0.81908386570613001</v>
      </c>
      <c r="W155" s="5"/>
      <c r="X155" s="27">
        <f>IF($G155&lt;&gt;0,SUMIF(куб!$G:$G,$G155,куб!N:N),IF($E155&lt;&gt;0,SUMIF(куб!$E:$E,$E155,куб!N:N),IF($D155&lt;&gt;0,SUMIF(куб!$D:$D,$D155,куб!N:N),IF($C155&lt;&gt;0,SUMIF(куб!$C:$C,$C155,куб!N:N),IF($B155&lt;&gt;0,SUMIF(куб!$B:$B,$B155,куб!N:N))))))</f>
        <v>118875.78530000011</v>
      </c>
      <c r="Y155" s="27">
        <f>IF($G155&lt;&gt;0,SUMIF(куб!$G:$G,$G155,куб!O:O),IF($E155&lt;&gt;0,SUMIF(куб!$E:$E,$E155,куб!O:O),IF($D155&lt;&gt;0,SUMIF(куб!$D:$D,$D155,куб!O:O),IF($C155&lt;&gt;0,SUMIF(куб!$C:$C,$C155,куб!O:O),IF($B155&lt;&gt;0,SUMIF(куб!$B:$B,$B155,куб!O:O))))))</f>
        <v>240984.2174000002</v>
      </c>
      <c r="Z155" s="13">
        <f t="shared" si="57"/>
        <v>1.0271934842898571</v>
      </c>
      <c r="AA155" s="5"/>
      <c r="AB155" s="33">
        <f t="shared" si="58"/>
        <v>0.12044130727065271</v>
      </c>
      <c r="AC155" s="33">
        <f t="shared" si="59"/>
        <v>0.13239246152886086</v>
      </c>
      <c r="AD155" s="15">
        <f t="shared" si="60"/>
        <v>1.1951154258208155E-2</v>
      </c>
      <c r="AE155" s="5"/>
      <c r="AF155" s="27">
        <f>IF($G155&lt;&gt;0,SUMIF(куб!$G:$G,$G155,куб!R:R),IF($E155&lt;&gt;0,SUMIF(куб!$E:$E,$E155,куб!R:R),IF($D155&lt;&gt;0,SUMIF(куб!$D:$D,$D155,куб!R:R),IF($C155&lt;&gt;0,SUMIF(куб!$C:$C,$C155,куб!R:R),IF($B155&lt;&gt;0,SUMIF(куб!$B:$B,$B155,куб!R:R))))))</f>
        <v>3531.4537999999998</v>
      </c>
      <c r="AG155" s="27">
        <f>IF($G155&lt;&gt;0,SUMIF(куб!$G:$G,$G155,куб!S:S),IF($E155&lt;&gt;0,SUMIF(куб!$E:$E,$E155,куб!S:S),IF($D155&lt;&gt;0,SUMIF(куб!$D:$D,$D155,куб!S:S),IF($C155&lt;&gt;0,SUMIF(куб!$C:$C,$C155,куб!S:S),IF($B155&lt;&gt;0,SUMIF(куб!$B:$B,$B155,куб!S:S))))))</f>
        <v>3658</v>
      </c>
      <c r="AH155" s="16">
        <f t="shared" si="61"/>
        <v>3.5834023936544272E-2</v>
      </c>
      <c r="AI155" s="8"/>
      <c r="AJ155" s="27">
        <f>IF($G155&lt;&gt;0,SUMIF(куб!$G:$G,$G155,куб!T:T),IF($E155&lt;&gt;0,SUMIF(куб!$E:$E,$E155,куб!T:T),IF($D155&lt;&gt;0,SUMIF(куб!$D:$D,$D155,куб!T:T),IF($C155&lt;&gt;0,SUMIF(куб!$C:$C,$C155,куб!T:T),IF($B155&lt;&gt;0,SUMIF(куб!$B:$B,$B155,куб!T:T))))))</f>
        <v>61</v>
      </c>
      <c r="AK155" s="27">
        <f>IF($G155&lt;&gt;0,SUMIF(куб!$G:$G,$G155,куб!U:U),IF($E155&lt;&gt;0,SUMIF(куб!$E:$E,$E155,куб!U:U),IF($D155&lt;&gt;0,SUMIF(куб!$D:$D,$D155,куб!U:U),IF($C155&lt;&gt;0,SUMIF(куб!$C:$C,$C155,куб!U:U),IF($B155&lt;&gt;0,SUMIF(куб!$B:$B,$B155,куб!U:U))))))</f>
        <v>62</v>
      </c>
      <c r="AL155" s="16">
        <f t="shared" si="62"/>
        <v>1.6393442622950821E-2</v>
      </c>
      <c r="AM155" s="8"/>
      <c r="AN155" s="17">
        <f t="shared" si="63"/>
        <v>3.5779609040186397E-3</v>
      </c>
      <c r="AO155" s="17">
        <f t="shared" si="64"/>
        <v>2.0096404216742398E-3</v>
      </c>
      <c r="AP155" s="16">
        <f t="shared" si="65"/>
        <v>-1.5683204823443999E-3</v>
      </c>
      <c r="AQ155" s="8"/>
      <c r="AR155" s="17">
        <f t="shared" si="66"/>
        <v>0.11686334636663406</v>
      </c>
      <c r="AS155" s="17">
        <f t="shared" si="67"/>
        <v>0.13038282110718663</v>
      </c>
      <c r="AT155" s="13">
        <f t="shared" si="68"/>
        <v>1.3519474740552567E-2</v>
      </c>
      <c r="AU155" s="8"/>
    </row>
    <row r="156" spans="1:47" ht="15" customHeight="1" x14ac:dyDescent="0.25">
      <c r="A156" s="31" t="s">
        <v>26</v>
      </c>
      <c r="B156" s="31" t="s">
        <v>32</v>
      </c>
      <c r="C156" t="s">
        <v>33</v>
      </c>
      <c r="D156" s="31" t="s">
        <v>34</v>
      </c>
      <c r="E156" t="s">
        <v>203</v>
      </c>
      <c r="F156" s="31" t="s">
        <v>336</v>
      </c>
      <c r="G156" t="s">
        <v>337</v>
      </c>
      <c r="H156" s="27">
        <f>IF($G156&lt;&gt;0,SUMIF(куб!$G:$G,$G156,куб!H:H),IF($E156&lt;&gt;0,SUMIF(куб!$E:$E,$E156,куб!H:H),IF($D156&lt;&gt;0,SUMIF(куб!$D:$D,$D156,куб!H:H),IF($C156&lt;&gt;0,SUMIF(куб!$C:$C,$C156,куб!H:H),IF($B156&lt;&gt;0,SUMIF(куб!$B:$B,$B156,куб!H:H),IF($G156&lt;&gt;0,SUMIF(куб!$A:$A,$G156,куб!H:H),SUMIF(куб!$A:$A,$G156,куб!H:H)))))))</f>
        <v>0</v>
      </c>
      <c r="I156" s="27">
        <f>IF($G156&lt;&gt;0,SUMIF(куб!$G:$G,$G156,куб!I:I),IF($E156&lt;&gt;0,SUMIF(куб!$E:$E,$E156,куб!I:I),IF($D156&lt;&gt;0,SUMIF(куб!$D:$D,$D156,куб!I:I),IF($C156&lt;&gt;0,SUMIF(куб!$C:$C,$C156,куб!I:I),IF($B156&lt;&gt;0,SUMIF(куб!$B:$B,$B156,куб!I:I),IF($G156&lt;&gt;0,SUMIF(куб!$A:$A,$G156,куб!I:I),SUMIF(куб!$A:$A,$G156,куб!I:I)))))))</f>
        <v>51844.243400000007</v>
      </c>
      <c r="J156" s="19" t="str">
        <f t="shared" si="69"/>
        <v>-</v>
      </c>
      <c r="K156" s="5"/>
      <c r="L156" s="17">
        <f t="shared" si="52"/>
        <v>0</v>
      </c>
      <c r="M156" s="17">
        <f t="shared" si="53"/>
        <v>1.1054100068218688E-4</v>
      </c>
      <c r="N156" s="12">
        <f t="shared" si="54"/>
        <v>1.1054100068218688E-4</v>
      </c>
      <c r="O156" s="5"/>
      <c r="P156" s="27">
        <f>IF($G156&lt;&gt;0,SUMIF(куб!$G:$G,$G156,куб!J:J),IF($E156&lt;&gt;0,SUMIF(куб!$E:$E,$E156,куб!J:J),IF($D156&lt;&gt;0,SUMIF(куб!$D:$D,$D156,куб!J:J),IF($C156&lt;&gt;0,SUMIF(куб!$C:$C,$C156,куб!J:J),IF($B156&lt;&gt;0,SUMIF(куб!$B:$B,$B156,куб!J:J))))))</f>
        <v>0</v>
      </c>
      <c r="Q156" s="27">
        <f>IF($G156&lt;&gt;0,SUMIF(куб!$G:$G,$G156,куб!K:K),IF($E156&lt;&gt;0,SUMIF(куб!$E:$E,$E156,куб!K:K),IF($D156&lt;&gt;0,SUMIF(куб!$D:$D,$D156,куб!K:K),IF($C156&lt;&gt;0,SUMIF(куб!$C:$C,$C156,куб!K:K),IF($B156&lt;&gt;0,SUMIF(куб!$B:$B,$B156,куб!K:K))))))</f>
        <v>729</v>
      </c>
      <c r="R156" s="13" t="str">
        <f t="shared" si="55"/>
        <v>-</v>
      </c>
      <c r="S156" s="5"/>
      <c r="T156" s="27">
        <f>IF($G156&lt;&gt;0,SUMIF(куб!$G:$G,$G156,куб!L:L),IF($E156&lt;&gt;0,SUMIF(куб!$E:$E,$E156,куб!L:L),IF($D156&lt;&gt;0,SUMIF(куб!$D:$D,$D156,куб!L:L),IF($C156&lt;&gt;0,SUMIF(куб!$C:$C,$C156,куб!L:L),IF($B156&lt;&gt;0,SUMIF(куб!$B:$B,$B156,куб!L:L))))))</f>
        <v>0</v>
      </c>
      <c r="U156" s="27">
        <f>IF($G156&lt;&gt;0,SUMIF(куб!$G:$G,$G156,куб!M:M),IF($E156&lt;&gt;0,SUMIF(куб!$E:$E,$E156,куб!M:M),IF($D156&lt;&gt;0,SUMIF(куб!$D:$D,$D156,куб!M:M),IF($C156&lt;&gt;0,SUMIF(куб!$C:$C,$C156,куб!M:M),IF($B156&lt;&gt;0,SUMIF(куб!$B:$B,$B156,куб!M:M))))))</f>
        <v>583.20000000000005</v>
      </c>
      <c r="V156" s="13" t="str">
        <f t="shared" si="56"/>
        <v>-</v>
      </c>
      <c r="W156" s="5"/>
      <c r="X156" s="27">
        <f>IF($G156&lt;&gt;0,SUMIF(куб!$G:$G,$G156,куб!N:N),IF($E156&lt;&gt;0,SUMIF(куб!$E:$E,$E156,куб!N:N),IF($D156&lt;&gt;0,SUMIF(куб!$D:$D,$D156,куб!N:N),IF($C156&lt;&gt;0,SUMIF(куб!$C:$C,$C156,куб!N:N),IF($B156&lt;&gt;0,SUMIF(куб!$B:$B,$B156,куб!N:N))))))</f>
        <v>0</v>
      </c>
      <c r="Y156" s="27">
        <f>IF($G156&lt;&gt;0,SUMIF(куб!$G:$G,$G156,куб!O:O),IF($E156&lt;&gt;0,SUMIF(куб!$E:$E,$E156,куб!O:O),IF($D156&lt;&gt;0,SUMIF(куб!$D:$D,$D156,куб!O:O),IF($C156&lt;&gt;0,SUMIF(куб!$C:$C,$C156,куб!O:O),IF($B156&lt;&gt;0,SUMIF(куб!$B:$B,$B156,куб!O:O))))))</f>
        <v>12166.769400000027</v>
      </c>
      <c r="Z156" s="13" t="str">
        <f t="shared" si="57"/>
        <v>-</v>
      </c>
      <c r="AA156" s="5"/>
      <c r="AB156" s="33" t="str">
        <f t="shared" si="58"/>
        <v/>
      </c>
      <c r="AC156" s="33">
        <f t="shared" si="59"/>
        <v>0.23467927395773366</v>
      </c>
      <c r="AD156" s="15" t="str">
        <f t="shared" si="60"/>
        <v xml:space="preserve"> </v>
      </c>
      <c r="AE156" s="5"/>
      <c r="AF156" s="27">
        <f>IF($G156&lt;&gt;0,SUMIF(куб!$G:$G,$G156,куб!R:R),IF($E156&lt;&gt;0,SUMIF(куб!$E:$E,$E156,куб!R:R),IF($D156&lt;&gt;0,SUMIF(куб!$D:$D,$D156,куб!R:R),IF($C156&lt;&gt;0,SUMIF(куб!$C:$C,$C156,куб!R:R),IF($B156&lt;&gt;0,SUMIF(куб!$B:$B,$B156,куб!R:R))))))</f>
        <v>0</v>
      </c>
      <c r="AG156" s="27">
        <f>IF($G156&lt;&gt;0,SUMIF(куб!$G:$G,$G156,куб!S:S),IF($E156&lt;&gt;0,SUMIF(куб!$E:$E,$E156,куб!S:S),IF($D156&lt;&gt;0,SUMIF(куб!$D:$D,$D156,куб!S:S),IF($C156&lt;&gt;0,SUMIF(куб!$C:$C,$C156,куб!S:S),IF($B156&lt;&gt;0,SUMIF(куб!$B:$B,$B156,куб!S:S))))))</f>
        <v>2666.9354999999996</v>
      </c>
      <c r="AH156" s="16" t="str">
        <f t="shared" si="61"/>
        <v>-</v>
      </c>
      <c r="AI156" s="8"/>
      <c r="AJ156" s="27">
        <f>IF($G156&lt;&gt;0,SUMIF(куб!$G:$G,$G156,куб!T:T),IF($E156&lt;&gt;0,SUMIF(куб!$E:$E,$E156,куб!T:T),IF($D156&lt;&gt;0,SUMIF(куб!$D:$D,$D156,куб!T:T),IF($C156&lt;&gt;0,SUMIF(куб!$C:$C,$C156,куб!T:T),IF($B156&lt;&gt;0,SUMIF(куб!$B:$B,$B156,куб!T:T))))))</f>
        <v>0</v>
      </c>
      <c r="AK156" s="27">
        <f>IF($G156&lt;&gt;0,SUMIF(куб!$G:$G,$G156,куб!U:U),IF($E156&lt;&gt;0,SUMIF(куб!$E:$E,$E156,куб!U:U),IF($D156&lt;&gt;0,SUMIF(куб!$D:$D,$D156,куб!U:U),IF($C156&lt;&gt;0,SUMIF(куб!$C:$C,$C156,куб!U:U),IF($B156&lt;&gt;0,SUMIF(куб!$B:$B,$B156,куб!U:U))))))</f>
        <v>49</v>
      </c>
      <c r="AL156" s="16" t="str">
        <f t="shared" si="62"/>
        <v>-</v>
      </c>
      <c r="AM156" s="8"/>
      <c r="AN156" s="17" t="str">
        <f t="shared" si="63"/>
        <v xml:space="preserve"> </v>
      </c>
      <c r="AO156" s="17">
        <f t="shared" si="64"/>
        <v>5.144130428181732E-2</v>
      </c>
      <c r="AP156" s="16" t="str">
        <f t="shared" si="65"/>
        <v>-</v>
      </c>
      <c r="AQ156" s="8"/>
      <c r="AR156" s="17" t="str">
        <f t="shared" si="66"/>
        <v>-</v>
      </c>
      <c r="AS156" s="17">
        <f t="shared" si="67"/>
        <v>0.18323796967591632</v>
      </c>
      <c r="AT156" s="13" t="str">
        <f t="shared" si="68"/>
        <v>-</v>
      </c>
      <c r="AU156" s="8"/>
    </row>
    <row r="157" spans="1:47" ht="15" customHeight="1" x14ac:dyDescent="0.25">
      <c r="A157" s="31" t="s">
        <v>26</v>
      </c>
      <c r="B157" s="31" t="s">
        <v>32</v>
      </c>
      <c r="C157" t="s">
        <v>33</v>
      </c>
      <c r="D157" s="31" t="s">
        <v>34</v>
      </c>
      <c r="E157" t="s">
        <v>203</v>
      </c>
      <c r="F157" s="31" t="s">
        <v>338</v>
      </c>
      <c r="G157" t="s">
        <v>339</v>
      </c>
      <c r="H157" s="27">
        <f>IF($G157&lt;&gt;0,SUMIF(куб!$G:$G,$G157,куб!H:H),IF($E157&lt;&gt;0,SUMIF(куб!$E:$E,$E157,куб!H:H),IF($D157&lt;&gt;0,SUMIF(куб!$D:$D,$D157,куб!H:H),IF($C157&lt;&gt;0,SUMIF(куб!$C:$C,$C157,куб!H:H),IF($B157&lt;&gt;0,SUMIF(куб!$B:$B,$B157,куб!H:H),IF($G157&lt;&gt;0,SUMIF(куб!$A:$A,$G157,куб!H:H),SUMIF(куб!$A:$A,$G157,куб!H:H)))))))</f>
        <v>57336.982400000008</v>
      </c>
      <c r="I157" s="27">
        <f>IF($G157&lt;&gt;0,SUMIF(куб!$G:$G,$G157,куб!I:I),IF($E157&lt;&gt;0,SUMIF(куб!$E:$E,$E157,куб!I:I),IF($D157&lt;&gt;0,SUMIF(куб!$D:$D,$D157,куб!I:I),IF($C157&lt;&gt;0,SUMIF(куб!$C:$C,$C157,куб!I:I),IF($B157&lt;&gt;0,SUMIF(куб!$B:$B,$B157,куб!I:I),IF($G157&lt;&gt;0,SUMIF(куб!$A:$A,$G157,куб!I:I),SUMIF(куб!$A:$A,$G157,куб!I:I)))))))</f>
        <v>537079.70629999996</v>
      </c>
      <c r="J157" s="19">
        <f t="shared" si="69"/>
        <v>8.367073114402336</v>
      </c>
      <c r="K157" s="5"/>
      <c r="L157" s="17">
        <f t="shared" si="52"/>
        <v>1.1977076563804813E-4</v>
      </c>
      <c r="M157" s="17">
        <f t="shared" si="53"/>
        <v>1.1451479332514865E-3</v>
      </c>
      <c r="N157" s="12">
        <f t="shared" si="54"/>
        <v>1.0253771676134384E-3</v>
      </c>
      <c r="O157" s="5"/>
      <c r="P157" s="27">
        <f>IF($G157&lt;&gt;0,SUMIF(куб!$G:$G,$G157,куб!J:J),IF($E157&lt;&gt;0,SUMIF(куб!$E:$E,$E157,куб!J:J),IF($D157&lt;&gt;0,SUMIF(куб!$D:$D,$D157,куб!J:J),IF($C157&lt;&gt;0,SUMIF(куб!$C:$C,$C157,куб!J:J),IF($B157&lt;&gt;0,SUMIF(куб!$B:$B,$B157,куб!J:J))))))</f>
        <v>752</v>
      </c>
      <c r="Q157" s="27">
        <f>IF($G157&lt;&gt;0,SUMIF(куб!$G:$G,$G157,куб!K:K),IF($E157&lt;&gt;0,SUMIF(куб!$E:$E,$E157,куб!K:K),IF($D157&lt;&gt;0,SUMIF(куб!$D:$D,$D157,куб!K:K),IF($C157&lt;&gt;0,SUMIF(куб!$C:$C,$C157,куб!K:K),IF($B157&lt;&gt;0,SUMIF(куб!$B:$B,$B157,куб!K:K))))))</f>
        <v>6790</v>
      </c>
      <c r="R157" s="13">
        <f t="shared" si="55"/>
        <v>8.0292553191489358</v>
      </c>
      <c r="S157" s="5"/>
      <c r="T157" s="27">
        <f>IF($G157&lt;&gt;0,SUMIF(куб!$G:$G,$G157,куб!L:L),IF($E157&lt;&gt;0,SUMIF(куб!$E:$E,$E157,куб!L:L),IF($D157&lt;&gt;0,SUMIF(куб!$D:$D,$D157,куб!L:L),IF($C157&lt;&gt;0,SUMIF(куб!$C:$C,$C157,куб!L:L),IF($B157&lt;&gt;0,SUMIF(куб!$B:$B,$B157,куб!L:L))))))</f>
        <v>676.80000000000007</v>
      </c>
      <c r="U157" s="27">
        <f>IF($G157&lt;&gt;0,SUMIF(куб!$G:$G,$G157,куб!M:M),IF($E157&lt;&gt;0,SUMIF(куб!$E:$E,$E157,куб!M:M),IF($D157&lt;&gt;0,SUMIF(куб!$D:$D,$D157,куб!M:M),IF($C157&lt;&gt;0,SUMIF(куб!$C:$C,$C157,куб!M:M),IF($B157&lt;&gt;0,SUMIF(куб!$B:$B,$B157,куб!M:M))))))</f>
        <v>6110.9999999999991</v>
      </c>
      <c r="V157" s="13">
        <f t="shared" si="56"/>
        <v>8.029255319148934</v>
      </c>
      <c r="W157" s="5"/>
      <c r="X157" s="27">
        <f>IF($G157&lt;&gt;0,SUMIF(куб!$G:$G,$G157,куб!N:N),IF($E157&lt;&gt;0,SUMIF(куб!$E:$E,$E157,куб!N:N),IF($D157&lt;&gt;0,SUMIF(куб!$D:$D,$D157,куб!N:N),IF($C157&lt;&gt;0,SUMIF(куб!$C:$C,$C157,куб!N:N),IF($B157&lt;&gt;0,SUMIF(куб!$B:$B,$B157,куб!N:N))))))</f>
        <v>7021.3573000000179</v>
      </c>
      <c r="Y157" s="27">
        <f>IF($G157&lt;&gt;0,SUMIF(куб!$G:$G,$G157,куб!O:O),IF($E157&lt;&gt;0,SUMIF(куб!$E:$E,$E157,куб!O:O),IF($D157&lt;&gt;0,SUMIF(куб!$D:$D,$D157,куб!O:O),IF($C157&lt;&gt;0,SUMIF(куб!$C:$C,$C157,куб!O:O),IF($B157&lt;&gt;0,SUMIF(куб!$B:$B,$B157,куб!O:O))))))</f>
        <v>42831.357600000279</v>
      </c>
      <c r="Z157" s="13">
        <f t="shared" si="57"/>
        <v>5.1001535415382113</v>
      </c>
      <c r="AA157" s="5"/>
      <c r="AB157" s="33">
        <f t="shared" si="58"/>
        <v>0.1224577402943343</v>
      </c>
      <c r="AC157" s="33">
        <f t="shared" si="59"/>
        <v>7.9748605463181854E-2</v>
      </c>
      <c r="AD157" s="15">
        <f t="shared" si="60"/>
        <v>-4.2709134831152448E-2</v>
      </c>
      <c r="AE157" s="5"/>
      <c r="AF157" s="27">
        <f>IF($G157&lt;&gt;0,SUMIF(куб!$G:$G,$G157,куб!R:R),IF($E157&lt;&gt;0,SUMIF(куб!$E:$E,$E157,куб!R:R),IF($D157&lt;&gt;0,SUMIF(куб!$D:$D,$D157,куб!R:R),IF($C157&lt;&gt;0,SUMIF(куб!$C:$C,$C157,куб!R:R),IF($B157&lt;&gt;0,SUMIF(куб!$B:$B,$B157,куб!R:R))))))</f>
        <v>66.909000000000006</v>
      </c>
      <c r="AG157" s="27">
        <f>IF($G157&lt;&gt;0,SUMIF(куб!$G:$G,$G157,куб!S:S),IF($E157&lt;&gt;0,SUMIF(куб!$E:$E,$E157,куб!S:S),IF($D157&lt;&gt;0,SUMIF(куб!$D:$D,$D157,куб!S:S),IF($C157&lt;&gt;0,SUMIF(куб!$C:$C,$C157,куб!S:S),IF($B157&lt;&gt;0,SUMIF(куб!$B:$B,$B157,куб!S:S))))))</f>
        <v>1596.7175999999997</v>
      </c>
      <c r="AH157" s="16">
        <f t="shared" si="61"/>
        <v>22.864018293503108</v>
      </c>
      <c r="AI157" s="8"/>
      <c r="AJ157" s="27">
        <f>IF($G157&lt;&gt;0,SUMIF(куб!$G:$G,$G157,куб!T:T),IF($E157&lt;&gt;0,SUMIF(куб!$E:$E,$E157,куб!T:T),IF($D157&lt;&gt;0,SUMIF(куб!$D:$D,$D157,куб!T:T),IF($C157&lt;&gt;0,SUMIF(куб!$C:$C,$C157,куб!T:T),IF($B157&lt;&gt;0,SUMIF(куб!$B:$B,$B157,куб!T:T))))))</f>
        <v>1</v>
      </c>
      <c r="AK157" s="27">
        <f>IF($G157&lt;&gt;0,SUMIF(куб!$G:$G,$G157,куб!U:U),IF($E157&lt;&gt;0,SUMIF(куб!$E:$E,$E157,куб!U:U),IF($D157&lt;&gt;0,SUMIF(куб!$D:$D,$D157,куб!U:U),IF($C157&lt;&gt;0,SUMIF(куб!$C:$C,$C157,куб!U:U),IF($B157&lt;&gt;0,SUMIF(куб!$B:$B,$B157,куб!U:U))))))</f>
        <v>22</v>
      </c>
      <c r="AL157" s="16">
        <f t="shared" si="62"/>
        <v>21</v>
      </c>
      <c r="AM157" s="8"/>
      <c r="AN157" s="17">
        <f t="shared" si="63"/>
        <v>1.1669431699984267E-3</v>
      </c>
      <c r="AO157" s="17">
        <f t="shared" si="64"/>
        <v>2.9729620785710923E-3</v>
      </c>
      <c r="AP157" s="16">
        <f t="shared" si="65"/>
        <v>1.8060189085726656E-3</v>
      </c>
      <c r="AQ157" s="8"/>
      <c r="AR157" s="17">
        <f t="shared" si="66"/>
        <v>0.12129079712433588</v>
      </c>
      <c r="AS157" s="17">
        <f t="shared" si="67"/>
        <v>7.6775643384610764E-2</v>
      </c>
      <c r="AT157" s="13">
        <f t="shared" si="68"/>
        <v>-4.4515153739725116E-2</v>
      </c>
      <c r="AU157" s="8"/>
    </row>
    <row r="158" spans="1:47" ht="15" customHeight="1" x14ac:dyDescent="0.25">
      <c r="A158" s="31" t="s">
        <v>26</v>
      </c>
      <c r="B158" s="31" t="s">
        <v>32</v>
      </c>
      <c r="C158" t="s">
        <v>33</v>
      </c>
      <c r="D158" s="31" t="s">
        <v>34</v>
      </c>
      <c r="E158" t="s">
        <v>203</v>
      </c>
      <c r="F158" s="31" t="s">
        <v>340</v>
      </c>
      <c r="G158" t="s">
        <v>341</v>
      </c>
      <c r="H158" s="27">
        <f>IF($G158&lt;&gt;0,SUMIF(куб!$G:$G,$G158,куб!H:H),IF($E158&lt;&gt;0,SUMIF(куб!$E:$E,$E158,куб!H:H),IF($D158&lt;&gt;0,SUMIF(куб!$D:$D,$D158,куб!H:H),IF($C158&lt;&gt;0,SUMIF(куб!$C:$C,$C158,куб!H:H),IF($B158&lt;&gt;0,SUMIF(куб!$B:$B,$B158,куб!H:H),IF($G158&lt;&gt;0,SUMIF(куб!$A:$A,$G158,куб!H:H),SUMIF(куб!$A:$A,$G158,куб!H:H)))))))</f>
        <v>390471.549</v>
      </c>
      <c r="I158" s="27">
        <f>IF($G158&lt;&gt;0,SUMIF(куб!$G:$G,$G158,куб!I:I),IF($E158&lt;&gt;0,SUMIF(куб!$E:$E,$E158,куб!I:I),IF($D158&lt;&gt;0,SUMIF(куб!$D:$D,$D158,куб!I:I),IF($C158&lt;&gt;0,SUMIF(куб!$C:$C,$C158,куб!I:I),IF($B158&lt;&gt;0,SUMIF(куб!$B:$B,$B158,куб!I:I),IF($G158&lt;&gt;0,SUMIF(куб!$A:$A,$G158,куб!I:I),SUMIF(куб!$A:$A,$G158,куб!I:I)))))))</f>
        <v>44227.874199999998</v>
      </c>
      <c r="J158" s="19">
        <f t="shared" si="69"/>
        <v>-0.88673214652061627</v>
      </c>
      <c r="K158" s="8"/>
      <c r="L158" s="17">
        <f t="shared" si="52"/>
        <v>8.1565290718202529E-4</v>
      </c>
      <c r="M158" s="17">
        <f t="shared" si="53"/>
        <v>9.4301568534682769E-5</v>
      </c>
      <c r="N158" s="12">
        <f t="shared" si="54"/>
        <v>-7.2135133864734255E-4</v>
      </c>
      <c r="O158" s="5"/>
      <c r="P158" s="27">
        <f>IF($G158&lt;&gt;0,SUMIF(куб!$G:$G,$G158,куб!J:J),IF($E158&lt;&gt;0,SUMIF(куб!$E:$E,$E158,куб!J:J),IF($D158&lt;&gt;0,SUMIF(куб!$D:$D,$D158,куб!J:J),IF($C158&lt;&gt;0,SUMIF(куб!$C:$C,$C158,куб!J:J),IF($B158&lt;&gt;0,SUMIF(куб!$B:$B,$B158,куб!J:J))))))</f>
        <v>5215</v>
      </c>
      <c r="Q158" s="27">
        <f>IF($G158&lt;&gt;0,SUMIF(куб!$G:$G,$G158,куб!K:K),IF($E158&lt;&gt;0,SUMIF(куб!$E:$E,$E158,куб!K:K),IF($D158&lt;&gt;0,SUMIF(куб!$D:$D,$D158,куб!K:K),IF($C158&lt;&gt;0,SUMIF(куб!$C:$C,$C158,куб!K:K),IF($B158&lt;&gt;0,SUMIF(куб!$B:$B,$B158,куб!K:K))))))</f>
        <v>558</v>
      </c>
      <c r="R158" s="13">
        <f t="shared" si="55"/>
        <v>-0.89300095877277086</v>
      </c>
      <c r="S158" s="5"/>
      <c r="T158" s="27">
        <f>IF($G158&lt;&gt;0,SUMIF(куб!$G:$G,$G158,куб!L:L),IF($E158&lt;&gt;0,SUMIF(куб!$E:$E,$E158,куб!L:L),IF($D158&lt;&gt;0,SUMIF(куб!$D:$D,$D158,куб!L:L),IF($C158&lt;&gt;0,SUMIF(куб!$C:$C,$C158,куб!L:L),IF($B158&lt;&gt;0,SUMIF(куб!$B:$B,$B158,куб!L:L))))))</f>
        <v>4693.4999999999982</v>
      </c>
      <c r="U158" s="27">
        <f>IF($G158&lt;&gt;0,SUMIF(куб!$G:$G,$G158,куб!M:M),IF($E158&lt;&gt;0,SUMIF(куб!$E:$E,$E158,куб!M:M),IF($D158&lt;&gt;0,SUMIF(куб!$D:$D,$D158,куб!M:M),IF($C158&lt;&gt;0,SUMIF(куб!$C:$C,$C158,куб!M:M),IF($B158&lt;&gt;0,SUMIF(куб!$B:$B,$B158,куб!M:M))))))</f>
        <v>502.19999999999987</v>
      </c>
      <c r="V158" s="13">
        <f t="shared" si="56"/>
        <v>-0.89300095877277086</v>
      </c>
      <c r="W158" s="5"/>
      <c r="X158" s="27">
        <f>IF($G158&lt;&gt;0,SUMIF(куб!$G:$G,$G158,куб!N:N),IF($E158&lt;&gt;0,SUMIF(куб!$E:$E,$E158,куб!N:N),IF($D158&lt;&gt;0,SUMIF(куб!$D:$D,$D158,куб!N:N),IF($C158&lt;&gt;0,SUMIF(куб!$C:$C,$C158,куб!N:N),IF($B158&lt;&gt;0,SUMIF(куб!$B:$B,$B158,куб!N:N))))))</f>
        <v>43342.22929999989</v>
      </c>
      <c r="Y158" s="27">
        <f>IF($G158&lt;&gt;0,SUMIF(куб!$G:$G,$G158,куб!O:O),IF($E158&lt;&gt;0,SUMIF(куб!$E:$E,$E158,куб!O:O),IF($D158&lt;&gt;0,SUMIF(куб!$D:$D,$D158,куб!O:O),IF($C158&lt;&gt;0,SUMIF(куб!$C:$C,$C158,куб!O:O),IF($B158&lt;&gt;0,SUMIF(куб!$B:$B,$B158,куб!O:O))))))</f>
        <v>7085.3701999999976</v>
      </c>
      <c r="Z158" s="13">
        <f t="shared" si="57"/>
        <v>-0.83652501695384607</v>
      </c>
      <c r="AA158" s="5"/>
      <c r="AB158" s="33">
        <f t="shared" si="58"/>
        <v>0.11099971153083907</v>
      </c>
      <c r="AC158" s="33">
        <f t="shared" si="59"/>
        <v>0.16020146408031516</v>
      </c>
      <c r="AD158" s="15">
        <f t="shared" si="60"/>
        <v>4.9201752549476091E-2</v>
      </c>
      <c r="AE158" s="5"/>
      <c r="AF158" s="27">
        <f>IF($G158&lt;&gt;0,SUMIF(куб!$G:$G,$G158,куб!R:R),IF($E158&lt;&gt;0,SUMIF(куб!$E:$E,$E158,куб!R:R),IF($D158&lt;&gt;0,SUMIF(куб!$D:$D,$D158,куб!R:R),IF($C158&lt;&gt;0,SUMIF(куб!$C:$C,$C158,куб!R:R),IF($B158&lt;&gt;0,SUMIF(куб!$B:$B,$B158,куб!R:R))))))</f>
        <v>14510.868600000003</v>
      </c>
      <c r="AG158" s="27">
        <f>IF($G158&lt;&gt;0,SUMIF(куб!$G:$G,$G158,куб!S:S),IF($E158&lt;&gt;0,SUMIF(куб!$E:$E,$E158,куб!S:S),IF($D158&lt;&gt;0,SUMIF(куб!$D:$D,$D158,куб!S:S),IF($C158&lt;&gt;0,SUMIF(куб!$C:$C,$C158,куб!S:S),IF($B158&lt;&gt;0,SUMIF(куб!$B:$B,$B158,куб!S:S))))))</f>
        <v>4859.1440000000002</v>
      </c>
      <c r="AH158" s="16">
        <f t="shared" si="61"/>
        <v>-0.66513761967357354</v>
      </c>
      <c r="AI158" s="8"/>
      <c r="AJ158" s="27">
        <f>IF($G158&lt;&gt;0,SUMIF(куб!$G:$G,$G158,куб!T:T),IF($E158&lt;&gt;0,SUMIF(куб!$E:$E,$E158,куб!T:T),IF($D158&lt;&gt;0,SUMIF(куб!$D:$D,$D158,куб!T:T),IF($C158&lt;&gt;0,SUMIF(куб!$C:$C,$C158,куб!T:T),IF($B158&lt;&gt;0,SUMIF(куб!$B:$B,$B158,куб!T:T))))))</f>
        <v>218</v>
      </c>
      <c r="AK158" s="27">
        <f>IF($G158&lt;&gt;0,SUMIF(куб!$G:$G,$G158,куб!U:U),IF($E158&lt;&gt;0,SUMIF(куб!$E:$E,$E158,куб!U:U),IF($D158&lt;&gt;0,SUMIF(куб!$D:$D,$D158,куб!U:U),IF($C158&lt;&gt;0,SUMIF(куб!$C:$C,$C158,куб!U:U),IF($B158&lt;&gt;0,SUMIF(куб!$B:$B,$B158,куб!U:U))))))</f>
        <v>73</v>
      </c>
      <c r="AL158" s="16">
        <f t="shared" si="62"/>
        <v>-0.66513761467889909</v>
      </c>
      <c r="AM158" s="8"/>
      <c r="AN158" s="17">
        <f t="shared" si="63"/>
        <v>3.7162422299812689E-2</v>
      </c>
      <c r="AO158" s="17">
        <f t="shared" si="64"/>
        <v>0.10986609887752644</v>
      </c>
      <c r="AP158" s="16">
        <f t="shared" si="65"/>
        <v>7.2703676577713747E-2</v>
      </c>
      <c r="AQ158" s="8"/>
      <c r="AR158" s="17">
        <f t="shared" si="66"/>
        <v>7.3837289231026379E-2</v>
      </c>
      <c r="AS158" s="17">
        <f t="shared" si="67"/>
        <v>5.033536520278873E-2</v>
      </c>
      <c r="AT158" s="13">
        <f t="shared" si="68"/>
        <v>-2.3501924028237649E-2</v>
      </c>
      <c r="AU158" s="8"/>
    </row>
    <row r="159" spans="1:47" ht="15" customHeight="1" x14ac:dyDescent="0.25">
      <c r="A159" s="31" t="s">
        <v>26</v>
      </c>
      <c r="B159" s="31" t="s">
        <v>32</v>
      </c>
      <c r="C159" t="s">
        <v>33</v>
      </c>
      <c r="D159" s="31" t="s">
        <v>34</v>
      </c>
      <c r="E159" t="s">
        <v>203</v>
      </c>
      <c r="F159" s="31" t="s">
        <v>342</v>
      </c>
      <c r="G159" t="s">
        <v>343</v>
      </c>
      <c r="H159" s="27">
        <f>IF($G159&lt;&gt;0,SUMIF(куб!$G:$G,$G159,куб!H:H),IF($E159&lt;&gt;0,SUMIF(куб!$E:$E,$E159,куб!H:H),IF($D159&lt;&gt;0,SUMIF(куб!$D:$D,$D159,куб!H:H),IF($C159&lt;&gt;0,SUMIF(куб!$C:$C,$C159,куб!H:H),IF($B159&lt;&gt;0,SUMIF(куб!$B:$B,$B159,куб!H:H),IF($G159&lt;&gt;0,SUMIF(куб!$A:$A,$G159,куб!H:H),SUMIF(куб!$A:$A,$G159,куб!H:H)))))))</f>
        <v>777658.73190000025</v>
      </c>
      <c r="I159" s="27">
        <f>IF($G159&lt;&gt;0,SUMIF(куб!$G:$G,$G159,куб!I:I),IF($E159&lt;&gt;0,SUMIF(куб!$E:$E,$E159,куб!I:I),IF($D159&lt;&gt;0,SUMIF(куб!$D:$D,$D159,куб!I:I),IF($C159&lt;&gt;0,SUMIF(куб!$C:$C,$C159,куб!I:I),IF($B159&lt;&gt;0,SUMIF(куб!$B:$B,$B159,куб!I:I),IF($G159&lt;&gt;0,SUMIF(куб!$A:$A,$G159,куб!I:I),SUMIF(куб!$A:$A,$G159,куб!I:I)))))))</f>
        <v>735913.09600000002</v>
      </c>
      <c r="J159" s="19">
        <f t="shared" si="69"/>
        <v>-5.3681176829334862E-2</v>
      </c>
      <c r="K159" s="10"/>
      <c r="L159" s="17">
        <f t="shared" si="52"/>
        <v>1.6244451281896659E-3</v>
      </c>
      <c r="M159" s="17">
        <f t="shared" si="53"/>
        <v>1.5690955198116798E-3</v>
      </c>
      <c r="N159" s="12">
        <f t="shared" si="54"/>
        <v>-5.534960837798612E-5</v>
      </c>
      <c r="O159" s="5"/>
      <c r="P159" s="27">
        <f>IF($G159&lt;&gt;0,SUMIF(куб!$G:$G,$G159,куб!J:J),IF($E159&lt;&gt;0,SUMIF(куб!$E:$E,$E159,куб!J:J),IF($D159&lt;&gt;0,SUMIF(куб!$D:$D,$D159,куб!J:J),IF($C159&lt;&gt;0,SUMIF(куб!$C:$C,$C159,куб!J:J),IF($B159&lt;&gt;0,SUMIF(куб!$B:$B,$B159,куб!J:J))))))</f>
        <v>6746</v>
      </c>
      <c r="Q159" s="27">
        <f>IF($G159&lt;&gt;0,SUMIF(куб!$G:$G,$G159,куб!K:K),IF($E159&lt;&gt;0,SUMIF(куб!$E:$E,$E159,куб!K:K),IF($D159&lt;&gt;0,SUMIF(куб!$D:$D,$D159,куб!K:K),IF($C159&lt;&gt;0,SUMIF(куб!$C:$C,$C159,куб!K:K),IF($B159&lt;&gt;0,SUMIF(куб!$B:$B,$B159,куб!K:K))))))</f>
        <v>6406</v>
      </c>
      <c r="R159" s="13">
        <f t="shared" si="55"/>
        <v>-5.0400237177586717E-2</v>
      </c>
      <c r="S159" s="5"/>
      <c r="T159" s="27">
        <f>IF($G159&lt;&gt;0,SUMIF(куб!$G:$G,$G159,куб!L:L),IF($E159&lt;&gt;0,SUMIF(куб!$E:$E,$E159,куб!L:L),IF($D159&lt;&gt;0,SUMIF(куб!$D:$D,$D159,куб!L:L),IF($C159&lt;&gt;0,SUMIF(куб!$C:$C,$C159,куб!L:L),IF($B159&lt;&gt;0,SUMIF(куб!$B:$B,$B159,куб!L:L))))))</f>
        <v>6071.4000000000015</v>
      </c>
      <c r="U159" s="27">
        <f>IF($G159&lt;&gt;0,SUMIF(куб!$G:$G,$G159,куб!M:M),IF($E159&lt;&gt;0,SUMIF(куб!$E:$E,$E159,куб!M:M),IF($D159&lt;&gt;0,SUMIF(куб!$D:$D,$D159,куб!M:M),IF($C159&lt;&gt;0,SUMIF(куб!$C:$C,$C159,куб!M:M),IF($B159&lt;&gt;0,SUMIF(куб!$B:$B,$B159,куб!M:M))))))</f>
        <v>5765.3999999999978</v>
      </c>
      <c r="V159" s="13">
        <f t="shared" si="56"/>
        <v>-5.0400237177587306E-2</v>
      </c>
      <c r="W159" s="5"/>
      <c r="X159" s="27">
        <f>IF($G159&lt;&gt;0,SUMIF(куб!$G:$G,$G159,куб!N:N),IF($E159&lt;&gt;0,SUMIF(куб!$E:$E,$E159,куб!N:N),IF($D159&lt;&gt;0,SUMIF(куб!$D:$D,$D159,куб!N:N),IF($C159&lt;&gt;0,SUMIF(куб!$C:$C,$C159,куб!N:N),IF($B159&lt;&gt;0,SUMIF(куб!$B:$B,$B159,куб!N:N))))))</f>
        <v>104392.36830000044</v>
      </c>
      <c r="Y159" s="27">
        <f>IF($G159&lt;&gt;0,SUMIF(куб!$G:$G,$G159,куб!O:O),IF($E159&lt;&gt;0,SUMIF(куб!$E:$E,$E159,куб!O:O),IF($D159&lt;&gt;0,SUMIF(куб!$D:$D,$D159,куб!O:O),IF($C159&lt;&gt;0,SUMIF(куб!$C:$C,$C159,куб!O:O),IF($B159&lt;&gt;0,SUMIF(куб!$B:$B,$B159,куб!O:O))))))</f>
        <v>94102.971599999815</v>
      </c>
      <c r="Z159" s="13">
        <f t="shared" si="57"/>
        <v>-9.8564644787358269E-2</v>
      </c>
      <c r="AA159" s="5"/>
      <c r="AB159" s="33">
        <f t="shared" si="58"/>
        <v>0.13423930577484255</v>
      </c>
      <c r="AC159" s="33">
        <f t="shared" si="59"/>
        <v>0.12787239704183742</v>
      </c>
      <c r="AD159" s="15">
        <f t="shared" si="60"/>
        <v>-6.3669087330051333E-3</v>
      </c>
      <c r="AE159" s="5"/>
      <c r="AF159" s="27">
        <f>IF($G159&lt;&gt;0,SUMIF(куб!$G:$G,$G159,куб!R:R),IF($E159&lt;&gt;0,SUMIF(куб!$E:$E,$E159,куб!R:R),IF($D159&lt;&gt;0,SUMIF(куб!$D:$D,$D159,куб!R:R),IF($C159&lt;&gt;0,SUMIF(куб!$C:$C,$C159,куб!R:R),IF($B159&lt;&gt;0,SUMIF(куб!$B:$B,$B159,куб!R:R))))))</f>
        <v>6087.800000000002</v>
      </c>
      <c r="AG159" s="27">
        <f>IF($G159&lt;&gt;0,SUMIF(куб!$G:$G,$G159,куб!S:S),IF($E159&lt;&gt;0,SUMIF(куб!$E:$E,$E159,куб!S:S),IF($D159&lt;&gt;0,SUMIF(куб!$D:$D,$D159,куб!S:S),IF($C159&lt;&gt;0,SUMIF(куб!$C:$C,$C159,куб!S:S),IF($B159&lt;&gt;0,SUMIF(куб!$B:$B,$B159,куб!S:S))))))</f>
        <v>7368.6449000000011</v>
      </c>
      <c r="AH159" s="16">
        <f t="shared" si="61"/>
        <v>0.21039536449949056</v>
      </c>
      <c r="AI159" s="8"/>
      <c r="AJ159" s="27">
        <f>IF($G159&lt;&gt;0,SUMIF(куб!$G:$G,$G159,куб!T:T),IF($E159&lt;&gt;0,SUMIF(куб!$E:$E,$E159,куб!T:T),IF($D159&lt;&gt;0,SUMIF(куб!$D:$D,$D159,куб!T:T),IF($C159&lt;&gt;0,SUMIF(куб!$C:$C,$C159,куб!T:T),IF($B159&lt;&gt;0,SUMIF(куб!$B:$B,$B159,куб!T:T))))))</f>
        <v>61</v>
      </c>
      <c r="AK159" s="27">
        <f>IF($G159&lt;&gt;0,SUMIF(куб!$G:$G,$G159,куб!U:U),IF($E159&lt;&gt;0,SUMIF(куб!$E:$E,$E159,куб!U:U),IF($D159&lt;&gt;0,SUMIF(куб!$D:$D,$D159,куб!U:U),IF($C159&lt;&gt;0,SUMIF(куб!$C:$C,$C159,куб!U:U),IF($B159&lt;&gt;0,SUMIF(куб!$B:$B,$B159,куб!U:U))))))</f>
        <v>71</v>
      </c>
      <c r="AL159" s="16">
        <f t="shared" si="62"/>
        <v>0.16393442622950818</v>
      </c>
      <c r="AM159" s="8"/>
      <c r="AN159" s="17">
        <f t="shared" si="63"/>
        <v>7.8283696308869295E-3</v>
      </c>
      <c r="AO159" s="17">
        <f t="shared" si="64"/>
        <v>1.0012928075409601E-2</v>
      </c>
      <c r="AP159" s="16">
        <f t="shared" si="65"/>
        <v>2.1845584445226718E-3</v>
      </c>
      <c r="AQ159" s="8"/>
      <c r="AR159" s="17">
        <f t="shared" si="66"/>
        <v>0.12641093614395563</v>
      </c>
      <c r="AS159" s="17">
        <f t="shared" si="67"/>
        <v>0.11785946896642782</v>
      </c>
      <c r="AT159" s="13">
        <f t="shared" si="68"/>
        <v>-8.5514671775278051E-3</v>
      </c>
      <c r="AU159" s="8"/>
    </row>
    <row r="160" spans="1:47" ht="15" customHeight="1" x14ac:dyDescent="0.25">
      <c r="A160" s="31" t="s">
        <v>26</v>
      </c>
      <c r="B160" s="31" t="s">
        <v>32</v>
      </c>
      <c r="C160" t="s">
        <v>33</v>
      </c>
      <c r="D160" s="31" t="s">
        <v>34</v>
      </c>
      <c r="E160" t="s">
        <v>203</v>
      </c>
      <c r="F160" s="31" t="s">
        <v>344</v>
      </c>
      <c r="G160" t="s">
        <v>345</v>
      </c>
      <c r="H160" s="27">
        <f>IF($G160&lt;&gt;0,SUMIF(куб!$G:$G,$G160,куб!H:H),IF($E160&lt;&gt;0,SUMIF(куб!$E:$E,$E160,куб!H:H),IF($D160&lt;&gt;0,SUMIF(куб!$D:$D,$D160,куб!H:H),IF($C160&lt;&gt;0,SUMIF(куб!$C:$C,$C160,куб!H:H),IF($B160&lt;&gt;0,SUMIF(куб!$B:$B,$B160,куб!H:H),IF($G160&lt;&gt;0,SUMIF(куб!$A:$A,$G160,куб!H:H),SUMIF(куб!$A:$A,$G160,куб!H:H)))))))</f>
        <v>263160.68189999997</v>
      </c>
      <c r="I160" s="27">
        <f>IF($G160&lt;&gt;0,SUMIF(куб!$G:$G,$G160,куб!I:I),IF($E160&lt;&gt;0,SUMIF(куб!$E:$E,$E160,куб!I:I),IF($D160&lt;&gt;0,SUMIF(куб!$D:$D,$D160,куб!I:I),IF($C160&lt;&gt;0,SUMIF(куб!$C:$C,$C160,куб!I:I),IF($B160&lt;&gt;0,SUMIF(куб!$B:$B,$B160,куб!I:I),IF($G160&lt;&gt;0,SUMIF(куб!$A:$A,$G160,куб!I:I),SUMIF(куб!$A:$A,$G160,куб!I:I)))))))</f>
        <v>273074.39789999998</v>
      </c>
      <c r="J160" s="19">
        <f t="shared" si="69"/>
        <v>3.7671721810506591E-2</v>
      </c>
      <c r="K160" s="5"/>
      <c r="L160" s="17">
        <f t="shared" si="52"/>
        <v>5.4971425139028291E-4</v>
      </c>
      <c r="M160" s="17">
        <f t="shared" si="53"/>
        <v>5.822424096664832E-4</v>
      </c>
      <c r="N160" s="12">
        <f t="shared" si="54"/>
        <v>3.252815827620029E-5</v>
      </c>
      <c r="O160" s="5"/>
      <c r="P160" s="27">
        <f>IF($G160&lt;&gt;0,SUMIF(куб!$G:$G,$G160,куб!J:J),IF($E160&lt;&gt;0,SUMIF(куб!$E:$E,$E160,куб!J:J),IF($D160&lt;&gt;0,SUMIF(куб!$D:$D,$D160,куб!J:J),IF($C160&lt;&gt;0,SUMIF(куб!$C:$C,$C160,куб!J:J),IF($B160&lt;&gt;0,SUMIF(куб!$B:$B,$B160,куб!J:J))))))</f>
        <v>5209</v>
      </c>
      <c r="Q160" s="27">
        <f>IF($G160&lt;&gt;0,SUMIF(куб!$G:$G,$G160,куб!K:K),IF($E160&lt;&gt;0,SUMIF(куб!$E:$E,$E160,куб!K:K),IF($D160&lt;&gt;0,SUMIF(куб!$D:$D,$D160,куб!K:K),IF($C160&lt;&gt;0,SUMIF(куб!$C:$C,$C160,куб!K:K),IF($B160&lt;&gt;0,SUMIF(куб!$B:$B,$B160,куб!K:K))))))</f>
        <v>4869</v>
      </c>
      <c r="R160" s="13">
        <f t="shared" si="55"/>
        <v>-6.5271645229410633E-2</v>
      </c>
      <c r="S160" s="5"/>
      <c r="T160" s="27">
        <f>IF($G160&lt;&gt;0,SUMIF(куб!$G:$G,$G160,куб!L:L),IF($E160&lt;&gt;0,SUMIF(куб!$E:$E,$E160,куб!L:L),IF($D160&lt;&gt;0,SUMIF(куб!$D:$D,$D160,куб!L:L),IF($C160&lt;&gt;0,SUMIF(куб!$C:$C,$C160,куб!L:L),IF($B160&lt;&gt;0,SUMIF(куб!$B:$B,$B160,куб!L:L))))))</f>
        <v>4688.1000000000004</v>
      </c>
      <c r="U160" s="27">
        <f>IF($G160&lt;&gt;0,SUMIF(куб!$G:$G,$G160,куб!M:M),IF($E160&lt;&gt;0,SUMIF(куб!$E:$E,$E160,куб!M:M),IF($D160&lt;&gt;0,SUMIF(куб!$D:$D,$D160,куб!M:M),IF($C160&lt;&gt;0,SUMIF(куб!$C:$C,$C160,куб!M:M),IF($B160&lt;&gt;0,SUMIF(куб!$B:$B,$B160,куб!M:M))))))</f>
        <v>4382.0999999999995</v>
      </c>
      <c r="V160" s="13">
        <f t="shared" si="56"/>
        <v>-6.5271645229410827E-2</v>
      </c>
      <c r="W160" s="5"/>
      <c r="X160" s="27">
        <f>IF($G160&lt;&gt;0,SUMIF(куб!$G:$G,$G160,куб!N:N),IF($E160&lt;&gt;0,SUMIF(куб!$E:$E,$E160,куб!N:N),IF($D160&lt;&gt;0,SUMIF(куб!$D:$D,$D160,куб!N:N),IF($C160&lt;&gt;0,SUMIF(куб!$C:$C,$C160,куб!N:N),IF($B160&lt;&gt;0,SUMIF(куб!$B:$B,$B160,куб!N:N))))))</f>
        <v>34235.207199999946</v>
      </c>
      <c r="Y160" s="27">
        <f>IF($G160&lt;&gt;0,SUMIF(куб!$G:$G,$G160,куб!O:O),IF($E160&lt;&gt;0,SUMIF(куб!$E:$E,$E160,куб!O:O),IF($D160&lt;&gt;0,SUMIF(куб!$D:$D,$D160,куб!O:O),IF($C160&lt;&gt;0,SUMIF(куб!$C:$C,$C160,куб!O:O),IF($B160&lt;&gt;0,SUMIF(куб!$B:$B,$B160,куб!O:O))))))</f>
        <v>39832.552499999932</v>
      </c>
      <c r="Z160" s="13">
        <f t="shared" si="57"/>
        <v>0.16349675546873849</v>
      </c>
      <c r="AA160" s="5"/>
      <c r="AB160" s="33">
        <f t="shared" si="58"/>
        <v>0.13009240952267023</v>
      </c>
      <c r="AC160" s="33">
        <f t="shared" si="59"/>
        <v>0.14586703406222154</v>
      </c>
      <c r="AD160" s="15">
        <f t="shared" si="60"/>
        <v>1.5774624539551307E-2</v>
      </c>
      <c r="AE160" s="5"/>
      <c r="AF160" s="27">
        <f>IF($G160&lt;&gt;0,SUMIF(куб!$G:$G,$G160,куб!R:R),IF($E160&lt;&gt;0,SUMIF(куб!$E:$E,$E160,куб!R:R),IF($D160&lt;&gt;0,SUMIF(куб!$D:$D,$D160,куб!R:R),IF($C160&lt;&gt;0,SUMIF(куб!$C:$C,$C160,куб!R:R),IF($B160&lt;&gt;0,SUMIF(куб!$B:$B,$B160,куб!R:R))))))</f>
        <v>4570.3252999999995</v>
      </c>
      <c r="AG160" s="27">
        <f>IF($G160&lt;&gt;0,SUMIF(куб!$G:$G,$G160,куб!S:S),IF($E160&lt;&gt;0,SUMIF(куб!$E:$E,$E160,куб!S:S),IF($D160&lt;&gt;0,SUMIF(куб!$D:$D,$D160,куб!S:S),IF($C160&lt;&gt;0,SUMIF(куб!$C:$C,$C160,куб!S:S),IF($B160&lt;&gt;0,SUMIF(куб!$B:$B,$B160,куб!S:S))))))</f>
        <v>10921.199999999999</v>
      </c>
      <c r="AH160" s="16">
        <f t="shared" si="61"/>
        <v>1.3895892049522165</v>
      </c>
      <c r="AI160" s="8"/>
      <c r="AJ160" s="27">
        <f>IF($G160&lt;&gt;0,SUMIF(куб!$G:$G,$G160,куб!T:T),IF($E160&lt;&gt;0,SUMIF(куб!$E:$E,$E160,куб!T:T),IF($D160&lt;&gt;0,SUMIF(куб!$D:$D,$D160,куб!T:T),IF($C160&lt;&gt;0,SUMIF(куб!$C:$C,$C160,куб!T:T),IF($B160&lt;&gt;0,SUMIF(куб!$B:$B,$B160,куб!T:T))))))</f>
        <v>104</v>
      </c>
      <c r="AK160" s="27">
        <f>IF($G160&lt;&gt;0,SUMIF(куб!$G:$G,$G160,куб!U:U),IF($E160&lt;&gt;0,SUMIF(куб!$E:$E,$E160,куб!U:U),IF($D160&lt;&gt;0,SUMIF(куб!$D:$D,$D160,куб!U:U),IF($C160&lt;&gt;0,SUMIF(куб!$C:$C,$C160,куб!U:U),IF($B160&lt;&gt;0,SUMIF(куб!$B:$B,$B160,куб!U:U))))))</f>
        <v>228</v>
      </c>
      <c r="AL160" s="16">
        <f t="shared" si="62"/>
        <v>1.1923076923076923</v>
      </c>
      <c r="AM160" s="8"/>
      <c r="AN160" s="17">
        <f t="shared" si="63"/>
        <v>1.7367052201729381E-2</v>
      </c>
      <c r="AO160" s="17">
        <f t="shared" si="64"/>
        <v>3.9993496585495905E-2</v>
      </c>
      <c r="AP160" s="16">
        <f t="shared" si="65"/>
        <v>2.2626444383766525E-2</v>
      </c>
      <c r="AQ160" s="8"/>
      <c r="AR160" s="17">
        <f t="shared" si="66"/>
        <v>0.11272535732094084</v>
      </c>
      <c r="AS160" s="17">
        <f t="shared" si="67"/>
        <v>0.10587353747672563</v>
      </c>
      <c r="AT160" s="13">
        <f t="shared" si="68"/>
        <v>-6.8518198442152067E-3</v>
      </c>
      <c r="AU160" s="8"/>
    </row>
    <row r="161" spans="1:47" ht="15" customHeight="1" x14ac:dyDescent="0.25">
      <c r="A161" s="31" t="s">
        <v>26</v>
      </c>
      <c r="B161" s="31" t="s">
        <v>32</v>
      </c>
      <c r="C161" t="s">
        <v>33</v>
      </c>
      <c r="D161" s="31" t="s">
        <v>34</v>
      </c>
      <c r="E161" t="s">
        <v>203</v>
      </c>
      <c r="F161" s="31" t="s">
        <v>346</v>
      </c>
      <c r="G161" t="s">
        <v>347</v>
      </c>
      <c r="H161" s="27">
        <f>IF($G161&lt;&gt;0,SUMIF(куб!$G:$G,$G161,куб!H:H),IF($E161&lt;&gt;0,SUMIF(куб!$E:$E,$E161,куб!H:H),IF($D161&lt;&gt;0,SUMIF(куб!$D:$D,$D161,куб!H:H),IF($C161&lt;&gt;0,SUMIF(куб!$C:$C,$C161,куб!H:H),IF($B161&lt;&gt;0,SUMIF(куб!$B:$B,$B161,куб!H:H),IF($G161&lt;&gt;0,SUMIF(куб!$A:$A,$G161,куб!H:H),SUMIF(куб!$A:$A,$G161,куб!H:H)))))))</f>
        <v>0</v>
      </c>
      <c r="I161" s="27">
        <f>IF($G161&lt;&gt;0,SUMIF(куб!$G:$G,$G161,куб!I:I),IF($E161&lt;&gt;0,SUMIF(куб!$E:$E,$E161,куб!I:I),IF($D161&lt;&gt;0,SUMIF(куб!$D:$D,$D161,куб!I:I),IF($C161&lt;&gt;0,SUMIF(куб!$C:$C,$C161,куб!I:I),IF($B161&lt;&gt;0,SUMIF(куб!$B:$B,$B161,куб!I:I),IF($G161&lt;&gt;0,SUMIF(куб!$A:$A,$G161,куб!I:I),SUMIF(куб!$A:$A,$G161,куб!I:I)))))))</f>
        <v>122304.85209999996</v>
      </c>
      <c r="J161" s="19" t="str">
        <f t="shared" si="69"/>
        <v>-</v>
      </c>
      <c r="K161" s="5"/>
      <c r="L161" s="17">
        <f t="shared" si="52"/>
        <v>0</v>
      </c>
      <c r="M161" s="17">
        <f t="shared" si="53"/>
        <v>2.6077535041085889E-4</v>
      </c>
      <c r="N161" s="12">
        <f t="shared" si="54"/>
        <v>2.6077535041085889E-4</v>
      </c>
      <c r="O161" s="5"/>
      <c r="P161" s="27">
        <f>IF($G161&lt;&gt;0,SUMIF(куб!$G:$G,$G161,куб!J:J),IF($E161&lt;&gt;0,SUMIF(куб!$E:$E,$E161,куб!J:J),IF($D161&lt;&gt;0,SUMIF(куб!$D:$D,$D161,куб!J:J),IF($C161&lt;&gt;0,SUMIF(куб!$C:$C,$C161,куб!J:J),IF($B161&lt;&gt;0,SUMIF(куб!$B:$B,$B161,куб!J:J))))))</f>
        <v>0</v>
      </c>
      <c r="Q161" s="27">
        <f>IF($G161&lt;&gt;0,SUMIF(куб!$G:$G,$G161,куб!K:K),IF($E161&lt;&gt;0,SUMIF(куб!$E:$E,$E161,куб!K:K),IF($D161&lt;&gt;0,SUMIF(куб!$D:$D,$D161,куб!K:K),IF($C161&lt;&gt;0,SUMIF(куб!$C:$C,$C161,куб!K:K),IF($B161&lt;&gt;0,SUMIF(куб!$B:$B,$B161,куб!K:K))))))</f>
        <v>1898</v>
      </c>
      <c r="R161" s="13" t="str">
        <f t="shared" si="55"/>
        <v>-</v>
      </c>
      <c r="S161" s="5"/>
      <c r="T161" s="27">
        <f>IF($G161&lt;&gt;0,SUMIF(куб!$G:$G,$G161,куб!L:L),IF($E161&lt;&gt;0,SUMIF(куб!$E:$E,$E161,куб!L:L),IF($D161&lt;&gt;0,SUMIF(куб!$D:$D,$D161,куб!L:L),IF($C161&lt;&gt;0,SUMIF(куб!$C:$C,$C161,куб!L:L),IF($B161&lt;&gt;0,SUMIF(куб!$B:$B,$B161,куб!L:L))))))</f>
        <v>0</v>
      </c>
      <c r="U161" s="27">
        <f>IF($G161&lt;&gt;0,SUMIF(куб!$G:$G,$G161,куб!M:M),IF($E161&lt;&gt;0,SUMIF(куб!$E:$E,$E161,куб!M:M),IF($D161&lt;&gt;0,SUMIF(куб!$D:$D,$D161,куб!M:M),IF($C161&lt;&gt;0,SUMIF(куб!$C:$C,$C161,куб!M:M),IF($B161&lt;&gt;0,SUMIF(куб!$B:$B,$B161,куб!M:M))))))</f>
        <v>1708.2</v>
      </c>
      <c r="V161" s="13" t="str">
        <f t="shared" si="56"/>
        <v>-</v>
      </c>
      <c r="W161" s="5"/>
      <c r="X161" s="27">
        <f>IF($G161&lt;&gt;0,SUMIF(куб!$G:$G,$G161,куб!N:N),IF($E161&lt;&gt;0,SUMIF(куб!$E:$E,$E161,куб!N:N),IF($D161&lt;&gt;0,SUMIF(куб!$D:$D,$D161,куб!N:N),IF($C161&lt;&gt;0,SUMIF(куб!$C:$C,$C161,куб!N:N),IF($B161&lt;&gt;0,SUMIF(куб!$B:$B,$B161,куб!N:N))))))</f>
        <v>0</v>
      </c>
      <c r="Y161" s="27">
        <f>IF($G161&lt;&gt;0,SUMIF(куб!$G:$G,$G161,куб!O:O),IF($E161&lt;&gt;0,SUMIF(куб!$E:$E,$E161,куб!O:O),IF($D161&lt;&gt;0,SUMIF(куб!$D:$D,$D161,куб!O:O),IF($C161&lt;&gt;0,SUMIF(куб!$C:$C,$C161,куб!O:O),IF($B161&lt;&gt;0,SUMIF(куб!$B:$B,$B161,куб!O:O))))))</f>
        <v>5681.3985999999568</v>
      </c>
      <c r="Z161" s="13" t="str">
        <f t="shared" si="57"/>
        <v>-</v>
      </c>
      <c r="AA161" s="5"/>
      <c r="AB161" s="33" t="str">
        <f t="shared" si="58"/>
        <v/>
      </c>
      <c r="AC161" s="33">
        <f t="shared" si="59"/>
        <v>4.6452765384603731E-2</v>
      </c>
      <c r="AD161" s="15" t="str">
        <f t="shared" si="60"/>
        <v xml:space="preserve"> </v>
      </c>
      <c r="AE161" s="5"/>
      <c r="AF161" s="27">
        <f>IF($G161&lt;&gt;0,SUMIF(куб!$G:$G,$G161,куб!R:R),IF($E161&lt;&gt;0,SUMIF(куб!$E:$E,$E161,куб!R:R),IF($D161&lt;&gt;0,SUMIF(куб!$D:$D,$D161,куб!R:R),IF($C161&lt;&gt;0,SUMIF(куб!$C:$C,$C161,куб!R:R),IF($B161&lt;&gt;0,SUMIF(куб!$B:$B,$B161,куб!R:R))))))</f>
        <v>0</v>
      </c>
      <c r="AG161" s="27">
        <f>IF($G161&lt;&gt;0,SUMIF(куб!$G:$G,$G161,куб!S:S),IF($E161&lt;&gt;0,SUMIF(куб!$E:$E,$E161,куб!S:S),IF($D161&lt;&gt;0,SUMIF(куб!$D:$D,$D161,куб!S:S),IF($C161&lt;&gt;0,SUMIF(куб!$C:$C,$C161,куб!S:S),IF($B161&lt;&gt;0,SUMIF(куб!$B:$B,$B161,куб!S:S))))))</f>
        <v>983.1268</v>
      </c>
      <c r="AH161" s="16" t="str">
        <f t="shared" si="61"/>
        <v>-</v>
      </c>
      <c r="AI161" s="8"/>
      <c r="AJ161" s="27">
        <f>IF($G161&lt;&gt;0,SUMIF(куб!$G:$G,$G161,куб!T:T),IF($E161&lt;&gt;0,SUMIF(куб!$E:$E,$E161,куб!T:T),IF($D161&lt;&gt;0,SUMIF(куб!$D:$D,$D161,куб!T:T),IF($C161&lt;&gt;0,SUMIF(куб!$C:$C,$C161,куб!T:T),IF($B161&lt;&gt;0,SUMIF(куб!$B:$B,$B161,куб!T:T))))))</f>
        <v>0</v>
      </c>
      <c r="AK161" s="27">
        <f>IF($G161&lt;&gt;0,SUMIF(куб!$G:$G,$G161,куб!U:U),IF($E161&lt;&gt;0,SUMIF(куб!$E:$E,$E161,куб!U:U),IF($D161&lt;&gt;0,SUMIF(куб!$D:$D,$D161,куб!U:U),IF($C161&lt;&gt;0,SUMIF(куб!$C:$C,$C161,куб!U:U),IF($B161&lt;&gt;0,SUMIF(куб!$B:$B,$B161,куб!U:U))))))</f>
        <v>16</v>
      </c>
      <c r="AL161" s="16" t="str">
        <f t="shared" si="62"/>
        <v>-</v>
      </c>
      <c r="AM161" s="8"/>
      <c r="AN161" s="17" t="str">
        <f t="shared" si="63"/>
        <v xml:space="preserve"> </v>
      </c>
      <c r="AO161" s="17">
        <f t="shared" si="64"/>
        <v>8.0383303124897058E-3</v>
      </c>
      <c r="AP161" s="16" t="str">
        <f t="shared" si="65"/>
        <v>-</v>
      </c>
      <c r="AQ161" s="8"/>
      <c r="AR161" s="17" t="str">
        <f t="shared" si="66"/>
        <v>-</v>
      </c>
      <c r="AS161" s="17">
        <f t="shared" si="67"/>
        <v>3.841443507211402E-2</v>
      </c>
      <c r="AT161" s="13" t="str">
        <f t="shared" si="68"/>
        <v>-</v>
      </c>
      <c r="AU161" s="8"/>
    </row>
    <row r="162" spans="1:47" ht="15" customHeight="1" x14ac:dyDescent="0.25">
      <c r="A162" s="31" t="s">
        <v>26</v>
      </c>
      <c r="B162" s="31" t="s">
        <v>32</v>
      </c>
      <c r="C162" t="s">
        <v>33</v>
      </c>
      <c r="D162" s="31" t="s">
        <v>34</v>
      </c>
      <c r="E162" t="s">
        <v>203</v>
      </c>
      <c r="F162" s="31" t="s">
        <v>348</v>
      </c>
      <c r="G162" t="s">
        <v>349</v>
      </c>
      <c r="H162" s="27">
        <f>IF($G162&lt;&gt;0,SUMIF(куб!$G:$G,$G162,куб!H:H),IF($E162&lt;&gt;0,SUMIF(куб!$E:$E,$E162,куб!H:H),IF($D162&lt;&gt;0,SUMIF(куб!$D:$D,$D162,куб!H:H),IF($C162&lt;&gt;0,SUMIF(куб!$C:$C,$C162,куб!H:H),IF($B162&lt;&gt;0,SUMIF(куб!$B:$B,$B162,куб!H:H),IF($G162&lt;&gt;0,SUMIF(куб!$A:$A,$G162,куб!H:H),SUMIF(куб!$A:$A,$G162,куб!H:H)))))))</f>
        <v>20311639.668699946</v>
      </c>
      <c r="I162" s="27">
        <f>IF($G162&lt;&gt;0,SUMIF(куб!$G:$G,$G162,куб!I:I),IF($E162&lt;&gt;0,SUMIF(куб!$E:$E,$E162,куб!I:I),IF($D162&lt;&gt;0,SUMIF(куб!$D:$D,$D162,куб!I:I),IF($C162&lt;&gt;0,SUMIF(куб!$C:$C,$C162,куб!I:I),IF($B162&lt;&gt;0,SUMIF(куб!$B:$B,$B162,куб!I:I),IF($G162&lt;&gt;0,SUMIF(куб!$A:$A,$G162,куб!I:I),SUMIF(куб!$A:$A,$G162,куб!I:I)))))))</f>
        <v>29568079.849099949</v>
      </c>
      <c r="J162" s="19">
        <f t="shared" si="69"/>
        <v>0.45572097237743409</v>
      </c>
      <c r="K162" s="8"/>
      <c r="L162" s="17">
        <f t="shared" si="52"/>
        <v>4.2428822247965778E-2</v>
      </c>
      <c r="M162" s="17">
        <f t="shared" si="53"/>
        <v>6.3044321228734782E-2</v>
      </c>
      <c r="N162" s="12">
        <f t="shared" si="54"/>
        <v>2.0615498980769004E-2</v>
      </c>
      <c r="O162" s="5"/>
      <c r="P162" s="27">
        <f>IF($G162&lt;&gt;0,SUMIF(куб!$G:$G,$G162,куб!J:J),IF($E162&lt;&gt;0,SUMIF(куб!$E:$E,$E162,куб!J:J),IF($D162&lt;&gt;0,SUMIF(куб!$D:$D,$D162,куб!J:J),IF($C162&lt;&gt;0,SUMIF(куб!$C:$C,$C162,куб!J:J),IF($B162&lt;&gt;0,SUMIF(куб!$B:$B,$B162,куб!J:J))))))</f>
        <v>153384</v>
      </c>
      <c r="Q162" s="27">
        <f>IF($G162&lt;&gt;0,SUMIF(куб!$G:$G,$G162,куб!K:K),IF($E162&lt;&gt;0,SUMIF(куб!$E:$E,$E162,куб!K:K),IF($D162&lt;&gt;0,SUMIF(куб!$D:$D,$D162,куб!K:K),IF($C162&lt;&gt;0,SUMIF(куб!$C:$C,$C162,куб!K:K),IF($B162&lt;&gt;0,SUMIF(куб!$B:$B,$B162,куб!K:K))))))</f>
        <v>206937</v>
      </c>
      <c r="R162" s="13">
        <f t="shared" si="55"/>
        <v>0.34914332655296509</v>
      </c>
      <c r="S162" s="5"/>
      <c r="T162" s="27">
        <f>IF($G162&lt;&gt;0,SUMIF(куб!$G:$G,$G162,куб!L:L),IF($E162&lt;&gt;0,SUMIF(куб!$E:$E,$E162,куб!L:L),IF($D162&lt;&gt;0,SUMIF(куб!$D:$D,$D162,куб!L:L),IF($C162&lt;&gt;0,SUMIF(куб!$C:$C,$C162,куб!L:L),IF($B162&lt;&gt;0,SUMIF(куб!$B:$B,$B162,куб!L:L))))))</f>
        <v>260752.8</v>
      </c>
      <c r="U162" s="27">
        <f>IF($G162&lt;&gt;0,SUMIF(куб!$G:$G,$G162,куб!M:M),IF($E162&lt;&gt;0,SUMIF(куб!$E:$E,$E162,куб!M:M),IF($D162&lt;&gt;0,SUMIF(куб!$D:$D,$D162,куб!M:M),IF($C162&lt;&gt;0,SUMIF(куб!$C:$C,$C162,куб!M:M),IF($B162&lt;&gt;0,SUMIF(куб!$B:$B,$B162,куб!M:M))))))</f>
        <v>362139.75</v>
      </c>
      <c r="V162" s="13">
        <f t="shared" si="56"/>
        <v>0.38882401262805238</v>
      </c>
      <c r="W162" s="5"/>
      <c r="X162" s="27">
        <f>IF($G162&lt;&gt;0,SUMIF(куб!$G:$G,$G162,куб!N:N),IF($E162&lt;&gt;0,SUMIF(куб!$E:$E,$E162,куб!N:N),IF($D162&lt;&gt;0,SUMIF(куб!$D:$D,$D162,куб!N:N),IF($C162&lt;&gt;0,SUMIF(куб!$C:$C,$C162,куб!N:N),IF($B162&lt;&gt;0,SUMIF(куб!$B:$B,$B162,куб!N:N))))))</f>
        <v>1742421.3527000211</v>
      </c>
      <c r="Y162" s="27">
        <f>IF($G162&lt;&gt;0,SUMIF(куб!$G:$G,$G162,куб!O:O),IF($E162&lt;&gt;0,SUMIF(куб!$E:$E,$E162,куб!O:O),IF($D162&lt;&gt;0,SUMIF(куб!$D:$D,$D162,куб!O:O),IF($C162&lt;&gt;0,SUMIF(куб!$C:$C,$C162,куб!O:O),IF($B162&lt;&gt;0,SUMIF(куб!$B:$B,$B162,куб!O:O))))))</f>
        <v>2269751.5272999965</v>
      </c>
      <c r="Z162" s="13">
        <f t="shared" si="57"/>
        <v>0.3026421673396249</v>
      </c>
      <c r="AA162" s="5"/>
      <c r="AB162" s="33">
        <f t="shared" si="58"/>
        <v>8.5784376895237893E-2</v>
      </c>
      <c r="AC162" s="33">
        <f t="shared" si="59"/>
        <v>7.6763575412526749E-2</v>
      </c>
      <c r="AD162" s="15">
        <f t="shared" si="60"/>
        <v>-9.0208014827111438E-3</v>
      </c>
      <c r="AE162" s="5"/>
      <c r="AF162" s="27">
        <f>IF($G162&lt;&gt;0,SUMIF(куб!$G:$G,$G162,куб!R:R),IF($E162&lt;&gt;0,SUMIF(куб!$E:$E,$E162,куб!R:R),IF($D162&lt;&gt;0,SUMIF(куб!$D:$D,$D162,куб!R:R),IF($C162&lt;&gt;0,SUMIF(куб!$C:$C,$C162,куб!R:R),IF($B162&lt;&gt;0,SUMIF(куб!$B:$B,$B162,куб!R:R))))))</f>
        <v>81583.614999999991</v>
      </c>
      <c r="AG162" s="27">
        <f>IF($G162&lt;&gt;0,SUMIF(куб!$G:$G,$G162,куб!S:S),IF($E162&lt;&gt;0,SUMIF(куб!$E:$E,$E162,куб!S:S),IF($D162&lt;&gt;0,SUMIF(куб!$D:$D,$D162,куб!S:S),IF($C162&lt;&gt;0,SUMIF(куб!$C:$C,$C162,куб!S:S),IF($B162&lt;&gt;0,SUMIF(куб!$B:$B,$B162,куб!S:S))))))</f>
        <v>44869.406099999993</v>
      </c>
      <c r="AH162" s="16">
        <f t="shared" si="61"/>
        <v>-0.45001939298718258</v>
      </c>
      <c r="AI162" s="8"/>
      <c r="AJ162" s="27">
        <f>IF($G162&lt;&gt;0,SUMIF(куб!$G:$G,$G162,куб!T:T),IF($E162&lt;&gt;0,SUMIF(куб!$E:$E,$E162,куб!T:T),IF($D162&lt;&gt;0,SUMIF(куб!$D:$D,$D162,куб!T:T),IF($C162&lt;&gt;0,SUMIF(куб!$C:$C,$C162,куб!T:T),IF($B162&lt;&gt;0,SUMIF(куб!$B:$B,$B162,куб!T:T))))))</f>
        <v>673</v>
      </c>
      <c r="AK162" s="27">
        <f>IF($G162&lt;&gt;0,SUMIF(куб!$G:$G,$G162,куб!U:U),IF($E162&lt;&gt;0,SUMIF(куб!$E:$E,$E162,куб!U:U),IF($D162&lt;&gt;0,SUMIF(куб!$D:$D,$D162,куб!U:U),IF($C162&lt;&gt;0,SUMIF(куб!$C:$C,$C162,куб!U:U),IF($B162&lt;&gt;0,SUMIF(куб!$B:$B,$B162,куб!U:U))))))</f>
        <v>340</v>
      </c>
      <c r="AL162" s="16">
        <f t="shared" si="62"/>
        <v>-0.4947994056463596</v>
      </c>
      <c r="AM162" s="8"/>
      <c r="AN162" s="17">
        <f t="shared" si="63"/>
        <v>4.0165942450091615E-3</v>
      </c>
      <c r="AO162" s="17">
        <f t="shared" si="64"/>
        <v>1.5174947554589284E-3</v>
      </c>
      <c r="AP162" s="16">
        <f t="shared" si="65"/>
        <v>-2.4990994895502331E-3</v>
      </c>
      <c r="AQ162" s="8"/>
      <c r="AR162" s="17">
        <f t="shared" si="66"/>
        <v>8.1767782650228729E-2</v>
      </c>
      <c r="AS162" s="17">
        <f t="shared" si="67"/>
        <v>7.5246080657067824E-2</v>
      </c>
      <c r="AT162" s="13">
        <f t="shared" si="68"/>
        <v>-6.5217019931609055E-3</v>
      </c>
      <c r="AU162" s="8"/>
    </row>
    <row r="163" spans="1:47" ht="15" customHeight="1" x14ac:dyDescent="0.25">
      <c r="A163" s="31" t="s">
        <v>26</v>
      </c>
      <c r="B163" s="31" t="s">
        <v>32</v>
      </c>
      <c r="C163" t="s">
        <v>33</v>
      </c>
      <c r="D163" s="31" t="s">
        <v>34</v>
      </c>
      <c r="E163" t="s">
        <v>203</v>
      </c>
      <c r="F163" s="31" t="s">
        <v>350</v>
      </c>
      <c r="G163" t="s">
        <v>351</v>
      </c>
      <c r="H163" s="27">
        <f>IF($G163&lt;&gt;0,SUMIF(куб!$G:$G,$G163,куб!H:H),IF($E163&lt;&gt;0,SUMIF(куб!$E:$E,$E163,куб!H:H),IF($D163&lt;&gt;0,SUMIF(куб!$D:$D,$D163,куб!H:H),IF($C163&lt;&gt;0,SUMIF(куб!$C:$C,$C163,куб!H:H),IF($B163&lt;&gt;0,SUMIF(куб!$B:$B,$B163,куб!H:H),IF($G163&lt;&gt;0,SUMIF(куб!$A:$A,$G163,куб!H:H),SUMIF(куб!$A:$A,$G163,куб!H:H)))))))</f>
        <v>336035.27269999986</v>
      </c>
      <c r="I163" s="27">
        <f>IF($G163&lt;&gt;0,SUMIF(куб!$G:$G,$G163,куб!I:I),IF($E163&lt;&gt;0,SUMIF(куб!$E:$E,$E163,куб!I:I),IF($D163&lt;&gt;0,SUMIF(куб!$D:$D,$D163,куб!I:I),IF($C163&lt;&gt;0,SUMIF(куб!$C:$C,$C163,куб!I:I),IF($B163&lt;&gt;0,SUMIF(куб!$B:$B,$B163,куб!I:I),IF($G163&lt;&gt;0,SUMIF(куб!$A:$A,$G163,куб!I:I),SUMIF(куб!$A:$A,$G163,куб!I:I)))))))</f>
        <v>775376.30420000013</v>
      </c>
      <c r="J163" s="19">
        <f t="shared" si="69"/>
        <v>1.3074253424944116</v>
      </c>
      <c r="K163" s="10"/>
      <c r="L163" s="17">
        <f t="shared" si="52"/>
        <v>7.0194140340160745E-4</v>
      </c>
      <c r="M163" s="17">
        <f t="shared" si="53"/>
        <v>1.6532379865249176E-3</v>
      </c>
      <c r="N163" s="12">
        <f t="shared" si="54"/>
        <v>9.5129658312331018E-4</v>
      </c>
      <c r="O163" s="5"/>
      <c r="P163" s="27">
        <f>IF($G163&lt;&gt;0,SUMIF(куб!$G:$G,$G163,куб!J:J),IF($E163&lt;&gt;0,SUMIF(куб!$E:$E,$E163,куб!J:J),IF($D163&lt;&gt;0,SUMIF(куб!$D:$D,$D163,куб!J:J),IF($C163&lt;&gt;0,SUMIF(куб!$C:$C,$C163,куб!J:J),IF($B163&lt;&gt;0,SUMIF(куб!$B:$B,$B163,куб!J:J))))))</f>
        <v>3755</v>
      </c>
      <c r="Q163" s="27">
        <f>IF($G163&lt;&gt;0,SUMIF(куб!$G:$G,$G163,куб!K:K),IF($E163&lt;&gt;0,SUMIF(куб!$E:$E,$E163,куб!K:K),IF($D163&lt;&gt;0,SUMIF(куб!$D:$D,$D163,куб!K:K),IF($C163&lt;&gt;0,SUMIF(куб!$C:$C,$C163,куб!K:K),IF($B163&lt;&gt;0,SUMIF(куб!$B:$B,$B163,куб!K:K))))))</f>
        <v>8694</v>
      </c>
      <c r="R163" s="13">
        <f t="shared" si="55"/>
        <v>1.3153129161118509</v>
      </c>
      <c r="S163" s="5"/>
      <c r="T163" s="27">
        <f>IF($G163&lt;&gt;0,SUMIF(куб!$G:$G,$G163,куб!L:L),IF($E163&lt;&gt;0,SUMIF(куб!$E:$E,$E163,куб!L:L),IF($D163&lt;&gt;0,SUMIF(куб!$D:$D,$D163,куб!L:L),IF($C163&lt;&gt;0,SUMIF(куб!$C:$C,$C163,куб!L:L),IF($B163&lt;&gt;0,SUMIF(куб!$B:$B,$B163,куб!L:L))))))</f>
        <v>3469.62</v>
      </c>
      <c r="U163" s="27">
        <f>IF($G163&lt;&gt;0,SUMIF(куб!$G:$G,$G163,куб!M:M),IF($E163&lt;&gt;0,SUMIF(куб!$E:$E,$E163,куб!M:M),IF($D163&lt;&gt;0,SUMIF(куб!$D:$D,$D163,куб!M:M),IF($C163&lt;&gt;0,SUMIF(куб!$C:$C,$C163,куб!M:M),IF($B163&lt;&gt;0,SUMIF(куб!$B:$B,$B163,куб!M:M))))))</f>
        <v>8033.2559999999958</v>
      </c>
      <c r="V163" s="13">
        <f t="shared" si="56"/>
        <v>1.3153129161118498</v>
      </c>
      <c r="W163" s="5"/>
      <c r="X163" s="27">
        <f>IF($G163&lt;&gt;0,SUMIF(куб!$G:$G,$G163,куб!N:N),IF($E163&lt;&gt;0,SUMIF(куб!$E:$E,$E163,куб!N:N),IF($D163&lt;&gt;0,SUMIF(куб!$D:$D,$D163,куб!N:N),IF($C163&lt;&gt;0,SUMIF(куб!$C:$C,$C163,куб!N:N),IF($B163&lt;&gt;0,SUMIF(куб!$B:$B,$B163,куб!N:N))))))</f>
        <v>60180.599199999997</v>
      </c>
      <c r="Y163" s="27">
        <f>IF($G163&lt;&gt;0,SUMIF(куб!$G:$G,$G163,куб!O:O),IF($E163&lt;&gt;0,SUMIF(куб!$E:$E,$E163,куб!O:O),IF($D163&lt;&gt;0,SUMIF(куб!$D:$D,$D163,куб!O:O),IF($C163&lt;&gt;0,SUMIF(куб!$C:$C,$C163,куб!O:O),IF($B163&lt;&gt;0,SUMIF(куб!$B:$B,$B163,куб!O:O))))))</f>
        <v>136711.42729999998</v>
      </c>
      <c r="Z163" s="13">
        <f t="shared" si="57"/>
        <v>1.2716860436311506</v>
      </c>
      <c r="AA163" s="5"/>
      <c r="AB163" s="33">
        <f t="shared" si="58"/>
        <v>0.17909012561823254</v>
      </c>
      <c r="AC163" s="33">
        <f t="shared" si="59"/>
        <v>0.17631623066048291</v>
      </c>
      <c r="AD163" s="15">
        <f t="shared" si="60"/>
        <v>-2.7738949577496286E-3</v>
      </c>
      <c r="AE163" s="5"/>
      <c r="AF163" s="27">
        <f>IF($G163&lt;&gt;0,SUMIF(куб!$G:$G,$G163,куб!R:R),IF($E163&lt;&gt;0,SUMIF(куб!$E:$E,$E163,куб!R:R),IF($D163&lt;&gt;0,SUMIF(куб!$D:$D,$D163,куб!R:R),IF($C163&lt;&gt;0,SUMIF(куб!$C:$C,$C163,куб!R:R),IF($B163&lt;&gt;0,SUMIF(куб!$B:$B,$B163,куб!R:R))))))</f>
        <v>661.09059999999999</v>
      </c>
      <c r="AG163" s="27">
        <f>IF($G163&lt;&gt;0,SUMIF(куб!$G:$G,$G163,куб!S:S),IF($E163&lt;&gt;0,SUMIF(куб!$E:$E,$E163,куб!S:S),IF($D163&lt;&gt;0,SUMIF(куб!$D:$D,$D163,куб!S:S),IF($C163&lt;&gt;0,SUMIF(куб!$C:$C,$C163,куб!S:S),IF($B163&lt;&gt;0,SUMIF(куб!$B:$B,$B163,куб!S:S))))))</f>
        <v>4554.1804999999986</v>
      </c>
      <c r="AH163" s="16">
        <f t="shared" si="61"/>
        <v>5.8888901158177092</v>
      </c>
      <c r="AI163" s="8"/>
      <c r="AJ163" s="27">
        <f>IF($G163&lt;&gt;0,SUMIF(куб!$G:$G,$G163,куб!T:T),IF($E163&lt;&gt;0,SUMIF(куб!$E:$E,$E163,куб!T:T),IF($D163&lt;&gt;0,SUMIF(куб!$D:$D,$D163,куб!T:T),IF($C163&lt;&gt;0,SUMIF(куб!$C:$C,$C163,куб!T:T),IF($B163&lt;&gt;0,SUMIF(куб!$B:$B,$B163,куб!T:T))))))</f>
        <v>9</v>
      </c>
      <c r="AK163" s="27">
        <f>IF($G163&lt;&gt;0,SUMIF(куб!$G:$G,$G163,куб!U:U),IF($E163&lt;&gt;0,SUMIF(куб!$E:$E,$E163,куб!U:U),IF($D163&lt;&gt;0,SUMIF(куб!$D:$D,$D163,куб!U:U),IF($C163&lt;&gt;0,SUMIF(куб!$C:$C,$C163,куб!U:U),IF($B163&lt;&gt;0,SUMIF(куб!$B:$B,$B163,куб!U:U))))))</f>
        <v>62</v>
      </c>
      <c r="AL163" s="16">
        <f t="shared" si="62"/>
        <v>5.8888888888888893</v>
      </c>
      <c r="AM163" s="8"/>
      <c r="AN163" s="17">
        <f t="shared" si="63"/>
        <v>1.9673250212342971E-3</v>
      </c>
      <c r="AO163" s="17">
        <f t="shared" si="64"/>
        <v>5.8735100303314086E-3</v>
      </c>
      <c r="AP163" s="16">
        <f t="shared" si="65"/>
        <v>3.9061850090971115E-3</v>
      </c>
      <c r="AQ163" s="8"/>
      <c r="AR163" s="17">
        <f t="shared" si="66"/>
        <v>0.17712280059699823</v>
      </c>
      <c r="AS163" s="17">
        <f t="shared" si="67"/>
        <v>0.17044272063015151</v>
      </c>
      <c r="AT163" s="13">
        <f t="shared" si="68"/>
        <v>-6.6800799668467192E-3</v>
      </c>
      <c r="AU163" s="8"/>
    </row>
    <row r="164" spans="1:47" ht="15" customHeight="1" x14ac:dyDescent="0.25">
      <c r="A164" s="31" t="s">
        <v>26</v>
      </c>
      <c r="B164" s="31" t="s">
        <v>32</v>
      </c>
      <c r="C164" t="s">
        <v>33</v>
      </c>
      <c r="D164" s="31" t="s">
        <v>34</v>
      </c>
      <c r="E164" t="s">
        <v>203</v>
      </c>
      <c r="F164" s="31" t="s">
        <v>352</v>
      </c>
      <c r="G164" t="s">
        <v>353</v>
      </c>
      <c r="H164" s="27">
        <f>IF($G164&lt;&gt;0,SUMIF(куб!$G:$G,$G164,куб!H:H),IF($E164&lt;&gt;0,SUMIF(куб!$E:$E,$E164,куб!H:H),IF($D164&lt;&gt;0,SUMIF(куб!$D:$D,$D164,куб!H:H),IF($C164&lt;&gt;0,SUMIF(куб!$C:$C,$C164,куб!H:H),IF($B164&lt;&gt;0,SUMIF(куб!$B:$B,$B164,куб!H:H),IF($G164&lt;&gt;0,SUMIF(куб!$A:$A,$G164,куб!H:H),SUMIF(куб!$A:$A,$G164,куб!H:H)))))))</f>
        <v>139116.46819999997</v>
      </c>
      <c r="I164" s="27">
        <f>IF($G164&lt;&gt;0,SUMIF(куб!$G:$G,$G164,куб!I:I),IF($E164&lt;&gt;0,SUMIF(куб!$E:$E,$E164,куб!I:I),IF($D164&lt;&gt;0,SUMIF(куб!$D:$D,$D164,куб!I:I),IF($C164&lt;&gt;0,SUMIF(куб!$C:$C,$C164,куб!I:I),IF($B164&lt;&gt;0,SUMIF(куб!$B:$B,$B164,куб!I:I),IF($G164&lt;&gt;0,SUMIF(куб!$A:$A,$G164,куб!I:I),SUMIF(куб!$A:$A,$G164,куб!I:I)))))))</f>
        <v>0</v>
      </c>
      <c r="J164" s="19">
        <f t="shared" si="69"/>
        <v>-1</v>
      </c>
      <c r="K164" s="5"/>
      <c r="L164" s="17">
        <f t="shared" si="52"/>
        <v>2.9059928185504175E-4</v>
      </c>
      <c r="M164" s="17">
        <f t="shared" si="53"/>
        <v>0</v>
      </c>
      <c r="N164" s="12">
        <f t="shared" si="54"/>
        <v>-2.9059928185504175E-4</v>
      </c>
      <c r="O164" s="5"/>
      <c r="P164" s="27">
        <f>IF($G164&lt;&gt;0,SUMIF(куб!$G:$G,$G164,куб!J:J),IF($E164&lt;&gt;0,SUMIF(куб!$E:$E,$E164,куб!J:J),IF($D164&lt;&gt;0,SUMIF(куб!$D:$D,$D164,куб!J:J),IF($C164&lt;&gt;0,SUMIF(куб!$C:$C,$C164,куб!J:J),IF($B164&lt;&gt;0,SUMIF(куб!$B:$B,$B164,куб!J:J))))))</f>
        <v>1596</v>
      </c>
      <c r="Q164" s="27">
        <f>IF($G164&lt;&gt;0,SUMIF(куб!$G:$G,$G164,куб!K:K),IF($E164&lt;&gt;0,SUMIF(куб!$E:$E,$E164,куб!K:K),IF($D164&lt;&gt;0,SUMIF(куб!$D:$D,$D164,куб!K:K),IF($C164&lt;&gt;0,SUMIF(куб!$C:$C,$C164,куб!K:K),IF($B164&lt;&gt;0,SUMIF(куб!$B:$B,$B164,куб!K:K))))))</f>
        <v>0</v>
      </c>
      <c r="R164" s="13">
        <f t="shared" si="55"/>
        <v>-1</v>
      </c>
      <c r="S164" s="5"/>
      <c r="T164" s="27">
        <f>IF($G164&lt;&gt;0,SUMIF(куб!$G:$G,$G164,куб!L:L),IF($E164&lt;&gt;0,SUMIF(куб!$E:$E,$E164,куб!L:L),IF($D164&lt;&gt;0,SUMIF(куб!$D:$D,$D164,куб!L:L),IF($C164&lt;&gt;0,SUMIF(куб!$C:$C,$C164,куб!L:L),IF($B164&lt;&gt;0,SUMIF(куб!$B:$B,$B164,куб!L:L))))))</f>
        <v>1524.1800000000007</v>
      </c>
      <c r="U164" s="27">
        <f>IF($G164&lt;&gt;0,SUMIF(куб!$G:$G,$G164,куб!M:M),IF($E164&lt;&gt;0,SUMIF(куб!$E:$E,$E164,куб!M:M),IF($D164&lt;&gt;0,SUMIF(куб!$D:$D,$D164,куб!M:M),IF($C164&lt;&gt;0,SUMIF(куб!$C:$C,$C164,куб!M:M),IF($B164&lt;&gt;0,SUMIF(куб!$B:$B,$B164,куб!M:M))))))</f>
        <v>0</v>
      </c>
      <c r="V164" s="13">
        <f t="shared" si="56"/>
        <v>-1</v>
      </c>
      <c r="W164" s="5"/>
      <c r="X164" s="27">
        <f>IF($G164&lt;&gt;0,SUMIF(куб!$G:$G,$G164,куб!N:N),IF($E164&lt;&gt;0,SUMIF(куб!$E:$E,$E164,куб!N:N),IF($D164&lt;&gt;0,SUMIF(куб!$D:$D,$D164,куб!N:N),IF($C164&lt;&gt;0,SUMIF(куб!$C:$C,$C164,куб!N:N),IF($B164&lt;&gt;0,SUMIF(куб!$B:$B,$B164,куб!N:N))))))</f>
        <v>18334.651500000007</v>
      </c>
      <c r="Y164" s="27">
        <f>IF($G164&lt;&gt;0,SUMIF(куб!$G:$G,$G164,куб!O:O),IF($E164&lt;&gt;0,SUMIF(куб!$E:$E,$E164,куб!O:O),IF($D164&lt;&gt;0,SUMIF(куб!$D:$D,$D164,куб!O:O),IF($C164&lt;&gt;0,SUMIF(куб!$C:$C,$C164,куб!O:O),IF($B164&lt;&gt;0,SUMIF(куб!$B:$B,$B164,куб!O:O))))))</f>
        <v>0</v>
      </c>
      <c r="Z164" s="13">
        <f t="shared" si="57"/>
        <v>-1</v>
      </c>
      <c r="AA164" s="5"/>
      <c r="AB164" s="33">
        <f t="shared" si="58"/>
        <v>0.13179353772582339</v>
      </c>
      <c r="AC164" s="33" t="str">
        <f t="shared" si="59"/>
        <v/>
      </c>
      <c r="AD164" s="15" t="str">
        <f t="shared" si="60"/>
        <v xml:space="preserve"> </v>
      </c>
      <c r="AE164" s="5"/>
      <c r="AF164" s="27">
        <f>IF($G164&lt;&gt;0,SUMIF(куб!$G:$G,$G164,куб!R:R),IF($E164&lt;&gt;0,SUMIF(куб!$E:$E,$E164,куб!R:R),IF($D164&lt;&gt;0,SUMIF(куб!$D:$D,$D164,куб!R:R),IF($C164&lt;&gt;0,SUMIF(куб!$C:$C,$C164,куб!R:R),IF($B164&lt;&gt;0,SUMIF(куб!$B:$B,$B164,куб!R:R))))))</f>
        <v>443.40899999999999</v>
      </c>
      <c r="AG164" s="27">
        <f>IF($G164&lt;&gt;0,SUMIF(куб!$G:$G,$G164,куб!S:S),IF($E164&lt;&gt;0,SUMIF(куб!$E:$E,$E164,куб!S:S),IF($D164&lt;&gt;0,SUMIF(куб!$D:$D,$D164,куб!S:S),IF($C164&lt;&gt;0,SUMIF(куб!$C:$C,$C164,куб!S:S),IF($B164&lt;&gt;0,SUMIF(куб!$B:$B,$B164,куб!S:S))))))</f>
        <v>0</v>
      </c>
      <c r="AH164" s="16">
        <f t="shared" si="61"/>
        <v>-1</v>
      </c>
      <c r="AI164" s="8"/>
      <c r="AJ164" s="27">
        <f>IF($G164&lt;&gt;0,SUMIF(куб!$G:$G,$G164,куб!T:T),IF($E164&lt;&gt;0,SUMIF(куб!$E:$E,$E164,куб!T:T),IF($D164&lt;&gt;0,SUMIF(куб!$D:$D,$D164,куб!T:T),IF($C164&lt;&gt;0,SUMIF(куб!$C:$C,$C164,куб!T:T),IF($B164&lt;&gt;0,SUMIF(куб!$B:$B,$B164,куб!T:T))))))</f>
        <v>6</v>
      </c>
      <c r="AK164" s="27">
        <f>IF($G164&lt;&gt;0,SUMIF(куб!$G:$G,$G164,куб!U:U),IF($E164&lt;&gt;0,SUMIF(куб!$E:$E,$E164,куб!U:U),IF($D164&lt;&gt;0,SUMIF(куб!$D:$D,$D164,куб!U:U),IF($C164&lt;&gt;0,SUMIF(куб!$C:$C,$C164,куб!U:U),IF($B164&lt;&gt;0,SUMIF(куб!$B:$B,$B164,куб!U:U))))))</f>
        <v>0</v>
      </c>
      <c r="AL164" s="16">
        <f t="shared" si="62"/>
        <v>-1</v>
      </c>
      <c r="AM164" s="8"/>
      <c r="AN164" s="17">
        <f t="shared" si="63"/>
        <v>3.1873221462360274E-3</v>
      </c>
      <c r="AO164" s="17" t="str">
        <f t="shared" si="64"/>
        <v xml:space="preserve"> </v>
      </c>
      <c r="AP164" s="16" t="str">
        <f t="shared" si="65"/>
        <v>-</v>
      </c>
      <c r="AQ164" s="8"/>
      <c r="AR164" s="17">
        <f t="shared" si="66"/>
        <v>0.12860621557958737</v>
      </c>
      <c r="AS164" s="17" t="str">
        <f t="shared" si="67"/>
        <v>-</v>
      </c>
      <c r="AT164" s="13" t="str">
        <f t="shared" si="68"/>
        <v>-</v>
      </c>
      <c r="AU164" s="8"/>
    </row>
    <row r="165" spans="1:47" ht="15" customHeight="1" x14ac:dyDescent="0.25">
      <c r="A165" s="31" t="s">
        <v>26</v>
      </c>
      <c r="B165" s="31" t="s">
        <v>32</v>
      </c>
      <c r="C165" t="s">
        <v>33</v>
      </c>
      <c r="D165" s="31" t="s">
        <v>34</v>
      </c>
      <c r="E165" t="s">
        <v>203</v>
      </c>
      <c r="F165" s="48" t="s">
        <v>354</v>
      </c>
      <c r="G165" t="s">
        <v>355</v>
      </c>
      <c r="H165" s="27">
        <f>IF($G165&lt;&gt;0,SUMIF(куб!$G:$G,$G165,куб!H:H),IF($E165&lt;&gt;0,SUMIF(куб!$E:$E,$E165,куб!H:H),IF($D165&lt;&gt;0,SUMIF(куб!$D:$D,$D165,куб!H:H),IF($C165&lt;&gt;0,SUMIF(куб!$C:$C,$C165,куб!H:H),IF($B165&lt;&gt;0,SUMIF(куб!$B:$B,$B165,куб!H:H),IF($G165&lt;&gt;0,SUMIF(куб!$A:$A,$G165,куб!H:H),SUMIF(куб!$A:$A,$G165,куб!H:H)))))))</f>
        <v>0</v>
      </c>
      <c r="I165" s="27">
        <f>IF($G165&lt;&gt;0,SUMIF(куб!$G:$G,$G165,куб!I:I),IF($E165&lt;&gt;0,SUMIF(куб!$E:$E,$E165,куб!I:I),IF($D165&lt;&gt;0,SUMIF(куб!$D:$D,$D165,куб!I:I),IF($C165&lt;&gt;0,SUMIF(куб!$C:$C,$C165,куб!I:I),IF($B165&lt;&gt;0,SUMIF(куб!$B:$B,$B165,куб!I:I),IF($G165&lt;&gt;0,SUMIF(куб!$A:$A,$G165,куб!I:I),SUMIF(куб!$A:$A,$G165,куб!I:I)))))))</f>
        <v>11147067.409999993</v>
      </c>
      <c r="J165" s="19" t="str">
        <f t="shared" si="69"/>
        <v>-</v>
      </c>
      <c r="K165" s="5"/>
      <c r="L165" s="17">
        <f t="shared" si="52"/>
        <v>0</v>
      </c>
      <c r="M165" s="17">
        <f t="shared" si="53"/>
        <v>2.3767498672247808E-2</v>
      </c>
      <c r="N165" s="12">
        <f t="shared" si="54"/>
        <v>2.3767498672247808E-2</v>
      </c>
      <c r="O165" s="5"/>
      <c r="P165" s="27">
        <f>IF($G165&lt;&gt;0,SUMIF(куб!$G:$G,$G165,куб!J:J),IF($E165&lt;&gt;0,SUMIF(куб!$E:$E,$E165,куб!J:J),IF($D165&lt;&gt;0,SUMIF(куб!$D:$D,$D165,куб!J:J),IF($C165&lt;&gt;0,SUMIF(куб!$C:$C,$C165,куб!J:J),IF($B165&lt;&gt;0,SUMIF(куб!$B:$B,$B165,куб!J:J))))))</f>
        <v>0</v>
      </c>
      <c r="Q165" s="27">
        <f>IF($G165&lt;&gt;0,SUMIF(куб!$G:$G,$G165,куб!K:K),IF($E165&lt;&gt;0,SUMIF(куб!$E:$E,$E165,куб!K:K),IF($D165&lt;&gt;0,SUMIF(куб!$D:$D,$D165,куб!K:K),IF($C165&lt;&gt;0,SUMIF(куб!$C:$C,$C165,куб!K:K),IF($B165&lt;&gt;0,SUMIF(куб!$B:$B,$B165,куб!K:K))))))</f>
        <v>192000</v>
      </c>
      <c r="R165" s="13" t="str">
        <f t="shared" si="55"/>
        <v>-</v>
      </c>
      <c r="S165" s="5"/>
      <c r="T165" s="27">
        <f>IF($G165&lt;&gt;0,SUMIF(куб!$G:$G,$G165,куб!L:L),IF($E165&lt;&gt;0,SUMIF(куб!$E:$E,$E165,куб!L:L),IF($D165&lt;&gt;0,SUMIF(куб!$D:$D,$D165,куб!L:L),IF($C165&lt;&gt;0,SUMIF(куб!$C:$C,$C165,куб!L:L),IF($B165&lt;&gt;0,SUMIF(куб!$B:$B,$B165,куб!L:L))))))</f>
        <v>0</v>
      </c>
      <c r="U165" s="27">
        <f>IF($G165&lt;&gt;0,SUMIF(куб!$G:$G,$G165,куб!M:M),IF($E165&lt;&gt;0,SUMIF(куб!$E:$E,$E165,куб!M:M),IF($D165&lt;&gt;0,SUMIF(куб!$D:$D,$D165,куб!M:M),IF($C165&lt;&gt;0,SUMIF(куб!$C:$C,$C165,куб!M:M),IF($B165&lt;&gt;0,SUMIF(куб!$B:$B,$B165,куб!M:M))))))</f>
        <v>172800.00000000006</v>
      </c>
      <c r="V165" s="13" t="str">
        <f t="shared" si="56"/>
        <v>-</v>
      </c>
      <c r="W165" s="5"/>
      <c r="X165" s="27">
        <f>IF($G165&lt;&gt;0,SUMIF(куб!$G:$G,$G165,куб!N:N),IF($E165&lt;&gt;0,SUMIF(куб!$E:$E,$E165,куб!N:N),IF($D165&lt;&gt;0,SUMIF(куб!$D:$D,$D165,куб!N:N),IF($C165&lt;&gt;0,SUMIF(куб!$C:$C,$C165,куб!N:N),IF($B165&lt;&gt;0,SUMIF(куб!$B:$B,$B165,куб!N:N))))))</f>
        <v>0</v>
      </c>
      <c r="Y165" s="27">
        <f>IF($G165&lt;&gt;0,SUMIF(куб!$G:$G,$G165,куб!O:O),IF($E165&lt;&gt;0,SUMIF(куб!$E:$E,$E165,куб!O:O),IF($D165&lt;&gt;0,SUMIF(куб!$D:$D,$D165,куб!O:O),IF($C165&lt;&gt;0,SUMIF(куб!$C:$C,$C165,куб!O:O),IF($B165&lt;&gt;0,SUMIF(куб!$B:$B,$B165,куб!O:O))))))</f>
        <v>2219725.28320002</v>
      </c>
      <c r="Z165" s="13" t="str">
        <f t="shared" si="57"/>
        <v>-</v>
      </c>
      <c r="AA165" s="5"/>
      <c r="AB165" s="33" t="str">
        <f t="shared" si="58"/>
        <v/>
      </c>
      <c r="AC165" s="33">
        <f t="shared" si="59"/>
        <v>0.19913087465576038</v>
      </c>
      <c r="AD165" s="15" t="str">
        <f t="shared" si="60"/>
        <v xml:space="preserve"> </v>
      </c>
      <c r="AE165" s="5"/>
      <c r="AF165" s="27">
        <f>IF($G165&lt;&gt;0,SUMIF(куб!$G:$G,$G165,куб!R:R),IF($E165&lt;&gt;0,SUMIF(куб!$E:$E,$E165,куб!R:R),IF($D165&lt;&gt;0,SUMIF(куб!$D:$D,$D165,куб!R:R),IF($C165&lt;&gt;0,SUMIF(куб!$C:$C,$C165,куб!R:R),IF($B165&lt;&gt;0,SUMIF(куб!$B:$B,$B165,куб!R:R))))))</f>
        <v>0</v>
      </c>
      <c r="AG165" s="27">
        <f>IF($G165&lt;&gt;0,SUMIF(куб!$G:$G,$G165,куб!S:S),IF($E165&lt;&gt;0,SUMIF(куб!$E:$E,$E165,куб!S:S),IF($D165&lt;&gt;0,SUMIF(куб!$D:$D,$D165,куб!S:S),IF($C165&lt;&gt;0,SUMIF(куб!$C:$C,$C165,куб!S:S),IF($B165&lt;&gt;0,SUMIF(куб!$B:$B,$B165,куб!S:S))))))</f>
        <v>209138.42559999996</v>
      </c>
      <c r="AH165" s="16" t="str">
        <f t="shared" si="61"/>
        <v>-</v>
      </c>
      <c r="AI165" s="8"/>
      <c r="AJ165" s="27">
        <f>IF($G165&lt;&gt;0,SUMIF(куб!$G:$G,$G165,куб!T:T),IF($E165&lt;&gt;0,SUMIF(куб!$E:$E,$E165,куб!T:T),IF($D165&lt;&gt;0,SUMIF(куб!$D:$D,$D165,куб!T:T),IF($C165&lt;&gt;0,SUMIF(куб!$C:$C,$C165,куб!T:T),IF($B165&lt;&gt;0,SUMIF(куб!$B:$B,$B165,куб!T:T))))))</f>
        <v>0</v>
      </c>
      <c r="AK165" s="27">
        <f>IF($G165&lt;&gt;0,SUMIF(куб!$G:$G,$G165,куб!U:U),IF($E165&lt;&gt;0,SUMIF(куб!$E:$E,$E165,куб!U:U),IF($D165&lt;&gt;0,SUMIF(куб!$D:$D,$D165,куб!U:U),IF($C165&lt;&gt;0,SUMIF(куб!$C:$C,$C165,куб!U:U),IF($B165&lt;&gt;0,SUMIF(куб!$B:$B,$B165,куб!U:U))))))</f>
        <v>4020</v>
      </c>
      <c r="AL165" s="16" t="str">
        <f t="shared" si="62"/>
        <v>-</v>
      </c>
      <c r="AM165" s="8"/>
      <c r="AN165" s="17" t="str">
        <f t="shared" si="63"/>
        <v xml:space="preserve"> </v>
      </c>
      <c r="AO165" s="17">
        <f t="shared" si="64"/>
        <v>1.8761744045109358E-2</v>
      </c>
      <c r="AP165" s="16" t="str">
        <f t="shared" si="65"/>
        <v>-</v>
      </c>
      <c r="AQ165" s="8"/>
      <c r="AR165" s="17" t="str">
        <f t="shared" si="66"/>
        <v>-</v>
      </c>
      <c r="AS165" s="17">
        <f t="shared" si="67"/>
        <v>0.18036913061065102</v>
      </c>
      <c r="AT165" s="13" t="str">
        <f t="shared" si="68"/>
        <v>-</v>
      </c>
      <c r="AU165" s="8"/>
    </row>
    <row r="166" spans="1:47" ht="15" customHeight="1" x14ac:dyDescent="0.25">
      <c r="A166" s="31" t="s">
        <v>26</v>
      </c>
      <c r="B166" s="31" t="s">
        <v>32</v>
      </c>
      <c r="C166" t="s">
        <v>33</v>
      </c>
      <c r="D166" s="31" t="s">
        <v>34</v>
      </c>
      <c r="E166" s="47" t="s">
        <v>356</v>
      </c>
      <c r="F166"/>
      <c r="G166"/>
      <c r="H166" s="27">
        <f>IF($G166&lt;&gt;0,SUMIF(куб!$G:$G,$G166,куб!H:H),IF($E166&lt;&gt;0,SUMIF(куб!$E:$E,$E166,куб!H:H),IF($D166&lt;&gt;0,SUMIF(куб!$D:$D,$D166,куб!H:H),IF($C166&lt;&gt;0,SUMIF(куб!$C:$C,$C166,куб!H:H),IF($B166&lt;&gt;0,SUMIF(куб!$B:$B,$B166,куб!H:H),IF($G166&lt;&gt;0,SUMIF(куб!$A:$A,$G166,куб!H:H),SUMIF(куб!$A:$A,$G166,куб!H:H)))))))</f>
        <v>217648301.03240043</v>
      </c>
      <c r="I166" s="27">
        <f>IF($G166&lt;&gt;0,SUMIF(куб!$G:$G,$G166,куб!I:I),IF($E166&lt;&gt;0,SUMIF(куб!$E:$E,$E166,куб!I:I),IF($D166&lt;&gt;0,SUMIF(куб!$D:$D,$D166,куб!I:I),IF($C166&lt;&gt;0,SUMIF(куб!$C:$C,$C166,куб!I:I),IF($B166&lt;&gt;0,SUMIF(куб!$B:$B,$B166,куб!I:I),IF($G166&lt;&gt;0,SUMIF(куб!$A:$A,$G166,куб!I:I),SUMIF(куб!$A:$A,$G166,куб!I:I)))))))</f>
        <v>209685750.34170043</v>
      </c>
      <c r="J166" s="19">
        <f t="shared" si="69"/>
        <v>-3.6584483558705298E-2</v>
      </c>
      <c r="K166" s="8"/>
      <c r="L166" s="17">
        <f t="shared" si="52"/>
        <v>0.45464380166736812</v>
      </c>
      <c r="M166" s="17">
        <f t="shared" si="53"/>
        <v>0.44708671882299611</v>
      </c>
      <c r="N166" s="12">
        <f t="shared" si="54"/>
        <v>-7.5570828443720095E-3</v>
      </c>
      <c r="O166" s="5"/>
      <c r="P166" s="27">
        <f>IF($G166&lt;&gt;0,SUMIF(куб!$G:$G,$G166,куб!J:J),IF($E166&lt;&gt;0,SUMIF(куб!$E:$E,$E166,куб!J:J),IF($D166&lt;&gt;0,SUMIF(куб!$D:$D,$D166,куб!J:J),IF($C166&lt;&gt;0,SUMIF(куб!$C:$C,$C166,куб!J:J),IF($B166&lt;&gt;0,SUMIF(куб!$B:$B,$B166,куб!J:J))))))</f>
        <v>2713035</v>
      </c>
      <c r="Q166" s="27">
        <f>IF($G166&lt;&gt;0,SUMIF(куб!$G:$G,$G166,куб!K:K),IF($E166&lt;&gt;0,SUMIF(куб!$E:$E,$E166,куб!K:K),IF($D166&lt;&gt;0,SUMIF(куб!$D:$D,$D166,куб!K:K),IF($C166&lt;&gt;0,SUMIF(куб!$C:$C,$C166,куб!K:K),IF($B166&lt;&gt;0,SUMIF(куб!$B:$B,$B166,куб!K:K))))))</f>
        <v>2421265</v>
      </c>
      <c r="R166" s="13">
        <f t="shared" si="55"/>
        <v>-0.10754376556144686</v>
      </c>
      <c r="S166" s="5"/>
      <c r="T166" s="27">
        <f>IF($G166&lt;&gt;0,SUMIF(куб!$G:$G,$G166,куб!L:L),IF($E166&lt;&gt;0,SUMIF(куб!$E:$E,$E166,куб!L:L),IF($D166&lt;&gt;0,SUMIF(куб!$D:$D,$D166,куб!L:L),IF($C166&lt;&gt;0,SUMIF(куб!$C:$C,$C166,куб!L:L),IF($B166&lt;&gt;0,SUMIF(куб!$B:$B,$B166,куб!L:L))))))</f>
        <v>2759432.2539999974</v>
      </c>
      <c r="U166" s="27">
        <f>IF($G166&lt;&gt;0,SUMIF(куб!$G:$G,$G166,куб!M:M),IF($E166&lt;&gt;0,SUMIF(куб!$E:$E,$E166,куб!M:M),IF($D166&lt;&gt;0,SUMIF(куб!$D:$D,$D166,куб!M:M),IF($C166&lt;&gt;0,SUMIF(куб!$C:$C,$C166,куб!M:M),IF($B166&lt;&gt;0,SUMIF(куб!$B:$B,$B166,куб!M:M))))))</f>
        <v>2615079.6411000029</v>
      </c>
      <c r="V166" s="13">
        <f t="shared" si="56"/>
        <v>-5.2312432273249283E-2</v>
      </c>
      <c r="W166" s="5"/>
      <c r="X166" s="27">
        <f>IF($G166&lt;&gt;0,SUMIF(куб!$G:$G,$G166,куб!N:N),IF($E166&lt;&gt;0,SUMIF(куб!$E:$E,$E166,куб!N:N),IF($D166&lt;&gt;0,SUMIF(куб!$D:$D,$D166,куб!N:N),IF($C166&lt;&gt;0,SUMIF(куб!$C:$C,$C166,куб!N:N),IF($B166&lt;&gt;0,SUMIF(куб!$B:$B,$B166,куб!N:N))))))</f>
        <v>21840735.138898671</v>
      </c>
      <c r="Y166" s="27">
        <f>IF($G166&lt;&gt;0,SUMIF(куб!$G:$G,$G166,куб!O:O),IF($E166&lt;&gt;0,SUMIF(куб!$E:$E,$E166,куб!O:O),IF($D166&lt;&gt;0,SUMIF(куб!$D:$D,$D166,куб!O:O),IF($C166&lt;&gt;0,SUMIF(куб!$C:$C,$C166,куб!O:O),IF($B166&lt;&gt;0,SUMIF(куб!$B:$B,$B166,куб!O:O))))))</f>
        <v>22458386.99769932</v>
      </c>
      <c r="Z166" s="13">
        <f t="shared" si="57"/>
        <v>2.8279810861338756E-2</v>
      </c>
      <c r="AA166" s="5"/>
      <c r="AB166" s="33">
        <f t="shared" si="58"/>
        <v>0.10034875087606279</v>
      </c>
      <c r="AC166" s="33">
        <f t="shared" si="59"/>
        <v>0.10710497475914078</v>
      </c>
      <c r="AD166" s="15">
        <f t="shared" si="60"/>
        <v>6.7562238830779914E-3</v>
      </c>
      <c r="AE166" s="5"/>
      <c r="AF166" s="27">
        <f>IF($G166&lt;&gt;0,SUMIF(куб!$G:$G,$G166,куб!R:R),IF($E166&lt;&gt;0,SUMIF(куб!$E:$E,$E166,куб!R:R),IF($D166&lt;&gt;0,SUMIF(куб!$D:$D,$D166,куб!R:R),IF($C166&lt;&gt;0,SUMIF(куб!$C:$C,$C166,куб!R:R),IF($B166&lt;&gt;0,SUMIF(куб!$B:$B,$B166,куб!R:R))))))</f>
        <v>946095.97459999996</v>
      </c>
      <c r="AG166" s="27">
        <f>IF($G166&lt;&gt;0,SUMIF(куб!$G:$G,$G166,куб!S:S),IF($E166&lt;&gt;0,SUMIF(куб!$E:$E,$E166,куб!S:S),IF($D166&lt;&gt;0,SUMIF(куб!$D:$D,$D166,куб!S:S),IF($C166&lt;&gt;0,SUMIF(куб!$C:$C,$C166,куб!S:S),IF($B166&lt;&gt;0,SUMIF(куб!$B:$B,$B166,куб!S:S))))))</f>
        <v>1255890.0471000005</v>
      </c>
      <c r="AH166" s="16">
        <f t="shared" si="61"/>
        <v>0.32744465764266512</v>
      </c>
      <c r="AI166" s="8"/>
      <c r="AJ166" s="27">
        <f>IF($G166&lt;&gt;0,SUMIF(куб!$G:$G,$G166,куб!T:T),IF($E166&lt;&gt;0,SUMIF(куб!$E:$E,$E166,куб!T:T),IF($D166&lt;&gt;0,SUMIF(куб!$D:$D,$D166,куб!T:T),IF($C166&lt;&gt;0,SUMIF(куб!$C:$C,$C166,куб!T:T),IF($B166&lt;&gt;0,SUMIF(куб!$B:$B,$B166,куб!T:T))))))</f>
        <v>14338</v>
      </c>
      <c r="AK166" s="27">
        <f>IF($G166&lt;&gt;0,SUMIF(куб!$G:$G,$G166,куб!U:U),IF($E166&lt;&gt;0,SUMIF(куб!$E:$E,$E166,куб!U:U),IF($D166&lt;&gt;0,SUMIF(куб!$D:$D,$D166,куб!U:U),IF($C166&lt;&gt;0,SUMIF(куб!$C:$C,$C166,куб!U:U),IF($B166&lt;&gt;0,SUMIF(куб!$B:$B,$B166,куб!U:U))))))</f>
        <v>19498</v>
      </c>
      <c r="AL166" s="16">
        <f t="shared" si="62"/>
        <v>0.35988282884642209</v>
      </c>
      <c r="AM166" s="8"/>
      <c r="AN166" s="17">
        <f t="shared" si="63"/>
        <v>4.34690264115206E-3</v>
      </c>
      <c r="AO166" s="17">
        <f t="shared" si="64"/>
        <v>5.9893914825085775E-3</v>
      </c>
      <c r="AP166" s="16">
        <f t="shared" si="65"/>
        <v>1.6424888413565175E-3</v>
      </c>
      <c r="AQ166" s="8"/>
      <c r="AR166" s="17">
        <f t="shared" si="66"/>
        <v>9.6001848234910744E-2</v>
      </c>
      <c r="AS166" s="17">
        <f t="shared" si="67"/>
        <v>0.10111558327663221</v>
      </c>
      <c r="AT166" s="13">
        <f t="shared" si="68"/>
        <v>5.1137350417214678E-3</v>
      </c>
      <c r="AU166" s="8"/>
    </row>
    <row r="167" spans="1:47" ht="15" customHeight="1" x14ac:dyDescent="0.25">
      <c r="A167" s="31" t="s">
        <v>26</v>
      </c>
      <c r="B167" s="31" t="s">
        <v>32</v>
      </c>
      <c r="C167" t="s">
        <v>33</v>
      </c>
      <c r="D167" s="31" t="s">
        <v>34</v>
      </c>
      <c r="E167" t="s">
        <v>357</v>
      </c>
      <c r="F167" s="31" t="s">
        <v>358</v>
      </c>
      <c r="G167" t="s">
        <v>359</v>
      </c>
      <c r="H167" s="27">
        <f>IF($G167&lt;&gt;0,SUMIF(куб!$G:$G,$G167,куб!H:H),IF($E167&lt;&gt;0,SUMIF(куб!$E:$E,$E167,куб!H:H),IF($D167&lt;&gt;0,SUMIF(куб!$D:$D,$D167,куб!H:H),IF($C167&lt;&gt;0,SUMIF(куб!$C:$C,$C167,куб!H:H),IF($B167&lt;&gt;0,SUMIF(куб!$B:$B,$B167,куб!H:H),IF($G167&lt;&gt;0,SUMIF(куб!$A:$A,$G167,куб!H:H),SUMIF(куб!$A:$A,$G167,куб!H:H)))))))</f>
        <v>2434462.1854999997</v>
      </c>
      <c r="I167" s="27">
        <f>IF($G167&lt;&gt;0,SUMIF(куб!$G:$G,$G167,куб!I:I),IF($E167&lt;&gt;0,SUMIF(куб!$E:$E,$E167,куб!I:I),IF($D167&lt;&gt;0,SUMIF(куб!$D:$D,$D167,куб!I:I),IF($C167&lt;&gt;0,SUMIF(куб!$C:$C,$C167,куб!I:I),IF($B167&lt;&gt;0,SUMIF(куб!$B:$B,$B167,куб!I:I),IF($G167&lt;&gt;0,SUMIF(куб!$A:$A,$G167,куб!I:I),SUMIF(куб!$A:$A,$G167,куб!I:I)))))))</f>
        <v>2595941.5766000012</v>
      </c>
      <c r="J167" s="19">
        <f t="shared" si="69"/>
        <v>6.6330622041203005E-2</v>
      </c>
      <c r="K167" s="10"/>
      <c r="L167" s="17">
        <f t="shared" si="52"/>
        <v>5.0853286599577109E-3</v>
      </c>
      <c r="M167" s="17">
        <f t="shared" si="53"/>
        <v>5.5350017816994121E-3</v>
      </c>
      <c r="N167" s="12">
        <f t="shared" si="54"/>
        <v>4.4967312174170118E-4</v>
      </c>
      <c r="O167" s="5"/>
      <c r="P167" s="27">
        <f>IF($G167&lt;&gt;0,SUMIF(куб!$G:$G,$G167,куб!J:J),IF($E167&lt;&gt;0,SUMIF(куб!$E:$E,$E167,куб!J:J),IF($D167&lt;&gt;0,SUMIF(куб!$D:$D,$D167,куб!J:J),IF($C167&lt;&gt;0,SUMIF(куб!$C:$C,$C167,куб!J:J),IF($B167&lt;&gt;0,SUMIF(куб!$B:$B,$B167,куб!J:J))))))</f>
        <v>37867</v>
      </c>
      <c r="Q167" s="27">
        <f>IF($G167&lt;&gt;0,SUMIF(куб!$G:$G,$G167,куб!K:K),IF($E167&lt;&gt;0,SUMIF(куб!$E:$E,$E167,куб!K:K),IF($D167&lt;&gt;0,SUMIF(куб!$D:$D,$D167,куб!K:K),IF($C167&lt;&gt;0,SUMIF(куб!$C:$C,$C167,куб!K:K),IF($B167&lt;&gt;0,SUMIF(куб!$B:$B,$B167,куб!K:K))))))</f>
        <v>41569</v>
      </c>
      <c r="R167" s="13">
        <f t="shared" si="55"/>
        <v>9.7763223915282429E-2</v>
      </c>
      <c r="S167" s="5"/>
      <c r="T167" s="27">
        <f>IF($G167&lt;&gt;0,SUMIF(куб!$G:$G,$G167,куб!L:L),IF($E167&lt;&gt;0,SUMIF(куб!$E:$E,$E167,куб!L:L),IF($D167&lt;&gt;0,SUMIF(куб!$D:$D,$D167,куб!L:L),IF($C167&lt;&gt;0,SUMIF(куб!$C:$C,$C167,куб!L:L),IF($B167&lt;&gt;0,SUMIF(куб!$B:$B,$B167,куб!L:L))))))</f>
        <v>29157.589999999967</v>
      </c>
      <c r="U167" s="27">
        <f>IF($G167&lt;&gt;0,SUMIF(куб!$G:$G,$G167,куб!M:M),IF($E167&lt;&gt;0,SUMIF(куб!$E:$E,$E167,куб!M:M),IF($D167&lt;&gt;0,SUMIF(куб!$D:$D,$D167,куб!M:M),IF($C167&lt;&gt;0,SUMIF(куб!$C:$C,$C167,куб!M:M),IF($B167&lt;&gt;0,SUMIF(куб!$B:$B,$B167,куб!M:M))))))</f>
        <v>32008.129999999972</v>
      </c>
      <c r="V167" s="13">
        <f t="shared" si="56"/>
        <v>9.7763223915282693E-2</v>
      </c>
      <c r="W167" s="5"/>
      <c r="X167" s="27">
        <f>IF($G167&lt;&gt;0,SUMIF(куб!$G:$G,$G167,куб!N:N),IF($E167&lt;&gt;0,SUMIF(куб!$E:$E,$E167,куб!N:N),IF($D167&lt;&gt;0,SUMIF(куб!$D:$D,$D167,куб!N:N),IF($C167&lt;&gt;0,SUMIF(куб!$C:$C,$C167,куб!N:N),IF($B167&lt;&gt;0,SUMIF(куб!$B:$B,$B167,куб!N:N))))))</f>
        <v>369933.598</v>
      </c>
      <c r="Y167" s="27">
        <f>IF($G167&lt;&gt;0,SUMIF(куб!$G:$G,$G167,куб!O:O),IF($E167&lt;&gt;0,SUMIF(куб!$E:$E,$E167,куб!O:O),IF($D167&lt;&gt;0,SUMIF(куб!$D:$D,$D167,куб!O:O),IF($C167&lt;&gt;0,SUMIF(куб!$C:$C,$C167,куб!O:O),IF($B167&lt;&gt;0,SUMIF(куб!$B:$B,$B167,куб!O:O))))))</f>
        <v>467366.15310000069</v>
      </c>
      <c r="Z167" s="13">
        <f t="shared" si="57"/>
        <v>0.26337849718640777</v>
      </c>
      <c r="AA167" s="5"/>
      <c r="AB167" s="33">
        <f t="shared" si="58"/>
        <v>0.15195701136923659</v>
      </c>
      <c r="AC167" s="33">
        <f t="shared" si="59"/>
        <v>0.18003723863159013</v>
      </c>
      <c r="AD167" s="15">
        <f t="shared" si="60"/>
        <v>2.8080227262353541E-2</v>
      </c>
      <c r="AE167" s="5"/>
      <c r="AF167" s="27">
        <f>IF($G167&lt;&gt;0,SUMIF(куб!$G:$G,$G167,куб!R:R),IF($E167&lt;&gt;0,SUMIF(куб!$E:$E,$E167,куб!R:R),IF($D167&lt;&gt;0,SUMIF(куб!$D:$D,$D167,куб!R:R),IF($C167&lt;&gt;0,SUMIF(куб!$C:$C,$C167,куб!R:R),IF($B167&lt;&gt;0,SUMIF(куб!$B:$B,$B167,куб!R:R))))))</f>
        <v>29299.799499999997</v>
      </c>
      <c r="AG167" s="27">
        <f>IF($G167&lt;&gt;0,SUMIF(куб!$G:$G,$G167,куб!S:S),IF($E167&lt;&gt;0,SUMIF(куб!$E:$E,$E167,куб!S:S),IF($D167&lt;&gt;0,SUMIF(куб!$D:$D,$D167,куб!S:S),IF($C167&lt;&gt;0,SUMIF(куб!$C:$C,$C167,куб!S:S),IF($B167&lt;&gt;0,SUMIF(куб!$B:$B,$B167,куб!S:S))))))</f>
        <v>26009.768000000004</v>
      </c>
      <c r="AH167" s="16">
        <f t="shared" si="61"/>
        <v>-0.11228853289593309</v>
      </c>
      <c r="AI167" s="8"/>
      <c r="AJ167" s="27">
        <f>IF($G167&lt;&gt;0,SUMIF(куб!$G:$G,$G167,куб!T:T),IF($E167&lt;&gt;0,SUMIF(куб!$E:$E,$E167,куб!T:T),IF($D167&lt;&gt;0,SUMIF(куб!$D:$D,$D167,куб!T:T),IF($C167&lt;&gt;0,SUMIF(куб!$C:$C,$C167,куб!T:T),IF($B167&lt;&gt;0,SUMIF(куб!$B:$B,$B167,куб!T:T))))))</f>
        <v>546</v>
      </c>
      <c r="AK167" s="27">
        <f>IF($G167&lt;&gt;0,SUMIF(куб!$G:$G,$G167,куб!U:U),IF($E167&lt;&gt;0,SUMIF(куб!$E:$E,$E167,куб!U:U),IF($D167&lt;&gt;0,SUMIF(куб!$D:$D,$D167,куб!U:U),IF($C167&lt;&gt;0,SUMIF(куб!$C:$C,$C167,куб!U:U),IF($B167&lt;&gt;0,SUMIF(куб!$B:$B,$B167,куб!U:U))))))</f>
        <v>497</v>
      </c>
      <c r="AL167" s="16">
        <f t="shared" si="62"/>
        <v>-8.9743589743589744E-2</v>
      </c>
      <c r="AM167" s="8"/>
      <c r="AN167" s="17">
        <f t="shared" si="63"/>
        <v>1.2035430114508961E-2</v>
      </c>
      <c r="AO167" s="17">
        <f t="shared" si="64"/>
        <v>1.0019396520497175E-2</v>
      </c>
      <c r="AP167" s="16">
        <f t="shared" si="65"/>
        <v>-2.0160335940117863E-3</v>
      </c>
      <c r="AQ167" s="8"/>
      <c r="AR167" s="17">
        <f t="shared" si="66"/>
        <v>0.13992158125472762</v>
      </c>
      <c r="AS167" s="17">
        <f t="shared" si="67"/>
        <v>0.17001784211109294</v>
      </c>
      <c r="AT167" s="13">
        <f t="shared" si="68"/>
        <v>3.0096260856365326E-2</v>
      </c>
      <c r="AU167" s="8"/>
    </row>
    <row r="168" spans="1:47" ht="15" customHeight="1" x14ac:dyDescent="0.25">
      <c r="A168" s="31" t="s">
        <v>26</v>
      </c>
      <c r="B168" s="31" t="s">
        <v>32</v>
      </c>
      <c r="C168" t="s">
        <v>33</v>
      </c>
      <c r="D168" s="31" t="s">
        <v>34</v>
      </c>
      <c r="E168" t="s">
        <v>357</v>
      </c>
      <c r="F168" s="31" t="s">
        <v>360</v>
      </c>
      <c r="G168" t="s">
        <v>361</v>
      </c>
      <c r="H168" s="27">
        <f>IF($G168&lt;&gt;0,SUMIF(куб!$G:$G,$G168,куб!H:H),IF($E168&lt;&gt;0,SUMIF(куб!$E:$E,$E168,куб!H:H),IF($D168&lt;&gt;0,SUMIF(куб!$D:$D,$D168,куб!H:H),IF($C168&lt;&gt;0,SUMIF(куб!$C:$C,$C168,куб!H:H),IF($B168&lt;&gt;0,SUMIF(куб!$B:$B,$B168,куб!H:H),IF($G168&lt;&gt;0,SUMIF(куб!$A:$A,$G168,куб!H:H),SUMIF(куб!$A:$A,$G168,куб!H:H)))))))</f>
        <v>551642.16429999995</v>
      </c>
      <c r="I168" s="27">
        <f>IF($G168&lt;&gt;0,SUMIF(куб!$G:$G,$G168,куб!I:I),IF($E168&lt;&gt;0,SUMIF(куб!$E:$E,$E168,куб!I:I),IF($D168&lt;&gt;0,SUMIF(куб!$D:$D,$D168,куб!I:I),IF($C168&lt;&gt;0,SUMIF(куб!$C:$C,$C168,куб!I:I),IF($B168&lt;&gt;0,SUMIF(куб!$B:$B,$B168,куб!I:I),IF($G168&lt;&gt;0,SUMIF(куб!$A:$A,$G168,куб!I:I),SUMIF(куб!$A:$A,$G168,куб!I:I)))))))</f>
        <v>582280.7672</v>
      </c>
      <c r="J168" s="19">
        <f t="shared" si="69"/>
        <v>5.5540719841237235E-2</v>
      </c>
      <c r="K168" s="5"/>
      <c r="L168" s="17">
        <f t="shared" si="52"/>
        <v>1.152320921172875E-3</v>
      </c>
      <c r="M168" s="17">
        <f t="shared" si="53"/>
        <v>1.2415245061572157E-3</v>
      </c>
      <c r="N168" s="12">
        <f t="shared" si="54"/>
        <v>8.9203584984340637E-5</v>
      </c>
      <c r="O168" s="5"/>
      <c r="P168" s="27">
        <f>IF($G168&lt;&gt;0,SUMIF(куб!$G:$G,$G168,куб!J:J),IF($E168&lt;&gt;0,SUMIF(куб!$E:$E,$E168,куб!J:J),IF($D168&lt;&gt;0,SUMIF(куб!$D:$D,$D168,куб!J:J),IF($C168&lt;&gt;0,SUMIF(куб!$C:$C,$C168,куб!J:J),IF($B168&lt;&gt;0,SUMIF(куб!$B:$B,$B168,куб!J:J))))))</f>
        <v>6014</v>
      </c>
      <c r="Q168" s="27">
        <f>IF($G168&lt;&gt;0,SUMIF(куб!$G:$G,$G168,куб!K:K),IF($E168&lt;&gt;0,SUMIF(куб!$E:$E,$E168,куб!K:K),IF($D168&lt;&gt;0,SUMIF(куб!$D:$D,$D168,куб!K:K),IF($C168&lt;&gt;0,SUMIF(куб!$C:$C,$C168,куб!K:K),IF($B168&lt;&gt;0,SUMIF(куб!$B:$B,$B168,куб!K:K))))))</f>
        <v>6067</v>
      </c>
      <c r="R168" s="13">
        <f t="shared" si="55"/>
        <v>8.8127702028599937E-3</v>
      </c>
      <c r="S168" s="5"/>
      <c r="T168" s="27">
        <f>IF($G168&lt;&gt;0,SUMIF(куб!$G:$G,$G168,куб!L:L),IF($E168&lt;&gt;0,SUMIF(куб!$E:$E,$E168,куб!L:L),IF($D168&lt;&gt;0,SUMIF(куб!$D:$D,$D168,куб!L:L),IF($C168&lt;&gt;0,SUMIF(куб!$C:$C,$C168,куб!L:L),IF($B168&lt;&gt;0,SUMIF(куб!$B:$B,$B168,куб!L:L))))))</f>
        <v>5562.949999999998</v>
      </c>
      <c r="U168" s="27">
        <f>IF($G168&lt;&gt;0,SUMIF(куб!$G:$G,$G168,куб!M:M),IF($E168&lt;&gt;0,SUMIF(куб!$E:$E,$E168,куб!M:M),IF($D168&lt;&gt;0,SUMIF(куб!$D:$D,$D168,куб!M:M),IF($C168&lt;&gt;0,SUMIF(куб!$C:$C,$C168,куб!M:M),IF($B168&lt;&gt;0,SUMIF(куб!$B:$B,$B168,куб!M:M))))))</f>
        <v>5611.9749999999995</v>
      </c>
      <c r="V168" s="13">
        <f t="shared" si="56"/>
        <v>8.8127702028602574E-3</v>
      </c>
      <c r="W168" s="5"/>
      <c r="X168" s="27">
        <f>IF($G168&lt;&gt;0,SUMIF(куб!$G:$G,$G168,куб!N:N),IF($E168&lt;&gt;0,SUMIF(куб!$E:$E,$E168,куб!N:N),IF($D168&lt;&gt;0,SUMIF(куб!$D:$D,$D168,куб!N:N),IF($C168&lt;&gt;0,SUMIF(куб!$C:$C,$C168,куб!N:N),IF($B168&lt;&gt;0,SUMIF(куб!$B:$B,$B168,куб!N:N))))))</f>
        <v>49356.583000000333</v>
      </c>
      <c r="Y168" s="27">
        <f>IF($G168&lt;&gt;0,SUMIF(куб!$G:$G,$G168,куб!O:O),IF($E168&lt;&gt;0,SUMIF(куб!$E:$E,$E168,куб!O:O),IF($D168&lt;&gt;0,SUMIF(куб!$D:$D,$D168,куб!O:O),IF($C168&lt;&gt;0,SUMIF(куб!$C:$C,$C168,куб!O:O),IF($B168&lt;&gt;0,SUMIF(куб!$B:$B,$B168,куб!O:O))))))</f>
        <v>35260.352700000047</v>
      </c>
      <c r="Z168" s="13">
        <f t="shared" si="57"/>
        <v>-0.28559980134767821</v>
      </c>
      <c r="AA168" s="5"/>
      <c r="AB168" s="33">
        <f t="shared" si="58"/>
        <v>8.9472100202185975E-2</v>
      </c>
      <c r="AC168" s="33">
        <f t="shared" si="59"/>
        <v>6.0555585357139112E-2</v>
      </c>
      <c r="AD168" s="15">
        <f t="shared" si="60"/>
        <v>-2.8916514845046863E-2</v>
      </c>
      <c r="AE168" s="5"/>
      <c r="AF168" s="27">
        <f>IF($G168&lt;&gt;0,SUMIF(куб!$G:$G,$G168,куб!R:R),IF($E168&lt;&gt;0,SUMIF(куб!$E:$E,$E168,куб!R:R),IF($D168&lt;&gt;0,SUMIF(куб!$D:$D,$D168,куб!R:R),IF($C168&lt;&gt;0,SUMIF(куб!$C:$C,$C168,куб!R:R),IF($B168&lt;&gt;0,SUMIF(куб!$B:$B,$B168,куб!R:R))))))</f>
        <v>83.518100000000004</v>
      </c>
      <c r="AG168" s="27">
        <f>IF($G168&lt;&gt;0,SUMIF(куб!$G:$G,$G168,куб!S:S),IF($E168&lt;&gt;0,SUMIF(куб!$E:$E,$E168,куб!S:S),IF($D168&lt;&gt;0,SUMIF(куб!$D:$D,$D168,куб!S:S),IF($C168&lt;&gt;0,SUMIF(куб!$C:$C,$C168,куб!S:S),IF($B168&lt;&gt;0,SUMIF(куб!$B:$B,$B168,куб!S:S))))))</f>
        <v>1471.4908</v>
      </c>
      <c r="AH168" s="16">
        <f t="shared" si="61"/>
        <v>16.618825140897602</v>
      </c>
      <c r="AI168" s="8"/>
      <c r="AJ168" s="27">
        <f>IF($G168&lt;&gt;0,SUMIF(куб!$G:$G,$G168,куб!T:T),IF($E168&lt;&gt;0,SUMIF(куб!$E:$E,$E168,куб!T:T),IF($D168&lt;&gt;0,SUMIF(куб!$D:$D,$D168,куб!T:T),IF($C168&lt;&gt;0,SUMIF(куб!$C:$C,$C168,куб!T:T),IF($B168&lt;&gt;0,SUMIF(куб!$B:$B,$B168,куб!T:T))))))</f>
        <v>1</v>
      </c>
      <c r="AK168" s="27">
        <f>IF($G168&lt;&gt;0,SUMIF(куб!$G:$G,$G168,куб!U:U),IF($E168&lt;&gt;0,SUMIF(куб!$E:$E,$E168,куб!U:U),IF($D168&lt;&gt;0,SUMIF(куб!$D:$D,$D168,куб!U:U),IF($C168&lt;&gt;0,SUMIF(куб!$C:$C,$C168,куб!U:U),IF($B168&lt;&gt;0,SUMIF(куб!$B:$B,$B168,куб!U:U))))))</f>
        <v>16</v>
      </c>
      <c r="AL168" s="16">
        <f t="shared" si="62"/>
        <v>15</v>
      </c>
      <c r="AM168" s="8"/>
      <c r="AN168" s="17">
        <f t="shared" si="63"/>
        <v>1.5139905069798163E-4</v>
      </c>
      <c r="AO168" s="17">
        <f t="shared" si="64"/>
        <v>2.527115582188853E-3</v>
      </c>
      <c r="AP168" s="16">
        <f t="shared" si="65"/>
        <v>2.3757165314908712E-3</v>
      </c>
      <c r="AQ168" s="8"/>
      <c r="AR168" s="17">
        <f t="shared" si="66"/>
        <v>8.9320701151487991E-2</v>
      </c>
      <c r="AS168" s="17">
        <f t="shared" si="67"/>
        <v>5.8028469774950256E-2</v>
      </c>
      <c r="AT168" s="13">
        <f t="shared" si="68"/>
        <v>-3.1292231376537735E-2</v>
      </c>
      <c r="AU168" s="8"/>
    </row>
    <row r="169" spans="1:47" ht="15" customHeight="1" x14ac:dyDescent="0.25">
      <c r="A169" s="31" t="s">
        <v>26</v>
      </c>
      <c r="B169" s="31" t="s">
        <v>32</v>
      </c>
      <c r="C169" t="s">
        <v>33</v>
      </c>
      <c r="D169" s="31" t="s">
        <v>34</v>
      </c>
      <c r="E169" t="s">
        <v>357</v>
      </c>
      <c r="F169" s="31" t="s">
        <v>362</v>
      </c>
      <c r="G169" t="s">
        <v>363</v>
      </c>
      <c r="H169" s="27">
        <f>IF($G169&lt;&gt;0,SUMIF(куб!$G:$G,$G169,куб!H:H),IF($E169&lt;&gt;0,SUMIF(куб!$E:$E,$E169,куб!H:H),IF($D169&lt;&gt;0,SUMIF(куб!$D:$D,$D169,куб!H:H),IF($C169&lt;&gt;0,SUMIF(куб!$C:$C,$C169,куб!H:H),IF($B169&lt;&gt;0,SUMIF(куб!$B:$B,$B169,куб!H:H),IF($G169&lt;&gt;0,SUMIF(куб!$A:$A,$G169,куб!H:H),SUMIF(куб!$A:$A,$G169,куб!H:H)))))))</f>
        <v>248132.75359999988</v>
      </c>
      <c r="I169" s="27">
        <f>IF($G169&lt;&gt;0,SUMIF(куб!$G:$G,$G169,куб!I:I),IF($E169&lt;&gt;0,SUMIF(куб!$E:$E,$E169,куб!I:I),IF($D169&lt;&gt;0,SUMIF(куб!$D:$D,$D169,куб!I:I),IF($C169&lt;&gt;0,SUMIF(куб!$C:$C,$C169,куб!I:I),IF($B169&lt;&gt;0,SUMIF(куб!$B:$B,$B169,куб!I:I),IF($G169&lt;&gt;0,SUMIF(куб!$A:$A,$G169,куб!I:I),SUMIF(куб!$A:$A,$G169,куб!I:I)))))))</f>
        <v>0</v>
      </c>
      <c r="J169" s="19">
        <f t="shared" si="69"/>
        <v>-1</v>
      </c>
      <c r="K169" s="5"/>
      <c r="L169" s="17">
        <f t="shared" si="52"/>
        <v>5.1832253171644278E-4</v>
      </c>
      <c r="M169" s="17">
        <f t="shared" si="53"/>
        <v>0</v>
      </c>
      <c r="N169" s="12">
        <f t="shared" si="54"/>
        <v>-5.1832253171644278E-4</v>
      </c>
      <c r="O169" s="5"/>
      <c r="P169" s="27">
        <f>IF($G169&lt;&gt;0,SUMIF(куб!$G:$G,$G169,куб!J:J),IF($E169&lt;&gt;0,SUMIF(куб!$E:$E,$E169,куб!J:J),IF($D169&lt;&gt;0,SUMIF(куб!$D:$D,$D169,куб!J:J),IF($C169&lt;&gt;0,SUMIF(куб!$C:$C,$C169,куб!J:J),IF($B169&lt;&gt;0,SUMIF(куб!$B:$B,$B169,куб!J:J))))))</f>
        <v>2940</v>
      </c>
      <c r="Q169" s="27">
        <f>IF($G169&lt;&gt;0,SUMIF(куб!$G:$G,$G169,куб!K:K),IF($E169&lt;&gt;0,SUMIF(куб!$E:$E,$E169,куб!K:K),IF($D169&lt;&gt;0,SUMIF(куб!$D:$D,$D169,куб!K:K),IF($C169&lt;&gt;0,SUMIF(куб!$C:$C,$C169,куб!K:K),IF($B169&lt;&gt;0,SUMIF(куб!$B:$B,$B169,куб!K:K))))))</f>
        <v>0</v>
      </c>
      <c r="R169" s="13">
        <f t="shared" si="55"/>
        <v>-1</v>
      </c>
      <c r="S169" s="5"/>
      <c r="T169" s="27">
        <f>IF($G169&lt;&gt;0,SUMIF(куб!$G:$G,$G169,куб!L:L),IF($E169&lt;&gt;0,SUMIF(куб!$E:$E,$E169,куб!L:L),IF($D169&lt;&gt;0,SUMIF(куб!$D:$D,$D169,куб!L:L),IF($C169&lt;&gt;0,SUMIF(куб!$C:$C,$C169,куб!L:L),IF($B169&lt;&gt;0,SUMIF(куб!$B:$B,$B169,куб!L:L))))))</f>
        <v>2454.8999999999992</v>
      </c>
      <c r="U169" s="27">
        <f>IF($G169&lt;&gt;0,SUMIF(куб!$G:$G,$G169,куб!M:M),IF($E169&lt;&gt;0,SUMIF(куб!$E:$E,$E169,куб!M:M),IF($D169&lt;&gt;0,SUMIF(куб!$D:$D,$D169,куб!M:M),IF($C169&lt;&gt;0,SUMIF(куб!$C:$C,$C169,куб!M:M),IF($B169&lt;&gt;0,SUMIF(куб!$B:$B,$B169,куб!M:M))))))</f>
        <v>0</v>
      </c>
      <c r="V169" s="13">
        <f t="shared" si="56"/>
        <v>-1</v>
      </c>
      <c r="W169" s="5"/>
      <c r="X169" s="27">
        <f>IF($G169&lt;&gt;0,SUMIF(куб!$G:$G,$G169,куб!N:N),IF($E169&lt;&gt;0,SUMIF(куб!$E:$E,$E169,куб!N:N),IF($D169&lt;&gt;0,SUMIF(куб!$D:$D,$D169,куб!N:N),IF($C169&lt;&gt;0,SUMIF(куб!$C:$C,$C169,куб!N:N),IF($B169&lt;&gt;0,SUMIF(куб!$B:$B,$B169,куб!N:N))))))</f>
        <v>29253.152499999967</v>
      </c>
      <c r="Y169" s="27">
        <f>IF($G169&lt;&gt;0,SUMIF(куб!$G:$G,$G169,куб!O:O),IF($E169&lt;&gt;0,SUMIF(куб!$E:$E,$E169,куб!O:O),IF($D169&lt;&gt;0,SUMIF(куб!$D:$D,$D169,куб!O:O),IF($C169&lt;&gt;0,SUMIF(куб!$C:$C,$C169,куб!O:O),IF($B169&lt;&gt;0,SUMIF(куб!$B:$B,$B169,куб!O:O))))))</f>
        <v>0</v>
      </c>
      <c r="Z169" s="13">
        <f t="shared" si="57"/>
        <v>-1</v>
      </c>
      <c r="AA169" s="5"/>
      <c r="AB169" s="33">
        <f t="shared" si="58"/>
        <v>0.11789315225654265</v>
      </c>
      <c r="AC169" s="33" t="str">
        <f t="shared" si="59"/>
        <v/>
      </c>
      <c r="AD169" s="15" t="str">
        <f t="shared" si="60"/>
        <v xml:space="preserve"> </v>
      </c>
      <c r="AE169" s="5"/>
      <c r="AF169" s="27">
        <f>IF($G169&lt;&gt;0,SUMIF(куб!$G:$G,$G169,куб!R:R),IF($E169&lt;&gt;0,SUMIF(куб!$E:$E,$E169,куб!R:R),IF($D169&lt;&gt;0,SUMIF(куб!$D:$D,$D169,куб!R:R),IF($C169&lt;&gt;0,SUMIF(куб!$C:$C,$C169,куб!R:R),IF($B169&lt;&gt;0,SUMIF(куб!$B:$B,$B169,куб!R:R))))))</f>
        <v>1563.3538999999998</v>
      </c>
      <c r="AG169" s="27">
        <f>IF($G169&lt;&gt;0,SUMIF(куб!$G:$G,$G169,куб!S:S),IF($E169&lt;&gt;0,SUMIF(куб!$E:$E,$E169,куб!S:S),IF($D169&lt;&gt;0,SUMIF(куб!$D:$D,$D169,куб!S:S),IF($C169&lt;&gt;0,SUMIF(куб!$C:$C,$C169,куб!S:S),IF($B169&lt;&gt;0,SUMIF(куб!$B:$B,$B169,куб!S:S))))))</f>
        <v>0</v>
      </c>
      <c r="AH169" s="16">
        <f t="shared" si="61"/>
        <v>-1</v>
      </c>
      <c r="AI169" s="8"/>
      <c r="AJ169" s="27">
        <f>IF($G169&lt;&gt;0,SUMIF(куб!$G:$G,$G169,куб!T:T),IF($E169&lt;&gt;0,SUMIF(куб!$E:$E,$E169,куб!T:T),IF($D169&lt;&gt;0,SUMIF(куб!$D:$D,$D169,куб!T:T),IF($C169&lt;&gt;0,SUMIF(куб!$C:$C,$C169,куб!T:T),IF($B169&lt;&gt;0,SUMIF(куб!$B:$B,$B169,куб!T:T))))))</f>
        <v>21</v>
      </c>
      <c r="AK169" s="27">
        <f>IF($G169&lt;&gt;0,SUMIF(куб!$G:$G,$G169,куб!U:U),IF($E169&lt;&gt;0,SUMIF(куб!$E:$E,$E169,куб!U:U),IF($D169&lt;&gt;0,SUMIF(куб!$D:$D,$D169,куб!U:U),IF($C169&lt;&gt;0,SUMIF(куб!$C:$C,$C169,куб!U:U),IF($B169&lt;&gt;0,SUMIF(куб!$B:$B,$B169,куб!U:U))))))</f>
        <v>0</v>
      </c>
      <c r="AL169" s="16">
        <f t="shared" si="62"/>
        <v>-1</v>
      </c>
      <c r="AM169" s="8"/>
      <c r="AN169" s="17">
        <f t="shared" si="63"/>
        <v>6.3004737476947126E-3</v>
      </c>
      <c r="AO169" s="17" t="str">
        <f t="shared" si="64"/>
        <v xml:space="preserve"> </v>
      </c>
      <c r="AP169" s="16" t="str">
        <f t="shared" si="65"/>
        <v>-</v>
      </c>
      <c r="AQ169" s="8"/>
      <c r="AR169" s="17">
        <f t="shared" si="66"/>
        <v>0.11159267850884795</v>
      </c>
      <c r="AS169" s="17" t="str">
        <f t="shared" si="67"/>
        <v>-</v>
      </c>
      <c r="AT169" s="13" t="str">
        <f t="shared" si="68"/>
        <v>-</v>
      </c>
      <c r="AU169" s="8"/>
    </row>
    <row r="170" spans="1:47" ht="15" customHeight="1" x14ac:dyDescent="0.25">
      <c r="A170" s="31" t="s">
        <v>26</v>
      </c>
      <c r="B170" s="31" t="s">
        <v>32</v>
      </c>
      <c r="C170" t="s">
        <v>33</v>
      </c>
      <c r="D170" s="31" t="s">
        <v>34</v>
      </c>
      <c r="E170" t="s">
        <v>357</v>
      </c>
      <c r="F170" s="31" t="s">
        <v>364</v>
      </c>
      <c r="G170" t="s">
        <v>365</v>
      </c>
      <c r="H170" s="27">
        <f>IF($G170&lt;&gt;0,SUMIF(куб!$G:$G,$G170,куб!H:H),IF($E170&lt;&gt;0,SUMIF(куб!$E:$E,$E170,куб!H:H),IF($D170&lt;&gt;0,SUMIF(куб!$D:$D,$D170,куб!H:H),IF($C170&lt;&gt;0,SUMIF(куб!$C:$C,$C170,куб!H:H),IF($B170&lt;&gt;0,SUMIF(куб!$B:$B,$B170,куб!H:H),IF($G170&lt;&gt;0,SUMIF(куб!$A:$A,$G170,куб!H:H),SUMIF(куб!$A:$A,$G170,куб!H:H)))))))</f>
        <v>565959.26570000011</v>
      </c>
      <c r="I170" s="27">
        <f>IF($G170&lt;&gt;0,SUMIF(куб!$G:$G,$G170,куб!I:I),IF($E170&lt;&gt;0,SUMIF(куб!$E:$E,$E170,куб!I:I),IF($D170&lt;&gt;0,SUMIF(куб!$D:$D,$D170,куб!I:I),IF($C170&lt;&gt;0,SUMIF(куб!$C:$C,$C170,куб!I:I),IF($B170&lt;&gt;0,SUMIF(куб!$B:$B,$B170,куб!I:I),IF($G170&lt;&gt;0,SUMIF(куб!$A:$A,$G170,куб!I:I),SUMIF(куб!$A:$A,$G170,куб!I:I)))))))</f>
        <v>93975.138200000016</v>
      </c>
      <c r="J170" s="19">
        <f t="shared" si="69"/>
        <v>-0.8339542368234435</v>
      </c>
      <c r="K170" s="8"/>
      <c r="L170" s="17">
        <f t="shared" si="52"/>
        <v>1.1822278001996232E-3</v>
      </c>
      <c r="M170" s="17">
        <f t="shared" si="53"/>
        <v>2.0037144212379048E-4</v>
      </c>
      <c r="N170" s="12">
        <f t="shared" si="54"/>
        <v>-9.8185635807583279E-4</v>
      </c>
      <c r="O170" s="5"/>
      <c r="P170" s="27">
        <f>IF($G170&lt;&gt;0,SUMIF(куб!$G:$G,$G170,куб!J:J),IF($E170&lt;&gt;0,SUMIF(куб!$E:$E,$E170,куб!J:J),IF($D170&lt;&gt;0,SUMIF(куб!$D:$D,$D170,куб!J:J),IF($C170&lt;&gt;0,SUMIF(куб!$C:$C,$C170,куб!J:J),IF($B170&lt;&gt;0,SUMIF(куб!$B:$B,$B170,куб!J:J))))))</f>
        <v>6238</v>
      </c>
      <c r="Q170" s="27">
        <f>IF($G170&lt;&gt;0,SUMIF(куб!$G:$G,$G170,куб!K:K),IF($E170&lt;&gt;0,SUMIF(куб!$E:$E,$E170,куб!K:K),IF($D170&lt;&gt;0,SUMIF(куб!$D:$D,$D170,куб!K:K),IF($C170&lt;&gt;0,SUMIF(куб!$C:$C,$C170,куб!K:K),IF($B170&lt;&gt;0,SUMIF(куб!$B:$B,$B170,куб!K:K))))))</f>
        <v>1147</v>
      </c>
      <c r="R170" s="13">
        <f t="shared" si="55"/>
        <v>-0.81612696377043925</v>
      </c>
      <c r="S170" s="5"/>
      <c r="T170" s="27">
        <f>IF($G170&lt;&gt;0,SUMIF(куб!$G:$G,$G170,куб!L:L),IF($E170&lt;&gt;0,SUMIF(куб!$E:$E,$E170,куб!L:L),IF($D170&lt;&gt;0,SUMIF(куб!$D:$D,$D170,куб!L:L),IF($C170&lt;&gt;0,SUMIF(куб!$C:$C,$C170,куб!L:L),IF($B170&lt;&gt;0,SUMIF(куб!$B:$B,$B170,куб!L:L))))))</f>
        <v>5614.1999999999989</v>
      </c>
      <c r="U170" s="27">
        <f>IF($G170&lt;&gt;0,SUMIF(куб!$G:$G,$G170,куб!M:M),IF($E170&lt;&gt;0,SUMIF(куб!$E:$E,$E170,куб!M:M),IF($D170&lt;&gt;0,SUMIF(куб!$D:$D,$D170,куб!M:M),IF($C170&lt;&gt;0,SUMIF(куб!$C:$C,$C170,куб!M:M),IF($B170&lt;&gt;0,SUMIF(куб!$B:$B,$B170,куб!M:M))))))</f>
        <v>1032.2999999999995</v>
      </c>
      <c r="V170" s="13">
        <f t="shared" si="56"/>
        <v>-0.81612696377043936</v>
      </c>
      <c r="W170" s="5"/>
      <c r="X170" s="27">
        <f>IF($G170&lt;&gt;0,SUMIF(куб!$G:$G,$G170,куб!N:N),IF($E170&lt;&gt;0,SUMIF(куб!$E:$E,$E170,куб!N:N),IF($D170&lt;&gt;0,SUMIF(куб!$D:$D,$D170,куб!N:N),IF($C170&lt;&gt;0,SUMIF(куб!$C:$C,$C170,куб!N:N),IF($B170&lt;&gt;0,SUMIF(куб!$B:$B,$B170,куб!N:N))))))</f>
        <v>74901.329800000298</v>
      </c>
      <c r="Y170" s="27">
        <f>IF($G170&lt;&gt;0,SUMIF(куб!$G:$G,$G170,куб!O:O),IF($E170&lt;&gt;0,SUMIF(куб!$E:$E,$E170,куб!O:O),IF($D170&lt;&gt;0,SUMIF(куб!$D:$D,$D170,куб!O:O),IF($C170&lt;&gt;0,SUMIF(куб!$C:$C,$C170,куб!O:O),IF($B170&lt;&gt;0,SUMIF(куб!$B:$B,$B170,куб!O:O))))))</f>
        <v>3612.4021000000648</v>
      </c>
      <c r="Z170" s="13">
        <f t="shared" si="57"/>
        <v>-0.95177118871392785</v>
      </c>
      <c r="AA170" s="5"/>
      <c r="AB170" s="33">
        <f t="shared" si="58"/>
        <v>0.1323440295784529</v>
      </c>
      <c r="AC170" s="33">
        <f t="shared" si="59"/>
        <v>3.8439976457518676E-2</v>
      </c>
      <c r="AD170" s="15">
        <f t="shared" si="60"/>
        <v>-9.3904053120934222E-2</v>
      </c>
      <c r="AE170" s="5"/>
      <c r="AF170" s="27">
        <f>IF($G170&lt;&gt;0,SUMIF(куб!$G:$G,$G170,куб!R:R),IF($E170&lt;&gt;0,SUMIF(куб!$E:$E,$E170,куб!R:R),IF($D170&lt;&gt;0,SUMIF(куб!$D:$D,$D170,куб!R:R),IF($C170&lt;&gt;0,SUMIF(куб!$C:$C,$C170,куб!R:R),IF($B170&lt;&gt;0,SUMIF(куб!$B:$B,$B170,куб!R:R))))))</f>
        <v>10101.3622</v>
      </c>
      <c r="AG170" s="27">
        <f>IF($G170&lt;&gt;0,SUMIF(куб!$G:$G,$G170,куб!S:S),IF($E170&lt;&gt;0,SUMIF(куб!$E:$E,$E170,куб!S:S),IF($D170&lt;&gt;0,SUMIF(куб!$D:$D,$D170,куб!S:S),IF($C170&lt;&gt;0,SUMIF(куб!$C:$C,$C170,куб!S:S),IF($B170&lt;&gt;0,SUMIF(куб!$B:$B,$B170,куб!S:S))))))</f>
        <v>2442.2359000000001</v>
      </c>
      <c r="AH170" s="16">
        <f t="shared" si="61"/>
        <v>-0.75822707357231489</v>
      </c>
      <c r="AI170" s="8"/>
      <c r="AJ170" s="27">
        <f>IF($G170&lt;&gt;0,SUMIF(куб!$G:$G,$G170,куб!T:T),IF($E170&lt;&gt;0,SUMIF(куб!$E:$E,$E170,куб!T:T),IF($D170&lt;&gt;0,SUMIF(куб!$D:$D,$D170,куб!T:T),IF($C170&lt;&gt;0,SUMIF(куб!$C:$C,$C170,куб!T:T),IF($B170&lt;&gt;0,SUMIF(куб!$B:$B,$B170,куб!T:T))))))</f>
        <v>129</v>
      </c>
      <c r="AK170" s="27">
        <f>IF($G170&lt;&gt;0,SUMIF(куб!$G:$G,$G170,куб!U:U),IF($E170&lt;&gt;0,SUMIF(куб!$E:$E,$E170,куб!U:U),IF($D170&lt;&gt;0,SUMIF(куб!$D:$D,$D170,куб!U:U),IF($C170&lt;&gt;0,SUMIF(куб!$C:$C,$C170,куб!U:U),IF($B170&lt;&gt;0,SUMIF(куб!$B:$B,$B170,куб!U:U))))))</f>
        <v>31</v>
      </c>
      <c r="AL170" s="16">
        <f t="shared" si="62"/>
        <v>-0.75968992248062017</v>
      </c>
      <c r="AM170" s="8"/>
      <c r="AN170" s="17">
        <f t="shared" si="63"/>
        <v>1.7848214195249984E-2</v>
      </c>
      <c r="AO170" s="17">
        <f t="shared" si="64"/>
        <v>2.5988106501129888E-2</v>
      </c>
      <c r="AP170" s="16">
        <f t="shared" si="65"/>
        <v>8.139892305879904E-3</v>
      </c>
      <c r="AQ170" s="8"/>
      <c r="AR170" s="17">
        <f t="shared" si="66"/>
        <v>0.11449581538320291</v>
      </c>
      <c r="AS170" s="17">
        <f t="shared" si="67"/>
        <v>1.245186995638879E-2</v>
      </c>
      <c r="AT170" s="13">
        <f t="shared" si="68"/>
        <v>-0.10204394542681412</v>
      </c>
      <c r="AU170" s="8"/>
    </row>
    <row r="171" spans="1:47" ht="15" customHeight="1" x14ac:dyDescent="0.25">
      <c r="A171" s="31" t="s">
        <v>26</v>
      </c>
      <c r="B171" s="31" t="s">
        <v>32</v>
      </c>
      <c r="C171" t="s">
        <v>33</v>
      </c>
      <c r="D171" s="31" t="s">
        <v>34</v>
      </c>
      <c r="E171" t="s">
        <v>357</v>
      </c>
      <c r="F171" s="31" t="s">
        <v>366</v>
      </c>
      <c r="G171" t="s">
        <v>367</v>
      </c>
      <c r="H171" s="27">
        <f>IF($G171&lt;&gt;0,SUMIF(куб!$G:$G,$G171,куб!H:H),IF($E171&lt;&gt;0,SUMIF(куб!$E:$E,$E171,куб!H:H),IF($D171&lt;&gt;0,SUMIF(куб!$D:$D,$D171,куб!H:H),IF($C171&lt;&gt;0,SUMIF(куб!$C:$C,$C171,куб!H:H),IF($B171&lt;&gt;0,SUMIF(куб!$B:$B,$B171,куб!H:H),IF($G171&lt;&gt;0,SUMIF(куб!$A:$A,$G171,куб!H:H),SUMIF(куб!$A:$A,$G171,куб!H:H)))))))</f>
        <v>2579833.8973000022</v>
      </c>
      <c r="I171" s="27">
        <f>IF($G171&lt;&gt;0,SUMIF(куб!$G:$G,$G171,куб!I:I),IF($E171&lt;&gt;0,SUMIF(куб!$E:$E,$E171,куб!I:I),IF($D171&lt;&gt;0,SUMIF(куб!$D:$D,$D171,куб!I:I),IF($C171&lt;&gt;0,SUMIF(куб!$C:$C,$C171,куб!I:I),IF($B171&lt;&gt;0,SUMIF(куб!$B:$B,$B171,куб!I:I),IF($G171&lt;&gt;0,SUMIF(куб!$A:$A,$G171,куб!I:I),SUMIF(куб!$A:$A,$G171,куб!I:I)))))))</f>
        <v>3102526.1924000005</v>
      </c>
      <c r="J171" s="19">
        <f t="shared" si="69"/>
        <v>0.20260695684595689</v>
      </c>
      <c r="K171" s="10"/>
      <c r="L171" s="17">
        <f t="shared" si="52"/>
        <v>5.3889944703230637E-3</v>
      </c>
      <c r="M171" s="17">
        <f t="shared" si="53"/>
        <v>6.6151288447695057E-3</v>
      </c>
      <c r="N171" s="12">
        <f t="shared" si="54"/>
        <v>1.226134374446442E-3</v>
      </c>
      <c r="O171" s="5"/>
      <c r="P171" s="27">
        <f>IF($G171&lt;&gt;0,SUMIF(куб!$G:$G,$G171,куб!J:J),IF($E171&lt;&gt;0,SUMIF(куб!$E:$E,$E171,куб!J:J),IF($D171&lt;&gt;0,SUMIF(куб!$D:$D,$D171,куб!J:J),IF($C171&lt;&gt;0,SUMIF(куб!$C:$C,$C171,куб!J:J),IF($B171&lt;&gt;0,SUMIF(куб!$B:$B,$B171,куб!J:J))))))</f>
        <v>27433</v>
      </c>
      <c r="Q171" s="27">
        <f>IF($G171&lt;&gt;0,SUMIF(куб!$G:$G,$G171,куб!K:K),IF($E171&lt;&gt;0,SUMIF(куб!$E:$E,$E171,куб!K:K),IF($D171&lt;&gt;0,SUMIF(куб!$D:$D,$D171,куб!K:K),IF($C171&lt;&gt;0,SUMIF(куб!$C:$C,$C171,куб!K:K),IF($B171&lt;&gt;0,SUMIF(куб!$B:$B,$B171,куб!K:K))))))</f>
        <v>35522</v>
      </c>
      <c r="R171" s="13">
        <f t="shared" si="55"/>
        <v>0.29486385010753474</v>
      </c>
      <c r="S171" s="5"/>
      <c r="T171" s="27">
        <f>IF($G171&lt;&gt;0,SUMIF(куб!$G:$G,$G171,куб!L:L),IF($E171&lt;&gt;0,SUMIF(куб!$E:$E,$E171,куб!L:L),IF($D171&lt;&gt;0,SUMIF(куб!$D:$D,$D171,куб!L:L),IF($C171&lt;&gt;0,SUMIF(куб!$C:$C,$C171,куб!L:L),IF($B171&lt;&gt;0,SUMIF(куб!$B:$B,$B171,куб!L:L))))))</f>
        <v>24689.700000000008</v>
      </c>
      <c r="U171" s="27">
        <f>IF($G171&lt;&gt;0,SUMIF(куб!$G:$G,$G171,куб!M:M),IF($E171&lt;&gt;0,SUMIF(куб!$E:$E,$E171,куб!M:M),IF($D171&lt;&gt;0,SUMIF(куб!$D:$D,$D171,куб!M:M),IF($C171&lt;&gt;0,SUMIF(куб!$C:$C,$C171,куб!M:M),IF($B171&lt;&gt;0,SUMIF(куб!$B:$B,$B171,куб!M:M))))))</f>
        <v>31969.800000000014</v>
      </c>
      <c r="V171" s="13">
        <f t="shared" si="56"/>
        <v>0.29486385010753485</v>
      </c>
      <c r="W171" s="5"/>
      <c r="X171" s="27">
        <f>IF($G171&lt;&gt;0,SUMIF(куб!$G:$G,$G171,куб!N:N),IF($E171&lt;&gt;0,SUMIF(куб!$E:$E,$E171,куб!N:N),IF($D171&lt;&gt;0,SUMIF(куб!$D:$D,$D171,куб!N:N),IF($C171&lt;&gt;0,SUMIF(куб!$C:$C,$C171,куб!N:N),IF($B171&lt;&gt;0,SUMIF(куб!$B:$B,$B171,куб!N:N))))))</f>
        <v>294322.17670000205</v>
      </c>
      <c r="Y171" s="27">
        <f>IF($G171&lt;&gt;0,SUMIF(куб!$G:$G,$G171,куб!O:O),IF($E171&lt;&gt;0,SUMIF(куб!$E:$E,$E171,куб!O:O),IF($D171&lt;&gt;0,SUMIF(куб!$D:$D,$D171,куб!O:O),IF($C171&lt;&gt;0,SUMIF(куб!$C:$C,$C171,куб!O:O),IF($B171&lt;&gt;0,SUMIF(куб!$B:$B,$B171,куб!O:O))))))</f>
        <v>163807.93929999974</v>
      </c>
      <c r="Z171" s="13">
        <f t="shared" si="57"/>
        <v>-0.44344003861127124</v>
      </c>
      <c r="AA171" s="5"/>
      <c r="AB171" s="33">
        <f t="shared" si="58"/>
        <v>0.11408570800160166</v>
      </c>
      <c r="AC171" s="33">
        <f t="shared" si="59"/>
        <v>5.2798245410874009E-2</v>
      </c>
      <c r="AD171" s="15">
        <f t="shared" si="60"/>
        <v>-6.1287462590727648E-2</v>
      </c>
      <c r="AE171" s="5"/>
      <c r="AF171" s="27">
        <f>IF($G171&lt;&gt;0,SUMIF(куб!$G:$G,$G171,куб!R:R),IF($E171&lt;&gt;0,SUMIF(куб!$E:$E,$E171,куб!R:R),IF($D171&lt;&gt;0,SUMIF(куб!$D:$D,$D171,куб!R:R),IF($C171&lt;&gt;0,SUMIF(куб!$C:$C,$C171,куб!R:R),IF($B171&lt;&gt;0,SUMIF(куб!$B:$B,$B171,куб!R:R))))))</f>
        <v>3190.0807000000009</v>
      </c>
      <c r="AG171" s="27">
        <f>IF($G171&lt;&gt;0,SUMIF(куб!$G:$G,$G171,куб!S:S),IF($E171&lt;&gt;0,SUMIF(куб!$E:$E,$E171,куб!S:S),IF($D171&lt;&gt;0,SUMIF(куб!$D:$D,$D171,куб!S:S),IF($C171&lt;&gt;0,SUMIF(куб!$C:$C,$C171,куб!S:S),IF($B171&lt;&gt;0,SUMIF(куб!$B:$B,$B171,куб!S:S))))))</f>
        <v>2979.2725999999984</v>
      </c>
      <c r="AH171" s="16">
        <f t="shared" si="61"/>
        <v>-6.6082372148141083E-2</v>
      </c>
      <c r="AI171" s="8"/>
      <c r="AJ171" s="27">
        <f>IF($G171&lt;&gt;0,SUMIF(куб!$G:$G,$G171,куб!T:T),IF($E171&lt;&gt;0,SUMIF(куб!$E:$E,$E171,куб!T:T),IF($D171&lt;&gt;0,SUMIF(куб!$D:$D,$D171,куб!T:T),IF($C171&lt;&gt;0,SUMIF(куб!$C:$C,$C171,куб!T:T),IF($B171&lt;&gt;0,SUMIF(куб!$B:$B,$B171,куб!T:T))))))</f>
        <v>36</v>
      </c>
      <c r="AK171" s="27">
        <f>IF($G171&lt;&gt;0,SUMIF(куб!$G:$G,$G171,куб!U:U),IF($E171&lt;&gt;0,SUMIF(куб!$E:$E,$E171,куб!U:U),IF($D171&lt;&gt;0,SUMIF(куб!$D:$D,$D171,куб!U:U),IF($C171&lt;&gt;0,SUMIF(куб!$C:$C,$C171,куб!U:U),IF($B171&lt;&gt;0,SUMIF(куб!$B:$B,$B171,куб!U:U))))))</f>
        <v>36</v>
      </c>
      <c r="AL171" s="16">
        <f t="shared" si="62"/>
        <v>0</v>
      </c>
      <c r="AM171" s="8"/>
      <c r="AN171" s="17">
        <f t="shared" si="63"/>
        <v>1.2365449974661817E-3</v>
      </c>
      <c r="AO171" s="17">
        <f t="shared" si="64"/>
        <v>9.6027315008591189E-4</v>
      </c>
      <c r="AP171" s="16">
        <f t="shared" si="65"/>
        <v>-2.7627184738026982E-4</v>
      </c>
      <c r="AQ171" s="8"/>
      <c r="AR171" s="17">
        <f t="shared" si="66"/>
        <v>0.11284916300413549</v>
      </c>
      <c r="AS171" s="17">
        <f t="shared" si="67"/>
        <v>5.1837972260788096E-2</v>
      </c>
      <c r="AT171" s="13">
        <f t="shared" si="68"/>
        <v>-6.101119074334739E-2</v>
      </c>
      <c r="AU171" s="8"/>
    </row>
    <row r="172" spans="1:47" ht="15" customHeight="1" x14ac:dyDescent="0.25">
      <c r="A172" s="31" t="s">
        <v>26</v>
      </c>
      <c r="B172" s="31" t="s">
        <v>32</v>
      </c>
      <c r="C172" t="s">
        <v>33</v>
      </c>
      <c r="D172" s="31" t="s">
        <v>34</v>
      </c>
      <c r="E172" t="s">
        <v>357</v>
      </c>
      <c r="F172" s="31" t="s">
        <v>368</v>
      </c>
      <c r="G172" t="s">
        <v>369</v>
      </c>
      <c r="H172" s="27">
        <f>IF($G172&lt;&gt;0,SUMIF(куб!$G:$G,$G172,куб!H:H),IF($E172&lt;&gt;0,SUMIF(куб!$E:$E,$E172,куб!H:H),IF($D172&lt;&gt;0,SUMIF(куб!$D:$D,$D172,куб!H:H),IF($C172&lt;&gt;0,SUMIF(куб!$C:$C,$C172,куб!H:H),IF($B172&lt;&gt;0,SUMIF(куб!$B:$B,$B172,куб!H:H),IF($G172&lt;&gt;0,SUMIF(куб!$A:$A,$G172,куб!H:H),SUMIF(куб!$A:$A,$G172,куб!H:H)))))))</f>
        <v>1024777.4839000006</v>
      </c>
      <c r="I172" s="27">
        <f>IF($G172&lt;&gt;0,SUMIF(куб!$G:$G,$G172,куб!I:I),IF($E172&lt;&gt;0,SUMIF(куб!$E:$E,$E172,куб!I:I),IF($D172&lt;&gt;0,SUMIF(куб!$D:$D,$D172,куб!I:I),IF($C172&lt;&gt;0,SUMIF(куб!$C:$C,$C172,куб!I:I),IF($B172&lt;&gt;0,SUMIF(куб!$B:$B,$B172,куб!I:I),IF($G172&lt;&gt;0,SUMIF(куб!$A:$A,$G172,куб!I:I),SUMIF(куб!$A:$A,$G172,куб!I:I)))))))</f>
        <v>1394524.1927000005</v>
      </c>
      <c r="J172" s="19">
        <f t="shared" si="69"/>
        <v>0.36080682353875798</v>
      </c>
      <c r="K172" s="5"/>
      <c r="L172" s="17">
        <f t="shared" si="52"/>
        <v>2.1406495200440752E-3</v>
      </c>
      <c r="M172" s="17">
        <f t="shared" si="53"/>
        <v>2.973369647758749E-3</v>
      </c>
      <c r="N172" s="12">
        <f t="shared" si="54"/>
        <v>8.3272012771467381E-4</v>
      </c>
      <c r="O172" s="5"/>
      <c r="P172" s="27">
        <f>IF($G172&lt;&gt;0,SUMIF(куб!$G:$G,$G172,куб!J:J),IF($E172&lt;&gt;0,SUMIF(куб!$E:$E,$E172,куб!J:J),IF($D172&lt;&gt;0,SUMIF(куб!$D:$D,$D172,куб!J:J),IF($C172&lt;&gt;0,SUMIF(куб!$C:$C,$C172,куб!J:J),IF($B172&lt;&gt;0,SUMIF(куб!$B:$B,$B172,куб!J:J))))))</f>
        <v>11764</v>
      </c>
      <c r="Q172" s="27">
        <f>IF($G172&lt;&gt;0,SUMIF(куб!$G:$G,$G172,куб!K:K),IF($E172&lt;&gt;0,SUMIF(куб!$E:$E,$E172,куб!K:K),IF($D172&lt;&gt;0,SUMIF(куб!$D:$D,$D172,куб!K:K),IF($C172&lt;&gt;0,SUMIF(куб!$C:$C,$C172,куб!K:K),IF($B172&lt;&gt;0,SUMIF(куб!$B:$B,$B172,куб!K:K))))))</f>
        <v>15367</v>
      </c>
      <c r="R172" s="13">
        <f t="shared" si="55"/>
        <v>0.30627337640258417</v>
      </c>
      <c r="S172" s="5"/>
      <c r="T172" s="27">
        <f>IF($G172&lt;&gt;0,SUMIF(куб!$G:$G,$G172,куб!L:L),IF($E172&lt;&gt;0,SUMIF(куб!$E:$E,$E172,куб!L:L),IF($D172&lt;&gt;0,SUMIF(куб!$D:$D,$D172,куб!L:L),IF($C172&lt;&gt;0,SUMIF(куб!$C:$C,$C172,куб!L:L),IF($B172&lt;&gt;0,SUMIF(куб!$B:$B,$B172,куб!L:L))))))</f>
        <v>10940.519999999997</v>
      </c>
      <c r="U172" s="27">
        <f>IF($G172&lt;&gt;0,SUMIF(куб!$G:$G,$G172,куб!M:M),IF($E172&lt;&gt;0,SUMIF(куб!$E:$E,$E172,куб!M:M),IF($D172&lt;&gt;0,SUMIF(куб!$D:$D,$D172,куб!M:M),IF($C172&lt;&gt;0,SUMIF(куб!$C:$C,$C172,куб!M:M),IF($B172&lt;&gt;0,SUMIF(куб!$B:$B,$B172,куб!M:M))))))</f>
        <v>14291.309999999998</v>
      </c>
      <c r="V172" s="13">
        <f t="shared" si="56"/>
        <v>0.30627337640258434</v>
      </c>
      <c r="W172" s="5"/>
      <c r="X172" s="27">
        <f>IF($G172&lt;&gt;0,SUMIF(куб!$G:$G,$G172,куб!N:N),IF($E172&lt;&gt;0,SUMIF(куб!$E:$E,$E172,куб!N:N),IF($D172&lt;&gt;0,SUMIF(куб!$D:$D,$D172,куб!N:N),IF($C172&lt;&gt;0,SUMIF(куб!$C:$C,$C172,куб!N:N),IF($B172&lt;&gt;0,SUMIF(куб!$B:$B,$B172,куб!N:N))))))</f>
        <v>97774.283900000039</v>
      </c>
      <c r="Y172" s="27">
        <f>IF($G172&lt;&gt;0,SUMIF(куб!$G:$G,$G172,куб!O:O),IF($E172&lt;&gt;0,SUMIF(куб!$E:$E,$E172,куб!O:O),IF($D172&lt;&gt;0,SUMIF(куб!$D:$D,$D172,куб!O:O),IF($C172&lt;&gt;0,SUMIF(куб!$C:$C,$C172,куб!O:O),IF($B172&lt;&gt;0,SUMIF(куб!$B:$B,$B172,куб!O:O))))))</f>
        <v>176197.28380000009</v>
      </c>
      <c r="Z172" s="13">
        <f t="shared" si="57"/>
        <v>0.80208206873914034</v>
      </c>
      <c r="AA172" s="5"/>
      <c r="AB172" s="33">
        <f t="shared" si="58"/>
        <v>9.5410257774107193E-2</v>
      </c>
      <c r="AC172" s="33">
        <f t="shared" si="59"/>
        <v>0.12634939194483005</v>
      </c>
      <c r="AD172" s="15">
        <f t="shared" si="60"/>
        <v>3.093913417072286E-2</v>
      </c>
      <c r="AE172" s="5"/>
      <c r="AF172" s="27">
        <f>IF($G172&lt;&gt;0,SUMIF(куб!$G:$G,$G172,куб!R:R),IF($E172&lt;&gt;0,SUMIF(куб!$E:$E,$E172,куб!R:R),IF($D172&lt;&gt;0,SUMIF(куб!$D:$D,$D172,куб!R:R),IF($C172&lt;&gt;0,SUMIF(куб!$C:$C,$C172,куб!R:R),IF($B172&lt;&gt;0,SUMIF(куб!$B:$B,$B172,куб!R:R))))))</f>
        <v>1103.1999999999998</v>
      </c>
      <c r="AG172" s="27">
        <f>IF($G172&lt;&gt;0,SUMIF(куб!$G:$G,$G172,куб!S:S),IF($E172&lt;&gt;0,SUMIF(куб!$E:$E,$E172,куб!S:S),IF($D172&lt;&gt;0,SUMIF(куб!$D:$D,$D172,куб!S:S),IF($C172&lt;&gt;0,SUMIF(куб!$C:$C,$C172,куб!S:S),IF($B172&lt;&gt;0,SUMIF(куб!$B:$B,$B172,куб!S:S))))))</f>
        <v>1434.7905999999998</v>
      </c>
      <c r="AH172" s="16">
        <f t="shared" si="61"/>
        <v>0.30057160986221904</v>
      </c>
      <c r="AI172" s="8"/>
      <c r="AJ172" s="27">
        <f>IF($G172&lt;&gt;0,SUMIF(куб!$G:$G,$G172,куб!T:T),IF($E172&lt;&gt;0,SUMIF(куб!$E:$E,$E172,куб!T:T),IF($D172&lt;&gt;0,SUMIF(куб!$D:$D,$D172,куб!T:T),IF($C172&lt;&gt;0,SUMIF(куб!$C:$C,$C172,куб!T:T),IF($B172&lt;&gt;0,SUMIF(куб!$B:$B,$B172,куб!T:T))))))</f>
        <v>14</v>
      </c>
      <c r="AK172" s="27">
        <f>IF($G172&lt;&gt;0,SUMIF(куб!$G:$G,$G172,куб!U:U),IF($E172&lt;&gt;0,SUMIF(куб!$E:$E,$E172,куб!U:U),IF($D172&lt;&gt;0,SUMIF(куб!$D:$D,$D172,куб!U:U),IF($C172&lt;&gt;0,SUMIF(куб!$C:$C,$C172,куб!U:U),IF($B172&lt;&gt;0,SUMIF(куб!$B:$B,$B172,куб!U:U))))))</f>
        <v>18</v>
      </c>
      <c r="AL172" s="16">
        <f t="shared" si="62"/>
        <v>0.2857142857142857</v>
      </c>
      <c r="AM172" s="8"/>
      <c r="AN172" s="17">
        <f t="shared" si="63"/>
        <v>1.0765263848319015E-3</v>
      </c>
      <c r="AO172" s="17">
        <f t="shared" si="64"/>
        <v>1.0288746566827483E-3</v>
      </c>
      <c r="AP172" s="16">
        <f t="shared" si="65"/>
        <v>-4.7651728149153286E-5</v>
      </c>
      <c r="AQ172" s="8"/>
      <c r="AR172" s="17">
        <f t="shared" si="66"/>
        <v>9.4333731389275297E-2</v>
      </c>
      <c r="AS172" s="17">
        <f t="shared" si="67"/>
        <v>0.1253205172881473</v>
      </c>
      <c r="AT172" s="13">
        <f t="shared" si="68"/>
        <v>3.0986785898872007E-2</v>
      </c>
      <c r="AU172" s="8"/>
    </row>
    <row r="173" spans="1:47" ht="15" customHeight="1" x14ac:dyDescent="0.25">
      <c r="A173" s="31" t="s">
        <v>26</v>
      </c>
      <c r="B173" s="31" t="s">
        <v>32</v>
      </c>
      <c r="C173" t="s">
        <v>33</v>
      </c>
      <c r="D173" s="31" t="s">
        <v>34</v>
      </c>
      <c r="E173" t="s">
        <v>357</v>
      </c>
      <c r="F173" s="31" t="s">
        <v>370</v>
      </c>
      <c r="G173" t="s">
        <v>371</v>
      </c>
      <c r="H173" s="27">
        <f>IF($G173&lt;&gt;0,SUMIF(куб!$G:$G,$G173,куб!H:H),IF($E173&lt;&gt;0,SUMIF(куб!$E:$E,$E173,куб!H:H),IF($D173&lt;&gt;0,SUMIF(куб!$D:$D,$D173,куб!H:H),IF($C173&lt;&gt;0,SUMIF(куб!$C:$C,$C173,куб!H:H),IF($B173&lt;&gt;0,SUMIF(куб!$B:$B,$B173,куб!H:H),IF($G173&lt;&gt;0,SUMIF(куб!$A:$A,$G173,куб!H:H),SUMIF(куб!$A:$A,$G173,куб!H:H)))))))</f>
        <v>0</v>
      </c>
      <c r="I173" s="27">
        <f>IF($G173&lt;&gt;0,SUMIF(куб!$G:$G,$G173,куб!I:I),IF($E173&lt;&gt;0,SUMIF(куб!$E:$E,$E173,куб!I:I),IF($D173&lt;&gt;0,SUMIF(куб!$D:$D,$D173,куб!I:I),IF($C173&lt;&gt;0,SUMIF(куб!$C:$C,$C173,куб!I:I),IF($B173&lt;&gt;0,SUMIF(куб!$B:$B,$B173,куб!I:I),IF($G173&lt;&gt;0,SUMIF(куб!$A:$A,$G173,куб!I:I),SUMIF(куб!$A:$A,$G173,куб!I:I)))))))</f>
        <v>0</v>
      </c>
      <c r="J173" s="19" t="str">
        <f t="shared" si="69"/>
        <v>-</v>
      </c>
      <c r="K173" s="5"/>
      <c r="L173" s="17">
        <f t="shared" si="52"/>
        <v>0</v>
      </c>
      <c r="M173" s="17">
        <f t="shared" si="53"/>
        <v>0</v>
      </c>
      <c r="N173" s="12">
        <f t="shared" si="54"/>
        <v>0</v>
      </c>
      <c r="O173" s="5"/>
      <c r="P173" s="27">
        <f>IF($G173&lt;&gt;0,SUMIF(куб!$G:$G,$G173,куб!J:J),IF($E173&lt;&gt;0,SUMIF(куб!$E:$E,$E173,куб!J:J),IF($D173&lt;&gt;0,SUMIF(куб!$D:$D,$D173,куб!J:J),IF($C173&lt;&gt;0,SUMIF(куб!$C:$C,$C173,куб!J:J),IF($B173&lt;&gt;0,SUMIF(куб!$B:$B,$B173,куб!J:J))))))</f>
        <v>0</v>
      </c>
      <c r="Q173" s="27">
        <f>IF($G173&lt;&gt;0,SUMIF(куб!$G:$G,$G173,куб!K:K),IF($E173&lt;&gt;0,SUMIF(куб!$E:$E,$E173,куб!K:K),IF($D173&lt;&gt;0,SUMIF(куб!$D:$D,$D173,куб!K:K),IF($C173&lt;&gt;0,SUMIF(куб!$C:$C,$C173,куб!K:K),IF($B173&lt;&gt;0,SUMIF(куб!$B:$B,$B173,куб!K:K))))))</f>
        <v>0</v>
      </c>
      <c r="R173" s="13" t="str">
        <f t="shared" si="55"/>
        <v>-</v>
      </c>
      <c r="S173" s="5"/>
      <c r="T173" s="27">
        <f>IF($G173&lt;&gt;0,SUMIF(куб!$G:$G,$G173,куб!L:L),IF($E173&lt;&gt;0,SUMIF(куб!$E:$E,$E173,куб!L:L),IF($D173&lt;&gt;0,SUMIF(куб!$D:$D,$D173,куб!L:L),IF($C173&lt;&gt;0,SUMIF(куб!$C:$C,$C173,куб!L:L),IF($B173&lt;&gt;0,SUMIF(куб!$B:$B,$B173,куб!L:L))))))</f>
        <v>0</v>
      </c>
      <c r="U173" s="27">
        <f>IF($G173&lt;&gt;0,SUMIF(куб!$G:$G,$G173,куб!M:M),IF($E173&lt;&gt;0,SUMIF(куб!$E:$E,$E173,куб!M:M),IF($D173&lt;&gt;0,SUMIF(куб!$D:$D,$D173,куб!M:M),IF($C173&lt;&gt;0,SUMIF(куб!$C:$C,$C173,куб!M:M),IF($B173&lt;&gt;0,SUMIF(куб!$B:$B,$B173,куб!M:M))))))</f>
        <v>0</v>
      </c>
      <c r="V173" s="13" t="str">
        <f t="shared" si="56"/>
        <v>-</v>
      </c>
      <c r="W173" s="5"/>
      <c r="X173" s="27">
        <f>IF($G173&lt;&gt;0,SUMIF(куб!$G:$G,$G173,куб!N:N),IF($E173&lt;&gt;0,SUMIF(куб!$E:$E,$E173,куб!N:N),IF($D173&lt;&gt;0,SUMIF(куб!$D:$D,$D173,куб!N:N),IF($C173&lt;&gt;0,SUMIF(куб!$C:$C,$C173,куб!N:N),IF($B173&lt;&gt;0,SUMIF(куб!$B:$B,$B173,куб!N:N))))))</f>
        <v>0</v>
      </c>
      <c r="Y173" s="27">
        <f>IF($G173&lt;&gt;0,SUMIF(куб!$G:$G,$G173,куб!O:O),IF($E173&lt;&gt;0,SUMIF(куб!$E:$E,$E173,куб!O:O),IF($D173&lt;&gt;0,SUMIF(куб!$D:$D,$D173,куб!O:O),IF($C173&lt;&gt;0,SUMIF(куб!$C:$C,$C173,куб!O:O),IF($B173&lt;&gt;0,SUMIF(куб!$B:$B,$B173,куб!O:O))))))</f>
        <v>0</v>
      </c>
      <c r="Z173" s="13" t="str">
        <f t="shared" si="57"/>
        <v>-</v>
      </c>
      <c r="AA173" s="5"/>
      <c r="AB173" s="33" t="str">
        <f t="shared" si="58"/>
        <v/>
      </c>
      <c r="AC173" s="33" t="str">
        <f t="shared" si="59"/>
        <v/>
      </c>
      <c r="AD173" s="15" t="str">
        <f t="shared" si="60"/>
        <v xml:space="preserve"> </v>
      </c>
      <c r="AE173" s="5"/>
      <c r="AF173" s="27">
        <f>IF($G173&lt;&gt;0,SUMIF(куб!$G:$G,$G173,куб!R:R),IF($E173&lt;&gt;0,SUMIF(куб!$E:$E,$E173,куб!R:R),IF($D173&lt;&gt;0,SUMIF(куб!$D:$D,$D173,куб!R:R),IF($C173&lt;&gt;0,SUMIF(куб!$C:$C,$C173,куб!R:R),IF($B173&lt;&gt;0,SUMIF(куб!$B:$B,$B173,куб!R:R))))))</f>
        <v>368.29079999999999</v>
      </c>
      <c r="AG173" s="27">
        <f>IF($G173&lt;&gt;0,SUMIF(куб!$G:$G,$G173,куб!S:S),IF($E173&lt;&gt;0,SUMIF(куб!$E:$E,$E173,куб!S:S),IF($D173&lt;&gt;0,SUMIF(куб!$D:$D,$D173,куб!S:S),IF($C173&lt;&gt;0,SUMIF(куб!$C:$C,$C173,куб!S:S),IF($B173&lt;&gt;0,SUMIF(куб!$B:$B,$B173,куб!S:S))))))</f>
        <v>0</v>
      </c>
      <c r="AH173" s="16">
        <f t="shared" si="61"/>
        <v>-1</v>
      </c>
      <c r="AI173" s="8"/>
      <c r="AJ173" s="27">
        <f>IF($G173&lt;&gt;0,SUMIF(куб!$G:$G,$G173,куб!T:T),IF($E173&lt;&gt;0,SUMIF(куб!$E:$E,$E173,куб!T:T),IF($D173&lt;&gt;0,SUMIF(куб!$D:$D,$D173,куб!T:T),IF($C173&lt;&gt;0,SUMIF(куб!$C:$C,$C173,куб!T:T),IF($B173&lt;&gt;0,SUMIF(куб!$B:$B,$B173,куб!T:T))))))</f>
        <v>4</v>
      </c>
      <c r="AK173" s="27">
        <f>IF($G173&lt;&gt;0,SUMIF(куб!$G:$G,$G173,куб!U:U),IF($E173&lt;&gt;0,SUMIF(куб!$E:$E,$E173,куб!U:U),IF($D173&lt;&gt;0,SUMIF(куб!$D:$D,$D173,куб!U:U),IF($C173&lt;&gt;0,SUMIF(куб!$C:$C,$C173,куб!U:U),IF($B173&lt;&gt;0,SUMIF(куб!$B:$B,$B173,куб!U:U))))))</f>
        <v>0</v>
      </c>
      <c r="AL173" s="16">
        <f t="shared" si="62"/>
        <v>-1</v>
      </c>
      <c r="AM173" s="8"/>
      <c r="AN173" s="17" t="str">
        <f t="shared" si="63"/>
        <v xml:space="preserve"> </v>
      </c>
      <c r="AO173" s="17" t="str">
        <f t="shared" si="64"/>
        <v xml:space="preserve"> </v>
      </c>
      <c r="AP173" s="16" t="str">
        <f t="shared" si="65"/>
        <v>-</v>
      </c>
      <c r="AQ173" s="8"/>
      <c r="AR173" s="17" t="str">
        <f t="shared" si="66"/>
        <v>-</v>
      </c>
      <c r="AS173" s="17" t="str">
        <f t="shared" si="67"/>
        <v>-</v>
      </c>
      <c r="AT173" s="13" t="str">
        <f t="shared" si="68"/>
        <v>-</v>
      </c>
      <c r="AU173" s="8"/>
    </row>
    <row r="174" spans="1:47" ht="15" customHeight="1" x14ac:dyDescent="0.25">
      <c r="A174" s="31" t="s">
        <v>26</v>
      </c>
      <c r="B174" s="31" t="s">
        <v>32</v>
      </c>
      <c r="C174" t="s">
        <v>33</v>
      </c>
      <c r="D174" s="31" t="s">
        <v>34</v>
      </c>
      <c r="E174" t="s">
        <v>357</v>
      </c>
      <c r="F174" s="31" t="s">
        <v>372</v>
      </c>
      <c r="G174" t="s">
        <v>373</v>
      </c>
      <c r="H174" s="27">
        <f>IF($G174&lt;&gt;0,SUMIF(куб!$G:$G,$G174,куб!H:H),IF($E174&lt;&gt;0,SUMIF(куб!$E:$E,$E174,куб!H:H),IF($D174&lt;&gt;0,SUMIF(куб!$D:$D,$D174,куб!H:H),IF($C174&lt;&gt;0,SUMIF(куб!$C:$C,$C174,куб!H:H),IF($B174&lt;&gt;0,SUMIF(куб!$B:$B,$B174,куб!H:H),IF($G174&lt;&gt;0,SUMIF(куб!$A:$A,$G174,куб!H:H),SUMIF(куб!$A:$A,$G174,куб!H:H)))))))</f>
        <v>0</v>
      </c>
      <c r="I174" s="27">
        <f>IF($G174&lt;&gt;0,SUMIF(куб!$G:$G,$G174,куб!I:I),IF($E174&lt;&gt;0,SUMIF(куб!$E:$E,$E174,куб!I:I),IF($D174&lt;&gt;0,SUMIF(куб!$D:$D,$D174,куб!I:I),IF($C174&lt;&gt;0,SUMIF(куб!$C:$C,$C174,куб!I:I),IF($B174&lt;&gt;0,SUMIF(куб!$B:$B,$B174,куб!I:I),IF($G174&lt;&gt;0,SUMIF(куб!$A:$A,$G174,куб!I:I),SUMIF(куб!$A:$A,$G174,куб!I:I)))))))</f>
        <v>1458800.6079999995</v>
      </c>
      <c r="J174" s="19" t="str">
        <f t="shared" si="69"/>
        <v>-</v>
      </c>
      <c r="K174" s="8"/>
      <c r="L174" s="17">
        <f t="shared" si="52"/>
        <v>0</v>
      </c>
      <c r="M174" s="17">
        <f t="shared" si="53"/>
        <v>3.1104182148042028E-3</v>
      </c>
      <c r="N174" s="12">
        <f t="shared" si="54"/>
        <v>3.1104182148042028E-3</v>
      </c>
      <c r="O174" s="5"/>
      <c r="P174" s="27">
        <f>IF($G174&lt;&gt;0,SUMIF(куб!$G:$G,$G174,куб!J:J),IF($E174&lt;&gt;0,SUMIF(куб!$E:$E,$E174,куб!J:J),IF($D174&lt;&gt;0,SUMIF(куб!$D:$D,$D174,куб!J:J),IF($C174&lt;&gt;0,SUMIF(куб!$C:$C,$C174,куб!J:J),IF($B174&lt;&gt;0,SUMIF(куб!$B:$B,$B174,куб!J:J))))))</f>
        <v>0</v>
      </c>
      <c r="Q174" s="27">
        <f>IF($G174&lt;&gt;0,SUMIF(куб!$G:$G,$G174,куб!K:K),IF($E174&lt;&gt;0,SUMIF(куб!$E:$E,$E174,куб!K:K),IF($D174&lt;&gt;0,SUMIF(куб!$D:$D,$D174,куб!K:K),IF($C174&lt;&gt;0,SUMIF(куб!$C:$C,$C174,куб!K:K),IF($B174&lt;&gt;0,SUMIF(куб!$B:$B,$B174,куб!K:K))))))</f>
        <v>11032</v>
      </c>
      <c r="R174" s="13" t="str">
        <f t="shared" si="55"/>
        <v>-</v>
      </c>
      <c r="S174" s="5"/>
      <c r="T174" s="27">
        <f>IF($G174&lt;&gt;0,SUMIF(куб!$G:$G,$G174,куб!L:L),IF($E174&lt;&gt;0,SUMIF(куб!$E:$E,$E174,куб!L:L),IF($D174&lt;&gt;0,SUMIF(куб!$D:$D,$D174,куб!L:L),IF($C174&lt;&gt;0,SUMIF(куб!$C:$C,$C174,куб!L:L),IF($B174&lt;&gt;0,SUMIF(куб!$B:$B,$B174,куб!L:L))))))</f>
        <v>0</v>
      </c>
      <c r="U174" s="27">
        <f>IF($G174&lt;&gt;0,SUMIF(куб!$G:$G,$G174,куб!M:M),IF($E174&lt;&gt;0,SUMIF(куб!$E:$E,$E174,куб!M:M),IF($D174&lt;&gt;0,SUMIF(куб!$D:$D,$D174,куб!M:M),IF($C174&lt;&gt;0,SUMIF(куб!$C:$C,$C174,куб!M:M),IF($B174&lt;&gt;0,SUMIF(куб!$B:$B,$B174,куб!M:M))))))</f>
        <v>14893.199999999997</v>
      </c>
      <c r="V174" s="13" t="str">
        <f t="shared" si="56"/>
        <v>-</v>
      </c>
      <c r="W174" s="5"/>
      <c r="X174" s="27">
        <f>IF($G174&lt;&gt;0,SUMIF(куб!$G:$G,$G174,куб!N:N),IF($E174&lt;&gt;0,SUMIF(куб!$E:$E,$E174,куб!N:N),IF($D174&lt;&gt;0,SUMIF(куб!$D:$D,$D174,куб!N:N),IF($C174&lt;&gt;0,SUMIF(куб!$C:$C,$C174,куб!N:N),IF($B174&lt;&gt;0,SUMIF(куб!$B:$B,$B174,куб!N:N))))))</f>
        <v>0</v>
      </c>
      <c r="Y174" s="27">
        <f>IF($G174&lt;&gt;0,SUMIF(куб!$G:$G,$G174,куб!O:O),IF($E174&lt;&gt;0,SUMIF(куб!$E:$E,$E174,куб!O:O),IF($D174&lt;&gt;0,SUMIF(куб!$D:$D,$D174,куб!O:O),IF($C174&lt;&gt;0,SUMIF(куб!$C:$C,$C174,куб!O:O),IF($B174&lt;&gt;0,SUMIF(куб!$B:$B,$B174,куб!O:O))))))</f>
        <v>219185.67599999905</v>
      </c>
      <c r="Z174" s="13" t="str">
        <f t="shared" si="57"/>
        <v>-</v>
      </c>
      <c r="AA174" s="5"/>
      <c r="AB174" s="33" t="str">
        <f t="shared" si="58"/>
        <v/>
      </c>
      <c r="AC174" s="33">
        <f t="shared" si="59"/>
        <v>0.15025060642146312</v>
      </c>
      <c r="AD174" s="15" t="str">
        <f t="shared" si="60"/>
        <v xml:space="preserve"> </v>
      </c>
      <c r="AE174" s="5"/>
      <c r="AF174" s="27">
        <f>IF($G174&lt;&gt;0,SUMIF(куб!$G:$G,$G174,куб!R:R),IF($E174&lt;&gt;0,SUMIF(куб!$E:$E,$E174,куб!R:R),IF($D174&lt;&gt;0,SUMIF(куб!$D:$D,$D174,куб!R:R),IF($C174&lt;&gt;0,SUMIF(куб!$C:$C,$C174,куб!R:R),IF($B174&lt;&gt;0,SUMIF(куб!$B:$B,$B174,куб!R:R))))))</f>
        <v>0</v>
      </c>
      <c r="AG174" s="27">
        <f>IF($G174&lt;&gt;0,SUMIF(куб!$G:$G,$G174,куб!S:S),IF($E174&lt;&gt;0,SUMIF(куб!$E:$E,$E174,куб!S:S),IF($D174&lt;&gt;0,SUMIF(куб!$D:$D,$D174,куб!S:S),IF($C174&lt;&gt;0,SUMIF(куб!$C:$C,$C174,куб!S:S),IF($B174&lt;&gt;0,SUMIF(куб!$B:$B,$B174,куб!S:S))))))</f>
        <v>1235.9995999999999</v>
      </c>
      <c r="AH174" s="16" t="str">
        <f t="shared" si="61"/>
        <v>-</v>
      </c>
      <c r="AI174" s="8"/>
      <c r="AJ174" s="27">
        <f>IF($G174&lt;&gt;0,SUMIF(куб!$G:$G,$G174,куб!T:T),IF($E174&lt;&gt;0,SUMIF(куб!$E:$E,$E174,куб!T:T),IF($D174&lt;&gt;0,SUMIF(куб!$D:$D,$D174,куб!T:T),IF($C174&lt;&gt;0,SUMIF(куб!$C:$C,$C174,куб!T:T),IF($B174&lt;&gt;0,SUMIF(куб!$B:$B,$B174,куб!T:T))))))</f>
        <v>0</v>
      </c>
      <c r="AK174" s="27">
        <f>IF($G174&lt;&gt;0,SUMIF(куб!$G:$G,$G174,куб!U:U),IF($E174&lt;&gt;0,SUMIF(куб!$E:$E,$E174,куб!U:U),IF($D174&lt;&gt;0,SUMIF(куб!$D:$D,$D174,куб!U:U),IF($C174&lt;&gt;0,SUMIF(куб!$C:$C,$C174,куб!U:U),IF($B174&lt;&gt;0,SUMIF(куб!$B:$B,$B174,куб!U:U))))))</f>
        <v>11</v>
      </c>
      <c r="AL174" s="16" t="str">
        <f t="shared" si="62"/>
        <v>-</v>
      </c>
      <c r="AM174" s="8"/>
      <c r="AN174" s="17" t="str">
        <f t="shared" si="63"/>
        <v xml:space="preserve"> </v>
      </c>
      <c r="AO174" s="17">
        <f t="shared" si="64"/>
        <v>8.472711028647996E-4</v>
      </c>
      <c r="AP174" s="16" t="str">
        <f t="shared" si="65"/>
        <v>-</v>
      </c>
      <c r="AQ174" s="8"/>
      <c r="AR174" s="17" t="str">
        <f t="shared" si="66"/>
        <v>-</v>
      </c>
      <c r="AS174" s="17">
        <f t="shared" si="67"/>
        <v>0.14940333531859831</v>
      </c>
      <c r="AT174" s="13" t="str">
        <f t="shared" si="68"/>
        <v>-</v>
      </c>
      <c r="AU174" s="8"/>
    </row>
    <row r="175" spans="1:47" ht="15" customHeight="1" x14ac:dyDescent="0.25">
      <c r="A175" s="31" t="s">
        <v>26</v>
      </c>
      <c r="B175" s="31" t="s">
        <v>32</v>
      </c>
      <c r="C175" t="s">
        <v>33</v>
      </c>
      <c r="D175" s="31" t="s">
        <v>34</v>
      </c>
      <c r="E175" t="s">
        <v>357</v>
      </c>
      <c r="F175" s="31" t="s">
        <v>374</v>
      </c>
      <c r="G175" t="s">
        <v>375</v>
      </c>
      <c r="H175" s="27">
        <f>IF($G175&lt;&gt;0,SUMIF(куб!$G:$G,$G175,куб!H:H),IF($E175&lt;&gt;0,SUMIF(куб!$E:$E,$E175,куб!H:H),IF($D175&lt;&gt;0,SUMIF(куб!$D:$D,$D175,куб!H:H),IF($C175&lt;&gt;0,SUMIF(куб!$C:$C,$C175,куб!H:H),IF($B175&lt;&gt;0,SUMIF(куб!$B:$B,$B175,куб!H:H),IF($G175&lt;&gt;0,SUMIF(куб!$A:$A,$G175,куб!H:H),SUMIF(куб!$A:$A,$G175,куб!H:H)))))))</f>
        <v>0</v>
      </c>
      <c r="I175" s="27">
        <f>IF($G175&lt;&gt;0,SUMIF(куб!$G:$G,$G175,куб!I:I),IF($E175&lt;&gt;0,SUMIF(куб!$E:$E,$E175,куб!I:I),IF($D175&lt;&gt;0,SUMIF(куб!$D:$D,$D175,куб!I:I),IF($C175&lt;&gt;0,SUMIF(куб!$C:$C,$C175,куб!I:I),IF($B175&lt;&gt;0,SUMIF(куб!$B:$B,$B175,куб!I:I),IF($G175&lt;&gt;0,SUMIF(куб!$A:$A,$G175,куб!I:I),SUMIF(куб!$A:$A,$G175,куб!I:I)))))))</f>
        <v>0</v>
      </c>
      <c r="J175" s="19" t="str">
        <f t="shared" si="69"/>
        <v>-</v>
      </c>
      <c r="K175" s="10"/>
      <c r="L175" s="17">
        <f t="shared" si="52"/>
        <v>0</v>
      </c>
      <c r="M175" s="17">
        <f t="shared" si="53"/>
        <v>0</v>
      </c>
      <c r="N175" s="12">
        <f t="shared" si="54"/>
        <v>0</v>
      </c>
      <c r="O175" s="5"/>
      <c r="P175" s="27">
        <f>IF($G175&lt;&gt;0,SUMIF(куб!$G:$G,$G175,куб!J:J),IF($E175&lt;&gt;0,SUMIF(куб!$E:$E,$E175,куб!J:J),IF($D175&lt;&gt;0,SUMIF(куб!$D:$D,$D175,куб!J:J),IF($C175&lt;&gt;0,SUMIF(куб!$C:$C,$C175,куб!J:J),IF($B175&lt;&gt;0,SUMIF(куб!$B:$B,$B175,куб!J:J))))))</f>
        <v>0</v>
      </c>
      <c r="Q175" s="27">
        <f>IF($G175&lt;&gt;0,SUMIF(куб!$G:$G,$G175,куб!K:K),IF($E175&lt;&gt;0,SUMIF(куб!$E:$E,$E175,куб!K:K),IF($D175&lt;&gt;0,SUMIF(куб!$D:$D,$D175,куб!K:K),IF($C175&lt;&gt;0,SUMIF(куб!$C:$C,$C175,куб!K:K),IF($B175&lt;&gt;0,SUMIF(куб!$B:$B,$B175,куб!K:K))))))</f>
        <v>0</v>
      </c>
      <c r="R175" s="13" t="str">
        <f t="shared" si="55"/>
        <v>-</v>
      </c>
      <c r="S175" s="5"/>
      <c r="T175" s="27">
        <f>IF($G175&lt;&gt;0,SUMIF(куб!$G:$G,$G175,куб!L:L),IF($E175&lt;&gt;0,SUMIF(куб!$E:$E,$E175,куб!L:L),IF($D175&lt;&gt;0,SUMIF(куб!$D:$D,$D175,куб!L:L),IF($C175&lt;&gt;0,SUMIF(куб!$C:$C,$C175,куб!L:L),IF($B175&lt;&gt;0,SUMIF(куб!$B:$B,$B175,куб!L:L))))))</f>
        <v>0</v>
      </c>
      <c r="U175" s="27">
        <f>IF($G175&lt;&gt;0,SUMIF(куб!$G:$G,$G175,куб!M:M),IF($E175&lt;&gt;0,SUMIF(куб!$E:$E,$E175,куб!M:M),IF($D175&lt;&gt;0,SUMIF(куб!$D:$D,$D175,куб!M:M),IF($C175&lt;&gt;0,SUMIF(куб!$C:$C,$C175,куб!M:M),IF($B175&lt;&gt;0,SUMIF(куб!$B:$B,$B175,куб!M:M))))))</f>
        <v>0</v>
      </c>
      <c r="V175" s="13" t="str">
        <f t="shared" si="56"/>
        <v>-</v>
      </c>
      <c r="W175" s="5"/>
      <c r="X175" s="27">
        <f>IF($G175&lt;&gt;0,SUMIF(куб!$G:$G,$G175,куб!N:N),IF($E175&lt;&gt;0,SUMIF(куб!$E:$E,$E175,куб!N:N),IF($D175&lt;&gt;0,SUMIF(куб!$D:$D,$D175,куб!N:N),IF($C175&lt;&gt;0,SUMIF(куб!$C:$C,$C175,куб!N:N),IF($B175&lt;&gt;0,SUMIF(куб!$B:$B,$B175,куб!N:N))))))</f>
        <v>0</v>
      </c>
      <c r="Y175" s="27">
        <f>IF($G175&lt;&gt;0,SUMIF(куб!$G:$G,$G175,куб!O:O),IF($E175&lt;&gt;0,SUMIF(куб!$E:$E,$E175,куб!O:O),IF($D175&lt;&gt;0,SUMIF(куб!$D:$D,$D175,куб!O:O),IF($C175&lt;&gt;0,SUMIF(куб!$C:$C,$C175,куб!O:O),IF($B175&lt;&gt;0,SUMIF(куб!$B:$B,$B175,куб!O:O))))))</f>
        <v>0</v>
      </c>
      <c r="Z175" s="13" t="str">
        <f t="shared" si="57"/>
        <v>-</v>
      </c>
      <c r="AA175" s="5"/>
      <c r="AB175" s="33" t="str">
        <f t="shared" si="58"/>
        <v/>
      </c>
      <c r="AC175" s="33" t="str">
        <f t="shared" si="59"/>
        <v/>
      </c>
      <c r="AD175" s="15" t="str">
        <f t="shared" si="60"/>
        <v xml:space="preserve"> </v>
      </c>
      <c r="AE175" s="5"/>
      <c r="AF175" s="27">
        <f>IF($G175&lt;&gt;0,SUMIF(куб!$G:$G,$G175,куб!R:R),IF($E175&lt;&gt;0,SUMIF(куб!$E:$E,$E175,куб!R:R),IF($D175&lt;&gt;0,SUMIF(куб!$D:$D,$D175,куб!R:R),IF($C175&lt;&gt;0,SUMIF(куб!$C:$C,$C175,куб!R:R),IF($B175&lt;&gt;0,SUMIF(куб!$B:$B,$B175,куб!R:R))))))</f>
        <v>4114.5995000000003</v>
      </c>
      <c r="AG175" s="27">
        <f>IF($G175&lt;&gt;0,SUMIF(куб!$G:$G,$G175,куб!S:S),IF($E175&lt;&gt;0,SUMIF(куб!$E:$E,$E175,куб!S:S),IF($D175&lt;&gt;0,SUMIF(куб!$D:$D,$D175,куб!S:S),IF($C175&lt;&gt;0,SUMIF(куб!$C:$C,$C175,куб!S:S),IF($B175&lt;&gt;0,SUMIF(куб!$B:$B,$B175,куб!S:S))))))</f>
        <v>0</v>
      </c>
      <c r="AH175" s="16">
        <f t="shared" si="61"/>
        <v>-1</v>
      </c>
      <c r="AI175" s="8"/>
      <c r="AJ175" s="27">
        <f>IF($G175&lt;&gt;0,SUMIF(куб!$G:$G,$G175,куб!T:T),IF($E175&lt;&gt;0,SUMIF(куб!$E:$E,$E175,куб!T:T),IF($D175&lt;&gt;0,SUMIF(куб!$D:$D,$D175,куб!T:T),IF($C175&lt;&gt;0,SUMIF(куб!$C:$C,$C175,куб!T:T),IF($B175&lt;&gt;0,SUMIF(куб!$B:$B,$B175,куб!T:T))))))</f>
        <v>32</v>
      </c>
      <c r="AK175" s="27">
        <f>IF($G175&lt;&gt;0,SUMIF(куб!$G:$G,$G175,куб!U:U),IF($E175&lt;&gt;0,SUMIF(куб!$E:$E,$E175,куб!U:U),IF($D175&lt;&gt;0,SUMIF(куб!$D:$D,$D175,куб!U:U),IF($C175&lt;&gt;0,SUMIF(куб!$C:$C,$C175,куб!U:U),IF($B175&lt;&gt;0,SUMIF(куб!$B:$B,$B175,куб!U:U))))))</f>
        <v>0</v>
      </c>
      <c r="AL175" s="16">
        <f t="shared" si="62"/>
        <v>-1</v>
      </c>
      <c r="AM175" s="8"/>
      <c r="AN175" s="17" t="str">
        <f t="shared" si="63"/>
        <v xml:space="preserve"> </v>
      </c>
      <c r="AO175" s="17" t="str">
        <f t="shared" si="64"/>
        <v xml:space="preserve"> </v>
      </c>
      <c r="AP175" s="16" t="str">
        <f t="shared" si="65"/>
        <v>-</v>
      </c>
      <c r="AQ175" s="8"/>
      <c r="AR175" s="17" t="str">
        <f t="shared" si="66"/>
        <v>-</v>
      </c>
      <c r="AS175" s="17" t="str">
        <f t="shared" si="67"/>
        <v>-</v>
      </c>
      <c r="AT175" s="13" t="str">
        <f t="shared" si="68"/>
        <v>-</v>
      </c>
      <c r="AU175" s="8"/>
    </row>
    <row r="176" spans="1:47" ht="15" customHeight="1" x14ac:dyDescent="0.25">
      <c r="A176" s="31" t="s">
        <v>26</v>
      </c>
      <c r="B176" s="31" t="s">
        <v>32</v>
      </c>
      <c r="C176" t="s">
        <v>33</v>
      </c>
      <c r="D176" s="31" t="s">
        <v>34</v>
      </c>
      <c r="E176" t="s">
        <v>357</v>
      </c>
      <c r="F176" s="31" t="s">
        <v>376</v>
      </c>
      <c r="G176" t="s">
        <v>377</v>
      </c>
      <c r="H176" s="27">
        <f>IF($G176&lt;&gt;0,SUMIF(куб!$G:$G,$G176,куб!H:H),IF($E176&lt;&gt;0,SUMIF(куб!$E:$E,$E176,куб!H:H),IF($D176&lt;&gt;0,SUMIF(куб!$D:$D,$D176,куб!H:H),IF($C176&lt;&gt;0,SUMIF(куб!$C:$C,$C176,куб!H:H),IF($B176&lt;&gt;0,SUMIF(куб!$B:$B,$B176,куб!H:H),IF($G176&lt;&gt;0,SUMIF(куб!$A:$A,$G176,куб!H:H),SUMIF(куб!$A:$A,$G176,куб!H:H)))))))</f>
        <v>414795.90640000004</v>
      </c>
      <c r="I176" s="27">
        <f>IF($G176&lt;&gt;0,SUMIF(куб!$G:$G,$G176,куб!I:I),IF($E176&lt;&gt;0,SUMIF(куб!$E:$E,$E176,куб!I:I),IF($D176&lt;&gt;0,SUMIF(куб!$D:$D,$D176,куб!I:I),IF($C176&lt;&gt;0,SUMIF(куб!$C:$C,$C176,куб!I:I),IF($B176&lt;&gt;0,SUMIF(куб!$B:$B,$B176,куб!I:I),IF($G176&lt;&gt;0,SUMIF(куб!$A:$A,$G176,куб!I:I),SUMIF(куб!$A:$A,$G176,куб!I:I)))))))</f>
        <v>624857.39430000004</v>
      </c>
      <c r="J176" s="19">
        <f t="shared" si="69"/>
        <v>0.50642131385315903</v>
      </c>
      <c r="K176" s="5"/>
      <c r="L176" s="17">
        <f t="shared" si="52"/>
        <v>8.6646386352303296E-4</v>
      </c>
      <c r="M176" s="17">
        <f t="shared" si="53"/>
        <v>1.3323053268742622E-3</v>
      </c>
      <c r="N176" s="12">
        <f t="shared" si="54"/>
        <v>4.6584146335122928E-4</v>
      </c>
      <c r="O176" s="5"/>
      <c r="P176" s="27">
        <f>IF($G176&lt;&gt;0,SUMIF(куб!$G:$G,$G176,куб!J:J),IF($E176&lt;&gt;0,SUMIF(куб!$E:$E,$E176,куб!J:J),IF($D176&lt;&gt;0,SUMIF(куб!$D:$D,$D176,куб!J:J),IF($C176&lt;&gt;0,SUMIF(куб!$C:$C,$C176,куб!J:J),IF($B176&lt;&gt;0,SUMIF(куб!$B:$B,$B176,куб!J:J))))))</f>
        <v>4799</v>
      </c>
      <c r="Q176" s="27">
        <f>IF($G176&lt;&gt;0,SUMIF(куб!$G:$G,$G176,куб!K:K),IF($E176&lt;&gt;0,SUMIF(куб!$E:$E,$E176,куб!K:K),IF($D176&lt;&gt;0,SUMIF(куб!$D:$D,$D176,куб!K:K),IF($C176&lt;&gt;0,SUMIF(куб!$C:$C,$C176,куб!K:K),IF($B176&lt;&gt;0,SUMIF(куб!$B:$B,$B176,куб!K:K))))))</f>
        <v>7239</v>
      </c>
      <c r="R176" s="13">
        <f t="shared" si="55"/>
        <v>0.50843925817878721</v>
      </c>
      <c r="S176" s="5"/>
      <c r="T176" s="27">
        <f>IF($G176&lt;&gt;0,SUMIF(куб!$G:$G,$G176,куб!L:L),IF($E176&lt;&gt;0,SUMIF(куб!$E:$E,$E176,куб!L:L),IF($D176&lt;&gt;0,SUMIF(куб!$D:$D,$D176,куб!L:L),IF($C176&lt;&gt;0,SUMIF(куб!$C:$C,$C176,куб!L:L),IF($B176&lt;&gt;0,SUMIF(куб!$B:$B,$B176,куб!L:L))))))</f>
        <v>4319.1000000000004</v>
      </c>
      <c r="U176" s="27">
        <f>IF($G176&lt;&gt;0,SUMIF(куб!$G:$G,$G176,куб!M:M),IF($E176&lt;&gt;0,SUMIF(куб!$E:$E,$E176,куб!M:M),IF($D176&lt;&gt;0,SUMIF(куб!$D:$D,$D176,куб!M:M),IF($C176&lt;&gt;0,SUMIF(куб!$C:$C,$C176,куб!M:M),IF($B176&lt;&gt;0,SUMIF(куб!$B:$B,$B176,куб!M:M))))))</f>
        <v>6515.0999999999985</v>
      </c>
      <c r="V176" s="13">
        <f t="shared" si="56"/>
        <v>0.50843925817878677</v>
      </c>
      <c r="W176" s="5"/>
      <c r="X176" s="27">
        <f>IF($G176&lt;&gt;0,SUMIF(куб!$G:$G,$G176,куб!N:N),IF($E176&lt;&gt;0,SUMIF(куб!$E:$E,$E176,куб!N:N),IF($D176&lt;&gt;0,SUMIF(куб!$D:$D,$D176,куб!N:N),IF($C176&lt;&gt;0,SUMIF(куб!$C:$C,$C176,куб!N:N),IF($B176&lt;&gt;0,SUMIF(куб!$B:$B,$B176,куб!N:N))))))</f>
        <v>50278.204500000051</v>
      </c>
      <c r="Y176" s="27">
        <f>IF($G176&lt;&gt;0,SUMIF(куб!$G:$G,$G176,куб!O:O),IF($E176&lt;&gt;0,SUMIF(куб!$E:$E,$E176,куб!O:O),IF($D176&lt;&gt;0,SUMIF(куб!$D:$D,$D176,куб!O:O),IF($C176&lt;&gt;0,SUMIF(куб!$C:$C,$C176,куб!O:O),IF($B176&lt;&gt;0,SUMIF(куб!$B:$B,$B176,куб!O:O))))))</f>
        <v>75011.300300000235</v>
      </c>
      <c r="Z176" s="13">
        <f t="shared" si="57"/>
        <v>0.49192480212773232</v>
      </c>
      <c r="AA176" s="5"/>
      <c r="AB176" s="33">
        <f t="shared" si="58"/>
        <v>0.12121191102478066</v>
      </c>
      <c r="AC176" s="33">
        <f t="shared" si="59"/>
        <v>0.12004547114951254</v>
      </c>
      <c r="AD176" s="15">
        <f t="shared" si="60"/>
        <v>-1.1664398752681132E-3</v>
      </c>
      <c r="AE176" s="5"/>
      <c r="AF176" s="27">
        <f>IF($G176&lt;&gt;0,SUMIF(куб!$G:$G,$G176,куб!R:R),IF($E176&lt;&gt;0,SUMIF(куб!$E:$E,$E176,куб!R:R),IF($D176&lt;&gt;0,SUMIF(куб!$D:$D,$D176,куб!R:R),IF($C176&lt;&gt;0,SUMIF(куб!$C:$C,$C176,куб!R:R),IF($B176&lt;&gt;0,SUMIF(куб!$B:$B,$B176,куб!R:R))))))</f>
        <v>33268.084900000002</v>
      </c>
      <c r="AG176" s="27">
        <f>IF($G176&lt;&gt;0,SUMIF(куб!$G:$G,$G176,куб!S:S),IF($E176&lt;&gt;0,SUMIF(куб!$E:$E,$E176,куб!S:S),IF($D176&lt;&gt;0,SUMIF(куб!$D:$D,$D176,куб!S:S),IF($C176&lt;&gt;0,SUMIF(куб!$C:$C,$C176,куб!S:S),IF($B176&lt;&gt;0,SUMIF(куб!$B:$B,$B176,куб!S:S))))))</f>
        <v>36837.944999999992</v>
      </c>
      <c r="AH176" s="16">
        <f t="shared" si="61"/>
        <v>0.10730584915634836</v>
      </c>
      <c r="AI176" s="8"/>
      <c r="AJ176" s="27">
        <f>IF($G176&lt;&gt;0,SUMIF(куб!$G:$G,$G176,куб!T:T),IF($E176&lt;&gt;0,SUMIF(куб!$E:$E,$E176,куб!T:T),IF($D176&lt;&gt;0,SUMIF(куб!$D:$D,$D176,куб!T:T),IF($C176&lt;&gt;0,SUMIF(куб!$C:$C,$C176,куб!T:T),IF($B176&lt;&gt;0,SUMIF(куб!$B:$B,$B176,куб!T:T))))))</f>
        <v>438</v>
      </c>
      <c r="AK176" s="27">
        <f>IF($G176&lt;&gt;0,SUMIF(куб!$G:$G,$G176,куб!U:U),IF($E176&lt;&gt;0,SUMIF(куб!$E:$E,$E176,куб!U:U),IF($D176&lt;&gt;0,SUMIF(куб!$D:$D,$D176,куб!U:U),IF($C176&lt;&gt;0,SUMIF(куб!$C:$C,$C176,куб!U:U),IF($B176&lt;&gt;0,SUMIF(куб!$B:$B,$B176,куб!U:U))))))</f>
        <v>485</v>
      </c>
      <c r="AL176" s="16">
        <f t="shared" si="62"/>
        <v>0.10730593607305935</v>
      </c>
      <c r="AM176" s="8"/>
      <c r="AN176" s="17">
        <f t="shared" si="63"/>
        <v>8.0203503425895911E-2</v>
      </c>
      <c r="AO176" s="17">
        <f t="shared" si="64"/>
        <v>5.8954163519610588E-2</v>
      </c>
      <c r="AP176" s="16">
        <f t="shared" si="65"/>
        <v>-2.1249339906285324E-2</v>
      </c>
      <c r="AQ176" s="8"/>
      <c r="AR176" s="17">
        <f t="shared" si="66"/>
        <v>4.1008407598884751E-2</v>
      </c>
      <c r="AS176" s="17">
        <f t="shared" si="67"/>
        <v>6.1091307629901948E-2</v>
      </c>
      <c r="AT176" s="13">
        <f t="shared" si="68"/>
        <v>2.0082900031017197E-2</v>
      </c>
      <c r="AU176" s="8"/>
    </row>
    <row r="177" spans="1:47" ht="15" customHeight="1" x14ac:dyDescent="0.25">
      <c r="A177" s="31" t="s">
        <v>26</v>
      </c>
      <c r="B177" s="31" t="s">
        <v>32</v>
      </c>
      <c r="C177" t="s">
        <v>33</v>
      </c>
      <c r="D177" s="31" t="s">
        <v>34</v>
      </c>
      <c r="E177" t="s">
        <v>357</v>
      </c>
      <c r="F177" s="31" t="s">
        <v>378</v>
      </c>
      <c r="G177" t="s">
        <v>379</v>
      </c>
      <c r="H177" s="27">
        <f>IF($G177&lt;&gt;0,SUMIF(куб!$G:$G,$G177,куб!H:H),IF($E177&lt;&gt;0,SUMIF(куб!$E:$E,$E177,куб!H:H),IF($D177&lt;&gt;0,SUMIF(куб!$D:$D,$D177,куб!H:H),IF($C177&lt;&gt;0,SUMIF(куб!$C:$C,$C177,куб!H:H),IF($B177&lt;&gt;0,SUMIF(куб!$B:$B,$B177,куб!H:H),IF($G177&lt;&gt;0,SUMIF(куб!$A:$A,$G177,куб!H:H),SUMIF(куб!$A:$A,$G177,куб!H:H)))))))</f>
        <v>357756.6868999998</v>
      </c>
      <c r="I177" s="27">
        <f>IF($G177&lt;&gt;0,SUMIF(куб!$G:$G,$G177,куб!I:I),IF($E177&lt;&gt;0,SUMIF(куб!$E:$E,$E177,куб!I:I),IF($D177&lt;&gt;0,SUMIF(куб!$D:$D,$D177,куб!I:I),IF($C177&lt;&gt;0,SUMIF(куб!$C:$C,$C177,куб!I:I),IF($B177&lt;&gt;0,SUMIF(куб!$B:$B,$B177,куб!I:I),IF($G177&lt;&gt;0,SUMIF(куб!$A:$A,$G177,куб!I:I),SUMIF(куб!$A:$A,$G177,куб!I:I)))))))</f>
        <v>663123.16039999982</v>
      </c>
      <c r="J177" s="19">
        <f t="shared" si="69"/>
        <v>0.85355909388035034</v>
      </c>
      <c r="K177" s="5"/>
      <c r="L177" s="17">
        <f t="shared" si="52"/>
        <v>7.4731509243403137E-4</v>
      </c>
      <c r="M177" s="17">
        <f t="shared" si="53"/>
        <v>1.4138946374545856E-3</v>
      </c>
      <c r="N177" s="12">
        <f t="shared" si="54"/>
        <v>6.6657954502055423E-4</v>
      </c>
      <c r="O177" s="5"/>
      <c r="P177" s="27">
        <f>IF($G177&lt;&gt;0,SUMIF(куб!$G:$G,$G177,куб!J:J),IF($E177&lt;&gt;0,SUMIF(куб!$E:$E,$E177,куб!J:J),IF($D177&lt;&gt;0,SUMIF(куб!$D:$D,$D177,куб!J:J),IF($C177&lt;&gt;0,SUMIF(куб!$C:$C,$C177,куб!J:J),IF($B177&lt;&gt;0,SUMIF(куб!$B:$B,$B177,куб!J:J))))))</f>
        <v>3413</v>
      </c>
      <c r="Q177" s="27">
        <f>IF($G177&lt;&gt;0,SUMIF(куб!$G:$G,$G177,куб!K:K),IF($E177&lt;&gt;0,SUMIF(куб!$E:$E,$E177,куб!K:K),IF($D177&lt;&gt;0,SUMIF(куб!$D:$D,$D177,куб!K:K),IF($C177&lt;&gt;0,SUMIF(куб!$C:$C,$C177,куб!K:K),IF($B177&lt;&gt;0,SUMIF(куб!$B:$B,$B177,куб!K:K))))))</f>
        <v>7704</v>
      </c>
      <c r="R177" s="13">
        <f t="shared" si="55"/>
        <v>1.2572516847348374</v>
      </c>
      <c r="S177" s="5"/>
      <c r="T177" s="27">
        <f>IF($G177&lt;&gt;0,SUMIF(куб!$G:$G,$G177,куб!L:L),IF($E177&lt;&gt;0,SUMIF(куб!$E:$E,$E177,куб!L:L),IF($D177&lt;&gt;0,SUMIF(куб!$D:$D,$D177,куб!L:L),IF($C177&lt;&gt;0,SUMIF(куб!$C:$C,$C177,куб!L:L),IF($B177&lt;&gt;0,SUMIF(куб!$B:$B,$B177,куб!L:L))))))</f>
        <v>3071.699999999998</v>
      </c>
      <c r="U177" s="27">
        <f>IF($G177&lt;&gt;0,SUMIF(куб!$G:$G,$G177,куб!M:M),IF($E177&lt;&gt;0,SUMIF(куб!$E:$E,$E177,куб!M:M),IF($D177&lt;&gt;0,SUMIF(куб!$D:$D,$D177,куб!M:M),IF($C177&lt;&gt;0,SUMIF(куб!$C:$C,$C177,куб!M:M),IF($B177&lt;&gt;0,SUMIF(куб!$B:$B,$B177,куб!M:M))))))</f>
        <v>6933.5999999999949</v>
      </c>
      <c r="V177" s="13">
        <f t="shared" si="56"/>
        <v>1.2572516847348372</v>
      </c>
      <c r="W177" s="5"/>
      <c r="X177" s="27">
        <f>IF($G177&lt;&gt;0,SUMIF(куб!$G:$G,$G177,куб!N:N),IF($E177&lt;&gt;0,SUMIF(куб!$E:$E,$E177,куб!N:N),IF($D177&lt;&gt;0,SUMIF(куб!$D:$D,$D177,куб!N:N),IF($C177&lt;&gt;0,SUMIF(куб!$C:$C,$C177,куб!N:N),IF($B177&lt;&gt;0,SUMIF(куб!$B:$B,$B177,куб!N:N))))))</f>
        <v>44215.019699999888</v>
      </c>
      <c r="Y177" s="27">
        <f>IF($G177&lt;&gt;0,SUMIF(куб!$G:$G,$G177,куб!O:O),IF($E177&lt;&gt;0,SUMIF(куб!$E:$E,$E177,куб!O:O),IF($D177&lt;&gt;0,SUMIF(куб!$D:$D,$D177,куб!O:O),IF($C177&lt;&gt;0,SUMIF(куб!$C:$C,$C177,куб!O:O),IF($B177&lt;&gt;0,SUMIF(куб!$B:$B,$B177,куб!O:O))))))</f>
        <v>64783.555800000322</v>
      </c>
      <c r="Z177" s="13">
        <f t="shared" si="57"/>
        <v>0.4651934170686457</v>
      </c>
      <c r="AA177" s="5"/>
      <c r="AB177" s="33">
        <f t="shared" si="58"/>
        <v>0.12358963876574269</v>
      </c>
      <c r="AC177" s="33">
        <f t="shared" si="59"/>
        <v>9.7694605872191975E-2</v>
      </c>
      <c r="AD177" s="15">
        <f t="shared" si="60"/>
        <v>-2.5895032893550718E-2</v>
      </c>
      <c r="AE177" s="5"/>
      <c r="AF177" s="27">
        <f>IF($G177&lt;&gt;0,SUMIF(куб!$G:$G,$G177,куб!R:R),IF($E177&lt;&gt;0,SUMIF(куб!$E:$E,$E177,куб!R:R),IF($D177&lt;&gt;0,SUMIF(куб!$D:$D,$D177,куб!R:R),IF($C177&lt;&gt;0,SUMIF(куб!$C:$C,$C177,куб!R:R),IF($B177&lt;&gt;0,SUMIF(куб!$B:$B,$B177,куб!R:R))))))</f>
        <v>17280.622000000007</v>
      </c>
      <c r="AG177" s="27">
        <f>IF($G177&lt;&gt;0,SUMIF(куб!$G:$G,$G177,куб!S:S),IF($E177&lt;&gt;0,SUMIF(куб!$E:$E,$E177,куб!S:S),IF($D177&lt;&gt;0,SUMIF(куб!$D:$D,$D177,куб!S:S),IF($C177&lt;&gt;0,SUMIF(куб!$C:$C,$C177,куб!S:S),IF($B177&lt;&gt;0,SUMIF(куб!$B:$B,$B177,куб!S:S))))))</f>
        <v>5747.107399999999</v>
      </c>
      <c r="AH177" s="16">
        <f t="shared" si="61"/>
        <v>-0.6674247373734582</v>
      </c>
      <c r="AI177" s="8"/>
      <c r="AJ177" s="27">
        <f>IF($G177&lt;&gt;0,SUMIF(куб!$G:$G,$G177,куб!T:T),IF($E177&lt;&gt;0,SUMIF(куб!$E:$E,$E177,куб!T:T),IF($D177&lt;&gt;0,SUMIF(куб!$D:$D,$D177,куб!T:T),IF($C177&lt;&gt;0,SUMIF(куб!$C:$C,$C177,куб!T:T),IF($B177&lt;&gt;0,SUMIF(куб!$B:$B,$B177,куб!T:T))))))</f>
        <v>196</v>
      </c>
      <c r="AK177" s="27">
        <f>IF($G177&lt;&gt;0,SUMIF(куб!$G:$G,$G177,куб!U:U),IF($E177&lt;&gt;0,SUMIF(куб!$E:$E,$E177,куб!U:U),IF($D177&lt;&gt;0,SUMIF(куб!$D:$D,$D177,куб!U:U),IF($C177&lt;&gt;0,SUMIF(куб!$C:$C,$C177,куб!U:U),IF($B177&lt;&gt;0,SUMIF(куб!$B:$B,$B177,куб!U:U))))))</f>
        <v>74</v>
      </c>
      <c r="AL177" s="16">
        <f t="shared" si="62"/>
        <v>-0.62244897959183676</v>
      </c>
      <c r="AM177" s="8"/>
      <c r="AN177" s="17">
        <f t="shared" si="63"/>
        <v>4.8302722584274961E-2</v>
      </c>
      <c r="AO177" s="17">
        <f t="shared" si="64"/>
        <v>8.6667270021654943E-3</v>
      </c>
      <c r="AP177" s="16">
        <f t="shared" si="65"/>
        <v>-3.9635995582109465E-2</v>
      </c>
      <c r="AQ177" s="8"/>
      <c r="AR177" s="17">
        <f t="shared" si="66"/>
        <v>7.5286916181467739E-2</v>
      </c>
      <c r="AS177" s="17">
        <f t="shared" si="67"/>
        <v>8.9027878870026472E-2</v>
      </c>
      <c r="AT177" s="13">
        <f t="shared" si="68"/>
        <v>1.3740962688558733E-2</v>
      </c>
      <c r="AU177" s="8"/>
    </row>
    <row r="178" spans="1:47" ht="15" customHeight="1" x14ac:dyDescent="0.25">
      <c r="A178" s="31" t="s">
        <v>26</v>
      </c>
      <c r="B178" s="31" t="s">
        <v>32</v>
      </c>
      <c r="C178" t="s">
        <v>33</v>
      </c>
      <c r="D178" s="31" t="s">
        <v>34</v>
      </c>
      <c r="E178" t="s">
        <v>357</v>
      </c>
      <c r="F178" s="31" t="s">
        <v>380</v>
      </c>
      <c r="G178" t="s">
        <v>381</v>
      </c>
      <c r="H178" s="27">
        <f>IF($G178&lt;&gt;0,SUMIF(куб!$G:$G,$G178,куб!H:H),IF($E178&lt;&gt;0,SUMIF(куб!$E:$E,$E178,куб!H:H),IF($D178&lt;&gt;0,SUMIF(куб!$D:$D,$D178,куб!H:H),IF($C178&lt;&gt;0,SUMIF(куб!$C:$C,$C178,куб!H:H),IF($B178&lt;&gt;0,SUMIF(куб!$B:$B,$B178,куб!H:H),IF($G178&lt;&gt;0,SUMIF(куб!$A:$A,$G178,куб!H:H),SUMIF(куб!$A:$A,$G178,куб!H:H)))))))</f>
        <v>438880.51519999997</v>
      </c>
      <c r="I178" s="27">
        <f>IF($G178&lt;&gt;0,SUMIF(куб!$G:$G,$G178,куб!I:I),IF($E178&lt;&gt;0,SUMIF(куб!$E:$E,$E178,куб!I:I),IF($D178&lt;&gt;0,SUMIF(куб!$D:$D,$D178,куб!I:I),IF($C178&lt;&gt;0,SUMIF(куб!$C:$C,$C178,куб!I:I),IF($B178&lt;&gt;0,SUMIF(куб!$B:$B,$B178,куб!I:I),IF($G178&lt;&gt;0,SUMIF(куб!$A:$A,$G178,куб!I:I),SUMIF(куб!$A:$A,$G178,куб!I:I)))))))</f>
        <v>612395.23270000005</v>
      </c>
      <c r="J178" s="19">
        <f t="shared" si="69"/>
        <v>0.39535753238197097</v>
      </c>
      <c r="K178" s="8"/>
      <c r="L178" s="17">
        <f t="shared" si="52"/>
        <v>9.1677401092396884E-4</v>
      </c>
      <c r="M178" s="17">
        <f t="shared" si="53"/>
        <v>1.3057338172218112E-3</v>
      </c>
      <c r="N178" s="12">
        <f t="shared" si="54"/>
        <v>3.8895980629784232E-4</v>
      </c>
      <c r="O178" s="5"/>
      <c r="P178" s="27">
        <f>IF($G178&lt;&gt;0,SUMIF(куб!$G:$G,$G178,куб!J:J),IF($E178&lt;&gt;0,SUMIF(куб!$E:$E,$E178,куб!J:J),IF($D178&lt;&gt;0,SUMIF(куб!$D:$D,$D178,куб!J:J),IF($C178&lt;&gt;0,SUMIF(куб!$C:$C,$C178,куб!J:J),IF($B178&lt;&gt;0,SUMIF(куб!$B:$B,$B178,куб!J:J))))))</f>
        <v>4866</v>
      </c>
      <c r="Q178" s="27">
        <f>IF($G178&lt;&gt;0,SUMIF(куб!$G:$G,$G178,куб!K:K),IF($E178&lt;&gt;0,SUMIF(куб!$E:$E,$E178,куб!K:K),IF($D178&lt;&gt;0,SUMIF(куб!$D:$D,$D178,куб!K:K),IF($C178&lt;&gt;0,SUMIF(куб!$C:$C,$C178,куб!K:K),IF($B178&lt;&gt;0,SUMIF(куб!$B:$B,$B178,куб!K:K))))))</f>
        <v>7325</v>
      </c>
      <c r="R178" s="13">
        <f t="shared" si="55"/>
        <v>0.50534319769831482</v>
      </c>
      <c r="S178" s="5"/>
      <c r="T178" s="27">
        <f>IF($G178&lt;&gt;0,SUMIF(куб!$G:$G,$G178,куб!L:L),IF($E178&lt;&gt;0,SUMIF(куб!$E:$E,$E178,куб!L:L),IF($D178&lt;&gt;0,SUMIF(куб!$D:$D,$D178,куб!L:L),IF($C178&lt;&gt;0,SUMIF(куб!$C:$C,$C178,куб!L:L),IF($B178&lt;&gt;0,SUMIF(куб!$B:$B,$B178,куб!L:L))))))</f>
        <v>4497.6438000000007</v>
      </c>
      <c r="U178" s="27">
        <f>IF($G178&lt;&gt;0,SUMIF(куб!$G:$G,$G178,куб!M:M),IF($E178&lt;&gt;0,SUMIF(куб!$E:$E,$E178,куб!M:M),IF($D178&lt;&gt;0,SUMIF(куб!$D:$D,$D178,куб!M:M),IF($C178&lt;&gt;0,SUMIF(куб!$C:$C,$C178,куб!M:M),IF($B178&lt;&gt;0,SUMIF(куб!$B:$B,$B178,куб!M:M))))))</f>
        <v>6770.4975000000013</v>
      </c>
      <c r="V178" s="13">
        <f t="shared" si="56"/>
        <v>0.50534319769831493</v>
      </c>
      <c r="W178" s="5"/>
      <c r="X178" s="27">
        <f>IF($G178&lt;&gt;0,SUMIF(куб!$G:$G,$G178,куб!N:N),IF($E178&lt;&gt;0,SUMIF(куб!$E:$E,$E178,куб!N:N),IF($D178&lt;&gt;0,SUMIF(куб!$D:$D,$D178,куб!N:N),IF($C178&lt;&gt;0,SUMIF(куб!$C:$C,$C178,куб!N:N),IF($B178&lt;&gt;0,SUMIF(куб!$B:$B,$B178,куб!N:N))))))</f>
        <v>57872.715200000035</v>
      </c>
      <c r="Y178" s="27">
        <f>IF($G178&lt;&gt;0,SUMIF(куб!$G:$G,$G178,куб!O:O),IF($E178&lt;&gt;0,SUMIF(куб!$E:$E,$E178,куб!O:O),IF($D178&lt;&gt;0,SUMIF(куб!$D:$D,$D178,куб!O:O),IF($C178&lt;&gt;0,SUMIF(куб!$C:$C,$C178,куб!O:O),IF($B178&lt;&gt;0,SUMIF(куб!$B:$B,$B178,куб!O:O))))))</f>
        <v>50338.97900000005</v>
      </c>
      <c r="Z178" s="13">
        <f t="shared" si="57"/>
        <v>-0.13017768691108483</v>
      </c>
      <c r="AA178" s="5"/>
      <c r="AB178" s="33">
        <f t="shared" si="58"/>
        <v>0.13186439861342936</v>
      </c>
      <c r="AC178" s="33">
        <f t="shared" si="59"/>
        <v>8.2200148387928565E-2</v>
      </c>
      <c r="AD178" s="15">
        <f t="shared" si="60"/>
        <v>-4.9664250225500792E-2</v>
      </c>
      <c r="AE178" s="5"/>
      <c r="AF178" s="27">
        <f>IF($G178&lt;&gt;0,SUMIF(куб!$G:$G,$G178,куб!R:R),IF($E178&lt;&gt;0,SUMIF(куб!$E:$E,$E178,куб!R:R),IF($D178&lt;&gt;0,SUMIF(куб!$D:$D,$D178,куб!R:R),IF($C178&lt;&gt;0,SUMIF(куб!$C:$C,$C178,куб!R:R),IF($B178&lt;&gt;0,SUMIF(куб!$B:$B,$B178,куб!R:R))))))</f>
        <v>5324.4000000000005</v>
      </c>
      <c r="AG178" s="27">
        <f>IF($G178&lt;&gt;0,SUMIF(куб!$G:$G,$G178,куб!S:S),IF($E178&lt;&gt;0,SUMIF(куб!$E:$E,$E178,куб!S:S),IF($D178&lt;&gt;0,SUMIF(куб!$D:$D,$D178,куб!S:S),IF($C178&lt;&gt;0,SUMIF(куб!$C:$C,$C178,куб!S:S),IF($B178&lt;&gt;0,SUMIF(куб!$B:$B,$B178,куб!S:S))))))</f>
        <v>385.07260000000002</v>
      </c>
      <c r="AH178" s="16">
        <f t="shared" si="61"/>
        <v>-0.92767774772744338</v>
      </c>
      <c r="AI178" s="8"/>
      <c r="AJ178" s="27">
        <f>IF($G178&lt;&gt;0,SUMIF(куб!$G:$G,$G178,куб!T:T),IF($E178&lt;&gt;0,SUMIF(куб!$E:$E,$E178,куб!T:T),IF($D178&lt;&gt;0,SUMIF(куб!$D:$D,$D178,куб!T:T),IF($C178&lt;&gt;0,SUMIF(куб!$C:$C,$C178,куб!T:T),IF($B178&lt;&gt;0,SUMIF(куб!$B:$B,$B178,куб!T:T))))))</f>
        <v>68</v>
      </c>
      <c r="AK178" s="27">
        <f>IF($G178&lt;&gt;0,SUMIF(куб!$G:$G,$G178,куб!U:U),IF($E178&lt;&gt;0,SUMIF(куб!$E:$E,$E178,куб!U:U),IF($D178&lt;&gt;0,SUMIF(куб!$D:$D,$D178,куб!U:U),IF($C178&lt;&gt;0,SUMIF(куб!$C:$C,$C178,куб!U:U),IF($B178&lt;&gt;0,SUMIF(куб!$B:$B,$B178,куб!U:U))))))</f>
        <v>5</v>
      </c>
      <c r="AL178" s="16">
        <f t="shared" si="62"/>
        <v>-0.92647058823529416</v>
      </c>
      <c r="AM178" s="8"/>
      <c r="AN178" s="17">
        <f t="shared" si="63"/>
        <v>1.2131775769479412E-2</v>
      </c>
      <c r="AO178" s="17">
        <f t="shared" si="64"/>
        <v>6.2879751415151732E-4</v>
      </c>
      <c r="AP178" s="16">
        <f t="shared" si="65"/>
        <v>-1.1502978255327895E-2</v>
      </c>
      <c r="AQ178" s="8"/>
      <c r="AR178" s="17">
        <f t="shared" si="66"/>
        <v>0.11973262284394993</v>
      </c>
      <c r="AS178" s="17">
        <f t="shared" si="67"/>
        <v>8.1571350873777052E-2</v>
      </c>
      <c r="AT178" s="13">
        <f t="shared" si="68"/>
        <v>-3.8161271970172883E-2</v>
      </c>
      <c r="AU178" s="8"/>
    </row>
    <row r="179" spans="1:47" ht="15" customHeight="1" x14ac:dyDescent="0.25">
      <c r="A179" s="31" t="s">
        <v>26</v>
      </c>
      <c r="B179" s="31" t="s">
        <v>32</v>
      </c>
      <c r="C179" t="s">
        <v>33</v>
      </c>
      <c r="D179" s="31" t="s">
        <v>34</v>
      </c>
      <c r="E179" t="s">
        <v>357</v>
      </c>
      <c r="F179" s="31" t="s">
        <v>382</v>
      </c>
      <c r="G179" t="s">
        <v>383</v>
      </c>
      <c r="H179" s="27">
        <f>IF($G179&lt;&gt;0,SUMIF(куб!$G:$G,$G179,куб!H:H),IF($E179&lt;&gt;0,SUMIF(куб!$E:$E,$E179,куб!H:H),IF($D179&lt;&gt;0,SUMIF(куб!$D:$D,$D179,куб!H:H),IF($C179&lt;&gt;0,SUMIF(куб!$C:$C,$C179,куб!H:H),IF($B179&lt;&gt;0,SUMIF(куб!$B:$B,$B179,куб!H:H),IF($G179&lt;&gt;0,SUMIF(куб!$A:$A,$G179,куб!H:H),SUMIF(куб!$A:$A,$G179,куб!H:H)))))))</f>
        <v>18403.205399999999</v>
      </c>
      <c r="I179" s="27">
        <f>IF($G179&lt;&gt;0,SUMIF(куб!$G:$G,$G179,куб!I:I),IF($E179&lt;&gt;0,SUMIF(куб!$E:$E,$E179,куб!I:I),IF($D179&lt;&gt;0,SUMIF(куб!$D:$D,$D179,куб!I:I),IF($C179&lt;&gt;0,SUMIF(куб!$C:$C,$C179,куб!I:I),IF($B179&lt;&gt;0,SUMIF(куб!$B:$B,$B179,куб!I:I),IF($G179&lt;&gt;0,SUMIF(куб!$A:$A,$G179,куб!I:I),SUMIF(куб!$A:$A,$G179,куб!I:I)))))))</f>
        <v>1403.1814999999999</v>
      </c>
      <c r="J179" s="19">
        <f t="shared" si="69"/>
        <v>-0.9237534185213192</v>
      </c>
      <c r="K179" s="10"/>
      <c r="L179" s="17">
        <f t="shared" si="52"/>
        <v>3.8442309111688817E-5</v>
      </c>
      <c r="M179" s="17">
        <f t="shared" si="53"/>
        <v>2.9918285421199143E-6</v>
      </c>
      <c r="N179" s="12">
        <f t="shared" si="54"/>
        <v>-3.5450480569568902E-5</v>
      </c>
      <c r="O179" s="5"/>
      <c r="P179" s="27">
        <f>IF($G179&lt;&gt;0,SUMIF(куб!$G:$G,$G179,куб!J:J),IF($E179&lt;&gt;0,SUMIF(куб!$E:$E,$E179,куб!J:J),IF($D179&lt;&gt;0,SUMIF(куб!$D:$D,$D179,куб!J:J),IF($C179&lt;&gt;0,SUMIF(куб!$C:$C,$C179,куб!J:J),IF($B179&lt;&gt;0,SUMIF(куб!$B:$B,$B179,куб!J:J))))))</f>
        <v>193</v>
      </c>
      <c r="Q179" s="27">
        <f>IF($G179&lt;&gt;0,SUMIF(куб!$G:$G,$G179,куб!K:K),IF($E179&lt;&gt;0,SUMIF(куб!$E:$E,$E179,куб!K:K),IF($D179&lt;&gt;0,SUMIF(куб!$D:$D,$D179,куб!K:K),IF($C179&lt;&gt;0,SUMIF(куб!$C:$C,$C179,куб!K:K),IF($B179&lt;&gt;0,SUMIF(куб!$B:$B,$B179,куб!K:K))))))</f>
        <v>15</v>
      </c>
      <c r="R179" s="13">
        <f t="shared" si="55"/>
        <v>-0.92227979274611394</v>
      </c>
      <c r="S179" s="5"/>
      <c r="T179" s="27">
        <f>IF($G179&lt;&gt;0,SUMIF(куб!$G:$G,$G179,куб!L:L),IF($E179&lt;&gt;0,SUMIF(куб!$E:$E,$E179,куб!L:L),IF($D179&lt;&gt;0,SUMIF(куб!$D:$D,$D179,куб!L:L),IF($C179&lt;&gt;0,SUMIF(куб!$C:$C,$C179,куб!L:L),IF($B179&lt;&gt;0,SUMIF(куб!$B:$B,$B179,куб!L:L))))))</f>
        <v>173.7</v>
      </c>
      <c r="U179" s="27">
        <f>IF($G179&lt;&gt;0,SUMIF(куб!$G:$G,$G179,куб!M:M),IF($E179&lt;&gt;0,SUMIF(куб!$E:$E,$E179,куб!M:M),IF($D179&lt;&gt;0,SUMIF(куб!$D:$D,$D179,куб!M:M),IF($C179&lt;&gt;0,SUMIF(куб!$C:$C,$C179,куб!M:M),IF($B179&lt;&gt;0,SUMIF(куб!$B:$B,$B179,куб!M:M))))))</f>
        <v>13.5</v>
      </c>
      <c r="V179" s="13">
        <f t="shared" si="56"/>
        <v>-0.92227979274611394</v>
      </c>
      <c r="W179" s="5"/>
      <c r="X179" s="27">
        <f>IF($G179&lt;&gt;0,SUMIF(куб!$G:$G,$G179,куб!N:N),IF($E179&lt;&gt;0,SUMIF(куб!$E:$E,$E179,куб!N:N),IF($D179&lt;&gt;0,SUMIF(куб!$D:$D,$D179,куб!N:N),IF($C179&lt;&gt;0,SUMIF(куб!$C:$C,$C179,куб!N:N),IF($B179&lt;&gt;0,SUMIF(куб!$B:$B,$B179,куб!N:N))))))</f>
        <v>2171.9053999999996</v>
      </c>
      <c r="Y179" s="27">
        <f>IF($G179&lt;&gt;0,SUMIF(куб!$G:$G,$G179,куб!O:O),IF($E179&lt;&gt;0,SUMIF(куб!$E:$E,$E179,куб!O:O),IF($D179&lt;&gt;0,SUMIF(куб!$D:$D,$D179,куб!O:O),IF($C179&lt;&gt;0,SUMIF(куб!$C:$C,$C179,куб!O:O),IF($B179&lt;&gt;0,SUMIF(куб!$B:$B,$B179,куб!O:O))))))</f>
        <v>172.64969999999994</v>
      </c>
      <c r="Z179" s="13">
        <f t="shared" si="57"/>
        <v>-0.92050772561272698</v>
      </c>
      <c r="AA179" s="5"/>
      <c r="AB179" s="33">
        <f t="shared" si="58"/>
        <v>0.11801777749000181</v>
      </c>
      <c r="AC179" s="33">
        <f t="shared" si="59"/>
        <v>0.12304160224461337</v>
      </c>
      <c r="AD179" s="15">
        <f t="shared" si="60"/>
        <v>5.0238247546115639E-3</v>
      </c>
      <c r="AE179" s="5"/>
      <c r="AF179" s="27">
        <f>IF($G179&lt;&gt;0,SUMIF(куб!$G:$G,$G179,куб!R:R),IF($E179&lt;&gt;0,SUMIF(куб!$E:$E,$E179,куб!R:R),IF($D179&lt;&gt;0,SUMIF(куб!$D:$D,$D179,куб!R:R),IF($C179&lt;&gt;0,SUMIF(куб!$C:$C,$C179,куб!R:R),IF($B179&lt;&gt;0,SUMIF(куб!$B:$B,$B179,куб!R:R))))))</f>
        <v>0</v>
      </c>
      <c r="AG179" s="27">
        <f>IF($G179&lt;&gt;0,SUMIF(куб!$G:$G,$G179,куб!S:S),IF($E179&lt;&gt;0,SUMIF(куб!$E:$E,$E179,куб!S:S),IF($D179&lt;&gt;0,SUMIF(куб!$D:$D,$D179,куб!S:S),IF($C179&lt;&gt;0,SUMIF(куб!$C:$C,$C179,куб!S:S),IF($B179&lt;&gt;0,SUMIF(куб!$B:$B,$B179,куб!S:S))))))</f>
        <v>342.4</v>
      </c>
      <c r="AH179" s="16" t="str">
        <f t="shared" si="61"/>
        <v>-</v>
      </c>
      <c r="AI179" s="8"/>
      <c r="AJ179" s="27">
        <f>IF($G179&lt;&gt;0,SUMIF(куб!$G:$G,$G179,куб!T:T),IF($E179&lt;&gt;0,SUMIF(куб!$E:$E,$E179,куб!T:T),IF($D179&lt;&gt;0,SUMIF(куб!$D:$D,$D179,куб!T:T),IF($C179&lt;&gt;0,SUMIF(куб!$C:$C,$C179,куб!T:T),IF($B179&lt;&gt;0,SUMIF(куб!$B:$B,$B179,куб!T:T))))))</f>
        <v>0</v>
      </c>
      <c r="AK179" s="27">
        <f>IF($G179&lt;&gt;0,SUMIF(куб!$G:$G,$G179,куб!U:U),IF($E179&lt;&gt;0,SUMIF(куб!$E:$E,$E179,куб!U:U),IF($D179&lt;&gt;0,SUMIF(куб!$D:$D,$D179,куб!U:U),IF($C179&lt;&gt;0,SUMIF(куб!$C:$C,$C179,куб!U:U),IF($B179&lt;&gt;0,SUMIF(куб!$B:$B,$B179,куб!U:U))))))</f>
        <v>4</v>
      </c>
      <c r="AL179" s="16" t="str">
        <f t="shared" si="62"/>
        <v>-</v>
      </c>
      <c r="AM179" s="8"/>
      <c r="AN179" s="17">
        <f t="shared" si="63"/>
        <v>0</v>
      </c>
      <c r="AO179" s="17">
        <f t="shared" si="64"/>
        <v>0.2440169001658018</v>
      </c>
      <c r="AP179" s="16">
        <f t="shared" si="65"/>
        <v>0.2440169001658018</v>
      </c>
      <c r="AQ179" s="8"/>
      <c r="AR179" s="17">
        <f t="shared" si="66"/>
        <v>0.11801777749000181</v>
      </c>
      <c r="AS179" s="17">
        <f t="shared" si="67"/>
        <v>-0.12097529792118843</v>
      </c>
      <c r="AT179" s="13">
        <f t="shared" si="68"/>
        <v>-0.23899307541119025</v>
      </c>
      <c r="AU179" s="8"/>
    </row>
    <row r="180" spans="1:47" ht="15" customHeight="1" x14ac:dyDescent="0.25">
      <c r="A180" s="31" t="s">
        <v>26</v>
      </c>
      <c r="B180" s="31" t="s">
        <v>32</v>
      </c>
      <c r="C180" t="s">
        <v>33</v>
      </c>
      <c r="D180" s="31" t="s">
        <v>34</v>
      </c>
      <c r="E180" t="s">
        <v>357</v>
      </c>
      <c r="F180" s="31" t="s">
        <v>384</v>
      </c>
      <c r="G180" t="s">
        <v>385</v>
      </c>
      <c r="H180" s="27">
        <f>IF($G180&lt;&gt;0,SUMIF(куб!$G:$G,$G180,куб!H:H),IF($E180&lt;&gt;0,SUMIF(куб!$E:$E,$E180,куб!H:H),IF($D180&lt;&gt;0,SUMIF(куб!$D:$D,$D180,куб!H:H),IF($C180&lt;&gt;0,SUMIF(куб!$C:$C,$C180,куб!H:H),IF($B180&lt;&gt;0,SUMIF(куб!$B:$B,$B180,куб!H:H),IF($G180&lt;&gt;0,SUMIF(куб!$A:$A,$G180,куб!H:H),SUMIF(куб!$A:$A,$G180,куб!H:H)))))))</f>
        <v>0</v>
      </c>
      <c r="I180" s="27">
        <f>IF($G180&lt;&gt;0,SUMIF(куб!$G:$G,$G180,куб!I:I),IF($E180&lt;&gt;0,SUMIF(куб!$E:$E,$E180,куб!I:I),IF($D180&lt;&gt;0,SUMIF(куб!$D:$D,$D180,куб!I:I),IF($C180&lt;&gt;0,SUMIF(куб!$C:$C,$C180,куб!I:I),IF($B180&lt;&gt;0,SUMIF(куб!$B:$B,$B180,куб!I:I),IF($G180&lt;&gt;0,SUMIF(куб!$A:$A,$G180,куб!I:I),SUMIF(куб!$A:$A,$G180,куб!I:I)))))))</f>
        <v>98472.346200000015</v>
      </c>
      <c r="J180" s="19" t="str">
        <f t="shared" si="69"/>
        <v>-</v>
      </c>
      <c r="K180" s="5"/>
      <c r="L180" s="17">
        <f t="shared" si="52"/>
        <v>0</v>
      </c>
      <c r="M180" s="17">
        <f t="shared" si="53"/>
        <v>2.0996027667887122E-4</v>
      </c>
      <c r="N180" s="12">
        <f t="shared" si="54"/>
        <v>2.0996027667887122E-4</v>
      </c>
      <c r="O180" s="5"/>
      <c r="P180" s="27">
        <f>IF($G180&lt;&gt;0,SUMIF(куб!$G:$G,$G180,куб!J:J),IF($E180&lt;&gt;0,SUMIF(куб!$E:$E,$E180,куб!J:J),IF($D180&lt;&gt;0,SUMIF(куб!$D:$D,$D180,куб!J:J),IF($C180&lt;&gt;0,SUMIF(куб!$C:$C,$C180,куб!J:J),IF($B180&lt;&gt;0,SUMIF(куб!$B:$B,$B180,куб!J:J))))))</f>
        <v>0</v>
      </c>
      <c r="Q180" s="27">
        <f>IF($G180&lt;&gt;0,SUMIF(куб!$G:$G,$G180,куб!K:K),IF($E180&lt;&gt;0,SUMIF(куб!$E:$E,$E180,куб!K:K),IF($D180&lt;&gt;0,SUMIF(куб!$D:$D,$D180,куб!K:K),IF($C180&lt;&gt;0,SUMIF(куб!$C:$C,$C180,куб!K:K),IF($B180&lt;&gt;0,SUMIF(куб!$B:$B,$B180,куб!K:K))))))</f>
        <v>1120</v>
      </c>
      <c r="R180" s="13" t="str">
        <f t="shared" si="55"/>
        <v>-</v>
      </c>
      <c r="S180" s="5"/>
      <c r="T180" s="27">
        <f>IF($G180&lt;&gt;0,SUMIF(куб!$G:$G,$G180,куб!L:L),IF($E180&lt;&gt;0,SUMIF(куб!$E:$E,$E180,куб!L:L),IF($D180&lt;&gt;0,SUMIF(куб!$D:$D,$D180,куб!L:L),IF($C180&lt;&gt;0,SUMIF(куб!$C:$C,$C180,куб!L:L),IF($B180&lt;&gt;0,SUMIF(куб!$B:$B,$B180,куб!L:L))))))</f>
        <v>0</v>
      </c>
      <c r="U180" s="27">
        <f>IF($G180&lt;&gt;0,SUMIF(куб!$G:$G,$G180,куб!M:M),IF($E180&lt;&gt;0,SUMIF(куб!$E:$E,$E180,куб!M:M),IF($D180&lt;&gt;0,SUMIF(куб!$D:$D,$D180,куб!M:M),IF($C180&lt;&gt;0,SUMIF(куб!$C:$C,$C180,куб!M:M),IF($B180&lt;&gt;0,SUMIF(куб!$B:$B,$B180,куб!M:M))))))</f>
        <v>1034.8800000000001</v>
      </c>
      <c r="V180" s="13" t="str">
        <f t="shared" si="56"/>
        <v>-</v>
      </c>
      <c r="W180" s="5"/>
      <c r="X180" s="27">
        <f>IF($G180&lt;&gt;0,SUMIF(куб!$G:$G,$G180,куб!N:N),IF($E180&lt;&gt;0,SUMIF(куб!$E:$E,$E180,куб!N:N),IF($D180&lt;&gt;0,SUMIF(куб!$D:$D,$D180,куб!N:N),IF($C180&lt;&gt;0,SUMIF(куб!$C:$C,$C180,куб!N:N),IF($B180&lt;&gt;0,SUMIF(куб!$B:$B,$B180,куб!N:N))))))</f>
        <v>0</v>
      </c>
      <c r="Y180" s="27">
        <f>IF($G180&lt;&gt;0,SUMIF(куб!$G:$G,$G180,куб!O:O),IF($E180&lt;&gt;0,SUMIF(куб!$E:$E,$E180,куб!O:O),IF($D180&lt;&gt;0,SUMIF(куб!$D:$D,$D180,куб!O:O),IF($C180&lt;&gt;0,SUMIF(куб!$C:$C,$C180,куб!O:O),IF($B180&lt;&gt;0,SUMIF(куб!$B:$B,$B180,куб!O:O))))))</f>
        <v>21192.3462</v>
      </c>
      <c r="Z180" s="13" t="str">
        <f t="shared" si="57"/>
        <v>-</v>
      </c>
      <c r="AA180" s="5"/>
      <c r="AB180" s="33" t="str">
        <f t="shared" si="58"/>
        <v/>
      </c>
      <c r="AC180" s="33">
        <f t="shared" si="59"/>
        <v>0.21521114320722864</v>
      </c>
      <c r="AD180" s="15" t="str">
        <f t="shared" si="60"/>
        <v xml:space="preserve"> </v>
      </c>
      <c r="AE180" s="5"/>
      <c r="AF180" s="27">
        <f>IF($G180&lt;&gt;0,SUMIF(куб!$G:$G,$G180,куб!R:R),IF($E180&lt;&gt;0,SUMIF(куб!$E:$E,$E180,куб!R:R),IF($D180&lt;&gt;0,SUMIF(куб!$D:$D,$D180,куб!R:R),IF($C180&lt;&gt;0,SUMIF(куб!$C:$C,$C180,куб!R:R),IF($B180&lt;&gt;0,SUMIF(куб!$B:$B,$B180,куб!R:R))))))</f>
        <v>0</v>
      </c>
      <c r="AG180" s="27">
        <f>IF($G180&lt;&gt;0,SUMIF(куб!$G:$G,$G180,куб!S:S),IF($E180&lt;&gt;0,SUMIF(куб!$E:$E,$E180,куб!S:S),IF($D180&lt;&gt;0,SUMIF(куб!$D:$D,$D180,куб!S:S),IF($C180&lt;&gt;0,SUMIF(куб!$C:$C,$C180,куб!S:S),IF($B180&lt;&gt;0,SUMIF(куб!$B:$B,$B180,куб!S:S))))))</f>
        <v>276</v>
      </c>
      <c r="AH180" s="16" t="str">
        <f t="shared" si="61"/>
        <v>-</v>
      </c>
      <c r="AI180" s="8"/>
      <c r="AJ180" s="27">
        <f>IF($G180&lt;&gt;0,SUMIF(куб!$G:$G,$G180,куб!T:T),IF($E180&lt;&gt;0,SUMIF(куб!$E:$E,$E180,куб!T:T),IF($D180&lt;&gt;0,SUMIF(куб!$D:$D,$D180,куб!T:T),IF($C180&lt;&gt;0,SUMIF(куб!$C:$C,$C180,куб!T:T),IF($B180&lt;&gt;0,SUMIF(куб!$B:$B,$B180,куб!T:T))))))</f>
        <v>0</v>
      </c>
      <c r="AK180" s="27">
        <f>IF($G180&lt;&gt;0,SUMIF(куб!$G:$G,$G180,куб!U:U),IF($E180&lt;&gt;0,SUMIF(куб!$E:$E,$E180,куб!U:U),IF($D180&lt;&gt;0,SUMIF(куб!$D:$D,$D180,куб!U:U),IF($C180&lt;&gt;0,SUMIF(куб!$C:$C,$C180,куб!U:U),IF($B180&lt;&gt;0,SUMIF(куб!$B:$B,$B180,куб!U:U))))))</f>
        <v>4</v>
      </c>
      <c r="AL180" s="16" t="str">
        <f t="shared" si="62"/>
        <v>-</v>
      </c>
      <c r="AM180" s="8"/>
      <c r="AN180" s="17" t="str">
        <f t="shared" si="63"/>
        <v xml:space="preserve"> </v>
      </c>
      <c r="AO180" s="17">
        <f t="shared" si="64"/>
        <v>2.8028173456884687E-3</v>
      </c>
      <c r="AP180" s="16" t="str">
        <f t="shared" si="65"/>
        <v>-</v>
      </c>
      <c r="AQ180" s="8"/>
      <c r="AR180" s="17" t="str">
        <f t="shared" si="66"/>
        <v>-</v>
      </c>
      <c r="AS180" s="17">
        <f t="shared" si="67"/>
        <v>0.21240832586154018</v>
      </c>
      <c r="AT180" s="13" t="str">
        <f t="shared" si="68"/>
        <v>-</v>
      </c>
      <c r="AU180" s="8"/>
    </row>
    <row r="181" spans="1:47" ht="15" customHeight="1" x14ac:dyDescent="0.25">
      <c r="A181" s="31" t="s">
        <v>26</v>
      </c>
      <c r="B181" s="31" t="s">
        <v>32</v>
      </c>
      <c r="C181" t="s">
        <v>33</v>
      </c>
      <c r="D181" s="31" t="s">
        <v>34</v>
      </c>
      <c r="E181" t="s">
        <v>357</v>
      </c>
      <c r="F181" s="31" t="s">
        <v>386</v>
      </c>
      <c r="G181" t="s">
        <v>387</v>
      </c>
      <c r="H181" s="27">
        <f>IF($G181&lt;&gt;0,SUMIF(куб!$G:$G,$G181,куб!H:H),IF($E181&lt;&gt;0,SUMIF(куб!$E:$E,$E181,куб!H:H),IF($D181&lt;&gt;0,SUMIF(куб!$D:$D,$D181,куб!H:H),IF($C181&lt;&gt;0,SUMIF(куб!$C:$C,$C181,куб!H:H),IF($B181&lt;&gt;0,SUMIF(куб!$B:$B,$B181,куб!H:H),IF($G181&lt;&gt;0,SUMIF(куб!$A:$A,$G181,куб!H:H),SUMIF(куб!$A:$A,$G181,куб!H:H)))))))</f>
        <v>120438.93039999997</v>
      </c>
      <c r="I181" s="27">
        <f>IF($G181&lt;&gt;0,SUMIF(куб!$G:$G,$G181,куб!I:I),IF($E181&lt;&gt;0,SUMIF(куб!$E:$E,$E181,куб!I:I),IF($D181&lt;&gt;0,SUMIF(куб!$D:$D,$D181,куб!I:I),IF($C181&lt;&gt;0,SUMIF(куб!$C:$C,$C181,куб!I:I),IF($B181&lt;&gt;0,SUMIF(куб!$B:$B,$B181,куб!I:I),IF($G181&lt;&gt;0,SUMIF(куб!$A:$A,$G181,куб!I:I),SUMIF(куб!$A:$A,$G181,куб!I:I)))))))</f>
        <v>199489.59230000002</v>
      </c>
      <c r="J181" s="19">
        <f t="shared" si="69"/>
        <v>0.65635473212405804</v>
      </c>
      <c r="K181" s="5"/>
      <c r="L181" s="17">
        <f t="shared" si="52"/>
        <v>2.5158392197904687E-4</v>
      </c>
      <c r="M181" s="17">
        <f t="shared" si="53"/>
        <v>4.2534672535164209E-4</v>
      </c>
      <c r="N181" s="12">
        <f t="shared" si="54"/>
        <v>1.7376280337259522E-4</v>
      </c>
      <c r="O181" s="5"/>
      <c r="P181" s="27">
        <f>IF($G181&lt;&gt;0,SUMIF(куб!$G:$G,$G181,куб!J:J),IF($E181&lt;&gt;0,SUMIF(куб!$E:$E,$E181,куб!J:J),IF($D181&lt;&gt;0,SUMIF(куб!$D:$D,$D181,куб!J:J),IF($C181&lt;&gt;0,SUMIF(куб!$C:$C,$C181,куб!J:J),IF($B181&lt;&gt;0,SUMIF(куб!$B:$B,$B181,куб!J:J))))))</f>
        <v>2745</v>
      </c>
      <c r="Q181" s="27">
        <f>IF($G181&lt;&gt;0,SUMIF(куб!$G:$G,$G181,куб!K:K),IF($E181&lt;&gt;0,SUMIF(куб!$E:$E,$E181,куб!K:K),IF($D181&lt;&gt;0,SUMIF(куб!$D:$D,$D181,куб!K:K),IF($C181&lt;&gt;0,SUMIF(куб!$C:$C,$C181,куб!K:K),IF($B181&lt;&gt;0,SUMIF(куб!$B:$B,$B181,куб!K:K))))))</f>
        <v>4511</v>
      </c>
      <c r="R181" s="13">
        <f t="shared" si="55"/>
        <v>0.64335154826958107</v>
      </c>
      <c r="S181" s="5"/>
      <c r="T181" s="27">
        <f>IF($G181&lt;&gt;0,SUMIF(куб!$G:$G,$G181,куб!L:L),IF($E181&lt;&gt;0,SUMIF(куб!$E:$E,$E181,куб!L:L),IF($D181&lt;&gt;0,SUMIF(куб!$D:$D,$D181,куб!L:L),IF($C181&lt;&gt;0,SUMIF(куб!$C:$C,$C181,куб!L:L),IF($B181&lt;&gt;0,SUMIF(куб!$B:$B,$B181,куб!L:L))))))</f>
        <v>2470.5</v>
      </c>
      <c r="U181" s="27">
        <f>IF($G181&lt;&gt;0,SUMIF(куб!$G:$G,$G181,куб!M:M),IF($E181&lt;&gt;0,SUMIF(куб!$E:$E,$E181,куб!M:M),IF($D181&lt;&gt;0,SUMIF(куб!$D:$D,$D181,куб!M:M),IF($C181&lt;&gt;0,SUMIF(куб!$C:$C,$C181,куб!M:M),IF($B181&lt;&gt;0,SUMIF(куб!$B:$B,$B181,куб!M:M))))))</f>
        <v>4059.9</v>
      </c>
      <c r="V181" s="13">
        <f t="shared" si="56"/>
        <v>0.64335154826958107</v>
      </c>
      <c r="W181" s="5"/>
      <c r="X181" s="27">
        <f>IF($G181&lt;&gt;0,SUMIF(куб!$G:$G,$G181,куб!N:N),IF($E181&lt;&gt;0,SUMIF(куб!$E:$E,$E181,куб!N:N),IF($D181&lt;&gt;0,SUMIF(куб!$D:$D,$D181,куб!N:N),IF($C181&lt;&gt;0,SUMIF(куб!$C:$C,$C181,куб!N:N),IF($B181&lt;&gt;0,SUMIF(куб!$B:$B,$B181,куб!N:N))))))</f>
        <v>8393.0420999999915</v>
      </c>
      <c r="Y181" s="27">
        <f>IF($G181&lt;&gt;0,SUMIF(куб!$G:$G,$G181,куб!O:O),IF($E181&lt;&gt;0,SUMIF(куб!$E:$E,$E181,куб!O:O),IF($D181&lt;&gt;0,SUMIF(куб!$D:$D,$D181,куб!O:O),IF($C181&lt;&gt;0,SUMIF(куб!$C:$C,$C181,куб!O:O),IF($B181&lt;&gt;0,SUMIF(куб!$B:$B,$B181,куб!O:O))))))</f>
        <v>15364.921300000045</v>
      </c>
      <c r="Z181" s="13">
        <f t="shared" si="57"/>
        <v>0.83067368386011797</v>
      </c>
      <c r="AA181" s="5"/>
      <c r="AB181" s="33">
        <f t="shared" si="58"/>
        <v>6.968711920742858E-2</v>
      </c>
      <c r="AC181" s="33">
        <f t="shared" si="59"/>
        <v>7.7021167484736211E-2</v>
      </c>
      <c r="AD181" s="15">
        <f t="shared" si="60"/>
        <v>7.334048277307631E-3</v>
      </c>
      <c r="AE181" s="5"/>
      <c r="AF181" s="27">
        <f>IF($G181&lt;&gt;0,SUMIF(куб!$G:$G,$G181,куб!R:R),IF($E181&lt;&gt;0,SUMIF(куб!$E:$E,$E181,куб!R:R),IF($D181&lt;&gt;0,SUMIF(куб!$D:$D,$D181,куб!R:R),IF($C181&lt;&gt;0,SUMIF(куб!$C:$C,$C181,куб!R:R),IF($B181&lt;&gt;0,SUMIF(куб!$B:$B,$B181,куб!R:R))))))</f>
        <v>530.63540000000012</v>
      </c>
      <c r="AG181" s="27">
        <f>IF($G181&lt;&gt;0,SUMIF(куб!$G:$G,$G181,куб!S:S),IF($E181&lt;&gt;0,SUMIF(куб!$E:$E,$E181,куб!S:S),IF($D181&lt;&gt;0,SUMIF(куб!$D:$D,$D181,куб!S:S),IF($C181&lt;&gt;0,SUMIF(куб!$C:$C,$C181,куб!S:S),IF($B181&lt;&gt;0,SUMIF(куб!$B:$B,$B181,куб!S:S))))))</f>
        <v>1632.7250999999997</v>
      </c>
      <c r="AH181" s="16">
        <f t="shared" si="61"/>
        <v>2.0769245700531838</v>
      </c>
      <c r="AI181" s="8"/>
      <c r="AJ181" s="27">
        <f>IF($G181&lt;&gt;0,SUMIF(куб!$G:$G,$G181,куб!T:T),IF($E181&lt;&gt;0,SUMIF(куб!$E:$E,$E181,куб!T:T),IF($D181&lt;&gt;0,SUMIF(куб!$D:$D,$D181,куб!T:T),IF($C181&lt;&gt;0,SUMIF(куб!$C:$C,$C181,куб!T:T),IF($B181&lt;&gt;0,SUMIF(куб!$B:$B,$B181,куб!T:T))))))</f>
        <v>13</v>
      </c>
      <c r="AK181" s="27">
        <f>IF($G181&lt;&gt;0,SUMIF(куб!$G:$G,$G181,куб!U:U),IF($E181&lt;&gt;0,SUMIF(куб!$E:$E,$E181,куб!U:U),IF($D181&lt;&gt;0,SUMIF(куб!$D:$D,$D181,куб!U:U),IF($C181&lt;&gt;0,SUMIF(куб!$C:$C,$C181,куб!U:U),IF($B181&lt;&gt;0,SUMIF(куб!$B:$B,$B181,куб!U:U))))))</f>
        <v>40</v>
      </c>
      <c r="AL181" s="16">
        <f t="shared" si="62"/>
        <v>2.0769230769230771</v>
      </c>
      <c r="AM181" s="8"/>
      <c r="AN181" s="17">
        <f t="shared" si="63"/>
        <v>4.4058461681589318E-3</v>
      </c>
      <c r="AO181" s="17">
        <f t="shared" si="64"/>
        <v>8.1845126914924255E-3</v>
      </c>
      <c r="AP181" s="16">
        <f t="shared" si="65"/>
        <v>3.7786665233334937E-3</v>
      </c>
      <c r="AQ181" s="8"/>
      <c r="AR181" s="17">
        <f t="shared" si="66"/>
        <v>6.5281273039269644E-2</v>
      </c>
      <c r="AS181" s="17">
        <f t="shared" si="67"/>
        <v>6.8836654793243787E-2</v>
      </c>
      <c r="AT181" s="13">
        <f t="shared" si="68"/>
        <v>3.5553817539741434E-3</v>
      </c>
      <c r="AU181" s="8"/>
    </row>
    <row r="182" spans="1:47" ht="15" customHeight="1" x14ac:dyDescent="0.25">
      <c r="A182" s="31" t="s">
        <v>26</v>
      </c>
      <c r="B182" s="31" t="s">
        <v>32</v>
      </c>
      <c r="C182" t="s">
        <v>33</v>
      </c>
      <c r="D182" s="31" t="s">
        <v>34</v>
      </c>
      <c r="E182" t="s">
        <v>357</v>
      </c>
      <c r="F182" s="31" t="s">
        <v>388</v>
      </c>
      <c r="G182" t="s">
        <v>389</v>
      </c>
      <c r="H182" s="27">
        <f>IF($G182&lt;&gt;0,SUMIF(куб!$G:$G,$G182,куб!H:H),IF($E182&lt;&gt;0,SUMIF(куб!$E:$E,$E182,куб!H:H),IF($D182&lt;&gt;0,SUMIF(куб!$D:$D,$D182,куб!H:H),IF($C182&lt;&gt;0,SUMIF(куб!$C:$C,$C182,куб!H:H),IF($B182&lt;&gt;0,SUMIF(куб!$B:$B,$B182,куб!H:H),IF($G182&lt;&gt;0,SUMIF(куб!$A:$A,$G182,куб!H:H),SUMIF(куб!$A:$A,$G182,куб!H:H)))))))</f>
        <v>463709.52100000071</v>
      </c>
      <c r="I182" s="27">
        <f>IF($G182&lt;&gt;0,SUMIF(куб!$G:$G,$G182,куб!I:I),IF($E182&lt;&gt;0,SUMIF(куб!$E:$E,$E182,куб!I:I),IF($D182&lt;&gt;0,SUMIF(куб!$D:$D,$D182,куб!I:I),IF($C182&lt;&gt;0,SUMIF(куб!$C:$C,$C182,куб!I:I),IF($B182&lt;&gt;0,SUMIF(куб!$B:$B,$B182,куб!I:I),IF($G182&lt;&gt;0,SUMIF(куб!$A:$A,$G182,куб!I:I),SUMIF(куб!$A:$A,$G182,куб!I:I)))))))</f>
        <v>590114.16390000004</v>
      </c>
      <c r="J182" s="19">
        <f t="shared" si="69"/>
        <v>0.27259445229290247</v>
      </c>
      <c r="K182" s="8"/>
      <c r="L182" s="17">
        <f t="shared" si="52"/>
        <v>9.6863912328638054E-4</v>
      </c>
      <c r="M182" s="17">
        <f t="shared" si="53"/>
        <v>1.2582266789187637E-3</v>
      </c>
      <c r="N182" s="12">
        <f t="shared" si="54"/>
        <v>2.8958755563238321E-4</v>
      </c>
      <c r="O182" s="5"/>
      <c r="P182" s="27">
        <f>IF($G182&lt;&gt;0,SUMIF(куб!$G:$G,$G182,куб!J:J),IF($E182&lt;&gt;0,SUMIF(куб!$E:$E,$E182,куб!J:J),IF($D182&lt;&gt;0,SUMIF(куб!$D:$D,$D182,куб!J:J),IF($C182&lt;&gt;0,SUMIF(куб!$C:$C,$C182,куб!J:J),IF($B182&lt;&gt;0,SUMIF(куб!$B:$B,$B182,куб!J:J))))))</f>
        <v>5427</v>
      </c>
      <c r="Q182" s="27">
        <f>IF($G182&lt;&gt;0,SUMIF(куб!$G:$G,$G182,куб!K:K),IF($E182&lt;&gt;0,SUMIF(куб!$E:$E,$E182,куб!K:K),IF($D182&lt;&gt;0,SUMIF(куб!$D:$D,$D182,куб!K:K),IF($C182&lt;&gt;0,SUMIF(куб!$C:$C,$C182,куб!K:K),IF($B182&lt;&gt;0,SUMIF(куб!$B:$B,$B182,куб!K:K))))))</f>
        <v>7330</v>
      </c>
      <c r="R182" s="13">
        <f t="shared" si="55"/>
        <v>0.35065413672378848</v>
      </c>
      <c r="S182" s="5"/>
      <c r="T182" s="27">
        <f>IF($G182&lt;&gt;0,SUMIF(куб!$G:$G,$G182,куб!L:L),IF($E182&lt;&gt;0,SUMIF(куб!$E:$E,$E182,куб!L:L),IF($D182&lt;&gt;0,SUMIF(куб!$D:$D,$D182,куб!L:L),IF($C182&lt;&gt;0,SUMIF(куб!$C:$C,$C182,куб!L:L),IF($B182&lt;&gt;0,SUMIF(куб!$B:$B,$B182,куб!L:L))))))</f>
        <v>4884.2999999999975</v>
      </c>
      <c r="U182" s="27">
        <f>IF($G182&lt;&gt;0,SUMIF(куб!$G:$G,$G182,куб!M:M),IF($E182&lt;&gt;0,SUMIF(куб!$E:$E,$E182,куб!M:M),IF($D182&lt;&gt;0,SUMIF(куб!$D:$D,$D182,куб!M:M),IF($C182&lt;&gt;0,SUMIF(куб!$C:$C,$C182,куб!M:M),IF($B182&lt;&gt;0,SUMIF(куб!$B:$B,$B182,куб!M:M))))))</f>
        <v>6596.9999999999936</v>
      </c>
      <c r="V182" s="13">
        <f t="shared" si="56"/>
        <v>0.35065413672378787</v>
      </c>
      <c r="W182" s="5"/>
      <c r="X182" s="27">
        <f>IF($G182&lt;&gt;0,SUMIF(куб!$G:$G,$G182,куб!N:N),IF($E182&lt;&gt;0,SUMIF(куб!$E:$E,$E182,куб!N:N),IF($D182&lt;&gt;0,SUMIF(куб!$D:$D,$D182,куб!N:N),IF($C182&lt;&gt;0,SUMIF(куб!$C:$C,$C182,куб!N:N),IF($B182&lt;&gt;0,SUMIF(куб!$B:$B,$B182,куб!N:N))))))</f>
        <v>48361.069700001215</v>
      </c>
      <c r="Y182" s="27">
        <f>IF($G182&lt;&gt;0,SUMIF(куб!$G:$G,$G182,куб!O:O),IF($E182&lt;&gt;0,SUMIF(куб!$E:$E,$E182,куб!O:O),IF($D182&lt;&gt;0,SUMIF(куб!$D:$D,$D182,куб!O:O),IF($C182&lt;&gt;0,SUMIF(куб!$C:$C,$C182,куб!O:O),IF($B182&lt;&gt;0,SUMIF(куб!$B:$B,$B182,куб!O:O))))))</f>
        <v>61930.361600000528</v>
      </c>
      <c r="Z182" s="13">
        <f t="shared" si="57"/>
        <v>0.28058295617061119</v>
      </c>
      <c r="AA182" s="5"/>
      <c r="AB182" s="33">
        <f t="shared" si="58"/>
        <v>0.10429173331552349</v>
      </c>
      <c r="AC182" s="33">
        <f t="shared" si="59"/>
        <v>0.10494640764205614</v>
      </c>
      <c r="AD182" s="15">
        <f t="shared" si="60"/>
        <v>6.5467432653264213E-4</v>
      </c>
      <c r="AE182" s="5"/>
      <c r="AF182" s="27">
        <f>IF($G182&lt;&gt;0,SUMIF(куб!$G:$G,$G182,куб!R:R),IF($E182&lt;&gt;0,SUMIF(куб!$E:$E,$E182,куб!R:R),IF($D182&lt;&gt;0,SUMIF(куб!$D:$D,$D182,куб!R:R),IF($C182&lt;&gt;0,SUMIF(куб!$C:$C,$C182,куб!R:R),IF($B182&lt;&gt;0,SUMIF(куб!$B:$B,$B182,куб!R:R))))))</f>
        <v>19930.904399999999</v>
      </c>
      <c r="AG182" s="27">
        <f>IF($G182&lt;&gt;0,SUMIF(куб!$G:$G,$G182,куб!S:S),IF($E182&lt;&gt;0,SUMIF(куб!$E:$E,$E182,куб!S:S),IF($D182&lt;&gt;0,SUMIF(куб!$D:$D,$D182,куб!S:S),IF($C182&lt;&gt;0,SUMIF(куб!$C:$C,$C182,куб!S:S),IF($B182&lt;&gt;0,SUMIF(куб!$B:$B,$B182,куб!S:S))))))</f>
        <v>14899.758999999998</v>
      </c>
      <c r="AH182" s="16">
        <f t="shared" si="61"/>
        <v>-0.25242935789707571</v>
      </c>
      <c r="AI182" s="8"/>
      <c r="AJ182" s="27">
        <f>IF($G182&lt;&gt;0,SUMIF(куб!$G:$G,$G182,куб!T:T),IF($E182&lt;&gt;0,SUMIF(куб!$E:$E,$E182,куб!T:T),IF($D182&lt;&gt;0,SUMIF(куб!$D:$D,$D182,куб!T:T),IF($C182&lt;&gt;0,SUMIF(куб!$C:$C,$C182,куб!T:T),IF($B182&lt;&gt;0,SUMIF(куб!$B:$B,$B182,куб!T:T))))))</f>
        <v>261</v>
      </c>
      <c r="AK182" s="27">
        <f>IF($G182&lt;&gt;0,SUMIF(куб!$G:$G,$G182,куб!U:U),IF($E182&lt;&gt;0,SUMIF(куб!$E:$E,$E182,куб!U:U),IF($D182&lt;&gt;0,SUMIF(куб!$D:$D,$D182,куб!U:U),IF($C182&lt;&gt;0,SUMIF(куб!$C:$C,$C182,куб!U:U),IF($B182&lt;&gt;0,SUMIF(куб!$B:$B,$B182,куб!U:U))))))</f>
        <v>208</v>
      </c>
      <c r="AL182" s="16">
        <f t="shared" si="62"/>
        <v>-0.20306513409961685</v>
      </c>
      <c r="AM182" s="8"/>
      <c r="AN182" s="17">
        <f t="shared" si="63"/>
        <v>4.2981443117705513E-2</v>
      </c>
      <c r="AO182" s="17">
        <f t="shared" si="64"/>
        <v>2.5248943190126327E-2</v>
      </c>
      <c r="AP182" s="16">
        <f t="shared" si="65"/>
        <v>-1.7732499927579186E-2</v>
      </c>
      <c r="AQ182" s="8"/>
      <c r="AR182" s="17">
        <f t="shared" si="66"/>
        <v>6.1310290197817981E-2</v>
      </c>
      <c r="AS182" s="17">
        <f t="shared" si="67"/>
        <v>7.9697464451929795E-2</v>
      </c>
      <c r="AT182" s="13">
        <f t="shared" si="68"/>
        <v>1.8387174254111814E-2</v>
      </c>
      <c r="AU182" s="8"/>
    </row>
    <row r="183" spans="1:47" ht="15" customHeight="1" x14ac:dyDescent="0.25">
      <c r="A183" s="31" t="s">
        <v>26</v>
      </c>
      <c r="B183" s="31" t="s">
        <v>32</v>
      </c>
      <c r="C183" t="s">
        <v>33</v>
      </c>
      <c r="D183" s="31" t="s">
        <v>34</v>
      </c>
      <c r="E183" t="s">
        <v>357</v>
      </c>
      <c r="F183" s="31" t="s">
        <v>390</v>
      </c>
      <c r="G183" t="s">
        <v>391</v>
      </c>
      <c r="H183" s="27">
        <f>IF($G183&lt;&gt;0,SUMIF(куб!$G:$G,$G183,куб!H:H),IF($E183&lt;&gt;0,SUMIF(куб!$E:$E,$E183,куб!H:H),IF($D183&lt;&gt;0,SUMIF(куб!$D:$D,$D183,куб!H:H),IF($C183&lt;&gt;0,SUMIF(куб!$C:$C,$C183,куб!H:H),IF($B183&lt;&gt;0,SUMIF(куб!$B:$B,$B183,куб!H:H),IF($G183&lt;&gt;0,SUMIF(куб!$A:$A,$G183,куб!H:H),SUMIF(куб!$A:$A,$G183,куб!H:H)))))))</f>
        <v>263898.03049999999</v>
      </c>
      <c r="I183" s="27">
        <f>IF($G183&lt;&gt;0,SUMIF(куб!$G:$G,$G183,куб!I:I),IF($E183&lt;&gt;0,SUMIF(куб!$E:$E,$E183,куб!I:I),IF($D183&lt;&gt;0,SUMIF(куб!$D:$D,$D183,куб!I:I),IF($C183&lt;&gt;0,SUMIF(куб!$C:$C,$C183,куб!I:I),IF($B183&lt;&gt;0,SUMIF(куб!$B:$B,$B183,куб!I:I),IF($G183&lt;&gt;0,SUMIF(куб!$A:$A,$G183,куб!I:I),SUMIF(куб!$A:$A,$G183,куб!I:I)))))))</f>
        <v>0</v>
      </c>
      <c r="J183" s="19">
        <f t="shared" si="69"/>
        <v>-1</v>
      </c>
      <c r="K183" s="10"/>
      <c r="L183" s="17">
        <f t="shared" si="52"/>
        <v>5.5125449300516332E-4</v>
      </c>
      <c r="M183" s="17">
        <f t="shared" si="53"/>
        <v>0</v>
      </c>
      <c r="N183" s="12">
        <f t="shared" si="54"/>
        <v>-5.5125449300516332E-4</v>
      </c>
      <c r="O183" s="5"/>
      <c r="P183" s="27">
        <f>IF($G183&lt;&gt;0,SUMIF(куб!$G:$G,$G183,куб!J:J),IF($E183&lt;&gt;0,SUMIF(куб!$E:$E,$E183,куб!J:J),IF($D183&lt;&gt;0,SUMIF(куб!$D:$D,$D183,куб!J:J),IF($C183&lt;&gt;0,SUMIF(куб!$C:$C,$C183,куб!J:J),IF($B183&lt;&gt;0,SUMIF(куб!$B:$B,$B183,куб!J:J))))))</f>
        <v>4214</v>
      </c>
      <c r="Q183" s="27">
        <f>IF($G183&lt;&gt;0,SUMIF(куб!$G:$G,$G183,куб!K:K),IF($E183&lt;&gt;0,SUMIF(куб!$E:$E,$E183,куб!K:K),IF($D183&lt;&gt;0,SUMIF(куб!$D:$D,$D183,куб!K:K),IF($C183&lt;&gt;0,SUMIF(куб!$C:$C,$C183,куб!K:K),IF($B183&lt;&gt;0,SUMIF(куб!$B:$B,$B183,куб!K:K))))))</f>
        <v>0</v>
      </c>
      <c r="R183" s="13">
        <f t="shared" si="55"/>
        <v>-1</v>
      </c>
      <c r="S183" s="5"/>
      <c r="T183" s="27">
        <f>IF($G183&lt;&gt;0,SUMIF(куб!$G:$G,$G183,куб!L:L),IF($E183&lt;&gt;0,SUMIF(куб!$E:$E,$E183,куб!L:L),IF($D183&lt;&gt;0,SUMIF(куб!$D:$D,$D183,куб!L:L),IF($C183&lt;&gt;0,SUMIF(куб!$C:$C,$C183,куб!L:L),IF($B183&lt;&gt;0,SUMIF(куб!$B:$B,$B183,куб!L:L))))))</f>
        <v>3897.95</v>
      </c>
      <c r="U183" s="27">
        <f>IF($G183&lt;&gt;0,SUMIF(куб!$G:$G,$G183,куб!M:M),IF($E183&lt;&gt;0,SUMIF(куб!$E:$E,$E183,куб!M:M),IF($D183&lt;&gt;0,SUMIF(куб!$D:$D,$D183,куб!M:M),IF($C183&lt;&gt;0,SUMIF(куб!$C:$C,$C183,куб!M:M),IF($B183&lt;&gt;0,SUMIF(куб!$B:$B,$B183,куб!M:M))))))</f>
        <v>0</v>
      </c>
      <c r="V183" s="13">
        <f t="shared" si="56"/>
        <v>-1</v>
      </c>
      <c r="W183" s="5"/>
      <c r="X183" s="27">
        <f>IF($G183&lt;&gt;0,SUMIF(куб!$G:$G,$G183,куб!N:N),IF($E183&lt;&gt;0,SUMIF(куб!$E:$E,$E183,куб!N:N),IF($D183&lt;&gt;0,SUMIF(куб!$D:$D,$D183,куб!N:N),IF($C183&lt;&gt;0,SUMIF(куб!$C:$C,$C183,куб!N:N),IF($B183&lt;&gt;0,SUMIF(куб!$B:$B,$B183,куб!N:N))))))</f>
        <v>34035.413000000059</v>
      </c>
      <c r="Y183" s="27">
        <f>IF($G183&lt;&gt;0,SUMIF(куб!$G:$G,$G183,куб!O:O),IF($E183&lt;&gt;0,SUMIF(куб!$E:$E,$E183,куб!O:O),IF($D183&lt;&gt;0,SUMIF(куб!$D:$D,$D183,куб!O:O),IF($C183&lt;&gt;0,SUMIF(куб!$C:$C,$C183,куб!O:O),IF($B183&lt;&gt;0,SUMIF(куб!$B:$B,$B183,куб!O:O))))))</f>
        <v>0</v>
      </c>
      <c r="Z183" s="13">
        <f t="shared" si="57"/>
        <v>-1</v>
      </c>
      <c r="AA183" s="5"/>
      <c r="AB183" s="33">
        <f t="shared" si="58"/>
        <v>0.12897183406603732</v>
      </c>
      <c r="AC183" s="33" t="str">
        <f t="shared" si="59"/>
        <v/>
      </c>
      <c r="AD183" s="15" t="str">
        <f t="shared" si="60"/>
        <v xml:space="preserve"> </v>
      </c>
      <c r="AE183" s="5"/>
      <c r="AF183" s="27">
        <f>IF($G183&lt;&gt;0,SUMIF(куб!$G:$G,$G183,куб!R:R),IF($E183&lt;&gt;0,SUMIF(куб!$E:$E,$E183,куб!R:R),IF($D183&lt;&gt;0,SUMIF(куб!$D:$D,$D183,куб!R:R),IF($C183&lt;&gt;0,SUMIF(куб!$C:$C,$C183,куб!R:R),IF($B183&lt;&gt;0,SUMIF(куб!$B:$B,$B183,куб!R:R))))))</f>
        <v>3654.5434999999998</v>
      </c>
      <c r="AG183" s="27">
        <f>IF($G183&lt;&gt;0,SUMIF(куб!$G:$G,$G183,куб!S:S),IF($E183&lt;&gt;0,SUMIF(куб!$E:$E,$E183,куб!S:S),IF($D183&lt;&gt;0,SUMIF(куб!$D:$D,$D183,куб!S:S),IF($C183&lt;&gt;0,SUMIF(куб!$C:$C,$C183,куб!S:S),IF($B183&lt;&gt;0,SUMIF(куб!$B:$B,$B183,куб!S:S))))))</f>
        <v>0</v>
      </c>
      <c r="AH183" s="16">
        <f t="shared" si="61"/>
        <v>-1</v>
      </c>
      <c r="AI183" s="8"/>
      <c r="AJ183" s="27">
        <f>IF($G183&lt;&gt;0,SUMIF(куб!$G:$G,$G183,куб!T:T),IF($E183&lt;&gt;0,SUMIF(куб!$E:$E,$E183,куб!T:T),IF($D183&lt;&gt;0,SUMIF(куб!$D:$D,$D183,куб!T:T),IF($C183&lt;&gt;0,SUMIF(куб!$C:$C,$C183,куб!T:T),IF($B183&lt;&gt;0,SUMIF(куб!$B:$B,$B183,куб!T:T))))))</f>
        <v>67</v>
      </c>
      <c r="AK183" s="27">
        <f>IF($G183&lt;&gt;0,SUMIF(куб!$G:$G,$G183,куб!U:U),IF($E183&lt;&gt;0,SUMIF(куб!$E:$E,$E183,куб!U:U),IF($D183&lt;&gt;0,SUMIF(куб!$D:$D,$D183,куб!U:U),IF($C183&lt;&gt;0,SUMIF(куб!$C:$C,$C183,куб!U:U),IF($B183&lt;&gt;0,SUMIF(куб!$B:$B,$B183,куб!U:U))))))</f>
        <v>0</v>
      </c>
      <c r="AL183" s="16">
        <f t="shared" si="62"/>
        <v>-1</v>
      </c>
      <c r="AM183" s="8"/>
      <c r="AN183" s="17">
        <f t="shared" si="63"/>
        <v>1.3848316689123605E-2</v>
      </c>
      <c r="AO183" s="17" t="str">
        <f t="shared" si="64"/>
        <v xml:space="preserve"> </v>
      </c>
      <c r="AP183" s="16" t="str">
        <f t="shared" si="65"/>
        <v>-</v>
      </c>
      <c r="AQ183" s="8"/>
      <c r="AR183" s="17">
        <f t="shared" si="66"/>
        <v>0.11512351737691373</v>
      </c>
      <c r="AS183" s="17" t="str">
        <f t="shared" si="67"/>
        <v>-</v>
      </c>
      <c r="AT183" s="13" t="str">
        <f t="shared" si="68"/>
        <v>-</v>
      </c>
      <c r="AU183" s="8"/>
    </row>
    <row r="184" spans="1:47" ht="15" customHeight="1" x14ac:dyDescent="0.25">
      <c r="A184" s="31" t="s">
        <v>26</v>
      </c>
      <c r="B184" s="31" t="s">
        <v>32</v>
      </c>
      <c r="C184" t="s">
        <v>33</v>
      </c>
      <c r="D184" s="31" t="s">
        <v>34</v>
      </c>
      <c r="E184" t="s">
        <v>357</v>
      </c>
      <c r="F184" s="31" t="s">
        <v>392</v>
      </c>
      <c r="G184" t="s">
        <v>393</v>
      </c>
      <c r="H184" s="27">
        <f>IF($G184&lt;&gt;0,SUMIF(куб!$G:$G,$G184,куб!H:H),IF($E184&lt;&gt;0,SUMIF(куб!$E:$E,$E184,куб!H:H),IF($D184&lt;&gt;0,SUMIF(куб!$D:$D,$D184,куб!H:H),IF($C184&lt;&gt;0,SUMIF(куб!$C:$C,$C184,куб!H:H),IF($B184&lt;&gt;0,SUMIF(куб!$B:$B,$B184,куб!H:H),IF($G184&lt;&gt;0,SUMIF(куб!$A:$A,$G184,куб!H:H),SUMIF(куб!$A:$A,$G184,куб!H:H)))))))</f>
        <v>10629.187800000002</v>
      </c>
      <c r="I184" s="27">
        <f>IF($G184&lt;&gt;0,SUMIF(куб!$G:$G,$G184,куб!I:I),IF($E184&lt;&gt;0,SUMIF(куб!$E:$E,$E184,куб!I:I),IF($D184&lt;&gt;0,SUMIF(куб!$D:$D,$D184,куб!I:I),IF($C184&lt;&gt;0,SUMIF(куб!$C:$C,$C184,куб!I:I),IF($B184&lt;&gt;0,SUMIF(куб!$B:$B,$B184,куб!I:I),IF($G184&lt;&gt;0,SUMIF(куб!$A:$A,$G184,куб!I:I),SUMIF(куб!$A:$A,$G184,куб!I:I)))))))</f>
        <v>0</v>
      </c>
      <c r="J184" s="19">
        <f t="shared" si="69"/>
        <v>-1</v>
      </c>
      <c r="K184" s="5"/>
      <c r="L184" s="17">
        <f t="shared" si="52"/>
        <v>2.2203225695334123E-5</v>
      </c>
      <c r="M184" s="17">
        <f t="shared" si="53"/>
        <v>0</v>
      </c>
      <c r="N184" s="12">
        <f t="shared" si="54"/>
        <v>-2.2203225695334123E-5</v>
      </c>
      <c r="O184" s="5"/>
      <c r="P184" s="27">
        <f>IF($G184&lt;&gt;0,SUMIF(куб!$G:$G,$G184,куб!J:J),IF($E184&lt;&gt;0,SUMIF(куб!$E:$E,$E184,куб!J:J),IF($D184&lt;&gt;0,SUMIF(куб!$D:$D,$D184,куб!J:J),IF($C184&lt;&gt;0,SUMIF(куб!$C:$C,$C184,куб!J:J),IF($B184&lt;&gt;0,SUMIF(куб!$B:$B,$B184,куб!J:J))))))</f>
        <v>131</v>
      </c>
      <c r="Q184" s="27">
        <f>IF($G184&lt;&gt;0,SUMIF(куб!$G:$G,$G184,куб!K:K),IF($E184&lt;&gt;0,SUMIF(куб!$E:$E,$E184,куб!K:K),IF($D184&lt;&gt;0,SUMIF(куб!$D:$D,$D184,куб!K:K),IF($C184&lt;&gt;0,SUMIF(куб!$C:$C,$C184,куб!K:K),IF($B184&lt;&gt;0,SUMIF(куб!$B:$B,$B184,куб!K:K))))))</f>
        <v>0</v>
      </c>
      <c r="R184" s="13">
        <f t="shared" si="55"/>
        <v>-1</v>
      </c>
      <c r="S184" s="5"/>
      <c r="T184" s="27">
        <f>IF($G184&lt;&gt;0,SUMIF(куб!$G:$G,$G184,куб!L:L),IF($E184&lt;&gt;0,SUMIF(куб!$E:$E,$E184,куб!L:L),IF($D184&lt;&gt;0,SUMIF(куб!$D:$D,$D184,куб!L:L),IF($C184&lt;&gt;0,SUMIF(куб!$C:$C,$C184,куб!L:L),IF($B184&lt;&gt;0,SUMIF(куб!$B:$B,$B184,куб!L:L))))))</f>
        <v>117.9</v>
      </c>
      <c r="U184" s="27">
        <f>IF($G184&lt;&gt;0,SUMIF(куб!$G:$G,$G184,куб!M:M),IF($E184&lt;&gt;0,SUMIF(куб!$E:$E,$E184,куб!M:M),IF($D184&lt;&gt;0,SUMIF(куб!$D:$D,$D184,куб!M:M),IF($C184&lt;&gt;0,SUMIF(куб!$C:$C,$C184,куб!M:M),IF($B184&lt;&gt;0,SUMIF(куб!$B:$B,$B184,куб!M:M))))))</f>
        <v>0</v>
      </c>
      <c r="V184" s="13">
        <f t="shared" si="56"/>
        <v>-1</v>
      </c>
      <c r="W184" s="5"/>
      <c r="X184" s="27">
        <f>IF($G184&lt;&gt;0,SUMIF(куб!$G:$G,$G184,куб!N:N),IF($E184&lt;&gt;0,SUMIF(куб!$E:$E,$E184,куб!N:N),IF($D184&lt;&gt;0,SUMIF(куб!$D:$D,$D184,куб!N:N),IF($C184&lt;&gt;0,SUMIF(куб!$C:$C,$C184,куб!N:N),IF($B184&lt;&gt;0,SUMIF(куб!$B:$B,$B184,куб!N:N))))))</f>
        <v>1092.3878000000022</v>
      </c>
      <c r="Y184" s="27">
        <f>IF($G184&lt;&gt;0,SUMIF(куб!$G:$G,$G184,куб!O:O),IF($E184&lt;&gt;0,SUMIF(куб!$E:$E,$E184,куб!O:O),IF($D184&lt;&gt;0,SUMIF(куб!$D:$D,$D184,куб!O:O),IF($C184&lt;&gt;0,SUMIF(куб!$C:$C,$C184,куб!O:O),IF($B184&lt;&gt;0,SUMIF(куб!$B:$B,$B184,куб!O:O))))))</f>
        <v>0</v>
      </c>
      <c r="Z184" s="13">
        <f t="shared" si="57"/>
        <v>-1</v>
      </c>
      <c r="AA184" s="5"/>
      <c r="AB184" s="33">
        <f t="shared" si="58"/>
        <v>0.10277246206902112</v>
      </c>
      <c r="AC184" s="33" t="str">
        <f t="shared" si="59"/>
        <v/>
      </c>
      <c r="AD184" s="15" t="str">
        <f t="shared" si="60"/>
        <v xml:space="preserve"> </v>
      </c>
      <c r="AE184" s="5"/>
      <c r="AF184" s="27">
        <f>IF($G184&lt;&gt;0,SUMIF(куб!$G:$G,$G184,куб!R:R),IF($E184&lt;&gt;0,SUMIF(куб!$E:$E,$E184,куб!R:R),IF($D184&lt;&gt;0,SUMIF(куб!$D:$D,$D184,куб!R:R),IF($C184&lt;&gt;0,SUMIF(куб!$C:$C,$C184,куб!R:R),IF($B184&lt;&gt;0,SUMIF(куб!$B:$B,$B184,куб!R:R))))))</f>
        <v>800.8</v>
      </c>
      <c r="AG184" s="27">
        <f>IF($G184&lt;&gt;0,SUMIF(куб!$G:$G,$G184,куб!S:S),IF($E184&lt;&gt;0,SUMIF(куб!$E:$E,$E184,куб!S:S),IF($D184&lt;&gt;0,SUMIF(куб!$D:$D,$D184,куб!S:S),IF($C184&lt;&gt;0,SUMIF(куб!$C:$C,$C184,куб!S:S),IF($B184&lt;&gt;0,SUMIF(куб!$B:$B,$B184,куб!S:S))))))</f>
        <v>0</v>
      </c>
      <c r="AH184" s="16">
        <f t="shared" si="61"/>
        <v>-1</v>
      </c>
      <c r="AI184" s="8"/>
      <c r="AJ184" s="27">
        <f>IF($G184&lt;&gt;0,SUMIF(куб!$G:$G,$G184,куб!T:T),IF($E184&lt;&gt;0,SUMIF(куб!$E:$E,$E184,куб!T:T),IF($D184&lt;&gt;0,SUMIF(куб!$D:$D,$D184,куб!T:T),IF($C184&lt;&gt;0,SUMIF(куб!$C:$C,$C184,куб!T:T),IF($B184&lt;&gt;0,SUMIF(куб!$B:$B,$B184,куб!T:T))))))</f>
        <v>11</v>
      </c>
      <c r="AK184" s="27">
        <f>IF($G184&lt;&gt;0,SUMIF(куб!$G:$G,$G184,куб!U:U),IF($E184&lt;&gt;0,SUMIF(куб!$E:$E,$E184,куб!U:U),IF($D184&lt;&gt;0,SUMIF(куб!$D:$D,$D184,куб!U:U),IF($C184&lt;&gt;0,SUMIF(куб!$C:$C,$C184,куб!U:U),IF($B184&lt;&gt;0,SUMIF(куб!$B:$B,$B184,куб!U:U))))))</f>
        <v>0</v>
      </c>
      <c r="AL184" s="16">
        <f t="shared" si="62"/>
        <v>-1</v>
      </c>
      <c r="AM184" s="8"/>
      <c r="AN184" s="17">
        <f t="shared" si="63"/>
        <v>7.5339716925502051E-2</v>
      </c>
      <c r="AO184" s="17" t="str">
        <f t="shared" si="64"/>
        <v xml:space="preserve"> </v>
      </c>
      <c r="AP184" s="16" t="str">
        <f t="shared" si="65"/>
        <v>-</v>
      </c>
      <c r="AQ184" s="8"/>
      <c r="AR184" s="17">
        <f t="shared" si="66"/>
        <v>2.743274514351908E-2</v>
      </c>
      <c r="AS184" s="17" t="str">
        <f t="shared" si="67"/>
        <v>-</v>
      </c>
      <c r="AT184" s="13" t="str">
        <f t="shared" si="68"/>
        <v>-</v>
      </c>
      <c r="AU184" s="8"/>
    </row>
    <row r="185" spans="1:47" ht="15" customHeight="1" x14ac:dyDescent="0.25">
      <c r="A185" s="31" t="s">
        <v>26</v>
      </c>
      <c r="B185" s="31" t="s">
        <v>32</v>
      </c>
      <c r="C185" t="s">
        <v>33</v>
      </c>
      <c r="D185" s="31" t="s">
        <v>34</v>
      </c>
      <c r="E185" t="s">
        <v>357</v>
      </c>
      <c r="F185" s="31" t="s">
        <v>394</v>
      </c>
      <c r="G185" t="s">
        <v>395</v>
      </c>
      <c r="H185" s="27">
        <f>IF($G185&lt;&gt;0,SUMIF(куб!$G:$G,$G185,куб!H:H),IF($E185&lt;&gt;0,SUMIF(куб!$E:$E,$E185,куб!H:H),IF($D185&lt;&gt;0,SUMIF(куб!$D:$D,$D185,куб!H:H),IF($C185&lt;&gt;0,SUMIF(куб!$C:$C,$C185,куб!H:H),IF($B185&lt;&gt;0,SUMIF(куб!$B:$B,$B185,куб!H:H),IF($G185&lt;&gt;0,SUMIF(куб!$A:$A,$G185,куб!H:H),SUMIF(куб!$A:$A,$G185,куб!H:H)))))))</f>
        <v>74347.669400000013</v>
      </c>
      <c r="I185" s="27">
        <f>IF($G185&lt;&gt;0,SUMIF(куб!$G:$G,$G185,куб!I:I),IF($E185&lt;&gt;0,SUMIF(куб!$E:$E,$E185,куб!I:I),IF($D185&lt;&gt;0,SUMIF(куб!$D:$D,$D185,куб!I:I),IF($C185&lt;&gt;0,SUMIF(куб!$C:$C,$C185,куб!I:I),IF($B185&lt;&gt;0,SUMIF(куб!$B:$B,$B185,куб!I:I),IF($G185&lt;&gt;0,SUMIF(куб!$A:$A,$G185,куб!I:I),SUMIF(куб!$A:$A,$G185,куб!I:I)))))))</f>
        <v>63346.692900000002</v>
      </c>
      <c r="J185" s="19">
        <f t="shared" si="69"/>
        <v>-0.14796666242237325</v>
      </c>
      <c r="K185" s="5"/>
      <c r="L185" s="17">
        <f t="shared" si="52"/>
        <v>1.5530425416044363E-4</v>
      </c>
      <c r="M185" s="17">
        <f t="shared" si="53"/>
        <v>1.3506623616910924E-4</v>
      </c>
      <c r="N185" s="12">
        <f t="shared" si="54"/>
        <v>-2.0238017991334393E-5</v>
      </c>
      <c r="O185" s="5"/>
      <c r="P185" s="27">
        <f>IF($G185&lt;&gt;0,SUMIF(куб!$G:$G,$G185,куб!J:J),IF($E185&lt;&gt;0,SUMIF(куб!$E:$E,$E185,куб!J:J),IF($D185&lt;&gt;0,SUMIF(куб!$D:$D,$D185,куб!J:J),IF($C185&lt;&gt;0,SUMIF(куб!$C:$C,$C185,куб!J:J),IF($B185&lt;&gt;0,SUMIF(куб!$B:$B,$B185,куб!J:J))))))</f>
        <v>964</v>
      </c>
      <c r="Q185" s="27">
        <f>IF($G185&lt;&gt;0,SUMIF(куб!$G:$G,$G185,куб!K:K),IF($E185&lt;&gt;0,SUMIF(куб!$E:$E,$E185,куб!K:K),IF($D185&lt;&gt;0,SUMIF(куб!$D:$D,$D185,куб!K:K),IF($C185&lt;&gt;0,SUMIF(куб!$C:$C,$C185,куб!K:K),IF($B185&lt;&gt;0,SUMIF(куб!$B:$B,$B185,куб!K:K))))))</f>
        <v>821</v>
      </c>
      <c r="R185" s="13">
        <f t="shared" si="55"/>
        <v>-0.1483402489626556</v>
      </c>
      <c r="S185" s="5"/>
      <c r="T185" s="27">
        <f>IF($G185&lt;&gt;0,SUMIF(куб!$G:$G,$G185,куб!L:L),IF($E185&lt;&gt;0,SUMIF(куб!$E:$E,$E185,куб!L:L),IF($D185&lt;&gt;0,SUMIF(куб!$D:$D,$D185,куб!L:L),IF($C185&lt;&gt;0,SUMIF(куб!$C:$C,$C185,куб!L:L),IF($B185&lt;&gt;0,SUMIF(куб!$B:$B,$B185,куб!L:L))))))</f>
        <v>964</v>
      </c>
      <c r="U185" s="27">
        <f>IF($G185&lt;&gt;0,SUMIF(куб!$G:$G,$G185,куб!M:M),IF($E185&lt;&gt;0,SUMIF(куб!$E:$E,$E185,куб!M:M),IF($D185&lt;&gt;0,SUMIF(куб!$D:$D,$D185,куб!M:M),IF($C185&lt;&gt;0,SUMIF(куб!$C:$C,$C185,куб!M:M),IF($B185&lt;&gt;0,SUMIF(куб!$B:$B,$B185,куб!M:M))))))</f>
        <v>821</v>
      </c>
      <c r="V185" s="13">
        <f t="shared" si="56"/>
        <v>-0.1483402489626556</v>
      </c>
      <c r="W185" s="5"/>
      <c r="X185" s="27">
        <f>IF($G185&lt;&gt;0,SUMIF(куб!$G:$G,$G185,куб!N:N),IF($E185&lt;&gt;0,SUMIF(куб!$E:$E,$E185,куб!N:N),IF($D185&lt;&gt;0,SUMIF(куб!$D:$D,$D185,куб!N:N),IF($C185&lt;&gt;0,SUMIF(куб!$C:$C,$C185,куб!N:N),IF($B185&lt;&gt;0,SUMIF(куб!$B:$B,$B185,куб!N:N))))))</f>
        <v>9277.6693999999989</v>
      </c>
      <c r="Y185" s="27">
        <f>IF($G185&lt;&gt;0,SUMIF(куб!$G:$G,$G185,куб!O:O),IF($E185&lt;&gt;0,SUMIF(куб!$E:$E,$E185,куб!O:O),IF($D185&lt;&gt;0,SUMIF(куб!$D:$D,$D185,куб!O:O),IF($C185&lt;&gt;0,SUMIF(куб!$C:$C,$C185,куб!O:O),IF($B185&lt;&gt;0,SUMIF(куб!$B:$B,$B185,куб!O:O))))))</f>
        <v>7929.1929000000018</v>
      </c>
      <c r="Z185" s="13">
        <f t="shared" si="57"/>
        <v>-0.14534647031074391</v>
      </c>
      <c r="AA185" s="5"/>
      <c r="AB185" s="33">
        <f t="shared" si="58"/>
        <v>0.12478762918693451</v>
      </c>
      <c r="AC185" s="33">
        <f t="shared" si="59"/>
        <v>0.12517137891503097</v>
      </c>
      <c r="AD185" s="15">
        <f t="shared" si="60"/>
        <v>3.837497280964608E-4</v>
      </c>
      <c r="AE185" s="5"/>
      <c r="AF185" s="27">
        <f>IF($G185&lt;&gt;0,SUMIF(куб!$G:$G,$G185,куб!R:R),IF($E185&lt;&gt;0,SUMIF(куб!$E:$E,$E185,куб!R:R),IF($D185&lt;&gt;0,SUMIF(куб!$D:$D,$D185,куб!R:R),IF($C185&lt;&gt;0,SUMIF(куб!$C:$C,$C185,куб!R:R),IF($B185&lt;&gt;0,SUMIF(куб!$B:$B,$B185,куб!R:R))))))</f>
        <v>1080</v>
      </c>
      <c r="AG185" s="27">
        <f>IF($G185&lt;&gt;0,SUMIF(куб!$G:$G,$G185,куб!S:S),IF($E185&lt;&gt;0,SUMIF(куб!$E:$E,$E185,куб!S:S),IF($D185&lt;&gt;0,SUMIF(куб!$D:$D,$D185,куб!S:S),IF($C185&lt;&gt;0,SUMIF(куб!$C:$C,$C185,куб!S:S),IF($B185&lt;&gt;0,SUMIF(куб!$B:$B,$B185,куб!S:S))))))</f>
        <v>742.5</v>
      </c>
      <c r="AH185" s="16">
        <f t="shared" si="61"/>
        <v>-0.3125</v>
      </c>
      <c r="AI185" s="8"/>
      <c r="AJ185" s="27">
        <f>IF($G185&lt;&gt;0,SUMIF(куб!$G:$G,$G185,куб!T:T),IF($E185&lt;&gt;0,SUMIF(куб!$E:$E,$E185,куб!T:T),IF($D185&lt;&gt;0,SUMIF(куб!$D:$D,$D185,куб!T:T),IF($C185&lt;&gt;0,SUMIF(куб!$C:$C,$C185,куб!T:T),IF($B185&lt;&gt;0,SUMIF(куб!$B:$B,$B185,куб!T:T))))))</f>
        <v>16</v>
      </c>
      <c r="AK185" s="27">
        <f>IF($G185&lt;&gt;0,SUMIF(куб!$G:$G,$G185,куб!U:U),IF($E185&lt;&gt;0,SUMIF(куб!$E:$E,$E185,куб!U:U),IF($D185&lt;&gt;0,SUMIF(куб!$D:$D,$D185,куб!U:U),IF($C185&lt;&gt;0,SUMIF(куб!$C:$C,$C185,куб!U:U),IF($B185&lt;&gt;0,SUMIF(куб!$B:$B,$B185,куб!U:U))))))</f>
        <v>11</v>
      </c>
      <c r="AL185" s="16">
        <f t="shared" si="62"/>
        <v>-0.3125</v>
      </c>
      <c r="AM185" s="8"/>
      <c r="AN185" s="17">
        <f t="shared" si="63"/>
        <v>1.4526346403536354E-2</v>
      </c>
      <c r="AO185" s="17">
        <f t="shared" si="64"/>
        <v>1.1721211731954518E-2</v>
      </c>
      <c r="AP185" s="16">
        <f t="shared" si="65"/>
        <v>-2.8051346715818361E-3</v>
      </c>
      <c r="AQ185" s="8"/>
      <c r="AR185" s="17">
        <f t="shared" si="66"/>
        <v>0.11026128278339815</v>
      </c>
      <c r="AS185" s="17">
        <f t="shared" si="67"/>
        <v>0.11345016718307645</v>
      </c>
      <c r="AT185" s="13">
        <f t="shared" si="68"/>
        <v>3.1888843996782934E-3</v>
      </c>
      <c r="AU185" s="8"/>
    </row>
    <row r="186" spans="1:47" ht="15" customHeight="1" x14ac:dyDescent="0.25">
      <c r="A186" s="31" t="s">
        <v>26</v>
      </c>
      <c r="B186" s="31" t="s">
        <v>32</v>
      </c>
      <c r="C186" t="s">
        <v>33</v>
      </c>
      <c r="D186" s="31" t="s">
        <v>34</v>
      </c>
      <c r="E186" t="s">
        <v>357</v>
      </c>
      <c r="F186" s="31" t="s">
        <v>396</v>
      </c>
      <c r="G186" t="s">
        <v>397</v>
      </c>
      <c r="H186" s="27">
        <f>IF($G186&lt;&gt;0,SUMIF(куб!$G:$G,$G186,куб!H:H),IF($E186&lt;&gt;0,SUMIF(куб!$E:$E,$E186,куб!H:H),IF($D186&lt;&gt;0,SUMIF(куб!$D:$D,$D186,куб!H:H),IF($C186&lt;&gt;0,SUMIF(куб!$C:$C,$C186,куб!H:H),IF($B186&lt;&gt;0,SUMIF(куб!$B:$B,$B186,куб!H:H),IF($G186&lt;&gt;0,SUMIF(куб!$A:$A,$G186,куб!H:H),SUMIF(куб!$A:$A,$G186,куб!H:H)))))))</f>
        <v>1653148.3583</v>
      </c>
      <c r="I186" s="27">
        <f>IF($G186&lt;&gt;0,SUMIF(куб!$G:$G,$G186,куб!I:I),IF($E186&lt;&gt;0,SUMIF(куб!$E:$E,$E186,куб!I:I),IF($D186&lt;&gt;0,SUMIF(куб!$D:$D,$D186,куб!I:I),IF($C186&lt;&gt;0,SUMIF(куб!$C:$C,$C186,куб!I:I),IF($B186&lt;&gt;0,SUMIF(куб!$B:$B,$B186,куб!I:I),IF($G186&lt;&gt;0,SUMIF(куб!$A:$A,$G186,куб!I:I),SUMIF(куб!$A:$A,$G186,куб!I:I)))))))</f>
        <v>2029804.6708000002</v>
      </c>
      <c r="J186" s="19">
        <f t="shared" si="69"/>
        <v>0.22784180899972664</v>
      </c>
      <c r="K186" s="8"/>
      <c r="L186" s="17">
        <f t="shared" si="52"/>
        <v>3.4532484323219858E-3</v>
      </c>
      <c r="M186" s="17">
        <f t="shared" si="53"/>
        <v>4.327898813537491E-3</v>
      </c>
      <c r="N186" s="12">
        <f t="shared" si="54"/>
        <v>8.7465038121550516E-4</v>
      </c>
      <c r="O186" s="5"/>
      <c r="P186" s="27">
        <f>IF($G186&lt;&gt;0,SUMIF(куб!$G:$G,$G186,куб!J:J),IF($E186&lt;&gt;0,SUMIF(куб!$E:$E,$E186,куб!J:J),IF($D186&lt;&gt;0,SUMIF(куб!$D:$D,$D186,куб!J:J),IF($C186&lt;&gt;0,SUMIF(куб!$C:$C,$C186,куб!J:J),IF($B186&lt;&gt;0,SUMIF(куб!$B:$B,$B186,куб!J:J))))))</f>
        <v>21994</v>
      </c>
      <c r="Q186" s="27">
        <f>IF($G186&lt;&gt;0,SUMIF(куб!$G:$G,$G186,куб!K:K),IF($E186&lt;&gt;0,SUMIF(куб!$E:$E,$E186,куб!K:K),IF($D186&lt;&gt;0,SUMIF(куб!$D:$D,$D186,куб!K:K),IF($C186&lt;&gt;0,SUMIF(куб!$C:$C,$C186,куб!K:K),IF($B186&lt;&gt;0,SUMIF(куб!$B:$B,$B186,куб!K:K))))))</f>
        <v>27582</v>
      </c>
      <c r="R186" s="13">
        <f t="shared" si="55"/>
        <v>0.25406929162498865</v>
      </c>
      <c r="S186" s="5"/>
      <c r="T186" s="27">
        <f>IF($G186&lt;&gt;0,SUMIF(куб!$G:$G,$G186,куб!L:L),IF($E186&lt;&gt;0,SUMIF(куб!$E:$E,$E186,куб!L:L),IF($D186&lt;&gt;0,SUMIF(куб!$D:$D,$D186,куб!L:L),IF($C186&lt;&gt;0,SUMIF(куб!$C:$C,$C186,куб!L:L),IF($B186&lt;&gt;0,SUMIF(куб!$B:$B,$B186,куб!L:L))))))</f>
        <v>20388.437999999998</v>
      </c>
      <c r="U186" s="27">
        <f>IF($G186&lt;&gt;0,SUMIF(куб!$G:$G,$G186,куб!M:M),IF($E186&lt;&gt;0,SUMIF(куб!$E:$E,$E186,куб!M:M),IF($D186&lt;&gt;0,SUMIF(куб!$D:$D,$D186,куб!M:M),IF($C186&lt;&gt;0,SUMIF(куб!$C:$C,$C186,куб!M:M),IF($B186&lt;&gt;0,SUMIF(куб!$B:$B,$B186,куб!M:M))))))</f>
        <v>25568.513999999996</v>
      </c>
      <c r="V186" s="13">
        <f t="shared" si="56"/>
        <v>0.25406929162498854</v>
      </c>
      <c r="W186" s="5"/>
      <c r="X186" s="27">
        <f>IF($G186&lt;&gt;0,SUMIF(куб!$G:$G,$G186,куб!N:N),IF($E186&lt;&gt;0,SUMIF(куб!$E:$E,$E186,куб!N:N),IF($D186&lt;&gt;0,SUMIF(куб!$D:$D,$D186,куб!N:N),IF($C186&lt;&gt;0,SUMIF(куб!$C:$C,$C186,куб!N:N),IF($B186&lt;&gt;0,SUMIF(куб!$B:$B,$B186,куб!N:N))))))</f>
        <v>225927.34810000309</v>
      </c>
      <c r="Y186" s="27">
        <f>IF($G186&lt;&gt;0,SUMIF(куб!$G:$G,$G186,куб!O:O),IF($E186&lt;&gt;0,SUMIF(куб!$E:$E,$E186,куб!O:O),IF($D186&lt;&gt;0,SUMIF(куб!$D:$D,$D186,куб!O:O),IF($C186&lt;&gt;0,SUMIF(куб!$C:$C,$C186,куб!O:O),IF($B186&lt;&gt;0,SUMIF(куб!$B:$B,$B186,куб!O:O))))))</f>
        <v>239983.74380000145</v>
      </c>
      <c r="Z186" s="13">
        <f t="shared" si="57"/>
        <v>6.2216441781879933E-2</v>
      </c>
      <c r="AA186" s="5"/>
      <c r="AB186" s="33">
        <f t="shared" si="58"/>
        <v>0.13666489578245319</v>
      </c>
      <c r="AC186" s="33">
        <f t="shared" si="59"/>
        <v>0.11822996924399502</v>
      </c>
      <c r="AD186" s="15">
        <f t="shared" si="60"/>
        <v>-1.8434926538458171E-2</v>
      </c>
      <c r="AE186" s="5"/>
      <c r="AF186" s="27">
        <f>IF($G186&lt;&gt;0,SUMIF(куб!$G:$G,$G186,куб!R:R),IF($E186&lt;&gt;0,SUMIF(куб!$E:$E,$E186,куб!R:R),IF($D186&lt;&gt;0,SUMIF(куб!$D:$D,$D186,куб!R:R),IF($C186&lt;&gt;0,SUMIF(куб!$C:$C,$C186,куб!R:R),IF($B186&lt;&gt;0,SUMIF(куб!$B:$B,$B186,куб!R:R))))))</f>
        <v>4088.1266999999998</v>
      </c>
      <c r="AG186" s="27">
        <f>IF($G186&lt;&gt;0,SUMIF(куб!$G:$G,$G186,куб!S:S),IF($E186&lt;&gt;0,SUMIF(куб!$E:$E,$E186,куб!S:S),IF($D186&lt;&gt;0,SUMIF(куб!$D:$D,$D186,куб!S:S),IF($C186&lt;&gt;0,SUMIF(куб!$C:$C,$C186,куб!S:S),IF($B186&lt;&gt;0,SUMIF(куб!$B:$B,$B186,куб!S:S))))))</f>
        <v>1038.2544</v>
      </c>
      <c r="AH186" s="16">
        <f t="shared" si="61"/>
        <v>-0.74603174603174605</v>
      </c>
      <c r="AI186" s="8"/>
      <c r="AJ186" s="27">
        <f>IF($G186&lt;&gt;0,SUMIF(куб!$G:$G,$G186,куб!T:T),IF($E186&lt;&gt;0,SUMIF(куб!$E:$E,$E186,куб!T:T),IF($D186&lt;&gt;0,SUMIF(куб!$D:$D,$D186,куб!T:T),IF($C186&lt;&gt;0,SUMIF(куб!$C:$C,$C186,куб!T:T),IF($B186&lt;&gt;0,SUMIF(куб!$B:$B,$B186,куб!T:T))))))</f>
        <v>63</v>
      </c>
      <c r="AK186" s="27">
        <f>IF($G186&lt;&gt;0,SUMIF(куб!$G:$G,$G186,куб!U:U),IF($E186&lt;&gt;0,SUMIF(куб!$E:$E,$E186,куб!U:U),IF($D186&lt;&gt;0,SUMIF(куб!$D:$D,$D186,куб!U:U),IF($C186&lt;&gt;0,SUMIF(куб!$C:$C,$C186,куб!U:U),IF($B186&lt;&gt;0,SUMIF(куб!$B:$B,$B186,куб!U:U))))))</f>
        <v>16</v>
      </c>
      <c r="AL186" s="16">
        <f t="shared" si="62"/>
        <v>-0.74603174603174605</v>
      </c>
      <c r="AM186" s="8"/>
      <c r="AN186" s="17">
        <f t="shared" si="63"/>
        <v>2.4729339502257302E-3</v>
      </c>
      <c r="AO186" s="17">
        <f t="shared" si="64"/>
        <v>5.1150458708462633E-4</v>
      </c>
      <c r="AP186" s="16">
        <f t="shared" si="65"/>
        <v>-1.9614293631411038E-3</v>
      </c>
      <c r="AQ186" s="8"/>
      <c r="AR186" s="17">
        <f t="shared" si="66"/>
        <v>0.13419196183222748</v>
      </c>
      <c r="AS186" s="17">
        <f t="shared" si="67"/>
        <v>0.11771846465691038</v>
      </c>
      <c r="AT186" s="13">
        <f t="shared" si="68"/>
        <v>-1.6473497175317098E-2</v>
      </c>
      <c r="AU186" s="8"/>
    </row>
    <row r="187" spans="1:47" ht="15" customHeight="1" x14ac:dyDescent="0.25">
      <c r="A187" s="31" t="s">
        <v>26</v>
      </c>
      <c r="B187" s="31" t="s">
        <v>32</v>
      </c>
      <c r="C187" t="s">
        <v>33</v>
      </c>
      <c r="D187" s="31" t="s">
        <v>34</v>
      </c>
      <c r="E187" t="s">
        <v>357</v>
      </c>
      <c r="F187" s="31" t="s">
        <v>398</v>
      </c>
      <c r="G187" t="s">
        <v>399</v>
      </c>
      <c r="H187" s="27">
        <f>IF($G187&lt;&gt;0,SUMIF(куб!$G:$G,$G187,куб!H:H),IF($E187&lt;&gt;0,SUMIF(куб!$E:$E,$E187,куб!H:H),IF($D187&lt;&gt;0,SUMIF(куб!$D:$D,$D187,куб!H:H),IF($C187&lt;&gt;0,SUMIF(куб!$C:$C,$C187,куб!H:H),IF($B187&lt;&gt;0,SUMIF(куб!$B:$B,$B187,куб!H:H),IF($G187&lt;&gt;0,SUMIF(куб!$A:$A,$G187,куб!H:H),SUMIF(куб!$A:$A,$G187,куб!H:H)))))))</f>
        <v>1852501.9640999998</v>
      </c>
      <c r="I187" s="27">
        <f>IF($G187&lt;&gt;0,SUMIF(куб!$G:$G,$G187,куб!I:I),IF($E187&lt;&gt;0,SUMIF(куб!$E:$E,$E187,куб!I:I),IF($D187&lt;&gt;0,SUMIF(куб!$D:$D,$D187,куб!I:I),IF($C187&lt;&gt;0,SUMIF(куб!$C:$C,$C187,куб!I:I),IF($B187&lt;&gt;0,SUMIF(куб!$B:$B,$B187,куб!I:I),IF($G187&lt;&gt;0,SUMIF(куб!$A:$A,$G187,куб!I:I),SUMIF(куб!$A:$A,$G187,куб!I:I)))))))</f>
        <v>1695985.4198000005</v>
      </c>
      <c r="J187" s="19">
        <f t="shared" si="69"/>
        <v>-8.4489273065920675E-2</v>
      </c>
      <c r="K187" s="10"/>
      <c r="L187" s="17">
        <f t="shared" si="52"/>
        <v>3.8696765909020858E-3</v>
      </c>
      <c r="M187" s="17">
        <f t="shared" si="53"/>
        <v>3.6161377455281919E-3</v>
      </c>
      <c r="N187" s="12">
        <f t="shared" si="54"/>
        <v>-2.5353884537389392E-4</v>
      </c>
      <c r="O187" s="5"/>
      <c r="P187" s="27">
        <f>IF($G187&lt;&gt;0,SUMIF(куб!$G:$G,$G187,куб!J:J),IF($E187&lt;&gt;0,SUMIF(куб!$E:$E,$E187,куб!J:J),IF($D187&lt;&gt;0,SUMIF(куб!$D:$D,$D187,куб!J:J),IF($C187&lt;&gt;0,SUMIF(куб!$C:$C,$C187,куб!J:J),IF($B187&lt;&gt;0,SUMIF(куб!$B:$B,$B187,куб!J:J))))))</f>
        <v>23757</v>
      </c>
      <c r="Q187" s="27">
        <f>IF($G187&lt;&gt;0,SUMIF(куб!$G:$G,$G187,куб!K:K),IF($E187&lt;&gt;0,SUMIF(куб!$E:$E,$E187,куб!K:K),IF($D187&lt;&gt;0,SUMIF(куб!$D:$D,$D187,куб!K:K),IF($C187&lt;&gt;0,SUMIF(куб!$C:$C,$C187,куб!K:K),IF($B187&lt;&gt;0,SUMIF(куб!$B:$B,$B187,куб!K:K))))))</f>
        <v>21779</v>
      </c>
      <c r="R187" s="13">
        <f t="shared" si="55"/>
        <v>-8.3259670833859489E-2</v>
      </c>
      <c r="S187" s="5"/>
      <c r="T187" s="27">
        <f>IF($G187&lt;&gt;0,SUMIF(куб!$G:$G,$G187,куб!L:L),IF($E187&lt;&gt;0,SUMIF(куб!$E:$E,$E187,куб!L:L),IF($D187&lt;&gt;0,SUMIF(куб!$D:$D,$D187,куб!L:L),IF($C187&lt;&gt;0,SUMIF(куб!$C:$C,$C187,куб!L:L),IF($B187&lt;&gt;0,SUMIF(куб!$B:$B,$B187,куб!L:L))))))</f>
        <v>22022.738999999998</v>
      </c>
      <c r="U187" s="27">
        <f>IF($G187&lt;&gt;0,SUMIF(куб!$G:$G,$G187,куб!M:M),IF($E187&lt;&gt;0,SUMIF(куб!$E:$E,$E187,куб!M:M),IF($D187&lt;&gt;0,SUMIF(куб!$D:$D,$D187,куб!M:M),IF($C187&lt;&gt;0,SUMIF(куб!$C:$C,$C187,куб!M:M),IF($B187&lt;&gt;0,SUMIF(куб!$B:$B,$B187,куб!M:M))))))</f>
        <v>20189.132999999998</v>
      </c>
      <c r="V187" s="13">
        <f t="shared" si="56"/>
        <v>-8.3259670833859489E-2</v>
      </c>
      <c r="W187" s="5"/>
      <c r="X187" s="27">
        <f>IF($G187&lt;&gt;0,SUMIF(куб!$G:$G,$G187,куб!N:N),IF($E187&lt;&gt;0,SUMIF(куб!$E:$E,$E187,куб!N:N),IF($D187&lt;&gt;0,SUMIF(куб!$D:$D,$D187,куб!N:N),IF($C187&lt;&gt;0,SUMIF(куб!$C:$C,$C187,куб!N:N),IF($B187&lt;&gt;0,SUMIF(куб!$B:$B,$B187,куб!N:N))))))</f>
        <v>246943.75630000001</v>
      </c>
      <c r="Y187" s="27">
        <f>IF($G187&lt;&gt;0,SUMIF(куб!$G:$G,$G187,куб!O:O),IF($E187&lt;&gt;0,SUMIF(куб!$E:$E,$E187,куб!O:O),IF($D187&lt;&gt;0,SUMIF(куб!$D:$D,$D187,куб!O:O),IF($C187&lt;&gt;0,SUMIF(куб!$C:$C,$C187,куб!O:O),IF($B187&lt;&gt;0,SUMIF(куб!$B:$B,$B187,куб!O:O))))))</f>
        <v>233334.97160000051</v>
      </c>
      <c r="Z187" s="13">
        <f t="shared" si="57"/>
        <v>-5.5108843017139662E-2</v>
      </c>
      <c r="AA187" s="5"/>
      <c r="AB187" s="33">
        <f t="shared" si="58"/>
        <v>0.1333028310282913</v>
      </c>
      <c r="AC187" s="33">
        <f t="shared" si="59"/>
        <v>0.13758076506784864</v>
      </c>
      <c r="AD187" s="15">
        <f t="shared" si="60"/>
        <v>4.2779340395573406E-3</v>
      </c>
      <c r="AE187" s="5"/>
      <c r="AF187" s="27">
        <f>IF($G187&lt;&gt;0,SUMIF(куб!$G:$G,$G187,куб!R:R),IF($E187&lt;&gt;0,SUMIF(куб!$E:$E,$E187,куб!R:R),IF($D187&lt;&gt;0,SUMIF(куб!$D:$D,$D187,куб!R:R),IF($C187&lt;&gt;0,SUMIF(куб!$C:$C,$C187,куб!R:R),IF($B187&lt;&gt;0,SUMIF(куб!$B:$B,$B187,куб!R:R))))))</f>
        <v>4823.9992999999995</v>
      </c>
      <c r="AG187" s="27">
        <f>IF($G187&lt;&gt;0,SUMIF(куб!$G:$G,$G187,куб!S:S),IF($E187&lt;&gt;0,SUMIF(куб!$E:$E,$E187,куб!S:S),IF($D187&lt;&gt;0,SUMIF(куб!$D:$D,$D187,куб!S:S),IF($C187&lt;&gt;0,SUMIF(куб!$C:$C,$C187,куб!S:S),IF($B187&lt;&gt;0,SUMIF(куб!$B:$B,$B187,куб!S:S))))))</f>
        <v>2291.1353000000004</v>
      </c>
      <c r="AH187" s="16">
        <f t="shared" si="61"/>
        <v>-0.52505480255770343</v>
      </c>
      <c r="AI187" s="8"/>
      <c r="AJ187" s="27">
        <f>IF($G187&lt;&gt;0,SUMIF(куб!$G:$G,$G187,куб!T:T),IF($E187&lt;&gt;0,SUMIF(куб!$E:$E,$E187,куб!T:T),IF($D187&lt;&gt;0,SUMIF(куб!$D:$D,$D187,куб!T:T),IF($C187&lt;&gt;0,SUMIF(куб!$C:$C,$C187,куб!T:T),IF($B187&lt;&gt;0,SUMIF(куб!$B:$B,$B187,куб!T:T))))))</f>
        <v>71</v>
      </c>
      <c r="AK187" s="27">
        <f>IF($G187&lt;&gt;0,SUMIF(куб!$G:$G,$G187,куб!U:U),IF($E187&lt;&gt;0,SUMIF(куб!$E:$E,$E187,куб!U:U),IF($D187&lt;&gt;0,SUMIF(куб!$D:$D,$D187,куб!U:U),IF($C187&lt;&gt;0,SUMIF(куб!$C:$C,$C187,куб!U:U),IF($B187&lt;&gt;0,SUMIF(куб!$B:$B,$B187,куб!U:U))))))</f>
        <v>35</v>
      </c>
      <c r="AL187" s="16">
        <f t="shared" si="62"/>
        <v>-0.50704225352112675</v>
      </c>
      <c r="AM187" s="8"/>
      <c r="AN187" s="17">
        <f t="shared" si="63"/>
        <v>2.6040454442074726E-3</v>
      </c>
      <c r="AO187" s="17">
        <f t="shared" si="64"/>
        <v>1.3509168612252475E-3</v>
      </c>
      <c r="AP187" s="16">
        <f t="shared" si="65"/>
        <v>-1.253128582982225E-3</v>
      </c>
      <c r="AQ187" s="8"/>
      <c r="AR187" s="17">
        <f t="shared" si="66"/>
        <v>0.13069878558408382</v>
      </c>
      <c r="AS187" s="17">
        <f t="shared" si="67"/>
        <v>0.1362298482066234</v>
      </c>
      <c r="AT187" s="13">
        <f t="shared" si="68"/>
        <v>5.5310626225395787E-3</v>
      </c>
      <c r="AU187" s="8"/>
    </row>
    <row r="188" spans="1:47" ht="15" customHeight="1" x14ac:dyDescent="0.25">
      <c r="A188" s="31" t="s">
        <v>26</v>
      </c>
      <c r="B188" s="31" t="s">
        <v>32</v>
      </c>
      <c r="C188" t="s">
        <v>33</v>
      </c>
      <c r="D188" s="31" t="s">
        <v>34</v>
      </c>
      <c r="E188" t="s">
        <v>357</v>
      </c>
      <c r="F188" s="31" t="s">
        <v>400</v>
      </c>
      <c r="G188" t="s">
        <v>401</v>
      </c>
      <c r="H188" s="27">
        <f>IF($G188&lt;&gt;0,SUMIF(куб!$G:$G,$G188,куб!H:H),IF($E188&lt;&gt;0,SUMIF(куб!$E:$E,$E188,куб!H:H),IF($D188&lt;&gt;0,SUMIF(куб!$D:$D,$D188,куб!H:H),IF($C188&lt;&gt;0,SUMIF(куб!$C:$C,$C188,куб!H:H),IF($B188&lt;&gt;0,SUMIF(куб!$B:$B,$B188,куб!H:H),IF($G188&lt;&gt;0,SUMIF(куб!$A:$A,$G188,куб!H:H),SUMIF(куб!$A:$A,$G188,куб!H:H)))))))</f>
        <v>9689955.7804999761</v>
      </c>
      <c r="I188" s="27">
        <f>IF($G188&lt;&gt;0,SUMIF(куб!$G:$G,$G188,куб!I:I),IF($E188&lt;&gt;0,SUMIF(куб!$E:$E,$E188,куб!I:I),IF($D188&lt;&gt;0,SUMIF(куб!$D:$D,$D188,куб!I:I),IF($C188&lt;&gt;0,SUMIF(куб!$C:$C,$C188,куб!I:I),IF($B188&lt;&gt;0,SUMIF(куб!$B:$B,$B188,куб!I:I),IF($G188&lt;&gt;0,SUMIF(куб!$A:$A,$G188,куб!I:I),SUMIF(куб!$A:$A,$G188,куб!I:I)))))))</f>
        <v>8957512.1710999925</v>
      </c>
      <c r="J188" s="19">
        <f t="shared" si="69"/>
        <v>-7.5587920728590927E-2</v>
      </c>
      <c r="K188" s="5"/>
      <c r="L188" s="17">
        <f t="shared" si="52"/>
        <v>2.0241271414194833E-2</v>
      </c>
      <c r="M188" s="17">
        <f t="shared" si="53"/>
        <v>1.909898368805709E-2</v>
      </c>
      <c r="N188" s="12">
        <f t="shared" si="54"/>
        <v>-1.1422877261377425E-3</v>
      </c>
      <c r="O188" s="5"/>
      <c r="P188" s="27">
        <f>IF($G188&lt;&gt;0,SUMIF(куб!$G:$G,$G188,куб!J:J),IF($E188&lt;&gt;0,SUMIF(куб!$E:$E,$E188,куб!J:J),IF($D188&lt;&gt;0,SUMIF(куб!$D:$D,$D188,куб!J:J),IF($C188&lt;&gt;0,SUMIF(куб!$C:$C,$C188,куб!J:J),IF($B188&lt;&gt;0,SUMIF(куб!$B:$B,$B188,куб!J:J))))))</f>
        <v>110432</v>
      </c>
      <c r="Q188" s="27">
        <f>IF($G188&lt;&gt;0,SUMIF(куб!$G:$G,$G188,куб!K:K),IF($E188&lt;&gt;0,SUMIF(куб!$E:$E,$E188,куб!K:K),IF($D188&lt;&gt;0,SUMIF(куб!$D:$D,$D188,куб!K:K),IF($C188&lt;&gt;0,SUMIF(куб!$C:$C,$C188,куб!K:K),IF($B188&lt;&gt;0,SUMIF(куб!$B:$B,$B188,куб!K:K))))))</f>
        <v>104540</v>
      </c>
      <c r="R188" s="13">
        <f t="shared" si="55"/>
        <v>-5.3354100260793971E-2</v>
      </c>
      <c r="S188" s="5"/>
      <c r="T188" s="27">
        <f>IF($G188&lt;&gt;0,SUMIF(куб!$G:$G,$G188,куб!L:L),IF($E188&lt;&gt;0,SUMIF(куб!$E:$E,$E188,куб!L:L),IF($D188&lt;&gt;0,SUMIF(куб!$D:$D,$D188,куб!L:L),IF($C188&lt;&gt;0,SUMIF(куб!$C:$C,$C188,куб!L:L),IF($B188&lt;&gt;0,SUMIF(куб!$B:$B,$B188,куб!L:L))))))</f>
        <v>102701.76000000015</v>
      </c>
      <c r="U188" s="27">
        <f>IF($G188&lt;&gt;0,SUMIF(куб!$G:$G,$G188,куб!M:M),IF($E188&lt;&gt;0,SUMIF(куб!$E:$E,$E188,куб!M:M),IF($D188&lt;&gt;0,SUMIF(куб!$D:$D,$D188,куб!M:M),IF($C188&lt;&gt;0,SUMIF(куб!$C:$C,$C188,куб!M:M),IF($B188&lt;&gt;0,SUMIF(куб!$B:$B,$B188,куб!M:M))))))</f>
        <v>97222.200000000114</v>
      </c>
      <c r="V188" s="13">
        <f t="shared" si="56"/>
        <v>-5.3354100260794297E-2</v>
      </c>
      <c r="W188" s="5"/>
      <c r="X188" s="27">
        <f>IF($G188&lt;&gt;0,SUMIF(куб!$G:$G,$G188,куб!N:N),IF($E188&lt;&gt;0,SUMIF(куб!$E:$E,$E188,куб!N:N),IF($D188&lt;&gt;0,SUMIF(куб!$D:$D,$D188,куб!N:N),IF($C188&lt;&gt;0,SUMIF(куб!$C:$C,$C188,куб!N:N),IF($B188&lt;&gt;0,SUMIF(куб!$B:$B,$B188,куб!N:N))))))</f>
        <v>991826.8081999775</v>
      </c>
      <c r="Y188" s="27">
        <f>IF($G188&lt;&gt;0,SUMIF(куб!$G:$G,$G188,куб!O:O),IF($E188&lt;&gt;0,SUMIF(куб!$E:$E,$E188,куб!O:O),IF($D188&lt;&gt;0,SUMIF(куб!$D:$D,$D188,куб!O:O),IF($C188&lt;&gt;0,SUMIF(куб!$C:$C,$C188,куб!O:O),IF($B188&lt;&gt;0,SUMIF(куб!$B:$B,$B188,куб!O:O))))))</f>
        <v>914059.05289999023</v>
      </c>
      <c r="Z188" s="13">
        <f t="shared" si="57"/>
        <v>-7.8408603858091439E-2</v>
      </c>
      <c r="AA188" s="5"/>
      <c r="AB188" s="33">
        <f t="shared" si="58"/>
        <v>0.10235617485437089</v>
      </c>
      <c r="AC188" s="33">
        <f t="shared" si="59"/>
        <v>0.10204385273949818</v>
      </c>
      <c r="AD188" s="15">
        <f t="shared" si="60"/>
        <v>-3.1232211487271233E-4</v>
      </c>
      <c r="AE188" s="5"/>
      <c r="AF188" s="27">
        <f>IF($G188&lt;&gt;0,SUMIF(куб!$G:$G,$G188,куб!R:R),IF($E188&lt;&gt;0,SUMIF(куб!$E:$E,$E188,куб!R:R),IF($D188&lt;&gt;0,SUMIF(куб!$D:$D,$D188,куб!R:R),IF($C188&lt;&gt;0,SUMIF(куб!$C:$C,$C188,куб!R:R),IF($B188&lt;&gt;0,SUMIF(куб!$B:$B,$B188,куб!R:R))))))</f>
        <v>24110.966899999989</v>
      </c>
      <c r="AG188" s="27">
        <f>IF($G188&lt;&gt;0,SUMIF(куб!$G:$G,$G188,куб!S:S),IF($E188&lt;&gt;0,SUMIF(куб!$E:$E,$E188,куб!S:S),IF($D188&lt;&gt;0,SUMIF(куб!$D:$D,$D188,куб!S:S),IF($C188&lt;&gt;0,SUMIF(куб!$C:$C,$C188,куб!S:S),IF($B188&lt;&gt;0,SUMIF(куб!$B:$B,$B188,куб!S:S))))))</f>
        <v>16191.659000000001</v>
      </c>
      <c r="AH188" s="16">
        <f t="shared" si="61"/>
        <v>-0.3284525225738662</v>
      </c>
      <c r="AI188" s="8"/>
      <c r="AJ188" s="27">
        <f>IF($G188&lt;&gt;0,SUMIF(куб!$G:$G,$G188,куб!T:T),IF($E188&lt;&gt;0,SUMIF(куб!$E:$E,$E188,куб!T:T),IF($D188&lt;&gt;0,SUMIF(куб!$D:$D,$D188,куб!T:T),IF($C188&lt;&gt;0,SUMIF(куб!$C:$C,$C188,куб!T:T),IF($B188&lt;&gt;0,SUMIF(куб!$B:$B,$B188,куб!T:T))))))</f>
        <v>302</v>
      </c>
      <c r="AK188" s="27">
        <f>IF($G188&lt;&gt;0,SUMIF(куб!$G:$G,$G188,куб!U:U),IF($E188&lt;&gt;0,SUMIF(куб!$E:$E,$E188,куб!U:U),IF($D188&lt;&gt;0,SUMIF(куб!$D:$D,$D188,куб!U:U),IF($C188&lt;&gt;0,SUMIF(куб!$C:$C,$C188,куб!U:U),IF($B188&lt;&gt;0,SUMIF(куб!$B:$B,$B188,куб!U:U))))))</f>
        <v>206</v>
      </c>
      <c r="AL188" s="16">
        <f t="shared" si="62"/>
        <v>-0.31788079470198677</v>
      </c>
      <c r="AM188" s="8"/>
      <c r="AN188" s="17">
        <f t="shared" si="63"/>
        <v>2.4882432331136939E-3</v>
      </c>
      <c r="AO188" s="17">
        <f t="shared" si="64"/>
        <v>1.8076066982347899E-3</v>
      </c>
      <c r="AP188" s="16">
        <f t="shared" si="65"/>
        <v>-6.8063653487890406E-4</v>
      </c>
      <c r="AQ188" s="8"/>
      <c r="AR188" s="17">
        <f t="shared" si="66"/>
        <v>9.9867931621257192E-2</v>
      </c>
      <c r="AS188" s="17">
        <f t="shared" si="67"/>
        <v>0.10023624604126338</v>
      </c>
      <c r="AT188" s="13">
        <f t="shared" si="68"/>
        <v>3.6831442000619108E-4</v>
      </c>
      <c r="AU188" s="8"/>
    </row>
    <row r="189" spans="1:47" ht="15" customHeight="1" x14ac:dyDescent="0.25">
      <c r="A189" s="31" t="s">
        <v>26</v>
      </c>
      <c r="B189" s="31" t="s">
        <v>32</v>
      </c>
      <c r="C189" t="s">
        <v>33</v>
      </c>
      <c r="D189" s="31" t="s">
        <v>34</v>
      </c>
      <c r="E189" t="s">
        <v>357</v>
      </c>
      <c r="F189" s="31" t="s">
        <v>402</v>
      </c>
      <c r="G189" t="s">
        <v>403</v>
      </c>
      <c r="H189" s="27">
        <f>IF($G189&lt;&gt;0,SUMIF(куб!$G:$G,$G189,куб!H:H),IF($E189&lt;&gt;0,SUMIF(куб!$E:$E,$E189,куб!H:H),IF($D189&lt;&gt;0,SUMIF(куб!$D:$D,$D189,куб!H:H),IF($C189&lt;&gt;0,SUMIF(куб!$C:$C,$C189,куб!H:H),IF($B189&lt;&gt;0,SUMIF(куб!$B:$B,$B189,куб!H:H),IF($G189&lt;&gt;0,SUMIF(куб!$A:$A,$G189,куб!H:H),SUMIF(куб!$A:$A,$G189,куб!H:H)))))))</f>
        <v>0</v>
      </c>
      <c r="I189" s="27">
        <f>IF($G189&lt;&gt;0,SUMIF(куб!$G:$G,$G189,куб!I:I),IF($E189&lt;&gt;0,SUMIF(куб!$E:$E,$E189,куб!I:I),IF($D189&lt;&gt;0,SUMIF(куб!$D:$D,$D189,куб!I:I),IF($C189&lt;&gt;0,SUMIF(куб!$C:$C,$C189,куб!I:I),IF($B189&lt;&gt;0,SUMIF(куб!$B:$B,$B189,куб!I:I),IF($G189&lt;&gt;0,SUMIF(куб!$A:$A,$G189,куб!I:I),SUMIF(куб!$A:$A,$G189,куб!I:I)))))))</f>
        <v>1878.9998000000001</v>
      </c>
      <c r="J189" s="19" t="str">
        <f t="shared" si="69"/>
        <v>-</v>
      </c>
      <c r="K189" s="5"/>
      <c r="L189" s="17">
        <f t="shared" si="52"/>
        <v>0</v>
      </c>
      <c r="M189" s="17">
        <f t="shared" si="53"/>
        <v>4.0063564351993034E-6</v>
      </c>
      <c r="N189" s="12">
        <f t="shared" si="54"/>
        <v>4.0063564351993034E-6</v>
      </c>
      <c r="O189" s="5"/>
      <c r="P189" s="27">
        <f>IF($G189&lt;&gt;0,SUMIF(куб!$G:$G,$G189,куб!J:J),IF($E189&lt;&gt;0,SUMIF(куб!$E:$E,$E189,куб!J:J),IF($D189&lt;&gt;0,SUMIF(куб!$D:$D,$D189,куб!J:J),IF($C189&lt;&gt;0,SUMIF(куб!$C:$C,$C189,куб!J:J),IF($B189&lt;&gt;0,SUMIF(куб!$B:$B,$B189,куб!J:J))))))</f>
        <v>0</v>
      </c>
      <c r="Q189" s="27">
        <f>IF($G189&lt;&gt;0,SUMIF(куб!$G:$G,$G189,куб!K:K),IF($E189&lt;&gt;0,SUMIF(куб!$E:$E,$E189,куб!K:K),IF($D189&lt;&gt;0,SUMIF(куб!$D:$D,$D189,куб!K:K),IF($C189&lt;&gt;0,SUMIF(куб!$C:$C,$C189,куб!K:K),IF($B189&lt;&gt;0,SUMIF(куб!$B:$B,$B189,куб!K:K))))))</f>
        <v>23</v>
      </c>
      <c r="R189" s="13" t="str">
        <f t="shared" si="55"/>
        <v>-</v>
      </c>
      <c r="S189" s="5"/>
      <c r="T189" s="27">
        <f>IF($G189&lt;&gt;0,SUMIF(куб!$G:$G,$G189,куб!L:L),IF($E189&lt;&gt;0,SUMIF(куб!$E:$E,$E189,куб!L:L),IF($D189&lt;&gt;0,SUMIF(куб!$D:$D,$D189,куб!L:L),IF($C189&lt;&gt;0,SUMIF(куб!$C:$C,$C189,куб!L:L),IF($B189&lt;&gt;0,SUMIF(куб!$B:$B,$B189,куб!L:L))))))</f>
        <v>0</v>
      </c>
      <c r="U189" s="27">
        <f>IF($G189&lt;&gt;0,SUMIF(куб!$G:$G,$G189,куб!M:M),IF($E189&lt;&gt;0,SUMIF(куб!$E:$E,$E189,куб!M:M),IF($D189&lt;&gt;0,SUMIF(куб!$D:$D,$D189,куб!M:M),IF($C189&lt;&gt;0,SUMIF(куб!$C:$C,$C189,куб!M:M),IF($B189&lt;&gt;0,SUMIF(куб!$B:$B,$B189,куб!M:M))))))</f>
        <v>21.39</v>
      </c>
      <c r="V189" s="13" t="str">
        <f t="shared" si="56"/>
        <v>-</v>
      </c>
      <c r="W189" s="5"/>
      <c r="X189" s="27">
        <f>IF($G189&lt;&gt;0,SUMIF(куб!$G:$G,$G189,куб!N:N),IF($E189&lt;&gt;0,SUMIF(куб!$E:$E,$E189,куб!N:N),IF($D189&lt;&gt;0,SUMIF(куб!$D:$D,$D189,куб!N:N),IF($C189&lt;&gt;0,SUMIF(куб!$C:$C,$C189,куб!N:N),IF($B189&lt;&gt;0,SUMIF(куб!$B:$B,$B189,куб!N:N))))))</f>
        <v>0</v>
      </c>
      <c r="Y189" s="27">
        <f>IF($G189&lt;&gt;0,SUMIF(куб!$G:$G,$G189,куб!O:O),IF($E189&lt;&gt;0,SUMIF(куб!$E:$E,$E189,куб!O:O),IF($D189&lt;&gt;0,SUMIF(куб!$D:$D,$D189,куб!O:O),IF($C189&lt;&gt;0,SUMIF(куб!$C:$C,$C189,куб!O:O),IF($B189&lt;&gt;0,SUMIF(куб!$B:$B,$B189,куб!O:O))))))</f>
        <v>100.89110000000028</v>
      </c>
      <c r="Z189" s="13" t="str">
        <f t="shared" si="57"/>
        <v>-</v>
      </c>
      <c r="AA189" s="5"/>
      <c r="AB189" s="33" t="str">
        <f t="shared" si="58"/>
        <v/>
      </c>
      <c r="AC189" s="33">
        <f t="shared" si="59"/>
        <v>5.3694045097822933E-2</v>
      </c>
      <c r="AD189" s="15" t="str">
        <f t="shared" si="60"/>
        <v xml:space="preserve"> </v>
      </c>
      <c r="AE189" s="5"/>
      <c r="AF189" s="27">
        <f>IF($G189&lt;&gt;0,SUMIF(куб!$G:$G,$G189,куб!R:R),IF($E189&lt;&gt;0,SUMIF(куб!$E:$E,$E189,куб!R:R),IF($D189&lt;&gt;0,SUMIF(куб!$D:$D,$D189,куб!R:R),IF($C189&lt;&gt;0,SUMIF(куб!$C:$C,$C189,куб!R:R),IF($B189&lt;&gt;0,SUMIF(куб!$B:$B,$B189,куб!R:R))))))</f>
        <v>0</v>
      </c>
      <c r="AG189" s="27">
        <f>IF($G189&lt;&gt;0,SUMIF(куб!$G:$G,$G189,куб!S:S),IF($E189&lt;&gt;0,SUMIF(куб!$E:$E,$E189,куб!S:S),IF($D189&lt;&gt;0,SUMIF(куб!$D:$D,$D189,куб!S:S),IF($C189&lt;&gt;0,SUMIF(куб!$C:$C,$C189,куб!S:S),IF($B189&lt;&gt;0,SUMIF(куб!$B:$B,$B189,куб!S:S))))))</f>
        <v>0</v>
      </c>
      <c r="AH189" s="16" t="str">
        <f t="shared" si="61"/>
        <v>-</v>
      </c>
      <c r="AI189" s="8"/>
      <c r="AJ189" s="27">
        <f>IF($G189&lt;&gt;0,SUMIF(куб!$G:$G,$G189,куб!T:T),IF($E189&lt;&gt;0,SUMIF(куб!$E:$E,$E189,куб!T:T),IF($D189&lt;&gt;0,SUMIF(куб!$D:$D,$D189,куб!T:T),IF($C189&lt;&gt;0,SUMIF(куб!$C:$C,$C189,куб!T:T),IF($B189&lt;&gt;0,SUMIF(куб!$B:$B,$B189,куб!T:T))))))</f>
        <v>0</v>
      </c>
      <c r="AK189" s="27">
        <f>IF($G189&lt;&gt;0,SUMIF(куб!$G:$G,$G189,куб!U:U),IF($E189&lt;&gt;0,SUMIF(куб!$E:$E,$E189,куб!U:U),IF($D189&lt;&gt;0,SUMIF(куб!$D:$D,$D189,куб!U:U),IF($C189&lt;&gt;0,SUMIF(куб!$C:$C,$C189,куб!U:U),IF($B189&lt;&gt;0,SUMIF(куб!$B:$B,$B189,куб!U:U))))))</f>
        <v>0</v>
      </c>
      <c r="AL189" s="16" t="str">
        <f t="shared" si="62"/>
        <v>-</v>
      </c>
      <c r="AM189" s="8"/>
      <c r="AN189" s="17" t="str">
        <f t="shared" si="63"/>
        <v xml:space="preserve"> </v>
      </c>
      <c r="AO189" s="17">
        <f t="shared" si="64"/>
        <v>0</v>
      </c>
      <c r="AP189" s="16" t="str">
        <f t="shared" si="65"/>
        <v>-</v>
      </c>
      <c r="AQ189" s="8"/>
      <c r="AR189" s="17" t="str">
        <f t="shared" si="66"/>
        <v>-</v>
      </c>
      <c r="AS189" s="17">
        <f t="shared" si="67"/>
        <v>5.3694045097822933E-2</v>
      </c>
      <c r="AT189" s="13" t="str">
        <f t="shared" si="68"/>
        <v>-</v>
      </c>
      <c r="AU189" s="8"/>
    </row>
    <row r="190" spans="1:47" ht="15" customHeight="1" x14ac:dyDescent="0.25">
      <c r="A190" s="31" t="s">
        <v>26</v>
      </c>
      <c r="B190" s="31" t="s">
        <v>32</v>
      </c>
      <c r="C190" t="s">
        <v>33</v>
      </c>
      <c r="D190" s="31" t="s">
        <v>34</v>
      </c>
      <c r="E190" t="s">
        <v>357</v>
      </c>
      <c r="F190" s="31" t="s">
        <v>404</v>
      </c>
      <c r="G190" t="s">
        <v>405</v>
      </c>
      <c r="H190" s="27">
        <f>IF($G190&lt;&gt;0,SUMIF(куб!$G:$G,$G190,куб!H:H),IF($E190&lt;&gt;0,SUMIF(куб!$E:$E,$E190,куб!H:H),IF($D190&lt;&gt;0,SUMIF(куб!$D:$D,$D190,куб!H:H),IF($C190&lt;&gt;0,SUMIF(куб!$C:$C,$C190,куб!H:H),IF($B190&lt;&gt;0,SUMIF(куб!$B:$B,$B190,куб!H:H),IF($G190&lt;&gt;0,SUMIF(куб!$A:$A,$G190,куб!H:H),SUMIF(куб!$A:$A,$G190,куб!H:H)))))))</f>
        <v>294.27269999999999</v>
      </c>
      <c r="I190" s="27">
        <f>IF($G190&lt;&gt;0,SUMIF(куб!$G:$G,$G190,куб!I:I),IF($E190&lt;&gt;0,SUMIF(куб!$E:$E,$E190,куб!I:I),IF($D190&lt;&gt;0,SUMIF(куб!$D:$D,$D190,куб!I:I),IF($C190&lt;&gt;0,SUMIF(куб!$C:$C,$C190,куб!I:I),IF($B190&lt;&gt;0,SUMIF(куб!$B:$B,$B190,куб!I:I),IF($G190&lt;&gt;0,SUMIF(куб!$A:$A,$G190,куб!I:I),SUMIF(куб!$A:$A,$G190,куб!I:I)))))))</f>
        <v>0</v>
      </c>
      <c r="J190" s="19">
        <f t="shared" si="69"/>
        <v>-1</v>
      </c>
      <c r="K190" s="8"/>
      <c r="L190" s="17">
        <f t="shared" si="52"/>
        <v>6.1470389807915033E-7</v>
      </c>
      <c r="M190" s="17">
        <f t="shared" si="53"/>
        <v>0</v>
      </c>
      <c r="N190" s="12">
        <f t="shared" si="54"/>
        <v>-6.1470389807915033E-7</v>
      </c>
      <c r="O190" s="5"/>
      <c r="P190" s="27">
        <f>IF($G190&lt;&gt;0,SUMIF(куб!$G:$G,$G190,куб!J:J),IF($E190&lt;&gt;0,SUMIF(куб!$E:$E,$E190,куб!J:J),IF($D190&lt;&gt;0,SUMIF(куб!$D:$D,$D190,куб!J:J),IF($C190&lt;&gt;0,SUMIF(куб!$C:$C,$C190,куб!J:J),IF($B190&lt;&gt;0,SUMIF(куб!$B:$B,$B190,куб!J:J))))))</f>
        <v>3</v>
      </c>
      <c r="Q190" s="27">
        <f>IF($G190&lt;&gt;0,SUMIF(куб!$G:$G,$G190,куб!K:K),IF($E190&lt;&gt;0,SUMIF(куб!$E:$E,$E190,куб!K:K),IF($D190&lt;&gt;0,SUMIF(куб!$D:$D,$D190,куб!K:K),IF($C190&lt;&gt;0,SUMIF(куб!$C:$C,$C190,куб!K:K),IF($B190&lt;&gt;0,SUMIF(куб!$B:$B,$B190,куб!K:K))))))</f>
        <v>0</v>
      </c>
      <c r="R190" s="13">
        <f t="shared" si="55"/>
        <v>-1</v>
      </c>
      <c r="S190" s="5"/>
      <c r="T190" s="27">
        <f>IF($G190&lt;&gt;0,SUMIF(куб!$G:$G,$G190,куб!L:L),IF($E190&lt;&gt;0,SUMIF(куб!$E:$E,$E190,куб!L:L),IF($D190&lt;&gt;0,SUMIF(куб!$D:$D,$D190,куб!L:L),IF($C190&lt;&gt;0,SUMIF(куб!$C:$C,$C190,куб!L:L),IF($B190&lt;&gt;0,SUMIF(куб!$B:$B,$B190,куб!L:L))))))</f>
        <v>2.7719999999999998</v>
      </c>
      <c r="U190" s="27">
        <f>IF($G190&lt;&gt;0,SUMIF(куб!$G:$G,$G190,куб!M:M),IF($E190&lt;&gt;0,SUMIF(куб!$E:$E,$E190,куб!M:M),IF($D190&lt;&gt;0,SUMIF(куб!$D:$D,$D190,куб!M:M),IF($C190&lt;&gt;0,SUMIF(куб!$C:$C,$C190,куб!M:M),IF($B190&lt;&gt;0,SUMIF(куб!$B:$B,$B190,куб!M:M))))))</f>
        <v>0</v>
      </c>
      <c r="V190" s="13">
        <f t="shared" si="56"/>
        <v>-1</v>
      </c>
      <c r="W190" s="5"/>
      <c r="X190" s="27">
        <f>IF($G190&lt;&gt;0,SUMIF(куб!$G:$G,$G190,куб!N:N),IF($E190&lt;&gt;0,SUMIF(куб!$E:$E,$E190,куб!N:N),IF($D190&lt;&gt;0,SUMIF(куб!$D:$D,$D190,куб!N:N),IF($C190&lt;&gt;0,SUMIF(куб!$C:$C,$C190,куб!N:N),IF($B190&lt;&gt;0,SUMIF(куб!$B:$B,$B190,куб!N:N))))))</f>
        <v>69.572699999999998</v>
      </c>
      <c r="Y190" s="27">
        <f>IF($G190&lt;&gt;0,SUMIF(куб!$G:$G,$G190,куб!O:O),IF($E190&lt;&gt;0,SUMIF(куб!$E:$E,$E190,куб!O:O),IF($D190&lt;&gt;0,SUMIF(куб!$D:$D,$D190,куб!O:O),IF($C190&lt;&gt;0,SUMIF(куб!$C:$C,$C190,куб!O:O),IF($B190&lt;&gt;0,SUMIF(куб!$B:$B,$B190,куб!O:O))))))</f>
        <v>0</v>
      </c>
      <c r="Z190" s="13">
        <f t="shared" si="57"/>
        <v>-1</v>
      </c>
      <c r="AA190" s="5"/>
      <c r="AB190" s="33">
        <f t="shared" si="58"/>
        <v>0.23642254276390573</v>
      </c>
      <c r="AC190" s="33" t="str">
        <f t="shared" si="59"/>
        <v/>
      </c>
      <c r="AD190" s="15" t="str">
        <f t="shared" si="60"/>
        <v xml:space="preserve"> </v>
      </c>
      <c r="AE190" s="5"/>
      <c r="AF190" s="27">
        <f>IF($G190&lt;&gt;0,SUMIF(куб!$G:$G,$G190,куб!R:R),IF($E190&lt;&gt;0,SUMIF(куб!$E:$E,$E190,куб!R:R),IF($D190&lt;&gt;0,SUMIF(куб!$D:$D,$D190,куб!R:R),IF($C190&lt;&gt;0,SUMIF(куб!$C:$C,$C190,куб!R:R),IF($B190&lt;&gt;0,SUMIF(куб!$B:$B,$B190,куб!R:R))))))</f>
        <v>0</v>
      </c>
      <c r="AG190" s="27">
        <f>IF($G190&lt;&gt;0,SUMIF(куб!$G:$G,$G190,куб!S:S),IF($E190&lt;&gt;0,SUMIF(куб!$E:$E,$E190,куб!S:S),IF($D190&lt;&gt;0,SUMIF(куб!$D:$D,$D190,куб!S:S),IF($C190&lt;&gt;0,SUMIF(куб!$C:$C,$C190,куб!S:S),IF($B190&lt;&gt;0,SUMIF(куб!$B:$B,$B190,куб!S:S))))))</f>
        <v>0</v>
      </c>
      <c r="AH190" s="16" t="str">
        <f t="shared" si="61"/>
        <v>-</v>
      </c>
      <c r="AI190" s="8"/>
      <c r="AJ190" s="27">
        <f>IF($G190&lt;&gt;0,SUMIF(куб!$G:$G,$G190,куб!T:T),IF($E190&lt;&gt;0,SUMIF(куб!$E:$E,$E190,куб!T:T),IF($D190&lt;&gt;0,SUMIF(куб!$D:$D,$D190,куб!T:T),IF($C190&lt;&gt;0,SUMIF(куб!$C:$C,$C190,куб!T:T),IF($B190&lt;&gt;0,SUMIF(куб!$B:$B,$B190,куб!T:T))))))</f>
        <v>0</v>
      </c>
      <c r="AK190" s="27">
        <f>IF($G190&lt;&gt;0,SUMIF(куб!$G:$G,$G190,куб!U:U),IF($E190&lt;&gt;0,SUMIF(куб!$E:$E,$E190,куб!U:U),IF($D190&lt;&gt;0,SUMIF(куб!$D:$D,$D190,куб!U:U),IF($C190&lt;&gt;0,SUMIF(куб!$C:$C,$C190,куб!U:U),IF($B190&lt;&gt;0,SUMIF(куб!$B:$B,$B190,куб!U:U))))))</f>
        <v>0</v>
      </c>
      <c r="AL190" s="16" t="str">
        <f t="shared" si="62"/>
        <v>-</v>
      </c>
      <c r="AM190" s="8"/>
      <c r="AN190" s="17">
        <f t="shared" si="63"/>
        <v>0</v>
      </c>
      <c r="AO190" s="17" t="str">
        <f t="shared" si="64"/>
        <v xml:space="preserve"> </v>
      </c>
      <c r="AP190" s="16" t="str">
        <f t="shared" si="65"/>
        <v>-</v>
      </c>
      <c r="AQ190" s="8"/>
      <c r="AR190" s="17">
        <f t="shared" si="66"/>
        <v>0.23642254276390573</v>
      </c>
      <c r="AS190" s="17" t="str">
        <f t="shared" si="67"/>
        <v>-</v>
      </c>
      <c r="AT190" s="13" t="str">
        <f t="shared" si="68"/>
        <v>-</v>
      </c>
      <c r="AU190" s="8"/>
    </row>
    <row r="191" spans="1:47" ht="15" customHeight="1" x14ac:dyDescent="0.25">
      <c r="A191" s="31" t="s">
        <v>26</v>
      </c>
      <c r="B191" s="31" t="s">
        <v>32</v>
      </c>
      <c r="C191" t="s">
        <v>33</v>
      </c>
      <c r="D191" s="31" t="s">
        <v>34</v>
      </c>
      <c r="E191" t="s">
        <v>357</v>
      </c>
      <c r="F191" s="31" t="s">
        <v>406</v>
      </c>
      <c r="G191" t="s">
        <v>407</v>
      </c>
      <c r="H191" s="27">
        <f>IF($G191&lt;&gt;0,SUMIF(куб!$G:$G,$G191,куб!H:H),IF($E191&lt;&gt;0,SUMIF(куб!$E:$E,$E191,куб!H:H),IF($D191&lt;&gt;0,SUMIF(куб!$D:$D,$D191,куб!H:H),IF($C191&lt;&gt;0,SUMIF(куб!$C:$C,$C191,куб!H:H),IF($B191&lt;&gt;0,SUMIF(куб!$B:$B,$B191,куб!H:H),IF($G191&lt;&gt;0,SUMIF(куб!$A:$A,$G191,куб!H:H),SUMIF(куб!$A:$A,$G191,куб!H:H)))))))</f>
        <v>34621.423900000002</v>
      </c>
      <c r="I191" s="27">
        <f>IF($G191&lt;&gt;0,SUMIF(куб!$G:$G,$G191,куб!I:I),IF($E191&lt;&gt;0,SUMIF(куб!$E:$E,$E191,куб!I:I),IF($D191&lt;&gt;0,SUMIF(куб!$D:$D,$D191,куб!I:I),IF($C191&lt;&gt;0,SUMIF(куб!$C:$C,$C191,куб!I:I),IF($B191&lt;&gt;0,SUMIF(куб!$B:$B,$B191,куб!I:I),IF($G191&lt;&gt;0,SUMIF(куб!$A:$A,$G191,куб!I:I),SUMIF(куб!$A:$A,$G191,куб!I:I)))))))</f>
        <v>73918.236099999995</v>
      </c>
      <c r="J191" s="19">
        <f t="shared" si="69"/>
        <v>1.135043212361927</v>
      </c>
      <c r="K191" s="10"/>
      <c r="L191" s="17">
        <f t="shared" si="52"/>
        <v>7.2320416499324137E-5</v>
      </c>
      <c r="M191" s="17">
        <f t="shared" si="53"/>
        <v>1.5760661649767945E-4</v>
      </c>
      <c r="N191" s="12">
        <f t="shared" si="54"/>
        <v>8.5286199998355316E-5</v>
      </c>
      <c r="O191" s="5"/>
      <c r="P191" s="27">
        <f>IF($G191&lt;&gt;0,SUMIF(куб!$G:$G,$G191,куб!J:J),IF($E191&lt;&gt;0,SUMIF(куб!$E:$E,$E191,куб!J:J),IF($D191&lt;&gt;0,SUMIF(куб!$D:$D,$D191,куб!J:J),IF($C191&lt;&gt;0,SUMIF(куб!$C:$C,$C191,куб!J:J),IF($B191&lt;&gt;0,SUMIF(куб!$B:$B,$B191,куб!J:J))))))</f>
        <v>468</v>
      </c>
      <c r="Q191" s="27">
        <f>IF($G191&lt;&gt;0,SUMIF(куб!$G:$G,$G191,куб!K:K),IF($E191&lt;&gt;0,SUMIF(куб!$E:$E,$E191,куб!K:K),IF($D191&lt;&gt;0,SUMIF(куб!$D:$D,$D191,куб!K:K),IF($C191&lt;&gt;0,SUMIF(куб!$C:$C,$C191,куб!K:K),IF($B191&lt;&gt;0,SUMIF(куб!$B:$B,$B191,куб!K:K))))))</f>
        <v>995</v>
      </c>
      <c r="R191" s="13">
        <f t="shared" si="55"/>
        <v>1.1260683760683761</v>
      </c>
      <c r="S191" s="5"/>
      <c r="T191" s="27">
        <f>IF($G191&lt;&gt;0,SUMIF(куб!$G:$G,$G191,куб!L:L),IF($E191&lt;&gt;0,SUMIF(куб!$E:$E,$E191,куб!L:L),IF($D191&lt;&gt;0,SUMIF(куб!$D:$D,$D191,куб!L:L),IF($C191&lt;&gt;0,SUMIF(куб!$C:$C,$C191,куб!L:L),IF($B191&lt;&gt;0,SUMIF(куб!$B:$B,$B191,куб!L:L))))))</f>
        <v>421.19999999999993</v>
      </c>
      <c r="U191" s="27">
        <f>IF($G191&lt;&gt;0,SUMIF(куб!$G:$G,$G191,куб!M:M),IF($E191&lt;&gt;0,SUMIF(куб!$E:$E,$E191,куб!M:M),IF($D191&lt;&gt;0,SUMIF(куб!$D:$D,$D191,куб!M:M),IF($C191&lt;&gt;0,SUMIF(куб!$C:$C,$C191,куб!M:M),IF($B191&lt;&gt;0,SUMIF(куб!$B:$B,$B191,куб!M:M))))))</f>
        <v>895.5</v>
      </c>
      <c r="V191" s="13">
        <f t="shared" si="56"/>
        <v>1.1260683760683765</v>
      </c>
      <c r="W191" s="5"/>
      <c r="X191" s="27">
        <f>IF($G191&lt;&gt;0,SUMIF(куб!$G:$G,$G191,куб!N:N),IF($E191&lt;&gt;0,SUMIF(куб!$E:$E,$E191,куб!N:N),IF($D191&lt;&gt;0,SUMIF(куб!$D:$D,$D191,куб!N:N),IF($C191&lt;&gt;0,SUMIF(куб!$C:$C,$C191,куб!N:N),IF($B191&lt;&gt;0,SUMIF(куб!$B:$B,$B191,куб!N:N))))))</f>
        <v>4516.2676999999894</v>
      </c>
      <c r="Y191" s="27">
        <f>IF($G191&lt;&gt;0,SUMIF(куб!$G:$G,$G191,куб!O:O),IF($E191&lt;&gt;0,SUMIF(куб!$E:$E,$E191,куб!O:O),IF($D191&lt;&gt;0,SUMIF(куб!$D:$D,$D191,куб!O:O),IF($C191&lt;&gt;0,SUMIF(куб!$C:$C,$C191,куб!O:O),IF($B191&lt;&gt;0,SUMIF(куб!$B:$B,$B191,куб!O:O))))))</f>
        <v>9902.4801000000152</v>
      </c>
      <c r="Z191" s="13">
        <f t="shared" si="57"/>
        <v>1.1926246976015258</v>
      </c>
      <c r="AA191" s="5"/>
      <c r="AB191" s="33">
        <f t="shared" si="58"/>
        <v>0.13044719688724268</v>
      </c>
      <c r="AC191" s="33">
        <f t="shared" si="59"/>
        <v>0.13396531928336985</v>
      </c>
      <c r="AD191" s="15">
        <f t="shared" si="60"/>
        <v>3.5181223961271713E-3</v>
      </c>
      <c r="AE191" s="5"/>
      <c r="AF191" s="27">
        <f>IF($G191&lt;&gt;0,SUMIF(куб!$G:$G,$G191,куб!R:R),IF($E191&lt;&gt;0,SUMIF(куб!$E:$E,$E191,куб!R:R),IF($D191&lt;&gt;0,SUMIF(куб!$D:$D,$D191,куб!R:R),IF($C191&lt;&gt;0,SUMIF(куб!$C:$C,$C191,куб!R:R),IF($B191&lt;&gt;0,SUMIF(куб!$B:$B,$B191,куб!R:R))))))</f>
        <v>2378.4719000000005</v>
      </c>
      <c r="AG191" s="27">
        <f>IF($G191&lt;&gt;0,SUMIF(куб!$G:$G,$G191,куб!S:S),IF($E191&lt;&gt;0,SUMIF(куб!$E:$E,$E191,куб!S:S),IF($D191&lt;&gt;0,SUMIF(куб!$D:$D,$D191,куб!S:S),IF($C191&lt;&gt;0,SUMIF(куб!$C:$C,$C191,куб!S:S),IF($B191&lt;&gt;0,SUMIF(куб!$B:$B,$B191,куб!S:S))))))</f>
        <v>1350.8724999999999</v>
      </c>
      <c r="AH191" s="16">
        <f t="shared" si="61"/>
        <v>-0.43204185006347995</v>
      </c>
      <c r="AI191" s="8"/>
      <c r="AJ191" s="27">
        <f>IF($G191&lt;&gt;0,SUMIF(куб!$G:$G,$G191,куб!T:T),IF($E191&lt;&gt;0,SUMIF(куб!$E:$E,$E191,куб!T:T),IF($D191&lt;&gt;0,SUMIF(куб!$D:$D,$D191,куб!T:T),IF($C191&lt;&gt;0,SUMIF(куб!$C:$C,$C191,куб!T:T),IF($B191&lt;&gt;0,SUMIF(куб!$B:$B,$B191,куб!T:T))))))</f>
        <v>37</v>
      </c>
      <c r="AK191" s="27">
        <f>IF($G191&lt;&gt;0,SUMIF(куб!$G:$G,$G191,куб!U:U),IF($E191&lt;&gt;0,SUMIF(куб!$E:$E,$E191,куб!U:U),IF($D191&lt;&gt;0,SUMIF(куб!$D:$D,$D191,куб!U:U),IF($C191&lt;&gt;0,SUMIF(куб!$C:$C,$C191,куб!U:U),IF($B191&lt;&gt;0,SUMIF(куб!$B:$B,$B191,куб!U:U))))))</f>
        <v>21</v>
      </c>
      <c r="AL191" s="16">
        <f t="shared" si="62"/>
        <v>-0.43243243243243246</v>
      </c>
      <c r="AM191" s="8"/>
      <c r="AN191" s="17">
        <f t="shared" si="63"/>
        <v>6.8699424577970652E-2</v>
      </c>
      <c r="AO191" s="17">
        <f t="shared" si="64"/>
        <v>1.8275226402487167E-2</v>
      </c>
      <c r="AP191" s="16">
        <f t="shared" si="65"/>
        <v>-5.0424198175483485E-2</v>
      </c>
      <c r="AQ191" s="8"/>
      <c r="AR191" s="17">
        <f t="shared" si="66"/>
        <v>6.1747772309272031E-2</v>
      </c>
      <c r="AS191" s="17">
        <f t="shared" si="67"/>
        <v>0.11569009288088269</v>
      </c>
      <c r="AT191" s="13">
        <f t="shared" si="68"/>
        <v>5.3942320571610664E-2</v>
      </c>
      <c r="AU191" s="8"/>
    </row>
    <row r="192" spans="1:47" ht="15" customHeight="1" x14ac:dyDescent="0.25">
      <c r="A192" s="31" t="s">
        <v>26</v>
      </c>
      <c r="B192" s="31" t="s">
        <v>32</v>
      </c>
      <c r="C192" t="s">
        <v>33</v>
      </c>
      <c r="D192" s="31" t="s">
        <v>34</v>
      </c>
      <c r="E192" t="s">
        <v>357</v>
      </c>
      <c r="F192" s="31" t="s">
        <v>408</v>
      </c>
      <c r="G192" t="s">
        <v>409</v>
      </c>
      <c r="H192" s="27">
        <f>IF($G192&lt;&gt;0,SUMIF(куб!$G:$G,$G192,куб!H:H),IF($E192&lt;&gt;0,SUMIF(куб!$E:$E,$E192,куб!H:H),IF($D192&lt;&gt;0,SUMIF(куб!$D:$D,$D192,куб!H:H),IF($C192&lt;&gt;0,SUMIF(куб!$C:$C,$C192,куб!H:H),IF($B192&lt;&gt;0,SUMIF(куб!$B:$B,$B192,куб!H:H),IF($G192&lt;&gt;0,SUMIF(куб!$A:$A,$G192,куб!H:H),SUMIF(куб!$A:$A,$G192,куб!H:H)))))))</f>
        <v>670159.31469999999</v>
      </c>
      <c r="I192" s="27">
        <f>IF($G192&lt;&gt;0,SUMIF(куб!$G:$G,$G192,куб!I:I),IF($E192&lt;&gt;0,SUMIF(куб!$E:$E,$E192,куб!I:I),IF($D192&lt;&gt;0,SUMIF(куб!$D:$D,$D192,куб!I:I),IF($C192&lt;&gt;0,SUMIF(куб!$C:$C,$C192,куб!I:I),IF($B192&lt;&gt;0,SUMIF(куб!$B:$B,$B192,куб!I:I),IF($G192&lt;&gt;0,SUMIF(куб!$A:$A,$G192,куб!I:I),SUMIF(куб!$A:$A,$G192,куб!I:I)))))))</f>
        <v>443176.12729999999</v>
      </c>
      <c r="J192" s="19">
        <f t="shared" si="69"/>
        <v>-0.33870033948809636</v>
      </c>
      <c r="K192" s="5"/>
      <c r="L192" s="17">
        <f t="shared" si="52"/>
        <v>1.3998904522238796E-3</v>
      </c>
      <c r="M192" s="17">
        <f t="shared" si="53"/>
        <v>9.4492906786635127E-4</v>
      </c>
      <c r="N192" s="12">
        <f t="shared" si="54"/>
        <v>-4.5496138435752837E-4</v>
      </c>
      <c r="O192" s="5"/>
      <c r="P192" s="27">
        <f>IF($G192&lt;&gt;0,SUMIF(куб!$G:$G,$G192,куб!J:J),IF($E192&lt;&gt;0,SUMIF(куб!$E:$E,$E192,куб!J:J),IF($D192&lt;&gt;0,SUMIF(куб!$D:$D,$D192,куб!J:J),IF($C192&lt;&gt;0,SUMIF(куб!$C:$C,$C192,куб!J:J),IF($B192&lt;&gt;0,SUMIF(куб!$B:$B,$B192,куб!J:J))))))</f>
        <v>6897</v>
      </c>
      <c r="Q192" s="27">
        <f>IF($G192&lt;&gt;0,SUMIF(куб!$G:$G,$G192,куб!K:K),IF($E192&lt;&gt;0,SUMIF(куб!$E:$E,$E192,куб!K:K),IF($D192&lt;&gt;0,SUMIF(куб!$D:$D,$D192,куб!K:K),IF($C192&lt;&gt;0,SUMIF(куб!$C:$C,$C192,куб!K:K),IF($B192&lt;&gt;0,SUMIF(куб!$B:$B,$B192,куб!K:K))))))</f>
        <v>4207</v>
      </c>
      <c r="R192" s="13">
        <f t="shared" si="55"/>
        <v>-0.39002464839785411</v>
      </c>
      <c r="S192" s="5"/>
      <c r="T192" s="27">
        <f>IF($G192&lt;&gt;0,SUMIF(куб!$G:$G,$G192,куб!L:L),IF($E192&lt;&gt;0,SUMIF(куб!$E:$E,$E192,куб!L:L),IF($D192&lt;&gt;0,SUMIF(куб!$D:$D,$D192,куб!L:L),IF($C192&lt;&gt;0,SUMIF(куб!$C:$C,$C192,куб!L:L),IF($B192&lt;&gt;0,SUMIF(куб!$B:$B,$B192,куб!L:L))))))</f>
        <v>6414.2099999999991</v>
      </c>
      <c r="U192" s="27">
        <f>IF($G192&lt;&gt;0,SUMIF(куб!$G:$G,$G192,куб!M:M),IF($E192&lt;&gt;0,SUMIF(куб!$E:$E,$E192,куб!M:M),IF($D192&lt;&gt;0,SUMIF(куб!$D:$D,$D192,куб!M:M),IF($C192&lt;&gt;0,SUMIF(куб!$C:$C,$C192,куб!M:M),IF($B192&lt;&gt;0,SUMIF(куб!$B:$B,$B192,куб!M:M))))))</f>
        <v>4026.0989999999993</v>
      </c>
      <c r="V192" s="13">
        <f t="shared" si="56"/>
        <v>-0.3723156865771467</v>
      </c>
      <c r="W192" s="5"/>
      <c r="X192" s="27">
        <f>IF($G192&lt;&gt;0,SUMIF(куб!$G:$G,$G192,куб!N:N),IF($E192&lt;&gt;0,SUMIF(куб!$E:$E,$E192,куб!N:N),IF($D192&lt;&gt;0,SUMIF(куб!$D:$D,$D192,куб!N:N),IF($C192&lt;&gt;0,SUMIF(куб!$C:$C,$C192,куб!N:N),IF($B192&lt;&gt;0,SUMIF(куб!$B:$B,$B192,куб!N:N))))))</f>
        <v>88039.732900000061</v>
      </c>
      <c r="Y192" s="27">
        <f>IF($G192&lt;&gt;0,SUMIF(куб!$G:$G,$G192,куб!O:O),IF($E192&lt;&gt;0,SUMIF(куб!$E:$E,$E192,куб!O:O),IF($D192&lt;&gt;0,SUMIF(куб!$D:$D,$D192,куб!O:O),IF($C192&lt;&gt;0,SUMIF(куб!$C:$C,$C192,куб!O:O),IF($B192&lt;&gt;0,SUMIF(куб!$B:$B,$B192,куб!O:O))))))</f>
        <v>76708.203000000096</v>
      </c>
      <c r="Z192" s="13">
        <f t="shared" si="57"/>
        <v>-0.12870927167476626</v>
      </c>
      <c r="AA192" s="5"/>
      <c r="AB192" s="33">
        <f t="shared" si="58"/>
        <v>0.13137134852689689</v>
      </c>
      <c r="AC192" s="33">
        <f t="shared" si="59"/>
        <v>0.17308739860907235</v>
      </c>
      <c r="AD192" s="15">
        <f t="shared" si="60"/>
        <v>4.1716050082175465E-2</v>
      </c>
      <c r="AE192" s="5"/>
      <c r="AF192" s="27">
        <f>IF($G192&lt;&gt;0,SUMIF(куб!$G:$G,$G192,куб!R:R),IF($E192&lt;&gt;0,SUMIF(куб!$E:$E,$E192,куб!R:R),IF($D192&lt;&gt;0,SUMIF(куб!$D:$D,$D192,куб!R:R),IF($C192&lt;&gt;0,SUMIF(куб!$C:$C,$C192,куб!R:R),IF($B192&lt;&gt;0,SUMIF(куб!$B:$B,$B192,куб!R:R))))))</f>
        <v>928.39999999999986</v>
      </c>
      <c r="AG192" s="27">
        <f>IF($G192&lt;&gt;0,SUMIF(куб!$G:$G,$G192,куб!S:S),IF($E192&lt;&gt;0,SUMIF(куб!$E:$E,$E192,куб!S:S),IF($D192&lt;&gt;0,SUMIF(куб!$D:$D,$D192,куб!S:S),IF($C192&lt;&gt;0,SUMIF(куб!$C:$C,$C192,куб!S:S),IF($B192&lt;&gt;0,SUMIF(куб!$B:$B,$B192,куб!S:S))))))</f>
        <v>174.21809999999999</v>
      </c>
      <c r="AH192" s="16">
        <f t="shared" si="61"/>
        <v>-0.81234586385178797</v>
      </c>
      <c r="AI192" s="8"/>
      <c r="AJ192" s="27">
        <f>IF($G192&lt;&gt;0,SUMIF(куб!$G:$G,$G192,куб!T:T),IF($E192&lt;&gt;0,SUMIF(куб!$E:$E,$E192,куб!T:T),IF($D192&lt;&gt;0,SUMIF(куб!$D:$D,$D192,куб!T:T),IF($C192&lt;&gt;0,SUMIF(куб!$C:$C,$C192,куб!T:T),IF($B192&lt;&gt;0,SUMIF(куб!$B:$B,$B192,куб!T:T))))))</f>
        <v>11</v>
      </c>
      <c r="AK192" s="27">
        <f>IF($G192&lt;&gt;0,SUMIF(куб!$G:$G,$G192,куб!U:U),IF($E192&lt;&gt;0,SUMIF(куб!$E:$E,$E192,куб!U:U),IF($D192&lt;&gt;0,SUMIF(куб!$D:$D,$D192,куб!U:U),IF($C192&lt;&gt;0,SUMIF(куб!$C:$C,$C192,куб!U:U),IF($B192&lt;&gt;0,SUMIF(куб!$B:$B,$B192,куб!U:U))))))</f>
        <v>2</v>
      </c>
      <c r="AL192" s="16">
        <f t="shared" si="62"/>
        <v>-0.81818181818181823</v>
      </c>
      <c r="AM192" s="8"/>
      <c r="AN192" s="17">
        <f t="shared" si="63"/>
        <v>1.3853422307732938E-3</v>
      </c>
      <c r="AO192" s="17">
        <f t="shared" si="64"/>
        <v>3.9311255563652289E-4</v>
      </c>
      <c r="AP192" s="16">
        <f t="shared" si="65"/>
        <v>-9.92229675136771E-4</v>
      </c>
      <c r="AQ192" s="8"/>
      <c r="AR192" s="17">
        <f t="shared" si="66"/>
        <v>0.12998600629612359</v>
      </c>
      <c r="AS192" s="17">
        <f t="shared" si="67"/>
        <v>0.17269428605343584</v>
      </c>
      <c r="AT192" s="13">
        <f t="shared" si="68"/>
        <v>4.2708279757312256E-2</v>
      </c>
      <c r="AU192" s="8"/>
    </row>
    <row r="193" spans="1:47" ht="15" customHeight="1" x14ac:dyDescent="0.25">
      <c r="A193" s="31" t="s">
        <v>26</v>
      </c>
      <c r="B193" s="31" t="s">
        <v>32</v>
      </c>
      <c r="C193" t="s">
        <v>33</v>
      </c>
      <c r="D193" s="31" t="s">
        <v>34</v>
      </c>
      <c r="E193" t="s">
        <v>357</v>
      </c>
      <c r="F193" s="31" t="s">
        <v>410</v>
      </c>
      <c r="G193" t="s">
        <v>411</v>
      </c>
      <c r="H193" s="27">
        <f>IF($G193&lt;&gt;0,SUMIF(куб!$G:$G,$G193,куб!H:H),IF($E193&lt;&gt;0,SUMIF(куб!$E:$E,$E193,куб!H:H),IF($D193&lt;&gt;0,SUMIF(куб!$D:$D,$D193,куб!H:H),IF($C193&lt;&gt;0,SUMIF(куб!$C:$C,$C193,куб!H:H),IF($B193&lt;&gt;0,SUMIF(куб!$B:$B,$B193,куб!H:H),IF($G193&lt;&gt;0,SUMIF(куб!$A:$A,$G193,куб!H:H),SUMIF(куб!$A:$A,$G193,куб!H:H)))))))</f>
        <v>0</v>
      </c>
      <c r="I193" s="27">
        <f>IF($G193&lt;&gt;0,SUMIF(куб!$G:$G,$G193,куб!I:I),IF($E193&lt;&gt;0,SUMIF(куб!$E:$E,$E193,куб!I:I),IF($D193&lt;&gt;0,SUMIF(куб!$D:$D,$D193,куб!I:I),IF($C193&lt;&gt;0,SUMIF(куб!$C:$C,$C193,куб!I:I),IF($B193&lt;&gt;0,SUMIF(куб!$B:$B,$B193,куб!I:I),IF($G193&lt;&gt;0,SUMIF(куб!$A:$A,$G193,куб!I:I),SUMIF(куб!$A:$A,$G193,куб!I:I)))))))</f>
        <v>126491.34050000005</v>
      </c>
      <c r="J193" s="19" t="str">
        <f t="shared" si="69"/>
        <v>-</v>
      </c>
      <c r="K193" s="5"/>
      <c r="L193" s="17">
        <f t="shared" si="52"/>
        <v>0</v>
      </c>
      <c r="M193" s="17">
        <f t="shared" si="53"/>
        <v>2.6970167639675183E-4</v>
      </c>
      <c r="N193" s="12">
        <f t="shared" si="54"/>
        <v>2.6970167639675183E-4</v>
      </c>
      <c r="O193" s="5"/>
      <c r="P193" s="27">
        <f>IF($G193&lt;&gt;0,SUMIF(куб!$G:$G,$G193,куб!J:J),IF($E193&lt;&gt;0,SUMIF(куб!$E:$E,$E193,куб!J:J),IF($D193&lt;&gt;0,SUMIF(куб!$D:$D,$D193,куб!J:J),IF($C193&lt;&gt;0,SUMIF(куб!$C:$C,$C193,куб!J:J),IF($B193&lt;&gt;0,SUMIF(куб!$B:$B,$B193,куб!J:J))))))</f>
        <v>0</v>
      </c>
      <c r="Q193" s="27">
        <f>IF($G193&lt;&gt;0,SUMIF(куб!$G:$G,$G193,куб!K:K),IF($E193&lt;&gt;0,SUMIF(куб!$E:$E,$E193,куб!K:K),IF($D193&lt;&gt;0,SUMIF(куб!$D:$D,$D193,куб!K:K),IF($C193&lt;&gt;0,SUMIF(куб!$C:$C,$C193,куб!K:K),IF($B193&lt;&gt;0,SUMIF(куб!$B:$B,$B193,куб!K:K))))))</f>
        <v>1356</v>
      </c>
      <c r="R193" s="13" t="str">
        <f t="shared" si="55"/>
        <v>-</v>
      </c>
      <c r="S193" s="5"/>
      <c r="T193" s="27">
        <f>IF($G193&lt;&gt;0,SUMIF(куб!$G:$G,$G193,куб!L:L),IF($E193&lt;&gt;0,SUMIF(куб!$E:$E,$E193,куб!L:L),IF($D193&lt;&gt;0,SUMIF(куб!$D:$D,$D193,куб!L:L),IF($C193&lt;&gt;0,SUMIF(куб!$C:$C,$C193,куб!L:L),IF($B193&lt;&gt;0,SUMIF(куб!$B:$B,$B193,куб!L:L))))))</f>
        <v>0</v>
      </c>
      <c r="U193" s="27">
        <f>IF($G193&lt;&gt;0,SUMIF(куб!$G:$G,$G193,куб!M:M),IF($E193&lt;&gt;0,SUMIF(куб!$E:$E,$E193,куб!M:M),IF($D193&lt;&gt;0,SUMIF(куб!$D:$D,$D193,куб!M:M),IF($C193&lt;&gt;0,SUMIF(куб!$C:$C,$C193,куб!M:M),IF($B193&lt;&gt;0,SUMIF(куб!$B:$B,$B193,куб!M:M))))))</f>
        <v>1252.9440000000002</v>
      </c>
      <c r="V193" s="13" t="str">
        <f t="shared" si="56"/>
        <v>-</v>
      </c>
      <c r="W193" s="5"/>
      <c r="X193" s="27">
        <f>IF($G193&lt;&gt;0,SUMIF(куб!$G:$G,$G193,куб!N:N),IF($E193&lt;&gt;0,SUMIF(куб!$E:$E,$E193,куб!N:N),IF($D193&lt;&gt;0,SUMIF(куб!$D:$D,$D193,куб!N:N),IF($C193&lt;&gt;0,SUMIF(куб!$C:$C,$C193,куб!N:N),IF($B193&lt;&gt;0,SUMIF(куб!$B:$B,$B193,куб!N:N))))))</f>
        <v>0</v>
      </c>
      <c r="Y193" s="27">
        <f>IF($G193&lt;&gt;0,SUMIF(куб!$G:$G,$G193,куб!O:O),IF($E193&lt;&gt;0,SUMIF(куб!$E:$E,$E193,куб!O:O),IF($D193&lt;&gt;0,SUMIF(куб!$D:$D,$D193,куб!O:O),IF($C193&lt;&gt;0,SUMIF(куб!$C:$C,$C193,куб!O:O),IF($B193&lt;&gt;0,SUMIF(куб!$B:$B,$B193,куб!O:O))))))</f>
        <v>22782.014700000087</v>
      </c>
      <c r="Z193" s="13" t="str">
        <f t="shared" si="57"/>
        <v>-</v>
      </c>
      <c r="AA193" s="5"/>
      <c r="AB193" s="33" t="str">
        <f t="shared" si="58"/>
        <v/>
      </c>
      <c r="AC193" s="33">
        <f t="shared" si="59"/>
        <v>0.18010730702944902</v>
      </c>
      <c r="AD193" s="15" t="str">
        <f t="shared" si="60"/>
        <v xml:space="preserve"> </v>
      </c>
      <c r="AE193" s="5"/>
      <c r="AF193" s="27">
        <f>IF($G193&lt;&gt;0,SUMIF(куб!$G:$G,$G193,куб!R:R),IF($E193&lt;&gt;0,SUMIF(куб!$E:$E,$E193,куб!R:R),IF($D193&lt;&gt;0,SUMIF(куб!$D:$D,$D193,куб!R:R),IF($C193&lt;&gt;0,SUMIF(куб!$C:$C,$C193,куб!R:R),IF($B193&lt;&gt;0,SUMIF(куб!$B:$B,$B193,куб!R:R))))))</f>
        <v>0</v>
      </c>
      <c r="AG193" s="27">
        <f>IF($G193&lt;&gt;0,SUMIF(куб!$G:$G,$G193,куб!S:S),IF($E193&lt;&gt;0,SUMIF(куб!$E:$E,$E193,куб!S:S),IF($D193&lt;&gt;0,SUMIF(куб!$D:$D,$D193,куб!S:S),IF($C193&lt;&gt;0,SUMIF(куб!$C:$C,$C193,куб!S:S),IF($B193&lt;&gt;0,SUMIF(куб!$B:$B,$B193,куб!S:S))))))</f>
        <v>382.40900000000005</v>
      </c>
      <c r="AH193" s="16" t="str">
        <f t="shared" si="61"/>
        <v>-</v>
      </c>
      <c r="AI193" s="8"/>
      <c r="AJ193" s="27">
        <f>IF($G193&lt;&gt;0,SUMIF(куб!$G:$G,$G193,куб!T:T),IF($E193&lt;&gt;0,SUMIF(куб!$E:$E,$E193,куб!T:T),IF($D193&lt;&gt;0,SUMIF(куб!$D:$D,$D193,куб!T:T),IF($C193&lt;&gt;0,SUMIF(куб!$C:$C,$C193,куб!T:T),IF($B193&lt;&gt;0,SUMIF(куб!$B:$B,$B193,куб!T:T))))))</f>
        <v>0</v>
      </c>
      <c r="AK193" s="27">
        <f>IF($G193&lt;&gt;0,SUMIF(куб!$G:$G,$G193,куб!U:U),IF($E193&lt;&gt;0,SUMIF(куб!$E:$E,$E193,куб!U:U),IF($D193&lt;&gt;0,SUMIF(куб!$D:$D,$D193,куб!U:U),IF($C193&lt;&gt;0,SUMIF(куб!$C:$C,$C193,куб!U:U),IF($B193&lt;&gt;0,SUMIF(куб!$B:$B,$B193,куб!U:U))))))</f>
        <v>5</v>
      </c>
      <c r="AL193" s="16" t="str">
        <f t="shared" si="62"/>
        <v>-</v>
      </c>
      <c r="AM193" s="8"/>
      <c r="AN193" s="17" t="str">
        <f t="shared" si="63"/>
        <v xml:space="preserve"> </v>
      </c>
      <c r="AO193" s="17">
        <f t="shared" si="64"/>
        <v>3.0232029994179711E-3</v>
      </c>
      <c r="AP193" s="16" t="str">
        <f t="shared" si="65"/>
        <v>-</v>
      </c>
      <c r="AQ193" s="8"/>
      <c r="AR193" s="17" t="str">
        <f t="shared" si="66"/>
        <v>-</v>
      </c>
      <c r="AS193" s="17">
        <f t="shared" si="67"/>
        <v>0.17708410403003105</v>
      </c>
      <c r="AT193" s="13" t="str">
        <f t="shared" si="68"/>
        <v>-</v>
      </c>
      <c r="AU193" s="8"/>
    </row>
    <row r="194" spans="1:47" ht="15" customHeight="1" x14ac:dyDescent="0.25">
      <c r="A194" s="31" t="s">
        <v>26</v>
      </c>
      <c r="B194" s="31" t="s">
        <v>32</v>
      </c>
      <c r="C194" t="s">
        <v>33</v>
      </c>
      <c r="D194" s="31" t="s">
        <v>34</v>
      </c>
      <c r="E194" t="s">
        <v>412</v>
      </c>
      <c r="F194"/>
      <c r="G194"/>
      <c r="H194" s="27">
        <f>IF($G194&lt;&gt;0,SUMIF(куб!$G:$G,$G194,куб!H:H),IF($E194&lt;&gt;0,SUMIF(куб!$E:$E,$E194,куб!H:H),IF($D194&lt;&gt;0,SUMIF(куб!$D:$D,$D194,куб!H:H),IF($C194&lt;&gt;0,SUMIF(куб!$C:$C,$C194,куб!H:H),IF($B194&lt;&gt;0,SUMIF(куб!$B:$B,$B194,куб!H:H),IF($G194&lt;&gt;0,SUMIF(куб!$A:$A,$G194,куб!H:H),SUMIF(куб!$A:$A,$G194,куб!H:H)))))))</f>
        <v>23468348.517499875</v>
      </c>
      <c r="I194" s="27">
        <f>IF($G194&lt;&gt;0,SUMIF(куб!$G:$G,$G194,куб!I:I),IF($E194&lt;&gt;0,SUMIF(куб!$E:$E,$E194,куб!I:I),IF($D194&lt;&gt;0,SUMIF(куб!$D:$D,$D194,куб!I:I),IF($C194&lt;&gt;0,SUMIF(куб!$C:$C,$C194,куб!I:I),IF($B194&lt;&gt;0,SUMIF(куб!$B:$B,$B194,куб!I:I),IF($G194&lt;&gt;0,SUMIF(куб!$A:$A,$G194,куб!I:I),SUMIF(куб!$A:$A,$G194,куб!I:I)))))))</f>
        <v>25410017.204699893</v>
      </c>
      <c r="J194" s="19">
        <f t="shared" si="69"/>
        <v>8.273563373034766E-2</v>
      </c>
      <c r="K194" s="8"/>
      <c r="L194" s="17">
        <f t="shared" si="52"/>
        <v>4.902284620757285E-2</v>
      </c>
      <c r="M194" s="17">
        <f t="shared" si="53"/>
        <v>5.4178603928842578E-2</v>
      </c>
      <c r="N194" s="12">
        <f t="shared" si="54"/>
        <v>5.1557577212697284E-3</v>
      </c>
      <c r="O194" s="5"/>
      <c r="P194" s="27">
        <f>IF($G194&lt;&gt;0,SUMIF(куб!$G:$G,$G194,куб!J:J),IF($E194&lt;&gt;0,SUMIF(куб!$E:$E,$E194,куб!J:J),IF($D194&lt;&gt;0,SUMIF(куб!$D:$D,$D194,куб!J:J),IF($C194&lt;&gt;0,SUMIF(куб!$C:$C,$C194,куб!J:J),IF($B194&lt;&gt;0,SUMIF(куб!$B:$B,$B194,куб!J:J))))))</f>
        <v>282559</v>
      </c>
      <c r="Q194" s="27">
        <f>IF($G194&lt;&gt;0,SUMIF(куб!$G:$G,$G194,куб!K:K),IF($E194&lt;&gt;0,SUMIF(куб!$E:$E,$E194,куб!K:K),IF($D194&lt;&gt;0,SUMIF(куб!$D:$D,$D194,куб!K:K),IF($C194&lt;&gt;0,SUMIF(куб!$C:$C,$C194,куб!K:K),IF($B194&lt;&gt;0,SUMIF(куб!$B:$B,$B194,куб!K:K))))))</f>
        <v>307251</v>
      </c>
      <c r="R194" s="13">
        <f t="shared" si="55"/>
        <v>8.7387058985910912E-2</v>
      </c>
      <c r="S194" s="5"/>
      <c r="T194" s="27">
        <f>IF($G194&lt;&gt;0,SUMIF(куб!$G:$G,$G194,куб!L:L),IF($E194&lt;&gt;0,SUMIF(куб!$E:$E,$E194,куб!L:L),IF($D194&lt;&gt;0,SUMIF(куб!$D:$D,$D194,куб!L:L),IF($C194&lt;&gt;0,SUMIF(куб!$C:$C,$C194,куб!L:L),IF($B194&lt;&gt;0,SUMIF(куб!$B:$B,$B194,куб!L:L))))))</f>
        <v>254767.77280000114</v>
      </c>
      <c r="U194" s="27">
        <f>IF($G194&lt;&gt;0,SUMIF(куб!$G:$G,$G194,куб!M:M),IF($E194&lt;&gt;0,SUMIF(куб!$E:$E,$E194,куб!M:M),IF($D194&lt;&gt;0,SUMIF(куб!$D:$D,$D194,куб!M:M),IF($C194&lt;&gt;0,SUMIF(куб!$C:$C,$C194,куб!M:M),IF($B194&lt;&gt;0,SUMIF(куб!$B:$B,$B194,куб!M:M))))))</f>
        <v>281727.97250000131</v>
      </c>
      <c r="V194" s="13">
        <f t="shared" si="56"/>
        <v>0.10582264547708152</v>
      </c>
      <c r="W194" s="5"/>
      <c r="X194" s="27">
        <f>IF($G194&lt;&gt;0,SUMIF(куб!$G:$G,$G194,куб!N:N),IF($E194&lt;&gt;0,SUMIF(куб!$E:$E,$E194,куб!N:N),IF($D194&lt;&gt;0,SUMIF(куб!$D:$D,$D194,куб!N:N),IF($C194&lt;&gt;0,SUMIF(куб!$C:$C,$C194,куб!N:N),IF($B194&lt;&gt;0,SUMIF(куб!$B:$B,$B194,куб!N:N))))))</f>
        <v>2728562.0366000719</v>
      </c>
      <c r="Y194" s="27">
        <f>IF($G194&lt;&gt;0,SUMIF(куб!$G:$G,$G194,куб!O:O),IF($E194&lt;&gt;0,SUMIF(куб!$E:$E,$E194,куб!O:O),IF($D194&lt;&gt;0,SUMIF(куб!$D:$D,$D194,куб!O:O),IF($C194&lt;&gt;0,SUMIF(куб!$C:$C,$C194,куб!O:O),IF($B194&lt;&gt;0,SUMIF(куб!$B:$B,$B194,куб!O:O))))))</f>
        <v>2859024.4710000716</v>
      </c>
      <c r="Z194" s="13">
        <f t="shared" si="57"/>
        <v>4.781362221199946E-2</v>
      </c>
      <c r="AA194" s="5"/>
      <c r="AB194" s="33">
        <f t="shared" si="58"/>
        <v>0.1162656176920774</v>
      </c>
      <c r="AC194" s="33">
        <f t="shared" si="59"/>
        <v>0.11251564483282837</v>
      </c>
      <c r="AD194" s="15">
        <f t="shared" si="60"/>
        <v>-3.7499728592490233E-3</v>
      </c>
      <c r="AE194" s="5"/>
      <c r="AF194" s="27">
        <f>IF($G194&lt;&gt;0,SUMIF(куб!$G:$G,$G194,куб!R:R),IF($E194&lt;&gt;0,SUMIF(куб!$E:$E,$E194,куб!R:R),IF($D194&lt;&gt;0,SUMIF(куб!$D:$D,$D194,куб!R:R),IF($C194&lt;&gt;0,SUMIF(куб!$C:$C,$C194,куб!R:R),IF($B194&lt;&gt;0,SUMIF(куб!$B:$B,$B194,куб!R:R))))))</f>
        <v>168024.15969999996</v>
      </c>
      <c r="AG194" s="27">
        <f>IF($G194&lt;&gt;0,SUMIF(куб!$G:$G,$G194,куб!S:S),IF($E194&lt;&gt;0,SUMIF(куб!$E:$E,$E194,куб!S:S),IF($D194&lt;&gt;0,SUMIF(куб!$D:$D,$D194,куб!S:S),IF($C194&lt;&gt;0,SUMIF(куб!$C:$C,$C194,куб!S:S),IF($B194&lt;&gt;0,SUMIF(куб!$B:$B,$B194,куб!S:S))))))</f>
        <v>117865.61489999999</v>
      </c>
      <c r="AH194" s="16">
        <f t="shared" si="61"/>
        <v>-0.29851983720410169</v>
      </c>
      <c r="AI194" s="8"/>
      <c r="AJ194" s="27">
        <f>IF($G194&lt;&gt;0,SUMIF(куб!$G:$G,$G194,куб!T:T),IF($E194&lt;&gt;0,SUMIF(куб!$E:$E,$E194,куб!T:T),IF($D194&lt;&gt;0,SUMIF(куб!$D:$D,$D194,куб!T:T),IF($C194&lt;&gt;0,SUMIF(куб!$C:$C,$C194,куб!T:T),IF($B194&lt;&gt;0,SUMIF(куб!$B:$B,$B194,куб!T:T))))))</f>
        <v>2337</v>
      </c>
      <c r="AK194" s="27">
        <f>IF($G194&lt;&gt;0,SUMIF(куб!$G:$G,$G194,куб!U:U),IF($E194&lt;&gt;0,SUMIF(куб!$E:$E,$E194,куб!U:U),IF($D194&lt;&gt;0,SUMIF(куб!$D:$D,$D194,куб!U:U),IF($C194&lt;&gt;0,SUMIF(куб!$C:$C,$C194,куб!U:U),IF($B194&lt;&gt;0,SUMIF(куб!$B:$B,$B194,куб!U:U))))))</f>
        <v>1725</v>
      </c>
      <c r="AL194" s="16">
        <f t="shared" si="62"/>
        <v>-0.26187419768934533</v>
      </c>
      <c r="AM194" s="8"/>
      <c r="AN194" s="17">
        <f t="shared" si="63"/>
        <v>7.1596073142815193E-3</v>
      </c>
      <c r="AO194" s="17">
        <f t="shared" si="64"/>
        <v>4.6385491969757227E-3</v>
      </c>
      <c r="AP194" s="16">
        <f t="shared" si="65"/>
        <v>-2.5210581173057967E-3</v>
      </c>
      <c r="AQ194" s="8"/>
      <c r="AR194" s="17">
        <f t="shared" si="66"/>
        <v>0.1091060103777959</v>
      </c>
      <c r="AS194" s="17">
        <f t="shared" si="67"/>
        <v>0.10787709563585265</v>
      </c>
      <c r="AT194" s="13">
        <f t="shared" si="68"/>
        <v>-1.2289147419432406E-3</v>
      </c>
      <c r="AU194" s="8"/>
    </row>
    <row r="195" spans="1:47" ht="15" customHeight="1" x14ac:dyDescent="0.25">
      <c r="A195" s="31" t="s">
        <v>26</v>
      </c>
      <c r="B195" s="31" t="s">
        <v>32</v>
      </c>
      <c r="C195" t="s">
        <v>33</v>
      </c>
      <c r="D195" s="31" t="s">
        <v>34</v>
      </c>
      <c r="E195" t="s">
        <v>413</v>
      </c>
      <c r="F195" s="31" t="s">
        <v>414</v>
      </c>
      <c r="G195" t="s">
        <v>415</v>
      </c>
      <c r="H195" s="27">
        <f>IF($G195&lt;&gt;0,SUMIF(куб!$G:$G,$G195,куб!H:H),IF($E195&lt;&gt;0,SUMIF(куб!$E:$E,$E195,куб!H:H),IF($D195&lt;&gt;0,SUMIF(куб!$D:$D,$D195,куб!H:H),IF($C195&lt;&gt;0,SUMIF(куб!$C:$C,$C195,куб!H:H),IF($B195&lt;&gt;0,SUMIF(куб!$B:$B,$B195,куб!H:H),IF($G195&lt;&gt;0,SUMIF(куб!$A:$A,$G195,куб!H:H),SUMIF(куб!$A:$A,$G195,куб!H:H)))))))</f>
        <v>753626.87280000001</v>
      </c>
      <c r="I195" s="27">
        <f>IF($G195&lt;&gt;0,SUMIF(куб!$G:$G,$G195,куб!I:I),IF($E195&lt;&gt;0,SUMIF(куб!$E:$E,$E195,куб!I:I),IF($D195&lt;&gt;0,SUMIF(куб!$D:$D,$D195,куб!I:I),IF($C195&lt;&gt;0,SUMIF(куб!$C:$C,$C195,куб!I:I),IF($B195&lt;&gt;0,SUMIF(куб!$B:$B,$B195,куб!I:I),IF($G195&lt;&gt;0,SUMIF(куб!$A:$A,$G195,куб!I:I),SUMIF(куб!$A:$A,$G195,куб!I:I)))))))</f>
        <v>858175.30209999974</v>
      </c>
      <c r="J195" s="19">
        <f t="shared" si="69"/>
        <v>0.13872704527051166</v>
      </c>
      <c r="K195" s="10"/>
      <c r="L195" s="17">
        <f t="shared" si="52"/>
        <v>1.5742451692167165E-3</v>
      </c>
      <c r="M195" s="17">
        <f t="shared" si="53"/>
        <v>1.8297799414866568E-3</v>
      </c>
      <c r="N195" s="12">
        <f t="shared" si="54"/>
        <v>2.5553477226994024E-4</v>
      </c>
      <c r="O195" s="5"/>
      <c r="P195" s="27">
        <f>IF($G195&lt;&gt;0,SUMIF(куб!$G:$G,$G195,куб!J:J),IF($E195&lt;&gt;0,SUMIF(куб!$E:$E,$E195,куб!J:J),IF($D195&lt;&gt;0,SUMIF(куб!$D:$D,$D195,куб!J:J),IF($C195&lt;&gt;0,SUMIF(куб!$C:$C,$C195,куб!J:J),IF($B195&lt;&gt;0,SUMIF(куб!$B:$B,$B195,куб!J:J))))))</f>
        <v>8030</v>
      </c>
      <c r="Q195" s="27">
        <f>IF($G195&lt;&gt;0,SUMIF(куб!$G:$G,$G195,куб!K:K),IF($E195&lt;&gt;0,SUMIF(куб!$E:$E,$E195,куб!K:K),IF($D195&lt;&gt;0,SUMIF(куб!$D:$D,$D195,куб!K:K),IF($C195&lt;&gt;0,SUMIF(куб!$C:$C,$C195,куб!K:K),IF($B195&lt;&gt;0,SUMIF(куб!$B:$B,$B195,куб!K:K))))))</f>
        <v>7864</v>
      </c>
      <c r="R195" s="13">
        <f t="shared" si="55"/>
        <v>-2.0672478206724781E-2</v>
      </c>
      <c r="S195" s="5"/>
      <c r="T195" s="27">
        <f>IF($G195&lt;&gt;0,SUMIF(куб!$G:$G,$G195,куб!L:L),IF($E195&lt;&gt;0,SUMIF(куб!$E:$E,$E195,куб!L:L),IF($D195&lt;&gt;0,SUMIF(куб!$D:$D,$D195,куб!L:L),IF($C195&lt;&gt;0,SUMIF(куб!$C:$C,$C195,куб!L:L),IF($B195&lt;&gt;0,SUMIF(куб!$B:$B,$B195,куб!L:L))))))</f>
        <v>7427.7499999999973</v>
      </c>
      <c r="U195" s="27">
        <f>IF($G195&lt;&gt;0,SUMIF(куб!$G:$G,$G195,куб!M:M),IF($E195&lt;&gt;0,SUMIF(куб!$E:$E,$E195,куб!M:M),IF($D195&lt;&gt;0,SUMIF(куб!$D:$D,$D195,куб!M:M),IF($C195&lt;&gt;0,SUMIF(куб!$C:$C,$C195,куб!M:M),IF($B195&lt;&gt;0,SUMIF(куб!$B:$B,$B195,куб!M:M))))))</f>
        <v>7274.1999999999953</v>
      </c>
      <c r="V195" s="13">
        <f t="shared" si="56"/>
        <v>-2.0672478206725058E-2</v>
      </c>
      <c r="W195" s="5"/>
      <c r="X195" s="27">
        <f>IF($G195&lt;&gt;0,SUMIF(куб!$G:$G,$G195,куб!N:N),IF($E195&lt;&gt;0,SUMIF(куб!$E:$E,$E195,куб!N:N),IF($D195&lt;&gt;0,SUMIF(куб!$D:$D,$D195,куб!N:N),IF($C195&lt;&gt;0,SUMIF(куб!$C:$C,$C195,куб!N:N),IF($B195&lt;&gt;0,SUMIF(куб!$B:$B,$B195,куб!N:N))))))</f>
        <v>76697.872800000012</v>
      </c>
      <c r="Y195" s="27">
        <f>IF($G195&lt;&gt;0,SUMIF(куб!$G:$G,$G195,куб!O:O),IF($E195&lt;&gt;0,SUMIF(куб!$E:$E,$E195,куб!O:O),IF($D195&lt;&gt;0,SUMIF(куб!$D:$D,$D195,куб!O:O),IF($C195&lt;&gt;0,SUMIF(куб!$C:$C,$C195,куб!O:O),IF($B195&lt;&gt;0,SUMIF(куб!$B:$B,$B195,куб!O:O))))))</f>
        <v>121531.38619999972</v>
      </c>
      <c r="Z195" s="13">
        <f t="shared" si="57"/>
        <v>0.58454702540328729</v>
      </c>
      <c r="AA195" s="5"/>
      <c r="AB195" s="33">
        <f t="shared" si="58"/>
        <v>0.10177167981688247</v>
      </c>
      <c r="AC195" s="33">
        <f t="shared" si="59"/>
        <v>0.14161603800832542</v>
      </c>
      <c r="AD195" s="15">
        <f t="shared" si="60"/>
        <v>3.9844358191442955E-2</v>
      </c>
      <c r="AE195" s="5"/>
      <c r="AF195" s="27">
        <f>IF($G195&lt;&gt;0,SUMIF(куб!$G:$G,$G195,куб!R:R),IF($E195&lt;&gt;0,SUMIF(куб!$E:$E,$E195,куб!R:R),IF($D195&lt;&gt;0,SUMIF(куб!$D:$D,$D195,куб!R:R),IF($C195&lt;&gt;0,SUMIF(куб!$C:$C,$C195,куб!R:R),IF($B195&lt;&gt;0,SUMIF(куб!$B:$B,$B195,куб!R:R))))))</f>
        <v>927.29999999999984</v>
      </c>
      <c r="AG195" s="27">
        <f>IF($G195&lt;&gt;0,SUMIF(куб!$G:$G,$G195,куб!S:S),IF($E195&lt;&gt;0,SUMIF(куб!$E:$E,$E195,куб!S:S),IF($D195&lt;&gt;0,SUMIF(куб!$D:$D,$D195,куб!S:S),IF($C195&lt;&gt;0,SUMIF(куб!$C:$C,$C195,куб!S:S),IF($B195&lt;&gt;0,SUMIF(куб!$B:$B,$B195,куб!S:S))))))</f>
        <v>2528.9175000000005</v>
      </c>
      <c r="AH195" s="16">
        <f t="shared" si="61"/>
        <v>1.7271837593011981</v>
      </c>
      <c r="AI195" s="8"/>
      <c r="AJ195" s="27">
        <f>IF($G195&lt;&gt;0,SUMIF(куб!$G:$G,$G195,куб!T:T),IF($E195&lt;&gt;0,SUMIF(куб!$E:$E,$E195,куб!T:T),IF($D195&lt;&gt;0,SUMIF(куб!$D:$D,$D195,куб!T:T),IF($C195&lt;&gt;0,SUMIF(куб!$C:$C,$C195,куб!T:T),IF($B195&lt;&gt;0,SUMIF(куб!$B:$B,$B195,куб!T:T))))))</f>
        <v>11</v>
      </c>
      <c r="AK195" s="27">
        <f>IF($G195&lt;&gt;0,SUMIF(куб!$G:$G,$G195,куб!U:U),IF($E195&lt;&gt;0,SUMIF(куб!$E:$E,$E195,куб!U:U),IF($D195&lt;&gt;0,SUMIF(куб!$D:$D,$D195,куб!U:U),IF($C195&lt;&gt;0,SUMIF(куб!$C:$C,$C195,куб!U:U),IF($B195&lt;&gt;0,SUMIF(куб!$B:$B,$B195,куб!U:U))))))</f>
        <v>27</v>
      </c>
      <c r="AL195" s="16">
        <f t="shared" si="62"/>
        <v>1.4545454545454546</v>
      </c>
      <c r="AM195" s="8"/>
      <c r="AN195" s="17">
        <f t="shared" si="63"/>
        <v>1.2304497536755033E-3</v>
      </c>
      <c r="AO195" s="17">
        <f t="shared" si="64"/>
        <v>2.9468542077727097E-3</v>
      </c>
      <c r="AP195" s="16">
        <f t="shared" si="65"/>
        <v>1.7164044540972064E-3</v>
      </c>
      <c r="AQ195" s="8"/>
      <c r="AR195" s="17">
        <f t="shared" si="66"/>
        <v>0.10054123006320696</v>
      </c>
      <c r="AS195" s="17">
        <f t="shared" si="67"/>
        <v>0.13866918380055271</v>
      </c>
      <c r="AT195" s="13">
        <f t="shared" si="68"/>
        <v>3.8127953737345746E-2</v>
      </c>
      <c r="AU195" s="8"/>
    </row>
    <row r="196" spans="1:47" ht="15" customHeight="1" x14ac:dyDescent="0.25">
      <c r="A196" s="31" t="s">
        <v>26</v>
      </c>
      <c r="B196" s="31" t="s">
        <v>32</v>
      </c>
      <c r="C196" t="s">
        <v>33</v>
      </c>
      <c r="D196" s="31" t="s">
        <v>34</v>
      </c>
      <c r="E196" t="s">
        <v>413</v>
      </c>
      <c r="F196" s="31" t="s">
        <v>416</v>
      </c>
      <c r="G196" t="s">
        <v>417</v>
      </c>
      <c r="H196" s="27">
        <f>IF($G196&lt;&gt;0,SUMIF(куб!$G:$G,$G196,куб!H:H),IF($E196&lt;&gt;0,SUMIF(куб!$E:$E,$E196,куб!H:H),IF($D196&lt;&gt;0,SUMIF(куб!$D:$D,$D196,куб!H:H),IF($C196&lt;&gt;0,SUMIF(куб!$C:$C,$C196,куб!H:H),IF($B196&lt;&gt;0,SUMIF(куб!$B:$B,$B196,куб!H:H),IF($G196&lt;&gt;0,SUMIF(куб!$A:$A,$G196,куб!H:H),SUMIF(куб!$A:$A,$G196,куб!H:H)))))))</f>
        <v>1546079.9607000004</v>
      </c>
      <c r="I196" s="27">
        <f>IF($G196&lt;&gt;0,SUMIF(куб!$G:$G,$G196,куб!I:I),IF($E196&lt;&gt;0,SUMIF(куб!$E:$E,$E196,куб!I:I),IF($D196&lt;&gt;0,SUMIF(куб!$D:$D,$D196,куб!I:I),IF($C196&lt;&gt;0,SUMIF(куб!$C:$C,$C196,куб!I:I),IF($B196&lt;&gt;0,SUMIF(куб!$B:$B,$B196,куб!I:I),IF($G196&lt;&gt;0,SUMIF(куб!$A:$A,$G196,куб!I:I),SUMIF(куб!$A:$A,$G196,куб!I:I)))))))</f>
        <v>2011281.3443000007</v>
      </c>
      <c r="J196" s="19">
        <f t="shared" si="69"/>
        <v>0.30089089531266972</v>
      </c>
      <c r="K196" s="5"/>
      <c r="L196" s="17">
        <f t="shared" si="52"/>
        <v>3.2295941097640044E-3</v>
      </c>
      <c r="M196" s="17">
        <f t="shared" si="53"/>
        <v>4.2884038394962109E-3</v>
      </c>
      <c r="N196" s="12">
        <f t="shared" si="54"/>
        <v>1.0588097297322065E-3</v>
      </c>
      <c r="O196" s="5"/>
      <c r="P196" s="27">
        <f>IF($G196&lt;&gt;0,SUMIF(куб!$G:$G,$G196,куб!J:J),IF($E196&lt;&gt;0,SUMIF(куб!$E:$E,$E196,куб!J:J),IF($D196&lt;&gt;0,SUMIF(куб!$D:$D,$D196,куб!J:J),IF($C196&lt;&gt;0,SUMIF(куб!$C:$C,$C196,куб!J:J),IF($B196&lt;&gt;0,SUMIF(куб!$B:$B,$B196,куб!J:J))))))</f>
        <v>16172</v>
      </c>
      <c r="Q196" s="27">
        <f>IF($G196&lt;&gt;0,SUMIF(куб!$G:$G,$G196,куб!K:K),IF($E196&lt;&gt;0,SUMIF(куб!$E:$E,$E196,куб!K:K),IF($D196&lt;&gt;0,SUMIF(куб!$D:$D,$D196,куб!K:K),IF($C196&lt;&gt;0,SUMIF(куб!$C:$C,$C196,куб!K:K),IF($B196&lt;&gt;0,SUMIF(куб!$B:$B,$B196,куб!K:K))))))</f>
        <v>20157</v>
      </c>
      <c r="R196" s="13">
        <f t="shared" si="55"/>
        <v>0.2464135542913678</v>
      </c>
      <c r="S196" s="5"/>
      <c r="T196" s="27">
        <f>IF($G196&lt;&gt;0,SUMIF(куб!$G:$G,$G196,куб!L:L),IF($E196&lt;&gt;0,SUMIF(куб!$E:$E,$E196,куб!L:L),IF($D196&lt;&gt;0,SUMIF(куб!$D:$D,$D196,куб!L:L),IF($C196&lt;&gt;0,SUMIF(куб!$C:$C,$C196,куб!L:L),IF($B196&lt;&gt;0,SUMIF(куб!$B:$B,$B196,куб!L:L))))))</f>
        <v>15039.959999999997</v>
      </c>
      <c r="U196" s="27">
        <f>IF($G196&lt;&gt;0,SUMIF(куб!$G:$G,$G196,куб!M:M),IF($E196&lt;&gt;0,SUMIF(куб!$E:$E,$E196,куб!M:M),IF($D196&lt;&gt;0,SUMIF(куб!$D:$D,$D196,куб!M:M),IF($C196&lt;&gt;0,SUMIF(куб!$C:$C,$C196,куб!M:M),IF($B196&lt;&gt;0,SUMIF(куб!$B:$B,$B196,куб!M:M))))))</f>
        <v>18746.009999999998</v>
      </c>
      <c r="V196" s="13">
        <f t="shared" si="56"/>
        <v>0.24641355429136791</v>
      </c>
      <c r="W196" s="5"/>
      <c r="X196" s="27">
        <f>IF($G196&lt;&gt;0,SUMIF(куб!$G:$G,$G196,куб!N:N),IF($E196&lt;&gt;0,SUMIF(куб!$E:$E,$E196,куб!N:N),IF($D196&lt;&gt;0,SUMIF(куб!$D:$D,$D196,куб!N:N),IF($C196&lt;&gt;0,SUMIF(куб!$C:$C,$C196,куб!N:N),IF($B196&lt;&gt;0,SUMIF(куб!$B:$B,$B196,куб!N:N))))))</f>
        <v>218330.41529999976</v>
      </c>
      <c r="Y196" s="27">
        <f>IF($G196&lt;&gt;0,SUMIF(куб!$G:$G,$G196,куб!O:O),IF($E196&lt;&gt;0,SUMIF(куб!$E:$E,$E196,куб!O:O),IF($D196&lt;&gt;0,SUMIF(куб!$D:$D,$D196,куб!O:O),IF($C196&lt;&gt;0,SUMIF(куб!$C:$C,$C196,куб!O:O),IF($B196&lt;&gt;0,SUMIF(куб!$B:$B,$B196,куб!O:O))))))</f>
        <v>306309.9263000011</v>
      </c>
      <c r="Z196" s="13">
        <f t="shared" si="57"/>
        <v>0.40296497800873021</v>
      </c>
      <c r="AA196" s="5"/>
      <c r="AB196" s="33">
        <f t="shared" si="58"/>
        <v>0.14121547452251362</v>
      </c>
      <c r="AC196" s="33">
        <f t="shared" si="59"/>
        <v>0.1522959118415172</v>
      </c>
      <c r="AD196" s="15">
        <f t="shared" si="60"/>
        <v>1.1080437319003572E-2</v>
      </c>
      <c r="AE196" s="5"/>
      <c r="AF196" s="27">
        <f>IF($G196&lt;&gt;0,SUMIF(куб!$G:$G,$G196,куб!R:R),IF($E196&lt;&gt;0,SUMIF(куб!$E:$E,$E196,куб!R:R),IF($D196&lt;&gt;0,SUMIF(куб!$D:$D,$D196,куб!R:R),IF($C196&lt;&gt;0,SUMIF(куб!$C:$C,$C196,куб!R:R),IF($B196&lt;&gt;0,SUMIF(куб!$B:$B,$B196,куб!R:R))))))</f>
        <v>1149.4000000000001</v>
      </c>
      <c r="AG196" s="27">
        <f>IF($G196&lt;&gt;0,SUMIF(куб!$G:$G,$G196,куб!S:S),IF($E196&lt;&gt;0,SUMIF(куб!$E:$E,$E196,куб!S:S),IF($D196&lt;&gt;0,SUMIF(куб!$D:$D,$D196,куб!S:S),IF($C196&lt;&gt;0,SUMIF(куб!$C:$C,$C196,куб!S:S),IF($B196&lt;&gt;0,SUMIF(куб!$B:$B,$B196,куб!S:S))))))</f>
        <v>2208.2999000000004</v>
      </c>
      <c r="AH196" s="16">
        <f t="shared" si="61"/>
        <v>0.9212631807899776</v>
      </c>
      <c r="AI196" s="8"/>
      <c r="AJ196" s="27">
        <f>IF($G196&lt;&gt;0,SUMIF(куб!$G:$G,$G196,куб!T:T),IF($E196&lt;&gt;0,SUMIF(куб!$E:$E,$E196,куб!T:T),IF($D196&lt;&gt;0,SUMIF(куб!$D:$D,$D196,куб!T:T),IF($C196&lt;&gt;0,SUMIF(куб!$C:$C,$C196,куб!T:T),IF($B196&lt;&gt;0,SUMIF(куб!$B:$B,$B196,куб!T:T))))))</f>
        <v>14</v>
      </c>
      <c r="AK196" s="27">
        <f>IF($G196&lt;&gt;0,SUMIF(куб!$G:$G,$G196,куб!U:U),IF($E196&lt;&gt;0,SUMIF(куб!$E:$E,$E196,куб!U:U),IF($D196&lt;&gt;0,SUMIF(куб!$D:$D,$D196,куб!U:U),IF($C196&lt;&gt;0,SUMIF(куб!$C:$C,$C196,куб!U:U),IF($B196&lt;&gt;0,SUMIF(куб!$B:$B,$B196,куб!U:U))))))</f>
        <v>26</v>
      </c>
      <c r="AL196" s="16">
        <f t="shared" si="62"/>
        <v>0.8571428571428571</v>
      </c>
      <c r="AM196" s="8"/>
      <c r="AN196" s="17">
        <f t="shared" si="63"/>
        <v>7.4342856075800879E-4</v>
      </c>
      <c r="AO196" s="17">
        <f t="shared" si="64"/>
        <v>1.0979567360172426E-3</v>
      </c>
      <c r="AP196" s="16">
        <f t="shared" si="65"/>
        <v>3.5452817525923378E-4</v>
      </c>
      <c r="AQ196" s="8"/>
      <c r="AR196" s="17">
        <f t="shared" si="66"/>
        <v>0.14047204596175561</v>
      </c>
      <c r="AS196" s="17">
        <f t="shared" si="67"/>
        <v>0.15119795510549996</v>
      </c>
      <c r="AT196" s="13">
        <f t="shared" si="68"/>
        <v>1.0725909143744355E-2</v>
      </c>
      <c r="AU196" s="8"/>
    </row>
    <row r="197" spans="1:47" ht="15" customHeight="1" x14ac:dyDescent="0.25">
      <c r="A197" s="31" t="s">
        <v>26</v>
      </c>
      <c r="B197" s="31" t="s">
        <v>32</v>
      </c>
      <c r="C197" t="s">
        <v>33</v>
      </c>
      <c r="D197" s="31" t="s">
        <v>34</v>
      </c>
      <c r="E197" t="s">
        <v>413</v>
      </c>
      <c r="F197" s="31" t="s">
        <v>418</v>
      </c>
      <c r="G197" t="s">
        <v>419</v>
      </c>
      <c r="H197" s="27">
        <f>IF($G197&lt;&gt;0,SUMIF(куб!$G:$G,$G197,куб!H:H),IF($E197&lt;&gt;0,SUMIF(куб!$E:$E,$E197,куб!H:H),IF($D197&lt;&gt;0,SUMIF(куб!$D:$D,$D197,куб!H:H),IF($C197&lt;&gt;0,SUMIF(куб!$C:$C,$C197,куб!H:H),IF($B197&lt;&gt;0,SUMIF(куб!$B:$B,$B197,куб!H:H),IF($G197&lt;&gt;0,SUMIF(куб!$A:$A,$G197,куб!H:H),SUMIF(куб!$A:$A,$G197,куб!H:H)))))))</f>
        <v>854943.46140000015</v>
      </c>
      <c r="I197" s="27">
        <f>IF($G197&lt;&gt;0,SUMIF(куб!$G:$G,$G197,куб!I:I),IF($E197&lt;&gt;0,SUMIF(куб!$E:$E,$E197,куб!I:I),IF($D197&lt;&gt;0,SUMIF(куб!$D:$D,$D197,куб!I:I),IF($C197&lt;&gt;0,SUMIF(куб!$C:$C,$C197,куб!I:I),IF($B197&lt;&gt;0,SUMIF(куб!$B:$B,$B197,куб!I:I),IF($G197&lt;&gt;0,SUMIF(куб!$A:$A,$G197,куб!I:I),SUMIF(куб!$A:$A,$G197,куб!I:I)))))))</f>
        <v>985251.69459999993</v>
      </c>
      <c r="J197" s="19">
        <f t="shared" si="69"/>
        <v>0.15241736919844437</v>
      </c>
      <c r="K197" s="5"/>
      <c r="L197" s="17">
        <f t="shared" ref="L197:L260" si="70">H197/$H$3</f>
        <v>1.7858845837886482E-3</v>
      </c>
      <c r="M197" s="17">
        <f t="shared" ref="M197:M260" si="71">I197/$I$3</f>
        <v>2.1007290511429154E-3</v>
      </c>
      <c r="N197" s="12">
        <f t="shared" ref="N197:N260" si="72">M197-L197</f>
        <v>3.1484446735426715E-4</v>
      </c>
      <c r="O197" s="5"/>
      <c r="P197" s="27">
        <f>IF($G197&lt;&gt;0,SUMIF(куб!$G:$G,$G197,куб!J:J),IF($E197&lt;&gt;0,SUMIF(куб!$E:$E,$E197,куб!J:J),IF($D197&lt;&gt;0,SUMIF(куб!$D:$D,$D197,куб!J:J),IF($C197&lt;&gt;0,SUMIF(куб!$C:$C,$C197,куб!J:J),IF($B197&lt;&gt;0,SUMIF(куб!$B:$B,$B197,куб!J:J))))))</f>
        <v>10255</v>
      </c>
      <c r="Q197" s="27">
        <f>IF($G197&lt;&gt;0,SUMIF(куб!$G:$G,$G197,куб!K:K),IF($E197&lt;&gt;0,SUMIF(куб!$E:$E,$E197,куб!K:K),IF($D197&lt;&gt;0,SUMIF(куб!$D:$D,$D197,куб!K:K),IF($C197&lt;&gt;0,SUMIF(куб!$C:$C,$C197,куб!K:K),IF($B197&lt;&gt;0,SUMIF(куб!$B:$B,$B197,куб!K:K))))))</f>
        <v>12306</v>
      </c>
      <c r="R197" s="13">
        <f t="shared" ref="R197:R260" si="73">IFERROR((Q197-P197)/ABS(P197),"-")</f>
        <v>0.2</v>
      </c>
      <c r="S197" s="5"/>
      <c r="T197" s="27">
        <f>IF($G197&lt;&gt;0,SUMIF(куб!$G:$G,$G197,куб!L:L),IF($E197&lt;&gt;0,SUMIF(куб!$E:$E,$E197,куб!L:L),IF($D197&lt;&gt;0,SUMIF(куб!$D:$D,$D197,куб!L:L),IF($C197&lt;&gt;0,SUMIF(куб!$C:$C,$C197,куб!L:L),IF($B197&lt;&gt;0,SUMIF(куб!$B:$B,$B197,куб!L:L))))))</f>
        <v>9229.5000000000018</v>
      </c>
      <c r="U197" s="27">
        <f>IF($G197&lt;&gt;0,SUMIF(куб!$G:$G,$G197,куб!M:M),IF($E197&lt;&gt;0,SUMIF(куб!$E:$E,$E197,куб!M:M),IF($D197&lt;&gt;0,SUMIF(куб!$D:$D,$D197,куб!M:M),IF($C197&lt;&gt;0,SUMIF(куб!$C:$C,$C197,куб!M:M),IF($B197&lt;&gt;0,SUMIF(куб!$B:$B,$B197,куб!M:M))))))</f>
        <v>11075.4</v>
      </c>
      <c r="V197" s="13">
        <f t="shared" ref="V197:V260" si="74">IFERROR((U197-T197)/ABS(T197),"-")</f>
        <v>0.19999999999999973</v>
      </c>
      <c r="W197" s="5"/>
      <c r="X197" s="27">
        <f>IF($G197&lt;&gt;0,SUMIF(куб!$G:$G,$G197,куб!N:N),IF($E197&lt;&gt;0,SUMIF(куб!$E:$E,$E197,куб!N:N),IF($D197&lt;&gt;0,SUMIF(куб!$D:$D,$D197,куб!N:N),IF($C197&lt;&gt;0,SUMIF(куб!$C:$C,$C197,куб!N:N),IF($B197&lt;&gt;0,SUMIF(куб!$B:$B,$B197,куб!N:N))))))</f>
        <v>121953.74060000014</v>
      </c>
      <c r="Y197" s="27">
        <f>IF($G197&lt;&gt;0,SUMIF(куб!$G:$G,$G197,куб!O:O),IF($E197&lt;&gt;0,SUMIF(куб!$E:$E,$E197,куб!O:O),IF($D197&lt;&gt;0,SUMIF(куб!$D:$D,$D197,куб!O:O),IF($C197&lt;&gt;0,SUMIF(куб!$C:$C,$C197,куб!O:O),IF($B197&lt;&gt;0,SUMIF(куб!$B:$B,$B197,куб!O:O))))))</f>
        <v>194823.0392</v>
      </c>
      <c r="Z197" s="13">
        <f t="shared" ref="Z197:Z260" si="75">IFERROR((Y197-X197)/ABS(X197),"-")</f>
        <v>0.59751589612167899</v>
      </c>
      <c r="AA197" s="5"/>
      <c r="AB197" s="33">
        <f t="shared" ref="AB197:AB260" si="76">IFERROR(X197/H197,"")</f>
        <v>0.14264538663211315</v>
      </c>
      <c r="AC197" s="33">
        <f t="shared" ref="AC197:AC260" si="77">IFERROR(Y197/I197,"")</f>
        <v>0.19773935966595393</v>
      </c>
      <c r="AD197" s="15">
        <f t="shared" ref="AD197:AD260" si="78">IFERROR(AC197-AB197," ")</f>
        <v>5.5093973033840782E-2</v>
      </c>
      <c r="AE197" s="5"/>
      <c r="AF197" s="27">
        <f>IF($G197&lt;&gt;0,SUMIF(куб!$G:$G,$G197,куб!R:R),IF($E197&lt;&gt;0,SUMIF(куб!$E:$E,$E197,куб!R:R),IF($D197&lt;&gt;0,SUMIF(куб!$D:$D,$D197,куб!R:R),IF($C197&lt;&gt;0,SUMIF(куб!$C:$C,$C197,куб!R:R),IF($B197&lt;&gt;0,SUMIF(куб!$B:$B,$B197,куб!R:R))))))</f>
        <v>9277.2698999999993</v>
      </c>
      <c r="AG197" s="27">
        <f>IF($G197&lt;&gt;0,SUMIF(куб!$G:$G,$G197,куб!S:S),IF($E197&lt;&gt;0,SUMIF(куб!$E:$E,$E197,куб!S:S),IF($D197&lt;&gt;0,SUMIF(куб!$D:$D,$D197,куб!S:S),IF($C197&lt;&gt;0,SUMIF(куб!$C:$C,$C197,куб!S:S),IF($B197&lt;&gt;0,SUMIF(куб!$B:$B,$B197,куб!S:S))))))</f>
        <v>5296.9150999999974</v>
      </c>
      <c r="AH197" s="16">
        <f t="shared" ref="AH197:AH260" si="79">IFERROR((AG197-AF197)/ABS(AF197),"-")</f>
        <v>-0.42904376426517482</v>
      </c>
      <c r="AI197" s="8"/>
      <c r="AJ197" s="27">
        <f>IF($G197&lt;&gt;0,SUMIF(куб!$G:$G,$G197,куб!T:T),IF($E197&lt;&gt;0,SUMIF(куб!$E:$E,$E197,куб!T:T),IF($D197&lt;&gt;0,SUMIF(куб!$D:$D,$D197,куб!T:T),IF($C197&lt;&gt;0,SUMIF(куб!$C:$C,$C197,куб!T:T),IF($B197&lt;&gt;0,SUMIF(куб!$B:$B,$B197,куб!T:T))))))</f>
        <v>130</v>
      </c>
      <c r="AK197" s="27">
        <f>IF($G197&lt;&gt;0,SUMIF(куб!$G:$G,$G197,куб!U:U),IF($E197&lt;&gt;0,SUMIF(куб!$E:$E,$E197,куб!U:U),IF($D197&lt;&gt;0,SUMIF(куб!$D:$D,$D197,куб!U:U),IF($C197&lt;&gt;0,SUMIF(куб!$C:$C,$C197,куб!U:U),IF($B197&lt;&gt;0,SUMIF(куб!$B:$B,$B197,куб!U:U))))))</f>
        <v>82</v>
      </c>
      <c r="AL197" s="16">
        <f t="shared" ref="AL197:AL260" si="80">IFERROR((AK197-AJ197)/ABS(AJ197),"-")</f>
        <v>-0.36923076923076925</v>
      </c>
      <c r="AM197" s="8"/>
      <c r="AN197" s="17">
        <f t="shared" ref="AN197:AN260" si="81">IFERROR(AF197/H197," ")</f>
        <v>1.085132563597614E-2</v>
      </c>
      <c r="AO197" s="17">
        <f t="shared" ref="AO197:AO260" si="82">IFERROR(AG197/I197," ")</f>
        <v>5.3762050134310907E-3</v>
      </c>
      <c r="AP197" s="16">
        <f t="shared" ref="AP197:AP260" si="83">IFERROR(AO197-AN197,"-")</f>
        <v>-5.4751206225450494E-3</v>
      </c>
      <c r="AQ197" s="8"/>
      <c r="AR197" s="17">
        <f t="shared" ref="AR197:AR260" si="84">IFERROR((X197-AF197)/H197,"-")</f>
        <v>0.13179406099613702</v>
      </c>
      <c r="AS197" s="17">
        <f t="shared" ref="AS197:AS260" si="85">IFERROR((Y197-AG197)/I197,"-")</f>
        <v>0.19236315465252288</v>
      </c>
      <c r="AT197" s="13">
        <f t="shared" ref="AT197:AT260" si="86">IFERROR(AS197-AR197,"-")</f>
        <v>6.0569093656385853E-2</v>
      </c>
      <c r="AU197" s="8"/>
    </row>
    <row r="198" spans="1:47" ht="15" customHeight="1" x14ac:dyDescent="0.25">
      <c r="A198" s="31" t="s">
        <v>26</v>
      </c>
      <c r="B198" s="31" t="s">
        <v>32</v>
      </c>
      <c r="C198" t="s">
        <v>33</v>
      </c>
      <c r="D198" s="31" t="s">
        <v>34</v>
      </c>
      <c r="E198" t="s">
        <v>413</v>
      </c>
      <c r="F198" s="46" t="s">
        <v>420</v>
      </c>
      <c r="G198" t="s">
        <v>421</v>
      </c>
      <c r="H198" s="27">
        <f>IF($G198&lt;&gt;0,SUMIF(куб!$G:$G,$G198,куб!H:H),IF($E198&lt;&gt;0,SUMIF(куб!$E:$E,$E198,куб!H:H),IF($D198&lt;&gt;0,SUMIF(куб!$D:$D,$D198,куб!H:H),IF($C198&lt;&gt;0,SUMIF(куб!$C:$C,$C198,куб!H:H),IF($B198&lt;&gt;0,SUMIF(куб!$B:$B,$B198,куб!H:H),IF($G198&lt;&gt;0,SUMIF(куб!$A:$A,$G198,куб!H:H),SUMIF(куб!$A:$A,$G198,куб!H:H)))))))</f>
        <v>8003767.4909999808</v>
      </c>
      <c r="I198" s="27">
        <f>IF($G198&lt;&gt;0,SUMIF(куб!$G:$G,$G198,куб!I:I),IF($E198&lt;&gt;0,SUMIF(куб!$E:$E,$E198,куб!I:I),IF($D198&lt;&gt;0,SUMIF(куб!$D:$D,$D198,куб!I:I),IF($C198&lt;&gt;0,SUMIF(куб!$C:$C,$C198,куб!I:I),IF($B198&lt;&gt;0,SUMIF(куб!$B:$B,$B198,куб!I:I),IF($G198&lt;&gt;0,SUMIF(куб!$A:$A,$G198,куб!I:I),SUMIF(куб!$A:$A,$G198,куб!I:I)))))))</f>
        <v>3593017.0954999956</v>
      </c>
      <c r="J198" s="19">
        <f t="shared" si="69"/>
        <v>-0.55108427380727321</v>
      </c>
      <c r="K198" s="8"/>
      <c r="L198" s="17">
        <f t="shared" si="70"/>
        <v>1.6719006132872229E-2</v>
      </c>
      <c r="M198" s="17">
        <f t="shared" si="71"/>
        <v>7.6609412956496941E-3</v>
      </c>
      <c r="N198" s="12">
        <f t="shared" si="72"/>
        <v>-9.0580648372225354E-3</v>
      </c>
      <c r="O198" s="5"/>
      <c r="P198" s="27">
        <f>IF($G198&lt;&gt;0,SUMIF(куб!$G:$G,$G198,куб!J:J),IF($E198&lt;&gt;0,SUMIF(куб!$E:$E,$E198,куб!J:J),IF($D198&lt;&gt;0,SUMIF(куб!$D:$D,$D198,куб!J:J),IF($C198&lt;&gt;0,SUMIF(куб!$C:$C,$C198,куб!J:J),IF($B198&lt;&gt;0,SUMIF(куб!$B:$B,$B198,куб!J:J))))))</f>
        <v>113491</v>
      </c>
      <c r="Q198" s="27">
        <f>IF($G198&lt;&gt;0,SUMIF(куб!$G:$G,$G198,куб!K:K),IF($E198&lt;&gt;0,SUMIF(куб!$E:$E,$E198,куб!K:K),IF($D198&lt;&gt;0,SUMIF(куб!$D:$D,$D198,куб!K:K),IF($C198&lt;&gt;0,SUMIF(куб!$C:$C,$C198,куб!K:K),IF($B198&lt;&gt;0,SUMIF(куб!$B:$B,$B198,куб!K:K))))))</f>
        <v>51887</v>
      </c>
      <c r="R198" s="13">
        <f t="shared" si="73"/>
        <v>-0.54280956199169983</v>
      </c>
      <c r="S198" s="5"/>
      <c r="T198" s="27">
        <f>IF($G198&lt;&gt;0,SUMIF(куб!$G:$G,$G198,куб!L:L),IF($E198&lt;&gt;0,SUMIF(куб!$E:$E,$E198,куб!L:L),IF($D198&lt;&gt;0,SUMIF(куб!$D:$D,$D198,куб!L:L),IF($C198&lt;&gt;0,SUMIF(куб!$C:$C,$C198,куб!L:L),IF($B198&lt;&gt;0,SUMIF(куб!$B:$B,$B198,куб!L:L))))))</f>
        <v>102141.89999999988</v>
      </c>
      <c r="U198" s="27">
        <f>IF($G198&lt;&gt;0,SUMIF(куб!$G:$G,$G198,куб!M:M),IF($E198&lt;&gt;0,SUMIF(куб!$E:$E,$E198,куб!M:M),IF($D198&lt;&gt;0,SUMIF(куб!$D:$D,$D198,куб!M:M),IF($C198&lt;&gt;0,SUMIF(куб!$C:$C,$C198,куб!M:M),IF($B198&lt;&gt;0,SUMIF(куб!$B:$B,$B198,куб!M:M))))))</f>
        <v>46698.299999999974</v>
      </c>
      <c r="V198" s="13">
        <f t="shared" si="74"/>
        <v>-0.5428095619916995</v>
      </c>
      <c r="W198" s="5"/>
      <c r="X198" s="27">
        <f>IF($G198&lt;&gt;0,SUMIF(куб!$G:$G,$G198,куб!N:N),IF($E198&lt;&gt;0,SUMIF(куб!$E:$E,$E198,куб!N:N),IF($D198&lt;&gt;0,SUMIF(куб!$D:$D,$D198,куб!N:N),IF($C198&lt;&gt;0,SUMIF(куб!$C:$C,$C198,куб!N:N),IF($B198&lt;&gt;0,SUMIF(куб!$B:$B,$B198,куб!N:N))))))</f>
        <v>975396.51440001465</v>
      </c>
      <c r="Y198" s="27">
        <f>IF($G198&lt;&gt;0,SUMIF(куб!$G:$G,$G198,куб!O:O),IF($E198&lt;&gt;0,SUMIF(куб!$E:$E,$E198,куб!O:O),IF($D198&lt;&gt;0,SUMIF(куб!$D:$D,$D198,куб!O:O),IF($C198&lt;&gt;0,SUMIF(куб!$C:$C,$C198,куб!O:O),IF($B198&lt;&gt;0,SUMIF(куб!$B:$B,$B198,куб!O:O))))))</f>
        <v>424618.76399999484</v>
      </c>
      <c r="Z198" s="13">
        <f t="shared" si="75"/>
        <v>-0.56467061576369681</v>
      </c>
      <c r="AA198" s="5"/>
      <c r="AB198" s="33">
        <f t="shared" si="76"/>
        <v>0.12186717261549908</v>
      </c>
      <c r="AC198" s="33">
        <f t="shared" si="77"/>
        <v>0.11817888774640131</v>
      </c>
      <c r="AD198" s="15">
        <f t="shared" si="78"/>
        <v>-3.688284869097766E-3</v>
      </c>
      <c r="AE198" s="5"/>
      <c r="AF198" s="27">
        <f>IF($G198&lt;&gt;0,SUMIF(куб!$G:$G,$G198,куб!R:R),IF($E198&lt;&gt;0,SUMIF(куб!$E:$E,$E198,куб!R:R),IF($D198&lt;&gt;0,SUMIF(куб!$D:$D,$D198,куб!R:R),IF($C198&lt;&gt;0,SUMIF(куб!$C:$C,$C198,куб!R:R),IF($B198&lt;&gt;0,SUMIF(куб!$B:$B,$B198,куб!R:R))))))</f>
        <v>69500.49069999998</v>
      </c>
      <c r="AG198" s="27">
        <f>IF($G198&lt;&gt;0,SUMIF(куб!$G:$G,$G198,куб!S:S),IF($E198&lt;&gt;0,SUMIF(куб!$E:$E,$E198,куб!S:S),IF($D198&lt;&gt;0,SUMIF(куб!$D:$D,$D198,куб!S:S),IF($C198&lt;&gt;0,SUMIF(куб!$C:$C,$C198,куб!S:S),IF($B198&lt;&gt;0,SUMIF(куб!$B:$B,$B198,куб!S:S))))))</f>
        <v>78453.871799999979</v>
      </c>
      <c r="AH198" s="16">
        <f t="shared" si="79"/>
        <v>0.1288247177800142</v>
      </c>
      <c r="AI198" s="8"/>
      <c r="AJ198" s="27">
        <f>IF($G198&lt;&gt;0,SUMIF(куб!$G:$G,$G198,куб!T:T),IF($E198&lt;&gt;0,SUMIF(куб!$E:$E,$E198,куб!T:T),IF($D198&lt;&gt;0,SUMIF(куб!$D:$D,$D198,куб!T:T),IF($C198&lt;&gt;0,SUMIF(куб!$C:$C,$C198,куб!T:T),IF($B198&lt;&gt;0,SUMIF(куб!$B:$B,$B198,куб!T:T))))))</f>
        <v>1127.6667</v>
      </c>
      <c r="AK198" s="27">
        <f>IF($G198&lt;&gt;0,SUMIF(куб!$G:$G,$G198,куб!U:U),IF($E198&lt;&gt;0,SUMIF(куб!$E:$E,$E198,куб!U:U),IF($D198&lt;&gt;0,SUMIF(куб!$D:$D,$D198,куб!U:U),IF($C198&lt;&gt;0,SUMIF(куб!$C:$C,$C198,куб!U:U),IF($B198&lt;&gt;0,SUMIF(куб!$B:$B,$B198,куб!U:U))))))</f>
        <v>1285</v>
      </c>
      <c r="AL198" s="16">
        <f t="shared" si="80"/>
        <v>0.13952110140345547</v>
      </c>
      <c r="AM198" s="8"/>
      <c r="AN198" s="17">
        <f t="shared" si="81"/>
        <v>8.6834719746858458E-3</v>
      </c>
      <c r="AO198" s="17">
        <f t="shared" si="82"/>
        <v>2.1835095607604542E-2</v>
      </c>
      <c r="AP198" s="16">
        <f t="shared" si="83"/>
        <v>1.3151623632918696E-2</v>
      </c>
      <c r="AQ198" s="8"/>
      <c r="AR198" s="17">
        <f t="shared" si="84"/>
        <v>0.11318370064081323</v>
      </c>
      <c r="AS198" s="17">
        <f t="shared" si="85"/>
        <v>9.6343792138796763E-2</v>
      </c>
      <c r="AT198" s="13">
        <f t="shared" si="86"/>
        <v>-1.6839908502016471E-2</v>
      </c>
      <c r="AU198" s="8"/>
    </row>
    <row r="199" spans="1:47" x14ac:dyDescent="0.25">
      <c r="A199" s="31" t="s">
        <v>26</v>
      </c>
      <c r="B199" s="31" t="s">
        <v>32</v>
      </c>
      <c r="C199" t="s">
        <v>33</v>
      </c>
      <c r="D199" s="31" t="s">
        <v>34</v>
      </c>
      <c r="E199" t="s">
        <v>413</v>
      </c>
      <c r="F199" s="31" t="s">
        <v>422</v>
      </c>
      <c r="G199" t="s">
        <v>423</v>
      </c>
      <c r="H199" s="27">
        <f>IF($G199&lt;&gt;0,SUMIF(куб!$G:$G,$G199,куб!H:H),IF($E199&lt;&gt;0,SUMIF(куб!$E:$E,$E199,куб!H:H),IF($D199&lt;&gt;0,SUMIF(куб!$D:$D,$D199,куб!H:H),IF($C199&lt;&gt;0,SUMIF(куб!$C:$C,$C199,куб!H:H),IF($B199&lt;&gt;0,SUMIF(куб!$B:$B,$B199,куб!H:H),IF($G199&lt;&gt;0,SUMIF(куб!$A:$A,$G199,куб!H:H),SUMIF(куб!$A:$A,$G199,куб!H:H)))))))</f>
        <v>99231.431400000001</v>
      </c>
      <c r="I199" s="27">
        <f>IF($G199&lt;&gt;0,SUMIF(куб!$G:$G,$G199,куб!I:I),IF($E199&lt;&gt;0,SUMIF(куб!$E:$E,$E199,куб!I:I),IF($D199&lt;&gt;0,SUMIF(куб!$D:$D,$D199,куб!I:I),IF($C199&lt;&gt;0,SUMIF(куб!$C:$C,$C199,куб!I:I),IF($B199&lt;&gt;0,SUMIF(куб!$B:$B,$B199,куб!I:I),IF($G199&lt;&gt;0,SUMIF(куб!$A:$A,$G199,куб!I:I),SUMIF(куб!$A:$A,$G199,куб!I:I)))))))</f>
        <v>121440.2221</v>
      </c>
      <c r="J199" s="19">
        <f t="shared" si="69"/>
        <v>0.22380802520601348</v>
      </c>
      <c r="K199" s="10"/>
      <c r="L199" s="17">
        <f t="shared" si="70"/>
        <v>2.072837463127018E-4</v>
      </c>
      <c r="M199" s="17">
        <f t="shared" si="71"/>
        <v>2.5893180792375156E-4</v>
      </c>
      <c r="N199" s="12">
        <f t="shared" si="72"/>
        <v>5.1648061611049762E-5</v>
      </c>
      <c r="O199" s="5"/>
      <c r="P199" s="27">
        <f>IF($G199&lt;&gt;0,SUMIF(куб!$G:$G,$G199,куб!J:J),IF($E199&lt;&gt;0,SUMIF(куб!$E:$E,$E199,куб!J:J),IF($D199&lt;&gt;0,SUMIF(куб!$D:$D,$D199,куб!J:J),IF($C199&lt;&gt;0,SUMIF(куб!$C:$C,$C199,куб!J:J),IF($B199&lt;&gt;0,SUMIF(куб!$B:$B,$B199,куб!J:J))))))</f>
        <v>1012</v>
      </c>
      <c r="Q199" s="27">
        <f>IF($G199&lt;&gt;0,SUMIF(куб!$G:$G,$G199,куб!K:K),IF($E199&lt;&gt;0,SUMIF(куб!$E:$E,$E199,куб!K:K),IF($D199&lt;&gt;0,SUMIF(куб!$D:$D,$D199,куб!K:K),IF($C199&lt;&gt;0,SUMIF(куб!$C:$C,$C199,куб!K:K),IF($B199&lt;&gt;0,SUMIF(куб!$B:$B,$B199,куб!K:K))))))</f>
        <v>1448</v>
      </c>
      <c r="R199" s="13">
        <f t="shared" si="73"/>
        <v>0.43083003952569171</v>
      </c>
      <c r="S199" s="5"/>
      <c r="T199" s="27">
        <f>IF($G199&lt;&gt;0,SUMIF(куб!$G:$G,$G199,куб!L:L),IF($E199&lt;&gt;0,SUMIF(куб!$E:$E,$E199,куб!L:L),IF($D199&lt;&gt;0,SUMIF(куб!$D:$D,$D199,куб!L:L),IF($C199&lt;&gt;0,SUMIF(куб!$C:$C,$C199,куб!L:L),IF($B199&lt;&gt;0,SUMIF(куб!$B:$B,$B199,куб!L:L))))))</f>
        <v>961.4</v>
      </c>
      <c r="U199" s="27">
        <f>IF($G199&lt;&gt;0,SUMIF(куб!$G:$G,$G199,куб!M:M),IF($E199&lt;&gt;0,SUMIF(куб!$E:$E,$E199,куб!M:M),IF($D199&lt;&gt;0,SUMIF(куб!$D:$D,$D199,куб!M:M),IF($C199&lt;&gt;0,SUMIF(куб!$C:$C,$C199,куб!M:M),IF($B199&lt;&gt;0,SUMIF(куб!$B:$B,$B199,куб!M:M))))))</f>
        <v>1375.6</v>
      </c>
      <c r="V199" s="13">
        <f t="shared" si="74"/>
        <v>0.43083003952569165</v>
      </c>
      <c r="W199" s="5"/>
      <c r="X199" s="27">
        <f>IF($G199&lt;&gt;0,SUMIF(куб!$G:$G,$G199,куб!N:N),IF($E199&lt;&gt;0,SUMIF(куб!$E:$E,$E199,куб!N:N),IF($D199&lt;&gt;0,SUMIF(куб!$D:$D,$D199,куб!N:N),IF($C199&lt;&gt;0,SUMIF(куб!$C:$C,$C199,куб!N:N),IF($B199&lt;&gt;0,SUMIF(куб!$B:$B,$B199,куб!N:N))))))</f>
        <v>10561.841400000005</v>
      </c>
      <c r="Y199" s="27">
        <f>IF($G199&lt;&gt;0,SUMIF(куб!$G:$G,$G199,куб!O:O),IF($E199&lt;&gt;0,SUMIF(куб!$E:$E,$E199,куб!O:O),IF($D199&lt;&gt;0,SUMIF(куб!$D:$D,$D199,куб!O:O),IF($C199&lt;&gt;0,SUMIF(куб!$C:$C,$C199,куб!O:O),IF($B199&lt;&gt;0,SUMIF(куб!$B:$B,$B199,куб!O:O))))))</f>
        <v>11112.142099999997</v>
      </c>
      <c r="Z199" s="13">
        <f t="shared" si="75"/>
        <v>5.2102723299745086E-2</v>
      </c>
      <c r="AA199" s="5"/>
      <c r="AB199" s="33">
        <f t="shared" si="76"/>
        <v>0.10643645114243515</v>
      </c>
      <c r="AC199" s="33">
        <f t="shared" si="77"/>
        <v>9.1502979061168874E-2</v>
      </c>
      <c r="AD199" s="15">
        <f t="shared" si="78"/>
        <v>-1.4933472081266275E-2</v>
      </c>
      <c r="AE199" s="5"/>
      <c r="AF199" s="27">
        <f>IF($G199&lt;&gt;0,SUMIF(куб!$G:$G,$G199,куб!R:R),IF($E199&lt;&gt;0,SUMIF(куб!$E:$E,$E199,куб!R:R),IF($D199&lt;&gt;0,SUMIF(куб!$D:$D,$D199,куб!R:R),IF($C199&lt;&gt;0,SUMIF(куб!$C:$C,$C199,куб!R:R),IF($B199&lt;&gt;0,SUMIF(куб!$B:$B,$B199,куб!R:R))))))</f>
        <v>175.2363</v>
      </c>
      <c r="AG199" s="27">
        <f>IF($G199&lt;&gt;0,SUMIF(куб!$G:$G,$G199,куб!S:S),IF($E199&lt;&gt;0,SUMIF(куб!$E:$E,$E199,куб!S:S),IF($D199&lt;&gt;0,SUMIF(куб!$D:$D,$D199,куб!S:S),IF($C199&lt;&gt;0,SUMIF(куб!$C:$C,$C199,куб!S:S),IF($B199&lt;&gt;0,SUMIF(куб!$B:$B,$B199,куб!S:S))))))</f>
        <v>68.454499999999996</v>
      </c>
      <c r="AH199" s="16">
        <f t="shared" si="79"/>
        <v>-0.60935890566052808</v>
      </c>
      <c r="AI199" s="8"/>
      <c r="AJ199" s="27">
        <f>IF($G199&lt;&gt;0,SUMIF(куб!$G:$G,$G199,куб!T:T),IF($E199&lt;&gt;0,SUMIF(куб!$E:$E,$E199,куб!T:T),IF($D199&lt;&gt;0,SUMIF(куб!$D:$D,$D199,куб!T:T),IF($C199&lt;&gt;0,SUMIF(куб!$C:$C,$C199,куб!T:T),IF($B199&lt;&gt;0,SUMIF(куб!$B:$B,$B199,куб!T:T))))))</f>
        <v>2</v>
      </c>
      <c r="AK199" s="27">
        <f>IF($G199&lt;&gt;0,SUMIF(куб!$G:$G,$G199,куб!U:U),IF($E199&lt;&gt;0,SUMIF(куб!$E:$E,$E199,куб!U:U),IF($D199&lt;&gt;0,SUMIF(куб!$D:$D,$D199,куб!U:U),IF($C199&lt;&gt;0,SUMIF(куб!$C:$C,$C199,куб!U:U),IF($B199&lt;&gt;0,SUMIF(куб!$B:$B,$B199,куб!U:U))))))</f>
        <v>1</v>
      </c>
      <c r="AL199" s="16">
        <f t="shared" si="80"/>
        <v>-0.5</v>
      </c>
      <c r="AM199" s="8"/>
      <c r="AN199" s="17">
        <f t="shared" si="81"/>
        <v>1.7659354251741651E-3</v>
      </c>
      <c r="AO199" s="17">
        <f t="shared" si="82"/>
        <v>5.636888570874904E-4</v>
      </c>
      <c r="AP199" s="16">
        <f t="shared" si="83"/>
        <v>-1.2022465680866746E-3</v>
      </c>
      <c r="AQ199" s="8"/>
      <c r="AR199" s="17">
        <f t="shared" si="84"/>
        <v>0.10467051571726098</v>
      </c>
      <c r="AS199" s="17">
        <f t="shared" si="85"/>
        <v>9.0939290204081383E-2</v>
      </c>
      <c r="AT199" s="13">
        <f t="shared" si="86"/>
        <v>-1.3731225513179596E-2</v>
      </c>
      <c r="AU199" s="8"/>
    </row>
    <row r="200" spans="1:47" ht="15" customHeight="1" x14ac:dyDescent="0.25">
      <c r="A200" s="31" t="s">
        <v>26</v>
      </c>
      <c r="B200" s="31" t="s">
        <v>32</v>
      </c>
      <c r="C200" t="s">
        <v>33</v>
      </c>
      <c r="D200" s="31" t="s">
        <v>34</v>
      </c>
      <c r="E200" t="s">
        <v>413</v>
      </c>
      <c r="F200" s="31" t="s">
        <v>424</v>
      </c>
      <c r="G200" t="s">
        <v>425</v>
      </c>
      <c r="H200" s="27">
        <f>IF($G200&lt;&gt;0,SUMIF(куб!$G:$G,$G200,куб!H:H),IF($E200&lt;&gt;0,SUMIF(куб!$E:$E,$E200,куб!H:H),IF($D200&lt;&gt;0,SUMIF(куб!$D:$D,$D200,куб!H:H),IF($C200&lt;&gt;0,SUMIF(куб!$C:$C,$C200,куб!H:H),IF($B200&lt;&gt;0,SUMIF(куб!$B:$B,$B200,куб!H:H),IF($G200&lt;&gt;0,SUMIF(куб!$A:$A,$G200,куб!H:H),SUMIF(куб!$A:$A,$G200,куб!H:H)))))))</f>
        <v>0</v>
      </c>
      <c r="I200" s="27">
        <f>IF($G200&lt;&gt;0,SUMIF(куб!$G:$G,$G200,куб!I:I),IF($E200&lt;&gt;0,SUMIF(куб!$E:$E,$E200,куб!I:I),IF($D200&lt;&gt;0,SUMIF(куб!$D:$D,$D200,куб!I:I),IF($C200&lt;&gt;0,SUMIF(куб!$C:$C,$C200,куб!I:I),IF($B200&lt;&gt;0,SUMIF(куб!$B:$B,$B200,куб!I:I),IF($G200&lt;&gt;0,SUMIF(куб!$A:$A,$G200,куб!I:I),SUMIF(куб!$A:$A,$G200,куб!I:I)))))))</f>
        <v>6675869.0593999922</v>
      </c>
      <c r="J200" s="19" t="str">
        <f t="shared" si="69"/>
        <v>-</v>
      </c>
      <c r="K200" s="5"/>
      <c r="L200" s="17">
        <f t="shared" si="70"/>
        <v>0</v>
      </c>
      <c r="M200" s="17">
        <f t="shared" si="71"/>
        <v>1.4234121241883621E-2</v>
      </c>
      <c r="N200" s="12">
        <f t="shared" si="72"/>
        <v>1.4234121241883621E-2</v>
      </c>
      <c r="O200" s="5"/>
      <c r="P200" s="27">
        <f>IF($G200&lt;&gt;0,SUMIF(куб!$G:$G,$G200,куб!J:J),IF($E200&lt;&gt;0,SUMIF(куб!$E:$E,$E200,куб!J:J),IF($D200&lt;&gt;0,SUMIF(куб!$D:$D,$D200,куб!J:J),IF($C200&lt;&gt;0,SUMIF(куб!$C:$C,$C200,куб!J:J),IF($B200&lt;&gt;0,SUMIF(куб!$B:$B,$B200,куб!J:J))))))</f>
        <v>0</v>
      </c>
      <c r="Q200" s="27">
        <f>IF($G200&lt;&gt;0,SUMIF(куб!$G:$G,$G200,куб!K:K),IF($E200&lt;&gt;0,SUMIF(куб!$E:$E,$E200,куб!K:K),IF($D200&lt;&gt;0,SUMIF(куб!$D:$D,$D200,куб!K:K),IF($C200&lt;&gt;0,SUMIF(куб!$C:$C,$C200,куб!K:K),IF($B200&lt;&gt;0,SUMIF(куб!$B:$B,$B200,куб!K:K))))))</f>
        <v>82519</v>
      </c>
      <c r="R200" s="13" t="str">
        <f t="shared" si="73"/>
        <v>-</v>
      </c>
      <c r="S200" s="5"/>
      <c r="T200" s="27">
        <f>IF($G200&lt;&gt;0,SUMIF(куб!$G:$G,$G200,куб!L:L),IF($E200&lt;&gt;0,SUMIF(куб!$E:$E,$E200,куб!L:L),IF($D200&lt;&gt;0,SUMIF(куб!$D:$D,$D200,куб!L:L),IF($C200&lt;&gt;0,SUMIF(куб!$C:$C,$C200,куб!L:L),IF($B200&lt;&gt;0,SUMIF(куб!$B:$B,$B200,куб!L:L))))))</f>
        <v>0</v>
      </c>
      <c r="U200" s="27">
        <f>IF($G200&lt;&gt;0,SUMIF(куб!$G:$G,$G200,куб!M:M),IF($E200&lt;&gt;0,SUMIF(куб!$E:$E,$E200,куб!M:M),IF($D200&lt;&gt;0,SUMIF(куб!$D:$D,$D200,куб!M:M),IF($C200&lt;&gt;0,SUMIF(куб!$C:$C,$C200,куб!M:M),IF($B200&lt;&gt;0,SUMIF(куб!$B:$B,$B200,куб!M:M))))))</f>
        <v>73689.467000000848</v>
      </c>
      <c r="V200" s="13" t="str">
        <f t="shared" si="74"/>
        <v>-</v>
      </c>
      <c r="W200" s="5"/>
      <c r="X200" s="27">
        <f>IF($G200&lt;&gt;0,SUMIF(куб!$G:$G,$G200,куб!N:N),IF($E200&lt;&gt;0,SUMIF(куб!$E:$E,$E200,куб!N:N),IF($D200&lt;&gt;0,SUMIF(куб!$D:$D,$D200,куб!N:N),IF($C200&lt;&gt;0,SUMIF(куб!$C:$C,$C200,куб!N:N),IF($B200&lt;&gt;0,SUMIF(куб!$B:$B,$B200,куб!N:N))))))</f>
        <v>0</v>
      </c>
      <c r="Y200" s="27">
        <f>IF($G200&lt;&gt;0,SUMIF(куб!$G:$G,$G200,куб!O:O),IF($E200&lt;&gt;0,SUMIF(куб!$E:$E,$E200,куб!O:O),IF($D200&lt;&gt;0,SUMIF(куб!$D:$D,$D200,куб!O:O),IF($C200&lt;&gt;0,SUMIF(куб!$C:$C,$C200,куб!O:O),IF($B200&lt;&gt;0,SUMIF(куб!$B:$B,$B200,куб!O:O))))))</f>
        <v>629270.91259999108</v>
      </c>
      <c r="Z200" s="13" t="str">
        <f t="shared" si="75"/>
        <v>-</v>
      </c>
      <c r="AA200" s="5"/>
      <c r="AB200" s="33" t="str">
        <f t="shared" si="76"/>
        <v/>
      </c>
      <c r="AC200" s="33">
        <f t="shared" si="77"/>
        <v>9.4260523536473934E-2</v>
      </c>
      <c r="AD200" s="15" t="str">
        <f t="shared" si="78"/>
        <v xml:space="preserve"> </v>
      </c>
      <c r="AE200" s="5"/>
      <c r="AF200" s="27">
        <f>IF($G200&lt;&gt;0,SUMIF(куб!$G:$G,$G200,куб!R:R),IF($E200&lt;&gt;0,SUMIF(куб!$E:$E,$E200,куб!R:R),IF($D200&lt;&gt;0,SUMIF(куб!$D:$D,$D200,куб!R:R),IF($C200&lt;&gt;0,SUMIF(куб!$C:$C,$C200,куб!R:R),IF($B200&lt;&gt;0,SUMIF(куб!$B:$B,$B200,куб!R:R))))))</f>
        <v>0</v>
      </c>
      <c r="AG200" s="27">
        <f>IF($G200&lt;&gt;0,SUMIF(куб!$G:$G,$G200,куб!S:S),IF($E200&lt;&gt;0,SUMIF(куб!$E:$E,$E200,куб!S:S),IF($D200&lt;&gt;0,SUMIF(куб!$D:$D,$D200,куб!S:S),IF($C200&lt;&gt;0,SUMIF(куб!$C:$C,$C200,куб!S:S),IF($B200&lt;&gt;0,SUMIF(куб!$B:$B,$B200,куб!S:S))))))</f>
        <v>68220.566099999982</v>
      </c>
      <c r="AH200" s="16" t="str">
        <f t="shared" si="79"/>
        <v>-</v>
      </c>
      <c r="AI200" s="8"/>
      <c r="AJ200" s="27">
        <f>IF($G200&lt;&gt;0,SUMIF(куб!$G:$G,$G200,куб!T:T),IF($E200&lt;&gt;0,SUMIF(куб!$E:$E,$E200,куб!T:T),IF($D200&lt;&gt;0,SUMIF(куб!$D:$D,$D200,куб!T:T),IF($C200&lt;&gt;0,SUMIF(куб!$C:$C,$C200,куб!T:T),IF($B200&lt;&gt;0,SUMIF(куб!$B:$B,$B200,куб!T:T))))))</f>
        <v>0</v>
      </c>
      <c r="AK200" s="27">
        <f>IF($G200&lt;&gt;0,SUMIF(куб!$G:$G,$G200,куб!U:U),IF($E200&lt;&gt;0,SUMIF(куб!$E:$E,$E200,куб!U:U),IF($D200&lt;&gt;0,SUMIF(куб!$D:$D,$D200,куб!U:U),IF($C200&lt;&gt;0,SUMIF(куб!$C:$C,$C200,куб!U:U),IF($B200&lt;&gt;0,SUMIF(куб!$B:$B,$B200,куб!U:U))))))</f>
        <v>942</v>
      </c>
      <c r="AL200" s="16" t="str">
        <f t="shared" si="80"/>
        <v>-</v>
      </c>
      <c r="AM200" s="8"/>
      <c r="AN200" s="17" t="str">
        <f t="shared" si="81"/>
        <v xml:space="preserve"> </v>
      </c>
      <c r="AO200" s="17">
        <f t="shared" si="82"/>
        <v>1.0218979056208667E-2</v>
      </c>
      <c r="AP200" s="16" t="str">
        <f t="shared" si="83"/>
        <v>-</v>
      </c>
      <c r="AQ200" s="8"/>
      <c r="AR200" s="17" t="str">
        <f t="shared" si="84"/>
        <v>-</v>
      </c>
      <c r="AS200" s="17">
        <f t="shared" si="85"/>
        <v>8.4041544480265268E-2</v>
      </c>
      <c r="AT200" s="13" t="str">
        <f t="shared" si="86"/>
        <v>-</v>
      </c>
      <c r="AU200" s="8"/>
    </row>
    <row r="201" spans="1:47" ht="15" customHeight="1" x14ac:dyDescent="0.25">
      <c r="A201" s="31" t="s">
        <v>26</v>
      </c>
      <c r="B201" s="31" t="s">
        <v>32</v>
      </c>
      <c r="C201" t="s">
        <v>33</v>
      </c>
      <c r="D201" s="31" t="s">
        <v>34</v>
      </c>
      <c r="E201" t="s">
        <v>413</v>
      </c>
      <c r="F201" s="31" t="s">
        <v>426</v>
      </c>
      <c r="G201" t="s">
        <v>427</v>
      </c>
      <c r="H201" s="27">
        <f>IF($G201&lt;&gt;0,SUMIF(куб!$G:$G,$G201,куб!H:H),IF($E201&lt;&gt;0,SUMIF(куб!$E:$E,$E201,куб!H:H),IF($D201&lt;&gt;0,SUMIF(куб!$D:$D,$D201,куб!H:H),IF($C201&lt;&gt;0,SUMIF(куб!$C:$C,$C201,куб!H:H),IF($B201&lt;&gt;0,SUMIF(куб!$B:$B,$B201,куб!H:H),IF($G201&lt;&gt;0,SUMIF(куб!$A:$A,$G201,куб!H:H),SUMIF(куб!$A:$A,$G201,куб!H:H)))))))</f>
        <v>0</v>
      </c>
      <c r="I201" s="27">
        <f>IF($G201&lt;&gt;0,SUMIF(куб!$G:$G,$G201,куб!I:I),IF($E201&lt;&gt;0,SUMIF(куб!$E:$E,$E201,куб!I:I),IF($D201&lt;&gt;0,SUMIF(куб!$D:$D,$D201,куб!I:I),IF($C201&lt;&gt;0,SUMIF(куб!$C:$C,$C201,куб!I:I),IF($B201&lt;&gt;0,SUMIF(куб!$B:$B,$B201,куб!I:I),IF($G201&lt;&gt;0,SUMIF(куб!$A:$A,$G201,куб!I:I),SUMIF(куб!$A:$A,$G201,куб!I:I)))))))</f>
        <v>323399.32139999996</v>
      </c>
      <c r="J201" s="19" t="str">
        <f t="shared" si="69"/>
        <v>-</v>
      </c>
      <c r="K201" s="5"/>
      <c r="L201" s="17">
        <f t="shared" si="70"/>
        <v>0</v>
      </c>
      <c r="M201" s="17">
        <f t="shared" si="71"/>
        <v>6.8954395441126577E-4</v>
      </c>
      <c r="N201" s="12">
        <f t="shared" si="72"/>
        <v>6.8954395441126577E-4</v>
      </c>
      <c r="O201" s="5"/>
      <c r="P201" s="27">
        <f>IF($G201&lt;&gt;0,SUMIF(куб!$G:$G,$G201,куб!J:J),IF($E201&lt;&gt;0,SUMIF(куб!$E:$E,$E201,куб!J:J),IF($D201&lt;&gt;0,SUMIF(куб!$D:$D,$D201,куб!J:J),IF($C201&lt;&gt;0,SUMIF(куб!$C:$C,$C201,куб!J:J),IF($B201&lt;&gt;0,SUMIF(куб!$B:$B,$B201,куб!J:J))))))</f>
        <v>0</v>
      </c>
      <c r="Q201" s="27">
        <f>IF($G201&lt;&gt;0,SUMIF(куб!$G:$G,$G201,куб!K:K),IF($E201&lt;&gt;0,SUMIF(куб!$E:$E,$E201,куб!K:K),IF($D201&lt;&gt;0,SUMIF(куб!$D:$D,$D201,куб!K:K),IF($C201&lt;&gt;0,SUMIF(куб!$C:$C,$C201,куб!K:K),IF($B201&lt;&gt;0,SUMIF(куб!$B:$B,$B201,куб!K:K))))))</f>
        <v>3854</v>
      </c>
      <c r="R201" s="13" t="str">
        <f t="shared" si="73"/>
        <v>-</v>
      </c>
      <c r="S201" s="5"/>
      <c r="T201" s="27">
        <f>IF($G201&lt;&gt;0,SUMIF(куб!$G:$G,$G201,куб!L:L),IF($E201&lt;&gt;0,SUMIF(куб!$E:$E,$E201,куб!L:L),IF($D201&lt;&gt;0,SUMIF(куб!$D:$D,$D201,куб!L:L),IF($C201&lt;&gt;0,SUMIF(куб!$C:$C,$C201,куб!L:L),IF($B201&lt;&gt;0,SUMIF(куб!$B:$B,$B201,куб!L:L))))))</f>
        <v>0</v>
      </c>
      <c r="U201" s="27">
        <f>IF($G201&lt;&gt;0,SUMIF(куб!$G:$G,$G201,куб!M:M),IF($E201&lt;&gt;0,SUMIF(куб!$E:$E,$E201,куб!M:M),IF($D201&lt;&gt;0,SUMIF(куб!$D:$D,$D201,куб!M:M),IF($C201&lt;&gt;0,SUMIF(куб!$C:$C,$C201,куб!M:M),IF($B201&lt;&gt;0,SUMIF(куб!$B:$B,$B201,куб!M:M))))))</f>
        <v>3562.2522000000004</v>
      </c>
      <c r="V201" s="13" t="str">
        <f t="shared" si="74"/>
        <v>-</v>
      </c>
      <c r="W201" s="5"/>
      <c r="X201" s="27">
        <f>IF($G201&lt;&gt;0,SUMIF(куб!$G:$G,$G201,куб!N:N),IF($E201&lt;&gt;0,SUMIF(куб!$E:$E,$E201,куб!N:N),IF($D201&lt;&gt;0,SUMIF(куб!$D:$D,$D201,куб!N:N),IF($C201&lt;&gt;0,SUMIF(куб!$C:$C,$C201,куб!N:N),IF($B201&lt;&gt;0,SUMIF(куб!$B:$B,$B201,куб!N:N))))))</f>
        <v>0</v>
      </c>
      <c r="Y201" s="27">
        <f>IF($G201&lt;&gt;0,SUMIF(куб!$G:$G,$G201,куб!O:O),IF($E201&lt;&gt;0,SUMIF(куб!$E:$E,$E201,куб!O:O),IF($D201&lt;&gt;0,SUMIF(куб!$D:$D,$D201,куб!O:O),IF($C201&lt;&gt;0,SUMIF(куб!$C:$C,$C201,куб!O:O),IF($B201&lt;&gt;0,SUMIF(куб!$B:$B,$B201,куб!O:O))))))</f>
        <v>33739.205600000045</v>
      </c>
      <c r="Z201" s="13" t="str">
        <f t="shared" si="75"/>
        <v>-</v>
      </c>
      <c r="AA201" s="5"/>
      <c r="AB201" s="33" t="str">
        <f t="shared" si="76"/>
        <v/>
      </c>
      <c r="AC201" s="33">
        <f t="shared" si="77"/>
        <v>0.10432676684027219</v>
      </c>
      <c r="AD201" s="15" t="str">
        <f t="shared" si="78"/>
        <v xml:space="preserve"> </v>
      </c>
      <c r="AE201" s="5"/>
      <c r="AF201" s="27">
        <f>IF($G201&lt;&gt;0,SUMIF(куб!$G:$G,$G201,куб!R:R),IF($E201&lt;&gt;0,SUMIF(куб!$E:$E,$E201,куб!R:R),IF($D201&lt;&gt;0,SUMIF(куб!$D:$D,$D201,куб!R:R),IF($C201&lt;&gt;0,SUMIF(куб!$C:$C,$C201,куб!R:R),IF($B201&lt;&gt;0,SUMIF(куб!$B:$B,$B201,куб!R:R))))))</f>
        <v>0</v>
      </c>
      <c r="AG201" s="27">
        <f>IF($G201&lt;&gt;0,SUMIF(куб!$G:$G,$G201,куб!S:S),IF($E201&lt;&gt;0,SUMIF(куб!$E:$E,$E201,куб!S:S),IF($D201&lt;&gt;0,SUMIF(куб!$D:$D,$D201,куб!S:S),IF($C201&lt;&gt;0,SUMIF(куб!$C:$C,$C201,куб!S:S),IF($B201&lt;&gt;0,SUMIF(куб!$B:$B,$B201,куб!S:S))))))</f>
        <v>154.18169999999998</v>
      </c>
      <c r="AH201" s="16" t="str">
        <f t="shared" si="79"/>
        <v>-</v>
      </c>
      <c r="AI201" s="8"/>
      <c r="AJ201" s="27">
        <f>IF($G201&lt;&gt;0,SUMIF(куб!$G:$G,$G201,куб!T:T),IF($E201&lt;&gt;0,SUMIF(куб!$E:$E,$E201,куб!T:T),IF($D201&lt;&gt;0,SUMIF(куб!$D:$D,$D201,куб!T:T),IF($C201&lt;&gt;0,SUMIF(куб!$C:$C,$C201,куб!T:T),IF($B201&lt;&gt;0,SUMIF(куб!$B:$B,$B201,куб!T:T))))))</f>
        <v>0</v>
      </c>
      <c r="AK201" s="27">
        <f>IF($G201&lt;&gt;0,SUMIF(куб!$G:$G,$G201,куб!U:U),IF($E201&lt;&gt;0,SUMIF(куб!$E:$E,$E201,куб!U:U),IF($D201&lt;&gt;0,SUMIF(куб!$D:$D,$D201,куб!U:U),IF($C201&lt;&gt;0,SUMIF(куб!$C:$C,$C201,куб!U:U),IF($B201&lt;&gt;0,SUMIF(куб!$B:$B,$B201,куб!U:U))))))</f>
        <v>2</v>
      </c>
      <c r="AL201" s="16" t="str">
        <f t="shared" si="80"/>
        <v>-</v>
      </c>
      <c r="AM201" s="8"/>
      <c r="AN201" s="17" t="str">
        <f t="shared" si="81"/>
        <v xml:space="preserve"> </v>
      </c>
      <c r="AO201" s="17">
        <f t="shared" si="82"/>
        <v>4.7675331949536984E-4</v>
      </c>
      <c r="AP201" s="16" t="str">
        <f t="shared" si="83"/>
        <v>-</v>
      </c>
      <c r="AQ201" s="8"/>
      <c r="AR201" s="17" t="str">
        <f t="shared" si="84"/>
        <v>-</v>
      </c>
      <c r="AS201" s="17">
        <f t="shared" si="85"/>
        <v>0.10385001352077682</v>
      </c>
      <c r="AT201" s="13" t="str">
        <f t="shared" si="86"/>
        <v>-</v>
      </c>
      <c r="AU201" s="8"/>
    </row>
    <row r="202" spans="1:47" ht="15" customHeight="1" x14ac:dyDescent="0.25">
      <c r="A202" s="31" t="s">
        <v>26</v>
      </c>
      <c r="B202" s="31" t="s">
        <v>32</v>
      </c>
      <c r="C202" t="s">
        <v>33</v>
      </c>
      <c r="D202" s="31" t="s">
        <v>34</v>
      </c>
      <c r="E202" t="s">
        <v>413</v>
      </c>
      <c r="F202" s="31" t="s">
        <v>428</v>
      </c>
      <c r="G202" t="s">
        <v>429</v>
      </c>
      <c r="H202" s="27">
        <f>IF($G202&lt;&gt;0,SUMIF(куб!$G:$G,$G202,куб!H:H),IF($E202&lt;&gt;0,SUMIF(куб!$E:$E,$E202,куб!H:H),IF($D202&lt;&gt;0,SUMIF(куб!$D:$D,$D202,куб!H:H),IF($C202&lt;&gt;0,SUMIF(куб!$C:$C,$C202,куб!H:H),IF($B202&lt;&gt;0,SUMIF(куб!$B:$B,$B202,куб!H:H),IF($G202&lt;&gt;0,SUMIF(куб!$A:$A,$G202,куб!H:H),SUMIF(куб!$A:$A,$G202,куб!H:H)))))))</f>
        <v>325213.83419999992</v>
      </c>
      <c r="I202" s="27">
        <f>IF($G202&lt;&gt;0,SUMIF(куб!$G:$G,$G202,куб!I:I),IF($E202&lt;&gt;0,SUMIF(куб!$E:$E,$E202,куб!I:I),IF($D202&lt;&gt;0,SUMIF(куб!$D:$D,$D202,куб!I:I),IF($C202&lt;&gt;0,SUMIF(куб!$C:$C,$C202,куб!I:I),IF($B202&lt;&gt;0,SUMIF(куб!$B:$B,$B202,куб!I:I),IF($G202&lt;&gt;0,SUMIF(куб!$A:$A,$G202,куб!I:I),SUMIF(куб!$A:$A,$G202,куб!I:I)))))))</f>
        <v>364135.59879999998</v>
      </c>
      <c r="J202" s="19">
        <f t="shared" si="69"/>
        <v>0.11968053172075072</v>
      </c>
      <c r="K202" s="8"/>
      <c r="L202" s="17">
        <f t="shared" si="70"/>
        <v>6.7933658675101854E-4</v>
      </c>
      <c r="M202" s="17">
        <f t="shared" si="71"/>
        <v>7.7640082747083394E-4</v>
      </c>
      <c r="N202" s="12">
        <f t="shared" si="72"/>
        <v>9.7064240719815396E-5</v>
      </c>
      <c r="O202" s="5"/>
      <c r="P202" s="27">
        <f>IF($G202&lt;&gt;0,SUMIF(куб!$G:$G,$G202,куб!J:J),IF($E202&lt;&gt;0,SUMIF(куб!$E:$E,$E202,куб!J:J),IF($D202&lt;&gt;0,SUMIF(куб!$D:$D,$D202,куб!J:J),IF($C202&lt;&gt;0,SUMIF(куб!$C:$C,$C202,куб!J:J),IF($B202&lt;&gt;0,SUMIF(куб!$B:$B,$B202,куб!J:J))))))</f>
        <v>6106</v>
      </c>
      <c r="Q202" s="27">
        <f>IF($G202&lt;&gt;0,SUMIF(куб!$G:$G,$G202,куб!K:K),IF($E202&lt;&gt;0,SUMIF(куб!$E:$E,$E202,куб!K:K),IF($D202&lt;&gt;0,SUMIF(куб!$D:$D,$D202,куб!K:K),IF($C202&lt;&gt;0,SUMIF(куб!$C:$C,$C202,куб!K:K),IF($B202&lt;&gt;0,SUMIF(куб!$B:$B,$B202,куб!K:K))))))</f>
        <v>7356</v>
      </c>
      <c r="R202" s="13">
        <f t="shared" si="73"/>
        <v>0.20471667212577793</v>
      </c>
      <c r="S202" s="5"/>
      <c r="T202" s="27">
        <f>IF($G202&lt;&gt;0,SUMIF(куб!$G:$G,$G202,куб!L:L),IF($E202&lt;&gt;0,SUMIF(куб!$E:$E,$E202,куб!L:L),IF($D202&lt;&gt;0,SUMIF(куб!$D:$D,$D202,куб!L:L),IF($C202&lt;&gt;0,SUMIF(куб!$C:$C,$C202,куб!L:L),IF($B202&lt;&gt;0,SUMIF(куб!$B:$B,$B202,куб!L:L))))))</f>
        <v>2747.7000000000003</v>
      </c>
      <c r="U202" s="27">
        <f>IF($G202&lt;&gt;0,SUMIF(куб!$G:$G,$G202,куб!M:M),IF($E202&lt;&gt;0,SUMIF(куб!$E:$E,$E202,куб!M:M),IF($D202&lt;&gt;0,SUMIF(куб!$D:$D,$D202,куб!M:M),IF($C202&lt;&gt;0,SUMIF(куб!$C:$C,$C202,куб!M:M),IF($B202&lt;&gt;0,SUMIF(куб!$B:$B,$B202,куб!M:M))))))</f>
        <v>3310.2</v>
      </c>
      <c r="V202" s="13">
        <f t="shared" si="74"/>
        <v>0.20471667212577774</v>
      </c>
      <c r="W202" s="5"/>
      <c r="X202" s="27">
        <f>IF($G202&lt;&gt;0,SUMIF(куб!$G:$G,$G202,куб!N:N),IF($E202&lt;&gt;0,SUMIF(куб!$E:$E,$E202,куб!N:N),IF($D202&lt;&gt;0,SUMIF(куб!$D:$D,$D202,куб!N:N),IF($C202&lt;&gt;0,SUMIF(куб!$C:$C,$C202,куб!N:N),IF($B202&lt;&gt;0,SUMIF(куб!$B:$B,$B202,куб!N:N))))))</f>
        <v>27629.633599999943</v>
      </c>
      <c r="Y202" s="27">
        <f>IF($G202&lt;&gt;0,SUMIF(куб!$G:$G,$G202,куб!O:O),IF($E202&lt;&gt;0,SUMIF(куб!$E:$E,$E202,куб!O:O),IF($D202&lt;&gt;0,SUMIF(куб!$D:$D,$D202,куб!O:O),IF($C202&lt;&gt;0,SUMIF(куб!$C:$C,$C202,куб!O:O),IF($B202&lt;&gt;0,SUMIF(куб!$B:$B,$B202,куб!O:O))))))</f>
        <v>23089.798800000048</v>
      </c>
      <c r="Z202" s="13">
        <f t="shared" si="75"/>
        <v>-0.16431035118757073</v>
      </c>
      <c r="AA202" s="5"/>
      <c r="AB202" s="33">
        <f t="shared" si="76"/>
        <v>8.4958358760987632E-2</v>
      </c>
      <c r="AC202" s="33">
        <f t="shared" si="77"/>
        <v>6.3409891469254631E-2</v>
      </c>
      <c r="AD202" s="15">
        <f t="shared" si="78"/>
        <v>-2.1548467291733001E-2</v>
      </c>
      <c r="AE202" s="5"/>
      <c r="AF202" s="27">
        <f>IF($G202&lt;&gt;0,SUMIF(куб!$G:$G,$G202,куб!R:R),IF($E202&lt;&gt;0,SUMIF(куб!$E:$E,$E202,куб!R:R),IF($D202&lt;&gt;0,SUMIF(куб!$D:$D,$D202,куб!R:R),IF($C202&lt;&gt;0,SUMIF(куб!$C:$C,$C202,куб!R:R),IF($B202&lt;&gt;0,SUMIF(куб!$B:$B,$B202,куб!R:R))))))</f>
        <v>243.6815</v>
      </c>
      <c r="AG202" s="27">
        <f>IF($G202&lt;&gt;0,SUMIF(куб!$G:$G,$G202,куб!S:S),IF($E202&lt;&gt;0,SUMIF(куб!$E:$E,$E202,куб!S:S),IF($D202&lt;&gt;0,SUMIF(куб!$D:$D,$D202,куб!S:S),IF($C202&lt;&gt;0,SUMIF(куб!$C:$C,$C202,куб!S:S),IF($B202&lt;&gt;0,SUMIF(куб!$B:$B,$B202,куб!S:S))))))</f>
        <v>788.7</v>
      </c>
      <c r="AH202" s="16">
        <f t="shared" si="79"/>
        <v>2.2366018758092019</v>
      </c>
      <c r="AI202" s="8"/>
      <c r="AJ202" s="27">
        <f>IF($G202&lt;&gt;0,SUMIF(куб!$G:$G,$G202,куб!T:T),IF($E202&lt;&gt;0,SUMIF(куб!$E:$E,$E202,куб!T:T),IF($D202&lt;&gt;0,SUMIF(куб!$D:$D,$D202,куб!T:T),IF($C202&lt;&gt;0,SUMIF(куб!$C:$C,$C202,куб!T:T),IF($B202&lt;&gt;0,SUMIF(куб!$B:$B,$B202,куб!T:T))))))</f>
        <v>5</v>
      </c>
      <c r="AK202" s="27">
        <f>IF($G202&lt;&gt;0,SUMIF(куб!$G:$G,$G202,куб!U:U),IF($E202&lt;&gt;0,SUMIF(куб!$E:$E,$E202,куб!U:U),IF($D202&lt;&gt;0,SUMIF(куб!$D:$D,$D202,куб!U:U),IF($C202&lt;&gt;0,SUMIF(куб!$C:$C,$C202,куб!U:U),IF($B202&lt;&gt;0,SUMIF(куб!$B:$B,$B202,куб!U:U))))))</f>
        <v>17</v>
      </c>
      <c r="AL202" s="16">
        <f t="shared" si="80"/>
        <v>2.4</v>
      </c>
      <c r="AM202" s="8"/>
      <c r="AN202" s="17">
        <f t="shared" si="81"/>
        <v>7.4929623027703311E-4</v>
      </c>
      <c r="AO202" s="17">
        <f t="shared" si="82"/>
        <v>2.165951372508323E-3</v>
      </c>
      <c r="AP202" s="16">
        <f t="shared" si="83"/>
        <v>1.4166551422312899E-3</v>
      </c>
      <c r="AQ202" s="8"/>
      <c r="AR202" s="17">
        <f t="shared" si="84"/>
        <v>8.4209062530710602E-2</v>
      </c>
      <c r="AS202" s="17">
        <f t="shared" si="85"/>
        <v>6.1243940096746309E-2</v>
      </c>
      <c r="AT202" s="13">
        <f t="shared" si="86"/>
        <v>-2.2965122433964293E-2</v>
      </c>
      <c r="AU202" s="8"/>
    </row>
    <row r="203" spans="1:47" ht="15" customHeight="1" x14ac:dyDescent="0.25">
      <c r="A203" s="31" t="s">
        <v>26</v>
      </c>
      <c r="B203" s="31" t="s">
        <v>32</v>
      </c>
      <c r="C203" t="s">
        <v>33</v>
      </c>
      <c r="D203" s="31" t="s">
        <v>34</v>
      </c>
      <c r="E203" t="s">
        <v>413</v>
      </c>
      <c r="F203" s="31" t="s">
        <v>430</v>
      </c>
      <c r="G203" t="s">
        <v>431</v>
      </c>
      <c r="H203" s="27">
        <f>IF($G203&lt;&gt;0,SUMIF(куб!$G:$G,$G203,куб!H:H),IF($E203&lt;&gt;0,SUMIF(куб!$E:$E,$E203,куб!H:H),IF($D203&lt;&gt;0,SUMIF(куб!$D:$D,$D203,куб!H:H),IF($C203&lt;&gt;0,SUMIF(куб!$C:$C,$C203,куб!H:H),IF($B203&lt;&gt;0,SUMIF(куб!$B:$B,$B203,куб!H:H),IF($G203&lt;&gt;0,SUMIF(куб!$A:$A,$G203,куб!H:H),SUMIF(куб!$A:$A,$G203,куб!H:H)))))))</f>
        <v>10281119.242299974</v>
      </c>
      <c r="I203" s="27">
        <f>IF($G203&lt;&gt;0,SUMIF(куб!$G:$G,$G203,куб!I:I),IF($E203&lt;&gt;0,SUMIF(куб!$E:$E,$E203,куб!I:I),IF($D203&lt;&gt;0,SUMIF(куб!$D:$D,$D203,куб!I:I),IF($C203&lt;&gt;0,SUMIF(куб!$C:$C,$C203,куб!I:I),IF($B203&lt;&gt;0,SUMIF(куб!$B:$B,$B203,куб!I:I),IF($G203&lt;&gt;0,SUMIF(куб!$A:$A,$G203,куб!I:I),SUMIF(куб!$A:$A,$G203,куб!I:I)))))))</f>
        <v>11523115.590799984</v>
      </c>
      <c r="J203" s="19">
        <f t="shared" ref="J203:J266" si="87">IFERROR((I203-H203)/ABS(H203),"-")</f>
        <v>0.12080361283915665</v>
      </c>
      <c r="K203" s="10"/>
      <c r="L203" s="17">
        <f t="shared" si="70"/>
        <v>2.1476148058784776E-2</v>
      </c>
      <c r="M203" s="17">
        <f t="shared" si="71"/>
        <v>2.456929920947673E-2</v>
      </c>
      <c r="N203" s="12">
        <f t="shared" si="72"/>
        <v>3.0931511506919543E-3</v>
      </c>
      <c r="O203" s="5"/>
      <c r="P203" s="27">
        <f>IF($G203&lt;&gt;0,SUMIF(куб!$G:$G,$G203,куб!J:J),IF($E203&lt;&gt;0,SUMIF(куб!$E:$E,$E203,куб!J:J),IF($D203&lt;&gt;0,SUMIF(куб!$D:$D,$D203,куб!J:J),IF($C203&lt;&gt;0,SUMIF(куб!$C:$C,$C203,куб!J:J),IF($B203&lt;&gt;0,SUMIF(куб!$B:$B,$B203,куб!J:J))))))</f>
        <v>102317</v>
      </c>
      <c r="Q203" s="27">
        <f>IF($G203&lt;&gt;0,SUMIF(куб!$G:$G,$G203,куб!K:K),IF($E203&lt;&gt;0,SUMIF(куб!$E:$E,$E203,куб!K:K),IF($D203&lt;&gt;0,SUMIF(куб!$D:$D,$D203,куб!K:K),IF($C203&lt;&gt;0,SUMIF(куб!$C:$C,$C203,куб!K:K),IF($B203&lt;&gt;0,SUMIF(куб!$B:$B,$B203,куб!K:K))))))</f>
        <v>122264</v>
      </c>
      <c r="R203" s="13">
        <f t="shared" si="73"/>
        <v>0.19495294037159025</v>
      </c>
      <c r="S203" s="5"/>
      <c r="T203" s="27">
        <f>IF($G203&lt;&gt;0,SUMIF(куб!$G:$G,$G203,куб!L:L),IF($E203&lt;&gt;0,SUMIF(куб!$E:$E,$E203,куб!L:L),IF($D203&lt;&gt;0,SUMIF(куб!$D:$D,$D203,куб!L:L),IF($C203&lt;&gt;0,SUMIF(куб!$C:$C,$C203,куб!L:L),IF($B203&lt;&gt;0,SUMIF(куб!$B:$B,$B203,куб!L:L))))))</f>
        <v>95154.8100000001</v>
      </c>
      <c r="U203" s="27">
        <f>IF($G203&lt;&gt;0,SUMIF(куб!$G:$G,$G203,куб!M:M),IF($E203&lt;&gt;0,SUMIF(куб!$E:$E,$E203,куб!M:M),IF($D203&lt;&gt;0,SUMIF(куб!$D:$D,$D203,куб!M:M),IF($C203&lt;&gt;0,SUMIF(куб!$C:$C,$C203,куб!M:M),IF($B203&lt;&gt;0,SUMIF(куб!$B:$B,$B203,куб!M:M))))))</f>
        <v>113705.52000000012</v>
      </c>
      <c r="V203" s="13">
        <f t="shared" si="74"/>
        <v>0.19495294037159028</v>
      </c>
      <c r="W203" s="5"/>
      <c r="X203" s="27">
        <f>IF($G203&lt;&gt;0,SUMIF(куб!$G:$G,$G203,куб!N:N),IF($E203&lt;&gt;0,SUMIF(куб!$E:$E,$E203,куб!N:N),IF($D203&lt;&gt;0,SUMIF(куб!$D:$D,$D203,куб!N:N),IF($C203&lt;&gt;0,SUMIF(куб!$C:$C,$C203,куб!N:N),IF($B203&lt;&gt;0,SUMIF(куб!$B:$B,$B203,куб!N:N))))))</f>
        <v>1262926.5833000056</v>
      </c>
      <c r="Y203" s="27">
        <f>IF($G203&lt;&gt;0,SUMIF(куб!$G:$G,$G203,куб!O:O),IF($E203&lt;&gt;0,SUMIF(куб!$E:$E,$E203,куб!O:O),IF($D203&lt;&gt;0,SUMIF(куб!$D:$D,$D203,куб!O:O),IF($C203&lt;&gt;0,SUMIF(куб!$C:$C,$C203,куб!O:O),IF($B203&lt;&gt;0,SUMIF(куб!$B:$B,$B203,куб!O:O))))))</f>
        <v>1127321.5269000083</v>
      </c>
      <c r="Z203" s="13">
        <f t="shared" si="75"/>
        <v>-0.10737366541581825</v>
      </c>
      <c r="AA203" s="5"/>
      <c r="AB203" s="33">
        <f t="shared" si="76"/>
        <v>0.12283940624906887</v>
      </c>
      <c r="AC203" s="33">
        <f t="shared" si="77"/>
        <v>9.7831312895972161E-2</v>
      </c>
      <c r="AD203" s="15">
        <f t="shared" si="78"/>
        <v>-2.5008093353096714E-2</v>
      </c>
      <c r="AE203" s="5"/>
      <c r="AF203" s="27">
        <f>IF($G203&lt;&gt;0,SUMIF(куб!$G:$G,$G203,куб!R:R),IF($E203&lt;&gt;0,SUMIF(куб!$E:$E,$E203,куб!R:R),IF($D203&lt;&gt;0,SUMIF(куб!$D:$D,$D203,куб!R:R),IF($C203&lt;&gt;0,SUMIF(куб!$C:$C,$C203,куб!R:R),IF($B203&lt;&gt;0,SUMIF(куб!$B:$B,$B203,куб!R:R))))))</f>
        <v>17643.639099999997</v>
      </c>
      <c r="AG203" s="27">
        <f>IF($G203&lt;&gt;0,SUMIF(куб!$G:$G,$G203,куб!S:S),IF($E203&lt;&gt;0,SUMIF(куб!$E:$E,$E203,куб!S:S),IF($D203&lt;&gt;0,SUMIF(куб!$D:$D,$D203,куб!S:S),IF($C203&lt;&gt;0,SUMIF(куб!$C:$C,$C203,куб!S:S),IF($B203&lt;&gt;0,SUMIF(куб!$B:$B,$B203,куб!S:S))))))</f>
        <v>7050.7059999999983</v>
      </c>
      <c r="AH203" s="16">
        <f t="shared" si="79"/>
        <v>-0.60038255373292015</v>
      </c>
      <c r="AI203" s="8"/>
      <c r="AJ203" s="27">
        <f>IF($G203&lt;&gt;0,SUMIF(куб!$G:$G,$G203,куб!T:T),IF($E203&lt;&gt;0,SUMIF(куб!$E:$E,$E203,куб!T:T),IF($D203&lt;&gt;0,SUMIF(куб!$D:$D,$D203,куб!T:T),IF($C203&lt;&gt;0,SUMIF(куб!$C:$C,$C203,куб!T:T),IF($B203&lt;&gt;0,SUMIF(куб!$B:$B,$B203,куб!T:T))))))</f>
        <v>199</v>
      </c>
      <c r="AK203" s="27">
        <f>IF($G203&lt;&gt;0,SUMIF(куб!$G:$G,$G203,куб!U:U),IF($E203&lt;&gt;0,SUMIF(куб!$E:$E,$E203,куб!U:U),IF($D203&lt;&gt;0,SUMIF(куб!$D:$D,$D203,куб!U:U),IF($C203&lt;&gt;0,SUMIF(куб!$C:$C,$C203,куб!U:U),IF($B203&lt;&gt;0,SUMIF(куб!$B:$B,$B203,куб!U:U))))))</f>
        <v>82</v>
      </c>
      <c r="AL203" s="16">
        <f t="shared" si="80"/>
        <v>-0.5879396984924623</v>
      </c>
      <c r="AM203" s="8"/>
      <c r="AN203" s="17">
        <f t="shared" si="81"/>
        <v>1.7161204616135707E-3</v>
      </c>
      <c r="AO203" s="17">
        <f t="shared" si="82"/>
        <v>6.1187496944222776E-4</v>
      </c>
      <c r="AP203" s="16">
        <f t="shared" si="83"/>
        <v>-1.104245492171343E-3</v>
      </c>
      <c r="AQ203" s="8"/>
      <c r="AR203" s="17">
        <f t="shared" si="84"/>
        <v>0.12112328578745529</v>
      </c>
      <c r="AS203" s="17">
        <f t="shared" si="85"/>
        <v>9.7219437926529928E-2</v>
      </c>
      <c r="AT203" s="13">
        <f t="shared" si="86"/>
        <v>-2.3903847860925365E-2</v>
      </c>
      <c r="AU203" s="8"/>
    </row>
    <row r="204" spans="1:47" ht="15" customHeight="1" x14ac:dyDescent="0.25">
      <c r="A204" s="31" t="s">
        <v>26</v>
      </c>
      <c r="B204" s="31" t="s">
        <v>32</v>
      </c>
      <c r="C204" t="s">
        <v>33</v>
      </c>
      <c r="D204" s="31" t="s">
        <v>34</v>
      </c>
      <c r="E204" t="s">
        <v>413</v>
      </c>
      <c r="F204" s="31" t="s">
        <v>432</v>
      </c>
      <c r="G204" t="s">
        <v>433</v>
      </c>
      <c r="H204" s="27">
        <f>IF($G204&lt;&gt;0,SUMIF(куб!$G:$G,$G204,куб!H:H),IF($E204&lt;&gt;0,SUMIF(куб!$E:$E,$E204,куб!H:H),IF($D204&lt;&gt;0,SUMIF(куб!$D:$D,$D204,куб!H:H),IF($C204&lt;&gt;0,SUMIF(куб!$C:$C,$C204,куб!H:H),IF($B204&lt;&gt;0,SUMIF(куб!$B:$B,$B204,куб!H:H),IF($G204&lt;&gt;0,SUMIF(куб!$A:$A,$G204,куб!H:H),SUMIF(куб!$A:$A,$G204,куб!H:H)))))))</f>
        <v>184638.8884</v>
      </c>
      <c r="I204" s="27">
        <f>IF($G204&lt;&gt;0,SUMIF(куб!$G:$G,$G204,куб!I:I),IF($E204&lt;&gt;0,SUMIF(куб!$E:$E,$E204,куб!I:I),IF($D204&lt;&gt;0,SUMIF(куб!$D:$D,$D204,куб!I:I),IF($C204&lt;&gt;0,SUMIF(куб!$C:$C,$C204,куб!I:I),IF($B204&lt;&gt;0,SUMIF(куб!$B:$B,$B204,куб!I:I),IF($G204&lt;&gt;0,SUMIF(куб!$A:$A,$G204,куб!I:I),SUMIF(куб!$A:$A,$G204,куб!I:I)))))))</f>
        <v>356537.39559999999</v>
      </c>
      <c r="J204" s="19">
        <f t="shared" si="87"/>
        <v>0.93099838657824152</v>
      </c>
      <c r="K204" s="5"/>
      <c r="L204" s="17">
        <f t="shared" si="70"/>
        <v>3.8569070265940815E-4</v>
      </c>
      <c r="M204" s="17">
        <f t="shared" si="71"/>
        <v>7.6020012841473408E-4</v>
      </c>
      <c r="N204" s="12">
        <f t="shared" si="72"/>
        <v>3.7450942575532593E-4</v>
      </c>
      <c r="O204" s="5"/>
      <c r="P204" s="27">
        <f>IF($G204&lt;&gt;0,SUMIF(куб!$G:$G,$G204,куб!J:J),IF($E204&lt;&gt;0,SUMIF(куб!$E:$E,$E204,куб!J:J),IF($D204&lt;&gt;0,SUMIF(куб!$D:$D,$D204,куб!J:J),IF($C204&lt;&gt;0,SUMIF(куб!$C:$C,$C204,куб!J:J),IF($B204&lt;&gt;0,SUMIF(куб!$B:$B,$B204,куб!J:J))))))</f>
        <v>1838</v>
      </c>
      <c r="Q204" s="27">
        <f>IF($G204&lt;&gt;0,SUMIF(куб!$G:$G,$G204,куб!K:K),IF($E204&lt;&gt;0,SUMIF(куб!$E:$E,$E204,куб!K:K),IF($D204&lt;&gt;0,SUMIF(куб!$D:$D,$D204,куб!K:K),IF($C204&lt;&gt;0,SUMIF(куб!$C:$C,$C204,куб!K:K),IF($B204&lt;&gt;0,SUMIF(куб!$B:$B,$B204,куб!K:K))))))</f>
        <v>3570</v>
      </c>
      <c r="R204" s="13">
        <f t="shared" si="73"/>
        <v>0.94232861806311208</v>
      </c>
      <c r="S204" s="5"/>
      <c r="T204" s="27">
        <f>IF($G204&lt;&gt;0,SUMIF(куб!$G:$G,$G204,куб!L:L),IF($E204&lt;&gt;0,SUMIF(куб!$E:$E,$E204,куб!L:L),IF($D204&lt;&gt;0,SUMIF(куб!$D:$D,$D204,куб!L:L),IF($C204&lt;&gt;0,SUMIF(куб!$C:$C,$C204,куб!L:L),IF($B204&lt;&gt;0,SUMIF(куб!$B:$B,$B204,куб!L:L))))))</f>
        <v>1709.3400000000011</v>
      </c>
      <c r="U204" s="27">
        <f>IF($G204&lt;&gt;0,SUMIF(куб!$G:$G,$G204,куб!M:M),IF($E204&lt;&gt;0,SUMIF(куб!$E:$E,$E204,куб!M:M),IF($D204&lt;&gt;0,SUMIF(куб!$D:$D,$D204,куб!M:M),IF($C204&lt;&gt;0,SUMIF(куб!$C:$C,$C204,куб!M:M),IF($B204&lt;&gt;0,SUMIF(куб!$B:$B,$B204,куб!M:M))))))</f>
        <v>3320.1</v>
      </c>
      <c r="V204" s="13">
        <f t="shared" si="74"/>
        <v>0.94232861806311086</v>
      </c>
      <c r="W204" s="5"/>
      <c r="X204" s="27">
        <f>IF($G204&lt;&gt;0,SUMIF(куб!$G:$G,$G204,куб!N:N),IF($E204&lt;&gt;0,SUMIF(куб!$E:$E,$E204,куб!N:N),IF($D204&lt;&gt;0,SUMIF(куб!$D:$D,$D204,куб!N:N),IF($C204&lt;&gt;0,SUMIF(куб!$C:$C,$C204,куб!N:N),IF($B204&lt;&gt;0,SUMIF(куб!$B:$B,$B204,куб!N:N))))))</f>
        <v>28327.801399999997</v>
      </c>
      <c r="Y204" s="27">
        <f>IF($G204&lt;&gt;0,SUMIF(куб!$G:$G,$G204,куб!O:O),IF($E204&lt;&gt;0,SUMIF(куб!$E:$E,$E204,куб!O:O),IF($D204&lt;&gt;0,SUMIF(куб!$D:$D,$D204,куб!O:O),IF($C204&lt;&gt;0,SUMIF(куб!$C:$C,$C204,куб!O:O),IF($B204&lt;&gt;0,SUMIF(куб!$B:$B,$B204,куб!O:O))))))</f>
        <v>66583.395599999989</v>
      </c>
      <c r="Z204" s="13">
        <f t="shared" si="75"/>
        <v>1.3504611127357027</v>
      </c>
      <c r="AA204" s="5"/>
      <c r="AB204" s="33">
        <f t="shared" si="76"/>
        <v>0.15342272500379719</v>
      </c>
      <c r="AC204" s="33">
        <f t="shared" si="77"/>
        <v>0.18675010369655595</v>
      </c>
      <c r="AD204" s="15">
        <f t="shared" si="78"/>
        <v>3.3327378692758758E-2</v>
      </c>
      <c r="AE204" s="5"/>
      <c r="AF204" s="27">
        <f>IF($G204&lt;&gt;0,SUMIF(куб!$G:$G,$G204,куб!R:R),IF($E204&lt;&gt;0,SUMIF(куб!$E:$E,$E204,куб!R:R),IF($D204&lt;&gt;0,SUMIF(куб!$D:$D,$D204,куб!R:R),IF($C204&lt;&gt;0,SUMIF(куб!$C:$C,$C204,куб!R:R),IF($B204&lt;&gt;0,SUMIF(куб!$B:$B,$B204,куб!R:R))))))</f>
        <v>422.01800000000003</v>
      </c>
      <c r="AG204" s="27">
        <f>IF($G204&lt;&gt;0,SUMIF(куб!$G:$G,$G204,куб!S:S),IF($E204&lt;&gt;0,SUMIF(куб!$E:$E,$E204,куб!S:S),IF($D204&lt;&gt;0,SUMIF(куб!$D:$D,$D204,куб!S:S),IF($C204&lt;&gt;0,SUMIF(куб!$C:$C,$C204,куб!S:S),IF($B204&lt;&gt;0,SUMIF(куб!$B:$B,$B204,куб!S:S))))))</f>
        <v>81.581800000000001</v>
      </c>
      <c r="AH204" s="16">
        <f t="shared" si="79"/>
        <v>-0.80668644465401951</v>
      </c>
      <c r="AI204" s="8"/>
      <c r="AJ204" s="27">
        <f>IF($G204&lt;&gt;0,SUMIF(куб!$G:$G,$G204,куб!T:T),IF($E204&lt;&gt;0,SUMIF(куб!$E:$E,$E204,куб!T:T),IF($D204&lt;&gt;0,SUMIF(куб!$D:$D,$D204,куб!T:T),IF($C204&lt;&gt;0,SUMIF(куб!$C:$C,$C204,куб!T:T),IF($B204&lt;&gt;0,SUMIF(куб!$B:$B,$B204,куб!T:T))))))</f>
        <v>5</v>
      </c>
      <c r="AK204" s="27">
        <f>IF($G204&lt;&gt;0,SUMIF(куб!$G:$G,$G204,куб!U:U),IF($E204&lt;&gt;0,SUMIF(куб!$E:$E,$E204,куб!U:U),IF($D204&lt;&gt;0,SUMIF(куб!$D:$D,$D204,куб!U:U),IF($C204&lt;&gt;0,SUMIF(куб!$C:$C,$C204,куб!U:U),IF($B204&lt;&gt;0,SUMIF(куб!$B:$B,$B204,куб!U:U))))))</f>
        <v>1</v>
      </c>
      <c r="AL204" s="16">
        <f t="shared" si="80"/>
        <v>-0.8</v>
      </c>
      <c r="AM204" s="8"/>
      <c r="AN204" s="17">
        <f t="shared" si="81"/>
        <v>2.2856398435726288E-3</v>
      </c>
      <c r="AO204" s="17">
        <f t="shared" si="82"/>
        <v>2.288169516207685E-4</v>
      </c>
      <c r="AP204" s="16">
        <f t="shared" si="83"/>
        <v>-2.0568228919518603E-3</v>
      </c>
      <c r="AQ204" s="8"/>
      <c r="AR204" s="17">
        <f t="shared" si="84"/>
        <v>0.15113708516022456</v>
      </c>
      <c r="AS204" s="17">
        <f t="shared" si="85"/>
        <v>0.18652128674493518</v>
      </c>
      <c r="AT204" s="13">
        <f t="shared" si="86"/>
        <v>3.5384201584710617E-2</v>
      </c>
      <c r="AU204" s="8"/>
    </row>
    <row r="205" spans="1:47" x14ac:dyDescent="0.25">
      <c r="A205" s="31" t="s">
        <v>26</v>
      </c>
      <c r="B205" s="31" t="s">
        <v>32</v>
      </c>
      <c r="C205" t="s">
        <v>33</v>
      </c>
      <c r="D205" s="31" t="s">
        <v>34</v>
      </c>
      <c r="E205" t="s">
        <v>413</v>
      </c>
      <c r="F205" s="31" t="s">
        <v>434</v>
      </c>
      <c r="G205" t="s">
        <v>435</v>
      </c>
      <c r="H205" s="27">
        <f>IF($G205&lt;&gt;0,SUMIF(куб!$G:$G,$G205,куб!H:H),IF($E205&lt;&gt;0,SUMIF(куб!$E:$E,$E205,куб!H:H),IF($D205&lt;&gt;0,SUMIF(куб!$D:$D,$D205,куб!H:H),IF($C205&lt;&gt;0,SUMIF(куб!$C:$C,$C205,куб!H:H),IF($B205&lt;&gt;0,SUMIF(куб!$B:$B,$B205,куб!H:H),IF($G205&lt;&gt;0,SUMIF(куб!$A:$A,$G205,куб!H:H),SUMIF(куб!$A:$A,$G205,куб!H:H)))))))</f>
        <v>0</v>
      </c>
      <c r="I205" s="27">
        <f>IF($G205&lt;&gt;0,SUMIF(куб!$G:$G,$G205,куб!I:I),IF($E205&lt;&gt;0,SUMIF(куб!$E:$E,$E205,куб!I:I),IF($D205&lt;&gt;0,SUMIF(куб!$D:$D,$D205,куб!I:I),IF($C205&lt;&gt;0,SUMIF(куб!$C:$C,$C205,куб!I:I),IF($B205&lt;&gt;0,SUMIF(куб!$B:$B,$B205,куб!I:I),IF($G205&lt;&gt;0,SUMIF(куб!$A:$A,$G205,куб!I:I),SUMIF(куб!$A:$A,$G205,куб!I:I)))))))</f>
        <v>2815177.3524000002</v>
      </c>
      <c r="J205" s="19" t="str">
        <f t="shared" si="87"/>
        <v>-</v>
      </c>
      <c r="K205" s="5"/>
      <c r="L205" s="17">
        <f t="shared" si="70"/>
        <v>0</v>
      </c>
      <c r="M205" s="17">
        <f t="shared" si="71"/>
        <v>6.0024508262401504E-3</v>
      </c>
      <c r="N205" s="12">
        <f t="shared" si="72"/>
        <v>6.0024508262401504E-3</v>
      </c>
      <c r="O205" s="5"/>
      <c r="P205" s="27">
        <f>IF($G205&lt;&gt;0,SUMIF(куб!$G:$G,$G205,куб!J:J),IF($E205&lt;&gt;0,SUMIF(куб!$E:$E,$E205,куб!J:J),IF($D205&lt;&gt;0,SUMIF(куб!$D:$D,$D205,куб!J:J),IF($C205&lt;&gt;0,SUMIF(куб!$C:$C,$C205,куб!J:J),IF($B205&lt;&gt;0,SUMIF(куб!$B:$B,$B205,куб!J:J))))))</f>
        <v>0</v>
      </c>
      <c r="Q205" s="27">
        <f>IF($G205&lt;&gt;0,SUMIF(куб!$G:$G,$G205,куб!K:K),IF($E205&lt;&gt;0,SUMIF(куб!$E:$E,$E205,куб!K:K),IF($D205&lt;&gt;0,SUMIF(куб!$D:$D,$D205,куб!K:K),IF($C205&lt;&gt;0,SUMIF(куб!$C:$C,$C205,куб!K:K),IF($B205&lt;&gt;0,SUMIF(куб!$B:$B,$B205,куб!K:K))))))</f>
        <v>29360</v>
      </c>
      <c r="R205" s="13" t="str">
        <f t="shared" si="73"/>
        <v>-</v>
      </c>
      <c r="S205" s="5"/>
      <c r="T205" s="27">
        <f>IF($G205&lt;&gt;0,SUMIF(куб!$G:$G,$G205,куб!L:L),IF($E205&lt;&gt;0,SUMIF(куб!$E:$E,$E205,куб!L:L),IF($D205&lt;&gt;0,SUMIF(куб!$D:$D,$D205,куб!L:L),IF($C205&lt;&gt;0,SUMIF(куб!$C:$C,$C205,куб!L:L),IF($B205&lt;&gt;0,SUMIF(куб!$B:$B,$B205,куб!L:L))))))</f>
        <v>0</v>
      </c>
      <c r="U205" s="27">
        <f>IF($G205&lt;&gt;0,SUMIF(куб!$G:$G,$G205,куб!M:M),IF($E205&lt;&gt;0,SUMIF(куб!$E:$E,$E205,куб!M:M),IF($D205&lt;&gt;0,SUMIF(куб!$D:$D,$D205,куб!M:M),IF($C205&lt;&gt;0,SUMIF(куб!$C:$C,$C205,куб!M:M),IF($B205&lt;&gt;0,SUMIF(куб!$B:$B,$B205,куб!M:M))))))</f>
        <v>28126.880000000001</v>
      </c>
      <c r="V205" s="13" t="str">
        <f t="shared" si="74"/>
        <v>-</v>
      </c>
      <c r="W205" s="5"/>
      <c r="X205" s="27">
        <f>IF($G205&lt;&gt;0,SUMIF(куб!$G:$G,$G205,куб!N:N),IF($E205&lt;&gt;0,SUMIF(куб!$E:$E,$E205,куб!N:N),IF($D205&lt;&gt;0,SUMIF(куб!$D:$D,$D205,куб!N:N),IF($C205&lt;&gt;0,SUMIF(куб!$C:$C,$C205,куб!N:N),IF($B205&lt;&gt;0,SUMIF(куб!$B:$B,$B205,куб!N:N))))))</f>
        <v>0</v>
      </c>
      <c r="Y205" s="27">
        <f>IF($G205&lt;&gt;0,SUMIF(куб!$G:$G,$G205,куб!O:O),IF($E205&lt;&gt;0,SUMIF(куб!$E:$E,$E205,куб!O:O),IF($D205&lt;&gt;0,SUMIF(куб!$D:$D,$D205,куб!O:O),IF($C205&lt;&gt;0,SUMIF(куб!$C:$C,$C205,куб!O:O),IF($B205&lt;&gt;0,SUMIF(куб!$B:$B,$B205,куб!O:O))))))</f>
        <v>425228.97980000125</v>
      </c>
      <c r="Z205" s="13" t="str">
        <f t="shared" si="75"/>
        <v>-</v>
      </c>
      <c r="AA205" s="5"/>
      <c r="AB205" s="33" t="str">
        <f t="shared" si="76"/>
        <v/>
      </c>
      <c r="AC205" s="33">
        <f t="shared" si="77"/>
        <v>0.15104873568178015</v>
      </c>
      <c r="AD205" s="15" t="str">
        <f t="shared" si="78"/>
        <v xml:space="preserve"> </v>
      </c>
      <c r="AE205" s="5"/>
      <c r="AF205" s="27">
        <f>IF($G205&lt;&gt;0,SUMIF(куб!$G:$G,$G205,куб!R:R),IF($E205&lt;&gt;0,SUMIF(куб!$E:$E,$E205,куб!R:R),IF($D205&lt;&gt;0,SUMIF(куб!$D:$D,$D205,куб!R:R),IF($C205&lt;&gt;0,SUMIF(куб!$C:$C,$C205,куб!R:R),IF($B205&lt;&gt;0,SUMIF(куб!$B:$B,$B205,куб!R:R))))))</f>
        <v>0</v>
      </c>
      <c r="AG205" s="27">
        <f>IF($G205&lt;&gt;0,SUMIF(куб!$G:$G,$G205,куб!S:S),IF($E205&lt;&gt;0,SUMIF(куб!$E:$E,$E205,куб!S:S),IF($D205&lt;&gt;0,SUMIF(куб!$D:$D,$D205,куб!S:S),IF($C205&lt;&gt;0,SUMIF(куб!$C:$C,$C205,куб!S:S),IF($B205&lt;&gt;0,SUMIF(куб!$B:$B,$B205,куб!S:S))))))</f>
        <v>24420</v>
      </c>
      <c r="AH205" s="16" t="str">
        <f t="shared" si="79"/>
        <v>-</v>
      </c>
      <c r="AI205" s="8"/>
      <c r="AJ205" s="27">
        <f>IF($G205&lt;&gt;0,SUMIF(куб!$G:$G,$G205,куб!T:T),IF($E205&lt;&gt;0,SUMIF(куб!$E:$E,$E205,куб!T:T),IF($D205&lt;&gt;0,SUMIF(куб!$D:$D,$D205,куб!T:T),IF($C205&lt;&gt;0,SUMIF(куб!$C:$C,$C205,куб!T:T),IF($B205&lt;&gt;0,SUMIF(куб!$B:$B,$B205,куб!T:T))))))</f>
        <v>0</v>
      </c>
      <c r="AK205" s="27">
        <f>IF($G205&lt;&gt;0,SUMIF(куб!$G:$G,$G205,куб!U:U),IF($E205&lt;&gt;0,SUMIF(куб!$E:$E,$E205,куб!U:U),IF($D205&lt;&gt;0,SUMIF(куб!$D:$D,$D205,куб!U:U),IF($C205&lt;&gt;0,SUMIF(куб!$C:$C,$C205,куб!U:U),IF($B205&lt;&gt;0,SUMIF(куб!$B:$B,$B205,куб!U:U))))))</f>
        <v>300</v>
      </c>
      <c r="AL205" s="16" t="str">
        <f t="shared" si="80"/>
        <v>-</v>
      </c>
      <c r="AM205" s="8"/>
      <c r="AN205" s="17" t="str">
        <f t="shared" si="81"/>
        <v xml:space="preserve"> </v>
      </c>
      <c r="AO205" s="17">
        <f t="shared" si="82"/>
        <v>8.6744090844512577E-3</v>
      </c>
      <c r="AP205" s="16" t="str">
        <f t="shared" si="83"/>
        <v>-</v>
      </c>
      <c r="AQ205" s="8"/>
      <c r="AR205" s="17" t="str">
        <f t="shared" si="84"/>
        <v>-</v>
      </c>
      <c r="AS205" s="17">
        <f t="shared" si="85"/>
        <v>0.14237432659732888</v>
      </c>
      <c r="AT205" s="13" t="str">
        <f t="shared" si="86"/>
        <v>-</v>
      </c>
      <c r="AU205" s="8"/>
    </row>
    <row r="206" spans="1:47" ht="15" customHeight="1" x14ac:dyDescent="0.25">
      <c r="A206" s="31" t="s">
        <v>26</v>
      </c>
      <c r="B206" s="31" t="s">
        <v>32</v>
      </c>
      <c r="C206" t="s">
        <v>33</v>
      </c>
      <c r="D206" s="31" t="s">
        <v>34</v>
      </c>
      <c r="E206" t="s">
        <v>413</v>
      </c>
      <c r="F206" s="31" t="s">
        <v>436</v>
      </c>
      <c r="G206" t="s">
        <v>437</v>
      </c>
      <c r="H206" s="27">
        <f>IF($G206&lt;&gt;0,SUMIF(куб!$G:$G,$G206,куб!H:H),IF($E206&lt;&gt;0,SUMIF(куб!$E:$E,$E206,куб!H:H),IF($D206&lt;&gt;0,SUMIF(куб!$D:$D,$D206,куб!H:H),IF($C206&lt;&gt;0,SUMIF(куб!$C:$C,$C206,куб!H:H),IF($B206&lt;&gt;0,SUMIF(куб!$B:$B,$B206,куб!H:H),IF($G206&lt;&gt;0,SUMIF(куб!$A:$A,$G206,куб!H:H),SUMIF(куб!$A:$A,$G206,куб!H:H)))))))</f>
        <v>49753.072200000002</v>
      </c>
      <c r="I206" s="27">
        <f>IF($G206&lt;&gt;0,SUMIF(куб!$G:$G,$G206,куб!I:I),IF($E206&lt;&gt;0,SUMIF(куб!$E:$E,$E206,куб!I:I),IF($D206&lt;&gt;0,SUMIF(куб!$D:$D,$D206,куб!I:I),IF($C206&lt;&gt;0,SUMIF(куб!$C:$C,$C206,куб!I:I),IF($B206&lt;&gt;0,SUMIF(куб!$B:$B,$B206,куб!I:I),IF($G206&lt;&gt;0,SUMIF(куб!$A:$A,$G206,куб!I:I),SUMIF(куб!$A:$A,$G206,куб!I:I)))))))</f>
        <v>0</v>
      </c>
      <c r="J206" s="19">
        <f t="shared" si="87"/>
        <v>-1</v>
      </c>
      <c r="K206" s="8"/>
      <c r="L206" s="17">
        <f t="shared" si="70"/>
        <v>1.0392879605465751E-4</v>
      </c>
      <c r="M206" s="17">
        <f t="shared" si="71"/>
        <v>0</v>
      </c>
      <c r="N206" s="12">
        <f t="shared" si="72"/>
        <v>-1.0392879605465751E-4</v>
      </c>
      <c r="O206" s="5"/>
      <c r="P206" s="27">
        <f>IF($G206&lt;&gt;0,SUMIF(куб!$G:$G,$G206,куб!J:J),IF($E206&lt;&gt;0,SUMIF(куб!$E:$E,$E206,куб!J:J),IF($D206&lt;&gt;0,SUMIF(куб!$D:$D,$D206,куб!J:J),IF($C206&lt;&gt;0,SUMIF(куб!$C:$C,$C206,куб!J:J),IF($B206&lt;&gt;0,SUMIF(куб!$B:$B,$B206,куб!J:J))))))</f>
        <v>548</v>
      </c>
      <c r="Q206" s="27">
        <f>IF($G206&lt;&gt;0,SUMIF(куб!$G:$G,$G206,куб!K:K),IF($E206&lt;&gt;0,SUMIF(куб!$E:$E,$E206,куб!K:K),IF($D206&lt;&gt;0,SUMIF(куб!$D:$D,$D206,куб!K:K),IF($C206&lt;&gt;0,SUMIF(куб!$C:$C,$C206,куб!K:K),IF($B206&lt;&gt;0,SUMIF(куб!$B:$B,$B206,куб!K:K))))))</f>
        <v>0</v>
      </c>
      <c r="R206" s="13">
        <f t="shared" si="73"/>
        <v>-1</v>
      </c>
      <c r="S206" s="5"/>
      <c r="T206" s="27">
        <f>IF($G206&lt;&gt;0,SUMIF(куб!$G:$G,$G206,куб!L:L),IF($E206&lt;&gt;0,SUMIF(куб!$E:$E,$E206,куб!L:L),IF($D206&lt;&gt;0,SUMIF(куб!$D:$D,$D206,куб!L:L),IF($C206&lt;&gt;0,SUMIF(куб!$C:$C,$C206,куб!L:L),IF($B206&lt;&gt;0,SUMIF(куб!$B:$B,$B206,куб!L:L))))))</f>
        <v>524.98400000000004</v>
      </c>
      <c r="U206" s="27">
        <f>IF($G206&lt;&gt;0,SUMIF(куб!$G:$G,$G206,куб!M:M),IF($E206&lt;&gt;0,SUMIF(куб!$E:$E,$E206,куб!M:M),IF($D206&lt;&gt;0,SUMIF(куб!$D:$D,$D206,куб!M:M),IF($C206&lt;&gt;0,SUMIF(куб!$C:$C,$C206,куб!M:M),IF($B206&lt;&gt;0,SUMIF(куб!$B:$B,$B206,куб!M:M))))))</f>
        <v>0</v>
      </c>
      <c r="V206" s="13">
        <f t="shared" si="74"/>
        <v>-1</v>
      </c>
      <c r="W206" s="5"/>
      <c r="X206" s="27">
        <f>IF($G206&lt;&gt;0,SUMIF(куб!$G:$G,$G206,куб!N:N),IF($E206&lt;&gt;0,SUMIF(куб!$E:$E,$E206,куб!N:N),IF($D206&lt;&gt;0,SUMIF(куб!$D:$D,$D206,куб!N:N),IF($C206&lt;&gt;0,SUMIF(куб!$C:$C,$C206,куб!N:N),IF($B206&lt;&gt;0,SUMIF(куб!$B:$B,$B206,куб!N:N))))))</f>
        <v>4003.2416999999987</v>
      </c>
      <c r="Y206" s="27">
        <f>IF($G206&lt;&gt;0,SUMIF(куб!$G:$G,$G206,куб!O:O),IF($E206&lt;&gt;0,SUMIF(куб!$E:$E,$E206,куб!O:O),IF($D206&lt;&gt;0,SUMIF(куб!$D:$D,$D206,куб!O:O),IF($C206&lt;&gt;0,SUMIF(куб!$C:$C,$C206,куб!O:O),IF($B206&lt;&gt;0,SUMIF(куб!$B:$B,$B206,куб!O:O))))))</f>
        <v>0</v>
      </c>
      <c r="Z206" s="13">
        <f t="shared" si="75"/>
        <v>-1</v>
      </c>
      <c r="AA206" s="5"/>
      <c r="AB206" s="33">
        <f t="shared" si="76"/>
        <v>8.0462201085946178E-2</v>
      </c>
      <c r="AC206" s="33" t="str">
        <f t="shared" si="77"/>
        <v/>
      </c>
      <c r="AD206" s="15" t="str">
        <f t="shared" si="78"/>
        <v xml:space="preserve"> </v>
      </c>
      <c r="AE206" s="5"/>
      <c r="AF206" s="27">
        <f>IF($G206&lt;&gt;0,SUMIF(куб!$G:$G,$G206,куб!R:R),IF($E206&lt;&gt;0,SUMIF(куб!$E:$E,$E206,куб!R:R),IF($D206&lt;&gt;0,SUMIF(куб!$D:$D,$D206,куб!R:R),IF($C206&lt;&gt;0,SUMIF(куб!$C:$C,$C206,куб!R:R),IF($B206&lt;&gt;0,SUMIF(куб!$B:$B,$B206,куб!R:R))))))</f>
        <v>0</v>
      </c>
      <c r="AG206" s="27">
        <f>IF($G206&lt;&gt;0,SUMIF(куб!$G:$G,$G206,куб!S:S),IF($E206&lt;&gt;0,SUMIF(куб!$E:$E,$E206,куб!S:S),IF($D206&lt;&gt;0,SUMIF(куб!$D:$D,$D206,куб!S:S),IF($C206&lt;&gt;0,SUMIF(куб!$C:$C,$C206,куб!S:S),IF($B206&lt;&gt;0,SUMIF(куб!$B:$B,$B206,куб!S:S))))))</f>
        <v>0</v>
      </c>
      <c r="AH206" s="16" t="str">
        <f t="shared" si="79"/>
        <v>-</v>
      </c>
      <c r="AI206" s="8"/>
      <c r="AJ206" s="27">
        <f>IF($G206&lt;&gt;0,SUMIF(куб!$G:$G,$G206,куб!T:T),IF($E206&lt;&gt;0,SUMIF(куб!$E:$E,$E206,куб!T:T),IF($D206&lt;&gt;0,SUMIF(куб!$D:$D,$D206,куб!T:T),IF($C206&lt;&gt;0,SUMIF(куб!$C:$C,$C206,куб!T:T),IF($B206&lt;&gt;0,SUMIF(куб!$B:$B,$B206,куб!T:T))))))</f>
        <v>0</v>
      </c>
      <c r="AK206" s="27">
        <f>IF($G206&lt;&gt;0,SUMIF(куб!$G:$G,$G206,куб!U:U),IF($E206&lt;&gt;0,SUMIF(куб!$E:$E,$E206,куб!U:U),IF($D206&lt;&gt;0,SUMIF(куб!$D:$D,$D206,куб!U:U),IF($C206&lt;&gt;0,SUMIF(куб!$C:$C,$C206,куб!U:U),IF($B206&lt;&gt;0,SUMIF(куб!$B:$B,$B206,куб!U:U))))))</f>
        <v>0</v>
      </c>
      <c r="AL206" s="16" t="str">
        <f t="shared" si="80"/>
        <v>-</v>
      </c>
      <c r="AM206" s="8"/>
      <c r="AN206" s="17">
        <f t="shared" si="81"/>
        <v>0</v>
      </c>
      <c r="AO206" s="17" t="str">
        <f t="shared" si="82"/>
        <v xml:space="preserve"> </v>
      </c>
      <c r="AP206" s="16" t="str">
        <f t="shared" si="83"/>
        <v>-</v>
      </c>
      <c r="AQ206" s="8"/>
      <c r="AR206" s="17">
        <f t="shared" si="84"/>
        <v>8.0462201085946178E-2</v>
      </c>
      <c r="AS206" s="17" t="str">
        <f t="shared" si="85"/>
        <v>-</v>
      </c>
      <c r="AT206" s="13" t="str">
        <f t="shared" si="86"/>
        <v>-</v>
      </c>
      <c r="AU206" s="8"/>
    </row>
    <row r="207" spans="1:47" ht="15" customHeight="1" x14ac:dyDescent="0.25">
      <c r="A207" s="31" t="s">
        <v>26</v>
      </c>
      <c r="B207" s="31" t="s">
        <v>32</v>
      </c>
      <c r="C207" t="s">
        <v>33</v>
      </c>
      <c r="D207" s="31" t="s">
        <v>34</v>
      </c>
      <c r="E207" t="s">
        <v>413</v>
      </c>
      <c r="F207" s="31" t="s">
        <v>438</v>
      </c>
      <c r="G207" t="s">
        <v>439</v>
      </c>
      <c r="H207" s="27">
        <f>IF($G207&lt;&gt;0,SUMIF(куб!$G:$G,$G207,куб!H:H),IF($E207&lt;&gt;0,SUMIF(куб!$E:$E,$E207,куб!H:H),IF($D207&lt;&gt;0,SUMIF(куб!$D:$D,$D207,куб!H:H),IF($C207&lt;&gt;0,SUMIF(куб!$C:$C,$C207,куб!H:H),IF($B207&lt;&gt;0,SUMIF(куб!$B:$B,$B207,куб!H:H),IF($G207&lt;&gt;0,SUMIF(куб!$A:$A,$G207,куб!H:H),SUMIF(куб!$A:$A,$G207,куб!H:H)))))))</f>
        <v>0</v>
      </c>
      <c r="I207" s="27">
        <f>IF($G207&lt;&gt;0,SUMIF(куб!$G:$G,$G207,куб!I:I),IF($E207&lt;&gt;0,SUMIF(куб!$E:$E,$E207,куб!I:I),IF($D207&lt;&gt;0,SUMIF(куб!$D:$D,$D207,куб!I:I),IF($C207&lt;&gt;0,SUMIF(куб!$C:$C,$C207,куб!I:I),IF($B207&lt;&gt;0,SUMIF(куб!$B:$B,$B207,куб!I:I),IF($G207&lt;&gt;0,SUMIF(куб!$A:$A,$G207,куб!I:I),SUMIF(куб!$A:$A,$G207,куб!I:I)))))))</f>
        <v>80725.902999999991</v>
      </c>
      <c r="J207" s="19" t="str">
        <f t="shared" si="87"/>
        <v>-</v>
      </c>
      <c r="K207" s="10"/>
      <c r="L207" s="17">
        <f t="shared" si="70"/>
        <v>0</v>
      </c>
      <c r="M207" s="17">
        <f t="shared" si="71"/>
        <v>1.7212175380291401E-4</v>
      </c>
      <c r="N207" s="12">
        <f t="shared" si="72"/>
        <v>1.7212175380291401E-4</v>
      </c>
      <c r="O207" s="5"/>
      <c r="P207" s="27">
        <f>IF($G207&lt;&gt;0,SUMIF(куб!$G:$G,$G207,куб!J:J),IF($E207&lt;&gt;0,SUMIF(куб!$E:$E,$E207,куб!J:J),IF($D207&lt;&gt;0,SUMIF(куб!$D:$D,$D207,куб!J:J),IF($C207&lt;&gt;0,SUMIF(куб!$C:$C,$C207,куб!J:J),IF($B207&lt;&gt;0,SUMIF(куб!$B:$B,$B207,куб!J:J))))))</f>
        <v>0</v>
      </c>
      <c r="Q207" s="27">
        <f>IF($G207&lt;&gt;0,SUMIF(куб!$G:$G,$G207,куб!K:K),IF($E207&lt;&gt;0,SUMIF(куб!$E:$E,$E207,куб!K:K),IF($D207&lt;&gt;0,SUMIF(куб!$D:$D,$D207,куб!K:K),IF($C207&lt;&gt;0,SUMIF(куб!$C:$C,$C207,куб!K:K),IF($B207&lt;&gt;0,SUMIF(куб!$B:$B,$B207,куб!K:K))))))</f>
        <v>889</v>
      </c>
      <c r="R207" s="13" t="str">
        <f t="shared" si="73"/>
        <v>-</v>
      </c>
      <c r="S207" s="5"/>
      <c r="T207" s="27">
        <f>IF($G207&lt;&gt;0,SUMIF(куб!$G:$G,$G207,куб!L:L),IF($E207&lt;&gt;0,SUMIF(куб!$E:$E,$E207,куб!L:L),IF($D207&lt;&gt;0,SUMIF(куб!$D:$D,$D207,куб!L:L),IF($C207&lt;&gt;0,SUMIF(куб!$C:$C,$C207,куб!L:L),IF($B207&lt;&gt;0,SUMIF(куб!$B:$B,$B207,куб!L:L))))))</f>
        <v>0</v>
      </c>
      <c r="U207" s="27">
        <f>IF($G207&lt;&gt;0,SUMIF(куб!$G:$G,$G207,куб!M:M),IF($E207&lt;&gt;0,SUMIF(куб!$E:$E,$E207,куб!M:M),IF($D207&lt;&gt;0,SUMIF(куб!$D:$D,$D207,куб!M:M),IF($C207&lt;&gt;0,SUMIF(куб!$C:$C,$C207,куб!M:M),IF($B207&lt;&gt;0,SUMIF(куб!$B:$B,$B207,куб!M:M))))))</f>
        <v>800.09999999999991</v>
      </c>
      <c r="V207" s="13" t="str">
        <f t="shared" si="74"/>
        <v>-</v>
      </c>
      <c r="W207" s="5"/>
      <c r="X207" s="27">
        <f>IF($G207&lt;&gt;0,SUMIF(куб!$G:$G,$G207,куб!N:N),IF($E207&lt;&gt;0,SUMIF(куб!$E:$E,$E207,куб!N:N),IF($D207&lt;&gt;0,SUMIF(куб!$D:$D,$D207,куб!N:N),IF($C207&lt;&gt;0,SUMIF(куб!$C:$C,$C207,куб!N:N),IF($B207&lt;&gt;0,SUMIF(куб!$B:$B,$B207,куб!N:N))))))</f>
        <v>0</v>
      </c>
      <c r="Y207" s="27">
        <f>IF($G207&lt;&gt;0,SUMIF(куб!$G:$G,$G207,куб!O:O),IF($E207&lt;&gt;0,SUMIF(куб!$E:$E,$E207,куб!O:O),IF($D207&lt;&gt;0,SUMIF(куб!$D:$D,$D207,куб!O:O),IF($C207&lt;&gt;0,SUMIF(куб!$C:$C,$C207,куб!O:O),IF($B207&lt;&gt;0,SUMIF(куб!$B:$B,$B207,куб!O:O))))))</f>
        <v>10009.999999999985</v>
      </c>
      <c r="Z207" s="13" t="str">
        <f t="shared" si="75"/>
        <v>-</v>
      </c>
      <c r="AA207" s="5"/>
      <c r="AB207" s="33" t="str">
        <f t="shared" si="76"/>
        <v/>
      </c>
      <c r="AC207" s="33">
        <f t="shared" si="77"/>
        <v>0.1239998516956817</v>
      </c>
      <c r="AD207" s="15" t="str">
        <f t="shared" si="78"/>
        <v xml:space="preserve"> </v>
      </c>
      <c r="AE207" s="5"/>
      <c r="AF207" s="27">
        <f>IF($G207&lt;&gt;0,SUMIF(куб!$G:$G,$G207,куб!R:R),IF($E207&lt;&gt;0,SUMIF(куб!$E:$E,$E207,куб!R:R),IF($D207&lt;&gt;0,SUMIF(куб!$D:$D,$D207,куб!R:R),IF($C207&lt;&gt;0,SUMIF(куб!$C:$C,$C207,куб!R:R),IF($B207&lt;&gt;0,SUMIF(куб!$B:$B,$B207,куб!R:R))))))</f>
        <v>0</v>
      </c>
      <c r="AG207" s="27">
        <f>IF($G207&lt;&gt;0,SUMIF(куб!$G:$G,$G207,куб!S:S),IF($E207&lt;&gt;0,SUMIF(куб!$E:$E,$E207,куб!S:S),IF($D207&lt;&gt;0,SUMIF(куб!$D:$D,$D207,куб!S:S),IF($C207&lt;&gt;0,SUMIF(куб!$C:$C,$C207,куб!S:S),IF($B207&lt;&gt;0,SUMIF(куб!$B:$B,$B207,куб!S:S))))))</f>
        <v>0</v>
      </c>
      <c r="AH207" s="16" t="str">
        <f t="shared" si="79"/>
        <v>-</v>
      </c>
      <c r="AI207" s="8"/>
      <c r="AJ207" s="27">
        <f>IF($G207&lt;&gt;0,SUMIF(куб!$G:$G,$G207,куб!T:T),IF($E207&lt;&gt;0,SUMIF(куб!$E:$E,$E207,куб!T:T),IF($D207&lt;&gt;0,SUMIF(куб!$D:$D,$D207,куб!T:T),IF($C207&lt;&gt;0,SUMIF(куб!$C:$C,$C207,куб!T:T),IF($B207&lt;&gt;0,SUMIF(куб!$B:$B,$B207,куб!T:T))))))</f>
        <v>0</v>
      </c>
      <c r="AK207" s="27">
        <f>IF($G207&lt;&gt;0,SUMIF(куб!$G:$G,$G207,куб!U:U),IF($E207&lt;&gt;0,SUMIF(куб!$E:$E,$E207,куб!U:U),IF($D207&lt;&gt;0,SUMIF(куб!$D:$D,$D207,куб!U:U),IF($C207&lt;&gt;0,SUMIF(куб!$C:$C,$C207,куб!U:U),IF($B207&lt;&gt;0,SUMIF(куб!$B:$B,$B207,куб!U:U))))))</f>
        <v>0</v>
      </c>
      <c r="AL207" s="16" t="str">
        <f t="shared" si="80"/>
        <v>-</v>
      </c>
      <c r="AM207" s="8"/>
      <c r="AN207" s="17" t="str">
        <f t="shared" si="81"/>
        <v xml:space="preserve"> </v>
      </c>
      <c r="AO207" s="17">
        <f t="shared" si="82"/>
        <v>0</v>
      </c>
      <c r="AP207" s="16" t="str">
        <f t="shared" si="83"/>
        <v>-</v>
      </c>
      <c r="AQ207" s="8"/>
      <c r="AR207" s="17" t="str">
        <f t="shared" si="84"/>
        <v>-</v>
      </c>
      <c r="AS207" s="17">
        <f t="shared" si="85"/>
        <v>0.1239998516956817</v>
      </c>
      <c r="AT207" s="13" t="str">
        <f t="shared" si="86"/>
        <v>-</v>
      </c>
      <c r="AU207" s="8"/>
    </row>
    <row r="208" spans="1:47" ht="15" customHeight="1" x14ac:dyDescent="0.25">
      <c r="A208" s="31" t="s">
        <v>26</v>
      </c>
      <c r="B208" s="31" t="s">
        <v>32</v>
      </c>
      <c r="C208" t="s">
        <v>33</v>
      </c>
      <c r="D208" s="31" t="s">
        <v>34</v>
      </c>
      <c r="E208" t="s">
        <v>413</v>
      </c>
      <c r="F208" s="46" t="s">
        <v>440</v>
      </c>
      <c r="G208" t="s">
        <v>441</v>
      </c>
      <c r="H208" s="27">
        <f>IF($G208&lt;&gt;0,SUMIF(куб!$G:$G,$G208,куб!H:H),IF($E208&lt;&gt;0,SUMIF(куб!$E:$E,$E208,куб!H:H),IF($D208&lt;&gt;0,SUMIF(куб!$D:$D,$D208,куб!H:H),IF($C208&lt;&gt;0,SUMIF(куб!$C:$C,$C208,куб!H:H),IF($B208&lt;&gt;0,SUMIF(куб!$B:$B,$B208,куб!H:H),IF($G208&lt;&gt;0,SUMIF(куб!$A:$A,$G208,куб!H:H),SUMIF(куб!$A:$A,$G208,куб!H:H)))))))</f>
        <v>10320216.150999969</v>
      </c>
      <c r="I208" s="27">
        <f>IF($G208&lt;&gt;0,SUMIF(куб!$G:$G,$G208,куб!I:I),IF($E208&lt;&gt;0,SUMIF(куб!$E:$E,$E208,куб!I:I),IF($D208&lt;&gt;0,SUMIF(куб!$D:$D,$D208,куб!I:I),IF($C208&lt;&gt;0,SUMIF(куб!$C:$C,$C208,куб!I:I),IF($B208&lt;&gt;0,SUMIF(куб!$B:$B,$B208,куб!I:I),IF($G208&lt;&gt;0,SUMIF(куб!$A:$A,$G208,куб!I:I),SUMIF(куб!$A:$A,$G208,куб!I:I)))))))</f>
        <v>3159.6995999999999</v>
      </c>
      <c r="J208" s="19">
        <f t="shared" si="87"/>
        <v>-0.99969383397074552</v>
      </c>
      <c r="K208" s="5"/>
      <c r="L208" s="17">
        <f t="shared" si="70"/>
        <v>2.155781727981932E-2</v>
      </c>
      <c r="M208" s="17">
        <f t="shared" si="71"/>
        <v>6.7370325562337277E-6</v>
      </c>
      <c r="N208" s="12">
        <f t="shared" si="72"/>
        <v>-2.1551080247263085E-2</v>
      </c>
      <c r="O208" s="5"/>
      <c r="P208" s="27">
        <f>IF($G208&lt;&gt;0,SUMIF(куб!$G:$G,$G208,куб!J:J),IF($E208&lt;&gt;0,SUMIF(куб!$E:$E,$E208,куб!J:J),IF($D208&lt;&gt;0,SUMIF(куб!$D:$D,$D208,куб!J:J),IF($C208&lt;&gt;0,SUMIF(куб!$C:$C,$C208,куб!J:J),IF($B208&lt;&gt;0,SUMIF(куб!$B:$B,$B208,куб!J:J))))))</f>
        <v>111476</v>
      </c>
      <c r="Q208" s="27">
        <f>IF($G208&lt;&gt;0,SUMIF(куб!$G:$G,$G208,куб!K:K),IF($E208&lt;&gt;0,SUMIF(куб!$E:$E,$E208,куб!K:K),IF($D208&lt;&gt;0,SUMIF(куб!$D:$D,$D208,куб!K:K),IF($C208&lt;&gt;0,SUMIF(куб!$C:$C,$C208,куб!K:K),IF($B208&lt;&gt;0,SUMIF(куб!$B:$B,$B208,куб!K:K))))))</f>
        <v>40</v>
      </c>
      <c r="R208" s="13">
        <f t="shared" si="73"/>
        <v>-0.99964117837023214</v>
      </c>
      <c r="S208" s="5"/>
      <c r="T208" s="27">
        <f>IF($G208&lt;&gt;0,SUMIF(куб!$G:$G,$G208,куб!L:L),IF($E208&lt;&gt;0,SUMIF(куб!$E:$E,$E208,куб!L:L),IF($D208&lt;&gt;0,SUMIF(куб!$D:$D,$D208,куб!L:L),IF($C208&lt;&gt;0,SUMIF(куб!$C:$C,$C208,куб!L:L),IF($B208&lt;&gt;0,SUMIF(куб!$B:$B,$B208,куб!L:L))))))</f>
        <v>100328.4</v>
      </c>
      <c r="U208" s="27">
        <f>IF($G208&lt;&gt;0,SUMIF(куб!$G:$G,$G208,куб!M:M),IF($E208&lt;&gt;0,SUMIF(куб!$E:$E,$E208,куб!M:M),IF($D208&lt;&gt;0,SUMIF(куб!$D:$D,$D208,куб!M:M),IF($C208&lt;&gt;0,SUMIF(куб!$C:$C,$C208,куб!M:M),IF($B208&lt;&gt;0,SUMIF(куб!$B:$B,$B208,куб!M:M))))))</f>
        <v>36</v>
      </c>
      <c r="V208" s="13">
        <f t="shared" si="74"/>
        <v>-0.99964117837023214</v>
      </c>
      <c r="W208" s="5"/>
      <c r="X208" s="27">
        <f>IF($G208&lt;&gt;0,SUMIF(куб!$G:$G,$G208,куб!N:N),IF($E208&lt;&gt;0,SUMIF(куб!$E:$E,$E208,куб!N:N),IF($D208&lt;&gt;0,SUMIF(куб!$D:$D,$D208,куб!N:N),IF($C208&lt;&gt;0,SUMIF(куб!$C:$C,$C208,куб!N:N),IF($B208&lt;&gt;0,SUMIF(куб!$B:$B,$B208,куб!N:N))))))</f>
        <v>970555.09770002216</v>
      </c>
      <c r="Y208" s="27">
        <f>IF($G208&lt;&gt;0,SUMIF(куб!$G:$G,$G208,куб!O:O),IF($E208&lt;&gt;0,SUMIF(куб!$E:$E,$E208,куб!O:O),IF($D208&lt;&gt;0,SUMIF(куб!$D:$D,$D208,куб!O:O),IF($C208&lt;&gt;0,SUMIF(куб!$C:$C,$C208,куб!O:O),IF($B208&lt;&gt;0,SUMIF(куб!$B:$B,$B208,куб!O:O))))))</f>
        <v>-194.48120000000017</v>
      </c>
      <c r="Z208" s="13">
        <f t="shared" si="75"/>
        <v>-1.0002003814110718</v>
      </c>
      <c r="AA208" s="5"/>
      <c r="AB208" s="33">
        <f t="shared" si="76"/>
        <v>9.4044066858617201E-2</v>
      </c>
      <c r="AC208" s="33">
        <f t="shared" si="77"/>
        <v>-6.1550534740707687E-2</v>
      </c>
      <c r="AD208" s="15">
        <f t="shared" si="78"/>
        <v>-0.15559460159932489</v>
      </c>
      <c r="AE208" s="5"/>
      <c r="AF208" s="27">
        <f>IF($G208&lt;&gt;0,SUMIF(куб!$G:$G,$G208,куб!R:R),IF($E208&lt;&gt;0,SUMIF(куб!$E:$E,$E208,куб!R:R),IF($D208&lt;&gt;0,SUMIF(куб!$D:$D,$D208,куб!R:R),IF($C208&lt;&gt;0,SUMIF(куб!$C:$C,$C208,куб!R:R),IF($B208&lt;&gt;0,SUMIF(куб!$B:$B,$B208,куб!R:R))))))</f>
        <v>88801.940599999973</v>
      </c>
      <c r="AG208" s="27">
        <f>IF($G208&lt;&gt;0,SUMIF(куб!$G:$G,$G208,куб!S:S),IF($E208&lt;&gt;0,SUMIF(куб!$E:$E,$E208,куб!S:S),IF($D208&lt;&gt;0,SUMIF(куб!$D:$D,$D208,куб!S:S),IF($C208&lt;&gt;0,SUMIF(куб!$C:$C,$C208,куб!S:S),IF($B208&lt;&gt;0,SUMIF(куб!$B:$B,$B208,куб!S:S))))))</f>
        <v>0</v>
      </c>
      <c r="AH208" s="16">
        <f t="shared" si="79"/>
        <v>-1</v>
      </c>
      <c r="AI208" s="8"/>
      <c r="AJ208" s="27">
        <f>IF($G208&lt;&gt;0,SUMIF(куб!$G:$G,$G208,куб!T:T),IF($E208&lt;&gt;0,SUMIF(куб!$E:$E,$E208,куб!T:T),IF($D208&lt;&gt;0,SUMIF(куб!$D:$D,$D208,куб!T:T),IF($C208&lt;&gt;0,SUMIF(куб!$C:$C,$C208,куб!T:T),IF($B208&lt;&gt;0,SUMIF(куб!$B:$B,$B208,куб!T:T))))))</f>
        <v>1059</v>
      </c>
      <c r="AK208" s="27">
        <f>IF($G208&lt;&gt;0,SUMIF(куб!$G:$G,$G208,куб!U:U),IF($E208&lt;&gt;0,SUMIF(куб!$E:$E,$E208,куб!U:U),IF($D208&lt;&gt;0,SUMIF(куб!$D:$D,$D208,куб!U:U),IF($C208&lt;&gt;0,SUMIF(куб!$C:$C,$C208,куб!U:U),IF($B208&lt;&gt;0,SUMIF(куб!$B:$B,$B208,куб!U:U))))))</f>
        <v>0</v>
      </c>
      <c r="AL208" s="16">
        <f t="shared" si="80"/>
        <v>-1</v>
      </c>
      <c r="AM208" s="8"/>
      <c r="AN208" s="17">
        <f t="shared" si="81"/>
        <v>8.6046589820112998E-3</v>
      </c>
      <c r="AO208" s="17">
        <f t="shared" si="82"/>
        <v>0</v>
      </c>
      <c r="AP208" s="16">
        <f t="shared" si="83"/>
        <v>-8.6046589820112998E-3</v>
      </c>
      <c r="AQ208" s="8"/>
      <c r="AR208" s="17">
        <f t="shared" si="84"/>
        <v>8.5439407876605908E-2</v>
      </c>
      <c r="AS208" s="17">
        <f t="shared" si="85"/>
        <v>-6.1550534740707687E-2</v>
      </c>
      <c r="AT208" s="13">
        <f t="shared" si="86"/>
        <v>-0.1469899426173136</v>
      </c>
      <c r="AU208" s="8"/>
    </row>
    <row r="209" spans="1:47" ht="15" customHeight="1" x14ac:dyDescent="0.25">
      <c r="A209" s="31" t="s">
        <v>26</v>
      </c>
      <c r="B209" s="31" t="s">
        <v>32</v>
      </c>
      <c r="C209" t="s">
        <v>33</v>
      </c>
      <c r="D209" s="31" t="s">
        <v>34</v>
      </c>
      <c r="E209" t="s">
        <v>413</v>
      </c>
      <c r="F209" s="31" t="s">
        <v>442</v>
      </c>
      <c r="G209" t="s">
        <v>443</v>
      </c>
      <c r="H209" s="27">
        <f>IF($G209&lt;&gt;0,SUMIF(куб!$G:$G,$G209,куб!H:H),IF($E209&lt;&gt;0,SUMIF(куб!$E:$E,$E209,куб!H:H),IF($D209&lt;&gt;0,SUMIF(куб!$D:$D,$D209,куб!H:H),IF($C209&lt;&gt;0,SUMIF(куб!$C:$C,$C209,куб!H:H),IF($B209&lt;&gt;0,SUMIF(куб!$B:$B,$B209,куб!H:H),IF($G209&lt;&gt;0,SUMIF(куб!$A:$A,$G209,куб!H:H),SUMIF(куб!$A:$A,$G209,куб!H:H)))))))</f>
        <v>0</v>
      </c>
      <c r="I209" s="27">
        <f>IF($G209&lt;&gt;0,SUMIF(куб!$G:$G,$G209,куб!I:I),IF($E209&lt;&gt;0,SUMIF(куб!$E:$E,$E209,куб!I:I),IF($D209&lt;&gt;0,SUMIF(куб!$D:$D,$D209,куб!I:I),IF($C209&lt;&gt;0,SUMIF(куб!$C:$C,$C209,куб!I:I),IF($B209&lt;&gt;0,SUMIF(куб!$B:$B,$B209,куб!I:I),IF($G209&lt;&gt;0,SUMIF(куб!$A:$A,$G209,куб!I:I),SUMIF(куб!$A:$A,$G209,куб!I:I)))))))</f>
        <v>109405.18279999998</v>
      </c>
      <c r="J209" s="19" t="str">
        <f t="shared" si="87"/>
        <v>-</v>
      </c>
      <c r="K209" s="5"/>
      <c r="L209" s="17">
        <f t="shared" si="70"/>
        <v>0</v>
      </c>
      <c r="M209" s="17">
        <f t="shared" si="71"/>
        <v>2.3327099776963042E-4</v>
      </c>
      <c r="N209" s="12">
        <f t="shared" si="72"/>
        <v>2.3327099776963042E-4</v>
      </c>
      <c r="O209" s="5"/>
      <c r="P209" s="27">
        <f>IF($G209&lt;&gt;0,SUMIF(куб!$G:$G,$G209,куб!J:J),IF($E209&lt;&gt;0,SUMIF(куб!$E:$E,$E209,куб!J:J),IF($D209&lt;&gt;0,SUMIF(куб!$D:$D,$D209,куб!J:J),IF($C209&lt;&gt;0,SUMIF(куб!$C:$C,$C209,куб!J:J),IF($B209&lt;&gt;0,SUMIF(куб!$B:$B,$B209,куб!J:J))))))</f>
        <v>0</v>
      </c>
      <c r="Q209" s="27">
        <f>IF($G209&lt;&gt;0,SUMIF(куб!$G:$G,$G209,куб!K:K),IF($E209&lt;&gt;0,SUMIF(куб!$E:$E,$E209,куб!K:K),IF($D209&lt;&gt;0,SUMIF(куб!$D:$D,$D209,куб!K:K),IF($C209&lt;&gt;0,SUMIF(куб!$C:$C,$C209,куб!K:K),IF($B209&lt;&gt;0,SUMIF(куб!$B:$B,$B209,куб!K:K))))))</f>
        <v>1193</v>
      </c>
      <c r="R209" s="13" t="str">
        <f t="shared" si="73"/>
        <v>-</v>
      </c>
      <c r="S209" s="5"/>
      <c r="T209" s="27">
        <f>IF($G209&lt;&gt;0,SUMIF(куб!$G:$G,$G209,куб!L:L),IF($E209&lt;&gt;0,SUMIF(куб!$E:$E,$E209,куб!L:L),IF($D209&lt;&gt;0,SUMIF(куб!$D:$D,$D209,куб!L:L),IF($C209&lt;&gt;0,SUMIF(куб!$C:$C,$C209,куб!L:L),IF($B209&lt;&gt;0,SUMIF(куб!$B:$B,$B209,куб!L:L))))))</f>
        <v>0</v>
      </c>
      <c r="U209" s="27">
        <f>IF($G209&lt;&gt;0,SUMIF(куб!$G:$G,$G209,куб!M:M),IF($E209&lt;&gt;0,SUMIF(куб!$E:$E,$E209,куб!M:M),IF($D209&lt;&gt;0,SUMIF(куб!$D:$D,$D209,куб!M:M),IF($C209&lt;&gt;0,SUMIF(куб!$C:$C,$C209,куб!M:M),IF($B209&lt;&gt;0,SUMIF(куб!$B:$B,$B209,куб!M:M))))))</f>
        <v>1109.4900000000002</v>
      </c>
      <c r="V209" s="13" t="str">
        <f t="shared" si="74"/>
        <v>-</v>
      </c>
      <c r="W209" s="5"/>
      <c r="X209" s="27">
        <f>IF($G209&lt;&gt;0,SUMIF(куб!$G:$G,$G209,куб!N:N),IF($E209&lt;&gt;0,SUMIF(куб!$E:$E,$E209,куб!N:N),IF($D209&lt;&gt;0,SUMIF(куб!$D:$D,$D209,куб!N:N),IF($C209&lt;&gt;0,SUMIF(куб!$C:$C,$C209,куб!N:N),IF($B209&lt;&gt;0,SUMIF(куб!$B:$B,$B209,куб!N:N))))))</f>
        <v>0</v>
      </c>
      <c r="Y209" s="27">
        <f>IF($G209&lt;&gt;0,SUMIF(куб!$G:$G,$G209,куб!O:O),IF($E209&lt;&gt;0,SUMIF(куб!$E:$E,$E209,куб!O:O),IF($D209&lt;&gt;0,SUMIF(куб!$D:$D,$D209,куб!O:O),IF($C209&lt;&gt;0,SUMIF(куб!$C:$C,$C209,куб!O:O),IF($B209&lt;&gt;0,SUMIF(куб!$B:$B,$B209,куб!O:O))))))</f>
        <v>23335.669800000018</v>
      </c>
      <c r="Z209" s="13" t="str">
        <f t="shared" si="75"/>
        <v>-</v>
      </c>
      <c r="AA209" s="5"/>
      <c r="AB209" s="33" t="str">
        <f t="shared" si="76"/>
        <v/>
      </c>
      <c r="AC209" s="33">
        <f t="shared" si="77"/>
        <v>0.21329583482949971</v>
      </c>
      <c r="AD209" s="15" t="str">
        <f t="shared" si="78"/>
        <v xml:space="preserve"> </v>
      </c>
      <c r="AE209" s="5"/>
      <c r="AF209" s="27">
        <f>IF($G209&lt;&gt;0,SUMIF(куб!$G:$G,$G209,куб!R:R),IF($E209&lt;&gt;0,SUMIF(куб!$E:$E,$E209,куб!R:R),IF($D209&lt;&gt;0,SUMIF(куб!$D:$D,$D209,куб!R:R),IF($C209&lt;&gt;0,SUMIF(куб!$C:$C,$C209,куб!R:R),IF($B209&lt;&gt;0,SUMIF(куб!$B:$B,$B209,куб!R:R))))))</f>
        <v>0</v>
      </c>
      <c r="AG209" s="27">
        <f>IF($G209&lt;&gt;0,SUMIF(куб!$G:$G,$G209,куб!S:S),IF($E209&lt;&gt;0,SUMIF(куб!$E:$E,$E209,куб!S:S),IF($D209&lt;&gt;0,SUMIF(куб!$D:$D,$D209,куб!S:S),IF($C209&lt;&gt;0,SUMIF(куб!$C:$C,$C209,куб!S:S),IF($B209&lt;&gt;0,SUMIF(куб!$B:$B,$B209,куб!S:S))))))</f>
        <v>72.145399999999995</v>
      </c>
      <c r="AH209" s="16" t="str">
        <f t="shared" si="79"/>
        <v>-</v>
      </c>
      <c r="AI209" s="8"/>
      <c r="AJ209" s="27">
        <f>IF($G209&lt;&gt;0,SUMIF(куб!$G:$G,$G209,куб!T:T),IF($E209&lt;&gt;0,SUMIF(куб!$E:$E,$E209,куб!T:T),IF($D209&lt;&gt;0,SUMIF(куб!$D:$D,$D209,куб!T:T),IF($C209&lt;&gt;0,SUMIF(куб!$C:$C,$C209,куб!T:T),IF($B209&lt;&gt;0,SUMIF(куб!$B:$B,$B209,куб!T:T))))))</f>
        <v>0</v>
      </c>
      <c r="AK209" s="27">
        <f>IF($G209&lt;&gt;0,SUMIF(куб!$G:$G,$G209,куб!U:U),IF($E209&lt;&gt;0,SUMIF(куб!$E:$E,$E209,куб!U:U),IF($D209&lt;&gt;0,SUMIF(куб!$D:$D,$D209,куб!U:U),IF($C209&lt;&gt;0,SUMIF(куб!$C:$C,$C209,куб!U:U),IF($B209&lt;&gt;0,SUMIF(куб!$B:$B,$B209,куб!U:U))))))</f>
        <v>1</v>
      </c>
      <c r="AL209" s="16" t="str">
        <f t="shared" si="80"/>
        <v>-</v>
      </c>
      <c r="AM209" s="8"/>
      <c r="AN209" s="17" t="str">
        <f t="shared" si="81"/>
        <v xml:space="preserve"> </v>
      </c>
      <c r="AO209" s="17">
        <f t="shared" si="82"/>
        <v>6.5943311051256716E-4</v>
      </c>
      <c r="AP209" s="16" t="str">
        <f t="shared" si="83"/>
        <v>-</v>
      </c>
      <c r="AQ209" s="8"/>
      <c r="AR209" s="17" t="str">
        <f t="shared" si="84"/>
        <v>-</v>
      </c>
      <c r="AS209" s="17">
        <f t="shared" si="85"/>
        <v>0.21263640171898712</v>
      </c>
      <c r="AT209" s="13" t="str">
        <f t="shared" si="86"/>
        <v>-</v>
      </c>
      <c r="AU209" s="8"/>
    </row>
    <row r="210" spans="1:47" x14ac:dyDescent="0.25">
      <c r="A210" s="31" t="s">
        <v>26</v>
      </c>
      <c r="B210" s="31" t="s">
        <v>32</v>
      </c>
      <c r="C210" t="s">
        <v>33</v>
      </c>
      <c r="D210" s="31" t="s">
        <v>34</v>
      </c>
      <c r="E210" s="47" t="s">
        <v>444</v>
      </c>
      <c r="F210"/>
      <c r="G210"/>
      <c r="H210" s="27">
        <f>IF($G210&lt;&gt;0,SUMIF(куб!$G:$G,$G210,куб!H:H),IF($E210&lt;&gt;0,SUMIF(куб!$E:$E,$E210,куб!H:H),IF($D210&lt;&gt;0,SUMIF(куб!$D:$D,$D210,куб!H:H),IF($C210&lt;&gt;0,SUMIF(куб!$C:$C,$C210,куб!H:H),IF($B210&lt;&gt;0,SUMIF(куб!$B:$B,$B210,куб!H:H),IF($G210&lt;&gt;0,SUMIF(куб!$A:$A,$G210,куб!H:H),SUMIF(куб!$A:$A,$G210,куб!H:H)))))))</f>
        <v>32418590.405399676</v>
      </c>
      <c r="I210" s="27">
        <f>IF($G210&lt;&gt;0,SUMIF(куб!$G:$G,$G210,куб!I:I),IF($E210&lt;&gt;0,SUMIF(куб!$E:$E,$E210,куб!I:I),IF($D210&lt;&gt;0,SUMIF(куб!$D:$D,$D210,куб!I:I),IF($C210&lt;&gt;0,SUMIF(куб!$C:$C,$C210,куб!I:I),IF($B210&lt;&gt;0,SUMIF(куб!$B:$B,$B210,куб!I:I),IF($G210&lt;&gt;0,SUMIF(куб!$A:$A,$G210,куб!I:I),SUMIF(куб!$A:$A,$G210,куб!I:I)))))))</f>
        <v>29820690.762399871</v>
      </c>
      <c r="J210" s="19">
        <f t="shared" si="87"/>
        <v>-8.0136107415919491E-2</v>
      </c>
      <c r="K210" s="8"/>
      <c r="L210" s="17">
        <f t="shared" si="70"/>
        <v>6.7718935166022967E-2</v>
      </c>
      <c r="M210" s="17">
        <f t="shared" si="71"/>
        <v>6.3582931907725126E-2</v>
      </c>
      <c r="N210" s="12">
        <f t="shared" si="72"/>
        <v>-4.1360032582978407E-3</v>
      </c>
      <c r="O210" s="5"/>
      <c r="P210" s="27">
        <f>IF($G210&lt;&gt;0,SUMIF(куб!$G:$G,$G210,куб!J:J),IF($E210&lt;&gt;0,SUMIF(куб!$E:$E,$E210,куб!J:J),IF($D210&lt;&gt;0,SUMIF(куб!$D:$D,$D210,куб!J:J),IF($C210&lt;&gt;0,SUMIF(куб!$C:$C,$C210,куб!J:J),IF($B210&lt;&gt;0,SUMIF(куб!$B:$B,$B210,куб!J:J))))))</f>
        <v>371245</v>
      </c>
      <c r="Q210" s="27">
        <f>IF($G210&lt;&gt;0,SUMIF(куб!$G:$G,$G210,куб!K:K),IF($E210&lt;&gt;0,SUMIF(куб!$E:$E,$E210,куб!K:K),IF($D210&lt;&gt;0,SUMIF(куб!$D:$D,$D210,куб!K:K),IF($C210&lt;&gt;0,SUMIF(куб!$C:$C,$C210,куб!K:K),IF($B210&lt;&gt;0,SUMIF(куб!$B:$B,$B210,куб!K:K))))))</f>
        <v>344707</v>
      </c>
      <c r="R210" s="13">
        <f t="shared" si="73"/>
        <v>-7.1483791027488586E-2</v>
      </c>
      <c r="S210" s="5"/>
      <c r="T210" s="27">
        <f>IF($G210&lt;&gt;0,SUMIF(куб!$G:$G,$G210,куб!L:L),IF($E210&lt;&gt;0,SUMIF(куб!$E:$E,$E210,куб!L:L),IF($D210&lt;&gt;0,SUMIF(куб!$D:$D,$D210,куб!L:L),IF($C210&lt;&gt;0,SUMIF(куб!$C:$C,$C210,куб!L:L),IF($B210&lt;&gt;0,SUMIF(куб!$B:$B,$B210,куб!L:L))))))</f>
        <v>335265.74400000065</v>
      </c>
      <c r="U210" s="27">
        <f>IF($G210&lt;&gt;0,SUMIF(куб!$G:$G,$G210,куб!M:M),IF($E210&lt;&gt;0,SUMIF(куб!$E:$E,$E210,куб!M:M),IF($D210&lt;&gt;0,SUMIF(куб!$D:$D,$D210,куб!M:M),IF($C210&lt;&gt;0,SUMIF(куб!$C:$C,$C210,куб!M:M),IF($B210&lt;&gt;0,SUMIF(куб!$B:$B,$B210,куб!M:M))))))</f>
        <v>312829.51919999946</v>
      </c>
      <c r="V210" s="13">
        <f t="shared" si="74"/>
        <v>-6.6920719463665651E-2</v>
      </c>
      <c r="W210" s="5"/>
      <c r="X210" s="27">
        <f>IF($G210&lt;&gt;0,SUMIF(куб!$G:$G,$G210,куб!N:N),IF($E210&lt;&gt;0,SUMIF(куб!$E:$E,$E210,куб!N:N),IF($D210&lt;&gt;0,SUMIF(куб!$D:$D,$D210,куб!N:N),IF($C210&lt;&gt;0,SUMIF(куб!$C:$C,$C210,куб!N:N),IF($B210&lt;&gt;0,SUMIF(куб!$B:$B,$B210,куб!N:N))))))</f>
        <v>3696382.7422001027</v>
      </c>
      <c r="Y210" s="27">
        <f>IF($G210&lt;&gt;0,SUMIF(куб!$G:$G,$G210,куб!O:O),IF($E210&lt;&gt;0,SUMIF(куб!$E:$E,$E210,куб!O:O),IF($D210&lt;&gt;0,SUMIF(куб!$D:$D,$D210,куб!O:O),IF($C210&lt;&gt;0,SUMIF(куб!$C:$C,$C210,куб!O:O),IF($B210&lt;&gt;0,SUMIF(куб!$B:$B,$B210,куб!O:O))))))</f>
        <v>3396780.2657000497</v>
      </c>
      <c r="Z210" s="13">
        <f t="shared" si="75"/>
        <v>-8.105288261402506E-2</v>
      </c>
      <c r="AA210" s="5"/>
      <c r="AB210" s="33">
        <f t="shared" si="76"/>
        <v>0.11402046467709555</v>
      </c>
      <c r="AC210" s="33">
        <f t="shared" si="77"/>
        <v>0.11390682706729789</v>
      </c>
      <c r="AD210" s="15">
        <f t="shared" si="78"/>
        <v>-1.1363760979765658E-4</v>
      </c>
      <c r="AE210" s="5"/>
      <c r="AF210" s="27">
        <f>IF($G210&lt;&gt;0,SUMIF(куб!$G:$G,$G210,куб!R:R),IF($E210&lt;&gt;0,SUMIF(куб!$E:$E,$E210,куб!R:R),IF($D210&lt;&gt;0,SUMIF(куб!$D:$D,$D210,куб!R:R),IF($C210&lt;&gt;0,SUMIF(куб!$C:$C,$C210,куб!R:R),IF($B210&lt;&gt;0,SUMIF(куб!$B:$B,$B210,куб!R:R))))))</f>
        <v>188140.97609999991</v>
      </c>
      <c r="AG210" s="27">
        <f>IF($G210&lt;&gt;0,SUMIF(куб!$G:$G,$G210,куб!S:S),IF($E210&lt;&gt;0,SUMIF(куб!$E:$E,$E210,куб!S:S),IF($D210&lt;&gt;0,SUMIF(куб!$D:$D,$D210,куб!S:S),IF($C210&lt;&gt;0,SUMIF(куб!$C:$C,$C210,куб!S:S),IF($B210&lt;&gt;0,SUMIF(куб!$B:$B,$B210,куб!S:S))))))</f>
        <v>189344.33980000005</v>
      </c>
      <c r="AH210" s="16">
        <f t="shared" si="79"/>
        <v>6.3960745019230993E-3</v>
      </c>
      <c r="AI210" s="8"/>
      <c r="AJ210" s="27">
        <f>IF($G210&lt;&gt;0,SUMIF(куб!$G:$G,$G210,куб!T:T),IF($E210&lt;&gt;0,SUMIF(куб!$E:$E,$E210,куб!T:T),IF($D210&lt;&gt;0,SUMIF(куб!$D:$D,$D210,куб!T:T),IF($C210&lt;&gt;0,SUMIF(куб!$C:$C,$C210,куб!T:T),IF($B210&lt;&gt;0,SUMIF(куб!$B:$B,$B210,куб!T:T))))))</f>
        <v>2552.6666999999998</v>
      </c>
      <c r="AK210" s="27">
        <f>IF($G210&lt;&gt;0,SUMIF(куб!$G:$G,$G210,куб!U:U),IF($E210&lt;&gt;0,SUMIF(куб!$E:$E,$E210,куб!U:U),IF($D210&lt;&gt;0,SUMIF(куб!$D:$D,$D210,куб!U:U),IF($C210&lt;&gt;0,SUMIF(куб!$C:$C,$C210,куб!U:U),IF($B210&lt;&gt;0,SUMIF(куб!$B:$B,$B210,куб!U:U))))))</f>
        <v>2766</v>
      </c>
      <c r="AL210" s="16">
        <f t="shared" si="80"/>
        <v>8.3572720245851231E-2</v>
      </c>
      <c r="AM210" s="8"/>
      <c r="AN210" s="17">
        <f t="shared" si="81"/>
        <v>5.8034903352448949E-3</v>
      </c>
      <c r="AO210" s="17">
        <f t="shared" si="82"/>
        <v>6.3494283653126966E-3</v>
      </c>
      <c r="AP210" s="16">
        <f t="shared" si="83"/>
        <v>5.459380300678017E-4</v>
      </c>
      <c r="AQ210" s="8"/>
      <c r="AR210" s="17">
        <f t="shared" si="84"/>
        <v>0.10821697434185065</v>
      </c>
      <c r="AS210" s="17">
        <f t="shared" si="85"/>
        <v>0.10755739870198519</v>
      </c>
      <c r="AT210" s="13">
        <f t="shared" si="86"/>
        <v>-6.5957563986546175E-4</v>
      </c>
      <c r="AU210" s="8"/>
    </row>
    <row r="211" spans="1:47" ht="15" customHeight="1" x14ac:dyDescent="0.25">
      <c r="A211" s="31" t="s">
        <v>26</v>
      </c>
      <c r="B211" s="31" t="s">
        <v>32</v>
      </c>
      <c r="C211" t="s">
        <v>33</v>
      </c>
      <c r="D211" s="31" t="s">
        <v>445</v>
      </c>
      <c r="E211" s="31"/>
      <c r="F211" s="31"/>
      <c r="G211" s="31"/>
      <c r="H211" s="27">
        <f>IF($G211&lt;&gt;0,SUMIF(куб!$G:$G,$G211,куб!H:H),IF($E211&lt;&gt;0,SUMIF(куб!$E:$E,$E211,куб!H:H),IF($D211&lt;&gt;0,SUMIF(куб!$D:$D,$D211,куб!H:H),IF($C211&lt;&gt;0,SUMIF(куб!$C:$C,$C211,куб!H:H),IF($B211&lt;&gt;0,SUMIF(куб!$B:$B,$B211,куб!H:H),IF($G211&lt;&gt;0,SUMIF(куб!$A:$A,$G211,куб!H:H),SUMIF(куб!$A:$A,$G211,куб!H:H)))))))</f>
        <v>398656628.23679918</v>
      </c>
      <c r="I211" s="27">
        <f>IF($G211&lt;&gt;0,SUMIF(куб!$G:$G,$G211,куб!I:I),IF($E211&lt;&gt;0,SUMIF(куб!$E:$E,$E211,куб!I:I),IF($D211&lt;&gt;0,SUMIF(куб!$D:$D,$D211,куб!I:I),IF($C211&lt;&gt;0,SUMIF(куб!$C:$C,$C211,куб!I:I),IF($B211&lt;&gt;0,SUMIF(куб!$B:$B,$B211,куб!I:I),IF($G211&lt;&gt;0,SUMIF(куб!$A:$A,$G211,куб!I:I),SUMIF(куб!$A:$A,$G211,куб!I:I)))))))</f>
        <v>394763813.78839988</v>
      </c>
      <c r="J211" s="19">
        <f t="shared" si="87"/>
        <v>-9.7648306153008489E-3</v>
      </c>
      <c r="K211" s="10"/>
      <c r="L211" s="17">
        <f t="shared" si="70"/>
        <v>0.83275065397589088</v>
      </c>
      <c r="M211" s="17">
        <f t="shared" si="71"/>
        <v>0.84170554236087469</v>
      </c>
      <c r="N211" s="12">
        <f t="shared" si="72"/>
        <v>8.9548883849838168E-3</v>
      </c>
      <c r="O211" s="5"/>
      <c r="P211" s="27">
        <f>IF($G211&lt;&gt;0,SUMIF(куб!$G:$G,$G211,куб!J:J),IF($E211&lt;&gt;0,SUMIF(куб!$E:$E,$E211,куб!J:J),IF($D211&lt;&gt;0,SUMIF(куб!$D:$D,$D211,куб!J:J),IF($C211&lt;&gt;0,SUMIF(куб!$C:$C,$C211,куб!J:J),IF($B211&lt;&gt;0,SUMIF(куб!$B:$B,$B211,куб!J:J))))))</f>
        <v>5043675</v>
      </c>
      <c r="Q211" s="27">
        <f>IF($G211&lt;&gt;0,SUMIF(куб!$G:$G,$G211,куб!K:K),IF($E211&lt;&gt;0,SUMIF(куб!$E:$E,$E211,куб!K:K),IF($D211&lt;&gt;0,SUMIF(куб!$D:$D,$D211,куб!K:K),IF($C211&lt;&gt;0,SUMIF(куб!$C:$C,$C211,куб!K:K),IF($B211&lt;&gt;0,SUMIF(куб!$B:$B,$B211,куб!K:K))))))</f>
        <v>4702121</v>
      </c>
      <c r="R211" s="13">
        <f t="shared" si="73"/>
        <v>-6.7719272157702473E-2</v>
      </c>
      <c r="S211" s="5"/>
      <c r="T211" s="27">
        <f>IF($G211&lt;&gt;0,SUMIF(куб!$G:$G,$G211,куб!L:L),IF($E211&lt;&gt;0,SUMIF(куб!$E:$E,$E211,куб!L:L),IF($D211&lt;&gt;0,SUMIF(куб!$D:$D,$D211,куб!L:L),IF($C211&lt;&gt;0,SUMIF(куб!$C:$C,$C211,куб!L:L),IF($B211&lt;&gt;0,SUMIF(куб!$B:$B,$B211,куб!L:L))))))</f>
        <v>4983245.2498000003</v>
      </c>
      <c r="U211" s="27">
        <f>IF($G211&lt;&gt;0,SUMIF(куб!$G:$G,$G211,куб!M:M),IF($E211&lt;&gt;0,SUMIF(куб!$E:$E,$E211,куб!M:M),IF($D211&lt;&gt;0,SUMIF(куб!$D:$D,$D211,куб!M:M),IF($C211&lt;&gt;0,SUMIF(куб!$C:$C,$C211,куб!M:M),IF($B211&lt;&gt;0,SUMIF(куб!$B:$B,$B211,куб!M:M))))))</f>
        <v>4897836.6340000024</v>
      </c>
      <c r="V211" s="13">
        <f t="shared" si="74"/>
        <v>-1.7139155614190524E-2</v>
      </c>
      <c r="W211" s="5"/>
      <c r="X211" s="27">
        <f>IF($G211&lt;&gt;0,SUMIF(куб!$G:$G,$G211,куб!N:N),IF($E211&lt;&gt;0,SUMIF(куб!$E:$E,$E211,куб!N:N),IF($D211&lt;&gt;0,SUMIF(куб!$D:$D,$D211,куб!N:N),IF($C211&lt;&gt;0,SUMIF(куб!$C:$C,$C211,куб!N:N),IF($B211&lt;&gt;0,SUMIF(куб!$B:$B,$B211,куб!N:N))))))</f>
        <v>40973026.028598905</v>
      </c>
      <c r="Y211" s="27">
        <f>IF($G211&lt;&gt;0,SUMIF(куб!$G:$G,$G211,куб!O:O),IF($E211&lt;&gt;0,SUMIF(куб!$E:$E,$E211,куб!O:O),IF($D211&lt;&gt;0,SUMIF(куб!$D:$D,$D211,куб!O:O),IF($C211&lt;&gt;0,SUMIF(куб!$C:$C,$C211,куб!O:O),IF($B211&lt;&gt;0,SUMIF(куб!$B:$B,$B211,куб!O:O))))))</f>
        <v>43456828.39269942</v>
      </c>
      <c r="Z211" s="13">
        <f t="shared" si="75"/>
        <v>6.0620427750853405E-2</v>
      </c>
      <c r="AA211" s="5"/>
      <c r="AB211" s="33">
        <f t="shared" si="76"/>
        <v>0.10277773684540677</v>
      </c>
      <c r="AC211" s="33">
        <f t="shared" si="77"/>
        <v>0.11008311014036616</v>
      </c>
      <c r="AD211" s="15">
        <f t="shared" si="78"/>
        <v>7.3053732949593941E-3</v>
      </c>
      <c r="AE211" s="5"/>
      <c r="AF211" s="27">
        <f>IF($G211&lt;&gt;0,SUMIF(куб!$G:$G,$G211,куб!R:R),IF($E211&lt;&gt;0,SUMIF(куб!$E:$E,$E211,куб!R:R),IF($D211&lt;&gt;0,SUMIF(куб!$D:$D,$D211,куб!R:R),IF($C211&lt;&gt;0,SUMIF(куб!$C:$C,$C211,куб!R:R),IF($B211&lt;&gt;0,SUMIF(куб!$B:$B,$B211,куб!R:R))))))</f>
        <v>2330735.9114999995</v>
      </c>
      <c r="AG211" s="27">
        <f>IF($G211&lt;&gt;0,SUMIF(куб!$G:$G,$G211,куб!S:S),IF($E211&lt;&gt;0,SUMIF(куб!$E:$E,$E211,куб!S:S),IF($D211&lt;&gt;0,SUMIF(куб!$D:$D,$D211,куб!S:S),IF($C211&lt;&gt;0,SUMIF(куб!$C:$C,$C211,куб!S:S),IF($B211&lt;&gt;0,SUMIF(куб!$B:$B,$B211,куб!S:S))))))</f>
        <v>2918491.0774999983</v>
      </c>
      <c r="AH211" s="16">
        <f t="shared" si="79"/>
        <v>0.25217578838510935</v>
      </c>
      <c r="AI211" s="8"/>
      <c r="AJ211" s="27">
        <f>IF($G211&lt;&gt;0,SUMIF(куб!$G:$G,$G211,куб!T:T),IF($E211&lt;&gt;0,SUMIF(куб!$E:$E,$E211,куб!T:T),IF($D211&lt;&gt;0,SUMIF(куб!$D:$D,$D211,куб!T:T),IF($C211&lt;&gt;0,SUMIF(куб!$C:$C,$C211,куб!T:T),IF($B211&lt;&gt;0,SUMIF(куб!$B:$B,$B211,куб!T:T))))))</f>
        <v>35912.666700000002</v>
      </c>
      <c r="AK211" s="27">
        <f>IF($G211&lt;&gt;0,SUMIF(куб!$G:$G,$G211,куб!U:U),IF($E211&lt;&gt;0,SUMIF(куб!$E:$E,$E211,куб!U:U),IF($D211&lt;&gt;0,SUMIF(куб!$D:$D,$D211,куб!U:U),IF($C211&lt;&gt;0,SUMIF(куб!$C:$C,$C211,куб!U:U),IF($B211&lt;&gt;0,SUMIF(куб!$B:$B,$B211,куб!U:U))))))</f>
        <v>45571</v>
      </c>
      <c r="AL211" s="16">
        <f t="shared" si="80"/>
        <v>0.26893946307807876</v>
      </c>
      <c r="AM211" s="8"/>
      <c r="AN211" s="17">
        <f t="shared" si="81"/>
        <v>5.8464747514885389E-3</v>
      </c>
      <c r="AO211" s="17">
        <f t="shared" si="82"/>
        <v>7.3930055784301426E-3</v>
      </c>
      <c r="AP211" s="16">
        <f t="shared" si="83"/>
        <v>1.5465308269416037E-3</v>
      </c>
      <c r="AQ211" s="8"/>
      <c r="AR211" s="17">
        <f t="shared" si="84"/>
        <v>9.6931262093918238E-2</v>
      </c>
      <c r="AS211" s="17">
        <f t="shared" si="85"/>
        <v>0.10269010456193602</v>
      </c>
      <c r="AT211" s="13">
        <f t="shared" si="86"/>
        <v>5.7588424680177774E-3</v>
      </c>
      <c r="AU211" s="8"/>
    </row>
    <row r="212" spans="1:47" ht="15" customHeight="1" x14ac:dyDescent="0.25">
      <c r="A212" s="31" t="s">
        <v>26</v>
      </c>
      <c r="B212" s="31" t="s">
        <v>32</v>
      </c>
      <c r="C212" t="s">
        <v>33</v>
      </c>
      <c r="D212" s="31" t="s">
        <v>446</v>
      </c>
      <c r="E212" t="s">
        <v>446</v>
      </c>
      <c r="F212" s="31" t="s">
        <v>447</v>
      </c>
      <c r="G212" t="s">
        <v>448</v>
      </c>
      <c r="H212" s="27">
        <f>IF($G212&lt;&gt;0,SUMIF(куб!$G:$G,$G212,куб!H:H),IF($E212&lt;&gt;0,SUMIF(куб!$E:$E,$E212,куб!H:H),IF($D212&lt;&gt;0,SUMIF(куб!$D:$D,$D212,куб!H:H),IF($C212&lt;&gt;0,SUMIF(куб!$C:$C,$C212,куб!H:H),IF($B212&lt;&gt;0,SUMIF(куб!$B:$B,$B212,куб!H:H),IF($G212&lt;&gt;0,SUMIF(куб!$A:$A,$G212,куб!H:H),SUMIF(куб!$A:$A,$G212,куб!H:H)))))))</f>
        <v>4688709.345899961</v>
      </c>
      <c r="I212" s="27">
        <f>IF($G212&lt;&gt;0,SUMIF(куб!$G:$G,$G212,куб!I:I),IF($E212&lt;&gt;0,SUMIF(куб!$E:$E,$E212,куб!I:I),IF($D212&lt;&gt;0,SUMIF(куб!$D:$D,$D212,куб!I:I),IF($C212&lt;&gt;0,SUMIF(куб!$C:$C,$C212,куб!I:I),IF($B212&lt;&gt;0,SUMIF(куб!$B:$B,$B212,куб!I:I),IF($G212&lt;&gt;0,SUMIF(куб!$A:$A,$G212,куб!I:I),SUMIF(куб!$A:$A,$G212,куб!I:I)))))))</f>
        <v>4979833.2918000007</v>
      </c>
      <c r="J212" s="19">
        <f t="shared" si="87"/>
        <v>6.2090422848371463E-2</v>
      </c>
      <c r="K212" s="5"/>
      <c r="L212" s="17">
        <f t="shared" si="70"/>
        <v>9.7942075900511651E-3</v>
      </c>
      <c r="M212" s="17">
        <f t="shared" si="71"/>
        <v>1.0617876146034003E-2</v>
      </c>
      <c r="N212" s="12">
        <f t="shared" si="72"/>
        <v>8.2366855598283752E-4</v>
      </c>
      <c r="O212" s="5"/>
      <c r="P212" s="27">
        <f>IF($G212&lt;&gt;0,SUMIF(куб!$G:$G,$G212,куб!J:J),IF($E212&lt;&gt;0,SUMIF(куб!$E:$E,$E212,куб!J:J),IF($D212&lt;&gt;0,SUMIF(куб!$D:$D,$D212,куб!J:J),IF($C212&lt;&gt;0,SUMIF(куб!$C:$C,$C212,куб!J:J),IF($B212&lt;&gt;0,SUMIF(куб!$B:$B,$B212,куб!J:J))))))</f>
        <v>51986</v>
      </c>
      <c r="Q212" s="27">
        <f>IF($G212&lt;&gt;0,SUMIF(куб!$G:$G,$G212,куб!K:K),IF($E212&lt;&gt;0,SUMIF(куб!$E:$E,$E212,куб!K:K),IF($D212&lt;&gt;0,SUMIF(куб!$D:$D,$D212,куб!K:K),IF($C212&lt;&gt;0,SUMIF(куб!$C:$C,$C212,куб!K:K),IF($B212&lt;&gt;0,SUMIF(куб!$B:$B,$B212,куб!K:K))))))</f>
        <v>60464</v>
      </c>
      <c r="R212" s="13">
        <f t="shared" si="73"/>
        <v>0.16308236832993497</v>
      </c>
      <c r="S212" s="5"/>
      <c r="T212" s="27">
        <f>IF($G212&lt;&gt;0,SUMIF(куб!$G:$G,$G212,куб!L:L),IF($E212&lt;&gt;0,SUMIF(куб!$E:$E,$E212,куб!L:L),IF($D212&lt;&gt;0,SUMIF(куб!$D:$D,$D212,куб!L:L),IF($C212&lt;&gt;0,SUMIF(куб!$C:$C,$C212,куб!L:L),IF($B212&lt;&gt;0,SUMIF(куб!$B:$B,$B212,куб!L:L))))))</f>
        <v>51986</v>
      </c>
      <c r="U212" s="27">
        <f>IF($G212&lt;&gt;0,SUMIF(куб!$G:$G,$G212,куб!M:M),IF($E212&lt;&gt;0,SUMIF(куб!$E:$E,$E212,куб!M:M),IF($D212&lt;&gt;0,SUMIF(куб!$D:$D,$D212,куб!M:M),IF($C212&lt;&gt;0,SUMIF(куб!$C:$C,$C212,куб!M:M),IF($B212&lt;&gt;0,SUMIF(куб!$B:$B,$B212,куб!M:M))))))</f>
        <v>60464</v>
      </c>
      <c r="V212" s="13">
        <f t="shared" si="74"/>
        <v>0.16308236832993497</v>
      </c>
      <c r="W212" s="5"/>
      <c r="X212" s="27">
        <f>IF($G212&lt;&gt;0,SUMIF(куб!$G:$G,$G212,куб!N:N),IF($E212&lt;&gt;0,SUMIF(куб!$E:$E,$E212,куб!N:N),IF($D212&lt;&gt;0,SUMIF(куб!$D:$D,$D212,куб!N:N),IF($C212&lt;&gt;0,SUMIF(куб!$C:$C,$C212,куб!N:N),IF($B212&lt;&gt;0,SUMIF(куб!$B:$B,$B212,куб!N:N))))))</f>
        <v>829338.64100000728</v>
      </c>
      <c r="Y212" s="27">
        <f>IF($G212&lt;&gt;0,SUMIF(куб!$G:$G,$G212,куб!O:O),IF($E212&lt;&gt;0,SUMIF(куб!$E:$E,$E212,куб!O:O),IF($D212&lt;&gt;0,SUMIF(куб!$D:$D,$D212,куб!O:O),IF($C212&lt;&gt;0,SUMIF(куб!$C:$C,$C212,куб!O:O),IF($B212&lt;&gt;0,SUMIF(куб!$B:$B,$B212,куб!O:O))))))</f>
        <v>725272.47809996642</v>
      </c>
      <c r="Z212" s="13">
        <f t="shared" si="75"/>
        <v>-0.12548090460919442</v>
      </c>
      <c r="AA212" s="5"/>
      <c r="AB212" s="33">
        <f t="shared" si="76"/>
        <v>0.17687994281949296</v>
      </c>
      <c r="AC212" s="33">
        <f t="shared" si="77"/>
        <v>0.14564191923738293</v>
      </c>
      <c r="AD212" s="15">
        <f t="shared" si="78"/>
        <v>-3.123802358211003E-2</v>
      </c>
      <c r="AE212" s="5"/>
      <c r="AF212" s="27">
        <f>IF($G212&lt;&gt;0,SUMIF(куб!$G:$G,$G212,куб!R:R),IF($E212&lt;&gt;0,SUMIF(куб!$E:$E,$E212,куб!R:R),IF($D212&lt;&gt;0,SUMIF(куб!$D:$D,$D212,куб!R:R),IF($C212&lt;&gt;0,SUMIF(куб!$C:$C,$C212,куб!R:R),IF($B212&lt;&gt;0,SUMIF(куб!$B:$B,$B212,куб!R:R))))))</f>
        <v>5559.6851999999999</v>
      </c>
      <c r="AG212" s="27">
        <f>IF($G212&lt;&gt;0,SUMIF(куб!$G:$G,$G212,куб!S:S),IF($E212&lt;&gt;0,SUMIF(куб!$E:$E,$E212,куб!S:S),IF($D212&lt;&gt;0,SUMIF(куб!$D:$D,$D212,куб!S:S),IF($C212&lt;&gt;0,SUMIF(куб!$C:$C,$C212,куб!S:S),IF($B212&lt;&gt;0,SUMIF(куб!$B:$B,$B212,куб!S:S))))))</f>
        <v>6780.0759000000007</v>
      </c>
      <c r="AH212" s="16">
        <f t="shared" si="79"/>
        <v>0.21950715842688376</v>
      </c>
      <c r="AI212" s="8"/>
      <c r="AJ212" s="27">
        <f>IF($G212&lt;&gt;0,SUMIF(куб!$G:$G,$G212,куб!T:T),IF($E212&lt;&gt;0,SUMIF(куб!$E:$E,$E212,куб!T:T),IF($D212&lt;&gt;0,SUMIF(куб!$D:$D,$D212,куб!T:T),IF($C212&lt;&gt;0,SUMIF(куб!$C:$C,$C212,куб!T:T),IF($B212&lt;&gt;0,SUMIF(куб!$B:$B,$B212,куб!T:T))))))</f>
        <v>75</v>
      </c>
      <c r="AK212" s="27">
        <f>IF($G212&lt;&gt;0,SUMIF(куб!$G:$G,$G212,куб!U:U),IF($E212&lt;&gt;0,SUMIF(куб!$E:$E,$E212,куб!U:U),IF($D212&lt;&gt;0,SUMIF(куб!$D:$D,$D212,куб!U:U),IF($C212&lt;&gt;0,SUMIF(куб!$C:$C,$C212,куб!U:U),IF($B212&lt;&gt;0,SUMIF(куб!$B:$B,$B212,куб!U:U))))))</f>
        <v>96</v>
      </c>
      <c r="AL212" s="16">
        <f t="shared" si="80"/>
        <v>0.28000000000000003</v>
      </c>
      <c r="AM212" s="8"/>
      <c r="AN212" s="17">
        <f t="shared" si="81"/>
        <v>1.1857602572148481E-3</v>
      </c>
      <c r="AO212" s="17">
        <f t="shared" si="82"/>
        <v>1.3615066012680292E-3</v>
      </c>
      <c r="AP212" s="16">
        <f t="shared" si="83"/>
        <v>1.7574634405318119E-4</v>
      </c>
      <c r="AQ212" s="8"/>
      <c r="AR212" s="17">
        <f t="shared" si="84"/>
        <v>0.17569418256227812</v>
      </c>
      <c r="AS212" s="17">
        <f t="shared" si="85"/>
        <v>0.14428041263611488</v>
      </c>
      <c r="AT212" s="13">
        <f t="shared" si="86"/>
        <v>-3.1413769926163237E-2</v>
      </c>
      <c r="AU212" s="8"/>
    </row>
    <row r="213" spans="1:47" ht="15" customHeight="1" x14ac:dyDescent="0.25">
      <c r="A213" s="31" t="s">
        <v>26</v>
      </c>
      <c r="B213" s="31" t="s">
        <v>32</v>
      </c>
      <c r="C213" t="s">
        <v>33</v>
      </c>
      <c r="D213" s="31" t="s">
        <v>446</v>
      </c>
      <c r="E213" t="s">
        <v>446</v>
      </c>
      <c r="F213" s="31" t="s">
        <v>449</v>
      </c>
      <c r="G213" t="s">
        <v>450</v>
      </c>
      <c r="H213" s="27">
        <f>IF($G213&lt;&gt;0,SUMIF(куб!$G:$G,$G213,куб!H:H),IF($E213&lt;&gt;0,SUMIF(куб!$E:$E,$E213,куб!H:H),IF($D213&lt;&gt;0,SUMIF(куб!$D:$D,$D213,куб!H:H),IF($C213&lt;&gt;0,SUMIF(куб!$C:$C,$C213,куб!H:H),IF($B213&lt;&gt;0,SUMIF(куб!$B:$B,$B213,куб!H:H),IF($G213&lt;&gt;0,SUMIF(куб!$A:$A,$G213,куб!H:H),SUMIF(куб!$A:$A,$G213,куб!H:H)))))))</f>
        <v>3690617.6194999628</v>
      </c>
      <c r="I213" s="27">
        <f>IF($G213&lt;&gt;0,SUMIF(куб!$G:$G,$G213,куб!I:I),IF($E213&lt;&gt;0,SUMIF(куб!$E:$E,$E213,куб!I:I),IF($D213&lt;&gt;0,SUMIF(куб!$D:$D,$D213,куб!I:I),IF($C213&lt;&gt;0,SUMIF(куб!$C:$C,$C213,куб!I:I),IF($B213&lt;&gt;0,SUMIF(куб!$B:$B,$B213,куб!I:I),IF($G213&lt;&gt;0,SUMIF(куб!$A:$A,$G213,куб!I:I),SUMIF(куб!$A:$A,$G213,куб!I:I)))))))</f>
        <v>5052620.1776999887</v>
      </c>
      <c r="J213" s="19">
        <f t="shared" si="87"/>
        <v>0.36904461491856261</v>
      </c>
      <c r="K213" s="5"/>
      <c r="L213" s="17">
        <f t="shared" si="70"/>
        <v>7.7093017361998641E-3</v>
      </c>
      <c r="M213" s="17">
        <f t="shared" si="71"/>
        <v>1.0773070525896914E-2</v>
      </c>
      <c r="N213" s="12">
        <f t="shared" si="72"/>
        <v>3.0637687896970496E-3</v>
      </c>
      <c r="O213" s="5"/>
      <c r="P213" s="27">
        <f>IF($G213&lt;&gt;0,SUMIF(куб!$G:$G,$G213,куб!J:J),IF($E213&lt;&gt;0,SUMIF(куб!$E:$E,$E213,куб!J:J),IF($D213&lt;&gt;0,SUMIF(куб!$D:$D,$D213,куб!J:J),IF($C213&lt;&gt;0,SUMIF(куб!$C:$C,$C213,куб!J:J),IF($B213&lt;&gt;0,SUMIF(куб!$B:$B,$B213,куб!J:J))))))</f>
        <v>40924</v>
      </c>
      <c r="Q213" s="27">
        <f>IF($G213&lt;&gt;0,SUMIF(куб!$G:$G,$G213,куб!K:K),IF($E213&lt;&gt;0,SUMIF(куб!$E:$E,$E213,куб!K:K),IF($D213&lt;&gt;0,SUMIF(куб!$D:$D,$D213,куб!K:K),IF($C213&lt;&gt;0,SUMIF(куб!$C:$C,$C213,куб!K:K),IF($B213&lt;&gt;0,SUMIF(куб!$B:$B,$B213,куб!K:K))))))</f>
        <v>61402</v>
      </c>
      <c r="R213" s="13">
        <f t="shared" si="73"/>
        <v>0.50039096862476784</v>
      </c>
      <c r="S213" s="5"/>
      <c r="T213" s="27">
        <f>IF($G213&lt;&gt;0,SUMIF(куб!$G:$G,$G213,куб!L:L),IF($E213&lt;&gt;0,SUMIF(куб!$E:$E,$E213,куб!L:L),IF($D213&lt;&gt;0,SUMIF(куб!$D:$D,$D213,куб!L:L),IF($C213&lt;&gt;0,SUMIF(куб!$C:$C,$C213,куб!L:L),IF($B213&lt;&gt;0,SUMIF(куб!$B:$B,$B213,куб!L:L))))))</f>
        <v>40924</v>
      </c>
      <c r="U213" s="27">
        <f>IF($G213&lt;&gt;0,SUMIF(куб!$G:$G,$G213,куб!M:M),IF($E213&lt;&gt;0,SUMIF(куб!$E:$E,$E213,куб!M:M),IF($D213&lt;&gt;0,SUMIF(куб!$D:$D,$D213,куб!M:M),IF($C213&lt;&gt;0,SUMIF(куб!$C:$C,$C213,куб!M:M),IF($B213&lt;&gt;0,SUMIF(куб!$B:$B,$B213,куб!M:M))))))</f>
        <v>61402</v>
      </c>
      <c r="V213" s="13">
        <f t="shared" si="74"/>
        <v>0.50039096862476784</v>
      </c>
      <c r="W213" s="5"/>
      <c r="X213" s="27">
        <f>IF($G213&lt;&gt;0,SUMIF(куб!$G:$G,$G213,куб!N:N),IF($E213&lt;&gt;0,SUMIF(куб!$E:$E,$E213,куб!N:N),IF($D213&lt;&gt;0,SUMIF(куб!$D:$D,$D213,куб!N:N),IF($C213&lt;&gt;0,SUMIF(куб!$C:$C,$C213,куб!N:N),IF($B213&lt;&gt;0,SUMIF(куб!$B:$B,$B213,куб!N:N))))))</f>
        <v>653763.3239999814</v>
      </c>
      <c r="Y213" s="27">
        <f>IF($G213&lt;&gt;0,SUMIF(куб!$G:$G,$G213,куб!O:O),IF($E213&lt;&gt;0,SUMIF(куб!$E:$E,$E213,куб!O:O),IF($D213&lt;&gt;0,SUMIF(куб!$D:$D,$D213,куб!O:O),IF($C213&lt;&gt;0,SUMIF(куб!$C:$C,$C213,куб!O:O),IF($B213&lt;&gt;0,SUMIF(куб!$B:$B,$B213,куб!O:O))))))</f>
        <v>733320.78109993692</v>
      </c>
      <c r="Z213" s="13">
        <f t="shared" si="75"/>
        <v>0.12169152685591429</v>
      </c>
      <c r="AA213" s="5"/>
      <c r="AB213" s="33">
        <f t="shared" si="76"/>
        <v>0.17714198310486551</v>
      </c>
      <c r="AC213" s="33">
        <f t="shared" si="77"/>
        <v>0.1451367320932786</v>
      </c>
      <c r="AD213" s="15">
        <f t="shared" si="78"/>
        <v>-3.200525101158691E-2</v>
      </c>
      <c r="AE213" s="5"/>
      <c r="AF213" s="27">
        <f>IF($G213&lt;&gt;0,SUMIF(куб!$G:$G,$G213,куб!R:R),IF($E213&lt;&gt;0,SUMIF(куб!$E:$E,$E213,куб!R:R),IF($D213&lt;&gt;0,SUMIF(куб!$D:$D,$D213,куб!R:R),IF($C213&lt;&gt;0,SUMIF(куб!$C:$C,$C213,куб!R:R),IF($B213&lt;&gt;0,SUMIF(куб!$B:$B,$B213,куб!R:R))))))</f>
        <v>5281.3853000000008</v>
      </c>
      <c r="AG213" s="27">
        <f>IF($G213&lt;&gt;0,SUMIF(куб!$G:$G,$G213,куб!S:S),IF($E213&lt;&gt;0,SUMIF(куб!$E:$E,$E213,куб!S:S),IF($D213&lt;&gt;0,SUMIF(куб!$D:$D,$D213,куб!S:S),IF($C213&lt;&gt;0,SUMIF(куб!$C:$C,$C213,куб!S:S),IF($B213&lt;&gt;0,SUMIF(куб!$B:$B,$B213,куб!S:S))))))</f>
        <v>7497.5110999999997</v>
      </c>
      <c r="AH213" s="16">
        <f t="shared" si="79"/>
        <v>0.41961070327514233</v>
      </c>
      <c r="AI213" s="8"/>
      <c r="AJ213" s="27">
        <f>IF($G213&lt;&gt;0,SUMIF(куб!$G:$G,$G213,куб!T:T),IF($E213&lt;&gt;0,SUMIF(куб!$E:$E,$E213,куб!T:T),IF($D213&lt;&gt;0,SUMIF(куб!$D:$D,$D213,куб!T:T),IF($C213&lt;&gt;0,SUMIF(куб!$C:$C,$C213,куб!T:T),IF($B213&lt;&gt;0,SUMIF(куб!$B:$B,$B213,куб!T:T))))))</f>
        <v>71</v>
      </c>
      <c r="AK213" s="27">
        <f>IF($G213&lt;&gt;0,SUMIF(куб!$G:$G,$G213,куб!U:U),IF($E213&lt;&gt;0,SUMIF(куб!$E:$E,$E213,куб!U:U),IF($D213&lt;&gt;0,SUMIF(куб!$D:$D,$D213,куб!U:U),IF($C213&lt;&gt;0,SUMIF(куб!$C:$C,$C213,куб!U:U),IF($B213&lt;&gt;0,SUMIF(куб!$B:$B,$B213,куб!U:U))))))</f>
        <v>106</v>
      </c>
      <c r="AL213" s="16">
        <f t="shared" si="80"/>
        <v>0.49295774647887325</v>
      </c>
      <c r="AM213" s="8"/>
      <c r="AN213" s="17">
        <f t="shared" si="81"/>
        <v>1.431030208086301E-3</v>
      </c>
      <c r="AO213" s="17">
        <f t="shared" si="82"/>
        <v>1.4838857535919025E-3</v>
      </c>
      <c r="AP213" s="16">
        <f t="shared" si="83"/>
        <v>5.28555455056015E-5</v>
      </c>
      <c r="AQ213" s="8"/>
      <c r="AR213" s="17">
        <f t="shared" si="84"/>
        <v>0.17571095289677924</v>
      </c>
      <c r="AS213" s="17">
        <f t="shared" si="85"/>
        <v>0.1436528463396867</v>
      </c>
      <c r="AT213" s="13">
        <f t="shared" si="86"/>
        <v>-3.2058106557092542E-2</v>
      </c>
      <c r="AU213" s="8"/>
    </row>
    <row r="214" spans="1:47" ht="15" customHeight="1" x14ac:dyDescent="0.25">
      <c r="A214" s="31" t="s">
        <v>26</v>
      </c>
      <c r="B214" s="31" t="s">
        <v>32</v>
      </c>
      <c r="C214" t="s">
        <v>33</v>
      </c>
      <c r="D214" s="31" t="s">
        <v>446</v>
      </c>
      <c r="E214" t="s">
        <v>451</v>
      </c>
      <c r="F214"/>
      <c r="G214"/>
      <c r="H214" s="27">
        <f>IF($G214&lt;&gt;0,SUMIF(куб!$G:$G,$G214,куб!H:H),IF($E214&lt;&gt;0,SUMIF(куб!$E:$E,$E214,куб!H:H),IF($D214&lt;&gt;0,SUMIF(куб!$D:$D,$D214,куб!H:H),IF($C214&lt;&gt;0,SUMIF(куб!$C:$C,$C214,куб!H:H),IF($B214&lt;&gt;0,SUMIF(куб!$B:$B,$B214,куб!H:H),IF($G214&lt;&gt;0,SUMIF(куб!$A:$A,$G214,куб!H:H),SUMIF(куб!$A:$A,$G214,куб!H:H)))))))</f>
        <v>8379326.965399961</v>
      </c>
      <c r="I214" s="27">
        <f>IF($G214&lt;&gt;0,SUMIF(куб!$G:$G,$G214,куб!I:I),IF($E214&lt;&gt;0,SUMIF(куб!$E:$E,$E214,куб!I:I),IF($D214&lt;&gt;0,SUMIF(куб!$D:$D,$D214,куб!I:I),IF($C214&lt;&gt;0,SUMIF(куб!$C:$C,$C214,куб!I:I),IF($B214&lt;&gt;0,SUMIF(куб!$B:$B,$B214,куб!I:I),IF($G214&lt;&gt;0,SUMIF(куб!$A:$A,$G214,куб!I:I),SUMIF(куб!$A:$A,$G214,куб!I:I)))))))</f>
        <v>10032453.469499975</v>
      </c>
      <c r="J214" s="19">
        <f t="shared" si="87"/>
        <v>0.19728631081304362</v>
      </c>
      <c r="K214" s="8"/>
      <c r="L214" s="17">
        <f t="shared" si="70"/>
        <v>1.7503509326251106E-2</v>
      </c>
      <c r="M214" s="17">
        <f t="shared" si="71"/>
        <v>2.1390946671930887E-2</v>
      </c>
      <c r="N214" s="12">
        <f t="shared" si="72"/>
        <v>3.8874373456797805E-3</v>
      </c>
      <c r="O214" s="5"/>
      <c r="P214" s="27">
        <f>IF($G214&lt;&gt;0,SUMIF(куб!$G:$G,$G214,куб!J:J),IF($E214&lt;&gt;0,SUMIF(куб!$E:$E,$E214,куб!J:J),IF($D214&lt;&gt;0,SUMIF(куб!$D:$D,$D214,куб!J:J),IF($C214&lt;&gt;0,SUMIF(куб!$C:$C,$C214,куб!J:J),IF($B214&lt;&gt;0,SUMIF(куб!$B:$B,$B214,куб!J:J))))))</f>
        <v>92910</v>
      </c>
      <c r="Q214" s="27">
        <f>IF($G214&lt;&gt;0,SUMIF(куб!$G:$G,$G214,куб!K:K),IF($E214&lt;&gt;0,SUMIF(куб!$E:$E,$E214,куб!K:K),IF($D214&lt;&gt;0,SUMIF(куб!$D:$D,$D214,куб!K:K),IF($C214&lt;&gt;0,SUMIF(куб!$C:$C,$C214,куб!K:K),IF($B214&lt;&gt;0,SUMIF(куб!$B:$B,$B214,куб!K:K))))))</f>
        <v>121866</v>
      </c>
      <c r="R214" s="13">
        <f t="shared" si="73"/>
        <v>0.31165644171779139</v>
      </c>
      <c r="S214" s="5"/>
      <c r="T214" s="27">
        <f>IF($G214&lt;&gt;0,SUMIF(куб!$G:$G,$G214,куб!L:L),IF($E214&lt;&gt;0,SUMIF(куб!$E:$E,$E214,куб!L:L),IF($D214&lt;&gt;0,SUMIF(куб!$D:$D,$D214,куб!L:L),IF($C214&lt;&gt;0,SUMIF(куб!$C:$C,$C214,куб!L:L),IF($B214&lt;&gt;0,SUMIF(куб!$B:$B,$B214,куб!L:L))))))</f>
        <v>92910</v>
      </c>
      <c r="U214" s="27">
        <f>IF($G214&lt;&gt;0,SUMIF(куб!$G:$G,$G214,куб!M:M),IF($E214&lt;&gt;0,SUMIF(куб!$E:$E,$E214,куб!M:M),IF($D214&lt;&gt;0,SUMIF(куб!$D:$D,$D214,куб!M:M),IF($C214&lt;&gt;0,SUMIF(куб!$C:$C,$C214,куб!M:M),IF($B214&lt;&gt;0,SUMIF(куб!$B:$B,$B214,куб!M:M))))))</f>
        <v>121866</v>
      </c>
      <c r="V214" s="13">
        <f t="shared" si="74"/>
        <v>0.31165644171779139</v>
      </c>
      <c r="W214" s="5"/>
      <c r="X214" s="27">
        <f>IF($G214&lt;&gt;0,SUMIF(куб!$G:$G,$G214,куб!N:N),IF($E214&lt;&gt;0,SUMIF(куб!$E:$E,$E214,куб!N:N),IF($D214&lt;&gt;0,SUMIF(куб!$D:$D,$D214,куб!N:N),IF($C214&lt;&gt;0,SUMIF(куб!$C:$C,$C214,куб!N:N),IF($B214&lt;&gt;0,SUMIF(куб!$B:$B,$B214,куб!N:N))))))</f>
        <v>1483101.965000012</v>
      </c>
      <c r="Y214" s="27">
        <f>IF($G214&lt;&gt;0,SUMIF(куб!$G:$G,$G214,куб!O:O),IF($E214&lt;&gt;0,SUMIF(куб!$E:$E,$E214,куб!O:O),IF($D214&lt;&gt;0,SUMIF(куб!$D:$D,$D214,куб!O:O),IF($C214&lt;&gt;0,SUMIF(куб!$C:$C,$C214,куб!O:O),IF($B214&lt;&gt;0,SUMIF(куб!$B:$B,$B214,куб!O:O))))))</f>
        <v>1458593.2591996491</v>
      </c>
      <c r="Z214" s="13">
        <f t="shared" si="75"/>
        <v>-1.6525300605587604E-2</v>
      </c>
      <c r="AA214" s="5"/>
      <c r="AB214" s="33">
        <f t="shared" si="76"/>
        <v>0.17699535668247082</v>
      </c>
      <c r="AC214" s="33">
        <f t="shared" si="77"/>
        <v>0.14538749306278581</v>
      </c>
      <c r="AD214" s="15">
        <f t="shared" si="78"/>
        <v>-3.1607863619685012E-2</v>
      </c>
      <c r="AE214" s="5"/>
      <c r="AF214" s="27">
        <f>IF($G214&lt;&gt;0,SUMIF(куб!$G:$G,$G214,куб!R:R),IF($E214&lt;&gt;0,SUMIF(куб!$E:$E,$E214,куб!R:R),IF($D214&lt;&gt;0,SUMIF(куб!$D:$D,$D214,куб!R:R),IF($C214&lt;&gt;0,SUMIF(куб!$C:$C,$C214,куб!R:R),IF($B214&lt;&gt;0,SUMIF(куб!$B:$B,$B214,куб!R:R))))))</f>
        <v>10841.070499999998</v>
      </c>
      <c r="AG214" s="27">
        <f>IF($G214&lt;&gt;0,SUMIF(куб!$G:$G,$G214,куб!S:S),IF($E214&lt;&gt;0,SUMIF(куб!$E:$E,$E214,куб!S:S),IF($D214&lt;&gt;0,SUMIF(куб!$D:$D,$D214,куб!S:S),IF($C214&lt;&gt;0,SUMIF(куб!$C:$C,$C214,куб!S:S),IF($B214&lt;&gt;0,SUMIF(куб!$B:$B,$B214,куб!S:S))))))</f>
        <v>14277.587000000009</v>
      </c>
      <c r="AH214" s="16">
        <f t="shared" si="79"/>
        <v>0.31699051306787568</v>
      </c>
      <c r="AI214" s="8"/>
      <c r="AJ214" s="27">
        <f>IF($G214&lt;&gt;0,SUMIF(куб!$G:$G,$G214,куб!T:T),IF($E214&lt;&gt;0,SUMIF(куб!$E:$E,$E214,куб!T:T),IF($D214&lt;&gt;0,SUMIF(куб!$D:$D,$D214,куб!T:T),IF($C214&lt;&gt;0,SUMIF(куб!$C:$C,$C214,куб!T:T),IF($B214&lt;&gt;0,SUMIF(куб!$B:$B,$B214,куб!T:T))))))</f>
        <v>146</v>
      </c>
      <c r="AK214" s="27">
        <f>IF($G214&lt;&gt;0,SUMIF(куб!$G:$G,$G214,куб!U:U),IF($E214&lt;&gt;0,SUMIF(куб!$E:$E,$E214,куб!U:U),IF($D214&lt;&gt;0,SUMIF(куб!$D:$D,$D214,куб!U:U),IF($C214&lt;&gt;0,SUMIF(куб!$C:$C,$C214,куб!U:U),IF($B214&lt;&gt;0,SUMIF(куб!$B:$B,$B214,куб!U:U))))))</f>
        <v>202</v>
      </c>
      <c r="AL214" s="16">
        <f t="shared" si="80"/>
        <v>0.38356164383561642</v>
      </c>
      <c r="AM214" s="8"/>
      <c r="AN214" s="17">
        <f t="shared" si="81"/>
        <v>1.2937877403239072E-3</v>
      </c>
      <c r="AO214" s="17">
        <f t="shared" si="82"/>
        <v>1.4231401165632931E-3</v>
      </c>
      <c r="AP214" s="16">
        <f t="shared" si="83"/>
        <v>1.293523762393859E-4</v>
      </c>
      <c r="AQ214" s="8"/>
      <c r="AR214" s="17">
        <f t="shared" si="84"/>
        <v>0.17570156894214692</v>
      </c>
      <c r="AS214" s="17">
        <f t="shared" si="85"/>
        <v>0.14396435294622251</v>
      </c>
      <c r="AT214" s="13">
        <f t="shared" si="86"/>
        <v>-3.1737215995924412E-2</v>
      </c>
      <c r="AU214" s="8"/>
    </row>
    <row r="215" spans="1:47" x14ac:dyDescent="0.25">
      <c r="A215" s="31" t="s">
        <v>26</v>
      </c>
      <c r="B215" s="31" t="s">
        <v>32</v>
      </c>
      <c r="C215" t="s">
        <v>33</v>
      </c>
      <c r="D215" s="31" t="s">
        <v>451</v>
      </c>
      <c r="E215" s="31"/>
      <c r="F215" s="31"/>
      <c r="G215" s="31"/>
      <c r="H215" s="27">
        <f>IF($G215&lt;&gt;0,SUMIF(куб!$G:$G,$G215,куб!H:H),IF($E215&lt;&gt;0,SUMIF(куб!$E:$E,$E215,куб!H:H),IF($D215&lt;&gt;0,SUMIF(куб!$D:$D,$D215,куб!H:H),IF($C215&lt;&gt;0,SUMIF(куб!$C:$C,$C215,куб!H:H),IF($B215&lt;&gt;0,SUMIF(куб!$B:$B,$B215,куб!H:H),IF($G215&lt;&gt;0,SUMIF(куб!$A:$A,$G215,куб!H:H),SUMIF(куб!$A:$A,$G215,куб!H:H)))))))</f>
        <v>8379326.9653999619</v>
      </c>
      <c r="I215" s="27">
        <f>IF($G215&lt;&gt;0,SUMIF(куб!$G:$G,$G215,куб!I:I),IF($E215&lt;&gt;0,SUMIF(куб!$E:$E,$E215,куб!I:I),IF($D215&lt;&gt;0,SUMIF(куб!$D:$D,$D215,куб!I:I),IF($C215&lt;&gt;0,SUMIF(куб!$C:$C,$C215,куб!I:I),IF($B215&lt;&gt;0,SUMIF(куб!$B:$B,$B215,куб!I:I),IF($G215&lt;&gt;0,SUMIF(куб!$A:$A,$G215,куб!I:I),SUMIF(куб!$A:$A,$G215,куб!I:I)))))))</f>
        <v>10032453.469499977</v>
      </c>
      <c r="J215" s="19">
        <f t="shared" si="87"/>
        <v>0.19728631081304374</v>
      </c>
      <c r="K215" s="10"/>
      <c r="L215" s="17">
        <f t="shared" si="70"/>
        <v>1.750350932625111E-2</v>
      </c>
      <c r="M215" s="17">
        <f t="shared" si="71"/>
        <v>2.139094667193089E-2</v>
      </c>
      <c r="N215" s="12">
        <f t="shared" si="72"/>
        <v>3.8874373456797805E-3</v>
      </c>
      <c r="O215" s="5"/>
      <c r="P215" s="27">
        <f>IF($G215&lt;&gt;0,SUMIF(куб!$G:$G,$G215,куб!J:J),IF($E215&lt;&gt;0,SUMIF(куб!$E:$E,$E215,куб!J:J),IF($D215&lt;&gt;0,SUMIF(куб!$D:$D,$D215,куб!J:J),IF($C215&lt;&gt;0,SUMIF(куб!$C:$C,$C215,куб!J:J),IF($B215&lt;&gt;0,SUMIF(куб!$B:$B,$B215,куб!J:J))))))</f>
        <v>92910</v>
      </c>
      <c r="Q215" s="27">
        <f>IF($G215&lt;&gt;0,SUMIF(куб!$G:$G,$G215,куб!K:K),IF($E215&lt;&gt;0,SUMIF(куб!$E:$E,$E215,куб!K:K),IF($D215&lt;&gt;0,SUMIF(куб!$D:$D,$D215,куб!K:K),IF($C215&lt;&gt;0,SUMIF(куб!$C:$C,$C215,куб!K:K),IF($B215&lt;&gt;0,SUMIF(куб!$B:$B,$B215,куб!K:K))))))</f>
        <v>121866</v>
      </c>
      <c r="R215" s="13">
        <f t="shared" si="73"/>
        <v>0.31165644171779139</v>
      </c>
      <c r="S215" s="5"/>
      <c r="T215" s="27">
        <f>IF($G215&lt;&gt;0,SUMIF(куб!$G:$G,$G215,куб!L:L),IF($E215&lt;&gt;0,SUMIF(куб!$E:$E,$E215,куб!L:L),IF($D215&lt;&gt;0,SUMIF(куб!$D:$D,$D215,куб!L:L),IF($C215&lt;&gt;0,SUMIF(куб!$C:$C,$C215,куб!L:L),IF($B215&lt;&gt;0,SUMIF(куб!$B:$B,$B215,куб!L:L))))))</f>
        <v>92910</v>
      </c>
      <c r="U215" s="27">
        <f>IF($G215&lt;&gt;0,SUMIF(куб!$G:$G,$G215,куб!M:M),IF($E215&lt;&gt;0,SUMIF(куб!$E:$E,$E215,куб!M:M),IF($D215&lt;&gt;0,SUMIF(куб!$D:$D,$D215,куб!M:M),IF($C215&lt;&gt;0,SUMIF(куб!$C:$C,$C215,куб!M:M),IF($B215&lt;&gt;0,SUMIF(куб!$B:$B,$B215,куб!M:M))))))</f>
        <v>121866</v>
      </c>
      <c r="V215" s="13">
        <f t="shared" si="74"/>
        <v>0.31165644171779139</v>
      </c>
      <c r="W215" s="5"/>
      <c r="X215" s="27">
        <f>IF($G215&lt;&gt;0,SUMIF(куб!$G:$G,$G215,куб!N:N),IF($E215&lt;&gt;0,SUMIF(куб!$E:$E,$E215,куб!N:N),IF($D215&lt;&gt;0,SUMIF(куб!$D:$D,$D215,куб!N:N),IF($C215&lt;&gt;0,SUMIF(куб!$C:$C,$C215,куб!N:N),IF($B215&lt;&gt;0,SUMIF(куб!$B:$B,$B215,куб!N:N))))))</f>
        <v>1483101.965000012</v>
      </c>
      <c r="Y215" s="27">
        <f>IF($G215&lt;&gt;0,SUMIF(куб!$G:$G,$G215,куб!O:O),IF($E215&lt;&gt;0,SUMIF(куб!$E:$E,$E215,куб!O:O),IF($D215&lt;&gt;0,SUMIF(куб!$D:$D,$D215,куб!O:O),IF($C215&lt;&gt;0,SUMIF(куб!$C:$C,$C215,куб!O:O),IF($B215&lt;&gt;0,SUMIF(куб!$B:$B,$B215,куб!O:O))))))</f>
        <v>1458593.259199651</v>
      </c>
      <c r="Z215" s="13">
        <f t="shared" si="75"/>
        <v>-1.6525300605586348E-2</v>
      </c>
      <c r="AA215" s="5"/>
      <c r="AB215" s="33">
        <f t="shared" si="76"/>
        <v>0.17699535668247079</v>
      </c>
      <c r="AC215" s="33">
        <f t="shared" si="77"/>
        <v>0.14538749306278598</v>
      </c>
      <c r="AD215" s="15">
        <f t="shared" si="78"/>
        <v>-3.1607863619684817E-2</v>
      </c>
      <c r="AE215" s="5"/>
      <c r="AF215" s="27">
        <f>IF($G215&lt;&gt;0,SUMIF(куб!$G:$G,$G215,куб!R:R),IF($E215&lt;&gt;0,SUMIF(куб!$E:$E,$E215,куб!R:R),IF($D215&lt;&gt;0,SUMIF(куб!$D:$D,$D215,куб!R:R),IF($C215&lt;&gt;0,SUMIF(куб!$C:$C,$C215,куб!R:R),IF($B215&lt;&gt;0,SUMIF(куб!$B:$B,$B215,куб!R:R))))))</f>
        <v>10841.070499999996</v>
      </c>
      <c r="AG215" s="27">
        <f>IF($G215&lt;&gt;0,SUMIF(куб!$G:$G,$G215,куб!S:S),IF($E215&lt;&gt;0,SUMIF(куб!$E:$E,$E215,куб!S:S),IF($D215&lt;&gt;0,SUMIF(куб!$D:$D,$D215,куб!S:S),IF($C215&lt;&gt;0,SUMIF(куб!$C:$C,$C215,куб!S:S),IF($B215&lt;&gt;0,SUMIF(куб!$B:$B,$B215,куб!S:S))))))</f>
        <v>14277.587000000009</v>
      </c>
      <c r="AH215" s="16">
        <f t="shared" si="79"/>
        <v>0.3169905130678759</v>
      </c>
      <c r="AI215" s="8"/>
      <c r="AJ215" s="27">
        <f>IF($G215&lt;&gt;0,SUMIF(куб!$G:$G,$G215,куб!T:T),IF($E215&lt;&gt;0,SUMIF(куб!$E:$E,$E215,куб!T:T),IF($D215&lt;&gt;0,SUMIF(куб!$D:$D,$D215,куб!T:T),IF($C215&lt;&gt;0,SUMIF(куб!$C:$C,$C215,куб!T:T),IF($B215&lt;&gt;0,SUMIF(куб!$B:$B,$B215,куб!T:T))))))</f>
        <v>146</v>
      </c>
      <c r="AK215" s="27">
        <f>IF($G215&lt;&gt;0,SUMIF(куб!$G:$G,$G215,куб!U:U),IF($E215&lt;&gt;0,SUMIF(куб!$E:$E,$E215,куб!U:U),IF($D215&lt;&gt;0,SUMIF(куб!$D:$D,$D215,куб!U:U),IF($C215&lt;&gt;0,SUMIF(куб!$C:$C,$C215,куб!U:U),IF($B215&lt;&gt;0,SUMIF(куб!$B:$B,$B215,куб!U:U))))))</f>
        <v>202</v>
      </c>
      <c r="AL215" s="16">
        <f t="shared" si="80"/>
        <v>0.38356164383561642</v>
      </c>
      <c r="AM215" s="8"/>
      <c r="AN215" s="17">
        <f t="shared" si="81"/>
        <v>1.2937877403239068E-3</v>
      </c>
      <c r="AO215" s="17">
        <f t="shared" si="82"/>
        <v>1.4231401165632927E-3</v>
      </c>
      <c r="AP215" s="16">
        <f t="shared" si="83"/>
        <v>1.293523762393859E-4</v>
      </c>
      <c r="AQ215" s="8"/>
      <c r="AR215" s="17">
        <f t="shared" si="84"/>
        <v>0.17570156894214692</v>
      </c>
      <c r="AS215" s="17">
        <f t="shared" si="85"/>
        <v>0.14396435294622267</v>
      </c>
      <c r="AT215" s="13">
        <f t="shared" si="86"/>
        <v>-3.1737215995924245E-2</v>
      </c>
      <c r="AU215" s="8"/>
    </row>
    <row r="216" spans="1:47" ht="15" customHeight="1" x14ac:dyDescent="0.25">
      <c r="A216" s="31" t="s">
        <v>26</v>
      </c>
      <c r="B216" s="31" t="s">
        <v>32</v>
      </c>
      <c r="C216" t="s">
        <v>33</v>
      </c>
      <c r="D216" s="31" t="s">
        <v>452</v>
      </c>
      <c r="E216" t="s">
        <v>453</v>
      </c>
      <c r="F216" s="46" t="s">
        <v>454</v>
      </c>
      <c r="G216" t="s">
        <v>455</v>
      </c>
      <c r="H216" s="27">
        <f>IF($G216&lt;&gt;0,SUMIF(куб!$G:$G,$G216,куб!H:H),IF($E216&lt;&gt;0,SUMIF(куб!$E:$E,$E216,куб!H:H),IF($D216&lt;&gt;0,SUMIF(куб!$D:$D,$D216,куб!H:H),IF($C216&lt;&gt;0,SUMIF(куб!$C:$C,$C216,куб!H:H),IF($B216&lt;&gt;0,SUMIF(куб!$B:$B,$B216,куб!H:H),IF($G216&lt;&gt;0,SUMIF(куб!$A:$A,$G216,куб!H:H),SUMIF(куб!$A:$A,$G216,куб!H:H)))))))</f>
        <v>17157510.136399787</v>
      </c>
      <c r="I216" s="27">
        <f>IF($G216&lt;&gt;0,SUMIF(куб!$G:$G,$G216,куб!I:I),IF($E216&lt;&gt;0,SUMIF(куб!$E:$E,$E216,куб!I:I),IF($D216&lt;&gt;0,SUMIF(куб!$D:$D,$D216,куб!I:I),IF($C216&lt;&gt;0,SUMIF(куб!$C:$C,$C216,куб!I:I),IF($B216&lt;&gt;0,SUMIF(куб!$B:$B,$B216,куб!I:I),IF($G216&lt;&gt;0,SUMIF(куб!$A:$A,$G216,куб!I:I),SUMIF(куб!$A:$A,$G216,куб!I:I)))))))</f>
        <v>10030043.73649993</v>
      </c>
      <c r="J216" s="19">
        <f t="shared" si="87"/>
        <v>-0.41541379508084236</v>
      </c>
      <c r="K216" s="5"/>
      <c r="L216" s="17">
        <f t="shared" si="70"/>
        <v>3.5840186202041456E-2</v>
      </c>
      <c r="M216" s="17">
        <f t="shared" si="71"/>
        <v>2.1385808699424531E-2</v>
      </c>
      <c r="N216" s="12">
        <f t="shared" si="72"/>
        <v>-1.4454377502616925E-2</v>
      </c>
      <c r="O216" s="5"/>
      <c r="P216" s="27">
        <f>IF($G216&lt;&gt;0,SUMIF(куб!$G:$G,$G216,куб!J:J),IF($E216&lt;&gt;0,SUMIF(куб!$E:$E,$E216,куб!J:J),IF($D216&lt;&gt;0,SUMIF(куб!$D:$D,$D216,куб!J:J),IF($C216&lt;&gt;0,SUMIF(куб!$C:$C,$C216,куб!J:J),IF($B216&lt;&gt;0,SUMIF(куб!$B:$B,$B216,куб!J:J))))))</f>
        <v>300091</v>
      </c>
      <c r="Q216" s="27">
        <f>IF($G216&lt;&gt;0,SUMIF(куб!$G:$G,$G216,куб!K:K),IF($E216&lt;&gt;0,SUMIF(куб!$E:$E,$E216,куб!K:K),IF($D216&lt;&gt;0,SUMIF(куб!$D:$D,$D216,куб!K:K),IF($C216&lt;&gt;0,SUMIF(куб!$C:$C,$C216,куб!K:K),IF($B216&lt;&gt;0,SUMIF(куб!$B:$B,$B216,куб!K:K))))))</f>
        <v>199037</v>
      </c>
      <c r="R216" s="13">
        <f t="shared" si="73"/>
        <v>-0.33674452082868195</v>
      </c>
      <c r="S216" s="5"/>
      <c r="T216" s="27">
        <f>IF($G216&lt;&gt;0,SUMIF(куб!$G:$G,$G216,куб!L:L),IF($E216&lt;&gt;0,SUMIF(куб!$E:$E,$E216,куб!L:L),IF($D216&lt;&gt;0,SUMIF(куб!$D:$D,$D216,куб!L:L),IF($C216&lt;&gt;0,SUMIF(куб!$C:$C,$C216,куб!L:L),IF($B216&lt;&gt;0,SUMIF(куб!$B:$B,$B216,куб!L:L))))))</f>
        <v>300091</v>
      </c>
      <c r="U216" s="27">
        <f>IF($G216&lt;&gt;0,SUMIF(куб!$G:$G,$G216,куб!M:M),IF($E216&lt;&gt;0,SUMIF(куб!$E:$E,$E216,куб!M:M),IF($D216&lt;&gt;0,SUMIF(куб!$D:$D,$D216,куб!M:M),IF($C216&lt;&gt;0,SUMIF(куб!$C:$C,$C216,куб!M:M),IF($B216&lt;&gt;0,SUMIF(куб!$B:$B,$B216,куб!M:M))))))</f>
        <v>199037</v>
      </c>
      <c r="V216" s="13">
        <f t="shared" si="74"/>
        <v>-0.33674452082868195</v>
      </c>
      <c r="W216" s="5"/>
      <c r="X216" s="27">
        <f>IF($G216&lt;&gt;0,SUMIF(куб!$G:$G,$G216,куб!N:N),IF($E216&lt;&gt;0,SUMIF(куб!$E:$E,$E216,куб!N:N),IF($D216&lt;&gt;0,SUMIF(куб!$D:$D,$D216,куб!N:N),IF($C216&lt;&gt;0,SUMIF(куб!$C:$C,$C216,куб!N:N),IF($B216&lt;&gt;0,SUMIF(куб!$B:$B,$B216,куб!N:N))))))</f>
        <v>1720125.17270004</v>
      </c>
      <c r="Y216" s="27">
        <f>IF($G216&lt;&gt;0,SUMIF(куб!$G:$G,$G216,куб!O:O),IF($E216&lt;&gt;0,SUMIF(куб!$E:$E,$E216,куб!O:O),IF($D216&lt;&gt;0,SUMIF(куб!$D:$D,$D216,куб!O:O),IF($C216&lt;&gt;0,SUMIF(куб!$C:$C,$C216,куб!O:O),IF($B216&lt;&gt;0,SUMIF(куб!$B:$B,$B216,куб!O:O))))))</f>
        <v>1107813.6501000356</v>
      </c>
      <c r="Z216" s="13">
        <f t="shared" si="75"/>
        <v>-0.35596916568511899</v>
      </c>
      <c r="AA216" s="5"/>
      <c r="AB216" s="33">
        <f t="shared" si="76"/>
        <v>0.10025494136534308</v>
      </c>
      <c r="AC216" s="33">
        <f t="shared" si="77"/>
        <v>0.1104495333423757</v>
      </c>
      <c r="AD216" s="15">
        <f t="shared" si="78"/>
        <v>1.0194591977032624E-2</v>
      </c>
      <c r="AE216" s="5"/>
      <c r="AF216" s="27">
        <f>IF($G216&lt;&gt;0,SUMIF(куб!$G:$G,$G216,куб!R:R),IF($E216&lt;&gt;0,SUMIF(куб!$E:$E,$E216,куб!R:R),IF($D216&lt;&gt;0,SUMIF(куб!$D:$D,$D216,куб!R:R),IF($C216&lt;&gt;0,SUMIF(куб!$C:$C,$C216,куб!R:R),IF($B216&lt;&gt;0,SUMIF(куб!$B:$B,$B216,куб!R:R))))))</f>
        <v>30862.397299999997</v>
      </c>
      <c r="AG216" s="27">
        <f>IF($G216&lt;&gt;0,SUMIF(куб!$G:$G,$G216,куб!S:S),IF($E216&lt;&gt;0,SUMIF(куб!$E:$E,$E216,куб!S:S),IF($D216&lt;&gt;0,SUMIF(куб!$D:$D,$D216,куб!S:S),IF($C216&lt;&gt;0,SUMIF(куб!$C:$C,$C216,куб!S:S),IF($B216&lt;&gt;0,SUMIF(куб!$B:$B,$B216,куб!S:S))))))</f>
        <v>31889.7706</v>
      </c>
      <c r="AH216" s="16">
        <f t="shared" si="79"/>
        <v>3.3288836573949591E-2</v>
      </c>
      <c r="AI216" s="8"/>
      <c r="AJ216" s="27">
        <f>IF($G216&lt;&gt;0,SUMIF(куб!$G:$G,$G216,куб!T:T),IF($E216&lt;&gt;0,SUMIF(куб!$E:$E,$E216,куб!T:T),IF($D216&lt;&gt;0,SUMIF(куб!$D:$D,$D216,куб!T:T),IF($C216&lt;&gt;0,SUMIF(куб!$C:$C,$C216,куб!T:T),IF($B216&lt;&gt;0,SUMIF(куб!$B:$B,$B216,куб!T:T))))))</f>
        <v>602</v>
      </c>
      <c r="AK216" s="27">
        <f>IF($G216&lt;&gt;0,SUMIF(куб!$G:$G,$G216,куб!U:U),IF($E216&lt;&gt;0,SUMIF(куб!$E:$E,$E216,куб!U:U),IF($D216&lt;&gt;0,SUMIF(куб!$D:$D,$D216,куб!U:U),IF($C216&lt;&gt;0,SUMIF(куб!$C:$C,$C216,куб!U:U),IF($B216&lt;&gt;0,SUMIF(куб!$B:$B,$B216,куб!U:U))))))</f>
        <v>693</v>
      </c>
      <c r="AL216" s="16">
        <f t="shared" si="80"/>
        <v>0.15116279069767441</v>
      </c>
      <c r="AM216" s="8"/>
      <c r="AN216" s="17">
        <f t="shared" si="81"/>
        <v>1.7987689970542513E-3</v>
      </c>
      <c r="AO216" s="17">
        <f t="shared" si="82"/>
        <v>3.1794248796693891E-3</v>
      </c>
      <c r="AP216" s="16">
        <f t="shared" si="83"/>
        <v>1.3806558826151378E-3</v>
      </c>
      <c r="AQ216" s="8"/>
      <c r="AR216" s="17">
        <f t="shared" si="84"/>
        <v>9.8456172368288811E-2</v>
      </c>
      <c r="AS216" s="17">
        <f t="shared" si="85"/>
        <v>0.10727010846270632</v>
      </c>
      <c r="AT216" s="13">
        <f t="shared" si="86"/>
        <v>8.8139360944175099E-3</v>
      </c>
      <c r="AU216" s="8"/>
    </row>
    <row r="217" spans="1:47" ht="15" customHeight="1" x14ac:dyDescent="0.25">
      <c r="A217" s="31" t="s">
        <v>26</v>
      </c>
      <c r="B217" s="31" t="s">
        <v>32</v>
      </c>
      <c r="C217" t="s">
        <v>33</v>
      </c>
      <c r="D217" s="31" t="s">
        <v>452</v>
      </c>
      <c r="E217" t="s">
        <v>453</v>
      </c>
      <c r="F217" s="31" t="s">
        <v>456</v>
      </c>
      <c r="G217" t="s">
        <v>457</v>
      </c>
      <c r="H217" s="27">
        <f>IF($G217&lt;&gt;0,SUMIF(куб!$G:$G,$G217,куб!H:H),IF($E217&lt;&gt;0,SUMIF(куб!$E:$E,$E217,куб!H:H),IF($D217&lt;&gt;0,SUMIF(куб!$D:$D,$D217,куб!H:H),IF($C217&lt;&gt;0,SUMIF(куб!$C:$C,$C217,куб!H:H),IF($B217&lt;&gt;0,SUMIF(куб!$B:$B,$B217,куб!H:H),IF($G217&lt;&gt;0,SUMIF(куб!$A:$A,$G217,куб!H:H),SUMIF(куб!$A:$A,$G217,куб!H:H)))))))</f>
        <v>0</v>
      </c>
      <c r="I217" s="27">
        <f>IF($G217&lt;&gt;0,SUMIF(куб!$G:$G,$G217,куб!I:I),IF($E217&lt;&gt;0,SUMIF(куб!$E:$E,$E217,куб!I:I),IF($D217&lt;&gt;0,SUMIF(куб!$D:$D,$D217,куб!I:I),IF($C217&lt;&gt;0,SUMIF(куб!$C:$C,$C217,куб!I:I),IF($B217&lt;&gt;0,SUMIF(куб!$B:$B,$B217,куб!I:I),IF($G217&lt;&gt;0,SUMIF(куб!$A:$A,$G217,куб!I:I),SUMIF(куб!$A:$A,$G217,куб!I:I)))))))</f>
        <v>11625.914199999999</v>
      </c>
      <c r="J217" s="19" t="str">
        <f t="shared" si="87"/>
        <v>-</v>
      </c>
      <c r="K217" s="5"/>
      <c r="L217" s="17">
        <f t="shared" si="70"/>
        <v>0</v>
      </c>
      <c r="M217" s="17">
        <f t="shared" si="71"/>
        <v>2.4788483836052007E-5</v>
      </c>
      <c r="N217" s="12">
        <f t="shared" si="72"/>
        <v>2.4788483836052007E-5</v>
      </c>
      <c r="O217" s="5"/>
      <c r="P217" s="27">
        <f>IF($G217&lt;&gt;0,SUMIF(куб!$G:$G,$G217,куб!J:J),IF($E217&lt;&gt;0,SUMIF(куб!$E:$E,$E217,куб!J:J),IF($D217&lt;&gt;0,SUMIF(куб!$D:$D,$D217,куб!J:J),IF($C217&lt;&gt;0,SUMIF(куб!$C:$C,$C217,куб!J:J),IF($B217&lt;&gt;0,SUMIF(куб!$B:$B,$B217,куб!J:J))))))</f>
        <v>0</v>
      </c>
      <c r="Q217" s="27">
        <f>IF($G217&lt;&gt;0,SUMIF(куб!$G:$G,$G217,куб!K:K),IF($E217&lt;&gt;0,SUMIF(куб!$E:$E,$E217,куб!K:K),IF($D217&lt;&gt;0,SUMIF(куб!$D:$D,$D217,куб!K:K),IF($C217&lt;&gt;0,SUMIF(куб!$C:$C,$C217,куб!K:K),IF($B217&lt;&gt;0,SUMIF(куб!$B:$B,$B217,куб!K:K))))))</f>
        <v>191</v>
      </c>
      <c r="R217" s="13" t="str">
        <f t="shared" si="73"/>
        <v>-</v>
      </c>
      <c r="S217" s="5"/>
      <c r="T217" s="27">
        <f>IF($G217&lt;&gt;0,SUMIF(куб!$G:$G,$G217,куб!L:L),IF($E217&lt;&gt;0,SUMIF(куб!$E:$E,$E217,куб!L:L),IF($D217&lt;&gt;0,SUMIF(куб!$D:$D,$D217,куб!L:L),IF($C217&lt;&gt;0,SUMIF(куб!$C:$C,$C217,куб!L:L),IF($B217&lt;&gt;0,SUMIF(куб!$B:$B,$B217,куб!L:L))))))</f>
        <v>0</v>
      </c>
      <c r="U217" s="27">
        <f>IF($G217&lt;&gt;0,SUMIF(куб!$G:$G,$G217,куб!M:M),IF($E217&lt;&gt;0,SUMIF(куб!$E:$E,$E217,куб!M:M),IF($D217&lt;&gt;0,SUMIF(куб!$D:$D,$D217,куб!M:M),IF($C217&lt;&gt;0,SUMIF(куб!$C:$C,$C217,куб!M:M),IF($B217&lt;&gt;0,SUMIF(куб!$B:$B,$B217,куб!M:M))))))</f>
        <v>191</v>
      </c>
      <c r="V217" s="13" t="str">
        <f t="shared" si="74"/>
        <v>-</v>
      </c>
      <c r="W217" s="5"/>
      <c r="X217" s="27">
        <f>IF($G217&lt;&gt;0,SUMIF(куб!$G:$G,$G217,куб!N:N),IF($E217&lt;&gt;0,SUMIF(куб!$E:$E,$E217,куб!N:N),IF($D217&lt;&gt;0,SUMIF(куб!$D:$D,$D217,куб!N:N),IF($C217&lt;&gt;0,SUMIF(куб!$C:$C,$C217,куб!N:N),IF($B217&lt;&gt;0,SUMIF(куб!$B:$B,$B217,куб!N:N))))))</f>
        <v>0</v>
      </c>
      <c r="Y217" s="27">
        <f>IF($G217&lt;&gt;0,SUMIF(куб!$G:$G,$G217,куб!O:O),IF($E217&lt;&gt;0,SUMIF(куб!$E:$E,$E217,куб!O:O),IF($D217&lt;&gt;0,SUMIF(куб!$D:$D,$D217,куб!O:O),IF($C217&lt;&gt;0,SUMIF(куб!$C:$C,$C217,куб!O:O),IF($B217&lt;&gt;0,SUMIF(куб!$B:$B,$B217,куб!O:O))))))</f>
        <v>-981.34690000000228</v>
      </c>
      <c r="Z217" s="13" t="str">
        <f t="shared" si="75"/>
        <v>-</v>
      </c>
      <c r="AA217" s="5"/>
      <c r="AB217" s="33" t="str">
        <f t="shared" si="76"/>
        <v/>
      </c>
      <c r="AC217" s="33">
        <f t="shared" si="77"/>
        <v>-8.4410299535842295E-2</v>
      </c>
      <c r="AD217" s="15" t="str">
        <f t="shared" si="78"/>
        <v xml:space="preserve"> </v>
      </c>
      <c r="AE217" s="5"/>
      <c r="AF217" s="27">
        <f>IF($G217&lt;&gt;0,SUMIF(куб!$G:$G,$G217,куб!R:R),IF($E217&lt;&gt;0,SUMIF(куб!$E:$E,$E217,куб!R:R),IF($D217&lt;&gt;0,SUMIF(куб!$D:$D,$D217,куб!R:R),IF($C217&lt;&gt;0,SUMIF(куб!$C:$C,$C217,куб!R:R),IF($B217&lt;&gt;0,SUMIF(куб!$B:$B,$B217,куб!R:R))))))</f>
        <v>0</v>
      </c>
      <c r="AG217" s="27">
        <f>IF($G217&lt;&gt;0,SUMIF(куб!$G:$G,$G217,куб!S:S),IF($E217&lt;&gt;0,SUMIF(куб!$E:$E,$E217,куб!S:S),IF($D217&lt;&gt;0,SUMIF(куб!$D:$D,$D217,куб!S:S),IF($C217&lt;&gt;0,SUMIF(куб!$C:$C,$C217,куб!S:S),IF($B217&lt;&gt;0,SUMIF(куб!$B:$B,$B217,куб!S:S))))))</f>
        <v>1425.0909000000001</v>
      </c>
      <c r="AH217" s="16" t="str">
        <f t="shared" si="79"/>
        <v>-</v>
      </c>
      <c r="AI217" s="8"/>
      <c r="AJ217" s="27">
        <f>IF($G217&lt;&gt;0,SUMIF(куб!$G:$G,$G217,куб!T:T),IF($E217&lt;&gt;0,SUMIF(куб!$E:$E,$E217,куб!T:T),IF($D217&lt;&gt;0,SUMIF(куб!$D:$D,$D217,куб!T:T),IF($C217&lt;&gt;0,SUMIF(куб!$C:$C,$C217,куб!T:T),IF($B217&lt;&gt;0,SUMIF(куб!$B:$B,$B217,куб!T:T))))))</f>
        <v>0</v>
      </c>
      <c r="AK217" s="27">
        <f>IF($G217&lt;&gt;0,SUMIF(куб!$G:$G,$G217,куб!U:U),IF($E217&lt;&gt;0,SUMIF(куб!$E:$E,$E217,куб!U:U),IF($D217&lt;&gt;0,SUMIF(куб!$D:$D,$D217,куб!U:U),IF($C217&lt;&gt;0,SUMIF(куб!$C:$C,$C217,куб!U:U),IF($B217&lt;&gt;0,SUMIF(куб!$B:$B,$B217,куб!U:U))))))</f>
        <v>22</v>
      </c>
      <c r="AL217" s="16" t="str">
        <f t="shared" si="80"/>
        <v>-</v>
      </c>
      <c r="AM217" s="8"/>
      <c r="AN217" s="17" t="str">
        <f t="shared" si="81"/>
        <v xml:space="preserve"> </v>
      </c>
      <c r="AO217" s="17">
        <f t="shared" si="82"/>
        <v>0.12257882481190169</v>
      </c>
      <c r="AP217" s="16" t="str">
        <f t="shared" si="83"/>
        <v>-</v>
      </c>
      <c r="AQ217" s="8"/>
      <c r="AR217" s="17" t="str">
        <f t="shared" si="84"/>
        <v>-</v>
      </c>
      <c r="AS217" s="17">
        <f t="shared" si="85"/>
        <v>-0.206989124347744</v>
      </c>
      <c r="AT217" s="13" t="str">
        <f t="shared" si="86"/>
        <v>-</v>
      </c>
      <c r="AU217" s="8"/>
    </row>
    <row r="218" spans="1:47" ht="15" customHeight="1" x14ac:dyDescent="0.25">
      <c r="A218" s="31" t="s">
        <v>26</v>
      </c>
      <c r="B218" s="31" t="s">
        <v>32</v>
      </c>
      <c r="C218" t="s">
        <v>33</v>
      </c>
      <c r="D218" s="31" t="s">
        <v>452</v>
      </c>
      <c r="E218" t="s">
        <v>453</v>
      </c>
      <c r="F218" s="31" t="s">
        <v>458</v>
      </c>
      <c r="G218" t="s">
        <v>459</v>
      </c>
      <c r="H218" s="27">
        <f>IF($G218&lt;&gt;0,SUMIF(куб!$G:$G,$G218,куб!H:H),IF($E218&lt;&gt;0,SUMIF(куб!$E:$E,$E218,куб!H:H),IF($D218&lt;&gt;0,SUMIF(куб!$D:$D,$D218,куб!H:H),IF($C218&lt;&gt;0,SUMIF(куб!$C:$C,$C218,куб!H:H),IF($B218&lt;&gt;0,SUMIF(куб!$B:$B,$B218,куб!H:H),IF($G218&lt;&gt;0,SUMIF(куб!$A:$A,$G218,куб!H:H),SUMIF(куб!$A:$A,$G218,куб!H:H)))))))</f>
        <v>2346215.3859000127</v>
      </c>
      <c r="I218" s="27">
        <f>IF($G218&lt;&gt;0,SUMIF(куб!$G:$G,$G218,куб!I:I),IF($E218&lt;&gt;0,SUMIF(куб!$E:$E,$E218,куб!I:I),IF($D218&lt;&gt;0,SUMIF(куб!$D:$D,$D218,куб!I:I),IF($C218&lt;&gt;0,SUMIF(куб!$C:$C,$C218,куб!I:I),IF($B218&lt;&gt;0,SUMIF(куб!$B:$B,$B218,куб!I:I),IF($G218&lt;&gt;0,SUMIF(куб!$A:$A,$G218,куб!I:I),SUMIF(куб!$A:$A,$G218,куб!I:I)))))))</f>
        <v>4236609.5540999919</v>
      </c>
      <c r="J218" s="19">
        <f t="shared" si="87"/>
        <v>0.80572064251246078</v>
      </c>
      <c r="K218" s="8"/>
      <c r="L218" s="17">
        <f t="shared" si="70"/>
        <v>4.9009906234795684E-3</v>
      </c>
      <c r="M218" s="17">
        <f t="shared" si="71"/>
        <v>9.0331930586130729E-3</v>
      </c>
      <c r="N218" s="12">
        <f t="shared" si="72"/>
        <v>4.1322024351335045E-3</v>
      </c>
      <c r="O218" s="5"/>
      <c r="P218" s="27">
        <f>IF($G218&lt;&gt;0,SUMIF(куб!$G:$G,$G218,куб!J:J),IF($E218&lt;&gt;0,SUMIF(куб!$E:$E,$E218,куб!J:J),IF($D218&lt;&gt;0,SUMIF(куб!$D:$D,$D218,куб!J:J),IF($C218&lt;&gt;0,SUMIF(куб!$C:$C,$C218,куб!J:J),IF($B218&lt;&gt;0,SUMIF(куб!$B:$B,$B218,куб!J:J))))))</f>
        <v>31008</v>
      </c>
      <c r="Q218" s="27">
        <f>IF($G218&lt;&gt;0,SUMIF(куб!$G:$G,$G218,куб!K:K),IF($E218&lt;&gt;0,SUMIF(куб!$E:$E,$E218,куб!K:K),IF($D218&lt;&gt;0,SUMIF(куб!$D:$D,$D218,куб!K:K),IF($C218&lt;&gt;0,SUMIF(куб!$C:$C,$C218,куб!K:K),IF($B218&lt;&gt;0,SUMIF(куб!$B:$B,$B218,куб!K:K))))))</f>
        <v>59770</v>
      </c>
      <c r="R218" s="13">
        <f t="shared" si="73"/>
        <v>0.92756707946336425</v>
      </c>
      <c r="S218" s="5"/>
      <c r="T218" s="27">
        <f>IF($G218&lt;&gt;0,SUMIF(куб!$G:$G,$G218,куб!L:L),IF($E218&lt;&gt;0,SUMIF(куб!$E:$E,$E218,куб!L:L),IF($D218&lt;&gt;0,SUMIF(куб!$D:$D,$D218,куб!L:L),IF($C218&lt;&gt;0,SUMIF(куб!$C:$C,$C218,куб!L:L),IF($B218&lt;&gt;0,SUMIF(куб!$B:$B,$B218,куб!L:L))))))</f>
        <v>31008</v>
      </c>
      <c r="U218" s="27">
        <f>IF($G218&lt;&gt;0,SUMIF(куб!$G:$G,$G218,куб!M:M),IF($E218&lt;&gt;0,SUMIF(куб!$E:$E,$E218,куб!M:M),IF($D218&lt;&gt;0,SUMIF(куб!$D:$D,$D218,куб!M:M),IF($C218&lt;&gt;0,SUMIF(куб!$C:$C,$C218,куб!M:M),IF($B218&lt;&gt;0,SUMIF(куб!$B:$B,$B218,куб!M:M))))))</f>
        <v>59770</v>
      </c>
      <c r="V218" s="13">
        <f t="shared" si="74"/>
        <v>0.92756707946336425</v>
      </c>
      <c r="W218" s="5"/>
      <c r="X218" s="27">
        <f>IF($G218&lt;&gt;0,SUMIF(куб!$G:$G,$G218,куб!N:N),IF($E218&lt;&gt;0,SUMIF(куб!$E:$E,$E218,куб!N:N),IF($D218&lt;&gt;0,SUMIF(куб!$D:$D,$D218,куб!N:N),IF($C218&lt;&gt;0,SUMIF(куб!$C:$C,$C218,куб!N:N),IF($B218&lt;&gt;0,SUMIF(куб!$B:$B,$B218,куб!N:N))))))</f>
        <v>232145.80290002469</v>
      </c>
      <c r="Y218" s="27">
        <f>IF($G218&lt;&gt;0,SUMIF(куб!$G:$G,$G218,куб!O:O),IF($E218&lt;&gt;0,SUMIF(куб!$E:$E,$E218,куб!O:O),IF($D218&lt;&gt;0,SUMIF(куб!$D:$D,$D218,куб!O:O),IF($C218&lt;&gt;0,SUMIF(куб!$C:$C,$C218,куб!O:O),IF($B218&lt;&gt;0,SUMIF(куб!$B:$B,$B218,куб!O:O))))))</f>
        <v>611924.38459999766</v>
      </c>
      <c r="Z218" s="13">
        <f t="shared" si="75"/>
        <v>1.6359485157848295</v>
      </c>
      <c r="AA218" s="5"/>
      <c r="AB218" s="33">
        <f t="shared" si="76"/>
        <v>9.8944796072494054E-2</v>
      </c>
      <c r="AC218" s="33">
        <f t="shared" si="77"/>
        <v>0.14443728570828671</v>
      </c>
      <c r="AD218" s="15">
        <f t="shared" si="78"/>
        <v>4.5492489635792652E-2</v>
      </c>
      <c r="AE218" s="5"/>
      <c r="AF218" s="27">
        <f>IF($G218&lt;&gt;0,SUMIF(куб!$G:$G,$G218,куб!R:R),IF($E218&lt;&gt;0,SUMIF(куб!$E:$E,$E218,куб!R:R),IF($D218&lt;&gt;0,SUMIF(куб!$D:$D,$D218,куб!R:R),IF($C218&lt;&gt;0,SUMIF(куб!$C:$C,$C218,куб!R:R),IF($B218&lt;&gt;0,SUMIF(куб!$B:$B,$B218,куб!R:R))))))</f>
        <v>96080.602799999993</v>
      </c>
      <c r="AG218" s="27">
        <f>IF($G218&lt;&gt;0,SUMIF(куб!$G:$G,$G218,куб!S:S),IF($E218&lt;&gt;0,SUMIF(куб!$E:$E,$E218,куб!S:S),IF($D218&lt;&gt;0,SUMIF(куб!$D:$D,$D218,куб!S:S),IF($C218&lt;&gt;0,SUMIF(куб!$C:$C,$C218,куб!S:S),IF($B218&lt;&gt;0,SUMIF(куб!$B:$B,$B218,куб!S:S))))))</f>
        <v>13285.539200000001</v>
      </c>
      <c r="AH218" s="16">
        <f t="shared" si="79"/>
        <v>-0.86172506403134264</v>
      </c>
      <c r="AI218" s="8"/>
      <c r="AJ218" s="27">
        <f>IF($G218&lt;&gt;0,SUMIF(куб!$G:$G,$G218,куб!T:T),IF($E218&lt;&gt;0,SUMIF(куб!$E:$E,$E218,куб!T:T),IF($D218&lt;&gt;0,SUMIF(куб!$D:$D,$D218,куб!T:T),IF($C218&lt;&gt;0,SUMIF(куб!$C:$C,$C218,куб!T:T),IF($B218&lt;&gt;0,SUMIF(куб!$B:$B,$B218,куб!T:T))))))</f>
        <v>1345</v>
      </c>
      <c r="AK218" s="27">
        <f>IF($G218&lt;&gt;0,SUMIF(куб!$G:$G,$G218,куб!U:U),IF($E218&lt;&gt;0,SUMIF(куб!$E:$E,$E218,куб!U:U),IF($D218&lt;&gt;0,SUMIF(куб!$D:$D,$D218,куб!U:U),IF($C218&lt;&gt;0,SUMIF(куб!$C:$C,$C218,куб!U:U),IF($B218&lt;&gt;0,SUMIF(куб!$B:$B,$B218,куб!U:U))))))</f>
        <v>218</v>
      </c>
      <c r="AL218" s="16">
        <f t="shared" si="80"/>
        <v>-0.83791821561338287</v>
      </c>
      <c r="AM218" s="8"/>
      <c r="AN218" s="17">
        <f t="shared" si="81"/>
        <v>4.0951313923441555E-2</v>
      </c>
      <c r="AO218" s="17">
        <f t="shared" si="82"/>
        <v>3.1358894489445883E-3</v>
      </c>
      <c r="AP218" s="16">
        <f t="shared" si="83"/>
        <v>-3.781542447449697E-2</v>
      </c>
      <c r="AQ218" s="8"/>
      <c r="AR218" s="17">
        <f t="shared" si="84"/>
        <v>5.7993482149052492E-2</v>
      </c>
      <c r="AS218" s="17">
        <f t="shared" si="85"/>
        <v>0.14130139625934213</v>
      </c>
      <c r="AT218" s="13">
        <f t="shared" si="86"/>
        <v>8.3307914110289635E-2</v>
      </c>
      <c r="AU218" s="8"/>
    </row>
    <row r="219" spans="1:47" ht="15" customHeight="1" x14ac:dyDescent="0.25">
      <c r="A219" s="31" t="s">
        <v>26</v>
      </c>
      <c r="B219" s="31" t="s">
        <v>32</v>
      </c>
      <c r="C219" t="s">
        <v>33</v>
      </c>
      <c r="D219" s="31" t="s">
        <v>452</v>
      </c>
      <c r="E219" t="s">
        <v>453</v>
      </c>
      <c r="F219" s="31" t="s">
        <v>460</v>
      </c>
      <c r="G219" t="s">
        <v>461</v>
      </c>
      <c r="H219" s="27">
        <f>IF($G219&lt;&gt;0,SUMIF(куб!$G:$G,$G219,куб!H:H),IF($E219&lt;&gt;0,SUMIF(куб!$E:$E,$E219,куб!H:H),IF($D219&lt;&gt;0,SUMIF(куб!$D:$D,$D219,куб!H:H),IF($C219&lt;&gt;0,SUMIF(куб!$C:$C,$C219,куб!H:H),IF($B219&lt;&gt;0,SUMIF(куб!$B:$B,$B219,куб!H:H),IF($G219&lt;&gt;0,SUMIF(куб!$A:$A,$G219,куб!H:H),SUMIF(куб!$A:$A,$G219,куб!H:H)))))))</f>
        <v>232.72709999999995</v>
      </c>
      <c r="I219" s="27">
        <f>IF($G219&lt;&gt;0,SUMIF(куб!$G:$G,$G219,куб!I:I),IF($E219&lt;&gt;0,SUMIF(куб!$E:$E,$E219,куб!I:I),IF($D219&lt;&gt;0,SUMIF(куб!$D:$D,$D219,куб!I:I),IF($C219&lt;&gt;0,SUMIF(куб!$C:$C,$C219,куб!I:I),IF($B219&lt;&gt;0,SUMIF(куб!$B:$B,$B219,куб!I:I),IF($G219&lt;&gt;0,SUMIF(куб!$A:$A,$G219,куб!I:I),SUMIF(куб!$A:$A,$G219,куб!I:I)))))))</f>
        <v>92.545400000000001</v>
      </c>
      <c r="J219" s="19">
        <f t="shared" si="87"/>
        <v>-0.6023436892394568</v>
      </c>
      <c r="K219" s="10"/>
      <c r="L219" s="17">
        <f t="shared" si="70"/>
        <v>4.8614178467338701E-7</v>
      </c>
      <c r="M219" s="17">
        <f t="shared" si="71"/>
        <v>1.9732299004933026E-7</v>
      </c>
      <c r="N219" s="12">
        <f t="shared" si="72"/>
        <v>-2.8881879462405675E-7</v>
      </c>
      <c r="O219" s="5"/>
      <c r="P219" s="27">
        <f>IF($G219&lt;&gt;0,SUMIF(куб!$G:$G,$G219,куб!J:J),IF($E219&lt;&gt;0,SUMIF(куб!$E:$E,$E219,куб!J:J),IF($D219&lt;&gt;0,SUMIF(куб!$D:$D,$D219,куб!J:J),IF($C219&lt;&gt;0,SUMIF(куб!$C:$C,$C219,куб!J:J),IF($B219&lt;&gt;0,SUMIF(куб!$B:$B,$B219,куб!J:J))))))</f>
        <v>5</v>
      </c>
      <c r="Q219" s="27">
        <f>IF($G219&lt;&gt;0,SUMIF(куб!$G:$G,$G219,куб!K:K),IF($E219&lt;&gt;0,SUMIF(куб!$E:$E,$E219,куб!K:K),IF($D219&lt;&gt;0,SUMIF(куб!$D:$D,$D219,куб!K:K),IF($C219&lt;&gt;0,SUMIF(куб!$C:$C,$C219,куб!K:K),IF($B219&lt;&gt;0,SUMIF(куб!$B:$B,$B219,куб!K:K))))))</f>
        <v>2</v>
      </c>
      <c r="R219" s="13">
        <f t="shared" si="73"/>
        <v>-0.6</v>
      </c>
      <c r="S219" s="5"/>
      <c r="T219" s="27">
        <f>IF($G219&lt;&gt;0,SUMIF(куб!$G:$G,$G219,куб!L:L),IF($E219&lt;&gt;0,SUMIF(куб!$E:$E,$E219,куб!L:L),IF($D219&lt;&gt;0,SUMIF(куб!$D:$D,$D219,куб!L:L),IF($C219&lt;&gt;0,SUMIF(куб!$C:$C,$C219,куб!L:L),IF($B219&lt;&gt;0,SUMIF(куб!$B:$B,$B219,куб!L:L))))))</f>
        <v>5</v>
      </c>
      <c r="U219" s="27">
        <f>IF($G219&lt;&gt;0,SUMIF(куб!$G:$G,$G219,куб!M:M),IF($E219&lt;&gt;0,SUMIF(куб!$E:$E,$E219,куб!M:M),IF($D219&lt;&gt;0,SUMIF(куб!$D:$D,$D219,куб!M:M),IF($C219&lt;&gt;0,SUMIF(куб!$C:$C,$C219,куб!M:M),IF($B219&lt;&gt;0,SUMIF(куб!$B:$B,$B219,куб!M:M))))))</f>
        <v>2</v>
      </c>
      <c r="V219" s="13">
        <f t="shared" si="74"/>
        <v>-0.6</v>
      </c>
      <c r="W219" s="5"/>
      <c r="X219" s="27">
        <f>IF($G219&lt;&gt;0,SUMIF(куб!$G:$G,$G219,куб!N:N),IF($E219&lt;&gt;0,SUMIF(куб!$E:$E,$E219,куб!N:N),IF($D219&lt;&gt;0,SUMIF(куб!$D:$D,$D219,куб!N:N),IF($C219&lt;&gt;0,SUMIF(куб!$C:$C,$C219,куб!N:N),IF($B219&lt;&gt;0,SUMIF(куб!$B:$B,$B219,куб!N:N))))))</f>
        <v>228.18210000000002</v>
      </c>
      <c r="Y219" s="27">
        <f>IF($G219&lt;&gt;0,SUMIF(куб!$G:$G,$G219,куб!O:O),IF($E219&lt;&gt;0,SUMIF(куб!$E:$E,$E219,куб!O:O),IF($D219&lt;&gt;0,SUMIF(куб!$D:$D,$D219,куб!O:O),IF($C219&lt;&gt;0,SUMIF(куб!$C:$C,$C219,куб!O:O),IF($B219&lt;&gt;0,SUMIF(куб!$B:$B,$B219,куб!O:O))))))</f>
        <v>45.363700000000001</v>
      </c>
      <c r="Z219" s="13">
        <f t="shared" si="75"/>
        <v>-0.80119518577487026</v>
      </c>
      <c r="AA219" s="5"/>
      <c r="AB219" s="33">
        <f t="shared" si="76"/>
        <v>0.9804706886305895</v>
      </c>
      <c r="AC219" s="33">
        <f t="shared" si="77"/>
        <v>0.49017779381795312</v>
      </c>
      <c r="AD219" s="15">
        <f t="shared" si="78"/>
        <v>-0.49029289481263638</v>
      </c>
      <c r="AE219" s="5"/>
      <c r="AF219" s="27">
        <f>IF($G219&lt;&gt;0,SUMIF(куб!$G:$G,$G219,куб!R:R),IF($E219&lt;&gt;0,SUMIF(куб!$E:$E,$E219,куб!R:R),IF($D219&lt;&gt;0,SUMIF(куб!$D:$D,$D219,куб!R:R),IF($C219&lt;&gt;0,SUMIF(куб!$C:$C,$C219,куб!R:R),IF($B219&lt;&gt;0,SUMIF(куб!$B:$B,$B219,куб!R:R))))))</f>
        <v>0</v>
      </c>
      <c r="AG219" s="27">
        <f>IF($G219&lt;&gt;0,SUMIF(куб!$G:$G,$G219,куб!S:S),IF($E219&lt;&gt;0,SUMIF(куб!$E:$E,$E219,куб!S:S),IF($D219&lt;&gt;0,SUMIF(куб!$D:$D,$D219,куб!S:S),IF($C219&lt;&gt;0,SUMIF(куб!$C:$C,$C219,куб!S:S),IF($B219&lt;&gt;0,SUMIF(куб!$B:$B,$B219,куб!S:S))))))</f>
        <v>0</v>
      </c>
      <c r="AH219" s="16" t="str">
        <f t="shared" si="79"/>
        <v>-</v>
      </c>
      <c r="AI219" s="8"/>
      <c r="AJ219" s="27">
        <f>IF($G219&lt;&gt;0,SUMIF(куб!$G:$G,$G219,куб!T:T),IF($E219&lt;&gt;0,SUMIF(куб!$E:$E,$E219,куб!T:T),IF($D219&lt;&gt;0,SUMIF(куб!$D:$D,$D219,куб!T:T),IF($C219&lt;&gt;0,SUMIF(куб!$C:$C,$C219,куб!T:T),IF($B219&lt;&gt;0,SUMIF(куб!$B:$B,$B219,куб!T:T))))))</f>
        <v>0</v>
      </c>
      <c r="AK219" s="27">
        <f>IF($G219&lt;&gt;0,SUMIF(куб!$G:$G,$G219,куб!U:U),IF($E219&lt;&gt;0,SUMIF(куб!$E:$E,$E219,куб!U:U),IF($D219&lt;&gt;0,SUMIF(куб!$D:$D,$D219,куб!U:U),IF($C219&lt;&gt;0,SUMIF(куб!$C:$C,$C219,куб!U:U),IF($B219&lt;&gt;0,SUMIF(куб!$B:$B,$B219,куб!U:U))))))</f>
        <v>0</v>
      </c>
      <c r="AL219" s="16" t="str">
        <f t="shared" si="80"/>
        <v>-</v>
      </c>
      <c r="AM219" s="8"/>
      <c r="AN219" s="17">
        <f t="shared" si="81"/>
        <v>0</v>
      </c>
      <c r="AO219" s="17">
        <f t="shared" si="82"/>
        <v>0</v>
      </c>
      <c r="AP219" s="16">
        <f t="shared" si="83"/>
        <v>0</v>
      </c>
      <c r="AQ219" s="8"/>
      <c r="AR219" s="17">
        <f t="shared" si="84"/>
        <v>0.9804706886305895</v>
      </c>
      <c r="AS219" s="17">
        <f t="shared" si="85"/>
        <v>0.49017779381795312</v>
      </c>
      <c r="AT219" s="13">
        <f t="shared" si="86"/>
        <v>-0.49029289481263638</v>
      </c>
      <c r="AU219" s="8"/>
    </row>
    <row r="220" spans="1:47" ht="15" customHeight="1" x14ac:dyDescent="0.25">
      <c r="A220" s="31" t="s">
        <v>26</v>
      </c>
      <c r="B220" s="31" t="s">
        <v>32</v>
      </c>
      <c r="C220" t="s">
        <v>33</v>
      </c>
      <c r="D220" s="31" t="s">
        <v>452</v>
      </c>
      <c r="E220" t="s">
        <v>453</v>
      </c>
      <c r="F220" s="31" t="s">
        <v>462</v>
      </c>
      <c r="G220" t="s">
        <v>463</v>
      </c>
      <c r="H220" s="27">
        <f>IF($G220&lt;&gt;0,SUMIF(куб!$G:$G,$G220,куб!H:H),IF($E220&lt;&gt;0,SUMIF(куб!$E:$E,$E220,куб!H:H),IF($D220&lt;&gt;0,SUMIF(куб!$D:$D,$D220,куб!H:H),IF($C220&lt;&gt;0,SUMIF(куб!$C:$C,$C220,куб!H:H),IF($B220&lt;&gt;0,SUMIF(куб!$B:$B,$B220,куб!H:H),IF($G220&lt;&gt;0,SUMIF(куб!$A:$A,$G220,куб!H:H),SUMIF(куб!$A:$A,$G220,куб!H:H)))))))</f>
        <v>0</v>
      </c>
      <c r="I220" s="27">
        <f>IF($G220&lt;&gt;0,SUMIF(куб!$G:$G,$G220,куб!I:I),IF($E220&lt;&gt;0,SUMIF(куб!$E:$E,$E220,куб!I:I),IF($D220&lt;&gt;0,SUMIF(куб!$D:$D,$D220,куб!I:I),IF($C220&lt;&gt;0,SUMIF(куб!$C:$C,$C220,куб!I:I),IF($B220&lt;&gt;0,SUMIF(куб!$B:$B,$B220,куб!I:I),IF($G220&lt;&gt;0,SUMIF(куб!$A:$A,$G220,куб!I:I),SUMIF(куб!$A:$A,$G220,куб!I:I)))))))</f>
        <v>1864653.4575999945</v>
      </c>
      <c r="J220" s="19" t="str">
        <f t="shared" si="87"/>
        <v>-</v>
      </c>
      <c r="K220" s="5"/>
      <c r="L220" s="17">
        <f t="shared" si="70"/>
        <v>0</v>
      </c>
      <c r="M220" s="17">
        <f t="shared" si="71"/>
        <v>3.9757675223128647E-3</v>
      </c>
      <c r="N220" s="12">
        <f t="shared" si="72"/>
        <v>3.9757675223128647E-3</v>
      </c>
      <c r="O220" s="5"/>
      <c r="P220" s="27">
        <f>IF($G220&lt;&gt;0,SUMIF(куб!$G:$G,$G220,куб!J:J),IF($E220&lt;&gt;0,SUMIF(куб!$E:$E,$E220,куб!J:J),IF($D220&lt;&gt;0,SUMIF(куб!$D:$D,$D220,куб!J:J),IF($C220&lt;&gt;0,SUMIF(куб!$C:$C,$C220,куб!J:J),IF($B220&lt;&gt;0,SUMIF(куб!$B:$B,$B220,куб!J:J))))))</f>
        <v>0</v>
      </c>
      <c r="Q220" s="27">
        <f>IF($G220&lt;&gt;0,SUMIF(куб!$G:$G,$G220,куб!K:K),IF($E220&lt;&gt;0,SUMIF(куб!$E:$E,$E220,куб!K:K),IF($D220&lt;&gt;0,SUMIF(куб!$D:$D,$D220,куб!K:K),IF($C220&lt;&gt;0,SUMIF(куб!$C:$C,$C220,куб!K:K),IF($B220&lt;&gt;0,SUMIF(куб!$B:$B,$B220,куб!K:K))))))</f>
        <v>33744</v>
      </c>
      <c r="R220" s="13" t="str">
        <f t="shared" si="73"/>
        <v>-</v>
      </c>
      <c r="S220" s="5"/>
      <c r="T220" s="27">
        <f>IF($G220&lt;&gt;0,SUMIF(куб!$G:$G,$G220,куб!L:L),IF($E220&lt;&gt;0,SUMIF(куб!$E:$E,$E220,куб!L:L),IF($D220&lt;&gt;0,SUMIF(куб!$D:$D,$D220,куб!L:L),IF($C220&lt;&gt;0,SUMIF(куб!$C:$C,$C220,куб!L:L),IF($B220&lt;&gt;0,SUMIF(куб!$B:$B,$B220,куб!L:L))))))</f>
        <v>0</v>
      </c>
      <c r="U220" s="27">
        <f>IF($G220&lt;&gt;0,SUMIF(куб!$G:$G,$G220,куб!M:M),IF($E220&lt;&gt;0,SUMIF(куб!$E:$E,$E220,куб!M:M),IF($D220&lt;&gt;0,SUMIF(куб!$D:$D,$D220,куб!M:M),IF($C220&lt;&gt;0,SUMIF(куб!$C:$C,$C220,куб!M:M),IF($B220&lt;&gt;0,SUMIF(куб!$B:$B,$B220,куб!M:M))))))</f>
        <v>30369.599999999973</v>
      </c>
      <c r="V220" s="13" t="str">
        <f t="shared" si="74"/>
        <v>-</v>
      </c>
      <c r="W220" s="5"/>
      <c r="X220" s="27">
        <f>IF($G220&lt;&gt;0,SUMIF(куб!$G:$G,$G220,куб!N:N),IF($E220&lt;&gt;0,SUMIF(куб!$E:$E,$E220,куб!N:N),IF($D220&lt;&gt;0,SUMIF(куб!$D:$D,$D220,куб!N:N),IF($C220&lt;&gt;0,SUMIF(куб!$C:$C,$C220,куб!N:N),IF($B220&lt;&gt;0,SUMIF(куб!$B:$B,$B220,куб!N:N))))))</f>
        <v>0</v>
      </c>
      <c r="Y220" s="27">
        <f>IF($G220&lt;&gt;0,SUMIF(куб!$G:$G,$G220,куб!O:O),IF($E220&lt;&gt;0,SUMIF(куб!$E:$E,$E220,куб!O:O),IF($D220&lt;&gt;0,SUMIF(куб!$D:$D,$D220,куб!O:O),IF($C220&lt;&gt;0,SUMIF(куб!$C:$C,$C220,куб!O:O),IF($B220&lt;&gt;0,SUMIF(куб!$B:$B,$B220,куб!O:O))))))</f>
        <v>341991.3046999916</v>
      </c>
      <c r="Z220" s="13" t="str">
        <f t="shared" si="75"/>
        <v>-</v>
      </c>
      <c r="AA220" s="5"/>
      <c r="AB220" s="33" t="str">
        <f t="shared" si="76"/>
        <v/>
      </c>
      <c r="AC220" s="33">
        <f t="shared" si="77"/>
        <v>0.18340743332553086</v>
      </c>
      <c r="AD220" s="15" t="str">
        <f t="shared" si="78"/>
        <v xml:space="preserve"> </v>
      </c>
      <c r="AE220" s="5"/>
      <c r="AF220" s="27">
        <f>IF($G220&lt;&gt;0,SUMIF(куб!$G:$G,$G220,куб!R:R),IF($E220&lt;&gt;0,SUMIF(куб!$E:$E,$E220,куб!R:R),IF($D220&lt;&gt;0,SUMIF(куб!$D:$D,$D220,куб!R:R),IF($C220&lt;&gt;0,SUMIF(куб!$C:$C,$C220,куб!R:R),IF($B220&lt;&gt;0,SUMIF(куб!$B:$B,$B220,куб!R:R))))))</f>
        <v>0</v>
      </c>
      <c r="AG220" s="27">
        <f>IF($G220&lt;&gt;0,SUMIF(куб!$G:$G,$G220,куб!S:S),IF($E220&lt;&gt;0,SUMIF(куб!$E:$E,$E220,куб!S:S),IF($D220&lt;&gt;0,SUMIF(куб!$D:$D,$D220,куб!S:S),IF($C220&lt;&gt;0,SUMIF(куб!$C:$C,$C220,куб!S:S),IF($B220&lt;&gt;0,SUMIF(куб!$B:$B,$B220,куб!S:S))))))</f>
        <v>12758.3691</v>
      </c>
      <c r="AH220" s="16" t="str">
        <f t="shared" si="79"/>
        <v>-</v>
      </c>
      <c r="AI220" s="8"/>
      <c r="AJ220" s="27">
        <f>IF($G220&lt;&gt;0,SUMIF(куб!$G:$G,$G220,куб!T:T),IF($E220&lt;&gt;0,SUMIF(куб!$E:$E,$E220,куб!T:T),IF($D220&lt;&gt;0,SUMIF(куб!$D:$D,$D220,куб!T:T),IF($C220&lt;&gt;0,SUMIF(куб!$C:$C,$C220,куб!T:T),IF($B220&lt;&gt;0,SUMIF(куб!$B:$B,$B220,куб!T:T))))))</f>
        <v>0</v>
      </c>
      <c r="AK220" s="27">
        <f>IF($G220&lt;&gt;0,SUMIF(куб!$G:$G,$G220,куб!U:U),IF($E220&lt;&gt;0,SUMIF(куб!$E:$E,$E220,куб!U:U),IF($D220&lt;&gt;0,SUMIF(куб!$D:$D,$D220,куб!U:U),IF($C220&lt;&gt;0,SUMIF(куб!$C:$C,$C220,куб!U:U),IF($B220&lt;&gt;0,SUMIF(куб!$B:$B,$B220,куб!U:U))))))</f>
        <v>278</v>
      </c>
      <c r="AL220" s="16" t="str">
        <f t="shared" si="80"/>
        <v>-</v>
      </c>
      <c r="AM220" s="8"/>
      <c r="AN220" s="17" t="str">
        <f t="shared" si="81"/>
        <v xml:space="preserve"> </v>
      </c>
      <c r="AO220" s="17">
        <f t="shared" si="82"/>
        <v>6.8422199567427216E-3</v>
      </c>
      <c r="AP220" s="16" t="str">
        <f t="shared" si="83"/>
        <v>-</v>
      </c>
      <c r="AQ220" s="8"/>
      <c r="AR220" s="17" t="str">
        <f t="shared" si="84"/>
        <v>-</v>
      </c>
      <c r="AS220" s="17">
        <f t="shared" si="85"/>
        <v>0.17656521336878814</v>
      </c>
      <c r="AT220" s="13" t="str">
        <f t="shared" si="86"/>
        <v>-</v>
      </c>
      <c r="AU220" s="8"/>
    </row>
    <row r="221" spans="1:47" ht="15" customHeight="1" x14ac:dyDescent="0.25">
      <c r="A221" s="31" t="s">
        <v>26</v>
      </c>
      <c r="B221" s="31" t="s">
        <v>32</v>
      </c>
      <c r="C221" t="s">
        <v>33</v>
      </c>
      <c r="D221" s="31" t="s">
        <v>452</v>
      </c>
      <c r="E221" t="s">
        <v>453</v>
      </c>
      <c r="F221" s="31" t="s">
        <v>464</v>
      </c>
      <c r="G221" t="s">
        <v>465</v>
      </c>
      <c r="H221" s="27">
        <f>IF($G221&lt;&gt;0,SUMIF(куб!$G:$G,$G221,куб!H:H),IF($E221&lt;&gt;0,SUMIF(куб!$E:$E,$E221,куб!H:H),IF($D221&lt;&gt;0,SUMIF(куб!$D:$D,$D221,куб!H:H),IF($C221&lt;&gt;0,SUMIF(куб!$C:$C,$C221,куб!H:H),IF($B221&lt;&gt;0,SUMIF(куб!$B:$B,$B221,куб!H:H),IF($G221&lt;&gt;0,SUMIF(куб!$A:$A,$G221,куб!H:H),SUMIF(куб!$A:$A,$G221,куб!H:H)))))))</f>
        <v>0</v>
      </c>
      <c r="I221" s="27">
        <f>IF($G221&lt;&gt;0,SUMIF(куб!$G:$G,$G221,куб!I:I),IF($E221&lt;&gt;0,SUMIF(куб!$E:$E,$E221,куб!I:I),IF($D221&lt;&gt;0,SUMIF(куб!$D:$D,$D221,куб!I:I),IF($C221&lt;&gt;0,SUMIF(куб!$C:$C,$C221,куб!I:I),IF($B221&lt;&gt;0,SUMIF(куб!$B:$B,$B221,куб!I:I),IF($G221&lt;&gt;0,SUMIF(куб!$A:$A,$G221,куб!I:I),SUMIF(куб!$A:$A,$G221,куб!I:I)))))))</f>
        <v>444.09069999999997</v>
      </c>
      <c r="J221" s="19" t="str">
        <f t="shared" si="87"/>
        <v>-</v>
      </c>
      <c r="K221" s="5"/>
      <c r="L221" s="17">
        <f t="shared" si="70"/>
        <v>0</v>
      </c>
      <c r="M221" s="17">
        <f t="shared" si="71"/>
        <v>9.468790969308049E-7</v>
      </c>
      <c r="N221" s="12">
        <f t="shared" si="72"/>
        <v>9.468790969308049E-7</v>
      </c>
      <c r="O221" s="5"/>
      <c r="P221" s="27">
        <f>IF($G221&lt;&gt;0,SUMIF(куб!$G:$G,$G221,куб!J:J),IF($E221&lt;&gt;0,SUMIF(куб!$E:$E,$E221,куб!J:J),IF($D221&lt;&gt;0,SUMIF(куб!$D:$D,$D221,куб!J:J),IF($C221&lt;&gt;0,SUMIF(куб!$C:$C,$C221,куб!J:J),IF($B221&lt;&gt;0,SUMIF(куб!$B:$B,$B221,куб!J:J))))))</f>
        <v>0</v>
      </c>
      <c r="Q221" s="27">
        <f>IF($G221&lt;&gt;0,SUMIF(куб!$G:$G,$G221,куб!K:K),IF($E221&lt;&gt;0,SUMIF(куб!$E:$E,$E221,куб!K:K),IF($D221&lt;&gt;0,SUMIF(куб!$D:$D,$D221,куб!K:K),IF($C221&lt;&gt;0,SUMIF(куб!$C:$C,$C221,куб!K:K),IF($B221&lt;&gt;0,SUMIF(куб!$B:$B,$B221,куб!K:K))))))</f>
        <v>7</v>
      </c>
      <c r="R221" s="13" t="str">
        <f t="shared" si="73"/>
        <v>-</v>
      </c>
      <c r="S221" s="5"/>
      <c r="T221" s="27">
        <f>IF($G221&lt;&gt;0,SUMIF(куб!$G:$G,$G221,куб!L:L),IF($E221&lt;&gt;0,SUMIF(куб!$E:$E,$E221,куб!L:L),IF($D221&lt;&gt;0,SUMIF(куб!$D:$D,$D221,куб!L:L),IF($C221&lt;&gt;0,SUMIF(куб!$C:$C,$C221,куб!L:L),IF($B221&lt;&gt;0,SUMIF(куб!$B:$B,$B221,куб!L:L))))))</f>
        <v>0</v>
      </c>
      <c r="U221" s="27">
        <f>IF($G221&lt;&gt;0,SUMIF(куб!$G:$G,$G221,куб!M:M),IF($E221&lt;&gt;0,SUMIF(куб!$E:$E,$E221,куб!M:M),IF($D221&lt;&gt;0,SUMIF(куб!$D:$D,$D221,куб!M:M),IF($C221&lt;&gt;0,SUMIF(куб!$C:$C,$C221,куб!M:M),IF($B221&lt;&gt;0,SUMIF(куб!$B:$B,$B221,куб!M:M))))))</f>
        <v>6.3000000000000007</v>
      </c>
      <c r="V221" s="13" t="str">
        <f t="shared" si="74"/>
        <v>-</v>
      </c>
      <c r="W221" s="5"/>
      <c r="X221" s="27">
        <f>IF($G221&lt;&gt;0,SUMIF(куб!$G:$G,$G221,куб!N:N),IF($E221&lt;&gt;0,SUMIF(куб!$E:$E,$E221,куб!N:N),IF($D221&lt;&gt;0,SUMIF(куб!$D:$D,$D221,куб!N:N),IF($C221&lt;&gt;0,SUMIF(куб!$C:$C,$C221,куб!N:N),IF($B221&lt;&gt;0,SUMIF(куб!$B:$B,$B221,куб!N:N))))))</f>
        <v>0</v>
      </c>
      <c r="Y221" s="27">
        <f>IF($G221&lt;&gt;0,SUMIF(куб!$G:$G,$G221,куб!O:O),IF($E221&lt;&gt;0,SUMIF(куб!$E:$E,$E221,куб!O:O),IF($D221&lt;&gt;0,SUMIF(куб!$D:$D,$D221,куб!O:O),IF($C221&lt;&gt;0,SUMIF(куб!$C:$C,$C221,куб!O:O),IF($B221&lt;&gt;0,SUMIF(куб!$B:$B,$B221,куб!O:O))))))</f>
        <v>53.363699999999938</v>
      </c>
      <c r="Z221" s="13" t="str">
        <f t="shared" si="75"/>
        <v>-</v>
      </c>
      <c r="AA221" s="5"/>
      <c r="AB221" s="33" t="str">
        <f t="shared" si="76"/>
        <v/>
      </c>
      <c r="AC221" s="33">
        <f t="shared" si="77"/>
        <v>0.1201639665050404</v>
      </c>
      <c r="AD221" s="15" t="str">
        <f t="shared" si="78"/>
        <v xml:space="preserve"> </v>
      </c>
      <c r="AE221" s="5"/>
      <c r="AF221" s="27">
        <f>IF($G221&lt;&gt;0,SUMIF(куб!$G:$G,$G221,куб!R:R),IF($E221&lt;&gt;0,SUMIF(куб!$E:$E,$E221,куб!R:R),IF($D221&lt;&gt;0,SUMIF(куб!$D:$D,$D221,куб!R:R),IF($C221&lt;&gt;0,SUMIF(куб!$C:$C,$C221,куб!R:R),IF($B221&lt;&gt;0,SUMIF(куб!$B:$B,$B221,куб!R:R))))))</f>
        <v>0</v>
      </c>
      <c r="AG221" s="27">
        <f>IF($G221&lt;&gt;0,SUMIF(куб!$G:$G,$G221,куб!S:S),IF($E221&lt;&gt;0,SUMIF(куб!$E:$E,$E221,куб!S:S),IF($D221&lt;&gt;0,SUMIF(куб!$D:$D,$D221,куб!S:S),IF($C221&lt;&gt;0,SUMIF(куб!$C:$C,$C221,куб!S:S),IF($B221&lt;&gt;0,SUMIF(куб!$B:$B,$B221,куб!S:S))))))</f>
        <v>0</v>
      </c>
      <c r="AH221" s="16" t="str">
        <f t="shared" si="79"/>
        <v>-</v>
      </c>
      <c r="AI221" s="8"/>
      <c r="AJ221" s="27">
        <f>IF($G221&lt;&gt;0,SUMIF(куб!$G:$G,$G221,куб!T:T),IF($E221&lt;&gt;0,SUMIF(куб!$E:$E,$E221,куб!T:T),IF($D221&lt;&gt;0,SUMIF(куб!$D:$D,$D221,куб!T:T),IF($C221&lt;&gt;0,SUMIF(куб!$C:$C,$C221,куб!T:T),IF($B221&lt;&gt;0,SUMIF(куб!$B:$B,$B221,куб!T:T))))))</f>
        <v>0</v>
      </c>
      <c r="AK221" s="27">
        <f>IF($G221&lt;&gt;0,SUMIF(куб!$G:$G,$G221,куб!U:U),IF($E221&lt;&gt;0,SUMIF(куб!$E:$E,$E221,куб!U:U),IF($D221&lt;&gt;0,SUMIF(куб!$D:$D,$D221,куб!U:U),IF($C221&lt;&gt;0,SUMIF(куб!$C:$C,$C221,куб!U:U),IF($B221&lt;&gt;0,SUMIF(куб!$B:$B,$B221,куб!U:U))))))</f>
        <v>0</v>
      </c>
      <c r="AL221" s="16" t="str">
        <f t="shared" si="80"/>
        <v>-</v>
      </c>
      <c r="AM221" s="8"/>
      <c r="AN221" s="17" t="str">
        <f t="shared" si="81"/>
        <v xml:space="preserve"> </v>
      </c>
      <c r="AO221" s="17">
        <f t="shared" si="82"/>
        <v>0</v>
      </c>
      <c r="AP221" s="16" t="str">
        <f t="shared" si="83"/>
        <v>-</v>
      </c>
      <c r="AQ221" s="8"/>
      <c r="AR221" s="17" t="str">
        <f t="shared" si="84"/>
        <v>-</v>
      </c>
      <c r="AS221" s="17">
        <f t="shared" si="85"/>
        <v>0.1201639665050404</v>
      </c>
      <c r="AT221" s="13" t="str">
        <f t="shared" si="86"/>
        <v>-</v>
      </c>
      <c r="AU221" s="8"/>
    </row>
    <row r="222" spans="1:47" ht="15" customHeight="1" x14ac:dyDescent="0.25">
      <c r="A222" s="31" t="s">
        <v>26</v>
      </c>
      <c r="B222" s="31" t="s">
        <v>32</v>
      </c>
      <c r="C222" t="s">
        <v>33</v>
      </c>
      <c r="D222" s="31" t="s">
        <v>452</v>
      </c>
      <c r="E222" t="s">
        <v>453</v>
      </c>
      <c r="F222" s="31" t="s">
        <v>466</v>
      </c>
      <c r="G222" t="s">
        <v>467</v>
      </c>
      <c r="H222" s="27">
        <f>IF($G222&lt;&gt;0,SUMIF(куб!$G:$G,$G222,куб!H:H),IF($E222&lt;&gt;0,SUMIF(куб!$E:$E,$E222,куб!H:H),IF($D222&lt;&gt;0,SUMIF(куб!$D:$D,$D222,куб!H:H),IF($C222&lt;&gt;0,SUMIF(куб!$C:$C,$C222,куб!H:H),IF($B222&lt;&gt;0,SUMIF(куб!$B:$B,$B222,куб!H:H),IF($G222&lt;&gt;0,SUMIF(куб!$A:$A,$G222,куб!H:H),SUMIF(куб!$A:$A,$G222,куб!H:H)))))))</f>
        <v>239585.99969999999</v>
      </c>
      <c r="I222" s="27">
        <f>IF($G222&lt;&gt;0,SUMIF(куб!$G:$G,$G222,куб!I:I),IF($E222&lt;&gt;0,SUMIF(куб!$E:$E,$E222,куб!I:I),IF($D222&lt;&gt;0,SUMIF(куб!$D:$D,$D222,куб!I:I),IF($C222&lt;&gt;0,SUMIF(куб!$C:$C,$C222,куб!I:I),IF($B222&lt;&gt;0,SUMIF(куб!$B:$B,$B222,куб!I:I),IF($G222&lt;&gt;0,SUMIF(куб!$A:$A,$G222,куб!I:I),SUMIF(куб!$A:$A,$G222,куб!I:I)))))))</f>
        <v>195452.90609999999</v>
      </c>
      <c r="J222" s="19">
        <f t="shared" si="87"/>
        <v>-0.18420564496782654</v>
      </c>
      <c r="K222" s="8"/>
      <c r="L222" s="17">
        <f t="shared" si="70"/>
        <v>5.0046928560066955E-4</v>
      </c>
      <c r="M222" s="17">
        <f t="shared" si="71"/>
        <v>4.1673980387445497E-4</v>
      </c>
      <c r="N222" s="12">
        <f t="shared" si="72"/>
        <v>-8.372948172621458E-5</v>
      </c>
      <c r="O222" s="5"/>
      <c r="P222" s="27">
        <f>IF($G222&lt;&gt;0,SUMIF(куб!$G:$G,$G222,куб!J:J),IF($E222&lt;&gt;0,SUMIF(куб!$E:$E,$E222,куб!J:J),IF($D222&lt;&gt;0,SUMIF(куб!$D:$D,$D222,куб!J:J),IF($C222&lt;&gt;0,SUMIF(куб!$C:$C,$C222,куб!J:J),IF($B222&lt;&gt;0,SUMIF(куб!$B:$B,$B222,куб!J:J))))))</f>
        <v>2932</v>
      </c>
      <c r="Q222" s="27">
        <f>IF($G222&lt;&gt;0,SUMIF(куб!$G:$G,$G222,куб!K:K),IF($E222&lt;&gt;0,SUMIF(куб!$E:$E,$E222,куб!K:K),IF($D222&lt;&gt;0,SUMIF(куб!$D:$D,$D222,куб!K:K),IF($C222&lt;&gt;0,SUMIF(куб!$C:$C,$C222,куб!K:K),IF($B222&lt;&gt;0,SUMIF(куб!$B:$B,$B222,куб!K:K))))))</f>
        <v>2751</v>
      </c>
      <c r="R222" s="13">
        <f t="shared" si="73"/>
        <v>-6.1732605729877217E-2</v>
      </c>
      <c r="S222" s="5"/>
      <c r="T222" s="27">
        <f>IF($G222&lt;&gt;0,SUMIF(куб!$G:$G,$G222,куб!L:L),IF($E222&lt;&gt;0,SUMIF(куб!$E:$E,$E222,куб!L:L),IF($D222&lt;&gt;0,SUMIF(куб!$D:$D,$D222,куб!L:L),IF($C222&lt;&gt;0,SUMIF(куб!$C:$C,$C222,куб!L:L),IF($B222&lt;&gt;0,SUMIF(куб!$B:$B,$B222,куб!L:L))))))</f>
        <v>2932</v>
      </c>
      <c r="U222" s="27">
        <f>IF($G222&lt;&gt;0,SUMIF(куб!$G:$G,$G222,куб!M:M),IF($E222&lt;&gt;0,SUMIF(куб!$E:$E,$E222,куб!M:M),IF($D222&lt;&gt;0,SUMIF(куб!$D:$D,$D222,куб!M:M),IF($C222&lt;&gt;0,SUMIF(куб!$C:$C,$C222,куб!M:M),IF($B222&lt;&gt;0,SUMIF(куб!$B:$B,$B222,куб!M:M))))))</f>
        <v>2751</v>
      </c>
      <c r="V222" s="13">
        <f t="shared" si="74"/>
        <v>-6.1732605729877217E-2</v>
      </c>
      <c r="W222" s="5"/>
      <c r="X222" s="27">
        <f>IF($G222&lt;&gt;0,SUMIF(куб!$G:$G,$G222,куб!N:N),IF($E222&lt;&gt;0,SUMIF(куб!$E:$E,$E222,куб!N:N),IF($D222&lt;&gt;0,SUMIF(куб!$D:$D,$D222,куб!N:N),IF($C222&lt;&gt;0,SUMIF(куб!$C:$C,$C222,куб!N:N),IF($B222&lt;&gt;0,SUMIF(куб!$B:$B,$B222,куб!N:N))))))</f>
        <v>31669.811500000069</v>
      </c>
      <c r="Y222" s="27">
        <f>IF($G222&lt;&gt;0,SUMIF(куб!$G:$G,$G222,куб!O:O),IF($E222&lt;&gt;0,SUMIF(куб!$E:$E,$E222,куб!O:O),IF($D222&lt;&gt;0,SUMIF(куб!$D:$D,$D222,куб!O:O),IF($C222&lt;&gt;0,SUMIF(куб!$C:$C,$C222,куб!O:O),IF($B222&lt;&gt;0,SUMIF(куб!$B:$B,$B222,куб!O:O))))))</f>
        <v>14139.967400000052</v>
      </c>
      <c r="Z222" s="13">
        <f t="shared" si="75"/>
        <v>-0.55351905394195289</v>
      </c>
      <c r="AA222" s="5"/>
      <c r="AB222" s="33">
        <f t="shared" si="76"/>
        <v>0.13218556818702154</v>
      </c>
      <c r="AC222" s="33">
        <f t="shared" si="77"/>
        <v>7.2344626038794171E-2</v>
      </c>
      <c r="AD222" s="15">
        <f t="shared" si="78"/>
        <v>-5.9840942148227369E-2</v>
      </c>
      <c r="AE222" s="5"/>
      <c r="AF222" s="27">
        <f>IF($G222&lt;&gt;0,SUMIF(куб!$G:$G,$G222,куб!R:R),IF($E222&lt;&gt;0,SUMIF(куб!$E:$E,$E222,куб!R:R),IF($D222&lt;&gt;0,SUMIF(куб!$D:$D,$D222,куб!R:R),IF($C222&lt;&gt;0,SUMIF(куб!$C:$C,$C222,куб!R:R),IF($B222&lt;&gt;0,SUMIF(куб!$B:$B,$B222,куб!R:R))))))</f>
        <v>921.81720000000007</v>
      </c>
      <c r="AG222" s="27">
        <f>IF($G222&lt;&gt;0,SUMIF(куб!$G:$G,$G222,куб!S:S),IF($E222&lt;&gt;0,SUMIF(куб!$E:$E,$E222,куб!S:S),IF($D222&lt;&gt;0,SUMIF(куб!$D:$D,$D222,куб!S:S),IF($C222&lt;&gt;0,SUMIF(куб!$C:$C,$C222,куб!S:S),IF($B222&lt;&gt;0,SUMIF(куб!$B:$B,$B222,куб!S:S))))))</f>
        <v>1261.0720999999999</v>
      </c>
      <c r="AH222" s="16">
        <f t="shared" si="79"/>
        <v>0.36802839001051374</v>
      </c>
      <c r="AI222" s="8"/>
      <c r="AJ222" s="27">
        <f>IF($G222&lt;&gt;0,SUMIF(куб!$G:$G,$G222,куб!T:T),IF($E222&lt;&gt;0,SUMIF(куб!$E:$E,$E222,куб!T:T),IF($D222&lt;&gt;0,SUMIF(куб!$D:$D,$D222,куб!T:T),IF($C222&lt;&gt;0,SUMIF(куб!$C:$C,$C222,куб!T:T),IF($B222&lt;&gt;0,SUMIF(куб!$B:$B,$B222,куб!T:T))))))</f>
        <v>13</v>
      </c>
      <c r="AK222" s="27">
        <f>IF($G222&lt;&gt;0,SUMIF(куб!$G:$G,$G222,куб!U:U),IF($E222&lt;&gt;0,SUMIF(куб!$E:$E,$E222,куб!U:U),IF($D222&lt;&gt;0,SUMIF(куб!$D:$D,$D222,куб!U:U),IF($C222&lt;&gt;0,SUMIF(куб!$C:$C,$C222,куб!U:U),IF($B222&lt;&gt;0,SUMIF(куб!$B:$B,$B222,куб!U:U))))))</f>
        <v>21</v>
      </c>
      <c r="AL222" s="16">
        <f t="shared" si="80"/>
        <v>0.61538461538461542</v>
      </c>
      <c r="AM222" s="8"/>
      <c r="AN222" s="17">
        <f t="shared" si="81"/>
        <v>3.8475420147849322E-3</v>
      </c>
      <c r="AO222" s="17">
        <f t="shared" si="82"/>
        <v>6.4520509065994387E-3</v>
      </c>
      <c r="AP222" s="16">
        <f t="shared" si="83"/>
        <v>2.6045088918145065E-3</v>
      </c>
      <c r="AQ222" s="8"/>
      <c r="AR222" s="17">
        <f t="shared" si="84"/>
        <v>0.12833802617223661</v>
      </c>
      <c r="AS222" s="17">
        <f t="shared" si="85"/>
        <v>6.5892575132194736E-2</v>
      </c>
      <c r="AT222" s="13">
        <f t="shared" si="86"/>
        <v>-6.2445451040041872E-2</v>
      </c>
      <c r="AU222" s="8"/>
    </row>
    <row r="223" spans="1:47" ht="15" customHeight="1" x14ac:dyDescent="0.25">
      <c r="A223" s="31" t="s">
        <v>26</v>
      </c>
      <c r="B223" s="31" t="s">
        <v>32</v>
      </c>
      <c r="C223" t="s">
        <v>33</v>
      </c>
      <c r="D223" s="31" t="s">
        <v>452</v>
      </c>
      <c r="E223" t="s">
        <v>453</v>
      </c>
      <c r="F223" s="31" t="s">
        <v>468</v>
      </c>
      <c r="G223" t="s">
        <v>469</v>
      </c>
      <c r="H223" s="27">
        <f>IF($G223&lt;&gt;0,SUMIF(куб!$G:$G,$G223,куб!H:H),IF($E223&lt;&gt;0,SUMIF(куб!$E:$E,$E223,куб!H:H),IF($D223&lt;&gt;0,SUMIF(куб!$D:$D,$D223,куб!H:H),IF($C223&lt;&gt;0,SUMIF(куб!$C:$C,$C223,куб!H:H),IF($B223&lt;&gt;0,SUMIF(куб!$B:$B,$B223,куб!H:H),IF($G223&lt;&gt;0,SUMIF(куб!$A:$A,$G223,куб!H:H),SUMIF(куб!$A:$A,$G223,куб!H:H)))))))</f>
        <v>0</v>
      </c>
      <c r="I223" s="27">
        <f>IF($G223&lt;&gt;0,SUMIF(куб!$G:$G,$G223,куб!I:I),IF($E223&lt;&gt;0,SUMIF(куб!$E:$E,$E223,куб!I:I),IF($D223&lt;&gt;0,SUMIF(куб!$D:$D,$D223,куб!I:I),IF($C223&lt;&gt;0,SUMIF(куб!$C:$C,$C223,куб!I:I),IF($B223&lt;&gt;0,SUMIF(куб!$B:$B,$B223,куб!I:I),IF($G223&lt;&gt;0,SUMIF(куб!$A:$A,$G223,куб!I:I),SUMIF(куб!$A:$A,$G223,куб!I:I)))))))</f>
        <v>1586223.8512000036</v>
      </c>
      <c r="J223" s="19" t="str">
        <f t="shared" si="87"/>
        <v>-</v>
      </c>
      <c r="K223" s="10"/>
      <c r="L223" s="17">
        <f t="shared" si="70"/>
        <v>0</v>
      </c>
      <c r="M223" s="17">
        <f t="shared" si="71"/>
        <v>3.3821068708585048E-3</v>
      </c>
      <c r="N223" s="12">
        <f t="shared" si="72"/>
        <v>3.3821068708585048E-3</v>
      </c>
      <c r="O223" s="5"/>
      <c r="P223" s="27">
        <f>IF($G223&lt;&gt;0,SUMIF(куб!$G:$G,$G223,куб!J:J),IF($E223&lt;&gt;0,SUMIF(куб!$E:$E,$E223,куб!J:J),IF($D223&lt;&gt;0,SUMIF(куб!$D:$D,$D223,куб!J:J),IF($C223&lt;&gt;0,SUMIF(куб!$C:$C,$C223,куб!J:J),IF($B223&lt;&gt;0,SUMIF(куб!$B:$B,$B223,куб!J:J))))))</f>
        <v>0</v>
      </c>
      <c r="Q223" s="27">
        <f>IF($G223&lt;&gt;0,SUMIF(куб!$G:$G,$G223,куб!K:K),IF($E223&lt;&gt;0,SUMIF(куб!$E:$E,$E223,куб!K:K),IF($D223&lt;&gt;0,SUMIF(куб!$D:$D,$D223,куб!K:K),IF($C223&lt;&gt;0,SUMIF(куб!$C:$C,$C223,куб!K:K),IF($B223&lt;&gt;0,SUMIF(куб!$B:$B,$B223,куб!K:K))))))</f>
        <v>20760</v>
      </c>
      <c r="R223" s="13" t="str">
        <f t="shared" si="73"/>
        <v>-</v>
      </c>
      <c r="S223" s="5"/>
      <c r="T223" s="27">
        <f>IF($G223&lt;&gt;0,SUMIF(куб!$G:$G,$G223,куб!L:L),IF($E223&lt;&gt;0,SUMIF(куб!$E:$E,$E223,куб!L:L),IF($D223&lt;&gt;0,SUMIF(куб!$D:$D,$D223,куб!L:L),IF($C223&lt;&gt;0,SUMIF(куб!$C:$C,$C223,куб!L:L),IF($B223&lt;&gt;0,SUMIF(куб!$B:$B,$B223,куб!L:L))))))</f>
        <v>0</v>
      </c>
      <c r="U223" s="27">
        <f>IF($G223&lt;&gt;0,SUMIF(куб!$G:$G,$G223,куб!M:M),IF($E223&lt;&gt;0,SUMIF(куб!$E:$E,$E223,куб!M:M),IF($D223&lt;&gt;0,SUMIF(куб!$D:$D,$D223,куб!M:M),IF($C223&lt;&gt;0,SUMIF(куб!$C:$C,$C223,куб!M:M),IF($B223&lt;&gt;0,SUMIF(куб!$B:$B,$B223,куб!M:M))))))</f>
        <v>21341.279999999919</v>
      </c>
      <c r="V223" s="13" t="str">
        <f t="shared" si="74"/>
        <v>-</v>
      </c>
      <c r="W223" s="5"/>
      <c r="X223" s="27">
        <f>IF($G223&lt;&gt;0,SUMIF(куб!$G:$G,$G223,куб!N:N),IF($E223&lt;&gt;0,SUMIF(куб!$E:$E,$E223,куб!N:N),IF($D223&lt;&gt;0,SUMIF(куб!$D:$D,$D223,куб!N:N),IF($C223&lt;&gt;0,SUMIF(куб!$C:$C,$C223,куб!N:N),IF($B223&lt;&gt;0,SUMIF(куб!$B:$B,$B223,куб!N:N))))))</f>
        <v>0</v>
      </c>
      <c r="Y223" s="27">
        <f>IF($G223&lt;&gt;0,SUMIF(куб!$G:$G,$G223,куб!O:O),IF($E223&lt;&gt;0,SUMIF(куб!$E:$E,$E223,куб!O:O),IF($D223&lt;&gt;0,SUMIF(куб!$D:$D,$D223,куб!O:O),IF($C223&lt;&gt;0,SUMIF(куб!$C:$C,$C223,куб!O:O),IF($B223&lt;&gt;0,SUMIF(куб!$B:$B,$B223,куб!O:O))))))</f>
        <v>168549.60479999799</v>
      </c>
      <c r="Z223" s="13" t="str">
        <f t="shared" si="75"/>
        <v>-</v>
      </c>
      <c r="AA223" s="5"/>
      <c r="AB223" s="33" t="str">
        <f t="shared" si="76"/>
        <v/>
      </c>
      <c r="AC223" s="33">
        <f t="shared" si="77"/>
        <v>0.10625839768610687</v>
      </c>
      <c r="AD223" s="15" t="str">
        <f t="shared" si="78"/>
        <v xml:space="preserve"> </v>
      </c>
      <c r="AE223" s="5"/>
      <c r="AF223" s="27">
        <f>IF($G223&lt;&gt;0,SUMIF(куб!$G:$G,$G223,куб!R:R),IF($E223&lt;&gt;0,SUMIF(куб!$E:$E,$E223,куб!R:R),IF($D223&lt;&gt;0,SUMIF(куб!$D:$D,$D223,куб!R:R),IF($C223&lt;&gt;0,SUMIF(куб!$C:$C,$C223,куб!R:R),IF($B223&lt;&gt;0,SUMIF(куб!$B:$B,$B223,куб!R:R))))))</f>
        <v>0</v>
      </c>
      <c r="AG223" s="27">
        <f>IF($G223&lt;&gt;0,SUMIF(куб!$G:$G,$G223,куб!S:S),IF($E223&lt;&gt;0,SUMIF(куб!$E:$E,$E223,куб!S:S),IF($D223&lt;&gt;0,SUMIF(куб!$D:$D,$D223,куб!S:S),IF($C223&lt;&gt;0,SUMIF(куб!$C:$C,$C223,куб!S:S),IF($B223&lt;&gt;0,SUMIF(куб!$B:$B,$B223,куб!S:S))))))</f>
        <v>19275.759099999999</v>
      </c>
      <c r="AH223" s="16" t="str">
        <f t="shared" si="79"/>
        <v>-</v>
      </c>
      <c r="AI223" s="8"/>
      <c r="AJ223" s="27">
        <f>IF($G223&lt;&gt;0,SUMIF(куб!$G:$G,$G223,куб!T:T),IF($E223&lt;&gt;0,SUMIF(куб!$E:$E,$E223,куб!T:T),IF($D223&lt;&gt;0,SUMIF(куб!$D:$D,$D223,куб!T:T),IF($C223&lt;&gt;0,SUMIF(куб!$C:$C,$C223,куб!T:T),IF($B223&lt;&gt;0,SUMIF(куб!$B:$B,$B223,куб!T:T))))))</f>
        <v>0</v>
      </c>
      <c r="AK223" s="27">
        <f>IF($G223&lt;&gt;0,SUMIF(куб!$G:$G,$G223,куб!U:U),IF($E223&lt;&gt;0,SUMIF(куб!$E:$E,$E223,куб!U:U),IF($D223&lt;&gt;0,SUMIF(куб!$D:$D,$D223,куб!U:U),IF($C223&lt;&gt;0,SUMIF(куб!$C:$C,$C223,куб!U:U),IF($B223&lt;&gt;0,SUMIF(куб!$B:$B,$B223,куб!U:U))))))</f>
        <v>284</v>
      </c>
      <c r="AL223" s="16" t="str">
        <f t="shared" si="80"/>
        <v>-</v>
      </c>
      <c r="AM223" s="8"/>
      <c r="AN223" s="17" t="str">
        <f t="shared" si="81"/>
        <v xml:space="preserve"> </v>
      </c>
      <c r="AO223" s="17">
        <f t="shared" si="82"/>
        <v>1.2151979107751771E-2</v>
      </c>
      <c r="AP223" s="16" t="str">
        <f t="shared" si="83"/>
        <v>-</v>
      </c>
      <c r="AQ223" s="8"/>
      <c r="AR223" s="17" t="str">
        <f t="shared" si="84"/>
        <v>-</v>
      </c>
      <c r="AS223" s="17">
        <f t="shared" si="85"/>
        <v>9.4106418578355097E-2</v>
      </c>
      <c r="AT223" s="13" t="str">
        <f t="shared" si="86"/>
        <v>-</v>
      </c>
      <c r="AU223" s="8"/>
    </row>
    <row r="224" spans="1:47" ht="15" customHeight="1" x14ac:dyDescent="0.25">
      <c r="A224" s="31" t="s">
        <v>26</v>
      </c>
      <c r="B224" s="31" t="s">
        <v>32</v>
      </c>
      <c r="C224" t="s">
        <v>33</v>
      </c>
      <c r="D224" s="31" t="s">
        <v>452</v>
      </c>
      <c r="E224" s="47" t="s">
        <v>470</v>
      </c>
      <c r="F224"/>
      <c r="G224"/>
      <c r="H224" s="27">
        <f>IF($G224&lt;&gt;0,SUMIF(куб!$G:$G,$G224,куб!H:H),IF($E224&lt;&gt;0,SUMIF(куб!$E:$E,$E224,куб!H:H),IF($D224&lt;&gt;0,SUMIF(куб!$D:$D,$D224,куб!H:H),IF($C224&lt;&gt;0,SUMIF(куб!$C:$C,$C224,куб!H:H),IF($B224&lt;&gt;0,SUMIF(куб!$B:$B,$B224,куб!H:H),IF($G224&lt;&gt;0,SUMIF(куб!$A:$A,$G224,куб!H:H),SUMIF(куб!$A:$A,$G224,куб!H:H)))))))</f>
        <v>19743544.249099795</v>
      </c>
      <c r="I224" s="27">
        <f>IF($G224&lt;&gt;0,SUMIF(куб!$G:$G,$G224,куб!I:I),IF($E224&lt;&gt;0,SUMIF(куб!$E:$E,$E224,куб!I:I),IF($D224&lt;&gt;0,SUMIF(куб!$D:$D,$D224,куб!I:I),IF($C224&lt;&gt;0,SUMIF(куб!$C:$C,$C224,куб!I:I),IF($B224&lt;&gt;0,SUMIF(куб!$B:$B,$B224,куб!I:I),IF($G224&lt;&gt;0,SUMIF(куб!$A:$A,$G224,куб!I:I),SUMIF(куб!$A:$A,$G224,куб!I:I)))))))</f>
        <v>17925146.055799909</v>
      </c>
      <c r="J224" s="19">
        <f t="shared" si="87"/>
        <v>-9.210089993759836E-2</v>
      </c>
      <c r="K224" s="5"/>
      <c r="L224" s="17">
        <f t="shared" si="70"/>
        <v>4.1242132252906356E-2</v>
      </c>
      <c r="M224" s="17">
        <f t="shared" si="71"/>
        <v>3.8219548641006434E-2</v>
      </c>
      <c r="N224" s="12">
        <f t="shared" si="72"/>
        <v>-3.0225836118999219E-3</v>
      </c>
      <c r="O224" s="5"/>
      <c r="P224" s="27">
        <f>IF($G224&lt;&gt;0,SUMIF(куб!$G:$G,$G224,куб!J:J),IF($E224&lt;&gt;0,SUMIF(куб!$E:$E,$E224,куб!J:J),IF($D224&lt;&gt;0,SUMIF(куб!$D:$D,$D224,куб!J:J),IF($C224&lt;&gt;0,SUMIF(куб!$C:$C,$C224,куб!J:J),IF($B224&lt;&gt;0,SUMIF(куб!$B:$B,$B224,куб!J:J))))))</f>
        <v>334036</v>
      </c>
      <c r="Q224" s="27">
        <f>IF($G224&lt;&gt;0,SUMIF(куб!$G:$G,$G224,куб!K:K),IF($E224&lt;&gt;0,SUMIF(куб!$E:$E,$E224,куб!K:K),IF($D224&lt;&gt;0,SUMIF(куб!$D:$D,$D224,куб!K:K),IF($C224&lt;&gt;0,SUMIF(куб!$C:$C,$C224,куб!K:K),IF($B224&lt;&gt;0,SUMIF(куб!$B:$B,$B224,куб!K:K))))))</f>
        <v>316262</v>
      </c>
      <c r="R224" s="13">
        <f t="shared" si="73"/>
        <v>-5.3209833670622327E-2</v>
      </c>
      <c r="S224" s="5"/>
      <c r="T224" s="27">
        <f>IF($G224&lt;&gt;0,SUMIF(куб!$G:$G,$G224,куб!L:L),IF($E224&lt;&gt;0,SUMIF(куб!$E:$E,$E224,куб!L:L),IF($D224&lt;&gt;0,SUMIF(куб!$D:$D,$D224,куб!L:L),IF($C224&lt;&gt;0,SUMIF(куб!$C:$C,$C224,куб!L:L),IF($B224&lt;&gt;0,SUMIF(куб!$B:$B,$B224,куб!L:L))))))</f>
        <v>334036</v>
      </c>
      <c r="U224" s="27">
        <f>IF($G224&lt;&gt;0,SUMIF(куб!$G:$G,$G224,куб!M:M),IF($E224&lt;&gt;0,SUMIF(куб!$E:$E,$E224,куб!M:M),IF($D224&lt;&gt;0,SUMIF(куб!$D:$D,$D224,куб!M:M),IF($C224&lt;&gt;0,SUMIF(куб!$C:$C,$C224,куб!M:M),IF($B224&lt;&gt;0,SUMIF(куб!$B:$B,$B224,куб!M:M))))))</f>
        <v>313468.17999999924</v>
      </c>
      <c r="V224" s="13">
        <f t="shared" si="74"/>
        <v>-6.157366271899066E-2</v>
      </c>
      <c r="W224" s="5"/>
      <c r="X224" s="27">
        <f>IF($G224&lt;&gt;0,SUMIF(куб!$G:$G,$G224,куб!N:N),IF($E224&lt;&gt;0,SUMIF(куб!$E:$E,$E224,куб!N:N),IF($D224&lt;&gt;0,SUMIF(куб!$D:$D,$D224,куб!N:N),IF($C224&lt;&gt;0,SUMIF(куб!$C:$C,$C224,куб!N:N),IF($B224&lt;&gt;0,SUMIF(куб!$B:$B,$B224,куб!N:N))))))</f>
        <v>1984168.9692000002</v>
      </c>
      <c r="Y224" s="27">
        <f>IF($G224&lt;&gt;0,SUMIF(куб!$G:$G,$G224,куб!O:O),IF($E224&lt;&gt;0,SUMIF(куб!$E:$E,$E224,куб!O:O),IF($D224&lt;&gt;0,SUMIF(куб!$D:$D,$D224,куб!O:O),IF($C224&lt;&gt;0,SUMIF(куб!$C:$C,$C224,куб!O:O),IF($B224&lt;&gt;0,SUMIF(куб!$B:$B,$B224,куб!O:O))))))</f>
        <v>2243536.2921000328</v>
      </c>
      <c r="Z224" s="13">
        <f t="shared" si="75"/>
        <v>0.13071836467869333</v>
      </c>
      <c r="AA224" s="5"/>
      <c r="AB224" s="33">
        <f t="shared" si="76"/>
        <v>0.10049710144066297</v>
      </c>
      <c r="AC224" s="33">
        <f t="shared" si="77"/>
        <v>0.12516139534462026</v>
      </c>
      <c r="AD224" s="15">
        <f t="shared" si="78"/>
        <v>2.4664293903957288E-2</v>
      </c>
      <c r="AE224" s="5"/>
      <c r="AF224" s="27">
        <f>IF($G224&lt;&gt;0,SUMIF(куб!$G:$G,$G224,куб!R:R),IF($E224&lt;&gt;0,SUMIF(куб!$E:$E,$E224,куб!R:R),IF($D224&lt;&gt;0,SUMIF(куб!$D:$D,$D224,куб!R:R),IF($C224&lt;&gt;0,SUMIF(куб!$C:$C,$C224,куб!R:R),IF($B224&lt;&gt;0,SUMIF(куб!$B:$B,$B224,куб!R:R))))))</f>
        <v>127864.8173</v>
      </c>
      <c r="AG224" s="27">
        <f>IF($G224&lt;&gt;0,SUMIF(куб!$G:$G,$G224,куб!S:S),IF($E224&lt;&gt;0,SUMIF(куб!$E:$E,$E224,куб!S:S),IF($D224&lt;&gt;0,SUMIF(куб!$D:$D,$D224,куб!S:S),IF($C224&lt;&gt;0,SUMIF(куб!$C:$C,$C224,куб!S:S),IF($B224&lt;&gt;0,SUMIF(куб!$B:$B,$B224,куб!S:S))))))</f>
        <v>79895.600999999981</v>
      </c>
      <c r="AH224" s="16">
        <f t="shared" si="79"/>
        <v>-0.37515570985764835</v>
      </c>
      <c r="AI224" s="8"/>
      <c r="AJ224" s="27">
        <f>IF($G224&lt;&gt;0,SUMIF(куб!$G:$G,$G224,куб!T:T),IF($E224&lt;&gt;0,SUMIF(куб!$E:$E,$E224,куб!T:T),IF($D224&lt;&gt;0,SUMIF(куб!$D:$D,$D224,куб!T:T),IF($C224&lt;&gt;0,SUMIF(куб!$C:$C,$C224,куб!T:T),IF($B224&lt;&gt;0,SUMIF(куб!$B:$B,$B224,куб!T:T))))))</f>
        <v>1960</v>
      </c>
      <c r="AK224" s="27">
        <f>IF($G224&lt;&gt;0,SUMIF(куб!$G:$G,$G224,куб!U:U),IF($E224&lt;&gt;0,SUMIF(куб!$E:$E,$E224,куб!U:U),IF($D224&lt;&gt;0,SUMIF(куб!$D:$D,$D224,куб!U:U),IF($C224&lt;&gt;0,SUMIF(куб!$C:$C,$C224,куб!U:U),IF($B224&lt;&gt;0,SUMIF(куб!$B:$B,$B224,куб!U:U))))))</f>
        <v>1516</v>
      </c>
      <c r="AL224" s="16">
        <f t="shared" si="80"/>
        <v>-0.22653061224489796</v>
      </c>
      <c r="AM224" s="8"/>
      <c r="AN224" s="17">
        <f t="shared" si="81"/>
        <v>6.4762848902283577E-3</v>
      </c>
      <c r="AO224" s="17">
        <f t="shared" si="82"/>
        <v>4.4571799164865797E-3</v>
      </c>
      <c r="AP224" s="16">
        <f t="shared" si="83"/>
        <v>-2.019104973741778E-3</v>
      </c>
      <c r="AQ224" s="8"/>
      <c r="AR224" s="17">
        <f t="shared" si="84"/>
        <v>9.4020816550434622E-2</v>
      </c>
      <c r="AS224" s="17">
        <f t="shared" si="85"/>
        <v>0.12070421542813368</v>
      </c>
      <c r="AT224" s="13">
        <f t="shared" si="86"/>
        <v>2.6683398877699063E-2</v>
      </c>
      <c r="AU224" s="8"/>
    </row>
    <row r="225" spans="1:47" ht="15" customHeight="1" x14ac:dyDescent="0.25">
      <c r="A225" s="31" t="s">
        <v>26</v>
      </c>
      <c r="B225" s="31" t="s">
        <v>32</v>
      </c>
      <c r="C225" t="s">
        <v>33</v>
      </c>
      <c r="D225" s="31" t="s">
        <v>452</v>
      </c>
      <c r="E225" t="s">
        <v>471</v>
      </c>
      <c r="F225" s="46" t="s">
        <v>472</v>
      </c>
      <c r="G225" t="s">
        <v>473</v>
      </c>
      <c r="H225" s="27">
        <f>IF($G225&lt;&gt;0,SUMIF(куб!$G:$G,$G225,куб!H:H),IF($E225&lt;&gt;0,SUMIF(куб!$E:$E,$E225,куб!H:H),IF($D225&lt;&gt;0,SUMIF(куб!$D:$D,$D225,куб!H:H),IF($C225&lt;&gt;0,SUMIF(куб!$C:$C,$C225,куб!H:H),IF($B225&lt;&gt;0,SUMIF(куб!$B:$B,$B225,куб!H:H),IF($G225&lt;&gt;0,SUMIF(куб!$A:$A,$G225,куб!H:H),SUMIF(куб!$A:$A,$G225,куб!H:H)))))))</f>
        <v>42349522.749100231</v>
      </c>
      <c r="I225" s="27">
        <f>IF($G225&lt;&gt;0,SUMIF(куб!$G:$G,$G225,куб!I:I),IF($E225&lt;&gt;0,SUMIF(куб!$E:$E,$E225,куб!I:I),IF($D225&lt;&gt;0,SUMIF(куб!$D:$D,$D225,куб!I:I),IF($C225&lt;&gt;0,SUMIF(куб!$C:$C,$C225,куб!I:I),IF($B225&lt;&gt;0,SUMIF(куб!$B:$B,$B225,куб!I:I),IF($G225&lt;&gt;0,SUMIF(куб!$A:$A,$G225,куб!I:I),SUMIF(куб!$A:$A,$G225,куб!I:I)))))))</f>
        <v>18987370.215699874</v>
      </c>
      <c r="J225" s="19">
        <f t="shared" si="87"/>
        <v>-0.55165090458774335</v>
      </c>
      <c r="K225" s="5"/>
      <c r="L225" s="17">
        <f t="shared" si="70"/>
        <v>8.8463580602833936E-2</v>
      </c>
      <c r="M225" s="17">
        <f t="shared" si="71"/>
        <v>4.0484396459851017E-2</v>
      </c>
      <c r="N225" s="12">
        <f t="shared" si="72"/>
        <v>-4.7979184142982918E-2</v>
      </c>
      <c r="O225" s="5"/>
      <c r="P225" s="27">
        <f>IF($G225&lt;&gt;0,SUMIF(куб!$G:$G,$G225,куб!J:J),IF($E225&lt;&gt;0,SUMIF(куб!$E:$E,$E225,куб!J:J),IF($D225&lt;&gt;0,SUMIF(куб!$D:$D,$D225,куб!J:J),IF($C225&lt;&gt;0,SUMIF(куб!$C:$C,$C225,куб!J:J),IF($B225&lt;&gt;0,SUMIF(куб!$B:$B,$B225,куб!J:J))))))</f>
        <v>714605</v>
      </c>
      <c r="Q225" s="27">
        <f>IF($G225&lt;&gt;0,SUMIF(куб!$G:$G,$G225,куб!K:K),IF($E225&lt;&gt;0,SUMIF(куб!$E:$E,$E225,куб!K:K),IF($D225&lt;&gt;0,SUMIF(куб!$D:$D,$D225,куб!K:K),IF($C225&lt;&gt;0,SUMIF(куб!$C:$C,$C225,куб!K:K),IF($B225&lt;&gt;0,SUMIF(куб!$B:$B,$B225,куб!K:K))))))</f>
        <v>363300</v>
      </c>
      <c r="R225" s="13">
        <f t="shared" si="73"/>
        <v>-0.49160725155855334</v>
      </c>
      <c r="S225" s="5"/>
      <c r="T225" s="27">
        <f>IF($G225&lt;&gt;0,SUMIF(куб!$G:$G,$G225,куб!L:L),IF($E225&lt;&gt;0,SUMIF(куб!$E:$E,$E225,куб!L:L),IF($D225&lt;&gt;0,SUMIF(куб!$D:$D,$D225,куб!L:L),IF($C225&lt;&gt;0,SUMIF(куб!$C:$C,$C225,куб!L:L),IF($B225&lt;&gt;0,SUMIF(куб!$B:$B,$B225,куб!L:L))))))</f>
        <v>714605</v>
      </c>
      <c r="U225" s="27">
        <f>IF($G225&lt;&gt;0,SUMIF(куб!$G:$G,$G225,куб!M:M),IF($E225&lt;&gt;0,SUMIF(куб!$E:$E,$E225,куб!M:M),IF($D225&lt;&gt;0,SUMIF(куб!$D:$D,$D225,куб!M:M),IF($C225&lt;&gt;0,SUMIF(куб!$C:$C,$C225,куб!M:M),IF($B225&lt;&gt;0,SUMIF(куб!$B:$B,$B225,куб!M:M))))))</f>
        <v>363300</v>
      </c>
      <c r="V225" s="13">
        <f t="shared" si="74"/>
        <v>-0.49160725155855334</v>
      </c>
      <c r="W225" s="5"/>
      <c r="X225" s="27">
        <f>IF($G225&lt;&gt;0,SUMIF(куб!$G:$G,$G225,куб!N:N),IF($E225&lt;&gt;0,SUMIF(куб!$E:$E,$E225,куб!N:N),IF($D225&lt;&gt;0,SUMIF(куб!$D:$D,$D225,куб!N:N),IF($C225&lt;&gt;0,SUMIF(куб!$C:$C,$C225,куб!N:N),IF($B225&lt;&gt;0,SUMIF(куб!$B:$B,$B225,куб!N:N))))))</f>
        <v>4776970.0842006281</v>
      </c>
      <c r="Y225" s="27">
        <f>IF($G225&lt;&gt;0,SUMIF(куб!$G:$G,$G225,куб!O:O),IF($E225&lt;&gt;0,SUMIF(куб!$E:$E,$E225,куб!O:O),IF($D225&lt;&gt;0,SUMIF(куб!$D:$D,$D225,куб!O:O),IF($C225&lt;&gt;0,SUMIF(куб!$C:$C,$C225,куб!O:O),IF($B225&lt;&gt;0,SUMIF(куб!$B:$B,$B225,куб!O:O))))))</f>
        <v>2547863.1787000187</v>
      </c>
      <c r="Z225" s="13">
        <f t="shared" si="75"/>
        <v>-0.46663614513165308</v>
      </c>
      <c r="AA225" s="5"/>
      <c r="AB225" s="33">
        <f t="shared" si="76"/>
        <v>0.11279867573719284</v>
      </c>
      <c r="AC225" s="33">
        <f t="shared" si="77"/>
        <v>0.13418725972874831</v>
      </c>
      <c r="AD225" s="15">
        <f t="shared" si="78"/>
        <v>2.1388583991555479E-2</v>
      </c>
      <c r="AE225" s="5"/>
      <c r="AF225" s="27">
        <f>IF($G225&lt;&gt;0,SUMIF(куб!$G:$G,$G225,куб!R:R),IF($E225&lt;&gt;0,SUMIF(куб!$E:$E,$E225,куб!R:R),IF($D225&lt;&gt;0,SUMIF(куб!$D:$D,$D225,куб!R:R),IF($C225&lt;&gt;0,SUMIF(куб!$C:$C,$C225,куб!R:R),IF($B225&lt;&gt;0,SUMIF(куб!$B:$B,$B225,куб!R:R))))))</f>
        <v>36561.669799999996</v>
      </c>
      <c r="AG225" s="27">
        <f>IF($G225&lt;&gt;0,SUMIF(куб!$G:$G,$G225,куб!S:S),IF($E225&lt;&gt;0,SUMIF(куб!$E:$E,$E225,куб!S:S),IF($D225&lt;&gt;0,SUMIF(куб!$D:$D,$D225,куб!S:S),IF($C225&lt;&gt;0,SUMIF(куб!$C:$C,$C225,куб!S:S),IF($B225&lt;&gt;0,SUMIF(куб!$B:$B,$B225,куб!S:S))))))</f>
        <v>66611.829199999993</v>
      </c>
      <c r="AH225" s="16">
        <f t="shared" si="79"/>
        <v>0.82190336394318619</v>
      </c>
      <c r="AI225" s="8"/>
      <c r="AJ225" s="27">
        <f>IF($G225&lt;&gt;0,SUMIF(куб!$G:$G,$G225,куб!T:T),IF($E225&lt;&gt;0,SUMIF(куб!$E:$E,$E225,куб!T:T),IF($D225&lt;&gt;0,SUMIF(куб!$D:$D,$D225,куб!T:T),IF($C225&lt;&gt;0,SUMIF(куб!$C:$C,$C225,куб!T:T),IF($B225&lt;&gt;0,SUMIF(куб!$B:$B,$B225,куб!T:T))))))</f>
        <v>697</v>
      </c>
      <c r="AK225" s="27">
        <f>IF($G225&lt;&gt;0,SUMIF(куб!$G:$G,$G225,куб!U:U),IF($E225&lt;&gt;0,SUMIF(куб!$E:$E,$E225,куб!U:U),IF($D225&lt;&gt;0,SUMIF(куб!$D:$D,$D225,куб!U:U),IF($C225&lt;&gt;0,SUMIF(куб!$C:$C,$C225,куб!U:U),IF($B225&lt;&gt;0,SUMIF(куб!$B:$B,$B225,куб!U:U))))))</f>
        <v>1426</v>
      </c>
      <c r="AL225" s="16">
        <f t="shared" si="80"/>
        <v>1.0459110473457676</v>
      </c>
      <c r="AM225" s="8"/>
      <c r="AN225" s="17">
        <f t="shared" si="81"/>
        <v>8.6333133000363732E-4</v>
      </c>
      <c r="AO225" s="17">
        <f t="shared" si="82"/>
        <v>3.508217749128914E-3</v>
      </c>
      <c r="AP225" s="16">
        <f t="shared" si="83"/>
        <v>2.6448864191252765E-3</v>
      </c>
      <c r="AQ225" s="8"/>
      <c r="AR225" s="17">
        <f t="shared" si="84"/>
        <v>0.11193534440718919</v>
      </c>
      <c r="AS225" s="17">
        <f t="shared" si="85"/>
        <v>0.13067904197961938</v>
      </c>
      <c r="AT225" s="13">
        <f t="shared" si="86"/>
        <v>1.874369757243019E-2</v>
      </c>
      <c r="AU225" s="8"/>
    </row>
    <row r="226" spans="1:47" ht="15" customHeight="1" x14ac:dyDescent="0.25">
      <c r="A226" s="31" t="s">
        <v>26</v>
      </c>
      <c r="B226" s="31" t="s">
        <v>32</v>
      </c>
      <c r="C226" t="s">
        <v>33</v>
      </c>
      <c r="D226" s="31" t="s">
        <v>452</v>
      </c>
      <c r="E226" t="s">
        <v>471</v>
      </c>
      <c r="F226" s="31" t="s">
        <v>474</v>
      </c>
      <c r="G226" t="s">
        <v>475</v>
      </c>
      <c r="H226" s="27">
        <f>IF($G226&lt;&gt;0,SUMIF(куб!$G:$G,$G226,куб!H:H),IF($E226&lt;&gt;0,SUMIF(куб!$E:$E,$E226,куб!H:H),IF($D226&lt;&gt;0,SUMIF(куб!$D:$D,$D226,куб!H:H),IF($C226&lt;&gt;0,SUMIF(куб!$C:$C,$C226,куб!H:H),IF($B226&lt;&gt;0,SUMIF(куб!$B:$B,$B226,куб!H:H),IF($G226&lt;&gt;0,SUMIF(куб!$A:$A,$G226,куб!H:H),SUMIF(куб!$A:$A,$G226,куб!H:H)))))))</f>
        <v>9353.1137999999992</v>
      </c>
      <c r="I226" s="27">
        <f>IF($G226&lt;&gt;0,SUMIF(куб!$G:$G,$G226,куб!I:I),IF($E226&lt;&gt;0,SUMIF(куб!$E:$E,$E226,куб!I:I),IF($D226&lt;&gt;0,SUMIF(куб!$D:$D,$D226,куб!I:I),IF($C226&lt;&gt;0,SUMIF(куб!$C:$C,$C226,куб!I:I),IF($B226&lt;&gt;0,SUMIF(куб!$B:$B,$B226,куб!I:I),IF($G226&lt;&gt;0,SUMIF(куб!$A:$A,$G226,куб!I:I),SUMIF(куб!$A:$A,$G226,куб!I:I)))))))</f>
        <v>0</v>
      </c>
      <c r="J226" s="19">
        <f t="shared" si="87"/>
        <v>-1</v>
      </c>
      <c r="K226" s="8"/>
      <c r="L226" s="17">
        <f t="shared" si="70"/>
        <v>1.9537644885298211E-5</v>
      </c>
      <c r="M226" s="17">
        <f t="shared" si="71"/>
        <v>0</v>
      </c>
      <c r="N226" s="12">
        <f t="shared" si="72"/>
        <v>-1.9537644885298211E-5</v>
      </c>
      <c r="O226" s="5"/>
      <c r="P226" s="27">
        <f>IF($G226&lt;&gt;0,SUMIF(куб!$G:$G,$G226,куб!J:J),IF($E226&lt;&gt;0,SUMIF(куб!$E:$E,$E226,куб!J:J),IF($D226&lt;&gt;0,SUMIF(куб!$D:$D,$D226,куб!J:J),IF($C226&lt;&gt;0,SUMIF(куб!$C:$C,$C226,куб!J:J),IF($B226&lt;&gt;0,SUMIF(куб!$B:$B,$B226,куб!J:J))))))</f>
        <v>103</v>
      </c>
      <c r="Q226" s="27">
        <f>IF($G226&lt;&gt;0,SUMIF(куб!$G:$G,$G226,куб!K:K),IF($E226&lt;&gt;0,SUMIF(куб!$E:$E,$E226,куб!K:K),IF($D226&lt;&gt;0,SUMIF(куб!$D:$D,$D226,куб!K:K),IF($C226&lt;&gt;0,SUMIF(куб!$C:$C,$C226,куб!K:K),IF($B226&lt;&gt;0,SUMIF(куб!$B:$B,$B226,куб!K:K))))))</f>
        <v>0</v>
      </c>
      <c r="R226" s="13">
        <f t="shared" si="73"/>
        <v>-1</v>
      </c>
      <c r="S226" s="5"/>
      <c r="T226" s="27">
        <f>IF($G226&lt;&gt;0,SUMIF(куб!$G:$G,$G226,куб!L:L),IF($E226&lt;&gt;0,SUMIF(куб!$E:$E,$E226,куб!L:L),IF($D226&lt;&gt;0,SUMIF(куб!$D:$D,$D226,куб!L:L),IF($C226&lt;&gt;0,SUMIF(куб!$C:$C,$C226,куб!L:L),IF($B226&lt;&gt;0,SUMIF(куб!$B:$B,$B226,куб!L:L))))))</f>
        <v>103</v>
      </c>
      <c r="U226" s="27">
        <f>IF($G226&lt;&gt;0,SUMIF(куб!$G:$G,$G226,куб!M:M),IF($E226&lt;&gt;0,SUMIF(куб!$E:$E,$E226,куб!M:M),IF($D226&lt;&gt;0,SUMIF(куб!$D:$D,$D226,куб!M:M),IF($C226&lt;&gt;0,SUMIF(куб!$C:$C,$C226,куб!M:M),IF($B226&lt;&gt;0,SUMIF(куб!$B:$B,$B226,куб!M:M))))))</f>
        <v>0</v>
      </c>
      <c r="V226" s="13">
        <f t="shared" si="74"/>
        <v>-1</v>
      </c>
      <c r="W226" s="5"/>
      <c r="X226" s="27">
        <f>IF($G226&lt;&gt;0,SUMIF(куб!$G:$G,$G226,куб!N:N),IF($E226&lt;&gt;0,SUMIF(куб!$E:$E,$E226,куб!N:N),IF($D226&lt;&gt;0,SUMIF(куб!$D:$D,$D226,куб!N:N),IF($C226&lt;&gt;0,SUMIF(куб!$C:$C,$C226,куб!N:N),IF($B226&lt;&gt;0,SUMIF(куб!$B:$B,$B226,куб!N:N))))))</f>
        <v>1365.9330999999984</v>
      </c>
      <c r="Y226" s="27">
        <f>IF($G226&lt;&gt;0,SUMIF(куб!$G:$G,$G226,куб!O:O),IF($E226&lt;&gt;0,SUMIF(куб!$E:$E,$E226,куб!O:O),IF($D226&lt;&gt;0,SUMIF(куб!$D:$D,$D226,куб!O:O),IF($C226&lt;&gt;0,SUMIF(куб!$C:$C,$C226,куб!O:O),IF($B226&lt;&gt;0,SUMIF(куб!$B:$B,$B226,куб!O:O))))))</f>
        <v>0</v>
      </c>
      <c r="Z226" s="13">
        <f t="shared" si="75"/>
        <v>-1</v>
      </c>
      <c r="AA226" s="5"/>
      <c r="AB226" s="33">
        <f t="shared" si="76"/>
        <v>0.14604046622419994</v>
      </c>
      <c r="AC226" s="33" t="str">
        <f t="shared" si="77"/>
        <v/>
      </c>
      <c r="AD226" s="15" t="str">
        <f t="shared" si="78"/>
        <v xml:space="preserve"> </v>
      </c>
      <c r="AE226" s="5"/>
      <c r="AF226" s="27">
        <f>IF($G226&lt;&gt;0,SUMIF(куб!$G:$G,$G226,куб!R:R),IF($E226&lt;&gt;0,SUMIF(куб!$E:$E,$E226,куб!R:R),IF($D226&lt;&gt;0,SUMIF(куб!$D:$D,$D226,куб!R:R),IF($C226&lt;&gt;0,SUMIF(куб!$C:$C,$C226,куб!R:R),IF($B226&lt;&gt;0,SUMIF(куб!$B:$B,$B226,куб!R:R))))))</f>
        <v>387.72710000000001</v>
      </c>
      <c r="AG226" s="27">
        <f>IF($G226&lt;&gt;0,SUMIF(куб!$G:$G,$G226,куб!S:S),IF($E226&lt;&gt;0,SUMIF(куб!$E:$E,$E226,куб!S:S),IF($D226&lt;&gt;0,SUMIF(куб!$D:$D,$D226,куб!S:S),IF($C226&lt;&gt;0,SUMIF(куб!$C:$C,$C226,куб!S:S),IF($B226&lt;&gt;0,SUMIF(куб!$B:$B,$B226,куб!S:S))))))</f>
        <v>0</v>
      </c>
      <c r="AH226" s="16">
        <f t="shared" si="79"/>
        <v>-1</v>
      </c>
      <c r="AI226" s="8"/>
      <c r="AJ226" s="27">
        <f>IF($G226&lt;&gt;0,SUMIF(куб!$G:$G,$G226,куб!T:T),IF($E226&lt;&gt;0,SUMIF(куб!$E:$E,$E226,куб!T:T),IF($D226&lt;&gt;0,SUMIF(куб!$D:$D,$D226,куб!T:T),IF($C226&lt;&gt;0,SUMIF(куб!$C:$C,$C226,куб!T:T),IF($B226&lt;&gt;0,SUMIF(куб!$B:$B,$B226,куб!T:T))))))</f>
        <v>5</v>
      </c>
      <c r="AK226" s="27">
        <f>IF($G226&lt;&gt;0,SUMIF(куб!$G:$G,$G226,куб!U:U),IF($E226&lt;&gt;0,SUMIF(куб!$E:$E,$E226,куб!U:U),IF($D226&lt;&gt;0,SUMIF(куб!$D:$D,$D226,куб!U:U),IF($C226&lt;&gt;0,SUMIF(куб!$C:$C,$C226,куб!U:U),IF($B226&lt;&gt;0,SUMIF(куб!$B:$B,$B226,куб!U:U))))))</f>
        <v>0</v>
      </c>
      <c r="AL226" s="16">
        <f t="shared" si="80"/>
        <v>-1</v>
      </c>
      <c r="AM226" s="8"/>
      <c r="AN226" s="17">
        <f t="shared" si="81"/>
        <v>4.1454333635927751E-2</v>
      </c>
      <c r="AO226" s="17" t="str">
        <f t="shared" si="82"/>
        <v xml:space="preserve"> </v>
      </c>
      <c r="AP226" s="16" t="str">
        <f t="shared" si="83"/>
        <v>-</v>
      </c>
      <c r="AQ226" s="8"/>
      <c r="AR226" s="17">
        <f t="shared" si="84"/>
        <v>0.10458613258827219</v>
      </c>
      <c r="AS226" s="17" t="str">
        <f t="shared" si="85"/>
        <v>-</v>
      </c>
      <c r="AT226" s="13" t="str">
        <f t="shared" si="86"/>
        <v>-</v>
      </c>
      <c r="AU226" s="8"/>
    </row>
    <row r="227" spans="1:47" ht="15" customHeight="1" x14ac:dyDescent="0.25">
      <c r="A227" s="31" t="s">
        <v>26</v>
      </c>
      <c r="B227" s="31" t="s">
        <v>32</v>
      </c>
      <c r="C227" t="s">
        <v>33</v>
      </c>
      <c r="D227" s="31" t="s">
        <v>452</v>
      </c>
      <c r="E227" t="s">
        <v>471</v>
      </c>
      <c r="F227" s="31" t="s">
        <v>476</v>
      </c>
      <c r="G227" t="s">
        <v>477</v>
      </c>
      <c r="H227" s="27">
        <f>IF($G227&lt;&gt;0,SUMIF(куб!$G:$G,$G227,куб!H:H),IF($E227&lt;&gt;0,SUMIF(куб!$E:$E,$E227,куб!H:H),IF($D227&lt;&gt;0,SUMIF(куб!$D:$D,$D227,куб!H:H),IF($C227&lt;&gt;0,SUMIF(куб!$C:$C,$C227,куб!H:H),IF($B227&lt;&gt;0,SUMIF(куб!$B:$B,$B227,куб!H:H),IF($G227&lt;&gt;0,SUMIF(куб!$A:$A,$G227,куб!H:H),SUMIF(куб!$A:$A,$G227,куб!H:H)))))))</f>
        <v>0</v>
      </c>
      <c r="I227" s="27">
        <f>IF($G227&lt;&gt;0,SUMIF(куб!$G:$G,$G227,куб!I:I),IF($E227&lt;&gt;0,SUMIF(куб!$E:$E,$E227,куб!I:I),IF($D227&lt;&gt;0,SUMIF(куб!$D:$D,$D227,куб!I:I),IF($C227&lt;&gt;0,SUMIF(куб!$C:$C,$C227,куб!I:I),IF($B227&lt;&gt;0,SUMIF(куб!$B:$B,$B227,куб!I:I),IF($G227&lt;&gt;0,SUMIF(куб!$A:$A,$G227,куб!I:I),SUMIF(куб!$A:$A,$G227,куб!I:I)))))))</f>
        <v>12359.502700000001</v>
      </c>
      <c r="J227" s="19" t="str">
        <f t="shared" si="87"/>
        <v>-</v>
      </c>
      <c r="K227" s="10"/>
      <c r="L227" s="17">
        <f t="shared" si="70"/>
        <v>0</v>
      </c>
      <c r="M227" s="17">
        <f t="shared" si="71"/>
        <v>2.6352622910342069E-5</v>
      </c>
      <c r="N227" s="12">
        <f t="shared" si="72"/>
        <v>2.6352622910342069E-5</v>
      </c>
      <c r="O227" s="5"/>
      <c r="P227" s="27">
        <f>IF($G227&lt;&gt;0,SUMIF(куб!$G:$G,$G227,куб!J:J),IF($E227&lt;&gt;0,SUMIF(куб!$E:$E,$E227,куб!J:J),IF($D227&lt;&gt;0,SUMIF(куб!$D:$D,$D227,куб!J:J),IF($C227&lt;&gt;0,SUMIF(куб!$C:$C,$C227,куб!J:J),IF($B227&lt;&gt;0,SUMIF(куб!$B:$B,$B227,куб!J:J))))))</f>
        <v>0</v>
      </c>
      <c r="Q227" s="27">
        <f>IF($G227&lt;&gt;0,SUMIF(куб!$G:$G,$G227,куб!K:K),IF($E227&lt;&gt;0,SUMIF(куб!$E:$E,$E227,куб!K:K),IF($D227&lt;&gt;0,SUMIF(куб!$D:$D,$D227,куб!K:K),IF($C227&lt;&gt;0,SUMIF(куб!$C:$C,$C227,куб!K:K),IF($B227&lt;&gt;0,SUMIF(куб!$B:$B,$B227,куб!K:K))))))</f>
        <v>187</v>
      </c>
      <c r="R227" s="13" t="str">
        <f t="shared" si="73"/>
        <v>-</v>
      </c>
      <c r="S227" s="5"/>
      <c r="T227" s="27">
        <f>IF($G227&lt;&gt;0,SUMIF(куб!$G:$G,$G227,куб!L:L),IF($E227&lt;&gt;0,SUMIF(куб!$E:$E,$E227,куб!L:L),IF($D227&lt;&gt;0,SUMIF(куб!$D:$D,$D227,куб!L:L),IF($C227&lt;&gt;0,SUMIF(куб!$C:$C,$C227,куб!L:L),IF($B227&lt;&gt;0,SUMIF(куб!$B:$B,$B227,куб!L:L))))))</f>
        <v>0</v>
      </c>
      <c r="U227" s="27">
        <f>IF($G227&lt;&gt;0,SUMIF(куб!$G:$G,$G227,куб!M:M),IF($E227&lt;&gt;0,SUMIF(куб!$E:$E,$E227,куб!M:M),IF($D227&lt;&gt;0,SUMIF(куб!$D:$D,$D227,куб!M:M),IF($C227&lt;&gt;0,SUMIF(куб!$C:$C,$C227,куб!M:M),IF($B227&lt;&gt;0,SUMIF(куб!$B:$B,$B227,куб!M:M))))))</f>
        <v>187</v>
      </c>
      <c r="V227" s="13" t="str">
        <f t="shared" si="74"/>
        <v>-</v>
      </c>
      <c r="W227" s="5"/>
      <c r="X227" s="27">
        <f>IF($G227&lt;&gt;0,SUMIF(куб!$G:$G,$G227,куб!N:N),IF($E227&lt;&gt;0,SUMIF(куб!$E:$E,$E227,куб!N:N),IF($D227&lt;&gt;0,SUMIF(куб!$D:$D,$D227,куб!N:N),IF($C227&lt;&gt;0,SUMIF(куб!$C:$C,$C227,куб!N:N),IF($B227&lt;&gt;0,SUMIF(куб!$B:$B,$B227,куб!N:N))))))</f>
        <v>0</v>
      </c>
      <c r="Y227" s="27">
        <f>IF($G227&lt;&gt;0,SUMIF(куб!$G:$G,$G227,куб!O:O),IF($E227&lt;&gt;0,SUMIF(куб!$E:$E,$E227,куб!O:O),IF($D227&lt;&gt;0,SUMIF(куб!$D:$D,$D227,куб!O:O),IF($C227&lt;&gt;0,SUMIF(куб!$C:$C,$C227,куб!O:O),IF($B227&lt;&gt;0,SUMIF(куб!$B:$B,$B227,куб!O:O))))))</f>
        <v>-789.47809999999845</v>
      </c>
      <c r="Z227" s="13" t="str">
        <f t="shared" si="75"/>
        <v>-</v>
      </c>
      <c r="AA227" s="5"/>
      <c r="AB227" s="33" t="str">
        <f t="shared" si="76"/>
        <v/>
      </c>
      <c r="AC227" s="33">
        <f t="shared" si="77"/>
        <v>-6.387620272132781E-2</v>
      </c>
      <c r="AD227" s="15" t="str">
        <f t="shared" si="78"/>
        <v xml:space="preserve"> </v>
      </c>
      <c r="AE227" s="5"/>
      <c r="AF227" s="27">
        <f>IF($G227&lt;&gt;0,SUMIF(куб!$G:$G,$G227,куб!R:R),IF($E227&lt;&gt;0,SUMIF(куб!$E:$E,$E227,куб!R:R),IF($D227&lt;&gt;0,SUMIF(куб!$D:$D,$D227,куб!R:R),IF($C227&lt;&gt;0,SUMIF(куб!$C:$C,$C227,куб!R:R),IF($B227&lt;&gt;0,SUMIF(куб!$B:$B,$B227,куб!R:R))))))</f>
        <v>0</v>
      </c>
      <c r="AG227" s="27">
        <f>IF($G227&lt;&gt;0,SUMIF(куб!$G:$G,$G227,куб!S:S),IF($E227&lt;&gt;0,SUMIF(куб!$E:$E,$E227,куб!S:S),IF($D227&lt;&gt;0,SUMIF(куб!$D:$D,$D227,куб!S:S),IF($C227&lt;&gt;0,SUMIF(куб!$C:$C,$C227,куб!S:S),IF($B227&lt;&gt;0,SUMIF(куб!$B:$B,$B227,куб!S:S))))))</f>
        <v>1557.8</v>
      </c>
      <c r="AH227" s="16" t="str">
        <f t="shared" si="79"/>
        <v>-</v>
      </c>
      <c r="AI227" s="8"/>
      <c r="AJ227" s="27">
        <f>IF($G227&lt;&gt;0,SUMIF(куб!$G:$G,$G227,куб!T:T),IF($E227&lt;&gt;0,SUMIF(куб!$E:$E,$E227,куб!T:T),IF($D227&lt;&gt;0,SUMIF(куб!$D:$D,$D227,куб!T:T),IF($C227&lt;&gt;0,SUMIF(куб!$C:$C,$C227,куб!T:T),IF($B227&lt;&gt;0,SUMIF(куб!$B:$B,$B227,куб!T:T))))))</f>
        <v>0</v>
      </c>
      <c r="AK227" s="27">
        <f>IF($G227&lt;&gt;0,SUMIF(куб!$G:$G,$G227,куб!U:U),IF($E227&lt;&gt;0,SUMIF(куб!$E:$E,$E227,куб!U:U),IF($D227&lt;&gt;0,SUMIF(куб!$D:$D,$D227,куб!U:U),IF($C227&lt;&gt;0,SUMIF(куб!$C:$C,$C227,куб!U:U),IF($B227&lt;&gt;0,SUMIF(куб!$B:$B,$B227,куб!U:U))))))</f>
        <v>22</v>
      </c>
      <c r="AL227" s="16" t="str">
        <f t="shared" si="80"/>
        <v>-</v>
      </c>
      <c r="AM227" s="8"/>
      <c r="AN227" s="17" t="str">
        <f t="shared" si="81"/>
        <v xml:space="preserve"> </v>
      </c>
      <c r="AO227" s="17">
        <f t="shared" si="82"/>
        <v>0.12604066990494689</v>
      </c>
      <c r="AP227" s="16" t="str">
        <f t="shared" si="83"/>
        <v>-</v>
      </c>
      <c r="AQ227" s="8"/>
      <c r="AR227" s="17" t="str">
        <f t="shared" si="84"/>
        <v>-</v>
      </c>
      <c r="AS227" s="17">
        <f t="shared" si="85"/>
        <v>-0.18991687262627471</v>
      </c>
      <c r="AT227" s="13" t="str">
        <f t="shared" si="86"/>
        <v>-</v>
      </c>
      <c r="AU227" s="8"/>
    </row>
    <row r="228" spans="1:47" ht="15" customHeight="1" x14ac:dyDescent="0.25">
      <c r="A228" s="31" t="s">
        <v>26</v>
      </c>
      <c r="B228" s="31" t="s">
        <v>32</v>
      </c>
      <c r="C228" t="s">
        <v>33</v>
      </c>
      <c r="D228" s="31" t="s">
        <v>452</v>
      </c>
      <c r="E228" t="s">
        <v>471</v>
      </c>
      <c r="F228" s="31" t="s">
        <v>478</v>
      </c>
      <c r="G228" t="s">
        <v>479</v>
      </c>
      <c r="H228" s="27">
        <f>IF($G228&lt;&gt;0,SUMIF(куб!$G:$G,$G228,куб!H:H),IF($E228&lt;&gt;0,SUMIF(куб!$E:$E,$E228,куб!H:H),IF($D228&lt;&gt;0,SUMIF(куб!$D:$D,$D228,куб!H:H),IF($C228&lt;&gt;0,SUMIF(куб!$C:$C,$C228,куб!H:H),IF($B228&lt;&gt;0,SUMIF(куб!$B:$B,$B228,куб!H:H),IF($G228&lt;&gt;0,SUMIF(куб!$A:$A,$G228,куб!H:H),SUMIF(куб!$A:$A,$G228,куб!H:H)))))))</f>
        <v>9390317.9561999813</v>
      </c>
      <c r="I228" s="27">
        <f>IF($G228&lt;&gt;0,SUMIF(куб!$G:$G,$G228,куб!I:I),IF($E228&lt;&gt;0,SUMIF(куб!$E:$E,$E228,куб!I:I),IF($D228&lt;&gt;0,SUMIF(куб!$D:$D,$D228,куб!I:I),IF($C228&lt;&gt;0,SUMIF(куб!$C:$C,$C228,куб!I:I),IF($B228&lt;&gt;0,SUMIF(куб!$B:$B,$B228,куб!I:I),IF($G228&lt;&gt;0,SUMIF(куб!$A:$A,$G228,куб!I:I),SUMIF(куб!$A:$A,$G228,куб!I:I)))))))</f>
        <v>19539990.862299889</v>
      </c>
      <c r="J228" s="19">
        <f t="shared" si="87"/>
        <v>1.0808657335610836</v>
      </c>
      <c r="K228" s="5"/>
      <c r="L228" s="17">
        <f t="shared" si="70"/>
        <v>1.9615360350718123E-2</v>
      </c>
      <c r="M228" s="17">
        <f t="shared" si="71"/>
        <v>4.1662680397789684E-2</v>
      </c>
      <c r="N228" s="12">
        <f t="shared" si="72"/>
        <v>2.2047320047071561E-2</v>
      </c>
      <c r="O228" s="5"/>
      <c r="P228" s="27">
        <f>IF($G228&lt;&gt;0,SUMIF(куб!$G:$G,$G228,куб!J:J),IF($E228&lt;&gt;0,SUMIF(куб!$E:$E,$E228,куб!J:J),IF($D228&lt;&gt;0,SUMIF(куб!$D:$D,$D228,куб!J:J),IF($C228&lt;&gt;0,SUMIF(куб!$C:$C,$C228,куб!J:J),IF($B228&lt;&gt;0,SUMIF(куб!$B:$B,$B228,куб!J:J))))))</f>
        <v>116599</v>
      </c>
      <c r="Q228" s="27">
        <f>IF($G228&lt;&gt;0,SUMIF(куб!$G:$G,$G228,куб!K:K),IF($E228&lt;&gt;0,SUMIF(куб!$E:$E,$E228,куб!K:K),IF($D228&lt;&gt;0,SUMIF(куб!$D:$D,$D228,куб!K:K),IF($C228&lt;&gt;0,SUMIF(куб!$C:$C,$C228,куб!K:K),IF($B228&lt;&gt;0,SUMIF(куб!$B:$B,$B228,куб!K:K))))))</f>
        <v>268258</v>
      </c>
      <c r="R228" s="13">
        <f t="shared" si="73"/>
        <v>1.3006886851516737</v>
      </c>
      <c r="S228" s="5"/>
      <c r="T228" s="27">
        <f>IF($G228&lt;&gt;0,SUMIF(куб!$G:$G,$G228,куб!L:L),IF($E228&lt;&gt;0,SUMIF(куб!$E:$E,$E228,куб!L:L),IF($D228&lt;&gt;0,SUMIF(куб!$D:$D,$D228,куб!L:L),IF($C228&lt;&gt;0,SUMIF(куб!$C:$C,$C228,куб!L:L),IF($B228&lt;&gt;0,SUMIF(куб!$B:$B,$B228,куб!L:L))))))</f>
        <v>116599</v>
      </c>
      <c r="U228" s="27">
        <f>IF($G228&lt;&gt;0,SUMIF(куб!$G:$G,$G228,куб!M:M),IF($E228&lt;&gt;0,SUMIF(куб!$E:$E,$E228,куб!M:M),IF($D228&lt;&gt;0,SUMIF(куб!$D:$D,$D228,куб!M:M),IF($C228&lt;&gt;0,SUMIF(куб!$C:$C,$C228,куб!M:M),IF($B228&lt;&gt;0,SUMIF(куб!$B:$B,$B228,куб!M:M))))))</f>
        <v>268258</v>
      </c>
      <c r="V228" s="13">
        <f t="shared" si="74"/>
        <v>1.3006886851516737</v>
      </c>
      <c r="W228" s="5"/>
      <c r="X228" s="27">
        <f>IF($G228&lt;&gt;0,SUMIF(куб!$G:$G,$G228,куб!N:N),IF($E228&lt;&gt;0,SUMIF(куб!$E:$E,$E228,куб!N:N),IF($D228&lt;&gt;0,SUMIF(куб!$D:$D,$D228,куб!N:N),IF($C228&lt;&gt;0,SUMIF(куб!$C:$C,$C228,куб!N:N),IF($B228&lt;&gt;0,SUMIF(куб!$B:$B,$B228,куб!N:N))))))</f>
        <v>1363706.9231000617</v>
      </c>
      <c r="Y228" s="27">
        <f>IF($G228&lt;&gt;0,SUMIF(куб!$G:$G,$G228,куб!O:O),IF($E228&lt;&gt;0,SUMIF(куб!$E:$E,$E228,куб!O:O),IF($D228&lt;&gt;0,SUMIF(куб!$D:$D,$D228,куб!O:O),IF($C228&lt;&gt;0,SUMIF(куб!$C:$C,$C228,куб!O:O),IF($B228&lt;&gt;0,SUMIF(куб!$B:$B,$B228,куб!O:O))))))</f>
        <v>2857920.5845000297</v>
      </c>
      <c r="Z228" s="13">
        <f t="shared" si="75"/>
        <v>1.0956999895573092</v>
      </c>
      <c r="AA228" s="5"/>
      <c r="AB228" s="33">
        <f t="shared" si="76"/>
        <v>0.14522478679219492</v>
      </c>
      <c r="AC228" s="33">
        <f t="shared" si="77"/>
        <v>0.14626007783934283</v>
      </c>
      <c r="AD228" s="15">
        <f t="shared" si="78"/>
        <v>1.0352910471479182E-3</v>
      </c>
      <c r="AE228" s="5"/>
      <c r="AF228" s="27">
        <f>IF($G228&lt;&gt;0,SUMIF(куб!$G:$G,$G228,куб!R:R),IF($E228&lt;&gt;0,SUMIF(куб!$E:$E,$E228,куб!R:R),IF($D228&lt;&gt;0,SUMIF(куб!$D:$D,$D228,куб!R:R),IF($C228&lt;&gt;0,SUMIF(куб!$C:$C,$C228,куб!R:R),IF($B228&lt;&gt;0,SUMIF(куб!$B:$B,$B228,куб!R:R))))))</f>
        <v>44121.987199999996</v>
      </c>
      <c r="AG228" s="27">
        <f>IF($G228&lt;&gt;0,SUMIF(куб!$G:$G,$G228,куб!S:S),IF($E228&lt;&gt;0,SUMIF(куб!$E:$E,$E228,куб!S:S),IF($D228&lt;&gt;0,SUMIF(куб!$D:$D,$D228,куб!S:S),IF($C228&lt;&gt;0,SUMIF(куб!$C:$C,$C228,куб!S:S),IF($B228&lt;&gt;0,SUMIF(куб!$B:$B,$B228,куб!S:S))))))</f>
        <v>15172.359600000003</v>
      </c>
      <c r="AH228" s="16">
        <f t="shared" si="79"/>
        <v>-0.65612701143252217</v>
      </c>
      <c r="AI228" s="8"/>
      <c r="AJ228" s="27">
        <f>IF($G228&lt;&gt;0,SUMIF(куб!$G:$G,$G228,куб!T:T),IF($E228&lt;&gt;0,SUMIF(куб!$E:$E,$E228,куб!T:T),IF($D228&lt;&gt;0,SUMIF(куб!$D:$D,$D228,куб!T:T),IF($C228&lt;&gt;0,SUMIF(куб!$C:$C,$C228,куб!T:T),IF($B228&lt;&gt;0,SUMIF(куб!$B:$B,$B228,куб!T:T))))))</f>
        <v>640</v>
      </c>
      <c r="AK228" s="27">
        <f>IF($G228&lt;&gt;0,SUMIF(куб!$G:$G,$G228,куб!U:U),IF($E228&lt;&gt;0,SUMIF(куб!$E:$E,$E228,куб!U:U),IF($D228&lt;&gt;0,SUMIF(куб!$D:$D,$D228,куб!U:U),IF($C228&lt;&gt;0,SUMIF(куб!$C:$C,$C228,куб!U:U),IF($B228&lt;&gt;0,SUMIF(куб!$B:$B,$B228,куб!U:U))))))</f>
        <v>244</v>
      </c>
      <c r="AL228" s="16">
        <f t="shared" si="80"/>
        <v>-0.61875000000000002</v>
      </c>
      <c r="AM228" s="8"/>
      <c r="AN228" s="17">
        <f t="shared" si="81"/>
        <v>4.6986680755435276E-3</v>
      </c>
      <c r="AO228" s="17">
        <f t="shared" si="82"/>
        <v>7.7647731295889624E-4</v>
      </c>
      <c r="AP228" s="16">
        <f t="shared" si="83"/>
        <v>-3.9221907625846316E-3</v>
      </c>
      <c r="AQ228" s="8"/>
      <c r="AR228" s="17">
        <f t="shared" si="84"/>
        <v>0.14052611871665138</v>
      </c>
      <c r="AS228" s="17">
        <f t="shared" si="85"/>
        <v>0.14548360052638395</v>
      </c>
      <c r="AT228" s="13">
        <f t="shared" si="86"/>
        <v>4.9574818097325724E-3</v>
      </c>
      <c r="AU228" s="8"/>
    </row>
    <row r="229" spans="1:47" ht="15" customHeight="1" x14ac:dyDescent="0.25">
      <c r="A229" s="31" t="s">
        <v>26</v>
      </c>
      <c r="B229" s="31" t="s">
        <v>32</v>
      </c>
      <c r="C229" t="s">
        <v>33</v>
      </c>
      <c r="D229" s="31" t="s">
        <v>452</v>
      </c>
      <c r="E229" t="s">
        <v>471</v>
      </c>
      <c r="F229" s="31" t="s">
        <v>480</v>
      </c>
      <c r="G229" t="s">
        <v>481</v>
      </c>
      <c r="H229" s="27">
        <f>IF($G229&lt;&gt;0,SUMIF(куб!$G:$G,$G229,куб!H:H),IF($E229&lt;&gt;0,SUMIF(куб!$E:$E,$E229,куб!H:H),IF($D229&lt;&gt;0,SUMIF(куб!$D:$D,$D229,куб!H:H),IF($C229&lt;&gt;0,SUMIF(куб!$C:$C,$C229,куб!H:H),IF($B229&lt;&gt;0,SUMIF(куб!$B:$B,$B229,куб!H:H),IF($G229&lt;&gt;0,SUMIF(куб!$A:$A,$G229,куб!H:H),SUMIF(куб!$A:$A,$G229,куб!H:H)))))))</f>
        <v>0</v>
      </c>
      <c r="I229" s="27">
        <f>IF($G229&lt;&gt;0,SUMIF(куб!$G:$G,$G229,куб!I:I),IF($E229&lt;&gt;0,SUMIF(куб!$E:$E,$E229,куб!I:I),IF($D229&lt;&gt;0,SUMIF(куб!$D:$D,$D229,куб!I:I),IF($C229&lt;&gt;0,SUMIF(куб!$C:$C,$C229,куб!I:I),IF($B229&lt;&gt;0,SUMIF(куб!$B:$B,$B229,куб!I:I),IF($G229&lt;&gt;0,SUMIF(куб!$A:$A,$G229,куб!I:I),SUMIF(куб!$A:$A,$G229,куб!I:I)))))))</f>
        <v>4191300.9590999903</v>
      </c>
      <c r="J229" s="19" t="str">
        <f t="shared" si="87"/>
        <v>-</v>
      </c>
      <c r="K229" s="5"/>
      <c r="L229" s="17">
        <f t="shared" si="70"/>
        <v>0</v>
      </c>
      <c r="M229" s="17">
        <f t="shared" si="71"/>
        <v>8.9365872041855757E-3</v>
      </c>
      <c r="N229" s="12">
        <f t="shared" si="72"/>
        <v>8.9365872041855757E-3</v>
      </c>
      <c r="O229" s="5"/>
      <c r="P229" s="27">
        <f>IF($G229&lt;&gt;0,SUMIF(куб!$G:$G,$G229,куб!J:J),IF($E229&lt;&gt;0,SUMIF(куб!$E:$E,$E229,куб!J:J),IF($D229&lt;&gt;0,SUMIF(куб!$D:$D,$D229,куб!J:J),IF($C229&lt;&gt;0,SUMIF(куб!$C:$C,$C229,куб!J:J),IF($B229&lt;&gt;0,SUMIF(куб!$B:$B,$B229,куб!J:J))))))</f>
        <v>0</v>
      </c>
      <c r="Q229" s="27">
        <f>IF($G229&lt;&gt;0,SUMIF(куб!$G:$G,$G229,куб!K:K),IF($E229&lt;&gt;0,SUMIF(куб!$E:$E,$E229,куб!K:K),IF($D229&lt;&gt;0,SUMIF(куб!$D:$D,$D229,куб!K:K),IF($C229&lt;&gt;0,SUMIF(куб!$C:$C,$C229,куб!K:K),IF($B229&lt;&gt;0,SUMIF(куб!$B:$B,$B229,куб!K:K))))))</f>
        <v>72883</v>
      </c>
      <c r="R229" s="13" t="str">
        <f t="shared" si="73"/>
        <v>-</v>
      </c>
      <c r="S229" s="5"/>
      <c r="T229" s="27">
        <f>IF($G229&lt;&gt;0,SUMIF(куб!$G:$G,$G229,куб!L:L),IF($E229&lt;&gt;0,SUMIF(куб!$E:$E,$E229,куб!L:L),IF($D229&lt;&gt;0,SUMIF(куб!$D:$D,$D229,куб!L:L),IF($C229&lt;&gt;0,SUMIF(куб!$C:$C,$C229,куб!L:L),IF($B229&lt;&gt;0,SUMIF(куб!$B:$B,$B229,куб!L:L))))))</f>
        <v>0</v>
      </c>
      <c r="U229" s="27">
        <f>IF($G229&lt;&gt;0,SUMIF(куб!$G:$G,$G229,куб!M:M),IF($E229&lt;&gt;0,SUMIF(куб!$E:$E,$E229,куб!M:M),IF($D229&lt;&gt;0,SUMIF(куб!$D:$D,$D229,куб!M:M),IF($C229&lt;&gt;0,SUMIF(куб!$C:$C,$C229,куб!M:M),IF($B229&lt;&gt;0,SUMIF(куб!$B:$B,$B229,куб!M:M))))))</f>
        <v>65594.699999999924</v>
      </c>
      <c r="V229" s="13" t="str">
        <f t="shared" si="74"/>
        <v>-</v>
      </c>
      <c r="W229" s="5"/>
      <c r="X229" s="27">
        <f>IF($G229&lt;&gt;0,SUMIF(куб!$G:$G,$G229,куб!N:N),IF($E229&lt;&gt;0,SUMIF(куб!$E:$E,$E229,куб!N:N),IF($D229&lt;&gt;0,SUMIF(куб!$D:$D,$D229,куб!N:N),IF($C229&lt;&gt;0,SUMIF(куб!$C:$C,$C229,куб!N:N),IF($B229&lt;&gt;0,SUMIF(куб!$B:$B,$B229,куб!N:N))))))</f>
        <v>0</v>
      </c>
      <c r="Y229" s="27">
        <f>IF($G229&lt;&gt;0,SUMIF(куб!$G:$G,$G229,куб!O:O),IF($E229&lt;&gt;0,SUMIF(куб!$E:$E,$E229,куб!O:O),IF($D229&lt;&gt;0,SUMIF(куб!$D:$D,$D229,куб!O:O),IF($C229&lt;&gt;0,SUMIF(куб!$C:$C,$C229,куб!O:O),IF($B229&lt;&gt;0,SUMIF(куб!$B:$B,$B229,куб!O:O))))))</f>
        <v>712418.39110000432</v>
      </c>
      <c r="Z229" s="13" t="str">
        <f t="shared" si="75"/>
        <v>-</v>
      </c>
      <c r="AA229" s="5"/>
      <c r="AB229" s="33" t="str">
        <f t="shared" si="76"/>
        <v/>
      </c>
      <c r="AC229" s="33">
        <f t="shared" si="77"/>
        <v>0.16997547970236523</v>
      </c>
      <c r="AD229" s="15" t="str">
        <f t="shared" si="78"/>
        <v xml:space="preserve"> </v>
      </c>
      <c r="AE229" s="5"/>
      <c r="AF229" s="27">
        <f>IF($G229&lt;&gt;0,SUMIF(куб!$G:$G,$G229,куб!R:R),IF($E229&lt;&gt;0,SUMIF(куб!$E:$E,$E229,куб!R:R),IF($D229&lt;&gt;0,SUMIF(куб!$D:$D,$D229,куб!R:R),IF($C229&lt;&gt;0,SUMIF(куб!$C:$C,$C229,куб!R:R),IF($B229&lt;&gt;0,SUMIF(куб!$B:$B,$B229,куб!R:R))))))</f>
        <v>0</v>
      </c>
      <c r="AG229" s="27">
        <f>IF($G229&lt;&gt;0,SUMIF(куб!$G:$G,$G229,куб!S:S),IF($E229&lt;&gt;0,SUMIF(куб!$E:$E,$E229,куб!S:S),IF($D229&lt;&gt;0,SUMIF(куб!$D:$D,$D229,куб!S:S),IF($C229&lt;&gt;0,SUMIF(куб!$C:$C,$C229,куб!S:S),IF($B229&lt;&gt;0,SUMIF(куб!$B:$B,$B229,куб!S:S))))))</f>
        <v>15834.532700000003</v>
      </c>
      <c r="AH229" s="16" t="str">
        <f t="shared" si="79"/>
        <v>-</v>
      </c>
      <c r="AI229" s="8"/>
      <c r="AJ229" s="27">
        <f>IF($G229&lt;&gt;0,SUMIF(куб!$G:$G,$G229,куб!T:T),IF($E229&lt;&gt;0,SUMIF(куб!$E:$E,$E229,куб!T:T),IF($D229&lt;&gt;0,SUMIF(куб!$D:$D,$D229,куб!T:T),IF($C229&lt;&gt;0,SUMIF(куб!$C:$C,$C229,куб!T:T),IF($B229&lt;&gt;0,SUMIF(куб!$B:$B,$B229,куб!T:T))))))</f>
        <v>0</v>
      </c>
      <c r="AK229" s="27">
        <f>IF($G229&lt;&gt;0,SUMIF(куб!$G:$G,$G229,куб!U:U),IF($E229&lt;&gt;0,SUMIF(куб!$E:$E,$E229,куб!U:U),IF($D229&lt;&gt;0,SUMIF(куб!$D:$D,$D229,куб!U:U),IF($C229&lt;&gt;0,SUMIF(куб!$C:$C,$C229,куб!U:U),IF($B229&lt;&gt;0,SUMIF(куб!$B:$B,$B229,куб!U:U))))))</f>
        <v>340</v>
      </c>
      <c r="AL229" s="16" t="str">
        <f t="shared" si="80"/>
        <v>-</v>
      </c>
      <c r="AM229" s="8"/>
      <c r="AN229" s="17" t="str">
        <f t="shared" si="81"/>
        <v xml:space="preserve"> </v>
      </c>
      <c r="AO229" s="17">
        <f t="shared" si="82"/>
        <v>3.7779517277614434E-3</v>
      </c>
      <c r="AP229" s="16" t="str">
        <f t="shared" si="83"/>
        <v>-</v>
      </c>
      <c r="AQ229" s="8"/>
      <c r="AR229" s="17" t="str">
        <f t="shared" si="84"/>
        <v>-</v>
      </c>
      <c r="AS229" s="17">
        <f t="shared" si="85"/>
        <v>0.1661975279746038</v>
      </c>
      <c r="AT229" s="13" t="str">
        <f t="shared" si="86"/>
        <v>-</v>
      </c>
      <c r="AU229" s="8"/>
    </row>
    <row r="230" spans="1:47" ht="15" customHeight="1" x14ac:dyDescent="0.25">
      <c r="A230" s="31" t="s">
        <v>26</v>
      </c>
      <c r="B230" s="31" t="s">
        <v>32</v>
      </c>
      <c r="C230" t="s">
        <v>33</v>
      </c>
      <c r="D230" s="31" t="s">
        <v>452</v>
      </c>
      <c r="E230" t="s">
        <v>471</v>
      </c>
      <c r="F230" s="31" t="s">
        <v>482</v>
      </c>
      <c r="G230" t="s">
        <v>483</v>
      </c>
      <c r="H230" s="27">
        <f>IF($G230&lt;&gt;0,SUMIF(куб!$G:$G,$G230,куб!H:H),IF($E230&lt;&gt;0,SUMIF(куб!$E:$E,$E230,куб!H:H),IF($D230&lt;&gt;0,SUMIF(куб!$D:$D,$D230,куб!H:H),IF($C230&lt;&gt;0,SUMIF(куб!$C:$C,$C230,куб!H:H),IF($B230&lt;&gt;0,SUMIF(куб!$B:$B,$B230,куб!H:H),IF($G230&lt;&gt;0,SUMIF(куб!$A:$A,$G230,куб!H:H),SUMIF(куб!$A:$A,$G230,куб!H:H)))))))</f>
        <v>0</v>
      </c>
      <c r="I230" s="27">
        <f>IF($G230&lt;&gt;0,SUMIF(куб!$G:$G,$G230,куб!I:I),IF($E230&lt;&gt;0,SUMIF(куб!$E:$E,$E230,куб!I:I),IF($D230&lt;&gt;0,SUMIF(куб!$D:$D,$D230,куб!I:I),IF($C230&lt;&gt;0,SUMIF(куб!$C:$C,$C230,куб!I:I),IF($B230&lt;&gt;0,SUMIF(куб!$B:$B,$B230,куб!I:I),IF($G230&lt;&gt;0,SUMIF(куб!$A:$A,$G230,куб!I:I),SUMIF(куб!$A:$A,$G230,куб!I:I)))))))</f>
        <v>3047.0895999999998</v>
      </c>
      <c r="J230" s="19" t="str">
        <f t="shared" si="87"/>
        <v>-</v>
      </c>
      <c r="K230" s="8"/>
      <c r="L230" s="17">
        <f t="shared" si="70"/>
        <v>0</v>
      </c>
      <c r="M230" s="17">
        <f t="shared" si="71"/>
        <v>6.4969283272882033E-6</v>
      </c>
      <c r="N230" s="12">
        <f t="shared" si="72"/>
        <v>6.4969283272882033E-6</v>
      </c>
      <c r="O230" s="5"/>
      <c r="P230" s="27">
        <f>IF($G230&lt;&gt;0,SUMIF(куб!$G:$G,$G230,куб!J:J),IF($E230&lt;&gt;0,SUMIF(куб!$E:$E,$E230,куб!J:J),IF($D230&lt;&gt;0,SUMIF(куб!$D:$D,$D230,куб!J:J),IF($C230&lt;&gt;0,SUMIF(куб!$C:$C,$C230,куб!J:J),IF($B230&lt;&gt;0,SUMIF(куб!$B:$B,$B230,куб!J:J))))))</f>
        <v>0</v>
      </c>
      <c r="Q230" s="27">
        <f>IF($G230&lt;&gt;0,SUMIF(куб!$G:$G,$G230,куб!K:K),IF($E230&lt;&gt;0,SUMIF(куб!$E:$E,$E230,куб!K:K),IF($D230&lt;&gt;0,SUMIF(куб!$D:$D,$D230,куб!K:K),IF($C230&lt;&gt;0,SUMIF(куб!$C:$C,$C230,куб!K:K),IF($B230&lt;&gt;0,SUMIF(куб!$B:$B,$B230,куб!K:K))))))</f>
        <v>48</v>
      </c>
      <c r="R230" s="13" t="str">
        <f t="shared" si="73"/>
        <v>-</v>
      </c>
      <c r="S230" s="5"/>
      <c r="T230" s="27">
        <f>IF($G230&lt;&gt;0,SUMIF(куб!$G:$G,$G230,куб!L:L),IF($E230&lt;&gt;0,SUMIF(куб!$E:$E,$E230,куб!L:L),IF($D230&lt;&gt;0,SUMIF(куб!$D:$D,$D230,куб!L:L),IF($C230&lt;&gt;0,SUMIF(куб!$C:$C,$C230,куб!L:L),IF($B230&lt;&gt;0,SUMIF(куб!$B:$B,$B230,куб!L:L))))))</f>
        <v>0</v>
      </c>
      <c r="U230" s="27">
        <f>IF($G230&lt;&gt;0,SUMIF(куб!$G:$G,$G230,куб!M:M),IF($E230&lt;&gt;0,SUMIF(куб!$E:$E,$E230,куб!M:M),IF($D230&lt;&gt;0,SUMIF(куб!$D:$D,$D230,куб!M:M),IF($C230&lt;&gt;0,SUMIF(куб!$C:$C,$C230,куб!M:M),IF($B230&lt;&gt;0,SUMIF(куб!$B:$B,$B230,куб!M:M))))))</f>
        <v>43.2</v>
      </c>
      <c r="V230" s="13" t="str">
        <f t="shared" si="74"/>
        <v>-</v>
      </c>
      <c r="W230" s="5"/>
      <c r="X230" s="27">
        <f>IF($G230&lt;&gt;0,SUMIF(куб!$G:$G,$G230,куб!N:N),IF($E230&lt;&gt;0,SUMIF(куб!$E:$E,$E230,куб!N:N),IF($D230&lt;&gt;0,SUMIF(куб!$D:$D,$D230,куб!N:N),IF($C230&lt;&gt;0,SUMIF(куб!$C:$C,$C230,куб!N:N),IF($B230&lt;&gt;0,SUMIF(куб!$B:$B,$B230,куб!N:N))))))</f>
        <v>0</v>
      </c>
      <c r="Y230" s="27">
        <f>IF($G230&lt;&gt;0,SUMIF(куб!$G:$G,$G230,куб!O:O),IF($E230&lt;&gt;0,SUMIF(куб!$E:$E,$E230,куб!O:O),IF($D230&lt;&gt;0,SUMIF(куб!$D:$D,$D230,куб!O:O),IF($C230&lt;&gt;0,SUMIF(куб!$C:$C,$C230,куб!O:O),IF($B230&lt;&gt;0,SUMIF(куб!$B:$B,$B230,куб!O:O))))))</f>
        <v>232.54540000000043</v>
      </c>
      <c r="Z230" s="13" t="str">
        <f t="shared" si="75"/>
        <v>-</v>
      </c>
      <c r="AA230" s="5"/>
      <c r="AB230" s="33" t="str">
        <f t="shared" si="76"/>
        <v/>
      </c>
      <c r="AC230" s="33">
        <f t="shared" si="77"/>
        <v>7.6317217583624863E-2</v>
      </c>
      <c r="AD230" s="15" t="str">
        <f t="shared" si="78"/>
        <v xml:space="preserve"> </v>
      </c>
      <c r="AE230" s="5"/>
      <c r="AF230" s="27">
        <f>IF($G230&lt;&gt;0,SUMIF(куб!$G:$G,$G230,куб!R:R),IF($E230&lt;&gt;0,SUMIF(куб!$E:$E,$E230,куб!R:R),IF($D230&lt;&gt;0,SUMIF(куб!$D:$D,$D230,куб!R:R),IF($C230&lt;&gt;0,SUMIF(куб!$C:$C,$C230,куб!R:R),IF($B230&lt;&gt;0,SUMIF(куб!$B:$B,$B230,куб!R:R))))))</f>
        <v>0</v>
      </c>
      <c r="AG230" s="27">
        <f>IF($G230&lt;&gt;0,SUMIF(куб!$G:$G,$G230,куб!S:S),IF($E230&lt;&gt;0,SUMIF(куб!$E:$E,$E230,куб!S:S),IF($D230&lt;&gt;0,SUMIF(куб!$D:$D,$D230,куб!S:S),IF($C230&lt;&gt;0,SUMIF(куб!$C:$C,$C230,куб!S:S),IF($B230&lt;&gt;0,SUMIF(куб!$B:$B,$B230,куб!S:S))))))</f>
        <v>289.18169999999998</v>
      </c>
      <c r="AH230" s="16" t="str">
        <f t="shared" si="79"/>
        <v>-</v>
      </c>
      <c r="AI230" s="8"/>
      <c r="AJ230" s="27">
        <f>IF($G230&lt;&gt;0,SUMIF(куб!$G:$G,$G230,куб!T:T),IF($E230&lt;&gt;0,SUMIF(куб!$E:$E,$E230,куб!T:T),IF($D230&lt;&gt;0,SUMIF(куб!$D:$D,$D230,куб!T:T),IF($C230&lt;&gt;0,SUMIF(куб!$C:$C,$C230,куб!T:T),IF($B230&lt;&gt;0,SUMIF(куб!$B:$B,$B230,куб!T:T))))))</f>
        <v>0</v>
      </c>
      <c r="AK230" s="27">
        <f>IF($G230&lt;&gt;0,SUMIF(куб!$G:$G,$G230,куб!U:U),IF($E230&lt;&gt;0,SUMIF(куб!$E:$E,$E230,куб!U:U),IF($D230&lt;&gt;0,SUMIF(куб!$D:$D,$D230,куб!U:U),IF($C230&lt;&gt;0,SUMIF(куб!$C:$C,$C230,куб!U:U),IF($B230&lt;&gt;0,SUMIF(куб!$B:$B,$B230,куб!U:U))))))</f>
        <v>5</v>
      </c>
      <c r="AL230" s="16" t="str">
        <f t="shared" si="80"/>
        <v>-</v>
      </c>
      <c r="AM230" s="8"/>
      <c r="AN230" s="17" t="str">
        <f t="shared" si="81"/>
        <v xml:space="preserve"> </v>
      </c>
      <c r="AO230" s="17">
        <f t="shared" si="82"/>
        <v>9.4904232550299797E-2</v>
      </c>
      <c r="AP230" s="16" t="str">
        <f t="shared" si="83"/>
        <v>-</v>
      </c>
      <c r="AQ230" s="8"/>
      <c r="AR230" s="17" t="str">
        <f t="shared" si="84"/>
        <v>-</v>
      </c>
      <c r="AS230" s="17">
        <f t="shared" si="85"/>
        <v>-1.858701496667494E-2</v>
      </c>
      <c r="AT230" s="13" t="str">
        <f t="shared" si="86"/>
        <v>-</v>
      </c>
      <c r="AU230" s="8"/>
    </row>
    <row r="231" spans="1:47" ht="15" customHeight="1" x14ac:dyDescent="0.25">
      <c r="A231" s="31" t="s">
        <v>26</v>
      </c>
      <c r="B231" s="31" t="s">
        <v>32</v>
      </c>
      <c r="C231" t="s">
        <v>33</v>
      </c>
      <c r="D231" s="31" t="s">
        <v>452</v>
      </c>
      <c r="E231" t="s">
        <v>471</v>
      </c>
      <c r="F231" s="31" t="s">
        <v>484</v>
      </c>
      <c r="G231" t="s">
        <v>485</v>
      </c>
      <c r="H231" s="27">
        <f>IF($G231&lt;&gt;0,SUMIF(куб!$G:$G,$G231,куб!H:H),IF($E231&lt;&gt;0,SUMIF(куб!$E:$E,$E231,куб!H:H),IF($D231&lt;&gt;0,SUMIF(куб!$D:$D,$D231,куб!H:H),IF($C231&lt;&gt;0,SUMIF(куб!$C:$C,$C231,куб!H:H),IF($B231&lt;&gt;0,SUMIF(куб!$B:$B,$B231,куб!H:H),IF($G231&lt;&gt;0,SUMIF(куб!$A:$A,$G231,куб!H:H),SUMIF(куб!$A:$A,$G231,куб!H:H)))))))</f>
        <v>0</v>
      </c>
      <c r="I231" s="27">
        <f>IF($G231&lt;&gt;0,SUMIF(куб!$G:$G,$G231,куб!I:I),IF($E231&lt;&gt;0,SUMIF(куб!$E:$E,$E231,куб!I:I),IF($D231&lt;&gt;0,SUMIF(куб!$D:$D,$D231,куб!I:I),IF($C231&lt;&gt;0,SUMIF(куб!$C:$C,$C231,куб!I:I),IF($B231&lt;&gt;0,SUMIF(куб!$B:$B,$B231,куб!I:I),IF($G231&lt;&gt;0,SUMIF(куб!$A:$A,$G231,куб!I:I),SUMIF(куб!$A:$A,$G231,куб!I:I)))))))</f>
        <v>3549168.6395000112</v>
      </c>
      <c r="J231" s="19" t="str">
        <f t="shared" si="87"/>
        <v>-</v>
      </c>
      <c r="K231" s="10"/>
      <c r="L231" s="17">
        <f t="shared" si="70"/>
        <v>0</v>
      </c>
      <c r="M231" s="17">
        <f t="shared" si="71"/>
        <v>7.5674487131230268E-3</v>
      </c>
      <c r="N231" s="12">
        <f t="shared" si="72"/>
        <v>7.5674487131230268E-3</v>
      </c>
      <c r="O231" s="5"/>
      <c r="P231" s="27">
        <f>IF($G231&lt;&gt;0,SUMIF(куб!$G:$G,$G231,куб!J:J),IF($E231&lt;&gt;0,SUMIF(куб!$E:$E,$E231,куб!J:J),IF($D231&lt;&gt;0,SUMIF(куб!$D:$D,$D231,куб!J:J),IF($C231&lt;&gt;0,SUMIF(куб!$C:$C,$C231,куб!J:J),IF($B231&lt;&gt;0,SUMIF(куб!$B:$B,$B231,куб!J:J))))))</f>
        <v>0</v>
      </c>
      <c r="Q231" s="27">
        <f>IF($G231&lt;&gt;0,SUMIF(куб!$G:$G,$G231,куб!K:K),IF($E231&lt;&gt;0,SUMIF(куб!$E:$E,$E231,куб!K:K),IF($D231&lt;&gt;0,SUMIF(куб!$D:$D,$D231,куб!K:K),IF($C231&lt;&gt;0,SUMIF(куб!$C:$C,$C231,куб!K:K),IF($B231&lt;&gt;0,SUMIF(куб!$B:$B,$B231,куб!K:K))))))</f>
        <v>44991</v>
      </c>
      <c r="R231" s="13" t="str">
        <f t="shared" si="73"/>
        <v>-</v>
      </c>
      <c r="S231" s="5"/>
      <c r="T231" s="27">
        <f>IF($G231&lt;&gt;0,SUMIF(куб!$G:$G,$G231,куб!L:L),IF($E231&lt;&gt;0,SUMIF(куб!$E:$E,$E231,куб!L:L),IF($D231&lt;&gt;0,SUMIF(куб!$D:$D,$D231,куб!L:L),IF($C231&lt;&gt;0,SUMIF(куб!$C:$C,$C231,куб!L:L),IF($B231&lt;&gt;0,SUMIF(куб!$B:$B,$B231,куб!L:L))))))</f>
        <v>0</v>
      </c>
      <c r="U231" s="27">
        <f>IF($G231&lt;&gt;0,SUMIF(куб!$G:$G,$G231,куб!M:M),IF($E231&lt;&gt;0,SUMIF(куб!$E:$E,$E231,куб!M:M),IF($D231&lt;&gt;0,SUMIF(куб!$D:$D,$D231,куб!M:M),IF($C231&lt;&gt;0,SUMIF(куб!$C:$C,$C231,куб!M:M),IF($B231&lt;&gt;0,SUMIF(куб!$B:$B,$B231,куб!M:M))))))</f>
        <v>46205.757000000478</v>
      </c>
      <c r="V231" s="13" t="str">
        <f t="shared" si="74"/>
        <v>-</v>
      </c>
      <c r="W231" s="5"/>
      <c r="X231" s="27">
        <f>IF($G231&lt;&gt;0,SUMIF(куб!$G:$G,$G231,куб!N:N),IF($E231&lt;&gt;0,SUMIF(куб!$E:$E,$E231,куб!N:N),IF($D231&lt;&gt;0,SUMIF(куб!$D:$D,$D231,куб!N:N),IF($C231&lt;&gt;0,SUMIF(куб!$C:$C,$C231,куб!N:N),IF($B231&lt;&gt;0,SUMIF(куб!$B:$B,$B231,куб!N:N))))))</f>
        <v>0</v>
      </c>
      <c r="Y231" s="27">
        <f>IF($G231&lt;&gt;0,SUMIF(куб!$G:$G,$G231,куб!O:O),IF($E231&lt;&gt;0,SUMIF(куб!$E:$E,$E231,куб!O:O),IF($D231&lt;&gt;0,SUMIF(куб!$D:$D,$D231,куб!O:O),IF($C231&lt;&gt;0,SUMIF(куб!$C:$C,$C231,куб!O:O),IF($B231&lt;&gt;0,SUMIF(куб!$B:$B,$B231,куб!O:O))))))</f>
        <v>337859.47360000992</v>
      </c>
      <c r="Z231" s="13" t="str">
        <f t="shared" si="75"/>
        <v>-</v>
      </c>
      <c r="AA231" s="5"/>
      <c r="AB231" s="33" t="str">
        <f t="shared" si="76"/>
        <v/>
      </c>
      <c r="AC231" s="33">
        <f t="shared" si="77"/>
        <v>9.5193975806008996E-2</v>
      </c>
      <c r="AD231" s="15" t="str">
        <f t="shared" si="78"/>
        <v xml:space="preserve"> </v>
      </c>
      <c r="AE231" s="5"/>
      <c r="AF231" s="27">
        <f>IF($G231&lt;&gt;0,SUMIF(куб!$G:$G,$G231,куб!R:R),IF($E231&lt;&gt;0,SUMIF(куб!$E:$E,$E231,куб!R:R),IF($D231&lt;&gt;0,SUMIF(куб!$D:$D,$D231,куб!R:R),IF($C231&lt;&gt;0,SUMIF(куб!$C:$C,$C231,куб!R:R),IF($B231&lt;&gt;0,SUMIF(куб!$B:$B,$B231,куб!R:R))))))</f>
        <v>0</v>
      </c>
      <c r="AG231" s="27">
        <f>IF($G231&lt;&gt;0,SUMIF(куб!$G:$G,$G231,куб!S:S),IF($E231&lt;&gt;0,SUMIF(куб!$E:$E,$E231,куб!S:S),IF($D231&lt;&gt;0,SUMIF(куб!$D:$D,$D231,куб!S:S),IF($C231&lt;&gt;0,SUMIF(куб!$C:$C,$C231,куб!S:S),IF($B231&lt;&gt;0,SUMIF(куб!$B:$B,$B231,куб!S:S))))))</f>
        <v>4603.407400000001</v>
      </c>
      <c r="AH231" s="16" t="str">
        <f t="shared" si="79"/>
        <v>-</v>
      </c>
      <c r="AI231" s="8"/>
      <c r="AJ231" s="27">
        <f>IF($G231&lt;&gt;0,SUMIF(куб!$G:$G,$G231,куб!T:T),IF($E231&lt;&gt;0,SUMIF(куб!$E:$E,$E231,куб!T:T),IF($D231&lt;&gt;0,SUMIF(куб!$D:$D,$D231,куб!T:T),IF($C231&lt;&gt;0,SUMIF(куб!$C:$C,$C231,куб!T:T),IF($B231&lt;&gt;0,SUMIF(куб!$B:$B,$B231,куб!T:T))))))</f>
        <v>0</v>
      </c>
      <c r="AK231" s="27">
        <f>IF($G231&lt;&gt;0,SUMIF(куб!$G:$G,$G231,куб!U:U),IF($E231&lt;&gt;0,SUMIF(куб!$E:$E,$E231,куб!U:U),IF($D231&lt;&gt;0,SUMIF(куб!$D:$D,$D231,куб!U:U),IF($C231&lt;&gt;0,SUMIF(куб!$C:$C,$C231,куб!U:U),IF($B231&lt;&gt;0,SUMIF(куб!$B:$B,$B231,куб!U:U))))))</f>
        <v>65</v>
      </c>
      <c r="AL231" s="16" t="str">
        <f t="shared" si="80"/>
        <v>-</v>
      </c>
      <c r="AM231" s="8"/>
      <c r="AN231" s="17" t="str">
        <f t="shared" si="81"/>
        <v xml:space="preserve"> </v>
      </c>
      <c r="AO231" s="17">
        <f t="shared" si="82"/>
        <v>1.2970382271405693E-3</v>
      </c>
      <c r="AP231" s="16" t="str">
        <f t="shared" si="83"/>
        <v>-</v>
      </c>
      <c r="AQ231" s="8"/>
      <c r="AR231" s="17" t="str">
        <f t="shared" si="84"/>
        <v>-</v>
      </c>
      <c r="AS231" s="17">
        <f t="shared" si="85"/>
        <v>9.3896937578868411E-2</v>
      </c>
      <c r="AT231" s="13" t="str">
        <f t="shared" si="86"/>
        <v>-</v>
      </c>
      <c r="AU231" s="8"/>
    </row>
    <row r="232" spans="1:47" ht="15" customHeight="1" x14ac:dyDescent="0.25">
      <c r="A232" s="31" t="s">
        <v>26</v>
      </c>
      <c r="B232" s="31" t="s">
        <v>32</v>
      </c>
      <c r="C232" t="s">
        <v>33</v>
      </c>
      <c r="D232" s="31" t="s">
        <v>452</v>
      </c>
      <c r="E232" s="47" t="s">
        <v>486</v>
      </c>
      <c r="F232"/>
      <c r="G232"/>
      <c r="H232" s="27">
        <f>IF($G232&lt;&gt;0,SUMIF(куб!$G:$G,$G232,куб!H:H),IF($E232&lt;&gt;0,SUMIF(куб!$E:$E,$E232,куб!H:H),IF($D232&lt;&gt;0,SUMIF(куб!$D:$D,$D232,куб!H:H),IF($C232&lt;&gt;0,SUMIF(куб!$C:$C,$C232,куб!H:H),IF($B232&lt;&gt;0,SUMIF(куб!$B:$B,$B232,куб!H:H),IF($G232&lt;&gt;0,SUMIF(куб!$A:$A,$G232,куб!H:H),SUMIF(куб!$A:$A,$G232,куб!H:H)))))))</f>
        <v>51749193.81910006</v>
      </c>
      <c r="I232" s="27">
        <f>IF($G232&lt;&gt;0,SUMIF(куб!$G:$G,$G232,куб!I:I),IF($E232&lt;&gt;0,SUMIF(куб!$E:$E,$E232,куб!I:I),IF($D232&lt;&gt;0,SUMIF(куб!$D:$D,$D232,куб!I:I),IF($C232&lt;&gt;0,SUMIF(куб!$C:$C,$C232,куб!I:I),IF($B232&lt;&gt;0,SUMIF(куб!$B:$B,$B232,куб!I:I),IF($G232&lt;&gt;0,SUMIF(куб!$A:$A,$G232,куб!I:I),SUMIF(куб!$A:$A,$G232,куб!I:I)))))))</f>
        <v>46283237.268899761</v>
      </c>
      <c r="J232" s="19">
        <f t="shared" si="87"/>
        <v>-0.10562399424631952</v>
      </c>
      <c r="K232" s="5"/>
      <c r="L232" s="17">
        <f t="shared" si="70"/>
        <v>0.10809847859843703</v>
      </c>
      <c r="M232" s="17">
        <f t="shared" si="71"/>
        <v>9.8683962326186925E-2</v>
      </c>
      <c r="N232" s="12">
        <f t="shared" si="72"/>
        <v>-9.4145162722501091E-3</v>
      </c>
      <c r="O232" s="5"/>
      <c r="P232" s="27">
        <f>IF($G232&lt;&gt;0,SUMIF(куб!$G:$G,$G232,куб!J:J),IF($E232&lt;&gt;0,SUMIF(куб!$E:$E,$E232,куб!J:J),IF($D232&lt;&gt;0,SUMIF(куб!$D:$D,$D232,куб!J:J),IF($C232&lt;&gt;0,SUMIF(куб!$C:$C,$C232,куб!J:J),IF($B232&lt;&gt;0,SUMIF(куб!$B:$B,$B232,куб!J:J))))))</f>
        <v>831307</v>
      </c>
      <c r="Q232" s="27">
        <f>IF($G232&lt;&gt;0,SUMIF(куб!$G:$G,$G232,куб!K:K),IF($E232&lt;&gt;0,SUMIF(куб!$E:$E,$E232,куб!K:K),IF($D232&lt;&gt;0,SUMIF(куб!$D:$D,$D232,куб!K:K),IF($C232&lt;&gt;0,SUMIF(куб!$C:$C,$C232,куб!K:K),IF($B232&lt;&gt;0,SUMIF(куб!$B:$B,$B232,куб!K:K))))))</f>
        <v>749667</v>
      </c>
      <c r="R232" s="13">
        <f t="shared" si="73"/>
        <v>-9.8206799654038765E-2</v>
      </c>
      <c r="S232" s="5"/>
      <c r="T232" s="27">
        <f>IF($G232&lt;&gt;0,SUMIF(куб!$G:$G,$G232,куб!L:L),IF($E232&lt;&gt;0,SUMIF(куб!$E:$E,$E232,куб!L:L),IF($D232&lt;&gt;0,SUMIF(куб!$D:$D,$D232,куб!L:L),IF($C232&lt;&gt;0,SUMIF(куб!$C:$C,$C232,куб!L:L),IF($B232&lt;&gt;0,SUMIF(куб!$B:$B,$B232,куб!L:L))))))</f>
        <v>831307</v>
      </c>
      <c r="U232" s="27">
        <f>IF($G232&lt;&gt;0,SUMIF(куб!$G:$G,$G232,куб!M:M),IF($E232&lt;&gt;0,SUMIF(куб!$E:$E,$E232,куб!M:M),IF($D232&lt;&gt;0,SUMIF(куб!$D:$D,$D232,куб!M:M),IF($C232&lt;&gt;0,SUMIF(куб!$C:$C,$C232,куб!M:M),IF($B232&lt;&gt;0,SUMIF(куб!$B:$B,$B232,куб!M:M))))))</f>
        <v>743588.65699999791</v>
      </c>
      <c r="V232" s="13">
        <f t="shared" si="74"/>
        <v>-0.10551859060491742</v>
      </c>
      <c r="W232" s="5"/>
      <c r="X232" s="27">
        <f>IF($G232&lt;&gt;0,SUMIF(куб!$G:$G,$G232,куб!N:N),IF($E232&lt;&gt;0,SUMIF(куб!$E:$E,$E232,куб!N:N),IF($D232&lt;&gt;0,SUMIF(куб!$D:$D,$D232,куб!N:N),IF($C232&lt;&gt;0,SUMIF(куб!$C:$C,$C232,куб!N:N),IF($B232&lt;&gt;0,SUMIF(куб!$B:$B,$B232,куб!N:N))))))</f>
        <v>6142042.9404002577</v>
      </c>
      <c r="Y232" s="27">
        <f>IF($G232&lt;&gt;0,SUMIF(куб!$G:$G,$G232,куб!O:O),IF($E232&lt;&gt;0,SUMIF(куб!$E:$E,$E232,куб!O:O),IF($D232&lt;&gt;0,SUMIF(куб!$D:$D,$D232,куб!O:O),IF($C232&lt;&gt;0,SUMIF(куб!$C:$C,$C232,куб!O:O),IF($B232&lt;&gt;0,SUMIF(куб!$B:$B,$B232,куб!O:O))))))</f>
        <v>6455504.6952001452</v>
      </c>
      <c r="Z232" s="13">
        <f t="shared" si="75"/>
        <v>5.1035422227031876E-2</v>
      </c>
      <c r="AA232" s="5"/>
      <c r="AB232" s="33">
        <f t="shared" si="76"/>
        <v>0.11868866908093353</v>
      </c>
      <c r="AC232" s="33">
        <f t="shared" si="77"/>
        <v>0.13947824474105988</v>
      </c>
      <c r="AD232" s="15">
        <f t="shared" si="78"/>
        <v>2.0789575660126347E-2</v>
      </c>
      <c r="AE232" s="5"/>
      <c r="AF232" s="27">
        <f>IF($G232&lt;&gt;0,SUMIF(куб!$G:$G,$G232,куб!R:R),IF($E232&lt;&gt;0,SUMIF(куб!$E:$E,$E232,куб!R:R),IF($D232&lt;&gt;0,SUMIF(куб!$D:$D,$D232,куб!R:R),IF($C232&lt;&gt;0,SUMIF(куб!$C:$C,$C232,куб!R:R),IF($B232&lt;&gt;0,SUMIF(куб!$B:$B,$B232,куб!R:R))))))</f>
        <v>81071.384099999996</v>
      </c>
      <c r="AG232" s="27">
        <f>IF($G232&lt;&gt;0,SUMIF(куб!$G:$G,$G232,куб!S:S),IF($E232&lt;&gt;0,SUMIF(куб!$E:$E,$E232,куб!S:S),IF($D232&lt;&gt;0,SUMIF(куб!$D:$D,$D232,куб!S:S),IF($C232&lt;&gt;0,SUMIF(куб!$C:$C,$C232,куб!S:S),IF($B232&lt;&gt;0,SUMIF(куб!$B:$B,$B232,куб!S:S))))))</f>
        <v>104069.11059999994</v>
      </c>
      <c r="AH232" s="16">
        <f t="shared" si="79"/>
        <v>0.28367255296434424</v>
      </c>
      <c r="AI232" s="8"/>
      <c r="AJ232" s="27">
        <f>IF($G232&lt;&gt;0,SUMIF(куб!$G:$G,$G232,куб!T:T),IF($E232&lt;&gt;0,SUMIF(куб!$E:$E,$E232,куб!T:T),IF($D232&lt;&gt;0,SUMIF(куб!$D:$D,$D232,куб!T:T),IF($C232&lt;&gt;0,SUMIF(куб!$C:$C,$C232,куб!T:T),IF($B232&lt;&gt;0,SUMIF(куб!$B:$B,$B232,куб!T:T))))))</f>
        <v>1342</v>
      </c>
      <c r="AK232" s="27">
        <f>IF($G232&lt;&gt;0,SUMIF(куб!$G:$G,$G232,куб!U:U),IF($E232&lt;&gt;0,SUMIF(куб!$E:$E,$E232,куб!U:U),IF($D232&lt;&gt;0,SUMIF(куб!$D:$D,$D232,куб!U:U),IF($C232&lt;&gt;0,SUMIF(куб!$C:$C,$C232,куб!U:U),IF($B232&lt;&gt;0,SUMIF(куб!$B:$B,$B232,куб!U:U))))))</f>
        <v>2102</v>
      </c>
      <c r="AL232" s="16">
        <f t="shared" si="80"/>
        <v>0.56631892697466468</v>
      </c>
      <c r="AM232" s="8"/>
      <c r="AN232" s="17">
        <f t="shared" si="81"/>
        <v>1.566621199615238E-3</v>
      </c>
      <c r="AO232" s="17">
        <f t="shared" si="82"/>
        <v>2.248527042206913E-3</v>
      </c>
      <c r="AP232" s="16">
        <f t="shared" si="83"/>
        <v>6.8190584259167505E-4</v>
      </c>
      <c r="AQ232" s="8"/>
      <c r="AR232" s="17">
        <f t="shared" si="84"/>
        <v>0.11712204788131829</v>
      </c>
      <c r="AS232" s="17">
        <f t="shared" si="85"/>
        <v>0.13722971769885298</v>
      </c>
      <c r="AT232" s="13">
        <f t="shared" si="86"/>
        <v>2.0107669817534687E-2</v>
      </c>
      <c r="AU232" s="8"/>
    </row>
    <row r="233" spans="1:47" ht="15" customHeight="1" x14ac:dyDescent="0.25">
      <c r="A233" s="31" t="s">
        <v>26</v>
      </c>
      <c r="B233" s="31" t="s">
        <v>32</v>
      </c>
      <c r="C233" t="s">
        <v>33</v>
      </c>
      <c r="D233" s="31" t="s">
        <v>452</v>
      </c>
      <c r="E233" t="s">
        <v>487</v>
      </c>
      <c r="F233" s="46" t="s">
        <v>488</v>
      </c>
      <c r="G233" t="s">
        <v>489</v>
      </c>
      <c r="H233" s="27">
        <f>IF($G233&lt;&gt;0,SUMIF(куб!$G:$G,$G233,куб!H:H),IF($E233&lt;&gt;0,SUMIF(куб!$E:$E,$E233,куб!H:H),IF($D233&lt;&gt;0,SUMIF(куб!$D:$D,$D233,куб!H:H),IF($C233&lt;&gt;0,SUMIF(куб!$C:$C,$C233,куб!H:H),IF($B233&lt;&gt;0,SUMIF(куб!$B:$B,$B233,куб!H:H),IF($G233&lt;&gt;0,SUMIF(куб!$A:$A,$G233,куб!H:H),SUMIF(куб!$A:$A,$G233,куб!H:H)))))))</f>
        <v>193990.80489999987</v>
      </c>
      <c r="I233" s="27">
        <f>IF($G233&lt;&gt;0,SUMIF(куб!$G:$G,$G233,куб!I:I),IF($E233&lt;&gt;0,SUMIF(куб!$E:$E,$E233,куб!I:I),IF($D233&lt;&gt;0,SUMIF(куб!$D:$D,$D233,куб!I:I),IF($C233&lt;&gt;0,SUMIF(куб!$C:$C,$C233,куб!I:I),IF($B233&lt;&gt;0,SUMIF(куб!$B:$B,$B233,куб!I:I),IF($G233&lt;&gt;0,SUMIF(куб!$A:$A,$G233,куб!I:I),SUMIF(куб!$A:$A,$G233,куб!I:I)))))))</f>
        <v>0</v>
      </c>
      <c r="J233" s="19">
        <f t="shared" si="87"/>
        <v>-1</v>
      </c>
      <c r="K233" s="5"/>
      <c r="L233" s="17">
        <f t="shared" si="70"/>
        <v>4.0522584651427697E-4</v>
      </c>
      <c r="M233" s="17">
        <f t="shared" si="71"/>
        <v>0</v>
      </c>
      <c r="N233" s="12">
        <f t="shared" si="72"/>
        <v>-4.0522584651427697E-4</v>
      </c>
      <c r="O233" s="5"/>
      <c r="P233" s="27">
        <f>IF($G233&lt;&gt;0,SUMIF(куб!$G:$G,$G233,куб!J:J),IF($E233&lt;&gt;0,SUMIF(куб!$E:$E,$E233,куб!J:J),IF($D233&lt;&gt;0,SUMIF(куб!$D:$D,$D233,куб!J:J),IF($C233&lt;&gt;0,SUMIF(куб!$C:$C,$C233,куб!J:J),IF($B233&lt;&gt;0,SUMIF(куб!$B:$B,$B233,куб!J:J))))))</f>
        <v>3466</v>
      </c>
      <c r="Q233" s="27">
        <f>IF($G233&lt;&gt;0,SUMIF(куб!$G:$G,$G233,куб!K:K),IF($E233&lt;&gt;0,SUMIF(куб!$E:$E,$E233,куб!K:K),IF($D233&lt;&gt;0,SUMIF(куб!$D:$D,$D233,куб!K:K),IF($C233&lt;&gt;0,SUMIF(куб!$C:$C,$C233,куб!K:K),IF($B233&lt;&gt;0,SUMIF(куб!$B:$B,$B233,куб!K:K))))))</f>
        <v>0</v>
      </c>
      <c r="R233" s="13">
        <f t="shared" si="73"/>
        <v>-1</v>
      </c>
      <c r="S233" s="5"/>
      <c r="T233" s="27">
        <f>IF($G233&lt;&gt;0,SUMIF(куб!$G:$G,$G233,куб!L:L),IF($E233&lt;&gt;0,SUMIF(куб!$E:$E,$E233,куб!L:L),IF($D233&lt;&gt;0,SUMIF(куб!$D:$D,$D233,куб!L:L),IF($C233&lt;&gt;0,SUMIF(куб!$C:$C,$C233,куб!L:L),IF($B233&lt;&gt;0,SUMIF(куб!$B:$B,$B233,куб!L:L))))))</f>
        <v>1559.6999999999987</v>
      </c>
      <c r="U233" s="27">
        <f>IF($G233&lt;&gt;0,SUMIF(куб!$G:$G,$G233,куб!M:M),IF($E233&lt;&gt;0,SUMIF(куб!$E:$E,$E233,куб!M:M),IF($D233&lt;&gt;0,SUMIF(куб!$D:$D,$D233,куб!M:M),IF($C233&lt;&gt;0,SUMIF(куб!$C:$C,$C233,куб!M:M),IF($B233&lt;&gt;0,SUMIF(куб!$B:$B,$B233,куб!M:M))))))</f>
        <v>0</v>
      </c>
      <c r="V233" s="13">
        <f t="shared" si="74"/>
        <v>-1</v>
      </c>
      <c r="W233" s="5"/>
      <c r="X233" s="27">
        <f>IF($G233&lt;&gt;0,SUMIF(куб!$G:$G,$G233,куб!N:N),IF($E233&lt;&gt;0,SUMIF(куб!$E:$E,$E233,куб!N:N),IF($D233&lt;&gt;0,SUMIF(куб!$D:$D,$D233,куб!N:N),IF($C233&lt;&gt;0,SUMIF(куб!$C:$C,$C233,куб!N:N),IF($B233&lt;&gt;0,SUMIF(куб!$B:$B,$B233,куб!N:N))))))</f>
        <v>19130.433500000014</v>
      </c>
      <c r="Y233" s="27">
        <f>IF($G233&lt;&gt;0,SUMIF(куб!$G:$G,$G233,куб!O:O),IF($E233&lt;&gt;0,SUMIF(куб!$E:$E,$E233,куб!O:O),IF($D233&lt;&gt;0,SUMIF(куб!$D:$D,$D233,куб!O:O),IF($C233&lt;&gt;0,SUMIF(куб!$C:$C,$C233,куб!O:O),IF($B233&lt;&gt;0,SUMIF(куб!$B:$B,$B233,куб!O:O))))))</f>
        <v>0</v>
      </c>
      <c r="Z233" s="13">
        <f t="shared" si="75"/>
        <v>-1</v>
      </c>
      <c r="AA233" s="5"/>
      <c r="AB233" s="33">
        <f t="shared" si="76"/>
        <v>9.861515606299763E-2</v>
      </c>
      <c r="AC233" s="33" t="str">
        <f t="shared" si="77"/>
        <v/>
      </c>
      <c r="AD233" s="15" t="str">
        <f t="shared" si="78"/>
        <v xml:space="preserve"> </v>
      </c>
      <c r="AE233" s="5"/>
      <c r="AF233" s="27">
        <f>IF($G233&lt;&gt;0,SUMIF(куб!$G:$G,$G233,куб!R:R),IF($E233&lt;&gt;0,SUMIF(куб!$E:$E,$E233,куб!R:R),IF($D233&lt;&gt;0,SUMIF(куб!$D:$D,$D233,куб!R:R),IF($C233&lt;&gt;0,SUMIF(куб!$C:$C,$C233,куб!R:R),IF($B233&lt;&gt;0,SUMIF(куб!$B:$B,$B233,куб!R:R))))))</f>
        <v>18990.226899999998</v>
      </c>
      <c r="AG233" s="27">
        <f>IF($G233&lt;&gt;0,SUMIF(куб!$G:$G,$G233,куб!S:S),IF($E233&lt;&gt;0,SUMIF(куб!$E:$E,$E233,куб!S:S),IF($D233&lt;&gt;0,SUMIF(куб!$D:$D,$D233,куб!S:S),IF($C233&lt;&gt;0,SUMIF(куб!$C:$C,$C233,куб!S:S),IF($B233&lt;&gt;0,SUMIF(куб!$B:$B,$B233,куб!S:S))))))</f>
        <v>0</v>
      </c>
      <c r="AH233" s="16">
        <f t="shared" si="79"/>
        <v>-1</v>
      </c>
      <c r="AI233" s="8"/>
      <c r="AJ233" s="27">
        <f>IF($G233&lt;&gt;0,SUMIF(куб!$G:$G,$G233,куб!T:T),IF($E233&lt;&gt;0,SUMIF(куб!$E:$E,$E233,куб!T:T),IF($D233&lt;&gt;0,SUMIF(куб!$D:$D,$D233,куб!T:T),IF($C233&lt;&gt;0,SUMIF(куб!$C:$C,$C233,куб!T:T),IF($B233&lt;&gt;0,SUMIF(куб!$B:$B,$B233,куб!T:T))))))</f>
        <v>380</v>
      </c>
      <c r="AK233" s="27">
        <f>IF($G233&lt;&gt;0,SUMIF(куб!$G:$G,$G233,куб!U:U),IF($E233&lt;&gt;0,SUMIF(куб!$E:$E,$E233,куб!U:U),IF($D233&lt;&gt;0,SUMIF(куб!$D:$D,$D233,куб!U:U),IF($C233&lt;&gt;0,SUMIF(куб!$C:$C,$C233,куб!U:U),IF($B233&lt;&gt;0,SUMIF(куб!$B:$B,$B233,куб!U:U))))))</f>
        <v>0</v>
      </c>
      <c r="AL233" s="16">
        <f t="shared" si="80"/>
        <v>-1</v>
      </c>
      <c r="AM233" s="8"/>
      <c r="AN233" s="17">
        <f t="shared" si="81"/>
        <v>9.7892407373582735E-2</v>
      </c>
      <c r="AO233" s="17" t="str">
        <f t="shared" si="82"/>
        <v xml:space="preserve"> </v>
      </c>
      <c r="AP233" s="16" t="str">
        <f t="shared" si="83"/>
        <v>-</v>
      </c>
      <c r="AQ233" s="8"/>
      <c r="AR233" s="17">
        <f t="shared" si="84"/>
        <v>7.2274868941489708E-4</v>
      </c>
      <c r="AS233" s="17" t="str">
        <f t="shared" si="85"/>
        <v>-</v>
      </c>
      <c r="AT233" s="13" t="str">
        <f t="shared" si="86"/>
        <v>-</v>
      </c>
      <c r="AU233" s="8"/>
    </row>
    <row r="234" spans="1:47" ht="15" customHeight="1" x14ac:dyDescent="0.25">
      <c r="A234" s="31" t="s">
        <v>26</v>
      </c>
      <c r="B234" s="31" t="s">
        <v>32</v>
      </c>
      <c r="C234" t="s">
        <v>33</v>
      </c>
      <c r="D234" s="31" t="s">
        <v>452</v>
      </c>
      <c r="E234" s="47" t="s">
        <v>490</v>
      </c>
      <c r="F234"/>
      <c r="G234"/>
      <c r="H234" s="27">
        <f>IF($G234&lt;&gt;0,SUMIF(куб!$G:$G,$G234,куб!H:H),IF($E234&lt;&gt;0,SUMIF(куб!$E:$E,$E234,куб!H:H),IF($D234&lt;&gt;0,SUMIF(куб!$D:$D,$D234,куб!H:H),IF($C234&lt;&gt;0,SUMIF(куб!$C:$C,$C234,куб!H:H),IF($B234&lt;&gt;0,SUMIF(куб!$B:$B,$B234,куб!H:H),IF($G234&lt;&gt;0,SUMIF(куб!$A:$A,$G234,куб!H:H),SUMIF(куб!$A:$A,$G234,куб!H:H)))))))</f>
        <v>193990.8048999999</v>
      </c>
      <c r="I234" s="27">
        <f>IF($G234&lt;&gt;0,SUMIF(куб!$G:$G,$G234,куб!I:I),IF($E234&lt;&gt;0,SUMIF(куб!$E:$E,$E234,куб!I:I),IF($D234&lt;&gt;0,SUMIF(куб!$D:$D,$D234,куб!I:I),IF($C234&lt;&gt;0,SUMIF(куб!$C:$C,$C234,куб!I:I),IF($B234&lt;&gt;0,SUMIF(куб!$B:$B,$B234,куб!I:I),IF($G234&lt;&gt;0,SUMIF(куб!$A:$A,$G234,куб!I:I),SUMIF(куб!$A:$A,$G234,куб!I:I)))))))</f>
        <v>0</v>
      </c>
      <c r="J234" s="19">
        <f t="shared" si="87"/>
        <v>-1</v>
      </c>
      <c r="K234" s="8"/>
      <c r="L234" s="17">
        <f t="shared" si="70"/>
        <v>4.0522584651427702E-4</v>
      </c>
      <c r="M234" s="17">
        <f t="shared" si="71"/>
        <v>0</v>
      </c>
      <c r="N234" s="12">
        <f t="shared" si="72"/>
        <v>-4.0522584651427702E-4</v>
      </c>
      <c r="O234" s="5"/>
      <c r="P234" s="27">
        <f>IF($G234&lt;&gt;0,SUMIF(куб!$G:$G,$G234,куб!J:J),IF($E234&lt;&gt;0,SUMIF(куб!$E:$E,$E234,куб!J:J),IF($D234&lt;&gt;0,SUMIF(куб!$D:$D,$D234,куб!J:J),IF($C234&lt;&gt;0,SUMIF(куб!$C:$C,$C234,куб!J:J),IF($B234&lt;&gt;0,SUMIF(куб!$B:$B,$B234,куб!J:J))))))</f>
        <v>3466</v>
      </c>
      <c r="Q234" s="27">
        <f>IF($G234&lt;&gt;0,SUMIF(куб!$G:$G,$G234,куб!K:K),IF($E234&lt;&gt;0,SUMIF(куб!$E:$E,$E234,куб!K:K),IF($D234&lt;&gt;0,SUMIF(куб!$D:$D,$D234,куб!K:K),IF($C234&lt;&gt;0,SUMIF(куб!$C:$C,$C234,куб!K:K),IF($B234&lt;&gt;0,SUMIF(куб!$B:$B,$B234,куб!K:K))))))</f>
        <v>0</v>
      </c>
      <c r="R234" s="13">
        <f t="shared" si="73"/>
        <v>-1</v>
      </c>
      <c r="S234" s="5"/>
      <c r="T234" s="27">
        <f>IF($G234&lt;&gt;0,SUMIF(куб!$G:$G,$G234,куб!L:L),IF($E234&lt;&gt;0,SUMIF(куб!$E:$E,$E234,куб!L:L),IF($D234&lt;&gt;0,SUMIF(куб!$D:$D,$D234,куб!L:L),IF($C234&lt;&gt;0,SUMIF(куб!$C:$C,$C234,куб!L:L),IF($B234&lt;&gt;0,SUMIF(куб!$B:$B,$B234,куб!L:L))))))</f>
        <v>1559.6999999999989</v>
      </c>
      <c r="U234" s="27">
        <f>IF($G234&lt;&gt;0,SUMIF(куб!$G:$G,$G234,куб!M:M),IF($E234&lt;&gt;0,SUMIF(куб!$E:$E,$E234,куб!M:M),IF($D234&lt;&gt;0,SUMIF(куб!$D:$D,$D234,куб!M:M),IF($C234&lt;&gt;0,SUMIF(куб!$C:$C,$C234,куб!M:M),IF($B234&lt;&gt;0,SUMIF(куб!$B:$B,$B234,куб!M:M))))))</f>
        <v>0</v>
      </c>
      <c r="V234" s="13">
        <f t="shared" si="74"/>
        <v>-1</v>
      </c>
      <c r="W234" s="5"/>
      <c r="X234" s="27">
        <f>IF($G234&lt;&gt;0,SUMIF(куб!$G:$G,$G234,куб!N:N),IF($E234&lt;&gt;0,SUMIF(куб!$E:$E,$E234,куб!N:N),IF($D234&lt;&gt;0,SUMIF(куб!$D:$D,$D234,куб!N:N),IF($C234&lt;&gt;0,SUMIF(куб!$C:$C,$C234,куб!N:N),IF($B234&lt;&gt;0,SUMIF(куб!$B:$B,$B234,куб!N:N))))))</f>
        <v>19130.433500000043</v>
      </c>
      <c r="Y234" s="27">
        <f>IF($G234&lt;&gt;0,SUMIF(куб!$G:$G,$G234,куб!O:O),IF($E234&lt;&gt;0,SUMIF(куб!$E:$E,$E234,куб!O:O),IF($D234&lt;&gt;0,SUMIF(куб!$D:$D,$D234,куб!O:O),IF($C234&lt;&gt;0,SUMIF(куб!$C:$C,$C234,куб!O:O),IF($B234&lt;&gt;0,SUMIF(куб!$B:$B,$B234,куб!O:O))))))</f>
        <v>0</v>
      </c>
      <c r="Z234" s="13">
        <f t="shared" si="75"/>
        <v>-1</v>
      </c>
      <c r="AA234" s="5"/>
      <c r="AB234" s="33">
        <f t="shared" si="76"/>
        <v>9.8615156062997769E-2</v>
      </c>
      <c r="AC234" s="33" t="str">
        <f t="shared" si="77"/>
        <v/>
      </c>
      <c r="AD234" s="15" t="str">
        <f t="shared" si="78"/>
        <v xml:space="preserve"> </v>
      </c>
      <c r="AE234" s="5"/>
      <c r="AF234" s="27">
        <f>IF($G234&lt;&gt;0,SUMIF(куб!$G:$G,$G234,куб!R:R),IF($E234&lt;&gt;0,SUMIF(куб!$E:$E,$E234,куб!R:R),IF($D234&lt;&gt;0,SUMIF(куб!$D:$D,$D234,куб!R:R),IF($C234&lt;&gt;0,SUMIF(куб!$C:$C,$C234,куб!R:R),IF($B234&lt;&gt;0,SUMIF(куб!$B:$B,$B234,куб!R:R))))))</f>
        <v>18990.226900000001</v>
      </c>
      <c r="AG234" s="27">
        <f>IF($G234&lt;&gt;0,SUMIF(куб!$G:$G,$G234,куб!S:S),IF($E234&lt;&gt;0,SUMIF(куб!$E:$E,$E234,куб!S:S),IF($D234&lt;&gt;0,SUMIF(куб!$D:$D,$D234,куб!S:S),IF($C234&lt;&gt;0,SUMIF(куб!$C:$C,$C234,куб!S:S),IF($B234&lt;&gt;0,SUMIF(куб!$B:$B,$B234,куб!S:S))))))</f>
        <v>0</v>
      </c>
      <c r="AH234" s="16">
        <f t="shared" si="79"/>
        <v>-1</v>
      </c>
      <c r="AI234" s="8"/>
      <c r="AJ234" s="27">
        <f>IF($G234&lt;&gt;0,SUMIF(куб!$G:$G,$G234,куб!T:T),IF($E234&lt;&gt;0,SUMIF(куб!$E:$E,$E234,куб!T:T),IF($D234&lt;&gt;0,SUMIF(куб!$D:$D,$D234,куб!T:T),IF($C234&lt;&gt;0,SUMIF(куб!$C:$C,$C234,куб!T:T),IF($B234&lt;&gt;0,SUMIF(куб!$B:$B,$B234,куб!T:T))))))</f>
        <v>380</v>
      </c>
      <c r="AK234" s="27">
        <f>IF($G234&lt;&gt;0,SUMIF(куб!$G:$G,$G234,куб!U:U),IF($E234&lt;&gt;0,SUMIF(куб!$E:$E,$E234,куб!U:U),IF($D234&lt;&gt;0,SUMIF(куб!$D:$D,$D234,куб!U:U),IF($C234&lt;&gt;0,SUMIF(куб!$C:$C,$C234,куб!U:U),IF($B234&lt;&gt;0,SUMIF(куб!$B:$B,$B234,куб!U:U))))))</f>
        <v>0</v>
      </c>
      <c r="AL234" s="16">
        <f t="shared" si="80"/>
        <v>-1</v>
      </c>
      <c r="AM234" s="8"/>
      <c r="AN234" s="17">
        <f t="shared" si="81"/>
        <v>9.7892407373582749E-2</v>
      </c>
      <c r="AO234" s="17" t="str">
        <f t="shared" si="82"/>
        <v xml:space="preserve"> </v>
      </c>
      <c r="AP234" s="16" t="str">
        <f t="shared" si="83"/>
        <v>-</v>
      </c>
      <c r="AQ234" s="8"/>
      <c r="AR234" s="17">
        <f t="shared" si="84"/>
        <v>7.2274868941502827E-4</v>
      </c>
      <c r="AS234" s="17" t="str">
        <f t="shared" si="85"/>
        <v>-</v>
      </c>
      <c r="AT234" s="13" t="str">
        <f t="shared" si="86"/>
        <v>-</v>
      </c>
      <c r="AU234" s="8"/>
    </row>
    <row r="235" spans="1:47" ht="15" customHeight="1" x14ac:dyDescent="0.25">
      <c r="A235" s="31" t="s">
        <v>26</v>
      </c>
      <c r="B235" s="31" t="s">
        <v>32</v>
      </c>
      <c r="C235" t="s">
        <v>33</v>
      </c>
      <c r="D235" s="31" t="s">
        <v>491</v>
      </c>
      <c r="E235" s="31"/>
      <c r="F235" s="31"/>
      <c r="G235" s="31"/>
      <c r="H235" s="27">
        <f>IF($G235&lt;&gt;0,SUMIF(куб!$G:$G,$G235,куб!H:H),IF($E235&lt;&gt;0,SUMIF(куб!$E:$E,$E235,куб!H:H),IF($D235&lt;&gt;0,SUMIF(куб!$D:$D,$D235,куб!H:H),IF($C235&lt;&gt;0,SUMIF(куб!$C:$C,$C235,куб!H:H),IF($B235&lt;&gt;0,SUMIF(куб!$B:$B,$B235,куб!H:H),IF($G235&lt;&gt;0,SUMIF(куб!$A:$A,$G235,куб!H:H),SUMIF(куб!$A:$A,$G235,куб!H:H)))))))</f>
        <v>71686728.873100176</v>
      </c>
      <c r="I235" s="27">
        <f>IF($G235&lt;&gt;0,SUMIF(куб!$G:$G,$G235,куб!I:I),IF($E235&lt;&gt;0,SUMIF(куб!$E:$E,$E235,куб!I:I),IF($D235&lt;&gt;0,SUMIF(куб!$D:$D,$D235,куб!I:I),IF($C235&lt;&gt;0,SUMIF(куб!$C:$C,$C235,куб!I:I),IF($B235&lt;&gt;0,SUMIF(куб!$B:$B,$B235,куб!I:I),IF($G235&lt;&gt;0,SUMIF(куб!$A:$A,$G235,куб!I:I),SUMIF(куб!$A:$A,$G235,куб!I:I)))))))</f>
        <v>64208383.324699834</v>
      </c>
      <c r="J235" s="19">
        <f t="shared" si="87"/>
        <v>-0.1043198045992377</v>
      </c>
      <c r="K235" s="10"/>
      <c r="L235" s="17">
        <f t="shared" si="70"/>
        <v>0.14974583669785835</v>
      </c>
      <c r="M235" s="17">
        <f t="shared" si="71"/>
        <v>0.13690351096719372</v>
      </c>
      <c r="N235" s="12">
        <f t="shared" si="72"/>
        <v>-1.2842325730664628E-2</v>
      </c>
      <c r="O235" s="5"/>
      <c r="P235" s="27">
        <f>IF($G235&lt;&gt;0,SUMIF(куб!$G:$G,$G235,куб!J:J),IF($E235&lt;&gt;0,SUMIF(куб!$E:$E,$E235,куб!J:J),IF($D235&lt;&gt;0,SUMIF(куб!$D:$D,$D235,куб!J:J),IF($C235&lt;&gt;0,SUMIF(куб!$C:$C,$C235,куб!J:J),IF($B235&lt;&gt;0,SUMIF(куб!$B:$B,$B235,куб!J:J))))))</f>
        <v>1168809</v>
      </c>
      <c r="Q235" s="27">
        <f>IF($G235&lt;&gt;0,SUMIF(куб!$G:$G,$G235,куб!K:K),IF($E235&lt;&gt;0,SUMIF(куб!$E:$E,$E235,куб!K:K),IF($D235&lt;&gt;0,SUMIF(куб!$D:$D,$D235,куб!K:K),IF($C235&lt;&gt;0,SUMIF(куб!$C:$C,$C235,куб!K:K),IF($B235&lt;&gt;0,SUMIF(куб!$B:$B,$B235,куб!K:K))))))</f>
        <v>1065929</v>
      </c>
      <c r="R235" s="13">
        <f t="shared" si="73"/>
        <v>-8.8021225024790192E-2</v>
      </c>
      <c r="S235" s="5"/>
      <c r="T235" s="27">
        <f>IF($G235&lt;&gt;0,SUMIF(куб!$G:$G,$G235,куб!L:L),IF($E235&lt;&gt;0,SUMIF(куб!$E:$E,$E235,куб!L:L),IF($D235&lt;&gt;0,SUMIF(куб!$D:$D,$D235,куб!L:L),IF($C235&lt;&gt;0,SUMIF(куб!$C:$C,$C235,куб!L:L),IF($B235&lt;&gt;0,SUMIF(куб!$B:$B,$B235,куб!L:L))))))</f>
        <v>1166902.7000000002</v>
      </c>
      <c r="U235" s="27">
        <f>IF($G235&lt;&gt;0,SUMIF(куб!$G:$G,$G235,куб!M:M),IF($E235&lt;&gt;0,SUMIF(куб!$E:$E,$E235,куб!M:M),IF($D235&lt;&gt;0,SUMIF(куб!$D:$D,$D235,куб!M:M),IF($C235&lt;&gt;0,SUMIF(куб!$C:$C,$C235,куб!M:M),IF($B235&lt;&gt;0,SUMIF(куб!$B:$B,$B235,куб!M:M))))))</f>
        <v>1057056.8370000003</v>
      </c>
      <c r="V235" s="13">
        <f t="shared" si="74"/>
        <v>-9.4134552092475135E-2</v>
      </c>
      <c r="W235" s="5"/>
      <c r="X235" s="27">
        <f>IF($G235&lt;&gt;0,SUMIF(куб!$G:$G,$G235,куб!N:N),IF($E235&lt;&gt;0,SUMIF(куб!$E:$E,$E235,куб!N:N),IF($D235&lt;&gt;0,SUMIF(куб!$D:$D,$D235,куб!N:N),IF($C235&lt;&gt;0,SUMIF(куб!$C:$C,$C235,куб!N:N),IF($B235&lt;&gt;0,SUMIF(куб!$B:$B,$B235,куб!N:N))))))</f>
        <v>8145342.3431002125</v>
      </c>
      <c r="Y235" s="27">
        <f>IF($G235&lt;&gt;0,SUMIF(куб!$G:$G,$G235,куб!O:O),IF($E235&lt;&gt;0,SUMIF(куб!$E:$E,$E235,куб!O:O),IF($D235&lt;&gt;0,SUMIF(куб!$D:$D,$D235,куб!O:O),IF($C235&lt;&gt;0,SUMIF(куб!$C:$C,$C235,куб!O:O),IF($B235&lt;&gt;0,SUMIF(куб!$B:$B,$B235,куб!O:O))))))</f>
        <v>8699040.9873003587</v>
      </c>
      <c r="Z235" s="13">
        <f t="shared" si="75"/>
        <v>6.7977332428412335E-2</v>
      </c>
      <c r="AA235" s="5"/>
      <c r="AB235" s="33">
        <f t="shared" si="76"/>
        <v>0.11362413198569982</v>
      </c>
      <c r="AC235" s="33">
        <f t="shared" si="77"/>
        <v>0.13548138945205293</v>
      </c>
      <c r="AD235" s="15">
        <f t="shared" si="78"/>
        <v>2.1857257466353114E-2</v>
      </c>
      <c r="AE235" s="5"/>
      <c r="AF235" s="27">
        <f>IF($G235&lt;&gt;0,SUMIF(куб!$G:$G,$G235,куб!R:R),IF($E235&lt;&gt;0,SUMIF(куб!$E:$E,$E235,куб!R:R),IF($D235&lt;&gt;0,SUMIF(куб!$D:$D,$D235,куб!R:R),IF($C235&lt;&gt;0,SUMIF(куб!$C:$C,$C235,куб!R:R),IF($B235&lt;&gt;0,SUMIF(куб!$B:$B,$B235,куб!R:R))))))</f>
        <v>227926.42830000006</v>
      </c>
      <c r="AG235" s="27">
        <f>IF($G235&lt;&gt;0,SUMIF(куб!$G:$G,$G235,куб!S:S),IF($E235&lt;&gt;0,SUMIF(куб!$E:$E,$E235,куб!S:S),IF($D235&lt;&gt;0,SUMIF(куб!$D:$D,$D235,куб!S:S),IF($C235&lt;&gt;0,SUMIF(куб!$C:$C,$C235,куб!S:S),IF($B235&lt;&gt;0,SUMIF(куб!$B:$B,$B235,куб!S:S))))))</f>
        <v>183964.71160000004</v>
      </c>
      <c r="AH235" s="16">
        <f t="shared" si="79"/>
        <v>-0.19287678496912597</v>
      </c>
      <c r="AI235" s="8"/>
      <c r="AJ235" s="27">
        <f>IF($G235&lt;&gt;0,SUMIF(куб!$G:$G,$G235,куб!T:T),IF($E235&lt;&gt;0,SUMIF(куб!$E:$E,$E235,куб!T:T),IF($D235&lt;&gt;0,SUMIF(куб!$D:$D,$D235,куб!T:T),IF($C235&lt;&gt;0,SUMIF(куб!$C:$C,$C235,куб!T:T),IF($B235&lt;&gt;0,SUMIF(куб!$B:$B,$B235,куб!T:T))))))</f>
        <v>3682</v>
      </c>
      <c r="AK235" s="27">
        <f>IF($G235&lt;&gt;0,SUMIF(куб!$G:$G,$G235,куб!U:U),IF($E235&lt;&gt;0,SUMIF(куб!$E:$E,$E235,куб!U:U),IF($D235&lt;&gt;0,SUMIF(куб!$D:$D,$D235,куб!U:U),IF($C235&lt;&gt;0,SUMIF(куб!$C:$C,$C235,куб!U:U),IF($B235&lt;&gt;0,SUMIF(куб!$B:$B,$B235,куб!U:U))))))</f>
        <v>3618</v>
      </c>
      <c r="AL235" s="16">
        <f t="shared" si="80"/>
        <v>-1.7381857686040194E-2</v>
      </c>
      <c r="AM235" s="8"/>
      <c r="AN235" s="17">
        <f t="shared" si="81"/>
        <v>3.1794787108151545E-3</v>
      </c>
      <c r="AO235" s="17">
        <f t="shared" si="82"/>
        <v>2.865119818851319E-3</v>
      </c>
      <c r="AP235" s="16">
        <f t="shared" si="83"/>
        <v>-3.1435889196383552E-4</v>
      </c>
      <c r="AQ235" s="8"/>
      <c r="AR235" s="17">
        <f t="shared" si="84"/>
        <v>0.11044465327488467</v>
      </c>
      <c r="AS235" s="17">
        <f t="shared" si="85"/>
        <v>0.13261626963320161</v>
      </c>
      <c r="AT235" s="13">
        <f t="shared" si="86"/>
        <v>2.2171616358316937E-2</v>
      </c>
      <c r="AU235" s="8"/>
    </row>
    <row r="236" spans="1:47" ht="15" customHeight="1" x14ac:dyDescent="0.25">
      <c r="A236" s="31" t="s">
        <v>26</v>
      </c>
      <c r="B236" s="31" t="s">
        <v>32</v>
      </c>
      <c r="C236" t="s">
        <v>492</v>
      </c>
      <c r="D236"/>
      <c r="E236"/>
      <c r="F236"/>
      <c r="G236"/>
      <c r="H236" s="27">
        <f>IF($G236&lt;&gt;0,SUMIF(куб!$G:$G,$G236,куб!H:H),IF($E236&lt;&gt;0,SUMIF(куб!$E:$E,$E236,куб!H:H),IF($D236&lt;&gt;0,SUMIF(куб!$D:$D,$D236,куб!H:H),IF($C236&lt;&gt;0,SUMIF(куб!$C:$C,$C236,куб!H:H),IF($B236&lt;&gt;0,SUMIF(куб!$B:$B,$B236,куб!H:H),IF($G236&lt;&gt;0,SUMIF(куб!$A:$A,$G236,куб!H:H),SUMIF(куб!$A:$A,$G236,куб!H:H)))))))</f>
        <v>478722684.07529914</v>
      </c>
      <c r="I236" s="27">
        <f>IF($G236&lt;&gt;0,SUMIF(куб!$G:$G,$G236,куб!I:I),IF($E236&lt;&gt;0,SUMIF(куб!$E:$E,$E236,куб!I:I),IF($D236&lt;&gt;0,SUMIF(куб!$D:$D,$D236,куб!I:I),IF($C236&lt;&gt;0,SUMIF(куб!$C:$C,$C236,куб!I:I),IF($B236&lt;&gt;0,SUMIF(куб!$B:$B,$B236,куб!I:I),IF($G236&lt;&gt;0,SUMIF(куб!$A:$A,$G236,куб!I:I),SUMIF(куб!$A:$A,$G236,куб!I:I)))))))</f>
        <v>469004650.5826</v>
      </c>
      <c r="J236" s="19">
        <f t="shared" si="87"/>
        <v>-2.0299922723466722E-2</v>
      </c>
      <c r="K236" s="5"/>
      <c r="L236" s="17">
        <f t="shared" si="70"/>
        <v>1</v>
      </c>
      <c r="M236" s="17">
        <f t="shared" si="71"/>
        <v>1</v>
      </c>
      <c r="N236" s="12">
        <f t="shared" si="72"/>
        <v>0</v>
      </c>
      <c r="O236" s="5"/>
      <c r="P236" s="27">
        <f>IF($G236&lt;&gt;0,SUMIF(куб!$G:$G,$G236,куб!J:J),IF($E236&lt;&gt;0,SUMIF(куб!$E:$E,$E236,куб!J:J),IF($D236&lt;&gt;0,SUMIF(куб!$D:$D,$D236,куб!J:J),IF($C236&lt;&gt;0,SUMIF(куб!$C:$C,$C236,куб!J:J),IF($B236&lt;&gt;0,SUMIF(куб!$B:$B,$B236,куб!J:J))))))</f>
        <v>6305394</v>
      </c>
      <c r="Q236" s="27">
        <f>IF($G236&lt;&gt;0,SUMIF(куб!$G:$G,$G236,куб!K:K),IF($E236&lt;&gt;0,SUMIF(куб!$E:$E,$E236,куб!K:K),IF($D236&lt;&gt;0,SUMIF(куб!$D:$D,$D236,куб!K:K),IF($C236&lt;&gt;0,SUMIF(куб!$C:$C,$C236,куб!K:K),IF($B236&lt;&gt;0,SUMIF(куб!$B:$B,$B236,куб!K:K))))))</f>
        <v>5889916</v>
      </c>
      <c r="R236" s="13">
        <f t="shared" si="73"/>
        <v>-6.5892472381583134E-2</v>
      </c>
      <c r="S236" s="5"/>
      <c r="T236" s="27">
        <f>IF($G236&lt;&gt;0,SUMIF(куб!$G:$G,$G236,куб!L:L),IF($E236&lt;&gt;0,SUMIF(куб!$E:$E,$E236,куб!L:L),IF($D236&lt;&gt;0,SUMIF(куб!$D:$D,$D236,куб!L:L),IF($C236&lt;&gt;0,SUMIF(куб!$C:$C,$C236,куб!L:L),IF($B236&lt;&gt;0,SUMIF(куб!$B:$B,$B236,куб!L:L))))))</f>
        <v>6243057.9497999977</v>
      </c>
      <c r="U236" s="27">
        <f>IF($G236&lt;&gt;0,SUMIF(куб!$G:$G,$G236,куб!M:M),IF($E236&lt;&gt;0,SUMIF(куб!$E:$E,$E236,куб!M:M),IF($D236&lt;&gt;0,SUMIF(куб!$D:$D,$D236,куб!M:M),IF($C236&lt;&gt;0,SUMIF(куб!$C:$C,$C236,куб!M:M),IF($B236&lt;&gt;0,SUMIF(куб!$B:$B,$B236,куб!M:M))))))</f>
        <v>6076759.4709999971</v>
      </c>
      <c r="V236" s="13">
        <f t="shared" si="74"/>
        <v>-2.6637343452070337E-2</v>
      </c>
      <c r="W236" s="5"/>
      <c r="X236" s="27">
        <f>IF($G236&lt;&gt;0,SUMIF(куб!$G:$G,$G236,куб!N:N),IF($E236&lt;&gt;0,SUMIF(куб!$E:$E,$E236,куб!N:N),IF($D236&lt;&gt;0,SUMIF(куб!$D:$D,$D236,куб!N:N),IF($C236&lt;&gt;0,SUMIF(куб!$C:$C,$C236,куб!N:N),IF($B236&lt;&gt;0,SUMIF(куб!$B:$B,$B236,куб!N:N))))))</f>
        <v>50601470.336699843</v>
      </c>
      <c r="Y236" s="27">
        <f>IF($G236&lt;&gt;0,SUMIF(куб!$G:$G,$G236,куб!O:O),IF($E236&lt;&gt;0,SUMIF(куб!$E:$E,$E236,куб!O:O),IF($D236&lt;&gt;0,SUMIF(куб!$D:$D,$D236,куб!O:O),IF($C236&lt;&gt;0,SUMIF(куб!$C:$C,$C236,куб!O:O),IF($B236&lt;&gt;0,SUMIF(куб!$B:$B,$B236,куб!O:O))))))</f>
        <v>53614462.639200151</v>
      </c>
      <c r="Z236" s="13">
        <f t="shared" si="75"/>
        <v>5.9543572201598019E-2</v>
      </c>
      <c r="AA236" s="5"/>
      <c r="AB236" s="33">
        <f t="shared" si="76"/>
        <v>0.10570100816183728</v>
      </c>
      <c r="AC236" s="33">
        <f t="shared" si="77"/>
        <v>0.1143154179230419</v>
      </c>
      <c r="AD236" s="15">
        <f t="shared" si="78"/>
        <v>8.6144097612046167E-3</v>
      </c>
      <c r="AE236" s="5"/>
      <c r="AF236" s="27">
        <f>IF($G236&lt;&gt;0,SUMIF(куб!$G:$G,$G236,куб!R:R),IF($E236&lt;&gt;0,SUMIF(куб!$E:$E,$E236,куб!R:R),IF($D236&lt;&gt;0,SUMIF(куб!$D:$D,$D236,куб!R:R),IF($C236&lt;&gt;0,SUMIF(куб!$C:$C,$C236,куб!R:R),IF($B236&lt;&gt;0,SUMIF(куб!$B:$B,$B236,куб!R:R))))))</f>
        <v>2569503.4103000006</v>
      </c>
      <c r="AG236" s="27">
        <f>IF($G236&lt;&gt;0,SUMIF(куб!$G:$G,$G236,куб!S:S),IF($E236&lt;&gt;0,SUMIF(куб!$E:$E,$E236,куб!S:S),IF($D236&lt;&gt;0,SUMIF(куб!$D:$D,$D236,куб!S:S),IF($C236&lt;&gt;0,SUMIF(куб!$C:$C,$C236,куб!S:S),IF($B236&lt;&gt;0,SUMIF(куб!$B:$B,$B236,куб!S:S))))))</f>
        <v>3116733.3760999995</v>
      </c>
      <c r="AH236" s="16">
        <f t="shared" si="79"/>
        <v>0.21297109924291072</v>
      </c>
      <c r="AI236" s="8"/>
      <c r="AJ236" s="27">
        <f>IF($G236&lt;&gt;0,SUMIF(куб!$G:$G,$G236,куб!T:T),IF($E236&lt;&gt;0,SUMIF(куб!$E:$E,$E236,куб!T:T),IF($D236&lt;&gt;0,SUMIF(куб!$D:$D,$D236,куб!T:T),IF($C236&lt;&gt;0,SUMIF(куб!$C:$C,$C236,куб!T:T),IF($B236&lt;&gt;0,SUMIF(куб!$B:$B,$B236,куб!T:T))))))</f>
        <v>39740.666700000002</v>
      </c>
      <c r="AK236" s="27">
        <f>IF($G236&lt;&gt;0,SUMIF(куб!$G:$G,$G236,куб!U:U),IF($E236&lt;&gt;0,SUMIF(куб!$E:$E,$E236,куб!U:U),IF($D236&lt;&gt;0,SUMIF(куб!$D:$D,$D236,куб!U:U),IF($C236&lt;&gt;0,SUMIF(куб!$C:$C,$C236,куб!U:U),IF($B236&lt;&gt;0,SUMIF(куб!$B:$B,$B236,куб!U:U))))))</f>
        <v>49391</v>
      </c>
      <c r="AL236" s="16">
        <f t="shared" si="80"/>
        <v>0.24283269762054591</v>
      </c>
      <c r="AM236" s="8"/>
      <c r="AN236" s="17">
        <f t="shared" si="81"/>
        <v>5.3674151983486096E-3</v>
      </c>
      <c r="AO236" s="17">
        <f t="shared" si="82"/>
        <v>6.645421046952045E-3</v>
      </c>
      <c r="AP236" s="16">
        <f t="shared" si="83"/>
        <v>1.2780058486034354E-3</v>
      </c>
      <c r="AQ236" s="8"/>
      <c r="AR236" s="17">
        <f t="shared" si="84"/>
        <v>0.10033359296348866</v>
      </c>
      <c r="AS236" s="17">
        <f t="shared" si="85"/>
        <v>0.10766999687608986</v>
      </c>
      <c r="AT236" s="13">
        <f t="shared" si="86"/>
        <v>7.3364039126011943E-3</v>
      </c>
      <c r="AU236" s="8"/>
    </row>
    <row r="237" spans="1:47" ht="15" customHeight="1" x14ac:dyDescent="0.25">
      <c r="A237" s="32" t="s">
        <v>26</v>
      </c>
      <c r="B237" s="31" t="s">
        <v>493</v>
      </c>
      <c r="C237" s="31"/>
      <c r="D237" s="31"/>
      <c r="E237" s="31"/>
      <c r="F237" s="31"/>
      <c r="G237" s="31"/>
      <c r="H237" s="27">
        <f>IF($G237&lt;&gt;0,SUMIF(куб!$G:$G,$G237,куб!H:H),IF($E237&lt;&gt;0,SUMIF(куб!$E:$E,$E237,куб!H:H),IF($D237&lt;&gt;0,SUMIF(куб!$D:$D,$D237,куб!H:H),IF($C237&lt;&gt;0,SUMIF(куб!$C:$C,$C237,куб!H:H),IF($B237&lt;&gt;0,SUMIF(куб!$B:$B,$B237,куб!H:H),IF($G237&lt;&gt;0,SUMIF(куб!$A:$A,$G237,куб!H:H),SUMIF(куб!$A:$A,$G237,куб!H:H)))))))</f>
        <v>478722684.07529914</v>
      </c>
      <c r="I237" s="27">
        <f>IF($G237&lt;&gt;0,SUMIF(куб!$G:$G,$G237,куб!I:I),IF($E237&lt;&gt;0,SUMIF(куб!$E:$E,$E237,куб!I:I),IF($D237&lt;&gt;0,SUMIF(куб!$D:$D,$D237,куб!I:I),IF($C237&lt;&gt;0,SUMIF(куб!$C:$C,$C237,куб!I:I),IF($B237&lt;&gt;0,SUMIF(куб!$B:$B,$B237,куб!I:I),IF($G237&lt;&gt;0,SUMIF(куб!$A:$A,$G237,куб!I:I),SUMIF(куб!$A:$A,$G237,куб!I:I)))))))</f>
        <v>469004650.5826</v>
      </c>
      <c r="J237" s="19">
        <f t="shared" si="87"/>
        <v>-2.0299922723466722E-2</v>
      </c>
      <c r="K237" s="5"/>
      <c r="L237" s="17">
        <f t="shared" si="70"/>
        <v>1</v>
      </c>
      <c r="M237" s="17">
        <f t="shared" si="71"/>
        <v>1</v>
      </c>
      <c r="N237" s="12">
        <f t="shared" si="72"/>
        <v>0</v>
      </c>
      <c r="O237" s="5"/>
      <c r="P237" s="27">
        <f>IF($G237&lt;&gt;0,SUMIF(куб!$G:$G,$G237,куб!J:J),IF($E237&lt;&gt;0,SUMIF(куб!$E:$E,$E237,куб!J:J),IF($D237&lt;&gt;0,SUMIF(куб!$D:$D,$D237,куб!J:J),IF($C237&lt;&gt;0,SUMIF(куб!$C:$C,$C237,куб!J:J),IF($B237&lt;&gt;0,SUMIF(куб!$B:$B,$B237,куб!J:J))))))</f>
        <v>6305394</v>
      </c>
      <c r="Q237" s="27">
        <f>IF($G237&lt;&gt;0,SUMIF(куб!$G:$G,$G237,куб!K:K),IF($E237&lt;&gt;0,SUMIF(куб!$E:$E,$E237,куб!K:K),IF($D237&lt;&gt;0,SUMIF(куб!$D:$D,$D237,куб!K:K),IF($C237&lt;&gt;0,SUMIF(куб!$C:$C,$C237,куб!K:K),IF($B237&lt;&gt;0,SUMIF(куб!$B:$B,$B237,куб!K:K))))))</f>
        <v>5889916</v>
      </c>
      <c r="R237" s="13">
        <f t="shared" si="73"/>
        <v>-6.5892472381583134E-2</v>
      </c>
      <c r="S237" s="5"/>
      <c r="T237" s="27">
        <f>IF($G237&lt;&gt;0,SUMIF(куб!$G:$G,$G237,куб!L:L),IF($E237&lt;&gt;0,SUMIF(куб!$E:$E,$E237,куб!L:L),IF($D237&lt;&gt;0,SUMIF(куб!$D:$D,$D237,куб!L:L),IF($C237&lt;&gt;0,SUMIF(куб!$C:$C,$C237,куб!L:L),IF($B237&lt;&gt;0,SUMIF(куб!$B:$B,$B237,куб!L:L))))))</f>
        <v>6243057.9497999977</v>
      </c>
      <c r="U237" s="27">
        <f>IF($G237&lt;&gt;0,SUMIF(куб!$G:$G,$G237,куб!M:M),IF($E237&lt;&gt;0,SUMIF(куб!$E:$E,$E237,куб!M:M),IF($D237&lt;&gt;0,SUMIF(куб!$D:$D,$D237,куб!M:M),IF($C237&lt;&gt;0,SUMIF(куб!$C:$C,$C237,куб!M:M),IF($B237&lt;&gt;0,SUMIF(куб!$B:$B,$B237,куб!M:M))))))</f>
        <v>6076759.4709999971</v>
      </c>
      <c r="V237" s="13">
        <f t="shared" si="74"/>
        <v>-2.6637343452070337E-2</v>
      </c>
      <c r="W237" s="5"/>
      <c r="X237" s="27">
        <f>IF($G237&lt;&gt;0,SUMIF(куб!$G:$G,$G237,куб!N:N),IF($E237&lt;&gt;0,SUMIF(куб!$E:$E,$E237,куб!N:N),IF($D237&lt;&gt;0,SUMIF(куб!$D:$D,$D237,куб!N:N),IF($C237&lt;&gt;0,SUMIF(куб!$C:$C,$C237,куб!N:N),IF($B237&lt;&gt;0,SUMIF(куб!$B:$B,$B237,куб!N:N))))))</f>
        <v>50601470.336699843</v>
      </c>
      <c r="Y237" s="27">
        <f>IF($G237&lt;&gt;0,SUMIF(куб!$G:$G,$G237,куб!O:O),IF($E237&lt;&gt;0,SUMIF(куб!$E:$E,$E237,куб!O:O),IF($D237&lt;&gt;0,SUMIF(куб!$D:$D,$D237,куб!O:O),IF($C237&lt;&gt;0,SUMIF(куб!$C:$C,$C237,куб!O:O),IF($B237&lt;&gt;0,SUMIF(куб!$B:$B,$B237,куб!O:O))))))</f>
        <v>53614462.639200151</v>
      </c>
      <c r="Z237" s="13">
        <f t="shared" si="75"/>
        <v>5.9543572201598019E-2</v>
      </c>
      <c r="AA237" s="5"/>
      <c r="AB237" s="33">
        <f t="shared" si="76"/>
        <v>0.10570100816183728</v>
      </c>
      <c r="AC237" s="33">
        <f t="shared" si="77"/>
        <v>0.1143154179230419</v>
      </c>
      <c r="AD237" s="15">
        <f t="shared" si="78"/>
        <v>8.6144097612046167E-3</v>
      </c>
      <c r="AE237" s="5"/>
      <c r="AF237" s="27">
        <f>IF($G237&lt;&gt;0,SUMIF(куб!$G:$G,$G237,куб!R:R),IF($E237&lt;&gt;0,SUMIF(куб!$E:$E,$E237,куб!R:R),IF($D237&lt;&gt;0,SUMIF(куб!$D:$D,$D237,куб!R:R),IF($C237&lt;&gt;0,SUMIF(куб!$C:$C,$C237,куб!R:R),IF($B237&lt;&gt;0,SUMIF(куб!$B:$B,$B237,куб!R:R))))))</f>
        <v>2569503.4103000006</v>
      </c>
      <c r="AG237" s="27">
        <f>IF($G237&lt;&gt;0,SUMIF(куб!$G:$G,$G237,куб!S:S),IF($E237&lt;&gt;0,SUMIF(куб!$E:$E,$E237,куб!S:S),IF($D237&lt;&gt;0,SUMIF(куб!$D:$D,$D237,куб!S:S),IF($C237&lt;&gt;0,SUMIF(куб!$C:$C,$C237,куб!S:S),IF($B237&lt;&gt;0,SUMIF(куб!$B:$B,$B237,куб!S:S))))))</f>
        <v>3116733.3760999995</v>
      </c>
      <c r="AH237" s="16">
        <f t="shared" si="79"/>
        <v>0.21297109924291072</v>
      </c>
      <c r="AI237" s="8"/>
      <c r="AJ237" s="27">
        <f>IF($G237&lt;&gt;0,SUMIF(куб!$G:$G,$G237,куб!T:T),IF($E237&lt;&gt;0,SUMIF(куб!$E:$E,$E237,куб!T:T),IF($D237&lt;&gt;0,SUMIF(куб!$D:$D,$D237,куб!T:T),IF($C237&lt;&gt;0,SUMIF(куб!$C:$C,$C237,куб!T:T),IF($B237&lt;&gt;0,SUMIF(куб!$B:$B,$B237,куб!T:T))))))</f>
        <v>39740.666700000002</v>
      </c>
      <c r="AK237" s="27">
        <f>IF($G237&lt;&gt;0,SUMIF(куб!$G:$G,$G237,куб!U:U),IF($E237&lt;&gt;0,SUMIF(куб!$E:$E,$E237,куб!U:U),IF($D237&lt;&gt;0,SUMIF(куб!$D:$D,$D237,куб!U:U),IF($C237&lt;&gt;0,SUMIF(куб!$C:$C,$C237,куб!U:U),IF($B237&lt;&gt;0,SUMIF(куб!$B:$B,$B237,куб!U:U))))))</f>
        <v>49391</v>
      </c>
      <c r="AL237" s="16">
        <f t="shared" si="80"/>
        <v>0.24283269762054591</v>
      </c>
      <c r="AM237" s="8"/>
      <c r="AN237" s="17">
        <f t="shared" si="81"/>
        <v>5.3674151983486096E-3</v>
      </c>
      <c r="AO237" s="17">
        <f t="shared" si="82"/>
        <v>6.645421046952045E-3</v>
      </c>
      <c r="AP237" s="16">
        <f t="shared" si="83"/>
        <v>1.2780058486034354E-3</v>
      </c>
      <c r="AQ237" s="8"/>
      <c r="AR237" s="17">
        <f t="shared" si="84"/>
        <v>0.10033359296348866</v>
      </c>
      <c r="AS237" s="17">
        <f t="shared" si="85"/>
        <v>0.10766999687608986</v>
      </c>
      <c r="AT237" s="13">
        <f t="shared" si="86"/>
        <v>7.3364039126011943E-3</v>
      </c>
      <c r="AU237" s="8"/>
    </row>
    <row r="238" spans="1:47" ht="15" customHeight="1" x14ac:dyDescent="0.25">
      <c r="A238" s="38" t="s">
        <v>494</v>
      </c>
      <c r="B238" s="38"/>
      <c r="C238" s="38"/>
      <c r="D238" s="38"/>
      <c r="E238" s="38"/>
      <c r="F238" s="38"/>
      <c r="G238" s="38"/>
      <c r="H238" s="27">
        <f>IF($G238&lt;&gt;0,SUMIF(куб!$G:$G,$G238,куб!H:H),IF($E238&lt;&gt;0,SUMIF(куб!$E:$E,$E238,куб!H:H),IF($D238&lt;&gt;0,SUMIF(куб!$D:$D,$D238,куб!H:H),IF($C238&lt;&gt;0,SUMIF(куб!$C:$C,$C238,куб!H:H),IF($B238&lt;&gt;0,SUMIF(куб!$B:$B,$B238,куб!H:H),IF($G238&lt;&gt;0,SUMIF(куб!$A:$A,$G238,куб!H:H),SUMIF(куб!$A:$A,$G238,куб!H:H)))))))</f>
        <v>0</v>
      </c>
      <c r="I238" s="27">
        <f>IF($G238&lt;&gt;0,SUMIF(куб!$G:$G,$G238,куб!I:I),IF($E238&lt;&gt;0,SUMIF(куб!$E:$E,$E238,куб!I:I),IF($D238&lt;&gt;0,SUMIF(куб!$D:$D,$D238,куб!I:I),IF($C238&lt;&gt;0,SUMIF(куб!$C:$C,$C238,куб!I:I),IF($B238&lt;&gt;0,SUMIF(куб!$B:$B,$B238,куб!I:I),IF($G238&lt;&gt;0,SUMIF(куб!$A:$A,$G238,куб!I:I),SUMIF(куб!$A:$A,$G238,куб!I:I)))))))</f>
        <v>0</v>
      </c>
      <c r="J238" s="19" t="str">
        <f t="shared" si="87"/>
        <v>-</v>
      </c>
      <c r="K238" s="8"/>
      <c r="L238" s="17">
        <f t="shared" si="70"/>
        <v>0</v>
      </c>
      <c r="M238" s="17">
        <f t="shared" si="71"/>
        <v>0</v>
      </c>
      <c r="N238" s="12">
        <f t="shared" si="72"/>
        <v>0</v>
      </c>
      <c r="O238" s="5"/>
      <c r="P238" s="27" t="b">
        <f>IF($G238&lt;&gt;0,SUMIF(куб!$G:$G,$G238,куб!J:J),IF($E238&lt;&gt;0,SUMIF(куб!$E:$E,$E238,куб!J:J),IF($D238&lt;&gt;0,SUMIF(куб!$D:$D,$D238,куб!J:J),IF($C238&lt;&gt;0,SUMIF(куб!$C:$C,$C238,куб!J:J),IF($B238&lt;&gt;0,SUMIF(куб!$B:$B,$B238,куб!J:J))))))</f>
        <v>0</v>
      </c>
      <c r="Q238" s="27" t="b">
        <f>IF($G238&lt;&gt;0,SUMIF(куб!$G:$G,$G238,куб!K:K),IF($E238&lt;&gt;0,SUMIF(куб!$E:$E,$E238,куб!K:K),IF($D238&lt;&gt;0,SUMIF(куб!$D:$D,$D238,куб!K:K),IF($C238&lt;&gt;0,SUMIF(куб!$C:$C,$C238,куб!K:K),IF($B238&lt;&gt;0,SUMIF(куб!$B:$B,$B238,куб!K:K))))))</f>
        <v>0</v>
      </c>
      <c r="R238" s="13" t="str">
        <f t="shared" si="73"/>
        <v>-</v>
      </c>
      <c r="S238" s="5"/>
      <c r="T238" s="27" t="b">
        <f>IF($G238&lt;&gt;0,SUMIF(куб!$G:$G,$G238,куб!L:L),IF($E238&lt;&gt;0,SUMIF(куб!$E:$E,$E238,куб!L:L),IF($D238&lt;&gt;0,SUMIF(куб!$D:$D,$D238,куб!L:L),IF($C238&lt;&gt;0,SUMIF(куб!$C:$C,$C238,куб!L:L),IF($B238&lt;&gt;0,SUMIF(куб!$B:$B,$B238,куб!L:L))))))</f>
        <v>0</v>
      </c>
      <c r="U238" s="27" t="b">
        <f>IF($G238&lt;&gt;0,SUMIF(куб!$G:$G,$G238,куб!M:M),IF($E238&lt;&gt;0,SUMIF(куб!$E:$E,$E238,куб!M:M),IF($D238&lt;&gt;0,SUMIF(куб!$D:$D,$D238,куб!M:M),IF($C238&lt;&gt;0,SUMIF(куб!$C:$C,$C238,куб!M:M),IF($B238&lt;&gt;0,SUMIF(куб!$B:$B,$B238,куб!M:M))))))</f>
        <v>0</v>
      </c>
      <c r="V238" s="13" t="str">
        <f t="shared" si="74"/>
        <v>-</v>
      </c>
      <c r="W238" s="5"/>
      <c r="X238" s="27" t="b">
        <f>IF($G238&lt;&gt;0,SUMIF(куб!$G:$G,$G238,куб!N:N),IF($E238&lt;&gt;0,SUMIF(куб!$E:$E,$E238,куб!N:N),IF($D238&lt;&gt;0,SUMIF(куб!$D:$D,$D238,куб!N:N),IF($C238&lt;&gt;0,SUMIF(куб!$C:$C,$C238,куб!N:N),IF($B238&lt;&gt;0,SUMIF(куб!$B:$B,$B238,куб!N:N))))))</f>
        <v>0</v>
      </c>
      <c r="Y238" s="27" t="b">
        <f>IF($G238&lt;&gt;0,SUMIF(куб!$G:$G,$G238,куб!O:O),IF($E238&lt;&gt;0,SUMIF(куб!$E:$E,$E238,куб!O:O),IF($D238&lt;&gt;0,SUMIF(куб!$D:$D,$D238,куб!O:O),IF($C238&lt;&gt;0,SUMIF(куб!$C:$C,$C238,куб!O:O),IF($B238&lt;&gt;0,SUMIF(куб!$B:$B,$B238,куб!O:O))))))</f>
        <v>0</v>
      </c>
      <c r="Z238" s="13" t="str">
        <f t="shared" si="75"/>
        <v>-</v>
      </c>
      <c r="AA238" s="5"/>
      <c r="AB238" s="33" t="str">
        <f t="shared" si="76"/>
        <v/>
      </c>
      <c r="AC238" s="33" t="str">
        <f t="shared" si="77"/>
        <v/>
      </c>
      <c r="AD238" s="15" t="str">
        <f t="shared" si="78"/>
        <v xml:space="preserve"> </v>
      </c>
      <c r="AE238" s="5"/>
      <c r="AF238" s="27" t="b">
        <f>IF($G238&lt;&gt;0,SUMIF(куб!$G:$G,$G238,куб!R:R),IF($E238&lt;&gt;0,SUMIF(куб!$E:$E,$E238,куб!R:R),IF($D238&lt;&gt;0,SUMIF(куб!$D:$D,$D238,куб!R:R),IF($C238&lt;&gt;0,SUMIF(куб!$C:$C,$C238,куб!R:R),IF($B238&lt;&gt;0,SUMIF(куб!$B:$B,$B238,куб!R:R))))))</f>
        <v>0</v>
      </c>
      <c r="AG238" s="27" t="b">
        <f>IF($G238&lt;&gt;0,SUMIF(куб!$G:$G,$G238,куб!S:S),IF($E238&lt;&gt;0,SUMIF(куб!$E:$E,$E238,куб!S:S),IF($D238&lt;&gt;0,SUMIF(куб!$D:$D,$D238,куб!S:S),IF($C238&lt;&gt;0,SUMIF(куб!$C:$C,$C238,куб!S:S),IF($B238&lt;&gt;0,SUMIF(куб!$B:$B,$B238,куб!S:S))))))</f>
        <v>0</v>
      </c>
      <c r="AH238" s="16" t="str">
        <f t="shared" si="79"/>
        <v>-</v>
      </c>
      <c r="AI238" s="8"/>
      <c r="AJ238" s="27" t="b">
        <f>IF($G238&lt;&gt;0,SUMIF(куб!$G:$G,$G238,куб!T:T),IF($E238&lt;&gt;0,SUMIF(куб!$E:$E,$E238,куб!T:T),IF($D238&lt;&gt;0,SUMIF(куб!$D:$D,$D238,куб!T:T),IF($C238&lt;&gt;0,SUMIF(куб!$C:$C,$C238,куб!T:T),IF($B238&lt;&gt;0,SUMIF(куб!$B:$B,$B238,куб!T:T))))))</f>
        <v>0</v>
      </c>
      <c r="AK238" s="27" t="b">
        <f>IF($G238&lt;&gt;0,SUMIF(куб!$G:$G,$G238,куб!U:U),IF($E238&lt;&gt;0,SUMIF(куб!$E:$E,$E238,куб!U:U),IF($D238&lt;&gt;0,SUMIF(куб!$D:$D,$D238,куб!U:U),IF($C238&lt;&gt;0,SUMIF(куб!$C:$C,$C238,куб!U:U),IF($B238&lt;&gt;0,SUMIF(куб!$B:$B,$B238,куб!U:U))))))</f>
        <v>0</v>
      </c>
      <c r="AL238" s="16" t="str">
        <f t="shared" si="80"/>
        <v>-</v>
      </c>
      <c r="AM238" s="8"/>
      <c r="AN238" s="17" t="str">
        <f t="shared" si="81"/>
        <v xml:space="preserve"> </v>
      </c>
      <c r="AO238" s="17" t="str">
        <f t="shared" si="82"/>
        <v xml:space="preserve"> </v>
      </c>
      <c r="AP238" s="16" t="str">
        <f t="shared" si="83"/>
        <v>-</v>
      </c>
      <c r="AQ238" s="8"/>
      <c r="AR238" s="17" t="str">
        <f t="shared" si="84"/>
        <v>-</v>
      </c>
      <c r="AS238" s="17" t="str">
        <f t="shared" si="85"/>
        <v>-</v>
      </c>
      <c r="AT238" s="13" t="str">
        <f t="shared" si="86"/>
        <v>-</v>
      </c>
      <c r="AU238" s="8"/>
    </row>
    <row r="239" spans="1:47" ht="15" customHeight="1" x14ac:dyDescent="0.25">
      <c r="A239" s="39" t="s">
        <v>10</v>
      </c>
      <c r="B239" s="39"/>
      <c r="C239" s="39"/>
      <c r="D239" s="39"/>
      <c r="E239" s="39"/>
      <c r="F239" s="39"/>
      <c r="G239" s="39"/>
      <c r="H239" s="27">
        <f>IF($G239&lt;&gt;0,SUMIF(куб!$G:$G,$G239,куб!H:H),IF($E239&lt;&gt;0,SUMIF(куб!$E:$E,$E239,куб!H:H),IF($D239&lt;&gt;0,SUMIF(куб!$D:$D,$D239,куб!H:H),IF($C239&lt;&gt;0,SUMIF(куб!$C:$C,$C239,куб!H:H),IF($B239&lt;&gt;0,SUMIF(куб!$B:$B,$B239,куб!H:H),IF($G239&lt;&gt;0,SUMIF(куб!$A:$A,$G239,куб!H:H),SUMIF(куб!$A:$A,$G239,куб!H:H)))))))</f>
        <v>0</v>
      </c>
      <c r="I239" s="27">
        <f>IF($G239&lt;&gt;0,SUMIF(куб!$G:$G,$G239,куб!I:I),IF($E239&lt;&gt;0,SUMIF(куб!$E:$E,$E239,куб!I:I),IF($D239&lt;&gt;0,SUMIF(куб!$D:$D,$D239,куб!I:I),IF($C239&lt;&gt;0,SUMIF(куб!$C:$C,$C239,куб!I:I),IF($B239&lt;&gt;0,SUMIF(куб!$B:$B,$B239,куб!I:I),IF($G239&lt;&gt;0,SUMIF(куб!$A:$A,$G239,куб!I:I),SUMIF(куб!$A:$A,$G239,куб!I:I)))))))</f>
        <v>0</v>
      </c>
      <c r="J239" s="19" t="str">
        <f t="shared" si="87"/>
        <v>-</v>
      </c>
      <c r="K239" s="10"/>
      <c r="L239" s="17">
        <f t="shared" si="70"/>
        <v>0</v>
      </c>
      <c r="M239" s="17">
        <f t="shared" si="71"/>
        <v>0</v>
      </c>
      <c r="N239" s="12">
        <f t="shared" si="72"/>
        <v>0</v>
      </c>
      <c r="O239" s="5"/>
      <c r="P239" s="27" t="b">
        <f>IF($G239&lt;&gt;0,SUMIF(куб!$G:$G,$G239,куб!J:J),IF($E239&lt;&gt;0,SUMIF(куб!$E:$E,$E239,куб!J:J),IF($D239&lt;&gt;0,SUMIF(куб!$D:$D,$D239,куб!J:J),IF($C239&lt;&gt;0,SUMIF(куб!$C:$C,$C239,куб!J:J),IF($B239&lt;&gt;0,SUMIF(куб!$B:$B,$B239,куб!J:J))))))</f>
        <v>0</v>
      </c>
      <c r="Q239" s="27" t="b">
        <f>IF($G239&lt;&gt;0,SUMIF(куб!$G:$G,$G239,куб!K:K),IF($E239&lt;&gt;0,SUMIF(куб!$E:$E,$E239,куб!K:K),IF($D239&lt;&gt;0,SUMIF(куб!$D:$D,$D239,куб!K:K),IF($C239&lt;&gt;0,SUMIF(куб!$C:$C,$C239,куб!K:K),IF($B239&lt;&gt;0,SUMIF(куб!$B:$B,$B239,куб!K:K))))))</f>
        <v>0</v>
      </c>
      <c r="R239" s="13" t="str">
        <f t="shared" si="73"/>
        <v>-</v>
      </c>
      <c r="S239" s="5"/>
      <c r="T239" s="27" t="b">
        <f>IF($G239&lt;&gt;0,SUMIF(куб!$G:$G,$G239,куб!L:L),IF($E239&lt;&gt;0,SUMIF(куб!$E:$E,$E239,куб!L:L),IF($D239&lt;&gt;0,SUMIF(куб!$D:$D,$D239,куб!L:L),IF($C239&lt;&gt;0,SUMIF(куб!$C:$C,$C239,куб!L:L),IF($B239&lt;&gt;0,SUMIF(куб!$B:$B,$B239,куб!L:L))))))</f>
        <v>0</v>
      </c>
      <c r="U239" s="27" t="b">
        <f>IF($G239&lt;&gt;0,SUMIF(куб!$G:$G,$G239,куб!M:M),IF($E239&lt;&gt;0,SUMIF(куб!$E:$E,$E239,куб!M:M),IF($D239&lt;&gt;0,SUMIF(куб!$D:$D,$D239,куб!M:M),IF($C239&lt;&gt;0,SUMIF(куб!$C:$C,$C239,куб!M:M),IF($B239&lt;&gt;0,SUMIF(куб!$B:$B,$B239,куб!M:M))))))</f>
        <v>0</v>
      </c>
      <c r="V239" s="13" t="str">
        <f t="shared" si="74"/>
        <v>-</v>
      </c>
      <c r="W239" s="5"/>
      <c r="X239" s="27" t="b">
        <f>IF($G239&lt;&gt;0,SUMIF(куб!$G:$G,$G239,куб!N:N),IF($E239&lt;&gt;0,SUMIF(куб!$E:$E,$E239,куб!N:N),IF($D239&lt;&gt;0,SUMIF(куб!$D:$D,$D239,куб!N:N),IF($C239&lt;&gt;0,SUMIF(куб!$C:$C,$C239,куб!N:N),IF($B239&lt;&gt;0,SUMIF(куб!$B:$B,$B239,куб!N:N))))))</f>
        <v>0</v>
      </c>
      <c r="Y239" s="27" t="b">
        <f>IF($G239&lt;&gt;0,SUMIF(куб!$G:$G,$G239,куб!O:O),IF($E239&lt;&gt;0,SUMIF(куб!$E:$E,$E239,куб!O:O),IF($D239&lt;&gt;0,SUMIF(куб!$D:$D,$D239,куб!O:O),IF($C239&lt;&gt;0,SUMIF(куб!$C:$C,$C239,куб!O:O),IF($B239&lt;&gt;0,SUMIF(куб!$B:$B,$B239,куб!O:O))))))</f>
        <v>0</v>
      </c>
      <c r="Z239" s="13" t="str">
        <f t="shared" si="75"/>
        <v>-</v>
      </c>
      <c r="AA239" s="5"/>
      <c r="AB239" s="33" t="str">
        <f t="shared" si="76"/>
        <v/>
      </c>
      <c r="AC239" s="33" t="str">
        <f t="shared" si="77"/>
        <v/>
      </c>
      <c r="AD239" s="15" t="str">
        <f t="shared" si="78"/>
        <v xml:space="preserve"> </v>
      </c>
      <c r="AE239" s="5"/>
      <c r="AF239" s="27" t="b">
        <f>IF($G239&lt;&gt;0,SUMIF(куб!$G:$G,$G239,куб!R:R),IF($E239&lt;&gt;0,SUMIF(куб!$E:$E,$E239,куб!R:R),IF($D239&lt;&gt;0,SUMIF(куб!$D:$D,$D239,куб!R:R),IF($C239&lt;&gt;0,SUMIF(куб!$C:$C,$C239,куб!R:R),IF($B239&lt;&gt;0,SUMIF(куб!$B:$B,$B239,куб!R:R))))))</f>
        <v>0</v>
      </c>
      <c r="AG239" s="27" t="b">
        <f>IF($G239&lt;&gt;0,SUMIF(куб!$G:$G,$G239,куб!S:S),IF($E239&lt;&gt;0,SUMIF(куб!$E:$E,$E239,куб!S:S),IF($D239&lt;&gt;0,SUMIF(куб!$D:$D,$D239,куб!S:S),IF($C239&lt;&gt;0,SUMIF(куб!$C:$C,$C239,куб!S:S),IF($B239&lt;&gt;0,SUMIF(куб!$B:$B,$B239,куб!S:S))))))</f>
        <v>0</v>
      </c>
      <c r="AH239" s="16" t="str">
        <f t="shared" si="79"/>
        <v>-</v>
      </c>
      <c r="AI239" s="8"/>
      <c r="AJ239" s="27" t="b">
        <f>IF($G239&lt;&gt;0,SUMIF(куб!$G:$G,$G239,куб!T:T),IF($E239&lt;&gt;0,SUMIF(куб!$E:$E,$E239,куб!T:T),IF($D239&lt;&gt;0,SUMIF(куб!$D:$D,$D239,куб!T:T),IF($C239&lt;&gt;0,SUMIF(куб!$C:$C,$C239,куб!T:T),IF($B239&lt;&gt;0,SUMIF(куб!$B:$B,$B239,куб!T:T))))))</f>
        <v>0</v>
      </c>
      <c r="AK239" s="27" t="b">
        <f>IF($G239&lt;&gt;0,SUMIF(куб!$G:$G,$G239,куб!U:U),IF($E239&lt;&gt;0,SUMIF(куб!$E:$E,$E239,куб!U:U),IF($D239&lt;&gt;0,SUMIF(куб!$D:$D,$D239,куб!U:U),IF($C239&lt;&gt;0,SUMIF(куб!$C:$C,$C239,куб!U:U),IF($B239&lt;&gt;0,SUMIF(куб!$B:$B,$B239,куб!U:U))))))</f>
        <v>0</v>
      </c>
      <c r="AL239" s="16" t="str">
        <f t="shared" si="80"/>
        <v>-</v>
      </c>
      <c r="AM239" s="8"/>
      <c r="AN239" s="17" t="str">
        <f t="shared" si="81"/>
        <v xml:space="preserve"> </v>
      </c>
      <c r="AO239" s="17" t="str">
        <f t="shared" si="82"/>
        <v xml:space="preserve"> </v>
      </c>
      <c r="AP239" s="16" t="str">
        <f t="shared" si="83"/>
        <v>-</v>
      </c>
      <c r="AQ239" s="8"/>
      <c r="AR239" s="17" t="str">
        <f t="shared" si="84"/>
        <v>-</v>
      </c>
      <c r="AS239" s="17" t="str">
        <f t="shared" si="85"/>
        <v>-</v>
      </c>
      <c r="AT239" s="13" t="str">
        <f t="shared" si="86"/>
        <v>-</v>
      </c>
      <c r="AU239" s="8"/>
    </row>
    <row r="240" spans="1:47" ht="15" customHeight="1" x14ac:dyDescent="0.25">
      <c r="A240" s="31"/>
      <c r="B240" s="31"/>
      <c r="C240"/>
      <c r="D240" s="31"/>
      <c r="E240"/>
      <c r="F240" s="31"/>
      <c r="G240"/>
      <c r="H240" s="27">
        <f>IF($G240&lt;&gt;0,SUMIF(куб!$G:$G,$G240,куб!H:H),IF($E240&lt;&gt;0,SUMIF(куб!$E:$E,$E240,куб!H:H),IF($D240&lt;&gt;0,SUMIF(куб!$D:$D,$D240,куб!H:H),IF($C240&lt;&gt;0,SUMIF(куб!$C:$C,$C240,куб!H:H),IF($B240&lt;&gt;0,SUMIF(куб!$B:$B,$B240,куб!H:H),IF($G240&lt;&gt;0,SUMIF(куб!$A:$A,$G240,куб!H:H),SUMIF(куб!$A:$A,$G240,куб!H:H)))))))</f>
        <v>0</v>
      </c>
      <c r="I240" s="27">
        <f>IF($G240&lt;&gt;0,SUMIF(куб!$G:$G,$G240,куб!I:I),IF($E240&lt;&gt;0,SUMIF(куб!$E:$E,$E240,куб!I:I),IF($D240&lt;&gt;0,SUMIF(куб!$D:$D,$D240,куб!I:I),IF($C240&lt;&gt;0,SUMIF(куб!$C:$C,$C240,куб!I:I),IF($B240&lt;&gt;0,SUMIF(куб!$B:$B,$B240,куб!I:I),IF($G240&lt;&gt;0,SUMIF(куб!$A:$A,$G240,куб!I:I),SUMIF(куб!$A:$A,$G240,куб!I:I)))))))</f>
        <v>0</v>
      </c>
      <c r="J240" s="19" t="str">
        <f t="shared" si="87"/>
        <v>-</v>
      </c>
      <c r="K240" s="5"/>
      <c r="L240" s="17">
        <f t="shared" si="70"/>
        <v>0</v>
      </c>
      <c r="M240" s="17">
        <f t="shared" si="71"/>
        <v>0</v>
      </c>
      <c r="N240" s="12">
        <f t="shared" si="72"/>
        <v>0</v>
      </c>
      <c r="O240" s="5"/>
      <c r="P240" s="27" t="b">
        <f>IF($G240&lt;&gt;0,SUMIF(куб!$G:$G,$G240,куб!J:J),IF($E240&lt;&gt;0,SUMIF(куб!$E:$E,$E240,куб!J:J),IF($D240&lt;&gt;0,SUMIF(куб!$D:$D,$D240,куб!J:J),IF($C240&lt;&gt;0,SUMIF(куб!$C:$C,$C240,куб!J:J),IF($B240&lt;&gt;0,SUMIF(куб!$B:$B,$B240,куб!J:J))))))</f>
        <v>0</v>
      </c>
      <c r="Q240" s="27" t="b">
        <f>IF($G240&lt;&gt;0,SUMIF(куб!$G:$G,$G240,куб!K:K),IF($E240&lt;&gt;0,SUMIF(куб!$E:$E,$E240,куб!K:K),IF($D240&lt;&gt;0,SUMIF(куб!$D:$D,$D240,куб!K:K),IF($C240&lt;&gt;0,SUMIF(куб!$C:$C,$C240,куб!K:K),IF($B240&lt;&gt;0,SUMIF(куб!$B:$B,$B240,куб!K:K))))))</f>
        <v>0</v>
      </c>
      <c r="R240" s="13" t="str">
        <f t="shared" si="73"/>
        <v>-</v>
      </c>
      <c r="S240" s="5"/>
      <c r="T240" s="27" t="b">
        <f>IF($G240&lt;&gt;0,SUMIF(куб!$G:$G,$G240,куб!L:L),IF($E240&lt;&gt;0,SUMIF(куб!$E:$E,$E240,куб!L:L),IF($D240&lt;&gt;0,SUMIF(куб!$D:$D,$D240,куб!L:L),IF($C240&lt;&gt;0,SUMIF(куб!$C:$C,$C240,куб!L:L),IF($B240&lt;&gt;0,SUMIF(куб!$B:$B,$B240,куб!L:L))))))</f>
        <v>0</v>
      </c>
      <c r="U240" s="27" t="b">
        <f>IF($G240&lt;&gt;0,SUMIF(куб!$G:$G,$G240,куб!M:M),IF($E240&lt;&gt;0,SUMIF(куб!$E:$E,$E240,куб!M:M),IF($D240&lt;&gt;0,SUMIF(куб!$D:$D,$D240,куб!M:M),IF($C240&lt;&gt;0,SUMIF(куб!$C:$C,$C240,куб!M:M),IF($B240&lt;&gt;0,SUMIF(куб!$B:$B,$B240,куб!M:M))))))</f>
        <v>0</v>
      </c>
      <c r="V240" s="13" t="str">
        <f t="shared" si="74"/>
        <v>-</v>
      </c>
      <c r="W240" s="5"/>
      <c r="X240" s="27" t="b">
        <f>IF($G240&lt;&gt;0,SUMIF(куб!$G:$G,$G240,куб!N:N),IF($E240&lt;&gt;0,SUMIF(куб!$E:$E,$E240,куб!N:N),IF($D240&lt;&gt;0,SUMIF(куб!$D:$D,$D240,куб!N:N),IF($C240&lt;&gt;0,SUMIF(куб!$C:$C,$C240,куб!N:N),IF($B240&lt;&gt;0,SUMIF(куб!$B:$B,$B240,куб!N:N))))))</f>
        <v>0</v>
      </c>
      <c r="Y240" s="27" t="b">
        <f>IF($G240&lt;&gt;0,SUMIF(куб!$G:$G,$G240,куб!O:O),IF($E240&lt;&gt;0,SUMIF(куб!$E:$E,$E240,куб!O:O),IF($D240&lt;&gt;0,SUMIF(куб!$D:$D,$D240,куб!O:O),IF($C240&lt;&gt;0,SUMIF(куб!$C:$C,$C240,куб!O:O),IF($B240&lt;&gt;0,SUMIF(куб!$B:$B,$B240,куб!O:O))))))</f>
        <v>0</v>
      </c>
      <c r="Z240" s="13" t="str">
        <f t="shared" si="75"/>
        <v>-</v>
      </c>
      <c r="AA240" s="5"/>
      <c r="AB240" s="33" t="str">
        <f t="shared" si="76"/>
        <v/>
      </c>
      <c r="AC240" s="33" t="str">
        <f t="shared" si="77"/>
        <v/>
      </c>
      <c r="AD240" s="15" t="str">
        <f t="shared" si="78"/>
        <v xml:space="preserve"> </v>
      </c>
      <c r="AE240" s="5"/>
      <c r="AF240" s="27" t="b">
        <f>IF($G240&lt;&gt;0,SUMIF(куб!$G:$G,$G240,куб!R:R),IF($E240&lt;&gt;0,SUMIF(куб!$E:$E,$E240,куб!R:R),IF($D240&lt;&gt;0,SUMIF(куб!$D:$D,$D240,куб!R:R),IF($C240&lt;&gt;0,SUMIF(куб!$C:$C,$C240,куб!R:R),IF($B240&lt;&gt;0,SUMIF(куб!$B:$B,$B240,куб!R:R))))))</f>
        <v>0</v>
      </c>
      <c r="AG240" s="27" t="b">
        <f>IF($G240&lt;&gt;0,SUMIF(куб!$G:$G,$G240,куб!S:S),IF($E240&lt;&gt;0,SUMIF(куб!$E:$E,$E240,куб!S:S),IF($D240&lt;&gt;0,SUMIF(куб!$D:$D,$D240,куб!S:S),IF($C240&lt;&gt;0,SUMIF(куб!$C:$C,$C240,куб!S:S),IF($B240&lt;&gt;0,SUMIF(куб!$B:$B,$B240,куб!S:S))))))</f>
        <v>0</v>
      </c>
      <c r="AH240" s="16" t="str">
        <f t="shared" si="79"/>
        <v>-</v>
      </c>
      <c r="AI240" s="8"/>
      <c r="AJ240" s="27" t="b">
        <f>IF($G240&lt;&gt;0,SUMIF(куб!$G:$G,$G240,куб!T:T),IF($E240&lt;&gt;0,SUMIF(куб!$E:$E,$E240,куб!T:T),IF($D240&lt;&gt;0,SUMIF(куб!$D:$D,$D240,куб!T:T),IF($C240&lt;&gt;0,SUMIF(куб!$C:$C,$C240,куб!T:T),IF($B240&lt;&gt;0,SUMIF(куб!$B:$B,$B240,куб!T:T))))))</f>
        <v>0</v>
      </c>
      <c r="AK240" s="27" t="b">
        <f>IF($G240&lt;&gt;0,SUMIF(куб!$G:$G,$G240,куб!U:U),IF($E240&lt;&gt;0,SUMIF(куб!$E:$E,$E240,куб!U:U),IF($D240&lt;&gt;0,SUMIF(куб!$D:$D,$D240,куб!U:U),IF($C240&lt;&gt;0,SUMIF(куб!$C:$C,$C240,куб!U:U),IF($B240&lt;&gt;0,SUMIF(куб!$B:$B,$B240,куб!U:U))))))</f>
        <v>0</v>
      </c>
      <c r="AL240" s="16" t="str">
        <f t="shared" si="80"/>
        <v>-</v>
      </c>
      <c r="AM240" s="8"/>
      <c r="AN240" s="17" t="str">
        <f t="shared" si="81"/>
        <v xml:space="preserve"> </v>
      </c>
      <c r="AO240" s="17" t="str">
        <f t="shared" si="82"/>
        <v xml:space="preserve"> </v>
      </c>
      <c r="AP240" s="16" t="str">
        <f t="shared" si="83"/>
        <v>-</v>
      </c>
      <c r="AQ240" s="8"/>
      <c r="AR240" s="17" t="str">
        <f t="shared" si="84"/>
        <v>-</v>
      </c>
      <c r="AS240" s="17" t="str">
        <f t="shared" si="85"/>
        <v>-</v>
      </c>
      <c r="AT240" s="13" t="str">
        <f t="shared" si="86"/>
        <v>-</v>
      </c>
      <c r="AU240" s="8"/>
    </row>
    <row r="241" spans="1:47" ht="15" customHeight="1" x14ac:dyDescent="0.25">
      <c r="A241" s="31"/>
      <c r="B241" s="31"/>
      <c r="C241"/>
      <c r="D241" s="31"/>
      <c r="E241"/>
      <c r="F241" s="31"/>
      <c r="G241"/>
      <c r="H241" s="27">
        <f>IF($G241&lt;&gt;0,SUMIF(куб!$G:$G,$G241,куб!H:H),IF($E241&lt;&gt;0,SUMIF(куб!$E:$E,$E241,куб!H:H),IF($D241&lt;&gt;0,SUMIF(куб!$D:$D,$D241,куб!H:H),IF($C241&lt;&gt;0,SUMIF(куб!$C:$C,$C241,куб!H:H),IF($B241&lt;&gt;0,SUMIF(куб!$B:$B,$B241,куб!H:H),IF($G241&lt;&gt;0,SUMIF(куб!$A:$A,$G241,куб!H:H),SUMIF(куб!$A:$A,$G241,куб!H:H)))))))</f>
        <v>0</v>
      </c>
      <c r="I241" s="27">
        <f>IF($G241&lt;&gt;0,SUMIF(куб!$G:$G,$G241,куб!I:I),IF($E241&lt;&gt;0,SUMIF(куб!$E:$E,$E241,куб!I:I),IF($D241&lt;&gt;0,SUMIF(куб!$D:$D,$D241,куб!I:I),IF($C241&lt;&gt;0,SUMIF(куб!$C:$C,$C241,куб!I:I),IF($B241&lt;&gt;0,SUMIF(куб!$B:$B,$B241,куб!I:I),IF($G241&lt;&gt;0,SUMIF(куб!$A:$A,$G241,куб!I:I),SUMIF(куб!$A:$A,$G241,куб!I:I)))))))</f>
        <v>0</v>
      </c>
      <c r="J241" s="19" t="str">
        <f t="shared" si="87"/>
        <v>-</v>
      </c>
      <c r="K241" s="5"/>
      <c r="L241" s="17">
        <f t="shared" si="70"/>
        <v>0</v>
      </c>
      <c r="M241" s="17">
        <f t="shared" si="71"/>
        <v>0</v>
      </c>
      <c r="N241" s="12">
        <f t="shared" si="72"/>
        <v>0</v>
      </c>
      <c r="O241" s="5"/>
      <c r="P241" s="27" t="b">
        <f>IF($G241&lt;&gt;0,SUMIF(куб!$G:$G,$G241,куб!J:J),IF($E241&lt;&gt;0,SUMIF(куб!$E:$E,$E241,куб!J:J),IF($D241&lt;&gt;0,SUMIF(куб!$D:$D,$D241,куб!J:J),IF($C241&lt;&gt;0,SUMIF(куб!$C:$C,$C241,куб!J:J),IF($B241&lt;&gt;0,SUMIF(куб!$B:$B,$B241,куб!J:J))))))</f>
        <v>0</v>
      </c>
      <c r="Q241" s="27" t="b">
        <f>IF($G241&lt;&gt;0,SUMIF(куб!$G:$G,$G241,куб!K:K),IF($E241&lt;&gt;0,SUMIF(куб!$E:$E,$E241,куб!K:K),IF($D241&lt;&gt;0,SUMIF(куб!$D:$D,$D241,куб!K:K),IF($C241&lt;&gt;0,SUMIF(куб!$C:$C,$C241,куб!K:K),IF($B241&lt;&gt;0,SUMIF(куб!$B:$B,$B241,куб!K:K))))))</f>
        <v>0</v>
      </c>
      <c r="R241" s="13" t="str">
        <f t="shared" si="73"/>
        <v>-</v>
      </c>
      <c r="S241" s="5"/>
      <c r="T241" s="27" t="b">
        <f>IF($G241&lt;&gt;0,SUMIF(куб!$G:$G,$G241,куб!L:L),IF($E241&lt;&gt;0,SUMIF(куб!$E:$E,$E241,куб!L:L),IF($D241&lt;&gt;0,SUMIF(куб!$D:$D,$D241,куб!L:L),IF($C241&lt;&gt;0,SUMIF(куб!$C:$C,$C241,куб!L:L),IF($B241&lt;&gt;0,SUMIF(куб!$B:$B,$B241,куб!L:L))))))</f>
        <v>0</v>
      </c>
      <c r="U241" s="27" t="b">
        <f>IF($G241&lt;&gt;0,SUMIF(куб!$G:$G,$G241,куб!M:M),IF($E241&lt;&gt;0,SUMIF(куб!$E:$E,$E241,куб!M:M),IF($D241&lt;&gt;0,SUMIF(куб!$D:$D,$D241,куб!M:M),IF($C241&lt;&gt;0,SUMIF(куб!$C:$C,$C241,куб!M:M),IF($B241&lt;&gt;0,SUMIF(куб!$B:$B,$B241,куб!M:M))))))</f>
        <v>0</v>
      </c>
      <c r="V241" s="13" t="str">
        <f t="shared" si="74"/>
        <v>-</v>
      </c>
      <c r="W241" s="5"/>
      <c r="X241" s="27" t="b">
        <f>IF($G241&lt;&gt;0,SUMIF(куб!$G:$G,$G241,куб!N:N),IF($E241&lt;&gt;0,SUMIF(куб!$E:$E,$E241,куб!N:N),IF($D241&lt;&gt;0,SUMIF(куб!$D:$D,$D241,куб!N:N),IF($C241&lt;&gt;0,SUMIF(куб!$C:$C,$C241,куб!N:N),IF($B241&lt;&gt;0,SUMIF(куб!$B:$B,$B241,куб!N:N))))))</f>
        <v>0</v>
      </c>
      <c r="Y241" s="27" t="b">
        <f>IF($G241&lt;&gt;0,SUMIF(куб!$G:$G,$G241,куб!O:O),IF($E241&lt;&gt;0,SUMIF(куб!$E:$E,$E241,куб!O:O),IF($D241&lt;&gt;0,SUMIF(куб!$D:$D,$D241,куб!O:O),IF($C241&lt;&gt;0,SUMIF(куб!$C:$C,$C241,куб!O:O),IF($B241&lt;&gt;0,SUMIF(куб!$B:$B,$B241,куб!O:O))))))</f>
        <v>0</v>
      </c>
      <c r="Z241" s="13" t="str">
        <f t="shared" si="75"/>
        <v>-</v>
      </c>
      <c r="AA241" s="5"/>
      <c r="AB241" s="33" t="str">
        <f t="shared" si="76"/>
        <v/>
      </c>
      <c r="AC241" s="33" t="str">
        <f t="shared" si="77"/>
        <v/>
      </c>
      <c r="AD241" s="15" t="str">
        <f t="shared" si="78"/>
        <v xml:space="preserve"> </v>
      </c>
      <c r="AE241" s="5"/>
      <c r="AF241" s="27" t="b">
        <f>IF($G241&lt;&gt;0,SUMIF(куб!$G:$G,$G241,куб!R:R),IF($E241&lt;&gt;0,SUMIF(куб!$E:$E,$E241,куб!R:R),IF($D241&lt;&gt;0,SUMIF(куб!$D:$D,$D241,куб!R:R),IF($C241&lt;&gt;0,SUMIF(куб!$C:$C,$C241,куб!R:R),IF($B241&lt;&gt;0,SUMIF(куб!$B:$B,$B241,куб!R:R))))))</f>
        <v>0</v>
      </c>
      <c r="AG241" s="27" t="b">
        <f>IF($G241&lt;&gt;0,SUMIF(куб!$G:$G,$G241,куб!S:S),IF($E241&lt;&gt;0,SUMIF(куб!$E:$E,$E241,куб!S:S),IF($D241&lt;&gt;0,SUMIF(куб!$D:$D,$D241,куб!S:S),IF($C241&lt;&gt;0,SUMIF(куб!$C:$C,$C241,куб!S:S),IF($B241&lt;&gt;0,SUMIF(куб!$B:$B,$B241,куб!S:S))))))</f>
        <v>0</v>
      </c>
      <c r="AH241" s="16" t="str">
        <f t="shared" si="79"/>
        <v>-</v>
      </c>
      <c r="AI241" s="8"/>
      <c r="AJ241" s="27" t="b">
        <f>IF($G241&lt;&gt;0,SUMIF(куб!$G:$G,$G241,куб!T:T),IF($E241&lt;&gt;0,SUMIF(куб!$E:$E,$E241,куб!T:T),IF($D241&lt;&gt;0,SUMIF(куб!$D:$D,$D241,куб!T:T),IF($C241&lt;&gt;0,SUMIF(куб!$C:$C,$C241,куб!T:T),IF($B241&lt;&gt;0,SUMIF(куб!$B:$B,$B241,куб!T:T))))))</f>
        <v>0</v>
      </c>
      <c r="AK241" s="27" t="b">
        <f>IF($G241&lt;&gt;0,SUMIF(куб!$G:$G,$G241,куб!U:U),IF($E241&lt;&gt;0,SUMIF(куб!$E:$E,$E241,куб!U:U),IF($D241&lt;&gt;0,SUMIF(куб!$D:$D,$D241,куб!U:U),IF($C241&lt;&gt;0,SUMIF(куб!$C:$C,$C241,куб!U:U),IF($B241&lt;&gt;0,SUMIF(куб!$B:$B,$B241,куб!U:U))))))</f>
        <v>0</v>
      </c>
      <c r="AL241" s="16" t="str">
        <f t="shared" si="80"/>
        <v>-</v>
      </c>
      <c r="AM241" s="8"/>
      <c r="AN241" s="17" t="str">
        <f t="shared" si="81"/>
        <v xml:space="preserve"> </v>
      </c>
      <c r="AO241" s="17" t="str">
        <f t="shared" si="82"/>
        <v xml:space="preserve"> </v>
      </c>
      <c r="AP241" s="16" t="str">
        <f t="shared" si="83"/>
        <v>-</v>
      </c>
      <c r="AQ241" s="8"/>
      <c r="AR241" s="17" t="str">
        <f t="shared" si="84"/>
        <v>-</v>
      </c>
      <c r="AS241" s="17" t="str">
        <f t="shared" si="85"/>
        <v>-</v>
      </c>
      <c r="AT241" s="13" t="str">
        <f t="shared" si="86"/>
        <v>-</v>
      </c>
      <c r="AU241" s="8"/>
    </row>
    <row r="242" spans="1:47" ht="15" customHeight="1" x14ac:dyDescent="0.25">
      <c r="A242" s="31"/>
      <c r="B242" s="31"/>
      <c r="C242"/>
      <c r="D242" s="31"/>
      <c r="E242"/>
      <c r="F242"/>
      <c r="G242"/>
      <c r="H242" s="27">
        <f>IF($G242&lt;&gt;0,SUMIF(куб!$G:$G,$G242,куб!H:H),IF($E242&lt;&gt;0,SUMIF(куб!$E:$E,$E242,куб!H:H),IF($D242&lt;&gt;0,SUMIF(куб!$D:$D,$D242,куб!H:H),IF($C242&lt;&gt;0,SUMIF(куб!$C:$C,$C242,куб!H:H),IF($B242&lt;&gt;0,SUMIF(куб!$B:$B,$B242,куб!H:H),IF($G242&lt;&gt;0,SUMIF(куб!$A:$A,$G242,куб!H:H),SUMIF(куб!$A:$A,$G242,куб!H:H)))))))</f>
        <v>0</v>
      </c>
      <c r="I242" s="27">
        <f>IF($G242&lt;&gt;0,SUMIF(куб!$G:$G,$G242,куб!I:I),IF($E242&lt;&gt;0,SUMIF(куб!$E:$E,$E242,куб!I:I),IF($D242&lt;&gt;0,SUMIF(куб!$D:$D,$D242,куб!I:I),IF($C242&lt;&gt;0,SUMIF(куб!$C:$C,$C242,куб!I:I),IF($B242&lt;&gt;0,SUMIF(куб!$B:$B,$B242,куб!I:I),IF($G242&lt;&gt;0,SUMIF(куб!$A:$A,$G242,куб!I:I),SUMIF(куб!$A:$A,$G242,куб!I:I)))))))</f>
        <v>0</v>
      </c>
      <c r="J242" s="19" t="str">
        <f t="shared" si="87"/>
        <v>-</v>
      </c>
      <c r="K242" s="8"/>
      <c r="L242" s="17">
        <f t="shared" si="70"/>
        <v>0</v>
      </c>
      <c r="M242" s="17">
        <f t="shared" si="71"/>
        <v>0</v>
      </c>
      <c r="N242" s="12">
        <f t="shared" si="72"/>
        <v>0</v>
      </c>
      <c r="O242" s="5"/>
      <c r="P242" s="27" t="b">
        <f>IF($G242&lt;&gt;0,SUMIF(куб!$G:$G,$G242,куб!J:J),IF($E242&lt;&gt;0,SUMIF(куб!$E:$E,$E242,куб!J:J),IF($D242&lt;&gt;0,SUMIF(куб!$D:$D,$D242,куб!J:J),IF($C242&lt;&gt;0,SUMIF(куб!$C:$C,$C242,куб!J:J),IF($B242&lt;&gt;0,SUMIF(куб!$B:$B,$B242,куб!J:J))))))</f>
        <v>0</v>
      </c>
      <c r="Q242" s="27" t="b">
        <f>IF($G242&lt;&gt;0,SUMIF(куб!$G:$G,$G242,куб!K:K),IF($E242&lt;&gt;0,SUMIF(куб!$E:$E,$E242,куб!K:K),IF($D242&lt;&gt;0,SUMIF(куб!$D:$D,$D242,куб!K:K),IF($C242&lt;&gt;0,SUMIF(куб!$C:$C,$C242,куб!K:K),IF($B242&lt;&gt;0,SUMIF(куб!$B:$B,$B242,куб!K:K))))))</f>
        <v>0</v>
      </c>
      <c r="R242" s="13" t="str">
        <f t="shared" si="73"/>
        <v>-</v>
      </c>
      <c r="S242" s="5"/>
      <c r="T242" s="27" t="b">
        <f>IF($G242&lt;&gt;0,SUMIF(куб!$G:$G,$G242,куб!L:L),IF($E242&lt;&gt;0,SUMIF(куб!$E:$E,$E242,куб!L:L),IF($D242&lt;&gt;0,SUMIF(куб!$D:$D,$D242,куб!L:L),IF($C242&lt;&gt;0,SUMIF(куб!$C:$C,$C242,куб!L:L),IF($B242&lt;&gt;0,SUMIF(куб!$B:$B,$B242,куб!L:L))))))</f>
        <v>0</v>
      </c>
      <c r="U242" s="27" t="b">
        <f>IF($G242&lt;&gt;0,SUMIF(куб!$G:$G,$G242,куб!M:M),IF($E242&lt;&gt;0,SUMIF(куб!$E:$E,$E242,куб!M:M),IF($D242&lt;&gt;0,SUMIF(куб!$D:$D,$D242,куб!M:M),IF($C242&lt;&gt;0,SUMIF(куб!$C:$C,$C242,куб!M:M),IF($B242&lt;&gt;0,SUMIF(куб!$B:$B,$B242,куб!M:M))))))</f>
        <v>0</v>
      </c>
      <c r="V242" s="13" t="str">
        <f t="shared" si="74"/>
        <v>-</v>
      </c>
      <c r="W242" s="5"/>
      <c r="X242" s="27" t="b">
        <f>IF($G242&lt;&gt;0,SUMIF(куб!$G:$G,$G242,куб!N:N),IF($E242&lt;&gt;0,SUMIF(куб!$E:$E,$E242,куб!N:N),IF($D242&lt;&gt;0,SUMIF(куб!$D:$D,$D242,куб!N:N),IF($C242&lt;&gt;0,SUMIF(куб!$C:$C,$C242,куб!N:N),IF($B242&lt;&gt;0,SUMIF(куб!$B:$B,$B242,куб!N:N))))))</f>
        <v>0</v>
      </c>
      <c r="Y242" s="27" t="b">
        <f>IF($G242&lt;&gt;0,SUMIF(куб!$G:$G,$G242,куб!O:O),IF($E242&lt;&gt;0,SUMIF(куб!$E:$E,$E242,куб!O:O),IF($D242&lt;&gt;0,SUMIF(куб!$D:$D,$D242,куб!O:O),IF($C242&lt;&gt;0,SUMIF(куб!$C:$C,$C242,куб!O:O),IF($B242&lt;&gt;0,SUMIF(куб!$B:$B,$B242,куб!O:O))))))</f>
        <v>0</v>
      </c>
      <c r="Z242" s="13" t="str">
        <f t="shared" si="75"/>
        <v>-</v>
      </c>
      <c r="AA242" s="5"/>
      <c r="AB242" s="33" t="str">
        <f t="shared" si="76"/>
        <v/>
      </c>
      <c r="AC242" s="33" t="str">
        <f t="shared" si="77"/>
        <v/>
      </c>
      <c r="AD242" s="15" t="str">
        <f t="shared" si="78"/>
        <v xml:space="preserve"> </v>
      </c>
      <c r="AE242" s="5"/>
      <c r="AF242" s="27" t="b">
        <f>IF($G242&lt;&gt;0,SUMIF(куб!$G:$G,$G242,куб!R:R),IF($E242&lt;&gt;0,SUMIF(куб!$E:$E,$E242,куб!R:R),IF($D242&lt;&gt;0,SUMIF(куб!$D:$D,$D242,куб!R:R),IF($C242&lt;&gt;0,SUMIF(куб!$C:$C,$C242,куб!R:R),IF($B242&lt;&gt;0,SUMIF(куб!$B:$B,$B242,куб!R:R))))))</f>
        <v>0</v>
      </c>
      <c r="AG242" s="27" t="b">
        <f>IF($G242&lt;&gt;0,SUMIF(куб!$G:$G,$G242,куб!S:S),IF($E242&lt;&gt;0,SUMIF(куб!$E:$E,$E242,куб!S:S),IF($D242&lt;&gt;0,SUMIF(куб!$D:$D,$D242,куб!S:S),IF($C242&lt;&gt;0,SUMIF(куб!$C:$C,$C242,куб!S:S),IF($B242&lt;&gt;0,SUMIF(куб!$B:$B,$B242,куб!S:S))))))</f>
        <v>0</v>
      </c>
      <c r="AH242" s="16" t="str">
        <f t="shared" si="79"/>
        <v>-</v>
      </c>
      <c r="AI242" s="8"/>
      <c r="AJ242" s="27" t="b">
        <f>IF($G242&lt;&gt;0,SUMIF(куб!$G:$G,$G242,куб!T:T),IF($E242&lt;&gt;0,SUMIF(куб!$E:$E,$E242,куб!T:T),IF($D242&lt;&gt;0,SUMIF(куб!$D:$D,$D242,куб!T:T),IF($C242&lt;&gt;0,SUMIF(куб!$C:$C,$C242,куб!T:T),IF($B242&lt;&gt;0,SUMIF(куб!$B:$B,$B242,куб!T:T))))))</f>
        <v>0</v>
      </c>
      <c r="AK242" s="27" t="b">
        <f>IF($G242&lt;&gt;0,SUMIF(куб!$G:$G,$G242,куб!U:U),IF($E242&lt;&gt;0,SUMIF(куб!$E:$E,$E242,куб!U:U),IF($D242&lt;&gt;0,SUMIF(куб!$D:$D,$D242,куб!U:U),IF($C242&lt;&gt;0,SUMIF(куб!$C:$C,$C242,куб!U:U),IF($B242&lt;&gt;0,SUMIF(куб!$B:$B,$B242,куб!U:U))))))</f>
        <v>0</v>
      </c>
      <c r="AL242" s="16" t="str">
        <f t="shared" si="80"/>
        <v>-</v>
      </c>
      <c r="AM242" s="8"/>
      <c r="AN242" s="17" t="str">
        <f t="shared" si="81"/>
        <v xml:space="preserve"> </v>
      </c>
      <c r="AO242" s="17" t="str">
        <f t="shared" si="82"/>
        <v xml:space="preserve"> </v>
      </c>
      <c r="AP242" s="16" t="str">
        <f t="shared" si="83"/>
        <v>-</v>
      </c>
      <c r="AQ242" s="8"/>
      <c r="AR242" s="17" t="str">
        <f t="shared" si="84"/>
        <v>-</v>
      </c>
      <c r="AS242" s="17" t="str">
        <f t="shared" si="85"/>
        <v>-</v>
      </c>
      <c r="AT242" s="13" t="str">
        <f t="shared" si="86"/>
        <v>-</v>
      </c>
      <c r="AU242" s="8"/>
    </row>
    <row r="243" spans="1:47" ht="15" customHeight="1" x14ac:dyDescent="0.25">
      <c r="A243" s="31"/>
      <c r="B243" s="31"/>
      <c r="C243"/>
      <c r="D243" s="31"/>
      <c r="E243"/>
      <c r="F243" s="31"/>
      <c r="G243"/>
      <c r="H243" s="27">
        <f>IF($G243&lt;&gt;0,SUMIF(куб!$G:$G,$G243,куб!H:H),IF($E243&lt;&gt;0,SUMIF(куб!$E:$E,$E243,куб!H:H),IF($D243&lt;&gt;0,SUMIF(куб!$D:$D,$D243,куб!H:H),IF($C243&lt;&gt;0,SUMIF(куб!$C:$C,$C243,куб!H:H),IF($B243&lt;&gt;0,SUMIF(куб!$B:$B,$B243,куб!H:H),IF($G243&lt;&gt;0,SUMIF(куб!$A:$A,$G243,куб!H:H),SUMIF(куб!$A:$A,$G243,куб!H:H)))))))</f>
        <v>0</v>
      </c>
      <c r="I243" s="27">
        <f>IF($G243&lt;&gt;0,SUMIF(куб!$G:$G,$G243,куб!I:I),IF($E243&lt;&gt;0,SUMIF(куб!$E:$E,$E243,куб!I:I),IF($D243&lt;&gt;0,SUMIF(куб!$D:$D,$D243,куб!I:I),IF($C243&lt;&gt;0,SUMIF(куб!$C:$C,$C243,куб!I:I),IF($B243&lt;&gt;0,SUMIF(куб!$B:$B,$B243,куб!I:I),IF($G243&lt;&gt;0,SUMIF(куб!$A:$A,$G243,куб!I:I),SUMIF(куб!$A:$A,$G243,куб!I:I)))))))</f>
        <v>0</v>
      </c>
      <c r="J243" s="19" t="str">
        <f t="shared" si="87"/>
        <v>-</v>
      </c>
      <c r="K243" s="10"/>
      <c r="L243" s="17">
        <f t="shared" si="70"/>
        <v>0</v>
      </c>
      <c r="M243" s="17">
        <f t="shared" si="71"/>
        <v>0</v>
      </c>
      <c r="N243" s="12">
        <f t="shared" si="72"/>
        <v>0</v>
      </c>
      <c r="O243" s="5"/>
      <c r="P243" s="27" t="b">
        <f>IF($G243&lt;&gt;0,SUMIF(куб!$G:$G,$G243,куб!J:J),IF($E243&lt;&gt;0,SUMIF(куб!$E:$E,$E243,куб!J:J),IF($D243&lt;&gt;0,SUMIF(куб!$D:$D,$D243,куб!J:J),IF($C243&lt;&gt;0,SUMIF(куб!$C:$C,$C243,куб!J:J),IF($B243&lt;&gt;0,SUMIF(куб!$B:$B,$B243,куб!J:J))))))</f>
        <v>0</v>
      </c>
      <c r="Q243" s="27" t="b">
        <f>IF($G243&lt;&gt;0,SUMIF(куб!$G:$G,$G243,куб!K:K),IF($E243&lt;&gt;0,SUMIF(куб!$E:$E,$E243,куб!K:K),IF($D243&lt;&gt;0,SUMIF(куб!$D:$D,$D243,куб!K:K),IF($C243&lt;&gt;0,SUMIF(куб!$C:$C,$C243,куб!K:K),IF($B243&lt;&gt;0,SUMIF(куб!$B:$B,$B243,куб!K:K))))))</f>
        <v>0</v>
      </c>
      <c r="R243" s="13" t="str">
        <f t="shared" si="73"/>
        <v>-</v>
      </c>
      <c r="S243" s="5"/>
      <c r="T243" s="27" t="b">
        <f>IF($G243&lt;&gt;0,SUMIF(куб!$G:$G,$G243,куб!L:L),IF($E243&lt;&gt;0,SUMIF(куб!$E:$E,$E243,куб!L:L),IF($D243&lt;&gt;0,SUMIF(куб!$D:$D,$D243,куб!L:L),IF($C243&lt;&gt;0,SUMIF(куб!$C:$C,$C243,куб!L:L),IF($B243&lt;&gt;0,SUMIF(куб!$B:$B,$B243,куб!L:L))))))</f>
        <v>0</v>
      </c>
      <c r="U243" s="27" t="b">
        <f>IF($G243&lt;&gt;0,SUMIF(куб!$G:$G,$G243,куб!M:M),IF($E243&lt;&gt;0,SUMIF(куб!$E:$E,$E243,куб!M:M),IF($D243&lt;&gt;0,SUMIF(куб!$D:$D,$D243,куб!M:M),IF($C243&lt;&gt;0,SUMIF(куб!$C:$C,$C243,куб!M:M),IF($B243&lt;&gt;0,SUMIF(куб!$B:$B,$B243,куб!M:M))))))</f>
        <v>0</v>
      </c>
      <c r="V243" s="13" t="str">
        <f t="shared" si="74"/>
        <v>-</v>
      </c>
      <c r="W243" s="5"/>
      <c r="X243" s="27" t="b">
        <f>IF($G243&lt;&gt;0,SUMIF(куб!$G:$G,$G243,куб!N:N),IF($E243&lt;&gt;0,SUMIF(куб!$E:$E,$E243,куб!N:N),IF($D243&lt;&gt;0,SUMIF(куб!$D:$D,$D243,куб!N:N),IF($C243&lt;&gt;0,SUMIF(куб!$C:$C,$C243,куб!N:N),IF($B243&lt;&gt;0,SUMIF(куб!$B:$B,$B243,куб!N:N))))))</f>
        <v>0</v>
      </c>
      <c r="Y243" s="27" t="b">
        <f>IF($G243&lt;&gt;0,SUMIF(куб!$G:$G,$G243,куб!O:O),IF($E243&lt;&gt;0,SUMIF(куб!$E:$E,$E243,куб!O:O),IF($D243&lt;&gt;0,SUMIF(куб!$D:$D,$D243,куб!O:O),IF($C243&lt;&gt;0,SUMIF(куб!$C:$C,$C243,куб!O:O),IF($B243&lt;&gt;0,SUMIF(куб!$B:$B,$B243,куб!O:O))))))</f>
        <v>0</v>
      </c>
      <c r="Z243" s="13" t="str">
        <f t="shared" si="75"/>
        <v>-</v>
      </c>
      <c r="AA243" s="5"/>
      <c r="AB243" s="33" t="str">
        <f t="shared" si="76"/>
        <v/>
      </c>
      <c r="AC243" s="33" t="str">
        <f t="shared" si="77"/>
        <v/>
      </c>
      <c r="AD243" s="15" t="str">
        <f t="shared" si="78"/>
        <v xml:space="preserve"> </v>
      </c>
      <c r="AE243" s="5"/>
      <c r="AF243" s="27" t="b">
        <f>IF($G243&lt;&gt;0,SUMIF(куб!$G:$G,$G243,куб!R:R),IF($E243&lt;&gt;0,SUMIF(куб!$E:$E,$E243,куб!R:R),IF($D243&lt;&gt;0,SUMIF(куб!$D:$D,$D243,куб!R:R),IF($C243&lt;&gt;0,SUMIF(куб!$C:$C,$C243,куб!R:R),IF($B243&lt;&gt;0,SUMIF(куб!$B:$B,$B243,куб!R:R))))))</f>
        <v>0</v>
      </c>
      <c r="AG243" s="27" t="b">
        <f>IF($G243&lt;&gt;0,SUMIF(куб!$G:$G,$G243,куб!S:S),IF($E243&lt;&gt;0,SUMIF(куб!$E:$E,$E243,куб!S:S),IF($D243&lt;&gt;0,SUMIF(куб!$D:$D,$D243,куб!S:S),IF($C243&lt;&gt;0,SUMIF(куб!$C:$C,$C243,куб!S:S),IF($B243&lt;&gt;0,SUMIF(куб!$B:$B,$B243,куб!S:S))))))</f>
        <v>0</v>
      </c>
      <c r="AH243" s="16" t="str">
        <f t="shared" si="79"/>
        <v>-</v>
      </c>
      <c r="AI243" s="8"/>
      <c r="AJ243" s="27" t="b">
        <f>IF($G243&lt;&gt;0,SUMIF(куб!$G:$G,$G243,куб!T:T),IF($E243&lt;&gt;0,SUMIF(куб!$E:$E,$E243,куб!T:T),IF($D243&lt;&gt;0,SUMIF(куб!$D:$D,$D243,куб!T:T),IF($C243&lt;&gt;0,SUMIF(куб!$C:$C,$C243,куб!T:T),IF($B243&lt;&gt;0,SUMIF(куб!$B:$B,$B243,куб!T:T))))))</f>
        <v>0</v>
      </c>
      <c r="AK243" s="27" t="b">
        <f>IF($G243&lt;&gt;0,SUMIF(куб!$G:$G,$G243,куб!U:U),IF($E243&lt;&gt;0,SUMIF(куб!$E:$E,$E243,куб!U:U),IF($D243&lt;&gt;0,SUMIF(куб!$D:$D,$D243,куб!U:U),IF($C243&lt;&gt;0,SUMIF(куб!$C:$C,$C243,куб!U:U),IF($B243&lt;&gt;0,SUMIF(куб!$B:$B,$B243,куб!U:U))))))</f>
        <v>0</v>
      </c>
      <c r="AL243" s="16" t="str">
        <f t="shared" si="80"/>
        <v>-</v>
      </c>
      <c r="AM243" s="8"/>
      <c r="AN243" s="17" t="str">
        <f t="shared" si="81"/>
        <v xml:space="preserve"> </v>
      </c>
      <c r="AO243" s="17" t="str">
        <f t="shared" si="82"/>
        <v xml:space="preserve"> </v>
      </c>
      <c r="AP243" s="16" t="str">
        <f t="shared" si="83"/>
        <v>-</v>
      </c>
      <c r="AQ243" s="8"/>
      <c r="AR243" s="17" t="str">
        <f t="shared" si="84"/>
        <v>-</v>
      </c>
      <c r="AS243" s="17" t="str">
        <f t="shared" si="85"/>
        <v>-</v>
      </c>
      <c r="AT243" s="13" t="str">
        <f t="shared" si="86"/>
        <v>-</v>
      </c>
      <c r="AU243" s="8"/>
    </row>
    <row r="244" spans="1:47" ht="15" customHeight="1" x14ac:dyDescent="0.25">
      <c r="A244" s="31"/>
      <c r="B244" s="31"/>
      <c r="C244"/>
      <c r="D244" s="31"/>
      <c r="E244"/>
      <c r="F244" s="31"/>
      <c r="G244"/>
      <c r="H244" s="27">
        <f>IF($G244&lt;&gt;0,SUMIF(куб!$G:$G,$G244,куб!H:H),IF($E244&lt;&gt;0,SUMIF(куб!$E:$E,$E244,куб!H:H),IF($D244&lt;&gt;0,SUMIF(куб!$D:$D,$D244,куб!H:H),IF($C244&lt;&gt;0,SUMIF(куб!$C:$C,$C244,куб!H:H),IF($B244&lt;&gt;0,SUMIF(куб!$B:$B,$B244,куб!H:H),IF($G244&lt;&gt;0,SUMIF(куб!$A:$A,$G244,куб!H:H),SUMIF(куб!$A:$A,$G244,куб!H:H)))))))</f>
        <v>0</v>
      </c>
      <c r="I244" s="27">
        <f>IF($G244&lt;&gt;0,SUMIF(куб!$G:$G,$G244,куб!I:I),IF($E244&lt;&gt;0,SUMIF(куб!$E:$E,$E244,куб!I:I),IF($D244&lt;&gt;0,SUMIF(куб!$D:$D,$D244,куб!I:I),IF($C244&lt;&gt;0,SUMIF(куб!$C:$C,$C244,куб!I:I),IF($B244&lt;&gt;0,SUMIF(куб!$B:$B,$B244,куб!I:I),IF($G244&lt;&gt;0,SUMIF(куб!$A:$A,$G244,куб!I:I),SUMIF(куб!$A:$A,$G244,куб!I:I)))))))</f>
        <v>0</v>
      </c>
      <c r="J244" s="19" t="str">
        <f t="shared" si="87"/>
        <v>-</v>
      </c>
      <c r="K244" s="5"/>
      <c r="L244" s="17">
        <f t="shared" si="70"/>
        <v>0</v>
      </c>
      <c r="M244" s="17">
        <f t="shared" si="71"/>
        <v>0</v>
      </c>
      <c r="N244" s="12">
        <f t="shared" si="72"/>
        <v>0</v>
      </c>
      <c r="O244" s="5"/>
      <c r="P244" s="27" t="b">
        <f>IF($G244&lt;&gt;0,SUMIF(куб!$G:$G,$G244,куб!J:J),IF($E244&lt;&gt;0,SUMIF(куб!$E:$E,$E244,куб!J:J),IF($D244&lt;&gt;0,SUMIF(куб!$D:$D,$D244,куб!J:J),IF($C244&lt;&gt;0,SUMIF(куб!$C:$C,$C244,куб!J:J),IF($B244&lt;&gt;0,SUMIF(куб!$B:$B,$B244,куб!J:J))))))</f>
        <v>0</v>
      </c>
      <c r="Q244" s="27" t="b">
        <f>IF($G244&lt;&gt;0,SUMIF(куб!$G:$G,$G244,куб!K:K),IF($E244&lt;&gt;0,SUMIF(куб!$E:$E,$E244,куб!K:K),IF($D244&lt;&gt;0,SUMIF(куб!$D:$D,$D244,куб!K:K),IF($C244&lt;&gt;0,SUMIF(куб!$C:$C,$C244,куб!K:K),IF($B244&lt;&gt;0,SUMIF(куб!$B:$B,$B244,куб!K:K))))))</f>
        <v>0</v>
      </c>
      <c r="R244" s="13" t="str">
        <f t="shared" si="73"/>
        <v>-</v>
      </c>
      <c r="S244" s="5"/>
      <c r="T244" s="27" t="b">
        <f>IF($G244&lt;&gt;0,SUMIF(куб!$G:$G,$G244,куб!L:L),IF($E244&lt;&gt;0,SUMIF(куб!$E:$E,$E244,куб!L:L),IF($D244&lt;&gt;0,SUMIF(куб!$D:$D,$D244,куб!L:L),IF($C244&lt;&gt;0,SUMIF(куб!$C:$C,$C244,куб!L:L),IF($B244&lt;&gt;0,SUMIF(куб!$B:$B,$B244,куб!L:L))))))</f>
        <v>0</v>
      </c>
      <c r="U244" s="27" t="b">
        <f>IF($G244&lt;&gt;0,SUMIF(куб!$G:$G,$G244,куб!M:M),IF($E244&lt;&gt;0,SUMIF(куб!$E:$E,$E244,куб!M:M),IF($D244&lt;&gt;0,SUMIF(куб!$D:$D,$D244,куб!M:M),IF($C244&lt;&gt;0,SUMIF(куб!$C:$C,$C244,куб!M:M),IF($B244&lt;&gt;0,SUMIF(куб!$B:$B,$B244,куб!M:M))))))</f>
        <v>0</v>
      </c>
      <c r="V244" s="13" t="str">
        <f t="shared" si="74"/>
        <v>-</v>
      </c>
      <c r="W244" s="5"/>
      <c r="X244" s="27" t="b">
        <f>IF($G244&lt;&gt;0,SUMIF(куб!$G:$G,$G244,куб!N:N),IF($E244&lt;&gt;0,SUMIF(куб!$E:$E,$E244,куб!N:N),IF($D244&lt;&gt;0,SUMIF(куб!$D:$D,$D244,куб!N:N),IF($C244&lt;&gt;0,SUMIF(куб!$C:$C,$C244,куб!N:N),IF($B244&lt;&gt;0,SUMIF(куб!$B:$B,$B244,куб!N:N))))))</f>
        <v>0</v>
      </c>
      <c r="Y244" s="27" t="b">
        <f>IF($G244&lt;&gt;0,SUMIF(куб!$G:$G,$G244,куб!O:O),IF($E244&lt;&gt;0,SUMIF(куб!$E:$E,$E244,куб!O:O),IF($D244&lt;&gt;0,SUMIF(куб!$D:$D,$D244,куб!O:O),IF($C244&lt;&gt;0,SUMIF(куб!$C:$C,$C244,куб!O:O),IF($B244&lt;&gt;0,SUMIF(куб!$B:$B,$B244,куб!O:O))))))</f>
        <v>0</v>
      </c>
      <c r="Z244" s="13" t="str">
        <f t="shared" si="75"/>
        <v>-</v>
      </c>
      <c r="AA244" s="5"/>
      <c r="AB244" s="33" t="str">
        <f t="shared" si="76"/>
        <v/>
      </c>
      <c r="AC244" s="33" t="str">
        <f t="shared" si="77"/>
        <v/>
      </c>
      <c r="AD244" s="15" t="str">
        <f t="shared" si="78"/>
        <v xml:space="preserve"> </v>
      </c>
      <c r="AE244" s="5"/>
      <c r="AF244" s="27" t="b">
        <f>IF($G244&lt;&gt;0,SUMIF(куб!$G:$G,$G244,куб!R:R),IF($E244&lt;&gt;0,SUMIF(куб!$E:$E,$E244,куб!R:R),IF($D244&lt;&gt;0,SUMIF(куб!$D:$D,$D244,куб!R:R),IF($C244&lt;&gt;0,SUMIF(куб!$C:$C,$C244,куб!R:R),IF($B244&lt;&gt;0,SUMIF(куб!$B:$B,$B244,куб!R:R))))))</f>
        <v>0</v>
      </c>
      <c r="AG244" s="27" t="b">
        <f>IF($G244&lt;&gt;0,SUMIF(куб!$G:$G,$G244,куб!S:S),IF($E244&lt;&gt;0,SUMIF(куб!$E:$E,$E244,куб!S:S),IF($D244&lt;&gt;0,SUMIF(куб!$D:$D,$D244,куб!S:S),IF($C244&lt;&gt;0,SUMIF(куб!$C:$C,$C244,куб!S:S),IF($B244&lt;&gt;0,SUMIF(куб!$B:$B,$B244,куб!S:S))))))</f>
        <v>0</v>
      </c>
      <c r="AH244" s="16" t="str">
        <f t="shared" si="79"/>
        <v>-</v>
      </c>
      <c r="AI244" s="8"/>
      <c r="AJ244" s="27" t="b">
        <f>IF($G244&lt;&gt;0,SUMIF(куб!$G:$G,$G244,куб!T:T),IF($E244&lt;&gt;0,SUMIF(куб!$E:$E,$E244,куб!T:T),IF($D244&lt;&gt;0,SUMIF(куб!$D:$D,$D244,куб!T:T),IF($C244&lt;&gt;0,SUMIF(куб!$C:$C,$C244,куб!T:T),IF($B244&lt;&gt;0,SUMIF(куб!$B:$B,$B244,куб!T:T))))))</f>
        <v>0</v>
      </c>
      <c r="AK244" s="27" t="b">
        <f>IF($G244&lt;&gt;0,SUMIF(куб!$G:$G,$G244,куб!U:U),IF($E244&lt;&gt;0,SUMIF(куб!$E:$E,$E244,куб!U:U),IF($D244&lt;&gt;0,SUMIF(куб!$D:$D,$D244,куб!U:U),IF($C244&lt;&gt;0,SUMIF(куб!$C:$C,$C244,куб!U:U),IF($B244&lt;&gt;0,SUMIF(куб!$B:$B,$B244,куб!U:U))))))</f>
        <v>0</v>
      </c>
      <c r="AL244" s="16" t="str">
        <f t="shared" si="80"/>
        <v>-</v>
      </c>
      <c r="AM244" s="8"/>
      <c r="AN244" s="17" t="str">
        <f t="shared" si="81"/>
        <v xml:space="preserve"> </v>
      </c>
      <c r="AO244" s="17" t="str">
        <f t="shared" si="82"/>
        <v xml:space="preserve"> </v>
      </c>
      <c r="AP244" s="16" t="str">
        <f t="shared" si="83"/>
        <v>-</v>
      </c>
      <c r="AQ244" s="8"/>
      <c r="AR244" s="17" t="str">
        <f t="shared" si="84"/>
        <v>-</v>
      </c>
      <c r="AS244" s="17" t="str">
        <f t="shared" si="85"/>
        <v>-</v>
      </c>
      <c r="AT244" s="13" t="str">
        <f t="shared" si="86"/>
        <v>-</v>
      </c>
      <c r="AU244" s="8"/>
    </row>
    <row r="245" spans="1:47" ht="15" customHeight="1" x14ac:dyDescent="0.25">
      <c r="A245" s="31"/>
      <c r="B245" s="31"/>
      <c r="C245"/>
      <c r="D245" s="31"/>
      <c r="E245"/>
      <c r="F245" s="31"/>
      <c r="G245"/>
      <c r="H245" s="27">
        <f>IF($G245&lt;&gt;0,SUMIF(куб!$G:$G,$G245,куб!H:H),IF($E245&lt;&gt;0,SUMIF(куб!$E:$E,$E245,куб!H:H),IF($D245&lt;&gt;0,SUMIF(куб!$D:$D,$D245,куб!H:H),IF($C245&lt;&gt;0,SUMIF(куб!$C:$C,$C245,куб!H:H),IF($B245&lt;&gt;0,SUMIF(куб!$B:$B,$B245,куб!H:H),IF($G245&lt;&gt;0,SUMIF(куб!$A:$A,$G245,куб!H:H),SUMIF(куб!$A:$A,$G245,куб!H:H)))))))</f>
        <v>0</v>
      </c>
      <c r="I245" s="27">
        <f>IF($G245&lt;&gt;0,SUMIF(куб!$G:$G,$G245,куб!I:I),IF($E245&lt;&gt;0,SUMIF(куб!$E:$E,$E245,куб!I:I),IF($D245&lt;&gt;0,SUMIF(куб!$D:$D,$D245,куб!I:I),IF($C245&lt;&gt;0,SUMIF(куб!$C:$C,$C245,куб!I:I),IF($B245&lt;&gt;0,SUMIF(куб!$B:$B,$B245,куб!I:I),IF($G245&lt;&gt;0,SUMIF(куб!$A:$A,$G245,куб!I:I),SUMIF(куб!$A:$A,$G245,куб!I:I)))))))</f>
        <v>0</v>
      </c>
      <c r="J245" s="19" t="str">
        <f t="shared" si="87"/>
        <v>-</v>
      </c>
      <c r="K245" s="5"/>
      <c r="L245" s="17">
        <f t="shared" si="70"/>
        <v>0</v>
      </c>
      <c r="M245" s="17">
        <f t="shared" si="71"/>
        <v>0</v>
      </c>
      <c r="N245" s="12">
        <f t="shared" si="72"/>
        <v>0</v>
      </c>
      <c r="O245" s="5"/>
      <c r="P245" s="27" t="b">
        <f>IF($G245&lt;&gt;0,SUMIF(куб!$G:$G,$G245,куб!J:J),IF($E245&lt;&gt;0,SUMIF(куб!$E:$E,$E245,куб!J:J),IF($D245&lt;&gt;0,SUMIF(куб!$D:$D,$D245,куб!J:J),IF($C245&lt;&gt;0,SUMIF(куб!$C:$C,$C245,куб!J:J),IF($B245&lt;&gt;0,SUMIF(куб!$B:$B,$B245,куб!J:J))))))</f>
        <v>0</v>
      </c>
      <c r="Q245" s="27" t="b">
        <f>IF($G245&lt;&gt;0,SUMIF(куб!$G:$G,$G245,куб!K:K),IF($E245&lt;&gt;0,SUMIF(куб!$E:$E,$E245,куб!K:K),IF($D245&lt;&gt;0,SUMIF(куб!$D:$D,$D245,куб!K:K),IF($C245&lt;&gt;0,SUMIF(куб!$C:$C,$C245,куб!K:K),IF($B245&lt;&gt;0,SUMIF(куб!$B:$B,$B245,куб!K:K))))))</f>
        <v>0</v>
      </c>
      <c r="R245" s="13" t="str">
        <f t="shared" si="73"/>
        <v>-</v>
      </c>
      <c r="S245" s="5"/>
      <c r="T245" s="27" t="b">
        <f>IF($G245&lt;&gt;0,SUMIF(куб!$G:$G,$G245,куб!L:L),IF($E245&lt;&gt;0,SUMIF(куб!$E:$E,$E245,куб!L:L),IF($D245&lt;&gt;0,SUMIF(куб!$D:$D,$D245,куб!L:L),IF($C245&lt;&gt;0,SUMIF(куб!$C:$C,$C245,куб!L:L),IF($B245&lt;&gt;0,SUMIF(куб!$B:$B,$B245,куб!L:L))))))</f>
        <v>0</v>
      </c>
      <c r="U245" s="27" t="b">
        <f>IF($G245&lt;&gt;0,SUMIF(куб!$G:$G,$G245,куб!M:M),IF($E245&lt;&gt;0,SUMIF(куб!$E:$E,$E245,куб!M:M),IF($D245&lt;&gt;0,SUMIF(куб!$D:$D,$D245,куб!M:M),IF($C245&lt;&gt;0,SUMIF(куб!$C:$C,$C245,куб!M:M),IF($B245&lt;&gt;0,SUMIF(куб!$B:$B,$B245,куб!M:M))))))</f>
        <v>0</v>
      </c>
      <c r="V245" s="13" t="str">
        <f t="shared" si="74"/>
        <v>-</v>
      </c>
      <c r="W245" s="5"/>
      <c r="X245" s="27" t="b">
        <f>IF($G245&lt;&gt;0,SUMIF(куб!$G:$G,$G245,куб!N:N),IF($E245&lt;&gt;0,SUMIF(куб!$E:$E,$E245,куб!N:N),IF($D245&lt;&gt;0,SUMIF(куб!$D:$D,$D245,куб!N:N),IF($C245&lt;&gt;0,SUMIF(куб!$C:$C,$C245,куб!N:N),IF($B245&lt;&gt;0,SUMIF(куб!$B:$B,$B245,куб!N:N))))))</f>
        <v>0</v>
      </c>
      <c r="Y245" s="27" t="b">
        <f>IF($G245&lt;&gt;0,SUMIF(куб!$G:$G,$G245,куб!O:O),IF($E245&lt;&gt;0,SUMIF(куб!$E:$E,$E245,куб!O:O),IF($D245&lt;&gt;0,SUMIF(куб!$D:$D,$D245,куб!O:O),IF($C245&lt;&gt;0,SUMIF(куб!$C:$C,$C245,куб!O:O),IF($B245&lt;&gt;0,SUMIF(куб!$B:$B,$B245,куб!O:O))))))</f>
        <v>0</v>
      </c>
      <c r="Z245" s="13" t="str">
        <f t="shared" si="75"/>
        <v>-</v>
      </c>
      <c r="AA245" s="5"/>
      <c r="AB245" s="33" t="str">
        <f t="shared" si="76"/>
        <v/>
      </c>
      <c r="AC245" s="33" t="str">
        <f t="shared" si="77"/>
        <v/>
      </c>
      <c r="AD245" s="15" t="str">
        <f t="shared" si="78"/>
        <v xml:space="preserve"> </v>
      </c>
      <c r="AE245" s="5"/>
      <c r="AF245" s="27" t="b">
        <f>IF($G245&lt;&gt;0,SUMIF(куб!$G:$G,$G245,куб!R:R),IF($E245&lt;&gt;0,SUMIF(куб!$E:$E,$E245,куб!R:R),IF($D245&lt;&gt;0,SUMIF(куб!$D:$D,$D245,куб!R:R),IF($C245&lt;&gt;0,SUMIF(куб!$C:$C,$C245,куб!R:R),IF($B245&lt;&gt;0,SUMIF(куб!$B:$B,$B245,куб!R:R))))))</f>
        <v>0</v>
      </c>
      <c r="AG245" s="27" t="b">
        <f>IF($G245&lt;&gt;0,SUMIF(куб!$G:$G,$G245,куб!S:S),IF($E245&lt;&gt;0,SUMIF(куб!$E:$E,$E245,куб!S:S),IF($D245&lt;&gt;0,SUMIF(куб!$D:$D,$D245,куб!S:S),IF($C245&lt;&gt;0,SUMIF(куб!$C:$C,$C245,куб!S:S),IF($B245&lt;&gt;0,SUMIF(куб!$B:$B,$B245,куб!S:S))))))</f>
        <v>0</v>
      </c>
      <c r="AH245" s="16" t="str">
        <f t="shared" si="79"/>
        <v>-</v>
      </c>
      <c r="AI245" s="8"/>
      <c r="AJ245" s="27" t="b">
        <f>IF($G245&lt;&gt;0,SUMIF(куб!$G:$G,$G245,куб!T:T),IF($E245&lt;&gt;0,SUMIF(куб!$E:$E,$E245,куб!T:T),IF($D245&lt;&gt;0,SUMIF(куб!$D:$D,$D245,куб!T:T),IF($C245&lt;&gt;0,SUMIF(куб!$C:$C,$C245,куб!T:T),IF($B245&lt;&gt;0,SUMIF(куб!$B:$B,$B245,куб!T:T))))))</f>
        <v>0</v>
      </c>
      <c r="AK245" s="27" t="b">
        <f>IF($G245&lt;&gt;0,SUMIF(куб!$G:$G,$G245,куб!U:U),IF($E245&lt;&gt;0,SUMIF(куб!$E:$E,$E245,куб!U:U),IF($D245&lt;&gt;0,SUMIF(куб!$D:$D,$D245,куб!U:U),IF($C245&lt;&gt;0,SUMIF(куб!$C:$C,$C245,куб!U:U),IF($B245&lt;&gt;0,SUMIF(куб!$B:$B,$B245,куб!U:U))))))</f>
        <v>0</v>
      </c>
      <c r="AL245" s="16" t="str">
        <f t="shared" si="80"/>
        <v>-</v>
      </c>
      <c r="AM245" s="8"/>
      <c r="AN245" s="17" t="str">
        <f t="shared" si="81"/>
        <v xml:space="preserve"> </v>
      </c>
      <c r="AO245" s="17" t="str">
        <f t="shared" si="82"/>
        <v xml:space="preserve"> </v>
      </c>
      <c r="AP245" s="16" t="str">
        <f t="shared" si="83"/>
        <v>-</v>
      </c>
      <c r="AQ245" s="8"/>
      <c r="AR245" s="17" t="str">
        <f t="shared" si="84"/>
        <v>-</v>
      </c>
      <c r="AS245" s="17" t="str">
        <f t="shared" si="85"/>
        <v>-</v>
      </c>
      <c r="AT245" s="13" t="str">
        <f t="shared" si="86"/>
        <v>-</v>
      </c>
      <c r="AU245" s="8"/>
    </row>
    <row r="246" spans="1:47" x14ac:dyDescent="0.25">
      <c r="A246" s="31"/>
      <c r="B246" s="31"/>
      <c r="C246"/>
      <c r="D246" s="31"/>
      <c r="E246"/>
      <c r="F246" s="31"/>
      <c r="G246"/>
      <c r="H246" s="27">
        <f>IF($G246&lt;&gt;0,SUMIF(куб!$G:$G,$G246,куб!H:H),IF($E246&lt;&gt;0,SUMIF(куб!$E:$E,$E246,куб!H:H),IF($D246&lt;&gt;0,SUMIF(куб!$D:$D,$D246,куб!H:H),IF($C246&lt;&gt;0,SUMIF(куб!$C:$C,$C246,куб!H:H),IF($B246&lt;&gt;0,SUMIF(куб!$B:$B,$B246,куб!H:H),IF($G246&lt;&gt;0,SUMIF(куб!$A:$A,$G246,куб!H:H),SUMIF(куб!$A:$A,$G246,куб!H:H)))))))</f>
        <v>0</v>
      </c>
      <c r="I246" s="27">
        <f>IF($G246&lt;&gt;0,SUMIF(куб!$G:$G,$G246,куб!I:I),IF($E246&lt;&gt;0,SUMIF(куб!$E:$E,$E246,куб!I:I),IF($D246&lt;&gt;0,SUMIF(куб!$D:$D,$D246,куб!I:I),IF($C246&lt;&gt;0,SUMIF(куб!$C:$C,$C246,куб!I:I),IF($B246&lt;&gt;0,SUMIF(куб!$B:$B,$B246,куб!I:I),IF($G246&lt;&gt;0,SUMIF(куб!$A:$A,$G246,куб!I:I),SUMIF(куб!$A:$A,$G246,куб!I:I)))))))</f>
        <v>0</v>
      </c>
      <c r="J246" s="19" t="str">
        <f t="shared" si="87"/>
        <v>-</v>
      </c>
      <c r="K246" s="8"/>
      <c r="L246" s="17">
        <f t="shared" si="70"/>
        <v>0</v>
      </c>
      <c r="M246" s="17">
        <f t="shared" si="71"/>
        <v>0</v>
      </c>
      <c r="N246" s="12">
        <f t="shared" si="72"/>
        <v>0</v>
      </c>
      <c r="O246" s="5"/>
      <c r="P246" s="27" t="b">
        <f>IF($G246&lt;&gt;0,SUMIF(куб!$G:$G,$G246,куб!J:J),IF($E246&lt;&gt;0,SUMIF(куб!$E:$E,$E246,куб!J:J),IF($D246&lt;&gt;0,SUMIF(куб!$D:$D,$D246,куб!J:J),IF($C246&lt;&gt;0,SUMIF(куб!$C:$C,$C246,куб!J:J),IF($B246&lt;&gt;0,SUMIF(куб!$B:$B,$B246,куб!J:J))))))</f>
        <v>0</v>
      </c>
      <c r="Q246" s="27" t="b">
        <f>IF($G246&lt;&gt;0,SUMIF(куб!$G:$G,$G246,куб!K:K),IF($E246&lt;&gt;0,SUMIF(куб!$E:$E,$E246,куб!K:K),IF($D246&lt;&gt;0,SUMIF(куб!$D:$D,$D246,куб!K:K),IF($C246&lt;&gt;0,SUMIF(куб!$C:$C,$C246,куб!K:K),IF($B246&lt;&gt;0,SUMIF(куб!$B:$B,$B246,куб!K:K))))))</f>
        <v>0</v>
      </c>
      <c r="R246" s="13" t="str">
        <f t="shared" si="73"/>
        <v>-</v>
      </c>
      <c r="S246" s="5"/>
      <c r="T246" s="27" t="b">
        <f>IF($G246&lt;&gt;0,SUMIF(куб!$G:$G,$G246,куб!L:L),IF($E246&lt;&gt;0,SUMIF(куб!$E:$E,$E246,куб!L:L),IF($D246&lt;&gt;0,SUMIF(куб!$D:$D,$D246,куб!L:L),IF($C246&lt;&gt;0,SUMIF(куб!$C:$C,$C246,куб!L:L),IF($B246&lt;&gt;0,SUMIF(куб!$B:$B,$B246,куб!L:L))))))</f>
        <v>0</v>
      </c>
      <c r="U246" s="27" t="b">
        <f>IF($G246&lt;&gt;0,SUMIF(куб!$G:$G,$G246,куб!M:M),IF($E246&lt;&gt;0,SUMIF(куб!$E:$E,$E246,куб!M:M),IF($D246&lt;&gt;0,SUMIF(куб!$D:$D,$D246,куб!M:M),IF($C246&lt;&gt;0,SUMIF(куб!$C:$C,$C246,куб!M:M),IF($B246&lt;&gt;0,SUMIF(куб!$B:$B,$B246,куб!M:M))))))</f>
        <v>0</v>
      </c>
      <c r="V246" s="13" t="str">
        <f t="shared" si="74"/>
        <v>-</v>
      </c>
      <c r="W246" s="5"/>
      <c r="X246" s="27" t="b">
        <f>IF($G246&lt;&gt;0,SUMIF(куб!$G:$G,$G246,куб!N:N),IF($E246&lt;&gt;0,SUMIF(куб!$E:$E,$E246,куб!N:N),IF($D246&lt;&gt;0,SUMIF(куб!$D:$D,$D246,куб!N:N),IF($C246&lt;&gt;0,SUMIF(куб!$C:$C,$C246,куб!N:N),IF($B246&lt;&gt;0,SUMIF(куб!$B:$B,$B246,куб!N:N))))))</f>
        <v>0</v>
      </c>
      <c r="Y246" s="27" t="b">
        <f>IF($G246&lt;&gt;0,SUMIF(куб!$G:$G,$G246,куб!O:O),IF($E246&lt;&gt;0,SUMIF(куб!$E:$E,$E246,куб!O:O),IF($D246&lt;&gt;0,SUMIF(куб!$D:$D,$D246,куб!O:O),IF($C246&lt;&gt;0,SUMIF(куб!$C:$C,$C246,куб!O:O),IF($B246&lt;&gt;0,SUMIF(куб!$B:$B,$B246,куб!O:O))))))</f>
        <v>0</v>
      </c>
      <c r="Z246" s="13" t="str">
        <f t="shared" si="75"/>
        <v>-</v>
      </c>
      <c r="AA246" s="5"/>
      <c r="AB246" s="33" t="str">
        <f t="shared" si="76"/>
        <v/>
      </c>
      <c r="AC246" s="33" t="str">
        <f t="shared" si="77"/>
        <v/>
      </c>
      <c r="AD246" s="15" t="str">
        <f t="shared" si="78"/>
        <v xml:space="preserve"> </v>
      </c>
      <c r="AE246" s="5"/>
      <c r="AF246" s="27" t="b">
        <f>IF($G246&lt;&gt;0,SUMIF(куб!$G:$G,$G246,куб!R:R),IF($E246&lt;&gt;0,SUMIF(куб!$E:$E,$E246,куб!R:R),IF($D246&lt;&gt;0,SUMIF(куб!$D:$D,$D246,куб!R:R),IF($C246&lt;&gt;0,SUMIF(куб!$C:$C,$C246,куб!R:R),IF($B246&lt;&gt;0,SUMIF(куб!$B:$B,$B246,куб!R:R))))))</f>
        <v>0</v>
      </c>
      <c r="AG246" s="27" t="b">
        <f>IF($G246&lt;&gt;0,SUMIF(куб!$G:$G,$G246,куб!S:S),IF($E246&lt;&gt;0,SUMIF(куб!$E:$E,$E246,куб!S:S),IF($D246&lt;&gt;0,SUMIF(куб!$D:$D,$D246,куб!S:S),IF($C246&lt;&gt;0,SUMIF(куб!$C:$C,$C246,куб!S:S),IF($B246&lt;&gt;0,SUMIF(куб!$B:$B,$B246,куб!S:S))))))</f>
        <v>0</v>
      </c>
      <c r="AH246" s="16" t="str">
        <f t="shared" si="79"/>
        <v>-</v>
      </c>
      <c r="AI246" s="8"/>
      <c r="AJ246" s="27" t="b">
        <f>IF($G246&lt;&gt;0,SUMIF(куб!$G:$G,$G246,куб!T:T),IF($E246&lt;&gt;0,SUMIF(куб!$E:$E,$E246,куб!T:T),IF($D246&lt;&gt;0,SUMIF(куб!$D:$D,$D246,куб!T:T),IF($C246&lt;&gt;0,SUMIF(куб!$C:$C,$C246,куб!T:T),IF($B246&lt;&gt;0,SUMIF(куб!$B:$B,$B246,куб!T:T))))))</f>
        <v>0</v>
      </c>
      <c r="AK246" s="27" t="b">
        <f>IF($G246&lt;&gt;0,SUMIF(куб!$G:$G,$G246,куб!U:U),IF($E246&lt;&gt;0,SUMIF(куб!$E:$E,$E246,куб!U:U),IF($D246&lt;&gt;0,SUMIF(куб!$D:$D,$D246,куб!U:U),IF($C246&lt;&gt;0,SUMIF(куб!$C:$C,$C246,куб!U:U),IF($B246&lt;&gt;0,SUMIF(куб!$B:$B,$B246,куб!U:U))))))</f>
        <v>0</v>
      </c>
      <c r="AL246" s="16" t="str">
        <f t="shared" si="80"/>
        <v>-</v>
      </c>
      <c r="AM246" s="8"/>
      <c r="AN246" s="17" t="str">
        <f t="shared" si="81"/>
        <v xml:space="preserve"> </v>
      </c>
      <c r="AO246" s="17" t="str">
        <f t="shared" si="82"/>
        <v xml:space="preserve"> </v>
      </c>
      <c r="AP246" s="16" t="str">
        <f t="shared" si="83"/>
        <v>-</v>
      </c>
      <c r="AQ246" s="8"/>
      <c r="AR246" s="17" t="str">
        <f t="shared" si="84"/>
        <v>-</v>
      </c>
      <c r="AS246" s="17" t="str">
        <f t="shared" si="85"/>
        <v>-</v>
      </c>
      <c r="AT246" s="13" t="str">
        <f t="shared" si="86"/>
        <v>-</v>
      </c>
      <c r="AU246" s="8"/>
    </row>
    <row r="247" spans="1:47" ht="15" customHeight="1" x14ac:dyDescent="0.25">
      <c r="A247" s="31"/>
      <c r="B247" s="31"/>
      <c r="C247"/>
      <c r="D247" s="31"/>
      <c r="E247"/>
      <c r="F247" s="31"/>
      <c r="G247"/>
      <c r="H247" s="27">
        <f>IF($G247&lt;&gt;0,SUMIF(куб!$G:$G,$G247,куб!H:H),IF($E247&lt;&gt;0,SUMIF(куб!$E:$E,$E247,куб!H:H),IF($D247&lt;&gt;0,SUMIF(куб!$D:$D,$D247,куб!H:H),IF($C247&lt;&gt;0,SUMIF(куб!$C:$C,$C247,куб!H:H),IF($B247&lt;&gt;0,SUMIF(куб!$B:$B,$B247,куб!H:H),IF($G247&lt;&gt;0,SUMIF(куб!$A:$A,$G247,куб!H:H),SUMIF(куб!$A:$A,$G247,куб!H:H)))))))</f>
        <v>0</v>
      </c>
      <c r="I247" s="27">
        <f>IF($G247&lt;&gt;0,SUMIF(куб!$G:$G,$G247,куб!I:I),IF($E247&lt;&gt;0,SUMIF(куб!$E:$E,$E247,куб!I:I),IF($D247&lt;&gt;0,SUMIF(куб!$D:$D,$D247,куб!I:I),IF($C247&lt;&gt;0,SUMIF(куб!$C:$C,$C247,куб!I:I),IF($B247&lt;&gt;0,SUMIF(куб!$B:$B,$B247,куб!I:I),IF($G247&lt;&gt;0,SUMIF(куб!$A:$A,$G247,куб!I:I),SUMIF(куб!$A:$A,$G247,куб!I:I)))))))</f>
        <v>0</v>
      </c>
      <c r="J247" s="19" t="str">
        <f t="shared" si="87"/>
        <v>-</v>
      </c>
      <c r="K247" s="10"/>
      <c r="L247" s="17">
        <f t="shared" si="70"/>
        <v>0</v>
      </c>
      <c r="M247" s="17">
        <f t="shared" si="71"/>
        <v>0</v>
      </c>
      <c r="N247" s="12">
        <f t="shared" si="72"/>
        <v>0</v>
      </c>
      <c r="O247" s="5"/>
      <c r="P247" s="27" t="b">
        <f>IF($G247&lt;&gt;0,SUMIF(куб!$G:$G,$G247,куб!J:J),IF($E247&lt;&gt;0,SUMIF(куб!$E:$E,$E247,куб!J:J),IF($D247&lt;&gt;0,SUMIF(куб!$D:$D,$D247,куб!J:J),IF($C247&lt;&gt;0,SUMIF(куб!$C:$C,$C247,куб!J:J),IF($B247&lt;&gt;0,SUMIF(куб!$B:$B,$B247,куб!J:J))))))</f>
        <v>0</v>
      </c>
      <c r="Q247" s="27" t="b">
        <f>IF($G247&lt;&gt;0,SUMIF(куб!$G:$G,$G247,куб!K:K),IF($E247&lt;&gt;0,SUMIF(куб!$E:$E,$E247,куб!K:K),IF($D247&lt;&gt;0,SUMIF(куб!$D:$D,$D247,куб!K:K),IF($C247&lt;&gt;0,SUMIF(куб!$C:$C,$C247,куб!K:K),IF($B247&lt;&gt;0,SUMIF(куб!$B:$B,$B247,куб!K:K))))))</f>
        <v>0</v>
      </c>
      <c r="R247" s="13" t="str">
        <f t="shared" si="73"/>
        <v>-</v>
      </c>
      <c r="S247" s="5"/>
      <c r="T247" s="27" t="b">
        <f>IF($G247&lt;&gt;0,SUMIF(куб!$G:$G,$G247,куб!L:L),IF($E247&lt;&gt;0,SUMIF(куб!$E:$E,$E247,куб!L:L),IF($D247&lt;&gt;0,SUMIF(куб!$D:$D,$D247,куб!L:L),IF($C247&lt;&gt;0,SUMIF(куб!$C:$C,$C247,куб!L:L),IF($B247&lt;&gt;0,SUMIF(куб!$B:$B,$B247,куб!L:L))))))</f>
        <v>0</v>
      </c>
      <c r="U247" s="27" t="b">
        <f>IF($G247&lt;&gt;0,SUMIF(куб!$G:$G,$G247,куб!M:M),IF($E247&lt;&gt;0,SUMIF(куб!$E:$E,$E247,куб!M:M),IF($D247&lt;&gt;0,SUMIF(куб!$D:$D,$D247,куб!M:M),IF($C247&lt;&gt;0,SUMIF(куб!$C:$C,$C247,куб!M:M),IF($B247&lt;&gt;0,SUMIF(куб!$B:$B,$B247,куб!M:M))))))</f>
        <v>0</v>
      </c>
      <c r="V247" s="13" t="str">
        <f t="shared" si="74"/>
        <v>-</v>
      </c>
      <c r="W247" s="5"/>
      <c r="X247" s="27" t="b">
        <f>IF($G247&lt;&gt;0,SUMIF(куб!$G:$G,$G247,куб!N:N),IF($E247&lt;&gt;0,SUMIF(куб!$E:$E,$E247,куб!N:N),IF($D247&lt;&gt;0,SUMIF(куб!$D:$D,$D247,куб!N:N),IF($C247&lt;&gt;0,SUMIF(куб!$C:$C,$C247,куб!N:N),IF($B247&lt;&gt;0,SUMIF(куб!$B:$B,$B247,куб!N:N))))))</f>
        <v>0</v>
      </c>
      <c r="Y247" s="27" t="b">
        <f>IF($G247&lt;&gt;0,SUMIF(куб!$G:$G,$G247,куб!O:O),IF($E247&lt;&gt;0,SUMIF(куб!$E:$E,$E247,куб!O:O),IF($D247&lt;&gt;0,SUMIF(куб!$D:$D,$D247,куб!O:O),IF($C247&lt;&gt;0,SUMIF(куб!$C:$C,$C247,куб!O:O),IF($B247&lt;&gt;0,SUMIF(куб!$B:$B,$B247,куб!O:O))))))</f>
        <v>0</v>
      </c>
      <c r="Z247" s="13" t="str">
        <f t="shared" si="75"/>
        <v>-</v>
      </c>
      <c r="AA247" s="5"/>
      <c r="AB247" s="33" t="str">
        <f t="shared" si="76"/>
        <v/>
      </c>
      <c r="AC247" s="33" t="str">
        <f t="shared" si="77"/>
        <v/>
      </c>
      <c r="AD247" s="15" t="str">
        <f t="shared" si="78"/>
        <v xml:space="preserve"> </v>
      </c>
      <c r="AE247" s="5"/>
      <c r="AF247" s="27" t="b">
        <f>IF($G247&lt;&gt;0,SUMIF(куб!$G:$G,$G247,куб!R:R),IF($E247&lt;&gt;0,SUMIF(куб!$E:$E,$E247,куб!R:R),IF($D247&lt;&gt;0,SUMIF(куб!$D:$D,$D247,куб!R:R),IF($C247&lt;&gt;0,SUMIF(куб!$C:$C,$C247,куб!R:R),IF($B247&lt;&gt;0,SUMIF(куб!$B:$B,$B247,куб!R:R))))))</f>
        <v>0</v>
      </c>
      <c r="AG247" s="27" t="b">
        <f>IF($G247&lt;&gt;0,SUMIF(куб!$G:$G,$G247,куб!S:S),IF($E247&lt;&gt;0,SUMIF(куб!$E:$E,$E247,куб!S:S),IF($D247&lt;&gt;0,SUMIF(куб!$D:$D,$D247,куб!S:S),IF($C247&lt;&gt;0,SUMIF(куб!$C:$C,$C247,куб!S:S),IF($B247&lt;&gt;0,SUMIF(куб!$B:$B,$B247,куб!S:S))))))</f>
        <v>0</v>
      </c>
      <c r="AH247" s="16" t="str">
        <f t="shared" si="79"/>
        <v>-</v>
      </c>
      <c r="AI247" s="8"/>
      <c r="AJ247" s="27" t="b">
        <f>IF($G247&lt;&gt;0,SUMIF(куб!$G:$G,$G247,куб!T:T),IF($E247&lt;&gt;0,SUMIF(куб!$E:$E,$E247,куб!T:T),IF($D247&lt;&gt;0,SUMIF(куб!$D:$D,$D247,куб!T:T),IF($C247&lt;&gt;0,SUMIF(куб!$C:$C,$C247,куб!T:T),IF($B247&lt;&gt;0,SUMIF(куб!$B:$B,$B247,куб!T:T))))))</f>
        <v>0</v>
      </c>
      <c r="AK247" s="27" t="b">
        <f>IF($G247&lt;&gt;0,SUMIF(куб!$G:$G,$G247,куб!U:U),IF($E247&lt;&gt;0,SUMIF(куб!$E:$E,$E247,куб!U:U),IF($D247&lt;&gt;0,SUMIF(куб!$D:$D,$D247,куб!U:U),IF($C247&lt;&gt;0,SUMIF(куб!$C:$C,$C247,куб!U:U),IF($B247&lt;&gt;0,SUMIF(куб!$B:$B,$B247,куб!U:U))))))</f>
        <v>0</v>
      </c>
      <c r="AL247" s="16" t="str">
        <f t="shared" si="80"/>
        <v>-</v>
      </c>
      <c r="AM247" s="8"/>
      <c r="AN247" s="17" t="str">
        <f t="shared" si="81"/>
        <v xml:space="preserve"> </v>
      </c>
      <c r="AO247" s="17" t="str">
        <f t="shared" si="82"/>
        <v xml:space="preserve"> </v>
      </c>
      <c r="AP247" s="16" t="str">
        <f t="shared" si="83"/>
        <v>-</v>
      </c>
      <c r="AQ247" s="8"/>
      <c r="AR247" s="17" t="str">
        <f t="shared" si="84"/>
        <v>-</v>
      </c>
      <c r="AS247" s="17" t="str">
        <f t="shared" si="85"/>
        <v>-</v>
      </c>
      <c r="AT247" s="13" t="str">
        <f t="shared" si="86"/>
        <v>-</v>
      </c>
      <c r="AU247" s="8"/>
    </row>
    <row r="248" spans="1:47" ht="15" customHeight="1" x14ac:dyDescent="0.25">
      <c r="A248" s="31"/>
      <c r="B248" s="31"/>
      <c r="C248"/>
      <c r="D248" s="31"/>
      <c r="E248"/>
      <c r="F248" s="31"/>
      <c r="G248"/>
      <c r="H248" s="27">
        <f>IF($G248&lt;&gt;0,SUMIF(куб!$G:$G,$G248,куб!H:H),IF($E248&lt;&gt;0,SUMIF(куб!$E:$E,$E248,куб!H:H),IF($D248&lt;&gt;0,SUMIF(куб!$D:$D,$D248,куб!H:H),IF($C248&lt;&gt;0,SUMIF(куб!$C:$C,$C248,куб!H:H),IF($B248&lt;&gt;0,SUMIF(куб!$B:$B,$B248,куб!H:H),IF($G248&lt;&gt;0,SUMIF(куб!$A:$A,$G248,куб!H:H),SUMIF(куб!$A:$A,$G248,куб!H:H)))))))</f>
        <v>0</v>
      </c>
      <c r="I248" s="27">
        <f>IF($G248&lt;&gt;0,SUMIF(куб!$G:$G,$G248,куб!I:I),IF($E248&lt;&gt;0,SUMIF(куб!$E:$E,$E248,куб!I:I),IF($D248&lt;&gt;0,SUMIF(куб!$D:$D,$D248,куб!I:I),IF($C248&lt;&gt;0,SUMIF(куб!$C:$C,$C248,куб!I:I),IF($B248&lt;&gt;0,SUMIF(куб!$B:$B,$B248,куб!I:I),IF($G248&lt;&gt;0,SUMIF(куб!$A:$A,$G248,куб!I:I),SUMIF(куб!$A:$A,$G248,куб!I:I)))))))</f>
        <v>0</v>
      </c>
      <c r="J248" s="19" t="str">
        <f t="shared" si="87"/>
        <v>-</v>
      </c>
      <c r="K248" s="5"/>
      <c r="L248" s="17">
        <f t="shared" si="70"/>
        <v>0</v>
      </c>
      <c r="M248" s="17">
        <f t="shared" si="71"/>
        <v>0</v>
      </c>
      <c r="N248" s="12">
        <f t="shared" si="72"/>
        <v>0</v>
      </c>
      <c r="O248" s="5"/>
      <c r="P248" s="27" t="b">
        <f>IF($G248&lt;&gt;0,SUMIF(куб!$G:$G,$G248,куб!J:J),IF($E248&lt;&gt;0,SUMIF(куб!$E:$E,$E248,куб!J:J),IF($D248&lt;&gt;0,SUMIF(куб!$D:$D,$D248,куб!J:J),IF($C248&lt;&gt;0,SUMIF(куб!$C:$C,$C248,куб!J:J),IF($B248&lt;&gt;0,SUMIF(куб!$B:$B,$B248,куб!J:J))))))</f>
        <v>0</v>
      </c>
      <c r="Q248" s="27" t="b">
        <f>IF($G248&lt;&gt;0,SUMIF(куб!$G:$G,$G248,куб!K:K),IF($E248&lt;&gt;0,SUMIF(куб!$E:$E,$E248,куб!K:K),IF($D248&lt;&gt;0,SUMIF(куб!$D:$D,$D248,куб!K:K),IF($C248&lt;&gt;0,SUMIF(куб!$C:$C,$C248,куб!K:K),IF($B248&lt;&gt;0,SUMIF(куб!$B:$B,$B248,куб!K:K))))))</f>
        <v>0</v>
      </c>
      <c r="R248" s="13" t="str">
        <f t="shared" si="73"/>
        <v>-</v>
      </c>
      <c r="S248" s="5"/>
      <c r="T248" s="27" t="b">
        <f>IF($G248&lt;&gt;0,SUMIF(куб!$G:$G,$G248,куб!L:L),IF($E248&lt;&gt;0,SUMIF(куб!$E:$E,$E248,куб!L:L),IF($D248&lt;&gt;0,SUMIF(куб!$D:$D,$D248,куб!L:L),IF($C248&lt;&gt;0,SUMIF(куб!$C:$C,$C248,куб!L:L),IF($B248&lt;&gt;0,SUMIF(куб!$B:$B,$B248,куб!L:L))))))</f>
        <v>0</v>
      </c>
      <c r="U248" s="27" t="b">
        <f>IF($G248&lt;&gt;0,SUMIF(куб!$G:$G,$G248,куб!M:M),IF($E248&lt;&gt;0,SUMIF(куб!$E:$E,$E248,куб!M:M),IF($D248&lt;&gt;0,SUMIF(куб!$D:$D,$D248,куб!M:M),IF($C248&lt;&gt;0,SUMIF(куб!$C:$C,$C248,куб!M:M),IF($B248&lt;&gt;0,SUMIF(куб!$B:$B,$B248,куб!M:M))))))</f>
        <v>0</v>
      </c>
      <c r="V248" s="13" t="str">
        <f t="shared" si="74"/>
        <v>-</v>
      </c>
      <c r="W248" s="5"/>
      <c r="X248" s="27" t="b">
        <f>IF($G248&lt;&gt;0,SUMIF(куб!$G:$G,$G248,куб!N:N),IF($E248&lt;&gt;0,SUMIF(куб!$E:$E,$E248,куб!N:N),IF($D248&lt;&gt;0,SUMIF(куб!$D:$D,$D248,куб!N:N),IF($C248&lt;&gt;0,SUMIF(куб!$C:$C,$C248,куб!N:N),IF($B248&lt;&gt;0,SUMIF(куб!$B:$B,$B248,куб!N:N))))))</f>
        <v>0</v>
      </c>
      <c r="Y248" s="27" t="b">
        <f>IF($G248&lt;&gt;0,SUMIF(куб!$G:$G,$G248,куб!O:O),IF($E248&lt;&gt;0,SUMIF(куб!$E:$E,$E248,куб!O:O),IF($D248&lt;&gt;0,SUMIF(куб!$D:$D,$D248,куб!O:O),IF($C248&lt;&gt;0,SUMIF(куб!$C:$C,$C248,куб!O:O),IF($B248&lt;&gt;0,SUMIF(куб!$B:$B,$B248,куб!O:O))))))</f>
        <v>0</v>
      </c>
      <c r="Z248" s="13" t="str">
        <f t="shared" si="75"/>
        <v>-</v>
      </c>
      <c r="AA248" s="5"/>
      <c r="AB248" s="33" t="str">
        <f t="shared" si="76"/>
        <v/>
      </c>
      <c r="AC248" s="33" t="str">
        <f t="shared" si="77"/>
        <v/>
      </c>
      <c r="AD248" s="15" t="str">
        <f t="shared" si="78"/>
        <v xml:space="preserve"> </v>
      </c>
      <c r="AE248" s="5"/>
      <c r="AF248" s="27" t="b">
        <f>IF($G248&lt;&gt;0,SUMIF(куб!$G:$G,$G248,куб!R:R),IF($E248&lt;&gt;0,SUMIF(куб!$E:$E,$E248,куб!R:R),IF($D248&lt;&gt;0,SUMIF(куб!$D:$D,$D248,куб!R:R),IF($C248&lt;&gt;0,SUMIF(куб!$C:$C,$C248,куб!R:R),IF($B248&lt;&gt;0,SUMIF(куб!$B:$B,$B248,куб!R:R))))))</f>
        <v>0</v>
      </c>
      <c r="AG248" s="27" t="b">
        <f>IF($G248&lt;&gt;0,SUMIF(куб!$G:$G,$G248,куб!S:S),IF($E248&lt;&gt;0,SUMIF(куб!$E:$E,$E248,куб!S:S),IF($D248&lt;&gt;0,SUMIF(куб!$D:$D,$D248,куб!S:S),IF($C248&lt;&gt;0,SUMIF(куб!$C:$C,$C248,куб!S:S),IF($B248&lt;&gt;0,SUMIF(куб!$B:$B,$B248,куб!S:S))))))</f>
        <v>0</v>
      </c>
      <c r="AH248" s="16" t="str">
        <f t="shared" si="79"/>
        <v>-</v>
      </c>
      <c r="AI248" s="8"/>
      <c r="AJ248" s="27" t="b">
        <f>IF($G248&lt;&gt;0,SUMIF(куб!$G:$G,$G248,куб!T:T),IF($E248&lt;&gt;0,SUMIF(куб!$E:$E,$E248,куб!T:T),IF($D248&lt;&gt;0,SUMIF(куб!$D:$D,$D248,куб!T:T),IF($C248&lt;&gt;0,SUMIF(куб!$C:$C,$C248,куб!T:T),IF($B248&lt;&gt;0,SUMIF(куб!$B:$B,$B248,куб!T:T))))))</f>
        <v>0</v>
      </c>
      <c r="AK248" s="27" t="b">
        <f>IF($G248&lt;&gt;0,SUMIF(куб!$G:$G,$G248,куб!U:U),IF($E248&lt;&gt;0,SUMIF(куб!$E:$E,$E248,куб!U:U),IF($D248&lt;&gt;0,SUMIF(куб!$D:$D,$D248,куб!U:U),IF($C248&lt;&gt;0,SUMIF(куб!$C:$C,$C248,куб!U:U),IF($B248&lt;&gt;0,SUMIF(куб!$B:$B,$B248,куб!U:U))))))</f>
        <v>0</v>
      </c>
      <c r="AL248" s="16" t="str">
        <f t="shared" si="80"/>
        <v>-</v>
      </c>
      <c r="AM248" s="8"/>
      <c r="AN248" s="17" t="str">
        <f t="shared" si="81"/>
        <v xml:space="preserve"> </v>
      </c>
      <c r="AO248" s="17" t="str">
        <f t="shared" si="82"/>
        <v xml:space="preserve"> </v>
      </c>
      <c r="AP248" s="16" t="str">
        <f t="shared" si="83"/>
        <v>-</v>
      </c>
      <c r="AQ248" s="8"/>
      <c r="AR248" s="17" t="str">
        <f t="shared" si="84"/>
        <v>-</v>
      </c>
      <c r="AS248" s="17" t="str">
        <f t="shared" si="85"/>
        <v>-</v>
      </c>
      <c r="AT248" s="13" t="str">
        <f t="shared" si="86"/>
        <v>-</v>
      </c>
      <c r="AU248" s="8"/>
    </row>
    <row r="249" spans="1:47" ht="15" customHeight="1" x14ac:dyDescent="0.25">
      <c r="A249" s="31"/>
      <c r="B249" s="31"/>
      <c r="C249"/>
      <c r="D249" s="31"/>
      <c r="E249"/>
      <c r="F249" s="31"/>
      <c r="G249"/>
      <c r="H249" s="27">
        <f>IF($G249&lt;&gt;0,SUMIF(куб!$G:$G,$G249,куб!H:H),IF($E249&lt;&gt;0,SUMIF(куб!$E:$E,$E249,куб!H:H),IF($D249&lt;&gt;0,SUMIF(куб!$D:$D,$D249,куб!H:H),IF($C249&lt;&gt;0,SUMIF(куб!$C:$C,$C249,куб!H:H),IF($B249&lt;&gt;0,SUMIF(куб!$B:$B,$B249,куб!H:H),IF($G249&lt;&gt;0,SUMIF(куб!$A:$A,$G249,куб!H:H),SUMIF(куб!$A:$A,$G249,куб!H:H)))))))</f>
        <v>0</v>
      </c>
      <c r="I249" s="27">
        <f>IF($G249&lt;&gt;0,SUMIF(куб!$G:$G,$G249,куб!I:I),IF($E249&lt;&gt;0,SUMIF(куб!$E:$E,$E249,куб!I:I),IF($D249&lt;&gt;0,SUMIF(куб!$D:$D,$D249,куб!I:I),IF($C249&lt;&gt;0,SUMIF(куб!$C:$C,$C249,куб!I:I),IF($B249&lt;&gt;0,SUMIF(куб!$B:$B,$B249,куб!I:I),IF($G249&lt;&gt;0,SUMIF(куб!$A:$A,$G249,куб!I:I),SUMIF(куб!$A:$A,$G249,куб!I:I)))))))</f>
        <v>0</v>
      </c>
      <c r="J249" s="19" t="str">
        <f t="shared" si="87"/>
        <v>-</v>
      </c>
      <c r="K249" s="5"/>
      <c r="L249" s="17">
        <f t="shared" si="70"/>
        <v>0</v>
      </c>
      <c r="M249" s="17">
        <f t="shared" si="71"/>
        <v>0</v>
      </c>
      <c r="N249" s="12">
        <f t="shared" si="72"/>
        <v>0</v>
      </c>
      <c r="O249" s="5"/>
      <c r="P249" s="27" t="b">
        <f>IF($G249&lt;&gt;0,SUMIF(куб!$G:$G,$G249,куб!J:J),IF($E249&lt;&gt;0,SUMIF(куб!$E:$E,$E249,куб!J:J),IF($D249&lt;&gt;0,SUMIF(куб!$D:$D,$D249,куб!J:J),IF($C249&lt;&gt;0,SUMIF(куб!$C:$C,$C249,куб!J:J),IF($B249&lt;&gt;0,SUMIF(куб!$B:$B,$B249,куб!J:J))))))</f>
        <v>0</v>
      </c>
      <c r="Q249" s="27" t="b">
        <f>IF($G249&lt;&gt;0,SUMIF(куб!$G:$G,$G249,куб!K:K),IF($E249&lt;&gt;0,SUMIF(куб!$E:$E,$E249,куб!K:K),IF($D249&lt;&gt;0,SUMIF(куб!$D:$D,$D249,куб!K:K),IF($C249&lt;&gt;0,SUMIF(куб!$C:$C,$C249,куб!K:K),IF($B249&lt;&gt;0,SUMIF(куб!$B:$B,$B249,куб!K:K))))))</f>
        <v>0</v>
      </c>
      <c r="R249" s="13" t="str">
        <f t="shared" si="73"/>
        <v>-</v>
      </c>
      <c r="S249" s="5"/>
      <c r="T249" s="27" t="b">
        <f>IF($G249&lt;&gt;0,SUMIF(куб!$G:$G,$G249,куб!L:L),IF($E249&lt;&gt;0,SUMIF(куб!$E:$E,$E249,куб!L:L),IF($D249&lt;&gt;0,SUMIF(куб!$D:$D,$D249,куб!L:L),IF($C249&lt;&gt;0,SUMIF(куб!$C:$C,$C249,куб!L:L),IF($B249&lt;&gt;0,SUMIF(куб!$B:$B,$B249,куб!L:L))))))</f>
        <v>0</v>
      </c>
      <c r="U249" s="27" t="b">
        <f>IF($G249&lt;&gt;0,SUMIF(куб!$G:$G,$G249,куб!M:M),IF($E249&lt;&gt;0,SUMIF(куб!$E:$E,$E249,куб!M:M),IF($D249&lt;&gt;0,SUMIF(куб!$D:$D,$D249,куб!M:M),IF($C249&lt;&gt;0,SUMIF(куб!$C:$C,$C249,куб!M:M),IF($B249&lt;&gt;0,SUMIF(куб!$B:$B,$B249,куб!M:M))))))</f>
        <v>0</v>
      </c>
      <c r="V249" s="13" t="str">
        <f t="shared" si="74"/>
        <v>-</v>
      </c>
      <c r="W249" s="5"/>
      <c r="X249" s="27" t="b">
        <f>IF($G249&lt;&gt;0,SUMIF(куб!$G:$G,$G249,куб!N:N),IF($E249&lt;&gt;0,SUMIF(куб!$E:$E,$E249,куб!N:N),IF($D249&lt;&gt;0,SUMIF(куб!$D:$D,$D249,куб!N:N),IF($C249&lt;&gt;0,SUMIF(куб!$C:$C,$C249,куб!N:N),IF($B249&lt;&gt;0,SUMIF(куб!$B:$B,$B249,куб!N:N))))))</f>
        <v>0</v>
      </c>
      <c r="Y249" s="27" t="b">
        <f>IF($G249&lt;&gt;0,SUMIF(куб!$G:$G,$G249,куб!O:O),IF($E249&lt;&gt;0,SUMIF(куб!$E:$E,$E249,куб!O:O),IF($D249&lt;&gt;0,SUMIF(куб!$D:$D,$D249,куб!O:O),IF($C249&lt;&gt;0,SUMIF(куб!$C:$C,$C249,куб!O:O),IF($B249&lt;&gt;0,SUMIF(куб!$B:$B,$B249,куб!O:O))))))</f>
        <v>0</v>
      </c>
      <c r="Z249" s="13" t="str">
        <f t="shared" si="75"/>
        <v>-</v>
      </c>
      <c r="AA249" s="5"/>
      <c r="AB249" s="33" t="str">
        <f t="shared" si="76"/>
        <v/>
      </c>
      <c r="AC249" s="33" t="str">
        <f t="shared" si="77"/>
        <v/>
      </c>
      <c r="AD249" s="15" t="str">
        <f t="shared" si="78"/>
        <v xml:space="preserve"> </v>
      </c>
      <c r="AE249" s="5"/>
      <c r="AF249" s="27" t="b">
        <f>IF($G249&lt;&gt;0,SUMIF(куб!$G:$G,$G249,куб!R:R),IF($E249&lt;&gt;0,SUMIF(куб!$E:$E,$E249,куб!R:R),IF($D249&lt;&gt;0,SUMIF(куб!$D:$D,$D249,куб!R:R),IF($C249&lt;&gt;0,SUMIF(куб!$C:$C,$C249,куб!R:R),IF($B249&lt;&gt;0,SUMIF(куб!$B:$B,$B249,куб!R:R))))))</f>
        <v>0</v>
      </c>
      <c r="AG249" s="27" t="b">
        <f>IF($G249&lt;&gt;0,SUMIF(куб!$G:$G,$G249,куб!S:S),IF($E249&lt;&gt;0,SUMIF(куб!$E:$E,$E249,куб!S:S),IF($D249&lt;&gt;0,SUMIF(куб!$D:$D,$D249,куб!S:S),IF($C249&lt;&gt;0,SUMIF(куб!$C:$C,$C249,куб!S:S),IF($B249&lt;&gt;0,SUMIF(куб!$B:$B,$B249,куб!S:S))))))</f>
        <v>0</v>
      </c>
      <c r="AH249" s="16" t="str">
        <f t="shared" si="79"/>
        <v>-</v>
      </c>
      <c r="AI249" s="8"/>
      <c r="AJ249" s="27" t="b">
        <f>IF($G249&lt;&gt;0,SUMIF(куб!$G:$G,$G249,куб!T:T),IF($E249&lt;&gt;0,SUMIF(куб!$E:$E,$E249,куб!T:T),IF($D249&lt;&gt;0,SUMIF(куб!$D:$D,$D249,куб!T:T),IF($C249&lt;&gt;0,SUMIF(куб!$C:$C,$C249,куб!T:T),IF($B249&lt;&gt;0,SUMIF(куб!$B:$B,$B249,куб!T:T))))))</f>
        <v>0</v>
      </c>
      <c r="AK249" s="27" t="b">
        <f>IF($G249&lt;&gt;0,SUMIF(куб!$G:$G,$G249,куб!U:U),IF($E249&lt;&gt;0,SUMIF(куб!$E:$E,$E249,куб!U:U),IF($D249&lt;&gt;0,SUMIF(куб!$D:$D,$D249,куб!U:U),IF($C249&lt;&gt;0,SUMIF(куб!$C:$C,$C249,куб!U:U),IF($B249&lt;&gt;0,SUMIF(куб!$B:$B,$B249,куб!U:U))))))</f>
        <v>0</v>
      </c>
      <c r="AL249" s="16" t="str">
        <f t="shared" si="80"/>
        <v>-</v>
      </c>
      <c r="AM249" s="8"/>
      <c r="AN249" s="17" t="str">
        <f t="shared" si="81"/>
        <v xml:space="preserve"> </v>
      </c>
      <c r="AO249" s="17" t="str">
        <f t="shared" si="82"/>
        <v xml:space="preserve"> </v>
      </c>
      <c r="AP249" s="16" t="str">
        <f t="shared" si="83"/>
        <v>-</v>
      </c>
      <c r="AQ249" s="8"/>
      <c r="AR249" s="17" t="str">
        <f t="shared" si="84"/>
        <v>-</v>
      </c>
      <c r="AS249" s="17" t="str">
        <f t="shared" si="85"/>
        <v>-</v>
      </c>
      <c r="AT249" s="13" t="str">
        <f t="shared" si="86"/>
        <v>-</v>
      </c>
      <c r="AU249" s="8"/>
    </row>
    <row r="250" spans="1:47" ht="15" customHeight="1" x14ac:dyDescent="0.25">
      <c r="A250" s="31"/>
      <c r="B250" s="31"/>
      <c r="C250"/>
      <c r="D250" s="31"/>
      <c r="E250"/>
      <c r="F250" s="31"/>
      <c r="G250"/>
      <c r="H250" s="27">
        <f>IF($G250&lt;&gt;0,SUMIF(куб!$G:$G,$G250,куб!H:H),IF($E250&lt;&gt;0,SUMIF(куб!$E:$E,$E250,куб!H:H),IF($D250&lt;&gt;0,SUMIF(куб!$D:$D,$D250,куб!H:H),IF($C250&lt;&gt;0,SUMIF(куб!$C:$C,$C250,куб!H:H),IF($B250&lt;&gt;0,SUMIF(куб!$B:$B,$B250,куб!H:H),IF($G250&lt;&gt;0,SUMIF(куб!$A:$A,$G250,куб!H:H),SUMIF(куб!$A:$A,$G250,куб!H:H)))))))</f>
        <v>0</v>
      </c>
      <c r="I250" s="27">
        <f>IF($G250&lt;&gt;0,SUMIF(куб!$G:$G,$G250,куб!I:I),IF($E250&lt;&gt;0,SUMIF(куб!$E:$E,$E250,куб!I:I),IF($D250&lt;&gt;0,SUMIF(куб!$D:$D,$D250,куб!I:I),IF($C250&lt;&gt;0,SUMIF(куб!$C:$C,$C250,куб!I:I),IF($B250&lt;&gt;0,SUMIF(куб!$B:$B,$B250,куб!I:I),IF($G250&lt;&gt;0,SUMIF(куб!$A:$A,$G250,куб!I:I),SUMIF(куб!$A:$A,$G250,куб!I:I)))))))</f>
        <v>0</v>
      </c>
      <c r="J250" s="19" t="str">
        <f t="shared" si="87"/>
        <v>-</v>
      </c>
      <c r="K250" s="8"/>
      <c r="L250" s="17">
        <f t="shared" si="70"/>
        <v>0</v>
      </c>
      <c r="M250" s="17">
        <f t="shared" si="71"/>
        <v>0</v>
      </c>
      <c r="N250" s="12">
        <f t="shared" si="72"/>
        <v>0</v>
      </c>
      <c r="O250" s="5"/>
      <c r="P250" s="27" t="b">
        <f>IF($G250&lt;&gt;0,SUMIF(куб!$G:$G,$G250,куб!J:J),IF($E250&lt;&gt;0,SUMIF(куб!$E:$E,$E250,куб!J:J),IF($D250&lt;&gt;0,SUMIF(куб!$D:$D,$D250,куб!J:J),IF($C250&lt;&gt;0,SUMIF(куб!$C:$C,$C250,куб!J:J),IF($B250&lt;&gt;0,SUMIF(куб!$B:$B,$B250,куб!J:J))))))</f>
        <v>0</v>
      </c>
      <c r="Q250" s="27" t="b">
        <f>IF($G250&lt;&gt;0,SUMIF(куб!$G:$G,$G250,куб!K:K),IF($E250&lt;&gt;0,SUMIF(куб!$E:$E,$E250,куб!K:K),IF($D250&lt;&gt;0,SUMIF(куб!$D:$D,$D250,куб!K:K),IF($C250&lt;&gt;0,SUMIF(куб!$C:$C,$C250,куб!K:K),IF($B250&lt;&gt;0,SUMIF(куб!$B:$B,$B250,куб!K:K))))))</f>
        <v>0</v>
      </c>
      <c r="R250" s="13" t="str">
        <f t="shared" si="73"/>
        <v>-</v>
      </c>
      <c r="S250" s="5"/>
      <c r="T250" s="27" t="b">
        <f>IF($G250&lt;&gt;0,SUMIF(куб!$G:$G,$G250,куб!L:L),IF($E250&lt;&gt;0,SUMIF(куб!$E:$E,$E250,куб!L:L),IF($D250&lt;&gt;0,SUMIF(куб!$D:$D,$D250,куб!L:L),IF($C250&lt;&gt;0,SUMIF(куб!$C:$C,$C250,куб!L:L),IF($B250&lt;&gt;0,SUMIF(куб!$B:$B,$B250,куб!L:L))))))</f>
        <v>0</v>
      </c>
      <c r="U250" s="27" t="b">
        <f>IF($G250&lt;&gt;0,SUMIF(куб!$G:$G,$G250,куб!M:M),IF($E250&lt;&gt;0,SUMIF(куб!$E:$E,$E250,куб!M:M),IF($D250&lt;&gt;0,SUMIF(куб!$D:$D,$D250,куб!M:M),IF($C250&lt;&gt;0,SUMIF(куб!$C:$C,$C250,куб!M:M),IF($B250&lt;&gt;0,SUMIF(куб!$B:$B,$B250,куб!M:M))))))</f>
        <v>0</v>
      </c>
      <c r="V250" s="13" t="str">
        <f t="shared" si="74"/>
        <v>-</v>
      </c>
      <c r="W250" s="5"/>
      <c r="X250" s="27" t="b">
        <f>IF($G250&lt;&gt;0,SUMIF(куб!$G:$G,$G250,куб!N:N),IF($E250&lt;&gt;0,SUMIF(куб!$E:$E,$E250,куб!N:N),IF($D250&lt;&gt;0,SUMIF(куб!$D:$D,$D250,куб!N:N),IF($C250&lt;&gt;0,SUMIF(куб!$C:$C,$C250,куб!N:N),IF($B250&lt;&gt;0,SUMIF(куб!$B:$B,$B250,куб!N:N))))))</f>
        <v>0</v>
      </c>
      <c r="Y250" s="27" t="b">
        <f>IF($G250&lt;&gt;0,SUMIF(куб!$G:$G,$G250,куб!O:O),IF($E250&lt;&gt;0,SUMIF(куб!$E:$E,$E250,куб!O:O),IF($D250&lt;&gt;0,SUMIF(куб!$D:$D,$D250,куб!O:O),IF($C250&lt;&gt;0,SUMIF(куб!$C:$C,$C250,куб!O:O),IF($B250&lt;&gt;0,SUMIF(куб!$B:$B,$B250,куб!O:O))))))</f>
        <v>0</v>
      </c>
      <c r="Z250" s="13" t="str">
        <f t="shared" si="75"/>
        <v>-</v>
      </c>
      <c r="AA250" s="5"/>
      <c r="AB250" s="33" t="str">
        <f t="shared" si="76"/>
        <v/>
      </c>
      <c r="AC250" s="33" t="str">
        <f t="shared" si="77"/>
        <v/>
      </c>
      <c r="AD250" s="15" t="str">
        <f t="shared" si="78"/>
        <v xml:space="preserve"> </v>
      </c>
      <c r="AE250" s="5"/>
      <c r="AF250" s="27" t="b">
        <f>IF($G250&lt;&gt;0,SUMIF(куб!$G:$G,$G250,куб!R:R),IF($E250&lt;&gt;0,SUMIF(куб!$E:$E,$E250,куб!R:R),IF($D250&lt;&gt;0,SUMIF(куб!$D:$D,$D250,куб!R:R),IF($C250&lt;&gt;0,SUMIF(куб!$C:$C,$C250,куб!R:R),IF($B250&lt;&gt;0,SUMIF(куб!$B:$B,$B250,куб!R:R))))))</f>
        <v>0</v>
      </c>
      <c r="AG250" s="27" t="b">
        <f>IF($G250&lt;&gt;0,SUMIF(куб!$G:$G,$G250,куб!S:S),IF($E250&lt;&gt;0,SUMIF(куб!$E:$E,$E250,куб!S:S),IF($D250&lt;&gt;0,SUMIF(куб!$D:$D,$D250,куб!S:S),IF($C250&lt;&gt;0,SUMIF(куб!$C:$C,$C250,куб!S:S),IF($B250&lt;&gt;0,SUMIF(куб!$B:$B,$B250,куб!S:S))))))</f>
        <v>0</v>
      </c>
      <c r="AH250" s="16" t="str">
        <f t="shared" si="79"/>
        <v>-</v>
      </c>
      <c r="AI250" s="8"/>
      <c r="AJ250" s="27" t="b">
        <f>IF($G250&lt;&gt;0,SUMIF(куб!$G:$G,$G250,куб!T:T),IF($E250&lt;&gt;0,SUMIF(куб!$E:$E,$E250,куб!T:T),IF($D250&lt;&gt;0,SUMIF(куб!$D:$D,$D250,куб!T:T),IF($C250&lt;&gt;0,SUMIF(куб!$C:$C,$C250,куб!T:T),IF($B250&lt;&gt;0,SUMIF(куб!$B:$B,$B250,куб!T:T))))))</f>
        <v>0</v>
      </c>
      <c r="AK250" s="27" t="b">
        <f>IF($G250&lt;&gt;0,SUMIF(куб!$G:$G,$G250,куб!U:U),IF($E250&lt;&gt;0,SUMIF(куб!$E:$E,$E250,куб!U:U),IF($D250&lt;&gt;0,SUMIF(куб!$D:$D,$D250,куб!U:U),IF($C250&lt;&gt;0,SUMIF(куб!$C:$C,$C250,куб!U:U),IF($B250&lt;&gt;0,SUMIF(куб!$B:$B,$B250,куб!U:U))))))</f>
        <v>0</v>
      </c>
      <c r="AL250" s="16" t="str">
        <f t="shared" si="80"/>
        <v>-</v>
      </c>
      <c r="AM250" s="8"/>
      <c r="AN250" s="17" t="str">
        <f t="shared" si="81"/>
        <v xml:space="preserve"> </v>
      </c>
      <c r="AO250" s="17" t="str">
        <f t="shared" si="82"/>
        <v xml:space="preserve"> </v>
      </c>
      <c r="AP250" s="16" t="str">
        <f t="shared" si="83"/>
        <v>-</v>
      </c>
      <c r="AQ250" s="8"/>
      <c r="AR250" s="17" t="str">
        <f t="shared" si="84"/>
        <v>-</v>
      </c>
      <c r="AS250" s="17" t="str">
        <f t="shared" si="85"/>
        <v>-</v>
      </c>
      <c r="AT250" s="13" t="str">
        <f t="shared" si="86"/>
        <v>-</v>
      </c>
      <c r="AU250" s="8"/>
    </row>
    <row r="251" spans="1:47" ht="15" customHeight="1" x14ac:dyDescent="0.25">
      <c r="A251" s="31"/>
      <c r="B251" s="31"/>
      <c r="C251"/>
      <c r="D251" s="31"/>
      <c r="E251"/>
      <c r="F251" s="31"/>
      <c r="G251"/>
      <c r="H251" s="27">
        <f>IF($G251&lt;&gt;0,SUMIF(куб!$G:$G,$G251,куб!H:H),IF($E251&lt;&gt;0,SUMIF(куб!$E:$E,$E251,куб!H:H),IF($D251&lt;&gt;0,SUMIF(куб!$D:$D,$D251,куб!H:H),IF($C251&lt;&gt;0,SUMIF(куб!$C:$C,$C251,куб!H:H),IF($B251&lt;&gt;0,SUMIF(куб!$B:$B,$B251,куб!H:H),IF($G251&lt;&gt;0,SUMIF(куб!$A:$A,$G251,куб!H:H),SUMIF(куб!$A:$A,$G251,куб!H:H)))))))</f>
        <v>0</v>
      </c>
      <c r="I251" s="27">
        <f>IF($G251&lt;&gt;0,SUMIF(куб!$G:$G,$G251,куб!I:I),IF($E251&lt;&gt;0,SUMIF(куб!$E:$E,$E251,куб!I:I),IF($D251&lt;&gt;0,SUMIF(куб!$D:$D,$D251,куб!I:I),IF($C251&lt;&gt;0,SUMIF(куб!$C:$C,$C251,куб!I:I),IF($B251&lt;&gt;0,SUMIF(куб!$B:$B,$B251,куб!I:I),IF($G251&lt;&gt;0,SUMIF(куб!$A:$A,$G251,куб!I:I),SUMIF(куб!$A:$A,$G251,куб!I:I)))))))</f>
        <v>0</v>
      </c>
      <c r="J251" s="19" t="str">
        <f t="shared" si="87"/>
        <v>-</v>
      </c>
      <c r="K251" s="10"/>
      <c r="L251" s="17">
        <f t="shared" si="70"/>
        <v>0</v>
      </c>
      <c r="M251" s="17">
        <f t="shared" si="71"/>
        <v>0</v>
      </c>
      <c r="N251" s="12">
        <f t="shared" si="72"/>
        <v>0</v>
      </c>
      <c r="O251" s="5"/>
      <c r="P251" s="27" t="b">
        <f>IF($G251&lt;&gt;0,SUMIF(куб!$G:$G,$G251,куб!J:J),IF($E251&lt;&gt;0,SUMIF(куб!$E:$E,$E251,куб!J:J),IF($D251&lt;&gt;0,SUMIF(куб!$D:$D,$D251,куб!J:J),IF($C251&lt;&gt;0,SUMIF(куб!$C:$C,$C251,куб!J:J),IF($B251&lt;&gt;0,SUMIF(куб!$B:$B,$B251,куб!J:J))))))</f>
        <v>0</v>
      </c>
      <c r="Q251" s="27" t="b">
        <f>IF($G251&lt;&gt;0,SUMIF(куб!$G:$G,$G251,куб!K:K),IF($E251&lt;&gt;0,SUMIF(куб!$E:$E,$E251,куб!K:K),IF($D251&lt;&gt;0,SUMIF(куб!$D:$D,$D251,куб!K:K),IF($C251&lt;&gt;0,SUMIF(куб!$C:$C,$C251,куб!K:K),IF($B251&lt;&gt;0,SUMIF(куб!$B:$B,$B251,куб!K:K))))))</f>
        <v>0</v>
      </c>
      <c r="R251" s="13" t="str">
        <f t="shared" si="73"/>
        <v>-</v>
      </c>
      <c r="S251" s="5"/>
      <c r="T251" s="27" t="b">
        <f>IF($G251&lt;&gt;0,SUMIF(куб!$G:$G,$G251,куб!L:L),IF($E251&lt;&gt;0,SUMIF(куб!$E:$E,$E251,куб!L:L),IF($D251&lt;&gt;0,SUMIF(куб!$D:$D,$D251,куб!L:L),IF($C251&lt;&gt;0,SUMIF(куб!$C:$C,$C251,куб!L:L),IF($B251&lt;&gt;0,SUMIF(куб!$B:$B,$B251,куб!L:L))))))</f>
        <v>0</v>
      </c>
      <c r="U251" s="27" t="b">
        <f>IF($G251&lt;&gt;0,SUMIF(куб!$G:$G,$G251,куб!M:M),IF($E251&lt;&gt;0,SUMIF(куб!$E:$E,$E251,куб!M:M),IF($D251&lt;&gt;0,SUMIF(куб!$D:$D,$D251,куб!M:M),IF($C251&lt;&gt;0,SUMIF(куб!$C:$C,$C251,куб!M:M),IF($B251&lt;&gt;0,SUMIF(куб!$B:$B,$B251,куб!M:M))))))</f>
        <v>0</v>
      </c>
      <c r="V251" s="13" t="str">
        <f t="shared" si="74"/>
        <v>-</v>
      </c>
      <c r="W251" s="5"/>
      <c r="X251" s="27" t="b">
        <f>IF($G251&lt;&gt;0,SUMIF(куб!$G:$G,$G251,куб!N:N),IF($E251&lt;&gt;0,SUMIF(куб!$E:$E,$E251,куб!N:N),IF($D251&lt;&gt;0,SUMIF(куб!$D:$D,$D251,куб!N:N),IF($C251&lt;&gt;0,SUMIF(куб!$C:$C,$C251,куб!N:N),IF($B251&lt;&gt;0,SUMIF(куб!$B:$B,$B251,куб!N:N))))))</f>
        <v>0</v>
      </c>
      <c r="Y251" s="27" t="b">
        <f>IF($G251&lt;&gt;0,SUMIF(куб!$G:$G,$G251,куб!O:O),IF($E251&lt;&gt;0,SUMIF(куб!$E:$E,$E251,куб!O:O),IF($D251&lt;&gt;0,SUMIF(куб!$D:$D,$D251,куб!O:O),IF($C251&lt;&gt;0,SUMIF(куб!$C:$C,$C251,куб!O:O),IF($B251&lt;&gt;0,SUMIF(куб!$B:$B,$B251,куб!O:O))))))</f>
        <v>0</v>
      </c>
      <c r="Z251" s="13" t="str">
        <f t="shared" si="75"/>
        <v>-</v>
      </c>
      <c r="AA251" s="5"/>
      <c r="AB251" s="33" t="str">
        <f t="shared" si="76"/>
        <v/>
      </c>
      <c r="AC251" s="33" t="str">
        <f t="shared" si="77"/>
        <v/>
      </c>
      <c r="AD251" s="15" t="str">
        <f t="shared" si="78"/>
        <v xml:space="preserve"> </v>
      </c>
      <c r="AE251" s="5"/>
      <c r="AF251" s="27" t="b">
        <f>IF($G251&lt;&gt;0,SUMIF(куб!$G:$G,$G251,куб!R:R),IF($E251&lt;&gt;0,SUMIF(куб!$E:$E,$E251,куб!R:R),IF($D251&lt;&gt;0,SUMIF(куб!$D:$D,$D251,куб!R:R),IF($C251&lt;&gt;0,SUMIF(куб!$C:$C,$C251,куб!R:R),IF($B251&lt;&gt;0,SUMIF(куб!$B:$B,$B251,куб!R:R))))))</f>
        <v>0</v>
      </c>
      <c r="AG251" s="27" t="b">
        <f>IF($G251&lt;&gt;0,SUMIF(куб!$G:$G,$G251,куб!S:S),IF($E251&lt;&gt;0,SUMIF(куб!$E:$E,$E251,куб!S:S),IF($D251&lt;&gt;0,SUMIF(куб!$D:$D,$D251,куб!S:S),IF($C251&lt;&gt;0,SUMIF(куб!$C:$C,$C251,куб!S:S),IF($B251&lt;&gt;0,SUMIF(куб!$B:$B,$B251,куб!S:S))))))</f>
        <v>0</v>
      </c>
      <c r="AH251" s="16" t="str">
        <f t="shared" si="79"/>
        <v>-</v>
      </c>
      <c r="AI251" s="8"/>
      <c r="AJ251" s="27" t="b">
        <f>IF($G251&lt;&gt;0,SUMIF(куб!$G:$G,$G251,куб!T:T),IF($E251&lt;&gt;0,SUMIF(куб!$E:$E,$E251,куб!T:T),IF($D251&lt;&gt;0,SUMIF(куб!$D:$D,$D251,куб!T:T),IF($C251&lt;&gt;0,SUMIF(куб!$C:$C,$C251,куб!T:T),IF($B251&lt;&gt;0,SUMIF(куб!$B:$B,$B251,куб!T:T))))))</f>
        <v>0</v>
      </c>
      <c r="AK251" s="27" t="b">
        <f>IF($G251&lt;&gt;0,SUMIF(куб!$G:$G,$G251,куб!U:U),IF($E251&lt;&gt;0,SUMIF(куб!$E:$E,$E251,куб!U:U),IF($D251&lt;&gt;0,SUMIF(куб!$D:$D,$D251,куб!U:U),IF($C251&lt;&gt;0,SUMIF(куб!$C:$C,$C251,куб!U:U),IF($B251&lt;&gt;0,SUMIF(куб!$B:$B,$B251,куб!U:U))))))</f>
        <v>0</v>
      </c>
      <c r="AL251" s="16" t="str">
        <f t="shared" si="80"/>
        <v>-</v>
      </c>
      <c r="AM251" s="8"/>
      <c r="AN251" s="17" t="str">
        <f t="shared" si="81"/>
        <v xml:space="preserve"> </v>
      </c>
      <c r="AO251" s="17" t="str">
        <f t="shared" si="82"/>
        <v xml:space="preserve"> </v>
      </c>
      <c r="AP251" s="16" t="str">
        <f t="shared" si="83"/>
        <v>-</v>
      </c>
      <c r="AQ251" s="8"/>
      <c r="AR251" s="17" t="str">
        <f t="shared" si="84"/>
        <v>-</v>
      </c>
      <c r="AS251" s="17" t="str">
        <f t="shared" si="85"/>
        <v>-</v>
      </c>
      <c r="AT251" s="13" t="str">
        <f t="shared" si="86"/>
        <v>-</v>
      </c>
      <c r="AU251" s="8"/>
    </row>
    <row r="252" spans="1:47" ht="15" customHeight="1" x14ac:dyDescent="0.25">
      <c r="A252" s="31"/>
      <c r="B252" s="31"/>
      <c r="C252"/>
      <c r="D252" s="31"/>
      <c r="E252"/>
      <c r="F252"/>
      <c r="G252"/>
      <c r="H252" s="27">
        <f>IF($G252&lt;&gt;0,SUMIF(куб!$G:$G,$G252,куб!H:H),IF($E252&lt;&gt;0,SUMIF(куб!$E:$E,$E252,куб!H:H),IF($D252&lt;&gt;0,SUMIF(куб!$D:$D,$D252,куб!H:H),IF($C252&lt;&gt;0,SUMIF(куб!$C:$C,$C252,куб!H:H),IF($B252&lt;&gt;0,SUMIF(куб!$B:$B,$B252,куб!H:H),IF($G252&lt;&gt;0,SUMIF(куб!$A:$A,$G252,куб!H:H),SUMIF(куб!$A:$A,$G252,куб!H:H)))))))</f>
        <v>0</v>
      </c>
      <c r="I252" s="27">
        <f>IF($G252&lt;&gt;0,SUMIF(куб!$G:$G,$G252,куб!I:I),IF($E252&lt;&gt;0,SUMIF(куб!$E:$E,$E252,куб!I:I),IF($D252&lt;&gt;0,SUMIF(куб!$D:$D,$D252,куб!I:I),IF($C252&lt;&gt;0,SUMIF(куб!$C:$C,$C252,куб!I:I),IF($B252&lt;&gt;0,SUMIF(куб!$B:$B,$B252,куб!I:I),IF($G252&lt;&gt;0,SUMIF(куб!$A:$A,$G252,куб!I:I),SUMIF(куб!$A:$A,$G252,куб!I:I)))))))</f>
        <v>0</v>
      </c>
      <c r="J252" s="19" t="str">
        <f t="shared" si="87"/>
        <v>-</v>
      </c>
      <c r="K252" s="5"/>
      <c r="L252" s="17">
        <f t="shared" si="70"/>
        <v>0</v>
      </c>
      <c r="M252" s="17">
        <f t="shared" si="71"/>
        <v>0</v>
      </c>
      <c r="N252" s="12">
        <f t="shared" si="72"/>
        <v>0</v>
      </c>
      <c r="O252" s="5"/>
      <c r="P252" s="27" t="b">
        <f>IF($G252&lt;&gt;0,SUMIF(куб!$G:$G,$G252,куб!J:J),IF($E252&lt;&gt;0,SUMIF(куб!$E:$E,$E252,куб!J:J),IF($D252&lt;&gt;0,SUMIF(куб!$D:$D,$D252,куб!J:J),IF($C252&lt;&gt;0,SUMIF(куб!$C:$C,$C252,куб!J:J),IF($B252&lt;&gt;0,SUMIF(куб!$B:$B,$B252,куб!J:J))))))</f>
        <v>0</v>
      </c>
      <c r="Q252" s="27" t="b">
        <f>IF($G252&lt;&gt;0,SUMIF(куб!$G:$G,$G252,куб!K:K),IF($E252&lt;&gt;0,SUMIF(куб!$E:$E,$E252,куб!K:K),IF($D252&lt;&gt;0,SUMIF(куб!$D:$D,$D252,куб!K:K),IF($C252&lt;&gt;0,SUMIF(куб!$C:$C,$C252,куб!K:K),IF($B252&lt;&gt;0,SUMIF(куб!$B:$B,$B252,куб!K:K))))))</f>
        <v>0</v>
      </c>
      <c r="R252" s="13" t="str">
        <f t="shared" si="73"/>
        <v>-</v>
      </c>
      <c r="S252" s="5"/>
      <c r="T252" s="27" t="b">
        <f>IF($G252&lt;&gt;0,SUMIF(куб!$G:$G,$G252,куб!L:L),IF($E252&lt;&gt;0,SUMIF(куб!$E:$E,$E252,куб!L:L),IF($D252&lt;&gt;0,SUMIF(куб!$D:$D,$D252,куб!L:L),IF($C252&lt;&gt;0,SUMIF(куб!$C:$C,$C252,куб!L:L),IF($B252&lt;&gt;0,SUMIF(куб!$B:$B,$B252,куб!L:L))))))</f>
        <v>0</v>
      </c>
      <c r="U252" s="27" t="b">
        <f>IF($G252&lt;&gt;0,SUMIF(куб!$G:$G,$G252,куб!M:M),IF($E252&lt;&gt;0,SUMIF(куб!$E:$E,$E252,куб!M:M),IF($D252&lt;&gt;0,SUMIF(куб!$D:$D,$D252,куб!M:M),IF($C252&lt;&gt;0,SUMIF(куб!$C:$C,$C252,куб!M:M),IF($B252&lt;&gt;0,SUMIF(куб!$B:$B,$B252,куб!M:M))))))</f>
        <v>0</v>
      </c>
      <c r="V252" s="13" t="str">
        <f t="shared" si="74"/>
        <v>-</v>
      </c>
      <c r="W252" s="5"/>
      <c r="X252" s="27" t="b">
        <f>IF($G252&lt;&gt;0,SUMIF(куб!$G:$G,$G252,куб!N:N),IF($E252&lt;&gt;0,SUMIF(куб!$E:$E,$E252,куб!N:N),IF($D252&lt;&gt;0,SUMIF(куб!$D:$D,$D252,куб!N:N),IF($C252&lt;&gt;0,SUMIF(куб!$C:$C,$C252,куб!N:N),IF($B252&lt;&gt;0,SUMIF(куб!$B:$B,$B252,куб!N:N))))))</f>
        <v>0</v>
      </c>
      <c r="Y252" s="27" t="b">
        <f>IF($G252&lt;&gt;0,SUMIF(куб!$G:$G,$G252,куб!O:O),IF($E252&lt;&gt;0,SUMIF(куб!$E:$E,$E252,куб!O:O),IF($D252&lt;&gt;0,SUMIF(куб!$D:$D,$D252,куб!O:O),IF($C252&lt;&gt;0,SUMIF(куб!$C:$C,$C252,куб!O:O),IF($B252&lt;&gt;0,SUMIF(куб!$B:$B,$B252,куб!O:O))))))</f>
        <v>0</v>
      </c>
      <c r="Z252" s="13" t="str">
        <f t="shared" si="75"/>
        <v>-</v>
      </c>
      <c r="AA252" s="5"/>
      <c r="AB252" s="33" t="str">
        <f t="shared" si="76"/>
        <v/>
      </c>
      <c r="AC252" s="33" t="str">
        <f t="shared" si="77"/>
        <v/>
      </c>
      <c r="AD252" s="15" t="str">
        <f t="shared" si="78"/>
        <v xml:space="preserve"> </v>
      </c>
      <c r="AE252" s="5"/>
      <c r="AF252" s="27" t="b">
        <f>IF($G252&lt;&gt;0,SUMIF(куб!$G:$G,$G252,куб!R:R),IF($E252&lt;&gt;0,SUMIF(куб!$E:$E,$E252,куб!R:R),IF($D252&lt;&gt;0,SUMIF(куб!$D:$D,$D252,куб!R:R),IF($C252&lt;&gt;0,SUMIF(куб!$C:$C,$C252,куб!R:R),IF($B252&lt;&gt;0,SUMIF(куб!$B:$B,$B252,куб!R:R))))))</f>
        <v>0</v>
      </c>
      <c r="AG252" s="27" t="b">
        <f>IF($G252&lt;&gt;0,SUMIF(куб!$G:$G,$G252,куб!S:S),IF($E252&lt;&gt;0,SUMIF(куб!$E:$E,$E252,куб!S:S),IF($D252&lt;&gt;0,SUMIF(куб!$D:$D,$D252,куб!S:S),IF($C252&lt;&gt;0,SUMIF(куб!$C:$C,$C252,куб!S:S),IF($B252&lt;&gt;0,SUMIF(куб!$B:$B,$B252,куб!S:S))))))</f>
        <v>0</v>
      </c>
      <c r="AH252" s="16" t="str">
        <f t="shared" si="79"/>
        <v>-</v>
      </c>
      <c r="AI252" s="8"/>
      <c r="AJ252" s="27" t="b">
        <f>IF($G252&lt;&gt;0,SUMIF(куб!$G:$G,$G252,куб!T:T),IF($E252&lt;&gt;0,SUMIF(куб!$E:$E,$E252,куб!T:T),IF($D252&lt;&gt;0,SUMIF(куб!$D:$D,$D252,куб!T:T),IF($C252&lt;&gt;0,SUMIF(куб!$C:$C,$C252,куб!T:T),IF($B252&lt;&gt;0,SUMIF(куб!$B:$B,$B252,куб!T:T))))))</f>
        <v>0</v>
      </c>
      <c r="AK252" s="27" t="b">
        <f>IF($G252&lt;&gt;0,SUMIF(куб!$G:$G,$G252,куб!U:U),IF($E252&lt;&gt;0,SUMIF(куб!$E:$E,$E252,куб!U:U),IF($D252&lt;&gt;0,SUMIF(куб!$D:$D,$D252,куб!U:U),IF($C252&lt;&gt;0,SUMIF(куб!$C:$C,$C252,куб!U:U),IF($B252&lt;&gt;0,SUMIF(куб!$B:$B,$B252,куб!U:U))))))</f>
        <v>0</v>
      </c>
      <c r="AL252" s="16" t="str">
        <f t="shared" si="80"/>
        <v>-</v>
      </c>
      <c r="AM252" s="8"/>
      <c r="AN252" s="17" t="str">
        <f t="shared" si="81"/>
        <v xml:space="preserve"> </v>
      </c>
      <c r="AO252" s="17" t="str">
        <f t="shared" si="82"/>
        <v xml:space="preserve"> </v>
      </c>
      <c r="AP252" s="16" t="str">
        <f t="shared" si="83"/>
        <v>-</v>
      </c>
      <c r="AQ252" s="8"/>
      <c r="AR252" s="17" t="str">
        <f t="shared" si="84"/>
        <v>-</v>
      </c>
      <c r="AS252" s="17" t="str">
        <f t="shared" si="85"/>
        <v>-</v>
      </c>
      <c r="AT252" s="13" t="str">
        <f t="shared" si="86"/>
        <v>-</v>
      </c>
      <c r="AU252" s="8"/>
    </row>
    <row r="253" spans="1:47" ht="15" customHeight="1" x14ac:dyDescent="0.25">
      <c r="A253" s="31"/>
      <c r="B253" s="31"/>
      <c r="C253"/>
      <c r="D253" s="31"/>
      <c r="E253"/>
      <c r="F253" s="31"/>
      <c r="G253"/>
      <c r="H253" s="27">
        <f>IF($G253&lt;&gt;0,SUMIF(куб!$G:$G,$G253,куб!H:H),IF($E253&lt;&gt;0,SUMIF(куб!$E:$E,$E253,куб!H:H),IF($D253&lt;&gt;0,SUMIF(куб!$D:$D,$D253,куб!H:H),IF($C253&lt;&gt;0,SUMIF(куб!$C:$C,$C253,куб!H:H),IF($B253&lt;&gt;0,SUMIF(куб!$B:$B,$B253,куб!H:H),IF($G253&lt;&gt;0,SUMIF(куб!$A:$A,$G253,куб!H:H),SUMIF(куб!$A:$A,$G253,куб!H:H)))))))</f>
        <v>0</v>
      </c>
      <c r="I253" s="27">
        <f>IF($G253&lt;&gt;0,SUMIF(куб!$G:$G,$G253,куб!I:I),IF($E253&lt;&gt;0,SUMIF(куб!$E:$E,$E253,куб!I:I),IF($D253&lt;&gt;0,SUMIF(куб!$D:$D,$D253,куб!I:I),IF($C253&lt;&gt;0,SUMIF(куб!$C:$C,$C253,куб!I:I),IF($B253&lt;&gt;0,SUMIF(куб!$B:$B,$B253,куб!I:I),IF($G253&lt;&gt;0,SUMIF(куб!$A:$A,$G253,куб!I:I),SUMIF(куб!$A:$A,$G253,куб!I:I)))))))</f>
        <v>0</v>
      </c>
      <c r="J253" s="19" t="str">
        <f t="shared" si="87"/>
        <v>-</v>
      </c>
      <c r="K253" s="5"/>
      <c r="L253" s="17">
        <f t="shared" si="70"/>
        <v>0</v>
      </c>
      <c r="M253" s="17">
        <f t="shared" si="71"/>
        <v>0</v>
      </c>
      <c r="N253" s="12">
        <f t="shared" si="72"/>
        <v>0</v>
      </c>
      <c r="O253" s="5"/>
      <c r="P253" s="27" t="b">
        <f>IF($G253&lt;&gt;0,SUMIF(куб!$G:$G,$G253,куб!J:J),IF($E253&lt;&gt;0,SUMIF(куб!$E:$E,$E253,куб!J:J),IF($D253&lt;&gt;0,SUMIF(куб!$D:$D,$D253,куб!J:J),IF($C253&lt;&gt;0,SUMIF(куб!$C:$C,$C253,куб!J:J),IF($B253&lt;&gt;0,SUMIF(куб!$B:$B,$B253,куб!J:J))))))</f>
        <v>0</v>
      </c>
      <c r="Q253" s="27" t="b">
        <f>IF($G253&lt;&gt;0,SUMIF(куб!$G:$G,$G253,куб!K:K),IF($E253&lt;&gt;0,SUMIF(куб!$E:$E,$E253,куб!K:K),IF($D253&lt;&gt;0,SUMIF(куб!$D:$D,$D253,куб!K:K),IF($C253&lt;&gt;0,SUMIF(куб!$C:$C,$C253,куб!K:K),IF($B253&lt;&gt;0,SUMIF(куб!$B:$B,$B253,куб!K:K))))))</f>
        <v>0</v>
      </c>
      <c r="R253" s="13" t="str">
        <f t="shared" si="73"/>
        <v>-</v>
      </c>
      <c r="S253" s="5"/>
      <c r="T253" s="27" t="b">
        <f>IF($G253&lt;&gt;0,SUMIF(куб!$G:$G,$G253,куб!L:L),IF($E253&lt;&gt;0,SUMIF(куб!$E:$E,$E253,куб!L:L),IF($D253&lt;&gt;0,SUMIF(куб!$D:$D,$D253,куб!L:L),IF($C253&lt;&gt;0,SUMIF(куб!$C:$C,$C253,куб!L:L),IF($B253&lt;&gt;0,SUMIF(куб!$B:$B,$B253,куб!L:L))))))</f>
        <v>0</v>
      </c>
      <c r="U253" s="27" t="b">
        <f>IF($G253&lt;&gt;0,SUMIF(куб!$G:$G,$G253,куб!M:M),IF($E253&lt;&gt;0,SUMIF(куб!$E:$E,$E253,куб!M:M),IF($D253&lt;&gt;0,SUMIF(куб!$D:$D,$D253,куб!M:M),IF($C253&lt;&gt;0,SUMIF(куб!$C:$C,$C253,куб!M:M),IF($B253&lt;&gt;0,SUMIF(куб!$B:$B,$B253,куб!M:M))))))</f>
        <v>0</v>
      </c>
      <c r="V253" s="13" t="str">
        <f t="shared" si="74"/>
        <v>-</v>
      </c>
      <c r="W253" s="5"/>
      <c r="X253" s="27" t="b">
        <f>IF($G253&lt;&gt;0,SUMIF(куб!$G:$G,$G253,куб!N:N),IF($E253&lt;&gt;0,SUMIF(куб!$E:$E,$E253,куб!N:N),IF($D253&lt;&gt;0,SUMIF(куб!$D:$D,$D253,куб!N:N),IF($C253&lt;&gt;0,SUMIF(куб!$C:$C,$C253,куб!N:N),IF($B253&lt;&gt;0,SUMIF(куб!$B:$B,$B253,куб!N:N))))))</f>
        <v>0</v>
      </c>
      <c r="Y253" s="27" t="b">
        <f>IF($G253&lt;&gt;0,SUMIF(куб!$G:$G,$G253,куб!O:O),IF($E253&lt;&gt;0,SUMIF(куб!$E:$E,$E253,куб!O:O),IF($D253&lt;&gt;0,SUMIF(куб!$D:$D,$D253,куб!O:O),IF($C253&lt;&gt;0,SUMIF(куб!$C:$C,$C253,куб!O:O),IF($B253&lt;&gt;0,SUMIF(куб!$B:$B,$B253,куб!O:O))))))</f>
        <v>0</v>
      </c>
      <c r="Z253" s="13" t="str">
        <f t="shared" si="75"/>
        <v>-</v>
      </c>
      <c r="AA253" s="5"/>
      <c r="AB253" s="33" t="str">
        <f t="shared" si="76"/>
        <v/>
      </c>
      <c r="AC253" s="33" t="str">
        <f t="shared" si="77"/>
        <v/>
      </c>
      <c r="AD253" s="15" t="str">
        <f t="shared" si="78"/>
        <v xml:space="preserve"> </v>
      </c>
      <c r="AE253" s="5"/>
      <c r="AF253" s="27" t="b">
        <f>IF($G253&lt;&gt;0,SUMIF(куб!$G:$G,$G253,куб!R:R),IF($E253&lt;&gt;0,SUMIF(куб!$E:$E,$E253,куб!R:R),IF($D253&lt;&gt;0,SUMIF(куб!$D:$D,$D253,куб!R:R),IF($C253&lt;&gt;0,SUMIF(куб!$C:$C,$C253,куб!R:R),IF($B253&lt;&gt;0,SUMIF(куб!$B:$B,$B253,куб!R:R))))))</f>
        <v>0</v>
      </c>
      <c r="AG253" s="27" t="b">
        <f>IF($G253&lt;&gt;0,SUMIF(куб!$G:$G,$G253,куб!S:S),IF($E253&lt;&gt;0,SUMIF(куб!$E:$E,$E253,куб!S:S),IF($D253&lt;&gt;0,SUMIF(куб!$D:$D,$D253,куб!S:S),IF($C253&lt;&gt;0,SUMIF(куб!$C:$C,$C253,куб!S:S),IF($B253&lt;&gt;0,SUMIF(куб!$B:$B,$B253,куб!S:S))))))</f>
        <v>0</v>
      </c>
      <c r="AH253" s="16" t="str">
        <f t="shared" si="79"/>
        <v>-</v>
      </c>
      <c r="AI253" s="8"/>
      <c r="AJ253" s="27" t="b">
        <f>IF($G253&lt;&gt;0,SUMIF(куб!$G:$G,$G253,куб!T:T),IF($E253&lt;&gt;0,SUMIF(куб!$E:$E,$E253,куб!T:T),IF($D253&lt;&gt;0,SUMIF(куб!$D:$D,$D253,куб!T:T),IF($C253&lt;&gt;0,SUMIF(куб!$C:$C,$C253,куб!T:T),IF($B253&lt;&gt;0,SUMIF(куб!$B:$B,$B253,куб!T:T))))))</f>
        <v>0</v>
      </c>
      <c r="AK253" s="27" t="b">
        <f>IF($G253&lt;&gt;0,SUMIF(куб!$G:$G,$G253,куб!U:U),IF($E253&lt;&gt;0,SUMIF(куб!$E:$E,$E253,куб!U:U),IF($D253&lt;&gt;0,SUMIF(куб!$D:$D,$D253,куб!U:U),IF($C253&lt;&gt;0,SUMIF(куб!$C:$C,$C253,куб!U:U),IF($B253&lt;&gt;0,SUMIF(куб!$B:$B,$B253,куб!U:U))))))</f>
        <v>0</v>
      </c>
      <c r="AL253" s="16" t="str">
        <f t="shared" si="80"/>
        <v>-</v>
      </c>
      <c r="AM253" s="8"/>
      <c r="AN253" s="17" t="str">
        <f t="shared" si="81"/>
        <v xml:space="preserve"> </v>
      </c>
      <c r="AO253" s="17" t="str">
        <f t="shared" si="82"/>
        <v xml:space="preserve"> </v>
      </c>
      <c r="AP253" s="16" t="str">
        <f t="shared" si="83"/>
        <v>-</v>
      </c>
      <c r="AQ253" s="8"/>
      <c r="AR253" s="17" t="str">
        <f t="shared" si="84"/>
        <v>-</v>
      </c>
      <c r="AS253" s="17" t="str">
        <f t="shared" si="85"/>
        <v>-</v>
      </c>
      <c r="AT253" s="13" t="str">
        <f t="shared" si="86"/>
        <v>-</v>
      </c>
      <c r="AU253" s="8"/>
    </row>
    <row r="254" spans="1:47" ht="15" customHeight="1" x14ac:dyDescent="0.25">
      <c r="A254" s="31"/>
      <c r="B254" s="31"/>
      <c r="C254"/>
      <c r="D254" s="31"/>
      <c r="E254"/>
      <c r="F254" s="31"/>
      <c r="G254"/>
      <c r="H254" s="27">
        <f>IF($G254&lt;&gt;0,SUMIF(куб!$G:$G,$G254,куб!H:H),IF($E254&lt;&gt;0,SUMIF(куб!$E:$E,$E254,куб!H:H),IF($D254&lt;&gt;0,SUMIF(куб!$D:$D,$D254,куб!H:H),IF($C254&lt;&gt;0,SUMIF(куб!$C:$C,$C254,куб!H:H),IF($B254&lt;&gt;0,SUMIF(куб!$B:$B,$B254,куб!H:H),IF($G254&lt;&gt;0,SUMIF(куб!$A:$A,$G254,куб!H:H),SUMIF(куб!$A:$A,$G254,куб!H:H)))))))</f>
        <v>0</v>
      </c>
      <c r="I254" s="27">
        <f>IF($G254&lt;&gt;0,SUMIF(куб!$G:$G,$G254,куб!I:I),IF($E254&lt;&gt;0,SUMIF(куб!$E:$E,$E254,куб!I:I),IF($D254&lt;&gt;0,SUMIF(куб!$D:$D,$D254,куб!I:I),IF($C254&lt;&gt;0,SUMIF(куб!$C:$C,$C254,куб!I:I),IF($B254&lt;&gt;0,SUMIF(куб!$B:$B,$B254,куб!I:I),IF($G254&lt;&gt;0,SUMIF(куб!$A:$A,$G254,куб!I:I),SUMIF(куб!$A:$A,$G254,куб!I:I)))))))</f>
        <v>0</v>
      </c>
      <c r="J254" s="19" t="str">
        <f t="shared" si="87"/>
        <v>-</v>
      </c>
      <c r="K254" s="8"/>
      <c r="L254" s="17">
        <f t="shared" si="70"/>
        <v>0</v>
      </c>
      <c r="M254" s="17">
        <f t="shared" si="71"/>
        <v>0</v>
      </c>
      <c r="N254" s="12">
        <f t="shared" si="72"/>
        <v>0</v>
      </c>
      <c r="O254" s="5"/>
      <c r="P254" s="27" t="b">
        <f>IF($G254&lt;&gt;0,SUMIF(куб!$G:$G,$G254,куб!J:J),IF($E254&lt;&gt;0,SUMIF(куб!$E:$E,$E254,куб!J:J),IF($D254&lt;&gt;0,SUMIF(куб!$D:$D,$D254,куб!J:J),IF($C254&lt;&gt;0,SUMIF(куб!$C:$C,$C254,куб!J:J),IF($B254&lt;&gt;0,SUMIF(куб!$B:$B,$B254,куб!J:J))))))</f>
        <v>0</v>
      </c>
      <c r="Q254" s="27" t="b">
        <f>IF($G254&lt;&gt;0,SUMIF(куб!$G:$G,$G254,куб!K:K),IF($E254&lt;&gt;0,SUMIF(куб!$E:$E,$E254,куб!K:K),IF($D254&lt;&gt;0,SUMIF(куб!$D:$D,$D254,куб!K:K),IF($C254&lt;&gt;0,SUMIF(куб!$C:$C,$C254,куб!K:K),IF($B254&lt;&gt;0,SUMIF(куб!$B:$B,$B254,куб!K:K))))))</f>
        <v>0</v>
      </c>
      <c r="R254" s="13" t="str">
        <f t="shared" si="73"/>
        <v>-</v>
      </c>
      <c r="S254" s="5"/>
      <c r="T254" s="27" t="b">
        <f>IF($G254&lt;&gt;0,SUMIF(куб!$G:$G,$G254,куб!L:L),IF($E254&lt;&gt;0,SUMIF(куб!$E:$E,$E254,куб!L:L),IF($D254&lt;&gt;0,SUMIF(куб!$D:$D,$D254,куб!L:L),IF($C254&lt;&gt;0,SUMIF(куб!$C:$C,$C254,куб!L:L),IF($B254&lt;&gt;0,SUMIF(куб!$B:$B,$B254,куб!L:L))))))</f>
        <v>0</v>
      </c>
      <c r="U254" s="27" t="b">
        <f>IF($G254&lt;&gt;0,SUMIF(куб!$G:$G,$G254,куб!M:M),IF($E254&lt;&gt;0,SUMIF(куб!$E:$E,$E254,куб!M:M),IF($D254&lt;&gt;0,SUMIF(куб!$D:$D,$D254,куб!M:M),IF($C254&lt;&gt;0,SUMIF(куб!$C:$C,$C254,куб!M:M),IF($B254&lt;&gt;0,SUMIF(куб!$B:$B,$B254,куб!M:M))))))</f>
        <v>0</v>
      </c>
      <c r="V254" s="13" t="str">
        <f t="shared" si="74"/>
        <v>-</v>
      </c>
      <c r="W254" s="5"/>
      <c r="X254" s="27" t="b">
        <f>IF($G254&lt;&gt;0,SUMIF(куб!$G:$G,$G254,куб!N:N),IF($E254&lt;&gt;0,SUMIF(куб!$E:$E,$E254,куб!N:N),IF($D254&lt;&gt;0,SUMIF(куб!$D:$D,$D254,куб!N:N),IF($C254&lt;&gt;0,SUMIF(куб!$C:$C,$C254,куб!N:N),IF($B254&lt;&gt;0,SUMIF(куб!$B:$B,$B254,куб!N:N))))))</f>
        <v>0</v>
      </c>
      <c r="Y254" s="27" t="b">
        <f>IF($G254&lt;&gt;0,SUMIF(куб!$G:$G,$G254,куб!O:O),IF($E254&lt;&gt;0,SUMIF(куб!$E:$E,$E254,куб!O:O),IF($D254&lt;&gt;0,SUMIF(куб!$D:$D,$D254,куб!O:O),IF($C254&lt;&gt;0,SUMIF(куб!$C:$C,$C254,куб!O:O),IF($B254&lt;&gt;0,SUMIF(куб!$B:$B,$B254,куб!O:O))))))</f>
        <v>0</v>
      </c>
      <c r="Z254" s="13" t="str">
        <f t="shared" si="75"/>
        <v>-</v>
      </c>
      <c r="AA254" s="5"/>
      <c r="AB254" s="33" t="str">
        <f t="shared" si="76"/>
        <v/>
      </c>
      <c r="AC254" s="33" t="str">
        <f t="shared" si="77"/>
        <v/>
      </c>
      <c r="AD254" s="15" t="str">
        <f t="shared" si="78"/>
        <v xml:space="preserve"> </v>
      </c>
      <c r="AE254" s="5"/>
      <c r="AF254" s="27" t="b">
        <f>IF($G254&lt;&gt;0,SUMIF(куб!$G:$G,$G254,куб!R:R),IF($E254&lt;&gt;0,SUMIF(куб!$E:$E,$E254,куб!R:R),IF($D254&lt;&gt;0,SUMIF(куб!$D:$D,$D254,куб!R:R),IF($C254&lt;&gt;0,SUMIF(куб!$C:$C,$C254,куб!R:R),IF($B254&lt;&gt;0,SUMIF(куб!$B:$B,$B254,куб!R:R))))))</f>
        <v>0</v>
      </c>
      <c r="AG254" s="27" t="b">
        <f>IF($G254&lt;&gt;0,SUMIF(куб!$G:$G,$G254,куб!S:S),IF($E254&lt;&gt;0,SUMIF(куб!$E:$E,$E254,куб!S:S),IF($D254&lt;&gt;0,SUMIF(куб!$D:$D,$D254,куб!S:S),IF($C254&lt;&gt;0,SUMIF(куб!$C:$C,$C254,куб!S:S),IF($B254&lt;&gt;0,SUMIF(куб!$B:$B,$B254,куб!S:S))))))</f>
        <v>0</v>
      </c>
      <c r="AH254" s="16" t="str">
        <f t="shared" si="79"/>
        <v>-</v>
      </c>
      <c r="AI254" s="8"/>
      <c r="AJ254" s="27" t="b">
        <f>IF($G254&lt;&gt;0,SUMIF(куб!$G:$G,$G254,куб!T:T),IF($E254&lt;&gt;0,SUMIF(куб!$E:$E,$E254,куб!T:T),IF($D254&lt;&gt;0,SUMIF(куб!$D:$D,$D254,куб!T:T),IF($C254&lt;&gt;0,SUMIF(куб!$C:$C,$C254,куб!T:T),IF($B254&lt;&gt;0,SUMIF(куб!$B:$B,$B254,куб!T:T))))))</f>
        <v>0</v>
      </c>
      <c r="AK254" s="27" t="b">
        <f>IF($G254&lt;&gt;0,SUMIF(куб!$G:$G,$G254,куб!U:U),IF($E254&lt;&gt;0,SUMIF(куб!$E:$E,$E254,куб!U:U),IF($D254&lt;&gt;0,SUMIF(куб!$D:$D,$D254,куб!U:U),IF($C254&lt;&gt;0,SUMIF(куб!$C:$C,$C254,куб!U:U),IF($B254&lt;&gt;0,SUMIF(куб!$B:$B,$B254,куб!U:U))))))</f>
        <v>0</v>
      </c>
      <c r="AL254" s="16" t="str">
        <f t="shared" si="80"/>
        <v>-</v>
      </c>
      <c r="AM254" s="8"/>
      <c r="AN254" s="17" t="str">
        <f t="shared" si="81"/>
        <v xml:space="preserve"> </v>
      </c>
      <c r="AO254" s="17" t="str">
        <f t="shared" si="82"/>
        <v xml:space="preserve"> </v>
      </c>
      <c r="AP254" s="16" t="str">
        <f t="shared" si="83"/>
        <v>-</v>
      </c>
      <c r="AQ254" s="8"/>
      <c r="AR254" s="17" t="str">
        <f t="shared" si="84"/>
        <v>-</v>
      </c>
      <c r="AS254" s="17" t="str">
        <f t="shared" si="85"/>
        <v>-</v>
      </c>
      <c r="AT254" s="13" t="str">
        <f t="shared" si="86"/>
        <v>-</v>
      </c>
      <c r="AU254" s="8"/>
    </row>
    <row r="255" spans="1:47" x14ac:dyDescent="0.25">
      <c r="A255" s="31"/>
      <c r="B255" s="31"/>
      <c r="C255"/>
      <c r="D255" s="31"/>
      <c r="E255"/>
      <c r="F255" s="31"/>
      <c r="G255"/>
      <c r="H255" s="27">
        <f>IF($G255&lt;&gt;0,SUMIF(куб!$G:$G,$G255,куб!H:H),IF($E255&lt;&gt;0,SUMIF(куб!$E:$E,$E255,куб!H:H),IF($D255&lt;&gt;0,SUMIF(куб!$D:$D,$D255,куб!H:H),IF($C255&lt;&gt;0,SUMIF(куб!$C:$C,$C255,куб!H:H),IF($B255&lt;&gt;0,SUMIF(куб!$B:$B,$B255,куб!H:H),IF($G255&lt;&gt;0,SUMIF(куб!$A:$A,$G255,куб!H:H),SUMIF(куб!$A:$A,$G255,куб!H:H)))))))</f>
        <v>0</v>
      </c>
      <c r="I255" s="27">
        <f>IF($G255&lt;&gt;0,SUMIF(куб!$G:$G,$G255,куб!I:I),IF($E255&lt;&gt;0,SUMIF(куб!$E:$E,$E255,куб!I:I),IF($D255&lt;&gt;0,SUMIF(куб!$D:$D,$D255,куб!I:I),IF($C255&lt;&gt;0,SUMIF(куб!$C:$C,$C255,куб!I:I),IF($B255&lt;&gt;0,SUMIF(куб!$B:$B,$B255,куб!I:I),IF($G255&lt;&gt;0,SUMIF(куб!$A:$A,$G255,куб!I:I),SUMIF(куб!$A:$A,$G255,куб!I:I)))))))</f>
        <v>0</v>
      </c>
      <c r="J255" s="19" t="str">
        <f t="shared" si="87"/>
        <v>-</v>
      </c>
      <c r="K255" s="10"/>
      <c r="L255" s="17">
        <f t="shared" si="70"/>
        <v>0</v>
      </c>
      <c r="M255" s="17">
        <f t="shared" si="71"/>
        <v>0</v>
      </c>
      <c r="N255" s="12">
        <f t="shared" si="72"/>
        <v>0</v>
      </c>
      <c r="O255" s="5"/>
      <c r="P255" s="27" t="b">
        <f>IF($G255&lt;&gt;0,SUMIF(куб!$G:$G,$G255,куб!J:J),IF($E255&lt;&gt;0,SUMIF(куб!$E:$E,$E255,куб!J:J),IF($D255&lt;&gt;0,SUMIF(куб!$D:$D,$D255,куб!J:J),IF($C255&lt;&gt;0,SUMIF(куб!$C:$C,$C255,куб!J:J),IF($B255&lt;&gt;0,SUMIF(куб!$B:$B,$B255,куб!J:J))))))</f>
        <v>0</v>
      </c>
      <c r="Q255" s="27" t="b">
        <f>IF($G255&lt;&gt;0,SUMIF(куб!$G:$G,$G255,куб!K:K),IF($E255&lt;&gt;0,SUMIF(куб!$E:$E,$E255,куб!K:K),IF($D255&lt;&gt;0,SUMIF(куб!$D:$D,$D255,куб!K:K),IF($C255&lt;&gt;0,SUMIF(куб!$C:$C,$C255,куб!K:K),IF($B255&lt;&gt;0,SUMIF(куб!$B:$B,$B255,куб!K:K))))))</f>
        <v>0</v>
      </c>
      <c r="R255" s="13" t="str">
        <f t="shared" si="73"/>
        <v>-</v>
      </c>
      <c r="S255" s="5"/>
      <c r="T255" s="27" t="b">
        <f>IF($G255&lt;&gt;0,SUMIF(куб!$G:$G,$G255,куб!L:L),IF($E255&lt;&gt;0,SUMIF(куб!$E:$E,$E255,куб!L:L),IF($D255&lt;&gt;0,SUMIF(куб!$D:$D,$D255,куб!L:L),IF($C255&lt;&gt;0,SUMIF(куб!$C:$C,$C255,куб!L:L),IF($B255&lt;&gt;0,SUMIF(куб!$B:$B,$B255,куб!L:L))))))</f>
        <v>0</v>
      </c>
      <c r="U255" s="27" t="b">
        <f>IF($G255&lt;&gt;0,SUMIF(куб!$G:$G,$G255,куб!M:M),IF($E255&lt;&gt;0,SUMIF(куб!$E:$E,$E255,куб!M:M),IF($D255&lt;&gt;0,SUMIF(куб!$D:$D,$D255,куб!M:M),IF($C255&lt;&gt;0,SUMIF(куб!$C:$C,$C255,куб!M:M),IF($B255&lt;&gt;0,SUMIF(куб!$B:$B,$B255,куб!M:M))))))</f>
        <v>0</v>
      </c>
      <c r="V255" s="13" t="str">
        <f t="shared" si="74"/>
        <v>-</v>
      </c>
      <c r="W255" s="5"/>
      <c r="X255" s="27" t="b">
        <f>IF($G255&lt;&gt;0,SUMIF(куб!$G:$G,$G255,куб!N:N),IF($E255&lt;&gt;0,SUMIF(куб!$E:$E,$E255,куб!N:N),IF($D255&lt;&gt;0,SUMIF(куб!$D:$D,$D255,куб!N:N),IF($C255&lt;&gt;0,SUMIF(куб!$C:$C,$C255,куб!N:N),IF($B255&lt;&gt;0,SUMIF(куб!$B:$B,$B255,куб!N:N))))))</f>
        <v>0</v>
      </c>
      <c r="Y255" s="27" t="b">
        <f>IF($G255&lt;&gt;0,SUMIF(куб!$G:$G,$G255,куб!O:O),IF($E255&lt;&gt;0,SUMIF(куб!$E:$E,$E255,куб!O:O),IF($D255&lt;&gt;0,SUMIF(куб!$D:$D,$D255,куб!O:O),IF($C255&lt;&gt;0,SUMIF(куб!$C:$C,$C255,куб!O:O),IF($B255&lt;&gt;0,SUMIF(куб!$B:$B,$B255,куб!O:O))))))</f>
        <v>0</v>
      </c>
      <c r="Z255" s="13" t="str">
        <f t="shared" si="75"/>
        <v>-</v>
      </c>
      <c r="AA255" s="5"/>
      <c r="AB255" s="33" t="str">
        <f t="shared" si="76"/>
        <v/>
      </c>
      <c r="AC255" s="33" t="str">
        <f t="shared" si="77"/>
        <v/>
      </c>
      <c r="AD255" s="15" t="str">
        <f t="shared" si="78"/>
        <v xml:space="preserve"> </v>
      </c>
      <c r="AE255" s="5"/>
      <c r="AF255" s="27" t="b">
        <f>IF($G255&lt;&gt;0,SUMIF(куб!$G:$G,$G255,куб!R:R),IF($E255&lt;&gt;0,SUMIF(куб!$E:$E,$E255,куб!R:R),IF($D255&lt;&gt;0,SUMIF(куб!$D:$D,$D255,куб!R:R),IF($C255&lt;&gt;0,SUMIF(куб!$C:$C,$C255,куб!R:R),IF($B255&lt;&gt;0,SUMIF(куб!$B:$B,$B255,куб!R:R))))))</f>
        <v>0</v>
      </c>
      <c r="AG255" s="27" t="b">
        <f>IF($G255&lt;&gt;0,SUMIF(куб!$G:$G,$G255,куб!S:S),IF($E255&lt;&gt;0,SUMIF(куб!$E:$E,$E255,куб!S:S),IF($D255&lt;&gt;0,SUMIF(куб!$D:$D,$D255,куб!S:S),IF($C255&lt;&gt;0,SUMIF(куб!$C:$C,$C255,куб!S:S),IF($B255&lt;&gt;0,SUMIF(куб!$B:$B,$B255,куб!S:S))))))</f>
        <v>0</v>
      </c>
      <c r="AH255" s="16" t="str">
        <f t="shared" si="79"/>
        <v>-</v>
      </c>
      <c r="AI255" s="8"/>
      <c r="AJ255" s="27" t="b">
        <f>IF($G255&lt;&gt;0,SUMIF(куб!$G:$G,$G255,куб!T:T),IF($E255&lt;&gt;0,SUMIF(куб!$E:$E,$E255,куб!T:T),IF($D255&lt;&gt;0,SUMIF(куб!$D:$D,$D255,куб!T:T),IF($C255&lt;&gt;0,SUMIF(куб!$C:$C,$C255,куб!T:T),IF($B255&lt;&gt;0,SUMIF(куб!$B:$B,$B255,куб!T:T))))))</f>
        <v>0</v>
      </c>
      <c r="AK255" s="27" t="b">
        <f>IF($G255&lt;&gt;0,SUMIF(куб!$G:$G,$G255,куб!U:U),IF($E255&lt;&gt;0,SUMIF(куб!$E:$E,$E255,куб!U:U),IF($D255&lt;&gt;0,SUMIF(куб!$D:$D,$D255,куб!U:U),IF($C255&lt;&gt;0,SUMIF(куб!$C:$C,$C255,куб!U:U),IF($B255&lt;&gt;0,SUMIF(куб!$B:$B,$B255,куб!U:U))))))</f>
        <v>0</v>
      </c>
      <c r="AL255" s="16" t="str">
        <f t="shared" si="80"/>
        <v>-</v>
      </c>
      <c r="AM255" s="8"/>
      <c r="AN255" s="17" t="str">
        <f t="shared" si="81"/>
        <v xml:space="preserve"> </v>
      </c>
      <c r="AO255" s="17" t="str">
        <f t="shared" si="82"/>
        <v xml:space="preserve"> </v>
      </c>
      <c r="AP255" s="16" t="str">
        <f t="shared" si="83"/>
        <v>-</v>
      </c>
      <c r="AQ255" s="8"/>
      <c r="AR255" s="17" t="str">
        <f t="shared" si="84"/>
        <v>-</v>
      </c>
      <c r="AS255" s="17" t="str">
        <f t="shared" si="85"/>
        <v>-</v>
      </c>
      <c r="AT255" s="13" t="str">
        <f t="shared" si="86"/>
        <v>-</v>
      </c>
      <c r="AU255" s="8"/>
    </row>
    <row r="256" spans="1:47" ht="15" customHeight="1" x14ac:dyDescent="0.25">
      <c r="A256" s="31"/>
      <c r="B256" s="31"/>
      <c r="C256"/>
      <c r="D256" s="31"/>
      <c r="E256"/>
      <c r="F256" s="31"/>
      <c r="G256"/>
      <c r="H256" s="27">
        <f>IF($G256&lt;&gt;0,SUMIF(куб!$G:$G,$G256,куб!H:H),IF($E256&lt;&gt;0,SUMIF(куб!$E:$E,$E256,куб!H:H),IF($D256&lt;&gt;0,SUMIF(куб!$D:$D,$D256,куб!H:H),IF($C256&lt;&gt;0,SUMIF(куб!$C:$C,$C256,куб!H:H),IF($B256&lt;&gt;0,SUMIF(куб!$B:$B,$B256,куб!H:H),IF($G256&lt;&gt;0,SUMIF(куб!$A:$A,$G256,куб!H:H),SUMIF(куб!$A:$A,$G256,куб!H:H)))))))</f>
        <v>0</v>
      </c>
      <c r="I256" s="27">
        <f>IF($G256&lt;&gt;0,SUMIF(куб!$G:$G,$G256,куб!I:I),IF($E256&lt;&gt;0,SUMIF(куб!$E:$E,$E256,куб!I:I),IF($D256&lt;&gt;0,SUMIF(куб!$D:$D,$D256,куб!I:I),IF($C256&lt;&gt;0,SUMIF(куб!$C:$C,$C256,куб!I:I),IF($B256&lt;&gt;0,SUMIF(куб!$B:$B,$B256,куб!I:I),IF($G256&lt;&gt;0,SUMIF(куб!$A:$A,$G256,куб!I:I),SUMIF(куб!$A:$A,$G256,куб!I:I)))))))</f>
        <v>0</v>
      </c>
      <c r="J256" s="19" t="str">
        <f t="shared" si="87"/>
        <v>-</v>
      </c>
      <c r="K256" s="5"/>
      <c r="L256" s="17">
        <f t="shared" si="70"/>
        <v>0</v>
      </c>
      <c r="M256" s="17">
        <f t="shared" si="71"/>
        <v>0</v>
      </c>
      <c r="N256" s="12">
        <f t="shared" si="72"/>
        <v>0</v>
      </c>
      <c r="O256" s="5"/>
      <c r="P256" s="27" t="b">
        <f>IF($G256&lt;&gt;0,SUMIF(куб!$G:$G,$G256,куб!J:J),IF($E256&lt;&gt;0,SUMIF(куб!$E:$E,$E256,куб!J:J),IF($D256&lt;&gt;0,SUMIF(куб!$D:$D,$D256,куб!J:J),IF($C256&lt;&gt;0,SUMIF(куб!$C:$C,$C256,куб!J:J),IF($B256&lt;&gt;0,SUMIF(куб!$B:$B,$B256,куб!J:J))))))</f>
        <v>0</v>
      </c>
      <c r="Q256" s="27" t="b">
        <f>IF($G256&lt;&gt;0,SUMIF(куб!$G:$G,$G256,куб!K:K),IF($E256&lt;&gt;0,SUMIF(куб!$E:$E,$E256,куб!K:K),IF($D256&lt;&gt;0,SUMIF(куб!$D:$D,$D256,куб!K:K),IF($C256&lt;&gt;0,SUMIF(куб!$C:$C,$C256,куб!K:K),IF($B256&lt;&gt;0,SUMIF(куб!$B:$B,$B256,куб!K:K))))))</f>
        <v>0</v>
      </c>
      <c r="R256" s="13" t="str">
        <f t="shared" si="73"/>
        <v>-</v>
      </c>
      <c r="S256" s="5"/>
      <c r="T256" s="27" t="b">
        <f>IF($G256&lt;&gt;0,SUMIF(куб!$G:$G,$G256,куб!L:L),IF($E256&lt;&gt;0,SUMIF(куб!$E:$E,$E256,куб!L:L),IF($D256&lt;&gt;0,SUMIF(куб!$D:$D,$D256,куб!L:L),IF($C256&lt;&gt;0,SUMIF(куб!$C:$C,$C256,куб!L:L),IF($B256&lt;&gt;0,SUMIF(куб!$B:$B,$B256,куб!L:L))))))</f>
        <v>0</v>
      </c>
      <c r="U256" s="27" t="b">
        <f>IF($G256&lt;&gt;0,SUMIF(куб!$G:$G,$G256,куб!M:M),IF($E256&lt;&gt;0,SUMIF(куб!$E:$E,$E256,куб!M:M),IF($D256&lt;&gt;0,SUMIF(куб!$D:$D,$D256,куб!M:M),IF($C256&lt;&gt;0,SUMIF(куб!$C:$C,$C256,куб!M:M),IF($B256&lt;&gt;0,SUMIF(куб!$B:$B,$B256,куб!M:M))))))</f>
        <v>0</v>
      </c>
      <c r="V256" s="13" t="str">
        <f t="shared" si="74"/>
        <v>-</v>
      </c>
      <c r="W256" s="5"/>
      <c r="X256" s="27" t="b">
        <f>IF($G256&lt;&gt;0,SUMIF(куб!$G:$G,$G256,куб!N:N),IF($E256&lt;&gt;0,SUMIF(куб!$E:$E,$E256,куб!N:N),IF($D256&lt;&gt;0,SUMIF(куб!$D:$D,$D256,куб!N:N),IF($C256&lt;&gt;0,SUMIF(куб!$C:$C,$C256,куб!N:N),IF($B256&lt;&gt;0,SUMIF(куб!$B:$B,$B256,куб!N:N))))))</f>
        <v>0</v>
      </c>
      <c r="Y256" s="27" t="b">
        <f>IF($G256&lt;&gt;0,SUMIF(куб!$G:$G,$G256,куб!O:O),IF($E256&lt;&gt;0,SUMIF(куб!$E:$E,$E256,куб!O:O),IF($D256&lt;&gt;0,SUMIF(куб!$D:$D,$D256,куб!O:O),IF($C256&lt;&gt;0,SUMIF(куб!$C:$C,$C256,куб!O:O),IF($B256&lt;&gt;0,SUMIF(куб!$B:$B,$B256,куб!O:O))))))</f>
        <v>0</v>
      </c>
      <c r="Z256" s="13" t="str">
        <f t="shared" si="75"/>
        <v>-</v>
      </c>
      <c r="AA256" s="5"/>
      <c r="AB256" s="33" t="str">
        <f t="shared" si="76"/>
        <v/>
      </c>
      <c r="AC256" s="33" t="str">
        <f t="shared" si="77"/>
        <v/>
      </c>
      <c r="AD256" s="15" t="str">
        <f t="shared" si="78"/>
        <v xml:space="preserve"> </v>
      </c>
      <c r="AE256" s="5"/>
      <c r="AF256" s="27" t="b">
        <f>IF($G256&lt;&gt;0,SUMIF(куб!$G:$G,$G256,куб!R:R),IF($E256&lt;&gt;0,SUMIF(куб!$E:$E,$E256,куб!R:R),IF($D256&lt;&gt;0,SUMIF(куб!$D:$D,$D256,куб!R:R),IF($C256&lt;&gt;0,SUMIF(куб!$C:$C,$C256,куб!R:R),IF($B256&lt;&gt;0,SUMIF(куб!$B:$B,$B256,куб!R:R))))))</f>
        <v>0</v>
      </c>
      <c r="AG256" s="27" t="b">
        <f>IF($G256&lt;&gt;0,SUMIF(куб!$G:$G,$G256,куб!S:S),IF($E256&lt;&gt;0,SUMIF(куб!$E:$E,$E256,куб!S:S),IF($D256&lt;&gt;0,SUMIF(куб!$D:$D,$D256,куб!S:S),IF($C256&lt;&gt;0,SUMIF(куб!$C:$C,$C256,куб!S:S),IF($B256&lt;&gt;0,SUMIF(куб!$B:$B,$B256,куб!S:S))))))</f>
        <v>0</v>
      </c>
      <c r="AH256" s="16" t="str">
        <f t="shared" si="79"/>
        <v>-</v>
      </c>
      <c r="AI256" s="8"/>
      <c r="AJ256" s="27" t="b">
        <f>IF($G256&lt;&gt;0,SUMIF(куб!$G:$G,$G256,куб!T:T),IF($E256&lt;&gt;0,SUMIF(куб!$E:$E,$E256,куб!T:T),IF($D256&lt;&gt;0,SUMIF(куб!$D:$D,$D256,куб!T:T),IF($C256&lt;&gt;0,SUMIF(куб!$C:$C,$C256,куб!T:T),IF($B256&lt;&gt;0,SUMIF(куб!$B:$B,$B256,куб!T:T))))))</f>
        <v>0</v>
      </c>
      <c r="AK256" s="27" t="b">
        <f>IF($G256&lt;&gt;0,SUMIF(куб!$G:$G,$G256,куб!U:U),IF($E256&lt;&gt;0,SUMIF(куб!$E:$E,$E256,куб!U:U),IF($D256&lt;&gt;0,SUMIF(куб!$D:$D,$D256,куб!U:U),IF($C256&lt;&gt;0,SUMIF(куб!$C:$C,$C256,куб!U:U),IF($B256&lt;&gt;0,SUMIF(куб!$B:$B,$B256,куб!U:U))))))</f>
        <v>0</v>
      </c>
      <c r="AL256" s="16" t="str">
        <f t="shared" si="80"/>
        <v>-</v>
      </c>
      <c r="AM256" s="8"/>
      <c r="AN256" s="17" t="str">
        <f t="shared" si="81"/>
        <v xml:space="preserve"> </v>
      </c>
      <c r="AO256" s="17" t="str">
        <f t="shared" si="82"/>
        <v xml:space="preserve"> </v>
      </c>
      <c r="AP256" s="16" t="str">
        <f t="shared" si="83"/>
        <v>-</v>
      </c>
      <c r="AQ256" s="8"/>
      <c r="AR256" s="17" t="str">
        <f t="shared" si="84"/>
        <v>-</v>
      </c>
      <c r="AS256" s="17" t="str">
        <f t="shared" si="85"/>
        <v>-</v>
      </c>
      <c r="AT256" s="13" t="str">
        <f t="shared" si="86"/>
        <v>-</v>
      </c>
      <c r="AU256" s="8"/>
    </row>
    <row r="257" spans="1:47" ht="15" customHeight="1" x14ac:dyDescent="0.25">
      <c r="A257" s="31"/>
      <c r="B257" s="31"/>
      <c r="C257"/>
      <c r="D257" s="31"/>
      <c r="E257"/>
      <c r="F257" s="31"/>
      <c r="G257"/>
      <c r="H257" s="27">
        <f>IF($G257&lt;&gt;0,SUMIF(куб!$G:$G,$G257,куб!H:H),IF($E257&lt;&gt;0,SUMIF(куб!$E:$E,$E257,куб!H:H),IF($D257&lt;&gt;0,SUMIF(куб!$D:$D,$D257,куб!H:H),IF($C257&lt;&gt;0,SUMIF(куб!$C:$C,$C257,куб!H:H),IF($B257&lt;&gt;0,SUMIF(куб!$B:$B,$B257,куб!H:H),IF($G257&lt;&gt;0,SUMIF(куб!$A:$A,$G257,куб!H:H),SUMIF(куб!$A:$A,$G257,куб!H:H)))))))</f>
        <v>0</v>
      </c>
      <c r="I257" s="27">
        <f>IF($G257&lt;&gt;0,SUMIF(куб!$G:$G,$G257,куб!I:I),IF($E257&lt;&gt;0,SUMIF(куб!$E:$E,$E257,куб!I:I),IF($D257&lt;&gt;0,SUMIF(куб!$D:$D,$D257,куб!I:I),IF($C257&lt;&gt;0,SUMIF(куб!$C:$C,$C257,куб!I:I),IF($B257&lt;&gt;0,SUMIF(куб!$B:$B,$B257,куб!I:I),IF($G257&lt;&gt;0,SUMIF(куб!$A:$A,$G257,куб!I:I),SUMIF(куб!$A:$A,$G257,куб!I:I)))))))</f>
        <v>0</v>
      </c>
      <c r="J257" s="19" t="str">
        <f t="shared" si="87"/>
        <v>-</v>
      </c>
      <c r="K257" s="5"/>
      <c r="L257" s="17">
        <f t="shared" si="70"/>
        <v>0</v>
      </c>
      <c r="M257" s="17">
        <f t="shared" si="71"/>
        <v>0</v>
      </c>
      <c r="N257" s="12">
        <f t="shared" si="72"/>
        <v>0</v>
      </c>
      <c r="O257" s="5"/>
      <c r="P257" s="27" t="b">
        <f>IF($G257&lt;&gt;0,SUMIF(куб!$G:$G,$G257,куб!J:J),IF($E257&lt;&gt;0,SUMIF(куб!$E:$E,$E257,куб!J:J),IF($D257&lt;&gt;0,SUMIF(куб!$D:$D,$D257,куб!J:J),IF($C257&lt;&gt;0,SUMIF(куб!$C:$C,$C257,куб!J:J),IF($B257&lt;&gt;0,SUMIF(куб!$B:$B,$B257,куб!J:J))))))</f>
        <v>0</v>
      </c>
      <c r="Q257" s="27" t="b">
        <f>IF($G257&lt;&gt;0,SUMIF(куб!$G:$G,$G257,куб!K:K),IF($E257&lt;&gt;0,SUMIF(куб!$E:$E,$E257,куб!K:K),IF($D257&lt;&gt;0,SUMIF(куб!$D:$D,$D257,куб!K:K),IF($C257&lt;&gt;0,SUMIF(куб!$C:$C,$C257,куб!K:K),IF($B257&lt;&gt;0,SUMIF(куб!$B:$B,$B257,куб!K:K))))))</f>
        <v>0</v>
      </c>
      <c r="R257" s="13" t="str">
        <f t="shared" si="73"/>
        <v>-</v>
      </c>
      <c r="S257" s="5"/>
      <c r="T257" s="27" t="b">
        <f>IF($G257&lt;&gt;0,SUMIF(куб!$G:$G,$G257,куб!L:L),IF($E257&lt;&gt;0,SUMIF(куб!$E:$E,$E257,куб!L:L),IF($D257&lt;&gt;0,SUMIF(куб!$D:$D,$D257,куб!L:L),IF($C257&lt;&gt;0,SUMIF(куб!$C:$C,$C257,куб!L:L),IF($B257&lt;&gt;0,SUMIF(куб!$B:$B,$B257,куб!L:L))))))</f>
        <v>0</v>
      </c>
      <c r="U257" s="27" t="b">
        <f>IF($G257&lt;&gt;0,SUMIF(куб!$G:$G,$G257,куб!M:M),IF($E257&lt;&gt;0,SUMIF(куб!$E:$E,$E257,куб!M:M),IF($D257&lt;&gt;0,SUMIF(куб!$D:$D,$D257,куб!M:M),IF($C257&lt;&gt;0,SUMIF(куб!$C:$C,$C257,куб!M:M),IF($B257&lt;&gt;0,SUMIF(куб!$B:$B,$B257,куб!M:M))))))</f>
        <v>0</v>
      </c>
      <c r="V257" s="13" t="str">
        <f t="shared" si="74"/>
        <v>-</v>
      </c>
      <c r="W257" s="5"/>
      <c r="X257" s="27" t="b">
        <f>IF($G257&lt;&gt;0,SUMIF(куб!$G:$G,$G257,куб!N:N),IF($E257&lt;&gt;0,SUMIF(куб!$E:$E,$E257,куб!N:N),IF($D257&lt;&gt;0,SUMIF(куб!$D:$D,$D257,куб!N:N),IF($C257&lt;&gt;0,SUMIF(куб!$C:$C,$C257,куб!N:N),IF($B257&lt;&gt;0,SUMIF(куб!$B:$B,$B257,куб!N:N))))))</f>
        <v>0</v>
      </c>
      <c r="Y257" s="27" t="b">
        <f>IF($G257&lt;&gt;0,SUMIF(куб!$G:$G,$G257,куб!O:O),IF($E257&lt;&gt;0,SUMIF(куб!$E:$E,$E257,куб!O:O),IF($D257&lt;&gt;0,SUMIF(куб!$D:$D,$D257,куб!O:O),IF($C257&lt;&gt;0,SUMIF(куб!$C:$C,$C257,куб!O:O),IF($B257&lt;&gt;0,SUMIF(куб!$B:$B,$B257,куб!O:O))))))</f>
        <v>0</v>
      </c>
      <c r="Z257" s="13" t="str">
        <f t="shared" si="75"/>
        <v>-</v>
      </c>
      <c r="AA257" s="5"/>
      <c r="AB257" s="33" t="str">
        <f t="shared" si="76"/>
        <v/>
      </c>
      <c r="AC257" s="33" t="str">
        <f t="shared" si="77"/>
        <v/>
      </c>
      <c r="AD257" s="15" t="str">
        <f t="shared" si="78"/>
        <v xml:space="preserve"> </v>
      </c>
      <c r="AE257" s="5"/>
      <c r="AF257" s="27" t="b">
        <f>IF($G257&lt;&gt;0,SUMIF(куб!$G:$G,$G257,куб!R:R),IF($E257&lt;&gt;0,SUMIF(куб!$E:$E,$E257,куб!R:R),IF($D257&lt;&gt;0,SUMIF(куб!$D:$D,$D257,куб!R:R),IF($C257&lt;&gt;0,SUMIF(куб!$C:$C,$C257,куб!R:R),IF($B257&lt;&gt;0,SUMIF(куб!$B:$B,$B257,куб!R:R))))))</f>
        <v>0</v>
      </c>
      <c r="AG257" s="27" t="b">
        <f>IF($G257&lt;&gt;0,SUMIF(куб!$G:$G,$G257,куб!S:S),IF($E257&lt;&gt;0,SUMIF(куб!$E:$E,$E257,куб!S:S),IF($D257&lt;&gt;0,SUMIF(куб!$D:$D,$D257,куб!S:S),IF($C257&lt;&gt;0,SUMIF(куб!$C:$C,$C257,куб!S:S),IF($B257&lt;&gt;0,SUMIF(куб!$B:$B,$B257,куб!S:S))))))</f>
        <v>0</v>
      </c>
      <c r="AH257" s="16" t="str">
        <f t="shared" si="79"/>
        <v>-</v>
      </c>
      <c r="AI257" s="8"/>
      <c r="AJ257" s="27" t="b">
        <f>IF($G257&lt;&gt;0,SUMIF(куб!$G:$G,$G257,куб!T:T),IF($E257&lt;&gt;0,SUMIF(куб!$E:$E,$E257,куб!T:T),IF($D257&lt;&gt;0,SUMIF(куб!$D:$D,$D257,куб!T:T),IF($C257&lt;&gt;0,SUMIF(куб!$C:$C,$C257,куб!T:T),IF($B257&lt;&gt;0,SUMIF(куб!$B:$B,$B257,куб!T:T))))))</f>
        <v>0</v>
      </c>
      <c r="AK257" s="27" t="b">
        <f>IF($G257&lt;&gt;0,SUMIF(куб!$G:$G,$G257,куб!U:U),IF($E257&lt;&gt;0,SUMIF(куб!$E:$E,$E257,куб!U:U),IF($D257&lt;&gt;0,SUMIF(куб!$D:$D,$D257,куб!U:U),IF($C257&lt;&gt;0,SUMIF(куб!$C:$C,$C257,куб!U:U),IF($B257&lt;&gt;0,SUMIF(куб!$B:$B,$B257,куб!U:U))))))</f>
        <v>0</v>
      </c>
      <c r="AL257" s="16" t="str">
        <f t="shared" si="80"/>
        <v>-</v>
      </c>
      <c r="AM257" s="8"/>
      <c r="AN257" s="17" t="str">
        <f t="shared" si="81"/>
        <v xml:space="preserve"> </v>
      </c>
      <c r="AO257" s="17" t="str">
        <f t="shared" si="82"/>
        <v xml:space="preserve"> </v>
      </c>
      <c r="AP257" s="16" t="str">
        <f t="shared" si="83"/>
        <v>-</v>
      </c>
      <c r="AQ257" s="8"/>
      <c r="AR257" s="17" t="str">
        <f t="shared" si="84"/>
        <v>-</v>
      </c>
      <c r="AS257" s="17" t="str">
        <f t="shared" si="85"/>
        <v>-</v>
      </c>
      <c r="AT257" s="13" t="str">
        <f t="shared" si="86"/>
        <v>-</v>
      </c>
      <c r="AU257" s="8"/>
    </row>
    <row r="258" spans="1:47" ht="15" customHeight="1" x14ac:dyDescent="0.25">
      <c r="A258" s="31"/>
      <c r="B258" s="31"/>
      <c r="C258"/>
      <c r="D258" s="31"/>
      <c r="E258"/>
      <c r="F258" s="31"/>
      <c r="G258"/>
      <c r="H258" s="27">
        <f>IF($G258&lt;&gt;0,SUMIF(куб!$G:$G,$G258,куб!H:H),IF($E258&lt;&gt;0,SUMIF(куб!$E:$E,$E258,куб!H:H),IF($D258&lt;&gt;0,SUMIF(куб!$D:$D,$D258,куб!H:H),IF($C258&lt;&gt;0,SUMIF(куб!$C:$C,$C258,куб!H:H),IF($B258&lt;&gt;0,SUMIF(куб!$B:$B,$B258,куб!H:H),IF($G258&lt;&gt;0,SUMIF(куб!$A:$A,$G258,куб!H:H),SUMIF(куб!$A:$A,$G258,куб!H:H)))))))</f>
        <v>0</v>
      </c>
      <c r="I258" s="27">
        <f>IF($G258&lt;&gt;0,SUMIF(куб!$G:$G,$G258,куб!I:I),IF($E258&lt;&gt;0,SUMIF(куб!$E:$E,$E258,куб!I:I),IF($D258&lt;&gt;0,SUMIF(куб!$D:$D,$D258,куб!I:I),IF($C258&lt;&gt;0,SUMIF(куб!$C:$C,$C258,куб!I:I),IF($B258&lt;&gt;0,SUMIF(куб!$B:$B,$B258,куб!I:I),IF($G258&lt;&gt;0,SUMIF(куб!$A:$A,$G258,куб!I:I),SUMIF(куб!$A:$A,$G258,куб!I:I)))))))</f>
        <v>0</v>
      </c>
      <c r="J258" s="19" t="str">
        <f t="shared" si="87"/>
        <v>-</v>
      </c>
      <c r="K258" s="8"/>
      <c r="L258" s="17">
        <f t="shared" si="70"/>
        <v>0</v>
      </c>
      <c r="M258" s="17">
        <f t="shared" si="71"/>
        <v>0</v>
      </c>
      <c r="N258" s="12">
        <f t="shared" si="72"/>
        <v>0</v>
      </c>
      <c r="O258" s="5"/>
      <c r="P258" s="27" t="b">
        <f>IF($G258&lt;&gt;0,SUMIF(куб!$G:$G,$G258,куб!J:J),IF($E258&lt;&gt;0,SUMIF(куб!$E:$E,$E258,куб!J:J),IF($D258&lt;&gt;0,SUMIF(куб!$D:$D,$D258,куб!J:J),IF($C258&lt;&gt;0,SUMIF(куб!$C:$C,$C258,куб!J:J),IF($B258&lt;&gt;0,SUMIF(куб!$B:$B,$B258,куб!J:J))))))</f>
        <v>0</v>
      </c>
      <c r="Q258" s="27" t="b">
        <f>IF($G258&lt;&gt;0,SUMIF(куб!$G:$G,$G258,куб!K:K),IF($E258&lt;&gt;0,SUMIF(куб!$E:$E,$E258,куб!K:K),IF($D258&lt;&gt;0,SUMIF(куб!$D:$D,$D258,куб!K:K),IF($C258&lt;&gt;0,SUMIF(куб!$C:$C,$C258,куб!K:K),IF($B258&lt;&gt;0,SUMIF(куб!$B:$B,$B258,куб!K:K))))))</f>
        <v>0</v>
      </c>
      <c r="R258" s="13" t="str">
        <f t="shared" si="73"/>
        <v>-</v>
      </c>
      <c r="S258" s="5"/>
      <c r="T258" s="27" t="b">
        <f>IF($G258&lt;&gt;0,SUMIF(куб!$G:$G,$G258,куб!L:L),IF($E258&lt;&gt;0,SUMIF(куб!$E:$E,$E258,куб!L:L),IF($D258&lt;&gt;0,SUMIF(куб!$D:$D,$D258,куб!L:L),IF($C258&lt;&gt;0,SUMIF(куб!$C:$C,$C258,куб!L:L),IF($B258&lt;&gt;0,SUMIF(куб!$B:$B,$B258,куб!L:L))))))</f>
        <v>0</v>
      </c>
      <c r="U258" s="27" t="b">
        <f>IF($G258&lt;&gt;0,SUMIF(куб!$G:$G,$G258,куб!M:M),IF($E258&lt;&gt;0,SUMIF(куб!$E:$E,$E258,куб!M:M),IF($D258&lt;&gt;0,SUMIF(куб!$D:$D,$D258,куб!M:M),IF($C258&lt;&gt;0,SUMIF(куб!$C:$C,$C258,куб!M:M),IF($B258&lt;&gt;0,SUMIF(куб!$B:$B,$B258,куб!M:M))))))</f>
        <v>0</v>
      </c>
      <c r="V258" s="13" t="str">
        <f t="shared" si="74"/>
        <v>-</v>
      </c>
      <c r="W258" s="5"/>
      <c r="X258" s="27" t="b">
        <f>IF($G258&lt;&gt;0,SUMIF(куб!$G:$G,$G258,куб!N:N),IF($E258&lt;&gt;0,SUMIF(куб!$E:$E,$E258,куб!N:N),IF($D258&lt;&gt;0,SUMIF(куб!$D:$D,$D258,куб!N:N),IF($C258&lt;&gt;0,SUMIF(куб!$C:$C,$C258,куб!N:N),IF($B258&lt;&gt;0,SUMIF(куб!$B:$B,$B258,куб!N:N))))))</f>
        <v>0</v>
      </c>
      <c r="Y258" s="27" t="b">
        <f>IF($G258&lt;&gt;0,SUMIF(куб!$G:$G,$G258,куб!O:O),IF($E258&lt;&gt;0,SUMIF(куб!$E:$E,$E258,куб!O:O),IF($D258&lt;&gt;0,SUMIF(куб!$D:$D,$D258,куб!O:O),IF($C258&lt;&gt;0,SUMIF(куб!$C:$C,$C258,куб!O:O),IF($B258&lt;&gt;0,SUMIF(куб!$B:$B,$B258,куб!O:O))))))</f>
        <v>0</v>
      </c>
      <c r="Z258" s="13" t="str">
        <f t="shared" si="75"/>
        <v>-</v>
      </c>
      <c r="AA258" s="5"/>
      <c r="AB258" s="33" t="str">
        <f t="shared" si="76"/>
        <v/>
      </c>
      <c r="AC258" s="33" t="str">
        <f t="shared" si="77"/>
        <v/>
      </c>
      <c r="AD258" s="15" t="str">
        <f t="shared" si="78"/>
        <v xml:space="preserve"> </v>
      </c>
      <c r="AE258" s="5"/>
      <c r="AF258" s="27" t="b">
        <f>IF($G258&lt;&gt;0,SUMIF(куб!$G:$G,$G258,куб!R:R),IF($E258&lt;&gt;0,SUMIF(куб!$E:$E,$E258,куб!R:R),IF($D258&lt;&gt;0,SUMIF(куб!$D:$D,$D258,куб!R:R),IF($C258&lt;&gt;0,SUMIF(куб!$C:$C,$C258,куб!R:R),IF($B258&lt;&gt;0,SUMIF(куб!$B:$B,$B258,куб!R:R))))))</f>
        <v>0</v>
      </c>
      <c r="AG258" s="27" t="b">
        <f>IF($G258&lt;&gt;0,SUMIF(куб!$G:$G,$G258,куб!S:S),IF($E258&lt;&gt;0,SUMIF(куб!$E:$E,$E258,куб!S:S),IF($D258&lt;&gt;0,SUMIF(куб!$D:$D,$D258,куб!S:S),IF($C258&lt;&gt;0,SUMIF(куб!$C:$C,$C258,куб!S:S),IF($B258&lt;&gt;0,SUMIF(куб!$B:$B,$B258,куб!S:S))))))</f>
        <v>0</v>
      </c>
      <c r="AH258" s="16" t="str">
        <f t="shared" si="79"/>
        <v>-</v>
      </c>
      <c r="AI258" s="8"/>
      <c r="AJ258" s="27" t="b">
        <f>IF($G258&lt;&gt;0,SUMIF(куб!$G:$G,$G258,куб!T:T),IF($E258&lt;&gt;0,SUMIF(куб!$E:$E,$E258,куб!T:T),IF($D258&lt;&gt;0,SUMIF(куб!$D:$D,$D258,куб!T:T),IF($C258&lt;&gt;0,SUMIF(куб!$C:$C,$C258,куб!T:T),IF($B258&lt;&gt;0,SUMIF(куб!$B:$B,$B258,куб!T:T))))))</f>
        <v>0</v>
      </c>
      <c r="AK258" s="27" t="b">
        <f>IF($G258&lt;&gt;0,SUMIF(куб!$G:$G,$G258,куб!U:U),IF($E258&lt;&gt;0,SUMIF(куб!$E:$E,$E258,куб!U:U),IF($D258&lt;&gt;0,SUMIF(куб!$D:$D,$D258,куб!U:U),IF($C258&lt;&gt;0,SUMIF(куб!$C:$C,$C258,куб!U:U),IF($B258&lt;&gt;0,SUMIF(куб!$B:$B,$B258,куб!U:U))))))</f>
        <v>0</v>
      </c>
      <c r="AL258" s="16" t="str">
        <f t="shared" si="80"/>
        <v>-</v>
      </c>
      <c r="AM258" s="8"/>
      <c r="AN258" s="17" t="str">
        <f t="shared" si="81"/>
        <v xml:space="preserve"> </v>
      </c>
      <c r="AO258" s="17" t="str">
        <f t="shared" si="82"/>
        <v xml:space="preserve"> </v>
      </c>
      <c r="AP258" s="16" t="str">
        <f t="shared" si="83"/>
        <v>-</v>
      </c>
      <c r="AQ258" s="8"/>
      <c r="AR258" s="17" t="str">
        <f t="shared" si="84"/>
        <v>-</v>
      </c>
      <c r="AS258" s="17" t="str">
        <f t="shared" si="85"/>
        <v>-</v>
      </c>
      <c r="AT258" s="13" t="str">
        <f t="shared" si="86"/>
        <v>-</v>
      </c>
      <c r="AU258" s="8"/>
    </row>
    <row r="259" spans="1:47" ht="15" customHeight="1" x14ac:dyDescent="0.25">
      <c r="A259" s="31"/>
      <c r="B259" s="31"/>
      <c r="C259"/>
      <c r="D259" s="31"/>
      <c r="E259"/>
      <c r="F259" s="31"/>
      <c r="G259"/>
      <c r="H259" s="27">
        <f>IF($G259&lt;&gt;0,SUMIF(куб!$G:$G,$G259,куб!H:H),IF($E259&lt;&gt;0,SUMIF(куб!$E:$E,$E259,куб!H:H),IF($D259&lt;&gt;0,SUMIF(куб!$D:$D,$D259,куб!H:H),IF($C259&lt;&gt;0,SUMIF(куб!$C:$C,$C259,куб!H:H),IF($B259&lt;&gt;0,SUMIF(куб!$B:$B,$B259,куб!H:H),IF($G259&lt;&gt;0,SUMIF(куб!$A:$A,$G259,куб!H:H),SUMIF(куб!$A:$A,$G259,куб!H:H)))))))</f>
        <v>0</v>
      </c>
      <c r="I259" s="27">
        <f>IF($G259&lt;&gt;0,SUMIF(куб!$G:$G,$G259,куб!I:I),IF($E259&lt;&gt;0,SUMIF(куб!$E:$E,$E259,куб!I:I),IF($D259&lt;&gt;0,SUMIF(куб!$D:$D,$D259,куб!I:I),IF($C259&lt;&gt;0,SUMIF(куб!$C:$C,$C259,куб!I:I),IF($B259&lt;&gt;0,SUMIF(куб!$B:$B,$B259,куб!I:I),IF($G259&lt;&gt;0,SUMIF(куб!$A:$A,$G259,куб!I:I),SUMIF(куб!$A:$A,$G259,куб!I:I)))))))</f>
        <v>0</v>
      </c>
      <c r="J259" s="19" t="str">
        <f t="shared" si="87"/>
        <v>-</v>
      </c>
      <c r="K259" s="10"/>
      <c r="L259" s="17">
        <f t="shared" si="70"/>
        <v>0</v>
      </c>
      <c r="M259" s="17">
        <f t="shared" si="71"/>
        <v>0</v>
      </c>
      <c r="N259" s="12">
        <f t="shared" si="72"/>
        <v>0</v>
      </c>
      <c r="O259" s="5"/>
      <c r="P259" s="27" t="b">
        <f>IF($G259&lt;&gt;0,SUMIF(куб!$G:$G,$G259,куб!J:J),IF($E259&lt;&gt;0,SUMIF(куб!$E:$E,$E259,куб!J:J),IF($D259&lt;&gt;0,SUMIF(куб!$D:$D,$D259,куб!J:J),IF($C259&lt;&gt;0,SUMIF(куб!$C:$C,$C259,куб!J:J),IF($B259&lt;&gt;0,SUMIF(куб!$B:$B,$B259,куб!J:J))))))</f>
        <v>0</v>
      </c>
      <c r="Q259" s="27" t="b">
        <f>IF($G259&lt;&gt;0,SUMIF(куб!$G:$G,$G259,куб!K:K),IF($E259&lt;&gt;0,SUMIF(куб!$E:$E,$E259,куб!K:K),IF($D259&lt;&gt;0,SUMIF(куб!$D:$D,$D259,куб!K:K),IF($C259&lt;&gt;0,SUMIF(куб!$C:$C,$C259,куб!K:K),IF($B259&lt;&gt;0,SUMIF(куб!$B:$B,$B259,куб!K:K))))))</f>
        <v>0</v>
      </c>
      <c r="R259" s="13" t="str">
        <f t="shared" si="73"/>
        <v>-</v>
      </c>
      <c r="S259" s="5"/>
      <c r="T259" s="27" t="b">
        <f>IF($G259&lt;&gt;0,SUMIF(куб!$G:$G,$G259,куб!L:L),IF($E259&lt;&gt;0,SUMIF(куб!$E:$E,$E259,куб!L:L),IF($D259&lt;&gt;0,SUMIF(куб!$D:$D,$D259,куб!L:L),IF($C259&lt;&gt;0,SUMIF(куб!$C:$C,$C259,куб!L:L),IF($B259&lt;&gt;0,SUMIF(куб!$B:$B,$B259,куб!L:L))))))</f>
        <v>0</v>
      </c>
      <c r="U259" s="27" t="b">
        <f>IF($G259&lt;&gt;0,SUMIF(куб!$G:$G,$G259,куб!M:M),IF($E259&lt;&gt;0,SUMIF(куб!$E:$E,$E259,куб!M:M),IF($D259&lt;&gt;0,SUMIF(куб!$D:$D,$D259,куб!M:M),IF($C259&lt;&gt;0,SUMIF(куб!$C:$C,$C259,куб!M:M),IF($B259&lt;&gt;0,SUMIF(куб!$B:$B,$B259,куб!M:M))))))</f>
        <v>0</v>
      </c>
      <c r="V259" s="13" t="str">
        <f t="shared" si="74"/>
        <v>-</v>
      </c>
      <c r="W259" s="5"/>
      <c r="X259" s="27" t="b">
        <f>IF($G259&lt;&gt;0,SUMIF(куб!$G:$G,$G259,куб!N:N),IF($E259&lt;&gt;0,SUMIF(куб!$E:$E,$E259,куб!N:N),IF($D259&lt;&gt;0,SUMIF(куб!$D:$D,$D259,куб!N:N),IF($C259&lt;&gt;0,SUMIF(куб!$C:$C,$C259,куб!N:N),IF($B259&lt;&gt;0,SUMIF(куб!$B:$B,$B259,куб!N:N))))))</f>
        <v>0</v>
      </c>
      <c r="Y259" s="27" t="b">
        <f>IF($G259&lt;&gt;0,SUMIF(куб!$G:$G,$G259,куб!O:O),IF($E259&lt;&gt;0,SUMIF(куб!$E:$E,$E259,куб!O:O),IF($D259&lt;&gt;0,SUMIF(куб!$D:$D,$D259,куб!O:O),IF($C259&lt;&gt;0,SUMIF(куб!$C:$C,$C259,куб!O:O),IF($B259&lt;&gt;0,SUMIF(куб!$B:$B,$B259,куб!O:O))))))</f>
        <v>0</v>
      </c>
      <c r="Z259" s="13" t="str">
        <f t="shared" si="75"/>
        <v>-</v>
      </c>
      <c r="AA259" s="5"/>
      <c r="AB259" s="33" t="str">
        <f t="shared" si="76"/>
        <v/>
      </c>
      <c r="AC259" s="33" t="str">
        <f t="shared" si="77"/>
        <v/>
      </c>
      <c r="AD259" s="15" t="str">
        <f t="shared" si="78"/>
        <v xml:space="preserve"> </v>
      </c>
      <c r="AE259" s="5"/>
      <c r="AF259" s="27" t="b">
        <f>IF($G259&lt;&gt;0,SUMIF(куб!$G:$G,$G259,куб!R:R),IF($E259&lt;&gt;0,SUMIF(куб!$E:$E,$E259,куб!R:R),IF($D259&lt;&gt;0,SUMIF(куб!$D:$D,$D259,куб!R:R),IF($C259&lt;&gt;0,SUMIF(куб!$C:$C,$C259,куб!R:R),IF($B259&lt;&gt;0,SUMIF(куб!$B:$B,$B259,куб!R:R))))))</f>
        <v>0</v>
      </c>
      <c r="AG259" s="27" t="b">
        <f>IF($G259&lt;&gt;0,SUMIF(куб!$G:$G,$G259,куб!S:S),IF($E259&lt;&gt;0,SUMIF(куб!$E:$E,$E259,куб!S:S),IF($D259&lt;&gt;0,SUMIF(куб!$D:$D,$D259,куб!S:S),IF($C259&lt;&gt;0,SUMIF(куб!$C:$C,$C259,куб!S:S),IF($B259&lt;&gt;0,SUMIF(куб!$B:$B,$B259,куб!S:S))))))</f>
        <v>0</v>
      </c>
      <c r="AH259" s="16" t="str">
        <f t="shared" si="79"/>
        <v>-</v>
      </c>
      <c r="AI259" s="8"/>
      <c r="AJ259" s="27" t="b">
        <f>IF($G259&lt;&gt;0,SUMIF(куб!$G:$G,$G259,куб!T:T),IF($E259&lt;&gt;0,SUMIF(куб!$E:$E,$E259,куб!T:T),IF($D259&lt;&gt;0,SUMIF(куб!$D:$D,$D259,куб!T:T),IF($C259&lt;&gt;0,SUMIF(куб!$C:$C,$C259,куб!T:T),IF($B259&lt;&gt;0,SUMIF(куб!$B:$B,$B259,куб!T:T))))))</f>
        <v>0</v>
      </c>
      <c r="AK259" s="27" t="b">
        <f>IF($G259&lt;&gt;0,SUMIF(куб!$G:$G,$G259,куб!U:U),IF($E259&lt;&gt;0,SUMIF(куб!$E:$E,$E259,куб!U:U),IF($D259&lt;&gt;0,SUMIF(куб!$D:$D,$D259,куб!U:U),IF($C259&lt;&gt;0,SUMIF(куб!$C:$C,$C259,куб!U:U),IF($B259&lt;&gt;0,SUMIF(куб!$B:$B,$B259,куб!U:U))))))</f>
        <v>0</v>
      </c>
      <c r="AL259" s="16" t="str">
        <f t="shared" si="80"/>
        <v>-</v>
      </c>
      <c r="AM259" s="8"/>
      <c r="AN259" s="17" t="str">
        <f t="shared" si="81"/>
        <v xml:space="preserve"> </v>
      </c>
      <c r="AO259" s="17" t="str">
        <f t="shared" si="82"/>
        <v xml:space="preserve"> </v>
      </c>
      <c r="AP259" s="16" t="str">
        <f t="shared" si="83"/>
        <v>-</v>
      </c>
      <c r="AQ259" s="8"/>
      <c r="AR259" s="17" t="str">
        <f t="shared" si="84"/>
        <v>-</v>
      </c>
      <c r="AS259" s="17" t="str">
        <f t="shared" si="85"/>
        <v>-</v>
      </c>
      <c r="AT259" s="13" t="str">
        <f t="shared" si="86"/>
        <v>-</v>
      </c>
      <c r="AU259" s="8"/>
    </row>
    <row r="260" spans="1:47" ht="15" customHeight="1" x14ac:dyDescent="0.25">
      <c r="A260" s="31"/>
      <c r="B260" s="31"/>
      <c r="C260"/>
      <c r="D260" s="31"/>
      <c r="E260"/>
      <c r="F260" s="31"/>
      <c r="G260"/>
      <c r="H260" s="27">
        <f>IF($G260&lt;&gt;0,SUMIF(куб!$G:$G,$G260,куб!H:H),IF($E260&lt;&gt;0,SUMIF(куб!$E:$E,$E260,куб!H:H),IF($D260&lt;&gt;0,SUMIF(куб!$D:$D,$D260,куб!H:H),IF($C260&lt;&gt;0,SUMIF(куб!$C:$C,$C260,куб!H:H),IF($B260&lt;&gt;0,SUMIF(куб!$B:$B,$B260,куб!H:H),IF($G260&lt;&gt;0,SUMIF(куб!$A:$A,$G260,куб!H:H),SUMIF(куб!$A:$A,$G260,куб!H:H)))))))</f>
        <v>0</v>
      </c>
      <c r="I260" s="27">
        <f>IF($G260&lt;&gt;0,SUMIF(куб!$G:$G,$G260,куб!I:I),IF($E260&lt;&gt;0,SUMIF(куб!$E:$E,$E260,куб!I:I),IF($D260&lt;&gt;0,SUMIF(куб!$D:$D,$D260,куб!I:I),IF($C260&lt;&gt;0,SUMIF(куб!$C:$C,$C260,куб!I:I),IF($B260&lt;&gt;0,SUMIF(куб!$B:$B,$B260,куб!I:I),IF($G260&lt;&gt;0,SUMIF(куб!$A:$A,$G260,куб!I:I),SUMIF(куб!$A:$A,$G260,куб!I:I)))))))</f>
        <v>0</v>
      </c>
      <c r="J260" s="19" t="str">
        <f t="shared" si="87"/>
        <v>-</v>
      </c>
      <c r="K260" s="5"/>
      <c r="L260" s="17">
        <f t="shared" si="70"/>
        <v>0</v>
      </c>
      <c r="M260" s="17">
        <f t="shared" si="71"/>
        <v>0</v>
      </c>
      <c r="N260" s="12">
        <f t="shared" si="72"/>
        <v>0</v>
      </c>
      <c r="O260" s="5"/>
      <c r="P260" s="27" t="b">
        <f>IF($G260&lt;&gt;0,SUMIF(куб!$G:$G,$G260,куб!J:J),IF($E260&lt;&gt;0,SUMIF(куб!$E:$E,$E260,куб!J:J),IF($D260&lt;&gt;0,SUMIF(куб!$D:$D,$D260,куб!J:J),IF($C260&lt;&gt;0,SUMIF(куб!$C:$C,$C260,куб!J:J),IF($B260&lt;&gt;0,SUMIF(куб!$B:$B,$B260,куб!J:J))))))</f>
        <v>0</v>
      </c>
      <c r="Q260" s="27" t="b">
        <f>IF($G260&lt;&gt;0,SUMIF(куб!$G:$G,$G260,куб!K:K),IF($E260&lt;&gt;0,SUMIF(куб!$E:$E,$E260,куб!K:K),IF($D260&lt;&gt;0,SUMIF(куб!$D:$D,$D260,куб!K:K),IF($C260&lt;&gt;0,SUMIF(куб!$C:$C,$C260,куб!K:K),IF($B260&lt;&gt;0,SUMIF(куб!$B:$B,$B260,куб!K:K))))))</f>
        <v>0</v>
      </c>
      <c r="R260" s="13" t="str">
        <f t="shared" si="73"/>
        <v>-</v>
      </c>
      <c r="S260" s="5"/>
      <c r="T260" s="27" t="b">
        <f>IF($G260&lt;&gt;0,SUMIF(куб!$G:$G,$G260,куб!L:L),IF($E260&lt;&gt;0,SUMIF(куб!$E:$E,$E260,куб!L:L),IF($D260&lt;&gt;0,SUMIF(куб!$D:$D,$D260,куб!L:L),IF($C260&lt;&gt;0,SUMIF(куб!$C:$C,$C260,куб!L:L),IF($B260&lt;&gt;0,SUMIF(куб!$B:$B,$B260,куб!L:L))))))</f>
        <v>0</v>
      </c>
      <c r="U260" s="27" t="b">
        <f>IF($G260&lt;&gt;0,SUMIF(куб!$G:$G,$G260,куб!M:M),IF($E260&lt;&gt;0,SUMIF(куб!$E:$E,$E260,куб!M:M),IF($D260&lt;&gt;0,SUMIF(куб!$D:$D,$D260,куб!M:M),IF($C260&lt;&gt;0,SUMIF(куб!$C:$C,$C260,куб!M:M),IF($B260&lt;&gt;0,SUMIF(куб!$B:$B,$B260,куб!M:M))))))</f>
        <v>0</v>
      </c>
      <c r="V260" s="13" t="str">
        <f t="shared" si="74"/>
        <v>-</v>
      </c>
      <c r="W260" s="5"/>
      <c r="X260" s="27" t="b">
        <f>IF($G260&lt;&gt;0,SUMIF(куб!$G:$G,$G260,куб!N:N),IF($E260&lt;&gt;0,SUMIF(куб!$E:$E,$E260,куб!N:N),IF($D260&lt;&gt;0,SUMIF(куб!$D:$D,$D260,куб!N:N),IF($C260&lt;&gt;0,SUMIF(куб!$C:$C,$C260,куб!N:N),IF($B260&lt;&gt;0,SUMIF(куб!$B:$B,$B260,куб!N:N))))))</f>
        <v>0</v>
      </c>
      <c r="Y260" s="27" t="b">
        <f>IF($G260&lt;&gt;0,SUMIF(куб!$G:$G,$G260,куб!O:O),IF($E260&lt;&gt;0,SUMIF(куб!$E:$E,$E260,куб!O:O),IF($D260&lt;&gt;0,SUMIF(куб!$D:$D,$D260,куб!O:O),IF($C260&lt;&gt;0,SUMIF(куб!$C:$C,$C260,куб!O:O),IF($B260&lt;&gt;0,SUMIF(куб!$B:$B,$B260,куб!O:O))))))</f>
        <v>0</v>
      </c>
      <c r="Z260" s="13" t="str">
        <f t="shared" si="75"/>
        <v>-</v>
      </c>
      <c r="AA260" s="5"/>
      <c r="AB260" s="33" t="str">
        <f t="shared" si="76"/>
        <v/>
      </c>
      <c r="AC260" s="33" t="str">
        <f t="shared" si="77"/>
        <v/>
      </c>
      <c r="AD260" s="15" t="str">
        <f t="shared" si="78"/>
        <v xml:space="preserve"> </v>
      </c>
      <c r="AE260" s="5"/>
      <c r="AF260" s="27" t="b">
        <f>IF($G260&lt;&gt;0,SUMIF(куб!$G:$G,$G260,куб!R:R),IF($E260&lt;&gt;0,SUMIF(куб!$E:$E,$E260,куб!R:R),IF($D260&lt;&gt;0,SUMIF(куб!$D:$D,$D260,куб!R:R),IF($C260&lt;&gt;0,SUMIF(куб!$C:$C,$C260,куб!R:R),IF($B260&lt;&gt;0,SUMIF(куб!$B:$B,$B260,куб!R:R))))))</f>
        <v>0</v>
      </c>
      <c r="AG260" s="27" t="b">
        <f>IF($G260&lt;&gt;0,SUMIF(куб!$G:$G,$G260,куб!S:S),IF($E260&lt;&gt;0,SUMIF(куб!$E:$E,$E260,куб!S:S),IF($D260&lt;&gt;0,SUMIF(куб!$D:$D,$D260,куб!S:S),IF($C260&lt;&gt;0,SUMIF(куб!$C:$C,$C260,куб!S:S),IF($B260&lt;&gt;0,SUMIF(куб!$B:$B,$B260,куб!S:S))))))</f>
        <v>0</v>
      </c>
      <c r="AH260" s="16" t="str">
        <f t="shared" si="79"/>
        <v>-</v>
      </c>
      <c r="AI260" s="8"/>
      <c r="AJ260" s="27" t="b">
        <f>IF($G260&lt;&gt;0,SUMIF(куб!$G:$G,$G260,куб!T:T),IF($E260&lt;&gt;0,SUMIF(куб!$E:$E,$E260,куб!T:T),IF($D260&lt;&gt;0,SUMIF(куб!$D:$D,$D260,куб!T:T),IF($C260&lt;&gt;0,SUMIF(куб!$C:$C,$C260,куб!T:T),IF($B260&lt;&gt;0,SUMIF(куб!$B:$B,$B260,куб!T:T))))))</f>
        <v>0</v>
      </c>
      <c r="AK260" s="27" t="b">
        <f>IF($G260&lt;&gt;0,SUMIF(куб!$G:$G,$G260,куб!U:U),IF($E260&lt;&gt;0,SUMIF(куб!$E:$E,$E260,куб!U:U),IF($D260&lt;&gt;0,SUMIF(куб!$D:$D,$D260,куб!U:U),IF($C260&lt;&gt;0,SUMIF(куб!$C:$C,$C260,куб!U:U),IF($B260&lt;&gt;0,SUMIF(куб!$B:$B,$B260,куб!U:U))))))</f>
        <v>0</v>
      </c>
      <c r="AL260" s="16" t="str">
        <f t="shared" si="80"/>
        <v>-</v>
      </c>
      <c r="AM260" s="8"/>
      <c r="AN260" s="17" t="str">
        <f t="shared" si="81"/>
        <v xml:space="preserve"> </v>
      </c>
      <c r="AO260" s="17" t="str">
        <f t="shared" si="82"/>
        <v xml:space="preserve"> </v>
      </c>
      <c r="AP260" s="16" t="str">
        <f t="shared" si="83"/>
        <v>-</v>
      </c>
      <c r="AQ260" s="8"/>
      <c r="AR260" s="17" t="str">
        <f t="shared" si="84"/>
        <v>-</v>
      </c>
      <c r="AS260" s="17" t="str">
        <f t="shared" si="85"/>
        <v>-</v>
      </c>
      <c r="AT260" s="13" t="str">
        <f t="shared" si="86"/>
        <v>-</v>
      </c>
      <c r="AU260" s="8"/>
    </row>
    <row r="261" spans="1:47" ht="15" customHeight="1" x14ac:dyDescent="0.25">
      <c r="A261" s="31"/>
      <c r="B261" s="31"/>
      <c r="C261"/>
      <c r="D261" s="31"/>
      <c r="E261"/>
      <c r="F261" s="31"/>
      <c r="G261"/>
      <c r="H261" s="27">
        <f>IF($G261&lt;&gt;0,SUMIF(куб!$G:$G,$G261,куб!H:H),IF($E261&lt;&gt;0,SUMIF(куб!$E:$E,$E261,куб!H:H),IF($D261&lt;&gt;0,SUMIF(куб!$D:$D,$D261,куб!H:H),IF($C261&lt;&gt;0,SUMIF(куб!$C:$C,$C261,куб!H:H),IF($B261&lt;&gt;0,SUMIF(куб!$B:$B,$B261,куб!H:H),IF($G261&lt;&gt;0,SUMIF(куб!$A:$A,$G261,куб!H:H),SUMIF(куб!$A:$A,$G261,куб!H:H)))))))</f>
        <v>0</v>
      </c>
      <c r="I261" s="27">
        <f>IF($G261&lt;&gt;0,SUMIF(куб!$G:$G,$G261,куб!I:I),IF($E261&lt;&gt;0,SUMIF(куб!$E:$E,$E261,куб!I:I),IF($D261&lt;&gt;0,SUMIF(куб!$D:$D,$D261,куб!I:I),IF($C261&lt;&gt;0,SUMIF(куб!$C:$C,$C261,куб!I:I),IF($B261&lt;&gt;0,SUMIF(куб!$B:$B,$B261,куб!I:I),IF($G261&lt;&gt;0,SUMIF(куб!$A:$A,$G261,куб!I:I),SUMIF(куб!$A:$A,$G261,куб!I:I)))))))</f>
        <v>0</v>
      </c>
      <c r="J261" s="19" t="str">
        <f t="shared" si="87"/>
        <v>-</v>
      </c>
      <c r="K261" s="5"/>
      <c r="L261" s="17">
        <f t="shared" ref="L261:L290" si="88">H261/$H$3</f>
        <v>0</v>
      </c>
      <c r="M261" s="17">
        <f t="shared" ref="M261:M290" si="89">I261/$I$3</f>
        <v>0</v>
      </c>
      <c r="N261" s="12">
        <f t="shared" ref="N261:N290" si="90">M261-L261</f>
        <v>0</v>
      </c>
      <c r="O261" s="5"/>
      <c r="P261" s="27" t="b">
        <f>IF($G261&lt;&gt;0,SUMIF(куб!$G:$G,$G261,куб!J:J),IF($E261&lt;&gt;0,SUMIF(куб!$E:$E,$E261,куб!J:J),IF($D261&lt;&gt;0,SUMIF(куб!$D:$D,$D261,куб!J:J),IF($C261&lt;&gt;0,SUMIF(куб!$C:$C,$C261,куб!J:J),IF($B261&lt;&gt;0,SUMIF(куб!$B:$B,$B261,куб!J:J))))))</f>
        <v>0</v>
      </c>
      <c r="Q261" s="27" t="b">
        <f>IF($G261&lt;&gt;0,SUMIF(куб!$G:$G,$G261,куб!K:K),IF($E261&lt;&gt;0,SUMIF(куб!$E:$E,$E261,куб!K:K),IF($D261&lt;&gt;0,SUMIF(куб!$D:$D,$D261,куб!K:K),IF($C261&lt;&gt;0,SUMIF(куб!$C:$C,$C261,куб!K:K),IF($B261&lt;&gt;0,SUMIF(куб!$B:$B,$B261,куб!K:K))))))</f>
        <v>0</v>
      </c>
      <c r="R261" s="13" t="str">
        <f t="shared" ref="R261:R290" si="91">IFERROR((Q261-P261)/ABS(P261),"-")</f>
        <v>-</v>
      </c>
      <c r="S261" s="5"/>
      <c r="T261" s="27" t="b">
        <f>IF($G261&lt;&gt;0,SUMIF(куб!$G:$G,$G261,куб!L:L),IF($E261&lt;&gt;0,SUMIF(куб!$E:$E,$E261,куб!L:L),IF($D261&lt;&gt;0,SUMIF(куб!$D:$D,$D261,куб!L:L),IF($C261&lt;&gt;0,SUMIF(куб!$C:$C,$C261,куб!L:L),IF($B261&lt;&gt;0,SUMIF(куб!$B:$B,$B261,куб!L:L))))))</f>
        <v>0</v>
      </c>
      <c r="U261" s="27" t="b">
        <f>IF($G261&lt;&gt;0,SUMIF(куб!$G:$G,$G261,куб!M:M),IF($E261&lt;&gt;0,SUMIF(куб!$E:$E,$E261,куб!M:M),IF($D261&lt;&gt;0,SUMIF(куб!$D:$D,$D261,куб!M:M),IF($C261&lt;&gt;0,SUMIF(куб!$C:$C,$C261,куб!M:M),IF($B261&lt;&gt;0,SUMIF(куб!$B:$B,$B261,куб!M:M))))))</f>
        <v>0</v>
      </c>
      <c r="V261" s="13" t="str">
        <f t="shared" ref="V261:V290" si="92">IFERROR((U261-T261)/ABS(T261),"-")</f>
        <v>-</v>
      </c>
      <c r="W261" s="5"/>
      <c r="X261" s="27" t="b">
        <f>IF($G261&lt;&gt;0,SUMIF(куб!$G:$G,$G261,куб!N:N),IF($E261&lt;&gt;0,SUMIF(куб!$E:$E,$E261,куб!N:N),IF($D261&lt;&gt;0,SUMIF(куб!$D:$D,$D261,куб!N:N),IF($C261&lt;&gt;0,SUMIF(куб!$C:$C,$C261,куб!N:N),IF($B261&lt;&gt;0,SUMIF(куб!$B:$B,$B261,куб!N:N))))))</f>
        <v>0</v>
      </c>
      <c r="Y261" s="27" t="b">
        <f>IF($G261&lt;&gt;0,SUMIF(куб!$G:$G,$G261,куб!O:O),IF($E261&lt;&gt;0,SUMIF(куб!$E:$E,$E261,куб!O:O),IF($D261&lt;&gt;0,SUMIF(куб!$D:$D,$D261,куб!O:O),IF($C261&lt;&gt;0,SUMIF(куб!$C:$C,$C261,куб!O:O),IF($B261&lt;&gt;0,SUMIF(куб!$B:$B,$B261,куб!O:O))))))</f>
        <v>0</v>
      </c>
      <c r="Z261" s="13" t="str">
        <f t="shared" ref="Z261:Z290" si="93">IFERROR((Y261-X261)/ABS(X261),"-")</f>
        <v>-</v>
      </c>
      <c r="AA261" s="5"/>
      <c r="AB261" s="33" t="str">
        <f t="shared" ref="AB261:AC261" si="94">IFERROR(X261/H261,"")</f>
        <v/>
      </c>
      <c r="AC261" s="33" t="str">
        <f t="shared" si="94"/>
        <v/>
      </c>
      <c r="AD261" s="15" t="str">
        <f t="shared" ref="AD261" si="95">IFERROR(AC261-AB261," ")</f>
        <v xml:space="preserve"> </v>
      </c>
      <c r="AE261" s="5"/>
      <c r="AF261" s="27" t="b">
        <f>IF($G261&lt;&gt;0,SUMIF(куб!$G:$G,$G261,куб!R:R),IF($E261&lt;&gt;0,SUMIF(куб!$E:$E,$E261,куб!R:R),IF($D261&lt;&gt;0,SUMIF(куб!$D:$D,$D261,куб!R:R),IF($C261&lt;&gt;0,SUMIF(куб!$C:$C,$C261,куб!R:R),IF($B261&lt;&gt;0,SUMIF(куб!$B:$B,$B261,куб!R:R))))))</f>
        <v>0</v>
      </c>
      <c r="AG261" s="27" t="b">
        <f>IF($G261&lt;&gt;0,SUMIF(куб!$G:$G,$G261,куб!S:S),IF($E261&lt;&gt;0,SUMIF(куб!$E:$E,$E261,куб!S:S),IF($D261&lt;&gt;0,SUMIF(куб!$D:$D,$D261,куб!S:S),IF($C261&lt;&gt;0,SUMIF(куб!$C:$C,$C261,куб!S:S),IF($B261&lt;&gt;0,SUMIF(куб!$B:$B,$B261,куб!S:S))))))</f>
        <v>0</v>
      </c>
      <c r="AH261" s="16" t="str">
        <f t="shared" ref="AH261:AH290" si="96">IFERROR((AG261-AF261)/ABS(AF261),"-")</f>
        <v>-</v>
      </c>
      <c r="AI261" s="8"/>
      <c r="AJ261" s="27" t="b">
        <f>IF($G261&lt;&gt;0,SUMIF(куб!$G:$G,$G261,куб!T:T),IF($E261&lt;&gt;0,SUMIF(куб!$E:$E,$E261,куб!T:T),IF($D261&lt;&gt;0,SUMIF(куб!$D:$D,$D261,куб!T:T),IF($C261&lt;&gt;0,SUMIF(куб!$C:$C,$C261,куб!T:T),IF($B261&lt;&gt;0,SUMIF(куб!$B:$B,$B261,куб!T:T))))))</f>
        <v>0</v>
      </c>
      <c r="AK261" s="27" t="b">
        <f>IF($G261&lt;&gt;0,SUMIF(куб!$G:$G,$G261,куб!U:U),IF($E261&lt;&gt;0,SUMIF(куб!$E:$E,$E261,куб!U:U),IF($D261&lt;&gt;0,SUMIF(куб!$D:$D,$D261,куб!U:U),IF($C261&lt;&gt;0,SUMIF(куб!$C:$C,$C261,куб!U:U),IF($B261&lt;&gt;0,SUMIF(куб!$B:$B,$B261,куб!U:U))))))</f>
        <v>0</v>
      </c>
      <c r="AL261" s="16" t="str">
        <f t="shared" ref="AL261:AL290" si="97">IFERROR((AK261-AJ261)/ABS(AJ261),"-")</f>
        <v>-</v>
      </c>
      <c r="AM261" s="8"/>
      <c r="AN261" s="17" t="str">
        <f t="shared" ref="AN261:AN290" si="98">IFERROR(AF261/H261," ")</f>
        <v xml:space="preserve"> </v>
      </c>
      <c r="AO261" s="17" t="str">
        <f t="shared" ref="AO261:AO290" si="99">IFERROR(AG261/I261," ")</f>
        <v xml:space="preserve"> </v>
      </c>
      <c r="AP261" s="16" t="str">
        <f t="shared" ref="AP261:AP290" si="100">IFERROR(AO261-AN261,"-")</f>
        <v>-</v>
      </c>
      <c r="AQ261" s="8"/>
      <c r="AR261" s="17" t="str">
        <f t="shared" ref="AR261:AR290" si="101">IFERROR((X261-AF261)/H261,"-")</f>
        <v>-</v>
      </c>
      <c r="AS261" s="17" t="str">
        <f t="shared" ref="AS261:AS290" si="102">IFERROR((Y261-AG261)/I261,"-")</f>
        <v>-</v>
      </c>
      <c r="AT261" s="13" t="str">
        <f t="shared" ref="AT261:AT290" si="103">IFERROR(AS261-AR261,"-")</f>
        <v>-</v>
      </c>
      <c r="AU261" s="8"/>
    </row>
    <row r="262" spans="1:47" ht="15" customHeight="1" x14ac:dyDescent="0.25">
      <c r="A262" s="31"/>
      <c r="B262" s="31"/>
      <c r="C262"/>
      <c r="D262" s="31"/>
      <c r="E262"/>
      <c r="F262" s="31"/>
      <c r="G262"/>
      <c r="H262" s="27">
        <f>IF($G262&lt;&gt;0,SUMIF(куб!$G:$G,$G262,куб!H:H),IF($E262&lt;&gt;0,SUMIF(куб!$E:$E,$E262,куб!H:H),IF($D262&lt;&gt;0,SUMIF(куб!$D:$D,$D262,куб!H:H),IF($C262&lt;&gt;0,SUMIF(куб!$C:$C,$C262,куб!H:H),IF($B262&lt;&gt;0,SUMIF(куб!$B:$B,$B262,куб!H:H),IF($G262&lt;&gt;0,SUMIF(куб!$A:$A,$G262,куб!H:H),SUMIF(куб!$A:$A,$G262,куб!H:H)))))))</f>
        <v>0</v>
      </c>
      <c r="I262" s="27">
        <f>IF($G262&lt;&gt;0,SUMIF(куб!$G:$G,$G262,куб!I:I),IF($E262&lt;&gt;0,SUMIF(куб!$E:$E,$E262,куб!I:I),IF($D262&lt;&gt;0,SUMIF(куб!$D:$D,$D262,куб!I:I),IF($C262&lt;&gt;0,SUMIF(куб!$C:$C,$C262,куб!I:I),IF($B262&lt;&gt;0,SUMIF(куб!$B:$B,$B262,куб!I:I),IF($G262&lt;&gt;0,SUMIF(куб!$A:$A,$G262,куб!I:I),SUMIF(куб!$A:$A,$G262,куб!I:I)))))))</f>
        <v>0</v>
      </c>
      <c r="J262" s="19" t="str">
        <f t="shared" si="87"/>
        <v>-</v>
      </c>
      <c r="K262" s="8"/>
      <c r="L262" s="17">
        <f t="shared" si="88"/>
        <v>0</v>
      </c>
      <c r="M262" s="17">
        <f t="shared" si="89"/>
        <v>0</v>
      </c>
      <c r="N262" s="12">
        <f t="shared" si="90"/>
        <v>0</v>
      </c>
      <c r="O262" s="5"/>
      <c r="P262" s="27" t="b">
        <f>IF($G262&lt;&gt;0,SUMIF(куб!$G:$G,$G262,куб!J:J),IF($E262&lt;&gt;0,SUMIF(куб!$E:$E,$E262,куб!J:J),IF($D262&lt;&gt;0,SUMIF(куб!$D:$D,$D262,куб!J:J),IF($C262&lt;&gt;0,SUMIF(куб!$C:$C,$C262,куб!J:J),IF($B262&lt;&gt;0,SUMIF(куб!$B:$B,$B262,куб!J:J))))))</f>
        <v>0</v>
      </c>
      <c r="Q262" s="27" t="b">
        <f>IF($G262&lt;&gt;0,SUMIF(куб!$G:$G,$G262,куб!K:K),IF($E262&lt;&gt;0,SUMIF(куб!$E:$E,$E262,куб!K:K),IF($D262&lt;&gt;0,SUMIF(куб!$D:$D,$D262,куб!K:K),IF($C262&lt;&gt;0,SUMIF(куб!$C:$C,$C262,куб!K:K),IF($B262&lt;&gt;0,SUMIF(куб!$B:$B,$B262,куб!K:K))))))</f>
        <v>0</v>
      </c>
      <c r="R262" s="13" t="str">
        <f t="shared" si="91"/>
        <v>-</v>
      </c>
      <c r="S262" s="5"/>
      <c r="T262" s="27" t="b">
        <f>IF($G262&lt;&gt;0,SUMIF(куб!$G:$G,$G262,куб!L:L),IF($E262&lt;&gt;0,SUMIF(куб!$E:$E,$E262,куб!L:L),IF($D262&lt;&gt;0,SUMIF(куб!$D:$D,$D262,куб!L:L),IF($C262&lt;&gt;0,SUMIF(куб!$C:$C,$C262,куб!L:L),IF($B262&lt;&gt;0,SUMIF(куб!$B:$B,$B262,куб!L:L))))))</f>
        <v>0</v>
      </c>
      <c r="U262" s="27" t="b">
        <f>IF($G262&lt;&gt;0,SUMIF(куб!$G:$G,$G262,куб!M:M),IF($E262&lt;&gt;0,SUMIF(куб!$E:$E,$E262,куб!M:M),IF($D262&lt;&gt;0,SUMIF(куб!$D:$D,$D262,куб!M:M),IF($C262&lt;&gt;0,SUMIF(куб!$C:$C,$C262,куб!M:M),IF($B262&lt;&gt;0,SUMIF(куб!$B:$B,$B262,куб!M:M))))))</f>
        <v>0</v>
      </c>
      <c r="V262" s="13" t="str">
        <f t="shared" si="92"/>
        <v>-</v>
      </c>
      <c r="W262" s="5"/>
      <c r="X262" s="27" t="b">
        <f>IF($G262&lt;&gt;0,SUMIF(куб!$G:$G,$G262,куб!N:N),IF($E262&lt;&gt;0,SUMIF(куб!$E:$E,$E262,куб!N:N),IF($D262&lt;&gt;0,SUMIF(куб!$D:$D,$D262,куб!N:N),IF($C262&lt;&gt;0,SUMIF(куб!$C:$C,$C262,куб!N:N),IF($B262&lt;&gt;0,SUMIF(куб!$B:$B,$B262,куб!N:N))))))</f>
        <v>0</v>
      </c>
      <c r="Y262" s="27" t="b">
        <f>IF($G262&lt;&gt;0,SUMIF(куб!$G:$G,$G262,куб!O:O),IF($E262&lt;&gt;0,SUMIF(куб!$E:$E,$E262,куб!O:O),IF($D262&lt;&gt;0,SUMIF(куб!$D:$D,$D262,куб!O:O),IF($C262&lt;&gt;0,SUMIF(куб!$C:$C,$C262,куб!O:O),IF($B262&lt;&gt;0,SUMIF(куб!$B:$B,$B262,куб!O:O))))))</f>
        <v>0</v>
      </c>
      <c r="Z262" s="13" t="str">
        <f t="shared" si="93"/>
        <v>-</v>
      </c>
      <c r="AA262" s="5"/>
      <c r="AB262" s="33" t="str">
        <f>IFERROR(X262/H262,"")</f>
        <v/>
      </c>
      <c r="AC262" s="33" t="str">
        <f>IFERROR(Y262/I262,"")</f>
        <v/>
      </c>
      <c r="AD262" s="15" t="str">
        <f>IFERROR(AC262-AB262," ")</f>
        <v xml:space="preserve"> </v>
      </c>
      <c r="AE262" s="5"/>
      <c r="AF262" s="27" t="b">
        <f>IF($G262&lt;&gt;0,SUMIF(куб!$G:$G,$G262,куб!R:R),IF($E262&lt;&gt;0,SUMIF(куб!$E:$E,$E262,куб!R:R),IF($D262&lt;&gt;0,SUMIF(куб!$D:$D,$D262,куб!R:R),IF($C262&lt;&gt;0,SUMIF(куб!$C:$C,$C262,куб!R:R),IF($B262&lt;&gt;0,SUMIF(куб!$B:$B,$B262,куб!R:R))))))</f>
        <v>0</v>
      </c>
      <c r="AG262" s="27" t="b">
        <f>IF($G262&lt;&gt;0,SUMIF(куб!$G:$G,$G262,куб!S:S),IF($E262&lt;&gt;0,SUMIF(куб!$E:$E,$E262,куб!S:S),IF($D262&lt;&gt;0,SUMIF(куб!$D:$D,$D262,куб!S:S),IF($C262&lt;&gt;0,SUMIF(куб!$C:$C,$C262,куб!S:S),IF($B262&lt;&gt;0,SUMIF(куб!$B:$B,$B262,куб!S:S))))))</f>
        <v>0</v>
      </c>
      <c r="AH262" s="16" t="str">
        <f t="shared" si="96"/>
        <v>-</v>
      </c>
      <c r="AI262" s="8"/>
      <c r="AJ262" s="27" t="b">
        <f>IF($G262&lt;&gt;0,SUMIF(куб!$G:$G,$G262,куб!T:T),IF($E262&lt;&gt;0,SUMIF(куб!$E:$E,$E262,куб!T:T),IF($D262&lt;&gt;0,SUMIF(куб!$D:$D,$D262,куб!T:T),IF($C262&lt;&gt;0,SUMIF(куб!$C:$C,$C262,куб!T:T),IF($B262&lt;&gt;0,SUMIF(куб!$B:$B,$B262,куб!T:T))))))</f>
        <v>0</v>
      </c>
      <c r="AK262" s="27" t="b">
        <f>IF($G262&lt;&gt;0,SUMIF(куб!$G:$G,$G262,куб!U:U),IF($E262&lt;&gt;0,SUMIF(куб!$E:$E,$E262,куб!U:U),IF($D262&lt;&gt;0,SUMIF(куб!$D:$D,$D262,куб!U:U),IF($C262&lt;&gt;0,SUMIF(куб!$C:$C,$C262,куб!U:U),IF($B262&lt;&gt;0,SUMIF(куб!$B:$B,$B262,куб!U:U))))))</f>
        <v>0</v>
      </c>
      <c r="AL262" s="16" t="str">
        <f t="shared" si="97"/>
        <v>-</v>
      </c>
      <c r="AM262" s="8"/>
      <c r="AN262" s="17" t="str">
        <f t="shared" si="98"/>
        <v xml:space="preserve"> </v>
      </c>
      <c r="AO262" s="17" t="str">
        <f t="shared" si="99"/>
        <v xml:space="preserve"> </v>
      </c>
      <c r="AP262" s="16" t="str">
        <f t="shared" si="100"/>
        <v>-</v>
      </c>
      <c r="AQ262" s="8"/>
      <c r="AR262" s="17" t="str">
        <f t="shared" si="101"/>
        <v>-</v>
      </c>
      <c r="AS262" s="17" t="str">
        <f t="shared" si="102"/>
        <v>-</v>
      </c>
      <c r="AT262" s="13" t="str">
        <f t="shared" si="103"/>
        <v>-</v>
      </c>
      <c r="AU262" s="8"/>
    </row>
    <row r="263" spans="1:47" ht="15" customHeight="1" x14ac:dyDescent="0.25">
      <c r="A263" s="31"/>
      <c r="B263" s="31"/>
      <c r="C263"/>
      <c r="D263" s="31"/>
      <c r="E263"/>
      <c r="F263" s="31"/>
      <c r="G263"/>
      <c r="H263" s="27">
        <f>IF($G263&lt;&gt;0,SUMIF(куб!$G:$G,$G263,куб!H:H),IF($E263&lt;&gt;0,SUMIF(куб!$E:$E,$E263,куб!H:H),IF($D263&lt;&gt;0,SUMIF(куб!$D:$D,$D263,куб!H:H),IF($C263&lt;&gt;0,SUMIF(куб!$C:$C,$C263,куб!H:H),IF($B263&lt;&gt;0,SUMIF(куб!$B:$B,$B263,куб!H:H),IF($G263&lt;&gt;0,SUMIF(куб!$A:$A,$G263,куб!H:H),SUMIF(куб!$A:$A,$G263,куб!H:H)))))))</f>
        <v>0</v>
      </c>
      <c r="I263" s="27">
        <f>IF($G263&lt;&gt;0,SUMIF(куб!$G:$G,$G263,куб!I:I),IF($E263&lt;&gt;0,SUMIF(куб!$E:$E,$E263,куб!I:I),IF($D263&lt;&gt;0,SUMIF(куб!$D:$D,$D263,куб!I:I),IF($C263&lt;&gt;0,SUMIF(куб!$C:$C,$C263,куб!I:I),IF($B263&lt;&gt;0,SUMIF(куб!$B:$B,$B263,куб!I:I),IF($G263&lt;&gt;0,SUMIF(куб!$A:$A,$G263,куб!I:I),SUMIF(куб!$A:$A,$G263,куб!I:I)))))))</f>
        <v>0</v>
      </c>
      <c r="J263" s="19" t="str">
        <f t="shared" si="87"/>
        <v>-</v>
      </c>
      <c r="K263" s="10"/>
      <c r="L263" s="17">
        <f t="shared" si="88"/>
        <v>0</v>
      </c>
      <c r="M263" s="17">
        <f t="shared" si="89"/>
        <v>0</v>
      </c>
      <c r="N263" s="12">
        <f t="shared" si="90"/>
        <v>0</v>
      </c>
      <c r="O263" s="5"/>
      <c r="P263" s="27" t="b">
        <f>IF($G263&lt;&gt;0,SUMIF(куб!$G:$G,$G263,куб!J:J),IF($E263&lt;&gt;0,SUMIF(куб!$E:$E,$E263,куб!J:J),IF($D263&lt;&gt;0,SUMIF(куб!$D:$D,$D263,куб!J:J),IF($C263&lt;&gt;0,SUMIF(куб!$C:$C,$C263,куб!J:J),IF($B263&lt;&gt;0,SUMIF(куб!$B:$B,$B263,куб!J:J))))))</f>
        <v>0</v>
      </c>
      <c r="Q263" s="27" t="b">
        <f>IF($G263&lt;&gt;0,SUMIF(куб!$G:$G,$G263,куб!K:K),IF($E263&lt;&gt;0,SUMIF(куб!$E:$E,$E263,куб!K:K),IF($D263&lt;&gt;0,SUMIF(куб!$D:$D,$D263,куб!K:K),IF($C263&lt;&gt;0,SUMIF(куб!$C:$C,$C263,куб!K:K),IF($B263&lt;&gt;0,SUMIF(куб!$B:$B,$B263,куб!K:K))))))</f>
        <v>0</v>
      </c>
      <c r="R263" s="13" t="str">
        <f t="shared" si="91"/>
        <v>-</v>
      </c>
      <c r="S263" s="5"/>
      <c r="T263" s="27" t="b">
        <f>IF($G263&lt;&gt;0,SUMIF(куб!$G:$G,$G263,куб!L:L),IF($E263&lt;&gt;0,SUMIF(куб!$E:$E,$E263,куб!L:L),IF($D263&lt;&gt;0,SUMIF(куб!$D:$D,$D263,куб!L:L),IF($C263&lt;&gt;0,SUMIF(куб!$C:$C,$C263,куб!L:L),IF($B263&lt;&gt;0,SUMIF(куб!$B:$B,$B263,куб!L:L))))))</f>
        <v>0</v>
      </c>
      <c r="U263" s="27" t="b">
        <f>IF($G263&lt;&gt;0,SUMIF(куб!$G:$G,$G263,куб!M:M),IF($E263&lt;&gt;0,SUMIF(куб!$E:$E,$E263,куб!M:M),IF($D263&lt;&gt;0,SUMIF(куб!$D:$D,$D263,куб!M:M),IF($C263&lt;&gt;0,SUMIF(куб!$C:$C,$C263,куб!M:M),IF($B263&lt;&gt;0,SUMIF(куб!$B:$B,$B263,куб!M:M))))))</f>
        <v>0</v>
      </c>
      <c r="V263" s="13" t="str">
        <f t="shared" si="92"/>
        <v>-</v>
      </c>
      <c r="W263" s="5"/>
      <c r="X263" s="27" t="b">
        <f>IF($G263&lt;&gt;0,SUMIF(куб!$G:$G,$G263,куб!N:N),IF($E263&lt;&gt;0,SUMIF(куб!$E:$E,$E263,куб!N:N),IF($D263&lt;&gt;0,SUMIF(куб!$D:$D,$D263,куб!N:N),IF($C263&lt;&gt;0,SUMIF(куб!$C:$C,$C263,куб!N:N),IF($B263&lt;&gt;0,SUMIF(куб!$B:$B,$B263,куб!N:N))))))</f>
        <v>0</v>
      </c>
      <c r="Y263" s="27" t="b">
        <f>IF($G263&lt;&gt;0,SUMIF(куб!$G:$G,$G263,куб!O:O),IF($E263&lt;&gt;0,SUMIF(куб!$E:$E,$E263,куб!O:O),IF($D263&lt;&gt;0,SUMIF(куб!$D:$D,$D263,куб!O:O),IF($C263&lt;&gt;0,SUMIF(куб!$C:$C,$C263,куб!O:O),IF($B263&lt;&gt;0,SUMIF(куб!$B:$B,$B263,куб!O:O))))))</f>
        <v>0</v>
      </c>
      <c r="Z263" s="13" t="str">
        <f t="shared" si="93"/>
        <v>-</v>
      </c>
      <c r="AA263" s="5"/>
      <c r="AB263" s="33" t="str">
        <f t="shared" ref="AB263:AB287" si="104">IFERROR(X263/H263,"")</f>
        <v/>
      </c>
      <c r="AC263" s="33" t="str">
        <f t="shared" ref="AC263:AC287" si="105">IFERROR(Y263/I263,"")</f>
        <v/>
      </c>
      <c r="AD263" s="15" t="str">
        <f t="shared" ref="AD263:AD287" si="106">IFERROR(AC263-AB263," ")</f>
        <v xml:space="preserve"> </v>
      </c>
      <c r="AE263" s="5"/>
      <c r="AF263" s="27" t="b">
        <f>IF($G263&lt;&gt;0,SUMIF(куб!$G:$G,$G263,куб!R:R),IF($E263&lt;&gt;0,SUMIF(куб!$E:$E,$E263,куб!R:R),IF($D263&lt;&gt;0,SUMIF(куб!$D:$D,$D263,куб!R:R),IF($C263&lt;&gt;0,SUMIF(куб!$C:$C,$C263,куб!R:R),IF($B263&lt;&gt;0,SUMIF(куб!$B:$B,$B263,куб!R:R))))))</f>
        <v>0</v>
      </c>
      <c r="AG263" s="27" t="b">
        <f>IF($G263&lt;&gt;0,SUMIF(куб!$G:$G,$G263,куб!S:S),IF($E263&lt;&gt;0,SUMIF(куб!$E:$E,$E263,куб!S:S),IF($D263&lt;&gt;0,SUMIF(куб!$D:$D,$D263,куб!S:S),IF($C263&lt;&gt;0,SUMIF(куб!$C:$C,$C263,куб!S:S),IF($B263&lt;&gt;0,SUMIF(куб!$B:$B,$B263,куб!S:S))))))</f>
        <v>0</v>
      </c>
      <c r="AH263" s="16" t="str">
        <f t="shared" si="96"/>
        <v>-</v>
      </c>
      <c r="AI263" s="8"/>
      <c r="AJ263" s="27" t="b">
        <f>IF($G263&lt;&gt;0,SUMIF(куб!$G:$G,$G263,куб!T:T),IF($E263&lt;&gt;0,SUMIF(куб!$E:$E,$E263,куб!T:T),IF($D263&lt;&gt;0,SUMIF(куб!$D:$D,$D263,куб!T:T),IF($C263&lt;&gt;0,SUMIF(куб!$C:$C,$C263,куб!T:T),IF($B263&lt;&gt;0,SUMIF(куб!$B:$B,$B263,куб!T:T))))))</f>
        <v>0</v>
      </c>
      <c r="AK263" s="27" t="b">
        <f>IF($G263&lt;&gt;0,SUMIF(куб!$G:$G,$G263,куб!U:U),IF($E263&lt;&gt;0,SUMIF(куб!$E:$E,$E263,куб!U:U),IF($D263&lt;&gt;0,SUMIF(куб!$D:$D,$D263,куб!U:U),IF($C263&lt;&gt;0,SUMIF(куб!$C:$C,$C263,куб!U:U),IF($B263&lt;&gt;0,SUMIF(куб!$B:$B,$B263,куб!U:U))))))</f>
        <v>0</v>
      </c>
      <c r="AL263" s="16" t="str">
        <f t="shared" si="97"/>
        <v>-</v>
      </c>
      <c r="AM263" s="8"/>
      <c r="AN263" s="17" t="str">
        <f t="shared" si="98"/>
        <v xml:space="preserve"> </v>
      </c>
      <c r="AO263" s="17" t="str">
        <f t="shared" si="99"/>
        <v xml:space="preserve"> </v>
      </c>
      <c r="AP263" s="16" t="str">
        <f t="shared" si="100"/>
        <v>-</v>
      </c>
      <c r="AQ263" s="8"/>
      <c r="AR263" s="17" t="str">
        <f t="shared" si="101"/>
        <v>-</v>
      </c>
      <c r="AS263" s="17" t="str">
        <f t="shared" si="102"/>
        <v>-</v>
      </c>
      <c r="AT263" s="13" t="str">
        <f t="shared" si="103"/>
        <v>-</v>
      </c>
      <c r="AU263" s="8"/>
    </row>
    <row r="264" spans="1:47" ht="15" customHeight="1" x14ac:dyDescent="0.25">
      <c r="A264" s="31"/>
      <c r="B264" s="31"/>
      <c r="C264"/>
      <c r="D264" s="31"/>
      <c r="E264"/>
      <c r="F264" s="31"/>
      <c r="G264"/>
      <c r="H264" s="27">
        <f>IF($G264&lt;&gt;0,SUMIF(куб!$G:$G,$G264,куб!H:H),IF($E264&lt;&gt;0,SUMIF(куб!$E:$E,$E264,куб!H:H),IF($D264&lt;&gt;0,SUMIF(куб!$D:$D,$D264,куб!H:H),IF($C264&lt;&gt;0,SUMIF(куб!$C:$C,$C264,куб!H:H),IF($B264&lt;&gt;0,SUMIF(куб!$B:$B,$B264,куб!H:H),IF($G264&lt;&gt;0,SUMIF(куб!$A:$A,$G264,куб!H:H),SUMIF(куб!$A:$A,$G264,куб!H:H)))))))</f>
        <v>0</v>
      </c>
      <c r="I264" s="27">
        <f>IF($G264&lt;&gt;0,SUMIF(куб!$G:$G,$G264,куб!I:I),IF($E264&lt;&gt;0,SUMIF(куб!$E:$E,$E264,куб!I:I),IF($D264&lt;&gt;0,SUMIF(куб!$D:$D,$D264,куб!I:I),IF($C264&lt;&gt;0,SUMIF(куб!$C:$C,$C264,куб!I:I),IF($B264&lt;&gt;0,SUMIF(куб!$B:$B,$B264,куб!I:I),IF($G264&lt;&gt;0,SUMIF(куб!$A:$A,$G264,куб!I:I),SUMIF(куб!$A:$A,$G264,куб!I:I)))))))</f>
        <v>0</v>
      </c>
      <c r="J264" s="19" t="str">
        <f t="shared" si="87"/>
        <v>-</v>
      </c>
      <c r="K264" s="5"/>
      <c r="L264" s="17">
        <f t="shared" si="88"/>
        <v>0</v>
      </c>
      <c r="M264" s="17">
        <f t="shared" si="89"/>
        <v>0</v>
      </c>
      <c r="N264" s="12">
        <f t="shared" si="90"/>
        <v>0</v>
      </c>
      <c r="O264" s="5"/>
      <c r="P264" s="27" t="b">
        <f>IF($G264&lt;&gt;0,SUMIF(куб!$G:$G,$G264,куб!J:J),IF($E264&lt;&gt;0,SUMIF(куб!$E:$E,$E264,куб!J:J),IF($D264&lt;&gt;0,SUMIF(куб!$D:$D,$D264,куб!J:J),IF($C264&lt;&gt;0,SUMIF(куб!$C:$C,$C264,куб!J:J),IF($B264&lt;&gt;0,SUMIF(куб!$B:$B,$B264,куб!J:J))))))</f>
        <v>0</v>
      </c>
      <c r="Q264" s="27" t="b">
        <f>IF($G264&lt;&gt;0,SUMIF(куб!$G:$G,$G264,куб!K:K),IF($E264&lt;&gt;0,SUMIF(куб!$E:$E,$E264,куб!K:K),IF($D264&lt;&gt;0,SUMIF(куб!$D:$D,$D264,куб!K:K),IF($C264&lt;&gt;0,SUMIF(куб!$C:$C,$C264,куб!K:K),IF($B264&lt;&gt;0,SUMIF(куб!$B:$B,$B264,куб!K:K))))))</f>
        <v>0</v>
      </c>
      <c r="R264" s="13" t="str">
        <f t="shared" si="91"/>
        <v>-</v>
      </c>
      <c r="S264" s="5"/>
      <c r="T264" s="27" t="b">
        <f>IF($G264&lt;&gt;0,SUMIF(куб!$G:$G,$G264,куб!L:L),IF($E264&lt;&gt;0,SUMIF(куб!$E:$E,$E264,куб!L:L),IF($D264&lt;&gt;0,SUMIF(куб!$D:$D,$D264,куб!L:L),IF($C264&lt;&gt;0,SUMIF(куб!$C:$C,$C264,куб!L:L),IF($B264&lt;&gt;0,SUMIF(куб!$B:$B,$B264,куб!L:L))))))</f>
        <v>0</v>
      </c>
      <c r="U264" s="27" t="b">
        <f>IF($G264&lt;&gt;0,SUMIF(куб!$G:$G,$G264,куб!M:M),IF($E264&lt;&gt;0,SUMIF(куб!$E:$E,$E264,куб!M:M),IF($D264&lt;&gt;0,SUMIF(куб!$D:$D,$D264,куб!M:M),IF($C264&lt;&gt;0,SUMIF(куб!$C:$C,$C264,куб!M:M),IF($B264&lt;&gt;0,SUMIF(куб!$B:$B,$B264,куб!M:M))))))</f>
        <v>0</v>
      </c>
      <c r="V264" s="13" t="str">
        <f t="shared" si="92"/>
        <v>-</v>
      </c>
      <c r="W264" s="5"/>
      <c r="X264" s="27" t="b">
        <f>IF($G264&lt;&gt;0,SUMIF(куб!$G:$G,$G264,куб!N:N),IF($E264&lt;&gt;0,SUMIF(куб!$E:$E,$E264,куб!N:N),IF($D264&lt;&gt;0,SUMIF(куб!$D:$D,$D264,куб!N:N),IF($C264&lt;&gt;0,SUMIF(куб!$C:$C,$C264,куб!N:N),IF($B264&lt;&gt;0,SUMIF(куб!$B:$B,$B264,куб!N:N))))))</f>
        <v>0</v>
      </c>
      <c r="Y264" s="27" t="b">
        <f>IF($G264&lt;&gt;0,SUMIF(куб!$G:$G,$G264,куб!O:O),IF($E264&lt;&gt;0,SUMIF(куб!$E:$E,$E264,куб!O:O),IF($D264&lt;&gt;0,SUMIF(куб!$D:$D,$D264,куб!O:O),IF($C264&lt;&gt;0,SUMIF(куб!$C:$C,$C264,куб!O:O),IF($B264&lt;&gt;0,SUMIF(куб!$B:$B,$B264,куб!O:O))))))</f>
        <v>0</v>
      </c>
      <c r="Z264" s="13" t="str">
        <f t="shared" si="93"/>
        <v>-</v>
      </c>
      <c r="AA264" s="5"/>
      <c r="AB264" s="33" t="str">
        <f t="shared" si="104"/>
        <v/>
      </c>
      <c r="AC264" s="33" t="str">
        <f t="shared" si="105"/>
        <v/>
      </c>
      <c r="AD264" s="15" t="str">
        <f t="shared" si="106"/>
        <v xml:space="preserve"> </v>
      </c>
      <c r="AE264" s="5"/>
      <c r="AF264" s="27" t="b">
        <f>IF($G264&lt;&gt;0,SUMIF(куб!$G:$G,$G264,куб!R:R),IF($E264&lt;&gt;0,SUMIF(куб!$E:$E,$E264,куб!R:R),IF($D264&lt;&gt;0,SUMIF(куб!$D:$D,$D264,куб!R:R),IF($C264&lt;&gt;0,SUMIF(куб!$C:$C,$C264,куб!R:R),IF($B264&lt;&gt;0,SUMIF(куб!$B:$B,$B264,куб!R:R))))))</f>
        <v>0</v>
      </c>
      <c r="AG264" s="27" t="b">
        <f>IF($G264&lt;&gt;0,SUMIF(куб!$G:$G,$G264,куб!S:S),IF($E264&lt;&gt;0,SUMIF(куб!$E:$E,$E264,куб!S:S),IF($D264&lt;&gt;0,SUMIF(куб!$D:$D,$D264,куб!S:S),IF($C264&lt;&gt;0,SUMIF(куб!$C:$C,$C264,куб!S:S),IF($B264&lt;&gt;0,SUMIF(куб!$B:$B,$B264,куб!S:S))))))</f>
        <v>0</v>
      </c>
      <c r="AH264" s="16" t="str">
        <f t="shared" si="96"/>
        <v>-</v>
      </c>
      <c r="AI264" s="8"/>
      <c r="AJ264" s="27" t="b">
        <f>IF($G264&lt;&gt;0,SUMIF(куб!$G:$G,$G264,куб!T:T),IF($E264&lt;&gt;0,SUMIF(куб!$E:$E,$E264,куб!T:T),IF($D264&lt;&gt;0,SUMIF(куб!$D:$D,$D264,куб!T:T),IF($C264&lt;&gt;0,SUMIF(куб!$C:$C,$C264,куб!T:T),IF($B264&lt;&gt;0,SUMIF(куб!$B:$B,$B264,куб!T:T))))))</f>
        <v>0</v>
      </c>
      <c r="AK264" s="27" t="b">
        <f>IF($G264&lt;&gt;0,SUMIF(куб!$G:$G,$G264,куб!U:U),IF($E264&lt;&gt;0,SUMIF(куб!$E:$E,$E264,куб!U:U),IF($D264&lt;&gt;0,SUMIF(куб!$D:$D,$D264,куб!U:U),IF($C264&lt;&gt;0,SUMIF(куб!$C:$C,$C264,куб!U:U),IF($B264&lt;&gt;0,SUMIF(куб!$B:$B,$B264,куб!U:U))))))</f>
        <v>0</v>
      </c>
      <c r="AL264" s="16" t="str">
        <f t="shared" si="97"/>
        <v>-</v>
      </c>
      <c r="AM264" s="8"/>
      <c r="AN264" s="17" t="str">
        <f t="shared" si="98"/>
        <v xml:space="preserve"> </v>
      </c>
      <c r="AO264" s="17" t="str">
        <f t="shared" si="99"/>
        <v xml:space="preserve"> </v>
      </c>
      <c r="AP264" s="16" t="str">
        <f t="shared" si="100"/>
        <v>-</v>
      </c>
      <c r="AQ264" s="8"/>
      <c r="AR264" s="17" t="str">
        <f t="shared" si="101"/>
        <v>-</v>
      </c>
      <c r="AS264" s="17" t="str">
        <f t="shared" si="102"/>
        <v>-</v>
      </c>
      <c r="AT264" s="13" t="str">
        <f t="shared" si="103"/>
        <v>-</v>
      </c>
      <c r="AU264" s="8"/>
    </row>
    <row r="265" spans="1:47" ht="15" customHeight="1" x14ac:dyDescent="0.25">
      <c r="A265" s="31"/>
      <c r="B265" s="31"/>
      <c r="C265"/>
      <c r="D265" s="31"/>
      <c r="E265"/>
      <c r="F265" s="31"/>
      <c r="G265"/>
      <c r="H265" s="27">
        <f>IF($G265&lt;&gt;0,SUMIF(куб!$G:$G,$G265,куб!H:H),IF($E265&lt;&gt;0,SUMIF(куб!$E:$E,$E265,куб!H:H),IF($D265&lt;&gt;0,SUMIF(куб!$D:$D,$D265,куб!H:H),IF($C265&lt;&gt;0,SUMIF(куб!$C:$C,$C265,куб!H:H),IF($B265&lt;&gt;0,SUMIF(куб!$B:$B,$B265,куб!H:H),IF($G265&lt;&gt;0,SUMIF(куб!$A:$A,$G265,куб!H:H),SUMIF(куб!$A:$A,$G265,куб!H:H)))))))</f>
        <v>0</v>
      </c>
      <c r="I265" s="27">
        <f>IF($G265&lt;&gt;0,SUMIF(куб!$G:$G,$G265,куб!I:I),IF($E265&lt;&gt;0,SUMIF(куб!$E:$E,$E265,куб!I:I),IF($D265&lt;&gt;0,SUMIF(куб!$D:$D,$D265,куб!I:I),IF($C265&lt;&gt;0,SUMIF(куб!$C:$C,$C265,куб!I:I),IF($B265&lt;&gt;0,SUMIF(куб!$B:$B,$B265,куб!I:I),IF($G265&lt;&gt;0,SUMIF(куб!$A:$A,$G265,куб!I:I),SUMIF(куб!$A:$A,$G265,куб!I:I)))))))</f>
        <v>0</v>
      </c>
      <c r="J265" s="19" t="str">
        <f t="shared" si="87"/>
        <v>-</v>
      </c>
      <c r="K265" s="5"/>
      <c r="L265" s="17">
        <f t="shared" si="88"/>
        <v>0</v>
      </c>
      <c r="M265" s="17">
        <f t="shared" si="89"/>
        <v>0</v>
      </c>
      <c r="N265" s="12">
        <f t="shared" si="90"/>
        <v>0</v>
      </c>
      <c r="O265" s="5"/>
      <c r="P265" s="27" t="b">
        <f>IF($G265&lt;&gt;0,SUMIF(куб!$G:$G,$G265,куб!J:J),IF($E265&lt;&gt;0,SUMIF(куб!$E:$E,$E265,куб!J:J),IF($D265&lt;&gt;0,SUMIF(куб!$D:$D,$D265,куб!J:J),IF($C265&lt;&gt;0,SUMIF(куб!$C:$C,$C265,куб!J:J),IF($B265&lt;&gt;0,SUMIF(куб!$B:$B,$B265,куб!J:J))))))</f>
        <v>0</v>
      </c>
      <c r="Q265" s="27" t="b">
        <f>IF($G265&lt;&gt;0,SUMIF(куб!$G:$G,$G265,куб!K:K),IF($E265&lt;&gt;0,SUMIF(куб!$E:$E,$E265,куб!K:K),IF($D265&lt;&gt;0,SUMIF(куб!$D:$D,$D265,куб!K:K),IF($C265&lt;&gt;0,SUMIF(куб!$C:$C,$C265,куб!K:K),IF($B265&lt;&gt;0,SUMIF(куб!$B:$B,$B265,куб!K:K))))))</f>
        <v>0</v>
      </c>
      <c r="R265" s="13" t="str">
        <f t="shared" si="91"/>
        <v>-</v>
      </c>
      <c r="S265" s="5"/>
      <c r="T265" s="27" t="b">
        <f>IF($G265&lt;&gt;0,SUMIF(куб!$G:$G,$G265,куб!L:L),IF($E265&lt;&gt;0,SUMIF(куб!$E:$E,$E265,куб!L:L),IF($D265&lt;&gt;0,SUMIF(куб!$D:$D,$D265,куб!L:L),IF($C265&lt;&gt;0,SUMIF(куб!$C:$C,$C265,куб!L:L),IF($B265&lt;&gt;0,SUMIF(куб!$B:$B,$B265,куб!L:L))))))</f>
        <v>0</v>
      </c>
      <c r="U265" s="27" t="b">
        <f>IF($G265&lt;&gt;0,SUMIF(куб!$G:$G,$G265,куб!M:M),IF($E265&lt;&gt;0,SUMIF(куб!$E:$E,$E265,куб!M:M),IF($D265&lt;&gt;0,SUMIF(куб!$D:$D,$D265,куб!M:M),IF($C265&lt;&gt;0,SUMIF(куб!$C:$C,$C265,куб!M:M),IF($B265&lt;&gt;0,SUMIF(куб!$B:$B,$B265,куб!M:M))))))</f>
        <v>0</v>
      </c>
      <c r="V265" s="13" t="str">
        <f t="shared" si="92"/>
        <v>-</v>
      </c>
      <c r="W265" s="5"/>
      <c r="X265" s="27" t="b">
        <f>IF($G265&lt;&gt;0,SUMIF(куб!$G:$G,$G265,куб!N:N),IF($E265&lt;&gt;0,SUMIF(куб!$E:$E,$E265,куб!N:N),IF($D265&lt;&gt;0,SUMIF(куб!$D:$D,$D265,куб!N:N),IF($C265&lt;&gt;0,SUMIF(куб!$C:$C,$C265,куб!N:N),IF($B265&lt;&gt;0,SUMIF(куб!$B:$B,$B265,куб!N:N))))))</f>
        <v>0</v>
      </c>
      <c r="Y265" s="27" t="b">
        <f>IF($G265&lt;&gt;0,SUMIF(куб!$G:$G,$G265,куб!O:O),IF($E265&lt;&gt;0,SUMIF(куб!$E:$E,$E265,куб!O:O),IF($D265&lt;&gt;0,SUMIF(куб!$D:$D,$D265,куб!O:O),IF($C265&lt;&gt;0,SUMIF(куб!$C:$C,$C265,куб!O:O),IF($B265&lt;&gt;0,SUMIF(куб!$B:$B,$B265,куб!O:O))))))</f>
        <v>0</v>
      </c>
      <c r="Z265" s="13" t="str">
        <f t="shared" si="93"/>
        <v>-</v>
      </c>
      <c r="AA265" s="5"/>
      <c r="AB265" s="33" t="str">
        <f t="shared" si="104"/>
        <v/>
      </c>
      <c r="AC265" s="33" t="str">
        <f t="shared" si="105"/>
        <v/>
      </c>
      <c r="AD265" s="15" t="str">
        <f t="shared" si="106"/>
        <v xml:space="preserve"> </v>
      </c>
      <c r="AE265" s="5"/>
      <c r="AF265" s="27" t="b">
        <f>IF($G265&lt;&gt;0,SUMIF(куб!$G:$G,$G265,куб!R:R),IF($E265&lt;&gt;0,SUMIF(куб!$E:$E,$E265,куб!R:R),IF($D265&lt;&gt;0,SUMIF(куб!$D:$D,$D265,куб!R:R),IF($C265&lt;&gt;0,SUMIF(куб!$C:$C,$C265,куб!R:R),IF($B265&lt;&gt;0,SUMIF(куб!$B:$B,$B265,куб!R:R))))))</f>
        <v>0</v>
      </c>
      <c r="AG265" s="27" t="b">
        <f>IF($G265&lt;&gt;0,SUMIF(куб!$G:$G,$G265,куб!S:S),IF($E265&lt;&gt;0,SUMIF(куб!$E:$E,$E265,куб!S:S),IF($D265&lt;&gt;0,SUMIF(куб!$D:$D,$D265,куб!S:S),IF($C265&lt;&gt;0,SUMIF(куб!$C:$C,$C265,куб!S:S),IF($B265&lt;&gt;0,SUMIF(куб!$B:$B,$B265,куб!S:S))))))</f>
        <v>0</v>
      </c>
      <c r="AH265" s="16" t="str">
        <f t="shared" si="96"/>
        <v>-</v>
      </c>
      <c r="AI265" s="8"/>
      <c r="AJ265" s="27" t="b">
        <f>IF($G265&lt;&gt;0,SUMIF(куб!$G:$G,$G265,куб!T:T),IF($E265&lt;&gt;0,SUMIF(куб!$E:$E,$E265,куб!T:T),IF($D265&lt;&gt;0,SUMIF(куб!$D:$D,$D265,куб!T:T),IF($C265&lt;&gt;0,SUMIF(куб!$C:$C,$C265,куб!T:T),IF($B265&lt;&gt;0,SUMIF(куб!$B:$B,$B265,куб!T:T))))))</f>
        <v>0</v>
      </c>
      <c r="AK265" s="27" t="b">
        <f>IF($G265&lt;&gt;0,SUMIF(куб!$G:$G,$G265,куб!U:U),IF($E265&lt;&gt;0,SUMIF(куб!$E:$E,$E265,куб!U:U),IF($D265&lt;&gt;0,SUMIF(куб!$D:$D,$D265,куб!U:U),IF($C265&lt;&gt;0,SUMIF(куб!$C:$C,$C265,куб!U:U),IF($B265&lt;&gt;0,SUMIF(куб!$B:$B,$B265,куб!U:U))))))</f>
        <v>0</v>
      </c>
      <c r="AL265" s="16" t="str">
        <f t="shared" si="97"/>
        <v>-</v>
      </c>
      <c r="AM265" s="8"/>
      <c r="AN265" s="17" t="str">
        <f t="shared" si="98"/>
        <v xml:space="preserve"> </v>
      </c>
      <c r="AO265" s="17" t="str">
        <f t="shared" si="99"/>
        <v xml:space="preserve"> </v>
      </c>
      <c r="AP265" s="16" t="str">
        <f t="shared" si="100"/>
        <v>-</v>
      </c>
      <c r="AQ265" s="8"/>
      <c r="AR265" s="17" t="str">
        <f t="shared" si="101"/>
        <v>-</v>
      </c>
      <c r="AS265" s="17" t="str">
        <f t="shared" si="102"/>
        <v>-</v>
      </c>
      <c r="AT265" s="13" t="str">
        <f t="shared" si="103"/>
        <v>-</v>
      </c>
      <c r="AU265" s="8"/>
    </row>
    <row r="266" spans="1:47" ht="15" customHeight="1" x14ac:dyDescent="0.25">
      <c r="A266" s="31"/>
      <c r="B266" s="31"/>
      <c r="C266"/>
      <c r="D266" s="31"/>
      <c r="E266"/>
      <c r="F266"/>
      <c r="G266"/>
      <c r="H266" s="27">
        <f>IF($G266&lt;&gt;0,SUMIF(куб!$G:$G,$G266,куб!H:H),IF($E266&lt;&gt;0,SUMIF(куб!$E:$E,$E266,куб!H:H),IF($D266&lt;&gt;0,SUMIF(куб!$D:$D,$D266,куб!H:H),IF($C266&lt;&gt;0,SUMIF(куб!$C:$C,$C266,куб!H:H),IF($B266&lt;&gt;0,SUMIF(куб!$B:$B,$B266,куб!H:H),IF($G266&lt;&gt;0,SUMIF(куб!$A:$A,$G266,куб!H:H),SUMIF(куб!$A:$A,$G266,куб!H:H)))))))</f>
        <v>0</v>
      </c>
      <c r="I266" s="27">
        <f>IF($G266&lt;&gt;0,SUMIF(куб!$G:$G,$G266,куб!I:I),IF($E266&lt;&gt;0,SUMIF(куб!$E:$E,$E266,куб!I:I),IF($D266&lt;&gt;0,SUMIF(куб!$D:$D,$D266,куб!I:I),IF($C266&lt;&gt;0,SUMIF(куб!$C:$C,$C266,куб!I:I),IF($B266&lt;&gt;0,SUMIF(куб!$B:$B,$B266,куб!I:I),IF($G266&lt;&gt;0,SUMIF(куб!$A:$A,$G266,куб!I:I),SUMIF(куб!$A:$A,$G266,куб!I:I)))))))</f>
        <v>0</v>
      </c>
      <c r="J266" s="19" t="str">
        <f t="shared" si="87"/>
        <v>-</v>
      </c>
      <c r="K266" s="8"/>
      <c r="L266" s="17">
        <f t="shared" si="88"/>
        <v>0</v>
      </c>
      <c r="M266" s="17">
        <f t="shared" si="89"/>
        <v>0</v>
      </c>
      <c r="N266" s="12">
        <f t="shared" si="90"/>
        <v>0</v>
      </c>
      <c r="O266" s="5"/>
      <c r="P266" s="27" t="b">
        <f>IF($G266&lt;&gt;0,SUMIF(куб!$G:$G,$G266,куб!J:J),IF($E266&lt;&gt;0,SUMIF(куб!$E:$E,$E266,куб!J:J),IF($D266&lt;&gt;0,SUMIF(куб!$D:$D,$D266,куб!J:J),IF($C266&lt;&gt;0,SUMIF(куб!$C:$C,$C266,куб!J:J),IF($B266&lt;&gt;0,SUMIF(куб!$B:$B,$B266,куб!J:J))))))</f>
        <v>0</v>
      </c>
      <c r="Q266" s="27" t="b">
        <f>IF($G266&lt;&gt;0,SUMIF(куб!$G:$G,$G266,куб!K:K),IF($E266&lt;&gt;0,SUMIF(куб!$E:$E,$E266,куб!K:K),IF($D266&lt;&gt;0,SUMIF(куб!$D:$D,$D266,куб!K:K),IF($C266&lt;&gt;0,SUMIF(куб!$C:$C,$C266,куб!K:K),IF($B266&lt;&gt;0,SUMIF(куб!$B:$B,$B266,куб!K:K))))))</f>
        <v>0</v>
      </c>
      <c r="R266" s="13" t="str">
        <f t="shared" si="91"/>
        <v>-</v>
      </c>
      <c r="S266" s="5"/>
      <c r="T266" s="27" t="b">
        <f>IF($G266&lt;&gt;0,SUMIF(куб!$G:$G,$G266,куб!L:L),IF($E266&lt;&gt;0,SUMIF(куб!$E:$E,$E266,куб!L:L),IF($D266&lt;&gt;0,SUMIF(куб!$D:$D,$D266,куб!L:L),IF($C266&lt;&gt;0,SUMIF(куб!$C:$C,$C266,куб!L:L),IF($B266&lt;&gt;0,SUMIF(куб!$B:$B,$B266,куб!L:L))))))</f>
        <v>0</v>
      </c>
      <c r="U266" s="27" t="b">
        <f>IF($G266&lt;&gt;0,SUMIF(куб!$G:$G,$G266,куб!M:M),IF($E266&lt;&gt;0,SUMIF(куб!$E:$E,$E266,куб!M:M),IF($D266&lt;&gt;0,SUMIF(куб!$D:$D,$D266,куб!M:M),IF($C266&lt;&gt;0,SUMIF(куб!$C:$C,$C266,куб!M:M),IF($B266&lt;&gt;0,SUMIF(куб!$B:$B,$B266,куб!M:M))))))</f>
        <v>0</v>
      </c>
      <c r="V266" s="13" t="str">
        <f t="shared" si="92"/>
        <v>-</v>
      </c>
      <c r="W266" s="5"/>
      <c r="X266" s="27" t="b">
        <f>IF($G266&lt;&gt;0,SUMIF(куб!$G:$G,$G266,куб!N:N),IF($E266&lt;&gt;0,SUMIF(куб!$E:$E,$E266,куб!N:N),IF($D266&lt;&gt;0,SUMIF(куб!$D:$D,$D266,куб!N:N),IF($C266&lt;&gt;0,SUMIF(куб!$C:$C,$C266,куб!N:N),IF($B266&lt;&gt;0,SUMIF(куб!$B:$B,$B266,куб!N:N))))))</f>
        <v>0</v>
      </c>
      <c r="Y266" s="27" t="b">
        <f>IF($G266&lt;&gt;0,SUMIF(куб!$G:$G,$G266,куб!O:O),IF($E266&lt;&gt;0,SUMIF(куб!$E:$E,$E266,куб!O:O),IF($D266&lt;&gt;0,SUMIF(куб!$D:$D,$D266,куб!O:O),IF($C266&lt;&gt;0,SUMIF(куб!$C:$C,$C266,куб!O:O),IF($B266&lt;&gt;0,SUMIF(куб!$B:$B,$B266,куб!O:O))))))</f>
        <v>0</v>
      </c>
      <c r="Z266" s="13" t="str">
        <f t="shared" si="93"/>
        <v>-</v>
      </c>
      <c r="AA266" s="5"/>
      <c r="AB266" s="33" t="str">
        <f t="shared" si="104"/>
        <v/>
      </c>
      <c r="AC266" s="33" t="str">
        <f t="shared" si="105"/>
        <v/>
      </c>
      <c r="AD266" s="15" t="str">
        <f t="shared" si="106"/>
        <v xml:space="preserve"> </v>
      </c>
      <c r="AE266" s="5"/>
      <c r="AF266" s="27" t="b">
        <f>IF($G266&lt;&gt;0,SUMIF(куб!$G:$G,$G266,куб!R:R),IF($E266&lt;&gt;0,SUMIF(куб!$E:$E,$E266,куб!R:R),IF($D266&lt;&gt;0,SUMIF(куб!$D:$D,$D266,куб!R:R),IF($C266&lt;&gt;0,SUMIF(куб!$C:$C,$C266,куб!R:R),IF($B266&lt;&gt;0,SUMIF(куб!$B:$B,$B266,куб!R:R))))))</f>
        <v>0</v>
      </c>
      <c r="AG266" s="27" t="b">
        <f>IF($G266&lt;&gt;0,SUMIF(куб!$G:$G,$G266,куб!S:S),IF($E266&lt;&gt;0,SUMIF(куб!$E:$E,$E266,куб!S:S),IF($D266&lt;&gt;0,SUMIF(куб!$D:$D,$D266,куб!S:S),IF($C266&lt;&gt;0,SUMIF(куб!$C:$C,$C266,куб!S:S),IF($B266&lt;&gt;0,SUMIF(куб!$B:$B,$B266,куб!S:S))))))</f>
        <v>0</v>
      </c>
      <c r="AH266" s="16" t="str">
        <f t="shared" si="96"/>
        <v>-</v>
      </c>
      <c r="AI266" s="8"/>
      <c r="AJ266" s="27" t="b">
        <f>IF($G266&lt;&gt;0,SUMIF(куб!$G:$G,$G266,куб!T:T),IF($E266&lt;&gt;0,SUMIF(куб!$E:$E,$E266,куб!T:T),IF($D266&lt;&gt;0,SUMIF(куб!$D:$D,$D266,куб!T:T),IF($C266&lt;&gt;0,SUMIF(куб!$C:$C,$C266,куб!T:T),IF($B266&lt;&gt;0,SUMIF(куб!$B:$B,$B266,куб!T:T))))))</f>
        <v>0</v>
      </c>
      <c r="AK266" s="27" t="b">
        <f>IF($G266&lt;&gt;0,SUMIF(куб!$G:$G,$G266,куб!U:U),IF($E266&lt;&gt;0,SUMIF(куб!$E:$E,$E266,куб!U:U),IF($D266&lt;&gt;0,SUMIF(куб!$D:$D,$D266,куб!U:U),IF($C266&lt;&gt;0,SUMIF(куб!$C:$C,$C266,куб!U:U),IF($B266&lt;&gt;0,SUMIF(куб!$B:$B,$B266,куб!U:U))))))</f>
        <v>0</v>
      </c>
      <c r="AL266" s="16" t="str">
        <f t="shared" si="97"/>
        <v>-</v>
      </c>
      <c r="AM266" s="8"/>
      <c r="AN266" s="17" t="str">
        <f t="shared" si="98"/>
        <v xml:space="preserve"> </v>
      </c>
      <c r="AO266" s="17" t="str">
        <f t="shared" si="99"/>
        <v xml:space="preserve"> </v>
      </c>
      <c r="AP266" s="16" t="str">
        <f t="shared" si="100"/>
        <v>-</v>
      </c>
      <c r="AQ266" s="8"/>
      <c r="AR266" s="17" t="str">
        <f t="shared" si="101"/>
        <v>-</v>
      </c>
      <c r="AS266" s="17" t="str">
        <f t="shared" si="102"/>
        <v>-</v>
      </c>
      <c r="AT266" s="13" t="str">
        <f t="shared" si="103"/>
        <v>-</v>
      </c>
      <c r="AU266" s="8"/>
    </row>
    <row r="267" spans="1:47" ht="15" customHeight="1" x14ac:dyDescent="0.25">
      <c r="A267" s="31"/>
      <c r="B267" s="31"/>
      <c r="C267"/>
      <c r="D267" s="31"/>
      <c r="E267" s="31"/>
      <c r="F267" s="31"/>
      <c r="G267" s="31"/>
      <c r="H267" s="27">
        <f>IF($G267&lt;&gt;0,SUMIF(куб!$G:$G,$G267,куб!H:H),IF($E267&lt;&gt;0,SUMIF(куб!$E:$E,$E267,куб!H:H),IF($D267&lt;&gt;0,SUMIF(куб!$D:$D,$D267,куб!H:H),IF($C267&lt;&gt;0,SUMIF(куб!$C:$C,$C267,куб!H:H),IF($B267&lt;&gt;0,SUMIF(куб!$B:$B,$B267,куб!H:H),IF($G267&lt;&gt;0,SUMIF(куб!$A:$A,$G267,куб!H:H),SUMIF(куб!$A:$A,$G267,куб!H:H)))))))</f>
        <v>0</v>
      </c>
      <c r="I267" s="27">
        <f>IF($G267&lt;&gt;0,SUMIF(куб!$G:$G,$G267,куб!I:I),IF($E267&lt;&gt;0,SUMIF(куб!$E:$E,$E267,куб!I:I),IF($D267&lt;&gt;0,SUMIF(куб!$D:$D,$D267,куб!I:I),IF($C267&lt;&gt;0,SUMIF(куб!$C:$C,$C267,куб!I:I),IF($B267&lt;&gt;0,SUMIF(куб!$B:$B,$B267,куб!I:I),IF($G267&lt;&gt;0,SUMIF(куб!$A:$A,$G267,куб!I:I),SUMIF(куб!$A:$A,$G267,куб!I:I)))))))</f>
        <v>0</v>
      </c>
      <c r="J267" s="19" t="str">
        <f t="shared" ref="J267:J290" si="107">IFERROR((I267-H267)/ABS(H267),"-")</f>
        <v>-</v>
      </c>
      <c r="K267" s="10"/>
      <c r="L267" s="17">
        <f t="shared" si="88"/>
        <v>0</v>
      </c>
      <c r="M267" s="17">
        <f t="shared" si="89"/>
        <v>0</v>
      </c>
      <c r="N267" s="12">
        <f t="shared" si="90"/>
        <v>0</v>
      </c>
      <c r="O267" s="5"/>
      <c r="P267" s="27" t="b">
        <f>IF($G267&lt;&gt;0,SUMIF(куб!$G:$G,$G267,куб!J:J),IF($E267&lt;&gt;0,SUMIF(куб!$E:$E,$E267,куб!J:J),IF($D267&lt;&gt;0,SUMIF(куб!$D:$D,$D267,куб!J:J),IF($C267&lt;&gt;0,SUMIF(куб!$C:$C,$C267,куб!J:J),IF($B267&lt;&gt;0,SUMIF(куб!$B:$B,$B267,куб!J:J))))))</f>
        <v>0</v>
      </c>
      <c r="Q267" s="27" t="b">
        <f>IF($G267&lt;&gt;0,SUMIF(куб!$G:$G,$G267,куб!K:K),IF($E267&lt;&gt;0,SUMIF(куб!$E:$E,$E267,куб!K:K),IF($D267&lt;&gt;0,SUMIF(куб!$D:$D,$D267,куб!K:K),IF($C267&lt;&gt;0,SUMIF(куб!$C:$C,$C267,куб!K:K),IF($B267&lt;&gt;0,SUMIF(куб!$B:$B,$B267,куб!K:K))))))</f>
        <v>0</v>
      </c>
      <c r="R267" s="13" t="str">
        <f t="shared" si="91"/>
        <v>-</v>
      </c>
      <c r="S267" s="5"/>
      <c r="T267" s="27" t="b">
        <f>IF($G267&lt;&gt;0,SUMIF(куб!$G:$G,$G267,куб!L:L),IF($E267&lt;&gt;0,SUMIF(куб!$E:$E,$E267,куб!L:L),IF($D267&lt;&gt;0,SUMIF(куб!$D:$D,$D267,куб!L:L),IF($C267&lt;&gt;0,SUMIF(куб!$C:$C,$C267,куб!L:L),IF($B267&lt;&gt;0,SUMIF(куб!$B:$B,$B267,куб!L:L))))))</f>
        <v>0</v>
      </c>
      <c r="U267" s="27" t="b">
        <f>IF($G267&lt;&gt;0,SUMIF(куб!$G:$G,$G267,куб!M:M),IF($E267&lt;&gt;0,SUMIF(куб!$E:$E,$E267,куб!M:M),IF($D267&lt;&gt;0,SUMIF(куб!$D:$D,$D267,куб!M:M),IF($C267&lt;&gt;0,SUMIF(куб!$C:$C,$C267,куб!M:M),IF($B267&lt;&gt;0,SUMIF(куб!$B:$B,$B267,куб!M:M))))))</f>
        <v>0</v>
      </c>
      <c r="V267" s="13" t="str">
        <f t="shared" si="92"/>
        <v>-</v>
      </c>
      <c r="W267" s="5"/>
      <c r="X267" s="27" t="b">
        <f>IF($G267&lt;&gt;0,SUMIF(куб!$G:$G,$G267,куб!N:N),IF($E267&lt;&gt;0,SUMIF(куб!$E:$E,$E267,куб!N:N),IF($D267&lt;&gt;0,SUMIF(куб!$D:$D,$D267,куб!N:N),IF($C267&lt;&gt;0,SUMIF(куб!$C:$C,$C267,куб!N:N),IF($B267&lt;&gt;0,SUMIF(куб!$B:$B,$B267,куб!N:N))))))</f>
        <v>0</v>
      </c>
      <c r="Y267" s="27" t="b">
        <f>IF($G267&lt;&gt;0,SUMIF(куб!$G:$G,$G267,куб!O:O),IF($E267&lt;&gt;0,SUMIF(куб!$E:$E,$E267,куб!O:O),IF($D267&lt;&gt;0,SUMIF(куб!$D:$D,$D267,куб!O:O),IF($C267&lt;&gt;0,SUMIF(куб!$C:$C,$C267,куб!O:O),IF($B267&lt;&gt;0,SUMIF(куб!$B:$B,$B267,куб!O:O))))))</f>
        <v>0</v>
      </c>
      <c r="Z267" s="13" t="str">
        <f t="shared" si="93"/>
        <v>-</v>
      </c>
      <c r="AA267" s="5"/>
      <c r="AB267" s="33" t="str">
        <f t="shared" si="104"/>
        <v/>
      </c>
      <c r="AC267" s="33" t="str">
        <f t="shared" si="105"/>
        <v/>
      </c>
      <c r="AD267" s="15" t="str">
        <f t="shared" si="106"/>
        <v xml:space="preserve"> </v>
      </c>
      <c r="AE267" s="5"/>
      <c r="AF267" s="27" t="b">
        <f>IF($G267&lt;&gt;0,SUMIF(куб!$G:$G,$G267,куб!R:R),IF($E267&lt;&gt;0,SUMIF(куб!$E:$E,$E267,куб!R:R),IF($D267&lt;&gt;0,SUMIF(куб!$D:$D,$D267,куб!R:R),IF($C267&lt;&gt;0,SUMIF(куб!$C:$C,$C267,куб!R:R),IF($B267&lt;&gt;0,SUMIF(куб!$B:$B,$B267,куб!R:R))))))</f>
        <v>0</v>
      </c>
      <c r="AG267" s="27" t="b">
        <f>IF($G267&lt;&gt;0,SUMIF(куб!$G:$G,$G267,куб!S:S),IF($E267&lt;&gt;0,SUMIF(куб!$E:$E,$E267,куб!S:S),IF($D267&lt;&gt;0,SUMIF(куб!$D:$D,$D267,куб!S:S),IF($C267&lt;&gt;0,SUMIF(куб!$C:$C,$C267,куб!S:S),IF($B267&lt;&gt;0,SUMIF(куб!$B:$B,$B267,куб!S:S))))))</f>
        <v>0</v>
      </c>
      <c r="AH267" s="16" t="str">
        <f t="shared" si="96"/>
        <v>-</v>
      </c>
      <c r="AI267" s="8"/>
      <c r="AJ267" s="27" t="b">
        <f>IF($G267&lt;&gt;0,SUMIF(куб!$G:$G,$G267,куб!T:T),IF($E267&lt;&gt;0,SUMIF(куб!$E:$E,$E267,куб!T:T),IF($D267&lt;&gt;0,SUMIF(куб!$D:$D,$D267,куб!T:T),IF($C267&lt;&gt;0,SUMIF(куб!$C:$C,$C267,куб!T:T),IF($B267&lt;&gt;0,SUMIF(куб!$B:$B,$B267,куб!T:T))))))</f>
        <v>0</v>
      </c>
      <c r="AK267" s="27" t="b">
        <f>IF($G267&lt;&gt;0,SUMIF(куб!$G:$G,$G267,куб!U:U),IF($E267&lt;&gt;0,SUMIF(куб!$E:$E,$E267,куб!U:U),IF($D267&lt;&gt;0,SUMIF(куб!$D:$D,$D267,куб!U:U),IF($C267&lt;&gt;0,SUMIF(куб!$C:$C,$C267,куб!U:U),IF($B267&lt;&gt;0,SUMIF(куб!$B:$B,$B267,куб!U:U))))))</f>
        <v>0</v>
      </c>
      <c r="AL267" s="16" t="str">
        <f t="shared" si="97"/>
        <v>-</v>
      </c>
      <c r="AM267" s="8"/>
      <c r="AN267" s="17" t="str">
        <f t="shared" si="98"/>
        <v xml:space="preserve"> </v>
      </c>
      <c r="AO267" s="17" t="str">
        <f t="shared" si="99"/>
        <v xml:space="preserve"> </v>
      </c>
      <c r="AP267" s="16" t="str">
        <f t="shared" si="100"/>
        <v>-</v>
      </c>
      <c r="AQ267" s="8"/>
      <c r="AR267" s="17" t="str">
        <f t="shared" si="101"/>
        <v>-</v>
      </c>
      <c r="AS267" s="17" t="str">
        <f t="shared" si="102"/>
        <v>-</v>
      </c>
      <c r="AT267" s="13" t="str">
        <f t="shared" si="103"/>
        <v>-</v>
      </c>
      <c r="AU267" s="8"/>
    </row>
    <row r="268" spans="1:47" ht="15" customHeight="1" x14ac:dyDescent="0.25">
      <c r="A268" s="31"/>
      <c r="B268" s="31"/>
      <c r="C268"/>
      <c r="D268" s="31"/>
      <c r="E268"/>
      <c r="F268" s="31"/>
      <c r="G268"/>
      <c r="H268" s="27">
        <f>IF($G268&lt;&gt;0,SUMIF(куб!$G:$G,$G268,куб!H:H),IF($E268&lt;&gt;0,SUMIF(куб!$E:$E,$E268,куб!H:H),IF($D268&lt;&gt;0,SUMIF(куб!$D:$D,$D268,куб!H:H),IF($C268&lt;&gt;0,SUMIF(куб!$C:$C,$C268,куб!H:H),IF($B268&lt;&gt;0,SUMIF(куб!$B:$B,$B268,куб!H:H),IF($G268&lt;&gt;0,SUMIF(куб!$A:$A,$G268,куб!H:H),SUMIF(куб!$A:$A,$G268,куб!H:H)))))))</f>
        <v>0</v>
      </c>
      <c r="I268" s="27">
        <f>IF($G268&lt;&gt;0,SUMIF(куб!$G:$G,$G268,куб!I:I),IF($E268&lt;&gt;0,SUMIF(куб!$E:$E,$E268,куб!I:I),IF($D268&lt;&gt;0,SUMIF(куб!$D:$D,$D268,куб!I:I),IF($C268&lt;&gt;0,SUMIF(куб!$C:$C,$C268,куб!I:I),IF($B268&lt;&gt;0,SUMIF(куб!$B:$B,$B268,куб!I:I),IF($G268&lt;&gt;0,SUMIF(куб!$A:$A,$G268,куб!I:I),SUMIF(куб!$A:$A,$G268,куб!I:I)))))))</f>
        <v>0</v>
      </c>
      <c r="J268" s="19" t="str">
        <f t="shared" si="107"/>
        <v>-</v>
      </c>
      <c r="K268" s="5"/>
      <c r="L268" s="17">
        <f t="shared" si="88"/>
        <v>0</v>
      </c>
      <c r="M268" s="17">
        <f t="shared" si="89"/>
        <v>0</v>
      </c>
      <c r="N268" s="12">
        <f t="shared" si="90"/>
        <v>0</v>
      </c>
      <c r="O268" s="5"/>
      <c r="P268" s="27" t="b">
        <f>IF($G268&lt;&gt;0,SUMIF(куб!$G:$G,$G268,куб!J:J),IF($E268&lt;&gt;0,SUMIF(куб!$E:$E,$E268,куб!J:J),IF($D268&lt;&gt;0,SUMIF(куб!$D:$D,$D268,куб!J:J),IF($C268&lt;&gt;0,SUMIF(куб!$C:$C,$C268,куб!J:J),IF($B268&lt;&gt;0,SUMIF(куб!$B:$B,$B268,куб!J:J))))))</f>
        <v>0</v>
      </c>
      <c r="Q268" s="27" t="b">
        <f>IF($G268&lt;&gt;0,SUMIF(куб!$G:$G,$G268,куб!K:K),IF($E268&lt;&gt;0,SUMIF(куб!$E:$E,$E268,куб!K:K),IF($D268&lt;&gt;0,SUMIF(куб!$D:$D,$D268,куб!K:K),IF($C268&lt;&gt;0,SUMIF(куб!$C:$C,$C268,куб!K:K),IF($B268&lt;&gt;0,SUMIF(куб!$B:$B,$B268,куб!K:K))))))</f>
        <v>0</v>
      </c>
      <c r="R268" s="13" t="str">
        <f t="shared" si="91"/>
        <v>-</v>
      </c>
      <c r="S268" s="5"/>
      <c r="T268" s="27" t="b">
        <f>IF($G268&lt;&gt;0,SUMIF(куб!$G:$G,$G268,куб!L:L),IF($E268&lt;&gt;0,SUMIF(куб!$E:$E,$E268,куб!L:L),IF($D268&lt;&gt;0,SUMIF(куб!$D:$D,$D268,куб!L:L),IF($C268&lt;&gt;0,SUMIF(куб!$C:$C,$C268,куб!L:L),IF($B268&lt;&gt;0,SUMIF(куб!$B:$B,$B268,куб!L:L))))))</f>
        <v>0</v>
      </c>
      <c r="U268" s="27" t="b">
        <f>IF($G268&lt;&gt;0,SUMIF(куб!$G:$G,$G268,куб!M:M),IF($E268&lt;&gt;0,SUMIF(куб!$E:$E,$E268,куб!M:M),IF($D268&lt;&gt;0,SUMIF(куб!$D:$D,$D268,куб!M:M),IF($C268&lt;&gt;0,SUMIF(куб!$C:$C,$C268,куб!M:M),IF($B268&lt;&gt;0,SUMIF(куб!$B:$B,$B268,куб!M:M))))))</f>
        <v>0</v>
      </c>
      <c r="V268" s="13" t="str">
        <f t="shared" si="92"/>
        <v>-</v>
      </c>
      <c r="W268" s="5"/>
      <c r="X268" s="27" t="b">
        <f>IF($G268&lt;&gt;0,SUMIF(куб!$G:$G,$G268,куб!N:N),IF($E268&lt;&gt;0,SUMIF(куб!$E:$E,$E268,куб!N:N),IF($D268&lt;&gt;0,SUMIF(куб!$D:$D,$D268,куб!N:N),IF($C268&lt;&gt;0,SUMIF(куб!$C:$C,$C268,куб!N:N),IF($B268&lt;&gt;0,SUMIF(куб!$B:$B,$B268,куб!N:N))))))</f>
        <v>0</v>
      </c>
      <c r="Y268" s="27" t="b">
        <f>IF($G268&lt;&gt;0,SUMIF(куб!$G:$G,$G268,куб!O:O),IF($E268&lt;&gt;0,SUMIF(куб!$E:$E,$E268,куб!O:O),IF($D268&lt;&gt;0,SUMIF(куб!$D:$D,$D268,куб!O:O),IF($C268&lt;&gt;0,SUMIF(куб!$C:$C,$C268,куб!O:O),IF($B268&lt;&gt;0,SUMIF(куб!$B:$B,$B268,куб!O:O))))))</f>
        <v>0</v>
      </c>
      <c r="Z268" s="13" t="str">
        <f t="shared" si="93"/>
        <v>-</v>
      </c>
      <c r="AA268" s="5"/>
      <c r="AB268" s="33" t="str">
        <f t="shared" si="104"/>
        <v/>
      </c>
      <c r="AC268" s="33" t="str">
        <f t="shared" si="105"/>
        <v/>
      </c>
      <c r="AD268" s="15" t="str">
        <f t="shared" si="106"/>
        <v xml:space="preserve"> </v>
      </c>
      <c r="AE268" s="5"/>
      <c r="AF268" s="27" t="b">
        <f>IF($G268&lt;&gt;0,SUMIF(куб!$G:$G,$G268,куб!R:R),IF($E268&lt;&gt;0,SUMIF(куб!$E:$E,$E268,куб!R:R),IF($D268&lt;&gt;0,SUMIF(куб!$D:$D,$D268,куб!R:R),IF($C268&lt;&gt;0,SUMIF(куб!$C:$C,$C268,куб!R:R),IF($B268&lt;&gt;0,SUMIF(куб!$B:$B,$B268,куб!R:R))))))</f>
        <v>0</v>
      </c>
      <c r="AG268" s="27" t="b">
        <f>IF($G268&lt;&gt;0,SUMIF(куб!$G:$G,$G268,куб!S:S),IF($E268&lt;&gt;0,SUMIF(куб!$E:$E,$E268,куб!S:S),IF($D268&lt;&gt;0,SUMIF(куб!$D:$D,$D268,куб!S:S),IF($C268&lt;&gt;0,SUMIF(куб!$C:$C,$C268,куб!S:S),IF($B268&lt;&gt;0,SUMIF(куб!$B:$B,$B268,куб!S:S))))))</f>
        <v>0</v>
      </c>
      <c r="AH268" s="16" t="str">
        <f t="shared" si="96"/>
        <v>-</v>
      </c>
      <c r="AI268" s="8"/>
      <c r="AJ268" s="27" t="b">
        <f>IF($G268&lt;&gt;0,SUMIF(куб!$G:$G,$G268,куб!T:T),IF($E268&lt;&gt;0,SUMIF(куб!$E:$E,$E268,куб!T:T),IF($D268&lt;&gt;0,SUMIF(куб!$D:$D,$D268,куб!T:T),IF($C268&lt;&gt;0,SUMIF(куб!$C:$C,$C268,куб!T:T),IF($B268&lt;&gt;0,SUMIF(куб!$B:$B,$B268,куб!T:T))))))</f>
        <v>0</v>
      </c>
      <c r="AK268" s="27" t="b">
        <f>IF($G268&lt;&gt;0,SUMIF(куб!$G:$G,$G268,куб!U:U),IF($E268&lt;&gt;0,SUMIF(куб!$E:$E,$E268,куб!U:U),IF($D268&lt;&gt;0,SUMIF(куб!$D:$D,$D268,куб!U:U),IF($C268&lt;&gt;0,SUMIF(куб!$C:$C,$C268,куб!U:U),IF($B268&lt;&gt;0,SUMIF(куб!$B:$B,$B268,куб!U:U))))))</f>
        <v>0</v>
      </c>
      <c r="AL268" s="16" t="str">
        <f t="shared" si="97"/>
        <v>-</v>
      </c>
      <c r="AM268" s="8"/>
      <c r="AN268" s="17" t="str">
        <f t="shared" si="98"/>
        <v xml:space="preserve"> </v>
      </c>
      <c r="AO268" s="17" t="str">
        <f t="shared" si="99"/>
        <v xml:space="preserve"> </v>
      </c>
      <c r="AP268" s="16" t="str">
        <f t="shared" si="100"/>
        <v>-</v>
      </c>
      <c r="AQ268" s="8"/>
      <c r="AR268" s="17" t="str">
        <f t="shared" si="101"/>
        <v>-</v>
      </c>
      <c r="AS268" s="17" t="str">
        <f t="shared" si="102"/>
        <v>-</v>
      </c>
      <c r="AT268" s="13" t="str">
        <f t="shared" si="103"/>
        <v>-</v>
      </c>
      <c r="AU268" s="8"/>
    </row>
    <row r="269" spans="1:47" ht="15" customHeight="1" x14ac:dyDescent="0.25">
      <c r="A269" s="31"/>
      <c r="B269" s="31"/>
      <c r="C269"/>
      <c r="D269" s="31"/>
      <c r="E269"/>
      <c r="F269" s="31"/>
      <c r="G269"/>
      <c r="H269" s="27">
        <f>IF($G269&lt;&gt;0,SUMIF(куб!$G:$G,$G269,куб!H:H),IF($E269&lt;&gt;0,SUMIF(куб!$E:$E,$E269,куб!H:H),IF($D269&lt;&gt;0,SUMIF(куб!$D:$D,$D269,куб!H:H),IF($C269&lt;&gt;0,SUMIF(куб!$C:$C,$C269,куб!H:H),IF($B269&lt;&gt;0,SUMIF(куб!$B:$B,$B269,куб!H:H),IF($G269&lt;&gt;0,SUMIF(куб!$A:$A,$G269,куб!H:H),SUMIF(куб!$A:$A,$G269,куб!H:H)))))))</f>
        <v>0</v>
      </c>
      <c r="I269" s="27">
        <f>IF($G269&lt;&gt;0,SUMIF(куб!$G:$G,$G269,куб!I:I),IF($E269&lt;&gt;0,SUMIF(куб!$E:$E,$E269,куб!I:I),IF($D269&lt;&gt;0,SUMIF(куб!$D:$D,$D269,куб!I:I),IF($C269&lt;&gt;0,SUMIF(куб!$C:$C,$C269,куб!I:I),IF($B269&lt;&gt;0,SUMIF(куб!$B:$B,$B269,куб!I:I),IF($G269&lt;&gt;0,SUMIF(куб!$A:$A,$G269,куб!I:I),SUMIF(куб!$A:$A,$G269,куб!I:I)))))))</f>
        <v>0</v>
      </c>
      <c r="J269" s="19" t="str">
        <f t="shared" si="107"/>
        <v>-</v>
      </c>
      <c r="K269" s="5"/>
      <c r="L269" s="17">
        <f t="shared" si="88"/>
        <v>0</v>
      </c>
      <c r="M269" s="17">
        <f t="shared" si="89"/>
        <v>0</v>
      </c>
      <c r="N269" s="12">
        <f t="shared" si="90"/>
        <v>0</v>
      </c>
      <c r="O269" s="5"/>
      <c r="P269" s="27" t="b">
        <f>IF($G269&lt;&gt;0,SUMIF(куб!$G:$G,$G269,куб!J:J),IF($E269&lt;&gt;0,SUMIF(куб!$E:$E,$E269,куб!J:J),IF($D269&lt;&gt;0,SUMIF(куб!$D:$D,$D269,куб!J:J),IF($C269&lt;&gt;0,SUMIF(куб!$C:$C,$C269,куб!J:J),IF($B269&lt;&gt;0,SUMIF(куб!$B:$B,$B269,куб!J:J))))))</f>
        <v>0</v>
      </c>
      <c r="Q269" s="27" t="b">
        <f>IF($G269&lt;&gt;0,SUMIF(куб!$G:$G,$G269,куб!K:K),IF($E269&lt;&gt;0,SUMIF(куб!$E:$E,$E269,куб!K:K),IF($D269&lt;&gt;0,SUMIF(куб!$D:$D,$D269,куб!K:K),IF($C269&lt;&gt;0,SUMIF(куб!$C:$C,$C269,куб!K:K),IF($B269&lt;&gt;0,SUMIF(куб!$B:$B,$B269,куб!K:K))))))</f>
        <v>0</v>
      </c>
      <c r="R269" s="13" t="str">
        <f t="shared" si="91"/>
        <v>-</v>
      </c>
      <c r="S269" s="5"/>
      <c r="T269" s="27" t="b">
        <f>IF($G269&lt;&gt;0,SUMIF(куб!$G:$G,$G269,куб!L:L),IF($E269&lt;&gt;0,SUMIF(куб!$E:$E,$E269,куб!L:L),IF($D269&lt;&gt;0,SUMIF(куб!$D:$D,$D269,куб!L:L),IF($C269&lt;&gt;0,SUMIF(куб!$C:$C,$C269,куб!L:L),IF($B269&lt;&gt;0,SUMIF(куб!$B:$B,$B269,куб!L:L))))))</f>
        <v>0</v>
      </c>
      <c r="U269" s="27" t="b">
        <f>IF($G269&lt;&gt;0,SUMIF(куб!$G:$G,$G269,куб!M:M),IF($E269&lt;&gt;0,SUMIF(куб!$E:$E,$E269,куб!M:M),IF($D269&lt;&gt;0,SUMIF(куб!$D:$D,$D269,куб!M:M),IF($C269&lt;&gt;0,SUMIF(куб!$C:$C,$C269,куб!M:M),IF($B269&lt;&gt;0,SUMIF(куб!$B:$B,$B269,куб!M:M))))))</f>
        <v>0</v>
      </c>
      <c r="V269" s="13" t="str">
        <f t="shared" si="92"/>
        <v>-</v>
      </c>
      <c r="W269" s="5"/>
      <c r="X269" s="27" t="b">
        <f>IF($G269&lt;&gt;0,SUMIF(куб!$G:$G,$G269,куб!N:N),IF($E269&lt;&gt;0,SUMIF(куб!$E:$E,$E269,куб!N:N),IF($D269&lt;&gt;0,SUMIF(куб!$D:$D,$D269,куб!N:N),IF($C269&lt;&gt;0,SUMIF(куб!$C:$C,$C269,куб!N:N),IF($B269&lt;&gt;0,SUMIF(куб!$B:$B,$B269,куб!N:N))))))</f>
        <v>0</v>
      </c>
      <c r="Y269" s="27" t="b">
        <f>IF($G269&lt;&gt;0,SUMIF(куб!$G:$G,$G269,куб!O:O),IF($E269&lt;&gt;0,SUMIF(куб!$E:$E,$E269,куб!O:O),IF($D269&lt;&gt;0,SUMIF(куб!$D:$D,$D269,куб!O:O),IF($C269&lt;&gt;0,SUMIF(куб!$C:$C,$C269,куб!O:O),IF($B269&lt;&gt;0,SUMIF(куб!$B:$B,$B269,куб!O:O))))))</f>
        <v>0</v>
      </c>
      <c r="Z269" s="13" t="str">
        <f t="shared" si="93"/>
        <v>-</v>
      </c>
      <c r="AA269" s="5"/>
      <c r="AB269" s="33" t="str">
        <f t="shared" si="104"/>
        <v/>
      </c>
      <c r="AC269" s="33" t="str">
        <f t="shared" si="105"/>
        <v/>
      </c>
      <c r="AD269" s="15" t="str">
        <f t="shared" si="106"/>
        <v xml:space="preserve"> </v>
      </c>
      <c r="AE269" s="5"/>
      <c r="AF269" s="27" t="b">
        <f>IF($G269&lt;&gt;0,SUMIF(куб!$G:$G,$G269,куб!R:R),IF($E269&lt;&gt;0,SUMIF(куб!$E:$E,$E269,куб!R:R),IF($D269&lt;&gt;0,SUMIF(куб!$D:$D,$D269,куб!R:R),IF($C269&lt;&gt;0,SUMIF(куб!$C:$C,$C269,куб!R:R),IF($B269&lt;&gt;0,SUMIF(куб!$B:$B,$B269,куб!R:R))))))</f>
        <v>0</v>
      </c>
      <c r="AG269" s="27" t="b">
        <f>IF($G269&lt;&gt;0,SUMIF(куб!$G:$G,$G269,куб!S:S),IF($E269&lt;&gt;0,SUMIF(куб!$E:$E,$E269,куб!S:S),IF($D269&lt;&gt;0,SUMIF(куб!$D:$D,$D269,куб!S:S),IF($C269&lt;&gt;0,SUMIF(куб!$C:$C,$C269,куб!S:S),IF($B269&lt;&gt;0,SUMIF(куб!$B:$B,$B269,куб!S:S))))))</f>
        <v>0</v>
      </c>
      <c r="AH269" s="16" t="str">
        <f t="shared" si="96"/>
        <v>-</v>
      </c>
      <c r="AI269" s="8"/>
      <c r="AJ269" s="27" t="b">
        <f>IF($G269&lt;&gt;0,SUMIF(куб!$G:$G,$G269,куб!T:T),IF($E269&lt;&gt;0,SUMIF(куб!$E:$E,$E269,куб!T:T),IF($D269&lt;&gt;0,SUMIF(куб!$D:$D,$D269,куб!T:T),IF($C269&lt;&gt;0,SUMIF(куб!$C:$C,$C269,куб!T:T),IF($B269&lt;&gt;0,SUMIF(куб!$B:$B,$B269,куб!T:T))))))</f>
        <v>0</v>
      </c>
      <c r="AK269" s="27" t="b">
        <f>IF($G269&lt;&gt;0,SUMIF(куб!$G:$G,$G269,куб!U:U),IF($E269&lt;&gt;0,SUMIF(куб!$E:$E,$E269,куб!U:U),IF($D269&lt;&gt;0,SUMIF(куб!$D:$D,$D269,куб!U:U),IF($C269&lt;&gt;0,SUMIF(куб!$C:$C,$C269,куб!U:U),IF($B269&lt;&gt;0,SUMIF(куб!$B:$B,$B269,куб!U:U))))))</f>
        <v>0</v>
      </c>
      <c r="AL269" s="16" t="str">
        <f t="shared" si="97"/>
        <v>-</v>
      </c>
      <c r="AM269" s="8"/>
      <c r="AN269" s="17" t="str">
        <f t="shared" si="98"/>
        <v xml:space="preserve"> </v>
      </c>
      <c r="AO269" s="17" t="str">
        <f t="shared" si="99"/>
        <v xml:space="preserve"> </v>
      </c>
      <c r="AP269" s="16" t="str">
        <f t="shared" si="100"/>
        <v>-</v>
      </c>
      <c r="AQ269" s="8"/>
      <c r="AR269" s="17" t="str">
        <f t="shared" si="101"/>
        <v>-</v>
      </c>
      <c r="AS269" s="17" t="str">
        <f t="shared" si="102"/>
        <v>-</v>
      </c>
      <c r="AT269" s="13" t="str">
        <f t="shared" si="103"/>
        <v>-</v>
      </c>
      <c r="AU269" s="8"/>
    </row>
    <row r="270" spans="1:47" ht="15" customHeight="1" x14ac:dyDescent="0.25">
      <c r="A270" s="31"/>
      <c r="B270" s="31"/>
      <c r="C270"/>
      <c r="D270" s="31"/>
      <c r="E270"/>
      <c r="F270" s="31"/>
      <c r="G270"/>
      <c r="H270" s="27">
        <f>IF($G270&lt;&gt;0,SUMIF(куб!$G:$G,$G270,куб!H:H),IF($E270&lt;&gt;0,SUMIF(куб!$E:$E,$E270,куб!H:H),IF($D270&lt;&gt;0,SUMIF(куб!$D:$D,$D270,куб!H:H),IF($C270&lt;&gt;0,SUMIF(куб!$C:$C,$C270,куб!H:H),IF($B270&lt;&gt;0,SUMIF(куб!$B:$B,$B270,куб!H:H),IF($G270&lt;&gt;0,SUMIF(куб!$A:$A,$G270,куб!H:H),SUMIF(куб!$A:$A,$G270,куб!H:H)))))))</f>
        <v>0</v>
      </c>
      <c r="I270" s="27">
        <f>IF($G270&lt;&gt;0,SUMIF(куб!$G:$G,$G270,куб!I:I),IF($E270&lt;&gt;0,SUMIF(куб!$E:$E,$E270,куб!I:I),IF($D270&lt;&gt;0,SUMIF(куб!$D:$D,$D270,куб!I:I),IF($C270&lt;&gt;0,SUMIF(куб!$C:$C,$C270,куб!I:I),IF($B270&lt;&gt;0,SUMIF(куб!$B:$B,$B270,куб!I:I),IF($G270&lt;&gt;0,SUMIF(куб!$A:$A,$G270,куб!I:I),SUMIF(куб!$A:$A,$G270,куб!I:I)))))))</f>
        <v>0</v>
      </c>
      <c r="J270" s="19" t="str">
        <f t="shared" si="107"/>
        <v>-</v>
      </c>
      <c r="K270" s="8"/>
      <c r="L270" s="17">
        <f t="shared" si="88"/>
        <v>0</v>
      </c>
      <c r="M270" s="17">
        <f t="shared" si="89"/>
        <v>0</v>
      </c>
      <c r="N270" s="12">
        <f t="shared" si="90"/>
        <v>0</v>
      </c>
      <c r="O270" s="5"/>
      <c r="P270" s="27" t="b">
        <f>IF($G270&lt;&gt;0,SUMIF(куб!$G:$G,$G270,куб!J:J),IF($E270&lt;&gt;0,SUMIF(куб!$E:$E,$E270,куб!J:J),IF($D270&lt;&gt;0,SUMIF(куб!$D:$D,$D270,куб!J:J),IF($C270&lt;&gt;0,SUMIF(куб!$C:$C,$C270,куб!J:J),IF($B270&lt;&gt;0,SUMIF(куб!$B:$B,$B270,куб!J:J))))))</f>
        <v>0</v>
      </c>
      <c r="Q270" s="27" t="b">
        <f>IF($G270&lt;&gt;0,SUMIF(куб!$G:$G,$G270,куб!K:K),IF($E270&lt;&gt;0,SUMIF(куб!$E:$E,$E270,куб!K:K),IF($D270&lt;&gt;0,SUMIF(куб!$D:$D,$D270,куб!K:K),IF($C270&lt;&gt;0,SUMIF(куб!$C:$C,$C270,куб!K:K),IF($B270&lt;&gt;0,SUMIF(куб!$B:$B,$B270,куб!K:K))))))</f>
        <v>0</v>
      </c>
      <c r="R270" s="13" t="str">
        <f t="shared" si="91"/>
        <v>-</v>
      </c>
      <c r="S270" s="5"/>
      <c r="T270" s="27" t="b">
        <f>IF($G270&lt;&gt;0,SUMIF(куб!$G:$G,$G270,куб!L:L),IF($E270&lt;&gt;0,SUMIF(куб!$E:$E,$E270,куб!L:L),IF($D270&lt;&gt;0,SUMIF(куб!$D:$D,$D270,куб!L:L),IF($C270&lt;&gt;0,SUMIF(куб!$C:$C,$C270,куб!L:L),IF($B270&lt;&gt;0,SUMIF(куб!$B:$B,$B270,куб!L:L))))))</f>
        <v>0</v>
      </c>
      <c r="U270" s="27" t="b">
        <f>IF($G270&lt;&gt;0,SUMIF(куб!$G:$G,$G270,куб!M:M),IF($E270&lt;&gt;0,SUMIF(куб!$E:$E,$E270,куб!M:M),IF($D270&lt;&gt;0,SUMIF(куб!$D:$D,$D270,куб!M:M),IF($C270&lt;&gt;0,SUMIF(куб!$C:$C,$C270,куб!M:M),IF($B270&lt;&gt;0,SUMIF(куб!$B:$B,$B270,куб!M:M))))))</f>
        <v>0</v>
      </c>
      <c r="V270" s="13" t="str">
        <f t="shared" si="92"/>
        <v>-</v>
      </c>
      <c r="W270" s="5"/>
      <c r="X270" s="27" t="b">
        <f>IF($G270&lt;&gt;0,SUMIF(куб!$G:$G,$G270,куб!N:N),IF($E270&lt;&gt;0,SUMIF(куб!$E:$E,$E270,куб!N:N),IF($D270&lt;&gt;0,SUMIF(куб!$D:$D,$D270,куб!N:N),IF($C270&lt;&gt;0,SUMIF(куб!$C:$C,$C270,куб!N:N),IF($B270&lt;&gt;0,SUMIF(куб!$B:$B,$B270,куб!N:N))))))</f>
        <v>0</v>
      </c>
      <c r="Y270" s="27" t="b">
        <f>IF($G270&lt;&gt;0,SUMIF(куб!$G:$G,$G270,куб!O:O),IF($E270&lt;&gt;0,SUMIF(куб!$E:$E,$E270,куб!O:O),IF($D270&lt;&gt;0,SUMIF(куб!$D:$D,$D270,куб!O:O),IF($C270&lt;&gt;0,SUMIF(куб!$C:$C,$C270,куб!O:O),IF($B270&lt;&gt;0,SUMIF(куб!$B:$B,$B270,куб!O:O))))))</f>
        <v>0</v>
      </c>
      <c r="Z270" s="13" t="str">
        <f t="shared" si="93"/>
        <v>-</v>
      </c>
      <c r="AA270" s="5"/>
      <c r="AB270" s="33" t="str">
        <f t="shared" si="104"/>
        <v/>
      </c>
      <c r="AC270" s="33" t="str">
        <f t="shared" si="105"/>
        <v/>
      </c>
      <c r="AD270" s="15" t="str">
        <f t="shared" si="106"/>
        <v xml:space="preserve"> </v>
      </c>
      <c r="AE270" s="5"/>
      <c r="AF270" s="27" t="b">
        <f>IF($G270&lt;&gt;0,SUMIF(куб!$G:$G,$G270,куб!R:R),IF($E270&lt;&gt;0,SUMIF(куб!$E:$E,$E270,куб!R:R),IF($D270&lt;&gt;0,SUMIF(куб!$D:$D,$D270,куб!R:R),IF($C270&lt;&gt;0,SUMIF(куб!$C:$C,$C270,куб!R:R),IF($B270&lt;&gt;0,SUMIF(куб!$B:$B,$B270,куб!R:R))))))</f>
        <v>0</v>
      </c>
      <c r="AG270" s="27" t="b">
        <f>IF($G270&lt;&gt;0,SUMIF(куб!$G:$G,$G270,куб!S:S),IF($E270&lt;&gt;0,SUMIF(куб!$E:$E,$E270,куб!S:S),IF($D270&lt;&gt;0,SUMIF(куб!$D:$D,$D270,куб!S:S),IF($C270&lt;&gt;0,SUMIF(куб!$C:$C,$C270,куб!S:S),IF($B270&lt;&gt;0,SUMIF(куб!$B:$B,$B270,куб!S:S))))))</f>
        <v>0</v>
      </c>
      <c r="AH270" s="16" t="str">
        <f t="shared" si="96"/>
        <v>-</v>
      </c>
      <c r="AI270" s="8"/>
      <c r="AJ270" s="27" t="b">
        <f>IF($G270&lt;&gt;0,SUMIF(куб!$G:$G,$G270,куб!T:T),IF($E270&lt;&gt;0,SUMIF(куб!$E:$E,$E270,куб!T:T),IF($D270&lt;&gt;0,SUMIF(куб!$D:$D,$D270,куб!T:T),IF($C270&lt;&gt;0,SUMIF(куб!$C:$C,$C270,куб!T:T),IF($B270&lt;&gt;0,SUMIF(куб!$B:$B,$B270,куб!T:T))))))</f>
        <v>0</v>
      </c>
      <c r="AK270" s="27" t="b">
        <f>IF($G270&lt;&gt;0,SUMIF(куб!$G:$G,$G270,куб!U:U),IF($E270&lt;&gt;0,SUMIF(куб!$E:$E,$E270,куб!U:U),IF($D270&lt;&gt;0,SUMIF(куб!$D:$D,$D270,куб!U:U),IF($C270&lt;&gt;0,SUMIF(куб!$C:$C,$C270,куб!U:U),IF($B270&lt;&gt;0,SUMIF(куб!$B:$B,$B270,куб!U:U))))))</f>
        <v>0</v>
      </c>
      <c r="AL270" s="16" t="str">
        <f t="shared" si="97"/>
        <v>-</v>
      </c>
      <c r="AM270" s="8"/>
      <c r="AN270" s="17" t="str">
        <f t="shared" si="98"/>
        <v xml:space="preserve"> </v>
      </c>
      <c r="AO270" s="17" t="str">
        <f t="shared" si="99"/>
        <v xml:space="preserve"> </v>
      </c>
      <c r="AP270" s="16" t="str">
        <f t="shared" si="100"/>
        <v>-</v>
      </c>
      <c r="AQ270" s="8"/>
      <c r="AR270" s="17" t="str">
        <f t="shared" si="101"/>
        <v>-</v>
      </c>
      <c r="AS270" s="17" t="str">
        <f t="shared" si="102"/>
        <v>-</v>
      </c>
      <c r="AT270" s="13" t="str">
        <f t="shared" si="103"/>
        <v>-</v>
      </c>
      <c r="AU270" s="8"/>
    </row>
    <row r="271" spans="1:47" ht="15" customHeight="1" x14ac:dyDescent="0.25">
      <c r="A271" s="31"/>
      <c r="B271" s="31"/>
      <c r="C271"/>
      <c r="D271" s="31"/>
      <c r="E271"/>
      <c r="F271" s="31"/>
      <c r="G271"/>
      <c r="H271" s="27">
        <f>IF($G271&lt;&gt;0,SUMIF(куб!$G:$G,$G271,куб!H:H),IF($E271&lt;&gt;0,SUMIF(куб!$E:$E,$E271,куб!H:H),IF($D271&lt;&gt;0,SUMIF(куб!$D:$D,$D271,куб!H:H),IF($C271&lt;&gt;0,SUMIF(куб!$C:$C,$C271,куб!H:H),IF($B271&lt;&gt;0,SUMIF(куб!$B:$B,$B271,куб!H:H),IF($G271&lt;&gt;0,SUMIF(куб!$A:$A,$G271,куб!H:H),SUMIF(куб!$A:$A,$G271,куб!H:H)))))))</f>
        <v>0</v>
      </c>
      <c r="I271" s="27">
        <f>IF($G271&lt;&gt;0,SUMIF(куб!$G:$G,$G271,куб!I:I),IF($E271&lt;&gt;0,SUMIF(куб!$E:$E,$E271,куб!I:I),IF($D271&lt;&gt;0,SUMIF(куб!$D:$D,$D271,куб!I:I),IF($C271&lt;&gt;0,SUMIF(куб!$C:$C,$C271,куб!I:I),IF($B271&lt;&gt;0,SUMIF(куб!$B:$B,$B271,куб!I:I),IF($G271&lt;&gt;0,SUMIF(куб!$A:$A,$G271,куб!I:I),SUMIF(куб!$A:$A,$G271,куб!I:I)))))))</f>
        <v>0</v>
      </c>
      <c r="J271" s="19" t="str">
        <f t="shared" si="107"/>
        <v>-</v>
      </c>
      <c r="K271" s="10"/>
      <c r="L271" s="17">
        <f t="shared" si="88"/>
        <v>0</v>
      </c>
      <c r="M271" s="17">
        <f t="shared" si="89"/>
        <v>0</v>
      </c>
      <c r="N271" s="12">
        <f t="shared" si="90"/>
        <v>0</v>
      </c>
      <c r="O271" s="5"/>
      <c r="P271" s="27" t="b">
        <f>IF($G271&lt;&gt;0,SUMIF(куб!$G:$G,$G271,куб!J:J),IF($E271&lt;&gt;0,SUMIF(куб!$E:$E,$E271,куб!J:J),IF($D271&lt;&gt;0,SUMIF(куб!$D:$D,$D271,куб!J:J),IF($C271&lt;&gt;0,SUMIF(куб!$C:$C,$C271,куб!J:J),IF($B271&lt;&gt;0,SUMIF(куб!$B:$B,$B271,куб!J:J))))))</f>
        <v>0</v>
      </c>
      <c r="Q271" s="27" t="b">
        <f>IF($G271&lt;&gt;0,SUMIF(куб!$G:$G,$G271,куб!K:K),IF($E271&lt;&gt;0,SUMIF(куб!$E:$E,$E271,куб!K:K),IF($D271&lt;&gt;0,SUMIF(куб!$D:$D,$D271,куб!K:K),IF($C271&lt;&gt;0,SUMIF(куб!$C:$C,$C271,куб!K:K),IF($B271&lt;&gt;0,SUMIF(куб!$B:$B,$B271,куб!K:K))))))</f>
        <v>0</v>
      </c>
      <c r="R271" s="13" t="str">
        <f t="shared" si="91"/>
        <v>-</v>
      </c>
      <c r="S271" s="5"/>
      <c r="T271" s="27" t="b">
        <f>IF($G271&lt;&gt;0,SUMIF(куб!$G:$G,$G271,куб!L:L),IF($E271&lt;&gt;0,SUMIF(куб!$E:$E,$E271,куб!L:L),IF($D271&lt;&gt;0,SUMIF(куб!$D:$D,$D271,куб!L:L),IF($C271&lt;&gt;0,SUMIF(куб!$C:$C,$C271,куб!L:L),IF($B271&lt;&gt;0,SUMIF(куб!$B:$B,$B271,куб!L:L))))))</f>
        <v>0</v>
      </c>
      <c r="U271" s="27" t="b">
        <f>IF($G271&lt;&gt;0,SUMIF(куб!$G:$G,$G271,куб!M:M),IF($E271&lt;&gt;0,SUMIF(куб!$E:$E,$E271,куб!M:M),IF($D271&lt;&gt;0,SUMIF(куб!$D:$D,$D271,куб!M:M),IF($C271&lt;&gt;0,SUMIF(куб!$C:$C,$C271,куб!M:M),IF($B271&lt;&gt;0,SUMIF(куб!$B:$B,$B271,куб!M:M))))))</f>
        <v>0</v>
      </c>
      <c r="V271" s="13" t="str">
        <f t="shared" si="92"/>
        <v>-</v>
      </c>
      <c r="W271" s="5"/>
      <c r="X271" s="27" t="b">
        <f>IF($G271&lt;&gt;0,SUMIF(куб!$G:$G,$G271,куб!N:N),IF($E271&lt;&gt;0,SUMIF(куб!$E:$E,$E271,куб!N:N),IF($D271&lt;&gt;0,SUMIF(куб!$D:$D,$D271,куб!N:N),IF($C271&lt;&gt;0,SUMIF(куб!$C:$C,$C271,куб!N:N),IF($B271&lt;&gt;0,SUMIF(куб!$B:$B,$B271,куб!N:N))))))</f>
        <v>0</v>
      </c>
      <c r="Y271" s="27" t="b">
        <f>IF($G271&lt;&gt;0,SUMIF(куб!$G:$G,$G271,куб!O:O),IF($E271&lt;&gt;0,SUMIF(куб!$E:$E,$E271,куб!O:O),IF($D271&lt;&gt;0,SUMIF(куб!$D:$D,$D271,куб!O:O),IF($C271&lt;&gt;0,SUMIF(куб!$C:$C,$C271,куб!O:O),IF($B271&lt;&gt;0,SUMIF(куб!$B:$B,$B271,куб!O:O))))))</f>
        <v>0</v>
      </c>
      <c r="Z271" s="13" t="str">
        <f t="shared" si="93"/>
        <v>-</v>
      </c>
      <c r="AA271" s="5"/>
      <c r="AB271" s="33" t="str">
        <f t="shared" si="104"/>
        <v/>
      </c>
      <c r="AC271" s="33" t="str">
        <f t="shared" si="105"/>
        <v/>
      </c>
      <c r="AD271" s="15" t="str">
        <f t="shared" si="106"/>
        <v xml:space="preserve"> </v>
      </c>
      <c r="AE271" s="5"/>
      <c r="AF271" s="27" t="b">
        <f>IF($G271&lt;&gt;0,SUMIF(куб!$G:$G,$G271,куб!R:R),IF($E271&lt;&gt;0,SUMIF(куб!$E:$E,$E271,куб!R:R),IF($D271&lt;&gt;0,SUMIF(куб!$D:$D,$D271,куб!R:R),IF($C271&lt;&gt;0,SUMIF(куб!$C:$C,$C271,куб!R:R),IF($B271&lt;&gt;0,SUMIF(куб!$B:$B,$B271,куб!R:R))))))</f>
        <v>0</v>
      </c>
      <c r="AG271" s="27" t="b">
        <f>IF($G271&lt;&gt;0,SUMIF(куб!$G:$G,$G271,куб!S:S),IF($E271&lt;&gt;0,SUMIF(куб!$E:$E,$E271,куб!S:S),IF($D271&lt;&gt;0,SUMIF(куб!$D:$D,$D271,куб!S:S),IF($C271&lt;&gt;0,SUMIF(куб!$C:$C,$C271,куб!S:S),IF($B271&lt;&gt;0,SUMIF(куб!$B:$B,$B271,куб!S:S))))))</f>
        <v>0</v>
      </c>
      <c r="AH271" s="16" t="str">
        <f t="shared" si="96"/>
        <v>-</v>
      </c>
      <c r="AI271" s="8"/>
      <c r="AJ271" s="27" t="b">
        <f>IF($G271&lt;&gt;0,SUMIF(куб!$G:$G,$G271,куб!T:T),IF($E271&lt;&gt;0,SUMIF(куб!$E:$E,$E271,куб!T:T),IF($D271&lt;&gt;0,SUMIF(куб!$D:$D,$D271,куб!T:T),IF($C271&lt;&gt;0,SUMIF(куб!$C:$C,$C271,куб!T:T),IF($B271&lt;&gt;0,SUMIF(куб!$B:$B,$B271,куб!T:T))))))</f>
        <v>0</v>
      </c>
      <c r="AK271" s="27" t="b">
        <f>IF($G271&lt;&gt;0,SUMIF(куб!$G:$G,$G271,куб!U:U),IF($E271&lt;&gt;0,SUMIF(куб!$E:$E,$E271,куб!U:U),IF($D271&lt;&gt;0,SUMIF(куб!$D:$D,$D271,куб!U:U),IF($C271&lt;&gt;0,SUMIF(куб!$C:$C,$C271,куб!U:U),IF($B271&lt;&gt;0,SUMIF(куб!$B:$B,$B271,куб!U:U))))))</f>
        <v>0</v>
      </c>
      <c r="AL271" s="16" t="str">
        <f t="shared" si="97"/>
        <v>-</v>
      </c>
      <c r="AM271" s="8"/>
      <c r="AN271" s="17" t="str">
        <f t="shared" si="98"/>
        <v xml:space="preserve"> </v>
      </c>
      <c r="AO271" s="17" t="str">
        <f t="shared" si="99"/>
        <v xml:space="preserve"> </v>
      </c>
      <c r="AP271" s="16" t="str">
        <f t="shared" si="100"/>
        <v>-</v>
      </c>
      <c r="AQ271" s="8"/>
      <c r="AR271" s="17" t="str">
        <f t="shared" si="101"/>
        <v>-</v>
      </c>
      <c r="AS271" s="17" t="str">
        <f t="shared" si="102"/>
        <v>-</v>
      </c>
      <c r="AT271" s="13" t="str">
        <f t="shared" si="103"/>
        <v>-</v>
      </c>
      <c r="AU271" s="8"/>
    </row>
    <row r="272" spans="1:47" ht="15" customHeight="1" x14ac:dyDescent="0.25">
      <c r="A272" s="31"/>
      <c r="B272" s="31"/>
      <c r="C272"/>
      <c r="D272" s="31"/>
      <c r="E272"/>
      <c r="F272" s="31"/>
      <c r="G272"/>
      <c r="H272" s="27">
        <f>IF($G272&lt;&gt;0,SUMIF(куб!$G:$G,$G272,куб!H:H),IF($E272&lt;&gt;0,SUMIF(куб!$E:$E,$E272,куб!H:H),IF($D272&lt;&gt;0,SUMIF(куб!$D:$D,$D272,куб!H:H),IF($C272&lt;&gt;0,SUMIF(куб!$C:$C,$C272,куб!H:H),IF($B272&lt;&gt;0,SUMIF(куб!$B:$B,$B272,куб!H:H),IF($G272&lt;&gt;0,SUMIF(куб!$A:$A,$G272,куб!H:H),SUMIF(куб!$A:$A,$G272,куб!H:H)))))))</f>
        <v>0</v>
      </c>
      <c r="I272" s="27">
        <f>IF($G272&lt;&gt;0,SUMIF(куб!$G:$G,$G272,куб!I:I),IF($E272&lt;&gt;0,SUMIF(куб!$E:$E,$E272,куб!I:I),IF($D272&lt;&gt;0,SUMIF(куб!$D:$D,$D272,куб!I:I),IF($C272&lt;&gt;0,SUMIF(куб!$C:$C,$C272,куб!I:I),IF($B272&lt;&gt;0,SUMIF(куб!$B:$B,$B272,куб!I:I),IF($G272&lt;&gt;0,SUMIF(куб!$A:$A,$G272,куб!I:I),SUMIF(куб!$A:$A,$G272,куб!I:I)))))))</f>
        <v>0</v>
      </c>
      <c r="J272" s="19" t="str">
        <f t="shared" si="107"/>
        <v>-</v>
      </c>
      <c r="K272" s="5"/>
      <c r="L272" s="17">
        <f t="shared" si="88"/>
        <v>0</v>
      </c>
      <c r="M272" s="17">
        <f t="shared" si="89"/>
        <v>0</v>
      </c>
      <c r="N272" s="12">
        <f t="shared" si="90"/>
        <v>0</v>
      </c>
      <c r="O272" s="5"/>
      <c r="P272" s="27" t="b">
        <f>IF($G272&lt;&gt;0,SUMIF(куб!$G:$G,$G272,куб!J:J),IF($E272&lt;&gt;0,SUMIF(куб!$E:$E,$E272,куб!J:J),IF($D272&lt;&gt;0,SUMIF(куб!$D:$D,$D272,куб!J:J),IF($C272&lt;&gt;0,SUMIF(куб!$C:$C,$C272,куб!J:J),IF($B272&lt;&gt;0,SUMIF(куб!$B:$B,$B272,куб!J:J))))))</f>
        <v>0</v>
      </c>
      <c r="Q272" s="27" t="b">
        <f>IF($G272&lt;&gt;0,SUMIF(куб!$G:$G,$G272,куб!K:K),IF($E272&lt;&gt;0,SUMIF(куб!$E:$E,$E272,куб!K:K),IF($D272&lt;&gt;0,SUMIF(куб!$D:$D,$D272,куб!K:K),IF($C272&lt;&gt;0,SUMIF(куб!$C:$C,$C272,куб!K:K),IF($B272&lt;&gt;0,SUMIF(куб!$B:$B,$B272,куб!K:K))))))</f>
        <v>0</v>
      </c>
      <c r="R272" s="13" t="str">
        <f t="shared" si="91"/>
        <v>-</v>
      </c>
      <c r="S272" s="5"/>
      <c r="T272" s="27" t="b">
        <f>IF($G272&lt;&gt;0,SUMIF(куб!$G:$G,$G272,куб!L:L),IF($E272&lt;&gt;0,SUMIF(куб!$E:$E,$E272,куб!L:L),IF($D272&lt;&gt;0,SUMIF(куб!$D:$D,$D272,куб!L:L),IF($C272&lt;&gt;0,SUMIF(куб!$C:$C,$C272,куб!L:L),IF($B272&lt;&gt;0,SUMIF(куб!$B:$B,$B272,куб!L:L))))))</f>
        <v>0</v>
      </c>
      <c r="U272" s="27" t="b">
        <f>IF($G272&lt;&gt;0,SUMIF(куб!$G:$G,$G272,куб!M:M),IF($E272&lt;&gt;0,SUMIF(куб!$E:$E,$E272,куб!M:M),IF($D272&lt;&gt;0,SUMIF(куб!$D:$D,$D272,куб!M:M),IF($C272&lt;&gt;0,SUMIF(куб!$C:$C,$C272,куб!M:M),IF($B272&lt;&gt;0,SUMIF(куб!$B:$B,$B272,куб!M:M))))))</f>
        <v>0</v>
      </c>
      <c r="V272" s="13" t="str">
        <f t="shared" si="92"/>
        <v>-</v>
      </c>
      <c r="W272" s="5"/>
      <c r="X272" s="27" t="b">
        <f>IF($G272&lt;&gt;0,SUMIF(куб!$G:$G,$G272,куб!N:N),IF($E272&lt;&gt;0,SUMIF(куб!$E:$E,$E272,куб!N:N),IF($D272&lt;&gt;0,SUMIF(куб!$D:$D,$D272,куб!N:N),IF($C272&lt;&gt;0,SUMIF(куб!$C:$C,$C272,куб!N:N),IF($B272&lt;&gt;0,SUMIF(куб!$B:$B,$B272,куб!N:N))))))</f>
        <v>0</v>
      </c>
      <c r="Y272" s="27" t="b">
        <f>IF($G272&lt;&gt;0,SUMIF(куб!$G:$G,$G272,куб!O:O),IF($E272&lt;&gt;0,SUMIF(куб!$E:$E,$E272,куб!O:O),IF($D272&lt;&gt;0,SUMIF(куб!$D:$D,$D272,куб!O:O),IF($C272&lt;&gt;0,SUMIF(куб!$C:$C,$C272,куб!O:O),IF($B272&lt;&gt;0,SUMIF(куб!$B:$B,$B272,куб!O:O))))))</f>
        <v>0</v>
      </c>
      <c r="Z272" s="13" t="str">
        <f t="shared" si="93"/>
        <v>-</v>
      </c>
      <c r="AA272" s="5"/>
      <c r="AB272" s="33" t="str">
        <f t="shared" si="104"/>
        <v/>
      </c>
      <c r="AC272" s="33" t="str">
        <f t="shared" si="105"/>
        <v/>
      </c>
      <c r="AD272" s="15" t="str">
        <f t="shared" si="106"/>
        <v xml:space="preserve"> </v>
      </c>
      <c r="AE272" s="5"/>
      <c r="AF272" s="27" t="b">
        <f>IF($G272&lt;&gt;0,SUMIF(куб!$G:$G,$G272,куб!R:R),IF($E272&lt;&gt;0,SUMIF(куб!$E:$E,$E272,куб!R:R),IF($D272&lt;&gt;0,SUMIF(куб!$D:$D,$D272,куб!R:R),IF($C272&lt;&gt;0,SUMIF(куб!$C:$C,$C272,куб!R:R),IF($B272&lt;&gt;0,SUMIF(куб!$B:$B,$B272,куб!R:R))))))</f>
        <v>0</v>
      </c>
      <c r="AG272" s="27" t="b">
        <f>IF($G272&lt;&gt;0,SUMIF(куб!$G:$G,$G272,куб!S:S),IF($E272&lt;&gt;0,SUMIF(куб!$E:$E,$E272,куб!S:S),IF($D272&lt;&gt;0,SUMIF(куб!$D:$D,$D272,куб!S:S),IF($C272&lt;&gt;0,SUMIF(куб!$C:$C,$C272,куб!S:S),IF($B272&lt;&gt;0,SUMIF(куб!$B:$B,$B272,куб!S:S))))))</f>
        <v>0</v>
      </c>
      <c r="AH272" s="16" t="str">
        <f t="shared" si="96"/>
        <v>-</v>
      </c>
      <c r="AI272" s="8"/>
      <c r="AJ272" s="27" t="b">
        <f>IF($G272&lt;&gt;0,SUMIF(куб!$G:$G,$G272,куб!T:T),IF($E272&lt;&gt;0,SUMIF(куб!$E:$E,$E272,куб!T:T),IF($D272&lt;&gt;0,SUMIF(куб!$D:$D,$D272,куб!T:T),IF($C272&lt;&gt;0,SUMIF(куб!$C:$C,$C272,куб!T:T),IF($B272&lt;&gt;0,SUMIF(куб!$B:$B,$B272,куб!T:T))))))</f>
        <v>0</v>
      </c>
      <c r="AK272" s="27" t="b">
        <f>IF($G272&lt;&gt;0,SUMIF(куб!$G:$G,$G272,куб!U:U),IF($E272&lt;&gt;0,SUMIF(куб!$E:$E,$E272,куб!U:U),IF($D272&lt;&gt;0,SUMIF(куб!$D:$D,$D272,куб!U:U),IF($C272&lt;&gt;0,SUMIF(куб!$C:$C,$C272,куб!U:U),IF($B272&lt;&gt;0,SUMIF(куб!$B:$B,$B272,куб!U:U))))))</f>
        <v>0</v>
      </c>
      <c r="AL272" s="16" t="str">
        <f t="shared" si="97"/>
        <v>-</v>
      </c>
      <c r="AM272" s="8"/>
      <c r="AN272" s="17" t="str">
        <f t="shared" si="98"/>
        <v xml:space="preserve"> </v>
      </c>
      <c r="AO272" s="17" t="str">
        <f t="shared" si="99"/>
        <v xml:space="preserve"> </v>
      </c>
      <c r="AP272" s="16" t="str">
        <f t="shared" si="100"/>
        <v>-</v>
      </c>
      <c r="AQ272" s="8"/>
      <c r="AR272" s="17" t="str">
        <f t="shared" si="101"/>
        <v>-</v>
      </c>
      <c r="AS272" s="17" t="str">
        <f t="shared" si="102"/>
        <v>-</v>
      </c>
      <c r="AT272" s="13" t="str">
        <f t="shared" si="103"/>
        <v>-</v>
      </c>
      <c r="AU272" s="8"/>
    </row>
    <row r="273" spans="1:47" x14ac:dyDescent="0.25">
      <c r="A273" s="31"/>
      <c r="B273" s="31"/>
      <c r="C273"/>
      <c r="D273" s="31"/>
      <c r="E273"/>
      <c r="F273" s="31"/>
      <c r="G273"/>
      <c r="H273" s="27">
        <f>IF($G273&lt;&gt;0,SUMIF(куб!$G:$G,$G273,куб!H:H),IF($E273&lt;&gt;0,SUMIF(куб!$E:$E,$E273,куб!H:H),IF($D273&lt;&gt;0,SUMIF(куб!$D:$D,$D273,куб!H:H),IF($C273&lt;&gt;0,SUMIF(куб!$C:$C,$C273,куб!H:H),IF($B273&lt;&gt;0,SUMIF(куб!$B:$B,$B273,куб!H:H),IF($G273&lt;&gt;0,SUMIF(куб!$A:$A,$G273,куб!H:H),SUMIF(куб!$A:$A,$G273,куб!H:H)))))))</f>
        <v>0</v>
      </c>
      <c r="I273" s="27">
        <f>IF($G273&lt;&gt;0,SUMIF(куб!$G:$G,$G273,куб!I:I),IF($E273&lt;&gt;0,SUMIF(куб!$E:$E,$E273,куб!I:I),IF($D273&lt;&gt;0,SUMIF(куб!$D:$D,$D273,куб!I:I),IF($C273&lt;&gt;0,SUMIF(куб!$C:$C,$C273,куб!I:I),IF($B273&lt;&gt;0,SUMIF(куб!$B:$B,$B273,куб!I:I),IF($G273&lt;&gt;0,SUMIF(куб!$A:$A,$G273,куб!I:I),SUMIF(куб!$A:$A,$G273,куб!I:I)))))))</f>
        <v>0</v>
      </c>
      <c r="J273" s="19" t="str">
        <f t="shared" si="107"/>
        <v>-</v>
      </c>
      <c r="K273" s="5"/>
      <c r="L273" s="17">
        <f t="shared" si="88"/>
        <v>0</v>
      </c>
      <c r="M273" s="17">
        <f t="shared" si="89"/>
        <v>0</v>
      </c>
      <c r="N273" s="12">
        <f t="shared" si="90"/>
        <v>0</v>
      </c>
      <c r="O273" s="5"/>
      <c r="P273" s="27" t="b">
        <f>IF($G273&lt;&gt;0,SUMIF(куб!$G:$G,$G273,куб!J:J),IF($E273&lt;&gt;0,SUMIF(куб!$E:$E,$E273,куб!J:J),IF($D273&lt;&gt;0,SUMIF(куб!$D:$D,$D273,куб!J:J),IF($C273&lt;&gt;0,SUMIF(куб!$C:$C,$C273,куб!J:J),IF($B273&lt;&gt;0,SUMIF(куб!$B:$B,$B273,куб!J:J))))))</f>
        <v>0</v>
      </c>
      <c r="Q273" s="27" t="b">
        <f>IF($G273&lt;&gt;0,SUMIF(куб!$G:$G,$G273,куб!K:K),IF($E273&lt;&gt;0,SUMIF(куб!$E:$E,$E273,куб!K:K),IF($D273&lt;&gt;0,SUMIF(куб!$D:$D,$D273,куб!K:K),IF($C273&lt;&gt;0,SUMIF(куб!$C:$C,$C273,куб!K:K),IF($B273&lt;&gt;0,SUMIF(куб!$B:$B,$B273,куб!K:K))))))</f>
        <v>0</v>
      </c>
      <c r="R273" s="13" t="str">
        <f t="shared" si="91"/>
        <v>-</v>
      </c>
      <c r="S273" s="5"/>
      <c r="T273" s="27" t="b">
        <f>IF($G273&lt;&gt;0,SUMIF(куб!$G:$G,$G273,куб!L:L),IF($E273&lt;&gt;0,SUMIF(куб!$E:$E,$E273,куб!L:L),IF($D273&lt;&gt;0,SUMIF(куб!$D:$D,$D273,куб!L:L),IF($C273&lt;&gt;0,SUMIF(куб!$C:$C,$C273,куб!L:L),IF($B273&lt;&gt;0,SUMIF(куб!$B:$B,$B273,куб!L:L))))))</f>
        <v>0</v>
      </c>
      <c r="U273" s="27" t="b">
        <f>IF($G273&lt;&gt;0,SUMIF(куб!$G:$G,$G273,куб!M:M),IF($E273&lt;&gt;0,SUMIF(куб!$E:$E,$E273,куб!M:M),IF($D273&lt;&gt;0,SUMIF(куб!$D:$D,$D273,куб!M:M),IF($C273&lt;&gt;0,SUMIF(куб!$C:$C,$C273,куб!M:M),IF($B273&lt;&gt;0,SUMIF(куб!$B:$B,$B273,куб!M:M))))))</f>
        <v>0</v>
      </c>
      <c r="V273" s="13" t="str">
        <f t="shared" si="92"/>
        <v>-</v>
      </c>
      <c r="W273" s="5"/>
      <c r="X273" s="27" t="b">
        <f>IF($G273&lt;&gt;0,SUMIF(куб!$G:$G,$G273,куб!N:N),IF($E273&lt;&gt;0,SUMIF(куб!$E:$E,$E273,куб!N:N),IF($D273&lt;&gt;0,SUMIF(куб!$D:$D,$D273,куб!N:N),IF($C273&lt;&gt;0,SUMIF(куб!$C:$C,$C273,куб!N:N),IF($B273&lt;&gt;0,SUMIF(куб!$B:$B,$B273,куб!N:N))))))</f>
        <v>0</v>
      </c>
      <c r="Y273" s="27" t="b">
        <f>IF($G273&lt;&gt;0,SUMIF(куб!$G:$G,$G273,куб!O:O),IF($E273&lt;&gt;0,SUMIF(куб!$E:$E,$E273,куб!O:O),IF($D273&lt;&gt;0,SUMIF(куб!$D:$D,$D273,куб!O:O),IF($C273&lt;&gt;0,SUMIF(куб!$C:$C,$C273,куб!O:O),IF($B273&lt;&gt;0,SUMIF(куб!$B:$B,$B273,куб!O:O))))))</f>
        <v>0</v>
      </c>
      <c r="Z273" s="13" t="str">
        <f t="shared" si="93"/>
        <v>-</v>
      </c>
      <c r="AA273" s="5"/>
      <c r="AB273" s="33" t="str">
        <f t="shared" si="104"/>
        <v/>
      </c>
      <c r="AC273" s="33" t="str">
        <f t="shared" si="105"/>
        <v/>
      </c>
      <c r="AD273" s="15" t="str">
        <f t="shared" si="106"/>
        <v xml:space="preserve"> </v>
      </c>
      <c r="AE273" s="5"/>
      <c r="AF273" s="27" t="b">
        <f>IF($G273&lt;&gt;0,SUMIF(куб!$G:$G,$G273,куб!R:R),IF($E273&lt;&gt;0,SUMIF(куб!$E:$E,$E273,куб!R:R),IF($D273&lt;&gt;0,SUMIF(куб!$D:$D,$D273,куб!R:R),IF($C273&lt;&gt;0,SUMIF(куб!$C:$C,$C273,куб!R:R),IF($B273&lt;&gt;0,SUMIF(куб!$B:$B,$B273,куб!R:R))))))</f>
        <v>0</v>
      </c>
      <c r="AG273" s="27" t="b">
        <f>IF($G273&lt;&gt;0,SUMIF(куб!$G:$G,$G273,куб!S:S),IF($E273&lt;&gt;0,SUMIF(куб!$E:$E,$E273,куб!S:S),IF($D273&lt;&gt;0,SUMIF(куб!$D:$D,$D273,куб!S:S),IF($C273&lt;&gt;0,SUMIF(куб!$C:$C,$C273,куб!S:S),IF($B273&lt;&gt;0,SUMIF(куб!$B:$B,$B273,куб!S:S))))))</f>
        <v>0</v>
      </c>
      <c r="AH273" s="16" t="str">
        <f t="shared" si="96"/>
        <v>-</v>
      </c>
      <c r="AI273" s="8"/>
      <c r="AJ273" s="27" t="b">
        <f>IF($G273&lt;&gt;0,SUMIF(куб!$G:$G,$G273,куб!T:T),IF($E273&lt;&gt;0,SUMIF(куб!$E:$E,$E273,куб!T:T),IF($D273&lt;&gt;0,SUMIF(куб!$D:$D,$D273,куб!T:T),IF($C273&lt;&gt;0,SUMIF(куб!$C:$C,$C273,куб!T:T),IF($B273&lt;&gt;0,SUMIF(куб!$B:$B,$B273,куб!T:T))))))</f>
        <v>0</v>
      </c>
      <c r="AK273" s="27" t="b">
        <f>IF($G273&lt;&gt;0,SUMIF(куб!$G:$G,$G273,куб!U:U),IF($E273&lt;&gt;0,SUMIF(куб!$E:$E,$E273,куб!U:U),IF($D273&lt;&gt;0,SUMIF(куб!$D:$D,$D273,куб!U:U),IF($C273&lt;&gt;0,SUMIF(куб!$C:$C,$C273,куб!U:U),IF($B273&lt;&gt;0,SUMIF(куб!$B:$B,$B273,куб!U:U))))))</f>
        <v>0</v>
      </c>
      <c r="AL273" s="16" t="str">
        <f t="shared" si="97"/>
        <v>-</v>
      </c>
      <c r="AM273" s="8"/>
      <c r="AN273" s="17" t="str">
        <f t="shared" si="98"/>
        <v xml:space="preserve"> </v>
      </c>
      <c r="AO273" s="17" t="str">
        <f t="shared" si="99"/>
        <v xml:space="preserve"> </v>
      </c>
      <c r="AP273" s="16" t="str">
        <f t="shared" si="100"/>
        <v>-</v>
      </c>
      <c r="AQ273" s="8"/>
      <c r="AR273" s="17" t="str">
        <f t="shared" si="101"/>
        <v>-</v>
      </c>
      <c r="AS273" s="17" t="str">
        <f t="shared" si="102"/>
        <v>-</v>
      </c>
      <c r="AT273" s="13" t="str">
        <f t="shared" si="103"/>
        <v>-</v>
      </c>
      <c r="AU273" s="8"/>
    </row>
    <row r="274" spans="1:47" ht="15" customHeight="1" x14ac:dyDescent="0.25">
      <c r="A274" s="31"/>
      <c r="B274" s="31"/>
      <c r="C274"/>
      <c r="D274" s="31"/>
      <c r="E274"/>
      <c r="F274" s="31"/>
      <c r="G274"/>
      <c r="H274" s="27">
        <f>IF($G274&lt;&gt;0,SUMIF(куб!$G:$G,$G274,куб!H:H),IF($E274&lt;&gt;0,SUMIF(куб!$E:$E,$E274,куб!H:H),IF($D274&lt;&gt;0,SUMIF(куб!$D:$D,$D274,куб!H:H),IF($C274&lt;&gt;0,SUMIF(куб!$C:$C,$C274,куб!H:H),IF($B274&lt;&gt;0,SUMIF(куб!$B:$B,$B274,куб!H:H),IF($G274&lt;&gt;0,SUMIF(куб!$A:$A,$G274,куб!H:H),SUMIF(куб!$A:$A,$G274,куб!H:H)))))))</f>
        <v>0</v>
      </c>
      <c r="I274" s="27">
        <f>IF($G274&lt;&gt;0,SUMIF(куб!$G:$G,$G274,куб!I:I),IF($E274&lt;&gt;0,SUMIF(куб!$E:$E,$E274,куб!I:I),IF($D274&lt;&gt;0,SUMIF(куб!$D:$D,$D274,куб!I:I),IF($C274&lt;&gt;0,SUMIF(куб!$C:$C,$C274,куб!I:I),IF($B274&lt;&gt;0,SUMIF(куб!$B:$B,$B274,куб!I:I),IF($G274&lt;&gt;0,SUMIF(куб!$A:$A,$G274,куб!I:I),SUMIF(куб!$A:$A,$G274,куб!I:I)))))))</f>
        <v>0</v>
      </c>
      <c r="J274" s="19" t="str">
        <f t="shared" si="107"/>
        <v>-</v>
      </c>
      <c r="K274" s="8"/>
      <c r="L274" s="17">
        <f t="shared" si="88"/>
        <v>0</v>
      </c>
      <c r="M274" s="17">
        <f t="shared" si="89"/>
        <v>0</v>
      </c>
      <c r="N274" s="12">
        <f t="shared" si="90"/>
        <v>0</v>
      </c>
      <c r="O274" s="5"/>
      <c r="P274" s="27" t="b">
        <f>IF($G274&lt;&gt;0,SUMIF(куб!$G:$G,$G274,куб!J:J),IF($E274&lt;&gt;0,SUMIF(куб!$E:$E,$E274,куб!J:J),IF($D274&lt;&gt;0,SUMIF(куб!$D:$D,$D274,куб!J:J),IF($C274&lt;&gt;0,SUMIF(куб!$C:$C,$C274,куб!J:J),IF($B274&lt;&gt;0,SUMIF(куб!$B:$B,$B274,куб!J:J))))))</f>
        <v>0</v>
      </c>
      <c r="Q274" s="27" t="b">
        <f>IF($G274&lt;&gt;0,SUMIF(куб!$G:$G,$G274,куб!K:K),IF($E274&lt;&gt;0,SUMIF(куб!$E:$E,$E274,куб!K:K),IF($D274&lt;&gt;0,SUMIF(куб!$D:$D,$D274,куб!K:K),IF($C274&lt;&gt;0,SUMIF(куб!$C:$C,$C274,куб!K:K),IF($B274&lt;&gt;0,SUMIF(куб!$B:$B,$B274,куб!K:K))))))</f>
        <v>0</v>
      </c>
      <c r="R274" s="13" t="str">
        <f t="shared" si="91"/>
        <v>-</v>
      </c>
      <c r="S274" s="5"/>
      <c r="T274" s="27" t="b">
        <f>IF($G274&lt;&gt;0,SUMIF(куб!$G:$G,$G274,куб!L:L),IF($E274&lt;&gt;0,SUMIF(куб!$E:$E,$E274,куб!L:L),IF($D274&lt;&gt;0,SUMIF(куб!$D:$D,$D274,куб!L:L),IF($C274&lt;&gt;0,SUMIF(куб!$C:$C,$C274,куб!L:L),IF($B274&lt;&gt;0,SUMIF(куб!$B:$B,$B274,куб!L:L))))))</f>
        <v>0</v>
      </c>
      <c r="U274" s="27" t="b">
        <f>IF($G274&lt;&gt;0,SUMIF(куб!$G:$G,$G274,куб!M:M),IF($E274&lt;&gt;0,SUMIF(куб!$E:$E,$E274,куб!M:M),IF($D274&lt;&gt;0,SUMIF(куб!$D:$D,$D274,куб!M:M),IF($C274&lt;&gt;0,SUMIF(куб!$C:$C,$C274,куб!M:M),IF($B274&lt;&gt;0,SUMIF(куб!$B:$B,$B274,куб!M:M))))))</f>
        <v>0</v>
      </c>
      <c r="V274" s="13" t="str">
        <f t="shared" si="92"/>
        <v>-</v>
      </c>
      <c r="W274" s="5"/>
      <c r="X274" s="27" t="b">
        <f>IF($G274&lt;&gt;0,SUMIF(куб!$G:$G,$G274,куб!N:N),IF($E274&lt;&gt;0,SUMIF(куб!$E:$E,$E274,куб!N:N),IF($D274&lt;&gt;0,SUMIF(куб!$D:$D,$D274,куб!N:N),IF($C274&lt;&gt;0,SUMIF(куб!$C:$C,$C274,куб!N:N),IF($B274&lt;&gt;0,SUMIF(куб!$B:$B,$B274,куб!N:N))))))</f>
        <v>0</v>
      </c>
      <c r="Y274" s="27" t="b">
        <f>IF($G274&lt;&gt;0,SUMIF(куб!$G:$G,$G274,куб!O:O),IF($E274&lt;&gt;0,SUMIF(куб!$E:$E,$E274,куб!O:O),IF($D274&lt;&gt;0,SUMIF(куб!$D:$D,$D274,куб!O:O),IF($C274&lt;&gt;0,SUMIF(куб!$C:$C,$C274,куб!O:O),IF($B274&lt;&gt;0,SUMIF(куб!$B:$B,$B274,куб!O:O))))))</f>
        <v>0</v>
      </c>
      <c r="Z274" s="13" t="str">
        <f t="shared" si="93"/>
        <v>-</v>
      </c>
      <c r="AA274" s="5"/>
      <c r="AB274" s="33" t="str">
        <f t="shared" si="104"/>
        <v/>
      </c>
      <c r="AC274" s="33" t="str">
        <f t="shared" si="105"/>
        <v/>
      </c>
      <c r="AD274" s="15" t="str">
        <f t="shared" si="106"/>
        <v xml:space="preserve"> </v>
      </c>
      <c r="AE274" s="5"/>
      <c r="AF274" s="27" t="b">
        <f>IF($G274&lt;&gt;0,SUMIF(куб!$G:$G,$G274,куб!R:R),IF($E274&lt;&gt;0,SUMIF(куб!$E:$E,$E274,куб!R:R),IF($D274&lt;&gt;0,SUMIF(куб!$D:$D,$D274,куб!R:R),IF($C274&lt;&gt;0,SUMIF(куб!$C:$C,$C274,куб!R:R),IF($B274&lt;&gt;0,SUMIF(куб!$B:$B,$B274,куб!R:R))))))</f>
        <v>0</v>
      </c>
      <c r="AG274" s="27" t="b">
        <f>IF($G274&lt;&gt;0,SUMIF(куб!$G:$G,$G274,куб!S:S),IF($E274&lt;&gt;0,SUMIF(куб!$E:$E,$E274,куб!S:S),IF($D274&lt;&gt;0,SUMIF(куб!$D:$D,$D274,куб!S:S),IF($C274&lt;&gt;0,SUMIF(куб!$C:$C,$C274,куб!S:S),IF($B274&lt;&gt;0,SUMIF(куб!$B:$B,$B274,куб!S:S))))))</f>
        <v>0</v>
      </c>
      <c r="AH274" s="16" t="str">
        <f t="shared" si="96"/>
        <v>-</v>
      </c>
      <c r="AI274" s="8"/>
      <c r="AJ274" s="27" t="b">
        <f>IF($G274&lt;&gt;0,SUMIF(куб!$G:$G,$G274,куб!T:T),IF($E274&lt;&gt;0,SUMIF(куб!$E:$E,$E274,куб!T:T),IF($D274&lt;&gt;0,SUMIF(куб!$D:$D,$D274,куб!T:T),IF($C274&lt;&gt;0,SUMIF(куб!$C:$C,$C274,куб!T:T),IF($B274&lt;&gt;0,SUMIF(куб!$B:$B,$B274,куб!T:T))))))</f>
        <v>0</v>
      </c>
      <c r="AK274" s="27" t="b">
        <f>IF($G274&lt;&gt;0,SUMIF(куб!$G:$G,$G274,куб!U:U),IF($E274&lt;&gt;0,SUMIF(куб!$E:$E,$E274,куб!U:U),IF($D274&lt;&gt;0,SUMIF(куб!$D:$D,$D274,куб!U:U),IF($C274&lt;&gt;0,SUMIF(куб!$C:$C,$C274,куб!U:U),IF($B274&lt;&gt;0,SUMIF(куб!$B:$B,$B274,куб!U:U))))))</f>
        <v>0</v>
      </c>
      <c r="AL274" s="16" t="str">
        <f t="shared" si="97"/>
        <v>-</v>
      </c>
      <c r="AM274" s="8"/>
      <c r="AN274" s="17" t="str">
        <f t="shared" si="98"/>
        <v xml:space="preserve"> </v>
      </c>
      <c r="AO274" s="17" t="str">
        <f t="shared" si="99"/>
        <v xml:space="preserve"> </v>
      </c>
      <c r="AP274" s="16" t="str">
        <f t="shared" si="100"/>
        <v>-</v>
      </c>
      <c r="AQ274" s="8"/>
      <c r="AR274" s="17" t="str">
        <f t="shared" si="101"/>
        <v>-</v>
      </c>
      <c r="AS274" s="17" t="str">
        <f t="shared" si="102"/>
        <v>-</v>
      </c>
      <c r="AT274" s="13" t="str">
        <f t="shared" si="103"/>
        <v>-</v>
      </c>
      <c r="AU274" s="8"/>
    </row>
    <row r="275" spans="1:47" ht="15" customHeight="1" x14ac:dyDescent="0.25">
      <c r="A275" s="31"/>
      <c r="B275" s="31"/>
      <c r="C275"/>
      <c r="D275" s="31"/>
      <c r="E275"/>
      <c r="F275" s="31"/>
      <c r="G275"/>
      <c r="H275" s="27">
        <f>IF($G275&lt;&gt;0,SUMIF(куб!$G:$G,$G275,куб!H:H),IF($E275&lt;&gt;0,SUMIF(куб!$E:$E,$E275,куб!H:H),IF($D275&lt;&gt;0,SUMIF(куб!$D:$D,$D275,куб!H:H),IF($C275&lt;&gt;0,SUMIF(куб!$C:$C,$C275,куб!H:H),IF($B275&lt;&gt;0,SUMIF(куб!$B:$B,$B275,куб!H:H),IF($G275&lt;&gt;0,SUMIF(куб!$A:$A,$G275,куб!H:H),SUMIF(куб!$A:$A,$G275,куб!H:H)))))))</f>
        <v>0</v>
      </c>
      <c r="I275" s="27">
        <f>IF($G275&lt;&gt;0,SUMIF(куб!$G:$G,$G275,куб!I:I),IF($E275&lt;&gt;0,SUMIF(куб!$E:$E,$E275,куб!I:I),IF($D275&lt;&gt;0,SUMIF(куб!$D:$D,$D275,куб!I:I),IF($C275&lt;&gt;0,SUMIF(куб!$C:$C,$C275,куб!I:I),IF($B275&lt;&gt;0,SUMIF(куб!$B:$B,$B275,куб!I:I),IF($G275&lt;&gt;0,SUMIF(куб!$A:$A,$G275,куб!I:I),SUMIF(куб!$A:$A,$G275,куб!I:I)))))))</f>
        <v>0</v>
      </c>
      <c r="J275" s="19" t="str">
        <f t="shared" si="107"/>
        <v>-</v>
      </c>
      <c r="K275" s="10"/>
      <c r="L275" s="17">
        <f t="shared" si="88"/>
        <v>0</v>
      </c>
      <c r="M275" s="17">
        <f t="shared" si="89"/>
        <v>0</v>
      </c>
      <c r="N275" s="12">
        <f t="shared" si="90"/>
        <v>0</v>
      </c>
      <c r="O275" s="5"/>
      <c r="P275" s="27" t="b">
        <f>IF($G275&lt;&gt;0,SUMIF(куб!$G:$G,$G275,куб!J:J),IF($E275&lt;&gt;0,SUMIF(куб!$E:$E,$E275,куб!J:J),IF($D275&lt;&gt;0,SUMIF(куб!$D:$D,$D275,куб!J:J),IF($C275&lt;&gt;0,SUMIF(куб!$C:$C,$C275,куб!J:J),IF($B275&lt;&gt;0,SUMIF(куб!$B:$B,$B275,куб!J:J))))))</f>
        <v>0</v>
      </c>
      <c r="Q275" s="27" t="b">
        <f>IF($G275&lt;&gt;0,SUMIF(куб!$G:$G,$G275,куб!K:K),IF($E275&lt;&gt;0,SUMIF(куб!$E:$E,$E275,куб!K:K),IF($D275&lt;&gt;0,SUMIF(куб!$D:$D,$D275,куб!K:K),IF($C275&lt;&gt;0,SUMIF(куб!$C:$C,$C275,куб!K:K),IF($B275&lt;&gt;0,SUMIF(куб!$B:$B,$B275,куб!K:K))))))</f>
        <v>0</v>
      </c>
      <c r="R275" s="13" t="str">
        <f t="shared" si="91"/>
        <v>-</v>
      </c>
      <c r="S275" s="5"/>
      <c r="T275" s="27" t="b">
        <f>IF($G275&lt;&gt;0,SUMIF(куб!$G:$G,$G275,куб!L:L),IF($E275&lt;&gt;0,SUMIF(куб!$E:$E,$E275,куб!L:L),IF($D275&lt;&gt;0,SUMIF(куб!$D:$D,$D275,куб!L:L),IF($C275&lt;&gt;0,SUMIF(куб!$C:$C,$C275,куб!L:L),IF($B275&lt;&gt;0,SUMIF(куб!$B:$B,$B275,куб!L:L))))))</f>
        <v>0</v>
      </c>
      <c r="U275" s="27" t="b">
        <f>IF($G275&lt;&gt;0,SUMIF(куб!$G:$G,$G275,куб!M:M),IF($E275&lt;&gt;0,SUMIF(куб!$E:$E,$E275,куб!M:M),IF($D275&lt;&gt;0,SUMIF(куб!$D:$D,$D275,куб!M:M),IF($C275&lt;&gt;0,SUMIF(куб!$C:$C,$C275,куб!M:M),IF($B275&lt;&gt;0,SUMIF(куб!$B:$B,$B275,куб!M:M))))))</f>
        <v>0</v>
      </c>
      <c r="V275" s="13" t="str">
        <f t="shared" si="92"/>
        <v>-</v>
      </c>
      <c r="W275" s="5"/>
      <c r="X275" s="27" t="b">
        <f>IF($G275&lt;&gt;0,SUMIF(куб!$G:$G,$G275,куб!N:N),IF($E275&lt;&gt;0,SUMIF(куб!$E:$E,$E275,куб!N:N),IF($D275&lt;&gt;0,SUMIF(куб!$D:$D,$D275,куб!N:N),IF($C275&lt;&gt;0,SUMIF(куб!$C:$C,$C275,куб!N:N),IF($B275&lt;&gt;0,SUMIF(куб!$B:$B,$B275,куб!N:N))))))</f>
        <v>0</v>
      </c>
      <c r="Y275" s="27" t="b">
        <f>IF($G275&lt;&gt;0,SUMIF(куб!$G:$G,$G275,куб!O:O),IF($E275&lt;&gt;0,SUMIF(куб!$E:$E,$E275,куб!O:O),IF($D275&lt;&gt;0,SUMIF(куб!$D:$D,$D275,куб!O:O),IF($C275&lt;&gt;0,SUMIF(куб!$C:$C,$C275,куб!O:O),IF($B275&lt;&gt;0,SUMIF(куб!$B:$B,$B275,куб!O:O))))))</f>
        <v>0</v>
      </c>
      <c r="Z275" s="13" t="str">
        <f t="shared" si="93"/>
        <v>-</v>
      </c>
      <c r="AA275" s="5"/>
      <c r="AB275" s="33" t="str">
        <f t="shared" si="104"/>
        <v/>
      </c>
      <c r="AC275" s="33" t="str">
        <f t="shared" si="105"/>
        <v/>
      </c>
      <c r="AD275" s="15" t="str">
        <f t="shared" si="106"/>
        <v xml:space="preserve"> </v>
      </c>
      <c r="AE275" s="5"/>
      <c r="AF275" s="27" t="b">
        <f>IF($G275&lt;&gt;0,SUMIF(куб!$G:$G,$G275,куб!R:R),IF($E275&lt;&gt;0,SUMIF(куб!$E:$E,$E275,куб!R:R),IF($D275&lt;&gt;0,SUMIF(куб!$D:$D,$D275,куб!R:R),IF($C275&lt;&gt;0,SUMIF(куб!$C:$C,$C275,куб!R:R),IF($B275&lt;&gt;0,SUMIF(куб!$B:$B,$B275,куб!R:R))))))</f>
        <v>0</v>
      </c>
      <c r="AG275" s="27" t="b">
        <f>IF($G275&lt;&gt;0,SUMIF(куб!$G:$G,$G275,куб!S:S),IF($E275&lt;&gt;0,SUMIF(куб!$E:$E,$E275,куб!S:S),IF($D275&lt;&gt;0,SUMIF(куб!$D:$D,$D275,куб!S:S),IF($C275&lt;&gt;0,SUMIF(куб!$C:$C,$C275,куб!S:S),IF($B275&lt;&gt;0,SUMIF(куб!$B:$B,$B275,куб!S:S))))))</f>
        <v>0</v>
      </c>
      <c r="AH275" s="16" t="str">
        <f t="shared" si="96"/>
        <v>-</v>
      </c>
      <c r="AI275" s="8"/>
      <c r="AJ275" s="27" t="b">
        <f>IF($G275&lt;&gt;0,SUMIF(куб!$G:$G,$G275,куб!T:T),IF($E275&lt;&gt;0,SUMIF(куб!$E:$E,$E275,куб!T:T),IF($D275&lt;&gt;0,SUMIF(куб!$D:$D,$D275,куб!T:T),IF($C275&lt;&gt;0,SUMIF(куб!$C:$C,$C275,куб!T:T),IF($B275&lt;&gt;0,SUMIF(куб!$B:$B,$B275,куб!T:T))))))</f>
        <v>0</v>
      </c>
      <c r="AK275" s="27" t="b">
        <f>IF($G275&lt;&gt;0,SUMIF(куб!$G:$G,$G275,куб!U:U),IF($E275&lt;&gt;0,SUMIF(куб!$E:$E,$E275,куб!U:U),IF($D275&lt;&gt;0,SUMIF(куб!$D:$D,$D275,куб!U:U),IF($C275&lt;&gt;0,SUMIF(куб!$C:$C,$C275,куб!U:U),IF($B275&lt;&gt;0,SUMIF(куб!$B:$B,$B275,куб!U:U))))))</f>
        <v>0</v>
      </c>
      <c r="AL275" s="16" t="str">
        <f t="shared" si="97"/>
        <v>-</v>
      </c>
      <c r="AM275" s="8"/>
      <c r="AN275" s="17" t="str">
        <f t="shared" si="98"/>
        <v xml:space="preserve"> </v>
      </c>
      <c r="AO275" s="17" t="str">
        <f t="shared" si="99"/>
        <v xml:space="preserve"> </v>
      </c>
      <c r="AP275" s="16" t="str">
        <f t="shared" si="100"/>
        <v>-</v>
      </c>
      <c r="AQ275" s="8"/>
      <c r="AR275" s="17" t="str">
        <f t="shared" si="101"/>
        <v>-</v>
      </c>
      <c r="AS275" s="17" t="str">
        <f t="shared" si="102"/>
        <v>-</v>
      </c>
      <c r="AT275" s="13" t="str">
        <f t="shared" si="103"/>
        <v>-</v>
      </c>
      <c r="AU275" s="8"/>
    </row>
    <row r="276" spans="1:47" ht="15" customHeight="1" x14ac:dyDescent="0.25">
      <c r="A276" s="31"/>
      <c r="B276" s="31"/>
      <c r="C276"/>
      <c r="D276" s="31"/>
      <c r="E276"/>
      <c r="F276" s="31"/>
      <c r="G276"/>
      <c r="H276" s="27">
        <f>IF($G276&lt;&gt;0,SUMIF(куб!$G:$G,$G276,куб!H:H),IF($E276&lt;&gt;0,SUMIF(куб!$E:$E,$E276,куб!H:H),IF($D276&lt;&gt;0,SUMIF(куб!$D:$D,$D276,куб!H:H),IF($C276&lt;&gt;0,SUMIF(куб!$C:$C,$C276,куб!H:H),IF($B276&lt;&gt;0,SUMIF(куб!$B:$B,$B276,куб!H:H),IF($G276&lt;&gt;0,SUMIF(куб!$A:$A,$G276,куб!H:H),SUMIF(куб!$A:$A,$G276,куб!H:H)))))))</f>
        <v>0</v>
      </c>
      <c r="I276" s="27">
        <f>IF($G276&lt;&gt;0,SUMIF(куб!$G:$G,$G276,куб!I:I),IF($E276&lt;&gt;0,SUMIF(куб!$E:$E,$E276,куб!I:I),IF($D276&lt;&gt;0,SUMIF(куб!$D:$D,$D276,куб!I:I),IF($C276&lt;&gt;0,SUMIF(куб!$C:$C,$C276,куб!I:I),IF($B276&lt;&gt;0,SUMIF(куб!$B:$B,$B276,куб!I:I),IF($G276&lt;&gt;0,SUMIF(куб!$A:$A,$G276,куб!I:I),SUMIF(куб!$A:$A,$G276,куб!I:I)))))))</f>
        <v>0</v>
      </c>
      <c r="J276" s="19" t="str">
        <f t="shared" si="107"/>
        <v>-</v>
      </c>
      <c r="K276" s="5"/>
      <c r="L276" s="17">
        <f t="shared" si="88"/>
        <v>0</v>
      </c>
      <c r="M276" s="17">
        <f t="shared" si="89"/>
        <v>0</v>
      </c>
      <c r="N276" s="12">
        <f t="shared" si="90"/>
        <v>0</v>
      </c>
      <c r="O276" s="5"/>
      <c r="P276" s="27" t="b">
        <f>IF($G276&lt;&gt;0,SUMIF(куб!$G:$G,$G276,куб!J:J),IF($E276&lt;&gt;0,SUMIF(куб!$E:$E,$E276,куб!J:J),IF($D276&lt;&gt;0,SUMIF(куб!$D:$D,$D276,куб!J:J),IF($C276&lt;&gt;0,SUMIF(куб!$C:$C,$C276,куб!J:J),IF($B276&lt;&gt;0,SUMIF(куб!$B:$B,$B276,куб!J:J))))))</f>
        <v>0</v>
      </c>
      <c r="Q276" s="27" t="b">
        <f>IF($G276&lt;&gt;0,SUMIF(куб!$G:$G,$G276,куб!K:K),IF($E276&lt;&gt;0,SUMIF(куб!$E:$E,$E276,куб!K:K),IF($D276&lt;&gt;0,SUMIF(куб!$D:$D,$D276,куб!K:K),IF($C276&lt;&gt;0,SUMIF(куб!$C:$C,$C276,куб!K:K),IF($B276&lt;&gt;0,SUMIF(куб!$B:$B,$B276,куб!K:K))))))</f>
        <v>0</v>
      </c>
      <c r="R276" s="13" t="str">
        <f t="shared" si="91"/>
        <v>-</v>
      </c>
      <c r="S276" s="5"/>
      <c r="T276" s="27" t="b">
        <f>IF($G276&lt;&gt;0,SUMIF(куб!$G:$G,$G276,куб!L:L),IF($E276&lt;&gt;0,SUMIF(куб!$E:$E,$E276,куб!L:L),IF($D276&lt;&gt;0,SUMIF(куб!$D:$D,$D276,куб!L:L),IF($C276&lt;&gt;0,SUMIF(куб!$C:$C,$C276,куб!L:L),IF($B276&lt;&gt;0,SUMIF(куб!$B:$B,$B276,куб!L:L))))))</f>
        <v>0</v>
      </c>
      <c r="U276" s="27" t="b">
        <f>IF($G276&lt;&gt;0,SUMIF(куб!$G:$G,$G276,куб!M:M),IF($E276&lt;&gt;0,SUMIF(куб!$E:$E,$E276,куб!M:M),IF($D276&lt;&gt;0,SUMIF(куб!$D:$D,$D276,куб!M:M),IF($C276&lt;&gt;0,SUMIF(куб!$C:$C,$C276,куб!M:M),IF($B276&lt;&gt;0,SUMIF(куб!$B:$B,$B276,куб!M:M))))))</f>
        <v>0</v>
      </c>
      <c r="V276" s="13" t="str">
        <f t="shared" si="92"/>
        <v>-</v>
      </c>
      <c r="W276" s="5"/>
      <c r="X276" s="27" t="b">
        <f>IF($G276&lt;&gt;0,SUMIF(куб!$G:$G,$G276,куб!N:N),IF($E276&lt;&gt;0,SUMIF(куб!$E:$E,$E276,куб!N:N),IF($D276&lt;&gt;0,SUMIF(куб!$D:$D,$D276,куб!N:N),IF($C276&lt;&gt;0,SUMIF(куб!$C:$C,$C276,куб!N:N),IF($B276&lt;&gt;0,SUMIF(куб!$B:$B,$B276,куб!N:N))))))</f>
        <v>0</v>
      </c>
      <c r="Y276" s="27" t="b">
        <f>IF($G276&lt;&gt;0,SUMIF(куб!$G:$G,$G276,куб!O:O),IF($E276&lt;&gt;0,SUMIF(куб!$E:$E,$E276,куб!O:O),IF($D276&lt;&gt;0,SUMIF(куб!$D:$D,$D276,куб!O:O),IF($C276&lt;&gt;0,SUMIF(куб!$C:$C,$C276,куб!O:O),IF($B276&lt;&gt;0,SUMIF(куб!$B:$B,$B276,куб!O:O))))))</f>
        <v>0</v>
      </c>
      <c r="Z276" s="13" t="str">
        <f t="shared" si="93"/>
        <v>-</v>
      </c>
      <c r="AA276" s="5"/>
      <c r="AB276" s="33" t="str">
        <f t="shared" si="104"/>
        <v/>
      </c>
      <c r="AC276" s="33" t="str">
        <f t="shared" si="105"/>
        <v/>
      </c>
      <c r="AD276" s="15" t="str">
        <f t="shared" si="106"/>
        <v xml:space="preserve"> </v>
      </c>
      <c r="AE276" s="5"/>
      <c r="AF276" s="27" t="b">
        <f>IF($G276&lt;&gt;0,SUMIF(куб!$G:$G,$G276,куб!R:R),IF($E276&lt;&gt;0,SUMIF(куб!$E:$E,$E276,куб!R:R),IF($D276&lt;&gt;0,SUMIF(куб!$D:$D,$D276,куб!R:R),IF($C276&lt;&gt;0,SUMIF(куб!$C:$C,$C276,куб!R:R),IF($B276&lt;&gt;0,SUMIF(куб!$B:$B,$B276,куб!R:R))))))</f>
        <v>0</v>
      </c>
      <c r="AG276" s="27" t="b">
        <f>IF($G276&lt;&gt;0,SUMIF(куб!$G:$G,$G276,куб!S:S),IF($E276&lt;&gt;0,SUMIF(куб!$E:$E,$E276,куб!S:S),IF($D276&lt;&gt;0,SUMIF(куб!$D:$D,$D276,куб!S:S),IF($C276&lt;&gt;0,SUMIF(куб!$C:$C,$C276,куб!S:S),IF($B276&lt;&gt;0,SUMIF(куб!$B:$B,$B276,куб!S:S))))))</f>
        <v>0</v>
      </c>
      <c r="AH276" s="16" t="str">
        <f t="shared" si="96"/>
        <v>-</v>
      </c>
      <c r="AI276" s="8"/>
      <c r="AJ276" s="27" t="b">
        <f>IF($G276&lt;&gt;0,SUMIF(куб!$G:$G,$G276,куб!T:T),IF($E276&lt;&gt;0,SUMIF(куб!$E:$E,$E276,куб!T:T),IF($D276&lt;&gt;0,SUMIF(куб!$D:$D,$D276,куб!T:T),IF($C276&lt;&gt;0,SUMIF(куб!$C:$C,$C276,куб!T:T),IF($B276&lt;&gt;0,SUMIF(куб!$B:$B,$B276,куб!T:T))))))</f>
        <v>0</v>
      </c>
      <c r="AK276" s="27" t="b">
        <f>IF($G276&lt;&gt;0,SUMIF(куб!$G:$G,$G276,куб!U:U),IF($E276&lt;&gt;0,SUMIF(куб!$E:$E,$E276,куб!U:U),IF($D276&lt;&gt;0,SUMIF(куб!$D:$D,$D276,куб!U:U),IF($C276&lt;&gt;0,SUMIF(куб!$C:$C,$C276,куб!U:U),IF($B276&lt;&gt;0,SUMIF(куб!$B:$B,$B276,куб!U:U))))))</f>
        <v>0</v>
      </c>
      <c r="AL276" s="16" t="str">
        <f t="shared" si="97"/>
        <v>-</v>
      </c>
      <c r="AM276" s="8"/>
      <c r="AN276" s="17" t="str">
        <f t="shared" si="98"/>
        <v xml:space="preserve"> </v>
      </c>
      <c r="AO276" s="17" t="str">
        <f t="shared" si="99"/>
        <v xml:space="preserve"> </v>
      </c>
      <c r="AP276" s="16" t="str">
        <f t="shared" si="100"/>
        <v>-</v>
      </c>
      <c r="AQ276" s="8"/>
      <c r="AR276" s="17" t="str">
        <f t="shared" si="101"/>
        <v>-</v>
      </c>
      <c r="AS276" s="17" t="str">
        <f t="shared" si="102"/>
        <v>-</v>
      </c>
      <c r="AT276" s="13" t="str">
        <f t="shared" si="103"/>
        <v>-</v>
      </c>
      <c r="AU276" s="8"/>
    </row>
    <row r="277" spans="1:47" ht="15" customHeight="1" x14ac:dyDescent="0.25">
      <c r="A277" s="31"/>
      <c r="B277" s="31"/>
      <c r="C277"/>
      <c r="D277" s="31"/>
      <c r="E277"/>
      <c r="F277" s="31"/>
      <c r="G277"/>
      <c r="H277" s="27">
        <f>IF($G277&lt;&gt;0,SUMIF(куб!$G:$G,$G277,куб!H:H),IF($E277&lt;&gt;0,SUMIF(куб!$E:$E,$E277,куб!H:H),IF($D277&lt;&gt;0,SUMIF(куб!$D:$D,$D277,куб!H:H),IF($C277&lt;&gt;0,SUMIF(куб!$C:$C,$C277,куб!H:H),IF($B277&lt;&gt;0,SUMIF(куб!$B:$B,$B277,куб!H:H),IF($G277&lt;&gt;0,SUMIF(куб!$A:$A,$G277,куб!H:H),SUMIF(куб!$A:$A,$G277,куб!H:H)))))))</f>
        <v>0</v>
      </c>
      <c r="I277" s="27">
        <f>IF($G277&lt;&gt;0,SUMIF(куб!$G:$G,$G277,куб!I:I),IF($E277&lt;&gt;0,SUMIF(куб!$E:$E,$E277,куб!I:I),IF($D277&lt;&gt;0,SUMIF(куб!$D:$D,$D277,куб!I:I),IF($C277&lt;&gt;0,SUMIF(куб!$C:$C,$C277,куб!I:I),IF($B277&lt;&gt;0,SUMIF(куб!$B:$B,$B277,куб!I:I),IF($G277&lt;&gt;0,SUMIF(куб!$A:$A,$G277,куб!I:I),SUMIF(куб!$A:$A,$G277,куб!I:I)))))))</f>
        <v>0</v>
      </c>
      <c r="J277" s="19" t="str">
        <f t="shared" si="107"/>
        <v>-</v>
      </c>
      <c r="K277" s="5"/>
      <c r="L277" s="17">
        <f t="shared" si="88"/>
        <v>0</v>
      </c>
      <c r="M277" s="17">
        <f t="shared" si="89"/>
        <v>0</v>
      </c>
      <c r="N277" s="12">
        <f t="shared" si="90"/>
        <v>0</v>
      </c>
      <c r="O277" s="5"/>
      <c r="P277" s="27" t="b">
        <f>IF($G277&lt;&gt;0,SUMIF(куб!$G:$G,$G277,куб!J:J),IF($E277&lt;&gt;0,SUMIF(куб!$E:$E,$E277,куб!J:J),IF($D277&lt;&gt;0,SUMIF(куб!$D:$D,$D277,куб!J:J),IF($C277&lt;&gt;0,SUMIF(куб!$C:$C,$C277,куб!J:J),IF($B277&lt;&gt;0,SUMIF(куб!$B:$B,$B277,куб!J:J))))))</f>
        <v>0</v>
      </c>
      <c r="Q277" s="27" t="b">
        <f>IF($G277&lt;&gt;0,SUMIF(куб!$G:$G,$G277,куб!K:K),IF($E277&lt;&gt;0,SUMIF(куб!$E:$E,$E277,куб!K:K),IF($D277&lt;&gt;0,SUMIF(куб!$D:$D,$D277,куб!K:K),IF($C277&lt;&gt;0,SUMIF(куб!$C:$C,$C277,куб!K:K),IF($B277&lt;&gt;0,SUMIF(куб!$B:$B,$B277,куб!K:K))))))</f>
        <v>0</v>
      </c>
      <c r="R277" s="13" t="str">
        <f t="shared" si="91"/>
        <v>-</v>
      </c>
      <c r="S277" s="5"/>
      <c r="T277" s="27" t="b">
        <f>IF($G277&lt;&gt;0,SUMIF(куб!$G:$G,$G277,куб!L:L),IF($E277&lt;&gt;0,SUMIF(куб!$E:$E,$E277,куб!L:L),IF($D277&lt;&gt;0,SUMIF(куб!$D:$D,$D277,куб!L:L),IF($C277&lt;&gt;0,SUMIF(куб!$C:$C,$C277,куб!L:L),IF($B277&lt;&gt;0,SUMIF(куб!$B:$B,$B277,куб!L:L))))))</f>
        <v>0</v>
      </c>
      <c r="U277" s="27" t="b">
        <f>IF($G277&lt;&gt;0,SUMIF(куб!$G:$G,$G277,куб!M:M),IF($E277&lt;&gt;0,SUMIF(куб!$E:$E,$E277,куб!M:M),IF($D277&lt;&gt;0,SUMIF(куб!$D:$D,$D277,куб!M:M),IF($C277&lt;&gt;0,SUMIF(куб!$C:$C,$C277,куб!M:M),IF($B277&lt;&gt;0,SUMIF(куб!$B:$B,$B277,куб!M:M))))))</f>
        <v>0</v>
      </c>
      <c r="V277" s="13" t="str">
        <f t="shared" si="92"/>
        <v>-</v>
      </c>
      <c r="W277" s="5"/>
      <c r="X277" s="27" t="b">
        <f>IF($G277&lt;&gt;0,SUMIF(куб!$G:$G,$G277,куб!N:N),IF($E277&lt;&gt;0,SUMIF(куб!$E:$E,$E277,куб!N:N),IF($D277&lt;&gt;0,SUMIF(куб!$D:$D,$D277,куб!N:N),IF($C277&lt;&gt;0,SUMIF(куб!$C:$C,$C277,куб!N:N),IF($B277&lt;&gt;0,SUMIF(куб!$B:$B,$B277,куб!N:N))))))</f>
        <v>0</v>
      </c>
      <c r="Y277" s="27" t="b">
        <f>IF($G277&lt;&gt;0,SUMIF(куб!$G:$G,$G277,куб!O:O),IF($E277&lt;&gt;0,SUMIF(куб!$E:$E,$E277,куб!O:O),IF($D277&lt;&gt;0,SUMIF(куб!$D:$D,$D277,куб!O:O),IF($C277&lt;&gt;0,SUMIF(куб!$C:$C,$C277,куб!O:O),IF($B277&lt;&gt;0,SUMIF(куб!$B:$B,$B277,куб!O:O))))))</f>
        <v>0</v>
      </c>
      <c r="Z277" s="13" t="str">
        <f t="shared" si="93"/>
        <v>-</v>
      </c>
      <c r="AA277" s="5"/>
      <c r="AB277" s="33" t="str">
        <f t="shared" si="104"/>
        <v/>
      </c>
      <c r="AC277" s="33" t="str">
        <f t="shared" si="105"/>
        <v/>
      </c>
      <c r="AD277" s="15" t="str">
        <f t="shared" si="106"/>
        <v xml:space="preserve"> </v>
      </c>
      <c r="AE277" s="5"/>
      <c r="AF277" s="27" t="b">
        <f>IF($G277&lt;&gt;0,SUMIF(куб!$G:$G,$G277,куб!R:R),IF($E277&lt;&gt;0,SUMIF(куб!$E:$E,$E277,куб!R:R),IF($D277&lt;&gt;0,SUMIF(куб!$D:$D,$D277,куб!R:R),IF($C277&lt;&gt;0,SUMIF(куб!$C:$C,$C277,куб!R:R),IF($B277&lt;&gt;0,SUMIF(куб!$B:$B,$B277,куб!R:R))))))</f>
        <v>0</v>
      </c>
      <c r="AG277" s="27" t="b">
        <f>IF($G277&lt;&gt;0,SUMIF(куб!$G:$G,$G277,куб!S:S),IF($E277&lt;&gt;0,SUMIF(куб!$E:$E,$E277,куб!S:S),IF($D277&lt;&gt;0,SUMIF(куб!$D:$D,$D277,куб!S:S),IF($C277&lt;&gt;0,SUMIF(куб!$C:$C,$C277,куб!S:S),IF($B277&lt;&gt;0,SUMIF(куб!$B:$B,$B277,куб!S:S))))))</f>
        <v>0</v>
      </c>
      <c r="AH277" s="16" t="str">
        <f t="shared" si="96"/>
        <v>-</v>
      </c>
      <c r="AI277" s="8"/>
      <c r="AJ277" s="27" t="b">
        <f>IF($G277&lt;&gt;0,SUMIF(куб!$G:$G,$G277,куб!T:T),IF($E277&lt;&gt;0,SUMIF(куб!$E:$E,$E277,куб!T:T),IF($D277&lt;&gt;0,SUMIF(куб!$D:$D,$D277,куб!T:T),IF($C277&lt;&gt;0,SUMIF(куб!$C:$C,$C277,куб!T:T),IF($B277&lt;&gt;0,SUMIF(куб!$B:$B,$B277,куб!T:T))))))</f>
        <v>0</v>
      </c>
      <c r="AK277" s="27" t="b">
        <f>IF($G277&lt;&gt;0,SUMIF(куб!$G:$G,$G277,куб!U:U),IF($E277&lt;&gt;0,SUMIF(куб!$E:$E,$E277,куб!U:U),IF($D277&lt;&gt;0,SUMIF(куб!$D:$D,$D277,куб!U:U),IF($C277&lt;&gt;0,SUMIF(куб!$C:$C,$C277,куб!U:U),IF($B277&lt;&gt;0,SUMIF(куб!$B:$B,$B277,куб!U:U))))))</f>
        <v>0</v>
      </c>
      <c r="AL277" s="16" t="str">
        <f t="shared" si="97"/>
        <v>-</v>
      </c>
      <c r="AM277" s="8"/>
      <c r="AN277" s="17" t="str">
        <f t="shared" si="98"/>
        <v xml:space="preserve"> </v>
      </c>
      <c r="AO277" s="17" t="str">
        <f t="shared" si="99"/>
        <v xml:space="preserve"> </v>
      </c>
      <c r="AP277" s="16" t="str">
        <f t="shared" si="100"/>
        <v>-</v>
      </c>
      <c r="AQ277" s="8"/>
      <c r="AR277" s="17" t="str">
        <f t="shared" si="101"/>
        <v>-</v>
      </c>
      <c r="AS277" s="17" t="str">
        <f t="shared" si="102"/>
        <v>-</v>
      </c>
      <c r="AT277" s="13" t="str">
        <f t="shared" si="103"/>
        <v>-</v>
      </c>
      <c r="AU277" s="8"/>
    </row>
    <row r="278" spans="1:47" ht="15" customHeight="1" x14ac:dyDescent="0.25">
      <c r="A278" s="31"/>
      <c r="B278" s="31"/>
      <c r="C278"/>
      <c r="D278" s="31"/>
      <c r="E278"/>
      <c r="F278" s="31"/>
      <c r="G278"/>
      <c r="H278" s="27">
        <f>IF($G278&lt;&gt;0,SUMIF(куб!$G:$G,$G278,куб!H:H),IF($E278&lt;&gt;0,SUMIF(куб!$E:$E,$E278,куб!H:H),IF($D278&lt;&gt;0,SUMIF(куб!$D:$D,$D278,куб!H:H),IF($C278&lt;&gt;0,SUMIF(куб!$C:$C,$C278,куб!H:H),IF($B278&lt;&gt;0,SUMIF(куб!$B:$B,$B278,куб!H:H),IF($G278&lt;&gt;0,SUMIF(куб!$A:$A,$G278,куб!H:H),SUMIF(куб!$A:$A,$G278,куб!H:H)))))))</f>
        <v>0</v>
      </c>
      <c r="I278" s="27">
        <f>IF($G278&lt;&gt;0,SUMIF(куб!$G:$G,$G278,куб!I:I),IF($E278&lt;&gt;0,SUMIF(куб!$E:$E,$E278,куб!I:I),IF($D278&lt;&gt;0,SUMIF(куб!$D:$D,$D278,куб!I:I),IF($C278&lt;&gt;0,SUMIF(куб!$C:$C,$C278,куб!I:I),IF($B278&lt;&gt;0,SUMIF(куб!$B:$B,$B278,куб!I:I),IF($G278&lt;&gt;0,SUMIF(куб!$A:$A,$G278,куб!I:I),SUMIF(куб!$A:$A,$G278,куб!I:I)))))))</f>
        <v>0</v>
      </c>
      <c r="J278" s="19" t="str">
        <f t="shared" si="107"/>
        <v>-</v>
      </c>
      <c r="K278" s="8"/>
      <c r="L278" s="17">
        <f t="shared" si="88"/>
        <v>0</v>
      </c>
      <c r="M278" s="17">
        <f t="shared" si="89"/>
        <v>0</v>
      </c>
      <c r="N278" s="12">
        <f t="shared" si="90"/>
        <v>0</v>
      </c>
      <c r="O278" s="5"/>
      <c r="P278" s="27" t="b">
        <f>IF($G278&lt;&gt;0,SUMIF(куб!$G:$G,$G278,куб!J:J),IF($E278&lt;&gt;0,SUMIF(куб!$E:$E,$E278,куб!J:J),IF($D278&lt;&gt;0,SUMIF(куб!$D:$D,$D278,куб!J:J),IF($C278&lt;&gt;0,SUMIF(куб!$C:$C,$C278,куб!J:J),IF($B278&lt;&gt;0,SUMIF(куб!$B:$B,$B278,куб!J:J))))))</f>
        <v>0</v>
      </c>
      <c r="Q278" s="27" t="b">
        <f>IF($G278&lt;&gt;0,SUMIF(куб!$G:$G,$G278,куб!K:K),IF($E278&lt;&gt;0,SUMIF(куб!$E:$E,$E278,куб!K:K),IF($D278&lt;&gt;0,SUMIF(куб!$D:$D,$D278,куб!K:K),IF($C278&lt;&gt;0,SUMIF(куб!$C:$C,$C278,куб!K:K),IF($B278&lt;&gt;0,SUMIF(куб!$B:$B,$B278,куб!K:K))))))</f>
        <v>0</v>
      </c>
      <c r="R278" s="13" t="str">
        <f t="shared" si="91"/>
        <v>-</v>
      </c>
      <c r="S278" s="5"/>
      <c r="T278" s="27" t="b">
        <f>IF($G278&lt;&gt;0,SUMIF(куб!$G:$G,$G278,куб!L:L),IF($E278&lt;&gt;0,SUMIF(куб!$E:$E,$E278,куб!L:L),IF($D278&lt;&gt;0,SUMIF(куб!$D:$D,$D278,куб!L:L),IF($C278&lt;&gt;0,SUMIF(куб!$C:$C,$C278,куб!L:L),IF($B278&lt;&gt;0,SUMIF(куб!$B:$B,$B278,куб!L:L))))))</f>
        <v>0</v>
      </c>
      <c r="U278" s="27" t="b">
        <f>IF($G278&lt;&gt;0,SUMIF(куб!$G:$G,$G278,куб!M:M),IF($E278&lt;&gt;0,SUMIF(куб!$E:$E,$E278,куб!M:M),IF($D278&lt;&gt;0,SUMIF(куб!$D:$D,$D278,куб!M:M),IF($C278&lt;&gt;0,SUMIF(куб!$C:$C,$C278,куб!M:M),IF($B278&lt;&gt;0,SUMIF(куб!$B:$B,$B278,куб!M:M))))))</f>
        <v>0</v>
      </c>
      <c r="V278" s="13" t="str">
        <f t="shared" si="92"/>
        <v>-</v>
      </c>
      <c r="W278" s="5"/>
      <c r="X278" s="27" t="b">
        <f>IF($G278&lt;&gt;0,SUMIF(куб!$G:$G,$G278,куб!N:N),IF($E278&lt;&gt;0,SUMIF(куб!$E:$E,$E278,куб!N:N),IF($D278&lt;&gt;0,SUMIF(куб!$D:$D,$D278,куб!N:N),IF($C278&lt;&gt;0,SUMIF(куб!$C:$C,$C278,куб!N:N),IF($B278&lt;&gt;0,SUMIF(куб!$B:$B,$B278,куб!N:N))))))</f>
        <v>0</v>
      </c>
      <c r="Y278" s="27" t="b">
        <f>IF($G278&lt;&gt;0,SUMIF(куб!$G:$G,$G278,куб!O:O),IF($E278&lt;&gt;0,SUMIF(куб!$E:$E,$E278,куб!O:O),IF($D278&lt;&gt;0,SUMIF(куб!$D:$D,$D278,куб!O:O),IF($C278&lt;&gt;0,SUMIF(куб!$C:$C,$C278,куб!O:O),IF($B278&lt;&gt;0,SUMIF(куб!$B:$B,$B278,куб!O:O))))))</f>
        <v>0</v>
      </c>
      <c r="Z278" s="13" t="str">
        <f t="shared" si="93"/>
        <v>-</v>
      </c>
      <c r="AA278" s="5"/>
      <c r="AB278" s="33" t="str">
        <f t="shared" si="104"/>
        <v/>
      </c>
      <c r="AC278" s="33" t="str">
        <f t="shared" si="105"/>
        <v/>
      </c>
      <c r="AD278" s="15" t="str">
        <f t="shared" si="106"/>
        <v xml:space="preserve"> </v>
      </c>
      <c r="AE278" s="5"/>
      <c r="AF278" s="27" t="b">
        <f>IF($G278&lt;&gt;0,SUMIF(куб!$G:$G,$G278,куб!R:R),IF($E278&lt;&gt;0,SUMIF(куб!$E:$E,$E278,куб!R:R),IF($D278&lt;&gt;0,SUMIF(куб!$D:$D,$D278,куб!R:R),IF($C278&lt;&gt;0,SUMIF(куб!$C:$C,$C278,куб!R:R),IF($B278&lt;&gt;0,SUMIF(куб!$B:$B,$B278,куб!R:R))))))</f>
        <v>0</v>
      </c>
      <c r="AG278" s="27" t="b">
        <f>IF($G278&lt;&gt;0,SUMIF(куб!$G:$G,$G278,куб!S:S),IF($E278&lt;&gt;0,SUMIF(куб!$E:$E,$E278,куб!S:S),IF($D278&lt;&gt;0,SUMIF(куб!$D:$D,$D278,куб!S:S),IF($C278&lt;&gt;0,SUMIF(куб!$C:$C,$C278,куб!S:S),IF($B278&lt;&gt;0,SUMIF(куб!$B:$B,$B278,куб!S:S))))))</f>
        <v>0</v>
      </c>
      <c r="AH278" s="16" t="str">
        <f t="shared" si="96"/>
        <v>-</v>
      </c>
      <c r="AI278" s="8"/>
      <c r="AJ278" s="27" t="b">
        <f>IF($G278&lt;&gt;0,SUMIF(куб!$G:$G,$G278,куб!T:T),IF($E278&lt;&gt;0,SUMIF(куб!$E:$E,$E278,куб!T:T),IF($D278&lt;&gt;0,SUMIF(куб!$D:$D,$D278,куб!T:T),IF($C278&lt;&gt;0,SUMIF(куб!$C:$C,$C278,куб!T:T),IF($B278&lt;&gt;0,SUMIF(куб!$B:$B,$B278,куб!T:T))))))</f>
        <v>0</v>
      </c>
      <c r="AK278" s="27" t="b">
        <f>IF($G278&lt;&gt;0,SUMIF(куб!$G:$G,$G278,куб!U:U),IF($E278&lt;&gt;0,SUMIF(куб!$E:$E,$E278,куб!U:U),IF($D278&lt;&gt;0,SUMIF(куб!$D:$D,$D278,куб!U:U),IF($C278&lt;&gt;0,SUMIF(куб!$C:$C,$C278,куб!U:U),IF($B278&lt;&gt;0,SUMIF(куб!$B:$B,$B278,куб!U:U))))))</f>
        <v>0</v>
      </c>
      <c r="AL278" s="16" t="str">
        <f t="shared" si="97"/>
        <v>-</v>
      </c>
      <c r="AM278" s="8"/>
      <c r="AN278" s="17" t="str">
        <f t="shared" si="98"/>
        <v xml:space="preserve"> </v>
      </c>
      <c r="AO278" s="17" t="str">
        <f t="shared" si="99"/>
        <v xml:space="preserve"> </v>
      </c>
      <c r="AP278" s="16" t="str">
        <f t="shared" si="100"/>
        <v>-</v>
      </c>
      <c r="AQ278" s="8"/>
      <c r="AR278" s="17" t="str">
        <f t="shared" si="101"/>
        <v>-</v>
      </c>
      <c r="AS278" s="17" t="str">
        <f t="shared" si="102"/>
        <v>-</v>
      </c>
      <c r="AT278" s="13" t="str">
        <f t="shared" si="103"/>
        <v>-</v>
      </c>
      <c r="AU278" s="8"/>
    </row>
    <row r="279" spans="1:47" ht="15" customHeight="1" x14ac:dyDescent="0.25">
      <c r="A279" s="31"/>
      <c r="B279" s="31"/>
      <c r="C279"/>
      <c r="D279" s="31"/>
      <c r="E279"/>
      <c r="F279" s="31"/>
      <c r="G279"/>
      <c r="H279" s="27">
        <f>IF($G279&lt;&gt;0,SUMIF(куб!$G:$G,$G279,куб!H:H),IF($E279&lt;&gt;0,SUMIF(куб!$E:$E,$E279,куб!H:H),IF($D279&lt;&gt;0,SUMIF(куб!$D:$D,$D279,куб!H:H),IF($C279&lt;&gt;0,SUMIF(куб!$C:$C,$C279,куб!H:H),IF($B279&lt;&gt;0,SUMIF(куб!$B:$B,$B279,куб!H:H),IF($G279&lt;&gt;0,SUMIF(куб!$A:$A,$G279,куб!H:H),SUMIF(куб!$A:$A,$G279,куб!H:H)))))))</f>
        <v>0</v>
      </c>
      <c r="I279" s="27">
        <f>IF($G279&lt;&gt;0,SUMIF(куб!$G:$G,$G279,куб!I:I),IF($E279&lt;&gt;0,SUMIF(куб!$E:$E,$E279,куб!I:I),IF($D279&lt;&gt;0,SUMIF(куб!$D:$D,$D279,куб!I:I),IF($C279&lt;&gt;0,SUMIF(куб!$C:$C,$C279,куб!I:I),IF($B279&lt;&gt;0,SUMIF(куб!$B:$B,$B279,куб!I:I),IF($G279&lt;&gt;0,SUMIF(куб!$A:$A,$G279,куб!I:I),SUMIF(куб!$A:$A,$G279,куб!I:I)))))))</f>
        <v>0</v>
      </c>
      <c r="J279" s="19" t="str">
        <f t="shared" si="107"/>
        <v>-</v>
      </c>
      <c r="K279" s="10"/>
      <c r="L279" s="17">
        <f t="shared" si="88"/>
        <v>0</v>
      </c>
      <c r="M279" s="17">
        <f t="shared" si="89"/>
        <v>0</v>
      </c>
      <c r="N279" s="12">
        <f t="shared" si="90"/>
        <v>0</v>
      </c>
      <c r="O279" s="5"/>
      <c r="P279" s="27" t="b">
        <f>IF($G279&lt;&gt;0,SUMIF(куб!$G:$G,$G279,куб!J:J),IF($E279&lt;&gt;0,SUMIF(куб!$E:$E,$E279,куб!J:J),IF($D279&lt;&gt;0,SUMIF(куб!$D:$D,$D279,куб!J:J),IF($C279&lt;&gt;0,SUMIF(куб!$C:$C,$C279,куб!J:J),IF($B279&lt;&gt;0,SUMIF(куб!$B:$B,$B279,куб!J:J))))))</f>
        <v>0</v>
      </c>
      <c r="Q279" s="27" t="b">
        <f>IF($G279&lt;&gt;0,SUMIF(куб!$G:$G,$G279,куб!K:K),IF($E279&lt;&gt;0,SUMIF(куб!$E:$E,$E279,куб!K:K),IF($D279&lt;&gt;0,SUMIF(куб!$D:$D,$D279,куб!K:K),IF($C279&lt;&gt;0,SUMIF(куб!$C:$C,$C279,куб!K:K),IF($B279&lt;&gt;0,SUMIF(куб!$B:$B,$B279,куб!K:K))))))</f>
        <v>0</v>
      </c>
      <c r="R279" s="13" t="str">
        <f t="shared" si="91"/>
        <v>-</v>
      </c>
      <c r="S279" s="5"/>
      <c r="T279" s="27" t="b">
        <f>IF($G279&lt;&gt;0,SUMIF(куб!$G:$G,$G279,куб!L:L),IF($E279&lt;&gt;0,SUMIF(куб!$E:$E,$E279,куб!L:L),IF($D279&lt;&gt;0,SUMIF(куб!$D:$D,$D279,куб!L:L),IF($C279&lt;&gt;0,SUMIF(куб!$C:$C,$C279,куб!L:L),IF($B279&lt;&gt;0,SUMIF(куб!$B:$B,$B279,куб!L:L))))))</f>
        <v>0</v>
      </c>
      <c r="U279" s="27" t="b">
        <f>IF($G279&lt;&gt;0,SUMIF(куб!$G:$G,$G279,куб!M:M),IF($E279&lt;&gt;0,SUMIF(куб!$E:$E,$E279,куб!M:M),IF($D279&lt;&gt;0,SUMIF(куб!$D:$D,$D279,куб!M:M),IF($C279&lt;&gt;0,SUMIF(куб!$C:$C,$C279,куб!M:M),IF($B279&lt;&gt;0,SUMIF(куб!$B:$B,$B279,куб!M:M))))))</f>
        <v>0</v>
      </c>
      <c r="V279" s="13" t="str">
        <f t="shared" si="92"/>
        <v>-</v>
      </c>
      <c r="W279" s="5"/>
      <c r="X279" s="27" t="b">
        <f>IF($G279&lt;&gt;0,SUMIF(куб!$G:$G,$G279,куб!N:N),IF($E279&lt;&gt;0,SUMIF(куб!$E:$E,$E279,куб!N:N),IF($D279&lt;&gt;0,SUMIF(куб!$D:$D,$D279,куб!N:N),IF($C279&lt;&gt;0,SUMIF(куб!$C:$C,$C279,куб!N:N),IF($B279&lt;&gt;0,SUMIF(куб!$B:$B,$B279,куб!N:N))))))</f>
        <v>0</v>
      </c>
      <c r="Y279" s="27" t="b">
        <f>IF($G279&lt;&gt;0,SUMIF(куб!$G:$G,$G279,куб!O:O),IF($E279&lt;&gt;0,SUMIF(куб!$E:$E,$E279,куб!O:O),IF($D279&lt;&gt;0,SUMIF(куб!$D:$D,$D279,куб!O:O),IF($C279&lt;&gt;0,SUMIF(куб!$C:$C,$C279,куб!O:O),IF($B279&lt;&gt;0,SUMIF(куб!$B:$B,$B279,куб!O:O))))))</f>
        <v>0</v>
      </c>
      <c r="Z279" s="13" t="str">
        <f t="shared" si="93"/>
        <v>-</v>
      </c>
      <c r="AA279" s="5"/>
      <c r="AB279" s="33" t="str">
        <f t="shared" si="104"/>
        <v/>
      </c>
      <c r="AC279" s="33" t="str">
        <f t="shared" si="105"/>
        <v/>
      </c>
      <c r="AD279" s="15" t="str">
        <f t="shared" si="106"/>
        <v xml:space="preserve"> </v>
      </c>
      <c r="AE279" s="5"/>
      <c r="AF279" s="27" t="b">
        <f>IF($G279&lt;&gt;0,SUMIF(куб!$G:$G,$G279,куб!R:R),IF($E279&lt;&gt;0,SUMIF(куб!$E:$E,$E279,куб!R:R),IF($D279&lt;&gt;0,SUMIF(куб!$D:$D,$D279,куб!R:R),IF($C279&lt;&gt;0,SUMIF(куб!$C:$C,$C279,куб!R:R),IF($B279&lt;&gt;0,SUMIF(куб!$B:$B,$B279,куб!R:R))))))</f>
        <v>0</v>
      </c>
      <c r="AG279" s="27" t="b">
        <f>IF($G279&lt;&gt;0,SUMIF(куб!$G:$G,$G279,куб!S:S),IF($E279&lt;&gt;0,SUMIF(куб!$E:$E,$E279,куб!S:S),IF($D279&lt;&gt;0,SUMIF(куб!$D:$D,$D279,куб!S:S),IF($C279&lt;&gt;0,SUMIF(куб!$C:$C,$C279,куб!S:S),IF($B279&lt;&gt;0,SUMIF(куб!$B:$B,$B279,куб!S:S))))))</f>
        <v>0</v>
      </c>
      <c r="AH279" s="16" t="str">
        <f t="shared" si="96"/>
        <v>-</v>
      </c>
      <c r="AI279" s="8"/>
      <c r="AJ279" s="27" t="b">
        <f>IF($G279&lt;&gt;0,SUMIF(куб!$G:$G,$G279,куб!T:T),IF($E279&lt;&gt;0,SUMIF(куб!$E:$E,$E279,куб!T:T),IF($D279&lt;&gt;0,SUMIF(куб!$D:$D,$D279,куб!T:T),IF($C279&lt;&gt;0,SUMIF(куб!$C:$C,$C279,куб!T:T),IF($B279&lt;&gt;0,SUMIF(куб!$B:$B,$B279,куб!T:T))))))</f>
        <v>0</v>
      </c>
      <c r="AK279" s="27" t="b">
        <f>IF($G279&lt;&gt;0,SUMIF(куб!$G:$G,$G279,куб!U:U),IF($E279&lt;&gt;0,SUMIF(куб!$E:$E,$E279,куб!U:U),IF($D279&lt;&gt;0,SUMIF(куб!$D:$D,$D279,куб!U:U),IF($C279&lt;&gt;0,SUMIF(куб!$C:$C,$C279,куб!U:U),IF($B279&lt;&gt;0,SUMIF(куб!$B:$B,$B279,куб!U:U))))))</f>
        <v>0</v>
      </c>
      <c r="AL279" s="16" t="str">
        <f t="shared" si="97"/>
        <v>-</v>
      </c>
      <c r="AM279" s="8"/>
      <c r="AN279" s="17" t="str">
        <f t="shared" si="98"/>
        <v xml:space="preserve"> </v>
      </c>
      <c r="AO279" s="17" t="str">
        <f t="shared" si="99"/>
        <v xml:space="preserve"> </v>
      </c>
      <c r="AP279" s="16" t="str">
        <f t="shared" si="100"/>
        <v>-</v>
      </c>
      <c r="AQ279" s="8"/>
      <c r="AR279" s="17" t="str">
        <f t="shared" si="101"/>
        <v>-</v>
      </c>
      <c r="AS279" s="17" t="str">
        <f t="shared" si="102"/>
        <v>-</v>
      </c>
      <c r="AT279" s="13" t="str">
        <f t="shared" si="103"/>
        <v>-</v>
      </c>
      <c r="AU279" s="8"/>
    </row>
    <row r="280" spans="1:47" ht="15" customHeight="1" x14ac:dyDescent="0.25">
      <c r="A280" s="31"/>
      <c r="B280" s="31"/>
      <c r="C280"/>
      <c r="D280" s="31"/>
      <c r="E280"/>
      <c r="F280" s="31"/>
      <c r="G280"/>
      <c r="H280" s="27">
        <f>IF($G280&lt;&gt;0,SUMIF(куб!$G:$G,$G280,куб!H:H),IF($E280&lt;&gt;0,SUMIF(куб!$E:$E,$E280,куб!H:H),IF($D280&lt;&gt;0,SUMIF(куб!$D:$D,$D280,куб!H:H),IF($C280&lt;&gt;0,SUMIF(куб!$C:$C,$C280,куб!H:H),IF($B280&lt;&gt;0,SUMIF(куб!$B:$B,$B280,куб!H:H),IF($G280&lt;&gt;0,SUMIF(куб!$A:$A,$G280,куб!H:H),SUMIF(куб!$A:$A,$G280,куб!H:H)))))))</f>
        <v>0</v>
      </c>
      <c r="I280" s="27">
        <f>IF($G280&lt;&gt;0,SUMIF(куб!$G:$G,$G280,куб!I:I),IF($E280&lt;&gt;0,SUMIF(куб!$E:$E,$E280,куб!I:I),IF($D280&lt;&gt;0,SUMIF(куб!$D:$D,$D280,куб!I:I),IF($C280&lt;&gt;0,SUMIF(куб!$C:$C,$C280,куб!I:I),IF($B280&lt;&gt;0,SUMIF(куб!$B:$B,$B280,куб!I:I),IF($G280&lt;&gt;0,SUMIF(куб!$A:$A,$G280,куб!I:I),SUMIF(куб!$A:$A,$G280,куб!I:I)))))))</f>
        <v>0</v>
      </c>
      <c r="J280" s="19" t="str">
        <f t="shared" si="107"/>
        <v>-</v>
      </c>
      <c r="K280" s="5"/>
      <c r="L280" s="17">
        <f t="shared" si="88"/>
        <v>0</v>
      </c>
      <c r="M280" s="17">
        <f t="shared" si="89"/>
        <v>0</v>
      </c>
      <c r="N280" s="12">
        <f t="shared" si="90"/>
        <v>0</v>
      </c>
      <c r="O280" s="5"/>
      <c r="P280" s="27" t="b">
        <f>IF($G280&lt;&gt;0,SUMIF(куб!$G:$G,$G280,куб!J:J),IF($E280&lt;&gt;0,SUMIF(куб!$E:$E,$E280,куб!J:J),IF($D280&lt;&gt;0,SUMIF(куб!$D:$D,$D280,куб!J:J),IF($C280&lt;&gt;0,SUMIF(куб!$C:$C,$C280,куб!J:J),IF($B280&lt;&gt;0,SUMIF(куб!$B:$B,$B280,куб!J:J))))))</f>
        <v>0</v>
      </c>
      <c r="Q280" s="27" t="b">
        <f>IF($G280&lt;&gt;0,SUMIF(куб!$G:$G,$G280,куб!K:K),IF($E280&lt;&gt;0,SUMIF(куб!$E:$E,$E280,куб!K:K),IF($D280&lt;&gt;0,SUMIF(куб!$D:$D,$D280,куб!K:K),IF($C280&lt;&gt;0,SUMIF(куб!$C:$C,$C280,куб!K:K),IF($B280&lt;&gt;0,SUMIF(куб!$B:$B,$B280,куб!K:K))))))</f>
        <v>0</v>
      </c>
      <c r="R280" s="13" t="str">
        <f t="shared" si="91"/>
        <v>-</v>
      </c>
      <c r="S280" s="5"/>
      <c r="T280" s="27" t="b">
        <f>IF($G280&lt;&gt;0,SUMIF(куб!$G:$G,$G280,куб!L:L),IF($E280&lt;&gt;0,SUMIF(куб!$E:$E,$E280,куб!L:L),IF($D280&lt;&gt;0,SUMIF(куб!$D:$D,$D280,куб!L:L),IF($C280&lt;&gt;0,SUMIF(куб!$C:$C,$C280,куб!L:L),IF($B280&lt;&gt;0,SUMIF(куб!$B:$B,$B280,куб!L:L))))))</f>
        <v>0</v>
      </c>
      <c r="U280" s="27" t="b">
        <f>IF($G280&lt;&gt;0,SUMIF(куб!$G:$G,$G280,куб!M:M),IF($E280&lt;&gt;0,SUMIF(куб!$E:$E,$E280,куб!M:M),IF($D280&lt;&gt;0,SUMIF(куб!$D:$D,$D280,куб!M:M),IF($C280&lt;&gt;0,SUMIF(куб!$C:$C,$C280,куб!M:M),IF($B280&lt;&gt;0,SUMIF(куб!$B:$B,$B280,куб!M:M))))))</f>
        <v>0</v>
      </c>
      <c r="V280" s="13" t="str">
        <f t="shared" si="92"/>
        <v>-</v>
      </c>
      <c r="W280" s="5"/>
      <c r="X280" s="27" t="b">
        <f>IF($G280&lt;&gt;0,SUMIF(куб!$G:$G,$G280,куб!N:N),IF($E280&lt;&gt;0,SUMIF(куб!$E:$E,$E280,куб!N:N),IF($D280&lt;&gt;0,SUMIF(куб!$D:$D,$D280,куб!N:N),IF($C280&lt;&gt;0,SUMIF(куб!$C:$C,$C280,куб!N:N),IF($B280&lt;&gt;0,SUMIF(куб!$B:$B,$B280,куб!N:N))))))</f>
        <v>0</v>
      </c>
      <c r="Y280" s="27" t="b">
        <f>IF($G280&lt;&gt;0,SUMIF(куб!$G:$G,$G280,куб!O:O),IF($E280&lt;&gt;0,SUMIF(куб!$E:$E,$E280,куб!O:O),IF($D280&lt;&gt;0,SUMIF(куб!$D:$D,$D280,куб!O:O),IF($C280&lt;&gt;0,SUMIF(куб!$C:$C,$C280,куб!O:O),IF($B280&lt;&gt;0,SUMIF(куб!$B:$B,$B280,куб!O:O))))))</f>
        <v>0</v>
      </c>
      <c r="Z280" s="13" t="str">
        <f t="shared" si="93"/>
        <v>-</v>
      </c>
      <c r="AA280" s="5"/>
      <c r="AB280" s="33" t="str">
        <f t="shared" si="104"/>
        <v/>
      </c>
      <c r="AC280" s="33" t="str">
        <f t="shared" si="105"/>
        <v/>
      </c>
      <c r="AD280" s="15" t="str">
        <f t="shared" si="106"/>
        <v xml:space="preserve"> </v>
      </c>
      <c r="AE280" s="5"/>
      <c r="AF280" s="27" t="b">
        <f>IF($G280&lt;&gt;0,SUMIF(куб!$G:$G,$G280,куб!R:R),IF($E280&lt;&gt;0,SUMIF(куб!$E:$E,$E280,куб!R:R),IF($D280&lt;&gt;0,SUMIF(куб!$D:$D,$D280,куб!R:R),IF($C280&lt;&gt;0,SUMIF(куб!$C:$C,$C280,куб!R:R),IF($B280&lt;&gt;0,SUMIF(куб!$B:$B,$B280,куб!R:R))))))</f>
        <v>0</v>
      </c>
      <c r="AG280" s="27" t="b">
        <f>IF($G280&lt;&gt;0,SUMIF(куб!$G:$G,$G280,куб!S:S),IF($E280&lt;&gt;0,SUMIF(куб!$E:$E,$E280,куб!S:S),IF($D280&lt;&gt;0,SUMIF(куб!$D:$D,$D280,куб!S:S),IF($C280&lt;&gt;0,SUMIF(куб!$C:$C,$C280,куб!S:S),IF($B280&lt;&gt;0,SUMIF(куб!$B:$B,$B280,куб!S:S))))))</f>
        <v>0</v>
      </c>
      <c r="AH280" s="16" t="str">
        <f t="shared" si="96"/>
        <v>-</v>
      </c>
      <c r="AI280" s="8"/>
      <c r="AJ280" s="27" t="b">
        <f>IF($G280&lt;&gt;0,SUMIF(куб!$G:$G,$G280,куб!T:T),IF($E280&lt;&gt;0,SUMIF(куб!$E:$E,$E280,куб!T:T),IF($D280&lt;&gt;0,SUMIF(куб!$D:$D,$D280,куб!T:T),IF($C280&lt;&gt;0,SUMIF(куб!$C:$C,$C280,куб!T:T),IF($B280&lt;&gt;0,SUMIF(куб!$B:$B,$B280,куб!T:T))))))</f>
        <v>0</v>
      </c>
      <c r="AK280" s="27" t="b">
        <f>IF($G280&lt;&gt;0,SUMIF(куб!$G:$G,$G280,куб!U:U),IF($E280&lt;&gt;0,SUMIF(куб!$E:$E,$E280,куб!U:U),IF($D280&lt;&gt;0,SUMIF(куб!$D:$D,$D280,куб!U:U),IF($C280&lt;&gt;0,SUMIF(куб!$C:$C,$C280,куб!U:U),IF($B280&lt;&gt;0,SUMIF(куб!$B:$B,$B280,куб!U:U))))))</f>
        <v>0</v>
      </c>
      <c r="AL280" s="16" t="str">
        <f t="shared" si="97"/>
        <v>-</v>
      </c>
      <c r="AM280" s="8"/>
      <c r="AN280" s="17" t="str">
        <f t="shared" si="98"/>
        <v xml:space="preserve"> </v>
      </c>
      <c r="AO280" s="17" t="str">
        <f t="shared" si="99"/>
        <v xml:space="preserve"> </v>
      </c>
      <c r="AP280" s="16" t="str">
        <f t="shared" si="100"/>
        <v>-</v>
      </c>
      <c r="AQ280" s="8"/>
      <c r="AR280" s="17" t="str">
        <f t="shared" si="101"/>
        <v>-</v>
      </c>
      <c r="AS280" s="17" t="str">
        <f t="shared" si="102"/>
        <v>-</v>
      </c>
      <c r="AT280" s="13" t="str">
        <f t="shared" si="103"/>
        <v>-</v>
      </c>
      <c r="AU280" s="8"/>
    </row>
    <row r="281" spans="1:47" ht="15" customHeight="1" x14ac:dyDescent="0.25">
      <c r="A281" s="31"/>
      <c r="B281" s="31"/>
      <c r="C281"/>
      <c r="D281" s="31"/>
      <c r="E281"/>
      <c r="F281" s="31"/>
      <c r="G281"/>
      <c r="H281" s="27">
        <f>IF($G281&lt;&gt;0,SUMIF(куб!$G:$G,$G281,куб!H:H),IF($E281&lt;&gt;0,SUMIF(куб!$E:$E,$E281,куб!H:H),IF($D281&lt;&gt;0,SUMIF(куб!$D:$D,$D281,куб!H:H),IF($C281&lt;&gt;0,SUMIF(куб!$C:$C,$C281,куб!H:H),IF($B281&lt;&gt;0,SUMIF(куб!$B:$B,$B281,куб!H:H),IF($G281&lt;&gt;0,SUMIF(куб!$A:$A,$G281,куб!H:H),SUMIF(куб!$A:$A,$G281,куб!H:H)))))))</f>
        <v>0</v>
      </c>
      <c r="I281" s="27">
        <f>IF($G281&lt;&gt;0,SUMIF(куб!$G:$G,$G281,куб!I:I),IF($E281&lt;&gt;0,SUMIF(куб!$E:$E,$E281,куб!I:I),IF($D281&lt;&gt;0,SUMIF(куб!$D:$D,$D281,куб!I:I),IF($C281&lt;&gt;0,SUMIF(куб!$C:$C,$C281,куб!I:I),IF($B281&lt;&gt;0,SUMIF(куб!$B:$B,$B281,куб!I:I),IF($G281&lt;&gt;0,SUMIF(куб!$A:$A,$G281,куб!I:I),SUMIF(куб!$A:$A,$G281,куб!I:I)))))))</f>
        <v>0</v>
      </c>
      <c r="J281" s="19" t="str">
        <f t="shared" si="107"/>
        <v>-</v>
      </c>
      <c r="K281" s="5"/>
      <c r="L281" s="17">
        <f t="shared" si="88"/>
        <v>0</v>
      </c>
      <c r="M281" s="17">
        <f t="shared" si="89"/>
        <v>0</v>
      </c>
      <c r="N281" s="12">
        <f t="shared" si="90"/>
        <v>0</v>
      </c>
      <c r="O281" s="5"/>
      <c r="P281" s="27" t="b">
        <f>IF($G281&lt;&gt;0,SUMIF(куб!$G:$G,$G281,куб!J:J),IF($E281&lt;&gt;0,SUMIF(куб!$E:$E,$E281,куб!J:J),IF($D281&lt;&gt;0,SUMIF(куб!$D:$D,$D281,куб!J:J),IF($C281&lt;&gt;0,SUMIF(куб!$C:$C,$C281,куб!J:J),IF($B281&lt;&gt;0,SUMIF(куб!$B:$B,$B281,куб!J:J))))))</f>
        <v>0</v>
      </c>
      <c r="Q281" s="27" t="b">
        <f>IF($G281&lt;&gt;0,SUMIF(куб!$G:$G,$G281,куб!K:K),IF($E281&lt;&gt;0,SUMIF(куб!$E:$E,$E281,куб!K:K),IF($D281&lt;&gt;0,SUMIF(куб!$D:$D,$D281,куб!K:K),IF($C281&lt;&gt;0,SUMIF(куб!$C:$C,$C281,куб!K:K),IF($B281&lt;&gt;0,SUMIF(куб!$B:$B,$B281,куб!K:K))))))</f>
        <v>0</v>
      </c>
      <c r="R281" s="13" t="str">
        <f t="shared" si="91"/>
        <v>-</v>
      </c>
      <c r="S281" s="5"/>
      <c r="T281" s="27" t="b">
        <f>IF($G281&lt;&gt;0,SUMIF(куб!$G:$G,$G281,куб!L:L),IF($E281&lt;&gt;0,SUMIF(куб!$E:$E,$E281,куб!L:L),IF($D281&lt;&gt;0,SUMIF(куб!$D:$D,$D281,куб!L:L),IF($C281&lt;&gt;0,SUMIF(куб!$C:$C,$C281,куб!L:L),IF($B281&lt;&gt;0,SUMIF(куб!$B:$B,$B281,куб!L:L))))))</f>
        <v>0</v>
      </c>
      <c r="U281" s="27" t="b">
        <f>IF($G281&lt;&gt;0,SUMIF(куб!$G:$G,$G281,куб!M:M),IF($E281&lt;&gt;0,SUMIF(куб!$E:$E,$E281,куб!M:M),IF($D281&lt;&gt;0,SUMIF(куб!$D:$D,$D281,куб!M:M),IF($C281&lt;&gt;0,SUMIF(куб!$C:$C,$C281,куб!M:M),IF($B281&lt;&gt;0,SUMIF(куб!$B:$B,$B281,куб!M:M))))))</f>
        <v>0</v>
      </c>
      <c r="V281" s="13" t="str">
        <f t="shared" si="92"/>
        <v>-</v>
      </c>
      <c r="W281" s="5"/>
      <c r="X281" s="27" t="b">
        <f>IF($G281&lt;&gt;0,SUMIF(куб!$G:$G,$G281,куб!N:N),IF($E281&lt;&gt;0,SUMIF(куб!$E:$E,$E281,куб!N:N),IF($D281&lt;&gt;0,SUMIF(куб!$D:$D,$D281,куб!N:N),IF($C281&lt;&gt;0,SUMIF(куб!$C:$C,$C281,куб!N:N),IF($B281&lt;&gt;0,SUMIF(куб!$B:$B,$B281,куб!N:N))))))</f>
        <v>0</v>
      </c>
      <c r="Y281" s="27" t="b">
        <f>IF($G281&lt;&gt;0,SUMIF(куб!$G:$G,$G281,куб!O:O),IF($E281&lt;&gt;0,SUMIF(куб!$E:$E,$E281,куб!O:O),IF($D281&lt;&gt;0,SUMIF(куб!$D:$D,$D281,куб!O:O),IF($C281&lt;&gt;0,SUMIF(куб!$C:$C,$C281,куб!O:O),IF($B281&lt;&gt;0,SUMIF(куб!$B:$B,$B281,куб!O:O))))))</f>
        <v>0</v>
      </c>
      <c r="Z281" s="13" t="str">
        <f t="shared" si="93"/>
        <v>-</v>
      </c>
      <c r="AA281" s="5"/>
      <c r="AB281" s="33" t="str">
        <f t="shared" si="104"/>
        <v/>
      </c>
      <c r="AC281" s="33" t="str">
        <f t="shared" si="105"/>
        <v/>
      </c>
      <c r="AD281" s="15" t="str">
        <f t="shared" si="106"/>
        <v xml:space="preserve"> </v>
      </c>
      <c r="AE281" s="5"/>
      <c r="AF281" s="27" t="b">
        <f>IF($G281&lt;&gt;0,SUMIF(куб!$G:$G,$G281,куб!R:R),IF($E281&lt;&gt;0,SUMIF(куб!$E:$E,$E281,куб!R:R),IF($D281&lt;&gt;0,SUMIF(куб!$D:$D,$D281,куб!R:R),IF($C281&lt;&gt;0,SUMIF(куб!$C:$C,$C281,куб!R:R),IF($B281&lt;&gt;0,SUMIF(куб!$B:$B,$B281,куб!R:R))))))</f>
        <v>0</v>
      </c>
      <c r="AG281" s="27" t="b">
        <f>IF($G281&lt;&gt;0,SUMIF(куб!$G:$G,$G281,куб!S:S),IF($E281&lt;&gt;0,SUMIF(куб!$E:$E,$E281,куб!S:S),IF($D281&lt;&gt;0,SUMIF(куб!$D:$D,$D281,куб!S:S),IF($C281&lt;&gt;0,SUMIF(куб!$C:$C,$C281,куб!S:S),IF($B281&lt;&gt;0,SUMIF(куб!$B:$B,$B281,куб!S:S))))))</f>
        <v>0</v>
      </c>
      <c r="AH281" s="16" t="str">
        <f t="shared" si="96"/>
        <v>-</v>
      </c>
      <c r="AI281" s="8"/>
      <c r="AJ281" s="27" t="b">
        <f>IF($G281&lt;&gt;0,SUMIF(куб!$G:$G,$G281,куб!T:T),IF($E281&lt;&gt;0,SUMIF(куб!$E:$E,$E281,куб!T:T),IF($D281&lt;&gt;0,SUMIF(куб!$D:$D,$D281,куб!T:T),IF($C281&lt;&gt;0,SUMIF(куб!$C:$C,$C281,куб!T:T),IF($B281&lt;&gt;0,SUMIF(куб!$B:$B,$B281,куб!T:T))))))</f>
        <v>0</v>
      </c>
      <c r="AK281" s="27" t="b">
        <f>IF($G281&lt;&gt;0,SUMIF(куб!$G:$G,$G281,куб!U:U),IF($E281&lt;&gt;0,SUMIF(куб!$E:$E,$E281,куб!U:U),IF($D281&lt;&gt;0,SUMIF(куб!$D:$D,$D281,куб!U:U),IF($C281&lt;&gt;0,SUMIF(куб!$C:$C,$C281,куб!U:U),IF($B281&lt;&gt;0,SUMIF(куб!$B:$B,$B281,куб!U:U))))))</f>
        <v>0</v>
      </c>
      <c r="AL281" s="16" t="str">
        <f t="shared" si="97"/>
        <v>-</v>
      </c>
      <c r="AM281" s="8"/>
      <c r="AN281" s="17" t="str">
        <f t="shared" si="98"/>
        <v xml:space="preserve"> </v>
      </c>
      <c r="AO281" s="17" t="str">
        <f t="shared" si="99"/>
        <v xml:space="preserve"> </v>
      </c>
      <c r="AP281" s="16" t="str">
        <f t="shared" si="100"/>
        <v>-</v>
      </c>
      <c r="AQ281" s="8"/>
      <c r="AR281" s="17" t="str">
        <f t="shared" si="101"/>
        <v>-</v>
      </c>
      <c r="AS281" s="17" t="str">
        <f t="shared" si="102"/>
        <v>-</v>
      </c>
      <c r="AT281" s="13" t="str">
        <f t="shared" si="103"/>
        <v>-</v>
      </c>
      <c r="AU281" s="8"/>
    </row>
    <row r="282" spans="1:47" ht="15" customHeight="1" x14ac:dyDescent="0.25">
      <c r="A282" s="31"/>
      <c r="B282" s="31"/>
      <c r="C282"/>
      <c r="D282" s="31"/>
      <c r="E282"/>
      <c r="F282" s="31"/>
      <c r="G282"/>
      <c r="H282" s="27">
        <f>IF($G282&lt;&gt;0,SUMIF(куб!$G:$G,$G282,куб!H:H),IF($E282&lt;&gt;0,SUMIF(куб!$E:$E,$E282,куб!H:H),IF($D282&lt;&gt;0,SUMIF(куб!$D:$D,$D282,куб!H:H),IF($C282&lt;&gt;0,SUMIF(куб!$C:$C,$C282,куб!H:H),IF($B282&lt;&gt;0,SUMIF(куб!$B:$B,$B282,куб!H:H),IF($G282&lt;&gt;0,SUMIF(куб!$A:$A,$G282,куб!H:H),SUMIF(куб!$A:$A,$G282,куб!H:H)))))))</f>
        <v>0</v>
      </c>
      <c r="I282" s="27">
        <f>IF($G282&lt;&gt;0,SUMIF(куб!$G:$G,$G282,куб!I:I),IF($E282&lt;&gt;0,SUMIF(куб!$E:$E,$E282,куб!I:I),IF($D282&lt;&gt;0,SUMIF(куб!$D:$D,$D282,куб!I:I),IF($C282&lt;&gt;0,SUMIF(куб!$C:$C,$C282,куб!I:I),IF($B282&lt;&gt;0,SUMIF(куб!$B:$B,$B282,куб!I:I),IF($G282&lt;&gt;0,SUMIF(куб!$A:$A,$G282,куб!I:I),SUMIF(куб!$A:$A,$G282,куб!I:I)))))))</f>
        <v>0</v>
      </c>
      <c r="J282" s="19" t="str">
        <f t="shared" si="107"/>
        <v>-</v>
      </c>
      <c r="K282" s="8"/>
      <c r="L282" s="17">
        <f t="shared" si="88"/>
        <v>0</v>
      </c>
      <c r="M282" s="17">
        <f t="shared" si="89"/>
        <v>0</v>
      </c>
      <c r="N282" s="12">
        <f t="shared" si="90"/>
        <v>0</v>
      </c>
      <c r="O282" s="5"/>
      <c r="P282" s="27" t="b">
        <f>IF($G282&lt;&gt;0,SUMIF(куб!$G:$G,$G282,куб!J:J),IF($E282&lt;&gt;0,SUMIF(куб!$E:$E,$E282,куб!J:J),IF($D282&lt;&gt;0,SUMIF(куб!$D:$D,$D282,куб!J:J),IF($C282&lt;&gt;0,SUMIF(куб!$C:$C,$C282,куб!J:J),IF($B282&lt;&gt;0,SUMIF(куб!$B:$B,$B282,куб!J:J))))))</f>
        <v>0</v>
      </c>
      <c r="Q282" s="27" t="b">
        <f>IF($G282&lt;&gt;0,SUMIF(куб!$G:$G,$G282,куб!K:K),IF($E282&lt;&gt;0,SUMIF(куб!$E:$E,$E282,куб!K:K),IF($D282&lt;&gt;0,SUMIF(куб!$D:$D,$D282,куб!K:K),IF($C282&lt;&gt;0,SUMIF(куб!$C:$C,$C282,куб!K:K),IF($B282&lt;&gt;0,SUMIF(куб!$B:$B,$B282,куб!K:K))))))</f>
        <v>0</v>
      </c>
      <c r="R282" s="13" t="str">
        <f t="shared" si="91"/>
        <v>-</v>
      </c>
      <c r="S282" s="5"/>
      <c r="T282" s="27" t="b">
        <f>IF($G282&lt;&gt;0,SUMIF(куб!$G:$G,$G282,куб!L:L),IF($E282&lt;&gt;0,SUMIF(куб!$E:$E,$E282,куб!L:L),IF($D282&lt;&gt;0,SUMIF(куб!$D:$D,$D282,куб!L:L),IF($C282&lt;&gt;0,SUMIF(куб!$C:$C,$C282,куб!L:L),IF($B282&lt;&gt;0,SUMIF(куб!$B:$B,$B282,куб!L:L))))))</f>
        <v>0</v>
      </c>
      <c r="U282" s="27" t="b">
        <f>IF($G282&lt;&gt;0,SUMIF(куб!$G:$G,$G282,куб!M:M),IF($E282&lt;&gt;0,SUMIF(куб!$E:$E,$E282,куб!M:M),IF($D282&lt;&gt;0,SUMIF(куб!$D:$D,$D282,куб!M:M),IF($C282&lt;&gt;0,SUMIF(куб!$C:$C,$C282,куб!M:M),IF($B282&lt;&gt;0,SUMIF(куб!$B:$B,$B282,куб!M:M))))))</f>
        <v>0</v>
      </c>
      <c r="V282" s="13" t="str">
        <f t="shared" si="92"/>
        <v>-</v>
      </c>
      <c r="W282" s="5"/>
      <c r="X282" s="27" t="b">
        <f>IF($G282&lt;&gt;0,SUMIF(куб!$G:$G,$G282,куб!N:N),IF($E282&lt;&gt;0,SUMIF(куб!$E:$E,$E282,куб!N:N),IF($D282&lt;&gt;0,SUMIF(куб!$D:$D,$D282,куб!N:N),IF($C282&lt;&gt;0,SUMIF(куб!$C:$C,$C282,куб!N:N),IF($B282&lt;&gt;0,SUMIF(куб!$B:$B,$B282,куб!N:N))))))</f>
        <v>0</v>
      </c>
      <c r="Y282" s="27" t="b">
        <f>IF($G282&lt;&gt;0,SUMIF(куб!$G:$G,$G282,куб!O:O),IF($E282&lt;&gt;0,SUMIF(куб!$E:$E,$E282,куб!O:O),IF($D282&lt;&gt;0,SUMIF(куб!$D:$D,$D282,куб!O:O),IF($C282&lt;&gt;0,SUMIF(куб!$C:$C,$C282,куб!O:O),IF($B282&lt;&gt;0,SUMIF(куб!$B:$B,$B282,куб!O:O))))))</f>
        <v>0</v>
      </c>
      <c r="Z282" s="13" t="str">
        <f t="shared" si="93"/>
        <v>-</v>
      </c>
      <c r="AA282" s="5"/>
      <c r="AB282" s="33" t="str">
        <f t="shared" si="104"/>
        <v/>
      </c>
      <c r="AC282" s="33" t="str">
        <f t="shared" si="105"/>
        <v/>
      </c>
      <c r="AD282" s="15" t="str">
        <f t="shared" si="106"/>
        <v xml:space="preserve"> </v>
      </c>
      <c r="AE282" s="5"/>
      <c r="AF282" s="27" t="b">
        <f>IF($G282&lt;&gt;0,SUMIF(куб!$G:$G,$G282,куб!R:R),IF($E282&lt;&gt;0,SUMIF(куб!$E:$E,$E282,куб!R:R),IF($D282&lt;&gt;0,SUMIF(куб!$D:$D,$D282,куб!R:R),IF($C282&lt;&gt;0,SUMIF(куб!$C:$C,$C282,куб!R:R),IF($B282&lt;&gt;0,SUMIF(куб!$B:$B,$B282,куб!R:R))))))</f>
        <v>0</v>
      </c>
      <c r="AG282" s="27" t="b">
        <f>IF($G282&lt;&gt;0,SUMIF(куб!$G:$G,$G282,куб!S:S),IF($E282&lt;&gt;0,SUMIF(куб!$E:$E,$E282,куб!S:S),IF($D282&lt;&gt;0,SUMIF(куб!$D:$D,$D282,куб!S:S),IF($C282&lt;&gt;0,SUMIF(куб!$C:$C,$C282,куб!S:S),IF($B282&lt;&gt;0,SUMIF(куб!$B:$B,$B282,куб!S:S))))))</f>
        <v>0</v>
      </c>
      <c r="AH282" s="16" t="str">
        <f t="shared" si="96"/>
        <v>-</v>
      </c>
      <c r="AI282" s="8"/>
      <c r="AJ282" s="27" t="b">
        <f>IF($G282&lt;&gt;0,SUMIF(куб!$G:$G,$G282,куб!T:T),IF($E282&lt;&gt;0,SUMIF(куб!$E:$E,$E282,куб!T:T),IF($D282&lt;&gt;0,SUMIF(куб!$D:$D,$D282,куб!T:T),IF($C282&lt;&gt;0,SUMIF(куб!$C:$C,$C282,куб!T:T),IF($B282&lt;&gt;0,SUMIF(куб!$B:$B,$B282,куб!T:T))))))</f>
        <v>0</v>
      </c>
      <c r="AK282" s="27" t="b">
        <f>IF($G282&lt;&gt;0,SUMIF(куб!$G:$G,$G282,куб!U:U),IF($E282&lt;&gt;0,SUMIF(куб!$E:$E,$E282,куб!U:U),IF($D282&lt;&gt;0,SUMIF(куб!$D:$D,$D282,куб!U:U),IF($C282&lt;&gt;0,SUMIF(куб!$C:$C,$C282,куб!U:U),IF($B282&lt;&gt;0,SUMIF(куб!$B:$B,$B282,куб!U:U))))))</f>
        <v>0</v>
      </c>
      <c r="AL282" s="16" t="str">
        <f t="shared" si="97"/>
        <v>-</v>
      </c>
      <c r="AM282" s="8"/>
      <c r="AN282" s="17" t="str">
        <f t="shared" si="98"/>
        <v xml:space="preserve"> </v>
      </c>
      <c r="AO282" s="17" t="str">
        <f t="shared" si="99"/>
        <v xml:space="preserve"> </v>
      </c>
      <c r="AP282" s="16" t="str">
        <f t="shared" si="100"/>
        <v>-</v>
      </c>
      <c r="AQ282" s="8"/>
      <c r="AR282" s="17" t="str">
        <f t="shared" si="101"/>
        <v>-</v>
      </c>
      <c r="AS282" s="17" t="str">
        <f t="shared" si="102"/>
        <v>-</v>
      </c>
      <c r="AT282" s="13" t="str">
        <f t="shared" si="103"/>
        <v>-</v>
      </c>
      <c r="AU282" s="8"/>
    </row>
    <row r="283" spans="1:47" ht="15" customHeight="1" x14ac:dyDescent="0.25">
      <c r="A283" s="31"/>
      <c r="B283" s="31"/>
      <c r="C283"/>
      <c r="D283" s="31"/>
      <c r="E283"/>
      <c r="F283" s="31"/>
      <c r="G283"/>
      <c r="H283" s="27">
        <f>IF($G283&lt;&gt;0,SUMIF(куб!$G:$G,$G283,куб!H:H),IF($E283&lt;&gt;0,SUMIF(куб!$E:$E,$E283,куб!H:H),IF($D283&lt;&gt;0,SUMIF(куб!$D:$D,$D283,куб!H:H),IF($C283&lt;&gt;0,SUMIF(куб!$C:$C,$C283,куб!H:H),IF($B283&lt;&gt;0,SUMIF(куб!$B:$B,$B283,куб!H:H),IF($G283&lt;&gt;0,SUMIF(куб!$A:$A,$G283,куб!H:H),SUMIF(куб!$A:$A,$G283,куб!H:H)))))))</f>
        <v>0</v>
      </c>
      <c r="I283" s="27">
        <f>IF($G283&lt;&gt;0,SUMIF(куб!$G:$G,$G283,куб!I:I),IF($E283&lt;&gt;0,SUMIF(куб!$E:$E,$E283,куб!I:I),IF($D283&lt;&gt;0,SUMIF(куб!$D:$D,$D283,куб!I:I),IF($C283&lt;&gt;0,SUMIF(куб!$C:$C,$C283,куб!I:I),IF($B283&lt;&gt;0,SUMIF(куб!$B:$B,$B283,куб!I:I),IF($G283&lt;&gt;0,SUMIF(куб!$A:$A,$G283,куб!I:I),SUMIF(куб!$A:$A,$G283,куб!I:I)))))))</f>
        <v>0</v>
      </c>
      <c r="J283" s="19" t="str">
        <f t="shared" si="107"/>
        <v>-</v>
      </c>
      <c r="K283" s="10"/>
      <c r="L283" s="17">
        <f t="shared" si="88"/>
        <v>0</v>
      </c>
      <c r="M283" s="17">
        <f t="shared" si="89"/>
        <v>0</v>
      </c>
      <c r="N283" s="12">
        <f t="shared" si="90"/>
        <v>0</v>
      </c>
      <c r="O283" s="5"/>
      <c r="P283" s="27" t="b">
        <f>IF($G283&lt;&gt;0,SUMIF(куб!$G:$G,$G283,куб!J:J),IF($E283&lt;&gt;0,SUMIF(куб!$E:$E,$E283,куб!J:J),IF($D283&lt;&gt;0,SUMIF(куб!$D:$D,$D283,куб!J:J),IF($C283&lt;&gt;0,SUMIF(куб!$C:$C,$C283,куб!J:J),IF($B283&lt;&gt;0,SUMIF(куб!$B:$B,$B283,куб!J:J))))))</f>
        <v>0</v>
      </c>
      <c r="Q283" s="27" t="b">
        <f>IF($G283&lt;&gt;0,SUMIF(куб!$G:$G,$G283,куб!K:K),IF($E283&lt;&gt;0,SUMIF(куб!$E:$E,$E283,куб!K:K),IF($D283&lt;&gt;0,SUMIF(куб!$D:$D,$D283,куб!K:K),IF($C283&lt;&gt;0,SUMIF(куб!$C:$C,$C283,куб!K:K),IF($B283&lt;&gt;0,SUMIF(куб!$B:$B,$B283,куб!K:K))))))</f>
        <v>0</v>
      </c>
      <c r="R283" s="13" t="str">
        <f t="shared" si="91"/>
        <v>-</v>
      </c>
      <c r="S283" s="5"/>
      <c r="T283" s="27" t="b">
        <f>IF($G283&lt;&gt;0,SUMIF(куб!$G:$G,$G283,куб!L:L),IF($E283&lt;&gt;0,SUMIF(куб!$E:$E,$E283,куб!L:L),IF($D283&lt;&gt;0,SUMIF(куб!$D:$D,$D283,куб!L:L),IF($C283&lt;&gt;0,SUMIF(куб!$C:$C,$C283,куб!L:L),IF($B283&lt;&gt;0,SUMIF(куб!$B:$B,$B283,куб!L:L))))))</f>
        <v>0</v>
      </c>
      <c r="U283" s="27" t="b">
        <f>IF($G283&lt;&gt;0,SUMIF(куб!$G:$G,$G283,куб!M:M),IF($E283&lt;&gt;0,SUMIF(куб!$E:$E,$E283,куб!M:M),IF($D283&lt;&gt;0,SUMIF(куб!$D:$D,$D283,куб!M:M),IF($C283&lt;&gt;0,SUMIF(куб!$C:$C,$C283,куб!M:M),IF($B283&lt;&gt;0,SUMIF(куб!$B:$B,$B283,куб!M:M))))))</f>
        <v>0</v>
      </c>
      <c r="V283" s="13" t="str">
        <f t="shared" si="92"/>
        <v>-</v>
      </c>
      <c r="W283" s="5"/>
      <c r="X283" s="27" t="b">
        <f>IF($G283&lt;&gt;0,SUMIF(куб!$G:$G,$G283,куб!N:N),IF($E283&lt;&gt;0,SUMIF(куб!$E:$E,$E283,куб!N:N),IF($D283&lt;&gt;0,SUMIF(куб!$D:$D,$D283,куб!N:N),IF($C283&lt;&gt;0,SUMIF(куб!$C:$C,$C283,куб!N:N),IF($B283&lt;&gt;0,SUMIF(куб!$B:$B,$B283,куб!N:N))))))</f>
        <v>0</v>
      </c>
      <c r="Y283" s="27" t="b">
        <f>IF($G283&lt;&gt;0,SUMIF(куб!$G:$G,$G283,куб!O:O),IF($E283&lt;&gt;0,SUMIF(куб!$E:$E,$E283,куб!O:O),IF($D283&lt;&gt;0,SUMIF(куб!$D:$D,$D283,куб!O:O),IF($C283&lt;&gt;0,SUMIF(куб!$C:$C,$C283,куб!O:O),IF($B283&lt;&gt;0,SUMIF(куб!$B:$B,$B283,куб!O:O))))))</f>
        <v>0</v>
      </c>
      <c r="Z283" s="13" t="str">
        <f t="shared" si="93"/>
        <v>-</v>
      </c>
      <c r="AA283" s="5"/>
      <c r="AB283" s="33" t="str">
        <f t="shared" si="104"/>
        <v/>
      </c>
      <c r="AC283" s="33" t="str">
        <f t="shared" si="105"/>
        <v/>
      </c>
      <c r="AD283" s="15" t="str">
        <f t="shared" si="106"/>
        <v xml:space="preserve"> </v>
      </c>
      <c r="AE283" s="5"/>
      <c r="AF283" s="27" t="b">
        <f>IF($G283&lt;&gt;0,SUMIF(куб!$G:$G,$G283,куб!R:R),IF($E283&lt;&gt;0,SUMIF(куб!$E:$E,$E283,куб!R:R),IF($D283&lt;&gt;0,SUMIF(куб!$D:$D,$D283,куб!R:R),IF($C283&lt;&gt;0,SUMIF(куб!$C:$C,$C283,куб!R:R),IF($B283&lt;&gt;0,SUMIF(куб!$B:$B,$B283,куб!R:R))))))</f>
        <v>0</v>
      </c>
      <c r="AG283" s="27" t="b">
        <f>IF($G283&lt;&gt;0,SUMIF(куб!$G:$G,$G283,куб!S:S),IF($E283&lt;&gt;0,SUMIF(куб!$E:$E,$E283,куб!S:S),IF($D283&lt;&gt;0,SUMIF(куб!$D:$D,$D283,куб!S:S),IF($C283&lt;&gt;0,SUMIF(куб!$C:$C,$C283,куб!S:S),IF($B283&lt;&gt;0,SUMIF(куб!$B:$B,$B283,куб!S:S))))))</f>
        <v>0</v>
      </c>
      <c r="AH283" s="16" t="str">
        <f t="shared" si="96"/>
        <v>-</v>
      </c>
      <c r="AI283" s="8"/>
      <c r="AJ283" s="27" t="b">
        <f>IF($G283&lt;&gt;0,SUMIF(куб!$G:$G,$G283,куб!T:T),IF($E283&lt;&gt;0,SUMIF(куб!$E:$E,$E283,куб!T:T),IF($D283&lt;&gt;0,SUMIF(куб!$D:$D,$D283,куб!T:T),IF($C283&lt;&gt;0,SUMIF(куб!$C:$C,$C283,куб!T:T),IF($B283&lt;&gt;0,SUMIF(куб!$B:$B,$B283,куб!T:T))))))</f>
        <v>0</v>
      </c>
      <c r="AK283" s="27" t="b">
        <f>IF($G283&lt;&gt;0,SUMIF(куб!$G:$G,$G283,куб!U:U),IF($E283&lt;&gt;0,SUMIF(куб!$E:$E,$E283,куб!U:U),IF($D283&lt;&gt;0,SUMIF(куб!$D:$D,$D283,куб!U:U),IF($C283&lt;&gt;0,SUMIF(куб!$C:$C,$C283,куб!U:U),IF($B283&lt;&gt;0,SUMIF(куб!$B:$B,$B283,куб!U:U))))))</f>
        <v>0</v>
      </c>
      <c r="AL283" s="16" t="str">
        <f t="shared" si="97"/>
        <v>-</v>
      </c>
      <c r="AM283" s="8"/>
      <c r="AN283" s="17" t="str">
        <f t="shared" si="98"/>
        <v xml:space="preserve"> </v>
      </c>
      <c r="AO283" s="17" t="str">
        <f t="shared" si="99"/>
        <v xml:space="preserve"> </v>
      </c>
      <c r="AP283" s="16" t="str">
        <f t="shared" si="100"/>
        <v>-</v>
      </c>
      <c r="AQ283" s="8"/>
      <c r="AR283" s="17" t="str">
        <f t="shared" si="101"/>
        <v>-</v>
      </c>
      <c r="AS283" s="17" t="str">
        <f t="shared" si="102"/>
        <v>-</v>
      </c>
      <c r="AT283" s="13" t="str">
        <f t="shared" si="103"/>
        <v>-</v>
      </c>
      <c r="AU283" s="8"/>
    </row>
    <row r="284" spans="1:47" ht="15" customHeight="1" x14ac:dyDescent="0.25">
      <c r="A284" s="31"/>
      <c r="B284" s="31"/>
      <c r="C284"/>
      <c r="D284" s="31"/>
      <c r="E284"/>
      <c r="F284" s="31"/>
      <c r="G284"/>
      <c r="H284" s="27">
        <f>IF($G284&lt;&gt;0,SUMIF(куб!$G:$G,$G284,куб!H:H),IF($E284&lt;&gt;0,SUMIF(куб!$E:$E,$E284,куб!H:H),IF($D284&lt;&gt;0,SUMIF(куб!$D:$D,$D284,куб!H:H),IF($C284&lt;&gt;0,SUMIF(куб!$C:$C,$C284,куб!H:H),IF($B284&lt;&gt;0,SUMIF(куб!$B:$B,$B284,куб!H:H),IF($G284&lt;&gt;0,SUMIF(куб!$A:$A,$G284,куб!H:H),SUMIF(куб!$A:$A,$G284,куб!H:H)))))))</f>
        <v>0</v>
      </c>
      <c r="I284" s="27">
        <f>IF($G284&lt;&gt;0,SUMIF(куб!$G:$G,$G284,куб!I:I),IF($E284&lt;&gt;0,SUMIF(куб!$E:$E,$E284,куб!I:I),IF($D284&lt;&gt;0,SUMIF(куб!$D:$D,$D284,куб!I:I),IF($C284&lt;&gt;0,SUMIF(куб!$C:$C,$C284,куб!I:I),IF($B284&lt;&gt;0,SUMIF(куб!$B:$B,$B284,куб!I:I),IF($G284&lt;&gt;0,SUMIF(куб!$A:$A,$G284,куб!I:I),SUMIF(куб!$A:$A,$G284,куб!I:I)))))))</f>
        <v>0</v>
      </c>
      <c r="J284" s="19" t="str">
        <f t="shared" si="107"/>
        <v>-</v>
      </c>
      <c r="K284" s="5"/>
      <c r="L284" s="17">
        <f t="shared" si="88"/>
        <v>0</v>
      </c>
      <c r="M284" s="17">
        <f t="shared" si="89"/>
        <v>0</v>
      </c>
      <c r="N284" s="12">
        <f t="shared" si="90"/>
        <v>0</v>
      </c>
      <c r="O284" s="5"/>
      <c r="P284" s="27" t="b">
        <f>IF($G284&lt;&gt;0,SUMIF(куб!$G:$G,$G284,куб!J:J),IF($E284&lt;&gt;0,SUMIF(куб!$E:$E,$E284,куб!J:J),IF($D284&lt;&gt;0,SUMIF(куб!$D:$D,$D284,куб!J:J),IF($C284&lt;&gt;0,SUMIF(куб!$C:$C,$C284,куб!J:J),IF($B284&lt;&gt;0,SUMIF(куб!$B:$B,$B284,куб!J:J))))))</f>
        <v>0</v>
      </c>
      <c r="Q284" s="27" t="b">
        <f>IF($G284&lt;&gt;0,SUMIF(куб!$G:$G,$G284,куб!K:K),IF($E284&lt;&gt;0,SUMIF(куб!$E:$E,$E284,куб!K:K),IF($D284&lt;&gt;0,SUMIF(куб!$D:$D,$D284,куб!K:K),IF($C284&lt;&gt;0,SUMIF(куб!$C:$C,$C284,куб!K:K),IF($B284&lt;&gt;0,SUMIF(куб!$B:$B,$B284,куб!K:K))))))</f>
        <v>0</v>
      </c>
      <c r="R284" s="13" t="str">
        <f t="shared" si="91"/>
        <v>-</v>
      </c>
      <c r="S284" s="5"/>
      <c r="T284" s="27" t="b">
        <f>IF($G284&lt;&gt;0,SUMIF(куб!$G:$G,$G284,куб!L:L),IF($E284&lt;&gt;0,SUMIF(куб!$E:$E,$E284,куб!L:L),IF($D284&lt;&gt;0,SUMIF(куб!$D:$D,$D284,куб!L:L),IF($C284&lt;&gt;0,SUMIF(куб!$C:$C,$C284,куб!L:L),IF($B284&lt;&gt;0,SUMIF(куб!$B:$B,$B284,куб!L:L))))))</f>
        <v>0</v>
      </c>
      <c r="U284" s="27" t="b">
        <f>IF($G284&lt;&gt;0,SUMIF(куб!$G:$G,$G284,куб!M:M),IF($E284&lt;&gt;0,SUMIF(куб!$E:$E,$E284,куб!M:M),IF($D284&lt;&gt;0,SUMIF(куб!$D:$D,$D284,куб!M:M),IF($C284&lt;&gt;0,SUMIF(куб!$C:$C,$C284,куб!M:M),IF($B284&lt;&gt;0,SUMIF(куб!$B:$B,$B284,куб!M:M))))))</f>
        <v>0</v>
      </c>
      <c r="V284" s="13" t="str">
        <f t="shared" si="92"/>
        <v>-</v>
      </c>
      <c r="W284" s="5"/>
      <c r="X284" s="27" t="b">
        <f>IF($G284&lt;&gt;0,SUMIF(куб!$G:$G,$G284,куб!N:N),IF($E284&lt;&gt;0,SUMIF(куб!$E:$E,$E284,куб!N:N),IF($D284&lt;&gt;0,SUMIF(куб!$D:$D,$D284,куб!N:N),IF($C284&lt;&gt;0,SUMIF(куб!$C:$C,$C284,куб!N:N),IF($B284&lt;&gt;0,SUMIF(куб!$B:$B,$B284,куб!N:N))))))</f>
        <v>0</v>
      </c>
      <c r="Y284" s="27" t="b">
        <f>IF($G284&lt;&gt;0,SUMIF(куб!$G:$G,$G284,куб!O:O),IF($E284&lt;&gt;0,SUMIF(куб!$E:$E,$E284,куб!O:O),IF($D284&lt;&gt;0,SUMIF(куб!$D:$D,$D284,куб!O:O),IF($C284&lt;&gt;0,SUMIF(куб!$C:$C,$C284,куб!O:O),IF($B284&lt;&gt;0,SUMIF(куб!$B:$B,$B284,куб!O:O))))))</f>
        <v>0</v>
      </c>
      <c r="Z284" s="13" t="str">
        <f t="shared" si="93"/>
        <v>-</v>
      </c>
      <c r="AA284" s="5"/>
      <c r="AB284" s="33" t="str">
        <f t="shared" si="104"/>
        <v/>
      </c>
      <c r="AC284" s="33" t="str">
        <f t="shared" si="105"/>
        <v/>
      </c>
      <c r="AD284" s="15" t="str">
        <f t="shared" si="106"/>
        <v xml:space="preserve"> </v>
      </c>
      <c r="AE284" s="5"/>
      <c r="AF284" s="27" t="b">
        <f>IF($G284&lt;&gt;0,SUMIF(куб!$G:$G,$G284,куб!R:R),IF($E284&lt;&gt;0,SUMIF(куб!$E:$E,$E284,куб!R:R),IF($D284&lt;&gt;0,SUMIF(куб!$D:$D,$D284,куб!R:R),IF($C284&lt;&gt;0,SUMIF(куб!$C:$C,$C284,куб!R:R),IF($B284&lt;&gt;0,SUMIF(куб!$B:$B,$B284,куб!R:R))))))</f>
        <v>0</v>
      </c>
      <c r="AG284" s="27" t="b">
        <f>IF($G284&lt;&gt;0,SUMIF(куб!$G:$G,$G284,куб!S:S),IF($E284&lt;&gt;0,SUMIF(куб!$E:$E,$E284,куб!S:S),IF($D284&lt;&gt;0,SUMIF(куб!$D:$D,$D284,куб!S:S),IF($C284&lt;&gt;0,SUMIF(куб!$C:$C,$C284,куб!S:S),IF($B284&lt;&gt;0,SUMIF(куб!$B:$B,$B284,куб!S:S))))))</f>
        <v>0</v>
      </c>
      <c r="AH284" s="16" t="str">
        <f t="shared" si="96"/>
        <v>-</v>
      </c>
      <c r="AI284" s="8"/>
      <c r="AJ284" s="27" t="b">
        <f>IF($G284&lt;&gt;0,SUMIF(куб!$G:$G,$G284,куб!T:T),IF($E284&lt;&gt;0,SUMIF(куб!$E:$E,$E284,куб!T:T),IF($D284&lt;&gt;0,SUMIF(куб!$D:$D,$D284,куб!T:T),IF($C284&lt;&gt;0,SUMIF(куб!$C:$C,$C284,куб!T:T),IF($B284&lt;&gt;0,SUMIF(куб!$B:$B,$B284,куб!T:T))))))</f>
        <v>0</v>
      </c>
      <c r="AK284" s="27" t="b">
        <f>IF($G284&lt;&gt;0,SUMIF(куб!$G:$G,$G284,куб!U:U),IF($E284&lt;&gt;0,SUMIF(куб!$E:$E,$E284,куб!U:U),IF($D284&lt;&gt;0,SUMIF(куб!$D:$D,$D284,куб!U:U),IF($C284&lt;&gt;0,SUMIF(куб!$C:$C,$C284,куб!U:U),IF($B284&lt;&gt;0,SUMIF(куб!$B:$B,$B284,куб!U:U))))))</f>
        <v>0</v>
      </c>
      <c r="AL284" s="16" t="str">
        <f t="shared" si="97"/>
        <v>-</v>
      </c>
      <c r="AM284" s="8"/>
      <c r="AN284" s="17" t="str">
        <f t="shared" si="98"/>
        <v xml:space="preserve"> </v>
      </c>
      <c r="AO284" s="17" t="str">
        <f t="shared" si="99"/>
        <v xml:space="preserve"> </v>
      </c>
      <c r="AP284" s="16" t="str">
        <f t="shared" si="100"/>
        <v>-</v>
      </c>
      <c r="AQ284" s="8"/>
      <c r="AR284" s="17" t="str">
        <f t="shared" si="101"/>
        <v>-</v>
      </c>
      <c r="AS284" s="17" t="str">
        <f t="shared" si="102"/>
        <v>-</v>
      </c>
      <c r="AT284" s="13" t="str">
        <f t="shared" si="103"/>
        <v>-</v>
      </c>
      <c r="AU284" s="8"/>
    </row>
    <row r="285" spans="1:47" ht="15" customHeight="1" x14ac:dyDescent="0.25">
      <c r="A285" s="31"/>
      <c r="B285" s="31"/>
      <c r="C285"/>
      <c r="D285" s="31"/>
      <c r="E285"/>
      <c r="F285" s="31"/>
      <c r="G285"/>
      <c r="H285" s="27">
        <f>IF($G285&lt;&gt;0,SUMIF(куб!$G:$G,$G285,куб!H:H),IF($E285&lt;&gt;0,SUMIF(куб!$E:$E,$E285,куб!H:H),IF($D285&lt;&gt;0,SUMIF(куб!$D:$D,$D285,куб!H:H),IF($C285&lt;&gt;0,SUMIF(куб!$C:$C,$C285,куб!H:H),IF($B285&lt;&gt;0,SUMIF(куб!$B:$B,$B285,куб!H:H),IF($G285&lt;&gt;0,SUMIF(куб!$A:$A,$G285,куб!H:H),SUMIF(куб!$A:$A,$G285,куб!H:H)))))))</f>
        <v>0</v>
      </c>
      <c r="I285" s="27">
        <f>IF($G285&lt;&gt;0,SUMIF(куб!$G:$G,$G285,куб!I:I),IF($E285&lt;&gt;0,SUMIF(куб!$E:$E,$E285,куб!I:I),IF($D285&lt;&gt;0,SUMIF(куб!$D:$D,$D285,куб!I:I),IF($C285&lt;&gt;0,SUMIF(куб!$C:$C,$C285,куб!I:I),IF($B285&lt;&gt;0,SUMIF(куб!$B:$B,$B285,куб!I:I),IF($G285&lt;&gt;0,SUMIF(куб!$A:$A,$G285,куб!I:I),SUMIF(куб!$A:$A,$G285,куб!I:I)))))))</f>
        <v>0</v>
      </c>
      <c r="J285" s="19" t="str">
        <f t="shared" si="107"/>
        <v>-</v>
      </c>
      <c r="K285" s="5"/>
      <c r="L285" s="17">
        <f t="shared" si="88"/>
        <v>0</v>
      </c>
      <c r="M285" s="17">
        <f t="shared" si="89"/>
        <v>0</v>
      </c>
      <c r="N285" s="12">
        <f t="shared" si="90"/>
        <v>0</v>
      </c>
      <c r="O285" s="5"/>
      <c r="P285" s="27" t="b">
        <f>IF($G285&lt;&gt;0,SUMIF(куб!$G:$G,$G285,куб!J:J),IF($E285&lt;&gt;0,SUMIF(куб!$E:$E,$E285,куб!J:J),IF($D285&lt;&gt;0,SUMIF(куб!$D:$D,$D285,куб!J:J),IF($C285&lt;&gt;0,SUMIF(куб!$C:$C,$C285,куб!J:J),IF($B285&lt;&gt;0,SUMIF(куб!$B:$B,$B285,куб!J:J))))))</f>
        <v>0</v>
      </c>
      <c r="Q285" s="27" t="b">
        <f>IF($G285&lt;&gt;0,SUMIF(куб!$G:$G,$G285,куб!K:K),IF($E285&lt;&gt;0,SUMIF(куб!$E:$E,$E285,куб!K:K),IF($D285&lt;&gt;0,SUMIF(куб!$D:$D,$D285,куб!K:K),IF($C285&lt;&gt;0,SUMIF(куб!$C:$C,$C285,куб!K:K),IF($B285&lt;&gt;0,SUMIF(куб!$B:$B,$B285,куб!K:K))))))</f>
        <v>0</v>
      </c>
      <c r="R285" s="13" t="str">
        <f t="shared" si="91"/>
        <v>-</v>
      </c>
      <c r="S285" s="5"/>
      <c r="T285" s="27" t="b">
        <f>IF($G285&lt;&gt;0,SUMIF(куб!$G:$G,$G285,куб!L:L),IF($E285&lt;&gt;0,SUMIF(куб!$E:$E,$E285,куб!L:L),IF($D285&lt;&gt;0,SUMIF(куб!$D:$D,$D285,куб!L:L),IF($C285&lt;&gt;0,SUMIF(куб!$C:$C,$C285,куб!L:L),IF($B285&lt;&gt;0,SUMIF(куб!$B:$B,$B285,куб!L:L))))))</f>
        <v>0</v>
      </c>
      <c r="U285" s="27" t="b">
        <f>IF($G285&lt;&gt;0,SUMIF(куб!$G:$G,$G285,куб!M:M),IF($E285&lt;&gt;0,SUMIF(куб!$E:$E,$E285,куб!M:M),IF($D285&lt;&gt;0,SUMIF(куб!$D:$D,$D285,куб!M:M),IF($C285&lt;&gt;0,SUMIF(куб!$C:$C,$C285,куб!M:M),IF($B285&lt;&gt;0,SUMIF(куб!$B:$B,$B285,куб!M:M))))))</f>
        <v>0</v>
      </c>
      <c r="V285" s="13" t="str">
        <f t="shared" si="92"/>
        <v>-</v>
      </c>
      <c r="W285" s="5"/>
      <c r="X285" s="27" t="b">
        <f>IF($G285&lt;&gt;0,SUMIF(куб!$G:$G,$G285,куб!N:N),IF($E285&lt;&gt;0,SUMIF(куб!$E:$E,$E285,куб!N:N),IF($D285&lt;&gt;0,SUMIF(куб!$D:$D,$D285,куб!N:N),IF($C285&lt;&gt;0,SUMIF(куб!$C:$C,$C285,куб!N:N),IF($B285&lt;&gt;0,SUMIF(куб!$B:$B,$B285,куб!N:N))))))</f>
        <v>0</v>
      </c>
      <c r="Y285" s="27" t="b">
        <f>IF($G285&lt;&gt;0,SUMIF(куб!$G:$G,$G285,куб!O:O),IF($E285&lt;&gt;0,SUMIF(куб!$E:$E,$E285,куб!O:O),IF($D285&lt;&gt;0,SUMIF(куб!$D:$D,$D285,куб!O:O),IF($C285&lt;&gt;0,SUMIF(куб!$C:$C,$C285,куб!O:O),IF($B285&lt;&gt;0,SUMIF(куб!$B:$B,$B285,куб!O:O))))))</f>
        <v>0</v>
      </c>
      <c r="Z285" s="13" t="str">
        <f t="shared" si="93"/>
        <v>-</v>
      </c>
      <c r="AA285" s="5"/>
      <c r="AB285" s="33" t="str">
        <f t="shared" si="104"/>
        <v/>
      </c>
      <c r="AC285" s="33" t="str">
        <f t="shared" si="105"/>
        <v/>
      </c>
      <c r="AD285" s="15" t="str">
        <f t="shared" si="106"/>
        <v xml:space="preserve"> </v>
      </c>
      <c r="AE285" s="5"/>
      <c r="AF285" s="27" t="b">
        <f>IF($G285&lt;&gt;0,SUMIF(куб!$G:$G,$G285,куб!R:R),IF($E285&lt;&gt;0,SUMIF(куб!$E:$E,$E285,куб!R:R),IF($D285&lt;&gt;0,SUMIF(куб!$D:$D,$D285,куб!R:R),IF($C285&lt;&gt;0,SUMIF(куб!$C:$C,$C285,куб!R:R),IF($B285&lt;&gt;0,SUMIF(куб!$B:$B,$B285,куб!R:R))))))</f>
        <v>0</v>
      </c>
      <c r="AG285" s="27" t="b">
        <f>IF($G285&lt;&gt;0,SUMIF(куб!$G:$G,$G285,куб!S:S),IF($E285&lt;&gt;0,SUMIF(куб!$E:$E,$E285,куб!S:S),IF($D285&lt;&gt;0,SUMIF(куб!$D:$D,$D285,куб!S:S),IF($C285&lt;&gt;0,SUMIF(куб!$C:$C,$C285,куб!S:S),IF($B285&lt;&gt;0,SUMIF(куб!$B:$B,$B285,куб!S:S))))))</f>
        <v>0</v>
      </c>
      <c r="AH285" s="16" t="str">
        <f t="shared" si="96"/>
        <v>-</v>
      </c>
      <c r="AI285" s="8"/>
      <c r="AJ285" s="27" t="b">
        <f>IF($G285&lt;&gt;0,SUMIF(куб!$G:$G,$G285,куб!T:T),IF($E285&lt;&gt;0,SUMIF(куб!$E:$E,$E285,куб!T:T),IF($D285&lt;&gt;0,SUMIF(куб!$D:$D,$D285,куб!T:T),IF($C285&lt;&gt;0,SUMIF(куб!$C:$C,$C285,куб!T:T),IF($B285&lt;&gt;0,SUMIF(куб!$B:$B,$B285,куб!T:T))))))</f>
        <v>0</v>
      </c>
      <c r="AK285" s="27" t="b">
        <f>IF($G285&lt;&gt;0,SUMIF(куб!$G:$G,$G285,куб!U:U),IF($E285&lt;&gt;0,SUMIF(куб!$E:$E,$E285,куб!U:U),IF($D285&lt;&gt;0,SUMIF(куб!$D:$D,$D285,куб!U:U),IF($C285&lt;&gt;0,SUMIF(куб!$C:$C,$C285,куб!U:U),IF($B285&lt;&gt;0,SUMIF(куб!$B:$B,$B285,куб!U:U))))))</f>
        <v>0</v>
      </c>
      <c r="AL285" s="16" t="str">
        <f t="shared" si="97"/>
        <v>-</v>
      </c>
      <c r="AM285" s="8"/>
      <c r="AN285" s="17" t="str">
        <f t="shared" si="98"/>
        <v xml:space="preserve"> </v>
      </c>
      <c r="AO285" s="17" t="str">
        <f t="shared" si="99"/>
        <v xml:space="preserve"> </v>
      </c>
      <c r="AP285" s="16" t="str">
        <f t="shared" si="100"/>
        <v>-</v>
      </c>
      <c r="AQ285" s="8"/>
      <c r="AR285" s="17" t="str">
        <f t="shared" si="101"/>
        <v>-</v>
      </c>
      <c r="AS285" s="17" t="str">
        <f t="shared" si="102"/>
        <v>-</v>
      </c>
      <c r="AT285" s="13" t="str">
        <f t="shared" si="103"/>
        <v>-</v>
      </c>
      <c r="AU285" s="8"/>
    </row>
    <row r="286" spans="1:47" ht="15" customHeight="1" x14ac:dyDescent="0.25">
      <c r="A286" s="31"/>
      <c r="B286" s="31"/>
      <c r="C286"/>
      <c r="D286" s="31"/>
      <c r="E286"/>
      <c r="F286" s="31"/>
      <c r="G286"/>
      <c r="H286" s="27">
        <f>IF($G286&lt;&gt;0,SUMIF(куб!$G:$G,$G286,куб!H:H),IF($E286&lt;&gt;0,SUMIF(куб!$E:$E,$E286,куб!H:H),IF($D286&lt;&gt;0,SUMIF(куб!$D:$D,$D286,куб!H:H),IF($C286&lt;&gt;0,SUMIF(куб!$C:$C,$C286,куб!H:H),IF($B286&lt;&gt;0,SUMIF(куб!$B:$B,$B286,куб!H:H),IF($G286&lt;&gt;0,SUMIF(куб!$A:$A,$G286,куб!H:H),SUMIF(куб!$A:$A,$G286,куб!H:H)))))))</f>
        <v>0</v>
      </c>
      <c r="I286" s="27">
        <f>IF($G286&lt;&gt;0,SUMIF(куб!$G:$G,$G286,куб!I:I),IF($E286&lt;&gt;0,SUMIF(куб!$E:$E,$E286,куб!I:I),IF($D286&lt;&gt;0,SUMIF(куб!$D:$D,$D286,куб!I:I),IF($C286&lt;&gt;0,SUMIF(куб!$C:$C,$C286,куб!I:I),IF($B286&lt;&gt;0,SUMIF(куб!$B:$B,$B286,куб!I:I),IF($G286&lt;&gt;0,SUMIF(куб!$A:$A,$G286,куб!I:I),SUMIF(куб!$A:$A,$G286,куб!I:I)))))))</f>
        <v>0</v>
      </c>
      <c r="J286" s="19" t="str">
        <f t="shared" si="107"/>
        <v>-</v>
      </c>
      <c r="K286" s="8"/>
      <c r="L286" s="17">
        <f t="shared" si="88"/>
        <v>0</v>
      </c>
      <c r="M286" s="17">
        <f t="shared" si="89"/>
        <v>0</v>
      </c>
      <c r="N286" s="12">
        <f t="shared" si="90"/>
        <v>0</v>
      </c>
      <c r="O286" s="5"/>
      <c r="P286" s="27" t="b">
        <f>IF($G286&lt;&gt;0,SUMIF(куб!$G:$G,$G286,куб!J:J),IF($E286&lt;&gt;0,SUMIF(куб!$E:$E,$E286,куб!J:J),IF($D286&lt;&gt;0,SUMIF(куб!$D:$D,$D286,куб!J:J),IF($C286&lt;&gt;0,SUMIF(куб!$C:$C,$C286,куб!J:J),IF($B286&lt;&gt;0,SUMIF(куб!$B:$B,$B286,куб!J:J))))))</f>
        <v>0</v>
      </c>
      <c r="Q286" s="27" t="b">
        <f>IF($G286&lt;&gt;0,SUMIF(куб!$G:$G,$G286,куб!K:K),IF($E286&lt;&gt;0,SUMIF(куб!$E:$E,$E286,куб!K:K),IF($D286&lt;&gt;0,SUMIF(куб!$D:$D,$D286,куб!K:K),IF($C286&lt;&gt;0,SUMIF(куб!$C:$C,$C286,куб!K:K),IF($B286&lt;&gt;0,SUMIF(куб!$B:$B,$B286,куб!K:K))))))</f>
        <v>0</v>
      </c>
      <c r="R286" s="13" t="str">
        <f t="shared" si="91"/>
        <v>-</v>
      </c>
      <c r="S286" s="5"/>
      <c r="T286" s="27" t="b">
        <f>IF($G286&lt;&gt;0,SUMIF(куб!$G:$G,$G286,куб!L:L),IF($E286&lt;&gt;0,SUMIF(куб!$E:$E,$E286,куб!L:L),IF($D286&lt;&gt;0,SUMIF(куб!$D:$D,$D286,куб!L:L),IF($C286&lt;&gt;0,SUMIF(куб!$C:$C,$C286,куб!L:L),IF($B286&lt;&gt;0,SUMIF(куб!$B:$B,$B286,куб!L:L))))))</f>
        <v>0</v>
      </c>
      <c r="U286" s="27" t="b">
        <f>IF($G286&lt;&gt;0,SUMIF(куб!$G:$G,$G286,куб!M:M),IF($E286&lt;&gt;0,SUMIF(куб!$E:$E,$E286,куб!M:M),IF($D286&lt;&gt;0,SUMIF(куб!$D:$D,$D286,куб!M:M),IF($C286&lt;&gt;0,SUMIF(куб!$C:$C,$C286,куб!M:M),IF($B286&lt;&gt;0,SUMIF(куб!$B:$B,$B286,куб!M:M))))))</f>
        <v>0</v>
      </c>
      <c r="V286" s="13" t="str">
        <f t="shared" si="92"/>
        <v>-</v>
      </c>
      <c r="W286" s="5"/>
      <c r="X286" s="27" t="b">
        <f>IF($G286&lt;&gt;0,SUMIF(куб!$G:$G,$G286,куб!N:N),IF($E286&lt;&gt;0,SUMIF(куб!$E:$E,$E286,куб!N:N),IF($D286&lt;&gt;0,SUMIF(куб!$D:$D,$D286,куб!N:N),IF($C286&lt;&gt;0,SUMIF(куб!$C:$C,$C286,куб!N:N),IF($B286&lt;&gt;0,SUMIF(куб!$B:$B,$B286,куб!N:N))))))</f>
        <v>0</v>
      </c>
      <c r="Y286" s="27" t="b">
        <f>IF($G286&lt;&gt;0,SUMIF(куб!$G:$G,$G286,куб!O:O),IF($E286&lt;&gt;0,SUMIF(куб!$E:$E,$E286,куб!O:O),IF($D286&lt;&gt;0,SUMIF(куб!$D:$D,$D286,куб!O:O),IF($C286&lt;&gt;0,SUMIF(куб!$C:$C,$C286,куб!O:O),IF($B286&lt;&gt;0,SUMIF(куб!$B:$B,$B286,куб!O:O))))))</f>
        <v>0</v>
      </c>
      <c r="Z286" s="13" t="str">
        <f t="shared" si="93"/>
        <v>-</v>
      </c>
      <c r="AA286" s="5"/>
      <c r="AB286" s="33" t="str">
        <f t="shared" si="104"/>
        <v/>
      </c>
      <c r="AC286" s="33" t="str">
        <f t="shared" si="105"/>
        <v/>
      </c>
      <c r="AD286" s="15" t="str">
        <f t="shared" si="106"/>
        <v xml:space="preserve"> </v>
      </c>
      <c r="AE286" s="5"/>
      <c r="AF286" s="27" t="b">
        <f>IF($G286&lt;&gt;0,SUMIF(куб!$G:$G,$G286,куб!R:R),IF($E286&lt;&gt;0,SUMIF(куб!$E:$E,$E286,куб!R:R),IF($D286&lt;&gt;0,SUMIF(куб!$D:$D,$D286,куб!R:R),IF($C286&lt;&gt;0,SUMIF(куб!$C:$C,$C286,куб!R:R),IF($B286&lt;&gt;0,SUMIF(куб!$B:$B,$B286,куб!R:R))))))</f>
        <v>0</v>
      </c>
      <c r="AG286" s="27" t="b">
        <f>IF($G286&lt;&gt;0,SUMIF(куб!$G:$G,$G286,куб!S:S),IF($E286&lt;&gt;0,SUMIF(куб!$E:$E,$E286,куб!S:S),IF($D286&lt;&gt;0,SUMIF(куб!$D:$D,$D286,куб!S:S),IF($C286&lt;&gt;0,SUMIF(куб!$C:$C,$C286,куб!S:S),IF($B286&lt;&gt;0,SUMIF(куб!$B:$B,$B286,куб!S:S))))))</f>
        <v>0</v>
      </c>
      <c r="AH286" s="16" t="str">
        <f t="shared" si="96"/>
        <v>-</v>
      </c>
      <c r="AI286" s="8"/>
      <c r="AJ286" s="27" t="b">
        <f>IF($G286&lt;&gt;0,SUMIF(куб!$G:$G,$G286,куб!T:T),IF($E286&lt;&gt;0,SUMIF(куб!$E:$E,$E286,куб!T:T),IF($D286&lt;&gt;0,SUMIF(куб!$D:$D,$D286,куб!T:T),IF($C286&lt;&gt;0,SUMIF(куб!$C:$C,$C286,куб!T:T),IF($B286&lt;&gt;0,SUMIF(куб!$B:$B,$B286,куб!T:T))))))</f>
        <v>0</v>
      </c>
      <c r="AK286" s="27" t="b">
        <f>IF($G286&lt;&gt;0,SUMIF(куб!$G:$G,$G286,куб!U:U),IF($E286&lt;&gt;0,SUMIF(куб!$E:$E,$E286,куб!U:U),IF($D286&lt;&gt;0,SUMIF(куб!$D:$D,$D286,куб!U:U),IF($C286&lt;&gt;0,SUMIF(куб!$C:$C,$C286,куб!U:U),IF($B286&lt;&gt;0,SUMIF(куб!$B:$B,$B286,куб!U:U))))))</f>
        <v>0</v>
      </c>
      <c r="AL286" s="16" t="str">
        <f t="shared" si="97"/>
        <v>-</v>
      </c>
      <c r="AM286" s="8"/>
      <c r="AN286" s="17" t="str">
        <f t="shared" si="98"/>
        <v xml:space="preserve"> </v>
      </c>
      <c r="AO286" s="17" t="str">
        <f t="shared" si="99"/>
        <v xml:space="preserve"> </v>
      </c>
      <c r="AP286" s="16" t="str">
        <f t="shared" si="100"/>
        <v>-</v>
      </c>
      <c r="AQ286" s="8"/>
      <c r="AR286" s="17" t="str">
        <f t="shared" si="101"/>
        <v>-</v>
      </c>
      <c r="AS286" s="17" t="str">
        <f t="shared" si="102"/>
        <v>-</v>
      </c>
      <c r="AT286" s="13" t="str">
        <f t="shared" si="103"/>
        <v>-</v>
      </c>
      <c r="AU286" s="8"/>
    </row>
    <row r="287" spans="1:47" ht="15" customHeight="1" x14ac:dyDescent="0.25">
      <c r="A287" s="31"/>
      <c r="B287" s="31"/>
      <c r="C287"/>
      <c r="D287" s="31"/>
      <c r="E287"/>
      <c r="F287" s="31"/>
      <c r="G287"/>
      <c r="H287" s="27">
        <f>IF($G287&lt;&gt;0,SUMIF(куб!$G:$G,$G287,куб!H:H),IF($E287&lt;&gt;0,SUMIF(куб!$E:$E,$E287,куб!H:H),IF($D287&lt;&gt;0,SUMIF(куб!$D:$D,$D287,куб!H:H),IF($C287&lt;&gt;0,SUMIF(куб!$C:$C,$C287,куб!H:H),IF($B287&lt;&gt;0,SUMIF(куб!$B:$B,$B287,куб!H:H),IF($G287&lt;&gt;0,SUMIF(куб!$A:$A,$G287,куб!H:H),SUMIF(куб!$A:$A,$G287,куб!H:H)))))))</f>
        <v>0</v>
      </c>
      <c r="I287" s="27">
        <f>IF($G287&lt;&gt;0,SUMIF(куб!$G:$G,$G287,куб!I:I),IF($E287&lt;&gt;0,SUMIF(куб!$E:$E,$E287,куб!I:I),IF($D287&lt;&gt;0,SUMIF(куб!$D:$D,$D287,куб!I:I),IF($C287&lt;&gt;0,SUMIF(куб!$C:$C,$C287,куб!I:I),IF($B287&lt;&gt;0,SUMIF(куб!$B:$B,$B287,куб!I:I),IF($G287&lt;&gt;0,SUMIF(куб!$A:$A,$G287,куб!I:I),SUMIF(куб!$A:$A,$G287,куб!I:I)))))))</f>
        <v>0</v>
      </c>
      <c r="J287" s="19" t="str">
        <f t="shared" si="107"/>
        <v>-</v>
      </c>
      <c r="K287" s="10"/>
      <c r="L287" s="17">
        <f t="shared" si="88"/>
        <v>0</v>
      </c>
      <c r="M287" s="17">
        <f t="shared" si="89"/>
        <v>0</v>
      </c>
      <c r="N287" s="12">
        <f t="shared" si="90"/>
        <v>0</v>
      </c>
      <c r="O287" s="5"/>
      <c r="P287" s="27" t="b">
        <f>IF($G287&lt;&gt;0,SUMIF(куб!$G:$G,$G287,куб!J:J),IF($E287&lt;&gt;0,SUMIF(куб!$E:$E,$E287,куб!J:J),IF($D287&lt;&gt;0,SUMIF(куб!$D:$D,$D287,куб!J:J),IF($C287&lt;&gt;0,SUMIF(куб!$C:$C,$C287,куб!J:J),IF($B287&lt;&gt;0,SUMIF(куб!$B:$B,$B287,куб!J:J))))))</f>
        <v>0</v>
      </c>
      <c r="Q287" s="27" t="b">
        <f>IF($G287&lt;&gt;0,SUMIF(куб!$G:$G,$G287,куб!K:K),IF($E287&lt;&gt;0,SUMIF(куб!$E:$E,$E287,куб!K:K),IF($D287&lt;&gt;0,SUMIF(куб!$D:$D,$D287,куб!K:K),IF($C287&lt;&gt;0,SUMIF(куб!$C:$C,$C287,куб!K:K),IF($B287&lt;&gt;0,SUMIF(куб!$B:$B,$B287,куб!K:K))))))</f>
        <v>0</v>
      </c>
      <c r="R287" s="13" t="str">
        <f t="shared" si="91"/>
        <v>-</v>
      </c>
      <c r="S287" s="5"/>
      <c r="T287" s="27" t="b">
        <f>IF($G287&lt;&gt;0,SUMIF(куб!$G:$G,$G287,куб!L:L),IF($E287&lt;&gt;0,SUMIF(куб!$E:$E,$E287,куб!L:L),IF($D287&lt;&gt;0,SUMIF(куб!$D:$D,$D287,куб!L:L),IF($C287&lt;&gt;0,SUMIF(куб!$C:$C,$C287,куб!L:L),IF($B287&lt;&gt;0,SUMIF(куб!$B:$B,$B287,куб!L:L))))))</f>
        <v>0</v>
      </c>
      <c r="U287" s="27" t="b">
        <f>IF($G287&lt;&gt;0,SUMIF(куб!$G:$G,$G287,куб!M:M),IF($E287&lt;&gt;0,SUMIF(куб!$E:$E,$E287,куб!M:M),IF($D287&lt;&gt;0,SUMIF(куб!$D:$D,$D287,куб!M:M),IF($C287&lt;&gt;0,SUMIF(куб!$C:$C,$C287,куб!M:M),IF($B287&lt;&gt;0,SUMIF(куб!$B:$B,$B287,куб!M:M))))))</f>
        <v>0</v>
      </c>
      <c r="V287" s="13" t="str">
        <f t="shared" si="92"/>
        <v>-</v>
      </c>
      <c r="W287" s="5"/>
      <c r="X287" s="27" t="b">
        <f>IF($G287&lt;&gt;0,SUMIF(куб!$G:$G,$G287,куб!N:N),IF($E287&lt;&gt;0,SUMIF(куб!$E:$E,$E287,куб!N:N),IF($D287&lt;&gt;0,SUMIF(куб!$D:$D,$D287,куб!N:N),IF($C287&lt;&gt;0,SUMIF(куб!$C:$C,$C287,куб!N:N),IF($B287&lt;&gt;0,SUMIF(куб!$B:$B,$B287,куб!N:N))))))</f>
        <v>0</v>
      </c>
      <c r="Y287" s="27" t="b">
        <f>IF($G287&lt;&gt;0,SUMIF(куб!$G:$G,$G287,куб!O:O),IF($E287&lt;&gt;0,SUMIF(куб!$E:$E,$E287,куб!O:O),IF($D287&lt;&gt;0,SUMIF(куб!$D:$D,$D287,куб!O:O),IF($C287&lt;&gt;0,SUMIF(куб!$C:$C,$C287,куб!O:O),IF($B287&lt;&gt;0,SUMIF(куб!$B:$B,$B287,куб!O:O))))))</f>
        <v>0</v>
      </c>
      <c r="Z287" s="13" t="str">
        <f t="shared" si="93"/>
        <v>-</v>
      </c>
      <c r="AA287" s="5"/>
      <c r="AB287" s="33" t="str">
        <f t="shared" si="104"/>
        <v/>
      </c>
      <c r="AC287" s="33" t="str">
        <f t="shared" si="105"/>
        <v/>
      </c>
      <c r="AD287" s="15" t="str">
        <f t="shared" si="106"/>
        <v xml:space="preserve"> </v>
      </c>
      <c r="AE287" s="5"/>
      <c r="AF287" s="27" t="b">
        <f>IF($G287&lt;&gt;0,SUMIF(куб!$G:$G,$G287,куб!R:R),IF($E287&lt;&gt;0,SUMIF(куб!$E:$E,$E287,куб!R:R),IF($D287&lt;&gt;0,SUMIF(куб!$D:$D,$D287,куб!R:R),IF($C287&lt;&gt;0,SUMIF(куб!$C:$C,$C287,куб!R:R),IF($B287&lt;&gt;0,SUMIF(куб!$B:$B,$B287,куб!R:R))))))</f>
        <v>0</v>
      </c>
      <c r="AG287" s="27" t="b">
        <f>IF($G287&lt;&gt;0,SUMIF(куб!$G:$G,$G287,куб!S:S),IF($E287&lt;&gt;0,SUMIF(куб!$E:$E,$E287,куб!S:S),IF($D287&lt;&gt;0,SUMIF(куб!$D:$D,$D287,куб!S:S),IF($C287&lt;&gt;0,SUMIF(куб!$C:$C,$C287,куб!S:S),IF($B287&lt;&gt;0,SUMIF(куб!$B:$B,$B287,куб!S:S))))))</f>
        <v>0</v>
      </c>
      <c r="AH287" s="16" t="str">
        <f t="shared" si="96"/>
        <v>-</v>
      </c>
      <c r="AI287" s="8"/>
      <c r="AJ287" s="27" t="b">
        <f>IF($G287&lt;&gt;0,SUMIF(куб!$G:$G,$G287,куб!T:T),IF($E287&lt;&gt;0,SUMIF(куб!$E:$E,$E287,куб!T:T),IF($D287&lt;&gt;0,SUMIF(куб!$D:$D,$D287,куб!T:T),IF($C287&lt;&gt;0,SUMIF(куб!$C:$C,$C287,куб!T:T),IF($B287&lt;&gt;0,SUMIF(куб!$B:$B,$B287,куб!T:T))))))</f>
        <v>0</v>
      </c>
      <c r="AK287" s="27" t="b">
        <f>IF($G287&lt;&gt;0,SUMIF(куб!$G:$G,$G287,куб!U:U),IF($E287&lt;&gt;0,SUMIF(куб!$E:$E,$E287,куб!U:U),IF($D287&lt;&gt;0,SUMIF(куб!$D:$D,$D287,куб!U:U),IF($C287&lt;&gt;0,SUMIF(куб!$C:$C,$C287,куб!U:U),IF($B287&lt;&gt;0,SUMIF(куб!$B:$B,$B287,куб!U:U))))))</f>
        <v>0</v>
      </c>
      <c r="AL287" s="16" t="str">
        <f t="shared" si="97"/>
        <v>-</v>
      </c>
      <c r="AM287" s="8"/>
      <c r="AN287" s="17" t="str">
        <f t="shared" si="98"/>
        <v xml:space="preserve"> </v>
      </c>
      <c r="AO287" s="17" t="str">
        <f t="shared" si="99"/>
        <v xml:space="preserve"> </v>
      </c>
      <c r="AP287" s="16" t="str">
        <f t="shared" si="100"/>
        <v>-</v>
      </c>
      <c r="AQ287" s="8"/>
      <c r="AR287" s="17" t="str">
        <f t="shared" si="101"/>
        <v>-</v>
      </c>
      <c r="AS287" s="17" t="str">
        <f t="shared" si="102"/>
        <v>-</v>
      </c>
      <c r="AT287" s="13" t="str">
        <f t="shared" si="103"/>
        <v>-</v>
      </c>
      <c r="AU287" s="8"/>
    </row>
    <row r="288" spans="1:47" ht="15" customHeight="1" x14ac:dyDescent="0.25">
      <c r="A288" s="31"/>
      <c r="B288" s="31"/>
      <c r="C288"/>
      <c r="D288" s="31"/>
      <c r="E288"/>
      <c r="F288" s="31"/>
      <c r="G288"/>
      <c r="H288" s="27">
        <f>IF($G288&lt;&gt;0,SUMIF(куб!$G:$G,$G288,куб!H:H),IF($E288&lt;&gt;0,SUMIF(куб!$E:$E,$E288,куб!H:H),IF($D288&lt;&gt;0,SUMIF(куб!$D:$D,$D288,куб!H:H),IF($C288&lt;&gt;0,SUMIF(куб!$C:$C,$C288,куб!H:H),IF($B288&lt;&gt;0,SUMIF(куб!$B:$B,$B288,куб!H:H),IF($G288&lt;&gt;0,SUMIF(куб!$A:$A,$G288,куб!H:H),SUMIF(куб!$A:$A,$G288,куб!H:H)))))))</f>
        <v>0</v>
      </c>
      <c r="I288" s="27">
        <f>IF($G288&lt;&gt;0,SUMIF(куб!$G:$G,$G288,куб!I:I),IF($E288&lt;&gt;0,SUMIF(куб!$E:$E,$E288,куб!I:I),IF($D288&lt;&gt;0,SUMIF(куб!$D:$D,$D288,куб!I:I),IF($C288&lt;&gt;0,SUMIF(куб!$C:$C,$C288,куб!I:I),IF($B288&lt;&gt;0,SUMIF(куб!$B:$B,$B288,куб!I:I),IF($G288&lt;&gt;0,SUMIF(куб!$A:$A,$G288,куб!I:I),SUMIF(куб!$A:$A,$G288,куб!I:I)))))))</f>
        <v>0</v>
      </c>
      <c r="J288" s="19" t="str">
        <f t="shared" si="107"/>
        <v>-</v>
      </c>
      <c r="K288" s="5"/>
      <c r="L288" s="17">
        <f t="shared" si="88"/>
        <v>0</v>
      </c>
      <c r="M288" s="17">
        <f t="shared" si="89"/>
        <v>0</v>
      </c>
      <c r="N288" s="12">
        <f t="shared" si="90"/>
        <v>0</v>
      </c>
      <c r="O288" s="5"/>
      <c r="P288" s="27" t="b">
        <f>IF($G288&lt;&gt;0,SUMIF(куб!$G:$G,$G288,куб!J:J),IF($E288&lt;&gt;0,SUMIF(куб!$E:$E,$E288,куб!J:J),IF($D288&lt;&gt;0,SUMIF(куб!$D:$D,$D288,куб!J:J),IF($C288&lt;&gt;0,SUMIF(куб!$C:$C,$C288,куб!J:J),IF($B288&lt;&gt;0,SUMIF(куб!$B:$B,$B288,куб!J:J))))))</f>
        <v>0</v>
      </c>
      <c r="Q288" s="27" t="b">
        <f>IF($G288&lt;&gt;0,SUMIF(куб!$G:$G,$G288,куб!K:K),IF($E288&lt;&gt;0,SUMIF(куб!$E:$E,$E288,куб!K:K),IF($D288&lt;&gt;0,SUMIF(куб!$D:$D,$D288,куб!K:K),IF($C288&lt;&gt;0,SUMIF(куб!$C:$C,$C288,куб!K:K),IF($B288&lt;&gt;0,SUMIF(куб!$B:$B,$B288,куб!K:K))))))</f>
        <v>0</v>
      </c>
      <c r="R288" s="13" t="str">
        <f t="shared" si="91"/>
        <v>-</v>
      </c>
      <c r="S288" s="5"/>
      <c r="T288" s="27" t="b">
        <f>IF($G288&lt;&gt;0,SUMIF(куб!$G:$G,$G288,куб!L:L),IF($E288&lt;&gt;0,SUMIF(куб!$E:$E,$E288,куб!L:L),IF($D288&lt;&gt;0,SUMIF(куб!$D:$D,$D288,куб!L:L),IF($C288&lt;&gt;0,SUMIF(куб!$C:$C,$C288,куб!L:L),IF($B288&lt;&gt;0,SUMIF(куб!$B:$B,$B288,куб!L:L))))))</f>
        <v>0</v>
      </c>
      <c r="U288" s="27" t="b">
        <f>IF($G288&lt;&gt;0,SUMIF(куб!$G:$G,$G288,куб!M:M),IF($E288&lt;&gt;0,SUMIF(куб!$E:$E,$E288,куб!M:M),IF($D288&lt;&gt;0,SUMIF(куб!$D:$D,$D288,куб!M:M),IF($C288&lt;&gt;0,SUMIF(куб!$C:$C,$C288,куб!M:M),IF($B288&lt;&gt;0,SUMIF(куб!$B:$B,$B288,куб!M:M))))))</f>
        <v>0</v>
      </c>
      <c r="V288" s="13" t="str">
        <f t="shared" si="92"/>
        <v>-</v>
      </c>
      <c r="W288" s="5"/>
      <c r="X288" s="27" t="b">
        <f>IF($G288&lt;&gt;0,SUMIF(куб!$G:$G,$G288,куб!N:N),IF($E288&lt;&gt;0,SUMIF(куб!$E:$E,$E288,куб!N:N),IF($D288&lt;&gt;0,SUMIF(куб!$D:$D,$D288,куб!N:N),IF($C288&lt;&gt;0,SUMIF(куб!$C:$C,$C288,куб!N:N),IF($B288&lt;&gt;0,SUMIF(куб!$B:$B,$B288,куб!N:N))))))</f>
        <v>0</v>
      </c>
      <c r="Y288" s="27" t="b">
        <f>IF($G288&lt;&gt;0,SUMIF(куб!$G:$G,$G288,куб!O:O),IF($E288&lt;&gt;0,SUMIF(куб!$E:$E,$E288,куб!O:O),IF($D288&lt;&gt;0,SUMIF(куб!$D:$D,$D288,куб!O:O),IF($C288&lt;&gt;0,SUMIF(куб!$C:$C,$C288,куб!O:O),IF($B288&lt;&gt;0,SUMIF(куб!$B:$B,$B288,куб!O:O))))))</f>
        <v>0</v>
      </c>
      <c r="Z288" s="13" t="str">
        <f t="shared" si="93"/>
        <v>-</v>
      </c>
      <c r="AA288" s="5"/>
      <c r="AB288" s="33" t="str">
        <f>IFERROR(X288/H288,"")</f>
        <v/>
      </c>
      <c r="AC288" s="33" t="str">
        <f>IFERROR(Y288/I288,"")</f>
        <v/>
      </c>
      <c r="AD288" s="15" t="str">
        <f>IFERROR(AC288-AB288," ")</f>
        <v xml:space="preserve"> </v>
      </c>
      <c r="AE288" s="5"/>
      <c r="AF288" s="27" t="b">
        <f>IF($G288&lt;&gt;0,SUMIF(куб!$G:$G,$G288,куб!R:R),IF($E288&lt;&gt;0,SUMIF(куб!$E:$E,$E288,куб!R:R),IF($D288&lt;&gt;0,SUMIF(куб!$D:$D,$D288,куб!R:R),IF($C288&lt;&gt;0,SUMIF(куб!$C:$C,$C288,куб!R:R),IF($B288&lt;&gt;0,SUMIF(куб!$B:$B,$B288,куб!R:R))))))</f>
        <v>0</v>
      </c>
      <c r="AG288" s="27" t="b">
        <f>IF($G288&lt;&gt;0,SUMIF(куб!$G:$G,$G288,куб!S:S),IF($E288&lt;&gt;0,SUMIF(куб!$E:$E,$E288,куб!S:S),IF($D288&lt;&gt;0,SUMIF(куб!$D:$D,$D288,куб!S:S),IF($C288&lt;&gt;0,SUMIF(куб!$C:$C,$C288,куб!S:S),IF($B288&lt;&gt;0,SUMIF(куб!$B:$B,$B288,куб!S:S))))))</f>
        <v>0</v>
      </c>
      <c r="AH288" s="16" t="str">
        <f t="shared" si="96"/>
        <v>-</v>
      </c>
      <c r="AI288" s="8"/>
      <c r="AJ288" s="27" t="b">
        <f>IF($G288&lt;&gt;0,SUMIF(куб!$G:$G,$G288,куб!T:T),IF($E288&lt;&gt;0,SUMIF(куб!$E:$E,$E288,куб!T:T),IF($D288&lt;&gt;0,SUMIF(куб!$D:$D,$D288,куб!T:T),IF($C288&lt;&gt;0,SUMIF(куб!$C:$C,$C288,куб!T:T),IF($B288&lt;&gt;0,SUMIF(куб!$B:$B,$B288,куб!T:T))))))</f>
        <v>0</v>
      </c>
      <c r="AK288" s="27" t="b">
        <f>IF($G288&lt;&gt;0,SUMIF(куб!$G:$G,$G288,куб!U:U),IF($E288&lt;&gt;0,SUMIF(куб!$E:$E,$E288,куб!U:U),IF($D288&lt;&gt;0,SUMIF(куб!$D:$D,$D288,куб!U:U),IF($C288&lt;&gt;0,SUMIF(куб!$C:$C,$C288,куб!U:U),IF($B288&lt;&gt;0,SUMIF(куб!$B:$B,$B288,куб!U:U))))))</f>
        <v>0</v>
      </c>
      <c r="AL288" s="16" t="str">
        <f t="shared" si="97"/>
        <v>-</v>
      </c>
      <c r="AM288" s="8"/>
      <c r="AN288" s="17" t="str">
        <f t="shared" si="98"/>
        <v xml:space="preserve"> </v>
      </c>
      <c r="AO288" s="17" t="str">
        <f t="shared" si="99"/>
        <v xml:space="preserve"> </v>
      </c>
      <c r="AP288" s="16" t="str">
        <f t="shared" si="100"/>
        <v>-</v>
      </c>
      <c r="AQ288" s="8"/>
      <c r="AR288" s="17" t="str">
        <f t="shared" si="101"/>
        <v>-</v>
      </c>
      <c r="AS288" s="17" t="str">
        <f t="shared" si="102"/>
        <v>-</v>
      </c>
      <c r="AT288" s="13" t="str">
        <f t="shared" si="103"/>
        <v>-</v>
      </c>
      <c r="AU288" s="8"/>
    </row>
    <row r="289" spans="1:47" ht="15" customHeight="1" x14ac:dyDescent="0.25">
      <c r="A289" s="31"/>
      <c r="B289" s="31"/>
      <c r="C289"/>
      <c r="D289" s="31"/>
      <c r="E289"/>
      <c r="F289" s="31"/>
      <c r="G289"/>
      <c r="H289" s="27">
        <f>IF($G289&lt;&gt;0,SUMIF(куб!$G:$G,$G289,куб!H:H),IF($E289&lt;&gt;0,SUMIF(куб!$E:$E,$E289,куб!H:H),IF($D289&lt;&gt;0,SUMIF(куб!$D:$D,$D289,куб!H:H),IF($C289&lt;&gt;0,SUMIF(куб!$C:$C,$C289,куб!H:H),IF($B289&lt;&gt;0,SUMIF(куб!$B:$B,$B289,куб!H:H),IF($G289&lt;&gt;0,SUMIF(куб!$A:$A,$G289,куб!H:H),SUMIF(куб!$A:$A,$G289,куб!H:H)))))))</f>
        <v>0</v>
      </c>
      <c r="I289" s="27">
        <f>IF($G289&lt;&gt;0,SUMIF(куб!$G:$G,$G289,куб!I:I),IF($E289&lt;&gt;0,SUMIF(куб!$E:$E,$E289,куб!I:I),IF($D289&lt;&gt;0,SUMIF(куб!$D:$D,$D289,куб!I:I),IF($C289&lt;&gt;0,SUMIF(куб!$C:$C,$C289,куб!I:I),IF($B289&lt;&gt;0,SUMIF(куб!$B:$B,$B289,куб!I:I),IF($G289&lt;&gt;0,SUMIF(куб!$A:$A,$G289,куб!I:I),SUMIF(куб!$A:$A,$G289,куб!I:I)))))))</f>
        <v>0</v>
      </c>
      <c r="J289" s="19" t="str">
        <f t="shared" si="107"/>
        <v>-</v>
      </c>
      <c r="K289" s="5"/>
      <c r="L289" s="17">
        <f t="shared" si="88"/>
        <v>0</v>
      </c>
      <c r="M289" s="17">
        <f t="shared" si="89"/>
        <v>0</v>
      </c>
      <c r="N289" s="12">
        <f t="shared" si="90"/>
        <v>0</v>
      </c>
      <c r="O289" s="5"/>
      <c r="P289" s="27" t="b">
        <f>IF($G289&lt;&gt;0,SUMIF(куб!$G:$G,$G289,куб!J:J),IF($E289&lt;&gt;0,SUMIF(куб!$E:$E,$E289,куб!J:J),IF($D289&lt;&gt;0,SUMIF(куб!$D:$D,$D289,куб!J:J),IF($C289&lt;&gt;0,SUMIF(куб!$C:$C,$C289,куб!J:J),IF($B289&lt;&gt;0,SUMIF(куб!$B:$B,$B289,куб!J:J))))))</f>
        <v>0</v>
      </c>
      <c r="Q289" s="27" t="b">
        <f>IF($G289&lt;&gt;0,SUMIF(куб!$G:$G,$G289,куб!K:K),IF($E289&lt;&gt;0,SUMIF(куб!$E:$E,$E289,куб!K:K),IF($D289&lt;&gt;0,SUMIF(куб!$D:$D,$D289,куб!K:K),IF($C289&lt;&gt;0,SUMIF(куб!$C:$C,$C289,куб!K:K),IF($B289&lt;&gt;0,SUMIF(куб!$B:$B,$B289,куб!K:K))))))</f>
        <v>0</v>
      </c>
      <c r="R289" s="13" t="str">
        <f t="shared" si="91"/>
        <v>-</v>
      </c>
      <c r="S289" s="5"/>
      <c r="T289" s="27" t="b">
        <f>IF($G289&lt;&gt;0,SUMIF(куб!$G:$G,$G289,куб!L:L),IF($E289&lt;&gt;0,SUMIF(куб!$E:$E,$E289,куб!L:L),IF($D289&lt;&gt;0,SUMIF(куб!$D:$D,$D289,куб!L:L),IF($C289&lt;&gt;0,SUMIF(куб!$C:$C,$C289,куб!L:L),IF($B289&lt;&gt;0,SUMIF(куб!$B:$B,$B289,куб!L:L))))))</f>
        <v>0</v>
      </c>
      <c r="U289" s="27" t="b">
        <f>IF($G289&lt;&gt;0,SUMIF(куб!$G:$G,$G289,куб!M:M),IF($E289&lt;&gt;0,SUMIF(куб!$E:$E,$E289,куб!M:M),IF($D289&lt;&gt;0,SUMIF(куб!$D:$D,$D289,куб!M:M),IF($C289&lt;&gt;0,SUMIF(куб!$C:$C,$C289,куб!M:M),IF($B289&lt;&gt;0,SUMIF(куб!$B:$B,$B289,куб!M:M))))))</f>
        <v>0</v>
      </c>
      <c r="V289" s="13" t="str">
        <f t="shared" si="92"/>
        <v>-</v>
      </c>
      <c r="W289" s="5"/>
      <c r="X289" s="27" t="b">
        <f>IF($G289&lt;&gt;0,SUMIF(куб!$G:$G,$G289,куб!N:N),IF($E289&lt;&gt;0,SUMIF(куб!$E:$E,$E289,куб!N:N),IF($D289&lt;&gt;0,SUMIF(куб!$D:$D,$D289,куб!N:N),IF($C289&lt;&gt;0,SUMIF(куб!$C:$C,$C289,куб!N:N),IF($B289&lt;&gt;0,SUMIF(куб!$B:$B,$B289,куб!N:N))))))</f>
        <v>0</v>
      </c>
      <c r="Y289" s="27" t="b">
        <f>IF($G289&lt;&gt;0,SUMIF(куб!$G:$G,$G289,куб!O:O),IF($E289&lt;&gt;0,SUMIF(куб!$E:$E,$E289,куб!O:O),IF($D289&lt;&gt;0,SUMIF(куб!$D:$D,$D289,куб!O:O),IF($C289&lt;&gt;0,SUMIF(куб!$C:$C,$C289,куб!O:O),IF($B289&lt;&gt;0,SUMIF(куб!$B:$B,$B289,куб!O:O))))))</f>
        <v>0</v>
      </c>
      <c r="Z289" s="13" t="str">
        <f t="shared" si="93"/>
        <v>-</v>
      </c>
      <c r="AA289" s="5"/>
      <c r="AB289" s="33" t="str">
        <f t="shared" ref="AB289:AB290" si="108">IFERROR(X289/H289,"")</f>
        <v/>
      </c>
      <c r="AC289" s="33" t="str">
        <f t="shared" ref="AC289:AC290" si="109">IFERROR(Y289/I289,"")</f>
        <v/>
      </c>
      <c r="AD289" s="15" t="str">
        <f t="shared" ref="AD289:AD290" si="110">IFERROR(AC289-AB289," ")</f>
        <v xml:space="preserve"> </v>
      </c>
      <c r="AE289" s="5"/>
      <c r="AF289" s="27" t="b">
        <f>IF($G289&lt;&gt;0,SUMIF(куб!$G:$G,$G289,куб!R:R),IF($E289&lt;&gt;0,SUMIF(куб!$E:$E,$E289,куб!R:R),IF($D289&lt;&gt;0,SUMIF(куб!$D:$D,$D289,куб!R:R),IF($C289&lt;&gt;0,SUMIF(куб!$C:$C,$C289,куб!R:R),IF($B289&lt;&gt;0,SUMIF(куб!$B:$B,$B289,куб!R:R))))))</f>
        <v>0</v>
      </c>
      <c r="AG289" s="27" t="b">
        <f>IF($G289&lt;&gt;0,SUMIF(куб!$G:$G,$G289,куб!S:S),IF($E289&lt;&gt;0,SUMIF(куб!$E:$E,$E289,куб!S:S),IF($D289&lt;&gt;0,SUMIF(куб!$D:$D,$D289,куб!S:S),IF($C289&lt;&gt;0,SUMIF(куб!$C:$C,$C289,куб!S:S),IF($B289&lt;&gt;0,SUMIF(куб!$B:$B,$B289,куб!S:S))))))</f>
        <v>0</v>
      </c>
      <c r="AH289" s="16" t="str">
        <f t="shared" si="96"/>
        <v>-</v>
      </c>
      <c r="AI289" s="8"/>
      <c r="AJ289" s="27" t="b">
        <f>IF($G289&lt;&gt;0,SUMIF(куб!$G:$G,$G289,куб!T:T),IF($E289&lt;&gt;0,SUMIF(куб!$E:$E,$E289,куб!T:T),IF($D289&lt;&gt;0,SUMIF(куб!$D:$D,$D289,куб!T:T),IF($C289&lt;&gt;0,SUMIF(куб!$C:$C,$C289,куб!T:T),IF($B289&lt;&gt;0,SUMIF(куб!$B:$B,$B289,куб!T:T))))))</f>
        <v>0</v>
      </c>
      <c r="AK289" s="27" t="b">
        <f>IF($G289&lt;&gt;0,SUMIF(куб!$G:$G,$G289,куб!U:U),IF($E289&lt;&gt;0,SUMIF(куб!$E:$E,$E289,куб!U:U),IF($D289&lt;&gt;0,SUMIF(куб!$D:$D,$D289,куб!U:U),IF($C289&lt;&gt;0,SUMIF(куб!$C:$C,$C289,куб!U:U),IF($B289&lt;&gt;0,SUMIF(куб!$B:$B,$B289,куб!U:U))))))</f>
        <v>0</v>
      </c>
      <c r="AL289" s="16" t="str">
        <f t="shared" si="97"/>
        <v>-</v>
      </c>
      <c r="AM289" s="8"/>
      <c r="AN289" s="17" t="str">
        <f t="shared" si="98"/>
        <v xml:space="preserve"> </v>
      </c>
      <c r="AO289" s="17" t="str">
        <f t="shared" si="99"/>
        <v xml:space="preserve"> </v>
      </c>
      <c r="AP289" s="16" t="str">
        <f t="shared" si="100"/>
        <v>-</v>
      </c>
      <c r="AQ289" s="8"/>
      <c r="AR289" s="17" t="str">
        <f t="shared" si="101"/>
        <v>-</v>
      </c>
      <c r="AS289" s="17" t="str">
        <f t="shared" si="102"/>
        <v>-</v>
      </c>
      <c r="AT289" s="13" t="str">
        <f t="shared" si="103"/>
        <v>-</v>
      </c>
      <c r="AU289" s="8"/>
    </row>
    <row r="290" spans="1:47" ht="15" customHeight="1" x14ac:dyDescent="0.25">
      <c r="A290" s="31"/>
      <c r="B290" s="31"/>
      <c r="C290"/>
      <c r="D290" s="31"/>
      <c r="E290"/>
      <c r="F290" s="31"/>
      <c r="G290"/>
      <c r="H290" s="27">
        <f>IF($G290&lt;&gt;0,SUMIF(куб!$G:$G,$G290,куб!H:H),IF($E290&lt;&gt;0,SUMIF(куб!$E:$E,$E290,куб!H:H),IF($D290&lt;&gt;0,SUMIF(куб!$D:$D,$D290,куб!H:H),IF($C290&lt;&gt;0,SUMIF(куб!$C:$C,$C290,куб!H:H),IF($B290&lt;&gt;0,SUMIF(куб!$B:$B,$B290,куб!H:H),IF($G290&lt;&gt;0,SUMIF(куб!$A:$A,$G290,куб!H:H),SUMIF(куб!$A:$A,$G290,куб!H:H)))))))</f>
        <v>0</v>
      </c>
      <c r="I290" s="27">
        <f>IF($G290&lt;&gt;0,SUMIF(куб!$G:$G,$G290,куб!I:I),IF($E290&lt;&gt;0,SUMIF(куб!$E:$E,$E290,куб!I:I),IF($D290&lt;&gt;0,SUMIF(куб!$D:$D,$D290,куб!I:I),IF($C290&lt;&gt;0,SUMIF(куб!$C:$C,$C290,куб!I:I),IF($B290&lt;&gt;0,SUMIF(куб!$B:$B,$B290,куб!I:I),IF($G290&lt;&gt;0,SUMIF(куб!$A:$A,$G290,куб!I:I),SUMIF(куб!$A:$A,$G290,куб!I:I)))))))</f>
        <v>0</v>
      </c>
      <c r="J290" s="19" t="str">
        <f t="shared" si="107"/>
        <v>-</v>
      </c>
      <c r="K290" s="8"/>
      <c r="L290" s="17">
        <f t="shared" si="88"/>
        <v>0</v>
      </c>
      <c r="M290" s="17">
        <f t="shared" si="89"/>
        <v>0</v>
      </c>
      <c r="N290" s="12">
        <f t="shared" si="90"/>
        <v>0</v>
      </c>
      <c r="O290" s="5"/>
      <c r="P290" s="27" t="b">
        <f>IF($G290&lt;&gt;0,SUMIF(куб!$G:$G,$G290,куб!J:J),IF($E290&lt;&gt;0,SUMIF(куб!$E:$E,$E290,куб!J:J),IF($D290&lt;&gt;0,SUMIF(куб!$D:$D,$D290,куб!J:J),IF($C290&lt;&gt;0,SUMIF(куб!$C:$C,$C290,куб!J:J),IF($B290&lt;&gt;0,SUMIF(куб!$B:$B,$B290,куб!J:J))))))</f>
        <v>0</v>
      </c>
      <c r="Q290" s="27" t="b">
        <f>IF($G290&lt;&gt;0,SUMIF(куб!$G:$G,$G290,куб!K:K),IF($E290&lt;&gt;0,SUMIF(куб!$E:$E,$E290,куб!K:K),IF($D290&lt;&gt;0,SUMIF(куб!$D:$D,$D290,куб!K:K),IF($C290&lt;&gt;0,SUMIF(куб!$C:$C,$C290,куб!K:K),IF($B290&lt;&gt;0,SUMIF(куб!$B:$B,$B290,куб!K:K))))))</f>
        <v>0</v>
      </c>
      <c r="R290" s="13" t="str">
        <f t="shared" si="91"/>
        <v>-</v>
      </c>
      <c r="S290" s="5"/>
      <c r="T290" s="27" t="b">
        <f>IF($G290&lt;&gt;0,SUMIF(куб!$G:$G,$G290,куб!L:L),IF($E290&lt;&gt;0,SUMIF(куб!$E:$E,$E290,куб!L:L),IF($D290&lt;&gt;0,SUMIF(куб!$D:$D,$D290,куб!L:L),IF($C290&lt;&gt;0,SUMIF(куб!$C:$C,$C290,куб!L:L),IF($B290&lt;&gt;0,SUMIF(куб!$B:$B,$B290,куб!L:L))))))</f>
        <v>0</v>
      </c>
      <c r="U290" s="27" t="b">
        <f>IF($G290&lt;&gt;0,SUMIF(куб!$G:$G,$G290,куб!M:M),IF($E290&lt;&gt;0,SUMIF(куб!$E:$E,$E290,куб!M:M),IF($D290&lt;&gt;0,SUMIF(куб!$D:$D,$D290,куб!M:M),IF($C290&lt;&gt;0,SUMIF(куб!$C:$C,$C290,куб!M:M),IF($B290&lt;&gt;0,SUMIF(куб!$B:$B,$B290,куб!M:M))))))</f>
        <v>0</v>
      </c>
      <c r="V290" s="13" t="str">
        <f t="shared" si="92"/>
        <v>-</v>
      </c>
      <c r="W290" s="5"/>
      <c r="X290" s="27" t="b">
        <f>IF($G290&lt;&gt;0,SUMIF(куб!$G:$G,$G290,куб!N:N),IF($E290&lt;&gt;0,SUMIF(куб!$E:$E,$E290,куб!N:N),IF($D290&lt;&gt;0,SUMIF(куб!$D:$D,$D290,куб!N:N),IF($C290&lt;&gt;0,SUMIF(куб!$C:$C,$C290,куб!N:N),IF($B290&lt;&gt;0,SUMIF(куб!$B:$B,$B290,куб!N:N))))))</f>
        <v>0</v>
      </c>
      <c r="Y290" s="27" t="b">
        <f>IF($G290&lt;&gt;0,SUMIF(куб!$G:$G,$G290,куб!O:O),IF($E290&lt;&gt;0,SUMIF(куб!$E:$E,$E290,куб!O:O),IF($D290&lt;&gt;0,SUMIF(куб!$D:$D,$D290,куб!O:O),IF($C290&lt;&gt;0,SUMIF(куб!$C:$C,$C290,куб!O:O),IF($B290&lt;&gt;0,SUMIF(куб!$B:$B,$B290,куб!O:O))))))</f>
        <v>0</v>
      </c>
      <c r="Z290" s="13" t="str">
        <f t="shared" si="93"/>
        <v>-</v>
      </c>
      <c r="AA290" s="5"/>
      <c r="AB290" s="33" t="str">
        <f t="shared" si="108"/>
        <v/>
      </c>
      <c r="AC290" s="33" t="str">
        <f t="shared" si="109"/>
        <v/>
      </c>
      <c r="AD290" s="15" t="str">
        <f t="shared" si="110"/>
        <v xml:space="preserve"> </v>
      </c>
      <c r="AE290" s="5"/>
      <c r="AF290" s="27" t="b">
        <f>IF($G290&lt;&gt;0,SUMIF(куб!$G:$G,$G290,куб!R:R),IF($E290&lt;&gt;0,SUMIF(куб!$E:$E,$E290,куб!R:R),IF($D290&lt;&gt;0,SUMIF(куб!$D:$D,$D290,куб!R:R),IF($C290&lt;&gt;0,SUMIF(куб!$C:$C,$C290,куб!R:R),IF($B290&lt;&gt;0,SUMIF(куб!$B:$B,$B290,куб!R:R))))))</f>
        <v>0</v>
      </c>
      <c r="AG290" s="27" t="b">
        <f>IF($G290&lt;&gt;0,SUMIF(куб!$G:$G,$G290,куб!S:S),IF($E290&lt;&gt;0,SUMIF(куб!$E:$E,$E290,куб!S:S),IF($D290&lt;&gt;0,SUMIF(куб!$D:$D,$D290,куб!S:S),IF($C290&lt;&gt;0,SUMIF(куб!$C:$C,$C290,куб!S:S),IF($B290&lt;&gt;0,SUMIF(куб!$B:$B,$B290,куб!S:S))))))</f>
        <v>0</v>
      </c>
      <c r="AH290" s="16" t="str">
        <f t="shared" si="96"/>
        <v>-</v>
      </c>
      <c r="AI290" s="8"/>
      <c r="AJ290" s="27" t="b">
        <f>IF($G290&lt;&gt;0,SUMIF(куб!$G:$G,$G290,куб!T:T),IF($E290&lt;&gt;0,SUMIF(куб!$E:$E,$E290,куб!T:T),IF($D290&lt;&gt;0,SUMIF(куб!$D:$D,$D290,куб!T:T),IF($C290&lt;&gt;0,SUMIF(куб!$C:$C,$C290,куб!T:T),IF($B290&lt;&gt;0,SUMIF(куб!$B:$B,$B290,куб!T:T))))))</f>
        <v>0</v>
      </c>
      <c r="AK290" s="27" t="b">
        <f>IF($G290&lt;&gt;0,SUMIF(куб!$G:$G,$G290,куб!U:U),IF($E290&lt;&gt;0,SUMIF(куб!$E:$E,$E290,куб!U:U),IF($D290&lt;&gt;0,SUMIF(куб!$D:$D,$D290,куб!U:U),IF($C290&lt;&gt;0,SUMIF(куб!$C:$C,$C290,куб!U:U),IF($B290&lt;&gt;0,SUMIF(куб!$B:$B,$B290,куб!U:U))))))</f>
        <v>0</v>
      </c>
      <c r="AL290" s="16" t="str">
        <f t="shared" si="97"/>
        <v>-</v>
      </c>
      <c r="AM290" s="8"/>
      <c r="AN290" s="17" t="str">
        <f t="shared" si="98"/>
        <v xml:space="preserve"> </v>
      </c>
      <c r="AO290" s="17" t="str">
        <f t="shared" si="99"/>
        <v xml:space="preserve"> </v>
      </c>
      <c r="AP290" s="16" t="str">
        <f t="shared" si="100"/>
        <v>-</v>
      </c>
      <c r="AQ290" s="8"/>
      <c r="AR290" s="17" t="str">
        <f t="shared" si="101"/>
        <v>-</v>
      </c>
      <c r="AS290" s="17" t="str">
        <f t="shared" si="102"/>
        <v>-</v>
      </c>
      <c r="AT290" s="13" t="str">
        <f t="shared" si="103"/>
        <v>-</v>
      </c>
      <c r="AU290" s="8"/>
    </row>
    <row r="291" spans="1:47" ht="15" customHeight="1" x14ac:dyDescent="0.25">
      <c r="A291" s="31"/>
      <c r="B291" s="31"/>
      <c r="C291"/>
      <c r="D291" s="31"/>
      <c r="E291"/>
      <c r="F291" s="31"/>
      <c r="G291"/>
      <c r="H291" s="27">
        <f>IF($G291&lt;&gt;0,SUMIF(куб!$G:$G,$G291,куб!H:H),IF($E291&lt;&gt;0,SUMIF(куб!$E:$E,$E291,куб!H:H),IF($D291&lt;&gt;0,SUMIF(куб!$D:$D,$D291,куб!H:H),IF($C291&lt;&gt;0,SUMIF(куб!$C:$C,$C291,куб!H:H),IF($B291&lt;&gt;0,SUMIF(куб!$B:$B,$B291,куб!H:H),IF($G291&lt;&gt;0,SUMIF(куб!$A:$A,$G291,куб!H:H),SUMIF(куб!$A:$A,$G291,куб!H:H)))))))</f>
        <v>0</v>
      </c>
      <c r="I291" s="27">
        <f>IF($G291&lt;&gt;0,SUMIF(куб!$G:$G,$G291,куб!I:I),IF($E291&lt;&gt;0,SUMIF(куб!$E:$E,$E291,куб!I:I),IF($D291&lt;&gt;0,SUMIF(куб!$D:$D,$D291,куб!I:I),IF($C291&lt;&gt;0,SUMIF(куб!$C:$C,$C291,куб!I:I),IF($B291&lt;&gt;0,SUMIF(куб!$B:$B,$B291,куб!I:I),IF($G291&lt;&gt;0,SUMIF(куб!$A:$A,$G291,куб!I:I),SUMIF(куб!$A:$A,$G291,куб!I:I)))))))</f>
        <v>0</v>
      </c>
      <c r="J291" s="19" t="str">
        <f t="shared" ref="J291:J332" si="111">IFERROR((I291-H291)/ABS(H291),"-")</f>
        <v>-</v>
      </c>
      <c r="K291" s="8"/>
      <c r="L291" s="17">
        <f t="shared" ref="L291:L332" si="112">H291/$H$3</f>
        <v>0</v>
      </c>
      <c r="M291" s="17">
        <f t="shared" ref="M291:M332" si="113">I291/$I$3</f>
        <v>0</v>
      </c>
      <c r="N291" s="12">
        <f t="shared" ref="N291:N332" si="114">M291-L291</f>
        <v>0</v>
      </c>
      <c r="O291" s="5"/>
      <c r="P291" s="27" t="b">
        <f>IF($G291&lt;&gt;0,SUMIF(куб!$G:$G,$G291,куб!J:J),IF($E291&lt;&gt;0,SUMIF(куб!$E:$E,$E291,куб!J:J),IF($D291&lt;&gt;0,SUMIF(куб!$D:$D,$D291,куб!J:J),IF($C291&lt;&gt;0,SUMIF(куб!$C:$C,$C291,куб!J:J),IF($B291&lt;&gt;0,SUMIF(куб!$B:$B,$B291,куб!J:J))))))</f>
        <v>0</v>
      </c>
      <c r="Q291" s="27" t="b">
        <f>IF($G291&lt;&gt;0,SUMIF(куб!$G:$G,$G291,куб!K:K),IF($E291&lt;&gt;0,SUMIF(куб!$E:$E,$E291,куб!K:K),IF($D291&lt;&gt;0,SUMIF(куб!$D:$D,$D291,куб!K:K),IF($C291&lt;&gt;0,SUMIF(куб!$C:$C,$C291,куб!K:K),IF($B291&lt;&gt;0,SUMIF(куб!$B:$B,$B291,куб!K:K))))))</f>
        <v>0</v>
      </c>
      <c r="R291" s="13" t="str">
        <f t="shared" ref="R291:R332" si="115">IFERROR((Q291-P291)/ABS(P291),"-")</f>
        <v>-</v>
      </c>
      <c r="S291" s="5"/>
      <c r="T291" s="27" t="b">
        <f>IF($G291&lt;&gt;0,SUMIF(куб!$G:$G,$G291,куб!L:L),IF($E291&lt;&gt;0,SUMIF(куб!$E:$E,$E291,куб!L:L),IF($D291&lt;&gt;0,SUMIF(куб!$D:$D,$D291,куб!L:L),IF($C291&lt;&gt;0,SUMIF(куб!$C:$C,$C291,куб!L:L),IF($B291&lt;&gt;0,SUMIF(куб!$B:$B,$B291,куб!L:L))))))</f>
        <v>0</v>
      </c>
      <c r="U291" s="27" t="b">
        <f>IF($G291&lt;&gt;0,SUMIF(куб!$G:$G,$G291,куб!M:M),IF($E291&lt;&gt;0,SUMIF(куб!$E:$E,$E291,куб!M:M),IF($D291&lt;&gt;0,SUMIF(куб!$D:$D,$D291,куб!M:M),IF($C291&lt;&gt;0,SUMIF(куб!$C:$C,$C291,куб!M:M),IF($B291&lt;&gt;0,SUMIF(куб!$B:$B,$B291,куб!M:M))))))</f>
        <v>0</v>
      </c>
      <c r="V291" s="13" t="str">
        <f t="shared" ref="V291:V332" si="116">IFERROR((U291-T291)/ABS(T291),"-")</f>
        <v>-</v>
      </c>
      <c r="W291" s="5"/>
      <c r="X291" s="27" t="b">
        <f>IF($G291&lt;&gt;0,SUMIF(куб!$G:$G,$G291,куб!N:N),IF($E291&lt;&gt;0,SUMIF(куб!$E:$E,$E291,куб!N:N),IF($D291&lt;&gt;0,SUMIF(куб!$D:$D,$D291,куб!N:N),IF($C291&lt;&gt;0,SUMIF(куб!$C:$C,$C291,куб!N:N),IF($B291&lt;&gt;0,SUMIF(куб!$B:$B,$B291,куб!N:N))))))</f>
        <v>0</v>
      </c>
      <c r="Y291" s="27" t="b">
        <f>IF($G291&lt;&gt;0,SUMIF(куб!$G:$G,$G291,куб!O:O),IF($E291&lt;&gt;0,SUMIF(куб!$E:$E,$E291,куб!O:O),IF($D291&lt;&gt;0,SUMIF(куб!$D:$D,$D291,куб!O:O),IF($C291&lt;&gt;0,SUMIF(куб!$C:$C,$C291,куб!O:O),IF($B291&lt;&gt;0,SUMIF(куб!$B:$B,$B291,куб!O:O))))))</f>
        <v>0</v>
      </c>
      <c r="Z291" s="13" t="str">
        <f t="shared" ref="Z291:Z332" si="117">IFERROR((Y291-X291)/ABS(X291),"-")</f>
        <v>-</v>
      </c>
      <c r="AA291" s="5"/>
      <c r="AB291" s="33" t="str">
        <f t="shared" ref="AB291:AB332" si="118">IFERROR(X291/H291,"")</f>
        <v/>
      </c>
      <c r="AC291" s="33" t="str">
        <f t="shared" ref="AC291:AC332" si="119">IFERROR(Y291/I291,"")</f>
        <v/>
      </c>
      <c r="AD291" s="15" t="str">
        <f t="shared" ref="AD291:AD332" si="120">IFERROR(AC291-AB291," ")</f>
        <v xml:space="preserve"> </v>
      </c>
      <c r="AE291" s="5"/>
      <c r="AF291" s="27" t="b">
        <f>IF($G291&lt;&gt;0,SUMIF(куб!$G:$G,$G291,куб!R:R),IF($E291&lt;&gt;0,SUMIF(куб!$E:$E,$E291,куб!R:R),IF($D291&lt;&gt;0,SUMIF(куб!$D:$D,$D291,куб!R:R),IF($C291&lt;&gt;0,SUMIF(куб!$C:$C,$C291,куб!R:R),IF($B291&lt;&gt;0,SUMIF(куб!$B:$B,$B291,куб!R:R))))))</f>
        <v>0</v>
      </c>
      <c r="AG291" s="27" t="b">
        <f>IF($G291&lt;&gt;0,SUMIF(куб!$G:$G,$G291,куб!S:S),IF($E291&lt;&gt;0,SUMIF(куб!$E:$E,$E291,куб!S:S),IF($D291&lt;&gt;0,SUMIF(куб!$D:$D,$D291,куб!S:S),IF($C291&lt;&gt;0,SUMIF(куб!$C:$C,$C291,куб!S:S),IF($B291&lt;&gt;0,SUMIF(куб!$B:$B,$B291,куб!S:S))))))</f>
        <v>0</v>
      </c>
      <c r="AH291" s="16" t="str">
        <f t="shared" ref="AH291:AH332" si="121">IFERROR((AG291-AF291)/ABS(AF291),"-")</f>
        <v>-</v>
      </c>
      <c r="AI291" s="8"/>
      <c r="AJ291" s="27" t="b">
        <f>IF($G291&lt;&gt;0,SUMIF(куб!$G:$G,$G291,куб!T:T),IF($E291&lt;&gt;0,SUMIF(куб!$E:$E,$E291,куб!T:T),IF($D291&lt;&gt;0,SUMIF(куб!$D:$D,$D291,куб!T:T),IF($C291&lt;&gt;0,SUMIF(куб!$C:$C,$C291,куб!T:T),IF($B291&lt;&gt;0,SUMIF(куб!$B:$B,$B291,куб!T:T))))))</f>
        <v>0</v>
      </c>
      <c r="AK291" s="27" t="b">
        <f>IF($G291&lt;&gt;0,SUMIF(куб!$G:$G,$G291,куб!U:U),IF($E291&lt;&gt;0,SUMIF(куб!$E:$E,$E291,куб!U:U),IF($D291&lt;&gt;0,SUMIF(куб!$D:$D,$D291,куб!U:U),IF($C291&lt;&gt;0,SUMIF(куб!$C:$C,$C291,куб!U:U),IF($B291&lt;&gt;0,SUMIF(куб!$B:$B,$B291,куб!U:U))))))</f>
        <v>0</v>
      </c>
      <c r="AL291" s="16" t="str">
        <f t="shared" ref="AL291:AL332" si="122">IFERROR((AK291-AJ291)/ABS(AJ291),"-")</f>
        <v>-</v>
      </c>
      <c r="AM291" s="8"/>
      <c r="AN291" s="17" t="str">
        <f t="shared" ref="AN291:AN332" si="123">IFERROR(AF291/H291," ")</f>
        <v xml:space="preserve"> </v>
      </c>
      <c r="AO291" s="17" t="str">
        <f t="shared" ref="AO291:AO332" si="124">IFERROR(AG291/I291," ")</f>
        <v xml:space="preserve"> </v>
      </c>
      <c r="AP291" s="16" t="str">
        <f t="shared" ref="AP291:AP332" si="125">IFERROR(AO291-AN291,"-")</f>
        <v>-</v>
      </c>
      <c r="AQ291" s="8"/>
      <c r="AR291" s="17" t="str">
        <f t="shared" ref="AR291:AR332" si="126">IFERROR((X291-AF291)/H291,"-")</f>
        <v>-</v>
      </c>
      <c r="AS291" s="17" t="str">
        <f t="shared" ref="AS291:AS332" si="127">IFERROR((Y291-AG291)/I291,"-")</f>
        <v>-</v>
      </c>
      <c r="AT291" s="13" t="str">
        <f t="shared" ref="AT291:AT332" si="128">IFERROR(AS291-AR291,"-")</f>
        <v>-</v>
      </c>
      <c r="AU291" s="8"/>
    </row>
    <row r="292" spans="1:47" ht="15" customHeight="1" x14ac:dyDescent="0.25">
      <c r="A292" s="31"/>
      <c r="B292" s="31"/>
      <c r="C292"/>
      <c r="D292" s="31"/>
      <c r="E292"/>
      <c r="F292"/>
      <c r="G292"/>
      <c r="H292" s="27">
        <f>IF($G292&lt;&gt;0,SUMIF(куб!$G:$G,$G292,куб!H:H),IF($E292&lt;&gt;0,SUMIF(куб!$E:$E,$E292,куб!H:H),IF($D292&lt;&gt;0,SUMIF(куб!$D:$D,$D292,куб!H:H),IF($C292&lt;&gt;0,SUMIF(куб!$C:$C,$C292,куб!H:H),IF($B292&lt;&gt;0,SUMIF(куб!$B:$B,$B292,куб!H:H),IF($G292&lt;&gt;0,SUMIF(куб!$A:$A,$G292,куб!H:H),SUMIF(куб!$A:$A,$G292,куб!H:H)))))))</f>
        <v>0</v>
      </c>
      <c r="I292" s="27">
        <f>IF($G292&lt;&gt;0,SUMIF(куб!$G:$G,$G292,куб!I:I),IF($E292&lt;&gt;0,SUMIF(куб!$E:$E,$E292,куб!I:I),IF($D292&lt;&gt;0,SUMIF(куб!$D:$D,$D292,куб!I:I),IF($C292&lt;&gt;0,SUMIF(куб!$C:$C,$C292,куб!I:I),IF($B292&lt;&gt;0,SUMIF(куб!$B:$B,$B292,куб!I:I),IF($G292&lt;&gt;0,SUMIF(куб!$A:$A,$G292,куб!I:I),SUMIF(куб!$A:$A,$G292,куб!I:I)))))))</f>
        <v>0</v>
      </c>
      <c r="J292" s="19" t="str">
        <f t="shared" si="111"/>
        <v>-</v>
      </c>
      <c r="K292" s="8"/>
      <c r="L292" s="17">
        <f t="shared" si="112"/>
        <v>0</v>
      </c>
      <c r="M292" s="17">
        <f t="shared" si="113"/>
        <v>0</v>
      </c>
      <c r="N292" s="12">
        <f t="shared" si="114"/>
        <v>0</v>
      </c>
      <c r="O292" s="5"/>
      <c r="P292" s="27" t="b">
        <f>IF($G292&lt;&gt;0,SUMIF(куб!$G:$G,$G292,куб!J:J),IF($E292&lt;&gt;0,SUMIF(куб!$E:$E,$E292,куб!J:J),IF($D292&lt;&gt;0,SUMIF(куб!$D:$D,$D292,куб!J:J),IF($C292&lt;&gt;0,SUMIF(куб!$C:$C,$C292,куб!J:J),IF($B292&lt;&gt;0,SUMIF(куб!$B:$B,$B292,куб!J:J))))))</f>
        <v>0</v>
      </c>
      <c r="Q292" s="27" t="b">
        <f>IF($G292&lt;&gt;0,SUMIF(куб!$G:$G,$G292,куб!K:K),IF($E292&lt;&gt;0,SUMIF(куб!$E:$E,$E292,куб!K:K),IF($D292&lt;&gt;0,SUMIF(куб!$D:$D,$D292,куб!K:K),IF($C292&lt;&gt;0,SUMIF(куб!$C:$C,$C292,куб!K:K),IF($B292&lt;&gt;0,SUMIF(куб!$B:$B,$B292,куб!K:K))))))</f>
        <v>0</v>
      </c>
      <c r="R292" s="13" t="str">
        <f t="shared" si="115"/>
        <v>-</v>
      </c>
      <c r="S292" s="5"/>
      <c r="T292" s="27" t="b">
        <f>IF($G292&lt;&gt;0,SUMIF(куб!$G:$G,$G292,куб!L:L),IF($E292&lt;&gt;0,SUMIF(куб!$E:$E,$E292,куб!L:L),IF($D292&lt;&gt;0,SUMIF(куб!$D:$D,$D292,куб!L:L),IF($C292&lt;&gt;0,SUMIF(куб!$C:$C,$C292,куб!L:L),IF($B292&lt;&gt;0,SUMIF(куб!$B:$B,$B292,куб!L:L))))))</f>
        <v>0</v>
      </c>
      <c r="U292" s="27" t="b">
        <f>IF($G292&lt;&gt;0,SUMIF(куб!$G:$G,$G292,куб!M:M),IF($E292&lt;&gt;0,SUMIF(куб!$E:$E,$E292,куб!M:M),IF($D292&lt;&gt;0,SUMIF(куб!$D:$D,$D292,куб!M:M),IF($C292&lt;&gt;0,SUMIF(куб!$C:$C,$C292,куб!M:M),IF($B292&lt;&gt;0,SUMIF(куб!$B:$B,$B292,куб!M:M))))))</f>
        <v>0</v>
      </c>
      <c r="V292" s="13" t="str">
        <f t="shared" si="116"/>
        <v>-</v>
      </c>
      <c r="W292" s="5"/>
      <c r="X292" s="27" t="b">
        <f>IF($G292&lt;&gt;0,SUMIF(куб!$G:$G,$G292,куб!N:N),IF($E292&lt;&gt;0,SUMIF(куб!$E:$E,$E292,куб!N:N),IF($D292&lt;&gt;0,SUMIF(куб!$D:$D,$D292,куб!N:N),IF($C292&lt;&gt;0,SUMIF(куб!$C:$C,$C292,куб!N:N),IF($B292&lt;&gt;0,SUMIF(куб!$B:$B,$B292,куб!N:N))))))</f>
        <v>0</v>
      </c>
      <c r="Y292" s="27" t="b">
        <f>IF($G292&lt;&gt;0,SUMIF(куб!$G:$G,$G292,куб!O:O),IF($E292&lt;&gt;0,SUMIF(куб!$E:$E,$E292,куб!O:O),IF($D292&lt;&gt;0,SUMIF(куб!$D:$D,$D292,куб!O:O),IF($C292&lt;&gt;0,SUMIF(куб!$C:$C,$C292,куб!O:O),IF($B292&lt;&gt;0,SUMIF(куб!$B:$B,$B292,куб!O:O))))))</f>
        <v>0</v>
      </c>
      <c r="Z292" s="13" t="str">
        <f t="shared" si="117"/>
        <v>-</v>
      </c>
      <c r="AA292" s="5"/>
      <c r="AB292" s="33" t="str">
        <f t="shared" si="118"/>
        <v/>
      </c>
      <c r="AC292" s="33" t="str">
        <f t="shared" si="119"/>
        <v/>
      </c>
      <c r="AD292" s="15" t="str">
        <f t="shared" si="120"/>
        <v xml:space="preserve"> </v>
      </c>
      <c r="AE292" s="5"/>
      <c r="AF292" s="27" t="b">
        <f>IF($G292&lt;&gt;0,SUMIF(куб!$G:$G,$G292,куб!R:R),IF($E292&lt;&gt;0,SUMIF(куб!$E:$E,$E292,куб!R:R),IF($D292&lt;&gt;0,SUMIF(куб!$D:$D,$D292,куб!R:R),IF($C292&lt;&gt;0,SUMIF(куб!$C:$C,$C292,куб!R:R),IF($B292&lt;&gt;0,SUMIF(куб!$B:$B,$B292,куб!R:R))))))</f>
        <v>0</v>
      </c>
      <c r="AG292" s="27" t="b">
        <f>IF($G292&lt;&gt;0,SUMIF(куб!$G:$G,$G292,куб!S:S),IF($E292&lt;&gt;0,SUMIF(куб!$E:$E,$E292,куб!S:S),IF($D292&lt;&gt;0,SUMIF(куб!$D:$D,$D292,куб!S:S),IF($C292&lt;&gt;0,SUMIF(куб!$C:$C,$C292,куб!S:S),IF($B292&lt;&gt;0,SUMIF(куб!$B:$B,$B292,куб!S:S))))))</f>
        <v>0</v>
      </c>
      <c r="AH292" s="16" t="str">
        <f t="shared" si="121"/>
        <v>-</v>
      </c>
      <c r="AI292" s="8"/>
      <c r="AJ292" s="27" t="b">
        <f>IF($G292&lt;&gt;0,SUMIF(куб!$G:$G,$G292,куб!T:T),IF($E292&lt;&gt;0,SUMIF(куб!$E:$E,$E292,куб!T:T),IF($D292&lt;&gt;0,SUMIF(куб!$D:$D,$D292,куб!T:T),IF($C292&lt;&gt;0,SUMIF(куб!$C:$C,$C292,куб!T:T),IF($B292&lt;&gt;0,SUMIF(куб!$B:$B,$B292,куб!T:T))))))</f>
        <v>0</v>
      </c>
      <c r="AK292" s="27" t="b">
        <f>IF($G292&lt;&gt;0,SUMIF(куб!$G:$G,$G292,куб!U:U),IF($E292&lt;&gt;0,SUMIF(куб!$E:$E,$E292,куб!U:U),IF($D292&lt;&gt;0,SUMIF(куб!$D:$D,$D292,куб!U:U),IF($C292&lt;&gt;0,SUMIF(куб!$C:$C,$C292,куб!U:U),IF($B292&lt;&gt;0,SUMIF(куб!$B:$B,$B292,куб!U:U))))))</f>
        <v>0</v>
      </c>
      <c r="AL292" s="16" t="str">
        <f t="shared" si="122"/>
        <v>-</v>
      </c>
      <c r="AM292" s="8"/>
      <c r="AN292" s="17" t="str">
        <f t="shared" si="123"/>
        <v xml:space="preserve"> </v>
      </c>
      <c r="AO292" s="17" t="str">
        <f t="shared" si="124"/>
        <v xml:space="preserve"> </v>
      </c>
      <c r="AP292" s="16" t="str">
        <f t="shared" si="125"/>
        <v>-</v>
      </c>
      <c r="AQ292" s="8"/>
      <c r="AR292" s="17" t="str">
        <f t="shared" si="126"/>
        <v>-</v>
      </c>
      <c r="AS292" s="17" t="str">
        <f t="shared" si="127"/>
        <v>-</v>
      </c>
      <c r="AT292" s="13" t="str">
        <f t="shared" si="128"/>
        <v>-</v>
      </c>
      <c r="AU292" s="8"/>
    </row>
    <row r="293" spans="1:47" ht="15" customHeight="1" x14ac:dyDescent="0.25">
      <c r="A293" s="31"/>
      <c r="B293" s="31"/>
      <c r="C293"/>
      <c r="D293" s="31"/>
      <c r="E293"/>
      <c r="F293" s="31"/>
      <c r="G293"/>
      <c r="H293" s="27">
        <f>IF($G293&lt;&gt;0,SUMIF(куб!$G:$G,$G293,куб!H:H),IF($E293&lt;&gt;0,SUMIF(куб!$E:$E,$E293,куб!H:H),IF($D293&lt;&gt;0,SUMIF(куб!$D:$D,$D293,куб!H:H),IF($C293&lt;&gt;0,SUMIF(куб!$C:$C,$C293,куб!H:H),IF($B293&lt;&gt;0,SUMIF(куб!$B:$B,$B293,куб!H:H),IF($G293&lt;&gt;0,SUMIF(куб!$A:$A,$G293,куб!H:H),SUMIF(куб!$A:$A,$G293,куб!H:H)))))))</f>
        <v>0</v>
      </c>
      <c r="I293" s="27">
        <f>IF($G293&lt;&gt;0,SUMIF(куб!$G:$G,$G293,куб!I:I),IF($E293&lt;&gt;0,SUMIF(куб!$E:$E,$E293,куб!I:I),IF($D293&lt;&gt;0,SUMIF(куб!$D:$D,$D293,куб!I:I),IF($C293&lt;&gt;0,SUMIF(куб!$C:$C,$C293,куб!I:I),IF($B293&lt;&gt;0,SUMIF(куб!$B:$B,$B293,куб!I:I),IF($G293&lt;&gt;0,SUMIF(куб!$A:$A,$G293,куб!I:I),SUMIF(куб!$A:$A,$G293,куб!I:I)))))))</f>
        <v>0</v>
      </c>
      <c r="J293" s="19" t="str">
        <f t="shared" si="111"/>
        <v>-</v>
      </c>
      <c r="K293" s="8"/>
      <c r="L293" s="17">
        <f t="shared" si="112"/>
        <v>0</v>
      </c>
      <c r="M293" s="17">
        <f t="shared" si="113"/>
        <v>0</v>
      </c>
      <c r="N293" s="12">
        <f t="shared" si="114"/>
        <v>0</v>
      </c>
      <c r="O293" s="5"/>
      <c r="P293" s="27" t="b">
        <f>IF($G293&lt;&gt;0,SUMIF(куб!$G:$G,$G293,куб!J:J),IF($E293&lt;&gt;0,SUMIF(куб!$E:$E,$E293,куб!J:J),IF($D293&lt;&gt;0,SUMIF(куб!$D:$D,$D293,куб!J:J),IF($C293&lt;&gt;0,SUMIF(куб!$C:$C,$C293,куб!J:J),IF($B293&lt;&gt;0,SUMIF(куб!$B:$B,$B293,куб!J:J))))))</f>
        <v>0</v>
      </c>
      <c r="Q293" s="27" t="b">
        <f>IF($G293&lt;&gt;0,SUMIF(куб!$G:$G,$G293,куб!K:K),IF($E293&lt;&gt;0,SUMIF(куб!$E:$E,$E293,куб!K:K),IF($D293&lt;&gt;0,SUMIF(куб!$D:$D,$D293,куб!K:K),IF($C293&lt;&gt;0,SUMIF(куб!$C:$C,$C293,куб!K:K),IF($B293&lt;&gt;0,SUMIF(куб!$B:$B,$B293,куб!K:K))))))</f>
        <v>0</v>
      </c>
      <c r="R293" s="13" t="str">
        <f t="shared" si="115"/>
        <v>-</v>
      </c>
      <c r="S293" s="5"/>
      <c r="T293" s="27" t="b">
        <f>IF($G293&lt;&gt;0,SUMIF(куб!$G:$G,$G293,куб!L:L),IF($E293&lt;&gt;0,SUMIF(куб!$E:$E,$E293,куб!L:L),IF($D293&lt;&gt;0,SUMIF(куб!$D:$D,$D293,куб!L:L),IF($C293&lt;&gt;0,SUMIF(куб!$C:$C,$C293,куб!L:L),IF($B293&lt;&gt;0,SUMIF(куб!$B:$B,$B293,куб!L:L))))))</f>
        <v>0</v>
      </c>
      <c r="U293" s="27" t="b">
        <f>IF($G293&lt;&gt;0,SUMIF(куб!$G:$G,$G293,куб!M:M),IF($E293&lt;&gt;0,SUMIF(куб!$E:$E,$E293,куб!M:M),IF($D293&lt;&gt;0,SUMIF(куб!$D:$D,$D293,куб!M:M),IF($C293&lt;&gt;0,SUMIF(куб!$C:$C,$C293,куб!M:M),IF($B293&lt;&gt;0,SUMIF(куб!$B:$B,$B293,куб!M:M))))))</f>
        <v>0</v>
      </c>
      <c r="V293" s="13" t="str">
        <f t="shared" si="116"/>
        <v>-</v>
      </c>
      <c r="W293" s="5"/>
      <c r="X293" s="27" t="b">
        <f>IF($G293&lt;&gt;0,SUMIF(куб!$G:$G,$G293,куб!N:N),IF($E293&lt;&gt;0,SUMIF(куб!$E:$E,$E293,куб!N:N),IF($D293&lt;&gt;0,SUMIF(куб!$D:$D,$D293,куб!N:N),IF($C293&lt;&gt;0,SUMIF(куб!$C:$C,$C293,куб!N:N),IF($B293&lt;&gt;0,SUMIF(куб!$B:$B,$B293,куб!N:N))))))</f>
        <v>0</v>
      </c>
      <c r="Y293" s="27" t="b">
        <f>IF($G293&lt;&gt;0,SUMIF(куб!$G:$G,$G293,куб!O:O),IF($E293&lt;&gt;0,SUMIF(куб!$E:$E,$E293,куб!O:O),IF($D293&lt;&gt;0,SUMIF(куб!$D:$D,$D293,куб!O:O),IF($C293&lt;&gt;0,SUMIF(куб!$C:$C,$C293,куб!O:O),IF($B293&lt;&gt;0,SUMIF(куб!$B:$B,$B293,куб!O:O))))))</f>
        <v>0</v>
      </c>
      <c r="Z293" s="13" t="str">
        <f t="shared" si="117"/>
        <v>-</v>
      </c>
      <c r="AA293" s="5"/>
      <c r="AB293" s="33" t="str">
        <f t="shared" si="118"/>
        <v/>
      </c>
      <c r="AC293" s="33" t="str">
        <f t="shared" si="119"/>
        <v/>
      </c>
      <c r="AD293" s="15" t="str">
        <f t="shared" si="120"/>
        <v xml:space="preserve"> </v>
      </c>
      <c r="AE293" s="5"/>
      <c r="AF293" s="27" t="b">
        <f>IF($G293&lt;&gt;0,SUMIF(куб!$G:$G,$G293,куб!R:R),IF($E293&lt;&gt;0,SUMIF(куб!$E:$E,$E293,куб!R:R),IF($D293&lt;&gt;0,SUMIF(куб!$D:$D,$D293,куб!R:R),IF($C293&lt;&gt;0,SUMIF(куб!$C:$C,$C293,куб!R:R),IF($B293&lt;&gt;0,SUMIF(куб!$B:$B,$B293,куб!R:R))))))</f>
        <v>0</v>
      </c>
      <c r="AG293" s="27" t="b">
        <f>IF($G293&lt;&gt;0,SUMIF(куб!$G:$G,$G293,куб!S:S),IF($E293&lt;&gt;0,SUMIF(куб!$E:$E,$E293,куб!S:S),IF($D293&lt;&gt;0,SUMIF(куб!$D:$D,$D293,куб!S:S),IF($C293&lt;&gt;0,SUMIF(куб!$C:$C,$C293,куб!S:S),IF($B293&lt;&gt;0,SUMIF(куб!$B:$B,$B293,куб!S:S))))))</f>
        <v>0</v>
      </c>
      <c r="AH293" s="16" t="str">
        <f t="shared" si="121"/>
        <v>-</v>
      </c>
      <c r="AI293" s="8"/>
      <c r="AJ293" s="27" t="b">
        <f>IF($G293&lt;&gt;0,SUMIF(куб!$G:$G,$G293,куб!T:T),IF($E293&lt;&gt;0,SUMIF(куб!$E:$E,$E293,куб!T:T),IF($D293&lt;&gt;0,SUMIF(куб!$D:$D,$D293,куб!T:T),IF($C293&lt;&gt;0,SUMIF(куб!$C:$C,$C293,куб!T:T),IF($B293&lt;&gt;0,SUMIF(куб!$B:$B,$B293,куб!T:T))))))</f>
        <v>0</v>
      </c>
      <c r="AK293" s="27" t="b">
        <f>IF($G293&lt;&gt;0,SUMIF(куб!$G:$G,$G293,куб!U:U),IF($E293&lt;&gt;0,SUMIF(куб!$E:$E,$E293,куб!U:U),IF($D293&lt;&gt;0,SUMIF(куб!$D:$D,$D293,куб!U:U),IF($C293&lt;&gt;0,SUMIF(куб!$C:$C,$C293,куб!U:U),IF($B293&lt;&gt;0,SUMIF(куб!$B:$B,$B293,куб!U:U))))))</f>
        <v>0</v>
      </c>
      <c r="AL293" s="16" t="str">
        <f t="shared" si="122"/>
        <v>-</v>
      </c>
      <c r="AM293" s="8"/>
      <c r="AN293" s="17" t="str">
        <f t="shared" si="123"/>
        <v xml:space="preserve"> </v>
      </c>
      <c r="AO293" s="17" t="str">
        <f t="shared" si="124"/>
        <v xml:space="preserve"> </v>
      </c>
      <c r="AP293" s="16" t="str">
        <f t="shared" si="125"/>
        <v>-</v>
      </c>
      <c r="AQ293" s="8"/>
      <c r="AR293" s="17" t="str">
        <f t="shared" si="126"/>
        <v>-</v>
      </c>
      <c r="AS293" s="17" t="str">
        <f t="shared" si="127"/>
        <v>-</v>
      </c>
      <c r="AT293" s="13" t="str">
        <f t="shared" si="128"/>
        <v>-</v>
      </c>
      <c r="AU293" s="8"/>
    </row>
    <row r="294" spans="1:47" ht="15" customHeight="1" x14ac:dyDescent="0.25">
      <c r="A294" s="31"/>
      <c r="B294" s="31"/>
      <c r="C294"/>
      <c r="D294" s="31"/>
      <c r="E294"/>
      <c r="F294" s="31"/>
      <c r="G294"/>
      <c r="H294" s="27">
        <f>IF($G294&lt;&gt;0,SUMIF(куб!$G:$G,$G294,куб!H:H),IF($E294&lt;&gt;0,SUMIF(куб!$E:$E,$E294,куб!H:H),IF($D294&lt;&gt;0,SUMIF(куб!$D:$D,$D294,куб!H:H),IF($C294&lt;&gt;0,SUMIF(куб!$C:$C,$C294,куб!H:H),IF($B294&lt;&gt;0,SUMIF(куб!$B:$B,$B294,куб!H:H),IF($G294&lt;&gt;0,SUMIF(куб!$A:$A,$G294,куб!H:H),SUMIF(куб!$A:$A,$G294,куб!H:H)))))))</f>
        <v>0</v>
      </c>
      <c r="I294" s="27">
        <f>IF($G294&lt;&gt;0,SUMIF(куб!$G:$G,$G294,куб!I:I),IF($E294&lt;&gt;0,SUMIF(куб!$E:$E,$E294,куб!I:I),IF($D294&lt;&gt;0,SUMIF(куб!$D:$D,$D294,куб!I:I),IF($C294&lt;&gt;0,SUMIF(куб!$C:$C,$C294,куб!I:I),IF($B294&lt;&gt;0,SUMIF(куб!$B:$B,$B294,куб!I:I),IF($G294&lt;&gt;0,SUMIF(куб!$A:$A,$G294,куб!I:I),SUMIF(куб!$A:$A,$G294,куб!I:I)))))))</f>
        <v>0</v>
      </c>
      <c r="J294" s="19" t="str">
        <f t="shared" si="111"/>
        <v>-</v>
      </c>
      <c r="K294" s="8"/>
      <c r="L294" s="17">
        <f t="shared" si="112"/>
        <v>0</v>
      </c>
      <c r="M294" s="17">
        <f t="shared" si="113"/>
        <v>0</v>
      </c>
      <c r="N294" s="12">
        <f t="shared" si="114"/>
        <v>0</v>
      </c>
      <c r="O294" s="5"/>
      <c r="P294" s="27" t="b">
        <f>IF($G294&lt;&gt;0,SUMIF(куб!$G:$G,$G294,куб!J:J),IF($E294&lt;&gt;0,SUMIF(куб!$E:$E,$E294,куб!J:J),IF($D294&lt;&gt;0,SUMIF(куб!$D:$D,$D294,куб!J:J),IF($C294&lt;&gt;0,SUMIF(куб!$C:$C,$C294,куб!J:J),IF($B294&lt;&gt;0,SUMIF(куб!$B:$B,$B294,куб!J:J))))))</f>
        <v>0</v>
      </c>
      <c r="Q294" s="27" t="b">
        <f>IF($G294&lt;&gt;0,SUMIF(куб!$G:$G,$G294,куб!K:K),IF($E294&lt;&gt;0,SUMIF(куб!$E:$E,$E294,куб!K:K),IF($D294&lt;&gt;0,SUMIF(куб!$D:$D,$D294,куб!K:K),IF($C294&lt;&gt;0,SUMIF(куб!$C:$C,$C294,куб!K:K),IF($B294&lt;&gt;0,SUMIF(куб!$B:$B,$B294,куб!K:K))))))</f>
        <v>0</v>
      </c>
      <c r="R294" s="13" t="str">
        <f t="shared" si="115"/>
        <v>-</v>
      </c>
      <c r="S294" s="5"/>
      <c r="T294" s="27" t="b">
        <f>IF($G294&lt;&gt;0,SUMIF(куб!$G:$G,$G294,куб!L:L),IF($E294&lt;&gt;0,SUMIF(куб!$E:$E,$E294,куб!L:L),IF($D294&lt;&gt;0,SUMIF(куб!$D:$D,$D294,куб!L:L),IF($C294&lt;&gt;0,SUMIF(куб!$C:$C,$C294,куб!L:L),IF($B294&lt;&gt;0,SUMIF(куб!$B:$B,$B294,куб!L:L))))))</f>
        <v>0</v>
      </c>
      <c r="U294" s="27" t="b">
        <f>IF($G294&lt;&gt;0,SUMIF(куб!$G:$G,$G294,куб!M:M),IF($E294&lt;&gt;0,SUMIF(куб!$E:$E,$E294,куб!M:M),IF($D294&lt;&gt;0,SUMIF(куб!$D:$D,$D294,куб!M:M),IF($C294&lt;&gt;0,SUMIF(куб!$C:$C,$C294,куб!M:M),IF($B294&lt;&gt;0,SUMIF(куб!$B:$B,$B294,куб!M:M))))))</f>
        <v>0</v>
      </c>
      <c r="V294" s="13" t="str">
        <f t="shared" si="116"/>
        <v>-</v>
      </c>
      <c r="W294" s="5"/>
      <c r="X294" s="27" t="b">
        <f>IF($G294&lt;&gt;0,SUMIF(куб!$G:$G,$G294,куб!N:N),IF($E294&lt;&gt;0,SUMIF(куб!$E:$E,$E294,куб!N:N),IF($D294&lt;&gt;0,SUMIF(куб!$D:$D,$D294,куб!N:N),IF($C294&lt;&gt;0,SUMIF(куб!$C:$C,$C294,куб!N:N),IF($B294&lt;&gt;0,SUMIF(куб!$B:$B,$B294,куб!N:N))))))</f>
        <v>0</v>
      </c>
      <c r="Y294" s="27" t="b">
        <f>IF($G294&lt;&gt;0,SUMIF(куб!$G:$G,$G294,куб!O:O),IF($E294&lt;&gt;0,SUMIF(куб!$E:$E,$E294,куб!O:O),IF($D294&lt;&gt;0,SUMIF(куб!$D:$D,$D294,куб!O:O),IF($C294&lt;&gt;0,SUMIF(куб!$C:$C,$C294,куб!O:O),IF($B294&lt;&gt;0,SUMIF(куб!$B:$B,$B294,куб!O:O))))))</f>
        <v>0</v>
      </c>
      <c r="Z294" s="13" t="str">
        <f t="shared" si="117"/>
        <v>-</v>
      </c>
      <c r="AA294" s="5"/>
      <c r="AB294" s="33" t="str">
        <f t="shared" si="118"/>
        <v/>
      </c>
      <c r="AC294" s="33" t="str">
        <f t="shared" si="119"/>
        <v/>
      </c>
      <c r="AD294" s="15" t="str">
        <f t="shared" si="120"/>
        <v xml:space="preserve"> </v>
      </c>
      <c r="AE294" s="5"/>
      <c r="AF294" s="27" t="b">
        <f>IF($G294&lt;&gt;0,SUMIF(куб!$G:$G,$G294,куб!R:R),IF($E294&lt;&gt;0,SUMIF(куб!$E:$E,$E294,куб!R:R),IF($D294&lt;&gt;0,SUMIF(куб!$D:$D,$D294,куб!R:R),IF($C294&lt;&gt;0,SUMIF(куб!$C:$C,$C294,куб!R:R),IF($B294&lt;&gt;0,SUMIF(куб!$B:$B,$B294,куб!R:R))))))</f>
        <v>0</v>
      </c>
      <c r="AG294" s="27" t="b">
        <f>IF($G294&lt;&gt;0,SUMIF(куб!$G:$G,$G294,куб!S:S),IF($E294&lt;&gt;0,SUMIF(куб!$E:$E,$E294,куб!S:S),IF($D294&lt;&gt;0,SUMIF(куб!$D:$D,$D294,куб!S:S),IF($C294&lt;&gt;0,SUMIF(куб!$C:$C,$C294,куб!S:S),IF($B294&lt;&gt;0,SUMIF(куб!$B:$B,$B294,куб!S:S))))))</f>
        <v>0</v>
      </c>
      <c r="AH294" s="16" t="str">
        <f t="shared" si="121"/>
        <v>-</v>
      </c>
      <c r="AI294" s="8"/>
      <c r="AJ294" s="27" t="b">
        <f>IF($G294&lt;&gt;0,SUMIF(куб!$G:$G,$G294,куб!T:T),IF($E294&lt;&gt;0,SUMIF(куб!$E:$E,$E294,куб!T:T),IF($D294&lt;&gt;0,SUMIF(куб!$D:$D,$D294,куб!T:T),IF($C294&lt;&gt;0,SUMIF(куб!$C:$C,$C294,куб!T:T),IF($B294&lt;&gt;0,SUMIF(куб!$B:$B,$B294,куб!T:T))))))</f>
        <v>0</v>
      </c>
      <c r="AK294" s="27" t="b">
        <f>IF($G294&lt;&gt;0,SUMIF(куб!$G:$G,$G294,куб!U:U),IF($E294&lt;&gt;0,SUMIF(куб!$E:$E,$E294,куб!U:U),IF($D294&lt;&gt;0,SUMIF(куб!$D:$D,$D294,куб!U:U),IF($C294&lt;&gt;0,SUMIF(куб!$C:$C,$C294,куб!U:U),IF($B294&lt;&gt;0,SUMIF(куб!$B:$B,$B294,куб!U:U))))))</f>
        <v>0</v>
      </c>
      <c r="AL294" s="16" t="str">
        <f t="shared" si="122"/>
        <v>-</v>
      </c>
      <c r="AM294" s="8"/>
      <c r="AN294" s="17" t="str">
        <f t="shared" si="123"/>
        <v xml:space="preserve"> </v>
      </c>
      <c r="AO294" s="17" t="str">
        <f t="shared" si="124"/>
        <v xml:space="preserve"> </v>
      </c>
      <c r="AP294" s="16" t="str">
        <f t="shared" si="125"/>
        <v>-</v>
      </c>
      <c r="AQ294" s="8"/>
      <c r="AR294" s="17" t="str">
        <f t="shared" si="126"/>
        <v>-</v>
      </c>
      <c r="AS294" s="17" t="str">
        <f t="shared" si="127"/>
        <v>-</v>
      </c>
      <c r="AT294" s="13" t="str">
        <f t="shared" si="128"/>
        <v>-</v>
      </c>
      <c r="AU294" s="8"/>
    </row>
    <row r="295" spans="1:47" ht="15" customHeight="1" x14ac:dyDescent="0.25">
      <c r="A295" s="31"/>
      <c r="B295" s="31"/>
      <c r="C295"/>
      <c r="D295" s="31"/>
      <c r="E295"/>
      <c r="F295" s="31"/>
      <c r="G295"/>
      <c r="H295" s="27">
        <f>IF($G295&lt;&gt;0,SUMIF(куб!$G:$G,$G295,куб!H:H),IF($E295&lt;&gt;0,SUMIF(куб!$E:$E,$E295,куб!H:H),IF($D295&lt;&gt;0,SUMIF(куб!$D:$D,$D295,куб!H:H),IF($C295&lt;&gt;0,SUMIF(куб!$C:$C,$C295,куб!H:H),IF($B295&lt;&gt;0,SUMIF(куб!$B:$B,$B295,куб!H:H),IF($G295&lt;&gt;0,SUMIF(куб!$A:$A,$G295,куб!H:H),SUMIF(куб!$A:$A,$G295,куб!H:H)))))))</f>
        <v>0</v>
      </c>
      <c r="I295" s="27">
        <f>IF($G295&lt;&gt;0,SUMIF(куб!$G:$G,$G295,куб!I:I),IF($E295&lt;&gt;0,SUMIF(куб!$E:$E,$E295,куб!I:I),IF($D295&lt;&gt;0,SUMIF(куб!$D:$D,$D295,куб!I:I),IF($C295&lt;&gt;0,SUMIF(куб!$C:$C,$C295,куб!I:I),IF($B295&lt;&gt;0,SUMIF(куб!$B:$B,$B295,куб!I:I),IF($G295&lt;&gt;0,SUMIF(куб!$A:$A,$G295,куб!I:I),SUMIF(куб!$A:$A,$G295,куб!I:I)))))))</f>
        <v>0</v>
      </c>
      <c r="J295" s="19" t="str">
        <f t="shared" si="111"/>
        <v>-</v>
      </c>
      <c r="K295" s="8"/>
      <c r="L295" s="17">
        <f t="shared" si="112"/>
        <v>0</v>
      </c>
      <c r="M295" s="17">
        <f t="shared" si="113"/>
        <v>0</v>
      </c>
      <c r="N295" s="12">
        <f t="shared" si="114"/>
        <v>0</v>
      </c>
      <c r="O295" s="5"/>
      <c r="P295" s="27" t="b">
        <f>IF($G295&lt;&gt;0,SUMIF(куб!$G:$G,$G295,куб!J:J),IF($E295&lt;&gt;0,SUMIF(куб!$E:$E,$E295,куб!J:J),IF($D295&lt;&gt;0,SUMIF(куб!$D:$D,$D295,куб!J:J),IF($C295&lt;&gt;0,SUMIF(куб!$C:$C,$C295,куб!J:J),IF($B295&lt;&gt;0,SUMIF(куб!$B:$B,$B295,куб!J:J))))))</f>
        <v>0</v>
      </c>
      <c r="Q295" s="27" t="b">
        <f>IF($G295&lt;&gt;0,SUMIF(куб!$G:$G,$G295,куб!K:K),IF($E295&lt;&gt;0,SUMIF(куб!$E:$E,$E295,куб!K:K),IF($D295&lt;&gt;0,SUMIF(куб!$D:$D,$D295,куб!K:K),IF($C295&lt;&gt;0,SUMIF(куб!$C:$C,$C295,куб!K:K),IF($B295&lt;&gt;0,SUMIF(куб!$B:$B,$B295,куб!K:K))))))</f>
        <v>0</v>
      </c>
      <c r="R295" s="13" t="str">
        <f t="shared" si="115"/>
        <v>-</v>
      </c>
      <c r="S295" s="5"/>
      <c r="T295" s="27" t="b">
        <f>IF($G295&lt;&gt;0,SUMIF(куб!$G:$G,$G295,куб!L:L),IF($E295&lt;&gt;0,SUMIF(куб!$E:$E,$E295,куб!L:L),IF($D295&lt;&gt;0,SUMIF(куб!$D:$D,$D295,куб!L:L),IF($C295&lt;&gt;0,SUMIF(куб!$C:$C,$C295,куб!L:L),IF($B295&lt;&gt;0,SUMIF(куб!$B:$B,$B295,куб!L:L))))))</f>
        <v>0</v>
      </c>
      <c r="U295" s="27" t="b">
        <f>IF($G295&lt;&gt;0,SUMIF(куб!$G:$G,$G295,куб!M:M),IF($E295&lt;&gt;0,SUMIF(куб!$E:$E,$E295,куб!M:M),IF($D295&lt;&gt;0,SUMIF(куб!$D:$D,$D295,куб!M:M),IF($C295&lt;&gt;0,SUMIF(куб!$C:$C,$C295,куб!M:M),IF($B295&lt;&gt;0,SUMIF(куб!$B:$B,$B295,куб!M:M))))))</f>
        <v>0</v>
      </c>
      <c r="V295" s="13" t="str">
        <f t="shared" si="116"/>
        <v>-</v>
      </c>
      <c r="W295" s="5"/>
      <c r="X295" s="27" t="b">
        <f>IF($G295&lt;&gt;0,SUMIF(куб!$G:$G,$G295,куб!N:N),IF($E295&lt;&gt;0,SUMIF(куб!$E:$E,$E295,куб!N:N),IF($D295&lt;&gt;0,SUMIF(куб!$D:$D,$D295,куб!N:N),IF($C295&lt;&gt;0,SUMIF(куб!$C:$C,$C295,куб!N:N),IF($B295&lt;&gt;0,SUMIF(куб!$B:$B,$B295,куб!N:N))))))</f>
        <v>0</v>
      </c>
      <c r="Y295" s="27" t="b">
        <f>IF($G295&lt;&gt;0,SUMIF(куб!$G:$G,$G295,куб!O:O),IF($E295&lt;&gt;0,SUMIF(куб!$E:$E,$E295,куб!O:O),IF($D295&lt;&gt;0,SUMIF(куб!$D:$D,$D295,куб!O:O),IF($C295&lt;&gt;0,SUMIF(куб!$C:$C,$C295,куб!O:O),IF($B295&lt;&gt;0,SUMIF(куб!$B:$B,$B295,куб!O:O))))))</f>
        <v>0</v>
      </c>
      <c r="Z295" s="13" t="str">
        <f t="shared" si="117"/>
        <v>-</v>
      </c>
      <c r="AA295" s="5"/>
      <c r="AB295" s="33" t="str">
        <f t="shared" si="118"/>
        <v/>
      </c>
      <c r="AC295" s="33" t="str">
        <f t="shared" si="119"/>
        <v/>
      </c>
      <c r="AD295" s="15" t="str">
        <f t="shared" si="120"/>
        <v xml:space="preserve"> </v>
      </c>
      <c r="AE295" s="5"/>
      <c r="AF295" s="27" t="b">
        <f>IF($G295&lt;&gt;0,SUMIF(куб!$G:$G,$G295,куб!R:R),IF($E295&lt;&gt;0,SUMIF(куб!$E:$E,$E295,куб!R:R),IF($D295&lt;&gt;0,SUMIF(куб!$D:$D,$D295,куб!R:R),IF($C295&lt;&gt;0,SUMIF(куб!$C:$C,$C295,куб!R:R),IF($B295&lt;&gt;0,SUMIF(куб!$B:$B,$B295,куб!R:R))))))</f>
        <v>0</v>
      </c>
      <c r="AG295" s="27" t="b">
        <f>IF($G295&lt;&gt;0,SUMIF(куб!$G:$G,$G295,куб!S:S),IF($E295&lt;&gt;0,SUMIF(куб!$E:$E,$E295,куб!S:S),IF($D295&lt;&gt;0,SUMIF(куб!$D:$D,$D295,куб!S:S),IF($C295&lt;&gt;0,SUMIF(куб!$C:$C,$C295,куб!S:S),IF($B295&lt;&gt;0,SUMIF(куб!$B:$B,$B295,куб!S:S))))))</f>
        <v>0</v>
      </c>
      <c r="AH295" s="16" t="str">
        <f t="shared" si="121"/>
        <v>-</v>
      </c>
      <c r="AI295" s="8"/>
      <c r="AJ295" s="27" t="b">
        <f>IF($G295&lt;&gt;0,SUMIF(куб!$G:$G,$G295,куб!T:T),IF($E295&lt;&gt;0,SUMIF(куб!$E:$E,$E295,куб!T:T),IF($D295&lt;&gt;0,SUMIF(куб!$D:$D,$D295,куб!T:T),IF($C295&lt;&gt;0,SUMIF(куб!$C:$C,$C295,куб!T:T),IF($B295&lt;&gt;0,SUMIF(куб!$B:$B,$B295,куб!T:T))))))</f>
        <v>0</v>
      </c>
      <c r="AK295" s="27" t="b">
        <f>IF($G295&lt;&gt;0,SUMIF(куб!$G:$G,$G295,куб!U:U),IF($E295&lt;&gt;0,SUMIF(куб!$E:$E,$E295,куб!U:U),IF($D295&lt;&gt;0,SUMIF(куб!$D:$D,$D295,куб!U:U),IF($C295&lt;&gt;0,SUMIF(куб!$C:$C,$C295,куб!U:U),IF($B295&lt;&gt;0,SUMIF(куб!$B:$B,$B295,куб!U:U))))))</f>
        <v>0</v>
      </c>
      <c r="AL295" s="16" t="str">
        <f t="shared" si="122"/>
        <v>-</v>
      </c>
      <c r="AM295" s="8"/>
      <c r="AN295" s="17" t="str">
        <f t="shared" si="123"/>
        <v xml:space="preserve"> </v>
      </c>
      <c r="AO295" s="17" t="str">
        <f t="shared" si="124"/>
        <v xml:space="preserve"> </v>
      </c>
      <c r="AP295" s="16" t="str">
        <f t="shared" si="125"/>
        <v>-</v>
      </c>
      <c r="AQ295" s="8"/>
      <c r="AR295" s="17" t="str">
        <f t="shared" si="126"/>
        <v>-</v>
      </c>
      <c r="AS295" s="17" t="str">
        <f t="shared" si="127"/>
        <v>-</v>
      </c>
      <c r="AT295" s="13" t="str">
        <f t="shared" si="128"/>
        <v>-</v>
      </c>
      <c r="AU295" s="8"/>
    </row>
    <row r="296" spans="1:47" x14ac:dyDescent="0.25">
      <c r="A296" s="31"/>
      <c r="B296" s="31"/>
      <c r="C296"/>
      <c r="D296" s="31"/>
      <c r="E296"/>
      <c r="F296" s="31"/>
      <c r="G296"/>
      <c r="H296" s="27">
        <f>IF($G296&lt;&gt;0,SUMIF(куб!$G:$G,$G296,куб!H:H),IF($E296&lt;&gt;0,SUMIF(куб!$E:$E,$E296,куб!H:H),IF($D296&lt;&gt;0,SUMIF(куб!$D:$D,$D296,куб!H:H),IF($C296&lt;&gt;0,SUMIF(куб!$C:$C,$C296,куб!H:H),IF($B296&lt;&gt;0,SUMIF(куб!$B:$B,$B296,куб!H:H),IF($G296&lt;&gt;0,SUMIF(куб!$A:$A,$G296,куб!H:H),SUMIF(куб!$A:$A,$G296,куб!H:H)))))))</f>
        <v>0</v>
      </c>
      <c r="I296" s="27">
        <f>IF($G296&lt;&gt;0,SUMIF(куб!$G:$G,$G296,куб!I:I),IF($E296&lt;&gt;0,SUMIF(куб!$E:$E,$E296,куб!I:I),IF($D296&lt;&gt;0,SUMIF(куб!$D:$D,$D296,куб!I:I),IF($C296&lt;&gt;0,SUMIF(куб!$C:$C,$C296,куб!I:I),IF($B296&lt;&gt;0,SUMIF(куб!$B:$B,$B296,куб!I:I),IF($G296&lt;&gt;0,SUMIF(куб!$A:$A,$G296,куб!I:I),SUMIF(куб!$A:$A,$G296,куб!I:I)))))))</f>
        <v>0</v>
      </c>
      <c r="J296" s="19" t="str">
        <f t="shared" si="111"/>
        <v>-</v>
      </c>
      <c r="K296" s="8"/>
      <c r="L296" s="17">
        <f t="shared" si="112"/>
        <v>0</v>
      </c>
      <c r="M296" s="17">
        <f t="shared" si="113"/>
        <v>0</v>
      </c>
      <c r="N296" s="12">
        <f t="shared" si="114"/>
        <v>0</v>
      </c>
      <c r="O296" s="5"/>
      <c r="P296" s="27" t="b">
        <f>IF($G296&lt;&gt;0,SUMIF(куб!$G:$G,$G296,куб!J:J),IF($E296&lt;&gt;0,SUMIF(куб!$E:$E,$E296,куб!J:J),IF($D296&lt;&gt;0,SUMIF(куб!$D:$D,$D296,куб!J:J),IF($C296&lt;&gt;0,SUMIF(куб!$C:$C,$C296,куб!J:J),IF($B296&lt;&gt;0,SUMIF(куб!$B:$B,$B296,куб!J:J))))))</f>
        <v>0</v>
      </c>
      <c r="Q296" s="27" t="b">
        <f>IF($G296&lt;&gt;0,SUMIF(куб!$G:$G,$G296,куб!K:K),IF($E296&lt;&gt;0,SUMIF(куб!$E:$E,$E296,куб!K:K),IF($D296&lt;&gt;0,SUMIF(куб!$D:$D,$D296,куб!K:K),IF($C296&lt;&gt;0,SUMIF(куб!$C:$C,$C296,куб!K:K),IF($B296&lt;&gt;0,SUMIF(куб!$B:$B,$B296,куб!K:K))))))</f>
        <v>0</v>
      </c>
      <c r="R296" s="13" t="str">
        <f t="shared" si="115"/>
        <v>-</v>
      </c>
      <c r="S296" s="5"/>
      <c r="T296" s="27" t="b">
        <f>IF($G296&lt;&gt;0,SUMIF(куб!$G:$G,$G296,куб!L:L),IF($E296&lt;&gt;0,SUMIF(куб!$E:$E,$E296,куб!L:L),IF($D296&lt;&gt;0,SUMIF(куб!$D:$D,$D296,куб!L:L),IF($C296&lt;&gt;0,SUMIF(куб!$C:$C,$C296,куб!L:L),IF($B296&lt;&gt;0,SUMIF(куб!$B:$B,$B296,куб!L:L))))))</f>
        <v>0</v>
      </c>
      <c r="U296" s="27" t="b">
        <f>IF($G296&lt;&gt;0,SUMIF(куб!$G:$G,$G296,куб!M:M),IF($E296&lt;&gt;0,SUMIF(куб!$E:$E,$E296,куб!M:M),IF($D296&lt;&gt;0,SUMIF(куб!$D:$D,$D296,куб!M:M),IF($C296&lt;&gt;0,SUMIF(куб!$C:$C,$C296,куб!M:M),IF($B296&lt;&gt;0,SUMIF(куб!$B:$B,$B296,куб!M:M))))))</f>
        <v>0</v>
      </c>
      <c r="V296" s="13" t="str">
        <f t="shared" si="116"/>
        <v>-</v>
      </c>
      <c r="W296" s="5"/>
      <c r="X296" s="27" t="b">
        <f>IF($G296&lt;&gt;0,SUMIF(куб!$G:$G,$G296,куб!N:N),IF($E296&lt;&gt;0,SUMIF(куб!$E:$E,$E296,куб!N:N),IF($D296&lt;&gt;0,SUMIF(куб!$D:$D,$D296,куб!N:N),IF($C296&lt;&gt;0,SUMIF(куб!$C:$C,$C296,куб!N:N),IF($B296&lt;&gt;0,SUMIF(куб!$B:$B,$B296,куб!N:N))))))</f>
        <v>0</v>
      </c>
      <c r="Y296" s="27" t="b">
        <f>IF($G296&lt;&gt;0,SUMIF(куб!$G:$G,$G296,куб!O:O),IF($E296&lt;&gt;0,SUMIF(куб!$E:$E,$E296,куб!O:O),IF($D296&lt;&gt;0,SUMIF(куб!$D:$D,$D296,куб!O:O),IF($C296&lt;&gt;0,SUMIF(куб!$C:$C,$C296,куб!O:O),IF($B296&lt;&gt;0,SUMIF(куб!$B:$B,$B296,куб!O:O))))))</f>
        <v>0</v>
      </c>
      <c r="Z296" s="13" t="str">
        <f t="shared" si="117"/>
        <v>-</v>
      </c>
      <c r="AA296" s="5"/>
      <c r="AB296" s="33" t="str">
        <f t="shared" si="118"/>
        <v/>
      </c>
      <c r="AC296" s="33" t="str">
        <f t="shared" si="119"/>
        <v/>
      </c>
      <c r="AD296" s="15" t="str">
        <f t="shared" si="120"/>
        <v xml:space="preserve"> </v>
      </c>
      <c r="AE296" s="5"/>
      <c r="AF296" s="27" t="b">
        <f>IF($G296&lt;&gt;0,SUMIF(куб!$G:$G,$G296,куб!R:R),IF($E296&lt;&gt;0,SUMIF(куб!$E:$E,$E296,куб!R:R),IF($D296&lt;&gt;0,SUMIF(куб!$D:$D,$D296,куб!R:R),IF($C296&lt;&gt;0,SUMIF(куб!$C:$C,$C296,куб!R:R),IF($B296&lt;&gt;0,SUMIF(куб!$B:$B,$B296,куб!R:R))))))</f>
        <v>0</v>
      </c>
      <c r="AG296" s="27" t="b">
        <f>IF($G296&lt;&gt;0,SUMIF(куб!$G:$G,$G296,куб!S:S),IF($E296&lt;&gt;0,SUMIF(куб!$E:$E,$E296,куб!S:S),IF($D296&lt;&gt;0,SUMIF(куб!$D:$D,$D296,куб!S:S),IF($C296&lt;&gt;0,SUMIF(куб!$C:$C,$C296,куб!S:S),IF($B296&lt;&gt;0,SUMIF(куб!$B:$B,$B296,куб!S:S))))))</f>
        <v>0</v>
      </c>
      <c r="AH296" s="16" t="str">
        <f t="shared" si="121"/>
        <v>-</v>
      </c>
      <c r="AI296" s="8"/>
      <c r="AJ296" s="27" t="b">
        <f>IF($G296&lt;&gt;0,SUMIF(куб!$G:$G,$G296,куб!T:T),IF($E296&lt;&gt;0,SUMIF(куб!$E:$E,$E296,куб!T:T),IF($D296&lt;&gt;0,SUMIF(куб!$D:$D,$D296,куб!T:T),IF($C296&lt;&gt;0,SUMIF(куб!$C:$C,$C296,куб!T:T),IF($B296&lt;&gt;0,SUMIF(куб!$B:$B,$B296,куб!T:T))))))</f>
        <v>0</v>
      </c>
      <c r="AK296" s="27" t="b">
        <f>IF($G296&lt;&gt;0,SUMIF(куб!$G:$G,$G296,куб!U:U),IF($E296&lt;&gt;0,SUMIF(куб!$E:$E,$E296,куб!U:U),IF($D296&lt;&gt;0,SUMIF(куб!$D:$D,$D296,куб!U:U),IF($C296&lt;&gt;0,SUMIF(куб!$C:$C,$C296,куб!U:U),IF($B296&lt;&gt;0,SUMIF(куб!$B:$B,$B296,куб!U:U))))))</f>
        <v>0</v>
      </c>
      <c r="AL296" s="16" t="str">
        <f t="shared" si="122"/>
        <v>-</v>
      </c>
      <c r="AM296" s="8"/>
      <c r="AN296" s="17" t="str">
        <f t="shared" si="123"/>
        <v xml:space="preserve"> </v>
      </c>
      <c r="AO296" s="17" t="str">
        <f t="shared" si="124"/>
        <v xml:space="preserve"> </v>
      </c>
      <c r="AP296" s="16" t="str">
        <f t="shared" si="125"/>
        <v>-</v>
      </c>
      <c r="AQ296" s="8"/>
      <c r="AR296" s="17" t="str">
        <f t="shared" si="126"/>
        <v>-</v>
      </c>
      <c r="AS296" s="17" t="str">
        <f t="shared" si="127"/>
        <v>-</v>
      </c>
      <c r="AT296" s="13" t="str">
        <f t="shared" si="128"/>
        <v>-</v>
      </c>
      <c r="AU296" s="8"/>
    </row>
    <row r="297" spans="1:47" ht="15" customHeight="1" x14ac:dyDescent="0.25">
      <c r="A297" s="31"/>
      <c r="B297" s="31"/>
      <c r="C297"/>
      <c r="D297" s="31"/>
      <c r="E297"/>
      <c r="F297" s="31"/>
      <c r="G297"/>
      <c r="H297" s="27">
        <f>IF($G297&lt;&gt;0,SUMIF(куб!$G:$G,$G297,куб!H:H),IF($E297&lt;&gt;0,SUMIF(куб!$E:$E,$E297,куб!H:H),IF($D297&lt;&gt;0,SUMIF(куб!$D:$D,$D297,куб!H:H),IF($C297&lt;&gt;0,SUMIF(куб!$C:$C,$C297,куб!H:H),IF($B297&lt;&gt;0,SUMIF(куб!$B:$B,$B297,куб!H:H),IF($G297&lt;&gt;0,SUMIF(куб!$A:$A,$G297,куб!H:H),SUMIF(куб!$A:$A,$G297,куб!H:H)))))))</f>
        <v>0</v>
      </c>
      <c r="I297" s="27">
        <f>IF($G297&lt;&gt;0,SUMIF(куб!$G:$G,$G297,куб!I:I),IF($E297&lt;&gt;0,SUMIF(куб!$E:$E,$E297,куб!I:I),IF($D297&lt;&gt;0,SUMIF(куб!$D:$D,$D297,куб!I:I),IF($C297&lt;&gt;0,SUMIF(куб!$C:$C,$C297,куб!I:I),IF($B297&lt;&gt;0,SUMIF(куб!$B:$B,$B297,куб!I:I),IF($G297&lt;&gt;0,SUMIF(куб!$A:$A,$G297,куб!I:I),SUMIF(куб!$A:$A,$G297,куб!I:I)))))))</f>
        <v>0</v>
      </c>
      <c r="J297" s="19" t="str">
        <f t="shared" si="111"/>
        <v>-</v>
      </c>
      <c r="K297" s="8"/>
      <c r="L297" s="17">
        <f t="shared" si="112"/>
        <v>0</v>
      </c>
      <c r="M297" s="17">
        <f t="shared" si="113"/>
        <v>0</v>
      </c>
      <c r="N297" s="12">
        <f t="shared" si="114"/>
        <v>0</v>
      </c>
      <c r="O297" s="5"/>
      <c r="P297" s="27" t="b">
        <f>IF($G297&lt;&gt;0,SUMIF(куб!$G:$G,$G297,куб!J:J),IF($E297&lt;&gt;0,SUMIF(куб!$E:$E,$E297,куб!J:J),IF($D297&lt;&gt;0,SUMIF(куб!$D:$D,$D297,куб!J:J),IF($C297&lt;&gt;0,SUMIF(куб!$C:$C,$C297,куб!J:J),IF($B297&lt;&gt;0,SUMIF(куб!$B:$B,$B297,куб!J:J))))))</f>
        <v>0</v>
      </c>
      <c r="Q297" s="27" t="b">
        <f>IF($G297&lt;&gt;0,SUMIF(куб!$G:$G,$G297,куб!K:K),IF($E297&lt;&gt;0,SUMIF(куб!$E:$E,$E297,куб!K:K),IF($D297&lt;&gt;0,SUMIF(куб!$D:$D,$D297,куб!K:K),IF($C297&lt;&gt;0,SUMIF(куб!$C:$C,$C297,куб!K:K),IF($B297&lt;&gt;0,SUMIF(куб!$B:$B,$B297,куб!K:K))))))</f>
        <v>0</v>
      </c>
      <c r="R297" s="13" t="str">
        <f t="shared" si="115"/>
        <v>-</v>
      </c>
      <c r="S297" s="5"/>
      <c r="T297" s="27" t="b">
        <f>IF($G297&lt;&gt;0,SUMIF(куб!$G:$G,$G297,куб!L:L),IF($E297&lt;&gt;0,SUMIF(куб!$E:$E,$E297,куб!L:L),IF($D297&lt;&gt;0,SUMIF(куб!$D:$D,$D297,куб!L:L),IF($C297&lt;&gt;0,SUMIF(куб!$C:$C,$C297,куб!L:L),IF($B297&lt;&gt;0,SUMIF(куб!$B:$B,$B297,куб!L:L))))))</f>
        <v>0</v>
      </c>
      <c r="U297" s="27" t="b">
        <f>IF($G297&lt;&gt;0,SUMIF(куб!$G:$G,$G297,куб!M:M),IF($E297&lt;&gt;0,SUMIF(куб!$E:$E,$E297,куб!M:M),IF($D297&lt;&gt;0,SUMIF(куб!$D:$D,$D297,куб!M:M),IF($C297&lt;&gt;0,SUMIF(куб!$C:$C,$C297,куб!M:M),IF($B297&lt;&gt;0,SUMIF(куб!$B:$B,$B297,куб!M:M))))))</f>
        <v>0</v>
      </c>
      <c r="V297" s="13" t="str">
        <f t="shared" si="116"/>
        <v>-</v>
      </c>
      <c r="W297" s="5"/>
      <c r="X297" s="27" t="b">
        <f>IF($G297&lt;&gt;0,SUMIF(куб!$G:$G,$G297,куб!N:N),IF($E297&lt;&gt;0,SUMIF(куб!$E:$E,$E297,куб!N:N),IF($D297&lt;&gt;0,SUMIF(куб!$D:$D,$D297,куб!N:N),IF($C297&lt;&gt;0,SUMIF(куб!$C:$C,$C297,куб!N:N),IF($B297&lt;&gt;0,SUMIF(куб!$B:$B,$B297,куб!N:N))))))</f>
        <v>0</v>
      </c>
      <c r="Y297" s="27" t="b">
        <f>IF($G297&lt;&gt;0,SUMIF(куб!$G:$G,$G297,куб!O:O),IF($E297&lt;&gt;0,SUMIF(куб!$E:$E,$E297,куб!O:O),IF($D297&lt;&gt;0,SUMIF(куб!$D:$D,$D297,куб!O:O),IF($C297&lt;&gt;0,SUMIF(куб!$C:$C,$C297,куб!O:O),IF($B297&lt;&gt;0,SUMIF(куб!$B:$B,$B297,куб!O:O))))))</f>
        <v>0</v>
      </c>
      <c r="Z297" s="13" t="str">
        <f t="shared" si="117"/>
        <v>-</v>
      </c>
      <c r="AA297" s="5"/>
      <c r="AB297" s="33" t="str">
        <f t="shared" si="118"/>
        <v/>
      </c>
      <c r="AC297" s="33" t="str">
        <f t="shared" si="119"/>
        <v/>
      </c>
      <c r="AD297" s="15" t="str">
        <f t="shared" si="120"/>
        <v xml:space="preserve"> </v>
      </c>
      <c r="AE297" s="5"/>
      <c r="AF297" s="27" t="b">
        <f>IF($G297&lt;&gt;0,SUMIF(куб!$G:$G,$G297,куб!R:R),IF($E297&lt;&gt;0,SUMIF(куб!$E:$E,$E297,куб!R:R),IF($D297&lt;&gt;0,SUMIF(куб!$D:$D,$D297,куб!R:R),IF($C297&lt;&gt;0,SUMIF(куб!$C:$C,$C297,куб!R:R),IF($B297&lt;&gt;0,SUMIF(куб!$B:$B,$B297,куб!R:R))))))</f>
        <v>0</v>
      </c>
      <c r="AG297" s="27" t="b">
        <f>IF($G297&lt;&gt;0,SUMIF(куб!$G:$G,$G297,куб!S:S),IF($E297&lt;&gt;0,SUMIF(куб!$E:$E,$E297,куб!S:S),IF($D297&lt;&gt;0,SUMIF(куб!$D:$D,$D297,куб!S:S),IF($C297&lt;&gt;0,SUMIF(куб!$C:$C,$C297,куб!S:S),IF($B297&lt;&gt;0,SUMIF(куб!$B:$B,$B297,куб!S:S))))))</f>
        <v>0</v>
      </c>
      <c r="AH297" s="16" t="str">
        <f t="shared" si="121"/>
        <v>-</v>
      </c>
      <c r="AI297" s="8"/>
      <c r="AJ297" s="27" t="b">
        <f>IF($G297&lt;&gt;0,SUMIF(куб!$G:$G,$G297,куб!T:T),IF($E297&lt;&gt;0,SUMIF(куб!$E:$E,$E297,куб!T:T),IF($D297&lt;&gt;0,SUMIF(куб!$D:$D,$D297,куб!T:T),IF($C297&lt;&gt;0,SUMIF(куб!$C:$C,$C297,куб!T:T),IF($B297&lt;&gt;0,SUMIF(куб!$B:$B,$B297,куб!T:T))))))</f>
        <v>0</v>
      </c>
      <c r="AK297" s="27" t="b">
        <f>IF($G297&lt;&gt;0,SUMIF(куб!$G:$G,$G297,куб!U:U),IF($E297&lt;&gt;0,SUMIF(куб!$E:$E,$E297,куб!U:U),IF($D297&lt;&gt;0,SUMIF(куб!$D:$D,$D297,куб!U:U),IF($C297&lt;&gt;0,SUMIF(куб!$C:$C,$C297,куб!U:U),IF($B297&lt;&gt;0,SUMIF(куб!$B:$B,$B297,куб!U:U))))))</f>
        <v>0</v>
      </c>
      <c r="AL297" s="16" t="str">
        <f t="shared" si="122"/>
        <v>-</v>
      </c>
      <c r="AM297" s="8"/>
      <c r="AN297" s="17" t="str">
        <f t="shared" si="123"/>
        <v xml:space="preserve"> </v>
      </c>
      <c r="AO297" s="17" t="str">
        <f t="shared" si="124"/>
        <v xml:space="preserve"> </v>
      </c>
      <c r="AP297" s="16" t="str">
        <f t="shared" si="125"/>
        <v>-</v>
      </c>
      <c r="AQ297" s="8"/>
      <c r="AR297" s="17" t="str">
        <f t="shared" si="126"/>
        <v>-</v>
      </c>
      <c r="AS297" s="17" t="str">
        <f t="shared" si="127"/>
        <v>-</v>
      </c>
      <c r="AT297" s="13" t="str">
        <f t="shared" si="128"/>
        <v>-</v>
      </c>
      <c r="AU297" s="8"/>
    </row>
    <row r="298" spans="1:47" ht="15" customHeight="1" x14ac:dyDescent="0.25">
      <c r="A298" s="31"/>
      <c r="B298" s="31"/>
      <c r="C298"/>
      <c r="D298" s="31"/>
      <c r="E298"/>
      <c r="F298" s="31"/>
      <c r="G298"/>
      <c r="H298" s="27">
        <f>IF($G298&lt;&gt;0,SUMIF(куб!$G:$G,$G298,куб!H:H),IF($E298&lt;&gt;0,SUMIF(куб!$E:$E,$E298,куб!H:H),IF($D298&lt;&gt;0,SUMIF(куб!$D:$D,$D298,куб!H:H),IF($C298&lt;&gt;0,SUMIF(куб!$C:$C,$C298,куб!H:H),IF($B298&lt;&gt;0,SUMIF(куб!$B:$B,$B298,куб!H:H),IF($G298&lt;&gt;0,SUMIF(куб!$A:$A,$G298,куб!H:H),SUMIF(куб!$A:$A,$G298,куб!H:H)))))))</f>
        <v>0</v>
      </c>
      <c r="I298" s="27">
        <f>IF($G298&lt;&gt;0,SUMIF(куб!$G:$G,$G298,куб!I:I),IF($E298&lt;&gt;0,SUMIF(куб!$E:$E,$E298,куб!I:I),IF($D298&lt;&gt;0,SUMIF(куб!$D:$D,$D298,куб!I:I),IF($C298&lt;&gt;0,SUMIF(куб!$C:$C,$C298,куб!I:I),IF($B298&lt;&gt;0,SUMIF(куб!$B:$B,$B298,куб!I:I),IF($G298&lt;&gt;0,SUMIF(куб!$A:$A,$G298,куб!I:I),SUMIF(куб!$A:$A,$G298,куб!I:I)))))))</f>
        <v>0</v>
      </c>
      <c r="J298" s="19" t="str">
        <f t="shared" si="111"/>
        <v>-</v>
      </c>
      <c r="K298" s="8"/>
      <c r="L298" s="17">
        <f t="shared" si="112"/>
        <v>0</v>
      </c>
      <c r="M298" s="17">
        <f t="shared" si="113"/>
        <v>0</v>
      </c>
      <c r="N298" s="12">
        <f t="shared" si="114"/>
        <v>0</v>
      </c>
      <c r="O298" s="5"/>
      <c r="P298" s="27" t="b">
        <f>IF($G298&lt;&gt;0,SUMIF(куб!$G:$G,$G298,куб!J:J),IF($E298&lt;&gt;0,SUMIF(куб!$E:$E,$E298,куб!J:J),IF($D298&lt;&gt;0,SUMIF(куб!$D:$D,$D298,куб!J:J),IF($C298&lt;&gt;0,SUMIF(куб!$C:$C,$C298,куб!J:J),IF($B298&lt;&gt;0,SUMIF(куб!$B:$B,$B298,куб!J:J))))))</f>
        <v>0</v>
      </c>
      <c r="Q298" s="27" t="b">
        <f>IF($G298&lt;&gt;0,SUMIF(куб!$G:$G,$G298,куб!K:K),IF($E298&lt;&gt;0,SUMIF(куб!$E:$E,$E298,куб!K:K),IF($D298&lt;&gt;0,SUMIF(куб!$D:$D,$D298,куб!K:K),IF($C298&lt;&gt;0,SUMIF(куб!$C:$C,$C298,куб!K:K),IF($B298&lt;&gt;0,SUMIF(куб!$B:$B,$B298,куб!K:K))))))</f>
        <v>0</v>
      </c>
      <c r="R298" s="13" t="str">
        <f t="shared" si="115"/>
        <v>-</v>
      </c>
      <c r="S298" s="5"/>
      <c r="T298" s="27" t="b">
        <f>IF($G298&lt;&gt;0,SUMIF(куб!$G:$G,$G298,куб!L:L),IF($E298&lt;&gt;0,SUMIF(куб!$E:$E,$E298,куб!L:L),IF($D298&lt;&gt;0,SUMIF(куб!$D:$D,$D298,куб!L:L),IF($C298&lt;&gt;0,SUMIF(куб!$C:$C,$C298,куб!L:L),IF($B298&lt;&gt;0,SUMIF(куб!$B:$B,$B298,куб!L:L))))))</f>
        <v>0</v>
      </c>
      <c r="U298" s="27" t="b">
        <f>IF($G298&lt;&gt;0,SUMIF(куб!$G:$G,$G298,куб!M:M),IF($E298&lt;&gt;0,SUMIF(куб!$E:$E,$E298,куб!M:M),IF($D298&lt;&gt;0,SUMIF(куб!$D:$D,$D298,куб!M:M),IF($C298&lt;&gt;0,SUMIF(куб!$C:$C,$C298,куб!M:M),IF($B298&lt;&gt;0,SUMIF(куб!$B:$B,$B298,куб!M:M))))))</f>
        <v>0</v>
      </c>
      <c r="V298" s="13" t="str">
        <f t="shared" si="116"/>
        <v>-</v>
      </c>
      <c r="W298" s="5"/>
      <c r="X298" s="27" t="b">
        <f>IF($G298&lt;&gt;0,SUMIF(куб!$G:$G,$G298,куб!N:N),IF($E298&lt;&gt;0,SUMIF(куб!$E:$E,$E298,куб!N:N),IF($D298&lt;&gt;0,SUMIF(куб!$D:$D,$D298,куб!N:N),IF($C298&lt;&gt;0,SUMIF(куб!$C:$C,$C298,куб!N:N),IF($B298&lt;&gt;0,SUMIF(куб!$B:$B,$B298,куб!N:N))))))</f>
        <v>0</v>
      </c>
      <c r="Y298" s="27" t="b">
        <f>IF($G298&lt;&gt;0,SUMIF(куб!$G:$G,$G298,куб!O:O),IF($E298&lt;&gt;0,SUMIF(куб!$E:$E,$E298,куб!O:O),IF($D298&lt;&gt;0,SUMIF(куб!$D:$D,$D298,куб!O:O),IF($C298&lt;&gt;0,SUMIF(куб!$C:$C,$C298,куб!O:O),IF($B298&lt;&gt;0,SUMIF(куб!$B:$B,$B298,куб!O:O))))))</f>
        <v>0</v>
      </c>
      <c r="Z298" s="13" t="str">
        <f t="shared" si="117"/>
        <v>-</v>
      </c>
      <c r="AA298" s="5"/>
      <c r="AB298" s="33" t="str">
        <f t="shared" si="118"/>
        <v/>
      </c>
      <c r="AC298" s="33" t="str">
        <f t="shared" si="119"/>
        <v/>
      </c>
      <c r="AD298" s="15" t="str">
        <f t="shared" si="120"/>
        <v xml:space="preserve"> </v>
      </c>
      <c r="AE298" s="5"/>
      <c r="AF298" s="27" t="b">
        <f>IF($G298&lt;&gt;0,SUMIF(куб!$G:$G,$G298,куб!R:R),IF($E298&lt;&gt;0,SUMIF(куб!$E:$E,$E298,куб!R:R),IF($D298&lt;&gt;0,SUMIF(куб!$D:$D,$D298,куб!R:R),IF($C298&lt;&gt;0,SUMIF(куб!$C:$C,$C298,куб!R:R),IF($B298&lt;&gt;0,SUMIF(куб!$B:$B,$B298,куб!R:R))))))</f>
        <v>0</v>
      </c>
      <c r="AG298" s="27" t="b">
        <f>IF($G298&lt;&gt;0,SUMIF(куб!$G:$G,$G298,куб!S:S),IF($E298&lt;&gt;0,SUMIF(куб!$E:$E,$E298,куб!S:S),IF($D298&lt;&gt;0,SUMIF(куб!$D:$D,$D298,куб!S:S),IF($C298&lt;&gt;0,SUMIF(куб!$C:$C,$C298,куб!S:S),IF($B298&lt;&gt;0,SUMIF(куб!$B:$B,$B298,куб!S:S))))))</f>
        <v>0</v>
      </c>
      <c r="AH298" s="16" t="str">
        <f t="shared" si="121"/>
        <v>-</v>
      </c>
      <c r="AI298" s="8"/>
      <c r="AJ298" s="27" t="b">
        <f>IF($G298&lt;&gt;0,SUMIF(куб!$G:$G,$G298,куб!T:T),IF($E298&lt;&gt;0,SUMIF(куб!$E:$E,$E298,куб!T:T),IF($D298&lt;&gt;0,SUMIF(куб!$D:$D,$D298,куб!T:T),IF($C298&lt;&gt;0,SUMIF(куб!$C:$C,$C298,куб!T:T),IF($B298&lt;&gt;0,SUMIF(куб!$B:$B,$B298,куб!T:T))))))</f>
        <v>0</v>
      </c>
      <c r="AK298" s="27" t="b">
        <f>IF($G298&lt;&gt;0,SUMIF(куб!$G:$G,$G298,куб!U:U),IF($E298&lt;&gt;0,SUMIF(куб!$E:$E,$E298,куб!U:U),IF($D298&lt;&gt;0,SUMIF(куб!$D:$D,$D298,куб!U:U),IF($C298&lt;&gt;0,SUMIF(куб!$C:$C,$C298,куб!U:U),IF($B298&lt;&gt;0,SUMIF(куб!$B:$B,$B298,куб!U:U))))))</f>
        <v>0</v>
      </c>
      <c r="AL298" s="16" t="str">
        <f t="shared" si="122"/>
        <v>-</v>
      </c>
      <c r="AM298" s="8"/>
      <c r="AN298" s="17" t="str">
        <f t="shared" si="123"/>
        <v xml:space="preserve"> </v>
      </c>
      <c r="AO298" s="17" t="str">
        <f t="shared" si="124"/>
        <v xml:space="preserve"> </v>
      </c>
      <c r="AP298" s="16" t="str">
        <f t="shared" si="125"/>
        <v>-</v>
      </c>
      <c r="AQ298" s="8"/>
      <c r="AR298" s="17" t="str">
        <f t="shared" si="126"/>
        <v>-</v>
      </c>
      <c r="AS298" s="17" t="str">
        <f t="shared" si="127"/>
        <v>-</v>
      </c>
      <c r="AT298" s="13" t="str">
        <f t="shared" si="128"/>
        <v>-</v>
      </c>
      <c r="AU298" s="8"/>
    </row>
    <row r="299" spans="1:47" ht="15" customHeight="1" x14ac:dyDescent="0.25">
      <c r="A299" s="31"/>
      <c r="B299" s="31"/>
      <c r="C299"/>
      <c r="D299" s="31"/>
      <c r="E299"/>
      <c r="F299" s="31"/>
      <c r="G299"/>
      <c r="H299" s="27">
        <f>IF($G299&lt;&gt;0,SUMIF(куб!$G:$G,$G299,куб!H:H),IF($E299&lt;&gt;0,SUMIF(куб!$E:$E,$E299,куб!H:H),IF($D299&lt;&gt;0,SUMIF(куб!$D:$D,$D299,куб!H:H),IF($C299&lt;&gt;0,SUMIF(куб!$C:$C,$C299,куб!H:H),IF($B299&lt;&gt;0,SUMIF(куб!$B:$B,$B299,куб!H:H),IF($G299&lt;&gt;0,SUMIF(куб!$A:$A,$G299,куб!H:H),SUMIF(куб!$A:$A,$G299,куб!H:H)))))))</f>
        <v>0</v>
      </c>
      <c r="I299" s="27">
        <f>IF($G299&lt;&gt;0,SUMIF(куб!$G:$G,$G299,куб!I:I),IF($E299&lt;&gt;0,SUMIF(куб!$E:$E,$E299,куб!I:I),IF($D299&lt;&gt;0,SUMIF(куб!$D:$D,$D299,куб!I:I),IF($C299&lt;&gt;0,SUMIF(куб!$C:$C,$C299,куб!I:I),IF($B299&lt;&gt;0,SUMIF(куб!$B:$B,$B299,куб!I:I),IF($G299&lt;&gt;0,SUMIF(куб!$A:$A,$G299,куб!I:I),SUMIF(куб!$A:$A,$G299,куб!I:I)))))))</f>
        <v>0</v>
      </c>
      <c r="J299" s="19" t="str">
        <f t="shared" si="111"/>
        <v>-</v>
      </c>
      <c r="K299" s="8"/>
      <c r="L299" s="17">
        <f t="shared" si="112"/>
        <v>0</v>
      </c>
      <c r="M299" s="17">
        <f t="shared" si="113"/>
        <v>0</v>
      </c>
      <c r="N299" s="12">
        <f t="shared" si="114"/>
        <v>0</v>
      </c>
      <c r="O299" s="5"/>
      <c r="P299" s="27" t="b">
        <f>IF($G299&lt;&gt;0,SUMIF(куб!$G:$G,$G299,куб!J:J),IF($E299&lt;&gt;0,SUMIF(куб!$E:$E,$E299,куб!J:J),IF($D299&lt;&gt;0,SUMIF(куб!$D:$D,$D299,куб!J:J),IF($C299&lt;&gt;0,SUMIF(куб!$C:$C,$C299,куб!J:J),IF($B299&lt;&gt;0,SUMIF(куб!$B:$B,$B299,куб!J:J))))))</f>
        <v>0</v>
      </c>
      <c r="Q299" s="27" t="b">
        <f>IF($G299&lt;&gt;0,SUMIF(куб!$G:$G,$G299,куб!K:K),IF($E299&lt;&gt;0,SUMIF(куб!$E:$E,$E299,куб!K:K),IF($D299&lt;&gt;0,SUMIF(куб!$D:$D,$D299,куб!K:K),IF($C299&lt;&gt;0,SUMIF(куб!$C:$C,$C299,куб!K:K),IF($B299&lt;&gt;0,SUMIF(куб!$B:$B,$B299,куб!K:K))))))</f>
        <v>0</v>
      </c>
      <c r="R299" s="13" t="str">
        <f t="shared" si="115"/>
        <v>-</v>
      </c>
      <c r="S299" s="5"/>
      <c r="T299" s="27" t="b">
        <f>IF($G299&lt;&gt;0,SUMIF(куб!$G:$G,$G299,куб!L:L),IF($E299&lt;&gt;0,SUMIF(куб!$E:$E,$E299,куб!L:L),IF($D299&lt;&gt;0,SUMIF(куб!$D:$D,$D299,куб!L:L),IF($C299&lt;&gt;0,SUMIF(куб!$C:$C,$C299,куб!L:L),IF($B299&lt;&gt;0,SUMIF(куб!$B:$B,$B299,куб!L:L))))))</f>
        <v>0</v>
      </c>
      <c r="U299" s="27" t="b">
        <f>IF($G299&lt;&gt;0,SUMIF(куб!$G:$G,$G299,куб!M:M),IF($E299&lt;&gt;0,SUMIF(куб!$E:$E,$E299,куб!M:M),IF($D299&lt;&gt;0,SUMIF(куб!$D:$D,$D299,куб!M:M),IF($C299&lt;&gt;0,SUMIF(куб!$C:$C,$C299,куб!M:M),IF($B299&lt;&gt;0,SUMIF(куб!$B:$B,$B299,куб!M:M))))))</f>
        <v>0</v>
      </c>
      <c r="V299" s="13" t="str">
        <f t="shared" si="116"/>
        <v>-</v>
      </c>
      <c r="W299" s="5"/>
      <c r="X299" s="27" t="b">
        <f>IF($G299&lt;&gt;0,SUMIF(куб!$G:$G,$G299,куб!N:N),IF($E299&lt;&gt;0,SUMIF(куб!$E:$E,$E299,куб!N:N),IF($D299&lt;&gt;0,SUMIF(куб!$D:$D,$D299,куб!N:N),IF($C299&lt;&gt;0,SUMIF(куб!$C:$C,$C299,куб!N:N),IF($B299&lt;&gt;0,SUMIF(куб!$B:$B,$B299,куб!N:N))))))</f>
        <v>0</v>
      </c>
      <c r="Y299" s="27" t="b">
        <f>IF($G299&lt;&gt;0,SUMIF(куб!$G:$G,$G299,куб!O:O),IF($E299&lt;&gt;0,SUMIF(куб!$E:$E,$E299,куб!O:O),IF($D299&lt;&gt;0,SUMIF(куб!$D:$D,$D299,куб!O:O),IF($C299&lt;&gt;0,SUMIF(куб!$C:$C,$C299,куб!O:O),IF($B299&lt;&gt;0,SUMIF(куб!$B:$B,$B299,куб!O:O))))))</f>
        <v>0</v>
      </c>
      <c r="Z299" s="13" t="str">
        <f t="shared" si="117"/>
        <v>-</v>
      </c>
      <c r="AA299" s="5"/>
      <c r="AB299" s="33" t="str">
        <f t="shared" si="118"/>
        <v/>
      </c>
      <c r="AC299" s="33" t="str">
        <f t="shared" si="119"/>
        <v/>
      </c>
      <c r="AD299" s="15" t="str">
        <f t="shared" si="120"/>
        <v xml:space="preserve"> </v>
      </c>
      <c r="AE299" s="5"/>
      <c r="AF299" s="27" t="b">
        <f>IF($G299&lt;&gt;0,SUMIF(куб!$G:$G,$G299,куб!R:R),IF($E299&lt;&gt;0,SUMIF(куб!$E:$E,$E299,куб!R:R),IF($D299&lt;&gt;0,SUMIF(куб!$D:$D,$D299,куб!R:R),IF($C299&lt;&gt;0,SUMIF(куб!$C:$C,$C299,куб!R:R),IF($B299&lt;&gt;0,SUMIF(куб!$B:$B,$B299,куб!R:R))))))</f>
        <v>0</v>
      </c>
      <c r="AG299" s="27" t="b">
        <f>IF($G299&lt;&gt;0,SUMIF(куб!$G:$G,$G299,куб!S:S),IF($E299&lt;&gt;0,SUMIF(куб!$E:$E,$E299,куб!S:S),IF($D299&lt;&gt;0,SUMIF(куб!$D:$D,$D299,куб!S:S),IF($C299&lt;&gt;0,SUMIF(куб!$C:$C,$C299,куб!S:S),IF($B299&lt;&gt;0,SUMIF(куб!$B:$B,$B299,куб!S:S))))))</f>
        <v>0</v>
      </c>
      <c r="AH299" s="16" t="str">
        <f t="shared" si="121"/>
        <v>-</v>
      </c>
      <c r="AI299" s="8"/>
      <c r="AJ299" s="27" t="b">
        <f>IF($G299&lt;&gt;0,SUMIF(куб!$G:$G,$G299,куб!T:T),IF($E299&lt;&gt;0,SUMIF(куб!$E:$E,$E299,куб!T:T),IF($D299&lt;&gt;0,SUMIF(куб!$D:$D,$D299,куб!T:T),IF($C299&lt;&gt;0,SUMIF(куб!$C:$C,$C299,куб!T:T),IF($B299&lt;&gt;0,SUMIF(куб!$B:$B,$B299,куб!T:T))))))</f>
        <v>0</v>
      </c>
      <c r="AK299" s="27" t="b">
        <f>IF($G299&lt;&gt;0,SUMIF(куб!$G:$G,$G299,куб!U:U),IF($E299&lt;&gt;0,SUMIF(куб!$E:$E,$E299,куб!U:U),IF($D299&lt;&gt;0,SUMIF(куб!$D:$D,$D299,куб!U:U),IF($C299&lt;&gt;0,SUMIF(куб!$C:$C,$C299,куб!U:U),IF($B299&lt;&gt;0,SUMIF(куб!$B:$B,$B299,куб!U:U))))))</f>
        <v>0</v>
      </c>
      <c r="AL299" s="16" t="str">
        <f t="shared" si="122"/>
        <v>-</v>
      </c>
      <c r="AM299" s="8"/>
      <c r="AN299" s="17" t="str">
        <f t="shared" si="123"/>
        <v xml:space="preserve"> </v>
      </c>
      <c r="AO299" s="17" t="str">
        <f t="shared" si="124"/>
        <v xml:space="preserve"> </v>
      </c>
      <c r="AP299" s="16" t="str">
        <f t="shared" si="125"/>
        <v>-</v>
      </c>
      <c r="AQ299" s="8"/>
      <c r="AR299" s="17" t="str">
        <f t="shared" si="126"/>
        <v>-</v>
      </c>
      <c r="AS299" s="17" t="str">
        <f t="shared" si="127"/>
        <v>-</v>
      </c>
      <c r="AT299" s="13" t="str">
        <f t="shared" si="128"/>
        <v>-</v>
      </c>
      <c r="AU299" s="8"/>
    </row>
    <row r="300" spans="1:47" x14ac:dyDescent="0.25">
      <c r="A300" s="31"/>
      <c r="B300" s="31"/>
      <c r="C300"/>
      <c r="D300" s="31"/>
      <c r="E300"/>
      <c r="F300" s="31"/>
      <c r="G300"/>
      <c r="H300" s="27">
        <f>IF($G300&lt;&gt;0,SUMIF(куб!$G:$G,$G300,куб!H:H),IF($E300&lt;&gt;0,SUMIF(куб!$E:$E,$E300,куб!H:H),IF($D300&lt;&gt;0,SUMIF(куб!$D:$D,$D300,куб!H:H),IF($C300&lt;&gt;0,SUMIF(куб!$C:$C,$C300,куб!H:H),IF($B300&lt;&gt;0,SUMIF(куб!$B:$B,$B300,куб!H:H),IF($G300&lt;&gt;0,SUMIF(куб!$A:$A,$G300,куб!H:H),SUMIF(куб!$A:$A,$G300,куб!H:H)))))))</f>
        <v>0</v>
      </c>
      <c r="I300" s="27">
        <f>IF($G300&lt;&gt;0,SUMIF(куб!$G:$G,$G300,куб!I:I),IF($E300&lt;&gt;0,SUMIF(куб!$E:$E,$E300,куб!I:I),IF($D300&lt;&gt;0,SUMIF(куб!$D:$D,$D300,куб!I:I),IF($C300&lt;&gt;0,SUMIF(куб!$C:$C,$C300,куб!I:I),IF($B300&lt;&gt;0,SUMIF(куб!$B:$B,$B300,куб!I:I),IF($G300&lt;&gt;0,SUMIF(куб!$A:$A,$G300,куб!I:I),SUMIF(куб!$A:$A,$G300,куб!I:I)))))))</f>
        <v>0</v>
      </c>
      <c r="J300" s="19" t="str">
        <f t="shared" si="111"/>
        <v>-</v>
      </c>
      <c r="K300" s="8"/>
      <c r="L300" s="17">
        <f t="shared" si="112"/>
        <v>0</v>
      </c>
      <c r="M300" s="17">
        <f t="shared" si="113"/>
        <v>0</v>
      </c>
      <c r="N300" s="12">
        <f t="shared" si="114"/>
        <v>0</v>
      </c>
      <c r="O300" s="5"/>
      <c r="P300" s="27" t="b">
        <f>IF($G300&lt;&gt;0,SUMIF(куб!$G:$G,$G300,куб!J:J),IF($E300&lt;&gt;0,SUMIF(куб!$E:$E,$E300,куб!J:J),IF($D300&lt;&gt;0,SUMIF(куб!$D:$D,$D300,куб!J:J),IF($C300&lt;&gt;0,SUMIF(куб!$C:$C,$C300,куб!J:J),IF($B300&lt;&gt;0,SUMIF(куб!$B:$B,$B300,куб!J:J))))))</f>
        <v>0</v>
      </c>
      <c r="Q300" s="27" t="b">
        <f>IF($G300&lt;&gt;0,SUMIF(куб!$G:$G,$G300,куб!K:K),IF($E300&lt;&gt;0,SUMIF(куб!$E:$E,$E300,куб!K:K),IF($D300&lt;&gt;0,SUMIF(куб!$D:$D,$D300,куб!K:K),IF($C300&lt;&gt;0,SUMIF(куб!$C:$C,$C300,куб!K:K),IF($B300&lt;&gt;0,SUMIF(куб!$B:$B,$B300,куб!K:K))))))</f>
        <v>0</v>
      </c>
      <c r="R300" s="13" t="str">
        <f t="shared" si="115"/>
        <v>-</v>
      </c>
      <c r="S300" s="5"/>
      <c r="T300" s="27" t="b">
        <f>IF($G300&lt;&gt;0,SUMIF(куб!$G:$G,$G300,куб!L:L),IF($E300&lt;&gt;0,SUMIF(куб!$E:$E,$E300,куб!L:L),IF($D300&lt;&gt;0,SUMIF(куб!$D:$D,$D300,куб!L:L),IF($C300&lt;&gt;0,SUMIF(куб!$C:$C,$C300,куб!L:L),IF($B300&lt;&gt;0,SUMIF(куб!$B:$B,$B300,куб!L:L))))))</f>
        <v>0</v>
      </c>
      <c r="U300" s="27" t="b">
        <f>IF($G300&lt;&gt;0,SUMIF(куб!$G:$G,$G300,куб!M:M),IF($E300&lt;&gt;0,SUMIF(куб!$E:$E,$E300,куб!M:M),IF($D300&lt;&gt;0,SUMIF(куб!$D:$D,$D300,куб!M:M),IF($C300&lt;&gt;0,SUMIF(куб!$C:$C,$C300,куб!M:M),IF($B300&lt;&gt;0,SUMIF(куб!$B:$B,$B300,куб!M:M))))))</f>
        <v>0</v>
      </c>
      <c r="V300" s="13" t="str">
        <f t="shared" si="116"/>
        <v>-</v>
      </c>
      <c r="W300" s="5"/>
      <c r="X300" s="27" t="b">
        <f>IF($G300&lt;&gt;0,SUMIF(куб!$G:$G,$G300,куб!N:N),IF($E300&lt;&gt;0,SUMIF(куб!$E:$E,$E300,куб!N:N),IF($D300&lt;&gt;0,SUMIF(куб!$D:$D,$D300,куб!N:N),IF($C300&lt;&gt;0,SUMIF(куб!$C:$C,$C300,куб!N:N),IF($B300&lt;&gt;0,SUMIF(куб!$B:$B,$B300,куб!N:N))))))</f>
        <v>0</v>
      </c>
      <c r="Y300" s="27" t="b">
        <f>IF($G300&lt;&gt;0,SUMIF(куб!$G:$G,$G300,куб!O:O),IF($E300&lt;&gt;0,SUMIF(куб!$E:$E,$E300,куб!O:O),IF($D300&lt;&gt;0,SUMIF(куб!$D:$D,$D300,куб!O:O),IF($C300&lt;&gt;0,SUMIF(куб!$C:$C,$C300,куб!O:O),IF($B300&lt;&gt;0,SUMIF(куб!$B:$B,$B300,куб!O:O))))))</f>
        <v>0</v>
      </c>
      <c r="Z300" s="13" t="str">
        <f t="shared" si="117"/>
        <v>-</v>
      </c>
      <c r="AA300" s="5"/>
      <c r="AB300" s="33" t="str">
        <f t="shared" si="118"/>
        <v/>
      </c>
      <c r="AC300" s="33" t="str">
        <f t="shared" si="119"/>
        <v/>
      </c>
      <c r="AD300" s="15" t="str">
        <f t="shared" si="120"/>
        <v xml:space="preserve"> </v>
      </c>
      <c r="AE300" s="5"/>
      <c r="AF300" s="27" t="b">
        <f>IF($G300&lt;&gt;0,SUMIF(куб!$G:$G,$G300,куб!R:R),IF($E300&lt;&gt;0,SUMIF(куб!$E:$E,$E300,куб!R:R),IF($D300&lt;&gt;0,SUMIF(куб!$D:$D,$D300,куб!R:R),IF($C300&lt;&gt;0,SUMIF(куб!$C:$C,$C300,куб!R:R),IF($B300&lt;&gt;0,SUMIF(куб!$B:$B,$B300,куб!R:R))))))</f>
        <v>0</v>
      </c>
      <c r="AG300" s="27" t="b">
        <f>IF($G300&lt;&gt;0,SUMIF(куб!$G:$G,$G300,куб!S:S),IF($E300&lt;&gt;0,SUMIF(куб!$E:$E,$E300,куб!S:S),IF($D300&lt;&gt;0,SUMIF(куб!$D:$D,$D300,куб!S:S),IF($C300&lt;&gt;0,SUMIF(куб!$C:$C,$C300,куб!S:S),IF($B300&lt;&gt;0,SUMIF(куб!$B:$B,$B300,куб!S:S))))))</f>
        <v>0</v>
      </c>
      <c r="AH300" s="16" t="str">
        <f t="shared" si="121"/>
        <v>-</v>
      </c>
      <c r="AI300" s="8"/>
      <c r="AJ300" s="27" t="b">
        <f>IF($G300&lt;&gt;0,SUMIF(куб!$G:$G,$G300,куб!T:T),IF($E300&lt;&gt;0,SUMIF(куб!$E:$E,$E300,куб!T:T),IF($D300&lt;&gt;0,SUMIF(куб!$D:$D,$D300,куб!T:T),IF($C300&lt;&gt;0,SUMIF(куб!$C:$C,$C300,куб!T:T),IF($B300&lt;&gt;0,SUMIF(куб!$B:$B,$B300,куб!T:T))))))</f>
        <v>0</v>
      </c>
      <c r="AK300" s="27" t="b">
        <f>IF($G300&lt;&gt;0,SUMIF(куб!$G:$G,$G300,куб!U:U),IF($E300&lt;&gt;0,SUMIF(куб!$E:$E,$E300,куб!U:U),IF($D300&lt;&gt;0,SUMIF(куб!$D:$D,$D300,куб!U:U),IF($C300&lt;&gt;0,SUMIF(куб!$C:$C,$C300,куб!U:U),IF($B300&lt;&gt;0,SUMIF(куб!$B:$B,$B300,куб!U:U))))))</f>
        <v>0</v>
      </c>
      <c r="AL300" s="16" t="str">
        <f t="shared" si="122"/>
        <v>-</v>
      </c>
      <c r="AM300" s="8"/>
      <c r="AN300" s="17" t="str">
        <f t="shared" si="123"/>
        <v xml:space="preserve"> </v>
      </c>
      <c r="AO300" s="17" t="str">
        <f t="shared" si="124"/>
        <v xml:space="preserve"> </v>
      </c>
      <c r="AP300" s="16" t="str">
        <f t="shared" si="125"/>
        <v>-</v>
      </c>
      <c r="AQ300" s="8"/>
      <c r="AR300" s="17" t="str">
        <f t="shared" si="126"/>
        <v>-</v>
      </c>
      <c r="AS300" s="17" t="str">
        <f t="shared" si="127"/>
        <v>-</v>
      </c>
      <c r="AT300" s="13" t="str">
        <f t="shared" si="128"/>
        <v>-</v>
      </c>
      <c r="AU300" s="8"/>
    </row>
    <row r="301" spans="1:47" ht="15" customHeight="1" x14ac:dyDescent="0.25">
      <c r="A301" s="31"/>
      <c r="B301" s="31"/>
      <c r="C301"/>
      <c r="D301" s="31"/>
      <c r="E301"/>
      <c r="F301" s="31"/>
      <c r="G301"/>
      <c r="H301" s="27">
        <f>IF($G301&lt;&gt;0,SUMIF(куб!$G:$G,$G301,куб!H:H),IF($E301&lt;&gt;0,SUMIF(куб!$E:$E,$E301,куб!H:H),IF($D301&lt;&gt;0,SUMIF(куб!$D:$D,$D301,куб!H:H),IF($C301&lt;&gt;0,SUMIF(куб!$C:$C,$C301,куб!H:H),IF($B301&lt;&gt;0,SUMIF(куб!$B:$B,$B301,куб!H:H),IF($G301&lt;&gt;0,SUMIF(куб!$A:$A,$G301,куб!H:H),SUMIF(куб!$A:$A,$G301,куб!H:H)))))))</f>
        <v>0</v>
      </c>
      <c r="I301" s="27">
        <f>IF($G301&lt;&gt;0,SUMIF(куб!$G:$G,$G301,куб!I:I),IF($E301&lt;&gt;0,SUMIF(куб!$E:$E,$E301,куб!I:I),IF($D301&lt;&gt;0,SUMIF(куб!$D:$D,$D301,куб!I:I),IF($C301&lt;&gt;0,SUMIF(куб!$C:$C,$C301,куб!I:I),IF($B301&lt;&gt;0,SUMIF(куб!$B:$B,$B301,куб!I:I),IF($G301&lt;&gt;0,SUMIF(куб!$A:$A,$G301,куб!I:I),SUMIF(куб!$A:$A,$G301,куб!I:I)))))))</f>
        <v>0</v>
      </c>
      <c r="J301" s="19" t="str">
        <f t="shared" si="111"/>
        <v>-</v>
      </c>
      <c r="K301" s="8"/>
      <c r="L301" s="17">
        <f t="shared" si="112"/>
        <v>0</v>
      </c>
      <c r="M301" s="17">
        <f t="shared" si="113"/>
        <v>0</v>
      </c>
      <c r="N301" s="12">
        <f t="shared" si="114"/>
        <v>0</v>
      </c>
      <c r="O301" s="5"/>
      <c r="P301" s="27" t="b">
        <f>IF($G301&lt;&gt;0,SUMIF(куб!$G:$G,$G301,куб!J:J),IF($E301&lt;&gt;0,SUMIF(куб!$E:$E,$E301,куб!J:J),IF($D301&lt;&gt;0,SUMIF(куб!$D:$D,$D301,куб!J:J),IF($C301&lt;&gt;0,SUMIF(куб!$C:$C,$C301,куб!J:J),IF($B301&lt;&gt;0,SUMIF(куб!$B:$B,$B301,куб!J:J))))))</f>
        <v>0</v>
      </c>
      <c r="Q301" s="27" t="b">
        <f>IF($G301&lt;&gt;0,SUMIF(куб!$G:$G,$G301,куб!K:K),IF($E301&lt;&gt;0,SUMIF(куб!$E:$E,$E301,куб!K:K),IF($D301&lt;&gt;0,SUMIF(куб!$D:$D,$D301,куб!K:K),IF($C301&lt;&gt;0,SUMIF(куб!$C:$C,$C301,куб!K:K),IF($B301&lt;&gt;0,SUMIF(куб!$B:$B,$B301,куб!K:K))))))</f>
        <v>0</v>
      </c>
      <c r="R301" s="13" t="str">
        <f t="shared" si="115"/>
        <v>-</v>
      </c>
      <c r="S301" s="5"/>
      <c r="T301" s="27" t="b">
        <f>IF($G301&lt;&gt;0,SUMIF(куб!$G:$G,$G301,куб!L:L),IF($E301&lt;&gt;0,SUMIF(куб!$E:$E,$E301,куб!L:L),IF($D301&lt;&gt;0,SUMIF(куб!$D:$D,$D301,куб!L:L),IF($C301&lt;&gt;0,SUMIF(куб!$C:$C,$C301,куб!L:L),IF($B301&lt;&gt;0,SUMIF(куб!$B:$B,$B301,куб!L:L))))))</f>
        <v>0</v>
      </c>
      <c r="U301" s="27" t="b">
        <f>IF($G301&lt;&gt;0,SUMIF(куб!$G:$G,$G301,куб!M:M),IF($E301&lt;&gt;0,SUMIF(куб!$E:$E,$E301,куб!M:M),IF($D301&lt;&gt;0,SUMIF(куб!$D:$D,$D301,куб!M:M),IF($C301&lt;&gt;0,SUMIF(куб!$C:$C,$C301,куб!M:M),IF($B301&lt;&gt;0,SUMIF(куб!$B:$B,$B301,куб!M:M))))))</f>
        <v>0</v>
      </c>
      <c r="V301" s="13" t="str">
        <f t="shared" si="116"/>
        <v>-</v>
      </c>
      <c r="W301" s="5"/>
      <c r="X301" s="27" t="b">
        <f>IF($G301&lt;&gt;0,SUMIF(куб!$G:$G,$G301,куб!N:N),IF($E301&lt;&gt;0,SUMIF(куб!$E:$E,$E301,куб!N:N),IF($D301&lt;&gt;0,SUMIF(куб!$D:$D,$D301,куб!N:N),IF($C301&lt;&gt;0,SUMIF(куб!$C:$C,$C301,куб!N:N),IF($B301&lt;&gt;0,SUMIF(куб!$B:$B,$B301,куб!N:N))))))</f>
        <v>0</v>
      </c>
      <c r="Y301" s="27" t="b">
        <f>IF($G301&lt;&gt;0,SUMIF(куб!$G:$G,$G301,куб!O:O),IF($E301&lt;&gt;0,SUMIF(куб!$E:$E,$E301,куб!O:O),IF($D301&lt;&gt;0,SUMIF(куб!$D:$D,$D301,куб!O:O),IF($C301&lt;&gt;0,SUMIF(куб!$C:$C,$C301,куб!O:O),IF($B301&lt;&gt;0,SUMIF(куб!$B:$B,$B301,куб!O:O))))))</f>
        <v>0</v>
      </c>
      <c r="Z301" s="13" t="str">
        <f t="shared" si="117"/>
        <v>-</v>
      </c>
      <c r="AA301" s="5"/>
      <c r="AB301" s="33" t="str">
        <f t="shared" si="118"/>
        <v/>
      </c>
      <c r="AC301" s="33" t="str">
        <f t="shared" si="119"/>
        <v/>
      </c>
      <c r="AD301" s="15" t="str">
        <f t="shared" si="120"/>
        <v xml:space="preserve"> </v>
      </c>
      <c r="AE301" s="5"/>
      <c r="AF301" s="27" t="b">
        <f>IF($G301&lt;&gt;0,SUMIF(куб!$G:$G,$G301,куб!R:R),IF($E301&lt;&gt;0,SUMIF(куб!$E:$E,$E301,куб!R:R),IF($D301&lt;&gt;0,SUMIF(куб!$D:$D,$D301,куб!R:R),IF($C301&lt;&gt;0,SUMIF(куб!$C:$C,$C301,куб!R:R),IF($B301&lt;&gt;0,SUMIF(куб!$B:$B,$B301,куб!R:R))))))</f>
        <v>0</v>
      </c>
      <c r="AG301" s="27" t="b">
        <f>IF($G301&lt;&gt;0,SUMIF(куб!$G:$G,$G301,куб!S:S),IF($E301&lt;&gt;0,SUMIF(куб!$E:$E,$E301,куб!S:S),IF($D301&lt;&gt;0,SUMIF(куб!$D:$D,$D301,куб!S:S),IF($C301&lt;&gt;0,SUMIF(куб!$C:$C,$C301,куб!S:S),IF($B301&lt;&gt;0,SUMIF(куб!$B:$B,$B301,куб!S:S))))))</f>
        <v>0</v>
      </c>
      <c r="AH301" s="16" t="str">
        <f t="shared" si="121"/>
        <v>-</v>
      </c>
      <c r="AI301" s="8"/>
      <c r="AJ301" s="27" t="b">
        <f>IF($G301&lt;&gt;0,SUMIF(куб!$G:$G,$G301,куб!T:T),IF($E301&lt;&gt;0,SUMIF(куб!$E:$E,$E301,куб!T:T),IF($D301&lt;&gt;0,SUMIF(куб!$D:$D,$D301,куб!T:T),IF($C301&lt;&gt;0,SUMIF(куб!$C:$C,$C301,куб!T:T),IF($B301&lt;&gt;0,SUMIF(куб!$B:$B,$B301,куб!T:T))))))</f>
        <v>0</v>
      </c>
      <c r="AK301" s="27" t="b">
        <f>IF($G301&lt;&gt;0,SUMIF(куб!$G:$G,$G301,куб!U:U),IF($E301&lt;&gt;0,SUMIF(куб!$E:$E,$E301,куб!U:U),IF($D301&lt;&gt;0,SUMIF(куб!$D:$D,$D301,куб!U:U),IF($C301&lt;&gt;0,SUMIF(куб!$C:$C,$C301,куб!U:U),IF($B301&lt;&gt;0,SUMIF(куб!$B:$B,$B301,куб!U:U))))))</f>
        <v>0</v>
      </c>
      <c r="AL301" s="16" t="str">
        <f t="shared" si="122"/>
        <v>-</v>
      </c>
      <c r="AM301" s="8"/>
      <c r="AN301" s="17" t="str">
        <f t="shared" si="123"/>
        <v xml:space="preserve"> </v>
      </c>
      <c r="AO301" s="17" t="str">
        <f t="shared" si="124"/>
        <v xml:space="preserve"> </v>
      </c>
      <c r="AP301" s="16" t="str">
        <f t="shared" si="125"/>
        <v>-</v>
      </c>
      <c r="AQ301" s="8"/>
      <c r="AR301" s="17" t="str">
        <f t="shared" si="126"/>
        <v>-</v>
      </c>
      <c r="AS301" s="17" t="str">
        <f t="shared" si="127"/>
        <v>-</v>
      </c>
      <c r="AT301" s="13" t="str">
        <f t="shared" si="128"/>
        <v>-</v>
      </c>
      <c r="AU301" s="8"/>
    </row>
    <row r="302" spans="1:47" ht="15" customHeight="1" x14ac:dyDescent="0.25">
      <c r="A302" s="31"/>
      <c r="B302" s="31"/>
      <c r="C302"/>
      <c r="D302" s="31"/>
      <c r="E302"/>
      <c r="F302" s="31"/>
      <c r="G302"/>
      <c r="H302" s="27">
        <f>IF($G302&lt;&gt;0,SUMIF(куб!$G:$G,$G302,куб!H:H),IF($E302&lt;&gt;0,SUMIF(куб!$E:$E,$E302,куб!H:H),IF($D302&lt;&gt;0,SUMIF(куб!$D:$D,$D302,куб!H:H),IF($C302&lt;&gt;0,SUMIF(куб!$C:$C,$C302,куб!H:H),IF($B302&lt;&gt;0,SUMIF(куб!$B:$B,$B302,куб!H:H),IF($G302&lt;&gt;0,SUMIF(куб!$A:$A,$G302,куб!H:H),SUMIF(куб!$A:$A,$G302,куб!H:H)))))))</f>
        <v>0</v>
      </c>
      <c r="I302" s="27">
        <f>IF($G302&lt;&gt;0,SUMIF(куб!$G:$G,$G302,куб!I:I),IF($E302&lt;&gt;0,SUMIF(куб!$E:$E,$E302,куб!I:I),IF($D302&lt;&gt;0,SUMIF(куб!$D:$D,$D302,куб!I:I),IF($C302&lt;&gt;0,SUMIF(куб!$C:$C,$C302,куб!I:I),IF($B302&lt;&gt;0,SUMIF(куб!$B:$B,$B302,куб!I:I),IF($G302&lt;&gt;0,SUMIF(куб!$A:$A,$G302,куб!I:I),SUMIF(куб!$A:$A,$G302,куб!I:I)))))))</f>
        <v>0</v>
      </c>
      <c r="J302" s="19" t="str">
        <f t="shared" si="111"/>
        <v>-</v>
      </c>
      <c r="K302" s="8"/>
      <c r="L302" s="17">
        <f t="shared" si="112"/>
        <v>0</v>
      </c>
      <c r="M302" s="17">
        <f t="shared" si="113"/>
        <v>0</v>
      </c>
      <c r="N302" s="12">
        <f t="shared" si="114"/>
        <v>0</v>
      </c>
      <c r="O302" s="5"/>
      <c r="P302" s="27" t="b">
        <f>IF($G302&lt;&gt;0,SUMIF(куб!$G:$G,$G302,куб!J:J),IF($E302&lt;&gt;0,SUMIF(куб!$E:$E,$E302,куб!J:J),IF($D302&lt;&gt;0,SUMIF(куб!$D:$D,$D302,куб!J:J),IF($C302&lt;&gt;0,SUMIF(куб!$C:$C,$C302,куб!J:J),IF($B302&lt;&gt;0,SUMIF(куб!$B:$B,$B302,куб!J:J))))))</f>
        <v>0</v>
      </c>
      <c r="Q302" s="27" t="b">
        <f>IF($G302&lt;&gt;0,SUMIF(куб!$G:$G,$G302,куб!K:K),IF($E302&lt;&gt;0,SUMIF(куб!$E:$E,$E302,куб!K:K),IF($D302&lt;&gt;0,SUMIF(куб!$D:$D,$D302,куб!K:K),IF($C302&lt;&gt;0,SUMIF(куб!$C:$C,$C302,куб!K:K),IF($B302&lt;&gt;0,SUMIF(куб!$B:$B,$B302,куб!K:K))))))</f>
        <v>0</v>
      </c>
      <c r="R302" s="13" t="str">
        <f t="shared" si="115"/>
        <v>-</v>
      </c>
      <c r="S302" s="5"/>
      <c r="T302" s="27" t="b">
        <f>IF($G302&lt;&gt;0,SUMIF(куб!$G:$G,$G302,куб!L:L),IF($E302&lt;&gt;0,SUMIF(куб!$E:$E,$E302,куб!L:L),IF($D302&lt;&gt;0,SUMIF(куб!$D:$D,$D302,куб!L:L),IF($C302&lt;&gt;0,SUMIF(куб!$C:$C,$C302,куб!L:L),IF($B302&lt;&gt;0,SUMIF(куб!$B:$B,$B302,куб!L:L))))))</f>
        <v>0</v>
      </c>
      <c r="U302" s="27" t="b">
        <f>IF($G302&lt;&gt;0,SUMIF(куб!$G:$G,$G302,куб!M:M),IF($E302&lt;&gt;0,SUMIF(куб!$E:$E,$E302,куб!M:M),IF($D302&lt;&gt;0,SUMIF(куб!$D:$D,$D302,куб!M:M),IF($C302&lt;&gt;0,SUMIF(куб!$C:$C,$C302,куб!M:M),IF($B302&lt;&gt;0,SUMIF(куб!$B:$B,$B302,куб!M:M))))))</f>
        <v>0</v>
      </c>
      <c r="V302" s="13" t="str">
        <f t="shared" si="116"/>
        <v>-</v>
      </c>
      <c r="W302" s="5"/>
      <c r="X302" s="27" t="b">
        <f>IF($G302&lt;&gt;0,SUMIF(куб!$G:$G,$G302,куб!N:N),IF($E302&lt;&gt;0,SUMIF(куб!$E:$E,$E302,куб!N:N),IF($D302&lt;&gt;0,SUMIF(куб!$D:$D,$D302,куб!N:N),IF($C302&lt;&gt;0,SUMIF(куб!$C:$C,$C302,куб!N:N),IF($B302&lt;&gt;0,SUMIF(куб!$B:$B,$B302,куб!N:N))))))</f>
        <v>0</v>
      </c>
      <c r="Y302" s="27" t="b">
        <f>IF($G302&lt;&gt;0,SUMIF(куб!$G:$G,$G302,куб!O:O),IF($E302&lt;&gt;0,SUMIF(куб!$E:$E,$E302,куб!O:O),IF($D302&lt;&gt;0,SUMIF(куб!$D:$D,$D302,куб!O:O),IF($C302&lt;&gt;0,SUMIF(куб!$C:$C,$C302,куб!O:O),IF($B302&lt;&gt;0,SUMIF(куб!$B:$B,$B302,куб!O:O))))))</f>
        <v>0</v>
      </c>
      <c r="Z302" s="13" t="str">
        <f t="shared" si="117"/>
        <v>-</v>
      </c>
      <c r="AA302" s="5"/>
      <c r="AB302" s="33" t="str">
        <f t="shared" si="118"/>
        <v/>
      </c>
      <c r="AC302" s="33" t="str">
        <f t="shared" si="119"/>
        <v/>
      </c>
      <c r="AD302" s="15" t="str">
        <f t="shared" si="120"/>
        <v xml:space="preserve"> </v>
      </c>
      <c r="AE302" s="5"/>
      <c r="AF302" s="27" t="b">
        <f>IF($G302&lt;&gt;0,SUMIF(куб!$G:$G,$G302,куб!R:R),IF($E302&lt;&gt;0,SUMIF(куб!$E:$E,$E302,куб!R:R),IF($D302&lt;&gt;0,SUMIF(куб!$D:$D,$D302,куб!R:R),IF($C302&lt;&gt;0,SUMIF(куб!$C:$C,$C302,куб!R:R),IF($B302&lt;&gt;0,SUMIF(куб!$B:$B,$B302,куб!R:R))))))</f>
        <v>0</v>
      </c>
      <c r="AG302" s="27" t="b">
        <f>IF($G302&lt;&gt;0,SUMIF(куб!$G:$G,$G302,куб!S:S),IF($E302&lt;&gt;0,SUMIF(куб!$E:$E,$E302,куб!S:S),IF($D302&lt;&gt;0,SUMIF(куб!$D:$D,$D302,куб!S:S),IF($C302&lt;&gt;0,SUMIF(куб!$C:$C,$C302,куб!S:S),IF($B302&lt;&gt;0,SUMIF(куб!$B:$B,$B302,куб!S:S))))))</f>
        <v>0</v>
      </c>
      <c r="AH302" s="16" t="str">
        <f t="shared" si="121"/>
        <v>-</v>
      </c>
      <c r="AI302" s="8"/>
      <c r="AJ302" s="27" t="b">
        <f>IF($G302&lt;&gt;0,SUMIF(куб!$G:$G,$G302,куб!T:T),IF($E302&lt;&gt;0,SUMIF(куб!$E:$E,$E302,куб!T:T),IF($D302&lt;&gt;0,SUMIF(куб!$D:$D,$D302,куб!T:T),IF($C302&lt;&gt;0,SUMIF(куб!$C:$C,$C302,куб!T:T),IF($B302&lt;&gt;0,SUMIF(куб!$B:$B,$B302,куб!T:T))))))</f>
        <v>0</v>
      </c>
      <c r="AK302" s="27" t="b">
        <f>IF($G302&lt;&gt;0,SUMIF(куб!$G:$G,$G302,куб!U:U),IF($E302&lt;&gt;0,SUMIF(куб!$E:$E,$E302,куб!U:U),IF($D302&lt;&gt;0,SUMIF(куб!$D:$D,$D302,куб!U:U),IF($C302&lt;&gt;0,SUMIF(куб!$C:$C,$C302,куб!U:U),IF($B302&lt;&gt;0,SUMIF(куб!$B:$B,$B302,куб!U:U))))))</f>
        <v>0</v>
      </c>
      <c r="AL302" s="16" t="str">
        <f t="shared" si="122"/>
        <v>-</v>
      </c>
      <c r="AM302" s="8"/>
      <c r="AN302" s="17" t="str">
        <f t="shared" si="123"/>
        <v xml:space="preserve"> </v>
      </c>
      <c r="AO302" s="17" t="str">
        <f t="shared" si="124"/>
        <v xml:space="preserve"> </v>
      </c>
      <c r="AP302" s="16" t="str">
        <f t="shared" si="125"/>
        <v>-</v>
      </c>
      <c r="AQ302" s="8"/>
      <c r="AR302" s="17" t="str">
        <f t="shared" si="126"/>
        <v>-</v>
      </c>
      <c r="AS302" s="17" t="str">
        <f t="shared" si="127"/>
        <v>-</v>
      </c>
      <c r="AT302" s="13" t="str">
        <f t="shared" si="128"/>
        <v>-</v>
      </c>
      <c r="AU302" s="8"/>
    </row>
    <row r="303" spans="1:47" ht="15" customHeight="1" x14ac:dyDescent="0.25">
      <c r="A303" s="31"/>
      <c r="B303" s="31"/>
      <c r="C303"/>
      <c r="D303" s="31"/>
      <c r="E303"/>
      <c r="F303" s="31"/>
      <c r="G303"/>
      <c r="H303" s="27">
        <f>IF($G303&lt;&gt;0,SUMIF(куб!$G:$G,$G303,куб!H:H),IF($E303&lt;&gt;0,SUMIF(куб!$E:$E,$E303,куб!H:H),IF($D303&lt;&gt;0,SUMIF(куб!$D:$D,$D303,куб!H:H),IF($C303&lt;&gt;0,SUMIF(куб!$C:$C,$C303,куб!H:H),IF($B303&lt;&gt;0,SUMIF(куб!$B:$B,$B303,куб!H:H),IF($G303&lt;&gt;0,SUMIF(куб!$A:$A,$G303,куб!H:H),SUMIF(куб!$A:$A,$G303,куб!H:H)))))))</f>
        <v>0</v>
      </c>
      <c r="I303" s="27">
        <f>IF($G303&lt;&gt;0,SUMIF(куб!$G:$G,$G303,куб!I:I),IF($E303&lt;&gt;0,SUMIF(куб!$E:$E,$E303,куб!I:I),IF($D303&lt;&gt;0,SUMIF(куб!$D:$D,$D303,куб!I:I),IF($C303&lt;&gt;0,SUMIF(куб!$C:$C,$C303,куб!I:I),IF($B303&lt;&gt;0,SUMIF(куб!$B:$B,$B303,куб!I:I),IF($G303&lt;&gt;0,SUMIF(куб!$A:$A,$G303,куб!I:I),SUMIF(куб!$A:$A,$G303,куб!I:I)))))))</f>
        <v>0</v>
      </c>
      <c r="J303" s="19" t="str">
        <f t="shared" si="111"/>
        <v>-</v>
      </c>
      <c r="K303" s="8"/>
      <c r="L303" s="17">
        <f t="shared" si="112"/>
        <v>0</v>
      </c>
      <c r="M303" s="17">
        <f t="shared" si="113"/>
        <v>0</v>
      </c>
      <c r="N303" s="12">
        <f t="shared" si="114"/>
        <v>0</v>
      </c>
      <c r="O303" s="5"/>
      <c r="P303" s="27" t="b">
        <f>IF($G303&lt;&gt;0,SUMIF(куб!$G:$G,$G303,куб!J:J),IF($E303&lt;&gt;0,SUMIF(куб!$E:$E,$E303,куб!J:J),IF($D303&lt;&gt;0,SUMIF(куб!$D:$D,$D303,куб!J:J),IF($C303&lt;&gt;0,SUMIF(куб!$C:$C,$C303,куб!J:J),IF($B303&lt;&gt;0,SUMIF(куб!$B:$B,$B303,куб!J:J))))))</f>
        <v>0</v>
      </c>
      <c r="Q303" s="27" t="b">
        <f>IF($G303&lt;&gt;0,SUMIF(куб!$G:$G,$G303,куб!K:K),IF($E303&lt;&gt;0,SUMIF(куб!$E:$E,$E303,куб!K:K),IF($D303&lt;&gt;0,SUMIF(куб!$D:$D,$D303,куб!K:K),IF($C303&lt;&gt;0,SUMIF(куб!$C:$C,$C303,куб!K:K),IF($B303&lt;&gt;0,SUMIF(куб!$B:$B,$B303,куб!K:K))))))</f>
        <v>0</v>
      </c>
      <c r="R303" s="13" t="str">
        <f t="shared" si="115"/>
        <v>-</v>
      </c>
      <c r="S303" s="5"/>
      <c r="T303" s="27" t="b">
        <f>IF($G303&lt;&gt;0,SUMIF(куб!$G:$G,$G303,куб!L:L),IF($E303&lt;&gt;0,SUMIF(куб!$E:$E,$E303,куб!L:L),IF($D303&lt;&gt;0,SUMIF(куб!$D:$D,$D303,куб!L:L),IF($C303&lt;&gt;0,SUMIF(куб!$C:$C,$C303,куб!L:L),IF($B303&lt;&gt;0,SUMIF(куб!$B:$B,$B303,куб!L:L))))))</f>
        <v>0</v>
      </c>
      <c r="U303" s="27" t="b">
        <f>IF($G303&lt;&gt;0,SUMIF(куб!$G:$G,$G303,куб!M:M),IF($E303&lt;&gt;0,SUMIF(куб!$E:$E,$E303,куб!M:M),IF($D303&lt;&gt;0,SUMIF(куб!$D:$D,$D303,куб!M:M),IF($C303&lt;&gt;0,SUMIF(куб!$C:$C,$C303,куб!M:M),IF($B303&lt;&gt;0,SUMIF(куб!$B:$B,$B303,куб!M:M))))))</f>
        <v>0</v>
      </c>
      <c r="V303" s="13" t="str">
        <f t="shared" si="116"/>
        <v>-</v>
      </c>
      <c r="W303" s="5"/>
      <c r="X303" s="27" t="b">
        <f>IF($G303&lt;&gt;0,SUMIF(куб!$G:$G,$G303,куб!N:N),IF($E303&lt;&gt;0,SUMIF(куб!$E:$E,$E303,куб!N:N),IF($D303&lt;&gt;0,SUMIF(куб!$D:$D,$D303,куб!N:N),IF($C303&lt;&gt;0,SUMIF(куб!$C:$C,$C303,куб!N:N),IF($B303&lt;&gt;0,SUMIF(куб!$B:$B,$B303,куб!N:N))))))</f>
        <v>0</v>
      </c>
      <c r="Y303" s="27" t="b">
        <f>IF($G303&lt;&gt;0,SUMIF(куб!$G:$G,$G303,куб!O:O),IF($E303&lt;&gt;0,SUMIF(куб!$E:$E,$E303,куб!O:O),IF($D303&lt;&gt;0,SUMIF(куб!$D:$D,$D303,куб!O:O),IF($C303&lt;&gt;0,SUMIF(куб!$C:$C,$C303,куб!O:O),IF($B303&lt;&gt;0,SUMIF(куб!$B:$B,$B303,куб!O:O))))))</f>
        <v>0</v>
      </c>
      <c r="Z303" s="13" t="str">
        <f t="shared" si="117"/>
        <v>-</v>
      </c>
      <c r="AA303" s="5"/>
      <c r="AB303" s="33" t="str">
        <f t="shared" si="118"/>
        <v/>
      </c>
      <c r="AC303" s="33" t="str">
        <f t="shared" si="119"/>
        <v/>
      </c>
      <c r="AD303" s="15" t="str">
        <f t="shared" si="120"/>
        <v xml:space="preserve"> </v>
      </c>
      <c r="AE303" s="5"/>
      <c r="AF303" s="27" t="b">
        <f>IF($G303&lt;&gt;0,SUMIF(куб!$G:$G,$G303,куб!R:R),IF($E303&lt;&gt;0,SUMIF(куб!$E:$E,$E303,куб!R:R),IF($D303&lt;&gt;0,SUMIF(куб!$D:$D,$D303,куб!R:R),IF($C303&lt;&gt;0,SUMIF(куб!$C:$C,$C303,куб!R:R),IF($B303&lt;&gt;0,SUMIF(куб!$B:$B,$B303,куб!R:R))))))</f>
        <v>0</v>
      </c>
      <c r="AG303" s="27" t="b">
        <f>IF($G303&lt;&gt;0,SUMIF(куб!$G:$G,$G303,куб!S:S),IF($E303&lt;&gt;0,SUMIF(куб!$E:$E,$E303,куб!S:S),IF($D303&lt;&gt;0,SUMIF(куб!$D:$D,$D303,куб!S:S),IF($C303&lt;&gt;0,SUMIF(куб!$C:$C,$C303,куб!S:S),IF($B303&lt;&gt;0,SUMIF(куб!$B:$B,$B303,куб!S:S))))))</f>
        <v>0</v>
      </c>
      <c r="AH303" s="16" t="str">
        <f t="shared" si="121"/>
        <v>-</v>
      </c>
      <c r="AI303" s="8"/>
      <c r="AJ303" s="27" t="b">
        <f>IF($G303&lt;&gt;0,SUMIF(куб!$G:$G,$G303,куб!T:T),IF($E303&lt;&gt;0,SUMIF(куб!$E:$E,$E303,куб!T:T),IF($D303&lt;&gt;0,SUMIF(куб!$D:$D,$D303,куб!T:T),IF($C303&lt;&gt;0,SUMIF(куб!$C:$C,$C303,куб!T:T),IF($B303&lt;&gt;0,SUMIF(куб!$B:$B,$B303,куб!T:T))))))</f>
        <v>0</v>
      </c>
      <c r="AK303" s="27" t="b">
        <f>IF($G303&lt;&gt;0,SUMIF(куб!$G:$G,$G303,куб!U:U),IF($E303&lt;&gt;0,SUMIF(куб!$E:$E,$E303,куб!U:U),IF($D303&lt;&gt;0,SUMIF(куб!$D:$D,$D303,куб!U:U),IF($C303&lt;&gt;0,SUMIF(куб!$C:$C,$C303,куб!U:U),IF($B303&lt;&gt;0,SUMIF(куб!$B:$B,$B303,куб!U:U))))))</f>
        <v>0</v>
      </c>
      <c r="AL303" s="16" t="str">
        <f t="shared" si="122"/>
        <v>-</v>
      </c>
      <c r="AM303" s="8"/>
      <c r="AN303" s="17" t="str">
        <f t="shared" si="123"/>
        <v xml:space="preserve"> </v>
      </c>
      <c r="AO303" s="17" t="str">
        <f t="shared" si="124"/>
        <v xml:space="preserve"> </v>
      </c>
      <c r="AP303" s="16" t="str">
        <f t="shared" si="125"/>
        <v>-</v>
      </c>
      <c r="AQ303" s="8"/>
      <c r="AR303" s="17" t="str">
        <f t="shared" si="126"/>
        <v>-</v>
      </c>
      <c r="AS303" s="17" t="str">
        <f t="shared" si="127"/>
        <v>-</v>
      </c>
      <c r="AT303" s="13" t="str">
        <f t="shared" si="128"/>
        <v>-</v>
      </c>
      <c r="AU303" s="8"/>
    </row>
    <row r="304" spans="1:47" ht="15" customHeight="1" x14ac:dyDescent="0.25">
      <c r="A304" s="31"/>
      <c r="B304" s="31"/>
      <c r="C304"/>
      <c r="D304" s="31"/>
      <c r="E304"/>
      <c r="F304" s="31"/>
      <c r="G304"/>
      <c r="H304" s="27">
        <f>IF($G304&lt;&gt;0,SUMIF(куб!$G:$G,$G304,куб!H:H),IF($E304&lt;&gt;0,SUMIF(куб!$E:$E,$E304,куб!H:H),IF($D304&lt;&gt;0,SUMIF(куб!$D:$D,$D304,куб!H:H),IF($C304&lt;&gt;0,SUMIF(куб!$C:$C,$C304,куб!H:H),IF($B304&lt;&gt;0,SUMIF(куб!$B:$B,$B304,куб!H:H),IF($G304&lt;&gt;0,SUMIF(куб!$A:$A,$G304,куб!H:H),SUMIF(куб!$A:$A,$G304,куб!H:H)))))))</f>
        <v>0</v>
      </c>
      <c r="I304" s="27">
        <f>IF($G304&lt;&gt;0,SUMIF(куб!$G:$G,$G304,куб!I:I),IF($E304&lt;&gt;0,SUMIF(куб!$E:$E,$E304,куб!I:I),IF($D304&lt;&gt;0,SUMIF(куб!$D:$D,$D304,куб!I:I),IF($C304&lt;&gt;0,SUMIF(куб!$C:$C,$C304,куб!I:I),IF($B304&lt;&gt;0,SUMIF(куб!$B:$B,$B304,куб!I:I),IF($G304&lt;&gt;0,SUMIF(куб!$A:$A,$G304,куб!I:I),SUMIF(куб!$A:$A,$G304,куб!I:I)))))))</f>
        <v>0</v>
      </c>
      <c r="J304" s="19" t="str">
        <f t="shared" si="111"/>
        <v>-</v>
      </c>
      <c r="K304" s="8"/>
      <c r="L304" s="17">
        <f t="shared" si="112"/>
        <v>0</v>
      </c>
      <c r="M304" s="17">
        <f t="shared" si="113"/>
        <v>0</v>
      </c>
      <c r="N304" s="12">
        <f t="shared" si="114"/>
        <v>0</v>
      </c>
      <c r="O304" s="5"/>
      <c r="P304" s="27" t="b">
        <f>IF($G304&lt;&gt;0,SUMIF(куб!$G:$G,$G304,куб!J:J),IF($E304&lt;&gt;0,SUMIF(куб!$E:$E,$E304,куб!J:J),IF($D304&lt;&gt;0,SUMIF(куб!$D:$D,$D304,куб!J:J),IF($C304&lt;&gt;0,SUMIF(куб!$C:$C,$C304,куб!J:J),IF($B304&lt;&gt;0,SUMIF(куб!$B:$B,$B304,куб!J:J))))))</f>
        <v>0</v>
      </c>
      <c r="Q304" s="27" t="b">
        <f>IF($G304&lt;&gt;0,SUMIF(куб!$G:$G,$G304,куб!K:K),IF($E304&lt;&gt;0,SUMIF(куб!$E:$E,$E304,куб!K:K),IF($D304&lt;&gt;0,SUMIF(куб!$D:$D,$D304,куб!K:K),IF($C304&lt;&gt;0,SUMIF(куб!$C:$C,$C304,куб!K:K),IF($B304&lt;&gt;0,SUMIF(куб!$B:$B,$B304,куб!K:K))))))</f>
        <v>0</v>
      </c>
      <c r="R304" s="13" t="str">
        <f t="shared" si="115"/>
        <v>-</v>
      </c>
      <c r="S304" s="5"/>
      <c r="T304" s="27" t="b">
        <f>IF($G304&lt;&gt;0,SUMIF(куб!$G:$G,$G304,куб!L:L),IF($E304&lt;&gt;0,SUMIF(куб!$E:$E,$E304,куб!L:L),IF($D304&lt;&gt;0,SUMIF(куб!$D:$D,$D304,куб!L:L),IF($C304&lt;&gt;0,SUMIF(куб!$C:$C,$C304,куб!L:L),IF($B304&lt;&gt;0,SUMIF(куб!$B:$B,$B304,куб!L:L))))))</f>
        <v>0</v>
      </c>
      <c r="U304" s="27" t="b">
        <f>IF($G304&lt;&gt;0,SUMIF(куб!$G:$G,$G304,куб!M:M),IF($E304&lt;&gt;0,SUMIF(куб!$E:$E,$E304,куб!M:M),IF($D304&lt;&gt;0,SUMIF(куб!$D:$D,$D304,куб!M:M),IF($C304&lt;&gt;0,SUMIF(куб!$C:$C,$C304,куб!M:M),IF($B304&lt;&gt;0,SUMIF(куб!$B:$B,$B304,куб!M:M))))))</f>
        <v>0</v>
      </c>
      <c r="V304" s="13" t="str">
        <f t="shared" si="116"/>
        <v>-</v>
      </c>
      <c r="W304" s="5"/>
      <c r="X304" s="27" t="b">
        <f>IF($G304&lt;&gt;0,SUMIF(куб!$G:$G,$G304,куб!N:N),IF($E304&lt;&gt;0,SUMIF(куб!$E:$E,$E304,куб!N:N),IF($D304&lt;&gt;0,SUMIF(куб!$D:$D,$D304,куб!N:N),IF($C304&lt;&gt;0,SUMIF(куб!$C:$C,$C304,куб!N:N),IF($B304&lt;&gt;0,SUMIF(куб!$B:$B,$B304,куб!N:N))))))</f>
        <v>0</v>
      </c>
      <c r="Y304" s="27" t="b">
        <f>IF($G304&lt;&gt;0,SUMIF(куб!$G:$G,$G304,куб!O:O),IF($E304&lt;&gt;0,SUMIF(куб!$E:$E,$E304,куб!O:O),IF($D304&lt;&gt;0,SUMIF(куб!$D:$D,$D304,куб!O:O),IF($C304&lt;&gt;0,SUMIF(куб!$C:$C,$C304,куб!O:O),IF($B304&lt;&gt;0,SUMIF(куб!$B:$B,$B304,куб!O:O))))))</f>
        <v>0</v>
      </c>
      <c r="Z304" s="13" t="str">
        <f t="shared" si="117"/>
        <v>-</v>
      </c>
      <c r="AA304" s="5"/>
      <c r="AB304" s="33" t="str">
        <f t="shared" si="118"/>
        <v/>
      </c>
      <c r="AC304" s="33" t="str">
        <f t="shared" si="119"/>
        <v/>
      </c>
      <c r="AD304" s="15" t="str">
        <f t="shared" si="120"/>
        <v xml:space="preserve"> </v>
      </c>
      <c r="AE304" s="5"/>
      <c r="AF304" s="27" t="b">
        <f>IF($G304&lt;&gt;0,SUMIF(куб!$G:$G,$G304,куб!R:R),IF($E304&lt;&gt;0,SUMIF(куб!$E:$E,$E304,куб!R:R),IF($D304&lt;&gt;0,SUMIF(куб!$D:$D,$D304,куб!R:R),IF($C304&lt;&gt;0,SUMIF(куб!$C:$C,$C304,куб!R:R),IF($B304&lt;&gt;0,SUMIF(куб!$B:$B,$B304,куб!R:R))))))</f>
        <v>0</v>
      </c>
      <c r="AG304" s="27" t="b">
        <f>IF($G304&lt;&gt;0,SUMIF(куб!$G:$G,$G304,куб!S:S),IF($E304&lt;&gt;0,SUMIF(куб!$E:$E,$E304,куб!S:S),IF($D304&lt;&gt;0,SUMIF(куб!$D:$D,$D304,куб!S:S),IF($C304&lt;&gt;0,SUMIF(куб!$C:$C,$C304,куб!S:S),IF($B304&lt;&gt;0,SUMIF(куб!$B:$B,$B304,куб!S:S))))))</f>
        <v>0</v>
      </c>
      <c r="AH304" s="16" t="str">
        <f t="shared" si="121"/>
        <v>-</v>
      </c>
      <c r="AI304" s="8"/>
      <c r="AJ304" s="27" t="b">
        <f>IF($G304&lt;&gt;0,SUMIF(куб!$G:$G,$G304,куб!T:T),IF($E304&lt;&gt;0,SUMIF(куб!$E:$E,$E304,куб!T:T),IF($D304&lt;&gt;0,SUMIF(куб!$D:$D,$D304,куб!T:T),IF($C304&lt;&gt;0,SUMIF(куб!$C:$C,$C304,куб!T:T),IF($B304&lt;&gt;0,SUMIF(куб!$B:$B,$B304,куб!T:T))))))</f>
        <v>0</v>
      </c>
      <c r="AK304" s="27" t="b">
        <f>IF($G304&lt;&gt;0,SUMIF(куб!$G:$G,$G304,куб!U:U),IF($E304&lt;&gt;0,SUMIF(куб!$E:$E,$E304,куб!U:U),IF($D304&lt;&gt;0,SUMIF(куб!$D:$D,$D304,куб!U:U),IF($C304&lt;&gt;0,SUMIF(куб!$C:$C,$C304,куб!U:U),IF($B304&lt;&gt;0,SUMIF(куб!$B:$B,$B304,куб!U:U))))))</f>
        <v>0</v>
      </c>
      <c r="AL304" s="16" t="str">
        <f t="shared" si="122"/>
        <v>-</v>
      </c>
      <c r="AM304" s="8"/>
      <c r="AN304" s="17" t="str">
        <f t="shared" si="123"/>
        <v xml:space="preserve"> </v>
      </c>
      <c r="AO304" s="17" t="str">
        <f t="shared" si="124"/>
        <v xml:space="preserve"> </v>
      </c>
      <c r="AP304" s="16" t="str">
        <f t="shared" si="125"/>
        <v>-</v>
      </c>
      <c r="AQ304" s="8"/>
      <c r="AR304" s="17" t="str">
        <f t="shared" si="126"/>
        <v>-</v>
      </c>
      <c r="AS304" s="17" t="str">
        <f t="shared" si="127"/>
        <v>-</v>
      </c>
      <c r="AT304" s="13" t="str">
        <f t="shared" si="128"/>
        <v>-</v>
      </c>
      <c r="AU304" s="8"/>
    </row>
    <row r="305" spans="1:47" ht="15" customHeight="1" x14ac:dyDescent="0.25">
      <c r="A305" s="31"/>
      <c r="B305" s="31"/>
      <c r="C305"/>
      <c r="D305" s="31"/>
      <c r="E305"/>
      <c r="F305" s="31"/>
      <c r="G305"/>
      <c r="H305" s="27">
        <f>IF($G305&lt;&gt;0,SUMIF(куб!$G:$G,$G305,куб!H:H),IF($E305&lt;&gt;0,SUMIF(куб!$E:$E,$E305,куб!H:H),IF($D305&lt;&gt;0,SUMIF(куб!$D:$D,$D305,куб!H:H),IF($C305&lt;&gt;0,SUMIF(куб!$C:$C,$C305,куб!H:H),IF($B305&lt;&gt;0,SUMIF(куб!$B:$B,$B305,куб!H:H),IF($G305&lt;&gt;0,SUMIF(куб!$A:$A,$G305,куб!H:H),SUMIF(куб!$A:$A,$G305,куб!H:H)))))))</f>
        <v>0</v>
      </c>
      <c r="I305" s="27">
        <f>IF($G305&lt;&gt;0,SUMIF(куб!$G:$G,$G305,куб!I:I),IF($E305&lt;&gt;0,SUMIF(куб!$E:$E,$E305,куб!I:I),IF($D305&lt;&gt;0,SUMIF(куб!$D:$D,$D305,куб!I:I),IF($C305&lt;&gt;0,SUMIF(куб!$C:$C,$C305,куб!I:I),IF($B305&lt;&gt;0,SUMIF(куб!$B:$B,$B305,куб!I:I),IF($G305&lt;&gt;0,SUMIF(куб!$A:$A,$G305,куб!I:I),SUMIF(куб!$A:$A,$G305,куб!I:I)))))))</f>
        <v>0</v>
      </c>
      <c r="J305" s="19" t="str">
        <f t="shared" si="111"/>
        <v>-</v>
      </c>
      <c r="K305" s="8"/>
      <c r="L305" s="17">
        <f t="shared" si="112"/>
        <v>0</v>
      </c>
      <c r="M305" s="17">
        <f t="shared" si="113"/>
        <v>0</v>
      </c>
      <c r="N305" s="12">
        <f t="shared" si="114"/>
        <v>0</v>
      </c>
      <c r="O305" s="5"/>
      <c r="P305" s="27" t="b">
        <f>IF($G305&lt;&gt;0,SUMIF(куб!$G:$G,$G305,куб!J:J),IF($E305&lt;&gt;0,SUMIF(куб!$E:$E,$E305,куб!J:J),IF($D305&lt;&gt;0,SUMIF(куб!$D:$D,$D305,куб!J:J),IF($C305&lt;&gt;0,SUMIF(куб!$C:$C,$C305,куб!J:J),IF($B305&lt;&gt;0,SUMIF(куб!$B:$B,$B305,куб!J:J))))))</f>
        <v>0</v>
      </c>
      <c r="Q305" s="27" t="b">
        <f>IF($G305&lt;&gt;0,SUMIF(куб!$G:$G,$G305,куб!K:K),IF($E305&lt;&gt;0,SUMIF(куб!$E:$E,$E305,куб!K:K),IF($D305&lt;&gt;0,SUMIF(куб!$D:$D,$D305,куб!K:K),IF($C305&lt;&gt;0,SUMIF(куб!$C:$C,$C305,куб!K:K),IF($B305&lt;&gt;0,SUMIF(куб!$B:$B,$B305,куб!K:K))))))</f>
        <v>0</v>
      </c>
      <c r="R305" s="13" t="str">
        <f t="shared" si="115"/>
        <v>-</v>
      </c>
      <c r="S305" s="5"/>
      <c r="T305" s="27" t="b">
        <f>IF($G305&lt;&gt;0,SUMIF(куб!$G:$G,$G305,куб!L:L),IF($E305&lt;&gt;0,SUMIF(куб!$E:$E,$E305,куб!L:L),IF($D305&lt;&gt;0,SUMIF(куб!$D:$D,$D305,куб!L:L),IF($C305&lt;&gt;0,SUMIF(куб!$C:$C,$C305,куб!L:L),IF($B305&lt;&gt;0,SUMIF(куб!$B:$B,$B305,куб!L:L))))))</f>
        <v>0</v>
      </c>
      <c r="U305" s="27" t="b">
        <f>IF($G305&lt;&gt;0,SUMIF(куб!$G:$G,$G305,куб!M:M),IF($E305&lt;&gt;0,SUMIF(куб!$E:$E,$E305,куб!M:M),IF($D305&lt;&gt;0,SUMIF(куб!$D:$D,$D305,куб!M:M),IF($C305&lt;&gt;0,SUMIF(куб!$C:$C,$C305,куб!M:M),IF($B305&lt;&gt;0,SUMIF(куб!$B:$B,$B305,куб!M:M))))))</f>
        <v>0</v>
      </c>
      <c r="V305" s="13" t="str">
        <f t="shared" si="116"/>
        <v>-</v>
      </c>
      <c r="W305" s="5"/>
      <c r="X305" s="27" t="b">
        <f>IF($G305&lt;&gt;0,SUMIF(куб!$G:$G,$G305,куб!N:N),IF($E305&lt;&gt;0,SUMIF(куб!$E:$E,$E305,куб!N:N),IF($D305&lt;&gt;0,SUMIF(куб!$D:$D,$D305,куб!N:N),IF($C305&lt;&gt;0,SUMIF(куб!$C:$C,$C305,куб!N:N),IF($B305&lt;&gt;0,SUMIF(куб!$B:$B,$B305,куб!N:N))))))</f>
        <v>0</v>
      </c>
      <c r="Y305" s="27" t="b">
        <f>IF($G305&lt;&gt;0,SUMIF(куб!$G:$G,$G305,куб!O:O),IF($E305&lt;&gt;0,SUMIF(куб!$E:$E,$E305,куб!O:O),IF($D305&lt;&gt;0,SUMIF(куб!$D:$D,$D305,куб!O:O),IF($C305&lt;&gt;0,SUMIF(куб!$C:$C,$C305,куб!O:O),IF($B305&lt;&gt;0,SUMIF(куб!$B:$B,$B305,куб!O:O))))))</f>
        <v>0</v>
      </c>
      <c r="Z305" s="13" t="str">
        <f t="shared" si="117"/>
        <v>-</v>
      </c>
      <c r="AA305" s="5"/>
      <c r="AB305" s="33" t="str">
        <f t="shared" si="118"/>
        <v/>
      </c>
      <c r="AC305" s="33" t="str">
        <f t="shared" si="119"/>
        <v/>
      </c>
      <c r="AD305" s="15" t="str">
        <f t="shared" si="120"/>
        <v xml:space="preserve"> </v>
      </c>
      <c r="AE305" s="5"/>
      <c r="AF305" s="27" t="b">
        <f>IF($G305&lt;&gt;0,SUMIF(куб!$G:$G,$G305,куб!R:R),IF($E305&lt;&gt;0,SUMIF(куб!$E:$E,$E305,куб!R:R),IF($D305&lt;&gt;0,SUMIF(куб!$D:$D,$D305,куб!R:R),IF($C305&lt;&gt;0,SUMIF(куб!$C:$C,$C305,куб!R:R),IF($B305&lt;&gt;0,SUMIF(куб!$B:$B,$B305,куб!R:R))))))</f>
        <v>0</v>
      </c>
      <c r="AG305" s="27" t="b">
        <f>IF($G305&lt;&gt;0,SUMIF(куб!$G:$G,$G305,куб!S:S),IF($E305&lt;&gt;0,SUMIF(куб!$E:$E,$E305,куб!S:S),IF($D305&lt;&gt;0,SUMIF(куб!$D:$D,$D305,куб!S:S),IF($C305&lt;&gt;0,SUMIF(куб!$C:$C,$C305,куб!S:S),IF($B305&lt;&gt;0,SUMIF(куб!$B:$B,$B305,куб!S:S))))))</f>
        <v>0</v>
      </c>
      <c r="AH305" s="16" t="str">
        <f t="shared" si="121"/>
        <v>-</v>
      </c>
      <c r="AI305" s="8"/>
      <c r="AJ305" s="27" t="b">
        <f>IF($G305&lt;&gt;0,SUMIF(куб!$G:$G,$G305,куб!T:T),IF($E305&lt;&gt;0,SUMIF(куб!$E:$E,$E305,куб!T:T),IF($D305&lt;&gt;0,SUMIF(куб!$D:$D,$D305,куб!T:T),IF($C305&lt;&gt;0,SUMIF(куб!$C:$C,$C305,куб!T:T),IF($B305&lt;&gt;0,SUMIF(куб!$B:$B,$B305,куб!T:T))))))</f>
        <v>0</v>
      </c>
      <c r="AK305" s="27" t="b">
        <f>IF($G305&lt;&gt;0,SUMIF(куб!$G:$G,$G305,куб!U:U),IF($E305&lt;&gt;0,SUMIF(куб!$E:$E,$E305,куб!U:U),IF($D305&lt;&gt;0,SUMIF(куб!$D:$D,$D305,куб!U:U),IF($C305&lt;&gt;0,SUMIF(куб!$C:$C,$C305,куб!U:U),IF($B305&lt;&gt;0,SUMIF(куб!$B:$B,$B305,куб!U:U))))))</f>
        <v>0</v>
      </c>
      <c r="AL305" s="16" t="str">
        <f t="shared" si="122"/>
        <v>-</v>
      </c>
      <c r="AM305" s="8"/>
      <c r="AN305" s="17" t="str">
        <f t="shared" si="123"/>
        <v xml:space="preserve"> </v>
      </c>
      <c r="AO305" s="17" t="str">
        <f t="shared" si="124"/>
        <v xml:space="preserve"> </v>
      </c>
      <c r="AP305" s="16" t="str">
        <f t="shared" si="125"/>
        <v>-</v>
      </c>
      <c r="AQ305" s="8"/>
      <c r="AR305" s="17" t="str">
        <f t="shared" si="126"/>
        <v>-</v>
      </c>
      <c r="AS305" s="17" t="str">
        <f t="shared" si="127"/>
        <v>-</v>
      </c>
      <c r="AT305" s="13" t="str">
        <f t="shared" si="128"/>
        <v>-</v>
      </c>
      <c r="AU305" s="8"/>
    </row>
    <row r="306" spans="1:47" x14ac:dyDescent="0.25">
      <c r="A306" s="31"/>
      <c r="B306" s="31"/>
      <c r="C306"/>
      <c r="D306" s="31"/>
      <c r="E306"/>
      <c r="F306" s="31"/>
      <c r="G306"/>
      <c r="H306" s="27">
        <f>IF($G306&lt;&gt;0,SUMIF(куб!$G:$G,$G306,куб!H:H),IF($E306&lt;&gt;0,SUMIF(куб!$E:$E,$E306,куб!H:H),IF($D306&lt;&gt;0,SUMIF(куб!$D:$D,$D306,куб!H:H),IF($C306&lt;&gt;0,SUMIF(куб!$C:$C,$C306,куб!H:H),IF($B306&lt;&gt;0,SUMIF(куб!$B:$B,$B306,куб!H:H),IF($G306&lt;&gt;0,SUMIF(куб!$A:$A,$G306,куб!H:H),SUMIF(куб!$A:$A,$G306,куб!H:H)))))))</f>
        <v>0</v>
      </c>
      <c r="I306" s="27">
        <f>IF($G306&lt;&gt;0,SUMIF(куб!$G:$G,$G306,куб!I:I),IF($E306&lt;&gt;0,SUMIF(куб!$E:$E,$E306,куб!I:I),IF($D306&lt;&gt;0,SUMIF(куб!$D:$D,$D306,куб!I:I),IF($C306&lt;&gt;0,SUMIF(куб!$C:$C,$C306,куб!I:I),IF($B306&lt;&gt;0,SUMIF(куб!$B:$B,$B306,куб!I:I),IF($G306&lt;&gt;0,SUMIF(куб!$A:$A,$G306,куб!I:I),SUMIF(куб!$A:$A,$G306,куб!I:I)))))))</f>
        <v>0</v>
      </c>
      <c r="J306" s="19" t="str">
        <f t="shared" si="111"/>
        <v>-</v>
      </c>
      <c r="K306" s="8"/>
      <c r="L306" s="17">
        <f t="shared" si="112"/>
        <v>0</v>
      </c>
      <c r="M306" s="17">
        <f t="shared" si="113"/>
        <v>0</v>
      </c>
      <c r="N306" s="12">
        <f t="shared" si="114"/>
        <v>0</v>
      </c>
      <c r="O306" s="5"/>
      <c r="P306" s="27" t="b">
        <f>IF($G306&lt;&gt;0,SUMIF(куб!$G:$G,$G306,куб!J:J),IF($E306&lt;&gt;0,SUMIF(куб!$E:$E,$E306,куб!J:J),IF($D306&lt;&gt;0,SUMIF(куб!$D:$D,$D306,куб!J:J),IF($C306&lt;&gt;0,SUMIF(куб!$C:$C,$C306,куб!J:J),IF($B306&lt;&gt;0,SUMIF(куб!$B:$B,$B306,куб!J:J))))))</f>
        <v>0</v>
      </c>
      <c r="Q306" s="27" t="b">
        <f>IF($G306&lt;&gt;0,SUMIF(куб!$G:$G,$G306,куб!K:K),IF($E306&lt;&gt;0,SUMIF(куб!$E:$E,$E306,куб!K:K),IF($D306&lt;&gt;0,SUMIF(куб!$D:$D,$D306,куб!K:K),IF($C306&lt;&gt;0,SUMIF(куб!$C:$C,$C306,куб!K:K),IF($B306&lt;&gt;0,SUMIF(куб!$B:$B,$B306,куб!K:K))))))</f>
        <v>0</v>
      </c>
      <c r="R306" s="13" t="str">
        <f t="shared" si="115"/>
        <v>-</v>
      </c>
      <c r="S306" s="5"/>
      <c r="T306" s="27" t="b">
        <f>IF($G306&lt;&gt;0,SUMIF(куб!$G:$G,$G306,куб!L:L),IF($E306&lt;&gt;0,SUMIF(куб!$E:$E,$E306,куб!L:L),IF($D306&lt;&gt;0,SUMIF(куб!$D:$D,$D306,куб!L:L),IF($C306&lt;&gt;0,SUMIF(куб!$C:$C,$C306,куб!L:L),IF($B306&lt;&gt;0,SUMIF(куб!$B:$B,$B306,куб!L:L))))))</f>
        <v>0</v>
      </c>
      <c r="U306" s="27" t="b">
        <f>IF($G306&lt;&gt;0,SUMIF(куб!$G:$G,$G306,куб!M:M),IF($E306&lt;&gt;0,SUMIF(куб!$E:$E,$E306,куб!M:M),IF($D306&lt;&gt;0,SUMIF(куб!$D:$D,$D306,куб!M:M),IF($C306&lt;&gt;0,SUMIF(куб!$C:$C,$C306,куб!M:M),IF($B306&lt;&gt;0,SUMIF(куб!$B:$B,$B306,куб!M:M))))))</f>
        <v>0</v>
      </c>
      <c r="V306" s="13" t="str">
        <f t="shared" si="116"/>
        <v>-</v>
      </c>
      <c r="W306" s="5"/>
      <c r="X306" s="27" t="b">
        <f>IF($G306&lt;&gt;0,SUMIF(куб!$G:$G,$G306,куб!N:N),IF($E306&lt;&gt;0,SUMIF(куб!$E:$E,$E306,куб!N:N),IF($D306&lt;&gt;0,SUMIF(куб!$D:$D,$D306,куб!N:N),IF($C306&lt;&gt;0,SUMIF(куб!$C:$C,$C306,куб!N:N),IF($B306&lt;&gt;0,SUMIF(куб!$B:$B,$B306,куб!N:N))))))</f>
        <v>0</v>
      </c>
      <c r="Y306" s="27" t="b">
        <f>IF($G306&lt;&gt;0,SUMIF(куб!$G:$G,$G306,куб!O:O),IF($E306&lt;&gt;0,SUMIF(куб!$E:$E,$E306,куб!O:O),IF($D306&lt;&gt;0,SUMIF(куб!$D:$D,$D306,куб!O:O),IF($C306&lt;&gt;0,SUMIF(куб!$C:$C,$C306,куб!O:O),IF($B306&lt;&gt;0,SUMIF(куб!$B:$B,$B306,куб!O:O))))))</f>
        <v>0</v>
      </c>
      <c r="Z306" s="13" t="str">
        <f t="shared" si="117"/>
        <v>-</v>
      </c>
      <c r="AA306" s="5"/>
      <c r="AB306" s="33" t="str">
        <f t="shared" si="118"/>
        <v/>
      </c>
      <c r="AC306" s="33" t="str">
        <f t="shared" si="119"/>
        <v/>
      </c>
      <c r="AD306" s="15" t="str">
        <f t="shared" si="120"/>
        <v xml:space="preserve"> </v>
      </c>
      <c r="AE306" s="5"/>
      <c r="AF306" s="27" t="b">
        <f>IF($G306&lt;&gt;0,SUMIF(куб!$G:$G,$G306,куб!R:R),IF($E306&lt;&gt;0,SUMIF(куб!$E:$E,$E306,куб!R:R),IF($D306&lt;&gt;0,SUMIF(куб!$D:$D,$D306,куб!R:R),IF($C306&lt;&gt;0,SUMIF(куб!$C:$C,$C306,куб!R:R),IF($B306&lt;&gt;0,SUMIF(куб!$B:$B,$B306,куб!R:R))))))</f>
        <v>0</v>
      </c>
      <c r="AG306" s="27" t="b">
        <f>IF($G306&lt;&gt;0,SUMIF(куб!$G:$G,$G306,куб!S:S),IF($E306&lt;&gt;0,SUMIF(куб!$E:$E,$E306,куб!S:S),IF($D306&lt;&gt;0,SUMIF(куб!$D:$D,$D306,куб!S:S),IF($C306&lt;&gt;0,SUMIF(куб!$C:$C,$C306,куб!S:S),IF($B306&lt;&gt;0,SUMIF(куб!$B:$B,$B306,куб!S:S))))))</f>
        <v>0</v>
      </c>
      <c r="AH306" s="16" t="str">
        <f t="shared" si="121"/>
        <v>-</v>
      </c>
      <c r="AI306" s="8"/>
      <c r="AJ306" s="27" t="b">
        <f>IF($G306&lt;&gt;0,SUMIF(куб!$G:$G,$G306,куб!T:T),IF($E306&lt;&gt;0,SUMIF(куб!$E:$E,$E306,куб!T:T),IF($D306&lt;&gt;0,SUMIF(куб!$D:$D,$D306,куб!T:T),IF($C306&lt;&gt;0,SUMIF(куб!$C:$C,$C306,куб!T:T),IF($B306&lt;&gt;0,SUMIF(куб!$B:$B,$B306,куб!T:T))))))</f>
        <v>0</v>
      </c>
      <c r="AK306" s="27" t="b">
        <f>IF($G306&lt;&gt;0,SUMIF(куб!$G:$G,$G306,куб!U:U),IF($E306&lt;&gt;0,SUMIF(куб!$E:$E,$E306,куб!U:U),IF($D306&lt;&gt;0,SUMIF(куб!$D:$D,$D306,куб!U:U),IF($C306&lt;&gt;0,SUMIF(куб!$C:$C,$C306,куб!U:U),IF($B306&lt;&gt;0,SUMIF(куб!$B:$B,$B306,куб!U:U))))))</f>
        <v>0</v>
      </c>
      <c r="AL306" s="16" t="str">
        <f t="shared" si="122"/>
        <v>-</v>
      </c>
      <c r="AM306" s="8"/>
      <c r="AN306" s="17" t="str">
        <f t="shared" si="123"/>
        <v xml:space="preserve"> </v>
      </c>
      <c r="AO306" s="17" t="str">
        <f t="shared" si="124"/>
        <v xml:space="preserve"> </v>
      </c>
      <c r="AP306" s="16" t="str">
        <f t="shared" si="125"/>
        <v>-</v>
      </c>
      <c r="AQ306" s="8"/>
      <c r="AR306" s="17" t="str">
        <f t="shared" si="126"/>
        <v>-</v>
      </c>
      <c r="AS306" s="17" t="str">
        <f t="shared" si="127"/>
        <v>-</v>
      </c>
      <c r="AT306" s="13" t="str">
        <f t="shared" si="128"/>
        <v>-</v>
      </c>
      <c r="AU306" s="8"/>
    </row>
    <row r="307" spans="1:47" ht="15" customHeight="1" x14ac:dyDescent="0.25">
      <c r="A307" s="31"/>
      <c r="B307" s="31"/>
      <c r="C307"/>
      <c r="D307" s="31"/>
      <c r="E307"/>
      <c r="F307" s="31"/>
      <c r="G307"/>
      <c r="H307" s="27">
        <f>IF($G307&lt;&gt;0,SUMIF(куб!$G:$G,$G307,куб!H:H),IF($E307&lt;&gt;0,SUMIF(куб!$E:$E,$E307,куб!H:H),IF($D307&lt;&gt;0,SUMIF(куб!$D:$D,$D307,куб!H:H),IF($C307&lt;&gt;0,SUMIF(куб!$C:$C,$C307,куб!H:H),IF($B307&lt;&gt;0,SUMIF(куб!$B:$B,$B307,куб!H:H),IF($G307&lt;&gt;0,SUMIF(куб!$A:$A,$G307,куб!H:H),SUMIF(куб!$A:$A,$G307,куб!H:H)))))))</f>
        <v>0</v>
      </c>
      <c r="I307" s="27">
        <f>IF($G307&lt;&gt;0,SUMIF(куб!$G:$G,$G307,куб!I:I),IF($E307&lt;&gt;0,SUMIF(куб!$E:$E,$E307,куб!I:I),IF($D307&lt;&gt;0,SUMIF(куб!$D:$D,$D307,куб!I:I),IF($C307&lt;&gt;0,SUMIF(куб!$C:$C,$C307,куб!I:I),IF($B307&lt;&gt;0,SUMIF(куб!$B:$B,$B307,куб!I:I),IF($G307&lt;&gt;0,SUMIF(куб!$A:$A,$G307,куб!I:I),SUMIF(куб!$A:$A,$G307,куб!I:I)))))))</f>
        <v>0</v>
      </c>
      <c r="J307" s="19" t="str">
        <f t="shared" si="111"/>
        <v>-</v>
      </c>
      <c r="K307" s="8"/>
      <c r="L307" s="17">
        <f t="shared" si="112"/>
        <v>0</v>
      </c>
      <c r="M307" s="17">
        <f t="shared" si="113"/>
        <v>0</v>
      </c>
      <c r="N307" s="12">
        <f t="shared" si="114"/>
        <v>0</v>
      </c>
      <c r="O307" s="5"/>
      <c r="P307" s="27" t="b">
        <f>IF($G307&lt;&gt;0,SUMIF(куб!$G:$G,$G307,куб!J:J),IF($E307&lt;&gt;0,SUMIF(куб!$E:$E,$E307,куб!J:J),IF($D307&lt;&gt;0,SUMIF(куб!$D:$D,$D307,куб!J:J),IF($C307&lt;&gt;0,SUMIF(куб!$C:$C,$C307,куб!J:J),IF($B307&lt;&gt;0,SUMIF(куб!$B:$B,$B307,куб!J:J))))))</f>
        <v>0</v>
      </c>
      <c r="Q307" s="27" t="b">
        <f>IF($G307&lt;&gt;0,SUMIF(куб!$G:$G,$G307,куб!K:K),IF($E307&lt;&gt;0,SUMIF(куб!$E:$E,$E307,куб!K:K),IF($D307&lt;&gt;0,SUMIF(куб!$D:$D,$D307,куб!K:K),IF($C307&lt;&gt;0,SUMIF(куб!$C:$C,$C307,куб!K:K),IF($B307&lt;&gt;0,SUMIF(куб!$B:$B,$B307,куб!K:K))))))</f>
        <v>0</v>
      </c>
      <c r="R307" s="13" t="str">
        <f t="shared" si="115"/>
        <v>-</v>
      </c>
      <c r="S307" s="5"/>
      <c r="T307" s="27" t="b">
        <f>IF($G307&lt;&gt;0,SUMIF(куб!$G:$G,$G307,куб!L:L),IF($E307&lt;&gt;0,SUMIF(куб!$E:$E,$E307,куб!L:L),IF($D307&lt;&gt;0,SUMIF(куб!$D:$D,$D307,куб!L:L),IF($C307&lt;&gt;0,SUMIF(куб!$C:$C,$C307,куб!L:L),IF($B307&lt;&gt;0,SUMIF(куб!$B:$B,$B307,куб!L:L))))))</f>
        <v>0</v>
      </c>
      <c r="U307" s="27" t="b">
        <f>IF($G307&lt;&gt;0,SUMIF(куб!$G:$G,$G307,куб!M:M),IF($E307&lt;&gt;0,SUMIF(куб!$E:$E,$E307,куб!M:M),IF($D307&lt;&gt;0,SUMIF(куб!$D:$D,$D307,куб!M:M),IF($C307&lt;&gt;0,SUMIF(куб!$C:$C,$C307,куб!M:M),IF($B307&lt;&gt;0,SUMIF(куб!$B:$B,$B307,куб!M:M))))))</f>
        <v>0</v>
      </c>
      <c r="V307" s="13" t="str">
        <f t="shared" si="116"/>
        <v>-</v>
      </c>
      <c r="W307" s="5"/>
      <c r="X307" s="27" t="b">
        <f>IF($G307&lt;&gt;0,SUMIF(куб!$G:$G,$G307,куб!N:N),IF($E307&lt;&gt;0,SUMIF(куб!$E:$E,$E307,куб!N:N),IF($D307&lt;&gt;0,SUMIF(куб!$D:$D,$D307,куб!N:N),IF($C307&lt;&gt;0,SUMIF(куб!$C:$C,$C307,куб!N:N),IF($B307&lt;&gt;0,SUMIF(куб!$B:$B,$B307,куб!N:N))))))</f>
        <v>0</v>
      </c>
      <c r="Y307" s="27" t="b">
        <f>IF($G307&lt;&gt;0,SUMIF(куб!$G:$G,$G307,куб!O:O),IF($E307&lt;&gt;0,SUMIF(куб!$E:$E,$E307,куб!O:O),IF($D307&lt;&gt;0,SUMIF(куб!$D:$D,$D307,куб!O:O),IF($C307&lt;&gt;0,SUMIF(куб!$C:$C,$C307,куб!O:O),IF($B307&lt;&gt;0,SUMIF(куб!$B:$B,$B307,куб!O:O))))))</f>
        <v>0</v>
      </c>
      <c r="Z307" s="13" t="str">
        <f t="shared" si="117"/>
        <v>-</v>
      </c>
      <c r="AA307" s="5"/>
      <c r="AB307" s="33" t="str">
        <f t="shared" si="118"/>
        <v/>
      </c>
      <c r="AC307" s="33" t="str">
        <f t="shared" si="119"/>
        <v/>
      </c>
      <c r="AD307" s="15" t="str">
        <f t="shared" si="120"/>
        <v xml:space="preserve"> </v>
      </c>
      <c r="AE307" s="5"/>
      <c r="AF307" s="27" t="b">
        <f>IF($G307&lt;&gt;0,SUMIF(куб!$G:$G,$G307,куб!R:R),IF($E307&lt;&gt;0,SUMIF(куб!$E:$E,$E307,куб!R:R),IF($D307&lt;&gt;0,SUMIF(куб!$D:$D,$D307,куб!R:R),IF($C307&lt;&gt;0,SUMIF(куб!$C:$C,$C307,куб!R:R),IF($B307&lt;&gt;0,SUMIF(куб!$B:$B,$B307,куб!R:R))))))</f>
        <v>0</v>
      </c>
      <c r="AG307" s="27" t="b">
        <f>IF($G307&lt;&gt;0,SUMIF(куб!$G:$G,$G307,куб!S:S),IF($E307&lt;&gt;0,SUMIF(куб!$E:$E,$E307,куб!S:S),IF($D307&lt;&gt;0,SUMIF(куб!$D:$D,$D307,куб!S:S),IF($C307&lt;&gt;0,SUMIF(куб!$C:$C,$C307,куб!S:S),IF($B307&lt;&gt;0,SUMIF(куб!$B:$B,$B307,куб!S:S))))))</f>
        <v>0</v>
      </c>
      <c r="AH307" s="16" t="str">
        <f t="shared" si="121"/>
        <v>-</v>
      </c>
      <c r="AI307" s="8"/>
      <c r="AJ307" s="27" t="b">
        <f>IF($G307&lt;&gt;0,SUMIF(куб!$G:$G,$G307,куб!T:T),IF($E307&lt;&gt;0,SUMIF(куб!$E:$E,$E307,куб!T:T),IF($D307&lt;&gt;0,SUMIF(куб!$D:$D,$D307,куб!T:T),IF($C307&lt;&gt;0,SUMIF(куб!$C:$C,$C307,куб!T:T),IF($B307&lt;&gt;0,SUMIF(куб!$B:$B,$B307,куб!T:T))))))</f>
        <v>0</v>
      </c>
      <c r="AK307" s="27" t="b">
        <f>IF($G307&lt;&gt;0,SUMIF(куб!$G:$G,$G307,куб!U:U),IF($E307&lt;&gt;0,SUMIF(куб!$E:$E,$E307,куб!U:U),IF($D307&lt;&gt;0,SUMIF(куб!$D:$D,$D307,куб!U:U),IF($C307&lt;&gt;0,SUMIF(куб!$C:$C,$C307,куб!U:U),IF($B307&lt;&gt;0,SUMIF(куб!$B:$B,$B307,куб!U:U))))))</f>
        <v>0</v>
      </c>
      <c r="AL307" s="16" t="str">
        <f t="shared" si="122"/>
        <v>-</v>
      </c>
      <c r="AM307" s="8"/>
      <c r="AN307" s="17" t="str">
        <f t="shared" si="123"/>
        <v xml:space="preserve"> </v>
      </c>
      <c r="AO307" s="17" t="str">
        <f t="shared" si="124"/>
        <v xml:space="preserve"> </v>
      </c>
      <c r="AP307" s="16" t="str">
        <f t="shared" si="125"/>
        <v>-</v>
      </c>
      <c r="AQ307" s="8"/>
      <c r="AR307" s="17" t="str">
        <f t="shared" si="126"/>
        <v>-</v>
      </c>
      <c r="AS307" s="17" t="str">
        <f t="shared" si="127"/>
        <v>-</v>
      </c>
      <c r="AT307" s="13" t="str">
        <f t="shared" si="128"/>
        <v>-</v>
      </c>
      <c r="AU307" s="8"/>
    </row>
    <row r="308" spans="1:47" ht="15" customHeight="1" x14ac:dyDescent="0.25">
      <c r="A308" s="31"/>
      <c r="B308" s="31"/>
      <c r="C308"/>
      <c r="D308" s="31"/>
      <c r="E308"/>
      <c r="F308" s="31"/>
      <c r="G308"/>
      <c r="H308" s="27">
        <f>IF($G308&lt;&gt;0,SUMIF(куб!$G:$G,$G308,куб!H:H),IF($E308&lt;&gt;0,SUMIF(куб!$E:$E,$E308,куб!H:H),IF($D308&lt;&gt;0,SUMIF(куб!$D:$D,$D308,куб!H:H),IF($C308&lt;&gt;0,SUMIF(куб!$C:$C,$C308,куб!H:H),IF($B308&lt;&gt;0,SUMIF(куб!$B:$B,$B308,куб!H:H),IF($G308&lt;&gt;0,SUMIF(куб!$A:$A,$G308,куб!H:H),SUMIF(куб!$A:$A,$G308,куб!H:H)))))))</f>
        <v>0</v>
      </c>
      <c r="I308" s="27">
        <f>IF($G308&lt;&gt;0,SUMIF(куб!$G:$G,$G308,куб!I:I),IF($E308&lt;&gt;0,SUMIF(куб!$E:$E,$E308,куб!I:I),IF($D308&lt;&gt;0,SUMIF(куб!$D:$D,$D308,куб!I:I),IF($C308&lt;&gt;0,SUMIF(куб!$C:$C,$C308,куб!I:I),IF($B308&lt;&gt;0,SUMIF(куб!$B:$B,$B308,куб!I:I),IF($G308&lt;&gt;0,SUMIF(куб!$A:$A,$G308,куб!I:I),SUMIF(куб!$A:$A,$G308,куб!I:I)))))))</f>
        <v>0</v>
      </c>
      <c r="J308" s="19" t="str">
        <f t="shared" si="111"/>
        <v>-</v>
      </c>
      <c r="K308" s="8"/>
      <c r="L308" s="17">
        <f t="shared" si="112"/>
        <v>0</v>
      </c>
      <c r="M308" s="17">
        <f t="shared" si="113"/>
        <v>0</v>
      </c>
      <c r="N308" s="12">
        <f t="shared" si="114"/>
        <v>0</v>
      </c>
      <c r="O308" s="5"/>
      <c r="P308" s="27" t="b">
        <f>IF($G308&lt;&gt;0,SUMIF(куб!$G:$G,$G308,куб!J:J),IF($E308&lt;&gt;0,SUMIF(куб!$E:$E,$E308,куб!J:J),IF($D308&lt;&gt;0,SUMIF(куб!$D:$D,$D308,куб!J:J),IF($C308&lt;&gt;0,SUMIF(куб!$C:$C,$C308,куб!J:J),IF($B308&lt;&gt;0,SUMIF(куб!$B:$B,$B308,куб!J:J))))))</f>
        <v>0</v>
      </c>
      <c r="Q308" s="27" t="b">
        <f>IF($G308&lt;&gt;0,SUMIF(куб!$G:$G,$G308,куб!K:K),IF($E308&lt;&gt;0,SUMIF(куб!$E:$E,$E308,куб!K:K),IF($D308&lt;&gt;0,SUMIF(куб!$D:$D,$D308,куб!K:K),IF($C308&lt;&gt;0,SUMIF(куб!$C:$C,$C308,куб!K:K),IF($B308&lt;&gt;0,SUMIF(куб!$B:$B,$B308,куб!K:K))))))</f>
        <v>0</v>
      </c>
      <c r="R308" s="13" t="str">
        <f t="shared" si="115"/>
        <v>-</v>
      </c>
      <c r="S308" s="5"/>
      <c r="T308" s="27" t="b">
        <f>IF($G308&lt;&gt;0,SUMIF(куб!$G:$G,$G308,куб!L:L),IF($E308&lt;&gt;0,SUMIF(куб!$E:$E,$E308,куб!L:L),IF($D308&lt;&gt;0,SUMIF(куб!$D:$D,$D308,куб!L:L),IF($C308&lt;&gt;0,SUMIF(куб!$C:$C,$C308,куб!L:L),IF($B308&lt;&gt;0,SUMIF(куб!$B:$B,$B308,куб!L:L))))))</f>
        <v>0</v>
      </c>
      <c r="U308" s="27" t="b">
        <f>IF($G308&lt;&gt;0,SUMIF(куб!$G:$G,$G308,куб!M:M),IF($E308&lt;&gt;0,SUMIF(куб!$E:$E,$E308,куб!M:M),IF($D308&lt;&gt;0,SUMIF(куб!$D:$D,$D308,куб!M:M),IF($C308&lt;&gt;0,SUMIF(куб!$C:$C,$C308,куб!M:M),IF($B308&lt;&gt;0,SUMIF(куб!$B:$B,$B308,куб!M:M))))))</f>
        <v>0</v>
      </c>
      <c r="V308" s="13" t="str">
        <f t="shared" si="116"/>
        <v>-</v>
      </c>
      <c r="W308" s="5"/>
      <c r="X308" s="27" t="b">
        <f>IF($G308&lt;&gt;0,SUMIF(куб!$G:$G,$G308,куб!N:N),IF($E308&lt;&gt;0,SUMIF(куб!$E:$E,$E308,куб!N:N),IF($D308&lt;&gt;0,SUMIF(куб!$D:$D,$D308,куб!N:N),IF($C308&lt;&gt;0,SUMIF(куб!$C:$C,$C308,куб!N:N),IF($B308&lt;&gt;0,SUMIF(куб!$B:$B,$B308,куб!N:N))))))</f>
        <v>0</v>
      </c>
      <c r="Y308" s="27" t="b">
        <f>IF($G308&lt;&gt;0,SUMIF(куб!$G:$G,$G308,куб!O:O),IF($E308&lt;&gt;0,SUMIF(куб!$E:$E,$E308,куб!O:O),IF($D308&lt;&gt;0,SUMIF(куб!$D:$D,$D308,куб!O:O),IF($C308&lt;&gt;0,SUMIF(куб!$C:$C,$C308,куб!O:O),IF($B308&lt;&gt;0,SUMIF(куб!$B:$B,$B308,куб!O:O))))))</f>
        <v>0</v>
      </c>
      <c r="Z308" s="13" t="str">
        <f t="shared" si="117"/>
        <v>-</v>
      </c>
      <c r="AA308" s="5"/>
      <c r="AB308" s="33" t="str">
        <f t="shared" si="118"/>
        <v/>
      </c>
      <c r="AC308" s="33" t="str">
        <f t="shared" si="119"/>
        <v/>
      </c>
      <c r="AD308" s="15" t="str">
        <f t="shared" si="120"/>
        <v xml:space="preserve"> </v>
      </c>
      <c r="AE308" s="5"/>
      <c r="AF308" s="27" t="b">
        <f>IF($G308&lt;&gt;0,SUMIF(куб!$G:$G,$G308,куб!R:R),IF($E308&lt;&gt;0,SUMIF(куб!$E:$E,$E308,куб!R:R),IF($D308&lt;&gt;0,SUMIF(куб!$D:$D,$D308,куб!R:R),IF($C308&lt;&gt;0,SUMIF(куб!$C:$C,$C308,куб!R:R),IF($B308&lt;&gt;0,SUMIF(куб!$B:$B,$B308,куб!R:R))))))</f>
        <v>0</v>
      </c>
      <c r="AG308" s="27" t="b">
        <f>IF($G308&lt;&gt;0,SUMIF(куб!$G:$G,$G308,куб!S:S),IF($E308&lt;&gt;0,SUMIF(куб!$E:$E,$E308,куб!S:S),IF($D308&lt;&gt;0,SUMIF(куб!$D:$D,$D308,куб!S:S),IF($C308&lt;&gt;0,SUMIF(куб!$C:$C,$C308,куб!S:S),IF($B308&lt;&gt;0,SUMIF(куб!$B:$B,$B308,куб!S:S))))))</f>
        <v>0</v>
      </c>
      <c r="AH308" s="16" t="str">
        <f t="shared" si="121"/>
        <v>-</v>
      </c>
      <c r="AI308" s="8"/>
      <c r="AJ308" s="27" t="b">
        <f>IF($G308&lt;&gt;0,SUMIF(куб!$G:$G,$G308,куб!T:T),IF($E308&lt;&gt;0,SUMIF(куб!$E:$E,$E308,куб!T:T),IF($D308&lt;&gt;0,SUMIF(куб!$D:$D,$D308,куб!T:T),IF($C308&lt;&gt;0,SUMIF(куб!$C:$C,$C308,куб!T:T),IF($B308&lt;&gt;0,SUMIF(куб!$B:$B,$B308,куб!T:T))))))</f>
        <v>0</v>
      </c>
      <c r="AK308" s="27" t="b">
        <f>IF($G308&lt;&gt;0,SUMIF(куб!$G:$G,$G308,куб!U:U),IF($E308&lt;&gt;0,SUMIF(куб!$E:$E,$E308,куб!U:U),IF($D308&lt;&gt;0,SUMIF(куб!$D:$D,$D308,куб!U:U),IF($C308&lt;&gt;0,SUMIF(куб!$C:$C,$C308,куб!U:U),IF($B308&lt;&gt;0,SUMIF(куб!$B:$B,$B308,куб!U:U))))))</f>
        <v>0</v>
      </c>
      <c r="AL308" s="16" t="str">
        <f t="shared" si="122"/>
        <v>-</v>
      </c>
      <c r="AM308" s="8"/>
      <c r="AN308" s="17" t="str">
        <f t="shared" si="123"/>
        <v xml:space="preserve"> </v>
      </c>
      <c r="AO308" s="17" t="str">
        <f t="shared" si="124"/>
        <v xml:space="preserve"> </v>
      </c>
      <c r="AP308" s="16" t="str">
        <f t="shared" si="125"/>
        <v>-</v>
      </c>
      <c r="AQ308" s="8"/>
      <c r="AR308" s="17" t="str">
        <f t="shared" si="126"/>
        <v>-</v>
      </c>
      <c r="AS308" s="17" t="str">
        <f t="shared" si="127"/>
        <v>-</v>
      </c>
      <c r="AT308" s="13" t="str">
        <f t="shared" si="128"/>
        <v>-</v>
      </c>
      <c r="AU308" s="8"/>
    </row>
    <row r="309" spans="1:47" ht="15" customHeight="1" x14ac:dyDescent="0.25">
      <c r="A309" s="31"/>
      <c r="B309" s="31"/>
      <c r="C309"/>
      <c r="D309" s="31"/>
      <c r="E309"/>
      <c r="F309" s="31"/>
      <c r="G309"/>
      <c r="H309" s="27">
        <f>IF($G309&lt;&gt;0,SUMIF(куб!$G:$G,$G309,куб!H:H),IF($E309&lt;&gt;0,SUMIF(куб!$E:$E,$E309,куб!H:H),IF($D309&lt;&gt;0,SUMIF(куб!$D:$D,$D309,куб!H:H),IF($C309&lt;&gt;0,SUMIF(куб!$C:$C,$C309,куб!H:H),IF($B309&lt;&gt;0,SUMIF(куб!$B:$B,$B309,куб!H:H),IF($G309&lt;&gt;0,SUMIF(куб!$A:$A,$G309,куб!H:H),SUMIF(куб!$A:$A,$G309,куб!H:H)))))))</f>
        <v>0</v>
      </c>
      <c r="I309" s="27">
        <f>IF($G309&lt;&gt;0,SUMIF(куб!$G:$G,$G309,куб!I:I),IF($E309&lt;&gt;0,SUMIF(куб!$E:$E,$E309,куб!I:I),IF($D309&lt;&gt;0,SUMIF(куб!$D:$D,$D309,куб!I:I),IF($C309&lt;&gt;0,SUMIF(куб!$C:$C,$C309,куб!I:I),IF($B309&lt;&gt;0,SUMIF(куб!$B:$B,$B309,куб!I:I),IF($G309&lt;&gt;0,SUMIF(куб!$A:$A,$G309,куб!I:I),SUMIF(куб!$A:$A,$G309,куб!I:I)))))))</f>
        <v>0</v>
      </c>
      <c r="J309" s="19" t="str">
        <f t="shared" si="111"/>
        <v>-</v>
      </c>
      <c r="K309" s="8"/>
      <c r="L309" s="17">
        <f t="shared" si="112"/>
        <v>0</v>
      </c>
      <c r="M309" s="17">
        <f t="shared" si="113"/>
        <v>0</v>
      </c>
      <c r="N309" s="12">
        <f t="shared" si="114"/>
        <v>0</v>
      </c>
      <c r="O309" s="5"/>
      <c r="P309" s="27" t="b">
        <f>IF($G309&lt;&gt;0,SUMIF(куб!$G:$G,$G309,куб!J:J),IF($E309&lt;&gt;0,SUMIF(куб!$E:$E,$E309,куб!J:J),IF($D309&lt;&gt;0,SUMIF(куб!$D:$D,$D309,куб!J:J),IF($C309&lt;&gt;0,SUMIF(куб!$C:$C,$C309,куб!J:J),IF($B309&lt;&gt;0,SUMIF(куб!$B:$B,$B309,куб!J:J))))))</f>
        <v>0</v>
      </c>
      <c r="Q309" s="27" t="b">
        <f>IF($G309&lt;&gt;0,SUMIF(куб!$G:$G,$G309,куб!K:K),IF($E309&lt;&gt;0,SUMIF(куб!$E:$E,$E309,куб!K:K),IF($D309&lt;&gt;0,SUMIF(куб!$D:$D,$D309,куб!K:K),IF($C309&lt;&gt;0,SUMIF(куб!$C:$C,$C309,куб!K:K),IF($B309&lt;&gt;0,SUMIF(куб!$B:$B,$B309,куб!K:K))))))</f>
        <v>0</v>
      </c>
      <c r="R309" s="13" t="str">
        <f t="shared" si="115"/>
        <v>-</v>
      </c>
      <c r="S309" s="5"/>
      <c r="T309" s="27" t="b">
        <f>IF($G309&lt;&gt;0,SUMIF(куб!$G:$G,$G309,куб!L:L),IF($E309&lt;&gt;0,SUMIF(куб!$E:$E,$E309,куб!L:L),IF($D309&lt;&gt;0,SUMIF(куб!$D:$D,$D309,куб!L:L),IF($C309&lt;&gt;0,SUMIF(куб!$C:$C,$C309,куб!L:L),IF($B309&lt;&gt;0,SUMIF(куб!$B:$B,$B309,куб!L:L))))))</f>
        <v>0</v>
      </c>
      <c r="U309" s="27" t="b">
        <f>IF($G309&lt;&gt;0,SUMIF(куб!$G:$G,$G309,куб!M:M),IF($E309&lt;&gt;0,SUMIF(куб!$E:$E,$E309,куб!M:M),IF($D309&lt;&gt;0,SUMIF(куб!$D:$D,$D309,куб!M:M),IF($C309&lt;&gt;0,SUMIF(куб!$C:$C,$C309,куб!M:M),IF($B309&lt;&gt;0,SUMIF(куб!$B:$B,$B309,куб!M:M))))))</f>
        <v>0</v>
      </c>
      <c r="V309" s="13" t="str">
        <f t="shared" si="116"/>
        <v>-</v>
      </c>
      <c r="W309" s="5"/>
      <c r="X309" s="27" t="b">
        <f>IF($G309&lt;&gt;0,SUMIF(куб!$G:$G,$G309,куб!N:N),IF($E309&lt;&gt;0,SUMIF(куб!$E:$E,$E309,куб!N:N),IF($D309&lt;&gt;0,SUMIF(куб!$D:$D,$D309,куб!N:N),IF($C309&lt;&gt;0,SUMIF(куб!$C:$C,$C309,куб!N:N),IF($B309&lt;&gt;0,SUMIF(куб!$B:$B,$B309,куб!N:N))))))</f>
        <v>0</v>
      </c>
      <c r="Y309" s="27" t="b">
        <f>IF($G309&lt;&gt;0,SUMIF(куб!$G:$G,$G309,куб!O:O),IF($E309&lt;&gt;0,SUMIF(куб!$E:$E,$E309,куб!O:O),IF($D309&lt;&gt;0,SUMIF(куб!$D:$D,$D309,куб!O:O),IF($C309&lt;&gt;0,SUMIF(куб!$C:$C,$C309,куб!O:O),IF($B309&lt;&gt;0,SUMIF(куб!$B:$B,$B309,куб!O:O))))))</f>
        <v>0</v>
      </c>
      <c r="Z309" s="13" t="str">
        <f t="shared" si="117"/>
        <v>-</v>
      </c>
      <c r="AA309" s="5"/>
      <c r="AB309" s="33" t="str">
        <f t="shared" si="118"/>
        <v/>
      </c>
      <c r="AC309" s="33" t="str">
        <f t="shared" si="119"/>
        <v/>
      </c>
      <c r="AD309" s="15" t="str">
        <f t="shared" si="120"/>
        <v xml:space="preserve"> </v>
      </c>
      <c r="AE309" s="5"/>
      <c r="AF309" s="27" t="b">
        <f>IF($G309&lt;&gt;0,SUMIF(куб!$G:$G,$G309,куб!R:R),IF($E309&lt;&gt;0,SUMIF(куб!$E:$E,$E309,куб!R:R),IF($D309&lt;&gt;0,SUMIF(куб!$D:$D,$D309,куб!R:R),IF($C309&lt;&gt;0,SUMIF(куб!$C:$C,$C309,куб!R:R),IF($B309&lt;&gt;0,SUMIF(куб!$B:$B,$B309,куб!R:R))))))</f>
        <v>0</v>
      </c>
      <c r="AG309" s="27" t="b">
        <f>IF($G309&lt;&gt;0,SUMIF(куб!$G:$G,$G309,куб!S:S),IF($E309&lt;&gt;0,SUMIF(куб!$E:$E,$E309,куб!S:S),IF($D309&lt;&gt;0,SUMIF(куб!$D:$D,$D309,куб!S:S),IF($C309&lt;&gt;0,SUMIF(куб!$C:$C,$C309,куб!S:S),IF($B309&lt;&gt;0,SUMIF(куб!$B:$B,$B309,куб!S:S))))))</f>
        <v>0</v>
      </c>
      <c r="AH309" s="16" t="str">
        <f t="shared" si="121"/>
        <v>-</v>
      </c>
      <c r="AI309" s="8"/>
      <c r="AJ309" s="27" t="b">
        <f>IF($G309&lt;&gt;0,SUMIF(куб!$G:$G,$G309,куб!T:T),IF($E309&lt;&gt;0,SUMIF(куб!$E:$E,$E309,куб!T:T),IF($D309&lt;&gt;0,SUMIF(куб!$D:$D,$D309,куб!T:T),IF($C309&lt;&gt;0,SUMIF(куб!$C:$C,$C309,куб!T:T),IF($B309&lt;&gt;0,SUMIF(куб!$B:$B,$B309,куб!T:T))))))</f>
        <v>0</v>
      </c>
      <c r="AK309" s="27" t="b">
        <f>IF($G309&lt;&gt;0,SUMIF(куб!$G:$G,$G309,куб!U:U),IF($E309&lt;&gt;0,SUMIF(куб!$E:$E,$E309,куб!U:U),IF($D309&lt;&gt;0,SUMIF(куб!$D:$D,$D309,куб!U:U),IF($C309&lt;&gt;0,SUMIF(куб!$C:$C,$C309,куб!U:U),IF($B309&lt;&gt;0,SUMIF(куб!$B:$B,$B309,куб!U:U))))))</f>
        <v>0</v>
      </c>
      <c r="AL309" s="16" t="str">
        <f t="shared" si="122"/>
        <v>-</v>
      </c>
      <c r="AM309" s="8"/>
      <c r="AN309" s="17" t="str">
        <f t="shared" si="123"/>
        <v xml:space="preserve"> </v>
      </c>
      <c r="AO309" s="17" t="str">
        <f t="shared" si="124"/>
        <v xml:space="preserve"> </v>
      </c>
      <c r="AP309" s="16" t="str">
        <f t="shared" si="125"/>
        <v>-</v>
      </c>
      <c r="AQ309" s="8"/>
      <c r="AR309" s="17" t="str">
        <f t="shared" si="126"/>
        <v>-</v>
      </c>
      <c r="AS309" s="17" t="str">
        <f t="shared" si="127"/>
        <v>-</v>
      </c>
      <c r="AT309" s="13" t="str">
        <f t="shared" si="128"/>
        <v>-</v>
      </c>
      <c r="AU309" s="8"/>
    </row>
    <row r="310" spans="1:47" ht="15" customHeight="1" x14ac:dyDescent="0.25">
      <c r="A310" s="31"/>
      <c r="B310" s="31"/>
      <c r="C310"/>
      <c r="D310" s="31"/>
      <c r="E310"/>
      <c r="F310" s="31"/>
      <c r="G310"/>
      <c r="H310" s="27">
        <f>IF($G310&lt;&gt;0,SUMIF(куб!$G:$G,$G310,куб!H:H),IF($E310&lt;&gt;0,SUMIF(куб!$E:$E,$E310,куб!H:H),IF($D310&lt;&gt;0,SUMIF(куб!$D:$D,$D310,куб!H:H),IF($C310&lt;&gt;0,SUMIF(куб!$C:$C,$C310,куб!H:H),IF($B310&lt;&gt;0,SUMIF(куб!$B:$B,$B310,куб!H:H),IF($G310&lt;&gt;0,SUMIF(куб!$A:$A,$G310,куб!H:H),SUMIF(куб!$A:$A,$G310,куб!H:H)))))))</f>
        <v>0</v>
      </c>
      <c r="I310" s="27">
        <f>IF($G310&lt;&gt;0,SUMIF(куб!$G:$G,$G310,куб!I:I),IF($E310&lt;&gt;0,SUMIF(куб!$E:$E,$E310,куб!I:I),IF($D310&lt;&gt;0,SUMIF(куб!$D:$D,$D310,куб!I:I),IF($C310&lt;&gt;0,SUMIF(куб!$C:$C,$C310,куб!I:I),IF($B310&lt;&gt;0,SUMIF(куб!$B:$B,$B310,куб!I:I),IF($G310&lt;&gt;0,SUMIF(куб!$A:$A,$G310,куб!I:I),SUMIF(куб!$A:$A,$G310,куб!I:I)))))))</f>
        <v>0</v>
      </c>
      <c r="J310" s="19" t="str">
        <f t="shared" si="111"/>
        <v>-</v>
      </c>
      <c r="K310" s="8"/>
      <c r="L310" s="17">
        <f t="shared" si="112"/>
        <v>0</v>
      </c>
      <c r="M310" s="17">
        <f t="shared" si="113"/>
        <v>0</v>
      </c>
      <c r="N310" s="12">
        <f t="shared" si="114"/>
        <v>0</v>
      </c>
      <c r="O310" s="5"/>
      <c r="P310" s="27" t="b">
        <f>IF($G310&lt;&gt;0,SUMIF(куб!$G:$G,$G310,куб!J:J),IF($E310&lt;&gt;0,SUMIF(куб!$E:$E,$E310,куб!J:J),IF($D310&lt;&gt;0,SUMIF(куб!$D:$D,$D310,куб!J:J),IF($C310&lt;&gt;0,SUMIF(куб!$C:$C,$C310,куб!J:J),IF($B310&lt;&gt;0,SUMIF(куб!$B:$B,$B310,куб!J:J))))))</f>
        <v>0</v>
      </c>
      <c r="Q310" s="27" t="b">
        <f>IF($G310&lt;&gt;0,SUMIF(куб!$G:$G,$G310,куб!K:K),IF($E310&lt;&gt;0,SUMIF(куб!$E:$E,$E310,куб!K:K),IF($D310&lt;&gt;0,SUMIF(куб!$D:$D,$D310,куб!K:K),IF($C310&lt;&gt;0,SUMIF(куб!$C:$C,$C310,куб!K:K),IF($B310&lt;&gt;0,SUMIF(куб!$B:$B,$B310,куб!K:K))))))</f>
        <v>0</v>
      </c>
      <c r="R310" s="13" t="str">
        <f t="shared" si="115"/>
        <v>-</v>
      </c>
      <c r="S310" s="5"/>
      <c r="T310" s="27" t="b">
        <f>IF($G310&lt;&gt;0,SUMIF(куб!$G:$G,$G310,куб!L:L),IF($E310&lt;&gt;0,SUMIF(куб!$E:$E,$E310,куб!L:L),IF($D310&lt;&gt;0,SUMIF(куб!$D:$D,$D310,куб!L:L),IF($C310&lt;&gt;0,SUMIF(куб!$C:$C,$C310,куб!L:L),IF($B310&lt;&gt;0,SUMIF(куб!$B:$B,$B310,куб!L:L))))))</f>
        <v>0</v>
      </c>
      <c r="U310" s="27" t="b">
        <f>IF($G310&lt;&gt;0,SUMIF(куб!$G:$G,$G310,куб!M:M),IF($E310&lt;&gt;0,SUMIF(куб!$E:$E,$E310,куб!M:M),IF($D310&lt;&gt;0,SUMIF(куб!$D:$D,$D310,куб!M:M),IF($C310&lt;&gt;0,SUMIF(куб!$C:$C,$C310,куб!M:M),IF($B310&lt;&gt;0,SUMIF(куб!$B:$B,$B310,куб!M:M))))))</f>
        <v>0</v>
      </c>
      <c r="V310" s="13" t="str">
        <f t="shared" si="116"/>
        <v>-</v>
      </c>
      <c r="W310" s="5"/>
      <c r="X310" s="27" t="b">
        <f>IF($G310&lt;&gt;0,SUMIF(куб!$G:$G,$G310,куб!N:N),IF($E310&lt;&gt;0,SUMIF(куб!$E:$E,$E310,куб!N:N),IF($D310&lt;&gt;0,SUMIF(куб!$D:$D,$D310,куб!N:N),IF($C310&lt;&gt;0,SUMIF(куб!$C:$C,$C310,куб!N:N),IF($B310&lt;&gt;0,SUMIF(куб!$B:$B,$B310,куб!N:N))))))</f>
        <v>0</v>
      </c>
      <c r="Y310" s="27" t="b">
        <f>IF($G310&lt;&gt;0,SUMIF(куб!$G:$G,$G310,куб!O:O),IF($E310&lt;&gt;0,SUMIF(куб!$E:$E,$E310,куб!O:O),IF($D310&lt;&gt;0,SUMIF(куб!$D:$D,$D310,куб!O:O),IF($C310&lt;&gt;0,SUMIF(куб!$C:$C,$C310,куб!O:O),IF($B310&lt;&gt;0,SUMIF(куб!$B:$B,$B310,куб!O:O))))))</f>
        <v>0</v>
      </c>
      <c r="Z310" s="13" t="str">
        <f t="shared" si="117"/>
        <v>-</v>
      </c>
      <c r="AA310" s="5"/>
      <c r="AB310" s="33" t="str">
        <f t="shared" si="118"/>
        <v/>
      </c>
      <c r="AC310" s="33" t="str">
        <f t="shared" si="119"/>
        <v/>
      </c>
      <c r="AD310" s="15" t="str">
        <f t="shared" si="120"/>
        <v xml:space="preserve"> </v>
      </c>
      <c r="AE310" s="5"/>
      <c r="AF310" s="27" t="b">
        <f>IF($G310&lt;&gt;0,SUMIF(куб!$G:$G,$G310,куб!R:R),IF($E310&lt;&gt;0,SUMIF(куб!$E:$E,$E310,куб!R:R),IF($D310&lt;&gt;0,SUMIF(куб!$D:$D,$D310,куб!R:R),IF($C310&lt;&gt;0,SUMIF(куб!$C:$C,$C310,куб!R:R),IF($B310&lt;&gt;0,SUMIF(куб!$B:$B,$B310,куб!R:R))))))</f>
        <v>0</v>
      </c>
      <c r="AG310" s="27" t="b">
        <f>IF($G310&lt;&gt;0,SUMIF(куб!$G:$G,$G310,куб!S:S),IF($E310&lt;&gt;0,SUMIF(куб!$E:$E,$E310,куб!S:S),IF($D310&lt;&gt;0,SUMIF(куб!$D:$D,$D310,куб!S:S),IF($C310&lt;&gt;0,SUMIF(куб!$C:$C,$C310,куб!S:S),IF($B310&lt;&gt;0,SUMIF(куб!$B:$B,$B310,куб!S:S))))))</f>
        <v>0</v>
      </c>
      <c r="AH310" s="16" t="str">
        <f t="shared" si="121"/>
        <v>-</v>
      </c>
      <c r="AI310" s="8"/>
      <c r="AJ310" s="27" t="b">
        <f>IF($G310&lt;&gt;0,SUMIF(куб!$G:$G,$G310,куб!T:T),IF($E310&lt;&gt;0,SUMIF(куб!$E:$E,$E310,куб!T:T),IF($D310&lt;&gt;0,SUMIF(куб!$D:$D,$D310,куб!T:T),IF($C310&lt;&gt;0,SUMIF(куб!$C:$C,$C310,куб!T:T),IF($B310&lt;&gt;0,SUMIF(куб!$B:$B,$B310,куб!T:T))))))</f>
        <v>0</v>
      </c>
      <c r="AK310" s="27" t="b">
        <f>IF($G310&lt;&gt;0,SUMIF(куб!$G:$G,$G310,куб!U:U),IF($E310&lt;&gt;0,SUMIF(куб!$E:$E,$E310,куб!U:U),IF($D310&lt;&gt;0,SUMIF(куб!$D:$D,$D310,куб!U:U),IF($C310&lt;&gt;0,SUMIF(куб!$C:$C,$C310,куб!U:U),IF($B310&lt;&gt;0,SUMIF(куб!$B:$B,$B310,куб!U:U))))))</f>
        <v>0</v>
      </c>
      <c r="AL310" s="16" t="str">
        <f t="shared" si="122"/>
        <v>-</v>
      </c>
      <c r="AM310" s="8"/>
      <c r="AN310" s="17" t="str">
        <f t="shared" si="123"/>
        <v xml:space="preserve"> </v>
      </c>
      <c r="AO310" s="17" t="str">
        <f t="shared" si="124"/>
        <v xml:space="preserve"> </v>
      </c>
      <c r="AP310" s="16" t="str">
        <f t="shared" si="125"/>
        <v>-</v>
      </c>
      <c r="AQ310" s="8"/>
      <c r="AR310" s="17" t="str">
        <f t="shared" si="126"/>
        <v>-</v>
      </c>
      <c r="AS310" s="17" t="str">
        <f t="shared" si="127"/>
        <v>-</v>
      </c>
      <c r="AT310" s="13" t="str">
        <f t="shared" si="128"/>
        <v>-</v>
      </c>
      <c r="AU310" s="8"/>
    </row>
    <row r="311" spans="1:47" ht="15" customHeight="1" x14ac:dyDescent="0.25">
      <c r="A311" s="31"/>
      <c r="B311" s="31"/>
      <c r="C311"/>
      <c r="D311" s="31"/>
      <c r="E311"/>
      <c r="F311" s="31"/>
      <c r="G311"/>
      <c r="H311" s="27">
        <f>IF($G311&lt;&gt;0,SUMIF(куб!$G:$G,$G311,куб!H:H),IF($E311&lt;&gt;0,SUMIF(куб!$E:$E,$E311,куб!H:H),IF($D311&lt;&gt;0,SUMIF(куб!$D:$D,$D311,куб!H:H),IF($C311&lt;&gt;0,SUMIF(куб!$C:$C,$C311,куб!H:H),IF($B311&lt;&gt;0,SUMIF(куб!$B:$B,$B311,куб!H:H),IF($G311&lt;&gt;0,SUMIF(куб!$A:$A,$G311,куб!H:H),SUMIF(куб!$A:$A,$G311,куб!H:H)))))))</f>
        <v>0</v>
      </c>
      <c r="I311" s="27">
        <f>IF($G311&lt;&gt;0,SUMIF(куб!$G:$G,$G311,куб!I:I),IF($E311&lt;&gt;0,SUMIF(куб!$E:$E,$E311,куб!I:I),IF($D311&lt;&gt;0,SUMIF(куб!$D:$D,$D311,куб!I:I),IF($C311&lt;&gt;0,SUMIF(куб!$C:$C,$C311,куб!I:I),IF($B311&lt;&gt;0,SUMIF(куб!$B:$B,$B311,куб!I:I),IF($G311&lt;&gt;0,SUMIF(куб!$A:$A,$G311,куб!I:I),SUMIF(куб!$A:$A,$G311,куб!I:I)))))))</f>
        <v>0</v>
      </c>
      <c r="J311" s="19" t="str">
        <f t="shared" si="111"/>
        <v>-</v>
      </c>
      <c r="K311" s="8"/>
      <c r="L311" s="17">
        <f t="shared" si="112"/>
        <v>0</v>
      </c>
      <c r="M311" s="17">
        <f t="shared" si="113"/>
        <v>0</v>
      </c>
      <c r="N311" s="12">
        <f t="shared" si="114"/>
        <v>0</v>
      </c>
      <c r="O311" s="5"/>
      <c r="P311" s="27" t="b">
        <f>IF($G311&lt;&gt;0,SUMIF(куб!$G:$G,$G311,куб!J:J),IF($E311&lt;&gt;0,SUMIF(куб!$E:$E,$E311,куб!J:J),IF($D311&lt;&gt;0,SUMIF(куб!$D:$D,$D311,куб!J:J),IF($C311&lt;&gt;0,SUMIF(куб!$C:$C,$C311,куб!J:J),IF($B311&lt;&gt;0,SUMIF(куб!$B:$B,$B311,куб!J:J))))))</f>
        <v>0</v>
      </c>
      <c r="Q311" s="27" t="b">
        <f>IF($G311&lt;&gt;0,SUMIF(куб!$G:$G,$G311,куб!K:K),IF($E311&lt;&gt;0,SUMIF(куб!$E:$E,$E311,куб!K:K),IF($D311&lt;&gt;0,SUMIF(куб!$D:$D,$D311,куб!K:K),IF($C311&lt;&gt;0,SUMIF(куб!$C:$C,$C311,куб!K:K),IF($B311&lt;&gt;0,SUMIF(куб!$B:$B,$B311,куб!K:K))))))</f>
        <v>0</v>
      </c>
      <c r="R311" s="13" t="str">
        <f t="shared" si="115"/>
        <v>-</v>
      </c>
      <c r="S311" s="5"/>
      <c r="T311" s="27" t="b">
        <f>IF($G311&lt;&gt;0,SUMIF(куб!$G:$G,$G311,куб!L:L),IF($E311&lt;&gt;0,SUMIF(куб!$E:$E,$E311,куб!L:L),IF($D311&lt;&gt;0,SUMIF(куб!$D:$D,$D311,куб!L:L),IF($C311&lt;&gt;0,SUMIF(куб!$C:$C,$C311,куб!L:L),IF($B311&lt;&gt;0,SUMIF(куб!$B:$B,$B311,куб!L:L))))))</f>
        <v>0</v>
      </c>
      <c r="U311" s="27" t="b">
        <f>IF($G311&lt;&gt;0,SUMIF(куб!$G:$G,$G311,куб!M:M),IF($E311&lt;&gt;0,SUMIF(куб!$E:$E,$E311,куб!M:M),IF($D311&lt;&gt;0,SUMIF(куб!$D:$D,$D311,куб!M:M),IF($C311&lt;&gt;0,SUMIF(куб!$C:$C,$C311,куб!M:M),IF($B311&lt;&gt;0,SUMIF(куб!$B:$B,$B311,куб!M:M))))))</f>
        <v>0</v>
      </c>
      <c r="V311" s="13" t="str">
        <f t="shared" si="116"/>
        <v>-</v>
      </c>
      <c r="W311" s="5"/>
      <c r="X311" s="27" t="b">
        <f>IF($G311&lt;&gt;0,SUMIF(куб!$G:$G,$G311,куб!N:N),IF($E311&lt;&gt;0,SUMIF(куб!$E:$E,$E311,куб!N:N),IF($D311&lt;&gt;0,SUMIF(куб!$D:$D,$D311,куб!N:N),IF($C311&lt;&gt;0,SUMIF(куб!$C:$C,$C311,куб!N:N),IF($B311&lt;&gt;0,SUMIF(куб!$B:$B,$B311,куб!N:N))))))</f>
        <v>0</v>
      </c>
      <c r="Y311" s="27" t="b">
        <f>IF($G311&lt;&gt;0,SUMIF(куб!$G:$G,$G311,куб!O:O),IF($E311&lt;&gt;0,SUMIF(куб!$E:$E,$E311,куб!O:O),IF($D311&lt;&gt;0,SUMIF(куб!$D:$D,$D311,куб!O:O),IF($C311&lt;&gt;0,SUMIF(куб!$C:$C,$C311,куб!O:O),IF($B311&lt;&gt;0,SUMIF(куб!$B:$B,$B311,куб!O:O))))))</f>
        <v>0</v>
      </c>
      <c r="Z311" s="13" t="str">
        <f t="shared" si="117"/>
        <v>-</v>
      </c>
      <c r="AA311" s="5"/>
      <c r="AB311" s="33" t="str">
        <f t="shared" si="118"/>
        <v/>
      </c>
      <c r="AC311" s="33" t="str">
        <f t="shared" si="119"/>
        <v/>
      </c>
      <c r="AD311" s="15" t="str">
        <f t="shared" si="120"/>
        <v xml:space="preserve"> </v>
      </c>
      <c r="AE311" s="5"/>
      <c r="AF311" s="27" t="b">
        <f>IF($G311&lt;&gt;0,SUMIF(куб!$G:$G,$G311,куб!R:R),IF($E311&lt;&gt;0,SUMIF(куб!$E:$E,$E311,куб!R:R),IF($D311&lt;&gt;0,SUMIF(куб!$D:$D,$D311,куб!R:R),IF($C311&lt;&gt;0,SUMIF(куб!$C:$C,$C311,куб!R:R),IF($B311&lt;&gt;0,SUMIF(куб!$B:$B,$B311,куб!R:R))))))</f>
        <v>0</v>
      </c>
      <c r="AG311" s="27" t="b">
        <f>IF($G311&lt;&gt;0,SUMIF(куб!$G:$G,$G311,куб!S:S),IF($E311&lt;&gt;0,SUMIF(куб!$E:$E,$E311,куб!S:S),IF($D311&lt;&gt;0,SUMIF(куб!$D:$D,$D311,куб!S:S),IF($C311&lt;&gt;0,SUMIF(куб!$C:$C,$C311,куб!S:S),IF($B311&lt;&gt;0,SUMIF(куб!$B:$B,$B311,куб!S:S))))))</f>
        <v>0</v>
      </c>
      <c r="AH311" s="16" t="str">
        <f t="shared" si="121"/>
        <v>-</v>
      </c>
      <c r="AI311" s="8"/>
      <c r="AJ311" s="27" t="b">
        <f>IF($G311&lt;&gt;0,SUMIF(куб!$G:$G,$G311,куб!T:T),IF($E311&lt;&gt;0,SUMIF(куб!$E:$E,$E311,куб!T:T),IF($D311&lt;&gt;0,SUMIF(куб!$D:$D,$D311,куб!T:T),IF($C311&lt;&gt;0,SUMIF(куб!$C:$C,$C311,куб!T:T),IF($B311&lt;&gt;0,SUMIF(куб!$B:$B,$B311,куб!T:T))))))</f>
        <v>0</v>
      </c>
      <c r="AK311" s="27" t="b">
        <f>IF($G311&lt;&gt;0,SUMIF(куб!$G:$G,$G311,куб!U:U),IF($E311&lt;&gt;0,SUMIF(куб!$E:$E,$E311,куб!U:U),IF($D311&lt;&gt;0,SUMIF(куб!$D:$D,$D311,куб!U:U),IF($C311&lt;&gt;0,SUMIF(куб!$C:$C,$C311,куб!U:U),IF($B311&lt;&gt;0,SUMIF(куб!$B:$B,$B311,куб!U:U))))))</f>
        <v>0</v>
      </c>
      <c r="AL311" s="16" t="str">
        <f t="shared" si="122"/>
        <v>-</v>
      </c>
      <c r="AM311" s="8"/>
      <c r="AN311" s="17" t="str">
        <f t="shared" si="123"/>
        <v xml:space="preserve"> </v>
      </c>
      <c r="AO311" s="17" t="str">
        <f t="shared" si="124"/>
        <v xml:space="preserve"> </v>
      </c>
      <c r="AP311" s="16" t="str">
        <f t="shared" si="125"/>
        <v>-</v>
      </c>
      <c r="AQ311" s="8"/>
      <c r="AR311" s="17" t="str">
        <f t="shared" si="126"/>
        <v>-</v>
      </c>
      <c r="AS311" s="17" t="str">
        <f t="shared" si="127"/>
        <v>-</v>
      </c>
      <c r="AT311" s="13" t="str">
        <f t="shared" si="128"/>
        <v>-</v>
      </c>
      <c r="AU311" s="8"/>
    </row>
    <row r="312" spans="1:47" ht="15" customHeight="1" x14ac:dyDescent="0.25">
      <c r="A312" s="31"/>
      <c r="B312" s="31"/>
      <c r="C312"/>
      <c r="D312" s="31"/>
      <c r="E312"/>
      <c r="F312" s="31"/>
      <c r="G312"/>
      <c r="H312" s="27">
        <f>IF($G312&lt;&gt;0,SUMIF(куб!$G:$G,$G312,куб!H:H),IF($E312&lt;&gt;0,SUMIF(куб!$E:$E,$E312,куб!H:H),IF($D312&lt;&gt;0,SUMIF(куб!$D:$D,$D312,куб!H:H),IF($C312&lt;&gt;0,SUMIF(куб!$C:$C,$C312,куб!H:H),IF($B312&lt;&gt;0,SUMIF(куб!$B:$B,$B312,куб!H:H),IF($G312&lt;&gt;0,SUMIF(куб!$A:$A,$G312,куб!H:H),SUMIF(куб!$A:$A,$G312,куб!H:H)))))))</f>
        <v>0</v>
      </c>
      <c r="I312" s="27">
        <f>IF($G312&lt;&gt;0,SUMIF(куб!$G:$G,$G312,куб!I:I),IF($E312&lt;&gt;0,SUMIF(куб!$E:$E,$E312,куб!I:I),IF($D312&lt;&gt;0,SUMIF(куб!$D:$D,$D312,куб!I:I),IF($C312&lt;&gt;0,SUMIF(куб!$C:$C,$C312,куб!I:I),IF($B312&lt;&gt;0,SUMIF(куб!$B:$B,$B312,куб!I:I),IF($G312&lt;&gt;0,SUMIF(куб!$A:$A,$G312,куб!I:I),SUMIF(куб!$A:$A,$G312,куб!I:I)))))))</f>
        <v>0</v>
      </c>
      <c r="J312" s="19" t="str">
        <f t="shared" si="111"/>
        <v>-</v>
      </c>
      <c r="K312" s="8"/>
      <c r="L312" s="17">
        <f t="shared" si="112"/>
        <v>0</v>
      </c>
      <c r="M312" s="17">
        <f t="shared" si="113"/>
        <v>0</v>
      </c>
      <c r="N312" s="12">
        <f t="shared" si="114"/>
        <v>0</v>
      </c>
      <c r="O312" s="5"/>
      <c r="P312" s="27" t="b">
        <f>IF($G312&lt;&gt;0,SUMIF(куб!$G:$G,$G312,куб!J:J),IF($E312&lt;&gt;0,SUMIF(куб!$E:$E,$E312,куб!J:J),IF($D312&lt;&gt;0,SUMIF(куб!$D:$D,$D312,куб!J:J),IF($C312&lt;&gt;0,SUMIF(куб!$C:$C,$C312,куб!J:J),IF($B312&lt;&gt;0,SUMIF(куб!$B:$B,$B312,куб!J:J))))))</f>
        <v>0</v>
      </c>
      <c r="Q312" s="27" t="b">
        <f>IF($G312&lt;&gt;0,SUMIF(куб!$G:$G,$G312,куб!K:K),IF($E312&lt;&gt;0,SUMIF(куб!$E:$E,$E312,куб!K:K),IF($D312&lt;&gt;0,SUMIF(куб!$D:$D,$D312,куб!K:K),IF($C312&lt;&gt;0,SUMIF(куб!$C:$C,$C312,куб!K:K),IF($B312&lt;&gt;0,SUMIF(куб!$B:$B,$B312,куб!K:K))))))</f>
        <v>0</v>
      </c>
      <c r="R312" s="13" t="str">
        <f t="shared" si="115"/>
        <v>-</v>
      </c>
      <c r="S312" s="5"/>
      <c r="T312" s="27" t="b">
        <f>IF($G312&lt;&gt;0,SUMIF(куб!$G:$G,$G312,куб!L:L),IF($E312&lt;&gt;0,SUMIF(куб!$E:$E,$E312,куб!L:L),IF($D312&lt;&gt;0,SUMIF(куб!$D:$D,$D312,куб!L:L),IF($C312&lt;&gt;0,SUMIF(куб!$C:$C,$C312,куб!L:L),IF($B312&lt;&gt;0,SUMIF(куб!$B:$B,$B312,куб!L:L))))))</f>
        <v>0</v>
      </c>
      <c r="U312" s="27" t="b">
        <f>IF($G312&lt;&gt;0,SUMIF(куб!$G:$G,$G312,куб!M:M),IF($E312&lt;&gt;0,SUMIF(куб!$E:$E,$E312,куб!M:M),IF($D312&lt;&gt;0,SUMIF(куб!$D:$D,$D312,куб!M:M),IF($C312&lt;&gt;0,SUMIF(куб!$C:$C,$C312,куб!M:M),IF($B312&lt;&gt;0,SUMIF(куб!$B:$B,$B312,куб!M:M))))))</f>
        <v>0</v>
      </c>
      <c r="V312" s="13" t="str">
        <f t="shared" si="116"/>
        <v>-</v>
      </c>
      <c r="W312" s="5"/>
      <c r="X312" s="27" t="b">
        <f>IF($G312&lt;&gt;0,SUMIF(куб!$G:$G,$G312,куб!N:N),IF($E312&lt;&gt;0,SUMIF(куб!$E:$E,$E312,куб!N:N),IF($D312&lt;&gt;0,SUMIF(куб!$D:$D,$D312,куб!N:N),IF($C312&lt;&gt;0,SUMIF(куб!$C:$C,$C312,куб!N:N),IF($B312&lt;&gt;0,SUMIF(куб!$B:$B,$B312,куб!N:N))))))</f>
        <v>0</v>
      </c>
      <c r="Y312" s="27" t="b">
        <f>IF($G312&lt;&gt;0,SUMIF(куб!$G:$G,$G312,куб!O:O),IF($E312&lt;&gt;0,SUMIF(куб!$E:$E,$E312,куб!O:O),IF($D312&lt;&gt;0,SUMIF(куб!$D:$D,$D312,куб!O:O),IF($C312&lt;&gt;0,SUMIF(куб!$C:$C,$C312,куб!O:O),IF($B312&lt;&gt;0,SUMIF(куб!$B:$B,$B312,куб!O:O))))))</f>
        <v>0</v>
      </c>
      <c r="Z312" s="13" t="str">
        <f t="shared" si="117"/>
        <v>-</v>
      </c>
      <c r="AA312" s="5"/>
      <c r="AB312" s="33" t="str">
        <f t="shared" si="118"/>
        <v/>
      </c>
      <c r="AC312" s="33" t="str">
        <f t="shared" si="119"/>
        <v/>
      </c>
      <c r="AD312" s="15" t="str">
        <f t="shared" si="120"/>
        <v xml:space="preserve"> </v>
      </c>
      <c r="AE312" s="5"/>
      <c r="AF312" s="27" t="b">
        <f>IF($G312&lt;&gt;0,SUMIF(куб!$G:$G,$G312,куб!R:R),IF($E312&lt;&gt;0,SUMIF(куб!$E:$E,$E312,куб!R:R),IF($D312&lt;&gt;0,SUMIF(куб!$D:$D,$D312,куб!R:R),IF($C312&lt;&gt;0,SUMIF(куб!$C:$C,$C312,куб!R:R),IF($B312&lt;&gt;0,SUMIF(куб!$B:$B,$B312,куб!R:R))))))</f>
        <v>0</v>
      </c>
      <c r="AG312" s="27" t="b">
        <f>IF($G312&lt;&gt;0,SUMIF(куб!$G:$G,$G312,куб!S:S),IF($E312&lt;&gt;0,SUMIF(куб!$E:$E,$E312,куб!S:S),IF($D312&lt;&gt;0,SUMIF(куб!$D:$D,$D312,куб!S:S),IF($C312&lt;&gt;0,SUMIF(куб!$C:$C,$C312,куб!S:S),IF($B312&lt;&gt;0,SUMIF(куб!$B:$B,$B312,куб!S:S))))))</f>
        <v>0</v>
      </c>
      <c r="AH312" s="16" t="str">
        <f t="shared" si="121"/>
        <v>-</v>
      </c>
      <c r="AI312" s="8"/>
      <c r="AJ312" s="27" t="b">
        <f>IF($G312&lt;&gt;0,SUMIF(куб!$G:$G,$G312,куб!T:T),IF($E312&lt;&gt;0,SUMIF(куб!$E:$E,$E312,куб!T:T),IF($D312&lt;&gt;0,SUMIF(куб!$D:$D,$D312,куб!T:T),IF($C312&lt;&gt;0,SUMIF(куб!$C:$C,$C312,куб!T:T),IF($B312&lt;&gt;0,SUMIF(куб!$B:$B,$B312,куб!T:T))))))</f>
        <v>0</v>
      </c>
      <c r="AK312" s="27" t="b">
        <f>IF($G312&lt;&gt;0,SUMIF(куб!$G:$G,$G312,куб!U:U),IF($E312&lt;&gt;0,SUMIF(куб!$E:$E,$E312,куб!U:U),IF($D312&lt;&gt;0,SUMIF(куб!$D:$D,$D312,куб!U:U),IF($C312&lt;&gt;0,SUMIF(куб!$C:$C,$C312,куб!U:U),IF($B312&lt;&gt;0,SUMIF(куб!$B:$B,$B312,куб!U:U))))))</f>
        <v>0</v>
      </c>
      <c r="AL312" s="16" t="str">
        <f t="shared" si="122"/>
        <v>-</v>
      </c>
      <c r="AM312" s="8"/>
      <c r="AN312" s="17" t="str">
        <f t="shared" si="123"/>
        <v xml:space="preserve"> </v>
      </c>
      <c r="AO312" s="17" t="str">
        <f t="shared" si="124"/>
        <v xml:space="preserve"> </v>
      </c>
      <c r="AP312" s="16" t="str">
        <f t="shared" si="125"/>
        <v>-</v>
      </c>
      <c r="AQ312" s="8"/>
      <c r="AR312" s="17" t="str">
        <f t="shared" si="126"/>
        <v>-</v>
      </c>
      <c r="AS312" s="17" t="str">
        <f t="shared" si="127"/>
        <v>-</v>
      </c>
      <c r="AT312" s="13" t="str">
        <f t="shared" si="128"/>
        <v>-</v>
      </c>
      <c r="AU312" s="8"/>
    </row>
    <row r="313" spans="1:47" ht="15" customHeight="1" x14ac:dyDescent="0.25">
      <c r="A313" s="31"/>
      <c r="B313" s="31"/>
      <c r="C313"/>
      <c r="D313" s="31"/>
      <c r="E313"/>
      <c r="F313" s="31"/>
      <c r="G313"/>
      <c r="H313" s="27">
        <f>IF($G313&lt;&gt;0,SUMIF(куб!$G:$G,$G313,куб!H:H),IF($E313&lt;&gt;0,SUMIF(куб!$E:$E,$E313,куб!H:H),IF($D313&lt;&gt;0,SUMIF(куб!$D:$D,$D313,куб!H:H),IF($C313&lt;&gt;0,SUMIF(куб!$C:$C,$C313,куб!H:H),IF($B313&lt;&gt;0,SUMIF(куб!$B:$B,$B313,куб!H:H),IF($G313&lt;&gt;0,SUMIF(куб!$A:$A,$G313,куб!H:H),SUMIF(куб!$A:$A,$G313,куб!H:H)))))))</f>
        <v>0</v>
      </c>
      <c r="I313" s="27">
        <f>IF($G313&lt;&gt;0,SUMIF(куб!$G:$G,$G313,куб!I:I),IF($E313&lt;&gt;0,SUMIF(куб!$E:$E,$E313,куб!I:I),IF($D313&lt;&gt;0,SUMIF(куб!$D:$D,$D313,куб!I:I),IF($C313&lt;&gt;0,SUMIF(куб!$C:$C,$C313,куб!I:I),IF($B313&lt;&gt;0,SUMIF(куб!$B:$B,$B313,куб!I:I),IF($G313&lt;&gt;0,SUMIF(куб!$A:$A,$G313,куб!I:I),SUMIF(куб!$A:$A,$G313,куб!I:I)))))))</f>
        <v>0</v>
      </c>
      <c r="J313" s="19" t="str">
        <f t="shared" si="111"/>
        <v>-</v>
      </c>
      <c r="K313" s="8"/>
      <c r="L313" s="17">
        <f t="shared" si="112"/>
        <v>0</v>
      </c>
      <c r="M313" s="17">
        <f t="shared" si="113"/>
        <v>0</v>
      </c>
      <c r="N313" s="12">
        <f t="shared" si="114"/>
        <v>0</v>
      </c>
      <c r="O313" s="5"/>
      <c r="P313" s="27" t="b">
        <f>IF($G313&lt;&gt;0,SUMIF(куб!$G:$G,$G313,куб!J:J),IF($E313&lt;&gt;0,SUMIF(куб!$E:$E,$E313,куб!J:J),IF($D313&lt;&gt;0,SUMIF(куб!$D:$D,$D313,куб!J:J),IF($C313&lt;&gt;0,SUMIF(куб!$C:$C,$C313,куб!J:J),IF($B313&lt;&gt;0,SUMIF(куб!$B:$B,$B313,куб!J:J))))))</f>
        <v>0</v>
      </c>
      <c r="Q313" s="27" t="b">
        <f>IF($G313&lt;&gt;0,SUMIF(куб!$G:$G,$G313,куб!K:K),IF($E313&lt;&gt;0,SUMIF(куб!$E:$E,$E313,куб!K:K),IF($D313&lt;&gt;0,SUMIF(куб!$D:$D,$D313,куб!K:K),IF($C313&lt;&gt;0,SUMIF(куб!$C:$C,$C313,куб!K:K),IF($B313&lt;&gt;0,SUMIF(куб!$B:$B,$B313,куб!K:K))))))</f>
        <v>0</v>
      </c>
      <c r="R313" s="13" t="str">
        <f t="shared" si="115"/>
        <v>-</v>
      </c>
      <c r="S313" s="5"/>
      <c r="T313" s="27" t="b">
        <f>IF($G313&lt;&gt;0,SUMIF(куб!$G:$G,$G313,куб!L:L),IF($E313&lt;&gt;0,SUMIF(куб!$E:$E,$E313,куб!L:L),IF($D313&lt;&gt;0,SUMIF(куб!$D:$D,$D313,куб!L:L),IF($C313&lt;&gt;0,SUMIF(куб!$C:$C,$C313,куб!L:L),IF($B313&lt;&gt;0,SUMIF(куб!$B:$B,$B313,куб!L:L))))))</f>
        <v>0</v>
      </c>
      <c r="U313" s="27" t="b">
        <f>IF($G313&lt;&gt;0,SUMIF(куб!$G:$G,$G313,куб!M:M),IF($E313&lt;&gt;0,SUMIF(куб!$E:$E,$E313,куб!M:M),IF($D313&lt;&gt;0,SUMIF(куб!$D:$D,$D313,куб!M:M),IF($C313&lt;&gt;0,SUMIF(куб!$C:$C,$C313,куб!M:M),IF($B313&lt;&gt;0,SUMIF(куб!$B:$B,$B313,куб!M:M))))))</f>
        <v>0</v>
      </c>
      <c r="V313" s="13" t="str">
        <f t="shared" si="116"/>
        <v>-</v>
      </c>
      <c r="W313" s="5"/>
      <c r="X313" s="27" t="b">
        <f>IF($G313&lt;&gt;0,SUMIF(куб!$G:$G,$G313,куб!N:N),IF($E313&lt;&gt;0,SUMIF(куб!$E:$E,$E313,куб!N:N),IF($D313&lt;&gt;0,SUMIF(куб!$D:$D,$D313,куб!N:N),IF($C313&lt;&gt;0,SUMIF(куб!$C:$C,$C313,куб!N:N),IF($B313&lt;&gt;0,SUMIF(куб!$B:$B,$B313,куб!N:N))))))</f>
        <v>0</v>
      </c>
      <c r="Y313" s="27" t="b">
        <f>IF($G313&lt;&gt;0,SUMIF(куб!$G:$G,$G313,куб!O:O),IF($E313&lt;&gt;0,SUMIF(куб!$E:$E,$E313,куб!O:O),IF($D313&lt;&gt;0,SUMIF(куб!$D:$D,$D313,куб!O:O),IF($C313&lt;&gt;0,SUMIF(куб!$C:$C,$C313,куб!O:O),IF($B313&lt;&gt;0,SUMIF(куб!$B:$B,$B313,куб!O:O))))))</f>
        <v>0</v>
      </c>
      <c r="Z313" s="13" t="str">
        <f t="shared" si="117"/>
        <v>-</v>
      </c>
      <c r="AA313" s="5"/>
      <c r="AB313" s="33" t="str">
        <f t="shared" si="118"/>
        <v/>
      </c>
      <c r="AC313" s="33" t="str">
        <f t="shared" si="119"/>
        <v/>
      </c>
      <c r="AD313" s="15" t="str">
        <f t="shared" si="120"/>
        <v xml:space="preserve"> </v>
      </c>
      <c r="AE313" s="5"/>
      <c r="AF313" s="27" t="b">
        <f>IF($G313&lt;&gt;0,SUMIF(куб!$G:$G,$G313,куб!R:R),IF($E313&lt;&gt;0,SUMIF(куб!$E:$E,$E313,куб!R:R),IF($D313&lt;&gt;0,SUMIF(куб!$D:$D,$D313,куб!R:R),IF($C313&lt;&gt;0,SUMIF(куб!$C:$C,$C313,куб!R:R),IF($B313&lt;&gt;0,SUMIF(куб!$B:$B,$B313,куб!R:R))))))</f>
        <v>0</v>
      </c>
      <c r="AG313" s="27" t="b">
        <f>IF($G313&lt;&gt;0,SUMIF(куб!$G:$G,$G313,куб!S:S),IF($E313&lt;&gt;0,SUMIF(куб!$E:$E,$E313,куб!S:S),IF($D313&lt;&gt;0,SUMIF(куб!$D:$D,$D313,куб!S:S),IF($C313&lt;&gt;0,SUMIF(куб!$C:$C,$C313,куб!S:S),IF($B313&lt;&gt;0,SUMIF(куб!$B:$B,$B313,куб!S:S))))))</f>
        <v>0</v>
      </c>
      <c r="AH313" s="16" t="str">
        <f t="shared" si="121"/>
        <v>-</v>
      </c>
      <c r="AI313" s="8"/>
      <c r="AJ313" s="27" t="b">
        <f>IF($G313&lt;&gt;0,SUMIF(куб!$G:$G,$G313,куб!T:T),IF($E313&lt;&gt;0,SUMIF(куб!$E:$E,$E313,куб!T:T),IF($D313&lt;&gt;0,SUMIF(куб!$D:$D,$D313,куб!T:T),IF($C313&lt;&gt;0,SUMIF(куб!$C:$C,$C313,куб!T:T),IF($B313&lt;&gt;0,SUMIF(куб!$B:$B,$B313,куб!T:T))))))</f>
        <v>0</v>
      </c>
      <c r="AK313" s="27" t="b">
        <f>IF($G313&lt;&gt;0,SUMIF(куб!$G:$G,$G313,куб!U:U),IF($E313&lt;&gt;0,SUMIF(куб!$E:$E,$E313,куб!U:U),IF($D313&lt;&gt;0,SUMIF(куб!$D:$D,$D313,куб!U:U),IF($C313&lt;&gt;0,SUMIF(куб!$C:$C,$C313,куб!U:U),IF($B313&lt;&gt;0,SUMIF(куб!$B:$B,$B313,куб!U:U))))))</f>
        <v>0</v>
      </c>
      <c r="AL313" s="16" t="str">
        <f t="shared" si="122"/>
        <v>-</v>
      </c>
      <c r="AM313" s="8"/>
      <c r="AN313" s="17" t="str">
        <f t="shared" si="123"/>
        <v xml:space="preserve"> </v>
      </c>
      <c r="AO313" s="17" t="str">
        <f t="shared" si="124"/>
        <v xml:space="preserve"> </v>
      </c>
      <c r="AP313" s="16" t="str">
        <f t="shared" si="125"/>
        <v>-</v>
      </c>
      <c r="AQ313" s="8"/>
      <c r="AR313" s="17" t="str">
        <f t="shared" si="126"/>
        <v>-</v>
      </c>
      <c r="AS313" s="17" t="str">
        <f t="shared" si="127"/>
        <v>-</v>
      </c>
      <c r="AT313" s="13" t="str">
        <f t="shared" si="128"/>
        <v>-</v>
      </c>
      <c r="AU313" s="8"/>
    </row>
    <row r="314" spans="1:47" ht="15" customHeight="1" x14ac:dyDescent="0.25">
      <c r="A314" s="31"/>
      <c r="B314" s="31"/>
      <c r="C314"/>
      <c r="D314" s="31"/>
      <c r="E314"/>
      <c r="F314" s="31"/>
      <c r="G314"/>
      <c r="H314" s="27">
        <f>IF($G314&lt;&gt;0,SUMIF(куб!$G:$G,$G314,куб!H:H),IF($E314&lt;&gt;0,SUMIF(куб!$E:$E,$E314,куб!H:H),IF($D314&lt;&gt;0,SUMIF(куб!$D:$D,$D314,куб!H:H),IF($C314&lt;&gt;0,SUMIF(куб!$C:$C,$C314,куб!H:H),IF($B314&lt;&gt;0,SUMIF(куб!$B:$B,$B314,куб!H:H),IF($G314&lt;&gt;0,SUMIF(куб!$A:$A,$G314,куб!H:H),SUMIF(куб!$A:$A,$G314,куб!H:H)))))))</f>
        <v>0</v>
      </c>
      <c r="I314" s="27">
        <f>IF($G314&lt;&gt;0,SUMIF(куб!$G:$G,$G314,куб!I:I),IF($E314&lt;&gt;0,SUMIF(куб!$E:$E,$E314,куб!I:I),IF($D314&lt;&gt;0,SUMIF(куб!$D:$D,$D314,куб!I:I),IF($C314&lt;&gt;0,SUMIF(куб!$C:$C,$C314,куб!I:I),IF($B314&lt;&gt;0,SUMIF(куб!$B:$B,$B314,куб!I:I),IF($G314&lt;&gt;0,SUMIF(куб!$A:$A,$G314,куб!I:I),SUMIF(куб!$A:$A,$G314,куб!I:I)))))))</f>
        <v>0</v>
      </c>
      <c r="J314" s="19" t="str">
        <f t="shared" si="111"/>
        <v>-</v>
      </c>
      <c r="K314" s="8"/>
      <c r="L314" s="17">
        <f t="shared" si="112"/>
        <v>0</v>
      </c>
      <c r="M314" s="17">
        <f t="shared" si="113"/>
        <v>0</v>
      </c>
      <c r="N314" s="12">
        <f t="shared" si="114"/>
        <v>0</v>
      </c>
      <c r="O314" s="5"/>
      <c r="P314" s="27" t="b">
        <f>IF($G314&lt;&gt;0,SUMIF(куб!$G:$G,$G314,куб!J:J),IF($E314&lt;&gt;0,SUMIF(куб!$E:$E,$E314,куб!J:J),IF($D314&lt;&gt;0,SUMIF(куб!$D:$D,$D314,куб!J:J),IF($C314&lt;&gt;0,SUMIF(куб!$C:$C,$C314,куб!J:J),IF($B314&lt;&gt;0,SUMIF(куб!$B:$B,$B314,куб!J:J))))))</f>
        <v>0</v>
      </c>
      <c r="Q314" s="27" t="b">
        <f>IF($G314&lt;&gt;0,SUMIF(куб!$G:$G,$G314,куб!K:K),IF($E314&lt;&gt;0,SUMIF(куб!$E:$E,$E314,куб!K:K),IF($D314&lt;&gt;0,SUMIF(куб!$D:$D,$D314,куб!K:K),IF($C314&lt;&gt;0,SUMIF(куб!$C:$C,$C314,куб!K:K),IF($B314&lt;&gt;0,SUMIF(куб!$B:$B,$B314,куб!K:K))))))</f>
        <v>0</v>
      </c>
      <c r="R314" s="13" t="str">
        <f t="shared" si="115"/>
        <v>-</v>
      </c>
      <c r="S314" s="5"/>
      <c r="T314" s="27" t="b">
        <f>IF($G314&lt;&gt;0,SUMIF(куб!$G:$G,$G314,куб!L:L),IF($E314&lt;&gt;0,SUMIF(куб!$E:$E,$E314,куб!L:L),IF($D314&lt;&gt;0,SUMIF(куб!$D:$D,$D314,куб!L:L),IF($C314&lt;&gt;0,SUMIF(куб!$C:$C,$C314,куб!L:L),IF($B314&lt;&gt;0,SUMIF(куб!$B:$B,$B314,куб!L:L))))))</f>
        <v>0</v>
      </c>
      <c r="U314" s="27" t="b">
        <f>IF($G314&lt;&gt;0,SUMIF(куб!$G:$G,$G314,куб!M:M),IF($E314&lt;&gt;0,SUMIF(куб!$E:$E,$E314,куб!M:M),IF($D314&lt;&gt;0,SUMIF(куб!$D:$D,$D314,куб!M:M),IF($C314&lt;&gt;0,SUMIF(куб!$C:$C,$C314,куб!M:M),IF($B314&lt;&gt;0,SUMIF(куб!$B:$B,$B314,куб!M:M))))))</f>
        <v>0</v>
      </c>
      <c r="V314" s="13" t="str">
        <f t="shared" si="116"/>
        <v>-</v>
      </c>
      <c r="W314" s="5"/>
      <c r="X314" s="27" t="b">
        <f>IF($G314&lt;&gt;0,SUMIF(куб!$G:$G,$G314,куб!N:N),IF($E314&lt;&gt;0,SUMIF(куб!$E:$E,$E314,куб!N:N),IF($D314&lt;&gt;0,SUMIF(куб!$D:$D,$D314,куб!N:N),IF($C314&lt;&gt;0,SUMIF(куб!$C:$C,$C314,куб!N:N),IF($B314&lt;&gt;0,SUMIF(куб!$B:$B,$B314,куб!N:N))))))</f>
        <v>0</v>
      </c>
      <c r="Y314" s="27" t="b">
        <f>IF($G314&lt;&gt;0,SUMIF(куб!$G:$G,$G314,куб!O:O),IF($E314&lt;&gt;0,SUMIF(куб!$E:$E,$E314,куб!O:O),IF($D314&lt;&gt;0,SUMIF(куб!$D:$D,$D314,куб!O:O),IF($C314&lt;&gt;0,SUMIF(куб!$C:$C,$C314,куб!O:O),IF($B314&lt;&gt;0,SUMIF(куб!$B:$B,$B314,куб!O:O))))))</f>
        <v>0</v>
      </c>
      <c r="Z314" s="13" t="str">
        <f t="shared" si="117"/>
        <v>-</v>
      </c>
      <c r="AA314" s="5"/>
      <c r="AB314" s="33" t="str">
        <f t="shared" si="118"/>
        <v/>
      </c>
      <c r="AC314" s="33" t="str">
        <f t="shared" si="119"/>
        <v/>
      </c>
      <c r="AD314" s="15" t="str">
        <f t="shared" si="120"/>
        <v xml:space="preserve"> </v>
      </c>
      <c r="AE314" s="5"/>
      <c r="AF314" s="27" t="b">
        <f>IF($G314&lt;&gt;0,SUMIF(куб!$G:$G,$G314,куб!R:R),IF($E314&lt;&gt;0,SUMIF(куб!$E:$E,$E314,куб!R:R),IF($D314&lt;&gt;0,SUMIF(куб!$D:$D,$D314,куб!R:R),IF($C314&lt;&gt;0,SUMIF(куб!$C:$C,$C314,куб!R:R),IF($B314&lt;&gt;0,SUMIF(куб!$B:$B,$B314,куб!R:R))))))</f>
        <v>0</v>
      </c>
      <c r="AG314" s="27" t="b">
        <f>IF($G314&lt;&gt;0,SUMIF(куб!$G:$G,$G314,куб!S:S),IF($E314&lt;&gt;0,SUMIF(куб!$E:$E,$E314,куб!S:S),IF($D314&lt;&gt;0,SUMIF(куб!$D:$D,$D314,куб!S:S),IF($C314&lt;&gt;0,SUMIF(куб!$C:$C,$C314,куб!S:S),IF($B314&lt;&gt;0,SUMIF(куб!$B:$B,$B314,куб!S:S))))))</f>
        <v>0</v>
      </c>
      <c r="AH314" s="16" t="str">
        <f t="shared" si="121"/>
        <v>-</v>
      </c>
      <c r="AI314" s="8"/>
      <c r="AJ314" s="27" t="b">
        <f>IF($G314&lt;&gt;0,SUMIF(куб!$G:$G,$G314,куб!T:T),IF($E314&lt;&gt;0,SUMIF(куб!$E:$E,$E314,куб!T:T),IF($D314&lt;&gt;0,SUMIF(куб!$D:$D,$D314,куб!T:T),IF($C314&lt;&gt;0,SUMIF(куб!$C:$C,$C314,куб!T:T),IF($B314&lt;&gt;0,SUMIF(куб!$B:$B,$B314,куб!T:T))))))</f>
        <v>0</v>
      </c>
      <c r="AK314" s="27" t="b">
        <f>IF($G314&lt;&gt;0,SUMIF(куб!$G:$G,$G314,куб!U:U),IF($E314&lt;&gt;0,SUMIF(куб!$E:$E,$E314,куб!U:U),IF($D314&lt;&gt;0,SUMIF(куб!$D:$D,$D314,куб!U:U),IF($C314&lt;&gt;0,SUMIF(куб!$C:$C,$C314,куб!U:U),IF($B314&lt;&gt;0,SUMIF(куб!$B:$B,$B314,куб!U:U))))))</f>
        <v>0</v>
      </c>
      <c r="AL314" s="16" t="str">
        <f t="shared" si="122"/>
        <v>-</v>
      </c>
      <c r="AM314" s="8"/>
      <c r="AN314" s="17" t="str">
        <f t="shared" si="123"/>
        <v xml:space="preserve"> </v>
      </c>
      <c r="AO314" s="17" t="str">
        <f t="shared" si="124"/>
        <v xml:space="preserve"> </v>
      </c>
      <c r="AP314" s="16" t="str">
        <f t="shared" si="125"/>
        <v>-</v>
      </c>
      <c r="AQ314" s="8"/>
      <c r="AR314" s="17" t="str">
        <f t="shared" si="126"/>
        <v>-</v>
      </c>
      <c r="AS314" s="17" t="str">
        <f t="shared" si="127"/>
        <v>-</v>
      </c>
      <c r="AT314" s="13" t="str">
        <f t="shared" si="128"/>
        <v>-</v>
      </c>
      <c r="AU314" s="8"/>
    </row>
    <row r="315" spans="1:47" ht="15" customHeight="1" x14ac:dyDescent="0.25">
      <c r="A315" s="31"/>
      <c r="B315" s="31"/>
      <c r="C315"/>
      <c r="D315" s="31"/>
      <c r="E315"/>
      <c r="F315" s="31"/>
      <c r="G315"/>
      <c r="H315" s="27">
        <f>IF($G315&lt;&gt;0,SUMIF(куб!$G:$G,$G315,куб!H:H),IF($E315&lt;&gt;0,SUMIF(куб!$E:$E,$E315,куб!H:H),IF($D315&lt;&gt;0,SUMIF(куб!$D:$D,$D315,куб!H:H),IF($C315&lt;&gt;0,SUMIF(куб!$C:$C,$C315,куб!H:H),IF($B315&lt;&gt;0,SUMIF(куб!$B:$B,$B315,куб!H:H),IF($G315&lt;&gt;0,SUMIF(куб!$A:$A,$G315,куб!H:H),SUMIF(куб!$A:$A,$G315,куб!H:H)))))))</f>
        <v>0</v>
      </c>
      <c r="I315" s="27">
        <f>IF($G315&lt;&gt;0,SUMIF(куб!$G:$G,$G315,куб!I:I),IF($E315&lt;&gt;0,SUMIF(куб!$E:$E,$E315,куб!I:I),IF($D315&lt;&gt;0,SUMIF(куб!$D:$D,$D315,куб!I:I),IF($C315&lt;&gt;0,SUMIF(куб!$C:$C,$C315,куб!I:I),IF($B315&lt;&gt;0,SUMIF(куб!$B:$B,$B315,куб!I:I),IF($G315&lt;&gt;0,SUMIF(куб!$A:$A,$G315,куб!I:I),SUMIF(куб!$A:$A,$G315,куб!I:I)))))))</f>
        <v>0</v>
      </c>
      <c r="J315" s="19" t="str">
        <f t="shared" si="111"/>
        <v>-</v>
      </c>
      <c r="K315" s="8"/>
      <c r="L315" s="17">
        <f t="shared" si="112"/>
        <v>0</v>
      </c>
      <c r="M315" s="17">
        <f t="shared" si="113"/>
        <v>0</v>
      </c>
      <c r="N315" s="12">
        <f t="shared" si="114"/>
        <v>0</v>
      </c>
      <c r="O315" s="5"/>
      <c r="P315" s="27" t="b">
        <f>IF($G315&lt;&gt;0,SUMIF(куб!$G:$G,$G315,куб!J:J),IF($E315&lt;&gt;0,SUMIF(куб!$E:$E,$E315,куб!J:J),IF($D315&lt;&gt;0,SUMIF(куб!$D:$D,$D315,куб!J:J),IF($C315&lt;&gt;0,SUMIF(куб!$C:$C,$C315,куб!J:J),IF($B315&lt;&gt;0,SUMIF(куб!$B:$B,$B315,куб!J:J))))))</f>
        <v>0</v>
      </c>
      <c r="Q315" s="27" t="b">
        <f>IF($G315&lt;&gt;0,SUMIF(куб!$G:$G,$G315,куб!K:K),IF($E315&lt;&gt;0,SUMIF(куб!$E:$E,$E315,куб!K:K),IF($D315&lt;&gt;0,SUMIF(куб!$D:$D,$D315,куб!K:K),IF($C315&lt;&gt;0,SUMIF(куб!$C:$C,$C315,куб!K:K),IF($B315&lt;&gt;0,SUMIF(куб!$B:$B,$B315,куб!K:K))))))</f>
        <v>0</v>
      </c>
      <c r="R315" s="13" t="str">
        <f t="shared" si="115"/>
        <v>-</v>
      </c>
      <c r="S315" s="5"/>
      <c r="T315" s="27" t="b">
        <f>IF($G315&lt;&gt;0,SUMIF(куб!$G:$G,$G315,куб!L:L),IF($E315&lt;&gt;0,SUMIF(куб!$E:$E,$E315,куб!L:L),IF($D315&lt;&gt;0,SUMIF(куб!$D:$D,$D315,куб!L:L),IF($C315&lt;&gt;0,SUMIF(куб!$C:$C,$C315,куб!L:L),IF($B315&lt;&gt;0,SUMIF(куб!$B:$B,$B315,куб!L:L))))))</f>
        <v>0</v>
      </c>
      <c r="U315" s="27" t="b">
        <f>IF($G315&lt;&gt;0,SUMIF(куб!$G:$G,$G315,куб!M:M),IF($E315&lt;&gt;0,SUMIF(куб!$E:$E,$E315,куб!M:M),IF($D315&lt;&gt;0,SUMIF(куб!$D:$D,$D315,куб!M:M),IF($C315&lt;&gt;0,SUMIF(куб!$C:$C,$C315,куб!M:M),IF($B315&lt;&gt;0,SUMIF(куб!$B:$B,$B315,куб!M:M))))))</f>
        <v>0</v>
      </c>
      <c r="V315" s="13" t="str">
        <f t="shared" si="116"/>
        <v>-</v>
      </c>
      <c r="W315" s="5"/>
      <c r="X315" s="27" t="b">
        <f>IF($G315&lt;&gt;0,SUMIF(куб!$G:$G,$G315,куб!N:N),IF($E315&lt;&gt;0,SUMIF(куб!$E:$E,$E315,куб!N:N),IF($D315&lt;&gt;0,SUMIF(куб!$D:$D,$D315,куб!N:N),IF($C315&lt;&gt;0,SUMIF(куб!$C:$C,$C315,куб!N:N),IF($B315&lt;&gt;0,SUMIF(куб!$B:$B,$B315,куб!N:N))))))</f>
        <v>0</v>
      </c>
      <c r="Y315" s="27" t="b">
        <f>IF($G315&lt;&gt;0,SUMIF(куб!$G:$G,$G315,куб!O:O),IF($E315&lt;&gt;0,SUMIF(куб!$E:$E,$E315,куб!O:O),IF($D315&lt;&gt;0,SUMIF(куб!$D:$D,$D315,куб!O:O),IF($C315&lt;&gt;0,SUMIF(куб!$C:$C,$C315,куб!O:O),IF($B315&lt;&gt;0,SUMIF(куб!$B:$B,$B315,куб!O:O))))))</f>
        <v>0</v>
      </c>
      <c r="Z315" s="13" t="str">
        <f t="shared" si="117"/>
        <v>-</v>
      </c>
      <c r="AA315" s="5"/>
      <c r="AB315" s="33" t="str">
        <f t="shared" si="118"/>
        <v/>
      </c>
      <c r="AC315" s="33" t="str">
        <f t="shared" si="119"/>
        <v/>
      </c>
      <c r="AD315" s="15" t="str">
        <f t="shared" si="120"/>
        <v xml:space="preserve"> </v>
      </c>
      <c r="AE315" s="5"/>
      <c r="AF315" s="27" t="b">
        <f>IF($G315&lt;&gt;0,SUMIF(куб!$G:$G,$G315,куб!R:R),IF($E315&lt;&gt;0,SUMIF(куб!$E:$E,$E315,куб!R:R),IF($D315&lt;&gt;0,SUMIF(куб!$D:$D,$D315,куб!R:R),IF($C315&lt;&gt;0,SUMIF(куб!$C:$C,$C315,куб!R:R),IF($B315&lt;&gt;0,SUMIF(куб!$B:$B,$B315,куб!R:R))))))</f>
        <v>0</v>
      </c>
      <c r="AG315" s="27" t="b">
        <f>IF($G315&lt;&gt;0,SUMIF(куб!$G:$G,$G315,куб!S:S),IF($E315&lt;&gt;0,SUMIF(куб!$E:$E,$E315,куб!S:S),IF($D315&lt;&gt;0,SUMIF(куб!$D:$D,$D315,куб!S:S),IF($C315&lt;&gt;0,SUMIF(куб!$C:$C,$C315,куб!S:S),IF($B315&lt;&gt;0,SUMIF(куб!$B:$B,$B315,куб!S:S))))))</f>
        <v>0</v>
      </c>
      <c r="AH315" s="16" t="str">
        <f t="shared" si="121"/>
        <v>-</v>
      </c>
      <c r="AI315" s="8"/>
      <c r="AJ315" s="27" t="b">
        <f>IF($G315&lt;&gt;0,SUMIF(куб!$G:$G,$G315,куб!T:T),IF($E315&lt;&gt;0,SUMIF(куб!$E:$E,$E315,куб!T:T),IF($D315&lt;&gt;0,SUMIF(куб!$D:$D,$D315,куб!T:T),IF($C315&lt;&gt;0,SUMIF(куб!$C:$C,$C315,куб!T:T),IF($B315&lt;&gt;0,SUMIF(куб!$B:$B,$B315,куб!T:T))))))</f>
        <v>0</v>
      </c>
      <c r="AK315" s="27" t="b">
        <f>IF($G315&lt;&gt;0,SUMIF(куб!$G:$G,$G315,куб!U:U),IF($E315&lt;&gt;0,SUMIF(куб!$E:$E,$E315,куб!U:U),IF($D315&lt;&gt;0,SUMIF(куб!$D:$D,$D315,куб!U:U),IF($C315&lt;&gt;0,SUMIF(куб!$C:$C,$C315,куб!U:U),IF($B315&lt;&gt;0,SUMIF(куб!$B:$B,$B315,куб!U:U))))))</f>
        <v>0</v>
      </c>
      <c r="AL315" s="16" t="str">
        <f t="shared" si="122"/>
        <v>-</v>
      </c>
      <c r="AM315" s="8"/>
      <c r="AN315" s="17" t="str">
        <f t="shared" si="123"/>
        <v xml:space="preserve"> </v>
      </c>
      <c r="AO315" s="17" t="str">
        <f t="shared" si="124"/>
        <v xml:space="preserve"> </v>
      </c>
      <c r="AP315" s="16" t="str">
        <f t="shared" si="125"/>
        <v>-</v>
      </c>
      <c r="AQ315" s="8"/>
      <c r="AR315" s="17" t="str">
        <f t="shared" si="126"/>
        <v>-</v>
      </c>
      <c r="AS315" s="17" t="str">
        <f t="shared" si="127"/>
        <v>-</v>
      </c>
      <c r="AT315" s="13" t="str">
        <f t="shared" si="128"/>
        <v>-</v>
      </c>
      <c r="AU315" s="8"/>
    </row>
    <row r="316" spans="1:47" ht="15" customHeight="1" x14ac:dyDescent="0.25">
      <c r="A316" s="31"/>
      <c r="B316" s="31"/>
      <c r="C316"/>
      <c r="D316" s="31"/>
      <c r="E316"/>
      <c r="F316" s="31"/>
      <c r="G316"/>
      <c r="H316" s="27">
        <f>IF($G316&lt;&gt;0,SUMIF(куб!$G:$G,$G316,куб!H:H),IF($E316&lt;&gt;0,SUMIF(куб!$E:$E,$E316,куб!H:H),IF($D316&lt;&gt;0,SUMIF(куб!$D:$D,$D316,куб!H:H),IF($C316&lt;&gt;0,SUMIF(куб!$C:$C,$C316,куб!H:H),IF($B316&lt;&gt;0,SUMIF(куб!$B:$B,$B316,куб!H:H),IF($G316&lt;&gt;0,SUMIF(куб!$A:$A,$G316,куб!H:H),SUMIF(куб!$A:$A,$G316,куб!H:H)))))))</f>
        <v>0</v>
      </c>
      <c r="I316" s="27">
        <f>IF($G316&lt;&gt;0,SUMIF(куб!$G:$G,$G316,куб!I:I),IF($E316&lt;&gt;0,SUMIF(куб!$E:$E,$E316,куб!I:I),IF($D316&lt;&gt;0,SUMIF(куб!$D:$D,$D316,куб!I:I),IF($C316&lt;&gt;0,SUMIF(куб!$C:$C,$C316,куб!I:I),IF($B316&lt;&gt;0,SUMIF(куб!$B:$B,$B316,куб!I:I),IF($G316&lt;&gt;0,SUMIF(куб!$A:$A,$G316,куб!I:I),SUMIF(куб!$A:$A,$G316,куб!I:I)))))))</f>
        <v>0</v>
      </c>
      <c r="J316" s="19" t="str">
        <f t="shared" si="111"/>
        <v>-</v>
      </c>
      <c r="K316" s="8"/>
      <c r="L316" s="17">
        <f t="shared" si="112"/>
        <v>0</v>
      </c>
      <c r="M316" s="17">
        <f t="shared" si="113"/>
        <v>0</v>
      </c>
      <c r="N316" s="12">
        <f t="shared" si="114"/>
        <v>0</v>
      </c>
      <c r="O316" s="5"/>
      <c r="P316" s="27" t="b">
        <f>IF($G316&lt;&gt;0,SUMIF(куб!$G:$G,$G316,куб!J:J),IF($E316&lt;&gt;0,SUMIF(куб!$E:$E,$E316,куб!J:J),IF($D316&lt;&gt;0,SUMIF(куб!$D:$D,$D316,куб!J:J),IF($C316&lt;&gt;0,SUMIF(куб!$C:$C,$C316,куб!J:J),IF($B316&lt;&gt;0,SUMIF(куб!$B:$B,$B316,куб!J:J))))))</f>
        <v>0</v>
      </c>
      <c r="Q316" s="27" t="b">
        <f>IF($G316&lt;&gt;0,SUMIF(куб!$G:$G,$G316,куб!K:K),IF($E316&lt;&gt;0,SUMIF(куб!$E:$E,$E316,куб!K:K),IF($D316&lt;&gt;0,SUMIF(куб!$D:$D,$D316,куб!K:K),IF($C316&lt;&gt;0,SUMIF(куб!$C:$C,$C316,куб!K:K),IF($B316&lt;&gt;0,SUMIF(куб!$B:$B,$B316,куб!K:K))))))</f>
        <v>0</v>
      </c>
      <c r="R316" s="13" t="str">
        <f t="shared" si="115"/>
        <v>-</v>
      </c>
      <c r="S316" s="5"/>
      <c r="T316" s="27" t="b">
        <f>IF($G316&lt;&gt;0,SUMIF(куб!$G:$G,$G316,куб!L:L),IF($E316&lt;&gt;0,SUMIF(куб!$E:$E,$E316,куб!L:L),IF($D316&lt;&gt;0,SUMIF(куб!$D:$D,$D316,куб!L:L),IF($C316&lt;&gt;0,SUMIF(куб!$C:$C,$C316,куб!L:L),IF($B316&lt;&gt;0,SUMIF(куб!$B:$B,$B316,куб!L:L))))))</f>
        <v>0</v>
      </c>
      <c r="U316" s="27" t="b">
        <f>IF($G316&lt;&gt;0,SUMIF(куб!$G:$G,$G316,куб!M:M),IF($E316&lt;&gt;0,SUMIF(куб!$E:$E,$E316,куб!M:M),IF($D316&lt;&gt;0,SUMIF(куб!$D:$D,$D316,куб!M:M),IF($C316&lt;&gt;0,SUMIF(куб!$C:$C,$C316,куб!M:M),IF($B316&lt;&gt;0,SUMIF(куб!$B:$B,$B316,куб!M:M))))))</f>
        <v>0</v>
      </c>
      <c r="V316" s="13" t="str">
        <f t="shared" si="116"/>
        <v>-</v>
      </c>
      <c r="W316" s="5"/>
      <c r="X316" s="27" t="b">
        <f>IF($G316&lt;&gt;0,SUMIF(куб!$G:$G,$G316,куб!N:N),IF($E316&lt;&gt;0,SUMIF(куб!$E:$E,$E316,куб!N:N),IF($D316&lt;&gt;0,SUMIF(куб!$D:$D,$D316,куб!N:N),IF($C316&lt;&gt;0,SUMIF(куб!$C:$C,$C316,куб!N:N),IF($B316&lt;&gt;0,SUMIF(куб!$B:$B,$B316,куб!N:N))))))</f>
        <v>0</v>
      </c>
      <c r="Y316" s="27" t="b">
        <f>IF($G316&lt;&gt;0,SUMIF(куб!$G:$G,$G316,куб!O:O),IF($E316&lt;&gt;0,SUMIF(куб!$E:$E,$E316,куб!O:O),IF($D316&lt;&gt;0,SUMIF(куб!$D:$D,$D316,куб!O:O),IF($C316&lt;&gt;0,SUMIF(куб!$C:$C,$C316,куб!O:O),IF($B316&lt;&gt;0,SUMIF(куб!$B:$B,$B316,куб!O:O))))))</f>
        <v>0</v>
      </c>
      <c r="Z316" s="13" t="str">
        <f t="shared" si="117"/>
        <v>-</v>
      </c>
      <c r="AA316" s="5"/>
      <c r="AB316" s="33" t="str">
        <f t="shared" si="118"/>
        <v/>
      </c>
      <c r="AC316" s="33" t="str">
        <f t="shared" si="119"/>
        <v/>
      </c>
      <c r="AD316" s="15" t="str">
        <f t="shared" si="120"/>
        <v xml:space="preserve"> </v>
      </c>
      <c r="AE316" s="5"/>
      <c r="AF316" s="27" t="b">
        <f>IF($G316&lt;&gt;0,SUMIF(куб!$G:$G,$G316,куб!R:R),IF($E316&lt;&gt;0,SUMIF(куб!$E:$E,$E316,куб!R:R),IF($D316&lt;&gt;0,SUMIF(куб!$D:$D,$D316,куб!R:R),IF($C316&lt;&gt;0,SUMIF(куб!$C:$C,$C316,куб!R:R),IF($B316&lt;&gt;0,SUMIF(куб!$B:$B,$B316,куб!R:R))))))</f>
        <v>0</v>
      </c>
      <c r="AG316" s="27" t="b">
        <f>IF($G316&lt;&gt;0,SUMIF(куб!$G:$G,$G316,куб!S:S),IF($E316&lt;&gt;0,SUMIF(куб!$E:$E,$E316,куб!S:S),IF($D316&lt;&gt;0,SUMIF(куб!$D:$D,$D316,куб!S:S),IF($C316&lt;&gt;0,SUMIF(куб!$C:$C,$C316,куб!S:S),IF($B316&lt;&gt;0,SUMIF(куб!$B:$B,$B316,куб!S:S))))))</f>
        <v>0</v>
      </c>
      <c r="AH316" s="16" t="str">
        <f t="shared" si="121"/>
        <v>-</v>
      </c>
      <c r="AI316" s="8"/>
      <c r="AJ316" s="27" t="b">
        <f>IF($G316&lt;&gt;0,SUMIF(куб!$G:$G,$G316,куб!T:T),IF($E316&lt;&gt;0,SUMIF(куб!$E:$E,$E316,куб!T:T),IF($D316&lt;&gt;0,SUMIF(куб!$D:$D,$D316,куб!T:T),IF($C316&lt;&gt;0,SUMIF(куб!$C:$C,$C316,куб!T:T),IF($B316&lt;&gt;0,SUMIF(куб!$B:$B,$B316,куб!T:T))))))</f>
        <v>0</v>
      </c>
      <c r="AK316" s="27" t="b">
        <f>IF($G316&lt;&gt;0,SUMIF(куб!$G:$G,$G316,куб!U:U),IF($E316&lt;&gt;0,SUMIF(куб!$E:$E,$E316,куб!U:U),IF($D316&lt;&gt;0,SUMIF(куб!$D:$D,$D316,куб!U:U),IF($C316&lt;&gt;0,SUMIF(куб!$C:$C,$C316,куб!U:U),IF($B316&lt;&gt;0,SUMIF(куб!$B:$B,$B316,куб!U:U))))))</f>
        <v>0</v>
      </c>
      <c r="AL316" s="16" t="str">
        <f t="shared" si="122"/>
        <v>-</v>
      </c>
      <c r="AM316" s="8"/>
      <c r="AN316" s="17" t="str">
        <f t="shared" si="123"/>
        <v xml:space="preserve"> </v>
      </c>
      <c r="AO316" s="17" t="str">
        <f t="shared" si="124"/>
        <v xml:space="preserve"> </v>
      </c>
      <c r="AP316" s="16" t="str">
        <f t="shared" si="125"/>
        <v>-</v>
      </c>
      <c r="AQ316" s="8"/>
      <c r="AR316" s="17" t="str">
        <f t="shared" si="126"/>
        <v>-</v>
      </c>
      <c r="AS316" s="17" t="str">
        <f t="shared" si="127"/>
        <v>-</v>
      </c>
      <c r="AT316" s="13" t="str">
        <f t="shared" si="128"/>
        <v>-</v>
      </c>
      <c r="AU316" s="8"/>
    </row>
    <row r="317" spans="1:47" ht="15" customHeight="1" x14ac:dyDescent="0.25">
      <c r="A317" s="31"/>
      <c r="B317" s="31"/>
      <c r="C317"/>
      <c r="D317" s="31"/>
      <c r="E317"/>
      <c r="F317" s="31"/>
      <c r="G317"/>
      <c r="H317" s="27">
        <f>IF($G317&lt;&gt;0,SUMIF(куб!$G:$G,$G317,куб!H:H),IF($E317&lt;&gt;0,SUMIF(куб!$E:$E,$E317,куб!H:H),IF($D317&lt;&gt;0,SUMIF(куб!$D:$D,$D317,куб!H:H),IF($C317&lt;&gt;0,SUMIF(куб!$C:$C,$C317,куб!H:H),IF($B317&lt;&gt;0,SUMIF(куб!$B:$B,$B317,куб!H:H),IF($G317&lt;&gt;0,SUMIF(куб!$A:$A,$G317,куб!H:H),SUMIF(куб!$A:$A,$G317,куб!H:H)))))))</f>
        <v>0</v>
      </c>
      <c r="I317" s="27">
        <f>IF($G317&lt;&gt;0,SUMIF(куб!$G:$G,$G317,куб!I:I),IF($E317&lt;&gt;0,SUMIF(куб!$E:$E,$E317,куб!I:I),IF($D317&lt;&gt;0,SUMIF(куб!$D:$D,$D317,куб!I:I),IF($C317&lt;&gt;0,SUMIF(куб!$C:$C,$C317,куб!I:I),IF($B317&lt;&gt;0,SUMIF(куб!$B:$B,$B317,куб!I:I),IF($G317&lt;&gt;0,SUMIF(куб!$A:$A,$G317,куб!I:I),SUMIF(куб!$A:$A,$G317,куб!I:I)))))))</f>
        <v>0</v>
      </c>
      <c r="J317" s="19" t="str">
        <f t="shared" si="111"/>
        <v>-</v>
      </c>
      <c r="K317" s="8"/>
      <c r="L317" s="17">
        <f t="shared" si="112"/>
        <v>0</v>
      </c>
      <c r="M317" s="17">
        <f t="shared" si="113"/>
        <v>0</v>
      </c>
      <c r="N317" s="12">
        <f t="shared" si="114"/>
        <v>0</v>
      </c>
      <c r="O317" s="5"/>
      <c r="P317" s="27" t="b">
        <f>IF($G317&lt;&gt;0,SUMIF(куб!$G:$G,$G317,куб!J:J),IF($E317&lt;&gt;0,SUMIF(куб!$E:$E,$E317,куб!J:J),IF($D317&lt;&gt;0,SUMIF(куб!$D:$D,$D317,куб!J:J),IF($C317&lt;&gt;0,SUMIF(куб!$C:$C,$C317,куб!J:J),IF($B317&lt;&gt;0,SUMIF(куб!$B:$B,$B317,куб!J:J))))))</f>
        <v>0</v>
      </c>
      <c r="Q317" s="27" t="b">
        <f>IF($G317&lt;&gt;0,SUMIF(куб!$G:$G,$G317,куб!K:K),IF($E317&lt;&gt;0,SUMIF(куб!$E:$E,$E317,куб!K:K),IF($D317&lt;&gt;0,SUMIF(куб!$D:$D,$D317,куб!K:K),IF($C317&lt;&gt;0,SUMIF(куб!$C:$C,$C317,куб!K:K),IF($B317&lt;&gt;0,SUMIF(куб!$B:$B,$B317,куб!K:K))))))</f>
        <v>0</v>
      </c>
      <c r="R317" s="13" t="str">
        <f t="shared" si="115"/>
        <v>-</v>
      </c>
      <c r="S317" s="5"/>
      <c r="T317" s="27" t="b">
        <f>IF($G317&lt;&gt;0,SUMIF(куб!$G:$G,$G317,куб!L:L),IF($E317&lt;&gt;0,SUMIF(куб!$E:$E,$E317,куб!L:L),IF($D317&lt;&gt;0,SUMIF(куб!$D:$D,$D317,куб!L:L),IF($C317&lt;&gt;0,SUMIF(куб!$C:$C,$C317,куб!L:L),IF($B317&lt;&gt;0,SUMIF(куб!$B:$B,$B317,куб!L:L))))))</f>
        <v>0</v>
      </c>
      <c r="U317" s="27" t="b">
        <f>IF($G317&lt;&gt;0,SUMIF(куб!$G:$G,$G317,куб!M:M),IF($E317&lt;&gt;0,SUMIF(куб!$E:$E,$E317,куб!M:M),IF($D317&lt;&gt;0,SUMIF(куб!$D:$D,$D317,куб!M:M),IF($C317&lt;&gt;0,SUMIF(куб!$C:$C,$C317,куб!M:M),IF($B317&lt;&gt;0,SUMIF(куб!$B:$B,$B317,куб!M:M))))))</f>
        <v>0</v>
      </c>
      <c r="V317" s="13" t="str">
        <f t="shared" si="116"/>
        <v>-</v>
      </c>
      <c r="W317" s="5"/>
      <c r="X317" s="27" t="b">
        <f>IF($G317&lt;&gt;0,SUMIF(куб!$G:$G,$G317,куб!N:N),IF($E317&lt;&gt;0,SUMIF(куб!$E:$E,$E317,куб!N:N),IF($D317&lt;&gt;0,SUMIF(куб!$D:$D,$D317,куб!N:N),IF($C317&lt;&gt;0,SUMIF(куб!$C:$C,$C317,куб!N:N),IF($B317&lt;&gt;0,SUMIF(куб!$B:$B,$B317,куб!N:N))))))</f>
        <v>0</v>
      </c>
      <c r="Y317" s="27" t="b">
        <f>IF($G317&lt;&gt;0,SUMIF(куб!$G:$G,$G317,куб!O:O),IF($E317&lt;&gt;0,SUMIF(куб!$E:$E,$E317,куб!O:O),IF($D317&lt;&gt;0,SUMIF(куб!$D:$D,$D317,куб!O:O),IF($C317&lt;&gt;0,SUMIF(куб!$C:$C,$C317,куб!O:O),IF($B317&lt;&gt;0,SUMIF(куб!$B:$B,$B317,куб!O:O))))))</f>
        <v>0</v>
      </c>
      <c r="Z317" s="13" t="str">
        <f t="shared" si="117"/>
        <v>-</v>
      </c>
      <c r="AA317" s="5"/>
      <c r="AB317" s="33" t="str">
        <f t="shared" si="118"/>
        <v/>
      </c>
      <c r="AC317" s="33" t="str">
        <f t="shared" si="119"/>
        <v/>
      </c>
      <c r="AD317" s="15" t="str">
        <f t="shared" si="120"/>
        <v xml:space="preserve"> </v>
      </c>
      <c r="AE317" s="5"/>
      <c r="AF317" s="27" t="b">
        <f>IF($G317&lt;&gt;0,SUMIF(куб!$G:$G,$G317,куб!R:R),IF($E317&lt;&gt;0,SUMIF(куб!$E:$E,$E317,куб!R:R),IF($D317&lt;&gt;0,SUMIF(куб!$D:$D,$D317,куб!R:R),IF($C317&lt;&gt;0,SUMIF(куб!$C:$C,$C317,куб!R:R),IF($B317&lt;&gt;0,SUMIF(куб!$B:$B,$B317,куб!R:R))))))</f>
        <v>0</v>
      </c>
      <c r="AG317" s="27" t="b">
        <f>IF($G317&lt;&gt;0,SUMIF(куб!$G:$G,$G317,куб!S:S),IF($E317&lt;&gt;0,SUMIF(куб!$E:$E,$E317,куб!S:S),IF($D317&lt;&gt;0,SUMIF(куб!$D:$D,$D317,куб!S:S),IF($C317&lt;&gt;0,SUMIF(куб!$C:$C,$C317,куб!S:S),IF($B317&lt;&gt;0,SUMIF(куб!$B:$B,$B317,куб!S:S))))))</f>
        <v>0</v>
      </c>
      <c r="AH317" s="16" t="str">
        <f t="shared" si="121"/>
        <v>-</v>
      </c>
      <c r="AI317" s="8"/>
      <c r="AJ317" s="27" t="b">
        <f>IF($G317&lt;&gt;0,SUMIF(куб!$G:$G,$G317,куб!T:T),IF($E317&lt;&gt;0,SUMIF(куб!$E:$E,$E317,куб!T:T),IF($D317&lt;&gt;0,SUMIF(куб!$D:$D,$D317,куб!T:T),IF($C317&lt;&gt;0,SUMIF(куб!$C:$C,$C317,куб!T:T),IF($B317&lt;&gt;0,SUMIF(куб!$B:$B,$B317,куб!T:T))))))</f>
        <v>0</v>
      </c>
      <c r="AK317" s="27" t="b">
        <f>IF($G317&lt;&gt;0,SUMIF(куб!$G:$G,$G317,куб!U:U),IF($E317&lt;&gt;0,SUMIF(куб!$E:$E,$E317,куб!U:U),IF($D317&lt;&gt;0,SUMIF(куб!$D:$D,$D317,куб!U:U),IF($C317&lt;&gt;0,SUMIF(куб!$C:$C,$C317,куб!U:U),IF($B317&lt;&gt;0,SUMIF(куб!$B:$B,$B317,куб!U:U))))))</f>
        <v>0</v>
      </c>
      <c r="AL317" s="16" t="str">
        <f t="shared" si="122"/>
        <v>-</v>
      </c>
      <c r="AM317" s="8"/>
      <c r="AN317" s="17" t="str">
        <f t="shared" si="123"/>
        <v xml:space="preserve"> </v>
      </c>
      <c r="AO317" s="17" t="str">
        <f t="shared" si="124"/>
        <v xml:space="preserve"> </v>
      </c>
      <c r="AP317" s="16" t="str">
        <f t="shared" si="125"/>
        <v>-</v>
      </c>
      <c r="AQ317" s="8"/>
      <c r="AR317" s="17" t="str">
        <f t="shared" si="126"/>
        <v>-</v>
      </c>
      <c r="AS317" s="17" t="str">
        <f t="shared" si="127"/>
        <v>-</v>
      </c>
      <c r="AT317" s="13" t="str">
        <f t="shared" si="128"/>
        <v>-</v>
      </c>
      <c r="AU317" s="8"/>
    </row>
    <row r="318" spans="1:47" ht="15" customHeight="1" x14ac:dyDescent="0.25">
      <c r="A318" s="31"/>
      <c r="B318" s="31"/>
      <c r="C318"/>
      <c r="D318" s="31"/>
      <c r="E318"/>
      <c r="F318" s="31"/>
      <c r="G318"/>
      <c r="H318" s="27">
        <f>IF($G318&lt;&gt;0,SUMIF(куб!$G:$G,$G318,куб!H:H),IF($E318&lt;&gt;0,SUMIF(куб!$E:$E,$E318,куб!H:H),IF($D318&lt;&gt;0,SUMIF(куб!$D:$D,$D318,куб!H:H),IF($C318&lt;&gt;0,SUMIF(куб!$C:$C,$C318,куб!H:H),IF($B318&lt;&gt;0,SUMIF(куб!$B:$B,$B318,куб!H:H),IF($G318&lt;&gt;0,SUMIF(куб!$A:$A,$G318,куб!H:H),SUMIF(куб!$A:$A,$G318,куб!H:H)))))))</f>
        <v>0</v>
      </c>
      <c r="I318" s="27">
        <f>IF($G318&lt;&gt;0,SUMIF(куб!$G:$G,$G318,куб!I:I),IF($E318&lt;&gt;0,SUMIF(куб!$E:$E,$E318,куб!I:I),IF($D318&lt;&gt;0,SUMIF(куб!$D:$D,$D318,куб!I:I),IF($C318&lt;&gt;0,SUMIF(куб!$C:$C,$C318,куб!I:I),IF($B318&lt;&gt;0,SUMIF(куб!$B:$B,$B318,куб!I:I),IF($G318&lt;&gt;0,SUMIF(куб!$A:$A,$G318,куб!I:I),SUMIF(куб!$A:$A,$G318,куб!I:I)))))))</f>
        <v>0</v>
      </c>
      <c r="J318" s="19" t="str">
        <f t="shared" si="111"/>
        <v>-</v>
      </c>
      <c r="K318" s="8"/>
      <c r="L318" s="17">
        <f t="shared" si="112"/>
        <v>0</v>
      </c>
      <c r="M318" s="17">
        <f t="shared" si="113"/>
        <v>0</v>
      </c>
      <c r="N318" s="12">
        <f t="shared" si="114"/>
        <v>0</v>
      </c>
      <c r="O318" s="5"/>
      <c r="P318" s="27" t="b">
        <f>IF($G318&lt;&gt;0,SUMIF(куб!$G:$G,$G318,куб!J:J),IF($E318&lt;&gt;0,SUMIF(куб!$E:$E,$E318,куб!J:J),IF($D318&lt;&gt;0,SUMIF(куб!$D:$D,$D318,куб!J:J),IF($C318&lt;&gt;0,SUMIF(куб!$C:$C,$C318,куб!J:J),IF($B318&lt;&gt;0,SUMIF(куб!$B:$B,$B318,куб!J:J))))))</f>
        <v>0</v>
      </c>
      <c r="Q318" s="27" t="b">
        <f>IF($G318&lt;&gt;0,SUMIF(куб!$G:$G,$G318,куб!K:K),IF($E318&lt;&gt;0,SUMIF(куб!$E:$E,$E318,куб!K:K),IF($D318&lt;&gt;0,SUMIF(куб!$D:$D,$D318,куб!K:K),IF($C318&lt;&gt;0,SUMIF(куб!$C:$C,$C318,куб!K:K),IF($B318&lt;&gt;0,SUMIF(куб!$B:$B,$B318,куб!K:K))))))</f>
        <v>0</v>
      </c>
      <c r="R318" s="13" t="str">
        <f t="shared" si="115"/>
        <v>-</v>
      </c>
      <c r="S318" s="5"/>
      <c r="T318" s="27" t="b">
        <f>IF($G318&lt;&gt;0,SUMIF(куб!$G:$G,$G318,куб!L:L),IF($E318&lt;&gt;0,SUMIF(куб!$E:$E,$E318,куб!L:L),IF($D318&lt;&gt;0,SUMIF(куб!$D:$D,$D318,куб!L:L),IF($C318&lt;&gt;0,SUMIF(куб!$C:$C,$C318,куб!L:L),IF($B318&lt;&gt;0,SUMIF(куб!$B:$B,$B318,куб!L:L))))))</f>
        <v>0</v>
      </c>
      <c r="U318" s="27" t="b">
        <f>IF($G318&lt;&gt;0,SUMIF(куб!$G:$G,$G318,куб!M:M),IF($E318&lt;&gt;0,SUMIF(куб!$E:$E,$E318,куб!M:M),IF($D318&lt;&gt;0,SUMIF(куб!$D:$D,$D318,куб!M:M),IF($C318&lt;&gt;0,SUMIF(куб!$C:$C,$C318,куб!M:M),IF($B318&lt;&gt;0,SUMIF(куб!$B:$B,$B318,куб!M:M))))))</f>
        <v>0</v>
      </c>
      <c r="V318" s="13" t="str">
        <f t="shared" si="116"/>
        <v>-</v>
      </c>
      <c r="W318" s="5"/>
      <c r="X318" s="27" t="b">
        <f>IF($G318&lt;&gt;0,SUMIF(куб!$G:$G,$G318,куб!N:N),IF($E318&lt;&gt;0,SUMIF(куб!$E:$E,$E318,куб!N:N),IF($D318&lt;&gt;0,SUMIF(куб!$D:$D,$D318,куб!N:N),IF($C318&lt;&gt;0,SUMIF(куб!$C:$C,$C318,куб!N:N),IF($B318&lt;&gt;0,SUMIF(куб!$B:$B,$B318,куб!N:N))))))</f>
        <v>0</v>
      </c>
      <c r="Y318" s="27" t="b">
        <f>IF($G318&lt;&gt;0,SUMIF(куб!$G:$G,$G318,куб!O:O),IF($E318&lt;&gt;0,SUMIF(куб!$E:$E,$E318,куб!O:O),IF($D318&lt;&gt;0,SUMIF(куб!$D:$D,$D318,куб!O:O),IF($C318&lt;&gt;0,SUMIF(куб!$C:$C,$C318,куб!O:O),IF($B318&lt;&gt;0,SUMIF(куб!$B:$B,$B318,куб!O:O))))))</f>
        <v>0</v>
      </c>
      <c r="Z318" s="13" t="str">
        <f t="shared" si="117"/>
        <v>-</v>
      </c>
      <c r="AA318" s="5"/>
      <c r="AB318" s="33" t="str">
        <f t="shared" si="118"/>
        <v/>
      </c>
      <c r="AC318" s="33" t="str">
        <f t="shared" si="119"/>
        <v/>
      </c>
      <c r="AD318" s="15" t="str">
        <f t="shared" si="120"/>
        <v xml:space="preserve"> </v>
      </c>
      <c r="AE318" s="5"/>
      <c r="AF318" s="27" t="b">
        <f>IF($G318&lt;&gt;0,SUMIF(куб!$G:$G,$G318,куб!R:R),IF($E318&lt;&gt;0,SUMIF(куб!$E:$E,$E318,куб!R:R),IF($D318&lt;&gt;0,SUMIF(куб!$D:$D,$D318,куб!R:R),IF($C318&lt;&gt;0,SUMIF(куб!$C:$C,$C318,куб!R:R),IF($B318&lt;&gt;0,SUMIF(куб!$B:$B,$B318,куб!R:R))))))</f>
        <v>0</v>
      </c>
      <c r="AG318" s="27" t="b">
        <f>IF($G318&lt;&gt;0,SUMIF(куб!$G:$G,$G318,куб!S:S),IF($E318&lt;&gt;0,SUMIF(куб!$E:$E,$E318,куб!S:S),IF($D318&lt;&gt;0,SUMIF(куб!$D:$D,$D318,куб!S:S),IF($C318&lt;&gt;0,SUMIF(куб!$C:$C,$C318,куб!S:S),IF($B318&lt;&gt;0,SUMIF(куб!$B:$B,$B318,куб!S:S))))))</f>
        <v>0</v>
      </c>
      <c r="AH318" s="16" t="str">
        <f t="shared" si="121"/>
        <v>-</v>
      </c>
      <c r="AI318" s="8"/>
      <c r="AJ318" s="27" t="b">
        <f>IF($G318&lt;&gt;0,SUMIF(куб!$G:$G,$G318,куб!T:T),IF($E318&lt;&gt;0,SUMIF(куб!$E:$E,$E318,куб!T:T),IF($D318&lt;&gt;0,SUMIF(куб!$D:$D,$D318,куб!T:T),IF($C318&lt;&gt;0,SUMIF(куб!$C:$C,$C318,куб!T:T),IF($B318&lt;&gt;0,SUMIF(куб!$B:$B,$B318,куб!T:T))))))</f>
        <v>0</v>
      </c>
      <c r="AK318" s="27" t="b">
        <f>IF($G318&lt;&gt;0,SUMIF(куб!$G:$G,$G318,куб!U:U),IF($E318&lt;&gt;0,SUMIF(куб!$E:$E,$E318,куб!U:U),IF($D318&lt;&gt;0,SUMIF(куб!$D:$D,$D318,куб!U:U),IF($C318&lt;&gt;0,SUMIF(куб!$C:$C,$C318,куб!U:U),IF($B318&lt;&gt;0,SUMIF(куб!$B:$B,$B318,куб!U:U))))))</f>
        <v>0</v>
      </c>
      <c r="AL318" s="16" t="str">
        <f t="shared" si="122"/>
        <v>-</v>
      </c>
      <c r="AM318" s="8"/>
      <c r="AN318" s="17" t="str">
        <f t="shared" si="123"/>
        <v xml:space="preserve"> </v>
      </c>
      <c r="AO318" s="17" t="str">
        <f t="shared" si="124"/>
        <v xml:space="preserve"> </v>
      </c>
      <c r="AP318" s="16" t="str">
        <f t="shared" si="125"/>
        <v>-</v>
      </c>
      <c r="AQ318" s="8"/>
      <c r="AR318" s="17" t="str">
        <f t="shared" si="126"/>
        <v>-</v>
      </c>
      <c r="AS318" s="17" t="str">
        <f t="shared" si="127"/>
        <v>-</v>
      </c>
      <c r="AT318" s="13" t="str">
        <f t="shared" si="128"/>
        <v>-</v>
      </c>
      <c r="AU318" s="8"/>
    </row>
    <row r="319" spans="1:47" ht="15" customHeight="1" x14ac:dyDescent="0.25">
      <c r="A319" s="31"/>
      <c r="B319" s="31"/>
      <c r="C319"/>
      <c r="D319" s="31"/>
      <c r="E319"/>
      <c r="F319" s="31"/>
      <c r="G319"/>
      <c r="H319" s="27">
        <f>IF($G319&lt;&gt;0,SUMIF(куб!$G:$G,$G319,куб!H:H),IF($E319&lt;&gt;0,SUMIF(куб!$E:$E,$E319,куб!H:H),IF($D319&lt;&gt;0,SUMIF(куб!$D:$D,$D319,куб!H:H),IF($C319&lt;&gt;0,SUMIF(куб!$C:$C,$C319,куб!H:H),IF($B319&lt;&gt;0,SUMIF(куб!$B:$B,$B319,куб!H:H),IF($G319&lt;&gt;0,SUMIF(куб!$A:$A,$G319,куб!H:H),SUMIF(куб!$A:$A,$G319,куб!H:H)))))))</f>
        <v>0</v>
      </c>
      <c r="I319" s="27">
        <f>IF($G319&lt;&gt;0,SUMIF(куб!$G:$G,$G319,куб!I:I),IF($E319&lt;&gt;0,SUMIF(куб!$E:$E,$E319,куб!I:I),IF($D319&lt;&gt;0,SUMIF(куб!$D:$D,$D319,куб!I:I),IF($C319&lt;&gt;0,SUMIF(куб!$C:$C,$C319,куб!I:I),IF($B319&lt;&gt;0,SUMIF(куб!$B:$B,$B319,куб!I:I),IF($G319&lt;&gt;0,SUMIF(куб!$A:$A,$G319,куб!I:I),SUMIF(куб!$A:$A,$G319,куб!I:I)))))))</f>
        <v>0</v>
      </c>
      <c r="J319" s="19" t="str">
        <f t="shared" si="111"/>
        <v>-</v>
      </c>
      <c r="K319" s="8"/>
      <c r="L319" s="17">
        <f t="shared" si="112"/>
        <v>0</v>
      </c>
      <c r="M319" s="17">
        <f t="shared" si="113"/>
        <v>0</v>
      </c>
      <c r="N319" s="12">
        <f t="shared" si="114"/>
        <v>0</v>
      </c>
      <c r="O319" s="5"/>
      <c r="P319" s="27" t="b">
        <f>IF($G319&lt;&gt;0,SUMIF(куб!$G:$G,$G319,куб!J:J),IF($E319&lt;&gt;0,SUMIF(куб!$E:$E,$E319,куб!J:J),IF($D319&lt;&gt;0,SUMIF(куб!$D:$D,$D319,куб!J:J),IF($C319&lt;&gt;0,SUMIF(куб!$C:$C,$C319,куб!J:J),IF($B319&lt;&gt;0,SUMIF(куб!$B:$B,$B319,куб!J:J))))))</f>
        <v>0</v>
      </c>
      <c r="Q319" s="27" t="b">
        <f>IF($G319&lt;&gt;0,SUMIF(куб!$G:$G,$G319,куб!K:K),IF($E319&lt;&gt;0,SUMIF(куб!$E:$E,$E319,куб!K:K),IF($D319&lt;&gt;0,SUMIF(куб!$D:$D,$D319,куб!K:K),IF($C319&lt;&gt;0,SUMIF(куб!$C:$C,$C319,куб!K:K),IF($B319&lt;&gt;0,SUMIF(куб!$B:$B,$B319,куб!K:K))))))</f>
        <v>0</v>
      </c>
      <c r="R319" s="13" t="str">
        <f t="shared" si="115"/>
        <v>-</v>
      </c>
      <c r="S319" s="5"/>
      <c r="T319" s="27" t="b">
        <f>IF($G319&lt;&gt;0,SUMIF(куб!$G:$G,$G319,куб!L:L),IF($E319&lt;&gt;0,SUMIF(куб!$E:$E,$E319,куб!L:L),IF($D319&lt;&gt;0,SUMIF(куб!$D:$D,$D319,куб!L:L),IF($C319&lt;&gt;0,SUMIF(куб!$C:$C,$C319,куб!L:L),IF($B319&lt;&gt;0,SUMIF(куб!$B:$B,$B319,куб!L:L))))))</f>
        <v>0</v>
      </c>
      <c r="U319" s="27" t="b">
        <f>IF($G319&lt;&gt;0,SUMIF(куб!$G:$G,$G319,куб!M:M),IF($E319&lt;&gt;0,SUMIF(куб!$E:$E,$E319,куб!M:M),IF($D319&lt;&gt;0,SUMIF(куб!$D:$D,$D319,куб!M:M),IF($C319&lt;&gt;0,SUMIF(куб!$C:$C,$C319,куб!M:M),IF($B319&lt;&gt;0,SUMIF(куб!$B:$B,$B319,куб!M:M))))))</f>
        <v>0</v>
      </c>
      <c r="V319" s="13" t="str">
        <f t="shared" si="116"/>
        <v>-</v>
      </c>
      <c r="W319" s="5"/>
      <c r="X319" s="27" t="b">
        <f>IF($G319&lt;&gt;0,SUMIF(куб!$G:$G,$G319,куб!N:N),IF($E319&lt;&gt;0,SUMIF(куб!$E:$E,$E319,куб!N:N),IF($D319&lt;&gt;0,SUMIF(куб!$D:$D,$D319,куб!N:N),IF($C319&lt;&gt;0,SUMIF(куб!$C:$C,$C319,куб!N:N),IF($B319&lt;&gt;0,SUMIF(куб!$B:$B,$B319,куб!N:N))))))</f>
        <v>0</v>
      </c>
      <c r="Y319" s="27" t="b">
        <f>IF($G319&lt;&gt;0,SUMIF(куб!$G:$G,$G319,куб!O:O),IF($E319&lt;&gt;0,SUMIF(куб!$E:$E,$E319,куб!O:O),IF($D319&lt;&gt;0,SUMIF(куб!$D:$D,$D319,куб!O:O),IF($C319&lt;&gt;0,SUMIF(куб!$C:$C,$C319,куб!O:O),IF($B319&lt;&gt;0,SUMIF(куб!$B:$B,$B319,куб!O:O))))))</f>
        <v>0</v>
      </c>
      <c r="Z319" s="13" t="str">
        <f t="shared" si="117"/>
        <v>-</v>
      </c>
      <c r="AA319" s="5"/>
      <c r="AB319" s="33" t="str">
        <f t="shared" si="118"/>
        <v/>
      </c>
      <c r="AC319" s="33" t="str">
        <f t="shared" si="119"/>
        <v/>
      </c>
      <c r="AD319" s="15" t="str">
        <f t="shared" si="120"/>
        <v xml:space="preserve"> </v>
      </c>
      <c r="AE319" s="5"/>
      <c r="AF319" s="27" t="b">
        <f>IF($G319&lt;&gt;0,SUMIF(куб!$G:$G,$G319,куб!R:R),IF($E319&lt;&gt;0,SUMIF(куб!$E:$E,$E319,куб!R:R),IF($D319&lt;&gt;0,SUMIF(куб!$D:$D,$D319,куб!R:R),IF($C319&lt;&gt;0,SUMIF(куб!$C:$C,$C319,куб!R:R),IF($B319&lt;&gt;0,SUMIF(куб!$B:$B,$B319,куб!R:R))))))</f>
        <v>0</v>
      </c>
      <c r="AG319" s="27" t="b">
        <f>IF($G319&lt;&gt;0,SUMIF(куб!$G:$G,$G319,куб!S:S),IF($E319&lt;&gt;0,SUMIF(куб!$E:$E,$E319,куб!S:S),IF($D319&lt;&gt;0,SUMIF(куб!$D:$D,$D319,куб!S:S),IF($C319&lt;&gt;0,SUMIF(куб!$C:$C,$C319,куб!S:S),IF($B319&lt;&gt;0,SUMIF(куб!$B:$B,$B319,куб!S:S))))))</f>
        <v>0</v>
      </c>
      <c r="AH319" s="16" t="str">
        <f t="shared" si="121"/>
        <v>-</v>
      </c>
      <c r="AI319" s="8"/>
      <c r="AJ319" s="27" t="b">
        <f>IF($G319&lt;&gt;0,SUMIF(куб!$G:$G,$G319,куб!T:T),IF($E319&lt;&gt;0,SUMIF(куб!$E:$E,$E319,куб!T:T),IF($D319&lt;&gt;0,SUMIF(куб!$D:$D,$D319,куб!T:T),IF($C319&lt;&gt;0,SUMIF(куб!$C:$C,$C319,куб!T:T),IF($B319&lt;&gt;0,SUMIF(куб!$B:$B,$B319,куб!T:T))))))</f>
        <v>0</v>
      </c>
      <c r="AK319" s="27" t="b">
        <f>IF($G319&lt;&gt;0,SUMIF(куб!$G:$G,$G319,куб!U:U),IF($E319&lt;&gt;0,SUMIF(куб!$E:$E,$E319,куб!U:U),IF($D319&lt;&gt;0,SUMIF(куб!$D:$D,$D319,куб!U:U),IF($C319&lt;&gt;0,SUMIF(куб!$C:$C,$C319,куб!U:U),IF($B319&lt;&gt;0,SUMIF(куб!$B:$B,$B319,куб!U:U))))))</f>
        <v>0</v>
      </c>
      <c r="AL319" s="16" t="str">
        <f t="shared" si="122"/>
        <v>-</v>
      </c>
      <c r="AM319" s="8"/>
      <c r="AN319" s="17" t="str">
        <f t="shared" si="123"/>
        <v xml:space="preserve"> </v>
      </c>
      <c r="AO319" s="17" t="str">
        <f t="shared" si="124"/>
        <v xml:space="preserve"> </v>
      </c>
      <c r="AP319" s="16" t="str">
        <f t="shared" si="125"/>
        <v>-</v>
      </c>
      <c r="AQ319" s="8"/>
      <c r="AR319" s="17" t="str">
        <f t="shared" si="126"/>
        <v>-</v>
      </c>
      <c r="AS319" s="17" t="str">
        <f t="shared" si="127"/>
        <v>-</v>
      </c>
      <c r="AT319" s="13" t="str">
        <f t="shared" si="128"/>
        <v>-</v>
      </c>
      <c r="AU319" s="8"/>
    </row>
    <row r="320" spans="1:47" ht="15" customHeight="1" x14ac:dyDescent="0.25">
      <c r="A320" s="31"/>
      <c r="B320" s="31"/>
      <c r="C320"/>
      <c r="D320" s="31"/>
      <c r="E320"/>
      <c r="F320" s="31"/>
      <c r="G320"/>
      <c r="H320" s="27">
        <f>IF($G320&lt;&gt;0,SUMIF(куб!$G:$G,$G320,куб!H:H),IF($E320&lt;&gt;0,SUMIF(куб!$E:$E,$E320,куб!H:H),IF($D320&lt;&gt;0,SUMIF(куб!$D:$D,$D320,куб!H:H),IF($C320&lt;&gt;0,SUMIF(куб!$C:$C,$C320,куб!H:H),IF($B320&lt;&gt;0,SUMIF(куб!$B:$B,$B320,куб!H:H),IF($G320&lt;&gt;0,SUMIF(куб!$A:$A,$G320,куб!H:H),SUMIF(куб!$A:$A,$G320,куб!H:H)))))))</f>
        <v>0</v>
      </c>
      <c r="I320" s="27">
        <f>IF($G320&lt;&gt;0,SUMIF(куб!$G:$G,$G320,куб!I:I),IF($E320&lt;&gt;0,SUMIF(куб!$E:$E,$E320,куб!I:I),IF($D320&lt;&gt;0,SUMIF(куб!$D:$D,$D320,куб!I:I),IF($C320&lt;&gt;0,SUMIF(куб!$C:$C,$C320,куб!I:I),IF($B320&lt;&gt;0,SUMIF(куб!$B:$B,$B320,куб!I:I),IF($G320&lt;&gt;0,SUMIF(куб!$A:$A,$G320,куб!I:I),SUMIF(куб!$A:$A,$G320,куб!I:I)))))))</f>
        <v>0</v>
      </c>
      <c r="J320" s="19" t="str">
        <f t="shared" si="111"/>
        <v>-</v>
      </c>
      <c r="K320" s="8"/>
      <c r="L320" s="17">
        <f t="shared" si="112"/>
        <v>0</v>
      </c>
      <c r="M320" s="17">
        <f t="shared" si="113"/>
        <v>0</v>
      </c>
      <c r="N320" s="12">
        <f t="shared" si="114"/>
        <v>0</v>
      </c>
      <c r="O320" s="5"/>
      <c r="P320" s="27" t="b">
        <f>IF($G320&lt;&gt;0,SUMIF(куб!$G:$G,$G320,куб!J:J),IF($E320&lt;&gt;0,SUMIF(куб!$E:$E,$E320,куб!J:J),IF($D320&lt;&gt;0,SUMIF(куб!$D:$D,$D320,куб!J:J),IF($C320&lt;&gt;0,SUMIF(куб!$C:$C,$C320,куб!J:J),IF($B320&lt;&gt;0,SUMIF(куб!$B:$B,$B320,куб!J:J))))))</f>
        <v>0</v>
      </c>
      <c r="Q320" s="27" t="b">
        <f>IF($G320&lt;&gt;0,SUMIF(куб!$G:$G,$G320,куб!K:K),IF($E320&lt;&gt;0,SUMIF(куб!$E:$E,$E320,куб!K:K),IF($D320&lt;&gt;0,SUMIF(куб!$D:$D,$D320,куб!K:K),IF($C320&lt;&gt;0,SUMIF(куб!$C:$C,$C320,куб!K:K),IF($B320&lt;&gt;0,SUMIF(куб!$B:$B,$B320,куб!K:K))))))</f>
        <v>0</v>
      </c>
      <c r="R320" s="13" t="str">
        <f t="shared" si="115"/>
        <v>-</v>
      </c>
      <c r="S320" s="5"/>
      <c r="T320" s="27" t="b">
        <f>IF($G320&lt;&gt;0,SUMIF(куб!$G:$G,$G320,куб!L:L),IF($E320&lt;&gt;0,SUMIF(куб!$E:$E,$E320,куб!L:L),IF($D320&lt;&gt;0,SUMIF(куб!$D:$D,$D320,куб!L:L),IF($C320&lt;&gt;0,SUMIF(куб!$C:$C,$C320,куб!L:L),IF($B320&lt;&gt;0,SUMIF(куб!$B:$B,$B320,куб!L:L))))))</f>
        <v>0</v>
      </c>
      <c r="U320" s="27" t="b">
        <f>IF($G320&lt;&gt;0,SUMIF(куб!$G:$G,$G320,куб!M:M),IF($E320&lt;&gt;0,SUMIF(куб!$E:$E,$E320,куб!M:M),IF($D320&lt;&gt;0,SUMIF(куб!$D:$D,$D320,куб!M:M),IF($C320&lt;&gt;0,SUMIF(куб!$C:$C,$C320,куб!M:M),IF($B320&lt;&gt;0,SUMIF(куб!$B:$B,$B320,куб!M:M))))))</f>
        <v>0</v>
      </c>
      <c r="V320" s="13" t="str">
        <f t="shared" si="116"/>
        <v>-</v>
      </c>
      <c r="W320" s="5"/>
      <c r="X320" s="27" t="b">
        <f>IF($G320&lt;&gt;0,SUMIF(куб!$G:$G,$G320,куб!N:N),IF($E320&lt;&gt;0,SUMIF(куб!$E:$E,$E320,куб!N:N),IF($D320&lt;&gt;0,SUMIF(куб!$D:$D,$D320,куб!N:N),IF($C320&lt;&gt;0,SUMIF(куб!$C:$C,$C320,куб!N:N),IF($B320&lt;&gt;0,SUMIF(куб!$B:$B,$B320,куб!N:N))))))</f>
        <v>0</v>
      </c>
      <c r="Y320" s="27" t="b">
        <f>IF($G320&lt;&gt;0,SUMIF(куб!$G:$G,$G320,куб!O:O),IF($E320&lt;&gt;0,SUMIF(куб!$E:$E,$E320,куб!O:O),IF($D320&lt;&gt;0,SUMIF(куб!$D:$D,$D320,куб!O:O),IF($C320&lt;&gt;0,SUMIF(куб!$C:$C,$C320,куб!O:O),IF($B320&lt;&gt;0,SUMIF(куб!$B:$B,$B320,куб!O:O))))))</f>
        <v>0</v>
      </c>
      <c r="Z320" s="13" t="str">
        <f t="shared" si="117"/>
        <v>-</v>
      </c>
      <c r="AA320" s="5"/>
      <c r="AB320" s="33" t="str">
        <f t="shared" si="118"/>
        <v/>
      </c>
      <c r="AC320" s="33" t="str">
        <f t="shared" si="119"/>
        <v/>
      </c>
      <c r="AD320" s="15" t="str">
        <f t="shared" si="120"/>
        <v xml:space="preserve"> </v>
      </c>
      <c r="AE320" s="5"/>
      <c r="AF320" s="27" t="b">
        <f>IF($G320&lt;&gt;0,SUMIF(куб!$G:$G,$G320,куб!R:R),IF($E320&lt;&gt;0,SUMIF(куб!$E:$E,$E320,куб!R:R),IF($D320&lt;&gt;0,SUMIF(куб!$D:$D,$D320,куб!R:R),IF($C320&lt;&gt;0,SUMIF(куб!$C:$C,$C320,куб!R:R),IF($B320&lt;&gt;0,SUMIF(куб!$B:$B,$B320,куб!R:R))))))</f>
        <v>0</v>
      </c>
      <c r="AG320" s="27" t="b">
        <f>IF($G320&lt;&gt;0,SUMIF(куб!$G:$G,$G320,куб!S:S),IF($E320&lt;&gt;0,SUMIF(куб!$E:$E,$E320,куб!S:S),IF($D320&lt;&gt;0,SUMIF(куб!$D:$D,$D320,куб!S:S),IF($C320&lt;&gt;0,SUMIF(куб!$C:$C,$C320,куб!S:S),IF($B320&lt;&gt;0,SUMIF(куб!$B:$B,$B320,куб!S:S))))))</f>
        <v>0</v>
      </c>
      <c r="AH320" s="16" t="str">
        <f t="shared" si="121"/>
        <v>-</v>
      </c>
      <c r="AI320" s="8"/>
      <c r="AJ320" s="27" t="b">
        <f>IF($G320&lt;&gt;0,SUMIF(куб!$G:$G,$G320,куб!T:T),IF($E320&lt;&gt;0,SUMIF(куб!$E:$E,$E320,куб!T:T),IF($D320&lt;&gt;0,SUMIF(куб!$D:$D,$D320,куб!T:T),IF($C320&lt;&gt;0,SUMIF(куб!$C:$C,$C320,куб!T:T),IF($B320&lt;&gt;0,SUMIF(куб!$B:$B,$B320,куб!T:T))))))</f>
        <v>0</v>
      </c>
      <c r="AK320" s="27" t="b">
        <f>IF($G320&lt;&gt;0,SUMIF(куб!$G:$G,$G320,куб!U:U),IF($E320&lt;&gt;0,SUMIF(куб!$E:$E,$E320,куб!U:U),IF($D320&lt;&gt;0,SUMIF(куб!$D:$D,$D320,куб!U:U),IF($C320&lt;&gt;0,SUMIF(куб!$C:$C,$C320,куб!U:U),IF($B320&lt;&gt;0,SUMIF(куб!$B:$B,$B320,куб!U:U))))))</f>
        <v>0</v>
      </c>
      <c r="AL320" s="16" t="str">
        <f t="shared" si="122"/>
        <v>-</v>
      </c>
      <c r="AM320" s="8"/>
      <c r="AN320" s="17" t="str">
        <f t="shared" si="123"/>
        <v xml:space="preserve"> </v>
      </c>
      <c r="AO320" s="17" t="str">
        <f t="shared" si="124"/>
        <v xml:space="preserve"> </v>
      </c>
      <c r="AP320" s="16" t="str">
        <f t="shared" si="125"/>
        <v>-</v>
      </c>
      <c r="AQ320" s="8"/>
      <c r="AR320" s="17" t="str">
        <f t="shared" si="126"/>
        <v>-</v>
      </c>
      <c r="AS320" s="17" t="str">
        <f t="shared" si="127"/>
        <v>-</v>
      </c>
      <c r="AT320" s="13" t="str">
        <f t="shared" si="128"/>
        <v>-</v>
      </c>
      <c r="AU320" s="8"/>
    </row>
    <row r="321" spans="1:47" ht="15" customHeight="1" x14ac:dyDescent="0.25">
      <c r="A321" s="31"/>
      <c r="B321" s="31"/>
      <c r="C321"/>
      <c r="D321" s="31"/>
      <c r="E321"/>
      <c r="F321" s="31"/>
      <c r="G321"/>
      <c r="H321" s="27">
        <f>IF($G321&lt;&gt;0,SUMIF(куб!$G:$G,$G321,куб!H:H),IF($E321&lt;&gt;0,SUMIF(куб!$E:$E,$E321,куб!H:H),IF($D321&lt;&gt;0,SUMIF(куб!$D:$D,$D321,куб!H:H),IF($C321&lt;&gt;0,SUMIF(куб!$C:$C,$C321,куб!H:H),IF($B321&lt;&gt;0,SUMIF(куб!$B:$B,$B321,куб!H:H),IF($G321&lt;&gt;0,SUMIF(куб!$A:$A,$G321,куб!H:H),SUMIF(куб!$A:$A,$G321,куб!H:H)))))))</f>
        <v>0</v>
      </c>
      <c r="I321" s="27">
        <f>IF($G321&lt;&gt;0,SUMIF(куб!$G:$G,$G321,куб!I:I),IF($E321&lt;&gt;0,SUMIF(куб!$E:$E,$E321,куб!I:I),IF($D321&lt;&gt;0,SUMIF(куб!$D:$D,$D321,куб!I:I),IF($C321&lt;&gt;0,SUMIF(куб!$C:$C,$C321,куб!I:I),IF($B321&lt;&gt;0,SUMIF(куб!$B:$B,$B321,куб!I:I),IF($G321&lt;&gt;0,SUMIF(куб!$A:$A,$G321,куб!I:I),SUMIF(куб!$A:$A,$G321,куб!I:I)))))))</f>
        <v>0</v>
      </c>
      <c r="J321" s="19" t="str">
        <f t="shared" si="111"/>
        <v>-</v>
      </c>
      <c r="K321" s="8"/>
      <c r="L321" s="17">
        <f t="shared" si="112"/>
        <v>0</v>
      </c>
      <c r="M321" s="17">
        <f t="shared" si="113"/>
        <v>0</v>
      </c>
      <c r="N321" s="12">
        <f t="shared" si="114"/>
        <v>0</v>
      </c>
      <c r="O321" s="5"/>
      <c r="P321" s="27" t="b">
        <f>IF($G321&lt;&gt;0,SUMIF(куб!$G:$G,$G321,куб!J:J),IF($E321&lt;&gt;0,SUMIF(куб!$E:$E,$E321,куб!J:J),IF($D321&lt;&gt;0,SUMIF(куб!$D:$D,$D321,куб!J:J),IF($C321&lt;&gt;0,SUMIF(куб!$C:$C,$C321,куб!J:J),IF($B321&lt;&gt;0,SUMIF(куб!$B:$B,$B321,куб!J:J))))))</f>
        <v>0</v>
      </c>
      <c r="Q321" s="27" t="b">
        <f>IF($G321&lt;&gt;0,SUMIF(куб!$G:$G,$G321,куб!K:K),IF($E321&lt;&gt;0,SUMIF(куб!$E:$E,$E321,куб!K:K),IF($D321&lt;&gt;0,SUMIF(куб!$D:$D,$D321,куб!K:K),IF($C321&lt;&gt;0,SUMIF(куб!$C:$C,$C321,куб!K:K),IF($B321&lt;&gt;0,SUMIF(куб!$B:$B,$B321,куб!K:K))))))</f>
        <v>0</v>
      </c>
      <c r="R321" s="13" t="str">
        <f t="shared" si="115"/>
        <v>-</v>
      </c>
      <c r="S321" s="5"/>
      <c r="T321" s="27" t="b">
        <f>IF($G321&lt;&gt;0,SUMIF(куб!$G:$G,$G321,куб!L:L),IF($E321&lt;&gt;0,SUMIF(куб!$E:$E,$E321,куб!L:L),IF($D321&lt;&gt;0,SUMIF(куб!$D:$D,$D321,куб!L:L),IF($C321&lt;&gt;0,SUMIF(куб!$C:$C,$C321,куб!L:L),IF($B321&lt;&gt;0,SUMIF(куб!$B:$B,$B321,куб!L:L))))))</f>
        <v>0</v>
      </c>
      <c r="U321" s="27" t="b">
        <f>IF($G321&lt;&gt;0,SUMIF(куб!$G:$G,$G321,куб!M:M),IF($E321&lt;&gt;0,SUMIF(куб!$E:$E,$E321,куб!M:M),IF($D321&lt;&gt;0,SUMIF(куб!$D:$D,$D321,куб!M:M),IF($C321&lt;&gt;0,SUMIF(куб!$C:$C,$C321,куб!M:M),IF($B321&lt;&gt;0,SUMIF(куб!$B:$B,$B321,куб!M:M))))))</f>
        <v>0</v>
      </c>
      <c r="V321" s="13" t="str">
        <f t="shared" si="116"/>
        <v>-</v>
      </c>
      <c r="W321" s="5"/>
      <c r="X321" s="27" t="b">
        <f>IF($G321&lt;&gt;0,SUMIF(куб!$G:$G,$G321,куб!N:N),IF($E321&lt;&gt;0,SUMIF(куб!$E:$E,$E321,куб!N:N),IF($D321&lt;&gt;0,SUMIF(куб!$D:$D,$D321,куб!N:N),IF($C321&lt;&gt;0,SUMIF(куб!$C:$C,$C321,куб!N:N),IF($B321&lt;&gt;0,SUMIF(куб!$B:$B,$B321,куб!N:N))))))</f>
        <v>0</v>
      </c>
      <c r="Y321" s="27" t="b">
        <f>IF($G321&lt;&gt;0,SUMIF(куб!$G:$G,$G321,куб!O:O),IF($E321&lt;&gt;0,SUMIF(куб!$E:$E,$E321,куб!O:O),IF($D321&lt;&gt;0,SUMIF(куб!$D:$D,$D321,куб!O:O),IF($C321&lt;&gt;0,SUMIF(куб!$C:$C,$C321,куб!O:O),IF($B321&lt;&gt;0,SUMIF(куб!$B:$B,$B321,куб!O:O))))))</f>
        <v>0</v>
      </c>
      <c r="Z321" s="13" t="str">
        <f t="shared" si="117"/>
        <v>-</v>
      </c>
      <c r="AA321" s="5"/>
      <c r="AB321" s="33" t="str">
        <f t="shared" si="118"/>
        <v/>
      </c>
      <c r="AC321" s="33" t="str">
        <f t="shared" si="119"/>
        <v/>
      </c>
      <c r="AD321" s="15" t="str">
        <f t="shared" si="120"/>
        <v xml:space="preserve"> </v>
      </c>
      <c r="AE321" s="5"/>
      <c r="AF321" s="27" t="b">
        <f>IF($G321&lt;&gt;0,SUMIF(куб!$G:$G,$G321,куб!R:R),IF($E321&lt;&gt;0,SUMIF(куб!$E:$E,$E321,куб!R:R),IF($D321&lt;&gt;0,SUMIF(куб!$D:$D,$D321,куб!R:R),IF($C321&lt;&gt;0,SUMIF(куб!$C:$C,$C321,куб!R:R),IF($B321&lt;&gt;0,SUMIF(куб!$B:$B,$B321,куб!R:R))))))</f>
        <v>0</v>
      </c>
      <c r="AG321" s="27" t="b">
        <f>IF($G321&lt;&gt;0,SUMIF(куб!$G:$G,$G321,куб!S:S),IF($E321&lt;&gt;0,SUMIF(куб!$E:$E,$E321,куб!S:S),IF($D321&lt;&gt;0,SUMIF(куб!$D:$D,$D321,куб!S:S),IF($C321&lt;&gt;0,SUMIF(куб!$C:$C,$C321,куб!S:S),IF($B321&lt;&gt;0,SUMIF(куб!$B:$B,$B321,куб!S:S))))))</f>
        <v>0</v>
      </c>
      <c r="AH321" s="16" t="str">
        <f t="shared" si="121"/>
        <v>-</v>
      </c>
      <c r="AI321" s="8"/>
      <c r="AJ321" s="27" t="b">
        <f>IF($G321&lt;&gt;0,SUMIF(куб!$G:$G,$G321,куб!T:T),IF($E321&lt;&gt;0,SUMIF(куб!$E:$E,$E321,куб!T:T),IF($D321&lt;&gt;0,SUMIF(куб!$D:$D,$D321,куб!T:T),IF($C321&lt;&gt;0,SUMIF(куб!$C:$C,$C321,куб!T:T),IF($B321&lt;&gt;0,SUMIF(куб!$B:$B,$B321,куб!T:T))))))</f>
        <v>0</v>
      </c>
      <c r="AK321" s="27" t="b">
        <f>IF($G321&lt;&gt;0,SUMIF(куб!$G:$G,$G321,куб!U:U),IF($E321&lt;&gt;0,SUMIF(куб!$E:$E,$E321,куб!U:U),IF($D321&lt;&gt;0,SUMIF(куб!$D:$D,$D321,куб!U:U),IF($C321&lt;&gt;0,SUMIF(куб!$C:$C,$C321,куб!U:U),IF($B321&lt;&gt;0,SUMIF(куб!$B:$B,$B321,куб!U:U))))))</f>
        <v>0</v>
      </c>
      <c r="AL321" s="16" t="str">
        <f t="shared" si="122"/>
        <v>-</v>
      </c>
      <c r="AM321" s="8"/>
      <c r="AN321" s="17" t="str">
        <f t="shared" si="123"/>
        <v xml:space="preserve"> </v>
      </c>
      <c r="AO321" s="17" t="str">
        <f t="shared" si="124"/>
        <v xml:space="preserve"> </v>
      </c>
      <c r="AP321" s="16" t="str">
        <f t="shared" si="125"/>
        <v>-</v>
      </c>
      <c r="AQ321" s="8"/>
      <c r="AR321" s="17" t="str">
        <f t="shared" si="126"/>
        <v>-</v>
      </c>
      <c r="AS321" s="17" t="str">
        <f t="shared" si="127"/>
        <v>-</v>
      </c>
      <c r="AT321" s="13" t="str">
        <f t="shared" si="128"/>
        <v>-</v>
      </c>
      <c r="AU321" s="8"/>
    </row>
    <row r="322" spans="1:47" ht="15" customHeight="1" x14ac:dyDescent="0.25">
      <c r="A322" s="31"/>
      <c r="B322" s="31"/>
      <c r="C322"/>
      <c r="D322" s="31"/>
      <c r="E322"/>
      <c r="F322" s="31"/>
      <c r="G322"/>
      <c r="H322" s="27">
        <f>IF($G322&lt;&gt;0,SUMIF(куб!$G:$G,$G322,куб!H:H),IF($E322&lt;&gt;0,SUMIF(куб!$E:$E,$E322,куб!H:H),IF($D322&lt;&gt;0,SUMIF(куб!$D:$D,$D322,куб!H:H),IF($C322&lt;&gt;0,SUMIF(куб!$C:$C,$C322,куб!H:H),IF($B322&lt;&gt;0,SUMIF(куб!$B:$B,$B322,куб!H:H),IF($G322&lt;&gt;0,SUMIF(куб!$A:$A,$G322,куб!H:H),SUMIF(куб!$A:$A,$G322,куб!H:H)))))))</f>
        <v>0</v>
      </c>
      <c r="I322" s="27">
        <f>IF($G322&lt;&gt;0,SUMIF(куб!$G:$G,$G322,куб!I:I),IF($E322&lt;&gt;0,SUMIF(куб!$E:$E,$E322,куб!I:I),IF($D322&lt;&gt;0,SUMIF(куб!$D:$D,$D322,куб!I:I),IF($C322&lt;&gt;0,SUMIF(куб!$C:$C,$C322,куб!I:I),IF($B322&lt;&gt;0,SUMIF(куб!$B:$B,$B322,куб!I:I),IF($G322&lt;&gt;0,SUMIF(куб!$A:$A,$G322,куб!I:I),SUMIF(куб!$A:$A,$G322,куб!I:I)))))))</f>
        <v>0</v>
      </c>
      <c r="J322" s="19" t="str">
        <f t="shared" si="111"/>
        <v>-</v>
      </c>
      <c r="K322" s="8"/>
      <c r="L322" s="17">
        <f t="shared" si="112"/>
        <v>0</v>
      </c>
      <c r="M322" s="17">
        <f t="shared" si="113"/>
        <v>0</v>
      </c>
      <c r="N322" s="12">
        <f t="shared" si="114"/>
        <v>0</v>
      </c>
      <c r="O322" s="5"/>
      <c r="P322" s="27" t="b">
        <f>IF($G322&lt;&gt;0,SUMIF(куб!$G:$G,$G322,куб!J:J),IF($E322&lt;&gt;0,SUMIF(куб!$E:$E,$E322,куб!J:J),IF($D322&lt;&gt;0,SUMIF(куб!$D:$D,$D322,куб!J:J),IF($C322&lt;&gt;0,SUMIF(куб!$C:$C,$C322,куб!J:J),IF($B322&lt;&gt;0,SUMIF(куб!$B:$B,$B322,куб!J:J))))))</f>
        <v>0</v>
      </c>
      <c r="Q322" s="27" t="b">
        <f>IF($G322&lt;&gt;0,SUMIF(куб!$G:$G,$G322,куб!K:K),IF($E322&lt;&gt;0,SUMIF(куб!$E:$E,$E322,куб!K:K),IF($D322&lt;&gt;0,SUMIF(куб!$D:$D,$D322,куб!K:K),IF($C322&lt;&gt;0,SUMIF(куб!$C:$C,$C322,куб!K:K),IF($B322&lt;&gt;0,SUMIF(куб!$B:$B,$B322,куб!K:K))))))</f>
        <v>0</v>
      </c>
      <c r="R322" s="13" t="str">
        <f t="shared" si="115"/>
        <v>-</v>
      </c>
      <c r="S322" s="5"/>
      <c r="T322" s="27" t="b">
        <f>IF($G322&lt;&gt;0,SUMIF(куб!$G:$G,$G322,куб!L:L),IF($E322&lt;&gt;0,SUMIF(куб!$E:$E,$E322,куб!L:L),IF($D322&lt;&gt;0,SUMIF(куб!$D:$D,$D322,куб!L:L),IF($C322&lt;&gt;0,SUMIF(куб!$C:$C,$C322,куб!L:L),IF($B322&lt;&gt;0,SUMIF(куб!$B:$B,$B322,куб!L:L))))))</f>
        <v>0</v>
      </c>
      <c r="U322" s="27" t="b">
        <f>IF($G322&lt;&gt;0,SUMIF(куб!$G:$G,$G322,куб!M:M),IF($E322&lt;&gt;0,SUMIF(куб!$E:$E,$E322,куб!M:M),IF($D322&lt;&gt;0,SUMIF(куб!$D:$D,$D322,куб!M:M),IF($C322&lt;&gt;0,SUMIF(куб!$C:$C,$C322,куб!M:M),IF($B322&lt;&gt;0,SUMIF(куб!$B:$B,$B322,куб!M:M))))))</f>
        <v>0</v>
      </c>
      <c r="V322" s="13" t="str">
        <f t="shared" si="116"/>
        <v>-</v>
      </c>
      <c r="W322" s="5"/>
      <c r="X322" s="27" t="b">
        <f>IF($G322&lt;&gt;0,SUMIF(куб!$G:$G,$G322,куб!N:N),IF($E322&lt;&gt;0,SUMIF(куб!$E:$E,$E322,куб!N:N),IF($D322&lt;&gt;0,SUMIF(куб!$D:$D,$D322,куб!N:N),IF($C322&lt;&gt;0,SUMIF(куб!$C:$C,$C322,куб!N:N),IF($B322&lt;&gt;0,SUMIF(куб!$B:$B,$B322,куб!N:N))))))</f>
        <v>0</v>
      </c>
      <c r="Y322" s="27" t="b">
        <f>IF($G322&lt;&gt;0,SUMIF(куб!$G:$G,$G322,куб!O:O),IF($E322&lt;&gt;0,SUMIF(куб!$E:$E,$E322,куб!O:O),IF($D322&lt;&gt;0,SUMIF(куб!$D:$D,$D322,куб!O:O),IF($C322&lt;&gt;0,SUMIF(куб!$C:$C,$C322,куб!O:O),IF($B322&lt;&gt;0,SUMIF(куб!$B:$B,$B322,куб!O:O))))))</f>
        <v>0</v>
      </c>
      <c r="Z322" s="13" t="str">
        <f t="shared" si="117"/>
        <v>-</v>
      </c>
      <c r="AA322" s="5"/>
      <c r="AB322" s="33" t="str">
        <f t="shared" si="118"/>
        <v/>
      </c>
      <c r="AC322" s="33" t="str">
        <f t="shared" si="119"/>
        <v/>
      </c>
      <c r="AD322" s="15" t="str">
        <f t="shared" si="120"/>
        <v xml:space="preserve"> </v>
      </c>
      <c r="AE322" s="5"/>
      <c r="AF322" s="27" t="b">
        <f>IF($G322&lt;&gt;0,SUMIF(куб!$G:$G,$G322,куб!R:R),IF($E322&lt;&gt;0,SUMIF(куб!$E:$E,$E322,куб!R:R),IF($D322&lt;&gt;0,SUMIF(куб!$D:$D,$D322,куб!R:R),IF($C322&lt;&gt;0,SUMIF(куб!$C:$C,$C322,куб!R:R),IF($B322&lt;&gt;0,SUMIF(куб!$B:$B,$B322,куб!R:R))))))</f>
        <v>0</v>
      </c>
      <c r="AG322" s="27" t="b">
        <f>IF($G322&lt;&gt;0,SUMIF(куб!$G:$G,$G322,куб!S:S),IF($E322&lt;&gt;0,SUMIF(куб!$E:$E,$E322,куб!S:S),IF($D322&lt;&gt;0,SUMIF(куб!$D:$D,$D322,куб!S:S),IF($C322&lt;&gt;0,SUMIF(куб!$C:$C,$C322,куб!S:S),IF($B322&lt;&gt;0,SUMIF(куб!$B:$B,$B322,куб!S:S))))))</f>
        <v>0</v>
      </c>
      <c r="AH322" s="16" t="str">
        <f t="shared" si="121"/>
        <v>-</v>
      </c>
      <c r="AI322" s="8"/>
      <c r="AJ322" s="27" t="b">
        <f>IF($G322&lt;&gt;0,SUMIF(куб!$G:$G,$G322,куб!T:T),IF($E322&lt;&gt;0,SUMIF(куб!$E:$E,$E322,куб!T:T),IF($D322&lt;&gt;0,SUMIF(куб!$D:$D,$D322,куб!T:T),IF($C322&lt;&gt;0,SUMIF(куб!$C:$C,$C322,куб!T:T),IF($B322&lt;&gt;0,SUMIF(куб!$B:$B,$B322,куб!T:T))))))</f>
        <v>0</v>
      </c>
      <c r="AK322" s="27" t="b">
        <f>IF($G322&lt;&gt;0,SUMIF(куб!$G:$G,$G322,куб!U:U),IF($E322&lt;&gt;0,SUMIF(куб!$E:$E,$E322,куб!U:U),IF($D322&lt;&gt;0,SUMIF(куб!$D:$D,$D322,куб!U:U),IF($C322&lt;&gt;0,SUMIF(куб!$C:$C,$C322,куб!U:U),IF($B322&lt;&gt;0,SUMIF(куб!$B:$B,$B322,куб!U:U))))))</f>
        <v>0</v>
      </c>
      <c r="AL322" s="16" t="str">
        <f t="shared" si="122"/>
        <v>-</v>
      </c>
      <c r="AM322" s="8"/>
      <c r="AN322" s="17" t="str">
        <f t="shared" si="123"/>
        <v xml:space="preserve"> </v>
      </c>
      <c r="AO322" s="17" t="str">
        <f t="shared" si="124"/>
        <v xml:space="preserve"> </v>
      </c>
      <c r="AP322" s="16" t="str">
        <f t="shared" si="125"/>
        <v>-</v>
      </c>
      <c r="AQ322" s="8"/>
      <c r="AR322" s="17" t="str">
        <f t="shared" si="126"/>
        <v>-</v>
      </c>
      <c r="AS322" s="17" t="str">
        <f t="shared" si="127"/>
        <v>-</v>
      </c>
      <c r="AT322" s="13" t="str">
        <f t="shared" si="128"/>
        <v>-</v>
      </c>
      <c r="AU322" s="8"/>
    </row>
    <row r="323" spans="1:47" ht="15" customHeight="1" x14ac:dyDescent="0.25">
      <c r="A323" s="31"/>
      <c r="B323" s="31"/>
      <c r="C323"/>
      <c r="D323" s="31"/>
      <c r="E323"/>
      <c r="F323" s="31"/>
      <c r="G323"/>
      <c r="H323" s="27">
        <f>IF($G323&lt;&gt;0,SUMIF(куб!$G:$G,$G323,куб!H:H),IF($E323&lt;&gt;0,SUMIF(куб!$E:$E,$E323,куб!H:H),IF($D323&lt;&gt;0,SUMIF(куб!$D:$D,$D323,куб!H:H),IF($C323&lt;&gt;0,SUMIF(куб!$C:$C,$C323,куб!H:H),IF($B323&lt;&gt;0,SUMIF(куб!$B:$B,$B323,куб!H:H),IF($G323&lt;&gt;0,SUMIF(куб!$A:$A,$G323,куб!H:H),SUMIF(куб!$A:$A,$G323,куб!H:H)))))))</f>
        <v>0</v>
      </c>
      <c r="I323" s="27">
        <f>IF($G323&lt;&gt;0,SUMIF(куб!$G:$G,$G323,куб!I:I),IF($E323&lt;&gt;0,SUMIF(куб!$E:$E,$E323,куб!I:I),IF($D323&lt;&gt;0,SUMIF(куб!$D:$D,$D323,куб!I:I),IF($C323&lt;&gt;0,SUMIF(куб!$C:$C,$C323,куб!I:I),IF($B323&lt;&gt;0,SUMIF(куб!$B:$B,$B323,куб!I:I),IF($G323&lt;&gt;0,SUMIF(куб!$A:$A,$G323,куб!I:I),SUMIF(куб!$A:$A,$G323,куб!I:I)))))))</f>
        <v>0</v>
      </c>
      <c r="J323" s="19" t="str">
        <f t="shared" si="111"/>
        <v>-</v>
      </c>
      <c r="K323" s="8"/>
      <c r="L323" s="17">
        <f t="shared" si="112"/>
        <v>0</v>
      </c>
      <c r="M323" s="17">
        <f t="shared" si="113"/>
        <v>0</v>
      </c>
      <c r="N323" s="12">
        <f t="shared" si="114"/>
        <v>0</v>
      </c>
      <c r="O323" s="5"/>
      <c r="P323" s="27" t="b">
        <f>IF($G323&lt;&gt;0,SUMIF(куб!$G:$G,$G323,куб!J:J),IF($E323&lt;&gt;0,SUMIF(куб!$E:$E,$E323,куб!J:J),IF($D323&lt;&gt;0,SUMIF(куб!$D:$D,$D323,куб!J:J),IF($C323&lt;&gt;0,SUMIF(куб!$C:$C,$C323,куб!J:J),IF($B323&lt;&gt;0,SUMIF(куб!$B:$B,$B323,куб!J:J))))))</f>
        <v>0</v>
      </c>
      <c r="Q323" s="27" t="b">
        <f>IF($G323&lt;&gt;0,SUMIF(куб!$G:$G,$G323,куб!K:K),IF($E323&lt;&gt;0,SUMIF(куб!$E:$E,$E323,куб!K:K),IF($D323&lt;&gt;0,SUMIF(куб!$D:$D,$D323,куб!K:K),IF($C323&lt;&gt;0,SUMIF(куб!$C:$C,$C323,куб!K:K),IF($B323&lt;&gt;0,SUMIF(куб!$B:$B,$B323,куб!K:K))))))</f>
        <v>0</v>
      </c>
      <c r="R323" s="13" t="str">
        <f t="shared" si="115"/>
        <v>-</v>
      </c>
      <c r="S323" s="5"/>
      <c r="T323" s="27" t="b">
        <f>IF($G323&lt;&gt;0,SUMIF(куб!$G:$G,$G323,куб!L:L),IF($E323&lt;&gt;0,SUMIF(куб!$E:$E,$E323,куб!L:L),IF($D323&lt;&gt;0,SUMIF(куб!$D:$D,$D323,куб!L:L),IF($C323&lt;&gt;0,SUMIF(куб!$C:$C,$C323,куб!L:L),IF($B323&lt;&gt;0,SUMIF(куб!$B:$B,$B323,куб!L:L))))))</f>
        <v>0</v>
      </c>
      <c r="U323" s="27" t="b">
        <f>IF($G323&lt;&gt;0,SUMIF(куб!$G:$G,$G323,куб!M:M),IF($E323&lt;&gt;0,SUMIF(куб!$E:$E,$E323,куб!M:M),IF($D323&lt;&gt;0,SUMIF(куб!$D:$D,$D323,куб!M:M),IF($C323&lt;&gt;0,SUMIF(куб!$C:$C,$C323,куб!M:M),IF($B323&lt;&gt;0,SUMIF(куб!$B:$B,$B323,куб!M:M))))))</f>
        <v>0</v>
      </c>
      <c r="V323" s="13" t="str">
        <f t="shared" si="116"/>
        <v>-</v>
      </c>
      <c r="W323" s="5"/>
      <c r="X323" s="27" t="b">
        <f>IF($G323&lt;&gt;0,SUMIF(куб!$G:$G,$G323,куб!N:N),IF($E323&lt;&gt;0,SUMIF(куб!$E:$E,$E323,куб!N:N),IF($D323&lt;&gt;0,SUMIF(куб!$D:$D,$D323,куб!N:N),IF($C323&lt;&gt;0,SUMIF(куб!$C:$C,$C323,куб!N:N),IF($B323&lt;&gt;0,SUMIF(куб!$B:$B,$B323,куб!N:N))))))</f>
        <v>0</v>
      </c>
      <c r="Y323" s="27" t="b">
        <f>IF($G323&lt;&gt;0,SUMIF(куб!$G:$G,$G323,куб!O:O),IF($E323&lt;&gt;0,SUMIF(куб!$E:$E,$E323,куб!O:O),IF($D323&lt;&gt;0,SUMIF(куб!$D:$D,$D323,куб!O:O),IF($C323&lt;&gt;0,SUMIF(куб!$C:$C,$C323,куб!O:O),IF($B323&lt;&gt;0,SUMIF(куб!$B:$B,$B323,куб!O:O))))))</f>
        <v>0</v>
      </c>
      <c r="Z323" s="13" t="str">
        <f t="shared" si="117"/>
        <v>-</v>
      </c>
      <c r="AA323" s="5"/>
      <c r="AB323" s="33" t="str">
        <f t="shared" si="118"/>
        <v/>
      </c>
      <c r="AC323" s="33" t="str">
        <f t="shared" si="119"/>
        <v/>
      </c>
      <c r="AD323" s="15" t="str">
        <f t="shared" si="120"/>
        <v xml:space="preserve"> </v>
      </c>
      <c r="AE323" s="5"/>
      <c r="AF323" s="27" t="b">
        <f>IF($G323&lt;&gt;0,SUMIF(куб!$G:$G,$G323,куб!R:R),IF($E323&lt;&gt;0,SUMIF(куб!$E:$E,$E323,куб!R:R),IF($D323&lt;&gt;0,SUMIF(куб!$D:$D,$D323,куб!R:R),IF($C323&lt;&gt;0,SUMIF(куб!$C:$C,$C323,куб!R:R),IF($B323&lt;&gt;0,SUMIF(куб!$B:$B,$B323,куб!R:R))))))</f>
        <v>0</v>
      </c>
      <c r="AG323" s="27" t="b">
        <f>IF($G323&lt;&gt;0,SUMIF(куб!$G:$G,$G323,куб!S:S),IF($E323&lt;&gt;0,SUMIF(куб!$E:$E,$E323,куб!S:S),IF($D323&lt;&gt;0,SUMIF(куб!$D:$D,$D323,куб!S:S),IF($C323&lt;&gt;0,SUMIF(куб!$C:$C,$C323,куб!S:S),IF($B323&lt;&gt;0,SUMIF(куб!$B:$B,$B323,куб!S:S))))))</f>
        <v>0</v>
      </c>
      <c r="AH323" s="16" t="str">
        <f t="shared" si="121"/>
        <v>-</v>
      </c>
      <c r="AI323" s="8"/>
      <c r="AJ323" s="27" t="b">
        <f>IF($G323&lt;&gt;0,SUMIF(куб!$G:$G,$G323,куб!T:T),IF($E323&lt;&gt;0,SUMIF(куб!$E:$E,$E323,куб!T:T),IF($D323&lt;&gt;0,SUMIF(куб!$D:$D,$D323,куб!T:T),IF($C323&lt;&gt;0,SUMIF(куб!$C:$C,$C323,куб!T:T),IF($B323&lt;&gt;0,SUMIF(куб!$B:$B,$B323,куб!T:T))))))</f>
        <v>0</v>
      </c>
      <c r="AK323" s="27" t="b">
        <f>IF($G323&lt;&gt;0,SUMIF(куб!$G:$G,$G323,куб!U:U),IF($E323&lt;&gt;0,SUMIF(куб!$E:$E,$E323,куб!U:U),IF($D323&lt;&gt;0,SUMIF(куб!$D:$D,$D323,куб!U:U),IF($C323&lt;&gt;0,SUMIF(куб!$C:$C,$C323,куб!U:U),IF($B323&lt;&gt;0,SUMIF(куб!$B:$B,$B323,куб!U:U))))))</f>
        <v>0</v>
      </c>
      <c r="AL323" s="16" t="str">
        <f t="shared" si="122"/>
        <v>-</v>
      </c>
      <c r="AM323" s="8"/>
      <c r="AN323" s="17" t="str">
        <f t="shared" si="123"/>
        <v xml:space="preserve"> </v>
      </c>
      <c r="AO323" s="17" t="str">
        <f t="shared" si="124"/>
        <v xml:space="preserve"> </v>
      </c>
      <c r="AP323" s="16" t="str">
        <f t="shared" si="125"/>
        <v>-</v>
      </c>
      <c r="AQ323" s="8"/>
      <c r="AR323" s="17" t="str">
        <f t="shared" si="126"/>
        <v>-</v>
      </c>
      <c r="AS323" s="17" t="str">
        <f t="shared" si="127"/>
        <v>-</v>
      </c>
      <c r="AT323" s="13" t="str">
        <f t="shared" si="128"/>
        <v>-</v>
      </c>
      <c r="AU323" s="8"/>
    </row>
    <row r="324" spans="1:47" ht="15" customHeight="1" x14ac:dyDescent="0.25">
      <c r="A324" s="31"/>
      <c r="B324" s="31"/>
      <c r="C324"/>
      <c r="D324" s="31"/>
      <c r="E324"/>
      <c r="F324" s="31"/>
      <c r="G324"/>
      <c r="H324" s="27">
        <f>IF($G324&lt;&gt;0,SUMIF(куб!$G:$G,$G324,куб!H:H),IF($E324&lt;&gt;0,SUMIF(куб!$E:$E,$E324,куб!H:H),IF($D324&lt;&gt;0,SUMIF(куб!$D:$D,$D324,куб!H:H),IF($C324&lt;&gt;0,SUMIF(куб!$C:$C,$C324,куб!H:H),IF($B324&lt;&gt;0,SUMIF(куб!$B:$B,$B324,куб!H:H),IF($G324&lt;&gt;0,SUMIF(куб!$A:$A,$G324,куб!H:H),SUMIF(куб!$A:$A,$G324,куб!H:H)))))))</f>
        <v>0</v>
      </c>
      <c r="I324" s="27">
        <f>IF($G324&lt;&gt;0,SUMIF(куб!$G:$G,$G324,куб!I:I),IF($E324&lt;&gt;0,SUMIF(куб!$E:$E,$E324,куб!I:I),IF($D324&lt;&gt;0,SUMIF(куб!$D:$D,$D324,куб!I:I),IF($C324&lt;&gt;0,SUMIF(куб!$C:$C,$C324,куб!I:I),IF($B324&lt;&gt;0,SUMIF(куб!$B:$B,$B324,куб!I:I),IF($G324&lt;&gt;0,SUMIF(куб!$A:$A,$G324,куб!I:I),SUMIF(куб!$A:$A,$G324,куб!I:I)))))))</f>
        <v>0</v>
      </c>
      <c r="J324" s="19" t="str">
        <f t="shared" si="111"/>
        <v>-</v>
      </c>
      <c r="K324" s="8"/>
      <c r="L324" s="17">
        <f t="shared" si="112"/>
        <v>0</v>
      </c>
      <c r="M324" s="17">
        <f t="shared" si="113"/>
        <v>0</v>
      </c>
      <c r="N324" s="12">
        <f t="shared" si="114"/>
        <v>0</v>
      </c>
      <c r="O324" s="5"/>
      <c r="P324" s="27" t="b">
        <f>IF($G324&lt;&gt;0,SUMIF(куб!$G:$G,$G324,куб!J:J),IF($E324&lt;&gt;0,SUMIF(куб!$E:$E,$E324,куб!J:J),IF($D324&lt;&gt;0,SUMIF(куб!$D:$D,$D324,куб!J:J),IF($C324&lt;&gt;0,SUMIF(куб!$C:$C,$C324,куб!J:J),IF($B324&lt;&gt;0,SUMIF(куб!$B:$B,$B324,куб!J:J))))))</f>
        <v>0</v>
      </c>
      <c r="Q324" s="27" t="b">
        <f>IF($G324&lt;&gt;0,SUMIF(куб!$G:$G,$G324,куб!K:K),IF($E324&lt;&gt;0,SUMIF(куб!$E:$E,$E324,куб!K:K),IF($D324&lt;&gt;0,SUMIF(куб!$D:$D,$D324,куб!K:K),IF($C324&lt;&gt;0,SUMIF(куб!$C:$C,$C324,куб!K:K),IF($B324&lt;&gt;0,SUMIF(куб!$B:$B,$B324,куб!K:K))))))</f>
        <v>0</v>
      </c>
      <c r="R324" s="13" t="str">
        <f t="shared" si="115"/>
        <v>-</v>
      </c>
      <c r="S324" s="5"/>
      <c r="T324" s="27" t="b">
        <f>IF($G324&lt;&gt;0,SUMIF(куб!$G:$G,$G324,куб!L:L),IF($E324&lt;&gt;0,SUMIF(куб!$E:$E,$E324,куб!L:L),IF($D324&lt;&gt;0,SUMIF(куб!$D:$D,$D324,куб!L:L),IF($C324&lt;&gt;0,SUMIF(куб!$C:$C,$C324,куб!L:L),IF($B324&lt;&gt;0,SUMIF(куб!$B:$B,$B324,куб!L:L))))))</f>
        <v>0</v>
      </c>
      <c r="U324" s="27" t="b">
        <f>IF($G324&lt;&gt;0,SUMIF(куб!$G:$G,$G324,куб!M:M),IF($E324&lt;&gt;0,SUMIF(куб!$E:$E,$E324,куб!M:M),IF($D324&lt;&gt;0,SUMIF(куб!$D:$D,$D324,куб!M:M),IF($C324&lt;&gt;0,SUMIF(куб!$C:$C,$C324,куб!M:M),IF($B324&lt;&gt;0,SUMIF(куб!$B:$B,$B324,куб!M:M))))))</f>
        <v>0</v>
      </c>
      <c r="V324" s="13" t="str">
        <f t="shared" si="116"/>
        <v>-</v>
      </c>
      <c r="W324" s="5"/>
      <c r="X324" s="27" t="b">
        <f>IF($G324&lt;&gt;0,SUMIF(куб!$G:$G,$G324,куб!N:N),IF($E324&lt;&gt;0,SUMIF(куб!$E:$E,$E324,куб!N:N),IF($D324&lt;&gt;0,SUMIF(куб!$D:$D,$D324,куб!N:N),IF($C324&lt;&gt;0,SUMIF(куб!$C:$C,$C324,куб!N:N),IF($B324&lt;&gt;0,SUMIF(куб!$B:$B,$B324,куб!N:N))))))</f>
        <v>0</v>
      </c>
      <c r="Y324" s="27" t="b">
        <f>IF($G324&lt;&gt;0,SUMIF(куб!$G:$G,$G324,куб!O:O),IF($E324&lt;&gt;0,SUMIF(куб!$E:$E,$E324,куб!O:O),IF($D324&lt;&gt;0,SUMIF(куб!$D:$D,$D324,куб!O:O),IF($C324&lt;&gt;0,SUMIF(куб!$C:$C,$C324,куб!O:O),IF($B324&lt;&gt;0,SUMIF(куб!$B:$B,$B324,куб!O:O))))))</f>
        <v>0</v>
      </c>
      <c r="Z324" s="13" t="str">
        <f t="shared" si="117"/>
        <v>-</v>
      </c>
      <c r="AA324" s="5"/>
      <c r="AB324" s="33" t="str">
        <f t="shared" si="118"/>
        <v/>
      </c>
      <c r="AC324" s="33" t="str">
        <f t="shared" si="119"/>
        <v/>
      </c>
      <c r="AD324" s="15" t="str">
        <f t="shared" si="120"/>
        <v xml:space="preserve"> </v>
      </c>
      <c r="AE324" s="5"/>
      <c r="AF324" s="27" t="b">
        <f>IF($G324&lt;&gt;0,SUMIF(куб!$G:$G,$G324,куб!R:R),IF($E324&lt;&gt;0,SUMIF(куб!$E:$E,$E324,куб!R:R),IF($D324&lt;&gt;0,SUMIF(куб!$D:$D,$D324,куб!R:R),IF($C324&lt;&gt;0,SUMIF(куб!$C:$C,$C324,куб!R:R),IF($B324&lt;&gt;0,SUMIF(куб!$B:$B,$B324,куб!R:R))))))</f>
        <v>0</v>
      </c>
      <c r="AG324" s="27" t="b">
        <f>IF($G324&lt;&gt;0,SUMIF(куб!$G:$G,$G324,куб!S:S),IF($E324&lt;&gt;0,SUMIF(куб!$E:$E,$E324,куб!S:S),IF($D324&lt;&gt;0,SUMIF(куб!$D:$D,$D324,куб!S:S),IF($C324&lt;&gt;0,SUMIF(куб!$C:$C,$C324,куб!S:S),IF($B324&lt;&gt;0,SUMIF(куб!$B:$B,$B324,куб!S:S))))))</f>
        <v>0</v>
      </c>
      <c r="AH324" s="16" t="str">
        <f t="shared" si="121"/>
        <v>-</v>
      </c>
      <c r="AI324" s="8"/>
      <c r="AJ324" s="27" t="b">
        <f>IF($G324&lt;&gt;0,SUMIF(куб!$G:$G,$G324,куб!T:T),IF($E324&lt;&gt;0,SUMIF(куб!$E:$E,$E324,куб!T:T),IF($D324&lt;&gt;0,SUMIF(куб!$D:$D,$D324,куб!T:T),IF($C324&lt;&gt;0,SUMIF(куб!$C:$C,$C324,куб!T:T),IF($B324&lt;&gt;0,SUMIF(куб!$B:$B,$B324,куб!T:T))))))</f>
        <v>0</v>
      </c>
      <c r="AK324" s="27" t="b">
        <f>IF($G324&lt;&gt;0,SUMIF(куб!$G:$G,$G324,куб!U:U),IF($E324&lt;&gt;0,SUMIF(куб!$E:$E,$E324,куб!U:U),IF($D324&lt;&gt;0,SUMIF(куб!$D:$D,$D324,куб!U:U),IF($C324&lt;&gt;0,SUMIF(куб!$C:$C,$C324,куб!U:U),IF($B324&lt;&gt;0,SUMIF(куб!$B:$B,$B324,куб!U:U))))))</f>
        <v>0</v>
      </c>
      <c r="AL324" s="16" t="str">
        <f t="shared" si="122"/>
        <v>-</v>
      </c>
      <c r="AM324" s="8"/>
      <c r="AN324" s="17" t="str">
        <f t="shared" si="123"/>
        <v xml:space="preserve"> </v>
      </c>
      <c r="AO324" s="17" t="str">
        <f t="shared" si="124"/>
        <v xml:space="preserve"> </v>
      </c>
      <c r="AP324" s="16" t="str">
        <f t="shared" si="125"/>
        <v>-</v>
      </c>
      <c r="AQ324" s="8"/>
      <c r="AR324" s="17" t="str">
        <f t="shared" si="126"/>
        <v>-</v>
      </c>
      <c r="AS324" s="17" t="str">
        <f t="shared" si="127"/>
        <v>-</v>
      </c>
      <c r="AT324" s="13" t="str">
        <f t="shared" si="128"/>
        <v>-</v>
      </c>
      <c r="AU324" s="8"/>
    </row>
    <row r="325" spans="1:47" ht="15" customHeight="1" x14ac:dyDescent="0.25">
      <c r="A325" s="31"/>
      <c r="B325" s="31"/>
      <c r="C325"/>
      <c r="D325" s="31"/>
      <c r="E325"/>
      <c r="F325" s="31"/>
      <c r="G325"/>
      <c r="H325" s="27">
        <f>IF($G325&lt;&gt;0,SUMIF(куб!$G:$G,$G325,куб!H:H),IF($E325&lt;&gt;0,SUMIF(куб!$E:$E,$E325,куб!H:H),IF($D325&lt;&gt;0,SUMIF(куб!$D:$D,$D325,куб!H:H),IF($C325&lt;&gt;0,SUMIF(куб!$C:$C,$C325,куб!H:H),IF($B325&lt;&gt;0,SUMIF(куб!$B:$B,$B325,куб!H:H),IF($G325&lt;&gt;0,SUMIF(куб!$A:$A,$G325,куб!H:H),SUMIF(куб!$A:$A,$G325,куб!H:H)))))))</f>
        <v>0</v>
      </c>
      <c r="I325" s="27">
        <f>IF($G325&lt;&gt;0,SUMIF(куб!$G:$G,$G325,куб!I:I),IF($E325&lt;&gt;0,SUMIF(куб!$E:$E,$E325,куб!I:I),IF($D325&lt;&gt;0,SUMIF(куб!$D:$D,$D325,куб!I:I),IF($C325&lt;&gt;0,SUMIF(куб!$C:$C,$C325,куб!I:I),IF($B325&lt;&gt;0,SUMIF(куб!$B:$B,$B325,куб!I:I),IF($G325&lt;&gt;0,SUMIF(куб!$A:$A,$G325,куб!I:I),SUMIF(куб!$A:$A,$G325,куб!I:I)))))))</f>
        <v>0</v>
      </c>
      <c r="J325" s="19" t="str">
        <f t="shared" si="111"/>
        <v>-</v>
      </c>
      <c r="K325" s="8"/>
      <c r="L325" s="17">
        <f t="shared" si="112"/>
        <v>0</v>
      </c>
      <c r="M325" s="17">
        <f t="shared" si="113"/>
        <v>0</v>
      </c>
      <c r="N325" s="12">
        <f t="shared" si="114"/>
        <v>0</v>
      </c>
      <c r="O325" s="5"/>
      <c r="P325" s="27" t="b">
        <f>IF($G325&lt;&gt;0,SUMIF(куб!$G:$G,$G325,куб!J:J),IF($E325&lt;&gt;0,SUMIF(куб!$E:$E,$E325,куб!J:J),IF($D325&lt;&gt;0,SUMIF(куб!$D:$D,$D325,куб!J:J),IF($C325&lt;&gt;0,SUMIF(куб!$C:$C,$C325,куб!J:J),IF($B325&lt;&gt;0,SUMIF(куб!$B:$B,$B325,куб!J:J))))))</f>
        <v>0</v>
      </c>
      <c r="Q325" s="27" t="b">
        <f>IF($G325&lt;&gt;0,SUMIF(куб!$G:$G,$G325,куб!K:K),IF($E325&lt;&gt;0,SUMIF(куб!$E:$E,$E325,куб!K:K),IF($D325&lt;&gt;0,SUMIF(куб!$D:$D,$D325,куб!K:K),IF($C325&lt;&gt;0,SUMIF(куб!$C:$C,$C325,куб!K:K),IF($B325&lt;&gt;0,SUMIF(куб!$B:$B,$B325,куб!K:K))))))</f>
        <v>0</v>
      </c>
      <c r="R325" s="13" t="str">
        <f t="shared" si="115"/>
        <v>-</v>
      </c>
      <c r="S325" s="5"/>
      <c r="T325" s="27" t="b">
        <f>IF($G325&lt;&gt;0,SUMIF(куб!$G:$G,$G325,куб!L:L),IF($E325&lt;&gt;0,SUMIF(куб!$E:$E,$E325,куб!L:L),IF($D325&lt;&gt;0,SUMIF(куб!$D:$D,$D325,куб!L:L),IF($C325&lt;&gt;0,SUMIF(куб!$C:$C,$C325,куб!L:L),IF($B325&lt;&gt;0,SUMIF(куб!$B:$B,$B325,куб!L:L))))))</f>
        <v>0</v>
      </c>
      <c r="U325" s="27" t="b">
        <f>IF($G325&lt;&gt;0,SUMIF(куб!$G:$G,$G325,куб!M:M),IF($E325&lt;&gt;0,SUMIF(куб!$E:$E,$E325,куб!M:M),IF($D325&lt;&gt;0,SUMIF(куб!$D:$D,$D325,куб!M:M),IF($C325&lt;&gt;0,SUMIF(куб!$C:$C,$C325,куб!M:M),IF($B325&lt;&gt;0,SUMIF(куб!$B:$B,$B325,куб!M:M))))))</f>
        <v>0</v>
      </c>
      <c r="V325" s="13" t="str">
        <f t="shared" si="116"/>
        <v>-</v>
      </c>
      <c r="W325" s="5"/>
      <c r="X325" s="27" t="b">
        <f>IF($G325&lt;&gt;0,SUMIF(куб!$G:$G,$G325,куб!N:N),IF($E325&lt;&gt;0,SUMIF(куб!$E:$E,$E325,куб!N:N),IF($D325&lt;&gt;0,SUMIF(куб!$D:$D,$D325,куб!N:N),IF($C325&lt;&gt;0,SUMIF(куб!$C:$C,$C325,куб!N:N),IF($B325&lt;&gt;0,SUMIF(куб!$B:$B,$B325,куб!N:N))))))</f>
        <v>0</v>
      </c>
      <c r="Y325" s="27" t="b">
        <f>IF($G325&lt;&gt;0,SUMIF(куб!$G:$G,$G325,куб!O:O),IF($E325&lt;&gt;0,SUMIF(куб!$E:$E,$E325,куб!O:O),IF($D325&lt;&gt;0,SUMIF(куб!$D:$D,$D325,куб!O:O),IF($C325&lt;&gt;0,SUMIF(куб!$C:$C,$C325,куб!O:O),IF($B325&lt;&gt;0,SUMIF(куб!$B:$B,$B325,куб!O:O))))))</f>
        <v>0</v>
      </c>
      <c r="Z325" s="13" t="str">
        <f t="shared" si="117"/>
        <v>-</v>
      </c>
      <c r="AA325" s="5"/>
      <c r="AB325" s="33" t="str">
        <f t="shared" si="118"/>
        <v/>
      </c>
      <c r="AC325" s="33" t="str">
        <f t="shared" si="119"/>
        <v/>
      </c>
      <c r="AD325" s="15" t="str">
        <f t="shared" si="120"/>
        <v xml:space="preserve"> </v>
      </c>
      <c r="AE325" s="5"/>
      <c r="AF325" s="27" t="b">
        <f>IF($G325&lt;&gt;0,SUMIF(куб!$G:$G,$G325,куб!R:R),IF($E325&lt;&gt;0,SUMIF(куб!$E:$E,$E325,куб!R:R),IF($D325&lt;&gt;0,SUMIF(куб!$D:$D,$D325,куб!R:R),IF($C325&lt;&gt;0,SUMIF(куб!$C:$C,$C325,куб!R:R),IF($B325&lt;&gt;0,SUMIF(куб!$B:$B,$B325,куб!R:R))))))</f>
        <v>0</v>
      </c>
      <c r="AG325" s="27" t="b">
        <f>IF($G325&lt;&gt;0,SUMIF(куб!$G:$G,$G325,куб!S:S),IF($E325&lt;&gt;0,SUMIF(куб!$E:$E,$E325,куб!S:S),IF($D325&lt;&gt;0,SUMIF(куб!$D:$D,$D325,куб!S:S),IF($C325&lt;&gt;0,SUMIF(куб!$C:$C,$C325,куб!S:S),IF($B325&lt;&gt;0,SUMIF(куб!$B:$B,$B325,куб!S:S))))))</f>
        <v>0</v>
      </c>
      <c r="AH325" s="16" t="str">
        <f t="shared" si="121"/>
        <v>-</v>
      </c>
      <c r="AI325" s="8"/>
      <c r="AJ325" s="27" t="b">
        <f>IF($G325&lt;&gt;0,SUMIF(куб!$G:$G,$G325,куб!T:T),IF($E325&lt;&gt;0,SUMIF(куб!$E:$E,$E325,куб!T:T),IF($D325&lt;&gt;0,SUMIF(куб!$D:$D,$D325,куб!T:T),IF($C325&lt;&gt;0,SUMIF(куб!$C:$C,$C325,куб!T:T),IF($B325&lt;&gt;0,SUMIF(куб!$B:$B,$B325,куб!T:T))))))</f>
        <v>0</v>
      </c>
      <c r="AK325" s="27" t="b">
        <f>IF($G325&lt;&gt;0,SUMIF(куб!$G:$G,$G325,куб!U:U),IF($E325&lt;&gt;0,SUMIF(куб!$E:$E,$E325,куб!U:U),IF($D325&lt;&gt;0,SUMIF(куб!$D:$D,$D325,куб!U:U),IF($C325&lt;&gt;0,SUMIF(куб!$C:$C,$C325,куб!U:U),IF($B325&lt;&gt;0,SUMIF(куб!$B:$B,$B325,куб!U:U))))))</f>
        <v>0</v>
      </c>
      <c r="AL325" s="16" t="str">
        <f t="shared" si="122"/>
        <v>-</v>
      </c>
      <c r="AM325" s="8"/>
      <c r="AN325" s="17" t="str">
        <f t="shared" si="123"/>
        <v xml:space="preserve"> </v>
      </c>
      <c r="AO325" s="17" t="str">
        <f t="shared" si="124"/>
        <v xml:space="preserve"> </v>
      </c>
      <c r="AP325" s="16" t="str">
        <f t="shared" si="125"/>
        <v>-</v>
      </c>
      <c r="AQ325" s="8"/>
      <c r="AR325" s="17" t="str">
        <f t="shared" si="126"/>
        <v>-</v>
      </c>
      <c r="AS325" s="17" t="str">
        <f t="shared" si="127"/>
        <v>-</v>
      </c>
      <c r="AT325" s="13" t="str">
        <f t="shared" si="128"/>
        <v>-</v>
      </c>
      <c r="AU325" s="8"/>
    </row>
    <row r="326" spans="1:47" ht="15" customHeight="1" x14ac:dyDescent="0.25">
      <c r="A326" s="31"/>
      <c r="B326" s="31"/>
      <c r="C326"/>
      <c r="D326" s="31"/>
      <c r="E326"/>
      <c r="F326"/>
      <c r="G326"/>
      <c r="H326" s="27">
        <f>IF($G326&lt;&gt;0,SUMIF(куб!$G:$G,$G326,куб!H:H),IF($E326&lt;&gt;0,SUMIF(куб!$E:$E,$E326,куб!H:H),IF($D326&lt;&gt;0,SUMIF(куб!$D:$D,$D326,куб!H:H),IF($C326&lt;&gt;0,SUMIF(куб!$C:$C,$C326,куб!H:H),IF($B326&lt;&gt;0,SUMIF(куб!$B:$B,$B326,куб!H:H),IF($G326&lt;&gt;0,SUMIF(куб!$A:$A,$G326,куб!H:H),SUMIF(куб!$A:$A,$G326,куб!H:H)))))))</f>
        <v>0</v>
      </c>
      <c r="I326" s="27">
        <f>IF($G326&lt;&gt;0,SUMIF(куб!$G:$G,$G326,куб!I:I),IF($E326&lt;&gt;0,SUMIF(куб!$E:$E,$E326,куб!I:I),IF($D326&lt;&gt;0,SUMIF(куб!$D:$D,$D326,куб!I:I),IF($C326&lt;&gt;0,SUMIF(куб!$C:$C,$C326,куб!I:I),IF($B326&lt;&gt;0,SUMIF(куб!$B:$B,$B326,куб!I:I),IF($G326&lt;&gt;0,SUMIF(куб!$A:$A,$G326,куб!I:I),SUMIF(куб!$A:$A,$G326,куб!I:I)))))))</f>
        <v>0</v>
      </c>
      <c r="J326" s="19" t="str">
        <f t="shared" si="111"/>
        <v>-</v>
      </c>
      <c r="K326" s="8"/>
      <c r="L326" s="17">
        <f t="shared" si="112"/>
        <v>0</v>
      </c>
      <c r="M326" s="17">
        <f t="shared" si="113"/>
        <v>0</v>
      </c>
      <c r="N326" s="12">
        <f t="shared" si="114"/>
        <v>0</v>
      </c>
      <c r="O326" s="5"/>
      <c r="P326" s="27" t="b">
        <f>IF($G326&lt;&gt;0,SUMIF(куб!$G:$G,$G326,куб!J:J),IF($E326&lt;&gt;0,SUMIF(куб!$E:$E,$E326,куб!J:J),IF($D326&lt;&gt;0,SUMIF(куб!$D:$D,$D326,куб!J:J),IF($C326&lt;&gt;0,SUMIF(куб!$C:$C,$C326,куб!J:J),IF($B326&lt;&gt;0,SUMIF(куб!$B:$B,$B326,куб!J:J))))))</f>
        <v>0</v>
      </c>
      <c r="Q326" s="27" t="b">
        <f>IF($G326&lt;&gt;0,SUMIF(куб!$G:$G,$G326,куб!K:K),IF($E326&lt;&gt;0,SUMIF(куб!$E:$E,$E326,куб!K:K),IF($D326&lt;&gt;0,SUMIF(куб!$D:$D,$D326,куб!K:K),IF($C326&lt;&gt;0,SUMIF(куб!$C:$C,$C326,куб!K:K),IF($B326&lt;&gt;0,SUMIF(куб!$B:$B,$B326,куб!K:K))))))</f>
        <v>0</v>
      </c>
      <c r="R326" s="13" t="str">
        <f t="shared" si="115"/>
        <v>-</v>
      </c>
      <c r="S326" s="5"/>
      <c r="T326" s="27" t="b">
        <f>IF($G326&lt;&gt;0,SUMIF(куб!$G:$G,$G326,куб!L:L),IF($E326&lt;&gt;0,SUMIF(куб!$E:$E,$E326,куб!L:L),IF($D326&lt;&gt;0,SUMIF(куб!$D:$D,$D326,куб!L:L),IF($C326&lt;&gt;0,SUMIF(куб!$C:$C,$C326,куб!L:L),IF($B326&lt;&gt;0,SUMIF(куб!$B:$B,$B326,куб!L:L))))))</f>
        <v>0</v>
      </c>
      <c r="U326" s="27" t="b">
        <f>IF($G326&lt;&gt;0,SUMIF(куб!$G:$G,$G326,куб!M:M),IF($E326&lt;&gt;0,SUMIF(куб!$E:$E,$E326,куб!M:M),IF($D326&lt;&gt;0,SUMIF(куб!$D:$D,$D326,куб!M:M),IF($C326&lt;&gt;0,SUMIF(куб!$C:$C,$C326,куб!M:M),IF($B326&lt;&gt;0,SUMIF(куб!$B:$B,$B326,куб!M:M))))))</f>
        <v>0</v>
      </c>
      <c r="V326" s="13" t="str">
        <f t="shared" si="116"/>
        <v>-</v>
      </c>
      <c r="W326" s="5"/>
      <c r="X326" s="27" t="b">
        <f>IF($G326&lt;&gt;0,SUMIF(куб!$G:$G,$G326,куб!N:N),IF($E326&lt;&gt;0,SUMIF(куб!$E:$E,$E326,куб!N:N),IF($D326&lt;&gt;0,SUMIF(куб!$D:$D,$D326,куб!N:N),IF($C326&lt;&gt;0,SUMIF(куб!$C:$C,$C326,куб!N:N),IF($B326&lt;&gt;0,SUMIF(куб!$B:$B,$B326,куб!N:N))))))</f>
        <v>0</v>
      </c>
      <c r="Y326" s="27" t="b">
        <f>IF($G326&lt;&gt;0,SUMIF(куб!$G:$G,$G326,куб!O:O),IF($E326&lt;&gt;0,SUMIF(куб!$E:$E,$E326,куб!O:O),IF($D326&lt;&gt;0,SUMIF(куб!$D:$D,$D326,куб!O:O),IF($C326&lt;&gt;0,SUMIF(куб!$C:$C,$C326,куб!O:O),IF($B326&lt;&gt;0,SUMIF(куб!$B:$B,$B326,куб!O:O))))))</f>
        <v>0</v>
      </c>
      <c r="Z326" s="13" t="str">
        <f t="shared" si="117"/>
        <v>-</v>
      </c>
      <c r="AA326" s="5"/>
      <c r="AB326" s="33" t="str">
        <f t="shared" si="118"/>
        <v/>
      </c>
      <c r="AC326" s="33" t="str">
        <f t="shared" si="119"/>
        <v/>
      </c>
      <c r="AD326" s="15" t="str">
        <f t="shared" si="120"/>
        <v xml:space="preserve"> </v>
      </c>
      <c r="AE326" s="5"/>
      <c r="AF326" s="27" t="b">
        <f>IF($G326&lt;&gt;0,SUMIF(куб!$G:$G,$G326,куб!R:R),IF($E326&lt;&gt;0,SUMIF(куб!$E:$E,$E326,куб!R:R),IF($D326&lt;&gt;0,SUMIF(куб!$D:$D,$D326,куб!R:R),IF($C326&lt;&gt;0,SUMIF(куб!$C:$C,$C326,куб!R:R),IF($B326&lt;&gt;0,SUMIF(куб!$B:$B,$B326,куб!R:R))))))</f>
        <v>0</v>
      </c>
      <c r="AG326" s="27" t="b">
        <f>IF($G326&lt;&gt;0,SUMIF(куб!$G:$G,$G326,куб!S:S),IF($E326&lt;&gt;0,SUMIF(куб!$E:$E,$E326,куб!S:S),IF($D326&lt;&gt;0,SUMIF(куб!$D:$D,$D326,куб!S:S),IF($C326&lt;&gt;0,SUMIF(куб!$C:$C,$C326,куб!S:S),IF($B326&lt;&gt;0,SUMIF(куб!$B:$B,$B326,куб!S:S))))))</f>
        <v>0</v>
      </c>
      <c r="AH326" s="16" t="str">
        <f t="shared" si="121"/>
        <v>-</v>
      </c>
      <c r="AI326" s="8"/>
      <c r="AJ326" s="27" t="b">
        <f>IF($G326&lt;&gt;0,SUMIF(куб!$G:$G,$G326,куб!T:T),IF($E326&lt;&gt;0,SUMIF(куб!$E:$E,$E326,куб!T:T),IF($D326&lt;&gt;0,SUMIF(куб!$D:$D,$D326,куб!T:T),IF($C326&lt;&gt;0,SUMIF(куб!$C:$C,$C326,куб!T:T),IF($B326&lt;&gt;0,SUMIF(куб!$B:$B,$B326,куб!T:T))))))</f>
        <v>0</v>
      </c>
      <c r="AK326" s="27" t="b">
        <f>IF($G326&lt;&gt;0,SUMIF(куб!$G:$G,$G326,куб!U:U),IF($E326&lt;&gt;0,SUMIF(куб!$E:$E,$E326,куб!U:U),IF($D326&lt;&gt;0,SUMIF(куб!$D:$D,$D326,куб!U:U),IF($C326&lt;&gt;0,SUMIF(куб!$C:$C,$C326,куб!U:U),IF($B326&lt;&gt;0,SUMIF(куб!$B:$B,$B326,куб!U:U))))))</f>
        <v>0</v>
      </c>
      <c r="AL326" s="16" t="str">
        <f t="shared" si="122"/>
        <v>-</v>
      </c>
      <c r="AM326" s="8"/>
      <c r="AN326" s="17" t="str">
        <f t="shared" si="123"/>
        <v xml:space="preserve"> </v>
      </c>
      <c r="AO326" s="17" t="str">
        <f t="shared" si="124"/>
        <v xml:space="preserve"> </v>
      </c>
      <c r="AP326" s="16" t="str">
        <f t="shared" si="125"/>
        <v>-</v>
      </c>
      <c r="AQ326" s="8"/>
      <c r="AR326" s="17" t="str">
        <f t="shared" si="126"/>
        <v>-</v>
      </c>
      <c r="AS326" s="17" t="str">
        <f t="shared" si="127"/>
        <v>-</v>
      </c>
      <c r="AT326" s="13" t="str">
        <f t="shared" si="128"/>
        <v>-</v>
      </c>
      <c r="AU326" s="8"/>
    </row>
    <row r="327" spans="1:47" ht="15" customHeight="1" x14ac:dyDescent="0.25">
      <c r="A327" s="31"/>
      <c r="B327" s="31"/>
      <c r="C327"/>
      <c r="D327" s="31"/>
      <c r="E327" s="31"/>
      <c r="F327" s="31"/>
      <c r="G327" s="31"/>
      <c r="H327" s="27">
        <f>IF($G327&lt;&gt;0,SUMIF(куб!$G:$G,$G327,куб!H:H),IF($E327&lt;&gt;0,SUMIF(куб!$E:$E,$E327,куб!H:H),IF($D327&lt;&gt;0,SUMIF(куб!$D:$D,$D327,куб!H:H),IF($C327&lt;&gt;0,SUMIF(куб!$C:$C,$C327,куб!H:H),IF($B327&lt;&gt;0,SUMIF(куб!$B:$B,$B327,куб!H:H),IF($G327&lt;&gt;0,SUMIF(куб!$A:$A,$G327,куб!H:H),SUMIF(куб!$A:$A,$G327,куб!H:H)))))))</f>
        <v>0</v>
      </c>
      <c r="I327" s="27">
        <f>IF($G327&lt;&gt;0,SUMIF(куб!$G:$G,$G327,куб!I:I),IF($E327&lt;&gt;0,SUMIF(куб!$E:$E,$E327,куб!I:I),IF($D327&lt;&gt;0,SUMIF(куб!$D:$D,$D327,куб!I:I),IF($C327&lt;&gt;0,SUMIF(куб!$C:$C,$C327,куб!I:I),IF($B327&lt;&gt;0,SUMIF(куб!$B:$B,$B327,куб!I:I),IF($G327&lt;&gt;0,SUMIF(куб!$A:$A,$G327,куб!I:I),SUMIF(куб!$A:$A,$G327,куб!I:I)))))))</f>
        <v>0</v>
      </c>
      <c r="J327" s="19" t="str">
        <f t="shared" si="111"/>
        <v>-</v>
      </c>
      <c r="K327" s="8"/>
      <c r="L327" s="17">
        <f t="shared" si="112"/>
        <v>0</v>
      </c>
      <c r="M327" s="17">
        <f t="shared" si="113"/>
        <v>0</v>
      </c>
      <c r="N327" s="12">
        <f t="shared" si="114"/>
        <v>0</v>
      </c>
      <c r="O327" s="5"/>
      <c r="P327" s="27" t="b">
        <f>IF($G327&lt;&gt;0,SUMIF(куб!$G:$G,$G327,куб!J:J),IF($E327&lt;&gt;0,SUMIF(куб!$E:$E,$E327,куб!J:J),IF($D327&lt;&gt;0,SUMIF(куб!$D:$D,$D327,куб!J:J),IF($C327&lt;&gt;0,SUMIF(куб!$C:$C,$C327,куб!J:J),IF($B327&lt;&gt;0,SUMIF(куб!$B:$B,$B327,куб!J:J))))))</f>
        <v>0</v>
      </c>
      <c r="Q327" s="27" t="b">
        <f>IF($G327&lt;&gt;0,SUMIF(куб!$G:$G,$G327,куб!K:K),IF($E327&lt;&gt;0,SUMIF(куб!$E:$E,$E327,куб!K:K),IF($D327&lt;&gt;0,SUMIF(куб!$D:$D,$D327,куб!K:K),IF($C327&lt;&gt;0,SUMIF(куб!$C:$C,$C327,куб!K:K),IF($B327&lt;&gt;0,SUMIF(куб!$B:$B,$B327,куб!K:K))))))</f>
        <v>0</v>
      </c>
      <c r="R327" s="13" t="str">
        <f t="shared" si="115"/>
        <v>-</v>
      </c>
      <c r="S327" s="5"/>
      <c r="T327" s="27" t="b">
        <f>IF($G327&lt;&gt;0,SUMIF(куб!$G:$G,$G327,куб!L:L),IF($E327&lt;&gt;0,SUMIF(куб!$E:$E,$E327,куб!L:L),IF($D327&lt;&gt;0,SUMIF(куб!$D:$D,$D327,куб!L:L),IF($C327&lt;&gt;0,SUMIF(куб!$C:$C,$C327,куб!L:L),IF($B327&lt;&gt;0,SUMIF(куб!$B:$B,$B327,куб!L:L))))))</f>
        <v>0</v>
      </c>
      <c r="U327" s="27" t="b">
        <f>IF($G327&lt;&gt;0,SUMIF(куб!$G:$G,$G327,куб!M:M),IF($E327&lt;&gt;0,SUMIF(куб!$E:$E,$E327,куб!M:M),IF($D327&lt;&gt;0,SUMIF(куб!$D:$D,$D327,куб!M:M),IF($C327&lt;&gt;0,SUMIF(куб!$C:$C,$C327,куб!M:M),IF($B327&lt;&gt;0,SUMIF(куб!$B:$B,$B327,куб!M:M))))))</f>
        <v>0</v>
      </c>
      <c r="V327" s="13" t="str">
        <f t="shared" si="116"/>
        <v>-</v>
      </c>
      <c r="W327" s="5"/>
      <c r="X327" s="27" t="b">
        <f>IF($G327&lt;&gt;0,SUMIF(куб!$G:$G,$G327,куб!N:N),IF($E327&lt;&gt;0,SUMIF(куб!$E:$E,$E327,куб!N:N),IF($D327&lt;&gt;0,SUMIF(куб!$D:$D,$D327,куб!N:N),IF($C327&lt;&gt;0,SUMIF(куб!$C:$C,$C327,куб!N:N),IF($B327&lt;&gt;0,SUMIF(куб!$B:$B,$B327,куб!N:N))))))</f>
        <v>0</v>
      </c>
      <c r="Y327" s="27" t="b">
        <f>IF($G327&lt;&gt;0,SUMIF(куб!$G:$G,$G327,куб!O:O),IF($E327&lt;&gt;0,SUMIF(куб!$E:$E,$E327,куб!O:O),IF($D327&lt;&gt;0,SUMIF(куб!$D:$D,$D327,куб!O:O),IF($C327&lt;&gt;0,SUMIF(куб!$C:$C,$C327,куб!O:O),IF($B327&lt;&gt;0,SUMIF(куб!$B:$B,$B327,куб!O:O))))))</f>
        <v>0</v>
      </c>
      <c r="Z327" s="13" t="str">
        <f t="shared" si="117"/>
        <v>-</v>
      </c>
      <c r="AA327" s="5"/>
      <c r="AB327" s="33" t="str">
        <f t="shared" si="118"/>
        <v/>
      </c>
      <c r="AC327" s="33" t="str">
        <f t="shared" si="119"/>
        <v/>
      </c>
      <c r="AD327" s="15" t="str">
        <f t="shared" si="120"/>
        <v xml:space="preserve"> </v>
      </c>
      <c r="AE327" s="5"/>
      <c r="AF327" s="27" t="b">
        <f>IF($G327&lt;&gt;0,SUMIF(куб!$G:$G,$G327,куб!R:R),IF($E327&lt;&gt;0,SUMIF(куб!$E:$E,$E327,куб!R:R),IF($D327&lt;&gt;0,SUMIF(куб!$D:$D,$D327,куб!R:R),IF($C327&lt;&gt;0,SUMIF(куб!$C:$C,$C327,куб!R:R),IF($B327&lt;&gt;0,SUMIF(куб!$B:$B,$B327,куб!R:R))))))</f>
        <v>0</v>
      </c>
      <c r="AG327" s="27" t="b">
        <f>IF($G327&lt;&gt;0,SUMIF(куб!$G:$G,$G327,куб!S:S),IF($E327&lt;&gt;0,SUMIF(куб!$E:$E,$E327,куб!S:S),IF($D327&lt;&gt;0,SUMIF(куб!$D:$D,$D327,куб!S:S),IF($C327&lt;&gt;0,SUMIF(куб!$C:$C,$C327,куб!S:S),IF($B327&lt;&gt;0,SUMIF(куб!$B:$B,$B327,куб!S:S))))))</f>
        <v>0</v>
      </c>
      <c r="AH327" s="16" t="str">
        <f t="shared" si="121"/>
        <v>-</v>
      </c>
      <c r="AI327" s="8"/>
      <c r="AJ327" s="27" t="b">
        <f>IF($G327&lt;&gt;0,SUMIF(куб!$G:$G,$G327,куб!T:T),IF($E327&lt;&gt;0,SUMIF(куб!$E:$E,$E327,куб!T:T),IF($D327&lt;&gt;0,SUMIF(куб!$D:$D,$D327,куб!T:T),IF($C327&lt;&gt;0,SUMIF(куб!$C:$C,$C327,куб!T:T),IF($B327&lt;&gt;0,SUMIF(куб!$B:$B,$B327,куб!T:T))))))</f>
        <v>0</v>
      </c>
      <c r="AK327" s="27" t="b">
        <f>IF($G327&lt;&gt;0,SUMIF(куб!$G:$G,$G327,куб!U:U),IF($E327&lt;&gt;0,SUMIF(куб!$E:$E,$E327,куб!U:U),IF($D327&lt;&gt;0,SUMIF(куб!$D:$D,$D327,куб!U:U),IF($C327&lt;&gt;0,SUMIF(куб!$C:$C,$C327,куб!U:U),IF($B327&lt;&gt;0,SUMIF(куб!$B:$B,$B327,куб!U:U))))))</f>
        <v>0</v>
      </c>
      <c r="AL327" s="16" t="str">
        <f t="shared" si="122"/>
        <v>-</v>
      </c>
      <c r="AM327" s="8"/>
      <c r="AN327" s="17" t="str">
        <f t="shared" si="123"/>
        <v xml:space="preserve"> </v>
      </c>
      <c r="AO327" s="17" t="str">
        <f t="shared" si="124"/>
        <v xml:space="preserve"> </v>
      </c>
      <c r="AP327" s="16" t="str">
        <f t="shared" si="125"/>
        <v>-</v>
      </c>
      <c r="AQ327" s="8"/>
      <c r="AR327" s="17" t="str">
        <f t="shared" si="126"/>
        <v>-</v>
      </c>
      <c r="AS327" s="17" t="str">
        <f t="shared" si="127"/>
        <v>-</v>
      </c>
      <c r="AT327" s="13" t="str">
        <f t="shared" si="128"/>
        <v>-</v>
      </c>
      <c r="AU327" s="8"/>
    </row>
    <row r="328" spans="1:47" x14ac:dyDescent="0.25">
      <c r="A328" s="31"/>
      <c r="B328" s="31"/>
      <c r="C328"/>
      <c r="D328"/>
      <c r="E328"/>
      <c r="F328"/>
      <c r="G328"/>
      <c r="H328" s="27">
        <f>IF($G328&lt;&gt;0,SUMIF(куб!$G:$G,$G328,куб!H:H),IF($E328&lt;&gt;0,SUMIF(куб!$E:$E,$E328,куб!H:H),IF($D328&lt;&gt;0,SUMIF(куб!$D:$D,$D328,куб!H:H),IF($C328&lt;&gt;0,SUMIF(куб!$C:$C,$C328,куб!H:H),IF($B328&lt;&gt;0,SUMIF(куб!$B:$B,$B328,куб!H:H),IF($G328&lt;&gt;0,SUMIF(куб!$A:$A,$G328,куб!H:H),SUMIF(куб!$A:$A,$G328,куб!H:H)))))))</f>
        <v>0</v>
      </c>
      <c r="I328" s="27">
        <f>IF($G328&lt;&gt;0,SUMIF(куб!$G:$G,$G328,куб!I:I),IF($E328&lt;&gt;0,SUMIF(куб!$E:$E,$E328,куб!I:I),IF($D328&lt;&gt;0,SUMIF(куб!$D:$D,$D328,куб!I:I),IF($C328&lt;&gt;0,SUMIF(куб!$C:$C,$C328,куб!I:I),IF($B328&lt;&gt;0,SUMIF(куб!$B:$B,$B328,куб!I:I),IF($G328&lt;&gt;0,SUMIF(куб!$A:$A,$G328,куб!I:I),SUMIF(куб!$A:$A,$G328,куб!I:I)))))))</f>
        <v>0</v>
      </c>
      <c r="J328" s="19" t="str">
        <f t="shared" si="111"/>
        <v>-</v>
      </c>
      <c r="K328" s="8"/>
      <c r="L328" s="17">
        <f t="shared" si="112"/>
        <v>0</v>
      </c>
      <c r="M328" s="17">
        <f t="shared" si="113"/>
        <v>0</v>
      </c>
      <c r="N328" s="12">
        <f t="shared" si="114"/>
        <v>0</v>
      </c>
      <c r="O328" s="5"/>
      <c r="P328" s="27" t="b">
        <f>IF($G328&lt;&gt;0,SUMIF(куб!$G:$G,$G328,куб!J:J),IF($E328&lt;&gt;0,SUMIF(куб!$E:$E,$E328,куб!J:J),IF($D328&lt;&gt;0,SUMIF(куб!$D:$D,$D328,куб!J:J),IF($C328&lt;&gt;0,SUMIF(куб!$C:$C,$C328,куб!J:J),IF($B328&lt;&gt;0,SUMIF(куб!$B:$B,$B328,куб!J:J))))))</f>
        <v>0</v>
      </c>
      <c r="Q328" s="27" t="b">
        <f>IF($G328&lt;&gt;0,SUMIF(куб!$G:$G,$G328,куб!K:K),IF($E328&lt;&gt;0,SUMIF(куб!$E:$E,$E328,куб!K:K),IF($D328&lt;&gt;0,SUMIF(куб!$D:$D,$D328,куб!K:K),IF($C328&lt;&gt;0,SUMIF(куб!$C:$C,$C328,куб!K:K),IF($B328&lt;&gt;0,SUMIF(куб!$B:$B,$B328,куб!K:K))))))</f>
        <v>0</v>
      </c>
      <c r="R328" s="13" t="str">
        <f t="shared" si="115"/>
        <v>-</v>
      </c>
      <c r="S328" s="5"/>
      <c r="T328" s="27" t="b">
        <f>IF($G328&lt;&gt;0,SUMIF(куб!$G:$G,$G328,куб!L:L),IF($E328&lt;&gt;0,SUMIF(куб!$E:$E,$E328,куб!L:L),IF($D328&lt;&gt;0,SUMIF(куб!$D:$D,$D328,куб!L:L),IF($C328&lt;&gt;0,SUMIF(куб!$C:$C,$C328,куб!L:L),IF($B328&lt;&gt;0,SUMIF(куб!$B:$B,$B328,куб!L:L))))))</f>
        <v>0</v>
      </c>
      <c r="U328" s="27" t="b">
        <f>IF($G328&lt;&gt;0,SUMIF(куб!$G:$G,$G328,куб!M:M),IF($E328&lt;&gt;0,SUMIF(куб!$E:$E,$E328,куб!M:M),IF($D328&lt;&gt;0,SUMIF(куб!$D:$D,$D328,куб!M:M),IF($C328&lt;&gt;0,SUMIF(куб!$C:$C,$C328,куб!M:M),IF($B328&lt;&gt;0,SUMIF(куб!$B:$B,$B328,куб!M:M))))))</f>
        <v>0</v>
      </c>
      <c r="V328" s="13" t="str">
        <f t="shared" si="116"/>
        <v>-</v>
      </c>
      <c r="W328" s="5"/>
      <c r="X328" s="27" t="b">
        <f>IF($G328&lt;&gt;0,SUMIF(куб!$G:$G,$G328,куб!N:N),IF($E328&lt;&gt;0,SUMIF(куб!$E:$E,$E328,куб!N:N),IF($D328&lt;&gt;0,SUMIF(куб!$D:$D,$D328,куб!N:N),IF($C328&lt;&gt;0,SUMIF(куб!$C:$C,$C328,куб!N:N),IF($B328&lt;&gt;0,SUMIF(куб!$B:$B,$B328,куб!N:N))))))</f>
        <v>0</v>
      </c>
      <c r="Y328" s="27" t="b">
        <f>IF($G328&lt;&gt;0,SUMIF(куб!$G:$G,$G328,куб!O:O),IF($E328&lt;&gt;0,SUMIF(куб!$E:$E,$E328,куб!O:O),IF($D328&lt;&gt;0,SUMIF(куб!$D:$D,$D328,куб!O:O),IF($C328&lt;&gt;0,SUMIF(куб!$C:$C,$C328,куб!O:O),IF($B328&lt;&gt;0,SUMIF(куб!$B:$B,$B328,куб!O:O))))))</f>
        <v>0</v>
      </c>
      <c r="Z328" s="13" t="str">
        <f t="shared" si="117"/>
        <v>-</v>
      </c>
      <c r="AA328" s="5"/>
      <c r="AB328" s="33" t="str">
        <f t="shared" si="118"/>
        <v/>
      </c>
      <c r="AC328" s="33" t="str">
        <f t="shared" si="119"/>
        <v/>
      </c>
      <c r="AD328" s="15" t="str">
        <f t="shared" si="120"/>
        <v xml:space="preserve"> </v>
      </c>
      <c r="AE328" s="5"/>
      <c r="AF328" s="27" t="b">
        <f>IF($G328&lt;&gt;0,SUMIF(куб!$G:$G,$G328,куб!R:R),IF($E328&lt;&gt;0,SUMIF(куб!$E:$E,$E328,куб!R:R),IF($D328&lt;&gt;0,SUMIF(куб!$D:$D,$D328,куб!R:R),IF($C328&lt;&gt;0,SUMIF(куб!$C:$C,$C328,куб!R:R),IF($B328&lt;&gt;0,SUMIF(куб!$B:$B,$B328,куб!R:R))))))</f>
        <v>0</v>
      </c>
      <c r="AG328" s="27" t="b">
        <f>IF($G328&lt;&gt;0,SUMIF(куб!$G:$G,$G328,куб!S:S),IF($E328&lt;&gt;0,SUMIF(куб!$E:$E,$E328,куб!S:S),IF($D328&lt;&gt;0,SUMIF(куб!$D:$D,$D328,куб!S:S),IF($C328&lt;&gt;0,SUMIF(куб!$C:$C,$C328,куб!S:S),IF($B328&lt;&gt;0,SUMIF(куб!$B:$B,$B328,куб!S:S))))))</f>
        <v>0</v>
      </c>
      <c r="AH328" s="16" t="str">
        <f t="shared" si="121"/>
        <v>-</v>
      </c>
      <c r="AI328" s="8"/>
      <c r="AJ328" s="27" t="b">
        <f>IF($G328&lt;&gt;0,SUMIF(куб!$G:$G,$G328,куб!T:T),IF($E328&lt;&gt;0,SUMIF(куб!$E:$E,$E328,куб!T:T),IF($D328&lt;&gt;0,SUMIF(куб!$D:$D,$D328,куб!T:T),IF($C328&lt;&gt;0,SUMIF(куб!$C:$C,$C328,куб!T:T),IF($B328&lt;&gt;0,SUMIF(куб!$B:$B,$B328,куб!T:T))))))</f>
        <v>0</v>
      </c>
      <c r="AK328" s="27" t="b">
        <f>IF($G328&lt;&gt;0,SUMIF(куб!$G:$G,$G328,куб!U:U),IF($E328&lt;&gt;0,SUMIF(куб!$E:$E,$E328,куб!U:U),IF($D328&lt;&gt;0,SUMIF(куб!$D:$D,$D328,куб!U:U),IF($C328&lt;&gt;0,SUMIF(куб!$C:$C,$C328,куб!U:U),IF($B328&lt;&gt;0,SUMIF(куб!$B:$B,$B328,куб!U:U))))))</f>
        <v>0</v>
      </c>
      <c r="AL328" s="16" t="str">
        <f t="shared" si="122"/>
        <v>-</v>
      </c>
      <c r="AM328" s="8"/>
      <c r="AN328" s="17" t="str">
        <f t="shared" si="123"/>
        <v xml:space="preserve"> </v>
      </c>
      <c r="AO328" s="17" t="str">
        <f t="shared" si="124"/>
        <v xml:space="preserve"> </v>
      </c>
      <c r="AP328" s="16" t="str">
        <f t="shared" si="125"/>
        <v>-</v>
      </c>
      <c r="AQ328" s="8"/>
      <c r="AR328" s="17" t="str">
        <f t="shared" si="126"/>
        <v>-</v>
      </c>
      <c r="AS328" s="17" t="str">
        <f t="shared" si="127"/>
        <v>-</v>
      </c>
      <c r="AT328" s="13" t="str">
        <f t="shared" si="128"/>
        <v>-</v>
      </c>
      <c r="AU328" s="8"/>
    </row>
    <row r="329" spans="1:47" ht="15" customHeight="1" x14ac:dyDescent="0.25">
      <c r="A329" s="31"/>
      <c r="B329" s="31"/>
      <c r="C329"/>
      <c r="D329" s="31"/>
      <c r="E329"/>
      <c r="F329" s="31"/>
      <c r="G329"/>
      <c r="H329" s="27">
        <f>IF($G329&lt;&gt;0,SUMIF(куб!$G:$G,$G329,куб!H:H),IF($E329&lt;&gt;0,SUMIF(куб!$E:$E,$E329,куб!H:H),IF($D329&lt;&gt;0,SUMIF(куб!$D:$D,$D329,куб!H:H),IF($C329&lt;&gt;0,SUMIF(куб!$C:$C,$C329,куб!H:H),IF($B329&lt;&gt;0,SUMIF(куб!$B:$B,$B329,куб!H:H),IF($G329&lt;&gt;0,SUMIF(куб!$A:$A,$G329,куб!H:H),SUMIF(куб!$A:$A,$G329,куб!H:H)))))))</f>
        <v>0</v>
      </c>
      <c r="I329" s="27">
        <f>IF($G329&lt;&gt;0,SUMIF(куб!$G:$G,$G329,куб!I:I),IF($E329&lt;&gt;0,SUMIF(куб!$E:$E,$E329,куб!I:I),IF($D329&lt;&gt;0,SUMIF(куб!$D:$D,$D329,куб!I:I),IF($C329&lt;&gt;0,SUMIF(куб!$C:$C,$C329,куб!I:I),IF($B329&lt;&gt;0,SUMIF(куб!$B:$B,$B329,куб!I:I),IF($G329&lt;&gt;0,SUMIF(куб!$A:$A,$G329,куб!I:I),SUMIF(куб!$A:$A,$G329,куб!I:I)))))))</f>
        <v>0</v>
      </c>
      <c r="J329" s="19" t="str">
        <f t="shared" si="111"/>
        <v>-</v>
      </c>
      <c r="K329" s="8"/>
      <c r="L329" s="17">
        <f t="shared" si="112"/>
        <v>0</v>
      </c>
      <c r="M329" s="17">
        <f t="shared" si="113"/>
        <v>0</v>
      </c>
      <c r="N329" s="12">
        <f t="shared" si="114"/>
        <v>0</v>
      </c>
      <c r="O329" s="5"/>
      <c r="P329" s="27" t="b">
        <f>IF($G329&lt;&gt;0,SUMIF(куб!$G:$G,$G329,куб!J:J),IF($E329&lt;&gt;0,SUMIF(куб!$E:$E,$E329,куб!J:J),IF($D329&lt;&gt;0,SUMIF(куб!$D:$D,$D329,куб!J:J),IF($C329&lt;&gt;0,SUMIF(куб!$C:$C,$C329,куб!J:J),IF($B329&lt;&gt;0,SUMIF(куб!$B:$B,$B329,куб!J:J))))))</f>
        <v>0</v>
      </c>
      <c r="Q329" s="27" t="b">
        <f>IF($G329&lt;&gt;0,SUMIF(куб!$G:$G,$G329,куб!K:K),IF($E329&lt;&gt;0,SUMIF(куб!$E:$E,$E329,куб!K:K),IF($D329&lt;&gt;0,SUMIF(куб!$D:$D,$D329,куб!K:K),IF($C329&lt;&gt;0,SUMIF(куб!$C:$C,$C329,куб!K:K),IF($B329&lt;&gt;0,SUMIF(куб!$B:$B,$B329,куб!K:K))))))</f>
        <v>0</v>
      </c>
      <c r="R329" s="13" t="str">
        <f t="shared" si="115"/>
        <v>-</v>
      </c>
      <c r="S329" s="5"/>
      <c r="T329" s="27" t="b">
        <f>IF($G329&lt;&gt;0,SUMIF(куб!$G:$G,$G329,куб!L:L),IF($E329&lt;&gt;0,SUMIF(куб!$E:$E,$E329,куб!L:L),IF($D329&lt;&gt;0,SUMIF(куб!$D:$D,$D329,куб!L:L),IF($C329&lt;&gt;0,SUMIF(куб!$C:$C,$C329,куб!L:L),IF($B329&lt;&gt;0,SUMIF(куб!$B:$B,$B329,куб!L:L))))))</f>
        <v>0</v>
      </c>
      <c r="U329" s="27" t="b">
        <f>IF($G329&lt;&gt;0,SUMIF(куб!$G:$G,$G329,куб!M:M),IF($E329&lt;&gt;0,SUMIF(куб!$E:$E,$E329,куб!M:M),IF($D329&lt;&gt;0,SUMIF(куб!$D:$D,$D329,куб!M:M),IF($C329&lt;&gt;0,SUMIF(куб!$C:$C,$C329,куб!M:M),IF($B329&lt;&gt;0,SUMIF(куб!$B:$B,$B329,куб!M:M))))))</f>
        <v>0</v>
      </c>
      <c r="V329" s="13" t="str">
        <f t="shared" si="116"/>
        <v>-</v>
      </c>
      <c r="W329" s="5"/>
      <c r="X329" s="27" t="b">
        <f>IF($G329&lt;&gt;0,SUMIF(куб!$G:$G,$G329,куб!N:N),IF($E329&lt;&gt;0,SUMIF(куб!$E:$E,$E329,куб!N:N),IF($D329&lt;&gt;0,SUMIF(куб!$D:$D,$D329,куб!N:N),IF($C329&lt;&gt;0,SUMIF(куб!$C:$C,$C329,куб!N:N),IF($B329&lt;&gt;0,SUMIF(куб!$B:$B,$B329,куб!N:N))))))</f>
        <v>0</v>
      </c>
      <c r="Y329" s="27" t="b">
        <f>IF($G329&lt;&gt;0,SUMIF(куб!$G:$G,$G329,куб!O:O),IF($E329&lt;&gt;0,SUMIF(куб!$E:$E,$E329,куб!O:O),IF($D329&lt;&gt;0,SUMIF(куб!$D:$D,$D329,куб!O:O),IF($C329&lt;&gt;0,SUMIF(куб!$C:$C,$C329,куб!O:O),IF($B329&lt;&gt;0,SUMIF(куб!$B:$B,$B329,куб!O:O))))))</f>
        <v>0</v>
      </c>
      <c r="Z329" s="13" t="str">
        <f t="shared" si="117"/>
        <v>-</v>
      </c>
      <c r="AA329" s="5"/>
      <c r="AB329" s="33" t="str">
        <f t="shared" si="118"/>
        <v/>
      </c>
      <c r="AC329" s="33" t="str">
        <f t="shared" si="119"/>
        <v/>
      </c>
      <c r="AD329" s="15" t="str">
        <f t="shared" si="120"/>
        <v xml:space="preserve"> </v>
      </c>
      <c r="AE329" s="5"/>
      <c r="AF329" s="27" t="b">
        <f>IF($G329&lt;&gt;0,SUMIF(куб!$G:$G,$G329,куб!R:R),IF($E329&lt;&gt;0,SUMIF(куб!$E:$E,$E329,куб!R:R),IF($D329&lt;&gt;0,SUMIF(куб!$D:$D,$D329,куб!R:R),IF($C329&lt;&gt;0,SUMIF(куб!$C:$C,$C329,куб!R:R),IF($B329&lt;&gt;0,SUMIF(куб!$B:$B,$B329,куб!R:R))))))</f>
        <v>0</v>
      </c>
      <c r="AG329" s="27" t="b">
        <f>IF($G329&lt;&gt;0,SUMIF(куб!$G:$G,$G329,куб!S:S),IF($E329&lt;&gt;0,SUMIF(куб!$E:$E,$E329,куб!S:S),IF($D329&lt;&gt;0,SUMIF(куб!$D:$D,$D329,куб!S:S),IF($C329&lt;&gt;0,SUMIF(куб!$C:$C,$C329,куб!S:S),IF($B329&lt;&gt;0,SUMIF(куб!$B:$B,$B329,куб!S:S))))))</f>
        <v>0</v>
      </c>
      <c r="AH329" s="16" t="str">
        <f t="shared" si="121"/>
        <v>-</v>
      </c>
      <c r="AI329" s="8"/>
      <c r="AJ329" s="27" t="b">
        <f>IF($G329&lt;&gt;0,SUMIF(куб!$G:$G,$G329,куб!T:T),IF($E329&lt;&gt;0,SUMIF(куб!$E:$E,$E329,куб!T:T),IF($D329&lt;&gt;0,SUMIF(куб!$D:$D,$D329,куб!T:T),IF($C329&lt;&gt;0,SUMIF(куб!$C:$C,$C329,куб!T:T),IF($B329&lt;&gt;0,SUMIF(куб!$B:$B,$B329,куб!T:T))))))</f>
        <v>0</v>
      </c>
      <c r="AK329" s="27" t="b">
        <f>IF($G329&lt;&gt;0,SUMIF(куб!$G:$G,$G329,куб!U:U),IF($E329&lt;&gt;0,SUMIF(куб!$E:$E,$E329,куб!U:U),IF($D329&lt;&gt;0,SUMIF(куб!$D:$D,$D329,куб!U:U),IF($C329&lt;&gt;0,SUMIF(куб!$C:$C,$C329,куб!U:U),IF($B329&lt;&gt;0,SUMIF(куб!$B:$B,$B329,куб!U:U))))))</f>
        <v>0</v>
      </c>
      <c r="AL329" s="16" t="str">
        <f t="shared" si="122"/>
        <v>-</v>
      </c>
      <c r="AM329" s="8"/>
      <c r="AN329" s="17" t="str">
        <f t="shared" si="123"/>
        <v xml:space="preserve"> </v>
      </c>
      <c r="AO329" s="17" t="str">
        <f t="shared" si="124"/>
        <v xml:space="preserve"> </v>
      </c>
      <c r="AP329" s="16" t="str">
        <f t="shared" si="125"/>
        <v>-</v>
      </c>
      <c r="AQ329" s="8"/>
      <c r="AR329" s="17" t="str">
        <f t="shared" si="126"/>
        <v>-</v>
      </c>
      <c r="AS329" s="17" t="str">
        <f t="shared" si="127"/>
        <v>-</v>
      </c>
      <c r="AT329" s="13" t="str">
        <f t="shared" si="128"/>
        <v>-</v>
      </c>
      <c r="AU329" s="8"/>
    </row>
    <row r="330" spans="1:47" ht="15" customHeight="1" x14ac:dyDescent="0.25">
      <c r="A330" s="31"/>
      <c r="B330" s="31"/>
      <c r="C330"/>
      <c r="D330" s="31"/>
      <c r="E330"/>
      <c r="F330" s="31"/>
      <c r="G330"/>
      <c r="H330" s="27">
        <f>IF($G330&lt;&gt;0,SUMIF(куб!$G:$G,$G330,куб!H:H),IF($E330&lt;&gt;0,SUMIF(куб!$E:$E,$E330,куб!H:H),IF($D330&lt;&gt;0,SUMIF(куб!$D:$D,$D330,куб!H:H),IF($C330&lt;&gt;0,SUMIF(куб!$C:$C,$C330,куб!H:H),IF($B330&lt;&gt;0,SUMIF(куб!$B:$B,$B330,куб!H:H),IF($G330&lt;&gt;0,SUMIF(куб!$A:$A,$G330,куб!H:H),SUMIF(куб!$A:$A,$G330,куб!H:H)))))))</f>
        <v>0</v>
      </c>
      <c r="I330" s="27">
        <f>IF($G330&lt;&gt;0,SUMIF(куб!$G:$G,$G330,куб!I:I),IF($E330&lt;&gt;0,SUMIF(куб!$E:$E,$E330,куб!I:I),IF($D330&lt;&gt;0,SUMIF(куб!$D:$D,$D330,куб!I:I),IF($C330&lt;&gt;0,SUMIF(куб!$C:$C,$C330,куб!I:I),IF($B330&lt;&gt;0,SUMIF(куб!$B:$B,$B330,куб!I:I),IF($G330&lt;&gt;0,SUMIF(куб!$A:$A,$G330,куб!I:I),SUMIF(куб!$A:$A,$G330,куб!I:I)))))))</f>
        <v>0</v>
      </c>
      <c r="J330" s="19" t="str">
        <f t="shared" si="111"/>
        <v>-</v>
      </c>
      <c r="K330" s="8"/>
      <c r="L330" s="17">
        <f t="shared" si="112"/>
        <v>0</v>
      </c>
      <c r="M330" s="17">
        <f t="shared" si="113"/>
        <v>0</v>
      </c>
      <c r="N330" s="12">
        <f t="shared" si="114"/>
        <v>0</v>
      </c>
      <c r="O330" s="5"/>
      <c r="P330" s="27" t="b">
        <f>IF($G330&lt;&gt;0,SUMIF(куб!$G:$G,$G330,куб!J:J),IF($E330&lt;&gt;0,SUMIF(куб!$E:$E,$E330,куб!J:J),IF($D330&lt;&gt;0,SUMIF(куб!$D:$D,$D330,куб!J:J),IF($C330&lt;&gt;0,SUMIF(куб!$C:$C,$C330,куб!J:J),IF($B330&lt;&gt;0,SUMIF(куб!$B:$B,$B330,куб!J:J))))))</f>
        <v>0</v>
      </c>
      <c r="Q330" s="27" t="b">
        <f>IF($G330&lt;&gt;0,SUMIF(куб!$G:$G,$G330,куб!K:K),IF($E330&lt;&gt;0,SUMIF(куб!$E:$E,$E330,куб!K:K),IF($D330&lt;&gt;0,SUMIF(куб!$D:$D,$D330,куб!K:K),IF($C330&lt;&gt;0,SUMIF(куб!$C:$C,$C330,куб!K:K),IF($B330&lt;&gt;0,SUMIF(куб!$B:$B,$B330,куб!K:K))))))</f>
        <v>0</v>
      </c>
      <c r="R330" s="13" t="str">
        <f t="shared" si="115"/>
        <v>-</v>
      </c>
      <c r="S330" s="5"/>
      <c r="T330" s="27" t="b">
        <f>IF($G330&lt;&gt;0,SUMIF(куб!$G:$G,$G330,куб!L:L),IF($E330&lt;&gt;0,SUMIF(куб!$E:$E,$E330,куб!L:L),IF($D330&lt;&gt;0,SUMIF(куб!$D:$D,$D330,куб!L:L),IF($C330&lt;&gt;0,SUMIF(куб!$C:$C,$C330,куб!L:L),IF($B330&lt;&gt;0,SUMIF(куб!$B:$B,$B330,куб!L:L))))))</f>
        <v>0</v>
      </c>
      <c r="U330" s="27" t="b">
        <f>IF($G330&lt;&gt;0,SUMIF(куб!$G:$G,$G330,куб!M:M),IF($E330&lt;&gt;0,SUMIF(куб!$E:$E,$E330,куб!M:M),IF($D330&lt;&gt;0,SUMIF(куб!$D:$D,$D330,куб!M:M),IF($C330&lt;&gt;0,SUMIF(куб!$C:$C,$C330,куб!M:M),IF($B330&lt;&gt;0,SUMIF(куб!$B:$B,$B330,куб!M:M))))))</f>
        <v>0</v>
      </c>
      <c r="V330" s="13" t="str">
        <f t="shared" si="116"/>
        <v>-</v>
      </c>
      <c r="W330" s="5"/>
      <c r="X330" s="27" t="b">
        <f>IF($G330&lt;&gt;0,SUMIF(куб!$G:$G,$G330,куб!N:N),IF($E330&lt;&gt;0,SUMIF(куб!$E:$E,$E330,куб!N:N),IF($D330&lt;&gt;0,SUMIF(куб!$D:$D,$D330,куб!N:N),IF($C330&lt;&gt;0,SUMIF(куб!$C:$C,$C330,куб!N:N),IF($B330&lt;&gt;0,SUMIF(куб!$B:$B,$B330,куб!N:N))))))</f>
        <v>0</v>
      </c>
      <c r="Y330" s="27" t="b">
        <f>IF($G330&lt;&gt;0,SUMIF(куб!$G:$G,$G330,куб!O:O),IF($E330&lt;&gt;0,SUMIF(куб!$E:$E,$E330,куб!O:O),IF($D330&lt;&gt;0,SUMIF(куб!$D:$D,$D330,куб!O:O),IF($C330&lt;&gt;0,SUMIF(куб!$C:$C,$C330,куб!O:O),IF($B330&lt;&gt;0,SUMIF(куб!$B:$B,$B330,куб!O:O))))))</f>
        <v>0</v>
      </c>
      <c r="Z330" s="13" t="str">
        <f t="shared" si="117"/>
        <v>-</v>
      </c>
      <c r="AA330" s="5"/>
      <c r="AB330" s="33" t="str">
        <f t="shared" si="118"/>
        <v/>
      </c>
      <c r="AC330" s="33" t="str">
        <f t="shared" si="119"/>
        <v/>
      </c>
      <c r="AD330" s="15" t="str">
        <f t="shared" si="120"/>
        <v xml:space="preserve"> </v>
      </c>
      <c r="AE330" s="5"/>
      <c r="AF330" s="27" t="b">
        <f>IF($G330&lt;&gt;0,SUMIF(куб!$G:$G,$G330,куб!R:R),IF($E330&lt;&gt;0,SUMIF(куб!$E:$E,$E330,куб!R:R),IF($D330&lt;&gt;0,SUMIF(куб!$D:$D,$D330,куб!R:R),IF($C330&lt;&gt;0,SUMIF(куб!$C:$C,$C330,куб!R:R),IF($B330&lt;&gt;0,SUMIF(куб!$B:$B,$B330,куб!R:R))))))</f>
        <v>0</v>
      </c>
      <c r="AG330" s="27" t="b">
        <f>IF($G330&lt;&gt;0,SUMIF(куб!$G:$G,$G330,куб!S:S),IF($E330&lt;&gt;0,SUMIF(куб!$E:$E,$E330,куб!S:S),IF($D330&lt;&gt;0,SUMIF(куб!$D:$D,$D330,куб!S:S),IF($C330&lt;&gt;0,SUMIF(куб!$C:$C,$C330,куб!S:S),IF($B330&lt;&gt;0,SUMIF(куб!$B:$B,$B330,куб!S:S))))))</f>
        <v>0</v>
      </c>
      <c r="AH330" s="16" t="str">
        <f t="shared" si="121"/>
        <v>-</v>
      </c>
      <c r="AI330" s="8"/>
      <c r="AJ330" s="27" t="b">
        <f>IF($G330&lt;&gt;0,SUMIF(куб!$G:$G,$G330,куб!T:T),IF($E330&lt;&gt;0,SUMIF(куб!$E:$E,$E330,куб!T:T),IF($D330&lt;&gt;0,SUMIF(куб!$D:$D,$D330,куб!T:T),IF($C330&lt;&gt;0,SUMIF(куб!$C:$C,$C330,куб!T:T),IF($B330&lt;&gt;0,SUMIF(куб!$B:$B,$B330,куб!T:T))))))</f>
        <v>0</v>
      </c>
      <c r="AK330" s="27" t="b">
        <f>IF($G330&lt;&gt;0,SUMIF(куб!$G:$G,$G330,куб!U:U),IF($E330&lt;&gt;0,SUMIF(куб!$E:$E,$E330,куб!U:U),IF($D330&lt;&gt;0,SUMIF(куб!$D:$D,$D330,куб!U:U),IF($C330&lt;&gt;0,SUMIF(куб!$C:$C,$C330,куб!U:U),IF($B330&lt;&gt;0,SUMIF(куб!$B:$B,$B330,куб!U:U))))))</f>
        <v>0</v>
      </c>
      <c r="AL330" s="16" t="str">
        <f t="shared" si="122"/>
        <v>-</v>
      </c>
      <c r="AM330" s="8"/>
      <c r="AN330" s="17" t="str">
        <f t="shared" si="123"/>
        <v xml:space="preserve"> </v>
      </c>
      <c r="AO330" s="17" t="str">
        <f t="shared" si="124"/>
        <v xml:space="preserve"> </v>
      </c>
      <c r="AP330" s="16" t="str">
        <f t="shared" si="125"/>
        <v>-</v>
      </c>
      <c r="AQ330" s="8"/>
      <c r="AR330" s="17" t="str">
        <f t="shared" si="126"/>
        <v>-</v>
      </c>
      <c r="AS330" s="17" t="str">
        <f t="shared" si="127"/>
        <v>-</v>
      </c>
      <c r="AT330" s="13" t="str">
        <f t="shared" si="128"/>
        <v>-</v>
      </c>
      <c r="AU330" s="8"/>
    </row>
    <row r="331" spans="1:47" ht="15" customHeight="1" x14ac:dyDescent="0.25">
      <c r="A331" s="31"/>
      <c r="B331" s="31"/>
      <c r="C331"/>
      <c r="D331" s="31"/>
      <c r="E331"/>
      <c r="F331" s="31"/>
      <c r="G331"/>
      <c r="H331" s="27">
        <f>IF($G331&lt;&gt;0,SUMIF(куб!$G:$G,$G331,куб!H:H),IF($E331&lt;&gt;0,SUMIF(куб!$E:$E,$E331,куб!H:H),IF($D331&lt;&gt;0,SUMIF(куб!$D:$D,$D331,куб!H:H),IF($C331&lt;&gt;0,SUMIF(куб!$C:$C,$C331,куб!H:H),IF($B331&lt;&gt;0,SUMIF(куб!$B:$B,$B331,куб!H:H),IF($G331&lt;&gt;0,SUMIF(куб!$A:$A,$G331,куб!H:H),SUMIF(куб!$A:$A,$G331,куб!H:H)))))))</f>
        <v>0</v>
      </c>
      <c r="I331" s="27">
        <f>IF($G331&lt;&gt;0,SUMIF(куб!$G:$G,$G331,куб!I:I),IF($E331&lt;&gt;0,SUMIF(куб!$E:$E,$E331,куб!I:I),IF($D331&lt;&gt;0,SUMIF(куб!$D:$D,$D331,куб!I:I),IF($C331&lt;&gt;0,SUMIF(куб!$C:$C,$C331,куб!I:I),IF($B331&lt;&gt;0,SUMIF(куб!$B:$B,$B331,куб!I:I),IF($G331&lt;&gt;0,SUMIF(куб!$A:$A,$G331,куб!I:I),SUMIF(куб!$A:$A,$G331,куб!I:I)))))))</f>
        <v>0</v>
      </c>
      <c r="J331" s="19" t="str">
        <f t="shared" si="111"/>
        <v>-</v>
      </c>
      <c r="K331" s="8"/>
      <c r="L331" s="17">
        <f t="shared" si="112"/>
        <v>0</v>
      </c>
      <c r="M331" s="17">
        <f t="shared" si="113"/>
        <v>0</v>
      </c>
      <c r="N331" s="12">
        <f t="shared" si="114"/>
        <v>0</v>
      </c>
      <c r="O331" s="5"/>
      <c r="P331" s="27" t="b">
        <f>IF($G331&lt;&gt;0,SUMIF(куб!$G:$G,$G331,куб!J:J),IF($E331&lt;&gt;0,SUMIF(куб!$E:$E,$E331,куб!J:J),IF($D331&lt;&gt;0,SUMIF(куб!$D:$D,$D331,куб!J:J),IF($C331&lt;&gt;0,SUMIF(куб!$C:$C,$C331,куб!J:J),IF($B331&lt;&gt;0,SUMIF(куб!$B:$B,$B331,куб!J:J))))))</f>
        <v>0</v>
      </c>
      <c r="Q331" s="27" t="b">
        <f>IF($G331&lt;&gt;0,SUMIF(куб!$G:$G,$G331,куб!K:K),IF($E331&lt;&gt;0,SUMIF(куб!$E:$E,$E331,куб!K:K),IF($D331&lt;&gt;0,SUMIF(куб!$D:$D,$D331,куб!K:K),IF($C331&lt;&gt;0,SUMIF(куб!$C:$C,$C331,куб!K:K),IF($B331&lt;&gt;0,SUMIF(куб!$B:$B,$B331,куб!K:K))))))</f>
        <v>0</v>
      </c>
      <c r="R331" s="13" t="str">
        <f t="shared" si="115"/>
        <v>-</v>
      </c>
      <c r="S331" s="5"/>
      <c r="T331" s="27" t="b">
        <f>IF($G331&lt;&gt;0,SUMIF(куб!$G:$G,$G331,куб!L:L),IF($E331&lt;&gt;0,SUMIF(куб!$E:$E,$E331,куб!L:L),IF($D331&lt;&gt;0,SUMIF(куб!$D:$D,$D331,куб!L:L),IF($C331&lt;&gt;0,SUMIF(куб!$C:$C,$C331,куб!L:L),IF($B331&lt;&gt;0,SUMIF(куб!$B:$B,$B331,куб!L:L))))))</f>
        <v>0</v>
      </c>
      <c r="U331" s="27" t="b">
        <f>IF($G331&lt;&gt;0,SUMIF(куб!$G:$G,$G331,куб!M:M),IF($E331&lt;&gt;0,SUMIF(куб!$E:$E,$E331,куб!M:M),IF($D331&lt;&gt;0,SUMIF(куб!$D:$D,$D331,куб!M:M),IF($C331&lt;&gt;0,SUMIF(куб!$C:$C,$C331,куб!M:M),IF($B331&lt;&gt;0,SUMIF(куб!$B:$B,$B331,куб!M:M))))))</f>
        <v>0</v>
      </c>
      <c r="V331" s="13" t="str">
        <f t="shared" si="116"/>
        <v>-</v>
      </c>
      <c r="W331" s="5"/>
      <c r="X331" s="27" t="b">
        <f>IF($G331&lt;&gt;0,SUMIF(куб!$G:$G,$G331,куб!N:N),IF($E331&lt;&gt;0,SUMIF(куб!$E:$E,$E331,куб!N:N),IF($D331&lt;&gt;0,SUMIF(куб!$D:$D,$D331,куб!N:N),IF($C331&lt;&gt;0,SUMIF(куб!$C:$C,$C331,куб!N:N),IF($B331&lt;&gt;0,SUMIF(куб!$B:$B,$B331,куб!N:N))))))</f>
        <v>0</v>
      </c>
      <c r="Y331" s="27" t="b">
        <f>IF($G331&lt;&gt;0,SUMIF(куб!$G:$G,$G331,куб!O:O),IF($E331&lt;&gt;0,SUMIF(куб!$E:$E,$E331,куб!O:O),IF($D331&lt;&gt;0,SUMIF(куб!$D:$D,$D331,куб!O:O),IF($C331&lt;&gt;0,SUMIF(куб!$C:$C,$C331,куб!O:O),IF($B331&lt;&gt;0,SUMIF(куб!$B:$B,$B331,куб!O:O))))))</f>
        <v>0</v>
      </c>
      <c r="Z331" s="13" t="str">
        <f t="shared" si="117"/>
        <v>-</v>
      </c>
      <c r="AA331" s="5"/>
      <c r="AB331" s="33" t="str">
        <f t="shared" si="118"/>
        <v/>
      </c>
      <c r="AC331" s="33" t="str">
        <f t="shared" si="119"/>
        <v/>
      </c>
      <c r="AD331" s="15" t="str">
        <f t="shared" si="120"/>
        <v xml:space="preserve"> </v>
      </c>
      <c r="AE331" s="5"/>
      <c r="AF331" s="27" t="b">
        <f>IF($G331&lt;&gt;0,SUMIF(куб!$G:$G,$G331,куб!R:R),IF($E331&lt;&gt;0,SUMIF(куб!$E:$E,$E331,куб!R:R),IF($D331&lt;&gt;0,SUMIF(куб!$D:$D,$D331,куб!R:R),IF($C331&lt;&gt;0,SUMIF(куб!$C:$C,$C331,куб!R:R),IF($B331&lt;&gt;0,SUMIF(куб!$B:$B,$B331,куб!R:R))))))</f>
        <v>0</v>
      </c>
      <c r="AG331" s="27" t="b">
        <f>IF($G331&lt;&gt;0,SUMIF(куб!$G:$G,$G331,куб!S:S),IF($E331&lt;&gt;0,SUMIF(куб!$E:$E,$E331,куб!S:S),IF($D331&lt;&gt;0,SUMIF(куб!$D:$D,$D331,куб!S:S),IF($C331&lt;&gt;0,SUMIF(куб!$C:$C,$C331,куб!S:S),IF($B331&lt;&gt;0,SUMIF(куб!$B:$B,$B331,куб!S:S))))))</f>
        <v>0</v>
      </c>
      <c r="AH331" s="16" t="str">
        <f t="shared" si="121"/>
        <v>-</v>
      </c>
      <c r="AI331" s="8"/>
      <c r="AJ331" s="27" t="b">
        <f>IF($G331&lt;&gt;0,SUMIF(куб!$G:$G,$G331,куб!T:T),IF($E331&lt;&gt;0,SUMIF(куб!$E:$E,$E331,куб!T:T),IF($D331&lt;&gt;0,SUMIF(куб!$D:$D,$D331,куб!T:T),IF($C331&lt;&gt;0,SUMIF(куб!$C:$C,$C331,куб!T:T),IF($B331&lt;&gt;0,SUMIF(куб!$B:$B,$B331,куб!T:T))))))</f>
        <v>0</v>
      </c>
      <c r="AK331" s="27" t="b">
        <f>IF($G331&lt;&gt;0,SUMIF(куб!$G:$G,$G331,куб!U:U),IF($E331&lt;&gt;0,SUMIF(куб!$E:$E,$E331,куб!U:U),IF($D331&lt;&gt;0,SUMIF(куб!$D:$D,$D331,куб!U:U),IF($C331&lt;&gt;0,SUMIF(куб!$C:$C,$C331,куб!U:U),IF($B331&lt;&gt;0,SUMIF(куб!$B:$B,$B331,куб!U:U))))))</f>
        <v>0</v>
      </c>
      <c r="AL331" s="16" t="str">
        <f t="shared" si="122"/>
        <v>-</v>
      </c>
      <c r="AM331" s="8"/>
      <c r="AN331" s="17" t="str">
        <f t="shared" si="123"/>
        <v xml:space="preserve"> </v>
      </c>
      <c r="AO331" s="17" t="str">
        <f t="shared" si="124"/>
        <v xml:space="preserve"> </v>
      </c>
      <c r="AP331" s="16" t="str">
        <f t="shared" si="125"/>
        <v>-</v>
      </c>
      <c r="AQ331" s="8"/>
      <c r="AR331" s="17" t="str">
        <f t="shared" si="126"/>
        <v>-</v>
      </c>
      <c r="AS331" s="17" t="str">
        <f t="shared" si="127"/>
        <v>-</v>
      </c>
      <c r="AT331" s="13" t="str">
        <f t="shared" si="128"/>
        <v>-</v>
      </c>
      <c r="AU331" s="8"/>
    </row>
    <row r="332" spans="1:47" ht="15" customHeight="1" x14ac:dyDescent="0.25">
      <c r="A332" s="31"/>
      <c r="B332" s="31"/>
      <c r="C332"/>
      <c r="D332" s="31"/>
      <c r="E332"/>
      <c r="F332" s="31"/>
      <c r="G332"/>
      <c r="H332" s="27">
        <f>IF($G332&lt;&gt;0,SUMIF(куб!$G:$G,$G332,куб!H:H),IF($E332&lt;&gt;0,SUMIF(куб!$E:$E,$E332,куб!H:H),IF($D332&lt;&gt;0,SUMIF(куб!$D:$D,$D332,куб!H:H),IF($C332&lt;&gt;0,SUMIF(куб!$C:$C,$C332,куб!H:H),IF($B332&lt;&gt;0,SUMIF(куб!$B:$B,$B332,куб!H:H),IF($G332&lt;&gt;0,SUMIF(куб!$A:$A,$G332,куб!H:H),SUMIF(куб!$A:$A,$G332,куб!H:H)))))))</f>
        <v>0</v>
      </c>
      <c r="I332" s="27">
        <f>IF($G332&lt;&gt;0,SUMIF(куб!$G:$G,$G332,куб!I:I),IF($E332&lt;&gt;0,SUMIF(куб!$E:$E,$E332,куб!I:I),IF($D332&lt;&gt;0,SUMIF(куб!$D:$D,$D332,куб!I:I),IF($C332&lt;&gt;0,SUMIF(куб!$C:$C,$C332,куб!I:I),IF($B332&lt;&gt;0,SUMIF(куб!$B:$B,$B332,куб!I:I),IF($G332&lt;&gt;0,SUMIF(куб!$A:$A,$G332,куб!I:I),SUMIF(куб!$A:$A,$G332,куб!I:I)))))))</f>
        <v>0</v>
      </c>
      <c r="J332" s="19" t="str">
        <f t="shared" si="111"/>
        <v>-</v>
      </c>
      <c r="K332" s="8"/>
      <c r="L332" s="17">
        <f t="shared" si="112"/>
        <v>0</v>
      </c>
      <c r="M332" s="17">
        <f t="shared" si="113"/>
        <v>0</v>
      </c>
      <c r="N332" s="12">
        <f t="shared" si="114"/>
        <v>0</v>
      </c>
      <c r="O332" s="5"/>
      <c r="P332" s="27" t="b">
        <f>IF($G332&lt;&gt;0,SUMIF(куб!$G:$G,$G332,куб!J:J),IF($E332&lt;&gt;0,SUMIF(куб!$E:$E,$E332,куб!J:J),IF($D332&lt;&gt;0,SUMIF(куб!$D:$D,$D332,куб!J:J),IF($C332&lt;&gt;0,SUMIF(куб!$C:$C,$C332,куб!J:J),IF($B332&lt;&gt;0,SUMIF(куб!$B:$B,$B332,куб!J:J))))))</f>
        <v>0</v>
      </c>
      <c r="Q332" s="27" t="b">
        <f>IF($G332&lt;&gt;0,SUMIF(куб!$G:$G,$G332,куб!K:K),IF($E332&lt;&gt;0,SUMIF(куб!$E:$E,$E332,куб!K:K),IF($D332&lt;&gt;0,SUMIF(куб!$D:$D,$D332,куб!K:K),IF($C332&lt;&gt;0,SUMIF(куб!$C:$C,$C332,куб!K:K),IF($B332&lt;&gt;0,SUMIF(куб!$B:$B,$B332,куб!K:K))))))</f>
        <v>0</v>
      </c>
      <c r="R332" s="13" t="str">
        <f t="shared" si="115"/>
        <v>-</v>
      </c>
      <c r="S332" s="5"/>
      <c r="T332" s="27" t="b">
        <f>IF($G332&lt;&gt;0,SUMIF(куб!$G:$G,$G332,куб!L:L),IF($E332&lt;&gt;0,SUMIF(куб!$E:$E,$E332,куб!L:L),IF($D332&lt;&gt;0,SUMIF(куб!$D:$D,$D332,куб!L:L),IF($C332&lt;&gt;0,SUMIF(куб!$C:$C,$C332,куб!L:L),IF($B332&lt;&gt;0,SUMIF(куб!$B:$B,$B332,куб!L:L))))))</f>
        <v>0</v>
      </c>
      <c r="U332" s="27" t="b">
        <f>IF($G332&lt;&gt;0,SUMIF(куб!$G:$G,$G332,куб!M:M),IF($E332&lt;&gt;0,SUMIF(куб!$E:$E,$E332,куб!M:M),IF($D332&lt;&gt;0,SUMIF(куб!$D:$D,$D332,куб!M:M),IF($C332&lt;&gt;0,SUMIF(куб!$C:$C,$C332,куб!M:M),IF($B332&lt;&gt;0,SUMIF(куб!$B:$B,$B332,куб!M:M))))))</f>
        <v>0</v>
      </c>
      <c r="V332" s="13" t="str">
        <f t="shared" si="116"/>
        <v>-</v>
      </c>
      <c r="W332" s="5"/>
      <c r="X332" s="27" t="b">
        <f>IF($G332&lt;&gt;0,SUMIF(куб!$G:$G,$G332,куб!N:N),IF($E332&lt;&gt;0,SUMIF(куб!$E:$E,$E332,куб!N:N),IF($D332&lt;&gt;0,SUMIF(куб!$D:$D,$D332,куб!N:N),IF($C332&lt;&gt;0,SUMIF(куб!$C:$C,$C332,куб!N:N),IF($B332&lt;&gt;0,SUMIF(куб!$B:$B,$B332,куб!N:N))))))</f>
        <v>0</v>
      </c>
      <c r="Y332" s="27" t="b">
        <f>IF($G332&lt;&gt;0,SUMIF(куб!$G:$G,$G332,куб!O:O),IF($E332&lt;&gt;0,SUMIF(куб!$E:$E,$E332,куб!O:O),IF($D332&lt;&gt;0,SUMIF(куб!$D:$D,$D332,куб!O:O),IF($C332&lt;&gt;0,SUMIF(куб!$C:$C,$C332,куб!O:O),IF($B332&lt;&gt;0,SUMIF(куб!$B:$B,$B332,куб!O:O))))))</f>
        <v>0</v>
      </c>
      <c r="Z332" s="13" t="str">
        <f t="shared" si="117"/>
        <v>-</v>
      </c>
      <c r="AA332" s="5"/>
      <c r="AB332" s="33" t="str">
        <f t="shared" si="118"/>
        <v/>
      </c>
      <c r="AC332" s="33" t="str">
        <f t="shared" si="119"/>
        <v/>
      </c>
      <c r="AD332" s="15" t="str">
        <f t="shared" si="120"/>
        <v xml:space="preserve"> </v>
      </c>
      <c r="AE332" s="5"/>
      <c r="AF332" s="27" t="b">
        <f>IF($G332&lt;&gt;0,SUMIF(куб!$G:$G,$G332,куб!R:R),IF($E332&lt;&gt;0,SUMIF(куб!$E:$E,$E332,куб!R:R),IF($D332&lt;&gt;0,SUMIF(куб!$D:$D,$D332,куб!R:R),IF($C332&lt;&gt;0,SUMIF(куб!$C:$C,$C332,куб!R:R),IF($B332&lt;&gt;0,SUMIF(куб!$B:$B,$B332,куб!R:R))))))</f>
        <v>0</v>
      </c>
      <c r="AG332" s="27" t="b">
        <f>IF($G332&lt;&gt;0,SUMIF(куб!$G:$G,$G332,куб!S:S),IF($E332&lt;&gt;0,SUMIF(куб!$E:$E,$E332,куб!S:S),IF($D332&lt;&gt;0,SUMIF(куб!$D:$D,$D332,куб!S:S),IF($C332&lt;&gt;0,SUMIF(куб!$C:$C,$C332,куб!S:S),IF($B332&lt;&gt;0,SUMIF(куб!$B:$B,$B332,куб!S:S))))))</f>
        <v>0</v>
      </c>
      <c r="AH332" s="16" t="str">
        <f t="shared" si="121"/>
        <v>-</v>
      </c>
      <c r="AI332" s="8"/>
      <c r="AJ332" s="27" t="b">
        <f>IF($G332&lt;&gt;0,SUMIF(куб!$G:$G,$G332,куб!T:T),IF($E332&lt;&gt;0,SUMIF(куб!$E:$E,$E332,куб!T:T),IF($D332&lt;&gt;0,SUMIF(куб!$D:$D,$D332,куб!T:T),IF($C332&lt;&gt;0,SUMIF(куб!$C:$C,$C332,куб!T:T),IF($B332&lt;&gt;0,SUMIF(куб!$B:$B,$B332,куб!T:T))))))</f>
        <v>0</v>
      </c>
      <c r="AK332" s="27" t="b">
        <f>IF($G332&lt;&gt;0,SUMIF(куб!$G:$G,$G332,куб!U:U),IF($E332&lt;&gt;0,SUMIF(куб!$E:$E,$E332,куб!U:U),IF($D332&lt;&gt;0,SUMIF(куб!$D:$D,$D332,куб!U:U),IF($C332&lt;&gt;0,SUMIF(куб!$C:$C,$C332,куб!U:U),IF($B332&lt;&gt;0,SUMIF(куб!$B:$B,$B332,куб!U:U))))))</f>
        <v>0</v>
      </c>
      <c r="AL332" s="16" t="str">
        <f t="shared" si="122"/>
        <v>-</v>
      </c>
      <c r="AM332" s="8"/>
      <c r="AN332" s="17" t="str">
        <f t="shared" si="123"/>
        <v xml:space="preserve"> </v>
      </c>
      <c r="AO332" s="17" t="str">
        <f t="shared" si="124"/>
        <v xml:space="preserve"> </v>
      </c>
      <c r="AP332" s="16" t="str">
        <f t="shared" si="125"/>
        <v>-</v>
      </c>
      <c r="AQ332" s="8"/>
      <c r="AR332" s="17" t="str">
        <f t="shared" si="126"/>
        <v>-</v>
      </c>
      <c r="AS332" s="17" t="str">
        <f t="shared" si="127"/>
        <v>-</v>
      </c>
      <c r="AT332" s="13" t="str">
        <f t="shared" si="128"/>
        <v>-</v>
      </c>
      <c r="AU332" s="8"/>
    </row>
    <row r="333" spans="1:47" x14ac:dyDescent="0.25">
      <c r="A333" s="31"/>
      <c r="B333" s="31"/>
      <c r="C333"/>
      <c r="D333" s="31"/>
      <c r="E333"/>
      <c r="F333"/>
      <c r="G333"/>
      <c r="H333" s="27">
        <f>IF($G333&lt;&gt;0,SUMIF(куб!$G:$G,$G333,куб!H:H),IF($E333&lt;&gt;0,SUMIF(куб!$E:$E,$E333,куб!H:H),IF($D333&lt;&gt;0,SUMIF(куб!$D:$D,$D333,куб!H:H),IF($C333&lt;&gt;0,SUMIF(куб!$C:$C,$C333,куб!H:H),IF($B333&lt;&gt;0,SUMIF(куб!$B:$B,$B333,куб!H:H),IF($G333&lt;&gt;0,SUMIF(куб!$A:$A,$G333,куб!H:H),SUMIF(куб!$A:$A,$G333,куб!H:H)))))))</f>
        <v>0</v>
      </c>
      <c r="I333" s="27">
        <f>IF($G333&lt;&gt;0,SUMIF(куб!$G:$G,$G333,куб!I:I),IF($E333&lt;&gt;0,SUMIF(куб!$E:$E,$E333,куб!I:I),IF($D333&lt;&gt;0,SUMIF(куб!$D:$D,$D333,куб!I:I),IF($C333&lt;&gt;0,SUMIF(куб!$C:$C,$C333,куб!I:I),IF($B333&lt;&gt;0,SUMIF(куб!$B:$B,$B333,куб!I:I),IF($G333&lt;&gt;0,SUMIF(куб!$A:$A,$G333,куб!I:I),SUMIF(куб!$A:$A,$G333,куб!I:I)))))))</f>
        <v>0</v>
      </c>
      <c r="J333" s="19" t="str">
        <f t="shared" ref="J333:J396" si="129">IFERROR((I333-H333)/ABS(H333),"-")</f>
        <v>-</v>
      </c>
      <c r="K333" s="8"/>
      <c r="L333" s="17">
        <f t="shared" ref="L333:L396" si="130">H333/$H$3</f>
        <v>0</v>
      </c>
      <c r="M333" s="17">
        <f t="shared" ref="M333:M396" si="131">I333/$I$3</f>
        <v>0</v>
      </c>
      <c r="N333" s="12">
        <f t="shared" ref="N333:N396" si="132">M333-L333</f>
        <v>0</v>
      </c>
      <c r="O333" s="5"/>
      <c r="P333" s="27" t="b">
        <f>IF($G333&lt;&gt;0,SUMIF(куб!$G:$G,$G333,куб!J:J),IF($E333&lt;&gt;0,SUMIF(куб!$E:$E,$E333,куб!J:J),IF($D333&lt;&gt;0,SUMIF(куб!$D:$D,$D333,куб!J:J),IF($C333&lt;&gt;0,SUMIF(куб!$C:$C,$C333,куб!J:J),IF($B333&lt;&gt;0,SUMIF(куб!$B:$B,$B333,куб!J:J))))))</f>
        <v>0</v>
      </c>
      <c r="Q333" s="27" t="b">
        <f>IF($G333&lt;&gt;0,SUMIF(куб!$G:$G,$G333,куб!K:K),IF($E333&lt;&gt;0,SUMIF(куб!$E:$E,$E333,куб!K:K),IF($D333&lt;&gt;0,SUMIF(куб!$D:$D,$D333,куб!K:K),IF($C333&lt;&gt;0,SUMIF(куб!$C:$C,$C333,куб!K:K),IF($B333&lt;&gt;0,SUMIF(куб!$B:$B,$B333,куб!K:K))))))</f>
        <v>0</v>
      </c>
      <c r="R333" s="13" t="str">
        <f t="shared" ref="R333:R396" si="133">IFERROR((Q333-P333)/ABS(P333),"-")</f>
        <v>-</v>
      </c>
      <c r="S333" s="5"/>
      <c r="T333" s="27" t="b">
        <f>IF($G333&lt;&gt;0,SUMIF(куб!$G:$G,$G333,куб!L:L),IF($E333&lt;&gt;0,SUMIF(куб!$E:$E,$E333,куб!L:L),IF($D333&lt;&gt;0,SUMIF(куб!$D:$D,$D333,куб!L:L),IF($C333&lt;&gt;0,SUMIF(куб!$C:$C,$C333,куб!L:L),IF($B333&lt;&gt;0,SUMIF(куб!$B:$B,$B333,куб!L:L))))))</f>
        <v>0</v>
      </c>
      <c r="U333" s="27" t="b">
        <f>IF($G333&lt;&gt;0,SUMIF(куб!$G:$G,$G333,куб!M:M),IF($E333&lt;&gt;0,SUMIF(куб!$E:$E,$E333,куб!M:M),IF($D333&lt;&gt;0,SUMIF(куб!$D:$D,$D333,куб!M:M),IF($C333&lt;&gt;0,SUMIF(куб!$C:$C,$C333,куб!M:M),IF($B333&lt;&gt;0,SUMIF(куб!$B:$B,$B333,куб!M:M))))))</f>
        <v>0</v>
      </c>
      <c r="V333" s="13" t="str">
        <f t="shared" ref="V333:V396" si="134">IFERROR((U333-T333)/ABS(T333),"-")</f>
        <v>-</v>
      </c>
      <c r="W333" s="5"/>
      <c r="X333" s="27" t="b">
        <f>IF($G333&lt;&gt;0,SUMIF(куб!$G:$G,$G333,куб!N:N),IF($E333&lt;&gt;0,SUMIF(куб!$E:$E,$E333,куб!N:N),IF($D333&lt;&gt;0,SUMIF(куб!$D:$D,$D333,куб!N:N),IF($C333&lt;&gt;0,SUMIF(куб!$C:$C,$C333,куб!N:N),IF($B333&lt;&gt;0,SUMIF(куб!$B:$B,$B333,куб!N:N))))))</f>
        <v>0</v>
      </c>
      <c r="Y333" s="27" t="b">
        <f>IF($G333&lt;&gt;0,SUMIF(куб!$G:$G,$G333,куб!O:O),IF($E333&lt;&gt;0,SUMIF(куб!$E:$E,$E333,куб!O:O),IF($D333&lt;&gt;0,SUMIF(куб!$D:$D,$D333,куб!O:O),IF($C333&lt;&gt;0,SUMIF(куб!$C:$C,$C333,куб!O:O),IF($B333&lt;&gt;0,SUMIF(куб!$B:$B,$B333,куб!O:O))))))</f>
        <v>0</v>
      </c>
      <c r="Z333" s="13" t="str">
        <f t="shared" ref="Z333:Z396" si="135">IFERROR((Y333-X333)/ABS(X333),"-")</f>
        <v>-</v>
      </c>
      <c r="AA333" s="5"/>
      <c r="AB333" s="33" t="str">
        <f t="shared" ref="AB333:AB396" si="136">IFERROR(X333/H333,"")</f>
        <v/>
      </c>
      <c r="AC333" s="33" t="str">
        <f t="shared" ref="AC333:AC396" si="137">IFERROR(Y333/I333,"")</f>
        <v/>
      </c>
      <c r="AD333" s="15" t="str">
        <f t="shared" ref="AD333:AD396" si="138">IFERROR(AC333-AB333," ")</f>
        <v xml:space="preserve"> </v>
      </c>
      <c r="AE333" s="5"/>
      <c r="AF333" s="27" t="b">
        <f>IF($G333&lt;&gt;0,SUMIF(куб!$G:$G,$G333,куб!R:R),IF($E333&lt;&gt;0,SUMIF(куб!$E:$E,$E333,куб!R:R),IF($D333&lt;&gt;0,SUMIF(куб!$D:$D,$D333,куб!R:R),IF($C333&lt;&gt;0,SUMIF(куб!$C:$C,$C333,куб!R:R),IF($B333&lt;&gt;0,SUMIF(куб!$B:$B,$B333,куб!R:R))))))</f>
        <v>0</v>
      </c>
      <c r="AG333" s="27" t="b">
        <f>IF($G333&lt;&gt;0,SUMIF(куб!$G:$G,$G333,куб!S:S),IF($E333&lt;&gt;0,SUMIF(куб!$E:$E,$E333,куб!S:S),IF($D333&lt;&gt;0,SUMIF(куб!$D:$D,$D333,куб!S:S),IF($C333&lt;&gt;0,SUMIF(куб!$C:$C,$C333,куб!S:S),IF($B333&lt;&gt;0,SUMIF(куб!$B:$B,$B333,куб!S:S))))))</f>
        <v>0</v>
      </c>
      <c r="AH333" s="16" t="str">
        <f t="shared" ref="AH333:AH396" si="139">IFERROR((AG333-AF333)/ABS(AF333),"-")</f>
        <v>-</v>
      </c>
      <c r="AI333" s="8"/>
      <c r="AJ333" s="27" t="b">
        <f>IF($G333&lt;&gt;0,SUMIF(куб!$G:$G,$G333,куб!T:T),IF($E333&lt;&gt;0,SUMIF(куб!$E:$E,$E333,куб!T:T),IF($D333&lt;&gt;0,SUMIF(куб!$D:$D,$D333,куб!T:T),IF($C333&lt;&gt;0,SUMIF(куб!$C:$C,$C333,куб!T:T),IF($B333&lt;&gt;0,SUMIF(куб!$B:$B,$B333,куб!T:T))))))</f>
        <v>0</v>
      </c>
      <c r="AK333" s="27" t="b">
        <f>IF($G333&lt;&gt;0,SUMIF(куб!$G:$G,$G333,куб!U:U),IF($E333&lt;&gt;0,SUMIF(куб!$E:$E,$E333,куб!U:U),IF($D333&lt;&gt;0,SUMIF(куб!$D:$D,$D333,куб!U:U),IF($C333&lt;&gt;0,SUMIF(куб!$C:$C,$C333,куб!U:U),IF($B333&lt;&gt;0,SUMIF(куб!$B:$B,$B333,куб!U:U))))))</f>
        <v>0</v>
      </c>
      <c r="AL333" s="16" t="str">
        <f t="shared" ref="AL333:AL396" si="140">IFERROR((AK333-AJ333)/ABS(AJ333),"-")</f>
        <v>-</v>
      </c>
      <c r="AM333" s="8"/>
      <c r="AN333" s="17" t="str">
        <f t="shared" ref="AN333:AN396" si="141">IFERROR(AF333/H333," ")</f>
        <v xml:space="preserve"> </v>
      </c>
      <c r="AO333" s="17" t="str">
        <f t="shared" ref="AO333:AO396" si="142">IFERROR(AG333/I333," ")</f>
        <v xml:space="preserve"> </v>
      </c>
      <c r="AP333" s="16" t="str">
        <f t="shared" ref="AP333:AP396" si="143">IFERROR(AO333-AN333,"-")</f>
        <v>-</v>
      </c>
      <c r="AQ333" s="8"/>
      <c r="AR333" s="17" t="str">
        <f t="shared" ref="AR333:AR396" si="144">IFERROR((X333-AF333)/H333,"-")</f>
        <v>-</v>
      </c>
      <c r="AS333" s="17" t="str">
        <f t="shared" ref="AS333:AS396" si="145">IFERROR((Y333-AG333)/I333,"-")</f>
        <v>-</v>
      </c>
      <c r="AT333" s="13" t="str">
        <f t="shared" ref="AT333:AT396" si="146">IFERROR(AS333-AR333,"-")</f>
        <v>-</v>
      </c>
      <c r="AU333" s="8"/>
    </row>
    <row r="334" spans="1:47" x14ac:dyDescent="0.25">
      <c r="A334" s="31"/>
      <c r="B334" s="31"/>
      <c r="C334"/>
      <c r="D334" s="31"/>
      <c r="E334"/>
      <c r="F334" s="31"/>
      <c r="G334"/>
      <c r="H334" s="27">
        <f>IF($G334&lt;&gt;0,SUMIF(куб!$G:$G,$G334,куб!H:H),IF($E334&lt;&gt;0,SUMIF(куб!$E:$E,$E334,куб!H:H),IF($D334&lt;&gt;0,SUMIF(куб!$D:$D,$D334,куб!H:H),IF($C334&lt;&gt;0,SUMIF(куб!$C:$C,$C334,куб!H:H),IF($B334&lt;&gt;0,SUMIF(куб!$B:$B,$B334,куб!H:H),IF($G334&lt;&gt;0,SUMIF(куб!$A:$A,$G334,куб!H:H),SUMIF(куб!$A:$A,$G334,куб!H:H)))))))</f>
        <v>0</v>
      </c>
      <c r="I334" s="27">
        <f>IF($G334&lt;&gt;0,SUMIF(куб!$G:$G,$G334,куб!I:I),IF($E334&lt;&gt;0,SUMIF(куб!$E:$E,$E334,куб!I:I),IF($D334&lt;&gt;0,SUMIF(куб!$D:$D,$D334,куб!I:I),IF($C334&lt;&gt;0,SUMIF(куб!$C:$C,$C334,куб!I:I),IF($B334&lt;&gt;0,SUMIF(куб!$B:$B,$B334,куб!I:I),IF($G334&lt;&gt;0,SUMIF(куб!$A:$A,$G334,куб!I:I),SUMIF(куб!$A:$A,$G334,куб!I:I)))))))</f>
        <v>0</v>
      </c>
      <c r="J334" s="19" t="str">
        <f t="shared" si="129"/>
        <v>-</v>
      </c>
      <c r="K334" s="8"/>
      <c r="L334" s="17">
        <f t="shared" si="130"/>
        <v>0</v>
      </c>
      <c r="M334" s="17">
        <f t="shared" si="131"/>
        <v>0</v>
      </c>
      <c r="N334" s="12">
        <f t="shared" si="132"/>
        <v>0</v>
      </c>
      <c r="O334" s="5"/>
      <c r="P334" s="27" t="b">
        <f>IF($G334&lt;&gt;0,SUMIF(куб!$G:$G,$G334,куб!J:J),IF($E334&lt;&gt;0,SUMIF(куб!$E:$E,$E334,куб!J:J),IF($D334&lt;&gt;0,SUMIF(куб!$D:$D,$D334,куб!J:J),IF($C334&lt;&gt;0,SUMIF(куб!$C:$C,$C334,куб!J:J),IF($B334&lt;&gt;0,SUMIF(куб!$B:$B,$B334,куб!J:J))))))</f>
        <v>0</v>
      </c>
      <c r="Q334" s="27" t="b">
        <f>IF($G334&lt;&gt;0,SUMIF(куб!$G:$G,$G334,куб!K:K),IF($E334&lt;&gt;0,SUMIF(куб!$E:$E,$E334,куб!K:K),IF($D334&lt;&gt;0,SUMIF(куб!$D:$D,$D334,куб!K:K),IF($C334&lt;&gt;0,SUMIF(куб!$C:$C,$C334,куб!K:K),IF($B334&lt;&gt;0,SUMIF(куб!$B:$B,$B334,куб!K:K))))))</f>
        <v>0</v>
      </c>
      <c r="R334" s="13" t="str">
        <f t="shared" si="133"/>
        <v>-</v>
      </c>
      <c r="S334" s="5"/>
      <c r="T334" s="27" t="b">
        <f>IF($G334&lt;&gt;0,SUMIF(куб!$G:$G,$G334,куб!L:L),IF($E334&lt;&gt;0,SUMIF(куб!$E:$E,$E334,куб!L:L),IF($D334&lt;&gt;0,SUMIF(куб!$D:$D,$D334,куб!L:L),IF($C334&lt;&gt;0,SUMIF(куб!$C:$C,$C334,куб!L:L),IF($B334&lt;&gt;0,SUMIF(куб!$B:$B,$B334,куб!L:L))))))</f>
        <v>0</v>
      </c>
      <c r="U334" s="27" t="b">
        <f>IF($G334&lt;&gt;0,SUMIF(куб!$G:$G,$G334,куб!M:M),IF($E334&lt;&gt;0,SUMIF(куб!$E:$E,$E334,куб!M:M),IF($D334&lt;&gt;0,SUMIF(куб!$D:$D,$D334,куб!M:M),IF($C334&lt;&gt;0,SUMIF(куб!$C:$C,$C334,куб!M:M),IF($B334&lt;&gt;0,SUMIF(куб!$B:$B,$B334,куб!M:M))))))</f>
        <v>0</v>
      </c>
      <c r="V334" s="13" t="str">
        <f t="shared" si="134"/>
        <v>-</v>
      </c>
      <c r="W334" s="5"/>
      <c r="X334" s="27" t="b">
        <f>IF($G334&lt;&gt;0,SUMIF(куб!$G:$G,$G334,куб!N:N),IF($E334&lt;&gt;0,SUMIF(куб!$E:$E,$E334,куб!N:N),IF($D334&lt;&gt;0,SUMIF(куб!$D:$D,$D334,куб!N:N),IF($C334&lt;&gt;0,SUMIF(куб!$C:$C,$C334,куб!N:N),IF($B334&lt;&gt;0,SUMIF(куб!$B:$B,$B334,куб!N:N))))))</f>
        <v>0</v>
      </c>
      <c r="Y334" s="27" t="b">
        <f>IF($G334&lt;&gt;0,SUMIF(куб!$G:$G,$G334,куб!O:O),IF($E334&lt;&gt;0,SUMIF(куб!$E:$E,$E334,куб!O:O),IF($D334&lt;&gt;0,SUMIF(куб!$D:$D,$D334,куб!O:O),IF($C334&lt;&gt;0,SUMIF(куб!$C:$C,$C334,куб!O:O),IF($B334&lt;&gt;0,SUMIF(куб!$B:$B,$B334,куб!O:O))))))</f>
        <v>0</v>
      </c>
      <c r="Z334" s="13" t="str">
        <f t="shared" si="135"/>
        <v>-</v>
      </c>
      <c r="AA334" s="5"/>
      <c r="AB334" s="33" t="str">
        <f t="shared" si="136"/>
        <v/>
      </c>
      <c r="AC334" s="33" t="str">
        <f t="shared" si="137"/>
        <v/>
      </c>
      <c r="AD334" s="15" t="str">
        <f t="shared" si="138"/>
        <v xml:space="preserve"> </v>
      </c>
      <c r="AE334" s="5"/>
      <c r="AF334" s="27" t="b">
        <f>IF($G334&lt;&gt;0,SUMIF(куб!$G:$G,$G334,куб!R:R),IF($E334&lt;&gt;0,SUMIF(куб!$E:$E,$E334,куб!R:R),IF($D334&lt;&gt;0,SUMIF(куб!$D:$D,$D334,куб!R:R),IF($C334&lt;&gt;0,SUMIF(куб!$C:$C,$C334,куб!R:R),IF($B334&lt;&gt;0,SUMIF(куб!$B:$B,$B334,куб!R:R))))))</f>
        <v>0</v>
      </c>
      <c r="AG334" s="27" t="b">
        <f>IF($G334&lt;&gt;0,SUMIF(куб!$G:$G,$G334,куб!S:S),IF($E334&lt;&gt;0,SUMIF(куб!$E:$E,$E334,куб!S:S),IF($D334&lt;&gt;0,SUMIF(куб!$D:$D,$D334,куб!S:S),IF($C334&lt;&gt;0,SUMIF(куб!$C:$C,$C334,куб!S:S),IF($B334&lt;&gt;0,SUMIF(куб!$B:$B,$B334,куб!S:S))))))</f>
        <v>0</v>
      </c>
      <c r="AH334" s="16" t="str">
        <f t="shared" si="139"/>
        <v>-</v>
      </c>
      <c r="AI334" s="8"/>
      <c r="AJ334" s="27" t="b">
        <f>IF($G334&lt;&gt;0,SUMIF(куб!$G:$G,$G334,куб!T:T),IF($E334&lt;&gt;0,SUMIF(куб!$E:$E,$E334,куб!T:T),IF($D334&lt;&gt;0,SUMIF(куб!$D:$D,$D334,куб!T:T),IF($C334&lt;&gt;0,SUMIF(куб!$C:$C,$C334,куб!T:T),IF($B334&lt;&gt;0,SUMIF(куб!$B:$B,$B334,куб!T:T))))))</f>
        <v>0</v>
      </c>
      <c r="AK334" s="27" t="b">
        <f>IF($G334&lt;&gt;0,SUMIF(куб!$G:$G,$G334,куб!U:U),IF($E334&lt;&gt;0,SUMIF(куб!$E:$E,$E334,куб!U:U),IF($D334&lt;&gt;0,SUMIF(куб!$D:$D,$D334,куб!U:U),IF($C334&lt;&gt;0,SUMIF(куб!$C:$C,$C334,куб!U:U),IF($B334&lt;&gt;0,SUMIF(куб!$B:$B,$B334,куб!U:U))))))</f>
        <v>0</v>
      </c>
      <c r="AL334" s="16" t="str">
        <f t="shared" si="140"/>
        <v>-</v>
      </c>
      <c r="AM334" s="8"/>
      <c r="AN334" s="17" t="str">
        <f t="shared" si="141"/>
        <v xml:space="preserve"> </v>
      </c>
      <c r="AO334" s="17" t="str">
        <f t="shared" si="142"/>
        <v xml:space="preserve"> </v>
      </c>
      <c r="AP334" s="16" t="str">
        <f t="shared" si="143"/>
        <v>-</v>
      </c>
      <c r="AQ334" s="8"/>
      <c r="AR334" s="17" t="str">
        <f t="shared" si="144"/>
        <v>-</v>
      </c>
      <c r="AS334" s="17" t="str">
        <f t="shared" si="145"/>
        <v>-</v>
      </c>
      <c r="AT334" s="13" t="str">
        <f t="shared" si="146"/>
        <v>-</v>
      </c>
      <c r="AU334" s="8"/>
    </row>
    <row r="335" spans="1:47" x14ac:dyDescent="0.25">
      <c r="A335" s="31"/>
      <c r="B335" s="31"/>
      <c r="C335"/>
      <c r="D335" s="31"/>
      <c r="E335"/>
      <c r="F335"/>
      <c r="G335"/>
      <c r="H335" s="27">
        <f>IF($G335&lt;&gt;0,SUMIF(куб!$G:$G,$G335,куб!H:H),IF($E335&lt;&gt;0,SUMIF(куб!$E:$E,$E335,куб!H:H),IF($D335&lt;&gt;0,SUMIF(куб!$D:$D,$D335,куб!H:H),IF($C335&lt;&gt;0,SUMIF(куб!$C:$C,$C335,куб!H:H),IF($B335&lt;&gt;0,SUMIF(куб!$B:$B,$B335,куб!H:H),IF($G335&lt;&gt;0,SUMIF(куб!$A:$A,$G335,куб!H:H),SUMIF(куб!$A:$A,$G335,куб!H:H)))))))</f>
        <v>0</v>
      </c>
      <c r="I335" s="27">
        <f>IF($G335&lt;&gt;0,SUMIF(куб!$G:$G,$G335,куб!I:I),IF($E335&lt;&gt;0,SUMIF(куб!$E:$E,$E335,куб!I:I),IF($D335&lt;&gt;0,SUMIF(куб!$D:$D,$D335,куб!I:I),IF($C335&lt;&gt;0,SUMIF(куб!$C:$C,$C335,куб!I:I),IF($B335&lt;&gt;0,SUMIF(куб!$B:$B,$B335,куб!I:I),IF($G335&lt;&gt;0,SUMIF(куб!$A:$A,$G335,куб!I:I),SUMIF(куб!$A:$A,$G335,куб!I:I)))))))</f>
        <v>0</v>
      </c>
      <c r="J335" s="19" t="str">
        <f t="shared" si="129"/>
        <v>-</v>
      </c>
      <c r="K335" s="8"/>
      <c r="L335" s="17">
        <f t="shared" si="130"/>
        <v>0</v>
      </c>
      <c r="M335" s="17">
        <f t="shared" si="131"/>
        <v>0</v>
      </c>
      <c r="N335" s="12">
        <f t="shared" si="132"/>
        <v>0</v>
      </c>
      <c r="O335" s="5"/>
      <c r="P335" s="27" t="b">
        <f>IF($G335&lt;&gt;0,SUMIF(куб!$G:$G,$G335,куб!J:J),IF($E335&lt;&gt;0,SUMIF(куб!$E:$E,$E335,куб!J:J),IF($D335&lt;&gt;0,SUMIF(куб!$D:$D,$D335,куб!J:J),IF($C335&lt;&gt;0,SUMIF(куб!$C:$C,$C335,куб!J:J),IF($B335&lt;&gt;0,SUMIF(куб!$B:$B,$B335,куб!J:J))))))</f>
        <v>0</v>
      </c>
      <c r="Q335" s="27" t="b">
        <f>IF($G335&lt;&gt;0,SUMIF(куб!$G:$G,$G335,куб!K:K),IF($E335&lt;&gt;0,SUMIF(куб!$E:$E,$E335,куб!K:K),IF($D335&lt;&gt;0,SUMIF(куб!$D:$D,$D335,куб!K:K),IF($C335&lt;&gt;0,SUMIF(куб!$C:$C,$C335,куб!K:K),IF($B335&lt;&gt;0,SUMIF(куб!$B:$B,$B335,куб!K:K))))))</f>
        <v>0</v>
      </c>
      <c r="R335" s="13" t="str">
        <f t="shared" si="133"/>
        <v>-</v>
      </c>
      <c r="S335" s="5"/>
      <c r="T335" s="27" t="b">
        <f>IF($G335&lt;&gt;0,SUMIF(куб!$G:$G,$G335,куб!L:L),IF($E335&lt;&gt;0,SUMIF(куб!$E:$E,$E335,куб!L:L),IF($D335&lt;&gt;0,SUMIF(куб!$D:$D,$D335,куб!L:L),IF($C335&lt;&gt;0,SUMIF(куб!$C:$C,$C335,куб!L:L),IF($B335&lt;&gt;0,SUMIF(куб!$B:$B,$B335,куб!L:L))))))</f>
        <v>0</v>
      </c>
      <c r="U335" s="27" t="b">
        <f>IF($G335&lt;&gt;0,SUMIF(куб!$G:$G,$G335,куб!M:M),IF($E335&lt;&gt;0,SUMIF(куб!$E:$E,$E335,куб!M:M),IF($D335&lt;&gt;0,SUMIF(куб!$D:$D,$D335,куб!M:M),IF($C335&lt;&gt;0,SUMIF(куб!$C:$C,$C335,куб!M:M),IF($B335&lt;&gt;0,SUMIF(куб!$B:$B,$B335,куб!M:M))))))</f>
        <v>0</v>
      </c>
      <c r="V335" s="13" t="str">
        <f t="shared" si="134"/>
        <v>-</v>
      </c>
      <c r="W335" s="5"/>
      <c r="X335" s="27" t="b">
        <f>IF($G335&lt;&gt;0,SUMIF(куб!$G:$G,$G335,куб!N:N),IF($E335&lt;&gt;0,SUMIF(куб!$E:$E,$E335,куб!N:N),IF($D335&lt;&gt;0,SUMIF(куб!$D:$D,$D335,куб!N:N),IF($C335&lt;&gt;0,SUMIF(куб!$C:$C,$C335,куб!N:N),IF($B335&lt;&gt;0,SUMIF(куб!$B:$B,$B335,куб!N:N))))))</f>
        <v>0</v>
      </c>
      <c r="Y335" s="27" t="b">
        <f>IF($G335&lt;&gt;0,SUMIF(куб!$G:$G,$G335,куб!O:O),IF($E335&lt;&gt;0,SUMIF(куб!$E:$E,$E335,куб!O:O),IF($D335&lt;&gt;0,SUMIF(куб!$D:$D,$D335,куб!O:O),IF($C335&lt;&gt;0,SUMIF(куб!$C:$C,$C335,куб!O:O),IF($B335&lt;&gt;0,SUMIF(куб!$B:$B,$B335,куб!O:O))))))</f>
        <v>0</v>
      </c>
      <c r="Z335" s="13" t="str">
        <f t="shared" si="135"/>
        <v>-</v>
      </c>
      <c r="AA335" s="5"/>
      <c r="AB335" s="33" t="str">
        <f t="shared" si="136"/>
        <v/>
      </c>
      <c r="AC335" s="33" t="str">
        <f t="shared" si="137"/>
        <v/>
      </c>
      <c r="AD335" s="15" t="str">
        <f t="shared" si="138"/>
        <v xml:space="preserve"> </v>
      </c>
      <c r="AE335" s="5"/>
      <c r="AF335" s="27" t="b">
        <f>IF($G335&lt;&gt;0,SUMIF(куб!$G:$G,$G335,куб!R:R),IF($E335&lt;&gt;0,SUMIF(куб!$E:$E,$E335,куб!R:R),IF($D335&lt;&gt;0,SUMIF(куб!$D:$D,$D335,куб!R:R),IF($C335&lt;&gt;0,SUMIF(куб!$C:$C,$C335,куб!R:R),IF($B335&lt;&gt;0,SUMIF(куб!$B:$B,$B335,куб!R:R))))))</f>
        <v>0</v>
      </c>
      <c r="AG335" s="27" t="b">
        <f>IF($G335&lt;&gt;0,SUMIF(куб!$G:$G,$G335,куб!S:S),IF($E335&lt;&gt;0,SUMIF(куб!$E:$E,$E335,куб!S:S),IF($D335&lt;&gt;0,SUMIF(куб!$D:$D,$D335,куб!S:S),IF($C335&lt;&gt;0,SUMIF(куб!$C:$C,$C335,куб!S:S),IF($B335&lt;&gt;0,SUMIF(куб!$B:$B,$B335,куб!S:S))))))</f>
        <v>0</v>
      </c>
      <c r="AH335" s="16" t="str">
        <f t="shared" si="139"/>
        <v>-</v>
      </c>
      <c r="AI335" s="8"/>
      <c r="AJ335" s="27" t="b">
        <f>IF($G335&lt;&gt;0,SUMIF(куб!$G:$G,$G335,куб!T:T),IF($E335&lt;&gt;0,SUMIF(куб!$E:$E,$E335,куб!T:T),IF($D335&lt;&gt;0,SUMIF(куб!$D:$D,$D335,куб!T:T),IF($C335&lt;&gt;0,SUMIF(куб!$C:$C,$C335,куб!T:T),IF($B335&lt;&gt;0,SUMIF(куб!$B:$B,$B335,куб!T:T))))))</f>
        <v>0</v>
      </c>
      <c r="AK335" s="27" t="b">
        <f>IF($G335&lt;&gt;0,SUMIF(куб!$G:$G,$G335,куб!U:U),IF($E335&lt;&gt;0,SUMIF(куб!$E:$E,$E335,куб!U:U),IF($D335&lt;&gt;0,SUMIF(куб!$D:$D,$D335,куб!U:U),IF($C335&lt;&gt;0,SUMIF(куб!$C:$C,$C335,куб!U:U),IF($B335&lt;&gt;0,SUMIF(куб!$B:$B,$B335,куб!U:U))))))</f>
        <v>0</v>
      </c>
      <c r="AL335" s="16" t="str">
        <f t="shared" si="140"/>
        <v>-</v>
      </c>
      <c r="AM335" s="8"/>
      <c r="AN335" s="17" t="str">
        <f t="shared" si="141"/>
        <v xml:space="preserve"> </v>
      </c>
      <c r="AO335" s="17" t="str">
        <f t="shared" si="142"/>
        <v xml:space="preserve"> </v>
      </c>
      <c r="AP335" s="16" t="str">
        <f t="shared" si="143"/>
        <v>-</v>
      </c>
      <c r="AQ335" s="8"/>
      <c r="AR335" s="17" t="str">
        <f t="shared" si="144"/>
        <v>-</v>
      </c>
      <c r="AS335" s="17" t="str">
        <f t="shared" si="145"/>
        <v>-</v>
      </c>
      <c r="AT335" s="13" t="str">
        <f t="shared" si="146"/>
        <v>-</v>
      </c>
      <c r="AU335" s="8"/>
    </row>
    <row r="336" spans="1:47" x14ac:dyDescent="0.25">
      <c r="A336" s="31"/>
      <c r="B336" s="31"/>
      <c r="C336"/>
      <c r="D336" s="31"/>
      <c r="E336"/>
      <c r="F336" s="31"/>
      <c r="G336"/>
      <c r="H336" s="27">
        <f>IF($G336&lt;&gt;0,SUMIF(куб!$G:$G,$G336,куб!H:H),IF($E336&lt;&gt;0,SUMIF(куб!$E:$E,$E336,куб!H:H),IF($D336&lt;&gt;0,SUMIF(куб!$D:$D,$D336,куб!H:H),IF($C336&lt;&gt;0,SUMIF(куб!$C:$C,$C336,куб!H:H),IF($B336&lt;&gt;0,SUMIF(куб!$B:$B,$B336,куб!H:H),IF($G336&lt;&gt;0,SUMIF(куб!$A:$A,$G336,куб!H:H),SUMIF(куб!$A:$A,$G336,куб!H:H)))))))</f>
        <v>0</v>
      </c>
      <c r="I336" s="27">
        <f>IF($G336&lt;&gt;0,SUMIF(куб!$G:$G,$G336,куб!I:I),IF($E336&lt;&gt;0,SUMIF(куб!$E:$E,$E336,куб!I:I),IF($D336&lt;&gt;0,SUMIF(куб!$D:$D,$D336,куб!I:I),IF($C336&lt;&gt;0,SUMIF(куб!$C:$C,$C336,куб!I:I),IF($B336&lt;&gt;0,SUMIF(куб!$B:$B,$B336,куб!I:I),IF($G336&lt;&gt;0,SUMIF(куб!$A:$A,$G336,куб!I:I),SUMIF(куб!$A:$A,$G336,куб!I:I)))))))</f>
        <v>0</v>
      </c>
      <c r="J336" s="19" t="str">
        <f t="shared" si="129"/>
        <v>-</v>
      </c>
      <c r="K336" s="8"/>
      <c r="L336" s="17">
        <f t="shared" si="130"/>
        <v>0</v>
      </c>
      <c r="M336" s="17">
        <f t="shared" si="131"/>
        <v>0</v>
      </c>
      <c r="N336" s="12">
        <f t="shared" si="132"/>
        <v>0</v>
      </c>
      <c r="O336" s="5"/>
      <c r="P336" s="27" t="b">
        <f>IF($G336&lt;&gt;0,SUMIF(куб!$G:$G,$G336,куб!J:J),IF($E336&lt;&gt;0,SUMIF(куб!$E:$E,$E336,куб!J:J),IF($D336&lt;&gt;0,SUMIF(куб!$D:$D,$D336,куб!J:J),IF($C336&lt;&gt;0,SUMIF(куб!$C:$C,$C336,куб!J:J),IF($B336&lt;&gt;0,SUMIF(куб!$B:$B,$B336,куб!J:J))))))</f>
        <v>0</v>
      </c>
      <c r="Q336" s="27" t="b">
        <f>IF($G336&lt;&gt;0,SUMIF(куб!$G:$G,$G336,куб!K:K),IF($E336&lt;&gt;0,SUMIF(куб!$E:$E,$E336,куб!K:K),IF($D336&lt;&gt;0,SUMIF(куб!$D:$D,$D336,куб!K:K),IF($C336&lt;&gt;0,SUMIF(куб!$C:$C,$C336,куб!K:K),IF($B336&lt;&gt;0,SUMIF(куб!$B:$B,$B336,куб!K:K))))))</f>
        <v>0</v>
      </c>
      <c r="R336" s="13" t="str">
        <f t="shared" si="133"/>
        <v>-</v>
      </c>
      <c r="S336" s="5"/>
      <c r="T336" s="27" t="b">
        <f>IF($G336&lt;&gt;0,SUMIF(куб!$G:$G,$G336,куб!L:L),IF($E336&lt;&gt;0,SUMIF(куб!$E:$E,$E336,куб!L:L),IF($D336&lt;&gt;0,SUMIF(куб!$D:$D,$D336,куб!L:L),IF($C336&lt;&gt;0,SUMIF(куб!$C:$C,$C336,куб!L:L),IF($B336&lt;&gt;0,SUMIF(куб!$B:$B,$B336,куб!L:L))))))</f>
        <v>0</v>
      </c>
      <c r="U336" s="27" t="b">
        <f>IF($G336&lt;&gt;0,SUMIF(куб!$G:$G,$G336,куб!M:M),IF($E336&lt;&gt;0,SUMIF(куб!$E:$E,$E336,куб!M:M),IF($D336&lt;&gt;0,SUMIF(куб!$D:$D,$D336,куб!M:M),IF($C336&lt;&gt;0,SUMIF(куб!$C:$C,$C336,куб!M:M),IF($B336&lt;&gt;0,SUMIF(куб!$B:$B,$B336,куб!M:M))))))</f>
        <v>0</v>
      </c>
      <c r="V336" s="13" t="str">
        <f t="shared" si="134"/>
        <v>-</v>
      </c>
      <c r="W336" s="5"/>
      <c r="X336" s="27" t="b">
        <f>IF($G336&lt;&gt;0,SUMIF(куб!$G:$G,$G336,куб!N:N),IF($E336&lt;&gt;0,SUMIF(куб!$E:$E,$E336,куб!N:N),IF($D336&lt;&gt;0,SUMIF(куб!$D:$D,$D336,куб!N:N),IF($C336&lt;&gt;0,SUMIF(куб!$C:$C,$C336,куб!N:N),IF($B336&lt;&gt;0,SUMIF(куб!$B:$B,$B336,куб!N:N))))))</f>
        <v>0</v>
      </c>
      <c r="Y336" s="27" t="b">
        <f>IF($G336&lt;&gt;0,SUMIF(куб!$G:$G,$G336,куб!O:O),IF($E336&lt;&gt;0,SUMIF(куб!$E:$E,$E336,куб!O:O),IF($D336&lt;&gt;0,SUMIF(куб!$D:$D,$D336,куб!O:O),IF($C336&lt;&gt;0,SUMIF(куб!$C:$C,$C336,куб!O:O),IF($B336&lt;&gt;0,SUMIF(куб!$B:$B,$B336,куб!O:O))))))</f>
        <v>0</v>
      </c>
      <c r="Z336" s="13" t="str">
        <f t="shared" si="135"/>
        <v>-</v>
      </c>
      <c r="AA336" s="5"/>
      <c r="AB336" s="33" t="str">
        <f t="shared" si="136"/>
        <v/>
      </c>
      <c r="AC336" s="33" t="str">
        <f t="shared" si="137"/>
        <v/>
      </c>
      <c r="AD336" s="15" t="str">
        <f t="shared" si="138"/>
        <v xml:space="preserve"> </v>
      </c>
      <c r="AE336" s="5"/>
      <c r="AF336" s="27" t="b">
        <f>IF($G336&lt;&gt;0,SUMIF(куб!$G:$G,$G336,куб!R:R),IF($E336&lt;&gt;0,SUMIF(куб!$E:$E,$E336,куб!R:R),IF($D336&lt;&gt;0,SUMIF(куб!$D:$D,$D336,куб!R:R),IF($C336&lt;&gt;0,SUMIF(куб!$C:$C,$C336,куб!R:R),IF($B336&lt;&gt;0,SUMIF(куб!$B:$B,$B336,куб!R:R))))))</f>
        <v>0</v>
      </c>
      <c r="AG336" s="27" t="b">
        <f>IF($G336&lt;&gt;0,SUMIF(куб!$G:$G,$G336,куб!S:S),IF($E336&lt;&gt;0,SUMIF(куб!$E:$E,$E336,куб!S:S),IF($D336&lt;&gt;0,SUMIF(куб!$D:$D,$D336,куб!S:S),IF($C336&lt;&gt;0,SUMIF(куб!$C:$C,$C336,куб!S:S),IF($B336&lt;&gt;0,SUMIF(куб!$B:$B,$B336,куб!S:S))))))</f>
        <v>0</v>
      </c>
      <c r="AH336" s="16" t="str">
        <f t="shared" si="139"/>
        <v>-</v>
      </c>
      <c r="AI336" s="8"/>
      <c r="AJ336" s="27" t="b">
        <f>IF($G336&lt;&gt;0,SUMIF(куб!$G:$G,$G336,куб!T:T),IF($E336&lt;&gt;0,SUMIF(куб!$E:$E,$E336,куб!T:T),IF($D336&lt;&gt;0,SUMIF(куб!$D:$D,$D336,куб!T:T),IF($C336&lt;&gt;0,SUMIF(куб!$C:$C,$C336,куб!T:T),IF($B336&lt;&gt;0,SUMIF(куб!$B:$B,$B336,куб!T:T))))))</f>
        <v>0</v>
      </c>
      <c r="AK336" s="27" t="b">
        <f>IF($G336&lt;&gt;0,SUMIF(куб!$G:$G,$G336,куб!U:U),IF($E336&lt;&gt;0,SUMIF(куб!$E:$E,$E336,куб!U:U),IF($D336&lt;&gt;0,SUMIF(куб!$D:$D,$D336,куб!U:U),IF($C336&lt;&gt;0,SUMIF(куб!$C:$C,$C336,куб!U:U),IF($B336&lt;&gt;0,SUMIF(куб!$B:$B,$B336,куб!U:U))))))</f>
        <v>0</v>
      </c>
      <c r="AL336" s="16" t="str">
        <f t="shared" si="140"/>
        <v>-</v>
      </c>
      <c r="AM336" s="8"/>
      <c r="AN336" s="17" t="str">
        <f t="shared" si="141"/>
        <v xml:space="preserve"> </v>
      </c>
      <c r="AO336" s="17" t="str">
        <f t="shared" si="142"/>
        <v xml:space="preserve"> </v>
      </c>
      <c r="AP336" s="16" t="str">
        <f t="shared" si="143"/>
        <v>-</v>
      </c>
      <c r="AQ336" s="8"/>
      <c r="AR336" s="17" t="str">
        <f t="shared" si="144"/>
        <v>-</v>
      </c>
      <c r="AS336" s="17" t="str">
        <f t="shared" si="145"/>
        <v>-</v>
      </c>
      <c r="AT336" s="13" t="str">
        <f t="shared" si="146"/>
        <v>-</v>
      </c>
      <c r="AU336" s="8"/>
    </row>
    <row r="337" spans="1:47" x14ac:dyDescent="0.25">
      <c r="A337" s="31"/>
      <c r="B337" s="31"/>
      <c r="C337"/>
      <c r="D337" s="31"/>
      <c r="E337"/>
      <c r="F337" s="31"/>
      <c r="G337"/>
      <c r="H337" s="27">
        <f>IF($G337&lt;&gt;0,SUMIF(куб!$G:$G,$G337,куб!H:H),IF($E337&lt;&gt;0,SUMIF(куб!$E:$E,$E337,куб!H:H),IF($D337&lt;&gt;0,SUMIF(куб!$D:$D,$D337,куб!H:H),IF($C337&lt;&gt;0,SUMIF(куб!$C:$C,$C337,куб!H:H),IF($B337&lt;&gt;0,SUMIF(куб!$B:$B,$B337,куб!H:H),IF($G337&lt;&gt;0,SUMIF(куб!$A:$A,$G337,куб!H:H),SUMIF(куб!$A:$A,$G337,куб!H:H)))))))</f>
        <v>0</v>
      </c>
      <c r="I337" s="27">
        <f>IF($G337&lt;&gt;0,SUMIF(куб!$G:$G,$G337,куб!I:I),IF($E337&lt;&gt;0,SUMIF(куб!$E:$E,$E337,куб!I:I),IF($D337&lt;&gt;0,SUMIF(куб!$D:$D,$D337,куб!I:I),IF($C337&lt;&gt;0,SUMIF(куб!$C:$C,$C337,куб!I:I),IF($B337&lt;&gt;0,SUMIF(куб!$B:$B,$B337,куб!I:I),IF($G337&lt;&gt;0,SUMIF(куб!$A:$A,$G337,куб!I:I),SUMIF(куб!$A:$A,$G337,куб!I:I)))))))</f>
        <v>0</v>
      </c>
      <c r="J337" s="19" t="str">
        <f t="shared" si="129"/>
        <v>-</v>
      </c>
      <c r="K337" s="8"/>
      <c r="L337" s="17">
        <f t="shared" si="130"/>
        <v>0</v>
      </c>
      <c r="M337" s="17">
        <f t="shared" si="131"/>
        <v>0</v>
      </c>
      <c r="N337" s="12">
        <f t="shared" si="132"/>
        <v>0</v>
      </c>
      <c r="O337" s="5"/>
      <c r="P337" s="27" t="b">
        <f>IF($G337&lt;&gt;0,SUMIF(куб!$G:$G,$G337,куб!J:J),IF($E337&lt;&gt;0,SUMIF(куб!$E:$E,$E337,куб!J:J),IF($D337&lt;&gt;0,SUMIF(куб!$D:$D,$D337,куб!J:J),IF($C337&lt;&gt;0,SUMIF(куб!$C:$C,$C337,куб!J:J),IF($B337&lt;&gt;0,SUMIF(куб!$B:$B,$B337,куб!J:J))))))</f>
        <v>0</v>
      </c>
      <c r="Q337" s="27" t="b">
        <f>IF($G337&lt;&gt;0,SUMIF(куб!$G:$G,$G337,куб!K:K),IF($E337&lt;&gt;0,SUMIF(куб!$E:$E,$E337,куб!K:K),IF($D337&lt;&gt;0,SUMIF(куб!$D:$D,$D337,куб!K:K),IF($C337&lt;&gt;0,SUMIF(куб!$C:$C,$C337,куб!K:K),IF($B337&lt;&gt;0,SUMIF(куб!$B:$B,$B337,куб!K:K))))))</f>
        <v>0</v>
      </c>
      <c r="R337" s="13" t="str">
        <f t="shared" si="133"/>
        <v>-</v>
      </c>
      <c r="S337" s="5"/>
      <c r="T337" s="27" t="b">
        <f>IF($G337&lt;&gt;0,SUMIF(куб!$G:$G,$G337,куб!L:L),IF($E337&lt;&gt;0,SUMIF(куб!$E:$E,$E337,куб!L:L),IF($D337&lt;&gt;0,SUMIF(куб!$D:$D,$D337,куб!L:L),IF($C337&lt;&gt;0,SUMIF(куб!$C:$C,$C337,куб!L:L),IF($B337&lt;&gt;0,SUMIF(куб!$B:$B,$B337,куб!L:L))))))</f>
        <v>0</v>
      </c>
      <c r="U337" s="27" t="b">
        <f>IF($G337&lt;&gt;0,SUMIF(куб!$G:$G,$G337,куб!M:M),IF($E337&lt;&gt;0,SUMIF(куб!$E:$E,$E337,куб!M:M),IF($D337&lt;&gt;0,SUMIF(куб!$D:$D,$D337,куб!M:M),IF($C337&lt;&gt;0,SUMIF(куб!$C:$C,$C337,куб!M:M),IF($B337&lt;&gt;0,SUMIF(куб!$B:$B,$B337,куб!M:M))))))</f>
        <v>0</v>
      </c>
      <c r="V337" s="13" t="str">
        <f t="shared" si="134"/>
        <v>-</v>
      </c>
      <c r="W337" s="5"/>
      <c r="X337" s="27" t="b">
        <f>IF($G337&lt;&gt;0,SUMIF(куб!$G:$G,$G337,куб!N:N),IF($E337&lt;&gt;0,SUMIF(куб!$E:$E,$E337,куб!N:N),IF($D337&lt;&gt;0,SUMIF(куб!$D:$D,$D337,куб!N:N),IF($C337&lt;&gt;0,SUMIF(куб!$C:$C,$C337,куб!N:N),IF($B337&lt;&gt;0,SUMIF(куб!$B:$B,$B337,куб!N:N))))))</f>
        <v>0</v>
      </c>
      <c r="Y337" s="27" t="b">
        <f>IF($G337&lt;&gt;0,SUMIF(куб!$G:$G,$G337,куб!O:O),IF($E337&lt;&gt;0,SUMIF(куб!$E:$E,$E337,куб!O:O),IF($D337&lt;&gt;0,SUMIF(куб!$D:$D,$D337,куб!O:O),IF($C337&lt;&gt;0,SUMIF(куб!$C:$C,$C337,куб!O:O),IF($B337&lt;&gt;0,SUMIF(куб!$B:$B,$B337,куб!O:O))))))</f>
        <v>0</v>
      </c>
      <c r="Z337" s="13" t="str">
        <f t="shared" si="135"/>
        <v>-</v>
      </c>
      <c r="AA337" s="5"/>
      <c r="AB337" s="33" t="str">
        <f t="shared" si="136"/>
        <v/>
      </c>
      <c r="AC337" s="33" t="str">
        <f t="shared" si="137"/>
        <v/>
      </c>
      <c r="AD337" s="15" t="str">
        <f t="shared" si="138"/>
        <v xml:space="preserve"> </v>
      </c>
      <c r="AE337" s="5"/>
      <c r="AF337" s="27" t="b">
        <f>IF($G337&lt;&gt;0,SUMIF(куб!$G:$G,$G337,куб!R:R),IF($E337&lt;&gt;0,SUMIF(куб!$E:$E,$E337,куб!R:R),IF($D337&lt;&gt;0,SUMIF(куб!$D:$D,$D337,куб!R:R),IF($C337&lt;&gt;0,SUMIF(куб!$C:$C,$C337,куб!R:R),IF($B337&lt;&gt;0,SUMIF(куб!$B:$B,$B337,куб!R:R))))))</f>
        <v>0</v>
      </c>
      <c r="AG337" s="27" t="b">
        <f>IF($G337&lt;&gt;0,SUMIF(куб!$G:$G,$G337,куб!S:S),IF($E337&lt;&gt;0,SUMIF(куб!$E:$E,$E337,куб!S:S),IF($D337&lt;&gt;0,SUMIF(куб!$D:$D,$D337,куб!S:S),IF($C337&lt;&gt;0,SUMIF(куб!$C:$C,$C337,куб!S:S),IF($B337&lt;&gt;0,SUMIF(куб!$B:$B,$B337,куб!S:S))))))</f>
        <v>0</v>
      </c>
      <c r="AH337" s="16" t="str">
        <f t="shared" si="139"/>
        <v>-</v>
      </c>
      <c r="AI337" s="8"/>
      <c r="AJ337" s="27" t="b">
        <f>IF($G337&lt;&gt;0,SUMIF(куб!$G:$G,$G337,куб!T:T),IF($E337&lt;&gt;0,SUMIF(куб!$E:$E,$E337,куб!T:T),IF($D337&lt;&gt;0,SUMIF(куб!$D:$D,$D337,куб!T:T),IF($C337&lt;&gt;0,SUMIF(куб!$C:$C,$C337,куб!T:T),IF($B337&lt;&gt;0,SUMIF(куб!$B:$B,$B337,куб!T:T))))))</f>
        <v>0</v>
      </c>
      <c r="AK337" s="27" t="b">
        <f>IF($G337&lt;&gt;0,SUMIF(куб!$G:$G,$G337,куб!U:U),IF($E337&lt;&gt;0,SUMIF(куб!$E:$E,$E337,куб!U:U),IF($D337&lt;&gt;0,SUMIF(куб!$D:$D,$D337,куб!U:U),IF($C337&lt;&gt;0,SUMIF(куб!$C:$C,$C337,куб!U:U),IF($B337&lt;&gt;0,SUMIF(куб!$B:$B,$B337,куб!U:U))))))</f>
        <v>0</v>
      </c>
      <c r="AL337" s="16" t="str">
        <f t="shared" si="140"/>
        <v>-</v>
      </c>
      <c r="AM337" s="8"/>
      <c r="AN337" s="17" t="str">
        <f t="shared" si="141"/>
        <v xml:space="preserve"> </v>
      </c>
      <c r="AO337" s="17" t="str">
        <f t="shared" si="142"/>
        <v xml:space="preserve"> </v>
      </c>
      <c r="AP337" s="16" t="str">
        <f t="shared" si="143"/>
        <v>-</v>
      </c>
      <c r="AQ337" s="8"/>
      <c r="AR337" s="17" t="str">
        <f t="shared" si="144"/>
        <v>-</v>
      </c>
      <c r="AS337" s="17" t="str">
        <f t="shared" si="145"/>
        <v>-</v>
      </c>
      <c r="AT337" s="13" t="str">
        <f t="shared" si="146"/>
        <v>-</v>
      </c>
      <c r="AU337" s="8"/>
    </row>
    <row r="338" spans="1:47" x14ac:dyDescent="0.25">
      <c r="A338" s="31"/>
      <c r="B338" s="31"/>
      <c r="C338"/>
      <c r="D338" s="31"/>
      <c r="E338"/>
      <c r="F338" s="31"/>
      <c r="G338"/>
      <c r="H338" s="27">
        <f>IF($G338&lt;&gt;0,SUMIF(куб!$G:$G,$G338,куб!H:H),IF($E338&lt;&gt;0,SUMIF(куб!$E:$E,$E338,куб!H:H),IF($D338&lt;&gt;0,SUMIF(куб!$D:$D,$D338,куб!H:H),IF($C338&lt;&gt;0,SUMIF(куб!$C:$C,$C338,куб!H:H),IF($B338&lt;&gt;0,SUMIF(куб!$B:$B,$B338,куб!H:H),IF($G338&lt;&gt;0,SUMIF(куб!$A:$A,$G338,куб!H:H),SUMIF(куб!$A:$A,$G338,куб!H:H)))))))</f>
        <v>0</v>
      </c>
      <c r="I338" s="27">
        <f>IF($G338&lt;&gt;0,SUMIF(куб!$G:$G,$G338,куб!I:I),IF($E338&lt;&gt;0,SUMIF(куб!$E:$E,$E338,куб!I:I),IF($D338&lt;&gt;0,SUMIF(куб!$D:$D,$D338,куб!I:I),IF($C338&lt;&gt;0,SUMIF(куб!$C:$C,$C338,куб!I:I),IF($B338&lt;&gt;0,SUMIF(куб!$B:$B,$B338,куб!I:I),IF($G338&lt;&gt;0,SUMIF(куб!$A:$A,$G338,куб!I:I),SUMIF(куб!$A:$A,$G338,куб!I:I)))))))</f>
        <v>0</v>
      </c>
      <c r="J338" s="19" t="str">
        <f t="shared" si="129"/>
        <v>-</v>
      </c>
      <c r="K338" s="8"/>
      <c r="L338" s="17">
        <f t="shared" si="130"/>
        <v>0</v>
      </c>
      <c r="M338" s="17">
        <f t="shared" si="131"/>
        <v>0</v>
      </c>
      <c r="N338" s="12">
        <f t="shared" si="132"/>
        <v>0</v>
      </c>
      <c r="O338" s="5"/>
      <c r="P338" s="27" t="b">
        <f>IF($G338&lt;&gt;0,SUMIF(куб!$G:$G,$G338,куб!J:J),IF($E338&lt;&gt;0,SUMIF(куб!$E:$E,$E338,куб!J:J),IF($D338&lt;&gt;0,SUMIF(куб!$D:$D,$D338,куб!J:J),IF($C338&lt;&gt;0,SUMIF(куб!$C:$C,$C338,куб!J:J),IF($B338&lt;&gt;0,SUMIF(куб!$B:$B,$B338,куб!J:J))))))</f>
        <v>0</v>
      </c>
      <c r="Q338" s="27" t="b">
        <f>IF($G338&lt;&gt;0,SUMIF(куб!$G:$G,$G338,куб!K:K),IF($E338&lt;&gt;0,SUMIF(куб!$E:$E,$E338,куб!K:K),IF($D338&lt;&gt;0,SUMIF(куб!$D:$D,$D338,куб!K:K),IF($C338&lt;&gt;0,SUMIF(куб!$C:$C,$C338,куб!K:K),IF($B338&lt;&gt;0,SUMIF(куб!$B:$B,$B338,куб!K:K))))))</f>
        <v>0</v>
      </c>
      <c r="R338" s="13" t="str">
        <f t="shared" si="133"/>
        <v>-</v>
      </c>
      <c r="S338" s="5"/>
      <c r="T338" s="27" t="b">
        <f>IF($G338&lt;&gt;0,SUMIF(куб!$G:$G,$G338,куб!L:L),IF($E338&lt;&gt;0,SUMIF(куб!$E:$E,$E338,куб!L:L),IF($D338&lt;&gt;0,SUMIF(куб!$D:$D,$D338,куб!L:L),IF($C338&lt;&gt;0,SUMIF(куб!$C:$C,$C338,куб!L:L),IF($B338&lt;&gt;0,SUMIF(куб!$B:$B,$B338,куб!L:L))))))</f>
        <v>0</v>
      </c>
      <c r="U338" s="27" t="b">
        <f>IF($G338&lt;&gt;0,SUMIF(куб!$G:$G,$G338,куб!M:M),IF($E338&lt;&gt;0,SUMIF(куб!$E:$E,$E338,куб!M:M),IF($D338&lt;&gt;0,SUMIF(куб!$D:$D,$D338,куб!M:M),IF($C338&lt;&gt;0,SUMIF(куб!$C:$C,$C338,куб!M:M),IF($B338&lt;&gt;0,SUMIF(куб!$B:$B,$B338,куб!M:M))))))</f>
        <v>0</v>
      </c>
      <c r="V338" s="13" t="str">
        <f t="shared" si="134"/>
        <v>-</v>
      </c>
      <c r="W338" s="5"/>
      <c r="X338" s="27" t="b">
        <f>IF($G338&lt;&gt;0,SUMIF(куб!$G:$G,$G338,куб!N:N),IF($E338&lt;&gt;0,SUMIF(куб!$E:$E,$E338,куб!N:N),IF($D338&lt;&gt;0,SUMIF(куб!$D:$D,$D338,куб!N:N),IF($C338&lt;&gt;0,SUMIF(куб!$C:$C,$C338,куб!N:N),IF($B338&lt;&gt;0,SUMIF(куб!$B:$B,$B338,куб!N:N))))))</f>
        <v>0</v>
      </c>
      <c r="Y338" s="27" t="b">
        <f>IF($G338&lt;&gt;0,SUMIF(куб!$G:$G,$G338,куб!O:O),IF($E338&lt;&gt;0,SUMIF(куб!$E:$E,$E338,куб!O:O),IF($D338&lt;&gt;0,SUMIF(куб!$D:$D,$D338,куб!O:O),IF($C338&lt;&gt;0,SUMIF(куб!$C:$C,$C338,куб!O:O),IF($B338&lt;&gt;0,SUMIF(куб!$B:$B,$B338,куб!O:O))))))</f>
        <v>0</v>
      </c>
      <c r="Z338" s="13" t="str">
        <f t="shared" si="135"/>
        <v>-</v>
      </c>
      <c r="AA338" s="5"/>
      <c r="AB338" s="33" t="str">
        <f t="shared" si="136"/>
        <v/>
      </c>
      <c r="AC338" s="33" t="str">
        <f t="shared" si="137"/>
        <v/>
      </c>
      <c r="AD338" s="15" t="str">
        <f t="shared" si="138"/>
        <v xml:space="preserve"> </v>
      </c>
      <c r="AE338" s="5"/>
      <c r="AF338" s="27" t="b">
        <f>IF($G338&lt;&gt;0,SUMIF(куб!$G:$G,$G338,куб!R:R),IF($E338&lt;&gt;0,SUMIF(куб!$E:$E,$E338,куб!R:R),IF($D338&lt;&gt;0,SUMIF(куб!$D:$D,$D338,куб!R:R),IF($C338&lt;&gt;0,SUMIF(куб!$C:$C,$C338,куб!R:R),IF($B338&lt;&gt;0,SUMIF(куб!$B:$B,$B338,куб!R:R))))))</f>
        <v>0</v>
      </c>
      <c r="AG338" s="27" t="b">
        <f>IF($G338&lt;&gt;0,SUMIF(куб!$G:$G,$G338,куб!S:S),IF($E338&lt;&gt;0,SUMIF(куб!$E:$E,$E338,куб!S:S),IF($D338&lt;&gt;0,SUMIF(куб!$D:$D,$D338,куб!S:S),IF($C338&lt;&gt;0,SUMIF(куб!$C:$C,$C338,куб!S:S),IF($B338&lt;&gt;0,SUMIF(куб!$B:$B,$B338,куб!S:S))))))</f>
        <v>0</v>
      </c>
      <c r="AH338" s="16" t="str">
        <f t="shared" si="139"/>
        <v>-</v>
      </c>
      <c r="AI338" s="8"/>
      <c r="AJ338" s="27" t="b">
        <f>IF($G338&lt;&gt;0,SUMIF(куб!$G:$G,$G338,куб!T:T),IF($E338&lt;&gt;0,SUMIF(куб!$E:$E,$E338,куб!T:T),IF($D338&lt;&gt;0,SUMIF(куб!$D:$D,$D338,куб!T:T),IF($C338&lt;&gt;0,SUMIF(куб!$C:$C,$C338,куб!T:T),IF($B338&lt;&gt;0,SUMIF(куб!$B:$B,$B338,куб!T:T))))))</f>
        <v>0</v>
      </c>
      <c r="AK338" s="27" t="b">
        <f>IF($G338&lt;&gt;0,SUMIF(куб!$G:$G,$G338,куб!U:U),IF($E338&lt;&gt;0,SUMIF(куб!$E:$E,$E338,куб!U:U),IF($D338&lt;&gt;0,SUMIF(куб!$D:$D,$D338,куб!U:U),IF($C338&lt;&gt;0,SUMIF(куб!$C:$C,$C338,куб!U:U),IF($B338&lt;&gt;0,SUMIF(куб!$B:$B,$B338,куб!U:U))))))</f>
        <v>0</v>
      </c>
      <c r="AL338" s="16" t="str">
        <f t="shared" si="140"/>
        <v>-</v>
      </c>
      <c r="AM338" s="8"/>
      <c r="AN338" s="17" t="str">
        <f t="shared" si="141"/>
        <v xml:space="preserve"> </v>
      </c>
      <c r="AO338" s="17" t="str">
        <f t="shared" si="142"/>
        <v xml:space="preserve"> </v>
      </c>
      <c r="AP338" s="16" t="str">
        <f t="shared" si="143"/>
        <v>-</v>
      </c>
      <c r="AQ338" s="8"/>
      <c r="AR338" s="17" t="str">
        <f t="shared" si="144"/>
        <v>-</v>
      </c>
      <c r="AS338" s="17" t="str">
        <f t="shared" si="145"/>
        <v>-</v>
      </c>
      <c r="AT338" s="13" t="str">
        <f t="shared" si="146"/>
        <v>-</v>
      </c>
      <c r="AU338" s="8"/>
    </row>
    <row r="339" spans="1:47" x14ac:dyDescent="0.25">
      <c r="A339" s="31"/>
      <c r="B339" s="31"/>
      <c r="C339"/>
      <c r="D339" s="31"/>
      <c r="E339"/>
      <c r="F339" s="31"/>
      <c r="G339"/>
      <c r="H339" s="27">
        <f>IF($G339&lt;&gt;0,SUMIF(куб!$G:$G,$G339,куб!H:H),IF($E339&lt;&gt;0,SUMIF(куб!$E:$E,$E339,куб!H:H),IF($D339&lt;&gt;0,SUMIF(куб!$D:$D,$D339,куб!H:H),IF($C339&lt;&gt;0,SUMIF(куб!$C:$C,$C339,куб!H:H),IF($B339&lt;&gt;0,SUMIF(куб!$B:$B,$B339,куб!H:H),IF($G339&lt;&gt;0,SUMIF(куб!$A:$A,$G339,куб!H:H),SUMIF(куб!$A:$A,$G339,куб!H:H)))))))</f>
        <v>0</v>
      </c>
      <c r="I339" s="27">
        <f>IF($G339&lt;&gt;0,SUMIF(куб!$G:$G,$G339,куб!I:I),IF($E339&lt;&gt;0,SUMIF(куб!$E:$E,$E339,куб!I:I),IF($D339&lt;&gt;0,SUMIF(куб!$D:$D,$D339,куб!I:I),IF($C339&lt;&gt;0,SUMIF(куб!$C:$C,$C339,куб!I:I),IF($B339&lt;&gt;0,SUMIF(куб!$B:$B,$B339,куб!I:I),IF($G339&lt;&gt;0,SUMIF(куб!$A:$A,$G339,куб!I:I),SUMIF(куб!$A:$A,$G339,куб!I:I)))))))</f>
        <v>0</v>
      </c>
      <c r="J339" s="19" t="str">
        <f t="shared" si="129"/>
        <v>-</v>
      </c>
      <c r="K339" s="8"/>
      <c r="L339" s="17">
        <f t="shared" si="130"/>
        <v>0</v>
      </c>
      <c r="M339" s="17">
        <f t="shared" si="131"/>
        <v>0</v>
      </c>
      <c r="N339" s="12">
        <f t="shared" si="132"/>
        <v>0</v>
      </c>
      <c r="O339" s="5"/>
      <c r="P339" s="27" t="b">
        <f>IF($G339&lt;&gt;0,SUMIF(куб!$G:$G,$G339,куб!J:J),IF($E339&lt;&gt;0,SUMIF(куб!$E:$E,$E339,куб!J:J),IF($D339&lt;&gt;0,SUMIF(куб!$D:$D,$D339,куб!J:J),IF($C339&lt;&gt;0,SUMIF(куб!$C:$C,$C339,куб!J:J),IF($B339&lt;&gt;0,SUMIF(куб!$B:$B,$B339,куб!J:J))))))</f>
        <v>0</v>
      </c>
      <c r="Q339" s="27" t="b">
        <f>IF($G339&lt;&gt;0,SUMIF(куб!$G:$G,$G339,куб!K:K),IF($E339&lt;&gt;0,SUMIF(куб!$E:$E,$E339,куб!K:K),IF($D339&lt;&gt;0,SUMIF(куб!$D:$D,$D339,куб!K:K),IF($C339&lt;&gt;0,SUMIF(куб!$C:$C,$C339,куб!K:K),IF($B339&lt;&gt;0,SUMIF(куб!$B:$B,$B339,куб!K:K))))))</f>
        <v>0</v>
      </c>
      <c r="R339" s="13" t="str">
        <f t="shared" si="133"/>
        <v>-</v>
      </c>
      <c r="S339" s="5"/>
      <c r="T339" s="27" t="b">
        <f>IF($G339&lt;&gt;0,SUMIF(куб!$G:$G,$G339,куб!L:L),IF($E339&lt;&gt;0,SUMIF(куб!$E:$E,$E339,куб!L:L),IF($D339&lt;&gt;0,SUMIF(куб!$D:$D,$D339,куб!L:L),IF($C339&lt;&gt;0,SUMIF(куб!$C:$C,$C339,куб!L:L),IF($B339&lt;&gt;0,SUMIF(куб!$B:$B,$B339,куб!L:L))))))</f>
        <v>0</v>
      </c>
      <c r="U339" s="27" t="b">
        <f>IF($G339&lt;&gt;0,SUMIF(куб!$G:$G,$G339,куб!M:M),IF($E339&lt;&gt;0,SUMIF(куб!$E:$E,$E339,куб!M:M),IF($D339&lt;&gt;0,SUMIF(куб!$D:$D,$D339,куб!M:M),IF($C339&lt;&gt;0,SUMIF(куб!$C:$C,$C339,куб!M:M),IF($B339&lt;&gt;0,SUMIF(куб!$B:$B,$B339,куб!M:M))))))</f>
        <v>0</v>
      </c>
      <c r="V339" s="13" t="str">
        <f t="shared" si="134"/>
        <v>-</v>
      </c>
      <c r="W339" s="5"/>
      <c r="X339" s="27" t="b">
        <f>IF($G339&lt;&gt;0,SUMIF(куб!$G:$G,$G339,куб!N:N),IF($E339&lt;&gt;0,SUMIF(куб!$E:$E,$E339,куб!N:N),IF($D339&lt;&gt;0,SUMIF(куб!$D:$D,$D339,куб!N:N),IF($C339&lt;&gt;0,SUMIF(куб!$C:$C,$C339,куб!N:N),IF($B339&lt;&gt;0,SUMIF(куб!$B:$B,$B339,куб!N:N))))))</f>
        <v>0</v>
      </c>
      <c r="Y339" s="27" t="b">
        <f>IF($G339&lt;&gt;0,SUMIF(куб!$G:$G,$G339,куб!O:O),IF($E339&lt;&gt;0,SUMIF(куб!$E:$E,$E339,куб!O:O),IF($D339&lt;&gt;0,SUMIF(куб!$D:$D,$D339,куб!O:O),IF($C339&lt;&gt;0,SUMIF(куб!$C:$C,$C339,куб!O:O),IF($B339&lt;&gt;0,SUMIF(куб!$B:$B,$B339,куб!O:O))))))</f>
        <v>0</v>
      </c>
      <c r="Z339" s="13" t="str">
        <f t="shared" si="135"/>
        <v>-</v>
      </c>
      <c r="AA339" s="5"/>
      <c r="AB339" s="33" t="str">
        <f t="shared" si="136"/>
        <v/>
      </c>
      <c r="AC339" s="33" t="str">
        <f t="shared" si="137"/>
        <v/>
      </c>
      <c r="AD339" s="15" t="str">
        <f t="shared" si="138"/>
        <v xml:space="preserve"> </v>
      </c>
      <c r="AE339" s="5"/>
      <c r="AF339" s="27" t="b">
        <f>IF($G339&lt;&gt;0,SUMIF(куб!$G:$G,$G339,куб!R:R),IF($E339&lt;&gt;0,SUMIF(куб!$E:$E,$E339,куб!R:R),IF($D339&lt;&gt;0,SUMIF(куб!$D:$D,$D339,куб!R:R),IF($C339&lt;&gt;0,SUMIF(куб!$C:$C,$C339,куб!R:R),IF($B339&lt;&gt;0,SUMIF(куб!$B:$B,$B339,куб!R:R))))))</f>
        <v>0</v>
      </c>
      <c r="AG339" s="27" t="b">
        <f>IF($G339&lt;&gt;0,SUMIF(куб!$G:$G,$G339,куб!S:S),IF($E339&lt;&gt;0,SUMIF(куб!$E:$E,$E339,куб!S:S),IF($D339&lt;&gt;0,SUMIF(куб!$D:$D,$D339,куб!S:S),IF($C339&lt;&gt;0,SUMIF(куб!$C:$C,$C339,куб!S:S),IF($B339&lt;&gt;0,SUMIF(куб!$B:$B,$B339,куб!S:S))))))</f>
        <v>0</v>
      </c>
      <c r="AH339" s="16" t="str">
        <f t="shared" si="139"/>
        <v>-</v>
      </c>
      <c r="AI339" s="8"/>
      <c r="AJ339" s="27" t="b">
        <f>IF($G339&lt;&gt;0,SUMIF(куб!$G:$G,$G339,куб!T:T),IF($E339&lt;&gt;0,SUMIF(куб!$E:$E,$E339,куб!T:T),IF($D339&lt;&gt;0,SUMIF(куб!$D:$D,$D339,куб!T:T),IF($C339&lt;&gt;0,SUMIF(куб!$C:$C,$C339,куб!T:T),IF($B339&lt;&gt;0,SUMIF(куб!$B:$B,$B339,куб!T:T))))))</f>
        <v>0</v>
      </c>
      <c r="AK339" s="27" t="b">
        <f>IF($G339&lt;&gt;0,SUMIF(куб!$G:$G,$G339,куб!U:U),IF($E339&lt;&gt;0,SUMIF(куб!$E:$E,$E339,куб!U:U),IF($D339&lt;&gt;0,SUMIF(куб!$D:$D,$D339,куб!U:U),IF($C339&lt;&gt;0,SUMIF(куб!$C:$C,$C339,куб!U:U),IF($B339&lt;&gt;0,SUMIF(куб!$B:$B,$B339,куб!U:U))))))</f>
        <v>0</v>
      </c>
      <c r="AL339" s="16" t="str">
        <f t="shared" si="140"/>
        <v>-</v>
      </c>
      <c r="AM339" s="8"/>
      <c r="AN339" s="17" t="str">
        <f t="shared" si="141"/>
        <v xml:space="preserve"> </v>
      </c>
      <c r="AO339" s="17" t="str">
        <f t="shared" si="142"/>
        <v xml:space="preserve"> </v>
      </c>
      <c r="AP339" s="16" t="str">
        <f t="shared" si="143"/>
        <v>-</v>
      </c>
      <c r="AQ339" s="8"/>
      <c r="AR339" s="17" t="str">
        <f t="shared" si="144"/>
        <v>-</v>
      </c>
      <c r="AS339" s="17" t="str">
        <f t="shared" si="145"/>
        <v>-</v>
      </c>
      <c r="AT339" s="13" t="str">
        <f t="shared" si="146"/>
        <v>-</v>
      </c>
      <c r="AU339" s="8"/>
    </row>
    <row r="340" spans="1:47" x14ac:dyDescent="0.25">
      <c r="A340" s="31"/>
      <c r="B340" s="31"/>
      <c r="C340"/>
      <c r="D340" s="31"/>
      <c r="E340"/>
      <c r="F340" s="31"/>
      <c r="G340"/>
      <c r="H340" s="27">
        <f>IF($G340&lt;&gt;0,SUMIF(куб!$G:$G,$G340,куб!H:H),IF($E340&lt;&gt;0,SUMIF(куб!$E:$E,$E340,куб!H:H),IF($D340&lt;&gt;0,SUMIF(куб!$D:$D,$D340,куб!H:H),IF($C340&lt;&gt;0,SUMIF(куб!$C:$C,$C340,куб!H:H),IF($B340&lt;&gt;0,SUMIF(куб!$B:$B,$B340,куб!H:H),IF($G340&lt;&gt;0,SUMIF(куб!$A:$A,$G340,куб!H:H),SUMIF(куб!$A:$A,$G340,куб!H:H)))))))</f>
        <v>0</v>
      </c>
      <c r="I340" s="27">
        <f>IF($G340&lt;&gt;0,SUMIF(куб!$G:$G,$G340,куб!I:I),IF($E340&lt;&gt;0,SUMIF(куб!$E:$E,$E340,куб!I:I),IF($D340&lt;&gt;0,SUMIF(куб!$D:$D,$D340,куб!I:I),IF($C340&lt;&gt;0,SUMIF(куб!$C:$C,$C340,куб!I:I),IF($B340&lt;&gt;0,SUMIF(куб!$B:$B,$B340,куб!I:I),IF($G340&lt;&gt;0,SUMIF(куб!$A:$A,$G340,куб!I:I),SUMIF(куб!$A:$A,$G340,куб!I:I)))))))</f>
        <v>0</v>
      </c>
      <c r="J340" s="19" t="str">
        <f t="shared" si="129"/>
        <v>-</v>
      </c>
      <c r="K340" s="8"/>
      <c r="L340" s="17">
        <f t="shared" si="130"/>
        <v>0</v>
      </c>
      <c r="M340" s="17">
        <f t="shared" si="131"/>
        <v>0</v>
      </c>
      <c r="N340" s="12">
        <f t="shared" si="132"/>
        <v>0</v>
      </c>
      <c r="O340" s="5"/>
      <c r="P340" s="27" t="b">
        <f>IF($G340&lt;&gt;0,SUMIF(куб!$G:$G,$G340,куб!J:J),IF($E340&lt;&gt;0,SUMIF(куб!$E:$E,$E340,куб!J:J),IF($D340&lt;&gt;0,SUMIF(куб!$D:$D,$D340,куб!J:J),IF($C340&lt;&gt;0,SUMIF(куб!$C:$C,$C340,куб!J:J),IF($B340&lt;&gt;0,SUMIF(куб!$B:$B,$B340,куб!J:J))))))</f>
        <v>0</v>
      </c>
      <c r="Q340" s="27" t="b">
        <f>IF($G340&lt;&gt;0,SUMIF(куб!$G:$G,$G340,куб!K:K),IF($E340&lt;&gt;0,SUMIF(куб!$E:$E,$E340,куб!K:K),IF($D340&lt;&gt;0,SUMIF(куб!$D:$D,$D340,куб!K:K),IF($C340&lt;&gt;0,SUMIF(куб!$C:$C,$C340,куб!K:K),IF($B340&lt;&gt;0,SUMIF(куб!$B:$B,$B340,куб!K:K))))))</f>
        <v>0</v>
      </c>
      <c r="R340" s="13" t="str">
        <f t="shared" si="133"/>
        <v>-</v>
      </c>
      <c r="S340" s="5"/>
      <c r="T340" s="27" t="b">
        <f>IF($G340&lt;&gt;0,SUMIF(куб!$G:$G,$G340,куб!L:L),IF($E340&lt;&gt;0,SUMIF(куб!$E:$E,$E340,куб!L:L),IF($D340&lt;&gt;0,SUMIF(куб!$D:$D,$D340,куб!L:L),IF($C340&lt;&gt;0,SUMIF(куб!$C:$C,$C340,куб!L:L),IF($B340&lt;&gt;0,SUMIF(куб!$B:$B,$B340,куб!L:L))))))</f>
        <v>0</v>
      </c>
      <c r="U340" s="27" t="b">
        <f>IF($G340&lt;&gt;0,SUMIF(куб!$G:$G,$G340,куб!M:M),IF($E340&lt;&gt;0,SUMIF(куб!$E:$E,$E340,куб!M:M),IF($D340&lt;&gt;0,SUMIF(куб!$D:$D,$D340,куб!M:M),IF($C340&lt;&gt;0,SUMIF(куб!$C:$C,$C340,куб!M:M),IF($B340&lt;&gt;0,SUMIF(куб!$B:$B,$B340,куб!M:M))))))</f>
        <v>0</v>
      </c>
      <c r="V340" s="13" t="str">
        <f t="shared" si="134"/>
        <v>-</v>
      </c>
      <c r="W340" s="5"/>
      <c r="X340" s="27" t="b">
        <f>IF($G340&lt;&gt;0,SUMIF(куб!$G:$G,$G340,куб!N:N),IF($E340&lt;&gt;0,SUMIF(куб!$E:$E,$E340,куб!N:N),IF($D340&lt;&gt;0,SUMIF(куб!$D:$D,$D340,куб!N:N),IF($C340&lt;&gt;0,SUMIF(куб!$C:$C,$C340,куб!N:N),IF($B340&lt;&gt;0,SUMIF(куб!$B:$B,$B340,куб!N:N))))))</f>
        <v>0</v>
      </c>
      <c r="Y340" s="27" t="b">
        <f>IF($G340&lt;&gt;0,SUMIF(куб!$G:$G,$G340,куб!O:O),IF($E340&lt;&gt;0,SUMIF(куб!$E:$E,$E340,куб!O:O),IF($D340&lt;&gt;0,SUMIF(куб!$D:$D,$D340,куб!O:O),IF($C340&lt;&gt;0,SUMIF(куб!$C:$C,$C340,куб!O:O),IF($B340&lt;&gt;0,SUMIF(куб!$B:$B,$B340,куб!O:O))))))</f>
        <v>0</v>
      </c>
      <c r="Z340" s="13" t="str">
        <f t="shared" si="135"/>
        <v>-</v>
      </c>
      <c r="AA340" s="5"/>
      <c r="AB340" s="33" t="str">
        <f t="shared" si="136"/>
        <v/>
      </c>
      <c r="AC340" s="33" t="str">
        <f t="shared" si="137"/>
        <v/>
      </c>
      <c r="AD340" s="15" t="str">
        <f t="shared" si="138"/>
        <v xml:space="preserve"> </v>
      </c>
      <c r="AE340" s="5"/>
      <c r="AF340" s="27" t="b">
        <f>IF($G340&lt;&gt;0,SUMIF(куб!$G:$G,$G340,куб!R:R),IF($E340&lt;&gt;0,SUMIF(куб!$E:$E,$E340,куб!R:R),IF($D340&lt;&gt;0,SUMIF(куб!$D:$D,$D340,куб!R:R),IF($C340&lt;&gt;0,SUMIF(куб!$C:$C,$C340,куб!R:R),IF($B340&lt;&gt;0,SUMIF(куб!$B:$B,$B340,куб!R:R))))))</f>
        <v>0</v>
      </c>
      <c r="AG340" s="27" t="b">
        <f>IF($G340&lt;&gt;0,SUMIF(куб!$G:$G,$G340,куб!S:S),IF($E340&lt;&gt;0,SUMIF(куб!$E:$E,$E340,куб!S:S),IF($D340&lt;&gt;0,SUMIF(куб!$D:$D,$D340,куб!S:S),IF($C340&lt;&gt;0,SUMIF(куб!$C:$C,$C340,куб!S:S),IF($B340&lt;&gt;0,SUMIF(куб!$B:$B,$B340,куб!S:S))))))</f>
        <v>0</v>
      </c>
      <c r="AH340" s="16" t="str">
        <f t="shared" si="139"/>
        <v>-</v>
      </c>
      <c r="AI340" s="8"/>
      <c r="AJ340" s="27" t="b">
        <f>IF($G340&lt;&gt;0,SUMIF(куб!$G:$G,$G340,куб!T:T),IF($E340&lt;&gt;0,SUMIF(куб!$E:$E,$E340,куб!T:T),IF($D340&lt;&gt;0,SUMIF(куб!$D:$D,$D340,куб!T:T),IF($C340&lt;&gt;0,SUMIF(куб!$C:$C,$C340,куб!T:T),IF($B340&lt;&gt;0,SUMIF(куб!$B:$B,$B340,куб!T:T))))))</f>
        <v>0</v>
      </c>
      <c r="AK340" s="27" t="b">
        <f>IF($G340&lt;&gt;0,SUMIF(куб!$G:$G,$G340,куб!U:U),IF($E340&lt;&gt;0,SUMIF(куб!$E:$E,$E340,куб!U:U),IF($D340&lt;&gt;0,SUMIF(куб!$D:$D,$D340,куб!U:U),IF($C340&lt;&gt;0,SUMIF(куб!$C:$C,$C340,куб!U:U),IF($B340&lt;&gt;0,SUMIF(куб!$B:$B,$B340,куб!U:U))))))</f>
        <v>0</v>
      </c>
      <c r="AL340" s="16" t="str">
        <f t="shared" si="140"/>
        <v>-</v>
      </c>
      <c r="AM340" s="8"/>
      <c r="AN340" s="17" t="str">
        <f t="shared" si="141"/>
        <v xml:space="preserve"> </v>
      </c>
      <c r="AO340" s="17" t="str">
        <f t="shared" si="142"/>
        <v xml:space="preserve"> </v>
      </c>
      <c r="AP340" s="16" t="str">
        <f t="shared" si="143"/>
        <v>-</v>
      </c>
      <c r="AQ340" s="8"/>
      <c r="AR340" s="17" t="str">
        <f t="shared" si="144"/>
        <v>-</v>
      </c>
      <c r="AS340" s="17" t="str">
        <f t="shared" si="145"/>
        <v>-</v>
      </c>
      <c r="AT340" s="13" t="str">
        <f t="shared" si="146"/>
        <v>-</v>
      </c>
      <c r="AU340" s="8"/>
    </row>
    <row r="341" spans="1:47" x14ac:dyDescent="0.25">
      <c r="A341" s="31"/>
      <c r="B341" s="31"/>
      <c r="C341"/>
      <c r="D341" s="31"/>
      <c r="E341"/>
      <c r="F341"/>
      <c r="G341"/>
      <c r="H341" s="27">
        <f>IF($G341&lt;&gt;0,SUMIF(куб!$G:$G,$G341,куб!H:H),IF($E341&lt;&gt;0,SUMIF(куб!$E:$E,$E341,куб!H:H),IF($D341&lt;&gt;0,SUMIF(куб!$D:$D,$D341,куб!H:H),IF($C341&lt;&gt;0,SUMIF(куб!$C:$C,$C341,куб!H:H),IF($B341&lt;&gt;0,SUMIF(куб!$B:$B,$B341,куб!H:H),IF($G341&lt;&gt;0,SUMIF(куб!$A:$A,$G341,куб!H:H),SUMIF(куб!$A:$A,$G341,куб!H:H)))))))</f>
        <v>0</v>
      </c>
      <c r="I341" s="27">
        <f>IF($G341&lt;&gt;0,SUMIF(куб!$G:$G,$G341,куб!I:I),IF($E341&lt;&gt;0,SUMIF(куб!$E:$E,$E341,куб!I:I),IF($D341&lt;&gt;0,SUMIF(куб!$D:$D,$D341,куб!I:I),IF($C341&lt;&gt;0,SUMIF(куб!$C:$C,$C341,куб!I:I),IF($B341&lt;&gt;0,SUMIF(куб!$B:$B,$B341,куб!I:I),IF($G341&lt;&gt;0,SUMIF(куб!$A:$A,$G341,куб!I:I),SUMIF(куб!$A:$A,$G341,куб!I:I)))))))</f>
        <v>0</v>
      </c>
      <c r="J341" s="19" t="str">
        <f t="shared" si="129"/>
        <v>-</v>
      </c>
      <c r="K341" s="8"/>
      <c r="L341" s="17">
        <f t="shared" si="130"/>
        <v>0</v>
      </c>
      <c r="M341" s="17">
        <f t="shared" si="131"/>
        <v>0</v>
      </c>
      <c r="N341" s="12">
        <f t="shared" si="132"/>
        <v>0</v>
      </c>
      <c r="O341" s="5"/>
      <c r="P341" s="27" t="b">
        <f>IF($G341&lt;&gt;0,SUMIF(куб!$G:$G,$G341,куб!J:J),IF($E341&lt;&gt;0,SUMIF(куб!$E:$E,$E341,куб!J:J),IF($D341&lt;&gt;0,SUMIF(куб!$D:$D,$D341,куб!J:J),IF($C341&lt;&gt;0,SUMIF(куб!$C:$C,$C341,куб!J:J),IF($B341&lt;&gt;0,SUMIF(куб!$B:$B,$B341,куб!J:J))))))</f>
        <v>0</v>
      </c>
      <c r="Q341" s="27" t="b">
        <f>IF($G341&lt;&gt;0,SUMIF(куб!$G:$G,$G341,куб!K:K),IF($E341&lt;&gt;0,SUMIF(куб!$E:$E,$E341,куб!K:K),IF($D341&lt;&gt;0,SUMIF(куб!$D:$D,$D341,куб!K:K),IF($C341&lt;&gt;0,SUMIF(куб!$C:$C,$C341,куб!K:K),IF($B341&lt;&gt;0,SUMIF(куб!$B:$B,$B341,куб!K:K))))))</f>
        <v>0</v>
      </c>
      <c r="R341" s="13" t="str">
        <f t="shared" si="133"/>
        <v>-</v>
      </c>
      <c r="S341" s="5"/>
      <c r="T341" s="27" t="b">
        <f>IF($G341&lt;&gt;0,SUMIF(куб!$G:$G,$G341,куб!L:L),IF($E341&lt;&gt;0,SUMIF(куб!$E:$E,$E341,куб!L:L),IF($D341&lt;&gt;0,SUMIF(куб!$D:$D,$D341,куб!L:L),IF($C341&lt;&gt;0,SUMIF(куб!$C:$C,$C341,куб!L:L),IF($B341&lt;&gt;0,SUMIF(куб!$B:$B,$B341,куб!L:L))))))</f>
        <v>0</v>
      </c>
      <c r="U341" s="27" t="b">
        <f>IF($G341&lt;&gt;0,SUMIF(куб!$G:$G,$G341,куб!M:M),IF($E341&lt;&gt;0,SUMIF(куб!$E:$E,$E341,куб!M:M),IF($D341&lt;&gt;0,SUMIF(куб!$D:$D,$D341,куб!M:M),IF($C341&lt;&gt;0,SUMIF(куб!$C:$C,$C341,куб!M:M),IF($B341&lt;&gt;0,SUMIF(куб!$B:$B,$B341,куб!M:M))))))</f>
        <v>0</v>
      </c>
      <c r="V341" s="13" t="str">
        <f t="shared" si="134"/>
        <v>-</v>
      </c>
      <c r="W341" s="5"/>
      <c r="X341" s="27" t="b">
        <f>IF($G341&lt;&gt;0,SUMIF(куб!$G:$G,$G341,куб!N:N),IF($E341&lt;&gt;0,SUMIF(куб!$E:$E,$E341,куб!N:N),IF($D341&lt;&gt;0,SUMIF(куб!$D:$D,$D341,куб!N:N),IF($C341&lt;&gt;0,SUMIF(куб!$C:$C,$C341,куб!N:N),IF($B341&lt;&gt;0,SUMIF(куб!$B:$B,$B341,куб!N:N))))))</f>
        <v>0</v>
      </c>
      <c r="Y341" s="27" t="b">
        <f>IF($G341&lt;&gt;0,SUMIF(куб!$G:$G,$G341,куб!O:O),IF($E341&lt;&gt;0,SUMIF(куб!$E:$E,$E341,куб!O:O),IF($D341&lt;&gt;0,SUMIF(куб!$D:$D,$D341,куб!O:O),IF($C341&lt;&gt;0,SUMIF(куб!$C:$C,$C341,куб!O:O),IF($B341&lt;&gt;0,SUMIF(куб!$B:$B,$B341,куб!O:O))))))</f>
        <v>0</v>
      </c>
      <c r="Z341" s="13" t="str">
        <f t="shared" si="135"/>
        <v>-</v>
      </c>
      <c r="AA341" s="5"/>
      <c r="AB341" s="33" t="str">
        <f t="shared" si="136"/>
        <v/>
      </c>
      <c r="AC341" s="33" t="str">
        <f t="shared" si="137"/>
        <v/>
      </c>
      <c r="AD341" s="15" t="str">
        <f t="shared" si="138"/>
        <v xml:space="preserve"> </v>
      </c>
      <c r="AE341" s="5"/>
      <c r="AF341" s="27" t="b">
        <f>IF($G341&lt;&gt;0,SUMIF(куб!$G:$G,$G341,куб!R:R),IF($E341&lt;&gt;0,SUMIF(куб!$E:$E,$E341,куб!R:R),IF($D341&lt;&gt;0,SUMIF(куб!$D:$D,$D341,куб!R:R),IF($C341&lt;&gt;0,SUMIF(куб!$C:$C,$C341,куб!R:R),IF($B341&lt;&gt;0,SUMIF(куб!$B:$B,$B341,куб!R:R))))))</f>
        <v>0</v>
      </c>
      <c r="AG341" s="27" t="b">
        <f>IF($G341&lt;&gt;0,SUMIF(куб!$G:$G,$G341,куб!S:S),IF($E341&lt;&gt;0,SUMIF(куб!$E:$E,$E341,куб!S:S),IF($D341&lt;&gt;0,SUMIF(куб!$D:$D,$D341,куб!S:S),IF($C341&lt;&gt;0,SUMIF(куб!$C:$C,$C341,куб!S:S),IF($B341&lt;&gt;0,SUMIF(куб!$B:$B,$B341,куб!S:S))))))</f>
        <v>0</v>
      </c>
      <c r="AH341" s="16" t="str">
        <f t="shared" si="139"/>
        <v>-</v>
      </c>
      <c r="AI341" s="8"/>
      <c r="AJ341" s="27" t="b">
        <f>IF($G341&lt;&gt;0,SUMIF(куб!$G:$G,$G341,куб!T:T),IF($E341&lt;&gt;0,SUMIF(куб!$E:$E,$E341,куб!T:T),IF($D341&lt;&gt;0,SUMIF(куб!$D:$D,$D341,куб!T:T),IF($C341&lt;&gt;0,SUMIF(куб!$C:$C,$C341,куб!T:T),IF($B341&lt;&gt;0,SUMIF(куб!$B:$B,$B341,куб!T:T))))))</f>
        <v>0</v>
      </c>
      <c r="AK341" s="27" t="b">
        <f>IF($G341&lt;&gt;0,SUMIF(куб!$G:$G,$G341,куб!U:U),IF($E341&lt;&gt;0,SUMIF(куб!$E:$E,$E341,куб!U:U),IF($D341&lt;&gt;0,SUMIF(куб!$D:$D,$D341,куб!U:U),IF($C341&lt;&gt;0,SUMIF(куб!$C:$C,$C341,куб!U:U),IF($B341&lt;&gt;0,SUMIF(куб!$B:$B,$B341,куб!U:U))))))</f>
        <v>0</v>
      </c>
      <c r="AL341" s="16" t="str">
        <f t="shared" si="140"/>
        <v>-</v>
      </c>
      <c r="AM341" s="8"/>
      <c r="AN341" s="17" t="str">
        <f t="shared" si="141"/>
        <v xml:space="preserve"> </v>
      </c>
      <c r="AO341" s="17" t="str">
        <f t="shared" si="142"/>
        <v xml:space="preserve"> </v>
      </c>
      <c r="AP341" s="16" t="str">
        <f t="shared" si="143"/>
        <v>-</v>
      </c>
      <c r="AQ341" s="8"/>
      <c r="AR341" s="17" t="str">
        <f t="shared" si="144"/>
        <v>-</v>
      </c>
      <c r="AS341" s="17" t="str">
        <f t="shared" si="145"/>
        <v>-</v>
      </c>
      <c r="AT341" s="13" t="str">
        <f t="shared" si="146"/>
        <v>-</v>
      </c>
      <c r="AU341" s="8"/>
    </row>
    <row r="342" spans="1:47" x14ac:dyDescent="0.25">
      <c r="A342" s="31"/>
      <c r="B342" s="31"/>
      <c r="C342"/>
      <c r="D342" s="31"/>
      <c r="E342" s="31"/>
      <c r="F342" s="31"/>
      <c r="G342" s="31"/>
      <c r="H342" s="27">
        <f>IF($G342&lt;&gt;0,SUMIF(куб!$G:$G,$G342,куб!H:H),IF($E342&lt;&gt;0,SUMIF(куб!$E:$E,$E342,куб!H:H),IF($D342&lt;&gt;0,SUMIF(куб!$D:$D,$D342,куб!H:H),IF($C342&lt;&gt;0,SUMIF(куб!$C:$C,$C342,куб!H:H),IF($B342&lt;&gt;0,SUMIF(куб!$B:$B,$B342,куб!H:H),IF($G342&lt;&gt;0,SUMIF(куб!$A:$A,$G342,куб!H:H),SUMIF(куб!$A:$A,$G342,куб!H:H)))))))</f>
        <v>0</v>
      </c>
      <c r="I342" s="27">
        <f>IF($G342&lt;&gt;0,SUMIF(куб!$G:$G,$G342,куб!I:I),IF($E342&lt;&gt;0,SUMIF(куб!$E:$E,$E342,куб!I:I),IF($D342&lt;&gt;0,SUMIF(куб!$D:$D,$D342,куб!I:I),IF($C342&lt;&gt;0,SUMIF(куб!$C:$C,$C342,куб!I:I),IF($B342&lt;&gt;0,SUMIF(куб!$B:$B,$B342,куб!I:I),IF($G342&lt;&gt;0,SUMIF(куб!$A:$A,$G342,куб!I:I),SUMIF(куб!$A:$A,$G342,куб!I:I)))))))</f>
        <v>0</v>
      </c>
      <c r="J342" s="19" t="str">
        <f t="shared" si="129"/>
        <v>-</v>
      </c>
      <c r="K342" s="8"/>
      <c r="L342" s="17">
        <f t="shared" si="130"/>
        <v>0</v>
      </c>
      <c r="M342" s="17">
        <f t="shared" si="131"/>
        <v>0</v>
      </c>
      <c r="N342" s="12">
        <f t="shared" si="132"/>
        <v>0</v>
      </c>
      <c r="O342" s="5"/>
      <c r="P342" s="27" t="b">
        <f>IF($G342&lt;&gt;0,SUMIF(куб!$G:$G,$G342,куб!J:J),IF($E342&lt;&gt;0,SUMIF(куб!$E:$E,$E342,куб!J:J),IF($D342&lt;&gt;0,SUMIF(куб!$D:$D,$D342,куб!J:J),IF($C342&lt;&gt;0,SUMIF(куб!$C:$C,$C342,куб!J:J),IF($B342&lt;&gt;0,SUMIF(куб!$B:$B,$B342,куб!J:J))))))</f>
        <v>0</v>
      </c>
      <c r="Q342" s="27" t="b">
        <f>IF($G342&lt;&gt;0,SUMIF(куб!$G:$G,$G342,куб!K:K),IF($E342&lt;&gt;0,SUMIF(куб!$E:$E,$E342,куб!K:K),IF($D342&lt;&gt;0,SUMIF(куб!$D:$D,$D342,куб!K:K),IF($C342&lt;&gt;0,SUMIF(куб!$C:$C,$C342,куб!K:K),IF($B342&lt;&gt;0,SUMIF(куб!$B:$B,$B342,куб!K:K))))))</f>
        <v>0</v>
      </c>
      <c r="R342" s="13" t="str">
        <f t="shared" si="133"/>
        <v>-</v>
      </c>
      <c r="S342" s="5"/>
      <c r="T342" s="27" t="b">
        <f>IF($G342&lt;&gt;0,SUMIF(куб!$G:$G,$G342,куб!L:L),IF($E342&lt;&gt;0,SUMIF(куб!$E:$E,$E342,куб!L:L),IF($D342&lt;&gt;0,SUMIF(куб!$D:$D,$D342,куб!L:L),IF($C342&lt;&gt;0,SUMIF(куб!$C:$C,$C342,куб!L:L),IF($B342&lt;&gt;0,SUMIF(куб!$B:$B,$B342,куб!L:L))))))</f>
        <v>0</v>
      </c>
      <c r="U342" s="27" t="b">
        <f>IF($G342&lt;&gt;0,SUMIF(куб!$G:$G,$G342,куб!M:M),IF($E342&lt;&gt;0,SUMIF(куб!$E:$E,$E342,куб!M:M),IF($D342&lt;&gt;0,SUMIF(куб!$D:$D,$D342,куб!M:M),IF($C342&lt;&gt;0,SUMIF(куб!$C:$C,$C342,куб!M:M),IF($B342&lt;&gt;0,SUMIF(куб!$B:$B,$B342,куб!M:M))))))</f>
        <v>0</v>
      </c>
      <c r="V342" s="13" t="str">
        <f t="shared" si="134"/>
        <v>-</v>
      </c>
      <c r="W342" s="5"/>
      <c r="X342" s="27" t="b">
        <f>IF($G342&lt;&gt;0,SUMIF(куб!$G:$G,$G342,куб!N:N),IF($E342&lt;&gt;0,SUMIF(куб!$E:$E,$E342,куб!N:N),IF($D342&lt;&gt;0,SUMIF(куб!$D:$D,$D342,куб!N:N),IF($C342&lt;&gt;0,SUMIF(куб!$C:$C,$C342,куб!N:N),IF($B342&lt;&gt;0,SUMIF(куб!$B:$B,$B342,куб!N:N))))))</f>
        <v>0</v>
      </c>
      <c r="Y342" s="27" t="b">
        <f>IF($G342&lt;&gt;0,SUMIF(куб!$G:$G,$G342,куб!O:O),IF($E342&lt;&gt;0,SUMIF(куб!$E:$E,$E342,куб!O:O),IF($D342&lt;&gt;0,SUMIF(куб!$D:$D,$D342,куб!O:O),IF($C342&lt;&gt;0,SUMIF(куб!$C:$C,$C342,куб!O:O),IF($B342&lt;&gt;0,SUMIF(куб!$B:$B,$B342,куб!O:O))))))</f>
        <v>0</v>
      </c>
      <c r="Z342" s="13" t="str">
        <f t="shared" si="135"/>
        <v>-</v>
      </c>
      <c r="AA342" s="5"/>
      <c r="AB342" s="33" t="str">
        <f t="shared" si="136"/>
        <v/>
      </c>
      <c r="AC342" s="33" t="str">
        <f t="shared" si="137"/>
        <v/>
      </c>
      <c r="AD342" s="15" t="str">
        <f t="shared" si="138"/>
        <v xml:space="preserve"> </v>
      </c>
      <c r="AE342" s="5"/>
      <c r="AF342" s="27" t="b">
        <f>IF($G342&lt;&gt;0,SUMIF(куб!$G:$G,$G342,куб!R:R),IF($E342&lt;&gt;0,SUMIF(куб!$E:$E,$E342,куб!R:R),IF($D342&lt;&gt;0,SUMIF(куб!$D:$D,$D342,куб!R:R),IF($C342&lt;&gt;0,SUMIF(куб!$C:$C,$C342,куб!R:R),IF($B342&lt;&gt;0,SUMIF(куб!$B:$B,$B342,куб!R:R))))))</f>
        <v>0</v>
      </c>
      <c r="AG342" s="27" t="b">
        <f>IF($G342&lt;&gt;0,SUMIF(куб!$G:$G,$G342,куб!S:S),IF($E342&lt;&gt;0,SUMIF(куб!$E:$E,$E342,куб!S:S),IF($D342&lt;&gt;0,SUMIF(куб!$D:$D,$D342,куб!S:S),IF($C342&lt;&gt;0,SUMIF(куб!$C:$C,$C342,куб!S:S),IF($B342&lt;&gt;0,SUMIF(куб!$B:$B,$B342,куб!S:S))))))</f>
        <v>0</v>
      </c>
      <c r="AH342" s="16" t="str">
        <f t="shared" si="139"/>
        <v>-</v>
      </c>
      <c r="AI342" s="8"/>
      <c r="AJ342" s="27" t="b">
        <f>IF($G342&lt;&gt;0,SUMIF(куб!$G:$G,$G342,куб!T:T),IF($E342&lt;&gt;0,SUMIF(куб!$E:$E,$E342,куб!T:T),IF($D342&lt;&gt;0,SUMIF(куб!$D:$D,$D342,куб!T:T),IF($C342&lt;&gt;0,SUMIF(куб!$C:$C,$C342,куб!T:T),IF($B342&lt;&gt;0,SUMIF(куб!$B:$B,$B342,куб!T:T))))))</f>
        <v>0</v>
      </c>
      <c r="AK342" s="27" t="b">
        <f>IF($G342&lt;&gt;0,SUMIF(куб!$G:$G,$G342,куб!U:U),IF($E342&lt;&gt;0,SUMIF(куб!$E:$E,$E342,куб!U:U),IF($D342&lt;&gt;0,SUMIF(куб!$D:$D,$D342,куб!U:U),IF($C342&lt;&gt;0,SUMIF(куб!$C:$C,$C342,куб!U:U),IF($B342&lt;&gt;0,SUMIF(куб!$B:$B,$B342,куб!U:U))))))</f>
        <v>0</v>
      </c>
      <c r="AL342" s="16" t="str">
        <f t="shared" si="140"/>
        <v>-</v>
      </c>
      <c r="AM342" s="8"/>
      <c r="AN342" s="17" t="str">
        <f t="shared" si="141"/>
        <v xml:space="preserve"> </v>
      </c>
      <c r="AO342" s="17" t="str">
        <f t="shared" si="142"/>
        <v xml:space="preserve"> </v>
      </c>
      <c r="AP342" s="16" t="str">
        <f t="shared" si="143"/>
        <v>-</v>
      </c>
      <c r="AQ342" s="8"/>
      <c r="AR342" s="17" t="str">
        <f t="shared" si="144"/>
        <v>-</v>
      </c>
      <c r="AS342" s="17" t="str">
        <f t="shared" si="145"/>
        <v>-</v>
      </c>
      <c r="AT342" s="13" t="str">
        <f t="shared" si="146"/>
        <v>-</v>
      </c>
      <c r="AU342" s="8"/>
    </row>
    <row r="343" spans="1:47" x14ac:dyDescent="0.25">
      <c r="A343" s="31"/>
      <c r="B343" s="31"/>
      <c r="C343"/>
      <c r="D343" s="31"/>
      <c r="E343"/>
      <c r="F343" s="31"/>
      <c r="G343"/>
      <c r="H343" s="27">
        <f>IF($G343&lt;&gt;0,SUMIF(куб!$G:$G,$G343,куб!H:H),IF($E343&lt;&gt;0,SUMIF(куб!$E:$E,$E343,куб!H:H),IF($D343&lt;&gt;0,SUMIF(куб!$D:$D,$D343,куб!H:H),IF($C343&lt;&gt;0,SUMIF(куб!$C:$C,$C343,куб!H:H),IF($B343&lt;&gt;0,SUMIF(куб!$B:$B,$B343,куб!H:H),IF($G343&lt;&gt;0,SUMIF(куб!$A:$A,$G343,куб!H:H),SUMIF(куб!$A:$A,$G343,куб!H:H)))))))</f>
        <v>0</v>
      </c>
      <c r="I343" s="27">
        <f>IF($G343&lt;&gt;0,SUMIF(куб!$G:$G,$G343,куб!I:I),IF($E343&lt;&gt;0,SUMIF(куб!$E:$E,$E343,куб!I:I),IF($D343&lt;&gt;0,SUMIF(куб!$D:$D,$D343,куб!I:I),IF($C343&lt;&gt;0,SUMIF(куб!$C:$C,$C343,куб!I:I),IF($B343&lt;&gt;0,SUMIF(куб!$B:$B,$B343,куб!I:I),IF($G343&lt;&gt;0,SUMIF(куб!$A:$A,$G343,куб!I:I),SUMIF(куб!$A:$A,$G343,куб!I:I)))))))</f>
        <v>0</v>
      </c>
      <c r="J343" s="19" t="str">
        <f t="shared" si="129"/>
        <v>-</v>
      </c>
      <c r="K343" s="8"/>
      <c r="L343" s="17">
        <f t="shared" si="130"/>
        <v>0</v>
      </c>
      <c r="M343" s="17">
        <f t="shared" si="131"/>
        <v>0</v>
      </c>
      <c r="N343" s="12">
        <f t="shared" si="132"/>
        <v>0</v>
      </c>
      <c r="O343" s="5"/>
      <c r="P343" s="27" t="b">
        <f>IF($G343&lt;&gt;0,SUMIF(куб!$G:$G,$G343,куб!J:J),IF($E343&lt;&gt;0,SUMIF(куб!$E:$E,$E343,куб!J:J),IF($D343&lt;&gt;0,SUMIF(куб!$D:$D,$D343,куб!J:J),IF($C343&lt;&gt;0,SUMIF(куб!$C:$C,$C343,куб!J:J),IF($B343&lt;&gt;0,SUMIF(куб!$B:$B,$B343,куб!J:J))))))</f>
        <v>0</v>
      </c>
      <c r="Q343" s="27" t="b">
        <f>IF($G343&lt;&gt;0,SUMIF(куб!$G:$G,$G343,куб!K:K),IF($E343&lt;&gt;0,SUMIF(куб!$E:$E,$E343,куб!K:K),IF($D343&lt;&gt;0,SUMIF(куб!$D:$D,$D343,куб!K:K),IF($C343&lt;&gt;0,SUMIF(куб!$C:$C,$C343,куб!K:K),IF($B343&lt;&gt;0,SUMIF(куб!$B:$B,$B343,куб!K:K))))))</f>
        <v>0</v>
      </c>
      <c r="R343" s="13" t="str">
        <f t="shared" si="133"/>
        <v>-</v>
      </c>
      <c r="S343" s="5"/>
      <c r="T343" s="27" t="b">
        <f>IF($G343&lt;&gt;0,SUMIF(куб!$G:$G,$G343,куб!L:L),IF($E343&lt;&gt;0,SUMIF(куб!$E:$E,$E343,куб!L:L),IF($D343&lt;&gt;0,SUMIF(куб!$D:$D,$D343,куб!L:L),IF($C343&lt;&gt;0,SUMIF(куб!$C:$C,$C343,куб!L:L),IF($B343&lt;&gt;0,SUMIF(куб!$B:$B,$B343,куб!L:L))))))</f>
        <v>0</v>
      </c>
      <c r="U343" s="27" t="b">
        <f>IF($G343&lt;&gt;0,SUMIF(куб!$G:$G,$G343,куб!M:M),IF($E343&lt;&gt;0,SUMIF(куб!$E:$E,$E343,куб!M:M),IF($D343&lt;&gt;0,SUMIF(куб!$D:$D,$D343,куб!M:M),IF($C343&lt;&gt;0,SUMIF(куб!$C:$C,$C343,куб!M:M),IF($B343&lt;&gt;0,SUMIF(куб!$B:$B,$B343,куб!M:M))))))</f>
        <v>0</v>
      </c>
      <c r="V343" s="13" t="str">
        <f t="shared" si="134"/>
        <v>-</v>
      </c>
      <c r="W343" s="5"/>
      <c r="X343" s="27" t="b">
        <f>IF($G343&lt;&gt;0,SUMIF(куб!$G:$G,$G343,куб!N:N),IF($E343&lt;&gt;0,SUMIF(куб!$E:$E,$E343,куб!N:N),IF($D343&lt;&gt;0,SUMIF(куб!$D:$D,$D343,куб!N:N),IF($C343&lt;&gt;0,SUMIF(куб!$C:$C,$C343,куб!N:N),IF($B343&lt;&gt;0,SUMIF(куб!$B:$B,$B343,куб!N:N))))))</f>
        <v>0</v>
      </c>
      <c r="Y343" s="27" t="b">
        <f>IF($G343&lt;&gt;0,SUMIF(куб!$G:$G,$G343,куб!O:O),IF($E343&lt;&gt;0,SUMIF(куб!$E:$E,$E343,куб!O:O),IF($D343&lt;&gt;0,SUMIF(куб!$D:$D,$D343,куб!O:O),IF($C343&lt;&gt;0,SUMIF(куб!$C:$C,$C343,куб!O:O),IF($B343&lt;&gt;0,SUMIF(куб!$B:$B,$B343,куб!O:O))))))</f>
        <v>0</v>
      </c>
      <c r="Z343" s="13" t="str">
        <f t="shared" si="135"/>
        <v>-</v>
      </c>
      <c r="AA343" s="5"/>
      <c r="AB343" s="33" t="str">
        <f t="shared" si="136"/>
        <v/>
      </c>
      <c r="AC343" s="33" t="str">
        <f t="shared" si="137"/>
        <v/>
      </c>
      <c r="AD343" s="15" t="str">
        <f t="shared" si="138"/>
        <v xml:space="preserve"> </v>
      </c>
      <c r="AE343" s="5"/>
      <c r="AF343" s="27" t="b">
        <f>IF($G343&lt;&gt;0,SUMIF(куб!$G:$G,$G343,куб!R:R),IF($E343&lt;&gt;0,SUMIF(куб!$E:$E,$E343,куб!R:R),IF($D343&lt;&gt;0,SUMIF(куб!$D:$D,$D343,куб!R:R),IF($C343&lt;&gt;0,SUMIF(куб!$C:$C,$C343,куб!R:R),IF($B343&lt;&gt;0,SUMIF(куб!$B:$B,$B343,куб!R:R))))))</f>
        <v>0</v>
      </c>
      <c r="AG343" s="27" t="b">
        <f>IF($G343&lt;&gt;0,SUMIF(куб!$G:$G,$G343,куб!S:S),IF($E343&lt;&gt;0,SUMIF(куб!$E:$E,$E343,куб!S:S),IF($D343&lt;&gt;0,SUMIF(куб!$D:$D,$D343,куб!S:S),IF($C343&lt;&gt;0,SUMIF(куб!$C:$C,$C343,куб!S:S),IF($B343&lt;&gt;0,SUMIF(куб!$B:$B,$B343,куб!S:S))))))</f>
        <v>0</v>
      </c>
      <c r="AH343" s="16" t="str">
        <f t="shared" si="139"/>
        <v>-</v>
      </c>
      <c r="AI343" s="8"/>
      <c r="AJ343" s="27" t="b">
        <f>IF($G343&lt;&gt;0,SUMIF(куб!$G:$G,$G343,куб!T:T),IF($E343&lt;&gt;0,SUMIF(куб!$E:$E,$E343,куб!T:T),IF($D343&lt;&gt;0,SUMIF(куб!$D:$D,$D343,куб!T:T),IF($C343&lt;&gt;0,SUMIF(куб!$C:$C,$C343,куб!T:T),IF($B343&lt;&gt;0,SUMIF(куб!$B:$B,$B343,куб!T:T))))))</f>
        <v>0</v>
      </c>
      <c r="AK343" s="27" t="b">
        <f>IF($G343&lt;&gt;0,SUMIF(куб!$G:$G,$G343,куб!U:U),IF($E343&lt;&gt;0,SUMIF(куб!$E:$E,$E343,куб!U:U),IF($D343&lt;&gt;0,SUMIF(куб!$D:$D,$D343,куб!U:U),IF($C343&lt;&gt;0,SUMIF(куб!$C:$C,$C343,куб!U:U),IF($B343&lt;&gt;0,SUMIF(куб!$B:$B,$B343,куб!U:U))))))</f>
        <v>0</v>
      </c>
      <c r="AL343" s="16" t="str">
        <f t="shared" si="140"/>
        <v>-</v>
      </c>
      <c r="AM343" s="8"/>
      <c r="AN343" s="17" t="str">
        <f t="shared" si="141"/>
        <v xml:space="preserve"> </v>
      </c>
      <c r="AO343" s="17" t="str">
        <f t="shared" si="142"/>
        <v xml:space="preserve"> </v>
      </c>
      <c r="AP343" s="16" t="str">
        <f t="shared" si="143"/>
        <v>-</v>
      </c>
      <c r="AQ343" s="8"/>
      <c r="AR343" s="17" t="str">
        <f t="shared" si="144"/>
        <v>-</v>
      </c>
      <c r="AS343" s="17" t="str">
        <f t="shared" si="145"/>
        <v>-</v>
      </c>
      <c r="AT343" s="13" t="str">
        <f t="shared" si="146"/>
        <v>-</v>
      </c>
      <c r="AU343" s="8"/>
    </row>
    <row r="344" spans="1:47" x14ac:dyDescent="0.25">
      <c r="A344" s="31"/>
      <c r="B344" s="31"/>
      <c r="C344"/>
      <c r="D344" s="31"/>
      <c r="E344"/>
      <c r="F344" s="31"/>
      <c r="G344"/>
      <c r="H344" s="27">
        <f>IF($G344&lt;&gt;0,SUMIF(куб!$G:$G,$G344,куб!H:H),IF($E344&lt;&gt;0,SUMIF(куб!$E:$E,$E344,куб!H:H),IF($D344&lt;&gt;0,SUMIF(куб!$D:$D,$D344,куб!H:H),IF($C344&lt;&gt;0,SUMIF(куб!$C:$C,$C344,куб!H:H),IF($B344&lt;&gt;0,SUMIF(куб!$B:$B,$B344,куб!H:H),IF($G344&lt;&gt;0,SUMIF(куб!$A:$A,$G344,куб!H:H),SUMIF(куб!$A:$A,$G344,куб!H:H)))))))</f>
        <v>0</v>
      </c>
      <c r="I344" s="27">
        <f>IF($G344&lt;&gt;0,SUMIF(куб!$G:$G,$G344,куб!I:I),IF($E344&lt;&gt;0,SUMIF(куб!$E:$E,$E344,куб!I:I),IF($D344&lt;&gt;0,SUMIF(куб!$D:$D,$D344,куб!I:I),IF($C344&lt;&gt;0,SUMIF(куб!$C:$C,$C344,куб!I:I),IF($B344&lt;&gt;0,SUMIF(куб!$B:$B,$B344,куб!I:I),IF($G344&lt;&gt;0,SUMIF(куб!$A:$A,$G344,куб!I:I),SUMIF(куб!$A:$A,$G344,куб!I:I)))))))</f>
        <v>0</v>
      </c>
      <c r="J344" s="19" t="str">
        <f t="shared" si="129"/>
        <v>-</v>
      </c>
      <c r="K344" s="8"/>
      <c r="L344" s="17">
        <f t="shared" si="130"/>
        <v>0</v>
      </c>
      <c r="M344" s="17">
        <f t="shared" si="131"/>
        <v>0</v>
      </c>
      <c r="N344" s="12">
        <f t="shared" si="132"/>
        <v>0</v>
      </c>
      <c r="O344" s="5"/>
      <c r="P344" s="27" t="b">
        <f>IF($G344&lt;&gt;0,SUMIF(куб!$G:$G,$G344,куб!J:J),IF($E344&lt;&gt;0,SUMIF(куб!$E:$E,$E344,куб!J:J),IF($D344&lt;&gt;0,SUMIF(куб!$D:$D,$D344,куб!J:J),IF($C344&lt;&gt;0,SUMIF(куб!$C:$C,$C344,куб!J:J),IF($B344&lt;&gt;0,SUMIF(куб!$B:$B,$B344,куб!J:J))))))</f>
        <v>0</v>
      </c>
      <c r="Q344" s="27" t="b">
        <f>IF($G344&lt;&gt;0,SUMIF(куб!$G:$G,$G344,куб!K:K),IF($E344&lt;&gt;0,SUMIF(куб!$E:$E,$E344,куб!K:K),IF($D344&lt;&gt;0,SUMIF(куб!$D:$D,$D344,куб!K:K),IF($C344&lt;&gt;0,SUMIF(куб!$C:$C,$C344,куб!K:K),IF($B344&lt;&gt;0,SUMIF(куб!$B:$B,$B344,куб!K:K))))))</f>
        <v>0</v>
      </c>
      <c r="R344" s="13" t="str">
        <f t="shared" si="133"/>
        <v>-</v>
      </c>
      <c r="S344" s="5"/>
      <c r="T344" s="27" t="b">
        <f>IF($G344&lt;&gt;0,SUMIF(куб!$G:$G,$G344,куб!L:L),IF($E344&lt;&gt;0,SUMIF(куб!$E:$E,$E344,куб!L:L),IF($D344&lt;&gt;0,SUMIF(куб!$D:$D,$D344,куб!L:L),IF($C344&lt;&gt;0,SUMIF(куб!$C:$C,$C344,куб!L:L),IF($B344&lt;&gt;0,SUMIF(куб!$B:$B,$B344,куб!L:L))))))</f>
        <v>0</v>
      </c>
      <c r="U344" s="27" t="b">
        <f>IF($G344&lt;&gt;0,SUMIF(куб!$G:$G,$G344,куб!M:M),IF($E344&lt;&gt;0,SUMIF(куб!$E:$E,$E344,куб!M:M),IF($D344&lt;&gt;0,SUMIF(куб!$D:$D,$D344,куб!M:M),IF($C344&lt;&gt;0,SUMIF(куб!$C:$C,$C344,куб!M:M),IF($B344&lt;&gt;0,SUMIF(куб!$B:$B,$B344,куб!M:M))))))</f>
        <v>0</v>
      </c>
      <c r="V344" s="13" t="str">
        <f t="shared" si="134"/>
        <v>-</v>
      </c>
      <c r="W344" s="5"/>
      <c r="X344" s="27" t="b">
        <f>IF($G344&lt;&gt;0,SUMIF(куб!$G:$G,$G344,куб!N:N),IF($E344&lt;&gt;0,SUMIF(куб!$E:$E,$E344,куб!N:N),IF($D344&lt;&gt;0,SUMIF(куб!$D:$D,$D344,куб!N:N),IF($C344&lt;&gt;0,SUMIF(куб!$C:$C,$C344,куб!N:N),IF($B344&lt;&gt;0,SUMIF(куб!$B:$B,$B344,куб!N:N))))))</f>
        <v>0</v>
      </c>
      <c r="Y344" s="27" t="b">
        <f>IF($G344&lt;&gt;0,SUMIF(куб!$G:$G,$G344,куб!O:O),IF($E344&lt;&gt;0,SUMIF(куб!$E:$E,$E344,куб!O:O),IF($D344&lt;&gt;0,SUMIF(куб!$D:$D,$D344,куб!O:O),IF($C344&lt;&gt;0,SUMIF(куб!$C:$C,$C344,куб!O:O),IF($B344&lt;&gt;0,SUMIF(куб!$B:$B,$B344,куб!O:O))))))</f>
        <v>0</v>
      </c>
      <c r="Z344" s="13" t="str">
        <f t="shared" si="135"/>
        <v>-</v>
      </c>
      <c r="AA344" s="5"/>
      <c r="AB344" s="33" t="str">
        <f t="shared" si="136"/>
        <v/>
      </c>
      <c r="AC344" s="33" t="str">
        <f t="shared" si="137"/>
        <v/>
      </c>
      <c r="AD344" s="15" t="str">
        <f t="shared" si="138"/>
        <v xml:space="preserve"> </v>
      </c>
      <c r="AE344" s="5"/>
      <c r="AF344" s="27" t="b">
        <f>IF($G344&lt;&gt;0,SUMIF(куб!$G:$G,$G344,куб!R:R),IF($E344&lt;&gt;0,SUMIF(куб!$E:$E,$E344,куб!R:R),IF($D344&lt;&gt;0,SUMIF(куб!$D:$D,$D344,куб!R:R),IF($C344&lt;&gt;0,SUMIF(куб!$C:$C,$C344,куб!R:R),IF($B344&lt;&gt;0,SUMIF(куб!$B:$B,$B344,куб!R:R))))))</f>
        <v>0</v>
      </c>
      <c r="AG344" s="27" t="b">
        <f>IF($G344&lt;&gt;0,SUMIF(куб!$G:$G,$G344,куб!S:S),IF($E344&lt;&gt;0,SUMIF(куб!$E:$E,$E344,куб!S:S),IF($D344&lt;&gt;0,SUMIF(куб!$D:$D,$D344,куб!S:S),IF($C344&lt;&gt;0,SUMIF(куб!$C:$C,$C344,куб!S:S),IF($B344&lt;&gt;0,SUMIF(куб!$B:$B,$B344,куб!S:S))))))</f>
        <v>0</v>
      </c>
      <c r="AH344" s="16" t="str">
        <f t="shared" si="139"/>
        <v>-</v>
      </c>
      <c r="AI344" s="8"/>
      <c r="AJ344" s="27" t="b">
        <f>IF($G344&lt;&gt;0,SUMIF(куб!$G:$G,$G344,куб!T:T),IF($E344&lt;&gt;0,SUMIF(куб!$E:$E,$E344,куб!T:T),IF($D344&lt;&gt;0,SUMIF(куб!$D:$D,$D344,куб!T:T),IF($C344&lt;&gt;0,SUMIF(куб!$C:$C,$C344,куб!T:T),IF($B344&lt;&gt;0,SUMIF(куб!$B:$B,$B344,куб!T:T))))))</f>
        <v>0</v>
      </c>
      <c r="AK344" s="27" t="b">
        <f>IF($G344&lt;&gt;0,SUMIF(куб!$G:$G,$G344,куб!U:U),IF($E344&lt;&gt;0,SUMIF(куб!$E:$E,$E344,куб!U:U),IF($D344&lt;&gt;0,SUMIF(куб!$D:$D,$D344,куб!U:U),IF($C344&lt;&gt;0,SUMIF(куб!$C:$C,$C344,куб!U:U),IF($B344&lt;&gt;0,SUMIF(куб!$B:$B,$B344,куб!U:U))))))</f>
        <v>0</v>
      </c>
      <c r="AL344" s="16" t="str">
        <f t="shared" si="140"/>
        <v>-</v>
      </c>
      <c r="AM344" s="8"/>
      <c r="AN344" s="17" t="str">
        <f t="shared" si="141"/>
        <v xml:space="preserve"> </v>
      </c>
      <c r="AO344" s="17" t="str">
        <f t="shared" si="142"/>
        <v xml:space="preserve"> </v>
      </c>
      <c r="AP344" s="16" t="str">
        <f t="shared" si="143"/>
        <v>-</v>
      </c>
      <c r="AQ344" s="8"/>
      <c r="AR344" s="17" t="str">
        <f t="shared" si="144"/>
        <v>-</v>
      </c>
      <c r="AS344" s="17" t="str">
        <f t="shared" si="145"/>
        <v>-</v>
      </c>
      <c r="AT344" s="13" t="str">
        <f t="shared" si="146"/>
        <v>-</v>
      </c>
      <c r="AU344" s="8"/>
    </row>
    <row r="345" spans="1:47" x14ac:dyDescent="0.25">
      <c r="A345" s="31"/>
      <c r="B345" s="31"/>
      <c r="C345"/>
      <c r="D345" s="31"/>
      <c r="E345"/>
      <c r="F345" s="31"/>
      <c r="G345"/>
      <c r="H345" s="27">
        <f>IF($G345&lt;&gt;0,SUMIF(куб!$G:$G,$G345,куб!H:H),IF($E345&lt;&gt;0,SUMIF(куб!$E:$E,$E345,куб!H:H),IF($D345&lt;&gt;0,SUMIF(куб!$D:$D,$D345,куб!H:H),IF($C345&lt;&gt;0,SUMIF(куб!$C:$C,$C345,куб!H:H),IF($B345&lt;&gt;0,SUMIF(куб!$B:$B,$B345,куб!H:H),IF($G345&lt;&gt;0,SUMIF(куб!$A:$A,$G345,куб!H:H),SUMIF(куб!$A:$A,$G345,куб!H:H)))))))</f>
        <v>0</v>
      </c>
      <c r="I345" s="27">
        <f>IF($G345&lt;&gt;0,SUMIF(куб!$G:$G,$G345,куб!I:I),IF($E345&lt;&gt;0,SUMIF(куб!$E:$E,$E345,куб!I:I),IF($D345&lt;&gt;0,SUMIF(куб!$D:$D,$D345,куб!I:I),IF($C345&lt;&gt;0,SUMIF(куб!$C:$C,$C345,куб!I:I),IF($B345&lt;&gt;0,SUMIF(куб!$B:$B,$B345,куб!I:I),IF($G345&lt;&gt;0,SUMIF(куб!$A:$A,$G345,куб!I:I),SUMIF(куб!$A:$A,$G345,куб!I:I)))))))</f>
        <v>0</v>
      </c>
      <c r="J345" s="19" t="str">
        <f t="shared" si="129"/>
        <v>-</v>
      </c>
      <c r="K345" s="8"/>
      <c r="L345" s="17">
        <f t="shared" si="130"/>
        <v>0</v>
      </c>
      <c r="M345" s="17">
        <f t="shared" si="131"/>
        <v>0</v>
      </c>
      <c r="N345" s="12">
        <f t="shared" si="132"/>
        <v>0</v>
      </c>
      <c r="O345" s="5"/>
      <c r="P345" s="27" t="b">
        <f>IF($G345&lt;&gt;0,SUMIF(куб!$G:$G,$G345,куб!J:J),IF($E345&lt;&gt;0,SUMIF(куб!$E:$E,$E345,куб!J:J),IF($D345&lt;&gt;0,SUMIF(куб!$D:$D,$D345,куб!J:J),IF($C345&lt;&gt;0,SUMIF(куб!$C:$C,$C345,куб!J:J),IF($B345&lt;&gt;0,SUMIF(куб!$B:$B,$B345,куб!J:J))))))</f>
        <v>0</v>
      </c>
      <c r="Q345" s="27" t="b">
        <f>IF($G345&lt;&gt;0,SUMIF(куб!$G:$G,$G345,куб!K:K),IF($E345&lt;&gt;0,SUMIF(куб!$E:$E,$E345,куб!K:K),IF($D345&lt;&gt;0,SUMIF(куб!$D:$D,$D345,куб!K:K),IF($C345&lt;&gt;0,SUMIF(куб!$C:$C,$C345,куб!K:K),IF($B345&lt;&gt;0,SUMIF(куб!$B:$B,$B345,куб!K:K))))))</f>
        <v>0</v>
      </c>
      <c r="R345" s="13" t="str">
        <f t="shared" si="133"/>
        <v>-</v>
      </c>
      <c r="S345" s="5"/>
      <c r="T345" s="27" t="b">
        <f>IF($G345&lt;&gt;0,SUMIF(куб!$G:$G,$G345,куб!L:L),IF($E345&lt;&gt;0,SUMIF(куб!$E:$E,$E345,куб!L:L),IF($D345&lt;&gt;0,SUMIF(куб!$D:$D,$D345,куб!L:L),IF($C345&lt;&gt;0,SUMIF(куб!$C:$C,$C345,куб!L:L),IF($B345&lt;&gt;0,SUMIF(куб!$B:$B,$B345,куб!L:L))))))</f>
        <v>0</v>
      </c>
      <c r="U345" s="27" t="b">
        <f>IF($G345&lt;&gt;0,SUMIF(куб!$G:$G,$G345,куб!M:M),IF($E345&lt;&gt;0,SUMIF(куб!$E:$E,$E345,куб!M:M),IF($D345&lt;&gt;0,SUMIF(куб!$D:$D,$D345,куб!M:M),IF($C345&lt;&gt;0,SUMIF(куб!$C:$C,$C345,куб!M:M),IF($B345&lt;&gt;0,SUMIF(куб!$B:$B,$B345,куб!M:M))))))</f>
        <v>0</v>
      </c>
      <c r="V345" s="13" t="str">
        <f t="shared" si="134"/>
        <v>-</v>
      </c>
      <c r="W345" s="5"/>
      <c r="X345" s="27" t="b">
        <f>IF($G345&lt;&gt;0,SUMIF(куб!$G:$G,$G345,куб!N:N),IF($E345&lt;&gt;0,SUMIF(куб!$E:$E,$E345,куб!N:N),IF($D345&lt;&gt;0,SUMIF(куб!$D:$D,$D345,куб!N:N),IF($C345&lt;&gt;0,SUMIF(куб!$C:$C,$C345,куб!N:N),IF($B345&lt;&gt;0,SUMIF(куб!$B:$B,$B345,куб!N:N))))))</f>
        <v>0</v>
      </c>
      <c r="Y345" s="27" t="b">
        <f>IF($G345&lt;&gt;0,SUMIF(куб!$G:$G,$G345,куб!O:O),IF($E345&lt;&gt;0,SUMIF(куб!$E:$E,$E345,куб!O:O),IF($D345&lt;&gt;0,SUMIF(куб!$D:$D,$D345,куб!O:O),IF($C345&lt;&gt;0,SUMIF(куб!$C:$C,$C345,куб!O:O),IF($B345&lt;&gt;0,SUMIF(куб!$B:$B,$B345,куб!O:O))))))</f>
        <v>0</v>
      </c>
      <c r="Z345" s="13" t="str">
        <f t="shared" si="135"/>
        <v>-</v>
      </c>
      <c r="AA345" s="5"/>
      <c r="AB345" s="33" t="str">
        <f t="shared" si="136"/>
        <v/>
      </c>
      <c r="AC345" s="33" t="str">
        <f t="shared" si="137"/>
        <v/>
      </c>
      <c r="AD345" s="15" t="str">
        <f t="shared" si="138"/>
        <v xml:space="preserve"> </v>
      </c>
      <c r="AE345" s="5"/>
      <c r="AF345" s="27" t="b">
        <f>IF($G345&lt;&gt;0,SUMIF(куб!$G:$G,$G345,куб!R:R),IF($E345&lt;&gt;0,SUMIF(куб!$E:$E,$E345,куб!R:R),IF($D345&lt;&gt;0,SUMIF(куб!$D:$D,$D345,куб!R:R),IF($C345&lt;&gt;0,SUMIF(куб!$C:$C,$C345,куб!R:R),IF($B345&lt;&gt;0,SUMIF(куб!$B:$B,$B345,куб!R:R))))))</f>
        <v>0</v>
      </c>
      <c r="AG345" s="27" t="b">
        <f>IF($G345&lt;&gt;0,SUMIF(куб!$G:$G,$G345,куб!S:S),IF($E345&lt;&gt;0,SUMIF(куб!$E:$E,$E345,куб!S:S),IF($D345&lt;&gt;0,SUMIF(куб!$D:$D,$D345,куб!S:S),IF($C345&lt;&gt;0,SUMIF(куб!$C:$C,$C345,куб!S:S),IF($B345&lt;&gt;0,SUMIF(куб!$B:$B,$B345,куб!S:S))))))</f>
        <v>0</v>
      </c>
      <c r="AH345" s="16" t="str">
        <f t="shared" si="139"/>
        <v>-</v>
      </c>
      <c r="AI345" s="8"/>
      <c r="AJ345" s="27" t="b">
        <f>IF($G345&lt;&gt;0,SUMIF(куб!$G:$G,$G345,куб!T:T),IF($E345&lt;&gt;0,SUMIF(куб!$E:$E,$E345,куб!T:T),IF($D345&lt;&gt;0,SUMIF(куб!$D:$D,$D345,куб!T:T),IF($C345&lt;&gt;0,SUMIF(куб!$C:$C,$C345,куб!T:T),IF($B345&lt;&gt;0,SUMIF(куб!$B:$B,$B345,куб!T:T))))))</f>
        <v>0</v>
      </c>
      <c r="AK345" s="27" t="b">
        <f>IF($G345&lt;&gt;0,SUMIF(куб!$G:$G,$G345,куб!U:U),IF($E345&lt;&gt;0,SUMIF(куб!$E:$E,$E345,куб!U:U),IF($D345&lt;&gt;0,SUMIF(куб!$D:$D,$D345,куб!U:U),IF($C345&lt;&gt;0,SUMIF(куб!$C:$C,$C345,куб!U:U),IF($B345&lt;&gt;0,SUMIF(куб!$B:$B,$B345,куб!U:U))))))</f>
        <v>0</v>
      </c>
      <c r="AL345" s="16" t="str">
        <f t="shared" si="140"/>
        <v>-</v>
      </c>
      <c r="AM345" s="8"/>
      <c r="AN345" s="17" t="str">
        <f t="shared" si="141"/>
        <v xml:space="preserve"> </v>
      </c>
      <c r="AO345" s="17" t="str">
        <f t="shared" si="142"/>
        <v xml:space="preserve"> </v>
      </c>
      <c r="AP345" s="16" t="str">
        <f t="shared" si="143"/>
        <v>-</v>
      </c>
      <c r="AQ345" s="8"/>
      <c r="AR345" s="17" t="str">
        <f t="shared" si="144"/>
        <v>-</v>
      </c>
      <c r="AS345" s="17" t="str">
        <f t="shared" si="145"/>
        <v>-</v>
      </c>
      <c r="AT345" s="13" t="str">
        <f t="shared" si="146"/>
        <v>-</v>
      </c>
      <c r="AU345" s="8"/>
    </row>
    <row r="346" spans="1:47" x14ac:dyDescent="0.25">
      <c r="A346" s="31"/>
      <c r="B346" s="31"/>
      <c r="C346"/>
      <c r="D346" s="31"/>
      <c r="E346"/>
      <c r="F346" s="31"/>
      <c r="G346"/>
      <c r="H346" s="27">
        <f>IF($G346&lt;&gt;0,SUMIF(куб!$G:$G,$G346,куб!H:H),IF($E346&lt;&gt;0,SUMIF(куб!$E:$E,$E346,куб!H:H),IF($D346&lt;&gt;0,SUMIF(куб!$D:$D,$D346,куб!H:H),IF($C346&lt;&gt;0,SUMIF(куб!$C:$C,$C346,куб!H:H),IF($B346&lt;&gt;0,SUMIF(куб!$B:$B,$B346,куб!H:H),IF($G346&lt;&gt;0,SUMIF(куб!$A:$A,$G346,куб!H:H),SUMIF(куб!$A:$A,$G346,куб!H:H)))))))</f>
        <v>0</v>
      </c>
      <c r="I346" s="27">
        <f>IF($G346&lt;&gt;0,SUMIF(куб!$G:$G,$G346,куб!I:I),IF($E346&lt;&gt;0,SUMIF(куб!$E:$E,$E346,куб!I:I),IF($D346&lt;&gt;0,SUMIF(куб!$D:$D,$D346,куб!I:I),IF($C346&lt;&gt;0,SUMIF(куб!$C:$C,$C346,куб!I:I),IF($B346&lt;&gt;0,SUMIF(куб!$B:$B,$B346,куб!I:I),IF($G346&lt;&gt;0,SUMIF(куб!$A:$A,$G346,куб!I:I),SUMIF(куб!$A:$A,$G346,куб!I:I)))))))</f>
        <v>0</v>
      </c>
      <c r="J346" s="19" t="str">
        <f t="shared" si="129"/>
        <v>-</v>
      </c>
      <c r="K346" s="8"/>
      <c r="L346" s="17">
        <f t="shared" si="130"/>
        <v>0</v>
      </c>
      <c r="M346" s="17">
        <f t="shared" si="131"/>
        <v>0</v>
      </c>
      <c r="N346" s="12">
        <f t="shared" si="132"/>
        <v>0</v>
      </c>
      <c r="O346" s="5"/>
      <c r="P346" s="27" t="b">
        <f>IF($G346&lt;&gt;0,SUMIF(куб!$G:$G,$G346,куб!J:J),IF($E346&lt;&gt;0,SUMIF(куб!$E:$E,$E346,куб!J:J),IF($D346&lt;&gt;0,SUMIF(куб!$D:$D,$D346,куб!J:J),IF($C346&lt;&gt;0,SUMIF(куб!$C:$C,$C346,куб!J:J),IF($B346&lt;&gt;0,SUMIF(куб!$B:$B,$B346,куб!J:J))))))</f>
        <v>0</v>
      </c>
      <c r="Q346" s="27" t="b">
        <f>IF($G346&lt;&gt;0,SUMIF(куб!$G:$G,$G346,куб!K:K),IF($E346&lt;&gt;0,SUMIF(куб!$E:$E,$E346,куб!K:K),IF($D346&lt;&gt;0,SUMIF(куб!$D:$D,$D346,куб!K:K),IF($C346&lt;&gt;0,SUMIF(куб!$C:$C,$C346,куб!K:K),IF($B346&lt;&gt;0,SUMIF(куб!$B:$B,$B346,куб!K:K))))))</f>
        <v>0</v>
      </c>
      <c r="R346" s="13" t="str">
        <f t="shared" si="133"/>
        <v>-</v>
      </c>
      <c r="S346" s="5"/>
      <c r="T346" s="27" t="b">
        <f>IF($G346&lt;&gt;0,SUMIF(куб!$G:$G,$G346,куб!L:L),IF($E346&lt;&gt;0,SUMIF(куб!$E:$E,$E346,куб!L:L),IF($D346&lt;&gt;0,SUMIF(куб!$D:$D,$D346,куб!L:L),IF($C346&lt;&gt;0,SUMIF(куб!$C:$C,$C346,куб!L:L),IF($B346&lt;&gt;0,SUMIF(куб!$B:$B,$B346,куб!L:L))))))</f>
        <v>0</v>
      </c>
      <c r="U346" s="27" t="b">
        <f>IF($G346&lt;&gt;0,SUMIF(куб!$G:$G,$G346,куб!M:M),IF($E346&lt;&gt;0,SUMIF(куб!$E:$E,$E346,куб!M:M),IF($D346&lt;&gt;0,SUMIF(куб!$D:$D,$D346,куб!M:M),IF($C346&lt;&gt;0,SUMIF(куб!$C:$C,$C346,куб!M:M),IF($B346&lt;&gt;0,SUMIF(куб!$B:$B,$B346,куб!M:M))))))</f>
        <v>0</v>
      </c>
      <c r="V346" s="13" t="str">
        <f t="shared" si="134"/>
        <v>-</v>
      </c>
      <c r="W346" s="5"/>
      <c r="X346" s="27" t="b">
        <f>IF($G346&lt;&gt;0,SUMIF(куб!$G:$G,$G346,куб!N:N),IF($E346&lt;&gt;0,SUMIF(куб!$E:$E,$E346,куб!N:N),IF($D346&lt;&gt;0,SUMIF(куб!$D:$D,$D346,куб!N:N),IF($C346&lt;&gt;0,SUMIF(куб!$C:$C,$C346,куб!N:N),IF($B346&lt;&gt;0,SUMIF(куб!$B:$B,$B346,куб!N:N))))))</f>
        <v>0</v>
      </c>
      <c r="Y346" s="27" t="b">
        <f>IF($G346&lt;&gt;0,SUMIF(куб!$G:$G,$G346,куб!O:O),IF($E346&lt;&gt;0,SUMIF(куб!$E:$E,$E346,куб!O:O),IF($D346&lt;&gt;0,SUMIF(куб!$D:$D,$D346,куб!O:O),IF($C346&lt;&gt;0,SUMIF(куб!$C:$C,$C346,куб!O:O),IF($B346&lt;&gt;0,SUMIF(куб!$B:$B,$B346,куб!O:O))))))</f>
        <v>0</v>
      </c>
      <c r="Z346" s="13" t="str">
        <f t="shared" si="135"/>
        <v>-</v>
      </c>
      <c r="AA346" s="5"/>
      <c r="AB346" s="33" t="str">
        <f t="shared" si="136"/>
        <v/>
      </c>
      <c r="AC346" s="33" t="str">
        <f t="shared" si="137"/>
        <v/>
      </c>
      <c r="AD346" s="15" t="str">
        <f t="shared" si="138"/>
        <v xml:space="preserve"> </v>
      </c>
      <c r="AE346" s="5"/>
      <c r="AF346" s="27" t="b">
        <f>IF($G346&lt;&gt;0,SUMIF(куб!$G:$G,$G346,куб!R:R),IF($E346&lt;&gt;0,SUMIF(куб!$E:$E,$E346,куб!R:R),IF($D346&lt;&gt;0,SUMIF(куб!$D:$D,$D346,куб!R:R),IF($C346&lt;&gt;0,SUMIF(куб!$C:$C,$C346,куб!R:R),IF($B346&lt;&gt;0,SUMIF(куб!$B:$B,$B346,куб!R:R))))))</f>
        <v>0</v>
      </c>
      <c r="AG346" s="27" t="b">
        <f>IF($G346&lt;&gt;0,SUMIF(куб!$G:$G,$G346,куб!S:S),IF($E346&lt;&gt;0,SUMIF(куб!$E:$E,$E346,куб!S:S),IF($D346&lt;&gt;0,SUMIF(куб!$D:$D,$D346,куб!S:S),IF($C346&lt;&gt;0,SUMIF(куб!$C:$C,$C346,куб!S:S),IF($B346&lt;&gt;0,SUMIF(куб!$B:$B,$B346,куб!S:S))))))</f>
        <v>0</v>
      </c>
      <c r="AH346" s="16" t="str">
        <f t="shared" si="139"/>
        <v>-</v>
      </c>
      <c r="AI346" s="8"/>
      <c r="AJ346" s="27" t="b">
        <f>IF($G346&lt;&gt;0,SUMIF(куб!$G:$G,$G346,куб!T:T),IF($E346&lt;&gt;0,SUMIF(куб!$E:$E,$E346,куб!T:T),IF($D346&lt;&gt;0,SUMIF(куб!$D:$D,$D346,куб!T:T),IF($C346&lt;&gt;0,SUMIF(куб!$C:$C,$C346,куб!T:T),IF($B346&lt;&gt;0,SUMIF(куб!$B:$B,$B346,куб!T:T))))))</f>
        <v>0</v>
      </c>
      <c r="AK346" s="27" t="b">
        <f>IF($G346&lt;&gt;0,SUMIF(куб!$G:$G,$G346,куб!U:U),IF($E346&lt;&gt;0,SUMIF(куб!$E:$E,$E346,куб!U:U),IF($D346&lt;&gt;0,SUMIF(куб!$D:$D,$D346,куб!U:U),IF($C346&lt;&gt;0,SUMIF(куб!$C:$C,$C346,куб!U:U),IF($B346&lt;&gt;0,SUMIF(куб!$B:$B,$B346,куб!U:U))))))</f>
        <v>0</v>
      </c>
      <c r="AL346" s="16" t="str">
        <f t="shared" si="140"/>
        <v>-</v>
      </c>
      <c r="AM346" s="8"/>
      <c r="AN346" s="17" t="str">
        <f t="shared" si="141"/>
        <v xml:space="preserve"> </v>
      </c>
      <c r="AO346" s="17" t="str">
        <f t="shared" si="142"/>
        <v xml:space="preserve"> </v>
      </c>
      <c r="AP346" s="16" t="str">
        <f t="shared" si="143"/>
        <v>-</v>
      </c>
      <c r="AQ346" s="8"/>
      <c r="AR346" s="17" t="str">
        <f t="shared" si="144"/>
        <v>-</v>
      </c>
      <c r="AS346" s="17" t="str">
        <f t="shared" si="145"/>
        <v>-</v>
      </c>
      <c r="AT346" s="13" t="str">
        <f t="shared" si="146"/>
        <v>-</v>
      </c>
      <c r="AU346" s="8"/>
    </row>
    <row r="347" spans="1:47" x14ac:dyDescent="0.25">
      <c r="A347" s="31"/>
      <c r="B347" s="31"/>
      <c r="C347"/>
      <c r="D347" s="31"/>
      <c r="E347"/>
      <c r="F347" s="31"/>
      <c r="G347"/>
      <c r="H347" s="27">
        <f>IF($G347&lt;&gt;0,SUMIF(куб!$G:$G,$G347,куб!H:H),IF($E347&lt;&gt;0,SUMIF(куб!$E:$E,$E347,куб!H:H),IF($D347&lt;&gt;0,SUMIF(куб!$D:$D,$D347,куб!H:H),IF($C347&lt;&gt;0,SUMIF(куб!$C:$C,$C347,куб!H:H),IF($B347&lt;&gt;0,SUMIF(куб!$B:$B,$B347,куб!H:H),IF($G347&lt;&gt;0,SUMIF(куб!$A:$A,$G347,куб!H:H),SUMIF(куб!$A:$A,$G347,куб!H:H)))))))</f>
        <v>0</v>
      </c>
      <c r="I347" s="27">
        <f>IF($G347&lt;&gt;0,SUMIF(куб!$G:$G,$G347,куб!I:I),IF($E347&lt;&gt;0,SUMIF(куб!$E:$E,$E347,куб!I:I),IF($D347&lt;&gt;0,SUMIF(куб!$D:$D,$D347,куб!I:I),IF($C347&lt;&gt;0,SUMIF(куб!$C:$C,$C347,куб!I:I),IF($B347&lt;&gt;0,SUMIF(куб!$B:$B,$B347,куб!I:I),IF($G347&lt;&gt;0,SUMIF(куб!$A:$A,$G347,куб!I:I),SUMIF(куб!$A:$A,$G347,куб!I:I)))))))</f>
        <v>0</v>
      </c>
      <c r="J347" s="19" t="str">
        <f t="shared" si="129"/>
        <v>-</v>
      </c>
      <c r="K347" s="8"/>
      <c r="L347" s="17">
        <f t="shared" si="130"/>
        <v>0</v>
      </c>
      <c r="M347" s="17">
        <f t="shared" si="131"/>
        <v>0</v>
      </c>
      <c r="N347" s="12">
        <f t="shared" si="132"/>
        <v>0</v>
      </c>
      <c r="O347" s="5"/>
      <c r="P347" s="27" t="b">
        <f>IF($G347&lt;&gt;0,SUMIF(куб!$G:$G,$G347,куб!J:J),IF($E347&lt;&gt;0,SUMIF(куб!$E:$E,$E347,куб!J:J),IF($D347&lt;&gt;0,SUMIF(куб!$D:$D,$D347,куб!J:J),IF($C347&lt;&gt;0,SUMIF(куб!$C:$C,$C347,куб!J:J),IF($B347&lt;&gt;0,SUMIF(куб!$B:$B,$B347,куб!J:J))))))</f>
        <v>0</v>
      </c>
      <c r="Q347" s="27" t="b">
        <f>IF($G347&lt;&gt;0,SUMIF(куб!$G:$G,$G347,куб!K:K),IF($E347&lt;&gt;0,SUMIF(куб!$E:$E,$E347,куб!K:K),IF($D347&lt;&gt;0,SUMIF(куб!$D:$D,$D347,куб!K:K),IF($C347&lt;&gt;0,SUMIF(куб!$C:$C,$C347,куб!K:K),IF($B347&lt;&gt;0,SUMIF(куб!$B:$B,$B347,куб!K:K))))))</f>
        <v>0</v>
      </c>
      <c r="R347" s="13" t="str">
        <f t="shared" si="133"/>
        <v>-</v>
      </c>
      <c r="S347" s="5"/>
      <c r="T347" s="27" t="b">
        <f>IF($G347&lt;&gt;0,SUMIF(куб!$G:$G,$G347,куб!L:L),IF($E347&lt;&gt;0,SUMIF(куб!$E:$E,$E347,куб!L:L),IF($D347&lt;&gt;0,SUMIF(куб!$D:$D,$D347,куб!L:L),IF($C347&lt;&gt;0,SUMIF(куб!$C:$C,$C347,куб!L:L),IF($B347&lt;&gt;0,SUMIF(куб!$B:$B,$B347,куб!L:L))))))</f>
        <v>0</v>
      </c>
      <c r="U347" s="27" t="b">
        <f>IF($G347&lt;&gt;0,SUMIF(куб!$G:$G,$G347,куб!M:M),IF($E347&lt;&gt;0,SUMIF(куб!$E:$E,$E347,куб!M:M),IF($D347&lt;&gt;0,SUMIF(куб!$D:$D,$D347,куб!M:M),IF($C347&lt;&gt;0,SUMIF(куб!$C:$C,$C347,куб!M:M),IF($B347&lt;&gt;0,SUMIF(куб!$B:$B,$B347,куб!M:M))))))</f>
        <v>0</v>
      </c>
      <c r="V347" s="13" t="str">
        <f t="shared" si="134"/>
        <v>-</v>
      </c>
      <c r="W347" s="5"/>
      <c r="X347" s="27" t="b">
        <f>IF($G347&lt;&gt;0,SUMIF(куб!$G:$G,$G347,куб!N:N),IF($E347&lt;&gt;0,SUMIF(куб!$E:$E,$E347,куб!N:N),IF($D347&lt;&gt;0,SUMIF(куб!$D:$D,$D347,куб!N:N),IF($C347&lt;&gt;0,SUMIF(куб!$C:$C,$C347,куб!N:N),IF($B347&lt;&gt;0,SUMIF(куб!$B:$B,$B347,куб!N:N))))))</f>
        <v>0</v>
      </c>
      <c r="Y347" s="27" t="b">
        <f>IF($G347&lt;&gt;0,SUMIF(куб!$G:$G,$G347,куб!O:O),IF($E347&lt;&gt;0,SUMIF(куб!$E:$E,$E347,куб!O:O),IF($D347&lt;&gt;0,SUMIF(куб!$D:$D,$D347,куб!O:O),IF($C347&lt;&gt;0,SUMIF(куб!$C:$C,$C347,куб!O:O),IF($B347&lt;&gt;0,SUMIF(куб!$B:$B,$B347,куб!O:O))))))</f>
        <v>0</v>
      </c>
      <c r="Z347" s="13" t="str">
        <f t="shared" si="135"/>
        <v>-</v>
      </c>
      <c r="AA347" s="5"/>
      <c r="AB347" s="33" t="str">
        <f t="shared" si="136"/>
        <v/>
      </c>
      <c r="AC347" s="33" t="str">
        <f t="shared" si="137"/>
        <v/>
      </c>
      <c r="AD347" s="15" t="str">
        <f t="shared" si="138"/>
        <v xml:space="preserve"> </v>
      </c>
      <c r="AE347" s="5"/>
      <c r="AF347" s="27" t="b">
        <f>IF($G347&lt;&gt;0,SUMIF(куб!$G:$G,$G347,куб!R:R),IF($E347&lt;&gt;0,SUMIF(куб!$E:$E,$E347,куб!R:R),IF($D347&lt;&gt;0,SUMIF(куб!$D:$D,$D347,куб!R:R),IF($C347&lt;&gt;0,SUMIF(куб!$C:$C,$C347,куб!R:R),IF($B347&lt;&gt;0,SUMIF(куб!$B:$B,$B347,куб!R:R))))))</f>
        <v>0</v>
      </c>
      <c r="AG347" s="27" t="b">
        <f>IF($G347&lt;&gt;0,SUMIF(куб!$G:$G,$G347,куб!S:S),IF($E347&lt;&gt;0,SUMIF(куб!$E:$E,$E347,куб!S:S),IF($D347&lt;&gt;0,SUMIF(куб!$D:$D,$D347,куб!S:S),IF($C347&lt;&gt;0,SUMIF(куб!$C:$C,$C347,куб!S:S),IF($B347&lt;&gt;0,SUMIF(куб!$B:$B,$B347,куб!S:S))))))</f>
        <v>0</v>
      </c>
      <c r="AH347" s="16" t="str">
        <f t="shared" si="139"/>
        <v>-</v>
      </c>
      <c r="AI347" s="8"/>
      <c r="AJ347" s="27" t="b">
        <f>IF($G347&lt;&gt;0,SUMIF(куб!$G:$G,$G347,куб!T:T),IF($E347&lt;&gt;0,SUMIF(куб!$E:$E,$E347,куб!T:T),IF($D347&lt;&gt;0,SUMIF(куб!$D:$D,$D347,куб!T:T),IF($C347&lt;&gt;0,SUMIF(куб!$C:$C,$C347,куб!T:T),IF($B347&lt;&gt;0,SUMIF(куб!$B:$B,$B347,куб!T:T))))))</f>
        <v>0</v>
      </c>
      <c r="AK347" s="27" t="b">
        <f>IF($G347&lt;&gt;0,SUMIF(куб!$G:$G,$G347,куб!U:U),IF($E347&lt;&gt;0,SUMIF(куб!$E:$E,$E347,куб!U:U),IF($D347&lt;&gt;0,SUMIF(куб!$D:$D,$D347,куб!U:U),IF($C347&lt;&gt;0,SUMIF(куб!$C:$C,$C347,куб!U:U),IF($B347&lt;&gt;0,SUMIF(куб!$B:$B,$B347,куб!U:U))))))</f>
        <v>0</v>
      </c>
      <c r="AL347" s="16" t="str">
        <f t="shared" si="140"/>
        <v>-</v>
      </c>
      <c r="AM347" s="8"/>
      <c r="AN347" s="17" t="str">
        <f t="shared" si="141"/>
        <v xml:space="preserve"> </v>
      </c>
      <c r="AO347" s="17" t="str">
        <f t="shared" si="142"/>
        <v xml:space="preserve"> </v>
      </c>
      <c r="AP347" s="16" t="str">
        <f t="shared" si="143"/>
        <v>-</v>
      </c>
      <c r="AQ347" s="8"/>
      <c r="AR347" s="17" t="str">
        <f t="shared" si="144"/>
        <v>-</v>
      </c>
      <c r="AS347" s="17" t="str">
        <f t="shared" si="145"/>
        <v>-</v>
      </c>
      <c r="AT347" s="13" t="str">
        <f t="shared" si="146"/>
        <v>-</v>
      </c>
      <c r="AU347" s="8"/>
    </row>
    <row r="348" spans="1:47" x14ac:dyDescent="0.25">
      <c r="A348" s="31"/>
      <c r="B348" s="31"/>
      <c r="C348"/>
      <c r="D348" s="31"/>
      <c r="E348"/>
      <c r="F348" s="31"/>
      <c r="G348"/>
      <c r="H348" s="27">
        <f>IF($G348&lt;&gt;0,SUMIF(куб!$G:$G,$G348,куб!H:H),IF($E348&lt;&gt;0,SUMIF(куб!$E:$E,$E348,куб!H:H),IF($D348&lt;&gt;0,SUMIF(куб!$D:$D,$D348,куб!H:H),IF($C348&lt;&gt;0,SUMIF(куб!$C:$C,$C348,куб!H:H),IF($B348&lt;&gt;0,SUMIF(куб!$B:$B,$B348,куб!H:H),IF($G348&lt;&gt;0,SUMIF(куб!$A:$A,$G348,куб!H:H),SUMIF(куб!$A:$A,$G348,куб!H:H)))))))</f>
        <v>0</v>
      </c>
      <c r="I348" s="27">
        <f>IF($G348&lt;&gt;0,SUMIF(куб!$G:$G,$G348,куб!I:I),IF($E348&lt;&gt;0,SUMIF(куб!$E:$E,$E348,куб!I:I),IF($D348&lt;&gt;0,SUMIF(куб!$D:$D,$D348,куб!I:I),IF($C348&lt;&gt;0,SUMIF(куб!$C:$C,$C348,куб!I:I),IF($B348&lt;&gt;0,SUMIF(куб!$B:$B,$B348,куб!I:I),IF($G348&lt;&gt;0,SUMIF(куб!$A:$A,$G348,куб!I:I),SUMIF(куб!$A:$A,$G348,куб!I:I)))))))</f>
        <v>0</v>
      </c>
      <c r="J348" s="19" t="str">
        <f t="shared" si="129"/>
        <v>-</v>
      </c>
      <c r="K348" s="8"/>
      <c r="L348" s="17">
        <f t="shared" si="130"/>
        <v>0</v>
      </c>
      <c r="M348" s="17">
        <f t="shared" si="131"/>
        <v>0</v>
      </c>
      <c r="N348" s="12">
        <f t="shared" si="132"/>
        <v>0</v>
      </c>
      <c r="O348" s="5"/>
      <c r="P348" s="27" t="b">
        <f>IF($G348&lt;&gt;0,SUMIF(куб!$G:$G,$G348,куб!J:J),IF($E348&lt;&gt;0,SUMIF(куб!$E:$E,$E348,куб!J:J),IF($D348&lt;&gt;0,SUMIF(куб!$D:$D,$D348,куб!J:J),IF($C348&lt;&gt;0,SUMIF(куб!$C:$C,$C348,куб!J:J),IF($B348&lt;&gt;0,SUMIF(куб!$B:$B,$B348,куб!J:J))))))</f>
        <v>0</v>
      </c>
      <c r="Q348" s="27" t="b">
        <f>IF($G348&lt;&gt;0,SUMIF(куб!$G:$G,$G348,куб!K:K),IF($E348&lt;&gt;0,SUMIF(куб!$E:$E,$E348,куб!K:K),IF($D348&lt;&gt;0,SUMIF(куб!$D:$D,$D348,куб!K:K),IF($C348&lt;&gt;0,SUMIF(куб!$C:$C,$C348,куб!K:K),IF($B348&lt;&gt;0,SUMIF(куб!$B:$B,$B348,куб!K:K))))))</f>
        <v>0</v>
      </c>
      <c r="R348" s="13" t="str">
        <f t="shared" si="133"/>
        <v>-</v>
      </c>
      <c r="S348" s="5"/>
      <c r="T348" s="27" t="b">
        <f>IF($G348&lt;&gt;0,SUMIF(куб!$G:$G,$G348,куб!L:L),IF($E348&lt;&gt;0,SUMIF(куб!$E:$E,$E348,куб!L:L),IF($D348&lt;&gt;0,SUMIF(куб!$D:$D,$D348,куб!L:L),IF($C348&lt;&gt;0,SUMIF(куб!$C:$C,$C348,куб!L:L),IF($B348&lt;&gt;0,SUMIF(куб!$B:$B,$B348,куб!L:L))))))</f>
        <v>0</v>
      </c>
      <c r="U348" s="27" t="b">
        <f>IF($G348&lt;&gt;0,SUMIF(куб!$G:$G,$G348,куб!M:M),IF($E348&lt;&gt;0,SUMIF(куб!$E:$E,$E348,куб!M:M),IF($D348&lt;&gt;0,SUMIF(куб!$D:$D,$D348,куб!M:M),IF($C348&lt;&gt;0,SUMIF(куб!$C:$C,$C348,куб!M:M),IF($B348&lt;&gt;0,SUMIF(куб!$B:$B,$B348,куб!M:M))))))</f>
        <v>0</v>
      </c>
      <c r="V348" s="13" t="str">
        <f t="shared" si="134"/>
        <v>-</v>
      </c>
      <c r="W348" s="5"/>
      <c r="X348" s="27" t="b">
        <f>IF($G348&lt;&gt;0,SUMIF(куб!$G:$G,$G348,куб!N:N),IF($E348&lt;&gt;0,SUMIF(куб!$E:$E,$E348,куб!N:N),IF($D348&lt;&gt;0,SUMIF(куб!$D:$D,$D348,куб!N:N),IF($C348&lt;&gt;0,SUMIF(куб!$C:$C,$C348,куб!N:N),IF($B348&lt;&gt;0,SUMIF(куб!$B:$B,$B348,куб!N:N))))))</f>
        <v>0</v>
      </c>
      <c r="Y348" s="27" t="b">
        <f>IF($G348&lt;&gt;0,SUMIF(куб!$G:$G,$G348,куб!O:O),IF($E348&lt;&gt;0,SUMIF(куб!$E:$E,$E348,куб!O:O),IF($D348&lt;&gt;0,SUMIF(куб!$D:$D,$D348,куб!O:O),IF($C348&lt;&gt;0,SUMIF(куб!$C:$C,$C348,куб!O:O),IF($B348&lt;&gt;0,SUMIF(куб!$B:$B,$B348,куб!O:O))))))</f>
        <v>0</v>
      </c>
      <c r="Z348" s="13" t="str">
        <f t="shared" si="135"/>
        <v>-</v>
      </c>
      <c r="AA348" s="5"/>
      <c r="AB348" s="33" t="str">
        <f t="shared" si="136"/>
        <v/>
      </c>
      <c r="AC348" s="33" t="str">
        <f t="shared" si="137"/>
        <v/>
      </c>
      <c r="AD348" s="15" t="str">
        <f t="shared" si="138"/>
        <v xml:space="preserve"> </v>
      </c>
      <c r="AE348" s="5"/>
      <c r="AF348" s="27" t="b">
        <f>IF($G348&lt;&gt;0,SUMIF(куб!$G:$G,$G348,куб!R:R),IF($E348&lt;&gt;0,SUMIF(куб!$E:$E,$E348,куб!R:R),IF($D348&lt;&gt;0,SUMIF(куб!$D:$D,$D348,куб!R:R),IF($C348&lt;&gt;0,SUMIF(куб!$C:$C,$C348,куб!R:R),IF($B348&lt;&gt;0,SUMIF(куб!$B:$B,$B348,куб!R:R))))))</f>
        <v>0</v>
      </c>
      <c r="AG348" s="27" t="b">
        <f>IF($G348&lt;&gt;0,SUMIF(куб!$G:$G,$G348,куб!S:S),IF($E348&lt;&gt;0,SUMIF(куб!$E:$E,$E348,куб!S:S),IF($D348&lt;&gt;0,SUMIF(куб!$D:$D,$D348,куб!S:S),IF($C348&lt;&gt;0,SUMIF(куб!$C:$C,$C348,куб!S:S),IF($B348&lt;&gt;0,SUMIF(куб!$B:$B,$B348,куб!S:S))))))</f>
        <v>0</v>
      </c>
      <c r="AH348" s="16" t="str">
        <f t="shared" si="139"/>
        <v>-</v>
      </c>
      <c r="AI348" s="8"/>
      <c r="AJ348" s="27" t="b">
        <f>IF($G348&lt;&gt;0,SUMIF(куб!$G:$G,$G348,куб!T:T),IF($E348&lt;&gt;0,SUMIF(куб!$E:$E,$E348,куб!T:T),IF($D348&lt;&gt;0,SUMIF(куб!$D:$D,$D348,куб!T:T),IF($C348&lt;&gt;0,SUMIF(куб!$C:$C,$C348,куб!T:T),IF($B348&lt;&gt;0,SUMIF(куб!$B:$B,$B348,куб!T:T))))))</f>
        <v>0</v>
      </c>
      <c r="AK348" s="27" t="b">
        <f>IF($G348&lt;&gt;0,SUMIF(куб!$G:$G,$G348,куб!U:U),IF($E348&lt;&gt;0,SUMIF(куб!$E:$E,$E348,куб!U:U),IF($D348&lt;&gt;0,SUMIF(куб!$D:$D,$D348,куб!U:U),IF($C348&lt;&gt;0,SUMIF(куб!$C:$C,$C348,куб!U:U),IF($B348&lt;&gt;0,SUMIF(куб!$B:$B,$B348,куб!U:U))))))</f>
        <v>0</v>
      </c>
      <c r="AL348" s="16" t="str">
        <f t="shared" si="140"/>
        <v>-</v>
      </c>
      <c r="AM348" s="8"/>
      <c r="AN348" s="17" t="str">
        <f t="shared" si="141"/>
        <v xml:space="preserve"> </v>
      </c>
      <c r="AO348" s="17" t="str">
        <f t="shared" si="142"/>
        <v xml:space="preserve"> </v>
      </c>
      <c r="AP348" s="16" t="str">
        <f t="shared" si="143"/>
        <v>-</v>
      </c>
      <c r="AQ348" s="8"/>
      <c r="AR348" s="17" t="str">
        <f t="shared" si="144"/>
        <v>-</v>
      </c>
      <c r="AS348" s="17" t="str">
        <f t="shared" si="145"/>
        <v>-</v>
      </c>
      <c r="AT348" s="13" t="str">
        <f t="shared" si="146"/>
        <v>-</v>
      </c>
      <c r="AU348" s="8"/>
    </row>
    <row r="349" spans="1:47" x14ac:dyDescent="0.25">
      <c r="A349" s="31"/>
      <c r="B349" s="31"/>
      <c r="C349"/>
      <c r="D349" s="31"/>
      <c r="E349"/>
      <c r="F349" s="31"/>
      <c r="G349"/>
      <c r="H349" s="27">
        <f>IF($G349&lt;&gt;0,SUMIF(куб!$G:$G,$G349,куб!H:H),IF($E349&lt;&gt;0,SUMIF(куб!$E:$E,$E349,куб!H:H),IF($D349&lt;&gt;0,SUMIF(куб!$D:$D,$D349,куб!H:H),IF($C349&lt;&gt;0,SUMIF(куб!$C:$C,$C349,куб!H:H),IF($B349&lt;&gt;0,SUMIF(куб!$B:$B,$B349,куб!H:H),IF($G349&lt;&gt;0,SUMIF(куб!$A:$A,$G349,куб!H:H),SUMIF(куб!$A:$A,$G349,куб!H:H)))))))</f>
        <v>0</v>
      </c>
      <c r="I349" s="27">
        <f>IF($G349&lt;&gt;0,SUMIF(куб!$G:$G,$G349,куб!I:I),IF($E349&lt;&gt;0,SUMIF(куб!$E:$E,$E349,куб!I:I),IF($D349&lt;&gt;0,SUMIF(куб!$D:$D,$D349,куб!I:I),IF($C349&lt;&gt;0,SUMIF(куб!$C:$C,$C349,куб!I:I),IF($B349&lt;&gt;0,SUMIF(куб!$B:$B,$B349,куб!I:I),IF($G349&lt;&gt;0,SUMIF(куб!$A:$A,$G349,куб!I:I),SUMIF(куб!$A:$A,$G349,куб!I:I)))))))</f>
        <v>0</v>
      </c>
      <c r="J349" s="19" t="str">
        <f t="shared" si="129"/>
        <v>-</v>
      </c>
      <c r="K349" s="8"/>
      <c r="L349" s="17">
        <f t="shared" si="130"/>
        <v>0</v>
      </c>
      <c r="M349" s="17">
        <f t="shared" si="131"/>
        <v>0</v>
      </c>
      <c r="N349" s="12">
        <f t="shared" si="132"/>
        <v>0</v>
      </c>
      <c r="O349" s="5"/>
      <c r="P349" s="27" t="b">
        <f>IF($G349&lt;&gt;0,SUMIF(куб!$G:$G,$G349,куб!J:J),IF($E349&lt;&gt;0,SUMIF(куб!$E:$E,$E349,куб!J:J),IF($D349&lt;&gt;0,SUMIF(куб!$D:$D,$D349,куб!J:J),IF($C349&lt;&gt;0,SUMIF(куб!$C:$C,$C349,куб!J:J),IF($B349&lt;&gt;0,SUMIF(куб!$B:$B,$B349,куб!J:J))))))</f>
        <v>0</v>
      </c>
      <c r="Q349" s="27" t="b">
        <f>IF($G349&lt;&gt;0,SUMIF(куб!$G:$G,$G349,куб!K:K),IF($E349&lt;&gt;0,SUMIF(куб!$E:$E,$E349,куб!K:K),IF($D349&lt;&gt;0,SUMIF(куб!$D:$D,$D349,куб!K:K),IF($C349&lt;&gt;0,SUMIF(куб!$C:$C,$C349,куб!K:K),IF($B349&lt;&gt;0,SUMIF(куб!$B:$B,$B349,куб!K:K))))))</f>
        <v>0</v>
      </c>
      <c r="R349" s="13" t="str">
        <f t="shared" si="133"/>
        <v>-</v>
      </c>
      <c r="S349" s="5"/>
      <c r="T349" s="27" t="b">
        <f>IF($G349&lt;&gt;0,SUMIF(куб!$G:$G,$G349,куб!L:L),IF($E349&lt;&gt;0,SUMIF(куб!$E:$E,$E349,куб!L:L),IF($D349&lt;&gt;0,SUMIF(куб!$D:$D,$D349,куб!L:L),IF($C349&lt;&gt;0,SUMIF(куб!$C:$C,$C349,куб!L:L),IF($B349&lt;&gt;0,SUMIF(куб!$B:$B,$B349,куб!L:L))))))</f>
        <v>0</v>
      </c>
      <c r="U349" s="27" t="b">
        <f>IF($G349&lt;&gt;0,SUMIF(куб!$G:$G,$G349,куб!M:M),IF($E349&lt;&gt;0,SUMIF(куб!$E:$E,$E349,куб!M:M),IF($D349&lt;&gt;0,SUMIF(куб!$D:$D,$D349,куб!M:M),IF($C349&lt;&gt;0,SUMIF(куб!$C:$C,$C349,куб!M:M),IF($B349&lt;&gt;0,SUMIF(куб!$B:$B,$B349,куб!M:M))))))</f>
        <v>0</v>
      </c>
      <c r="V349" s="13" t="str">
        <f t="shared" si="134"/>
        <v>-</v>
      </c>
      <c r="W349" s="5"/>
      <c r="X349" s="27" t="b">
        <f>IF($G349&lt;&gt;0,SUMIF(куб!$G:$G,$G349,куб!N:N),IF($E349&lt;&gt;0,SUMIF(куб!$E:$E,$E349,куб!N:N),IF($D349&lt;&gt;0,SUMIF(куб!$D:$D,$D349,куб!N:N),IF($C349&lt;&gt;0,SUMIF(куб!$C:$C,$C349,куб!N:N),IF($B349&lt;&gt;0,SUMIF(куб!$B:$B,$B349,куб!N:N))))))</f>
        <v>0</v>
      </c>
      <c r="Y349" s="27" t="b">
        <f>IF($G349&lt;&gt;0,SUMIF(куб!$G:$G,$G349,куб!O:O),IF($E349&lt;&gt;0,SUMIF(куб!$E:$E,$E349,куб!O:O),IF($D349&lt;&gt;0,SUMIF(куб!$D:$D,$D349,куб!O:O),IF($C349&lt;&gt;0,SUMIF(куб!$C:$C,$C349,куб!O:O),IF($B349&lt;&gt;0,SUMIF(куб!$B:$B,$B349,куб!O:O))))))</f>
        <v>0</v>
      </c>
      <c r="Z349" s="13" t="str">
        <f t="shared" si="135"/>
        <v>-</v>
      </c>
      <c r="AA349" s="5"/>
      <c r="AB349" s="33" t="str">
        <f t="shared" si="136"/>
        <v/>
      </c>
      <c r="AC349" s="33" t="str">
        <f t="shared" si="137"/>
        <v/>
      </c>
      <c r="AD349" s="15" t="str">
        <f t="shared" si="138"/>
        <v xml:space="preserve"> </v>
      </c>
      <c r="AE349" s="5"/>
      <c r="AF349" s="27" t="b">
        <f>IF($G349&lt;&gt;0,SUMIF(куб!$G:$G,$G349,куб!R:R),IF($E349&lt;&gt;0,SUMIF(куб!$E:$E,$E349,куб!R:R),IF($D349&lt;&gt;0,SUMIF(куб!$D:$D,$D349,куб!R:R),IF($C349&lt;&gt;0,SUMIF(куб!$C:$C,$C349,куб!R:R),IF($B349&lt;&gt;0,SUMIF(куб!$B:$B,$B349,куб!R:R))))))</f>
        <v>0</v>
      </c>
      <c r="AG349" s="27" t="b">
        <f>IF($G349&lt;&gt;0,SUMIF(куб!$G:$G,$G349,куб!S:S),IF($E349&lt;&gt;0,SUMIF(куб!$E:$E,$E349,куб!S:S),IF($D349&lt;&gt;0,SUMIF(куб!$D:$D,$D349,куб!S:S),IF($C349&lt;&gt;0,SUMIF(куб!$C:$C,$C349,куб!S:S),IF($B349&lt;&gt;0,SUMIF(куб!$B:$B,$B349,куб!S:S))))))</f>
        <v>0</v>
      </c>
      <c r="AH349" s="16" t="str">
        <f t="shared" si="139"/>
        <v>-</v>
      </c>
      <c r="AI349" s="8"/>
      <c r="AJ349" s="27" t="b">
        <f>IF($G349&lt;&gt;0,SUMIF(куб!$G:$G,$G349,куб!T:T),IF($E349&lt;&gt;0,SUMIF(куб!$E:$E,$E349,куб!T:T),IF($D349&lt;&gt;0,SUMIF(куб!$D:$D,$D349,куб!T:T),IF($C349&lt;&gt;0,SUMIF(куб!$C:$C,$C349,куб!T:T),IF($B349&lt;&gt;0,SUMIF(куб!$B:$B,$B349,куб!T:T))))))</f>
        <v>0</v>
      </c>
      <c r="AK349" s="27" t="b">
        <f>IF($G349&lt;&gt;0,SUMIF(куб!$G:$G,$G349,куб!U:U),IF($E349&lt;&gt;0,SUMIF(куб!$E:$E,$E349,куб!U:U),IF($D349&lt;&gt;0,SUMIF(куб!$D:$D,$D349,куб!U:U),IF($C349&lt;&gt;0,SUMIF(куб!$C:$C,$C349,куб!U:U),IF($B349&lt;&gt;0,SUMIF(куб!$B:$B,$B349,куб!U:U))))))</f>
        <v>0</v>
      </c>
      <c r="AL349" s="16" t="str">
        <f t="shared" si="140"/>
        <v>-</v>
      </c>
      <c r="AM349" s="8"/>
      <c r="AN349" s="17" t="str">
        <f t="shared" si="141"/>
        <v xml:space="preserve"> </v>
      </c>
      <c r="AO349" s="17" t="str">
        <f t="shared" si="142"/>
        <v xml:space="preserve"> </v>
      </c>
      <c r="AP349" s="16" t="str">
        <f t="shared" si="143"/>
        <v>-</v>
      </c>
      <c r="AQ349" s="8"/>
      <c r="AR349" s="17" t="str">
        <f t="shared" si="144"/>
        <v>-</v>
      </c>
      <c r="AS349" s="17" t="str">
        <f t="shared" si="145"/>
        <v>-</v>
      </c>
      <c r="AT349" s="13" t="str">
        <f t="shared" si="146"/>
        <v>-</v>
      </c>
      <c r="AU349" s="8"/>
    </row>
    <row r="350" spans="1:47" x14ac:dyDescent="0.25">
      <c r="A350" s="31"/>
      <c r="B350" s="31"/>
      <c r="C350"/>
      <c r="D350" s="31"/>
      <c r="E350"/>
      <c r="F350" s="31"/>
      <c r="G350"/>
      <c r="H350" s="27">
        <f>IF($G350&lt;&gt;0,SUMIF(куб!$G:$G,$G350,куб!H:H),IF($E350&lt;&gt;0,SUMIF(куб!$E:$E,$E350,куб!H:H),IF($D350&lt;&gt;0,SUMIF(куб!$D:$D,$D350,куб!H:H),IF($C350&lt;&gt;0,SUMIF(куб!$C:$C,$C350,куб!H:H),IF($B350&lt;&gt;0,SUMIF(куб!$B:$B,$B350,куб!H:H),IF($G350&lt;&gt;0,SUMIF(куб!$A:$A,$G350,куб!H:H),SUMIF(куб!$A:$A,$G350,куб!H:H)))))))</f>
        <v>0</v>
      </c>
      <c r="I350" s="27">
        <f>IF($G350&lt;&gt;0,SUMIF(куб!$G:$G,$G350,куб!I:I),IF($E350&lt;&gt;0,SUMIF(куб!$E:$E,$E350,куб!I:I),IF($D350&lt;&gt;0,SUMIF(куб!$D:$D,$D350,куб!I:I),IF($C350&lt;&gt;0,SUMIF(куб!$C:$C,$C350,куб!I:I),IF($B350&lt;&gt;0,SUMIF(куб!$B:$B,$B350,куб!I:I),IF($G350&lt;&gt;0,SUMIF(куб!$A:$A,$G350,куб!I:I),SUMIF(куб!$A:$A,$G350,куб!I:I)))))))</f>
        <v>0</v>
      </c>
      <c r="J350" s="19" t="str">
        <f t="shared" si="129"/>
        <v>-</v>
      </c>
      <c r="K350" s="8"/>
      <c r="L350" s="17">
        <f t="shared" si="130"/>
        <v>0</v>
      </c>
      <c r="M350" s="17">
        <f t="shared" si="131"/>
        <v>0</v>
      </c>
      <c r="N350" s="12">
        <f t="shared" si="132"/>
        <v>0</v>
      </c>
      <c r="O350" s="5"/>
      <c r="P350" s="27" t="b">
        <f>IF($G350&lt;&gt;0,SUMIF(куб!$G:$G,$G350,куб!J:J),IF($E350&lt;&gt;0,SUMIF(куб!$E:$E,$E350,куб!J:J),IF($D350&lt;&gt;0,SUMIF(куб!$D:$D,$D350,куб!J:J),IF($C350&lt;&gt;0,SUMIF(куб!$C:$C,$C350,куб!J:J),IF($B350&lt;&gt;0,SUMIF(куб!$B:$B,$B350,куб!J:J))))))</f>
        <v>0</v>
      </c>
      <c r="Q350" s="27" t="b">
        <f>IF($G350&lt;&gt;0,SUMIF(куб!$G:$G,$G350,куб!K:K),IF($E350&lt;&gt;0,SUMIF(куб!$E:$E,$E350,куб!K:K),IF($D350&lt;&gt;0,SUMIF(куб!$D:$D,$D350,куб!K:K),IF($C350&lt;&gt;0,SUMIF(куб!$C:$C,$C350,куб!K:K),IF($B350&lt;&gt;0,SUMIF(куб!$B:$B,$B350,куб!K:K))))))</f>
        <v>0</v>
      </c>
      <c r="R350" s="13" t="str">
        <f t="shared" si="133"/>
        <v>-</v>
      </c>
      <c r="S350" s="5"/>
      <c r="T350" s="27" t="b">
        <f>IF($G350&lt;&gt;0,SUMIF(куб!$G:$G,$G350,куб!L:L),IF($E350&lt;&gt;0,SUMIF(куб!$E:$E,$E350,куб!L:L),IF($D350&lt;&gt;0,SUMIF(куб!$D:$D,$D350,куб!L:L),IF($C350&lt;&gt;0,SUMIF(куб!$C:$C,$C350,куб!L:L),IF($B350&lt;&gt;0,SUMIF(куб!$B:$B,$B350,куб!L:L))))))</f>
        <v>0</v>
      </c>
      <c r="U350" s="27" t="b">
        <f>IF($G350&lt;&gt;0,SUMIF(куб!$G:$G,$G350,куб!M:M),IF($E350&lt;&gt;0,SUMIF(куб!$E:$E,$E350,куб!M:M),IF($D350&lt;&gt;0,SUMIF(куб!$D:$D,$D350,куб!M:M),IF($C350&lt;&gt;0,SUMIF(куб!$C:$C,$C350,куб!M:M),IF($B350&lt;&gt;0,SUMIF(куб!$B:$B,$B350,куб!M:M))))))</f>
        <v>0</v>
      </c>
      <c r="V350" s="13" t="str">
        <f t="shared" si="134"/>
        <v>-</v>
      </c>
      <c r="W350" s="5"/>
      <c r="X350" s="27" t="b">
        <f>IF($G350&lt;&gt;0,SUMIF(куб!$G:$G,$G350,куб!N:N),IF($E350&lt;&gt;0,SUMIF(куб!$E:$E,$E350,куб!N:N),IF($D350&lt;&gt;0,SUMIF(куб!$D:$D,$D350,куб!N:N),IF($C350&lt;&gt;0,SUMIF(куб!$C:$C,$C350,куб!N:N),IF($B350&lt;&gt;0,SUMIF(куб!$B:$B,$B350,куб!N:N))))))</f>
        <v>0</v>
      </c>
      <c r="Y350" s="27" t="b">
        <f>IF($G350&lt;&gt;0,SUMIF(куб!$G:$G,$G350,куб!O:O),IF($E350&lt;&gt;0,SUMIF(куб!$E:$E,$E350,куб!O:O),IF($D350&lt;&gt;0,SUMIF(куб!$D:$D,$D350,куб!O:O),IF($C350&lt;&gt;0,SUMIF(куб!$C:$C,$C350,куб!O:O),IF($B350&lt;&gt;0,SUMIF(куб!$B:$B,$B350,куб!O:O))))))</f>
        <v>0</v>
      </c>
      <c r="Z350" s="13" t="str">
        <f t="shared" si="135"/>
        <v>-</v>
      </c>
      <c r="AA350" s="5"/>
      <c r="AB350" s="33" t="str">
        <f t="shared" si="136"/>
        <v/>
      </c>
      <c r="AC350" s="33" t="str">
        <f t="shared" si="137"/>
        <v/>
      </c>
      <c r="AD350" s="15" t="str">
        <f t="shared" si="138"/>
        <v xml:space="preserve"> </v>
      </c>
      <c r="AE350" s="5"/>
      <c r="AF350" s="27" t="b">
        <f>IF($G350&lt;&gt;0,SUMIF(куб!$G:$G,$G350,куб!R:R),IF($E350&lt;&gt;0,SUMIF(куб!$E:$E,$E350,куб!R:R),IF($D350&lt;&gt;0,SUMIF(куб!$D:$D,$D350,куб!R:R),IF($C350&lt;&gt;0,SUMIF(куб!$C:$C,$C350,куб!R:R),IF($B350&lt;&gt;0,SUMIF(куб!$B:$B,$B350,куб!R:R))))))</f>
        <v>0</v>
      </c>
      <c r="AG350" s="27" t="b">
        <f>IF($G350&lt;&gt;0,SUMIF(куб!$G:$G,$G350,куб!S:S),IF($E350&lt;&gt;0,SUMIF(куб!$E:$E,$E350,куб!S:S),IF($D350&lt;&gt;0,SUMIF(куб!$D:$D,$D350,куб!S:S),IF($C350&lt;&gt;0,SUMIF(куб!$C:$C,$C350,куб!S:S),IF($B350&lt;&gt;0,SUMIF(куб!$B:$B,$B350,куб!S:S))))))</f>
        <v>0</v>
      </c>
      <c r="AH350" s="16" t="str">
        <f t="shared" si="139"/>
        <v>-</v>
      </c>
      <c r="AI350" s="8"/>
      <c r="AJ350" s="27" t="b">
        <f>IF($G350&lt;&gt;0,SUMIF(куб!$G:$G,$G350,куб!T:T),IF($E350&lt;&gt;0,SUMIF(куб!$E:$E,$E350,куб!T:T),IF($D350&lt;&gt;0,SUMIF(куб!$D:$D,$D350,куб!T:T),IF($C350&lt;&gt;0,SUMIF(куб!$C:$C,$C350,куб!T:T),IF($B350&lt;&gt;0,SUMIF(куб!$B:$B,$B350,куб!T:T))))))</f>
        <v>0</v>
      </c>
      <c r="AK350" s="27" t="b">
        <f>IF($G350&lt;&gt;0,SUMIF(куб!$G:$G,$G350,куб!U:U),IF($E350&lt;&gt;0,SUMIF(куб!$E:$E,$E350,куб!U:U),IF($D350&lt;&gt;0,SUMIF(куб!$D:$D,$D350,куб!U:U),IF($C350&lt;&gt;0,SUMIF(куб!$C:$C,$C350,куб!U:U),IF($B350&lt;&gt;0,SUMIF(куб!$B:$B,$B350,куб!U:U))))))</f>
        <v>0</v>
      </c>
      <c r="AL350" s="16" t="str">
        <f t="shared" si="140"/>
        <v>-</v>
      </c>
      <c r="AM350" s="8"/>
      <c r="AN350" s="17" t="str">
        <f t="shared" si="141"/>
        <v xml:space="preserve"> </v>
      </c>
      <c r="AO350" s="17" t="str">
        <f t="shared" si="142"/>
        <v xml:space="preserve"> </v>
      </c>
      <c r="AP350" s="16" t="str">
        <f t="shared" si="143"/>
        <v>-</v>
      </c>
      <c r="AQ350" s="8"/>
      <c r="AR350" s="17" t="str">
        <f t="shared" si="144"/>
        <v>-</v>
      </c>
      <c r="AS350" s="17" t="str">
        <f t="shared" si="145"/>
        <v>-</v>
      </c>
      <c r="AT350" s="13" t="str">
        <f t="shared" si="146"/>
        <v>-</v>
      </c>
      <c r="AU350" s="8"/>
    </row>
    <row r="351" spans="1:47" x14ac:dyDescent="0.25">
      <c r="A351" s="31"/>
      <c r="B351" s="31"/>
      <c r="C351"/>
      <c r="D351" s="31"/>
      <c r="E351"/>
      <c r="F351" s="31"/>
      <c r="G351"/>
      <c r="H351" s="27">
        <f>IF($G351&lt;&gt;0,SUMIF(куб!$G:$G,$G351,куб!H:H),IF($E351&lt;&gt;0,SUMIF(куб!$E:$E,$E351,куб!H:H),IF($D351&lt;&gt;0,SUMIF(куб!$D:$D,$D351,куб!H:H),IF($C351&lt;&gt;0,SUMIF(куб!$C:$C,$C351,куб!H:H),IF($B351&lt;&gt;0,SUMIF(куб!$B:$B,$B351,куб!H:H),IF($G351&lt;&gt;0,SUMIF(куб!$A:$A,$G351,куб!H:H),SUMIF(куб!$A:$A,$G351,куб!H:H)))))))</f>
        <v>0</v>
      </c>
      <c r="I351" s="27">
        <f>IF($G351&lt;&gt;0,SUMIF(куб!$G:$G,$G351,куб!I:I),IF($E351&lt;&gt;0,SUMIF(куб!$E:$E,$E351,куб!I:I),IF($D351&lt;&gt;0,SUMIF(куб!$D:$D,$D351,куб!I:I),IF($C351&lt;&gt;0,SUMIF(куб!$C:$C,$C351,куб!I:I),IF($B351&lt;&gt;0,SUMIF(куб!$B:$B,$B351,куб!I:I),IF($G351&lt;&gt;0,SUMIF(куб!$A:$A,$G351,куб!I:I),SUMIF(куб!$A:$A,$G351,куб!I:I)))))))</f>
        <v>0</v>
      </c>
      <c r="J351" s="19" t="str">
        <f t="shared" si="129"/>
        <v>-</v>
      </c>
      <c r="K351" s="8"/>
      <c r="L351" s="17">
        <f t="shared" si="130"/>
        <v>0</v>
      </c>
      <c r="M351" s="17">
        <f t="shared" si="131"/>
        <v>0</v>
      </c>
      <c r="N351" s="12">
        <f t="shared" si="132"/>
        <v>0</v>
      </c>
      <c r="O351" s="5"/>
      <c r="P351" s="27" t="b">
        <f>IF($G351&lt;&gt;0,SUMIF(куб!$G:$G,$G351,куб!J:J),IF($E351&lt;&gt;0,SUMIF(куб!$E:$E,$E351,куб!J:J),IF($D351&lt;&gt;0,SUMIF(куб!$D:$D,$D351,куб!J:J),IF($C351&lt;&gt;0,SUMIF(куб!$C:$C,$C351,куб!J:J),IF($B351&lt;&gt;0,SUMIF(куб!$B:$B,$B351,куб!J:J))))))</f>
        <v>0</v>
      </c>
      <c r="Q351" s="27" t="b">
        <f>IF($G351&lt;&gt;0,SUMIF(куб!$G:$G,$G351,куб!K:K),IF($E351&lt;&gt;0,SUMIF(куб!$E:$E,$E351,куб!K:K),IF($D351&lt;&gt;0,SUMIF(куб!$D:$D,$D351,куб!K:K),IF($C351&lt;&gt;0,SUMIF(куб!$C:$C,$C351,куб!K:K),IF($B351&lt;&gt;0,SUMIF(куб!$B:$B,$B351,куб!K:K))))))</f>
        <v>0</v>
      </c>
      <c r="R351" s="13" t="str">
        <f t="shared" si="133"/>
        <v>-</v>
      </c>
      <c r="S351" s="5"/>
      <c r="T351" s="27" t="b">
        <f>IF($G351&lt;&gt;0,SUMIF(куб!$G:$G,$G351,куб!L:L),IF($E351&lt;&gt;0,SUMIF(куб!$E:$E,$E351,куб!L:L),IF($D351&lt;&gt;0,SUMIF(куб!$D:$D,$D351,куб!L:L),IF($C351&lt;&gt;0,SUMIF(куб!$C:$C,$C351,куб!L:L),IF($B351&lt;&gt;0,SUMIF(куб!$B:$B,$B351,куб!L:L))))))</f>
        <v>0</v>
      </c>
      <c r="U351" s="27" t="b">
        <f>IF($G351&lt;&gt;0,SUMIF(куб!$G:$G,$G351,куб!M:M),IF($E351&lt;&gt;0,SUMIF(куб!$E:$E,$E351,куб!M:M),IF($D351&lt;&gt;0,SUMIF(куб!$D:$D,$D351,куб!M:M),IF($C351&lt;&gt;0,SUMIF(куб!$C:$C,$C351,куб!M:M),IF($B351&lt;&gt;0,SUMIF(куб!$B:$B,$B351,куб!M:M))))))</f>
        <v>0</v>
      </c>
      <c r="V351" s="13" t="str">
        <f t="shared" si="134"/>
        <v>-</v>
      </c>
      <c r="W351" s="5"/>
      <c r="X351" s="27" t="b">
        <f>IF($G351&lt;&gt;0,SUMIF(куб!$G:$G,$G351,куб!N:N),IF($E351&lt;&gt;0,SUMIF(куб!$E:$E,$E351,куб!N:N),IF($D351&lt;&gt;0,SUMIF(куб!$D:$D,$D351,куб!N:N),IF($C351&lt;&gt;0,SUMIF(куб!$C:$C,$C351,куб!N:N),IF($B351&lt;&gt;0,SUMIF(куб!$B:$B,$B351,куб!N:N))))))</f>
        <v>0</v>
      </c>
      <c r="Y351" s="27" t="b">
        <f>IF($G351&lt;&gt;0,SUMIF(куб!$G:$G,$G351,куб!O:O),IF($E351&lt;&gt;0,SUMIF(куб!$E:$E,$E351,куб!O:O),IF($D351&lt;&gt;0,SUMIF(куб!$D:$D,$D351,куб!O:O),IF($C351&lt;&gt;0,SUMIF(куб!$C:$C,$C351,куб!O:O),IF($B351&lt;&gt;0,SUMIF(куб!$B:$B,$B351,куб!O:O))))))</f>
        <v>0</v>
      </c>
      <c r="Z351" s="13" t="str">
        <f t="shared" si="135"/>
        <v>-</v>
      </c>
      <c r="AA351" s="5"/>
      <c r="AB351" s="33" t="str">
        <f t="shared" si="136"/>
        <v/>
      </c>
      <c r="AC351" s="33" t="str">
        <f t="shared" si="137"/>
        <v/>
      </c>
      <c r="AD351" s="15" t="str">
        <f t="shared" si="138"/>
        <v xml:space="preserve"> </v>
      </c>
      <c r="AE351" s="5"/>
      <c r="AF351" s="27" t="b">
        <f>IF($G351&lt;&gt;0,SUMIF(куб!$G:$G,$G351,куб!R:R),IF($E351&lt;&gt;0,SUMIF(куб!$E:$E,$E351,куб!R:R),IF($D351&lt;&gt;0,SUMIF(куб!$D:$D,$D351,куб!R:R),IF($C351&lt;&gt;0,SUMIF(куб!$C:$C,$C351,куб!R:R),IF($B351&lt;&gt;0,SUMIF(куб!$B:$B,$B351,куб!R:R))))))</f>
        <v>0</v>
      </c>
      <c r="AG351" s="27" t="b">
        <f>IF($G351&lt;&gt;0,SUMIF(куб!$G:$G,$G351,куб!S:S),IF($E351&lt;&gt;0,SUMIF(куб!$E:$E,$E351,куб!S:S),IF($D351&lt;&gt;0,SUMIF(куб!$D:$D,$D351,куб!S:S),IF($C351&lt;&gt;0,SUMIF(куб!$C:$C,$C351,куб!S:S),IF($B351&lt;&gt;0,SUMIF(куб!$B:$B,$B351,куб!S:S))))))</f>
        <v>0</v>
      </c>
      <c r="AH351" s="16" t="str">
        <f t="shared" si="139"/>
        <v>-</v>
      </c>
      <c r="AI351" s="8"/>
      <c r="AJ351" s="27" t="b">
        <f>IF($G351&lt;&gt;0,SUMIF(куб!$G:$G,$G351,куб!T:T),IF($E351&lt;&gt;0,SUMIF(куб!$E:$E,$E351,куб!T:T),IF($D351&lt;&gt;0,SUMIF(куб!$D:$D,$D351,куб!T:T),IF($C351&lt;&gt;0,SUMIF(куб!$C:$C,$C351,куб!T:T),IF($B351&lt;&gt;0,SUMIF(куб!$B:$B,$B351,куб!T:T))))))</f>
        <v>0</v>
      </c>
      <c r="AK351" s="27" t="b">
        <f>IF($G351&lt;&gt;0,SUMIF(куб!$G:$G,$G351,куб!U:U),IF($E351&lt;&gt;0,SUMIF(куб!$E:$E,$E351,куб!U:U),IF($D351&lt;&gt;0,SUMIF(куб!$D:$D,$D351,куб!U:U),IF($C351&lt;&gt;0,SUMIF(куб!$C:$C,$C351,куб!U:U),IF($B351&lt;&gt;0,SUMIF(куб!$B:$B,$B351,куб!U:U))))))</f>
        <v>0</v>
      </c>
      <c r="AL351" s="16" t="str">
        <f t="shared" si="140"/>
        <v>-</v>
      </c>
      <c r="AM351" s="8"/>
      <c r="AN351" s="17" t="str">
        <f t="shared" si="141"/>
        <v xml:space="preserve"> </v>
      </c>
      <c r="AO351" s="17" t="str">
        <f t="shared" si="142"/>
        <v xml:space="preserve"> </v>
      </c>
      <c r="AP351" s="16" t="str">
        <f t="shared" si="143"/>
        <v>-</v>
      </c>
      <c r="AQ351" s="8"/>
      <c r="AR351" s="17" t="str">
        <f t="shared" si="144"/>
        <v>-</v>
      </c>
      <c r="AS351" s="17" t="str">
        <f t="shared" si="145"/>
        <v>-</v>
      </c>
      <c r="AT351" s="13" t="str">
        <f t="shared" si="146"/>
        <v>-</v>
      </c>
      <c r="AU351" s="8"/>
    </row>
    <row r="352" spans="1:47" x14ac:dyDescent="0.25">
      <c r="A352" s="31"/>
      <c r="B352" s="31"/>
      <c r="C352"/>
      <c r="D352" s="31"/>
      <c r="E352"/>
      <c r="F352" s="31"/>
      <c r="G352"/>
      <c r="H352" s="27">
        <f>IF($G352&lt;&gt;0,SUMIF(куб!$G:$G,$G352,куб!H:H),IF($E352&lt;&gt;0,SUMIF(куб!$E:$E,$E352,куб!H:H),IF($D352&lt;&gt;0,SUMIF(куб!$D:$D,$D352,куб!H:H),IF($C352&lt;&gt;0,SUMIF(куб!$C:$C,$C352,куб!H:H),IF($B352&lt;&gt;0,SUMIF(куб!$B:$B,$B352,куб!H:H),IF($G352&lt;&gt;0,SUMIF(куб!$A:$A,$G352,куб!H:H),SUMIF(куб!$A:$A,$G352,куб!H:H)))))))</f>
        <v>0</v>
      </c>
      <c r="I352" s="27">
        <f>IF($G352&lt;&gt;0,SUMIF(куб!$G:$G,$G352,куб!I:I),IF($E352&lt;&gt;0,SUMIF(куб!$E:$E,$E352,куб!I:I),IF($D352&lt;&gt;0,SUMIF(куб!$D:$D,$D352,куб!I:I),IF($C352&lt;&gt;0,SUMIF(куб!$C:$C,$C352,куб!I:I),IF($B352&lt;&gt;0,SUMIF(куб!$B:$B,$B352,куб!I:I),IF($G352&lt;&gt;0,SUMIF(куб!$A:$A,$G352,куб!I:I),SUMIF(куб!$A:$A,$G352,куб!I:I)))))))</f>
        <v>0</v>
      </c>
      <c r="J352" s="19" t="str">
        <f t="shared" si="129"/>
        <v>-</v>
      </c>
      <c r="K352" s="8"/>
      <c r="L352" s="17">
        <f t="shared" si="130"/>
        <v>0</v>
      </c>
      <c r="M352" s="17">
        <f t="shared" si="131"/>
        <v>0</v>
      </c>
      <c r="N352" s="12">
        <f t="shared" si="132"/>
        <v>0</v>
      </c>
      <c r="O352" s="5"/>
      <c r="P352" s="27" t="b">
        <f>IF($G352&lt;&gt;0,SUMIF(куб!$G:$G,$G352,куб!J:J),IF($E352&lt;&gt;0,SUMIF(куб!$E:$E,$E352,куб!J:J),IF($D352&lt;&gt;0,SUMIF(куб!$D:$D,$D352,куб!J:J),IF($C352&lt;&gt;0,SUMIF(куб!$C:$C,$C352,куб!J:J),IF($B352&lt;&gt;0,SUMIF(куб!$B:$B,$B352,куб!J:J))))))</f>
        <v>0</v>
      </c>
      <c r="Q352" s="27" t="b">
        <f>IF($G352&lt;&gt;0,SUMIF(куб!$G:$G,$G352,куб!K:K),IF($E352&lt;&gt;0,SUMIF(куб!$E:$E,$E352,куб!K:K),IF($D352&lt;&gt;0,SUMIF(куб!$D:$D,$D352,куб!K:K),IF($C352&lt;&gt;0,SUMIF(куб!$C:$C,$C352,куб!K:K),IF($B352&lt;&gt;0,SUMIF(куб!$B:$B,$B352,куб!K:K))))))</f>
        <v>0</v>
      </c>
      <c r="R352" s="13" t="str">
        <f t="shared" si="133"/>
        <v>-</v>
      </c>
      <c r="S352" s="5"/>
      <c r="T352" s="27" t="b">
        <f>IF($G352&lt;&gt;0,SUMIF(куб!$G:$G,$G352,куб!L:L),IF($E352&lt;&gt;0,SUMIF(куб!$E:$E,$E352,куб!L:L),IF($D352&lt;&gt;0,SUMIF(куб!$D:$D,$D352,куб!L:L),IF($C352&lt;&gt;0,SUMIF(куб!$C:$C,$C352,куб!L:L),IF($B352&lt;&gt;0,SUMIF(куб!$B:$B,$B352,куб!L:L))))))</f>
        <v>0</v>
      </c>
      <c r="U352" s="27" t="b">
        <f>IF($G352&lt;&gt;0,SUMIF(куб!$G:$G,$G352,куб!M:M),IF($E352&lt;&gt;0,SUMIF(куб!$E:$E,$E352,куб!M:M),IF($D352&lt;&gt;0,SUMIF(куб!$D:$D,$D352,куб!M:M),IF($C352&lt;&gt;0,SUMIF(куб!$C:$C,$C352,куб!M:M),IF($B352&lt;&gt;0,SUMIF(куб!$B:$B,$B352,куб!M:M))))))</f>
        <v>0</v>
      </c>
      <c r="V352" s="13" t="str">
        <f t="shared" si="134"/>
        <v>-</v>
      </c>
      <c r="W352" s="5"/>
      <c r="X352" s="27" t="b">
        <f>IF($G352&lt;&gt;0,SUMIF(куб!$G:$G,$G352,куб!N:N),IF($E352&lt;&gt;0,SUMIF(куб!$E:$E,$E352,куб!N:N),IF($D352&lt;&gt;0,SUMIF(куб!$D:$D,$D352,куб!N:N),IF($C352&lt;&gt;0,SUMIF(куб!$C:$C,$C352,куб!N:N),IF($B352&lt;&gt;0,SUMIF(куб!$B:$B,$B352,куб!N:N))))))</f>
        <v>0</v>
      </c>
      <c r="Y352" s="27" t="b">
        <f>IF($G352&lt;&gt;0,SUMIF(куб!$G:$G,$G352,куб!O:O),IF($E352&lt;&gt;0,SUMIF(куб!$E:$E,$E352,куб!O:O),IF($D352&lt;&gt;0,SUMIF(куб!$D:$D,$D352,куб!O:O),IF($C352&lt;&gt;0,SUMIF(куб!$C:$C,$C352,куб!O:O),IF($B352&lt;&gt;0,SUMIF(куб!$B:$B,$B352,куб!O:O))))))</f>
        <v>0</v>
      </c>
      <c r="Z352" s="13" t="str">
        <f t="shared" si="135"/>
        <v>-</v>
      </c>
      <c r="AA352" s="5"/>
      <c r="AB352" s="33" t="str">
        <f t="shared" si="136"/>
        <v/>
      </c>
      <c r="AC352" s="33" t="str">
        <f t="shared" si="137"/>
        <v/>
      </c>
      <c r="AD352" s="15" t="str">
        <f t="shared" si="138"/>
        <v xml:space="preserve"> </v>
      </c>
      <c r="AE352" s="5"/>
      <c r="AF352" s="27" t="b">
        <f>IF($G352&lt;&gt;0,SUMIF(куб!$G:$G,$G352,куб!R:R),IF($E352&lt;&gt;0,SUMIF(куб!$E:$E,$E352,куб!R:R),IF($D352&lt;&gt;0,SUMIF(куб!$D:$D,$D352,куб!R:R),IF($C352&lt;&gt;0,SUMIF(куб!$C:$C,$C352,куб!R:R),IF($B352&lt;&gt;0,SUMIF(куб!$B:$B,$B352,куб!R:R))))))</f>
        <v>0</v>
      </c>
      <c r="AG352" s="27" t="b">
        <f>IF($G352&lt;&gt;0,SUMIF(куб!$G:$G,$G352,куб!S:S),IF($E352&lt;&gt;0,SUMIF(куб!$E:$E,$E352,куб!S:S),IF($D352&lt;&gt;0,SUMIF(куб!$D:$D,$D352,куб!S:S),IF($C352&lt;&gt;0,SUMIF(куб!$C:$C,$C352,куб!S:S),IF($B352&lt;&gt;0,SUMIF(куб!$B:$B,$B352,куб!S:S))))))</f>
        <v>0</v>
      </c>
      <c r="AH352" s="16" t="str">
        <f t="shared" si="139"/>
        <v>-</v>
      </c>
      <c r="AI352" s="8"/>
      <c r="AJ352" s="27" t="b">
        <f>IF($G352&lt;&gt;0,SUMIF(куб!$G:$G,$G352,куб!T:T),IF($E352&lt;&gt;0,SUMIF(куб!$E:$E,$E352,куб!T:T),IF($D352&lt;&gt;0,SUMIF(куб!$D:$D,$D352,куб!T:T),IF($C352&lt;&gt;0,SUMIF(куб!$C:$C,$C352,куб!T:T),IF($B352&lt;&gt;0,SUMIF(куб!$B:$B,$B352,куб!T:T))))))</f>
        <v>0</v>
      </c>
      <c r="AK352" s="27" t="b">
        <f>IF($G352&lt;&gt;0,SUMIF(куб!$G:$G,$G352,куб!U:U),IF($E352&lt;&gt;0,SUMIF(куб!$E:$E,$E352,куб!U:U),IF($D352&lt;&gt;0,SUMIF(куб!$D:$D,$D352,куб!U:U),IF($C352&lt;&gt;0,SUMIF(куб!$C:$C,$C352,куб!U:U),IF($B352&lt;&gt;0,SUMIF(куб!$B:$B,$B352,куб!U:U))))))</f>
        <v>0</v>
      </c>
      <c r="AL352" s="16" t="str">
        <f t="shared" si="140"/>
        <v>-</v>
      </c>
      <c r="AM352" s="8"/>
      <c r="AN352" s="17" t="str">
        <f t="shared" si="141"/>
        <v xml:space="preserve"> </v>
      </c>
      <c r="AO352" s="17" t="str">
        <f t="shared" si="142"/>
        <v xml:space="preserve"> </v>
      </c>
      <c r="AP352" s="16" t="str">
        <f t="shared" si="143"/>
        <v>-</v>
      </c>
      <c r="AQ352" s="8"/>
      <c r="AR352" s="17" t="str">
        <f t="shared" si="144"/>
        <v>-</v>
      </c>
      <c r="AS352" s="17" t="str">
        <f t="shared" si="145"/>
        <v>-</v>
      </c>
      <c r="AT352" s="13" t="str">
        <f t="shared" si="146"/>
        <v>-</v>
      </c>
      <c r="AU352" s="8"/>
    </row>
    <row r="353" spans="1:47" x14ac:dyDescent="0.25">
      <c r="A353" s="31"/>
      <c r="B353" s="31"/>
      <c r="C353"/>
      <c r="D353" s="31"/>
      <c r="E353"/>
      <c r="F353" s="31"/>
      <c r="G353"/>
      <c r="H353" s="27">
        <f>IF($G353&lt;&gt;0,SUMIF(куб!$G:$G,$G353,куб!H:H),IF($E353&lt;&gt;0,SUMIF(куб!$E:$E,$E353,куб!H:H),IF($D353&lt;&gt;0,SUMIF(куб!$D:$D,$D353,куб!H:H),IF($C353&lt;&gt;0,SUMIF(куб!$C:$C,$C353,куб!H:H),IF($B353&lt;&gt;0,SUMIF(куб!$B:$B,$B353,куб!H:H),IF($G353&lt;&gt;0,SUMIF(куб!$A:$A,$G353,куб!H:H),SUMIF(куб!$A:$A,$G353,куб!H:H)))))))</f>
        <v>0</v>
      </c>
      <c r="I353" s="27">
        <f>IF($G353&lt;&gt;0,SUMIF(куб!$G:$G,$G353,куб!I:I),IF($E353&lt;&gt;0,SUMIF(куб!$E:$E,$E353,куб!I:I),IF($D353&lt;&gt;0,SUMIF(куб!$D:$D,$D353,куб!I:I),IF($C353&lt;&gt;0,SUMIF(куб!$C:$C,$C353,куб!I:I),IF($B353&lt;&gt;0,SUMIF(куб!$B:$B,$B353,куб!I:I),IF($G353&lt;&gt;0,SUMIF(куб!$A:$A,$G353,куб!I:I),SUMIF(куб!$A:$A,$G353,куб!I:I)))))))</f>
        <v>0</v>
      </c>
      <c r="J353" s="19" t="str">
        <f t="shared" si="129"/>
        <v>-</v>
      </c>
      <c r="K353" s="8"/>
      <c r="L353" s="17">
        <f t="shared" si="130"/>
        <v>0</v>
      </c>
      <c r="M353" s="17">
        <f t="shared" si="131"/>
        <v>0</v>
      </c>
      <c r="N353" s="12">
        <f t="shared" si="132"/>
        <v>0</v>
      </c>
      <c r="O353" s="5"/>
      <c r="P353" s="27" t="b">
        <f>IF($G353&lt;&gt;0,SUMIF(куб!$G:$G,$G353,куб!J:J),IF($E353&lt;&gt;0,SUMIF(куб!$E:$E,$E353,куб!J:J),IF($D353&lt;&gt;0,SUMIF(куб!$D:$D,$D353,куб!J:J),IF($C353&lt;&gt;0,SUMIF(куб!$C:$C,$C353,куб!J:J),IF($B353&lt;&gt;0,SUMIF(куб!$B:$B,$B353,куб!J:J))))))</f>
        <v>0</v>
      </c>
      <c r="Q353" s="27" t="b">
        <f>IF($G353&lt;&gt;0,SUMIF(куб!$G:$G,$G353,куб!K:K),IF($E353&lt;&gt;0,SUMIF(куб!$E:$E,$E353,куб!K:K),IF($D353&lt;&gt;0,SUMIF(куб!$D:$D,$D353,куб!K:K),IF($C353&lt;&gt;0,SUMIF(куб!$C:$C,$C353,куб!K:K),IF($B353&lt;&gt;0,SUMIF(куб!$B:$B,$B353,куб!K:K))))))</f>
        <v>0</v>
      </c>
      <c r="R353" s="13" t="str">
        <f t="shared" si="133"/>
        <v>-</v>
      </c>
      <c r="S353" s="5"/>
      <c r="T353" s="27" t="b">
        <f>IF($G353&lt;&gt;0,SUMIF(куб!$G:$G,$G353,куб!L:L),IF($E353&lt;&gt;0,SUMIF(куб!$E:$E,$E353,куб!L:L),IF($D353&lt;&gt;0,SUMIF(куб!$D:$D,$D353,куб!L:L),IF($C353&lt;&gt;0,SUMIF(куб!$C:$C,$C353,куб!L:L),IF($B353&lt;&gt;0,SUMIF(куб!$B:$B,$B353,куб!L:L))))))</f>
        <v>0</v>
      </c>
      <c r="U353" s="27" t="b">
        <f>IF($G353&lt;&gt;0,SUMIF(куб!$G:$G,$G353,куб!M:M),IF($E353&lt;&gt;0,SUMIF(куб!$E:$E,$E353,куб!M:M),IF($D353&lt;&gt;0,SUMIF(куб!$D:$D,$D353,куб!M:M),IF($C353&lt;&gt;0,SUMIF(куб!$C:$C,$C353,куб!M:M),IF($B353&lt;&gt;0,SUMIF(куб!$B:$B,$B353,куб!M:M))))))</f>
        <v>0</v>
      </c>
      <c r="V353" s="13" t="str">
        <f t="shared" si="134"/>
        <v>-</v>
      </c>
      <c r="W353" s="5"/>
      <c r="X353" s="27" t="b">
        <f>IF($G353&lt;&gt;0,SUMIF(куб!$G:$G,$G353,куб!N:N),IF($E353&lt;&gt;0,SUMIF(куб!$E:$E,$E353,куб!N:N),IF($D353&lt;&gt;0,SUMIF(куб!$D:$D,$D353,куб!N:N),IF($C353&lt;&gt;0,SUMIF(куб!$C:$C,$C353,куб!N:N),IF($B353&lt;&gt;0,SUMIF(куб!$B:$B,$B353,куб!N:N))))))</f>
        <v>0</v>
      </c>
      <c r="Y353" s="27" t="b">
        <f>IF($G353&lt;&gt;0,SUMIF(куб!$G:$G,$G353,куб!O:O),IF($E353&lt;&gt;0,SUMIF(куб!$E:$E,$E353,куб!O:O),IF($D353&lt;&gt;0,SUMIF(куб!$D:$D,$D353,куб!O:O),IF($C353&lt;&gt;0,SUMIF(куб!$C:$C,$C353,куб!O:O),IF($B353&lt;&gt;0,SUMIF(куб!$B:$B,$B353,куб!O:O))))))</f>
        <v>0</v>
      </c>
      <c r="Z353" s="13" t="str">
        <f t="shared" si="135"/>
        <v>-</v>
      </c>
      <c r="AA353" s="5"/>
      <c r="AB353" s="33" t="str">
        <f t="shared" si="136"/>
        <v/>
      </c>
      <c r="AC353" s="33" t="str">
        <f t="shared" si="137"/>
        <v/>
      </c>
      <c r="AD353" s="15" t="str">
        <f t="shared" si="138"/>
        <v xml:space="preserve"> </v>
      </c>
      <c r="AE353" s="5"/>
      <c r="AF353" s="27" t="b">
        <f>IF($G353&lt;&gt;0,SUMIF(куб!$G:$G,$G353,куб!R:R),IF($E353&lt;&gt;0,SUMIF(куб!$E:$E,$E353,куб!R:R),IF($D353&lt;&gt;0,SUMIF(куб!$D:$D,$D353,куб!R:R),IF($C353&lt;&gt;0,SUMIF(куб!$C:$C,$C353,куб!R:R),IF($B353&lt;&gt;0,SUMIF(куб!$B:$B,$B353,куб!R:R))))))</f>
        <v>0</v>
      </c>
      <c r="AG353" s="27" t="b">
        <f>IF($G353&lt;&gt;0,SUMIF(куб!$G:$G,$G353,куб!S:S),IF($E353&lt;&gt;0,SUMIF(куб!$E:$E,$E353,куб!S:S),IF($D353&lt;&gt;0,SUMIF(куб!$D:$D,$D353,куб!S:S),IF($C353&lt;&gt;0,SUMIF(куб!$C:$C,$C353,куб!S:S),IF($B353&lt;&gt;0,SUMIF(куб!$B:$B,$B353,куб!S:S))))))</f>
        <v>0</v>
      </c>
      <c r="AH353" s="16" t="str">
        <f t="shared" si="139"/>
        <v>-</v>
      </c>
      <c r="AI353" s="8"/>
      <c r="AJ353" s="27" t="b">
        <f>IF($G353&lt;&gt;0,SUMIF(куб!$G:$G,$G353,куб!T:T),IF($E353&lt;&gt;0,SUMIF(куб!$E:$E,$E353,куб!T:T),IF($D353&lt;&gt;0,SUMIF(куб!$D:$D,$D353,куб!T:T),IF($C353&lt;&gt;0,SUMIF(куб!$C:$C,$C353,куб!T:T),IF($B353&lt;&gt;0,SUMIF(куб!$B:$B,$B353,куб!T:T))))))</f>
        <v>0</v>
      </c>
      <c r="AK353" s="27" t="b">
        <f>IF($G353&lt;&gt;0,SUMIF(куб!$G:$G,$G353,куб!U:U),IF($E353&lt;&gt;0,SUMIF(куб!$E:$E,$E353,куб!U:U),IF($D353&lt;&gt;0,SUMIF(куб!$D:$D,$D353,куб!U:U),IF($C353&lt;&gt;0,SUMIF(куб!$C:$C,$C353,куб!U:U),IF($B353&lt;&gt;0,SUMIF(куб!$B:$B,$B353,куб!U:U))))))</f>
        <v>0</v>
      </c>
      <c r="AL353" s="16" t="str">
        <f t="shared" si="140"/>
        <v>-</v>
      </c>
      <c r="AM353" s="8"/>
      <c r="AN353" s="17" t="str">
        <f t="shared" si="141"/>
        <v xml:space="preserve"> </v>
      </c>
      <c r="AO353" s="17" t="str">
        <f t="shared" si="142"/>
        <v xml:space="preserve"> </v>
      </c>
      <c r="AP353" s="16" t="str">
        <f t="shared" si="143"/>
        <v>-</v>
      </c>
      <c r="AQ353" s="8"/>
      <c r="AR353" s="17" t="str">
        <f t="shared" si="144"/>
        <v>-</v>
      </c>
      <c r="AS353" s="17" t="str">
        <f t="shared" si="145"/>
        <v>-</v>
      </c>
      <c r="AT353" s="13" t="str">
        <f t="shared" si="146"/>
        <v>-</v>
      </c>
      <c r="AU353" s="8"/>
    </row>
    <row r="354" spans="1:47" x14ac:dyDescent="0.25">
      <c r="A354" s="31"/>
      <c r="B354" s="31"/>
      <c r="C354"/>
      <c r="D354" s="31"/>
      <c r="E354"/>
      <c r="F354" s="31"/>
      <c r="G354"/>
      <c r="H354" s="27">
        <f>IF($G354&lt;&gt;0,SUMIF(куб!$G:$G,$G354,куб!H:H),IF($E354&lt;&gt;0,SUMIF(куб!$E:$E,$E354,куб!H:H),IF($D354&lt;&gt;0,SUMIF(куб!$D:$D,$D354,куб!H:H),IF($C354&lt;&gt;0,SUMIF(куб!$C:$C,$C354,куб!H:H),IF($B354&lt;&gt;0,SUMIF(куб!$B:$B,$B354,куб!H:H),IF($G354&lt;&gt;0,SUMIF(куб!$A:$A,$G354,куб!H:H),SUMIF(куб!$A:$A,$G354,куб!H:H)))))))</f>
        <v>0</v>
      </c>
      <c r="I354" s="27">
        <f>IF($G354&lt;&gt;0,SUMIF(куб!$G:$G,$G354,куб!I:I),IF($E354&lt;&gt;0,SUMIF(куб!$E:$E,$E354,куб!I:I),IF($D354&lt;&gt;0,SUMIF(куб!$D:$D,$D354,куб!I:I),IF($C354&lt;&gt;0,SUMIF(куб!$C:$C,$C354,куб!I:I),IF($B354&lt;&gt;0,SUMIF(куб!$B:$B,$B354,куб!I:I),IF($G354&lt;&gt;0,SUMIF(куб!$A:$A,$G354,куб!I:I),SUMIF(куб!$A:$A,$G354,куб!I:I)))))))</f>
        <v>0</v>
      </c>
      <c r="J354" s="19" t="str">
        <f t="shared" si="129"/>
        <v>-</v>
      </c>
      <c r="K354" s="8"/>
      <c r="L354" s="17">
        <f t="shared" si="130"/>
        <v>0</v>
      </c>
      <c r="M354" s="17">
        <f t="shared" si="131"/>
        <v>0</v>
      </c>
      <c r="N354" s="12">
        <f t="shared" si="132"/>
        <v>0</v>
      </c>
      <c r="O354" s="5"/>
      <c r="P354" s="27" t="b">
        <f>IF($G354&lt;&gt;0,SUMIF(куб!$G:$G,$G354,куб!J:J),IF($E354&lt;&gt;0,SUMIF(куб!$E:$E,$E354,куб!J:J),IF($D354&lt;&gt;0,SUMIF(куб!$D:$D,$D354,куб!J:J),IF($C354&lt;&gt;0,SUMIF(куб!$C:$C,$C354,куб!J:J),IF($B354&lt;&gt;0,SUMIF(куб!$B:$B,$B354,куб!J:J))))))</f>
        <v>0</v>
      </c>
      <c r="Q354" s="27" t="b">
        <f>IF($G354&lt;&gt;0,SUMIF(куб!$G:$G,$G354,куб!K:K),IF($E354&lt;&gt;0,SUMIF(куб!$E:$E,$E354,куб!K:K),IF($D354&lt;&gt;0,SUMIF(куб!$D:$D,$D354,куб!K:K),IF($C354&lt;&gt;0,SUMIF(куб!$C:$C,$C354,куб!K:K),IF($B354&lt;&gt;0,SUMIF(куб!$B:$B,$B354,куб!K:K))))))</f>
        <v>0</v>
      </c>
      <c r="R354" s="13" t="str">
        <f t="shared" si="133"/>
        <v>-</v>
      </c>
      <c r="S354" s="5"/>
      <c r="T354" s="27" t="b">
        <f>IF($G354&lt;&gt;0,SUMIF(куб!$G:$G,$G354,куб!L:L),IF($E354&lt;&gt;0,SUMIF(куб!$E:$E,$E354,куб!L:L),IF($D354&lt;&gt;0,SUMIF(куб!$D:$D,$D354,куб!L:L),IF($C354&lt;&gt;0,SUMIF(куб!$C:$C,$C354,куб!L:L),IF($B354&lt;&gt;0,SUMIF(куб!$B:$B,$B354,куб!L:L))))))</f>
        <v>0</v>
      </c>
      <c r="U354" s="27" t="b">
        <f>IF($G354&lt;&gt;0,SUMIF(куб!$G:$G,$G354,куб!M:M),IF($E354&lt;&gt;0,SUMIF(куб!$E:$E,$E354,куб!M:M),IF($D354&lt;&gt;0,SUMIF(куб!$D:$D,$D354,куб!M:M),IF($C354&lt;&gt;0,SUMIF(куб!$C:$C,$C354,куб!M:M),IF($B354&lt;&gt;0,SUMIF(куб!$B:$B,$B354,куб!M:M))))))</f>
        <v>0</v>
      </c>
      <c r="V354" s="13" t="str">
        <f t="shared" si="134"/>
        <v>-</v>
      </c>
      <c r="W354" s="5"/>
      <c r="X354" s="27" t="b">
        <f>IF($G354&lt;&gt;0,SUMIF(куб!$G:$G,$G354,куб!N:N),IF($E354&lt;&gt;0,SUMIF(куб!$E:$E,$E354,куб!N:N),IF($D354&lt;&gt;0,SUMIF(куб!$D:$D,$D354,куб!N:N),IF($C354&lt;&gt;0,SUMIF(куб!$C:$C,$C354,куб!N:N),IF($B354&lt;&gt;0,SUMIF(куб!$B:$B,$B354,куб!N:N))))))</f>
        <v>0</v>
      </c>
      <c r="Y354" s="27" t="b">
        <f>IF($G354&lt;&gt;0,SUMIF(куб!$G:$G,$G354,куб!O:O),IF($E354&lt;&gt;0,SUMIF(куб!$E:$E,$E354,куб!O:O),IF($D354&lt;&gt;0,SUMIF(куб!$D:$D,$D354,куб!O:O),IF($C354&lt;&gt;0,SUMIF(куб!$C:$C,$C354,куб!O:O),IF($B354&lt;&gt;0,SUMIF(куб!$B:$B,$B354,куб!O:O))))))</f>
        <v>0</v>
      </c>
      <c r="Z354" s="13" t="str">
        <f t="shared" si="135"/>
        <v>-</v>
      </c>
      <c r="AA354" s="5"/>
      <c r="AB354" s="33" t="str">
        <f t="shared" si="136"/>
        <v/>
      </c>
      <c r="AC354" s="33" t="str">
        <f t="shared" si="137"/>
        <v/>
      </c>
      <c r="AD354" s="15" t="str">
        <f t="shared" si="138"/>
        <v xml:space="preserve"> </v>
      </c>
      <c r="AE354" s="5"/>
      <c r="AF354" s="27" t="b">
        <f>IF($G354&lt;&gt;0,SUMIF(куб!$G:$G,$G354,куб!R:R),IF($E354&lt;&gt;0,SUMIF(куб!$E:$E,$E354,куб!R:R),IF($D354&lt;&gt;0,SUMIF(куб!$D:$D,$D354,куб!R:R),IF($C354&lt;&gt;0,SUMIF(куб!$C:$C,$C354,куб!R:R),IF($B354&lt;&gt;0,SUMIF(куб!$B:$B,$B354,куб!R:R))))))</f>
        <v>0</v>
      </c>
      <c r="AG354" s="27" t="b">
        <f>IF($G354&lt;&gt;0,SUMIF(куб!$G:$G,$G354,куб!S:S),IF($E354&lt;&gt;0,SUMIF(куб!$E:$E,$E354,куб!S:S),IF($D354&lt;&gt;0,SUMIF(куб!$D:$D,$D354,куб!S:S),IF($C354&lt;&gt;0,SUMIF(куб!$C:$C,$C354,куб!S:S),IF($B354&lt;&gt;0,SUMIF(куб!$B:$B,$B354,куб!S:S))))))</f>
        <v>0</v>
      </c>
      <c r="AH354" s="16" t="str">
        <f t="shared" si="139"/>
        <v>-</v>
      </c>
      <c r="AI354" s="8"/>
      <c r="AJ354" s="27" t="b">
        <f>IF($G354&lt;&gt;0,SUMIF(куб!$G:$G,$G354,куб!T:T),IF($E354&lt;&gt;0,SUMIF(куб!$E:$E,$E354,куб!T:T),IF($D354&lt;&gt;0,SUMIF(куб!$D:$D,$D354,куб!T:T),IF($C354&lt;&gt;0,SUMIF(куб!$C:$C,$C354,куб!T:T),IF($B354&lt;&gt;0,SUMIF(куб!$B:$B,$B354,куб!T:T))))))</f>
        <v>0</v>
      </c>
      <c r="AK354" s="27" t="b">
        <f>IF($G354&lt;&gt;0,SUMIF(куб!$G:$G,$G354,куб!U:U),IF($E354&lt;&gt;0,SUMIF(куб!$E:$E,$E354,куб!U:U),IF($D354&lt;&gt;0,SUMIF(куб!$D:$D,$D354,куб!U:U),IF($C354&lt;&gt;0,SUMIF(куб!$C:$C,$C354,куб!U:U),IF($B354&lt;&gt;0,SUMIF(куб!$B:$B,$B354,куб!U:U))))))</f>
        <v>0</v>
      </c>
      <c r="AL354" s="16" t="str">
        <f t="shared" si="140"/>
        <v>-</v>
      </c>
      <c r="AM354" s="8"/>
      <c r="AN354" s="17" t="str">
        <f t="shared" si="141"/>
        <v xml:space="preserve"> </v>
      </c>
      <c r="AO354" s="17" t="str">
        <f t="shared" si="142"/>
        <v xml:space="preserve"> </v>
      </c>
      <c r="AP354" s="16" t="str">
        <f t="shared" si="143"/>
        <v>-</v>
      </c>
      <c r="AQ354" s="8"/>
      <c r="AR354" s="17" t="str">
        <f t="shared" si="144"/>
        <v>-</v>
      </c>
      <c r="AS354" s="17" t="str">
        <f t="shared" si="145"/>
        <v>-</v>
      </c>
      <c r="AT354" s="13" t="str">
        <f t="shared" si="146"/>
        <v>-</v>
      </c>
      <c r="AU354" s="8"/>
    </row>
    <row r="355" spans="1:47" x14ac:dyDescent="0.25">
      <c r="A355" s="31"/>
      <c r="B355" s="31"/>
      <c r="C355"/>
      <c r="D355" s="31"/>
      <c r="E355"/>
      <c r="F355" s="31"/>
      <c r="G355"/>
      <c r="H355" s="27">
        <f>IF($G355&lt;&gt;0,SUMIF(куб!$G:$G,$G355,куб!H:H),IF($E355&lt;&gt;0,SUMIF(куб!$E:$E,$E355,куб!H:H),IF($D355&lt;&gt;0,SUMIF(куб!$D:$D,$D355,куб!H:H),IF($C355&lt;&gt;0,SUMIF(куб!$C:$C,$C355,куб!H:H),IF($B355&lt;&gt;0,SUMIF(куб!$B:$B,$B355,куб!H:H),IF($G355&lt;&gt;0,SUMIF(куб!$A:$A,$G355,куб!H:H),SUMIF(куб!$A:$A,$G355,куб!H:H)))))))</f>
        <v>0</v>
      </c>
      <c r="I355" s="27">
        <f>IF($G355&lt;&gt;0,SUMIF(куб!$G:$G,$G355,куб!I:I),IF($E355&lt;&gt;0,SUMIF(куб!$E:$E,$E355,куб!I:I),IF($D355&lt;&gt;0,SUMIF(куб!$D:$D,$D355,куб!I:I),IF($C355&lt;&gt;0,SUMIF(куб!$C:$C,$C355,куб!I:I),IF($B355&lt;&gt;0,SUMIF(куб!$B:$B,$B355,куб!I:I),IF($G355&lt;&gt;0,SUMIF(куб!$A:$A,$G355,куб!I:I),SUMIF(куб!$A:$A,$G355,куб!I:I)))))))</f>
        <v>0</v>
      </c>
      <c r="J355" s="19" t="str">
        <f t="shared" si="129"/>
        <v>-</v>
      </c>
      <c r="K355" s="8"/>
      <c r="L355" s="17">
        <f t="shared" si="130"/>
        <v>0</v>
      </c>
      <c r="M355" s="17">
        <f t="shared" si="131"/>
        <v>0</v>
      </c>
      <c r="N355" s="12">
        <f t="shared" si="132"/>
        <v>0</v>
      </c>
      <c r="O355" s="5"/>
      <c r="P355" s="27" t="b">
        <f>IF($G355&lt;&gt;0,SUMIF(куб!$G:$G,$G355,куб!J:J),IF($E355&lt;&gt;0,SUMIF(куб!$E:$E,$E355,куб!J:J),IF($D355&lt;&gt;0,SUMIF(куб!$D:$D,$D355,куб!J:J),IF($C355&lt;&gt;0,SUMIF(куб!$C:$C,$C355,куб!J:J),IF($B355&lt;&gt;0,SUMIF(куб!$B:$B,$B355,куб!J:J))))))</f>
        <v>0</v>
      </c>
      <c r="Q355" s="27" t="b">
        <f>IF($G355&lt;&gt;0,SUMIF(куб!$G:$G,$G355,куб!K:K),IF($E355&lt;&gt;0,SUMIF(куб!$E:$E,$E355,куб!K:K),IF($D355&lt;&gt;0,SUMIF(куб!$D:$D,$D355,куб!K:K),IF($C355&lt;&gt;0,SUMIF(куб!$C:$C,$C355,куб!K:K),IF($B355&lt;&gt;0,SUMIF(куб!$B:$B,$B355,куб!K:K))))))</f>
        <v>0</v>
      </c>
      <c r="R355" s="13" t="str">
        <f t="shared" si="133"/>
        <v>-</v>
      </c>
      <c r="S355" s="5"/>
      <c r="T355" s="27" t="b">
        <f>IF($G355&lt;&gt;0,SUMIF(куб!$G:$G,$G355,куб!L:L),IF($E355&lt;&gt;0,SUMIF(куб!$E:$E,$E355,куб!L:L),IF($D355&lt;&gt;0,SUMIF(куб!$D:$D,$D355,куб!L:L),IF($C355&lt;&gt;0,SUMIF(куб!$C:$C,$C355,куб!L:L),IF($B355&lt;&gt;0,SUMIF(куб!$B:$B,$B355,куб!L:L))))))</f>
        <v>0</v>
      </c>
      <c r="U355" s="27" t="b">
        <f>IF($G355&lt;&gt;0,SUMIF(куб!$G:$G,$G355,куб!M:M),IF($E355&lt;&gt;0,SUMIF(куб!$E:$E,$E355,куб!M:M),IF($D355&lt;&gt;0,SUMIF(куб!$D:$D,$D355,куб!M:M),IF($C355&lt;&gt;0,SUMIF(куб!$C:$C,$C355,куб!M:M),IF($B355&lt;&gt;0,SUMIF(куб!$B:$B,$B355,куб!M:M))))))</f>
        <v>0</v>
      </c>
      <c r="V355" s="13" t="str">
        <f t="shared" si="134"/>
        <v>-</v>
      </c>
      <c r="W355" s="5"/>
      <c r="X355" s="27" t="b">
        <f>IF($G355&lt;&gt;0,SUMIF(куб!$G:$G,$G355,куб!N:N),IF($E355&lt;&gt;0,SUMIF(куб!$E:$E,$E355,куб!N:N),IF($D355&lt;&gt;0,SUMIF(куб!$D:$D,$D355,куб!N:N),IF($C355&lt;&gt;0,SUMIF(куб!$C:$C,$C355,куб!N:N),IF($B355&lt;&gt;0,SUMIF(куб!$B:$B,$B355,куб!N:N))))))</f>
        <v>0</v>
      </c>
      <c r="Y355" s="27" t="b">
        <f>IF($G355&lt;&gt;0,SUMIF(куб!$G:$G,$G355,куб!O:O),IF($E355&lt;&gt;0,SUMIF(куб!$E:$E,$E355,куб!O:O),IF($D355&lt;&gt;0,SUMIF(куб!$D:$D,$D355,куб!O:O),IF($C355&lt;&gt;0,SUMIF(куб!$C:$C,$C355,куб!O:O),IF($B355&lt;&gt;0,SUMIF(куб!$B:$B,$B355,куб!O:O))))))</f>
        <v>0</v>
      </c>
      <c r="Z355" s="13" t="str">
        <f t="shared" si="135"/>
        <v>-</v>
      </c>
      <c r="AA355" s="5"/>
      <c r="AB355" s="33" t="str">
        <f t="shared" si="136"/>
        <v/>
      </c>
      <c r="AC355" s="33" t="str">
        <f t="shared" si="137"/>
        <v/>
      </c>
      <c r="AD355" s="15" t="str">
        <f t="shared" si="138"/>
        <v xml:space="preserve"> </v>
      </c>
      <c r="AE355" s="5"/>
      <c r="AF355" s="27" t="b">
        <f>IF($G355&lt;&gt;0,SUMIF(куб!$G:$G,$G355,куб!R:R),IF($E355&lt;&gt;0,SUMIF(куб!$E:$E,$E355,куб!R:R),IF($D355&lt;&gt;0,SUMIF(куб!$D:$D,$D355,куб!R:R),IF($C355&lt;&gt;0,SUMIF(куб!$C:$C,$C355,куб!R:R),IF($B355&lt;&gt;0,SUMIF(куб!$B:$B,$B355,куб!R:R))))))</f>
        <v>0</v>
      </c>
      <c r="AG355" s="27" t="b">
        <f>IF($G355&lt;&gt;0,SUMIF(куб!$G:$G,$G355,куб!S:S),IF($E355&lt;&gt;0,SUMIF(куб!$E:$E,$E355,куб!S:S),IF($D355&lt;&gt;0,SUMIF(куб!$D:$D,$D355,куб!S:S),IF($C355&lt;&gt;0,SUMIF(куб!$C:$C,$C355,куб!S:S),IF($B355&lt;&gt;0,SUMIF(куб!$B:$B,$B355,куб!S:S))))))</f>
        <v>0</v>
      </c>
      <c r="AH355" s="16" t="str">
        <f t="shared" si="139"/>
        <v>-</v>
      </c>
      <c r="AI355" s="8"/>
      <c r="AJ355" s="27" t="b">
        <f>IF($G355&lt;&gt;0,SUMIF(куб!$G:$G,$G355,куб!T:T),IF($E355&lt;&gt;0,SUMIF(куб!$E:$E,$E355,куб!T:T),IF($D355&lt;&gt;0,SUMIF(куб!$D:$D,$D355,куб!T:T),IF($C355&lt;&gt;0,SUMIF(куб!$C:$C,$C355,куб!T:T),IF($B355&lt;&gt;0,SUMIF(куб!$B:$B,$B355,куб!T:T))))))</f>
        <v>0</v>
      </c>
      <c r="AK355" s="27" t="b">
        <f>IF($G355&lt;&gt;0,SUMIF(куб!$G:$G,$G355,куб!U:U),IF($E355&lt;&gt;0,SUMIF(куб!$E:$E,$E355,куб!U:U),IF($D355&lt;&gt;0,SUMIF(куб!$D:$D,$D355,куб!U:U),IF($C355&lt;&gt;0,SUMIF(куб!$C:$C,$C355,куб!U:U),IF($B355&lt;&gt;0,SUMIF(куб!$B:$B,$B355,куб!U:U))))))</f>
        <v>0</v>
      </c>
      <c r="AL355" s="16" t="str">
        <f t="shared" si="140"/>
        <v>-</v>
      </c>
      <c r="AM355" s="8"/>
      <c r="AN355" s="17" t="str">
        <f t="shared" si="141"/>
        <v xml:space="preserve"> </v>
      </c>
      <c r="AO355" s="17" t="str">
        <f t="shared" si="142"/>
        <v xml:space="preserve"> </v>
      </c>
      <c r="AP355" s="16" t="str">
        <f t="shared" si="143"/>
        <v>-</v>
      </c>
      <c r="AQ355" s="8"/>
      <c r="AR355" s="17" t="str">
        <f t="shared" si="144"/>
        <v>-</v>
      </c>
      <c r="AS355" s="17" t="str">
        <f t="shared" si="145"/>
        <v>-</v>
      </c>
      <c r="AT355" s="13" t="str">
        <f t="shared" si="146"/>
        <v>-</v>
      </c>
      <c r="AU355" s="8"/>
    </row>
    <row r="356" spans="1:47" x14ac:dyDescent="0.25">
      <c r="A356" s="31"/>
      <c r="B356" s="31"/>
      <c r="C356"/>
      <c r="D356" s="31"/>
      <c r="E356"/>
      <c r="F356" s="31"/>
      <c r="G356"/>
      <c r="H356" s="27">
        <f>IF($G356&lt;&gt;0,SUMIF(куб!$G:$G,$G356,куб!H:H),IF($E356&lt;&gt;0,SUMIF(куб!$E:$E,$E356,куб!H:H),IF($D356&lt;&gt;0,SUMIF(куб!$D:$D,$D356,куб!H:H),IF($C356&lt;&gt;0,SUMIF(куб!$C:$C,$C356,куб!H:H),IF($B356&lt;&gt;0,SUMIF(куб!$B:$B,$B356,куб!H:H),IF($G356&lt;&gt;0,SUMIF(куб!$A:$A,$G356,куб!H:H),SUMIF(куб!$A:$A,$G356,куб!H:H)))))))</f>
        <v>0</v>
      </c>
      <c r="I356" s="27">
        <f>IF($G356&lt;&gt;0,SUMIF(куб!$G:$G,$G356,куб!I:I),IF($E356&lt;&gt;0,SUMIF(куб!$E:$E,$E356,куб!I:I),IF($D356&lt;&gt;0,SUMIF(куб!$D:$D,$D356,куб!I:I),IF($C356&lt;&gt;0,SUMIF(куб!$C:$C,$C356,куб!I:I),IF($B356&lt;&gt;0,SUMIF(куб!$B:$B,$B356,куб!I:I),IF($G356&lt;&gt;0,SUMIF(куб!$A:$A,$G356,куб!I:I),SUMIF(куб!$A:$A,$G356,куб!I:I)))))))</f>
        <v>0</v>
      </c>
      <c r="J356" s="19" t="str">
        <f t="shared" si="129"/>
        <v>-</v>
      </c>
      <c r="K356" s="8"/>
      <c r="L356" s="17">
        <f t="shared" si="130"/>
        <v>0</v>
      </c>
      <c r="M356" s="17">
        <f t="shared" si="131"/>
        <v>0</v>
      </c>
      <c r="N356" s="12">
        <f t="shared" si="132"/>
        <v>0</v>
      </c>
      <c r="O356" s="5"/>
      <c r="P356" s="27" t="b">
        <f>IF($G356&lt;&gt;0,SUMIF(куб!$G:$G,$G356,куб!J:J),IF($E356&lt;&gt;0,SUMIF(куб!$E:$E,$E356,куб!J:J),IF($D356&lt;&gt;0,SUMIF(куб!$D:$D,$D356,куб!J:J),IF($C356&lt;&gt;0,SUMIF(куб!$C:$C,$C356,куб!J:J),IF($B356&lt;&gt;0,SUMIF(куб!$B:$B,$B356,куб!J:J))))))</f>
        <v>0</v>
      </c>
      <c r="Q356" s="27" t="b">
        <f>IF($G356&lt;&gt;0,SUMIF(куб!$G:$G,$G356,куб!K:K),IF($E356&lt;&gt;0,SUMIF(куб!$E:$E,$E356,куб!K:K),IF($D356&lt;&gt;0,SUMIF(куб!$D:$D,$D356,куб!K:K),IF($C356&lt;&gt;0,SUMIF(куб!$C:$C,$C356,куб!K:K),IF($B356&lt;&gt;0,SUMIF(куб!$B:$B,$B356,куб!K:K))))))</f>
        <v>0</v>
      </c>
      <c r="R356" s="13" t="str">
        <f t="shared" si="133"/>
        <v>-</v>
      </c>
      <c r="S356" s="5"/>
      <c r="T356" s="27" t="b">
        <f>IF($G356&lt;&gt;0,SUMIF(куб!$G:$G,$G356,куб!L:L),IF($E356&lt;&gt;0,SUMIF(куб!$E:$E,$E356,куб!L:L),IF($D356&lt;&gt;0,SUMIF(куб!$D:$D,$D356,куб!L:L),IF($C356&lt;&gt;0,SUMIF(куб!$C:$C,$C356,куб!L:L),IF($B356&lt;&gt;0,SUMIF(куб!$B:$B,$B356,куб!L:L))))))</f>
        <v>0</v>
      </c>
      <c r="U356" s="27" t="b">
        <f>IF($G356&lt;&gt;0,SUMIF(куб!$G:$G,$G356,куб!M:M),IF($E356&lt;&gt;0,SUMIF(куб!$E:$E,$E356,куб!M:M),IF($D356&lt;&gt;0,SUMIF(куб!$D:$D,$D356,куб!M:M),IF($C356&lt;&gt;0,SUMIF(куб!$C:$C,$C356,куб!M:M),IF($B356&lt;&gt;0,SUMIF(куб!$B:$B,$B356,куб!M:M))))))</f>
        <v>0</v>
      </c>
      <c r="V356" s="13" t="str">
        <f t="shared" si="134"/>
        <v>-</v>
      </c>
      <c r="W356" s="5"/>
      <c r="X356" s="27" t="b">
        <f>IF($G356&lt;&gt;0,SUMIF(куб!$G:$G,$G356,куб!N:N),IF($E356&lt;&gt;0,SUMIF(куб!$E:$E,$E356,куб!N:N),IF($D356&lt;&gt;0,SUMIF(куб!$D:$D,$D356,куб!N:N),IF($C356&lt;&gt;0,SUMIF(куб!$C:$C,$C356,куб!N:N),IF($B356&lt;&gt;0,SUMIF(куб!$B:$B,$B356,куб!N:N))))))</f>
        <v>0</v>
      </c>
      <c r="Y356" s="27" t="b">
        <f>IF($G356&lt;&gt;0,SUMIF(куб!$G:$G,$G356,куб!O:O),IF($E356&lt;&gt;0,SUMIF(куб!$E:$E,$E356,куб!O:O),IF($D356&lt;&gt;0,SUMIF(куб!$D:$D,$D356,куб!O:O),IF($C356&lt;&gt;0,SUMIF(куб!$C:$C,$C356,куб!O:O),IF($B356&lt;&gt;0,SUMIF(куб!$B:$B,$B356,куб!O:O))))))</f>
        <v>0</v>
      </c>
      <c r="Z356" s="13" t="str">
        <f t="shared" si="135"/>
        <v>-</v>
      </c>
      <c r="AA356" s="5"/>
      <c r="AB356" s="33" t="str">
        <f t="shared" si="136"/>
        <v/>
      </c>
      <c r="AC356" s="33" t="str">
        <f t="shared" si="137"/>
        <v/>
      </c>
      <c r="AD356" s="15" t="str">
        <f t="shared" si="138"/>
        <v xml:space="preserve"> </v>
      </c>
      <c r="AE356" s="5"/>
      <c r="AF356" s="27" t="b">
        <f>IF($G356&lt;&gt;0,SUMIF(куб!$G:$G,$G356,куб!R:R),IF($E356&lt;&gt;0,SUMIF(куб!$E:$E,$E356,куб!R:R),IF($D356&lt;&gt;0,SUMIF(куб!$D:$D,$D356,куб!R:R),IF($C356&lt;&gt;0,SUMIF(куб!$C:$C,$C356,куб!R:R),IF($B356&lt;&gt;0,SUMIF(куб!$B:$B,$B356,куб!R:R))))))</f>
        <v>0</v>
      </c>
      <c r="AG356" s="27" t="b">
        <f>IF($G356&lt;&gt;0,SUMIF(куб!$G:$G,$G356,куб!S:S),IF($E356&lt;&gt;0,SUMIF(куб!$E:$E,$E356,куб!S:S),IF($D356&lt;&gt;0,SUMIF(куб!$D:$D,$D356,куб!S:S),IF($C356&lt;&gt;0,SUMIF(куб!$C:$C,$C356,куб!S:S),IF($B356&lt;&gt;0,SUMIF(куб!$B:$B,$B356,куб!S:S))))))</f>
        <v>0</v>
      </c>
      <c r="AH356" s="16" t="str">
        <f t="shared" si="139"/>
        <v>-</v>
      </c>
      <c r="AI356" s="8"/>
      <c r="AJ356" s="27" t="b">
        <f>IF($G356&lt;&gt;0,SUMIF(куб!$G:$G,$G356,куб!T:T),IF($E356&lt;&gt;0,SUMIF(куб!$E:$E,$E356,куб!T:T),IF($D356&lt;&gt;0,SUMIF(куб!$D:$D,$D356,куб!T:T),IF($C356&lt;&gt;0,SUMIF(куб!$C:$C,$C356,куб!T:T),IF($B356&lt;&gt;0,SUMIF(куб!$B:$B,$B356,куб!T:T))))))</f>
        <v>0</v>
      </c>
      <c r="AK356" s="27" t="b">
        <f>IF($G356&lt;&gt;0,SUMIF(куб!$G:$G,$G356,куб!U:U),IF($E356&lt;&gt;0,SUMIF(куб!$E:$E,$E356,куб!U:U),IF($D356&lt;&gt;0,SUMIF(куб!$D:$D,$D356,куб!U:U),IF($C356&lt;&gt;0,SUMIF(куб!$C:$C,$C356,куб!U:U),IF($B356&lt;&gt;0,SUMIF(куб!$B:$B,$B356,куб!U:U))))))</f>
        <v>0</v>
      </c>
      <c r="AL356" s="16" t="str">
        <f t="shared" si="140"/>
        <v>-</v>
      </c>
      <c r="AM356" s="8"/>
      <c r="AN356" s="17" t="str">
        <f t="shared" si="141"/>
        <v xml:space="preserve"> </v>
      </c>
      <c r="AO356" s="17" t="str">
        <f t="shared" si="142"/>
        <v xml:space="preserve"> </v>
      </c>
      <c r="AP356" s="16" t="str">
        <f t="shared" si="143"/>
        <v>-</v>
      </c>
      <c r="AQ356" s="8"/>
      <c r="AR356" s="17" t="str">
        <f t="shared" si="144"/>
        <v>-</v>
      </c>
      <c r="AS356" s="17" t="str">
        <f t="shared" si="145"/>
        <v>-</v>
      </c>
      <c r="AT356" s="13" t="str">
        <f t="shared" si="146"/>
        <v>-</v>
      </c>
      <c r="AU356" s="8"/>
    </row>
    <row r="357" spans="1:47" x14ac:dyDescent="0.25">
      <c r="A357" s="31"/>
      <c r="B357" s="31"/>
      <c r="C357"/>
      <c r="D357" s="31"/>
      <c r="E357"/>
      <c r="F357"/>
      <c r="G357"/>
      <c r="H357" s="27">
        <f>IF($G357&lt;&gt;0,SUMIF(куб!$G:$G,$G357,куб!H:H),IF($E357&lt;&gt;0,SUMIF(куб!$E:$E,$E357,куб!H:H),IF($D357&lt;&gt;0,SUMIF(куб!$D:$D,$D357,куб!H:H),IF($C357&lt;&gt;0,SUMIF(куб!$C:$C,$C357,куб!H:H),IF($B357&lt;&gt;0,SUMIF(куб!$B:$B,$B357,куб!H:H),IF($G357&lt;&gt;0,SUMIF(куб!$A:$A,$G357,куб!H:H),SUMIF(куб!$A:$A,$G357,куб!H:H)))))))</f>
        <v>0</v>
      </c>
      <c r="I357" s="27">
        <f>IF($G357&lt;&gt;0,SUMIF(куб!$G:$G,$G357,куб!I:I),IF($E357&lt;&gt;0,SUMIF(куб!$E:$E,$E357,куб!I:I),IF($D357&lt;&gt;0,SUMIF(куб!$D:$D,$D357,куб!I:I),IF($C357&lt;&gt;0,SUMIF(куб!$C:$C,$C357,куб!I:I),IF($B357&lt;&gt;0,SUMIF(куб!$B:$B,$B357,куб!I:I),IF($G357&lt;&gt;0,SUMIF(куб!$A:$A,$G357,куб!I:I),SUMIF(куб!$A:$A,$G357,куб!I:I)))))))</f>
        <v>0</v>
      </c>
      <c r="J357" s="19" t="str">
        <f t="shared" si="129"/>
        <v>-</v>
      </c>
      <c r="K357" s="8"/>
      <c r="L357" s="17">
        <f t="shared" si="130"/>
        <v>0</v>
      </c>
      <c r="M357" s="17">
        <f t="shared" si="131"/>
        <v>0</v>
      </c>
      <c r="N357" s="12">
        <f t="shared" si="132"/>
        <v>0</v>
      </c>
      <c r="O357" s="5"/>
      <c r="P357" s="27" t="b">
        <f>IF($G357&lt;&gt;0,SUMIF(куб!$G:$G,$G357,куб!J:J),IF($E357&lt;&gt;0,SUMIF(куб!$E:$E,$E357,куб!J:J),IF($D357&lt;&gt;0,SUMIF(куб!$D:$D,$D357,куб!J:J),IF($C357&lt;&gt;0,SUMIF(куб!$C:$C,$C357,куб!J:J),IF($B357&lt;&gt;0,SUMIF(куб!$B:$B,$B357,куб!J:J))))))</f>
        <v>0</v>
      </c>
      <c r="Q357" s="27" t="b">
        <f>IF($G357&lt;&gt;0,SUMIF(куб!$G:$G,$G357,куб!K:K),IF($E357&lt;&gt;0,SUMIF(куб!$E:$E,$E357,куб!K:K),IF($D357&lt;&gt;0,SUMIF(куб!$D:$D,$D357,куб!K:K),IF($C357&lt;&gt;0,SUMIF(куб!$C:$C,$C357,куб!K:K),IF($B357&lt;&gt;0,SUMIF(куб!$B:$B,$B357,куб!K:K))))))</f>
        <v>0</v>
      </c>
      <c r="R357" s="13" t="str">
        <f t="shared" si="133"/>
        <v>-</v>
      </c>
      <c r="S357" s="5"/>
      <c r="T357" s="27" t="b">
        <f>IF($G357&lt;&gt;0,SUMIF(куб!$G:$G,$G357,куб!L:L),IF($E357&lt;&gt;0,SUMIF(куб!$E:$E,$E357,куб!L:L),IF($D357&lt;&gt;0,SUMIF(куб!$D:$D,$D357,куб!L:L),IF($C357&lt;&gt;0,SUMIF(куб!$C:$C,$C357,куб!L:L),IF($B357&lt;&gt;0,SUMIF(куб!$B:$B,$B357,куб!L:L))))))</f>
        <v>0</v>
      </c>
      <c r="U357" s="27" t="b">
        <f>IF($G357&lt;&gt;0,SUMIF(куб!$G:$G,$G357,куб!M:M),IF($E357&lt;&gt;0,SUMIF(куб!$E:$E,$E357,куб!M:M),IF($D357&lt;&gt;0,SUMIF(куб!$D:$D,$D357,куб!M:M),IF($C357&lt;&gt;0,SUMIF(куб!$C:$C,$C357,куб!M:M),IF($B357&lt;&gt;0,SUMIF(куб!$B:$B,$B357,куб!M:M))))))</f>
        <v>0</v>
      </c>
      <c r="V357" s="13" t="str">
        <f t="shared" si="134"/>
        <v>-</v>
      </c>
      <c r="W357" s="5"/>
      <c r="X357" s="27" t="b">
        <f>IF($G357&lt;&gt;0,SUMIF(куб!$G:$G,$G357,куб!N:N),IF($E357&lt;&gt;0,SUMIF(куб!$E:$E,$E357,куб!N:N),IF($D357&lt;&gt;0,SUMIF(куб!$D:$D,$D357,куб!N:N),IF($C357&lt;&gt;0,SUMIF(куб!$C:$C,$C357,куб!N:N),IF($B357&lt;&gt;0,SUMIF(куб!$B:$B,$B357,куб!N:N))))))</f>
        <v>0</v>
      </c>
      <c r="Y357" s="27" t="b">
        <f>IF($G357&lt;&gt;0,SUMIF(куб!$G:$G,$G357,куб!O:O),IF($E357&lt;&gt;0,SUMIF(куб!$E:$E,$E357,куб!O:O),IF($D357&lt;&gt;0,SUMIF(куб!$D:$D,$D357,куб!O:O),IF($C357&lt;&gt;0,SUMIF(куб!$C:$C,$C357,куб!O:O),IF($B357&lt;&gt;0,SUMIF(куб!$B:$B,$B357,куб!O:O))))))</f>
        <v>0</v>
      </c>
      <c r="Z357" s="13" t="str">
        <f t="shared" si="135"/>
        <v>-</v>
      </c>
      <c r="AA357" s="5"/>
      <c r="AB357" s="33" t="str">
        <f t="shared" si="136"/>
        <v/>
      </c>
      <c r="AC357" s="33" t="str">
        <f t="shared" si="137"/>
        <v/>
      </c>
      <c r="AD357" s="15" t="str">
        <f t="shared" si="138"/>
        <v xml:space="preserve"> </v>
      </c>
      <c r="AE357" s="5"/>
      <c r="AF357" s="27" t="b">
        <f>IF($G357&lt;&gt;0,SUMIF(куб!$G:$G,$G357,куб!R:R),IF($E357&lt;&gt;0,SUMIF(куб!$E:$E,$E357,куб!R:R),IF($D357&lt;&gt;0,SUMIF(куб!$D:$D,$D357,куб!R:R),IF($C357&lt;&gt;0,SUMIF(куб!$C:$C,$C357,куб!R:R),IF($B357&lt;&gt;0,SUMIF(куб!$B:$B,$B357,куб!R:R))))))</f>
        <v>0</v>
      </c>
      <c r="AG357" s="27" t="b">
        <f>IF($G357&lt;&gt;0,SUMIF(куб!$G:$G,$G357,куб!S:S),IF($E357&lt;&gt;0,SUMIF(куб!$E:$E,$E357,куб!S:S),IF($D357&lt;&gt;0,SUMIF(куб!$D:$D,$D357,куб!S:S),IF($C357&lt;&gt;0,SUMIF(куб!$C:$C,$C357,куб!S:S),IF($B357&lt;&gt;0,SUMIF(куб!$B:$B,$B357,куб!S:S))))))</f>
        <v>0</v>
      </c>
      <c r="AH357" s="16" t="str">
        <f t="shared" si="139"/>
        <v>-</v>
      </c>
      <c r="AI357" s="8"/>
      <c r="AJ357" s="27" t="b">
        <f>IF($G357&lt;&gt;0,SUMIF(куб!$G:$G,$G357,куб!T:T),IF($E357&lt;&gt;0,SUMIF(куб!$E:$E,$E357,куб!T:T),IF($D357&lt;&gt;0,SUMIF(куб!$D:$D,$D357,куб!T:T),IF($C357&lt;&gt;0,SUMIF(куб!$C:$C,$C357,куб!T:T),IF($B357&lt;&gt;0,SUMIF(куб!$B:$B,$B357,куб!T:T))))))</f>
        <v>0</v>
      </c>
      <c r="AK357" s="27" t="b">
        <f>IF($G357&lt;&gt;0,SUMIF(куб!$G:$G,$G357,куб!U:U),IF($E357&lt;&gt;0,SUMIF(куб!$E:$E,$E357,куб!U:U),IF($D357&lt;&gt;0,SUMIF(куб!$D:$D,$D357,куб!U:U),IF($C357&lt;&gt;0,SUMIF(куб!$C:$C,$C357,куб!U:U),IF($B357&lt;&gt;0,SUMIF(куб!$B:$B,$B357,куб!U:U))))))</f>
        <v>0</v>
      </c>
      <c r="AL357" s="16" t="str">
        <f t="shared" si="140"/>
        <v>-</v>
      </c>
      <c r="AM357" s="8"/>
      <c r="AN357" s="17" t="str">
        <f t="shared" si="141"/>
        <v xml:space="preserve"> </v>
      </c>
      <c r="AO357" s="17" t="str">
        <f t="shared" si="142"/>
        <v xml:space="preserve"> </v>
      </c>
      <c r="AP357" s="16" t="str">
        <f t="shared" si="143"/>
        <v>-</v>
      </c>
      <c r="AQ357" s="8"/>
      <c r="AR357" s="17" t="str">
        <f t="shared" si="144"/>
        <v>-</v>
      </c>
      <c r="AS357" s="17" t="str">
        <f t="shared" si="145"/>
        <v>-</v>
      </c>
      <c r="AT357" s="13" t="str">
        <f t="shared" si="146"/>
        <v>-</v>
      </c>
      <c r="AU357" s="8"/>
    </row>
    <row r="358" spans="1:47" x14ac:dyDescent="0.25">
      <c r="A358" s="31"/>
      <c r="B358" s="31"/>
      <c r="C358"/>
      <c r="D358" s="31"/>
      <c r="E358" s="31"/>
      <c r="F358" s="31"/>
      <c r="G358" s="31"/>
      <c r="H358" s="27">
        <f>IF($G358&lt;&gt;0,SUMIF(куб!$G:$G,$G358,куб!H:H),IF($E358&lt;&gt;0,SUMIF(куб!$E:$E,$E358,куб!H:H),IF($D358&lt;&gt;0,SUMIF(куб!$D:$D,$D358,куб!H:H),IF($C358&lt;&gt;0,SUMIF(куб!$C:$C,$C358,куб!H:H),IF($B358&lt;&gt;0,SUMIF(куб!$B:$B,$B358,куб!H:H),IF($G358&lt;&gt;0,SUMIF(куб!$A:$A,$G358,куб!H:H),SUMIF(куб!$A:$A,$G358,куб!H:H)))))))</f>
        <v>0</v>
      </c>
      <c r="I358" s="27">
        <f>IF($G358&lt;&gt;0,SUMIF(куб!$G:$G,$G358,куб!I:I),IF($E358&lt;&gt;0,SUMIF(куб!$E:$E,$E358,куб!I:I),IF($D358&lt;&gt;0,SUMIF(куб!$D:$D,$D358,куб!I:I),IF($C358&lt;&gt;0,SUMIF(куб!$C:$C,$C358,куб!I:I),IF($B358&lt;&gt;0,SUMIF(куб!$B:$B,$B358,куб!I:I),IF($G358&lt;&gt;0,SUMIF(куб!$A:$A,$G358,куб!I:I),SUMIF(куб!$A:$A,$G358,куб!I:I)))))))</f>
        <v>0</v>
      </c>
      <c r="J358" s="19" t="str">
        <f t="shared" si="129"/>
        <v>-</v>
      </c>
      <c r="K358" s="8"/>
      <c r="L358" s="17">
        <f t="shared" si="130"/>
        <v>0</v>
      </c>
      <c r="M358" s="17">
        <f t="shared" si="131"/>
        <v>0</v>
      </c>
      <c r="N358" s="12">
        <f t="shared" si="132"/>
        <v>0</v>
      </c>
      <c r="O358" s="5"/>
      <c r="P358" s="27" t="b">
        <f>IF($G358&lt;&gt;0,SUMIF(куб!$G:$G,$G358,куб!J:J),IF($E358&lt;&gt;0,SUMIF(куб!$E:$E,$E358,куб!J:J),IF($D358&lt;&gt;0,SUMIF(куб!$D:$D,$D358,куб!J:J),IF($C358&lt;&gt;0,SUMIF(куб!$C:$C,$C358,куб!J:J),IF($B358&lt;&gt;0,SUMIF(куб!$B:$B,$B358,куб!J:J))))))</f>
        <v>0</v>
      </c>
      <c r="Q358" s="27" t="b">
        <f>IF($G358&lt;&gt;0,SUMIF(куб!$G:$G,$G358,куб!K:K),IF($E358&lt;&gt;0,SUMIF(куб!$E:$E,$E358,куб!K:K),IF($D358&lt;&gt;0,SUMIF(куб!$D:$D,$D358,куб!K:K),IF($C358&lt;&gt;0,SUMIF(куб!$C:$C,$C358,куб!K:K),IF($B358&lt;&gt;0,SUMIF(куб!$B:$B,$B358,куб!K:K))))))</f>
        <v>0</v>
      </c>
      <c r="R358" s="13" t="str">
        <f t="shared" si="133"/>
        <v>-</v>
      </c>
      <c r="S358" s="5"/>
      <c r="T358" s="27" t="b">
        <f>IF($G358&lt;&gt;0,SUMIF(куб!$G:$G,$G358,куб!L:L),IF($E358&lt;&gt;0,SUMIF(куб!$E:$E,$E358,куб!L:L),IF($D358&lt;&gt;0,SUMIF(куб!$D:$D,$D358,куб!L:L),IF($C358&lt;&gt;0,SUMIF(куб!$C:$C,$C358,куб!L:L),IF($B358&lt;&gt;0,SUMIF(куб!$B:$B,$B358,куб!L:L))))))</f>
        <v>0</v>
      </c>
      <c r="U358" s="27" t="b">
        <f>IF($G358&lt;&gt;0,SUMIF(куб!$G:$G,$G358,куб!M:M),IF($E358&lt;&gt;0,SUMIF(куб!$E:$E,$E358,куб!M:M),IF($D358&lt;&gt;0,SUMIF(куб!$D:$D,$D358,куб!M:M),IF($C358&lt;&gt;0,SUMIF(куб!$C:$C,$C358,куб!M:M),IF($B358&lt;&gt;0,SUMIF(куб!$B:$B,$B358,куб!M:M))))))</f>
        <v>0</v>
      </c>
      <c r="V358" s="13" t="str">
        <f t="shared" si="134"/>
        <v>-</v>
      </c>
      <c r="W358" s="5"/>
      <c r="X358" s="27" t="b">
        <f>IF($G358&lt;&gt;0,SUMIF(куб!$G:$G,$G358,куб!N:N),IF($E358&lt;&gt;0,SUMIF(куб!$E:$E,$E358,куб!N:N),IF($D358&lt;&gt;0,SUMIF(куб!$D:$D,$D358,куб!N:N),IF($C358&lt;&gt;0,SUMIF(куб!$C:$C,$C358,куб!N:N),IF($B358&lt;&gt;0,SUMIF(куб!$B:$B,$B358,куб!N:N))))))</f>
        <v>0</v>
      </c>
      <c r="Y358" s="27" t="b">
        <f>IF($G358&lt;&gt;0,SUMIF(куб!$G:$G,$G358,куб!O:O),IF($E358&lt;&gt;0,SUMIF(куб!$E:$E,$E358,куб!O:O),IF($D358&lt;&gt;0,SUMIF(куб!$D:$D,$D358,куб!O:O),IF($C358&lt;&gt;0,SUMIF(куб!$C:$C,$C358,куб!O:O),IF($B358&lt;&gt;0,SUMIF(куб!$B:$B,$B358,куб!O:O))))))</f>
        <v>0</v>
      </c>
      <c r="Z358" s="13" t="str">
        <f t="shared" si="135"/>
        <v>-</v>
      </c>
      <c r="AA358" s="5"/>
      <c r="AB358" s="33" t="str">
        <f t="shared" si="136"/>
        <v/>
      </c>
      <c r="AC358" s="33" t="str">
        <f t="shared" si="137"/>
        <v/>
      </c>
      <c r="AD358" s="15" t="str">
        <f t="shared" si="138"/>
        <v xml:space="preserve"> </v>
      </c>
      <c r="AE358" s="5"/>
      <c r="AF358" s="27" t="b">
        <f>IF($G358&lt;&gt;0,SUMIF(куб!$G:$G,$G358,куб!R:R),IF($E358&lt;&gt;0,SUMIF(куб!$E:$E,$E358,куб!R:R),IF($D358&lt;&gt;0,SUMIF(куб!$D:$D,$D358,куб!R:R),IF($C358&lt;&gt;0,SUMIF(куб!$C:$C,$C358,куб!R:R),IF($B358&lt;&gt;0,SUMIF(куб!$B:$B,$B358,куб!R:R))))))</f>
        <v>0</v>
      </c>
      <c r="AG358" s="27" t="b">
        <f>IF($G358&lt;&gt;0,SUMIF(куб!$G:$G,$G358,куб!S:S),IF($E358&lt;&gt;0,SUMIF(куб!$E:$E,$E358,куб!S:S),IF($D358&lt;&gt;0,SUMIF(куб!$D:$D,$D358,куб!S:S),IF($C358&lt;&gt;0,SUMIF(куб!$C:$C,$C358,куб!S:S),IF($B358&lt;&gt;0,SUMIF(куб!$B:$B,$B358,куб!S:S))))))</f>
        <v>0</v>
      </c>
      <c r="AH358" s="16" t="str">
        <f t="shared" si="139"/>
        <v>-</v>
      </c>
      <c r="AI358" s="8"/>
      <c r="AJ358" s="27" t="b">
        <f>IF($G358&lt;&gt;0,SUMIF(куб!$G:$G,$G358,куб!T:T),IF($E358&lt;&gt;0,SUMIF(куб!$E:$E,$E358,куб!T:T),IF($D358&lt;&gt;0,SUMIF(куб!$D:$D,$D358,куб!T:T),IF($C358&lt;&gt;0,SUMIF(куб!$C:$C,$C358,куб!T:T),IF($B358&lt;&gt;0,SUMIF(куб!$B:$B,$B358,куб!T:T))))))</f>
        <v>0</v>
      </c>
      <c r="AK358" s="27" t="b">
        <f>IF($G358&lt;&gt;0,SUMIF(куб!$G:$G,$G358,куб!U:U),IF($E358&lt;&gt;0,SUMIF(куб!$E:$E,$E358,куб!U:U),IF($D358&lt;&gt;0,SUMIF(куб!$D:$D,$D358,куб!U:U),IF($C358&lt;&gt;0,SUMIF(куб!$C:$C,$C358,куб!U:U),IF($B358&lt;&gt;0,SUMIF(куб!$B:$B,$B358,куб!U:U))))))</f>
        <v>0</v>
      </c>
      <c r="AL358" s="16" t="str">
        <f t="shared" si="140"/>
        <v>-</v>
      </c>
      <c r="AM358" s="8"/>
      <c r="AN358" s="17" t="str">
        <f t="shared" si="141"/>
        <v xml:space="preserve"> </v>
      </c>
      <c r="AO358" s="17" t="str">
        <f t="shared" si="142"/>
        <v xml:space="preserve"> </v>
      </c>
      <c r="AP358" s="16" t="str">
        <f t="shared" si="143"/>
        <v>-</v>
      </c>
      <c r="AQ358" s="8"/>
      <c r="AR358" s="17" t="str">
        <f t="shared" si="144"/>
        <v>-</v>
      </c>
      <c r="AS358" s="17" t="str">
        <f t="shared" si="145"/>
        <v>-</v>
      </c>
      <c r="AT358" s="13" t="str">
        <f t="shared" si="146"/>
        <v>-</v>
      </c>
      <c r="AU358" s="8"/>
    </row>
    <row r="359" spans="1:47" x14ac:dyDescent="0.25">
      <c r="A359" s="31"/>
      <c r="B359" s="31"/>
      <c r="C359"/>
      <c r="D359" s="31"/>
      <c r="E359"/>
      <c r="F359" s="31"/>
      <c r="G359"/>
      <c r="H359" s="27">
        <f>IF($G359&lt;&gt;0,SUMIF(куб!$G:$G,$G359,куб!H:H),IF($E359&lt;&gt;0,SUMIF(куб!$E:$E,$E359,куб!H:H),IF($D359&lt;&gt;0,SUMIF(куб!$D:$D,$D359,куб!H:H),IF($C359&lt;&gt;0,SUMIF(куб!$C:$C,$C359,куб!H:H),IF($B359&lt;&gt;0,SUMIF(куб!$B:$B,$B359,куб!H:H),IF($G359&lt;&gt;0,SUMIF(куб!$A:$A,$G359,куб!H:H),SUMIF(куб!$A:$A,$G359,куб!H:H)))))))</f>
        <v>0</v>
      </c>
      <c r="I359" s="27">
        <f>IF($G359&lt;&gt;0,SUMIF(куб!$G:$G,$G359,куб!I:I),IF($E359&lt;&gt;0,SUMIF(куб!$E:$E,$E359,куб!I:I),IF($D359&lt;&gt;0,SUMIF(куб!$D:$D,$D359,куб!I:I),IF($C359&lt;&gt;0,SUMIF(куб!$C:$C,$C359,куб!I:I),IF($B359&lt;&gt;0,SUMIF(куб!$B:$B,$B359,куб!I:I),IF($G359&lt;&gt;0,SUMIF(куб!$A:$A,$G359,куб!I:I),SUMIF(куб!$A:$A,$G359,куб!I:I)))))))</f>
        <v>0</v>
      </c>
      <c r="J359" s="19" t="str">
        <f t="shared" si="129"/>
        <v>-</v>
      </c>
      <c r="K359" s="8"/>
      <c r="L359" s="17">
        <f t="shared" si="130"/>
        <v>0</v>
      </c>
      <c r="M359" s="17">
        <f t="shared" si="131"/>
        <v>0</v>
      </c>
      <c r="N359" s="12">
        <f t="shared" si="132"/>
        <v>0</v>
      </c>
      <c r="O359" s="5"/>
      <c r="P359" s="27" t="b">
        <f>IF($G359&lt;&gt;0,SUMIF(куб!$G:$G,$G359,куб!J:J),IF($E359&lt;&gt;0,SUMIF(куб!$E:$E,$E359,куб!J:J),IF($D359&lt;&gt;0,SUMIF(куб!$D:$D,$D359,куб!J:J),IF($C359&lt;&gt;0,SUMIF(куб!$C:$C,$C359,куб!J:J),IF($B359&lt;&gt;0,SUMIF(куб!$B:$B,$B359,куб!J:J))))))</f>
        <v>0</v>
      </c>
      <c r="Q359" s="27" t="b">
        <f>IF($G359&lt;&gt;0,SUMIF(куб!$G:$G,$G359,куб!K:K),IF($E359&lt;&gt;0,SUMIF(куб!$E:$E,$E359,куб!K:K),IF($D359&lt;&gt;0,SUMIF(куб!$D:$D,$D359,куб!K:K),IF($C359&lt;&gt;0,SUMIF(куб!$C:$C,$C359,куб!K:K),IF($B359&lt;&gt;0,SUMIF(куб!$B:$B,$B359,куб!K:K))))))</f>
        <v>0</v>
      </c>
      <c r="R359" s="13" t="str">
        <f t="shared" si="133"/>
        <v>-</v>
      </c>
      <c r="S359" s="5"/>
      <c r="T359" s="27" t="b">
        <f>IF($G359&lt;&gt;0,SUMIF(куб!$G:$G,$G359,куб!L:L),IF($E359&lt;&gt;0,SUMIF(куб!$E:$E,$E359,куб!L:L),IF($D359&lt;&gt;0,SUMIF(куб!$D:$D,$D359,куб!L:L),IF($C359&lt;&gt;0,SUMIF(куб!$C:$C,$C359,куб!L:L),IF($B359&lt;&gt;0,SUMIF(куб!$B:$B,$B359,куб!L:L))))))</f>
        <v>0</v>
      </c>
      <c r="U359" s="27" t="b">
        <f>IF($G359&lt;&gt;0,SUMIF(куб!$G:$G,$G359,куб!M:M),IF($E359&lt;&gt;0,SUMIF(куб!$E:$E,$E359,куб!M:M),IF($D359&lt;&gt;0,SUMIF(куб!$D:$D,$D359,куб!M:M),IF($C359&lt;&gt;0,SUMIF(куб!$C:$C,$C359,куб!M:M),IF($B359&lt;&gt;0,SUMIF(куб!$B:$B,$B359,куб!M:M))))))</f>
        <v>0</v>
      </c>
      <c r="V359" s="13" t="str">
        <f t="shared" si="134"/>
        <v>-</v>
      </c>
      <c r="W359" s="5"/>
      <c r="X359" s="27" t="b">
        <f>IF($G359&lt;&gt;0,SUMIF(куб!$G:$G,$G359,куб!N:N),IF($E359&lt;&gt;0,SUMIF(куб!$E:$E,$E359,куб!N:N),IF($D359&lt;&gt;0,SUMIF(куб!$D:$D,$D359,куб!N:N),IF($C359&lt;&gt;0,SUMIF(куб!$C:$C,$C359,куб!N:N),IF($B359&lt;&gt;0,SUMIF(куб!$B:$B,$B359,куб!N:N))))))</f>
        <v>0</v>
      </c>
      <c r="Y359" s="27" t="b">
        <f>IF($G359&lt;&gt;0,SUMIF(куб!$G:$G,$G359,куб!O:O),IF($E359&lt;&gt;0,SUMIF(куб!$E:$E,$E359,куб!O:O),IF($D359&lt;&gt;0,SUMIF(куб!$D:$D,$D359,куб!O:O),IF($C359&lt;&gt;0,SUMIF(куб!$C:$C,$C359,куб!O:O),IF($B359&lt;&gt;0,SUMIF(куб!$B:$B,$B359,куб!O:O))))))</f>
        <v>0</v>
      </c>
      <c r="Z359" s="13" t="str">
        <f t="shared" si="135"/>
        <v>-</v>
      </c>
      <c r="AA359" s="5"/>
      <c r="AB359" s="33" t="str">
        <f t="shared" si="136"/>
        <v/>
      </c>
      <c r="AC359" s="33" t="str">
        <f t="shared" si="137"/>
        <v/>
      </c>
      <c r="AD359" s="15" t="str">
        <f t="shared" si="138"/>
        <v xml:space="preserve"> </v>
      </c>
      <c r="AE359" s="5"/>
      <c r="AF359" s="27" t="b">
        <f>IF($G359&lt;&gt;0,SUMIF(куб!$G:$G,$G359,куб!R:R),IF($E359&lt;&gt;0,SUMIF(куб!$E:$E,$E359,куб!R:R),IF($D359&lt;&gt;0,SUMIF(куб!$D:$D,$D359,куб!R:R),IF($C359&lt;&gt;0,SUMIF(куб!$C:$C,$C359,куб!R:R),IF($B359&lt;&gt;0,SUMIF(куб!$B:$B,$B359,куб!R:R))))))</f>
        <v>0</v>
      </c>
      <c r="AG359" s="27" t="b">
        <f>IF($G359&lt;&gt;0,SUMIF(куб!$G:$G,$G359,куб!S:S),IF($E359&lt;&gt;0,SUMIF(куб!$E:$E,$E359,куб!S:S),IF($D359&lt;&gt;0,SUMIF(куб!$D:$D,$D359,куб!S:S),IF($C359&lt;&gt;0,SUMIF(куб!$C:$C,$C359,куб!S:S),IF($B359&lt;&gt;0,SUMIF(куб!$B:$B,$B359,куб!S:S))))))</f>
        <v>0</v>
      </c>
      <c r="AH359" s="16" t="str">
        <f t="shared" si="139"/>
        <v>-</v>
      </c>
      <c r="AI359" s="8"/>
      <c r="AJ359" s="27" t="b">
        <f>IF($G359&lt;&gt;0,SUMIF(куб!$G:$G,$G359,куб!T:T),IF($E359&lt;&gt;0,SUMIF(куб!$E:$E,$E359,куб!T:T),IF($D359&lt;&gt;0,SUMIF(куб!$D:$D,$D359,куб!T:T),IF($C359&lt;&gt;0,SUMIF(куб!$C:$C,$C359,куб!T:T),IF($B359&lt;&gt;0,SUMIF(куб!$B:$B,$B359,куб!T:T))))))</f>
        <v>0</v>
      </c>
      <c r="AK359" s="27" t="b">
        <f>IF($G359&lt;&gt;0,SUMIF(куб!$G:$G,$G359,куб!U:U),IF($E359&lt;&gt;0,SUMIF(куб!$E:$E,$E359,куб!U:U),IF($D359&lt;&gt;0,SUMIF(куб!$D:$D,$D359,куб!U:U),IF($C359&lt;&gt;0,SUMIF(куб!$C:$C,$C359,куб!U:U),IF($B359&lt;&gt;0,SUMIF(куб!$B:$B,$B359,куб!U:U))))))</f>
        <v>0</v>
      </c>
      <c r="AL359" s="16" t="str">
        <f t="shared" si="140"/>
        <v>-</v>
      </c>
      <c r="AM359" s="8"/>
      <c r="AN359" s="17" t="str">
        <f t="shared" si="141"/>
        <v xml:space="preserve"> </v>
      </c>
      <c r="AO359" s="17" t="str">
        <f t="shared" si="142"/>
        <v xml:space="preserve"> </v>
      </c>
      <c r="AP359" s="16" t="str">
        <f t="shared" si="143"/>
        <v>-</v>
      </c>
      <c r="AQ359" s="8"/>
      <c r="AR359" s="17" t="str">
        <f t="shared" si="144"/>
        <v>-</v>
      </c>
      <c r="AS359" s="17" t="str">
        <f t="shared" si="145"/>
        <v>-</v>
      </c>
      <c r="AT359" s="13" t="str">
        <f t="shared" si="146"/>
        <v>-</v>
      </c>
      <c r="AU359" s="8"/>
    </row>
    <row r="360" spans="1:47" x14ac:dyDescent="0.25">
      <c r="A360" s="31"/>
      <c r="B360" s="31"/>
      <c r="C360"/>
      <c r="D360" s="31"/>
      <c r="E360"/>
      <c r="F360" s="31"/>
      <c r="G360"/>
      <c r="H360" s="27">
        <f>IF($G360&lt;&gt;0,SUMIF(куб!$G:$G,$G360,куб!H:H),IF($E360&lt;&gt;0,SUMIF(куб!$E:$E,$E360,куб!H:H),IF($D360&lt;&gt;0,SUMIF(куб!$D:$D,$D360,куб!H:H),IF($C360&lt;&gt;0,SUMIF(куб!$C:$C,$C360,куб!H:H),IF($B360&lt;&gt;0,SUMIF(куб!$B:$B,$B360,куб!H:H),IF($G360&lt;&gt;0,SUMIF(куб!$A:$A,$G360,куб!H:H),SUMIF(куб!$A:$A,$G360,куб!H:H)))))))</f>
        <v>0</v>
      </c>
      <c r="I360" s="27">
        <f>IF($G360&lt;&gt;0,SUMIF(куб!$G:$G,$G360,куб!I:I),IF($E360&lt;&gt;0,SUMIF(куб!$E:$E,$E360,куб!I:I),IF($D360&lt;&gt;0,SUMIF(куб!$D:$D,$D360,куб!I:I),IF($C360&lt;&gt;0,SUMIF(куб!$C:$C,$C360,куб!I:I),IF($B360&lt;&gt;0,SUMIF(куб!$B:$B,$B360,куб!I:I),IF($G360&lt;&gt;0,SUMIF(куб!$A:$A,$G360,куб!I:I),SUMIF(куб!$A:$A,$G360,куб!I:I)))))))</f>
        <v>0</v>
      </c>
      <c r="J360" s="19" t="str">
        <f t="shared" si="129"/>
        <v>-</v>
      </c>
      <c r="K360" s="8"/>
      <c r="L360" s="17">
        <f t="shared" si="130"/>
        <v>0</v>
      </c>
      <c r="M360" s="17">
        <f t="shared" si="131"/>
        <v>0</v>
      </c>
      <c r="N360" s="12">
        <f t="shared" si="132"/>
        <v>0</v>
      </c>
      <c r="O360" s="5"/>
      <c r="P360" s="27" t="b">
        <f>IF($G360&lt;&gt;0,SUMIF(куб!$G:$G,$G360,куб!J:J),IF($E360&lt;&gt;0,SUMIF(куб!$E:$E,$E360,куб!J:J),IF($D360&lt;&gt;0,SUMIF(куб!$D:$D,$D360,куб!J:J),IF($C360&lt;&gt;0,SUMIF(куб!$C:$C,$C360,куб!J:J),IF($B360&lt;&gt;0,SUMIF(куб!$B:$B,$B360,куб!J:J))))))</f>
        <v>0</v>
      </c>
      <c r="Q360" s="27" t="b">
        <f>IF($G360&lt;&gt;0,SUMIF(куб!$G:$G,$G360,куб!K:K),IF($E360&lt;&gt;0,SUMIF(куб!$E:$E,$E360,куб!K:K),IF($D360&lt;&gt;0,SUMIF(куб!$D:$D,$D360,куб!K:K),IF($C360&lt;&gt;0,SUMIF(куб!$C:$C,$C360,куб!K:K),IF($B360&lt;&gt;0,SUMIF(куб!$B:$B,$B360,куб!K:K))))))</f>
        <v>0</v>
      </c>
      <c r="R360" s="13" t="str">
        <f t="shared" si="133"/>
        <v>-</v>
      </c>
      <c r="S360" s="5"/>
      <c r="T360" s="27" t="b">
        <f>IF($G360&lt;&gt;0,SUMIF(куб!$G:$G,$G360,куб!L:L),IF($E360&lt;&gt;0,SUMIF(куб!$E:$E,$E360,куб!L:L),IF($D360&lt;&gt;0,SUMIF(куб!$D:$D,$D360,куб!L:L),IF($C360&lt;&gt;0,SUMIF(куб!$C:$C,$C360,куб!L:L),IF($B360&lt;&gt;0,SUMIF(куб!$B:$B,$B360,куб!L:L))))))</f>
        <v>0</v>
      </c>
      <c r="U360" s="27" t="b">
        <f>IF($G360&lt;&gt;0,SUMIF(куб!$G:$G,$G360,куб!M:M),IF($E360&lt;&gt;0,SUMIF(куб!$E:$E,$E360,куб!M:M),IF($D360&lt;&gt;0,SUMIF(куб!$D:$D,$D360,куб!M:M),IF($C360&lt;&gt;0,SUMIF(куб!$C:$C,$C360,куб!M:M),IF($B360&lt;&gt;0,SUMIF(куб!$B:$B,$B360,куб!M:M))))))</f>
        <v>0</v>
      </c>
      <c r="V360" s="13" t="str">
        <f t="shared" si="134"/>
        <v>-</v>
      </c>
      <c r="W360" s="5"/>
      <c r="X360" s="27" t="b">
        <f>IF($G360&lt;&gt;0,SUMIF(куб!$G:$G,$G360,куб!N:N),IF($E360&lt;&gt;0,SUMIF(куб!$E:$E,$E360,куб!N:N),IF($D360&lt;&gt;0,SUMIF(куб!$D:$D,$D360,куб!N:N),IF($C360&lt;&gt;0,SUMIF(куб!$C:$C,$C360,куб!N:N),IF($B360&lt;&gt;0,SUMIF(куб!$B:$B,$B360,куб!N:N))))))</f>
        <v>0</v>
      </c>
      <c r="Y360" s="27" t="b">
        <f>IF($G360&lt;&gt;0,SUMIF(куб!$G:$G,$G360,куб!O:O),IF($E360&lt;&gt;0,SUMIF(куб!$E:$E,$E360,куб!O:O),IF($D360&lt;&gt;0,SUMIF(куб!$D:$D,$D360,куб!O:O),IF($C360&lt;&gt;0,SUMIF(куб!$C:$C,$C360,куб!O:O),IF($B360&lt;&gt;0,SUMIF(куб!$B:$B,$B360,куб!O:O))))))</f>
        <v>0</v>
      </c>
      <c r="Z360" s="13" t="str">
        <f t="shared" si="135"/>
        <v>-</v>
      </c>
      <c r="AA360" s="5"/>
      <c r="AB360" s="33" t="str">
        <f t="shared" si="136"/>
        <v/>
      </c>
      <c r="AC360" s="33" t="str">
        <f t="shared" si="137"/>
        <v/>
      </c>
      <c r="AD360" s="15" t="str">
        <f t="shared" si="138"/>
        <v xml:space="preserve"> </v>
      </c>
      <c r="AE360" s="5"/>
      <c r="AF360" s="27" t="b">
        <f>IF($G360&lt;&gt;0,SUMIF(куб!$G:$G,$G360,куб!R:R),IF($E360&lt;&gt;0,SUMIF(куб!$E:$E,$E360,куб!R:R),IF($D360&lt;&gt;0,SUMIF(куб!$D:$D,$D360,куб!R:R),IF($C360&lt;&gt;0,SUMIF(куб!$C:$C,$C360,куб!R:R),IF($B360&lt;&gt;0,SUMIF(куб!$B:$B,$B360,куб!R:R))))))</f>
        <v>0</v>
      </c>
      <c r="AG360" s="27" t="b">
        <f>IF($G360&lt;&gt;0,SUMIF(куб!$G:$G,$G360,куб!S:S),IF($E360&lt;&gt;0,SUMIF(куб!$E:$E,$E360,куб!S:S),IF($D360&lt;&gt;0,SUMIF(куб!$D:$D,$D360,куб!S:S),IF($C360&lt;&gt;0,SUMIF(куб!$C:$C,$C360,куб!S:S),IF($B360&lt;&gt;0,SUMIF(куб!$B:$B,$B360,куб!S:S))))))</f>
        <v>0</v>
      </c>
      <c r="AH360" s="16" t="str">
        <f t="shared" si="139"/>
        <v>-</v>
      </c>
      <c r="AI360" s="8"/>
      <c r="AJ360" s="27" t="b">
        <f>IF($G360&lt;&gt;0,SUMIF(куб!$G:$G,$G360,куб!T:T),IF($E360&lt;&gt;0,SUMIF(куб!$E:$E,$E360,куб!T:T),IF($D360&lt;&gt;0,SUMIF(куб!$D:$D,$D360,куб!T:T),IF($C360&lt;&gt;0,SUMIF(куб!$C:$C,$C360,куб!T:T),IF($B360&lt;&gt;0,SUMIF(куб!$B:$B,$B360,куб!T:T))))))</f>
        <v>0</v>
      </c>
      <c r="AK360" s="27" t="b">
        <f>IF($G360&lt;&gt;0,SUMIF(куб!$G:$G,$G360,куб!U:U),IF($E360&lt;&gt;0,SUMIF(куб!$E:$E,$E360,куб!U:U),IF($D360&lt;&gt;0,SUMIF(куб!$D:$D,$D360,куб!U:U),IF($C360&lt;&gt;0,SUMIF(куб!$C:$C,$C360,куб!U:U),IF($B360&lt;&gt;0,SUMIF(куб!$B:$B,$B360,куб!U:U))))))</f>
        <v>0</v>
      </c>
      <c r="AL360" s="16" t="str">
        <f t="shared" si="140"/>
        <v>-</v>
      </c>
      <c r="AM360" s="8"/>
      <c r="AN360" s="17" t="str">
        <f t="shared" si="141"/>
        <v xml:space="preserve"> </v>
      </c>
      <c r="AO360" s="17" t="str">
        <f t="shared" si="142"/>
        <v xml:space="preserve"> </v>
      </c>
      <c r="AP360" s="16" t="str">
        <f t="shared" si="143"/>
        <v>-</v>
      </c>
      <c r="AQ360" s="8"/>
      <c r="AR360" s="17" t="str">
        <f t="shared" si="144"/>
        <v>-</v>
      </c>
      <c r="AS360" s="17" t="str">
        <f t="shared" si="145"/>
        <v>-</v>
      </c>
      <c r="AT360" s="13" t="str">
        <f t="shared" si="146"/>
        <v>-</v>
      </c>
      <c r="AU360" s="8"/>
    </row>
    <row r="361" spans="1:47" x14ac:dyDescent="0.25">
      <c r="A361" s="31"/>
      <c r="B361" s="31"/>
      <c r="C361"/>
      <c r="D361" s="31"/>
      <c r="E361"/>
      <c r="F361" s="31"/>
      <c r="G361"/>
      <c r="H361" s="27">
        <f>IF($G361&lt;&gt;0,SUMIF(куб!$G:$G,$G361,куб!H:H),IF($E361&lt;&gt;0,SUMIF(куб!$E:$E,$E361,куб!H:H),IF($D361&lt;&gt;0,SUMIF(куб!$D:$D,$D361,куб!H:H),IF($C361&lt;&gt;0,SUMIF(куб!$C:$C,$C361,куб!H:H),IF($B361&lt;&gt;0,SUMIF(куб!$B:$B,$B361,куб!H:H),IF($G361&lt;&gt;0,SUMIF(куб!$A:$A,$G361,куб!H:H),SUMIF(куб!$A:$A,$G361,куб!H:H)))))))</f>
        <v>0</v>
      </c>
      <c r="I361" s="27">
        <f>IF($G361&lt;&gt;0,SUMIF(куб!$G:$G,$G361,куб!I:I),IF($E361&lt;&gt;0,SUMIF(куб!$E:$E,$E361,куб!I:I),IF($D361&lt;&gt;0,SUMIF(куб!$D:$D,$D361,куб!I:I),IF($C361&lt;&gt;0,SUMIF(куб!$C:$C,$C361,куб!I:I),IF($B361&lt;&gt;0,SUMIF(куб!$B:$B,$B361,куб!I:I),IF($G361&lt;&gt;0,SUMIF(куб!$A:$A,$G361,куб!I:I),SUMIF(куб!$A:$A,$G361,куб!I:I)))))))</f>
        <v>0</v>
      </c>
      <c r="J361" s="19" t="str">
        <f t="shared" si="129"/>
        <v>-</v>
      </c>
      <c r="K361" s="8"/>
      <c r="L361" s="17">
        <f t="shared" si="130"/>
        <v>0</v>
      </c>
      <c r="M361" s="17">
        <f t="shared" si="131"/>
        <v>0</v>
      </c>
      <c r="N361" s="12">
        <f t="shared" si="132"/>
        <v>0</v>
      </c>
      <c r="O361" s="5"/>
      <c r="P361" s="27" t="b">
        <f>IF($G361&lt;&gt;0,SUMIF(куб!$G:$G,$G361,куб!J:J),IF($E361&lt;&gt;0,SUMIF(куб!$E:$E,$E361,куб!J:J),IF($D361&lt;&gt;0,SUMIF(куб!$D:$D,$D361,куб!J:J),IF($C361&lt;&gt;0,SUMIF(куб!$C:$C,$C361,куб!J:J),IF($B361&lt;&gt;0,SUMIF(куб!$B:$B,$B361,куб!J:J))))))</f>
        <v>0</v>
      </c>
      <c r="Q361" s="27" t="b">
        <f>IF($G361&lt;&gt;0,SUMIF(куб!$G:$G,$G361,куб!K:K),IF($E361&lt;&gt;0,SUMIF(куб!$E:$E,$E361,куб!K:K),IF($D361&lt;&gt;0,SUMIF(куб!$D:$D,$D361,куб!K:K),IF($C361&lt;&gt;0,SUMIF(куб!$C:$C,$C361,куб!K:K),IF($B361&lt;&gt;0,SUMIF(куб!$B:$B,$B361,куб!K:K))))))</f>
        <v>0</v>
      </c>
      <c r="R361" s="13" t="str">
        <f t="shared" si="133"/>
        <v>-</v>
      </c>
      <c r="S361" s="5"/>
      <c r="T361" s="27" t="b">
        <f>IF($G361&lt;&gt;0,SUMIF(куб!$G:$G,$G361,куб!L:L),IF($E361&lt;&gt;0,SUMIF(куб!$E:$E,$E361,куб!L:L),IF($D361&lt;&gt;0,SUMIF(куб!$D:$D,$D361,куб!L:L),IF($C361&lt;&gt;0,SUMIF(куб!$C:$C,$C361,куб!L:L),IF($B361&lt;&gt;0,SUMIF(куб!$B:$B,$B361,куб!L:L))))))</f>
        <v>0</v>
      </c>
      <c r="U361" s="27" t="b">
        <f>IF($G361&lt;&gt;0,SUMIF(куб!$G:$G,$G361,куб!M:M),IF($E361&lt;&gt;0,SUMIF(куб!$E:$E,$E361,куб!M:M),IF($D361&lt;&gt;0,SUMIF(куб!$D:$D,$D361,куб!M:M),IF($C361&lt;&gt;0,SUMIF(куб!$C:$C,$C361,куб!M:M),IF($B361&lt;&gt;0,SUMIF(куб!$B:$B,$B361,куб!M:M))))))</f>
        <v>0</v>
      </c>
      <c r="V361" s="13" t="str">
        <f t="shared" si="134"/>
        <v>-</v>
      </c>
      <c r="W361" s="5"/>
      <c r="X361" s="27" t="b">
        <f>IF($G361&lt;&gt;0,SUMIF(куб!$G:$G,$G361,куб!N:N),IF($E361&lt;&gt;0,SUMIF(куб!$E:$E,$E361,куб!N:N),IF($D361&lt;&gt;0,SUMIF(куб!$D:$D,$D361,куб!N:N),IF($C361&lt;&gt;0,SUMIF(куб!$C:$C,$C361,куб!N:N),IF($B361&lt;&gt;0,SUMIF(куб!$B:$B,$B361,куб!N:N))))))</f>
        <v>0</v>
      </c>
      <c r="Y361" s="27" t="b">
        <f>IF($G361&lt;&gt;0,SUMIF(куб!$G:$G,$G361,куб!O:O),IF($E361&lt;&gt;0,SUMIF(куб!$E:$E,$E361,куб!O:O),IF($D361&lt;&gt;0,SUMIF(куб!$D:$D,$D361,куб!O:O),IF($C361&lt;&gt;0,SUMIF(куб!$C:$C,$C361,куб!O:O),IF($B361&lt;&gt;0,SUMIF(куб!$B:$B,$B361,куб!O:O))))))</f>
        <v>0</v>
      </c>
      <c r="Z361" s="13" t="str">
        <f t="shared" si="135"/>
        <v>-</v>
      </c>
      <c r="AA361" s="5"/>
      <c r="AB361" s="33" t="str">
        <f t="shared" si="136"/>
        <v/>
      </c>
      <c r="AC361" s="33" t="str">
        <f t="shared" si="137"/>
        <v/>
      </c>
      <c r="AD361" s="15" t="str">
        <f t="shared" si="138"/>
        <v xml:space="preserve"> </v>
      </c>
      <c r="AE361" s="5"/>
      <c r="AF361" s="27" t="b">
        <f>IF($G361&lt;&gt;0,SUMIF(куб!$G:$G,$G361,куб!R:R),IF($E361&lt;&gt;0,SUMIF(куб!$E:$E,$E361,куб!R:R),IF($D361&lt;&gt;0,SUMIF(куб!$D:$D,$D361,куб!R:R),IF($C361&lt;&gt;0,SUMIF(куб!$C:$C,$C361,куб!R:R),IF($B361&lt;&gt;0,SUMIF(куб!$B:$B,$B361,куб!R:R))))))</f>
        <v>0</v>
      </c>
      <c r="AG361" s="27" t="b">
        <f>IF($G361&lt;&gt;0,SUMIF(куб!$G:$G,$G361,куб!S:S),IF($E361&lt;&gt;0,SUMIF(куб!$E:$E,$E361,куб!S:S),IF($D361&lt;&gt;0,SUMIF(куб!$D:$D,$D361,куб!S:S),IF($C361&lt;&gt;0,SUMIF(куб!$C:$C,$C361,куб!S:S),IF($B361&lt;&gt;0,SUMIF(куб!$B:$B,$B361,куб!S:S))))))</f>
        <v>0</v>
      </c>
      <c r="AH361" s="16" t="str">
        <f t="shared" si="139"/>
        <v>-</v>
      </c>
      <c r="AI361" s="8"/>
      <c r="AJ361" s="27" t="b">
        <f>IF($G361&lt;&gt;0,SUMIF(куб!$G:$G,$G361,куб!T:T),IF($E361&lt;&gt;0,SUMIF(куб!$E:$E,$E361,куб!T:T),IF($D361&lt;&gt;0,SUMIF(куб!$D:$D,$D361,куб!T:T),IF($C361&lt;&gt;0,SUMIF(куб!$C:$C,$C361,куб!T:T),IF($B361&lt;&gt;0,SUMIF(куб!$B:$B,$B361,куб!T:T))))))</f>
        <v>0</v>
      </c>
      <c r="AK361" s="27" t="b">
        <f>IF($G361&lt;&gt;0,SUMIF(куб!$G:$G,$G361,куб!U:U),IF($E361&lt;&gt;0,SUMIF(куб!$E:$E,$E361,куб!U:U),IF($D361&lt;&gt;0,SUMIF(куб!$D:$D,$D361,куб!U:U),IF($C361&lt;&gt;0,SUMIF(куб!$C:$C,$C361,куб!U:U),IF($B361&lt;&gt;0,SUMIF(куб!$B:$B,$B361,куб!U:U))))))</f>
        <v>0</v>
      </c>
      <c r="AL361" s="16" t="str">
        <f t="shared" si="140"/>
        <v>-</v>
      </c>
      <c r="AM361" s="8"/>
      <c r="AN361" s="17" t="str">
        <f t="shared" si="141"/>
        <v xml:space="preserve"> </v>
      </c>
      <c r="AO361" s="17" t="str">
        <f t="shared" si="142"/>
        <v xml:space="preserve"> </v>
      </c>
      <c r="AP361" s="16" t="str">
        <f t="shared" si="143"/>
        <v>-</v>
      </c>
      <c r="AQ361" s="8"/>
      <c r="AR361" s="17" t="str">
        <f t="shared" si="144"/>
        <v>-</v>
      </c>
      <c r="AS361" s="17" t="str">
        <f t="shared" si="145"/>
        <v>-</v>
      </c>
      <c r="AT361" s="13" t="str">
        <f t="shared" si="146"/>
        <v>-</v>
      </c>
      <c r="AU361" s="8"/>
    </row>
    <row r="362" spans="1:47" x14ac:dyDescent="0.25">
      <c r="A362" s="31"/>
      <c r="B362" s="31"/>
      <c r="C362"/>
      <c r="D362" s="31"/>
      <c r="E362"/>
      <c r="F362" s="31"/>
      <c r="G362"/>
      <c r="H362" s="27">
        <f>IF($G362&lt;&gt;0,SUMIF(куб!$G:$G,$G362,куб!H:H),IF($E362&lt;&gt;0,SUMIF(куб!$E:$E,$E362,куб!H:H),IF($D362&lt;&gt;0,SUMIF(куб!$D:$D,$D362,куб!H:H),IF($C362&lt;&gt;0,SUMIF(куб!$C:$C,$C362,куб!H:H),IF($B362&lt;&gt;0,SUMIF(куб!$B:$B,$B362,куб!H:H),IF($G362&lt;&gt;0,SUMIF(куб!$A:$A,$G362,куб!H:H),SUMIF(куб!$A:$A,$G362,куб!H:H)))))))</f>
        <v>0</v>
      </c>
      <c r="I362" s="27">
        <f>IF($G362&lt;&gt;0,SUMIF(куб!$G:$G,$G362,куб!I:I),IF($E362&lt;&gt;0,SUMIF(куб!$E:$E,$E362,куб!I:I),IF($D362&lt;&gt;0,SUMIF(куб!$D:$D,$D362,куб!I:I),IF($C362&lt;&gt;0,SUMIF(куб!$C:$C,$C362,куб!I:I),IF($B362&lt;&gt;0,SUMIF(куб!$B:$B,$B362,куб!I:I),IF($G362&lt;&gt;0,SUMIF(куб!$A:$A,$G362,куб!I:I),SUMIF(куб!$A:$A,$G362,куб!I:I)))))))</f>
        <v>0</v>
      </c>
      <c r="J362" s="19" t="str">
        <f t="shared" si="129"/>
        <v>-</v>
      </c>
      <c r="K362" s="8"/>
      <c r="L362" s="17">
        <f t="shared" si="130"/>
        <v>0</v>
      </c>
      <c r="M362" s="17">
        <f t="shared" si="131"/>
        <v>0</v>
      </c>
      <c r="N362" s="12">
        <f t="shared" si="132"/>
        <v>0</v>
      </c>
      <c r="O362" s="5"/>
      <c r="P362" s="27" t="b">
        <f>IF($G362&lt;&gt;0,SUMIF(куб!$G:$G,$G362,куб!J:J),IF($E362&lt;&gt;0,SUMIF(куб!$E:$E,$E362,куб!J:J),IF($D362&lt;&gt;0,SUMIF(куб!$D:$D,$D362,куб!J:J),IF($C362&lt;&gt;0,SUMIF(куб!$C:$C,$C362,куб!J:J),IF($B362&lt;&gt;0,SUMIF(куб!$B:$B,$B362,куб!J:J))))))</f>
        <v>0</v>
      </c>
      <c r="Q362" s="27" t="b">
        <f>IF($G362&lt;&gt;0,SUMIF(куб!$G:$G,$G362,куб!K:K),IF($E362&lt;&gt;0,SUMIF(куб!$E:$E,$E362,куб!K:K),IF($D362&lt;&gt;0,SUMIF(куб!$D:$D,$D362,куб!K:K),IF($C362&lt;&gt;0,SUMIF(куб!$C:$C,$C362,куб!K:K),IF($B362&lt;&gt;0,SUMIF(куб!$B:$B,$B362,куб!K:K))))))</f>
        <v>0</v>
      </c>
      <c r="R362" s="13" t="str">
        <f t="shared" si="133"/>
        <v>-</v>
      </c>
      <c r="S362" s="5"/>
      <c r="T362" s="27" t="b">
        <f>IF($G362&lt;&gt;0,SUMIF(куб!$G:$G,$G362,куб!L:L),IF($E362&lt;&gt;0,SUMIF(куб!$E:$E,$E362,куб!L:L),IF($D362&lt;&gt;0,SUMIF(куб!$D:$D,$D362,куб!L:L),IF($C362&lt;&gt;0,SUMIF(куб!$C:$C,$C362,куб!L:L),IF($B362&lt;&gt;0,SUMIF(куб!$B:$B,$B362,куб!L:L))))))</f>
        <v>0</v>
      </c>
      <c r="U362" s="27" t="b">
        <f>IF($G362&lt;&gt;0,SUMIF(куб!$G:$G,$G362,куб!M:M),IF($E362&lt;&gt;0,SUMIF(куб!$E:$E,$E362,куб!M:M),IF($D362&lt;&gt;0,SUMIF(куб!$D:$D,$D362,куб!M:M),IF($C362&lt;&gt;0,SUMIF(куб!$C:$C,$C362,куб!M:M),IF($B362&lt;&gt;0,SUMIF(куб!$B:$B,$B362,куб!M:M))))))</f>
        <v>0</v>
      </c>
      <c r="V362" s="13" t="str">
        <f t="shared" si="134"/>
        <v>-</v>
      </c>
      <c r="W362" s="5"/>
      <c r="X362" s="27" t="b">
        <f>IF($G362&lt;&gt;0,SUMIF(куб!$G:$G,$G362,куб!N:N),IF($E362&lt;&gt;0,SUMIF(куб!$E:$E,$E362,куб!N:N),IF($D362&lt;&gt;0,SUMIF(куб!$D:$D,$D362,куб!N:N),IF($C362&lt;&gt;0,SUMIF(куб!$C:$C,$C362,куб!N:N),IF($B362&lt;&gt;0,SUMIF(куб!$B:$B,$B362,куб!N:N))))))</f>
        <v>0</v>
      </c>
      <c r="Y362" s="27" t="b">
        <f>IF($G362&lt;&gt;0,SUMIF(куб!$G:$G,$G362,куб!O:O),IF($E362&lt;&gt;0,SUMIF(куб!$E:$E,$E362,куб!O:O),IF($D362&lt;&gt;0,SUMIF(куб!$D:$D,$D362,куб!O:O),IF($C362&lt;&gt;0,SUMIF(куб!$C:$C,$C362,куб!O:O),IF($B362&lt;&gt;0,SUMIF(куб!$B:$B,$B362,куб!O:O))))))</f>
        <v>0</v>
      </c>
      <c r="Z362" s="13" t="str">
        <f t="shared" si="135"/>
        <v>-</v>
      </c>
      <c r="AA362" s="5"/>
      <c r="AB362" s="33" t="str">
        <f t="shared" si="136"/>
        <v/>
      </c>
      <c r="AC362" s="33" t="str">
        <f t="shared" si="137"/>
        <v/>
      </c>
      <c r="AD362" s="15" t="str">
        <f t="shared" si="138"/>
        <v xml:space="preserve"> </v>
      </c>
      <c r="AE362" s="5"/>
      <c r="AF362" s="27" t="b">
        <f>IF($G362&lt;&gt;0,SUMIF(куб!$G:$G,$G362,куб!R:R),IF($E362&lt;&gt;0,SUMIF(куб!$E:$E,$E362,куб!R:R),IF($D362&lt;&gt;0,SUMIF(куб!$D:$D,$D362,куб!R:R),IF($C362&lt;&gt;0,SUMIF(куб!$C:$C,$C362,куб!R:R),IF($B362&lt;&gt;0,SUMIF(куб!$B:$B,$B362,куб!R:R))))))</f>
        <v>0</v>
      </c>
      <c r="AG362" s="27" t="b">
        <f>IF($G362&lt;&gt;0,SUMIF(куб!$G:$G,$G362,куб!S:S),IF($E362&lt;&gt;0,SUMIF(куб!$E:$E,$E362,куб!S:S),IF($D362&lt;&gt;0,SUMIF(куб!$D:$D,$D362,куб!S:S),IF($C362&lt;&gt;0,SUMIF(куб!$C:$C,$C362,куб!S:S),IF($B362&lt;&gt;0,SUMIF(куб!$B:$B,$B362,куб!S:S))))))</f>
        <v>0</v>
      </c>
      <c r="AH362" s="16" t="str">
        <f t="shared" si="139"/>
        <v>-</v>
      </c>
      <c r="AI362" s="8"/>
      <c r="AJ362" s="27" t="b">
        <f>IF($G362&lt;&gt;0,SUMIF(куб!$G:$G,$G362,куб!T:T),IF($E362&lt;&gt;0,SUMIF(куб!$E:$E,$E362,куб!T:T),IF($D362&lt;&gt;0,SUMIF(куб!$D:$D,$D362,куб!T:T),IF($C362&lt;&gt;0,SUMIF(куб!$C:$C,$C362,куб!T:T),IF($B362&lt;&gt;0,SUMIF(куб!$B:$B,$B362,куб!T:T))))))</f>
        <v>0</v>
      </c>
      <c r="AK362" s="27" t="b">
        <f>IF($G362&lt;&gt;0,SUMIF(куб!$G:$G,$G362,куб!U:U),IF($E362&lt;&gt;0,SUMIF(куб!$E:$E,$E362,куб!U:U),IF($D362&lt;&gt;0,SUMIF(куб!$D:$D,$D362,куб!U:U),IF($C362&lt;&gt;0,SUMIF(куб!$C:$C,$C362,куб!U:U),IF($B362&lt;&gt;0,SUMIF(куб!$B:$B,$B362,куб!U:U))))))</f>
        <v>0</v>
      </c>
      <c r="AL362" s="16" t="str">
        <f t="shared" si="140"/>
        <v>-</v>
      </c>
      <c r="AM362" s="8"/>
      <c r="AN362" s="17" t="str">
        <f t="shared" si="141"/>
        <v xml:space="preserve"> </v>
      </c>
      <c r="AO362" s="17" t="str">
        <f t="shared" si="142"/>
        <v xml:space="preserve"> </v>
      </c>
      <c r="AP362" s="16" t="str">
        <f t="shared" si="143"/>
        <v>-</v>
      </c>
      <c r="AQ362" s="8"/>
      <c r="AR362" s="17" t="str">
        <f t="shared" si="144"/>
        <v>-</v>
      </c>
      <c r="AS362" s="17" t="str">
        <f t="shared" si="145"/>
        <v>-</v>
      </c>
      <c r="AT362" s="13" t="str">
        <f t="shared" si="146"/>
        <v>-</v>
      </c>
      <c r="AU362" s="8"/>
    </row>
    <row r="363" spans="1:47" x14ac:dyDescent="0.25">
      <c r="A363" s="31"/>
      <c r="B363" s="31"/>
      <c r="C363"/>
      <c r="D363" s="31"/>
      <c r="E363"/>
      <c r="F363" s="31"/>
      <c r="G363"/>
      <c r="H363" s="27">
        <f>IF($G363&lt;&gt;0,SUMIF(куб!$G:$G,$G363,куб!H:H),IF($E363&lt;&gt;0,SUMIF(куб!$E:$E,$E363,куб!H:H),IF($D363&lt;&gt;0,SUMIF(куб!$D:$D,$D363,куб!H:H),IF($C363&lt;&gt;0,SUMIF(куб!$C:$C,$C363,куб!H:H),IF($B363&lt;&gt;0,SUMIF(куб!$B:$B,$B363,куб!H:H),IF($G363&lt;&gt;0,SUMIF(куб!$A:$A,$G363,куб!H:H),SUMIF(куб!$A:$A,$G363,куб!H:H)))))))</f>
        <v>0</v>
      </c>
      <c r="I363" s="27">
        <f>IF($G363&lt;&gt;0,SUMIF(куб!$G:$G,$G363,куб!I:I),IF($E363&lt;&gt;0,SUMIF(куб!$E:$E,$E363,куб!I:I),IF($D363&lt;&gt;0,SUMIF(куб!$D:$D,$D363,куб!I:I),IF($C363&lt;&gt;0,SUMIF(куб!$C:$C,$C363,куб!I:I),IF($B363&lt;&gt;0,SUMIF(куб!$B:$B,$B363,куб!I:I),IF($G363&lt;&gt;0,SUMIF(куб!$A:$A,$G363,куб!I:I),SUMIF(куб!$A:$A,$G363,куб!I:I)))))))</f>
        <v>0</v>
      </c>
      <c r="J363" s="19" t="str">
        <f t="shared" si="129"/>
        <v>-</v>
      </c>
      <c r="K363" s="8"/>
      <c r="L363" s="17">
        <f t="shared" si="130"/>
        <v>0</v>
      </c>
      <c r="M363" s="17">
        <f t="shared" si="131"/>
        <v>0</v>
      </c>
      <c r="N363" s="12">
        <f t="shared" si="132"/>
        <v>0</v>
      </c>
      <c r="O363" s="5"/>
      <c r="P363" s="27" t="b">
        <f>IF($G363&lt;&gt;0,SUMIF(куб!$G:$G,$G363,куб!J:J),IF($E363&lt;&gt;0,SUMIF(куб!$E:$E,$E363,куб!J:J),IF($D363&lt;&gt;0,SUMIF(куб!$D:$D,$D363,куб!J:J),IF($C363&lt;&gt;0,SUMIF(куб!$C:$C,$C363,куб!J:J),IF($B363&lt;&gt;0,SUMIF(куб!$B:$B,$B363,куб!J:J))))))</f>
        <v>0</v>
      </c>
      <c r="Q363" s="27" t="b">
        <f>IF($G363&lt;&gt;0,SUMIF(куб!$G:$G,$G363,куб!K:K),IF($E363&lt;&gt;0,SUMIF(куб!$E:$E,$E363,куб!K:K),IF($D363&lt;&gt;0,SUMIF(куб!$D:$D,$D363,куб!K:K),IF($C363&lt;&gt;0,SUMIF(куб!$C:$C,$C363,куб!K:K),IF($B363&lt;&gt;0,SUMIF(куб!$B:$B,$B363,куб!K:K))))))</f>
        <v>0</v>
      </c>
      <c r="R363" s="13" t="str">
        <f t="shared" si="133"/>
        <v>-</v>
      </c>
      <c r="S363" s="5"/>
      <c r="T363" s="27" t="b">
        <f>IF($G363&lt;&gt;0,SUMIF(куб!$G:$G,$G363,куб!L:L),IF($E363&lt;&gt;0,SUMIF(куб!$E:$E,$E363,куб!L:L),IF($D363&lt;&gt;0,SUMIF(куб!$D:$D,$D363,куб!L:L),IF($C363&lt;&gt;0,SUMIF(куб!$C:$C,$C363,куб!L:L),IF($B363&lt;&gt;0,SUMIF(куб!$B:$B,$B363,куб!L:L))))))</f>
        <v>0</v>
      </c>
      <c r="U363" s="27" t="b">
        <f>IF($G363&lt;&gt;0,SUMIF(куб!$G:$G,$G363,куб!M:M),IF($E363&lt;&gt;0,SUMIF(куб!$E:$E,$E363,куб!M:M),IF($D363&lt;&gt;0,SUMIF(куб!$D:$D,$D363,куб!M:M),IF($C363&lt;&gt;0,SUMIF(куб!$C:$C,$C363,куб!M:M),IF($B363&lt;&gt;0,SUMIF(куб!$B:$B,$B363,куб!M:M))))))</f>
        <v>0</v>
      </c>
      <c r="V363" s="13" t="str">
        <f t="shared" si="134"/>
        <v>-</v>
      </c>
      <c r="W363" s="5"/>
      <c r="X363" s="27" t="b">
        <f>IF($G363&lt;&gt;0,SUMIF(куб!$G:$G,$G363,куб!N:N),IF($E363&lt;&gt;0,SUMIF(куб!$E:$E,$E363,куб!N:N),IF($D363&lt;&gt;0,SUMIF(куб!$D:$D,$D363,куб!N:N),IF($C363&lt;&gt;0,SUMIF(куб!$C:$C,$C363,куб!N:N),IF($B363&lt;&gt;0,SUMIF(куб!$B:$B,$B363,куб!N:N))))))</f>
        <v>0</v>
      </c>
      <c r="Y363" s="27" t="b">
        <f>IF($G363&lt;&gt;0,SUMIF(куб!$G:$G,$G363,куб!O:O),IF($E363&lt;&gt;0,SUMIF(куб!$E:$E,$E363,куб!O:O),IF($D363&lt;&gt;0,SUMIF(куб!$D:$D,$D363,куб!O:O),IF($C363&lt;&gt;0,SUMIF(куб!$C:$C,$C363,куб!O:O),IF($B363&lt;&gt;0,SUMIF(куб!$B:$B,$B363,куб!O:O))))))</f>
        <v>0</v>
      </c>
      <c r="Z363" s="13" t="str">
        <f t="shared" si="135"/>
        <v>-</v>
      </c>
      <c r="AA363" s="5"/>
      <c r="AB363" s="33" t="str">
        <f t="shared" si="136"/>
        <v/>
      </c>
      <c r="AC363" s="33" t="str">
        <f t="shared" si="137"/>
        <v/>
      </c>
      <c r="AD363" s="15" t="str">
        <f t="shared" si="138"/>
        <v xml:space="preserve"> </v>
      </c>
      <c r="AE363" s="5"/>
      <c r="AF363" s="27" t="b">
        <f>IF($G363&lt;&gt;0,SUMIF(куб!$G:$G,$G363,куб!R:R),IF($E363&lt;&gt;0,SUMIF(куб!$E:$E,$E363,куб!R:R),IF($D363&lt;&gt;0,SUMIF(куб!$D:$D,$D363,куб!R:R),IF($C363&lt;&gt;0,SUMIF(куб!$C:$C,$C363,куб!R:R),IF($B363&lt;&gt;0,SUMIF(куб!$B:$B,$B363,куб!R:R))))))</f>
        <v>0</v>
      </c>
      <c r="AG363" s="27" t="b">
        <f>IF($G363&lt;&gt;0,SUMIF(куб!$G:$G,$G363,куб!S:S),IF($E363&lt;&gt;0,SUMIF(куб!$E:$E,$E363,куб!S:S),IF($D363&lt;&gt;0,SUMIF(куб!$D:$D,$D363,куб!S:S),IF($C363&lt;&gt;0,SUMIF(куб!$C:$C,$C363,куб!S:S),IF($B363&lt;&gt;0,SUMIF(куб!$B:$B,$B363,куб!S:S))))))</f>
        <v>0</v>
      </c>
      <c r="AH363" s="16" t="str">
        <f t="shared" si="139"/>
        <v>-</v>
      </c>
      <c r="AI363" s="8"/>
      <c r="AJ363" s="27" t="b">
        <f>IF($G363&lt;&gt;0,SUMIF(куб!$G:$G,$G363,куб!T:T),IF($E363&lt;&gt;0,SUMIF(куб!$E:$E,$E363,куб!T:T),IF($D363&lt;&gt;0,SUMIF(куб!$D:$D,$D363,куб!T:T),IF($C363&lt;&gt;0,SUMIF(куб!$C:$C,$C363,куб!T:T),IF($B363&lt;&gt;0,SUMIF(куб!$B:$B,$B363,куб!T:T))))))</f>
        <v>0</v>
      </c>
      <c r="AK363" s="27" t="b">
        <f>IF($G363&lt;&gt;0,SUMIF(куб!$G:$G,$G363,куб!U:U),IF($E363&lt;&gt;0,SUMIF(куб!$E:$E,$E363,куб!U:U),IF($D363&lt;&gt;0,SUMIF(куб!$D:$D,$D363,куб!U:U),IF($C363&lt;&gt;0,SUMIF(куб!$C:$C,$C363,куб!U:U),IF($B363&lt;&gt;0,SUMIF(куб!$B:$B,$B363,куб!U:U))))))</f>
        <v>0</v>
      </c>
      <c r="AL363" s="16" t="str">
        <f t="shared" si="140"/>
        <v>-</v>
      </c>
      <c r="AM363" s="8"/>
      <c r="AN363" s="17" t="str">
        <f t="shared" si="141"/>
        <v xml:space="preserve"> </v>
      </c>
      <c r="AO363" s="17" t="str">
        <f t="shared" si="142"/>
        <v xml:space="preserve"> </v>
      </c>
      <c r="AP363" s="16" t="str">
        <f t="shared" si="143"/>
        <v>-</v>
      </c>
      <c r="AQ363" s="8"/>
      <c r="AR363" s="17" t="str">
        <f t="shared" si="144"/>
        <v>-</v>
      </c>
      <c r="AS363" s="17" t="str">
        <f t="shared" si="145"/>
        <v>-</v>
      </c>
      <c r="AT363" s="13" t="str">
        <f t="shared" si="146"/>
        <v>-</v>
      </c>
      <c r="AU363" s="8"/>
    </row>
    <row r="364" spans="1:47" x14ac:dyDescent="0.25">
      <c r="A364" s="31"/>
      <c r="B364" s="31"/>
      <c r="C364"/>
      <c r="D364" s="31"/>
      <c r="E364"/>
      <c r="F364"/>
      <c r="G364"/>
      <c r="H364" s="27">
        <f>IF($G364&lt;&gt;0,SUMIF(куб!$G:$G,$G364,куб!H:H),IF($E364&lt;&gt;0,SUMIF(куб!$E:$E,$E364,куб!H:H),IF($D364&lt;&gt;0,SUMIF(куб!$D:$D,$D364,куб!H:H),IF($C364&lt;&gt;0,SUMIF(куб!$C:$C,$C364,куб!H:H),IF($B364&lt;&gt;0,SUMIF(куб!$B:$B,$B364,куб!H:H),IF($G364&lt;&gt;0,SUMIF(куб!$A:$A,$G364,куб!H:H),SUMIF(куб!$A:$A,$G364,куб!H:H)))))))</f>
        <v>0</v>
      </c>
      <c r="I364" s="27">
        <f>IF($G364&lt;&gt;0,SUMIF(куб!$G:$G,$G364,куб!I:I),IF($E364&lt;&gt;0,SUMIF(куб!$E:$E,$E364,куб!I:I),IF($D364&lt;&gt;0,SUMIF(куб!$D:$D,$D364,куб!I:I),IF($C364&lt;&gt;0,SUMIF(куб!$C:$C,$C364,куб!I:I),IF($B364&lt;&gt;0,SUMIF(куб!$B:$B,$B364,куб!I:I),IF($G364&lt;&gt;0,SUMIF(куб!$A:$A,$G364,куб!I:I),SUMIF(куб!$A:$A,$G364,куб!I:I)))))))</f>
        <v>0</v>
      </c>
      <c r="J364" s="19" t="str">
        <f t="shared" si="129"/>
        <v>-</v>
      </c>
      <c r="K364" s="8"/>
      <c r="L364" s="17">
        <f t="shared" si="130"/>
        <v>0</v>
      </c>
      <c r="M364" s="17">
        <f t="shared" si="131"/>
        <v>0</v>
      </c>
      <c r="N364" s="12">
        <f t="shared" si="132"/>
        <v>0</v>
      </c>
      <c r="O364" s="5"/>
      <c r="P364" s="27" t="b">
        <f>IF($G364&lt;&gt;0,SUMIF(куб!$G:$G,$G364,куб!J:J),IF($E364&lt;&gt;0,SUMIF(куб!$E:$E,$E364,куб!J:J),IF($D364&lt;&gt;0,SUMIF(куб!$D:$D,$D364,куб!J:J),IF($C364&lt;&gt;0,SUMIF(куб!$C:$C,$C364,куб!J:J),IF($B364&lt;&gt;0,SUMIF(куб!$B:$B,$B364,куб!J:J))))))</f>
        <v>0</v>
      </c>
      <c r="Q364" s="27" t="b">
        <f>IF($G364&lt;&gt;0,SUMIF(куб!$G:$G,$G364,куб!K:K),IF($E364&lt;&gt;0,SUMIF(куб!$E:$E,$E364,куб!K:K),IF($D364&lt;&gt;0,SUMIF(куб!$D:$D,$D364,куб!K:K),IF($C364&lt;&gt;0,SUMIF(куб!$C:$C,$C364,куб!K:K),IF($B364&lt;&gt;0,SUMIF(куб!$B:$B,$B364,куб!K:K))))))</f>
        <v>0</v>
      </c>
      <c r="R364" s="13" t="str">
        <f t="shared" si="133"/>
        <v>-</v>
      </c>
      <c r="S364" s="5"/>
      <c r="T364" s="27" t="b">
        <f>IF($G364&lt;&gt;0,SUMIF(куб!$G:$G,$G364,куб!L:L),IF($E364&lt;&gt;0,SUMIF(куб!$E:$E,$E364,куб!L:L),IF($D364&lt;&gt;0,SUMIF(куб!$D:$D,$D364,куб!L:L),IF($C364&lt;&gt;0,SUMIF(куб!$C:$C,$C364,куб!L:L),IF($B364&lt;&gt;0,SUMIF(куб!$B:$B,$B364,куб!L:L))))))</f>
        <v>0</v>
      </c>
      <c r="U364" s="27" t="b">
        <f>IF($G364&lt;&gt;0,SUMIF(куб!$G:$G,$G364,куб!M:M),IF($E364&lt;&gt;0,SUMIF(куб!$E:$E,$E364,куб!M:M),IF($D364&lt;&gt;0,SUMIF(куб!$D:$D,$D364,куб!M:M),IF($C364&lt;&gt;0,SUMIF(куб!$C:$C,$C364,куб!M:M),IF($B364&lt;&gt;0,SUMIF(куб!$B:$B,$B364,куб!M:M))))))</f>
        <v>0</v>
      </c>
      <c r="V364" s="13" t="str">
        <f t="shared" si="134"/>
        <v>-</v>
      </c>
      <c r="W364" s="5"/>
      <c r="X364" s="27" t="b">
        <f>IF($G364&lt;&gt;0,SUMIF(куб!$G:$G,$G364,куб!N:N),IF($E364&lt;&gt;0,SUMIF(куб!$E:$E,$E364,куб!N:N),IF($D364&lt;&gt;0,SUMIF(куб!$D:$D,$D364,куб!N:N),IF($C364&lt;&gt;0,SUMIF(куб!$C:$C,$C364,куб!N:N),IF($B364&lt;&gt;0,SUMIF(куб!$B:$B,$B364,куб!N:N))))))</f>
        <v>0</v>
      </c>
      <c r="Y364" s="27" t="b">
        <f>IF($G364&lt;&gt;0,SUMIF(куб!$G:$G,$G364,куб!O:O),IF($E364&lt;&gt;0,SUMIF(куб!$E:$E,$E364,куб!O:O),IF($D364&lt;&gt;0,SUMIF(куб!$D:$D,$D364,куб!O:O),IF($C364&lt;&gt;0,SUMIF(куб!$C:$C,$C364,куб!O:O),IF($B364&lt;&gt;0,SUMIF(куб!$B:$B,$B364,куб!O:O))))))</f>
        <v>0</v>
      </c>
      <c r="Z364" s="13" t="str">
        <f t="shared" si="135"/>
        <v>-</v>
      </c>
      <c r="AA364" s="5"/>
      <c r="AB364" s="33" t="str">
        <f t="shared" si="136"/>
        <v/>
      </c>
      <c r="AC364" s="33" t="str">
        <f t="shared" si="137"/>
        <v/>
      </c>
      <c r="AD364" s="15" t="str">
        <f t="shared" si="138"/>
        <v xml:space="preserve"> </v>
      </c>
      <c r="AE364" s="5"/>
      <c r="AF364" s="27" t="b">
        <f>IF($G364&lt;&gt;0,SUMIF(куб!$G:$G,$G364,куб!R:R),IF($E364&lt;&gt;0,SUMIF(куб!$E:$E,$E364,куб!R:R),IF($D364&lt;&gt;0,SUMIF(куб!$D:$D,$D364,куб!R:R),IF($C364&lt;&gt;0,SUMIF(куб!$C:$C,$C364,куб!R:R),IF($B364&lt;&gt;0,SUMIF(куб!$B:$B,$B364,куб!R:R))))))</f>
        <v>0</v>
      </c>
      <c r="AG364" s="27" t="b">
        <f>IF($G364&lt;&gt;0,SUMIF(куб!$G:$G,$G364,куб!S:S),IF($E364&lt;&gt;0,SUMIF(куб!$E:$E,$E364,куб!S:S),IF($D364&lt;&gt;0,SUMIF(куб!$D:$D,$D364,куб!S:S),IF($C364&lt;&gt;0,SUMIF(куб!$C:$C,$C364,куб!S:S),IF($B364&lt;&gt;0,SUMIF(куб!$B:$B,$B364,куб!S:S))))))</f>
        <v>0</v>
      </c>
      <c r="AH364" s="16" t="str">
        <f t="shared" si="139"/>
        <v>-</v>
      </c>
      <c r="AI364" s="8"/>
      <c r="AJ364" s="27" t="b">
        <f>IF($G364&lt;&gt;0,SUMIF(куб!$G:$G,$G364,куб!T:T),IF($E364&lt;&gt;0,SUMIF(куб!$E:$E,$E364,куб!T:T),IF($D364&lt;&gt;0,SUMIF(куб!$D:$D,$D364,куб!T:T),IF($C364&lt;&gt;0,SUMIF(куб!$C:$C,$C364,куб!T:T),IF($B364&lt;&gt;0,SUMIF(куб!$B:$B,$B364,куб!T:T))))))</f>
        <v>0</v>
      </c>
      <c r="AK364" s="27" t="b">
        <f>IF($G364&lt;&gt;0,SUMIF(куб!$G:$G,$G364,куб!U:U),IF($E364&lt;&gt;0,SUMIF(куб!$E:$E,$E364,куб!U:U),IF($D364&lt;&gt;0,SUMIF(куб!$D:$D,$D364,куб!U:U),IF($C364&lt;&gt;0,SUMIF(куб!$C:$C,$C364,куб!U:U),IF($B364&lt;&gt;0,SUMIF(куб!$B:$B,$B364,куб!U:U))))))</f>
        <v>0</v>
      </c>
      <c r="AL364" s="16" t="str">
        <f t="shared" si="140"/>
        <v>-</v>
      </c>
      <c r="AM364" s="8"/>
      <c r="AN364" s="17" t="str">
        <f t="shared" si="141"/>
        <v xml:space="preserve"> </v>
      </c>
      <c r="AO364" s="17" t="str">
        <f t="shared" si="142"/>
        <v xml:space="preserve"> </v>
      </c>
      <c r="AP364" s="16" t="str">
        <f t="shared" si="143"/>
        <v>-</v>
      </c>
      <c r="AQ364" s="8"/>
      <c r="AR364" s="17" t="str">
        <f t="shared" si="144"/>
        <v>-</v>
      </c>
      <c r="AS364" s="17" t="str">
        <f t="shared" si="145"/>
        <v>-</v>
      </c>
      <c r="AT364" s="13" t="str">
        <f t="shared" si="146"/>
        <v>-</v>
      </c>
      <c r="AU364" s="8"/>
    </row>
    <row r="365" spans="1:47" x14ac:dyDescent="0.25">
      <c r="A365" s="31"/>
      <c r="B365" s="31"/>
      <c r="C365"/>
      <c r="D365" s="31"/>
      <c r="E365"/>
      <c r="F365" s="31"/>
      <c r="G365"/>
      <c r="H365" s="27">
        <f>IF($G365&lt;&gt;0,SUMIF(куб!$G:$G,$G365,куб!H:H),IF($E365&lt;&gt;0,SUMIF(куб!$E:$E,$E365,куб!H:H),IF($D365&lt;&gt;0,SUMIF(куб!$D:$D,$D365,куб!H:H),IF($C365&lt;&gt;0,SUMIF(куб!$C:$C,$C365,куб!H:H),IF($B365&lt;&gt;0,SUMIF(куб!$B:$B,$B365,куб!H:H),IF($G365&lt;&gt;0,SUMIF(куб!$A:$A,$G365,куб!H:H),SUMIF(куб!$A:$A,$G365,куб!H:H)))))))</f>
        <v>0</v>
      </c>
      <c r="I365" s="27">
        <f>IF($G365&lt;&gt;0,SUMIF(куб!$G:$G,$G365,куб!I:I),IF($E365&lt;&gt;0,SUMIF(куб!$E:$E,$E365,куб!I:I),IF($D365&lt;&gt;0,SUMIF(куб!$D:$D,$D365,куб!I:I),IF($C365&lt;&gt;0,SUMIF(куб!$C:$C,$C365,куб!I:I),IF($B365&lt;&gt;0,SUMIF(куб!$B:$B,$B365,куб!I:I),IF($G365&lt;&gt;0,SUMIF(куб!$A:$A,$G365,куб!I:I),SUMIF(куб!$A:$A,$G365,куб!I:I)))))))</f>
        <v>0</v>
      </c>
      <c r="J365" s="19" t="str">
        <f t="shared" si="129"/>
        <v>-</v>
      </c>
      <c r="K365" s="8"/>
      <c r="L365" s="17">
        <f t="shared" si="130"/>
        <v>0</v>
      </c>
      <c r="M365" s="17">
        <f t="shared" si="131"/>
        <v>0</v>
      </c>
      <c r="N365" s="12">
        <f t="shared" si="132"/>
        <v>0</v>
      </c>
      <c r="O365" s="5"/>
      <c r="P365" s="27" t="b">
        <f>IF($G365&lt;&gt;0,SUMIF(куб!$G:$G,$G365,куб!J:J),IF($E365&lt;&gt;0,SUMIF(куб!$E:$E,$E365,куб!J:J),IF($D365&lt;&gt;0,SUMIF(куб!$D:$D,$D365,куб!J:J),IF($C365&lt;&gt;0,SUMIF(куб!$C:$C,$C365,куб!J:J),IF($B365&lt;&gt;0,SUMIF(куб!$B:$B,$B365,куб!J:J))))))</f>
        <v>0</v>
      </c>
      <c r="Q365" s="27" t="b">
        <f>IF($G365&lt;&gt;0,SUMIF(куб!$G:$G,$G365,куб!K:K),IF($E365&lt;&gt;0,SUMIF(куб!$E:$E,$E365,куб!K:K),IF($D365&lt;&gt;0,SUMIF(куб!$D:$D,$D365,куб!K:K),IF($C365&lt;&gt;0,SUMIF(куб!$C:$C,$C365,куб!K:K),IF($B365&lt;&gt;0,SUMIF(куб!$B:$B,$B365,куб!K:K))))))</f>
        <v>0</v>
      </c>
      <c r="R365" s="13" t="str">
        <f t="shared" si="133"/>
        <v>-</v>
      </c>
      <c r="S365" s="5"/>
      <c r="T365" s="27" t="b">
        <f>IF($G365&lt;&gt;0,SUMIF(куб!$G:$G,$G365,куб!L:L),IF($E365&lt;&gt;0,SUMIF(куб!$E:$E,$E365,куб!L:L),IF($D365&lt;&gt;0,SUMIF(куб!$D:$D,$D365,куб!L:L),IF($C365&lt;&gt;0,SUMIF(куб!$C:$C,$C365,куб!L:L),IF($B365&lt;&gt;0,SUMIF(куб!$B:$B,$B365,куб!L:L))))))</f>
        <v>0</v>
      </c>
      <c r="U365" s="27" t="b">
        <f>IF($G365&lt;&gt;0,SUMIF(куб!$G:$G,$G365,куб!M:M),IF($E365&lt;&gt;0,SUMIF(куб!$E:$E,$E365,куб!M:M),IF($D365&lt;&gt;0,SUMIF(куб!$D:$D,$D365,куб!M:M),IF($C365&lt;&gt;0,SUMIF(куб!$C:$C,$C365,куб!M:M),IF($B365&lt;&gt;0,SUMIF(куб!$B:$B,$B365,куб!M:M))))))</f>
        <v>0</v>
      </c>
      <c r="V365" s="13" t="str">
        <f t="shared" si="134"/>
        <v>-</v>
      </c>
      <c r="W365" s="5"/>
      <c r="X365" s="27" t="b">
        <f>IF($G365&lt;&gt;0,SUMIF(куб!$G:$G,$G365,куб!N:N),IF($E365&lt;&gt;0,SUMIF(куб!$E:$E,$E365,куб!N:N),IF($D365&lt;&gt;0,SUMIF(куб!$D:$D,$D365,куб!N:N),IF($C365&lt;&gt;0,SUMIF(куб!$C:$C,$C365,куб!N:N),IF($B365&lt;&gt;0,SUMIF(куб!$B:$B,$B365,куб!N:N))))))</f>
        <v>0</v>
      </c>
      <c r="Y365" s="27" t="b">
        <f>IF($G365&lt;&gt;0,SUMIF(куб!$G:$G,$G365,куб!O:O),IF($E365&lt;&gt;0,SUMIF(куб!$E:$E,$E365,куб!O:O),IF($D365&lt;&gt;0,SUMIF(куб!$D:$D,$D365,куб!O:O),IF($C365&lt;&gt;0,SUMIF(куб!$C:$C,$C365,куб!O:O),IF($B365&lt;&gt;0,SUMIF(куб!$B:$B,$B365,куб!O:O))))))</f>
        <v>0</v>
      </c>
      <c r="Z365" s="13" t="str">
        <f t="shared" si="135"/>
        <v>-</v>
      </c>
      <c r="AA365" s="5"/>
      <c r="AB365" s="33" t="str">
        <f t="shared" si="136"/>
        <v/>
      </c>
      <c r="AC365" s="33" t="str">
        <f t="shared" si="137"/>
        <v/>
      </c>
      <c r="AD365" s="15" t="str">
        <f t="shared" si="138"/>
        <v xml:space="preserve"> </v>
      </c>
      <c r="AE365" s="5"/>
      <c r="AF365" s="27" t="b">
        <f>IF($G365&lt;&gt;0,SUMIF(куб!$G:$G,$G365,куб!R:R),IF($E365&lt;&gt;0,SUMIF(куб!$E:$E,$E365,куб!R:R),IF($D365&lt;&gt;0,SUMIF(куб!$D:$D,$D365,куб!R:R),IF($C365&lt;&gt;0,SUMIF(куб!$C:$C,$C365,куб!R:R),IF($B365&lt;&gt;0,SUMIF(куб!$B:$B,$B365,куб!R:R))))))</f>
        <v>0</v>
      </c>
      <c r="AG365" s="27" t="b">
        <f>IF($G365&lt;&gt;0,SUMIF(куб!$G:$G,$G365,куб!S:S),IF($E365&lt;&gt;0,SUMIF(куб!$E:$E,$E365,куб!S:S),IF($D365&lt;&gt;0,SUMIF(куб!$D:$D,$D365,куб!S:S),IF($C365&lt;&gt;0,SUMIF(куб!$C:$C,$C365,куб!S:S),IF($B365&lt;&gt;0,SUMIF(куб!$B:$B,$B365,куб!S:S))))))</f>
        <v>0</v>
      </c>
      <c r="AH365" s="16" t="str">
        <f t="shared" si="139"/>
        <v>-</v>
      </c>
      <c r="AI365" s="8"/>
      <c r="AJ365" s="27" t="b">
        <f>IF($G365&lt;&gt;0,SUMIF(куб!$G:$G,$G365,куб!T:T),IF($E365&lt;&gt;0,SUMIF(куб!$E:$E,$E365,куб!T:T),IF($D365&lt;&gt;0,SUMIF(куб!$D:$D,$D365,куб!T:T),IF($C365&lt;&gt;0,SUMIF(куб!$C:$C,$C365,куб!T:T),IF($B365&lt;&gt;0,SUMIF(куб!$B:$B,$B365,куб!T:T))))))</f>
        <v>0</v>
      </c>
      <c r="AK365" s="27" t="b">
        <f>IF($G365&lt;&gt;0,SUMIF(куб!$G:$G,$G365,куб!U:U),IF($E365&lt;&gt;0,SUMIF(куб!$E:$E,$E365,куб!U:U),IF($D365&lt;&gt;0,SUMIF(куб!$D:$D,$D365,куб!U:U),IF($C365&lt;&gt;0,SUMIF(куб!$C:$C,$C365,куб!U:U),IF($B365&lt;&gt;0,SUMIF(куб!$B:$B,$B365,куб!U:U))))))</f>
        <v>0</v>
      </c>
      <c r="AL365" s="16" t="str">
        <f t="shared" si="140"/>
        <v>-</v>
      </c>
      <c r="AM365" s="8"/>
      <c r="AN365" s="17" t="str">
        <f t="shared" si="141"/>
        <v xml:space="preserve"> </v>
      </c>
      <c r="AO365" s="17" t="str">
        <f t="shared" si="142"/>
        <v xml:space="preserve"> </v>
      </c>
      <c r="AP365" s="16" t="str">
        <f t="shared" si="143"/>
        <v>-</v>
      </c>
      <c r="AQ365" s="8"/>
      <c r="AR365" s="17" t="str">
        <f t="shared" si="144"/>
        <v>-</v>
      </c>
      <c r="AS365" s="17" t="str">
        <f t="shared" si="145"/>
        <v>-</v>
      </c>
      <c r="AT365" s="13" t="str">
        <f t="shared" si="146"/>
        <v>-</v>
      </c>
      <c r="AU365" s="8"/>
    </row>
    <row r="366" spans="1:47" x14ac:dyDescent="0.25">
      <c r="A366" s="31"/>
      <c r="B366" s="31"/>
      <c r="C366"/>
      <c r="D366" s="31"/>
      <c r="E366"/>
      <c r="F366" s="31"/>
      <c r="G366"/>
      <c r="H366" s="27">
        <f>IF($G366&lt;&gt;0,SUMIF(куб!$G:$G,$G366,куб!H:H),IF($E366&lt;&gt;0,SUMIF(куб!$E:$E,$E366,куб!H:H),IF($D366&lt;&gt;0,SUMIF(куб!$D:$D,$D366,куб!H:H),IF($C366&lt;&gt;0,SUMIF(куб!$C:$C,$C366,куб!H:H),IF($B366&lt;&gt;0,SUMIF(куб!$B:$B,$B366,куб!H:H),IF($G366&lt;&gt;0,SUMIF(куб!$A:$A,$G366,куб!H:H),SUMIF(куб!$A:$A,$G366,куб!H:H)))))))</f>
        <v>0</v>
      </c>
      <c r="I366" s="27">
        <f>IF($G366&lt;&gt;0,SUMIF(куб!$G:$G,$G366,куб!I:I),IF($E366&lt;&gt;0,SUMIF(куб!$E:$E,$E366,куб!I:I),IF($D366&lt;&gt;0,SUMIF(куб!$D:$D,$D366,куб!I:I),IF($C366&lt;&gt;0,SUMIF(куб!$C:$C,$C366,куб!I:I),IF($B366&lt;&gt;0,SUMIF(куб!$B:$B,$B366,куб!I:I),IF($G366&lt;&gt;0,SUMIF(куб!$A:$A,$G366,куб!I:I),SUMIF(куб!$A:$A,$G366,куб!I:I)))))))</f>
        <v>0</v>
      </c>
      <c r="J366" s="19" t="str">
        <f t="shared" si="129"/>
        <v>-</v>
      </c>
      <c r="K366" s="8"/>
      <c r="L366" s="17">
        <f t="shared" si="130"/>
        <v>0</v>
      </c>
      <c r="M366" s="17">
        <f t="shared" si="131"/>
        <v>0</v>
      </c>
      <c r="N366" s="12">
        <f t="shared" si="132"/>
        <v>0</v>
      </c>
      <c r="O366" s="5"/>
      <c r="P366" s="27" t="b">
        <f>IF($G366&lt;&gt;0,SUMIF(куб!$G:$G,$G366,куб!J:J),IF($E366&lt;&gt;0,SUMIF(куб!$E:$E,$E366,куб!J:J),IF($D366&lt;&gt;0,SUMIF(куб!$D:$D,$D366,куб!J:J),IF($C366&lt;&gt;0,SUMIF(куб!$C:$C,$C366,куб!J:J),IF($B366&lt;&gt;0,SUMIF(куб!$B:$B,$B366,куб!J:J))))))</f>
        <v>0</v>
      </c>
      <c r="Q366" s="27" t="b">
        <f>IF($G366&lt;&gt;0,SUMIF(куб!$G:$G,$G366,куб!K:K),IF($E366&lt;&gt;0,SUMIF(куб!$E:$E,$E366,куб!K:K),IF($D366&lt;&gt;0,SUMIF(куб!$D:$D,$D366,куб!K:K),IF($C366&lt;&gt;0,SUMIF(куб!$C:$C,$C366,куб!K:K),IF($B366&lt;&gt;0,SUMIF(куб!$B:$B,$B366,куб!K:K))))))</f>
        <v>0</v>
      </c>
      <c r="R366" s="13" t="str">
        <f t="shared" si="133"/>
        <v>-</v>
      </c>
      <c r="S366" s="5"/>
      <c r="T366" s="27" t="b">
        <f>IF($G366&lt;&gt;0,SUMIF(куб!$G:$G,$G366,куб!L:L),IF($E366&lt;&gt;0,SUMIF(куб!$E:$E,$E366,куб!L:L),IF($D366&lt;&gt;0,SUMIF(куб!$D:$D,$D366,куб!L:L),IF($C366&lt;&gt;0,SUMIF(куб!$C:$C,$C366,куб!L:L),IF($B366&lt;&gt;0,SUMIF(куб!$B:$B,$B366,куб!L:L))))))</f>
        <v>0</v>
      </c>
      <c r="U366" s="27" t="b">
        <f>IF($G366&lt;&gt;0,SUMIF(куб!$G:$G,$G366,куб!M:M),IF($E366&lt;&gt;0,SUMIF(куб!$E:$E,$E366,куб!M:M),IF($D366&lt;&gt;0,SUMIF(куб!$D:$D,$D366,куб!M:M),IF($C366&lt;&gt;0,SUMIF(куб!$C:$C,$C366,куб!M:M),IF($B366&lt;&gt;0,SUMIF(куб!$B:$B,$B366,куб!M:M))))))</f>
        <v>0</v>
      </c>
      <c r="V366" s="13" t="str">
        <f t="shared" si="134"/>
        <v>-</v>
      </c>
      <c r="W366" s="5"/>
      <c r="X366" s="27" t="b">
        <f>IF($G366&lt;&gt;0,SUMIF(куб!$G:$G,$G366,куб!N:N),IF($E366&lt;&gt;0,SUMIF(куб!$E:$E,$E366,куб!N:N),IF($D366&lt;&gt;0,SUMIF(куб!$D:$D,$D366,куб!N:N),IF($C366&lt;&gt;0,SUMIF(куб!$C:$C,$C366,куб!N:N),IF($B366&lt;&gt;0,SUMIF(куб!$B:$B,$B366,куб!N:N))))))</f>
        <v>0</v>
      </c>
      <c r="Y366" s="27" t="b">
        <f>IF($G366&lt;&gt;0,SUMIF(куб!$G:$G,$G366,куб!O:O),IF($E366&lt;&gt;0,SUMIF(куб!$E:$E,$E366,куб!O:O),IF($D366&lt;&gt;0,SUMIF(куб!$D:$D,$D366,куб!O:O),IF($C366&lt;&gt;0,SUMIF(куб!$C:$C,$C366,куб!O:O),IF($B366&lt;&gt;0,SUMIF(куб!$B:$B,$B366,куб!O:O))))))</f>
        <v>0</v>
      </c>
      <c r="Z366" s="13" t="str">
        <f t="shared" si="135"/>
        <v>-</v>
      </c>
      <c r="AA366" s="5"/>
      <c r="AB366" s="33" t="str">
        <f t="shared" si="136"/>
        <v/>
      </c>
      <c r="AC366" s="33" t="str">
        <f t="shared" si="137"/>
        <v/>
      </c>
      <c r="AD366" s="15" t="str">
        <f t="shared" si="138"/>
        <v xml:space="preserve"> </v>
      </c>
      <c r="AE366" s="5"/>
      <c r="AF366" s="27" t="b">
        <f>IF($G366&lt;&gt;0,SUMIF(куб!$G:$G,$G366,куб!R:R),IF($E366&lt;&gt;0,SUMIF(куб!$E:$E,$E366,куб!R:R),IF($D366&lt;&gt;0,SUMIF(куб!$D:$D,$D366,куб!R:R),IF($C366&lt;&gt;0,SUMIF(куб!$C:$C,$C366,куб!R:R),IF($B366&lt;&gt;0,SUMIF(куб!$B:$B,$B366,куб!R:R))))))</f>
        <v>0</v>
      </c>
      <c r="AG366" s="27" t="b">
        <f>IF($G366&lt;&gt;0,SUMIF(куб!$G:$G,$G366,куб!S:S),IF($E366&lt;&gt;0,SUMIF(куб!$E:$E,$E366,куб!S:S),IF($D366&lt;&gt;0,SUMIF(куб!$D:$D,$D366,куб!S:S),IF($C366&lt;&gt;0,SUMIF(куб!$C:$C,$C366,куб!S:S),IF($B366&lt;&gt;0,SUMIF(куб!$B:$B,$B366,куб!S:S))))))</f>
        <v>0</v>
      </c>
      <c r="AH366" s="16" t="str">
        <f t="shared" si="139"/>
        <v>-</v>
      </c>
      <c r="AI366" s="8"/>
      <c r="AJ366" s="27" t="b">
        <f>IF($G366&lt;&gt;0,SUMIF(куб!$G:$G,$G366,куб!T:T),IF($E366&lt;&gt;0,SUMIF(куб!$E:$E,$E366,куб!T:T),IF($D366&lt;&gt;0,SUMIF(куб!$D:$D,$D366,куб!T:T),IF($C366&lt;&gt;0,SUMIF(куб!$C:$C,$C366,куб!T:T),IF($B366&lt;&gt;0,SUMIF(куб!$B:$B,$B366,куб!T:T))))))</f>
        <v>0</v>
      </c>
      <c r="AK366" s="27" t="b">
        <f>IF($G366&lt;&gt;0,SUMIF(куб!$G:$G,$G366,куб!U:U),IF($E366&lt;&gt;0,SUMIF(куб!$E:$E,$E366,куб!U:U),IF($D366&lt;&gt;0,SUMIF(куб!$D:$D,$D366,куб!U:U),IF($C366&lt;&gt;0,SUMIF(куб!$C:$C,$C366,куб!U:U),IF($B366&lt;&gt;0,SUMIF(куб!$B:$B,$B366,куб!U:U))))))</f>
        <v>0</v>
      </c>
      <c r="AL366" s="16" t="str">
        <f t="shared" si="140"/>
        <v>-</v>
      </c>
      <c r="AM366" s="8"/>
      <c r="AN366" s="17" t="str">
        <f t="shared" si="141"/>
        <v xml:space="preserve"> </v>
      </c>
      <c r="AO366" s="17" t="str">
        <f t="shared" si="142"/>
        <v xml:space="preserve"> </v>
      </c>
      <c r="AP366" s="16" t="str">
        <f t="shared" si="143"/>
        <v>-</v>
      </c>
      <c r="AQ366" s="8"/>
      <c r="AR366" s="17" t="str">
        <f t="shared" si="144"/>
        <v>-</v>
      </c>
      <c r="AS366" s="17" t="str">
        <f t="shared" si="145"/>
        <v>-</v>
      </c>
      <c r="AT366" s="13" t="str">
        <f t="shared" si="146"/>
        <v>-</v>
      </c>
      <c r="AU366" s="8"/>
    </row>
    <row r="367" spans="1:47" x14ac:dyDescent="0.25">
      <c r="A367" s="31"/>
      <c r="B367" s="31"/>
      <c r="C367"/>
      <c r="D367" s="31"/>
      <c r="E367"/>
      <c r="F367" s="31"/>
      <c r="G367"/>
      <c r="H367" s="27">
        <f>IF($G367&lt;&gt;0,SUMIF(куб!$G:$G,$G367,куб!H:H),IF($E367&lt;&gt;0,SUMIF(куб!$E:$E,$E367,куб!H:H),IF($D367&lt;&gt;0,SUMIF(куб!$D:$D,$D367,куб!H:H),IF($C367&lt;&gt;0,SUMIF(куб!$C:$C,$C367,куб!H:H),IF($B367&lt;&gt;0,SUMIF(куб!$B:$B,$B367,куб!H:H),IF($G367&lt;&gt;0,SUMIF(куб!$A:$A,$G367,куб!H:H),SUMIF(куб!$A:$A,$G367,куб!H:H)))))))</f>
        <v>0</v>
      </c>
      <c r="I367" s="27">
        <f>IF($G367&lt;&gt;0,SUMIF(куб!$G:$G,$G367,куб!I:I),IF($E367&lt;&gt;0,SUMIF(куб!$E:$E,$E367,куб!I:I),IF($D367&lt;&gt;0,SUMIF(куб!$D:$D,$D367,куб!I:I),IF($C367&lt;&gt;0,SUMIF(куб!$C:$C,$C367,куб!I:I),IF($B367&lt;&gt;0,SUMIF(куб!$B:$B,$B367,куб!I:I),IF($G367&lt;&gt;0,SUMIF(куб!$A:$A,$G367,куб!I:I),SUMIF(куб!$A:$A,$G367,куб!I:I)))))))</f>
        <v>0</v>
      </c>
      <c r="J367" s="19" t="str">
        <f t="shared" si="129"/>
        <v>-</v>
      </c>
      <c r="K367" s="8"/>
      <c r="L367" s="17">
        <f t="shared" si="130"/>
        <v>0</v>
      </c>
      <c r="M367" s="17">
        <f t="shared" si="131"/>
        <v>0</v>
      </c>
      <c r="N367" s="12">
        <f t="shared" si="132"/>
        <v>0</v>
      </c>
      <c r="O367" s="5"/>
      <c r="P367" s="27" t="b">
        <f>IF($G367&lt;&gt;0,SUMIF(куб!$G:$G,$G367,куб!J:J),IF($E367&lt;&gt;0,SUMIF(куб!$E:$E,$E367,куб!J:J),IF($D367&lt;&gt;0,SUMIF(куб!$D:$D,$D367,куб!J:J),IF($C367&lt;&gt;0,SUMIF(куб!$C:$C,$C367,куб!J:J),IF($B367&lt;&gt;0,SUMIF(куб!$B:$B,$B367,куб!J:J))))))</f>
        <v>0</v>
      </c>
      <c r="Q367" s="27" t="b">
        <f>IF($G367&lt;&gt;0,SUMIF(куб!$G:$G,$G367,куб!K:K),IF($E367&lt;&gt;0,SUMIF(куб!$E:$E,$E367,куб!K:K),IF($D367&lt;&gt;0,SUMIF(куб!$D:$D,$D367,куб!K:K),IF($C367&lt;&gt;0,SUMIF(куб!$C:$C,$C367,куб!K:K),IF($B367&lt;&gt;0,SUMIF(куб!$B:$B,$B367,куб!K:K))))))</f>
        <v>0</v>
      </c>
      <c r="R367" s="13" t="str">
        <f t="shared" si="133"/>
        <v>-</v>
      </c>
      <c r="S367" s="5"/>
      <c r="T367" s="27" t="b">
        <f>IF($G367&lt;&gt;0,SUMIF(куб!$G:$G,$G367,куб!L:L),IF($E367&lt;&gt;0,SUMIF(куб!$E:$E,$E367,куб!L:L),IF($D367&lt;&gt;0,SUMIF(куб!$D:$D,$D367,куб!L:L),IF($C367&lt;&gt;0,SUMIF(куб!$C:$C,$C367,куб!L:L),IF($B367&lt;&gt;0,SUMIF(куб!$B:$B,$B367,куб!L:L))))))</f>
        <v>0</v>
      </c>
      <c r="U367" s="27" t="b">
        <f>IF($G367&lt;&gt;0,SUMIF(куб!$G:$G,$G367,куб!M:M),IF($E367&lt;&gt;0,SUMIF(куб!$E:$E,$E367,куб!M:M),IF($D367&lt;&gt;0,SUMIF(куб!$D:$D,$D367,куб!M:M),IF($C367&lt;&gt;0,SUMIF(куб!$C:$C,$C367,куб!M:M),IF($B367&lt;&gt;0,SUMIF(куб!$B:$B,$B367,куб!M:M))))))</f>
        <v>0</v>
      </c>
      <c r="V367" s="13" t="str">
        <f t="shared" si="134"/>
        <v>-</v>
      </c>
      <c r="W367" s="5"/>
      <c r="X367" s="27" t="b">
        <f>IF($G367&lt;&gt;0,SUMIF(куб!$G:$G,$G367,куб!N:N),IF($E367&lt;&gt;0,SUMIF(куб!$E:$E,$E367,куб!N:N),IF($D367&lt;&gt;0,SUMIF(куб!$D:$D,$D367,куб!N:N),IF($C367&lt;&gt;0,SUMIF(куб!$C:$C,$C367,куб!N:N),IF($B367&lt;&gt;0,SUMIF(куб!$B:$B,$B367,куб!N:N))))))</f>
        <v>0</v>
      </c>
      <c r="Y367" s="27" t="b">
        <f>IF($G367&lt;&gt;0,SUMIF(куб!$G:$G,$G367,куб!O:O),IF($E367&lt;&gt;0,SUMIF(куб!$E:$E,$E367,куб!O:O),IF($D367&lt;&gt;0,SUMIF(куб!$D:$D,$D367,куб!O:O),IF($C367&lt;&gt;0,SUMIF(куб!$C:$C,$C367,куб!O:O),IF($B367&lt;&gt;0,SUMIF(куб!$B:$B,$B367,куб!O:O))))))</f>
        <v>0</v>
      </c>
      <c r="Z367" s="13" t="str">
        <f t="shared" si="135"/>
        <v>-</v>
      </c>
      <c r="AA367" s="5"/>
      <c r="AB367" s="33" t="str">
        <f t="shared" si="136"/>
        <v/>
      </c>
      <c r="AC367" s="33" t="str">
        <f t="shared" si="137"/>
        <v/>
      </c>
      <c r="AD367" s="15" t="str">
        <f t="shared" si="138"/>
        <v xml:space="preserve"> </v>
      </c>
      <c r="AE367" s="5"/>
      <c r="AF367" s="27" t="b">
        <f>IF($G367&lt;&gt;0,SUMIF(куб!$G:$G,$G367,куб!R:R),IF($E367&lt;&gt;0,SUMIF(куб!$E:$E,$E367,куб!R:R),IF($D367&lt;&gt;0,SUMIF(куб!$D:$D,$D367,куб!R:R),IF($C367&lt;&gt;0,SUMIF(куб!$C:$C,$C367,куб!R:R),IF($B367&lt;&gt;0,SUMIF(куб!$B:$B,$B367,куб!R:R))))))</f>
        <v>0</v>
      </c>
      <c r="AG367" s="27" t="b">
        <f>IF($G367&lt;&gt;0,SUMIF(куб!$G:$G,$G367,куб!S:S),IF($E367&lt;&gt;0,SUMIF(куб!$E:$E,$E367,куб!S:S),IF($D367&lt;&gt;0,SUMIF(куб!$D:$D,$D367,куб!S:S),IF($C367&lt;&gt;0,SUMIF(куб!$C:$C,$C367,куб!S:S),IF($B367&lt;&gt;0,SUMIF(куб!$B:$B,$B367,куб!S:S))))))</f>
        <v>0</v>
      </c>
      <c r="AH367" s="16" t="str">
        <f t="shared" si="139"/>
        <v>-</v>
      </c>
      <c r="AI367" s="8"/>
      <c r="AJ367" s="27" t="b">
        <f>IF($G367&lt;&gt;0,SUMIF(куб!$G:$G,$G367,куб!T:T),IF($E367&lt;&gt;0,SUMIF(куб!$E:$E,$E367,куб!T:T),IF($D367&lt;&gt;0,SUMIF(куб!$D:$D,$D367,куб!T:T),IF($C367&lt;&gt;0,SUMIF(куб!$C:$C,$C367,куб!T:T),IF($B367&lt;&gt;0,SUMIF(куб!$B:$B,$B367,куб!T:T))))))</f>
        <v>0</v>
      </c>
      <c r="AK367" s="27" t="b">
        <f>IF($G367&lt;&gt;0,SUMIF(куб!$G:$G,$G367,куб!U:U),IF($E367&lt;&gt;0,SUMIF(куб!$E:$E,$E367,куб!U:U),IF($D367&lt;&gt;0,SUMIF(куб!$D:$D,$D367,куб!U:U),IF($C367&lt;&gt;0,SUMIF(куб!$C:$C,$C367,куб!U:U),IF($B367&lt;&gt;0,SUMIF(куб!$B:$B,$B367,куб!U:U))))))</f>
        <v>0</v>
      </c>
      <c r="AL367" s="16" t="str">
        <f t="shared" si="140"/>
        <v>-</v>
      </c>
      <c r="AM367" s="8"/>
      <c r="AN367" s="17" t="str">
        <f t="shared" si="141"/>
        <v xml:space="preserve"> </v>
      </c>
      <c r="AO367" s="17" t="str">
        <f t="shared" si="142"/>
        <v xml:space="preserve"> </v>
      </c>
      <c r="AP367" s="16" t="str">
        <f t="shared" si="143"/>
        <v>-</v>
      </c>
      <c r="AQ367" s="8"/>
      <c r="AR367" s="17" t="str">
        <f t="shared" si="144"/>
        <v>-</v>
      </c>
      <c r="AS367" s="17" t="str">
        <f t="shared" si="145"/>
        <v>-</v>
      </c>
      <c r="AT367" s="13" t="str">
        <f t="shared" si="146"/>
        <v>-</v>
      </c>
      <c r="AU367" s="8"/>
    </row>
    <row r="368" spans="1:47" x14ac:dyDescent="0.25">
      <c r="A368" s="31"/>
      <c r="B368" s="31"/>
      <c r="C368"/>
      <c r="D368" s="31"/>
      <c r="E368"/>
      <c r="F368" s="31"/>
      <c r="G368"/>
      <c r="H368" s="27">
        <f>IF($G368&lt;&gt;0,SUMIF(куб!$G:$G,$G368,куб!H:H),IF($E368&lt;&gt;0,SUMIF(куб!$E:$E,$E368,куб!H:H),IF($D368&lt;&gt;0,SUMIF(куб!$D:$D,$D368,куб!H:H),IF($C368&lt;&gt;0,SUMIF(куб!$C:$C,$C368,куб!H:H),IF($B368&lt;&gt;0,SUMIF(куб!$B:$B,$B368,куб!H:H),IF($G368&lt;&gt;0,SUMIF(куб!$A:$A,$G368,куб!H:H),SUMIF(куб!$A:$A,$G368,куб!H:H)))))))</f>
        <v>0</v>
      </c>
      <c r="I368" s="27">
        <f>IF($G368&lt;&gt;0,SUMIF(куб!$G:$G,$G368,куб!I:I),IF($E368&lt;&gt;0,SUMIF(куб!$E:$E,$E368,куб!I:I),IF($D368&lt;&gt;0,SUMIF(куб!$D:$D,$D368,куб!I:I),IF($C368&lt;&gt;0,SUMIF(куб!$C:$C,$C368,куб!I:I),IF($B368&lt;&gt;0,SUMIF(куб!$B:$B,$B368,куб!I:I),IF($G368&lt;&gt;0,SUMIF(куб!$A:$A,$G368,куб!I:I),SUMIF(куб!$A:$A,$G368,куб!I:I)))))))</f>
        <v>0</v>
      </c>
      <c r="J368" s="19" t="str">
        <f t="shared" si="129"/>
        <v>-</v>
      </c>
      <c r="K368" s="8"/>
      <c r="L368" s="17">
        <f t="shared" si="130"/>
        <v>0</v>
      </c>
      <c r="M368" s="17">
        <f t="shared" si="131"/>
        <v>0</v>
      </c>
      <c r="N368" s="12">
        <f t="shared" si="132"/>
        <v>0</v>
      </c>
      <c r="O368" s="5"/>
      <c r="P368" s="27" t="b">
        <f>IF($G368&lt;&gt;0,SUMIF(куб!$G:$G,$G368,куб!J:J),IF($E368&lt;&gt;0,SUMIF(куб!$E:$E,$E368,куб!J:J),IF($D368&lt;&gt;0,SUMIF(куб!$D:$D,$D368,куб!J:J),IF($C368&lt;&gt;0,SUMIF(куб!$C:$C,$C368,куб!J:J),IF($B368&lt;&gt;0,SUMIF(куб!$B:$B,$B368,куб!J:J))))))</f>
        <v>0</v>
      </c>
      <c r="Q368" s="27" t="b">
        <f>IF($G368&lt;&gt;0,SUMIF(куб!$G:$G,$G368,куб!K:K),IF($E368&lt;&gt;0,SUMIF(куб!$E:$E,$E368,куб!K:K),IF($D368&lt;&gt;0,SUMIF(куб!$D:$D,$D368,куб!K:K),IF($C368&lt;&gt;0,SUMIF(куб!$C:$C,$C368,куб!K:K),IF($B368&lt;&gt;0,SUMIF(куб!$B:$B,$B368,куб!K:K))))))</f>
        <v>0</v>
      </c>
      <c r="R368" s="13" t="str">
        <f t="shared" si="133"/>
        <v>-</v>
      </c>
      <c r="S368" s="5"/>
      <c r="T368" s="27" t="b">
        <f>IF($G368&lt;&gt;0,SUMIF(куб!$G:$G,$G368,куб!L:L),IF($E368&lt;&gt;0,SUMIF(куб!$E:$E,$E368,куб!L:L),IF($D368&lt;&gt;0,SUMIF(куб!$D:$D,$D368,куб!L:L),IF($C368&lt;&gt;0,SUMIF(куб!$C:$C,$C368,куб!L:L),IF($B368&lt;&gt;0,SUMIF(куб!$B:$B,$B368,куб!L:L))))))</f>
        <v>0</v>
      </c>
      <c r="U368" s="27" t="b">
        <f>IF($G368&lt;&gt;0,SUMIF(куб!$G:$G,$G368,куб!M:M),IF($E368&lt;&gt;0,SUMIF(куб!$E:$E,$E368,куб!M:M),IF($D368&lt;&gt;0,SUMIF(куб!$D:$D,$D368,куб!M:M),IF($C368&lt;&gt;0,SUMIF(куб!$C:$C,$C368,куб!M:M),IF($B368&lt;&gt;0,SUMIF(куб!$B:$B,$B368,куб!M:M))))))</f>
        <v>0</v>
      </c>
      <c r="V368" s="13" t="str">
        <f t="shared" si="134"/>
        <v>-</v>
      </c>
      <c r="W368" s="5"/>
      <c r="X368" s="27" t="b">
        <f>IF($G368&lt;&gt;0,SUMIF(куб!$G:$G,$G368,куб!N:N),IF($E368&lt;&gt;0,SUMIF(куб!$E:$E,$E368,куб!N:N),IF($D368&lt;&gt;0,SUMIF(куб!$D:$D,$D368,куб!N:N),IF($C368&lt;&gt;0,SUMIF(куб!$C:$C,$C368,куб!N:N),IF($B368&lt;&gt;0,SUMIF(куб!$B:$B,$B368,куб!N:N))))))</f>
        <v>0</v>
      </c>
      <c r="Y368" s="27" t="b">
        <f>IF($G368&lt;&gt;0,SUMIF(куб!$G:$G,$G368,куб!O:O),IF($E368&lt;&gt;0,SUMIF(куб!$E:$E,$E368,куб!O:O),IF($D368&lt;&gt;0,SUMIF(куб!$D:$D,$D368,куб!O:O),IF($C368&lt;&gt;0,SUMIF(куб!$C:$C,$C368,куб!O:O),IF($B368&lt;&gt;0,SUMIF(куб!$B:$B,$B368,куб!O:O))))))</f>
        <v>0</v>
      </c>
      <c r="Z368" s="13" t="str">
        <f t="shared" si="135"/>
        <v>-</v>
      </c>
      <c r="AA368" s="5"/>
      <c r="AB368" s="33" t="str">
        <f t="shared" si="136"/>
        <v/>
      </c>
      <c r="AC368" s="33" t="str">
        <f t="shared" si="137"/>
        <v/>
      </c>
      <c r="AD368" s="15" t="str">
        <f t="shared" si="138"/>
        <v xml:space="preserve"> </v>
      </c>
      <c r="AE368" s="5"/>
      <c r="AF368" s="27" t="b">
        <f>IF($G368&lt;&gt;0,SUMIF(куб!$G:$G,$G368,куб!R:R),IF($E368&lt;&gt;0,SUMIF(куб!$E:$E,$E368,куб!R:R),IF($D368&lt;&gt;0,SUMIF(куб!$D:$D,$D368,куб!R:R),IF($C368&lt;&gt;0,SUMIF(куб!$C:$C,$C368,куб!R:R),IF($B368&lt;&gt;0,SUMIF(куб!$B:$B,$B368,куб!R:R))))))</f>
        <v>0</v>
      </c>
      <c r="AG368" s="27" t="b">
        <f>IF($G368&lt;&gt;0,SUMIF(куб!$G:$G,$G368,куб!S:S),IF($E368&lt;&gt;0,SUMIF(куб!$E:$E,$E368,куб!S:S),IF($D368&lt;&gt;0,SUMIF(куб!$D:$D,$D368,куб!S:S),IF($C368&lt;&gt;0,SUMIF(куб!$C:$C,$C368,куб!S:S),IF($B368&lt;&gt;0,SUMIF(куб!$B:$B,$B368,куб!S:S))))))</f>
        <v>0</v>
      </c>
      <c r="AH368" s="16" t="str">
        <f t="shared" si="139"/>
        <v>-</v>
      </c>
      <c r="AI368" s="8"/>
      <c r="AJ368" s="27" t="b">
        <f>IF($G368&lt;&gt;0,SUMIF(куб!$G:$G,$G368,куб!T:T),IF($E368&lt;&gt;0,SUMIF(куб!$E:$E,$E368,куб!T:T),IF($D368&lt;&gt;0,SUMIF(куб!$D:$D,$D368,куб!T:T),IF($C368&lt;&gt;0,SUMIF(куб!$C:$C,$C368,куб!T:T),IF($B368&lt;&gt;0,SUMIF(куб!$B:$B,$B368,куб!T:T))))))</f>
        <v>0</v>
      </c>
      <c r="AK368" s="27" t="b">
        <f>IF($G368&lt;&gt;0,SUMIF(куб!$G:$G,$G368,куб!U:U),IF($E368&lt;&gt;0,SUMIF(куб!$E:$E,$E368,куб!U:U),IF($D368&lt;&gt;0,SUMIF(куб!$D:$D,$D368,куб!U:U),IF($C368&lt;&gt;0,SUMIF(куб!$C:$C,$C368,куб!U:U),IF($B368&lt;&gt;0,SUMIF(куб!$B:$B,$B368,куб!U:U))))))</f>
        <v>0</v>
      </c>
      <c r="AL368" s="16" t="str">
        <f t="shared" si="140"/>
        <v>-</v>
      </c>
      <c r="AM368" s="8"/>
      <c r="AN368" s="17" t="str">
        <f t="shared" si="141"/>
        <v xml:space="preserve"> </v>
      </c>
      <c r="AO368" s="17" t="str">
        <f t="shared" si="142"/>
        <v xml:space="preserve"> </v>
      </c>
      <c r="AP368" s="16" t="str">
        <f t="shared" si="143"/>
        <v>-</v>
      </c>
      <c r="AQ368" s="8"/>
      <c r="AR368" s="17" t="str">
        <f t="shared" si="144"/>
        <v>-</v>
      </c>
      <c r="AS368" s="17" t="str">
        <f t="shared" si="145"/>
        <v>-</v>
      </c>
      <c r="AT368" s="13" t="str">
        <f t="shared" si="146"/>
        <v>-</v>
      </c>
      <c r="AU368" s="8"/>
    </row>
    <row r="369" spans="1:47" x14ac:dyDescent="0.25">
      <c r="A369" s="31"/>
      <c r="B369" s="31"/>
      <c r="C369"/>
      <c r="D369" s="31"/>
      <c r="E369"/>
      <c r="F369" s="31"/>
      <c r="G369"/>
      <c r="H369" s="27">
        <f>IF($G369&lt;&gt;0,SUMIF(куб!$G:$G,$G369,куб!H:H),IF($E369&lt;&gt;0,SUMIF(куб!$E:$E,$E369,куб!H:H),IF($D369&lt;&gt;0,SUMIF(куб!$D:$D,$D369,куб!H:H),IF($C369&lt;&gt;0,SUMIF(куб!$C:$C,$C369,куб!H:H),IF($B369&lt;&gt;0,SUMIF(куб!$B:$B,$B369,куб!H:H),IF($G369&lt;&gt;0,SUMIF(куб!$A:$A,$G369,куб!H:H),SUMIF(куб!$A:$A,$G369,куб!H:H)))))))</f>
        <v>0</v>
      </c>
      <c r="I369" s="27">
        <f>IF($G369&lt;&gt;0,SUMIF(куб!$G:$G,$G369,куб!I:I),IF($E369&lt;&gt;0,SUMIF(куб!$E:$E,$E369,куб!I:I),IF($D369&lt;&gt;0,SUMIF(куб!$D:$D,$D369,куб!I:I),IF($C369&lt;&gt;0,SUMIF(куб!$C:$C,$C369,куб!I:I),IF($B369&lt;&gt;0,SUMIF(куб!$B:$B,$B369,куб!I:I),IF($G369&lt;&gt;0,SUMIF(куб!$A:$A,$G369,куб!I:I),SUMIF(куб!$A:$A,$G369,куб!I:I)))))))</f>
        <v>0</v>
      </c>
      <c r="J369" s="19" t="str">
        <f t="shared" si="129"/>
        <v>-</v>
      </c>
      <c r="K369" s="8"/>
      <c r="L369" s="17">
        <f t="shared" si="130"/>
        <v>0</v>
      </c>
      <c r="M369" s="17">
        <f t="shared" si="131"/>
        <v>0</v>
      </c>
      <c r="N369" s="12">
        <f t="shared" si="132"/>
        <v>0</v>
      </c>
      <c r="O369" s="5"/>
      <c r="P369" s="27" t="b">
        <f>IF($G369&lt;&gt;0,SUMIF(куб!$G:$G,$G369,куб!J:J),IF($E369&lt;&gt;0,SUMIF(куб!$E:$E,$E369,куб!J:J),IF($D369&lt;&gt;0,SUMIF(куб!$D:$D,$D369,куб!J:J),IF($C369&lt;&gt;0,SUMIF(куб!$C:$C,$C369,куб!J:J),IF($B369&lt;&gt;0,SUMIF(куб!$B:$B,$B369,куб!J:J))))))</f>
        <v>0</v>
      </c>
      <c r="Q369" s="27" t="b">
        <f>IF($G369&lt;&gt;0,SUMIF(куб!$G:$G,$G369,куб!K:K),IF($E369&lt;&gt;0,SUMIF(куб!$E:$E,$E369,куб!K:K),IF($D369&lt;&gt;0,SUMIF(куб!$D:$D,$D369,куб!K:K),IF($C369&lt;&gt;0,SUMIF(куб!$C:$C,$C369,куб!K:K),IF($B369&lt;&gt;0,SUMIF(куб!$B:$B,$B369,куб!K:K))))))</f>
        <v>0</v>
      </c>
      <c r="R369" s="13" t="str">
        <f t="shared" si="133"/>
        <v>-</v>
      </c>
      <c r="S369" s="5"/>
      <c r="T369" s="27" t="b">
        <f>IF($G369&lt;&gt;0,SUMIF(куб!$G:$G,$G369,куб!L:L),IF($E369&lt;&gt;0,SUMIF(куб!$E:$E,$E369,куб!L:L),IF($D369&lt;&gt;0,SUMIF(куб!$D:$D,$D369,куб!L:L),IF($C369&lt;&gt;0,SUMIF(куб!$C:$C,$C369,куб!L:L),IF($B369&lt;&gt;0,SUMIF(куб!$B:$B,$B369,куб!L:L))))))</f>
        <v>0</v>
      </c>
      <c r="U369" s="27" t="b">
        <f>IF($G369&lt;&gt;0,SUMIF(куб!$G:$G,$G369,куб!M:M),IF($E369&lt;&gt;0,SUMIF(куб!$E:$E,$E369,куб!M:M),IF($D369&lt;&gt;0,SUMIF(куб!$D:$D,$D369,куб!M:M),IF($C369&lt;&gt;0,SUMIF(куб!$C:$C,$C369,куб!M:M),IF($B369&lt;&gt;0,SUMIF(куб!$B:$B,$B369,куб!M:M))))))</f>
        <v>0</v>
      </c>
      <c r="V369" s="13" t="str">
        <f t="shared" si="134"/>
        <v>-</v>
      </c>
      <c r="W369" s="5"/>
      <c r="X369" s="27" t="b">
        <f>IF($G369&lt;&gt;0,SUMIF(куб!$G:$G,$G369,куб!N:N),IF($E369&lt;&gt;0,SUMIF(куб!$E:$E,$E369,куб!N:N),IF($D369&lt;&gt;0,SUMIF(куб!$D:$D,$D369,куб!N:N),IF($C369&lt;&gt;0,SUMIF(куб!$C:$C,$C369,куб!N:N),IF($B369&lt;&gt;0,SUMIF(куб!$B:$B,$B369,куб!N:N))))))</f>
        <v>0</v>
      </c>
      <c r="Y369" s="27" t="b">
        <f>IF($G369&lt;&gt;0,SUMIF(куб!$G:$G,$G369,куб!O:O),IF($E369&lt;&gt;0,SUMIF(куб!$E:$E,$E369,куб!O:O),IF($D369&lt;&gt;0,SUMIF(куб!$D:$D,$D369,куб!O:O),IF($C369&lt;&gt;0,SUMIF(куб!$C:$C,$C369,куб!O:O),IF($B369&lt;&gt;0,SUMIF(куб!$B:$B,$B369,куб!O:O))))))</f>
        <v>0</v>
      </c>
      <c r="Z369" s="13" t="str">
        <f t="shared" si="135"/>
        <v>-</v>
      </c>
      <c r="AA369" s="5"/>
      <c r="AB369" s="33" t="str">
        <f t="shared" si="136"/>
        <v/>
      </c>
      <c r="AC369" s="33" t="str">
        <f t="shared" si="137"/>
        <v/>
      </c>
      <c r="AD369" s="15" t="str">
        <f t="shared" si="138"/>
        <v xml:space="preserve"> </v>
      </c>
      <c r="AE369" s="5"/>
      <c r="AF369" s="27" t="b">
        <f>IF($G369&lt;&gt;0,SUMIF(куб!$G:$G,$G369,куб!R:R),IF($E369&lt;&gt;0,SUMIF(куб!$E:$E,$E369,куб!R:R),IF($D369&lt;&gt;0,SUMIF(куб!$D:$D,$D369,куб!R:R),IF($C369&lt;&gt;0,SUMIF(куб!$C:$C,$C369,куб!R:R),IF($B369&lt;&gt;0,SUMIF(куб!$B:$B,$B369,куб!R:R))))))</f>
        <v>0</v>
      </c>
      <c r="AG369" s="27" t="b">
        <f>IF($G369&lt;&gt;0,SUMIF(куб!$G:$G,$G369,куб!S:S),IF($E369&lt;&gt;0,SUMIF(куб!$E:$E,$E369,куб!S:S),IF($D369&lt;&gt;0,SUMIF(куб!$D:$D,$D369,куб!S:S),IF($C369&lt;&gt;0,SUMIF(куб!$C:$C,$C369,куб!S:S),IF($B369&lt;&gt;0,SUMIF(куб!$B:$B,$B369,куб!S:S))))))</f>
        <v>0</v>
      </c>
      <c r="AH369" s="16" t="str">
        <f t="shared" si="139"/>
        <v>-</v>
      </c>
      <c r="AI369" s="8"/>
      <c r="AJ369" s="27" t="b">
        <f>IF($G369&lt;&gt;0,SUMIF(куб!$G:$G,$G369,куб!T:T),IF($E369&lt;&gt;0,SUMIF(куб!$E:$E,$E369,куб!T:T),IF($D369&lt;&gt;0,SUMIF(куб!$D:$D,$D369,куб!T:T),IF($C369&lt;&gt;0,SUMIF(куб!$C:$C,$C369,куб!T:T),IF($B369&lt;&gt;0,SUMIF(куб!$B:$B,$B369,куб!T:T))))))</f>
        <v>0</v>
      </c>
      <c r="AK369" s="27" t="b">
        <f>IF($G369&lt;&gt;0,SUMIF(куб!$G:$G,$G369,куб!U:U),IF($E369&lt;&gt;0,SUMIF(куб!$E:$E,$E369,куб!U:U),IF($D369&lt;&gt;0,SUMIF(куб!$D:$D,$D369,куб!U:U),IF($C369&lt;&gt;0,SUMIF(куб!$C:$C,$C369,куб!U:U),IF($B369&lt;&gt;0,SUMIF(куб!$B:$B,$B369,куб!U:U))))))</f>
        <v>0</v>
      </c>
      <c r="AL369" s="16" t="str">
        <f t="shared" si="140"/>
        <v>-</v>
      </c>
      <c r="AM369" s="8"/>
      <c r="AN369" s="17" t="str">
        <f t="shared" si="141"/>
        <v xml:space="preserve"> </v>
      </c>
      <c r="AO369" s="17" t="str">
        <f t="shared" si="142"/>
        <v xml:space="preserve"> </v>
      </c>
      <c r="AP369" s="16" t="str">
        <f t="shared" si="143"/>
        <v>-</v>
      </c>
      <c r="AQ369" s="8"/>
      <c r="AR369" s="17" t="str">
        <f t="shared" si="144"/>
        <v>-</v>
      </c>
      <c r="AS369" s="17" t="str">
        <f t="shared" si="145"/>
        <v>-</v>
      </c>
      <c r="AT369" s="13" t="str">
        <f t="shared" si="146"/>
        <v>-</v>
      </c>
      <c r="AU369" s="8"/>
    </row>
    <row r="370" spans="1:47" x14ac:dyDescent="0.25">
      <c r="A370" s="31"/>
      <c r="B370" s="31"/>
      <c r="C370"/>
      <c r="D370" s="31"/>
      <c r="E370"/>
      <c r="F370" s="31"/>
      <c r="G370"/>
      <c r="H370" s="27">
        <f>IF($G370&lt;&gt;0,SUMIF(куб!$G:$G,$G370,куб!H:H),IF($E370&lt;&gt;0,SUMIF(куб!$E:$E,$E370,куб!H:H),IF($D370&lt;&gt;0,SUMIF(куб!$D:$D,$D370,куб!H:H),IF($C370&lt;&gt;0,SUMIF(куб!$C:$C,$C370,куб!H:H),IF($B370&lt;&gt;0,SUMIF(куб!$B:$B,$B370,куб!H:H),IF($G370&lt;&gt;0,SUMIF(куб!$A:$A,$G370,куб!H:H),SUMIF(куб!$A:$A,$G370,куб!H:H)))))))</f>
        <v>0</v>
      </c>
      <c r="I370" s="27">
        <f>IF($G370&lt;&gt;0,SUMIF(куб!$G:$G,$G370,куб!I:I),IF($E370&lt;&gt;0,SUMIF(куб!$E:$E,$E370,куб!I:I),IF($D370&lt;&gt;0,SUMIF(куб!$D:$D,$D370,куб!I:I),IF($C370&lt;&gt;0,SUMIF(куб!$C:$C,$C370,куб!I:I),IF($B370&lt;&gt;0,SUMIF(куб!$B:$B,$B370,куб!I:I),IF($G370&lt;&gt;0,SUMIF(куб!$A:$A,$G370,куб!I:I),SUMIF(куб!$A:$A,$G370,куб!I:I)))))))</f>
        <v>0</v>
      </c>
      <c r="J370" s="19" t="str">
        <f t="shared" si="129"/>
        <v>-</v>
      </c>
      <c r="K370" s="8"/>
      <c r="L370" s="17">
        <f t="shared" si="130"/>
        <v>0</v>
      </c>
      <c r="M370" s="17">
        <f t="shared" si="131"/>
        <v>0</v>
      </c>
      <c r="N370" s="12">
        <f t="shared" si="132"/>
        <v>0</v>
      </c>
      <c r="O370" s="5"/>
      <c r="P370" s="27" t="b">
        <f>IF($G370&lt;&gt;0,SUMIF(куб!$G:$G,$G370,куб!J:J),IF($E370&lt;&gt;0,SUMIF(куб!$E:$E,$E370,куб!J:J),IF($D370&lt;&gt;0,SUMIF(куб!$D:$D,$D370,куб!J:J),IF($C370&lt;&gt;0,SUMIF(куб!$C:$C,$C370,куб!J:J),IF($B370&lt;&gt;0,SUMIF(куб!$B:$B,$B370,куб!J:J))))))</f>
        <v>0</v>
      </c>
      <c r="Q370" s="27" t="b">
        <f>IF($G370&lt;&gt;0,SUMIF(куб!$G:$G,$G370,куб!K:K),IF($E370&lt;&gt;0,SUMIF(куб!$E:$E,$E370,куб!K:K),IF($D370&lt;&gt;0,SUMIF(куб!$D:$D,$D370,куб!K:K),IF($C370&lt;&gt;0,SUMIF(куб!$C:$C,$C370,куб!K:K),IF($B370&lt;&gt;0,SUMIF(куб!$B:$B,$B370,куб!K:K))))))</f>
        <v>0</v>
      </c>
      <c r="R370" s="13" t="str">
        <f t="shared" si="133"/>
        <v>-</v>
      </c>
      <c r="S370" s="5"/>
      <c r="T370" s="27" t="b">
        <f>IF($G370&lt;&gt;0,SUMIF(куб!$G:$G,$G370,куб!L:L),IF($E370&lt;&gt;0,SUMIF(куб!$E:$E,$E370,куб!L:L),IF($D370&lt;&gt;0,SUMIF(куб!$D:$D,$D370,куб!L:L),IF($C370&lt;&gt;0,SUMIF(куб!$C:$C,$C370,куб!L:L),IF($B370&lt;&gt;0,SUMIF(куб!$B:$B,$B370,куб!L:L))))))</f>
        <v>0</v>
      </c>
      <c r="U370" s="27" t="b">
        <f>IF($G370&lt;&gt;0,SUMIF(куб!$G:$G,$G370,куб!M:M),IF($E370&lt;&gt;0,SUMIF(куб!$E:$E,$E370,куб!M:M),IF($D370&lt;&gt;0,SUMIF(куб!$D:$D,$D370,куб!M:M),IF($C370&lt;&gt;0,SUMIF(куб!$C:$C,$C370,куб!M:M),IF($B370&lt;&gt;0,SUMIF(куб!$B:$B,$B370,куб!M:M))))))</f>
        <v>0</v>
      </c>
      <c r="V370" s="13" t="str">
        <f t="shared" si="134"/>
        <v>-</v>
      </c>
      <c r="W370" s="5"/>
      <c r="X370" s="27" t="b">
        <f>IF($G370&lt;&gt;0,SUMIF(куб!$G:$G,$G370,куб!N:N),IF($E370&lt;&gt;0,SUMIF(куб!$E:$E,$E370,куб!N:N),IF($D370&lt;&gt;0,SUMIF(куб!$D:$D,$D370,куб!N:N),IF($C370&lt;&gt;0,SUMIF(куб!$C:$C,$C370,куб!N:N),IF($B370&lt;&gt;0,SUMIF(куб!$B:$B,$B370,куб!N:N))))))</f>
        <v>0</v>
      </c>
      <c r="Y370" s="27" t="b">
        <f>IF($G370&lt;&gt;0,SUMIF(куб!$G:$G,$G370,куб!O:O),IF($E370&lt;&gt;0,SUMIF(куб!$E:$E,$E370,куб!O:O),IF($D370&lt;&gt;0,SUMIF(куб!$D:$D,$D370,куб!O:O),IF($C370&lt;&gt;0,SUMIF(куб!$C:$C,$C370,куб!O:O),IF($B370&lt;&gt;0,SUMIF(куб!$B:$B,$B370,куб!O:O))))))</f>
        <v>0</v>
      </c>
      <c r="Z370" s="13" t="str">
        <f t="shared" si="135"/>
        <v>-</v>
      </c>
      <c r="AA370" s="5"/>
      <c r="AB370" s="33" t="str">
        <f t="shared" si="136"/>
        <v/>
      </c>
      <c r="AC370" s="33" t="str">
        <f t="shared" si="137"/>
        <v/>
      </c>
      <c r="AD370" s="15" t="str">
        <f t="shared" si="138"/>
        <v xml:space="preserve"> </v>
      </c>
      <c r="AE370" s="5"/>
      <c r="AF370" s="27" t="b">
        <f>IF($G370&lt;&gt;0,SUMIF(куб!$G:$G,$G370,куб!R:R),IF($E370&lt;&gt;0,SUMIF(куб!$E:$E,$E370,куб!R:R),IF($D370&lt;&gt;0,SUMIF(куб!$D:$D,$D370,куб!R:R),IF($C370&lt;&gt;0,SUMIF(куб!$C:$C,$C370,куб!R:R),IF($B370&lt;&gt;0,SUMIF(куб!$B:$B,$B370,куб!R:R))))))</f>
        <v>0</v>
      </c>
      <c r="AG370" s="27" t="b">
        <f>IF($G370&lt;&gt;0,SUMIF(куб!$G:$G,$G370,куб!S:S),IF($E370&lt;&gt;0,SUMIF(куб!$E:$E,$E370,куб!S:S),IF($D370&lt;&gt;0,SUMIF(куб!$D:$D,$D370,куб!S:S),IF($C370&lt;&gt;0,SUMIF(куб!$C:$C,$C370,куб!S:S),IF($B370&lt;&gt;0,SUMIF(куб!$B:$B,$B370,куб!S:S))))))</f>
        <v>0</v>
      </c>
      <c r="AH370" s="16" t="str">
        <f t="shared" si="139"/>
        <v>-</v>
      </c>
      <c r="AI370" s="8"/>
      <c r="AJ370" s="27" t="b">
        <f>IF($G370&lt;&gt;0,SUMIF(куб!$G:$G,$G370,куб!T:T),IF($E370&lt;&gt;0,SUMIF(куб!$E:$E,$E370,куб!T:T),IF($D370&lt;&gt;0,SUMIF(куб!$D:$D,$D370,куб!T:T),IF($C370&lt;&gt;0,SUMIF(куб!$C:$C,$C370,куб!T:T),IF($B370&lt;&gt;0,SUMIF(куб!$B:$B,$B370,куб!T:T))))))</f>
        <v>0</v>
      </c>
      <c r="AK370" s="27" t="b">
        <f>IF($G370&lt;&gt;0,SUMIF(куб!$G:$G,$G370,куб!U:U),IF($E370&lt;&gt;0,SUMIF(куб!$E:$E,$E370,куб!U:U),IF($D370&lt;&gt;0,SUMIF(куб!$D:$D,$D370,куб!U:U),IF($C370&lt;&gt;0,SUMIF(куб!$C:$C,$C370,куб!U:U),IF($B370&lt;&gt;0,SUMIF(куб!$B:$B,$B370,куб!U:U))))))</f>
        <v>0</v>
      </c>
      <c r="AL370" s="16" t="str">
        <f t="shared" si="140"/>
        <v>-</v>
      </c>
      <c r="AM370" s="8"/>
      <c r="AN370" s="17" t="str">
        <f t="shared" si="141"/>
        <v xml:space="preserve"> </v>
      </c>
      <c r="AO370" s="17" t="str">
        <f t="shared" si="142"/>
        <v xml:space="preserve"> </v>
      </c>
      <c r="AP370" s="16" t="str">
        <f t="shared" si="143"/>
        <v>-</v>
      </c>
      <c r="AQ370" s="8"/>
      <c r="AR370" s="17" t="str">
        <f t="shared" si="144"/>
        <v>-</v>
      </c>
      <c r="AS370" s="17" t="str">
        <f t="shared" si="145"/>
        <v>-</v>
      </c>
      <c r="AT370" s="13" t="str">
        <f t="shared" si="146"/>
        <v>-</v>
      </c>
      <c r="AU370" s="8"/>
    </row>
    <row r="371" spans="1:47" x14ac:dyDescent="0.25">
      <c r="A371" s="31"/>
      <c r="B371" s="31"/>
      <c r="C371"/>
      <c r="D371" s="31"/>
      <c r="E371"/>
      <c r="F371" s="31"/>
      <c r="G371"/>
      <c r="H371" s="27">
        <f>IF($G371&lt;&gt;0,SUMIF(куб!$G:$G,$G371,куб!H:H),IF($E371&lt;&gt;0,SUMIF(куб!$E:$E,$E371,куб!H:H),IF($D371&lt;&gt;0,SUMIF(куб!$D:$D,$D371,куб!H:H),IF($C371&lt;&gt;0,SUMIF(куб!$C:$C,$C371,куб!H:H),IF($B371&lt;&gt;0,SUMIF(куб!$B:$B,$B371,куб!H:H),IF($G371&lt;&gt;0,SUMIF(куб!$A:$A,$G371,куб!H:H),SUMIF(куб!$A:$A,$G371,куб!H:H)))))))</f>
        <v>0</v>
      </c>
      <c r="I371" s="27">
        <f>IF($G371&lt;&gt;0,SUMIF(куб!$G:$G,$G371,куб!I:I),IF($E371&lt;&gt;0,SUMIF(куб!$E:$E,$E371,куб!I:I),IF($D371&lt;&gt;0,SUMIF(куб!$D:$D,$D371,куб!I:I),IF($C371&lt;&gt;0,SUMIF(куб!$C:$C,$C371,куб!I:I),IF($B371&lt;&gt;0,SUMIF(куб!$B:$B,$B371,куб!I:I),IF($G371&lt;&gt;0,SUMIF(куб!$A:$A,$G371,куб!I:I),SUMIF(куб!$A:$A,$G371,куб!I:I)))))))</f>
        <v>0</v>
      </c>
      <c r="J371" s="19" t="str">
        <f t="shared" si="129"/>
        <v>-</v>
      </c>
      <c r="K371" s="8"/>
      <c r="L371" s="17">
        <f t="shared" si="130"/>
        <v>0</v>
      </c>
      <c r="M371" s="17">
        <f t="shared" si="131"/>
        <v>0</v>
      </c>
      <c r="N371" s="12">
        <f t="shared" si="132"/>
        <v>0</v>
      </c>
      <c r="O371" s="5"/>
      <c r="P371" s="27" t="b">
        <f>IF($G371&lt;&gt;0,SUMIF(куб!$G:$G,$G371,куб!J:J),IF($E371&lt;&gt;0,SUMIF(куб!$E:$E,$E371,куб!J:J),IF($D371&lt;&gt;0,SUMIF(куб!$D:$D,$D371,куб!J:J),IF($C371&lt;&gt;0,SUMIF(куб!$C:$C,$C371,куб!J:J),IF($B371&lt;&gt;0,SUMIF(куб!$B:$B,$B371,куб!J:J))))))</f>
        <v>0</v>
      </c>
      <c r="Q371" s="27" t="b">
        <f>IF($G371&lt;&gt;0,SUMIF(куб!$G:$G,$G371,куб!K:K),IF($E371&lt;&gt;0,SUMIF(куб!$E:$E,$E371,куб!K:K),IF($D371&lt;&gt;0,SUMIF(куб!$D:$D,$D371,куб!K:K),IF($C371&lt;&gt;0,SUMIF(куб!$C:$C,$C371,куб!K:K),IF($B371&lt;&gt;0,SUMIF(куб!$B:$B,$B371,куб!K:K))))))</f>
        <v>0</v>
      </c>
      <c r="R371" s="13" t="str">
        <f t="shared" si="133"/>
        <v>-</v>
      </c>
      <c r="S371" s="5"/>
      <c r="T371" s="27" t="b">
        <f>IF($G371&lt;&gt;0,SUMIF(куб!$G:$G,$G371,куб!L:L),IF($E371&lt;&gt;0,SUMIF(куб!$E:$E,$E371,куб!L:L),IF($D371&lt;&gt;0,SUMIF(куб!$D:$D,$D371,куб!L:L),IF($C371&lt;&gt;0,SUMIF(куб!$C:$C,$C371,куб!L:L),IF($B371&lt;&gt;0,SUMIF(куб!$B:$B,$B371,куб!L:L))))))</f>
        <v>0</v>
      </c>
      <c r="U371" s="27" t="b">
        <f>IF($G371&lt;&gt;0,SUMIF(куб!$G:$G,$G371,куб!M:M),IF($E371&lt;&gt;0,SUMIF(куб!$E:$E,$E371,куб!M:M),IF($D371&lt;&gt;0,SUMIF(куб!$D:$D,$D371,куб!M:M),IF($C371&lt;&gt;0,SUMIF(куб!$C:$C,$C371,куб!M:M),IF($B371&lt;&gt;0,SUMIF(куб!$B:$B,$B371,куб!M:M))))))</f>
        <v>0</v>
      </c>
      <c r="V371" s="13" t="str">
        <f t="shared" si="134"/>
        <v>-</v>
      </c>
      <c r="W371" s="5"/>
      <c r="X371" s="27" t="b">
        <f>IF($G371&lt;&gt;0,SUMIF(куб!$G:$G,$G371,куб!N:N),IF($E371&lt;&gt;0,SUMIF(куб!$E:$E,$E371,куб!N:N),IF($D371&lt;&gt;0,SUMIF(куб!$D:$D,$D371,куб!N:N),IF($C371&lt;&gt;0,SUMIF(куб!$C:$C,$C371,куб!N:N),IF($B371&lt;&gt;0,SUMIF(куб!$B:$B,$B371,куб!N:N))))))</f>
        <v>0</v>
      </c>
      <c r="Y371" s="27" t="b">
        <f>IF($G371&lt;&gt;0,SUMIF(куб!$G:$G,$G371,куб!O:O),IF($E371&lt;&gt;0,SUMIF(куб!$E:$E,$E371,куб!O:O),IF($D371&lt;&gt;0,SUMIF(куб!$D:$D,$D371,куб!O:O),IF($C371&lt;&gt;0,SUMIF(куб!$C:$C,$C371,куб!O:O),IF($B371&lt;&gt;0,SUMIF(куб!$B:$B,$B371,куб!O:O))))))</f>
        <v>0</v>
      </c>
      <c r="Z371" s="13" t="str">
        <f t="shared" si="135"/>
        <v>-</v>
      </c>
      <c r="AA371" s="5"/>
      <c r="AB371" s="33" t="str">
        <f t="shared" si="136"/>
        <v/>
      </c>
      <c r="AC371" s="33" t="str">
        <f t="shared" si="137"/>
        <v/>
      </c>
      <c r="AD371" s="15" t="str">
        <f t="shared" si="138"/>
        <v xml:space="preserve"> </v>
      </c>
      <c r="AE371" s="5"/>
      <c r="AF371" s="27" t="b">
        <f>IF($G371&lt;&gt;0,SUMIF(куб!$G:$G,$G371,куб!R:R),IF($E371&lt;&gt;0,SUMIF(куб!$E:$E,$E371,куб!R:R),IF($D371&lt;&gt;0,SUMIF(куб!$D:$D,$D371,куб!R:R),IF($C371&lt;&gt;0,SUMIF(куб!$C:$C,$C371,куб!R:R),IF($B371&lt;&gt;0,SUMIF(куб!$B:$B,$B371,куб!R:R))))))</f>
        <v>0</v>
      </c>
      <c r="AG371" s="27" t="b">
        <f>IF($G371&lt;&gt;0,SUMIF(куб!$G:$G,$G371,куб!S:S),IF($E371&lt;&gt;0,SUMIF(куб!$E:$E,$E371,куб!S:S),IF($D371&lt;&gt;0,SUMIF(куб!$D:$D,$D371,куб!S:S),IF($C371&lt;&gt;0,SUMIF(куб!$C:$C,$C371,куб!S:S),IF($B371&lt;&gt;0,SUMIF(куб!$B:$B,$B371,куб!S:S))))))</f>
        <v>0</v>
      </c>
      <c r="AH371" s="16" t="str">
        <f t="shared" si="139"/>
        <v>-</v>
      </c>
      <c r="AI371" s="8"/>
      <c r="AJ371" s="27" t="b">
        <f>IF($G371&lt;&gt;0,SUMIF(куб!$G:$G,$G371,куб!T:T),IF($E371&lt;&gt;0,SUMIF(куб!$E:$E,$E371,куб!T:T),IF($D371&lt;&gt;0,SUMIF(куб!$D:$D,$D371,куб!T:T),IF($C371&lt;&gt;0,SUMIF(куб!$C:$C,$C371,куб!T:T),IF($B371&lt;&gt;0,SUMIF(куб!$B:$B,$B371,куб!T:T))))))</f>
        <v>0</v>
      </c>
      <c r="AK371" s="27" t="b">
        <f>IF($G371&lt;&gt;0,SUMIF(куб!$G:$G,$G371,куб!U:U),IF($E371&lt;&gt;0,SUMIF(куб!$E:$E,$E371,куб!U:U),IF($D371&lt;&gt;0,SUMIF(куб!$D:$D,$D371,куб!U:U),IF($C371&lt;&gt;0,SUMIF(куб!$C:$C,$C371,куб!U:U),IF($B371&lt;&gt;0,SUMIF(куб!$B:$B,$B371,куб!U:U))))))</f>
        <v>0</v>
      </c>
      <c r="AL371" s="16" t="str">
        <f t="shared" si="140"/>
        <v>-</v>
      </c>
      <c r="AM371" s="8"/>
      <c r="AN371" s="17" t="str">
        <f t="shared" si="141"/>
        <v xml:space="preserve"> </v>
      </c>
      <c r="AO371" s="17" t="str">
        <f t="shared" si="142"/>
        <v xml:space="preserve"> </v>
      </c>
      <c r="AP371" s="16" t="str">
        <f t="shared" si="143"/>
        <v>-</v>
      </c>
      <c r="AQ371" s="8"/>
      <c r="AR371" s="17" t="str">
        <f t="shared" si="144"/>
        <v>-</v>
      </c>
      <c r="AS371" s="17" t="str">
        <f t="shared" si="145"/>
        <v>-</v>
      </c>
      <c r="AT371" s="13" t="str">
        <f t="shared" si="146"/>
        <v>-</v>
      </c>
      <c r="AU371" s="8"/>
    </row>
    <row r="372" spans="1:47" x14ac:dyDescent="0.25">
      <c r="A372" s="31"/>
      <c r="B372" s="31"/>
      <c r="C372"/>
      <c r="D372" s="31"/>
      <c r="E372"/>
      <c r="F372" s="31"/>
      <c r="G372"/>
      <c r="H372" s="27">
        <f>IF($G372&lt;&gt;0,SUMIF(куб!$G:$G,$G372,куб!H:H),IF($E372&lt;&gt;0,SUMIF(куб!$E:$E,$E372,куб!H:H),IF($D372&lt;&gt;0,SUMIF(куб!$D:$D,$D372,куб!H:H),IF($C372&lt;&gt;0,SUMIF(куб!$C:$C,$C372,куб!H:H),IF($B372&lt;&gt;0,SUMIF(куб!$B:$B,$B372,куб!H:H),IF($G372&lt;&gt;0,SUMIF(куб!$A:$A,$G372,куб!H:H),SUMIF(куб!$A:$A,$G372,куб!H:H)))))))</f>
        <v>0</v>
      </c>
      <c r="I372" s="27">
        <f>IF($G372&lt;&gt;0,SUMIF(куб!$G:$G,$G372,куб!I:I),IF($E372&lt;&gt;0,SUMIF(куб!$E:$E,$E372,куб!I:I),IF($D372&lt;&gt;0,SUMIF(куб!$D:$D,$D372,куб!I:I),IF($C372&lt;&gt;0,SUMIF(куб!$C:$C,$C372,куб!I:I),IF($B372&lt;&gt;0,SUMIF(куб!$B:$B,$B372,куб!I:I),IF($G372&lt;&gt;0,SUMIF(куб!$A:$A,$G372,куб!I:I),SUMIF(куб!$A:$A,$G372,куб!I:I)))))))</f>
        <v>0</v>
      </c>
      <c r="J372" s="19" t="str">
        <f t="shared" si="129"/>
        <v>-</v>
      </c>
      <c r="K372" s="8"/>
      <c r="L372" s="17">
        <f t="shared" si="130"/>
        <v>0</v>
      </c>
      <c r="M372" s="17">
        <f t="shared" si="131"/>
        <v>0</v>
      </c>
      <c r="N372" s="12">
        <f t="shared" si="132"/>
        <v>0</v>
      </c>
      <c r="O372" s="5"/>
      <c r="P372" s="27" t="b">
        <f>IF($G372&lt;&gt;0,SUMIF(куб!$G:$G,$G372,куб!J:J),IF($E372&lt;&gt;0,SUMIF(куб!$E:$E,$E372,куб!J:J),IF($D372&lt;&gt;0,SUMIF(куб!$D:$D,$D372,куб!J:J),IF($C372&lt;&gt;0,SUMIF(куб!$C:$C,$C372,куб!J:J),IF($B372&lt;&gt;0,SUMIF(куб!$B:$B,$B372,куб!J:J))))))</f>
        <v>0</v>
      </c>
      <c r="Q372" s="27" t="b">
        <f>IF($G372&lt;&gt;0,SUMIF(куб!$G:$G,$G372,куб!K:K),IF($E372&lt;&gt;0,SUMIF(куб!$E:$E,$E372,куб!K:K),IF($D372&lt;&gt;0,SUMIF(куб!$D:$D,$D372,куб!K:K),IF($C372&lt;&gt;0,SUMIF(куб!$C:$C,$C372,куб!K:K),IF($B372&lt;&gt;0,SUMIF(куб!$B:$B,$B372,куб!K:K))))))</f>
        <v>0</v>
      </c>
      <c r="R372" s="13" t="str">
        <f t="shared" si="133"/>
        <v>-</v>
      </c>
      <c r="S372" s="5"/>
      <c r="T372" s="27" t="b">
        <f>IF($G372&lt;&gt;0,SUMIF(куб!$G:$G,$G372,куб!L:L),IF($E372&lt;&gt;0,SUMIF(куб!$E:$E,$E372,куб!L:L),IF($D372&lt;&gt;0,SUMIF(куб!$D:$D,$D372,куб!L:L),IF($C372&lt;&gt;0,SUMIF(куб!$C:$C,$C372,куб!L:L),IF($B372&lt;&gt;0,SUMIF(куб!$B:$B,$B372,куб!L:L))))))</f>
        <v>0</v>
      </c>
      <c r="U372" s="27" t="b">
        <f>IF($G372&lt;&gt;0,SUMIF(куб!$G:$G,$G372,куб!M:M),IF($E372&lt;&gt;0,SUMIF(куб!$E:$E,$E372,куб!M:M),IF($D372&lt;&gt;0,SUMIF(куб!$D:$D,$D372,куб!M:M),IF($C372&lt;&gt;0,SUMIF(куб!$C:$C,$C372,куб!M:M),IF($B372&lt;&gt;0,SUMIF(куб!$B:$B,$B372,куб!M:M))))))</f>
        <v>0</v>
      </c>
      <c r="V372" s="13" t="str">
        <f t="shared" si="134"/>
        <v>-</v>
      </c>
      <c r="W372" s="5"/>
      <c r="X372" s="27" t="b">
        <f>IF($G372&lt;&gt;0,SUMIF(куб!$G:$G,$G372,куб!N:N),IF($E372&lt;&gt;0,SUMIF(куб!$E:$E,$E372,куб!N:N),IF($D372&lt;&gt;0,SUMIF(куб!$D:$D,$D372,куб!N:N),IF($C372&lt;&gt;0,SUMIF(куб!$C:$C,$C372,куб!N:N),IF($B372&lt;&gt;0,SUMIF(куб!$B:$B,$B372,куб!N:N))))))</f>
        <v>0</v>
      </c>
      <c r="Y372" s="27" t="b">
        <f>IF($G372&lt;&gt;0,SUMIF(куб!$G:$G,$G372,куб!O:O),IF($E372&lt;&gt;0,SUMIF(куб!$E:$E,$E372,куб!O:O),IF($D372&lt;&gt;0,SUMIF(куб!$D:$D,$D372,куб!O:O),IF($C372&lt;&gt;0,SUMIF(куб!$C:$C,$C372,куб!O:O),IF($B372&lt;&gt;0,SUMIF(куб!$B:$B,$B372,куб!O:O))))))</f>
        <v>0</v>
      </c>
      <c r="Z372" s="13" t="str">
        <f t="shared" si="135"/>
        <v>-</v>
      </c>
      <c r="AA372" s="5"/>
      <c r="AB372" s="33" t="str">
        <f t="shared" si="136"/>
        <v/>
      </c>
      <c r="AC372" s="33" t="str">
        <f t="shared" si="137"/>
        <v/>
      </c>
      <c r="AD372" s="15" t="str">
        <f t="shared" si="138"/>
        <v xml:space="preserve"> </v>
      </c>
      <c r="AE372" s="5"/>
      <c r="AF372" s="27" t="b">
        <f>IF($G372&lt;&gt;0,SUMIF(куб!$G:$G,$G372,куб!R:R),IF($E372&lt;&gt;0,SUMIF(куб!$E:$E,$E372,куб!R:R),IF($D372&lt;&gt;0,SUMIF(куб!$D:$D,$D372,куб!R:R),IF($C372&lt;&gt;0,SUMIF(куб!$C:$C,$C372,куб!R:R),IF($B372&lt;&gt;0,SUMIF(куб!$B:$B,$B372,куб!R:R))))))</f>
        <v>0</v>
      </c>
      <c r="AG372" s="27" t="b">
        <f>IF($G372&lt;&gt;0,SUMIF(куб!$G:$G,$G372,куб!S:S),IF($E372&lt;&gt;0,SUMIF(куб!$E:$E,$E372,куб!S:S),IF($D372&lt;&gt;0,SUMIF(куб!$D:$D,$D372,куб!S:S),IF($C372&lt;&gt;0,SUMIF(куб!$C:$C,$C372,куб!S:S),IF($B372&lt;&gt;0,SUMIF(куб!$B:$B,$B372,куб!S:S))))))</f>
        <v>0</v>
      </c>
      <c r="AH372" s="16" t="str">
        <f t="shared" si="139"/>
        <v>-</v>
      </c>
      <c r="AI372" s="8"/>
      <c r="AJ372" s="27" t="b">
        <f>IF($G372&lt;&gt;0,SUMIF(куб!$G:$G,$G372,куб!T:T),IF($E372&lt;&gt;0,SUMIF(куб!$E:$E,$E372,куб!T:T),IF($D372&lt;&gt;0,SUMIF(куб!$D:$D,$D372,куб!T:T),IF($C372&lt;&gt;0,SUMIF(куб!$C:$C,$C372,куб!T:T),IF($B372&lt;&gt;0,SUMIF(куб!$B:$B,$B372,куб!T:T))))))</f>
        <v>0</v>
      </c>
      <c r="AK372" s="27" t="b">
        <f>IF($G372&lt;&gt;0,SUMIF(куб!$G:$G,$G372,куб!U:U),IF($E372&lt;&gt;0,SUMIF(куб!$E:$E,$E372,куб!U:U),IF($D372&lt;&gt;0,SUMIF(куб!$D:$D,$D372,куб!U:U),IF($C372&lt;&gt;0,SUMIF(куб!$C:$C,$C372,куб!U:U),IF($B372&lt;&gt;0,SUMIF(куб!$B:$B,$B372,куб!U:U))))))</f>
        <v>0</v>
      </c>
      <c r="AL372" s="16" t="str">
        <f t="shared" si="140"/>
        <v>-</v>
      </c>
      <c r="AM372" s="8"/>
      <c r="AN372" s="17" t="str">
        <f t="shared" si="141"/>
        <v xml:space="preserve"> </v>
      </c>
      <c r="AO372" s="17" t="str">
        <f t="shared" si="142"/>
        <v xml:space="preserve"> </v>
      </c>
      <c r="AP372" s="16" t="str">
        <f t="shared" si="143"/>
        <v>-</v>
      </c>
      <c r="AQ372" s="8"/>
      <c r="AR372" s="17" t="str">
        <f t="shared" si="144"/>
        <v>-</v>
      </c>
      <c r="AS372" s="17" t="str">
        <f t="shared" si="145"/>
        <v>-</v>
      </c>
      <c r="AT372" s="13" t="str">
        <f t="shared" si="146"/>
        <v>-</v>
      </c>
      <c r="AU372" s="8"/>
    </row>
    <row r="373" spans="1:47" x14ac:dyDescent="0.25">
      <c r="A373" s="31"/>
      <c r="B373" s="31"/>
      <c r="C373"/>
      <c r="D373" s="31"/>
      <c r="E373"/>
      <c r="F373"/>
      <c r="G373"/>
      <c r="H373" s="27">
        <f>IF($G373&lt;&gt;0,SUMIF(куб!$G:$G,$G373,куб!H:H),IF($E373&lt;&gt;0,SUMIF(куб!$E:$E,$E373,куб!H:H),IF($D373&lt;&gt;0,SUMIF(куб!$D:$D,$D373,куб!H:H),IF($C373&lt;&gt;0,SUMIF(куб!$C:$C,$C373,куб!H:H),IF($B373&lt;&gt;0,SUMIF(куб!$B:$B,$B373,куб!H:H),IF($G373&lt;&gt;0,SUMIF(куб!$A:$A,$G373,куб!H:H),SUMIF(куб!$A:$A,$G373,куб!H:H)))))))</f>
        <v>0</v>
      </c>
      <c r="I373" s="27">
        <f>IF($G373&lt;&gt;0,SUMIF(куб!$G:$G,$G373,куб!I:I),IF($E373&lt;&gt;0,SUMIF(куб!$E:$E,$E373,куб!I:I),IF($D373&lt;&gt;0,SUMIF(куб!$D:$D,$D373,куб!I:I),IF($C373&lt;&gt;0,SUMIF(куб!$C:$C,$C373,куб!I:I),IF($B373&lt;&gt;0,SUMIF(куб!$B:$B,$B373,куб!I:I),IF($G373&lt;&gt;0,SUMIF(куб!$A:$A,$G373,куб!I:I),SUMIF(куб!$A:$A,$G373,куб!I:I)))))))</f>
        <v>0</v>
      </c>
      <c r="J373" s="19" t="str">
        <f t="shared" si="129"/>
        <v>-</v>
      </c>
      <c r="K373" s="8"/>
      <c r="L373" s="17">
        <f t="shared" si="130"/>
        <v>0</v>
      </c>
      <c r="M373" s="17">
        <f t="shared" si="131"/>
        <v>0</v>
      </c>
      <c r="N373" s="12">
        <f t="shared" si="132"/>
        <v>0</v>
      </c>
      <c r="O373" s="5"/>
      <c r="P373" s="27" t="b">
        <f>IF($G373&lt;&gt;0,SUMIF(куб!$G:$G,$G373,куб!J:J),IF($E373&lt;&gt;0,SUMIF(куб!$E:$E,$E373,куб!J:J),IF($D373&lt;&gt;0,SUMIF(куб!$D:$D,$D373,куб!J:J),IF($C373&lt;&gt;0,SUMIF(куб!$C:$C,$C373,куб!J:J),IF($B373&lt;&gt;0,SUMIF(куб!$B:$B,$B373,куб!J:J))))))</f>
        <v>0</v>
      </c>
      <c r="Q373" s="27" t="b">
        <f>IF($G373&lt;&gt;0,SUMIF(куб!$G:$G,$G373,куб!K:K),IF($E373&lt;&gt;0,SUMIF(куб!$E:$E,$E373,куб!K:K),IF($D373&lt;&gt;0,SUMIF(куб!$D:$D,$D373,куб!K:K),IF($C373&lt;&gt;0,SUMIF(куб!$C:$C,$C373,куб!K:K),IF($B373&lt;&gt;0,SUMIF(куб!$B:$B,$B373,куб!K:K))))))</f>
        <v>0</v>
      </c>
      <c r="R373" s="13" t="str">
        <f t="shared" si="133"/>
        <v>-</v>
      </c>
      <c r="S373" s="5"/>
      <c r="T373" s="27" t="b">
        <f>IF($G373&lt;&gt;0,SUMIF(куб!$G:$G,$G373,куб!L:L),IF($E373&lt;&gt;0,SUMIF(куб!$E:$E,$E373,куб!L:L),IF($D373&lt;&gt;0,SUMIF(куб!$D:$D,$D373,куб!L:L),IF($C373&lt;&gt;0,SUMIF(куб!$C:$C,$C373,куб!L:L),IF($B373&lt;&gt;0,SUMIF(куб!$B:$B,$B373,куб!L:L))))))</f>
        <v>0</v>
      </c>
      <c r="U373" s="27" t="b">
        <f>IF($G373&lt;&gt;0,SUMIF(куб!$G:$G,$G373,куб!M:M),IF($E373&lt;&gt;0,SUMIF(куб!$E:$E,$E373,куб!M:M),IF($D373&lt;&gt;0,SUMIF(куб!$D:$D,$D373,куб!M:M),IF($C373&lt;&gt;0,SUMIF(куб!$C:$C,$C373,куб!M:M),IF($B373&lt;&gt;0,SUMIF(куб!$B:$B,$B373,куб!M:M))))))</f>
        <v>0</v>
      </c>
      <c r="V373" s="13" t="str">
        <f t="shared" si="134"/>
        <v>-</v>
      </c>
      <c r="W373" s="5"/>
      <c r="X373" s="27" t="b">
        <f>IF($G373&lt;&gt;0,SUMIF(куб!$G:$G,$G373,куб!N:N),IF($E373&lt;&gt;0,SUMIF(куб!$E:$E,$E373,куб!N:N),IF($D373&lt;&gt;0,SUMIF(куб!$D:$D,$D373,куб!N:N),IF($C373&lt;&gt;0,SUMIF(куб!$C:$C,$C373,куб!N:N),IF($B373&lt;&gt;0,SUMIF(куб!$B:$B,$B373,куб!N:N))))))</f>
        <v>0</v>
      </c>
      <c r="Y373" s="27" t="b">
        <f>IF($G373&lt;&gt;0,SUMIF(куб!$G:$G,$G373,куб!O:O),IF($E373&lt;&gt;0,SUMIF(куб!$E:$E,$E373,куб!O:O),IF($D373&lt;&gt;0,SUMIF(куб!$D:$D,$D373,куб!O:O),IF($C373&lt;&gt;0,SUMIF(куб!$C:$C,$C373,куб!O:O),IF($B373&lt;&gt;0,SUMIF(куб!$B:$B,$B373,куб!O:O))))))</f>
        <v>0</v>
      </c>
      <c r="Z373" s="13" t="str">
        <f t="shared" si="135"/>
        <v>-</v>
      </c>
      <c r="AA373" s="5"/>
      <c r="AB373" s="33" t="str">
        <f t="shared" si="136"/>
        <v/>
      </c>
      <c r="AC373" s="33" t="str">
        <f t="shared" si="137"/>
        <v/>
      </c>
      <c r="AD373" s="15" t="str">
        <f t="shared" si="138"/>
        <v xml:space="preserve"> </v>
      </c>
      <c r="AE373" s="5"/>
      <c r="AF373" s="27" t="b">
        <f>IF($G373&lt;&gt;0,SUMIF(куб!$G:$G,$G373,куб!R:R),IF($E373&lt;&gt;0,SUMIF(куб!$E:$E,$E373,куб!R:R),IF($D373&lt;&gt;0,SUMIF(куб!$D:$D,$D373,куб!R:R),IF($C373&lt;&gt;0,SUMIF(куб!$C:$C,$C373,куб!R:R),IF($B373&lt;&gt;0,SUMIF(куб!$B:$B,$B373,куб!R:R))))))</f>
        <v>0</v>
      </c>
      <c r="AG373" s="27" t="b">
        <f>IF($G373&lt;&gt;0,SUMIF(куб!$G:$G,$G373,куб!S:S),IF($E373&lt;&gt;0,SUMIF(куб!$E:$E,$E373,куб!S:S),IF($D373&lt;&gt;0,SUMIF(куб!$D:$D,$D373,куб!S:S),IF($C373&lt;&gt;0,SUMIF(куб!$C:$C,$C373,куб!S:S),IF($B373&lt;&gt;0,SUMIF(куб!$B:$B,$B373,куб!S:S))))))</f>
        <v>0</v>
      </c>
      <c r="AH373" s="16" t="str">
        <f t="shared" si="139"/>
        <v>-</v>
      </c>
      <c r="AI373" s="8"/>
      <c r="AJ373" s="27" t="b">
        <f>IF($G373&lt;&gt;0,SUMIF(куб!$G:$G,$G373,куб!T:T),IF($E373&lt;&gt;0,SUMIF(куб!$E:$E,$E373,куб!T:T),IF($D373&lt;&gt;0,SUMIF(куб!$D:$D,$D373,куб!T:T),IF($C373&lt;&gt;0,SUMIF(куб!$C:$C,$C373,куб!T:T),IF($B373&lt;&gt;0,SUMIF(куб!$B:$B,$B373,куб!T:T))))))</f>
        <v>0</v>
      </c>
      <c r="AK373" s="27" t="b">
        <f>IF($G373&lt;&gt;0,SUMIF(куб!$G:$G,$G373,куб!U:U),IF($E373&lt;&gt;0,SUMIF(куб!$E:$E,$E373,куб!U:U),IF($D373&lt;&gt;0,SUMIF(куб!$D:$D,$D373,куб!U:U),IF($C373&lt;&gt;0,SUMIF(куб!$C:$C,$C373,куб!U:U),IF($B373&lt;&gt;0,SUMIF(куб!$B:$B,$B373,куб!U:U))))))</f>
        <v>0</v>
      </c>
      <c r="AL373" s="16" t="str">
        <f t="shared" si="140"/>
        <v>-</v>
      </c>
      <c r="AM373" s="8"/>
      <c r="AN373" s="17" t="str">
        <f t="shared" si="141"/>
        <v xml:space="preserve"> </v>
      </c>
      <c r="AO373" s="17" t="str">
        <f t="shared" si="142"/>
        <v xml:space="preserve"> </v>
      </c>
      <c r="AP373" s="16" t="str">
        <f t="shared" si="143"/>
        <v>-</v>
      </c>
      <c r="AQ373" s="8"/>
      <c r="AR373" s="17" t="str">
        <f t="shared" si="144"/>
        <v>-</v>
      </c>
      <c r="AS373" s="17" t="str">
        <f t="shared" si="145"/>
        <v>-</v>
      </c>
      <c r="AT373" s="13" t="str">
        <f t="shared" si="146"/>
        <v>-</v>
      </c>
      <c r="AU373" s="8"/>
    </row>
    <row r="374" spans="1:47" x14ac:dyDescent="0.25">
      <c r="A374" s="31"/>
      <c r="B374" s="31"/>
      <c r="C374"/>
      <c r="D374" s="31"/>
      <c r="E374" s="31"/>
      <c r="F374" s="31"/>
      <c r="G374" s="31"/>
      <c r="H374" s="27">
        <f>IF($G374&lt;&gt;0,SUMIF(куб!$G:$G,$G374,куб!H:H),IF($E374&lt;&gt;0,SUMIF(куб!$E:$E,$E374,куб!H:H),IF($D374&lt;&gt;0,SUMIF(куб!$D:$D,$D374,куб!H:H),IF($C374&lt;&gt;0,SUMIF(куб!$C:$C,$C374,куб!H:H),IF($B374&lt;&gt;0,SUMIF(куб!$B:$B,$B374,куб!H:H),IF($G374&lt;&gt;0,SUMIF(куб!$A:$A,$G374,куб!H:H),SUMIF(куб!$A:$A,$G374,куб!H:H)))))))</f>
        <v>0</v>
      </c>
      <c r="I374" s="27">
        <f>IF($G374&lt;&gt;0,SUMIF(куб!$G:$G,$G374,куб!I:I),IF($E374&lt;&gt;0,SUMIF(куб!$E:$E,$E374,куб!I:I),IF($D374&lt;&gt;0,SUMIF(куб!$D:$D,$D374,куб!I:I),IF($C374&lt;&gt;0,SUMIF(куб!$C:$C,$C374,куб!I:I),IF($B374&lt;&gt;0,SUMIF(куб!$B:$B,$B374,куб!I:I),IF($G374&lt;&gt;0,SUMIF(куб!$A:$A,$G374,куб!I:I),SUMIF(куб!$A:$A,$G374,куб!I:I)))))))</f>
        <v>0</v>
      </c>
      <c r="J374" s="19" t="str">
        <f t="shared" si="129"/>
        <v>-</v>
      </c>
      <c r="K374" s="8"/>
      <c r="L374" s="17">
        <f t="shared" si="130"/>
        <v>0</v>
      </c>
      <c r="M374" s="17">
        <f t="shared" si="131"/>
        <v>0</v>
      </c>
      <c r="N374" s="12">
        <f t="shared" si="132"/>
        <v>0</v>
      </c>
      <c r="O374" s="5"/>
      <c r="P374" s="27" t="b">
        <f>IF($G374&lt;&gt;0,SUMIF(куб!$G:$G,$G374,куб!J:J),IF($E374&lt;&gt;0,SUMIF(куб!$E:$E,$E374,куб!J:J),IF($D374&lt;&gt;0,SUMIF(куб!$D:$D,$D374,куб!J:J),IF($C374&lt;&gt;0,SUMIF(куб!$C:$C,$C374,куб!J:J),IF($B374&lt;&gt;0,SUMIF(куб!$B:$B,$B374,куб!J:J))))))</f>
        <v>0</v>
      </c>
      <c r="Q374" s="27" t="b">
        <f>IF($G374&lt;&gt;0,SUMIF(куб!$G:$G,$G374,куб!K:K),IF($E374&lt;&gt;0,SUMIF(куб!$E:$E,$E374,куб!K:K),IF($D374&lt;&gt;0,SUMIF(куб!$D:$D,$D374,куб!K:K),IF($C374&lt;&gt;0,SUMIF(куб!$C:$C,$C374,куб!K:K),IF($B374&lt;&gt;0,SUMIF(куб!$B:$B,$B374,куб!K:K))))))</f>
        <v>0</v>
      </c>
      <c r="R374" s="13" t="str">
        <f t="shared" si="133"/>
        <v>-</v>
      </c>
      <c r="S374" s="5"/>
      <c r="T374" s="27" t="b">
        <f>IF($G374&lt;&gt;0,SUMIF(куб!$G:$G,$G374,куб!L:L),IF($E374&lt;&gt;0,SUMIF(куб!$E:$E,$E374,куб!L:L),IF($D374&lt;&gt;0,SUMIF(куб!$D:$D,$D374,куб!L:L),IF($C374&lt;&gt;0,SUMIF(куб!$C:$C,$C374,куб!L:L),IF($B374&lt;&gt;0,SUMIF(куб!$B:$B,$B374,куб!L:L))))))</f>
        <v>0</v>
      </c>
      <c r="U374" s="27" t="b">
        <f>IF($G374&lt;&gt;0,SUMIF(куб!$G:$G,$G374,куб!M:M),IF($E374&lt;&gt;0,SUMIF(куб!$E:$E,$E374,куб!M:M),IF($D374&lt;&gt;0,SUMIF(куб!$D:$D,$D374,куб!M:M),IF($C374&lt;&gt;0,SUMIF(куб!$C:$C,$C374,куб!M:M),IF($B374&lt;&gt;0,SUMIF(куб!$B:$B,$B374,куб!M:M))))))</f>
        <v>0</v>
      </c>
      <c r="V374" s="13" t="str">
        <f t="shared" si="134"/>
        <v>-</v>
      </c>
      <c r="W374" s="5"/>
      <c r="X374" s="27" t="b">
        <f>IF($G374&lt;&gt;0,SUMIF(куб!$G:$G,$G374,куб!N:N),IF($E374&lt;&gt;0,SUMIF(куб!$E:$E,$E374,куб!N:N),IF($D374&lt;&gt;0,SUMIF(куб!$D:$D,$D374,куб!N:N),IF($C374&lt;&gt;0,SUMIF(куб!$C:$C,$C374,куб!N:N),IF($B374&lt;&gt;0,SUMIF(куб!$B:$B,$B374,куб!N:N))))))</f>
        <v>0</v>
      </c>
      <c r="Y374" s="27" t="b">
        <f>IF($G374&lt;&gt;0,SUMIF(куб!$G:$G,$G374,куб!O:O),IF($E374&lt;&gt;0,SUMIF(куб!$E:$E,$E374,куб!O:O),IF($D374&lt;&gt;0,SUMIF(куб!$D:$D,$D374,куб!O:O),IF($C374&lt;&gt;0,SUMIF(куб!$C:$C,$C374,куб!O:O),IF($B374&lt;&gt;0,SUMIF(куб!$B:$B,$B374,куб!O:O))))))</f>
        <v>0</v>
      </c>
      <c r="Z374" s="13" t="str">
        <f t="shared" si="135"/>
        <v>-</v>
      </c>
      <c r="AA374" s="5"/>
      <c r="AB374" s="33" t="str">
        <f t="shared" si="136"/>
        <v/>
      </c>
      <c r="AC374" s="33" t="str">
        <f t="shared" si="137"/>
        <v/>
      </c>
      <c r="AD374" s="15" t="str">
        <f t="shared" si="138"/>
        <v xml:space="preserve"> </v>
      </c>
      <c r="AE374" s="5"/>
      <c r="AF374" s="27" t="b">
        <f>IF($G374&lt;&gt;0,SUMIF(куб!$G:$G,$G374,куб!R:R),IF($E374&lt;&gt;0,SUMIF(куб!$E:$E,$E374,куб!R:R),IF($D374&lt;&gt;0,SUMIF(куб!$D:$D,$D374,куб!R:R),IF($C374&lt;&gt;0,SUMIF(куб!$C:$C,$C374,куб!R:R),IF($B374&lt;&gt;0,SUMIF(куб!$B:$B,$B374,куб!R:R))))))</f>
        <v>0</v>
      </c>
      <c r="AG374" s="27" t="b">
        <f>IF($G374&lt;&gt;0,SUMIF(куб!$G:$G,$G374,куб!S:S),IF($E374&lt;&gt;0,SUMIF(куб!$E:$E,$E374,куб!S:S),IF($D374&lt;&gt;0,SUMIF(куб!$D:$D,$D374,куб!S:S),IF($C374&lt;&gt;0,SUMIF(куб!$C:$C,$C374,куб!S:S),IF($B374&lt;&gt;0,SUMIF(куб!$B:$B,$B374,куб!S:S))))))</f>
        <v>0</v>
      </c>
      <c r="AH374" s="16" t="str">
        <f t="shared" si="139"/>
        <v>-</v>
      </c>
      <c r="AI374" s="8"/>
      <c r="AJ374" s="27" t="b">
        <f>IF($G374&lt;&gt;0,SUMIF(куб!$G:$G,$G374,куб!T:T),IF($E374&lt;&gt;0,SUMIF(куб!$E:$E,$E374,куб!T:T),IF($D374&lt;&gt;0,SUMIF(куб!$D:$D,$D374,куб!T:T),IF($C374&lt;&gt;0,SUMIF(куб!$C:$C,$C374,куб!T:T),IF($B374&lt;&gt;0,SUMIF(куб!$B:$B,$B374,куб!T:T))))))</f>
        <v>0</v>
      </c>
      <c r="AK374" s="27" t="b">
        <f>IF($G374&lt;&gt;0,SUMIF(куб!$G:$G,$G374,куб!U:U),IF($E374&lt;&gt;0,SUMIF(куб!$E:$E,$E374,куб!U:U),IF($D374&lt;&gt;0,SUMIF(куб!$D:$D,$D374,куб!U:U),IF($C374&lt;&gt;0,SUMIF(куб!$C:$C,$C374,куб!U:U),IF($B374&lt;&gt;0,SUMIF(куб!$B:$B,$B374,куб!U:U))))))</f>
        <v>0</v>
      </c>
      <c r="AL374" s="16" t="str">
        <f t="shared" si="140"/>
        <v>-</v>
      </c>
      <c r="AM374" s="8"/>
      <c r="AN374" s="17" t="str">
        <f t="shared" si="141"/>
        <v xml:space="preserve"> </v>
      </c>
      <c r="AO374" s="17" t="str">
        <f t="shared" si="142"/>
        <v xml:space="preserve"> </v>
      </c>
      <c r="AP374" s="16" t="str">
        <f t="shared" si="143"/>
        <v>-</v>
      </c>
      <c r="AQ374" s="8"/>
      <c r="AR374" s="17" t="str">
        <f t="shared" si="144"/>
        <v>-</v>
      </c>
      <c r="AS374" s="17" t="str">
        <f t="shared" si="145"/>
        <v>-</v>
      </c>
      <c r="AT374" s="13" t="str">
        <f t="shared" si="146"/>
        <v>-</v>
      </c>
      <c r="AU374" s="8"/>
    </row>
    <row r="375" spans="1:47" x14ac:dyDescent="0.25">
      <c r="A375" s="31"/>
      <c r="B375" s="31"/>
      <c r="C375"/>
      <c r="D375" s="31"/>
      <c r="E375"/>
      <c r="F375" s="31"/>
      <c r="G375"/>
      <c r="H375" s="27">
        <f>IF($G375&lt;&gt;0,SUMIF(куб!$G:$G,$G375,куб!H:H),IF($E375&lt;&gt;0,SUMIF(куб!$E:$E,$E375,куб!H:H),IF($D375&lt;&gt;0,SUMIF(куб!$D:$D,$D375,куб!H:H),IF($C375&lt;&gt;0,SUMIF(куб!$C:$C,$C375,куб!H:H),IF($B375&lt;&gt;0,SUMIF(куб!$B:$B,$B375,куб!H:H),IF($G375&lt;&gt;0,SUMIF(куб!$A:$A,$G375,куб!H:H),SUMIF(куб!$A:$A,$G375,куб!H:H)))))))</f>
        <v>0</v>
      </c>
      <c r="I375" s="27">
        <f>IF($G375&lt;&gt;0,SUMIF(куб!$G:$G,$G375,куб!I:I),IF($E375&lt;&gt;0,SUMIF(куб!$E:$E,$E375,куб!I:I),IF($D375&lt;&gt;0,SUMIF(куб!$D:$D,$D375,куб!I:I),IF($C375&lt;&gt;0,SUMIF(куб!$C:$C,$C375,куб!I:I),IF($B375&lt;&gt;0,SUMIF(куб!$B:$B,$B375,куб!I:I),IF($G375&lt;&gt;0,SUMIF(куб!$A:$A,$G375,куб!I:I),SUMIF(куб!$A:$A,$G375,куб!I:I)))))))</f>
        <v>0</v>
      </c>
      <c r="J375" s="19" t="str">
        <f t="shared" si="129"/>
        <v>-</v>
      </c>
      <c r="K375" s="8"/>
      <c r="L375" s="17">
        <f t="shared" si="130"/>
        <v>0</v>
      </c>
      <c r="M375" s="17">
        <f t="shared" si="131"/>
        <v>0</v>
      </c>
      <c r="N375" s="12">
        <f t="shared" si="132"/>
        <v>0</v>
      </c>
      <c r="O375" s="5"/>
      <c r="P375" s="27" t="b">
        <f>IF($G375&lt;&gt;0,SUMIF(куб!$G:$G,$G375,куб!J:J),IF($E375&lt;&gt;0,SUMIF(куб!$E:$E,$E375,куб!J:J),IF($D375&lt;&gt;0,SUMIF(куб!$D:$D,$D375,куб!J:J),IF($C375&lt;&gt;0,SUMIF(куб!$C:$C,$C375,куб!J:J),IF($B375&lt;&gt;0,SUMIF(куб!$B:$B,$B375,куб!J:J))))))</f>
        <v>0</v>
      </c>
      <c r="Q375" s="27" t="b">
        <f>IF($G375&lt;&gt;0,SUMIF(куб!$G:$G,$G375,куб!K:K),IF($E375&lt;&gt;0,SUMIF(куб!$E:$E,$E375,куб!K:K),IF($D375&lt;&gt;0,SUMIF(куб!$D:$D,$D375,куб!K:K),IF($C375&lt;&gt;0,SUMIF(куб!$C:$C,$C375,куб!K:K),IF($B375&lt;&gt;0,SUMIF(куб!$B:$B,$B375,куб!K:K))))))</f>
        <v>0</v>
      </c>
      <c r="R375" s="13" t="str">
        <f t="shared" si="133"/>
        <v>-</v>
      </c>
      <c r="S375" s="5"/>
      <c r="T375" s="27" t="b">
        <f>IF($G375&lt;&gt;0,SUMIF(куб!$G:$G,$G375,куб!L:L),IF($E375&lt;&gt;0,SUMIF(куб!$E:$E,$E375,куб!L:L),IF($D375&lt;&gt;0,SUMIF(куб!$D:$D,$D375,куб!L:L),IF($C375&lt;&gt;0,SUMIF(куб!$C:$C,$C375,куб!L:L),IF($B375&lt;&gt;0,SUMIF(куб!$B:$B,$B375,куб!L:L))))))</f>
        <v>0</v>
      </c>
      <c r="U375" s="27" t="b">
        <f>IF($G375&lt;&gt;0,SUMIF(куб!$G:$G,$G375,куб!M:M),IF($E375&lt;&gt;0,SUMIF(куб!$E:$E,$E375,куб!M:M),IF($D375&lt;&gt;0,SUMIF(куб!$D:$D,$D375,куб!M:M),IF($C375&lt;&gt;0,SUMIF(куб!$C:$C,$C375,куб!M:M),IF($B375&lt;&gt;0,SUMIF(куб!$B:$B,$B375,куб!M:M))))))</f>
        <v>0</v>
      </c>
      <c r="V375" s="13" t="str">
        <f t="shared" si="134"/>
        <v>-</v>
      </c>
      <c r="W375" s="5"/>
      <c r="X375" s="27" t="b">
        <f>IF($G375&lt;&gt;0,SUMIF(куб!$G:$G,$G375,куб!N:N),IF($E375&lt;&gt;0,SUMIF(куб!$E:$E,$E375,куб!N:N),IF($D375&lt;&gt;0,SUMIF(куб!$D:$D,$D375,куб!N:N),IF($C375&lt;&gt;0,SUMIF(куб!$C:$C,$C375,куб!N:N),IF($B375&lt;&gt;0,SUMIF(куб!$B:$B,$B375,куб!N:N))))))</f>
        <v>0</v>
      </c>
      <c r="Y375" s="27" t="b">
        <f>IF($G375&lt;&gt;0,SUMIF(куб!$G:$G,$G375,куб!O:O),IF($E375&lt;&gt;0,SUMIF(куб!$E:$E,$E375,куб!O:O),IF($D375&lt;&gt;0,SUMIF(куб!$D:$D,$D375,куб!O:O),IF($C375&lt;&gt;0,SUMIF(куб!$C:$C,$C375,куб!O:O),IF($B375&lt;&gt;0,SUMIF(куб!$B:$B,$B375,куб!O:O))))))</f>
        <v>0</v>
      </c>
      <c r="Z375" s="13" t="str">
        <f t="shared" si="135"/>
        <v>-</v>
      </c>
      <c r="AA375" s="5"/>
      <c r="AB375" s="33" t="str">
        <f t="shared" si="136"/>
        <v/>
      </c>
      <c r="AC375" s="33" t="str">
        <f t="shared" si="137"/>
        <v/>
      </c>
      <c r="AD375" s="15" t="str">
        <f t="shared" si="138"/>
        <v xml:space="preserve"> </v>
      </c>
      <c r="AE375" s="5"/>
      <c r="AF375" s="27" t="b">
        <f>IF($G375&lt;&gt;0,SUMIF(куб!$G:$G,$G375,куб!R:R),IF($E375&lt;&gt;0,SUMIF(куб!$E:$E,$E375,куб!R:R),IF($D375&lt;&gt;0,SUMIF(куб!$D:$D,$D375,куб!R:R),IF($C375&lt;&gt;0,SUMIF(куб!$C:$C,$C375,куб!R:R),IF($B375&lt;&gt;0,SUMIF(куб!$B:$B,$B375,куб!R:R))))))</f>
        <v>0</v>
      </c>
      <c r="AG375" s="27" t="b">
        <f>IF($G375&lt;&gt;0,SUMIF(куб!$G:$G,$G375,куб!S:S),IF($E375&lt;&gt;0,SUMIF(куб!$E:$E,$E375,куб!S:S),IF($D375&lt;&gt;0,SUMIF(куб!$D:$D,$D375,куб!S:S),IF($C375&lt;&gt;0,SUMIF(куб!$C:$C,$C375,куб!S:S),IF($B375&lt;&gt;0,SUMIF(куб!$B:$B,$B375,куб!S:S))))))</f>
        <v>0</v>
      </c>
      <c r="AH375" s="16" t="str">
        <f t="shared" si="139"/>
        <v>-</v>
      </c>
      <c r="AI375" s="8"/>
      <c r="AJ375" s="27" t="b">
        <f>IF($G375&lt;&gt;0,SUMIF(куб!$G:$G,$G375,куб!T:T),IF($E375&lt;&gt;0,SUMIF(куб!$E:$E,$E375,куб!T:T),IF($D375&lt;&gt;0,SUMIF(куб!$D:$D,$D375,куб!T:T),IF($C375&lt;&gt;0,SUMIF(куб!$C:$C,$C375,куб!T:T),IF($B375&lt;&gt;0,SUMIF(куб!$B:$B,$B375,куб!T:T))))))</f>
        <v>0</v>
      </c>
      <c r="AK375" s="27" t="b">
        <f>IF($G375&lt;&gt;0,SUMIF(куб!$G:$G,$G375,куб!U:U),IF($E375&lt;&gt;0,SUMIF(куб!$E:$E,$E375,куб!U:U),IF($D375&lt;&gt;0,SUMIF(куб!$D:$D,$D375,куб!U:U),IF($C375&lt;&gt;0,SUMIF(куб!$C:$C,$C375,куб!U:U),IF($B375&lt;&gt;0,SUMIF(куб!$B:$B,$B375,куб!U:U))))))</f>
        <v>0</v>
      </c>
      <c r="AL375" s="16" t="str">
        <f t="shared" si="140"/>
        <v>-</v>
      </c>
      <c r="AM375" s="8"/>
      <c r="AN375" s="17" t="str">
        <f t="shared" si="141"/>
        <v xml:space="preserve"> </v>
      </c>
      <c r="AO375" s="17" t="str">
        <f t="shared" si="142"/>
        <v xml:space="preserve"> </v>
      </c>
      <c r="AP375" s="16" t="str">
        <f t="shared" si="143"/>
        <v>-</v>
      </c>
      <c r="AQ375" s="8"/>
      <c r="AR375" s="17" t="str">
        <f t="shared" si="144"/>
        <v>-</v>
      </c>
      <c r="AS375" s="17" t="str">
        <f t="shared" si="145"/>
        <v>-</v>
      </c>
      <c r="AT375" s="13" t="str">
        <f t="shared" si="146"/>
        <v>-</v>
      </c>
      <c r="AU375" s="8"/>
    </row>
    <row r="376" spans="1:47" x14ac:dyDescent="0.25">
      <c r="A376" s="31"/>
      <c r="B376" s="31"/>
      <c r="C376"/>
      <c r="D376" s="31"/>
      <c r="E376"/>
      <c r="F376" s="31"/>
      <c r="G376"/>
      <c r="H376" s="27">
        <f>IF($G376&lt;&gt;0,SUMIF(куб!$G:$G,$G376,куб!H:H),IF($E376&lt;&gt;0,SUMIF(куб!$E:$E,$E376,куб!H:H),IF($D376&lt;&gt;0,SUMIF(куб!$D:$D,$D376,куб!H:H),IF($C376&lt;&gt;0,SUMIF(куб!$C:$C,$C376,куб!H:H),IF($B376&lt;&gt;0,SUMIF(куб!$B:$B,$B376,куб!H:H),IF($G376&lt;&gt;0,SUMIF(куб!$A:$A,$G376,куб!H:H),SUMIF(куб!$A:$A,$G376,куб!H:H)))))))</f>
        <v>0</v>
      </c>
      <c r="I376" s="27">
        <f>IF($G376&lt;&gt;0,SUMIF(куб!$G:$G,$G376,куб!I:I),IF($E376&lt;&gt;0,SUMIF(куб!$E:$E,$E376,куб!I:I),IF($D376&lt;&gt;0,SUMIF(куб!$D:$D,$D376,куб!I:I),IF($C376&lt;&gt;0,SUMIF(куб!$C:$C,$C376,куб!I:I),IF($B376&lt;&gt;0,SUMIF(куб!$B:$B,$B376,куб!I:I),IF($G376&lt;&gt;0,SUMIF(куб!$A:$A,$G376,куб!I:I),SUMIF(куб!$A:$A,$G376,куб!I:I)))))))</f>
        <v>0</v>
      </c>
      <c r="J376" s="19" t="str">
        <f t="shared" si="129"/>
        <v>-</v>
      </c>
      <c r="K376" s="8"/>
      <c r="L376" s="17">
        <f t="shared" si="130"/>
        <v>0</v>
      </c>
      <c r="M376" s="17">
        <f t="shared" si="131"/>
        <v>0</v>
      </c>
      <c r="N376" s="12">
        <f t="shared" si="132"/>
        <v>0</v>
      </c>
      <c r="O376" s="5"/>
      <c r="P376" s="27" t="b">
        <f>IF($G376&lt;&gt;0,SUMIF(куб!$G:$G,$G376,куб!J:J),IF($E376&lt;&gt;0,SUMIF(куб!$E:$E,$E376,куб!J:J),IF($D376&lt;&gt;0,SUMIF(куб!$D:$D,$D376,куб!J:J),IF($C376&lt;&gt;0,SUMIF(куб!$C:$C,$C376,куб!J:J),IF($B376&lt;&gt;0,SUMIF(куб!$B:$B,$B376,куб!J:J))))))</f>
        <v>0</v>
      </c>
      <c r="Q376" s="27" t="b">
        <f>IF($G376&lt;&gt;0,SUMIF(куб!$G:$G,$G376,куб!K:K),IF($E376&lt;&gt;0,SUMIF(куб!$E:$E,$E376,куб!K:K),IF($D376&lt;&gt;0,SUMIF(куб!$D:$D,$D376,куб!K:K),IF($C376&lt;&gt;0,SUMIF(куб!$C:$C,$C376,куб!K:K),IF($B376&lt;&gt;0,SUMIF(куб!$B:$B,$B376,куб!K:K))))))</f>
        <v>0</v>
      </c>
      <c r="R376" s="13" t="str">
        <f t="shared" si="133"/>
        <v>-</v>
      </c>
      <c r="S376" s="5"/>
      <c r="T376" s="27" t="b">
        <f>IF($G376&lt;&gt;0,SUMIF(куб!$G:$G,$G376,куб!L:L),IF($E376&lt;&gt;0,SUMIF(куб!$E:$E,$E376,куб!L:L),IF($D376&lt;&gt;0,SUMIF(куб!$D:$D,$D376,куб!L:L),IF($C376&lt;&gt;0,SUMIF(куб!$C:$C,$C376,куб!L:L),IF($B376&lt;&gt;0,SUMIF(куб!$B:$B,$B376,куб!L:L))))))</f>
        <v>0</v>
      </c>
      <c r="U376" s="27" t="b">
        <f>IF($G376&lt;&gt;0,SUMIF(куб!$G:$G,$G376,куб!M:M),IF($E376&lt;&gt;0,SUMIF(куб!$E:$E,$E376,куб!M:M),IF($D376&lt;&gt;0,SUMIF(куб!$D:$D,$D376,куб!M:M),IF($C376&lt;&gt;0,SUMIF(куб!$C:$C,$C376,куб!M:M),IF($B376&lt;&gt;0,SUMIF(куб!$B:$B,$B376,куб!M:M))))))</f>
        <v>0</v>
      </c>
      <c r="V376" s="13" t="str">
        <f t="shared" si="134"/>
        <v>-</v>
      </c>
      <c r="W376" s="5"/>
      <c r="X376" s="27" t="b">
        <f>IF($G376&lt;&gt;0,SUMIF(куб!$G:$G,$G376,куб!N:N),IF($E376&lt;&gt;0,SUMIF(куб!$E:$E,$E376,куб!N:N),IF($D376&lt;&gt;0,SUMIF(куб!$D:$D,$D376,куб!N:N),IF($C376&lt;&gt;0,SUMIF(куб!$C:$C,$C376,куб!N:N),IF($B376&lt;&gt;0,SUMIF(куб!$B:$B,$B376,куб!N:N))))))</f>
        <v>0</v>
      </c>
      <c r="Y376" s="27" t="b">
        <f>IF($G376&lt;&gt;0,SUMIF(куб!$G:$G,$G376,куб!O:O),IF($E376&lt;&gt;0,SUMIF(куб!$E:$E,$E376,куб!O:O),IF($D376&lt;&gt;0,SUMIF(куб!$D:$D,$D376,куб!O:O),IF($C376&lt;&gt;0,SUMIF(куб!$C:$C,$C376,куб!O:O),IF($B376&lt;&gt;0,SUMIF(куб!$B:$B,$B376,куб!O:O))))))</f>
        <v>0</v>
      </c>
      <c r="Z376" s="13" t="str">
        <f t="shared" si="135"/>
        <v>-</v>
      </c>
      <c r="AA376" s="5"/>
      <c r="AB376" s="33" t="str">
        <f t="shared" si="136"/>
        <v/>
      </c>
      <c r="AC376" s="33" t="str">
        <f t="shared" si="137"/>
        <v/>
      </c>
      <c r="AD376" s="15" t="str">
        <f t="shared" si="138"/>
        <v xml:space="preserve"> </v>
      </c>
      <c r="AE376" s="5"/>
      <c r="AF376" s="27" t="b">
        <f>IF($G376&lt;&gt;0,SUMIF(куб!$G:$G,$G376,куб!R:R),IF($E376&lt;&gt;0,SUMIF(куб!$E:$E,$E376,куб!R:R),IF($D376&lt;&gt;0,SUMIF(куб!$D:$D,$D376,куб!R:R),IF($C376&lt;&gt;0,SUMIF(куб!$C:$C,$C376,куб!R:R),IF($B376&lt;&gt;0,SUMIF(куб!$B:$B,$B376,куб!R:R))))))</f>
        <v>0</v>
      </c>
      <c r="AG376" s="27" t="b">
        <f>IF($G376&lt;&gt;0,SUMIF(куб!$G:$G,$G376,куб!S:S),IF($E376&lt;&gt;0,SUMIF(куб!$E:$E,$E376,куб!S:S),IF($D376&lt;&gt;0,SUMIF(куб!$D:$D,$D376,куб!S:S),IF($C376&lt;&gt;0,SUMIF(куб!$C:$C,$C376,куб!S:S),IF($B376&lt;&gt;0,SUMIF(куб!$B:$B,$B376,куб!S:S))))))</f>
        <v>0</v>
      </c>
      <c r="AH376" s="16" t="str">
        <f t="shared" si="139"/>
        <v>-</v>
      </c>
      <c r="AI376" s="8"/>
      <c r="AJ376" s="27" t="b">
        <f>IF($G376&lt;&gt;0,SUMIF(куб!$G:$G,$G376,куб!T:T),IF($E376&lt;&gt;0,SUMIF(куб!$E:$E,$E376,куб!T:T),IF($D376&lt;&gt;0,SUMIF(куб!$D:$D,$D376,куб!T:T),IF($C376&lt;&gt;0,SUMIF(куб!$C:$C,$C376,куб!T:T),IF($B376&lt;&gt;0,SUMIF(куб!$B:$B,$B376,куб!T:T))))))</f>
        <v>0</v>
      </c>
      <c r="AK376" s="27" t="b">
        <f>IF($G376&lt;&gt;0,SUMIF(куб!$G:$G,$G376,куб!U:U),IF($E376&lt;&gt;0,SUMIF(куб!$E:$E,$E376,куб!U:U),IF($D376&lt;&gt;0,SUMIF(куб!$D:$D,$D376,куб!U:U),IF($C376&lt;&gt;0,SUMIF(куб!$C:$C,$C376,куб!U:U),IF($B376&lt;&gt;0,SUMIF(куб!$B:$B,$B376,куб!U:U))))))</f>
        <v>0</v>
      </c>
      <c r="AL376" s="16" t="str">
        <f t="shared" si="140"/>
        <v>-</v>
      </c>
      <c r="AM376" s="8"/>
      <c r="AN376" s="17" t="str">
        <f t="shared" si="141"/>
        <v xml:space="preserve"> </v>
      </c>
      <c r="AO376" s="17" t="str">
        <f t="shared" si="142"/>
        <v xml:space="preserve"> </v>
      </c>
      <c r="AP376" s="16" t="str">
        <f t="shared" si="143"/>
        <v>-</v>
      </c>
      <c r="AQ376" s="8"/>
      <c r="AR376" s="17" t="str">
        <f t="shared" si="144"/>
        <v>-</v>
      </c>
      <c r="AS376" s="17" t="str">
        <f t="shared" si="145"/>
        <v>-</v>
      </c>
      <c r="AT376" s="13" t="str">
        <f t="shared" si="146"/>
        <v>-</v>
      </c>
      <c r="AU376" s="8"/>
    </row>
    <row r="377" spans="1:47" x14ac:dyDescent="0.25">
      <c r="A377" s="31"/>
      <c r="B377" s="31"/>
      <c r="C377"/>
      <c r="D377" s="31"/>
      <c r="E377"/>
      <c r="F377" s="31"/>
      <c r="G377"/>
      <c r="H377" s="27">
        <f>IF($G377&lt;&gt;0,SUMIF(куб!$G:$G,$G377,куб!H:H),IF($E377&lt;&gt;0,SUMIF(куб!$E:$E,$E377,куб!H:H),IF($D377&lt;&gt;0,SUMIF(куб!$D:$D,$D377,куб!H:H),IF($C377&lt;&gt;0,SUMIF(куб!$C:$C,$C377,куб!H:H),IF($B377&lt;&gt;0,SUMIF(куб!$B:$B,$B377,куб!H:H),IF($G377&lt;&gt;0,SUMIF(куб!$A:$A,$G377,куб!H:H),SUMIF(куб!$A:$A,$G377,куб!H:H)))))))</f>
        <v>0</v>
      </c>
      <c r="I377" s="27">
        <f>IF($G377&lt;&gt;0,SUMIF(куб!$G:$G,$G377,куб!I:I),IF($E377&lt;&gt;0,SUMIF(куб!$E:$E,$E377,куб!I:I),IF($D377&lt;&gt;0,SUMIF(куб!$D:$D,$D377,куб!I:I),IF($C377&lt;&gt;0,SUMIF(куб!$C:$C,$C377,куб!I:I),IF($B377&lt;&gt;0,SUMIF(куб!$B:$B,$B377,куб!I:I),IF($G377&lt;&gt;0,SUMIF(куб!$A:$A,$G377,куб!I:I),SUMIF(куб!$A:$A,$G377,куб!I:I)))))))</f>
        <v>0</v>
      </c>
      <c r="J377" s="19" t="str">
        <f t="shared" si="129"/>
        <v>-</v>
      </c>
      <c r="K377" s="8"/>
      <c r="L377" s="17">
        <f t="shared" si="130"/>
        <v>0</v>
      </c>
      <c r="M377" s="17">
        <f t="shared" si="131"/>
        <v>0</v>
      </c>
      <c r="N377" s="12">
        <f t="shared" si="132"/>
        <v>0</v>
      </c>
      <c r="O377" s="5"/>
      <c r="P377" s="27" t="b">
        <f>IF($G377&lt;&gt;0,SUMIF(куб!$G:$G,$G377,куб!J:J),IF($E377&lt;&gt;0,SUMIF(куб!$E:$E,$E377,куб!J:J),IF($D377&lt;&gt;0,SUMIF(куб!$D:$D,$D377,куб!J:J),IF($C377&lt;&gt;0,SUMIF(куб!$C:$C,$C377,куб!J:J),IF($B377&lt;&gt;0,SUMIF(куб!$B:$B,$B377,куб!J:J))))))</f>
        <v>0</v>
      </c>
      <c r="Q377" s="27" t="b">
        <f>IF($G377&lt;&gt;0,SUMIF(куб!$G:$G,$G377,куб!K:K),IF($E377&lt;&gt;0,SUMIF(куб!$E:$E,$E377,куб!K:K),IF($D377&lt;&gt;0,SUMIF(куб!$D:$D,$D377,куб!K:K),IF($C377&lt;&gt;0,SUMIF(куб!$C:$C,$C377,куб!K:K),IF($B377&lt;&gt;0,SUMIF(куб!$B:$B,$B377,куб!K:K))))))</f>
        <v>0</v>
      </c>
      <c r="R377" s="13" t="str">
        <f t="shared" si="133"/>
        <v>-</v>
      </c>
      <c r="S377" s="5"/>
      <c r="T377" s="27" t="b">
        <f>IF($G377&lt;&gt;0,SUMIF(куб!$G:$G,$G377,куб!L:L),IF($E377&lt;&gt;0,SUMIF(куб!$E:$E,$E377,куб!L:L),IF($D377&lt;&gt;0,SUMIF(куб!$D:$D,$D377,куб!L:L),IF($C377&lt;&gt;0,SUMIF(куб!$C:$C,$C377,куб!L:L),IF($B377&lt;&gt;0,SUMIF(куб!$B:$B,$B377,куб!L:L))))))</f>
        <v>0</v>
      </c>
      <c r="U377" s="27" t="b">
        <f>IF($G377&lt;&gt;0,SUMIF(куб!$G:$G,$G377,куб!M:M),IF($E377&lt;&gt;0,SUMIF(куб!$E:$E,$E377,куб!M:M),IF($D377&lt;&gt;0,SUMIF(куб!$D:$D,$D377,куб!M:M),IF($C377&lt;&gt;0,SUMIF(куб!$C:$C,$C377,куб!M:M),IF($B377&lt;&gt;0,SUMIF(куб!$B:$B,$B377,куб!M:M))))))</f>
        <v>0</v>
      </c>
      <c r="V377" s="13" t="str">
        <f t="shared" si="134"/>
        <v>-</v>
      </c>
      <c r="W377" s="5"/>
      <c r="X377" s="27" t="b">
        <f>IF($G377&lt;&gt;0,SUMIF(куб!$G:$G,$G377,куб!N:N),IF($E377&lt;&gt;0,SUMIF(куб!$E:$E,$E377,куб!N:N),IF($D377&lt;&gt;0,SUMIF(куб!$D:$D,$D377,куб!N:N),IF($C377&lt;&gt;0,SUMIF(куб!$C:$C,$C377,куб!N:N),IF($B377&lt;&gt;0,SUMIF(куб!$B:$B,$B377,куб!N:N))))))</f>
        <v>0</v>
      </c>
      <c r="Y377" s="27" t="b">
        <f>IF($G377&lt;&gt;0,SUMIF(куб!$G:$G,$G377,куб!O:O),IF($E377&lt;&gt;0,SUMIF(куб!$E:$E,$E377,куб!O:O),IF($D377&lt;&gt;0,SUMIF(куб!$D:$D,$D377,куб!O:O),IF($C377&lt;&gt;0,SUMIF(куб!$C:$C,$C377,куб!O:O),IF($B377&lt;&gt;0,SUMIF(куб!$B:$B,$B377,куб!O:O))))))</f>
        <v>0</v>
      </c>
      <c r="Z377" s="13" t="str">
        <f t="shared" si="135"/>
        <v>-</v>
      </c>
      <c r="AA377" s="5"/>
      <c r="AB377" s="33" t="str">
        <f t="shared" si="136"/>
        <v/>
      </c>
      <c r="AC377" s="33" t="str">
        <f t="shared" si="137"/>
        <v/>
      </c>
      <c r="AD377" s="15" t="str">
        <f t="shared" si="138"/>
        <v xml:space="preserve"> </v>
      </c>
      <c r="AE377" s="5"/>
      <c r="AF377" s="27" t="b">
        <f>IF($G377&lt;&gt;0,SUMIF(куб!$G:$G,$G377,куб!R:R),IF($E377&lt;&gt;0,SUMIF(куб!$E:$E,$E377,куб!R:R),IF($D377&lt;&gt;0,SUMIF(куб!$D:$D,$D377,куб!R:R),IF($C377&lt;&gt;0,SUMIF(куб!$C:$C,$C377,куб!R:R),IF($B377&lt;&gt;0,SUMIF(куб!$B:$B,$B377,куб!R:R))))))</f>
        <v>0</v>
      </c>
      <c r="AG377" s="27" t="b">
        <f>IF($G377&lt;&gt;0,SUMIF(куб!$G:$G,$G377,куб!S:S),IF($E377&lt;&gt;0,SUMIF(куб!$E:$E,$E377,куб!S:S),IF($D377&lt;&gt;0,SUMIF(куб!$D:$D,$D377,куб!S:S),IF($C377&lt;&gt;0,SUMIF(куб!$C:$C,$C377,куб!S:S),IF($B377&lt;&gt;0,SUMIF(куб!$B:$B,$B377,куб!S:S))))))</f>
        <v>0</v>
      </c>
      <c r="AH377" s="16" t="str">
        <f t="shared" si="139"/>
        <v>-</v>
      </c>
      <c r="AI377" s="8"/>
      <c r="AJ377" s="27" t="b">
        <f>IF($G377&lt;&gt;0,SUMIF(куб!$G:$G,$G377,куб!T:T),IF($E377&lt;&gt;0,SUMIF(куб!$E:$E,$E377,куб!T:T),IF($D377&lt;&gt;0,SUMIF(куб!$D:$D,$D377,куб!T:T),IF($C377&lt;&gt;0,SUMIF(куб!$C:$C,$C377,куб!T:T),IF($B377&lt;&gt;0,SUMIF(куб!$B:$B,$B377,куб!T:T))))))</f>
        <v>0</v>
      </c>
      <c r="AK377" s="27" t="b">
        <f>IF($G377&lt;&gt;0,SUMIF(куб!$G:$G,$G377,куб!U:U),IF($E377&lt;&gt;0,SUMIF(куб!$E:$E,$E377,куб!U:U),IF($D377&lt;&gt;0,SUMIF(куб!$D:$D,$D377,куб!U:U),IF($C377&lt;&gt;0,SUMIF(куб!$C:$C,$C377,куб!U:U),IF($B377&lt;&gt;0,SUMIF(куб!$B:$B,$B377,куб!U:U))))))</f>
        <v>0</v>
      </c>
      <c r="AL377" s="16" t="str">
        <f t="shared" si="140"/>
        <v>-</v>
      </c>
      <c r="AM377" s="8"/>
      <c r="AN377" s="17" t="str">
        <f t="shared" si="141"/>
        <v xml:space="preserve"> </v>
      </c>
      <c r="AO377" s="17" t="str">
        <f t="shared" si="142"/>
        <v xml:space="preserve"> </v>
      </c>
      <c r="AP377" s="16" t="str">
        <f t="shared" si="143"/>
        <v>-</v>
      </c>
      <c r="AQ377" s="8"/>
      <c r="AR377" s="17" t="str">
        <f t="shared" si="144"/>
        <v>-</v>
      </c>
      <c r="AS377" s="17" t="str">
        <f t="shared" si="145"/>
        <v>-</v>
      </c>
      <c r="AT377" s="13" t="str">
        <f t="shared" si="146"/>
        <v>-</v>
      </c>
      <c r="AU377" s="8"/>
    </row>
    <row r="378" spans="1:47" x14ac:dyDescent="0.25">
      <c r="A378" s="31"/>
      <c r="B378" s="31"/>
      <c r="C378"/>
      <c r="D378" s="31"/>
      <c r="E378"/>
      <c r="F378" s="31"/>
      <c r="G378"/>
      <c r="H378" s="27">
        <f>IF($G378&lt;&gt;0,SUMIF(куб!$G:$G,$G378,куб!H:H),IF($E378&lt;&gt;0,SUMIF(куб!$E:$E,$E378,куб!H:H),IF($D378&lt;&gt;0,SUMIF(куб!$D:$D,$D378,куб!H:H),IF($C378&lt;&gt;0,SUMIF(куб!$C:$C,$C378,куб!H:H),IF($B378&lt;&gt;0,SUMIF(куб!$B:$B,$B378,куб!H:H),IF($G378&lt;&gt;0,SUMIF(куб!$A:$A,$G378,куб!H:H),SUMIF(куб!$A:$A,$G378,куб!H:H)))))))</f>
        <v>0</v>
      </c>
      <c r="I378" s="27">
        <f>IF($G378&lt;&gt;0,SUMIF(куб!$G:$G,$G378,куб!I:I),IF($E378&lt;&gt;0,SUMIF(куб!$E:$E,$E378,куб!I:I),IF($D378&lt;&gt;0,SUMIF(куб!$D:$D,$D378,куб!I:I),IF($C378&lt;&gt;0,SUMIF(куб!$C:$C,$C378,куб!I:I),IF($B378&lt;&gt;0,SUMIF(куб!$B:$B,$B378,куб!I:I),IF($G378&lt;&gt;0,SUMIF(куб!$A:$A,$G378,куб!I:I),SUMIF(куб!$A:$A,$G378,куб!I:I)))))))</f>
        <v>0</v>
      </c>
      <c r="J378" s="19" t="str">
        <f t="shared" si="129"/>
        <v>-</v>
      </c>
      <c r="K378" s="8"/>
      <c r="L378" s="17">
        <f t="shared" si="130"/>
        <v>0</v>
      </c>
      <c r="M378" s="17">
        <f t="shared" si="131"/>
        <v>0</v>
      </c>
      <c r="N378" s="12">
        <f t="shared" si="132"/>
        <v>0</v>
      </c>
      <c r="O378" s="5"/>
      <c r="P378" s="27" t="b">
        <f>IF($G378&lt;&gt;0,SUMIF(куб!$G:$G,$G378,куб!J:J),IF($E378&lt;&gt;0,SUMIF(куб!$E:$E,$E378,куб!J:J),IF($D378&lt;&gt;0,SUMIF(куб!$D:$D,$D378,куб!J:J),IF($C378&lt;&gt;0,SUMIF(куб!$C:$C,$C378,куб!J:J),IF($B378&lt;&gt;0,SUMIF(куб!$B:$B,$B378,куб!J:J))))))</f>
        <v>0</v>
      </c>
      <c r="Q378" s="27" t="b">
        <f>IF($G378&lt;&gt;0,SUMIF(куб!$G:$G,$G378,куб!K:K),IF($E378&lt;&gt;0,SUMIF(куб!$E:$E,$E378,куб!K:K),IF($D378&lt;&gt;0,SUMIF(куб!$D:$D,$D378,куб!K:K),IF($C378&lt;&gt;0,SUMIF(куб!$C:$C,$C378,куб!K:K),IF($B378&lt;&gt;0,SUMIF(куб!$B:$B,$B378,куб!K:K))))))</f>
        <v>0</v>
      </c>
      <c r="R378" s="13" t="str">
        <f t="shared" si="133"/>
        <v>-</v>
      </c>
      <c r="S378" s="5"/>
      <c r="T378" s="27" t="b">
        <f>IF($G378&lt;&gt;0,SUMIF(куб!$G:$G,$G378,куб!L:L),IF($E378&lt;&gt;0,SUMIF(куб!$E:$E,$E378,куб!L:L),IF($D378&lt;&gt;0,SUMIF(куб!$D:$D,$D378,куб!L:L),IF($C378&lt;&gt;0,SUMIF(куб!$C:$C,$C378,куб!L:L),IF($B378&lt;&gt;0,SUMIF(куб!$B:$B,$B378,куб!L:L))))))</f>
        <v>0</v>
      </c>
      <c r="U378" s="27" t="b">
        <f>IF($G378&lt;&gt;0,SUMIF(куб!$G:$G,$G378,куб!M:M),IF($E378&lt;&gt;0,SUMIF(куб!$E:$E,$E378,куб!M:M),IF($D378&lt;&gt;0,SUMIF(куб!$D:$D,$D378,куб!M:M),IF($C378&lt;&gt;0,SUMIF(куб!$C:$C,$C378,куб!M:M),IF($B378&lt;&gt;0,SUMIF(куб!$B:$B,$B378,куб!M:M))))))</f>
        <v>0</v>
      </c>
      <c r="V378" s="13" t="str">
        <f t="shared" si="134"/>
        <v>-</v>
      </c>
      <c r="W378" s="5"/>
      <c r="X378" s="27" t="b">
        <f>IF($G378&lt;&gt;0,SUMIF(куб!$G:$G,$G378,куб!N:N),IF($E378&lt;&gt;0,SUMIF(куб!$E:$E,$E378,куб!N:N),IF($D378&lt;&gt;0,SUMIF(куб!$D:$D,$D378,куб!N:N),IF($C378&lt;&gt;0,SUMIF(куб!$C:$C,$C378,куб!N:N),IF($B378&lt;&gt;0,SUMIF(куб!$B:$B,$B378,куб!N:N))))))</f>
        <v>0</v>
      </c>
      <c r="Y378" s="27" t="b">
        <f>IF($G378&lt;&gt;0,SUMIF(куб!$G:$G,$G378,куб!O:O),IF($E378&lt;&gt;0,SUMIF(куб!$E:$E,$E378,куб!O:O),IF($D378&lt;&gt;0,SUMIF(куб!$D:$D,$D378,куб!O:O),IF($C378&lt;&gt;0,SUMIF(куб!$C:$C,$C378,куб!O:O),IF($B378&lt;&gt;0,SUMIF(куб!$B:$B,$B378,куб!O:O))))))</f>
        <v>0</v>
      </c>
      <c r="Z378" s="13" t="str">
        <f t="shared" si="135"/>
        <v>-</v>
      </c>
      <c r="AA378" s="5"/>
      <c r="AB378" s="33" t="str">
        <f t="shared" si="136"/>
        <v/>
      </c>
      <c r="AC378" s="33" t="str">
        <f t="shared" si="137"/>
        <v/>
      </c>
      <c r="AD378" s="15" t="str">
        <f t="shared" si="138"/>
        <v xml:space="preserve"> </v>
      </c>
      <c r="AE378" s="5"/>
      <c r="AF378" s="27" t="b">
        <f>IF($G378&lt;&gt;0,SUMIF(куб!$G:$G,$G378,куб!R:R),IF($E378&lt;&gt;0,SUMIF(куб!$E:$E,$E378,куб!R:R),IF($D378&lt;&gt;0,SUMIF(куб!$D:$D,$D378,куб!R:R),IF($C378&lt;&gt;0,SUMIF(куб!$C:$C,$C378,куб!R:R),IF($B378&lt;&gt;0,SUMIF(куб!$B:$B,$B378,куб!R:R))))))</f>
        <v>0</v>
      </c>
      <c r="AG378" s="27" t="b">
        <f>IF($G378&lt;&gt;0,SUMIF(куб!$G:$G,$G378,куб!S:S),IF($E378&lt;&gt;0,SUMIF(куб!$E:$E,$E378,куб!S:S),IF($D378&lt;&gt;0,SUMIF(куб!$D:$D,$D378,куб!S:S),IF($C378&lt;&gt;0,SUMIF(куб!$C:$C,$C378,куб!S:S),IF($B378&lt;&gt;0,SUMIF(куб!$B:$B,$B378,куб!S:S))))))</f>
        <v>0</v>
      </c>
      <c r="AH378" s="16" t="str">
        <f t="shared" si="139"/>
        <v>-</v>
      </c>
      <c r="AI378" s="8"/>
      <c r="AJ378" s="27" t="b">
        <f>IF($G378&lt;&gt;0,SUMIF(куб!$G:$G,$G378,куб!T:T),IF($E378&lt;&gt;0,SUMIF(куб!$E:$E,$E378,куб!T:T),IF($D378&lt;&gt;0,SUMIF(куб!$D:$D,$D378,куб!T:T),IF($C378&lt;&gt;0,SUMIF(куб!$C:$C,$C378,куб!T:T),IF($B378&lt;&gt;0,SUMIF(куб!$B:$B,$B378,куб!T:T))))))</f>
        <v>0</v>
      </c>
      <c r="AK378" s="27" t="b">
        <f>IF($G378&lt;&gt;0,SUMIF(куб!$G:$G,$G378,куб!U:U),IF($E378&lt;&gt;0,SUMIF(куб!$E:$E,$E378,куб!U:U),IF($D378&lt;&gt;0,SUMIF(куб!$D:$D,$D378,куб!U:U),IF($C378&lt;&gt;0,SUMIF(куб!$C:$C,$C378,куб!U:U),IF($B378&lt;&gt;0,SUMIF(куб!$B:$B,$B378,куб!U:U))))))</f>
        <v>0</v>
      </c>
      <c r="AL378" s="16" t="str">
        <f t="shared" si="140"/>
        <v>-</v>
      </c>
      <c r="AM378" s="8"/>
      <c r="AN378" s="17" t="str">
        <f t="shared" si="141"/>
        <v xml:space="preserve"> </v>
      </c>
      <c r="AO378" s="17" t="str">
        <f t="shared" si="142"/>
        <v xml:space="preserve"> </v>
      </c>
      <c r="AP378" s="16" t="str">
        <f t="shared" si="143"/>
        <v>-</v>
      </c>
      <c r="AQ378" s="8"/>
      <c r="AR378" s="17" t="str">
        <f t="shared" si="144"/>
        <v>-</v>
      </c>
      <c r="AS378" s="17" t="str">
        <f t="shared" si="145"/>
        <v>-</v>
      </c>
      <c r="AT378" s="13" t="str">
        <f t="shared" si="146"/>
        <v>-</v>
      </c>
      <c r="AU378" s="8"/>
    </row>
    <row r="379" spans="1:47" x14ac:dyDescent="0.25">
      <c r="A379" s="31"/>
      <c r="B379" s="31"/>
      <c r="C379"/>
      <c r="D379" s="31"/>
      <c r="E379"/>
      <c r="F379"/>
      <c r="G379"/>
      <c r="H379" s="27">
        <f>IF($G379&lt;&gt;0,SUMIF(куб!$G:$G,$G379,куб!H:H),IF($E379&lt;&gt;0,SUMIF(куб!$E:$E,$E379,куб!H:H),IF($D379&lt;&gt;0,SUMIF(куб!$D:$D,$D379,куб!H:H),IF($C379&lt;&gt;0,SUMIF(куб!$C:$C,$C379,куб!H:H),IF($B379&lt;&gt;0,SUMIF(куб!$B:$B,$B379,куб!H:H),IF($G379&lt;&gt;0,SUMIF(куб!$A:$A,$G379,куб!H:H),SUMIF(куб!$A:$A,$G379,куб!H:H)))))))</f>
        <v>0</v>
      </c>
      <c r="I379" s="27">
        <f>IF($G379&lt;&gt;0,SUMIF(куб!$G:$G,$G379,куб!I:I),IF($E379&lt;&gt;0,SUMIF(куб!$E:$E,$E379,куб!I:I),IF($D379&lt;&gt;0,SUMIF(куб!$D:$D,$D379,куб!I:I),IF($C379&lt;&gt;0,SUMIF(куб!$C:$C,$C379,куб!I:I),IF($B379&lt;&gt;0,SUMIF(куб!$B:$B,$B379,куб!I:I),IF($G379&lt;&gt;0,SUMIF(куб!$A:$A,$G379,куб!I:I),SUMIF(куб!$A:$A,$G379,куб!I:I)))))))</f>
        <v>0</v>
      </c>
      <c r="J379" s="19" t="str">
        <f t="shared" si="129"/>
        <v>-</v>
      </c>
      <c r="K379" s="8"/>
      <c r="L379" s="17">
        <f t="shared" si="130"/>
        <v>0</v>
      </c>
      <c r="M379" s="17">
        <f t="shared" si="131"/>
        <v>0</v>
      </c>
      <c r="N379" s="12">
        <f t="shared" si="132"/>
        <v>0</v>
      </c>
      <c r="O379" s="5"/>
      <c r="P379" s="27" t="b">
        <f>IF($G379&lt;&gt;0,SUMIF(куб!$G:$G,$G379,куб!J:J),IF($E379&lt;&gt;0,SUMIF(куб!$E:$E,$E379,куб!J:J),IF($D379&lt;&gt;0,SUMIF(куб!$D:$D,$D379,куб!J:J),IF($C379&lt;&gt;0,SUMIF(куб!$C:$C,$C379,куб!J:J),IF($B379&lt;&gt;0,SUMIF(куб!$B:$B,$B379,куб!J:J))))))</f>
        <v>0</v>
      </c>
      <c r="Q379" s="27" t="b">
        <f>IF($G379&lt;&gt;0,SUMIF(куб!$G:$G,$G379,куб!K:K),IF($E379&lt;&gt;0,SUMIF(куб!$E:$E,$E379,куб!K:K),IF($D379&lt;&gt;0,SUMIF(куб!$D:$D,$D379,куб!K:K),IF($C379&lt;&gt;0,SUMIF(куб!$C:$C,$C379,куб!K:K),IF($B379&lt;&gt;0,SUMIF(куб!$B:$B,$B379,куб!K:K))))))</f>
        <v>0</v>
      </c>
      <c r="R379" s="13" t="str">
        <f t="shared" si="133"/>
        <v>-</v>
      </c>
      <c r="S379" s="5"/>
      <c r="T379" s="27" t="b">
        <f>IF($G379&lt;&gt;0,SUMIF(куб!$G:$G,$G379,куб!L:L),IF($E379&lt;&gt;0,SUMIF(куб!$E:$E,$E379,куб!L:L),IF($D379&lt;&gt;0,SUMIF(куб!$D:$D,$D379,куб!L:L),IF($C379&lt;&gt;0,SUMIF(куб!$C:$C,$C379,куб!L:L),IF($B379&lt;&gt;0,SUMIF(куб!$B:$B,$B379,куб!L:L))))))</f>
        <v>0</v>
      </c>
      <c r="U379" s="27" t="b">
        <f>IF($G379&lt;&gt;0,SUMIF(куб!$G:$G,$G379,куб!M:M),IF($E379&lt;&gt;0,SUMIF(куб!$E:$E,$E379,куб!M:M),IF($D379&lt;&gt;0,SUMIF(куб!$D:$D,$D379,куб!M:M),IF($C379&lt;&gt;0,SUMIF(куб!$C:$C,$C379,куб!M:M),IF($B379&lt;&gt;0,SUMIF(куб!$B:$B,$B379,куб!M:M))))))</f>
        <v>0</v>
      </c>
      <c r="V379" s="13" t="str">
        <f t="shared" si="134"/>
        <v>-</v>
      </c>
      <c r="W379" s="5"/>
      <c r="X379" s="27" t="b">
        <f>IF($G379&lt;&gt;0,SUMIF(куб!$G:$G,$G379,куб!N:N),IF($E379&lt;&gt;0,SUMIF(куб!$E:$E,$E379,куб!N:N),IF($D379&lt;&gt;0,SUMIF(куб!$D:$D,$D379,куб!N:N),IF($C379&lt;&gt;0,SUMIF(куб!$C:$C,$C379,куб!N:N),IF($B379&lt;&gt;0,SUMIF(куб!$B:$B,$B379,куб!N:N))))))</f>
        <v>0</v>
      </c>
      <c r="Y379" s="27" t="b">
        <f>IF($G379&lt;&gt;0,SUMIF(куб!$G:$G,$G379,куб!O:O),IF($E379&lt;&gt;0,SUMIF(куб!$E:$E,$E379,куб!O:O),IF($D379&lt;&gt;0,SUMIF(куб!$D:$D,$D379,куб!O:O),IF($C379&lt;&gt;0,SUMIF(куб!$C:$C,$C379,куб!O:O),IF($B379&lt;&gt;0,SUMIF(куб!$B:$B,$B379,куб!O:O))))))</f>
        <v>0</v>
      </c>
      <c r="Z379" s="13" t="str">
        <f t="shared" si="135"/>
        <v>-</v>
      </c>
      <c r="AA379" s="5"/>
      <c r="AB379" s="33" t="str">
        <f t="shared" si="136"/>
        <v/>
      </c>
      <c r="AC379" s="33" t="str">
        <f t="shared" si="137"/>
        <v/>
      </c>
      <c r="AD379" s="15" t="str">
        <f t="shared" si="138"/>
        <v xml:space="preserve"> </v>
      </c>
      <c r="AE379" s="5"/>
      <c r="AF379" s="27" t="b">
        <f>IF($G379&lt;&gt;0,SUMIF(куб!$G:$G,$G379,куб!R:R),IF($E379&lt;&gt;0,SUMIF(куб!$E:$E,$E379,куб!R:R),IF($D379&lt;&gt;0,SUMIF(куб!$D:$D,$D379,куб!R:R),IF($C379&lt;&gt;0,SUMIF(куб!$C:$C,$C379,куб!R:R),IF($B379&lt;&gt;0,SUMIF(куб!$B:$B,$B379,куб!R:R))))))</f>
        <v>0</v>
      </c>
      <c r="AG379" s="27" t="b">
        <f>IF($G379&lt;&gt;0,SUMIF(куб!$G:$G,$G379,куб!S:S),IF($E379&lt;&gt;0,SUMIF(куб!$E:$E,$E379,куб!S:S),IF($D379&lt;&gt;0,SUMIF(куб!$D:$D,$D379,куб!S:S),IF($C379&lt;&gt;0,SUMIF(куб!$C:$C,$C379,куб!S:S),IF($B379&lt;&gt;0,SUMIF(куб!$B:$B,$B379,куб!S:S))))))</f>
        <v>0</v>
      </c>
      <c r="AH379" s="16" t="str">
        <f t="shared" si="139"/>
        <v>-</v>
      </c>
      <c r="AI379" s="8"/>
      <c r="AJ379" s="27" t="b">
        <f>IF($G379&lt;&gt;0,SUMIF(куб!$G:$G,$G379,куб!T:T),IF($E379&lt;&gt;0,SUMIF(куб!$E:$E,$E379,куб!T:T),IF($D379&lt;&gt;0,SUMIF(куб!$D:$D,$D379,куб!T:T),IF($C379&lt;&gt;0,SUMIF(куб!$C:$C,$C379,куб!T:T),IF($B379&lt;&gt;0,SUMIF(куб!$B:$B,$B379,куб!T:T))))))</f>
        <v>0</v>
      </c>
      <c r="AK379" s="27" t="b">
        <f>IF($G379&lt;&gt;0,SUMIF(куб!$G:$G,$G379,куб!U:U),IF($E379&lt;&gt;0,SUMIF(куб!$E:$E,$E379,куб!U:U),IF($D379&lt;&gt;0,SUMIF(куб!$D:$D,$D379,куб!U:U),IF($C379&lt;&gt;0,SUMIF(куб!$C:$C,$C379,куб!U:U),IF($B379&lt;&gt;0,SUMIF(куб!$B:$B,$B379,куб!U:U))))))</f>
        <v>0</v>
      </c>
      <c r="AL379" s="16" t="str">
        <f t="shared" si="140"/>
        <v>-</v>
      </c>
      <c r="AM379" s="8"/>
      <c r="AN379" s="17" t="str">
        <f t="shared" si="141"/>
        <v xml:space="preserve"> </v>
      </c>
      <c r="AO379" s="17" t="str">
        <f t="shared" si="142"/>
        <v xml:space="preserve"> </v>
      </c>
      <c r="AP379" s="16" t="str">
        <f t="shared" si="143"/>
        <v>-</v>
      </c>
      <c r="AQ379" s="8"/>
      <c r="AR379" s="17" t="str">
        <f t="shared" si="144"/>
        <v>-</v>
      </c>
      <c r="AS379" s="17" t="str">
        <f t="shared" si="145"/>
        <v>-</v>
      </c>
      <c r="AT379" s="13" t="str">
        <f t="shared" si="146"/>
        <v>-</v>
      </c>
      <c r="AU379" s="8"/>
    </row>
    <row r="380" spans="1:47" x14ac:dyDescent="0.25">
      <c r="A380" s="31"/>
      <c r="B380" s="31"/>
      <c r="C380"/>
      <c r="D380" s="31"/>
      <c r="E380"/>
      <c r="F380" s="31"/>
      <c r="G380"/>
      <c r="H380" s="27">
        <f>IF($G380&lt;&gt;0,SUMIF(куб!$G:$G,$G380,куб!H:H),IF($E380&lt;&gt;0,SUMIF(куб!$E:$E,$E380,куб!H:H),IF($D380&lt;&gt;0,SUMIF(куб!$D:$D,$D380,куб!H:H),IF($C380&lt;&gt;0,SUMIF(куб!$C:$C,$C380,куб!H:H),IF($B380&lt;&gt;0,SUMIF(куб!$B:$B,$B380,куб!H:H),IF($G380&lt;&gt;0,SUMIF(куб!$A:$A,$G380,куб!H:H),SUMIF(куб!$A:$A,$G380,куб!H:H)))))))</f>
        <v>0</v>
      </c>
      <c r="I380" s="27">
        <f>IF($G380&lt;&gt;0,SUMIF(куб!$G:$G,$G380,куб!I:I),IF($E380&lt;&gt;0,SUMIF(куб!$E:$E,$E380,куб!I:I),IF($D380&lt;&gt;0,SUMIF(куб!$D:$D,$D380,куб!I:I),IF($C380&lt;&gt;0,SUMIF(куб!$C:$C,$C380,куб!I:I),IF($B380&lt;&gt;0,SUMIF(куб!$B:$B,$B380,куб!I:I),IF($G380&lt;&gt;0,SUMIF(куб!$A:$A,$G380,куб!I:I),SUMIF(куб!$A:$A,$G380,куб!I:I)))))))</f>
        <v>0</v>
      </c>
      <c r="J380" s="19" t="str">
        <f t="shared" si="129"/>
        <v>-</v>
      </c>
      <c r="K380" s="8"/>
      <c r="L380" s="17">
        <f t="shared" si="130"/>
        <v>0</v>
      </c>
      <c r="M380" s="17">
        <f t="shared" si="131"/>
        <v>0</v>
      </c>
      <c r="N380" s="12">
        <f t="shared" si="132"/>
        <v>0</v>
      </c>
      <c r="O380" s="5"/>
      <c r="P380" s="27" t="b">
        <f>IF($G380&lt;&gt;0,SUMIF(куб!$G:$G,$G380,куб!J:J),IF($E380&lt;&gt;0,SUMIF(куб!$E:$E,$E380,куб!J:J),IF($D380&lt;&gt;0,SUMIF(куб!$D:$D,$D380,куб!J:J),IF($C380&lt;&gt;0,SUMIF(куб!$C:$C,$C380,куб!J:J),IF($B380&lt;&gt;0,SUMIF(куб!$B:$B,$B380,куб!J:J))))))</f>
        <v>0</v>
      </c>
      <c r="Q380" s="27" t="b">
        <f>IF($G380&lt;&gt;0,SUMIF(куб!$G:$G,$G380,куб!K:K),IF($E380&lt;&gt;0,SUMIF(куб!$E:$E,$E380,куб!K:K),IF($D380&lt;&gt;0,SUMIF(куб!$D:$D,$D380,куб!K:K),IF($C380&lt;&gt;0,SUMIF(куб!$C:$C,$C380,куб!K:K),IF($B380&lt;&gt;0,SUMIF(куб!$B:$B,$B380,куб!K:K))))))</f>
        <v>0</v>
      </c>
      <c r="R380" s="13" t="str">
        <f t="shared" si="133"/>
        <v>-</v>
      </c>
      <c r="S380" s="5"/>
      <c r="T380" s="27" t="b">
        <f>IF($G380&lt;&gt;0,SUMIF(куб!$G:$G,$G380,куб!L:L),IF($E380&lt;&gt;0,SUMIF(куб!$E:$E,$E380,куб!L:L),IF($D380&lt;&gt;0,SUMIF(куб!$D:$D,$D380,куб!L:L),IF($C380&lt;&gt;0,SUMIF(куб!$C:$C,$C380,куб!L:L),IF($B380&lt;&gt;0,SUMIF(куб!$B:$B,$B380,куб!L:L))))))</f>
        <v>0</v>
      </c>
      <c r="U380" s="27" t="b">
        <f>IF($G380&lt;&gt;0,SUMIF(куб!$G:$G,$G380,куб!M:M),IF($E380&lt;&gt;0,SUMIF(куб!$E:$E,$E380,куб!M:M),IF($D380&lt;&gt;0,SUMIF(куб!$D:$D,$D380,куб!M:M),IF($C380&lt;&gt;0,SUMIF(куб!$C:$C,$C380,куб!M:M),IF($B380&lt;&gt;0,SUMIF(куб!$B:$B,$B380,куб!M:M))))))</f>
        <v>0</v>
      </c>
      <c r="V380" s="13" t="str">
        <f t="shared" si="134"/>
        <v>-</v>
      </c>
      <c r="W380" s="5"/>
      <c r="X380" s="27" t="b">
        <f>IF($G380&lt;&gt;0,SUMIF(куб!$G:$G,$G380,куб!N:N),IF($E380&lt;&gt;0,SUMIF(куб!$E:$E,$E380,куб!N:N),IF($D380&lt;&gt;0,SUMIF(куб!$D:$D,$D380,куб!N:N),IF($C380&lt;&gt;0,SUMIF(куб!$C:$C,$C380,куб!N:N),IF($B380&lt;&gt;0,SUMIF(куб!$B:$B,$B380,куб!N:N))))))</f>
        <v>0</v>
      </c>
      <c r="Y380" s="27" t="b">
        <f>IF($G380&lt;&gt;0,SUMIF(куб!$G:$G,$G380,куб!O:O),IF($E380&lt;&gt;0,SUMIF(куб!$E:$E,$E380,куб!O:O),IF($D380&lt;&gt;0,SUMIF(куб!$D:$D,$D380,куб!O:O),IF($C380&lt;&gt;0,SUMIF(куб!$C:$C,$C380,куб!O:O),IF($B380&lt;&gt;0,SUMIF(куб!$B:$B,$B380,куб!O:O))))))</f>
        <v>0</v>
      </c>
      <c r="Z380" s="13" t="str">
        <f t="shared" si="135"/>
        <v>-</v>
      </c>
      <c r="AA380" s="5"/>
      <c r="AB380" s="33" t="str">
        <f t="shared" si="136"/>
        <v/>
      </c>
      <c r="AC380" s="33" t="str">
        <f t="shared" si="137"/>
        <v/>
      </c>
      <c r="AD380" s="15" t="str">
        <f t="shared" si="138"/>
        <v xml:space="preserve"> </v>
      </c>
      <c r="AE380" s="5"/>
      <c r="AF380" s="27" t="b">
        <f>IF($G380&lt;&gt;0,SUMIF(куб!$G:$G,$G380,куб!R:R),IF($E380&lt;&gt;0,SUMIF(куб!$E:$E,$E380,куб!R:R),IF($D380&lt;&gt;0,SUMIF(куб!$D:$D,$D380,куб!R:R),IF($C380&lt;&gt;0,SUMIF(куб!$C:$C,$C380,куб!R:R),IF($B380&lt;&gt;0,SUMIF(куб!$B:$B,$B380,куб!R:R))))))</f>
        <v>0</v>
      </c>
      <c r="AG380" s="27" t="b">
        <f>IF($G380&lt;&gt;0,SUMIF(куб!$G:$G,$G380,куб!S:S),IF($E380&lt;&gt;0,SUMIF(куб!$E:$E,$E380,куб!S:S),IF($D380&lt;&gt;0,SUMIF(куб!$D:$D,$D380,куб!S:S),IF($C380&lt;&gt;0,SUMIF(куб!$C:$C,$C380,куб!S:S),IF($B380&lt;&gt;0,SUMIF(куб!$B:$B,$B380,куб!S:S))))))</f>
        <v>0</v>
      </c>
      <c r="AH380" s="16" t="str">
        <f t="shared" si="139"/>
        <v>-</v>
      </c>
      <c r="AI380" s="8"/>
      <c r="AJ380" s="27" t="b">
        <f>IF($G380&lt;&gt;0,SUMIF(куб!$G:$G,$G380,куб!T:T),IF($E380&lt;&gt;0,SUMIF(куб!$E:$E,$E380,куб!T:T),IF($D380&lt;&gt;0,SUMIF(куб!$D:$D,$D380,куб!T:T),IF($C380&lt;&gt;0,SUMIF(куб!$C:$C,$C380,куб!T:T),IF($B380&lt;&gt;0,SUMIF(куб!$B:$B,$B380,куб!T:T))))))</f>
        <v>0</v>
      </c>
      <c r="AK380" s="27" t="b">
        <f>IF($G380&lt;&gt;0,SUMIF(куб!$G:$G,$G380,куб!U:U),IF($E380&lt;&gt;0,SUMIF(куб!$E:$E,$E380,куб!U:U),IF($D380&lt;&gt;0,SUMIF(куб!$D:$D,$D380,куб!U:U),IF($C380&lt;&gt;0,SUMIF(куб!$C:$C,$C380,куб!U:U),IF($B380&lt;&gt;0,SUMIF(куб!$B:$B,$B380,куб!U:U))))))</f>
        <v>0</v>
      </c>
      <c r="AL380" s="16" t="str">
        <f t="shared" si="140"/>
        <v>-</v>
      </c>
      <c r="AM380" s="8"/>
      <c r="AN380" s="17" t="str">
        <f t="shared" si="141"/>
        <v xml:space="preserve"> </v>
      </c>
      <c r="AO380" s="17" t="str">
        <f t="shared" si="142"/>
        <v xml:space="preserve"> </v>
      </c>
      <c r="AP380" s="16" t="str">
        <f t="shared" si="143"/>
        <v>-</v>
      </c>
      <c r="AQ380" s="8"/>
      <c r="AR380" s="17" t="str">
        <f t="shared" si="144"/>
        <v>-</v>
      </c>
      <c r="AS380" s="17" t="str">
        <f t="shared" si="145"/>
        <v>-</v>
      </c>
      <c r="AT380" s="13" t="str">
        <f t="shared" si="146"/>
        <v>-</v>
      </c>
      <c r="AU380" s="8"/>
    </row>
    <row r="381" spans="1:47" x14ac:dyDescent="0.25">
      <c r="A381" s="31"/>
      <c r="B381" s="31"/>
      <c r="C381"/>
      <c r="D381" s="31"/>
      <c r="E381"/>
      <c r="F381" s="31"/>
      <c r="G381"/>
      <c r="H381" s="27">
        <f>IF($G381&lt;&gt;0,SUMIF(куб!$G:$G,$G381,куб!H:H),IF($E381&lt;&gt;0,SUMIF(куб!$E:$E,$E381,куб!H:H),IF($D381&lt;&gt;0,SUMIF(куб!$D:$D,$D381,куб!H:H),IF($C381&lt;&gt;0,SUMIF(куб!$C:$C,$C381,куб!H:H),IF($B381&lt;&gt;0,SUMIF(куб!$B:$B,$B381,куб!H:H),IF($G381&lt;&gt;0,SUMIF(куб!$A:$A,$G381,куб!H:H),SUMIF(куб!$A:$A,$G381,куб!H:H)))))))</f>
        <v>0</v>
      </c>
      <c r="I381" s="27">
        <f>IF($G381&lt;&gt;0,SUMIF(куб!$G:$G,$G381,куб!I:I),IF($E381&lt;&gt;0,SUMIF(куб!$E:$E,$E381,куб!I:I),IF($D381&lt;&gt;0,SUMIF(куб!$D:$D,$D381,куб!I:I),IF($C381&lt;&gt;0,SUMIF(куб!$C:$C,$C381,куб!I:I),IF($B381&lt;&gt;0,SUMIF(куб!$B:$B,$B381,куб!I:I),IF($G381&lt;&gt;0,SUMIF(куб!$A:$A,$G381,куб!I:I),SUMIF(куб!$A:$A,$G381,куб!I:I)))))))</f>
        <v>0</v>
      </c>
      <c r="J381" s="19" t="str">
        <f t="shared" si="129"/>
        <v>-</v>
      </c>
      <c r="K381" s="8"/>
      <c r="L381" s="17">
        <f t="shared" si="130"/>
        <v>0</v>
      </c>
      <c r="M381" s="17">
        <f t="shared" si="131"/>
        <v>0</v>
      </c>
      <c r="N381" s="12">
        <f t="shared" si="132"/>
        <v>0</v>
      </c>
      <c r="O381" s="5"/>
      <c r="P381" s="27" t="b">
        <f>IF($G381&lt;&gt;0,SUMIF(куб!$G:$G,$G381,куб!J:J),IF($E381&lt;&gt;0,SUMIF(куб!$E:$E,$E381,куб!J:J),IF($D381&lt;&gt;0,SUMIF(куб!$D:$D,$D381,куб!J:J),IF($C381&lt;&gt;0,SUMIF(куб!$C:$C,$C381,куб!J:J),IF($B381&lt;&gt;0,SUMIF(куб!$B:$B,$B381,куб!J:J))))))</f>
        <v>0</v>
      </c>
      <c r="Q381" s="27" t="b">
        <f>IF($G381&lt;&gt;0,SUMIF(куб!$G:$G,$G381,куб!K:K),IF($E381&lt;&gt;0,SUMIF(куб!$E:$E,$E381,куб!K:K),IF($D381&lt;&gt;0,SUMIF(куб!$D:$D,$D381,куб!K:K),IF($C381&lt;&gt;0,SUMIF(куб!$C:$C,$C381,куб!K:K),IF($B381&lt;&gt;0,SUMIF(куб!$B:$B,$B381,куб!K:K))))))</f>
        <v>0</v>
      </c>
      <c r="R381" s="13" t="str">
        <f t="shared" si="133"/>
        <v>-</v>
      </c>
      <c r="S381" s="5"/>
      <c r="T381" s="27" t="b">
        <f>IF($G381&lt;&gt;0,SUMIF(куб!$G:$G,$G381,куб!L:L),IF($E381&lt;&gt;0,SUMIF(куб!$E:$E,$E381,куб!L:L),IF($D381&lt;&gt;0,SUMIF(куб!$D:$D,$D381,куб!L:L),IF($C381&lt;&gt;0,SUMIF(куб!$C:$C,$C381,куб!L:L),IF($B381&lt;&gt;0,SUMIF(куб!$B:$B,$B381,куб!L:L))))))</f>
        <v>0</v>
      </c>
      <c r="U381" s="27" t="b">
        <f>IF($G381&lt;&gt;0,SUMIF(куб!$G:$G,$G381,куб!M:M),IF($E381&lt;&gt;0,SUMIF(куб!$E:$E,$E381,куб!M:M),IF($D381&lt;&gt;0,SUMIF(куб!$D:$D,$D381,куб!M:M),IF($C381&lt;&gt;0,SUMIF(куб!$C:$C,$C381,куб!M:M),IF($B381&lt;&gt;0,SUMIF(куб!$B:$B,$B381,куб!M:M))))))</f>
        <v>0</v>
      </c>
      <c r="V381" s="13" t="str">
        <f t="shared" si="134"/>
        <v>-</v>
      </c>
      <c r="W381" s="5"/>
      <c r="X381" s="27" t="b">
        <f>IF($G381&lt;&gt;0,SUMIF(куб!$G:$G,$G381,куб!N:N),IF($E381&lt;&gt;0,SUMIF(куб!$E:$E,$E381,куб!N:N),IF($D381&lt;&gt;0,SUMIF(куб!$D:$D,$D381,куб!N:N),IF($C381&lt;&gt;0,SUMIF(куб!$C:$C,$C381,куб!N:N),IF($B381&lt;&gt;0,SUMIF(куб!$B:$B,$B381,куб!N:N))))))</f>
        <v>0</v>
      </c>
      <c r="Y381" s="27" t="b">
        <f>IF($G381&lt;&gt;0,SUMIF(куб!$G:$G,$G381,куб!O:O),IF($E381&lt;&gt;0,SUMIF(куб!$E:$E,$E381,куб!O:O),IF($D381&lt;&gt;0,SUMIF(куб!$D:$D,$D381,куб!O:O),IF($C381&lt;&gt;0,SUMIF(куб!$C:$C,$C381,куб!O:O),IF($B381&lt;&gt;0,SUMIF(куб!$B:$B,$B381,куб!O:O))))))</f>
        <v>0</v>
      </c>
      <c r="Z381" s="13" t="str">
        <f t="shared" si="135"/>
        <v>-</v>
      </c>
      <c r="AA381" s="5"/>
      <c r="AB381" s="33" t="str">
        <f t="shared" si="136"/>
        <v/>
      </c>
      <c r="AC381" s="33" t="str">
        <f t="shared" si="137"/>
        <v/>
      </c>
      <c r="AD381" s="15" t="str">
        <f t="shared" si="138"/>
        <v xml:space="preserve"> </v>
      </c>
      <c r="AE381" s="5"/>
      <c r="AF381" s="27" t="b">
        <f>IF($G381&lt;&gt;0,SUMIF(куб!$G:$G,$G381,куб!R:R),IF($E381&lt;&gt;0,SUMIF(куб!$E:$E,$E381,куб!R:R),IF($D381&lt;&gt;0,SUMIF(куб!$D:$D,$D381,куб!R:R),IF($C381&lt;&gt;0,SUMIF(куб!$C:$C,$C381,куб!R:R),IF($B381&lt;&gt;0,SUMIF(куб!$B:$B,$B381,куб!R:R))))))</f>
        <v>0</v>
      </c>
      <c r="AG381" s="27" t="b">
        <f>IF($G381&lt;&gt;0,SUMIF(куб!$G:$G,$G381,куб!S:S),IF($E381&lt;&gt;0,SUMIF(куб!$E:$E,$E381,куб!S:S),IF($D381&lt;&gt;0,SUMIF(куб!$D:$D,$D381,куб!S:S),IF($C381&lt;&gt;0,SUMIF(куб!$C:$C,$C381,куб!S:S),IF($B381&lt;&gt;0,SUMIF(куб!$B:$B,$B381,куб!S:S))))))</f>
        <v>0</v>
      </c>
      <c r="AH381" s="16" t="str">
        <f t="shared" si="139"/>
        <v>-</v>
      </c>
      <c r="AI381" s="8"/>
      <c r="AJ381" s="27" t="b">
        <f>IF($G381&lt;&gt;0,SUMIF(куб!$G:$G,$G381,куб!T:T),IF($E381&lt;&gt;0,SUMIF(куб!$E:$E,$E381,куб!T:T),IF($D381&lt;&gt;0,SUMIF(куб!$D:$D,$D381,куб!T:T),IF($C381&lt;&gt;0,SUMIF(куб!$C:$C,$C381,куб!T:T),IF($B381&lt;&gt;0,SUMIF(куб!$B:$B,$B381,куб!T:T))))))</f>
        <v>0</v>
      </c>
      <c r="AK381" s="27" t="b">
        <f>IF($G381&lt;&gt;0,SUMIF(куб!$G:$G,$G381,куб!U:U),IF($E381&lt;&gt;0,SUMIF(куб!$E:$E,$E381,куб!U:U),IF($D381&lt;&gt;0,SUMIF(куб!$D:$D,$D381,куб!U:U),IF($C381&lt;&gt;0,SUMIF(куб!$C:$C,$C381,куб!U:U),IF($B381&lt;&gt;0,SUMIF(куб!$B:$B,$B381,куб!U:U))))))</f>
        <v>0</v>
      </c>
      <c r="AL381" s="16" t="str">
        <f t="shared" si="140"/>
        <v>-</v>
      </c>
      <c r="AM381" s="8"/>
      <c r="AN381" s="17" t="str">
        <f t="shared" si="141"/>
        <v xml:space="preserve"> </v>
      </c>
      <c r="AO381" s="17" t="str">
        <f t="shared" si="142"/>
        <v xml:space="preserve"> </v>
      </c>
      <c r="AP381" s="16" t="str">
        <f t="shared" si="143"/>
        <v>-</v>
      </c>
      <c r="AQ381" s="8"/>
      <c r="AR381" s="17" t="str">
        <f t="shared" si="144"/>
        <v>-</v>
      </c>
      <c r="AS381" s="17" t="str">
        <f t="shared" si="145"/>
        <v>-</v>
      </c>
      <c r="AT381" s="13" t="str">
        <f t="shared" si="146"/>
        <v>-</v>
      </c>
      <c r="AU381" s="8"/>
    </row>
    <row r="382" spans="1:47" x14ac:dyDescent="0.25">
      <c r="A382" s="31"/>
      <c r="B382" s="31"/>
      <c r="C382"/>
      <c r="D382" s="31"/>
      <c r="E382"/>
      <c r="F382" s="31"/>
      <c r="G382"/>
      <c r="H382" s="27">
        <f>IF($G382&lt;&gt;0,SUMIF(куб!$G:$G,$G382,куб!H:H),IF($E382&lt;&gt;0,SUMIF(куб!$E:$E,$E382,куб!H:H),IF($D382&lt;&gt;0,SUMIF(куб!$D:$D,$D382,куб!H:H),IF($C382&lt;&gt;0,SUMIF(куб!$C:$C,$C382,куб!H:H),IF($B382&lt;&gt;0,SUMIF(куб!$B:$B,$B382,куб!H:H),IF($G382&lt;&gt;0,SUMIF(куб!$A:$A,$G382,куб!H:H),SUMIF(куб!$A:$A,$G382,куб!H:H)))))))</f>
        <v>0</v>
      </c>
      <c r="I382" s="27">
        <f>IF($G382&lt;&gt;0,SUMIF(куб!$G:$G,$G382,куб!I:I),IF($E382&lt;&gt;0,SUMIF(куб!$E:$E,$E382,куб!I:I),IF($D382&lt;&gt;0,SUMIF(куб!$D:$D,$D382,куб!I:I),IF($C382&lt;&gt;0,SUMIF(куб!$C:$C,$C382,куб!I:I),IF($B382&lt;&gt;0,SUMIF(куб!$B:$B,$B382,куб!I:I),IF($G382&lt;&gt;0,SUMIF(куб!$A:$A,$G382,куб!I:I),SUMIF(куб!$A:$A,$G382,куб!I:I)))))))</f>
        <v>0</v>
      </c>
      <c r="J382" s="19" t="str">
        <f t="shared" si="129"/>
        <v>-</v>
      </c>
      <c r="K382" s="8"/>
      <c r="L382" s="17">
        <f t="shared" si="130"/>
        <v>0</v>
      </c>
      <c r="M382" s="17">
        <f t="shared" si="131"/>
        <v>0</v>
      </c>
      <c r="N382" s="12">
        <f t="shared" si="132"/>
        <v>0</v>
      </c>
      <c r="O382" s="5"/>
      <c r="P382" s="27" t="b">
        <f>IF($G382&lt;&gt;0,SUMIF(куб!$G:$G,$G382,куб!J:J),IF($E382&lt;&gt;0,SUMIF(куб!$E:$E,$E382,куб!J:J),IF($D382&lt;&gt;0,SUMIF(куб!$D:$D,$D382,куб!J:J),IF($C382&lt;&gt;0,SUMIF(куб!$C:$C,$C382,куб!J:J),IF($B382&lt;&gt;0,SUMIF(куб!$B:$B,$B382,куб!J:J))))))</f>
        <v>0</v>
      </c>
      <c r="Q382" s="27" t="b">
        <f>IF($G382&lt;&gt;0,SUMIF(куб!$G:$G,$G382,куб!K:K),IF($E382&lt;&gt;0,SUMIF(куб!$E:$E,$E382,куб!K:K),IF($D382&lt;&gt;0,SUMIF(куб!$D:$D,$D382,куб!K:K),IF($C382&lt;&gt;0,SUMIF(куб!$C:$C,$C382,куб!K:K),IF($B382&lt;&gt;0,SUMIF(куб!$B:$B,$B382,куб!K:K))))))</f>
        <v>0</v>
      </c>
      <c r="R382" s="13" t="str">
        <f t="shared" si="133"/>
        <v>-</v>
      </c>
      <c r="S382" s="5"/>
      <c r="T382" s="27" t="b">
        <f>IF($G382&lt;&gt;0,SUMIF(куб!$G:$G,$G382,куб!L:L),IF($E382&lt;&gt;0,SUMIF(куб!$E:$E,$E382,куб!L:L),IF($D382&lt;&gt;0,SUMIF(куб!$D:$D,$D382,куб!L:L),IF($C382&lt;&gt;0,SUMIF(куб!$C:$C,$C382,куб!L:L),IF($B382&lt;&gt;0,SUMIF(куб!$B:$B,$B382,куб!L:L))))))</f>
        <v>0</v>
      </c>
      <c r="U382" s="27" t="b">
        <f>IF($G382&lt;&gt;0,SUMIF(куб!$G:$G,$G382,куб!M:M),IF($E382&lt;&gt;0,SUMIF(куб!$E:$E,$E382,куб!M:M),IF($D382&lt;&gt;0,SUMIF(куб!$D:$D,$D382,куб!M:M),IF($C382&lt;&gt;0,SUMIF(куб!$C:$C,$C382,куб!M:M),IF($B382&lt;&gt;0,SUMIF(куб!$B:$B,$B382,куб!M:M))))))</f>
        <v>0</v>
      </c>
      <c r="V382" s="13" t="str">
        <f t="shared" si="134"/>
        <v>-</v>
      </c>
      <c r="W382" s="5"/>
      <c r="X382" s="27" t="b">
        <f>IF($G382&lt;&gt;0,SUMIF(куб!$G:$G,$G382,куб!N:N),IF($E382&lt;&gt;0,SUMIF(куб!$E:$E,$E382,куб!N:N),IF($D382&lt;&gt;0,SUMIF(куб!$D:$D,$D382,куб!N:N),IF($C382&lt;&gt;0,SUMIF(куб!$C:$C,$C382,куб!N:N),IF($B382&lt;&gt;0,SUMIF(куб!$B:$B,$B382,куб!N:N))))))</f>
        <v>0</v>
      </c>
      <c r="Y382" s="27" t="b">
        <f>IF($G382&lt;&gt;0,SUMIF(куб!$G:$G,$G382,куб!O:O),IF($E382&lt;&gt;0,SUMIF(куб!$E:$E,$E382,куб!O:O),IF($D382&lt;&gt;0,SUMIF(куб!$D:$D,$D382,куб!O:O),IF($C382&lt;&gt;0,SUMIF(куб!$C:$C,$C382,куб!O:O),IF($B382&lt;&gt;0,SUMIF(куб!$B:$B,$B382,куб!O:O))))))</f>
        <v>0</v>
      </c>
      <c r="Z382" s="13" t="str">
        <f t="shared" si="135"/>
        <v>-</v>
      </c>
      <c r="AA382" s="5"/>
      <c r="AB382" s="33" t="str">
        <f t="shared" si="136"/>
        <v/>
      </c>
      <c r="AC382" s="33" t="str">
        <f t="shared" si="137"/>
        <v/>
      </c>
      <c r="AD382" s="15" t="str">
        <f t="shared" si="138"/>
        <v xml:space="preserve"> </v>
      </c>
      <c r="AE382" s="5"/>
      <c r="AF382" s="27" t="b">
        <f>IF($G382&lt;&gt;0,SUMIF(куб!$G:$G,$G382,куб!R:R),IF($E382&lt;&gt;0,SUMIF(куб!$E:$E,$E382,куб!R:R),IF($D382&lt;&gt;0,SUMIF(куб!$D:$D,$D382,куб!R:R),IF($C382&lt;&gt;0,SUMIF(куб!$C:$C,$C382,куб!R:R),IF($B382&lt;&gt;0,SUMIF(куб!$B:$B,$B382,куб!R:R))))))</f>
        <v>0</v>
      </c>
      <c r="AG382" s="27" t="b">
        <f>IF($G382&lt;&gt;0,SUMIF(куб!$G:$G,$G382,куб!S:S),IF($E382&lt;&gt;0,SUMIF(куб!$E:$E,$E382,куб!S:S),IF($D382&lt;&gt;0,SUMIF(куб!$D:$D,$D382,куб!S:S),IF($C382&lt;&gt;0,SUMIF(куб!$C:$C,$C382,куб!S:S),IF($B382&lt;&gt;0,SUMIF(куб!$B:$B,$B382,куб!S:S))))))</f>
        <v>0</v>
      </c>
      <c r="AH382" s="16" t="str">
        <f t="shared" si="139"/>
        <v>-</v>
      </c>
      <c r="AI382" s="8"/>
      <c r="AJ382" s="27" t="b">
        <f>IF($G382&lt;&gt;0,SUMIF(куб!$G:$G,$G382,куб!T:T),IF($E382&lt;&gt;0,SUMIF(куб!$E:$E,$E382,куб!T:T),IF($D382&lt;&gt;0,SUMIF(куб!$D:$D,$D382,куб!T:T),IF($C382&lt;&gt;0,SUMIF(куб!$C:$C,$C382,куб!T:T),IF($B382&lt;&gt;0,SUMIF(куб!$B:$B,$B382,куб!T:T))))))</f>
        <v>0</v>
      </c>
      <c r="AK382" s="27" t="b">
        <f>IF($G382&lt;&gt;0,SUMIF(куб!$G:$G,$G382,куб!U:U),IF($E382&lt;&gt;0,SUMIF(куб!$E:$E,$E382,куб!U:U),IF($D382&lt;&gt;0,SUMIF(куб!$D:$D,$D382,куб!U:U),IF($C382&lt;&gt;0,SUMIF(куб!$C:$C,$C382,куб!U:U),IF($B382&lt;&gt;0,SUMIF(куб!$B:$B,$B382,куб!U:U))))))</f>
        <v>0</v>
      </c>
      <c r="AL382" s="16" t="str">
        <f t="shared" si="140"/>
        <v>-</v>
      </c>
      <c r="AM382" s="8"/>
      <c r="AN382" s="17" t="str">
        <f t="shared" si="141"/>
        <v xml:space="preserve"> </v>
      </c>
      <c r="AO382" s="17" t="str">
        <f t="shared" si="142"/>
        <v xml:space="preserve"> </v>
      </c>
      <c r="AP382" s="16" t="str">
        <f t="shared" si="143"/>
        <v>-</v>
      </c>
      <c r="AQ382" s="8"/>
      <c r="AR382" s="17" t="str">
        <f t="shared" si="144"/>
        <v>-</v>
      </c>
      <c r="AS382" s="17" t="str">
        <f t="shared" si="145"/>
        <v>-</v>
      </c>
      <c r="AT382" s="13" t="str">
        <f t="shared" si="146"/>
        <v>-</v>
      </c>
      <c r="AU382" s="8"/>
    </row>
    <row r="383" spans="1:47" x14ac:dyDescent="0.25">
      <c r="A383" s="31"/>
      <c r="B383" s="31"/>
      <c r="C383"/>
      <c r="D383" s="31"/>
      <c r="E383"/>
      <c r="F383" s="31"/>
      <c r="G383"/>
      <c r="H383" s="27">
        <f>IF($G383&lt;&gt;0,SUMIF(куб!$G:$G,$G383,куб!H:H),IF($E383&lt;&gt;0,SUMIF(куб!$E:$E,$E383,куб!H:H),IF($D383&lt;&gt;0,SUMIF(куб!$D:$D,$D383,куб!H:H),IF($C383&lt;&gt;0,SUMIF(куб!$C:$C,$C383,куб!H:H),IF($B383&lt;&gt;0,SUMIF(куб!$B:$B,$B383,куб!H:H),IF($G383&lt;&gt;0,SUMIF(куб!$A:$A,$G383,куб!H:H),SUMIF(куб!$A:$A,$G383,куб!H:H)))))))</f>
        <v>0</v>
      </c>
      <c r="I383" s="27">
        <f>IF($G383&lt;&gt;0,SUMIF(куб!$G:$G,$G383,куб!I:I),IF($E383&lt;&gt;0,SUMIF(куб!$E:$E,$E383,куб!I:I),IF($D383&lt;&gt;0,SUMIF(куб!$D:$D,$D383,куб!I:I),IF($C383&lt;&gt;0,SUMIF(куб!$C:$C,$C383,куб!I:I),IF($B383&lt;&gt;0,SUMIF(куб!$B:$B,$B383,куб!I:I),IF($G383&lt;&gt;0,SUMIF(куб!$A:$A,$G383,куб!I:I),SUMIF(куб!$A:$A,$G383,куб!I:I)))))))</f>
        <v>0</v>
      </c>
      <c r="J383" s="19" t="str">
        <f t="shared" si="129"/>
        <v>-</v>
      </c>
      <c r="K383" s="8"/>
      <c r="L383" s="17">
        <f t="shared" si="130"/>
        <v>0</v>
      </c>
      <c r="M383" s="17">
        <f t="shared" si="131"/>
        <v>0</v>
      </c>
      <c r="N383" s="12">
        <f t="shared" si="132"/>
        <v>0</v>
      </c>
      <c r="O383" s="5"/>
      <c r="P383" s="27" t="b">
        <f>IF($G383&lt;&gt;0,SUMIF(куб!$G:$G,$G383,куб!J:J),IF($E383&lt;&gt;0,SUMIF(куб!$E:$E,$E383,куб!J:J),IF($D383&lt;&gt;0,SUMIF(куб!$D:$D,$D383,куб!J:J),IF($C383&lt;&gt;0,SUMIF(куб!$C:$C,$C383,куб!J:J),IF($B383&lt;&gt;0,SUMIF(куб!$B:$B,$B383,куб!J:J))))))</f>
        <v>0</v>
      </c>
      <c r="Q383" s="27" t="b">
        <f>IF($G383&lt;&gt;0,SUMIF(куб!$G:$G,$G383,куб!K:K),IF($E383&lt;&gt;0,SUMIF(куб!$E:$E,$E383,куб!K:K),IF($D383&lt;&gt;0,SUMIF(куб!$D:$D,$D383,куб!K:K),IF($C383&lt;&gt;0,SUMIF(куб!$C:$C,$C383,куб!K:K),IF($B383&lt;&gt;0,SUMIF(куб!$B:$B,$B383,куб!K:K))))))</f>
        <v>0</v>
      </c>
      <c r="R383" s="13" t="str">
        <f t="shared" si="133"/>
        <v>-</v>
      </c>
      <c r="S383" s="5"/>
      <c r="T383" s="27" t="b">
        <f>IF($G383&lt;&gt;0,SUMIF(куб!$G:$G,$G383,куб!L:L),IF($E383&lt;&gt;0,SUMIF(куб!$E:$E,$E383,куб!L:L),IF($D383&lt;&gt;0,SUMIF(куб!$D:$D,$D383,куб!L:L),IF($C383&lt;&gt;0,SUMIF(куб!$C:$C,$C383,куб!L:L),IF($B383&lt;&gt;0,SUMIF(куб!$B:$B,$B383,куб!L:L))))))</f>
        <v>0</v>
      </c>
      <c r="U383" s="27" t="b">
        <f>IF($G383&lt;&gt;0,SUMIF(куб!$G:$G,$G383,куб!M:M),IF($E383&lt;&gt;0,SUMIF(куб!$E:$E,$E383,куб!M:M),IF($D383&lt;&gt;0,SUMIF(куб!$D:$D,$D383,куб!M:M),IF($C383&lt;&gt;0,SUMIF(куб!$C:$C,$C383,куб!M:M),IF($B383&lt;&gt;0,SUMIF(куб!$B:$B,$B383,куб!M:M))))))</f>
        <v>0</v>
      </c>
      <c r="V383" s="13" t="str">
        <f t="shared" si="134"/>
        <v>-</v>
      </c>
      <c r="W383" s="5"/>
      <c r="X383" s="27" t="b">
        <f>IF($G383&lt;&gt;0,SUMIF(куб!$G:$G,$G383,куб!N:N),IF($E383&lt;&gt;0,SUMIF(куб!$E:$E,$E383,куб!N:N),IF($D383&lt;&gt;0,SUMIF(куб!$D:$D,$D383,куб!N:N),IF($C383&lt;&gt;0,SUMIF(куб!$C:$C,$C383,куб!N:N),IF($B383&lt;&gt;0,SUMIF(куб!$B:$B,$B383,куб!N:N))))))</f>
        <v>0</v>
      </c>
      <c r="Y383" s="27" t="b">
        <f>IF($G383&lt;&gt;0,SUMIF(куб!$G:$G,$G383,куб!O:O),IF($E383&lt;&gt;0,SUMIF(куб!$E:$E,$E383,куб!O:O),IF($D383&lt;&gt;0,SUMIF(куб!$D:$D,$D383,куб!O:O),IF($C383&lt;&gt;0,SUMIF(куб!$C:$C,$C383,куб!O:O),IF($B383&lt;&gt;0,SUMIF(куб!$B:$B,$B383,куб!O:O))))))</f>
        <v>0</v>
      </c>
      <c r="Z383" s="13" t="str">
        <f t="shared" si="135"/>
        <v>-</v>
      </c>
      <c r="AA383" s="5"/>
      <c r="AB383" s="33" t="str">
        <f t="shared" si="136"/>
        <v/>
      </c>
      <c r="AC383" s="33" t="str">
        <f t="shared" si="137"/>
        <v/>
      </c>
      <c r="AD383" s="15" t="str">
        <f t="shared" si="138"/>
        <v xml:space="preserve"> </v>
      </c>
      <c r="AE383" s="5"/>
      <c r="AF383" s="27" t="b">
        <f>IF($G383&lt;&gt;0,SUMIF(куб!$G:$G,$G383,куб!R:R),IF($E383&lt;&gt;0,SUMIF(куб!$E:$E,$E383,куб!R:R),IF($D383&lt;&gt;0,SUMIF(куб!$D:$D,$D383,куб!R:R),IF($C383&lt;&gt;0,SUMIF(куб!$C:$C,$C383,куб!R:R),IF($B383&lt;&gt;0,SUMIF(куб!$B:$B,$B383,куб!R:R))))))</f>
        <v>0</v>
      </c>
      <c r="AG383" s="27" t="b">
        <f>IF($G383&lt;&gt;0,SUMIF(куб!$G:$G,$G383,куб!S:S),IF($E383&lt;&gt;0,SUMIF(куб!$E:$E,$E383,куб!S:S),IF($D383&lt;&gt;0,SUMIF(куб!$D:$D,$D383,куб!S:S),IF($C383&lt;&gt;0,SUMIF(куб!$C:$C,$C383,куб!S:S),IF($B383&lt;&gt;0,SUMIF(куб!$B:$B,$B383,куб!S:S))))))</f>
        <v>0</v>
      </c>
      <c r="AH383" s="16" t="str">
        <f t="shared" si="139"/>
        <v>-</v>
      </c>
      <c r="AI383" s="8"/>
      <c r="AJ383" s="27" t="b">
        <f>IF($G383&lt;&gt;0,SUMIF(куб!$G:$G,$G383,куб!T:T),IF($E383&lt;&gt;0,SUMIF(куб!$E:$E,$E383,куб!T:T),IF($D383&lt;&gt;0,SUMIF(куб!$D:$D,$D383,куб!T:T),IF($C383&lt;&gt;0,SUMIF(куб!$C:$C,$C383,куб!T:T),IF($B383&lt;&gt;0,SUMIF(куб!$B:$B,$B383,куб!T:T))))))</f>
        <v>0</v>
      </c>
      <c r="AK383" s="27" t="b">
        <f>IF($G383&lt;&gt;0,SUMIF(куб!$G:$G,$G383,куб!U:U),IF($E383&lt;&gt;0,SUMIF(куб!$E:$E,$E383,куб!U:U),IF($D383&lt;&gt;0,SUMIF(куб!$D:$D,$D383,куб!U:U),IF($C383&lt;&gt;0,SUMIF(куб!$C:$C,$C383,куб!U:U),IF($B383&lt;&gt;0,SUMIF(куб!$B:$B,$B383,куб!U:U))))))</f>
        <v>0</v>
      </c>
      <c r="AL383" s="16" t="str">
        <f t="shared" si="140"/>
        <v>-</v>
      </c>
      <c r="AM383" s="8"/>
      <c r="AN383" s="17" t="str">
        <f t="shared" si="141"/>
        <v xml:space="preserve"> </v>
      </c>
      <c r="AO383" s="17" t="str">
        <f t="shared" si="142"/>
        <v xml:space="preserve"> </v>
      </c>
      <c r="AP383" s="16" t="str">
        <f t="shared" si="143"/>
        <v>-</v>
      </c>
      <c r="AQ383" s="8"/>
      <c r="AR383" s="17" t="str">
        <f t="shared" si="144"/>
        <v>-</v>
      </c>
      <c r="AS383" s="17" t="str">
        <f t="shared" si="145"/>
        <v>-</v>
      </c>
      <c r="AT383" s="13" t="str">
        <f t="shared" si="146"/>
        <v>-</v>
      </c>
      <c r="AU383" s="8"/>
    </row>
    <row r="384" spans="1:47" x14ac:dyDescent="0.25">
      <c r="A384" s="31"/>
      <c r="B384" s="31"/>
      <c r="C384"/>
      <c r="D384" s="31"/>
      <c r="E384"/>
      <c r="F384" s="31"/>
      <c r="G384"/>
      <c r="H384" s="27">
        <f>IF($G384&lt;&gt;0,SUMIF(куб!$G:$G,$G384,куб!H:H),IF($E384&lt;&gt;0,SUMIF(куб!$E:$E,$E384,куб!H:H),IF($D384&lt;&gt;0,SUMIF(куб!$D:$D,$D384,куб!H:H),IF($C384&lt;&gt;0,SUMIF(куб!$C:$C,$C384,куб!H:H),IF($B384&lt;&gt;0,SUMIF(куб!$B:$B,$B384,куб!H:H),IF($G384&lt;&gt;0,SUMIF(куб!$A:$A,$G384,куб!H:H),SUMIF(куб!$A:$A,$G384,куб!H:H)))))))</f>
        <v>0</v>
      </c>
      <c r="I384" s="27">
        <f>IF($G384&lt;&gt;0,SUMIF(куб!$G:$G,$G384,куб!I:I),IF($E384&lt;&gt;0,SUMIF(куб!$E:$E,$E384,куб!I:I),IF($D384&lt;&gt;0,SUMIF(куб!$D:$D,$D384,куб!I:I),IF($C384&lt;&gt;0,SUMIF(куб!$C:$C,$C384,куб!I:I),IF($B384&lt;&gt;0,SUMIF(куб!$B:$B,$B384,куб!I:I),IF($G384&lt;&gt;0,SUMIF(куб!$A:$A,$G384,куб!I:I),SUMIF(куб!$A:$A,$G384,куб!I:I)))))))</f>
        <v>0</v>
      </c>
      <c r="J384" s="19" t="str">
        <f t="shared" si="129"/>
        <v>-</v>
      </c>
      <c r="K384" s="8"/>
      <c r="L384" s="17">
        <f t="shared" si="130"/>
        <v>0</v>
      </c>
      <c r="M384" s="17">
        <f t="shared" si="131"/>
        <v>0</v>
      </c>
      <c r="N384" s="12">
        <f t="shared" si="132"/>
        <v>0</v>
      </c>
      <c r="O384" s="5"/>
      <c r="P384" s="27" t="b">
        <f>IF($G384&lt;&gt;0,SUMIF(куб!$G:$G,$G384,куб!J:J),IF($E384&lt;&gt;0,SUMIF(куб!$E:$E,$E384,куб!J:J),IF($D384&lt;&gt;0,SUMIF(куб!$D:$D,$D384,куб!J:J),IF($C384&lt;&gt;0,SUMIF(куб!$C:$C,$C384,куб!J:J),IF($B384&lt;&gt;0,SUMIF(куб!$B:$B,$B384,куб!J:J))))))</f>
        <v>0</v>
      </c>
      <c r="Q384" s="27" t="b">
        <f>IF($G384&lt;&gt;0,SUMIF(куб!$G:$G,$G384,куб!K:K),IF($E384&lt;&gt;0,SUMIF(куб!$E:$E,$E384,куб!K:K),IF($D384&lt;&gt;0,SUMIF(куб!$D:$D,$D384,куб!K:K),IF($C384&lt;&gt;0,SUMIF(куб!$C:$C,$C384,куб!K:K),IF($B384&lt;&gt;0,SUMIF(куб!$B:$B,$B384,куб!K:K))))))</f>
        <v>0</v>
      </c>
      <c r="R384" s="13" t="str">
        <f t="shared" si="133"/>
        <v>-</v>
      </c>
      <c r="S384" s="5"/>
      <c r="T384" s="27" t="b">
        <f>IF($G384&lt;&gt;0,SUMIF(куб!$G:$G,$G384,куб!L:L),IF($E384&lt;&gt;0,SUMIF(куб!$E:$E,$E384,куб!L:L),IF($D384&lt;&gt;0,SUMIF(куб!$D:$D,$D384,куб!L:L),IF($C384&lt;&gt;0,SUMIF(куб!$C:$C,$C384,куб!L:L),IF($B384&lt;&gt;0,SUMIF(куб!$B:$B,$B384,куб!L:L))))))</f>
        <v>0</v>
      </c>
      <c r="U384" s="27" t="b">
        <f>IF($G384&lt;&gt;0,SUMIF(куб!$G:$G,$G384,куб!M:M),IF($E384&lt;&gt;0,SUMIF(куб!$E:$E,$E384,куб!M:M),IF($D384&lt;&gt;0,SUMIF(куб!$D:$D,$D384,куб!M:M),IF($C384&lt;&gt;0,SUMIF(куб!$C:$C,$C384,куб!M:M),IF($B384&lt;&gt;0,SUMIF(куб!$B:$B,$B384,куб!M:M))))))</f>
        <v>0</v>
      </c>
      <c r="V384" s="13" t="str">
        <f t="shared" si="134"/>
        <v>-</v>
      </c>
      <c r="W384" s="5"/>
      <c r="X384" s="27" t="b">
        <f>IF($G384&lt;&gt;0,SUMIF(куб!$G:$G,$G384,куб!N:N),IF($E384&lt;&gt;0,SUMIF(куб!$E:$E,$E384,куб!N:N),IF($D384&lt;&gt;0,SUMIF(куб!$D:$D,$D384,куб!N:N),IF($C384&lt;&gt;0,SUMIF(куб!$C:$C,$C384,куб!N:N),IF($B384&lt;&gt;0,SUMIF(куб!$B:$B,$B384,куб!N:N))))))</f>
        <v>0</v>
      </c>
      <c r="Y384" s="27" t="b">
        <f>IF($G384&lt;&gt;0,SUMIF(куб!$G:$G,$G384,куб!O:O),IF($E384&lt;&gt;0,SUMIF(куб!$E:$E,$E384,куб!O:O),IF($D384&lt;&gt;0,SUMIF(куб!$D:$D,$D384,куб!O:O),IF($C384&lt;&gt;0,SUMIF(куб!$C:$C,$C384,куб!O:O),IF($B384&lt;&gt;0,SUMIF(куб!$B:$B,$B384,куб!O:O))))))</f>
        <v>0</v>
      </c>
      <c r="Z384" s="13" t="str">
        <f t="shared" si="135"/>
        <v>-</v>
      </c>
      <c r="AA384" s="5"/>
      <c r="AB384" s="33" t="str">
        <f t="shared" si="136"/>
        <v/>
      </c>
      <c r="AC384" s="33" t="str">
        <f t="shared" si="137"/>
        <v/>
      </c>
      <c r="AD384" s="15" t="str">
        <f t="shared" si="138"/>
        <v xml:space="preserve"> </v>
      </c>
      <c r="AE384" s="5"/>
      <c r="AF384" s="27" t="b">
        <f>IF($G384&lt;&gt;0,SUMIF(куб!$G:$G,$G384,куб!R:R),IF($E384&lt;&gt;0,SUMIF(куб!$E:$E,$E384,куб!R:R),IF($D384&lt;&gt;0,SUMIF(куб!$D:$D,$D384,куб!R:R),IF($C384&lt;&gt;0,SUMIF(куб!$C:$C,$C384,куб!R:R),IF($B384&lt;&gt;0,SUMIF(куб!$B:$B,$B384,куб!R:R))))))</f>
        <v>0</v>
      </c>
      <c r="AG384" s="27" t="b">
        <f>IF($G384&lt;&gt;0,SUMIF(куб!$G:$G,$G384,куб!S:S),IF($E384&lt;&gt;0,SUMIF(куб!$E:$E,$E384,куб!S:S),IF($D384&lt;&gt;0,SUMIF(куб!$D:$D,$D384,куб!S:S),IF($C384&lt;&gt;0,SUMIF(куб!$C:$C,$C384,куб!S:S),IF($B384&lt;&gt;0,SUMIF(куб!$B:$B,$B384,куб!S:S))))))</f>
        <v>0</v>
      </c>
      <c r="AH384" s="16" t="str">
        <f t="shared" si="139"/>
        <v>-</v>
      </c>
      <c r="AI384" s="8"/>
      <c r="AJ384" s="27" t="b">
        <f>IF($G384&lt;&gt;0,SUMIF(куб!$G:$G,$G384,куб!T:T),IF($E384&lt;&gt;0,SUMIF(куб!$E:$E,$E384,куб!T:T),IF($D384&lt;&gt;0,SUMIF(куб!$D:$D,$D384,куб!T:T),IF($C384&lt;&gt;0,SUMIF(куб!$C:$C,$C384,куб!T:T),IF($B384&lt;&gt;0,SUMIF(куб!$B:$B,$B384,куб!T:T))))))</f>
        <v>0</v>
      </c>
      <c r="AK384" s="27" t="b">
        <f>IF($G384&lt;&gt;0,SUMIF(куб!$G:$G,$G384,куб!U:U),IF($E384&lt;&gt;0,SUMIF(куб!$E:$E,$E384,куб!U:U),IF($D384&lt;&gt;0,SUMIF(куб!$D:$D,$D384,куб!U:U),IF($C384&lt;&gt;0,SUMIF(куб!$C:$C,$C384,куб!U:U),IF($B384&lt;&gt;0,SUMIF(куб!$B:$B,$B384,куб!U:U))))))</f>
        <v>0</v>
      </c>
      <c r="AL384" s="16" t="str">
        <f t="shared" si="140"/>
        <v>-</v>
      </c>
      <c r="AM384" s="8"/>
      <c r="AN384" s="17" t="str">
        <f t="shared" si="141"/>
        <v xml:space="preserve"> </v>
      </c>
      <c r="AO384" s="17" t="str">
        <f t="shared" si="142"/>
        <v xml:space="preserve"> </v>
      </c>
      <c r="AP384" s="16" t="str">
        <f t="shared" si="143"/>
        <v>-</v>
      </c>
      <c r="AQ384" s="8"/>
      <c r="AR384" s="17" t="str">
        <f t="shared" si="144"/>
        <v>-</v>
      </c>
      <c r="AS384" s="17" t="str">
        <f t="shared" si="145"/>
        <v>-</v>
      </c>
      <c r="AT384" s="13" t="str">
        <f t="shared" si="146"/>
        <v>-</v>
      </c>
      <c r="AU384" s="8"/>
    </row>
    <row r="385" spans="1:47" x14ac:dyDescent="0.25">
      <c r="A385" s="31"/>
      <c r="B385" s="31"/>
      <c r="C385"/>
      <c r="D385" s="31"/>
      <c r="E385"/>
      <c r="F385" s="31"/>
      <c r="G385"/>
      <c r="H385" s="27">
        <f>IF($G385&lt;&gt;0,SUMIF(куб!$G:$G,$G385,куб!H:H),IF($E385&lt;&gt;0,SUMIF(куб!$E:$E,$E385,куб!H:H),IF($D385&lt;&gt;0,SUMIF(куб!$D:$D,$D385,куб!H:H),IF($C385&lt;&gt;0,SUMIF(куб!$C:$C,$C385,куб!H:H),IF($B385&lt;&gt;0,SUMIF(куб!$B:$B,$B385,куб!H:H),IF($G385&lt;&gt;0,SUMIF(куб!$A:$A,$G385,куб!H:H),SUMIF(куб!$A:$A,$G385,куб!H:H)))))))</f>
        <v>0</v>
      </c>
      <c r="I385" s="27">
        <f>IF($G385&lt;&gt;0,SUMIF(куб!$G:$G,$G385,куб!I:I),IF($E385&lt;&gt;0,SUMIF(куб!$E:$E,$E385,куб!I:I),IF($D385&lt;&gt;0,SUMIF(куб!$D:$D,$D385,куб!I:I),IF($C385&lt;&gt;0,SUMIF(куб!$C:$C,$C385,куб!I:I),IF($B385&lt;&gt;0,SUMIF(куб!$B:$B,$B385,куб!I:I),IF($G385&lt;&gt;0,SUMIF(куб!$A:$A,$G385,куб!I:I),SUMIF(куб!$A:$A,$G385,куб!I:I)))))))</f>
        <v>0</v>
      </c>
      <c r="J385" s="19" t="str">
        <f t="shared" si="129"/>
        <v>-</v>
      </c>
      <c r="K385" s="8"/>
      <c r="L385" s="17">
        <f t="shared" si="130"/>
        <v>0</v>
      </c>
      <c r="M385" s="17">
        <f t="shared" si="131"/>
        <v>0</v>
      </c>
      <c r="N385" s="12">
        <f t="shared" si="132"/>
        <v>0</v>
      </c>
      <c r="O385" s="5"/>
      <c r="P385" s="27" t="b">
        <f>IF($G385&lt;&gt;0,SUMIF(куб!$G:$G,$G385,куб!J:J),IF($E385&lt;&gt;0,SUMIF(куб!$E:$E,$E385,куб!J:J),IF($D385&lt;&gt;0,SUMIF(куб!$D:$D,$D385,куб!J:J),IF($C385&lt;&gt;0,SUMIF(куб!$C:$C,$C385,куб!J:J),IF($B385&lt;&gt;0,SUMIF(куб!$B:$B,$B385,куб!J:J))))))</f>
        <v>0</v>
      </c>
      <c r="Q385" s="27" t="b">
        <f>IF($G385&lt;&gt;0,SUMIF(куб!$G:$G,$G385,куб!K:K),IF($E385&lt;&gt;0,SUMIF(куб!$E:$E,$E385,куб!K:K),IF($D385&lt;&gt;0,SUMIF(куб!$D:$D,$D385,куб!K:K),IF($C385&lt;&gt;0,SUMIF(куб!$C:$C,$C385,куб!K:K),IF($B385&lt;&gt;0,SUMIF(куб!$B:$B,$B385,куб!K:K))))))</f>
        <v>0</v>
      </c>
      <c r="R385" s="13" t="str">
        <f t="shared" si="133"/>
        <v>-</v>
      </c>
      <c r="S385" s="5"/>
      <c r="T385" s="27" t="b">
        <f>IF($G385&lt;&gt;0,SUMIF(куб!$G:$G,$G385,куб!L:L),IF($E385&lt;&gt;0,SUMIF(куб!$E:$E,$E385,куб!L:L),IF($D385&lt;&gt;0,SUMIF(куб!$D:$D,$D385,куб!L:L),IF($C385&lt;&gt;0,SUMIF(куб!$C:$C,$C385,куб!L:L),IF($B385&lt;&gt;0,SUMIF(куб!$B:$B,$B385,куб!L:L))))))</f>
        <v>0</v>
      </c>
      <c r="U385" s="27" t="b">
        <f>IF($G385&lt;&gt;0,SUMIF(куб!$G:$G,$G385,куб!M:M),IF($E385&lt;&gt;0,SUMIF(куб!$E:$E,$E385,куб!M:M),IF($D385&lt;&gt;0,SUMIF(куб!$D:$D,$D385,куб!M:M),IF($C385&lt;&gt;0,SUMIF(куб!$C:$C,$C385,куб!M:M),IF($B385&lt;&gt;0,SUMIF(куб!$B:$B,$B385,куб!M:M))))))</f>
        <v>0</v>
      </c>
      <c r="V385" s="13" t="str">
        <f t="shared" si="134"/>
        <v>-</v>
      </c>
      <c r="W385" s="5"/>
      <c r="X385" s="27" t="b">
        <f>IF($G385&lt;&gt;0,SUMIF(куб!$G:$G,$G385,куб!N:N),IF($E385&lt;&gt;0,SUMIF(куб!$E:$E,$E385,куб!N:N),IF($D385&lt;&gt;0,SUMIF(куб!$D:$D,$D385,куб!N:N),IF($C385&lt;&gt;0,SUMIF(куб!$C:$C,$C385,куб!N:N),IF($B385&lt;&gt;0,SUMIF(куб!$B:$B,$B385,куб!N:N))))))</f>
        <v>0</v>
      </c>
      <c r="Y385" s="27" t="b">
        <f>IF($G385&lt;&gt;0,SUMIF(куб!$G:$G,$G385,куб!O:O),IF($E385&lt;&gt;0,SUMIF(куб!$E:$E,$E385,куб!O:O),IF($D385&lt;&gt;0,SUMIF(куб!$D:$D,$D385,куб!O:O),IF($C385&lt;&gt;0,SUMIF(куб!$C:$C,$C385,куб!O:O),IF($B385&lt;&gt;0,SUMIF(куб!$B:$B,$B385,куб!O:O))))))</f>
        <v>0</v>
      </c>
      <c r="Z385" s="13" t="str">
        <f t="shared" si="135"/>
        <v>-</v>
      </c>
      <c r="AA385" s="5"/>
      <c r="AB385" s="33" t="str">
        <f t="shared" si="136"/>
        <v/>
      </c>
      <c r="AC385" s="33" t="str">
        <f t="shared" si="137"/>
        <v/>
      </c>
      <c r="AD385" s="15" t="str">
        <f t="shared" si="138"/>
        <v xml:space="preserve"> </v>
      </c>
      <c r="AE385" s="5"/>
      <c r="AF385" s="27" t="b">
        <f>IF($G385&lt;&gt;0,SUMIF(куб!$G:$G,$G385,куб!R:R),IF($E385&lt;&gt;0,SUMIF(куб!$E:$E,$E385,куб!R:R),IF($D385&lt;&gt;0,SUMIF(куб!$D:$D,$D385,куб!R:R),IF($C385&lt;&gt;0,SUMIF(куб!$C:$C,$C385,куб!R:R),IF($B385&lt;&gt;0,SUMIF(куб!$B:$B,$B385,куб!R:R))))))</f>
        <v>0</v>
      </c>
      <c r="AG385" s="27" t="b">
        <f>IF($G385&lt;&gt;0,SUMIF(куб!$G:$G,$G385,куб!S:S),IF($E385&lt;&gt;0,SUMIF(куб!$E:$E,$E385,куб!S:S),IF($D385&lt;&gt;0,SUMIF(куб!$D:$D,$D385,куб!S:S),IF($C385&lt;&gt;0,SUMIF(куб!$C:$C,$C385,куб!S:S),IF($B385&lt;&gt;0,SUMIF(куб!$B:$B,$B385,куб!S:S))))))</f>
        <v>0</v>
      </c>
      <c r="AH385" s="16" t="str">
        <f t="shared" si="139"/>
        <v>-</v>
      </c>
      <c r="AI385" s="8"/>
      <c r="AJ385" s="27" t="b">
        <f>IF($G385&lt;&gt;0,SUMIF(куб!$G:$G,$G385,куб!T:T),IF($E385&lt;&gt;0,SUMIF(куб!$E:$E,$E385,куб!T:T),IF($D385&lt;&gt;0,SUMIF(куб!$D:$D,$D385,куб!T:T),IF($C385&lt;&gt;0,SUMIF(куб!$C:$C,$C385,куб!T:T),IF($B385&lt;&gt;0,SUMIF(куб!$B:$B,$B385,куб!T:T))))))</f>
        <v>0</v>
      </c>
      <c r="AK385" s="27" t="b">
        <f>IF($G385&lt;&gt;0,SUMIF(куб!$G:$G,$G385,куб!U:U),IF($E385&lt;&gt;0,SUMIF(куб!$E:$E,$E385,куб!U:U),IF($D385&lt;&gt;0,SUMIF(куб!$D:$D,$D385,куб!U:U),IF($C385&lt;&gt;0,SUMIF(куб!$C:$C,$C385,куб!U:U),IF($B385&lt;&gt;0,SUMIF(куб!$B:$B,$B385,куб!U:U))))))</f>
        <v>0</v>
      </c>
      <c r="AL385" s="16" t="str">
        <f t="shared" si="140"/>
        <v>-</v>
      </c>
      <c r="AM385" s="8"/>
      <c r="AN385" s="17" t="str">
        <f t="shared" si="141"/>
        <v xml:space="preserve"> </v>
      </c>
      <c r="AO385" s="17" t="str">
        <f t="shared" si="142"/>
        <v xml:space="preserve"> </v>
      </c>
      <c r="AP385" s="16" t="str">
        <f t="shared" si="143"/>
        <v>-</v>
      </c>
      <c r="AQ385" s="8"/>
      <c r="AR385" s="17" t="str">
        <f t="shared" si="144"/>
        <v>-</v>
      </c>
      <c r="AS385" s="17" t="str">
        <f t="shared" si="145"/>
        <v>-</v>
      </c>
      <c r="AT385" s="13" t="str">
        <f t="shared" si="146"/>
        <v>-</v>
      </c>
      <c r="AU385" s="8"/>
    </row>
    <row r="386" spans="1:47" x14ac:dyDescent="0.25">
      <c r="A386" s="31"/>
      <c r="B386" s="31"/>
      <c r="C386"/>
      <c r="D386" s="31"/>
      <c r="E386"/>
      <c r="F386"/>
      <c r="G386"/>
      <c r="H386" s="27">
        <f>IF($G386&lt;&gt;0,SUMIF(куб!$G:$G,$G386,куб!H:H),IF($E386&lt;&gt;0,SUMIF(куб!$E:$E,$E386,куб!H:H),IF($D386&lt;&gt;0,SUMIF(куб!$D:$D,$D386,куб!H:H),IF($C386&lt;&gt;0,SUMIF(куб!$C:$C,$C386,куб!H:H),IF($B386&lt;&gt;0,SUMIF(куб!$B:$B,$B386,куб!H:H),IF($G386&lt;&gt;0,SUMIF(куб!$A:$A,$G386,куб!H:H),SUMIF(куб!$A:$A,$G386,куб!H:H)))))))</f>
        <v>0</v>
      </c>
      <c r="I386" s="27">
        <f>IF($G386&lt;&gt;0,SUMIF(куб!$G:$G,$G386,куб!I:I),IF($E386&lt;&gt;0,SUMIF(куб!$E:$E,$E386,куб!I:I),IF($D386&lt;&gt;0,SUMIF(куб!$D:$D,$D386,куб!I:I),IF($C386&lt;&gt;0,SUMIF(куб!$C:$C,$C386,куб!I:I),IF($B386&lt;&gt;0,SUMIF(куб!$B:$B,$B386,куб!I:I),IF($G386&lt;&gt;0,SUMIF(куб!$A:$A,$G386,куб!I:I),SUMIF(куб!$A:$A,$G386,куб!I:I)))))))</f>
        <v>0</v>
      </c>
      <c r="J386" s="19" t="str">
        <f t="shared" si="129"/>
        <v>-</v>
      </c>
      <c r="K386" s="8"/>
      <c r="L386" s="17">
        <f t="shared" si="130"/>
        <v>0</v>
      </c>
      <c r="M386" s="17">
        <f t="shared" si="131"/>
        <v>0</v>
      </c>
      <c r="N386" s="12">
        <f t="shared" si="132"/>
        <v>0</v>
      </c>
      <c r="O386" s="5"/>
      <c r="P386" s="27" t="b">
        <f>IF($G386&lt;&gt;0,SUMIF(куб!$G:$G,$G386,куб!J:J),IF($E386&lt;&gt;0,SUMIF(куб!$E:$E,$E386,куб!J:J),IF($D386&lt;&gt;0,SUMIF(куб!$D:$D,$D386,куб!J:J),IF($C386&lt;&gt;0,SUMIF(куб!$C:$C,$C386,куб!J:J),IF($B386&lt;&gt;0,SUMIF(куб!$B:$B,$B386,куб!J:J))))))</f>
        <v>0</v>
      </c>
      <c r="Q386" s="27" t="b">
        <f>IF($G386&lt;&gt;0,SUMIF(куб!$G:$G,$G386,куб!K:K),IF($E386&lt;&gt;0,SUMIF(куб!$E:$E,$E386,куб!K:K),IF($D386&lt;&gt;0,SUMIF(куб!$D:$D,$D386,куб!K:K),IF($C386&lt;&gt;0,SUMIF(куб!$C:$C,$C386,куб!K:K),IF($B386&lt;&gt;0,SUMIF(куб!$B:$B,$B386,куб!K:K))))))</f>
        <v>0</v>
      </c>
      <c r="R386" s="13" t="str">
        <f t="shared" si="133"/>
        <v>-</v>
      </c>
      <c r="S386" s="5"/>
      <c r="T386" s="27" t="b">
        <f>IF($G386&lt;&gt;0,SUMIF(куб!$G:$G,$G386,куб!L:L),IF($E386&lt;&gt;0,SUMIF(куб!$E:$E,$E386,куб!L:L),IF($D386&lt;&gt;0,SUMIF(куб!$D:$D,$D386,куб!L:L),IF($C386&lt;&gt;0,SUMIF(куб!$C:$C,$C386,куб!L:L),IF($B386&lt;&gt;0,SUMIF(куб!$B:$B,$B386,куб!L:L))))))</f>
        <v>0</v>
      </c>
      <c r="U386" s="27" t="b">
        <f>IF($G386&lt;&gt;0,SUMIF(куб!$G:$G,$G386,куб!M:M),IF($E386&lt;&gt;0,SUMIF(куб!$E:$E,$E386,куб!M:M),IF($D386&lt;&gt;0,SUMIF(куб!$D:$D,$D386,куб!M:M),IF($C386&lt;&gt;0,SUMIF(куб!$C:$C,$C386,куб!M:M),IF($B386&lt;&gt;0,SUMIF(куб!$B:$B,$B386,куб!M:M))))))</f>
        <v>0</v>
      </c>
      <c r="V386" s="13" t="str">
        <f t="shared" si="134"/>
        <v>-</v>
      </c>
      <c r="W386" s="5"/>
      <c r="X386" s="27" t="b">
        <f>IF($G386&lt;&gt;0,SUMIF(куб!$G:$G,$G386,куб!N:N),IF($E386&lt;&gt;0,SUMIF(куб!$E:$E,$E386,куб!N:N),IF($D386&lt;&gt;0,SUMIF(куб!$D:$D,$D386,куб!N:N),IF($C386&lt;&gt;0,SUMIF(куб!$C:$C,$C386,куб!N:N),IF($B386&lt;&gt;0,SUMIF(куб!$B:$B,$B386,куб!N:N))))))</f>
        <v>0</v>
      </c>
      <c r="Y386" s="27" t="b">
        <f>IF($G386&lt;&gt;0,SUMIF(куб!$G:$G,$G386,куб!O:O),IF($E386&lt;&gt;0,SUMIF(куб!$E:$E,$E386,куб!O:O),IF($D386&lt;&gt;0,SUMIF(куб!$D:$D,$D386,куб!O:O),IF($C386&lt;&gt;0,SUMIF(куб!$C:$C,$C386,куб!O:O),IF($B386&lt;&gt;0,SUMIF(куб!$B:$B,$B386,куб!O:O))))))</f>
        <v>0</v>
      </c>
      <c r="Z386" s="13" t="str">
        <f t="shared" si="135"/>
        <v>-</v>
      </c>
      <c r="AA386" s="5"/>
      <c r="AB386" s="33" t="str">
        <f t="shared" si="136"/>
        <v/>
      </c>
      <c r="AC386" s="33" t="str">
        <f t="shared" si="137"/>
        <v/>
      </c>
      <c r="AD386" s="15" t="str">
        <f t="shared" si="138"/>
        <v xml:space="preserve"> </v>
      </c>
      <c r="AE386" s="5"/>
      <c r="AF386" s="27" t="b">
        <f>IF($G386&lt;&gt;0,SUMIF(куб!$G:$G,$G386,куб!R:R),IF($E386&lt;&gt;0,SUMIF(куб!$E:$E,$E386,куб!R:R),IF($D386&lt;&gt;0,SUMIF(куб!$D:$D,$D386,куб!R:R),IF($C386&lt;&gt;0,SUMIF(куб!$C:$C,$C386,куб!R:R),IF($B386&lt;&gt;0,SUMIF(куб!$B:$B,$B386,куб!R:R))))))</f>
        <v>0</v>
      </c>
      <c r="AG386" s="27" t="b">
        <f>IF($G386&lt;&gt;0,SUMIF(куб!$G:$G,$G386,куб!S:S),IF($E386&lt;&gt;0,SUMIF(куб!$E:$E,$E386,куб!S:S),IF($D386&lt;&gt;0,SUMIF(куб!$D:$D,$D386,куб!S:S),IF($C386&lt;&gt;0,SUMIF(куб!$C:$C,$C386,куб!S:S),IF($B386&lt;&gt;0,SUMIF(куб!$B:$B,$B386,куб!S:S))))))</f>
        <v>0</v>
      </c>
      <c r="AH386" s="16" t="str">
        <f t="shared" si="139"/>
        <v>-</v>
      </c>
      <c r="AI386" s="8"/>
      <c r="AJ386" s="27" t="b">
        <f>IF($G386&lt;&gt;0,SUMIF(куб!$G:$G,$G386,куб!T:T),IF($E386&lt;&gt;0,SUMIF(куб!$E:$E,$E386,куб!T:T),IF($D386&lt;&gt;0,SUMIF(куб!$D:$D,$D386,куб!T:T),IF($C386&lt;&gt;0,SUMIF(куб!$C:$C,$C386,куб!T:T),IF($B386&lt;&gt;0,SUMIF(куб!$B:$B,$B386,куб!T:T))))))</f>
        <v>0</v>
      </c>
      <c r="AK386" s="27" t="b">
        <f>IF($G386&lt;&gt;0,SUMIF(куб!$G:$G,$G386,куб!U:U),IF($E386&lt;&gt;0,SUMIF(куб!$E:$E,$E386,куб!U:U),IF($D386&lt;&gt;0,SUMIF(куб!$D:$D,$D386,куб!U:U),IF($C386&lt;&gt;0,SUMIF(куб!$C:$C,$C386,куб!U:U),IF($B386&lt;&gt;0,SUMIF(куб!$B:$B,$B386,куб!U:U))))))</f>
        <v>0</v>
      </c>
      <c r="AL386" s="16" t="str">
        <f t="shared" si="140"/>
        <v>-</v>
      </c>
      <c r="AM386" s="8"/>
      <c r="AN386" s="17" t="str">
        <f t="shared" si="141"/>
        <v xml:space="preserve"> </v>
      </c>
      <c r="AO386" s="17" t="str">
        <f t="shared" si="142"/>
        <v xml:space="preserve"> </v>
      </c>
      <c r="AP386" s="16" t="str">
        <f t="shared" si="143"/>
        <v>-</v>
      </c>
      <c r="AQ386" s="8"/>
      <c r="AR386" s="17" t="str">
        <f t="shared" si="144"/>
        <v>-</v>
      </c>
      <c r="AS386" s="17" t="str">
        <f t="shared" si="145"/>
        <v>-</v>
      </c>
      <c r="AT386" s="13" t="str">
        <f t="shared" si="146"/>
        <v>-</v>
      </c>
      <c r="AU386" s="8"/>
    </row>
    <row r="387" spans="1:47" x14ac:dyDescent="0.25">
      <c r="A387" s="31"/>
      <c r="B387" s="31"/>
      <c r="C387"/>
      <c r="D387" s="31"/>
      <c r="E387"/>
      <c r="F387" s="31"/>
      <c r="G387"/>
      <c r="H387" s="27">
        <f>IF($G387&lt;&gt;0,SUMIF(куб!$G:$G,$G387,куб!H:H),IF($E387&lt;&gt;0,SUMIF(куб!$E:$E,$E387,куб!H:H),IF($D387&lt;&gt;0,SUMIF(куб!$D:$D,$D387,куб!H:H),IF($C387&lt;&gt;0,SUMIF(куб!$C:$C,$C387,куб!H:H),IF($B387&lt;&gt;0,SUMIF(куб!$B:$B,$B387,куб!H:H),IF($G387&lt;&gt;0,SUMIF(куб!$A:$A,$G387,куб!H:H),SUMIF(куб!$A:$A,$G387,куб!H:H)))))))</f>
        <v>0</v>
      </c>
      <c r="I387" s="27">
        <f>IF($G387&lt;&gt;0,SUMIF(куб!$G:$G,$G387,куб!I:I),IF($E387&lt;&gt;0,SUMIF(куб!$E:$E,$E387,куб!I:I),IF($D387&lt;&gt;0,SUMIF(куб!$D:$D,$D387,куб!I:I),IF($C387&lt;&gt;0,SUMIF(куб!$C:$C,$C387,куб!I:I),IF($B387&lt;&gt;0,SUMIF(куб!$B:$B,$B387,куб!I:I),IF($G387&lt;&gt;0,SUMIF(куб!$A:$A,$G387,куб!I:I),SUMIF(куб!$A:$A,$G387,куб!I:I)))))))</f>
        <v>0</v>
      </c>
      <c r="J387" s="19" t="str">
        <f t="shared" si="129"/>
        <v>-</v>
      </c>
      <c r="K387" s="8"/>
      <c r="L387" s="17">
        <f t="shared" si="130"/>
        <v>0</v>
      </c>
      <c r="M387" s="17">
        <f t="shared" si="131"/>
        <v>0</v>
      </c>
      <c r="N387" s="12">
        <f t="shared" si="132"/>
        <v>0</v>
      </c>
      <c r="O387" s="5"/>
      <c r="P387" s="27" t="b">
        <f>IF($G387&lt;&gt;0,SUMIF(куб!$G:$G,$G387,куб!J:J),IF($E387&lt;&gt;0,SUMIF(куб!$E:$E,$E387,куб!J:J),IF($D387&lt;&gt;0,SUMIF(куб!$D:$D,$D387,куб!J:J),IF($C387&lt;&gt;0,SUMIF(куб!$C:$C,$C387,куб!J:J),IF($B387&lt;&gt;0,SUMIF(куб!$B:$B,$B387,куб!J:J))))))</f>
        <v>0</v>
      </c>
      <c r="Q387" s="27" t="b">
        <f>IF($G387&lt;&gt;0,SUMIF(куб!$G:$G,$G387,куб!K:K),IF($E387&lt;&gt;0,SUMIF(куб!$E:$E,$E387,куб!K:K),IF($D387&lt;&gt;0,SUMIF(куб!$D:$D,$D387,куб!K:K),IF($C387&lt;&gt;0,SUMIF(куб!$C:$C,$C387,куб!K:K),IF($B387&lt;&gt;0,SUMIF(куб!$B:$B,$B387,куб!K:K))))))</f>
        <v>0</v>
      </c>
      <c r="R387" s="13" t="str">
        <f t="shared" si="133"/>
        <v>-</v>
      </c>
      <c r="S387" s="5"/>
      <c r="T387" s="27" t="b">
        <f>IF($G387&lt;&gt;0,SUMIF(куб!$G:$G,$G387,куб!L:L),IF($E387&lt;&gt;0,SUMIF(куб!$E:$E,$E387,куб!L:L),IF($D387&lt;&gt;0,SUMIF(куб!$D:$D,$D387,куб!L:L),IF($C387&lt;&gt;0,SUMIF(куб!$C:$C,$C387,куб!L:L),IF($B387&lt;&gt;0,SUMIF(куб!$B:$B,$B387,куб!L:L))))))</f>
        <v>0</v>
      </c>
      <c r="U387" s="27" t="b">
        <f>IF($G387&lt;&gt;0,SUMIF(куб!$G:$G,$G387,куб!M:M),IF($E387&lt;&gt;0,SUMIF(куб!$E:$E,$E387,куб!M:M),IF($D387&lt;&gt;0,SUMIF(куб!$D:$D,$D387,куб!M:M),IF($C387&lt;&gt;0,SUMIF(куб!$C:$C,$C387,куб!M:M),IF($B387&lt;&gt;0,SUMIF(куб!$B:$B,$B387,куб!M:M))))))</f>
        <v>0</v>
      </c>
      <c r="V387" s="13" t="str">
        <f t="shared" si="134"/>
        <v>-</v>
      </c>
      <c r="W387" s="5"/>
      <c r="X387" s="27" t="b">
        <f>IF($G387&lt;&gt;0,SUMIF(куб!$G:$G,$G387,куб!N:N),IF($E387&lt;&gt;0,SUMIF(куб!$E:$E,$E387,куб!N:N),IF($D387&lt;&gt;0,SUMIF(куб!$D:$D,$D387,куб!N:N),IF($C387&lt;&gt;0,SUMIF(куб!$C:$C,$C387,куб!N:N),IF($B387&lt;&gt;0,SUMIF(куб!$B:$B,$B387,куб!N:N))))))</f>
        <v>0</v>
      </c>
      <c r="Y387" s="27" t="b">
        <f>IF($G387&lt;&gt;0,SUMIF(куб!$G:$G,$G387,куб!O:O),IF($E387&lt;&gt;0,SUMIF(куб!$E:$E,$E387,куб!O:O),IF($D387&lt;&gt;0,SUMIF(куб!$D:$D,$D387,куб!O:O),IF($C387&lt;&gt;0,SUMIF(куб!$C:$C,$C387,куб!O:O),IF($B387&lt;&gt;0,SUMIF(куб!$B:$B,$B387,куб!O:O))))))</f>
        <v>0</v>
      </c>
      <c r="Z387" s="13" t="str">
        <f t="shared" si="135"/>
        <v>-</v>
      </c>
      <c r="AA387" s="5"/>
      <c r="AB387" s="33" t="str">
        <f t="shared" si="136"/>
        <v/>
      </c>
      <c r="AC387" s="33" t="str">
        <f t="shared" si="137"/>
        <v/>
      </c>
      <c r="AD387" s="15" t="str">
        <f t="shared" si="138"/>
        <v xml:space="preserve"> </v>
      </c>
      <c r="AE387" s="5"/>
      <c r="AF387" s="27" t="b">
        <f>IF($G387&lt;&gt;0,SUMIF(куб!$G:$G,$G387,куб!R:R),IF($E387&lt;&gt;0,SUMIF(куб!$E:$E,$E387,куб!R:R),IF($D387&lt;&gt;0,SUMIF(куб!$D:$D,$D387,куб!R:R),IF($C387&lt;&gt;0,SUMIF(куб!$C:$C,$C387,куб!R:R),IF($B387&lt;&gt;0,SUMIF(куб!$B:$B,$B387,куб!R:R))))))</f>
        <v>0</v>
      </c>
      <c r="AG387" s="27" t="b">
        <f>IF($G387&lt;&gt;0,SUMIF(куб!$G:$G,$G387,куб!S:S),IF($E387&lt;&gt;0,SUMIF(куб!$E:$E,$E387,куб!S:S),IF($D387&lt;&gt;0,SUMIF(куб!$D:$D,$D387,куб!S:S),IF($C387&lt;&gt;0,SUMIF(куб!$C:$C,$C387,куб!S:S),IF($B387&lt;&gt;0,SUMIF(куб!$B:$B,$B387,куб!S:S))))))</f>
        <v>0</v>
      </c>
      <c r="AH387" s="16" t="str">
        <f t="shared" si="139"/>
        <v>-</v>
      </c>
      <c r="AI387" s="8"/>
      <c r="AJ387" s="27" t="b">
        <f>IF($G387&lt;&gt;0,SUMIF(куб!$G:$G,$G387,куб!T:T),IF($E387&lt;&gt;0,SUMIF(куб!$E:$E,$E387,куб!T:T),IF($D387&lt;&gt;0,SUMIF(куб!$D:$D,$D387,куб!T:T),IF($C387&lt;&gt;0,SUMIF(куб!$C:$C,$C387,куб!T:T),IF($B387&lt;&gt;0,SUMIF(куб!$B:$B,$B387,куб!T:T))))))</f>
        <v>0</v>
      </c>
      <c r="AK387" s="27" t="b">
        <f>IF($G387&lt;&gt;0,SUMIF(куб!$G:$G,$G387,куб!U:U),IF($E387&lt;&gt;0,SUMIF(куб!$E:$E,$E387,куб!U:U),IF($D387&lt;&gt;0,SUMIF(куб!$D:$D,$D387,куб!U:U),IF($C387&lt;&gt;0,SUMIF(куб!$C:$C,$C387,куб!U:U),IF($B387&lt;&gt;0,SUMIF(куб!$B:$B,$B387,куб!U:U))))))</f>
        <v>0</v>
      </c>
      <c r="AL387" s="16" t="str">
        <f t="shared" si="140"/>
        <v>-</v>
      </c>
      <c r="AM387" s="8"/>
      <c r="AN387" s="17" t="str">
        <f t="shared" si="141"/>
        <v xml:space="preserve"> </v>
      </c>
      <c r="AO387" s="17" t="str">
        <f t="shared" si="142"/>
        <v xml:space="preserve"> </v>
      </c>
      <c r="AP387" s="16" t="str">
        <f t="shared" si="143"/>
        <v>-</v>
      </c>
      <c r="AQ387" s="8"/>
      <c r="AR387" s="17" t="str">
        <f t="shared" si="144"/>
        <v>-</v>
      </c>
      <c r="AS387" s="17" t="str">
        <f t="shared" si="145"/>
        <v>-</v>
      </c>
      <c r="AT387" s="13" t="str">
        <f t="shared" si="146"/>
        <v>-</v>
      </c>
      <c r="AU387" s="8"/>
    </row>
    <row r="388" spans="1:47" x14ac:dyDescent="0.25">
      <c r="A388" s="31"/>
      <c r="B388" s="31"/>
      <c r="C388"/>
      <c r="D388" s="31"/>
      <c r="E388"/>
      <c r="F388" s="31"/>
      <c r="G388"/>
      <c r="H388" s="27">
        <f>IF($G388&lt;&gt;0,SUMIF(куб!$G:$G,$G388,куб!H:H),IF($E388&lt;&gt;0,SUMIF(куб!$E:$E,$E388,куб!H:H),IF($D388&lt;&gt;0,SUMIF(куб!$D:$D,$D388,куб!H:H),IF($C388&lt;&gt;0,SUMIF(куб!$C:$C,$C388,куб!H:H),IF($B388&lt;&gt;0,SUMIF(куб!$B:$B,$B388,куб!H:H),IF($G388&lt;&gt;0,SUMIF(куб!$A:$A,$G388,куб!H:H),SUMIF(куб!$A:$A,$G388,куб!H:H)))))))</f>
        <v>0</v>
      </c>
      <c r="I388" s="27">
        <f>IF($G388&lt;&gt;0,SUMIF(куб!$G:$G,$G388,куб!I:I),IF($E388&lt;&gt;0,SUMIF(куб!$E:$E,$E388,куб!I:I),IF($D388&lt;&gt;0,SUMIF(куб!$D:$D,$D388,куб!I:I),IF($C388&lt;&gt;0,SUMIF(куб!$C:$C,$C388,куб!I:I),IF($B388&lt;&gt;0,SUMIF(куб!$B:$B,$B388,куб!I:I),IF($G388&lt;&gt;0,SUMIF(куб!$A:$A,$G388,куб!I:I),SUMIF(куб!$A:$A,$G388,куб!I:I)))))))</f>
        <v>0</v>
      </c>
      <c r="J388" s="19" t="str">
        <f t="shared" si="129"/>
        <v>-</v>
      </c>
      <c r="K388" s="8"/>
      <c r="L388" s="17">
        <f t="shared" si="130"/>
        <v>0</v>
      </c>
      <c r="M388" s="17">
        <f t="shared" si="131"/>
        <v>0</v>
      </c>
      <c r="N388" s="12">
        <f t="shared" si="132"/>
        <v>0</v>
      </c>
      <c r="O388" s="5"/>
      <c r="P388" s="27" t="b">
        <f>IF($G388&lt;&gt;0,SUMIF(куб!$G:$G,$G388,куб!J:J),IF($E388&lt;&gt;0,SUMIF(куб!$E:$E,$E388,куб!J:J),IF($D388&lt;&gt;0,SUMIF(куб!$D:$D,$D388,куб!J:J),IF($C388&lt;&gt;0,SUMIF(куб!$C:$C,$C388,куб!J:J),IF($B388&lt;&gt;0,SUMIF(куб!$B:$B,$B388,куб!J:J))))))</f>
        <v>0</v>
      </c>
      <c r="Q388" s="27" t="b">
        <f>IF($G388&lt;&gt;0,SUMIF(куб!$G:$G,$G388,куб!K:K),IF($E388&lt;&gt;0,SUMIF(куб!$E:$E,$E388,куб!K:K),IF($D388&lt;&gt;0,SUMIF(куб!$D:$D,$D388,куб!K:K),IF($C388&lt;&gt;0,SUMIF(куб!$C:$C,$C388,куб!K:K),IF($B388&lt;&gt;0,SUMIF(куб!$B:$B,$B388,куб!K:K))))))</f>
        <v>0</v>
      </c>
      <c r="R388" s="13" t="str">
        <f t="shared" si="133"/>
        <v>-</v>
      </c>
      <c r="S388" s="5"/>
      <c r="T388" s="27" t="b">
        <f>IF($G388&lt;&gt;0,SUMIF(куб!$G:$G,$G388,куб!L:L),IF($E388&lt;&gt;0,SUMIF(куб!$E:$E,$E388,куб!L:L),IF($D388&lt;&gt;0,SUMIF(куб!$D:$D,$D388,куб!L:L),IF($C388&lt;&gt;0,SUMIF(куб!$C:$C,$C388,куб!L:L),IF($B388&lt;&gt;0,SUMIF(куб!$B:$B,$B388,куб!L:L))))))</f>
        <v>0</v>
      </c>
      <c r="U388" s="27" t="b">
        <f>IF($G388&lt;&gt;0,SUMIF(куб!$G:$G,$G388,куб!M:M),IF($E388&lt;&gt;0,SUMIF(куб!$E:$E,$E388,куб!M:M),IF($D388&lt;&gt;0,SUMIF(куб!$D:$D,$D388,куб!M:M),IF($C388&lt;&gt;0,SUMIF(куб!$C:$C,$C388,куб!M:M),IF($B388&lt;&gt;0,SUMIF(куб!$B:$B,$B388,куб!M:M))))))</f>
        <v>0</v>
      </c>
      <c r="V388" s="13" t="str">
        <f t="shared" si="134"/>
        <v>-</v>
      </c>
      <c r="W388" s="5"/>
      <c r="X388" s="27" t="b">
        <f>IF($G388&lt;&gt;0,SUMIF(куб!$G:$G,$G388,куб!N:N),IF($E388&lt;&gt;0,SUMIF(куб!$E:$E,$E388,куб!N:N),IF($D388&lt;&gt;0,SUMIF(куб!$D:$D,$D388,куб!N:N),IF($C388&lt;&gt;0,SUMIF(куб!$C:$C,$C388,куб!N:N),IF($B388&lt;&gt;0,SUMIF(куб!$B:$B,$B388,куб!N:N))))))</f>
        <v>0</v>
      </c>
      <c r="Y388" s="27" t="b">
        <f>IF($G388&lt;&gt;0,SUMIF(куб!$G:$G,$G388,куб!O:O),IF($E388&lt;&gt;0,SUMIF(куб!$E:$E,$E388,куб!O:O),IF($D388&lt;&gt;0,SUMIF(куб!$D:$D,$D388,куб!O:O),IF($C388&lt;&gt;0,SUMIF(куб!$C:$C,$C388,куб!O:O),IF($B388&lt;&gt;0,SUMIF(куб!$B:$B,$B388,куб!O:O))))))</f>
        <v>0</v>
      </c>
      <c r="Z388" s="13" t="str">
        <f t="shared" si="135"/>
        <v>-</v>
      </c>
      <c r="AA388" s="5"/>
      <c r="AB388" s="33" t="str">
        <f t="shared" si="136"/>
        <v/>
      </c>
      <c r="AC388" s="33" t="str">
        <f t="shared" si="137"/>
        <v/>
      </c>
      <c r="AD388" s="15" t="str">
        <f t="shared" si="138"/>
        <v xml:space="preserve"> </v>
      </c>
      <c r="AE388" s="5"/>
      <c r="AF388" s="27" t="b">
        <f>IF($G388&lt;&gt;0,SUMIF(куб!$G:$G,$G388,куб!R:R),IF($E388&lt;&gt;0,SUMIF(куб!$E:$E,$E388,куб!R:R),IF($D388&lt;&gt;0,SUMIF(куб!$D:$D,$D388,куб!R:R),IF($C388&lt;&gt;0,SUMIF(куб!$C:$C,$C388,куб!R:R),IF($B388&lt;&gt;0,SUMIF(куб!$B:$B,$B388,куб!R:R))))))</f>
        <v>0</v>
      </c>
      <c r="AG388" s="27" t="b">
        <f>IF($G388&lt;&gt;0,SUMIF(куб!$G:$G,$G388,куб!S:S),IF($E388&lt;&gt;0,SUMIF(куб!$E:$E,$E388,куб!S:S),IF($D388&lt;&gt;0,SUMIF(куб!$D:$D,$D388,куб!S:S),IF($C388&lt;&gt;0,SUMIF(куб!$C:$C,$C388,куб!S:S),IF($B388&lt;&gt;0,SUMIF(куб!$B:$B,$B388,куб!S:S))))))</f>
        <v>0</v>
      </c>
      <c r="AH388" s="16" t="str">
        <f t="shared" si="139"/>
        <v>-</v>
      </c>
      <c r="AI388" s="8"/>
      <c r="AJ388" s="27" t="b">
        <f>IF($G388&lt;&gt;0,SUMIF(куб!$G:$G,$G388,куб!T:T),IF($E388&lt;&gt;0,SUMIF(куб!$E:$E,$E388,куб!T:T),IF($D388&lt;&gt;0,SUMIF(куб!$D:$D,$D388,куб!T:T),IF($C388&lt;&gt;0,SUMIF(куб!$C:$C,$C388,куб!T:T),IF($B388&lt;&gt;0,SUMIF(куб!$B:$B,$B388,куб!T:T))))))</f>
        <v>0</v>
      </c>
      <c r="AK388" s="27" t="b">
        <f>IF($G388&lt;&gt;0,SUMIF(куб!$G:$G,$G388,куб!U:U),IF($E388&lt;&gt;0,SUMIF(куб!$E:$E,$E388,куб!U:U),IF($D388&lt;&gt;0,SUMIF(куб!$D:$D,$D388,куб!U:U),IF($C388&lt;&gt;0,SUMIF(куб!$C:$C,$C388,куб!U:U),IF($B388&lt;&gt;0,SUMIF(куб!$B:$B,$B388,куб!U:U))))))</f>
        <v>0</v>
      </c>
      <c r="AL388" s="16" t="str">
        <f t="shared" si="140"/>
        <v>-</v>
      </c>
      <c r="AM388" s="8"/>
      <c r="AN388" s="17" t="str">
        <f t="shared" si="141"/>
        <v xml:space="preserve"> </v>
      </c>
      <c r="AO388" s="17" t="str">
        <f t="shared" si="142"/>
        <v xml:space="preserve"> </v>
      </c>
      <c r="AP388" s="16" t="str">
        <f t="shared" si="143"/>
        <v>-</v>
      </c>
      <c r="AQ388" s="8"/>
      <c r="AR388" s="17" t="str">
        <f t="shared" si="144"/>
        <v>-</v>
      </c>
      <c r="AS388" s="17" t="str">
        <f t="shared" si="145"/>
        <v>-</v>
      </c>
      <c r="AT388" s="13" t="str">
        <f t="shared" si="146"/>
        <v>-</v>
      </c>
      <c r="AU388" s="8"/>
    </row>
    <row r="389" spans="1:47" x14ac:dyDescent="0.25">
      <c r="A389" s="31"/>
      <c r="B389" s="31"/>
      <c r="C389"/>
      <c r="D389" s="31"/>
      <c r="E389"/>
      <c r="F389" s="31"/>
      <c r="G389"/>
      <c r="H389" s="27">
        <f>IF($G389&lt;&gt;0,SUMIF(куб!$G:$G,$G389,куб!H:H),IF($E389&lt;&gt;0,SUMIF(куб!$E:$E,$E389,куб!H:H),IF($D389&lt;&gt;0,SUMIF(куб!$D:$D,$D389,куб!H:H),IF($C389&lt;&gt;0,SUMIF(куб!$C:$C,$C389,куб!H:H),IF($B389&lt;&gt;0,SUMIF(куб!$B:$B,$B389,куб!H:H),IF($G389&lt;&gt;0,SUMIF(куб!$A:$A,$G389,куб!H:H),SUMIF(куб!$A:$A,$G389,куб!H:H)))))))</f>
        <v>0</v>
      </c>
      <c r="I389" s="27">
        <f>IF($G389&lt;&gt;0,SUMIF(куб!$G:$G,$G389,куб!I:I),IF($E389&lt;&gt;0,SUMIF(куб!$E:$E,$E389,куб!I:I),IF($D389&lt;&gt;0,SUMIF(куб!$D:$D,$D389,куб!I:I),IF($C389&lt;&gt;0,SUMIF(куб!$C:$C,$C389,куб!I:I),IF($B389&lt;&gt;0,SUMIF(куб!$B:$B,$B389,куб!I:I),IF($G389&lt;&gt;0,SUMIF(куб!$A:$A,$G389,куб!I:I),SUMIF(куб!$A:$A,$G389,куб!I:I)))))))</f>
        <v>0</v>
      </c>
      <c r="J389" s="19" t="str">
        <f t="shared" si="129"/>
        <v>-</v>
      </c>
      <c r="K389" s="8"/>
      <c r="L389" s="17">
        <f t="shared" si="130"/>
        <v>0</v>
      </c>
      <c r="M389" s="17">
        <f t="shared" si="131"/>
        <v>0</v>
      </c>
      <c r="N389" s="12">
        <f t="shared" si="132"/>
        <v>0</v>
      </c>
      <c r="O389" s="5"/>
      <c r="P389" s="27" t="b">
        <f>IF($G389&lt;&gt;0,SUMIF(куб!$G:$G,$G389,куб!J:J),IF($E389&lt;&gt;0,SUMIF(куб!$E:$E,$E389,куб!J:J),IF($D389&lt;&gt;0,SUMIF(куб!$D:$D,$D389,куб!J:J),IF($C389&lt;&gt;0,SUMIF(куб!$C:$C,$C389,куб!J:J),IF($B389&lt;&gt;0,SUMIF(куб!$B:$B,$B389,куб!J:J))))))</f>
        <v>0</v>
      </c>
      <c r="Q389" s="27" t="b">
        <f>IF($G389&lt;&gt;0,SUMIF(куб!$G:$G,$G389,куб!K:K),IF($E389&lt;&gt;0,SUMIF(куб!$E:$E,$E389,куб!K:K),IF($D389&lt;&gt;0,SUMIF(куб!$D:$D,$D389,куб!K:K),IF($C389&lt;&gt;0,SUMIF(куб!$C:$C,$C389,куб!K:K),IF($B389&lt;&gt;0,SUMIF(куб!$B:$B,$B389,куб!K:K))))))</f>
        <v>0</v>
      </c>
      <c r="R389" s="13" t="str">
        <f t="shared" si="133"/>
        <v>-</v>
      </c>
      <c r="S389" s="5"/>
      <c r="T389" s="27" t="b">
        <f>IF($G389&lt;&gt;0,SUMIF(куб!$G:$G,$G389,куб!L:L),IF($E389&lt;&gt;0,SUMIF(куб!$E:$E,$E389,куб!L:L),IF($D389&lt;&gt;0,SUMIF(куб!$D:$D,$D389,куб!L:L),IF($C389&lt;&gt;0,SUMIF(куб!$C:$C,$C389,куб!L:L),IF($B389&lt;&gt;0,SUMIF(куб!$B:$B,$B389,куб!L:L))))))</f>
        <v>0</v>
      </c>
      <c r="U389" s="27" t="b">
        <f>IF($G389&lt;&gt;0,SUMIF(куб!$G:$G,$G389,куб!M:M),IF($E389&lt;&gt;0,SUMIF(куб!$E:$E,$E389,куб!M:M),IF($D389&lt;&gt;0,SUMIF(куб!$D:$D,$D389,куб!M:M),IF($C389&lt;&gt;0,SUMIF(куб!$C:$C,$C389,куб!M:M),IF($B389&lt;&gt;0,SUMIF(куб!$B:$B,$B389,куб!M:M))))))</f>
        <v>0</v>
      </c>
      <c r="V389" s="13" t="str">
        <f t="shared" si="134"/>
        <v>-</v>
      </c>
      <c r="W389" s="5"/>
      <c r="X389" s="27" t="b">
        <f>IF($G389&lt;&gt;0,SUMIF(куб!$G:$G,$G389,куб!N:N),IF($E389&lt;&gt;0,SUMIF(куб!$E:$E,$E389,куб!N:N),IF($D389&lt;&gt;0,SUMIF(куб!$D:$D,$D389,куб!N:N),IF($C389&lt;&gt;0,SUMIF(куб!$C:$C,$C389,куб!N:N),IF($B389&lt;&gt;0,SUMIF(куб!$B:$B,$B389,куб!N:N))))))</f>
        <v>0</v>
      </c>
      <c r="Y389" s="27" t="b">
        <f>IF($G389&lt;&gt;0,SUMIF(куб!$G:$G,$G389,куб!O:O),IF($E389&lt;&gt;0,SUMIF(куб!$E:$E,$E389,куб!O:O),IF($D389&lt;&gt;0,SUMIF(куб!$D:$D,$D389,куб!O:O),IF($C389&lt;&gt;0,SUMIF(куб!$C:$C,$C389,куб!O:O),IF($B389&lt;&gt;0,SUMIF(куб!$B:$B,$B389,куб!O:O))))))</f>
        <v>0</v>
      </c>
      <c r="Z389" s="13" t="str">
        <f t="shared" si="135"/>
        <v>-</v>
      </c>
      <c r="AA389" s="5"/>
      <c r="AB389" s="33" t="str">
        <f t="shared" si="136"/>
        <v/>
      </c>
      <c r="AC389" s="33" t="str">
        <f t="shared" si="137"/>
        <v/>
      </c>
      <c r="AD389" s="15" t="str">
        <f t="shared" si="138"/>
        <v xml:space="preserve"> </v>
      </c>
      <c r="AE389" s="5"/>
      <c r="AF389" s="27" t="b">
        <f>IF($G389&lt;&gt;0,SUMIF(куб!$G:$G,$G389,куб!R:R),IF($E389&lt;&gt;0,SUMIF(куб!$E:$E,$E389,куб!R:R),IF($D389&lt;&gt;0,SUMIF(куб!$D:$D,$D389,куб!R:R),IF($C389&lt;&gt;0,SUMIF(куб!$C:$C,$C389,куб!R:R),IF($B389&lt;&gt;0,SUMIF(куб!$B:$B,$B389,куб!R:R))))))</f>
        <v>0</v>
      </c>
      <c r="AG389" s="27" t="b">
        <f>IF($G389&lt;&gt;0,SUMIF(куб!$G:$G,$G389,куб!S:S),IF($E389&lt;&gt;0,SUMIF(куб!$E:$E,$E389,куб!S:S),IF($D389&lt;&gt;0,SUMIF(куб!$D:$D,$D389,куб!S:S),IF($C389&lt;&gt;0,SUMIF(куб!$C:$C,$C389,куб!S:S),IF($B389&lt;&gt;0,SUMIF(куб!$B:$B,$B389,куб!S:S))))))</f>
        <v>0</v>
      </c>
      <c r="AH389" s="16" t="str">
        <f t="shared" si="139"/>
        <v>-</v>
      </c>
      <c r="AI389" s="8"/>
      <c r="AJ389" s="27" t="b">
        <f>IF($G389&lt;&gt;0,SUMIF(куб!$G:$G,$G389,куб!T:T),IF($E389&lt;&gt;0,SUMIF(куб!$E:$E,$E389,куб!T:T),IF($D389&lt;&gt;0,SUMIF(куб!$D:$D,$D389,куб!T:T),IF($C389&lt;&gt;0,SUMIF(куб!$C:$C,$C389,куб!T:T),IF($B389&lt;&gt;0,SUMIF(куб!$B:$B,$B389,куб!T:T))))))</f>
        <v>0</v>
      </c>
      <c r="AK389" s="27" t="b">
        <f>IF($G389&lt;&gt;0,SUMIF(куб!$G:$G,$G389,куб!U:U),IF($E389&lt;&gt;0,SUMIF(куб!$E:$E,$E389,куб!U:U),IF($D389&lt;&gt;0,SUMIF(куб!$D:$D,$D389,куб!U:U),IF($C389&lt;&gt;0,SUMIF(куб!$C:$C,$C389,куб!U:U),IF($B389&lt;&gt;0,SUMIF(куб!$B:$B,$B389,куб!U:U))))))</f>
        <v>0</v>
      </c>
      <c r="AL389" s="16" t="str">
        <f t="shared" si="140"/>
        <v>-</v>
      </c>
      <c r="AM389" s="8"/>
      <c r="AN389" s="17" t="str">
        <f t="shared" si="141"/>
        <v xml:space="preserve"> </v>
      </c>
      <c r="AO389" s="17" t="str">
        <f t="shared" si="142"/>
        <v xml:space="preserve"> </v>
      </c>
      <c r="AP389" s="16" t="str">
        <f t="shared" si="143"/>
        <v>-</v>
      </c>
      <c r="AQ389" s="8"/>
      <c r="AR389" s="17" t="str">
        <f t="shared" si="144"/>
        <v>-</v>
      </c>
      <c r="AS389" s="17" t="str">
        <f t="shared" si="145"/>
        <v>-</v>
      </c>
      <c r="AT389" s="13" t="str">
        <f t="shared" si="146"/>
        <v>-</v>
      </c>
      <c r="AU389" s="8"/>
    </row>
    <row r="390" spans="1:47" x14ac:dyDescent="0.25">
      <c r="A390" s="31"/>
      <c r="B390" s="31"/>
      <c r="C390"/>
      <c r="D390" s="31"/>
      <c r="E390"/>
      <c r="F390" s="31"/>
      <c r="G390"/>
      <c r="H390" s="27">
        <f>IF($G390&lt;&gt;0,SUMIF(куб!$G:$G,$G390,куб!H:H),IF($E390&lt;&gt;0,SUMIF(куб!$E:$E,$E390,куб!H:H),IF($D390&lt;&gt;0,SUMIF(куб!$D:$D,$D390,куб!H:H),IF($C390&lt;&gt;0,SUMIF(куб!$C:$C,$C390,куб!H:H),IF($B390&lt;&gt;0,SUMIF(куб!$B:$B,$B390,куб!H:H),IF($G390&lt;&gt;0,SUMIF(куб!$A:$A,$G390,куб!H:H),SUMIF(куб!$A:$A,$G390,куб!H:H)))))))</f>
        <v>0</v>
      </c>
      <c r="I390" s="27">
        <f>IF($G390&lt;&gt;0,SUMIF(куб!$G:$G,$G390,куб!I:I),IF($E390&lt;&gt;0,SUMIF(куб!$E:$E,$E390,куб!I:I),IF($D390&lt;&gt;0,SUMIF(куб!$D:$D,$D390,куб!I:I),IF($C390&lt;&gt;0,SUMIF(куб!$C:$C,$C390,куб!I:I),IF($B390&lt;&gt;0,SUMIF(куб!$B:$B,$B390,куб!I:I),IF($G390&lt;&gt;0,SUMIF(куб!$A:$A,$G390,куб!I:I),SUMIF(куб!$A:$A,$G390,куб!I:I)))))))</f>
        <v>0</v>
      </c>
      <c r="J390" s="19" t="str">
        <f t="shared" si="129"/>
        <v>-</v>
      </c>
      <c r="K390" s="8"/>
      <c r="L390" s="17">
        <f t="shared" si="130"/>
        <v>0</v>
      </c>
      <c r="M390" s="17">
        <f t="shared" si="131"/>
        <v>0</v>
      </c>
      <c r="N390" s="12">
        <f t="shared" si="132"/>
        <v>0</v>
      </c>
      <c r="O390" s="5"/>
      <c r="P390" s="27" t="b">
        <f>IF($G390&lt;&gt;0,SUMIF(куб!$G:$G,$G390,куб!J:J),IF($E390&lt;&gt;0,SUMIF(куб!$E:$E,$E390,куб!J:J),IF($D390&lt;&gt;0,SUMIF(куб!$D:$D,$D390,куб!J:J),IF($C390&lt;&gt;0,SUMIF(куб!$C:$C,$C390,куб!J:J),IF($B390&lt;&gt;0,SUMIF(куб!$B:$B,$B390,куб!J:J))))))</f>
        <v>0</v>
      </c>
      <c r="Q390" s="27" t="b">
        <f>IF($G390&lt;&gt;0,SUMIF(куб!$G:$G,$G390,куб!K:K),IF($E390&lt;&gt;0,SUMIF(куб!$E:$E,$E390,куб!K:K),IF($D390&lt;&gt;0,SUMIF(куб!$D:$D,$D390,куб!K:K),IF($C390&lt;&gt;0,SUMIF(куб!$C:$C,$C390,куб!K:K),IF($B390&lt;&gt;0,SUMIF(куб!$B:$B,$B390,куб!K:K))))))</f>
        <v>0</v>
      </c>
      <c r="R390" s="13" t="str">
        <f t="shared" si="133"/>
        <v>-</v>
      </c>
      <c r="S390" s="5"/>
      <c r="T390" s="27" t="b">
        <f>IF($G390&lt;&gt;0,SUMIF(куб!$G:$G,$G390,куб!L:L),IF($E390&lt;&gt;0,SUMIF(куб!$E:$E,$E390,куб!L:L),IF($D390&lt;&gt;0,SUMIF(куб!$D:$D,$D390,куб!L:L),IF($C390&lt;&gt;0,SUMIF(куб!$C:$C,$C390,куб!L:L),IF($B390&lt;&gt;0,SUMIF(куб!$B:$B,$B390,куб!L:L))))))</f>
        <v>0</v>
      </c>
      <c r="U390" s="27" t="b">
        <f>IF($G390&lt;&gt;0,SUMIF(куб!$G:$G,$G390,куб!M:M),IF($E390&lt;&gt;0,SUMIF(куб!$E:$E,$E390,куб!M:M),IF($D390&lt;&gt;0,SUMIF(куб!$D:$D,$D390,куб!M:M),IF($C390&lt;&gt;0,SUMIF(куб!$C:$C,$C390,куб!M:M),IF($B390&lt;&gt;0,SUMIF(куб!$B:$B,$B390,куб!M:M))))))</f>
        <v>0</v>
      </c>
      <c r="V390" s="13" t="str">
        <f t="shared" si="134"/>
        <v>-</v>
      </c>
      <c r="W390" s="5"/>
      <c r="X390" s="27" t="b">
        <f>IF($G390&lt;&gt;0,SUMIF(куб!$G:$G,$G390,куб!N:N),IF($E390&lt;&gt;0,SUMIF(куб!$E:$E,$E390,куб!N:N),IF($D390&lt;&gt;0,SUMIF(куб!$D:$D,$D390,куб!N:N),IF($C390&lt;&gt;0,SUMIF(куб!$C:$C,$C390,куб!N:N),IF($B390&lt;&gt;0,SUMIF(куб!$B:$B,$B390,куб!N:N))))))</f>
        <v>0</v>
      </c>
      <c r="Y390" s="27" t="b">
        <f>IF($G390&lt;&gt;0,SUMIF(куб!$G:$G,$G390,куб!O:O),IF($E390&lt;&gt;0,SUMIF(куб!$E:$E,$E390,куб!O:O),IF($D390&lt;&gt;0,SUMIF(куб!$D:$D,$D390,куб!O:O),IF($C390&lt;&gt;0,SUMIF(куб!$C:$C,$C390,куб!O:O),IF($B390&lt;&gt;0,SUMIF(куб!$B:$B,$B390,куб!O:O))))))</f>
        <v>0</v>
      </c>
      <c r="Z390" s="13" t="str">
        <f t="shared" si="135"/>
        <v>-</v>
      </c>
      <c r="AA390" s="5"/>
      <c r="AB390" s="33" t="str">
        <f t="shared" si="136"/>
        <v/>
      </c>
      <c r="AC390" s="33" t="str">
        <f t="shared" si="137"/>
        <v/>
      </c>
      <c r="AD390" s="15" t="str">
        <f t="shared" si="138"/>
        <v xml:space="preserve"> </v>
      </c>
      <c r="AE390" s="5"/>
      <c r="AF390" s="27" t="b">
        <f>IF($G390&lt;&gt;0,SUMIF(куб!$G:$G,$G390,куб!R:R),IF($E390&lt;&gt;0,SUMIF(куб!$E:$E,$E390,куб!R:R),IF($D390&lt;&gt;0,SUMIF(куб!$D:$D,$D390,куб!R:R),IF($C390&lt;&gt;0,SUMIF(куб!$C:$C,$C390,куб!R:R),IF($B390&lt;&gt;0,SUMIF(куб!$B:$B,$B390,куб!R:R))))))</f>
        <v>0</v>
      </c>
      <c r="AG390" s="27" t="b">
        <f>IF($G390&lt;&gt;0,SUMIF(куб!$G:$G,$G390,куб!S:S),IF($E390&lt;&gt;0,SUMIF(куб!$E:$E,$E390,куб!S:S),IF($D390&lt;&gt;0,SUMIF(куб!$D:$D,$D390,куб!S:S),IF($C390&lt;&gt;0,SUMIF(куб!$C:$C,$C390,куб!S:S),IF($B390&lt;&gt;0,SUMIF(куб!$B:$B,$B390,куб!S:S))))))</f>
        <v>0</v>
      </c>
      <c r="AH390" s="16" t="str">
        <f t="shared" si="139"/>
        <v>-</v>
      </c>
      <c r="AI390" s="8"/>
      <c r="AJ390" s="27" t="b">
        <f>IF($G390&lt;&gt;0,SUMIF(куб!$G:$G,$G390,куб!T:T),IF($E390&lt;&gt;0,SUMIF(куб!$E:$E,$E390,куб!T:T),IF($D390&lt;&gt;0,SUMIF(куб!$D:$D,$D390,куб!T:T),IF($C390&lt;&gt;0,SUMIF(куб!$C:$C,$C390,куб!T:T),IF($B390&lt;&gt;0,SUMIF(куб!$B:$B,$B390,куб!T:T))))))</f>
        <v>0</v>
      </c>
      <c r="AK390" s="27" t="b">
        <f>IF($G390&lt;&gt;0,SUMIF(куб!$G:$G,$G390,куб!U:U),IF($E390&lt;&gt;0,SUMIF(куб!$E:$E,$E390,куб!U:U),IF($D390&lt;&gt;0,SUMIF(куб!$D:$D,$D390,куб!U:U),IF($C390&lt;&gt;0,SUMIF(куб!$C:$C,$C390,куб!U:U),IF($B390&lt;&gt;0,SUMIF(куб!$B:$B,$B390,куб!U:U))))))</f>
        <v>0</v>
      </c>
      <c r="AL390" s="16" t="str">
        <f t="shared" si="140"/>
        <v>-</v>
      </c>
      <c r="AM390" s="8"/>
      <c r="AN390" s="17" t="str">
        <f t="shared" si="141"/>
        <v xml:space="preserve"> </v>
      </c>
      <c r="AO390" s="17" t="str">
        <f t="shared" si="142"/>
        <v xml:space="preserve"> </v>
      </c>
      <c r="AP390" s="16" t="str">
        <f t="shared" si="143"/>
        <v>-</v>
      </c>
      <c r="AQ390" s="8"/>
      <c r="AR390" s="17" t="str">
        <f t="shared" si="144"/>
        <v>-</v>
      </c>
      <c r="AS390" s="17" t="str">
        <f t="shared" si="145"/>
        <v>-</v>
      </c>
      <c r="AT390" s="13" t="str">
        <f t="shared" si="146"/>
        <v>-</v>
      </c>
      <c r="AU390" s="8"/>
    </row>
    <row r="391" spans="1:47" x14ac:dyDescent="0.25">
      <c r="A391" s="31"/>
      <c r="B391" s="31"/>
      <c r="C391"/>
      <c r="D391" s="31"/>
      <c r="E391"/>
      <c r="F391" s="31"/>
      <c r="G391"/>
      <c r="H391" s="27">
        <f>IF($G391&lt;&gt;0,SUMIF(куб!$G:$G,$G391,куб!H:H),IF($E391&lt;&gt;0,SUMIF(куб!$E:$E,$E391,куб!H:H),IF($D391&lt;&gt;0,SUMIF(куб!$D:$D,$D391,куб!H:H),IF($C391&lt;&gt;0,SUMIF(куб!$C:$C,$C391,куб!H:H),IF($B391&lt;&gt;0,SUMIF(куб!$B:$B,$B391,куб!H:H),IF($G391&lt;&gt;0,SUMIF(куб!$A:$A,$G391,куб!H:H),SUMIF(куб!$A:$A,$G391,куб!H:H)))))))</f>
        <v>0</v>
      </c>
      <c r="I391" s="27">
        <f>IF($G391&lt;&gt;0,SUMIF(куб!$G:$G,$G391,куб!I:I),IF($E391&lt;&gt;0,SUMIF(куб!$E:$E,$E391,куб!I:I),IF($D391&lt;&gt;0,SUMIF(куб!$D:$D,$D391,куб!I:I),IF($C391&lt;&gt;0,SUMIF(куб!$C:$C,$C391,куб!I:I),IF($B391&lt;&gt;0,SUMIF(куб!$B:$B,$B391,куб!I:I),IF($G391&lt;&gt;0,SUMIF(куб!$A:$A,$G391,куб!I:I),SUMIF(куб!$A:$A,$G391,куб!I:I)))))))</f>
        <v>0</v>
      </c>
      <c r="J391" s="19" t="str">
        <f t="shared" si="129"/>
        <v>-</v>
      </c>
      <c r="K391" s="8"/>
      <c r="L391" s="17">
        <f t="shared" si="130"/>
        <v>0</v>
      </c>
      <c r="M391" s="17">
        <f t="shared" si="131"/>
        <v>0</v>
      </c>
      <c r="N391" s="12">
        <f t="shared" si="132"/>
        <v>0</v>
      </c>
      <c r="O391" s="5"/>
      <c r="P391" s="27" t="b">
        <f>IF($G391&lt;&gt;0,SUMIF(куб!$G:$G,$G391,куб!J:J),IF($E391&lt;&gt;0,SUMIF(куб!$E:$E,$E391,куб!J:J),IF($D391&lt;&gt;0,SUMIF(куб!$D:$D,$D391,куб!J:J),IF($C391&lt;&gt;0,SUMIF(куб!$C:$C,$C391,куб!J:J),IF($B391&lt;&gt;0,SUMIF(куб!$B:$B,$B391,куб!J:J))))))</f>
        <v>0</v>
      </c>
      <c r="Q391" s="27" t="b">
        <f>IF($G391&lt;&gt;0,SUMIF(куб!$G:$G,$G391,куб!K:K),IF($E391&lt;&gt;0,SUMIF(куб!$E:$E,$E391,куб!K:K),IF($D391&lt;&gt;0,SUMIF(куб!$D:$D,$D391,куб!K:K),IF($C391&lt;&gt;0,SUMIF(куб!$C:$C,$C391,куб!K:K),IF($B391&lt;&gt;0,SUMIF(куб!$B:$B,$B391,куб!K:K))))))</f>
        <v>0</v>
      </c>
      <c r="R391" s="13" t="str">
        <f t="shared" si="133"/>
        <v>-</v>
      </c>
      <c r="S391" s="5"/>
      <c r="T391" s="27" t="b">
        <f>IF($G391&lt;&gt;0,SUMIF(куб!$G:$G,$G391,куб!L:L),IF($E391&lt;&gt;0,SUMIF(куб!$E:$E,$E391,куб!L:L),IF($D391&lt;&gt;0,SUMIF(куб!$D:$D,$D391,куб!L:L),IF($C391&lt;&gt;0,SUMIF(куб!$C:$C,$C391,куб!L:L),IF($B391&lt;&gt;0,SUMIF(куб!$B:$B,$B391,куб!L:L))))))</f>
        <v>0</v>
      </c>
      <c r="U391" s="27" t="b">
        <f>IF($G391&lt;&gt;0,SUMIF(куб!$G:$G,$G391,куб!M:M),IF($E391&lt;&gt;0,SUMIF(куб!$E:$E,$E391,куб!M:M),IF($D391&lt;&gt;0,SUMIF(куб!$D:$D,$D391,куб!M:M),IF($C391&lt;&gt;0,SUMIF(куб!$C:$C,$C391,куб!M:M),IF($B391&lt;&gt;0,SUMIF(куб!$B:$B,$B391,куб!M:M))))))</f>
        <v>0</v>
      </c>
      <c r="V391" s="13" t="str">
        <f t="shared" si="134"/>
        <v>-</v>
      </c>
      <c r="W391" s="5"/>
      <c r="X391" s="27" t="b">
        <f>IF($G391&lt;&gt;0,SUMIF(куб!$G:$G,$G391,куб!N:N),IF($E391&lt;&gt;0,SUMIF(куб!$E:$E,$E391,куб!N:N),IF($D391&lt;&gt;0,SUMIF(куб!$D:$D,$D391,куб!N:N),IF($C391&lt;&gt;0,SUMIF(куб!$C:$C,$C391,куб!N:N),IF($B391&lt;&gt;0,SUMIF(куб!$B:$B,$B391,куб!N:N))))))</f>
        <v>0</v>
      </c>
      <c r="Y391" s="27" t="b">
        <f>IF($G391&lt;&gt;0,SUMIF(куб!$G:$G,$G391,куб!O:O),IF($E391&lt;&gt;0,SUMIF(куб!$E:$E,$E391,куб!O:O),IF($D391&lt;&gt;0,SUMIF(куб!$D:$D,$D391,куб!O:O),IF($C391&lt;&gt;0,SUMIF(куб!$C:$C,$C391,куб!O:O),IF($B391&lt;&gt;0,SUMIF(куб!$B:$B,$B391,куб!O:O))))))</f>
        <v>0</v>
      </c>
      <c r="Z391" s="13" t="str">
        <f t="shared" si="135"/>
        <v>-</v>
      </c>
      <c r="AA391" s="5"/>
      <c r="AB391" s="33" t="str">
        <f t="shared" si="136"/>
        <v/>
      </c>
      <c r="AC391" s="33" t="str">
        <f t="shared" si="137"/>
        <v/>
      </c>
      <c r="AD391" s="15" t="str">
        <f t="shared" si="138"/>
        <v xml:space="preserve"> </v>
      </c>
      <c r="AE391" s="5"/>
      <c r="AF391" s="27" t="b">
        <f>IF($G391&lt;&gt;0,SUMIF(куб!$G:$G,$G391,куб!R:R),IF($E391&lt;&gt;0,SUMIF(куб!$E:$E,$E391,куб!R:R),IF($D391&lt;&gt;0,SUMIF(куб!$D:$D,$D391,куб!R:R),IF($C391&lt;&gt;0,SUMIF(куб!$C:$C,$C391,куб!R:R),IF($B391&lt;&gt;0,SUMIF(куб!$B:$B,$B391,куб!R:R))))))</f>
        <v>0</v>
      </c>
      <c r="AG391" s="27" t="b">
        <f>IF($G391&lt;&gt;0,SUMIF(куб!$G:$G,$G391,куб!S:S),IF($E391&lt;&gt;0,SUMIF(куб!$E:$E,$E391,куб!S:S),IF($D391&lt;&gt;0,SUMIF(куб!$D:$D,$D391,куб!S:S),IF($C391&lt;&gt;0,SUMIF(куб!$C:$C,$C391,куб!S:S),IF($B391&lt;&gt;0,SUMIF(куб!$B:$B,$B391,куб!S:S))))))</f>
        <v>0</v>
      </c>
      <c r="AH391" s="16" t="str">
        <f t="shared" si="139"/>
        <v>-</v>
      </c>
      <c r="AI391" s="8"/>
      <c r="AJ391" s="27" t="b">
        <f>IF($G391&lt;&gt;0,SUMIF(куб!$G:$G,$G391,куб!T:T),IF($E391&lt;&gt;0,SUMIF(куб!$E:$E,$E391,куб!T:T),IF($D391&lt;&gt;0,SUMIF(куб!$D:$D,$D391,куб!T:T),IF($C391&lt;&gt;0,SUMIF(куб!$C:$C,$C391,куб!T:T),IF($B391&lt;&gt;0,SUMIF(куб!$B:$B,$B391,куб!T:T))))))</f>
        <v>0</v>
      </c>
      <c r="AK391" s="27" t="b">
        <f>IF($G391&lt;&gt;0,SUMIF(куб!$G:$G,$G391,куб!U:U),IF($E391&lt;&gt;0,SUMIF(куб!$E:$E,$E391,куб!U:U),IF($D391&lt;&gt;0,SUMIF(куб!$D:$D,$D391,куб!U:U),IF($C391&lt;&gt;0,SUMIF(куб!$C:$C,$C391,куб!U:U),IF($B391&lt;&gt;0,SUMIF(куб!$B:$B,$B391,куб!U:U))))))</f>
        <v>0</v>
      </c>
      <c r="AL391" s="16" t="str">
        <f t="shared" si="140"/>
        <v>-</v>
      </c>
      <c r="AM391" s="8"/>
      <c r="AN391" s="17" t="str">
        <f t="shared" si="141"/>
        <v xml:space="preserve"> </v>
      </c>
      <c r="AO391" s="17" t="str">
        <f t="shared" si="142"/>
        <v xml:space="preserve"> </v>
      </c>
      <c r="AP391" s="16" t="str">
        <f t="shared" si="143"/>
        <v>-</v>
      </c>
      <c r="AQ391" s="8"/>
      <c r="AR391" s="17" t="str">
        <f t="shared" si="144"/>
        <v>-</v>
      </c>
      <c r="AS391" s="17" t="str">
        <f t="shared" si="145"/>
        <v>-</v>
      </c>
      <c r="AT391" s="13" t="str">
        <f t="shared" si="146"/>
        <v>-</v>
      </c>
      <c r="AU391" s="8"/>
    </row>
    <row r="392" spans="1:47" x14ac:dyDescent="0.25">
      <c r="A392" s="31"/>
      <c r="B392" s="31"/>
      <c r="C392"/>
      <c r="D392" s="31"/>
      <c r="E392"/>
      <c r="F392" s="31"/>
      <c r="G392"/>
      <c r="H392" s="27">
        <f>IF($G392&lt;&gt;0,SUMIF(куб!$G:$G,$G392,куб!H:H),IF($E392&lt;&gt;0,SUMIF(куб!$E:$E,$E392,куб!H:H),IF($D392&lt;&gt;0,SUMIF(куб!$D:$D,$D392,куб!H:H),IF($C392&lt;&gt;0,SUMIF(куб!$C:$C,$C392,куб!H:H),IF($B392&lt;&gt;0,SUMIF(куб!$B:$B,$B392,куб!H:H),IF($G392&lt;&gt;0,SUMIF(куб!$A:$A,$G392,куб!H:H),SUMIF(куб!$A:$A,$G392,куб!H:H)))))))</f>
        <v>0</v>
      </c>
      <c r="I392" s="27">
        <f>IF($G392&lt;&gt;0,SUMIF(куб!$G:$G,$G392,куб!I:I),IF($E392&lt;&gt;0,SUMIF(куб!$E:$E,$E392,куб!I:I),IF($D392&lt;&gt;0,SUMIF(куб!$D:$D,$D392,куб!I:I),IF($C392&lt;&gt;0,SUMIF(куб!$C:$C,$C392,куб!I:I),IF($B392&lt;&gt;0,SUMIF(куб!$B:$B,$B392,куб!I:I),IF($G392&lt;&gt;0,SUMIF(куб!$A:$A,$G392,куб!I:I),SUMIF(куб!$A:$A,$G392,куб!I:I)))))))</f>
        <v>0</v>
      </c>
      <c r="J392" s="19" t="str">
        <f t="shared" si="129"/>
        <v>-</v>
      </c>
      <c r="K392" s="8"/>
      <c r="L392" s="17">
        <f t="shared" si="130"/>
        <v>0</v>
      </c>
      <c r="M392" s="17">
        <f t="shared" si="131"/>
        <v>0</v>
      </c>
      <c r="N392" s="12">
        <f t="shared" si="132"/>
        <v>0</v>
      </c>
      <c r="O392" s="5"/>
      <c r="P392" s="27" t="b">
        <f>IF($G392&lt;&gt;0,SUMIF(куб!$G:$G,$G392,куб!J:J),IF($E392&lt;&gt;0,SUMIF(куб!$E:$E,$E392,куб!J:J),IF($D392&lt;&gt;0,SUMIF(куб!$D:$D,$D392,куб!J:J),IF($C392&lt;&gt;0,SUMIF(куб!$C:$C,$C392,куб!J:J),IF($B392&lt;&gt;0,SUMIF(куб!$B:$B,$B392,куб!J:J))))))</f>
        <v>0</v>
      </c>
      <c r="Q392" s="27" t="b">
        <f>IF($G392&lt;&gt;0,SUMIF(куб!$G:$G,$G392,куб!K:K),IF($E392&lt;&gt;0,SUMIF(куб!$E:$E,$E392,куб!K:K),IF($D392&lt;&gt;0,SUMIF(куб!$D:$D,$D392,куб!K:K),IF($C392&lt;&gt;0,SUMIF(куб!$C:$C,$C392,куб!K:K),IF($B392&lt;&gt;0,SUMIF(куб!$B:$B,$B392,куб!K:K))))))</f>
        <v>0</v>
      </c>
      <c r="R392" s="13" t="str">
        <f t="shared" si="133"/>
        <v>-</v>
      </c>
      <c r="S392" s="5"/>
      <c r="T392" s="27" t="b">
        <f>IF($G392&lt;&gt;0,SUMIF(куб!$G:$G,$G392,куб!L:L),IF($E392&lt;&gt;0,SUMIF(куб!$E:$E,$E392,куб!L:L),IF($D392&lt;&gt;0,SUMIF(куб!$D:$D,$D392,куб!L:L),IF($C392&lt;&gt;0,SUMIF(куб!$C:$C,$C392,куб!L:L),IF($B392&lt;&gt;0,SUMIF(куб!$B:$B,$B392,куб!L:L))))))</f>
        <v>0</v>
      </c>
      <c r="U392" s="27" t="b">
        <f>IF($G392&lt;&gt;0,SUMIF(куб!$G:$G,$G392,куб!M:M),IF($E392&lt;&gt;0,SUMIF(куб!$E:$E,$E392,куб!M:M),IF($D392&lt;&gt;0,SUMIF(куб!$D:$D,$D392,куб!M:M),IF($C392&lt;&gt;0,SUMIF(куб!$C:$C,$C392,куб!M:M),IF($B392&lt;&gt;0,SUMIF(куб!$B:$B,$B392,куб!M:M))))))</f>
        <v>0</v>
      </c>
      <c r="V392" s="13" t="str">
        <f t="shared" si="134"/>
        <v>-</v>
      </c>
      <c r="W392" s="5"/>
      <c r="X392" s="27" t="b">
        <f>IF($G392&lt;&gt;0,SUMIF(куб!$G:$G,$G392,куб!N:N),IF($E392&lt;&gt;0,SUMIF(куб!$E:$E,$E392,куб!N:N),IF($D392&lt;&gt;0,SUMIF(куб!$D:$D,$D392,куб!N:N),IF($C392&lt;&gt;0,SUMIF(куб!$C:$C,$C392,куб!N:N),IF($B392&lt;&gt;0,SUMIF(куб!$B:$B,$B392,куб!N:N))))))</f>
        <v>0</v>
      </c>
      <c r="Y392" s="27" t="b">
        <f>IF($G392&lt;&gt;0,SUMIF(куб!$G:$G,$G392,куб!O:O),IF($E392&lt;&gt;0,SUMIF(куб!$E:$E,$E392,куб!O:O),IF($D392&lt;&gt;0,SUMIF(куб!$D:$D,$D392,куб!O:O),IF($C392&lt;&gt;0,SUMIF(куб!$C:$C,$C392,куб!O:O),IF($B392&lt;&gt;0,SUMIF(куб!$B:$B,$B392,куб!O:O))))))</f>
        <v>0</v>
      </c>
      <c r="Z392" s="13" t="str">
        <f t="shared" si="135"/>
        <v>-</v>
      </c>
      <c r="AA392" s="5"/>
      <c r="AB392" s="33" t="str">
        <f t="shared" si="136"/>
        <v/>
      </c>
      <c r="AC392" s="33" t="str">
        <f t="shared" si="137"/>
        <v/>
      </c>
      <c r="AD392" s="15" t="str">
        <f t="shared" si="138"/>
        <v xml:space="preserve"> </v>
      </c>
      <c r="AE392" s="5"/>
      <c r="AF392" s="27" t="b">
        <f>IF($G392&lt;&gt;0,SUMIF(куб!$G:$G,$G392,куб!R:R),IF($E392&lt;&gt;0,SUMIF(куб!$E:$E,$E392,куб!R:R),IF($D392&lt;&gt;0,SUMIF(куб!$D:$D,$D392,куб!R:R),IF($C392&lt;&gt;0,SUMIF(куб!$C:$C,$C392,куб!R:R),IF($B392&lt;&gt;0,SUMIF(куб!$B:$B,$B392,куб!R:R))))))</f>
        <v>0</v>
      </c>
      <c r="AG392" s="27" t="b">
        <f>IF($G392&lt;&gt;0,SUMIF(куб!$G:$G,$G392,куб!S:S),IF($E392&lt;&gt;0,SUMIF(куб!$E:$E,$E392,куб!S:S),IF($D392&lt;&gt;0,SUMIF(куб!$D:$D,$D392,куб!S:S),IF($C392&lt;&gt;0,SUMIF(куб!$C:$C,$C392,куб!S:S),IF($B392&lt;&gt;0,SUMIF(куб!$B:$B,$B392,куб!S:S))))))</f>
        <v>0</v>
      </c>
      <c r="AH392" s="16" t="str">
        <f t="shared" si="139"/>
        <v>-</v>
      </c>
      <c r="AI392" s="8"/>
      <c r="AJ392" s="27" t="b">
        <f>IF($G392&lt;&gt;0,SUMIF(куб!$G:$G,$G392,куб!T:T),IF($E392&lt;&gt;0,SUMIF(куб!$E:$E,$E392,куб!T:T),IF($D392&lt;&gt;0,SUMIF(куб!$D:$D,$D392,куб!T:T),IF($C392&lt;&gt;0,SUMIF(куб!$C:$C,$C392,куб!T:T),IF($B392&lt;&gt;0,SUMIF(куб!$B:$B,$B392,куб!T:T))))))</f>
        <v>0</v>
      </c>
      <c r="AK392" s="27" t="b">
        <f>IF($G392&lt;&gt;0,SUMIF(куб!$G:$G,$G392,куб!U:U),IF($E392&lt;&gt;0,SUMIF(куб!$E:$E,$E392,куб!U:U),IF($D392&lt;&gt;0,SUMIF(куб!$D:$D,$D392,куб!U:U),IF($C392&lt;&gt;0,SUMIF(куб!$C:$C,$C392,куб!U:U),IF($B392&lt;&gt;0,SUMIF(куб!$B:$B,$B392,куб!U:U))))))</f>
        <v>0</v>
      </c>
      <c r="AL392" s="16" t="str">
        <f t="shared" si="140"/>
        <v>-</v>
      </c>
      <c r="AM392" s="8"/>
      <c r="AN392" s="17" t="str">
        <f t="shared" si="141"/>
        <v xml:space="preserve"> </v>
      </c>
      <c r="AO392" s="17" t="str">
        <f t="shared" si="142"/>
        <v xml:space="preserve"> </v>
      </c>
      <c r="AP392" s="16" t="str">
        <f t="shared" si="143"/>
        <v>-</v>
      </c>
      <c r="AQ392" s="8"/>
      <c r="AR392" s="17" t="str">
        <f t="shared" si="144"/>
        <v>-</v>
      </c>
      <c r="AS392" s="17" t="str">
        <f t="shared" si="145"/>
        <v>-</v>
      </c>
      <c r="AT392" s="13" t="str">
        <f t="shared" si="146"/>
        <v>-</v>
      </c>
      <c r="AU392" s="8"/>
    </row>
    <row r="393" spans="1:47" x14ac:dyDescent="0.25">
      <c r="A393" s="31"/>
      <c r="B393" s="31"/>
      <c r="C393"/>
      <c r="D393" s="31"/>
      <c r="E393"/>
      <c r="F393" s="31"/>
      <c r="G393"/>
      <c r="H393" s="27">
        <f>IF($G393&lt;&gt;0,SUMIF(куб!$G:$G,$G393,куб!H:H),IF($E393&lt;&gt;0,SUMIF(куб!$E:$E,$E393,куб!H:H),IF($D393&lt;&gt;0,SUMIF(куб!$D:$D,$D393,куб!H:H),IF($C393&lt;&gt;0,SUMIF(куб!$C:$C,$C393,куб!H:H),IF($B393&lt;&gt;0,SUMIF(куб!$B:$B,$B393,куб!H:H),IF($G393&lt;&gt;0,SUMIF(куб!$A:$A,$G393,куб!H:H),SUMIF(куб!$A:$A,$G393,куб!H:H)))))))</f>
        <v>0</v>
      </c>
      <c r="I393" s="27">
        <f>IF($G393&lt;&gt;0,SUMIF(куб!$G:$G,$G393,куб!I:I),IF($E393&lt;&gt;0,SUMIF(куб!$E:$E,$E393,куб!I:I),IF($D393&lt;&gt;0,SUMIF(куб!$D:$D,$D393,куб!I:I),IF($C393&lt;&gt;0,SUMIF(куб!$C:$C,$C393,куб!I:I),IF($B393&lt;&gt;0,SUMIF(куб!$B:$B,$B393,куб!I:I),IF($G393&lt;&gt;0,SUMIF(куб!$A:$A,$G393,куб!I:I),SUMIF(куб!$A:$A,$G393,куб!I:I)))))))</f>
        <v>0</v>
      </c>
      <c r="J393" s="19" t="str">
        <f t="shared" si="129"/>
        <v>-</v>
      </c>
      <c r="K393" s="8"/>
      <c r="L393" s="17">
        <f t="shared" si="130"/>
        <v>0</v>
      </c>
      <c r="M393" s="17">
        <f t="shared" si="131"/>
        <v>0</v>
      </c>
      <c r="N393" s="12">
        <f t="shared" si="132"/>
        <v>0</v>
      </c>
      <c r="O393" s="5"/>
      <c r="P393" s="27" t="b">
        <f>IF($G393&lt;&gt;0,SUMIF(куб!$G:$G,$G393,куб!J:J),IF($E393&lt;&gt;0,SUMIF(куб!$E:$E,$E393,куб!J:J),IF($D393&lt;&gt;0,SUMIF(куб!$D:$D,$D393,куб!J:J),IF($C393&lt;&gt;0,SUMIF(куб!$C:$C,$C393,куб!J:J),IF($B393&lt;&gt;0,SUMIF(куб!$B:$B,$B393,куб!J:J))))))</f>
        <v>0</v>
      </c>
      <c r="Q393" s="27" t="b">
        <f>IF($G393&lt;&gt;0,SUMIF(куб!$G:$G,$G393,куб!K:K),IF($E393&lt;&gt;0,SUMIF(куб!$E:$E,$E393,куб!K:K),IF($D393&lt;&gt;0,SUMIF(куб!$D:$D,$D393,куб!K:K),IF($C393&lt;&gt;0,SUMIF(куб!$C:$C,$C393,куб!K:K),IF($B393&lt;&gt;0,SUMIF(куб!$B:$B,$B393,куб!K:K))))))</f>
        <v>0</v>
      </c>
      <c r="R393" s="13" t="str">
        <f t="shared" si="133"/>
        <v>-</v>
      </c>
      <c r="S393" s="5"/>
      <c r="T393" s="27" t="b">
        <f>IF($G393&lt;&gt;0,SUMIF(куб!$G:$G,$G393,куб!L:L),IF($E393&lt;&gt;0,SUMIF(куб!$E:$E,$E393,куб!L:L),IF($D393&lt;&gt;0,SUMIF(куб!$D:$D,$D393,куб!L:L),IF($C393&lt;&gt;0,SUMIF(куб!$C:$C,$C393,куб!L:L),IF($B393&lt;&gt;0,SUMIF(куб!$B:$B,$B393,куб!L:L))))))</f>
        <v>0</v>
      </c>
      <c r="U393" s="27" t="b">
        <f>IF($G393&lt;&gt;0,SUMIF(куб!$G:$G,$G393,куб!M:M),IF($E393&lt;&gt;0,SUMIF(куб!$E:$E,$E393,куб!M:M),IF($D393&lt;&gt;0,SUMIF(куб!$D:$D,$D393,куб!M:M),IF($C393&lt;&gt;0,SUMIF(куб!$C:$C,$C393,куб!M:M),IF($B393&lt;&gt;0,SUMIF(куб!$B:$B,$B393,куб!M:M))))))</f>
        <v>0</v>
      </c>
      <c r="V393" s="13" t="str">
        <f t="shared" si="134"/>
        <v>-</v>
      </c>
      <c r="W393" s="5"/>
      <c r="X393" s="27" t="b">
        <f>IF($G393&lt;&gt;0,SUMIF(куб!$G:$G,$G393,куб!N:N),IF($E393&lt;&gt;0,SUMIF(куб!$E:$E,$E393,куб!N:N),IF($D393&lt;&gt;0,SUMIF(куб!$D:$D,$D393,куб!N:N),IF($C393&lt;&gt;0,SUMIF(куб!$C:$C,$C393,куб!N:N),IF($B393&lt;&gt;0,SUMIF(куб!$B:$B,$B393,куб!N:N))))))</f>
        <v>0</v>
      </c>
      <c r="Y393" s="27" t="b">
        <f>IF($G393&lt;&gt;0,SUMIF(куб!$G:$G,$G393,куб!O:O),IF($E393&lt;&gt;0,SUMIF(куб!$E:$E,$E393,куб!O:O),IF($D393&lt;&gt;0,SUMIF(куб!$D:$D,$D393,куб!O:O),IF($C393&lt;&gt;0,SUMIF(куб!$C:$C,$C393,куб!O:O),IF($B393&lt;&gt;0,SUMIF(куб!$B:$B,$B393,куб!O:O))))))</f>
        <v>0</v>
      </c>
      <c r="Z393" s="13" t="str">
        <f t="shared" si="135"/>
        <v>-</v>
      </c>
      <c r="AA393" s="5"/>
      <c r="AB393" s="33" t="str">
        <f t="shared" si="136"/>
        <v/>
      </c>
      <c r="AC393" s="33" t="str">
        <f t="shared" si="137"/>
        <v/>
      </c>
      <c r="AD393" s="15" t="str">
        <f t="shared" si="138"/>
        <v xml:space="preserve"> </v>
      </c>
      <c r="AE393" s="5"/>
      <c r="AF393" s="27" t="b">
        <f>IF($G393&lt;&gt;0,SUMIF(куб!$G:$G,$G393,куб!R:R),IF($E393&lt;&gt;0,SUMIF(куб!$E:$E,$E393,куб!R:R),IF($D393&lt;&gt;0,SUMIF(куб!$D:$D,$D393,куб!R:R),IF($C393&lt;&gt;0,SUMIF(куб!$C:$C,$C393,куб!R:R),IF($B393&lt;&gt;0,SUMIF(куб!$B:$B,$B393,куб!R:R))))))</f>
        <v>0</v>
      </c>
      <c r="AG393" s="27" t="b">
        <f>IF($G393&lt;&gt;0,SUMIF(куб!$G:$G,$G393,куб!S:S),IF($E393&lt;&gt;0,SUMIF(куб!$E:$E,$E393,куб!S:S),IF($D393&lt;&gt;0,SUMIF(куб!$D:$D,$D393,куб!S:S),IF($C393&lt;&gt;0,SUMIF(куб!$C:$C,$C393,куб!S:S),IF($B393&lt;&gt;0,SUMIF(куб!$B:$B,$B393,куб!S:S))))))</f>
        <v>0</v>
      </c>
      <c r="AH393" s="16" t="str">
        <f t="shared" si="139"/>
        <v>-</v>
      </c>
      <c r="AI393" s="8"/>
      <c r="AJ393" s="27" t="b">
        <f>IF($G393&lt;&gt;0,SUMIF(куб!$G:$G,$G393,куб!T:T),IF($E393&lt;&gt;0,SUMIF(куб!$E:$E,$E393,куб!T:T),IF($D393&lt;&gt;0,SUMIF(куб!$D:$D,$D393,куб!T:T),IF($C393&lt;&gt;0,SUMIF(куб!$C:$C,$C393,куб!T:T),IF($B393&lt;&gt;0,SUMIF(куб!$B:$B,$B393,куб!T:T))))))</f>
        <v>0</v>
      </c>
      <c r="AK393" s="27" t="b">
        <f>IF($G393&lt;&gt;0,SUMIF(куб!$G:$G,$G393,куб!U:U),IF($E393&lt;&gt;0,SUMIF(куб!$E:$E,$E393,куб!U:U),IF($D393&lt;&gt;0,SUMIF(куб!$D:$D,$D393,куб!U:U),IF($C393&lt;&gt;0,SUMIF(куб!$C:$C,$C393,куб!U:U),IF($B393&lt;&gt;0,SUMIF(куб!$B:$B,$B393,куб!U:U))))))</f>
        <v>0</v>
      </c>
      <c r="AL393" s="16" t="str">
        <f t="shared" si="140"/>
        <v>-</v>
      </c>
      <c r="AM393" s="8"/>
      <c r="AN393" s="17" t="str">
        <f t="shared" si="141"/>
        <v xml:space="preserve"> </v>
      </c>
      <c r="AO393" s="17" t="str">
        <f t="shared" si="142"/>
        <v xml:space="preserve"> </v>
      </c>
      <c r="AP393" s="16" t="str">
        <f t="shared" si="143"/>
        <v>-</v>
      </c>
      <c r="AQ393" s="8"/>
      <c r="AR393" s="17" t="str">
        <f t="shared" si="144"/>
        <v>-</v>
      </c>
      <c r="AS393" s="17" t="str">
        <f t="shared" si="145"/>
        <v>-</v>
      </c>
      <c r="AT393" s="13" t="str">
        <f t="shared" si="146"/>
        <v>-</v>
      </c>
      <c r="AU393" s="8"/>
    </row>
    <row r="394" spans="1:47" x14ac:dyDescent="0.25">
      <c r="A394" s="31"/>
      <c r="B394" s="31"/>
      <c r="C394"/>
      <c r="D394" s="31"/>
      <c r="E394"/>
      <c r="F394" s="31"/>
      <c r="G394"/>
      <c r="H394" s="27">
        <f>IF($G394&lt;&gt;0,SUMIF(куб!$G:$G,$G394,куб!H:H),IF($E394&lt;&gt;0,SUMIF(куб!$E:$E,$E394,куб!H:H),IF($D394&lt;&gt;0,SUMIF(куб!$D:$D,$D394,куб!H:H),IF($C394&lt;&gt;0,SUMIF(куб!$C:$C,$C394,куб!H:H),IF($B394&lt;&gt;0,SUMIF(куб!$B:$B,$B394,куб!H:H),IF($G394&lt;&gt;0,SUMIF(куб!$A:$A,$G394,куб!H:H),SUMIF(куб!$A:$A,$G394,куб!H:H)))))))</f>
        <v>0</v>
      </c>
      <c r="I394" s="27">
        <f>IF($G394&lt;&gt;0,SUMIF(куб!$G:$G,$G394,куб!I:I),IF($E394&lt;&gt;0,SUMIF(куб!$E:$E,$E394,куб!I:I),IF($D394&lt;&gt;0,SUMIF(куб!$D:$D,$D394,куб!I:I),IF($C394&lt;&gt;0,SUMIF(куб!$C:$C,$C394,куб!I:I),IF($B394&lt;&gt;0,SUMIF(куб!$B:$B,$B394,куб!I:I),IF($G394&lt;&gt;0,SUMIF(куб!$A:$A,$G394,куб!I:I),SUMIF(куб!$A:$A,$G394,куб!I:I)))))))</f>
        <v>0</v>
      </c>
      <c r="J394" s="19" t="str">
        <f t="shared" si="129"/>
        <v>-</v>
      </c>
      <c r="K394" s="8"/>
      <c r="L394" s="17">
        <f t="shared" si="130"/>
        <v>0</v>
      </c>
      <c r="M394" s="17">
        <f t="shared" si="131"/>
        <v>0</v>
      </c>
      <c r="N394" s="12">
        <f t="shared" si="132"/>
        <v>0</v>
      </c>
      <c r="O394" s="5"/>
      <c r="P394" s="27" t="b">
        <f>IF($G394&lt;&gt;0,SUMIF(куб!$G:$G,$G394,куб!J:J),IF($E394&lt;&gt;0,SUMIF(куб!$E:$E,$E394,куб!J:J),IF($D394&lt;&gt;0,SUMIF(куб!$D:$D,$D394,куб!J:J),IF($C394&lt;&gt;0,SUMIF(куб!$C:$C,$C394,куб!J:J),IF($B394&lt;&gt;0,SUMIF(куб!$B:$B,$B394,куб!J:J))))))</f>
        <v>0</v>
      </c>
      <c r="Q394" s="27" t="b">
        <f>IF($G394&lt;&gt;0,SUMIF(куб!$G:$G,$G394,куб!K:K),IF($E394&lt;&gt;0,SUMIF(куб!$E:$E,$E394,куб!K:K),IF($D394&lt;&gt;0,SUMIF(куб!$D:$D,$D394,куб!K:K),IF($C394&lt;&gt;0,SUMIF(куб!$C:$C,$C394,куб!K:K),IF($B394&lt;&gt;0,SUMIF(куб!$B:$B,$B394,куб!K:K))))))</f>
        <v>0</v>
      </c>
      <c r="R394" s="13" t="str">
        <f t="shared" si="133"/>
        <v>-</v>
      </c>
      <c r="S394" s="5"/>
      <c r="T394" s="27" t="b">
        <f>IF($G394&lt;&gt;0,SUMIF(куб!$G:$G,$G394,куб!L:L),IF($E394&lt;&gt;0,SUMIF(куб!$E:$E,$E394,куб!L:L),IF($D394&lt;&gt;0,SUMIF(куб!$D:$D,$D394,куб!L:L),IF($C394&lt;&gt;0,SUMIF(куб!$C:$C,$C394,куб!L:L),IF($B394&lt;&gt;0,SUMIF(куб!$B:$B,$B394,куб!L:L))))))</f>
        <v>0</v>
      </c>
      <c r="U394" s="27" t="b">
        <f>IF($G394&lt;&gt;0,SUMIF(куб!$G:$G,$G394,куб!M:M),IF($E394&lt;&gt;0,SUMIF(куб!$E:$E,$E394,куб!M:M),IF($D394&lt;&gt;0,SUMIF(куб!$D:$D,$D394,куб!M:M),IF($C394&lt;&gt;0,SUMIF(куб!$C:$C,$C394,куб!M:M),IF($B394&lt;&gt;0,SUMIF(куб!$B:$B,$B394,куб!M:M))))))</f>
        <v>0</v>
      </c>
      <c r="V394" s="13" t="str">
        <f t="shared" si="134"/>
        <v>-</v>
      </c>
      <c r="W394" s="5"/>
      <c r="X394" s="27" t="b">
        <f>IF($G394&lt;&gt;0,SUMIF(куб!$G:$G,$G394,куб!N:N),IF($E394&lt;&gt;0,SUMIF(куб!$E:$E,$E394,куб!N:N),IF($D394&lt;&gt;0,SUMIF(куб!$D:$D,$D394,куб!N:N),IF($C394&lt;&gt;0,SUMIF(куб!$C:$C,$C394,куб!N:N),IF($B394&lt;&gt;0,SUMIF(куб!$B:$B,$B394,куб!N:N))))))</f>
        <v>0</v>
      </c>
      <c r="Y394" s="27" t="b">
        <f>IF($G394&lt;&gt;0,SUMIF(куб!$G:$G,$G394,куб!O:O),IF($E394&lt;&gt;0,SUMIF(куб!$E:$E,$E394,куб!O:O),IF($D394&lt;&gt;0,SUMIF(куб!$D:$D,$D394,куб!O:O),IF($C394&lt;&gt;0,SUMIF(куб!$C:$C,$C394,куб!O:O),IF($B394&lt;&gt;0,SUMIF(куб!$B:$B,$B394,куб!O:O))))))</f>
        <v>0</v>
      </c>
      <c r="Z394" s="13" t="str">
        <f t="shared" si="135"/>
        <v>-</v>
      </c>
      <c r="AA394" s="5"/>
      <c r="AB394" s="33" t="str">
        <f t="shared" si="136"/>
        <v/>
      </c>
      <c r="AC394" s="33" t="str">
        <f t="shared" si="137"/>
        <v/>
      </c>
      <c r="AD394" s="15" t="str">
        <f t="shared" si="138"/>
        <v xml:space="preserve"> </v>
      </c>
      <c r="AE394" s="5"/>
      <c r="AF394" s="27" t="b">
        <f>IF($G394&lt;&gt;0,SUMIF(куб!$G:$G,$G394,куб!R:R),IF($E394&lt;&gt;0,SUMIF(куб!$E:$E,$E394,куб!R:R),IF($D394&lt;&gt;0,SUMIF(куб!$D:$D,$D394,куб!R:R),IF($C394&lt;&gt;0,SUMIF(куб!$C:$C,$C394,куб!R:R),IF($B394&lt;&gt;0,SUMIF(куб!$B:$B,$B394,куб!R:R))))))</f>
        <v>0</v>
      </c>
      <c r="AG394" s="27" t="b">
        <f>IF($G394&lt;&gt;0,SUMIF(куб!$G:$G,$G394,куб!S:S),IF($E394&lt;&gt;0,SUMIF(куб!$E:$E,$E394,куб!S:S),IF($D394&lt;&gt;0,SUMIF(куб!$D:$D,$D394,куб!S:S),IF($C394&lt;&gt;0,SUMIF(куб!$C:$C,$C394,куб!S:S),IF($B394&lt;&gt;0,SUMIF(куб!$B:$B,$B394,куб!S:S))))))</f>
        <v>0</v>
      </c>
      <c r="AH394" s="16" t="str">
        <f t="shared" si="139"/>
        <v>-</v>
      </c>
      <c r="AI394" s="8"/>
      <c r="AJ394" s="27" t="b">
        <f>IF($G394&lt;&gt;0,SUMIF(куб!$G:$G,$G394,куб!T:T),IF($E394&lt;&gt;0,SUMIF(куб!$E:$E,$E394,куб!T:T),IF($D394&lt;&gt;0,SUMIF(куб!$D:$D,$D394,куб!T:T),IF($C394&lt;&gt;0,SUMIF(куб!$C:$C,$C394,куб!T:T),IF($B394&lt;&gt;0,SUMIF(куб!$B:$B,$B394,куб!T:T))))))</f>
        <v>0</v>
      </c>
      <c r="AK394" s="27" t="b">
        <f>IF($G394&lt;&gt;0,SUMIF(куб!$G:$G,$G394,куб!U:U),IF($E394&lt;&gt;0,SUMIF(куб!$E:$E,$E394,куб!U:U),IF($D394&lt;&gt;0,SUMIF(куб!$D:$D,$D394,куб!U:U),IF($C394&lt;&gt;0,SUMIF(куб!$C:$C,$C394,куб!U:U),IF($B394&lt;&gt;0,SUMIF(куб!$B:$B,$B394,куб!U:U))))))</f>
        <v>0</v>
      </c>
      <c r="AL394" s="16" t="str">
        <f t="shared" si="140"/>
        <v>-</v>
      </c>
      <c r="AM394" s="8"/>
      <c r="AN394" s="17" t="str">
        <f t="shared" si="141"/>
        <v xml:space="preserve"> </v>
      </c>
      <c r="AO394" s="17" t="str">
        <f t="shared" si="142"/>
        <v xml:space="preserve"> </v>
      </c>
      <c r="AP394" s="16" t="str">
        <f t="shared" si="143"/>
        <v>-</v>
      </c>
      <c r="AQ394" s="8"/>
      <c r="AR394" s="17" t="str">
        <f t="shared" si="144"/>
        <v>-</v>
      </c>
      <c r="AS394" s="17" t="str">
        <f t="shared" si="145"/>
        <v>-</v>
      </c>
      <c r="AT394" s="13" t="str">
        <f t="shared" si="146"/>
        <v>-</v>
      </c>
      <c r="AU394" s="8"/>
    </row>
    <row r="395" spans="1:47" x14ac:dyDescent="0.25">
      <c r="A395" s="31"/>
      <c r="B395" s="31"/>
      <c r="C395"/>
      <c r="D395" s="31"/>
      <c r="E395"/>
      <c r="F395" s="31"/>
      <c r="G395"/>
      <c r="H395" s="27">
        <f>IF($G395&lt;&gt;0,SUMIF(куб!$G:$G,$G395,куб!H:H),IF($E395&lt;&gt;0,SUMIF(куб!$E:$E,$E395,куб!H:H),IF($D395&lt;&gt;0,SUMIF(куб!$D:$D,$D395,куб!H:H),IF($C395&lt;&gt;0,SUMIF(куб!$C:$C,$C395,куб!H:H),IF($B395&lt;&gt;0,SUMIF(куб!$B:$B,$B395,куб!H:H),IF($G395&lt;&gt;0,SUMIF(куб!$A:$A,$G395,куб!H:H),SUMIF(куб!$A:$A,$G395,куб!H:H)))))))</f>
        <v>0</v>
      </c>
      <c r="I395" s="27">
        <f>IF($G395&lt;&gt;0,SUMIF(куб!$G:$G,$G395,куб!I:I),IF($E395&lt;&gt;0,SUMIF(куб!$E:$E,$E395,куб!I:I),IF($D395&lt;&gt;0,SUMIF(куб!$D:$D,$D395,куб!I:I),IF($C395&lt;&gt;0,SUMIF(куб!$C:$C,$C395,куб!I:I),IF($B395&lt;&gt;0,SUMIF(куб!$B:$B,$B395,куб!I:I),IF($G395&lt;&gt;0,SUMIF(куб!$A:$A,$G395,куб!I:I),SUMIF(куб!$A:$A,$G395,куб!I:I)))))))</f>
        <v>0</v>
      </c>
      <c r="J395" s="19" t="str">
        <f t="shared" si="129"/>
        <v>-</v>
      </c>
      <c r="K395" s="8"/>
      <c r="L395" s="17">
        <f t="shared" si="130"/>
        <v>0</v>
      </c>
      <c r="M395" s="17">
        <f t="shared" si="131"/>
        <v>0</v>
      </c>
      <c r="N395" s="12">
        <f t="shared" si="132"/>
        <v>0</v>
      </c>
      <c r="O395" s="5"/>
      <c r="P395" s="27" t="b">
        <f>IF($G395&lt;&gt;0,SUMIF(куб!$G:$G,$G395,куб!J:J),IF($E395&lt;&gt;0,SUMIF(куб!$E:$E,$E395,куб!J:J),IF($D395&lt;&gt;0,SUMIF(куб!$D:$D,$D395,куб!J:J),IF($C395&lt;&gt;0,SUMIF(куб!$C:$C,$C395,куб!J:J),IF($B395&lt;&gt;0,SUMIF(куб!$B:$B,$B395,куб!J:J))))))</f>
        <v>0</v>
      </c>
      <c r="Q395" s="27" t="b">
        <f>IF($G395&lt;&gt;0,SUMIF(куб!$G:$G,$G395,куб!K:K),IF($E395&lt;&gt;0,SUMIF(куб!$E:$E,$E395,куб!K:K),IF($D395&lt;&gt;0,SUMIF(куб!$D:$D,$D395,куб!K:K),IF($C395&lt;&gt;0,SUMIF(куб!$C:$C,$C395,куб!K:K),IF($B395&lt;&gt;0,SUMIF(куб!$B:$B,$B395,куб!K:K))))))</f>
        <v>0</v>
      </c>
      <c r="R395" s="13" t="str">
        <f t="shared" si="133"/>
        <v>-</v>
      </c>
      <c r="S395" s="5"/>
      <c r="T395" s="27" t="b">
        <f>IF($G395&lt;&gt;0,SUMIF(куб!$G:$G,$G395,куб!L:L),IF($E395&lt;&gt;0,SUMIF(куб!$E:$E,$E395,куб!L:L),IF($D395&lt;&gt;0,SUMIF(куб!$D:$D,$D395,куб!L:L),IF($C395&lt;&gt;0,SUMIF(куб!$C:$C,$C395,куб!L:L),IF($B395&lt;&gt;0,SUMIF(куб!$B:$B,$B395,куб!L:L))))))</f>
        <v>0</v>
      </c>
      <c r="U395" s="27" t="b">
        <f>IF($G395&lt;&gt;0,SUMIF(куб!$G:$G,$G395,куб!M:M),IF($E395&lt;&gt;0,SUMIF(куб!$E:$E,$E395,куб!M:M),IF($D395&lt;&gt;0,SUMIF(куб!$D:$D,$D395,куб!M:M),IF($C395&lt;&gt;0,SUMIF(куб!$C:$C,$C395,куб!M:M),IF($B395&lt;&gt;0,SUMIF(куб!$B:$B,$B395,куб!M:M))))))</f>
        <v>0</v>
      </c>
      <c r="V395" s="13" t="str">
        <f t="shared" si="134"/>
        <v>-</v>
      </c>
      <c r="W395" s="5"/>
      <c r="X395" s="27" t="b">
        <f>IF($G395&lt;&gt;0,SUMIF(куб!$G:$G,$G395,куб!N:N),IF($E395&lt;&gt;0,SUMIF(куб!$E:$E,$E395,куб!N:N),IF($D395&lt;&gt;0,SUMIF(куб!$D:$D,$D395,куб!N:N),IF($C395&lt;&gt;0,SUMIF(куб!$C:$C,$C395,куб!N:N),IF($B395&lt;&gt;0,SUMIF(куб!$B:$B,$B395,куб!N:N))))))</f>
        <v>0</v>
      </c>
      <c r="Y395" s="27" t="b">
        <f>IF($G395&lt;&gt;0,SUMIF(куб!$G:$G,$G395,куб!O:O),IF($E395&lt;&gt;0,SUMIF(куб!$E:$E,$E395,куб!O:O),IF($D395&lt;&gt;0,SUMIF(куб!$D:$D,$D395,куб!O:O),IF($C395&lt;&gt;0,SUMIF(куб!$C:$C,$C395,куб!O:O),IF($B395&lt;&gt;0,SUMIF(куб!$B:$B,$B395,куб!O:O))))))</f>
        <v>0</v>
      </c>
      <c r="Z395" s="13" t="str">
        <f t="shared" si="135"/>
        <v>-</v>
      </c>
      <c r="AA395" s="5"/>
      <c r="AB395" s="33" t="str">
        <f t="shared" si="136"/>
        <v/>
      </c>
      <c r="AC395" s="33" t="str">
        <f t="shared" si="137"/>
        <v/>
      </c>
      <c r="AD395" s="15" t="str">
        <f t="shared" si="138"/>
        <v xml:space="preserve"> </v>
      </c>
      <c r="AE395" s="5"/>
      <c r="AF395" s="27" t="b">
        <f>IF($G395&lt;&gt;0,SUMIF(куб!$G:$G,$G395,куб!R:R),IF($E395&lt;&gt;0,SUMIF(куб!$E:$E,$E395,куб!R:R),IF($D395&lt;&gt;0,SUMIF(куб!$D:$D,$D395,куб!R:R),IF($C395&lt;&gt;0,SUMIF(куб!$C:$C,$C395,куб!R:R),IF($B395&lt;&gt;0,SUMIF(куб!$B:$B,$B395,куб!R:R))))))</f>
        <v>0</v>
      </c>
      <c r="AG395" s="27" t="b">
        <f>IF($G395&lt;&gt;0,SUMIF(куб!$G:$G,$G395,куб!S:S),IF($E395&lt;&gt;0,SUMIF(куб!$E:$E,$E395,куб!S:S),IF($D395&lt;&gt;0,SUMIF(куб!$D:$D,$D395,куб!S:S),IF($C395&lt;&gt;0,SUMIF(куб!$C:$C,$C395,куб!S:S),IF($B395&lt;&gt;0,SUMIF(куб!$B:$B,$B395,куб!S:S))))))</f>
        <v>0</v>
      </c>
      <c r="AH395" s="16" t="str">
        <f t="shared" si="139"/>
        <v>-</v>
      </c>
      <c r="AI395" s="8"/>
      <c r="AJ395" s="27" t="b">
        <f>IF($G395&lt;&gt;0,SUMIF(куб!$G:$G,$G395,куб!T:T),IF($E395&lt;&gt;0,SUMIF(куб!$E:$E,$E395,куб!T:T),IF($D395&lt;&gt;0,SUMIF(куб!$D:$D,$D395,куб!T:T),IF($C395&lt;&gt;0,SUMIF(куб!$C:$C,$C395,куб!T:T),IF($B395&lt;&gt;0,SUMIF(куб!$B:$B,$B395,куб!T:T))))))</f>
        <v>0</v>
      </c>
      <c r="AK395" s="27" t="b">
        <f>IF($G395&lt;&gt;0,SUMIF(куб!$G:$G,$G395,куб!U:U),IF($E395&lt;&gt;0,SUMIF(куб!$E:$E,$E395,куб!U:U),IF($D395&lt;&gt;0,SUMIF(куб!$D:$D,$D395,куб!U:U),IF($C395&lt;&gt;0,SUMIF(куб!$C:$C,$C395,куб!U:U),IF($B395&lt;&gt;0,SUMIF(куб!$B:$B,$B395,куб!U:U))))))</f>
        <v>0</v>
      </c>
      <c r="AL395" s="16" t="str">
        <f t="shared" si="140"/>
        <v>-</v>
      </c>
      <c r="AM395" s="8"/>
      <c r="AN395" s="17" t="str">
        <f t="shared" si="141"/>
        <v xml:space="preserve"> </v>
      </c>
      <c r="AO395" s="17" t="str">
        <f t="shared" si="142"/>
        <v xml:space="preserve"> </v>
      </c>
      <c r="AP395" s="16" t="str">
        <f t="shared" si="143"/>
        <v>-</v>
      </c>
      <c r="AQ395" s="8"/>
      <c r="AR395" s="17" t="str">
        <f t="shared" si="144"/>
        <v>-</v>
      </c>
      <c r="AS395" s="17" t="str">
        <f t="shared" si="145"/>
        <v>-</v>
      </c>
      <c r="AT395" s="13" t="str">
        <f t="shared" si="146"/>
        <v>-</v>
      </c>
      <c r="AU395" s="8"/>
    </row>
    <row r="396" spans="1:47" x14ac:dyDescent="0.25">
      <c r="A396" s="31"/>
      <c r="B396" s="31"/>
      <c r="C396"/>
      <c r="D396" s="31"/>
      <c r="E396"/>
      <c r="F396" s="31"/>
      <c r="G396"/>
      <c r="H396" s="27">
        <f>IF($G396&lt;&gt;0,SUMIF(куб!$G:$G,$G396,куб!H:H),IF($E396&lt;&gt;0,SUMIF(куб!$E:$E,$E396,куб!H:H),IF($D396&lt;&gt;0,SUMIF(куб!$D:$D,$D396,куб!H:H),IF($C396&lt;&gt;0,SUMIF(куб!$C:$C,$C396,куб!H:H),IF($B396&lt;&gt;0,SUMIF(куб!$B:$B,$B396,куб!H:H),IF($G396&lt;&gt;0,SUMIF(куб!$A:$A,$G396,куб!H:H),SUMIF(куб!$A:$A,$G396,куб!H:H)))))))</f>
        <v>0</v>
      </c>
      <c r="I396" s="27">
        <f>IF($G396&lt;&gt;0,SUMIF(куб!$G:$G,$G396,куб!I:I),IF($E396&lt;&gt;0,SUMIF(куб!$E:$E,$E396,куб!I:I),IF($D396&lt;&gt;0,SUMIF(куб!$D:$D,$D396,куб!I:I),IF($C396&lt;&gt;0,SUMIF(куб!$C:$C,$C396,куб!I:I),IF($B396&lt;&gt;0,SUMIF(куб!$B:$B,$B396,куб!I:I),IF($G396&lt;&gt;0,SUMIF(куб!$A:$A,$G396,куб!I:I),SUMIF(куб!$A:$A,$G396,куб!I:I)))))))</f>
        <v>0</v>
      </c>
      <c r="J396" s="19" t="str">
        <f t="shared" si="129"/>
        <v>-</v>
      </c>
      <c r="K396" s="8"/>
      <c r="L396" s="17">
        <f t="shared" si="130"/>
        <v>0</v>
      </c>
      <c r="M396" s="17">
        <f t="shared" si="131"/>
        <v>0</v>
      </c>
      <c r="N396" s="12">
        <f t="shared" si="132"/>
        <v>0</v>
      </c>
      <c r="O396" s="5"/>
      <c r="P396" s="27" t="b">
        <f>IF($G396&lt;&gt;0,SUMIF(куб!$G:$G,$G396,куб!J:J),IF($E396&lt;&gt;0,SUMIF(куб!$E:$E,$E396,куб!J:J),IF($D396&lt;&gt;0,SUMIF(куб!$D:$D,$D396,куб!J:J),IF($C396&lt;&gt;0,SUMIF(куб!$C:$C,$C396,куб!J:J),IF($B396&lt;&gt;0,SUMIF(куб!$B:$B,$B396,куб!J:J))))))</f>
        <v>0</v>
      </c>
      <c r="Q396" s="27" t="b">
        <f>IF($G396&lt;&gt;0,SUMIF(куб!$G:$G,$G396,куб!K:K),IF($E396&lt;&gt;0,SUMIF(куб!$E:$E,$E396,куб!K:K),IF($D396&lt;&gt;0,SUMIF(куб!$D:$D,$D396,куб!K:K),IF($C396&lt;&gt;0,SUMIF(куб!$C:$C,$C396,куб!K:K),IF($B396&lt;&gt;0,SUMIF(куб!$B:$B,$B396,куб!K:K))))))</f>
        <v>0</v>
      </c>
      <c r="R396" s="13" t="str">
        <f t="shared" si="133"/>
        <v>-</v>
      </c>
      <c r="S396" s="5"/>
      <c r="T396" s="27" t="b">
        <f>IF($G396&lt;&gt;0,SUMIF(куб!$G:$G,$G396,куб!L:L),IF($E396&lt;&gt;0,SUMIF(куб!$E:$E,$E396,куб!L:L),IF($D396&lt;&gt;0,SUMIF(куб!$D:$D,$D396,куб!L:L),IF($C396&lt;&gt;0,SUMIF(куб!$C:$C,$C396,куб!L:L),IF($B396&lt;&gt;0,SUMIF(куб!$B:$B,$B396,куб!L:L))))))</f>
        <v>0</v>
      </c>
      <c r="U396" s="27" t="b">
        <f>IF($G396&lt;&gt;0,SUMIF(куб!$G:$G,$G396,куб!M:M),IF($E396&lt;&gt;0,SUMIF(куб!$E:$E,$E396,куб!M:M),IF($D396&lt;&gt;0,SUMIF(куб!$D:$D,$D396,куб!M:M),IF($C396&lt;&gt;0,SUMIF(куб!$C:$C,$C396,куб!M:M),IF($B396&lt;&gt;0,SUMIF(куб!$B:$B,$B396,куб!M:M))))))</f>
        <v>0</v>
      </c>
      <c r="V396" s="13" t="str">
        <f t="shared" si="134"/>
        <v>-</v>
      </c>
      <c r="W396" s="5"/>
      <c r="X396" s="27" t="b">
        <f>IF($G396&lt;&gt;0,SUMIF(куб!$G:$G,$G396,куб!N:N),IF($E396&lt;&gt;0,SUMIF(куб!$E:$E,$E396,куб!N:N),IF($D396&lt;&gt;0,SUMIF(куб!$D:$D,$D396,куб!N:N),IF($C396&lt;&gt;0,SUMIF(куб!$C:$C,$C396,куб!N:N),IF($B396&lt;&gt;0,SUMIF(куб!$B:$B,$B396,куб!N:N))))))</f>
        <v>0</v>
      </c>
      <c r="Y396" s="27" t="b">
        <f>IF($G396&lt;&gt;0,SUMIF(куб!$G:$G,$G396,куб!O:O),IF($E396&lt;&gt;0,SUMIF(куб!$E:$E,$E396,куб!O:O),IF($D396&lt;&gt;0,SUMIF(куб!$D:$D,$D396,куб!O:O),IF($C396&lt;&gt;0,SUMIF(куб!$C:$C,$C396,куб!O:O),IF($B396&lt;&gt;0,SUMIF(куб!$B:$B,$B396,куб!O:O))))))</f>
        <v>0</v>
      </c>
      <c r="Z396" s="13" t="str">
        <f t="shared" si="135"/>
        <v>-</v>
      </c>
      <c r="AA396" s="5"/>
      <c r="AB396" s="33" t="str">
        <f t="shared" si="136"/>
        <v/>
      </c>
      <c r="AC396" s="33" t="str">
        <f t="shared" si="137"/>
        <v/>
      </c>
      <c r="AD396" s="15" t="str">
        <f t="shared" si="138"/>
        <v xml:space="preserve"> </v>
      </c>
      <c r="AE396" s="5"/>
      <c r="AF396" s="27" t="b">
        <f>IF($G396&lt;&gt;0,SUMIF(куб!$G:$G,$G396,куб!R:R),IF($E396&lt;&gt;0,SUMIF(куб!$E:$E,$E396,куб!R:R),IF($D396&lt;&gt;0,SUMIF(куб!$D:$D,$D396,куб!R:R),IF($C396&lt;&gt;0,SUMIF(куб!$C:$C,$C396,куб!R:R),IF($B396&lt;&gt;0,SUMIF(куб!$B:$B,$B396,куб!R:R))))))</f>
        <v>0</v>
      </c>
      <c r="AG396" s="27" t="b">
        <f>IF($G396&lt;&gt;0,SUMIF(куб!$G:$G,$G396,куб!S:S),IF($E396&lt;&gt;0,SUMIF(куб!$E:$E,$E396,куб!S:S),IF($D396&lt;&gt;0,SUMIF(куб!$D:$D,$D396,куб!S:S),IF($C396&lt;&gt;0,SUMIF(куб!$C:$C,$C396,куб!S:S),IF($B396&lt;&gt;0,SUMIF(куб!$B:$B,$B396,куб!S:S))))))</f>
        <v>0</v>
      </c>
      <c r="AH396" s="16" t="str">
        <f t="shared" si="139"/>
        <v>-</v>
      </c>
      <c r="AI396" s="8"/>
      <c r="AJ396" s="27" t="b">
        <f>IF($G396&lt;&gt;0,SUMIF(куб!$G:$G,$G396,куб!T:T),IF($E396&lt;&gt;0,SUMIF(куб!$E:$E,$E396,куб!T:T),IF($D396&lt;&gt;0,SUMIF(куб!$D:$D,$D396,куб!T:T),IF($C396&lt;&gt;0,SUMIF(куб!$C:$C,$C396,куб!T:T),IF($B396&lt;&gt;0,SUMIF(куб!$B:$B,$B396,куб!T:T))))))</f>
        <v>0</v>
      </c>
      <c r="AK396" s="27" t="b">
        <f>IF($G396&lt;&gt;0,SUMIF(куб!$G:$G,$G396,куб!U:U),IF($E396&lt;&gt;0,SUMIF(куб!$E:$E,$E396,куб!U:U),IF($D396&lt;&gt;0,SUMIF(куб!$D:$D,$D396,куб!U:U),IF($C396&lt;&gt;0,SUMIF(куб!$C:$C,$C396,куб!U:U),IF($B396&lt;&gt;0,SUMIF(куб!$B:$B,$B396,куб!U:U))))))</f>
        <v>0</v>
      </c>
      <c r="AL396" s="16" t="str">
        <f t="shared" si="140"/>
        <v>-</v>
      </c>
      <c r="AM396" s="8"/>
      <c r="AN396" s="17" t="str">
        <f t="shared" si="141"/>
        <v xml:space="preserve"> </v>
      </c>
      <c r="AO396" s="17" t="str">
        <f t="shared" si="142"/>
        <v xml:space="preserve"> </v>
      </c>
      <c r="AP396" s="16" t="str">
        <f t="shared" si="143"/>
        <v>-</v>
      </c>
      <c r="AQ396" s="8"/>
      <c r="AR396" s="17" t="str">
        <f t="shared" si="144"/>
        <v>-</v>
      </c>
      <c r="AS396" s="17" t="str">
        <f t="shared" si="145"/>
        <v>-</v>
      </c>
      <c r="AT396" s="13" t="str">
        <f t="shared" si="146"/>
        <v>-</v>
      </c>
      <c r="AU396" s="8"/>
    </row>
    <row r="397" spans="1:47" x14ac:dyDescent="0.25">
      <c r="A397" s="31"/>
      <c r="B397" s="31"/>
      <c r="C397"/>
      <c r="D397" s="31"/>
      <c r="E397"/>
      <c r="F397" s="31"/>
      <c r="G397"/>
      <c r="H397" s="27">
        <f>IF($G397&lt;&gt;0,SUMIF(куб!$G:$G,$G397,куб!H:H),IF($E397&lt;&gt;0,SUMIF(куб!$E:$E,$E397,куб!H:H),IF($D397&lt;&gt;0,SUMIF(куб!$D:$D,$D397,куб!H:H),IF($C397&lt;&gt;0,SUMIF(куб!$C:$C,$C397,куб!H:H),IF($B397&lt;&gt;0,SUMIF(куб!$B:$B,$B397,куб!H:H),IF($G397&lt;&gt;0,SUMIF(куб!$A:$A,$G397,куб!H:H),SUMIF(куб!$A:$A,$G397,куб!H:H)))))))</f>
        <v>0</v>
      </c>
      <c r="I397" s="27">
        <f>IF($G397&lt;&gt;0,SUMIF(куб!$G:$G,$G397,куб!I:I),IF($E397&lt;&gt;0,SUMIF(куб!$E:$E,$E397,куб!I:I),IF($D397&lt;&gt;0,SUMIF(куб!$D:$D,$D397,куб!I:I),IF($C397&lt;&gt;0,SUMIF(куб!$C:$C,$C397,куб!I:I),IF($B397&lt;&gt;0,SUMIF(куб!$B:$B,$B397,куб!I:I),IF($G397&lt;&gt;0,SUMIF(куб!$A:$A,$G397,куб!I:I),SUMIF(куб!$A:$A,$G397,куб!I:I)))))))</f>
        <v>0</v>
      </c>
      <c r="J397" s="19" t="str">
        <f t="shared" ref="J397:J460" si="147">IFERROR((I397-H397)/ABS(H397),"-")</f>
        <v>-</v>
      </c>
      <c r="K397" s="8"/>
      <c r="L397" s="17">
        <f t="shared" ref="L397:L460" si="148">H397/$H$3</f>
        <v>0</v>
      </c>
      <c r="M397" s="17">
        <f t="shared" ref="M397:M460" si="149">I397/$I$3</f>
        <v>0</v>
      </c>
      <c r="N397" s="12">
        <f t="shared" ref="N397:N460" si="150">M397-L397</f>
        <v>0</v>
      </c>
      <c r="O397" s="5"/>
      <c r="P397" s="27" t="b">
        <f>IF($G397&lt;&gt;0,SUMIF(куб!$G:$G,$G397,куб!J:J),IF($E397&lt;&gt;0,SUMIF(куб!$E:$E,$E397,куб!J:J),IF($D397&lt;&gt;0,SUMIF(куб!$D:$D,$D397,куб!J:J),IF($C397&lt;&gt;0,SUMIF(куб!$C:$C,$C397,куб!J:J),IF($B397&lt;&gt;0,SUMIF(куб!$B:$B,$B397,куб!J:J))))))</f>
        <v>0</v>
      </c>
      <c r="Q397" s="27" t="b">
        <f>IF($G397&lt;&gt;0,SUMIF(куб!$G:$G,$G397,куб!K:K),IF($E397&lt;&gt;0,SUMIF(куб!$E:$E,$E397,куб!K:K),IF($D397&lt;&gt;0,SUMIF(куб!$D:$D,$D397,куб!K:K),IF($C397&lt;&gt;0,SUMIF(куб!$C:$C,$C397,куб!K:K),IF($B397&lt;&gt;0,SUMIF(куб!$B:$B,$B397,куб!K:K))))))</f>
        <v>0</v>
      </c>
      <c r="R397" s="13" t="str">
        <f t="shared" ref="R397:R460" si="151">IFERROR((Q397-P397)/ABS(P397),"-")</f>
        <v>-</v>
      </c>
      <c r="S397" s="5"/>
      <c r="T397" s="27" t="b">
        <f>IF($G397&lt;&gt;0,SUMIF(куб!$G:$G,$G397,куб!L:L),IF($E397&lt;&gt;0,SUMIF(куб!$E:$E,$E397,куб!L:L),IF($D397&lt;&gt;0,SUMIF(куб!$D:$D,$D397,куб!L:L),IF($C397&lt;&gt;0,SUMIF(куб!$C:$C,$C397,куб!L:L),IF($B397&lt;&gt;0,SUMIF(куб!$B:$B,$B397,куб!L:L))))))</f>
        <v>0</v>
      </c>
      <c r="U397" s="27" t="b">
        <f>IF($G397&lt;&gt;0,SUMIF(куб!$G:$G,$G397,куб!M:M),IF($E397&lt;&gt;0,SUMIF(куб!$E:$E,$E397,куб!M:M),IF($D397&lt;&gt;0,SUMIF(куб!$D:$D,$D397,куб!M:M),IF($C397&lt;&gt;0,SUMIF(куб!$C:$C,$C397,куб!M:M),IF($B397&lt;&gt;0,SUMIF(куб!$B:$B,$B397,куб!M:M))))))</f>
        <v>0</v>
      </c>
      <c r="V397" s="13" t="str">
        <f t="shared" ref="V397:V460" si="152">IFERROR((U397-T397)/ABS(T397),"-")</f>
        <v>-</v>
      </c>
      <c r="W397" s="5"/>
      <c r="X397" s="27" t="b">
        <f>IF($G397&lt;&gt;0,SUMIF(куб!$G:$G,$G397,куб!N:N),IF($E397&lt;&gt;0,SUMIF(куб!$E:$E,$E397,куб!N:N),IF($D397&lt;&gt;0,SUMIF(куб!$D:$D,$D397,куб!N:N),IF($C397&lt;&gt;0,SUMIF(куб!$C:$C,$C397,куб!N:N),IF($B397&lt;&gt;0,SUMIF(куб!$B:$B,$B397,куб!N:N))))))</f>
        <v>0</v>
      </c>
      <c r="Y397" s="27" t="b">
        <f>IF($G397&lt;&gt;0,SUMIF(куб!$G:$G,$G397,куб!O:O),IF($E397&lt;&gt;0,SUMIF(куб!$E:$E,$E397,куб!O:O),IF($D397&lt;&gt;0,SUMIF(куб!$D:$D,$D397,куб!O:O),IF($C397&lt;&gt;0,SUMIF(куб!$C:$C,$C397,куб!O:O),IF($B397&lt;&gt;0,SUMIF(куб!$B:$B,$B397,куб!O:O))))))</f>
        <v>0</v>
      </c>
      <c r="Z397" s="13" t="str">
        <f t="shared" ref="Z397:Z460" si="153">IFERROR((Y397-X397)/ABS(X397),"-")</f>
        <v>-</v>
      </c>
      <c r="AA397" s="5"/>
      <c r="AB397" s="33" t="str">
        <f t="shared" ref="AB397:AB460" si="154">IFERROR(X397/H397,"")</f>
        <v/>
      </c>
      <c r="AC397" s="33" t="str">
        <f t="shared" ref="AC397:AC460" si="155">IFERROR(Y397/I397,"")</f>
        <v/>
      </c>
      <c r="AD397" s="15" t="str">
        <f t="shared" ref="AD397:AD460" si="156">IFERROR(AC397-AB397," ")</f>
        <v xml:space="preserve"> </v>
      </c>
      <c r="AE397" s="5"/>
      <c r="AF397" s="27" t="b">
        <f>IF($G397&lt;&gt;0,SUMIF(куб!$G:$G,$G397,куб!R:R),IF($E397&lt;&gt;0,SUMIF(куб!$E:$E,$E397,куб!R:R),IF($D397&lt;&gt;0,SUMIF(куб!$D:$D,$D397,куб!R:R),IF($C397&lt;&gt;0,SUMIF(куб!$C:$C,$C397,куб!R:R),IF($B397&lt;&gt;0,SUMIF(куб!$B:$B,$B397,куб!R:R))))))</f>
        <v>0</v>
      </c>
      <c r="AG397" s="27" t="b">
        <f>IF($G397&lt;&gt;0,SUMIF(куб!$G:$G,$G397,куб!S:S),IF($E397&lt;&gt;0,SUMIF(куб!$E:$E,$E397,куб!S:S),IF($D397&lt;&gt;0,SUMIF(куб!$D:$D,$D397,куб!S:S),IF($C397&lt;&gt;0,SUMIF(куб!$C:$C,$C397,куб!S:S),IF($B397&lt;&gt;0,SUMIF(куб!$B:$B,$B397,куб!S:S))))))</f>
        <v>0</v>
      </c>
      <c r="AH397" s="16" t="str">
        <f t="shared" ref="AH397:AH460" si="157">IFERROR((AG397-AF397)/ABS(AF397),"-")</f>
        <v>-</v>
      </c>
      <c r="AI397" s="8"/>
      <c r="AJ397" s="27" t="b">
        <f>IF($G397&lt;&gt;0,SUMIF(куб!$G:$G,$G397,куб!T:T),IF($E397&lt;&gt;0,SUMIF(куб!$E:$E,$E397,куб!T:T),IF($D397&lt;&gt;0,SUMIF(куб!$D:$D,$D397,куб!T:T),IF($C397&lt;&gt;0,SUMIF(куб!$C:$C,$C397,куб!T:T),IF($B397&lt;&gt;0,SUMIF(куб!$B:$B,$B397,куб!T:T))))))</f>
        <v>0</v>
      </c>
      <c r="AK397" s="27" t="b">
        <f>IF($G397&lt;&gt;0,SUMIF(куб!$G:$G,$G397,куб!U:U),IF($E397&lt;&gt;0,SUMIF(куб!$E:$E,$E397,куб!U:U),IF($D397&lt;&gt;0,SUMIF(куб!$D:$D,$D397,куб!U:U),IF($C397&lt;&gt;0,SUMIF(куб!$C:$C,$C397,куб!U:U),IF($B397&lt;&gt;0,SUMIF(куб!$B:$B,$B397,куб!U:U))))))</f>
        <v>0</v>
      </c>
      <c r="AL397" s="16" t="str">
        <f t="shared" ref="AL397:AL460" si="158">IFERROR((AK397-AJ397)/ABS(AJ397),"-")</f>
        <v>-</v>
      </c>
      <c r="AM397" s="8"/>
      <c r="AN397" s="17" t="str">
        <f t="shared" ref="AN397:AN460" si="159">IFERROR(AF397/H397," ")</f>
        <v xml:space="preserve"> </v>
      </c>
      <c r="AO397" s="17" t="str">
        <f t="shared" ref="AO397:AO460" si="160">IFERROR(AG397/I397," ")</f>
        <v xml:space="preserve"> </v>
      </c>
      <c r="AP397" s="16" t="str">
        <f t="shared" ref="AP397:AP460" si="161">IFERROR(AO397-AN397,"-")</f>
        <v>-</v>
      </c>
      <c r="AQ397" s="8"/>
      <c r="AR397" s="17" t="str">
        <f t="shared" ref="AR397:AR460" si="162">IFERROR((X397-AF397)/H397,"-")</f>
        <v>-</v>
      </c>
      <c r="AS397" s="17" t="str">
        <f t="shared" ref="AS397:AS460" si="163">IFERROR((Y397-AG397)/I397,"-")</f>
        <v>-</v>
      </c>
      <c r="AT397" s="13" t="str">
        <f t="shared" ref="AT397:AT460" si="164">IFERROR(AS397-AR397,"-")</f>
        <v>-</v>
      </c>
      <c r="AU397" s="8"/>
    </row>
    <row r="398" spans="1:47" x14ac:dyDescent="0.25">
      <c r="A398" s="31"/>
      <c r="B398" s="31"/>
      <c r="C398"/>
      <c r="D398" s="31"/>
      <c r="E398"/>
      <c r="F398"/>
      <c r="G398"/>
      <c r="H398" s="27">
        <f>IF($G398&lt;&gt;0,SUMIF(куб!$G:$G,$G398,куб!H:H),IF($E398&lt;&gt;0,SUMIF(куб!$E:$E,$E398,куб!H:H),IF($D398&lt;&gt;0,SUMIF(куб!$D:$D,$D398,куб!H:H),IF($C398&lt;&gt;0,SUMIF(куб!$C:$C,$C398,куб!H:H),IF($B398&lt;&gt;0,SUMIF(куб!$B:$B,$B398,куб!H:H),IF($G398&lt;&gt;0,SUMIF(куб!$A:$A,$G398,куб!H:H),SUMIF(куб!$A:$A,$G398,куб!H:H)))))))</f>
        <v>0</v>
      </c>
      <c r="I398" s="27">
        <f>IF($G398&lt;&gt;0,SUMIF(куб!$G:$G,$G398,куб!I:I),IF($E398&lt;&gt;0,SUMIF(куб!$E:$E,$E398,куб!I:I),IF($D398&lt;&gt;0,SUMIF(куб!$D:$D,$D398,куб!I:I),IF($C398&lt;&gt;0,SUMIF(куб!$C:$C,$C398,куб!I:I),IF($B398&lt;&gt;0,SUMIF(куб!$B:$B,$B398,куб!I:I),IF($G398&lt;&gt;0,SUMIF(куб!$A:$A,$G398,куб!I:I),SUMIF(куб!$A:$A,$G398,куб!I:I)))))))</f>
        <v>0</v>
      </c>
      <c r="J398" s="19" t="str">
        <f t="shared" si="147"/>
        <v>-</v>
      </c>
      <c r="K398" s="8"/>
      <c r="L398" s="17">
        <f t="shared" si="148"/>
        <v>0</v>
      </c>
      <c r="M398" s="17">
        <f t="shared" si="149"/>
        <v>0</v>
      </c>
      <c r="N398" s="12">
        <f t="shared" si="150"/>
        <v>0</v>
      </c>
      <c r="O398" s="5"/>
      <c r="P398" s="27" t="b">
        <f>IF($G398&lt;&gt;0,SUMIF(куб!$G:$G,$G398,куб!J:J),IF($E398&lt;&gt;0,SUMIF(куб!$E:$E,$E398,куб!J:J),IF($D398&lt;&gt;0,SUMIF(куб!$D:$D,$D398,куб!J:J),IF($C398&lt;&gt;0,SUMIF(куб!$C:$C,$C398,куб!J:J),IF($B398&lt;&gt;0,SUMIF(куб!$B:$B,$B398,куб!J:J))))))</f>
        <v>0</v>
      </c>
      <c r="Q398" s="27" t="b">
        <f>IF($G398&lt;&gt;0,SUMIF(куб!$G:$G,$G398,куб!K:K),IF($E398&lt;&gt;0,SUMIF(куб!$E:$E,$E398,куб!K:K),IF($D398&lt;&gt;0,SUMIF(куб!$D:$D,$D398,куб!K:K),IF($C398&lt;&gt;0,SUMIF(куб!$C:$C,$C398,куб!K:K),IF($B398&lt;&gt;0,SUMIF(куб!$B:$B,$B398,куб!K:K))))))</f>
        <v>0</v>
      </c>
      <c r="R398" s="13" t="str">
        <f t="shared" si="151"/>
        <v>-</v>
      </c>
      <c r="S398" s="5"/>
      <c r="T398" s="27" t="b">
        <f>IF($G398&lt;&gt;0,SUMIF(куб!$G:$G,$G398,куб!L:L),IF($E398&lt;&gt;0,SUMIF(куб!$E:$E,$E398,куб!L:L),IF($D398&lt;&gt;0,SUMIF(куб!$D:$D,$D398,куб!L:L),IF($C398&lt;&gt;0,SUMIF(куб!$C:$C,$C398,куб!L:L),IF($B398&lt;&gt;0,SUMIF(куб!$B:$B,$B398,куб!L:L))))))</f>
        <v>0</v>
      </c>
      <c r="U398" s="27" t="b">
        <f>IF($G398&lt;&gt;0,SUMIF(куб!$G:$G,$G398,куб!M:M),IF($E398&lt;&gt;0,SUMIF(куб!$E:$E,$E398,куб!M:M),IF($D398&lt;&gt;0,SUMIF(куб!$D:$D,$D398,куб!M:M),IF($C398&lt;&gt;0,SUMIF(куб!$C:$C,$C398,куб!M:M),IF($B398&lt;&gt;0,SUMIF(куб!$B:$B,$B398,куб!M:M))))))</f>
        <v>0</v>
      </c>
      <c r="V398" s="13" t="str">
        <f t="shared" si="152"/>
        <v>-</v>
      </c>
      <c r="W398" s="5"/>
      <c r="X398" s="27" t="b">
        <f>IF($G398&lt;&gt;0,SUMIF(куб!$G:$G,$G398,куб!N:N),IF($E398&lt;&gt;0,SUMIF(куб!$E:$E,$E398,куб!N:N),IF($D398&lt;&gt;0,SUMIF(куб!$D:$D,$D398,куб!N:N),IF($C398&lt;&gt;0,SUMIF(куб!$C:$C,$C398,куб!N:N),IF($B398&lt;&gt;0,SUMIF(куб!$B:$B,$B398,куб!N:N))))))</f>
        <v>0</v>
      </c>
      <c r="Y398" s="27" t="b">
        <f>IF($G398&lt;&gt;0,SUMIF(куб!$G:$G,$G398,куб!O:O),IF($E398&lt;&gt;0,SUMIF(куб!$E:$E,$E398,куб!O:O),IF($D398&lt;&gt;0,SUMIF(куб!$D:$D,$D398,куб!O:O),IF($C398&lt;&gt;0,SUMIF(куб!$C:$C,$C398,куб!O:O),IF($B398&lt;&gt;0,SUMIF(куб!$B:$B,$B398,куб!O:O))))))</f>
        <v>0</v>
      </c>
      <c r="Z398" s="13" t="str">
        <f t="shared" si="153"/>
        <v>-</v>
      </c>
      <c r="AA398" s="5"/>
      <c r="AB398" s="33" t="str">
        <f t="shared" si="154"/>
        <v/>
      </c>
      <c r="AC398" s="33" t="str">
        <f t="shared" si="155"/>
        <v/>
      </c>
      <c r="AD398" s="15" t="str">
        <f t="shared" si="156"/>
        <v xml:space="preserve"> </v>
      </c>
      <c r="AE398" s="5"/>
      <c r="AF398" s="27" t="b">
        <f>IF($G398&lt;&gt;0,SUMIF(куб!$G:$G,$G398,куб!R:R),IF($E398&lt;&gt;0,SUMIF(куб!$E:$E,$E398,куб!R:R),IF($D398&lt;&gt;0,SUMIF(куб!$D:$D,$D398,куб!R:R),IF($C398&lt;&gt;0,SUMIF(куб!$C:$C,$C398,куб!R:R),IF($B398&lt;&gt;0,SUMIF(куб!$B:$B,$B398,куб!R:R))))))</f>
        <v>0</v>
      </c>
      <c r="AG398" s="27" t="b">
        <f>IF($G398&lt;&gt;0,SUMIF(куб!$G:$G,$G398,куб!S:S),IF($E398&lt;&gt;0,SUMIF(куб!$E:$E,$E398,куб!S:S),IF($D398&lt;&gt;0,SUMIF(куб!$D:$D,$D398,куб!S:S),IF($C398&lt;&gt;0,SUMIF(куб!$C:$C,$C398,куб!S:S),IF($B398&lt;&gt;0,SUMIF(куб!$B:$B,$B398,куб!S:S))))))</f>
        <v>0</v>
      </c>
      <c r="AH398" s="16" t="str">
        <f t="shared" si="157"/>
        <v>-</v>
      </c>
      <c r="AI398" s="8"/>
      <c r="AJ398" s="27" t="b">
        <f>IF($G398&lt;&gt;0,SUMIF(куб!$G:$G,$G398,куб!T:T),IF($E398&lt;&gt;0,SUMIF(куб!$E:$E,$E398,куб!T:T),IF($D398&lt;&gt;0,SUMIF(куб!$D:$D,$D398,куб!T:T),IF($C398&lt;&gt;0,SUMIF(куб!$C:$C,$C398,куб!T:T),IF($B398&lt;&gt;0,SUMIF(куб!$B:$B,$B398,куб!T:T))))))</f>
        <v>0</v>
      </c>
      <c r="AK398" s="27" t="b">
        <f>IF($G398&lt;&gt;0,SUMIF(куб!$G:$G,$G398,куб!U:U),IF($E398&lt;&gt;0,SUMIF(куб!$E:$E,$E398,куб!U:U),IF($D398&lt;&gt;0,SUMIF(куб!$D:$D,$D398,куб!U:U),IF($C398&lt;&gt;0,SUMIF(куб!$C:$C,$C398,куб!U:U),IF($B398&lt;&gt;0,SUMIF(куб!$B:$B,$B398,куб!U:U))))))</f>
        <v>0</v>
      </c>
      <c r="AL398" s="16" t="str">
        <f t="shared" si="158"/>
        <v>-</v>
      </c>
      <c r="AM398" s="8"/>
      <c r="AN398" s="17" t="str">
        <f t="shared" si="159"/>
        <v xml:space="preserve"> </v>
      </c>
      <c r="AO398" s="17" t="str">
        <f t="shared" si="160"/>
        <v xml:space="preserve"> </v>
      </c>
      <c r="AP398" s="16" t="str">
        <f t="shared" si="161"/>
        <v>-</v>
      </c>
      <c r="AQ398" s="8"/>
      <c r="AR398" s="17" t="str">
        <f t="shared" si="162"/>
        <v>-</v>
      </c>
      <c r="AS398" s="17" t="str">
        <f t="shared" si="163"/>
        <v>-</v>
      </c>
      <c r="AT398" s="13" t="str">
        <f t="shared" si="164"/>
        <v>-</v>
      </c>
      <c r="AU398" s="8"/>
    </row>
    <row r="399" spans="1:47" x14ac:dyDescent="0.25">
      <c r="A399" s="31"/>
      <c r="B399" s="31"/>
      <c r="C399"/>
      <c r="D399" s="31"/>
      <c r="E399" s="31"/>
      <c r="F399" s="31"/>
      <c r="G399" s="31"/>
      <c r="H399" s="27">
        <f>IF($G399&lt;&gt;0,SUMIF(куб!$G:$G,$G399,куб!H:H),IF($E399&lt;&gt;0,SUMIF(куб!$E:$E,$E399,куб!H:H),IF($D399&lt;&gt;0,SUMIF(куб!$D:$D,$D399,куб!H:H),IF($C399&lt;&gt;0,SUMIF(куб!$C:$C,$C399,куб!H:H),IF($B399&lt;&gt;0,SUMIF(куб!$B:$B,$B399,куб!H:H),IF($G399&lt;&gt;0,SUMIF(куб!$A:$A,$G399,куб!H:H),SUMIF(куб!$A:$A,$G399,куб!H:H)))))))</f>
        <v>0</v>
      </c>
      <c r="I399" s="27">
        <f>IF($G399&lt;&gt;0,SUMIF(куб!$G:$G,$G399,куб!I:I),IF($E399&lt;&gt;0,SUMIF(куб!$E:$E,$E399,куб!I:I),IF($D399&lt;&gt;0,SUMIF(куб!$D:$D,$D399,куб!I:I),IF($C399&lt;&gt;0,SUMIF(куб!$C:$C,$C399,куб!I:I),IF($B399&lt;&gt;0,SUMIF(куб!$B:$B,$B399,куб!I:I),IF($G399&lt;&gt;0,SUMIF(куб!$A:$A,$G399,куб!I:I),SUMIF(куб!$A:$A,$G399,куб!I:I)))))))</f>
        <v>0</v>
      </c>
      <c r="J399" s="19" t="str">
        <f t="shared" si="147"/>
        <v>-</v>
      </c>
      <c r="K399" s="8"/>
      <c r="L399" s="17">
        <f t="shared" si="148"/>
        <v>0</v>
      </c>
      <c r="M399" s="17">
        <f t="shared" si="149"/>
        <v>0</v>
      </c>
      <c r="N399" s="12">
        <f t="shared" si="150"/>
        <v>0</v>
      </c>
      <c r="O399" s="5"/>
      <c r="P399" s="27" t="b">
        <f>IF($G399&lt;&gt;0,SUMIF(куб!$G:$G,$G399,куб!J:J),IF($E399&lt;&gt;0,SUMIF(куб!$E:$E,$E399,куб!J:J),IF($D399&lt;&gt;0,SUMIF(куб!$D:$D,$D399,куб!J:J),IF($C399&lt;&gt;0,SUMIF(куб!$C:$C,$C399,куб!J:J),IF($B399&lt;&gt;0,SUMIF(куб!$B:$B,$B399,куб!J:J))))))</f>
        <v>0</v>
      </c>
      <c r="Q399" s="27" t="b">
        <f>IF($G399&lt;&gt;0,SUMIF(куб!$G:$G,$G399,куб!K:K),IF($E399&lt;&gt;0,SUMIF(куб!$E:$E,$E399,куб!K:K),IF($D399&lt;&gt;0,SUMIF(куб!$D:$D,$D399,куб!K:K),IF($C399&lt;&gt;0,SUMIF(куб!$C:$C,$C399,куб!K:K),IF($B399&lt;&gt;0,SUMIF(куб!$B:$B,$B399,куб!K:K))))))</f>
        <v>0</v>
      </c>
      <c r="R399" s="13" t="str">
        <f t="shared" si="151"/>
        <v>-</v>
      </c>
      <c r="S399" s="5"/>
      <c r="T399" s="27" t="b">
        <f>IF($G399&lt;&gt;0,SUMIF(куб!$G:$G,$G399,куб!L:L),IF($E399&lt;&gt;0,SUMIF(куб!$E:$E,$E399,куб!L:L),IF($D399&lt;&gt;0,SUMIF(куб!$D:$D,$D399,куб!L:L),IF($C399&lt;&gt;0,SUMIF(куб!$C:$C,$C399,куб!L:L),IF($B399&lt;&gt;0,SUMIF(куб!$B:$B,$B399,куб!L:L))))))</f>
        <v>0</v>
      </c>
      <c r="U399" s="27" t="b">
        <f>IF($G399&lt;&gt;0,SUMIF(куб!$G:$G,$G399,куб!M:M),IF($E399&lt;&gt;0,SUMIF(куб!$E:$E,$E399,куб!M:M),IF($D399&lt;&gt;0,SUMIF(куб!$D:$D,$D399,куб!M:M),IF($C399&lt;&gt;0,SUMIF(куб!$C:$C,$C399,куб!M:M),IF($B399&lt;&gt;0,SUMIF(куб!$B:$B,$B399,куб!M:M))))))</f>
        <v>0</v>
      </c>
      <c r="V399" s="13" t="str">
        <f t="shared" si="152"/>
        <v>-</v>
      </c>
      <c r="W399" s="5"/>
      <c r="X399" s="27" t="b">
        <f>IF($G399&lt;&gt;0,SUMIF(куб!$G:$G,$G399,куб!N:N),IF($E399&lt;&gt;0,SUMIF(куб!$E:$E,$E399,куб!N:N),IF($D399&lt;&gt;0,SUMIF(куб!$D:$D,$D399,куб!N:N),IF($C399&lt;&gt;0,SUMIF(куб!$C:$C,$C399,куб!N:N),IF($B399&lt;&gt;0,SUMIF(куб!$B:$B,$B399,куб!N:N))))))</f>
        <v>0</v>
      </c>
      <c r="Y399" s="27" t="b">
        <f>IF($G399&lt;&gt;0,SUMIF(куб!$G:$G,$G399,куб!O:O),IF($E399&lt;&gt;0,SUMIF(куб!$E:$E,$E399,куб!O:O),IF($D399&lt;&gt;0,SUMIF(куб!$D:$D,$D399,куб!O:O),IF($C399&lt;&gt;0,SUMIF(куб!$C:$C,$C399,куб!O:O),IF($B399&lt;&gt;0,SUMIF(куб!$B:$B,$B399,куб!O:O))))))</f>
        <v>0</v>
      </c>
      <c r="Z399" s="13" t="str">
        <f t="shared" si="153"/>
        <v>-</v>
      </c>
      <c r="AA399" s="5"/>
      <c r="AB399" s="33" t="str">
        <f t="shared" si="154"/>
        <v/>
      </c>
      <c r="AC399" s="33" t="str">
        <f t="shared" si="155"/>
        <v/>
      </c>
      <c r="AD399" s="15" t="str">
        <f t="shared" si="156"/>
        <v xml:space="preserve"> </v>
      </c>
      <c r="AE399" s="5"/>
      <c r="AF399" s="27" t="b">
        <f>IF($G399&lt;&gt;0,SUMIF(куб!$G:$G,$G399,куб!R:R),IF($E399&lt;&gt;0,SUMIF(куб!$E:$E,$E399,куб!R:R),IF($D399&lt;&gt;0,SUMIF(куб!$D:$D,$D399,куб!R:R),IF($C399&lt;&gt;0,SUMIF(куб!$C:$C,$C399,куб!R:R),IF($B399&lt;&gt;0,SUMIF(куб!$B:$B,$B399,куб!R:R))))))</f>
        <v>0</v>
      </c>
      <c r="AG399" s="27" t="b">
        <f>IF($G399&lt;&gt;0,SUMIF(куб!$G:$G,$G399,куб!S:S),IF($E399&lt;&gt;0,SUMIF(куб!$E:$E,$E399,куб!S:S),IF($D399&lt;&gt;0,SUMIF(куб!$D:$D,$D399,куб!S:S),IF($C399&lt;&gt;0,SUMIF(куб!$C:$C,$C399,куб!S:S),IF($B399&lt;&gt;0,SUMIF(куб!$B:$B,$B399,куб!S:S))))))</f>
        <v>0</v>
      </c>
      <c r="AH399" s="16" t="str">
        <f t="shared" si="157"/>
        <v>-</v>
      </c>
      <c r="AI399" s="8"/>
      <c r="AJ399" s="27" t="b">
        <f>IF($G399&lt;&gt;0,SUMIF(куб!$G:$G,$G399,куб!T:T),IF($E399&lt;&gt;0,SUMIF(куб!$E:$E,$E399,куб!T:T),IF($D399&lt;&gt;0,SUMIF(куб!$D:$D,$D399,куб!T:T),IF($C399&lt;&gt;0,SUMIF(куб!$C:$C,$C399,куб!T:T),IF($B399&lt;&gt;0,SUMIF(куб!$B:$B,$B399,куб!T:T))))))</f>
        <v>0</v>
      </c>
      <c r="AK399" s="27" t="b">
        <f>IF($G399&lt;&gt;0,SUMIF(куб!$G:$G,$G399,куб!U:U),IF($E399&lt;&gt;0,SUMIF(куб!$E:$E,$E399,куб!U:U),IF($D399&lt;&gt;0,SUMIF(куб!$D:$D,$D399,куб!U:U),IF($C399&lt;&gt;0,SUMIF(куб!$C:$C,$C399,куб!U:U),IF($B399&lt;&gt;0,SUMIF(куб!$B:$B,$B399,куб!U:U))))))</f>
        <v>0</v>
      </c>
      <c r="AL399" s="16" t="str">
        <f t="shared" si="158"/>
        <v>-</v>
      </c>
      <c r="AM399" s="8"/>
      <c r="AN399" s="17" t="str">
        <f t="shared" si="159"/>
        <v xml:space="preserve"> </v>
      </c>
      <c r="AO399" s="17" t="str">
        <f t="shared" si="160"/>
        <v xml:space="preserve"> </v>
      </c>
      <c r="AP399" s="16" t="str">
        <f t="shared" si="161"/>
        <v>-</v>
      </c>
      <c r="AQ399" s="8"/>
      <c r="AR399" s="17" t="str">
        <f t="shared" si="162"/>
        <v>-</v>
      </c>
      <c r="AS399" s="17" t="str">
        <f t="shared" si="163"/>
        <v>-</v>
      </c>
      <c r="AT399" s="13" t="str">
        <f t="shared" si="164"/>
        <v>-</v>
      </c>
      <c r="AU399" s="8"/>
    </row>
    <row r="400" spans="1:47" x14ac:dyDescent="0.25">
      <c r="A400" s="31"/>
      <c r="B400" s="31"/>
      <c r="C400"/>
      <c r="D400" s="31"/>
      <c r="E400"/>
      <c r="F400" s="31"/>
      <c r="G400"/>
      <c r="H400" s="27">
        <f>IF($G400&lt;&gt;0,SUMIF(куб!$G:$G,$G400,куб!H:H),IF($E400&lt;&gt;0,SUMIF(куб!$E:$E,$E400,куб!H:H),IF($D400&lt;&gt;0,SUMIF(куб!$D:$D,$D400,куб!H:H),IF($C400&lt;&gt;0,SUMIF(куб!$C:$C,$C400,куб!H:H),IF($B400&lt;&gt;0,SUMIF(куб!$B:$B,$B400,куб!H:H),IF($G400&lt;&gt;0,SUMIF(куб!$A:$A,$G400,куб!H:H),SUMIF(куб!$A:$A,$G400,куб!H:H)))))))</f>
        <v>0</v>
      </c>
      <c r="I400" s="27">
        <f>IF($G400&lt;&gt;0,SUMIF(куб!$G:$G,$G400,куб!I:I),IF($E400&lt;&gt;0,SUMIF(куб!$E:$E,$E400,куб!I:I),IF($D400&lt;&gt;0,SUMIF(куб!$D:$D,$D400,куб!I:I),IF($C400&lt;&gt;0,SUMIF(куб!$C:$C,$C400,куб!I:I),IF($B400&lt;&gt;0,SUMIF(куб!$B:$B,$B400,куб!I:I),IF($G400&lt;&gt;0,SUMIF(куб!$A:$A,$G400,куб!I:I),SUMIF(куб!$A:$A,$G400,куб!I:I)))))))</f>
        <v>0</v>
      </c>
      <c r="J400" s="19" t="str">
        <f t="shared" si="147"/>
        <v>-</v>
      </c>
      <c r="K400" s="8"/>
      <c r="L400" s="17">
        <f t="shared" si="148"/>
        <v>0</v>
      </c>
      <c r="M400" s="17">
        <f t="shared" si="149"/>
        <v>0</v>
      </c>
      <c r="N400" s="12">
        <f t="shared" si="150"/>
        <v>0</v>
      </c>
      <c r="O400" s="5"/>
      <c r="P400" s="27" t="b">
        <f>IF($G400&lt;&gt;0,SUMIF(куб!$G:$G,$G400,куб!J:J),IF($E400&lt;&gt;0,SUMIF(куб!$E:$E,$E400,куб!J:J),IF($D400&lt;&gt;0,SUMIF(куб!$D:$D,$D400,куб!J:J),IF($C400&lt;&gt;0,SUMIF(куб!$C:$C,$C400,куб!J:J),IF($B400&lt;&gt;0,SUMIF(куб!$B:$B,$B400,куб!J:J))))))</f>
        <v>0</v>
      </c>
      <c r="Q400" s="27" t="b">
        <f>IF($G400&lt;&gt;0,SUMIF(куб!$G:$G,$G400,куб!K:K),IF($E400&lt;&gt;0,SUMIF(куб!$E:$E,$E400,куб!K:K),IF($D400&lt;&gt;0,SUMIF(куб!$D:$D,$D400,куб!K:K),IF($C400&lt;&gt;0,SUMIF(куб!$C:$C,$C400,куб!K:K),IF($B400&lt;&gt;0,SUMIF(куб!$B:$B,$B400,куб!K:K))))))</f>
        <v>0</v>
      </c>
      <c r="R400" s="13" t="str">
        <f t="shared" si="151"/>
        <v>-</v>
      </c>
      <c r="S400" s="5"/>
      <c r="T400" s="27" t="b">
        <f>IF($G400&lt;&gt;0,SUMIF(куб!$G:$G,$G400,куб!L:L),IF($E400&lt;&gt;0,SUMIF(куб!$E:$E,$E400,куб!L:L),IF($D400&lt;&gt;0,SUMIF(куб!$D:$D,$D400,куб!L:L),IF($C400&lt;&gt;0,SUMIF(куб!$C:$C,$C400,куб!L:L),IF($B400&lt;&gt;0,SUMIF(куб!$B:$B,$B400,куб!L:L))))))</f>
        <v>0</v>
      </c>
      <c r="U400" s="27" t="b">
        <f>IF($G400&lt;&gt;0,SUMIF(куб!$G:$G,$G400,куб!M:M),IF($E400&lt;&gt;0,SUMIF(куб!$E:$E,$E400,куб!M:M),IF($D400&lt;&gt;0,SUMIF(куб!$D:$D,$D400,куб!M:M),IF($C400&lt;&gt;0,SUMIF(куб!$C:$C,$C400,куб!M:M),IF($B400&lt;&gt;0,SUMIF(куб!$B:$B,$B400,куб!M:M))))))</f>
        <v>0</v>
      </c>
      <c r="V400" s="13" t="str">
        <f t="shared" si="152"/>
        <v>-</v>
      </c>
      <c r="W400" s="5"/>
      <c r="X400" s="27" t="b">
        <f>IF($G400&lt;&gt;0,SUMIF(куб!$G:$G,$G400,куб!N:N),IF($E400&lt;&gt;0,SUMIF(куб!$E:$E,$E400,куб!N:N),IF($D400&lt;&gt;0,SUMIF(куб!$D:$D,$D400,куб!N:N),IF($C400&lt;&gt;0,SUMIF(куб!$C:$C,$C400,куб!N:N),IF($B400&lt;&gt;0,SUMIF(куб!$B:$B,$B400,куб!N:N))))))</f>
        <v>0</v>
      </c>
      <c r="Y400" s="27" t="b">
        <f>IF($G400&lt;&gt;0,SUMIF(куб!$G:$G,$G400,куб!O:O),IF($E400&lt;&gt;0,SUMIF(куб!$E:$E,$E400,куб!O:O),IF($D400&lt;&gt;0,SUMIF(куб!$D:$D,$D400,куб!O:O),IF($C400&lt;&gt;0,SUMIF(куб!$C:$C,$C400,куб!O:O),IF($B400&lt;&gt;0,SUMIF(куб!$B:$B,$B400,куб!O:O))))))</f>
        <v>0</v>
      </c>
      <c r="Z400" s="13" t="str">
        <f t="shared" si="153"/>
        <v>-</v>
      </c>
      <c r="AA400" s="5"/>
      <c r="AB400" s="33" t="str">
        <f t="shared" si="154"/>
        <v/>
      </c>
      <c r="AC400" s="33" t="str">
        <f t="shared" si="155"/>
        <v/>
      </c>
      <c r="AD400" s="15" t="str">
        <f t="shared" si="156"/>
        <v xml:space="preserve"> </v>
      </c>
      <c r="AE400" s="5"/>
      <c r="AF400" s="27" t="b">
        <f>IF($G400&lt;&gt;0,SUMIF(куб!$G:$G,$G400,куб!R:R),IF($E400&lt;&gt;0,SUMIF(куб!$E:$E,$E400,куб!R:R),IF($D400&lt;&gt;0,SUMIF(куб!$D:$D,$D400,куб!R:R),IF($C400&lt;&gt;0,SUMIF(куб!$C:$C,$C400,куб!R:R),IF($B400&lt;&gt;0,SUMIF(куб!$B:$B,$B400,куб!R:R))))))</f>
        <v>0</v>
      </c>
      <c r="AG400" s="27" t="b">
        <f>IF($G400&lt;&gt;0,SUMIF(куб!$G:$G,$G400,куб!S:S),IF($E400&lt;&gt;0,SUMIF(куб!$E:$E,$E400,куб!S:S),IF($D400&lt;&gt;0,SUMIF(куб!$D:$D,$D400,куб!S:S),IF($C400&lt;&gt;0,SUMIF(куб!$C:$C,$C400,куб!S:S),IF($B400&lt;&gt;0,SUMIF(куб!$B:$B,$B400,куб!S:S))))))</f>
        <v>0</v>
      </c>
      <c r="AH400" s="16" t="str">
        <f t="shared" si="157"/>
        <v>-</v>
      </c>
      <c r="AI400" s="8"/>
      <c r="AJ400" s="27" t="b">
        <f>IF($G400&lt;&gt;0,SUMIF(куб!$G:$G,$G400,куб!T:T),IF($E400&lt;&gt;0,SUMIF(куб!$E:$E,$E400,куб!T:T),IF($D400&lt;&gt;0,SUMIF(куб!$D:$D,$D400,куб!T:T),IF($C400&lt;&gt;0,SUMIF(куб!$C:$C,$C400,куб!T:T),IF($B400&lt;&gt;0,SUMIF(куб!$B:$B,$B400,куб!T:T))))))</f>
        <v>0</v>
      </c>
      <c r="AK400" s="27" t="b">
        <f>IF($G400&lt;&gt;0,SUMIF(куб!$G:$G,$G400,куб!U:U),IF($E400&lt;&gt;0,SUMIF(куб!$E:$E,$E400,куб!U:U),IF($D400&lt;&gt;0,SUMIF(куб!$D:$D,$D400,куб!U:U),IF($C400&lt;&gt;0,SUMIF(куб!$C:$C,$C400,куб!U:U),IF($B400&lt;&gt;0,SUMIF(куб!$B:$B,$B400,куб!U:U))))))</f>
        <v>0</v>
      </c>
      <c r="AL400" s="16" t="str">
        <f t="shared" si="158"/>
        <v>-</v>
      </c>
      <c r="AM400" s="8"/>
      <c r="AN400" s="17" t="str">
        <f t="shared" si="159"/>
        <v xml:space="preserve"> </v>
      </c>
      <c r="AO400" s="17" t="str">
        <f t="shared" si="160"/>
        <v xml:space="preserve"> </v>
      </c>
      <c r="AP400" s="16" t="str">
        <f t="shared" si="161"/>
        <v>-</v>
      </c>
      <c r="AQ400" s="8"/>
      <c r="AR400" s="17" t="str">
        <f t="shared" si="162"/>
        <v>-</v>
      </c>
      <c r="AS400" s="17" t="str">
        <f t="shared" si="163"/>
        <v>-</v>
      </c>
      <c r="AT400" s="13" t="str">
        <f t="shared" si="164"/>
        <v>-</v>
      </c>
      <c r="AU400" s="8"/>
    </row>
    <row r="401" spans="1:47" x14ac:dyDescent="0.25">
      <c r="A401" s="31"/>
      <c r="B401" s="31"/>
      <c r="C401"/>
      <c r="D401" s="31"/>
      <c r="E401"/>
      <c r="F401" s="31"/>
      <c r="G401"/>
      <c r="H401" s="27">
        <f>IF($G401&lt;&gt;0,SUMIF(куб!$G:$G,$G401,куб!H:H),IF($E401&lt;&gt;0,SUMIF(куб!$E:$E,$E401,куб!H:H),IF($D401&lt;&gt;0,SUMIF(куб!$D:$D,$D401,куб!H:H),IF($C401&lt;&gt;0,SUMIF(куб!$C:$C,$C401,куб!H:H),IF($B401&lt;&gt;0,SUMIF(куб!$B:$B,$B401,куб!H:H),IF($G401&lt;&gt;0,SUMIF(куб!$A:$A,$G401,куб!H:H),SUMIF(куб!$A:$A,$G401,куб!H:H)))))))</f>
        <v>0</v>
      </c>
      <c r="I401" s="27">
        <f>IF($G401&lt;&gt;0,SUMIF(куб!$G:$G,$G401,куб!I:I),IF($E401&lt;&gt;0,SUMIF(куб!$E:$E,$E401,куб!I:I),IF($D401&lt;&gt;0,SUMIF(куб!$D:$D,$D401,куб!I:I),IF($C401&lt;&gt;0,SUMIF(куб!$C:$C,$C401,куб!I:I),IF($B401&lt;&gt;0,SUMIF(куб!$B:$B,$B401,куб!I:I),IF($G401&lt;&gt;0,SUMIF(куб!$A:$A,$G401,куб!I:I),SUMIF(куб!$A:$A,$G401,куб!I:I)))))))</f>
        <v>0</v>
      </c>
      <c r="J401" s="19" t="str">
        <f t="shared" si="147"/>
        <v>-</v>
      </c>
      <c r="K401" s="8"/>
      <c r="L401" s="17">
        <f t="shared" si="148"/>
        <v>0</v>
      </c>
      <c r="M401" s="17">
        <f t="shared" si="149"/>
        <v>0</v>
      </c>
      <c r="N401" s="12">
        <f t="shared" si="150"/>
        <v>0</v>
      </c>
      <c r="O401" s="5"/>
      <c r="P401" s="27" t="b">
        <f>IF($G401&lt;&gt;0,SUMIF(куб!$G:$G,$G401,куб!J:J),IF($E401&lt;&gt;0,SUMIF(куб!$E:$E,$E401,куб!J:J),IF($D401&lt;&gt;0,SUMIF(куб!$D:$D,$D401,куб!J:J),IF($C401&lt;&gt;0,SUMIF(куб!$C:$C,$C401,куб!J:J),IF($B401&lt;&gt;0,SUMIF(куб!$B:$B,$B401,куб!J:J))))))</f>
        <v>0</v>
      </c>
      <c r="Q401" s="27" t="b">
        <f>IF($G401&lt;&gt;0,SUMIF(куб!$G:$G,$G401,куб!K:K),IF($E401&lt;&gt;0,SUMIF(куб!$E:$E,$E401,куб!K:K),IF($D401&lt;&gt;0,SUMIF(куб!$D:$D,$D401,куб!K:K),IF($C401&lt;&gt;0,SUMIF(куб!$C:$C,$C401,куб!K:K),IF($B401&lt;&gt;0,SUMIF(куб!$B:$B,$B401,куб!K:K))))))</f>
        <v>0</v>
      </c>
      <c r="R401" s="13" t="str">
        <f t="shared" si="151"/>
        <v>-</v>
      </c>
      <c r="S401" s="5"/>
      <c r="T401" s="27" t="b">
        <f>IF($G401&lt;&gt;0,SUMIF(куб!$G:$G,$G401,куб!L:L),IF($E401&lt;&gt;0,SUMIF(куб!$E:$E,$E401,куб!L:L),IF($D401&lt;&gt;0,SUMIF(куб!$D:$D,$D401,куб!L:L),IF($C401&lt;&gt;0,SUMIF(куб!$C:$C,$C401,куб!L:L),IF($B401&lt;&gt;0,SUMIF(куб!$B:$B,$B401,куб!L:L))))))</f>
        <v>0</v>
      </c>
      <c r="U401" s="27" t="b">
        <f>IF($G401&lt;&gt;0,SUMIF(куб!$G:$G,$G401,куб!M:M),IF($E401&lt;&gt;0,SUMIF(куб!$E:$E,$E401,куб!M:M),IF($D401&lt;&gt;0,SUMIF(куб!$D:$D,$D401,куб!M:M),IF($C401&lt;&gt;0,SUMIF(куб!$C:$C,$C401,куб!M:M),IF($B401&lt;&gt;0,SUMIF(куб!$B:$B,$B401,куб!M:M))))))</f>
        <v>0</v>
      </c>
      <c r="V401" s="13" t="str">
        <f t="shared" si="152"/>
        <v>-</v>
      </c>
      <c r="W401" s="5"/>
      <c r="X401" s="27" t="b">
        <f>IF($G401&lt;&gt;0,SUMIF(куб!$G:$G,$G401,куб!N:N),IF($E401&lt;&gt;0,SUMIF(куб!$E:$E,$E401,куб!N:N),IF($D401&lt;&gt;0,SUMIF(куб!$D:$D,$D401,куб!N:N),IF($C401&lt;&gt;0,SUMIF(куб!$C:$C,$C401,куб!N:N),IF($B401&lt;&gt;0,SUMIF(куб!$B:$B,$B401,куб!N:N))))))</f>
        <v>0</v>
      </c>
      <c r="Y401" s="27" t="b">
        <f>IF($G401&lt;&gt;0,SUMIF(куб!$G:$G,$G401,куб!O:O),IF($E401&lt;&gt;0,SUMIF(куб!$E:$E,$E401,куб!O:O),IF($D401&lt;&gt;0,SUMIF(куб!$D:$D,$D401,куб!O:O),IF($C401&lt;&gt;0,SUMIF(куб!$C:$C,$C401,куб!O:O),IF($B401&lt;&gt;0,SUMIF(куб!$B:$B,$B401,куб!O:O))))))</f>
        <v>0</v>
      </c>
      <c r="Z401" s="13" t="str">
        <f t="shared" si="153"/>
        <v>-</v>
      </c>
      <c r="AA401" s="5"/>
      <c r="AB401" s="33" t="str">
        <f t="shared" si="154"/>
        <v/>
      </c>
      <c r="AC401" s="33" t="str">
        <f t="shared" si="155"/>
        <v/>
      </c>
      <c r="AD401" s="15" t="str">
        <f t="shared" si="156"/>
        <v xml:space="preserve"> </v>
      </c>
      <c r="AE401" s="5"/>
      <c r="AF401" s="27" t="b">
        <f>IF($G401&lt;&gt;0,SUMIF(куб!$G:$G,$G401,куб!R:R),IF($E401&lt;&gt;0,SUMIF(куб!$E:$E,$E401,куб!R:R),IF($D401&lt;&gt;0,SUMIF(куб!$D:$D,$D401,куб!R:R),IF($C401&lt;&gt;0,SUMIF(куб!$C:$C,$C401,куб!R:R),IF($B401&lt;&gt;0,SUMIF(куб!$B:$B,$B401,куб!R:R))))))</f>
        <v>0</v>
      </c>
      <c r="AG401" s="27" t="b">
        <f>IF($G401&lt;&gt;0,SUMIF(куб!$G:$G,$G401,куб!S:S),IF($E401&lt;&gt;0,SUMIF(куб!$E:$E,$E401,куб!S:S),IF($D401&lt;&gt;0,SUMIF(куб!$D:$D,$D401,куб!S:S),IF($C401&lt;&gt;0,SUMIF(куб!$C:$C,$C401,куб!S:S),IF($B401&lt;&gt;0,SUMIF(куб!$B:$B,$B401,куб!S:S))))))</f>
        <v>0</v>
      </c>
      <c r="AH401" s="16" t="str">
        <f t="shared" si="157"/>
        <v>-</v>
      </c>
      <c r="AI401" s="8"/>
      <c r="AJ401" s="27" t="b">
        <f>IF($G401&lt;&gt;0,SUMIF(куб!$G:$G,$G401,куб!T:T),IF($E401&lt;&gt;0,SUMIF(куб!$E:$E,$E401,куб!T:T),IF($D401&lt;&gt;0,SUMIF(куб!$D:$D,$D401,куб!T:T),IF($C401&lt;&gt;0,SUMIF(куб!$C:$C,$C401,куб!T:T),IF($B401&lt;&gt;0,SUMIF(куб!$B:$B,$B401,куб!T:T))))))</f>
        <v>0</v>
      </c>
      <c r="AK401" s="27" t="b">
        <f>IF($G401&lt;&gt;0,SUMIF(куб!$G:$G,$G401,куб!U:U),IF($E401&lt;&gt;0,SUMIF(куб!$E:$E,$E401,куб!U:U),IF($D401&lt;&gt;0,SUMIF(куб!$D:$D,$D401,куб!U:U),IF($C401&lt;&gt;0,SUMIF(куб!$C:$C,$C401,куб!U:U),IF($B401&lt;&gt;0,SUMIF(куб!$B:$B,$B401,куб!U:U))))))</f>
        <v>0</v>
      </c>
      <c r="AL401" s="16" t="str">
        <f t="shared" si="158"/>
        <v>-</v>
      </c>
      <c r="AM401" s="8"/>
      <c r="AN401" s="17" t="str">
        <f t="shared" si="159"/>
        <v xml:space="preserve"> </v>
      </c>
      <c r="AO401" s="17" t="str">
        <f t="shared" si="160"/>
        <v xml:space="preserve"> </v>
      </c>
      <c r="AP401" s="16" t="str">
        <f t="shared" si="161"/>
        <v>-</v>
      </c>
      <c r="AQ401" s="8"/>
      <c r="AR401" s="17" t="str">
        <f t="shared" si="162"/>
        <v>-</v>
      </c>
      <c r="AS401" s="17" t="str">
        <f t="shared" si="163"/>
        <v>-</v>
      </c>
      <c r="AT401" s="13" t="str">
        <f t="shared" si="164"/>
        <v>-</v>
      </c>
      <c r="AU401" s="8"/>
    </row>
    <row r="402" spans="1:47" x14ac:dyDescent="0.25">
      <c r="A402" s="31"/>
      <c r="B402" s="31"/>
      <c r="C402"/>
      <c r="D402" s="31"/>
      <c r="E402"/>
      <c r="F402" s="31"/>
      <c r="G402"/>
      <c r="H402" s="27">
        <f>IF($G402&lt;&gt;0,SUMIF(куб!$G:$G,$G402,куб!H:H),IF($E402&lt;&gt;0,SUMIF(куб!$E:$E,$E402,куб!H:H),IF($D402&lt;&gt;0,SUMIF(куб!$D:$D,$D402,куб!H:H),IF($C402&lt;&gt;0,SUMIF(куб!$C:$C,$C402,куб!H:H),IF($B402&lt;&gt;0,SUMIF(куб!$B:$B,$B402,куб!H:H),IF($G402&lt;&gt;0,SUMIF(куб!$A:$A,$G402,куб!H:H),SUMIF(куб!$A:$A,$G402,куб!H:H)))))))</f>
        <v>0</v>
      </c>
      <c r="I402" s="27">
        <f>IF($G402&lt;&gt;0,SUMIF(куб!$G:$G,$G402,куб!I:I),IF($E402&lt;&gt;0,SUMIF(куб!$E:$E,$E402,куб!I:I),IF($D402&lt;&gt;0,SUMIF(куб!$D:$D,$D402,куб!I:I),IF($C402&lt;&gt;0,SUMIF(куб!$C:$C,$C402,куб!I:I),IF($B402&lt;&gt;0,SUMIF(куб!$B:$B,$B402,куб!I:I),IF($G402&lt;&gt;0,SUMIF(куб!$A:$A,$G402,куб!I:I),SUMIF(куб!$A:$A,$G402,куб!I:I)))))))</f>
        <v>0</v>
      </c>
      <c r="J402" s="19" t="str">
        <f t="shared" si="147"/>
        <v>-</v>
      </c>
      <c r="K402" s="8"/>
      <c r="L402" s="17">
        <f t="shared" si="148"/>
        <v>0</v>
      </c>
      <c r="M402" s="17">
        <f t="shared" si="149"/>
        <v>0</v>
      </c>
      <c r="N402" s="12">
        <f t="shared" si="150"/>
        <v>0</v>
      </c>
      <c r="O402" s="5"/>
      <c r="P402" s="27" t="b">
        <f>IF($G402&lt;&gt;0,SUMIF(куб!$G:$G,$G402,куб!J:J),IF($E402&lt;&gt;0,SUMIF(куб!$E:$E,$E402,куб!J:J),IF($D402&lt;&gt;0,SUMIF(куб!$D:$D,$D402,куб!J:J),IF($C402&lt;&gt;0,SUMIF(куб!$C:$C,$C402,куб!J:J),IF($B402&lt;&gt;0,SUMIF(куб!$B:$B,$B402,куб!J:J))))))</f>
        <v>0</v>
      </c>
      <c r="Q402" s="27" t="b">
        <f>IF($G402&lt;&gt;0,SUMIF(куб!$G:$G,$G402,куб!K:K),IF($E402&lt;&gt;0,SUMIF(куб!$E:$E,$E402,куб!K:K),IF($D402&lt;&gt;0,SUMIF(куб!$D:$D,$D402,куб!K:K),IF($C402&lt;&gt;0,SUMIF(куб!$C:$C,$C402,куб!K:K),IF($B402&lt;&gt;0,SUMIF(куб!$B:$B,$B402,куб!K:K))))))</f>
        <v>0</v>
      </c>
      <c r="R402" s="13" t="str">
        <f t="shared" si="151"/>
        <v>-</v>
      </c>
      <c r="S402" s="5"/>
      <c r="T402" s="27" t="b">
        <f>IF($G402&lt;&gt;0,SUMIF(куб!$G:$G,$G402,куб!L:L),IF($E402&lt;&gt;0,SUMIF(куб!$E:$E,$E402,куб!L:L),IF($D402&lt;&gt;0,SUMIF(куб!$D:$D,$D402,куб!L:L),IF($C402&lt;&gt;0,SUMIF(куб!$C:$C,$C402,куб!L:L),IF($B402&lt;&gt;0,SUMIF(куб!$B:$B,$B402,куб!L:L))))))</f>
        <v>0</v>
      </c>
      <c r="U402" s="27" t="b">
        <f>IF($G402&lt;&gt;0,SUMIF(куб!$G:$G,$G402,куб!M:M),IF($E402&lt;&gt;0,SUMIF(куб!$E:$E,$E402,куб!M:M),IF($D402&lt;&gt;0,SUMIF(куб!$D:$D,$D402,куб!M:M),IF($C402&lt;&gt;0,SUMIF(куб!$C:$C,$C402,куб!M:M),IF($B402&lt;&gt;0,SUMIF(куб!$B:$B,$B402,куб!M:M))))))</f>
        <v>0</v>
      </c>
      <c r="V402" s="13" t="str">
        <f t="shared" si="152"/>
        <v>-</v>
      </c>
      <c r="W402" s="5"/>
      <c r="X402" s="27" t="b">
        <f>IF($G402&lt;&gt;0,SUMIF(куб!$G:$G,$G402,куб!N:N),IF($E402&lt;&gt;0,SUMIF(куб!$E:$E,$E402,куб!N:N),IF($D402&lt;&gt;0,SUMIF(куб!$D:$D,$D402,куб!N:N),IF($C402&lt;&gt;0,SUMIF(куб!$C:$C,$C402,куб!N:N),IF($B402&lt;&gt;0,SUMIF(куб!$B:$B,$B402,куб!N:N))))))</f>
        <v>0</v>
      </c>
      <c r="Y402" s="27" t="b">
        <f>IF($G402&lt;&gt;0,SUMIF(куб!$G:$G,$G402,куб!O:O),IF($E402&lt;&gt;0,SUMIF(куб!$E:$E,$E402,куб!O:O),IF($D402&lt;&gt;0,SUMIF(куб!$D:$D,$D402,куб!O:O),IF($C402&lt;&gt;0,SUMIF(куб!$C:$C,$C402,куб!O:O),IF($B402&lt;&gt;0,SUMIF(куб!$B:$B,$B402,куб!O:O))))))</f>
        <v>0</v>
      </c>
      <c r="Z402" s="13" t="str">
        <f t="shared" si="153"/>
        <v>-</v>
      </c>
      <c r="AA402" s="5"/>
      <c r="AB402" s="33" t="str">
        <f t="shared" si="154"/>
        <v/>
      </c>
      <c r="AC402" s="33" t="str">
        <f t="shared" si="155"/>
        <v/>
      </c>
      <c r="AD402" s="15" t="str">
        <f t="shared" si="156"/>
        <v xml:space="preserve"> </v>
      </c>
      <c r="AE402" s="5"/>
      <c r="AF402" s="27" t="b">
        <f>IF($G402&lt;&gt;0,SUMIF(куб!$G:$G,$G402,куб!R:R),IF($E402&lt;&gt;0,SUMIF(куб!$E:$E,$E402,куб!R:R),IF($D402&lt;&gt;0,SUMIF(куб!$D:$D,$D402,куб!R:R),IF($C402&lt;&gt;0,SUMIF(куб!$C:$C,$C402,куб!R:R),IF($B402&lt;&gt;0,SUMIF(куб!$B:$B,$B402,куб!R:R))))))</f>
        <v>0</v>
      </c>
      <c r="AG402" s="27" t="b">
        <f>IF($G402&lt;&gt;0,SUMIF(куб!$G:$G,$G402,куб!S:S),IF($E402&lt;&gt;0,SUMIF(куб!$E:$E,$E402,куб!S:S),IF($D402&lt;&gt;0,SUMIF(куб!$D:$D,$D402,куб!S:S),IF($C402&lt;&gt;0,SUMIF(куб!$C:$C,$C402,куб!S:S),IF($B402&lt;&gt;0,SUMIF(куб!$B:$B,$B402,куб!S:S))))))</f>
        <v>0</v>
      </c>
      <c r="AH402" s="16" t="str">
        <f t="shared" si="157"/>
        <v>-</v>
      </c>
      <c r="AI402" s="8"/>
      <c r="AJ402" s="27" t="b">
        <f>IF($G402&lt;&gt;0,SUMIF(куб!$G:$G,$G402,куб!T:T),IF($E402&lt;&gt;0,SUMIF(куб!$E:$E,$E402,куб!T:T),IF($D402&lt;&gt;0,SUMIF(куб!$D:$D,$D402,куб!T:T),IF($C402&lt;&gt;0,SUMIF(куб!$C:$C,$C402,куб!T:T),IF($B402&lt;&gt;0,SUMIF(куб!$B:$B,$B402,куб!T:T))))))</f>
        <v>0</v>
      </c>
      <c r="AK402" s="27" t="b">
        <f>IF($G402&lt;&gt;0,SUMIF(куб!$G:$G,$G402,куб!U:U),IF($E402&lt;&gt;0,SUMIF(куб!$E:$E,$E402,куб!U:U),IF($D402&lt;&gt;0,SUMIF(куб!$D:$D,$D402,куб!U:U),IF($C402&lt;&gt;0,SUMIF(куб!$C:$C,$C402,куб!U:U),IF($B402&lt;&gt;0,SUMIF(куб!$B:$B,$B402,куб!U:U))))))</f>
        <v>0</v>
      </c>
      <c r="AL402" s="16" t="str">
        <f t="shared" si="158"/>
        <v>-</v>
      </c>
      <c r="AM402" s="8"/>
      <c r="AN402" s="17" t="str">
        <f t="shared" si="159"/>
        <v xml:space="preserve"> </v>
      </c>
      <c r="AO402" s="17" t="str">
        <f t="shared" si="160"/>
        <v xml:space="preserve"> </v>
      </c>
      <c r="AP402" s="16" t="str">
        <f t="shared" si="161"/>
        <v>-</v>
      </c>
      <c r="AQ402" s="8"/>
      <c r="AR402" s="17" t="str">
        <f t="shared" si="162"/>
        <v>-</v>
      </c>
      <c r="AS402" s="17" t="str">
        <f t="shared" si="163"/>
        <v>-</v>
      </c>
      <c r="AT402" s="13" t="str">
        <f t="shared" si="164"/>
        <v>-</v>
      </c>
      <c r="AU402" s="8"/>
    </row>
    <row r="403" spans="1:47" x14ac:dyDescent="0.25">
      <c r="A403" s="31"/>
      <c r="B403" s="31"/>
      <c r="C403"/>
      <c r="D403" s="31"/>
      <c r="E403"/>
      <c r="F403" s="31"/>
      <c r="G403"/>
      <c r="H403" s="27">
        <f>IF($G403&lt;&gt;0,SUMIF(куб!$G:$G,$G403,куб!H:H),IF($E403&lt;&gt;0,SUMIF(куб!$E:$E,$E403,куб!H:H),IF($D403&lt;&gt;0,SUMIF(куб!$D:$D,$D403,куб!H:H),IF($C403&lt;&gt;0,SUMIF(куб!$C:$C,$C403,куб!H:H),IF($B403&lt;&gt;0,SUMIF(куб!$B:$B,$B403,куб!H:H),IF($G403&lt;&gt;0,SUMIF(куб!$A:$A,$G403,куб!H:H),SUMIF(куб!$A:$A,$G403,куб!H:H)))))))</f>
        <v>0</v>
      </c>
      <c r="I403" s="27">
        <f>IF($G403&lt;&gt;0,SUMIF(куб!$G:$G,$G403,куб!I:I),IF($E403&lt;&gt;0,SUMIF(куб!$E:$E,$E403,куб!I:I),IF($D403&lt;&gt;0,SUMIF(куб!$D:$D,$D403,куб!I:I),IF($C403&lt;&gt;0,SUMIF(куб!$C:$C,$C403,куб!I:I),IF($B403&lt;&gt;0,SUMIF(куб!$B:$B,$B403,куб!I:I),IF($G403&lt;&gt;0,SUMIF(куб!$A:$A,$G403,куб!I:I),SUMIF(куб!$A:$A,$G403,куб!I:I)))))))</f>
        <v>0</v>
      </c>
      <c r="J403" s="19" t="str">
        <f t="shared" si="147"/>
        <v>-</v>
      </c>
      <c r="K403" s="8"/>
      <c r="L403" s="17">
        <f t="shared" si="148"/>
        <v>0</v>
      </c>
      <c r="M403" s="17">
        <f t="shared" si="149"/>
        <v>0</v>
      </c>
      <c r="N403" s="12">
        <f t="shared" si="150"/>
        <v>0</v>
      </c>
      <c r="O403" s="5"/>
      <c r="P403" s="27" t="b">
        <f>IF($G403&lt;&gt;0,SUMIF(куб!$G:$G,$G403,куб!J:J),IF($E403&lt;&gt;0,SUMIF(куб!$E:$E,$E403,куб!J:J),IF($D403&lt;&gt;0,SUMIF(куб!$D:$D,$D403,куб!J:J),IF($C403&lt;&gt;0,SUMIF(куб!$C:$C,$C403,куб!J:J),IF($B403&lt;&gt;0,SUMIF(куб!$B:$B,$B403,куб!J:J))))))</f>
        <v>0</v>
      </c>
      <c r="Q403" s="27" t="b">
        <f>IF($G403&lt;&gt;0,SUMIF(куб!$G:$G,$G403,куб!K:K),IF($E403&lt;&gt;0,SUMIF(куб!$E:$E,$E403,куб!K:K),IF($D403&lt;&gt;0,SUMIF(куб!$D:$D,$D403,куб!K:K),IF($C403&lt;&gt;0,SUMIF(куб!$C:$C,$C403,куб!K:K),IF($B403&lt;&gt;0,SUMIF(куб!$B:$B,$B403,куб!K:K))))))</f>
        <v>0</v>
      </c>
      <c r="R403" s="13" t="str">
        <f t="shared" si="151"/>
        <v>-</v>
      </c>
      <c r="S403" s="5"/>
      <c r="T403" s="27" t="b">
        <f>IF($G403&lt;&gt;0,SUMIF(куб!$G:$G,$G403,куб!L:L),IF($E403&lt;&gt;0,SUMIF(куб!$E:$E,$E403,куб!L:L),IF($D403&lt;&gt;0,SUMIF(куб!$D:$D,$D403,куб!L:L),IF($C403&lt;&gt;0,SUMIF(куб!$C:$C,$C403,куб!L:L),IF($B403&lt;&gt;0,SUMIF(куб!$B:$B,$B403,куб!L:L))))))</f>
        <v>0</v>
      </c>
      <c r="U403" s="27" t="b">
        <f>IF($G403&lt;&gt;0,SUMIF(куб!$G:$G,$G403,куб!M:M),IF($E403&lt;&gt;0,SUMIF(куб!$E:$E,$E403,куб!M:M),IF($D403&lt;&gt;0,SUMIF(куб!$D:$D,$D403,куб!M:M),IF($C403&lt;&gt;0,SUMIF(куб!$C:$C,$C403,куб!M:M),IF($B403&lt;&gt;0,SUMIF(куб!$B:$B,$B403,куб!M:M))))))</f>
        <v>0</v>
      </c>
      <c r="V403" s="13" t="str">
        <f t="shared" si="152"/>
        <v>-</v>
      </c>
      <c r="W403" s="5"/>
      <c r="X403" s="27" t="b">
        <f>IF($G403&lt;&gt;0,SUMIF(куб!$G:$G,$G403,куб!N:N),IF($E403&lt;&gt;0,SUMIF(куб!$E:$E,$E403,куб!N:N),IF($D403&lt;&gt;0,SUMIF(куб!$D:$D,$D403,куб!N:N),IF($C403&lt;&gt;0,SUMIF(куб!$C:$C,$C403,куб!N:N),IF($B403&lt;&gt;0,SUMIF(куб!$B:$B,$B403,куб!N:N))))))</f>
        <v>0</v>
      </c>
      <c r="Y403" s="27" t="b">
        <f>IF($G403&lt;&gt;0,SUMIF(куб!$G:$G,$G403,куб!O:O),IF($E403&lt;&gt;0,SUMIF(куб!$E:$E,$E403,куб!O:O),IF($D403&lt;&gt;0,SUMIF(куб!$D:$D,$D403,куб!O:O),IF($C403&lt;&gt;0,SUMIF(куб!$C:$C,$C403,куб!O:O),IF($B403&lt;&gt;0,SUMIF(куб!$B:$B,$B403,куб!O:O))))))</f>
        <v>0</v>
      </c>
      <c r="Z403" s="13" t="str">
        <f t="shared" si="153"/>
        <v>-</v>
      </c>
      <c r="AA403" s="5"/>
      <c r="AB403" s="33" t="str">
        <f t="shared" si="154"/>
        <v/>
      </c>
      <c r="AC403" s="33" t="str">
        <f t="shared" si="155"/>
        <v/>
      </c>
      <c r="AD403" s="15" t="str">
        <f t="shared" si="156"/>
        <v xml:space="preserve"> </v>
      </c>
      <c r="AE403" s="5"/>
      <c r="AF403" s="27" t="b">
        <f>IF($G403&lt;&gt;0,SUMIF(куб!$G:$G,$G403,куб!R:R),IF($E403&lt;&gt;0,SUMIF(куб!$E:$E,$E403,куб!R:R),IF($D403&lt;&gt;0,SUMIF(куб!$D:$D,$D403,куб!R:R),IF($C403&lt;&gt;0,SUMIF(куб!$C:$C,$C403,куб!R:R),IF($B403&lt;&gt;0,SUMIF(куб!$B:$B,$B403,куб!R:R))))))</f>
        <v>0</v>
      </c>
      <c r="AG403" s="27" t="b">
        <f>IF($G403&lt;&gt;0,SUMIF(куб!$G:$G,$G403,куб!S:S),IF($E403&lt;&gt;0,SUMIF(куб!$E:$E,$E403,куб!S:S),IF($D403&lt;&gt;0,SUMIF(куб!$D:$D,$D403,куб!S:S),IF($C403&lt;&gt;0,SUMIF(куб!$C:$C,$C403,куб!S:S),IF($B403&lt;&gt;0,SUMIF(куб!$B:$B,$B403,куб!S:S))))))</f>
        <v>0</v>
      </c>
      <c r="AH403" s="16" t="str">
        <f t="shared" si="157"/>
        <v>-</v>
      </c>
      <c r="AI403" s="8"/>
      <c r="AJ403" s="27" t="b">
        <f>IF($G403&lt;&gt;0,SUMIF(куб!$G:$G,$G403,куб!T:T),IF($E403&lt;&gt;0,SUMIF(куб!$E:$E,$E403,куб!T:T),IF($D403&lt;&gt;0,SUMIF(куб!$D:$D,$D403,куб!T:T),IF($C403&lt;&gt;0,SUMIF(куб!$C:$C,$C403,куб!T:T),IF($B403&lt;&gt;0,SUMIF(куб!$B:$B,$B403,куб!T:T))))))</f>
        <v>0</v>
      </c>
      <c r="AK403" s="27" t="b">
        <f>IF($G403&lt;&gt;0,SUMIF(куб!$G:$G,$G403,куб!U:U),IF($E403&lt;&gt;0,SUMIF(куб!$E:$E,$E403,куб!U:U),IF($D403&lt;&gt;0,SUMIF(куб!$D:$D,$D403,куб!U:U),IF($C403&lt;&gt;0,SUMIF(куб!$C:$C,$C403,куб!U:U),IF($B403&lt;&gt;0,SUMIF(куб!$B:$B,$B403,куб!U:U))))))</f>
        <v>0</v>
      </c>
      <c r="AL403" s="16" t="str">
        <f t="shared" si="158"/>
        <v>-</v>
      </c>
      <c r="AM403" s="8"/>
      <c r="AN403" s="17" t="str">
        <f t="shared" si="159"/>
        <v xml:space="preserve"> </v>
      </c>
      <c r="AO403" s="17" t="str">
        <f t="shared" si="160"/>
        <v xml:space="preserve"> </v>
      </c>
      <c r="AP403" s="16" t="str">
        <f t="shared" si="161"/>
        <v>-</v>
      </c>
      <c r="AQ403" s="8"/>
      <c r="AR403" s="17" t="str">
        <f t="shared" si="162"/>
        <v>-</v>
      </c>
      <c r="AS403" s="17" t="str">
        <f t="shared" si="163"/>
        <v>-</v>
      </c>
      <c r="AT403" s="13" t="str">
        <f t="shared" si="164"/>
        <v>-</v>
      </c>
      <c r="AU403" s="8"/>
    </row>
    <row r="404" spans="1:47" x14ac:dyDescent="0.25">
      <c r="A404" s="31"/>
      <c r="B404" s="31"/>
      <c r="C404"/>
      <c r="D404" s="31"/>
      <c r="E404"/>
      <c r="F404" s="31"/>
      <c r="G404"/>
      <c r="H404" s="27">
        <f>IF($G404&lt;&gt;0,SUMIF(куб!$G:$G,$G404,куб!H:H),IF($E404&lt;&gt;0,SUMIF(куб!$E:$E,$E404,куб!H:H),IF($D404&lt;&gt;0,SUMIF(куб!$D:$D,$D404,куб!H:H),IF($C404&lt;&gt;0,SUMIF(куб!$C:$C,$C404,куб!H:H),IF($B404&lt;&gt;0,SUMIF(куб!$B:$B,$B404,куб!H:H),IF($G404&lt;&gt;0,SUMIF(куб!$A:$A,$G404,куб!H:H),SUMIF(куб!$A:$A,$G404,куб!H:H)))))))</f>
        <v>0</v>
      </c>
      <c r="I404" s="27">
        <f>IF($G404&lt;&gt;0,SUMIF(куб!$G:$G,$G404,куб!I:I),IF($E404&lt;&gt;0,SUMIF(куб!$E:$E,$E404,куб!I:I),IF($D404&lt;&gt;0,SUMIF(куб!$D:$D,$D404,куб!I:I),IF($C404&lt;&gt;0,SUMIF(куб!$C:$C,$C404,куб!I:I),IF($B404&lt;&gt;0,SUMIF(куб!$B:$B,$B404,куб!I:I),IF($G404&lt;&gt;0,SUMIF(куб!$A:$A,$G404,куб!I:I),SUMIF(куб!$A:$A,$G404,куб!I:I)))))))</f>
        <v>0</v>
      </c>
      <c r="J404" s="19" t="str">
        <f t="shared" si="147"/>
        <v>-</v>
      </c>
      <c r="K404" s="8"/>
      <c r="L404" s="17">
        <f t="shared" si="148"/>
        <v>0</v>
      </c>
      <c r="M404" s="17">
        <f t="shared" si="149"/>
        <v>0</v>
      </c>
      <c r="N404" s="12">
        <f t="shared" si="150"/>
        <v>0</v>
      </c>
      <c r="O404" s="5"/>
      <c r="P404" s="27" t="b">
        <f>IF($G404&lt;&gt;0,SUMIF(куб!$G:$G,$G404,куб!J:J),IF($E404&lt;&gt;0,SUMIF(куб!$E:$E,$E404,куб!J:J),IF($D404&lt;&gt;0,SUMIF(куб!$D:$D,$D404,куб!J:J),IF($C404&lt;&gt;0,SUMIF(куб!$C:$C,$C404,куб!J:J),IF($B404&lt;&gt;0,SUMIF(куб!$B:$B,$B404,куб!J:J))))))</f>
        <v>0</v>
      </c>
      <c r="Q404" s="27" t="b">
        <f>IF($G404&lt;&gt;0,SUMIF(куб!$G:$G,$G404,куб!K:K),IF($E404&lt;&gt;0,SUMIF(куб!$E:$E,$E404,куб!K:K),IF($D404&lt;&gt;0,SUMIF(куб!$D:$D,$D404,куб!K:K),IF($C404&lt;&gt;0,SUMIF(куб!$C:$C,$C404,куб!K:K),IF($B404&lt;&gt;0,SUMIF(куб!$B:$B,$B404,куб!K:K))))))</f>
        <v>0</v>
      </c>
      <c r="R404" s="13" t="str">
        <f t="shared" si="151"/>
        <v>-</v>
      </c>
      <c r="S404" s="5"/>
      <c r="T404" s="27" t="b">
        <f>IF($G404&lt;&gt;0,SUMIF(куб!$G:$G,$G404,куб!L:L),IF($E404&lt;&gt;0,SUMIF(куб!$E:$E,$E404,куб!L:L),IF($D404&lt;&gt;0,SUMIF(куб!$D:$D,$D404,куб!L:L),IF($C404&lt;&gt;0,SUMIF(куб!$C:$C,$C404,куб!L:L),IF($B404&lt;&gt;0,SUMIF(куб!$B:$B,$B404,куб!L:L))))))</f>
        <v>0</v>
      </c>
      <c r="U404" s="27" t="b">
        <f>IF($G404&lt;&gt;0,SUMIF(куб!$G:$G,$G404,куб!M:M),IF($E404&lt;&gt;0,SUMIF(куб!$E:$E,$E404,куб!M:M),IF($D404&lt;&gt;0,SUMIF(куб!$D:$D,$D404,куб!M:M),IF($C404&lt;&gt;0,SUMIF(куб!$C:$C,$C404,куб!M:M),IF($B404&lt;&gt;0,SUMIF(куб!$B:$B,$B404,куб!M:M))))))</f>
        <v>0</v>
      </c>
      <c r="V404" s="13" t="str">
        <f t="shared" si="152"/>
        <v>-</v>
      </c>
      <c r="W404" s="5"/>
      <c r="X404" s="27" t="b">
        <f>IF($G404&lt;&gt;0,SUMIF(куб!$G:$G,$G404,куб!N:N),IF($E404&lt;&gt;0,SUMIF(куб!$E:$E,$E404,куб!N:N),IF($D404&lt;&gt;0,SUMIF(куб!$D:$D,$D404,куб!N:N),IF($C404&lt;&gt;0,SUMIF(куб!$C:$C,$C404,куб!N:N),IF($B404&lt;&gt;0,SUMIF(куб!$B:$B,$B404,куб!N:N))))))</f>
        <v>0</v>
      </c>
      <c r="Y404" s="27" t="b">
        <f>IF($G404&lt;&gt;0,SUMIF(куб!$G:$G,$G404,куб!O:O),IF($E404&lt;&gt;0,SUMIF(куб!$E:$E,$E404,куб!O:O),IF($D404&lt;&gt;0,SUMIF(куб!$D:$D,$D404,куб!O:O),IF($C404&lt;&gt;0,SUMIF(куб!$C:$C,$C404,куб!O:O),IF($B404&lt;&gt;0,SUMIF(куб!$B:$B,$B404,куб!O:O))))))</f>
        <v>0</v>
      </c>
      <c r="Z404" s="13" t="str">
        <f t="shared" si="153"/>
        <v>-</v>
      </c>
      <c r="AA404" s="5"/>
      <c r="AB404" s="33" t="str">
        <f t="shared" si="154"/>
        <v/>
      </c>
      <c r="AC404" s="33" t="str">
        <f t="shared" si="155"/>
        <v/>
      </c>
      <c r="AD404" s="15" t="str">
        <f t="shared" si="156"/>
        <v xml:space="preserve"> </v>
      </c>
      <c r="AE404" s="5"/>
      <c r="AF404" s="27" t="b">
        <f>IF($G404&lt;&gt;0,SUMIF(куб!$G:$G,$G404,куб!R:R),IF($E404&lt;&gt;0,SUMIF(куб!$E:$E,$E404,куб!R:R),IF($D404&lt;&gt;0,SUMIF(куб!$D:$D,$D404,куб!R:R),IF($C404&lt;&gt;0,SUMIF(куб!$C:$C,$C404,куб!R:R),IF($B404&lt;&gt;0,SUMIF(куб!$B:$B,$B404,куб!R:R))))))</f>
        <v>0</v>
      </c>
      <c r="AG404" s="27" t="b">
        <f>IF($G404&lt;&gt;0,SUMIF(куб!$G:$G,$G404,куб!S:S),IF($E404&lt;&gt;0,SUMIF(куб!$E:$E,$E404,куб!S:S),IF($D404&lt;&gt;0,SUMIF(куб!$D:$D,$D404,куб!S:S),IF($C404&lt;&gt;0,SUMIF(куб!$C:$C,$C404,куб!S:S),IF($B404&lt;&gt;0,SUMIF(куб!$B:$B,$B404,куб!S:S))))))</f>
        <v>0</v>
      </c>
      <c r="AH404" s="16" t="str">
        <f t="shared" si="157"/>
        <v>-</v>
      </c>
      <c r="AI404" s="8"/>
      <c r="AJ404" s="27" t="b">
        <f>IF($G404&lt;&gt;0,SUMIF(куб!$G:$G,$G404,куб!T:T),IF($E404&lt;&gt;0,SUMIF(куб!$E:$E,$E404,куб!T:T),IF($D404&lt;&gt;0,SUMIF(куб!$D:$D,$D404,куб!T:T),IF($C404&lt;&gt;0,SUMIF(куб!$C:$C,$C404,куб!T:T),IF($B404&lt;&gt;0,SUMIF(куб!$B:$B,$B404,куб!T:T))))))</f>
        <v>0</v>
      </c>
      <c r="AK404" s="27" t="b">
        <f>IF($G404&lt;&gt;0,SUMIF(куб!$G:$G,$G404,куб!U:U),IF($E404&lt;&gt;0,SUMIF(куб!$E:$E,$E404,куб!U:U),IF($D404&lt;&gt;0,SUMIF(куб!$D:$D,$D404,куб!U:U),IF($C404&lt;&gt;0,SUMIF(куб!$C:$C,$C404,куб!U:U),IF($B404&lt;&gt;0,SUMIF(куб!$B:$B,$B404,куб!U:U))))))</f>
        <v>0</v>
      </c>
      <c r="AL404" s="16" t="str">
        <f t="shared" si="158"/>
        <v>-</v>
      </c>
      <c r="AM404" s="8"/>
      <c r="AN404" s="17" t="str">
        <f t="shared" si="159"/>
        <v xml:space="preserve"> </v>
      </c>
      <c r="AO404" s="17" t="str">
        <f t="shared" si="160"/>
        <v xml:space="preserve"> </v>
      </c>
      <c r="AP404" s="16" t="str">
        <f t="shared" si="161"/>
        <v>-</v>
      </c>
      <c r="AQ404" s="8"/>
      <c r="AR404" s="17" t="str">
        <f t="shared" si="162"/>
        <v>-</v>
      </c>
      <c r="AS404" s="17" t="str">
        <f t="shared" si="163"/>
        <v>-</v>
      </c>
      <c r="AT404" s="13" t="str">
        <f t="shared" si="164"/>
        <v>-</v>
      </c>
      <c r="AU404" s="8"/>
    </row>
    <row r="405" spans="1:47" x14ac:dyDescent="0.25">
      <c r="A405" s="31"/>
      <c r="B405" s="31"/>
      <c r="C405"/>
      <c r="D405" s="31"/>
      <c r="E405"/>
      <c r="F405" s="31"/>
      <c r="G405"/>
      <c r="H405" s="27">
        <f>IF($G405&lt;&gt;0,SUMIF(куб!$G:$G,$G405,куб!H:H),IF($E405&lt;&gt;0,SUMIF(куб!$E:$E,$E405,куб!H:H),IF($D405&lt;&gt;0,SUMIF(куб!$D:$D,$D405,куб!H:H),IF($C405&lt;&gt;0,SUMIF(куб!$C:$C,$C405,куб!H:H),IF($B405&lt;&gt;0,SUMIF(куб!$B:$B,$B405,куб!H:H),IF($G405&lt;&gt;0,SUMIF(куб!$A:$A,$G405,куб!H:H),SUMIF(куб!$A:$A,$G405,куб!H:H)))))))</f>
        <v>0</v>
      </c>
      <c r="I405" s="27">
        <f>IF($G405&lt;&gt;0,SUMIF(куб!$G:$G,$G405,куб!I:I),IF($E405&lt;&gt;0,SUMIF(куб!$E:$E,$E405,куб!I:I),IF($D405&lt;&gt;0,SUMIF(куб!$D:$D,$D405,куб!I:I),IF($C405&lt;&gt;0,SUMIF(куб!$C:$C,$C405,куб!I:I),IF($B405&lt;&gt;0,SUMIF(куб!$B:$B,$B405,куб!I:I),IF($G405&lt;&gt;0,SUMIF(куб!$A:$A,$G405,куб!I:I),SUMIF(куб!$A:$A,$G405,куб!I:I)))))))</f>
        <v>0</v>
      </c>
      <c r="J405" s="19" t="str">
        <f t="shared" si="147"/>
        <v>-</v>
      </c>
      <c r="K405" s="8"/>
      <c r="L405" s="17">
        <f t="shared" si="148"/>
        <v>0</v>
      </c>
      <c r="M405" s="17">
        <f t="shared" si="149"/>
        <v>0</v>
      </c>
      <c r="N405" s="12">
        <f t="shared" si="150"/>
        <v>0</v>
      </c>
      <c r="O405" s="5"/>
      <c r="P405" s="27" t="b">
        <f>IF($G405&lt;&gt;0,SUMIF(куб!$G:$G,$G405,куб!J:J),IF($E405&lt;&gt;0,SUMIF(куб!$E:$E,$E405,куб!J:J),IF($D405&lt;&gt;0,SUMIF(куб!$D:$D,$D405,куб!J:J),IF($C405&lt;&gt;0,SUMIF(куб!$C:$C,$C405,куб!J:J),IF($B405&lt;&gt;0,SUMIF(куб!$B:$B,$B405,куб!J:J))))))</f>
        <v>0</v>
      </c>
      <c r="Q405" s="27" t="b">
        <f>IF($G405&lt;&gt;0,SUMIF(куб!$G:$G,$G405,куб!K:K),IF($E405&lt;&gt;0,SUMIF(куб!$E:$E,$E405,куб!K:K),IF($D405&lt;&gt;0,SUMIF(куб!$D:$D,$D405,куб!K:K),IF($C405&lt;&gt;0,SUMIF(куб!$C:$C,$C405,куб!K:K),IF($B405&lt;&gt;0,SUMIF(куб!$B:$B,$B405,куб!K:K))))))</f>
        <v>0</v>
      </c>
      <c r="R405" s="13" t="str">
        <f t="shared" si="151"/>
        <v>-</v>
      </c>
      <c r="S405" s="5"/>
      <c r="T405" s="27" t="b">
        <f>IF($G405&lt;&gt;0,SUMIF(куб!$G:$G,$G405,куб!L:L),IF($E405&lt;&gt;0,SUMIF(куб!$E:$E,$E405,куб!L:L),IF($D405&lt;&gt;0,SUMIF(куб!$D:$D,$D405,куб!L:L),IF($C405&lt;&gt;0,SUMIF(куб!$C:$C,$C405,куб!L:L),IF($B405&lt;&gt;0,SUMIF(куб!$B:$B,$B405,куб!L:L))))))</f>
        <v>0</v>
      </c>
      <c r="U405" s="27" t="b">
        <f>IF($G405&lt;&gt;0,SUMIF(куб!$G:$G,$G405,куб!M:M),IF($E405&lt;&gt;0,SUMIF(куб!$E:$E,$E405,куб!M:M),IF($D405&lt;&gt;0,SUMIF(куб!$D:$D,$D405,куб!M:M),IF($C405&lt;&gt;0,SUMIF(куб!$C:$C,$C405,куб!M:M),IF($B405&lt;&gt;0,SUMIF(куб!$B:$B,$B405,куб!M:M))))))</f>
        <v>0</v>
      </c>
      <c r="V405" s="13" t="str">
        <f t="shared" si="152"/>
        <v>-</v>
      </c>
      <c r="W405" s="5"/>
      <c r="X405" s="27" t="b">
        <f>IF($G405&lt;&gt;0,SUMIF(куб!$G:$G,$G405,куб!N:N),IF($E405&lt;&gt;0,SUMIF(куб!$E:$E,$E405,куб!N:N),IF($D405&lt;&gt;0,SUMIF(куб!$D:$D,$D405,куб!N:N),IF($C405&lt;&gt;0,SUMIF(куб!$C:$C,$C405,куб!N:N),IF($B405&lt;&gt;0,SUMIF(куб!$B:$B,$B405,куб!N:N))))))</f>
        <v>0</v>
      </c>
      <c r="Y405" s="27" t="b">
        <f>IF($G405&lt;&gt;0,SUMIF(куб!$G:$G,$G405,куб!O:O),IF($E405&lt;&gt;0,SUMIF(куб!$E:$E,$E405,куб!O:O),IF($D405&lt;&gt;0,SUMIF(куб!$D:$D,$D405,куб!O:O),IF($C405&lt;&gt;0,SUMIF(куб!$C:$C,$C405,куб!O:O),IF($B405&lt;&gt;0,SUMIF(куб!$B:$B,$B405,куб!O:O))))))</f>
        <v>0</v>
      </c>
      <c r="Z405" s="13" t="str">
        <f t="shared" si="153"/>
        <v>-</v>
      </c>
      <c r="AA405" s="5"/>
      <c r="AB405" s="33" t="str">
        <f t="shared" si="154"/>
        <v/>
      </c>
      <c r="AC405" s="33" t="str">
        <f t="shared" si="155"/>
        <v/>
      </c>
      <c r="AD405" s="15" t="str">
        <f t="shared" si="156"/>
        <v xml:space="preserve"> </v>
      </c>
      <c r="AE405" s="5"/>
      <c r="AF405" s="27" t="b">
        <f>IF($G405&lt;&gt;0,SUMIF(куб!$G:$G,$G405,куб!R:R),IF($E405&lt;&gt;0,SUMIF(куб!$E:$E,$E405,куб!R:R),IF($D405&lt;&gt;0,SUMIF(куб!$D:$D,$D405,куб!R:R),IF($C405&lt;&gt;0,SUMIF(куб!$C:$C,$C405,куб!R:R),IF($B405&lt;&gt;0,SUMIF(куб!$B:$B,$B405,куб!R:R))))))</f>
        <v>0</v>
      </c>
      <c r="AG405" s="27" t="b">
        <f>IF($G405&lt;&gt;0,SUMIF(куб!$G:$G,$G405,куб!S:S),IF($E405&lt;&gt;0,SUMIF(куб!$E:$E,$E405,куб!S:S),IF($D405&lt;&gt;0,SUMIF(куб!$D:$D,$D405,куб!S:S),IF($C405&lt;&gt;0,SUMIF(куб!$C:$C,$C405,куб!S:S),IF($B405&lt;&gt;0,SUMIF(куб!$B:$B,$B405,куб!S:S))))))</f>
        <v>0</v>
      </c>
      <c r="AH405" s="16" t="str">
        <f t="shared" si="157"/>
        <v>-</v>
      </c>
      <c r="AI405" s="8"/>
      <c r="AJ405" s="27" t="b">
        <f>IF($G405&lt;&gt;0,SUMIF(куб!$G:$G,$G405,куб!T:T),IF($E405&lt;&gt;0,SUMIF(куб!$E:$E,$E405,куб!T:T),IF($D405&lt;&gt;0,SUMIF(куб!$D:$D,$D405,куб!T:T),IF($C405&lt;&gt;0,SUMIF(куб!$C:$C,$C405,куб!T:T),IF($B405&lt;&gt;0,SUMIF(куб!$B:$B,$B405,куб!T:T))))))</f>
        <v>0</v>
      </c>
      <c r="AK405" s="27" t="b">
        <f>IF($G405&lt;&gt;0,SUMIF(куб!$G:$G,$G405,куб!U:U),IF($E405&lt;&gt;0,SUMIF(куб!$E:$E,$E405,куб!U:U),IF($D405&lt;&gt;0,SUMIF(куб!$D:$D,$D405,куб!U:U),IF($C405&lt;&gt;0,SUMIF(куб!$C:$C,$C405,куб!U:U),IF($B405&lt;&gt;0,SUMIF(куб!$B:$B,$B405,куб!U:U))))))</f>
        <v>0</v>
      </c>
      <c r="AL405" s="16" t="str">
        <f t="shared" si="158"/>
        <v>-</v>
      </c>
      <c r="AM405" s="8"/>
      <c r="AN405" s="17" t="str">
        <f t="shared" si="159"/>
        <v xml:space="preserve"> </v>
      </c>
      <c r="AO405" s="17" t="str">
        <f t="shared" si="160"/>
        <v xml:space="preserve"> </v>
      </c>
      <c r="AP405" s="16" t="str">
        <f t="shared" si="161"/>
        <v>-</v>
      </c>
      <c r="AQ405" s="8"/>
      <c r="AR405" s="17" t="str">
        <f t="shared" si="162"/>
        <v>-</v>
      </c>
      <c r="AS405" s="17" t="str">
        <f t="shared" si="163"/>
        <v>-</v>
      </c>
      <c r="AT405" s="13" t="str">
        <f t="shared" si="164"/>
        <v>-</v>
      </c>
      <c r="AU405" s="8"/>
    </row>
    <row r="406" spans="1:47" x14ac:dyDescent="0.25">
      <c r="A406" s="31"/>
      <c r="B406" s="31"/>
      <c r="C406"/>
      <c r="D406" s="31"/>
      <c r="E406"/>
      <c r="F406" s="31"/>
      <c r="G406"/>
      <c r="H406" s="27">
        <f>IF($G406&lt;&gt;0,SUMIF(куб!$G:$G,$G406,куб!H:H),IF($E406&lt;&gt;0,SUMIF(куб!$E:$E,$E406,куб!H:H),IF($D406&lt;&gt;0,SUMIF(куб!$D:$D,$D406,куб!H:H),IF($C406&lt;&gt;0,SUMIF(куб!$C:$C,$C406,куб!H:H),IF($B406&lt;&gt;0,SUMIF(куб!$B:$B,$B406,куб!H:H),IF($G406&lt;&gt;0,SUMIF(куб!$A:$A,$G406,куб!H:H),SUMIF(куб!$A:$A,$G406,куб!H:H)))))))</f>
        <v>0</v>
      </c>
      <c r="I406" s="27">
        <f>IF($G406&lt;&gt;0,SUMIF(куб!$G:$G,$G406,куб!I:I),IF($E406&lt;&gt;0,SUMIF(куб!$E:$E,$E406,куб!I:I),IF($D406&lt;&gt;0,SUMIF(куб!$D:$D,$D406,куб!I:I),IF($C406&lt;&gt;0,SUMIF(куб!$C:$C,$C406,куб!I:I),IF($B406&lt;&gt;0,SUMIF(куб!$B:$B,$B406,куб!I:I),IF($G406&lt;&gt;0,SUMIF(куб!$A:$A,$G406,куб!I:I),SUMIF(куб!$A:$A,$G406,куб!I:I)))))))</f>
        <v>0</v>
      </c>
      <c r="J406" s="19" t="str">
        <f t="shared" si="147"/>
        <v>-</v>
      </c>
      <c r="K406" s="8"/>
      <c r="L406" s="17">
        <f t="shared" si="148"/>
        <v>0</v>
      </c>
      <c r="M406" s="17">
        <f t="shared" si="149"/>
        <v>0</v>
      </c>
      <c r="N406" s="12">
        <f t="shared" si="150"/>
        <v>0</v>
      </c>
      <c r="O406" s="5"/>
      <c r="P406" s="27" t="b">
        <f>IF($G406&lt;&gt;0,SUMIF(куб!$G:$G,$G406,куб!J:J),IF($E406&lt;&gt;0,SUMIF(куб!$E:$E,$E406,куб!J:J),IF($D406&lt;&gt;0,SUMIF(куб!$D:$D,$D406,куб!J:J),IF($C406&lt;&gt;0,SUMIF(куб!$C:$C,$C406,куб!J:J),IF($B406&lt;&gt;0,SUMIF(куб!$B:$B,$B406,куб!J:J))))))</f>
        <v>0</v>
      </c>
      <c r="Q406" s="27" t="b">
        <f>IF($G406&lt;&gt;0,SUMIF(куб!$G:$G,$G406,куб!K:K),IF($E406&lt;&gt;0,SUMIF(куб!$E:$E,$E406,куб!K:K),IF($D406&lt;&gt;0,SUMIF(куб!$D:$D,$D406,куб!K:K),IF($C406&lt;&gt;0,SUMIF(куб!$C:$C,$C406,куб!K:K),IF($B406&lt;&gt;0,SUMIF(куб!$B:$B,$B406,куб!K:K))))))</f>
        <v>0</v>
      </c>
      <c r="R406" s="13" t="str">
        <f t="shared" si="151"/>
        <v>-</v>
      </c>
      <c r="S406" s="5"/>
      <c r="T406" s="27" t="b">
        <f>IF($G406&lt;&gt;0,SUMIF(куб!$G:$G,$G406,куб!L:L),IF($E406&lt;&gt;0,SUMIF(куб!$E:$E,$E406,куб!L:L),IF($D406&lt;&gt;0,SUMIF(куб!$D:$D,$D406,куб!L:L),IF($C406&lt;&gt;0,SUMIF(куб!$C:$C,$C406,куб!L:L),IF($B406&lt;&gt;0,SUMIF(куб!$B:$B,$B406,куб!L:L))))))</f>
        <v>0</v>
      </c>
      <c r="U406" s="27" t="b">
        <f>IF($G406&lt;&gt;0,SUMIF(куб!$G:$G,$G406,куб!M:M),IF($E406&lt;&gt;0,SUMIF(куб!$E:$E,$E406,куб!M:M),IF($D406&lt;&gt;0,SUMIF(куб!$D:$D,$D406,куб!M:M),IF($C406&lt;&gt;0,SUMIF(куб!$C:$C,$C406,куб!M:M),IF($B406&lt;&gt;0,SUMIF(куб!$B:$B,$B406,куб!M:M))))))</f>
        <v>0</v>
      </c>
      <c r="V406" s="13" t="str">
        <f t="shared" si="152"/>
        <v>-</v>
      </c>
      <c r="W406" s="5"/>
      <c r="X406" s="27" t="b">
        <f>IF($G406&lt;&gt;0,SUMIF(куб!$G:$G,$G406,куб!N:N),IF($E406&lt;&gt;0,SUMIF(куб!$E:$E,$E406,куб!N:N),IF($D406&lt;&gt;0,SUMIF(куб!$D:$D,$D406,куб!N:N),IF($C406&lt;&gt;0,SUMIF(куб!$C:$C,$C406,куб!N:N),IF($B406&lt;&gt;0,SUMIF(куб!$B:$B,$B406,куб!N:N))))))</f>
        <v>0</v>
      </c>
      <c r="Y406" s="27" t="b">
        <f>IF($G406&lt;&gt;0,SUMIF(куб!$G:$G,$G406,куб!O:O),IF($E406&lt;&gt;0,SUMIF(куб!$E:$E,$E406,куб!O:O),IF($D406&lt;&gt;0,SUMIF(куб!$D:$D,$D406,куб!O:O),IF($C406&lt;&gt;0,SUMIF(куб!$C:$C,$C406,куб!O:O),IF($B406&lt;&gt;0,SUMIF(куб!$B:$B,$B406,куб!O:O))))))</f>
        <v>0</v>
      </c>
      <c r="Z406" s="13" t="str">
        <f t="shared" si="153"/>
        <v>-</v>
      </c>
      <c r="AA406" s="5"/>
      <c r="AB406" s="33" t="str">
        <f t="shared" si="154"/>
        <v/>
      </c>
      <c r="AC406" s="33" t="str">
        <f t="shared" si="155"/>
        <v/>
      </c>
      <c r="AD406" s="15" t="str">
        <f t="shared" si="156"/>
        <v xml:space="preserve"> </v>
      </c>
      <c r="AE406" s="5"/>
      <c r="AF406" s="27" t="b">
        <f>IF($G406&lt;&gt;0,SUMIF(куб!$G:$G,$G406,куб!R:R),IF($E406&lt;&gt;0,SUMIF(куб!$E:$E,$E406,куб!R:R),IF($D406&lt;&gt;0,SUMIF(куб!$D:$D,$D406,куб!R:R),IF($C406&lt;&gt;0,SUMIF(куб!$C:$C,$C406,куб!R:R),IF($B406&lt;&gt;0,SUMIF(куб!$B:$B,$B406,куб!R:R))))))</f>
        <v>0</v>
      </c>
      <c r="AG406" s="27" t="b">
        <f>IF($G406&lt;&gt;0,SUMIF(куб!$G:$G,$G406,куб!S:S),IF($E406&lt;&gt;0,SUMIF(куб!$E:$E,$E406,куб!S:S),IF($D406&lt;&gt;0,SUMIF(куб!$D:$D,$D406,куб!S:S),IF($C406&lt;&gt;0,SUMIF(куб!$C:$C,$C406,куб!S:S),IF($B406&lt;&gt;0,SUMIF(куб!$B:$B,$B406,куб!S:S))))))</f>
        <v>0</v>
      </c>
      <c r="AH406" s="16" t="str">
        <f t="shared" si="157"/>
        <v>-</v>
      </c>
      <c r="AI406" s="8"/>
      <c r="AJ406" s="27" t="b">
        <f>IF($G406&lt;&gt;0,SUMIF(куб!$G:$G,$G406,куб!T:T),IF($E406&lt;&gt;0,SUMIF(куб!$E:$E,$E406,куб!T:T),IF($D406&lt;&gt;0,SUMIF(куб!$D:$D,$D406,куб!T:T),IF($C406&lt;&gt;0,SUMIF(куб!$C:$C,$C406,куб!T:T),IF($B406&lt;&gt;0,SUMIF(куб!$B:$B,$B406,куб!T:T))))))</f>
        <v>0</v>
      </c>
      <c r="AK406" s="27" t="b">
        <f>IF($G406&lt;&gt;0,SUMIF(куб!$G:$G,$G406,куб!U:U),IF($E406&lt;&gt;0,SUMIF(куб!$E:$E,$E406,куб!U:U),IF($D406&lt;&gt;0,SUMIF(куб!$D:$D,$D406,куб!U:U),IF($C406&lt;&gt;0,SUMIF(куб!$C:$C,$C406,куб!U:U),IF($B406&lt;&gt;0,SUMIF(куб!$B:$B,$B406,куб!U:U))))))</f>
        <v>0</v>
      </c>
      <c r="AL406" s="16" t="str">
        <f t="shared" si="158"/>
        <v>-</v>
      </c>
      <c r="AM406" s="8"/>
      <c r="AN406" s="17" t="str">
        <f t="shared" si="159"/>
        <v xml:space="preserve"> </v>
      </c>
      <c r="AO406" s="17" t="str">
        <f t="shared" si="160"/>
        <v xml:space="preserve"> </v>
      </c>
      <c r="AP406" s="16" t="str">
        <f t="shared" si="161"/>
        <v>-</v>
      </c>
      <c r="AQ406" s="8"/>
      <c r="AR406" s="17" t="str">
        <f t="shared" si="162"/>
        <v>-</v>
      </c>
      <c r="AS406" s="17" t="str">
        <f t="shared" si="163"/>
        <v>-</v>
      </c>
      <c r="AT406" s="13" t="str">
        <f t="shared" si="164"/>
        <v>-</v>
      </c>
      <c r="AU406" s="8"/>
    </row>
    <row r="407" spans="1:47" x14ac:dyDescent="0.25">
      <c r="A407" s="31"/>
      <c r="B407" s="31"/>
      <c r="C407"/>
      <c r="D407" s="31"/>
      <c r="E407"/>
      <c r="F407" s="31"/>
      <c r="G407"/>
      <c r="H407" s="27">
        <f>IF($G407&lt;&gt;0,SUMIF(куб!$G:$G,$G407,куб!H:H),IF($E407&lt;&gt;0,SUMIF(куб!$E:$E,$E407,куб!H:H),IF($D407&lt;&gt;0,SUMIF(куб!$D:$D,$D407,куб!H:H),IF($C407&lt;&gt;0,SUMIF(куб!$C:$C,$C407,куб!H:H),IF($B407&lt;&gt;0,SUMIF(куб!$B:$B,$B407,куб!H:H),IF($G407&lt;&gt;0,SUMIF(куб!$A:$A,$G407,куб!H:H),SUMIF(куб!$A:$A,$G407,куб!H:H)))))))</f>
        <v>0</v>
      </c>
      <c r="I407" s="27">
        <f>IF($G407&lt;&gt;0,SUMIF(куб!$G:$G,$G407,куб!I:I),IF($E407&lt;&gt;0,SUMIF(куб!$E:$E,$E407,куб!I:I),IF($D407&lt;&gt;0,SUMIF(куб!$D:$D,$D407,куб!I:I),IF($C407&lt;&gt;0,SUMIF(куб!$C:$C,$C407,куб!I:I),IF($B407&lt;&gt;0,SUMIF(куб!$B:$B,$B407,куб!I:I),IF($G407&lt;&gt;0,SUMIF(куб!$A:$A,$G407,куб!I:I),SUMIF(куб!$A:$A,$G407,куб!I:I)))))))</f>
        <v>0</v>
      </c>
      <c r="J407" s="19" t="str">
        <f t="shared" si="147"/>
        <v>-</v>
      </c>
      <c r="K407" s="8"/>
      <c r="L407" s="17">
        <f t="shared" si="148"/>
        <v>0</v>
      </c>
      <c r="M407" s="17">
        <f t="shared" si="149"/>
        <v>0</v>
      </c>
      <c r="N407" s="12">
        <f t="shared" si="150"/>
        <v>0</v>
      </c>
      <c r="O407" s="5"/>
      <c r="P407" s="27" t="b">
        <f>IF($G407&lt;&gt;0,SUMIF(куб!$G:$G,$G407,куб!J:J),IF($E407&lt;&gt;0,SUMIF(куб!$E:$E,$E407,куб!J:J),IF($D407&lt;&gt;0,SUMIF(куб!$D:$D,$D407,куб!J:J),IF($C407&lt;&gt;0,SUMIF(куб!$C:$C,$C407,куб!J:J),IF($B407&lt;&gt;0,SUMIF(куб!$B:$B,$B407,куб!J:J))))))</f>
        <v>0</v>
      </c>
      <c r="Q407" s="27" t="b">
        <f>IF($G407&lt;&gt;0,SUMIF(куб!$G:$G,$G407,куб!K:K),IF($E407&lt;&gt;0,SUMIF(куб!$E:$E,$E407,куб!K:K),IF($D407&lt;&gt;0,SUMIF(куб!$D:$D,$D407,куб!K:K),IF($C407&lt;&gt;0,SUMIF(куб!$C:$C,$C407,куб!K:K),IF($B407&lt;&gt;0,SUMIF(куб!$B:$B,$B407,куб!K:K))))))</f>
        <v>0</v>
      </c>
      <c r="R407" s="13" t="str">
        <f t="shared" si="151"/>
        <v>-</v>
      </c>
      <c r="S407" s="5"/>
      <c r="T407" s="27" t="b">
        <f>IF($G407&lt;&gt;0,SUMIF(куб!$G:$G,$G407,куб!L:L),IF($E407&lt;&gt;0,SUMIF(куб!$E:$E,$E407,куб!L:L),IF($D407&lt;&gt;0,SUMIF(куб!$D:$D,$D407,куб!L:L),IF($C407&lt;&gt;0,SUMIF(куб!$C:$C,$C407,куб!L:L),IF($B407&lt;&gt;0,SUMIF(куб!$B:$B,$B407,куб!L:L))))))</f>
        <v>0</v>
      </c>
      <c r="U407" s="27" t="b">
        <f>IF($G407&lt;&gt;0,SUMIF(куб!$G:$G,$G407,куб!M:M),IF($E407&lt;&gt;0,SUMIF(куб!$E:$E,$E407,куб!M:M),IF($D407&lt;&gt;0,SUMIF(куб!$D:$D,$D407,куб!M:M),IF($C407&lt;&gt;0,SUMIF(куб!$C:$C,$C407,куб!M:M),IF($B407&lt;&gt;0,SUMIF(куб!$B:$B,$B407,куб!M:M))))))</f>
        <v>0</v>
      </c>
      <c r="V407" s="13" t="str">
        <f t="shared" si="152"/>
        <v>-</v>
      </c>
      <c r="W407" s="5"/>
      <c r="X407" s="27" t="b">
        <f>IF($G407&lt;&gt;0,SUMIF(куб!$G:$G,$G407,куб!N:N),IF($E407&lt;&gt;0,SUMIF(куб!$E:$E,$E407,куб!N:N),IF($D407&lt;&gt;0,SUMIF(куб!$D:$D,$D407,куб!N:N),IF($C407&lt;&gt;0,SUMIF(куб!$C:$C,$C407,куб!N:N),IF($B407&lt;&gt;0,SUMIF(куб!$B:$B,$B407,куб!N:N))))))</f>
        <v>0</v>
      </c>
      <c r="Y407" s="27" t="b">
        <f>IF($G407&lt;&gt;0,SUMIF(куб!$G:$G,$G407,куб!O:O),IF($E407&lt;&gt;0,SUMIF(куб!$E:$E,$E407,куб!O:O),IF($D407&lt;&gt;0,SUMIF(куб!$D:$D,$D407,куб!O:O),IF($C407&lt;&gt;0,SUMIF(куб!$C:$C,$C407,куб!O:O),IF($B407&lt;&gt;0,SUMIF(куб!$B:$B,$B407,куб!O:O))))))</f>
        <v>0</v>
      </c>
      <c r="Z407" s="13" t="str">
        <f t="shared" si="153"/>
        <v>-</v>
      </c>
      <c r="AA407" s="5"/>
      <c r="AB407" s="33" t="str">
        <f t="shared" si="154"/>
        <v/>
      </c>
      <c r="AC407" s="33" t="str">
        <f t="shared" si="155"/>
        <v/>
      </c>
      <c r="AD407" s="15" t="str">
        <f t="shared" si="156"/>
        <v xml:space="preserve"> </v>
      </c>
      <c r="AE407" s="5"/>
      <c r="AF407" s="27" t="b">
        <f>IF($G407&lt;&gt;0,SUMIF(куб!$G:$G,$G407,куб!R:R),IF($E407&lt;&gt;0,SUMIF(куб!$E:$E,$E407,куб!R:R),IF($D407&lt;&gt;0,SUMIF(куб!$D:$D,$D407,куб!R:R),IF($C407&lt;&gt;0,SUMIF(куб!$C:$C,$C407,куб!R:R),IF($B407&lt;&gt;0,SUMIF(куб!$B:$B,$B407,куб!R:R))))))</f>
        <v>0</v>
      </c>
      <c r="AG407" s="27" t="b">
        <f>IF($G407&lt;&gt;0,SUMIF(куб!$G:$G,$G407,куб!S:S),IF($E407&lt;&gt;0,SUMIF(куб!$E:$E,$E407,куб!S:S),IF($D407&lt;&gt;0,SUMIF(куб!$D:$D,$D407,куб!S:S),IF($C407&lt;&gt;0,SUMIF(куб!$C:$C,$C407,куб!S:S),IF($B407&lt;&gt;0,SUMIF(куб!$B:$B,$B407,куб!S:S))))))</f>
        <v>0</v>
      </c>
      <c r="AH407" s="16" t="str">
        <f t="shared" si="157"/>
        <v>-</v>
      </c>
      <c r="AI407" s="8"/>
      <c r="AJ407" s="27" t="b">
        <f>IF($G407&lt;&gt;0,SUMIF(куб!$G:$G,$G407,куб!T:T),IF($E407&lt;&gt;0,SUMIF(куб!$E:$E,$E407,куб!T:T),IF($D407&lt;&gt;0,SUMIF(куб!$D:$D,$D407,куб!T:T),IF($C407&lt;&gt;0,SUMIF(куб!$C:$C,$C407,куб!T:T),IF($B407&lt;&gt;0,SUMIF(куб!$B:$B,$B407,куб!T:T))))))</f>
        <v>0</v>
      </c>
      <c r="AK407" s="27" t="b">
        <f>IF($G407&lt;&gt;0,SUMIF(куб!$G:$G,$G407,куб!U:U),IF($E407&lt;&gt;0,SUMIF(куб!$E:$E,$E407,куб!U:U),IF($D407&lt;&gt;0,SUMIF(куб!$D:$D,$D407,куб!U:U),IF($C407&lt;&gt;0,SUMIF(куб!$C:$C,$C407,куб!U:U),IF($B407&lt;&gt;0,SUMIF(куб!$B:$B,$B407,куб!U:U))))))</f>
        <v>0</v>
      </c>
      <c r="AL407" s="16" t="str">
        <f t="shared" si="158"/>
        <v>-</v>
      </c>
      <c r="AM407" s="8"/>
      <c r="AN407" s="17" t="str">
        <f t="shared" si="159"/>
        <v xml:space="preserve"> </v>
      </c>
      <c r="AO407" s="17" t="str">
        <f t="shared" si="160"/>
        <v xml:space="preserve"> </v>
      </c>
      <c r="AP407" s="16" t="str">
        <f t="shared" si="161"/>
        <v>-</v>
      </c>
      <c r="AQ407" s="8"/>
      <c r="AR407" s="17" t="str">
        <f t="shared" si="162"/>
        <v>-</v>
      </c>
      <c r="AS407" s="17" t="str">
        <f t="shared" si="163"/>
        <v>-</v>
      </c>
      <c r="AT407" s="13" t="str">
        <f t="shared" si="164"/>
        <v>-</v>
      </c>
      <c r="AU407" s="8"/>
    </row>
    <row r="408" spans="1:47" x14ac:dyDescent="0.25">
      <c r="A408" s="31"/>
      <c r="B408" s="31"/>
      <c r="C408"/>
      <c r="D408" s="31"/>
      <c r="E408"/>
      <c r="F408" s="31"/>
      <c r="G408"/>
      <c r="H408" s="27">
        <f>IF($G408&lt;&gt;0,SUMIF(куб!$G:$G,$G408,куб!H:H),IF($E408&lt;&gt;0,SUMIF(куб!$E:$E,$E408,куб!H:H),IF($D408&lt;&gt;0,SUMIF(куб!$D:$D,$D408,куб!H:H),IF($C408&lt;&gt;0,SUMIF(куб!$C:$C,$C408,куб!H:H),IF($B408&lt;&gt;0,SUMIF(куб!$B:$B,$B408,куб!H:H),IF($G408&lt;&gt;0,SUMIF(куб!$A:$A,$G408,куб!H:H),SUMIF(куб!$A:$A,$G408,куб!H:H)))))))</f>
        <v>0</v>
      </c>
      <c r="I408" s="27">
        <f>IF($G408&lt;&gt;0,SUMIF(куб!$G:$G,$G408,куб!I:I),IF($E408&lt;&gt;0,SUMIF(куб!$E:$E,$E408,куб!I:I),IF($D408&lt;&gt;0,SUMIF(куб!$D:$D,$D408,куб!I:I),IF($C408&lt;&gt;0,SUMIF(куб!$C:$C,$C408,куб!I:I),IF($B408&lt;&gt;0,SUMIF(куб!$B:$B,$B408,куб!I:I),IF($G408&lt;&gt;0,SUMIF(куб!$A:$A,$G408,куб!I:I),SUMIF(куб!$A:$A,$G408,куб!I:I)))))))</f>
        <v>0</v>
      </c>
      <c r="J408" s="19" t="str">
        <f t="shared" si="147"/>
        <v>-</v>
      </c>
      <c r="K408" s="8"/>
      <c r="L408" s="17">
        <f t="shared" si="148"/>
        <v>0</v>
      </c>
      <c r="M408" s="17">
        <f t="shared" si="149"/>
        <v>0</v>
      </c>
      <c r="N408" s="12">
        <f t="shared" si="150"/>
        <v>0</v>
      </c>
      <c r="O408" s="5"/>
      <c r="P408" s="27" t="b">
        <f>IF($G408&lt;&gt;0,SUMIF(куб!$G:$G,$G408,куб!J:J),IF($E408&lt;&gt;0,SUMIF(куб!$E:$E,$E408,куб!J:J),IF($D408&lt;&gt;0,SUMIF(куб!$D:$D,$D408,куб!J:J),IF($C408&lt;&gt;0,SUMIF(куб!$C:$C,$C408,куб!J:J),IF($B408&lt;&gt;0,SUMIF(куб!$B:$B,$B408,куб!J:J))))))</f>
        <v>0</v>
      </c>
      <c r="Q408" s="27" t="b">
        <f>IF($G408&lt;&gt;0,SUMIF(куб!$G:$G,$G408,куб!K:K),IF($E408&lt;&gt;0,SUMIF(куб!$E:$E,$E408,куб!K:K),IF($D408&lt;&gt;0,SUMIF(куб!$D:$D,$D408,куб!K:K),IF($C408&lt;&gt;0,SUMIF(куб!$C:$C,$C408,куб!K:K),IF($B408&lt;&gt;0,SUMIF(куб!$B:$B,$B408,куб!K:K))))))</f>
        <v>0</v>
      </c>
      <c r="R408" s="13" t="str">
        <f t="shared" si="151"/>
        <v>-</v>
      </c>
      <c r="S408" s="5"/>
      <c r="T408" s="27" t="b">
        <f>IF($G408&lt;&gt;0,SUMIF(куб!$G:$G,$G408,куб!L:L),IF($E408&lt;&gt;0,SUMIF(куб!$E:$E,$E408,куб!L:L),IF($D408&lt;&gt;0,SUMIF(куб!$D:$D,$D408,куб!L:L),IF($C408&lt;&gt;0,SUMIF(куб!$C:$C,$C408,куб!L:L),IF($B408&lt;&gt;0,SUMIF(куб!$B:$B,$B408,куб!L:L))))))</f>
        <v>0</v>
      </c>
      <c r="U408" s="27" t="b">
        <f>IF($G408&lt;&gt;0,SUMIF(куб!$G:$G,$G408,куб!M:M),IF($E408&lt;&gt;0,SUMIF(куб!$E:$E,$E408,куб!M:M),IF($D408&lt;&gt;0,SUMIF(куб!$D:$D,$D408,куб!M:M),IF($C408&lt;&gt;0,SUMIF(куб!$C:$C,$C408,куб!M:M),IF($B408&lt;&gt;0,SUMIF(куб!$B:$B,$B408,куб!M:M))))))</f>
        <v>0</v>
      </c>
      <c r="V408" s="13" t="str">
        <f t="shared" si="152"/>
        <v>-</v>
      </c>
      <c r="W408" s="5"/>
      <c r="X408" s="27" t="b">
        <f>IF($G408&lt;&gt;0,SUMIF(куб!$G:$G,$G408,куб!N:N),IF($E408&lt;&gt;0,SUMIF(куб!$E:$E,$E408,куб!N:N),IF($D408&lt;&gt;0,SUMIF(куб!$D:$D,$D408,куб!N:N),IF($C408&lt;&gt;0,SUMIF(куб!$C:$C,$C408,куб!N:N),IF($B408&lt;&gt;0,SUMIF(куб!$B:$B,$B408,куб!N:N))))))</f>
        <v>0</v>
      </c>
      <c r="Y408" s="27" t="b">
        <f>IF($G408&lt;&gt;0,SUMIF(куб!$G:$G,$G408,куб!O:O),IF($E408&lt;&gt;0,SUMIF(куб!$E:$E,$E408,куб!O:O),IF($D408&lt;&gt;0,SUMIF(куб!$D:$D,$D408,куб!O:O),IF($C408&lt;&gt;0,SUMIF(куб!$C:$C,$C408,куб!O:O),IF($B408&lt;&gt;0,SUMIF(куб!$B:$B,$B408,куб!O:O))))))</f>
        <v>0</v>
      </c>
      <c r="Z408" s="13" t="str">
        <f t="shared" si="153"/>
        <v>-</v>
      </c>
      <c r="AA408" s="5"/>
      <c r="AB408" s="33" t="str">
        <f t="shared" si="154"/>
        <v/>
      </c>
      <c r="AC408" s="33" t="str">
        <f t="shared" si="155"/>
        <v/>
      </c>
      <c r="AD408" s="15" t="str">
        <f t="shared" si="156"/>
        <v xml:space="preserve"> </v>
      </c>
      <c r="AE408" s="5"/>
      <c r="AF408" s="27" t="b">
        <f>IF($G408&lt;&gt;0,SUMIF(куб!$G:$G,$G408,куб!R:R),IF($E408&lt;&gt;0,SUMIF(куб!$E:$E,$E408,куб!R:R),IF($D408&lt;&gt;0,SUMIF(куб!$D:$D,$D408,куб!R:R),IF($C408&lt;&gt;0,SUMIF(куб!$C:$C,$C408,куб!R:R),IF($B408&lt;&gt;0,SUMIF(куб!$B:$B,$B408,куб!R:R))))))</f>
        <v>0</v>
      </c>
      <c r="AG408" s="27" t="b">
        <f>IF($G408&lt;&gt;0,SUMIF(куб!$G:$G,$G408,куб!S:S),IF($E408&lt;&gt;0,SUMIF(куб!$E:$E,$E408,куб!S:S),IF($D408&lt;&gt;0,SUMIF(куб!$D:$D,$D408,куб!S:S),IF($C408&lt;&gt;0,SUMIF(куб!$C:$C,$C408,куб!S:S),IF($B408&lt;&gt;0,SUMIF(куб!$B:$B,$B408,куб!S:S))))))</f>
        <v>0</v>
      </c>
      <c r="AH408" s="16" t="str">
        <f t="shared" si="157"/>
        <v>-</v>
      </c>
      <c r="AI408" s="8"/>
      <c r="AJ408" s="27" t="b">
        <f>IF($G408&lt;&gt;0,SUMIF(куб!$G:$G,$G408,куб!T:T),IF($E408&lt;&gt;0,SUMIF(куб!$E:$E,$E408,куб!T:T),IF($D408&lt;&gt;0,SUMIF(куб!$D:$D,$D408,куб!T:T),IF($C408&lt;&gt;0,SUMIF(куб!$C:$C,$C408,куб!T:T),IF($B408&lt;&gt;0,SUMIF(куб!$B:$B,$B408,куб!T:T))))))</f>
        <v>0</v>
      </c>
      <c r="AK408" s="27" t="b">
        <f>IF($G408&lt;&gt;0,SUMIF(куб!$G:$G,$G408,куб!U:U),IF($E408&lt;&gt;0,SUMIF(куб!$E:$E,$E408,куб!U:U),IF($D408&lt;&gt;0,SUMIF(куб!$D:$D,$D408,куб!U:U),IF($C408&lt;&gt;0,SUMIF(куб!$C:$C,$C408,куб!U:U),IF($B408&lt;&gt;0,SUMIF(куб!$B:$B,$B408,куб!U:U))))))</f>
        <v>0</v>
      </c>
      <c r="AL408" s="16" t="str">
        <f t="shared" si="158"/>
        <v>-</v>
      </c>
      <c r="AM408" s="8"/>
      <c r="AN408" s="17" t="str">
        <f t="shared" si="159"/>
        <v xml:space="preserve"> </v>
      </c>
      <c r="AO408" s="17" t="str">
        <f t="shared" si="160"/>
        <v xml:space="preserve"> </v>
      </c>
      <c r="AP408" s="16" t="str">
        <f t="shared" si="161"/>
        <v>-</v>
      </c>
      <c r="AQ408" s="8"/>
      <c r="AR408" s="17" t="str">
        <f t="shared" si="162"/>
        <v>-</v>
      </c>
      <c r="AS408" s="17" t="str">
        <f t="shared" si="163"/>
        <v>-</v>
      </c>
      <c r="AT408" s="13" t="str">
        <f t="shared" si="164"/>
        <v>-</v>
      </c>
      <c r="AU408" s="8"/>
    </row>
    <row r="409" spans="1:47" x14ac:dyDescent="0.25">
      <c r="A409" s="31"/>
      <c r="B409" s="31"/>
      <c r="C409"/>
      <c r="D409" s="31"/>
      <c r="E409"/>
      <c r="F409" s="31"/>
      <c r="G409"/>
      <c r="H409" s="27">
        <f>IF($G409&lt;&gt;0,SUMIF(куб!$G:$G,$G409,куб!H:H),IF($E409&lt;&gt;0,SUMIF(куб!$E:$E,$E409,куб!H:H),IF($D409&lt;&gt;0,SUMIF(куб!$D:$D,$D409,куб!H:H),IF($C409&lt;&gt;0,SUMIF(куб!$C:$C,$C409,куб!H:H),IF($B409&lt;&gt;0,SUMIF(куб!$B:$B,$B409,куб!H:H),IF($G409&lt;&gt;0,SUMIF(куб!$A:$A,$G409,куб!H:H),SUMIF(куб!$A:$A,$G409,куб!H:H)))))))</f>
        <v>0</v>
      </c>
      <c r="I409" s="27">
        <f>IF($G409&lt;&gt;0,SUMIF(куб!$G:$G,$G409,куб!I:I),IF($E409&lt;&gt;0,SUMIF(куб!$E:$E,$E409,куб!I:I),IF($D409&lt;&gt;0,SUMIF(куб!$D:$D,$D409,куб!I:I),IF($C409&lt;&gt;0,SUMIF(куб!$C:$C,$C409,куб!I:I),IF($B409&lt;&gt;0,SUMIF(куб!$B:$B,$B409,куб!I:I),IF($G409&lt;&gt;0,SUMIF(куб!$A:$A,$G409,куб!I:I),SUMIF(куб!$A:$A,$G409,куб!I:I)))))))</f>
        <v>0</v>
      </c>
      <c r="J409" s="19" t="str">
        <f t="shared" si="147"/>
        <v>-</v>
      </c>
      <c r="K409" s="8"/>
      <c r="L409" s="17">
        <f t="shared" si="148"/>
        <v>0</v>
      </c>
      <c r="M409" s="17">
        <f t="shared" si="149"/>
        <v>0</v>
      </c>
      <c r="N409" s="12">
        <f t="shared" si="150"/>
        <v>0</v>
      </c>
      <c r="O409" s="5"/>
      <c r="P409" s="27" t="b">
        <f>IF($G409&lt;&gt;0,SUMIF(куб!$G:$G,$G409,куб!J:J),IF($E409&lt;&gt;0,SUMIF(куб!$E:$E,$E409,куб!J:J),IF($D409&lt;&gt;0,SUMIF(куб!$D:$D,$D409,куб!J:J),IF($C409&lt;&gt;0,SUMIF(куб!$C:$C,$C409,куб!J:J),IF($B409&lt;&gt;0,SUMIF(куб!$B:$B,$B409,куб!J:J))))))</f>
        <v>0</v>
      </c>
      <c r="Q409" s="27" t="b">
        <f>IF($G409&lt;&gt;0,SUMIF(куб!$G:$G,$G409,куб!K:K),IF($E409&lt;&gt;0,SUMIF(куб!$E:$E,$E409,куб!K:K),IF($D409&lt;&gt;0,SUMIF(куб!$D:$D,$D409,куб!K:K),IF($C409&lt;&gt;0,SUMIF(куб!$C:$C,$C409,куб!K:K),IF($B409&lt;&gt;0,SUMIF(куб!$B:$B,$B409,куб!K:K))))))</f>
        <v>0</v>
      </c>
      <c r="R409" s="13" t="str">
        <f t="shared" si="151"/>
        <v>-</v>
      </c>
      <c r="S409" s="5"/>
      <c r="T409" s="27" t="b">
        <f>IF($G409&lt;&gt;0,SUMIF(куб!$G:$G,$G409,куб!L:L),IF($E409&lt;&gt;0,SUMIF(куб!$E:$E,$E409,куб!L:L),IF($D409&lt;&gt;0,SUMIF(куб!$D:$D,$D409,куб!L:L),IF($C409&lt;&gt;0,SUMIF(куб!$C:$C,$C409,куб!L:L),IF($B409&lt;&gt;0,SUMIF(куб!$B:$B,$B409,куб!L:L))))))</f>
        <v>0</v>
      </c>
      <c r="U409" s="27" t="b">
        <f>IF($G409&lt;&gt;0,SUMIF(куб!$G:$G,$G409,куб!M:M),IF($E409&lt;&gt;0,SUMIF(куб!$E:$E,$E409,куб!M:M),IF($D409&lt;&gt;0,SUMIF(куб!$D:$D,$D409,куб!M:M),IF($C409&lt;&gt;0,SUMIF(куб!$C:$C,$C409,куб!M:M),IF($B409&lt;&gt;0,SUMIF(куб!$B:$B,$B409,куб!M:M))))))</f>
        <v>0</v>
      </c>
      <c r="V409" s="13" t="str">
        <f t="shared" si="152"/>
        <v>-</v>
      </c>
      <c r="W409" s="5"/>
      <c r="X409" s="27" t="b">
        <f>IF($G409&lt;&gt;0,SUMIF(куб!$G:$G,$G409,куб!N:N),IF($E409&lt;&gt;0,SUMIF(куб!$E:$E,$E409,куб!N:N),IF($D409&lt;&gt;0,SUMIF(куб!$D:$D,$D409,куб!N:N),IF($C409&lt;&gt;0,SUMIF(куб!$C:$C,$C409,куб!N:N),IF($B409&lt;&gt;0,SUMIF(куб!$B:$B,$B409,куб!N:N))))))</f>
        <v>0</v>
      </c>
      <c r="Y409" s="27" t="b">
        <f>IF($G409&lt;&gt;0,SUMIF(куб!$G:$G,$G409,куб!O:O),IF($E409&lt;&gt;0,SUMIF(куб!$E:$E,$E409,куб!O:O),IF($D409&lt;&gt;0,SUMIF(куб!$D:$D,$D409,куб!O:O),IF($C409&lt;&gt;0,SUMIF(куб!$C:$C,$C409,куб!O:O),IF($B409&lt;&gt;0,SUMIF(куб!$B:$B,$B409,куб!O:O))))))</f>
        <v>0</v>
      </c>
      <c r="Z409" s="13" t="str">
        <f t="shared" si="153"/>
        <v>-</v>
      </c>
      <c r="AA409" s="5"/>
      <c r="AB409" s="33" t="str">
        <f t="shared" si="154"/>
        <v/>
      </c>
      <c r="AC409" s="33" t="str">
        <f t="shared" si="155"/>
        <v/>
      </c>
      <c r="AD409" s="15" t="str">
        <f t="shared" si="156"/>
        <v xml:space="preserve"> </v>
      </c>
      <c r="AE409" s="5"/>
      <c r="AF409" s="27" t="b">
        <f>IF($G409&lt;&gt;0,SUMIF(куб!$G:$G,$G409,куб!R:R),IF($E409&lt;&gt;0,SUMIF(куб!$E:$E,$E409,куб!R:R),IF($D409&lt;&gt;0,SUMIF(куб!$D:$D,$D409,куб!R:R),IF($C409&lt;&gt;0,SUMIF(куб!$C:$C,$C409,куб!R:R),IF($B409&lt;&gt;0,SUMIF(куб!$B:$B,$B409,куб!R:R))))))</f>
        <v>0</v>
      </c>
      <c r="AG409" s="27" t="b">
        <f>IF($G409&lt;&gt;0,SUMIF(куб!$G:$G,$G409,куб!S:S),IF($E409&lt;&gt;0,SUMIF(куб!$E:$E,$E409,куб!S:S),IF($D409&lt;&gt;0,SUMIF(куб!$D:$D,$D409,куб!S:S),IF($C409&lt;&gt;0,SUMIF(куб!$C:$C,$C409,куб!S:S),IF($B409&lt;&gt;0,SUMIF(куб!$B:$B,$B409,куб!S:S))))))</f>
        <v>0</v>
      </c>
      <c r="AH409" s="16" t="str">
        <f t="shared" si="157"/>
        <v>-</v>
      </c>
      <c r="AI409" s="8"/>
      <c r="AJ409" s="27" t="b">
        <f>IF($G409&lt;&gt;0,SUMIF(куб!$G:$G,$G409,куб!T:T),IF($E409&lt;&gt;0,SUMIF(куб!$E:$E,$E409,куб!T:T),IF($D409&lt;&gt;0,SUMIF(куб!$D:$D,$D409,куб!T:T),IF($C409&lt;&gt;0,SUMIF(куб!$C:$C,$C409,куб!T:T),IF($B409&lt;&gt;0,SUMIF(куб!$B:$B,$B409,куб!T:T))))))</f>
        <v>0</v>
      </c>
      <c r="AK409" s="27" t="b">
        <f>IF($G409&lt;&gt;0,SUMIF(куб!$G:$G,$G409,куб!U:U),IF($E409&lt;&gt;0,SUMIF(куб!$E:$E,$E409,куб!U:U),IF($D409&lt;&gt;0,SUMIF(куб!$D:$D,$D409,куб!U:U),IF($C409&lt;&gt;0,SUMIF(куб!$C:$C,$C409,куб!U:U),IF($B409&lt;&gt;0,SUMIF(куб!$B:$B,$B409,куб!U:U))))))</f>
        <v>0</v>
      </c>
      <c r="AL409" s="16" t="str">
        <f t="shared" si="158"/>
        <v>-</v>
      </c>
      <c r="AM409" s="8"/>
      <c r="AN409" s="17" t="str">
        <f t="shared" si="159"/>
        <v xml:space="preserve"> </v>
      </c>
      <c r="AO409" s="17" t="str">
        <f t="shared" si="160"/>
        <v xml:space="preserve"> </v>
      </c>
      <c r="AP409" s="16" t="str">
        <f t="shared" si="161"/>
        <v>-</v>
      </c>
      <c r="AQ409" s="8"/>
      <c r="AR409" s="17" t="str">
        <f t="shared" si="162"/>
        <v>-</v>
      </c>
      <c r="AS409" s="17" t="str">
        <f t="shared" si="163"/>
        <v>-</v>
      </c>
      <c r="AT409" s="13" t="str">
        <f t="shared" si="164"/>
        <v>-</v>
      </c>
      <c r="AU409" s="8"/>
    </row>
    <row r="410" spans="1:47" x14ac:dyDescent="0.25">
      <c r="A410" s="31"/>
      <c r="B410" s="31"/>
      <c r="C410"/>
      <c r="D410" s="31"/>
      <c r="E410"/>
      <c r="F410" s="31"/>
      <c r="G410"/>
      <c r="H410" s="27">
        <f>IF($G410&lt;&gt;0,SUMIF(куб!$G:$G,$G410,куб!H:H),IF($E410&lt;&gt;0,SUMIF(куб!$E:$E,$E410,куб!H:H),IF($D410&lt;&gt;0,SUMIF(куб!$D:$D,$D410,куб!H:H),IF($C410&lt;&gt;0,SUMIF(куб!$C:$C,$C410,куб!H:H),IF($B410&lt;&gt;0,SUMIF(куб!$B:$B,$B410,куб!H:H),IF($G410&lt;&gt;0,SUMIF(куб!$A:$A,$G410,куб!H:H),SUMIF(куб!$A:$A,$G410,куб!H:H)))))))</f>
        <v>0</v>
      </c>
      <c r="I410" s="27">
        <f>IF($G410&lt;&gt;0,SUMIF(куб!$G:$G,$G410,куб!I:I),IF($E410&lt;&gt;0,SUMIF(куб!$E:$E,$E410,куб!I:I),IF($D410&lt;&gt;0,SUMIF(куб!$D:$D,$D410,куб!I:I),IF($C410&lt;&gt;0,SUMIF(куб!$C:$C,$C410,куб!I:I),IF($B410&lt;&gt;0,SUMIF(куб!$B:$B,$B410,куб!I:I),IF($G410&lt;&gt;0,SUMIF(куб!$A:$A,$G410,куб!I:I),SUMIF(куб!$A:$A,$G410,куб!I:I)))))))</f>
        <v>0</v>
      </c>
      <c r="J410" s="19" t="str">
        <f t="shared" si="147"/>
        <v>-</v>
      </c>
      <c r="K410" s="8"/>
      <c r="L410" s="17">
        <f t="shared" si="148"/>
        <v>0</v>
      </c>
      <c r="M410" s="17">
        <f t="shared" si="149"/>
        <v>0</v>
      </c>
      <c r="N410" s="12">
        <f t="shared" si="150"/>
        <v>0</v>
      </c>
      <c r="O410" s="5"/>
      <c r="P410" s="27" t="b">
        <f>IF($G410&lt;&gt;0,SUMIF(куб!$G:$G,$G410,куб!J:J),IF($E410&lt;&gt;0,SUMIF(куб!$E:$E,$E410,куб!J:J),IF($D410&lt;&gt;0,SUMIF(куб!$D:$D,$D410,куб!J:J),IF($C410&lt;&gt;0,SUMIF(куб!$C:$C,$C410,куб!J:J),IF($B410&lt;&gt;0,SUMIF(куб!$B:$B,$B410,куб!J:J))))))</f>
        <v>0</v>
      </c>
      <c r="Q410" s="27" t="b">
        <f>IF($G410&lt;&gt;0,SUMIF(куб!$G:$G,$G410,куб!K:K),IF($E410&lt;&gt;0,SUMIF(куб!$E:$E,$E410,куб!K:K),IF($D410&lt;&gt;0,SUMIF(куб!$D:$D,$D410,куб!K:K),IF($C410&lt;&gt;0,SUMIF(куб!$C:$C,$C410,куб!K:K),IF($B410&lt;&gt;0,SUMIF(куб!$B:$B,$B410,куб!K:K))))))</f>
        <v>0</v>
      </c>
      <c r="R410" s="13" t="str">
        <f t="shared" si="151"/>
        <v>-</v>
      </c>
      <c r="S410" s="5"/>
      <c r="T410" s="27" t="b">
        <f>IF($G410&lt;&gt;0,SUMIF(куб!$G:$G,$G410,куб!L:L),IF($E410&lt;&gt;0,SUMIF(куб!$E:$E,$E410,куб!L:L),IF($D410&lt;&gt;0,SUMIF(куб!$D:$D,$D410,куб!L:L),IF($C410&lt;&gt;0,SUMIF(куб!$C:$C,$C410,куб!L:L),IF($B410&lt;&gt;0,SUMIF(куб!$B:$B,$B410,куб!L:L))))))</f>
        <v>0</v>
      </c>
      <c r="U410" s="27" t="b">
        <f>IF($G410&lt;&gt;0,SUMIF(куб!$G:$G,$G410,куб!M:M),IF($E410&lt;&gt;0,SUMIF(куб!$E:$E,$E410,куб!M:M),IF($D410&lt;&gt;0,SUMIF(куб!$D:$D,$D410,куб!M:M),IF($C410&lt;&gt;0,SUMIF(куб!$C:$C,$C410,куб!M:M),IF($B410&lt;&gt;0,SUMIF(куб!$B:$B,$B410,куб!M:M))))))</f>
        <v>0</v>
      </c>
      <c r="V410" s="13" t="str">
        <f t="shared" si="152"/>
        <v>-</v>
      </c>
      <c r="W410" s="5"/>
      <c r="X410" s="27" t="b">
        <f>IF($G410&lt;&gt;0,SUMIF(куб!$G:$G,$G410,куб!N:N),IF($E410&lt;&gt;0,SUMIF(куб!$E:$E,$E410,куб!N:N),IF($D410&lt;&gt;0,SUMIF(куб!$D:$D,$D410,куб!N:N),IF($C410&lt;&gt;0,SUMIF(куб!$C:$C,$C410,куб!N:N),IF($B410&lt;&gt;0,SUMIF(куб!$B:$B,$B410,куб!N:N))))))</f>
        <v>0</v>
      </c>
      <c r="Y410" s="27" t="b">
        <f>IF($G410&lt;&gt;0,SUMIF(куб!$G:$G,$G410,куб!O:O),IF($E410&lt;&gt;0,SUMIF(куб!$E:$E,$E410,куб!O:O),IF($D410&lt;&gt;0,SUMIF(куб!$D:$D,$D410,куб!O:O),IF($C410&lt;&gt;0,SUMIF(куб!$C:$C,$C410,куб!O:O),IF($B410&lt;&gt;0,SUMIF(куб!$B:$B,$B410,куб!O:O))))))</f>
        <v>0</v>
      </c>
      <c r="Z410" s="13" t="str">
        <f t="shared" si="153"/>
        <v>-</v>
      </c>
      <c r="AA410" s="5"/>
      <c r="AB410" s="33" t="str">
        <f t="shared" si="154"/>
        <v/>
      </c>
      <c r="AC410" s="33" t="str">
        <f t="shared" si="155"/>
        <v/>
      </c>
      <c r="AD410" s="15" t="str">
        <f t="shared" si="156"/>
        <v xml:space="preserve"> </v>
      </c>
      <c r="AE410" s="5"/>
      <c r="AF410" s="27" t="b">
        <f>IF($G410&lt;&gt;0,SUMIF(куб!$G:$G,$G410,куб!R:R),IF($E410&lt;&gt;0,SUMIF(куб!$E:$E,$E410,куб!R:R),IF($D410&lt;&gt;0,SUMIF(куб!$D:$D,$D410,куб!R:R),IF($C410&lt;&gt;0,SUMIF(куб!$C:$C,$C410,куб!R:R),IF($B410&lt;&gt;0,SUMIF(куб!$B:$B,$B410,куб!R:R))))))</f>
        <v>0</v>
      </c>
      <c r="AG410" s="27" t="b">
        <f>IF($G410&lt;&gt;0,SUMIF(куб!$G:$G,$G410,куб!S:S),IF($E410&lt;&gt;0,SUMIF(куб!$E:$E,$E410,куб!S:S),IF($D410&lt;&gt;0,SUMIF(куб!$D:$D,$D410,куб!S:S),IF($C410&lt;&gt;0,SUMIF(куб!$C:$C,$C410,куб!S:S),IF($B410&lt;&gt;0,SUMIF(куб!$B:$B,$B410,куб!S:S))))))</f>
        <v>0</v>
      </c>
      <c r="AH410" s="16" t="str">
        <f t="shared" si="157"/>
        <v>-</v>
      </c>
      <c r="AI410" s="8"/>
      <c r="AJ410" s="27" t="b">
        <f>IF($G410&lt;&gt;0,SUMIF(куб!$G:$G,$G410,куб!T:T),IF($E410&lt;&gt;0,SUMIF(куб!$E:$E,$E410,куб!T:T),IF($D410&lt;&gt;0,SUMIF(куб!$D:$D,$D410,куб!T:T),IF($C410&lt;&gt;0,SUMIF(куб!$C:$C,$C410,куб!T:T),IF($B410&lt;&gt;0,SUMIF(куб!$B:$B,$B410,куб!T:T))))))</f>
        <v>0</v>
      </c>
      <c r="AK410" s="27" t="b">
        <f>IF($G410&lt;&gt;0,SUMIF(куб!$G:$G,$G410,куб!U:U),IF($E410&lt;&gt;0,SUMIF(куб!$E:$E,$E410,куб!U:U),IF($D410&lt;&gt;0,SUMIF(куб!$D:$D,$D410,куб!U:U),IF($C410&lt;&gt;0,SUMIF(куб!$C:$C,$C410,куб!U:U),IF($B410&lt;&gt;0,SUMIF(куб!$B:$B,$B410,куб!U:U))))))</f>
        <v>0</v>
      </c>
      <c r="AL410" s="16" t="str">
        <f t="shared" si="158"/>
        <v>-</v>
      </c>
      <c r="AM410" s="8"/>
      <c r="AN410" s="17" t="str">
        <f t="shared" si="159"/>
        <v xml:space="preserve"> </v>
      </c>
      <c r="AO410" s="17" t="str">
        <f t="shared" si="160"/>
        <v xml:space="preserve"> </v>
      </c>
      <c r="AP410" s="16" t="str">
        <f t="shared" si="161"/>
        <v>-</v>
      </c>
      <c r="AQ410" s="8"/>
      <c r="AR410" s="17" t="str">
        <f t="shared" si="162"/>
        <v>-</v>
      </c>
      <c r="AS410" s="17" t="str">
        <f t="shared" si="163"/>
        <v>-</v>
      </c>
      <c r="AT410" s="13" t="str">
        <f t="shared" si="164"/>
        <v>-</v>
      </c>
      <c r="AU410" s="8"/>
    </row>
    <row r="411" spans="1:47" x14ac:dyDescent="0.25">
      <c r="A411" s="31"/>
      <c r="B411" s="31"/>
      <c r="C411"/>
      <c r="D411" s="31"/>
      <c r="E411"/>
      <c r="F411" s="31"/>
      <c r="G411"/>
      <c r="H411" s="27">
        <f>IF($G411&lt;&gt;0,SUMIF(куб!$G:$G,$G411,куб!H:H),IF($E411&lt;&gt;0,SUMIF(куб!$E:$E,$E411,куб!H:H),IF($D411&lt;&gt;0,SUMIF(куб!$D:$D,$D411,куб!H:H),IF($C411&lt;&gt;0,SUMIF(куб!$C:$C,$C411,куб!H:H),IF($B411&lt;&gt;0,SUMIF(куб!$B:$B,$B411,куб!H:H),IF($G411&lt;&gt;0,SUMIF(куб!$A:$A,$G411,куб!H:H),SUMIF(куб!$A:$A,$G411,куб!H:H)))))))</f>
        <v>0</v>
      </c>
      <c r="I411" s="27">
        <f>IF($G411&lt;&gt;0,SUMIF(куб!$G:$G,$G411,куб!I:I),IF($E411&lt;&gt;0,SUMIF(куб!$E:$E,$E411,куб!I:I),IF($D411&lt;&gt;0,SUMIF(куб!$D:$D,$D411,куб!I:I),IF($C411&lt;&gt;0,SUMIF(куб!$C:$C,$C411,куб!I:I),IF($B411&lt;&gt;0,SUMIF(куб!$B:$B,$B411,куб!I:I),IF($G411&lt;&gt;0,SUMIF(куб!$A:$A,$G411,куб!I:I),SUMIF(куб!$A:$A,$G411,куб!I:I)))))))</f>
        <v>0</v>
      </c>
      <c r="J411" s="19" t="str">
        <f t="shared" si="147"/>
        <v>-</v>
      </c>
      <c r="K411" s="8"/>
      <c r="L411" s="17">
        <f t="shared" si="148"/>
        <v>0</v>
      </c>
      <c r="M411" s="17">
        <f t="shared" si="149"/>
        <v>0</v>
      </c>
      <c r="N411" s="12">
        <f t="shared" si="150"/>
        <v>0</v>
      </c>
      <c r="O411" s="5"/>
      <c r="P411" s="27" t="b">
        <f>IF($G411&lt;&gt;0,SUMIF(куб!$G:$G,$G411,куб!J:J),IF($E411&lt;&gt;0,SUMIF(куб!$E:$E,$E411,куб!J:J),IF($D411&lt;&gt;0,SUMIF(куб!$D:$D,$D411,куб!J:J),IF($C411&lt;&gt;0,SUMIF(куб!$C:$C,$C411,куб!J:J),IF($B411&lt;&gt;0,SUMIF(куб!$B:$B,$B411,куб!J:J))))))</f>
        <v>0</v>
      </c>
      <c r="Q411" s="27" t="b">
        <f>IF($G411&lt;&gt;0,SUMIF(куб!$G:$G,$G411,куб!K:K),IF($E411&lt;&gt;0,SUMIF(куб!$E:$E,$E411,куб!K:K),IF($D411&lt;&gt;0,SUMIF(куб!$D:$D,$D411,куб!K:K),IF($C411&lt;&gt;0,SUMIF(куб!$C:$C,$C411,куб!K:K),IF($B411&lt;&gt;0,SUMIF(куб!$B:$B,$B411,куб!K:K))))))</f>
        <v>0</v>
      </c>
      <c r="R411" s="13" t="str">
        <f t="shared" si="151"/>
        <v>-</v>
      </c>
      <c r="S411" s="5"/>
      <c r="T411" s="27" t="b">
        <f>IF($G411&lt;&gt;0,SUMIF(куб!$G:$G,$G411,куб!L:L),IF($E411&lt;&gt;0,SUMIF(куб!$E:$E,$E411,куб!L:L),IF($D411&lt;&gt;0,SUMIF(куб!$D:$D,$D411,куб!L:L),IF($C411&lt;&gt;0,SUMIF(куб!$C:$C,$C411,куб!L:L),IF($B411&lt;&gt;0,SUMIF(куб!$B:$B,$B411,куб!L:L))))))</f>
        <v>0</v>
      </c>
      <c r="U411" s="27" t="b">
        <f>IF($G411&lt;&gt;0,SUMIF(куб!$G:$G,$G411,куб!M:M),IF($E411&lt;&gt;0,SUMIF(куб!$E:$E,$E411,куб!M:M),IF($D411&lt;&gt;0,SUMIF(куб!$D:$D,$D411,куб!M:M),IF($C411&lt;&gt;0,SUMIF(куб!$C:$C,$C411,куб!M:M),IF($B411&lt;&gt;0,SUMIF(куб!$B:$B,$B411,куб!M:M))))))</f>
        <v>0</v>
      </c>
      <c r="V411" s="13" t="str">
        <f t="shared" si="152"/>
        <v>-</v>
      </c>
      <c r="W411" s="5"/>
      <c r="X411" s="27" t="b">
        <f>IF($G411&lt;&gt;0,SUMIF(куб!$G:$G,$G411,куб!N:N),IF($E411&lt;&gt;0,SUMIF(куб!$E:$E,$E411,куб!N:N),IF($D411&lt;&gt;0,SUMIF(куб!$D:$D,$D411,куб!N:N),IF($C411&lt;&gt;0,SUMIF(куб!$C:$C,$C411,куб!N:N),IF($B411&lt;&gt;0,SUMIF(куб!$B:$B,$B411,куб!N:N))))))</f>
        <v>0</v>
      </c>
      <c r="Y411" s="27" t="b">
        <f>IF($G411&lt;&gt;0,SUMIF(куб!$G:$G,$G411,куб!O:O),IF($E411&lt;&gt;0,SUMIF(куб!$E:$E,$E411,куб!O:O),IF($D411&lt;&gt;0,SUMIF(куб!$D:$D,$D411,куб!O:O),IF($C411&lt;&gt;0,SUMIF(куб!$C:$C,$C411,куб!O:O),IF($B411&lt;&gt;0,SUMIF(куб!$B:$B,$B411,куб!O:O))))))</f>
        <v>0</v>
      </c>
      <c r="Z411" s="13" t="str">
        <f t="shared" si="153"/>
        <v>-</v>
      </c>
      <c r="AA411" s="5"/>
      <c r="AB411" s="33" t="str">
        <f t="shared" si="154"/>
        <v/>
      </c>
      <c r="AC411" s="33" t="str">
        <f t="shared" si="155"/>
        <v/>
      </c>
      <c r="AD411" s="15" t="str">
        <f t="shared" si="156"/>
        <v xml:space="preserve"> </v>
      </c>
      <c r="AE411" s="5"/>
      <c r="AF411" s="27" t="b">
        <f>IF($G411&lt;&gt;0,SUMIF(куб!$G:$G,$G411,куб!R:R),IF($E411&lt;&gt;0,SUMIF(куб!$E:$E,$E411,куб!R:R),IF($D411&lt;&gt;0,SUMIF(куб!$D:$D,$D411,куб!R:R),IF($C411&lt;&gt;0,SUMIF(куб!$C:$C,$C411,куб!R:R),IF($B411&lt;&gt;0,SUMIF(куб!$B:$B,$B411,куб!R:R))))))</f>
        <v>0</v>
      </c>
      <c r="AG411" s="27" t="b">
        <f>IF($G411&lt;&gt;0,SUMIF(куб!$G:$G,$G411,куб!S:S),IF($E411&lt;&gt;0,SUMIF(куб!$E:$E,$E411,куб!S:S),IF($D411&lt;&gt;0,SUMIF(куб!$D:$D,$D411,куб!S:S),IF($C411&lt;&gt;0,SUMIF(куб!$C:$C,$C411,куб!S:S),IF($B411&lt;&gt;0,SUMIF(куб!$B:$B,$B411,куб!S:S))))))</f>
        <v>0</v>
      </c>
      <c r="AH411" s="16" t="str">
        <f t="shared" si="157"/>
        <v>-</v>
      </c>
      <c r="AI411" s="8"/>
      <c r="AJ411" s="27" t="b">
        <f>IF($G411&lt;&gt;0,SUMIF(куб!$G:$G,$G411,куб!T:T),IF($E411&lt;&gt;0,SUMIF(куб!$E:$E,$E411,куб!T:T),IF($D411&lt;&gt;0,SUMIF(куб!$D:$D,$D411,куб!T:T),IF($C411&lt;&gt;0,SUMIF(куб!$C:$C,$C411,куб!T:T),IF($B411&lt;&gt;0,SUMIF(куб!$B:$B,$B411,куб!T:T))))))</f>
        <v>0</v>
      </c>
      <c r="AK411" s="27" t="b">
        <f>IF($G411&lt;&gt;0,SUMIF(куб!$G:$G,$G411,куб!U:U),IF($E411&lt;&gt;0,SUMIF(куб!$E:$E,$E411,куб!U:U),IF($D411&lt;&gt;0,SUMIF(куб!$D:$D,$D411,куб!U:U),IF($C411&lt;&gt;0,SUMIF(куб!$C:$C,$C411,куб!U:U),IF($B411&lt;&gt;0,SUMIF(куб!$B:$B,$B411,куб!U:U))))))</f>
        <v>0</v>
      </c>
      <c r="AL411" s="16" t="str">
        <f t="shared" si="158"/>
        <v>-</v>
      </c>
      <c r="AM411" s="8"/>
      <c r="AN411" s="17" t="str">
        <f t="shared" si="159"/>
        <v xml:space="preserve"> </v>
      </c>
      <c r="AO411" s="17" t="str">
        <f t="shared" si="160"/>
        <v xml:space="preserve"> </v>
      </c>
      <c r="AP411" s="16" t="str">
        <f t="shared" si="161"/>
        <v>-</v>
      </c>
      <c r="AQ411" s="8"/>
      <c r="AR411" s="17" t="str">
        <f t="shared" si="162"/>
        <v>-</v>
      </c>
      <c r="AS411" s="17" t="str">
        <f t="shared" si="163"/>
        <v>-</v>
      </c>
      <c r="AT411" s="13" t="str">
        <f t="shared" si="164"/>
        <v>-</v>
      </c>
      <c r="AU411" s="8"/>
    </row>
    <row r="412" spans="1:47" x14ac:dyDescent="0.25">
      <c r="A412" s="31"/>
      <c r="B412" s="31"/>
      <c r="C412"/>
      <c r="D412" s="31"/>
      <c r="E412"/>
      <c r="F412" s="31"/>
      <c r="G412"/>
      <c r="H412" s="27">
        <f>IF($G412&lt;&gt;0,SUMIF(куб!$G:$G,$G412,куб!H:H),IF($E412&lt;&gt;0,SUMIF(куб!$E:$E,$E412,куб!H:H),IF($D412&lt;&gt;0,SUMIF(куб!$D:$D,$D412,куб!H:H),IF($C412&lt;&gt;0,SUMIF(куб!$C:$C,$C412,куб!H:H),IF($B412&lt;&gt;0,SUMIF(куб!$B:$B,$B412,куб!H:H),IF($G412&lt;&gt;0,SUMIF(куб!$A:$A,$G412,куб!H:H),SUMIF(куб!$A:$A,$G412,куб!H:H)))))))</f>
        <v>0</v>
      </c>
      <c r="I412" s="27">
        <f>IF($G412&lt;&gt;0,SUMIF(куб!$G:$G,$G412,куб!I:I),IF($E412&lt;&gt;0,SUMIF(куб!$E:$E,$E412,куб!I:I),IF($D412&lt;&gt;0,SUMIF(куб!$D:$D,$D412,куб!I:I),IF($C412&lt;&gt;0,SUMIF(куб!$C:$C,$C412,куб!I:I),IF($B412&lt;&gt;0,SUMIF(куб!$B:$B,$B412,куб!I:I),IF($G412&lt;&gt;0,SUMIF(куб!$A:$A,$G412,куб!I:I),SUMIF(куб!$A:$A,$G412,куб!I:I)))))))</f>
        <v>0</v>
      </c>
      <c r="J412" s="19" t="str">
        <f t="shared" si="147"/>
        <v>-</v>
      </c>
      <c r="K412" s="8"/>
      <c r="L412" s="17">
        <f t="shared" si="148"/>
        <v>0</v>
      </c>
      <c r="M412" s="17">
        <f t="shared" si="149"/>
        <v>0</v>
      </c>
      <c r="N412" s="12">
        <f t="shared" si="150"/>
        <v>0</v>
      </c>
      <c r="O412" s="5"/>
      <c r="P412" s="27" t="b">
        <f>IF($G412&lt;&gt;0,SUMIF(куб!$G:$G,$G412,куб!J:J),IF($E412&lt;&gt;0,SUMIF(куб!$E:$E,$E412,куб!J:J),IF($D412&lt;&gt;0,SUMIF(куб!$D:$D,$D412,куб!J:J),IF($C412&lt;&gt;0,SUMIF(куб!$C:$C,$C412,куб!J:J),IF($B412&lt;&gt;0,SUMIF(куб!$B:$B,$B412,куб!J:J))))))</f>
        <v>0</v>
      </c>
      <c r="Q412" s="27" t="b">
        <f>IF($G412&lt;&gt;0,SUMIF(куб!$G:$G,$G412,куб!K:K),IF($E412&lt;&gt;0,SUMIF(куб!$E:$E,$E412,куб!K:K),IF($D412&lt;&gt;0,SUMIF(куб!$D:$D,$D412,куб!K:K),IF($C412&lt;&gt;0,SUMIF(куб!$C:$C,$C412,куб!K:K),IF($B412&lt;&gt;0,SUMIF(куб!$B:$B,$B412,куб!K:K))))))</f>
        <v>0</v>
      </c>
      <c r="R412" s="13" t="str">
        <f t="shared" si="151"/>
        <v>-</v>
      </c>
      <c r="S412" s="5"/>
      <c r="T412" s="27" t="b">
        <f>IF($G412&lt;&gt;0,SUMIF(куб!$G:$G,$G412,куб!L:L),IF($E412&lt;&gt;0,SUMIF(куб!$E:$E,$E412,куб!L:L),IF($D412&lt;&gt;0,SUMIF(куб!$D:$D,$D412,куб!L:L),IF($C412&lt;&gt;0,SUMIF(куб!$C:$C,$C412,куб!L:L),IF($B412&lt;&gt;0,SUMIF(куб!$B:$B,$B412,куб!L:L))))))</f>
        <v>0</v>
      </c>
      <c r="U412" s="27" t="b">
        <f>IF($G412&lt;&gt;0,SUMIF(куб!$G:$G,$G412,куб!M:M),IF($E412&lt;&gt;0,SUMIF(куб!$E:$E,$E412,куб!M:M),IF($D412&lt;&gt;0,SUMIF(куб!$D:$D,$D412,куб!M:M),IF($C412&lt;&gt;0,SUMIF(куб!$C:$C,$C412,куб!M:M),IF($B412&lt;&gt;0,SUMIF(куб!$B:$B,$B412,куб!M:M))))))</f>
        <v>0</v>
      </c>
      <c r="V412" s="13" t="str">
        <f t="shared" si="152"/>
        <v>-</v>
      </c>
      <c r="W412" s="5"/>
      <c r="X412" s="27" t="b">
        <f>IF($G412&lt;&gt;0,SUMIF(куб!$G:$G,$G412,куб!N:N),IF($E412&lt;&gt;0,SUMIF(куб!$E:$E,$E412,куб!N:N),IF($D412&lt;&gt;0,SUMIF(куб!$D:$D,$D412,куб!N:N),IF($C412&lt;&gt;0,SUMIF(куб!$C:$C,$C412,куб!N:N),IF($B412&lt;&gt;0,SUMIF(куб!$B:$B,$B412,куб!N:N))))))</f>
        <v>0</v>
      </c>
      <c r="Y412" s="27" t="b">
        <f>IF($G412&lt;&gt;0,SUMIF(куб!$G:$G,$G412,куб!O:O),IF($E412&lt;&gt;0,SUMIF(куб!$E:$E,$E412,куб!O:O),IF($D412&lt;&gt;0,SUMIF(куб!$D:$D,$D412,куб!O:O),IF($C412&lt;&gt;0,SUMIF(куб!$C:$C,$C412,куб!O:O),IF($B412&lt;&gt;0,SUMIF(куб!$B:$B,$B412,куб!O:O))))))</f>
        <v>0</v>
      </c>
      <c r="Z412" s="13" t="str">
        <f t="shared" si="153"/>
        <v>-</v>
      </c>
      <c r="AA412" s="5"/>
      <c r="AB412" s="33" t="str">
        <f t="shared" si="154"/>
        <v/>
      </c>
      <c r="AC412" s="33" t="str">
        <f t="shared" si="155"/>
        <v/>
      </c>
      <c r="AD412" s="15" t="str">
        <f t="shared" si="156"/>
        <v xml:space="preserve"> </v>
      </c>
      <c r="AE412" s="5"/>
      <c r="AF412" s="27" t="b">
        <f>IF($G412&lt;&gt;0,SUMIF(куб!$G:$G,$G412,куб!R:R),IF($E412&lt;&gt;0,SUMIF(куб!$E:$E,$E412,куб!R:R),IF($D412&lt;&gt;0,SUMIF(куб!$D:$D,$D412,куб!R:R),IF($C412&lt;&gt;0,SUMIF(куб!$C:$C,$C412,куб!R:R),IF($B412&lt;&gt;0,SUMIF(куб!$B:$B,$B412,куб!R:R))))))</f>
        <v>0</v>
      </c>
      <c r="AG412" s="27" t="b">
        <f>IF($G412&lt;&gt;0,SUMIF(куб!$G:$G,$G412,куб!S:S),IF($E412&lt;&gt;0,SUMIF(куб!$E:$E,$E412,куб!S:S),IF($D412&lt;&gt;0,SUMIF(куб!$D:$D,$D412,куб!S:S),IF($C412&lt;&gt;0,SUMIF(куб!$C:$C,$C412,куб!S:S),IF($B412&lt;&gt;0,SUMIF(куб!$B:$B,$B412,куб!S:S))))))</f>
        <v>0</v>
      </c>
      <c r="AH412" s="16" t="str">
        <f t="shared" si="157"/>
        <v>-</v>
      </c>
      <c r="AI412" s="8"/>
      <c r="AJ412" s="27" t="b">
        <f>IF($G412&lt;&gt;0,SUMIF(куб!$G:$G,$G412,куб!T:T),IF($E412&lt;&gt;0,SUMIF(куб!$E:$E,$E412,куб!T:T),IF($D412&lt;&gt;0,SUMIF(куб!$D:$D,$D412,куб!T:T),IF($C412&lt;&gt;0,SUMIF(куб!$C:$C,$C412,куб!T:T),IF($B412&lt;&gt;0,SUMIF(куб!$B:$B,$B412,куб!T:T))))))</f>
        <v>0</v>
      </c>
      <c r="AK412" s="27" t="b">
        <f>IF($G412&lt;&gt;0,SUMIF(куб!$G:$G,$G412,куб!U:U),IF($E412&lt;&gt;0,SUMIF(куб!$E:$E,$E412,куб!U:U),IF($D412&lt;&gt;0,SUMIF(куб!$D:$D,$D412,куб!U:U),IF($C412&lt;&gt;0,SUMIF(куб!$C:$C,$C412,куб!U:U),IF($B412&lt;&gt;0,SUMIF(куб!$B:$B,$B412,куб!U:U))))))</f>
        <v>0</v>
      </c>
      <c r="AL412" s="16" t="str">
        <f t="shared" si="158"/>
        <v>-</v>
      </c>
      <c r="AM412" s="8"/>
      <c r="AN412" s="17" t="str">
        <f t="shared" si="159"/>
        <v xml:space="preserve"> </v>
      </c>
      <c r="AO412" s="17" t="str">
        <f t="shared" si="160"/>
        <v xml:space="preserve"> </v>
      </c>
      <c r="AP412" s="16" t="str">
        <f t="shared" si="161"/>
        <v>-</v>
      </c>
      <c r="AQ412" s="8"/>
      <c r="AR412" s="17" t="str">
        <f t="shared" si="162"/>
        <v>-</v>
      </c>
      <c r="AS412" s="17" t="str">
        <f t="shared" si="163"/>
        <v>-</v>
      </c>
      <c r="AT412" s="13" t="str">
        <f t="shared" si="164"/>
        <v>-</v>
      </c>
      <c r="AU412" s="8"/>
    </row>
    <row r="413" spans="1:47" x14ac:dyDescent="0.25">
      <c r="A413" s="31"/>
      <c r="B413" s="31"/>
      <c r="C413"/>
      <c r="D413" s="31"/>
      <c r="E413"/>
      <c r="F413" s="31"/>
      <c r="G413"/>
      <c r="H413" s="27">
        <f>IF($G413&lt;&gt;0,SUMIF(куб!$G:$G,$G413,куб!H:H),IF($E413&lt;&gt;0,SUMIF(куб!$E:$E,$E413,куб!H:H),IF($D413&lt;&gt;0,SUMIF(куб!$D:$D,$D413,куб!H:H),IF($C413&lt;&gt;0,SUMIF(куб!$C:$C,$C413,куб!H:H),IF($B413&lt;&gt;0,SUMIF(куб!$B:$B,$B413,куб!H:H),IF($G413&lt;&gt;0,SUMIF(куб!$A:$A,$G413,куб!H:H),SUMIF(куб!$A:$A,$G413,куб!H:H)))))))</f>
        <v>0</v>
      </c>
      <c r="I413" s="27">
        <f>IF($G413&lt;&gt;0,SUMIF(куб!$G:$G,$G413,куб!I:I),IF($E413&lt;&gt;0,SUMIF(куб!$E:$E,$E413,куб!I:I),IF($D413&lt;&gt;0,SUMIF(куб!$D:$D,$D413,куб!I:I),IF($C413&lt;&gt;0,SUMIF(куб!$C:$C,$C413,куб!I:I),IF($B413&lt;&gt;0,SUMIF(куб!$B:$B,$B413,куб!I:I),IF($G413&lt;&gt;0,SUMIF(куб!$A:$A,$G413,куб!I:I),SUMIF(куб!$A:$A,$G413,куб!I:I)))))))</f>
        <v>0</v>
      </c>
      <c r="J413" s="19" t="str">
        <f t="shared" si="147"/>
        <v>-</v>
      </c>
      <c r="K413" s="8"/>
      <c r="L413" s="17">
        <f t="shared" si="148"/>
        <v>0</v>
      </c>
      <c r="M413" s="17">
        <f t="shared" si="149"/>
        <v>0</v>
      </c>
      <c r="N413" s="12">
        <f t="shared" si="150"/>
        <v>0</v>
      </c>
      <c r="O413" s="5"/>
      <c r="P413" s="27" t="b">
        <f>IF($G413&lt;&gt;0,SUMIF(куб!$G:$G,$G413,куб!J:J),IF($E413&lt;&gt;0,SUMIF(куб!$E:$E,$E413,куб!J:J),IF($D413&lt;&gt;0,SUMIF(куб!$D:$D,$D413,куб!J:J),IF($C413&lt;&gt;0,SUMIF(куб!$C:$C,$C413,куб!J:J),IF($B413&lt;&gt;0,SUMIF(куб!$B:$B,$B413,куб!J:J))))))</f>
        <v>0</v>
      </c>
      <c r="Q413" s="27" t="b">
        <f>IF($G413&lt;&gt;0,SUMIF(куб!$G:$G,$G413,куб!K:K),IF($E413&lt;&gt;0,SUMIF(куб!$E:$E,$E413,куб!K:K),IF($D413&lt;&gt;0,SUMIF(куб!$D:$D,$D413,куб!K:K),IF($C413&lt;&gt;0,SUMIF(куб!$C:$C,$C413,куб!K:K),IF($B413&lt;&gt;0,SUMIF(куб!$B:$B,$B413,куб!K:K))))))</f>
        <v>0</v>
      </c>
      <c r="R413" s="13" t="str">
        <f t="shared" si="151"/>
        <v>-</v>
      </c>
      <c r="S413" s="5"/>
      <c r="T413" s="27" t="b">
        <f>IF($G413&lt;&gt;0,SUMIF(куб!$G:$G,$G413,куб!L:L),IF($E413&lt;&gt;0,SUMIF(куб!$E:$E,$E413,куб!L:L),IF($D413&lt;&gt;0,SUMIF(куб!$D:$D,$D413,куб!L:L),IF($C413&lt;&gt;0,SUMIF(куб!$C:$C,$C413,куб!L:L),IF($B413&lt;&gt;0,SUMIF(куб!$B:$B,$B413,куб!L:L))))))</f>
        <v>0</v>
      </c>
      <c r="U413" s="27" t="b">
        <f>IF($G413&lt;&gt;0,SUMIF(куб!$G:$G,$G413,куб!M:M),IF($E413&lt;&gt;0,SUMIF(куб!$E:$E,$E413,куб!M:M),IF($D413&lt;&gt;0,SUMIF(куб!$D:$D,$D413,куб!M:M),IF($C413&lt;&gt;0,SUMIF(куб!$C:$C,$C413,куб!M:M),IF($B413&lt;&gt;0,SUMIF(куб!$B:$B,$B413,куб!M:M))))))</f>
        <v>0</v>
      </c>
      <c r="V413" s="13" t="str">
        <f t="shared" si="152"/>
        <v>-</v>
      </c>
      <c r="W413" s="5"/>
      <c r="X413" s="27" t="b">
        <f>IF($G413&lt;&gt;0,SUMIF(куб!$G:$G,$G413,куб!N:N),IF($E413&lt;&gt;0,SUMIF(куб!$E:$E,$E413,куб!N:N),IF($D413&lt;&gt;0,SUMIF(куб!$D:$D,$D413,куб!N:N),IF($C413&lt;&gt;0,SUMIF(куб!$C:$C,$C413,куб!N:N),IF($B413&lt;&gt;0,SUMIF(куб!$B:$B,$B413,куб!N:N))))))</f>
        <v>0</v>
      </c>
      <c r="Y413" s="27" t="b">
        <f>IF($G413&lt;&gt;0,SUMIF(куб!$G:$G,$G413,куб!O:O),IF($E413&lt;&gt;0,SUMIF(куб!$E:$E,$E413,куб!O:O),IF($D413&lt;&gt;0,SUMIF(куб!$D:$D,$D413,куб!O:O),IF($C413&lt;&gt;0,SUMIF(куб!$C:$C,$C413,куб!O:O),IF($B413&lt;&gt;0,SUMIF(куб!$B:$B,$B413,куб!O:O))))))</f>
        <v>0</v>
      </c>
      <c r="Z413" s="13" t="str">
        <f t="shared" si="153"/>
        <v>-</v>
      </c>
      <c r="AA413" s="5"/>
      <c r="AB413" s="33" t="str">
        <f t="shared" si="154"/>
        <v/>
      </c>
      <c r="AC413" s="33" t="str">
        <f t="shared" si="155"/>
        <v/>
      </c>
      <c r="AD413" s="15" t="str">
        <f t="shared" si="156"/>
        <v xml:space="preserve"> </v>
      </c>
      <c r="AE413" s="5"/>
      <c r="AF413" s="27" t="b">
        <f>IF($G413&lt;&gt;0,SUMIF(куб!$G:$G,$G413,куб!R:R),IF($E413&lt;&gt;0,SUMIF(куб!$E:$E,$E413,куб!R:R),IF($D413&lt;&gt;0,SUMIF(куб!$D:$D,$D413,куб!R:R),IF($C413&lt;&gt;0,SUMIF(куб!$C:$C,$C413,куб!R:R),IF($B413&lt;&gt;0,SUMIF(куб!$B:$B,$B413,куб!R:R))))))</f>
        <v>0</v>
      </c>
      <c r="AG413" s="27" t="b">
        <f>IF($G413&lt;&gt;0,SUMIF(куб!$G:$G,$G413,куб!S:S),IF($E413&lt;&gt;0,SUMIF(куб!$E:$E,$E413,куб!S:S),IF($D413&lt;&gt;0,SUMIF(куб!$D:$D,$D413,куб!S:S),IF($C413&lt;&gt;0,SUMIF(куб!$C:$C,$C413,куб!S:S),IF($B413&lt;&gt;0,SUMIF(куб!$B:$B,$B413,куб!S:S))))))</f>
        <v>0</v>
      </c>
      <c r="AH413" s="16" t="str">
        <f t="shared" si="157"/>
        <v>-</v>
      </c>
      <c r="AI413" s="8"/>
      <c r="AJ413" s="27" t="b">
        <f>IF($G413&lt;&gt;0,SUMIF(куб!$G:$G,$G413,куб!T:T),IF($E413&lt;&gt;0,SUMIF(куб!$E:$E,$E413,куб!T:T),IF($D413&lt;&gt;0,SUMIF(куб!$D:$D,$D413,куб!T:T),IF($C413&lt;&gt;0,SUMIF(куб!$C:$C,$C413,куб!T:T),IF($B413&lt;&gt;0,SUMIF(куб!$B:$B,$B413,куб!T:T))))))</f>
        <v>0</v>
      </c>
      <c r="AK413" s="27" t="b">
        <f>IF($G413&lt;&gt;0,SUMIF(куб!$G:$G,$G413,куб!U:U),IF($E413&lt;&gt;0,SUMIF(куб!$E:$E,$E413,куб!U:U),IF($D413&lt;&gt;0,SUMIF(куб!$D:$D,$D413,куб!U:U),IF($C413&lt;&gt;0,SUMIF(куб!$C:$C,$C413,куб!U:U),IF($B413&lt;&gt;0,SUMIF(куб!$B:$B,$B413,куб!U:U))))))</f>
        <v>0</v>
      </c>
      <c r="AL413" s="16" t="str">
        <f t="shared" si="158"/>
        <v>-</v>
      </c>
      <c r="AM413" s="8"/>
      <c r="AN413" s="17" t="str">
        <f t="shared" si="159"/>
        <v xml:space="preserve"> </v>
      </c>
      <c r="AO413" s="17" t="str">
        <f t="shared" si="160"/>
        <v xml:space="preserve"> </v>
      </c>
      <c r="AP413" s="16" t="str">
        <f t="shared" si="161"/>
        <v>-</v>
      </c>
      <c r="AQ413" s="8"/>
      <c r="AR413" s="17" t="str">
        <f t="shared" si="162"/>
        <v>-</v>
      </c>
      <c r="AS413" s="17" t="str">
        <f t="shared" si="163"/>
        <v>-</v>
      </c>
      <c r="AT413" s="13" t="str">
        <f t="shared" si="164"/>
        <v>-</v>
      </c>
      <c r="AU413" s="8"/>
    </row>
    <row r="414" spans="1:47" x14ac:dyDescent="0.25">
      <c r="A414" s="31"/>
      <c r="B414" s="31"/>
      <c r="C414"/>
      <c r="D414" s="31"/>
      <c r="E414"/>
      <c r="F414" s="31"/>
      <c r="G414"/>
      <c r="H414" s="27">
        <f>IF($G414&lt;&gt;0,SUMIF(куб!$G:$G,$G414,куб!H:H),IF($E414&lt;&gt;0,SUMIF(куб!$E:$E,$E414,куб!H:H),IF($D414&lt;&gt;0,SUMIF(куб!$D:$D,$D414,куб!H:H),IF($C414&lt;&gt;0,SUMIF(куб!$C:$C,$C414,куб!H:H),IF($B414&lt;&gt;0,SUMIF(куб!$B:$B,$B414,куб!H:H),IF($G414&lt;&gt;0,SUMIF(куб!$A:$A,$G414,куб!H:H),SUMIF(куб!$A:$A,$G414,куб!H:H)))))))</f>
        <v>0</v>
      </c>
      <c r="I414" s="27">
        <f>IF($G414&lt;&gt;0,SUMIF(куб!$G:$G,$G414,куб!I:I),IF($E414&lt;&gt;0,SUMIF(куб!$E:$E,$E414,куб!I:I),IF($D414&lt;&gt;0,SUMIF(куб!$D:$D,$D414,куб!I:I),IF($C414&lt;&gt;0,SUMIF(куб!$C:$C,$C414,куб!I:I),IF($B414&lt;&gt;0,SUMIF(куб!$B:$B,$B414,куб!I:I),IF($G414&lt;&gt;0,SUMIF(куб!$A:$A,$G414,куб!I:I),SUMIF(куб!$A:$A,$G414,куб!I:I)))))))</f>
        <v>0</v>
      </c>
      <c r="J414" s="19" t="str">
        <f t="shared" si="147"/>
        <v>-</v>
      </c>
      <c r="K414" s="8"/>
      <c r="L414" s="17">
        <f t="shared" si="148"/>
        <v>0</v>
      </c>
      <c r="M414" s="17">
        <f t="shared" si="149"/>
        <v>0</v>
      </c>
      <c r="N414" s="12">
        <f t="shared" si="150"/>
        <v>0</v>
      </c>
      <c r="O414" s="5"/>
      <c r="P414" s="27" t="b">
        <f>IF($G414&lt;&gt;0,SUMIF(куб!$G:$G,$G414,куб!J:J),IF($E414&lt;&gt;0,SUMIF(куб!$E:$E,$E414,куб!J:J),IF($D414&lt;&gt;0,SUMIF(куб!$D:$D,$D414,куб!J:J),IF($C414&lt;&gt;0,SUMIF(куб!$C:$C,$C414,куб!J:J),IF($B414&lt;&gt;0,SUMIF(куб!$B:$B,$B414,куб!J:J))))))</f>
        <v>0</v>
      </c>
      <c r="Q414" s="27" t="b">
        <f>IF($G414&lt;&gt;0,SUMIF(куб!$G:$G,$G414,куб!K:K),IF($E414&lt;&gt;0,SUMIF(куб!$E:$E,$E414,куб!K:K),IF($D414&lt;&gt;0,SUMIF(куб!$D:$D,$D414,куб!K:K),IF($C414&lt;&gt;0,SUMIF(куб!$C:$C,$C414,куб!K:K),IF($B414&lt;&gt;0,SUMIF(куб!$B:$B,$B414,куб!K:K))))))</f>
        <v>0</v>
      </c>
      <c r="R414" s="13" t="str">
        <f t="shared" si="151"/>
        <v>-</v>
      </c>
      <c r="S414" s="5"/>
      <c r="T414" s="27" t="b">
        <f>IF($G414&lt;&gt;0,SUMIF(куб!$G:$G,$G414,куб!L:L),IF($E414&lt;&gt;0,SUMIF(куб!$E:$E,$E414,куб!L:L),IF($D414&lt;&gt;0,SUMIF(куб!$D:$D,$D414,куб!L:L),IF($C414&lt;&gt;0,SUMIF(куб!$C:$C,$C414,куб!L:L),IF($B414&lt;&gt;0,SUMIF(куб!$B:$B,$B414,куб!L:L))))))</f>
        <v>0</v>
      </c>
      <c r="U414" s="27" t="b">
        <f>IF($G414&lt;&gt;0,SUMIF(куб!$G:$G,$G414,куб!M:M),IF($E414&lt;&gt;0,SUMIF(куб!$E:$E,$E414,куб!M:M),IF($D414&lt;&gt;0,SUMIF(куб!$D:$D,$D414,куб!M:M),IF($C414&lt;&gt;0,SUMIF(куб!$C:$C,$C414,куб!M:M),IF($B414&lt;&gt;0,SUMIF(куб!$B:$B,$B414,куб!M:M))))))</f>
        <v>0</v>
      </c>
      <c r="V414" s="13" t="str">
        <f t="shared" si="152"/>
        <v>-</v>
      </c>
      <c r="W414" s="5"/>
      <c r="X414" s="27" t="b">
        <f>IF($G414&lt;&gt;0,SUMIF(куб!$G:$G,$G414,куб!N:N),IF($E414&lt;&gt;0,SUMIF(куб!$E:$E,$E414,куб!N:N),IF($D414&lt;&gt;0,SUMIF(куб!$D:$D,$D414,куб!N:N),IF($C414&lt;&gt;0,SUMIF(куб!$C:$C,$C414,куб!N:N),IF($B414&lt;&gt;0,SUMIF(куб!$B:$B,$B414,куб!N:N))))))</f>
        <v>0</v>
      </c>
      <c r="Y414" s="27" t="b">
        <f>IF($G414&lt;&gt;0,SUMIF(куб!$G:$G,$G414,куб!O:O),IF($E414&lt;&gt;0,SUMIF(куб!$E:$E,$E414,куб!O:O),IF($D414&lt;&gt;0,SUMIF(куб!$D:$D,$D414,куб!O:O),IF($C414&lt;&gt;0,SUMIF(куб!$C:$C,$C414,куб!O:O),IF($B414&lt;&gt;0,SUMIF(куб!$B:$B,$B414,куб!O:O))))))</f>
        <v>0</v>
      </c>
      <c r="Z414" s="13" t="str">
        <f t="shared" si="153"/>
        <v>-</v>
      </c>
      <c r="AA414" s="5"/>
      <c r="AB414" s="33" t="str">
        <f t="shared" si="154"/>
        <v/>
      </c>
      <c r="AC414" s="33" t="str">
        <f t="shared" si="155"/>
        <v/>
      </c>
      <c r="AD414" s="15" t="str">
        <f t="shared" si="156"/>
        <v xml:space="preserve"> </v>
      </c>
      <c r="AE414" s="5"/>
      <c r="AF414" s="27" t="b">
        <f>IF($G414&lt;&gt;0,SUMIF(куб!$G:$G,$G414,куб!R:R),IF($E414&lt;&gt;0,SUMIF(куб!$E:$E,$E414,куб!R:R),IF($D414&lt;&gt;0,SUMIF(куб!$D:$D,$D414,куб!R:R),IF($C414&lt;&gt;0,SUMIF(куб!$C:$C,$C414,куб!R:R),IF($B414&lt;&gt;0,SUMIF(куб!$B:$B,$B414,куб!R:R))))))</f>
        <v>0</v>
      </c>
      <c r="AG414" s="27" t="b">
        <f>IF($G414&lt;&gt;0,SUMIF(куб!$G:$G,$G414,куб!S:S),IF($E414&lt;&gt;0,SUMIF(куб!$E:$E,$E414,куб!S:S),IF($D414&lt;&gt;0,SUMIF(куб!$D:$D,$D414,куб!S:S),IF($C414&lt;&gt;0,SUMIF(куб!$C:$C,$C414,куб!S:S),IF($B414&lt;&gt;0,SUMIF(куб!$B:$B,$B414,куб!S:S))))))</f>
        <v>0</v>
      </c>
      <c r="AH414" s="16" t="str">
        <f t="shared" si="157"/>
        <v>-</v>
      </c>
      <c r="AI414" s="8"/>
      <c r="AJ414" s="27" t="b">
        <f>IF($G414&lt;&gt;0,SUMIF(куб!$G:$G,$G414,куб!T:T),IF($E414&lt;&gt;0,SUMIF(куб!$E:$E,$E414,куб!T:T),IF($D414&lt;&gt;0,SUMIF(куб!$D:$D,$D414,куб!T:T),IF($C414&lt;&gt;0,SUMIF(куб!$C:$C,$C414,куб!T:T),IF($B414&lt;&gt;0,SUMIF(куб!$B:$B,$B414,куб!T:T))))))</f>
        <v>0</v>
      </c>
      <c r="AK414" s="27" t="b">
        <f>IF($G414&lt;&gt;0,SUMIF(куб!$G:$G,$G414,куб!U:U),IF($E414&lt;&gt;0,SUMIF(куб!$E:$E,$E414,куб!U:U),IF($D414&lt;&gt;0,SUMIF(куб!$D:$D,$D414,куб!U:U),IF($C414&lt;&gt;0,SUMIF(куб!$C:$C,$C414,куб!U:U),IF($B414&lt;&gt;0,SUMIF(куб!$B:$B,$B414,куб!U:U))))))</f>
        <v>0</v>
      </c>
      <c r="AL414" s="16" t="str">
        <f t="shared" si="158"/>
        <v>-</v>
      </c>
      <c r="AM414" s="8"/>
      <c r="AN414" s="17" t="str">
        <f t="shared" si="159"/>
        <v xml:space="preserve"> </v>
      </c>
      <c r="AO414" s="17" t="str">
        <f t="shared" si="160"/>
        <v xml:space="preserve"> </v>
      </c>
      <c r="AP414" s="16" t="str">
        <f t="shared" si="161"/>
        <v>-</v>
      </c>
      <c r="AQ414" s="8"/>
      <c r="AR414" s="17" t="str">
        <f t="shared" si="162"/>
        <v>-</v>
      </c>
      <c r="AS414" s="17" t="str">
        <f t="shared" si="163"/>
        <v>-</v>
      </c>
      <c r="AT414" s="13" t="str">
        <f t="shared" si="164"/>
        <v>-</v>
      </c>
      <c r="AU414" s="8"/>
    </row>
    <row r="415" spans="1:47" x14ac:dyDescent="0.25">
      <c r="A415" s="31"/>
      <c r="B415" s="31"/>
      <c r="C415"/>
      <c r="D415" s="31"/>
      <c r="E415"/>
      <c r="F415" s="31"/>
      <c r="G415"/>
      <c r="H415" s="27">
        <f>IF($G415&lt;&gt;0,SUMIF(куб!$G:$G,$G415,куб!H:H),IF($E415&lt;&gt;0,SUMIF(куб!$E:$E,$E415,куб!H:H),IF($D415&lt;&gt;0,SUMIF(куб!$D:$D,$D415,куб!H:H),IF($C415&lt;&gt;0,SUMIF(куб!$C:$C,$C415,куб!H:H),IF($B415&lt;&gt;0,SUMIF(куб!$B:$B,$B415,куб!H:H),IF($G415&lt;&gt;0,SUMIF(куб!$A:$A,$G415,куб!H:H),SUMIF(куб!$A:$A,$G415,куб!H:H)))))))</f>
        <v>0</v>
      </c>
      <c r="I415" s="27">
        <f>IF($G415&lt;&gt;0,SUMIF(куб!$G:$G,$G415,куб!I:I),IF($E415&lt;&gt;0,SUMIF(куб!$E:$E,$E415,куб!I:I),IF($D415&lt;&gt;0,SUMIF(куб!$D:$D,$D415,куб!I:I),IF($C415&lt;&gt;0,SUMIF(куб!$C:$C,$C415,куб!I:I),IF($B415&lt;&gt;0,SUMIF(куб!$B:$B,$B415,куб!I:I),IF($G415&lt;&gt;0,SUMIF(куб!$A:$A,$G415,куб!I:I),SUMIF(куб!$A:$A,$G415,куб!I:I)))))))</f>
        <v>0</v>
      </c>
      <c r="J415" s="19" t="str">
        <f t="shared" si="147"/>
        <v>-</v>
      </c>
      <c r="K415" s="8"/>
      <c r="L415" s="17">
        <f t="shared" si="148"/>
        <v>0</v>
      </c>
      <c r="M415" s="17">
        <f t="shared" si="149"/>
        <v>0</v>
      </c>
      <c r="N415" s="12">
        <f t="shared" si="150"/>
        <v>0</v>
      </c>
      <c r="O415" s="5"/>
      <c r="P415" s="27" t="b">
        <f>IF($G415&lt;&gt;0,SUMIF(куб!$G:$G,$G415,куб!J:J),IF($E415&lt;&gt;0,SUMIF(куб!$E:$E,$E415,куб!J:J),IF($D415&lt;&gt;0,SUMIF(куб!$D:$D,$D415,куб!J:J),IF($C415&lt;&gt;0,SUMIF(куб!$C:$C,$C415,куб!J:J),IF($B415&lt;&gt;0,SUMIF(куб!$B:$B,$B415,куб!J:J))))))</f>
        <v>0</v>
      </c>
      <c r="Q415" s="27" t="b">
        <f>IF($G415&lt;&gt;0,SUMIF(куб!$G:$G,$G415,куб!K:K),IF($E415&lt;&gt;0,SUMIF(куб!$E:$E,$E415,куб!K:K),IF($D415&lt;&gt;0,SUMIF(куб!$D:$D,$D415,куб!K:K),IF($C415&lt;&gt;0,SUMIF(куб!$C:$C,$C415,куб!K:K),IF($B415&lt;&gt;0,SUMIF(куб!$B:$B,$B415,куб!K:K))))))</f>
        <v>0</v>
      </c>
      <c r="R415" s="13" t="str">
        <f t="shared" si="151"/>
        <v>-</v>
      </c>
      <c r="S415" s="5"/>
      <c r="T415" s="27" t="b">
        <f>IF($G415&lt;&gt;0,SUMIF(куб!$G:$G,$G415,куб!L:L),IF($E415&lt;&gt;0,SUMIF(куб!$E:$E,$E415,куб!L:L),IF($D415&lt;&gt;0,SUMIF(куб!$D:$D,$D415,куб!L:L),IF($C415&lt;&gt;0,SUMIF(куб!$C:$C,$C415,куб!L:L),IF($B415&lt;&gt;0,SUMIF(куб!$B:$B,$B415,куб!L:L))))))</f>
        <v>0</v>
      </c>
      <c r="U415" s="27" t="b">
        <f>IF($G415&lt;&gt;0,SUMIF(куб!$G:$G,$G415,куб!M:M),IF($E415&lt;&gt;0,SUMIF(куб!$E:$E,$E415,куб!M:M),IF($D415&lt;&gt;0,SUMIF(куб!$D:$D,$D415,куб!M:M),IF($C415&lt;&gt;0,SUMIF(куб!$C:$C,$C415,куб!M:M),IF($B415&lt;&gt;0,SUMIF(куб!$B:$B,$B415,куб!M:M))))))</f>
        <v>0</v>
      </c>
      <c r="V415" s="13" t="str">
        <f t="shared" si="152"/>
        <v>-</v>
      </c>
      <c r="W415" s="5"/>
      <c r="X415" s="27" t="b">
        <f>IF($G415&lt;&gt;0,SUMIF(куб!$G:$G,$G415,куб!N:N),IF($E415&lt;&gt;0,SUMIF(куб!$E:$E,$E415,куб!N:N),IF($D415&lt;&gt;0,SUMIF(куб!$D:$D,$D415,куб!N:N),IF($C415&lt;&gt;0,SUMIF(куб!$C:$C,$C415,куб!N:N),IF($B415&lt;&gt;0,SUMIF(куб!$B:$B,$B415,куб!N:N))))))</f>
        <v>0</v>
      </c>
      <c r="Y415" s="27" t="b">
        <f>IF($G415&lt;&gt;0,SUMIF(куб!$G:$G,$G415,куб!O:O),IF($E415&lt;&gt;0,SUMIF(куб!$E:$E,$E415,куб!O:O),IF($D415&lt;&gt;0,SUMIF(куб!$D:$D,$D415,куб!O:O),IF($C415&lt;&gt;0,SUMIF(куб!$C:$C,$C415,куб!O:O),IF($B415&lt;&gt;0,SUMIF(куб!$B:$B,$B415,куб!O:O))))))</f>
        <v>0</v>
      </c>
      <c r="Z415" s="13" t="str">
        <f t="shared" si="153"/>
        <v>-</v>
      </c>
      <c r="AA415" s="5"/>
      <c r="AB415" s="33" t="str">
        <f t="shared" si="154"/>
        <v/>
      </c>
      <c r="AC415" s="33" t="str">
        <f t="shared" si="155"/>
        <v/>
      </c>
      <c r="AD415" s="15" t="str">
        <f t="shared" si="156"/>
        <v xml:space="preserve"> </v>
      </c>
      <c r="AE415" s="5"/>
      <c r="AF415" s="27" t="b">
        <f>IF($G415&lt;&gt;0,SUMIF(куб!$G:$G,$G415,куб!R:R),IF($E415&lt;&gt;0,SUMIF(куб!$E:$E,$E415,куб!R:R),IF($D415&lt;&gt;0,SUMIF(куб!$D:$D,$D415,куб!R:R),IF($C415&lt;&gt;0,SUMIF(куб!$C:$C,$C415,куб!R:R),IF($B415&lt;&gt;0,SUMIF(куб!$B:$B,$B415,куб!R:R))))))</f>
        <v>0</v>
      </c>
      <c r="AG415" s="27" t="b">
        <f>IF($G415&lt;&gt;0,SUMIF(куб!$G:$G,$G415,куб!S:S),IF($E415&lt;&gt;0,SUMIF(куб!$E:$E,$E415,куб!S:S),IF($D415&lt;&gt;0,SUMIF(куб!$D:$D,$D415,куб!S:S),IF($C415&lt;&gt;0,SUMIF(куб!$C:$C,$C415,куб!S:S),IF($B415&lt;&gt;0,SUMIF(куб!$B:$B,$B415,куб!S:S))))))</f>
        <v>0</v>
      </c>
      <c r="AH415" s="16" t="str">
        <f t="shared" si="157"/>
        <v>-</v>
      </c>
      <c r="AI415" s="8"/>
      <c r="AJ415" s="27" t="b">
        <f>IF($G415&lt;&gt;0,SUMIF(куб!$G:$G,$G415,куб!T:T),IF($E415&lt;&gt;0,SUMIF(куб!$E:$E,$E415,куб!T:T),IF($D415&lt;&gt;0,SUMIF(куб!$D:$D,$D415,куб!T:T),IF($C415&lt;&gt;0,SUMIF(куб!$C:$C,$C415,куб!T:T),IF($B415&lt;&gt;0,SUMIF(куб!$B:$B,$B415,куб!T:T))))))</f>
        <v>0</v>
      </c>
      <c r="AK415" s="27" t="b">
        <f>IF($G415&lt;&gt;0,SUMIF(куб!$G:$G,$G415,куб!U:U),IF($E415&lt;&gt;0,SUMIF(куб!$E:$E,$E415,куб!U:U),IF($D415&lt;&gt;0,SUMIF(куб!$D:$D,$D415,куб!U:U),IF($C415&lt;&gt;0,SUMIF(куб!$C:$C,$C415,куб!U:U),IF($B415&lt;&gt;0,SUMIF(куб!$B:$B,$B415,куб!U:U))))))</f>
        <v>0</v>
      </c>
      <c r="AL415" s="16" t="str">
        <f t="shared" si="158"/>
        <v>-</v>
      </c>
      <c r="AM415" s="8"/>
      <c r="AN415" s="17" t="str">
        <f t="shared" si="159"/>
        <v xml:space="preserve"> </v>
      </c>
      <c r="AO415" s="17" t="str">
        <f t="shared" si="160"/>
        <v xml:space="preserve"> </v>
      </c>
      <c r="AP415" s="16" t="str">
        <f t="shared" si="161"/>
        <v>-</v>
      </c>
      <c r="AQ415" s="8"/>
      <c r="AR415" s="17" t="str">
        <f t="shared" si="162"/>
        <v>-</v>
      </c>
      <c r="AS415" s="17" t="str">
        <f t="shared" si="163"/>
        <v>-</v>
      </c>
      <c r="AT415" s="13" t="str">
        <f t="shared" si="164"/>
        <v>-</v>
      </c>
      <c r="AU415" s="8"/>
    </row>
    <row r="416" spans="1:47" x14ac:dyDescent="0.25">
      <c r="A416" s="31"/>
      <c r="B416" s="31"/>
      <c r="C416"/>
      <c r="D416" s="31"/>
      <c r="E416"/>
      <c r="F416" s="31"/>
      <c r="G416"/>
      <c r="H416" s="27">
        <f>IF($G416&lt;&gt;0,SUMIF(куб!$G:$G,$G416,куб!H:H),IF($E416&lt;&gt;0,SUMIF(куб!$E:$E,$E416,куб!H:H),IF($D416&lt;&gt;0,SUMIF(куб!$D:$D,$D416,куб!H:H),IF($C416&lt;&gt;0,SUMIF(куб!$C:$C,$C416,куб!H:H),IF($B416&lt;&gt;0,SUMIF(куб!$B:$B,$B416,куб!H:H),IF($G416&lt;&gt;0,SUMIF(куб!$A:$A,$G416,куб!H:H),SUMIF(куб!$A:$A,$G416,куб!H:H)))))))</f>
        <v>0</v>
      </c>
      <c r="I416" s="27">
        <f>IF($G416&lt;&gt;0,SUMIF(куб!$G:$G,$G416,куб!I:I),IF($E416&lt;&gt;0,SUMIF(куб!$E:$E,$E416,куб!I:I),IF($D416&lt;&gt;0,SUMIF(куб!$D:$D,$D416,куб!I:I),IF($C416&lt;&gt;0,SUMIF(куб!$C:$C,$C416,куб!I:I),IF($B416&lt;&gt;0,SUMIF(куб!$B:$B,$B416,куб!I:I),IF($G416&lt;&gt;0,SUMIF(куб!$A:$A,$G416,куб!I:I),SUMIF(куб!$A:$A,$G416,куб!I:I)))))))</f>
        <v>0</v>
      </c>
      <c r="J416" s="19" t="str">
        <f t="shared" si="147"/>
        <v>-</v>
      </c>
      <c r="K416" s="8"/>
      <c r="L416" s="17">
        <f t="shared" si="148"/>
        <v>0</v>
      </c>
      <c r="M416" s="17">
        <f t="shared" si="149"/>
        <v>0</v>
      </c>
      <c r="N416" s="12">
        <f t="shared" si="150"/>
        <v>0</v>
      </c>
      <c r="O416" s="5"/>
      <c r="P416" s="27" t="b">
        <f>IF($G416&lt;&gt;0,SUMIF(куб!$G:$G,$G416,куб!J:J),IF($E416&lt;&gt;0,SUMIF(куб!$E:$E,$E416,куб!J:J),IF($D416&lt;&gt;0,SUMIF(куб!$D:$D,$D416,куб!J:J),IF($C416&lt;&gt;0,SUMIF(куб!$C:$C,$C416,куб!J:J),IF($B416&lt;&gt;0,SUMIF(куб!$B:$B,$B416,куб!J:J))))))</f>
        <v>0</v>
      </c>
      <c r="Q416" s="27" t="b">
        <f>IF($G416&lt;&gt;0,SUMIF(куб!$G:$G,$G416,куб!K:K),IF($E416&lt;&gt;0,SUMIF(куб!$E:$E,$E416,куб!K:K),IF($D416&lt;&gt;0,SUMIF(куб!$D:$D,$D416,куб!K:K),IF($C416&lt;&gt;0,SUMIF(куб!$C:$C,$C416,куб!K:K),IF($B416&lt;&gt;0,SUMIF(куб!$B:$B,$B416,куб!K:K))))))</f>
        <v>0</v>
      </c>
      <c r="R416" s="13" t="str">
        <f t="shared" si="151"/>
        <v>-</v>
      </c>
      <c r="S416" s="5"/>
      <c r="T416" s="27" t="b">
        <f>IF($G416&lt;&gt;0,SUMIF(куб!$G:$G,$G416,куб!L:L),IF($E416&lt;&gt;0,SUMIF(куб!$E:$E,$E416,куб!L:L),IF($D416&lt;&gt;0,SUMIF(куб!$D:$D,$D416,куб!L:L),IF($C416&lt;&gt;0,SUMIF(куб!$C:$C,$C416,куб!L:L),IF($B416&lt;&gt;0,SUMIF(куб!$B:$B,$B416,куб!L:L))))))</f>
        <v>0</v>
      </c>
      <c r="U416" s="27" t="b">
        <f>IF($G416&lt;&gt;0,SUMIF(куб!$G:$G,$G416,куб!M:M),IF($E416&lt;&gt;0,SUMIF(куб!$E:$E,$E416,куб!M:M),IF($D416&lt;&gt;0,SUMIF(куб!$D:$D,$D416,куб!M:M),IF($C416&lt;&gt;0,SUMIF(куб!$C:$C,$C416,куб!M:M),IF($B416&lt;&gt;0,SUMIF(куб!$B:$B,$B416,куб!M:M))))))</f>
        <v>0</v>
      </c>
      <c r="V416" s="13" t="str">
        <f t="shared" si="152"/>
        <v>-</v>
      </c>
      <c r="W416" s="5"/>
      <c r="X416" s="27" t="b">
        <f>IF($G416&lt;&gt;0,SUMIF(куб!$G:$G,$G416,куб!N:N),IF($E416&lt;&gt;0,SUMIF(куб!$E:$E,$E416,куб!N:N),IF($D416&lt;&gt;0,SUMIF(куб!$D:$D,$D416,куб!N:N),IF($C416&lt;&gt;0,SUMIF(куб!$C:$C,$C416,куб!N:N),IF($B416&lt;&gt;0,SUMIF(куб!$B:$B,$B416,куб!N:N))))))</f>
        <v>0</v>
      </c>
      <c r="Y416" s="27" t="b">
        <f>IF($G416&lt;&gt;0,SUMIF(куб!$G:$G,$G416,куб!O:O),IF($E416&lt;&gt;0,SUMIF(куб!$E:$E,$E416,куб!O:O),IF($D416&lt;&gt;0,SUMIF(куб!$D:$D,$D416,куб!O:O),IF($C416&lt;&gt;0,SUMIF(куб!$C:$C,$C416,куб!O:O),IF($B416&lt;&gt;0,SUMIF(куб!$B:$B,$B416,куб!O:O))))))</f>
        <v>0</v>
      </c>
      <c r="Z416" s="13" t="str">
        <f t="shared" si="153"/>
        <v>-</v>
      </c>
      <c r="AA416" s="5"/>
      <c r="AB416" s="33" t="str">
        <f t="shared" si="154"/>
        <v/>
      </c>
      <c r="AC416" s="33" t="str">
        <f t="shared" si="155"/>
        <v/>
      </c>
      <c r="AD416" s="15" t="str">
        <f t="shared" si="156"/>
        <v xml:space="preserve"> </v>
      </c>
      <c r="AE416" s="5"/>
      <c r="AF416" s="27" t="b">
        <f>IF($G416&lt;&gt;0,SUMIF(куб!$G:$G,$G416,куб!R:R),IF($E416&lt;&gt;0,SUMIF(куб!$E:$E,$E416,куб!R:R),IF($D416&lt;&gt;0,SUMIF(куб!$D:$D,$D416,куб!R:R),IF($C416&lt;&gt;0,SUMIF(куб!$C:$C,$C416,куб!R:R),IF($B416&lt;&gt;0,SUMIF(куб!$B:$B,$B416,куб!R:R))))))</f>
        <v>0</v>
      </c>
      <c r="AG416" s="27" t="b">
        <f>IF($G416&lt;&gt;0,SUMIF(куб!$G:$G,$G416,куб!S:S),IF($E416&lt;&gt;0,SUMIF(куб!$E:$E,$E416,куб!S:S),IF($D416&lt;&gt;0,SUMIF(куб!$D:$D,$D416,куб!S:S),IF($C416&lt;&gt;0,SUMIF(куб!$C:$C,$C416,куб!S:S),IF($B416&lt;&gt;0,SUMIF(куб!$B:$B,$B416,куб!S:S))))))</f>
        <v>0</v>
      </c>
      <c r="AH416" s="16" t="str">
        <f t="shared" si="157"/>
        <v>-</v>
      </c>
      <c r="AI416" s="8"/>
      <c r="AJ416" s="27" t="b">
        <f>IF($G416&lt;&gt;0,SUMIF(куб!$G:$G,$G416,куб!T:T),IF($E416&lt;&gt;0,SUMIF(куб!$E:$E,$E416,куб!T:T),IF($D416&lt;&gt;0,SUMIF(куб!$D:$D,$D416,куб!T:T),IF($C416&lt;&gt;0,SUMIF(куб!$C:$C,$C416,куб!T:T),IF($B416&lt;&gt;0,SUMIF(куб!$B:$B,$B416,куб!T:T))))))</f>
        <v>0</v>
      </c>
      <c r="AK416" s="27" t="b">
        <f>IF($G416&lt;&gt;0,SUMIF(куб!$G:$G,$G416,куб!U:U),IF($E416&lt;&gt;0,SUMIF(куб!$E:$E,$E416,куб!U:U),IF($D416&lt;&gt;0,SUMIF(куб!$D:$D,$D416,куб!U:U),IF($C416&lt;&gt;0,SUMIF(куб!$C:$C,$C416,куб!U:U),IF($B416&lt;&gt;0,SUMIF(куб!$B:$B,$B416,куб!U:U))))))</f>
        <v>0</v>
      </c>
      <c r="AL416" s="16" t="str">
        <f t="shared" si="158"/>
        <v>-</v>
      </c>
      <c r="AM416" s="8"/>
      <c r="AN416" s="17" t="str">
        <f t="shared" si="159"/>
        <v xml:space="preserve"> </v>
      </c>
      <c r="AO416" s="17" t="str">
        <f t="shared" si="160"/>
        <v xml:space="preserve"> </v>
      </c>
      <c r="AP416" s="16" t="str">
        <f t="shared" si="161"/>
        <v>-</v>
      </c>
      <c r="AQ416" s="8"/>
      <c r="AR416" s="17" t="str">
        <f t="shared" si="162"/>
        <v>-</v>
      </c>
      <c r="AS416" s="17" t="str">
        <f t="shared" si="163"/>
        <v>-</v>
      </c>
      <c r="AT416" s="13" t="str">
        <f t="shared" si="164"/>
        <v>-</v>
      </c>
      <c r="AU416" s="8"/>
    </row>
    <row r="417" spans="1:47" x14ac:dyDescent="0.25">
      <c r="A417" s="31"/>
      <c r="B417" s="31"/>
      <c r="C417"/>
      <c r="D417" s="31"/>
      <c r="E417"/>
      <c r="F417"/>
      <c r="G417"/>
      <c r="H417" s="27">
        <f>IF($G417&lt;&gt;0,SUMIF(куб!$G:$G,$G417,куб!H:H),IF($E417&lt;&gt;0,SUMIF(куб!$E:$E,$E417,куб!H:H),IF($D417&lt;&gt;0,SUMIF(куб!$D:$D,$D417,куб!H:H),IF($C417&lt;&gt;0,SUMIF(куб!$C:$C,$C417,куб!H:H),IF($B417&lt;&gt;0,SUMIF(куб!$B:$B,$B417,куб!H:H),IF($G417&lt;&gt;0,SUMIF(куб!$A:$A,$G417,куб!H:H),SUMIF(куб!$A:$A,$G417,куб!H:H)))))))</f>
        <v>0</v>
      </c>
      <c r="I417" s="27">
        <f>IF($G417&lt;&gt;0,SUMIF(куб!$G:$G,$G417,куб!I:I),IF($E417&lt;&gt;0,SUMIF(куб!$E:$E,$E417,куб!I:I),IF($D417&lt;&gt;0,SUMIF(куб!$D:$D,$D417,куб!I:I),IF($C417&lt;&gt;0,SUMIF(куб!$C:$C,$C417,куб!I:I),IF($B417&lt;&gt;0,SUMIF(куб!$B:$B,$B417,куб!I:I),IF($G417&lt;&gt;0,SUMIF(куб!$A:$A,$G417,куб!I:I),SUMIF(куб!$A:$A,$G417,куб!I:I)))))))</f>
        <v>0</v>
      </c>
      <c r="J417" s="19" t="str">
        <f t="shared" si="147"/>
        <v>-</v>
      </c>
      <c r="K417" s="8"/>
      <c r="L417" s="17">
        <f t="shared" si="148"/>
        <v>0</v>
      </c>
      <c r="M417" s="17">
        <f t="shared" si="149"/>
        <v>0</v>
      </c>
      <c r="N417" s="12">
        <f t="shared" si="150"/>
        <v>0</v>
      </c>
      <c r="O417" s="5"/>
      <c r="P417" s="27" t="b">
        <f>IF($G417&lt;&gt;0,SUMIF(куб!$G:$G,$G417,куб!J:J),IF($E417&lt;&gt;0,SUMIF(куб!$E:$E,$E417,куб!J:J),IF($D417&lt;&gt;0,SUMIF(куб!$D:$D,$D417,куб!J:J),IF($C417&lt;&gt;0,SUMIF(куб!$C:$C,$C417,куб!J:J),IF($B417&lt;&gt;0,SUMIF(куб!$B:$B,$B417,куб!J:J))))))</f>
        <v>0</v>
      </c>
      <c r="Q417" s="27" t="b">
        <f>IF($G417&lt;&gt;0,SUMIF(куб!$G:$G,$G417,куб!K:K),IF($E417&lt;&gt;0,SUMIF(куб!$E:$E,$E417,куб!K:K),IF($D417&lt;&gt;0,SUMIF(куб!$D:$D,$D417,куб!K:K),IF($C417&lt;&gt;0,SUMIF(куб!$C:$C,$C417,куб!K:K),IF($B417&lt;&gt;0,SUMIF(куб!$B:$B,$B417,куб!K:K))))))</f>
        <v>0</v>
      </c>
      <c r="R417" s="13" t="str">
        <f t="shared" si="151"/>
        <v>-</v>
      </c>
      <c r="S417" s="5"/>
      <c r="T417" s="27" t="b">
        <f>IF($G417&lt;&gt;0,SUMIF(куб!$G:$G,$G417,куб!L:L),IF($E417&lt;&gt;0,SUMIF(куб!$E:$E,$E417,куб!L:L),IF($D417&lt;&gt;0,SUMIF(куб!$D:$D,$D417,куб!L:L),IF($C417&lt;&gt;0,SUMIF(куб!$C:$C,$C417,куб!L:L),IF($B417&lt;&gt;0,SUMIF(куб!$B:$B,$B417,куб!L:L))))))</f>
        <v>0</v>
      </c>
      <c r="U417" s="27" t="b">
        <f>IF($G417&lt;&gt;0,SUMIF(куб!$G:$G,$G417,куб!M:M),IF($E417&lt;&gt;0,SUMIF(куб!$E:$E,$E417,куб!M:M),IF($D417&lt;&gt;0,SUMIF(куб!$D:$D,$D417,куб!M:M),IF($C417&lt;&gt;0,SUMIF(куб!$C:$C,$C417,куб!M:M),IF($B417&lt;&gt;0,SUMIF(куб!$B:$B,$B417,куб!M:M))))))</f>
        <v>0</v>
      </c>
      <c r="V417" s="13" t="str">
        <f t="shared" si="152"/>
        <v>-</v>
      </c>
      <c r="W417" s="5"/>
      <c r="X417" s="27" t="b">
        <f>IF($G417&lt;&gt;0,SUMIF(куб!$G:$G,$G417,куб!N:N),IF($E417&lt;&gt;0,SUMIF(куб!$E:$E,$E417,куб!N:N),IF($D417&lt;&gt;0,SUMIF(куб!$D:$D,$D417,куб!N:N),IF($C417&lt;&gt;0,SUMIF(куб!$C:$C,$C417,куб!N:N),IF($B417&lt;&gt;0,SUMIF(куб!$B:$B,$B417,куб!N:N))))))</f>
        <v>0</v>
      </c>
      <c r="Y417" s="27" t="b">
        <f>IF($G417&lt;&gt;0,SUMIF(куб!$G:$G,$G417,куб!O:O),IF($E417&lt;&gt;0,SUMIF(куб!$E:$E,$E417,куб!O:O),IF($D417&lt;&gt;0,SUMIF(куб!$D:$D,$D417,куб!O:O),IF($C417&lt;&gt;0,SUMIF(куб!$C:$C,$C417,куб!O:O),IF($B417&lt;&gt;0,SUMIF(куб!$B:$B,$B417,куб!O:O))))))</f>
        <v>0</v>
      </c>
      <c r="Z417" s="13" t="str">
        <f t="shared" si="153"/>
        <v>-</v>
      </c>
      <c r="AA417" s="5"/>
      <c r="AB417" s="33" t="str">
        <f t="shared" si="154"/>
        <v/>
      </c>
      <c r="AC417" s="33" t="str">
        <f t="shared" si="155"/>
        <v/>
      </c>
      <c r="AD417" s="15" t="str">
        <f t="shared" si="156"/>
        <v xml:space="preserve"> </v>
      </c>
      <c r="AE417" s="5"/>
      <c r="AF417" s="27" t="b">
        <f>IF($G417&lt;&gt;0,SUMIF(куб!$G:$G,$G417,куб!R:R),IF($E417&lt;&gt;0,SUMIF(куб!$E:$E,$E417,куб!R:R),IF($D417&lt;&gt;0,SUMIF(куб!$D:$D,$D417,куб!R:R),IF($C417&lt;&gt;0,SUMIF(куб!$C:$C,$C417,куб!R:R),IF($B417&lt;&gt;0,SUMIF(куб!$B:$B,$B417,куб!R:R))))))</f>
        <v>0</v>
      </c>
      <c r="AG417" s="27" t="b">
        <f>IF($G417&lt;&gt;0,SUMIF(куб!$G:$G,$G417,куб!S:S),IF($E417&lt;&gt;0,SUMIF(куб!$E:$E,$E417,куб!S:S),IF($D417&lt;&gt;0,SUMIF(куб!$D:$D,$D417,куб!S:S),IF($C417&lt;&gt;0,SUMIF(куб!$C:$C,$C417,куб!S:S),IF($B417&lt;&gt;0,SUMIF(куб!$B:$B,$B417,куб!S:S))))))</f>
        <v>0</v>
      </c>
      <c r="AH417" s="16" t="str">
        <f t="shared" si="157"/>
        <v>-</v>
      </c>
      <c r="AI417" s="8"/>
      <c r="AJ417" s="27" t="b">
        <f>IF($G417&lt;&gt;0,SUMIF(куб!$G:$G,$G417,куб!T:T),IF($E417&lt;&gt;0,SUMIF(куб!$E:$E,$E417,куб!T:T),IF($D417&lt;&gt;0,SUMIF(куб!$D:$D,$D417,куб!T:T),IF($C417&lt;&gt;0,SUMIF(куб!$C:$C,$C417,куб!T:T),IF($B417&lt;&gt;0,SUMIF(куб!$B:$B,$B417,куб!T:T))))))</f>
        <v>0</v>
      </c>
      <c r="AK417" s="27" t="b">
        <f>IF($G417&lt;&gt;0,SUMIF(куб!$G:$G,$G417,куб!U:U),IF($E417&lt;&gt;0,SUMIF(куб!$E:$E,$E417,куб!U:U),IF($D417&lt;&gt;0,SUMIF(куб!$D:$D,$D417,куб!U:U),IF($C417&lt;&gt;0,SUMIF(куб!$C:$C,$C417,куб!U:U),IF($B417&lt;&gt;0,SUMIF(куб!$B:$B,$B417,куб!U:U))))))</f>
        <v>0</v>
      </c>
      <c r="AL417" s="16" t="str">
        <f t="shared" si="158"/>
        <v>-</v>
      </c>
      <c r="AM417" s="8"/>
      <c r="AN417" s="17" t="str">
        <f t="shared" si="159"/>
        <v xml:space="preserve"> </v>
      </c>
      <c r="AO417" s="17" t="str">
        <f t="shared" si="160"/>
        <v xml:space="preserve"> </v>
      </c>
      <c r="AP417" s="16" t="str">
        <f t="shared" si="161"/>
        <v>-</v>
      </c>
      <c r="AQ417" s="8"/>
      <c r="AR417" s="17" t="str">
        <f t="shared" si="162"/>
        <v>-</v>
      </c>
      <c r="AS417" s="17" t="str">
        <f t="shared" si="163"/>
        <v>-</v>
      </c>
      <c r="AT417" s="13" t="str">
        <f t="shared" si="164"/>
        <v>-</v>
      </c>
      <c r="AU417" s="8"/>
    </row>
    <row r="418" spans="1:47" x14ac:dyDescent="0.25">
      <c r="A418" s="31"/>
      <c r="B418" s="31"/>
      <c r="C418"/>
      <c r="D418" s="31"/>
      <c r="E418"/>
      <c r="F418" s="31"/>
      <c r="G418"/>
      <c r="H418" s="27">
        <f>IF($G418&lt;&gt;0,SUMIF(куб!$G:$G,$G418,куб!H:H),IF($E418&lt;&gt;0,SUMIF(куб!$E:$E,$E418,куб!H:H),IF($D418&lt;&gt;0,SUMIF(куб!$D:$D,$D418,куб!H:H),IF($C418&lt;&gt;0,SUMIF(куб!$C:$C,$C418,куб!H:H),IF($B418&lt;&gt;0,SUMIF(куб!$B:$B,$B418,куб!H:H),IF($G418&lt;&gt;0,SUMIF(куб!$A:$A,$G418,куб!H:H),SUMIF(куб!$A:$A,$G418,куб!H:H)))))))</f>
        <v>0</v>
      </c>
      <c r="I418" s="27">
        <f>IF($G418&lt;&gt;0,SUMIF(куб!$G:$G,$G418,куб!I:I),IF($E418&lt;&gt;0,SUMIF(куб!$E:$E,$E418,куб!I:I),IF($D418&lt;&gt;0,SUMIF(куб!$D:$D,$D418,куб!I:I),IF($C418&lt;&gt;0,SUMIF(куб!$C:$C,$C418,куб!I:I),IF($B418&lt;&gt;0,SUMIF(куб!$B:$B,$B418,куб!I:I),IF($G418&lt;&gt;0,SUMIF(куб!$A:$A,$G418,куб!I:I),SUMIF(куб!$A:$A,$G418,куб!I:I)))))))</f>
        <v>0</v>
      </c>
      <c r="J418" s="19" t="str">
        <f t="shared" si="147"/>
        <v>-</v>
      </c>
      <c r="K418" s="8"/>
      <c r="L418" s="17">
        <f t="shared" si="148"/>
        <v>0</v>
      </c>
      <c r="M418" s="17">
        <f t="shared" si="149"/>
        <v>0</v>
      </c>
      <c r="N418" s="12">
        <f t="shared" si="150"/>
        <v>0</v>
      </c>
      <c r="O418" s="5"/>
      <c r="P418" s="27" t="b">
        <f>IF($G418&lt;&gt;0,SUMIF(куб!$G:$G,$G418,куб!J:J),IF($E418&lt;&gt;0,SUMIF(куб!$E:$E,$E418,куб!J:J),IF($D418&lt;&gt;0,SUMIF(куб!$D:$D,$D418,куб!J:J),IF($C418&lt;&gt;0,SUMIF(куб!$C:$C,$C418,куб!J:J),IF($B418&lt;&gt;0,SUMIF(куб!$B:$B,$B418,куб!J:J))))))</f>
        <v>0</v>
      </c>
      <c r="Q418" s="27" t="b">
        <f>IF($G418&lt;&gt;0,SUMIF(куб!$G:$G,$G418,куб!K:K),IF($E418&lt;&gt;0,SUMIF(куб!$E:$E,$E418,куб!K:K),IF($D418&lt;&gt;0,SUMIF(куб!$D:$D,$D418,куб!K:K),IF($C418&lt;&gt;0,SUMIF(куб!$C:$C,$C418,куб!K:K),IF($B418&lt;&gt;0,SUMIF(куб!$B:$B,$B418,куб!K:K))))))</f>
        <v>0</v>
      </c>
      <c r="R418" s="13" t="str">
        <f t="shared" si="151"/>
        <v>-</v>
      </c>
      <c r="S418" s="5"/>
      <c r="T418" s="27" t="b">
        <f>IF($G418&lt;&gt;0,SUMIF(куб!$G:$G,$G418,куб!L:L),IF($E418&lt;&gt;0,SUMIF(куб!$E:$E,$E418,куб!L:L),IF($D418&lt;&gt;0,SUMIF(куб!$D:$D,$D418,куб!L:L),IF($C418&lt;&gt;0,SUMIF(куб!$C:$C,$C418,куб!L:L),IF($B418&lt;&gt;0,SUMIF(куб!$B:$B,$B418,куб!L:L))))))</f>
        <v>0</v>
      </c>
      <c r="U418" s="27" t="b">
        <f>IF($G418&lt;&gt;0,SUMIF(куб!$G:$G,$G418,куб!M:M),IF($E418&lt;&gt;0,SUMIF(куб!$E:$E,$E418,куб!M:M),IF($D418&lt;&gt;0,SUMIF(куб!$D:$D,$D418,куб!M:M),IF($C418&lt;&gt;0,SUMIF(куб!$C:$C,$C418,куб!M:M),IF($B418&lt;&gt;0,SUMIF(куб!$B:$B,$B418,куб!M:M))))))</f>
        <v>0</v>
      </c>
      <c r="V418" s="13" t="str">
        <f t="shared" si="152"/>
        <v>-</v>
      </c>
      <c r="W418" s="5"/>
      <c r="X418" s="27" t="b">
        <f>IF($G418&lt;&gt;0,SUMIF(куб!$G:$G,$G418,куб!N:N),IF($E418&lt;&gt;0,SUMIF(куб!$E:$E,$E418,куб!N:N),IF($D418&lt;&gt;0,SUMIF(куб!$D:$D,$D418,куб!N:N),IF($C418&lt;&gt;0,SUMIF(куб!$C:$C,$C418,куб!N:N),IF($B418&lt;&gt;0,SUMIF(куб!$B:$B,$B418,куб!N:N))))))</f>
        <v>0</v>
      </c>
      <c r="Y418" s="27" t="b">
        <f>IF($G418&lt;&gt;0,SUMIF(куб!$G:$G,$G418,куб!O:O),IF($E418&lt;&gt;0,SUMIF(куб!$E:$E,$E418,куб!O:O),IF($D418&lt;&gt;0,SUMIF(куб!$D:$D,$D418,куб!O:O),IF($C418&lt;&gt;0,SUMIF(куб!$C:$C,$C418,куб!O:O),IF($B418&lt;&gt;0,SUMIF(куб!$B:$B,$B418,куб!O:O))))))</f>
        <v>0</v>
      </c>
      <c r="Z418" s="13" t="str">
        <f t="shared" si="153"/>
        <v>-</v>
      </c>
      <c r="AA418" s="5"/>
      <c r="AB418" s="33" t="str">
        <f t="shared" si="154"/>
        <v/>
      </c>
      <c r="AC418" s="33" t="str">
        <f t="shared" si="155"/>
        <v/>
      </c>
      <c r="AD418" s="15" t="str">
        <f t="shared" si="156"/>
        <v xml:space="preserve"> </v>
      </c>
      <c r="AE418" s="5"/>
      <c r="AF418" s="27" t="b">
        <f>IF($G418&lt;&gt;0,SUMIF(куб!$G:$G,$G418,куб!R:R),IF($E418&lt;&gt;0,SUMIF(куб!$E:$E,$E418,куб!R:R),IF($D418&lt;&gt;0,SUMIF(куб!$D:$D,$D418,куб!R:R),IF($C418&lt;&gt;0,SUMIF(куб!$C:$C,$C418,куб!R:R),IF($B418&lt;&gt;0,SUMIF(куб!$B:$B,$B418,куб!R:R))))))</f>
        <v>0</v>
      </c>
      <c r="AG418" s="27" t="b">
        <f>IF($G418&lt;&gt;0,SUMIF(куб!$G:$G,$G418,куб!S:S),IF($E418&lt;&gt;0,SUMIF(куб!$E:$E,$E418,куб!S:S),IF($D418&lt;&gt;0,SUMIF(куб!$D:$D,$D418,куб!S:S),IF($C418&lt;&gt;0,SUMIF(куб!$C:$C,$C418,куб!S:S),IF($B418&lt;&gt;0,SUMIF(куб!$B:$B,$B418,куб!S:S))))))</f>
        <v>0</v>
      </c>
      <c r="AH418" s="16" t="str">
        <f t="shared" si="157"/>
        <v>-</v>
      </c>
      <c r="AI418" s="8"/>
      <c r="AJ418" s="27" t="b">
        <f>IF($G418&lt;&gt;0,SUMIF(куб!$G:$G,$G418,куб!T:T),IF($E418&lt;&gt;0,SUMIF(куб!$E:$E,$E418,куб!T:T),IF($D418&lt;&gt;0,SUMIF(куб!$D:$D,$D418,куб!T:T),IF($C418&lt;&gt;0,SUMIF(куб!$C:$C,$C418,куб!T:T),IF($B418&lt;&gt;0,SUMIF(куб!$B:$B,$B418,куб!T:T))))))</f>
        <v>0</v>
      </c>
      <c r="AK418" s="27" t="b">
        <f>IF($G418&lt;&gt;0,SUMIF(куб!$G:$G,$G418,куб!U:U),IF($E418&lt;&gt;0,SUMIF(куб!$E:$E,$E418,куб!U:U),IF($D418&lt;&gt;0,SUMIF(куб!$D:$D,$D418,куб!U:U),IF($C418&lt;&gt;0,SUMIF(куб!$C:$C,$C418,куб!U:U),IF($B418&lt;&gt;0,SUMIF(куб!$B:$B,$B418,куб!U:U))))))</f>
        <v>0</v>
      </c>
      <c r="AL418" s="16" t="str">
        <f t="shared" si="158"/>
        <v>-</v>
      </c>
      <c r="AM418" s="8"/>
      <c r="AN418" s="17" t="str">
        <f t="shared" si="159"/>
        <v xml:space="preserve"> </v>
      </c>
      <c r="AO418" s="17" t="str">
        <f t="shared" si="160"/>
        <v xml:space="preserve"> </v>
      </c>
      <c r="AP418" s="16" t="str">
        <f t="shared" si="161"/>
        <v>-</v>
      </c>
      <c r="AQ418" s="8"/>
      <c r="AR418" s="17" t="str">
        <f t="shared" si="162"/>
        <v>-</v>
      </c>
      <c r="AS418" s="17" t="str">
        <f t="shared" si="163"/>
        <v>-</v>
      </c>
      <c r="AT418" s="13" t="str">
        <f t="shared" si="164"/>
        <v>-</v>
      </c>
      <c r="AU418" s="8"/>
    </row>
    <row r="419" spans="1:47" x14ac:dyDescent="0.25">
      <c r="A419" s="31"/>
      <c r="B419" s="31"/>
      <c r="C419"/>
      <c r="D419" s="31"/>
      <c r="E419"/>
      <c r="F419" s="31"/>
      <c r="G419"/>
      <c r="H419" s="27">
        <f>IF($G419&lt;&gt;0,SUMIF(куб!$G:$G,$G419,куб!H:H),IF($E419&lt;&gt;0,SUMIF(куб!$E:$E,$E419,куб!H:H),IF($D419&lt;&gt;0,SUMIF(куб!$D:$D,$D419,куб!H:H),IF($C419&lt;&gt;0,SUMIF(куб!$C:$C,$C419,куб!H:H),IF($B419&lt;&gt;0,SUMIF(куб!$B:$B,$B419,куб!H:H),IF($G419&lt;&gt;0,SUMIF(куб!$A:$A,$G419,куб!H:H),SUMIF(куб!$A:$A,$G419,куб!H:H)))))))</f>
        <v>0</v>
      </c>
      <c r="I419" s="27">
        <f>IF($G419&lt;&gt;0,SUMIF(куб!$G:$G,$G419,куб!I:I),IF($E419&lt;&gt;0,SUMIF(куб!$E:$E,$E419,куб!I:I),IF($D419&lt;&gt;0,SUMIF(куб!$D:$D,$D419,куб!I:I),IF($C419&lt;&gt;0,SUMIF(куб!$C:$C,$C419,куб!I:I),IF($B419&lt;&gt;0,SUMIF(куб!$B:$B,$B419,куб!I:I),IF($G419&lt;&gt;0,SUMIF(куб!$A:$A,$G419,куб!I:I),SUMIF(куб!$A:$A,$G419,куб!I:I)))))))</f>
        <v>0</v>
      </c>
      <c r="J419" s="19" t="str">
        <f t="shared" si="147"/>
        <v>-</v>
      </c>
      <c r="K419" s="8"/>
      <c r="L419" s="17">
        <f t="shared" si="148"/>
        <v>0</v>
      </c>
      <c r="M419" s="17">
        <f t="shared" si="149"/>
        <v>0</v>
      </c>
      <c r="N419" s="12">
        <f t="shared" si="150"/>
        <v>0</v>
      </c>
      <c r="O419" s="5"/>
      <c r="P419" s="27" t="b">
        <f>IF($G419&lt;&gt;0,SUMIF(куб!$G:$G,$G419,куб!J:J),IF($E419&lt;&gt;0,SUMIF(куб!$E:$E,$E419,куб!J:J),IF($D419&lt;&gt;0,SUMIF(куб!$D:$D,$D419,куб!J:J),IF($C419&lt;&gt;0,SUMIF(куб!$C:$C,$C419,куб!J:J),IF($B419&lt;&gt;0,SUMIF(куб!$B:$B,$B419,куб!J:J))))))</f>
        <v>0</v>
      </c>
      <c r="Q419" s="27" t="b">
        <f>IF($G419&lt;&gt;0,SUMIF(куб!$G:$G,$G419,куб!K:K),IF($E419&lt;&gt;0,SUMIF(куб!$E:$E,$E419,куб!K:K),IF($D419&lt;&gt;0,SUMIF(куб!$D:$D,$D419,куб!K:K),IF($C419&lt;&gt;0,SUMIF(куб!$C:$C,$C419,куб!K:K),IF($B419&lt;&gt;0,SUMIF(куб!$B:$B,$B419,куб!K:K))))))</f>
        <v>0</v>
      </c>
      <c r="R419" s="13" t="str">
        <f t="shared" si="151"/>
        <v>-</v>
      </c>
      <c r="S419" s="5"/>
      <c r="T419" s="27" t="b">
        <f>IF($G419&lt;&gt;0,SUMIF(куб!$G:$G,$G419,куб!L:L),IF($E419&lt;&gt;0,SUMIF(куб!$E:$E,$E419,куб!L:L),IF($D419&lt;&gt;0,SUMIF(куб!$D:$D,$D419,куб!L:L),IF($C419&lt;&gt;0,SUMIF(куб!$C:$C,$C419,куб!L:L),IF($B419&lt;&gt;0,SUMIF(куб!$B:$B,$B419,куб!L:L))))))</f>
        <v>0</v>
      </c>
      <c r="U419" s="27" t="b">
        <f>IF($G419&lt;&gt;0,SUMIF(куб!$G:$G,$G419,куб!M:M),IF($E419&lt;&gt;0,SUMIF(куб!$E:$E,$E419,куб!M:M),IF($D419&lt;&gt;0,SUMIF(куб!$D:$D,$D419,куб!M:M),IF($C419&lt;&gt;0,SUMIF(куб!$C:$C,$C419,куб!M:M),IF($B419&lt;&gt;0,SUMIF(куб!$B:$B,$B419,куб!M:M))))))</f>
        <v>0</v>
      </c>
      <c r="V419" s="13" t="str">
        <f t="shared" si="152"/>
        <v>-</v>
      </c>
      <c r="W419" s="5"/>
      <c r="X419" s="27" t="b">
        <f>IF($G419&lt;&gt;0,SUMIF(куб!$G:$G,$G419,куб!N:N),IF($E419&lt;&gt;0,SUMIF(куб!$E:$E,$E419,куб!N:N),IF($D419&lt;&gt;0,SUMIF(куб!$D:$D,$D419,куб!N:N),IF($C419&lt;&gt;0,SUMIF(куб!$C:$C,$C419,куб!N:N),IF($B419&lt;&gt;0,SUMIF(куб!$B:$B,$B419,куб!N:N))))))</f>
        <v>0</v>
      </c>
      <c r="Y419" s="27" t="b">
        <f>IF($G419&lt;&gt;0,SUMIF(куб!$G:$G,$G419,куб!O:O),IF($E419&lt;&gt;0,SUMIF(куб!$E:$E,$E419,куб!O:O),IF($D419&lt;&gt;0,SUMIF(куб!$D:$D,$D419,куб!O:O),IF($C419&lt;&gt;0,SUMIF(куб!$C:$C,$C419,куб!O:O),IF($B419&lt;&gt;0,SUMIF(куб!$B:$B,$B419,куб!O:O))))))</f>
        <v>0</v>
      </c>
      <c r="Z419" s="13" t="str">
        <f t="shared" si="153"/>
        <v>-</v>
      </c>
      <c r="AA419" s="5"/>
      <c r="AB419" s="33" t="str">
        <f t="shared" si="154"/>
        <v/>
      </c>
      <c r="AC419" s="33" t="str">
        <f t="shared" si="155"/>
        <v/>
      </c>
      <c r="AD419" s="15" t="str">
        <f t="shared" si="156"/>
        <v xml:space="preserve"> </v>
      </c>
      <c r="AE419" s="5"/>
      <c r="AF419" s="27" t="b">
        <f>IF($G419&lt;&gt;0,SUMIF(куб!$G:$G,$G419,куб!R:R),IF($E419&lt;&gt;0,SUMIF(куб!$E:$E,$E419,куб!R:R),IF($D419&lt;&gt;0,SUMIF(куб!$D:$D,$D419,куб!R:R),IF($C419&lt;&gt;0,SUMIF(куб!$C:$C,$C419,куб!R:R),IF($B419&lt;&gt;0,SUMIF(куб!$B:$B,$B419,куб!R:R))))))</f>
        <v>0</v>
      </c>
      <c r="AG419" s="27" t="b">
        <f>IF($G419&lt;&gt;0,SUMIF(куб!$G:$G,$G419,куб!S:S),IF($E419&lt;&gt;0,SUMIF(куб!$E:$E,$E419,куб!S:S),IF($D419&lt;&gt;0,SUMIF(куб!$D:$D,$D419,куб!S:S),IF($C419&lt;&gt;0,SUMIF(куб!$C:$C,$C419,куб!S:S),IF($B419&lt;&gt;0,SUMIF(куб!$B:$B,$B419,куб!S:S))))))</f>
        <v>0</v>
      </c>
      <c r="AH419" s="16" t="str">
        <f t="shared" si="157"/>
        <v>-</v>
      </c>
      <c r="AI419" s="8"/>
      <c r="AJ419" s="27" t="b">
        <f>IF($G419&lt;&gt;0,SUMIF(куб!$G:$G,$G419,куб!T:T),IF($E419&lt;&gt;0,SUMIF(куб!$E:$E,$E419,куб!T:T),IF($D419&lt;&gt;0,SUMIF(куб!$D:$D,$D419,куб!T:T),IF($C419&lt;&gt;0,SUMIF(куб!$C:$C,$C419,куб!T:T),IF($B419&lt;&gt;0,SUMIF(куб!$B:$B,$B419,куб!T:T))))))</f>
        <v>0</v>
      </c>
      <c r="AK419" s="27" t="b">
        <f>IF($G419&lt;&gt;0,SUMIF(куб!$G:$G,$G419,куб!U:U),IF($E419&lt;&gt;0,SUMIF(куб!$E:$E,$E419,куб!U:U),IF($D419&lt;&gt;0,SUMIF(куб!$D:$D,$D419,куб!U:U),IF($C419&lt;&gt;0,SUMIF(куб!$C:$C,$C419,куб!U:U),IF($B419&lt;&gt;0,SUMIF(куб!$B:$B,$B419,куб!U:U))))))</f>
        <v>0</v>
      </c>
      <c r="AL419" s="16" t="str">
        <f t="shared" si="158"/>
        <v>-</v>
      </c>
      <c r="AM419" s="8"/>
      <c r="AN419" s="17" t="str">
        <f t="shared" si="159"/>
        <v xml:space="preserve"> </v>
      </c>
      <c r="AO419" s="17" t="str">
        <f t="shared" si="160"/>
        <v xml:space="preserve"> </v>
      </c>
      <c r="AP419" s="16" t="str">
        <f t="shared" si="161"/>
        <v>-</v>
      </c>
      <c r="AQ419" s="8"/>
      <c r="AR419" s="17" t="str">
        <f t="shared" si="162"/>
        <v>-</v>
      </c>
      <c r="AS419" s="17" t="str">
        <f t="shared" si="163"/>
        <v>-</v>
      </c>
      <c r="AT419" s="13" t="str">
        <f t="shared" si="164"/>
        <v>-</v>
      </c>
      <c r="AU419" s="8"/>
    </row>
    <row r="420" spans="1:47" x14ac:dyDescent="0.25">
      <c r="A420" s="31"/>
      <c r="B420" s="31"/>
      <c r="C420"/>
      <c r="D420" s="31"/>
      <c r="E420"/>
      <c r="F420" s="31"/>
      <c r="G420"/>
      <c r="H420" s="27">
        <f>IF($G420&lt;&gt;0,SUMIF(куб!$G:$G,$G420,куб!H:H),IF($E420&lt;&gt;0,SUMIF(куб!$E:$E,$E420,куб!H:H),IF($D420&lt;&gt;0,SUMIF(куб!$D:$D,$D420,куб!H:H),IF($C420&lt;&gt;0,SUMIF(куб!$C:$C,$C420,куб!H:H),IF($B420&lt;&gt;0,SUMIF(куб!$B:$B,$B420,куб!H:H),IF($G420&lt;&gt;0,SUMIF(куб!$A:$A,$G420,куб!H:H),SUMIF(куб!$A:$A,$G420,куб!H:H)))))))</f>
        <v>0</v>
      </c>
      <c r="I420" s="27">
        <f>IF($G420&lt;&gt;0,SUMIF(куб!$G:$G,$G420,куб!I:I),IF($E420&lt;&gt;0,SUMIF(куб!$E:$E,$E420,куб!I:I),IF($D420&lt;&gt;0,SUMIF(куб!$D:$D,$D420,куб!I:I),IF($C420&lt;&gt;0,SUMIF(куб!$C:$C,$C420,куб!I:I),IF($B420&lt;&gt;0,SUMIF(куб!$B:$B,$B420,куб!I:I),IF($G420&lt;&gt;0,SUMIF(куб!$A:$A,$G420,куб!I:I),SUMIF(куб!$A:$A,$G420,куб!I:I)))))))</f>
        <v>0</v>
      </c>
      <c r="J420" s="19" t="str">
        <f t="shared" si="147"/>
        <v>-</v>
      </c>
      <c r="K420" s="8"/>
      <c r="L420" s="17">
        <f t="shared" si="148"/>
        <v>0</v>
      </c>
      <c r="M420" s="17">
        <f t="shared" si="149"/>
        <v>0</v>
      </c>
      <c r="N420" s="12">
        <f t="shared" si="150"/>
        <v>0</v>
      </c>
      <c r="O420" s="5"/>
      <c r="P420" s="27" t="b">
        <f>IF($G420&lt;&gt;0,SUMIF(куб!$G:$G,$G420,куб!J:J),IF($E420&lt;&gt;0,SUMIF(куб!$E:$E,$E420,куб!J:J),IF($D420&lt;&gt;0,SUMIF(куб!$D:$D,$D420,куб!J:J),IF($C420&lt;&gt;0,SUMIF(куб!$C:$C,$C420,куб!J:J),IF($B420&lt;&gt;0,SUMIF(куб!$B:$B,$B420,куб!J:J))))))</f>
        <v>0</v>
      </c>
      <c r="Q420" s="27" t="b">
        <f>IF($G420&lt;&gt;0,SUMIF(куб!$G:$G,$G420,куб!K:K),IF($E420&lt;&gt;0,SUMIF(куб!$E:$E,$E420,куб!K:K),IF($D420&lt;&gt;0,SUMIF(куб!$D:$D,$D420,куб!K:K),IF($C420&lt;&gt;0,SUMIF(куб!$C:$C,$C420,куб!K:K),IF($B420&lt;&gt;0,SUMIF(куб!$B:$B,$B420,куб!K:K))))))</f>
        <v>0</v>
      </c>
      <c r="R420" s="13" t="str">
        <f t="shared" si="151"/>
        <v>-</v>
      </c>
      <c r="S420" s="5"/>
      <c r="T420" s="27" t="b">
        <f>IF($G420&lt;&gt;0,SUMIF(куб!$G:$G,$G420,куб!L:L),IF($E420&lt;&gt;0,SUMIF(куб!$E:$E,$E420,куб!L:L),IF($D420&lt;&gt;0,SUMIF(куб!$D:$D,$D420,куб!L:L),IF($C420&lt;&gt;0,SUMIF(куб!$C:$C,$C420,куб!L:L),IF($B420&lt;&gt;0,SUMIF(куб!$B:$B,$B420,куб!L:L))))))</f>
        <v>0</v>
      </c>
      <c r="U420" s="27" t="b">
        <f>IF($G420&lt;&gt;0,SUMIF(куб!$G:$G,$G420,куб!M:M),IF($E420&lt;&gt;0,SUMIF(куб!$E:$E,$E420,куб!M:M),IF($D420&lt;&gt;0,SUMIF(куб!$D:$D,$D420,куб!M:M),IF($C420&lt;&gt;0,SUMIF(куб!$C:$C,$C420,куб!M:M),IF($B420&lt;&gt;0,SUMIF(куб!$B:$B,$B420,куб!M:M))))))</f>
        <v>0</v>
      </c>
      <c r="V420" s="13" t="str">
        <f t="shared" si="152"/>
        <v>-</v>
      </c>
      <c r="W420" s="5"/>
      <c r="X420" s="27" t="b">
        <f>IF($G420&lt;&gt;0,SUMIF(куб!$G:$G,$G420,куб!N:N),IF($E420&lt;&gt;0,SUMIF(куб!$E:$E,$E420,куб!N:N),IF($D420&lt;&gt;0,SUMIF(куб!$D:$D,$D420,куб!N:N),IF($C420&lt;&gt;0,SUMIF(куб!$C:$C,$C420,куб!N:N),IF($B420&lt;&gt;0,SUMIF(куб!$B:$B,$B420,куб!N:N))))))</f>
        <v>0</v>
      </c>
      <c r="Y420" s="27" t="b">
        <f>IF($G420&lt;&gt;0,SUMIF(куб!$G:$G,$G420,куб!O:O),IF($E420&lt;&gt;0,SUMIF(куб!$E:$E,$E420,куб!O:O),IF($D420&lt;&gt;0,SUMIF(куб!$D:$D,$D420,куб!O:O),IF($C420&lt;&gt;0,SUMIF(куб!$C:$C,$C420,куб!O:O),IF($B420&lt;&gt;0,SUMIF(куб!$B:$B,$B420,куб!O:O))))))</f>
        <v>0</v>
      </c>
      <c r="Z420" s="13" t="str">
        <f t="shared" si="153"/>
        <v>-</v>
      </c>
      <c r="AA420" s="5"/>
      <c r="AB420" s="33" t="str">
        <f t="shared" si="154"/>
        <v/>
      </c>
      <c r="AC420" s="33" t="str">
        <f t="shared" si="155"/>
        <v/>
      </c>
      <c r="AD420" s="15" t="str">
        <f t="shared" si="156"/>
        <v xml:space="preserve"> </v>
      </c>
      <c r="AE420" s="5"/>
      <c r="AF420" s="27" t="b">
        <f>IF($G420&lt;&gt;0,SUMIF(куб!$G:$G,$G420,куб!R:R),IF($E420&lt;&gt;0,SUMIF(куб!$E:$E,$E420,куб!R:R),IF($D420&lt;&gt;0,SUMIF(куб!$D:$D,$D420,куб!R:R),IF($C420&lt;&gt;0,SUMIF(куб!$C:$C,$C420,куб!R:R),IF($B420&lt;&gt;0,SUMIF(куб!$B:$B,$B420,куб!R:R))))))</f>
        <v>0</v>
      </c>
      <c r="AG420" s="27" t="b">
        <f>IF($G420&lt;&gt;0,SUMIF(куб!$G:$G,$G420,куб!S:S),IF($E420&lt;&gt;0,SUMIF(куб!$E:$E,$E420,куб!S:S),IF($D420&lt;&gt;0,SUMIF(куб!$D:$D,$D420,куб!S:S),IF($C420&lt;&gt;0,SUMIF(куб!$C:$C,$C420,куб!S:S),IF($B420&lt;&gt;0,SUMIF(куб!$B:$B,$B420,куб!S:S))))))</f>
        <v>0</v>
      </c>
      <c r="AH420" s="16" t="str">
        <f t="shared" si="157"/>
        <v>-</v>
      </c>
      <c r="AI420" s="8"/>
      <c r="AJ420" s="27" t="b">
        <f>IF($G420&lt;&gt;0,SUMIF(куб!$G:$G,$G420,куб!T:T),IF($E420&lt;&gt;0,SUMIF(куб!$E:$E,$E420,куб!T:T),IF($D420&lt;&gt;0,SUMIF(куб!$D:$D,$D420,куб!T:T),IF($C420&lt;&gt;0,SUMIF(куб!$C:$C,$C420,куб!T:T),IF($B420&lt;&gt;0,SUMIF(куб!$B:$B,$B420,куб!T:T))))))</f>
        <v>0</v>
      </c>
      <c r="AK420" s="27" t="b">
        <f>IF($G420&lt;&gt;0,SUMIF(куб!$G:$G,$G420,куб!U:U),IF($E420&lt;&gt;0,SUMIF(куб!$E:$E,$E420,куб!U:U),IF($D420&lt;&gt;0,SUMIF(куб!$D:$D,$D420,куб!U:U),IF($C420&lt;&gt;0,SUMIF(куб!$C:$C,$C420,куб!U:U),IF($B420&lt;&gt;0,SUMIF(куб!$B:$B,$B420,куб!U:U))))))</f>
        <v>0</v>
      </c>
      <c r="AL420" s="16" t="str">
        <f t="shared" si="158"/>
        <v>-</v>
      </c>
      <c r="AM420" s="8"/>
      <c r="AN420" s="17" t="str">
        <f t="shared" si="159"/>
        <v xml:space="preserve"> </v>
      </c>
      <c r="AO420" s="17" t="str">
        <f t="shared" si="160"/>
        <v xml:space="preserve"> </v>
      </c>
      <c r="AP420" s="16" t="str">
        <f t="shared" si="161"/>
        <v>-</v>
      </c>
      <c r="AQ420" s="8"/>
      <c r="AR420" s="17" t="str">
        <f t="shared" si="162"/>
        <v>-</v>
      </c>
      <c r="AS420" s="17" t="str">
        <f t="shared" si="163"/>
        <v>-</v>
      </c>
      <c r="AT420" s="13" t="str">
        <f t="shared" si="164"/>
        <v>-</v>
      </c>
      <c r="AU420" s="8"/>
    </row>
    <row r="421" spans="1:47" x14ac:dyDescent="0.25">
      <c r="A421" s="31"/>
      <c r="B421" s="31"/>
      <c r="C421"/>
      <c r="D421" s="31"/>
      <c r="E421"/>
      <c r="F421" s="31"/>
      <c r="G421"/>
      <c r="H421" s="27">
        <f>IF($G421&lt;&gt;0,SUMIF(куб!$G:$G,$G421,куб!H:H),IF($E421&lt;&gt;0,SUMIF(куб!$E:$E,$E421,куб!H:H),IF($D421&lt;&gt;0,SUMIF(куб!$D:$D,$D421,куб!H:H),IF($C421&lt;&gt;0,SUMIF(куб!$C:$C,$C421,куб!H:H),IF($B421&lt;&gt;0,SUMIF(куб!$B:$B,$B421,куб!H:H),IF($G421&lt;&gt;0,SUMIF(куб!$A:$A,$G421,куб!H:H),SUMIF(куб!$A:$A,$G421,куб!H:H)))))))</f>
        <v>0</v>
      </c>
      <c r="I421" s="27">
        <f>IF($G421&lt;&gt;0,SUMIF(куб!$G:$G,$G421,куб!I:I),IF($E421&lt;&gt;0,SUMIF(куб!$E:$E,$E421,куб!I:I),IF($D421&lt;&gt;0,SUMIF(куб!$D:$D,$D421,куб!I:I),IF($C421&lt;&gt;0,SUMIF(куб!$C:$C,$C421,куб!I:I),IF($B421&lt;&gt;0,SUMIF(куб!$B:$B,$B421,куб!I:I),IF($G421&lt;&gt;0,SUMIF(куб!$A:$A,$G421,куб!I:I),SUMIF(куб!$A:$A,$G421,куб!I:I)))))))</f>
        <v>0</v>
      </c>
      <c r="J421" s="19" t="str">
        <f t="shared" si="147"/>
        <v>-</v>
      </c>
      <c r="K421" s="8"/>
      <c r="L421" s="17">
        <f t="shared" si="148"/>
        <v>0</v>
      </c>
      <c r="M421" s="17">
        <f t="shared" si="149"/>
        <v>0</v>
      </c>
      <c r="N421" s="12">
        <f t="shared" si="150"/>
        <v>0</v>
      </c>
      <c r="O421" s="5"/>
      <c r="P421" s="27" t="b">
        <f>IF($G421&lt;&gt;0,SUMIF(куб!$G:$G,$G421,куб!J:J),IF($E421&lt;&gt;0,SUMIF(куб!$E:$E,$E421,куб!J:J),IF($D421&lt;&gt;0,SUMIF(куб!$D:$D,$D421,куб!J:J),IF($C421&lt;&gt;0,SUMIF(куб!$C:$C,$C421,куб!J:J),IF($B421&lt;&gt;0,SUMIF(куб!$B:$B,$B421,куб!J:J))))))</f>
        <v>0</v>
      </c>
      <c r="Q421" s="27" t="b">
        <f>IF($G421&lt;&gt;0,SUMIF(куб!$G:$G,$G421,куб!K:K),IF($E421&lt;&gt;0,SUMIF(куб!$E:$E,$E421,куб!K:K),IF($D421&lt;&gt;0,SUMIF(куб!$D:$D,$D421,куб!K:K),IF($C421&lt;&gt;0,SUMIF(куб!$C:$C,$C421,куб!K:K),IF($B421&lt;&gt;0,SUMIF(куб!$B:$B,$B421,куб!K:K))))))</f>
        <v>0</v>
      </c>
      <c r="R421" s="13" t="str">
        <f t="shared" si="151"/>
        <v>-</v>
      </c>
      <c r="S421" s="5"/>
      <c r="T421" s="27" t="b">
        <f>IF($G421&lt;&gt;0,SUMIF(куб!$G:$G,$G421,куб!L:L),IF($E421&lt;&gt;0,SUMIF(куб!$E:$E,$E421,куб!L:L),IF($D421&lt;&gt;0,SUMIF(куб!$D:$D,$D421,куб!L:L),IF($C421&lt;&gt;0,SUMIF(куб!$C:$C,$C421,куб!L:L),IF($B421&lt;&gt;0,SUMIF(куб!$B:$B,$B421,куб!L:L))))))</f>
        <v>0</v>
      </c>
      <c r="U421" s="27" t="b">
        <f>IF($G421&lt;&gt;0,SUMIF(куб!$G:$G,$G421,куб!M:M),IF($E421&lt;&gt;0,SUMIF(куб!$E:$E,$E421,куб!M:M),IF($D421&lt;&gt;0,SUMIF(куб!$D:$D,$D421,куб!M:M),IF($C421&lt;&gt;0,SUMIF(куб!$C:$C,$C421,куб!M:M),IF($B421&lt;&gt;0,SUMIF(куб!$B:$B,$B421,куб!M:M))))))</f>
        <v>0</v>
      </c>
      <c r="V421" s="13" t="str">
        <f t="shared" si="152"/>
        <v>-</v>
      </c>
      <c r="W421" s="5"/>
      <c r="X421" s="27" t="b">
        <f>IF($G421&lt;&gt;0,SUMIF(куб!$G:$G,$G421,куб!N:N),IF($E421&lt;&gt;0,SUMIF(куб!$E:$E,$E421,куб!N:N),IF($D421&lt;&gt;0,SUMIF(куб!$D:$D,$D421,куб!N:N),IF($C421&lt;&gt;0,SUMIF(куб!$C:$C,$C421,куб!N:N),IF($B421&lt;&gt;0,SUMIF(куб!$B:$B,$B421,куб!N:N))))))</f>
        <v>0</v>
      </c>
      <c r="Y421" s="27" t="b">
        <f>IF($G421&lt;&gt;0,SUMIF(куб!$G:$G,$G421,куб!O:O),IF($E421&lt;&gt;0,SUMIF(куб!$E:$E,$E421,куб!O:O),IF($D421&lt;&gt;0,SUMIF(куб!$D:$D,$D421,куб!O:O),IF($C421&lt;&gt;0,SUMIF(куб!$C:$C,$C421,куб!O:O),IF($B421&lt;&gt;0,SUMIF(куб!$B:$B,$B421,куб!O:O))))))</f>
        <v>0</v>
      </c>
      <c r="Z421" s="13" t="str">
        <f t="shared" si="153"/>
        <v>-</v>
      </c>
      <c r="AA421" s="5"/>
      <c r="AB421" s="33" t="str">
        <f t="shared" si="154"/>
        <v/>
      </c>
      <c r="AC421" s="33" t="str">
        <f t="shared" si="155"/>
        <v/>
      </c>
      <c r="AD421" s="15" t="str">
        <f t="shared" si="156"/>
        <v xml:space="preserve"> </v>
      </c>
      <c r="AE421" s="5"/>
      <c r="AF421" s="27" t="b">
        <f>IF($G421&lt;&gt;0,SUMIF(куб!$G:$G,$G421,куб!R:R),IF($E421&lt;&gt;0,SUMIF(куб!$E:$E,$E421,куб!R:R),IF($D421&lt;&gt;0,SUMIF(куб!$D:$D,$D421,куб!R:R),IF($C421&lt;&gt;0,SUMIF(куб!$C:$C,$C421,куб!R:R),IF($B421&lt;&gt;0,SUMIF(куб!$B:$B,$B421,куб!R:R))))))</f>
        <v>0</v>
      </c>
      <c r="AG421" s="27" t="b">
        <f>IF($G421&lt;&gt;0,SUMIF(куб!$G:$G,$G421,куб!S:S),IF($E421&lt;&gt;0,SUMIF(куб!$E:$E,$E421,куб!S:S),IF($D421&lt;&gt;0,SUMIF(куб!$D:$D,$D421,куб!S:S),IF($C421&lt;&gt;0,SUMIF(куб!$C:$C,$C421,куб!S:S),IF($B421&lt;&gt;0,SUMIF(куб!$B:$B,$B421,куб!S:S))))))</f>
        <v>0</v>
      </c>
      <c r="AH421" s="16" t="str">
        <f t="shared" si="157"/>
        <v>-</v>
      </c>
      <c r="AI421" s="8"/>
      <c r="AJ421" s="27" t="b">
        <f>IF($G421&lt;&gt;0,SUMIF(куб!$G:$G,$G421,куб!T:T),IF($E421&lt;&gt;0,SUMIF(куб!$E:$E,$E421,куб!T:T),IF($D421&lt;&gt;0,SUMIF(куб!$D:$D,$D421,куб!T:T),IF($C421&lt;&gt;0,SUMIF(куб!$C:$C,$C421,куб!T:T),IF($B421&lt;&gt;0,SUMIF(куб!$B:$B,$B421,куб!T:T))))))</f>
        <v>0</v>
      </c>
      <c r="AK421" s="27" t="b">
        <f>IF($G421&lt;&gt;0,SUMIF(куб!$G:$G,$G421,куб!U:U),IF($E421&lt;&gt;0,SUMIF(куб!$E:$E,$E421,куб!U:U),IF($D421&lt;&gt;0,SUMIF(куб!$D:$D,$D421,куб!U:U),IF($C421&lt;&gt;0,SUMIF(куб!$C:$C,$C421,куб!U:U),IF($B421&lt;&gt;0,SUMIF(куб!$B:$B,$B421,куб!U:U))))))</f>
        <v>0</v>
      </c>
      <c r="AL421" s="16" t="str">
        <f t="shared" si="158"/>
        <v>-</v>
      </c>
      <c r="AM421" s="8"/>
      <c r="AN421" s="17" t="str">
        <f t="shared" si="159"/>
        <v xml:space="preserve"> </v>
      </c>
      <c r="AO421" s="17" t="str">
        <f t="shared" si="160"/>
        <v xml:space="preserve"> </v>
      </c>
      <c r="AP421" s="16" t="str">
        <f t="shared" si="161"/>
        <v>-</v>
      </c>
      <c r="AQ421" s="8"/>
      <c r="AR421" s="17" t="str">
        <f t="shared" si="162"/>
        <v>-</v>
      </c>
      <c r="AS421" s="17" t="str">
        <f t="shared" si="163"/>
        <v>-</v>
      </c>
      <c r="AT421" s="13" t="str">
        <f t="shared" si="164"/>
        <v>-</v>
      </c>
      <c r="AU421" s="8"/>
    </row>
    <row r="422" spans="1:47" x14ac:dyDescent="0.25">
      <c r="A422" s="31"/>
      <c r="B422" s="31"/>
      <c r="C422"/>
      <c r="D422" s="31"/>
      <c r="E422"/>
      <c r="F422" s="31"/>
      <c r="G422"/>
      <c r="H422" s="27">
        <f>IF($G422&lt;&gt;0,SUMIF(куб!$G:$G,$G422,куб!H:H),IF($E422&lt;&gt;0,SUMIF(куб!$E:$E,$E422,куб!H:H),IF($D422&lt;&gt;0,SUMIF(куб!$D:$D,$D422,куб!H:H),IF($C422&lt;&gt;0,SUMIF(куб!$C:$C,$C422,куб!H:H),IF($B422&lt;&gt;0,SUMIF(куб!$B:$B,$B422,куб!H:H),IF($G422&lt;&gt;0,SUMIF(куб!$A:$A,$G422,куб!H:H),SUMIF(куб!$A:$A,$G422,куб!H:H)))))))</f>
        <v>0</v>
      </c>
      <c r="I422" s="27">
        <f>IF($G422&lt;&gt;0,SUMIF(куб!$G:$G,$G422,куб!I:I),IF($E422&lt;&gt;0,SUMIF(куб!$E:$E,$E422,куб!I:I),IF($D422&lt;&gt;0,SUMIF(куб!$D:$D,$D422,куб!I:I),IF($C422&lt;&gt;0,SUMIF(куб!$C:$C,$C422,куб!I:I),IF($B422&lt;&gt;0,SUMIF(куб!$B:$B,$B422,куб!I:I),IF($G422&lt;&gt;0,SUMIF(куб!$A:$A,$G422,куб!I:I),SUMIF(куб!$A:$A,$G422,куб!I:I)))))))</f>
        <v>0</v>
      </c>
      <c r="J422" s="19" t="str">
        <f t="shared" si="147"/>
        <v>-</v>
      </c>
      <c r="K422" s="8"/>
      <c r="L422" s="17">
        <f t="shared" si="148"/>
        <v>0</v>
      </c>
      <c r="M422" s="17">
        <f t="shared" si="149"/>
        <v>0</v>
      </c>
      <c r="N422" s="12">
        <f t="shared" si="150"/>
        <v>0</v>
      </c>
      <c r="O422" s="5"/>
      <c r="P422" s="27" t="b">
        <f>IF($G422&lt;&gt;0,SUMIF(куб!$G:$G,$G422,куб!J:J),IF($E422&lt;&gt;0,SUMIF(куб!$E:$E,$E422,куб!J:J),IF($D422&lt;&gt;0,SUMIF(куб!$D:$D,$D422,куб!J:J),IF($C422&lt;&gt;0,SUMIF(куб!$C:$C,$C422,куб!J:J),IF($B422&lt;&gt;0,SUMIF(куб!$B:$B,$B422,куб!J:J))))))</f>
        <v>0</v>
      </c>
      <c r="Q422" s="27" t="b">
        <f>IF($G422&lt;&gt;0,SUMIF(куб!$G:$G,$G422,куб!K:K),IF($E422&lt;&gt;0,SUMIF(куб!$E:$E,$E422,куб!K:K),IF($D422&lt;&gt;0,SUMIF(куб!$D:$D,$D422,куб!K:K),IF($C422&lt;&gt;0,SUMIF(куб!$C:$C,$C422,куб!K:K),IF($B422&lt;&gt;0,SUMIF(куб!$B:$B,$B422,куб!K:K))))))</f>
        <v>0</v>
      </c>
      <c r="R422" s="13" t="str">
        <f t="shared" si="151"/>
        <v>-</v>
      </c>
      <c r="S422" s="5"/>
      <c r="T422" s="27" t="b">
        <f>IF($G422&lt;&gt;0,SUMIF(куб!$G:$G,$G422,куб!L:L),IF($E422&lt;&gt;0,SUMIF(куб!$E:$E,$E422,куб!L:L),IF($D422&lt;&gt;0,SUMIF(куб!$D:$D,$D422,куб!L:L),IF($C422&lt;&gt;0,SUMIF(куб!$C:$C,$C422,куб!L:L),IF($B422&lt;&gt;0,SUMIF(куб!$B:$B,$B422,куб!L:L))))))</f>
        <v>0</v>
      </c>
      <c r="U422" s="27" t="b">
        <f>IF($G422&lt;&gt;0,SUMIF(куб!$G:$G,$G422,куб!M:M),IF($E422&lt;&gt;0,SUMIF(куб!$E:$E,$E422,куб!M:M),IF($D422&lt;&gt;0,SUMIF(куб!$D:$D,$D422,куб!M:M),IF($C422&lt;&gt;0,SUMIF(куб!$C:$C,$C422,куб!M:M),IF($B422&lt;&gt;0,SUMIF(куб!$B:$B,$B422,куб!M:M))))))</f>
        <v>0</v>
      </c>
      <c r="V422" s="13" t="str">
        <f t="shared" si="152"/>
        <v>-</v>
      </c>
      <c r="W422" s="5"/>
      <c r="X422" s="27" t="b">
        <f>IF($G422&lt;&gt;0,SUMIF(куб!$G:$G,$G422,куб!N:N),IF($E422&lt;&gt;0,SUMIF(куб!$E:$E,$E422,куб!N:N),IF($D422&lt;&gt;0,SUMIF(куб!$D:$D,$D422,куб!N:N),IF($C422&lt;&gt;0,SUMIF(куб!$C:$C,$C422,куб!N:N),IF($B422&lt;&gt;0,SUMIF(куб!$B:$B,$B422,куб!N:N))))))</f>
        <v>0</v>
      </c>
      <c r="Y422" s="27" t="b">
        <f>IF($G422&lt;&gt;0,SUMIF(куб!$G:$G,$G422,куб!O:O),IF($E422&lt;&gt;0,SUMIF(куб!$E:$E,$E422,куб!O:O),IF($D422&lt;&gt;0,SUMIF(куб!$D:$D,$D422,куб!O:O),IF($C422&lt;&gt;0,SUMIF(куб!$C:$C,$C422,куб!O:O),IF($B422&lt;&gt;0,SUMIF(куб!$B:$B,$B422,куб!O:O))))))</f>
        <v>0</v>
      </c>
      <c r="Z422" s="13" t="str">
        <f t="shared" si="153"/>
        <v>-</v>
      </c>
      <c r="AA422" s="5"/>
      <c r="AB422" s="33" t="str">
        <f t="shared" si="154"/>
        <v/>
      </c>
      <c r="AC422" s="33" t="str">
        <f t="shared" si="155"/>
        <v/>
      </c>
      <c r="AD422" s="15" t="str">
        <f t="shared" si="156"/>
        <v xml:space="preserve"> </v>
      </c>
      <c r="AE422" s="5"/>
      <c r="AF422" s="27" t="b">
        <f>IF($G422&lt;&gt;0,SUMIF(куб!$G:$G,$G422,куб!R:R),IF($E422&lt;&gt;0,SUMIF(куб!$E:$E,$E422,куб!R:R),IF($D422&lt;&gt;0,SUMIF(куб!$D:$D,$D422,куб!R:R),IF($C422&lt;&gt;0,SUMIF(куб!$C:$C,$C422,куб!R:R),IF($B422&lt;&gt;0,SUMIF(куб!$B:$B,$B422,куб!R:R))))))</f>
        <v>0</v>
      </c>
      <c r="AG422" s="27" t="b">
        <f>IF($G422&lt;&gt;0,SUMIF(куб!$G:$G,$G422,куб!S:S),IF($E422&lt;&gt;0,SUMIF(куб!$E:$E,$E422,куб!S:S),IF($D422&lt;&gt;0,SUMIF(куб!$D:$D,$D422,куб!S:S),IF($C422&lt;&gt;0,SUMIF(куб!$C:$C,$C422,куб!S:S),IF($B422&lt;&gt;0,SUMIF(куб!$B:$B,$B422,куб!S:S))))))</f>
        <v>0</v>
      </c>
      <c r="AH422" s="16" t="str">
        <f t="shared" si="157"/>
        <v>-</v>
      </c>
      <c r="AI422" s="8"/>
      <c r="AJ422" s="27" t="b">
        <f>IF($G422&lt;&gt;0,SUMIF(куб!$G:$G,$G422,куб!T:T),IF($E422&lt;&gt;0,SUMIF(куб!$E:$E,$E422,куб!T:T),IF($D422&lt;&gt;0,SUMIF(куб!$D:$D,$D422,куб!T:T),IF($C422&lt;&gt;0,SUMIF(куб!$C:$C,$C422,куб!T:T),IF($B422&lt;&gt;0,SUMIF(куб!$B:$B,$B422,куб!T:T))))))</f>
        <v>0</v>
      </c>
      <c r="AK422" s="27" t="b">
        <f>IF($G422&lt;&gt;0,SUMIF(куб!$G:$G,$G422,куб!U:U),IF($E422&lt;&gt;0,SUMIF(куб!$E:$E,$E422,куб!U:U),IF($D422&lt;&gt;0,SUMIF(куб!$D:$D,$D422,куб!U:U),IF($C422&lt;&gt;0,SUMIF(куб!$C:$C,$C422,куб!U:U),IF($B422&lt;&gt;0,SUMIF(куб!$B:$B,$B422,куб!U:U))))))</f>
        <v>0</v>
      </c>
      <c r="AL422" s="16" t="str">
        <f t="shared" si="158"/>
        <v>-</v>
      </c>
      <c r="AM422" s="8"/>
      <c r="AN422" s="17" t="str">
        <f t="shared" si="159"/>
        <v xml:space="preserve"> </v>
      </c>
      <c r="AO422" s="17" t="str">
        <f t="shared" si="160"/>
        <v xml:space="preserve"> </v>
      </c>
      <c r="AP422" s="16" t="str">
        <f t="shared" si="161"/>
        <v>-</v>
      </c>
      <c r="AQ422" s="8"/>
      <c r="AR422" s="17" t="str">
        <f t="shared" si="162"/>
        <v>-</v>
      </c>
      <c r="AS422" s="17" t="str">
        <f t="shared" si="163"/>
        <v>-</v>
      </c>
      <c r="AT422" s="13" t="str">
        <f t="shared" si="164"/>
        <v>-</v>
      </c>
      <c r="AU422" s="8"/>
    </row>
    <row r="423" spans="1:47" x14ac:dyDescent="0.25">
      <c r="A423" s="31"/>
      <c r="B423" s="31"/>
      <c r="C423"/>
      <c r="D423" s="31"/>
      <c r="E423"/>
      <c r="F423" s="31"/>
      <c r="G423"/>
      <c r="H423" s="27">
        <f>IF($G423&lt;&gt;0,SUMIF(куб!$G:$G,$G423,куб!H:H),IF($E423&lt;&gt;0,SUMIF(куб!$E:$E,$E423,куб!H:H),IF($D423&lt;&gt;0,SUMIF(куб!$D:$D,$D423,куб!H:H),IF($C423&lt;&gt;0,SUMIF(куб!$C:$C,$C423,куб!H:H),IF($B423&lt;&gt;0,SUMIF(куб!$B:$B,$B423,куб!H:H),IF($G423&lt;&gt;0,SUMIF(куб!$A:$A,$G423,куб!H:H),SUMIF(куб!$A:$A,$G423,куб!H:H)))))))</f>
        <v>0</v>
      </c>
      <c r="I423" s="27">
        <f>IF($G423&lt;&gt;0,SUMIF(куб!$G:$G,$G423,куб!I:I),IF($E423&lt;&gt;0,SUMIF(куб!$E:$E,$E423,куб!I:I),IF($D423&lt;&gt;0,SUMIF(куб!$D:$D,$D423,куб!I:I),IF($C423&lt;&gt;0,SUMIF(куб!$C:$C,$C423,куб!I:I),IF($B423&lt;&gt;0,SUMIF(куб!$B:$B,$B423,куб!I:I),IF($G423&lt;&gt;0,SUMIF(куб!$A:$A,$G423,куб!I:I),SUMIF(куб!$A:$A,$G423,куб!I:I)))))))</f>
        <v>0</v>
      </c>
      <c r="J423" s="19" t="str">
        <f t="shared" si="147"/>
        <v>-</v>
      </c>
      <c r="K423" s="8"/>
      <c r="L423" s="17">
        <f t="shared" si="148"/>
        <v>0</v>
      </c>
      <c r="M423" s="17">
        <f t="shared" si="149"/>
        <v>0</v>
      </c>
      <c r="N423" s="12">
        <f t="shared" si="150"/>
        <v>0</v>
      </c>
      <c r="O423" s="5"/>
      <c r="P423" s="27" t="b">
        <f>IF($G423&lt;&gt;0,SUMIF(куб!$G:$G,$G423,куб!J:J),IF($E423&lt;&gt;0,SUMIF(куб!$E:$E,$E423,куб!J:J),IF($D423&lt;&gt;0,SUMIF(куб!$D:$D,$D423,куб!J:J),IF($C423&lt;&gt;0,SUMIF(куб!$C:$C,$C423,куб!J:J),IF($B423&lt;&gt;0,SUMIF(куб!$B:$B,$B423,куб!J:J))))))</f>
        <v>0</v>
      </c>
      <c r="Q423" s="27" t="b">
        <f>IF($G423&lt;&gt;0,SUMIF(куб!$G:$G,$G423,куб!K:K),IF($E423&lt;&gt;0,SUMIF(куб!$E:$E,$E423,куб!K:K),IF($D423&lt;&gt;0,SUMIF(куб!$D:$D,$D423,куб!K:K),IF($C423&lt;&gt;0,SUMIF(куб!$C:$C,$C423,куб!K:K),IF($B423&lt;&gt;0,SUMIF(куб!$B:$B,$B423,куб!K:K))))))</f>
        <v>0</v>
      </c>
      <c r="R423" s="13" t="str">
        <f t="shared" si="151"/>
        <v>-</v>
      </c>
      <c r="S423" s="5"/>
      <c r="T423" s="27" t="b">
        <f>IF($G423&lt;&gt;0,SUMIF(куб!$G:$G,$G423,куб!L:L),IF($E423&lt;&gt;0,SUMIF(куб!$E:$E,$E423,куб!L:L),IF($D423&lt;&gt;0,SUMIF(куб!$D:$D,$D423,куб!L:L),IF($C423&lt;&gt;0,SUMIF(куб!$C:$C,$C423,куб!L:L),IF($B423&lt;&gt;0,SUMIF(куб!$B:$B,$B423,куб!L:L))))))</f>
        <v>0</v>
      </c>
      <c r="U423" s="27" t="b">
        <f>IF($G423&lt;&gt;0,SUMIF(куб!$G:$G,$G423,куб!M:M),IF($E423&lt;&gt;0,SUMIF(куб!$E:$E,$E423,куб!M:M),IF($D423&lt;&gt;0,SUMIF(куб!$D:$D,$D423,куб!M:M),IF($C423&lt;&gt;0,SUMIF(куб!$C:$C,$C423,куб!M:M),IF($B423&lt;&gt;0,SUMIF(куб!$B:$B,$B423,куб!M:M))))))</f>
        <v>0</v>
      </c>
      <c r="V423" s="13" t="str">
        <f t="shared" si="152"/>
        <v>-</v>
      </c>
      <c r="W423" s="5"/>
      <c r="X423" s="27" t="b">
        <f>IF($G423&lt;&gt;0,SUMIF(куб!$G:$G,$G423,куб!N:N),IF($E423&lt;&gt;0,SUMIF(куб!$E:$E,$E423,куб!N:N),IF($D423&lt;&gt;0,SUMIF(куб!$D:$D,$D423,куб!N:N),IF($C423&lt;&gt;0,SUMIF(куб!$C:$C,$C423,куб!N:N),IF($B423&lt;&gt;0,SUMIF(куб!$B:$B,$B423,куб!N:N))))))</f>
        <v>0</v>
      </c>
      <c r="Y423" s="27" t="b">
        <f>IF($G423&lt;&gt;0,SUMIF(куб!$G:$G,$G423,куб!O:O),IF($E423&lt;&gt;0,SUMIF(куб!$E:$E,$E423,куб!O:O),IF($D423&lt;&gt;0,SUMIF(куб!$D:$D,$D423,куб!O:O),IF($C423&lt;&gt;0,SUMIF(куб!$C:$C,$C423,куб!O:O),IF($B423&lt;&gt;0,SUMIF(куб!$B:$B,$B423,куб!O:O))))))</f>
        <v>0</v>
      </c>
      <c r="Z423" s="13" t="str">
        <f t="shared" si="153"/>
        <v>-</v>
      </c>
      <c r="AA423" s="5"/>
      <c r="AB423" s="33" t="str">
        <f t="shared" si="154"/>
        <v/>
      </c>
      <c r="AC423" s="33" t="str">
        <f t="shared" si="155"/>
        <v/>
      </c>
      <c r="AD423" s="15" t="str">
        <f t="shared" si="156"/>
        <v xml:space="preserve"> </v>
      </c>
      <c r="AE423" s="5"/>
      <c r="AF423" s="27" t="b">
        <f>IF($G423&lt;&gt;0,SUMIF(куб!$G:$G,$G423,куб!R:R),IF($E423&lt;&gt;0,SUMIF(куб!$E:$E,$E423,куб!R:R),IF($D423&lt;&gt;0,SUMIF(куб!$D:$D,$D423,куб!R:R),IF($C423&lt;&gt;0,SUMIF(куб!$C:$C,$C423,куб!R:R),IF($B423&lt;&gt;0,SUMIF(куб!$B:$B,$B423,куб!R:R))))))</f>
        <v>0</v>
      </c>
      <c r="AG423" s="27" t="b">
        <f>IF($G423&lt;&gt;0,SUMIF(куб!$G:$G,$G423,куб!S:S),IF($E423&lt;&gt;0,SUMIF(куб!$E:$E,$E423,куб!S:S),IF($D423&lt;&gt;0,SUMIF(куб!$D:$D,$D423,куб!S:S),IF($C423&lt;&gt;0,SUMIF(куб!$C:$C,$C423,куб!S:S),IF($B423&lt;&gt;0,SUMIF(куб!$B:$B,$B423,куб!S:S))))))</f>
        <v>0</v>
      </c>
      <c r="AH423" s="16" t="str">
        <f t="shared" si="157"/>
        <v>-</v>
      </c>
      <c r="AI423" s="8"/>
      <c r="AJ423" s="27" t="b">
        <f>IF($G423&lt;&gt;0,SUMIF(куб!$G:$G,$G423,куб!T:T),IF($E423&lt;&gt;0,SUMIF(куб!$E:$E,$E423,куб!T:T),IF($D423&lt;&gt;0,SUMIF(куб!$D:$D,$D423,куб!T:T),IF($C423&lt;&gt;0,SUMIF(куб!$C:$C,$C423,куб!T:T),IF($B423&lt;&gt;0,SUMIF(куб!$B:$B,$B423,куб!T:T))))))</f>
        <v>0</v>
      </c>
      <c r="AK423" s="27" t="b">
        <f>IF($G423&lt;&gt;0,SUMIF(куб!$G:$G,$G423,куб!U:U),IF($E423&lt;&gt;0,SUMIF(куб!$E:$E,$E423,куб!U:U),IF($D423&lt;&gt;0,SUMIF(куб!$D:$D,$D423,куб!U:U),IF($C423&lt;&gt;0,SUMIF(куб!$C:$C,$C423,куб!U:U),IF($B423&lt;&gt;0,SUMIF(куб!$B:$B,$B423,куб!U:U))))))</f>
        <v>0</v>
      </c>
      <c r="AL423" s="16" t="str">
        <f t="shared" si="158"/>
        <v>-</v>
      </c>
      <c r="AM423" s="8"/>
      <c r="AN423" s="17" t="str">
        <f t="shared" si="159"/>
        <v xml:space="preserve"> </v>
      </c>
      <c r="AO423" s="17" t="str">
        <f t="shared" si="160"/>
        <v xml:space="preserve"> </v>
      </c>
      <c r="AP423" s="16" t="str">
        <f t="shared" si="161"/>
        <v>-</v>
      </c>
      <c r="AQ423" s="8"/>
      <c r="AR423" s="17" t="str">
        <f t="shared" si="162"/>
        <v>-</v>
      </c>
      <c r="AS423" s="17" t="str">
        <f t="shared" si="163"/>
        <v>-</v>
      </c>
      <c r="AT423" s="13" t="str">
        <f t="shared" si="164"/>
        <v>-</v>
      </c>
      <c r="AU423" s="8"/>
    </row>
    <row r="424" spans="1:47" x14ac:dyDescent="0.25">
      <c r="A424" s="31"/>
      <c r="B424" s="31"/>
      <c r="C424"/>
      <c r="D424" s="31"/>
      <c r="E424"/>
      <c r="F424"/>
      <c r="G424"/>
      <c r="H424" s="27">
        <f>IF($G424&lt;&gt;0,SUMIF(куб!$G:$G,$G424,куб!H:H),IF($E424&lt;&gt;0,SUMIF(куб!$E:$E,$E424,куб!H:H),IF($D424&lt;&gt;0,SUMIF(куб!$D:$D,$D424,куб!H:H),IF($C424&lt;&gt;0,SUMIF(куб!$C:$C,$C424,куб!H:H),IF($B424&lt;&gt;0,SUMIF(куб!$B:$B,$B424,куб!H:H),IF($G424&lt;&gt;0,SUMIF(куб!$A:$A,$G424,куб!H:H),SUMIF(куб!$A:$A,$G424,куб!H:H)))))))</f>
        <v>0</v>
      </c>
      <c r="I424" s="27">
        <f>IF($G424&lt;&gt;0,SUMIF(куб!$G:$G,$G424,куб!I:I),IF($E424&lt;&gt;0,SUMIF(куб!$E:$E,$E424,куб!I:I),IF($D424&lt;&gt;0,SUMIF(куб!$D:$D,$D424,куб!I:I),IF($C424&lt;&gt;0,SUMIF(куб!$C:$C,$C424,куб!I:I),IF($B424&lt;&gt;0,SUMIF(куб!$B:$B,$B424,куб!I:I),IF($G424&lt;&gt;0,SUMIF(куб!$A:$A,$G424,куб!I:I),SUMIF(куб!$A:$A,$G424,куб!I:I)))))))</f>
        <v>0</v>
      </c>
      <c r="J424" s="19" t="str">
        <f t="shared" si="147"/>
        <v>-</v>
      </c>
      <c r="K424" s="8"/>
      <c r="L424" s="17">
        <f t="shared" si="148"/>
        <v>0</v>
      </c>
      <c r="M424" s="17">
        <f t="shared" si="149"/>
        <v>0</v>
      </c>
      <c r="N424" s="12">
        <f t="shared" si="150"/>
        <v>0</v>
      </c>
      <c r="O424" s="5"/>
      <c r="P424" s="27" t="b">
        <f>IF($G424&lt;&gt;0,SUMIF(куб!$G:$G,$G424,куб!J:J),IF($E424&lt;&gt;0,SUMIF(куб!$E:$E,$E424,куб!J:J),IF($D424&lt;&gt;0,SUMIF(куб!$D:$D,$D424,куб!J:J),IF($C424&lt;&gt;0,SUMIF(куб!$C:$C,$C424,куб!J:J),IF($B424&lt;&gt;0,SUMIF(куб!$B:$B,$B424,куб!J:J))))))</f>
        <v>0</v>
      </c>
      <c r="Q424" s="27" t="b">
        <f>IF($G424&lt;&gt;0,SUMIF(куб!$G:$G,$G424,куб!K:K),IF($E424&lt;&gt;0,SUMIF(куб!$E:$E,$E424,куб!K:K),IF($D424&lt;&gt;0,SUMIF(куб!$D:$D,$D424,куб!K:K),IF($C424&lt;&gt;0,SUMIF(куб!$C:$C,$C424,куб!K:K),IF($B424&lt;&gt;0,SUMIF(куб!$B:$B,$B424,куб!K:K))))))</f>
        <v>0</v>
      </c>
      <c r="R424" s="13" t="str">
        <f t="shared" si="151"/>
        <v>-</v>
      </c>
      <c r="S424" s="5"/>
      <c r="T424" s="27" t="b">
        <f>IF($G424&lt;&gt;0,SUMIF(куб!$G:$G,$G424,куб!L:L),IF($E424&lt;&gt;0,SUMIF(куб!$E:$E,$E424,куб!L:L),IF($D424&lt;&gt;0,SUMIF(куб!$D:$D,$D424,куб!L:L),IF($C424&lt;&gt;0,SUMIF(куб!$C:$C,$C424,куб!L:L),IF($B424&lt;&gt;0,SUMIF(куб!$B:$B,$B424,куб!L:L))))))</f>
        <v>0</v>
      </c>
      <c r="U424" s="27" t="b">
        <f>IF($G424&lt;&gt;0,SUMIF(куб!$G:$G,$G424,куб!M:M),IF($E424&lt;&gt;0,SUMIF(куб!$E:$E,$E424,куб!M:M),IF($D424&lt;&gt;0,SUMIF(куб!$D:$D,$D424,куб!M:M),IF($C424&lt;&gt;0,SUMIF(куб!$C:$C,$C424,куб!M:M),IF($B424&lt;&gt;0,SUMIF(куб!$B:$B,$B424,куб!M:M))))))</f>
        <v>0</v>
      </c>
      <c r="V424" s="13" t="str">
        <f t="shared" si="152"/>
        <v>-</v>
      </c>
      <c r="W424" s="5"/>
      <c r="X424" s="27" t="b">
        <f>IF($G424&lt;&gt;0,SUMIF(куб!$G:$G,$G424,куб!N:N),IF($E424&lt;&gt;0,SUMIF(куб!$E:$E,$E424,куб!N:N),IF($D424&lt;&gt;0,SUMIF(куб!$D:$D,$D424,куб!N:N),IF($C424&lt;&gt;0,SUMIF(куб!$C:$C,$C424,куб!N:N),IF($B424&lt;&gt;0,SUMIF(куб!$B:$B,$B424,куб!N:N))))))</f>
        <v>0</v>
      </c>
      <c r="Y424" s="27" t="b">
        <f>IF($G424&lt;&gt;0,SUMIF(куб!$G:$G,$G424,куб!O:O),IF($E424&lt;&gt;0,SUMIF(куб!$E:$E,$E424,куб!O:O),IF($D424&lt;&gt;0,SUMIF(куб!$D:$D,$D424,куб!O:O),IF($C424&lt;&gt;0,SUMIF(куб!$C:$C,$C424,куб!O:O),IF($B424&lt;&gt;0,SUMIF(куб!$B:$B,$B424,куб!O:O))))))</f>
        <v>0</v>
      </c>
      <c r="Z424" s="13" t="str">
        <f t="shared" si="153"/>
        <v>-</v>
      </c>
      <c r="AA424" s="5"/>
      <c r="AB424" s="33" t="str">
        <f t="shared" si="154"/>
        <v/>
      </c>
      <c r="AC424" s="33" t="str">
        <f t="shared" si="155"/>
        <v/>
      </c>
      <c r="AD424" s="15" t="str">
        <f t="shared" si="156"/>
        <v xml:space="preserve"> </v>
      </c>
      <c r="AE424" s="5"/>
      <c r="AF424" s="27" t="b">
        <f>IF($G424&lt;&gt;0,SUMIF(куб!$G:$G,$G424,куб!R:R),IF($E424&lt;&gt;0,SUMIF(куб!$E:$E,$E424,куб!R:R),IF($D424&lt;&gt;0,SUMIF(куб!$D:$D,$D424,куб!R:R),IF($C424&lt;&gt;0,SUMIF(куб!$C:$C,$C424,куб!R:R),IF($B424&lt;&gt;0,SUMIF(куб!$B:$B,$B424,куб!R:R))))))</f>
        <v>0</v>
      </c>
      <c r="AG424" s="27" t="b">
        <f>IF($G424&lt;&gt;0,SUMIF(куб!$G:$G,$G424,куб!S:S),IF($E424&lt;&gt;0,SUMIF(куб!$E:$E,$E424,куб!S:S),IF($D424&lt;&gt;0,SUMIF(куб!$D:$D,$D424,куб!S:S),IF($C424&lt;&gt;0,SUMIF(куб!$C:$C,$C424,куб!S:S),IF($B424&lt;&gt;0,SUMIF(куб!$B:$B,$B424,куб!S:S))))))</f>
        <v>0</v>
      </c>
      <c r="AH424" s="16" t="str">
        <f t="shared" si="157"/>
        <v>-</v>
      </c>
      <c r="AI424" s="8"/>
      <c r="AJ424" s="27" t="b">
        <f>IF($G424&lt;&gt;0,SUMIF(куб!$G:$G,$G424,куб!T:T),IF($E424&lt;&gt;0,SUMIF(куб!$E:$E,$E424,куб!T:T),IF($D424&lt;&gt;0,SUMIF(куб!$D:$D,$D424,куб!T:T),IF($C424&lt;&gt;0,SUMIF(куб!$C:$C,$C424,куб!T:T),IF($B424&lt;&gt;0,SUMIF(куб!$B:$B,$B424,куб!T:T))))))</f>
        <v>0</v>
      </c>
      <c r="AK424" s="27" t="b">
        <f>IF($G424&lt;&gt;0,SUMIF(куб!$G:$G,$G424,куб!U:U),IF($E424&lt;&gt;0,SUMIF(куб!$E:$E,$E424,куб!U:U),IF($D424&lt;&gt;0,SUMIF(куб!$D:$D,$D424,куб!U:U),IF($C424&lt;&gt;0,SUMIF(куб!$C:$C,$C424,куб!U:U),IF($B424&lt;&gt;0,SUMIF(куб!$B:$B,$B424,куб!U:U))))))</f>
        <v>0</v>
      </c>
      <c r="AL424" s="16" t="str">
        <f t="shared" si="158"/>
        <v>-</v>
      </c>
      <c r="AM424" s="8"/>
      <c r="AN424" s="17" t="str">
        <f t="shared" si="159"/>
        <v xml:space="preserve"> </v>
      </c>
      <c r="AO424" s="17" t="str">
        <f t="shared" si="160"/>
        <v xml:space="preserve"> </v>
      </c>
      <c r="AP424" s="16" t="str">
        <f t="shared" si="161"/>
        <v>-</v>
      </c>
      <c r="AQ424" s="8"/>
      <c r="AR424" s="17" t="str">
        <f t="shared" si="162"/>
        <v>-</v>
      </c>
      <c r="AS424" s="17" t="str">
        <f t="shared" si="163"/>
        <v>-</v>
      </c>
      <c r="AT424" s="13" t="str">
        <f t="shared" si="164"/>
        <v>-</v>
      </c>
      <c r="AU424" s="8"/>
    </row>
    <row r="425" spans="1:47" x14ac:dyDescent="0.25">
      <c r="A425" s="31"/>
      <c r="B425" s="31"/>
      <c r="C425"/>
      <c r="D425" s="31"/>
      <c r="E425"/>
      <c r="F425" s="31"/>
      <c r="G425"/>
      <c r="H425" s="27">
        <f>IF($G425&lt;&gt;0,SUMIF(куб!$G:$G,$G425,куб!H:H),IF($E425&lt;&gt;0,SUMIF(куб!$E:$E,$E425,куб!H:H),IF($D425&lt;&gt;0,SUMIF(куб!$D:$D,$D425,куб!H:H),IF($C425&lt;&gt;0,SUMIF(куб!$C:$C,$C425,куб!H:H),IF($B425&lt;&gt;0,SUMIF(куб!$B:$B,$B425,куб!H:H),IF($G425&lt;&gt;0,SUMIF(куб!$A:$A,$G425,куб!H:H),SUMIF(куб!$A:$A,$G425,куб!H:H)))))))</f>
        <v>0</v>
      </c>
      <c r="I425" s="27">
        <f>IF($G425&lt;&gt;0,SUMIF(куб!$G:$G,$G425,куб!I:I),IF($E425&lt;&gt;0,SUMIF(куб!$E:$E,$E425,куб!I:I),IF($D425&lt;&gt;0,SUMIF(куб!$D:$D,$D425,куб!I:I),IF($C425&lt;&gt;0,SUMIF(куб!$C:$C,$C425,куб!I:I),IF($B425&lt;&gt;0,SUMIF(куб!$B:$B,$B425,куб!I:I),IF($G425&lt;&gt;0,SUMIF(куб!$A:$A,$G425,куб!I:I),SUMIF(куб!$A:$A,$G425,куб!I:I)))))))</f>
        <v>0</v>
      </c>
      <c r="J425" s="19" t="str">
        <f t="shared" si="147"/>
        <v>-</v>
      </c>
      <c r="K425" s="8"/>
      <c r="L425" s="17">
        <f t="shared" si="148"/>
        <v>0</v>
      </c>
      <c r="M425" s="17">
        <f t="shared" si="149"/>
        <v>0</v>
      </c>
      <c r="N425" s="12">
        <f t="shared" si="150"/>
        <v>0</v>
      </c>
      <c r="O425" s="5"/>
      <c r="P425" s="27" t="b">
        <f>IF($G425&lt;&gt;0,SUMIF(куб!$G:$G,$G425,куб!J:J),IF($E425&lt;&gt;0,SUMIF(куб!$E:$E,$E425,куб!J:J),IF($D425&lt;&gt;0,SUMIF(куб!$D:$D,$D425,куб!J:J),IF($C425&lt;&gt;0,SUMIF(куб!$C:$C,$C425,куб!J:J),IF($B425&lt;&gt;0,SUMIF(куб!$B:$B,$B425,куб!J:J))))))</f>
        <v>0</v>
      </c>
      <c r="Q425" s="27" t="b">
        <f>IF($G425&lt;&gt;0,SUMIF(куб!$G:$G,$G425,куб!K:K),IF($E425&lt;&gt;0,SUMIF(куб!$E:$E,$E425,куб!K:K),IF($D425&lt;&gt;0,SUMIF(куб!$D:$D,$D425,куб!K:K),IF($C425&lt;&gt;0,SUMIF(куб!$C:$C,$C425,куб!K:K),IF($B425&lt;&gt;0,SUMIF(куб!$B:$B,$B425,куб!K:K))))))</f>
        <v>0</v>
      </c>
      <c r="R425" s="13" t="str">
        <f t="shared" si="151"/>
        <v>-</v>
      </c>
      <c r="S425" s="5"/>
      <c r="T425" s="27" t="b">
        <f>IF($G425&lt;&gt;0,SUMIF(куб!$G:$G,$G425,куб!L:L),IF($E425&lt;&gt;0,SUMIF(куб!$E:$E,$E425,куб!L:L),IF($D425&lt;&gt;0,SUMIF(куб!$D:$D,$D425,куб!L:L),IF($C425&lt;&gt;0,SUMIF(куб!$C:$C,$C425,куб!L:L),IF($B425&lt;&gt;0,SUMIF(куб!$B:$B,$B425,куб!L:L))))))</f>
        <v>0</v>
      </c>
      <c r="U425" s="27" t="b">
        <f>IF($G425&lt;&gt;0,SUMIF(куб!$G:$G,$G425,куб!M:M),IF($E425&lt;&gt;0,SUMIF(куб!$E:$E,$E425,куб!M:M),IF($D425&lt;&gt;0,SUMIF(куб!$D:$D,$D425,куб!M:M),IF($C425&lt;&gt;0,SUMIF(куб!$C:$C,$C425,куб!M:M),IF($B425&lt;&gt;0,SUMIF(куб!$B:$B,$B425,куб!M:M))))))</f>
        <v>0</v>
      </c>
      <c r="V425" s="13" t="str">
        <f t="shared" si="152"/>
        <v>-</v>
      </c>
      <c r="W425" s="5"/>
      <c r="X425" s="27" t="b">
        <f>IF($G425&lt;&gt;0,SUMIF(куб!$G:$G,$G425,куб!N:N),IF($E425&lt;&gt;0,SUMIF(куб!$E:$E,$E425,куб!N:N),IF($D425&lt;&gt;0,SUMIF(куб!$D:$D,$D425,куб!N:N),IF($C425&lt;&gt;0,SUMIF(куб!$C:$C,$C425,куб!N:N),IF($B425&lt;&gt;0,SUMIF(куб!$B:$B,$B425,куб!N:N))))))</f>
        <v>0</v>
      </c>
      <c r="Y425" s="27" t="b">
        <f>IF($G425&lt;&gt;0,SUMIF(куб!$G:$G,$G425,куб!O:O),IF($E425&lt;&gt;0,SUMIF(куб!$E:$E,$E425,куб!O:O),IF($D425&lt;&gt;0,SUMIF(куб!$D:$D,$D425,куб!O:O),IF($C425&lt;&gt;0,SUMIF(куб!$C:$C,$C425,куб!O:O),IF($B425&lt;&gt;0,SUMIF(куб!$B:$B,$B425,куб!O:O))))))</f>
        <v>0</v>
      </c>
      <c r="Z425" s="13" t="str">
        <f t="shared" si="153"/>
        <v>-</v>
      </c>
      <c r="AA425" s="5"/>
      <c r="AB425" s="33" t="str">
        <f t="shared" si="154"/>
        <v/>
      </c>
      <c r="AC425" s="33" t="str">
        <f t="shared" si="155"/>
        <v/>
      </c>
      <c r="AD425" s="15" t="str">
        <f t="shared" si="156"/>
        <v xml:space="preserve"> </v>
      </c>
      <c r="AE425" s="5"/>
      <c r="AF425" s="27" t="b">
        <f>IF($G425&lt;&gt;0,SUMIF(куб!$G:$G,$G425,куб!R:R),IF($E425&lt;&gt;0,SUMIF(куб!$E:$E,$E425,куб!R:R),IF($D425&lt;&gt;0,SUMIF(куб!$D:$D,$D425,куб!R:R),IF($C425&lt;&gt;0,SUMIF(куб!$C:$C,$C425,куб!R:R),IF($B425&lt;&gt;0,SUMIF(куб!$B:$B,$B425,куб!R:R))))))</f>
        <v>0</v>
      </c>
      <c r="AG425" s="27" t="b">
        <f>IF($G425&lt;&gt;0,SUMIF(куб!$G:$G,$G425,куб!S:S),IF($E425&lt;&gt;0,SUMIF(куб!$E:$E,$E425,куб!S:S),IF($D425&lt;&gt;0,SUMIF(куб!$D:$D,$D425,куб!S:S),IF($C425&lt;&gt;0,SUMIF(куб!$C:$C,$C425,куб!S:S),IF($B425&lt;&gt;0,SUMIF(куб!$B:$B,$B425,куб!S:S))))))</f>
        <v>0</v>
      </c>
      <c r="AH425" s="16" t="str">
        <f t="shared" si="157"/>
        <v>-</v>
      </c>
      <c r="AI425" s="8"/>
      <c r="AJ425" s="27" t="b">
        <f>IF($G425&lt;&gt;0,SUMIF(куб!$G:$G,$G425,куб!T:T),IF($E425&lt;&gt;0,SUMIF(куб!$E:$E,$E425,куб!T:T),IF($D425&lt;&gt;0,SUMIF(куб!$D:$D,$D425,куб!T:T),IF($C425&lt;&gt;0,SUMIF(куб!$C:$C,$C425,куб!T:T),IF($B425&lt;&gt;0,SUMIF(куб!$B:$B,$B425,куб!T:T))))))</f>
        <v>0</v>
      </c>
      <c r="AK425" s="27" t="b">
        <f>IF($G425&lt;&gt;0,SUMIF(куб!$G:$G,$G425,куб!U:U),IF($E425&lt;&gt;0,SUMIF(куб!$E:$E,$E425,куб!U:U),IF($D425&lt;&gt;0,SUMIF(куб!$D:$D,$D425,куб!U:U),IF($C425&lt;&gt;0,SUMIF(куб!$C:$C,$C425,куб!U:U),IF($B425&lt;&gt;0,SUMIF(куб!$B:$B,$B425,куб!U:U))))))</f>
        <v>0</v>
      </c>
      <c r="AL425" s="16" t="str">
        <f t="shared" si="158"/>
        <v>-</v>
      </c>
      <c r="AM425" s="8"/>
      <c r="AN425" s="17" t="str">
        <f t="shared" si="159"/>
        <v xml:space="preserve"> </v>
      </c>
      <c r="AO425" s="17" t="str">
        <f t="shared" si="160"/>
        <v xml:space="preserve"> </v>
      </c>
      <c r="AP425" s="16" t="str">
        <f t="shared" si="161"/>
        <v>-</v>
      </c>
      <c r="AQ425" s="8"/>
      <c r="AR425" s="17" t="str">
        <f t="shared" si="162"/>
        <v>-</v>
      </c>
      <c r="AS425" s="17" t="str">
        <f t="shared" si="163"/>
        <v>-</v>
      </c>
      <c r="AT425" s="13" t="str">
        <f t="shared" si="164"/>
        <v>-</v>
      </c>
      <c r="AU425" s="8"/>
    </row>
    <row r="426" spans="1:47" x14ac:dyDescent="0.25">
      <c r="A426" s="31"/>
      <c r="B426" s="31"/>
      <c r="C426"/>
      <c r="D426" s="31"/>
      <c r="E426"/>
      <c r="F426" s="31"/>
      <c r="G426"/>
      <c r="H426" s="27">
        <f>IF($G426&lt;&gt;0,SUMIF(куб!$G:$G,$G426,куб!H:H),IF($E426&lt;&gt;0,SUMIF(куб!$E:$E,$E426,куб!H:H),IF($D426&lt;&gt;0,SUMIF(куб!$D:$D,$D426,куб!H:H),IF($C426&lt;&gt;0,SUMIF(куб!$C:$C,$C426,куб!H:H),IF($B426&lt;&gt;0,SUMIF(куб!$B:$B,$B426,куб!H:H),IF($G426&lt;&gt;0,SUMIF(куб!$A:$A,$G426,куб!H:H),SUMIF(куб!$A:$A,$G426,куб!H:H)))))))</f>
        <v>0</v>
      </c>
      <c r="I426" s="27">
        <f>IF($G426&lt;&gt;0,SUMIF(куб!$G:$G,$G426,куб!I:I),IF($E426&lt;&gt;0,SUMIF(куб!$E:$E,$E426,куб!I:I),IF($D426&lt;&gt;0,SUMIF(куб!$D:$D,$D426,куб!I:I),IF($C426&lt;&gt;0,SUMIF(куб!$C:$C,$C426,куб!I:I),IF($B426&lt;&gt;0,SUMIF(куб!$B:$B,$B426,куб!I:I),IF($G426&lt;&gt;0,SUMIF(куб!$A:$A,$G426,куб!I:I),SUMIF(куб!$A:$A,$G426,куб!I:I)))))))</f>
        <v>0</v>
      </c>
      <c r="J426" s="19" t="str">
        <f t="shared" si="147"/>
        <v>-</v>
      </c>
      <c r="K426" s="8"/>
      <c r="L426" s="17">
        <f t="shared" si="148"/>
        <v>0</v>
      </c>
      <c r="M426" s="17">
        <f t="shared" si="149"/>
        <v>0</v>
      </c>
      <c r="N426" s="12">
        <f t="shared" si="150"/>
        <v>0</v>
      </c>
      <c r="O426" s="5"/>
      <c r="P426" s="27" t="b">
        <f>IF($G426&lt;&gt;0,SUMIF(куб!$G:$G,$G426,куб!J:J),IF($E426&lt;&gt;0,SUMIF(куб!$E:$E,$E426,куб!J:J),IF($D426&lt;&gt;0,SUMIF(куб!$D:$D,$D426,куб!J:J),IF($C426&lt;&gt;0,SUMIF(куб!$C:$C,$C426,куб!J:J),IF($B426&lt;&gt;0,SUMIF(куб!$B:$B,$B426,куб!J:J))))))</f>
        <v>0</v>
      </c>
      <c r="Q426" s="27" t="b">
        <f>IF($G426&lt;&gt;0,SUMIF(куб!$G:$G,$G426,куб!K:K),IF($E426&lt;&gt;0,SUMIF(куб!$E:$E,$E426,куб!K:K),IF($D426&lt;&gt;0,SUMIF(куб!$D:$D,$D426,куб!K:K),IF($C426&lt;&gt;0,SUMIF(куб!$C:$C,$C426,куб!K:K),IF($B426&lt;&gt;0,SUMIF(куб!$B:$B,$B426,куб!K:K))))))</f>
        <v>0</v>
      </c>
      <c r="R426" s="13" t="str">
        <f t="shared" si="151"/>
        <v>-</v>
      </c>
      <c r="S426" s="5"/>
      <c r="T426" s="27" t="b">
        <f>IF($G426&lt;&gt;0,SUMIF(куб!$G:$G,$G426,куб!L:L),IF($E426&lt;&gt;0,SUMIF(куб!$E:$E,$E426,куб!L:L),IF($D426&lt;&gt;0,SUMIF(куб!$D:$D,$D426,куб!L:L),IF($C426&lt;&gt;0,SUMIF(куб!$C:$C,$C426,куб!L:L),IF($B426&lt;&gt;0,SUMIF(куб!$B:$B,$B426,куб!L:L))))))</f>
        <v>0</v>
      </c>
      <c r="U426" s="27" t="b">
        <f>IF($G426&lt;&gt;0,SUMIF(куб!$G:$G,$G426,куб!M:M),IF($E426&lt;&gt;0,SUMIF(куб!$E:$E,$E426,куб!M:M),IF($D426&lt;&gt;0,SUMIF(куб!$D:$D,$D426,куб!M:M),IF($C426&lt;&gt;0,SUMIF(куб!$C:$C,$C426,куб!M:M),IF($B426&lt;&gt;0,SUMIF(куб!$B:$B,$B426,куб!M:M))))))</f>
        <v>0</v>
      </c>
      <c r="V426" s="13" t="str">
        <f t="shared" si="152"/>
        <v>-</v>
      </c>
      <c r="W426" s="5"/>
      <c r="X426" s="27" t="b">
        <f>IF($G426&lt;&gt;0,SUMIF(куб!$G:$G,$G426,куб!N:N),IF($E426&lt;&gt;0,SUMIF(куб!$E:$E,$E426,куб!N:N),IF($D426&lt;&gt;0,SUMIF(куб!$D:$D,$D426,куб!N:N),IF($C426&lt;&gt;0,SUMIF(куб!$C:$C,$C426,куб!N:N),IF($B426&lt;&gt;0,SUMIF(куб!$B:$B,$B426,куб!N:N))))))</f>
        <v>0</v>
      </c>
      <c r="Y426" s="27" t="b">
        <f>IF($G426&lt;&gt;0,SUMIF(куб!$G:$G,$G426,куб!O:O),IF($E426&lt;&gt;0,SUMIF(куб!$E:$E,$E426,куб!O:O),IF($D426&lt;&gt;0,SUMIF(куб!$D:$D,$D426,куб!O:O),IF($C426&lt;&gt;0,SUMIF(куб!$C:$C,$C426,куб!O:O),IF($B426&lt;&gt;0,SUMIF(куб!$B:$B,$B426,куб!O:O))))))</f>
        <v>0</v>
      </c>
      <c r="Z426" s="13" t="str">
        <f t="shared" si="153"/>
        <v>-</v>
      </c>
      <c r="AA426" s="5"/>
      <c r="AB426" s="33" t="str">
        <f t="shared" si="154"/>
        <v/>
      </c>
      <c r="AC426" s="33" t="str">
        <f t="shared" si="155"/>
        <v/>
      </c>
      <c r="AD426" s="15" t="str">
        <f t="shared" si="156"/>
        <v xml:space="preserve"> </v>
      </c>
      <c r="AE426" s="5"/>
      <c r="AF426" s="27" t="b">
        <f>IF($G426&lt;&gt;0,SUMIF(куб!$G:$G,$G426,куб!R:R),IF($E426&lt;&gt;0,SUMIF(куб!$E:$E,$E426,куб!R:R),IF($D426&lt;&gt;0,SUMIF(куб!$D:$D,$D426,куб!R:R),IF($C426&lt;&gt;0,SUMIF(куб!$C:$C,$C426,куб!R:R),IF($B426&lt;&gt;0,SUMIF(куб!$B:$B,$B426,куб!R:R))))))</f>
        <v>0</v>
      </c>
      <c r="AG426" s="27" t="b">
        <f>IF($G426&lt;&gt;0,SUMIF(куб!$G:$G,$G426,куб!S:S),IF($E426&lt;&gt;0,SUMIF(куб!$E:$E,$E426,куб!S:S),IF($D426&lt;&gt;0,SUMIF(куб!$D:$D,$D426,куб!S:S),IF($C426&lt;&gt;0,SUMIF(куб!$C:$C,$C426,куб!S:S),IF($B426&lt;&gt;0,SUMIF(куб!$B:$B,$B426,куб!S:S))))))</f>
        <v>0</v>
      </c>
      <c r="AH426" s="16" t="str">
        <f t="shared" si="157"/>
        <v>-</v>
      </c>
      <c r="AI426" s="8"/>
      <c r="AJ426" s="27" t="b">
        <f>IF($G426&lt;&gt;0,SUMIF(куб!$G:$G,$G426,куб!T:T),IF($E426&lt;&gt;0,SUMIF(куб!$E:$E,$E426,куб!T:T),IF($D426&lt;&gt;0,SUMIF(куб!$D:$D,$D426,куб!T:T),IF($C426&lt;&gt;0,SUMIF(куб!$C:$C,$C426,куб!T:T),IF($B426&lt;&gt;0,SUMIF(куб!$B:$B,$B426,куб!T:T))))))</f>
        <v>0</v>
      </c>
      <c r="AK426" s="27" t="b">
        <f>IF($G426&lt;&gt;0,SUMIF(куб!$G:$G,$G426,куб!U:U),IF($E426&lt;&gt;0,SUMIF(куб!$E:$E,$E426,куб!U:U),IF($D426&lt;&gt;0,SUMIF(куб!$D:$D,$D426,куб!U:U),IF($C426&lt;&gt;0,SUMIF(куб!$C:$C,$C426,куб!U:U),IF($B426&lt;&gt;0,SUMIF(куб!$B:$B,$B426,куб!U:U))))))</f>
        <v>0</v>
      </c>
      <c r="AL426" s="16" t="str">
        <f t="shared" si="158"/>
        <v>-</v>
      </c>
      <c r="AM426" s="8"/>
      <c r="AN426" s="17" t="str">
        <f t="shared" si="159"/>
        <v xml:space="preserve"> </v>
      </c>
      <c r="AO426" s="17" t="str">
        <f t="shared" si="160"/>
        <v xml:space="preserve"> </v>
      </c>
      <c r="AP426" s="16" t="str">
        <f t="shared" si="161"/>
        <v>-</v>
      </c>
      <c r="AQ426" s="8"/>
      <c r="AR426" s="17" t="str">
        <f t="shared" si="162"/>
        <v>-</v>
      </c>
      <c r="AS426" s="17" t="str">
        <f t="shared" si="163"/>
        <v>-</v>
      </c>
      <c r="AT426" s="13" t="str">
        <f t="shared" si="164"/>
        <v>-</v>
      </c>
      <c r="AU426" s="8"/>
    </row>
    <row r="427" spans="1:47" x14ac:dyDescent="0.25">
      <c r="A427" s="31"/>
      <c r="B427" s="31"/>
      <c r="C427"/>
      <c r="D427" s="31"/>
      <c r="E427"/>
      <c r="F427" s="31"/>
      <c r="G427"/>
      <c r="H427" s="27">
        <f>IF($G427&lt;&gt;0,SUMIF(куб!$G:$G,$G427,куб!H:H),IF($E427&lt;&gt;0,SUMIF(куб!$E:$E,$E427,куб!H:H),IF($D427&lt;&gt;0,SUMIF(куб!$D:$D,$D427,куб!H:H),IF($C427&lt;&gt;0,SUMIF(куб!$C:$C,$C427,куб!H:H),IF($B427&lt;&gt;0,SUMIF(куб!$B:$B,$B427,куб!H:H),IF($G427&lt;&gt;0,SUMIF(куб!$A:$A,$G427,куб!H:H),SUMIF(куб!$A:$A,$G427,куб!H:H)))))))</f>
        <v>0</v>
      </c>
      <c r="I427" s="27">
        <f>IF($G427&lt;&gt;0,SUMIF(куб!$G:$G,$G427,куб!I:I),IF($E427&lt;&gt;0,SUMIF(куб!$E:$E,$E427,куб!I:I),IF($D427&lt;&gt;0,SUMIF(куб!$D:$D,$D427,куб!I:I),IF($C427&lt;&gt;0,SUMIF(куб!$C:$C,$C427,куб!I:I),IF($B427&lt;&gt;0,SUMIF(куб!$B:$B,$B427,куб!I:I),IF($G427&lt;&gt;0,SUMIF(куб!$A:$A,$G427,куб!I:I),SUMIF(куб!$A:$A,$G427,куб!I:I)))))))</f>
        <v>0</v>
      </c>
      <c r="J427" s="19" t="str">
        <f t="shared" si="147"/>
        <v>-</v>
      </c>
      <c r="K427" s="8"/>
      <c r="L427" s="17">
        <f t="shared" si="148"/>
        <v>0</v>
      </c>
      <c r="M427" s="17">
        <f t="shared" si="149"/>
        <v>0</v>
      </c>
      <c r="N427" s="12">
        <f t="shared" si="150"/>
        <v>0</v>
      </c>
      <c r="O427" s="5"/>
      <c r="P427" s="27" t="b">
        <f>IF($G427&lt;&gt;0,SUMIF(куб!$G:$G,$G427,куб!J:J),IF($E427&lt;&gt;0,SUMIF(куб!$E:$E,$E427,куб!J:J),IF($D427&lt;&gt;0,SUMIF(куб!$D:$D,$D427,куб!J:J),IF($C427&lt;&gt;0,SUMIF(куб!$C:$C,$C427,куб!J:J),IF($B427&lt;&gt;0,SUMIF(куб!$B:$B,$B427,куб!J:J))))))</f>
        <v>0</v>
      </c>
      <c r="Q427" s="27" t="b">
        <f>IF($G427&lt;&gt;0,SUMIF(куб!$G:$G,$G427,куб!K:K),IF($E427&lt;&gt;0,SUMIF(куб!$E:$E,$E427,куб!K:K),IF($D427&lt;&gt;0,SUMIF(куб!$D:$D,$D427,куб!K:K),IF($C427&lt;&gt;0,SUMIF(куб!$C:$C,$C427,куб!K:K),IF($B427&lt;&gt;0,SUMIF(куб!$B:$B,$B427,куб!K:K))))))</f>
        <v>0</v>
      </c>
      <c r="R427" s="13" t="str">
        <f t="shared" si="151"/>
        <v>-</v>
      </c>
      <c r="S427" s="5"/>
      <c r="T427" s="27" t="b">
        <f>IF($G427&lt;&gt;0,SUMIF(куб!$G:$G,$G427,куб!L:L),IF($E427&lt;&gt;0,SUMIF(куб!$E:$E,$E427,куб!L:L),IF($D427&lt;&gt;0,SUMIF(куб!$D:$D,$D427,куб!L:L),IF($C427&lt;&gt;0,SUMIF(куб!$C:$C,$C427,куб!L:L),IF($B427&lt;&gt;0,SUMIF(куб!$B:$B,$B427,куб!L:L))))))</f>
        <v>0</v>
      </c>
      <c r="U427" s="27" t="b">
        <f>IF($G427&lt;&gt;0,SUMIF(куб!$G:$G,$G427,куб!M:M),IF($E427&lt;&gt;0,SUMIF(куб!$E:$E,$E427,куб!M:M),IF($D427&lt;&gt;0,SUMIF(куб!$D:$D,$D427,куб!M:M),IF($C427&lt;&gt;0,SUMIF(куб!$C:$C,$C427,куб!M:M),IF($B427&lt;&gt;0,SUMIF(куб!$B:$B,$B427,куб!M:M))))))</f>
        <v>0</v>
      </c>
      <c r="V427" s="13" t="str">
        <f t="shared" si="152"/>
        <v>-</v>
      </c>
      <c r="W427" s="5"/>
      <c r="X427" s="27" t="b">
        <f>IF($G427&lt;&gt;0,SUMIF(куб!$G:$G,$G427,куб!N:N),IF($E427&lt;&gt;0,SUMIF(куб!$E:$E,$E427,куб!N:N),IF($D427&lt;&gt;0,SUMIF(куб!$D:$D,$D427,куб!N:N),IF($C427&lt;&gt;0,SUMIF(куб!$C:$C,$C427,куб!N:N),IF($B427&lt;&gt;0,SUMIF(куб!$B:$B,$B427,куб!N:N))))))</f>
        <v>0</v>
      </c>
      <c r="Y427" s="27" t="b">
        <f>IF($G427&lt;&gt;0,SUMIF(куб!$G:$G,$G427,куб!O:O),IF($E427&lt;&gt;0,SUMIF(куб!$E:$E,$E427,куб!O:O),IF($D427&lt;&gt;0,SUMIF(куб!$D:$D,$D427,куб!O:O),IF($C427&lt;&gt;0,SUMIF(куб!$C:$C,$C427,куб!O:O),IF($B427&lt;&gt;0,SUMIF(куб!$B:$B,$B427,куб!O:O))))))</f>
        <v>0</v>
      </c>
      <c r="Z427" s="13" t="str">
        <f t="shared" si="153"/>
        <v>-</v>
      </c>
      <c r="AA427" s="5"/>
      <c r="AB427" s="33" t="str">
        <f t="shared" si="154"/>
        <v/>
      </c>
      <c r="AC427" s="33" t="str">
        <f t="shared" si="155"/>
        <v/>
      </c>
      <c r="AD427" s="15" t="str">
        <f t="shared" si="156"/>
        <v xml:space="preserve"> </v>
      </c>
      <c r="AE427" s="5"/>
      <c r="AF427" s="27" t="b">
        <f>IF($G427&lt;&gt;0,SUMIF(куб!$G:$G,$G427,куб!R:R),IF($E427&lt;&gt;0,SUMIF(куб!$E:$E,$E427,куб!R:R),IF($D427&lt;&gt;0,SUMIF(куб!$D:$D,$D427,куб!R:R),IF($C427&lt;&gt;0,SUMIF(куб!$C:$C,$C427,куб!R:R),IF($B427&lt;&gt;0,SUMIF(куб!$B:$B,$B427,куб!R:R))))))</f>
        <v>0</v>
      </c>
      <c r="AG427" s="27" t="b">
        <f>IF($G427&lt;&gt;0,SUMIF(куб!$G:$G,$G427,куб!S:S),IF($E427&lt;&gt;0,SUMIF(куб!$E:$E,$E427,куб!S:S),IF($D427&lt;&gt;0,SUMIF(куб!$D:$D,$D427,куб!S:S),IF($C427&lt;&gt;0,SUMIF(куб!$C:$C,$C427,куб!S:S),IF($B427&lt;&gt;0,SUMIF(куб!$B:$B,$B427,куб!S:S))))))</f>
        <v>0</v>
      </c>
      <c r="AH427" s="16" t="str">
        <f t="shared" si="157"/>
        <v>-</v>
      </c>
      <c r="AI427" s="8"/>
      <c r="AJ427" s="27" t="b">
        <f>IF($G427&lt;&gt;0,SUMIF(куб!$G:$G,$G427,куб!T:T),IF($E427&lt;&gt;0,SUMIF(куб!$E:$E,$E427,куб!T:T),IF($D427&lt;&gt;0,SUMIF(куб!$D:$D,$D427,куб!T:T),IF($C427&lt;&gt;0,SUMIF(куб!$C:$C,$C427,куб!T:T),IF($B427&lt;&gt;0,SUMIF(куб!$B:$B,$B427,куб!T:T))))))</f>
        <v>0</v>
      </c>
      <c r="AK427" s="27" t="b">
        <f>IF($G427&lt;&gt;0,SUMIF(куб!$G:$G,$G427,куб!U:U),IF($E427&lt;&gt;0,SUMIF(куб!$E:$E,$E427,куб!U:U),IF($D427&lt;&gt;0,SUMIF(куб!$D:$D,$D427,куб!U:U),IF($C427&lt;&gt;0,SUMIF(куб!$C:$C,$C427,куб!U:U),IF($B427&lt;&gt;0,SUMIF(куб!$B:$B,$B427,куб!U:U))))))</f>
        <v>0</v>
      </c>
      <c r="AL427" s="16" t="str">
        <f t="shared" si="158"/>
        <v>-</v>
      </c>
      <c r="AM427" s="8"/>
      <c r="AN427" s="17" t="str">
        <f t="shared" si="159"/>
        <v xml:space="preserve"> </v>
      </c>
      <c r="AO427" s="17" t="str">
        <f t="shared" si="160"/>
        <v xml:space="preserve"> </v>
      </c>
      <c r="AP427" s="16" t="str">
        <f t="shared" si="161"/>
        <v>-</v>
      </c>
      <c r="AQ427" s="8"/>
      <c r="AR427" s="17" t="str">
        <f t="shared" si="162"/>
        <v>-</v>
      </c>
      <c r="AS427" s="17" t="str">
        <f t="shared" si="163"/>
        <v>-</v>
      </c>
      <c r="AT427" s="13" t="str">
        <f t="shared" si="164"/>
        <v>-</v>
      </c>
      <c r="AU427" s="8"/>
    </row>
    <row r="428" spans="1:47" x14ac:dyDescent="0.25">
      <c r="A428" s="31"/>
      <c r="B428" s="31"/>
      <c r="C428"/>
      <c r="D428" s="31"/>
      <c r="E428"/>
      <c r="F428" s="31"/>
      <c r="G428"/>
      <c r="H428" s="27">
        <f>IF($G428&lt;&gt;0,SUMIF(куб!$G:$G,$G428,куб!H:H),IF($E428&lt;&gt;0,SUMIF(куб!$E:$E,$E428,куб!H:H),IF($D428&lt;&gt;0,SUMIF(куб!$D:$D,$D428,куб!H:H),IF($C428&lt;&gt;0,SUMIF(куб!$C:$C,$C428,куб!H:H),IF($B428&lt;&gt;0,SUMIF(куб!$B:$B,$B428,куб!H:H),IF($G428&lt;&gt;0,SUMIF(куб!$A:$A,$G428,куб!H:H),SUMIF(куб!$A:$A,$G428,куб!H:H)))))))</f>
        <v>0</v>
      </c>
      <c r="I428" s="27">
        <f>IF($G428&lt;&gt;0,SUMIF(куб!$G:$G,$G428,куб!I:I),IF($E428&lt;&gt;0,SUMIF(куб!$E:$E,$E428,куб!I:I),IF($D428&lt;&gt;0,SUMIF(куб!$D:$D,$D428,куб!I:I),IF($C428&lt;&gt;0,SUMIF(куб!$C:$C,$C428,куб!I:I),IF($B428&lt;&gt;0,SUMIF(куб!$B:$B,$B428,куб!I:I),IF($G428&lt;&gt;0,SUMIF(куб!$A:$A,$G428,куб!I:I),SUMIF(куб!$A:$A,$G428,куб!I:I)))))))</f>
        <v>0</v>
      </c>
      <c r="J428" s="19" t="str">
        <f t="shared" si="147"/>
        <v>-</v>
      </c>
      <c r="K428" s="8"/>
      <c r="L428" s="17">
        <f t="shared" si="148"/>
        <v>0</v>
      </c>
      <c r="M428" s="17">
        <f t="shared" si="149"/>
        <v>0</v>
      </c>
      <c r="N428" s="12">
        <f t="shared" si="150"/>
        <v>0</v>
      </c>
      <c r="O428" s="5"/>
      <c r="P428" s="27" t="b">
        <f>IF($G428&lt;&gt;0,SUMIF(куб!$G:$G,$G428,куб!J:J),IF($E428&lt;&gt;0,SUMIF(куб!$E:$E,$E428,куб!J:J),IF($D428&lt;&gt;0,SUMIF(куб!$D:$D,$D428,куб!J:J),IF($C428&lt;&gt;0,SUMIF(куб!$C:$C,$C428,куб!J:J),IF($B428&lt;&gt;0,SUMIF(куб!$B:$B,$B428,куб!J:J))))))</f>
        <v>0</v>
      </c>
      <c r="Q428" s="27" t="b">
        <f>IF($G428&lt;&gt;0,SUMIF(куб!$G:$G,$G428,куб!K:K),IF($E428&lt;&gt;0,SUMIF(куб!$E:$E,$E428,куб!K:K),IF($D428&lt;&gt;0,SUMIF(куб!$D:$D,$D428,куб!K:K),IF($C428&lt;&gt;0,SUMIF(куб!$C:$C,$C428,куб!K:K),IF($B428&lt;&gt;0,SUMIF(куб!$B:$B,$B428,куб!K:K))))))</f>
        <v>0</v>
      </c>
      <c r="R428" s="13" t="str">
        <f t="shared" si="151"/>
        <v>-</v>
      </c>
      <c r="S428" s="5"/>
      <c r="T428" s="27" t="b">
        <f>IF($G428&lt;&gt;0,SUMIF(куб!$G:$G,$G428,куб!L:L),IF($E428&lt;&gt;0,SUMIF(куб!$E:$E,$E428,куб!L:L),IF($D428&lt;&gt;0,SUMIF(куб!$D:$D,$D428,куб!L:L),IF($C428&lt;&gt;0,SUMIF(куб!$C:$C,$C428,куб!L:L),IF($B428&lt;&gt;0,SUMIF(куб!$B:$B,$B428,куб!L:L))))))</f>
        <v>0</v>
      </c>
      <c r="U428" s="27" t="b">
        <f>IF($G428&lt;&gt;0,SUMIF(куб!$G:$G,$G428,куб!M:M),IF($E428&lt;&gt;0,SUMIF(куб!$E:$E,$E428,куб!M:M),IF($D428&lt;&gt;0,SUMIF(куб!$D:$D,$D428,куб!M:M),IF($C428&lt;&gt;0,SUMIF(куб!$C:$C,$C428,куб!M:M),IF($B428&lt;&gt;0,SUMIF(куб!$B:$B,$B428,куб!M:M))))))</f>
        <v>0</v>
      </c>
      <c r="V428" s="13" t="str">
        <f t="shared" si="152"/>
        <v>-</v>
      </c>
      <c r="W428" s="5"/>
      <c r="X428" s="27" t="b">
        <f>IF($G428&lt;&gt;0,SUMIF(куб!$G:$G,$G428,куб!N:N),IF($E428&lt;&gt;0,SUMIF(куб!$E:$E,$E428,куб!N:N),IF($D428&lt;&gt;0,SUMIF(куб!$D:$D,$D428,куб!N:N),IF($C428&lt;&gt;0,SUMIF(куб!$C:$C,$C428,куб!N:N),IF($B428&lt;&gt;0,SUMIF(куб!$B:$B,$B428,куб!N:N))))))</f>
        <v>0</v>
      </c>
      <c r="Y428" s="27" t="b">
        <f>IF($G428&lt;&gt;0,SUMIF(куб!$G:$G,$G428,куб!O:O),IF($E428&lt;&gt;0,SUMIF(куб!$E:$E,$E428,куб!O:O),IF($D428&lt;&gt;0,SUMIF(куб!$D:$D,$D428,куб!O:O),IF($C428&lt;&gt;0,SUMIF(куб!$C:$C,$C428,куб!O:O),IF($B428&lt;&gt;0,SUMIF(куб!$B:$B,$B428,куб!O:O))))))</f>
        <v>0</v>
      </c>
      <c r="Z428" s="13" t="str">
        <f t="shared" si="153"/>
        <v>-</v>
      </c>
      <c r="AA428" s="5"/>
      <c r="AB428" s="33" t="str">
        <f t="shared" si="154"/>
        <v/>
      </c>
      <c r="AC428" s="33" t="str">
        <f t="shared" si="155"/>
        <v/>
      </c>
      <c r="AD428" s="15" t="str">
        <f t="shared" si="156"/>
        <v xml:space="preserve"> </v>
      </c>
      <c r="AE428" s="5"/>
      <c r="AF428" s="27" t="b">
        <f>IF($G428&lt;&gt;0,SUMIF(куб!$G:$G,$G428,куб!R:R),IF($E428&lt;&gt;0,SUMIF(куб!$E:$E,$E428,куб!R:R),IF($D428&lt;&gt;0,SUMIF(куб!$D:$D,$D428,куб!R:R),IF($C428&lt;&gt;0,SUMIF(куб!$C:$C,$C428,куб!R:R),IF($B428&lt;&gt;0,SUMIF(куб!$B:$B,$B428,куб!R:R))))))</f>
        <v>0</v>
      </c>
      <c r="AG428" s="27" t="b">
        <f>IF($G428&lt;&gt;0,SUMIF(куб!$G:$G,$G428,куб!S:S),IF($E428&lt;&gt;0,SUMIF(куб!$E:$E,$E428,куб!S:S),IF($D428&lt;&gt;0,SUMIF(куб!$D:$D,$D428,куб!S:S),IF($C428&lt;&gt;0,SUMIF(куб!$C:$C,$C428,куб!S:S),IF($B428&lt;&gt;0,SUMIF(куб!$B:$B,$B428,куб!S:S))))))</f>
        <v>0</v>
      </c>
      <c r="AH428" s="16" t="str">
        <f t="shared" si="157"/>
        <v>-</v>
      </c>
      <c r="AI428" s="8"/>
      <c r="AJ428" s="27" t="b">
        <f>IF($G428&lt;&gt;0,SUMIF(куб!$G:$G,$G428,куб!T:T),IF($E428&lt;&gt;0,SUMIF(куб!$E:$E,$E428,куб!T:T),IF($D428&lt;&gt;0,SUMIF(куб!$D:$D,$D428,куб!T:T),IF($C428&lt;&gt;0,SUMIF(куб!$C:$C,$C428,куб!T:T),IF($B428&lt;&gt;0,SUMIF(куб!$B:$B,$B428,куб!T:T))))))</f>
        <v>0</v>
      </c>
      <c r="AK428" s="27" t="b">
        <f>IF($G428&lt;&gt;0,SUMIF(куб!$G:$G,$G428,куб!U:U),IF($E428&lt;&gt;0,SUMIF(куб!$E:$E,$E428,куб!U:U),IF($D428&lt;&gt;0,SUMIF(куб!$D:$D,$D428,куб!U:U),IF($C428&lt;&gt;0,SUMIF(куб!$C:$C,$C428,куб!U:U),IF($B428&lt;&gt;0,SUMIF(куб!$B:$B,$B428,куб!U:U))))))</f>
        <v>0</v>
      </c>
      <c r="AL428" s="16" t="str">
        <f t="shared" si="158"/>
        <v>-</v>
      </c>
      <c r="AM428" s="8"/>
      <c r="AN428" s="17" t="str">
        <f t="shared" si="159"/>
        <v xml:space="preserve"> </v>
      </c>
      <c r="AO428" s="17" t="str">
        <f t="shared" si="160"/>
        <v xml:space="preserve"> </v>
      </c>
      <c r="AP428" s="16" t="str">
        <f t="shared" si="161"/>
        <v>-</v>
      </c>
      <c r="AQ428" s="8"/>
      <c r="AR428" s="17" t="str">
        <f t="shared" si="162"/>
        <v>-</v>
      </c>
      <c r="AS428" s="17" t="str">
        <f t="shared" si="163"/>
        <v>-</v>
      </c>
      <c r="AT428" s="13" t="str">
        <f t="shared" si="164"/>
        <v>-</v>
      </c>
      <c r="AU428" s="8"/>
    </row>
    <row r="429" spans="1:47" x14ac:dyDescent="0.25">
      <c r="A429" s="31"/>
      <c r="B429" s="31"/>
      <c r="C429"/>
      <c r="D429" s="31"/>
      <c r="E429"/>
      <c r="F429" s="31"/>
      <c r="G429"/>
      <c r="H429" s="27">
        <f>IF($G429&lt;&gt;0,SUMIF(куб!$G:$G,$G429,куб!H:H),IF($E429&lt;&gt;0,SUMIF(куб!$E:$E,$E429,куб!H:H),IF($D429&lt;&gt;0,SUMIF(куб!$D:$D,$D429,куб!H:H),IF($C429&lt;&gt;0,SUMIF(куб!$C:$C,$C429,куб!H:H),IF($B429&lt;&gt;0,SUMIF(куб!$B:$B,$B429,куб!H:H),IF($G429&lt;&gt;0,SUMIF(куб!$A:$A,$G429,куб!H:H),SUMIF(куб!$A:$A,$G429,куб!H:H)))))))</f>
        <v>0</v>
      </c>
      <c r="I429" s="27">
        <f>IF($G429&lt;&gt;0,SUMIF(куб!$G:$G,$G429,куб!I:I),IF($E429&lt;&gt;0,SUMIF(куб!$E:$E,$E429,куб!I:I),IF($D429&lt;&gt;0,SUMIF(куб!$D:$D,$D429,куб!I:I),IF($C429&lt;&gt;0,SUMIF(куб!$C:$C,$C429,куб!I:I),IF($B429&lt;&gt;0,SUMIF(куб!$B:$B,$B429,куб!I:I),IF($G429&lt;&gt;0,SUMIF(куб!$A:$A,$G429,куб!I:I),SUMIF(куб!$A:$A,$G429,куб!I:I)))))))</f>
        <v>0</v>
      </c>
      <c r="J429" s="19" t="str">
        <f t="shared" si="147"/>
        <v>-</v>
      </c>
      <c r="K429" s="8"/>
      <c r="L429" s="17">
        <f t="shared" si="148"/>
        <v>0</v>
      </c>
      <c r="M429" s="17">
        <f t="shared" si="149"/>
        <v>0</v>
      </c>
      <c r="N429" s="12">
        <f t="shared" si="150"/>
        <v>0</v>
      </c>
      <c r="O429" s="5"/>
      <c r="P429" s="27" t="b">
        <f>IF($G429&lt;&gt;0,SUMIF(куб!$G:$G,$G429,куб!J:J),IF($E429&lt;&gt;0,SUMIF(куб!$E:$E,$E429,куб!J:J),IF($D429&lt;&gt;0,SUMIF(куб!$D:$D,$D429,куб!J:J),IF($C429&lt;&gt;0,SUMIF(куб!$C:$C,$C429,куб!J:J),IF($B429&lt;&gt;0,SUMIF(куб!$B:$B,$B429,куб!J:J))))))</f>
        <v>0</v>
      </c>
      <c r="Q429" s="27" t="b">
        <f>IF($G429&lt;&gt;0,SUMIF(куб!$G:$G,$G429,куб!K:K),IF($E429&lt;&gt;0,SUMIF(куб!$E:$E,$E429,куб!K:K),IF($D429&lt;&gt;0,SUMIF(куб!$D:$D,$D429,куб!K:K),IF($C429&lt;&gt;0,SUMIF(куб!$C:$C,$C429,куб!K:K),IF($B429&lt;&gt;0,SUMIF(куб!$B:$B,$B429,куб!K:K))))))</f>
        <v>0</v>
      </c>
      <c r="R429" s="13" t="str">
        <f t="shared" si="151"/>
        <v>-</v>
      </c>
      <c r="S429" s="5"/>
      <c r="T429" s="27" t="b">
        <f>IF($G429&lt;&gt;0,SUMIF(куб!$G:$G,$G429,куб!L:L),IF($E429&lt;&gt;0,SUMIF(куб!$E:$E,$E429,куб!L:L),IF($D429&lt;&gt;0,SUMIF(куб!$D:$D,$D429,куб!L:L),IF($C429&lt;&gt;0,SUMIF(куб!$C:$C,$C429,куб!L:L),IF($B429&lt;&gt;0,SUMIF(куб!$B:$B,$B429,куб!L:L))))))</f>
        <v>0</v>
      </c>
      <c r="U429" s="27" t="b">
        <f>IF($G429&lt;&gt;0,SUMIF(куб!$G:$G,$G429,куб!M:M),IF($E429&lt;&gt;0,SUMIF(куб!$E:$E,$E429,куб!M:M),IF($D429&lt;&gt;0,SUMIF(куб!$D:$D,$D429,куб!M:M),IF($C429&lt;&gt;0,SUMIF(куб!$C:$C,$C429,куб!M:M),IF($B429&lt;&gt;0,SUMIF(куб!$B:$B,$B429,куб!M:M))))))</f>
        <v>0</v>
      </c>
      <c r="V429" s="13" t="str">
        <f t="shared" si="152"/>
        <v>-</v>
      </c>
      <c r="W429" s="5"/>
      <c r="X429" s="27" t="b">
        <f>IF($G429&lt;&gt;0,SUMIF(куб!$G:$G,$G429,куб!N:N),IF($E429&lt;&gt;0,SUMIF(куб!$E:$E,$E429,куб!N:N),IF($D429&lt;&gt;0,SUMIF(куб!$D:$D,$D429,куб!N:N),IF($C429&lt;&gt;0,SUMIF(куб!$C:$C,$C429,куб!N:N),IF($B429&lt;&gt;0,SUMIF(куб!$B:$B,$B429,куб!N:N))))))</f>
        <v>0</v>
      </c>
      <c r="Y429" s="27" t="b">
        <f>IF($G429&lt;&gt;0,SUMIF(куб!$G:$G,$G429,куб!O:O),IF($E429&lt;&gt;0,SUMIF(куб!$E:$E,$E429,куб!O:O),IF($D429&lt;&gt;0,SUMIF(куб!$D:$D,$D429,куб!O:O),IF($C429&lt;&gt;0,SUMIF(куб!$C:$C,$C429,куб!O:O),IF($B429&lt;&gt;0,SUMIF(куб!$B:$B,$B429,куб!O:O))))))</f>
        <v>0</v>
      </c>
      <c r="Z429" s="13" t="str">
        <f t="shared" si="153"/>
        <v>-</v>
      </c>
      <c r="AA429" s="5"/>
      <c r="AB429" s="33" t="str">
        <f t="shared" si="154"/>
        <v/>
      </c>
      <c r="AC429" s="33" t="str">
        <f t="shared" si="155"/>
        <v/>
      </c>
      <c r="AD429" s="15" t="str">
        <f t="shared" si="156"/>
        <v xml:space="preserve"> </v>
      </c>
      <c r="AE429" s="5"/>
      <c r="AF429" s="27" t="b">
        <f>IF($G429&lt;&gt;0,SUMIF(куб!$G:$G,$G429,куб!R:R),IF($E429&lt;&gt;0,SUMIF(куб!$E:$E,$E429,куб!R:R),IF($D429&lt;&gt;0,SUMIF(куб!$D:$D,$D429,куб!R:R),IF($C429&lt;&gt;0,SUMIF(куб!$C:$C,$C429,куб!R:R),IF($B429&lt;&gt;0,SUMIF(куб!$B:$B,$B429,куб!R:R))))))</f>
        <v>0</v>
      </c>
      <c r="AG429" s="27" t="b">
        <f>IF($G429&lt;&gt;0,SUMIF(куб!$G:$G,$G429,куб!S:S),IF($E429&lt;&gt;0,SUMIF(куб!$E:$E,$E429,куб!S:S),IF($D429&lt;&gt;0,SUMIF(куб!$D:$D,$D429,куб!S:S),IF($C429&lt;&gt;0,SUMIF(куб!$C:$C,$C429,куб!S:S),IF($B429&lt;&gt;0,SUMIF(куб!$B:$B,$B429,куб!S:S))))))</f>
        <v>0</v>
      </c>
      <c r="AH429" s="16" t="str">
        <f t="shared" si="157"/>
        <v>-</v>
      </c>
      <c r="AI429" s="8"/>
      <c r="AJ429" s="27" t="b">
        <f>IF($G429&lt;&gt;0,SUMIF(куб!$G:$G,$G429,куб!T:T),IF($E429&lt;&gt;0,SUMIF(куб!$E:$E,$E429,куб!T:T),IF($D429&lt;&gt;0,SUMIF(куб!$D:$D,$D429,куб!T:T),IF($C429&lt;&gt;0,SUMIF(куб!$C:$C,$C429,куб!T:T),IF($B429&lt;&gt;0,SUMIF(куб!$B:$B,$B429,куб!T:T))))))</f>
        <v>0</v>
      </c>
      <c r="AK429" s="27" t="b">
        <f>IF($G429&lt;&gt;0,SUMIF(куб!$G:$G,$G429,куб!U:U),IF($E429&lt;&gt;0,SUMIF(куб!$E:$E,$E429,куб!U:U),IF($D429&lt;&gt;0,SUMIF(куб!$D:$D,$D429,куб!U:U),IF($C429&lt;&gt;0,SUMIF(куб!$C:$C,$C429,куб!U:U),IF($B429&lt;&gt;0,SUMIF(куб!$B:$B,$B429,куб!U:U))))))</f>
        <v>0</v>
      </c>
      <c r="AL429" s="16" t="str">
        <f t="shared" si="158"/>
        <v>-</v>
      </c>
      <c r="AM429" s="8"/>
      <c r="AN429" s="17" t="str">
        <f t="shared" si="159"/>
        <v xml:space="preserve"> </v>
      </c>
      <c r="AO429" s="17" t="str">
        <f t="shared" si="160"/>
        <v xml:space="preserve"> </v>
      </c>
      <c r="AP429" s="16" t="str">
        <f t="shared" si="161"/>
        <v>-</v>
      </c>
      <c r="AQ429" s="8"/>
      <c r="AR429" s="17" t="str">
        <f t="shared" si="162"/>
        <v>-</v>
      </c>
      <c r="AS429" s="17" t="str">
        <f t="shared" si="163"/>
        <v>-</v>
      </c>
      <c r="AT429" s="13" t="str">
        <f t="shared" si="164"/>
        <v>-</v>
      </c>
      <c r="AU429" s="8"/>
    </row>
    <row r="430" spans="1:47" x14ac:dyDescent="0.25">
      <c r="A430" s="31"/>
      <c r="B430" s="31"/>
      <c r="C430"/>
      <c r="D430" s="31"/>
      <c r="E430"/>
      <c r="F430" s="31"/>
      <c r="G430"/>
      <c r="H430" s="27">
        <f>IF($G430&lt;&gt;0,SUMIF(куб!$G:$G,$G430,куб!H:H),IF($E430&lt;&gt;0,SUMIF(куб!$E:$E,$E430,куб!H:H),IF($D430&lt;&gt;0,SUMIF(куб!$D:$D,$D430,куб!H:H),IF($C430&lt;&gt;0,SUMIF(куб!$C:$C,$C430,куб!H:H),IF($B430&lt;&gt;0,SUMIF(куб!$B:$B,$B430,куб!H:H),IF($G430&lt;&gt;0,SUMIF(куб!$A:$A,$G430,куб!H:H),SUMIF(куб!$A:$A,$G430,куб!H:H)))))))</f>
        <v>0</v>
      </c>
      <c r="I430" s="27">
        <f>IF($G430&lt;&gt;0,SUMIF(куб!$G:$G,$G430,куб!I:I),IF($E430&lt;&gt;0,SUMIF(куб!$E:$E,$E430,куб!I:I),IF($D430&lt;&gt;0,SUMIF(куб!$D:$D,$D430,куб!I:I),IF($C430&lt;&gt;0,SUMIF(куб!$C:$C,$C430,куб!I:I),IF($B430&lt;&gt;0,SUMIF(куб!$B:$B,$B430,куб!I:I),IF($G430&lt;&gt;0,SUMIF(куб!$A:$A,$G430,куб!I:I),SUMIF(куб!$A:$A,$G430,куб!I:I)))))))</f>
        <v>0</v>
      </c>
      <c r="J430" s="19" t="str">
        <f t="shared" si="147"/>
        <v>-</v>
      </c>
      <c r="K430" s="8"/>
      <c r="L430" s="17">
        <f t="shared" si="148"/>
        <v>0</v>
      </c>
      <c r="M430" s="17">
        <f t="shared" si="149"/>
        <v>0</v>
      </c>
      <c r="N430" s="12">
        <f t="shared" si="150"/>
        <v>0</v>
      </c>
      <c r="O430" s="5"/>
      <c r="P430" s="27" t="b">
        <f>IF($G430&lt;&gt;0,SUMIF(куб!$G:$G,$G430,куб!J:J),IF($E430&lt;&gt;0,SUMIF(куб!$E:$E,$E430,куб!J:J),IF($D430&lt;&gt;0,SUMIF(куб!$D:$D,$D430,куб!J:J),IF($C430&lt;&gt;0,SUMIF(куб!$C:$C,$C430,куб!J:J),IF($B430&lt;&gt;0,SUMIF(куб!$B:$B,$B430,куб!J:J))))))</f>
        <v>0</v>
      </c>
      <c r="Q430" s="27" t="b">
        <f>IF($G430&lt;&gt;0,SUMIF(куб!$G:$G,$G430,куб!K:K),IF($E430&lt;&gt;0,SUMIF(куб!$E:$E,$E430,куб!K:K),IF($D430&lt;&gt;0,SUMIF(куб!$D:$D,$D430,куб!K:K),IF($C430&lt;&gt;0,SUMIF(куб!$C:$C,$C430,куб!K:K),IF($B430&lt;&gt;0,SUMIF(куб!$B:$B,$B430,куб!K:K))))))</f>
        <v>0</v>
      </c>
      <c r="R430" s="13" t="str">
        <f t="shared" si="151"/>
        <v>-</v>
      </c>
      <c r="S430" s="5"/>
      <c r="T430" s="27" t="b">
        <f>IF($G430&lt;&gt;0,SUMIF(куб!$G:$G,$G430,куб!L:L),IF($E430&lt;&gt;0,SUMIF(куб!$E:$E,$E430,куб!L:L),IF($D430&lt;&gt;0,SUMIF(куб!$D:$D,$D430,куб!L:L),IF($C430&lt;&gt;0,SUMIF(куб!$C:$C,$C430,куб!L:L),IF($B430&lt;&gt;0,SUMIF(куб!$B:$B,$B430,куб!L:L))))))</f>
        <v>0</v>
      </c>
      <c r="U430" s="27" t="b">
        <f>IF($G430&lt;&gt;0,SUMIF(куб!$G:$G,$G430,куб!M:M),IF($E430&lt;&gt;0,SUMIF(куб!$E:$E,$E430,куб!M:M),IF($D430&lt;&gt;0,SUMIF(куб!$D:$D,$D430,куб!M:M),IF($C430&lt;&gt;0,SUMIF(куб!$C:$C,$C430,куб!M:M),IF($B430&lt;&gt;0,SUMIF(куб!$B:$B,$B430,куб!M:M))))))</f>
        <v>0</v>
      </c>
      <c r="V430" s="13" t="str">
        <f t="shared" si="152"/>
        <v>-</v>
      </c>
      <c r="W430" s="5"/>
      <c r="X430" s="27" t="b">
        <f>IF($G430&lt;&gt;0,SUMIF(куб!$G:$G,$G430,куб!N:N),IF($E430&lt;&gt;0,SUMIF(куб!$E:$E,$E430,куб!N:N),IF($D430&lt;&gt;0,SUMIF(куб!$D:$D,$D430,куб!N:N),IF($C430&lt;&gt;0,SUMIF(куб!$C:$C,$C430,куб!N:N),IF($B430&lt;&gt;0,SUMIF(куб!$B:$B,$B430,куб!N:N))))))</f>
        <v>0</v>
      </c>
      <c r="Y430" s="27" t="b">
        <f>IF($G430&lt;&gt;0,SUMIF(куб!$G:$G,$G430,куб!O:O),IF($E430&lt;&gt;0,SUMIF(куб!$E:$E,$E430,куб!O:O),IF($D430&lt;&gt;0,SUMIF(куб!$D:$D,$D430,куб!O:O),IF($C430&lt;&gt;0,SUMIF(куб!$C:$C,$C430,куб!O:O),IF($B430&lt;&gt;0,SUMIF(куб!$B:$B,$B430,куб!O:O))))))</f>
        <v>0</v>
      </c>
      <c r="Z430" s="13" t="str">
        <f t="shared" si="153"/>
        <v>-</v>
      </c>
      <c r="AA430" s="5"/>
      <c r="AB430" s="33" t="str">
        <f t="shared" si="154"/>
        <v/>
      </c>
      <c r="AC430" s="33" t="str">
        <f t="shared" si="155"/>
        <v/>
      </c>
      <c r="AD430" s="15" t="str">
        <f t="shared" si="156"/>
        <v xml:space="preserve"> </v>
      </c>
      <c r="AE430" s="5"/>
      <c r="AF430" s="27" t="b">
        <f>IF($G430&lt;&gt;0,SUMIF(куб!$G:$G,$G430,куб!R:R),IF($E430&lt;&gt;0,SUMIF(куб!$E:$E,$E430,куб!R:R),IF($D430&lt;&gt;0,SUMIF(куб!$D:$D,$D430,куб!R:R),IF($C430&lt;&gt;0,SUMIF(куб!$C:$C,$C430,куб!R:R),IF($B430&lt;&gt;0,SUMIF(куб!$B:$B,$B430,куб!R:R))))))</f>
        <v>0</v>
      </c>
      <c r="AG430" s="27" t="b">
        <f>IF($G430&lt;&gt;0,SUMIF(куб!$G:$G,$G430,куб!S:S),IF($E430&lt;&gt;0,SUMIF(куб!$E:$E,$E430,куб!S:S),IF($D430&lt;&gt;0,SUMIF(куб!$D:$D,$D430,куб!S:S),IF($C430&lt;&gt;0,SUMIF(куб!$C:$C,$C430,куб!S:S),IF($B430&lt;&gt;0,SUMIF(куб!$B:$B,$B430,куб!S:S))))))</f>
        <v>0</v>
      </c>
      <c r="AH430" s="16" t="str">
        <f t="shared" si="157"/>
        <v>-</v>
      </c>
      <c r="AI430" s="8"/>
      <c r="AJ430" s="27" t="b">
        <f>IF($G430&lt;&gt;0,SUMIF(куб!$G:$G,$G430,куб!T:T),IF($E430&lt;&gt;0,SUMIF(куб!$E:$E,$E430,куб!T:T),IF($D430&lt;&gt;0,SUMIF(куб!$D:$D,$D430,куб!T:T),IF($C430&lt;&gt;0,SUMIF(куб!$C:$C,$C430,куб!T:T),IF($B430&lt;&gt;0,SUMIF(куб!$B:$B,$B430,куб!T:T))))))</f>
        <v>0</v>
      </c>
      <c r="AK430" s="27" t="b">
        <f>IF($G430&lt;&gt;0,SUMIF(куб!$G:$G,$G430,куб!U:U),IF($E430&lt;&gt;0,SUMIF(куб!$E:$E,$E430,куб!U:U),IF($D430&lt;&gt;0,SUMIF(куб!$D:$D,$D430,куб!U:U),IF($C430&lt;&gt;0,SUMIF(куб!$C:$C,$C430,куб!U:U),IF($B430&lt;&gt;0,SUMIF(куб!$B:$B,$B430,куб!U:U))))))</f>
        <v>0</v>
      </c>
      <c r="AL430" s="16" t="str">
        <f t="shared" si="158"/>
        <v>-</v>
      </c>
      <c r="AM430" s="8"/>
      <c r="AN430" s="17" t="str">
        <f t="shared" si="159"/>
        <v xml:space="preserve"> </v>
      </c>
      <c r="AO430" s="17" t="str">
        <f t="shared" si="160"/>
        <v xml:space="preserve"> </v>
      </c>
      <c r="AP430" s="16" t="str">
        <f t="shared" si="161"/>
        <v>-</v>
      </c>
      <c r="AQ430" s="8"/>
      <c r="AR430" s="17" t="str">
        <f t="shared" si="162"/>
        <v>-</v>
      </c>
      <c r="AS430" s="17" t="str">
        <f t="shared" si="163"/>
        <v>-</v>
      </c>
      <c r="AT430" s="13" t="str">
        <f t="shared" si="164"/>
        <v>-</v>
      </c>
      <c r="AU430" s="8"/>
    </row>
    <row r="431" spans="1:47" x14ac:dyDescent="0.25">
      <c r="A431" s="31"/>
      <c r="B431" s="31"/>
      <c r="C431"/>
      <c r="D431" s="31"/>
      <c r="E431"/>
      <c r="F431" s="31"/>
      <c r="G431"/>
      <c r="H431" s="27">
        <f>IF($G431&lt;&gt;0,SUMIF(куб!$G:$G,$G431,куб!H:H),IF($E431&lt;&gt;0,SUMIF(куб!$E:$E,$E431,куб!H:H),IF($D431&lt;&gt;0,SUMIF(куб!$D:$D,$D431,куб!H:H),IF($C431&lt;&gt;0,SUMIF(куб!$C:$C,$C431,куб!H:H),IF($B431&lt;&gt;0,SUMIF(куб!$B:$B,$B431,куб!H:H),IF($G431&lt;&gt;0,SUMIF(куб!$A:$A,$G431,куб!H:H),SUMIF(куб!$A:$A,$G431,куб!H:H)))))))</f>
        <v>0</v>
      </c>
      <c r="I431" s="27">
        <f>IF($G431&lt;&gt;0,SUMIF(куб!$G:$G,$G431,куб!I:I),IF($E431&lt;&gt;0,SUMIF(куб!$E:$E,$E431,куб!I:I),IF($D431&lt;&gt;0,SUMIF(куб!$D:$D,$D431,куб!I:I),IF($C431&lt;&gt;0,SUMIF(куб!$C:$C,$C431,куб!I:I),IF($B431&lt;&gt;0,SUMIF(куб!$B:$B,$B431,куб!I:I),IF($G431&lt;&gt;0,SUMIF(куб!$A:$A,$G431,куб!I:I),SUMIF(куб!$A:$A,$G431,куб!I:I)))))))</f>
        <v>0</v>
      </c>
      <c r="J431" s="19" t="str">
        <f t="shared" si="147"/>
        <v>-</v>
      </c>
      <c r="K431" s="8"/>
      <c r="L431" s="17">
        <f t="shared" si="148"/>
        <v>0</v>
      </c>
      <c r="M431" s="17">
        <f t="shared" si="149"/>
        <v>0</v>
      </c>
      <c r="N431" s="12">
        <f t="shared" si="150"/>
        <v>0</v>
      </c>
      <c r="O431" s="5"/>
      <c r="P431" s="27" t="b">
        <f>IF($G431&lt;&gt;0,SUMIF(куб!$G:$G,$G431,куб!J:J),IF($E431&lt;&gt;0,SUMIF(куб!$E:$E,$E431,куб!J:J),IF($D431&lt;&gt;0,SUMIF(куб!$D:$D,$D431,куб!J:J),IF($C431&lt;&gt;0,SUMIF(куб!$C:$C,$C431,куб!J:J),IF($B431&lt;&gt;0,SUMIF(куб!$B:$B,$B431,куб!J:J))))))</f>
        <v>0</v>
      </c>
      <c r="Q431" s="27" t="b">
        <f>IF($G431&lt;&gt;0,SUMIF(куб!$G:$G,$G431,куб!K:K),IF($E431&lt;&gt;0,SUMIF(куб!$E:$E,$E431,куб!K:K),IF($D431&lt;&gt;0,SUMIF(куб!$D:$D,$D431,куб!K:K),IF($C431&lt;&gt;0,SUMIF(куб!$C:$C,$C431,куб!K:K),IF($B431&lt;&gt;0,SUMIF(куб!$B:$B,$B431,куб!K:K))))))</f>
        <v>0</v>
      </c>
      <c r="R431" s="13" t="str">
        <f t="shared" si="151"/>
        <v>-</v>
      </c>
      <c r="S431" s="5"/>
      <c r="T431" s="27" t="b">
        <f>IF($G431&lt;&gt;0,SUMIF(куб!$G:$G,$G431,куб!L:L),IF($E431&lt;&gt;0,SUMIF(куб!$E:$E,$E431,куб!L:L),IF($D431&lt;&gt;0,SUMIF(куб!$D:$D,$D431,куб!L:L),IF($C431&lt;&gt;0,SUMIF(куб!$C:$C,$C431,куб!L:L),IF($B431&lt;&gt;0,SUMIF(куб!$B:$B,$B431,куб!L:L))))))</f>
        <v>0</v>
      </c>
      <c r="U431" s="27" t="b">
        <f>IF($G431&lt;&gt;0,SUMIF(куб!$G:$G,$G431,куб!M:M),IF($E431&lt;&gt;0,SUMIF(куб!$E:$E,$E431,куб!M:M),IF($D431&lt;&gt;0,SUMIF(куб!$D:$D,$D431,куб!M:M),IF($C431&lt;&gt;0,SUMIF(куб!$C:$C,$C431,куб!M:M),IF($B431&lt;&gt;0,SUMIF(куб!$B:$B,$B431,куб!M:M))))))</f>
        <v>0</v>
      </c>
      <c r="V431" s="13" t="str">
        <f t="shared" si="152"/>
        <v>-</v>
      </c>
      <c r="W431" s="5"/>
      <c r="X431" s="27" t="b">
        <f>IF($G431&lt;&gt;0,SUMIF(куб!$G:$G,$G431,куб!N:N),IF($E431&lt;&gt;0,SUMIF(куб!$E:$E,$E431,куб!N:N),IF($D431&lt;&gt;0,SUMIF(куб!$D:$D,$D431,куб!N:N),IF($C431&lt;&gt;0,SUMIF(куб!$C:$C,$C431,куб!N:N),IF($B431&lt;&gt;0,SUMIF(куб!$B:$B,$B431,куб!N:N))))))</f>
        <v>0</v>
      </c>
      <c r="Y431" s="27" t="b">
        <f>IF($G431&lt;&gt;0,SUMIF(куб!$G:$G,$G431,куб!O:O),IF($E431&lt;&gt;0,SUMIF(куб!$E:$E,$E431,куб!O:O),IF($D431&lt;&gt;0,SUMIF(куб!$D:$D,$D431,куб!O:O),IF($C431&lt;&gt;0,SUMIF(куб!$C:$C,$C431,куб!O:O),IF($B431&lt;&gt;0,SUMIF(куб!$B:$B,$B431,куб!O:O))))))</f>
        <v>0</v>
      </c>
      <c r="Z431" s="13" t="str">
        <f t="shared" si="153"/>
        <v>-</v>
      </c>
      <c r="AA431" s="5"/>
      <c r="AB431" s="33" t="str">
        <f t="shared" si="154"/>
        <v/>
      </c>
      <c r="AC431" s="33" t="str">
        <f t="shared" si="155"/>
        <v/>
      </c>
      <c r="AD431" s="15" t="str">
        <f t="shared" si="156"/>
        <v xml:space="preserve"> </v>
      </c>
      <c r="AE431" s="5"/>
      <c r="AF431" s="27" t="b">
        <f>IF($G431&lt;&gt;0,SUMIF(куб!$G:$G,$G431,куб!R:R),IF($E431&lt;&gt;0,SUMIF(куб!$E:$E,$E431,куб!R:R),IF($D431&lt;&gt;0,SUMIF(куб!$D:$D,$D431,куб!R:R),IF($C431&lt;&gt;0,SUMIF(куб!$C:$C,$C431,куб!R:R),IF($B431&lt;&gt;0,SUMIF(куб!$B:$B,$B431,куб!R:R))))))</f>
        <v>0</v>
      </c>
      <c r="AG431" s="27" t="b">
        <f>IF($G431&lt;&gt;0,SUMIF(куб!$G:$G,$G431,куб!S:S),IF($E431&lt;&gt;0,SUMIF(куб!$E:$E,$E431,куб!S:S),IF($D431&lt;&gt;0,SUMIF(куб!$D:$D,$D431,куб!S:S),IF($C431&lt;&gt;0,SUMIF(куб!$C:$C,$C431,куб!S:S),IF($B431&lt;&gt;0,SUMIF(куб!$B:$B,$B431,куб!S:S))))))</f>
        <v>0</v>
      </c>
      <c r="AH431" s="16" t="str">
        <f t="shared" si="157"/>
        <v>-</v>
      </c>
      <c r="AI431" s="8"/>
      <c r="AJ431" s="27" t="b">
        <f>IF($G431&lt;&gt;0,SUMIF(куб!$G:$G,$G431,куб!T:T),IF($E431&lt;&gt;0,SUMIF(куб!$E:$E,$E431,куб!T:T),IF($D431&lt;&gt;0,SUMIF(куб!$D:$D,$D431,куб!T:T),IF($C431&lt;&gt;0,SUMIF(куб!$C:$C,$C431,куб!T:T),IF($B431&lt;&gt;0,SUMIF(куб!$B:$B,$B431,куб!T:T))))))</f>
        <v>0</v>
      </c>
      <c r="AK431" s="27" t="b">
        <f>IF($G431&lt;&gt;0,SUMIF(куб!$G:$G,$G431,куб!U:U),IF($E431&lt;&gt;0,SUMIF(куб!$E:$E,$E431,куб!U:U),IF($D431&lt;&gt;0,SUMIF(куб!$D:$D,$D431,куб!U:U),IF($C431&lt;&gt;0,SUMIF(куб!$C:$C,$C431,куб!U:U),IF($B431&lt;&gt;0,SUMIF(куб!$B:$B,$B431,куб!U:U))))))</f>
        <v>0</v>
      </c>
      <c r="AL431" s="16" t="str">
        <f t="shared" si="158"/>
        <v>-</v>
      </c>
      <c r="AM431" s="8"/>
      <c r="AN431" s="17" t="str">
        <f t="shared" si="159"/>
        <v xml:space="preserve"> </v>
      </c>
      <c r="AO431" s="17" t="str">
        <f t="shared" si="160"/>
        <v xml:space="preserve"> </v>
      </c>
      <c r="AP431" s="16" t="str">
        <f t="shared" si="161"/>
        <v>-</v>
      </c>
      <c r="AQ431" s="8"/>
      <c r="AR431" s="17" t="str">
        <f t="shared" si="162"/>
        <v>-</v>
      </c>
      <c r="AS431" s="17" t="str">
        <f t="shared" si="163"/>
        <v>-</v>
      </c>
      <c r="AT431" s="13" t="str">
        <f t="shared" si="164"/>
        <v>-</v>
      </c>
      <c r="AU431" s="8"/>
    </row>
    <row r="432" spans="1:47" x14ac:dyDescent="0.25">
      <c r="A432" s="31"/>
      <c r="B432" s="31"/>
      <c r="C432"/>
      <c r="D432" s="31"/>
      <c r="E432"/>
      <c r="F432" s="31"/>
      <c r="G432"/>
      <c r="H432" s="27">
        <f>IF($G432&lt;&gt;0,SUMIF(куб!$G:$G,$G432,куб!H:H),IF($E432&lt;&gt;0,SUMIF(куб!$E:$E,$E432,куб!H:H),IF($D432&lt;&gt;0,SUMIF(куб!$D:$D,$D432,куб!H:H),IF($C432&lt;&gt;0,SUMIF(куб!$C:$C,$C432,куб!H:H),IF($B432&lt;&gt;0,SUMIF(куб!$B:$B,$B432,куб!H:H),IF($G432&lt;&gt;0,SUMIF(куб!$A:$A,$G432,куб!H:H),SUMIF(куб!$A:$A,$G432,куб!H:H)))))))</f>
        <v>0</v>
      </c>
      <c r="I432" s="27">
        <f>IF($G432&lt;&gt;0,SUMIF(куб!$G:$G,$G432,куб!I:I),IF($E432&lt;&gt;0,SUMIF(куб!$E:$E,$E432,куб!I:I),IF($D432&lt;&gt;0,SUMIF(куб!$D:$D,$D432,куб!I:I),IF($C432&lt;&gt;0,SUMIF(куб!$C:$C,$C432,куб!I:I),IF($B432&lt;&gt;0,SUMIF(куб!$B:$B,$B432,куб!I:I),IF($G432&lt;&gt;0,SUMIF(куб!$A:$A,$G432,куб!I:I),SUMIF(куб!$A:$A,$G432,куб!I:I)))))))</f>
        <v>0</v>
      </c>
      <c r="J432" s="19" t="str">
        <f t="shared" si="147"/>
        <v>-</v>
      </c>
      <c r="K432" s="8"/>
      <c r="L432" s="17">
        <f t="shared" si="148"/>
        <v>0</v>
      </c>
      <c r="M432" s="17">
        <f t="shared" si="149"/>
        <v>0</v>
      </c>
      <c r="N432" s="12">
        <f t="shared" si="150"/>
        <v>0</v>
      </c>
      <c r="O432" s="5"/>
      <c r="P432" s="27" t="b">
        <f>IF($G432&lt;&gt;0,SUMIF(куб!$G:$G,$G432,куб!J:J),IF($E432&lt;&gt;0,SUMIF(куб!$E:$E,$E432,куб!J:J),IF($D432&lt;&gt;0,SUMIF(куб!$D:$D,$D432,куб!J:J),IF($C432&lt;&gt;0,SUMIF(куб!$C:$C,$C432,куб!J:J),IF($B432&lt;&gt;0,SUMIF(куб!$B:$B,$B432,куб!J:J))))))</f>
        <v>0</v>
      </c>
      <c r="Q432" s="27" t="b">
        <f>IF($G432&lt;&gt;0,SUMIF(куб!$G:$G,$G432,куб!K:K),IF($E432&lt;&gt;0,SUMIF(куб!$E:$E,$E432,куб!K:K),IF($D432&lt;&gt;0,SUMIF(куб!$D:$D,$D432,куб!K:K),IF($C432&lt;&gt;0,SUMIF(куб!$C:$C,$C432,куб!K:K),IF($B432&lt;&gt;0,SUMIF(куб!$B:$B,$B432,куб!K:K))))))</f>
        <v>0</v>
      </c>
      <c r="R432" s="13" t="str">
        <f t="shared" si="151"/>
        <v>-</v>
      </c>
      <c r="S432" s="5"/>
      <c r="T432" s="27" t="b">
        <f>IF($G432&lt;&gt;0,SUMIF(куб!$G:$G,$G432,куб!L:L),IF($E432&lt;&gt;0,SUMIF(куб!$E:$E,$E432,куб!L:L),IF($D432&lt;&gt;0,SUMIF(куб!$D:$D,$D432,куб!L:L),IF($C432&lt;&gt;0,SUMIF(куб!$C:$C,$C432,куб!L:L),IF($B432&lt;&gt;0,SUMIF(куб!$B:$B,$B432,куб!L:L))))))</f>
        <v>0</v>
      </c>
      <c r="U432" s="27" t="b">
        <f>IF($G432&lt;&gt;0,SUMIF(куб!$G:$G,$G432,куб!M:M),IF($E432&lt;&gt;0,SUMIF(куб!$E:$E,$E432,куб!M:M),IF($D432&lt;&gt;0,SUMIF(куб!$D:$D,$D432,куб!M:M),IF($C432&lt;&gt;0,SUMIF(куб!$C:$C,$C432,куб!M:M),IF($B432&lt;&gt;0,SUMIF(куб!$B:$B,$B432,куб!M:M))))))</f>
        <v>0</v>
      </c>
      <c r="V432" s="13" t="str">
        <f t="shared" si="152"/>
        <v>-</v>
      </c>
      <c r="W432" s="5"/>
      <c r="X432" s="27" t="b">
        <f>IF($G432&lt;&gt;0,SUMIF(куб!$G:$G,$G432,куб!N:N),IF($E432&lt;&gt;0,SUMIF(куб!$E:$E,$E432,куб!N:N),IF($D432&lt;&gt;0,SUMIF(куб!$D:$D,$D432,куб!N:N),IF($C432&lt;&gt;0,SUMIF(куб!$C:$C,$C432,куб!N:N),IF($B432&lt;&gt;0,SUMIF(куб!$B:$B,$B432,куб!N:N))))))</f>
        <v>0</v>
      </c>
      <c r="Y432" s="27" t="b">
        <f>IF($G432&lt;&gt;0,SUMIF(куб!$G:$G,$G432,куб!O:O),IF($E432&lt;&gt;0,SUMIF(куб!$E:$E,$E432,куб!O:O),IF($D432&lt;&gt;0,SUMIF(куб!$D:$D,$D432,куб!O:O),IF($C432&lt;&gt;0,SUMIF(куб!$C:$C,$C432,куб!O:O),IF($B432&lt;&gt;0,SUMIF(куб!$B:$B,$B432,куб!O:O))))))</f>
        <v>0</v>
      </c>
      <c r="Z432" s="13" t="str">
        <f t="shared" si="153"/>
        <v>-</v>
      </c>
      <c r="AA432" s="5"/>
      <c r="AB432" s="33" t="str">
        <f t="shared" si="154"/>
        <v/>
      </c>
      <c r="AC432" s="33" t="str">
        <f t="shared" si="155"/>
        <v/>
      </c>
      <c r="AD432" s="15" t="str">
        <f t="shared" si="156"/>
        <v xml:space="preserve"> </v>
      </c>
      <c r="AE432" s="5"/>
      <c r="AF432" s="27" t="b">
        <f>IF($G432&lt;&gt;0,SUMIF(куб!$G:$G,$G432,куб!R:R),IF($E432&lt;&gt;0,SUMIF(куб!$E:$E,$E432,куб!R:R),IF($D432&lt;&gt;0,SUMIF(куб!$D:$D,$D432,куб!R:R),IF($C432&lt;&gt;0,SUMIF(куб!$C:$C,$C432,куб!R:R),IF($B432&lt;&gt;0,SUMIF(куб!$B:$B,$B432,куб!R:R))))))</f>
        <v>0</v>
      </c>
      <c r="AG432" s="27" t="b">
        <f>IF($G432&lt;&gt;0,SUMIF(куб!$G:$G,$G432,куб!S:S),IF($E432&lt;&gt;0,SUMIF(куб!$E:$E,$E432,куб!S:S),IF($D432&lt;&gt;0,SUMIF(куб!$D:$D,$D432,куб!S:S),IF($C432&lt;&gt;0,SUMIF(куб!$C:$C,$C432,куб!S:S),IF($B432&lt;&gt;0,SUMIF(куб!$B:$B,$B432,куб!S:S))))))</f>
        <v>0</v>
      </c>
      <c r="AH432" s="16" t="str">
        <f t="shared" si="157"/>
        <v>-</v>
      </c>
      <c r="AI432" s="8"/>
      <c r="AJ432" s="27" t="b">
        <f>IF($G432&lt;&gt;0,SUMIF(куб!$G:$G,$G432,куб!T:T),IF($E432&lt;&gt;0,SUMIF(куб!$E:$E,$E432,куб!T:T),IF($D432&lt;&gt;0,SUMIF(куб!$D:$D,$D432,куб!T:T),IF($C432&lt;&gt;0,SUMIF(куб!$C:$C,$C432,куб!T:T),IF($B432&lt;&gt;0,SUMIF(куб!$B:$B,$B432,куб!T:T))))))</f>
        <v>0</v>
      </c>
      <c r="AK432" s="27" t="b">
        <f>IF($G432&lt;&gt;0,SUMIF(куб!$G:$G,$G432,куб!U:U),IF($E432&lt;&gt;0,SUMIF(куб!$E:$E,$E432,куб!U:U),IF($D432&lt;&gt;0,SUMIF(куб!$D:$D,$D432,куб!U:U),IF($C432&lt;&gt;0,SUMIF(куб!$C:$C,$C432,куб!U:U),IF($B432&lt;&gt;0,SUMIF(куб!$B:$B,$B432,куб!U:U))))))</f>
        <v>0</v>
      </c>
      <c r="AL432" s="16" t="str">
        <f t="shared" si="158"/>
        <v>-</v>
      </c>
      <c r="AM432" s="8"/>
      <c r="AN432" s="17" t="str">
        <f t="shared" si="159"/>
        <v xml:space="preserve"> </v>
      </c>
      <c r="AO432" s="17" t="str">
        <f t="shared" si="160"/>
        <v xml:space="preserve"> </v>
      </c>
      <c r="AP432" s="16" t="str">
        <f t="shared" si="161"/>
        <v>-</v>
      </c>
      <c r="AQ432" s="8"/>
      <c r="AR432" s="17" t="str">
        <f t="shared" si="162"/>
        <v>-</v>
      </c>
      <c r="AS432" s="17" t="str">
        <f t="shared" si="163"/>
        <v>-</v>
      </c>
      <c r="AT432" s="13" t="str">
        <f t="shared" si="164"/>
        <v>-</v>
      </c>
      <c r="AU432" s="8"/>
    </row>
    <row r="433" spans="1:47" x14ac:dyDescent="0.25">
      <c r="A433" s="31"/>
      <c r="B433" s="31"/>
      <c r="C433"/>
      <c r="D433" s="31"/>
      <c r="E433"/>
      <c r="F433" s="31"/>
      <c r="G433"/>
      <c r="H433" s="27">
        <f>IF($G433&lt;&gt;0,SUMIF(куб!$G:$G,$G433,куб!H:H),IF($E433&lt;&gt;0,SUMIF(куб!$E:$E,$E433,куб!H:H),IF($D433&lt;&gt;0,SUMIF(куб!$D:$D,$D433,куб!H:H),IF($C433&lt;&gt;0,SUMIF(куб!$C:$C,$C433,куб!H:H),IF($B433&lt;&gt;0,SUMIF(куб!$B:$B,$B433,куб!H:H),IF($G433&lt;&gt;0,SUMIF(куб!$A:$A,$G433,куб!H:H),SUMIF(куб!$A:$A,$G433,куб!H:H)))))))</f>
        <v>0</v>
      </c>
      <c r="I433" s="27">
        <f>IF($G433&lt;&gt;0,SUMIF(куб!$G:$G,$G433,куб!I:I),IF($E433&lt;&gt;0,SUMIF(куб!$E:$E,$E433,куб!I:I),IF($D433&lt;&gt;0,SUMIF(куб!$D:$D,$D433,куб!I:I),IF($C433&lt;&gt;0,SUMIF(куб!$C:$C,$C433,куб!I:I),IF($B433&lt;&gt;0,SUMIF(куб!$B:$B,$B433,куб!I:I),IF($G433&lt;&gt;0,SUMIF(куб!$A:$A,$G433,куб!I:I),SUMIF(куб!$A:$A,$G433,куб!I:I)))))))</f>
        <v>0</v>
      </c>
      <c r="J433" s="19" t="str">
        <f t="shared" si="147"/>
        <v>-</v>
      </c>
      <c r="K433" s="8"/>
      <c r="L433" s="17">
        <f t="shared" si="148"/>
        <v>0</v>
      </c>
      <c r="M433" s="17">
        <f t="shared" si="149"/>
        <v>0</v>
      </c>
      <c r="N433" s="12">
        <f t="shared" si="150"/>
        <v>0</v>
      </c>
      <c r="O433" s="5"/>
      <c r="P433" s="27" t="b">
        <f>IF($G433&lt;&gt;0,SUMIF(куб!$G:$G,$G433,куб!J:J),IF($E433&lt;&gt;0,SUMIF(куб!$E:$E,$E433,куб!J:J),IF($D433&lt;&gt;0,SUMIF(куб!$D:$D,$D433,куб!J:J),IF($C433&lt;&gt;0,SUMIF(куб!$C:$C,$C433,куб!J:J),IF($B433&lt;&gt;0,SUMIF(куб!$B:$B,$B433,куб!J:J))))))</f>
        <v>0</v>
      </c>
      <c r="Q433" s="27" t="b">
        <f>IF($G433&lt;&gt;0,SUMIF(куб!$G:$G,$G433,куб!K:K),IF($E433&lt;&gt;0,SUMIF(куб!$E:$E,$E433,куб!K:K),IF($D433&lt;&gt;0,SUMIF(куб!$D:$D,$D433,куб!K:K),IF($C433&lt;&gt;0,SUMIF(куб!$C:$C,$C433,куб!K:K),IF($B433&lt;&gt;0,SUMIF(куб!$B:$B,$B433,куб!K:K))))))</f>
        <v>0</v>
      </c>
      <c r="R433" s="13" t="str">
        <f t="shared" si="151"/>
        <v>-</v>
      </c>
      <c r="S433" s="5"/>
      <c r="T433" s="27" t="b">
        <f>IF($G433&lt;&gt;0,SUMIF(куб!$G:$G,$G433,куб!L:L),IF($E433&lt;&gt;0,SUMIF(куб!$E:$E,$E433,куб!L:L),IF($D433&lt;&gt;0,SUMIF(куб!$D:$D,$D433,куб!L:L),IF($C433&lt;&gt;0,SUMIF(куб!$C:$C,$C433,куб!L:L),IF($B433&lt;&gt;0,SUMIF(куб!$B:$B,$B433,куб!L:L))))))</f>
        <v>0</v>
      </c>
      <c r="U433" s="27" t="b">
        <f>IF($G433&lt;&gt;0,SUMIF(куб!$G:$G,$G433,куб!M:M),IF($E433&lt;&gt;0,SUMIF(куб!$E:$E,$E433,куб!M:M),IF($D433&lt;&gt;0,SUMIF(куб!$D:$D,$D433,куб!M:M),IF($C433&lt;&gt;0,SUMIF(куб!$C:$C,$C433,куб!M:M),IF($B433&lt;&gt;0,SUMIF(куб!$B:$B,$B433,куб!M:M))))))</f>
        <v>0</v>
      </c>
      <c r="V433" s="13" t="str">
        <f t="shared" si="152"/>
        <v>-</v>
      </c>
      <c r="W433" s="5"/>
      <c r="X433" s="27" t="b">
        <f>IF($G433&lt;&gt;0,SUMIF(куб!$G:$G,$G433,куб!N:N),IF($E433&lt;&gt;0,SUMIF(куб!$E:$E,$E433,куб!N:N),IF($D433&lt;&gt;0,SUMIF(куб!$D:$D,$D433,куб!N:N),IF($C433&lt;&gt;0,SUMIF(куб!$C:$C,$C433,куб!N:N),IF($B433&lt;&gt;0,SUMIF(куб!$B:$B,$B433,куб!N:N))))))</f>
        <v>0</v>
      </c>
      <c r="Y433" s="27" t="b">
        <f>IF($G433&lt;&gt;0,SUMIF(куб!$G:$G,$G433,куб!O:O),IF($E433&lt;&gt;0,SUMIF(куб!$E:$E,$E433,куб!O:O),IF($D433&lt;&gt;0,SUMIF(куб!$D:$D,$D433,куб!O:O),IF($C433&lt;&gt;0,SUMIF(куб!$C:$C,$C433,куб!O:O),IF($B433&lt;&gt;0,SUMIF(куб!$B:$B,$B433,куб!O:O))))))</f>
        <v>0</v>
      </c>
      <c r="Z433" s="13" t="str">
        <f t="shared" si="153"/>
        <v>-</v>
      </c>
      <c r="AA433" s="5"/>
      <c r="AB433" s="33" t="str">
        <f t="shared" si="154"/>
        <v/>
      </c>
      <c r="AC433" s="33" t="str">
        <f t="shared" si="155"/>
        <v/>
      </c>
      <c r="AD433" s="15" t="str">
        <f t="shared" si="156"/>
        <v xml:space="preserve"> </v>
      </c>
      <c r="AE433" s="5"/>
      <c r="AF433" s="27" t="b">
        <f>IF($G433&lt;&gt;0,SUMIF(куб!$G:$G,$G433,куб!R:R),IF($E433&lt;&gt;0,SUMIF(куб!$E:$E,$E433,куб!R:R),IF($D433&lt;&gt;0,SUMIF(куб!$D:$D,$D433,куб!R:R),IF($C433&lt;&gt;0,SUMIF(куб!$C:$C,$C433,куб!R:R),IF($B433&lt;&gt;0,SUMIF(куб!$B:$B,$B433,куб!R:R))))))</f>
        <v>0</v>
      </c>
      <c r="AG433" s="27" t="b">
        <f>IF($G433&lt;&gt;0,SUMIF(куб!$G:$G,$G433,куб!S:S),IF($E433&lt;&gt;0,SUMIF(куб!$E:$E,$E433,куб!S:S),IF($D433&lt;&gt;0,SUMIF(куб!$D:$D,$D433,куб!S:S),IF($C433&lt;&gt;0,SUMIF(куб!$C:$C,$C433,куб!S:S),IF($B433&lt;&gt;0,SUMIF(куб!$B:$B,$B433,куб!S:S))))))</f>
        <v>0</v>
      </c>
      <c r="AH433" s="16" t="str">
        <f t="shared" si="157"/>
        <v>-</v>
      </c>
      <c r="AI433" s="8"/>
      <c r="AJ433" s="27" t="b">
        <f>IF($G433&lt;&gt;0,SUMIF(куб!$G:$G,$G433,куб!T:T),IF($E433&lt;&gt;0,SUMIF(куб!$E:$E,$E433,куб!T:T),IF($D433&lt;&gt;0,SUMIF(куб!$D:$D,$D433,куб!T:T),IF($C433&lt;&gt;0,SUMIF(куб!$C:$C,$C433,куб!T:T),IF($B433&lt;&gt;0,SUMIF(куб!$B:$B,$B433,куб!T:T))))))</f>
        <v>0</v>
      </c>
      <c r="AK433" s="27" t="b">
        <f>IF($G433&lt;&gt;0,SUMIF(куб!$G:$G,$G433,куб!U:U),IF($E433&lt;&gt;0,SUMIF(куб!$E:$E,$E433,куб!U:U),IF($D433&lt;&gt;0,SUMIF(куб!$D:$D,$D433,куб!U:U),IF($C433&lt;&gt;0,SUMIF(куб!$C:$C,$C433,куб!U:U),IF($B433&lt;&gt;0,SUMIF(куб!$B:$B,$B433,куб!U:U))))))</f>
        <v>0</v>
      </c>
      <c r="AL433" s="16" t="str">
        <f t="shared" si="158"/>
        <v>-</v>
      </c>
      <c r="AM433" s="8"/>
      <c r="AN433" s="17" t="str">
        <f t="shared" si="159"/>
        <v xml:space="preserve"> </v>
      </c>
      <c r="AO433" s="17" t="str">
        <f t="shared" si="160"/>
        <v xml:space="preserve"> </v>
      </c>
      <c r="AP433" s="16" t="str">
        <f t="shared" si="161"/>
        <v>-</v>
      </c>
      <c r="AQ433" s="8"/>
      <c r="AR433" s="17" t="str">
        <f t="shared" si="162"/>
        <v>-</v>
      </c>
      <c r="AS433" s="17" t="str">
        <f t="shared" si="163"/>
        <v>-</v>
      </c>
      <c r="AT433" s="13" t="str">
        <f t="shared" si="164"/>
        <v>-</v>
      </c>
      <c r="AU433" s="8"/>
    </row>
    <row r="434" spans="1:47" x14ac:dyDescent="0.25">
      <c r="A434" s="31"/>
      <c r="B434" s="31"/>
      <c r="C434"/>
      <c r="D434" s="31"/>
      <c r="E434"/>
      <c r="F434" s="31"/>
      <c r="G434"/>
      <c r="H434" s="27">
        <f>IF($G434&lt;&gt;0,SUMIF(куб!$G:$G,$G434,куб!H:H),IF($E434&lt;&gt;0,SUMIF(куб!$E:$E,$E434,куб!H:H),IF($D434&lt;&gt;0,SUMIF(куб!$D:$D,$D434,куб!H:H),IF($C434&lt;&gt;0,SUMIF(куб!$C:$C,$C434,куб!H:H),IF($B434&lt;&gt;0,SUMIF(куб!$B:$B,$B434,куб!H:H),IF($G434&lt;&gt;0,SUMIF(куб!$A:$A,$G434,куб!H:H),SUMIF(куб!$A:$A,$G434,куб!H:H)))))))</f>
        <v>0</v>
      </c>
      <c r="I434" s="27">
        <f>IF($G434&lt;&gt;0,SUMIF(куб!$G:$G,$G434,куб!I:I),IF($E434&lt;&gt;0,SUMIF(куб!$E:$E,$E434,куб!I:I),IF($D434&lt;&gt;0,SUMIF(куб!$D:$D,$D434,куб!I:I),IF($C434&lt;&gt;0,SUMIF(куб!$C:$C,$C434,куб!I:I),IF($B434&lt;&gt;0,SUMIF(куб!$B:$B,$B434,куб!I:I),IF($G434&lt;&gt;0,SUMIF(куб!$A:$A,$G434,куб!I:I),SUMIF(куб!$A:$A,$G434,куб!I:I)))))))</f>
        <v>0</v>
      </c>
      <c r="J434" s="19" t="str">
        <f t="shared" si="147"/>
        <v>-</v>
      </c>
      <c r="K434" s="8"/>
      <c r="L434" s="17">
        <f t="shared" si="148"/>
        <v>0</v>
      </c>
      <c r="M434" s="17">
        <f t="shared" si="149"/>
        <v>0</v>
      </c>
      <c r="N434" s="12">
        <f t="shared" si="150"/>
        <v>0</v>
      </c>
      <c r="O434" s="5"/>
      <c r="P434" s="27" t="b">
        <f>IF($G434&lt;&gt;0,SUMIF(куб!$G:$G,$G434,куб!J:J),IF($E434&lt;&gt;0,SUMIF(куб!$E:$E,$E434,куб!J:J),IF($D434&lt;&gt;0,SUMIF(куб!$D:$D,$D434,куб!J:J),IF($C434&lt;&gt;0,SUMIF(куб!$C:$C,$C434,куб!J:J),IF($B434&lt;&gt;0,SUMIF(куб!$B:$B,$B434,куб!J:J))))))</f>
        <v>0</v>
      </c>
      <c r="Q434" s="27" t="b">
        <f>IF($G434&lt;&gt;0,SUMIF(куб!$G:$G,$G434,куб!K:K),IF($E434&lt;&gt;0,SUMIF(куб!$E:$E,$E434,куб!K:K),IF($D434&lt;&gt;0,SUMIF(куб!$D:$D,$D434,куб!K:K),IF($C434&lt;&gt;0,SUMIF(куб!$C:$C,$C434,куб!K:K),IF($B434&lt;&gt;0,SUMIF(куб!$B:$B,$B434,куб!K:K))))))</f>
        <v>0</v>
      </c>
      <c r="R434" s="13" t="str">
        <f t="shared" si="151"/>
        <v>-</v>
      </c>
      <c r="S434" s="5"/>
      <c r="T434" s="27" t="b">
        <f>IF($G434&lt;&gt;0,SUMIF(куб!$G:$G,$G434,куб!L:L),IF($E434&lt;&gt;0,SUMIF(куб!$E:$E,$E434,куб!L:L),IF($D434&lt;&gt;0,SUMIF(куб!$D:$D,$D434,куб!L:L),IF($C434&lt;&gt;0,SUMIF(куб!$C:$C,$C434,куб!L:L),IF($B434&lt;&gt;0,SUMIF(куб!$B:$B,$B434,куб!L:L))))))</f>
        <v>0</v>
      </c>
      <c r="U434" s="27" t="b">
        <f>IF($G434&lt;&gt;0,SUMIF(куб!$G:$G,$G434,куб!M:M),IF($E434&lt;&gt;0,SUMIF(куб!$E:$E,$E434,куб!M:M),IF($D434&lt;&gt;0,SUMIF(куб!$D:$D,$D434,куб!M:M),IF($C434&lt;&gt;0,SUMIF(куб!$C:$C,$C434,куб!M:M),IF($B434&lt;&gt;0,SUMIF(куб!$B:$B,$B434,куб!M:M))))))</f>
        <v>0</v>
      </c>
      <c r="V434" s="13" t="str">
        <f t="shared" si="152"/>
        <v>-</v>
      </c>
      <c r="W434" s="5"/>
      <c r="X434" s="27" t="b">
        <f>IF($G434&lt;&gt;0,SUMIF(куб!$G:$G,$G434,куб!N:N),IF($E434&lt;&gt;0,SUMIF(куб!$E:$E,$E434,куб!N:N),IF($D434&lt;&gt;0,SUMIF(куб!$D:$D,$D434,куб!N:N),IF($C434&lt;&gt;0,SUMIF(куб!$C:$C,$C434,куб!N:N),IF($B434&lt;&gt;0,SUMIF(куб!$B:$B,$B434,куб!N:N))))))</f>
        <v>0</v>
      </c>
      <c r="Y434" s="27" t="b">
        <f>IF($G434&lt;&gt;0,SUMIF(куб!$G:$G,$G434,куб!O:O),IF($E434&lt;&gt;0,SUMIF(куб!$E:$E,$E434,куб!O:O),IF($D434&lt;&gt;0,SUMIF(куб!$D:$D,$D434,куб!O:O),IF($C434&lt;&gt;0,SUMIF(куб!$C:$C,$C434,куб!O:O),IF($B434&lt;&gt;0,SUMIF(куб!$B:$B,$B434,куб!O:O))))))</f>
        <v>0</v>
      </c>
      <c r="Z434" s="13" t="str">
        <f t="shared" si="153"/>
        <v>-</v>
      </c>
      <c r="AA434" s="5"/>
      <c r="AB434" s="33" t="str">
        <f t="shared" si="154"/>
        <v/>
      </c>
      <c r="AC434" s="33" t="str">
        <f t="shared" si="155"/>
        <v/>
      </c>
      <c r="AD434" s="15" t="str">
        <f t="shared" si="156"/>
        <v xml:space="preserve"> </v>
      </c>
      <c r="AE434" s="5"/>
      <c r="AF434" s="27" t="b">
        <f>IF($G434&lt;&gt;0,SUMIF(куб!$G:$G,$G434,куб!R:R),IF($E434&lt;&gt;0,SUMIF(куб!$E:$E,$E434,куб!R:R),IF($D434&lt;&gt;0,SUMIF(куб!$D:$D,$D434,куб!R:R),IF($C434&lt;&gt;0,SUMIF(куб!$C:$C,$C434,куб!R:R),IF($B434&lt;&gt;0,SUMIF(куб!$B:$B,$B434,куб!R:R))))))</f>
        <v>0</v>
      </c>
      <c r="AG434" s="27" t="b">
        <f>IF($G434&lt;&gt;0,SUMIF(куб!$G:$G,$G434,куб!S:S),IF($E434&lt;&gt;0,SUMIF(куб!$E:$E,$E434,куб!S:S),IF($D434&lt;&gt;0,SUMIF(куб!$D:$D,$D434,куб!S:S),IF($C434&lt;&gt;0,SUMIF(куб!$C:$C,$C434,куб!S:S),IF($B434&lt;&gt;0,SUMIF(куб!$B:$B,$B434,куб!S:S))))))</f>
        <v>0</v>
      </c>
      <c r="AH434" s="16" t="str">
        <f t="shared" si="157"/>
        <v>-</v>
      </c>
      <c r="AI434" s="8"/>
      <c r="AJ434" s="27" t="b">
        <f>IF($G434&lt;&gt;0,SUMIF(куб!$G:$G,$G434,куб!T:T),IF($E434&lt;&gt;0,SUMIF(куб!$E:$E,$E434,куб!T:T),IF($D434&lt;&gt;0,SUMIF(куб!$D:$D,$D434,куб!T:T),IF($C434&lt;&gt;0,SUMIF(куб!$C:$C,$C434,куб!T:T),IF($B434&lt;&gt;0,SUMIF(куб!$B:$B,$B434,куб!T:T))))))</f>
        <v>0</v>
      </c>
      <c r="AK434" s="27" t="b">
        <f>IF($G434&lt;&gt;0,SUMIF(куб!$G:$G,$G434,куб!U:U),IF($E434&lt;&gt;0,SUMIF(куб!$E:$E,$E434,куб!U:U),IF($D434&lt;&gt;0,SUMIF(куб!$D:$D,$D434,куб!U:U),IF($C434&lt;&gt;0,SUMIF(куб!$C:$C,$C434,куб!U:U),IF($B434&lt;&gt;0,SUMIF(куб!$B:$B,$B434,куб!U:U))))))</f>
        <v>0</v>
      </c>
      <c r="AL434" s="16" t="str">
        <f t="shared" si="158"/>
        <v>-</v>
      </c>
      <c r="AM434" s="8"/>
      <c r="AN434" s="17" t="str">
        <f t="shared" si="159"/>
        <v xml:space="preserve"> </v>
      </c>
      <c r="AO434" s="17" t="str">
        <f t="shared" si="160"/>
        <v xml:space="preserve"> </v>
      </c>
      <c r="AP434" s="16" t="str">
        <f t="shared" si="161"/>
        <v>-</v>
      </c>
      <c r="AQ434" s="8"/>
      <c r="AR434" s="17" t="str">
        <f t="shared" si="162"/>
        <v>-</v>
      </c>
      <c r="AS434" s="17" t="str">
        <f t="shared" si="163"/>
        <v>-</v>
      </c>
      <c r="AT434" s="13" t="str">
        <f t="shared" si="164"/>
        <v>-</v>
      </c>
      <c r="AU434" s="8"/>
    </row>
    <row r="435" spans="1:47" x14ac:dyDescent="0.25">
      <c r="A435" s="31"/>
      <c r="B435" s="31"/>
      <c r="C435"/>
      <c r="D435" s="31"/>
      <c r="E435"/>
      <c r="F435" s="31"/>
      <c r="G435"/>
      <c r="H435" s="27">
        <f>IF($G435&lt;&gt;0,SUMIF(куб!$G:$G,$G435,куб!H:H),IF($E435&lt;&gt;0,SUMIF(куб!$E:$E,$E435,куб!H:H),IF($D435&lt;&gt;0,SUMIF(куб!$D:$D,$D435,куб!H:H),IF($C435&lt;&gt;0,SUMIF(куб!$C:$C,$C435,куб!H:H),IF($B435&lt;&gt;0,SUMIF(куб!$B:$B,$B435,куб!H:H),IF($G435&lt;&gt;0,SUMIF(куб!$A:$A,$G435,куб!H:H),SUMIF(куб!$A:$A,$G435,куб!H:H)))))))</f>
        <v>0</v>
      </c>
      <c r="I435" s="27">
        <f>IF($G435&lt;&gt;0,SUMIF(куб!$G:$G,$G435,куб!I:I),IF($E435&lt;&gt;0,SUMIF(куб!$E:$E,$E435,куб!I:I),IF($D435&lt;&gt;0,SUMIF(куб!$D:$D,$D435,куб!I:I),IF($C435&lt;&gt;0,SUMIF(куб!$C:$C,$C435,куб!I:I),IF($B435&lt;&gt;0,SUMIF(куб!$B:$B,$B435,куб!I:I),IF($G435&lt;&gt;0,SUMIF(куб!$A:$A,$G435,куб!I:I),SUMIF(куб!$A:$A,$G435,куб!I:I)))))))</f>
        <v>0</v>
      </c>
      <c r="J435" s="19" t="str">
        <f t="shared" si="147"/>
        <v>-</v>
      </c>
      <c r="K435" s="8"/>
      <c r="L435" s="17">
        <f t="shared" si="148"/>
        <v>0</v>
      </c>
      <c r="M435" s="17">
        <f t="shared" si="149"/>
        <v>0</v>
      </c>
      <c r="N435" s="12">
        <f t="shared" si="150"/>
        <v>0</v>
      </c>
      <c r="O435" s="5"/>
      <c r="P435" s="27" t="b">
        <f>IF($G435&lt;&gt;0,SUMIF(куб!$G:$G,$G435,куб!J:J),IF($E435&lt;&gt;0,SUMIF(куб!$E:$E,$E435,куб!J:J),IF($D435&lt;&gt;0,SUMIF(куб!$D:$D,$D435,куб!J:J),IF($C435&lt;&gt;0,SUMIF(куб!$C:$C,$C435,куб!J:J),IF($B435&lt;&gt;0,SUMIF(куб!$B:$B,$B435,куб!J:J))))))</f>
        <v>0</v>
      </c>
      <c r="Q435" s="27" t="b">
        <f>IF($G435&lt;&gt;0,SUMIF(куб!$G:$G,$G435,куб!K:K),IF($E435&lt;&gt;0,SUMIF(куб!$E:$E,$E435,куб!K:K),IF($D435&lt;&gt;0,SUMIF(куб!$D:$D,$D435,куб!K:K),IF($C435&lt;&gt;0,SUMIF(куб!$C:$C,$C435,куб!K:K),IF($B435&lt;&gt;0,SUMIF(куб!$B:$B,$B435,куб!K:K))))))</f>
        <v>0</v>
      </c>
      <c r="R435" s="13" t="str">
        <f t="shared" si="151"/>
        <v>-</v>
      </c>
      <c r="S435" s="5"/>
      <c r="T435" s="27" t="b">
        <f>IF($G435&lt;&gt;0,SUMIF(куб!$G:$G,$G435,куб!L:L),IF($E435&lt;&gt;0,SUMIF(куб!$E:$E,$E435,куб!L:L),IF($D435&lt;&gt;0,SUMIF(куб!$D:$D,$D435,куб!L:L),IF($C435&lt;&gt;0,SUMIF(куб!$C:$C,$C435,куб!L:L),IF($B435&lt;&gt;0,SUMIF(куб!$B:$B,$B435,куб!L:L))))))</f>
        <v>0</v>
      </c>
      <c r="U435" s="27" t="b">
        <f>IF($G435&lt;&gt;0,SUMIF(куб!$G:$G,$G435,куб!M:M),IF($E435&lt;&gt;0,SUMIF(куб!$E:$E,$E435,куб!M:M),IF($D435&lt;&gt;0,SUMIF(куб!$D:$D,$D435,куб!M:M),IF($C435&lt;&gt;0,SUMIF(куб!$C:$C,$C435,куб!M:M),IF($B435&lt;&gt;0,SUMIF(куб!$B:$B,$B435,куб!M:M))))))</f>
        <v>0</v>
      </c>
      <c r="V435" s="13" t="str">
        <f t="shared" si="152"/>
        <v>-</v>
      </c>
      <c r="W435" s="5"/>
      <c r="X435" s="27" t="b">
        <f>IF($G435&lt;&gt;0,SUMIF(куб!$G:$G,$G435,куб!N:N),IF($E435&lt;&gt;0,SUMIF(куб!$E:$E,$E435,куб!N:N),IF($D435&lt;&gt;0,SUMIF(куб!$D:$D,$D435,куб!N:N),IF($C435&lt;&gt;0,SUMIF(куб!$C:$C,$C435,куб!N:N),IF($B435&lt;&gt;0,SUMIF(куб!$B:$B,$B435,куб!N:N))))))</f>
        <v>0</v>
      </c>
      <c r="Y435" s="27" t="b">
        <f>IF($G435&lt;&gt;0,SUMIF(куб!$G:$G,$G435,куб!O:O),IF($E435&lt;&gt;0,SUMIF(куб!$E:$E,$E435,куб!O:O),IF($D435&lt;&gt;0,SUMIF(куб!$D:$D,$D435,куб!O:O),IF($C435&lt;&gt;0,SUMIF(куб!$C:$C,$C435,куб!O:O),IF($B435&lt;&gt;0,SUMIF(куб!$B:$B,$B435,куб!O:O))))))</f>
        <v>0</v>
      </c>
      <c r="Z435" s="13" t="str">
        <f t="shared" si="153"/>
        <v>-</v>
      </c>
      <c r="AA435" s="5"/>
      <c r="AB435" s="33" t="str">
        <f t="shared" si="154"/>
        <v/>
      </c>
      <c r="AC435" s="33" t="str">
        <f t="shared" si="155"/>
        <v/>
      </c>
      <c r="AD435" s="15" t="str">
        <f t="shared" si="156"/>
        <v xml:space="preserve"> </v>
      </c>
      <c r="AE435" s="5"/>
      <c r="AF435" s="27" t="b">
        <f>IF($G435&lt;&gt;0,SUMIF(куб!$G:$G,$G435,куб!R:R),IF($E435&lt;&gt;0,SUMIF(куб!$E:$E,$E435,куб!R:R),IF($D435&lt;&gt;0,SUMIF(куб!$D:$D,$D435,куб!R:R),IF($C435&lt;&gt;0,SUMIF(куб!$C:$C,$C435,куб!R:R),IF($B435&lt;&gt;0,SUMIF(куб!$B:$B,$B435,куб!R:R))))))</f>
        <v>0</v>
      </c>
      <c r="AG435" s="27" t="b">
        <f>IF($G435&lt;&gt;0,SUMIF(куб!$G:$G,$G435,куб!S:S),IF($E435&lt;&gt;0,SUMIF(куб!$E:$E,$E435,куб!S:S),IF($D435&lt;&gt;0,SUMIF(куб!$D:$D,$D435,куб!S:S),IF($C435&lt;&gt;0,SUMIF(куб!$C:$C,$C435,куб!S:S),IF($B435&lt;&gt;0,SUMIF(куб!$B:$B,$B435,куб!S:S))))))</f>
        <v>0</v>
      </c>
      <c r="AH435" s="16" t="str">
        <f t="shared" si="157"/>
        <v>-</v>
      </c>
      <c r="AI435" s="8"/>
      <c r="AJ435" s="27" t="b">
        <f>IF($G435&lt;&gt;0,SUMIF(куб!$G:$G,$G435,куб!T:T),IF($E435&lt;&gt;0,SUMIF(куб!$E:$E,$E435,куб!T:T),IF($D435&lt;&gt;0,SUMIF(куб!$D:$D,$D435,куб!T:T),IF($C435&lt;&gt;0,SUMIF(куб!$C:$C,$C435,куб!T:T),IF($B435&lt;&gt;0,SUMIF(куб!$B:$B,$B435,куб!T:T))))))</f>
        <v>0</v>
      </c>
      <c r="AK435" s="27" t="b">
        <f>IF($G435&lt;&gt;0,SUMIF(куб!$G:$G,$G435,куб!U:U),IF($E435&lt;&gt;0,SUMIF(куб!$E:$E,$E435,куб!U:U),IF($D435&lt;&gt;0,SUMIF(куб!$D:$D,$D435,куб!U:U),IF($C435&lt;&gt;0,SUMIF(куб!$C:$C,$C435,куб!U:U),IF($B435&lt;&gt;0,SUMIF(куб!$B:$B,$B435,куб!U:U))))))</f>
        <v>0</v>
      </c>
      <c r="AL435" s="16" t="str">
        <f t="shared" si="158"/>
        <v>-</v>
      </c>
      <c r="AM435" s="8"/>
      <c r="AN435" s="17" t="str">
        <f t="shared" si="159"/>
        <v xml:space="preserve"> </v>
      </c>
      <c r="AO435" s="17" t="str">
        <f t="shared" si="160"/>
        <v xml:space="preserve"> </v>
      </c>
      <c r="AP435" s="16" t="str">
        <f t="shared" si="161"/>
        <v>-</v>
      </c>
      <c r="AQ435" s="8"/>
      <c r="AR435" s="17" t="str">
        <f t="shared" si="162"/>
        <v>-</v>
      </c>
      <c r="AS435" s="17" t="str">
        <f t="shared" si="163"/>
        <v>-</v>
      </c>
      <c r="AT435" s="13" t="str">
        <f t="shared" si="164"/>
        <v>-</v>
      </c>
      <c r="AU435" s="8"/>
    </row>
    <row r="436" spans="1:47" x14ac:dyDescent="0.25">
      <c r="A436" s="31"/>
      <c r="B436" s="31"/>
      <c r="C436"/>
      <c r="D436" s="31"/>
      <c r="E436"/>
      <c r="F436" s="31"/>
      <c r="G436"/>
      <c r="H436" s="27">
        <f>IF($G436&lt;&gt;0,SUMIF(куб!$G:$G,$G436,куб!H:H),IF($E436&lt;&gt;0,SUMIF(куб!$E:$E,$E436,куб!H:H),IF($D436&lt;&gt;0,SUMIF(куб!$D:$D,$D436,куб!H:H),IF($C436&lt;&gt;0,SUMIF(куб!$C:$C,$C436,куб!H:H),IF($B436&lt;&gt;0,SUMIF(куб!$B:$B,$B436,куб!H:H),IF($G436&lt;&gt;0,SUMIF(куб!$A:$A,$G436,куб!H:H),SUMIF(куб!$A:$A,$G436,куб!H:H)))))))</f>
        <v>0</v>
      </c>
      <c r="I436" s="27">
        <f>IF($G436&lt;&gt;0,SUMIF(куб!$G:$G,$G436,куб!I:I),IF($E436&lt;&gt;0,SUMIF(куб!$E:$E,$E436,куб!I:I),IF($D436&lt;&gt;0,SUMIF(куб!$D:$D,$D436,куб!I:I),IF($C436&lt;&gt;0,SUMIF(куб!$C:$C,$C436,куб!I:I),IF($B436&lt;&gt;0,SUMIF(куб!$B:$B,$B436,куб!I:I),IF($G436&lt;&gt;0,SUMIF(куб!$A:$A,$G436,куб!I:I),SUMIF(куб!$A:$A,$G436,куб!I:I)))))))</f>
        <v>0</v>
      </c>
      <c r="J436" s="19" t="str">
        <f t="shared" si="147"/>
        <v>-</v>
      </c>
      <c r="K436" s="8"/>
      <c r="L436" s="17">
        <f t="shared" si="148"/>
        <v>0</v>
      </c>
      <c r="M436" s="17">
        <f t="shared" si="149"/>
        <v>0</v>
      </c>
      <c r="N436" s="12">
        <f t="shared" si="150"/>
        <v>0</v>
      </c>
      <c r="O436" s="5"/>
      <c r="P436" s="27" t="b">
        <f>IF($G436&lt;&gt;0,SUMIF(куб!$G:$G,$G436,куб!J:J),IF($E436&lt;&gt;0,SUMIF(куб!$E:$E,$E436,куб!J:J),IF($D436&lt;&gt;0,SUMIF(куб!$D:$D,$D436,куб!J:J),IF($C436&lt;&gt;0,SUMIF(куб!$C:$C,$C436,куб!J:J),IF($B436&lt;&gt;0,SUMIF(куб!$B:$B,$B436,куб!J:J))))))</f>
        <v>0</v>
      </c>
      <c r="Q436" s="27" t="b">
        <f>IF($G436&lt;&gt;0,SUMIF(куб!$G:$G,$G436,куб!K:K),IF($E436&lt;&gt;0,SUMIF(куб!$E:$E,$E436,куб!K:K),IF($D436&lt;&gt;0,SUMIF(куб!$D:$D,$D436,куб!K:K),IF($C436&lt;&gt;0,SUMIF(куб!$C:$C,$C436,куб!K:K),IF($B436&lt;&gt;0,SUMIF(куб!$B:$B,$B436,куб!K:K))))))</f>
        <v>0</v>
      </c>
      <c r="R436" s="13" t="str">
        <f t="shared" si="151"/>
        <v>-</v>
      </c>
      <c r="S436" s="5"/>
      <c r="T436" s="27" t="b">
        <f>IF($G436&lt;&gt;0,SUMIF(куб!$G:$G,$G436,куб!L:L),IF($E436&lt;&gt;0,SUMIF(куб!$E:$E,$E436,куб!L:L),IF($D436&lt;&gt;0,SUMIF(куб!$D:$D,$D436,куб!L:L),IF($C436&lt;&gt;0,SUMIF(куб!$C:$C,$C436,куб!L:L),IF($B436&lt;&gt;0,SUMIF(куб!$B:$B,$B436,куб!L:L))))))</f>
        <v>0</v>
      </c>
      <c r="U436" s="27" t="b">
        <f>IF($G436&lt;&gt;0,SUMIF(куб!$G:$G,$G436,куб!M:M),IF($E436&lt;&gt;0,SUMIF(куб!$E:$E,$E436,куб!M:M),IF($D436&lt;&gt;0,SUMIF(куб!$D:$D,$D436,куб!M:M),IF($C436&lt;&gt;0,SUMIF(куб!$C:$C,$C436,куб!M:M),IF($B436&lt;&gt;0,SUMIF(куб!$B:$B,$B436,куб!M:M))))))</f>
        <v>0</v>
      </c>
      <c r="V436" s="13" t="str">
        <f t="shared" si="152"/>
        <v>-</v>
      </c>
      <c r="W436" s="5"/>
      <c r="X436" s="27" t="b">
        <f>IF($G436&lt;&gt;0,SUMIF(куб!$G:$G,$G436,куб!N:N),IF($E436&lt;&gt;0,SUMIF(куб!$E:$E,$E436,куб!N:N),IF($D436&lt;&gt;0,SUMIF(куб!$D:$D,$D436,куб!N:N),IF($C436&lt;&gt;0,SUMIF(куб!$C:$C,$C436,куб!N:N),IF($B436&lt;&gt;0,SUMIF(куб!$B:$B,$B436,куб!N:N))))))</f>
        <v>0</v>
      </c>
      <c r="Y436" s="27" t="b">
        <f>IF($G436&lt;&gt;0,SUMIF(куб!$G:$G,$G436,куб!O:O),IF($E436&lt;&gt;0,SUMIF(куб!$E:$E,$E436,куб!O:O),IF($D436&lt;&gt;0,SUMIF(куб!$D:$D,$D436,куб!O:O),IF($C436&lt;&gt;0,SUMIF(куб!$C:$C,$C436,куб!O:O),IF($B436&lt;&gt;0,SUMIF(куб!$B:$B,$B436,куб!O:O))))))</f>
        <v>0</v>
      </c>
      <c r="Z436" s="13" t="str">
        <f t="shared" si="153"/>
        <v>-</v>
      </c>
      <c r="AA436" s="5"/>
      <c r="AB436" s="33" t="str">
        <f t="shared" si="154"/>
        <v/>
      </c>
      <c r="AC436" s="33" t="str">
        <f t="shared" si="155"/>
        <v/>
      </c>
      <c r="AD436" s="15" t="str">
        <f t="shared" si="156"/>
        <v xml:space="preserve"> </v>
      </c>
      <c r="AE436" s="5"/>
      <c r="AF436" s="27" t="b">
        <f>IF($G436&lt;&gt;0,SUMIF(куб!$G:$G,$G436,куб!R:R),IF($E436&lt;&gt;0,SUMIF(куб!$E:$E,$E436,куб!R:R),IF($D436&lt;&gt;0,SUMIF(куб!$D:$D,$D436,куб!R:R),IF($C436&lt;&gt;0,SUMIF(куб!$C:$C,$C436,куб!R:R),IF($B436&lt;&gt;0,SUMIF(куб!$B:$B,$B436,куб!R:R))))))</f>
        <v>0</v>
      </c>
      <c r="AG436" s="27" t="b">
        <f>IF($G436&lt;&gt;0,SUMIF(куб!$G:$G,$G436,куб!S:S),IF($E436&lt;&gt;0,SUMIF(куб!$E:$E,$E436,куб!S:S),IF($D436&lt;&gt;0,SUMIF(куб!$D:$D,$D436,куб!S:S),IF($C436&lt;&gt;0,SUMIF(куб!$C:$C,$C436,куб!S:S),IF($B436&lt;&gt;0,SUMIF(куб!$B:$B,$B436,куб!S:S))))))</f>
        <v>0</v>
      </c>
      <c r="AH436" s="16" t="str">
        <f t="shared" si="157"/>
        <v>-</v>
      </c>
      <c r="AI436" s="8"/>
      <c r="AJ436" s="27" t="b">
        <f>IF($G436&lt;&gt;0,SUMIF(куб!$G:$G,$G436,куб!T:T),IF($E436&lt;&gt;0,SUMIF(куб!$E:$E,$E436,куб!T:T),IF($D436&lt;&gt;0,SUMIF(куб!$D:$D,$D436,куб!T:T),IF($C436&lt;&gt;0,SUMIF(куб!$C:$C,$C436,куб!T:T),IF($B436&lt;&gt;0,SUMIF(куб!$B:$B,$B436,куб!T:T))))))</f>
        <v>0</v>
      </c>
      <c r="AK436" s="27" t="b">
        <f>IF($G436&lt;&gt;0,SUMIF(куб!$G:$G,$G436,куб!U:U),IF($E436&lt;&gt;0,SUMIF(куб!$E:$E,$E436,куб!U:U),IF($D436&lt;&gt;0,SUMIF(куб!$D:$D,$D436,куб!U:U),IF($C436&lt;&gt;0,SUMIF(куб!$C:$C,$C436,куб!U:U),IF($B436&lt;&gt;0,SUMIF(куб!$B:$B,$B436,куб!U:U))))))</f>
        <v>0</v>
      </c>
      <c r="AL436" s="16" t="str">
        <f t="shared" si="158"/>
        <v>-</v>
      </c>
      <c r="AM436" s="8"/>
      <c r="AN436" s="17" t="str">
        <f t="shared" si="159"/>
        <v xml:space="preserve"> </v>
      </c>
      <c r="AO436" s="17" t="str">
        <f t="shared" si="160"/>
        <v xml:space="preserve"> </v>
      </c>
      <c r="AP436" s="16" t="str">
        <f t="shared" si="161"/>
        <v>-</v>
      </c>
      <c r="AQ436" s="8"/>
      <c r="AR436" s="17" t="str">
        <f t="shared" si="162"/>
        <v>-</v>
      </c>
      <c r="AS436" s="17" t="str">
        <f t="shared" si="163"/>
        <v>-</v>
      </c>
      <c r="AT436" s="13" t="str">
        <f t="shared" si="164"/>
        <v>-</v>
      </c>
      <c r="AU436" s="8"/>
    </row>
    <row r="437" spans="1:47" x14ac:dyDescent="0.25">
      <c r="A437" s="31"/>
      <c r="B437" s="31"/>
      <c r="C437"/>
      <c r="D437" s="31"/>
      <c r="E437"/>
      <c r="F437" s="31"/>
      <c r="G437"/>
      <c r="H437" s="27">
        <f>IF($G437&lt;&gt;0,SUMIF(куб!$G:$G,$G437,куб!H:H),IF($E437&lt;&gt;0,SUMIF(куб!$E:$E,$E437,куб!H:H),IF($D437&lt;&gt;0,SUMIF(куб!$D:$D,$D437,куб!H:H),IF($C437&lt;&gt;0,SUMIF(куб!$C:$C,$C437,куб!H:H),IF($B437&lt;&gt;0,SUMIF(куб!$B:$B,$B437,куб!H:H),IF($G437&lt;&gt;0,SUMIF(куб!$A:$A,$G437,куб!H:H),SUMIF(куб!$A:$A,$G437,куб!H:H)))))))</f>
        <v>0</v>
      </c>
      <c r="I437" s="27">
        <f>IF($G437&lt;&gt;0,SUMIF(куб!$G:$G,$G437,куб!I:I),IF($E437&lt;&gt;0,SUMIF(куб!$E:$E,$E437,куб!I:I),IF($D437&lt;&gt;0,SUMIF(куб!$D:$D,$D437,куб!I:I),IF($C437&lt;&gt;0,SUMIF(куб!$C:$C,$C437,куб!I:I),IF($B437&lt;&gt;0,SUMIF(куб!$B:$B,$B437,куб!I:I),IF($G437&lt;&gt;0,SUMIF(куб!$A:$A,$G437,куб!I:I),SUMIF(куб!$A:$A,$G437,куб!I:I)))))))</f>
        <v>0</v>
      </c>
      <c r="J437" s="19" t="str">
        <f t="shared" si="147"/>
        <v>-</v>
      </c>
      <c r="K437" s="8"/>
      <c r="L437" s="17">
        <f t="shared" si="148"/>
        <v>0</v>
      </c>
      <c r="M437" s="17">
        <f t="shared" si="149"/>
        <v>0</v>
      </c>
      <c r="N437" s="12">
        <f t="shared" si="150"/>
        <v>0</v>
      </c>
      <c r="O437" s="5"/>
      <c r="P437" s="27" t="b">
        <f>IF($G437&lt;&gt;0,SUMIF(куб!$G:$G,$G437,куб!J:J),IF($E437&lt;&gt;0,SUMIF(куб!$E:$E,$E437,куб!J:J),IF($D437&lt;&gt;0,SUMIF(куб!$D:$D,$D437,куб!J:J),IF($C437&lt;&gt;0,SUMIF(куб!$C:$C,$C437,куб!J:J),IF($B437&lt;&gt;0,SUMIF(куб!$B:$B,$B437,куб!J:J))))))</f>
        <v>0</v>
      </c>
      <c r="Q437" s="27" t="b">
        <f>IF($G437&lt;&gt;0,SUMIF(куб!$G:$G,$G437,куб!K:K),IF($E437&lt;&gt;0,SUMIF(куб!$E:$E,$E437,куб!K:K),IF($D437&lt;&gt;0,SUMIF(куб!$D:$D,$D437,куб!K:K),IF($C437&lt;&gt;0,SUMIF(куб!$C:$C,$C437,куб!K:K),IF($B437&lt;&gt;0,SUMIF(куб!$B:$B,$B437,куб!K:K))))))</f>
        <v>0</v>
      </c>
      <c r="R437" s="13" t="str">
        <f t="shared" si="151"/>
        <v>-</v>
      </c>
      <c r="S437" s="5"/>
      <c r="T437" s="27" t="b">
        <f>IF($G437&lt;&gt;0,SUMIF(куб!$G:$G,$G437,куб!L:L),IF($E437&lt;&gt;0,SUMIF(куб!$E:$E,$E437,куб!L:L),IF($D437&lt;&gt;0,SUMIF(куб!$D:$D,$D437,куб!L:L),IF($C437&lt;&gt;0,SUMIF(куб!$C:$C,$C437,куб!L:L),IF($B437&lt;&gt;0,SUMIF(куб!$B:$B,$B437,куб!L:L))))))</f>
        <v>0</v>
      </c>
      <c r="U437" s="27" t="b">
        <f>IF($G437&lt;&gt;0,SUMIF(куб!$G:$G,$G437,куб!M:M),IF($E437&lt;&gt;0,SUMIF(куб!$E:$E,$E437,куб!M:M),IF($D437&lt;&gt;0,SUMIF(куб!$D:$D,$D437,куб!M:M),IF($C437&lt;&gt;0,SUMIF(куб!$C:$C,$C437,куб!M:M),IF($B437&lt;&gt;0,SUMIF(куб!$B:$B,$B437,куб!M:M))))))</f>
        <v>0</v>
      </c>
      <c r="V437" s="13" t="str">
        <f t="shared" si="152"/>
        <v>-</v>
      </c>
      <c r="W437" s="5"/>
      <c r="X437" s="27" t="b">
        <f>IF($G437&lt;&gt;0,SUMIF(куб!$G:$G,$G437,куб!N:N),IF($E437&lt;&gt;0,SUMIF(куб!$E:$E,$E437,куб!N:N),IF($D437&lt;&gt;0,SUMIF(куб!$D:$D,$D437,куб!N:N),IF($C437&lt;&gt;0,SUMIF(куб!$C:$C,$C437,куб!N:N),IF($B437&lt;&gt;0,SUMIF(куб!$B:$B,$B437,куб!N:N))))))</f>
        <v>0</v>
      </c>
      <c r="Y437" s="27" t="b">
        <f>IF($G437&lt;&gt;0,SUMIF(куб!$G:$G,$G437,куб!O:O),IF($E437&lt;&gt;0,SUMIF(куб!$E:$E,$E437,куб!O:O),IF($D437&lt;&gt;0,SUMIF(куб!$D:$D,$D437,куб!O:O),IF($C437&lt;&gt;0,SUMIF(куб!$C:$C,$C437,куб!O:O),IF($B437&lt;&gt;0,SUMIF(куб!$B:$B,$B437,куб!O:O))))))</f>
        <v>0</v>
      </c>
      <c r="Z437" s="13" t="str">
        <f t="shared" si="153"/>
        <v>-</v>
      </c>
      <c r="AA437" s="5"/>
      <c r="AB437" s="33" t="str">
        <f t="shared" si="154"/>
        <v/>
      </c>
      <c r="AC437" s="33" t="str">
        <f t="shared" si="155"/>
        <v/>
      </c>
      <c r="AD437" s="15" t="str">
        <f t="shared" si="156"/>
        <v xml:space="preserve"> </v>
      </c>
      <c r="AE437" s="5"/>
      <c r="AF437" s="27" t="b">
        <f>IF($G437&lt;&gt;0,SUMIF(куб!$G:$G,$G437,куб!R:R),IF($E437&lt;&gt;0,SUMIF(куб!$E:$E,$E437,куб!R:R),IF($D437&lt;&gt;0,SUMIF(куб!$D:$D,$D437,куб!R:R),IF($C437&lt;&gt;0,SUMIF(куб!$C:$C,$C437,куб!R:R),IF($B437&lt;&gt;0,SUMIF(куб!$B:$B,$B437,куб!R:R))))))</f>
        <v>0</v>
      </c>
      <c r="AG437" s="27" t="b">
        <f>IF($G437&lt;&gt;0,SUMIF(куб!$G:$G,$G437,куб!S:S),IF($E437&lt;&gt;0,SUMIF(куб!$E:$E,$E437,куб!S:S),IF($D437&lt;&gt;0,SUMIF(куб!$D:$D,$D437,куб!S:S),IF($C437&lt;&gt;0,SUMIF(куб!$C:$C,$C437,куб!S:S),IF($B437&lt;&gt;0,SUMIF(куб!$B:$B,$B437,куб!S:S))))))</f>
        <v>0</v>
      </c>
      <c r="AH437" s="16" t="str">
        <f t="shared" si="157"/>
        <v>-</v>
      </c>
      <c r="AI437" s="8"/>
      <c r="AJ437" s="27" t="b">
        <f>IF($G437&lt;&gt;0,SUMIF(куб!$G:$G,$G437,куб!T:T),IF($E437&lt;&gt;0,SUMIF(куб!$E:$E,$E437,куб!T:T),IF($D437&lt;&gt;0,SUMIF(куб!$D:$D,$D437,куб!T:T),IF($C437&lt;&gt;0,SUMIF(куб!$C:$C,$C437,куб!T:T),IF($B437&lt;&gt;0,SUMIF(куб!$B:$B,$B437,куб!T:T))))))</f>
        <v>0</v>
      </c>
      <c r="AK437" s="27" t="b">
        <f>IF($G437&lt;&gt;0,SUMIF(куб!$G:$G,$G437,куб!U:U),IF($E437&lt;&gt;0,SUMIF(куб!$E:$E,$E437,куб!U:U),IF($D437&lt;&gt;0,SUMIF(куб!$D:$D,$D437,куб!U:U),IF($C437&lt;&gt;0,SUMIF(куб!$C:$C,$C437,куб!U:U),IF($B437&lt;&gt;0,SUMIF(куб!$B:$B,$B437,куб!U:U))))))</f>
        <v>0</v>
      </c>
      <c r="AL437" s="16" t="str">
        <f t="shared" si="158"/>
        <v>-</v>
      </c>
      <c r="AM437" s="8"/>
      <c r="AN437" s="17" t="str">
        <f t="shared" si="159"/>
        <v xml:space="preserve"> </v>
      </c>
      <c r="AO437" s="17" t="str">
        <f t="shared" si="160"/>
        <v xml:space="preserve"> </v>
      </c>
      <c r="AP437" s="16" t="str">
        <f t="shared" si="161"/>
        <v>-</v>
      </c>
      <c r="AQ437" s="8"/>
      <c r="AR437" s="17" t="str">
        <f t="shared" si="162"/>
        <v>-</v>
      </c>
      <c r="AS437" s="17" t="str">
        <f t="shared" si="163"/>
        <v>-</v>
      </c>
      <c r="AT437" s="13" t="str">
        <f t="shared" si="164"/>
        <v>-</v>
      </c>
      <c r="AU437" s="8"/>
    </row>
    <row r="438" spans="1:47" x14ac:dyDescent="0.25">
      <c r="A438" s="31"/>
      <c r="B438" s="31"/>
      <c r="C438"/>
      <c r="D438" s="31"/>
      <c r="E438"/>
      <c r="F438" s="31"/>
      <c r="G438"/>
      <c r="H438" s="27">
        <f>IF($G438&lt;&gt;0,SUMIF(куб!$G:$G,$G438,куб!H:H),IF($E438&lt;&gt;0,SUMIF(куб!$E:$E,$E438,куб!H:H),IF($D438&lt;&gt;0,SUMIF(куб!$D:$D,$D438,куб!H:H),IF($C438&lt;&gt;0,SUMIF(куб!$C:$C,$C438,куб!H:H),IF($B438&lt;&gt;0,SUMIF(куб!$B:$B,$B438,куб!H:H),IF($G438&lt;&gt;0,SUMIF(куб!$A:$A,$G438,куб!H:H),SUMIF(куб!$A:$A,$G438,куб!H:H)))))))</f>
        <v>0</v>
      </c>
      <c r="I438" s="27">
        <f>IF($G438&lt;&gt;0,SUMIF(куб!$G:$G,$G438,куб!I:I),IF($E438&lt;&gt;0,SUMIF(куб!$E:$E,$E438,куб!I:I),IF($D438&lt;&gt;0,SUMIF(куб!$D:$D,$D438,куб!I:I),IF($C438&lt;&gt;0,SUMIF(куб!$C:$C,$C438,куб!I:I),IF($B438&lt;&gt;0,SUMIF(куб!$B:$B,$B438,куб!I:I),IF($G438&lt;&gt;0,SUMIF(куб!$A:$A,$G438,куб!I:I),SUMIF(куб!$A:$A,$G438,куб!I:I)))))))</f>
        <v>0</v>
      </c>
      <c r="J438" s="19" t="str">
        <f t="shared" si="147"/>
        <v>-</v>
      </c>
      <c r="K438" s="8"/>
      <c r="L438" s="17">
        <f t="shared" si="148"/>
        <v>0</v>
      </c>
      <c r="M438" s="17">
        <f t="shared" si="149"/>
        <v>0</v>
      </c>
      <c r="N438" s="12">
        <f t="shared" si="150"/>
        <v>0</v>
      </c>
      <c r="O438" s="5"/>
      <c r="P438" s="27" t="b">
        <f>IF($G438&lt;&gt;0,SUMIF(куб!$G:$G,$G438,куб!J:J),IF($E438&lt;&gt;0,SUMIF(куб!$E:$E,$E438,куб!J:J),IF($D438&lt;&gt;0,SUMIF(куб!$D:$D,$D438,куб!J:J),IF($C438&lt;&gt;0,SUMIF(куб!$C:$C,$C438,куб!J:J),IF($B438&lt;&gt;0,SUMIF(куб!$B:$B,$B438,куб!J:J))))))</f>
        <v>0</v>
      </c>
      <c r="Q438" s="27" t="b">
        <f>IF($G438&lt;&gt;0,SUMIF(куб!$G:$G,$G438,куб!K:K),IF($E438&lt;&gt;0,SUMIF(куб!$E:$E,$E438,куб!K:K),IF($D438&lt;&gt;0,SUMIF(куб!$D:$D,$D438,куб!K:K),IF($C438&lt;&gt;0,SUMIF(куб!$C:$C,$C438,куб!K:K),IF($B438&lt;&gt;0,SUMIF(куб!$B:$B,$B438,куб!K:K))))))</f>
        <v>0</v>
      </c>
      <c r="R438" s="13" t="str">
        <f t="shared" si="151"/>
        <v>-</v>
      </c>
      <c r="S438" s="5"/>
      <c r="T438" s="27" t="b">
        <f>IF($G438&lt;&gt;0,SUMIF(куб!$G:$G,$G438,куб!L:L),IF($E438&lt;&gt;0,SUMIF(куб!$E:$E,$E438,куб!L:L),IF($D438&lt;&gt;0,SUMIF(куб!$D:$D,$D438,куб!L:L),IF($C438&lt;&gt;0,SUMIF(куб!$C:$C,$C438,куб!L:L),IF($B438&lt;&gt;0,SUMIF(куб!$B:$B,$B438,куб!L:L))))))</f>
        <v>0</v>
      </c>
      <c r="U438" s="27" t="b">
        <f>IF($G438&lt;&gt;0,SUMIF(куб!$G:$G,$G438,куб!M:M),IF($E438&lt;&gt;0,SUMIF(куб!$E:$E,$E438,куб!M:M),IF($D438&lt;&gt;0,SUMIF(куб!$D:$D,$D438,куб!M:M),IF($C438&lt;&gt;0,SUMIF(куб!$C:$C,$C438,куб!M:M),IF($B438&lt;&gt;0,SUMIF(куб!$B:$B,$B438,куб!M:M))))))</f>
        <v>0</v>
      </c>
      <c r="V438" s="13" t="str">
        <f t="shared" si="152"/>
        <v>-</v>
      </c>
      <c r="W438" s="5"/>
      <c r="X438" s="27" t="b">
        <f>IF($G438&lt;&gt;0,SUMIF(куб!$G:$G,$G438,куб!N:N),IF($E438&lt;&gt;0,SUMIF(куб!$E:$E,$E438,куб!N:N),IF($D438&lt;&gt;0,SUMIF(куб!$D:$D,$D438,куб!N:N),IF($C438&lt;&gt;0,SUMIF(куб!$C:$C,$C438,куб!N:N),IF($B438&lt;&gt;0,SUMIF(куб!$B:$B,$B438,куб!N:N))))))</f>
        <v>0</v>
      </c>
      <c r="Y438" s="27" t="b">
        <f>IF($G438&lt;&gt;0,SUMIF(куб!$G:$G,$G438,куб!O:O),IF($E438&lt;&gt;0,SUMIF(куб!$E:$E,$E438,куб!O:O),IF($D438&lt;&gt;0,SUMIF(куб!$D:$D,$D438,куб!O:O),IF($C438&lt;&gt;0,SUMIF(куб!$C:$C,$C438,куб!O:O),IF($B438&lt;&gt;0,SUMIF(куб!$B:$B,$B438,куб!O:O))))))</f>
        <v>0</v>
      </c>
      <c r="Z438" s="13" t="str">
        <f t="shared" si="153"/>
        <v>-</v>
      </c>
      <c r="AA438" s="5"/>
      <c r="AB438" s="33" t="str">
        <f t="shared" si="154"/>
        <v/>
      </c>
      <c r="AC438" s="33" t="str">
        <f t="shared" si="155"/>
        <v/>
      </c>
      <c r="AD438" s="15" t="str">
        <f t="shared" si="156"/>
        <v xml:space="preserve"> </v>
      </c>
      <c r="AE438" s="5"/>
      <c r="AF438" s="27" t="b">
        <f>IF($G438&lt;&gt;0,SUMIF(куб!$G:$G,$G438,куб!R:R),IF($E438&lt;&gt;0,SUMIF(куб!$E:$E,$E438,куб!R:R),IF($D438&lt;&gt;0,SUMIF(куб!$D:$D,$D438,куб!R:R),IF($C438&lt;&gt;0,SUMIF(куб!$C:$C,$C438,куб!R:R),IF($B438&lt;&gt;0,SUMIF(куб!$B:$B,$B438,куб!R:R))))))</f>
        <v>0</v>
      </c>
      <c r="AG438" s="27" t="b">
        <f>IF($G438&lt;&gt;0,SUMIF(куб!$G:$G,$G438,куб!S:S),IF($E438&lt;&gt;0,SUMIF(куб!$E:$E,$E438,куб!S:S),IF($D438&lt;&gt;0,SUMIF(куб!$D:$D,$D438,куб!S:S),IF($C438&lt;&gt;0,SUMIF(куб!$C:$C,$C438,куб!S:S),IF($B438&lt;&gt;0,SUMIF(куб!$B:$B,$B438,куб!S:S))))))</f>
        <v>0</v>
      </c>
      <c r="AH438" s="16" t="str">
        <f t="shared" si="157"/>
        <v>-</v>
      </c>
      <c r="AI438" s="8"/>
      <c r="AJ438" s="27" t="b">
        <f>IF($G438&lt;&gt;0,SUMIF(куб!$G:$G,$G438,куб!T:T),IF($E438&lt;&gt;0,SUMIF(куб!$E:$E,$E438,куб!T:T),IF($D438&lt;&gt;0,SUMIF(куб!$D:$D,$D438,куб!T:T),IF($C438&lt;&gt;0,SUMIF(куб!$C:$C,$C438,куб!T:T),IF($B438&lt;&gt;0,SUMIF(куб!$B:$B,$B438,куб!T:T))))))</f>
        <v>0</v>
      </c>
      <c r="AK438" s="27" t="b">
        <f>IF($G438&lt;&gt;0,SUMIF(куб!$G:$G,$G438,куб!U:U),IF($E438&lt;&gt;0,SUMIF(куб!$E:$E,$E438,куб!U:U),IF($D438&lt;&gt;0,SUMIF(куб!$D:$D,$D438,куб!U:U),IF($C438&lt;&gt;0,SUMIF(куб!$C:$C,$C438,куб!U:U),IF($B438&lt;&gt;0,SUMIF(куб!$B:$B,$B438,куб!U:U))))))</f>
        <v>0</v>
      </c>
      <c r="AL438" s="16" t="str">
        <f t="shared" si="158"/>
        <v>-</v>
      </c>
      <c r="AM438" s="8"/>
      <c r="AN438" s="17" t="str">
        <f t="shared" si="159"/>
        <v xml:space="preserve"> </v>
      </c>
      <c r="AO438" s="17" t="str">
        <f t="shared" si="160"/>
        <v xml:space="preserve"> </v>
      </c>
      <c r="AP438" s="16" t="str">
        <f t="shared" si="161"/>
        <v>-</v>
      </c>
      <c r="AQ438" s="8"/>
      <c r="AR438" s="17" t="str">
        <f t="shared" si="162"/>
        <v>-</v>
      </c>
      <c r="AS438" s="17" t="str">
        <f t="shared" si="163"/>
        <v>-</v>
      </c>
      <c r="AT438" s="13" t="str">
        <f t="shared" si="164"/>
        <v>-</v>
      </c>
      <c r="AU438" s="8"/>
    </row>
    <row r="439" spans="1:47" x14ac:dyDescent="0.25">
      <c r="A439" s="31"/>
      <c r="B439" s="31"/>
      <c r="C439"/>
      <c r="D439" s="31"/>
      <c r="E439"/>
      <c r="F439" s="31"/>
      <c r="G439"/>
      <c r="H439" s="27">
        <f>IF($G439&lt;&gt;0,SUMIF(куб!$G:$G,$G439,куб!H:H),IF($E439&lt;&gt;0,SUMIF(куб!$E:$E,$E439,куб!H:H),IF($D439&lt;&gt;0,SUMIF(куб!$D:$D,$D439,куб!H:H),IF($C439&lt;&gt;0,SUMIF(куб!$C:$C,$C439,куб!H:H),IF($B439&lt;&gt;0,SUMIF(куб!$B:$B,$B439,куб!H:H),IF($G439&lt;&gt;0,SUMIF(куб!$A:$A,$G439,куб!H:H),SUMIF(куб!$A:$A,$G439,куб!H:H)))))))</f>
        <v>0</v>
      </c>
      <c r="I439" s="27">
        <f>IF($G439&lt;&gt;0,SUMIF(куб!$G:$G,$G439,куб!I:I),IF($E439&lt;&gt;0,SUMIF(куб!$E:$E,$E439,куб!I:I),IF($D439&lt;&gt;0,SUMIF(куб!$D:$D,$D439,куб!I:I),IF($C439&lt;&gt;0,SUMIF(куб!$C:$C,$C439,куб!I:I),IF($B439&lt;&gt;0,SUMIF(куб!$B:$B,$B439,куб!I:I),IF($G439&lt;&gt;0,SUMIF(куб!$A:$A,$G439,куб!I:I),SUMIF(куб!$A:$A,$G439,куб!I:I)))))))</f>
        <v>0</v>
      </c>
      <c r="J439" s="19" t="str">
        <f t="shared" si="147"/>
        <v>-</v>
      </c>
      <c r="K439" s="8"/>
      <c r="L439" s="17">
        <f t="shared" si="148"/>
        <v>0</v>
      </c>
      <c r="M439" s="17">
        <f t="shared" si="149"/>
        <v>0</v>
      </c>
      <c r="N439" s="12">
        <f t="shared" si="150"/>
        <v>0</v>
      </c>
      <c r="O439" s="5"/>
      <c r="P439" s="27" t="b">
        <f>IF($G439&lt;&gt;0,SUMIF(куб!$G:$G,$G439,куб!J:J),IF($E439&lt;&gt;0,SUMIF(куб!$E:$E,$E439,куб!J:J),IF($D439&lt;&gt;0,SUMIF(куб!$D:$D,$D439,куб!J:J),IF($C439&lt;&gt;0,SUMIF(куб!$C:$C,$C439,куб!J:J),IF($B439&lt;&gt;0,SUMIF(куб!$B:$B,$B439,куб!J:J))))))</f>
        <v>0</v>
      </c>
      <c r="Q439" s="27" t="b">
        <f>IF($G439&lt;&gt;0,SUMIF(куб!$G:$G,$G439,куб!K:K),IF($E439&lt;&gt;0,SUMIF(куб!$E:$E,$E439,куб!K:K),IF($D439&lt;&gt;0,SUMIF(куб!$D:$D,$D439,куб!K:K),IF($C439&lt;&gt;0,SUMIF(куб!$C:$C,$C439,куб!K:K),IF($B439&lt;&gt;0,SUMIF(куб!$B:$B,$B439,куб!K:K))))))</f>
        <v>0</v>
      </c>
      <c r="R439" s="13" t="str">
        <f t="shared" si="151"/>
        <v>-</v>
      </c>
      <c r="S439" s="5"/>
      <c r="T439" s="27" t="b">
        <f>IF($G439&lt;&gt;0,SUMIF(куб!$G:$G,$G439,куб!L:L),IF($E439&lt;&gt;0,SUMIF(куб!$E:$E,$E439,куб!L:L),IF($D439&lt;&gt;0,SUMIF(куб!$D:$D,$D439,куб!L:L),IF($C439&lt;&gt;0,SUMIF(куб!$C:$C,$C439,куб!L:L),IF($B439&lt;&gt;0,SUMIF(куб!$B:$B,$B439,куб!L:L))))))</f>
        <v>0</v>
      </c>
      <c r="U439" s="27" t="b">
        <f>IF($G439&lt;&gt;0,SUMIF(куб!$G:$G,$G439,куб!M:M),IF($E439&lt;&gt;0,SUMIF(куб!$E:$E,$E439,куб!M:M),IF($D439&lt;&gt;0,SUMIF(куб!$D:$D,$D439,куб!M:M),IF($C439&lt;&gt;0,SUMIF(куб!$C:$C,$C439,куб!M:M),IF($B439&lt;&gt;0,SUMIF(куб!$B:$B,$B439,куб!M:M))))))</f>
        <v>0</v>
      </c>
      <c r="V439" s="13" t="str">
        <f t="shared" si="152"/>
        <v>-</v>
      </c>
      <c r="W439" s="5"/>
      <c r="X439" s="27" t="b">
        <f>IF($G439&lt;&gt;0,SUMIF(куб!$G:$G,$G439,куб!N:N),IF($E439&lt;&gt;0,SUMIF(куб!$E:$E,$E439,куб!N:N),IF($D439&lt;&gt;0,SUMIF(куб!$D:$D,$D439,куб!N:N),IF($C439&lt;&gt;0,SUMIF(куб!$C:$C,$C439,куб!N:N),IF($B439&lt;&gt;0,SUMIF(куб!$B:$B,$B439,куб!N:N))))))</f>
        <v>0</v>
      </c>
      <c r="Y439" s="27" t="b">
        <f>IF($G439&lt;&gt;0,SUMIF(куб!$G:$G,$G439,куб!O:O),IF($E439&lt;&gt;0,SUMIF(куб!$E:$E,$E439,куб!O:O),IF($D439&lt;&gt;0,SUMIF(куб!$D:$D,$D439,куб!O:O),IF($C439&lt;&gt;0,SUMIF(куб!$C:$C,$C439,куб!O:O),IF($B439&lt;&gt;0,SUMIF(куб!$B:$B,$B439,куб!O:O))))))</f>
        <v>0</v>
      </c>
      <c r="Z439" s="13" t="str">
        <f t="shared" si="153"/>
        <v>-</v>
      </c>
      <c r="AA439" s="5"/>
      <c r="AB439" s="33" t="str">
        <f t="shared" si="154"/>
        <v/>
      </c>
      <c r="AC439" s="33" t="str">
        <f t="shared" si="155"/>
        <v/>
      </c>
      <c r="AD439" s="15" t="str">
        <f t="shared" si="156"/>
        <v xml:space="preserve"> </v>
      </c>
      <c r="AE439" s="5"/>
      <c r="AF439" s="27" t="b">
        <f>IF($G439&lt;&gt;0,SUMIF(куб!$G:$G,$G439,куб!R:R),IF($E439&lt;&gt;0,SUMIF(куб!$E:$E,$E439,куб!R:R),IF($D439&lt;&gt;0,SUMIF(куб!$D:$D,$D439,куб!R:R),IF($C439&lt;&gt;0,SUMIF(куб!$C:$C,$C439,куб!R:R),IF($B439&lt;&gt;0,SUMIF(куб!$B:$B,$B439,куб!R:R))))))</f>
        <v>0</v>
      </c>
      <c r="AG439" s="27" t="b">
        <f>IF($G439&lt;&gt;0,SUMIF(куб!$G:$G,$G439,куб!S:S),IF($E439&lt;&gt;0,SUMIF(куб!$E:$E,$E439,куб!S:S),IF($D439&lt;&gt;0,SUMIF(куб!$D:$D,$D439,куб!S:S),IF($C439&lt;&gt;0,SUMIF(куб!$C:$C,$C439,куб!S:S),IF($B439&lt;&gt;0,SUMIF(куб!$B:$B,$B439,куб!S:S))))))</f>
        <v>0</v>
      </c>
      <c r="AH439" s="16" t="str">
        <f t="shared" si="157"/>
        <v>-</v>
      </c>
      <c r="AI439" s="8"/>
      <c r="AJ439" s="27" t="b">
        <f>IF($G439&lt;&gt;0,SUMIF(куб!$G:$G,$G439,куб!T:T),IF($E439&lt;&gt;0,SUMIF(куб!$E:$E,$E439,куб!T:T),IF($D439&lt;&gt;0,SUMIF(куб!$D:$D,$D439,куб!T:T),IF($C439&lt;&gt;0,SUMIF(куб!$C:$C,$C439,куб!T:T),IF($B439&lt;&gt;0,SUMIF(куб!$B:$B,$B439,куб!T:T))))))</f>
        <v>0</v>
      </c>
      <c r="AK439" s="27" t="b">
        <f>IF($G439&lt;&gt;0,SUMIF(куб!$G:$G,$G439,куб!U:U),IF($E439&lt;&gt;0,SUMIF(куб!$E:$E,$E439,куб!U:U),IF($D439&lt;&gt;0,SUMIF(куб!$D:$D,$D439,куб!U:U),IF($C439&lt;&gt;0,SUMIF(куб!$C:$C,$C439,куб!U:U),IF($B439&lt;&gt;0,SUMIF(куб!$B:$B,$B439,куб!U:U))))))</f>
        <v>0</v>
      </c>
      <c r="AL439" s="16" t="str">
        <f t="shared" si="158"/>
        <v>-</v>
      </c>
      <c r="AM439" s="8"/>
      <c r="AN439" s="17" t="str">
        <f t="shared" si="159"/>
        <v xml:space="preserve"> </v>
      </c>
      <c r="AO439" s="17" t="str">
        <f t="shared" si="160"/>
        <v xml:space="preserve"> </v>
      </c>
      <c r="AP439" s="16" t="str">
        <f t="shared" si="161"/>
        <v>-</v>
      </c>
      <c r="AQ439" s="8"/>
      <c r="AR439" s="17" t="str">
        <f t="shared" si="162"/>
        <v>-</v>
      </c>
      <c r="AS439" s="17" t="str">
        <f t="shared" si="163"/>
        <v>-</v>
      </c>
      <c r="AT439" s="13" t="str">
        <f t="shared" si="164"/>
        <v>-</v>
      </c>
      <c r="AU439" s="8"/>
    </row>
    <row r="440" spans="1:47" x14ac:dyDescent="0.25">
      <c r="A440" s="31"/>
      <c r="B440" s="31"/>
      <c r="C440"/>
      <c r="D440" s="31"/>
      <c r="E440"/>
      <c r="F440" s="31"/>
      <c r="G440"/>
      <c r="H440" s="27">
        <f>IF($G440&lt;&gt;0,SUMIF(куб!$G:$G,$G440,куб!H:H),IF($E440&lt;&gt;0,SUMIF(куб!$E:$E,$E440,куб!H:H),IF($D440&lt;&gt;0,SUMIF(куб!$D:$D,$D440,куб!H:H),IF($C440&lt;&gt;0,SUMIF(куб!$C:$C,$C440,куб!H:H),IF($B440&lt;&gt;0,SUMIF(куб!$B:$B,$B440,куб!H:H),IF($G440&lt;&gt;0,SUMIF(куб!$A:$A,$G440,куб!H:H),SUMIF(куб!$A:$A,$G440,куб!H:H)))))))</f>
        <v>0</v>
      </c>
      <c r="I440" s="27">
        <f>IF($G440&lt;&gt;0,SUMIF(куб!$G:$G,$G440,куб!I:I),IF($E440&lt;&gt;0,SUMIF(куб!$E:$E,$E440,куб!I:I),IF($D440&lt;&gt;0,SUMIF(куб!$D:$D,$D440,куб!I:I),IF($C440&lt;&gt;0,SUMIF(куб!$C:$C,$C440,куб!I:I),IF($B440&lt;&gt;0,SUMIF(куб!$B:$B,$B440,куб!I:I),IF($G440&lt;&gt;0,SUMIF(куб!$A:$A,$G440,куб!I:I),SUMIF(куб!$A:$A,$G440,куб!I:I)))))))</f>
        <v>0</v>
      </c>
      <c r="J440" s="19" t="str">
        <f t="shared" si="147"/>
        <v>-</v>
      </c>
      <c r="K440" s="8"/>
      <c r="L440" s="17">
        <f t="shared" si="148"/>
        <v>0</v>
      </c>
      <c r="M440" s="17">
        <f t="shared" si="149"/>
        <v>0</v>
      </c>
      <c r="N440" s="12">
        <f t="shared" si="150"/>
        <v>0</v>
      </c>
      <c r="O440" s="5"/>
      <c r="P440" s="27" t="b">
        <f>IF($G440&lt;&gt;0,SUMIF(куб!$G:$G,$G440,куб!J:J),IF($E440&lt;&gt;0,SUMIF(куб!$E:$E,$E440,куб!J:J),IF($D440&lt;&gt;0,SUMIF(куб!$D:$D,$D440,куб!J:J),IF($C440&lt;&gt;0,SUMIF(куб!$C:$C,$C440,куб!J:J),IF($B440&lt;&gt;0,SUMIF(куб!$B:$B,$B440,куб!J:J))))))</f>
        <v>0</v>
      </c>
      <c r="Q440" s="27" t="b">
        <f>IF($G440&lt;&gt;0,SUMIF(куб!$G:$G,$G440,куб!K:K),IF($E440&lt;&gt;0,SUMIF(куб!$E:$E,$E440,куб!K:K),IF($D440&lt;&gt;0,SUMIF(куб!$D:$D,$D440,куб!K:K),IF($C440&lt;&gt;0,SUMIF(куб!$C:$C,$C440,куб!K:K),IF($B440&lt;&gt;0,SUMIF(куб!$B:$B,$B440,куб!K:K))))))</f>
        <v>0</v>
      </c>
      <c r="R440" s="13" t="str">
        <f t="shared" si="151"/>
        <v>-</v>
      </c>
      <c r="S440" s="5"/>
      <c r="T440" s="27" t="b">
        <f>IF($G440&lt;&gt;0,SUMIF(куб!$G:$G,$G440,куб!L:L),IF($E440&lt;&gt;0,SUMIF(куб!$E:$E,$E440,куб!L:L),IF($D440&lt;&gt;0,SUMIF(куб!$D:$D,$D440,куб!L:L),IF($C440&lt;&gt;0,SUMIF(куб!$C:$C,$C440,куб!L:L),IF($B440&lt;&gt;0,SUMIF(куб!$B:$B,$B440,куб!L:L))))))</f>
        <v>0</v>
      </c>
      <c r="U440" s="27" t="b">
        <f>IF($G440&lt;&gt;0,SUMIF(куб!$G:$G,$G440,куб!M:M),IF($E440&lt;&gt;0,SUMIF(куб!$E:$E,$E440,куб!M:M),IF($D440&lt;&gt;0,SUMIF(куб!$D:$D,$D440,куб!M:M),IF($C440&lt;&gt;0,SUMIF(куб!$C:$C,$C440,куб!M:M),IF($B440&lt;&gt;0,SUMIF(куб!$B:$B,$B440,куб!M:M))))))</f>
        <v>0</v>
      </c>
      <c r="V440" s="13" t="str">
        <f t="shared" si="152"/>
        <v>-</v>
      </c>
      <c r="W440" s="5"/>
      <c r="X440" s="27" t="b">
        <f>IF($G440&lt;&gt;0,SUMIF(куб!$G:$G,$G440,куб!N:N),IF($E440&lt;&gt;0,SUMIF(куб!$E:$E,$E440,куб!N:N),IF($D440&lt;&gt;0,SUMIF(куб!$D:$D,$D440,куб!N:N),IF($C440&lt;&gt;0,SUMIF(куб!$C:$C,$C440,куб!N:N),IF($B440&lt;&gt;0,SUMIF(куб!$B:$B,$B440,куб!N:N))))))</f>
        <v>0</v>
      </c>
      <c r="Y440" s="27" t="b">
        <f>IF($G440&lt;&gt;0,SUMIF(куб!$G:$G,$G440,куб!O:O),IF($E440&lt;&gt;0,SUMIF(куб!$E:$E,$E440,куб!O:O),IF($D440&lt;&gt;0,SUMIF(куб!$D:$D,$D440,куб!O:O),IF($C440&lt;&gt;0,SUMIF(куб!$C:$C,$C440,куб!O:O),IF($B440&lt;&gt;0,SUMIF(куб!$B:$B,$B440,куб!O:O))))))</f>
        <v>0</v>
      </c>
      <c r="Z440" s="13" t="str">
        <f t="shared" si="153"/>
        <v>-</v>
      </c>
      <c r="AA440" s="5"/>
      <c r="AB440" s="33" t="str">
        <f t="shared" si="154"/>
        <v/>
      </c>
      <c r="AC440" s="33" t="str">
        <f t="shared" si="155"/>
        <v/>
      </c>
      <c r="AD440" s="15" t="str">
        <f t="shared" si="156"/>
        <v xml:space="preserve"> </v>
      </c>
      <c r="AE440" s="5"/>
      <c r="AF440" s="27" t="b">
        <f>IF($G440&lt;&gt;0,SUMIF(куб!$G:$G,$G440,куб!R:R),IF($E440&lt;&gt;0,SUMIF(куб!$E:$E,$E440,куб!R:R),IF($D440&lt;&gt;0,SUMIF(куб!$D:$D,$D440,куб!R:R),IF($C440&lt;&gt;0,SUMIF(куб!$C:$C,$C440,куб!R:R),IF($B440&lt;&gt;0,SUMIF(куб!$B:$B,$B440,куб!R:R))))))</f>
        <v>0</v>
      </c>
      <c r="AG440" s="27" t="b">
        <f>IF($G440&lt;&gt;0,SUMIF(куб!$G:$G,$G440,куб!S:S),IF($E440&lt;&gt;0,SUMIF(куб!$E:$E,$E440,куб!S:S),IF($D440&lt;&gt;0,SUMIF(куб!$D:$D,$D440,куб!S:S),IF($C440&lt;&gt;0,SUMIF(куб!$C:$C,$C440,куб!S:S),IF($B440&lt;&gt;0,SUMIF(куб!$B:$B,$B440,куб!S:S))))))</f>
        <v>0</v>
      </c>
      <c r="AH440" s="16" t="str">
        <f t="shared" si="157"/>
        <v>-</v>
      </c>
      <c r="AI440" s="8"/>
      <c r="AJ440" s="27" t="b">
        <f>IF($G440&lt;&gt;0,SUMIF(куб!$G:$G,$G440,куб!T:T),IF($E440&lt;&gt;0,SUMIF(куб!$E:$E,$E440,куб!T:T),IF($D440&lt;&gt;0,SUMIF(куб!$D:$D,$D440,куб!T:T),IF($C440&lt;&gt;0,SUMIF(куб!$C:$C,$C440,куб!T:T),IF($B440&lt;&gt;0,SUMIF(куб!$B:$B,$B440,куб!T:T))))))</f>
        <v>0</v>
      </c>
      <c r="AK440" s="27" t="b">
        <f>IF($G440&lt;&gt;0,SUMIF(куб!$G:$G,$G440,куб!U:U),IF($E440&lt;&gt;0,SUMIF(куб!$E:$E,$E440,куб!U:U),IF($D440&lt;&gt;0,SUMIF(куб!$D:$D,$D440,куб!U:U),IF($C440&lt;&gt;0,SUMIF(куб!$C:$C,$C440,куб!U:U),IF($B440&lt;&gt;0,SUMIF(куб!$B:$B,$B440,куб!U:U))))))</f>
        <v>0</v>
      </c>
      <c r="AL440" s="16" t="str">
        <f t="shared" si="158"/>
        <v>-</v>
      </c>
      <c r="AM440" s="8"/>
      <c r="AN440" s="17" t="str">
        <f t="shared" si="159"/>
        <v xml:space="preserve"> </v>
      </c>
      <c r="AO440" s="17" t="str">
        <f t="shared" si="160"/>
        <v xml:space="preserve"> </v>
      </c>
      <c r="AP440" s="16" t="str">
        <f t="shared" si="161"/>
        <v>-</v>
      </c>
      <c r="AQ440" s="8"/>
      <c r="AR440" s="17" t="str">
        <f t="shared" si="162"/>
        <v>-</v>
      </c>
      <c r="AS440" s="17" t="str">
        <f t="shared" si="163"/>
        <v>-</v>
      </c>
      <c r="AT440" s="13" t="str">
        <f t="shared" si="164"/>
        <v>-</v>
      </c>
      <c r="AU440" s="8"/>
    </row>
    <row r="441" spans="1:47" x14ac:dyDescent="0.25">
      <c r="A441" s="31"/>
      <c r="B441" s="31"/>
      <c r="C441"/>
      <c r="D441" s="31"/>
      <c r="E441"/>
      <c r="F441" s="31"/>
      <c r="G441"/>
      <c r="H441" s="27">
        <f>IF($G441&lt;&gt;0,SUMIF(куб!$G:$G,$G441,куб!H:H),IF($E441&lt;&gt;0,SUMIF(куб!$E:$E,$E441,куб!H:H),IF($D441&lt;&gt;0,SUMIF(куб!$D:$D,$D441,куб!H:H),IF($C441&lt;&gt;0,SUMIF(куб!$C:$C,$C441,куб!H:H),IF($B441&lt;&gt;0,SUMIF(куб!$B:$B,$B441,куб!H:H),IF($G441&lt;&gt;0,SUMIF(куб!$A:$A,$G441,куб!H:H),SUMIF(куб!$A:$A,$G441,куб!H:H)))))))</f>
        <v>0</v>
      </c>
      <c r="I441" s="27">
        <f>IF($G441&lt;&gt;0,SUMIF(куб!$G:$G,$G441,куб!I:I),IF($E441&lt;&gt;0,SUMIF(куб!$E:$E,$E441,куб!I:I),IF($D441&lt;&gt;0,SUMIF(куб!$D:$D,$D441,куб!I:I),IF($C441&lt;&gt;0,SUMIF(куб!$C:$C,$C441,куб!I:I),IF($B441&lt;&gt;0,SUMIF(куб!$B:$B,$B441,куб!I:I),IF($G441&lt;&gt;0,SUMIF(куб!$A:$A,$G441,куб!I:I),SUMIF(куб!$A:$A,$G441,куб!I:I)))))))</f>
        <v>0</v>
      </c>
      <c r="J441" s="19" t="str">
        <f t="shared" si="147"/>
        <v>-</v>
      </c>
      <c r="K441" s="8"/>
      <c r="L441" s="17">
        <f t="shared" si="148"/>
        <v>0</v>
      </c>
      <c r="M441" s="17">
        <f t="shared" si="149"/>
        <v>0</v>
      </c>
      <c r="N441" s="12">
        <f t="shared" si="150"/>
        <v>0</v>
      </c>
      <c r="O441" s="5"/>
      <c r="P441" s="27" t="b">
        <f>IF($G441&lt;&gt;0,SUMIF(куб!$G:$G,$G441,куб!J:J),IF($E441&lt;&gt;0,SUMIF(куб!$E:$E,$E441,куб!J:J),IF($D441&lt;&gt;0,SUMIF(куб!$D:$D,$D441,куб!J:J),IF($C441&lt;&gt;0,SUMIF(куб!$C:$C,$C441,куб!J:J),IF($B441&lt;&gt;0,SUMIF(куб!$B:$B,$B441,куб!J:J))))))</f>
        <v>0</v>
      </c>
      <c r="Q441" s="27" t="b">
        <f>IF($G441&lt;&gt;0,SUMIF(куб!$G:$G,$G441,куб!K:K),IF($E441&lt;&gt;0,SUMIF(куб!$E:$E,$E441,куб!K:K),IF($D441&lt;&gt;0,SUMIF(куб!$D:$D,$D441,куб!K:K),IF($C441&lt;&gt;0,SUMIF(куб!$C:$C,$C441,куб!K:K),IF($B441&lt;&gt;0,SUMIF(куб!$B:$B,$B441,куб!K:K))))))</f>
        <v>0</v>
      </c>
      <c r="R441" s="13" t="str">
        <f t="shared" si="151"/>
        <v>-</v>
      </c>
      <c r="S441" s="5"/>
      <c r="T441" s="27" t="b">
        <f>IF($G441&lt;&gt;0,SUMIF(куб!$G:$G,$G441,куб!L:L),IF($E441&lt;&gt;0,SUMIF(куб!$E:$E,$E441,куб!L:L),IF($D441&lt;&gt;0,SUMIF(куб!$D:$D,$D441,куб!L:L),IF($C441&lt;&gt;0,SUMIF(куб!$C:$C,$C441,куб!L:L),IF($B441&lt;&gt;0,SUMIF(куб!$B:$B,$B441,куб!L:L))))))</f>
        <v>0</v>
      </c>
      <c r="U441" s="27" t="b">
        <f>IF($G441&lt;&gt;0,SUMIF(куб!$G:$G,$G441,куб!M:M),IF($E441&lt;&gt;0,SUMIF(куб!$E:$E,$E441,куб!M:M),IF($D441&lt;&gt;0,SUMIF(куб!$D:$D,$D441,куб!M:M),IF($C441&lt;&gt;0,SUMIF(куб!$C:$C,$C441,куб!M:M),IF($B441&lt;&gt;0,SUMIF(куб!$B:$B,$B441,куб!M:M))))))</f>
        <v>0</v>
      </c>
      <c r="V441" s="13" t="str">
        <f t="shared" si="152"/>
        <v>-</v>
      </c>
      <c r="W441" s="5"/>
      <c r="X441" s="27" t="b">
        <f>IF($G441&lt;&gt;0,SUMIF(куб!$G:$G,$G441,куб!N:N),IF($E441&lt;&gt;0,SUMIF(куб!$E:$E,$E441,куб!N:N),IF($D441&lt;&gt;0,SUMIF(куб!$D:$D,$D441,куб!N:N),IF($C441&lt;&gt;0,SUMIF(куб!$C:$C,$C441,куб!N:N),IF($B441&lt;&gt;0,SUMIF(куб!$B:$B,$B441,куб!N:N))))))</f>
        <v>0</v>
      </c>
      <c r="Y441" s="27" t="b">
        <f>IF($G441&lt;&gt;0,SUMIF(куб!$G:$G,$G441,куб!O:O),IF($E441&lt;&gt;0,SUMIF(куб!$E:$E,$E441,куб!O:O),IF($D441&lt;&gt;0,SUMIF(куб!$D:$D,$D441,куб!O:O),IF($C441&lt;&gt;0,SUMIF(куб!$C:$C,$C441,куб!O:O),IF($B441&lt;&gt;0,SUMIF(куб!$B:$B,$B441,куб!O:O))))))</f>
        <v>0</v>
      </c>
      <c r="Z441" s="13" t="str">
        <f t="shared" si="153"/>
        <v>-</v>
      </c>
      <c r="AA441" s="5"/>
      <c r="AB441" s="33" t="str">
        <f t="shared" si="154"/>
        <v/>
      </c>
      <c r="AC441" s="33" t="str">
        <f t="shared" si="155"/>
        <v/>
      </c>
      <c r="AD441" s="15" t="str">
        <f t="shared" si="156"/>
        <v xml:space="preserve"> </v>
      </c>
      <c r="AE441" s="5"/>
      <c r="AF441" s="27" t="b">
        <f>IF($G441&lt;&gt;0,SUMIF(куб!$G:$G,$G441,куб!R:R),IF($E441&lt;&gt;0,SUMIF(куб!$E:$E,$E441,куб!R:R),IF($D441&lt;&gt;0,SUMIF(куб!$D:$D,$D441,куб!R:R),IF($C441&lt;&gt;0,SUMIF(куб!$C:$C,$C441,куб!R:R),IF($B441&lt;&gt;0,SUMIF(куб!$B:$B,$B441,куб!R:R))))))</f>
        <v>0</v>
      </c>
      <c r="AG441" s="27" t="b">
        <f>IF($G441&lt;&gt;0,SUMIF(куб!$G:$G,$G441,куб!S:S),IF($E441&lt;&gt;0,SUMIF(куб!$E:$E,$E441,куб!S:S),IF($D441&lt;&gt;0,SUMIF(куб!$D:$D,$D441,куб!S:S),IF($C441&lt;&gt;0,SUMIF(куб!$C:$C,$C441,куб!S:S),IF($B441&lt;&gt;0,SUMIF(куб!$B:$B,$B441,куб!S:S))))))</f>
        <v>0</v>
      </c>
      <c r="AH441" s="16" t="str">
        <f t="shared" si="157"/>
        <v>-</v>
      </c>
      <c r="AI441" s="8"/>
      <c r="AJ441" s="27" t="b">
        <f>IF($G441&lt;&gt;0,SUMIF(куб!$G:$G,$G441,куб!T:T),IF($E441&lt;&gt;0,SUMIF(куб!$E:$E,$E441,куб!T:T),IF($D441&lt;&gt;0,SUMIF(куб!$D:$D,$D441,куб!T:T),IF($C441&lt;&gt;0,SUMIF(куб!$C:$C,$C441,куб!T:T),IF($B441&lt;&gt;0,SUMIF(куб!$B:$B,$B441,куб!T:T))))))</f>
        <v>0</v>
      </c>
      <c r="AK441" s="27" t="b">
        <f>IF($G441&lt;&gt;0,SUMIF(куб!$G:$G,$G441,куб!U:U),IF($E441&lt;&gt;0,SUMIF(куб!$E:$E,$E441,куб!U:U),IF($D441&lt;&gt;0,SUMIF(куб!$D:$D,$D441,куб!U:U),IF($C441&lt;&gt;0,SUMIF(куб!$C:$C,$C441,куб!U:U),IF($B441&lt;&gt;0,SUMIF(куб!$B:$B,$B441,куб!U:U))))))</f>
        <v>0</v>
      </c>
      <c r="AL441" s="16" t="str">
        <f t="shared" si="158"/>
        <v>-</v>
      </c>
      <c r="AM441" s="8"/>
      <c r="AN441" s="17" t="str">
        <f t="shared" si="159"/>
        <v xml:space="preserve"> </v>
      </c>
      <c r="AO441" s="17" t="str">
        <f t="shared" si="160"/>
        <v xml:space="preserve"> </v>
      </c>
      <c r="AP441" s="16" t="str">
        <f t="shared" si="161"/>
        <v>-</v>
      </c>
      <c r="AQ441" s="8"/>
      <c r="AR441" s="17" t="str">
        <f t="shared" si="162"/>
        <v>-</v>
      </c>
      <c r="AS441" s="17" t="str">
        <f t="shared" si="163"/>
        <v>-</v>
      </c>
      <c r="AT441" s="13" t="str">
        <f t="shared" si="164"/>
        <v>-</v>
      </c>
      <c r="AU441" s="8"/>
    </row>
    <row r="442" spans="1:47" x14ac:dyDescent="0.25">
      <c r="A442" s="31"/>
      <c r="B442" s="31"/>
      <c r="C442"/>
      <c r="D442" s="31"/>
      <c r="E442"/>
      <c r="F442" s="31"/>
      <c r="G442"/>
      <c r="H442" s="27">
        <f>IF($G442&lt;&gt;0,SUMIF(куб!$G:$G,$G442,куб!H:H),IF($E442&lt;&gt;0,SUMIF(куб!$E:$E,$E442,куб!H:H),IF($D442&lt;&gt;0,SUMIF(куб!$D:$D,$D442,куб!H:H),IF($C442&lt;&gt;0,SUMIF(куб!$C:$C,$C442,куб!H:H),IF($B442&lt;&gt;0,SUMIF(куб!$B:$B,$B442,куб!H:H),IF($G442&lt;&gt;0,SUMIF(куб!$A:$A,$G442,куб!H:H),SUMIF(куб!$A:$A,$G442,куб!H:H)))))))</f>
        <v>0</v>
      </c>
      <c r="I442" s="27">
        <f>IF($G442&lt;&gt;0,SUMIF(куб!$G:$G,$G442,куб!I:I),IF($E442&lt;&gt;0,SUMIF(куб!$E:$E,$E442,куб!I:I),IF($D442&lt;&gt;0,SUMIF(куб!$D:$D,$D442,куб!I:I),IF($C442&lt;&gt;0,SUMIF(куб!$C:$C,$C442,куб!I:I),IF($B442&lt;&gt;0,SUMIF(куб!$B:$B,$B442,куб!I:I),IF($G442&lt;&gt;0,SUMIF(куб!$A:$A,$G442,куб!I:I),SUMIF(куб!$A:$A,$G442,куб!I:I)))))))</f>
        <v>0</v>
      </c>
      <c r="J442" s="19" t="str">
        <f t="shared" si="147"/>
        <v>-</v>
      </c>
      <c r="K442" s="8"/>
      <c r="L442" s="17">
        <f t="shared" si="148"/>
        <v>0</v>
      </c>
      <c r="M442" s="17">
        <f t="shared" si="149"/>
        <v>0</v>
      </c>
      <c r="N442" s="12">
        <f t="shared" si="150"/>
        <v>0</v>
      </c>
      <c r="O442" s="5"/>
      <c r="P442" s="27" t="b">
        <f>IF($G442&lt;&gt;0,SUMIF(куб!$G:$G,$G442,куб!J:J),IF($E442&lt;&gt;0,SUMIF(куб!$E:$E,$E442,куб!J:J),IF($D442&lt;&gt;0,SUMIF(куб!$D:$D,$D442,куб!J:J),IF($C442&lt;&gt;0,SUMIF(куб!$C:$C,$C442,куб!J:J),IF($B442&lt;&gt;0,SUMIF(куб!$B:$B,$B442,куб!J:J))))))</f>
        <v>0</v>
      </c>
      <c r="Q442" s="27" t="b">
        <f>IF($G442&lt;&gt;0,SUMIF(куб!$G:$G,$G442,куб!K:K),IF($E442&lt;&gt;0,SUMIF(куб!$E:$E,$E442,куб!K:K),IF($D442&lt;&gt;0,SUMIF(куб!$D:$D,$D442,куб!K:K),IF($C442&lt;&gt;0,SUMIF(куб!$C:$C,$C442,куб!K:K),IF($B442&lt;&gt;0,SUMIF(куб!$B:$B,$B442,куб!K:K))))))</f>
        <v>0</v>
      </c>
      <c r="R442" s="13" t="str">
        <f t="shared" si="151"/>
        <v>-</v>
      </c>
      <c r="S442" s="5"/>
      <c r="T442" s="27" t="b">
        <f>IF($G442&lt;&gt;0,SUMIF(куб!$G:$G,$G442,куб!L:L),IF($E442&lt;&gt;0,SUMIF(куб!$E:$E,$E442,куб!L:L),IF($D442&lt;&gt;0,SUMIF(куб!$D:$D,$D442,куб!L:L),IF($C442&lt;&gt;0,SUMIF(куб!$C:$C,$C442,куб!L:L),IF($B442&lt;&gt;0,SUMIF(куб!$B:$B,$B442,куб!L:L))))))</f>
        <v>0</v>
      </c>
      <c r="U442" s="27" t="b">
        <f>IF($G442&lt;&gt;0,SUMIF(куб!$G:$G,$G442,куб!M:M),IF($E442&lt;&gt;0,SUMIF(куб!$E:$E,$E442,куб!M:M),IF($D442&lt;&gt;0,SUMIF(куб!$D:$D,$D442,куб!M:M),IF($C442&lt;&gt;0,SUMIF(куб!$C:$C,$C442,куб!M:M),IF($B442&lt;&gt;0,SUMIF(куб!$B:$B,$B442,куб!M:M))))))</f>
        <v>0</v>
      </c>
      <c r="V442" s="13" t="str">
        <f t="shared" si="152"/>
        <v>-</v>
      </c>
      <c r="W442" s="5"/>
      <c r="X442" s="27" t="b">
        <f>IF($G442&lt;&gt;0,SUMIF(куб!$G:$G,$G442,куб!N:N),IF($E442&lt;&gt;0,SUMIF(куб!$E:$E,$E442,куб!N:N),IF($D442&lt;&gt;0,SUMIF(куб!$D:$D,$D442,куб!N:N),IF($C442&lt;&gt;0,SUMIF(куб!$C:$C,$C442,куб!N:N),IF($B442&lt;&gt;0,SUMIF(куб!$B:$B,$B442,куб!N:N))))))</f>
        <v>0</v>
      </c>
      <c r="Y442" s="27" t="b">
        <f>IF($G442&lt;&gt;0,SUMIF(куб!$G:$G,$G442,куб!O:O),IF($E442&lt;&gt;0,SUMIF(куб!$E:$E,$E442,куб!O:O),IF($D442&lt;&gt;0,SUMIF(куб!$D:$D,$D442,куб!O:O),IF($C442&lt;&gt;0,SUMIF(куб!$C:$C,$C442,куб!O:O),IF($B442&lt;&gt;0,SUMIF(куб!$B:$B,$B442,куб!O:O))))))</f>
        <v>0</v>
      </c>
      <c r="Z442" s="13" t="str">
        <f t="shared" si="153"/>
        <v>-</v>
      </c>
      <c r="AA442" s="5"/>
      <c r="AB442" s="33" t="str">
        <f t="shared" si="154"/>
        <v/>
      </c>
      <c r="AC442" s="33" t="str">
        <f t="shared" si="155"/>
        <v/>
      </c>
      <c r="AD442" s="15" t="str">
        <f t="shared" si="156"/>
        <v xml:space="preserve"> </v>
      </c>
      <c r="AE442" s="5"/>
      <c r="AF442" s="27" t="b">
        <f>IF($G442&lt;&gt;0,SUMIF(куб!$G:$G,$G442,куб!R:R),IF($E442&lt;&gt;0,SUMIF(куб!$E:$E,$E442,куб!R:R),IF($D442&lt;&gt;0,SUMIF(куб!$D:$D,$D442,куб!R:R),IF($C442&lt;&gt;0,SUMIF(куб!$C:$C,$C442,куб!R:R),IF($B442&lt;&gt;0,SUMIF(куб!$B:$B,$B442,куб!R:R))))))</f>
        <v>0</v>
      </c>
      <c r="AG442" s="27" t="b">
        <f>IF($G442&lt;&gt;0,SUMIF(куб!$G:$G,$G442,куб!S:S),IF($E442&lt;&gt;0,SUMIF(куб!$E:$E,$E442,куб!S:S),IF($D442&lt;&gt;0,SUMIF(куб!$D:$D,$D442,куб!S:S),IF($C442&lt;&gt;0,SUMIF(куб!$C:$C,$C442,куб!S:S),IF($B442&lt;&gt;0,SUMIF(куб!$B:$B,$B442,куб!S:S))))))</f>
        <v>0</v>
      </c>
      <c r="AH442" s="16" t="str">
        <f t="shared" si="157"/>
        <v>-</v>
      </c>
      <c r="AI442" s="8"/>
      <c r="AJ442" s="27" t="b">
        <f>IF($G442&lt;&gt;0,SUMIF(куб!$G:$G,$G442,куб!T:T),IF($E442&lt;&gt;0,SUMIF(куб!$E:$E,$E442,куб!T:T),IF($D442&lt;&gt;0,SUMIF(куб!$D:$D,$D442,куб!T:T),IF($C442&lt;&gt;0,SUMIF(куб!$C:$C,$C442,куб!T:T),IF($B442&lt;&gt;0,SUMIF(куб!$B:$B,$B442,куб!T:T))))))</f>
        <v>0</v>
      </c>
      <c r="AK442" s="27" t="b">
        <f>IF($G442&lt;&gt;0,SUMIF(куб!$G:$G,$G442,куб!U:U),IF($E442&lt;&gt;0,SUMIF(куб!$E:$E,$E442,куб!U:U),IF($D442&lt;&gt;0,SUMIF(куб!$D:$D,$D442,куб!U:U),IF($C442&lt;&gt;0,SUMIF(куб!$C:$C,$C442,куб!U:U),IF($B442&lt;&gt;0,SUMIF(куб!$B:$B,$B442,куб!U:U))))))</f>
        <v>0</v>
      </c>
      <c r="AL442" s="16" t="str">
        <f t="shared" si="158"/>
        <v>-</v>
      </c>
      <c r="AM442" s="8"/>
      <c r="AN442" s="17" t="str">
        <f t="shared" si="159"/>
        <v xml:space="preserve"> </v>
      </c>
      <c r="AO442" s="17" t="str">
        <f t="shared" si="160"/>
        <v xml:space="preserve"> </v>
      </c>
      <c r="AP442" s="16" t="str">
        <f t="shared" si="161"/>
        <v>-</v>
      </c>
      <c r="AQ442" s="8"/>
      <c r="AR442" s="17" t="str">
        <f t="shared" si="162"/>
        <v>-</v>
      </c>
      <c r="AS442" s="17" t="str">
        <f t="shared" si="163"/>
        <v>-</v>
      </c>
      <c r="AT442" s="13" t="str">
        <f t="shared" si="164"/>
        <v>-</v>
      </c>
      <c r="AU442" s="8"/>
    </row>
    <row r="443" spans="1:47" x14ac:dyDescent="0.25">
      <c r="A443" s="31"/>
      <c r="B443" s="31"/>
      <c r="C443"/>
      <c r="D443" s="31"/>
      <c r="E443"/>
      <c r="F443" s="31"/>
      <c r="G443"/>
      <c r="H443" s="27">
        <f>IF($G443&lt;&gt;0,SUMIF(куб!$G:$G,$G443,куб!H:H),IF($E443&lt;&gt;0,SUMIF(куб!$E:$E,$E443,куб!H:H),IF($D443&lt;&gt;0,SUMIF(куб!$D:$D,$D443,куб!H:H),IF($C443&lt;&gt;0,SUMIF(куб!$C:$C,$C443,куб!H:H),IF($B443&lt;&gt;0,SUMIF(куб!$B:$B,$B443,куб!H:H),IF($G443&lt;&gt;0,SUMIF(куб!$A:$A,$G443,куб!H:H),SUMIF(куб!$A:$A,$G443,куб!H:H)))))))</f>
        <v>0</v>
      </c>
      <c r="I443" s="27">
        <f>IF($G443&lt;&gt;0,SUMIF(куб!$G:$G,$G443,куб!I:I),IF($E443&lt;&gt;0,SUMIF(куб!$E:$E,$E443,куб!I:I),IF($D443&lt;&gt;0,SUMIF(куб!$D:$D,$D443,куб!I:I),IF($C443&lt;&gt;0,SUMIF(куб!$C:$C,$C443,куб!I:I),IF($B443&lt;&gt;0,SUMIF(куб!$B:$B,$B443,куб!I:I),IF($G443&lt;&gt;0,SUMIF(куб!$A:$A,$G443,куб!I:I),SUMIF(куб!$A:$A,$G443,куб!I:I)))))))</f>
        <v>0</v>
      </c>
      <c r="J443" s="19" t="str">
        <f t="shared" si="147"/>
        <v>-</v>
      </c>
      <c r="K443" s="8"/>
      <c r="L443" s="17">
        <f t="shared" si="148"/>
        <v>0</v>
      </c>
      <c r="M443" s="17">
        <f t="shared" si="149"/>
        <v>0</v>
      </c>
      <c r="N443" s="12">
        <f t="shared" si="150"/>
        <v>0</v>
      </c>
      <c r="O443" s="5"/>
      <c r="P443" s="27" t="b">
        <f>IF($G443&lt;&gt;0,SUMIF(куб!$G:$G,$G443,куб!J:J),IF($E443&lt;&gt;0,SUMIF(куб!$E:$E,$E443,куб!J:J),IF($D443&lt;&gt;0,SUMIF(куб!$D:$D,$D443,куб!J:J),IF($C443&lt;&gt;0,SUMIF(куб!$C:$C,$C443,куб!J:J),IF($B443&lt;&gt;0,SUMIF(куб!$B:$B,$B443,куб!J:J))))))</f>
        <v>0</v>
      </c>
      <c r="Q443" s="27" t="b">
        <f>IF($G443&lt;&gt;0,SUMIF(куб!$G:$G,$G443,куб!K:K),IF($E443&lt;&gt;0,SUMIF(куб!$E:$E,$E443,куб!K:K),IF($D443&lt;&gt;0,SUMIF(куб!$D:$D,$D443,куб!K:K),IF($C443&lt;&gt;0,SUMIF(куб!$C:$C,$C443,куб!K:K),IF($B443&lt;&gt;0,SUMIF(куб!$B:$B,$B443,куб!K:K))))))</f>
        <v>0</v>
      </c>
      <c r="R443" s="13" t="str">
        <f t="shared" si="151"/>
        <v>-</v>
      </c>
      <c r="S443" s="5"/>
      <c r="T443" s="27" t="b">
        <f>IF($G443&lt;&gt;0,SUMIF(куб!$G:$G,$G443,куб!L:L),IF($E443&lt;&gt;0,SUMIF(куб!$E:$E,$E443,куб!L:L),IF($D443&lt;&gt;0,SUMIF(куб!$D:$D,$D443,куб!L:L),IF($C443&lt;&gt;0,SUMIF(куб!$C:$C,$C443,куб!L:L),IF($B443&lt;&gt;0,SUMIF(куб!$B:$B,$B443,куб!L:L))))))</f>
        <v>0</v>
      </c>
      <c r="U443" s="27" t="b">
        <f>IF($G443&lt;&gt;0,SUMIF(куб!$G:$G,$G443,куб!M:M),IF($E443&lt;&gt;0,SUMIF(куб!$E:$E,$E443,куб!M:M),IF($D443&lt;&gt;0,SUMIF(куб!$D:$D,$D443,куб!M:M),IF($C443&lt;&gt;0,SUMIF(куб!$C:$C,$C443,куб!M:M),IF($B443&lt;&gt;0,SUMIF(куб!$B:$B,$B443,куб!M:M))))))</f>
        <v>0</v>
      </c>
      <c r="V443" s="13" t="str">
        <f t="shared" si="152"/>
        <v>-</v>
      </c>
      <c r="W443" s="5"/>
      <c r="X443" s="27" t="b">
        <f>IF($G443&lt;&gt;0,SUMIF(куб!$G:$G,$G443,куб!N:N),IF($E443&lt;&gt;0,SUMIF(куб!$E:$E,$E443,куб!N:N),IF($D443&lt;&gt;0,SUMIF(куб!$D:$D,$D443,куб!N:N),IF($C443&lt;&gt;0,SUMIF(куб!$C:$C,$C443,куб!N:N),IF($B443&lt;&gt;0,SUMIF(куб!$B:$B,$B443,куб!N:N))))))</f>
        <v>0</v>
      </c>
      <c r="Y443" s="27" t="b">
        <f>IF($G443&lt;&gt;0,SUMIF(куб!$G:$G,$G443,куб!O:O),IF($E443&lt;&gt;0,SUMIF(куб!$E:$E,$E443,куб!O:O),IF($D443&lt;&gt;0,SUMIF(куб!$D:$D,$D443,куб!O:O),IF($C443&lt;&gt;0,SUMIF(куб!$C:$C,$C443,куб!O:O),IF($B443&lt;&gt;0,SUMIF(куб!$B:$B,$B443,куб!O:O))))))</f>
        <v>0</v>
      </c>
      <c r="Z443" s="13" t="str">
        <f t="shared" si="153"/>
        <v>-</v>
      </c>
      <c r="AA443" s="5"/>
      <c r="AB443" s="33" t="str">
        <f t="shared" si="154"/>
        <v/>
      </c>
      <c r="AC443" s="33" t="str">
        <f t="shared" si="155"/>
        <v/>
      </c>
      <c r="AD443" s="15" t="str">
        <f t="shared" si="156"/>
        <v xml:space="preserve"> </v>
      </c>
      <c r="AE443" s="5"/>
      <c r="AF443" s="27" t="b">
        <f>IF($G443&lt;&gt;0,SUMIF(куб!$G:$G,$G443,куб!R:R),IF($E443&lt;&gt;0,SUMIF(куб!$E:$E,$E443,куб!R:R),IF($D443&lt;&gt;0,SUMIF(куб!$D:$D,$D443,куб!R:R),IF($C443&lt;&gt;0,SUMIF(куб!$C:$C,$C443,куб!R:R),IF($B443&lt;&gt;0,SUMIF(куб!$B:$B,$B443,куб!R:R))))))</f>
        <v>0</v>
      </c>
      <c r="AG443" s="27" t="b">
        <f>IF($G443&lt;&gt;0,SUMIF(куб!$G:$G,$G443,куб!S:S),IF($E443&lt;&gt;0,SUMIF(куб!$E:$E,$E443,куб!S:S),IF($D443&lt;&gt;0,SUMIF(куб!$D:$D,$D443,куб!S:S),IF($C443&lt;&gt;0,SUMIF(куб!$C:$C,$C443,куб!S:S),IF($B443&lt;&gt;0,SUMIF(куб!$B:$B,$B443,куб!S:S))))))</f>
        <v>0</v>
      </c>
      <c r="AH443" s="16" t="str">
        <f t="shared" si="157"/>
        <v>-</v>
      </c>
      <c r="AI443" s="8"/>
      <c r="AJ443" s="27" t="b">
        <f>IF($G443&lt;&gt;0,SUMIF(куб!$G:$G,$G443,куб!T:T),IF($E443&lt;&gt;0,SUMIF(куб!$E:$E,$E443,куб!T:T),IF($D443&lt;&gt;0,SUMIF(куб!$D:$D,$D443,куб!T:T),IF($C443&lt;&gt;0,SUMIF(куб!$C:$C,$C443,куб!T:T),IF($B443&lt;&gt;0,SUMIF(куб!$B:$B,$B443,куб!T:T))))))</f>
        <v>0</v>
      </c>
      <c r="AK443" s="27" t="b">
        <f>IF($G443&lt;&gt;0,SUMIF(куб!$G:$G,$G443,куб!U:U),IF($E443&lt;&gt;0,SUMIF(куб!$E:$E,$E443,куб!U:U),IF($D443&lt;&gt;0,SUMIF(куб!$D:$D,$D443,куб!U:U),IF($C443&lt;&gt;0,SUMIF(куб!$C:$C,$C443,куб!U:U),IF($B443&lt;&gt;0,SUMIF(куб!$B:$B,$B443,куб!U:U))))))</f>
        <v>0</v>
      </c>
      <c r="AL443" s="16" t="str">
        <f t="shared" si="158"/>
        <v>-</v>
      </c>
      <c r="AM443" s="8"/>
      <c r="AN443" s="17" t="str">
        <f t="shared" si="159"/>
        <v xml:space="preserve"> </v>
      </c>
      <c r="AO443" s="17" t="str">
        <f t="shared" si="160"/>
        <v xml:space="preserve"> </v>
      </c>
      <c r="AP443" s="16" t="str">
        <f t="shared" si="161"/>
        <v>-</v>
      </c>
      <c r="AQ443" s="8"/>
      <c r="AR443" s="17" t="str">
        <f t="shared" si="162"/>
        <v>-</v>
      </c>
      <c r="AS443" s="17" t="str">
        <f t="shared" si="163"/>
        <v>-</v>
      </c>
      <c r="AT443" s="13" t="str">
        <f t="shared" si="164"/>
        <v>-</v>
      </c>
      <c r="AU443" s="8"/>
    </row>
    <row r="444" spans="1:47" x14ac:dyDescent="0.25">
      <c r="A444" s="31"/>
      <c r="B444" s="31"/>
      <c r="C444"/>
      <c r="D444" s="31"/>
      <c r="E444"/>
      <c r="F444" s="31"/>
      <c r="G444"/>
      <c r="H444" s="27">
        <f>IF($G444&lt;&gt;0,SUMIF(куб!$G:$G,$G444,куб!H:H),IF($E444&lt;&gt;0,SUMIF(куб!$E:$E,$E444,куб!H:H),IF($D444&lt;&gt;0,SUMIF(куб!$D:$D,$D444,куб!H:H),IF($C444&lt;&gt;0,SUMIF(куб!$C:$C,$C444,куб!H:H),IF($B444&lt;&gt;0,SUMIF(куб!$B:$B,$B444,куб!H:H),IF($G444&lt;&gt;0,SUMIF(куб!$A:$A,$G444,куб!H:H),SUMIF(куб!$A:$A,$G444,куб!H:H)))))))</f>
        <v>0</v>
      </c>
      <c r="I444" s="27">
        <f>IF($G444&lt;&gt;0,SUMIF(куб!$G:$G,$G444,куб!I:I),IF($E444&lt;&gt;0,SUMIF(куб!$E:$E,$E444,куб!I:I),IF($D444&lt;&gt;0,SUMIF(куб!$D:$D,$D444,куб!I:I),IF($C444&lt;&gt;0,SUMIF(куб!$C:$C,$C444,куб!I:I),IF($B444&lt;&gt;0,SUMIF(куб!$B:$B,$B444,куб!I:I),IF($G444&lt;&gt;0,SUMIF(куб!$A:$A,$G444,куб!I:I),SUMIF(куб!$A:$A,$G444,куб!I:I)))))))</f>
        <v>0</v>
      </c>
      <c r="J444" s="19" t="str">
        <f t="shared" si="147"/>
        <v>-</v>
      </c>
      <c r="K444" s="8"/>
      <c r="L444" s="17">
        <f t="shared" si="148"/>
        <v>0</v>
      </c>
      <c r="M444" s="17">
        <f t="shared" si="149"/>
        <v>0</v>
      </c>
      <c r="N444" s="12">
        <f t="shared" si="150"/>
        <v>0</v>
      </c>
      <c r="O444" s="5"/>
      <c r="P444" s="27" t="b">
        <f>IF($G444&lt;&gt;0,SUMIF(куб!$G:$G,$G444,куб!J:J),IF($E444&lt;&gt;0,SUMIF(куб!$E:$E,$E444,куб!J:J),IF($D444&lt;&gt;0,SUMIF(куб!$D:$D,$D444,куб!J:J),IF($C444&lt;&gt;0,SUMIF(куб!$C:$C,$C444,куб!J:J),IF($B444&lt;&gt;0,SUMIF(куб!$B:$B,$B444,куб!J:J))))))</f>
        <v>0</v>
      </c>
      <c r="Q444" s="27" t="b">
        <f>IF($G444&lt;&gt;0,SUMIF(куб!$G:$G,$G444,куб!K:K),IF($E444&lt;&gt;0,SUMIF(куб!$E:$E,$E444,куб!K:K),IF($D444&lt;&gt;0,SUMIF(куб!$D:$D,$D444,куб!K:K),IF($C444&lt;&gt;0,SUMIF(куб!$C:$C,$C444,куб!K:K),IF($B444&lt;&gt;0,SUMIF(куб!$B:$B,$B444,куб!K:K))))))</f>
        <v>0</v>
      </c>
      <c r="R444" s="13" t="str">
        <f t="shared" si="151"/>
        <v>-</v>
      </c>
      <c r="S444" s="5"/>
      <c r="T444" s="27" t="b">
        <f>IF($G444&lt;&gt;0,SUMIF(куб!$G:$G,$G444,куб!L:L),IF($E444&lt;&gt;0,SUMIF(куб!$E:$E,$E444,куб!L:L),IF($D444&lt;&gt;0,SUMIF(куб!$D:$D,$D444,куб!L:L),IF($C444&lt;&gt;0,SUMIF(куб!$C:$C,$C444,куб!L:L),IF($B444&lt;&gt;0,SUMIF(куб!$B:$B,$B444,куб!L:L))))))</f>
        <v>0</v>
      </c>
      <c r="U444" s="27" t="b">
        <f>IF($G444&lt;&gt;0,SUMIF(куб!$G:$G,$G444,куб!M:M),IF($E444&lt;&gt;0,SUMIF(куб!$E:$E,$E444,куб!M:M),IF($D444&lt;&gt;0,SUMIF(куб!$D:$D,$D444,куб!M:M),IF($C444&lt;&gt;0,SUMIF(куб!$C:$C,$C444,куб!M:M),IF($B444&lt;&gt;0,SUMIF(куб!$B:$B,$B444,куб!M:M))))))</f>
        <v>0</v>
      </c>
      <c r="V444" s="13" t="str">
        <f t="shared" si="152"/>
        <v>-</v>
      </c>
      <c r="W444" s="5"/>
      <c r="X444" s="27" t="b">
        <f>IF($G444&lt;&gt;0,SUMIF(куб!$G:$G,$G444,куб!N:N),IF($E444&lt;&gt;0,SUMIF(куб!$E:$E,$E444,куб!N:N),IF($D444&lt;&gt;0,SUMIF(куб!$D:$D,$D444,куб!N:N),IF($C444&lt;&gt;0,SUMIF(куб!$C:$C,$C444,куб!N:N),IF($B444&lt;&gt;0,SUMIF(куб!$B:$B,$B444,куб!N:N))))))</f>
        <v>0</v>
      </c>
      <c r="Y444" s="27" t="b">
        <f>IF($G444&lt;&gt;0,SUMIF(куб!$G:$G,$G444,куб!O:O),IF($E444&lt;&gt;0,SUMIF(куб!$E:$E,$E444,куб!O:O),IF($D444&lt;&gt;0,SUMIF(куб!$D:$D,$D444,куб!O:O),IF($C444&lt;&gt;0,SUMIF(куб!$C:$C,$C444,куб!O:O),IF($B444&lt;&gt;0,SUMIF(куб!$B:$B,$B444,куб!O:O))))))</f>
        <v>0</v>
      </c>
      <c r="Z444" s="13" t="str">
        <f t="shared" si="153"/>
        <v>-</v>
      </c>
      <c r="AA444" s="5"/>
      <c r="AB444" s="33" t="str">
        <f t="shared" si="154"/>
        <v/>
      </c>
      <c r="AC444" s="33" t="str">
        <f t="shared" si="155"/>
        <v/>
      </c>
      <c r="AD444" s="15" t="str">
        <f t="shared" si="156"/>
        <v xml:space="preserve"> </v>
      </c>
      <c r="AE444" s="5"/>
      <c r="AF444" s="27" t="b">
        <f>IF($G444&lt;&gt;0,SUMIF(куб!$G:$G,$G444,куб!R:R),IF($E444&lt;&gt;0,SUMIF(куб!$E:$E,$E444,куб!R:R),IF($D444&lt;&gt;0,SUMIF(куб!$D:$D,$D444,куб!R:R),IF($C444&lt;&gt;0,SUMIF(куб!$C:$C,$C444,куб!R:R),IF($B444&lt;&gt;0,SUMIF(куб!$B:$B,$B444,куб!R:R))))))</f>
        <v>0</v>
      </c>
      <c r="AG444" s="27" t="b">
        <f>IF($G444&lt;&gt;0,SUMIF(куб!$G:$G,$G444,куб!S:S),IF($E444&lt;&gt;0,SUMIF(куб!$E:$E,$E444,куб!S:S),IF($D444&lt;&gt;0,SUMIF(куб!$D:$D,$D444,куб!S:S),IF($C444&lt;&gt;0,SUMIF(куб!$C:$C,$C444,куб!S:S),IF($B444&lt;&gt;0,SUMIF(куб!$B:$B,$B444,куб!S:S))))))</f>
        <v>0</v>
      </c>
      <c r="AH444" s="16" t="str">
        <f t="shared" si="157"/>
        <v>-</v>
      </c>
      <c r="AI444" s="8"/>
      <c r="AJ444" s="27" t="b">
        <f>IF($G444&lt;&gt;0,SUMIF(куб!$G:$G,$G444,куб!T:T),IF($E444&lt;&gt;0,SUMIF(куб!$E:$E,$E444,куб!T:T),IF($D444&lt;&gt;0,SUMIF(куб!$D:$D,$D444,куб!T:T),IF($C444&lt;&gt;0,SUMIF(куб!$C:$C,$C444,куб!T:T),IF($B444&lt;&gt;0,SUMIF(куб!$B:$B,$B444,куб!T:T))))))</f>
        <v>0</v>
      </c>
      <c r="AK444" s="27" t="b">
        <f>IF($G444&lt;&gt;0,SUMIF(куб!$G:$G,$G444,куб!U:U),IF($E444&lt;&gt;0,SUMIF(куб!$E:$E,$E444,куб!U:U),IF($D444&lt;&gt;0,SUMIF(куб!$D:$D,$D444,куб!U:U),IF($C444&lt;&gt;0,SUMIF(куб!$C:$C,$C444,куб!U:U),IF($B444&lt;&gt;0,SUMIF(куб!$B:$B,$B444,куб!U:U))))))</f>
        <v>0</v>
      </c>
      <c r="AL444" s="16" t="str">
        <f t="shared" si="158"/>
        <v>-</v>
      </c>
      <c r="AM444" s="8"/>
      <c r="AN444" s="17" t="str">
        <f t="shared" si="159"/>
        <v xml:space="preserve"> </v>
      </c>
      <c r="AO444" s="17" t="str">
        <f t="shared" si="160"/>
        <v xml:space="preserve"> </v>
      </c>
      <c r="AP444" s="16" t="str">
        <f t="shared" si="161"/>
        <v>-</v>
      </c>
      <c r="AQ444" s="8"/>
      <c r="AR444" s="17" t="str">
        <f t="shared" si="162"/>
        <v>-</v>
      </c>
      <c r="AS444" s="17" t="str">
        <f t="shared" si="163"/>
        <v>-</v>
      </c>
      <c r="AT444" s="13" t="str">
        <f t="shared" si="164"/>
        <v>-</v>
      </c>
      <c r="AU444" s="8"/>
    </row>
    <row r="445" spans="1:47" x14ac:dyDescent="0.25">
      <c r="A445" s="31"/>
      <c r="B445" s="31"/>
      <c r="C445"/>
      <c r="D445" s="31"/>
      <c r="E445"/>
      <c r="F445" s="31"/>
      <c r="G445"/>
      <c r="H445" s="27">
        <f>IF($G445&lt;&gt;0,SUMIF(куб!$G:$G,$G445,куб!H:H),IF($E445&lt;&gt;0,SUMIF(куб!$E:$E,$E445,куб!H:H),IF($D445&lt;&gt;0,SUMIF(куб!$D:$D,$D445,куб!H:H),IF($C445&lt;&gt;0,SUMIF(куб!$C:$C,$C445,куб!H:H),IF($B445&lt;&gt;0,SUMIF(куб!$B:$B,$B445,куб!H:H),IF($G445&lt;&gt;0,SUMIF(куб!$A:$A,$G445,куб!H:H),SUMIF(куб!$A:$A,$G445,куб!H:H)))))))</f>
        <v>0</v>
      </c>
      <c r="I445" s="27">
        <f>IF($G445&lt;&gt;0,SUMIF(куб!$G:$G,$G445,куб!I:I),IF($E445&lt;&gt;0,SUMIF(куб!$E:$E,$E445,куб!I:I),IF($D445&lt;&gt;0,SUMIF(куб!$D:$D,$D445,куб!I:I),IF($C445&lt;&gt;0,SUMIF(куб!$C:$C,$C445,куб!I:I),IF($B445&lt;&gt;0,SUMIF(куб!$B:$B,$B445,куб!I:I),IF($G445&lt;&gt;0,SUMIF(куб!$A:$A,$G445,куб!I:I),SUMIF(куб!$A:$A,$G445,куб!I:I)))))))</f>
        <v>0</v>
      </c>
      <c r="J445" s="19" t="str">
        <f t="shared" si="147"/>
        <v>-</v>
      </c>
      <c r="K445" s="8"/>
      <c r="L445" s="17">
        <f t="shared" si="148"/>
        <v>0</v>
      </c>
      <c r="M445" s="17">
        <f t="shared" si="149"/>
        <v>0</v>
      </c>
      <c r="N445" s="12">
        <f t="shared" si="150"/>
        <v>0</v>
      </c>
      <c r="O445" s="5"/>
      <c r="P445" s="27" t="b">
        <f>IF($G445&lt;&gt;0,SUMIF(куб!$G:$G,$G445,куб!J:J),IF($E445&lt;&gt;0,SUMIF(куб!$E:$E,$E445,куб!J:J),IF($D445&lt;&gt;0,SUMIF(куб!$D:$D,$D445,куб!J:J),IF($C445&lt;&gt;0,SUMIF(куб!$C:$C,$C445,куб!J:J),IF($B445&lt;&gt;0,SUMIF(куб!$B:$B,$B445,куб!J:J))))))</f>
        <v>0</v>
      </c>
      <c r="Q445" s="27" t="b">
        <f>IF($G445&lt;&gt;0,SUMIF(куб!$G:$G,$G445,куб!K:K),IF($E445&lt;&gt;0,SUMIF(куб!$E:$E,$E445,куб!K:K),IF($D445&lt;&gt;0,SUMIF(куб!$D:$D,$D445,куб!K:K),IF($C445&lt;&gt;0,SUMIF(куб!$C:$C,$C445,куб!K:K),IF($B445&lt;&gt;0,SUMIF(куб!$B:$B,$B445,куб!K:K))))))</f>
        <v>0</v>
      </c>
      <c r="R445" s="13" t="str">
        <f t="shared" si="151"/>
        <v>-</v>
      </c>
      <c r="S445" s="5"/>
      <c r="T445" s="27" t="b">
        <f>IF($G445&lt;&gt;0,SUMIF(куб!$G:$G,$G445,куб!L:L),IF($E445&lt;&gt;0,SUMIF(куб!$E:$E,$E445,куб!L:L),IF($D445&lt;&gt;0,SUMIF(куб!$D:$D,$D445,куб!L:L),IF($C445&lt;&gt;0,SUMIF(куб!$C:$C,$C445,куб!L:L),IF($B445&lt;&gt;0,SUMIF(куб!$B:$B,$B445,куб!L:L))))))</f>
        <v>0</v>
      </c>
      <c r="U445" s="27" t="b">
        <f>IF($G445&lt;&gt;0,SUMIF(куб!$G:$G,$G445,куб!M:M),IF($E445&lt;&gt;0,SUMIF(куб!$E:$E,$E445,куб!M:M),IF($D445&lt;&gt;0,SUMIF(куб!$D:$D,$D445,куб!M:M),IF($C445&lt;&gt;0,SUMIF(куб!$C:$C,$C445,куб!M:M),IF($B445&lt;&gt;0,SUMIF(куб!$B:$B,$B445,куб!M:M))))))</f>
        <v>0</v>
      </c>
      <c r="V445" s="13" t="str">
        <f t="shared" si="152"/>
        <v>-</v>
      </c>
      <c r="W445" s="5"/>
      <c r="X445" s="27" t="b">
        <f>IF($G445&lt;&gt;0,SUMIF(куб!$G:$G,$G445,куб!N:N),IF($E445&lt;&gt;0,SUMIF(куб!$E:$E,$E445,куб!N:N),IF($D445&lt;&gt;0,SUMIF(куб!$D:$D,$D445,куб!N:N),IF($C445&lt;&gt;0,SUMIF(куб!$C:$C,$C445,куб!N:N),IF($B445&lt;&gt;0,SUMIF(куб!$B:$B,$B445,куб!N:N))))))</f>
        <v>0</v>
      </c>
      <c r="Y445" s="27" t="b">
        <f>IF($G445&lt;&gt;0,SUMIF(куб!$G:$G,$G445,куб!O:O),IF($E445&lt;&gt;0,SUMIF(куб!$E:$E,$E445,куб!O:O),IF($D445&lt;&gt;0,SUMIF(куб!$D:$D,$D445,куб!O:O),IF($C445&lt;&gt;0,SUMIF(куб!$C:$C,$C445,куб!O:O),IF($B445&lt;&gt;0,SUMIF(куб!$B:$B,$B445,куб!O:O))))))</f>
        <v>0</v>
      </c>
      <c r="Z445" s="13" t="str">
        <f t="shared" si="153"/>
        <v>-</v>
      </c>
      <c r="AA445" s="5"/>
      <c r="AB445" s="33" t="str">
        <f t="shared" si="154"/>
        <v/>
      </c>
      <c r="AC445" s="33" t="str">
        <f t="shared" si="155"/>
        <v/>
      </c>
      <c r="AD445" s="15" t="str">
        <f t="shared" si="156"/>
        <v xml:space="preserve"> </v>
      </c>
      <c r="AE445" s="5"/>
      <c r="AF445" s="27" t="b">
        <f>IF($G445&lt;&gt;0,SUMIF(куб!$G:$G,$G445,куб!R:R),IF($E445&lt;&gt;0,SUMIF(куб!$E:$E,$E445,куб!R:R),IF($D445&lt;&gt;0,SUMIF(куб!$D:$D,$D445,куб!R:R),IF($C445&lt;&gt;0,SUMIF(куб!$C:$C,$C445,куб!R:R),IF($B445&lt;&gt;0,SUMIF(куб!$B:$B,$B445,куб!R:R))))))</f>
        <v>0</v>
      </c>
      <c r="AG445" s="27" t="b">
        <f>IF($G445&lt;&gt;0,SUMIF(куб!$G:$G,$G445,куб!S:S),IF($E445&lt;&gt;0,SUMIF(куб!$E:$E,$E445,куб!S:S),IF($D445&lt;&gt;0,SUMIF(куб!$D:$D,$D445,куб!S:S),IF($C445&lt;&gt;0,SUMIF(куб!$C:$C,$C445,куб!S:S),IF($B445&lt;&gt;0,SUMIF(куб!$B:$B,$B445,куб!S:S))))))</f>
        <v>0</v>
      </c>
      <c r="AH445" s="16" t="str">
        <f t="shared" si="157"/>
        <v>-</v>
      </c>
      <c r="AI445" s="8"/>
      <c r="AJ445" s="27" t="b">
        <f>IF($G445&lt;&gt;0,SUMIF(куб!$G:$G,$G445,куб!T:T),IF($E445&lt;&gt;0,SUMIF(куб!$E:$E,$E445,куб!T:T),IF($D445&lt;&gt;0,SUMIF(куб!$D:$D,$D445,куб!T:T),IF($C445&lt;&gt;0,SUMIF(куб!$C:$C,$C445,куб!T:T),IF($B445&lt;&gt;0,SUMIF(куб!$B:$B,$B445,куб!T:T))))))</f>
        <v>0</v>
      </c>
      <c r="AK445" s="27" t="b">
        <f>IF($G445&lt;&gt;0,SUMIF(куб!$G:$G,$G445,куб!U:U),IF($E445&lt;&gt;0,SUMIF(куб!$E:$E,$E445,куб!U:U),IF($D445&lt;&gt;0,SUMIF(куб!$D:$D,$D445,куб!U:U),IF($C445&lt;&gt;0,SUMIF(куб!$C:$C,$C445,куб!U:U),IF($B445&lt;&gt;0,SUMIF(куб!$B:$B,$B445,куб!U:U))))))</f>
        <v>0</v>
      </c>
      <c r="AL445" s="16" t="str">
        <f t="shared" si="158"/>
        <v>-</v>
      </c>
      <c r="AM445" s="8"/>
      <c r="AN445" s="17" t="str">
        <f t="shared" si="159"/>
        <v xml:space="preserve"> </v>
      </c>
      <c r="AO445" s="17" t="str">
        <f t="shared" si="160"/>
        <v xml:space="preserve"> </v>
      </c>
      <c r="AP445" s="16" t="str">
        <f t="shared" si="161"/>
        <v>-</v>
      </c>
      <c r="AQ445" s="8"/>
      <c r="AR445" s="17" t="str">
        <f t="shared" si="162"/>
        <v>-</v>
      </c>
      <c r="AS445" s="17" t="str">
        <f t="shared" si="163"/>
        <v>-</v>
      </c>
      <c r="AT445" s="13" t="str">
        <f t="shared" si="164"/>
        <v>-</v>
      </c>
      <c r="AU445" s="8"/>
    </row>
    <row r="446" spans="1:47" x14ac:dyDescent="0.25">
      <c r="A446" s="31"/>
      <c r="B446" s="31"/>
      <c r="C446"/>
      <c r="D446" s="31"/>
      <c r="E446"/>
      <c r="F446" s="31"/>
      <c r="G446"/>
      <c r="H446" s="27">
        <f>IF($G446&lt;&gt;0,SUMIF(куб!$G:$G,$G446,куб!H:H),IF($E446&lt;&gt;0,SUMIF(куб!$E:$E,$E446,куб!H:H),IF($D446&lt;&gt;0,SUMIF(куб!$D:$D,$D446,куб!H:H),IF($C446&lt;&gt;0,SUMIF(куб!$C:$C,$C446,куб!H:H),IF($B446&lt;&gt;0,SUMIF(куб!$B:$B,$B446,куб!H:H),IF($G446&lt;&gt;0,SUMIF(куб!$A:$A,$G446,куб!H:H),SUMIF(куб!$A:$A,$G446,куб!H:H)))))))</f>
        <v>0</v>
      </c>
      <c r="I446" s="27">
        <f>IF($G446&lt;&gt;0,SUMIF(куб!$G:$G,$G446,куб!I:I),IF($E446&lt;&gt;0,SUMIF(куб!$E:$E,$E446,куб!I:I),IF($D446&lt;&gt;0,SUMIF(куб!$D:$D,$D446,куб!I:I),IF($C446&lt;&gt;0,SUMIF(куб!$C:$C,$C446,куб!I:I),IF($B446&lt;&gt;0,SUMIF(куб!$B:$B,$B446,куб!I:I),IF($G446&lt;&gt;0,SUMIF(куб!$A:$A,$G446,куб!I:I),SUMIF(куб!$A:$A,$G446,куб!I:I)))))))</f>
        <v>0</v>
      </c>
      <c r="J446" s="19" t="str">
        <f t="shared" si="147"/>
        <v>-</v>
      </c>
      <c r="K446" s="8"/>
      <c r="L446" s="17">
        <f t="shared" si="148"/>
        <v>0</v>
      </c>
      <c r="M446" s="17">
        <f t="shared" si="149"/>
        <v>0</v>
      </c>
      <c r="N446" s="12">
        <f t="shared" si="150"/>
        <v>0</v>
      </c>
      <c r="O446" s="5"/>
      <c r="P446" s="27" t="b">
        <f>IF($G446&lt;&gt;0,SUMIF(куб!$G:$G,$G446,куб!J:J),IF($E446&lt;&gt;0,SUMIF(куб!$E:$E,$E446,куб!J:J),IF($D446&lt;&gt;0,SUMIF(куб!$D:$D,$D446,куб!J:J),IF($C446&lt;&gt;0,SUMIF(куб!$C:$C,$C446,куб!J:J),IF($B446&lt;&gt;0,SUMIF(куб!$B:$B,$B446,куб!J:J))))))</f>
        <v>0</v>
      </c>
      <c r="Q446" s="27" t="b">
        <f>IF($G446&lt;&gt;0,SUMIF(куб!$G:$G,$G446,куб!K:K),IF($E446&lt;&gt;0,SUMIF(куб!$E:$E,$E446,куб!K:K),IF($D446&lt;&gt;0,SUMIF(куб!$D:$D,$D446,куб!K:K),IF($C446&lt;&gt;0,SUMIF(куб!$C:$C,$C446,куб!K:K),IF($B446&lt;&gt;0,SUMIF(куб!$B:$B,$B446,куб!K:K))))))</f>
        <v>0</v>
      </c>
      <c r="R446" s="13" t="str">
        <f t="shared" si="151"/>
        <v>-</v>
      </c>
      <c r="S446" s="5"/>
      <c r="T446" s="27" t="b">
        <f>IF($G446&lt;&gt;0,SUMIF(куб!$G:$G,$G446,куб!L:L),IF($E446&lt;&gt;0,SUMIF(куб!$E:$E,$E446,куб!L:L),IF($D446&lt;&gt;0,SUMIF(куб!$D:$D,$D446,куб!L:L),IF($C446&lt;&gt;0,SUMIF(куб!$C:$C,$C446,куб!L:L),IF($B446&lt;&gt;0,SUMIF(куб!$B:$B,$B446,куб!L:L))))))</f>
        <v>0</v>
      </c>
      <c r="U446" s="27" t="b">
        <f>IF($G446&lt;&gt;0,SUMIF(куб!$G:$G,$G446,куб!M:M),IF($E446&lt;&gt;0,SUMIF(куб!$E:$E,$E446,куб!M:M),IF($D446&lt;&gt;0,SUMIF(куб!$D:$D,$D446,куб!M:M),IF($C446&lt;&gt;0,SUMIF(куб!$C:$C,$C446,куб!M:M),IF($B446&lt;&gt;0,SUMIF(куб!$B:$B,$B446,куб!M:M))))))</f>
        <v>0</v>
      </c>
      <c r="V446" s="13" t="str">
        <f t="shared" si="152"/>
        <v>-</v>
      </c>
      <c r="W446" s="5"/>
      <c r="X446" s="27" t="b">
        <f>IF($G446&lt;&gt;0,SUMIF(куб!$G:$G,$G446,куб!N:N),IF($E446&lt;&gt;0,SUMIF(куб!$E:$E,$E446,куб!N:N),IF($D446&lt;&gt;0,SUMIF(куб!$D:$D,$D446,куб!N:N),IF($C446&lt;&gt;0,SUMIF(куб!$C:$C,$C446,куб!N:N),IF($B446&lt;&gt;0,SUMIF(куб!$B:$B,$B446,куб!N:N))))))</f>
        <v>0</v>
      </c>
      <c r="Y446" s="27" t="b">
        <f>IF($G446&lt;&gt;0,SUMIF(куб!$G:$G,$G446,куб!O:O),IF($E446&lt;&gt;0,SUMIF(куб!$E:$E,$E446,куб!O:O),IF($D446&lt;&gt;0,SUMIF(куб!$D:$D,$D446,куб!O:O),IF($C446&lt;&gt;0,SUMIF(куб!$C:$C,$C446,куб!O:O),IF($B446&lt;&gt;0,SUMIF(куб!$B:$B,$B446,куб!O:O))))))</f>
        <v>0</v>
      </c>
      <c r="Z446" s="13" t="str">
        <f t="shared" si="153"/>
        <v>-</v>
      </c>
      <c r="AA446" s="5"/>
      <c r="AB446" s="33" t="str">
        <f t="shared" si="154"/>
        <v/>
      </c>
      <c r="AC446" s="33" t="str">
        <f t="shared" si="155"/>
        <v/>
      </c>
      <c r="AD446" s="15" t="str">
        <f t="shared" si="156"/>
        <v xml:space="preserve"> </v>
      </c>
      <c r="AE446" s="5"/>
      <c r="AF446" s="27" t="b">
        <f>IF($G446&lt;&gt;0,SUMIF(куб!$G:$G,$G446,куб!R:R),IF($E446&lt;&gt;0,SUMIF(куб!$E:$E,$E446,куб!R:R),IF($D446&lt;&gt;0,SUMIF(куб!$D:$D,$D446,куб!R:R),IF($C446&lt;&gt;0,SUMIF(куб!$C:$C,$C446,куб!R:R),IF($B446&lt;&gt;0,SUMIF(куб!$B:$B,$B446,куб!R:R))))))</f>
        <v>0</v>
      </c>
      <c r="AG446" s="27" t="b">
        <f>IF($G446&lt;&gt;0,SUMIF(куб!$G:$G,$G446,куб!S:S),IF($E446&lt;&gt;0,SUMIF(куб!$E:$E,$E446,куб!S:S),IF($D446&lt;&gt;0,SUMIF(куб!$D:$D,$D446,куб!S:S),IF($C446&lt;&gt;0,SUMIF(куб!$C:$C,$C446,куб!S:S),IF($B446&lt;&gt;0,SUMIF(куб!$B:$B,$B446,куб!S:S))))))</f>
        <v>0</v>
      </c>
      <c r="AH446" s="16" t="str">
        <f t="shared" si="157"/>
        <v>-</v>
      </c>
      <c r="AI446" s="8"/>
      <c r="AJ446" s="27" t="b">
        <f>IF($G446&lt;&gt;0,SUMIF(куб!$G:$G,$G446,куб!T:T),IF($E446&lt;&gt;0,SUMIF(куб!$E:$E,$E446,куб!T:T),IF($D446&lt;&gt;0,SUMIF(куб!$D:$D,$D446,куб!T:T),IF($C446&lt;&gt;0,SUMIF(куб!$C:$C,$C446,куб!T:T),IF($B446&lt;&gt;0,SUMIF(куб!$B:$B,$B446,куб!T:T))))))</f>
        <v>0</v>
      </c>
      <c r="AK446" s="27" t="b">
        <f>IF($G446&lt;&gt;0,SUMIF(куб!$G:$G,$G446,куб!U:U),IF($E446&lt;&gt;0,SUMIF(куб!$E:$E,$E446,куб!U:U),IF($D446&lt;&gt;0,SUMIF(куб!$D:$D,$D446,куб!U:U),IF($C446&lt;&gt;0,SUMIF(куб!$C:$C,$C446,куб!U:U),IF($B446&lt;&gt;0,SUMIF(куб!$B:$B,$B446,куб!U:U))))))</f>
        <v>0</v>
      </c>
      <c r="AL446" s="16" t="str">
        <f t="shared" si="158"/>
        <v>-</v>
      </c>
      <c r="AM446" s="8"/>
      <c r="AN446" s="17" t="str">
        <f t="shared" si="159"/>
        <v xml:space="preserve"> </v>
      </c>
      <c r="AO446" s="17" t="str">
        <f t="shared" si="160"/>
        <v xml:space="preserve"> </v>
      </c>
      <c r="AP446" s="16" t="str">
        <f t="shared" si="161"/>
        <v>-</v>
      </c>
      <c r="AQ446" s="8"/>
      <c r="AR446" s="17" t="str">
        <f t="shared" si="162"/>
        <v>-</v>
      </c>
      <c r="AS446" s="17" t="str">
        <f t="shared" si="163"/>
        <v>-</v>
      </c>
      <c r="AT446" s="13" t="str">
        <f t="shared" si="164"/>
        <v>-</v>
      </c>
      <c r="AU446" s="8"/>
    </row>
    <row r="447" spans="1:47" x14ac:dyDescent="0.25">
      <c r="A447" s="31"/>
      <c r="B447" s="31"/>
      <c r="C447"/>
      <c r="D447" s="31"/>
      <c r="E447"/>
      <c r="F447" s="31"/>
      <c r="G447"/>
      <c r="H447" s="27">
        <f>IF($G447&lt;&gt;0,SUMIF(куб!$G:$G,$G447,куб!H:H),IF($E447&lt;&gt;0,SUMIF(куб!$E:$E,$E447,куб!H:H),IF($D447&lt;&gt;0,SUMIF(куб!$D:$D,$D447,куб!H:H),IF($C447&lt;&gt;0,SUMIF(куб!$C:$C,$C447,куб!H:H),IF($B447&lt;&gt;0,SUMIF(куб!$B:$B,$B447,куб!H:H),IF($G447&lt;&gt;0,SUMIF(куб!$A:$A,$G447,куб!H:H),SUMIF(куб!$A:$A,$G447,куб!H:H)))))))</f>
        <v>0</v>
      </c>
      <c r="I447" s="27">
        <f>IF($G447&lt;&gt;0,SUMIF(куб!$G:$G,$G447,куб!I:I),IF($E447&lt;&gt;0,SUMIF(куб!$E:$E,$E447,куб!I:I),IF($D447&lt;&gt;0,SUMIF(куб!$D:$D,$D447,куб!I:I),IF($C447&lt;&gt;0,SUMIF(куб!$C:$C,$C447,куб!I:I),IF($B447&lt;&gt;0,SUMIF(куб!$B:$B,$B447,куб!I:I),IF($G447&lt;&gt;0,SUMIF(куб!$A:$A,$G447,куб!I:I),SUMIF(куб!$A:$A,$G447,куб!I:I)))))))</f>
        <v>0</v>
      </c>
      <c r="J447" s="19" t="str">
        <f t="shared" si="147"/>
        <v>-</v>
      </c>
      <c r="K447" s="8"/>
      <c r="L447" s="17">
        <f t="shared" si="148"/>
        <v>0</v>
      </c>
      <c r="M447" s="17">
        <f t="shared" si="149"/>
        <v>0</v>
      </c>
      <c r="N447" s="12">
        <f t="shared" si="150"/>
        <v>0</v>
      </c>
      <c r="O447" s="5"/>
      <c r="P447" s="27" t="b">
        <f>IF($G447&lt;&gt;0,SUMIF(куб!$G:$G,$G447,куб!J:J),IF($E447&lt;&gt;0,SUMIF(куб!$E:$E,$E447,куб!J:J),IF($D447&lt;&gt;0,SUMIF(куб!$D:$D,$D447,куб!J:J),IF($C447&lt;&gt;0,SUMIF(куб!$C:$C,$C447,куб!J:J),IF($B447&lt;&gt;0,SUMIF(куб!$B:$B,$B447,куб!J:J))))))</f>
        <v>0</v>
      </c>
      <c r="Q447" s="27" t="b">
        <f>IF($G447&lt;&gt;0,SUMIF(куб!$G:$G,$G447,куб!K:K),IF($E447&lt;&gt;0,SUMIF(куб!$E:$E,$E447,куб!K:K),IF($D447&lt;&gt;0,SUMIF(куб!$D:$D,$D447,куб!K:K),IF($C447&lt;&gt;0,SUMIF(куб!$C:$C,$C447,куб!K:K),IF($B447&lt;&gt;0,SUMIF(куб!$B:$B,$B447,куб!K:K))))))</f>
        <v>0</v>
      </c>
      <c r="R447" s="13" t="str">
        <f t="shared" si="151"/>
        <v>-</v>
      </c>
      <c r="S447" s="5"/>
      <c r="T447" s="27" t="b">
        <f>IF($G447&lt;&gt;0,SUMIF(куб!$G:$G,$G447,куб!L:L),IF($E447&lt;&gt;0,SUMIF(куб!$E:$E,$E447,куб!L:L),IF($D447&lt;&gt;0,SUMIF(куб!$D:$D,$D447,куб!L:L),IF($C447&lt;&gt;0,SUMIF(куб!$C:$C,$C447,куб!L:L),IF($B447&lt;&gt;0,SUMIF(куб!$B:$B,$B447,куб!L:L))))))</f>
        <v>0</v>
      </c>
      <c r="U447" s="27" t="b">
        <f>IF($G447&lt;&gt;0,SUMIF(куб!$G:$G,$G447,куб!M:M),IF($E447&lt;&gt;0,SUMIF(куб!$E:$E,$E447,куб!M:M),IF($D447&lt;&gt;0,SUMIF(куб!$D:$D,$D447,куб!M:M),IF($C447&lt;&gt;0,SUMIF(куб!$C:$C,$C447,куб!M:M),IF($B447&lt;&gt;0,SUMIF(куб!$B:$B,$B447,куб!M:M))))))</f>
        <v>0</v>
      </c>
      <c r="V447" s="13" t="str">
        <f t="shared" si="152"/>
        <v>-</v>
      </c>
      <c r="W447" s="5"/>
      <c r="X447" s="27" t="b">
        <f>IF($G447&lt;&gt;0,SUMIF(куб!$G:$G,$G447,куб!N:N),IF($E447&lt;&gt;0,SUMIF(куб!$E:$E,$E447,куб!N:N),IF($D447&lt;&gt;0,SUMIF(куб!$D:$D,$D447,куб!N:N),IF($C447&lt;&gt;0,SUMIF(куб!$C:$C,$C447,куб!N:N),IF($B447&lt;&gt;0,SUMIF(куб!$B:$B,$B447,куб!N:N))))))</f>
        <v>0</v>
      </c>
      <c r="Y447" s="27" t="b">
        <f>IF($G447&lt;&gt;0,SUMIF(куб!$G:$G,$G447,куб!O:O),IF($E447&lt;&gt;0,SUMIF(куб!$E:$E,$E447,куб!O:O),IF($D447&lt;&gt;0,SUMIF(куб!$D:$D,$D447,куб!O:O),IF($C447&lt;&gt;0,SUMIF(куб!$C:$C,$C447,куб!O:O),IF($B447&lt;&gt;0,SUMIF(куб!$B:$B,$B447,куб!O:O))))))</f>
        <v>0</v>
      </c>
      <c r="Z447" s="13" t="str">
        <f t="shared" si="153"/>
        <v>-</v>
      </c>
      <c r="AA447" s="5"/>
      <c r="AB447" s="33" t="str">
        <f t="shared" si="154"/>
        <v/>
      </c>
      <c r="AC447" s="33" t="str">
        <f t="shared" si="155"/>
        <v/>
      </c>
      <c r="AD447" s="15" t="str">
        <f t="shared" si="156"/>
        <v xml:space="preserve"> </v>
      </c>
      <c r="AE447" s="5"/>
      <c r="AF447" s="27" t="b">
        <f>IF($G447&lt;&gt;0,SUMIF(куб!$G:$G,$G447,куб!R:R),IF($E447&lt;&gt;0,SUMIF(куб!$E:$E,$E447,куб!R:R),IF($D447&lt;&gt;0,SUMIF(куб!$D:$D,$D447,куб!R:R),IF($C447&lt;&gt;0,SUMIF(куб!$C:$C,$C447,куб!R:R),IF($B447&lt;&gt;0,SUMIF(куб!$B:$B,$B447,куб!R:R))))))</f>
        <v>0</v>
      </c>
      <c r="AG447" s="27" t="b">
        <f>IF($G447&lt;&gt;0,SUMIF(куб!$G:$G,$G447,куб!S:S),IF($E447&lt;&gt;0,SUMIF(куб!$E:$E,$E447,куб!S:S),IF($D447&lt;&gt;0,SUMIF(куб!$D:$D,$D447,куб!S:S),IF($C447&lt;&gt;0,SUMIF(куб!$C:$C,$C447,куб!S:S),IF($B447&lt;&gt;0,SUMIF(куб!$B:$B,$B447,куб!S:S))))))</f>
        <v>0</v>
      </c>
      <c r="AH447" s="16" t="str">
        <f t="shared" si="157"/>
        <v>-</v>
      </c>
      <c r="AI447" s="8"/>
      <c r="AJ447" s="27" t="b">
        <f>IF($G447&lt;&gt;0,SUMIF(куб!$G:$G,$G447,куб!T:T),IF($E447&lt;&gt;0,SUMIF(куб!$E:$E,$E447,куб!T:T),IF($D447&lt;&gt;0,SUMIF(куб!$D:$D,$D447,куб!T:T),IF($C447&lt;&gt;0,SUMIF(куб!$C:$C,$C447,куб!T:T),IF($B447&lt;&gt;0,SUMIF(куб!$B:$B,$B447,куб!T:T))))))</f>
        <v>0</v>
      </c>
      <c r="AK447" s="27" t="b">
        <f>IF($G447&lt;&gt;0,SUMIF(куб!$G:$G,$G447,куб!U:U),IF($E447&lt;&gt;0,SUMIF(куб!$E:$E,$E447,куб!U:U),IF($D447&lt;&gt;0,SUMIF(куб!$D:$D,$D447,куб!U:U),IF($C447&lt;&gt;0,SUMIF(куб!$C:$C,$C447,куб!U:U),IF($B447&lt;&gt;0,SUMIF(куб!$B:$B,$B447,куб!U:U))))))</f>
        <v>0</v>
      </c>
      <c r="AL447" s="16" t="str">
        <f t="shared" si="158"/>
        <v>-</v>
      </c>
      <c r="AM447" s="8"/>
      <c r="AN447" s="17" t="str">
        <f t="shared" si="159"/>
        <v xml:space="preserve"> </v>
      </c>
      <c r="AO447" s="17" t="str">
        <f t="shared" si="160"/>
        <v xml:space="preserve"> </v>
      </c>
      <c r="AP447" s="16" t="str">
        <f t="shared" si="161"/>
        <v>-</v>
      </c>
      <c r="AQ447" s="8"/>
      <c r="AR447" s="17" t="str">
        <f t="shared" si="162"/>
        <v>-</v>
      </c>
      <c r="AS447" s="17" t="str">
        <f t="shared" si="163"/>
        <v>-</v>
      </c>
      <c r="AT447" s="13" t="str">
        <f t="shared" si="164"/>
        <v>-</v>
      </c>
      <c r="AU447" s="8"/>
    </row>
    <row r="448" spans="1:47" x14ac:dyDescent="0.25">
      <c r="A448" s="31"/>
      <c r="B448" s="31"/>
      <c r="C448"/>
      <c r="D448" s="31"/>
      <c r="E448"/>
      <c r="F448" s="31"/>
      <c r="G448"/>
      <c r="H448" s="27">
        <f>IF($G448&lt;&gt;0,SUMIF(куб!$G:$G,$G448,куб!H:H),IF($E448&lt;&gt;0,SUMIF(куб!$E:$E,$E448,куб!H:H),IF($D448&lt;&gt;0,SUMIF(куб!$D:$D,$D448,куб!H:H),IF($C448&lt;&gt;0,SUMIF(куб!$C:$C,$C448,куб!H:H),IF($B448&lt;&gt;0,SUMIF(куб!$B:$B,$B448,куб!H:H),IF($G448&lt;&gt;0,SUMIF(куб!$A:$A,$G448,куб!H:H),SUMIF(куб!$A:$A,$G448,куб!H:H)))))))</f>
        <v>0</v>
      </c>
      <c r="I448" s="27">
        <f>IF($G448&lt;&gt;0,SUMIF(куб!$G:$G,$G448,куб!I:I),IF($E448&lt;&gt;0,SUMIF(куб!$E:$E,$E448,куб!I:I),IF($D448&lt;&gt;0,SUMIF(куб!$D:$D,$D448,куб!I:I),IF($C448&lt;&gt;0,SUMIF(куб!$C:$C,$C448,куб!I:I),IF($B448&lt;&gt;0,SUMIF(куб!$B:$B,$B448,куб!I:I),IF($G448&lt;&gt;0,SUMIF(куб!$A:$A,$G448,куб!I:I),SUMIF(куб!$A:$A,$G448,куб!I:I)))))))</f>
        <v>0</v>
      </c>
      <c r="J448" s="19" t="str">
        <f t="shared" si="147"/>
        <v>-</v>
      </c>
      <c r="K448" s="8"/>
      <c r="L448" s="17">
        <f t="shared" si="148"/>
        <v>0</v>
      </c>
      <c r="M448" s="17">
        <f t="shared" si="149"/>
        <v>0</v>
      </c>
      <c r="N448" s="12">
        <f t="shared" si="150"/>
        <v>0</v>
      </c>
      <c r="O448" s="5"/>
      <c r="P448" s="27" t="b">
        <f>IF($G448&lt;&gt;0,SUMIF(куб!$G:$G,$G448,куб!J:J),IF($E448&lt;&gt;0,SUMIF(куб!$E:$E,$E448,куб!J:J),IF($D448&lt;&gt;0,SUMIF(куб!$D:$D,$D448,куб!J:J),IF($C448&lt;&gt;0,SUMIF(куб!$C:$C,$C448,куб!J:J),IF($B448&lt;&gt;0,SUMIF(куб!$B:$B,$B448,куб!J:J))))))</f>
        <v>0</v>
      </c>
      <c r="Q448" s="27" t="b">
        <f>IF($G448&lt;&gt;0,SUMIF(куб!$G:$G,$G448,куб!K:K),IF($E448&lt;&gt;0,SUMIF(куб!$E:$E,$E448,куб!K:K),IF($D448&lt;&gt;0,SUMIF(куб!$D:$D,$D448,куб!K:K),IF($C448&lt;&gt;0,SUMIF(куб!$C:$C,$C448,куб!K:K),IF($B448&lt;&gt;0,SUMIF(куб!$B:$B,$B448,куб!K:K))))))</f>
        <v>0</v>
      </c>
      <c r="R448" s="13" t="str">
        <f t="shared" si="151"/>
        <v>-</v>
      </c>
      <c r="S448" s="5"/>
      <c r="T448" s="27" t="b">
        <f>IF($G448&lt;&gt;0,SUMIF(куб!$G:$G,$G448,куб!L:L),IF($E448&lt;&gt;0,SUMIF(куб!$E:$E,$E448,куб!L:L),IF($D448&lt;&gt;0,SUMIF(куб!$D:$D,$D448,куб!L:L),IF($C448&lt;&gt;0,SUMIF(куб!$C:$C,$C448,куб!L:L),IF($B448&lt;&gt;0,SUMIF(куб!$B:$B,$B448,куб!L:L))))))</f>
        <v>0</v>
      </c>
      <c r="U448" s="27" t="b">
        <f>IF($G448&lt;&gt;0,SUMIF(куб!$G:$G,$G448,куб!M:M),IF($E448&lt;&gt;0,SUMIF(куб!$E:$E,$E448,куб!M:M),IF($D448&lt;&gt;0,SUMIF(куб!$D:$D,$D448,куб!M:M),IF($C448&lt;&gt;0,SUMIF(куб!$C:$C,$C448,куб!M:M),IF($B448&lt;&gt;0,SUMIF(куб!$B:$B,$B448,куб!M:M))))))</f>
        <v>0</v>
      </c>
      <c r="V448" s="13" t="str">
        <f t="shared" si="152"/>
        <v>-</v>
      </c>
      <c r="W448" s="5"/>
      <c r="X448" s="27" t="b">
        <f>IF($G448&lt;&gt;0,SUMIF(куб!$G:$G,$G448,куб!N:N),IF($E448&lt;&gt;0,SUMIF(куб!$E:$E,$E448,куб!N:N),IF($D448&lt;&gt;0,SUMIF(куб!$D:$D,$D448,куб!N:N),IF($C448&lt;&gt;0,SUMIF(куб!$C:$C,$C448,куб!N:N),IF($B448&lt;&gt;0,SUMIF(куб!$B:$B,$B448,куб!N:N))))))</f>
        <v>0</v>
      </c>
      <c r="Y448" s="27" t="b">
        <f>IF($G448&lt;&gt;0,SUMIF(куб!$G:$G,$G448,куб!O:O),IF($E448&lt;&gt;0,SUMIF(куб!$E:$E,$E448,куб!O:O),IF($D448&lt;&gt;0,SUMIF(куб!$D:$D,$D448,куб!O:O),IF($C448&lt;&gt;0,SUMIF(куб!$C:$C,$C448,куб!O:O),IF($B448&lt;&gt;0,SUMIF(куб!$B:$B,$B448,куб!O:O))))))</f>
        <v>0</v>
      </c>
      <c r="Z448" s="13" t="str">
        <f t="shared" si="153"/>
        <v>-</v>
      </c>
      <c r="AA448" s="5"/>
      <c r="AB448" s="33" t="str">
        <f t="shared" si="154"/>
        <v/>
      </c>
      <c r="AC448" s="33" t="str">
        <f t="shared" si="155"/>
        <v/>
      </c>
      <c r="AD448" s="15" t="str">
        <f t="shared" si="156"/>
        <v xml:space="preserve"> </v>
      </c>
      <c r="AE448" s="5"/>
      <c r="AF448" s="27" t="b">
        <f>IF($G448&lt;&gt;0,SUMIF(куб!$G:$G,$G448,куб!R:R),IF($E448&lt;&gt;0,SUMIF(куб!$E:$E,$E448,куб!R:R),IF($D448&lt;&gt;0,SUMIF(куб!$D:$D,$D448,куб!R:R),IF($C448&lt;&gt;0,SUMIF(куб!$C:$C,$C448,куб!R:R),IF($B448&lt;&gt;0,SUMIF(куб!$B:$B,$B448,куб!R:R))))))</f>
        <v>0</v>
      </c>
      <c r="AG448" s="27" t="b">
        <f>IF($G448&lt;&gt;0,SUMIF(куб!$G:$G,$G448,куб!S:S),IF($E448&lt;&gt;0,SUMIF(куб!$E:$E,$E448,куб!S:S),IF($D448&lt;&gt;0,SUMIF(куб!$D:$D,$D448,куб!S:S),IF($C448&lt;&gt;0,SUMIF(куб!$C:$C,$C448,куб!S:S),IF($B448&lt;&gt;0,SUMIF(куб!$B:$B,$B448,куб!S:S))))))</f>
        <v>0</v>
      </c>
      <c r="AH448" s="16" t="str">
        <f t="shared" si="157"/>
        <v>-</v>
      </c>
      <c r="AI448" s="8"/>
      <c r="AJ448" s="27" t="b">
        <f>IF($G448&lt;&gt;0,SUMIF(куб!$G:$G,$G448,куб!T:T),IF($E448&lt;&gt;0,SUMIF(куб!$E:$E,$E448,куб!T:T),IF($D448&lt;&gt;0,SUMIF(куб!$D:$D,$D448,куб!T:T),IF($C448&lt;&gt;0,SUMIF(куб!$C:$C,$C448,куб!T:T),IF($B448&lt;&gt;0,SUMIF(куб!$B:$B,$B448,куб!T:T))))))</f>
        <v>0</v>
      </c>
      <c r="AK448" s="27" t="b">
        <f>IF($G448&lt;&gt;0,SUMIF(куб!$G:$G,$G448,куб!U:U),IF($E448&lt;&gt;0,SUMIF(куб!$E:$E,$E448,куб!U:U),IF($D448&lt;&gt;0,SUMIF(куб!$D:$D,$D448,куб!U:U),IF($C448&lt;&gt;0,SUMIF(куб!$C:$C,$C448,куб!U:U),IF($B448&lt;&gt;0,SUMIF(куб!$B:$B,$B448,куб!U:U))))))</f>
        <v>0</v>
      </c>
      <c r="AL448" s="16" t="str">
        <f t="shared" si="158"/>
        <v>-</v>
      </c>
      <c r="AM448" s="8"/>
      <c r="AN448" s="17" t="str">
        <f t="shared" si="159"/>
        <v xml:space="preserve"> </v>
      </c>
      <c r="AO448" s="17" t="str">
        <f t="shared" si="160"/>
        <v xml:space="preserve"> </v>
      </c>
      <c r="AP448" s="16" t="str">
        <f t="shared" si="161"/>
        <v>-</v>
      </c>
      <c r="AQ448" s="8"/>
      <c r="AR448" s="17" t="str">
        <f t="shared" si="162"/>
        <v>-</v>
      </c>
      <c r="AS448" s="17" t="str">
        <f t="shared" si="163"/>
        <v>-</v>
      </c>
      <c r="AT448" s="13" t="str">
        <f t="shared" si="164"/>
        <v>-</v>
      </c>
      <c r="AU448" s="8"/>
    </row>
    <row r="449" spans="1:47" x14ac:dyDescent="0.25">
      <c r="A449" s="31"/>
      <c r="B449" s="31"/>
      <c r="C449"/>
      <c r="D449" s="31"/>
      <c r="E449"/>
      <c r="F449"/>
      <c r="G449"/>
      <c r="H449" s="27">
        <f>IF($G449&lt;&gt;0,SUMIF(куб!$G:$G,$G449,куб!H:H),IF($E449&lt;&gt;0,SUMIF(куб!$E:$E,$E449,куб!H:H),IF($D449&lt;&gt;0,SUMIF(куб!$D:$D,$D449,куб!H:H),IF($C449&lt;&gt;0,SUMIF(куб!$C:$C,$C449,куб!H:H),IF($B449&lt;&gt;0,SUMIF(куб!$B:$B,$B449,куб!H:H),IF($G449&lt;&gt;0,SUMIF(куб!$A:$A,$G449,куб!H:H),SUMIF(куб!$A:$A,$G449,куб!H:H)))))))</f>
        <v>0</v>
      </c>
      <c r="I449" s="27">
        <f>IF($G449&lt;&gt;0,SUMIF(куб!$G:$G,$G449,куб!I:I),IF($E449&lt;&gt;0,SUMIF(куб!$E:$E,$E449,куб!I:I),IF($D449&lt;&gt;0,SUMIF(куб!$D:$D,$D449,куб!I:I),IF($C449&lt;&gt;0,SUMIF(куб!$C:$C,$C449,куб!I:I),IF($B449&lt;&gt;0,SUMIF(куб!$B:$B,$B449,куб!I:I),IF($G449&lt;&gt;0,SUMIF(куб!$A:$A,$G449,куб!I:I),SUMIF(куб!$A:$A,$G449,куб!I:I)))))))</f>
        <v>0</v>
      </c>
      <c r="J449" s="19" t="str">
        <f t="shared" si="147"/>
        <v>-</v>
      </c>
      <c r="K449" s="8"/>
      <c r="L449" s="17">
        <f t="shared" si="148"/>
        <v>0</v>
      </c>
      <c r="M449" s="17">
        <f t="shared" si="149"/>
        <v>0</v>
      </c>
      <c r="N449" s="12">
        <f t="shared" si="150"/>
        <v>0</v>
      </c>
      <c r="O449" s="5"/>
      <c r="P449" s="27" t="b">
        <f>IF($G449&lt;&gt;0,SUMIF(куб!$G:$G,$G449,куб!J:J),IF($E449&lt;&gt;0,SUMIF(куб!$E:$E,$E449,куб!J:J),IF($D449&lt;&gt;0,SUMIF(куб!$D:$D,$D449,куб!J:J),IF($C449&lt;&gt;0,SUMIF(куб!$C:$C,$C449,куб!J:J),IF($B449&lt;&gt;0,SUMIF(куб!$B:$B,$B449,куб!J:J))))))</f>
        <v>0</v>
      </c>
      <c r="Q449" s="27" t="b">
        <f>IF($G449&lt;&gt;0,SUMIF(куб!$G:$G,$G449,куб!K:K),IF($E449&lt;&gt;0,SUMIF(куб!$E:$E,$E449,куб!K:K),IF($D449&lt;&gt;0,SUMIF(куб!$D:$D,$D449,куб!K:K),IF($C449&lt;&gt;0,SUMIF(куб!$C:$C,$C449,куб!K:K),IF($B449&lt;&gt;0,SUMIF(куб!$B:$B,$B449,куб!K:K))))))</f>
        <v>0</v>
      </c>
      <c r="R449" s="13" t="str">
        <f t="shared" si="151"/>
        <v>-</v>
      </c>
      <c r="S449" s="5"/>
      <c r="T449" s="27" t="b">
        <f>IF($G449&lt;&gt;0,SUMIF(куб!$G:$G,$G449,куб!L:L),IF($E449&lt;&gt;0,SUMIF(куб!$E:$E,$E449,куб!L:L),IF($D449&lt;&gt;0,SUMIF(куб!$D:$D,$D449,куб!L:L),IF($C449&lt;&gt;0,SUMIF(куб!$C:$C,$C449,куб!L:L),IF($B449&lt;&gt;0,SUMIF(куб!$B:$B,$B449,куб!L:L))))))</f>
        <v>0</v>
      </c>
      <c r="U449" s="27" t="b">
        <f>IF($G449&lt;&gt;0,SUMIF(куб!$G:$G,$G449,куб!M:M),IF($E449&lt;&gt;0,SUMIF(куб!$E:$E,$E449,куб!M:M),IF($D449&lt;&gt;0,SUMIF(куб!$D:$D,$D449,куб!M:M),IF($C449&lt;&gt;0,SUMIF(куб!$C:$C,$C449,куб!M:M),IF($B449&lt;&gt;0,SUMIF(куб!$B:$B,$B449,куб!M:M))))))</f>
        <v>0</v>
      </c>
      <c r="V449" s="13" t="str">
        <f t="shared" si="152"/>
        <v>-</v>
      </c>
      <c r="W449" s="5"/>
      <c r="X449" s="27" t="b">
        <f>IF($G449&lt;&gt;0,SUMIF(куб!$G:$G,$G449,куб!N:N),IF($E449&lt;&gt;0,SUMIF(куб!$E:$E,$E449,куб!N:N),IF($D449&lt;&gt;0,SUMIF(куб!$D:$D,$D449,куб!N:N),IF($C449&lt;&gt;0,SUMIF(куб!$C:$C,$C449,куб!N:N),IF($B449&lt;&gt;0,SUMIF(куб!$B:$B,$B449,куб!N:N))))))</f>
        <v>0</v>
      </c>
      <c r="Y449" s="27" t="b">
        <f>IF($G449&lt;&gt;0,SUMIF(куб!$G:$G,$G449,куб!O:O),IF($E449&lt;&gt;0,SUMIF(куб!$E:$E,$E449,куб!O:O),IF($D449&lt;&gt;0,SUMIF(куб!$D:$D,$D449,куб!O:O),IF($C449&lt;&gt;0,SUMIF(куб!$C:$C,$C449,куб!O:O),IF($B449&lt;&gt;0,SUMIF(куб!$B:$B,$B449,куб!O:O))))))</f>
        <v>0</v>
      </c>
      <c r="Z449" s="13" t="str">
        <f t="shared" si="153"/>
        <v>-</v>
      </c>
      <c r="AA449" s="5"/>
      <c r="AB449" s="33" t="str">
        <f t="shared" si="154"/>
        <v/>
      </c>
      <c r="AC449" s="33" t="str">
        <f t="shared" si="155"/>
        <v/>
      </c>
      <c r="AD449" s="15" t="str">
        <f t="shared" si="156"/>
        <v xml:space="preserve"> </v>
      </c>
      <c r="AE449" s="5"/>
      <c r="AF449" s="27" t="b">
        <f>IF($G449&lt;&gt;0,SUMIF(куб!$G:$G,$G449,куб!R:R),IF($E449&lt;&gt;0,SUMIF(куб!$E:$E,$E449,куб!R:R),IF($D449&lt;&gt;0,SUMIF(куб!$D:$D,$D449,куб!R:R),IF($C449&lt;&gt;0,SUMIF(куб!$C:$C,$C449,куб!R:R),IF($B449&lt;&gt;0,SUMIF(куб!$B:$B,$B449,куб!R:R))))))</f>
        <v>0</v>
      </c>
      <c r="AG449" s="27" t="b">
        <f>IF($G449&lt;&gt;0,SUMIF(куб!$G:$G,$G449,куб!S:S),IF($E449&lt;&gt;0,SUMIF(куб!$E:$E,$E449,куб!S:S),IF($D449&lt;&gt;0,SUMIF(куб!$D:$D,$D449,куб!S:S),IF($C449&lt;&gt;0,SUMIF(куб!$C:$C,$C449,куб!S:S),IF($B449&lt;&gt;0,SUMIF(куб!$B:$B,$B449,куб!S:S))))))</f>
        <v>0</v>
      </c>
      <c r="AH449" s="16" t="str">
        <f t="shared" si="157"/>
        <v>-</v>
      </c>
      <c r="AI449" s="8"/>
      <c r="AJ449" s="27" t="b">
        <f>IF($G449&lt;&gt;0,SUMIF(куб!$G:$G,$G449,куб!T:T),IF($E449&lt;&gt;0,SUMIF(куб!$E:$E,$E449,куб!T:T),IF($D449&lt;&gt;0,SUMIF(куб!$D:$D,$D449,куб!T:T),IF($C449&lt;&gt;0,SUMIF(куб!$C:$C,$C449,куб!T:T),IF($B449&lt;&gt;0,SUMIF(куб!$B:$B,$B449,куб!T:T))))))</f>
        <v>0</v>
      </c>
      <c r="AK449" s="27" t="b">
        <f>IF($G449&lt;&gt;0,SUMIF(куб!$G:$G,$G449,куб!U:U),IF($E449&lt;&gt;0,SUMIF(куб!$E:$E,$E449,куб!U:U),IF($D449&lt;&gt;0,SUMIF(куб!$D:$D,$D449,куб!U:U),IF($C449&lt;&gt;0,SUMIF(куб!$C:$C,$C449,куб!U:U),IF($B449&lt;&gt;0,SUMIF(куб!$B:$B,$B449,куб!U:U))))))</f>
        <v>0</v>
      </c>
      <c r="AL449" s="16" t="str">
        <f t="shared" si="158"/>
        <v>-</v>
      </c>
      <c r="AM449" s="8"/>
      <c r="AN449" s="17" t="str">
        <f t="shared" si="159"/>
        <v xml:space="preserve"> </v>
      </c>
      <c r="AO449" s="17" t="str">
        <f t="shared" si="160"/>
        <v xml:space="preserve"> </v>
      </c>
      <c r="AP449" s="16" t="str">
        <f t="shared" si="161"/>
        <v>-</v>
      </c>
      <c r="AQ449" s="8"/>
      <c r="AR449" s="17" t="str">
        <f t="shared" si="162"/>
        <v>-</v>
      </c>
      <c r="AS449" s="17" t="str">
        <f t="shared" si="163"/>
        <v>-</v>
      </c>
      <c r="AT449" s="13" t="str">
        <f t="shared" si="164"/>
        <v>-</v>
      </c>
      <c r="AU449" s="8"/>
    </row>
    <row r="450" spans="1:47" x14ac:dyDescent="0.25">
      <c r="A450" s="31"/>
      <c r="B450" s="31"/>
      <c r="C450"/>
      <c r="D450" s="31"/>
      <c r="E450" s="31"/>
      <c r="F450" s="31"/>
      <c r="G450" s="31"/>
      <c r="H450" s="27">
        <f>IF($G450&lt;&gt;0,SUMIF(куб!$G:$G,$G450,куб!H:H),IF($E450&lt;&gt;0,SUMIF(куб!$E:$E,$E450,куб!H:H),IF($D450&lt;&gt;0,SUMIF(куб!$D:$D,$D450,куб!H:H),IF($C450&lt;&gt;0,SUMIF(куб!$C:$C,$C450,куб!H:H),IF($B450&lt;&gt;0,SUMIF(куб!$B:$B,$B450,куб!H:H),IF($G450&lt;&gt;0,SUMIF(куб!$A:$A,$G450,куб!H:H),SUMIF(куб!$A:$A,$G450,куб!H:H)))))))</f>
        <v>0</v>
      </c>
      <c r="I450" s="27">
        <f>IF($G450&lt;&gt;0,SUMIF(куб!$G:$G,$G450,куб!I:I),IF($E450&lt;&gt;0,SUMIF(куб!$E:$E,$E450,куб!I:I),IF($D450&lt;&gt;0,SUMIF(куб!$D:$D,$D450,куб!I:I),IF($C450&lt;&gt;0,SUMIF(куб!$C:$C,$C450,куб!I:I),IF($B450&lt;&gt;0,SUMIF(куб!$B:$B,$B450,куб!I:I),IF($G450&lt;&gt;0,SUMIF(куб!$A:$A,$G450,куб!I:I),SUMIF(куб!$A:$A,$G450,куб!I:I)))))))</f>
        <v>0</v>
      </c>
      <c r="J450" s="19" t="str">
        <f t="shared" si="147"/>
        <v>-</v>
      </c>
      <c r="K450" s="8"/>
      <c r="L450" s="17">
        <f t="shared" si="148"/>
        <v>0</v>
      </c>
      <c r="M450" s="17">
        <f t="shared" si="149"/>
        <v>0</v>
      </c>
      <c r="N450" s="12">
        <f t="shared" si="150"/>
        <v>0</v>
      </c>
      <c r="O450" s="5"/>
      <c r="P450" s="27" t="b">
        <f>IF($G450&lt;&gt;0,SUMIF(куб!$G:$G,$G450,куб!J:J),IF($E450&lt;&gt;0,SUMIF(куб!$E:$E,$E450,куб!J:J),IF($D450&lt;&gt;0,SUMIF(куб!$D:$D,$D450,куб!J:J),IF($C450&lt;&gt;0,SUMIF(куб!$C:$C,$C450,куб!J:J),IF($B450&lt;&gt;0,SUMIF(куб!$B:$B,$B450,куб!J:J))))))</f>
        <v>0</v>
      </c>
      <c r="Q450" s="27" t="b">
        <f>IF($G450&lt;&gt;0,SUMIF(куб!$G:$G,$G450,куб!K:K),IF($E450&lt;&gt;0,SUMIF(куб!$E:$E,$E450,куб!K:K),IF($D450&lt;&gt;0,SUMIF(куб!$D:$D,$D450,куб!K:K),IF($C450&lt;&gt;0,SUMIF(куб!$C:$C,$C450,куб!K:K),IF($B450&lt;&gt;0,SUMIF(куб!$B:$B,$B450,куб!K:K))))))</f>
        <v>0</v>
      </c>
      <c r="R450" s="13" t="str">
        <f t="shared" si="151"/>
        <v>-</v>
      </c>
      <c r="S450" s="5"/>
      <c r="T450" s="27" t="b">
        <f>IF($G450&lt;&gt;0,SUMIF(куб!$G:$G,$G450,куб!L:L),IF($E450&lt;&gt;0,SUMIF(куб!$E:$E,$E450,куб!L:L),IF($D450&lt;&gt;0,SUMIF(куб!$D:$D,$D450,куб!L:L),IF($C450&lt;&gt;0,SUMIF(куб!$C:$C,$C450,куб!L:L),IF($B450&lt;&gt;0,SUMIF(куб!$B:$B,$B450,куб!L:L))))))</f>
        <v>0</v>
      </c>
      <c r="U450" s="27" t="b">
        <f>IF($G450&lt;&gt;0,SUMIF(куб!$G:$G,$G450,куб!M:M),IF($E450&lt;&gt;0,SUMIF(куб!$E:$E,$E450,куб!M:M),IF($D450&lt;&gt;0,SUMIF(куб!$D:$D,$D450,куб!M:M),IF($C450&lt;&gt;0,SUMIF(куб!$C:$C,$C450,куб!M:M),IF($B450&lt;&gt;0,SUMIF(куб!$B:$B,$B450,куб!M:M))))))</f>
        <v>0</v>
      </c>
      <c r="V450" s="13" t="str">
        <f t="shared" si="152"/>
        <v>-</v>
      </c>
      <c r="W450" s="5"/>
      <c r="X450" s="27" t="b">
        <f>IF($G450&lt;&gt;0,SUMIF(куб!$G:$G,$G450,куб!N:N),IF($E450&lt;&gt;0,SUMIF(куб!$E:$E,$E450,куб!N:N),IF($D450&lt;&gt;0,SUMIF(куб!$D:$D,$D450,куб!N:N),IF($C450&lt;&gt;0,SUMIF(куб!$C:$C,$C450,куб!N:N),IF($B450&lt;&gt;0,SUMIF(куб!$B:$B,$B450,куб!N:N))))))</f>
        <v>0</v>
      </c>
      <c r="Y450" s="27" t="b">
        <f>IF($G450&lt;&gt;0,SUMIF(куб!$G:$G,$G450,куб!O:O),IF($E450&lt;&gt;0,SUMIF(куб!$E:$E,$E450,куб!O:O),IF($D450&lt;&gt;0,SUMIF(куб!$D:$D,$D450,куб!O:O),IF($C450&lt;&gt;0,SUMIF(куб!$C:$C,$C450,куб!O:O),IF($B450&lt;&gt;0,SUMIF(куб!$B:$B,$B450,куб!O:O))))))</f>
        <v>0</v>
      </c>
      <c r="Z450" s="13" t="str">
        <f t="shared" si="153"/>
        <v>-</v>
      </c>
      <c r="AA450" s="5"/>
      <c r="AB450" s="33" t="str">
        <f t="shared" si="154"/>
        <v/>
      </c>
      <c r="AC450" s="33" t="str">
        <f t="shared" si="155"/>
        <v/>
      </c>
      <c r="AD450" s="15" t="str">
        <f t="shared" si="156"/>
        <v xml:space="preserve"> </v>
      </c>
      <c r="AE450" s="5"/>
      <c r="AF450" s="27" t="b">
        <f>IF($G450&lt;&gt;0,SUMIF(куб!$G:$G,$G450,куб!R:R),IF($E450&lt;&gt;0,SUMIF(куб!$E:$E,$E450,куб!R:R),IF($D450&lt;&gt;0,SUMIF(куб!$D:$D,$D450,куб!R:R),IF($C450&lt;&gt;0,SUMIF(куб!$C:$C,$C450,куб!R:R),IF($B450&lt;&gt;0,SUMIF(куб!$B:$B,$B450,куб!R:R))))))</f>
        <v>0</v>
      </c>
      <c r="AG450" s="27" t="b">
        <f>IF($G450&lt;&gt;0,SUMIF(куб!$G:$G,$G450,куб!S:S),IF($E450&lt;&gt;0,SUMIF(куб!$E:$E,$E450,куб!S:S),IF($D450&lt;&gt;0,SUMIF(куб!$D:$D,$D450,куб!S:S),IF($C450&lt;&gt;0,SUMIF(куб!$C:$C,$C450,куб!S:S),IF($B450&lt;&gt;0,SUMIF(куб!$B:$B,$B450,куб!S:S))))))</f>
        <v>0</v>
      </c>
      <c r="AH450" s="16" t="str">
        <f t="shared" si="157"/>
        <v>-</v>
      </c>
      <c r="AI450" s="8"/>
      <c r="AJ450" s="27" t="b">
        <f>IF($G450&lt;&gt;0,SUMIF(куб!$G:$G,$G450,куб!T:T),IF($E450&lt;&gt;0,SUMIF(куб!$E:$E,$E450,куб!T:T),IF($D450&lt;&gt;0,SUMIF(куб!$D:$D,$D450,куб!T:T),IF($C450&lt;&gt;0,SUMIF(куб!$C:$C,$C450,куб!T:T),IF($B450&lt;&gt;0,SUMIF(куб!$B:$B,$B450,куб!T:T))))))</f>
        <v>0</v>
      </c>
      <c r="AK450" s="27" t="b">
        <f>IF($G450&lt;&gt;0,SUMIF(куб!$G:$G,$G450,куб!U:U),IF($E450&lt;&gt;0,SUMIF(куб!$E:$E,$E450,куб!U:U),IF($D450&lt;&gt;0,SUMIF(куб!$D:$D,$D450,куб!U:U),IF($C450&lt;&gt;0,SUMIF(куб!$C:$C,$C450,куб!U:U),IF($B450&lt;&gt;0,SUMIF(куб!$B:$B,$B450,куб!U:U))))))</f>
        <v>0</v>
      </c>
      <c r="AL450" s="16" t="str">
        <f t="shared" si="158"/>
        <v>-</v>
      </c>
      <c r="AM450" s="8"/>
      <c r="AN450" s="17" t="str">
        <f t="shared" si="159"/>
        <v xml:space="preserve"> </v>
      </c>
      <c r="AO450" s="17" t="str">
        <f t="shared" si="160"/>
        <v xml:space="preserve"> </v>
      </c>
      <c r="AP450" s="16" t="str">
        <f t="shared" si="161"/>
        <v>-</v>
      </c>
      <c r="AQ450" s="8"/>
      <c r="AR450" s="17" t="str">
        <f t="shared" si="162"/>
        <v>-</v>
      </c>
      <c r="AS450" s="17" t="str">
        <f t="shared" si="163"/>
        <v>-</v>
      </c>
      <c r="AT450" s="13" t="str">
        <f t="shared" si="164"/>
        <v>-</v>
      </c>
      <c r="AU450" s="8"/>
    </row>
    <row r="451" spans="1:47" x14ac:dyDescent="0.25">
      <c r="A451" s="31"/>
      <c r="B451" s="31"/>
      <c r="C451"/>
      <c r="D451" s="31"/>
      <c r="E451"/>
      <c r="F451" s="31"/>
      <c r="G451"/>
      <c r="H451" s="27">
        <f>IF($G451&lt;&gt;0,SUMIF(куб!$G:$G,$G451,куб!H:H),IF($E451&lt;&gt;0,SUMIF(куб!$E:$E,$E451,куб!H:H),IF($D451&lt;&gt;0,SUMIF(куб!$D:$D,$D451,куб!H:H),IF($C451&lt;&gt;0,SUMIF(куб!$C:$C,$C451,куб!H:H),IF($B451&lt;&gt;0,SUMIF(куб!$B:$B,$B451,куб!H:H),IF($G451&lt;&gt;0,SUMIF(куб!$A:$A,$G451,куб!H:H),SUMIF(куб!$A:$A,$G451,куб!H:H)))))))</f>
        <v>0</v>
      </c>
      <c r="I451" s="27">
        <f>IF($G451&lt;&gt;0,SUMIF(куб!$G:$G,$G451,куб!I:I),IF($E451&lt;&gt;0,SUMIF(куб!$E:$E,$E451,куб!I:I),IF($D451&lt;&gt;0,SUMIF(куб!$D:$D,$D451,куб!I:I),IF($C451&lt;&gt;0,SUMIF(куб!$C:$C,$C451,куб!I:I),IF($B451&lt;&gt;0,SUMIF(куб!$B:$B,$B451,куб!I:I),IF($G451&lt;&gt;0,SUMIF(куб!$A:$A,$G451,куб!I:I),SUMIF(куб!$A:$A,$G451,куб!I:I)))))))</f>
        <v>0</v>
      </c>
      <c r="J451" s="19" t="str">
        <f t="shared" si="147"/>
        <v>-</v>
      </c>
      <c r="K451" s="8"/>
      <c r="L451" s="17">
        <f t="shared" si="148"/>
        <v>0</v>
      </c>
      <c r="M451" s="17">
        <f t="shared" si="149"/>
        <v>0</v>
      </c>
      <c r="N451" s="12">
        <f t="shared" si="150"/>
        <v>0</v>
      </c>
      <c r="O451" s="5"/>
      <c r="P451" s="27" t="b">
        <f>IF($G451&lt;&gt;0,SUMIF(куб!$G:$G,$G451,куб!J:J),IF($E451&lt;&gt;0,SUMIF(куб!$E:$E,$E451,куб!J:J),IF($D451&lt;&gt;0,SUMIF(куб!$D:$D,$D451,куб!J:J),IF($C451&lt;&gt;0,SUMIF(куб!$C:$C,$C451,куб!J:J),IF($B451&lt;&gt;0,SUMIF(куб!$B:$B,$B451,куб!J:J))))))</f>
        <v>0</v>
      </c>
      <c r="Q451" s="27" t="b">
        <f>IF($G451&lt;&gt;0,SUMIF(куб!$G:$G,$G451,куб!K:K),IF($E451&lt;&gt;0,SUMIF(куб!$E:$E,$E451,куб!K:K),IF($D451&lt;&gt;0,SUMIF(куб!$D:$D,$D451,куб!K:K),IF($C451&lt;&gt;0,SUMIF(куб!$C:$C,$C451,куб!K:K),IF($B451&lt;&gt;0,SUMIF(куб!$B:$B,$B451,куб!K:K))))))</f>
        <v>0</v>
      </c>
      <c r="R451" s="13" t="str">
        <f t="shared" si="151"/>
        <v>-</v>
      </c>
      <c r="S451" s="5"/>
      <c r="T451" s="27" t="b">
        <f>IF($G451&lt;&gt;0,SUMIF(куб!$G:$G,$G451,куб!L:L),IF($E451&lt;&gt;0,SUMIF(куб!$E:$E,$E451,куб!L:L),IF($D451&lt;&gt;0,SUMIF(куб!$D:$D,$D451,куб!L:L),IF($C451&lt;&gt;0,SUMIF(куб!$C:$C,$C451,куб!L:L),IF($B451&lt;&gt;0,SUMIF(куб!$B:$B,$B451,куб!L:L))))))</f>
        <v>0</v>
      </c>
      <c r="U451" s="27" t="b">
        <f>IF($G451&lt;&gt;0,SUMIF(куб!$G:$G,$G451,куб!M:M),IF($E451&lt;&gt;0,SUMIF(куб!$E:$E,$E451,куб!M:M),IF($D451&lt;&gt;0,SUMIF(куб!$D:$D,$D451,куб!M:M),IF($C451&lt;&gt;0,SUMIF(куб!$C:$C,$C451,куб!M:M),IF($B451&lt;&gt;0,SUMIF(куб!$B:$B,$B451,куб!M:M))))))</f>
        <v>0</v>
      </c>
      <c r="V451" s="13" t="str">
        <f t="shared" si="152"/>
        <v>-</v>
      </c>
      <c r="W451" s="5"/>
      <c r="X451" s="27" t="b">
        <f>IF($G451&lt;&gt;0,SUMIF(куб!$G:$G,$G451,куб!N:N),IF($E451&lt;&gt;0,SUMIF(куб!$E:$E,$E451,куб!N:N),IF($D451&lt;&gt;0,SUMIF(куб!$D:$D,$D451,куб!N:N),IF($C451&lt;&gt;0,SUMIF(куб!$C:$C,$C451,куб!N:N),IF($B451&lt;&gt;0,SUMIF(куб!$B:$B,$B451,куб!N:N))))))</f>
        <v>0</v>
      </c>
      <c r="Y451" s="27" t="b">
        <f>IF($G451&lt;&gt;0,SUMIF(куб!$G:$G,$G451,куб!O:O),IF($E451&lt;&gt;0,SUMIF(куб!$E:$E,$E451,куб!O:O),IF($D451&lt;&gt;0,SUMIF(куб!$D:$D,$D451,куб!O:O),IF($C451&lt;&gt;0,SUMIF(куб!$C:$C,$C451,куб!O:O),IF($B451&lt;&gt;0,SUMIF(куб!$B:$B,$B451,куб!O:O))))))</f>
        <v>0</v>
      </c>
      <c r="Z451" s="13" t="str">
        <f t="shared" si="153"/>
        <v>-</v>
      </c>
      <c r="AA451" s="5"/>
      <c r="AB451" s="33" t="str">
        <f t="shared" si="154"/>
        <v/>
      </c>
      <c r="AC451" s="33" t="str">
        <f t="shared" si="155"/>
        <v/>
      </c>
      <c r="AD451" s="15" t="str">
        <f t="shared" si="156"/>
        <v xml:space="preserve"> </v>
      </c>
      <c r="AE451" s="5"/>
      <c r="AF451" s="27" t="b">
        <f>IF($G451&lt;&gt;0,SUMIF(куб!$G:$G,$G451,куб!R:R),IF($E451&lt;&gt;0,SUMIF(куб!$E:$E,$E451,куб!R:R),IF($D451&lt;&gt;0,SUMIF(куб!$D:$D,$D451,куб!R:R),IF($C451&lt;&gt;0,SUMIF(куб!$C:$C,$C451,куб!R:R),IF($B451&lt;&gt;0,SUMIF(куб!$B:$B,$B451,куб!R:R))))))</f>
        <v>0</v>
      </c>
      <c r="AG451" s="27" t="b">
        <f>IF($G451&lt;&gt;0,SUMIF(куб!$G:$G,$G451,куб!S:S),IF($E451&lt;&gt;0,SUMIF(куб!$E:$E,$E451,куб!S:S),IF($D451&lt;&gt;0,SUMIF(куб!$D:$D,$D451,куб!S:S),IF($C451&lt;&gt;0,SUMIF(куб!$C:$C,$C451,куб!S:S),IF($B451&lt;&gt;0,SUMIF(куб!$B:$B,$B451,куб!S:S))))))</f>
        <v>0</v>
      </c>
      <c r="AH451" s="16" t="str">
        <f t="shared" si="157"/>
        <v>-</v>
      </c>
      <c r="AI451" s="8"/>
      <c r="AJ451" s="27" t="b">
        <f>IF($G451&lt;&gt;0,SUMIF(куб!$G:$G,$G451,куб!T:T),IF($E451&lt;&gt;0,SUMIF(куб!$E:$E,$E451,куб!T:T),IF($D451&lt;&gt;0,SUMIF(куб!$D:$D,$D451,куб!T:T),IF($C451&lt;&gt;0,SUMIF(куб!$C:$C,$C451,куб!T:T),IF($B451&lt;&gt;0,SUMIF(куб!$B:$B,$B451,куб!T:T))))))</f>
        <v>0</v>
      </c>
      <c r="AK451" s="27" t="b">
        <f>IF($G451&lt;&gt;0,SUMIF(куб!$G:$G,$G451,куб!U:U),IF($E451&lt;&gt;0,SUMIF(куб!$E:$E,$E451,куб!U:U),IF($D451&lt;&gt;0,SUMIF(куб!$D:$D,$D451,куб!U:U),IF($C451&lt;&gt;0,SUMIF(куб!$C:$C,$C451,куб!U:U),IF($B451&lt;&gt;0,SUMIF(куб!$B:$B,$B451,куб!U:U))))))</f>
        <v>0</v>
      </c>
      <c r="AL451" s="16" t="str">
        <f t="shared" si="158"/>
        <v>-</v>
      </c>
      <c r="AM451" s="8"/>
      <c r="AN451" s="17" t="str">
        <f t="shared" si="159"/>
        <v xml:space="preserve"> </v>
      </c>
      <c r="AO451" s="17" t="str">
        <f t="shared" si="160"/>
        <v xml:space="preserve"> </v>
      </c>
      <c r="AP451" s="16" t="str">
        <f t="shared" si="161"/>
        <v>-</v>
      </c>
      <c r="AQ451" s="8"/>
      <c r="AR451" s="17" t="str">
        <f t="shared" si="162"/>
        <v>-</v>
      </c>
      <c r="AS451" s="17" t="str">
        <f t="shared" si="163"/>
        <v>-</v>
      </c>
      <c r="AT451" s="13" t="str">
        <f t="shared" si="164"/>
        <v>-</v>
      </c>
      <c r="AU451" s="8"/>
    </row>
    <row r="452" spans="1:47" x14ac:dyDescent="0.25">
      <c r="A452" s="31"/>
      <c r="B452" s="31"/>
      <c r="C452"/>
      <c r="D452" s="31"/>
      <c r="E452"/>
      <c r="F452" s="31"/>
      <c r="G452"/>
      <c r="H452" s="27">
        <f>IF($G452&lt;&gt;0,SUMIF(куб!$G:$G,$G452,куб!H:H),IF($E452&lt;&gt;0,SUMIF(куб!$E:$E,$E452,куб!H:H),IF($D452&lt;&gt;0,SUMIF(куб!$D:$D,$D452,куб!H:H),IF($C452&lt;&gt;0,SUMIF(куб!$C:$C,$C452,куб!H:H),IF($B452&lt;&gt;0,SUMIF(куб!$B:$B,$B452,куб!H:H),IF($G452&lt;&gt;0,SUMIF(куб!$A:$A,$G452,куб!H:H),SUMIF(куб!$A:$A,$G452,куб!H:H)))))))</f>
        <v>0</v>
      </c>
      <c r="I452" s="27">
        <f>IF($G452&lt;&gt;0,SUMIF(куб!$G:$G,$G452,куб!I:I),IF($E452&lt;&gt;0,SUMIF(куб!$E:$E,$E452,куб!I:I),IF($D452&lt;&gt;0,SUMIF(куб!$D:$D,$D452,куб!I:I),IF($C452&lt;&gt;0,SUMIF(куб!$C:$C,$C452,куб!I:I),IF($B452&lt;&gt;0,SUMIF(куб!$B:$B,$B452,куб!I:I),IF($G452&lt;&gt;0,SUMIF(куб!$A:$A,$G452,куб!I:I),SUMIF(куб!$A:$A,$G452,куб!I:I)))))))</f>
        <v>0</v>
      </c>
      <c r="J452" s="19" t="str">
        <f t="shared" si="147"/>
        <v>-</v>
      </c>
      <c r="K452" s="8"/>
      <c r="L452" s="17">
        <f t="shared" si="148"/>
        <v>0</v>
      </c>
      <c r="M452" s="17">
        <f t="shared" si="149"/>
        <v>0</v>
      </c>
      <c r="N452" s="12">
        <f t="shared" si="150"/>
        <v>0</v>
      </c>
      <c r="O452" s="5"/>
      <c r="P452" s="27" t="b">
        <f>IF($G452&lt;&gt;0,SUMIF(куб!$G:$G,$G452,куб!J:J),IF($E452&lt;&gt;0,SUMIF(куб!$E:$E,$E452,куб!J:J),IF($D452&lt;&gt;0,SUMIF(куб!$D:$D,$D452,куб!J:J),IF($C452&lt;&gt;0,SUMIF(куб!$C:$C,$C452,куб!J:J),IF($B452&lt;&gt;0,SUMIF(куб!$B:$B,$B452,куб!J:J))))))</f>
        <v>0</v>
      </c>
      <c r="Q452" s="27" t="b">
        <f>IF($G452&lt;&gt;0,SUMIF(куб!$G:$G,$G452,куб!K:K),IF($E452&lt;&gt;0,SUMIF(куб!$E:$E,$E452,куб!K:K),IF($D452&lt;&gt;0,SUMIF(куб!$D:$D,$D452,куб!K:K),IF($C452&lt;&gt;0,SUMIF(куб!$C:$C,$C452,куб!K:K),IF($B452&lt;&gt;0,SUMIF(куб!$B:$B,$B452,куб!K:K))))))</f>
        <v>0</v>
      </c>
      <c r="R452" s="13" t="str">
        <f t="shared" si="151"/>
        <v>-</v>
      </c>
      <c r="S452" s="5"/>
      <c r="T452" s="27" t="b">
        <f>IF($G452&lt;&gt;0,SUMIF(куб!$G:$G,$G452,куб!L:L),IF($E452&lt;&gt;0,SUMIF(куб!$E:$E,$E452,куб!L:L),IF($D452&lt;&gt;0,SUMIF(куб!$D:$D,$D452,куб!L:L),IF($C452&lt;&gt;0,SUMIF(куб!$C:$C,$C452,куб!L:L),IF($B452&lt;&gt;0,SUMIF(куб!$B:$B,$B452,куб!L:L))))))</f>
        <v>0</v>
      </c>
      <c r="U452" s="27" t="b">
        <f>IF($G452&lt;&gt;0,SUMIF(куб!$G:$G,$G452,куб!M:M),IF($E452&lt;&gt;0,SUMIF(куб!$E:$E,$E452,куб!M:M),IF($D452&lt;&gt;0,SUMIF(куб!$D:$D,$D452,куб!M:M),IF($C452&lt;&gt;0,SUMIF(куб!$C:$C,$C452,куб!M:M),IF($B452&lt;&gt;0,SUMIF(куб!$B:$B,$B452,куб!M:M))))))</f>
        <v>0</v>
      </c>
      <c r="V452" s="13" t="str">
        <f t="shared" si="152"/>
        <v>-</v>
      </c>
      <c r="W452" s="5"/>
      <c r="X452" s="27" t="b">
        <f>IF($G452&lt;&gt;0,SUMIF(куб!$G:$G,$G452,куб!N:N),IF($E452&lt;&gt;0,SUMIF(куб!$E:$E,$E452,куб!N:N),IF($D452&lt;&gt;0,SUMIF(куб!$D:$D,$D452,куб!N:N),IF($C452&lt;&gt;0,SUMIF(куб!$C:$C,$C452,куб!N:N),IF($B452&lt;&gt;0,SUMIF(куб!$B:$B,$B452,куб!N:N))))))</f>
        <v>0</v>
      </c>
      <c r="Y452" s="27" t="b">
        <f>IF($G452&lt;&gt;0,SUMIF(куб!$G:$G,$G452,куб!O:O),IF($E452&lt;&gt;0,SUMIF(куб!$E:$E,$E452,куб!O:O),IF($D452&lt;&gt;0,SUMIF(куб!$D:$D,$D452,куб!O:O),IF($C452&lt;&gt;0,SUMIF(куб!$C:$C,$C452,куб!O:O),IF($B452&lt;&gt;0,SUMIF(куб!$B:$B,$B452,куб!O:O))))))</f>
        <v>0</v>
      </c>
      <c r="Z452" s="13" t="str">
        <f t="shared" si="153"/>
        <v>-</v>
      </c>
      <c r="AA452" s="5"/>
      <c r="AB452" s="33" t="str">
        <f t="shared" si="154"/>
        <v/>
      </c>
      <c r="AC452" s="33" t="str">
        <f t="shared" si="155"/>
        <v/>
      </c>
      <c r="AD452" s="15" t="str">
        <f t="shared" si="156"/>
        <v xml:space="preserve"> </v>
      </c>
      <c r="AE452" s="5"/>
      <c r="AF452" s="27" t="b">
        <f>IF($G452&lt;&gt;0,SUMIF(куб!$G:$G,$G452,куб!R:R),IF($E452&lt;&gt;0,SUMIF(куб!$E:$E,$E452,куб!R:R),IF($D452&lt;&gt;0,SUMIF(куб!$D:$D,$D452,куб!R:R),IF($C452&lt;&gt;0,SUMIF(куб!$C:$C,$C452,куб!R:R),IF($B452&lt;&gt;0,SUMIF(куб!$B:$B,$B452,куб!R:R))))))</f>
        <v>0</v>
      </c>
      <c r="AG452" s="27" t="b">
        <f>IF($G452&lt;&gt;0,SUMIF(куб!$G:$G,$G452,куб!S:S),IF($E452&lt;&gt;0,SUMIF(куб!$E:$E,$E452,куб!S:S),IF($D452&lt;&gt;0,SUMIF(куб!$D:$D,$D452,куб!S:S),IF($C452&lt;&gt;0,SUMIF(куб!$C:$C,$C452,куб!S:S),IF($B452&lt;&gt;0,SUMIF(куб!$B:$B,$B452,куб!S:S))))))</f>
        <v>0</v>
      </c>
      <c r="AH452" s="16" t="str">
        <f t="shared" si="157"/>
        <v>-</v>
      </c>
      <c r="AI452" s="8"/>
      <c r="AJ452" s="27" t="b">
        <f>IF($G452&lt;&gt;0,SUMIF(куб!$G:$G,$G452,куб!T:T),IF($E452&lt;&gt;0,SUMIF(куб!$E:$E,$E452,куб!T:T),IF($D452&lt;&gt;0,SUMIF(куб!$D:$D,$D452,куб!T:T),IF($C452&lt;&gt;0,SUMIF(куб!$C:$C,$C452,куб!T:T),IF($B452&lt;&gt;0,SUMIF(куб!$B:$B,$B452,куб!T:T))))))</f>
        <v>0</v>
      </c>
      <c r="AK452" s="27" t="b">
        <f>IF($G452&lt;&gt;0,SUMIF(куб!$G:$G,$G452,куб!U:U),IF($E452&lt;&gt;0,SUMIF(куб!$E:$E,$E452,куб!U:U),IF($D452&lt;&gt;0,SUMIF(куб!$D:$D,$D452,куб!U:U),IF($C452&lt;&gt;0,SUMIF(куб!$C:$C,$C452,куб!U:U),IF($B452&lt;&gt;0,SUMIF(куб!$B:$B,$B452,куб!U:U))))))</f>
        <v>0</v>
      </c>
      <c r="AL452" s="16" t="str">
        <f t="shared" si="158"/>
        <v>-</v>
      </c>
      <c r="AM452" s="8"/>
      <c r="AN452" s="17" t="str">
        <f t="shared" si="159"/>
        <v xml:space="preserve"> </v>
      </c>
      <c r="AO452" s="17" t="str">
        <f t="shared" si="160"/>
        <v xml:space="preserve"> </v>
      </c>
      <c r="AP452" s="16" t="str">
        <f t="shared" si="161"/>
        <v>-</v>
      </c>
      <c r="AQ452" s="8"/>
      <c r="AR452" s="17" t="str">
        <f t="shared" si="162"/>
        <v>-</v>
      </c>
      <c r="AS452" s="17" t="str">
        <f t="shared" si="163"/>
        <v>-</v>
      </c>
      <c r="AT452" s="13" t="str">
        <f t="shared" si="164"/>
        <v>-</v>
      </c>
      <c r="AU452" s="8"/>
    </row>
    <row r="453" spans="1:47" x14ac:dyDescent="0.25">
      <c r="A453" s="31"/>
      <c r="B453" s="31"/>
      <c r="C453"/>
      <c r="D453" s="31"/>
      <c r="E453"/>
      <c r="F453" s="31"/>
      <c r="G453"/>
      <c r="H453" s="27">
        <f>IF($G453&lt;&gt;0,SUMIF(куб!$G:$G,$G453,куб!H:H),IF($E453&lt;&gt;0,SUMIF(куб!$E:$E,$E453,куб!H:H),IF($D453&lt;&gt;0,SUMIF(куб!$D:$D,$D453,куб!H:H),IF($C453&lt;&gt;0,SUMIF(куб!$C:$C,$C453,куб!H:H),IF($B453&lt;&gt;0,SUMIF(куб!$B:$B,$B453,куб!H:H),IF($G453&lt;&gt;0,SUMIF(куб!$A:$A,$G453,куб!H:H),SUMIF(куб!$A:$A,$G453,куб!H:H)))))))</f>
        <v>0</v>
      </c>
      <c r="I453" s="27">
        <f>IF($G453&lt;&gt;0,SUMIF(куб!$G:$G,$G453,куб!I:I),IF($E453&lt;&gt;0,SUMIF(куб!$E:$E,$E453,куб!I:I),IF($D453&lt;&gt;0,SUMIF(куб!$D:$D,$D453,куб!I:I),IF($C453&lt;&gt;0,SUMIF(куб!$C:$C,$C453,куб!I:I),IF($B453&lt;&gt;0,SUMIF(куб!$B:$B,$B453,куб!I:I),IF($G453&lt;&gt;0,SUMIF(куб!$A:$A,$G453,куб!I:I),SUMIF(куб!$A:$A,$G453,куб!I:I)))))))</f>
        <v>0</v>
      </c>
      <c r="J453" s="19" t="str">
        <f t="shared" si="147"/>
        <v>-</v>
      </c>
      <c r="K453" s="8"/>
      <c r="L453" s="17">
        <f t="shared" si="148"/>
        <v>0</v>
      </c>
      <c r="M453" s="17">
        <f t="shared" si="149"/>
        <v>0</v>
      </c>
      <c r="N453" s="12">
        <f t="shared" si="150"/>
        <v>0</v>
      </c>
      <c r="O453" s="5"/>
      <c r="P453" s="27" t="b">
        <f>IF($G453&lt;&gt;0,SUMIF(куб!$G:$G,$G453,куб!J:J),IF($E453&lt;&gt;0,SUMIF(куб!$E:$E,$E453,куб!J:J),IF($D453&lt;&gt;0,SUMIF(куб!$D:$D,$D453,куб!J:J),IF($C453&lt;&gt;0,SUMIF(куб!$C:$C,$C453,куб!J:J),IF($B453&lt;&gt;0,SUMIF(куб!$B:$B,$B453,куб!J:J))))))</f>
        <v>0</v>
      </c>
      <c r="Q453" s="27" t="b">
        <f>IF($G453&lt;&gt;0,SUMIF(куб!$G:$G,$G453,куб!K:K),IF($E453&lt;&gt;0,SUMIF(куб!$E:$E,$E453,куб!K:K),IF($D453&lt;&gt;0,SUMIF(куб!$D:$D,$D453,куб!K:K),IF($C453&lt;&gt;0,SUMIF(куб!$C:$C,$C453,куб!K:K),IF($B453&lt;&gt;0,SUMIF(куб!$B:$B,$B453,куб!K:K))))))</f>
        <v>0</v>
      </c>
      <c r="R453" s="13" t="str">
        <f t="shared" si="151"/>
        <v>-</v>
      </c>
      <c r="S453" s="5"/>
      <c r="T453" s="27" t="b">
        <f>IF($G453&lt;&gt;0,SUMIF(куб!$G:$G,$G453,куб!L:L),IF($E453&lt;&gt;0,SUMIF(куб!$E:$E,$E453,куб!L:L),IF($D453&lt;&gt;0,SUMIF(куб!$D:$D,$D453,куб!L:L),IF($C453&lt;&gt;0,SUMIF(куб!$C:$C,$C453,куб!L:L),IF($B453&lt;&gt;0,SUMIF(куб!$B:$B,$B453,куб!L:L))))))</f>
        <v>0</v>
      </c>
      <c r="U453" s="27" t="b">
        <f>IF($G453&lt;&gt;0,SUMIF(куб!$G:$G,$G453,куб!M:M),IF($E453&lt;&gt;0,SUMIF(куб!$E:$E,$E453,куб!M:M),IF($D453&lt;&gt;0,SUMIF(куб!$D:$D,$D453,куб!M:M),IF($C453&lt;&gt;0,SUMIF(куб!$C:$C,$C453,куб!M:M),IF($B453&lt;&gt;0,SUMIF(куб!$B:$B,$B453,куб!M:M))))))</f>
        <v>0</v>
      </c>
      <c r="V453" s="13" t="str">
        <f t="shared" si="152"/>
        <v>-</v>
      </c>
      <c r="W453" s="5"/>
      <c r="X453" s="27" t="b">
        <f>IF($G453&lt;&gt;0,SUMIF(куб!$G:$G,$G453,куб!N:N),IF($E453&lt;&gt;0,SUMIF(куб!$E:$E,$E453,куб!N:N),IF($D453&lt;&gt;0,SUMIF(куб!$D:$D,$D453,куб!N:N),IF($C453&lt;&gt;0,SUMIF(куб!$C:$C,$C453,куб!N:N),IF($B453&lt;&gt;0,SUMIF(куб!$B:$B,$B453,куб!N:N))))))</f>
        <v>0</v>
      </c>
      <c r="Y453" s="27" t="b">
        <f>IF($G453&lt;&gt;0,SUMIF(куб!$G:$G,$G453,куб!O:O),IF($E453&lt;&gt;0,SUMIF(куб!$E:$E,$E453,куб!O:O),IF($D453&lt;&gt;0,SUMIF(куб!$D:$D,$D453,куб!O:O),IF($C453&lt;&gt;0,SUMIF(куб!$C:$C,$C453,куб!O:O),IF($B453&lt;&gt;0,SUMIF(куб!$B:$B,$B453,куб!O:O))))))</f>
        <v>0</v>
      </c>
      <c r="Z453" s="13" t="str">
        <f t="shared" si="153"/>
        <v>-</v>
      </c>
      <c r="AA453" s="5"/>
      <c r="AB453" s="33" t="str">
        <f t="shared" si="154"/>
        <v/>
      </c>
      <c r="AC453" s="33" t="str">
        <f t="shared" si="155"/>
        <v/>
      </c>
      <c r="AD453" s="15" t="str">
        <f t="shared" si="156"/>
        <v xml:space="preserve"> </v>
      </c>
      <c r="AE453" s="5"/>
      <c r="AF453" s="27" t="b">
        <f>IF($G453&lt;&gt;0,SUMIF(куб!$G:$G,$G453,куб!R:R),IF($E453&lt;&gt;0,SUMIF(куб!$E:$E,$E453,куб!R:R),IF($D453&lt;&gt;0,SUMIF(куб!$D:$D,$D453,куб!R:R),IF($C453&lt;&gt;0,SUMIF(куб!$C:$C,$C453,куб!R:R),IF($B453&lt;&gt;0,SUMIF(куб!$B:$B,$B453,куб!R:R))))))</f>
        <v>0</v>
      </c>
      <c r="AG453" s="27" t="b">
        <f>IF($G453&lt;&gt;0,SUMIF(куб!$G:$G,$G453,куб!S:S),IF($E453&lt;&gt;0,SUMIF(куб!$E:$E,$E453,куб!S:S),IF($D453&lt;&gt;0,SUMIF(куб!$D:$D,$D453,куб!S:S),IF($C453&lt;&gt;0,SUMIF(куб!$C:$C,$C453,куб!S:S),IF($B453&lt;&gt;0,SUMIF(куб!$B:$B,$B453,куб!S:S))))))</f>
        <v>0</v>
      </c>
      <c r="AH453" s="16" t="str">
        <f t="shared" si="157"/>
        <v>-</v>
      </c>
      <c r="AI453" s="8"/>
      <c r="AJ453" s="27" t="b">
        <f>IF($G453&lt;&gt;0,SUMIF(куб!$G:$G,$G453,куб!T:T),IF($E453&lt;&gt;0,SUMIF(куб!$E:$E,$E453,куб!T:T),IF($D453&lt;&gt;0,SUMIF(куб!$D:$D,$D453,куб!T:T),IF($C453&lt;&gt;0,SUMIF(куб!$C:$C,$C453,куб!T:T),IF($B453&lt;&gt;0,SUMIF(куб!$B:$B,$B453,куб!T:T))))))</f>
        <v>0</v>
      </c>
      <c r="AK453" s="27" t="b">
        <f>IF($G453&lt;&gt;0,SUMIF(куб!$G:$G,$G453,куб!U:U),IF($E453&lt;&gt;0,SUMIF(куб!$E:$E,$E453,куб!U:U),IF($D453&lt;&gt;0,SUMIF(куб!$D:$D,$D453,куб!U:U),IF($C453&lt;&gt;0,SUMIF(куб!$C:$C,$C453,куб!U:U),IF($B453&lt;&gt;0,SUMIF(куб!$B:$B,$B453,куб!U:U))))))</f>
        <v>0</v>
      </c>
      <c r="AL453" s="16" t="str">
        <f t="shared" si="158"/>
        <v>-</v>
      </c>
      <c r="AM453" s="8"/>
      <c r="AN453" s="17" t="str">
        <f t="shared" si="159"/>
        <v xml:space="preserve"> </v>
      </c>
      <c r="AO453" s="17" t="str">
        <f t="shared" si="160"/>
        <v xml:space="preserve"> </v>
      </c>
      <c r="AP453" s="16" t="str">
        <f t="shared" si="161"/>
        <v>-</v>
      </c>
      <c r="AQ453" s="8"/>
      <c r="AR453" s="17" t="str">
        <f t="shared" si="162"/>
        <v>-</v>
      </c>
      <c r="AS453" s="17" t="str">
        <f t="shared" si="163"/>
        <v>-</v>
      </c>
      <c r="AT453" s="13" t="str">
        <f t="shared" si="164"/>
        <v>-</v>
      </c>
      <c r="AU453" s="8"/>
    </row>
    <row r="454" spans="1:47" x14ac:dyDescent="0.25">
      <c r="A454" s="31"/>
      <c r="B454" s="31"/>
      <c r="C454"/>
      <c r="D454" s="31"/>
      <c r="E454"/>
      <c r="F454" s="31"/>
      <c r="G454"/>
      <c r="H454" s="27">
        <f>IF($G454&lt;&gt;0,SUMIF(куб!$G:$G,$G454,куб!H:H),IF($E454&lt;&gt;0,SUMIF(куб!$E:$E,$E454,куб!H:H),IF($D454&lt;&gt;0,SUMIF(куб!$D:$D,$D454,куб!H:H),IF($C454&lt;&gt;0,SUMIF(куб!$C:$C,$C454,куб!H:H),IF($B454&lt;&gt;0,SUMIF(куб!$B:$B,$B454,куб!H:H),IF($G454&lt;&gt;0,SUMIF(куб!$A:$A,$G454,куб!H:H),SUMIF(куб!$A:$A,$G454,куб!H:H)))))))</f>
        <v>0</v>
      </c>
      <c r="I454" s="27">
        <f>IF($G454&lt;&gt;0,SUMIF(куб!$G:$G,$G454,куб!I:I),IF($E454&lt;&gt;0,SUMIF(куб!$E:$E,$E454,куб!I:I),IF($D454&lt;&gt;0,SUMIF(куб!$D:$D,$D454,куб!I:I),IF($C454&lt;&gt;0,SUMIF(куб!$C:$C,$C454,куб!I:I),IF($B454&lt;&gt;0,SUMIF(куб!$B:$B,$B454,куб!I:I),IF($G454&lt;&gt;0,SUMIF(куб!$A:$A,$G454,куб!I:I),SUMIF(куб!$A:$A,$G454,куб!I:I)))))))</f>
        <v>0</v>
      </c>
      <c r="J454" s="19" t="str">
        <f t="shared" si="147"/>
        <v>-</v>
      </c>
      <c r="K454" s="8"/>
      <c r="L454" s="17">
        <f t="shared" si="148"/>
        <v>0</v>
      </c>
      <c r="M454" s="17">
        <f t="shared" si="149"/>
        <v>0</v>
      </c>
      <c r="N454" s="12">
        <f t="shared" si="150"/>
        <v>0</v>
      </c>
      <c r="O454" s="5"/>
      <c r="P454" s="27" t="b">
        <f>IF($G454&lt;&gt;0,SUMIF(куб!$G:$G,$G454,куб!J:J),IF($E454&lt;&gt;0,SUMIF(куб!$E:$E,$E454,куб!J:J),IF($D454&lt;&gt;0,SUMIF(куб!$D:$D,$D454,куб!J:J),IF($C454&lt;&gt;0,SUMIF(куб!$C:$C,$C454,куб!J:J),IF($B454&lt;&gt;0,SUMIF(куб!$B:$B,$B454,куб!J:J))))))</f>
        <v>0</v>
      </c>
      <c r="Q454" s="27" t="b">
        <f>IF($G454&lt;&gt;0,SUMIF(куб!$G:$G,$G454,куб!K:K),IF($E454&lt;&gt;0,SUMIF(куб!$E:$E,$E454,куб!K:K),IF($D454&lt;&gt;0,SUMIF(куб!$D:$D,$D454,куб!K:K),IF($C454&lt;&gt;0,SUMIF(куб!$C:$C,$C454,куб!K:K),IF($B454&lt;&gt;0,SUMIF(куб!$B:$B,$B454,куб!K:K))))))</f>
        <v>0</v>
      </c>
      <c r="R454" s="13" t="str">
        <f t="shared" si="151"/>
        <v>-</v>
      </c>
      <c r="S454" s="5"/>
      <c r="T454" s="27" t="b">
        <f>IF($G454&lt;&gt;0,SUMIF(куб!$G:$G,$G454,куб!L:L),IF($E454&lt;&gt;0,SUMIF(куб!$E:$E,$E454,куб!L:L),IF($D454&lt;&gt;0,SUMIF(куб!$D:$D,$D454,куб!L:L),IF($C454&lt;&gt;0,SUMIF(куб!$C:$C,$C454,куб!L:L),IF($B454&lt;&gt;0,SUMIF(куб!$B:$B,$B454,куб!L:L))))))</f>
        <v>0</v>
      </c>
      <c r="U454" s="27" t="b">
        <f>IF($G454&lt;&gt;0,SUMIF(куб!$G:$G,$G454,куб!M:M),IF($E454&lt;&gt;0,SUMIF(куб!$E:$E,$E454,куб!M:M),IF($D454&lt;&gt;0,SUMIF(куб!$D:$D,$D454,куб!M:M),IF($C454&lt;&gt;0,SUMIF(куб!$C:$C,$C454,куб!M:M),IF($B454&lt;&gt;0,SUMIF(куб!$B:$B,$B454,куб!M:M))))))</f>
        <v>0</v>
      </c>
      <c r="V454" s="13" t="str">
        <f t="shared" si="152"/>
        <v>-</v>
      </c>
      <c r="W454" s="5"/>
      <c r="X454" s="27" t="b">
        <f>IF($G454&lt;&gt;0,SUMIF(куб!$G:$G,$G454,куб!N:N),IF($E454&lt;&gt;0,SUMIF(куб!$E:$E,$E454,куб!N:N),IF($D454&lt;&gt;0,SUMIF(куб!$D:$D,$D454,куб!N:N),IF($C454&lt;&gt;0,SUMIF(куб!$C:$C,$C454,куб!N:N),IF($B454&lt;&gt;0,SUMIF(куб!$B:$B,$B454,куб!N:N))))))</f>
        <v>0</v>
      </c>
      <c r="Y454" s="27" t="b">
        <f>IF($G454&lt;&gt;0,SUMIF(куб!$G:$G,$G454,куб!O:O),IF($E454&lt;&gt;0,SUMIF(куб!$E:$E,$E454,куб!O:O),IF($D454&lt;&gt;0,SUMIF(куб!$D:$D,$D454,куб!O:O),IF($C454&lt;&gt;0,SUMIF(куб!$C:$C,$C454,куб!O:O),IF($B454&lt;&gt;0,SUMIF(куб!$B:$B,$B454,куб!O:O))))))</f>
        <v>0</v>
      </c>
      <c r="Z454" s="13" t="str">
        <f t="shared" si="153"/>
        <v>-</v>
      </c>
      <c r="AA454" s="5"/>
      <c r="AB454" s="33" t="str">
        <f t="shared" si="154"/>
        <v/>
      </c>
      <c r="AC454" s="33" t="str">
        <f t="shared" si="155"/>
        <v/>
      </c>
      <c r="AD454" s="15" t="str">
        <f t="shared" si="156"/>
        <v xml:space="preserve"> </v>
      </c>
      <c r="AE454" s="5"/>
      <c r="AF454" s="27" t="b">
        <f>IF($G454&lt;&gt;0,SUMIF(куб!$G:$G,$G454,куб!R:R),IF($E454&lt;&gt;0,SUMIF(куб!$E:$E,$E454,куб!R:R),IF($D454&lt;&gt;0,SUMIF(куб!$D:$D,$D454,куб!R:R),IF($C454&lt;&gt;0,SUMIF(куб!$C:$C,$C454,куб!R:R),IF($B454&lt;&gt;0,SUMIF(куб!$B:$B,$B454,куб!R:R))))))</f>
        <v>0</v>
      </c>
      <c r="AG454" s="27" t="b">
        <f>IF($G454&lt;&gt;0,SUMIF(куб!$G:$G,$G454,куб!S:S),IF($E454&lt;&gt;0,SUMIF(куб!$E:$E,$E454,куб!S:S),IF($D454&lt;&gt;0,SUMIF(куб!$D:$D,$D454,куб!S:S),IF($C454&lt;&gt;0,SUMIF(куб!$C:$C,$C454,куб!S:S),IF($B454&lt;&gt;0,SUMIF(куб!$B:$B,$B454,куб!S:S))))))</f>
        <v>0</v>
      </c>
      <c r="AH454" s="16" t="str">
        <f t="shared" si="157"/>
        <v>-</v>
      </c>
      <c r="AI454" s="8"/>
      <c r="AJ454" s="27" t="b">
        <f>IF($G454&lt;&gt;0,SUMIF(куб!$G:$G,$G454,куб!T:T),IF($E454&lt;&gt;0,SUMIF(куб!$E:$E,$E454,куб!T:T),IF($D454&lt;&gt;0,SUMIF(куб!$D:$D,$D454,куб!T:T),IF($C454&lt;&gt;0,SUMIF(куб!$C:$C,$C454,куб!T:T),IF($B454&lt;&gt;0,SUMIF(куб!$B:$B,$B454,куб!T:T))))))</f>
        <v>0</v>
      </c>
      <c r="AK454" s="27" t="b">
        <f>IF($G454&lt;&gt;0,SUMIF(куб!$G:$G,$G454,куб!U:U),IF($E454&lt;&gt;0,SUMIF(куб!$E:$E,$E454,куб!U:U),IF($D454&lt;&gt;0,SUMIF(куб!$D:$D,$D454,куб!U:U),IF($C454&lt;&gt;0,SUMIF(куб!$C:$C,$C454,куб!U:U),IF($B454&lt;&gt;0,SUMIF(куб!$B:$B,$B454,куб!U:U))))))</f>
        <v>0</v>
      </c>
      <c r="AL454" s="16" t="str">
        <f t="shared" si="158"/>
        <v>-</v>
      </c>
      <c r="AM454" s="8"/>
      <c r="AN454" s="17" t="str">
        <f t="shared" si="159"/>
        <v xml:space="preserve"> </v>
      </c>
      <c r="AO454" s="17" t="str">
        <f t="shared" si="160"/>
        <v xml:space="preserve"> </v>
      </c>
      <c r="AP454" s="16" t="str">
        <f t="shared" si="161"/>
        <v>-</v>
      </c>
      <c r="AQ454" s="8"/>
      <c r="AR454" s="17" t="str">
        <f t="shared" si="162"/>
        <v>-</v>
      </c>
      <c r="AS454" s="17" t="str">
        <f t="shared" si="163"/>
        <v>-</v>
      </c>
      <c r="AT454" s="13" t="str">
        <f t="shared" si="164"/>
        <v>-</v>
      </c>
      <c r="AU454" s="8"/>
    </row>
    <row r="455" spans="1:47" x14ac:dyDescent="0.25">
      <c r="A455" s="31"/>
      <c r="B455" s="31"/>
      <c r="C455"/>
      <c r="D455" s="31"/>
      <c r="E455"/>
      <c r="F455" s="31"/>
      <c r="G455"/>
      <c r="H455" s="27">
        <f>IF($G455&lt;&gt;0,SUMIF(куб!$G:$G,$G455,куб!H:H),IF($E455&lt;&gt;0,SUMIF(куб!$E:$E,$E455,куб!H:H),IF($D455&lt;&gt;0,SUMIF(куб!$D:$D,$D455,куб!H:H),IF($C455&lt;&gt;0,SUMIF(куб!$C:$C,$C455,куб!H:H),IF($B455&lt;&gt;0,SUMIF(куб!$B:$B,$B455,куб!H:H),IF($G455&lt;&gt;0,SUMIF(куб!$A:$A,$G455,куб!H:H),SUMIF(куб!$A:$A,$G455,куб!H:H)))))))</f>
        <v>0</v>
      </c>
      <c r="I455" s="27">
        <f>IF($G455&lt;&gt;0,SUMIF(куб!$G:$G,$G455,куб!I:I),IF($E455&lt;&gt;0,SUMIF(куб!$E:$E,$E455,куб!I:I),IF($D455&lt;&gt;0,SUMIF(куб!$D:$D,$D455,куб!I:I),IF($C455&lt;&gt;0,SUMIF(куб!$C:$C,$C455,куб!I:I),IF($B455&lt;&gt;0,SUMIF(куб!$B:$B,$B455,куб!I:I),IF($G455&lt;&gt;0,SUMIF(куб!$A:$A,$G455,куб!I:I),SUMIF(куб!$A:$A,$G455,куб!I:I)))))))</f>
        <v>0</v>
      </c>
      <c r="J455" s="19" t="str">
        <f t="shared" si="147"/>
        <v>-</v>
      </c>
      <c r="K455" s="8"/>
      <c r="L455" s="17">
        <f t="shared" si="148"/>
        <v>0</v>
      </c>
      <c r="M455" s="17">
        <f t="shared" si="149"/>
        <v>0</v>
      </c>
      <c r="N455" s="12">
        <f t="shared" si="150"/>
        <v>0</v>
      </c>
      <c r="O455" s="5"/>
      <c r="P455" s="27" t="b">
        <f>IF($G455&lt;&gt;0,SUMIF(куб!$G:$G,$G455,куб!J:J),IF($E455&lt;&gt;0,SUMIF(куб!$E:$E,$E455,куб!J:J),IF($D455&lt;&gt;0,SUMIF(куб!$D:$D,$D455,куб!J:J),IF($C455&lt;&gt;0,SUMIF(куб!$C:$C,$C455,куб!J:J),IF($B455&lt;&gt;0,SUMIF(куб!$B:$B,$B455,куб!J:J))))))</f>
        <v>0</v>
      </c>
      <c r="Q455" s="27" t="b">
        <f>IF($G455&lt;&gt;0,SUMIF(куб!$G:$G,$G455,куб!K:K),IF($E455&lt;&gt;0,SUMIF(куб!$E:$E,$E455,куб!K:K),IF($D455&lt;&gt;0,SUMIF(куб!$D:$D,$D455,куб!K:K),IF($C455&lt;&gt;0,SUMIF(куб!$C:$C,$C455,куб!K:K),IF($B455&lt;&gt;0,SUMIF(куб!$B:$B,$B455,куб!K:K))))))</f>
        <v>0</v>
      </c>
      <c r="R455" s="13" t="str">
        <f t="shared" si="151"/>
        <v>-</v>
      </c>
      <c r="S455" s="5"/>
      <c r="T455" s="27" t="b">
        <f>IF($G455&lt;&gt;0,SUMIF(куб!$G:$G,$G455,куб!L:L),IF($E455&lt;&gt;0,SUMIF(куб!$E:$E,$E455,куб!L:L),IF($D455&lt;&gt;0,SUMIF(куб!$D:$D,$D455,куб!L:L),IF($C455&lt;&gt;0,SUMIF(куб!$C:$C,$C455,куб!L:L),IF($B455&lt;&gt;0,SUMIF(куб!$B:$B,$B455,куб!L:L))))))</f>
        <v>0</v>
      </c>
      <c r="U455" s="27" t="b">
        <f>IF($G455&lt;&gt;0,SUMIF(куб!$G:$G,$G455,куб!M:M),IF($E455&lt;&gt;0,SUMIF(куб!$E:$E,$E455,куб!M:M),IF($D455&lt;&gt;0,SUMIF(куб!$D:$D,$D455,куб!M:M),IF($C455&lt;&gt;0,SUMIF(куб!$C:$C,$C455,куб!M:M),IF($B455&lt;&gt;0,SUMIF(куб!$B:$B,$B455,куб!M:M))))))</f>
        <v>0</v>
      </c>
      <c r="V455" s="13" t="str">
        <f t="shared" si="152"/>
        <v>-</v>
      </c>
      <c r="W455" s="5"/>
      <c r="X455" s="27" t="b">
        <f>IF($G455&lt;&gt;0,SUMIF(куб!$G:$G,$G455,куб!N:N),IF($E455&lt;&gt;0,SUMIF(куб!$E:$E,$E455,куб!N:N),IF($D455&lt;&gt;0,SUMIF(куб!$D:$D,$D455,куб!N:N),IF($C455&lt;&gt;0,SUMIF(куб!$C:$C,$C455,куб!N:N),IF($B455&lt;&gt;0,SUMIF(куб!$B:$B,$B455,куб!N:N))))))</f>
        <v>0</v>
      </c>
      <c r="Y455" s="27" t="b">
        <f>IF($G455&lt;&gt;0,SUMIF(куб!$G:$G,$G455,куб!O:O),IF($E455&lt;&gt;0,SUMIF(куб!$E:$E,$E455,куб!O:O),IF($D455&lt;&gt;0,SUMIF(куб!$D:$D,$D455,куб!O:O),IF($C455&lt;&gt;0,SUMIF(куб!$C:$C,$C455,куб!O:O),IF($B455&lt;&gt;0,SUMIF(куб!$B:$B,$B455,куб!O:O))))))</f>
        <v>0</v>
      </c>
      <c r="Z455" s="13" t="str">
        <f t="shared" si="153"/>
        <v>-</v>
      </c>
      <c r="AA455" s="5"/>
      <c r="AB455" s="33" t="str">
        <f t="shared" si="154"/>
        <v/>
      </c>
      <c r="AC455" s="33" t="str">
        <f t="shared" si="155"/>
        <v/>
      </c>
      <c r="AD455" s="15" t="str">
        <f t="shared" si="156"/>
        <v xml:space="preserve"> </v>
      </c>
      <c r="AE455" s="5"/>
      <c r="AF455" s="27" t="b">
        <f>IF($G455&lt;&gt;0,SUMIF(куб!$G:$G,$G455,куб!R:R),IF($E455&lt;&gt;0,SUMIF(куб!$E:$E,$E455,куб!R:R),IF($D455&lt;&gt;0,SUMIF(куб!$D:$D,$D455,куб!R:R),IF($C455&lt;&gt;0,SUMIF(куб!$C:$C,$C455,куб!R:R),IF($B455&lt;&gt;0,SUMIF(куб!$B:$B,$B455,куб!R:R))))))</f>
        <v>0</v>
      </c>
      <c r="AG455" s="27" t="b">
        <f>IF($G455&lt;&gt;0,SUMIF(куб!$G:$G,$G455,куб!S:S),IF($E455&lt;&gt;0,SUMIF(куб!$E:$E,$E455,куб!S:S),IF($D455&lt;&gt;0,SUMIF(куб!$D:$D,$D455,куб!S:S),IF($C455&lt;&gt;0,SUMIF(куб!$C:$C,$C455,куб!S:S),IF($B455&lt;&gt;0,SUMIF(куб!$B:$B,$B455,куб!S:S))))))</f>
        <v>0</v>
      </c>
      <c r="AH455" s="16" t="str">
        <f t="shared" si="157"/>
        <v>-</v>
      </c>
      <c r="AI455" s="8"/>
      <c r="AJ455" s="27" t="b">
        <f>IF($G455&lt;&gt;0,SUMIF(куб!$G:$G,$G455,куб!T:T),IF($E455&lt;&gt;0,SUMIF(куб!$E:$E,$E455,куб!T:T),IF($D455&lt;&gt;0,SUMIF(куб!$D:$D,$D455,куб!T:T),IF($C455&lt;&gt;0,SUMIF(куб!$C:$C,$C455,куб!T:T),IF($B455&lt;&gt;0,SUMIF(куб!$B:$B,$B455,куб!T:T))))))</f>
        <v>0</v>
      </c>
      <c r="AK455" s="27" t="b">
        <f>IF($G455&lt;&gt;0,SUMIF(куб!$G:$G,$G455,куб!U:U),IF($E455&lt;&gt;0,SUMIF(куб!$E:$E,$E455,куб!U:U),IF($D455&lt;&gt;0,SUMIF(куб!$D:$D,$D455,куб!U:U),IF($C455&lt;&gt;0,SUMIF(куб!$C:$C,$C455,куб!U:U),IF($B455&lt;&gt;0,SUMIF(куб!$B:$B,$B455,куб!U:U))))))</f>
        <v>0</v>
      </c>
      <c r="AL455" s="16" t="str">
        <f t="shared" si="158"/>
        <v>-</v>
      </c>
      <c r="AM455" s="8"/>
      <c r="AN455" s="17" t="str">
        <f t="shared" si="159"/>
        <v xml:space="preserve"> </v>
      </c>
      <c r="AO455" s="17" t="str">
        <f t="shared" si="160"/>
        <v xml:space="preserve"> </v>
      </c>
      <c r="AP455" s="16" t="str">
        <f t="shared" si="161"/>
        <v>-</v>
      </c>
      <c r="AQ455" s="8"/>
      <c r="AR455" s="17" t="str">
        <f t="shared" si="162"/>
        <v>-</v>
      </c>
      <c r="AS455" s="17" t="str">
        <f t="shared" si="163"/>
        <v>-</v>
      </c>
      <c r="AT455" s="13" t="str">
        <f t="shared" si="164"/>
        <v>-</v>
      </c>
      <c r="AU455" s="8"/>
    </row>
    <row r="456" spans="1:47" x14ac:dyDescent="0.25">
      <c r="A456" s="31"/>
      <c r="B456" s="31"/>
      <c r="C456"/>
      <c r="D456" s="31"/>
      <c r="E456"/>
      <c r="F456" s="31"/>
      <c r="G456"/>
      <c r="H456" s="27">
        <f>IF($G456&lt;&gt;0,SUMIF(куб!$G:$G,$G456,куб!H:H),IF($E456&lt;&gt;0,SUMIF(куб!$E:$E,$E456,куб!H:H),IF($D456&lt;&gt;0,SUMIF(куб!$D:$D,$D456,куб!H:H),IF($C456&lt;&gt;0,SUMIF(куб!$C:$C,$C456,куб!H:H),IF($B456&lt;&gt;0,SUMIF(куб!$B:$B,$B456,куб!H:H),IF($G456&lt;&gt;0,SUMIF(куб!$A:$A,$G456,куб!H:H),SUMIF(куб!$A:$A,$G456,куб!H:H)))))))</f>
        <v>0</v>
      </c>
      <c r="I456" s="27">
        <f>IF($G456&lt;&gt;0,SUMIF(куб!$G:$G,$G456,куб!I:I),IF($E456&lt;&gt;0,SUMIF(куб!$E:$E,$E456,куб!I:I),IF($D456&lt;&gt;0,SUMIF(куб!$D:$D,$D456,куб!I:I),IF($C456&lt;&gt;0,SUMIF(куб!$C:$C,$C456,куб!I:I),IF($B456&lt;&gt;0,SUMIF(куб!$B:$B,$B456,куб!I:I),IF($G456&lt;&gt;0,SUMIF(куб!$A:$A,$G456,куб!I:I),SUMIF(куб!$A:$A,$G456,куб!I:I)))))))</f>
        <v>0</v>
      </c>
      <c r="J456" s="19" t="str">
        <f t="shared" si="147"/>
        <v>-</v>
      </c>
      <c r="K456" s="8"/>
      <c r="L456" s="17">
        <f t="shared" si="148"/>
        <v>0</v>
      </c>
      <c r="M456" s="17">
        <f t="shared" si="149"/>
        <v>0</v>
      </c>
      <c r="N456" s="12">
        <f t="shared" si="150"/>
        <v>0</v>
      </c>
      <c r="O456" s="5"/>
      <c r="P456" s="27" t="b">
        <f>IF($G456&lt;&gt;0,SUMIF(куб!$G:$G,$G456,куб!J:J),IF($E456&lt;&gt;0,SUMIF(куб!$E:$E,$E456,куб!J:J),IF($D456&lt;&gt;0,SUMIF(куб!$D:$D,$D456,куб!J:J),IF($C456&lt;&gt;0,SUMIF(куб!$C:$C,$C456,куб!J:J),IF($B456&lt;&gt;0,SUMIF(куб!$B:$B,$B456,куб!J:J))))))</f>
        <v>0</v>
      </c>
      <c r="Q456" s="27" t="b">
        <f>IF($G456&lt;&gt;0,SUMIF(куб!$G:$G,$G456,куб!K:K),IF($E456&lt;&gt;0,SUMIF(куб!$E:$E,$E456,куб!K:K),IF($D456&lt;&gt;0,SUMIF(куб!$D:$D,$D456,куб!K:K),IF($C456&lt;&gt;0,SUMIF(куб!$C:$C,$C456,куб!K:K),IF($B456&lt;&gt;0,SUMIF(куб!$B:$B,$B456,куб!K:K))))))</f>
        <v>0</v>
      </c>
      <c r="R456" s="13" t="str">
        <f t="shared" si="151"/>
        <v>-</v>
      </c>
      <c r="S456" s="5"/>
      <c r="T456" s="27" t="b">
        <f>IF($G456&lt;&gt;0,SUMIF(куб!$G:$G,$G456,куб!L:L),IF($E456&lt;&gt;0,SUMIF(куб!$E:$E,$E456,куб!L:L),IF($D456&lt;&gt;0,SUMIF(куб!$D:$D,$D456,куб!L:L),IF($C456&lt;&gt;0,SUMIF(куб!$C:$C,$C456,куб!L:L),IF($B456&lt;&gt;0,SUMIF(куб!$B:$B,$B456,куб!L:L))))))</f>
        <v>0</v>
      </c>
      <c r="U456" s="27" t="b">
        <f>IF($G456&lt;&gt;0,SUMIF(куб!$G:$G,$G456,куб!M:M),IF($E456&lt;&gt;0,SUMIF(куб!$E:$E,$E456,куб!M:M),IF($D456&lt;&gt;0,SUMIF(куб!$D:$D,$D456,куб!M:M),IF($C456&lt;&gt;0,SUMIF(куб!$C:$C,$C456,куб!M:M),IF($B456&lt;&gt;0,SUMIF(куб!$B:$B,$B456,куб!M:M))))))</f>
        <v>0</v>
      </c>
      <c r="V456" s="13" t="str">
        <f t="shared" si="152"/>
        <v>-</v>
      </c>
      <c r="W456" s="5"/>
      <c r="X456" s="27" t="b">
        <f>IF($G456&lt;&gt;0,SUMIF(куб!$G:$G,$G456,куб!N:N),IF($E456&lt;&gt;0,SUMIF(куб!$E:$E,$E456,куб!N:N),IF($D456&lt;&gt;0,SUMIF(куб!$D:$D,$D456,куб!N:N),IF($C456&lt;&gt;0,SUMIF(куб!$C:$C,$C456,куб!N:N),IF($B456&lt;&gt;0,SUMIF(куб!$B:$B,$B456,куб!N:N))))))</f>
        <v>0</v>
      </c>
      <c r="Y456" s="27" t="b">
        <f>IF($G456&lt;&gt;0,SUMIF(куб!$G:$G,$G456,куб!O:O),IF($E456&lt;&gt;0,SUMIF(куб!$E:$E,$E456,куб!O:O),IF($D456&lt;&gt;0,SUMIF(куб!$D:$D,$D456,куб!O:O),IF($C456&lt;&gt;0,SUMIF(куб!$C:$C,$C456,куб!O:O),IF($B456&lt;&gt;0,SUMIF(куб!$B:$B,$B456,куб!O:O))))))</f>
        <v>0</v>
      </c>
      <c r="Z456" s="13" t="str">
        <f t="shared" si="153"/>
        <v>-</v>
      </c>
      <c r="AA456" s="5"/>
      <c r="AB456" s="33" t="str">
        <f t="shared" si="154"/>
        <v/>
      </c>
      <c r="AC456" s="33" t="str">
        <f t="shared" si="155"/>
        <v/>
      </c>
      <c r="AD456" s="15" t="str">
        <f t="shared" si="156"/>
        <v xml:space="preserve"> </v>
      </c>
      <c r="AE456" s="5"/>
      <c r="AF456" s="27" t="b">
        <f>IF($G456&lt;&gt;0,SUMIF(куб!$G:$G,$G456,куб!R:R),IF($E456&lt;&gt;0,SUMIF(куб!$E:$E,$E456,куб!R:R),IF($D456&lt;&gt;0,SUMIF(куб!$D:$D,$D456,куб!R:R),IF($C456&lt;&gt;0,SUMIF(куб!$C:$C,$C456,куб!R:R),IF($B456&lt;&gt;0,SUMIF(куб!$B:$B,$B456,куб!R:R))))))</f>
        <v>0</v>
      </c>
      <c r="AG456" s="27" t="b">
        <f>IF($G456&lt;&gt;0,SUMIF(куб!$G:$G,$G456,куб!S:S),IF($E456&lt;&gt;0,SUMIF(куб!$E:$E,$E456,куб!S:S),IF($D456&lt;&gt;0,SUMIF(куб!$D:$D,$D456,куб!S:S),IF($C456&lt;&gt;0,SUMIF(куб!$C:$C,$C456,куб!S:S),IF($B456&lt;&gt;0,SUMIF(куб!$B:$B,$B456,куб!S:S))))))</f>
        <v>0</v>
      </c>
      <c r="AH456" s="16" t="str">
        <f t="shared" si="157"/>
        <v>-</v>
      </c>
      <c r="AI456" s="8"/>
      <c r="AJ456" s="27" t="b">
        <f>IF($G456&lt;&gt;0,SUMIF(куб!$G:$G,$G456,куб!T:T),IF($E456&lt;&gt;0,SUMIF(куб!$E:$E,$E456,куб!T:T),IF($D456&lt;&gt;0,SUMIF(куб!$D:$D,$D456,куб!T:T),IF($C456&lt;&gt;0,SUMIF(куб!$C:$C,$C456,куб!T:T),IF($B456&lt;&gt;0,SUMIF(куб!$B:$B,$B456,куб!T:T))))))</f>
        <v>0</v>
      </c>
      <c r="AK456" s="27" t="b">
        <f>IF($G456&lt;&gt;0,SUMIF(куб!$G:$G,$G456,куб!U:U),IF($E456&lt;&gt;0,SUMIF(куб!$E:$E,$E456,куб!U:U),IF($D456&lt;&gt;0,SUMIF(куб!$D:$D,$D456,куб!U:U),IF($C456&lt;&gt;0,SUMIF(куб!$C:$C,$C456,куб!U:U),IF($B456&lt;&gt;0,SUMIF(куб!$B:$B,$B456,куб!U:U))))))</f>
        <v>0</v>
      </c>
      <c r="AL456" s="16" t="str">
        <f t="shared" si="158"/>
        <v>-</v>
      </c>
      <c r="AM456" s="8"/>
      <c r="AN456" s="17" t="str">
        <f t="shared" si="159"/>
        <v xml:space="preserve"> </v>
      </c>
      <c r="AO456" s="17" t="str">
        <f t="shared" si="160"/>
        <v xml:space="preserve"> </v>
      </c>
      <c r="AP456" s="16" t="str">
        <f t="shared" si="161"/>
        <v>-</v>
      </c>
      <c r="AQ456" s="8"/>
      <c r="AR456" s="17" t="str">
        <f t="shared" si="162"/>
        <v>-</v>
      </c>
      <c r="AS456" s="17" t="str">
        <f t="shared" si="163"/>
        <v>-</v>
      </c>
      <c r="AT456" s="13" t="str">
        <f t="shared" si="164"/>
        <v>-</v>
      </c>
      <c r="AU456" s="8"/>
    </row>
    <row r="457" spans="1:47" x14ac:dyDescent="0.25">
      <c r="A457" s="31"/>
      <c r="B457" s="31"/>
      <c r="C457"/>
      <c r="D457" s="31"/>
      <c r="E457"/>
      <c r="F457" s="31"/>
      <c r="G457"/>
      <c r="H457" s="27">
        <f>IF($G457&lt;&gt;0,SUMIF(куб!$G:$G,$G457,куб!H:H),IF($E457&lt;&gt;0,SUMIF(куб!$E:$E,$E457,куб!H:H),IF($D457&lt;&gt;0,SUMIF(куб!$D:$D,$D457,куб!H:H),IF($C457&lt;&gt;0,SUMIF(куб!$C:$C,$C457,куб!H:H),IF($B457&lt;&gt;0,SUMIF(куб!$B:$B,$B457,куб!H:H),IF($G457&lt;&gt;0,SUMIF(куб!$A:$A,$G457,куб!H:H),SUMIF(куб!$A:$A,$G457,куб!H:H)))))))</f>
        <v>0</v>
      </c>
      <c r="I457" s="27">
        <f>IF($G457&lt;&gt;0,SUMIF(куб!$G:$G,$G457,куб!I:I),IF($E457&lt;&gt;0,SUMIF(куб!$E:$E,$E457,куб!I:I),IF($D457&lt;&gt;0,SUMIF(куб!$D:$D,$D457,куб!I:I),IF($C457&lt;&gt;0,SUMIF(куб!$C:$C,$C457,куб!I:I),IF($B457&lt;&gt;0,SUMIF(куб!$B:$B,$B457,куб!I:I),IF($G457&lt;&gt;0,SUMIF(куб!$A:$A,$G457,куб!I:I),SUMIF(куб!$A:$A,$G457,куб!I:I)))))))</f>
        <v>0</v>
      </c>
      <c r="J457" s="19" t="str">
        <f t="shared" si="147"/>
        <v>-</v>
      </c>
      <c r="K457" s="8"/>
      <c r="L457" s="17">
        <f t="shared" si="148"/>
        <v>0</v>
      </c>
      <c r="M457" s="17">
        <f t="shared" si="149"/>
        <v>0</v>
      </c>
      <c r="N457" s="12">
        <f t="shared" si="150"/>
        <v>0</v>
      </c>
      <c r="O457" s="5"/>
      <c r="P457" s="27" t="b">
        <f>IF($G457&lt;&gt;0,SUMIF(куб!$G:$G,$G457,куб!J:J),IF($E457&lt;&gt;0,SUMIF(куб!$E:$E,$E457,куб!J:J),IF($D457&lt;&gt;0,SUMIF(куб!$D:$D,$D457,куб!J:J),IF($C457&lt;&gt;0,SUMIF(куб!$C:$C,$C457,куб!J:J),IF($B457&lt;&gt;0,SUMIF(куб!$B:$B,$B457,куб!J:J))))))</f>
        <v>0</v>
      </c>
      <c r="Q457" s="27" t="b">
        <f>IF($G457&lt;&gt;0,SUMIF(куб!$G:$G,$G457,куб!K:K),IF($E457&lt;&gt;0,SUMIF(куб!$E:$E,$E457,куб!K:K),IF($D457&lt;&gt;0,SUMIF(куб!$D:$D,$D457,куб!K:K),IF($C457&lt;&gt;0,SUMIF(куб!$C:$C,$C457,куб!K:K),IF($B457&lt;&gt;0,SUMIF(куб!$B:$B,$B457,куб!K:K))))))</f>
        <v>0</v>
      </c>
      <c r="R457" s="13" t="str">
        <f t="shared" si="151"/>
        <v>-</v>
      </c>
      <c r="S457" s="5"/>
      <c r="T457" s="27" t="b">
        <f>IF($G457&lt;&gt;0,SUMIF(куб!$G:$G,$G457,куб!L:L),IF($E457&lt;&gt;0,SUMIF(куб!$E:$E,$E457,куб!L:L),IF($D457&lt;&gt;0,SUMIF(куб!$D:$D,$D457,куб!L:L),IF($C457&lt;&gt;0,SUMIF(куб!$C:$C,$C457,куб!L:L),IF($B457&lt;&gt;0,SUMIF(куб!$B:$B,$B457,куб!L:L))))))</f>
        <v>0</v>
      </c>
      <c r="U457" s="27" t="b">
        <f>IF($G457&lt;&gt;0,SUMIF(куб!$G:$G,$G457,куб!M:M),IF($E457&lt;&gt;0,SUMIF(куб!$E:$E,$E457,куб!M:M),IF($D457&lt;&gt;0,SUMIF(куб!$D:$D,$D457,куб!M:M),IF($C457&lt;&gt;0,SUMIF(куб!$C:$C,$C457,куб!M:M),IF($B457&lt;&gt;0,SUMIF(куб!$B:$B,$B457,куб!M:M))))))</f>
        <v>0</v>
      </c>
      <c r="V457" s="13" t="str">
        <f t="shared" si="152"/>
        <v>-</v>
      </c>
      <c r="W457" s="5"/>
      <c r="X457" s="27" t="b">
        <f>IF($G457&lt;&gt;0,SUMIF(куб!$G:$G,$G457,куб!N:N),IF($E457&lt;&gt;0,SUMIF(куб!$E:$E,$E457,куб!N:N),IF($D457&lt;&gt;0,SUMIF(куб!$D:$D,$D457,куб!N:N),IF($C457&lt;&gt;0,SUMIF(куб!$C:$C,$C457,куб!N:N),IF($B457&lt;&gt;0,SUMIF(куб!$B:$B,$B457,куб!N:N))))))</f>
        <v>0</v>
      </c>
      <c r="Y457" s="27" t="b">
        <f>IF($G457&lt;&gt;0,SUMIF(куб!$G:$G,$G457,куб!O:O),IF($E457&lt;&gt;0,SUMIF(куб!$E:$E,$E457,куб!O:O),IF($D457&lt;&gt;0,SUMIF(куб!$D:$D,$D457,куб!O:O),IF($C457&lt;&gt;0,SUMIF(куб!$C:$C,$C457,куб!O:O),IF($B457&lt;&gt;0,SUMIF(куб!$B:$B,$B457,куб!O:O))))))</f>
        <v>0</v>
      </c>
      <c r="Z457" s="13" t="str">
        <f t="shared" si="153"/>
        <v>-</v>
      </c>
      <c r="AA457" s="5"/>
      <c r="AB457" s="33" t="str">
        <f t="shared" si="154"/>
        <v/>
      </c>
      <c r="AC457" s="33" t="str">
        <f t="shared" si="155"/>
        <v/>
      </c>
      <c r="AD457" s="15" t="str">
        <f t="shared" si="156"/>
        <v xml:space="preserve"> </v>
      </c>
      <c r="AE457" s="5"/>
      <c r="AF457" s="27" t="b">
        <f>IF($G457&lt;&gt;0,SUMIF(куб!$G:$G,$G457,куб!R:R),IF($E457&lt;&gt;0,SUMIF(куб!$E:$E,$E457,куб!R:R),IF($D457&lt;&gt;0,SUMIF(куб!$D:$D,$D457,куб!R:R),IF($C457&lt;&gt;0,SUMIF(куб!$C:$C,$C457,куб!R:R),IF($B457&lt;&gt;0,SUMIF(куб!$B:$B,$B457,куб!R:R))))))</f>
        <v>0</v>
      </c>
      <c r="AG457" s="27" t="b">
        <f>IF($G457&lt;&gt;0,SUMIF(куб!$G:$G,$G457,куб!S:S),IF($E457&lt;&gt;0,SUMIF(куб!$E:$E,$E457,куб!S:S),IF($D457&lt;&gt;0,SUMIF(куб!$D:$D,$D457,куб!S:S),IF($C457&lt;&gt;0,SUMIF(куб!$C:$C,$C457,куб!S:S),IF($B457&lt;&gt;0,SUMIF(куб!$B:$B,$B457,куб!S:S))))))</f>
        <v>0</v>
      </c>
      <c r="AH457" s="16" t="str">
        <f t="shared" si="157"/>
        <v>-</v>
      </c>
      <c r="AI457" s="8"/>
      <c r="AJ457" s="27" t="b">
        <f>IF($G457&lt;&gt;0,SUMIF(куб!$G:$G,$G457,куб!T:T),IF($E457&lt;&gt;0,SUMIF(куб!$E:$E,$E457,куб!T:T),IF($D457&lt;&gt;0,SUMIF(куб!$D:$D,$D457,куб!T:T),IF($C457&lt;&gt;0,SUMIF(куб!$C:$C,$C457,куб!T:T),IF($B457&lt;&gt;0,SUMIF(куб!$B:$B,$B457,куб!T:T))))))</f>
        <v>0</v>
      </c>
      <c r="AK457" s="27" t="b">
        <f>IF($G457&lt;&gt;0,SUMIF(куб!$G:$G,$G457,куб!U:U),IF($E457&lt;&gt;0,SUMIF(куб!$E:$E,$E457,куб!U:U),IF($D457&lt;&gt;0,SUMIF(куб!$D:$D,$D457,куб!U:U),IF($C457&lt;&gt;0,SUMIF(куб!$C:$C,$C457,куб!U:U),IF($B457&lt;&gt;0,SUMIF(куб!$B:$B,$B457,куб!U:U))))))</f>
        <v>0</v>
      </c>
      <c r="AL457" s="16" t="str">
        <f t="shared" si="158"/>
        <v>-</v>
      </c>
      <c r="AM457" s="8"/>
      <c r="AN457" s="17" t="str">
        <f t="shared" si="159"/>
        <v xml:space="preserve"> </v>
      </c>
      <c r="AO457" s="17" t="str">
        <f t="shared" si="160"/>
        <v xml:space="preserve"> </v>
      </c>
      <c r="AP457" s="16" t="str">
        <f t="shared" si="161"/>
        <v>-</v>
      </c>
      <c r="AQ457" s="8"/>
      <c r="AR457" s="17" t="str">
        <f t="shared" si="162"/>
        <v>-</v>
      </c>
      <c r="AS457" s="17" t="str">
        <f t="shared" si="163"/>
        <v>-</v>
      </c>
      <c r="AT457" s="13" t="str">
        <f t="shared" si="164"/>
        <v>-</v>
      </c>
      <c r="AU457" s="8"/>
    </row>
    <row r="458" spans="1:47" x14ac:dyDescent="0.25">
      <c r="A458" s="31"/>
      <c r="B458" s="31"/>
      <c r="C458"/>
      <c r="D458" s="31"/>
      <c r="E458"/>
      <c r="F458" s="31"/>
      <c r="G458"/>
      <c r="H458" s="27">
        <f>IF($G458&lt;&gt;0,SUMIF(куб!$G:$G,$G458,куб!H:H),IF($E458&lt;&gt;0,SUMIF(куб!$E:$E,$E458,куб!H:H),IF($D458&lt;&gt;0,SUMIF(куб!$D:$D,$D458,куб!H:H),IF($C458&lt;&gt;0,SUMIF(куб!$C:$C,$C458,куб!H:H),IF($B458&lt;&gt;0,SUMIF(куб!$B:$B,$B458,куб!H:H),IF($G458&lt;&gt;0,SUMIF(куб!$A:$A,$G458,куб!H:H),SUMIF(куб!$A:$A,$G458,куб!H:H)))))))</f>
        <v>0</v>
      </c>
      <c r="I458" s="27">
        <f>IF($G458&lt;&gt;0,SUMIF(куб!$G:$G,$G458,куб!I:I),IF($E458&lt;&gt;0,SUMIF(куб!$E:$E,$E458,куб!I:I),IF($D458&lt;&gt;0,SUMIF(куб!$D:$D,$D458,куб!I:I),IF($C458&lt;&gt;0,SUMIF(куб!$C:$C,$C458,куб!I:I),IF($B458&lt;&gt;0,SUMIF(куб!$B:$B,$B458,куб!I:I),IF($G458&lt;&gt;0,SUMIF(куб!$A:$A,$G458,куб!I:I),SUMIF(куб!$A:$A,$G458,куб!I:I)))))))</f>
        <v>0</v>
      </c>
      <c r="J458" s="19" t="str">
        <f t="shared" si="147"/>
        <v>-</v>
      </c>
      <c r="K458" s="8"/>
      <c r="L458" s="17">
        <f t="shared" si="148"/>
        <v>0</v>
      </c>
      <c r="M458" s="17">
        <f t="shared" si="149"/>
        <v>0</v>
      </c>
      <c r="N458" s="12">
        <f t="shared" si="150"/>
        <v>0</v>
      </c>
      <c r="O458" s="5"/>
      <c r="P458" s="27" t="b">
        <f>IF($G458&lt;&gt;0,SUMIF(куб!$G:$G,$G458,куб!J:J),IF($E458&lt;&gt;0,SUMIF(куб!$E:$E,$E458,куб!J:J),IF($D458&lt;&gt;0,SUMIF(куб!$D:$D,$D458,куб!J:J),IF($C458&lt;&gt;0,SUMIF(куб!$C:$C,$C458,куб!J:J),IF($B458&lt;&gt;0,SUMIF(куб!$B:$B,$B458,куб!J:J))))))</f>
        <v>0</v>
      </c>
      <c r="Q458" s="27" t="b">
        <f>IF($G458&lt;&gt;0,SUMIF(куб!$G:$G,$G458,куб!K:K),IF($E458&lt;&gt;0,SUMIF(куб!$E:$E,$E458,куб!K:K),IF($D458&lt;&gt;0,SUMIF(куб!$D:$D,$D458,куб!K:K),IF($C458&lt;&gt;0,SUMIF(куб!$C:$C,$C458,куб!K:K),IF($B458&lt;&gt;0,SUMIF(куб!$B:$B,$B458,куб!K:K))))))</f>
        <v>0</v>
      </c>
      <c r="R458" s="13" t="str">
        <f t="shared" si="151"/>
        <v>-</v>
      </c>
      <c r="S458" s="5"/>
      <c r="T458" s="27" t="b">
        <f>IF($G458&lt;&gt;0,SUMIF(куб!$G:$G,$G458,куб!L:L),IF($E458&lt;&gt;0,SUMIF(куб!$E:$E,$E458,куб!L:L),IF($D458&lt;&gt;0,SUMIF(куб!$D:$D,$D458,куб!L:L),IF($C458&lt;&gt;0,SUMIF(куб!$C:$C,$C458,куб!L:L),IF($B458&lt;&gt;0,SUMIF(куб!$B:$B,$B458,куб!L:L))))))</f>
        <v>0</v>
      </c>
      <c r="U458" s="27" t="b">
        <f>IF($G458&lt;&gt;0,SUMIF(куб!$G:$G,$G458,куб!M:M),IF($E458&lt;&gt;0,SUMIF(куб!$E:$E,$E458,куб!M:M),IF($D458&lt;&gt;0,SUMIF(куб!$D:$D,$D458,куб!M:M),IF($C458&lt;&gt;0,SUMIF(куб!$C:$C,$C458,куб!M:M),IF($B458&lt;&gt;0,SUMIF(куб!$B:$B,$B458,куб!M:M))))))</f>
        <v>0</v>
      </c>
      <c r="V458" s="13" t="str">
        <f t="shared" si="152"/>
        <v>-</v>
      </c>
      <c r="W458" s="5"/>
      <c r="X458" s="27" t="b">
        <f>IF($G458&lt;&gt;0,SUMIF(куб!$G:$G,$G458,куб!N:N),IF($E458&lt;&gt;0,SUMIF(куб!$E:$E,$E458,куб!N:N),IF($D458&lt;&gt;0,SUMIF(куб!$D:$D,$D458,куб!N:N),IF($C458&lt;&gt;0,SUMIF(куб!$C:$C,$C458,куб!N:N),IF($B458&lt;&gt;0,SUMIF(куб!$B:$B,$B458,куб!N:N))))))</f>
        <v>0</v>
      </c>
      <c r="Y458" s="27" t="b">
        <f>IF($G458&lt;&gt;0,SUMIF(куб!$G:$G,$G458,куб!O:O),IF($E458&lt;&gt;0,SUMIF(куб!$E:$E,$E458,куб!O:O),IF($D458&lt;&gt;0,SUMIF(куб!$D:$D,$D458,куб!O:O),IF($C458&lt;&gt;0,SUMIF(куб!$C:$C,$C458,куб!O:O),IF($B458&lt;&gt;0,SUMIF(куб!$B:$B,$B458,куб!O:O))))))</f>
        <v>0</v>
      </c>
      <c r="Z458" s="13" t="str">
        <f t="shared" si="153"/>
        <v>-</v>
      </c>
      <c r="AA458" s="5"/>
      <c r="AB458" s="33" t="str">
        <f t="shared" si="154"/>
        <v/>
      </c>
      <c r="AC458" s="33" t="str">
        <f t="shared" si="155"/>
        <v/>
      </c>
      <c r="AD458" s="15" t="str">
        <f t="shared" si="156"/>
        <v xml:space="preserve"> </v>
      </c>
      <c r="AE458" s="5"/>
      <c r="AF458" s="27" t="b">
        <f>IF($G458&lt;&gt;0,SUMIF(куб!$G:$G,$G458,куб!R:R),IF($E458&lt;&gt;0,SUMIF(куб!$E:$E,$E458,куб!R:R),IF($D458&lt;&gt;0,SUMIF(куб!$D:$D,$D458,куб!R:R),IF($C458&lt;&gt;0,SUMIF(куб!$C:$C,$C458,куб!R:R),IF($B458&lt;&gt;0,SUMIF(куб!$B:$B,$B458,куб!R:R))))))</f>
        <v>0</v>
      </c>
      <c r="AG458" s="27" t="b">
        <f>IF($G458&lt;&gt;0,SUMIF(куб!$G:$G,$G458,куб!S:S),IF($E458&lt;&gt;0,SUMIF(куб!$E:$E,$E458,куб!S:S),IF($D458&lt;&gt;0,SUMIF(куб!$D:$D,$D458,куб!S:S),IF($C458&lt;&gt;0,SUMIF(куб!$C:$C,$C458,куб!S:S),IF($B458&lt;&gt;0,SUMIF(куб!$B:$B,$B458,куб!S:S))))))</f>
        <v>0</v>
      </c>
      <c r="AH458" s="16" t="str">
        <f t="shared" si="157"/>
        <v>-</v>
      </c>
      <c r="AI458" s="8"/>
      <c r="AJ458" s="27" t="b">
        <f>IF($G458&lt;&gt;0,SUMIF(куб!$G:$G,$G458,куб!T:T),IF($E458&lt;&gt;0,SUMIF(куб!$E:$E,$E458,куб!T:T),IF($D458&lt;&gt;0,SUMIF(куб!$D:$D,$D458,куб!T:T),IF($C458&lt;&gt;0,SUMIF(куб!$C:$C,$C458,куб!T:T),IF($B458&lt;&gt;0,SUMIF(куб!$B:$B,$B458,куб!T:T))))))</f>
        <v>0</v>
      </c>
      <c r="AK458" s="27" t="b">
        <f>IF($G458&lt;&gt;0,SUMIF(куб!$G:$G,$G458,куб!U:U),IF($E458&lt;&gt;0,SUMIF(куб!$E:$E,$E458,куб!U:U),IF($D458&lt;&gt;0,SUMIF(куб!$D:$D,$D458,куб!U:U),IF($C458&lt;&gt;0,SUMIF(куб!$C:$C,$C458,куб!U:U),IF($B458&lt;&gt;0,SUMIF(куб!$B:$B,$B458,куб!U:U))))))</f>
        <v>0</v>
      </c>
      <c r="AL458" s="16" t="str">
        <f t="shared" si="158"/>
        <v>-</v>
      </c>
      <c r="AM458" s="8"/>
      <c r="AN458" s="17" t="str">
        <f t="shared" si="159"/>
        <v xml:space="preserve"> </v>
      </c>
      <c r="AO458" s="17" t="str">
        <f t="shared" si="160"/>
        <v xml:space="preserve"> </v>
      </c>
      <c r="AP458" s="16" t="str">
        <f t="shared" si="161"/>
        <v>-</v>
      </c>
      <c r="AQ458" s="8"/>
      <c r="AR458" s="17" t="str">
        <f t="shared" si="162"/>
        <v>-</v>
      </c>
      <c r="AS458" s="17" t="str">
        <f t="shared" si="163"/>
        <v>-</v>
      </c>
      <c r="AT458" s="13" t="str">
        <f t="shared" si="164"/>
        <v>-</v>
      </c>
      <c r="AU458" s="8"/>
    </row>
    <row r="459" spans="1:47" x14ac:dyDescent="0.25">
      <c r="A459" s="31"/>
      <c r="B459" s="31"/>
      <c r="C459"/>
      <c r="D459" s="31"/>
      <c r="E459"/>
      <c r="F459" s="31"/>
      <c r="G459"/>
      <c r="H459" s="27">
        <f>IF($G459&lt;&gt;0,SUMIF(куб!$G:$G,$G459,куб!H:H),IF($E459&lt;&gt;0,SUMIF(куб!$E:$E,$E459,куб!H:H),IF($D459&lt;&gt;0,SUMIF(куб!$D:$D,$D459,куб!H:H),IF($C459&lt;&gt;0,SUMIF(куб!$C:$C,$C459,куб!H:H),IF($B459&lt;&gt;0,SUMIF(куб!$B:$B,$B459,куб!H:H),IF($G459&lt;&gt;0,SUMIF(куб!$A:$A,$G459,куб!H:H),SUMIF(куб!$A:$A,$G459,куб!H:H)))))))</f>
        <v>0</v>
      </c>
      <c r="I459" s="27">
        <f>IF($G459&lt;&gt;0,SUMIF(куб!$G:$G,$G459,куб!I:I),IF($E459&lt;&gt;0,SUMIF(куб!$E:$E,$E459,куб!I:I),IF($D459&lt;&gt;0,SUMIF(куб!$D:$D,$D459,куб!I:I),IF($C459&lt;&gt;0,SUMIF(куб!$C:$C,$C459,куб!I:I),IF($B459&lt;&gt;0,SUMIF(куб!$B:$B,$B459,куб!I:I),IF($G459&lt;&gt;0,SUMIF(куб!$A:$A,$G459,куб!I:I),SUMIF(куб!$A:$A,$G459,куб!I:I)))))))</f>
        <v>0</v>
      </c>
      <c r="J459" s="19" t="str">
        <f t="shared" si="147"/>
        <v>-</v>
      </c>
      <c r="K459" s="8"/>
      <c r="L459" s="17">
        <f t="shared" si="148"/>
        <v>0</v>
      </c>
      <c r="M459" s="17">
        <f t="shared" si="149"/>
        <v>0</v>
      </c>
      <c r="N459" s="12">
        <f t="shared" si="150"/>
        <v>0</v>
      </c>
      <c r="O459" s="5"/>
      <c r="P459" s="27" t="b">
        <f>IF($G459&lt;&gt;0,SUMIF(куб!$G:$G,$G459,куб!J:J),IF($E459&lt;&gt;0,SUMIF(куб!$E:$E,$E459,куб!J:J),IF($D459&lt;&gt;0,SUMIF(куб!$D:$D,$D459,куб!J:J),IF($C459&lt;&gt;0,SUMIF(куб!$C:$C,$C459,куб!J:J),IF($B459&lt;&gt;0,SUMIF(куб!$B:$B,$B459,куб!J:J))))))</f>
        <v>0</v>
      </c>
      <c r="Q459" s="27" t="b">
        <f>IF($G459&lt;&gt;0,SUMIF(куб!$G:$G,$G459,куб!K:K),IF($E459&lt;&gt;0,SUMIF(куб!$E:$E,$E459,куб!K:K),IF($D459&lt;&gt;0,SUMIF(куб!$D:$D,$D459,куб!K:K),IF($C459&lt;&gt;0,SUMIF(куб!$C:$C,$C459,куб!K:K),IF($B459&lt;&gt;0,SUMIF(куб!$B:$B,$B459,куб!K:K))))))</f>
        <v>0</v>
      </c>
      <c r="R459" s="13" t="str">
        <f t="shared" si="151"/>
        <v>-</v>
      </c>
      <c r="S459" s="5"/>
      <c r="T459" s="27" t="b">
        <f>IF($G459&lt;&gt;0,SUMIF(куб!$G:$G,$G459,куб!L:L),IF($E459&lt;&gt;0,SUMIF(куб!$E:$E,$E459,куб!L:L),IF($D459&lt;&gt;0,SUMIF(куб!$D:$D,$D459,куб!L:L),IF($C459&lt;&gt;0,SUMIF(куб!$C:$C,$C459,куб!L:L),IF($B459&lt;&gt;0,SUMIF(куб!$B:$B,$B459,куб!L:L))))))</f>
        <v>0</v>
      </c>
      <c r="U459" s="27" t="b">
        <f>IF($G459&lt;&gt;0,SUMIF(куб!$G:$G,$G459,куб!M:M),IF($E459&lt;&gt;0,SUMIF(куб!$E:$E,$E459,куб!M:M),IF($D459&lt;&gt;0,SUMIF(куб!$D:$D,$D459,куб!M:M),IF($C459&lt;&gt;0,SUMIF(куб!$C:$C,$C459,куб!M:M),IF($B459&lt;&gt;0,SUMIF(куб!$B:$B,$B459,куб!M:M))))))</f>
        <v>0</v>
      </c>
      <c r="V459" s="13" t="str">
        <f t="shared" si="152"/>
        <v>-</v>
      </c>
      <c r="W459" s="5"/>
      <c r="X459" s="27" t="b">
        <f>IF($G459&lt;&gt;0,SUMIF(куб!$G:$G,$G459,куб!N:N),IF($E459&lt;&gt;0,SUMIF(куб!$E:$E,$E459,куб!N:N),IF($D459&lt;&gt;0,SUMIF(куб!$D:$D,$D459,куб!N:N),IF($C459&lt;&gt;0,SUMIF(куб!$C:$C,$C459,куб!N:N),IF($B459&lt;&gt;0,SUMIF(куб!$B:$B,$B459,куб!N:N))))))</f>
        <v>0</v>
      </c>
      <c r="Y459" s="27" t="b">
        <f>IF($G459&lt;&gt;0,SUMIF(куб!$G:$G,$G459,куб!O:O),IF($E459&lt;&gt;0,SUMIF(куб!$E:$E,$E459,куб!O:O),IF($D459&lt;&gt;0,SUMIF(куб!$D:$D,$D459,куб!O:O),IF($C459&lt;&gt;0,SUMIF(куб!$C:$C,$C459,куб!O:O),IF($B459&lt;&gt;0,SUMIF(куб!$B:$B,$B459,куб!O:O))))))</f>
        <v>0</v>
      </c>
      <c r="Z459" s="13" t="str">
        <f t="shared" si="153"/>
        <v>-</v>
      </c>
      <c r="AA459" s="5"/>
      <c r="AB459" s="33" t="str">
        <f t="shared" si="154"/>
        <v/>
      </c>
      <c r="AC459" s="33" t="str">
        <f t="shared" si="155"/>
        <v/>
      </c>
      <c r="AD459" s="15" t="str">
        <f t="shared" si="156"/>
        <v xml:space="preserve"> </v>
      </c>
      <c r="AE459" s="5"/>
      <c r="AF459" s="27" t="b">
        <f>IF($G459&lt;&gt;0,SUMIF(куб!$G:$G,$G459,куб!R:R),IF($E459&lt;&gt;0,SUMIF(куб!$E:$E,$E459,куб!R:R),IF($D459&lt;&gt;0,SUMIF(куб!$D:$D,$D459,куб!R:R),IF($C459&lt;&gt;0,SUMIF(куб!$C:$C,$C459,куб!R:R),IF($B459&lt;&gt;0,SUMIF(куб!$B:$B,$B459,куб!R:R))))))</f>
        <v>0</v>
      </c>
      <c r="AG459" s="27" t="b">
        <f>IF($G459&lt;&gt;0,SUMIF(куб!$G:$G,$G459,куб!S:S),IF($E459&lt;&gt;0,SUMIF(куб!$E:$E,$E459,куб!S:S),IF($D459&lt;&gt;0,SUMIF(куб!$D:$D,$D459,куб!S:S),IF($C459&lt;&gt;0,SUMIF(куб!$C:$C,$C459,куб!S:S),IF($B459&lt;&gt;0,SUMIF(куб!$B:$B,$B459,куб!S:S))))))</f>
        <v>0</v>
      </c>
      <c r="AH459" s="16" t="str">
        <f t="shared" si="157"/>
        <v>-</v>
      </c>
      <c r="AI459" s="8"/>
      <c r="AJ459" s="27" t="b">
        <f>IF($G459&lt;&gt;0,SUMIF(куб!$G:$G,$G459,куб!T:T),IF($E459&lt;&gt;0,SUMIF(куб!$E:$E,$E459,куб!T:T),IF($D459&lt;&gt;0,SUMIF(куб!$D:$D,$D459,куб!T:T),IF($C459&lt;&gt;0,SUMIF(куб!$C:$C,$C459,куб!T:T),IF($B459&lt;&gt;0,SUMIF(куб!$B:$B,$B459,куб!T:T))))))</f>
        <v>0</v>
      </c>
      <c r="AK459" s="27" t="b">
        <f>IF($G459&lt;&gt;0,SUMIF(куб!$G:$G,$G459,куб!U:U),IF($E459&lt;&gt;0,SUMIF(куб!$E:$E,$E459,куб!U:U),IF($D459&lt;&gt;0,SUMIF(куб!$D:$D,$D459,куб!U:U),IF($C459&lt;&gt;0,SUMIF(куб!$C:$C,$C459,куб!U:U),IF($B459&lt;&gt;0,SUMIF(куб!$B:$B,$B459,куб!U:U))))))</f>
        <v>0</v>
      </c>
      <c r="AL459" s="16" t="str">
        <f t="shared" si="158"/>
        <v>-</v>
      </c>
      <c r="AM459" s="8"/>
      <c r="AN459" s="17" t="str">
        <f t="shared" si="159"/>
        <v xml:space="preserve"> </v>
      </c>
      <c r="AO459" s="17" t="str">
        <f t="shared" si="160"/>
        <v xml:space="preserve"> </v>
      </c>
      <c r="AP459" s="16" t="str">
        <f t="shared" si="161"/>
        <v>-</v>
      </c>
      <c r="AQ459" s="8"/>
      <c r="AR459" s="17" t="str">
        <f t="shared" si="162"/>
        <v>-</v>
      </c>
      <c r="AS459" s="17" t="str">
        <f t="shared" si="163"/>
        <v>-</v>
      </c>
      <c r="AT459" s="13" t="str">
        <f t="shared" si="164"/>
        <v>-</v>
      </c>
      <c r="AU459" s="8"/>
    </row>
    <row r="460" spans="1:47" x14ac:dyDescent="0.25">
      <c r="A460" s="31"/>
      <c r="B460" s="31"/>
      <c r="C460"/>
      <c r="D460" s="31"/>
      <c r="E460"/>
      <c r="F460" s="31"/>
      <c r="G460"/>
      <c r="H460" s="27">
        <f>IF($G460&lt;&gt;0,SUMIF(куб!$G:$G,$G460,куб!H:H),IF($E460&lt;&gt;0,SUMIF(куб!$E:$E,$E460,куб!H:H),IF($D460&lt;&gt;0,SUMIF(куб!$D:$D,$D460,куб!H:H),IF($C460&lt;&gt;0,SUMIF(куб!$C:$C,$C460,куб!H:H),IF($B460&lt;&gt;0,SUMIF(куб!$B:$B,$B460,куб!H:H),IF($G460&lt;&gt;0,SUMIF(куб!$A:$A,$G460,куб!H:H),SUMIF(куб!$A:$A,$G460,куб!H:H)))))))</f>
        <v>0</v>
      </c>
      <c r="I460" s="27">
        <f>IF($G460&lt;&gt;0,SUMIF(куб!$G:$G,$G460,куб!I:I),IF($E460&lt;&gt;0,SUMIF(куб!$E:$E,$E460,куб!I:I),IF($D460&lt;&gt;0,SUMIF(куб!$D:$D,$D460,куб!I:I),IF($C460&lt;&gt;0,SUMIF(куб!$C:$C,$C460,куб!I:I),IF($B460&lt;&gt;0,SUMIF(куб!$B:$B,$B460,куб!I:I),IF($G460&lt;&gt;0,SUMIF(куб!$A:$A,$G460,куб!I:I),SUMIF(куб!$A:$A,$G460,куб!I:I)))))))</f>
        <v>0</v>
      </c>
      <c r="J460" s="19" t="str">
        <f t="shared" si="147"/>
        <v>-</v>
      </c>
      <c r="K460" s="8"/>
      <c r="L460" s="17">
        <f t="shared" si="148"/>
        <v>0</v>
      </c>
      <c r="M460" s="17">
        <f t="shared" si="149"/>
        <v>0</v>
      </c>
      <c r="N460" s="12">
        <f t="shared" si="150"/>
        <v>0</v>
      </c>
      <c r="O460" s="5"/>
      <c r="P460" s="27" t="b">
        <f>IF($G460&lt;&gt;0,SUMIF(куб!$G:$G,$G460,куб!J:J),IF($E460&lt;&gt;0,SUMIF(куб!$E:$E,$E460,куб!J:J),IF($D460&lt;&gt;0,SUMIF(куб!$D:$D,$D460,куб!J:J),IF($C460&lt;&gt;0,SUMIF(куб!$C:$C,$C460,куб!J:J),IF($B460&lt;&gt;0,SUMIF(куб!$B:$B,$B460,куб!J:J))))))</f>
        <v>0</v>
      </c>
      <c r="Q460" s="27" t="b">
        <f>IF($G460&lt;&gt;0,SUMIF(куб!$G:$G,$G460,куб!K:K),IF($E460&lt;&gt;0,SUMIF(куб!$E:$E,$E460,куб!K:K),IF($D460&lt;&gt;0,SUMIF(куб!$D:$D,$D460,куб!K:K),IF($C460&lt;&gt;0,SUMIF(куб!$C:$C,$C460,куб!K:K),IF($B460&lt;&gt;0,SUMIF(куб!$B:$B,$B460,куб!K:K))))))</f>
        <v>0</v>
      </c>
      <c r="R460" s="13" t="str">
        <f t="shared" si="151"/>
        <v>-</v>
      </c>
      <c r="S460" s="5"/>
      <c r="T460" s="27" t="b">
        <f>IF($G460&lt;&gt;0,SUMIF(куб!$G:$G,$G460,куб!L:L),IF($E460&lt;&gt;0,SUMIF(куб!$E:$E,$E460,куб!L:L),IF($D460&lt;&gt;0,SUMIF(куб!$D:$D,$D460,куб!L:L),IF($C460&lt;&gt;0,SUMIF(куб!$C:$C,$C460,куб!L:L),IF($B460&lt;&gt;0,SUMIF(куб!$B:$B,$B460,куб!L:L))))))</f>
        <v>0</v>
      </c>
      <c r="U460" s="27" t="b">
        <f>IF($G460&lt;&gt;0,SUMIF(куб!$G:$G,$G460,куб!M:M),IF($E460&lt;&gt;0,SUMIF(куб!$E:$E,$E460,куб!M:M),IF($D460&lt;&gt;0,SUMIF(куб!$D:$D,$D460,куб!M:M),IF($C460&lt;&gt;0,SUMIF(куб!$C:$C,$C460,куб!M:M),IF($B460&lt;&gt;0,SUMIF(куб!$B:$B,$B460,куб!M:M))))))</f>
        <v>0</v>
      </c>
      <c r="V460" s="13" t="str">
        <f t="shared" si="152"/>
        <v>-</v>
      </c>
      <c r="W460" s="5"/>
      <c r="X460" s="27" t="b">
        <f>IF($G460&lt;&gt;0,SUMIF(куб!$G:$G,$G460,куб!N:N),IF($E460&lt;&gt;0,SUMIF(куб!$E:$E,$E460,куб!N:N),IF($D460&lt;&gt;0,SUMIF(куб!$D:$D,$D460,куб!N:N),IF($C460&lt;&gt;0,SUMIF(куб!$C:$C,$C460,куб!N:N),IF($B460&lt;&gt;0,SUMIF(куб!$B:$B,$B460,куб!N:N))))))</f>
        <v>0</v>
      </c>
      <c r="Y460" s="27" t="b">
        <f>IF($G460&lt;&gt;0,SUMIF(куб!$G:$G,$G460,куб!O:O),IF($E460&lt;&gt;0,SUMIF(куб!$E:$E,$E460,куб!O:O),IF($D460&lt;&gt;0,SUMIF(куб!$D:$D,$D460,куб!O:O),IF($C460&lt;&gt;0,SUMIF(куб!$C:$C,$C460,куб!O:O),IF($B460&lt;&gt;0,SUMIF(куб!$B:$B,$B460,куб!O:O))))))</f>
        <v>0</v>
      </c>
      <c r="Z460" s="13" t="str">
        <f t="shared" si="153"/>
        <v>-</v>
      </c>
      <c r="AA460" s="5"/>
      <c r="AB460" s="33" t="str">
        <f t="shared" si="154"/>
        <v/>
      </c>
      <c r="AC460" s="33" t="str">
        <f t="shared" si="155"/>
        <v/>
      </c>
      <c r="AD460" s="15" t="str">
        <f t="shared" si="156"/>
        <v xml:space="preserve"> </v>
      </c>
      <c r="AE460" s="5"/>
      <c r="AF460" s="27" t="b">
        <f>IF($G460&lt;&gt;0,SUMIF(куб!$G:$G,$G460,куб!R:R),IF($E460&lt;&gt;0,SUMIF(куб!$E:$E,$E460,куб!R:R),IF($D460&lt;&gt;0,SUMIF(куб!$D:$D,$D460,куб!R:R),IF($C460&lt;&gt;0,SUMIF(куб!$C:$C,$C460,куб!R:R),IF($B460&lt;&gt;0,SUMIF(куб!$B:$B,$B460,куб!R:R))))))</f>
        <v>0</v>
      </c>
      <c r="AG460" s="27" t="b">
        <f>IF($G460&lt;&gt;0,SUMIF(куб!$G:$G,$G460,куб!S:S),IF($E460&lt;&gt;0,SUMIF(куб!$E:$E,$E460,куб!S:S),IF($D460&lt;&gt;0,SUMIF(куб!$D:$D,$D460,куб!S:S),IF($C460&lt;&gt;0,SUMIF(куб!$C:$C,$C460,куб!S:S),IF($B460&lt;&gt;0,SUMIF(куб!$B:$B,$B460,куб!S:S))))))</f>
        <v>0</v>
      </c>
      <c r="AH460" s="16" t="str">
        <f t="shared" si="157"/>
        <v>-</v>
      </c>
      <c r="AI460" s="8"/>
      <c r="AJ460" s="27" t="b">
        <f>IF($G460&lt;&gt;0,SUMIF(куб!$G:$G,$G460,куб!T:T),IF($E460&lt;&gt;0,SUMIF(куб!$E:$E,$E460,куб!T:T),IF($D460&lt;&gt;0,SUMIF(куб!$D:$D,$D460,куб!T:T),IF($C460&lt;&gt;0,SUMIF(куб!$C:$C,$C460,куб!T:T),IF($B460&lt;&gt;0,SUMIF(куб!$B:$B,$B460,куб!T:T))))))</f>
        <v>0</v>
      </c>
      <c r="AK460" s="27" t="b">
        <f>IF($G460&lt;&gt;0,SUMIF(куб!$G:$G,$G460,куб!U:U),IF($E460&lt;&gt;0,SUMIF(куб!$E:$E,$E460,куб!U:U),IF($D460&lt;&gt;0,SUMIF(куб!$D:$D,$D460,куб!U:U),IF($C460&lt;&gt;0,SUMIF(куб!$C:$C,$C460,куб!U:U),IF($B460&lt;&gt;0,SUMIF(куб!$B:$B,$B460,куб!U:U))))))</f>
        <v>0</v>
      </c>
      <c r="AL460" s="16" t="str">
        <f t="shared" si="158"/>
        <v>-</v>
      </c>
      <c r="AM460" s="8"/>
      <c r="AN460" s="17" t="str">
        <f t="shared" si="159"/>
        <v xml:space="preserve"> </v>
      </c>
      <c r="AO460" s="17" t="str">
        <f t="shared" si="160"/>
        <v xml:space="preserve"> </v>
      </c>
      <c r="AP460" s="16" t="str">
        <f t="shared" si="161"/>
        <v>-</v>
      </c>
      <c r="AQ460" s="8"/>
      <c r="AR460" s="17" t="str">
        <f t="shared" si="162"/>
        <v>-</v>
      </c>
      <c r="AS460" s="17" t="str">
        <f t="shared" si="163"/>
        <v>-</v>
      </c>
      <c r="AT460" s="13" t="str">
        <f t="shared" si="164"/>
        <v>-</v>
      </c>
      <c r="AU460" s="8"/>
    </row>
    <row r="461" spans="1:47" x14ac:dyDescent="0.25">
      <c r="A461" s="31"/>
      <c r="B461" s="31"/>
      <c r="C461"/>
      <c r="D461" s="31"/>
      <c r="E461"/>
      <c r="F461" s="31"/>
      <c r="G461"/>
      <c r="H461" s="27">
        <f>IF($G461&lt;&gt;0,SUMIF(куб!$G:$G,$G461,куб!H:H),IF($E461&lt;&gt;0,SUMIF(куб!$E:$E,$E461,куб!H:H),IF($D461&lt;&gt;0,SUMIF(куб!$D:$D,$D461,куб!H:H),IF($C461&lt;&gt;0,SUMIF(куб!$C:$C,$C461,куб!H:H),IF($B461&lt;&gt;0,SUMIF(куб!$B:$B,$B461,куб!H:H),IF($G461&lt;&gt;0,SUMIF(куб!$A:$A,$G461,куб!H:H),SUMIF(куб!$A:$A,$G461,куб!H:H)))))))</f>
        <v>0</v>
      </c>
      <c r="I461" s="27">
        <f>IF($G461&lt;&gt;0,SUMIF(куб!$G:$G,$G461,куб!I:I),IF($E461&lt;&gt;0,SUMIF(куб!$E:$E,$E461,куб!I:I),IF($D461&lt;&gt;0,SUMIF(куб!$D:$D,$D461,куб!I:I),IF($C461&lt;&gt;0,SUMIF(куб!$C:$C,$C461,куб!I:I),IF($B461&lt;&gt;0,SUMIF(куб!$B:$B,$B461,куб!I:I),IF($G461&lt;&gt;0,SUMIF(куб!$A:$A,$G461,куб!I:I),SUMIF(куб!$A:$A,$G461,куб!I:I)))))))</f>
        <v>0</v>
      </c>
      <c r="J461" s="19" t="str">
        <f t="shared" ref="J461:J524" si="165">IFERROR((I461-H461)/ABS(H461),"-")</f>
        <v>-</v>
      </c>
      <c r="K461" s="8"/>
      <c r="L461" s="17">
        <f t="shared" ref="L461:L524" si="166">H461/$H$3</f>
        <v>0</v>
      </c>
      <c r="M461" s="17">
        <f t="shared" ref="M461:M524" si="167">I461/$I$3</f>
        <v>0</v>
      </c>
      <c r="N461" s="12">
        <f t="shared" ref="N461:N524" si="168">M461-L461</f>
        <v>0</v>
      </c>
      <c r="O461" s="5"/>
      <c r="P461" s="27" t="b">
        <f>IF($G461&lt;&gt;0,SUMIF(куб!$G:$G,$G461,куб!J:J),IF($E461&lt;&gt;0,SUMIF(куб!$E:$E,$E461,куб!J:J),IF($D461&lt;&gt;0,SUMIF(куб!$D:$D,$D461,куб!J:J),IF($C461&lt;&gt;0,SUMIF(куб!$C:$C,$C461,куб!J:J),IF($B461&lt;&gt;0,SUMIF(куб!$B:$B,$B461,куб!J:J))))))</f>
        <v>0</v>
      </c>
      <c r="Q461" s="27" t="b">
        <f>IF($G461&lt;&gt;0,SUMIF(куб!$G:$G,$G461,куб!K:K),IF($E461&lt;&gt;0,SUMIF(куб!$E:$E,$E461,куб!K:K),IF($D461&lt;&gt;0,SUMIF(куб!$D:$D,$D461,куб!K:K),IF($C461&lt;&gt;0,SUMIF(куб!$C:$C,$C461,куб!K:K),IF($B461&lt;&gt;0,SUMIF(куб!$B:$B,$B461,куб!K:K))))))</f>
        <v>0</v>
      </c>
      <c r="R461" s="13" t="str">
        <f t="shared" ref="R461:R524" si="169">IFERROR((Q461-P461)/ABS(P461),"-")</f>
        <v>-</v>
      </c>
      <c r="S461" s="5"/>
      <c r="T461" s="27" t="b">
        <f>IF($G461&lt;&gt;0,SUMIF(куб!$G:$G,$G461,куб!L:L),IF($E461&lt;&gt;0,SUMIF(куб!$E:$E,$E461,куб!L:L),IF($D461&lt;&gt;0,SUMIF(куб!$D:$D,$D461,куб!L:L),IF($C461&lt;&gt;0,SUMIF(куб!$C:$C,$C461,куб!L:L),IF($B461&lt;&gt;0,SUMIF(куб!$B:$B,$B461,куб!L:L))))))</f>
        <v>0</v>
      </c>
      <c r="U461" s="27" t="b">
        <f>IF($G461&lt;&gt;0,SUMIF(куб!$G:$G,$G461,куб!M:M),IF($E461&lt;&gt;0,SUMIF(куб!$E:$E,$E461,куб!M:M),IF($D461&lt;&gt;0,SUMIF(куб!$D:$D,$D461,куб!M:M),IF($C461&lt;&gt;0,SUMIF(куб!$C:$C,$C461,куб!M:M),IF($B461&lt;&gt;0,SUMIF(куб!$B:$B,$B461,куб!M:M))))))</f>
        <v>0</v>
      </c>
      <c r="V461" s="13" t="str">
        <f t="shared" ref="V461:V524" si="170">IFERROR((U461-T461)/ABS(T461),"-")</f>
        <v>-</v>
      </c>
      <c r="W461" s="5"/>
      <c r="X461" s="27" t="b">
        <f>IF($G461&lt;&gt;0,SUMIF(куб!$G:$G,$G461,куб!N:N),IF($E461&lt;&gt;0,SUMIF(куб!$E:$E,$E461,куб!N:N),IF($D461&lt;&gt;0,SUMIF(куб!$D:$D,$D461,куб!N:N),IF($C461&lt;&gt;0,SUMIF(куб!$C:$C,$C461,куб!N:N),IF($B461&lt;&gt;0,SUMIF(куб!$B:$B,$B461,куб!N:N))))))</f>
        <v>0</v>
      </c>
      <c r="Y461" s="27" t="b">
        <f>IF($G461&lt;&gt;0,SUMIF(куб!$G:$G,$G461,куб!O:O),IF($E461&lt;&gt;0,SUMIF(куб!$E:$E,$E461,куб!O:O),IF($D461&lt;&gt;0,SUMIF(куб!$D:$D,$D461,куб!O:O),IF($C461&lt;&gt;0,SUMIF(куб!$C:$C,$C461,куб!O:O),IF($B461&lt;&gt;0,SUMIF(куб!$B:$B,$B461,куб!O:O))))))</f>
        <v>0</v>
      </c>
      <c r="Z461" s="13" t="str">
        <f t="shared" ref="Z461:Z524" si="171">IFERROR((Y461-X461)/ABS(X461),"-")</f>
        <v>-</v>
      </c>
      <c r="AA461" s="5"/>
      <c r="AB461" s="33" t="str">
        <f t="shared" ref="AB461:AB524" si="172">IFERROR(X461/H461,"")</f>
        <v/>
      </c>
      <c r="AC461" s="33" t="str">
        <f t="shared" ref="AC461:AC524" si="173">IFERROR(Y461/I461,"")</f>
        <v/>
      </c>
      <c r="AD461" s="15" t="str">
        <f t="shared" ref="AD461:AD524" si="174">IFERROR(AC461-AB461," ")</f>
        <v xml:space="preserve"> </v>
      </c>
      <c r="AE461" s="5"/>
      <c r="AF461" s="27" t="b">
        <f>IF($G461&lt;&gt;0,SUMIF(куб!$G:$G,$G461,куб!R:R),IF($E461&lt;&gt;0,SUMIF(куб!$E:$E,$E461,куб!R:R),IF($D461&lt;&gt;0,SUMIF(куб!$D:$D,$D461,куб!R:R),IF($C461&lt;&gt;0,SUMIF(куб!$C:$C,$C461,куб!R:R),IF($B461&lt;&gt;0,SUMIF(куб!$B:$B,$B461,куб!R:R))))))</f>
        <v>0</v>
      </c>
      <c r="AG461" s="27" t="b">
        <f>IF($G461&lt;&gt;0,SUMIF(куб!$G:$G,$G461,куб!S:S),IF($E461&lt;&gt;0,SUMIF(куб!$E:$E,$E461,куб!S:S),IF($D461&lt;&gt;0,SUMIF(куб!$D:$D,$D461,куб!S:S),IF($C461&lt;&gt;0,SUMIF(куб!$C:$C,$C461,куб!S:S),IF($B461&lt;&gt;0,SUMIF(куб!$B:$B,$B461,куб!S:S))))))</f>
        <v>0</v>
      </c>
      <c r="AH461" s="16" t="str">
        <f t="shared" ref="AH461:AH524" si="175">IFERROR((AG461-AF461)/ABS(AF461),"-")</f>
        <v>-</v>
      </c>
      <c r="AI461" s="8"/>
      <c r="AJ461" s="27" t="b">
        <f>IF($G461&lt;&gt;0,SUMIF(куб!$G:$G,$G461,куб!T:T),IF($E461&lt;&gt;0,SUMIF(куб!$E:$E,$E461,куб!T:T),IF($D461&lt;&gt;0,SUMIF(куб!$D:$D,$D461,куб!T:T),IF($C461&lt;&gt;0,SUMIF(куб!$C:$C,$C461,куб!T:T),IF($B461&lt;&gt;0,SUMIF(куб!$B:$B,$B461,куб!T:T))))))</f>
        <v>0</v>
      </c>
      <c r="AK461" s="27" t="b">
        <f>IF($G461&lt;&gt;0,SUMIF(куб!$G:$G,$G461,куб!U:U),IF($E461&lt;&gt;0,SUMIF(куб!$E:$E,$E461,куб!U:U),IF($D461&lt;&gt;0,SUMIF(куб!$D:$D,$D461,куб!U:U),IF($C461&lt;&gt;0,SUMIF(куб!$C:$C,$C461,куб!U:U),IF($B461&lt;&gt;0,SUMIF(куб!$B:$B,$B461,куб!U:U))))))</f>
        <v>0</v>
      </c>
      <c r="AL461" s="16" t="str">
        <f t="shared" ref="AL461:AL524" si="176">IFERROR((AK461-AJ461)/ABS(AJ461),"-")</f>
        <v>-</v>
      </c>
      <c r="AM461" s="8"/>
      <c r="AN461" s="17" t="str">
        <f t="shared" ref="AN461:AN524" si="177">IFERROR(AF461/H461," ")</f>
        <v xml:space="preserve"> </v>
      </c>
      <c r="AO461" s="17" t="str">
        <f t="shared" ref="AO461:AO524" si="178">IFERROR(AG461/I461," ")</f>
        <v xml:space="preserve"> </v>
      </c>
      <c r="AP461" s="16" t="str">
        <f t="shared" ref="AP461:AP524" si="179">IFERROR(AO461-AN461,"-")</f>
        <v>-</v>
      </c>
      <c r="AQ461" s="8"/>
      <c r="AR461" s="17" t="str">
        <f t="shared" ref="AR461:AR524" si="180">IFERROR((X461-AF461)/H461,"-")</f>
        <v>-</v>
      </c>
      <c r="AS461" s="17" t="str">
        <f t="shared" ref="AS461:AS524" si="181">IFERROR((Y461-AG461)/I461,"-")</f>
        <v>-</v>
      </c>
      <c r="AT461" s="13" t="str">
        <f t="shared" ref="AT461:AT524" si="182">IFERROR(AS461-AR461,"-")</f>
        <v>-</v>
      </c>
      <c r="AU461" s="8"/>
    </row>
    <row r="462" spans="1:47" x14ac:dyDescent="0.25">
      <c r="A462" s="31"/>
      <c r="B462" s="31"/>
      <c r="C462"/>
      <c r="D462" s="31"/>
      <c r="E462"/>
      <c r="F462" s="31"/>
      <c r="G462"/>
      <c r="H462" s="27">
        <f>IF($G462&lt;&gt;0,SUMIF(куб!$G:$G,$G462,куб!H:H),IF($E462&lt;&gt;0,SUMIF(куб!$E:$E,$E462,куб!H:H),IF($D462&lt;&gt;0,SUMIF(куб!$D:$D,$D462,куб!H:H),IF($C462&lt;&gt;0,SUMIF(куб!$C:$C,$C462,куб!H:H),IF($B462&lt;&gt;0,SUMIF(куб!$B:$B,$B462,куб!H:H),IF($G462&lt;&gt;0,SUMIF(куб!$A:$A,$G462,куб!H:H),SUMIF(куб!$A:$A,$G462,куб!H:H)))))))</f>
        <v>0</v>
      </c>
      <c r="I462" s="27">
        <f>IF($G462&lt;&gt;0,SUMIF(куб!$G:$G,$G462,куб!I:I),IF($E462&lt;&gt;0,SUMIF(куб!$E:$E,$E462,куб!I:I),IF($D462&lt;&gt;0,SUMIF(куб!$D:$D,$D462,куб!I:I),IF($C462&lt;&gt;0,SUMIF(куб!$C:$C,$C462,куб!I:I),IF($B462&lt;&gt;0,SUMIF(куб!$B:$B,$B462,куб!I:I),IF($G462&lt;&gt;0,SUMIF(куб!$A:$A,$G462,куб!I:I),SUMIF(куб!$A:$A,$G462,куб!I:I)))))))</f>
        <v>0</v>
      </c>
      <c r="J462" s="19" t="str">
        <f t="shared" si="165"/>
        <v>-</v>
      </c>
      <c r="K462" s="8"/>
      <c r="L462" s="17">
        <f t="shared" si="166"/>
        <v>0</v>
      </c>
      <c r="M462" s="17">
        <f t="shared" si="167"/>
        <v>0</v>
      </c>
      <c r="N462" s="12">
        <f t="shared" si="168"/>
        <v>0</v>
      </c>
      <c r="O462" s="5"/>
      <c r="P462" s="27" t="b">
        <f>IF($G462&lt;&gt;0,SUMIF(куб!$G:$G,$G462,куб!J:J),IF($E462&lt;&gt;0,SUMIF(куб!$E:$E,$E462,куб!J:J),IF($D462&lt;&gt;0,SUMIF(куб!$D:$D,$D462,куб!J:J),IF($C462&lt;&gt;0,SUMIF(куб!$C:$C,$C462,куб!J:J),IF($B462&lt;&gt;0,SUMIF(куб!$B:$B,$B462,куб!J:J))))))</f>
        <v>0</v>
      </c>
      <c r="Q462" s="27" t="b">
        <f>IF($G462&lt;&gt;0,SUMIF(куб!$G:$G,$G462,куб!K:K),IF($E462&lt;&gt;0,SUMIF(куб!$E:$E,$E462,куб!K:K),IF($D462&lt;&gt;0,SUMIF(куб!$D:$D,$D462,куб!K:K),IF($C462&lt;&gt;0,SUMIF(куб!$C:$C,$C462,куб!K:K),IF($B462&lt;&gt;0,SUMIF(куб!$B:$B,$B462,куб!K:K))))))</f>
        <v>0</v>
      </c>
      <c r="R462" s="13" t="str">
        <f t="shared" si="169"/>
        <v>-</v>
      </c>
      <c r="S462" s="5"/>
      <c r="T462" s="27" t="b">
        <f>IF($G462&lt;&gt;0,SUMIF(куб!$G:$G,$G462,куб!L:L),IF($E462&lt;&gt;0,SUMIF(куб!$E:$E,$E462,куб!L:L),IF($D462&lt;&gt;0,SUMIF(куб!$D:$D,$D462,куб!L:L),IF($C462&lt;&gt;0,SUMIF(куб!$C:$C,$C462,куб!L:L),IF($B462&lt;&gt;0,SUMIF(куб!$B:$B,$B462,куб!L:L))))))</f>
        <v>0</v>
      </c>
      <c r="U462" s="27" t="b">
        <f>IF($G462&lt;&gt;0,SUMIF(куб!$G:$G,$G462,куб!M:M),IF($E462&lt;&gt;0,SUMIF(куб!$E:$E,$E462,куб!M:M),IF($D462&lt;&gt;0,SUMIF(куб!$D:$D,$D462,куб!M:M),IF($C462&lt;&gt;0,SUMIF(куб!$C:$C,$C462,куб!M:M),IF($B462&lt;&gt;0,SUMIF(куб!$B:$B,$B462,куб!M:M))))))</f>
        <v>0</v>
      </c>
      <c r="V462" s="13" t="str">
        <f t="shared" si="170"/>
        <v>-</v>
      </c>
      <c r="W462" s="5"/>
      <c r="X462" s="27" t="b">
        <f>IF($G462&lt;&gt;0,SUMIF(куб!$G:$G,$G462,куб!N:N),IF($E462&lt;&gt;0,SUMIF(куб!$E:$E,$E462,куб!N:N),IF($D462&lt;&gt;0,SUMIF(куб!$D:$D,$D462,куб!N:N),IF($C462&lt;&gt;0,SUMIF(куб!$C:$C,$C462,куб!N:N),IF($B462&lt;&gt;0,SUMIF(куб!$B:$B,$B462,куб!N:N))))))</f>
        <v>0</v>
      </c>
      <c r="Y462" s="27" t="b">
        <f>IF($G462&lt;&gt;0,SUMIF(куб!$G:$G,$G462,куб!O:O),IF($E462&lt;&gt;0,SUMIF(куб!$E:$E,$E462,куб!O:O),IF($D462&lt;&gt;0,SUMIF(куб!$D:$D,$D462,куб!O:O),IF($C462&lt;&gt;0,SUMIF(куб!$C:$C,$C462,куб!O:O),IF($B462&lt;&gt;0,SUMIF(куб!$B:$B,$B462,куб!O:O))))))</f>
        <v>0</v>
      </c>
      <c r="Z462" s="13" t="str">
        <f t="shared" si="171"/>
        <v>-</v>
      </c>
      <c r="AA462" s="5"/>
      <c r="AB462" s="33" t="str">
        <f t="shared" si="172"/>
        <v/>
      </c>
      <c r="AC462" s="33" t="str">
        <f t="shared" si="173"/>
        <v/>
      </c>
      <c r="AD462" s="15" t="str">
        <f t="shared" si="174"/>
        <v xml:space="preserve"> </v>
      </c>
      <c r="AE462" s="5"/>
      <c r="AF462" s="27" t="b">
        <f>IF($G462&lt;&gt;0,SUMIF(куб!$G:$G,$G462,куб!R:R),IF($E462&lt;&gt;0,SUMIF(куб!$E:$E,$E462,куб!R:R),IF($D462&lt;&gt;0,SUMIF(куб!$D:$D,$D462,куб!R:R),IF($C462&lt;&gt;0,SUMIF(куб!$C:$C,$C462,куб!R:R),IF($B462&lt;&gt;0,SUMIF(куб!$B:$B,$B462,куб!R:R))))))</f>
        <v>0</v>
      </c>
      <c r="AG462" s="27" t="b">
        <f>IF($G462&lt;&gt;0,SUMIF(куб!$G:$G,$G462,куб!S:S),IF($E462&lt;&gt;0,SUMIF(куб!$E:$E,$E462,куб!S:S),IF($D462&lt;&gt;0,SUMIF(куб!$D:$D,$D462,куб!S:S),IF($C462&lt;&gt;0,SUMIF(куб!$C:$C,$C462,куб!S:S),IF($B462&lt;&gt;0,SUMIF(куб!$B:$B,$B462,куб!S:S))))))</f>
        <v>0</v>
      </c>
      <c r="AH462" s="16" t="str">
        <f t="shared" si="175"/>
        <v>-</v>
      </c>
      <c r="AI462" s="8"/>
      <c r="AJ462" s="27" t="b">
        <f>IF($G462&lt;&gt;0,SUMIF(куб!$G:$G,$G462,куб!T:T),IF($E462&lt;&gt;0,SUMIF(куб!$E:$E,$E462,куб!T:T),IF($D462&lt;&gt;0,SUMIF(куб!$D:$D,$D462,куб!T:T),IF($C462&lt;&gt;0,SUMIF(куб!$C:$C,$C462,куб!T:T),IF($B462&lt;&gt;0,SUMIF(куб!$B:$B,$B462,куб!T:T))))))</f>
        <v>0</v>
      </c>
      <c r="AK462" s="27" t="b">
        <f>IF($G462&lt;&gt;0,SUMIF(куб!$G:$G,$G462,куб!U:U),IF($E462&lt;&gt;0,SUMIF(куб!$E:$E,$E462,куб!U:U),IF($D462&lt;&gt;0,SUMIF(куб!$D:$D,$D462,куб!U:U),IF($C462&lt;&gt;0,SUMIF(куб!$C:$C,$C462,куб!U:U),IF($B462&lt;&gt;0,SUMIF(куб!$B:$B,$B462,куб!U:U))))))</f>
        <v>0</v>
      </c>
      <c r="AL462" s="16" t="str">
        <f t="shared" si="176"/>
        <v>-</v>
      </c>
      <c r="AM462" s="8"/>
      <c r="AN462" s="17" t="str">
        <f t="shared" si="177"/>
        <v xml:space="preserve"> </v>
      </c>
      <c r="AO462" s="17" t="str">
        <f t="shared" si="178"/>
        <v xml:space="preserve"> </v>
      </c>
      <c r="AP462" s="16" t="str">
        <f t="shared" si="179"/>
        <v>-</v>
      </c>
      <c r="AQ462" s="8"/>
      <c r="AR462" s="17" t="str">
        <f t="shared" si="180"/>
        <v>-</v>
      </c>
      <c r="AS462" s="17" t="str">
        <f t="shared" si="181"/>
        <v>-</v>
      </c>
      <c r="AT462" s="13" t="str">
        <f t="shared" si="182"/>
        <v>-</v>
      </c>
      <c r="AU462" s="8"/>
    </row>
    <row r="463" spans="1:47" x14ac:dyDescent="0.25">
      <c r="A463" s="31"/>
      <c r="B463" s="31"/>
      <c r="C463"/>
      <c r="D463" s="31"/>
      <c r="E463"/>
      <c r="F463" s="31"/>
      <c r="G463"/>
      <c r="H463" s="27">
        <f>IF($G463&lt;&gt;0,SUMIF(куб!$G:$G,$G463,куб!H:H),IF($E463&lt;&gt;0,SUMIF(куб!$E:$E,$E463,куб!H:H),IF($D463&lt;&gt;0,SUMIF(куб!$D:$D,$D463,куб!H:H),IF($C463&lt;&gt;0,SUMIF(куб!$C:$C,$C463,куб!H:H),IF($B463&lt;&gt;0,SUMIF(куб!$B:$B,$B463,куб!H:H),IF($G463&lt;&gt;0,SUMIF(куб!$A:$A,$G463,куб!H:H),SUMIF(куб!$A:$A,$G463,куб!H:H)))))))</f>
        <v>0</v>
      </c>
      <c r="I463" s="27">
        <f>IF($G463&lt;&gt;0,SUMIF(куб!$G:$G,$G463,куб!I:I),IF($E463&lt;&gt;0,SUMIF(куб!$E:$E,$E463,куб!I:I),IF($D463&lt;&gt;0,SUMIF(куб!$D:$D,$D463,куб!I:I),IF($C463&lt;&gt;0,SUMIF(куб!$C:$C,$C463,куб!I:I),IF($B463&lt;&gt;0,SUMIF(куб!$B:$B,$B463,куб!I:I),IF($G463&lt;&gt;0,SUMIF(куб!$A:$A,$G463,куб!I:I),SUMIF(куб!$A:$A,$G463,куб!I:I)))))))</f>
        <v>0</v>
      </c>
      <c r="J463" s="19" t="str">
        <f t="shared" si="165"/>
        <v>-</v>
      </c>
      <c r="K463" s="8"/>
      <c r="L463" s="17">
        <f t="shared" si="166"/>
        <v>0</v>
      </c>
      <c r="M463" s="17">
        <f t="shared" si="167"/>
        <v>0</v>
      </c>
      <c r="N463" s="12">
        <f t="shared" si="168"/>
        <v>0</v>
      </c>
      <c r="O463" s="5"/>
      <c r="P463" s="27" t="b">
        <f>IF($G463&lt;&gt;0,SUMIF(куб!$G:$G,$G463,куб!J:J),IF($E463&lt;&gt;0,SUMIF(куб!$E:$E,$E463,куб!J:J),IF($D463&lt;&gt;0,SUMIF(куб!$D:$D,$D463,куб!J:J),IF($C463&lt;&gt;0,SUMIF(куб!$C:$C,$C463,куб!J:J),IF($B463&lt;&gt;0,SUMIF(куб!$B:$B,$B463,куб!J:J))))))</f>
        <v>0</v>
      </c>
      <c r="Q463" s="27" t="b">
        <f>IF($G463&lt;&gt;0,SUMIF(куб!$G:$G,$G463,куб!K:K),IF($E463&lt;&gt;0,SUMIF(куб!$E:$E,$E463,куб!K:K),IF($D463&lt;&gt;0,SUMIF(куб!$D:$D,$D463,куб!K:K),IF($C463&lt;&gt;0,SUMIF(куб!$C:$C,$C463,куб!K:K),IF($B463&lt;&gt;0,SUMIF(куб!$B:$B,$B463,куб!K:K))))))</f>
        <v>0</v>
      </c>
      <c r="R463" s="13" t="str">
        <f t="shared" si="169"/>
        <v>-</v>
      </c>
      <c r="S463" s="5"/>
      <c r="T463" s="27" t="b">
        <f>IF($G463&lt;&gt;0,SUMIF(куб!$G:$G,$G463,куб!L:L),IF($E463&lt;&gt;0,SUMIF(куб!$E:$E,$E463,куб!L:L),IF($D463&lt;&gt;0,SUMIF(куб!$D:$D,$D463,куб!L:L),IF($C463&lt;&gt;0,SUMIF(куб!$C:$C,$C463,куб!L:L),IF($B463&lt;&gt;0,SUMIF(куб!$B:$B,$B463,куб!L:L))))))</f>
        <v>0</v>
      </c>
      <c r="U463" s="27" t="b">
        <f>IF($G463&lt;&gt;0,SUMIF(куб!$G:$G,$G463,куб!M:M),IF($E463&lt;&gt;0,SUMIF(куб!$E:$E,$E463,куб!M:M),IF($D463&lt;&gt;0,SUMIF(куб!$D:$D,$D463,куб!M:M),IF($C463&lt;&gt;0,SUMIF(куб!$C:$C,$C463,куб!M:M),IF($B463&lt;&gt;0,SUMIF(куб!$B:$B,$B463,куб!M:M))))))</f>
        <v>0</v>
      </c>
      <c r="V463" s="13" t="str">
        <f t="shared" si="170"/>
        <v>-</v>
      </c>
      <c r="W463" s="5"/>
      <c r="X463" s="27" t="b">
        <f>IF($G463&lt;&gt;0,SUMIF(куб!$G:$G,$G463,куб!N:N),IF($E463&lt;&gt;0,SUMIF(куб!$E:$E,$E463,куб!N:N),IF($D463&lt;&gt;0,SUMIF(куб!$D:$D,$D463,куб!N:N),IF($C463&lt;&gt;0,SUMIF(куб!$C:$C,$C463,куб!N:N),IF($B463&lt;&gt;0,SUMIF(куб!$B:$B,$B463,куб!N:N))))))</f>
        <v>0</v>
      </c>
      <c r="Y463" s="27" t="b">
        <f>IF($G463&lt;&gt;0,SUMIF(куб!$G:$G,$G463,куб!O:O),IF($E463&lt;&gt;0,SUMIF(куб!$E:$E,$E463,куб!O:O),IF($D463&lt;&gt;0,SUMIF(куб!$D:$D,$D463,куб!O:O),IF($C463&lt;&gt;0,SUMIF(куб!$C:$C,$C463,куб!O:O),IF($B463&lt;&gt;0,SUMIF(куб!$B:$B,$B463,куб!O:O))))))</f>
        <v>0</v>
      </c>
      <c r="Z463" s="13" t="str">
        <f t="shared" si="171"/>
        <v>-</v>
      </c>
      <c r="AA463" s="5"/>
      <c r="AB463" s="33" t="str">
        <f t="shared" si="172"/>
        <v/>
      </c>
      <c r="AC463" s="33" t="str">
        <f t="shared" si="173"/>
        <v/>
      </c>
      <c r="AD463" s="15" t="str">
        <f t="shared" si="174"/>
        <v xml:space="preserve"> </v>
      </c>
      <c r="AE463" s="5"/>
      <c r="AF463" s="27" t="b">
        <f>IF($G463&lt;&gt;0,SUMIF(куб!$G:$G,$G463,куб!R:R),IF($E463&lt;&gt;0,SUMIF(куб!$E:$E,$E463,куб!R:R),IF($D463&lt;&gt;0,SUMIF(куб!$D:$D,$D463,куб!R:R),IF($C463&lt;&gt;0,SUMIF(куб!$C:$C,$C463,куб!R:R),IF($B463&lt;&gt;0,SUMIF(куб!$B:$B,$B463,куб!R:R))))))</f>
        <v>0</v>
      </c>
      <c r="AG463" s="27" t="b">
        <f>IF($G463&lt;&gt;0,SUMIF(куб!$G:$G,$G463,куб!S:S),IF($E463&lt;&gt;0,SUMIF(куб!$E:$E,$E463,куб!S:S),IF($D463&lt;&gt;0,SUMIF(куб!$D:$D,$D463,куб!S:S),IF($C463&lt;&gt;0,SUMIF(куб!$C:$C,$C463,куб!S:S),IF($B463&lt;&gt;0,SUMIF(куб!$B:$B,$B463,куб!S:S))))))</f>
        <v>0</v>
      </c>
      <c r="AH463" s="16" t="str">
        <f t="shared" si="175"/>
        <v>-</v>
      </c>
      <c r="AI463" s="8"/>
      <c r="AJ463" s="27" t="b">
        <f>IF($G463&lt;&gt;0,SUMIF(куб!$G:$G,$G463,куб!T:T),IF($E463&lt;&gt;0,SUMIF(куб!$E:$E,$E463,куб!T:T),IF($D463&lt;&gt;0,SUMIF(куб!$D:$D,$D463,куб!T:T),IF($C463&lt;&gt;0,SUMIF(куб!$C:$C,$C463,куб!T:T),IF($B463&lt;&gt;0,SUMIF(куб!$B:$B,$B463,куб!T:T))))))</f>
        <v>0</v>
      </c>
      <c r="AK463" s="27" t="b">
        <f>IF($G463&lt;&gt;0,SUMIF(куб!$G:$G,$G463,куб!U:U),IF($E463&lt;&gt;0,SUMIF(куб!$E:$E,$E463,куб!U:U),IF($D463&lt;&gt;0,SUMIF(куб!$D:$D,$D463,куб!U:U),IF($C463&lt;&gt;0,SUMIF(куб!$C:$C,$C463,куб!U:U),IF($B463&lt;&gt;0,SUMIF(куб!$B:$B,$B463,куб!U:U))))))</f>
        <v>0</v>
      </c>
      <c r="AL463" s="16" t="str">
        <f t="shared" si="176"/>
        <v>-</v>
      </c>
      <c r="AM463" s="8"/>
      <c r="AN463" s="17" t="str">
        <f t="shared" si="177"/>
        <v xml:space="preserve"> </v>
      </c>
      <c r="AO463" s="17" t="str">
        <f t="shared" si="178"/>
        <v xml:space="preserve"> </v>
      </c>
      <c r="AP463" s="16" t="str">
        <f t="shared" si="179"/>
        <v>-</v>
      </c>
      <c r="AQ463" s="8"/>
      <c r="AR463" s="17" t="str">
        <f t="shared" si="180"/>
        <v>-</v>
      </c>
      <c r="AS463" s="17" t="str">
        <f t="shared" si="181"/>
        <v>-</v>
      </c>
      <c r="AT463" s="13" t="str">
        <f t="shared" si="182"/>
        <v>-</v>
      </c>
      <c r="AU463" s="8"/>
    </row>
    <row r="464" spans="1:47" x14ac:dyDescent="0.25">
      <c r="A464" s="31"/>
      <c r="B464" s="31"/>
      <c r="C464"/>
      <c r="D464" s="31"/>
      <c r="E464"/>
      <c r="F464" s="31"/>
      <c r="G464"/>
      <c r="H464" s="27">
        <f>IF($G464&lt;&gt;0,SUMIF(куб!$G:$G,$G464,куб!H:H),IF($E464&lt;&gt;0,SUMIF(куб!$E:$E,$E464,куб!H:H),IF($D464&lt;&gt;0,SUMIF(куб!$D:$D,$D464,куб!H:H),IF($C464&lt;&gt;0,SUMIF(куб!$C:$C,$C464,куб!H:H),IF($B464&lt;&gt;0,SUMIF(куб!$B:$B,$B464,куб!H:H),IF($G464&lt;&gt;0,SUMIF(куб!$A:$A,$G464,куб!H:H),SUMIF(куб!$A:$A,$G464,куб!H:H)))))))</f>
        <v>0</v>
      </c>
      <c r="I464" s="27">
        <f>IF($G464&lt;&gt;0,SUMIF(куб!$G:$G,$G464,куб!I:I),IF($E464&lt;&gt;0,SUMIF(куб!$E:$E,$E464,куб!I:I),IF($D464&lt;&gt;0,SUMIF(куб!$D:$D,$D464,куб!I:I),IF($C464&lt;&gt;0,SUMIF(куб!$C:$C,$C464,куб!I:I),IF($B464&lt;&gt;0,SUMIF(куб!$B:$B,$B464,куб!I:I),IF($G464&lt;&gt;0,SUMIF(куб!$A:$A,$G464,куб!I:I),SUMIF(куб!$A:$A,$G464,куб!I:I)))))))</f>
        <v>0</v>
      </c>
      <c r="J464" s="19" t="str">
        <f t="shared" si="165"/>
        <v>-</v>
      </c>
      <c r="K464" s="8"/>
      <c r="L464" s="17">
        <f t="shared" si="166"/>
        <v>0</v>
      </c>
      <c r="M464" s="17">
        <f t="shared" si="167"/>
        <v>0</v>
      </c>
      <c r="N464" s="12">
        <f t="shared" si="168"/>
        <v>0</v>
      </c>
      <c r="O464" s="5"/>
      <c r="P464" s="27" t="b">
        <f>IF($G464&lt;&gt;0,SUMIF(куб!$G:$G,$G464,куб!J:J),IF($E464&lt;&gt;0,SUMIF(куб!$E:$E,$E464,куб!J:J),IF($D464&lt;&gt;0,SUMIF(куб!$D:$D,$D464,куб!J:J),IF($C464&lt;&gt;0,SUMIF(куб!$C:$C,$C464,куб!J:J),IF($B464&lt;&gt;0,SUMIF(куб!$B:$B,$B464,куб!J:J))))))</f>
        <v>0</v>
      </c>
      <c r="Q464" s="27" t="b">
        <f>IF($G464&lt;&gt;0,SUMIF(куб!$G:$G,$G464,куб!K:K),IF($E464&lt;&gt;0,SUMIF(куб!$E:$E,$E464,куб!K:K),IF($D464&lt;&gt;0,SUMIF(куб!$D:$D,$D464,куб!K:K),IF($C464&lt;&gt;0,SUMIF(куб!$C:$C,$C464,куб!K:K),IF($B464&lt;&gt;0,SUMIF(куб!$B:$B,$B464,куб!K:K))))))</f>
        <v>0</v>
      </c>
      <c r="R464" s="13" t="str">
        <f t="shared" si="169"/>
        <v>-</v>
      </c>
      <c r="S464" s="5"/>
      <c r="T464" s="27" t="b">
        <f>IF($G464&lt;&gt;0,SUMIF(куб!$G:$G,$G464,куб!L:L),IF($E464&lt;&gt;0,SUMIF(куб!$E:$E,$E464,куб!L:L),IF($D464&lt;&gt;0,SUMIF(куб!$D:$D,$D464,куб!L:L),IF($C464&lt;&gt;0,SUMIF(куб!$C:$C,$C464,куб!L:L),IF($B464&lt;&gt;0,SUMIF(куб!$B:$B,$B464,куб!L:L))))))</f>
        <v>0</v>
      </c>
      <c r="U464" s="27" t="b">
        <f>IF($G464&lt;&gt;0,SUMIF(куб!$G:$G,$G464,куб!M:M),IF($E464&lt;&gt;0,SUMIF(куб!$E:$E,$E464,куб!M:M),IF($D464&lt;&gt;0,SUMIF(куб!$D:$D,$D464,куб!M:M),IF($C464&lt;&gt;0,SUMIF(куб!$C:$C,$C464,куб!M:M),IF($B464&lt;&gt;0,SUMIF(куб!$B:$B,$B464,куб!M:M))))))</f>
        <v>0</v>
      </c>
      <c r="V464" s="13" t="str">
        <f t="shared" si="170"/>
        <v>-</v>
      </c>
      <c r="W464" s="5"/>
      <c r="X464" s="27" t="b">
        <f>IF($G464&lt;&gt;0,SUMIF(куб!$G:$G,$G464,куб!N:N),IF($E464&lt;&gt;0,SUMIF(куб!$E:$E,$E464,куб!N:N),IF($D464&lt;&gt;0,SUMIF(куб!$D:$D,$D464,куб!N:N),IF($C464&lt;&gt;0,SUMIF(куб!$C:$C,$C464,куб!N:N),IF($B464&lt;&gt;0,SUMIF(куб!$B:$B,$B464,куб!N:N))))))</f>
        <v>0</v>
      </c>
      <c r="Y464" s="27" t="b">
        <f>IF($G464&lt;&gt;0,SUMIF(куб!$G:$G,$G464,куб!O:O),IF($E464&lt;&gt;0,SUMIF(куб!$E:$E,$E464,куб!O:O),IF($D464&lt;&gt;0,SUMIF(куб!$D:$D,$D464,куб!O:O),IF($C464&lt;&gt;0,SUMIF(куб!$C:$C,$C464,куб!O:O),IF($B464&lt;&gt;0,SUMIF(куб!$B:$B,$B464,куб!O:O))))))</f>
        <v>0</v>
      </c>
      <c r="Z464" s="13" t="str">
        <f t="shared" si="171"/>
        <v>-</v>
      </c>
      <c r="AA464" s="5"/>
      <c r="AB464" s="33" t="str">
        <f t="shared" si="172"/>
        <v/>
      </c>
      <c r="AC464" s="33" t="str">
        <f t="shared" si="173"/>
        <v/>
      </c>
      <c r="AD464" s="15" t="str">
        <f t="shared" si="174"/>
        <v xml:space="preserve"> </v>
      </c>
      <c r="AE464" s="5"/>
      <c r="AF464" s="27" t="b">
        <f>IF($G464&lt;&gt;0,SUMIF(куб!$G:$G,$G464,куб!R:R),IF($E464&lt;&gt;0,SUMIF(куб!$E:$E,$E464,куб!R:R),IF($D464&lt;&gt;0,SUMIF(куб!$D:$D,$D464,куб!R:R),IF($C464&lt;&gt;0,SUMIF(куб!$C:$C,$C464,куб!R:R),IF($B464&lt;&gt;0,SUMIF(куб!$B:$B,$B464,куб!R:R))))))</f>
        <v>0</v>
      </c>
      <c r="AG464" s="27" t="b">
        <f>IF($G464&lt;&gt;0,SUMIF(куб!$G:$G,$G464,куб!S:S),IF($E464&lt;&gt;0,SUMIF(куб!$E:$E,$E464,куб!S:S),IF($D464&lt;&gt;0,SUMIF(куб!$D:$D,$D464,куб!S:S),IF($C464&lt;&gt;0,SUMIF(куб!$C:$C,$C464,куб!S:S),IF($B464&lt;&gt;0,SUMIF(куб!$B:$B,$B464,куб!S:S))))))</f>
        <v>0</v>
      </c>
      <c r="AH464" s="16" t="str">
        <f t="shared" si="175"/>
        <v>-</v>
      </c>
      <c r="AI464" s="8"/>
      <c r="AJ464" s="27" t="b">
        <f>IF($G464&lt;&gt;0,SUMIF(куб!$G:$G,$G464,куб!T:T),IF($E464&lt;&gt;0,SUMIF(куб!$E:$E,$E464,куб!T:T),IF($D464&lt;&gt;0,SUMIF(куб!$D:$D,$D464,куб!T:T),IF($C464&lt;&gt;0,SUMIF(куб!$C:$C,$C464,куб!T:T),IF($B464&lt;&gt;0,SUMIF(куб!$B:$B,$B464,куб!T:T))))))</f>
        <v>0</v>
      </c>
      <c r="AK464" s="27" t="b">
        <f>IF($G464&lt;&gt;0,SUMIF(куб!$G:$G,$G464,куб!U:U),IF($E464&lt;&gt;0,SUMIF(куб!$E:$E,$E464,куб!U:U),IF($D464&lt;&gt;0,SUMIF(куб!$D:$D,$D464,куб!U:U),IF($C464&lt;&gt;0,SUMIF(куб!$C:$C,$C464,куб!U:U),IF($B464&lt;&gt;0,SUMIF(куб!$B:$B,$B464,куб!U:U))))))</f>
        <v>0</v>
      </c>
      <c r="AL464" s="16" t="str">
        <f t="shared" si="176"/>
        <v>-</v>
      </c>
      <c r="AM464" s="8"/>
      <c r="AN464" s="17" t="str">
        <f t="shared" si="177"/>
        <v xml:space="preserve"> </v>
      </c>
      <c r="AO464" s="17" t="str">
        <f t="shared" si="178"/>
        <v xml:space="preserve"> </v>
      </c>
      <c r="AP464" s="16" t="str">
        <f t="shared" si="179"/>
        <v>-</v>
      </c>
      <c r="AQ464" s="8"/>
      <c r="AR464" s="17" t="str">
        <f t="shared" si="180"/>
        <v>-</v>
      </c>
      <c r="AS464" s="17" t="str">
        <f t="shared" si="181"/>
        <v>-</v>
      </c>
      <c r="AT464" s="13" t="str">
        <f t="shared" si="182"/>
        <v>-</v>
      </c>
      <c r="AU464" s="8"/>
    </row>
    <row r="465" spans="1:47" x14ac:dyDescent="0.25">
      <c r="A465" s="31"/>
      <c r="B465" s="31"/>
      <c r="C465"/>
      <c r="D465" s="31"/>
      <c r="E465"/>
      <c r="F465" s="31"/>
      <c r="G465"/>
      <c r="H465" s="27">
        <f>IF($G465&lt;&gt;0,SUMIF(куб!$G:$G,$G465,куб!H:H),IF($E465&lt;&gt;0,SUMIF(куб!$E:$E,$E465,куб!H:H),IF($D465&lt;&gt;0,SUMIF(куб!$D:$D,$D465,куб!H:H),IF($C465&lt;&gt;0,SUMIF(куб!$C:$C,$C465,куб!H:H),IF($B465&lt;&gt;0,SUMIF(куб!$B:$B,$B465,куб!H:H),IF($G465&lt;&gt;0,SUMIF(куб!$A:$A,$G465,куб!H:H),SUMIF(куб!$A:$A,$G465,куб!H:H)))))))</f>
        <v>0</v>
      </c>
      <c r="I465" s="27">
        <f>IF($G465&lt;&gt;0,SUMIF(куб!$G:$G,$G465,куб!I:I),IF($E465&lt;&gt;0,SUMIF(куб!$E:$E,$E465,куб!I:I),IF($D465&lt;&gt;0,SUMIF(куб!$D:$D,$D465,куб!I:I),IF($C465&lt;&gt;0,SUMIF(куб!$C:$C,$C465,куб!I:I),IF($B465&lt;&gt;0,SUMIF(куб!$B:$B,$B465,куб!I:I),IF($G465&lt;&gt;0,SUMIF(куб!$A:$A,$G465,куб!I:I),SUMIF(куб!$A:$A,$G465,куб!I:I)))))))</f>
        <v>0</v>
      </c>
      <c r="J465" s="19" t="str">
        <f t="shared" si="165"/>
        <v>-</v>
      </c>
      <c r="K465" s="8"/>
      <c r="L465" s="17">
        <f t="shared" si="166"/>
        <v>0</v>
      </c>
      <c r="M465" s="17">
        <f t="shared" si="167"/>
        <v>0</v>
      </c>
      <c r="N465" s="12">
        <f t="shared" si="168"/>
        <v>0</v>
      </c>
      <c r="O465" s="5"/>
      <c r="P465" s="27" t="b">
        <f>IF($G465&lt;&gt;0,SUMIF(куб!$G:$G,$G465,куб!J:J),IF($E465&lt;&gt;0,SUMIF(куб!$E:$E,$E465,куб!J:J),IF($D465&lt;&gt;0,SUMIF(куб!$D:$D,$D465,куб!J:J),IF($C465&lt;&gt;0,SUMIF(куб!$C:$C,$C465,куб!J:J),IF($B465&lt;&gt;0,SUMIF(куб!$B:$B,$B465,куб!J:J))))))</f>
        <v>0</v>
      </c>
      <c r="Q465" s="27" t="b">
        <f>IF($G465&lt;&gt;0,SUMIF(куб!$G:$G,$G465,куб!K:K),IF($E465&lt;&gt;0,SUMIF(куб!$E:$E,$E465,куб!K:K),IF($D465&lt;&gt;0,SUMIF(куб!$D:$D,$D465,куб!K:K),IF($C465&lt;&gt;0,SUMIF(куб!$C:$C,$C465,куб!K:K),IF($B465&lt;&gt;0,SUMIF(куб!$B:$B,$B465,куб!K:K))))))</f>
        <v>0</v>
      </c>
      <c r="R465" s="13" t="str">
        <f t="shared" si="169"/>
        <v>-</v>
      </c>
      <c r="S465" s="5"/>
      <c r="T465" s="27" t="b">
        <f>IF($G465&lt;&gt;0,SUMIF(куб!$G:$G,$G465,куб!L:L),IF($E465&lt;&gt;0,SUMIF(куб!$E:$E,$E465,куб!L:L),IF($D465&lt;&gt;0,SUMIF(куб!$D:$D,$D465,куб!L:L),IF($C465&lt;&gt;0,SUMIF(куб!$C:$C,$C465,куб!L:L),IF($B465&lt;&gt;0,SUMIF(куб!$B:$B,$B465,куб!L:L))))))</f>
        <v>0</v>
      </c>
      <c r="U465" s="27" t="b">
        <f>IF($G465&lt;&gt;0,SUMIF(куб!$G:$G,$G465,куб!M:M),IF($E465&lt;&gt;0,SUMIF(куб!$E:$E,$E465,куб!M:M),IF($D465&lt;&gt;0,SUMIF(куб!$D:$D,$D465,куб!M:M),IF($C465&lt;&gt;0,SUMIF(куб!$C:$C,$C465,куб!M:M),IF($B465&lt;&gt;0,SUMIF(куб!$B:$B,$B465,куб!M:M))))))</f>
        <v>0</v>
      </c>
      <c r="V465" s="13" t="str">
        <f t="shared" si="170"/>
        <v>-</v>
      </c>
      <c r="W465" s="5"/>
      <c r="X465" s="27" t="b">
        <f>IF($G465&lt;&gt;0,SUMIF(куб!$G:$G,$G465,куб!N:N),IF($E465&lt;&gt;0,SUMIF(куб!$E:$E,$E465,куб!N:N),IF($D465&lt;&gt;0,SUMIF(куб!$D:$D,$D465,куб!N:N),IF($C465&lt;&gt;0,SUMIF(куб!$C:$C,$C465,куб!N:N),IF($B465&lt;&gt;0,SUMIF(куб!$B:$B,$B465,куб!N:N))))))</f>
        <v>0</v>
      </c>
      <c r="Y465" s="27" t="b">
        <f>IF($G465&lt;&gt;0,SUMIF(куб!$G:$G,$G465,куб!O:O),IF($E465&lt;&gt;0,SUMIF(куб!$E:$E,$E465,куб!O:O),IF($D465&lt;&gt;0,SUMIF(куб!$D:$D,$D465,куб!O:O),IF($C465&lt;&gt;0,SUMIF(куб!$C:$C,$C465,куб!O:O),IF($B465&lt;&gt;0,SUMIF(куб!$B:$B,$B465,куб!O:O))))))</f>
        <v>0</v>
      </c>
      <c r="Z465" s="13" t="str">
        <f t="shared" si="171"/>
        <v>-</v>
      </c>
      <c r="AA465" s="5"/>
      <c r="AB465" s="33" t="str">
        <f t="shared" si="172"/>
        <v/>
      </c>
      <c r="AC465" s="33" t="str">
        <f t="shared" si="173"/>
        <v/>
      </c>
      <c r="AD465" s="15" t="str">
        <f t="shared" si="174"/>
        <v xml:space="preserve"> </v>
      </c>
      <c r="AE465" s="5"/>
      <c r="AF465" s="27" t="b">
        <f>IF($G465&lt;&gt;0,SUMIF(куб!$G:$G,$G465,куб!R:R),IF($E465&lt;&gt;0,SUMIF(куб!$E:$E,$E465,куб!R:R),IF($D465&lt;&gt;0,SUMIF(куб!$D:$D,$D465,куб!R:R),IF($C465&lt;&gt;0,SUMIF(куб!$C:$C,$C465,куб!R:R),IF($B465&lt;&gt;0,SUMIF(куб!$B:$B,$B465,куб!R:R))))))</f>
        <v>0</v>
      </c>
      <c r="AG465" s="27" t="b">
        <f>IF($G465&lt;&gt;0,SUMIF(куб!$G:$G,$G465,куб!S:S),IF($E465&lt;&gt;0,SUMIF(куб!$E:$E,$E465,куб!S:S),IF($D465&lt;&gt;0,SUMIF(куб!$D:$D,$D465,куб!S:S),IF($C465&lt;&gt;0,SUMIF(куб!$C:$C,$C465,куб!S:S),IF($B465&lt;&gt;0,SUMIF(куб!$B:$B,$B465,куб!S:S))))))</f>
        <v>0</v>
      </c>
      <c r="AH465" s="16" t="str">
        <f t="shared" si="175"/>
        <v>-</v>
      </c>
      <c r="AI465" s="8"/>
      <c r="AJ465" s="27" t="b">
        <f>IF($G465&lt;&gt;0,SUMIF(куб!$G:$G,$G465,куб!T:T),IF($E465&lt;&gt;0,SUMIF(куб!$E:$E,$E465,куб!T:T),IF($D465&lt;&gt;0,SUMIF(куб!$D:$D,$D465,куб!T:T),IF($C465&lt;&gt;0,SUMIF(куб!$C:$C,$C465,куб!T:T),IF($B465&lt;&gt;0,SUMIF(куб!$B:$B,$B465,куб!T:T))))))</f>
        <v>0</v>
      </c>
      <c r="AK465" s="27" t="b">
        <f>IF($G465&lt;&gt;0,SUMIF(куб!$G:$G,$G465,куб!U:U),IF($E465&lt;&gt;0,SUMIF(куб!$E:$E,$E465,куб!U:U),IF($D465&lt;&gt;0,SUMIF(куб!$D:$D,$D465,куб!U:U),IF($C465&lt;&gt;0,SUMIF(куб!$C:$C,$C465,куб!U:U),IF($B465&lt;&gt;0,SUMIF(куб!$B:$B,$B465,куб!U:U))))))</f>
        <v>0</v>
      </c>
      <c r="AL465" s="16" t="str">
        <f t="shared" si="176"/>
        <v>-</v>
      </c>
      <c r="AM465" s="8"/>
      <c r="AN465" s="17" t="str">
        <f t="shared" si="177"/>
        <v xml:space="preserve"> </v>
      </c>
      <c r="AO465" s="17" t="str">
        <f t="shared" si="178"/>
        <v xml:space="preserve"> </v>
      </c>
      <c r="AP465" s="16" t="str">
        <f t="shared" si="179"/>
        <v>-</v>
      </c>
      <c r="AQ465" s="8"/>
      <c r="AR465" s="17" t="str">
        <f t="shared" si="180"/>
        <v>-</v>
      </c>
      <c r="AS465" s="17" t="str">
        <f t="shared" si="181"/>
        <v>-</v>
      </c>
      <c r="AT465" s="13" t="str">
        <f t="shared" si="182"/>
        <v>-</v>
      </c>
      <c r="AU465" s="8"/>
    </row>
    <row r="466" spans="1:47" x14ac:dyDescent="0.25">
      <c r="A466" s="31"/>
      <c r="B466" s="31"/>
      <c r="C466"/>
      <c r="D466" s="31"/>
      <c r="E466"/>
      <c r="F466" s="31"/>
      <c r="G466"/>
      <c r="H466" s="27">
        <f>IF($G466&lt;&gt;0,SUMIF(куб!$G:$G,$G466,куб!H:H),IF($E466&lt;&gt;0,SUMIF(куб!$E:$E,$E466,куб!H:H),IF($D466&lt;&gt;0,SUMIF(куб!$D:$D,$D466,куб!H:H),IF($C466&lt;&gt;0,SUMIF(куб!$C:$C,$C466,куб!H:H),IF($B466&lt;&gt;0,SUMIF(куб!$B:$B,$B466,куб!H:H),IF($G466&lt;&gt;0,SUMIF(куб!$A:$A,$G466,куб!H:H),SUMIF(куб!$A:$A,$G466,куб!H:H)))))))</f>
        <v>0</v>
      </c>
      <c r="I466" s="27">
        <f>IF($G466&lt;&gt;0,SUMIF(куб!$G:$G,$G466,куб!I:I),IF($E466&lt;&gt;0,SUMIF(куб!$E:$E,$E466,куб!I:I),IF($D466&lt;&gt;0,SUMIF(куб!$D:$D,$D466,куб!I:I),IF($C466&lt;&gt;0,SUMIF(куб!$C:$C,$C466,куб!I:I),IF($B466&lt;&gt;0,SUMIF(куб!$B:$B,$B466,куб!I:I),IF($G466&lt;&gt;0,SUMIF(куб!$A:$A,$G466,куб!I:I),SUMIF(куб!$A:$A,$G466,куб!I:I)))))))</f>
        <v>0</v>
      </c>
      <c r="J466" s="19" t="str">
        <f t="shared" si="165"/>
        <v>-</v>
      </c>
      <c r="K466" s="8"/>
      <c r="L466" s="17">
        <f t="shared" si="166"/>
        <v>0</v>
      </c>
      <c r="M466" s="17">
        <f t="shared" si="167"/>
        <v>0</v>
      </c>
      <c r="N466" s="12">
        <f t="shared" si="168"/>
        <v>0</v>
      </c>
      <c r="O466" s="5"/>
      <c r="P466" s="27" t="b">
        <f>IF($G466&lt;&gt;0,SUMIF(куб!$G:$G,$G466,куб!J:J),IF($E466&lt;&gt;0,SUMIF(куб!$E:$E,$E466,куб!J:J),IF($D466&lt;&gt;0,SUMIF(куб!$D:$D,$D466,куб!J:J),IF($C466&lt;&gt;0,SUMIF(куб!$C:$C,$C466,куб!J:J),IF($B466&lt;&gt;0,SUMIF(куб!$B:$B,$B466,куб!J:J))))))</f>
        <v>0</v>
      </c>
      <c r="Q466" s="27" t="b">
        <f>IF($G466&lt;&gt;0,SUMIF(куб!$G:$G,$G466,куб!K:K),IF($E466&lt;&gt;0,SUMIF(куб!$E:$E,$E466,куб!K:K),IF($D466&lt;&gt;0,SUMIF(куб!$D:$D,$D466,куб!K:K),IF($C466&lt;&gt;0,SUMIF(куб!$C:$C,$C466,куб!K:K),IF($B466&lt;&gt;0,SUMIF(куб!$B:$B,$B466,куб!K:K))))))</f>
        <v>0</v>
      </c>
      <c r="R466" s="13" t="str">
        <f t="shared" si="169"/>
        <v>-</v>
      </c>
      <c r="S466" s="5"/>
      <c r="T466" s="27" t="b">
        <f>IF($G466&lt;&gt;0,SUMIF(куб!$G:$G,$G466,куб!L:L),IF($E466&lt;&gt;0,SUMIF(куб!$E:$E,$E466,куб!L:L),IF($D466&lt;&gt;0,SUMIF(куб!$D:$D,$D466,куб!L:L),IF($C466&lt;&gt;0,SUMIF(куб!$C:$C,$C466,куб!L:L),IF($B466&lt;&gt;0,SUMIF(куб!$B:$B,$B466,куб!L:L))))))</f>
        <v>0</v>
      </c>
      <c r="U466" s="27" t="b">
        <f>IF($G466&lt;&gt;0,SUMIF(куб!$G:$G,$G466,куб!M:M),IF($E466&lt;&gt;0,SUMIF(куб!$E:$E,$E466,куб!M:M),IF($D466&lt;&gt;0,SUMIF(куб!$D:$D,$D466,куб!M:M),IF($C466&lt;&gt;0,SUMIF(куб!$C:$C,$C466,куб!M:M),IF($B466&lt;&gt;0,SUMIF(куб!$B:$B,$B466,куб!M:M))))))</f>
        <v>0</v>
      </c>
      <c r="V466" s="13" t="str">
        <f t="shared" si="170"/>
        <v>-</v>
      </c>
      <c r="W466" s="5"/>
      <c r="X466" s="27" t="b">
        <f>IF($G466&lt;&gt;0,SUMIF(куб!$G:$G,$G466,куб!N:N),IF($E466&lt;&gt;0,SUMIF(куб!$E:$E,$E466,куб!N:N),IF($D466&lt;&gt;0,SUMIF(куб!$D:$D,$D466,куб!N:N),IF($C466&lt;&gt;0,SUMIF(куб!$C:$C,$C466,куб!N:N),IF($B466&lt;&gt;0,SUMIF(куб!$B:$B,$B466,куб!N:N))))))</f>
        <v>0</v>
      </c>
      <c r="Y466" s="27" t="b">
        <f>IF($G466&lt;&gt;0,SUMIF(куб!$G:$G,$G466,куб!O:O),IF($E466&lt;&gt;0,SUMIF(куб!$E:$E,$E466,куб!O:O),IF($D466&lt;&gt;0,SUMIF(куб!$D:$D,$D466,куб!O:O),IF($C466&lt;&gt;0,SUMIF(куб!$C:$C,$C466,куб!O:O),IF($B466&lt;&gt;0,SUMIF(куб!$B:$B,$B466,куб!O:O))))))</f>
        <v>0</v>
      </c>
      <c r="Z466" s="13" t="str">
        <f t="shared" si="171"/>
        <v>-</v>
      </c>
      <c r="AA466" s="5"/>
      <c r="AB466" s="33" t="str">
        <f t="shared" si="172"/>
        <v/>
      </c>
      <c r="AC466" s="33" t="str">
        <f t="shared" si="173"/>
        <v/>
      </c>
      <c r="AD466" s="15" t="str">
        <f t="shared" si="174"/>
        <v xml:space="preserve"> </v>
      </c>
      <c r="AE466" s="5"/>
      <c r="AF466" s="27" t="b">
        <f>IF($G466&lt;&gt;0,SUMIF(куб!$G:$G,$G466,куб!R:R),IF($E466&lt;&gt;0,SUMIF(куб!$E:$E,$E466,куб!R:R),IF($D466&lt;&gt;0,SUMIF(куб!$D:$D,$D466,куб!R:R),IF($C466&lt;&gt;0,SUMIF(куб!$C:$C,$C466,куб!R:R),IF($B466&lt;&gt;0,SUMIF(куб!$B:$B,$B466,куб!R:R))))))</f>
        <v>0</v>
      </c>
      <c r="AG466" s="27" t="b">
        <f>IF($G466&lt;&gt;0,SUMIF(куб!$G:$G,$G466,куб!S:S),IF($E466&lt;&gt;0,SUMIF(куб!$E:$E,$E466,куб!S:S),IF($D466&lt;&gt;0,SUMIF(куб!$D:$D,$D466,куб!S:S),IF($C466&lt;&gt;0,SUMIF(куб!$C:$C,$C466,куб!S:S),IF($B466&lt;&gt;0,SUMIF(куб!$B:$B,$B466,куб!S:S))))))</f>
        <v>0</v>
      </c>
      <c r="AH466" s="16" t="str">
        <f t="shared" si="175"/>
        <v>-</v>
      </c>
      <c r="AI466" s="8"/>
      <c r="AJ466" s="27" t="b">
        <f>IF($G466&lt;&gt;0,SUMIF(куб!$G:$G,$G466,куб!T:T),IF($E466&lt;&gt;0,SUMIF(куб!$E:$E,$E466,куб!T:T),IF($D466&lt;&gt;0,SUMIF(куб!$D:$D,$D466,куб!T:T),IF($C466&lt;&gt;0,SUMIF(куб!$C:$C,$C466,куб!T:T),IF($B466&lt;&gt;0,SUMIF(куб!$B:$B,$B466,куб!T:T))))))</f>
        <v>0</v>
      </c>
      <c r="AK466" s="27" t="b">
        <f>IF($G466&lt;&gt;0,SUMIF(куб!$G:$G,$G466,куб!U:U),IF($E466&lt;&gt;0,SUMIF(куб!$E:$E,$E466,куб!U:U),IF($D466&lt;&gt;0,SUMIF(куб!$D:$D,$D466,куб!U:U),IF($C466&lt;&gt;0,SUMIF(куб!$C:$C,$C466,куб!U:U),IF($B466&lt;&gt;0,SUMIF(куб!$B:$B,$B466,куб!U:U))))))</f>
        <v>0</v>
      </c>
      <c r="AL466" s="16" t="str">
        <f t="shared" si="176"/>
        <v>-</v>
      </c>
      <c r="AM466" s="8"/>
      <c r="AN466" s="17" t="str">
        <f t="shared" si="177"/>
        <v xml:space="preserve"> </v>
      </c>
      <c r="AO466" s="17" t="str">
        <f t="shared" si="178"/>
        <v xml:space="preserve"> </v>
      </c>
      <c r="AP466" s="16" t="str">
        <f t="shared" si="179"/>
        <v>-</v>
      </c>
      <c r="AQ466" s="8"/>
      <c r="AR466" s="17" t="str">
        <f t="shared" si="180"/>
        <v>-</v>
      </c>
      <c r="AS466" s="17" t="str">
        <f t="shared" si="181"/>
        <v>-</v>
      </c>
      <c r="AT466" s="13" t="str">
        <f t="shared" si="182"/>
        <v>-</v>
      </c>
      <c r="AU466" s="8"/>
    </row>
    <row r="467" spans="1:47" x14ac:dyDescent="0.25">
      <c r="A467" s="31"/>
      <c r="B467" s="31"/>
      <c r="C467"/>
      <c r="D467" s="31"/>
      <c r="E467"/>
      <c r="F467" s="31"/>
      <c r="G467"/>
      <c r="H467" s="27">
        <f>IF($G467&lt;&gt;0,SUMIF(куб!$G:$G,$G467,куб!H:H),IF($E467&lt;&gt;0,SUMIF(куб!$E:$E,$E467,куб!H:H),IF($D467&lt;&gt;0,SUMIF(куб!$D:$D,$D467,куб!H:H),IF($C467&lt;&gt;0,SUMIF(куб!$C:$C,$C467,куб!H:H),IF($B467&lt;&gt;0,SUMIF(куб!$B:$B,$B467,куб!H:H),IF($G467&lt;&gt;0,SUMIF(куб!$A:$A,$G467,куб!H:H),SUMIF(куб!$A:$A,$G467,куб!H:H)))))))</f>
        <v>0</v>
      </c>
      <c r="I467" s="27">
        <f>IF($G467&lt;&gt;0,SUMIF(куб!$G:$G,$G467,куб!I:I),IF($E467&lt;&gt;0,SUMIF(куб!$E:$E,$E467,куб!I:I),IF($D467&lt;&gt;0,SUMIF(куб!$D:$D,$D467,куб!I:I),IF($C467&lt;&gt;0,SUMIF(куб!$C:$C,$C467,куб!I:I),IF($B467&lt;&gt;0,SUMIF(куб!$B:$B,$B467,куб!I:I),IF($G467&lt;&gt;0,SUMIF(куб!$A:$A,$G467,куб!I:I),SUMIF(куб!$A:$A,$G467,куб!I:I)))))))</f>
        <v>0</v>
      </c>
      <c r="J467" s="19" t="str">
        <f t="shared" si="165"/>
        <v>-</v>
      </c>
      <c r="K467" s="8"/>
      <c r="L467" s="17">
        <f t="shared" si="166"/>
        <v>0</v>
      </c>
      <c r="M467" s="17">
        <f t="shared" si="167"/>
        <v>0</v>
      </c>
      <c r="N467" s="12">
        <f t="shared" si="168"/>
        <v>0</v>
      </c>
      <c r="O467" s="5"/>
      <c r="P467" s="27" t="b">
        <f>IF($G467&lt;&gt;0,SUMIF(куб!$G:$G,$G467,куб!J:J),IF($E467&lt;&gt;0,SUMIF(куб!$E:$E,$E467,куб!J:J),IF($D467&lt;&gt;0,SUMIF(куб!$D:$D,$D467,куб!J:J),IF($C467&lt;&gt;0,SUMIF(куб!$C:$C,$C467,куб!J:J),IF($B467&lt;&gt;0,SUMIF(куб!$B:$B,$B467,куб!J:J))))))</f>
        <v>0</v>
      </c>
      <c r="Q467" s="27" t="b">
        <f>IF($G467&lt;&gt;0,SUMIF(куб!$G:$G,$G467,куб!K:K),IF($E467&lt;&gt;0,SUMIF(куб!$E:$E,$E467,куб!K:K),IF($D467&lt;&gt;0,SUMIF(куб!$D:$D,$D467,куб!K:K),IF($C467&lt;&gt;0,SUMIF(куб!$C:$C,$C467,куб!K:K),IF($B467&lt;&gt;0,SUMIF(куб!$B:$B,$B467,куб!K:K))))))</f>
        <v>0</v>
      </c>
      <c r="R467" s="13" t="str">
        <f t="shared" si="169"/>
        <v>-</v>
      </c>
      <c r="S467" s="5"/>
      <c r="T467" s="27" t="b">
        <f>IF($G467&lt;&gt;0,SUMIF(куб!$G:$G,$G467,куб!L:L),IF($E467&lt;&gt;0,SUMIF(куб!$E:$E,$E467,куб!L:L),IF($D467&lt;&gt;0,SUMIF(куб!$D:$D,$D467,куб!L:L),IF($C467&lt;&gt;0,SUMIF(куб!$C:$C,$C467,куб!L:L),IF($B467&lt;&gt;0,SUMIF(куб!$B:$B,$B467,куб!L:L))))))</f>
        <v>0</v>
      </c>
      <c r="U467" s="27" t="b">
        <f>IF($G467&lt;&gt;0,SUMIF(куб!$G:$G,$G467,куб!M:M),IF($E467&lt;&gt;0,SUMIF(куб!$E:$E,$E467,куб!M:M),IF($D467&lt;&gt;0,SUMIF(куб!$D:$D,$D467,куб!M:M),IF($C467&lt;&gt;0,SUMIF(куб!$C:$C,$C467,куб!M:M),IF($B467&lt;&gt;0,SUMIF(куб!$B:$B,$B467,куб!M:M))))))</f>
        <v>0</v>
      </c>
      <c r="V467" s="13" t="str">
        <f t="shared" si="170"/>
        <v>-</v>
      </c>
      <c r="W467" s="5"/>
      <c r="X467" s="27" t="b">
        <f>IF($G467&lt;&gt;0,SUMIF(куб!$G:$G,$G467,куб!N:N),IF($E467&lt;&gt;0,SUMIF(куб!$E:$E,$E467,куб!N:N),IF($D467&lt;&gt;0,SUMIF(куб!$D:$D,$D467,куб!N:N),IF($C467&lt;&gt;0,SUMIF(куб!$C:$C,$C467,куб!N:N),IF($B467&lt;&gt;0,SUMIF(куб!$B:$B,$B467,куб!N:N))))))</f>
        <v>0</v>
      </c>
      <c r="Y467" s="27" t="b">
        <f>IF($G467&lt;&gt;0,SUMIF(куб!$G:$G,$G467,куб!O:O),IF($E467&lt;&gt;0,SUMIF(куб!$E:$E,$E467,куб!O:O),IF($D467&lt;&gt;0,SUMIF(куб!$D:$D,$D467,куб!O:O),IF($C467&lt;&gt;0,SUMIF(куб!$C:$C,$C467,куб!O:O),IF($B467&lt;&gt;0,SUMIF(куб!$B:$B,$B467,куб!O:O))))))</f>
        <v>0</v>
      </c>
      <c r="Z467" s="13" t="str">
        <f t="shared" si="171"/>
        <v>-</v>
      </c>
      <c r="AA467" s="5"/>
      <c r="AB467" s="33" t="str">
        <f t="shared" si="172"/>
        <v/>
      </c>
      <c r="AC467" s="33" t="str">
        <f t="shared" si="173"/>
        <v/>
      </c>
      <c r="AD467" s="15" t="str">
        <f t="shared" si="174"/>
        <v xml:space="preserve"> </v>
      </c>
      <c r="AE467" s="5"/>
      <c r="AF467" s="27" t="b">
        <f>IF($G467&lt;&gt;0,SUMIF(куб!$G:$G,$G467,куб!R:R),IF($E467&lt;&gt;0,SUMIF(куб!$E:$E,$E467,куб!R:R),IF($D467&lt;&gt;0,SUMIF(куб!$D:$D,$D467,куб!R:R),IF($C467&lt;&gt;0,SUMIF(куб!$C:$C,$C467,куб!R:R),IF($B467&lt;&gt;0,SUMIF(куб!$B:$B,$B467,куб!R:R))))))</f>
        <v>0</v>
      </c>
      <c r="AG467" s="27" t="b">
        <f>IF($G467&lt;&gt;0,SUMIF(куб!$G:$G,$G467,куб!S:S),IF($E467&lt;&gt;0,SUMIF(куб!$E:$E,$E467,куб!S:S),IF($D467&lt;&gt;0,SUMIF(куб!$D:$D,$D467,куб!S:S),IF($C467&lt;&gt;0,SUMIF(куб!$C:$C,$C467,куб!S:S),IF($B467&lt;&gt;0,SUMIF(куб!$B:$B,$B467,куб!S:S))))))</f>
        <v>0</v>
      </c>
      <c r="AH467" s="16" t="str">
        <f t="shared" si="175"/>
        <v>-</v>
      </c>
      <c r="AI467" s="8"/>
      <c r="AJ467" s="27" t="b">
        <f>IF($G467&lt;&gt;0,SUMIF(куб!$G:$G,$G467,куб!T:T),IF($E467&lt;&gt;0,SUMIF(куб!$E:$E,$E467,куб!T:T),IF($D467&lt;&gt;0,SUMIF(куб!$D:$D,$D467,куб!T:T),IF($C467&lt;&gt;0,SUMIF(куб!$C:$C,$C467,куб!T:T),IF($B467&lt;&gt;0,SUMIF(куб!$B:$B,$B467,куб!T:T))))))</f>
        <v>0</v>
      </c>
      <c r="AK467" s="27" t="b">
        <f>IF($G467&lt;&gt;0,SUMIF(куб!$G:$G,$G467,куб!U:U),IF($E467&lt;&gt;0,SUMIF(куб!$E:$E,$E467,куб!U:U),IF($D467&lt;&gt;0,SUMIF(куб!$D:$D,$D467,куб!U:U),IF($C467&lt;&gt;0,SUMIF(куб!$C:$C,$C467,куб!U:U),IF($B467&lt;&gt;0,SUMIF(куб!$B:$B,$B467,куб!U:U))))))</f>
        <v>0</v>
      </c>
      <c r="AL467" s="16" t="str">
        <f t="shared" si="176"/>
        <v>-</v>
      </c>
      <c r="AM467" s="8"/>
      <c r="AN467" s="17" t="str">
        <f t="shared" si="177"/>
        <v xml:space="preserve"> </v>
      </c>
      <c r="AO467" s="17" t="str">
        <f t="shared" si="178"/>
        <v xml:space="preserve"> </v>
      </c>
      <c r="AP467" s="16" t="str">
        <f t="shared" si="179"/>
        <v>-</v>
      </c>
      <c r="AQ467" s="8"/>
      <c r="AR467" s="17" t="str">
        <f t="shared" si="180"/>
        <v>-</v>
      </c>
      <c r="AS467" s="17" t="str">
        <f t="shared" si="181"/>
        <v>-</v>
      </c>
      <c r="AT467" s="13" t="str">
        <f t="shared" si="182"/>
        <v>-</v>
      </c>
      <c r="AU467" s="8"/>
    </row>
    <row r="468" spans="1:47" x14ac:dyDescent="0.25">
      <c r="A468" s="31"/>
      <c r="B468" s="31"/>
      <c r="C468"/>
      <c r="D468" s="31"/>
      <c r="E468"/>
      <c r="F468" s="31"/>
      <c r="G468"/>
      <c r="H468" s="27">
        <f>IF($G468&lt;&gt;0,SUMIF(куб!$G:$G,$G468,куб!H:H),IF($E468&lt;&gt;0,SUMIF(куб!$E:$E,$E468,куб!H:H),IF($D468&lt;&gt;0,SUMIF(куб!$D:$D,$D468,куб!H:H),IF($C468&lt;&gt;0,SUMIF(куб!$C:$C,$C468,куб!H:H),IF($B468&lt;&gt;0,SUMIF(куб!$B:$B,$B468,куб!H:H),IF($G468&lt;&gt;0,SUMIF(куб!$A:$A,$G468,куб!H:H),SUMIF(куб!$A:$A,$G468,куб!H:H)))))))</f>
        <v>0</v>
      </c>
      <c r="I468" s="27">
        <f>IF($G468&lt;&gt;0,SUMIF(куб!$G:$G,$G468,куб!I:I),IF($E468&lt;&gt;0,SUMIF(куб!$E:$E,$E468,куб!I:I),IF($D468&lt;&gt;0,SUMIF(куб!$D:$D,$D468,куб!I:I),IF($C468&lt;&gt;0,SUMIF(куб!$C:$C,$C468,куб!I:I),IF($B468&lt;&gt;0,SUMIF(куб!$B:$B,$B468,куб!I:I),IF($G468&lt;&gt;0,SUMIF(куб!$A:$A,$G468,куб!I:I),SUMIF(куб!$A:$A,$G468,куб!I:I)))))))</f>
        <v>0</v>
      </c>
      <c r="J468" s="19" t="str">
        <f t="shared" si="165"/>
        <v>-</v>
      </c>
      <c r="K468" s="8"/>
      <c r="L468" s="17">
        <f t="shared" si="166"/>
        <v>0</v>
      </c>
      <c r="M468" s="17">
        <f t="shared" si="167"/>
        <v>0</v>
      </c>
      <c r="N468" s="12">
        <f t="shared" si="168"/>
        <v>0</v>
      </c>
      <c r="O468" s="5"/>
      <c r="P468" s="27" t="b">
        <f>IF($G468&lt;&gt;0,SUMIF(куб!$G:$G,$G468,куб!J:J),IF($E468&lt;&gt;0,SUMIF(куб!$E:$E,$E468,куб!J:J),IF($D468&lt;&gt;0,SUMIF(куб!$D:$D,$D468,куб!J:J),IF($C468&lt;&gt;0,SUMIF(куб!$C:$C,$C468,куб!J:J),IF($B468&lt;&gt;0,SUMIF(куб!$B:$B,$B468,куб!J:J))))))</f>
        <v>0</v>
      </c>
      <c r="Q468" s="27" t="b">
        <f>IF($G468&lt;&gt;0,SUMIF(куб!$G:$G,$G468,куб!K:K),IF($E468&lt;&gt;0,SUMIF(куб!$E:$E,$E468,куб!K:K),IF($D468&lt;&gt;0,SUMIF(куб!$D:$D,$D468,куб!K:K),IF($C468&lt;&gt;0,SUMIF(куб!$C:$C,$C468,куб!K:K),IF($B468&lt;&gt;0,SUMIF(куб!$B:$B,$B468,куб!K:K))))))</f>
        <v>0</v>
      </c>
      <c r="R468" s="13" t="str">
        <f t="shared" si="169"/>
        <v>-</v>
      </c>
      <c r="S468" s="5"/>
      <c r="T468" s="27" t="b">
        <f>IF($G468&lt;&gt;0,SUMIF(куб!$G:$G,$G468,куб!L:L),IF($E468&lt;&gt;0,SUMIF(куб!$E:$E,$E468,куб!L:L),IF($D468&lt;&gt;0,SUMIF(куб!$D:$D,$D468,куб!L:L),IF($C468&lt;&gt;0,SUMIF(куб!$C:$C,$C468,куб!L:L),IF($B468&lt;&gt;0,SUMIF(куб!$B:$B,$B468,куб!L:L))))))</f>
        <v>0</v>
      </c>
      <c r="U468" s="27" t="b">
        <f>IF($G468&lt;&gt;0,SUMIF(куб!$G:$G,$G468,куб!M:M),IF($E468&lt;&gt;0,SUMIF(куб!$E:$E,$E468,куб!M:M),IF($D468&lt;&gt;0,SUMIF(куб!$D:$D,$D468,куб!M:M),IF($C468&lt;&gt;0,SUMIF(куб!$C:$C,$C468,куб!M:M),IF($B468&lt;&gt;0,SUMIF(куб!$B:$B,$B468,куб!M:M))))))</f>
        <v>0</v>
      </c>
      <c r="V468" s="13" t="str">
        <f t="shared" si="170"/>
        <v>-</v>
      </c>
      <c r="W468" s="5"/>
      <c r="X468" s="27" t="b">
        <f>IF($G468&lt;&gt;0,SUMIF(куб!$G:$G,$G468,куб!N:N),IF($E468&lt;&gt;0,SUMIF(куб!$E:$E,$E468,куб!N:N),IF($D468&lt;&gt;0,SUMIF(куб!$D:$D,$D468,куб!N:N),IF($C468&lt;&gt;0,SUMIF(куб!$C:$C,$C468,куб!N:N),IF($B468&lt;&gt;0,SUMIF(куб!$B:$B,$B468,куб!N:N))))))</f>
        <v>0</v>
      </c>
      <c r="Y468" s="27" t="b">
        <f>IF($G468&lt;&gt;0,SUMIF(куб!$G:$G,$G468,куб!O:O),IF($E468&lt;&gt;0,SUMIF(куб!$E:$E,$E468,куб!O:O),IF($D468&lt;&gt;0,SUMIF(куб!$D:$D,$D468,куб!O:O),IF($C468&lt;&gt;0,SUMIF(куб!$C:$C,$C468,куб!O:O),IF($B468&lt;&gt;0,SUMIF(куб!$B:$B,$B468,куб!O:O))))))</f>
        <v>0</v>
      </c>
      <c r="Z468" s="13" t="str">
        <f t="shared" si="171"/>
        <v>-</v>
      </c>
      <c r="AA468" s="5"/>
      <c r="AB468" s="33" t="str">
        <f t="shared" si="172"/>
        <v/>
      </c>
      <c r="AC468" s="33" t="str">
        <f t="shared" si="173"/>
        <v/>
      </c>
      <c r="AD468" s="15" t="str">
        <f t="shared" si="174"/>
        <v xml:space="preserve"> </v>
      </c>
      <c r="AE468" s="5"/>
      <c r="AF468" s="27" t="b">
        <f>IF($G468&lt;&gt;0,SUMIF(куб!$G:$G,$G468,куб!R:R),IF($E468&lt;&gt;0,SUMIF(куб!$E:$E,$E468,куб!R:R),IF($D468&lt;&gt;0,SUMIF(куб!$D:$D,$D468,куб!R:R),IF($C468&lt;&gt;0,SUMIF(куб!$C:$C,$C468,куб!R:R),IF($B468&lt;&gt;0,SUMIF(куб!$B:$B,$B468,куб!R:R))))))</f>
        <v>0</v>
      </c>
      <c r="AG468" s="27" t="b">
        <f>IF($G468&lt;&gt;0,SUMIF(куб!$G:$G,$G468,куб!S:S),IF($E468&lt;&gt;0,SUMIF(куб!$E:$E,$E468,куб!S:S),IF($D468&lt;&gt;0,SUMIF(куб!$D:$D,$D468,куб!S:S),IF($C468&lt;&gt;0,SUMIF(куб!$C:$C,$C468,куб!S:S),IF($B468&lt;&gt;0,SUMIF(куб!$B:$B,$B468,куб!S:S))))))</f>
        <v>0</v>
      </c>
      <c r="AH468" s="16" t="str">
        <f t="shared" si="175"/>
        <v>-</v>
      </c>
      <c r="AI468" s="8"/>
      <c r="AJ468" s="27" t="b">
        <f>IF($G468&lt;&gt;0,SUMIF(куб!$G:$G,$G468,куб!T:T),IF($E468&lt;&gt;0,SUMIF(куб!$E:$E,$E468,куб!T:T),IF($D468&lt;&gt;0,SUMIF(куб!$D:$D,$D468,куб!T:T),IF($C468&lt;&gt;0,SUMIF(куб!$C:$C,$C468,куб!T:T),IF($B468&lt;&gt;0,SUMIF(куб!$B:$B,$B468,куб!T:T))))))</f>
        <v>0</v>
      </c>
      <c r="AK468" s="27" t="b">
        <f>IF($G468&lt;&gt;0,SUMIF(куб!$G:$G,$G468,куб!U:U),IF($E468&lt;&gt;0,SUMIF(куб!$E:$E,$E468,куб!U:U),IF($D468&lt;&gt;0,SUMIF(куб!$D:$D,$D468,куб!U:U),IF($C468&lt;&gt;0,SUMIF(куб!$C:$C,$C468,куб!U:U),IF($B468&lt;&gt;0,SUMIF(куб!$B:$B,$B468,куб!U:U))))))</f>
        <v>0</v>
      </c>
      <c r="AL468" s="16" t="str">
        <f t="shared" si="176"/>
        <v>-</v>
      </c>
      <c r="AM468" s="8"/>
      <c r="AN468" s="17" t="str">
        <f t="shared" si="177"/>
        <v xml:space="preserve"> </v>
      </c>
      <c r="AO468" s="17" t="str">
        <f t="shared" si="178"/>
        <v xml:space="preserve"> </v>
      </c>
      <c r="AP468" s="16" t="str">
        <f t="shared" si="179"/>
        <v>-</v>
      </c>
      <c r="AQ468" s="8"/>
      <c r="AR468" s="17" t="str">
        <f t="shared" si="180"/>
        <v>-</v>
      </c>
      <c r="AS468" s="17" t="str">
        <f t="shared" si="181"/>
        <v>-</v>
      </c>
      <c r="AT468" s="13" t="str">
        <f t="shared" si="182"/>
        <v>-</v>
      </c>
      <c r="AU468" s="8"/>
    </row>
    <row r="469" spans="1:47" x14ac:dyDescent="0.25">
      <c r="A469" s="31"/>
      <c r="B469" s="31"/>
      <c r="C469"/>
      <c r="D469" s="31"/>
      <c r="E469"/>
      <c r="F469" s="31"/>
      <c r="G469"/>
      <c r="H469" s="27">
        <f>IF($G469&lt;&gt;0,SUMIF(куб!$G:$G,$G469,куб!H:H),IF($E469&lt;&gt;0,SUMIF(куб!$E:$E,$E469,куб!H:H),IF($D469&lt;&gt;0,SUMIF(куб!$D:$D,$D469,куб!H:H),IF($C469&lt;&gt;0,SUMIF(куб!$C:$C,$C469,куб!H:H),IF($B469&lt;&gt;0,SUMIF(куб!$B:$B,$B469,куб!H:H),IF($G469&lt;&gt;0,SUMIF(куб!$A:$A,$G469,куб!H:H),SUMIF(куб!$A:$A,$G469,куб!H:H)))))))</f>
        <v>0</v>
      </c>
      <c r="I469" s="27">
        <f>IF($G469&lt;&gt;0,SUMIF(куб!$G:$G,$G469,куб!I:I),IF($E469&lt;&gt;0,SUMIF(куб!$E:$E,$E469,куб!I:I),IF($D469&lt;&gt;0,SUMIF(куб!$D:$D,$D469,куб!I:I),IF($C469&lt;&gt;0,SUMIF(куб!$C:$C,$C469,куб!I:I),IF($B469&lt;&gt;0,SUMIF(куб!$B:$B,$B469,куб!I:I),IF($G469&lt;&gt;0,SUMIF(куб!$A:$A,$G469,куб!I:I),SUMIF(куб!$A:$A,$G469,куб!I:I)))))))</f>
        <v>0</v>
      </c>
      <c r="J469" s="19" t="str">
        <f t="shared" si="165"/>
        <v>-</v>
      </c>
      <c r="K469" s="8"/>
      <c r="L469" s="17">
        <f t="shared" si="166"/>
        <v>0</v>
      </c>
      <c r="M469" s="17">
        <f t="shared" si="167"/>
        <v>0</v>
      </c>
      <c r="N469" s="12">
        <f t="shared" si="168"/>
        <v>0</v>
      </c>
      <c r="O469" s="5"/>
      <c r="P469" s="27" t="b">
        <f>IF($G469&lt;&gt;0,SUMIF(куб!$G:$G,$G469,куб!J:J),IF($E469&lt;&gt;0,SUMIF(куб!$E:$E,$E469,куб!J:J),IF($D469&lt;&gt;0,SUMIF(куб!$D:$D,$D469,куб!J:J),IF($C469&lt;&gt;0,SUMIF(куб!$C:$C,$C469,куб!J:J),IF($B469&lt;&gt;0,SUMIF(куб!$B:$B,$B469,куб!J:J))))))</f>
        <v>0</v>
      </c>
      <c r="Q469" s="27" t="b">
        <f>IF($G469&lt;&gt;0,SUMIF(куб!$G:$G,$G469,куб!K:K),IF($E469&lt;&gt;0,SUMIF(куб!$E:$E,$E469,куб!K:K),IF($D469&lt;&gt;0,SUMIF(куб!$D:$D,$D469,куб!K:K),IF($C469&lt;&gt;0,SUMIF(куб!$C:$C,$C469,куб!K:K),IF($B469&lt;&gt;0,SUMIF(куб!$B:$B,$B469,куб!K:K))))))</f>
        <v>0</v>
      </c>
      <c r="R469" s="13" t="str">
        <f t="shared" si="169"/>
        <v>-</v>
      </c>
      <c r="S469" s="5"/>
      <c r="T469" s="27" t="b">
        <f>IF($G469&lt;&gt;0,SUMIF(куб!$G:$G,$G469,куб!L:L),IF($E469&lt;&gt;0,SUMIF(куб!$E:$E,$E469,куб!L:L),IF($D469&lt;&gt;0,SUMIF(куб!$D:$D,$D469,куб!L:L),IF($C469&lt;&gt;0,SUMIF(куб!$C:$C,$C469,куб!L:L),IF($B469&lt;&gt;0,SUMIF(куб!$B:$B,$B469,куб!L:L))))))</f>
        <v>0</v>
      </c>
      <c r="U469" s="27" t="b">
        <f>IF($G469&lt;&gt;0,SUMIF(куб!$G:$G,$G469,куб!M:M),IF($E469&lt;&gt;0,SUMIF(куб!$E:$E,$E469,куб!M:M),IF($D469&lt;&gt;0,SUMIF(куб!$D:$D,$D469,куб!M:M),IF($C469&lt;&gt;0,SUMIF(куб!$C:$C,$C469,куб!M:M),IF($B469&lt;&gt;0,SUMIF(куб!$B:$B,$B469,куб!M:M))))))</f>
        <v>0</v>
      </c>
      <c r="V469" s="13" t="str">
        <f t="shared" si="170"/>
        <v>-</v>
      </c>
      <c r="W469" s="5"/>
      <c r="X469" s="27" t="b">
        <f>IF($G469&lt;&gt;0,SUMIF(куб!$G:$G,$G469,куб!N:N),IF($E469&lt;&gt;0,SUMIF(куб!$E:$E,$E469,куб!N:N),IF($D469&lt;&gt;0,SUMIF(куб!$D:$D,$D469,куб!N:N),IF($C469&lt;&gt;0,SUMIF(куб!$C:$C,$C469,куб!N:N),IF($B469&lt;&gt;0,SUMIF(куб!$B:$B,$B469,куб!N:N))))))</f>
        <v>0</v>
      </c>
      <c r="Y469" s="27" t="b">
        <f>IF($G469&lt;&gt;0,SUMIF(куб!$G:$G,$G469,куб!O:O),IF($E469&lt;&gt;0,SUMIF(куб!$E:$E,$E469,куб!O:O),IF($D469&lt;&gt;0,SUMIF(куб!$D:$D,$D469,куб!O:O),IF($C469&lt;&gt;0,SUMIF(куб!$C:$C,$C469,куб!O:O),IF($B469&lt;&gt;0,SUMIF(куб!$B:$B,$B469,куб!O:O))))))</f>
        <v>0</v>
      </c>
      <c r="Z469" s="13" t="str">
        <f t="shared" si="171"/>
        <v>-</v>
      </c>
      <c r="AA469" s="5"/>
      <c r="AB469" s="33" t="str">
        <f t="shared" si="172"/>
        <v/>
      </c>
      <c r="AC469" s="33" t="str">
        <f t="shared" si="173"/>
        <v/>
      </c>
      <c r="AD469" s="15" t="str">
        <f t="shared" si="174"/>
        <v xml:space="preserve"> </v>
      </c>
      <c r="AE469" s="5"/>
      <c r="AF469" s="27" t="b">
        <f>IF($G469&lt;&gt;0,SUMIF(куб!$G:$G,$G469,куб!R:R),IF($E469&lt;&gt;0,SUMIF(куб!$E:$E,$E469,куб!R:R),IF($D469&lt;&gt;0,SUMIF(куб!$D:$D,$D469,куб!R:R),IF($C469&lt;&gt;0,SUMIF(куб!$C:$C,$C469,куб!R:R),IF($B469&lt;&gt;0,SUMIF(куб!$B:$B,$B469,куб!R:R))))))</f>
        <v>0</v>
      </c>
      <c r="AG469" s="27" t="b">
        <f>IF($G469&lt;&gt;0,SUMIF(куб!$G:$G,$G469,куб!S:S),IF($E469&lt;&gt;0,SUMIF(куб!$E:$E,$E469,куб!S:S),IF($D469&lt;&gt;0,SUMIF(куб!$D:$D,$D469,куб!S:S),IF($C469&lt;&gt;0,SUMIF(куб!$C:$C,$C469,куб!S:S),IF($B469&lt;&gt;0,SUMIF(куб!$B:$B,$B469,куб!S:S))))))</f>
        <v>0</v>
      </c>
      <c r="AH469" s="16" t="str">
        <f t="shared" si="175"/>
        <v>-</v>
      </c>
      <c r="AI469" s="8"/>
      <c r="AJ469" s="27" t="b">
        <f>IF($G469&lt;&gt;0,SUMIF(куб!$G:$G,$G469,куб!T:T),IF($E469&lt;&gt;0,SUMIF(куб!$E:$E,$E469,куб!T:T),IF($D469&lt;&gt;0,SUMIF(куб!$D:$D,$D469,куб!T:T),IF($C469&lt;&gt;0,SUMIF(куб!$C:$C,$C469,куб!T:T),IF($B469&lt;&gt;0,SUMIF(куб!$B:$B,$B469,куб!T:T))))))</f>
        <v>0</v>
      </c>
      <c r="AK469" s="27" t="b">
        <f>IF($G469&lt;&gt;0,SUMIF(куб!$G:$G,$G469,куб!U:U),IF($E469&lt;&gt;0,SUMIF(куб!$E:$E,$E469,куб!U:U),IF($D469&lt;&gt;0,SUMIF(куб!$D:$D,$D469,куб!U:U),IF($C469&lt;&gt;0,SUMIF(куб!$C:$C,$C469,куб!U:U),IF($B469&lt;&gt;0,SUMIF(куб!$B:$B,$B469,куб!U:U))))))</f>
        <v>0</v>
      </c>
      <c r="AL469" s="16" t="str">
        <f t="shared" si="176"/>
        <v>-</v>
      </c>
      <c r="AM469" s="8"/>
      <c r="AN469" s="17" t="str">
        <f t="shared" si="177"/>
        <v xml:space="preserve"> </v>
      </c>
      <c r="AO469" s="17" t="str">
        <f t="shared" si="178"/>
        <v xml:space="preserve"> </v>
      </c>
      <c r="AP469" s="16" t="str">
        <f t="shared" si="179"/>
        <v>-</v>
      </c>
      <c r="AQ469" s="8"/>
      <c r="AR469" s="17" t="str">
        <f t="shared" si="180"/>
        <v>-</v>
      </c>
      <c r="AS469" s="17" t="str">
        <f t="shared" si="181"/>
        <v>-</v>
      </c>
      <c r="AT469" s="13" t="str">
        <f t="shared" si="182"/>
        <v>-</v>
      </c>
      <c r="AU469" s="8"/>
    </row>
    <row r="470" spans="1:47" x14ac:dyDescent="0.25">
      <c r="A470" s="31"/>
      <c r="B470" s="31"/>
      <c r="C470"/>
      <c r="D470" s="31"/>
      <c r="E470"/>
      <c r="F470" s="31"/>
      <c r="G470"/>
      <c r="H470" s="27">
        <f>IF($G470&lt;&gt;0,SUMIF(куб!$G:$G,$G470,куб!H:H),IF($E470&lt;&gt;0,SUMIF(куб!$E:$E,$E470,куб!H:H),IF($D470&lt;&gt;0,SUMIF(куб!$D:$D,$D470,куб!H:H),IF($C470&lt;&gt;0,SUMIF(куб!$C:$C,$C470,куб!H:H),IF($B470&lt;&gt;0,SUMIF(куб!$B:$B,$B470,куб!H:H),IF($G470&lt;&gt;0,SUMIF(куб!$A:$A,$G470,куб!H:H),SUMIF(куб!$A:$A,$G470,куб!H:H)))))))</f>
        <v>0</v>
      </c>
      <c r="I470" s="27">
        <f>IF($G470&lt;&gt;0,SUMIF(куб!$G:$G,$G470,куб!I:I),IF($E470&lt;&gt;0,SUMIF(куб!$E:$E,$E470,куб!I:I),IF($D470&lt;&gt;0,SUMIF(куб!$D:$D,$D470,куб!I:I),IF($C470&lt;&gt;0,SUMIF(куб!$C:$C,$C470,куб!I:I),IF($B470&lt;&gt;0,SUMIF(куб!$B:$B,$B470,куб!I:I),IF($G470&lt;&gt;0,SUMIF(куб!$A:$A,$G470,куб!I:I),SUMIF(куб!$A:$A,$G470,куб!I:I)))))))</f>
        <v>0</v>
      </c>
      <c r="J470" s="19" t="str">
        <f t="shared" si="165"/>
        <v>-</v>
      </c>
      <c r="K470" s="8"/>
      <c r="L470" s="17">
        <f t="shared" si="166"/>
        <v>0</v>
      </c>
      <c r="M470" s="17">
        <f t="shared" si="167"/>
        <v>0</v>
      </c>
      <c r="N470" s="12">
        <f t="shared" si="168"/>
        <v>0</v>
      </c>
      <c r="O470" s="5"/>
      <c r="P470" s="27" t="b">
        <f>IF($G470&lt;&gt;0,SUMIF(куб!$G:$G,$G470,куб!J:J),IF($E470&lt;&gt;0,SUMIF(куб!$E:$E,$E470,куб!J:J),IF($D470&lt;&gt;0,SUMIF(куб!$D:$D,$D470,куб!J:J),IF($C470&lt;&gt;0,SUMIF(куб!$C:$C,$C470,куб!J:J),IF($B470&lt;&gt;0,SUMIF(куб!$B:$B,$B470,куб!J:J))))))</f>
        <v>0</v>
      </c>
      <c r="Q470" s="27" t="b">
        <f>IF($G470&lt;&gt;0,SUMIF(куб!$G:$G,$G470,куб!K:K),IF($E470&lt;&gt;0,SUMIF(куб!$E:$E,$E470,куб!K:K),IF($D470&lt;&gt;0,SUMIF(куб!$D:$D,$D470,куб!K:K),IF($C470&lt;&gt;0,SUMIF(куб!$C:$C,$C470,куб!K:K),IF($B470&lt;&gt;0,SUMIF(куб!$B:$B,$B470,куб!K:K))))))</f>
        <v>0</v>
      </c>
      <c r="R470" s="13" t="str">
        <f t="shared" si="169"/>
        <v>-</v>
      </c>
      <c r="S470" s="5"/>
      <c r="T470" s="27" t="b">
        <f>IF($G470&lt;&gt;0,SUMIF(куб!$G:$G,$G470,куб!L:L),IF($E470&lt;&gt;0,SUMIF(куб!$E:$E,$E470,куб!L:L),IF($D470&lt;&gt;0,SUMIF(куб!$D:$D,$D470,куб!L:L),IF($C470&lt;&gt;0,SUMIF(куб!$C:$C,$C470,куб!L:L),IF($B470&lt;&gt;0,SUMIF(куб!$B:$B,$B470,куб!L:L))))))</f>
        <v>0</v>
      </c>
      <c r="U470" s="27" t="b">
        <f>IF($G470&lt;&gt;0,SUMIF(куб!$G:$G,$G470,куб!M:M),IF($E470&lt;&gt;0,SUMIF(куб!$E:$E,$E470,куб!M:M),IF($D470&lt;&gt;0,SUMIF(куб!$D:$D,$D470,куб!M:M),IF($C470&lt;&gt;0,SUMIF(куб!$C:$C,$C470,куб!M:M),IF($B470&lt;&gt;0,SUMIF(куб!$B:$B,$B470,куб!M:M))))))</f>
        <v>0</v>
      </c>
      <c r="V470" s="13" t="str">
        <f t="shared" si="170"/>
        <v>-</v>
      </c>
      <c r="W470" s="5"/>
      <c r="X470" s="27" t="b">
        <f>IF($G470&lt;&gt;0,SUMIF(куб!$G:$G,$G470,куб!N:N),IF($E470&lt;&gt;0,SUMIF(куб!$E:$E,$E470,куб!N:N),IF($D470&lt;&gt;0,SUMIF(куб!$D:$D,$D470,куб!N:N),IF($C470&lt;&gt;0,SUMIF(куб!$C:$C,$C470,куб!N:N),IF($B470&lt;&gt;0,SUMIF(куб!$B:$B,$B470,куб!N:N))))))</f>
        <v>0</v>
      </c>
      <c r="Y470" s="27" t="b">
        <f>IF($G470&lt;&gt;0,SUMIF(куб!$G:$G,$G470,куб!O:O),IF($E470&lt;&gt;0,SUMIF(куб!$E:$E,$E470,куб!O:O),IF($D470&lt;&gt;0,SUMIF(куб!$D:$D,$D470,куб!O:O),IF($C470&lt;&gt;0,SUMIF(куб!$C:$C,$C470,куб!O:O),IF($B470&lt;&gt;0,SUMIF(куб!$B:$B,$B470,куб!O:O))))))</f>
        <v>0</v>
      </c>
      <c r="Z470" s="13" t="str">
        <f t="shared" si="171"/>
        <v>-</v>
      </c>
      <c r="AA470" s="5"/>
      <c r="AB470" s="33" t="str">
        <f t="shared" si="172"/>
        <v/>
      </c>
      <c r="AC470" s="33" t="str">
        <f t="shared" si="173"/>
        <v/>
      </c>
      <c r="AD470" s="15" t="str">
        <f t="shared" si="174"/>
        <v xml:space="preserve"> </v>
      </c>
      <c r="AE470" s="5"/>
      <c r="AF470" s="27" t="b">
        <f>IF($G470&lt;&gt;0,SUMIF(куб!$G:$G,$G470,куб!R:R),IF($E470&lt;&gt;0,SUMIF(куб!$E:$E,$E470,куб!R:R),IF($D470&lt;&gt;0,SUMIF(куб!$D:$D,$D470,куб!R:R),IF($C470&lt;&gt;0,SUMIF(куб!$C:$C,$C470,куб!R:R),IF($B470&lt;&gt;0,SUMIF(куб!$B:$B,$B470,куб!R:R))))))</f>
        <v>0</v>
      </c>
      <c r="AG470" s="27" t="b">
        <f>IF($G470&lt;&gt;0,SUMIF(куб!$G:$G,$G470,куб!S:S),IF($E470&lt;&gt;0,SUMIF(куб!$E:$E,$E470,куб!S:S),IF($D470&lt;&gt;0,SUMIF(куб!$D:$D,$D470,куб!S:S),IF($C470&lt;&gt;0,SUMIF(куб!$C:$C,$C470,куб!S:S),IF($B470&lt;&gt;0,SUMIF(куб!$B:$B,$B470,куб!S:S))))))</f>
        <v>0</v>
      </c>
      <c r="AH470" s="16" t="str">
        <f t="shared" si="175"/>
        <v>-</v>
      </c>
      <c r="AI470" s="8"/>
      <c r="AJ470" s="27" t="b">
        <f>IF($G470&lt;&gt;0,SUMIF(куб!$G:$G,$G470,куб!T:T),IF($E470&lt;&gt;0,SUMIF(куб!$E:$E,$E470,куб!T:T),IF($D470&lt;&gt;0,SUMIF(куб!$D:$D,$D470,куб!T:T),IF($C470&lt;&gt;0,SUMIF(куб!$C:$C,$C470,куб!T:T),IF($B470&lt;&gt;0,SUMIF(куб!$B:$B,$B470,куб!T:T))))))</f>
        <v>0</v>
      </c>
      <c r="AK470" s="27" t="b">
        <f>IF($G470&lt;&gt;0,SUMIF(куб!$G:$G,$G470,куб!U:U),IF($E470&lt;&gt;0,SUMIF(куб!$E:$E,$E470,куб!U:U),IF($D470&lt;&gt;0,SUMIF(куб!$D:$D,$D470,куб!U:U),IF($C470&lt;&gt;0,SUMIF(куб!$C:$C,$C470,куб!U:U),IF($B470&lt;&gt;0,SUMIF(куб!$B:$B,$B470,куб!U:U))))))</f>
        <v>0</v>
      </c>
      <c r="AL470" s="16" t="str">
        <f t="shared" si="176"/>
        <v>-</v>
      </c>
      <c r="AM470" s="8"/>
      <c r="AN470" s="17" t="str">
        <f t="shared" si="177"/>
        <v xml:space="preserve"> </v>
      </c>
      <c r="AO470" s="17" t="str">
        <f t="shared" si="178"/>
        <v xml:space="preserve"> </v>
      </c>
      <c r="AP470" s="16" t="str">
        <f t="shared" si="179"/>
        <v>-</v>
      </c>
      <c r="AQ470" s="8"/>
      <c r="AR470" s="17" t="str">
        <f t="shared" si="180"/>
        <v>-</v>
      </c>
      <c r="AS470" s="17" t="str">
        <f t="shared" si="181"/>
        <v>-</v>
      </c>
      <c r="AT470" s="13" t="str">
        <f t="shared" si="182"/>
        <v>-</v>
      </c>
      <c r="AU470" s="8"/>
    </row>
    <row r="471" spans="1:47" x14ac:dyDescent="0.25">
      <c r="A471" s="31"/>
      <c r="B471" s="31"/>
      <c r="C471"/>
      <c r="D471" s="31"/>
      <c r="E471"/>
      <c r="F471" s="31"/>
      <c r="G471"/>
      <c r="H471" s="27">
        <f>IF($G471&lt;&gt;0,SUMIF(куб!$G:$G,$G471,куб!H:H),IF($E471&lt;&gt;0,SUMIF(куб!$E:$E,$E471,куб!H:H),IF($D471&lt;&gt;0,SUMIF(куб!$D:$D,$D471,куб!H:H),IF($C471&lt;&gt;0,SUMIF(куб!$C:$C,$C471,куб!H:H),IF($B471&lt;&gt;0,SUMIF(куб!$B:$B,$B471,куб!H:H),IF($G471&lt;&gt;0,SUMIF(куб!$A:$A,$G471,куб!H:H),SUMIF(куб!$A:$A,$G471,куб!H:H)))))))</f>
        <v>0</v>
      </c>
      <c r="I471" s="27">
        <f>IF($G471&lt;&gt;0,SUMIF(куб!$G:$G,$G471,куб!I:I),IF($E471&lt;&gt;0,SUMIF(куб!$E:$E,$E471,куб!I:I),IF($D471&lt;&gt;0,SUMIF(куб!$D:$D,$D471,куб!I:I),IF($C471&lt;&gt;0,SUMIF(куб!$C:$C,$C471,куб!I:I),IF($B471&lt;&gt;0,SUMIF(куб!$B:$B,$B471,куб!I:I),IF($G471&lt;&gt;0,SUMIF(куб!$A:$A,$G471,куб!I:I),SUMIF(куб!$A:$A,$G471,куб!I:I)))))))</f>
        <v>0</v>
      </c>
      <c r="J471" s="19" t="str">
        <f t="shared" si="165"/>
        <v>-</v>
      </c>
      <c r="K471" s="8"/>
      <c r="L471" s="17">
        <f t="shared" si="166"/>
        <v>0</v>
      </c>
      <c r="M471" s="17">
        <f t="shared" si="167"/>
        <v>0</v>
      </c>
      <c r="N471" s="12">
        <f t="shared" si="168"/>
        <v>0</v>
      </c>
      <c r="O471" s="5"/>
      <c r="P471" s="27" t="b">
        <f>IF($G471&lt;&gt;0,SUMIF(куб!$G:$G,$G471,куб!J:J),IF($E471&lt;&gt;0,SUMIF(куб!$E:$E,$E471,куб!J:J),IF($D471&lt;&gt;0,SUMIF(куб!$D:$D,$D471,куб!J:J),IF($C471&lt;&gt;0,SUMIF(куб!$C:$C,$C471,куб!J:J),IF($B471&lt;&gt;0,SUMIF(куб!$B:$B,$B471,куб!J:J))))))</f>
        <v>0</v>
      </c>
      <c r="Q471" s="27" t="b">
        <f>IF($G471&lt;&gt;0,SUMIF(куб!$G:$G,$G471,куб!K:K),IF($E471&lt;&gt;0,SUMIF(куб!$E:$E,$E471,куб!K:K),IF($D471&lt;&gt;0,SUMIF(куб!$D:$D,$D471,куб!K:K),IF($C471&lt;&gt;0,SUMIF(куб!$C:$C,$C471,куб!K:K),IF($B471&lt;&gt;0,SUMIF(куб!$B:$B,$B471,куб!K:K))))))</f>
        <v>0</v>
      </c>
      <c r="R471" s="13" t="str">
        <f t="shared" si="169"/>
        <v>-</v>
      </c>
      <c r="S471" s="5"/>
      <c r="T471" s="27" t="b">
        <f>IF($G471&lt;&gt;0,SUMIF(куб!$G:$G,$G471,куб!L:L),IF($E471&lt;&gt;0,SUMIF(куб!$E:$E,$E471,куб!L:L),IF($D471&lt;&gt;0,SUMIF(куб!$D:$D,$D471,куб!L:L),IF($C471&lt;&gt;0,SUMIF(куб!$C:$C,$C471,куб!L:L),IF($B471&lt;&gt;0,SUMIF(куб!$B:$B,$B471,куб!L:L))))))</f>
        <v>0</v>
      </c>
      <c r="U471" s="27" t="b">
        <f>IF($G471&lt;&gt;0,SUMIF(куб!$G:$G,$G471,куб!M:M),IF($E471&lt;&gt;0,SUMIF(куб!$E:$E,$E471,куб!M:M),IF($D471&lt;&gt;0,SUMIF(куб!$D:$D,$D471,куб!M:M),IF($C471&lt;&gt;0,SUMIF(куб!$C:$C,$C471,куб!M:M),IF($B471&lt;&gt;0,SUMIF(куб!$B:$B,$B471,куб!M:M))))))</f>
        <v>0</v>
      </c>
      <c r="V471" s="13" t="str">
        <f t="shared" si="170"/>
        <v>-</v>
      </c>
      <c r="W471" s="5"/>
      <c r="X471" s="27" t="b">
        <f>IF($G471&lt;&gt;0,SUMIF(куб!$G:$G,$G471,куб!N:N),IF($E471&lt;&gt;0,SUMIF(куб!$E:$E,$E471,куб!N:N),IF($D471&lt;&gt;0,SUMIF(куб!$D:$D,$D471,куб!N:N),IF($C471&lt;&gt;0,SUMIF(куб!$C:$C,$C471,куб!N:N),IF($B471&lt;&gt;0,SUMIF(куб!$B:$B,$B471,куб!N:N))))))</f>
        <v>0</v>
      </c>
      <c r="Y471" s="27" t="b">
        <f>IF($G471&lt;&gt;0,SUMIF(куб!$G:$G,$G471,куб!O:O),IF($E471&lt;&gt;0,SUMIF(куб!$E:$E,$E471,куб!O:O),IF($D471&lt;&gt;0,SUMIF(куб!$D:$D,$D471,куб!O:O),IF($C471&lt;&gt;0,SUMIF(куб!$C:$C,$C471,куб!O:O),IF($B471&lt;&gt;0,SUMIF(куб!$B:$B,$B471,куб!O:O))))))</f>
        <v>0</v>
      </c>
      <c r="Z471" s="13" t="str">
        <f t="shared" si="171"/>
        <v>-</v>
      </c>
      <c r="AA471" s="5"/>
      <c r="AB471" s="33" t="str">
        <f t="shared" si="172"/>
        <v/>
      </c>
      <c r="AC471" s="33" t="str">
        <f t="shared" si="173"/>
        <v/>
      </c>
      <c r="AD471" s="15" t="str">
        <f t="shared" si="174"/>
        <v xml:space="preserve"> </v>
      </c>
      <c r="AE471" s="5"/>
      <c r="AF471" s="27" t="b">
        <f>IF($G471&lt;&gt;0,SUMIF(куб!$G:$G,$G471,куб!R:R),IF($E471&lt;&gt;0,SUMIF(куб!$E:$E,$E471,куб!R:R),IF($D471&lt;&gt;0,SUMIF(куб!$D:$D,$D471,куб!R:R),IF($C471&lt;&gt;0,SUMIF(куб!$C:$C,$C471,куб!R:R),IF($B471&lt;&gt;0,SUMIF(куб!$B:$B,$B471,куб!R:R))))))</f>
        <v>0</v>
      </c>
      <c r="AG471" s="27" t="b">
        <f>IF($G471&lt;&gt;0,SUMIF(куб!$G:$G,$G471,куб!S:S),IF($E471&lt;&gt;0,SUMIF(куб!$E:$E,$E471,куб!S:S),IF($D471&lt;&gt;0,SUMIF(куб!$D:$D,$D471,куб!S:S),IF($C471&lt;&gt;0,SUMIF(куб!$C:$C,$C471,куб!S:S),IF($B471&lt;&gt;0,SUMIF(куб!$B:$B,$B471,куб!S:S))))))</f>
        <v>0</v>
      </c>
      <c r="AH471" s="16" t="str">
        <f t="shared" si="175"/>
        <v>-</v>
      </c>
      <c r="AI471" s="8"/>
      <c r="AJ471" s="27" t="b">
        <f>IF($G471&lt;&gt;0,SUMIF(куб!$G:$G,$G471,куб!T:T),IF($E471&lt;&gt;0,SUMIF(куб!$E:$E,$E471,куб!T:T),IF($D471&lt;&gt;0,SUMIF(куб!$D:$D,$D471,куб!T:T),IF($C471&lt;&gt;0,SUMIF(куб!$C:$C,$C471,куб!T:T),IF($B471&lt;&gt;0,SUMIF(куб!$B:$B,$B471,куб!T:T))))))</f>
        <v>0</v>
      </c>
      <c r="AK471" s="27" t="b">
        <f>IF($G471&lt;&gt;0,SUMIF(куб!$G:$G,$G471,куб!U:U),IF($E471&lt;&gt;0,SUMIF(куб!$E:$E,$E471,куб!U:U),IF($D471&lt;&gt;0,SUMIF(куб!$D:$D,$D471,куб!U:U),IF($C471&lt;&gt;0,SUMIF(куб!$C:$C,$C471,куб!U:U),IF($B471&lt;&gt;0,SUMIF(куб!$B:$B,$B471,куб!U:U))))))</f>
        <v>0</v>
      </c>
      <c r="AL471" s="16" t="str">
        <f t="shared" si="176"/>
        <v>-</v>
      </c>
      <c r="AM471" s="8"/>
      <c r="AN471" s="17" t="str">
        <f t="shared" si="177"/>
        <v xml:space="preserve"> </v>
      </c>
      <c r="AO471" s="17" t="str">
        <f t="shared" si="178"/>
        <v xml:space="preserve"> </v>
      </c>
      <c r="AP471" s="16" t="str">
        <f t="shared" si="179"/>
        <v>-</v>
      </c>
      <c r="AQ471" s="8"/>
      <c r="AR471" s="17" t="str">
        <f t="shared" si="180"/>
        <v>-</v>
      </c>
      <c r="AS471" s="17" t="str">
        <f t="shared" si="181"/>
        <v>-</v>
      </c>
      <c r="AT471" s="13" t="str">
        <f t="shared" si="182"/>
        <v>-</v>
      </c>
      <c r="AU471" s="8"/>
    </row>
    <row r="472" spans="1:47" x14ac:dyDescent="0.25">
      <c r="A472" s="31"/>
      <c r="B472" s="31"/>
      <c r="C472"/>
      <c r="D472" s="31"/>
      <c r="E472"/>
      <c r="F472"/>
      <c r="G472"/>
      <c r="H472" s="27">
        <f>IF($G472&lt;&gt;0,SUMIF(куб!$G:$G,$G472,куб!H:H),IF($E472&lt;&gt;0,SUMIF(куб!$E:$E,$E472,куб!H:H),IF($D472&lt;&gt;0,SUMIF(куб!$D:$D,$D472,куб!H:H),IF($C472&lt;&gt;0,SUMIF(куб!$C:$C,$C472,куб!H:H),IF($B472&lt;&gt;0,SUMIF(куб!$B:$B,$B472,куб!H:H),IF($G472&lt;&gt;0,SUMIF(куб!$A:$A,$G472,куб!H:H),SUMIF(куб!$A:$A,$G472,куб!H:H)))))))</f>
        <v>0</v>
      </c>
      <c r="I472" s="27">
        <f>IF($G472&lt;&gt;0,SUMIF(куб!$G:$G,$G472,куб!I:I),IF($E472&lt;&gt;0,SUMIF(куб!$E:$E,$E472,куб!I:I),IF($D472&lt;&gt;0,SUMIF(куб!$D:$D,$D472,куб!I:I),IF($C472&lt;&gt;0,SUMIF(куб!$C:$C,$C472,куб!I:I),IF($B472&lt;&gt;0,SUMIF(куб!$B:$B,$B472,куб!I:I),IF($G472&lt;&gt;0,SUMIF(куб!$A:$A,$G472,куб!I:I),SUMIF(куб!$A:$A,$G472,куб!I:I)))))))</f>
        <v>0</v>
      </c>
      <c r="J472" s="19" t="str">
        <f t="shared" si="165"/>
        <v>-</v>
      </c>
      <c r="K472" s="8"/>
      <c r="L472" s="17">
        <f t="shared" si="166"/>
        <v>0</v>
      </c>
      <c r="M472" s="17">
        <f t="shared" si="167"/>
        <v>0</v>
      </c>
      <c r="N472" s="12">
        <f t="shared" si="168"/>
        <v>0</v>
      </c>
      <c r="O472" s="5"/>
      <c r="P472" s="27" t="b">
        <f>IF($G472&lt;&gt;0,SUMIF(куб!$G:$G,$G472,куб!J:J),IF($E472&lt;&gt;0,SUMIF(куб!$E:$E,$E472,куб!J:J),IF($D472&lt;&gt;0,SUMIF(куб!$D:$D,$D472,куб!J:J),IF($C472&lt;&gt;0,SUMIF(куб!$C:$C,$C472,куб!J:J),IF($B472&lt;&gt;0,SUMIF(куб!$B:$B,$B472,куб!J:J))))))</f>
        <v>0</v>
      </c>
      <c r="Q472" s="27" t="b">
        <f>IF($G472&lt;&gt;0,SUMIF(куб!$G:$G,$G472,куб!K:K),IF($E472&lt;&gt;0,SUMIF(куб!$E:$E,$E472,куб!K:K),IF($D472&lt;&gt;0,SUMIF(куб!$D:$D,$D472,куб!K:K),IF($C472&lt;&gt;0,SUMIF(куб!$C:$C,$C472,куб!K:K),IF($B472&lt;&gt;0,SUMIF(куб!$B:$B,$B472,куб!K:K))))))</f>
        <v>0</v>
      </c>
      <c r="R472" s="13" t="str">
        <f t="shared" si="169"/>
        <v>-</v>
      </c>
      <c r="S472" s="5"/>
      <c r="T472" s="27" t="b">
        <f>IF($G472&lt;&gt;0,SUMIF(куб!$G:$G,$G472,куб!L:L),IF($E472&lt;&gt;0,SUMIF(куб!$E:$E,$E472,куб!L:L),IF($D472&lt;&gt;0,SUMIF(куб!$D:$D,$D472,куб!L:L),IF($C472&lt;&gt;0,SUMIF(куб!$C:$C,$C472,куб!L:L),IF($B472&lt;&gt;0,SUMIF(куб!$B:$B,$B472,куб!L:L))))))</f>
        <v>0</v>
      </c>
      <c r="U472" s="27" t="b">
        <f>IF($G472&lt;&gt;0,SUMIF(куб!$G:$G,$G472,куб!M:M),IF($E472&lt;&gt;0,SUMIF(куб!$E:$E,$E472,куб!M:M),IF($D472&lt;&gt;0,SUMIF(куб!$D:$D,$D472,куб!M:M),IF($C472&lt;&gt;0,SUMIF(куб!$C:$C,$C472,куб!M:M),IF($B472&lt;&gt;0,SUMIF(куб!$B:$B,$B472,куб!M:M))))))</f>
        <v>0</v>
      </c>
      <c r="V472" s="13" t="str">
        <f t="shared" si="170"/>
        <v>-</v>
      </c>
      <c r="W472" s="5"/>
      <c r="X472" s="27" t="b">
        <f>IF($G472&lt;&gt;0,SUMIF(куб!$G:$G,$G472,куб!N:N),IF($E472&lt;&gt;0,SUMIF(куб!$E:$E,$E472,куб!N:N),IF($D472&lt;&gt;0,SUMIF(куб!$D:$D,$D472,куб!N:N),IF($C472&lt;&gt;0,SUMIF(куб!$C:$C,$C472,куб!N:N),IF($B472&lt;&gt;0,SUMIF(куб!$B:$B,$B472,куб!N:N))))))</f>
        <v>0</v>
      </c>
      <c r="Y472" s="27" t="b">
        <f>IF($G472&lt;&gt;0,SUMIF(куб!$G:$G,$G472,куб!O:O),IF($E472&lt;&gt;0,SUMIF(куб!$E:$E,$E472,куб!O:O),IF($D472&lt;&gt;0,SUMIF(куб!$D:$D,$D472,куб!O:O),IF($C472&lt;&gt;0,SUMIF(куб!$C:$C,$C472,куб!O:O),IF($B472&lt;&gt;0,SUMIF(куб!$B:$B,$B472,куб!O:O))))))</f>
        <v>0</v>
      </c>
      <c r="Z472" s="13" t="str">
        <f t="shared" si="171"/>
        <v>-</v>
      </c>
      <c r="AA472" s="5"/>
      <c r="AB472" s="33" t="str">
        <f t="shared" si="172"/>
        <v/>
      </c>
      <c r="AC472" s="33" t="str">
        <f t="shared" si="173"/>
        <v/>
      </c>
      <c r="AD472" s="15" t="str">
        <f t="shared" si="174"/>
        <v xml:space="preserve"> </v>
      </c>
      <c r="AE472" s="5"/>
      <c r="AF472" s="27" t="b">
        <f>IF($G472&lt;&gt;0,SUMIF(куб!$G:$G,$G472,куб!R:R),IF($E472&lt;&gt;0,SUMIF(куб!$E:$E,$E472,куб!R:R),IF($D472&lt;&gt;0,SUMIF(куб!$D:$D,$D472,куб!R:R),IF($C472&lt;&gt;0,SUMIF(куб!$C:$C,$C472,куб!R:R),IF($B472&lt;&gt;0,SUMIF(куб!$B:$B,$B472,куб!R:R))))))</f>
        <v>0</v>
      </c>
      <c r="AG472" s="27" t="b">
        <f>IF($G472&lt;&gt;0,SUMIF(куб!$G:$G,$G472,куб!S:S),IF($E472&lt;&gt;0,SUMIF(куб!$E:$E,$E472,куб!S:S),IF($D472&lt;&gt;0,SUMIF(куб!$D:$D,$D472,куб!S:S),IF($C472&lt;&gt;0,SUMIF(куб!$C:$C,$C472,куб!S:S),IF($B472&lt;&gt;0,SUMIF(куб!$B:$B,$B472,куб!S:S))))))</f>
        <v>0</v>
      </c>
      <c r="AH472" s="16" t="str">
        <f t="shared" si="175"/>
        <v>-</v>
      </c>
      <c r="AI472" s="8"/>
      <c r="AJ472" s="27" t="b">
        <f>IF($G472&lt;&gt;0,SUMIF(куб!$G:$G,$G472,куб!T:T),IF($E472&lt;&gt;0,SUMIF(куб!$E:$E,$E472,куб!T:T),IF($D472&lt;&gt;0,SUMIF(куб!$D:$D,$D472,куб!T:T),IF($C472&lt;&gt;0,SUMIF(куб!$C:$C,$C472,куб!T:T),IF($B472&lt;&gt;0,SUMIF(куб!$B:$B,$B472,куб!T:T))))))</f>
        <v>0</v>
      </c>
      <c r="AK472" s="27" t="b">
        <f>IF($G472&lt;&gt;0,SUMIF(куб!$G:$G,$G472,куб!U:U),IF($E472&lt;&gt;0,SUMIF(куб!$E:$E,$E472,куб!U:U),IF($D472&lt;&gt;0,SUMIF(куб!$D:$D,$D472,куб!U:U),IF($C472&lt;&gt;0,SUMIF(куб!$C:$C,$C472,куб!U:U),IF($B472&lt;&gt;0,SUMIF(куб!$B:$B,$B472,куб!U:U))))))</f>
        <v>0</v>
      </c>
      <c r="AL472" s="16" t="str">
        <f t="shared" si="176"/>
        <v>-</v>
      </c>
      <c r="AM472" s="8"/>
      <c r="AN472" s="17" t="str">
        <f t="shared" si="177"/>
        <v xml:space="preserve"> </v>
      </c>
      <c r="AO472" s="17" t="str">
        <f t="shared" si="178"/>
        <v xml:space="preserve"> </v>
      </c>
      <c r="AP472" s="16" t="str">
        <f t="shared" si="179"/>
        <v>-</v>
      </c>
      <c r="AQ472" s="8"/>
      <c r="AR472" s="17" t="str">
        <f t="shared" si="180"/>
        <v>-</v>
      </c>
      <c r="AS472" s="17" t="str">
        <f t="shared" si="181"/>
        <v>-</v>
      </c>
      <c r="AT472" s="13" t="str">
        <f t="shared" si="182"/>
        <v>-</v>
      </c>
      <c r="AU472" s="8"/>
    </row>
    <row r="473" spans="1:47" x14ac:dyDescent="0.25">
      <c r="A473" s="31"/>
      <c r="B473" s="31"/>
      <c r="C473"/>
      <c r="D473" s="31"/>
      <c r="E473" s="31"/>
      <c r="F473" s="31"/>
      <c r="G473" s="31"/>
      <c r="H473" s="27">
        <f>IF($G473&lt;&gt;0,SUMIF(куб!$G:$G,$G473,куб!H:H),IF($E473&lt;&gt;0,SUMIF(куб!$E:$E,$E473,куб!H:H),IF($D473&lt;&gt;0,SUMIF(куб!$D:$D,$D473,куб!H:H),IF($C473&lt;&gt;0,SUMIF(куб!$C:$C,$C473,куб!H:H),IF($B473&lt;&gt;0,SUMIF(куб!$B:$B,$B473,куб!H:H),IF($G473&lt;&gt;0,SUMIF(куб!$A:$A,$G473,куб!H:H),SUMIF(куб!$A:$A,$G473,куб!H:H)))))))</f>
        <v>0</v>
      </c>
      <c r="I473" s="27">
        <f>IF($G473&lt;&gt;0,SUMIF(куб!$G:$G,$G473,куб!I:I),IF($E473&lt;&gt;0,SUMIF(куб!$E:$E,$E473,куб!I:I),IF($D473&lt;&gt;0,SUMIF(куб!$D:$D,$D473,куб!I:I),IF($C473&lt;&gt;0,SUMIF(куб!$C:$C,$C473,куб!I:I),IF($B473&lt;&gt;0,SUMIF(куб!$B:$B,$B473,куб!I:I),IF($G473&lt;&gt;0,SUMIF(куб!$A:$A,$G473,куб!I:I),SUMIF(куб!$A:$A,$G473,куб!I:I)))))))</f>
        <v>0</v>
      </c>
      <c r="J473" s="19" t="str">
        <f t="shared" si="165"/>
        <v>-</v>
      </c>
      <c r="K473" s="8"/>
      <c r="L473" s="17">
        <f t="shared" si="166"/>
        <v>0</v>
      </c>
      <c r="M473" s="17">
        <f t="shared" si="167"/>
        <v>0</v>
      </c>
      <c r="N473" s="12">
        <f t="shared" si="168"/>
        <v>0</v>
      </c>
      <c r="O473" s="5"/>
      <c r="P473" s="27" t="b">
        <f>IF($G473&lt;&gt;0,SUMIF(куб!$G:$G,$G473,куб!J:J),IF($E473&lt;&gt;0,SUMIF(куб!$E:$E,$E473,куб!J:J),IF($D473&lt;&gt;0,SUMIF(куб!$D:$D,$D473,куб!J:J),IF($C473&lt;&gt;0,SUMIF(куб!$C:$C,$C473,куб!J:J),IF($B473&lt;&gt;0,SUMIF(куб!$B:$B,$B473,куб!J:J))))))</f>
        <v>0</v>
      </c>
      <c r="Q473" s="27" t="b">
        <f>IF($G473&lt;&gt;0,SUMIF(куб!$G:$G,$G473,куб!K:K),IF($E473&lt;&gt;0,SUMIF(куб!$E:$E,$E473,куб!K:K),IF($D473&lt;&gt;0,SUMIF(куб!$D:$D,$D473,куб!K:K),IF($C473&lt;&gt;0,SUMIF(куб!$C:$C,$C473,куб!K:K),IF($B473&lt;&gt;0,SUMIF(куб!$B:$B,$B473,куб!K:K))))))</f>
        <v>0</v>
      </c>
      <c r="R473" s="13" t="str">
        <f t="shared" si="169"/>
        <v>-</v>
      </c>
      <c r="S473" s="5"/>
      <c r="T473" s="27" t="b">
        <f>IF($G473&lt;&gt;0,SUMIF(куб!$G:$G,$G473,куб!L:L),IF($E473&lt;&gt;0,SUMIF(куб!$E:$E,$E473,куб!L:L),IF($D473&lt;&gt;0,SUMIF(куб!$D:$D,$D473,куб!L:L),IF($C473&lt;&gt;0,SUMIF(куб!$C:$C,$C473,куб!L:L),IF($B473&lt;&gt;0,SUMIF(куб!$B:$B,$B473,куб!L:L))))))</f>
        <v>0</v>
      </c>
      <c r="U473" s="27" t="b">
        <f>IF($G473&lt;&gt;0,SUMIF(куб!$G:$G,$G473,куб!M:M),IF($E473&lt;&gt;0,SUMIF(куб!$E:$E,$E473,куб!M:M),IF($D473&lt;&gt;0,SUMIF(куб!$D:$D,$D473,куб!M:M),IF($C473&lt;&gt;0,SUMIF(куб!$C:$C,$C473,куб!M:M),IF($B473&lt;&gt;0,SUMIF(куб!$B:$B,$B473,куб!M:M))))))</f>
        <v>0</v>
      </c>
      <c r="V473" s="13" t="str">
        <f t="shared" si="170"/>
        <v>-</v>
      </c>
      <c r="W473" s="5"/>
      <c r="X473" s="27" t="b">
        <f>IF($G473&lt;&gt;0,SUMIF(куб!$G:$G,$G473,куб!N:N),IF($E473&lt;&gt;0,SUMIF(куб!$E:$E,$E473,куб!N:N),IF($D473&lt;&gt;0,SUMIF(куб!$D:$D,$D473,куб!N:N),IF($C473&lt;&gt;0,SUMIF(куб!$C:$C,$C473,куб!N:N),IF($B473&lt;&gt;0,SUMIF(куб!$B:$B,$B473,куб!N:N))))))</f>
        <v>0</v>
      </c>
      <c r="Y473" s="27" t="b">
        <f>IF($G473&lt;&gt;0,SUMIF(куб!$G:$G,$G473,куб!O:O),IF($E473&lt;&gt;0,SUMIF(куб!$E:$E,$E473,куб!O:O),IF($D473&lt;&gt;0,SUMIF(куб!$D:$D,$D473,куб!O:O),IF($C473&lt;&gt;0,SUMIF(куб!$C:$C,$C473,куб!O:O),IF($B473&lt;&gt;0,SUMIF(куб!$B:$B,$B473,куб!O:O))))))</f>
        <v>0</v>
      </c>
      <c r="Z473" s="13" t="str">
        <f t="shared" si="171"/>
        <v>-</v>
      </c>
      <c r="AA473" s="5"/>
      <c r="AB473" s="33" t="str">
        <f t="shared" si="172"/>
        <v/>
      </c>
      <c r="AC473" s="33" t="str">
        <f t="shared" si="173"/>
        <v/>
      </c>
      <c r="AD473" s="15" t="str">
        <f t="shared" si="174"/>
        <v xml:space="preserve"> </v>
      </c>
      <c r="AE473" s="5"/>
      <c r="AF473" s="27" t="b">
        <f>IF($G473&lt;&gt;0,SUMIF(куб!$G:$G,$G473,куб!R:R),IF($E473&lt;&gt;0,SUMIF(куб!$E:$E,$E473,куб!R:R),IF($D473&lt;&gt;0,SUMIF(куб!$D:$D,$D473,куб!R:R),IF($C473&lt;&gt;0,SUMIF(куб!$C:$C,$C473,куб!R:R),IF($B473&lt;&gt;0,SUMIF(куб!$B:$B,$B473,куб!R:R))))))</f>
        <v>0</v>
      </c>
      <c r="AG473" s="27" t="b">
        <f>IF($G473&lt;&gt;0,SUMIF(куб!$G:$G,$G473,куб!S:S),IF($E473&lt;&gt;0,SUMIF(куб!$E:$E,$E473,куб!S:S),IF($D473&lt;&gt;0,SUMIF(куб!$D:$D,$D473,куб!S:S),IF($C473&lt;&gt;0,SUMIF(куб!$C:$C,$C473,куб!S:S),IF($B473&lt;&gt;0,SUMIF(куб!$B:$B,$B473,куб!S:S))))))</f>
        <v>0</v>
      </c>
      <c r="AH473" s="16" t="str">
        <f t="shared" si="175"/>
        <v>-</v>
      </c>
      <c r="AI473" s="8"/>
      <c r="AJ473" s="27" t="b">
        <f>IF($G473&lt;&gt;0,SUMIF(куб!$G:$G,$G473,куб!T:T),IF($E473&lt;&gt;0,SUMIF(куб!$E:$E,$E473,куб!T:T),IF($D473&lt;&gt;0,SUMIF(куб!$D:$D,$D473,куб!T:T),IF($C473&lt;&gt;0,SUMIF(куб!$C:$C,$C473,куб!T:T),IF($B473&lt;&gt;0,SUMIF(куб!$B:$B,$B473,куб!T:T))))))</f>
        <v>0</v>
      </c>
      <c r="AK473" s="27" t="b">
        <f>IF($G473&lt;&gt;0,SUMIF(куб!$G:$G,$G473,куб!U:U),IF($E473&lt;&gt;0,SUMIF(куб!$E:$E,$E473,куб!U:U),IF($D473&lt;&gt;0,SUMIF(куб!$D:$D,$D473,куб!U:U),IF($C473&lt;&gt;0,SUMIF(куб!$C:$C,$C473,куб!U:U),IF($B473&lt;&gt;0,SUMIF(куб!$B:$B,$B473,куб!U:U))))))</f>
        <v>0</v>
      </c>
      <c r="AL473" s="16" t="str">
        <f t="shared" si="176"/>
        <v>-</v>
      </c>
      <c r="AM473" s="8"/>
      <c r="AN473" s="17" t="str">
        <f t="shared" si="177"/>
        <v xml:space="preserve"> </v>
      </c>
      <c r="AO473" s="17" t="str">
        <f t="shared" si="178"/>
        <v xml:space="preserve"> </v>
      </c>
      <c r="AP473" s="16" t="str">
        <f t="shared" si="179"/>
        <v>-</v>
      </c>
      <c r="AQ473" s="8"/>
      <c r="AR473" s="17" t="str">
        <f t="shared" si="180"/>
        <v>-</v>
      </c>
      <c r="AS473" s="17" t="str">
        <f t="shared" si="181"/>
        <v>-</v>
      </c>
      <c r="AT473" s="13" t="str">
        <f t="shared" si="182"/>
        <v>-</v>
      </c>
      <c r="AU473" s="8"/>
    </row>
    <row r="474" spans="1:47" x14ac:dyDescent="0.25">
      <c r="A474" s="31"/>
      <c r="B474" s="31"/>
      <c r="C474"/>
      <c r="D474"/>
      <c r="E474"/>
      <c r="F474"/>
      <c r="G474"/>
      <c r="H474" s="27">
        <f>IF($G474&lt;&gt;0,SUMIF(куб!$G:$G,$G474,куб!H:H),IF($E474&lt;&gt;0,SUMIF(куб!$E:$E,$E474,куб!H:H),IF($D474&lt;&gt;0,SUMIF(куб!$D:$D,$D474,куб!H:H),IF($C474&lt;&gt;0,SUMIF(куб!$C:$C,$C474,куб!H:H),IF($B474&lt;&gt;0,SUMIF(куб!$B:$B,$B474,куб!H:H),IF($G474&lt;&gt;0,SUMIF(куб!$A:$A,$G474,куб!H:H),SUMIF(куб!$A:$A,$G474,куб!H:H)))))))</f>
        <v>0</v>
      </c>
      <c r="I474" s="27">
        <f>IF($G474&lt;&gt;0,SUMIF(куб!$G:$G,$G474,куб!I:I),IF($E474&lt;&gt;0,SUMIF(куб!$E:$E,$E474,куб!I:I),IF($D474&lt;&gt;0,SUMIF(куб!$D:$D,$D474,куб!I:I),IF($C474&lt;&gt;0,SUMIF(куб!$C:$C,$C474,куб!I:I),IF($B474&lt;&gt;0,SUMIF(куб!$B:$B,$B474,куб!I:I),IF($G474&lt;&gt;0,SUMIF(куб!$A:$A,$G474,куб!I:I),SUMIF(куб!$A:$A,$G474,куб!I:I)))))))</f>
        <v>0</v>
      </c>
      <c r="J474" s="19" t="str">
        <f t="shared" si="165"/>
        <v>-</v>
      </c>
      <c r="K474" s="8"/>
      <c r="L474" s="17">
        <f t="shared" si="166"/>
        <v>0</v>
      </c>
      <c r="M474" s="17">
        <f t="shared" si="167"/>
        <v>0</v>
      </c>
      <c r="N474" s="12">
        <f t="shared" si="168"/>
        <v>0</v>
      </c>
      <c r="O474" s="5"/>
      <c r="P474" s="27" t="b">
        <f>IF($G474&lt;&gt;0,SUMIF(куб!$G:$G,$G474,куб!J:J),IF($E474&lt;&gt;0,SUMIF(куб!$E:$E,$E474,куб!J:J),IF($D474&lt;&gt;0,SUMIF(куб!$D:$D,$D474,куб!J:J),IF($C474&lt;&gt;0,SUMIF(куб!$C:$C,$C474,куб!J:J),IF($B474&lt;&gt;0,SUMIF(куб!$B:$B,$B474,куб!J:J))))))</f>
        <v>0</v>
      </c>
      <c r="Q474" s="27" t="b">
        <f>IF($G474&lt;&gt;0,SUMIF(куб!$G:$G,$G474,куб!K:K),IF($E474&lt;&gt;0,SUMIF(куб!$E:$E,$E474,куб!K:K),IF($D474&lt;&gt;0,SUMIF(куб!$D:$D,$D474,куб!K:K),IF($C474&lt;&gt;0,SUMIF(куб!$C:$C,$C474,куб!K:K),IF($B474&lt;&gt;0,SUMIF(куб!$B:$B,$B474,куб!K:K))))))</f>
        <v>0</v>
      </c>
      <c r="R474" s="13" t="str">
        <f t="shared" si="169"/>
        <v>-</v>
      </c>
      <c r="S474" s="5"/>
      <c r="T474" s="27" t="b">
        <f>IF($G474&lt;&gt;0,SUMIF(куб!$G:$G,$G474,куб!L:L),IF($E474&lt;&gt;0,SUMIF(куб!$E:$E,$E474,куб!L:L),IF($D474&lt;&gt;0,SUMIF(куб!$D:$D,$D474,куб!L:L),IF($C474&lt;&gt;0,SUMIF(куб!$C:$C,$C474,куб!L:L),IF($B474&lt;&gt;0,SUMIF(куб!$B:$B,$B474,куб!L:L))))))</f>
        <v>0</v>
      </c>
      <c r="U474" s="27" t="b">
        <f>IF($G474&lt;&gt;0,SUMIF(куб!$G:$G,$G474,куб!M:M),IF($E474&lt;&gt;0,SUMIF(куб!$E:$E,$E474,куб!M:M),IF($D474&lt;&gt;0,SUMIF(куб!$D:$D,$D474,куб!M:M),IF($C474&lt;&gt;0,SUMIF(куб!$C:$C,$C474,куб!M:M),IF($B474&lt;&gt;0,SUMIF(куб!$B:$B,$B474,куб!M:M))))))</f>
        <v>0</v>
      </c>
      <c r="V474" s="13" t="str">
        <f t="shared" si="170"/>
        <v>-</v>
      </c>
      <c r="W474" s="5"/>
      <c r="X474" s="27" t="b">
        <f>IF($G474&lt;&gt;0,SUMIF(куб!$G:$G,$G474,куб!N:N),IF($E474&lt;&gt;0,SUMIF(куб!$E:$E,$E474,куб!N:N),IF($D474&lt;&gt;0,SUMIF(куб!$D:$D,$D474,куб!N:N),IF($C474&lt;&gt;0,SUMIF(куб!$C:$C,$C474,куб!N:N),IF($B474&lt;&gt;0,SUMIF(куб!$B:$B,$B474,куб!N:N))))))</f>
        <v>0</v>
      </c>
      <c r="Y474" s="27" t="b">
        <f>IF($G474&lt;&gt;0,SUMIF(куб!$G:$G,$G474,куб!O:O),IF($E474&lt;&gt;0,SUMIF(куб!$E:$E,$E474,куб!O:O),IF($D474&lt;&gt;0,SUMIF(куб!$D:$D,$D474,куб!O:O),IF($C474&lt;&gt;0,SUMIF(куб!$C:$C,$C474,куб!O:O),IF($B474&lt;&gt;0,SUMIF(куб!$B:$B,$B474,куб!O:O))))))</f>
        <v>0</v>
      </c>
      <c r="Z474" s="13" t="str">
        <f t="shared" si="171"/>
        <v>-</v>
      </c>
      <c r="AA474" s="5"/>
      <c r="AB474" s="33" t="str">
        <f t="shared" si="172"/>
        <v/>
      </c>
      <c r="AC474" s="33" t="str">
        <f t="shared" si="173"/>
        <v/>
      </c>
      <c r="AD474" s="15" t="str">
        <f t="shared" si="174"/>
        <v xml:space="preserve"> </v>
      </c>
      <c r="AE474" s="5"/>
      <c r="AF474" s="27" t="b">
        <f>IF($G474&lt;&gt;0,SUMIF(куб!$G:$G,$G474,куб!R:R),IF($E474&lt;&gt;0,SUMIF(куб!$E:$E,$E474,куб!R:R),IF($D474&lt;&gt;0,SUMIF(куб!$D:$D,$D474,куб!R:R),IF($C474&lt;&gt;0,SUMIF(куб!$C:$C,$C474,куб!R:R),IF($B474&lt;&gt;0,SUMIF(куб!$B:$B,$B474,куб!R:R))))))</f>
        <v>0</v>
      </c>
      <c r="AG474" s="27" t="b">
        <f>IF($G474&lt;&gt;0,SUMIF(куб!$G:$G,$G474,куб!S:S),IF($E474&lt;&gt;0,SUMIF(куб!$E:$E,$E474,куб!S:S),IF($D474&lt;&gt;0,SUMIF(куб!$D:$D,$D474,куб!S:S),IF($C474&lt;&gt;0,SUMIF(куб!$C:$C,$C474,куб!S:S),IF($B474&lt;&gt;0,SUMIF(куб!$B:$B,$B474,куб!S:S))))))</f>
        <v>0</v>
      </c>
      <c r="AH474" s="16" t="str">
        <f t="shared" si="175"/>
        <v>-</v>
      </c>
      <c r="AI474" s="8"/>
      <c r="AJ474" s="27" t="b">
        <f>IF($G474&lt;&gt;0,SUMIF(куб!$G:$G,$G474,куб!T:T),IF($E474&lt;&gt;0,SUMIF(куб!$E:$E,$E474,куб!T:T),IF($D474&lt;&gt;0,SUMIF(куб!$D:$D,$D474,куб!T:T),IF($C474&lt;&gt;0,SUMIF(куб!$C:$C,$C474,куб!T:T),IF($B474&lt;&gt;0,SUMIF(куб!$B:$B,$B474,куб!T:T))))))</f>
        <v>0</v>
      </c>
      <c r="AK474" s="27" t="b">
        <f>IF($G474&lt;&gt;0,SUMIF(куб!$G:$G,$G474,куб!U:U),IF($E474&lt;&gt;0,SUMIF(куб!$E:$E,$E474,куб!U:U),IF($D474&lt;&gt;0,SUMIF(куб!$D:$D,$D474,куб!U:U),IF($C474&lt;&gt;0,SUMIF(куб!$C:$C,$C474,куб!U:U),IF($B474&lt;&gt;0,SUMIF(куб!$B:$B,$B474,куб!U:U))))))</f>
        <v>0</v>
      </c>
      <c r="AL474" s="16" t="str">
        <f t="shared" si="176"/>
        <v>-</v>
      </c>
      <c r="AM474" s="8"/>
      <c r="AN474" s="17" t="str">
        <f t="shared" si="177"/>
        <v xml:space="preserve"> </v>
      </c>
      <c r="AO474" s="17" t="str">
        <f t="shared" si="178"/>
        <v xml:space="preserve"> </v>
      </c>
      <c r="AP474" s="16" t="str">
        <f t="shared" si="179"/>
        <v>-</v>
      </c>
      <c r="AQ474" s="8"/>
      <c r="AR474" s="17" t="str">
        <f t="shared" si="180"/>
        <v>-</v>
      </c>
      <c r="AS474" s="17" t="str">
        <f t="shared" si="181"/>
        <v>-</v>
      </c>
      <c r="AT474" s="13" t="str">
        <f t="shared" si="182"/>
        <v>-</v>
      </c>
      <c r="AU474" s="8"/>
    </row>
    <row r="475" spans="1:47" x14ac:dyDescent="0.25">
      <c r="A475" s="32"/>
      <c r="B475" s="31"/>
      <c r="C475" s="31"/>
      <c r="D475" s="31"/>
      <c r="E475" s="31"/>
      <c r="F475" s="31"/>
      <c r="G475" s="31"/>
      <c r="H475" s="27">
        <f>IF($G475&lt;&gt;0,SUMIF(куб!$G:$G,$G475,куб!H:H),IF($E475&lt;&gt;0,SUMIF(куб!$E:$E,$E475,куб!H:H),IF($D475&lt;&gt;0,SUMIF(куб!$D:$D,$D475,куб!H:H),IF($C475&lt;&gt;0,SUMIF(куб!$C:$C,$C475,куб!H:H),IF($B475&lt;&gt;0,SUMIF(куб!$B:$B,$B475,куб!H:H),IF($G475&lt;&gt;0,SUMIF(куб!$A:$A,$G475,куб!H:H),SUMIF(куб!$A:$A,$G475,куб!H:H)))))))</f>
        <v>0</v>
      </c>
      <c r="I475" s="27">
        <f>IF($G475&lt;&gt;0,SUMIF(куб!$G:$G,$G475,куб!I:I),IF($E475&lt;&gt;0,SUMIF(куб!$E:$E,$E475,куб!I:I),IF($D475&lt;&gt;0,SUMIF(куб!$D:$D,$D475,куб!I:I),IF($C475&lt;&gt;0,SUMIF(куб!$C:$C,$C475,куб!I:I),IF($B475&lt;&gt;0,SUMIF(куб!$B:$B,$B475,куб!I:I),IF($G475&lt;&gt;0,SUMIF(куб!$A:$A,$G475,куб!I:I),SUMIF(куб!$A:$A,$G475,куб!I:I)))))))</f>
        <v>0</v>
      </c>
      <c r="J475" s="19" t="str">
        <f t="shared" si="165"/>
        <v>-</v>
      </c>
      <c r="K475" s="8"/>
      <c r="L475" s="17">
        <f t="shared" si="166"/>
        <v>0</v>
      </c>
      <c r="M475" s="17">
        <f t="shared" si="167"/>
        <v>0</v>
      </c>
      <c r="N475" s="12">
        <f t="shared" si="168"/>
        <v>0</v>
      </c>
      <c r="O475" s="5"/>
      <c r="P475" s="27" t="b">
        <f>IF($G475&lt;&gt;0,SUMIF(куб!$G:$G,$G475,куб!J:J),IF($E475&lt;&gt;0,SUMIF(куб!$E:$E,$E475,куб!J:J),IF($D475&lt;&gt;0,SUMIF(куб!$D:$D,$D475,куб!J:J),IF($C475&lt;&gt;0,SUMIF(куб!$C:$C,$C475,куб!J:J),IF($B475&lt;&gt;0,SUMIF(куб!$B:$B,$B475,куб!J:J))))))</f>
        <v>0</v>
      </c>
      <c r="Q475" s="27" t="b">
        <f>IF($G475&lt;&gt;0,SUMIF(куб!$G:$G,$G475,куб!K:K),IF($E475&lt;&gt;0,SUMIF(куб!$E:$E,$E475,куб!K:K),IF($D475&lt;&gt;0,SUMIF(куб!$D:$D,$D475,куб!K:K),IF($C475&lt;&gt;0,SUMIF(куб!$C:$C,$C475,куб!K:K),IF($B475&lt;&gt;0,SUMIF(куб!$B:$B,$B475,куб!K:K))))))</f>
        <v>0</v>
      </c>
      <c r="R475" s="13" t="str">
        <f t="shared" si="169"/>
        <v>-</v>
      </c>
      <c r="S475" s="5"/>
      <c r="T475" s="27" t="b">
        <f>IF($G475&lt;&gt;0,SUMIF(куб!$G:$G,$G475,куб!L:L),IF($E475&lt;&gt;0,SUMIF(куб!$E:$E,$E475,куб!L:L),IF($D475&lt;&gt;0,SUMIF(куб!$D:$D,$D475,куб!L:L),IF($C475&lt;&gt;0,SUMIF(куб!$C:$C,$C475,куб!L:L),IF($B475&lt;&gt;0,SUMIF(куб!$B:$B,$B475,куб!L:L))))))</f>
        <v>0</v>
      </c>
      <c r="U475" s="27" t="b">
        <f>IF($G475&lt;&gt;0,SUMIF(куб!$G:$G,$G475,куб!M:M),IF($E475&lt;&gt;0,SUMIF(куб!$E:$E,$E475,куб!M:M),IF($D475&lt;&gt;0,SUMIF(куб!$D:$D,$D475,куб!M:M),IF($C475&lt;&gt;0,SUMIF(куб!$C:$C,$C475,куб!M:M),IF($B475&lt;&gt;0,SUMIF(куб!$B:$B,$B475,куб!M:M))))))</f>
        <v>0</v>
      </c>
      <c r="V475" s="13" t="str">
        <f t="shared" si="170"/>
        <v>-</v>
      </c>
      <c r="W475" s="5"/>
      <c r="X475" s="27" t="b">
        <f>IF($G475&lt;&gt;0,SUMIF(куб!$G:$G,$G475,куб!N:N),IF($E475&lt;&gt;0,SUMIF(куб!$E:$E,$E475,куб!N:N),IF($D475&lt;&gt;0,SUMIF(куб!$D:$D,$D475,куб!N:N),IF($C475&lt;&gt;0,SUMIF(куб!$C:$C,$C475,куб!N:N),IF($B475&lt;&gt;0,SUMIF(куб!$B:$B,$B475,куб!N:N))))))</f>
        <v>0</v>
      </c>
      <c r="Y475" s="27" t="b">
        <f>IF($G475&lt;&gt;0,SUMIF(куб!$G:$G,$G475,куб!O:O),IF($E475&lt;&gt;0,SUMIF(куб!$E:$E,$E475,куб!O:O),IF($D475&lt;&gt;0,SUMIF(куб!$D:$D,$D475,куб!O:O),IF($C475&lt;&gt;0,SUMIF(куб!$C:$C,$C475,куб!O:O),IF($B475&lt;&gt;0,SUMIF(куб!$B:$B,$B475,куб!O:O))))))</f>
        <v>0</v>
      </c>
      <c r="Z475" s="13" t="str">
        <f t="shared" si="171"/>
        <v>-</v>
      </c>
      <c r="AA475" s="5"/>
      <c r="AB475" s="33" t="str">
        <f t="shared" si="172"/>
        <v/>
      </c>
      <c r="AC475" s="33" t="str">
        <f t="shared" si="173"/>
        <v/>
      </c>
      <c r="AD475" s="15" t="str">
        <f t="shared" si="174"/>
        <v xml:space="preserve"> </v>
      </c>
      <c r="AE475" s="5"/>
      <c r="AF475" s="27" t="b">
        <f>IF($G475&lt;&gt;0,SUMIF(куб!$G:$G,$G475,куб!R:R),IF($E475&lt;&gt;0,SUMIF(куб!$E:$E,$E475,куб!R:R),IF($D475&lt;&gt;0,SUMIF(куб!$D:$D,$D475,куб!R:R),IF($C475&lt;&gt;0,SUMIF(куб!$C:$C,$C475,куб!R:R),IF($B475&lt;&gt;0,SUMIF(куб!$B:$B,$B475,куб!R:R))))))</f>
        <v>0</v>
      </c>
      <c r="AG475" s="27" t="b">
        <f>IF($G475&lt;&gt;0,SUMIF(куб!$G:$G,$G475,куб!S:S),IF($E475&lt;&gt;0,SUMIF(куб!$E:$E,$E475,куб!S:S),IF($D475&lt;&gt;0,SUMIF(куб!$D:$D,$D475,куб!S:S),IF($C475&lt;&gt;0,SUMIF(куб!$C:$C,$C475,куб!S:S),IF($B475&lt;&gt;0,SUMIF(куб!$B:$B,$B475,куб!S:S))))))</f>
        <v>0</v>
      </c>
      <c r="AH475" s="16" t="str">
        <f t="shared" si="175"/>
        <v>-</v>
      </c>
      <c r="AI475" s="8"/>
      <c r="AJ475" s="27" t="b">
        <f>IF($G475&lt;&gt;0,SUMIF(куб!$G:$G,$G475,куб!T:T),IF($E475&lt;&gt;0,SUMIF(куб!$E:$E,$E475,куб!T:T),IF($D475&lt;&gt;0,SUMIF(куб!$D:$D,$D475,куб!T:T),IF($C475&lt;&gt;0,SUMIF(куб!$C:$C,$C475,куб!T:T),IF($B475&lt;&gt;0,SUMIF(куб!$B:$B,$B475,куб!T:T))))))</f>
        <v>0</v>
      </c>
      <c r="AK475" s="27" t="b">
        <f>IF($G475&lt;&gt;0,SUMIF(куб!$G:$G,$G475,куб!U:U),IF($E475&lt;&gt;0,SUMIF(куб!$E:$E,$E475,куб!U:U),IF($D475&lt;&gt;0,SUMIF(куб!$D:$D,$D475,куб!U:U),IF($C475&lt;&gt;0,SUMIF(куб!$C:$C,$C475,куб!U:U),IF($B475&lt;&gt;0,SUMIF(куб!$B:$B,$B475,куб!U:U))))))</f>
        <v>0</v>
      </c>
      <c r="AL475" s="16" t="str">
        <f t="shared" si="176"/>
        <v>-</v>
      </c>
      <c r="AM475" s="8"/>
      <c r="AN475" s="17" t="str">
        <f t="shared" si="177"/>
        <v xml:space="preserve"> </v>
      </c>
      <c r="AO475" s="17" t="str">
        <f t="shared" si="178"/>
        <v xml:space="preserve"> </v>
      </c>
      <c r="AP475" s="16" t="str">
        <f t="shared" si="179"/>
        <v>-</v>
      </c>
      <c r="AQ475" s="8"/>
      <c r="AR475" s="17" t="str">
        <f t="shared" si="180"/>
        <v>-</v>
      </c>
      <c r="AS475" s="17" t="str">
        <f t="shared" si="181"/>
        <v>-</v>
      </c>
      <c r="AT475" s="13" t="str">
        <f t="shared" si="182"/>
        <v>-</v>
      </c>
      <c r="AU475" s="8"/>
    </row>
    <row r="476" spans="1:47" x14ac:dyDescent="0.25">
      <c r="A476" s="38"/>
      <c r="B476" s="38"/>
      <c r="C476" s="38"/>
      <c r="D476" s="38"/>
      <c r="E476" s="38"/>
      <c r="F476" s="38"/>
      <c r="G476" s="38"/>
      <c r="H476" s="27">
        <f>IF($G476&lt;&gt;0,SUMIF(куб!$G:$G,$G476,куб!H:H),IF($E476&lt;&gt;0,SUMIF(куб!$E:$E,$E476,куб!H:H),IF($D476&lt;&gt;0,SUMIF(куб!$D:$D,$D476,куб!H:H),IF($C476&lt;&gt;0,SUMIF(куб!$C:$C,$C476,куб!H:H),IF($B476&lt;&gt;0,SUMIF(куб!$B:$B,$B476,куб!H:H),IF($G476&lt;&gt;0,SUMIF(куб!$A:$A,$G476,куб!H:H),SUMIF(куб!$A:$A,$G476,куб!H:H)))))))</f>
        <v>0</v>
      </c>
      <c r="I476" s="27">
        <f>IF($G476&lt;&gt;0,SUMIF(куб!$G:$G,$G476,куб!I:I),IF($E476&lt;&gt;0,SUMIF(куб!$E:$E,$E476,куб!I:I),IF($D476&lt;&gt;0,SUMIF(куб!$D:$D,$D476,куб!I:I),IF($C476&lt;&gt;0,SUMIF(куб!$C:$C,$C476,куб!I:I),IF($B476&lt;&gt;0,SUMIF(куб!$B:$B,$B476,куб!I:I),IF($G476&lt;&gt;0,SUMIF(куб!$A:$A,$G476,куб!I:I),SUMIF(куб!$A:$A,$G476,куб!I:I)))))))</f>
        <v>0</v>
      </c>
      <c r="J476" s="19" t="str">
        <f t="shared" si="165"/>
        <v>-</v>
      </c>
      <c r="K476" s="8"/>
      <c r="L476" s="17">
        <f t="shared" si="166"/>
        <v>0</v>
      </c>
      <c r="M476" s="17">
        <f t="shared" si="167"/>
        <v>0</v>
      </c>
      <c r="N476" s="12">
        <f t="shared" si="168"/>
        <v>0</v>
      </c>
      <c r="O476" s="5"/>
      <c r="P476" s="27" t="b">
        <f>IF($G476&lt;&gt;0,SUMIF(куб!$G:$G,$G476,куб!J:J),IF($E476&lt;&gt;0,SUMIF(куб!$E:$E,$E476,куб!J:J),IF($D476&lt;&gt;0,SUMIF(куб!$D:$D,$D476,куб!J:J),IF($C476&lt;&gt;0,SUMIF(куб!$C:$C,$C476,куб!J:J),IF($B476&lt;&gt;0,SUMIF(куб!$B:$B,$B476,куб!J:J))))))</f>
        <v>0</v>
      </c>
      <c r="Q476" s="27" t="b">
        <f>IF($G476&lt;&gt;0,SUMIF(куб!$G:$G,$G476,куб!K:K),IF($E476&lt;&gt;0,SUMIF(куб!$E:$E,$E476,куб!K:K),IF($D476&lt;&gt;0,SUMIF(куб!$D:$D,$D476,куб!K:K),IF($C476&lt;&gt;0,SUMIF(куб!$C:$C,$C476,куб!K:K),IF($B476&lt;&gt;0,SUMIF(куб!$B:$B,$B476,куб!K:K))))))</f>
        <v>0</v>
      </c>
      <c r="R476" s="13" t="str">
        <f t="shared" si="169"/>
        <v>-</v>
      </c>
      <c r="S476" s="5"/>
      <c r="T476" s="27" t="b">
        <f>IF($G476&lt;&gt;0,SUMIF(куб!$G:$G,$G476,куб!L:L),IF($E476&lt;&gt;0,SUMIF(куб!$E:$E,$E476,куб!L:L),IF($D476&lt;&gt;0,SUMIF(куб!$D:$D,$D476,куб!L:L),IF($C476&lt;&gt;0,SUMIF(куб!$C:$C,$C476,куб!L:L),IF($B476&lt;&gt;0,SUMIF(куб!$B:$B,$B476,куб!L:L))))))</f>
        <v>0</v>
      </c>
      <c r="U476" s="27" t="b">
        <f>IF($G476&lt;&gt;0,SUMIF(куб!$G:$G,$G476,куб!M:M),IF($E476&lt;&gt;0,SUMIF(куб!$E:$E,$E476,куб!M:M),IF($D476&lt;&gt;0,SUMIF(куб!$D:$D,$D476,куб!M:M),IF($C476&lt;&gt;0,SUMIF(куб!$C:$C,$C476,куб!M:M),IF($B476&lt;&gt;0,SUMIF(куб!$B:$B,$B476,куб!M:M))))))</f>
        <v>0</v>
      </c>
      <c r="V476" s="13" t="str">
        <f t="shared" si="170"/>
        <v>-</v>
      </c>
      <c r="W476" s="5"/>
      <c r="X476" s="27" t="b">
        <f>IF($G476&lt;&gt;0,SUMIF(куб!$G:$G,$G476,куб!N:N),IF($E476&lt;&gt;0,SUMIF(куб!$E:$E,$E476,куб!N:N),IF($D476&lt;&gt;0,SUMIF(куб!$D:$D,$D476,куб!N:N),IF($C476&lt;&gt;0,SUMIF(куб!$C:$C,$C476,куб!N:N),IF($B476&lt;&gt;0,SUMIF(куб!$B:$B,$B476,куб!N:N))))))</f>
        <v>0</v>
      </c>
      <c r="Y476" s="27" t="b">
        <f>IF($G476&lt;&gt;0,SUMIF(куб!$G:$G,$G476,куб!O:O),IF($E476&lt;&gt;0,SUMIF(куб!$E:$E,$E476,куб!O:O),IF($D476&lt;&gt;0,SUMIF(куб!$D:$D,$D476,куб!O:O),IF($C476&lt;&gt;0,SUMIF(куб!$C:$C,$C476,куб!O:O),IF($B476&lt;&gt;0,SUMIF(куб!$B:$B,$B476,куб!O:O))))))</f>
        <v>0</v>
      </c>
      <c r="Z476" s="13" t="str">
        <f t="shared" si="171"/>
        <v>-</v>
      </c>
      <c r="AA476" s="5"/>
      <c r="AB476" s="33" t="str">
        <f t="shared" si="172"/>
        <v/>
      </c>
      <c r="AC476" s="33" t="str">
        <f t="shared" si="173"/>
        <v/>
      </c>
      <c r="AD476" s="15" t="str">
        <f t="shared" si="174"/>
        <v xml:space="preserve"> </v>
      </c>
      <c r="AE476" s="5"/>
      <c r="AF476" s="27" t="b">
        <f>IF($G476&lt;&gt;0,SUMIF(куб!$G:$G,$G476,куб!R:R),IF($E476&lt;&gt;0,SUMIF(куб!$E:$E,$E476,куб!R:R),IF($D476&lt;&gt;0,SUMIF(куб!$D:$D,$D476,куб!R:R),IF($C476&lt;&gt;0,SUMIF(куб!$C:$C,$C476,куб!R:R),IF($B476&lt;&gt;0,SUMIF(куб!$B:$B,$B476,куб!R:R))))))</f>
        <v>0</v>
      </c>
      <c r="AG476" s="27" t="b">
        <f>IF($G476&lt;&gt;0,SUMIF(куб!$G:$G,$G476,куб!S:S),IF($E476&lt;&gt;0,SUMIF(куб!$E:$E,$E476,куб!S:S),IF($D476&lt;&gt;0,SUMIF(куб!$D:$D,$D476,куб!S:S),IF($C476&lt;&gt;0,SUMIF(куб!$C:$C,$C476,куб!S:S),IF($B476&lt;&gt;0,SUMIF(куб!$B:$B,$B476,куб!S:S))))))</f>
        <v>0</v>
      </c>
      <c r="AH476" s="16" t="str">
        <f t="shared" si="175"/>
        <v>-</v>
      </c>
      <c r="AI476" s="8"/>
      <c r="AJ476" s="27" t="b">
        <f>IF($G476&lt;&gt;0,SUMIF(куб!$G:$G,$G476,куб!T:T),IF($E476&lt;&gt;0,SUMIF(куб!$E:$E,$E476,куб!T:T),IF($D476&lt;&gt;0,SUMIF(куб!$D:$D,$D476,куб!T:T),IF($C476&lt;&gt;0,SUMIF(куб!$C:$C,$C476,куб!T:T),IF($B476&lt;&gt;0,SUMIF(куб!$B:$B,$B476,куб!T:T))))))</f>
        <v>0</v>
      </c>
      <c r="AK476" s="27" t="b">
        <f>IF($G476&lt;&gt;0,SUMIF(куб!$G:$G,$G476,куб!U:U),IF($E476&lt;&gt;0,SUMIF(куб!$E:$E,$E476,куб!U:U),IF($D476&lt;&gt;0,SUMIF(куб!$D:$D,$D476,куб!U:U),IF($C476&lt;&gt;0,SUMIF(куб!$C:$C,$C476,куб!U:U),IF($B476&lt;&gt;0,SUMIF(куб!$B:$B,$B476,куб!U:U))))))</f>
        <v>0</v>
      </c>
      <c r="AL476" s="16" t="str">
        <f t="shared" si="176"/>
        <v>-</v>
      </c>
      <c r="AM476" s="8"/>
      <c r="AN476" s="17" t="str">
        <f t="shared" si="177"/>
        <v xml:space="preserve"> </v>
      </c>
      <c r="AO476" s="17" t="str">
        <f t="shared" si="178"/>
        <v xml:space="preserve"> </v>
      </c>
      <c r="AP476" s="16" t="str">
        <f t="shared" si="179"/>
        <v>-</v>
      </c>
      <c r="AQ476" s="8"/>
      <c r="AR476" s="17" t="str">
        <f t="shared" si="180"/>
        <v>-</v>
      </c>
      <c r="AS476" s="17" t="str">
        <f t="shared" si="181"/>
        <v>-</v>
      </c>
      <c r="AT476" s="13" t="str">
        <f t="shared" si="182"/>
        <v>-</v>
      </c>
      <c r="AU476" s="8"/>
    </row>
    <row r="477" spans="1:47" x14ac:dyDescent="0.25">
      <c r="A477" s="39"/>
      <c r="B477" s="39"/>
      <c r="C477" s="39"/>
      <c r="D477" s="39"/>
      <c r="E477" s="39"/>
      <c r="F477" s="39"/>
      <c r="G477" s="39"/>
      <c r="H477" s="27">
        <f>IF($G477&lt;&gt;0,SUMIF(куб!$G:$G,$G477,куб!H:H),IF($E477&lt;&gt;0,SUMIF(куб!$E:$E,$E477,куб!H:H),IF($D477&lt;&gt;0,SUMIF(куб!$D:$D,$D477,куб!H:H),IF($C477&lt;&gt;0,SUMIF(куб!$C:$C,$C477,куб!H:H),IF($B477&lt;&gt;0,SUMIF(куб!$B:$B,$B477,куб!H:H),IF($G477&lt;&gt;0,SUMIF(куб!$A:$A,$G477,куб!H:H),SUMIF(куб!$A:$A,$G477,куб!H:H)))))))</f>
        <v>0</v>
      </c>
      <c r="I477" s="27">
        <f>IF($G477&lt;&gt;0,SUMIF(куб!$G:$G,$G477,куб!I:I),IF($E477&lt;&gt;0,SUMIF(куб!$E:$E,$E477,куб!I:I),IF($D477&lt;&gt;0,SUMIF(куб!$D:$D,$D477,куб!I:I),IF($C477&lt;&gt;0,SUMIF(куб!$C:$C,$C477,куб!I:I),IF($B477&lt;&gt;0,SUMIF(куб!$B:$B,$B477,куб!I:I),IF($G477&lt;&gt;0,SUMIF(куб!$A:$A,$G477,куб!I:I),SUMIF(куб!$A:$A,$G477,куб!I:I)))))))</f>
        <v>0</v>
      </c>
      <c r="J477" s="19" t="str">
        <f t="shared" si="165"/>
        <v>-</v>
      </c>
      <c r="K477" s="8"/>
      <c r="L477" s="17">
        <f t="shared" si="166"/>
        <v>0</v>
      </c>
      <c r="M477" s="17">
        <f t="shared" si="167"/>
        <v>0</v>
      </c>
      <c r="N477" s="12">
        <f t="shared" si="168"/>
        <v>0</v>
      </c>
      <c r="O477" s="5"/>
      <c r="P477" s="27" t="b">
        <f>IF($G477&lt;&gt;0,SUMIF(куб!$G:$G,$G477,куб!J:J),IF($E477&lt;&gt;0,SUMIF(куб!$E:$E,$E477,куб!J:J),IF($D477&lt;&gt;0,SUMIF(куб!$D:$D,$D477,куб!J:J),IF($C477&lt;&gt;0,SUMIF(куб!$C:$C,$C477,куб!J:J),IF($B477&lt;&gt;0,SUMIF(куб!$B:$B,$B477,куб!J:J))))))</f>
        <v>0</v>
      </c>
      <c r="Q477" s="27" t="b">
        <f>IF($G477&lt;&gt;0,SUMIF(куб!$G:$G,$G477,куб!K:K),IF($E477&lt;&gt;0,SUMIF(куб!$E:$E,$E477,куб!K:K),IF($D477&lt;&gt;0,SUMIF(куб!$D:$D,$D477,куб!K:K),IF($C477&lt;&gt;0,SUMIF(куб!$C:$C,$C477,куб!K:K),IF($B477&lt;&gt;0,SUMIF(куб!$B:$B,$B477,куб!K:K))))))</f>
        <v>0</v>
      </c>
      <c r="R477" s="13" t="str">
        <f t="shared" si="169"/>
        <v>-</v>
      </c>
      <c r="S477" s="5"/>
      <c r="T477" s="27" t="b">
        <f>IF($G477&lt;&gt;0,SUMIF(куб!$G:$G,$G477,куб!L:L),IF($E477&lt;&gt;0,SUMIF(куб!$E:$E,$E477,куб!L:L),IF($D477&lt;&gt;0,SUMIF(куб!$D:$D,$D477,куб!L:L),IF($C477&lt;&gt;0,SUMIF(куб!$C:$C,$C477,куб!L:L),IF($B477&lt;&gt;0,SUMIF(куб!$B:$B,$B477,куб!L:L))))))</f>
        <v>0</v>
      </c>
      <c r="U477" s="27" t="b">
        <f>IF($G477&lt;&gt;0,SUMIF(куб!$G:$G,$G477,куб!M:M),IF($E477&lt;&gt;0,SUMIF(куб!$E:$E,$E477,куб!M:M),IF($D477&lt;&gt;0,SUMIF(куб!$D:$D,$D477,куб!M:M),IF($C477&lt;&gt;0,SUMIF(куб!$C:$C,$C477,куб!M:M),IF($B477&lt;&gt;0,SUMIF(куб!$B:$B,$B477,куб!M:M))))))</f>
        <v>0</v>
      </c>
      <c r="V477" s="13" t="str">
        <f t="shared" si="170"/>
        <v>-</v>
      </c>
      <c r="W477" s="5"/>
      <c r="X477" s="27" t="b">
        <f>IF($G477&lt;&gt;0,SUMIF(куб!$G:$G,$G477,куб!N:N),IF($E477&lt;&gt;0,SUMIF(куб!$E:$E,$E477,куб!N:N),IF($D477&lt;&gt;0,SUMIF(куб!$D:$D,$D477,куб!N:N),IF($C477&lt;&gt;0,SUMIF(куб!$C:$C,$C477,куб!N:N),IF($B477&lt;&gt;0,SUMIF(куб!$B:$B,$B477,куб!N:N))))))</f>
        <v>0</v>
      </c>
      <c r="Y477" s="27" t="b">
        <f>IF($G477&lt;&gt;0,SUMIF(куб!$G:$G,$G477,куб!O:O),IF($E477&lt;&gt;0,SUMIF(куб!$E:$E,$E477,куб!O:O),IF($D477&lt;&gt;0,SUMIF(куб!$D:$D,$D477,куб!O:O),IF($C477&lt;&gt;0,SUMIF(куб!$C:$C,$C477,куб!O:O),IF($B477&lt;&gt;0,SUMIF(куб!$B:$B,$B477,куб!O:O))))))</f>
        <v>0</v>
      </c>
      <c r="Z477" s="13" t="str">
        <f t="shared" si="171"/>
        <v>-</v>
      </c>
      <c r="AA477" s="5"/>
      <c r="AB477" s="33" t="str">
        <f t="shared" si="172"/>
        <v/>
      </c>
      <c r="AC477" s="33" t="str">
        <f t="shared" si="173"/>
        <v/>
      </c>
      <c r="AD477" s="15" t="str">
        <f t="shared" si="174"/>
        <v xml:space="preserve"> </v>
      </c>
      <c r="AE477" s="5"/>
      <c r="AF477" s="27" t="b">
        <f>IF($G477&lt;&gt;0,SUMIF(куб!$G:$G,$G477,куб!R:R),IF($E477&lt;&gt;0,SUMIF(куб!$E:$E,$E477,куб!R:R),IF($D477&lt;&gt;0,SUMIF(куб!$D:$D,$D477,куб!R:R),IF($C477&lt;&gt;0,SUMIF(куб!$C:$C,$C477,куб!R:R),IF($B477&lt;&gt;0,SUMIF(куб!$B:$B,$B477,куб!R:R))))))</f>
        <v>0</v>
      </c>
      <c r="AG477" s="27" t="b">
        <f>IF($G477&lt;&gt;0,SUMIF(куб!$G:$G,$G477,куб!S:S),IF($E477&lt;&gt;0,SUMIF(куб!$E:$E,$E477,куб!S:S),IF($D477&lt;&gt;0,SUMIF(куб!$D:$D,$D477,куб!S:S),IF($C477&lt;&gt;0,SUMIF(куб!$C:$C,$C477,куб!S:S),IF($B477&lt;&gt;0,SUMIF(куб!$B:$B,$B477,куб!S:S))))))</f>
        <v>0</v>
      </c>
      <c r="AH477" s="16" t="str">
        <f t="shared" si="175"/>
        <v>-</v>
      </c>
      <c r="AI477" s="8"/>
      <c r="AJ477" s="27" t="b">
        <f>IF($G477&lt;&gt;0,SUMIF(куб!$G:$G,$G477,куб!T:T),IF($E477&lt;&gt;0,SUMIF(куб!$E:$E,$E477,куб!T:T),IF($D477&lt;&gt;0,SUMIF(куб!$D:$D,$D477,куб!T:T),IF($C477&lt;&gt;0,SUMIF(куб!$C:$C,$C477,куб!T:T),IF($B477&lt;&gt;0,SUMIF(куб!$B:$B,$B477,куб!T:T))))))</f>
        <v>0</v>
      </c>
      <c r="AK477" s="27" t="b">
        <f>IF($G477&lt;&gt;0,SUMIF(куб!$G:$G,$G477,куб!U:U),IF($E477&lt;&gt;0,SUMIF(куб!$E:$E,$E477,куб!U:U),IF($D477&lt;&gt;0,SUMIF(куб!$D:$D,$D477,куб!U:U),IF($C477&lt;&gt;0,SUMIF(куб!$C:$C,$C477,куб!U:U),IF($B477&lt;&gt;0,SUMIF(куб!$B:$B,$B477,куб!U:U))))))</f>
        <v>0</v>
      </c>
      <c r="AL477" s="16" t="str">
        <f t="shared" si="176"/>
        <v>-</v>
      </c>
      <c r="AM477" s="8"/>
      <c r="AN477" s="17" t="str">
        <f t="shared" si="177"/>
        <v xml:space="preserve"> </v>
      </c>
      <c r="AO477" s="17" t="str">
        <f t="shared" si="178"/>
        <v xml:space="preserve"> </v>
      </c>
      <c r="AP477" s="16" t="str">
        <f t="shared" si="179"/>
        <v>-</v>
      </c>
      <c r="AQ477" s="8"/>
      <c r="AR477" s="17" t="str">
        <f t="shared" si="180"/>
        <v>-</v>
      </c>
      <c r="AS477" s="17" t="str">
        <f t="shared" si="181"/>
        <v>-</v>
      </c>
      <c r="AT477" s="13" t="str">
        <f t="shared" si="182"/>
        <v>-</v>
      </c>
      <c r="AU477" s="8"/>
    </row>
    <row r="478" spans="1:47" x14ac:dyDescent="0.25">
      <c r="A478" s="31"/>
      <c r="B478" s="31"/>
      <c r="C478"/>
      <c r="D478" s="31"/>
      <c r="E478"/>
      <c r="F478" s="31"/>
      <c r="G478"/>
      <c r="H478" s="27">
        <f>IF($G478&lt;&gt;0,SUMIF(куб!$G:$G,$G478,куб!H:H),IF($E478&lt;&gt;0,SUMIF(куб!$E:$E,$E478,куб!H:H),IF($D478&lt;&gt;0,SUMIF(куб!$D:$D,$D478,куб!H:H),IF($C478&lt;&gt;0,SUMIF(куб!$C:$C,$C478,куб!H:H),IF($B478&lt;&gt;0,SUMIF(куб!$B:$B,$B478,куб!H:H),IF($G478&lt;&gt;0,SUMIF(куб!$A:$A,$G478,куб!H:H),SUMIF(куб!$A:$A,$G478,куб!H:H)))))))</f>
        <v>0</v>
      </c>
      <c r="I478" s="27">
        <f>IF($G478&lt;&gt;0,SUMIF(куб!$G:$G,$G478,куб!I:I),IF($E478&lt;&gt;0,SUMIF(куб!$E:$E,$E478,куб!I:I),IF($D478&lt;&gt;0,SUMIF(куб!$D:$D,$D478,куб!I:I),IF($C478&lt;&gt;0,SUMIF(куб!$C:$C,$C478,куб!I:I),IF($B478&lt;&gt;0,SUMIF(куб!$B:$B,$B478,куб!I:I),IF($G478&lt;&gt;0,SUMIF(куб!$A:$A,$G478,куб!I:I),SUMIF(куб!$A:$A,$G478,куб!I:I)))))))</f>
        <v>0</v>
      </c>
      <c r="J478" s="19" t="str">
        <f t="shared" si="165"/>
        <v>-</v>
      </c>
      <c r="K478" s="8"/>
      <c r="L478" s="17">
        <f t="shared" si="166"/>
        <v>0</v>
      </c>
      <c r="M478" s="17">
        <f t="shared" si="167"/>
        <v>0</v>
      </c>
      <c r="N478" s="12">
        <f t="shared" si="168"/>
        <v>0</v>
      </c>
      <c r="O478" s="5"/>
      <c r="P478" s="27" t="b">
        <f>IF($G478&lt;&gt;0,SUMIF(куб!$G:$G,$G478,куб!J:J),IF($E478&lt;&gt;0,SUMIF(куб!$E:$E,$E478,куб!J:J),IF($D478&lt;&gt;0,SUMIF(куб!$D:$D,$D478,куб!J:J),IF($C478&lt;&gt;0,SUMIF(куб!$C:$C,$C478,куб!J:J),IF($B478&lt;&gt;0,SUMIF(куб!$B:$B,$B478,куб!J:J))))))</f>
        <v>0</v>
      </c>
      <c r="Q478" s="27" t="b">
        <f>IF($G478&lt;&gt;0,SUMIF(куб!$G:$G,$G478,куб!K:K),IF($E478&lt;&gt;0,SUMIF(куб!$E:$E,$E478,куб!K:K),IF($D478&lt;&gt;0,SUMIF(куб!$D:$D,$D478,куб!K:K),IF($C478&lt;&gt;0,SUMIF(куб!$C:$C,$C478,куб!K:K),IF($B478&lt;&gt;0,SUMIF(куб!$B:$B,$B478,куб!K:K))))))</f>
        <v>0</v>
      </c>
      <c r="R478" s="13" t="str">
        <f t="shared" si="169"/>
        <v>-</v>
      </c>
      <c r="S478" s="5"/>
      <c r="T478" s="27" t="b">
        <f>IF($G478&lt;&gt;0,SUMIF(куб!$G:$G,$G478,куб!L:L),IF($E478&lt;&gt;0,SUMIF(куб!$E:$E,$E478,куб!L:L),IF($D478&lt;&gt;0,SUMIF(куб!$D:$D,$D478,куб!L:L),IF($C478&lt;&gt;0,SUMIF(куб!$C:$C,$C478,куб!L:L),IF($B478&lt;&gt;0,SUMIF(куб!$B:$B,$B478,куб!L:L))))))</f>
        <v>0</v>
      </c>
      <c r="U478" s="27" t="b">
        <f>IF($G478&lt;&gt;0,SUMIF(куб!$G:$G,$G478,куб!M:M),IF($E478&lt;&gt;0,SUMIF(куб!$E:$E,$E478,куб!M:M),IF($D478&lt;&gt;0,SUMIF(куб!$D:$D,$D478,куб!M:M),IF($C478&lt;&gt;0,SUMIF(куб!$C:$C,$C478,куб!M:M),IF($B478&lt;&gt;0,SUMIF(куб!$B:$B,$B478,куб!M:M))))))</f>
        <v>0</v>
      </c>
      <c r="V478" s="13" t="str">
        <f t="shared" si="170"/>
        <v>-</v>
      </c>
      <c r="W478" s="5"/>
      <c r="X478" s="27" t="b">
        <f>IF($G478&lt;&gt;0,SUMIF(куб!$G:$G,$G478,куб!N:N),IF($E478&lt;&gt;0,SUMIF(куб!$E:$E,$E478,куб!N:N),IF($D478&lt;&gt;0,SUMIF(куб!$D:$D,$D478,куб!N:N),IF($C478&lt;&gt;0,SUMIF(куб!$C:$C,$C478,куб!N:N),IF($B478&lt;&gt;0,SUMIF(куб!$B:$B,$B478,куб!N:N))))))</f>
        <v>0</v>
      </c>
      <c r="Y478" s="27" t="b">
        <f>IF($G478&lt;&gt;0,SUMIF(куб!$G:$G,$G478,куб!O:O),IF($E478&lt;&gt;0,SUMIF(куб!$E:$E,$E478,куб!O:O),IF($D478&lt;&gt;0,SUMIF(куб!$D:$D,$D478,куб!O:O),IF($C478&lt;&gt;0,SUMIF(куб!$C:$C,$C478,куб!O:O),IF($B478&lt;&gt;0,SUMIF(куб!$B:$B,$B478,куб!O:O))))))</f>
        <v>0</v>
      </c>
      <c r="Z478" s="13" t="str">
        <f t="shared" si="171"/>
        <v>-</v>
      </c>
      <c r="AA478" s="5"/>
      <c r="AB478" s="33" t="str">
        <f t="shared" si="172"/>
        <v/>
      </c>
      <c r="AC478" s="33" t="str">
        <f t="shared" si="173"/>
        <v/>
      </c>
      <c r="AD478" s="15" t="str">
        <f t="shared" si="174"/>
        <v xml:space="preserve"> </v>
      </c>
      <c r="AE478" s="5"/>
      <c r="AF478" s="27" t="b">
        <f>IF($G478&lt;&gt;0,SUMIF(куб!$G:$G,$G478,куб!R:R),IF($E478&lt;&gt;0,SUMIF(куб!$E:$E,$E478,куб!R:R),IF($D478&lt;&gt;0,SUMIF(куб!$D:$D,$D478,куб!R:R),IF($C478&lt;&gt;0,SUMIF(куб!$C:$C,$C478,куб!R:R),IF($B478&lt;&gt;0,SUMIF(куб!$B:$B,$B478,куб!R:R))))))</f>
        <v>0</v>
      </c>
      <c r="AG478" s="27" t="b">
        <f>IF($G478&lt;&gt;0,SUMIF(куб!$G:$G,$G478,куб!S:S),IF($E478&lt;&gt;0,SUMIF(куб!$E:$E,$E478,куб!S:S),IF($D478&lt;&gt;0,SUMIF(куб!$D:$D,$D478,куб!S:S),IF($C478&lt;&gt;0,SUMIF(куб!$C:$C,$C478,куб!S:S),IF($B478&lt;&gt;0,SUMIF(куб!$B:$B,$B478,куб!S:S))))))</f>
        <v>0</v>
      </c>
      <c r="AH478" s="16" t="str">
        <f t="shared" si="175"/>
        <v>-</v>
      </c>
      <c r="AI478" s="8"/>
      <c r="AJ478" s="27" t="b">
        <f>IF($G478&lt;&gt;0,SUMIF(куб!$G:$G,$G478,куб!T:T),IF($E478&lt;&gt;0,SUMIF(куб!$E:$E,$E478,куб!T:T),IF($D478&lt;&gt;0,SUMIF(куб!$D:$D,$D478,куб!T:T),IF($C478&lt;&gt;0,SUMIF(куб!$C:$C,$C478,куб!T:T),IF($B478&lt;&gt;0,SUMIF(куб!$B:$B,$B478,куб!T:T))))))</f>
        <v>0</v>
      </c>
      <c r="AK478" s="27" t="b">
        <f>IF($G478&lt;&gt;0,SUMIF(куб!$G:$G,$G478,куб!U:U),IF($E478&lt;&gt;0,SUMIF(куб!$E:$E,$E478,куб!U:U),IF($D478&lt;&gt;0,SUMIF(куб!$D:$D,$D478,куб!U:U),IF($C478&lt;&gt;0,SUMIF(куб!$C:$C,$C478,куб!U:U),IF($B478&lt;&gt;0,SUMIF(куб!$B:$B,$B478,куб!U:U))))))</f>
        <v>0</v>
      </c>
      <c r="AL478" s="16" t="str">
        <f t="shared" si="176"/>
        <v>-</v>
      </c>
      <c r="AM478" s="8"/>
      <c r="AN478" s="17" t="str">
        <f t="shared" si="177"/>
        <v xml:space="preserve"> </v>
      </c>
      <c r="AO478" s="17" t="str">
        <f t="shared" si="178"/>
        <v xml:space="preserve"> </v>
      </c>
      <c r="AP478" s="16" t="str">
        <f t="shared" si="179"/>
        <v>-</v>
      </c>
      <c r="AQ478" s="8"/>
      <c r="AR478" s="17" t="str">
        <f t="shared" si="180"/>
        <v>-</v>
      </c>
      <c r="AS478" s="17" t="str">
        <f t="shared" si="181"/>
        <v>-</v>
      </c>
      <c r="AT478" s="13" t="str">
        <f t="shared" si="182"/>
        <v>-</v>
      </c>
      <c r="AU478" s="8"/>
    </row>
    <row r="479" spans="1:47" x14ac:dyDescent="0.25">
      <c r="A479" s="31"/>
      <c r="B479" s="31"/>
      <c r="C479"/>
      <c r="D479" s="31"/>
      <c r="E479"/>
      <c r="F479" s="31"/>
      <c r="G479"/>
      <c r="H479" s="27">
        <f>IF($G479&lt;&gt;0,SUMIF(куб!$G:$G,$G479,куб!H:H),IF($E479&lt;&gt;0,SUMIF(куб!$E:$E,$E479,куб!H:H),IF($D479&lt;&gt;0,SUMIF(куб!$D:$D,$D479,куб!H:H),IF($C479&lt;&gt;0,SUMIF(куб!$C:$C,$C479,куб!H:H),IF($B479&lt;&gt;0,SUMIF(куб!$B:$B,$B479,куб!H:H),IF($G479&lt;&gt;0,SUMIF(куб!$A:$A,$G479,куб!H:H),SUMIF(куб!$A:$A,$G479,куб!H:H)))))))</f>
        <v>0</v>
      </c>
      <c r="I479" s="27">
        <f>IF($G479&lt;&gt;0,SUMIF(куб!$G:$G,$G479,куб!I:I),IF($E479&lt;&gt;0,SUMIF(куб!$E:$E,$E479,куб!I:I),IF($D479&lt;&gt;0,SUMIF(куб!$D:$D,$D479,куб!I:I),IF($C479&lt;&gt;0,SUMIF(куб!$C:$C,$C479,куб!I:I),IF($B479&lt;&gt;0,SUMIF(куб!$B:$B,$B479,куб!I:I),IF($G479&lt;&gt;0,SUMIF(куб!$A:$A,$G479,куб!I:I),SUMIF(куб!$A:$A,$G479,куб!I:I)))))))</f>
        <v>0</v>
      </c>
      <c r="J479" s="19" t="str">
        <f t="shared" si="165"/>
        <v>-</v>
      </c>
      <c r="K479" s="8"/>
      <c r="L479" s="17">
        <f t="shared" si="166"/>
        <v>0</v>
      </c>
      <c r="M479" s="17">
        <f t="shared" si="167"/>
        <v>0</v>
      </c>
      <c r="N479" s="12">
        <f t="shared" si="168"/>
        <v>0</v>
      </c>
      <c r="O479" s="5"/>
      <c r="P479" s="27" t="b">
        <f>IF($G479&lt;&gt;0,SUMIF(куб!$G:$G,$G479,куб!J:J),IF($E479&lt;&gt;0,SUMIF(куб!$E:$E,$E479,куб!J:J),IF($D479&lt;&gt;0,SUMIF(куб!$D:$D,$D479,куб!J:J),IF($C479&lt;&gt;0,SUMIF(куб!$C:$C,$C479,куб!J:J),IF($B479&lt;&gt;0,SUMIF(куб!$B:$B,$B479,куб!J:J))))))</f>
        <v>0</v>
      </c>
      <c r="Q479" s="27" t="b">
        <f>IF($G479&lt;&gt;0,SUMIF(куб!$G:$G,$G479,куб!K:K),IF($E479&lt;&gt;0,SUMIF(куб!$E:$E,$E479,куб!K:K),IF($D479&lt;&gt;0,SUMIF(куб!$D:$D,$D479,куб!K:K),IF($C479&lt;&gt;0,SUMIF(куб!$C:$C,$C479,куб!K:K),IF($B479&lt;&gt;0,SUMIF(куб!$B:$B,$B479,куб!K:K))))))</f>
        <v>0</v>
      </c>
      <c r="R479" s="13" t="str">
        <f t="shared" si="169"/>
        <v>-</v>
      </c>
      <c r="S479" s="5"/>
      <c r="T479" s="27" t="b">
        <f>IF($G479&lt;&gt;0,SUMIF(куб!$G:$G,$G479,куб!L:L),IF($E479&lt;&gt;0,SUMIF(куб!$E:$E,$E479,куб!L:L),IF($D479&lt;&gt;0,SUMIF(куб!$D:$D,$D479,куб!L:L),IF($C479&lt;&gt;0,SUMIF(куб!$C:$C,$C479,куб!L:L),IF($B479&lt;&gt;0,SUMIF(куб!$B:$B,$B479,куб!L:L))))))</f>
        <v>0</v>
      </c>
      <c r="U479" s="27" t="b">
        <f>IF($G479&lt;&gt;0,SUMIF(куб!$G:$G,$G479,куб!M:M),IF($E479&lt;&gt;0,SUMIF(куб!$E:$E,$E479,куб!M:M),IF($D479&lt;&gt;0,SUMIF(куб!$D:$D,$D479,куб!M:M),IF($C479&lt;&gt;0,SUMIF(куб!$C:$C,$C479,куб!M:M),IF($B479&lt;&gt;0,SUMIF(куб!$B:$B,$B479,куб!M:M))))))</f>
        <v>0</v>
      </c>
      <c r="V479" s="13" t="str">
        <f t="shared" si="170"/>
        <v>-</v>
      </c>
      <c r="W479" s="5"/>
      <c r="X479" s="27" t="b">
        <f>IF($G479&lt;&gt;0,SUMIF(куб!$G:$G,$G479,куб!N:N),IF($E479&lt;&gt;0,SUMIF(куб!$E:$E,$E479,куб!N:N),IF($D479&lt;&gt;0,SUMIF(куб!$D:$D,$D479,куб!N:N),IF($C479&lt;&gt;0,SUMIF(куб!$C:$C,$C479,куб!N:N),IF($B479&lt;&gt;0,SUMIF(куб!$B:$B,$B479,куб!N:N))))))</f>
        <v>0</v>
      </c>
      <c r="Y479" s="27" t="b">
        <f>IF($G479&lt;&gt;0,SUMIF(куб!$G:$G,$G479,куб!O:O),IF($E479&lt;&gt;0,SUMIF(куб!$E:$E,$E479,куб!O:O),IF($D479&lt;&gt;0,SUMIF(куб!$D:$D,$D479,куб!O:O),IF($C479&lt;&gt;0,SUMIF(куб!$C:$C,$C479,куб!O:O),IF($B479&lt;&gt;0,SUMIF(куб!$B:$B,$B479,куб!O:O))))))</f>
        <v>0</v>
      </c>
      <c r="Z479" s="13" t="str">
        <f t="shared" si="171"/>
        <v>-</v>
      </c>
      <c r="AA479" s="5"/>
      <c r="AB479" s="33" t="str">
        <f t="shared" si="172"/>
        <v/>
      </c>
      <c r="AC479" s="33" t="str">
        <f t="shared" si="173"/>
        <v/>
      </c>
      <c r="AD479" s="15" t="str">
        <f t="shared" si="174"/>
        <v xml:space="preserve"> </v>
      </c>
      <c r="AE479" s="5"/>
      <c r="AF479" s="27" t="b">
        <f>IF($G479&lt;&gt;0,SUMIF(куб!$G:$G,$G479,куб!R:R),IF($E479&lt;&gt;0,SUMIF(куб!$E:$E,$E479,куб!R:R),IF($D479&lt;&gt;0,SUMIF(куб!$D:$D,$D479,куб!R:R),IF($C479&lt;&gt;0,SUMIF(куб!$C:$C,$C479,куб!R:R),IF($B479&lt;&gt;0,SUMIF(куб!$B:$B,$B479,куб!R:R))))))</f>
        <v>0</v>
      </c>
      <c r="AG479" s="27" t="b">
        <f>IF($G479&lt;&gt;0,SUMIF(куб!$G:$G,$G479,куб!S:S),IF($E479&lt;&gt;0,SUMIF(куб!$E:$E,$E479,куб!S:S),IF($D479&lt;&gt;0,SUMIF(куб!$D:$D,$D479,куб!S:S),IF($C479&lt;&gt;0,SUMIF(куб!$C:$C,$C479,куб!S:S),IF($B479&lt;&gt;0,SUMIF(куб!$B:$B,$B479,куб!S:S))))))</f>
        <v>0</v>
      </c>
      <c r="AH479" s="16" t="str">
        <f t="shared" si="175"/>
        <v>-</v>
      </c>
      <c r="AI479" s="8"/>
      <c r="AJ479" s="27" t="b">
        <f>IF($G479&lt;&gt;0,SUMIF(куб!$G:$G,$G479,куб!T:T),IF($E479&lt;&gt;0,SUMIF(куб!$E:$E,$E479,куб!T:T),IF($D479&lt;&gt;0,SUMIF(куб!$D:$D,$D479,куб!T:T),IF($C479&lt;&gt;0,SUMIF(куб!$C:$C,$C479,куб!T:T),IF($B479&lt;&gt;0,SUMIF(куб!$B:$B,$B479,куб!T:T))))))</f>
        <v>0</v>
      </c>
      <c r="AK479" s="27" t="b">
        <f>IF($G479&lt;&gt;0,SUMIF(куб!$G:$G,$G479,куб!U:U),IF($E479&lt;&gt;0,SUMIF(куб!$E:$E,$E479,куб!U:U),IF($D479&lt;&gt;0,SUMIF(куб!$D:$D,$D479,куб!U:U),IF($C479&lt;&gt;0,SUMIF(куб!$C:$C,$C479,куб!U:U),IF($B479&lt;&gt;0,SUMIF(куб!$B:$B,$B479,куб!U:U))))))</f>
        <v>0</v>
      </c>
      <c r="AL479" s="16" t="str">
        <f t="shared" si="176"/>
        <v>-</v>
      </c>
      <c r="AM479" s="8"/>
      <c r="AN479" s="17" t="str">
        <f t="shared" si="177"/>
        <v xml:space="preserve"> </v>
      </c>
      <c r="AO479" s="17" t="str">
        <f t="shared" si="178"/>
        <v xml:space="preserve"> </v>
      </c>
      <c r="AP479" s="16" t="str">
        <f t="shared" si="179"/>
        <v>-</v>
      </c>
      <c r="AQ479" s="8"/>
      <c r="AR479" s="17" t="str">
        <f t="shared" si="180"/>
        <v>-</v>
      </c>
      <c r="AS479" s="17" t="str">
        <f t="shared" si="181"/>
        <v>-</v>
      </c>
      <c r="AT479" s="13" t="str">
        <f t="shared" si="182"/>
        <v>-</v>
      </c>
      <c r="AU479" s="8"/>
    </row>
    <row r="480" spans="1:47" x14ac:dyDescent="0.25">
      <c r="A480" s="31"/>
      <c r="B480" s="31"/>
      <c r="C480"/>
      <c r="D480" s="31"/>
      <c r="E480"/>
      <c r="F480" s="31"/>
      <c r="G480"/>
      <c r="H480" s="27">
        <f>IF($G480&lt;&gt;0,SUMIF(куб!$G:$G,$G480,куб!H:H),IF($E480&lt;&gt;0,SUMIF(куб!$E:$E,$E480,куб!H:H),IF($D480&lt;&gt;0,SUMIF(куб!$D:$D,$D480,куб!H:H),IF($C480&lt;&gt;0,SUMIF(куб!$C:$C,$C480,куб!H:H),IF($B480&lt;&gt;0,SUMIF(куб!$B:$B,$B480,куб!H:H),IF($G480&lt;&gt;0,SUMIF(куб!$A:$A,$G480,куб!H:H),SUMIF(куб!$A:$A,$G480,куб!H:H)))))))</f>
        <v>0</v>
      </c>
      <c r="I480" s="27">
        <f>IF($G480&lt;&gt;0,SUMIF(куб!$G:$G,$G480,куб!I:I),IF($E480&lt;&gt;0,SUMIF(куб!$E:$E,$E480,куб!I:I),IF($D480&lt;&gt;0,SUMIF(куб!$D:$D,$D480,куб!I:I),IF($C480&lt;&gt;0,SUMIF(куб!$C:$C,$C480,куб!I:I),IF($B480&lt;&gt;0,SUMIF(куб!$B:$B,$B480,куб!I:I),IF($G480&lt;&gt;0,SUMIF(куб!$A:$A,$G480,куб!I:I),SUMIF(куб!$A:$A,$G480,куб!I:I)))))))</f>
        <v>0</v>
      </c>
      <c r="J480" s="19" t="str">
        <f t="shared" si="165"/>
        <v>-</v>
      </c>
      <c r="K480" s="8"/>
      <c r="L480" s="17">
        <f t="shared" si="166"/>
        <v>0</v>
      </c>
      <c r="M480" s="17">
        <f t="shared" si="167"/>
        <v>0</v>
      </c>
      <c r="N480" s="12">
        <f t="shared" si="168"/>
        <v>0</v>
      </c>
      <c r="O480" s="5"/>
      <c r="P480" s="27" t="b">
        <f>IF($G480&lt;&gt;0,SUMIF(куб!$G:$G,$G480,куб!J:J),IF($E480&lt;&gt;0,SUMIF(куб!$E:$E,$E480,куб!J:J),IF($D480&lt;&gt;0,SUMIF(куб!$D:$D,$D480,куб!J:J),IF($C480&lt;&gt;0,SUMIF(куб!$C:$C,$C480,куб!J:J),IF($B480&lt;&gt;0,SUMIF(куб!$B:$B,$B480,куб!J:J))))))</f>
        <v>0</v>
      </c>
      <c r="Q480" s="27" t="b">
        <f>IF($G480&lt;&gt;0,SUMIF(куб!$G:$G,$G480,куб!K:K),IF($E480&lt;&gt;0,SUMIF(куб!$E:$E,$E480,куб!K:K),IF($D480&lt;&gt;0,SUMIF(куб!$D:$D,$D480,куб!K:K),IF($C480&lt;&gt;0,SUMIF(куб!$C:$C,$C480,куб!K:K),IF($B480&lt;&gt;0,SUMIF(куб!$B:$B,$B480,куб!K:K))))))</f>
        <v>0</v>
      </c>
      <c r="R480" s="13" t="str">
        <f t="shared" si="169"/>
        <v>-</v>
      </c>
      <c r="S480" s="5"/>
      <c r="T480" s="27" t="b">
        <f>IF($G480&lt;&gt;0,SUMIF(куб!$G:$G,$G480,куб!L:L),IF($E480&lt;&gt;0,SUMIF(куб!$E:$E,$E480,куб!L:L),IF($D480&lt;&gt;0,SUMIF(куб!$D:$D,$D480,куб!L:L),IF($C480&lt;&gt;0,SUMIF(куб!$C:$C,$C480,куб!L:L),IF($B480&lt;&gt;0,SUMIF(куб!$B:$B,$B480,куб!L:L))))))</f>
        <v>0</v>
      </c>
      <c r="U480" s="27" t="b">
        <f>IF($G480&lt;&gt;0,SUMIF(куб!$G:$G,$G480,куб!M:M),IF($E480&lt;&gt;0,SUMIF(куб!$E:$E,$E480,куб!M:M),IF($D480&lt;&gt;0,SUMIF(куб!$D:$D,$D480,куб!M:M),IF($C480&lt;&gt;0,SUMIF(куб!$C:$C,$C480,куб!M:M),IF($B480&lt;&gt;0,SUMIF(куб!$B:$B,$B480,куб!M:M))))))</f>
        <v>0</v>
      </c>
      <c r="V480" s="13" t="str">
        <f t="shared" si="170"/>
        <v>-</v>
      </c>
      <c r="W480" s="5"/>
      <c r="X480" s="27" t="b">
        <f>IF($G480&lt;&gt;0,SUMIF(куб!$G:$G,$G480,куб!N:N),IF($E480&lt;&gt;0,SUMIF(куб!$E:$E,$E480,куб!N:N),IF($D480&lt;&gt;0,SUMIF(куб!$D:$D,$D480,куб!N:N),IF($C480&lt;&gt;0,SUMIF(куб!$C:$C,$C480,куб!N:N),IF($B480&lt;&gt;0,SUMIF(куб!$B:$B,$B480,куб!N:N))))))</f>
        <v>0</v>
      </c>
      <c r="Y480" s="27" t="b">
        <f>IF($G480&lt;&gt;0,SUMIF(куб!$G:$G,$G480,куб!O:O),IF($E480&lt;&gt;0,SUMIF(куб!$E:$E,$E480,куб!O:O),IF($D480&lt;&gt;0,SUMIF(куб!$D:$D,$D480,куб!O:O),IF($C480&lt;&gt;0,SUMIF(куб!$C:$C,$C480,куб!O:O),IF($B480&lt;&gt;0,SUMIF(куб!$B:$B,$B480,куб!O:O))))))</f>
        <v>0</v>
      </c>
      <c r="Z480" s="13" t="str">
        <f t="shared" si="171"/>
        <v>-</v>
      </c>
      <c r="AA480" s="5"/>
      <c r="AB480" s="33" t="str">
        <f t="shared" si="172"/>
        <v/>
      </c>
      <c r="AC480" s="33" t="str">
        <f t="shared" si="173"/>
        <v/>
      </c>
      <c r="AD480" s="15" t="str">
        <f t="shared" si="174"/>
        <v xml:space="preserve"> </v>
      </c>
      <c r="AE480" s="5"/>
      <c r="AF480" s="27" t="b">
        <f>IF($G480&lt;&gt;0,SUMIF(куб!$G:$G,$G480,куб!R:R),IF($E480&lt;&gt;0,SUMIF(куб!$E:$E,$E480,куб!R:R),IF($D480&lt;&gt;0,SUMIF(куб!$D:$D,$D480,куб!R:R),IF($C480&lt;&gt;0,SUMIF(куб!$C:$C,$C480,куб!R:R),IF($B480&lt;&gt;0,SUMIF(куб!$B:$B,$B480,куб!R:R))))))</f>
        <v>0</v>
      </c>
      <c r="AG480" s="27" t="b">
        <f>IF($G480&lt;&gt;0,SUMIF(куб!$G:$G,$G480,куб!S:S),IF($E480&lt;&gt;0,SUMIF(куб!$E:$E,$E480,куб!S:S),IF($D480&lt;&gt;0,SUMIF(куб!$D:$D,$D480,куб!S:S),IF($C480&lt;&gt;0,SUMIF(куб!$C:$C,$C480,куб!S:S),IF($B480&lt;&gt;0,SUMIF(куб!$B:$B,$B480,куб!S:S))))))</f>
        <v>0</v>
      </c>
      <c r="AH480" s="16" t="str">
        <f t="shared" si="175"/>
        <v>-</v>
      </c>
      <c r="AI480" s="8"/>
      <c r="AJ480" s="27" t="b">
        <f>IF($G480&lt;&gt;0,SUMIF(куб!$G:$G,$G480,куб!T:T),IF($E480&lt;&gt;0,SUMIF(куб!$E:$E,$E480,куб!T:T),IF($D480&lt;&gt;0,SUMIF(куб!$D:$D,$D480,куб!T:T),IF($C480&lt;&gt;0,SUMIF(куб!$C:$C,$C480,куб!T:T),IF($B480&lt;&gt;0,SUMIF(куб!$B:$B,$B480,куб!T:T))))))</f>
        <v>0</v>
      </c>
      <c r="AK480" s="27" t="b">
        <f>IF($G480&lt;&gt;0,SUMIF(куб!$G:$G,$G480,куб!U:U),IF($E480&lt;&gt;0,SUMIF(куб!$E:$E,$E480,куб!U:U),IF($D480&lt;&gt;0,SUMIF(куб!$D:$D,$D480,куб!U:U),IF($C480&lt;&gt;0,SUMIF(куб!$C:$C,$C480,куб!U:U),IF($B480&lt;&gt;0,SUMIF(куб!$B:$B,$B480,куб!U:U))))))</f>
        <v>0</v>
      </c>
      <c r="AL480" s="16" t="str">
        <f t="shared" si="176"/>
        <v>-</v>
      </c>
      <c r="AM480" s="8"/>
      <c r="AN480" s="17" t="str">
        <f t="shared" si="177"/>
        <v xml:space="preserve"> </v>
      </c>
      <c r="AO480" s="17" t="str">
        <f t="shared" si="178"/>
        <v xml:space="preserve"> </v>
      </c>
      <c r="AP480" s="16" t="str">
        <f t="shared" si="179"/>
        <v>-</v>
      </c>
      <c r="AQ480" s="8"/>
      <c r="AR480" s="17" t="str">
        <f t="shared" si="180"/>
        <v>-</v>
      </c>
      <c r="AS480" s="17" t="str">
        <f t="shared" si="181"/>
        <v>-</v>
      </c>
      <c r="AT480" s="13" t="str">
        <f t="shared" si="182"/>
        <v>-</v>
      </c>
      <c r="AU480" s="8"/>
    </row>
    <row r="481" spans="1:47" x14ac:dyDescent="0.25">
      <c r="A481" s="31"/>
      <c r="B481" s="31"/>
      <c r="C481"/>
      <c r="D481" s="31"/>
      <c r="E481"/>
      <c r="F481" s="31"/>
      <c r="G481"/>
      <c r="H481" s="27">
        <f>IF($G481&lt;&gt;0,SUMIF(куб!$G:$G,$G481,куб!H:H),IF($E481&lt;&gt;0,SUMIF(куб!$E:$E,$E481,куб!H:H),IF($D481&lt;&gt;0,SUMIF(куб!$D:$D,$D481,куб!H:H),IF($C481&lt;&gt;0,SUMIF(куб!$C:$C,$C481,куб!H:H),IF($B481&lt;&gt;0,SUMIF(куб!$B:$B,$B481,куб!H:H),IF($G481&lt;&gt;0,SUMIF(куб!$A:$A,$G481,куб!H:H),SUMIF(куб!$A:$A,$G481,куб!H:H)))))))</f>
        <v>0</v>
      </c>
      <c r="I481" s="27">
        <f>IF($G481&lt;&gt;0,SUMIF(куб!$G:$G,$G481,куб!I:I),IF($E481&lt;&gt;0,SUMIF(куб!$E:$E,$E481,куб!I:I),IF($D481&lt;&gt;0,SUMIF(куб!$D:$D,$D481,куб!I:I),IF($C481&lt;&gt;0,SUMIF(куб!$C:$C,$C481,куб!I:I),IF($B481&lt;&gt;0,SUMIF(куб!$B:$B,$B481,куб!I:I),IF($G481&lt;&gt;0,SUMIF(куб!$A:$A,$G481,куб!I:I),SUMIF(куб!$A:$A,$G481,куб!I:I)))))))</f>
        <v>0</v>
      </c>
      <c r="J481" s="19" t="str">
        <f t="shared" si="165"/>
        <v>-</v>
      </c>
      <c r="K481" s="8"/>
      <c r="L481" s="17">
        <f t="shared" si="166"/>
        <v>0</v>
      </c>
      <c r="M481" s="17">
        <f t="shared" si="167"/>
        <v>0</v>
      </c>
      <c r="N481" s="12">
        <f t="shared" si="168"/>
        <v>0</v>
      </c>
      <c r="O481" s="5"/>
      <c r="P481" s="27" t="b">
        <f>IF($G481&lt;&gt;0,SUMIF(куб!$G:$G,$G481,куб!J:J),IF($E481&lt;&gt;0,SUMIF(куб!$E:$E,$E481,куб!J:J),IF($D481&lt;&gt;0,SUMIF(куб!$D:$D,$D481,куб!J:J),IF($C481&lt;&gt;0,SUMIF(куб!$C:$C,$C481,куб!J:J),IF($B481&lt;&gt;0,SUMIF(куб!$B:$B,$B481,куб!J:J))))))</f>
        <v>0</v>
      </c>
      <c r="Q481" s="27" t="b">
        <f>IF($G481&lt;&gt;0,SUMIF(куб!$G:$G,$G481,куб!K:K),IF($E481&lt;&gt;0,SUMIF(куб!$E:$E,$E481,куб!K:K),IF($D481&lt;&gt;0,SUMIF(куб!$D:$D,$D481,куб!K:K),IF($C481&lt;&gt;0,SUMIF(куб!$C:$C,$C481,куб!K:K),IF($B481&lt;&gt;0,SUMIF(куб!$B:$B,$B481,куб!K:K))))))</f>
        <v>0</v>
      </c>
      <c r="R481" s="13" t="str">
        <f t="shared" si="169"/>
        <v>-</v>
      </c>
      <c r="S481" s="5"/>
      <c r="T481" s="27" t="b">
        <f>IF($G481&lt;&gt;0,SUMIF(куб!$G:$G,$G481,куб!L:L),IF($E481&lt;&gt;0,SUMIF(куб!$E:$E,$E481,куб!L:L),IF($D481&lt;&gt;0,SUMIF(куб!$D:$D,$D481,куб!L:L),IF($C481&lt;&gt;0,SUMIF(куб!$C:$C,$C481,куб!L:L),IF($B481&lt;&gt;0,SUMIF(куб!$B:$B,$B481,куб!L:L))))))</f>
        <v>0</v>
      </c>
      <c r="U481" s="27" t="b">
        <f>IF($G481&lt;&gt;0,SUMIF(куб!$G:$G,$G481,куб!M:M),IF($E481&lt;&gt;0,SUMIF(куб!$E:$E,$E481,куб!M:M),IF($D481&lt;&gt;0,SUMIF(куб!$D:$D,$D481,куб!M:M),IF($C481&lt;&gt;0,SUMIF(куб!$C:$C,$C481,куб!M:M),IF($B481&lt;&gt;0,SUMIF(куб!$B:$B,$B481,куб!M:M))))))</f>
        <v>0</v>
      </c>
      <c r="V481" s="13" t="str">
        <f t="shared" si="170"/>
        <v>-</v>
      </c>
      <c r="W481" s="5"/>
      <c r="X481" s="27" t="b">
        <f>IF($G481&lt;&gt;0,SUMIF(куб!$G:$G,$G481,куб!N:N),IF($E481&lt;&gt;0,SUMIF(куб!$E:$E,$E481,куб!N:N),IF($D481&lt;&gt;0,SUMIF(куб!$D:$D,$D481,куб!N:N),IF($C481&lt;&gt;0,SUMIF(куб!$C:$C,$C481,куб!N:N),IF($B481&lt;&gt;0,SUMIF(куб!$B:$B,$B481,куб!N:N))))))</f>
        <v>0</v>
      </c>
      <c r="Y481" s="27" t="b">
        <f>IF($G481&lt;&gt;0,SUMIF(куб!$G:$G,$G481,куб!O:O),IF($E481&lt;&gt;0,SUMIF(куб!$E:$E,$E481,куб!O:O),IF($D481&lt;&gt;0,SUMIF(куб!$D:$D,$D481,куб!O:O),IF($C481&lt;&gt;0,SUMIF(куб!$C:$C,$C481,куб!O:O),IF($B481&lt;&gt;0,SUMIF(куб!$B:$B,$B481,куб!O:O))))))</f>
        <v>0</v>
      </c>
      <c r="Z481" s="13" t="str">
        <f t="shared" si="171"/>
        <v>-</v>
      </c>
      <c r="AA481" s="5"/>
      <c r="AB481" s="33" t="str">
        <f t="shared" si="172"/>
        <v/>
      </c>
      <c r="AC481" s="33" t="str">
        <f t="shared" si="173"/>
        <v/>
      </c>
      <c r="AD481" s="15" t="str">
        <f t="shared" si="174"/>
        <v xml:space="preserve"> </v>
      </c>
      <c r="AE481" s="5"/>
      <c r="AF481" s="27" t="b">
        <f>IF($G481&lt;&gt;0,SUMIF(куб!$G:$G,$G481,куб!R:R),IF($E481&lt;&gt;0,SUMIF(куб!$E:$E,$E481,куб!R:R),IF($D481&lt;&gt;0,SUMIF(куб!$D:$D,$D481,куб!R:R),IF($C481&lt;&gt;0,SUMIF(куб!$C:$C,$C481,куб!R:R),IF($B481&lt;&gt;0,SUMIF(куб!$B:$B,$B481,куб!R:R))))))</f>
        <v>0</v>
      </c>
      <c r="AG481" s="27" t="b">
        <f>IF($G481&lt;&gt;0,SUMIF(куб!$G:$G,$G481,куб!S:S),IF($E481&lt;&gt;0,SUMIF(куб!$E:$E,$E481,куб!S:S),IF($D481&lt;&gt;0,SUMIF(куб!$D:$D,$D481,куб!S:S),IF($C481&lt;&gt;0,SUMIF(куб!$C:$C,$C481,куб!S:S),IF($B481&lt;&gt;0,SUMIF(куб!$B:$B,$B481,куб!S:S))))))</f>
        <v>0</v>
      </c>
      <c r="AH481" s="16" t="str">
        <f t="shared" si="175"/>
        <v>-</v>
      </c>
      <c r="AI481" s="8"/>
      <c r="AJ481" s="27" t="b">
        <f>IF($G481&lt;&gt;0,SUMIF(куб!$G:$G,$G481,куб!T:T),IF($E481&lt;&gt;0,SUMIF(куб!$E:$E,$E481,куб!T:T),IF($D481&lt;&gt;0,SUMIF(куб!$D:$D,$D481,куб!T:T),IF($C481&lt;&gt;0,SUMIF(куб!$C:$C,$C481,куб!T:T),IF($B481&lt;&gt;0,SUMIF(куб!$B:$B,$B481,куб!T:T))))))</f>
        <v>0</v>
      </c>
      <c r="AK481" s="27" t="b">
        <f>IF($G481&lt;&gt;0,SUMIF(куб!$G:$G,$G481,куб!U:U),IF($E481&lt;&gt;0,SUMIF(куб!$E:$E,$E481,куб!U:U),IF($D481&lt;&gt;0,SUMIF(куб!$D:$D,$D481,куб!U:U),IF($C481&lt;&gt;0,SUMIF(куб!$C:$C,$C481,куб!U:U),IF($B481&lt;&gt;0,SUMIF(куб!$B:$B,$B481,куб!U:U))))))</f>
        <v>0</v>
      </c>
      <c r="AL481" s="16" t="str">
        <f t="shared" si="176"/>
        <v>-</v>
      </c>
      <c r="AM481" s="8"/>
      <c r="AN481" s="17" t="str">
        <f t="shared" si="177"/>
        <v xml:space="preserve"> </v>
      </c>
      <c r="AO481" s="17" t="str">
        <f t="shared" si="178"/>
        <v xml:space="preserve"> </v>
      </c>
      <c r="AP481" s="16" t="str">
        <f t="shared" si="179"/>
        <v>-</v>
      </c>
      <c r="AQ481" s="8"/>
      <c r="AR481" s="17" t="str">
        <f t="shared" si="180"/>
        <v>-</v>
      </c>
      <c r="AS481" s="17" t="str">
        <f t="shared" si="181"/>
        <v>-</v>
      </c>
      <c r="AT481" s="13" t="str">
        <f t="shared" si="182"/>
        <v>-</v>
      </c>
      <c r="AU481" s="8"/>
    </row>
    <row r="482" spans="1:47" x14ac:dyDescent="0.25">
      <c r="A482" s="31"/>
      <c r="B482" s="31"/>
      <c r="C482"/>
      <c r="D482" s="31"/>
      <c r="E482"/>
      <c r="F482" s="31"/>
      <c r="G482"/>
      <c r="H482" s="27">
        <f>IF($G482&lt;&gt;0,SUMIF(куб!$G:$G,$G482,куб!H:H),IF($E482&lt;&gt;0,SUMIF(куб!$E:$E,$E482,куб!H:H),IF($D482&lt;&gt;0,SUMIF(куб!$D:$D,$D482,куб!H:H),IF($C482&lt;&gt;0,SUMIF(куб!$C:$C,$C482,куб!H:H),IF($B482&lt;&gt;0,SUMIF(куб!$B:$B,$B482,куб!H:H),IF($G482&lt;&gt;0,SUMIF(куб!$A:$A,$G482,куб!H:H),SUMIF(куб!$A:$A,$G482,куб!H:H)))))))</f>
        <v>0</v>
      </c>
      <c r="I482" s="27">
        <f>IF($G482&lt;&gt;0,SUMIF(куб!$G:$G,$G482,куб!I:I),IF($E482&lt;&gt;0,SUMIF(куб!$E:$E,$E482,куб!I:I),IF($D482&lt;&gt;0,SUMIF(куб!$D:$D,$D482,куб!I:I),IF($C482&lt;&gt;0,SUMIF(куб!$C:$C,$C482,куб!I:I),IF($B482&lt;&gt;0,SUMIF(куб!$B:$B,$B482,куб!I:I),IF($G482&lt;&gt;0,SUMIF(куб!$A:$A,$G482,куб!I:I),SUMIF(куб!$A:$A,$G482,куб!I:I)))))))</f>
        <v>0</v>
      </c>
      <c r="J482" s="19" t="str">
        <f t="shared" si="165"/>
        <v>-</v>
      </c>
      <c r="K482" s="8"/>
      <c r="L482" s="17">
        <f t="shared" si="166"/>
        <v>0</v>
      </c>
      <c r="M482" s="17">
        <f t="shared" si="167"/>
        <v>0</v>
      </c>
      <c r="N482" s="12">
        <f t="shared" si="168"/>
        <v>0</v>
      </c>
      <c r="O482" s="5"/>
      <c r="P482" s="27" t="b">
        <f>IF($G482&lt;&gt;0,SUMIF(куб!$G:$G,$G482,куб!J:J),IF($E482&lt;&gt;0,SUMIF(куб!$E:$E,$E482,куб!J:J),IF($D482&lt;&gt;0,SUMIF(куб!$D:$D,$D482,куб!J:J),IF($C482&lt;&gt;0,SUMIF(куб!$C:$C,$C482,куб!J:J),IF($B482&lt;&gt;0,SUMIF(куб!$B:$B,$B482,куб!J:J))))))</f>
        <v>0</v>
      </c>
      <c r="Q482" s="27" t="b">
        <f>IF($G482&lt;&gt;0,SUMIF(куб!$G:$G,$G482,куб!K:K),IF($E482&lt;&gt;0,SUMIF(куб!$E:$E,$E482,куб!K:K),IF($D482&lt;&gt;0,SUMIF(куб!$D:$D,$D482,куб!K:K),IF($C482&lt;&gt;0,SUMIF(куб!$C:$C,$C482,куб!K:K),IF($B482&lt;&gt;0,SUMIF(куб!$B:$B,$B482,куб!K:K))))))</f>
        <v>0</v>
      </c>
      <c r="R482" s="13" t="str">
        <f t="shared" si="169"/>
        <v>-</v>
      </c>
      <c r="S482" s="5"/>
      <c r="T482" s="27" t="b">
        <f>IF($G482&lt;&gt;0,SUMIF(куб!$G:$G,$G482,куб!L:L),IF($E482&lt;&gt;0,SUMIF(куб!$E:$E,$E482,куб!L:L),IF($D482&lt;&gt;0,SUMIF(куб!$D:$D,$D482,куб!L:L),IF($C482&lt;&gt;0,SUMIF(куб!$C:$C,$C482,куб!L:L),IF($B482&lt;&gt;0,SUMIF(куб!$B:$B,$B482,куб!L:L))))))</f>
        <v>0</v>
      </c>
      <c r="U482" s="27" t="b">
        <f>IF($G482&lt;&gt;0,SUMIF(куб!$G:$G,$G482,куб!M:M),IF($E482&lt;&gt;0,SUMIF(куб!$E:$E,$E482,куб!M:M),IF($D482&lt;&gt;0,SUMIF(куб!$D:$D,$D482,куб!M:M),IF($C482&lt;&gt;0,SUMIF(куб!$C:$C,$C482,куб!M:M),IF($B482&lt;&gt;0,SUMIF(куб!$B:$B,$B482,куб!M:M))))))</f>
        <v>0</v>
      </c>
      <c r="V482" s="13" t="str">
        <f t="shared" si="170"/>
        <v>-</v>
      </c>
      <c r="W482" s="5"/>
      <c r="X482" s="27" t="b">
        <f>IF($G482&lt;&gt;0,SUMIF(куб!$G:$G,$G482,куб!N:N),IF($E482&lt;&gt;0,SUMIF(куб!$E:$E,$E482,куб!N:N),IF($D482&lt;&gt;0,SUMIF(куб!$D:$D,$D482,куб!N:N),IF($C482&lt;&gt;0,SUMIF(куб!$C:$C,$C482,куб!N:N),IF($B482&lt;&gt;0,SUMIF(куб!$B:$B,$B482,куб!N:N))))))</f>
        <v>0</v>
      </c>
      <c r="Y482" s="27" t="b">
        <f>IF($G482&lt;&gt;0,SUMIF(куб!$G:$G,$G482,куб!O:O),IF($E482&lt;&gt;0,SUMIF(куб!$E:$E,$E482,куб!O:O),IF($D482&lt;&gt;0,SUMIF(куб!$D:$D,$D482,куб!O:O),IF($C482&lt;&gt;0,SUMIF(куб!$C:$C,$C482,куб!O:O),IF($B482&lt;&gt;0,SUMIF(куб!$B:$B,$B482,куб!O:O))))))</f>
        <v>0</v>
      </c>
      <c r="Z482" s="13" t="str">
        <f t="shared" si="171"/>
        <v>-</v>
      </c>
      <c r="AA482" s="5"/>
      <c r="AB482" s="33" t="str">
        <f t="shared" si="172"/>
        <v/>
      </c>
      <c r="AC482" s="33" t="str">
        <f t="shared" si="173"/>
        <v/>
      </c>
      <c r="AD482" s="15" t="str">
        <f t="shared" si="174"/>
        <v xml:space="preserve"> </v>
      </c>
      <c r="AE482" s="5"/>
      <c r="AF482" s="27" t="b">
        <f>IF($G482&lt;&gt;0,SUMIF(куб!$G:$G,$G482,куб!R:R),IF($E482&lt;&gt;0,SUMIF(куб!$E:$E,$E482,куб!R:R),IF($D482&lt;&gt;0,SUMIF(куб!$D:$D,$D482,куб!R:R),IF($C482&lt;&gt;0,SUMIF(куб!$C:$C,$C482,куб!R:R),IF($B482&lt;&gt;0,SUMIF(куб!$B:$B,$B482,куб!R:R))))))</f>
        <v>0</v>
      </c>
      <c r="AG482" s="27" t="b">
        <f>IF($G482&lt;&gt;0,SUMIF(куб!$G:$G,$G482,куб!S:S),IF($E482&lt;&gt;0,SUMIF(куб!$E:$E,$E482,куб!S:S),IF($D482&lt;&gt;0,SUMIF(куб!$D:$D,$D482,куб!S:S),IF($C482&lt;&gt;0,SUMIF(куб!$C:$C,$C482,куб!S:S),IF($B482&lt;&gt;0,SUMIF(куб!$B:$B,$B482,куб!S:S))))))</f>
        <v>0</v>
      </c>
      <c r="AH482" s="16" t="str">
        <f t="shared" si="175"/>
        <v>-</v>
      </c>
      <c r="AI482" s="8"/>
      <c r="AJ482" s="27" t="b">
        <f>IF($G482&lt;&gt;0,SUMIF(куб!$G:$G,$G482,куб!T:T),IF($E482&lt;&gt;0,SUMIF(куб!$E:$E,$E482,куб!T:T),IF($D482&lt;&gt;0,SUMIF(куб!$D:$D,$D482,куб!T:T),IF($C482&lt;&gt;0,SUMIF(куб!$C:$C,$C482,куб!T:T),IF($B482&lt;&gt;0,SUMIF(куб!$B:$B,$B482,куб!T:T))))))</f>
        <v>0</v>
      </c>
      <c r="AK482" s="27" t="b">
        <f>IF($G482&lt;&gt;0,SUMIF(куб!$G:$G,$G482,куб!U:U),IF($E482&lt;&gt;0,SUMIF(куб!$E:$E,$E482,куб!U:U),IF($D482&lt;&gt;0,SUMIF(куб!$D:$D,$D482,куб!U:U),IF($C482&lt;&gt;0,SUMIF(куб!$C:$C,$C482,куб!U:U),IF($B482&lt;&gt;0,SUMIF(куб!$B:$B,$B482,куб!U:U))))))</f>
        <v>0</v>
      </c>
      <c r="AL482" s="16" t="str">
        <f t="shared" si="176"/>
        <v>-</v>
      </c>
      <c r="AM482" s="8"/>
      <c r="AN482" s="17" t="str">
        <f t="shared" si="177"/>
        <v xml:space="preserve"> </v>
      </c>
      <c r="AO482" s="17" t="str">
        <f t="shared" si="178"/>
        <v xml:space="preserve"> </v>
      </c>
      <c r="AP482" s="16" t="str">
        <f t="shared" si="179"/>
        <v>-</v>
      </c>
      <c r="AQ482" s="8"/>
      <c r="AR482" s="17" t="str">
        <f t="shared" si="180"/>
        <v>-</v>
      </c>
      <c r="AS482" s="17" t="str">
        <f t="shared" si="181"/>
        <v>-</v>
      </c>
      <c r="AT482" s="13" t="str">
        <f t="shared" si="182"/>
        <v>-</v>
      </c>
      <c r="AU482" s="8"/>
    </row>
    <row r="483" spans="1:47" x14ac:dyDescent="0.25">
      <c r="A483" s="31"/>
      <c r="B483" s="31"/>
      <c r="C483"/>
      <c r="D483" s="31"/>
      <c r="E483"/>
      <c r="F483" s="31"/>
      <c r="G483"/>
      <c r="H483" s="27">
        <f>IF($G483&lt;&gt;0,SUMIF(куб!$G:$G,$G483,куб!H:H),IF($E483&lt;&gt;0,SUMIF(куб!$E:$E,$E483,куб!H:H),IF($D483&lt;&gt;0,SUMIF(куб!$D:$D,$D483,куб!H:H),IF($C483&lt;&gt;0,SUMIF(куб!$C:$C,$C483,куб!H:H),IF($B483&lt;&gt;0,SUMIF(куб!$B:$B,$B483,куб!H:H),IF($G483&lt;&gt;0,SUMIF(куб!$A:$A,$G483,куб!H:H),SUMIF(куб!$A:$A,$G483,куб!H:H)))))))</f>
        <v>0</v>
      </c>
      <c r="I483" s="27">
        <f>IF($G483&lt;&gt;0,SUMIF(куб!$G:$G,$G483,куб!I:I),IF($E483&lt;&gt;0,SUMIF(куб!$E:$E,$E483,куб!I:I),IF($D483&lt;&gt;0,SUMIF(куб!$D:$D,$D483,куб!I:I),IF($C483&lt;&gt;0,SUMIF(куб!$C:$C,$C483,куб!I:I),IF($B483&lt;&gt;0,SUMIF(куб!$B:$B,$B483,куб!I:I),IF($G483&lt;&gt;0,SUMIF(куб!$A:$A,$G483,куб!I:I),SUMIF(куб!$A:$A,$G483,куб!I:I)))))))</f>
        <v>0</v>
      </c>
      <c r="J483" s="19" t="str">
        <f t="shared" si="165"/>
        <v>-</v>
      </c>
      <c r="K483" s="8"/>
      <c r="L483" s="17">
        <f t="shared" si="166"/>
        <v>0</v>
      </c>
      <c r="M483" s="17">
        <f t="shared" si="167"/>
        <v>0</v>
      </c>
      <c r="N483" s="12">
        <f t="shared" si="168"/>
        <v>0</v>
      </c>
      <c r="O483" s="5"/>
      <c r="P483" s="27" t="b">
        <f>IF($G483&lt;&gt;0,SUMIF(куб!$G:$G,$G483,куб!J:J),IF($E483&lt;&gt;0,SUMIF(куб!$E:$E,$E483,куб!J:J),IF($D483&lt;&gt;0,SUMIF(куб!$D:$D,$D483,куб!J:J),IF($C483&lt;&gt;0,SUMIF(куб!$C:$C,$C483,куб!J:J),IF($B483&lt;&gt;0,SUMIF(куб!$B:$B,$B483,куб!J:J))))))</f>
        <v>0</v>
      </c>
      <c r="Q483" s="27" t="b">
        <f>IF($G483&lt;&gt;0,SUMIF(куб!$G:$G,$G483,куб!K:K),IF($E483&lt;&gt;0,SUMIF(куб!$E:$E,$E483,куб!K:K),IF($D483&lt;&gt;0,SUMIF(куб!$D:$D,$D483,куб!K:K),IF($C483&lt;&gt;0,SUMIF(куб!$C:$C,$C483,куб!K:K),IF($B483&lt;&gt;0,SUMIF(куб!$B:$B,$B483,куб!K:K))))))</f>
        <v>0</v>
      </c>
      <c r="R483" s="13" t="str">
        <f t="shared" si="169"/>
        <v>-</v>
      </c>
      <c r="S483" s="5"/>
      <c r="T483" s="27" t="b">
        <f>IF($G483&lt;&gt;0,SUMIF(куб!$G:$G,$G483,куб!L:L),IF($E483&lt;&gt;0,SUMIF(куб!$E:$E,$E483,куб!L:L),IF($D483&lt;&gt;0,SUMIF(куб!$D:$D,$D483,куб!L:L),IF($C483&lt;&gt;0,SUMIF(куб!$C:$C,$C483,куб!L:L),IF($B483&lt;&gt;0,SUMIF(куб!$B:$B,$B483,куб!L:L))))))</f>
        <v>0</v>
      </c>
      <c r="U483" s="27" t="b">
        <f>IF($G483&lt;&gt;0,SUMIF(куб!$G:$G,$G483,куб!M:M),IF($E483&lt;&gt;0,SUMIF(куб!$E:$E,$E483,куб!M:M),IF($D483&lt;&gt;0,SUMIF(куб!$D:$D,$D483,куб!M:M),IF($C483&lt;&gt;0,SUMIF(куб!$C:$C,$C483,куб!M:M),IF($B483&lt;&gt;0,SUMIF(куб!$B:$B,$B483,куб!M:M))))))</f>
        <v>0</v>
      </c>
      <c r="V483" s="13" t="str">
        <f t="shared" si="170"/>
        <v>-</v>
      </c>
      <c r="W483" s="5"/>
      <c r="X483" s="27" t="b">
        <f>IF($G483&lt;&gt;0,SUMIF(куб!$G:$G,$G483,куб!N:N),IF($E483&lt;&gt;0,SUMIF(куб!$E:$E,$E483,куб!N:N),IF($D483&lt;&gt;0,SUMIF(куб!$D:$D,$D483,куб!N:N),IF($C483&lt;&gt;0,SUMIF(куб!$C:$C,$C483,куб!N:N),IF($B483&lt;&gt;0,SUMIF(куб!$B:$B,$B483,куб!N:N))))))</f>
        <v>0</v>
      </c>
      <c r="Y483" s="27" t="b">
        <f>IF($G483&lt;&gt;0,SUMIF(куб!$G:$G,$G483,куб!O:O),IF($E483&lt;&gt;0,SUMIF(куб!$E:$E,$E483,куб!O:O),IF($D483&lt;&gt;0,SUMIF(куб!$D:$D,$D483,куб!O:O),IF($C483&lt;&gt;0,SUMIF(куб!$C:$C,$C483,куб!O:O),IF($B483&lt;&gt;0,SUMIF(куб!$B:$B,$B483,куб!O:O))))))</f>
        <v>0</v>
      </c>
      <c r="Z483" s="13" t="str">
        <f t="shared" si="171"/>
        <v>-</v>
      </c>
      <c r="AA483" s="5"/>
      <c r="AB483" s="33" t="str">
        <f t="shared" si="172"/>
        <v/>
      </c>
      <c r="AC483" s="33" t="str">
        <f t="shared" si="173"/>
        <v/>
      </c>
      <c r="AD483" s="15" t="str">
        <f t="shared" si="174"/>
        <v xml:space="preserve"> </v>
      </c>
      <c r="AE483" s="5"/>
      <c r="AF483" s="27" t="b">
        <f>IF($G483&lt;&gt;0,SUMIF(куб!$G:$G,$G483,куб!R:R),IF($E483&lt;&gt;0,SUMIF(куб!$E:$E,$E483,куб!R:R),IF($D483&lt;&gt;0,SUMIF(куб!$D:$D,$D483,куб!R:R),IF($C483&lt;&gt;0,SUMIF(куб!$C:$C,$C483,куб!R:R),IF($B483&lt;&gt;0,SUMIF(куб!$B:$B,$B483,куб!R:R))))))</f>
        <v>0</v>
      </c>
      <c r="AG483" s="27" t="b">
        <f>IF($G483&lt;&gt;0,SUMIF(куб!$G:$G,$G483,куб!S:S),IF($E483&lt;&gt;0,SUMIF(куб!$E:$E,$E483,куб!S:S),IF($D483&lt;&gt;0,SUMIF(куб!$D:$D,$D483,куб!S:S),IF($C483&lt;&gt;0,SUMIF(куб!$C:$C,$C483,куб!S:S),IF($B483&lt;&gt;0,SUMIF(куб!$B:$B,$B483,куб!S:S))))))</f>
        <v>0</v>
      </c>
      <c r="AH483" s="16" t="str">
        <f t="shared" si="175"/>
        <v>-</v>
      </c>
      <c r="AI483" s="8"/>
      <c r="AJ483" s="27" t="b">
        <f>IF($G483&lt;&gt;0,SUMIF(куб!$G:$G,$G483,куб!T:T),IF($E483&lt;&gt;0,SUMIF(куб!$E:$E,$E483,куб!T:T),IF($D483&lt;&gt;0,SUMIF(куб!$D:$D,$D483,куб!T:T),IF($C483&lt;&gt;0,SUMIF(куб!$C:$C,$C483,куб!T:T),IF($B483&lt;&gt;0,SUMIF(куб!$B:$B,$B483,куб!T:T))))))</f>
        <v>0</v>
      </c>
      <c r="AK483" s="27" t="b">
        <f>IF($G483&lt;&gt;0,SUMIF(куб!$G:$G,$G483,куб!U:U),IF($E483&lt;&gt;0,SUMIF(куб!$E:$E,$E483,куб!U:U),IF($D483&lt;&gt;0,SUMIF(куб!$D:$D,$D483,куб!U:U),IF($C483&lt;&gt;0,SUMIF(куб!$C:$C,$C483,куб!U:U),IF($B483&lt;&gt;0,SUMIF(куб!$B:$B,$B483,куб!U:U))))))</f>
        <v>0</v>
      </c>
      <c r="AL483" s="16" t="str">
        <f t="shared" si="176"/>
        <v>-</v>
      </c>
      <c r="AM483" s="8"/>
      <c r="AN483" s="17" t="str">
        <f t="shared" si="177"/>
        <v xml:space="preserve"> </v>
      </c>
      <c r="AO483" s="17" t="str">
        <f t="shared" si="178"/>
        <v xml:space="preserve"> </v>
      </c>
      <c r="AP483" s="16" t="str">
        <f t="shared" si="179"/>
        <v>-</v>
      </c>
      <c r="AQ483" s="8"/>
      <c r="AR483" s="17" t="str">
        <f t="shared" si="180"/>
        <v>-</v>
      </c>
      <c r="AS483" s="17" t="str">
        <f t="shared" si="181"/>
        <v>-</v>
      </c>
      <c r="AT483" s="13" t="str">
        <f t="shared" si="182"/>
        <v>-</v>
      </c>
      <c r="AU483" s="8"/>
    </row>
    <row r="484" spans="1:47" x14ac:dyDescent="0.25">
      <c r="A484" s="31"/>
      <c r="B484" s="31"/>
      <c r="C484"/>
      <c r="D484" s="31"/>
      <c r="E484"/>
      <c r="F484" s="31"/>
      <c r="G484"/>
      <c r="H484" s="27">
        <f>IF($G484&lt;&gt;0,SUMIF(куб!$G:$G,$G484,куб!H:H),IF($E484&lt;&gt;0,SUMIF(куб!$E:$E,$E484,куб!H:H),IF($D484&lt;&gt;0,SUMIF(куб!$D:$D,$D484,куб!H:H),IF($C484&lt;&gt;0,SUMIF(куб!$C:$C,$C484,куб!H:H),IF($B484&lt;&gt;0,SUMIF(куб!$B:$B,$B484,куб!H:H),IF($G484&lt;&gt;0,SUMIF(куб!$A:$A,$G484,куб!H:H),SUMIF(куб!$A:$A,$G484,куб!H:H)))))))</f>
        <v>0</v>
      </c>
      <c r="I484" s="27">
        <f>IF($G484&lt;&gt;0,SUMIF(куб!$G:$G,$G484,куб!I:I),IF($E484&lt;&gt;0,SUMIF(куб!$E:$E,$E484,куб!I:I),IF($D484&lt;&gt;0,SUMIF(куб!$D:$D,$D484,куб!I:I),IF($C484&lt;&gt;0,SUMIF(куб!$C:$C,$C484,куб!I:I),IF($B484&lt;&gt;0,SUMIF(куб!$B:$B,$B484,куб!I:I),IF($G484&lt;&gt;0,SUMIF(куб!$A:$A,$G484,куб!I:I),SUMIF(куб!$A:$A,$G484,куб!I:I)))))))</f>
        <v>0</v>
      </c>
      <c r="J484" s="19" t="str">
        <f t="shared" si="165"/>
        <v>-</v>
      </c>
      <c r="K484" s="8"/>
      <c r="L484" s="17">
        <f t="shared" si="166"/>
        <v>0</v>
      </c>
      <c r="M484" s="17">
        <f t="shared" si="167"/>
        <v>0</v>
      </c>
      <c r="N484" s="12">
        <f t="shared" si="168"/>
        <v>0</v>
      </c>
      <c r="O484" s="5"/>
      <c r="P484" s="27" t="b">
        <f>IF($G484&lt;&gt;0,SUMIF(куб!$G:$G,$G484,куб!J:J),IF($E484&lt;&gt;0,SUMIF(куб!$E:$E,$E484,куб!J:J),IF($D484&lt;&gt;0,SUMIF(куб!$D:$D,$D484,куб!J:J),IF($C484&lt;&gt;0,SUMIF(куб!$C:$C,$C484,куб!J:J),IF($B484&lt;&gt;0,SUMIF(куб!$B:$B,$B484,куб!J:J))))))</f>
        <v>0</v>
      </c>
      <c r="Q484" s="27" t="b">
        <f>IF($G484&lt;&gt;0,SUMIF(куб!$G:$G,$G484,куб!K:K),IF($E484&lt;&gt;0,SUMIF(куб!$E:$E,$E484,куб!K:K),IF($D484&lt;&gt;0,SUMIF(куб!$D:$D,$D484,куб!K:K),IF($C484&lt;&gt;0,SUMIF(куб!$C:$C,$C484,куб!K:K),IF($B484&lt;&gt;0,SUMIF(куб!$B:$B,$B484,куб!K:K))))))</f>
        <v>0</v>
      </c>
      <c r="R484" s="13" t="str">
        <f t="shared" si="169"/>
        <v>-</v>
      </c>
      <c r="S484" s="5"/>
      <c r="T484" s="27" t="b">
        <f>IF($G484&lt;&gt;0,SUMIF(куб!$G:$G,$G484,куб!L:L),IF($E484&lt;&gt;0,SUMIF(куб!$E:$E,$E484,куб!L:L),IF($D484&lt;&gt;0,SUMIF(куб!$D:$D,$D484,куб!L:L),IF($C484&lt;&gt;0,SUMIF(куб!$C:$C,$C484,куб!L:L),IF($B484&lt;&gt;0,SUMIF(куб!$B:$B,$B484,куб!L:L))))))</f>
        <v>0</v>
      </c>
      <c r="U484" s="27" t="b">
        <f>IF($G484&lt;&gt;0,SUMIF(куб!$G:$G,$G484,куб!M:M),IF($E484&lt;&gt;0,SUMIF(куб!$E:$E,$E484,куб!M:M),IF($D484&lt;&gt;0,SUMIF(куб!$D:$D,$D484,куб!M:M),IF($C484&lt;&gt;0,SUMIF(куб!$C:$C,$C484,куб!M:M),IF($B484&lt;&gt;0,SUMIF(куб!$B:$B,$B484,куб!M:M))))))</f>
        <v>0</v>
      </c>
      <c r="V484" s="13" t="str">
        <f t="shared" si="170"/>
        <v>-</v>
      </c>
      <c r="W484" s="5"/>
      <c r="X484" s="27" t="b">
        <f>IF($G484&lt;&gt;0,SUMIF(куб!$G:$G,$G484,куб!N:N),IF($E484&lt;&gt;0,SUMIF(куб!$E:$E,$E484,куб!N:N),IF($D484&lt;&gt;0,SUMIF(куб!$D:$D,$D484,куб!N:N),IF($C484&lt;&gt;0,SUMIF(куб!$C:$C,$C484,куб!N:N),IF($B484&lt;&gt;0,SUMIF(куб!$B:$B,$B484,куб!N:N))))))</f>
        <v>0</v>
      </c>
      <c r="Y484" s="27" t="b">
        <f>IF($G484&lt;&gt;0,SUMIF(куб!$G:$G,$G484,куб!O:O),IF($E484&lt;&gt;0,SUMIF(куб!$E:$E,$E484,куб!O:O),IF($D484&lt;&gt;0,SUMIF(куб!$D:$D,$D484,куб!O:O),IF($C484&lt;&gt;0,SUMIF(куб!$C:$C,$C484,куб!O:O),IF($B484&lt;&gt;0,SUMIF(куб!$B:$B,$B484,куб!O:O))))))</f>
        <v>0</v>
      </c>
      <c r="Z484" s="13" t="str">
        <f t="shared" si="171"/>
        <v>-</v>
      </c>
      <c r="AA484" s="5"/>
      <c r="AB484" s="33" t="str">
        <f t="shared" si="172"/>
        <v/>
      </c>
      <c r="AC484" s="33" t="str">
        <f t="shared" si="173"/>
        <v/>
      </c>
      <c r="AD484" s="15" t="str">
        <f t="shared" si="174"/>
        <v xml:space="preserve"> </v>
      </c>
      <c r="AE484" s="5"/>
      <c r="AF484" s="27" t="b">
        <f>IF($G484&lt;&gt;0,SUMIF(куб!$G:$G,$G484,куб!R:R),IF($E484&lt;&gt;0,SUMIF(куб!$E:$E,$E484,куб!R:R),IF($D484&lt;&gt;0,SUMIF(куб!$D:$D,$D484,куб!R:R),IF($C484&lt;&gt;0,SUMIF(куб!$C:$C,$C484,куб!R:R),IF($B484&lt;&gt;0,SUMIF(куб!$B:$B,$B484,куб!R:R))))))</f>
        <v>0</v>
      </c>
      <c r="AG484" s="27" t="b">
        <f>IF($G484&lt;&gt;0,SUMIF(куб!$G:$G,$G484,куб!S:S),IF($E484&lt;&gt;0,SUMIF(куб!$E:$E,$E484,куб!S:S),IF($D484&lt;&gt;0,SUMIF(куб!$D:$D,$D484,куб!S:S),IF($C484&lt;&gt;0,SUMIF(куб!$C:$C,$C484,куб!S:S),IF($B484&lt;&gt;0,SUMIF(куб!$B:$B,$B484,куб!S:S))))))</f>
        <v>0</v>
      </c>
      <c r="AH484" s="16" t="str">
        <f t="shared" si="175"/>
        <v>-</v>
      </c>
      <c r="AI484" s="8"/>
      <c r="AJ484" s="27" t="b">
        <f>IF($G484&lt;&gt;0,SUMIF(куб!$G:$G,$G484,куб!T:T),IF($E484&lt;&gt;0,SUMIF(куб!$E:$E,$E484,куб!T:T),IF($D484&lt;&gt;0,SUMIF(куб!$D:$D,$D484,куб!T:T),IF($C484&lt;&gt;0,SUMIF(куб!$C:$C,$C484,куб!T:T),IF($B484&lt;&gt;0,SUMIF(куб!$B:$B,$B484,куб!T:T))))))</f>
        <v>0</v>
      </c>
      <c r="AK484" s="27" t="b">
        <f>IF($G484&lt;&gt;0,SUMIF(куб!$G:$G,$G484,куб!U:U),IF($E484&lt;&gt;0,SUMIF(куб!$E:$E,$E484,куб!U:U),IF($D484&lt;&gt;0,SUMIF(куб!$D:$D,$D484,куб!U:U),IF($C484&lt;&gt;0,SUMIF(куб!$C:$C,$C484,куб!U:U),IF($B484&lt;&gt;0,SUMIF(куб!$B:$B,$B484,куб!U:U))))))</f>
        <v>0</v>
      </c>
      <c r="AL484" s="16" t="str">
        <f t="shared" si="176"/>
        <v>-</v>
      </c>
      <c r="AM484" s="8"/>
      <c r="AN484" s="17" t="str">
        <f t="shared" si="177"/>
        <v xml:space="preserve"> </v>
      </c>
      <c r="AO484" s="17" t="str">
        <f t="shared" si="178"/>
        <v xml:space="preserve"> </v>
      </c>
      <c r="AP484" s="16" t="str">
        <f t="shared" si="179"/>
        <v>-</v>
      </c>
      <c r="AQ484" s="8"/>
      <c r="AR484" s="17" t="str">
        <f t="shared" si="180"/>
        <v>-</v>
      </c>
      <c r="AS484" s="17" t="str">
        <f t="shared" si="181"/>
        <v>-</v>
      </c>
      <c r="AT484" s="13" t="str">
        <f t="shared" si="182"/>
        <v>-</v>
      </c>
      <c r="AU484" s="8"/>
    </row>
    <row r="485" spans="1:47" x14ac:dyDescent="0.25">
      <c r="A485" s="31"/>
      <c r="B485" s="31"/>
      <c r="C485"/>
      <c r="D485" s="31"/>
      <c r="E485"/>
      <c r="F485" s="31"/>
      <c r="G485"/>
      <c r="H485" s="27">
        <f>IF($G485&lt;&gt;0,SUMIF(куб!$G:$G,$G485,куб!H:H),IF($E485&lt;&gt;0,SUMIF(куб!$E:$E,$E485,куб!H:H),IF($D485&lt;&gt;0,SUMIF(куб!$D:$D,$D485,куб!H:H),IF($C485&lt;&gt;0,SUMIF(куб!$C:$C,$C485,куб!H:H),IF($B485&lt;&gt;0,SUMIF(куб!$B:$B,$B485,куб!H:H),IF($G485&lt;&gt;0,SUMIF(куб!$A:$A,$G485,куб!H:H),SUMIF(куб!$A:$A,$G485,куб!H:H)))))))</f>
        <v>0</v>
      </c>
      <c r="I485" s="27">
        <f>IF($G485&lt;&gt;0,SUMIF(куб!$G:$G,$G485,куб!I:I),IF($E485&lt;&gt;0,SUMIF(куб!$E:$E,$E485,куб!I:I),IF($D485&lt;&gt;0,SUMIF(куб!$D:$D,$D485,куб!I:I),IF($C485&lt;&gt;0,SUMIF(куб!$C:$C,$C485,куб!I:I),IF($B485&lt;&gt;0,SUMIF(куб!$B:$B,$B485,куб!I:I),IF($G485&lt;&gt;0,SUMIF(куб!$A:$A,$G485,куб!I:I),SUMIF(куб!$A:$A,$G485,куб!I:I)))))))</f>
        <v>0</v>
      </c>
      <c r="J485" s="19" t="str">
        <f t="shared" si="165"/>
        <v>-</v>
      </c>
      <c r="K485" s="8"/>
      <c r="L485" s="17">
        <f t="shared" si="166"/>
        <v>0</v>
      </c>
      <c r="M485" s="17">
        <f t="shared" si="167"/>
        <v>0</v>
      </c>
      <c r="N485" s="12">
        <f t="shared" si="168"/>
        <v>0</v>
      </c>
      <c r="O485" s="5"/>
      <c r="P485" s="27" t="b">
        <f>IF($G485&lt;&gt;0,SUMIF(куб!$G:$G,$G485,куб!J:J),IF($E485&lt;&gt;0,SUMIF(куб!$E:$E,$E485,куб!J:J),IF($D485&lt;&gt;0,SUMIF(куб!$D:$D,$D485,куб!J:J),IF($C485&lt;&gt;0,SUMIF(куб!$C:$C,$C485,куб!J:J),IF($B485&lt;&gt;0,SUMIF(куб!$B:$B,$B485,куб!J:J))))))</f>
        <v>0</v>
      </c>
      <c r="Q485" s="27" t="b">
        <f>IF($G485&lt;&gt;0,SUMIF(куб!$G:$G,$G485,куб!K:K),IF($E485&lt;&gt;0,SUMIF(куб!$E:$E,$E485,куб!K:K),IF($D485&lt;&gt;0,SUMIF(куб!$D:$D,$D485,куб!K:K),IF($C485&lt;&gt;0,SUMIF(куб!$C:$C,$C485,куб!K:K),IF($B485&lt;&gt;0,SUMIF(куб!$B:$B,$B485,куб!K:K))))))</f>
        <v>0</v>
      </c>
      <c r="R485" s="13" t="str">
        <f t="shared" si="169"/>
        <v>-</v>
      </c>
      <c r="S485" s="5"/>
      <c r="T485" s="27" t="b">
        <f>IF($G485&lt;&gt;0,SUMIF(куб!$G:$G,$G485,куб!L:L),IF($E485&lt;&gt;0,SUMIF(куб!$E:$E,$E485,куб!L:L),IF($D485&lt;&gt;0,SUMIF(куб!$D:$D,$D485,куб!L:L),IF($C485&lt;&gt;0,SUMIF(куб!$C:$C,$C485,куб!L:L),IF($B485&lt;&gt;0,SUMIF(куб!$B:$B,$B485,куб!L:L))))))</f>
        <v>0</v>
      </c>
      <c r="U485" s="27" t="b">
        <f>IF($G485&lt;&gt;0,SUMIF(куб!$G:$G,$G485,куб!M:M),IF($E485&lt;&gt;0,SUMIF(куб!$E:$E,$E485,куб!M:M),IF($D485&lt;&gt;0,SUMIF(куб!$D:$D,$D485,куб!M:M),IF($C485&lt;&gt;0,SUMIF(куб!$C:$C,$C485,куб!M:M),IF($B485&lt;&gt;0,SUMIF(куб!$B:$B,$B485,куб!M:M))))))</f>
        <v>0</v>
      </c>
      <c r="V485" s="13" t="str">
        <f t="shared" si="170"/>
        <v>-</v>
      </c>
      <c r="W485" s="5"/>
      <c r="X485" s="27" t="b">
        <f>IF($G485&lt;&gt;0,SUMIF(куб!$G:$G,$G485,куб!N:N),IF($E485&lt;&gt;0,SUMIF(куб!$E:$E,$E485,куб!N:N),IF($D485&lt;&gt;0,SUMIF(куб!$D:$D,$D485,куб!N:N),IF($C485&lt;&gt;0,SUMIF(куб!$C:$C,$C485,куб!N:N),IF($B485&lt;&gt;0,SUMIF(куб!$B:$B,$B485,куб!N:N))))))</f>
        <v>0</v>
      </c>
      <c r="Y485" s="27" t="b">
        <f>IF($G485&lt;&gt;0,SUMIF(куб!$G:$G,$G485,куб!O:O),IF($E485&lt;&gt;0,SUMIF(куб!$E:$E,$E485,куб!O:O),IF($D485&lt;&gt;0,SUMIF(куб!$D:$D,$D485,куб!O:O),IF($C485&lt;&gt;0,SUMIF(куб!$C:$C,$C485,куб!O:O),IF($B485&lt;&gt;0,SUMIF(куб!$B:$B,$B485,куб!O:O))))))</f>
        <v>0</v>
      </c>
      <c r="Z485" s="13" t="str">
        <f t="shared" si="171"/>
        <v>-</v>
      </c>
      <c r="AA485" s="5"/>
      <c r="AB485" s="33" t="str">
        <f t="shared" si="172"/>
        <v/>
      </c>
      <c r="AC485" s="33" t="str">
        <f t="shared" si="173"/>
        <v/>
      </c>
      <c r="AD485" s="15" t="str">
        <f t="shared" si="174"/>
        <v xml:space="preserve"> </v>
      </c>
      <c r="AE485" s="5"/>
      <c r="AF485" s="27" t="b">
        <f>IF($G485&lt;&gt;0,SUMIF(куб!$G:$G,$G485,куб!R:R),IF($E485&lt;&gt;0,SUMIF(куб!$E:$E,$E485,куб!R:R),IF($D485&lt;&gt;0,SUMIF(куб!$D:$D,$D485,куб!R:R),IF($C485&lt;&gt;0,SUMIF(куб!$C:$C,$C485,куб!R:R),IF($B485&lt;&gt;0,SUMIF(куб!$B:$B,$B485,куб!R:R))))))</f>
        <v>0</v>
      </c>
      <c r="AG485" s="27" t="b">
        <f>IF($G485&lt;&gt;0,SUMIF(куб!$G:$G,$G485,куб!S:S),IF($E485&lt;&gt;0,SUMIF(куб!$E:$E,$E485,куб!S:S),IF($D485&lt;&gt;0,SUMIF(куб!$D:$D,$D485,куб!S:S),IF($C485&lt;&gt;0,SUMIF(куб!$C:$C,$C485,куб!S:S),IF($B485&lt;&gt;0,SUMIF(куб!$B:$B,$B485,куб!S:S))))))</f>
        <v>0</v>
      </c>
      <c r="AH485" s="16" t="str">
        <f t="shared" si="175"/>
        <v>-</v>
      </c>
      <c r="AI485" s="8"/>
      <c r="AJ485" s="27" t="b">
        <f>IF($G485&lt;&gt;0,SUMIF(куб!$G:$G,$G485,куб!T:T),IF($E485&lt;&gt;0,SUMIF(куб!$E:$E,$E485,куб!T:T),IF($D485&lt;&gt;0,SUMIF(куб!$D:$D,$D485,куб!T:T),IF($C485&lt;&gt;0,SUMIF(куб!$C:$C,$C485,куб!T:T),IF($B485&lt;&gt;0,SUMIF(куб!$B:$B,$B485,куб!T:T))))))</f>
        <v>0</v>
      </c>
      <c r="AK485" s="27" t="b">
        <f>IF($G485&lt;&gt;0,SUMIF(куб!$G:$G,$G485,куб!U:U),IF($E485&lt;&gt;0,SUMIF(куб!$E:$E,$E485,куб!U:U),IF($D485&lt;&gt;0,SUMIF(куб!$D:$D,$D485,куб!U:U),IF($C485&lt;&gt;0,SUMIF(куб!$C:$C,$C485,куб!U:U),IF($B485&lt;&gt;0,SUMIF(куб!$B:$B,$B485,куб!U:U))))))</f>
        <v>0</v>
      </c>
      <c r="AL485" s="16" t="str">
        <f t="shared" si="176"/>
        <v>-</v>
      </c>
      <c r="AM485" s="8"/>
      <c r="AN485" s="17" t="str">
        <f t="shared" si="177"/>
        <v xml:space="preserve"> </v>
      </c>
      <c r="AO485" s="17" t="str">
        <f t="shared" si="178"/>
        <v xml:space="preserve"> </v>
      </c>
      <c r="AP485" s="16" t="str">
        <f t="shared" si="179"/>
        <v>-</v>
      </c>
      <c r="AQ485" s="8"/>
      <c r="AR485" s="17" t="str">
        <f t="shared" si="180"/>
        <v>-</v>
      </c>
      <c r="AS485" s="17" t="str">
        <f t="shared" si="181"/>
        <v>-</v>
      </c>
      <c r="AT485" s="13" t="str">
        <f t="shared" si="182"/>
        <v>-</v>
      </c>
      <c r="AU485" s="8"/>
    </row>
    <row r="486" spans="1:47" x14ac:dyDescent="0.25">
      <c r="A486" s="31"/>
      <c r="B486" s="31"/>
      <c r="C486"/>
      <c r="D486" s="31"/>
      <c r="E486"/>
      <c r="F486" s="31"/>
      <c r="G486"/>
      <c r="H486" s="27">
        <f>IF($G486&lt;&gt;0,SUMIF(куб!$G:$G,$G486,куб!H:H),IF($E486&lt;&gt;0,SUMIF(куб!$E:$E,$E486,куб!H:H),IF($D486&lt;&gt;0,SUMIF(куб!$D:$D,$D486,куб!H:H),IF($C486&lt;&gt;0,SUMIF(куб!$C:$C,$C486,куб!H:H),IF($B486&lt;&gt;0,SUMIF(куб!$B:$B,$B486,куб!H:H),IF($G486&lt;&gt;0,SUMIF(куб!$A:$A,$G486,куб!H:H),SUMIF(куб!$A:$A,$G486,куб!H:H)))))))</f>
        <v>0</v>
      </c>
      <c r="I486" s="27">
        <f>IF($G486&lt;&gt;0,SUMIF(куб!$G:$G,$G486,куб!I:I),IF($E486&lt;&gt;0,SUMIF(куб!$E:$E,$E486,куб!I:I),IF($D486&lt;&gt;0,SUMIF(куб!$D:$D,$D486,куб!I:I),IF($C486&lt;&gt;0,SUMIF(куб!$C:$C,$C486,куб!I:I),IF($B486&lt;&gt;0,SUMIF(куб!$B:$B,$B486,куб!I:I),IF($G486&lt;&gt;0,SUMIF(куб!$A:$A,$G486,куб!I:I),SUMIF(куб!$A:$A,$G486,куб!I:I)))))))</f>
        <v>0</v>
      </c>
      <c r="J486" s="19" t="str">
        <f t="shared" si="165"/>
        <v>-</v>
      </c>
      <c r="K486" s="8"/>
      <c r="L486" s="17">
        <f t="shared" si="166"/>
        <v>0</v>
      </c>
      <c r="M486" s="17">
        <f t="shared" si="167"/>
        <v>0</v>
      </c>
      <c r="N486" s="12">
        <f t="shared" si="168"/>
        <v>0</v>
      </c>
      <c r="O486" s="5"/>
      <c r="P486" s="27" t="b">
        <f>IF($G486&lt;&gt;0,SUMIF(куб!$G:$G,$G486,куб!J:J),IF($E486&lt;&gt;0,SUMIF(куб!$E:$E,$E486,куб!J:J),IF($D486&lt;&gt;0,SUMIF(куб!$D:$D,$D486,куб!J:J),IF($C486&lt;&gt;0,SUMIF(куб!$C:$C,$C486,куб!J:J),IF($B486&lt;&gt;0,SUMIF(куб!$B:$B,$B486,куб!J:J))))))</f>
        <v>0</v>
      </c>
      <c r="Q486" s="27" t="b">
        <f>IF($G486&lt;&gt;0,SUMIF(куб!$G:$G,$G486,куб!K:K),IF($E486&lt;&gt;0,SUMIF(куб!$E:$E,$E486,куб!K:K),IF($D486&lt;&gt;0,SUMIF(куб!$D:$D,$D486,куб!K:K),IF($C486&lt;&gt;0,SUMIF(куб!$C:$C,$C486,куб!K:K),IF($B486&lt;&gt;0,SUMIF(куб!$B:$B,$B486,куб!K:K))))))</f>
        <v>0</v>
      </c>
      <c r="R486" s="13" t="str">
        <f t="shared" si="169"/>
        <v>-</v>
      </c>
      <c r="S486" s="5"/>
      <c r="T486" s="27" t="b">
        <f>IF($G486&lt;&gt;0,SUMIF(куб!$G:$G,$G486,куб!L:L),IF($E486&lt;&gt;0,SUMIF(куб!$E:$E,$E486,куб!L:L),IF($D486&lt;&gt;0,SUMIF(куб!$D:$D,$D486,куб!L:L),IF($C486&lt;&gt;0,SUMIF(куб!$C:$C,$C486,куб!L:L),IF($B486&lt;&gt;0,SUMIF(куб!$B:$B,$B486,куб!L:L))))))</f>
        <v>0</v>
      </c>
      <c r="U486" s="27" t="b">
        <f>IF($G486&lt;&gt;0,SUMIF(куб!$G:$G,$G486,куб!M:M),IF($E486&lt;&gt;0,SUMIF(куб!$E:$E,$E486,куб!M:M),IF($D486&lt;&gt;0,SUMIF(куб!$D:$D,$D486,куб!M:M),IF($C486&lt;&gt;0,SUMIF(куб!$C:$C,$C486,куб!M:M),IF($B486&lt;&gt;0,SUMIF(куб!$B:$B,$B486,куб!M:M))))))</f>
        <v>0</v>
      </c>
      <c r="V486" s="13" t="str">
        <f t="shared" si="170"/>
        <v>-</v>
      </c>
      <c r="W486" s="5"/>
      <c r="X486" s="27" t="b">
        <f>IF($G486&lt;&gt;0,SUMIF(куб!$G:$G,$G486,куб!N:N),IF($E486&lt;&gt;0,SUMIF(куб!$E:$E,$E486,куб!N:N),IF($D486&lt;&gt;0,SUMIF(куб!$D:$D,$D486,куб!N:N),IF($C486&lt;&gt;0,SUMIF(куб!$C:$C,$C486,куб!N:N),IF($B486&lt;&gt;0,SUMIF(куб!$B:$B,$B486,куб!N:N))))))</f>
        <v>0</v>
      </c>
      <c r="Y486" s="27" t="b">
        <f>IF($G486&lt;&gt;0,SUMIF(куб!$G:$G,$G486,куб!O:O),IF($E486&lt;&gt;0,SUMIF(куб!$E:$E,$E486,куб!O:O),IF($D486&lt;&gt;0,SUMIF(куб!$D:$D,$D486,куб!O:O),IF($C486&lt;&gt;0,SUMIF(куб!$C:$C,$C486,куб!O:O),IF($B486&lt;&gt;0,SUMIF(куб!$B:$B,$B486,куб!O:O))))))</f>
        <v>0</v>
      </c>
      <c r="Z486" s="13" t="str">
        <f t="shared" si="171"/>
        <v>-</v>
      </c>
      <c r="AA486" s="5"/>
      <c r="AB486" s="33" t="str">
        <f t="shared" si="172"/>
        <v/>
      </c>
      <c r="AC486" s="33" t="str">
        <f t="shared" si="173"/>
        <v/>
      </c>
      <c r="AD486" s="15" t="str">
        <f t="shared" si="174"/>
        <v xml:space="preserve"> </v>
      </c>
      <c r="AE486" s="5"/>
      <c r="AF486" s="27" t="b">
        <f>IF($G486&lt;&gt;0,SUMIF(куб!$G:$G,$G486,куб!R:R),IF($E486&lt;&gt;0,SUMIF(куб!$E:$E,$E486,куб!R:R),IF($D486&lt;&gt;0,SUMIF(куб!$D:$D,$D486,куб!R:R),IF($C486&lt;&gt;0,SUMIF(куб!$C:$C,$C486,куб!R:R),IF($B486&lt;&gt;0,SUMIF(куб!$B:$B,$B486,куб!R:R))))))</f>
        <v>0</v>
      </c>
      <c r="AG486" s="27" t="b">
        <f>IF($G486&lt;&gt;0,SUMIF(куб!$G:$G,$G486,куб!S:S),IF($E486&lt;&gt;0,SUMIF(куб!$E:$E,$E486,куб!S:S),IF($D486&lt;&gt;0,SUMIF(куб!$D:$D,$D486,куб!S:S),IF($C486&lt;&gt;0,SUMIF(куб!$C:$C,$C486,куб!S:S),IF($B486&lt;&gt;0,SUMIF(куб!$B:$B,$B486,куб!S:S))))))</f>
        <v>0</v>
      </c>
      <c r="AH486" s="16" t="str">
        <f t="shared" si="175"/>
        <v>-</v>
      </c>
      <c r="AI486" s="8"/>
      <c r="AJ486" s="27" t="b">
        <f>IF($G486&lt;&gt;0,SUMIF(куб!$G:$G,$G486,куб!T:T),IF($E486&lt;&gt;0,SUMIF(куб!$E:$E,$E486,куб!T:T),IF($D486&lt;&gt;0,SUMIF(куб!$D:$D,$D486,куб!T:T),IF($C486&lt;&gt;0,SUMIF(куб!$C:$C,$C486,куб!T:T),IF($B486&lt;&gt;0,SUMIF(куб!$B:$B,$B486,куб!T:T))))))</f>
        <v>0</v>
      </c>
      <c r="AK486" s="27" t="b">
        <f>IF($G486&lt;&gt;0,SUMIF(куб!$G:$G,$G486,куб!U:U),IF($E486&lt;&gt;0,SUMIF(куб!$E:$E,$E486,куб!U:U),IF($D486&lt;&gt;0,SUMIF(куб!$D:$D,$D486,куб!U:U),IF($C486&lt;&gt;0,SUMIF(куб!$C:$C,$C486,куб!U:U),IF($B486&lt;&gt;0,SUMIF(куб!$B:$B,$B486,куб!U:U))))))</f>
        <v>0</v>
      </c>
      <c r="AL486" s="16" t="str">
        <f t="shared" si="176"/>
        <v>-</v>
      </c>
      <c r="AM486" s="8"/>
      <c r="AN486" s="17" t="str">
        <f t="shared" si="177"/>
        <v xml:space="preserve"> </v>
      </c>
      <c r="AO486" s="17" t="str">
        <f t="shared" si="178"/>
        <v xml:space="preserve"> </v>
      </c>
      <c r="AP486" s="16" t="str">
        <f t="shared" si="179"/>
        <v>-</v>
      </c>
      <c r="AQ486" s="8"/>
      <c r="AR486" s="17" t="str">
        <f t="shared" si="180"/>
        <v>-</v>
      </c>
      <c r="AS486" s="17" t="str">
        <f t="shared" si="181"/>
        <v>-</v>
      </c>
      <c r="AT486" s="13" t="str">
        <f t="shared" si="182"/>
        <v>-</v>
      </c>
      <c r="AU486" s="8"/>
    </row>
    <row r="487" spans="1:47" x14ac:dyDescent="0.25">
      <c r="A487" s="31"/>
      <c r="B487" s="31"/>
      <c r="C487"/>
      <c r="D487" s="31"/>
      <c r="E487"/>
      <c r="F487" s="31"/>
      <c r="G487"/>
      <c r="H487" s="27">
        <f>IF($G487&lt;&gt;0,SUMIF(куб!$G:$G,$G487,куб!H:H),IF($E487&lt;&gt;0,SUMIF(куб!$E:$E,$E487,куб!H:H),IF($D487&lt;&gt;0,SUMIF(куб!$D:$D,$D487,куб!H:H),IF($C487&lt;&gt;0,SUMIF(куб!$C:$C,$C487,куб!H:H),IF($B487&lt;&gt;0,SUMIF(куб!$B:$B,$B487,куб!H:H),IF($G487&lt;&gt;0,SUMIF(куб!$A:$A,$G487,куб!H:H),SUMIF(куб!$A:$A,$G487,куб!H:H)))))))</f>
        <v>0</v>
      </c>
      <c r="I487" s="27">
        <f>IF($G487&lt;&gt;0,SUMIF(куб!$G:$G,$G487,куб!I:I),IF($E487&lt;&gt;0,SUMIF(куб!$E:$E,$E487,куб!I:I),IF($D487&lt;&gt;0,SUMIF(куб!$D:$D,$D487,куб!I:I),IF($C487&lt;&gt;0,SUMIF(куб!$C:$C,$C487,куб!I:I),IF($B487&lt;&gt;0,SUMIF(куб!$B:$B,$B487,куб!I:I),IF($G487&lt;&gt;0,SUMIF(куб!$A:$A,$G487,куб!I:I),SUMIF(куб!$A:$A,$G487,куб!I:I)))))))</f>
        <v>0</v>
      </c>
      <c r="J487" s="19" t="str">
        <f t="shared" si="165"/>
        <v>-</v>
      </c>
      <c r="K487" s="8"/>
      <c r="L487" s="17">
        <f t="shared" si="166"/>
        <v>0</v>
      </c>
      <c r="M487" s="17">
        <f t="shared" si="167"/>
        <v>0</v>
      </c>
      <c r="N487" s="12">
        <f t="shared" si="168"/>
        <v>0</v>
      </c>
      <c r="O487" s="5"/>
      <c r="P487" s="27" t="b">
        <f>IF($G487&lt;&gt;0,SUMIF(куб!$G:$G,$G487,куб!J:J),IF($E487&lt;&gt;0,SUMIF(куб!$E:$E,$E487,куб!J:J),IF($D487&lt;&gt;0,SUMIF(куб!$D:$D,$D487,куб!J:J),IF($C487&lt;&gt;0,SUMIF(куб!$C:$C,$C487,куб!J:J),IF($B487&lt;&gt;0,SUMIF(куб!$B:$B,$B487,куб!J:J))))))</f>
        <v>0</v>
      </c>
      <c r="Q487" s="27" t="b">
        <f>IF($G487&lt;&gt;0,SUMIF(куб!$G:$G,$G487,куб!K:K),IF($E487&lt;&gt;0,SUMIF(куб!$E:$E,$E487,куб!K:K),IF($D487&lt;&gt;0,SUMIF(куб!$D:$D,$D487,куб!K:K),IF($C487&lt;&gt;0,SUMIF(куб!$C:$C,$C487,куб!K:K),IF($B487&lt;&gt;0,SUMIF(куб!$B:$B,$B487,куб!K:K))))))</f>
        <v>0</v>
      </c>
      <c r="R487" s="13" t="str">
        <f t="shared" si="169"/>
        <v>-</v>
      </c>
      <c r="S487" s="5"/>
      <c r="T487" s="27" t="b">
        <f>IF($G487&lt;&gt;0,SUMIF(куб!$G:$G,$G487,куб!L:L),IF($E487&lt;&gt;0,SUMIF(куб!$E:$E,$E487,куб!L:L),IF($D487&lt;&gt;0,SUMIF(куб!$D:$D,$D487,куб!L:L),IF($C487&lt;&gt;0,SUMIF(куб!$C:$C,$C487,куб!L:L),IF($B487&lt;&gt;0,SUMIF(куб!$B:$B,$B487,куб!L:L))))))</f>
        <v>0</v>
      </c>
      <c r="U487" s="27" t="b">
        <f>IF($G487&lt;&gt;0,SUMIF(куб!$G:$G,$G487,куб!M:M),IF($E487&lt;&gt;0,SUMIF(куб!$E:$E,$E487,куб!M:M),IF($D487&lt;&gt;0,SUMIF(куб!$D:$D,$D487,куб!M:M),IF($C487&lt;&gt;0,SUMIF(куб!$C:$C,$C487,куб!M:M),IF($B487&lt;&gt;0,SUMIF(куб!$B:$B,$B487,куб!M:M))))))</f>
        <v>0</v>
      </c>
      <c r="V487" s="13" t="str">
        <f t="shared" si="170"/>
        <v>-</v>
      </c>
      <c r="W487" s="5"/>
      <c r="X487" s="27" t="b">
        <f>IF($G487&lt;&gt;0,SUMIF(куб!$G:$G,$G487,куб!N:N),IF($E487&lt;&gt;0,SUMIF(куб!$E:$E,$E487,куб!N:N),IF($D487&lt;&gt;0,SUMIF(куб!$D:$D,$D487,куб!N:N),IF($C487&lt;&gt;0,SUMIF(куб!$C:$C,$C487,куб!N:N),IF($B487&lt;&gt;0,SUMIF(куб!$B:$B,$B487,куб!N:N))))))</f>
        <v>0</v>
      </c>
      <c r="Y487" s="27" t="b">
        <f>IF($G487&lt;&gt;0,SUMIF(куб!$G:$G,$G487,куб!O:O),IF($E487&lt;&gt;0,SUMIF(куб!$E:$E,$E487,куб!O:O),IF($D487&lt;&gt;0,SUMIF(куб!$D:$D,$D487,куб!O:O),IF($C487&lt;&gt;0,SUMIF(куб!$C:$C,$C487,куб!O:O),IF($B487&lt;&gt;0,SUMIF(куб!$B:$B,$B487,куб!O:O))))))</f>
        <v>0</v>
      </c>
      <c r="Z487" s="13" t="str">
        <f t="shared" si="171"/>
        <v>-</v>
      </c>
      <c r="AA487" s="5"/>
      <c r="AB487" s="33" t="str">
        <f t="shared" si="172"/>
        <v/>
      </c>
      <c r="AC487" s="33" t="str">
        <f t="shared" si="173"/>
        <v/>
      </c>
      <c r="AD487" s="15" t="str">
        <f t="shared" si="174"/>
        <v xml:space="preserve"> </v>
      </c>
      <c r="AE487" s="5"/>
      <c r="AF487" s="27" t="b">
        <f>IF($G487&lt;&gt;0,SUMIF(куб!$G:$G,$G487,куб!R:R),IF($E487&lt;&gt;0,SUMIF(куб!$E:$E,$E487,куб!R:R),IF($D487&lt;&gt;0,SUMIF(куб!$D:$D,$D487,куб!R:R),IF($C487&lt;&gt;0,SUMIF(куб!$C:$C,$C487,куб!R:R),IF($B487&lt;&gt;0,SUMIF(куб!$B:$B,$B487,куб!R:R))))))</f>
        <v>0</v>
      </c>
      <c r="AG487" s="27" t="b">
        <f>IF($G487&lt;&gt;0,SUMIF(куб!$G:$G,$G487,куб!S:S),IF($E487&lt;&gt;0,SUMIF(куб!$E:$E,$E487,куб!S:S),IF($D487&lt;&gt;0,SUMIF(куб!$D:$D,$D487,куб!S:S),IF($C487&lt;&gt;0,SUMIF(куб!$C:$C,$C487,куб!S:S),IF($B487&lt;&gt;0,SUMIF(куб!$B:$B,$B487,куб!S:S))))))</f>
        <v>0</v>
      </c>
      <c r="AH487" s="16" t="str">
        <f t="shared" si="175"/>
        <v>-</v>
      </c>
      <c r="AI487" s="8"/>
      <c r="AJ487" s="27" t="b">
        <f>IF($G487&lt;&gt;0,SUMIF(куб!$G:$G,$G487,куб!T:T),IF($E487&lt;&gt;0,SUMIF(куб!$E:$E,$E487,куб!T:T),IF($D487&lt;&gt;0,SUMIF(куб!$D:$D,$D487,куб!T:T),IF($C487&lt;&gt;0,SUMIF(куб!$C:$C,$C487,куб!T:T),IF($B487&lt;&gt;0,SUMIF(куб!$B:$B,$B487,куб!T:T))))))</f>
        <v>0</v>
      </c>
      <c r="AK487" s="27" t="b">
        <f>IF($G487&lt;&gt;0,SUMIF(куб!$G:$G,$G487,куб!U:U),IF($E487&lt;&gt;0,SUMIF(куб!$E:$E,$E487,куб!U:U),IF($D487&lt;&gt;0,SUMIF(куб!$D:$D,$D487,куб!U:U),IF($C487&lt;&gt;0,SUMIF(куб!$C:$C,$C487,куб!U:U),IF($B487&lt;&gt;0,SUMIF(куб!$B:$B,$B487,куб!U:U))))))</f>
        <v>0</v>
      </c>
      <c r="AL487" s="16" t="str">
        <f t="shared" si="176"/>
        <v>-</v>
      </c>
      <c r="AM487" s="8"/>
      <c r="AN487" s="17" t="str">
        <f t="shared" si="177"/>
        <v xml:space="preserve"> </v>
      </c>
      <c r="AO487" s="17" t="str">
        <f t="shared" si="178"/>
        <v xml:space="preserve"> </v>
      </c>
      <c r="AP487" s="16" t="str">
        <f t="shared" si="179"/>
        <v>-</v>
      </c>
      <c r="AQ487" s="8"/>
      <c r="AR487" s="17" t="str">
        <f t="shared" si="180"/>
        <v>-</v>
      </c>
      <c r="AS487" s="17" t="str">
        <f t="shared" si="181"/>
        <v>-</v>
      </c>
      <c r="AT487" s="13" t="str">
        <f t="shared" si="182"/>
        <v>-</v>
      </c>
      <c r="AU487" s="8"/>
    </row>
    <row r="488" spans="1:47" x14ac:dyDescent="0.25">
      <c r="A488" s="31"/>
      <c r="B488" s="31"/>
      <c r="C488"/>
      <c r="D488" s="31"/>
      <c r="E488"/>
      <c r="F488" s="31"/>
      <c r="G488"/>
      <c r="H488" s="27">
        <f>IF($G488&lt;&gt;0,SUMIF(куб!$G:$G,$G488,куб!H:H),IF($E488&lt;&gt;0,SUMIF(куб!$E:$E,$E488,куб!H:H),IF($D488&lt;&gt;0,SUMIF(куб!$D:$D,$D488,куб!H:H),IF($C488&lt;&gt;0,SUMIF(куб!$C:$C,$C488,куб!H:H),IF($B488&lt;&gt;0,SUMIF(куб!$B:$B,$B488,куб!H:H),IF($G488&lt;&gt;0,SUMIF(куб!$A:$A,$G488,куб!H:H),SUMIF(куб!$A:$A,$G488,куб!H:H)))))))</f>
        <v>0</v>
      </c>
      <c r="I488" s="27">
        <f>IF($G488&lt;&gt;0,SUMIF(куб!$G:$G,$G488,куб!I:I),IF($E488&lt;&gt;0,SUMIF(куб!$E:$E,$E488,куб!I:I),IF($D488&lt;&gt;0,SUMIF(куб!$D:$D,$D488,куб!I:I),IF($C488&lt;&gt;0,SUMIF(куб!$C:$C,$C488,куб!I:I),IF($B488&lt;&gt;0,SUMIF(куб!$B:$B,$B488,куб!I:I),IF($G488&lt;&gt;0,SUMIF(куб!$A:$A,$G488,куб!I:I),SUMIF(куб!$A:$A,$G488,куб!I:I)))))))</f>
        <v>0</v>
      </c>
      <c r="J488" s="19" t="str">
        <f t="shared" si="165"/>
        <v>-</v>
      </c>
      <c r="K488" s="8"/>
      <c r="L488" s="17">
        <f t="shared" si="166"/>
        <v>0</v>
      </c>
      <c r="M488" s="17">
        <f t="shared" si="167"/>
        <v>0</v>
      </c>
      <c r="N488" s="12">
        <f t="shared" si="168"/>
        <v>0</v>
      </c>
      <c r="O488" s="5"/>
      <c r="P488" s="27" t="b">
        <f>IF($G488&lt;&gt;0,SUMIF(куб!$G:$G,$G488,куб!J:J),IF($E488&lt;&gt;0,SUMIF(куб!$E:$E,$E488,куб!J:J),IF($D488&lt;&gt;0,SUMIF(куб!$D:$D,$D488,куб!J:J),IF($C488&lt;&gt;0,SUMIF(куб!$C:$C,$C488,куб!J:J),IF($B488&lt;&gt;0,SUMIF(куб!$B:$B,$B488,куб!J:J))))))</f>
        <v>0</v>
      </c>
      <c r="Q488" s="27" t="b">
        <f>IF($G488&lt;&gt;0,SUMIF(куб!$G:$G,$G488,куб!K:K),IF($E488&lt;&gt;0,SUMIF(куб!$E:$E,$E488,куб!K:K),IF($D488&lt;&gt;0,SUMIF(куб!$D:$D,$D488,куб!K:K),IF($C488&lt;&gt;0,SUMIF(куб!$C:$C,$C488,куб!K:K),IF($B488&lt;&gt;0,SUMIF(куб!$B:$B,$B488,куб!K:K))))))</f>
        <v>0</v>
      </c>
      <c r="R488" s="13" t="str">
        <f t="shared" si="169"/>
        <v>-</v>
      </c>
      <c r="S488" s="5"/>
      <c r="T488" s="27" t="b">
        <f>IF($G488&lt;&gt;0,SUMIF(куб!$G:$G,$G488,куб!L:L),IF($E488&lt;&gt;0,SUMIF(куб!$E:$E,$E488,куб!L:L),IF($D488&lt;&gt;0,SUMIF(куб!$D:$D,$D488,куб!L:L),IF($C488&lt;&gt;0,SUMIF(куб!$C:$C,$C488,куб!L:L),IF($B488&lt;&gt;0,SUMIF(куб!$B:$B,$B488,куб!L:L))))))</f>
        <v>0</v>
      </c>
      <c r="U488" s="27" t="b">
        <f>IF($G488&lt;&gt;0,SUMIF(куб!$G:$G,$G488,куб!M:M),IF($E488&lt;&gt;0,SUMIF(куб!$E:$E,$E488,куб!M:M),IF($D488&lt;&gt;0,SUMIF(куб!$D:$D,$D488,куб!M:M),IF($C488&lt;&gt;0,SUMIF(куб!$C:$C,$C488,куб!M:M),IF($B488&lt;&gt;0,SUMIF(куб!$B:$B,$B488,куб!M:M))))))</f>
        <v>0</v>
      </c>
      <c r="V488" s="13" t="str">
        <f t="shared" si="170"/>
        <v>-</v>
      </c>
      <c r="W488" s="5"/>
      <c r="X488" s="27" t="b">
        <f>IF($G488&lt;&gt;0,SUMIF(куб!$G:$G,$G488,куб!N:N),IF($E488&lt;&gt;0,SUMIF(куб!$E:$E,$E488,куб!N:N),IF($D488&lt;&gt;0,SUMIF(куб!$D:$D,$D488,куб!N:N),IF($C488&lt;&gt;0,SUMIF(куб!$C:$C,$C488,куб!N:N),IF($B488&lt;&gt;0,SUMIF(куб!$B:$B,$B488,куб!N:N))))))</f>
        <v>0</v>
      </c>
      <c r="Y488" s="27" t="b">
        <f>IF($G488&lt;&gt;0,SUMIF(куб!$G:$G,$G488,куб!O:O),IF($E488&lt;&gt;0,SUMIF(куб!$E:$E,$E488,куб!O:O),IF($D488&lt;&gt;0,SUMIF(куб!$D:$D,$D488,куб!O:O),IF($C488&lt;&gt;0,SUMIF(куб!$C:$C,$C488,куб!O:O),IF($B488&lt;&gt;0,SUMIF(куб!$B:$B,$B488,куб!O:O))))))</f>
        <v>0</v>
      </c>
      <c r="Z488" s="13" t="str">
        <f t="shared" si="171"/>
        <v>-</v>
      </c>
      <c r="AA488" s="5"/>
      <c r="AB488" s="33" t="str">
        <f t="shared" si="172"/>
        <v/>
      </c>
      <c r="AC488" s="33" t="str">
        <f t="shared" si="173"/>
        <v/>
      </c>
      <c r="AD488" s="15" t="str">
        <f t="shared" si="174"/>
        <v xml:space="preserve"> </v>
      </c>
      <c r="AE488" s="5"/>
      <c r="AF488" s="27" t="b">
        <f>IF($G488&lt;&gt;0,SUMIF(куб!$G:$G,$G488,куб!R:R),IF($E488&lt;&gt;0,SUMIF(куб!$E:$E,$E488,куб!R:R),IF($D488&lt;&gt;0,SUMIF(куб!$D:$D,$D488,куб!R:R),IF($C488&lt;&gt;0,SUMIF(куб!$C:$C,$C488,куб!R:R),IF($B488&lt;&gt;0,SUMIF(куб!$B:$B,$B488,куб!R:R))))))</f>
        <v>0</v>
      </c>
      <c r="AG488" s="27" t="b">
        <f>IF($G488&lt;&gt;0,SUMIF(куб!$G:$G,$G488,куб!S:S),IF($E488&lt;&gt;0,SUMIF(куб!$E:$E,$E488,куб!S:S),IF($D488&lt;&gt;0,SUMIF(куб!$D:$D,$D488,куб!S:S),IF($C488&lt;&gt;0,SUMIF(куб!$C:$C,$C488,куб!S:S),IF($B488&lt;&gt;0,SUMIF(куб!$B:$B,$B488,куб!S:S))))))</f>
        <v>0</v>
      </c>
      <c r="AH488" s="16" t="str">
        <f t="shared" si="175"/>
        <v>-</v>
      </c>
      <c r="AI488" s="8"/>
      <c r="AJ488" s="27" t="b">
        <f>IF($G488&lt;&gt;0,SUMIF(куб!$G:$G,$G488,куб!T:T),IF($E488&lt;&gt;0,SUMIF(куб!$E:$E,$E488,куб!T:T),IF($D488&lt;&gt;0,SUMIF(куб!$D:$D,$D488,куб!T:T),IF($C488&lt;&gt;0,SUMIF(куб!$C:$C,$C488,куб!T:T),IF($B488&lt;&gt;0,SUMIF(куб!$B:$B,$B488,куб!T:T))))))</f>
        <v>0</v>
      </c>
      <c r="AK488" s="27" t="b">
        <f>IF($G488&lt;&gt;0,SUMIF(куб!$G:$G,$G488,куб!U:U),IF($E488&lt;&gt;0,SUMIF(куб!$E:$E,$E488,куб!U:U),IF($D488&lt;&gt;0,SUMIF(куб!$D:$D,$D488,куб!U:U),IF($C488&lt;&gt;0,SUMIF(куб!$C:$C,$C488,куб!U:U),IF($B488&lt;&gt;0,SUMIF(куб!$B:$B,$B488,куб!U:U))))))</f>
        <v>0</v>
      </c>
      <c r="AL488" s="16" t="str">
        <f t="shared" si="176"/>
        <v>-</v>
      </c>
      <c r="AM488" s="8"/>
      <c r="AN488" s="17" t="str">
        <f t="shared" si="177"/>
        <v xml:space="preserve"> </v>
      </c>
      <c r="AO488" s="17" t="str">
        <f t="shared" si="178"/>
        <v xml:space="preserve"> </v>
      </c>
      <c r="AP488" s="16" t="str">
        <f t="shared" si="179"/>
        <v>-</v>
      </c>
      <c r="AQ488" s="8"/>
      <c r="AR488" s="17" t="str">
        <f t="shared" si="180"/>
        <v>-</v>
      </c>
      <c r="AS488" s="17" t="str">
        <f t="shared" si="181"/>
        <v>-</v>
      </c>
      <c r="AT488" s="13" t="str">
        <f t="shared" si="182"/>
        <v>-</v>
      </c>
      <c r="AU488" s="8"/>
    </row>
    <row r="489" spans="1:47" x14ac:dyDescent="0.25">
      <c r="A489" s="31"/>
      <c r="B489" s="31"/>
      <c r="C489"/>
      <c r="D489" s="31"/>
      <c r="E489"/>
      <c r="F489" s="31"/>
      <c r="G489"/>
      <c r="H489" s="27">
        <f>IF($G489&lt;&gt;0,SUMIF(куб!$G:$G,$G489,куб!H:H),IF($E489&lt;&gt;0,SUMIF(куб!$E:$E,$E489,куб!H:H),IF($D489&lt;&gt;0,SUMIF(куб!$D:$D,$D489,куб!H:H),IF($C489&lt;&gt;0,SUMIF(куб!$C:$C,$C489,куб!H:H),IF($B489&lt;&gt;0,SUMIF(куб!$B:$B,$B489,куб!H:H),IF($G489&lt;&gt;0,SUMIF(куб!$A:$A,$G489,куб!H:H),SUMIF(куб!$A:$A,$G489,куб!H:H)))))))</f>
        <v>0</v>
      </c>
      <c r="I489" s="27">
        <f>IF($G489&lt;&gt;0,SUMIF(куб!$G:$G,$G489,куб!I:I),IF($E489&lt;&gt;0,SUMIF(куб!$E:$E,$E489,куб!I:I),IF($D489&lt;&gt;0,SUMIF(куб!$D:$D,$D489,куб!I:I),IF($C489&lt;&gt;0,SUMIF(куб!$C:$C,$C489,куб!I:I),IF($B489&lt;&gt;0,SUMIF(куб!$B:$B,$B489,куб!I:I),IF($G489&lt;&gt;0,SUMIF(куб!$A:$A,$G489,куб!I:I),SUMIF(куб!$A:$A,$G489,куб!I:I)))))))</f>
        <v>0</v>
      </c>
      <c r="J489" s="19" t="str">
        <f t="shared" si="165"/>
        <v>-</v>
      </c>
      <c r="K489" s="8"/>
      <c r="L489" s="17">
        <f t="shared" si="166"/>
        <v>0</v>
      </c>
      <c r="M489" s="17">
        <f t="shared" si="167"/>
        <v>0</v>
      </c>
      <c r="N489" s="12">
        <f t="shared" si="168"/>
        <v>0</v>
      </c>
      <c r="O489" s="5"/>
      <c r="P489" s="27" t="b">
        <f>IF($G489&lt;&gt;0,SUMIF(куб!$G:$G,$G489,куб!J:J),IF($E489&lt;&gt;0,SUMIF(куб!$E:$E,$E489,куб!J:J),IF($D489&lt;&gt;0,SUMIF(куб!$D:$D,$D489,куб!J:J),IF($C489&lt;&gt;0,SUMIF(куб!$C:$C,$C489,куб!J:J),IF($B489&lt;&gt;0,SUMIF(куб!$B:$B,$B489,куб!J:J))))))</f>
        <v>0</v>
      </c>
      <c r="Q489" s="27" t="b">
        <f>IF($G489&lt;&gt;0,SUMIF(куб!$G:$G,$G489,куб!K:K),IF($E489&lt;&gt;0,SUMIF(куб!$E:$E,$E489,куб!K:K),IF($D489&lt;&gt;0,SUMIF(куб!$D:$D,$D489,куб!K:K),IF($C489&lt;&gt;0,SUMIF(куб!$C:$C,$C489,куб!K:K),IF($B489&lt;&gt;0,SUMIF(куб!$B:$B,$B489,куб!K:K))))))</f>
        <v>0</v>
      </c>
      <c r="R489" s="13" t="str">
        <f t="shared" si="169"/>
        <v>-</v>
      </c>
      <c r="S489" s="5"/>
      <c r="T489" s="27" t="b">
        <f>IF($G489&lt;&gt;0,SUMIF(куб!$G:$G,$G489,куб!L:L),IF($E489&lt;&gt;0,SUMIF(куб!$E:$E,$E489,куб!L:L),IF($D489&lt;&gt;0,SUMIF(куб!$D:$D,$D489,куб!L:L),IF($C489&lt;&gt;0,SUMIF(куб!$C:$C,$C489,куб!L:L),IF($B489&lt;&gt;0,SUMIF(куб!$B:$B,$B489,куб!L:L))))))</f>
        <v>0</v>
      </c>
      <c r="U489" s="27" t="b">
        <f>IF($G489&lt;&gt;0,SUMIF(куб!$G:$G,$G489,куб!M:M),IF($E489&lt;&gt;0,SUMIF(куб!$E:$E,$E489,куб!M:M),IF($D489&lt;&gt;0,SUMIF(куб!$D:$D,$D489,куб!M:M),IF($C489&lt;&gt;0,SUMIF(куб!$C:$C,$C489,куб!M:M),IF($B489&lt;&gt;0,SUMIF(куб!$B:$B,$B489,куб!M:M))))))</f>
        <v>0</v>
      </c>
      <c r="V489" s="13" t="str">
        <f t="shared" si="170"/>
        <v>-</v>
      </c>
      <c r="W489" s="5"/>
      <c r="X489" s="27" t="b">
        <f>IF($G489&lt;&gt;0,SUMIF(куб!$G:$G,$G489,куб!N:N),IF($E489&lt;&gt;0,SUMIF(куб!$E:$E,$E489,куб!N:N),IF($D489&lt;&gt;0,SUMIF(куб!$D:$D,$D489,куб!N:N),IF($C489&lt;&gt;0,SUMIF(куб!$C:$C,$C489,куб!N:N),IF($B489&lt;&gt;0,SUMIF(куб!$B:$B,$B489,куб!N:N))))))</f>
        <v>0</v>
      </c>
      <c r="Y489" s="27" t="b">
        <f>IF($G489&lt;&gt;0,SUMIF(куб!$G:$G,$G489,куб!O:O),IF($E489&lt;&gt;0,SUMIF(куб!$E:$E,$E489,куб!O:O),IF($D489&lt;&gt;0,SUMIF(куб!$D:$D,$D489,куб!O:O),IF($C489&lt;&gt;0,SUMIF(куб!$C:$C,$C489,куб!O:O),IF($B489&lt;&gt;0,SUMIF(куб!$B:$B,$B489,куб!O:O))))))</f>
        <v>0</v>
      </c>
      <c r="Z489" s="13" t="str">
        <f t="shared" si="171"/>
        <v>-</v>
      </c>
      <c r="AA489" s="5"/>
      <c r="AB489" s="33" t="str">
        <f t="shared" si="172"/>
        <v/>
      </c>
      <c r="AC489" s="33" t="str">
        <f t="shared" si="173"/>
        <v/>
      </c>
      <c r="AD489" s="15" t="str">
        <f t="shared" si="174"/>
        <v xml:space="preserve"> </v>
      </c>
      <c r="AE489" s="5"/>
      <c r="AF489" s="27" t="b">
        <f>IF($G489&lt;&gt;0,SUMIF(куб!$G:$G,$G489,куб!R:R),IF($E489&lt;&gt;0,SUMIF(куб!$E:$E,$E489,куб!R:R),IF($D489&lt;&gt;0,SUMIF(куб!$D:$D,$D489,куб!R:R),IF($C489&lt;&gt;0,SUMIF(куб!$C:$C,$C489,куб!R:R),IF($B489&lt;&gt;0,SUMIF(куб!$B:$B,$B489,куб!R:R))))))</f>
        <v>0</v>
      </c>
      <c r="AG489" s="27" t="b">
        <f>IF($G489&lt;&gt;0,SUMIF(куб!$G:$G,$G489,куб!S:S),IF($E489&lt;&gt;0,SUMIF(куб!$E:$E,$E489,куб!S:S),IF($D489&lt;&gt;0,SUMIF(куб!$D:$D,$D489,куб!S:S),IF($C489&lt;&gt;0,SUMIF(куб!$C:$C,$C489,куб!S:S),IF($B489&lt;&gt;0,SUMIF(куб!$B:$B,$B489,куб!S:S))))))</f>
        <v>0</v>
      </c>
      <c r="AH489" s="16" t="str">
        <f t="shared" si="175"/>
        <v>-</v>
      </c>
      <c r="AI489" s="8"/>
      <c r="AJ489" s="27" t="b">
        <f>IF($G489&lt;&gt;0,SUMIF(куб!$G:$G,$G489,куб!T:T),IF($E489&lt;&gt;0,SUMIF(куб!$E:$E,$E489,куб!T:T),IF($D489&lt;&gt;0,SUMIF(куб!$D:$D,$D489,куб!T:T),IF($C489&lt;&gt;0,SUMIF(куб!$C:$C,$C489,куб!T:T),IF($B489&lt;&gt;0,SUMIF(куб!$B:$B,$B489,куб!T:T))))))</f>
        <v>0</v>
      </c>
      <c r="AK489" s="27" t="b">
        <f>IF($G489&lt;&gt;0,SUMIF(куб!$G:$G,$G489,куб!U:U),IF($E489&lt;&gt;0,SUMIF(куб!$E:$E,$E489,куб!U:U),IF($D489&lt;&gt;0,SUMIF(куб!$D:$D,$D489,куб!U:U),IF($C489&lt;&gt;0,SUMIF(куб!$C:$C,$C489,куб!U:U),IF($B489&lt;&gt;0,SUMIF(куб!$B:$B,$B489,куб!U:U))))))</f>
        <v>0</v>
      </c>
      <c r="AL489" s="16" t="str">
        <f t="shared" si="176"/>
        <v>-</v>
      </c>
      <c r="AM489" s="8"/>
      <c r="AN489" s="17" t="str">
        <f t="shared" si="177"/>
        <v xml:space="preserve"> </v>
      </c>
      <c r="AO489" s="17" t="str">
        <f t="shared" si="178"/>
        <v xml:space="preserve"> </v>
      </c>
      <c r="AP489" s="16" t="str">
        <f t="shared" si="179"/>
        <v>-</v>
      </c>
      <c r="AQ489" s="8"/>
      <c r="AR489" s="17" t="str">
        <f t="shared" si="180"/>
        <v>-</v>
      </c>
      <c r="AS489" s="17" t="str">
        <f t="shared" si="181"/>
        <v>-</v>
      </c>
      <c r="AT489" s="13" t="str">
        <f t="shared" si="182"/>
        <v>-</v>
      </c>
      <c r="AU489" s="8"/>
    </row>
    <row r="490" spans="1:47" x14ac:dyDescent="0.25">
      <c r="A490" s="31"/>
      <c r="B490" s="31"/>
      <c r="C490"/>
      <c r="D490" s="31"/>
      <c r="E490"/>
      <c r="F490" s="31"/>
      <c r="G490"/>
      <c r="H490" s="27">
        <f>IF($G490&lt;&gt;0,SUMIF(куб!$G:$G,$G490,куб!H:H),IF($E490&lt;&gt;0,SUMIF(куб!$E:$E,$E490,куб!H:H),IF($D490&lt;&gt;0,SUMIF(куб!$D:$D,$D490,куб!H:H),IF($C490&lt;&gt;0,SUMIF(куб!$C:$C,$C490,куб!H:H),IF($B490&lt;&gt;0,SUMIF(куб!$B:$B,$B490,куб!H:H),IF($G490&lt;&gt;0,SUMIF(куб!$A:$A,$G490,куб!H:H),SUMIF(куб!$A:$A,$G490,куб!H:H)))))))</f>
        <v>0</v>
      </c>
      <c r="I490" s="27">
        <f>IF($G490&lt;&gt;0,SUMIF(куб!$G:$G,$G490,куб!I:I),IF($E490&lt;&gt;0,SUMIF(куб!$E:$E,$E490,куб!I:I),IF($D490&lt;&gt;0,SUMIF(куб!$D:$D,$D490,куб!I:I),IF($C490&lt;&gt;0,SUMIF(куб!$C:$C,$C490,куб!I:I),IF($B490&lt;&gt;0,SUMIF(куб!$B:$B,$B490,куб!I:I),IF($G490&lt;&gt;0,SUMIF(куб!$A:$A,$G490,куб!I:I),SUMIF(куб!$A:$A,$G490,куб!I:I)))))))</f>
        <v>0</v>
      </c>
      <c r="J490" s="19" t="str">
        <f t="shared" si="165"/>
        <v>-</v>
      </c>
      <c r="K490" s="8"/>
      <c r="L490" s="17">
        <f t="shared" si="166"/>
        <v>0</v>
      </c>
      <c r="M490" s="17">
        <f t="shared" si="167"/>
        <v>0</v>
      </c>
      <c r="N490" s="12">
        <f t="shared" si="168"/>
        <v>0</v>
      </c>
      <c r="O490" s="5"/>
      <c r="P490" s="27" t="b">
        <f>IF($G490&lt;&gt;0,SUMIF(куб!$G:$G,$G490,куб!J:J),IF($E490&lt;&gt;0,SUMIF(куб!$E:$E,$E490,куб!J:J),IF($D490&lt;&gt;0,SUMIF(куб!$D:$D,$D490,куб!J:J),IF($C490&lt;&gt;0,SUMIF(куб!$C:$C,$C490,куб!J:J),IF($B490&lt;&gt;0,SUMIF(куб!$B:$B,$B490,куб!J:J))))))</f>
        <v>0</v>
      </c>
      <c r="Q490" s="27" t="b">
        <f>IF($G490&lt;&gt;0,SUMIF(куб!$G:$G,$G490,куб!K:K),IF($E490&lt;&gt;0,SUMIF(куб!$E:$E,$E490,куб!K:K),IF($D490&lt;&gt;0,SUMIF(куб!$D:$D,$D490,куб!K:K),IF($C490&lt;&gt;0,SUMIF(куб!$C:$C,$C490,куб!K:K),IF($B490&lt;&gt;0,SUMIF(куб!$B:$B,$B490,куб!K:K))))))</f>
        <v>0</v>
      </c>
      <c r="R490" s="13" t="str">
        <f t="shared" si="169"/>
        <v>-</v>
      </c>
      <c r="S490" s="5"/>
      <c r="T490" s="27" t="b">
        <f>IF($G490&lt;&gt;0,SUMIF(куб!$G:$G,$G490,куб!L:L),IF($E490&lt;&gt;0,SUMIF(куб!$E:$E,$E490,куб!L:L),IF($D490&lt;&gt;0,SUMIF(куб!$D:$D,$D490,куб!L:L),IF($C490&lt;&gt;0,SUMIF(куб!$C:$C,$C490,куб!L:L),IF($B490&lt;&gt;0,SUMIF(куб!$B:$B,$B490,куб!L:L))))))</f>
        <v>0</v>
      </c>
      <c r="U490" s="27" t="b">
        <f>IF($G490&lt;&gt;0,SUMIF(куб!$G:$G,$G490,куб!M:M),IF($E490&lt;&gt;0,SUMIF(куб!$E:$E,$E490,куб!M:M),IF($D490&lt;&gt;0,SUMIF(куб!$D:$D,$D490,куб!M:M),IF($C490&lt;&gt;0,SUMIF(куб!$C:$C,$C490,куб!M:M),IF($B490&lt;&gt;0,SUMIF(куб!$B:$B,$B490,куб!M:M))))))</f>
        <v>0</v>
      </c>
      <c r="V490" s="13" t="str">
        <f t="shared" si="170"/>
        <v>-</v>
      </c>
      <c r="W490" s="5"/>
      <c r="X490" s="27" t="b">
        <f>IF($G490&lt;&gt;0,SUMIF(куб!$G:$G,$G490,куб!N:N),IF($E490&lt;&gt;0,SUMIF(куб!$E:$E,$E490,куб!N:N),IF($D490&lt;&gt;0,SUMIF(куб!$D:$D,$D490,куб!N:N),IF($C490&lt;&gt;0,SUMIF(куб!$C:$C,$C490,куб!N:N),IF($B490&lt;&gt;0,SUMIF(куб!$B:$B,$B490,куб!N:N))))))</f>
        <v>0</v>
      </c>
      <c r="Y490" s="27" t="b">
        <f>IF($G490&lt;&gt;0,SUMIF(куб!$G:$G,$G490,куб!O:O),IF($E490&lt;&gt;0,SUMIF(куб!$E:$E,$E490,куб!O:O),IF($D490&lt;&gt;0,SUMIF(куб!$D:$D,$D490,куб!O:O),IF($C490&lt;&gt;0,SUMIF(куб!$C:$C,$C490,куб!O:O),IF($B490&lt;&gt;0,SUMIF(куб!$B:$B,$B490,куб!O:O))))))</f>
        <v>0</v>
      </c>
      <c r="Z490" s="13" t="str">
        <f t="shared" si="171"/>
        <v>-</v>
      </c>
      <c r="AA490" s="5"/>
      <c r="AB490" s="33" t="str">
        <f t="shared" si="172"/>
        <v/>
      </c>
      <c r="AC490" s="33" t="str">
        <f t="shared" si="173"/>
        <v/>
      </c>
      <c r="AD490" s="15" t="str">
        <f t="shared" si="174"/>
        <v xml:space="preserve"> </v>
      </c>
      <c r="AE490" s="5"/>
      <c r="AF490" s="27" t="b">
        <f>IF($G490&lt;&gt;0,SUMIF(куб!$G:$G,$G490,куб!R:R),IF($E490&lt;&gt;0,SUMIF(куб!$E:$E,$E490,куб!R:R),IF($D490&lt;&gt;0,SUMIF(куб!$D:$D,$D490,куб!R:R),IF($C490&lt;&gt;0,SUMIF(куб!$C:$C,$C490,куб!R:R),IF($B490&lt;&gt;0,SUMIF(куб!$B:$B,$B490,куб!R:R))))))</f>
        <v>0</v>
      </c>
      <c r="AG490" s="27" t="b">
        <f>IF($G490&lt;&gt;0,SUMIF(куб!$G:$G,$G490,куб!S:S),IF($E490&lt;&gt;0,SUMIF(куб!$E:$E,$E490,куб!S:S),IF($D490&lt;&gt;0,SUMIF(куб!$D:$D,$D490,куб!S:S),IF($C490&lt;&gt;0,SUMIF(куб!$C:$C,$C490,куб!S:S),IF($B490&lt;&gt;0,SUMIF(куб!$B:$B,$B490,куб!S:S))))))</f>
        <v>0</v>
      </c>
      <c r="AH490" s="16" t="str">
        <f t="shared" si="175"/>
        <v>-</v>
      </c>
      <c r="AI490" s="8"/>
      <c r="AJ490" s="27" t="b">
        <f>IF($G490&lt;&gt;0,SUMIF(куб!$G:$G,$G490,куб!T:T),IF($E490&lt;&gt;0,SUMIF(куб!$E:$E,$E490,куб!T:T),IF($D490&lt;&gt;0,SUMIF(куб!$D:$D,$D490,куб!T:T),IF($C490&lt;&gt;0,SUMIF(куб!$C:$C,$C490,куб!T:T),IF($B490&lt;&gt;0,SUMIF(куб!$B:$B,$B490,куб!T:T))))))</f>
        <v>0</v>
      </c>
      <c r="AK490" s="27" t="b">
        <f>IF($G490&lt;&gt;0,SUMIF(куб!$G:$G,$G490,куб!U:U),IF($E490&lt;&gt;0,SUMIF(куб!$E:$E,$E490,куб!U:U),IF($D490&lt;&gt;0,SUMIF(куб!$D:$D,$D490,куб!U:U),IF($C490&lt;&gt;0,SUMIF(куб!$C:$C,$C490,куб!U:U),IF($B490&lt;&gt;0,SUMIF(куб!$B:$B,$B490,куб!U:U))))))</f>
        <v>0</v>
      </c>
      <c r="AL490" s="16" t="str">
        <f t="shared" si="176"/>
        <v>-</v>
      </c>
      <c r="AM490" s="8"/>
      <c r="AN490" s="17" t="str">
        <f t="shared" si="177"/>
        <v xml:space="preserve"> </v>
      </c>
      <c r="AO490" s="17" t="str">
        <f t="shared" si="178"/>
        <v xml:space="preserve"> </v>
      </c>
      <c r="AP490" s="16" t="str">
        <f t="shared" si="179"/>
        <v>-</v>
      </c>
      <c r="AQ490" s="8"/>
      <c r="AR490" s="17" t="str">
        <f t="shared" si="180"/>
        <v>-</v>
      </c>
      <c r="AS490" s="17" t="str">
        <f t="shared" si="181"/>
        <v>-</v>
      </c>
      <c r="AT490" s="13" t="str">
        <f t="shared" si="182"/>
        <v>-</v>
      </c>
      <c r="AU490" s="8"/>
    </row>
    <row r="491" spans="1:47" x14ac:dyDescent="0.25">
      <c r="A491" s="31"/>
      <c r="B491" s="31"/>
      <c r="C491"/>
      <c r="D491" s="31"/>
      <c r="E491"/>
      <c r="F491" s="31"/>
      <c r="G491"/>
      <c r="H491" s="27">
        <f>IF($G491&lt;&gt;0,SUMIF(куб!$G:$G,$G491,куб!H:H),IF($E491&lt;&gt;0,SUMIF(куб!$E:$E,$E491,куб!H:H),IF($D491&lt;&gt;0,SUMIF(куб!$D:$D,$D491,куб!H:H),IF($C491&lt;&gt;0,SUMIF(куб!$C:$C,$C491,куб!H:H),IF($B491&lt;&gt;0,SUMIF(куб!$B:$B,$B491,куб!H:H),IF($G491&lt;&gt;0,SUMIF(куб!$A:$A,$G491,куб!H:H),SUMIF(куб!$A:$A,$G491,куб!H:H)))))))</f>
        <v>0</v>
      </c>
      <c r="I491" s="27">
        <f>IF($G491&lt;&gt;0,SUMIF(куб!$G:$G,$G491,куб!I:I),IF($E491&lt;&gt;0,SUMIF(куб!$E:$E,$E491,куб!I:I),IF($D491&lt;&gt;0,SUMIF(куб!$D:$D,$D491,куб!I:I),IF($C491&lt;&gt;0,SUMIF(куб!$C:$C,$C491,куб!I:I),IF($B491&lt;&gt;0,SUMIF(куб!$B:$B,$B491,куб!I:I),IF($G491&lt;&gt;0,SUMIF(куб!$A:$A,$G491,куб!I:I),SUMIF(куб!$A:$A,$G491,куб!I:I)))))))</f>
        <v>0</v>
      </c>
      <c r="J491" s="19" t="str">
        <f t="shared" si="165"/>
        <v>-</v>
      </c>
      <c r="K491" s="8"/>
      <c r="L491" s="17">
        <f t="shared" si="166"/>
        <v>0</v>
      </c>
      <c r="M491" s="17">
        <f t="shared" si="167"/>
        <v>0</v>
      </c>
      <c r="N491" s="12">
        <f t="shared" si="168"/>
        <v>0</v>
      </c>
      <c r="O491" s="5"/>
      <c r="P491" s="27" t="b">
        <f>IF($G491&lt;&gt;0,SUMIF(куб!$G:$G,$G491,куб!J:J),IF($E491&lt;&gt;0,SUMIF(куб!$E:$E,$E491,куб!J:J),IF($D491&lt;&gt;0,SUMIF(куб!$D:$D,$D491,куб!J:J),IF($C491&lt;&gt;0,SUMIF(куб!$C:$C,$C491,куб!J:J),IF($B491&lt;&gt;0,SUMIF(куб!$B:$B,$B491,куб!J:J))))))</f>
        <v>0</v>
      </c>
      <c r="Q491" s="27" t="b">
        <f>IF($G491&lt;&gt;0,SUMIF(куб!$G:$G,$G491,куб!K:K),IF($E491&lt;&gt;0,SUMIF(куб!$E:$E,$E491,куб!K:K),IF($D491&lt;&gt;0,SUMIF(куб!$D:$D,$D491,куб!K:K),IF($C491&lt;&gt;0,SUMIF(куб!$C:$C,$C491,куб!K:K),IF($B491&lt;&gt;0,SUMIF(куб!$B:$B,$B491,куб!K:K))))))</f>
        <v>0</v>
      </c>
      <c r="R491" s="13" t="str">
        <f t="shared" si="169"/>
        <v>-</v>
      </c>
      <c r="S491" s="5"/>
      <c r="T491" s="27" t="b">
        <f>IF($G491&lt;&gt;0,SUMIF(куб!$G:$G,$G491,куб!L:L),IF($E491&lt;&gt;0,SUMIF(куб!$E:$E,$E491,куб!L:L),IF($D491&lt;&gt;0,SUMIF(куб!$D:$D,$D491,куб!L:L),IF($C491&lt;&gt;0,SUMIF(куб!$C:$C,$C491,куб!L:L),IF($B491&lt;&gt;0,SUMIF(куб!$B:$B,$B491,куб!L:L))))))</f>
        <v>0</v>
      </c>
      <c r="U491" s="27" t="b">
        <f>IF($G491&lt;&gt;0,SUMIF(куб!$G:$G,$G491,куб!M:M),IF($E491&lt;&gt;0,SUMIF(куб!$E:$E,$E491,куб!M:M),IF($D491&lt;&gt;0,SUMIF(куб!$D:$D,$D491,куб!M:M),IF($C491&lt;&gt;0,SUMIF(куб!$C:$C,$C491,куб!M:M),IF($B491&lt;&gt;0,SUMIF(куб!$B:$B,$B491,куб!M:M))))))</f>
        <v>0</v>
      </c>
      <c r="V491" s="13" t="str">
        <f t="shared" si="170"/>
        <v>-</v>
      </c>
      <c r="W491" s="5"/>
      <c r="X491" s="27" t="b">
        <f>IF($G491&lt;&gt;0,SUMIF(куб!$G:$G,$G491,куб!N:N),IF($E491&lt;&gt;0,SUMIF(куб!$E:$E,$E491,куб!N:N),IF($D491&lt;&gt;0,SUMIF(куб!$D:$D,$D491,куб!N:N),IF($C491&lt;&gt;0,SUMIF(куб!$C:$C,$C491,куб!N:N),IF($B491&lt;&gt;0,SUMIF(куб!$B:$B,$B491,куб!N:N))))))</f>
        <v>0</v>
      </c>
      <c r="Y491" s="27" t="b">
        <f>IF($G491&lt;&gt;0,SUMIF(куб!$G:$G,$G491,куб!O:O),IF($E491&lt;&gt;0,SUMIF(куб!$E:$E,$E491,куб!O:O),IF($D491&lt;&gt;0,SUMIF(куб!$D:$D,$D491,куб!O:O),IF($C491&lt;&gt;0,SUMIF(куб!$C:$C,$C491,куб!O:O),IF($B491&lt;&gt;0,SUMIF(куб!$B:$B,$B491,куб!O:O))))))</f>
        <v>0</v>
      </c>
      <c r="Z491" s="13" t="str">
        <f t="shared" si="171"/>
        <v>-</v>
      </c>
      <c r="AA491" s="5"/>
      <c r="AB491" s="33" t="str">
        <f t="shared" si="172"/>
        <v/>
      </c>
      <c r="AC491" s="33" t="str">
        <f t="shared" si="173"/>
        <v/>
      </c>
      <c r="AD491" s="15" t="str">
        <f t="shared" si="174"/>
        <v xml:space="preserve"> </v>
      </c>
      <c r="AE491" s="5"/>
      <c r="AF491" s="27" t="b">
        <f>IF($G491&lt;&gt;0,SUMIF(куб!$G:$G,$G491,куб!R:R),IF($E491&lt;&gt;0,SUMIF(куб!$E:$E,$E491,куб!R:R),IF($D491&lt;&gt;0,SUMIF(куб!$D:$D,$D491,куб!R:R),IF($C491&lt;&gt;0,SUMIF(куб!$C:$C,$C491,куб!R:R),IF($B491&lt;&gt;0,SUMIF(куб!$B:$B,$B491,куб!R:R))))))</f>
        <v>0</v>
      </c>
      <c r="AG491" s="27" t="b">
        <f>IF($G491&lt;&gt;0,SUMIF(куб!$G:$G,$G491,куб!S:S),IF($E491&lt;&gt;0,SUMIF(куб!$E:$E,$E491,куб!S:S),IF($D491&lt;&gt;0,SUMIF(куб!$D:$D,$D491,куб!S:S),IF($C491&lt;&gt;0,SUMIF(куб!$C:$C,$C491,куб!S:S),IF($B491&lt;&gt;0,SUMIF(куб!$B:$B,$B491,куб!S:S))))))</f>
        <v>0</v>
      </c>
      <c r="AH491" s="16" t="str">
        <f t="shared" si="175"/>
        <v>-</v>
      </c>
      <c r="AI491" s="8"/>
      <c r="AJ491" s="27" t="b">
        <f>IF($G491&lt;&gt;0,SUMIF(куб!$G:$G,$G491,куб!T:T),IF($E491&lt;&gt;0,SUMIF(куб!$E:$E,$E491,куб!T:T),IF($D491&lt;&gt;0,SUMIF(куб!$D:$D,$D491,куб!T:T),IF($C491&lt;&gt;0,SUMIF(куб!$C:$C,$C491,куб!T:T),IF($B491&lt;&gt;0,SUMIF(куб!$B:$B,$B491,куб!T:T))))))</f>
        <v>0</v>
      </c>
      <c r="AK491" s="27" t="b">
        <f>IF($G491&lt;&gt;0,SUMIF(куб!$G:$G,$G491,куб!U:U),IF($E491&lt;&gt;0,SUMIF(куб!$E:$E,$E491,куб!U:U),IF($D491&lt;&gt;0,SUMIF(куб!$D:$D,$D491,куб!U:U),IF($C491&lt;&gt;0,SUMIF(куб!$C:$C,$C491,куб!U:U),IF($B491&lt;&gt;0,SUMIF(куб!$B:$B,$B491,куб!U:U))))))</f>
        <v>0</v>
      </c>
      <c r="AL491" s="16" t="str">
        <f t="shared" si="176"/>
        <v>-</v>
      </c>
      <c r="AM491" s="8"/>
      <c r="AN491" s="17" t="str">
        <f t="shared" si="177"/>
        <v xml:space="preserve"> </v>
      </c>
      <c r="AO491" s="17" t="str">
        <f t="shared" si="178"/>
        <v xml:space="preserve"> </v>
      </c>
      <c r="AP491" s="16" t="str">
        <f t="shared" si="179"/>
        <v>-</v>
      </c>
      <c r="AQ491" s="8"/>
      <c r="AR491" s="17" t="str">
        <f t="shared" si="180"/>
        <v>-</v>
      </c>
      <c r="AS491" s="17" t="str">
        <f t="shared" si="181"/>
        <v>-</v>
      </c>
      <c r="AT491" s="13" t="str">
        <f t="shared" si="182"/>
        <v>-</v>
      </c>
      <c r="AU491" s="8"/>
    </row>
    <row r="492" spans="1:47" x14ac:dyDescent="0.25">
      <c r="A492" s="31"/>
      <c r="B492" s="31"/>
      <c r="C492"/>
      <c r="D492" s="31"/>
      <c r="E492"/>
      <c r="F492" s="31"/>
      <c r="G492"/>
      <c r="H492" s="27">
        <f>IF($G492&lt;&gt;0,SUMIF(куб!$G:$G,$G492,куб!H:H),IF($E492&lt;&gt;0,SUMIF(куб!$E:$E,$E492,куб!H:H),IF($D492&lt;&gt;0,SUMIF(куб!$D:$D,$D492,куб!H:H),IF($C492&lt;&gt;0,SUMIF(куб!$C:$C,$C492,куб!H:H),IF($B492&lt;&gt;0,SUMIF(куб!$B:$B,$B492,куб!H:H),IF($G492&lt;&gt;0,SUMIF(куб!$A:$A,$G492,куб!H:H),SUMIF(куб!$A:$A,$G492,куб!H:H)))))))</f>
        <v>0</v>
      </c>
      <c r="I492" s="27">
        <f>IF($G492&lt;&gt;0,SUMIF(куб!$G:$G,$G492,куб!I:I),IF($E492&lt;&gt;0,SUMIF(куб!$E:$E,$E492,куб!I:I),IF($D492&lt;&gt;0,SUMIF(куб!$D:$D,$D492,куб!I:I),IF($C492&lt;&gt;0,SUMIF(куб!$C:$C,$C492,куб!I:I),IF($B492&lt;&gt;0,SUMIF(куб!$B:$B,$B492,куб!I:I),IF($G492&lt;&gt;0,SUMIF(куб!$A:$A,$G492,куб!I:I),SUMIF(куб!$A:$A,$G492,куб!I:I)))))))</f>
        <v>0</v>
      </c>
      <c r="J492" s="19" t="str">
        <f t="shared" si="165"/>
        <v>-</v>
      </c>
      <c r="K492" s="8"/>
      <c r="L492" s="17">
        <f t="shared" si="166"/>
        <v>0</v>
      </c>
      <c r="M492" s="17">
        <f t="shared" si="167"/>
        <v>0</v>
      </c>
      <c r="N492" s="12">
        <f t="shared" si="168"/>
        <v>0</v>
      </c>
      <c r="O492" s="5"/>
      <c r="P492" s="27" t="b">
        <f>IF($G492&lt;&gt;0,SUMIF(куб!$G:$G,$G492,куб!J:J),IF($E492&lt;&gt;0,SUMIF(куб!$E:$E,$E492,куб!J:J),IF($D492&lt;&gt;0,SUMIF(куб!$D:$D,$D492,куб!J:J),IF($C492&lt;&gt;0,SUMIF(куб!$C:$C,$C492,куб!J:J),IF($B492&lt;&gt;0,SUMIF(куб!$B:$B,$B492,куб!J:J))))))</f>
        <v>0</v>
      </c>
      <c r="Q492" s="27" t="b">
        <f>IF($G492&lt;&gt;0,SUMIF(куб!$G:$G,$G492,куб!K:K),IF($E492&lt;&gt;0,SUMIF(куб!$E:$E,$E492,куб!K:K),IF($D492&lt;&gt;0,SUMIF(куб!$D:$D,$D492,куб!K:K),IF($C492&lt;&gt;0,SUMIF(куб!$C:$C,$C492,куб!K:K),IF($B492&lt;&gt;0,SUMIF(куб!$B:$B,$B492,куб!K:K))))))</f>
        <v>0</v>
      </c>
      <c r="R492" s="13" t="str">
        <f t="shared" si="169"/>
        <v>-</v>
      </c>
      <c r="S492" s="5"/>
      <c r="T492" s="27" t="b">
        <f>IF($G492&lt;&gt;0,SUMIF(куб!$G:$G,$G492,куб!L:L),IF($E492&lt;&gt;0,SUMIF(куб!$E:$E,$E492,куб!L:L),IF($D492&lt;&gt;0,SUMIF(куб!$D:$D,$D492,куб!L:L),IF($C492&lt;&gt;0,SUMIF(куб!$C:$C,$C492,куб!L:L),IF($B492&lt;&gt;0,SUMIF(куб!$B:$B,$B492,куб!L:L))))))</f>
        <v>0</v>
      </c>
      <c r="U492" s="27" t="b">
        <f>IF($G492&lt;&gt;0,SUMIF(куб!$G:$G,$G492,куб!M:M),IF($E492&lt;&gt;0,SUMIF(куб!$E:$E,$E492,куб!M:M),IF($D492&lt;&gt;0,SUMIF(куб!$D:$D,$D492,куб!M:M),IF($C492&lt;&gt;0,SUMIF(куб!$C:$C,$C492,куб!M:M),IF($B492&lt;&gt;0,SUMIF(куб!$B:$B,$B492,куб!M:M))))))</f>
        <v>0</v>
      </c>
      <c r="V492" s="13" t="str">
        <f t="shared" si="170"/>
        <v>-</v>
      </c>
      <c r="W492" s="5"/>
      <c r="X492" s="27" t="b">
        <f>IF($G492&lt;&gt;0,SUMIF(куб!$G:$G,$G492,куб!N:N),IF($E492&lt;&gt;0,SUMIF(куб!$E:$E,$E492,куб!N:N),IF($D492&lt;&gt;0,SUMIF(куб!$D:$D,$D492,куб!N:N),IF($C492&lt;&gt;0,SUMIF(куб!$C:$C,$C492,куб!N:N),IF($B492&lt;&gt;0,SUMIF(куб!$B:$B,$B492,куб!N:N))))))</f>
        <v>0</v>
      </c>
      <c r="Y492" s="27" t="b">
        <f>IF($G492&lt;&gt;0,SUMIF(куб!$G:$G,$G492,куб!O:O),IF($E492&lt;&gt;0,SUMIF(куб!$E:$E,$E492,куб!O:O),IF($D492&lt;&gt;0,SUMIF(куб!$D:$D,$D492,куб!O:O),IF($C492&lt;&gt;0,SUMIF(куб!$C:$C,$C492,куб!O:O),IF($B492&lt;&gt;0,SUMIF(куб!$B:$B,$B492,куб!O:O))))))</f>
        <v>0</v>
      </c>
      <c r="Z492" s="13" t="str">
        <f t="shared" si="171"/>
        <v>-</v>
      </c>
      <c r="AA492" s="5"/>
      <c r="AB492" s="33" t="str">
        <f t="shared" si="172"/>
        <v/>
      </c>
      <c r="AC492" s="33" t="str">
        <f t="shared" si="173"/>
        <v/>
      </c>
      <c r="AD492" s="15" t="str">
        <f t="shared" si="174"/>
        <v xml:space="preserve"> </v>
      </c>
      <c r="AE492" s="5"/>
      <c r="AF492" s="27" t="b">
        <f>IF($G492&lt;&gt;0,SUMIF(куб!$G:$G,$G492,куб!R:R),IF($E492&lt;&gt;0,SUMIF(куб!$E:$E,$E492,куб!R:R),IF($D492&lt;&gt;0,SUMIF(куб!$D:$D,$D492,куб!R:R),IF($C492&lt;&gt;0,SUMIF(куб!$C:$C,$C492,куб!R:R),IF($B492&lt;&gt;0,SUMIF(куб!$B:$B,$B492,куб!R:R))))))</f>
        <v>0</v>
      </c>
      <c r="AG492" s="27" t="b">
        <f>IF($G492&lt;&gt;0,SUMIF(куб!$G:$G,$G492,куб!S:S),IF($E492&lt;&gt;0,SUMIF(куб!$E:$E,$E492,куб!S:S),IF($D492&lt;&gt;0,SUMIF(куб!$D:$D,$D492,куб!S:S),IF($C492&lt;&gt;0,SUMIF(куб!$C:$C,$C492,куб!S:S),IF($B492&lt;&gt;0,SUMIF(куб!$B:$B,$B492,куб!S:S))))))</f>
        <v>0</v>
      </c>
      <c r="AH492" s="16" t="str">
        <f t="shared" si="175"/>
        <v>-</v>
      </c>
      <c r="AI492" s="8"/>
      <c r="AJ492" s="27" t="b">
        <f>IF($G492&lt;&gt;0,SUMIF(куб!$G:$G,$G492,куб!T:T),IF($E492&lt;&gt;0,SUMIF(куб!$E:$E,$E492,куб!T:T),IF($D492&lt;&gt;0,SUMIF(куб!$D:$D,$D492,куб!T:T),IF($C492&lt;&gt;0,SUMIF(куб!$C:$C,$C492,куб!T:T),IF($B492&lt;&gt;0,SUMIF(куб!$B:$B,$B492,куб!T:T))))))</f>
        <v>0</v>
      </c>
      <c r="AK492" s="27" t="b">
        <f>IF($G492&lt;&gt;0,SUMIF(куб!$G:$G,$G492,куб!U:U),IF($E492&lt;&gt;0,SUMIF(куб!$E:$E,$E492,куб!U:U),IF($D492&lt;&gt;0,SUMIF(куб!$D:$D,$D492,куб!U:U),IF($C492&lt;&gt;0,SUMIF(куб!$C:$C,$C492,куб!U:U),IF($B492&lt;&gt;0,SUMIF(куб!$B:$B,$B492,куб!U:U))))))</f>
        <v>0</v>
      </c>
      <c r="AL492" s="16" t="str">
        <f t="shared" si="176"/>
        <v>-</v>
      </c>
      <c r="AM492" s="8"/>
      <c r="AN492" s="17" t="str">
        <f t="shared" si="177"/>
        <v xml:space="preserve"> </v>
      </c>
      <c r="AO492" s="17" t="str">
        <f t="shared" si="178"/>
        <v xml:space="preserve"> </v>
      </c>
      <c r="AP492" s="16" t="str">
        <f t="shared" si="179"/>
        <v>-</v>
      </c>
      <c r="AQ492" s="8"/>
      <c r="AR492" s="17" t="str">
        <f t="shared" si="180"/>
        <v>-</v>
      </c>
      <c r="AS492" s="17" t="str">
        <f t="shared" si="181"/>
        <v>-</v>
      </c>
      <c r="AT492" s="13" t="str">
        <f t="shared" si="182"/>
        <v>-</v>
      </c>
      <c r="AU492" s="8"/>
    </row>
    <row r="493" spans="1:47" x14ac:dyDescent="0.25">
      <c r="A493" s="31"/>
      <c r="B493" s="31"/>
      <c r="C493"/>
      <c r="D493" s="31"/>
      <c r="E493"/>
      <c r="F493" s="31"/>
      <c r="G493"/>
      <c r="H493" s="27">
        <f>IF($G493&lt;&gt;0,SUMIF(куб!$G:$G,$G493,куб!H:H),IF($E493&lt;&gt;0,SUMIF(куб!$E:$E,$E493,куб!H:H),IF($D493&lt;&gt;0,SUMIF(куб!$D:$D,$D493,куб!H:H),IF($C493&lt;&gt;0,SUMIF(куб!$C:$C,$C493,куб!H:H),IF($B493&lt;&gt;0,SUMIF(куб!$B:$B,$B493,куб!H:H),IF($G493&lt;&gt;0,SUMIF(куб!$A:$A,$G493,куб!H:H),SUMIF(куб!$A:$A,$G493,куб!H:H)))))))</f>
        <v>0</v>
      </c>
      <c r="I493" s="27">
        <f>IF($G493&lt;&gt;0,SUMIF(куб!$G:$G,$G493,куб!I:I),IF($E493&lt;&gt;0,SUMIF(куб!$E:$E,$E493,куб!I:I),IF($D493&lt;&gt;0,SUMIF(куб!$D:$D,$D493,куб!I:I),IF($C493&lt;&gt;0,SUMIF(куб!$C:$C,$C493,куб!I:I),IF($B493&lt;&gt;0,SUMIF(куб!$B:$B,$B493,куб!I:I),IF($G493&lt;&gt;0,SUMIF(куб!$A:$A,$G493,куб!I:I),SUMIF(куб!$A:$A,$G493,куб!I:I)))))))</f>
        <v>0</v>
      </c>
      <c r="J493" s="19" t="str">
        <f t="shared" si="165"/>
        <v>-</v>
      </c>
      <c r="K493" s="8"/>
      <c r="L493" s="17">
        <f t="shared" si="166"/>
        <v>0</v>
      </c>
      <c r="M493" s="17">
        <f t="shared" si="167"/>
        <v>0</v>
      </c>
      <c r="N493" s="12">
        <f t="shared" si="168"/>
        <v>0</v>
      </c>
      <c r="O493" s="5"/>
      <c r="P493" s="27" t="b">
        <f>IF($G493&lt;&gt;0,SUMIF(куб!$G:$G,$G493,куб!J:J),IF($E493&lt;&gt;0,SUMIF(куб!$E:$E,$E493,куб!J:J),IF($D493&lt;&gt;0,SUMIF(куб!$D:$D,$D493,куб!J:J),IF($C493&lt;&gt;0,SUMIF(куб!$C:$C,$C493,куб!J:J),IF($B493&lt;&gt;0,SUMIF(куб!$B:$B,$B493,куб!J:J))))))</f>
        <v>0</v>
      </c>
      <c r="Q493" s="27" t="b">
        <f>IF($G493&lt;&gt;0,SUMIF(куб!$G:$G,$G493,куб!K:K),IF($E493&lt;&gt;0,SUMIF(куб!$E:$E,$E493,куб!K:K),IF($D493&lt;&gt;0,SUMIF(куб!$D:$D,$D493,куб!K:K),IF($C493&lt;&gt;0,SUMIF(куб!$C:$C,$C493,куб!K:K),IF($B493&lt;&gt;0,SUMIF(куб!$B:$B,$B493,куб!K:K))))))</f>
        <v>0</v>
      </c>
      <c r="R493" s="13" t="str">
        <f t="shared" si="169"/>
        <v>-</v>
      </c>
      <c r="S493" s="5"/>
      <c r="T493" s="27" t="b">
        <f>IF($G493&lt;&gt;0,SUMIF(куб!$G:$G,$G493,куб!L:L),IF($E493&lt;&gt;0,SUMIF(куб!$E:$E,$E493,куб!L:L),IF($D493&lt;&gt;0,SUMIF(куб!$D:$D,$D493,куб!L:L),IF($C493&lt;&gt;0,SUMIF(куб!$C:$C,$C493,куб!L:L),IF($B493&lt;&gt;0,SUMIF(куб!$B:$B,$B493,куб!L:L))))))</f>
        <v>0</v>
      </c>
      <c r="U493" s="27" t="b">
        <f>IF($G493&lt;&gt;0,SUMIF(куб!$G:$G,$G493,куб!M:M),IF($E493&lt;&gt;0,SUMIF(куб!$E:$E,$E493,куб!M:M),IF($D493&lt;&gt;0,SUMIF(куб!$D:$D,$D493,куб!M:M),IF($C493&lt;&gt;0,SUMIF(куб!$C:$C,$C493,куб!M:M),IF($B493&lt;&gt;0,SUMIF(куб!$B:$B,$B493,куб!M:M))))))</f>
        <v>0</v>
      </c>
      <c r="V493" s="13" t="str">
        <f t="shared" si="170"/>
        <v>-</v>
      </c>
      <c r="W493" s="5"/>
      <c r="X493" s="27" t="b">
        <f>IF($G493&lt;&gt;0,SUMIF(куб!$G:$G,$G493,куб!N:N),IF($E493&lt;&gt;0,SUMIF(куб!$E:$E,$E493,куб!N:N),IF($D493&lt;&gt;0,SUMIF(куб!$D:$D,$D493,куб!N:N),IF($C493&lt;&gt;0,SUMIF(куб!$C:$C,$C493,куб!N:N),IF($B493&lt;&gt;0,SUMIF(куб!$B:$B,$B493,куб!N:N))))))</f>
        <v>0</v>
      </c>
      <c r="Y493" s="27" t="b">
        <f>IF($G493&lt;&gt;0,SUMIF(куб!$G:$G,$G493,куб!O:O),IF($E493&lt;&gt;0,SUMIF(куб!$E:$E,$E493,куб!O:O),IF($D493&lt;&gt;0,SUMIF(куб!$D:$D,$D493,куб!O:O),IF($C493&lt;&gt;0,SUMIF(куб!$C:$C,$C493,куб!O:O),IF($B493&lt;&gt;0,SUMIF(куб!$B:$B,$B493,куб!O:O))))))</f>
        <v>0</v>
      </c>
      <c r="Z493" s="13" t="str">
        <f t="shared" si="171"/>
        <v>-</v>
      </c>
      <c r="AA493" s="5"/>
      <c r="AB493" s="33" t="str">
        <f t="shared" si="172"/>
        <v/>
      </c>
      <c r="AC493" s="33" t="str">
        <f t="shared" si="173"/>
        <v/>
      </c>
      <c r="AD493" s="15" t="str">
        <f t="shared" si="174"/>
        <v xml:space="preserve"> </v>
      </c>
      <c r="AE493" s="5"/>
      <c r="AF493" s="27" t="b">
        <f>IF($G493&lt;&gt;0,SUMIF(куб!$G:$G,$G493,куб!R:R),IF($E493&lt;&gt;0,SUMIF(куб!$E:$E,$E493,куб!R:R),IF($D493&lt;&gt;0,SUMIF(куб!$D:$D,$D493,куб!R:R),IF($C493&lt;&gt;0,SUMIF(куб!$C:$C,$C493,куб!R:R),IF($B493&lt;&gt;0,SUMIF(куб!$B:$B,$B493,куб!R:R))))))</f>
        <v>0</v>
      </c>
      <c r="AG493" s="27" t="b">
        <f>IF($G493&lt;&gt;0,SUMIF(куб!$G:$G,$G493,куб!S:S),IF($E493&lt;&gt;0,SUMIF(куб!$E:$E,$E493,куб!S:S),IF($D493&lt;&gt;0,SUMIF(куб!$D:$D,$D493,куб!S:S),IF($C493&lt;&gt;0,SUMIF(куб!$C:$C,$C493,куб!S:S),IF($B493&lt;&gt;0,SUMIF(куб!$B:$B,$B493,куб!S:S))))))</f>
        <v>0</v>
      </c>
      <c r="AH493" s="16" t="str">
        <f t="shared" si="175"/>
        <v>-</v>
      </c>
      <c r="AI493" s="8"/>
      <c r="AJ493" s="27" t="b">
        <f>IF($G493&lt;&gt;0,SUMIF(куб!$G:$G,$G493,куб!T:T),IF($E493&lt;&gt;0,SUMIF(куб!$E:$E,$E493,куб!T:T),IF($D493&lt;&gt;0,SUMIF(куб!$D:$D,$D493,куб!T:T),IF($C493&lt;&gt;0,SUMIF(куб!$C:$C,$C493,куб!T:T),IF($B493&lt;&gt;0,SUMIF(куб!$B:$B,$B493,куб!T:T))))))</f>
        <v>0</v>
      </c>
      <c r="AK493" s="27" t="b">
        <f>IF($G493&lt;&gt;0,SUMIF(куб!$G:$G,$G493,куб!U:U),IF($E493&lt;&gt;0,SUMIF(куб!$E:$E,$E493,куб!U:U),IF($D493&lt;&gt;0,SUMIF(куб!$D:$D,$D493,куб!U:U),IF($C493&lt;&gt;0,SUMIF(куб!$C:$C,$C493,куб!U:U),IF($B493&lt;&gt;0,SUMIF(куб!$B:$B,$B493,куб!U:U))))))</f>
        <v>0</v>
      </c>
      <c r="AL493" s="16" t="str">
        <f t="shared" si="176"/>
        <v>-</v>
      </c>
      <c r="AM493" s="8"/>
      <c r="AN493" s="17" t="str">
        <f t="shared" si="177"/>
        <v xml:space="preserve"> </v>
      </c>
      <c r="AO493" s="17" t="str">
        <f t="shared" si="178"/>
        <v xml:space="preserve"> </v>
      </c>
      <c r="AP493" s="16" t="str">
        <f t="shared" si="179"/>
        <v>-</v>
      </c>
      <c r="AQ493" s="8"/>
      <c r="AR493" s="17" t="str">
        <f t="shared" si="180"/>
        <v>-</v>
      </c>
      <c r="AS493" s="17" t="str">
        <f t="shared" si="181"/>
        <v>-</v>
      </c>
      <c r="AT493" s="13" t="str">
        <f t="shared" si="182"/>
        <v>-</v>
      </c>
      <c r="AU493" s="8"/>
    </row>
    <row r="494" spans="1:47" x14ac:dyDescent="0.25">
      <c r="A494" s="31"/>
      <c r="B494" s="31"/>
      <c r="C494"/>
      <c r="D494" s="31"/>
      <c r="E494"/>
      <c r="F494"/>
      <c r="G494"/>
      <c r="H494" s="27">
        <f>IF($G494&lt;&gt;0,SUMIF(куб!$G:$G,$G494,куб!H:H),IF($E494&lt;&gt;0,SUMIF(куб!$E:$E,$E494,куб!H:H),IF($D494&lt;&gt;0,SUMIF(куб!$D:$D,$D494,куб!H:H),IF($C494&lt;&gt;0,SUMIF(куб!$C:$C,$C494,куб!H:H),IF($B494&lt;&gt;0,SUMIF(куб!$B:$B,$B494,куб!H:H),IF($G494&lt;&gt;0,SUMIF(куб!$A:$A,$G494,куб!H:H),SUMIF(куб!$A:$A,$G494,куб!H:H)))))))</f>
        <v>0</v>
      </c>
      <c r="I494" s="27">
        <f>IF($G494&lt;&gt;0,SUMIF(куб!$G:$G,$G494,куб!I:I),IF($E494&lt;&gt;0,SUMIF(куб!$E:$E,$E494,куб!I:I),IF($D494&lt;&gt;0,SUMIF(куб!$D:$D,$D494,куб!I:I),IF($C494&lt;&gt;0,SUMIF(куб!$C:$C,$C494,куб!I:I),IF($B494&lt;&gt;0,SUMIF(куб!$B:$B,$B494,куб!I:I),IF($G494&lt;&gt;0,SUMIF(куб!$A:$A,$G494,куб!I:I),SUMIF(куб!$A:$A,$G494,куб!I:I)))))))</f>
        <v>0</v>
      </c>
      <c r="J494" s="19" t="str">
        <f t="shared" si="165"/>
        <v>-</v>
      </c>
      <c r="K494" s="8"/>
      <c r="L494" s="17">
        <f t="shared" si="166"/>
        <v>0</v>
      </c>
      <c r="M494" s="17">
        <f t="shared" si="167"/>
        <v>0</v>
      </c>
      <c r="N494" s="12">
        <f t="shared" si="168"/>
        <v>0</v>
      </c>
      <c r="O494" s="5"/>
      <c r="P494" s="27" t="b">
        <f>IF($G494&lt;&gt;0,SUMIF(куб!$G:$G,$G494,куб!J:J),IF($E494&lt;&gt;0,SUMIF(куб!$E:$E,$E494,куб!J:J),IF($D494&lt;&gt;0,SUMIF(куб!$D:$D,$D494,куб!J:J),IF($C494&lt;&gt;0,SUMIF(куб!$C:$C,$C494,куб!J:J),IF($B494&lt;&gt;0,SUMIF(куб!$B:$B,$B494,куб!J:J))))))</f>
        <v>0</v>
      </c>
      <c r="Q494" s="27" t="b">
        <f>IF($G494&lt;&gt;0,SUMIF(куб!$G:$G,$G494,куб!K:K),IF($E494&lt;&gt;0,SUMIF(куб!$E:$E,$E494,куб!K:K),IF($D494&lt;&gt;0,SUMIF(куб!$D:$D,$D494,куб!K:K),IF($C494&lt;&gt;0,SUMIF(куб!$C:$C,$C494,куб!K:K),IF($B494&lt;&gt;0,SUMIF(куб!$B:$B,$B494,куб!K:K))))))</f>
        <v>0</v>
      </c>
      <c r="R494" s="13" t="str">
        <f t="shared" si="169"/>
        <v>-</v>
      </c>
      <c r="S494" s="5"/>
      <c r="T494" s="27" t="b">
        <f>IF($G494&lt;&gt;0,SUMIF(куб!$G:$G,$G494,куб!L:L),IF($E494&lt;&gt;0,SUMIF(куб!$E:$E,$E494,куб!L:L),IF($D494&lt;&gt;0,SUMIF(куб!$D:$D,$D494,куб!L:L),IF($C494&lt;&gt;0,SUMIF(куб!$C:$C,$C494,куб!L:L),IF($B494&lt;&gt;0,SUMIF(куб!$B:$B,$B494,куб!L:L))))))</f>
        <v>0</v>
      </c>
      <c r="U494" s="27" t="b">
        <f>IF($G494&lt;&gt;0,SUMIF(куб!$G:$G,$G494,куб!M:M),IF($E494&lt;&gt;0,SUMIF(куб!$E:$E,$E494,куб!M:M),IF($D494&lt;&gt;0,SUMIF(куб!$D:$D,$D494,куб!M:M),IF($C494&lt;&gt;0,SUMIF(куб!$C:$C,$C494,куб!M:M),IF($B494&lt;&gt;0,SUMIF(куб!$B:$B,$B494,куб!M:M))))))</f>
        <v>0</v>
      </c>
      <c r="V494" s="13" t="str">
        <f t="shared" si="170"/>
        <v>-</v>
      </c>
      <c r="W494" s="5"/>
      <c r="X494" s="27" t="b">
        <f>IF($G494&lt;&gt;0,SUMIF(куб!$G:$G,$G494,куб!N:N),IF($E494&lt;&gt;0,SUMIF(куб!$E:$E,$E494,куб!N:N),IF($D494&lt;&gt;0,SUMIF(куб!$D:$D,$D494,куб!N:N),IF($C494&lt;&gt;0,SUMIF(куб!$C:$C,$C494,куб!N:N),IF($B494&lt;&gt;0,SUMIF(куб!$B:$B,$B494,куб!N:N))))))</f>
        <v>0</v>
      </c>
      <c r="Y494" s="27" t="b">
        <f>IF($G494&lt;&gt;0,SUMIF(куб!$G:$G,$G494,куб!O:O),IF($E494&lt;&gt;0,SUMIF(куб!$E:$E,$E494,куб!O:O),IF($D494&lt;&gt;0,SUMIF(куб!$D:$D,$D494,куб!O:O),IF($C494&lt;&gt;0,SUMIF(куб!$C:$C,$C494,куб!O:O),IF($B494&lt;&gt;0,SUMIF(куб!$B:$B,$B494,куб!O:O))))))</f>
        <v>0</v>
      </c>
      <c r="Z494" s="13" t="str">
        <f t="shared" si="171"/>
        <v>-</v>
      </c>
      <c r="AA494" s="5"/>
      <c r="AB494" s="33" t="str">
        <f t="shared" si="172"/>
        <v/>
      </c>
      <c r="AC494" s="33" t="str">
        <f t="shared" si="173"/>
        <v/>
      </c>
      <c r="AD494" s="15" t="str">
        <f t="shared" si="174"/>
        <v xml:space="preserve"> </v>
      </c>
      <c r="AE494" s="5"/>
      <c r="AF494" s="27" t="b">
        <f>IF($G494&lt;&gt;0,SUMIF(куб!$G:$G,$G494,куб!R:R),IF($E494&lt;&gt;0,SUMIF(куб!$E:$E,$E494,куб!R:R),IF($D494&lt;&gt;0,SUMIF(куб!$D:$D,$D494,куб!R:R),IF($C494&lt;&gt;0,SUMIF(куб!$C:$C,$C494,куб!R:R),IF($B494&lt;&gt;0,SUMIF(куб!$B:$B,$B494,куб!R:R))))))</f>
        <v>0</v>
      </c>
      <c r="AG494" s="27" t="b">
        <f>IF($G494&lt;&gt;0,SUMIF(куб!$G:$G,$G494,куб!S:S),IF($E494&lt;&gt;0,SUMIF(куб!$E:$E,$E494,куб!S:S),IF($D494&lt;&gt;0,SUMIF(куб!$D:$D,$D494,куб!S:S),IF($C494&lt;&gt;0,SUMIF(куб!$C:$C,$C494,куб!S:S),IF($B494&lt;&gt;0,SUMIF(куб!$B:$B,$B494,куб!S:S))))))</f>
        <v>0</v>
      </c>
      <c r="AH494" s="16" t="str">
        <f t="shared" si="175"/>
        <v>-</v>
      </c>
      <c r="AI494" s="8"/>
      <c r="AJ494" s="27" t="b">
        <f>IF($G494&lt;&gt;0,SUMIF(куб!$G:$G,$G494,куб!T:T),IF($E494&lt;&gt;0,SUMIF(куб!$E:$E,$E494,куб!T:T),IF($D494&lt;&gt;0,SUMIF(куб!$D:$D,$D494,куб!T:T),IF($C494&lt;&gt;0,SUMIF(куб!$C:$C,$C494,куб!T:T),IF($B494&lt;&gt;0,SUMIF(куб!$B:$B,$B494,куб!T:T))))))</f>
        <v>0</v>
      </c>
      <c r="AK494" s="27" t="b">
        <f>IF($G494&lt;&gt;0,SUMIF(куб!$G:$G,$G494,куб!U:U),IF($E494&lt;&gt;0,SUMIF(куб!$E:$E,$E494,куб!U:U),IF($D494&lt;&gt;0,SUMIF(куб!$D:$D,$D494,куб!U:U),IF($C494&lt;&gt;0,SUMIF(куб!$C:$C,$C494,куб!U:U),IF($B494&lt;&gt;0,SUMIF(куб!$B:$B,$B494,куб!U:U))))))</f>
        <v>0</v>
      </c>
      <c r="AL494" s="16" t="str">
        <f t="shared" si="176"/>
        <v>-</v>
      </c>
      <c r="AM494" s="8"/>
      <c r="AN494" s="17" t="str">
        <f t="shared" si="177"/>
        <v xml:space="preserve"> </v>
      </c>
      <c r="AO494" s="17" t="str">
        <f t="shared" si="178"/>
        <v xml:space="preserve"> </v>
      </c>
      <c r="AP494" s="16" t="str">
        <f t="shared" si="179"/>
        <v>-</v>
      </c>
      <c r="AQ494" s="8"/>
      <c r="AR494" s="17" t="str">
        <f t="shared" si="180"/>
        <v>-</v>
      </c>
      <c r="AS494" s="17" t="str">
        <f t="shared" si="181"/>
        <v>-</v>
      </c>
      <c r="AT494" s="13" t="str">
        <f t="shared" si="182"/>
        <v>-</v>
      </c>
      <c r="AU494" s="8"/>
    </row>
    <row r="495" spans="1:47" x14ac:dyDescent="0.25">
      <c r="A495" s="31"/>
      <c r="B495" s="31"/>
      <c r="C495"/>
      <c r="D495" s="31"/>
      <c r="E495" s="31"/>
      <c r="F495" s="31"/>
      <c r="G495" s="31"/>
      <c r="H495" s="27">
        <f>IF($G495&lt;&gt;0,SUMIF(куб!$G:$G,$G495,куб!H:H),IF($E495&lt;&gt;0,SUMIF(куб!$E:$E,$E495,куб!H:H),IF($D495&lt;&gt;0,SUMIF(куб!$D:$D,$D495,куб!H:H),IF($C495&lt;&gt;0,SUMIF(куб!$C:$C,$C495,куб!H:H),IF($B495&lt;&gt;0,SUMIF(куб!$B:$B,$B495,куб!H:H),IF($G495&lt;&gt;0,SUMIF(куб!$A:$A,$G495,куб!H:H),SUMIF(куб!$A:$A,$G495,куб!H:H)))))))</f>
        <v>0</v>
      </c>
      <c r="I495" s="27">
        <f>IF($G495&lt;&gt;0,SUMIF(куб!$G:$G,$G495,куб!I:I),IF($E495&lt;&gt;0,SUMIF(куб!$E:$E,$E495,куб!I:I),IF($D495&lt;&gt;0,SUMIF(куб!$D:$D,$D495,куб!I:I),IF($C495&lt;&gt;0,SUMIF(куб!$C:$C,$C495,куб!I:I),IF($B495&lt;&gt;0,SUMIF(куб!$B:$B,$B495,куб!I:I),IF($G495&lt;&gt;0,SUMIF(куб!$A:$A,$G495,куб!I:I),SUMIF(куб!$A:$A,$G495,куб!I:I)))))))</f>
        <v>0</v>
      </c>
      <c r="J495" s="19" t="str">
        <f t="shared" si="165"/>
        <v>-</v>
      </c>
      <c r="K495" s="8"/>
      <c r="L495" s="17">
        <f t="shared" si="166"/>
        <v>0</v>
      </c>
      <c r="M495" s="17">
        <f t="shared" si="167"/>
        <v>0</v>
      </c>
      <c r="N495" s="12">
        <f t="shared" si="168"/>
        <v>0</v>
      </c>
      <c r="O495" s="5"/>
      <c r="P495" s="27" t="b">
        <f>IF($G495&lt;&gt;0,SUMIF(куб!$G:$G,$G495,куб!J:J),IF($E495&lt;&gt;0,SUMIF(куб!$E:$E,$E495,куб!J:J),IF($D495&lt;&gt;0,SUMIF(куб!$D:$D,$D495,куб!J:J),IF($C495&lt;&gt;0,SUMIF(куб!$C:$C,$C495,куб!J:J),IF($B495&lt;&gt;0,SUMIF(куб!$B:$B,$B495,куб!J:J))))))</f>
        <v>0</v>
      </c>
      <c r="Q495" s="27" t="b">
        <f>IF($G495&lt;&gt;0,SUMIF(куб!$G:$G,$G495,куб!K:K),IF($E495&lt;&gt;0,SUMIF(куб!$E:$E,$E495,куб!K:K),IF($D495&lt;&gt;0,SUMIF(куб!$D:$D,$D495,куб!K:K),IF($C495&lt;&gt;0,SUMIF(куб!$C:$C,$C495,куб!K:K),IF($B495&lt;&gt;0,SUMIF(куб!$B:$B,$B495,куб!K:K))))))</f>
        <v>0</v>
      </c>
      <c r="R495" s="13" t="str">
        <f t="shared" si="169"/>
        <v>-</v>
      </c>
      <c r="S495" s="5"/>
      <c r="T495" s="27" t="b">
        <f>IF($G495&lt;&gt;0,SUMIF(куб!$G:$G,$G495,куб!L:L),IF($E495&lt;&gt;0,SUMIF(куб!$E:$E,$E495,куб!L:L),IF($D495&lt;&gt;0,SUMIF(куб!$D:$D,$D495,куб!L:L),IF($C495&lt;&gt;0,SUMIF(куб!$C:$C,$C495,куб!L:L),IF($B495&lt;&gt;0,SUMIF(куб!$B:$B,$B495,куб!L:L))))))</f>
        <v>0</v>
      </c>
      <c r="U495" s="27" t="b">
        <f>IF($G495&lt;&gt;0,SUMIF(куб!$G:$G,$G495,куб!M:M),IF($E495&lt;&gt;0,SUMIF(куб!$E:$E,$E495,куб!M:M),IF($D495&lt;&gt;0,SUMIF(куб!$D:$D,$D495,куб!M:M),IF($C495&lt;&gt;0,SUMIF(куб!$C:$C,$C495,куб!M:M),IF($B495&lt;&gt;0,SUMIF(куб!$B:$B,$B495,куб!M:M))))))</f>
        <v>0</v>
      </c>
      <c r="V495" s="13" t="str">
        <f t="shared" si="170"/>
        <v>-</v>
      </c>
      <c r="W495" s="5"/>
      <c r="X495" s="27" t="b">
        <f>IF($G495&lt;&gt;0,SUMIF(куб!$G:$G,$G495,куб!N:N),IF($E495&lt;&gt;0,SUMIF(куб!$E:$E,$E495,куб!N:N),IF($D495&lt;&gt;0,SUMIF(куб!$D:$D,$D495,куб!N:N),IF($C495&lt;&gt;0,SUMIF(куб!$C:$C,$C495,куб!N:N),IF($B495&lt;&gt;0,SUMIF(куб!$B:$B,$B495,куб!N:N))))))</f>
        <v>0</v>
      </c>
      <c r="Y495" s="27" t="b">
        <f>IF($G495&lt;&gt;0,SUMIF(куб!$G:$G,$G495,куб!O:O),IF($E495&lt;&gt;0,SUMIF(куб!$E:$E,$E495,куб!O:O),IF($D495&lt;&gt;0,SUMIF(куб!$D:$D,$D495,куб!O:O),IF($C495&lt;&gt;0,SUMIF(куб!$C:$C,$C495,куб!O:O),IF($B495&lt;&gt;0,SUMIF(куб!$B:$B,$B495,куб!O:O))))))</f>
        <v>0</v>
      </c>
      <c r="Z495" s="13" t="str">
        <f t="shared" si="171"/>
        <v>-</v>
      </c>
      <c r="AA495" s="5"/>
      <c r="AB495" s="33" t="str">
        <f t="shared" si="172"/>
        <v/>
      </c>
      <c r="AC495" s="33" t="str">
        <f t="shared" si="173"/>
        <v/>
      </c>
      <c r="AD495" s="15" t="str">
        <f t="shared" si="174"/>
        <v xml:space="preserve"> </v>
      </c>
      <c r="AE495" s="5"/>
      <c r="AF495" s="27" t="b">
        <f>IF($G495&lt;&gt;0,SUMIF(куб!$G:$G,$G495,куб!R:R),IF($E495&lt;&gt;0,SUMIF(куб!$E:$E,$E495,куб!R:R),IF($D495&lt;&gt;0,SUMIF(куб!$D:$D,$D495,куб!R:R),IF($C495&lt;&gt;0,SUMIF(куб!$C:$C,$C495,куб!R:R),IF($B495&lt;&gt;0,SUMIF(куб!$B:$B,$B495,куб!R:R))))))</f>
        <v>0</v>
      </c>
      <c r="AG495" s="27" t="b">
        <f>IF($G495&lt;&gt;0,SUMIF(куб!$G:$G,$G495,куб!S:S),IF($E495&lt;&gt;0,SUMIF(куб!$E:$E,$E495,куб!S:S),IF($D495&lt;&gt;0,SUMIF(куб!$D:$D,$D495,куб!S:S),IF($C495&lt;&gt;0,SUMIF(куб!$C:$C,$C495,куб!S:S),IF($B495&lt;&gt;0,SUMIF(куб!$B:$B,$B495,куб!S:S))))))</f>
        <v>0</v>
      </c>
      <c r="AH495" s="16" t="str">
        <f t="shared" si="175"/>
        <v>-</v>
      </c>
      <c r="AI495" s="8"/>
      <c r="AJ495" s="27" t="b">
        <f>IF($G495&lt;&gt;0,SUMIF(куб!$G:$G,$G495,куб!T:T),IF($E495&lt;&gt;0,SUMIF(куб!$E:$E,$E495,куб!T:T),IF($D495&lt;&gt;0,SUMIF(куб!$D:$D,$D495,куб!T:T),IF($C495&lt;&gt;0,SUMIF(куб!$C:$C,$C495,куб!T:T),IF($B495&lt;&gt;0,SUMIF(куб!$B:$B,$B495,куб!T:T))))))</f>
        <v>0</v>
      </c>
      <c r="AK495" s="27" t="b">
        <f>IF($G495&lt;&gt;0,SUMIF(куб!$G:$G,$G495,куб!U:U),IF($E495&lt;&gt;0,SUMIF(куб!$E:$E,$E495,куб!U:U),IF($D495&lt;&gt;0,SUMIF(куб!$D:$D,$D495,куб!U:U),IF($C495&lt;&gt;0,SUMIF(куб!$C:$C,$C495,куб!U:U),IF($B495&lt;&gt;0,SUMIF(куб!$B:$B,$B495,куб!U:U))))))</f>
        <v>0</v>
      </c>
      <c r="AL495" s="16" t="str">
        <f t="shared" si="176"/>
        <v>-</v>
      </c>
      <c r="AM495" s="8"/>
      <c r="AN495" s="17" t="str">
        <f t="shared" si="177"/>
        <v xml:space="preserve"> </v>
      </c>
      <c r="AO495" s="17" t="str">
        <f t="shared" si="178"/>
        <v xml:space="preserve"> </v>
      </c>
      <c r="AP495" s="16" t="str">
        <f t="shared" si="179"/>
        <v>-</v>
      </c>
      <c r="AQ495" s="8"/>
      <c r="AR495" s="17" t="str">
        <f t="shared" si="180"/>
        <v>-</v>
      </c>
      <c r="AS495" s="17" t="str">
        <f t="shared" si="181"/>
        <v>-</v>
      </c>
      <c r="AT495" s="13" t="str">
        <f t="shared" si="182"/>
        <v>-</v>
      </c>
      <c r="AU495" s="8"/>
    </row>
    <row r="496" spans="1:47" x14ac:dyDescent="0.25">
      <c r="A496" s="31"/>
      <c r="B496" s="31"/>
      <c r="C496"/>
      <c r="D496" s="31"/>
      <c r="E496"/>
      <c r="F496" s="31"/>
      <c r="G496"/>
      <c r="H496" s="27">
        <f>IF($G496&lt;&gt;0,SUMIF(куб!$G:$G,$G496,куб!H:H),IF($E496&lt;&gt;0,SUMIF(куб!$E:$E,$E496,куб!H:H),IF($D496&lt;&gt;0,SUMIF(куб!$D:$D,$D496,куб!H:H),IF($C496&lt;&gt;0,SUMIF(куб!$C:$C,$C496,куб!H:H),IF($B496&lt;&gt;0,SUMIF(куб!$B:$B,$B496,куб!H:H),IF($G496&lt;&gt;0,SUMIF(куб!$A:$A,$G496,куб!H:H),SUMIF(куб!$A:$A,$G496,куб!H:H)))))))</f>
        <v>0</v>
      </c>
      <c r="I496" s="27">
        <f>IF($G496&lt;&gt;0,SUMIF(куб!$G:$G,$G496,куб!I:I),IF($E496&lt;&gt;0,SUMIF(куб!$E:$E,$E496,куб!I:I),IF($D496&lt;&gt;0,SUMIF(куб!$D:$D,$D496,куб!I:I),IF($C496&lt;&gt;0,SUMIF(куб!$C:$C,$C496,куб!I:I),IF($B496&lt;&gt;0,SUMIF(куб!$B:$B,$B496,куб!I:I),IF($G496&lt;&gt;0,SUMIF(куб!$A:$A,$G496,куб!I:I),SUMIF(куб!$A:$A,$G496,куб!I:I)))))))</f>
        <v>0</v>
      </c>
      <c r="J496" s="19" t="str">
        <f t="shared" si="165"/>
        <v>-</v>
      </c>
      <c r="K496" s="8"/>
      <c r="L496" s="17">
        <f t="shared" si="166"/>
        <v>0</v>
      </c>
      <c r="M496" s="17">
        <f t="shared" si="167"/>
        <v>0</v>
      </c>
      <c r="N496" s="12">
        <f t="shared" si="168"/>
        <v>0</v>
      </c>
      <c r="O496" s="5"/>
      <c r="P496" s="27" t="b">
        <f>IF($G496&lt;&gt;0,SUMIF(куб!$G:$G,$G496,куб!J:J),IF($E496&lt;&gt;0,SUMIF(куб!$E:$E,$E496,куб!J:J),IF($D496&lt;&gt;0,SUMIF(куб!$D:$D,$D496,куб!J:J),IF($C496&lt;&gt;0,SUMIF(куб!$C:$C,$C496,куб!J:J),IF($B496&lt;&gt;0,SUMIF(куб!$B:$B,$B496,куб!J:J))))))</f>
        <v>0</v>
      </c>
      <c r="Q496" s="27" t="b">
        <f>IF($G496&lt;&gt;0,SUMIF(куб!$G:$G,$G496,куб!K:K),IF($E496&lt;&gt;0,SUMIF(куб!$E:$E,$E496,куб!K:K),IF($D496&lt;&gt;0,SUMIF(куб!$D:$D,$D496,куб!K:K),IF($C496&lt;&gt;0,SUMIF(куб!$C:$C,$C496,куб!K:K),IF($B496&lt;&gt;0,SUMIF(куб!$B:$B,$B496,куб!K:K))))))</f>
        <v>0</v>
      </c>
      <c r="R496" s="13" t="str">
        <f t="shared" si="169"/>
        <v>-</v>
      </c>
      <c r="S496" s="5"/>
      <c r="T496" s="27" t="b">
        <f>IF($G496&lt;&gt;0,SUMIF(куб!$G:$G,$G496,куб!L:L),IF($E496&lt;&gt;0,SUMIF(куб!$E:$E,$E496,куб!L:L),IF($D496&lt;&gt;0,SUMIF(куб!$D:$D,$D496,куб!L:L),IF($C496&lt;&gt;0,SUMIF(куб!$C:$C,$C496,куб!L:L),IF($B496&lt;&gt;0,SUMIF(куб!$B:$B,$B496,куб!L:L))))))</f>
        <v>0</v>
      </c>
      <c r="U496" s="27" t="b">
        <f>IF($G496&lt;&gt;0,SUMIF(куб!$G:$G,$G496,куб!M:M),IF($E496&lt;&gt;0,SUMIF(куб!$E:$E,$E496,куб!M:M),IF($D496&lt;&gt;0,SUMIF(куб!$D:$D,$D496,куб!M:M),IF($C496&lt;&gt;0,SUMIF(куб!$C:$C,$C496,куб!M:M),IF($B496&lt;&gt;0,SUMIF(куб!$B:$B,$B496,куб!M:M))))))</f>
        <v>0</v>
      </c>
      <c r="V496" s="13" t="str">
        <f t="shared" si="170"/>
        <v>-</v>
      </c>
      <c r="W496" s="5"/>
      <c r="X496" s="27" t="b">
        <f>IF($G496&lt;&gt;0,SUMIF(куб!$G:$G,$G496,куб!N:N),IF($E496&lt;&gt;0,SUMIF(куб!$E:$E,$E496,куб!N:N),IF($D496&lt;&gt;0,SUMIF(куб!$D:$D,$D496,куб!N:N),IF($C496&lt;&gt;0,SUMIF(куб!$C:$C,$C496,куб!N:N),IF($B496&lt;&gt;0,SUMIF(куб!$B:$B,$B496,куб!N:N))))))</f>
        <v>0</v>
      </c>
      <c r="Y496" s="27" t="b">
        <f>IF($G496&lt;&gt;0,SUMIF(куб!$G:$G,$G496,куб!O:O),IF($E496&lt;&gt;0,SUMIF(куб!$E:$E,$E496,куб!O:O),IF($D496&lt;&gt;0,SUMIF(куб!$D:$D,$D496,куб!O:O),IF($C496&lt;&gt;0,SUMIF(куб!$C:$C,$C496,куб!O:O),IF($B496&lt;&gt;0,SUMIF(куб!$B:$B,$B496,куб!O:O))))))</f>
        <v>0</v>
      </c>
      <c r="Z496" s="13" t="str">
        <f t="shared" si="171"/>
        <v>-</v>
      </c>
      <c r="AA496" s="5"/>
      <c r="AB496" s="33" t="str">
        <f t="shared" si="172"/>
        <v/>
      </c>
      <c r="AC496" s="33" t="str">
        <f t="shared" si="173"/>
        <v/>
      </c>
      <c r="AD496" s="15" t="str">
        <f t="shared" si="174"/>
        <v xml:space="preserve"> </v>
      </c>
      <c r="AE496" s="5"/>
      <c r="AF496" s="27" t="b">
        <f>IF($G496&lt;&gt;0,SUMIF(куб!$G:$G,$G496,куб!R:R),IF($E496&lt;&gt;0,SUMIF(куб!$E:$E,$E496,куб!R:R),IF($D496&lt;&gt;0,SUMIF(куб!$D:$D,$D496,куб!R:R),IF($C496&lt;&gt;0,SUMIF(куб!$C:$C,$C496,куб!R:R),IF($B496&lt;&gt;0,SUMIF(куб!$B:$B,$B496,куб!R:R))))))</f>
        <v>0</v>
      </c>
      <c r="AG496" s="27" t="b">
        <f>IF($G496&lt;&gt;0,SUMIF(куб!$G:$G,$G496,куб!S:S),IF($E496&lt;&gt;0,SUMIF(куб!$E:$E,$E496,куб!S:S),IF($D496&lt;&gt;0,SUMIF(куб!$D:$D,$D496,куб!S:S),IF($C496&lt;&gt;0,SUMIF(куб!$C:$C,$C496,куб!S:S),IF($B496&lt;&gt;0,SUMIF(куб!$B:$B,$B496,куб!S:S))))))</f>
        <v>0</v>
      </c>
      <c r="AH496" s="16" t="str">
        <f t="shared" si="175"/>
        <v>-</v>
      </c>
      <c r="AI496" s="8"/>
      <c r="AJ496" s="27" t="b">
        <f>IF($G496&lt;&gt;0,SUMIF(куб!$G:$G,$G496,куб!T:T),IF($E496&lt;&gt;0,SUMIF(куб!$E:$E,$E496,куб!T:T),IF($D496&lt;&gt;0,SUMIF(куб!$D:$D,$D496,куб!T:T),IF($C496&lt;&gt;0,SUMIF(куб!$C:$C,$C496,куб!T:T),IF($B496&lt;&gt;0,SUMIF(куб!$B:$B,$B496,куб!T:T))))))</f>
        <v>0</v>
      </c>
      <c r="AK496" s="27" t="b">
        <f>IF($G496&lt;&gt;0,SUMIF(куб!$G:$G,$G496,куб!U:U),IF($E496&lt;&gt;0,SUMIF(куб!$E:$E,$E496,куб!U:U),IF($D496&lt;&gt;0,SUMIF(куб!$D:$D,$D496,куб!U:U),IF($C496&lt;&gt;0,SUMIF(куб!$C:$C,$C496,куб!U:U),IF($B496&lt;&gt;0,SUMIF(куб!$B:$B,$B496,куб!U:U))))))</f>
        <v>0</v>
      </c>
      <c r="AL496" s="16" t="str">
        <f t="shared" si="176"/>
        <v>-</v>
      </c>
      <c r="AM496" s="8"/>
      <c r="AN496" s="17" t="str">
        <f t="shared" si="177"/>
        <v xml:space="preserve"> </v>
      </c>
      <c r="AO496" s="17" t="str">
        <f t="shared" si="178"/>
        <v xml:space="preserve"> </v>
      </c>
      <c r="AP496" s="16" t="str">
        <f t="shared" si="179"/>
        <v>-</v>
      </c>
      <c r="AQ496" s="8"/>
      <c r="AR496" s="17" t="str">
        <f t="shared" si="180"/>
        <v>-</v>
      </c>
      <c r="AS496" s="17" t="str">
        <f t="shared" si="181"/>
        <v>-</v>
      </c>
      <c r="AT496" s="13" t="str">
        <f t="shared" si="182"/>
        <v>-</v>
      </c>
      <c r="AU496" s="8"/>
    </row>
    <row r="497" spans="1:47" x14ac:dyDescent="0.25">
      <c r="A497" s="31"/>
      <c r="B497" s="31"/>
      <c r="C497"/>
      <c r="D497" s="31"/>
      <c r="E497"/>
      <c r="F497" s="31"/>
      <c r="G497"/>
      <c r="H497" s="27">
        <f>IF($G497&lt;&gt;0,SUMIF(куб!$G:$G,$G497,куб!H:H),IF($E497&lt;&gt;0,SUMIF(куб!$E:$E,$E497,куб!H:H),IF($D497&lt;&gt;0,SUMIF(куб!$D:$D,$D497,куб!H:H),IF($C497&lt;&gt;0,SUMIF(куб!$C:$C,$C497,куб!H:H),IF($B497&lt;&gt;0,SUMIF(куб!$B:$B,$B497,куб!H:H),IF($G497&lt;&gt;0,SUMIF(куб!$A:$A,$G497,куб!H:H),SUMIF(куб!$A:$A,$G497,куб!H:H)))))))</f>
        <v>0</v>
      </c>
      <c r="I497" s="27">
        <f>IF($G497&lt;&gt;0,SUMIF(куб!$G:$G,$G497,куб!I:I),IF($E497&lt;&gt;0,SUMIF(куб!$E:$E,$E497,куб!I:I),IF($D497&lt;&gt;0,SUMIF(куб!$D:$D,$D497,куб!I:I),IF($C497&lt;&gt;0,SUMIF(куб!$C:$C,$C497,куб!I:I),IF($B497&lt;&gt;0,SUMIF(куб!$B:$B,$B497,куб!I:I),IF($G497&lt;&gt;0,SUMIF(куб!$A:$A,$G497,куб!I:I),SUMIF(куб!$A:$A,$G497,куб!I:I)))))))</f>
        <v>0</v>
      </c>
      <c r="J497" s="19" t="str">
        <f t="shared" si="165"/>
        <v>-</v>
      </c>
      <c r="K497" s="8"/>
      <c r="L497" s="17">
        <f t="shared" si="166"/>
        <v>0</v>
      </c>
      <c r="M497" s="17">
        <f t="shared" si="167"/>
        <v>0</v>
      </c>
      <c r="N497" s="12">
        <f t="shared" si="168"/>
        <v>0</v>
      </c>
      <c r="O497" s="5"/>
      <c r="P497" s="27" t="b">
        <f>IF($G497&lt;&gt;0,SUMIF(куб!$G:$G,$G497,куб!J:J),IF($E497&lt;&gt;0,SUMIF(куб!$E:$E,$E497,куб!J:J),IF($D497&lt;&gt;0,SUMIF(куб!$D:$D,$D497,куб!J:J),IF($C497&lt;&gt;0,SUMIF(куб!$C:$C,$C497,куб!J:J),IF($B497&lt;&gt;0,SUMIF(куб!$B:$B,$B497,куб!J:J))))))</f>
        <v>0</v>
      </c>
      <c r="Q497" s="27" t="b">
        <f>IF($G497&lt;&gt;0,SUMIF(куб!$G:$G,$G497,куб!K:K),IF($E497&lt;&gt;0,SUMIF(куб!$E:$E,$E497,куб!K:K),IF($D497&lt;&gt;0,SUMIF(куб!$D:$D,$D497,куб!K:K),IF($C497&lt;&gt;0,SUMIF(куб!$C:$C,$C497,куб!K:K),IF($B497&lt;&gt;0,SUMIF(куб!$B:$B,$B497,куб!K:K))))))</f>
        <v>0</v>
      </c>
      <c r="R497" s="13" t="str">
        <f t="shared" si="169"/>
        <v>-</v>
      </c>
      <c r="S497" s="5"/>
      <c r="T497" s="27" t="b">
        <f>IF($G497&lt;&gt;0,SUMIF(куб!$G:$G,$G497,куб!L:L),IF($E497&lt;&gt;0,SUMIF(куб!$E:$E,$E497,куб!L:L),IF($D497&lt;&gt;0,SUMIF(куб!$D:$D,$D497,куб!L:L),IF($C497&lt;&gt;0,SUMIF(куб!$C:$C,$C497,куб!L:L),IF($B497&lt;&gt;0,SUMIF(куб!$B:$B,$B497,куб!L:L))))))</f>
        <v>0</v>
      </c>
      <c r="U497" s="27" t="b">
        <f>IF($G497&lt;&gt;0,SUMIF(куб!$G:$G,$G497,куб!M:M),IF($E497&lt;&gt;0,SUMIF(куб!$E:$E,$E497,куб!M:M),IF($D497&lt;&gt;0,SUMIF(куб!$D:$D,$D497,куб!M:M),IF($C497&lt;&gt;0,SUMIF(куб!$C:$C,$C497,куб!M:M),IF($B497&lt;&gt;0,SUMIF(куб!$B:$B,$B497,куб!M:M))))))</f>
        <v>0</v>
      </c>
      <c r="V497" s="13" t="str">
        <f t="shared" si="170"/>
        <v>-</v>
      </c>
      <c r="W497" s="5"/>
      <c r="X497" s="27" t="b">
        <f>IF($G497&lt;&gt;0,SUMIF(куб!$G:$G,$G497,куб!N:N),IF($E497&lt;&gt;0,SUMIF(куб!$E:$E,$E497,куб!N:N),IF($D497&lt;&gt;0,SUMIF(куб!$D:$D,$D497,куб!N:N),IF($C497&lt;&gt;0,SUMIF(куб!$C:$C,$C497,куб!N:N),IF($B497&lt;&gt;0,SUMIF(куб!$B:$B,$B497,куб!N:N))))))</f>
        <v>0</v>
      </c>
      <c r="Y497" s="27" t="b">
        <f>IF($G497&lt;&gt;0,SUMIF(куб!$G:$G,$G497,куб!O:O),IF($E497&lt;&gt;0,SUMIF(куб!$E:$E,$E497,куб!O:O),IF($D497&lt;&gt;0,SUMIF(куб!$D:$D,$D497,куб!O:O),IF($C497&lt;&gt;0,SUMIF(куб!$C:$C,$C497,куб!O:O),IF($B497&lt;&gt;0,SUMIF(куб!$B:$B,$B497,куб!O:O))))))</f>
        <v>0</v>
      </c>
      <c r="Z497" s="13" t="str">
        <f t="shared" si="171"/>
        <v>-</v>
      </c>
      <c r="AA497" s="5"/>
      <c r="AB497" s="33" t="str">
        <f t="shared" si="172"/>
        <v/>
      </c>
      <c r="AC497" s="33" t="str">
        <f t="shared" si="173"/>
        <v/>
      </c>
      <c r="AD497" s="15" t="str">
        <f t="shared" si="174"/>
        <v xml:space="preserve"> </v>
      </c>
      <c r="AE497" s="5"/>
      <c r="AF497" s="27" t="b">
        <f>IF($G497&lt;&gt;0,SUMIF(куб!$G:$G,$G497,куб!R:R),IF($E497&lt;&gt;0,SUMIF(куб!$E:$E,$E497,куб!R:R),IF($D497&lt;&gt;0,SUMIF(куб!$D:$D,$D497,куб!R:R),IF($C497&lt;&gt;0,SUMIF(куб!$C:$C,$C497,куб!R:R),IF($B497&lt;&gt;0,SUMIF(куб!$B:$B,$B497,куб!R:R))))))</f>
        <v>0</v>
      </c>
      <c r="AG497" s="27" t="b">
        <f>IF($G497&lt;&gt;0,SUMIF(куб!$G:$G,$G497,куб!S:S),IF($E497&lt;&gt;0,SUMIF(куб!$E:$E,$E497,куб!S:S),IF($D497&lt;&gt;0,SUMIF(куб!$D:$D,$D497,куб!S:S),IF($C497&lt;&gt;0,SUMIF(куб!$C:$C,$C497,куб!S:S),IF($B497&lt;&gt;0,SUMIF(куб!$B:$B,$B497,куб!S:S))))))</f>
        <v>0</v>
      </c>
      <c r="AH497" s="16" t="str">
        <f t="shared" si="175"/>
        <v>-</v>
      </c>
      <c r="AI497" s="8"/>
      <c r="AJ497" s="27" t="b">
        <f>IF($G497&lt;&gt;0,SUMIF(куб!$G:$G,$G497,куб!T:T),IF($E497&lt;&gt;0,SUMIF(куб!$E:$E,$E497,куб!T:T),IF($D497&lt;&gt;0,SUMIF(куб!$D:$D,$D497,куб!T:T),IF($C497&lt;&gt;0,SUMIF(куб!$C:$C,$C497,куб!T:T),IF($B497&lt;&gt;0,SUMIF(куб!$B:$B,$B497,куб!T:T))))))</f>
        <v>0</v>
      </c>
      <c r="AK497" s="27" t="b">
        <f>IF($G497&lt;&gt;0,SUMIF(куб!$G:$G,$G497,куб!U:U),IF($E497&lt;&gt;0,SUMIF(куб!$E:$E,$E497,куб!U:U),IF($D497&lt;&gt;0,SUMIF(куб!$D:$D,$D497,куб!U:U),IF($C497&lt;&gt;0,SUMIF(куб!$C:$C,$C497,куб!U:U),IF($B497&lt;&gt;0,SUMIF(куб!$B:$B,$B497,куб!U:U))))))</f>
        <v>0</v>
      </c>
      <c r="AL497" s="16" t="str">
        <f t="shared" si="176"/>
        <v>-</v>
      </c>
      <c r="AM497" s="8"/>
      <c r="AN497" s="17" t="str">
        <f t="shared" si="177"/>
        <v xml:space="preserve"> </v>
      </c>
      <c r="AO497" s="17" t="str">
        <f t="shared" si="178"/>
        <v xml:space="preserve"> </v>
      </c>
      <c r="AP497" s="16" t="str">
        <f t="shared" si="179"/>
        <v>-</v>
      </c>
      <c r="AQ497" s="8"/>
      <c r="AR497" s="17" t="str">
        <f t="shared" si="180"/>
        <v>-</v>
      </c>
      <c r="AS497" s="17" t="str">
        <f t="shared" si="181"/>
        <v>-</v>
      </c>
      <c r="AT497" s="13" t="str">
        <f t="shared" si="182"/>
        <v>-</v>
      </c>
      <c r="AU497" s="8"/>
    </row>
    <row r="498" spans="1:47" x14ac:dyDescent="0.25">
      <c r="A498" s="31"/>
      <c r="B498" s="31"/>
      <c r="C498"/>
      <c r="D498" s="31"/>
      <c r="E498"/>
      <c r="F498" s="31"/>
      <c r="G498"/>
      <c r="H498" s="27">
        <f>IF($G498&lt;&gt;0,SUMIF(куб!$G:$G,$G498,куб!H:H),IF($E498&lt;&gt;0,SUMIF(куб!$E:$E,$E498,куб!H:H),IF($D498&lt;&gt;0,SUMIF(куб!$D:$D,$D498,куб!H:H),IF($C498&lt;&gt;0,SUMIF(куб!$C:$C,$C498,куб!H:H),IF($B498&lt;&gt;0,SUMIF(куб!$B:$B,$B498,куб!H:H),IF($G498&lt;&gt;0,SUMIF(куб!$A:$A,$G498,куб!H:H),SUMIF(куб!$A:$A,$G498,куб!H:H)))))))</f>
        <v>0</v>
      </c>
      <c r="I498" s="27">
        <f>IF($G498&lt;&gt;0,SUMIF(куб!$G:$G,$G498,куб!I:I),IF($E498&lt;&gt;0,SUMIF(куб!$E:$E,$E498,куб!I:I),IF($D498&lt;&gt;0,SUMIF(куб!$D:$D,$D498,куб!I:I),IF($C498&lt;&gt;0,SUMIF(куб!$C:$C,$C498,куб!I:I),IF($B498&lt;&gt;0,SUMIF(куб!$B:$B,$B498,куб!I:I),IF($G498&lt;&gt;0,SUMIF(куб!$A:$A,$G498,куб!I:I),SUMIF(куб!$A:$A,$G498,куб!I:I)))))))</f>
        <v>0</v>
      </c>
      <c r="J498" s="19" t="str">
        <f t="shared" si="165"/>
        <v>-</v>
      </c>
      <c r="K498" s="8"/>
      <c r="L498" s="17">
        <f t="shared" si="166"/>
        <v>0</v>
      </c>
      <c r="M498" s="17">
        <f t="shared" si="167"/>
        <v>0</v>
      </c>
      <c r="N498" s="12">
        <f t="shared" si="168"/>
        <v>0</v>
      </c>
      <c r="O498" s="5"/>
      <c r="P498" s="27" t="b">
        <f>IF($G498&lt;&gt;0,SUMIF(куб!$G:$G,$G498,куб!J:J),IF($E498&lt;&gt;0,SUMIF(куб!$E:$E,$E498,куб!J:J),IF($D498&lt;&gt;0,SUMIF(куб!$D:$D,$D498,куб!J:J),IF($C498&lt;&gt;0,SUMIF(куб!$C:$C,$C498,куб!J:J),IF($B498&lt;&gt;0,SUMIF(куб!$B:$B,$B498,куб!J:J))))))</f>
        <v>0</v>
      </c>
      <c r="Q498" s="27" t="b">
        <f>IF($G498&lt;&gt;0,SUMIF(куб!$G:$G,$G498,куб!K:K),IF($E498&lt;&gt;0,SUMIF(куб!$E:$E,$E498,куб!K:K),IF($D498&lt;&gt;0,SUMIF(куб!$D:$D,$D498,куб!K:K),IF($C498&lt;&gt;0,SUMIF(куб!$C:$C,$C498,куб!K:K),IF($B498&lt;&gt;0,SUMIF(куб!$B:$B,$B498,куб!K:K))))))</f>
        <v>0</v>
      </c>
      <c r="R498" s="13" t="str">
        <f t="shared" si="169"/>
        <v>-</v>
      </c>
      <c r="S498" s="5"/>
      <c r="T498" s="27" t="b">
        <f>IF($G498&lt;&gt;0,SUMIF(куб!$G:$G,$G498,куб!L:L),IF($E498&lt;&gt;0,SUMIF(куб!$E:$E,$E498,куб!L:L),IF($D498&lt;&gt;0,SUMIF(куб!$D:$D,$D498,куб!L:L),IF($C498&lt;&gt;0,SUMIF(куб!$C:$C,$C498,куб!L:L),IF($B498&lt;&gt;0,SUMIF(куб!$B:$B,$B498,куб!L:L))))))</f>
        <v>0</v>
      </c>
      <c r="U498" s="27" t="b">
        <f>IF($G498&lt;&gt;0,SUMIF(куб!$G:$G,$G498,куб!M:M),IF($E498&lt;&gt;0,SUMIF(куб!$E:$E,$E498,куб!M:M),IF($D498&lt;&gt;0,SUMIF(куб!$D:$D,$D498,куб!M:M),IF($C498&lt;&gt;0,SUMIF(куб!$C:$C,$C498,куб!M:M),IF($B498&lt;&gt;0,SUMIF(куб!$B:$B,$B498,куб!M:M))))))</f>
        <v>0</v>
      </c>
      <c r="V498" s="13" t="str">
        <f t="shared" si="170"/>
        <v>-</v>
      </c>
      <c r="W498" s="5"/>
      <c r="X498" s="27" t="b">
        <f>IF($G498&lt;&gt;0,SUMIF(куб!$G:$G,$G498,куб!N:N),IF($E498&lt;&gt;0,SUMIF(куб!$E:$E,$E498,куб!N:N),IF($D498&lt;&gt;0,SUMIF(куб!$D:$D,$D498,куб!N:N),IF($C498&lt;&gt;0,SUMIF(куб!$C:$C,$C498,куб!N:N),IF($B498&lt;&gt;0,SUMIF(куб!$B:$B,$B498,куб!N:N))))))</f>
        <v>0</v>
      </c>
      <c r="Y498" s="27" t="b">
        <f>IF($G498&lt;&gt;0,SUMIF(куб!$G:$G,$G498,куб!O:O),IF($E498&lt;&gt;0,SUMIF(куб!$E:$E,$E498,куб!O:O),IF($D498&lt;&gt;0,SUMIF(куб!$D:$D,$D498,куб!O:O),IF($C498&lt;&gt;0,SUMIF(куб!$C:$C,$C498,куб!O:O),IF($B498&lt;&gt;0,SUMIF(куб!$B:$B,$B498,куб!O:O))))))</f>
        <v>0</v>
      </c>
      <c r="Z498" s="13" t="str">
        <f t="shared" si="171"/>
        <v>-</v>
      </c>
      <c r="AA498" s="5"/>
      <c r="AB498" s="33" t="str">
        <f t="shared" si="172"/>
        <v/>
      </c>
      <c r="AC498" s="33" t="str">
        <f t="shared" si="173"/>
        <v/>
      </c>
      <c r="AD498" s="15" t="str">
        <f t="shared" si="174"/>
        <v xml:space="preserve"> </v>
      </c>
      <c r="AE498" s="5"/>
      <c r="AF498" s="27" t="b">
        <f>IF($G498&lt;&gt;0,SUMIF(куб!$G:$G,$G498,куб!R:R),IF($E498&lt;&gt;0,SUMIF(куб!$E:$E,$E498,куб!R:R),IF($D498&lt;&gt;0,SUMIF(куб!$D:$D,$D498,куб!R:R),IF($C498&lt;&gt;0,SUMIF(куб!$C:$C,$C498,куб!R:R),IF($B498&lt;&gt;0,SUMIF(куб!$B:$B,$B498,куб!R:R))))))</f>
        <v>0</v>
      </c>
      <c r="AG498" s="27" t="b">
        <f>IF($G498&lt;&gt;0,SUMIF(куб!$G:$G,$G498,куб!S:S),IF($E498&lt;&gt;0,SUMIF(куб!$E:$E,$E498,куб!S:S),IF($D498&lt;&gt;0,SUMIF(куб!$D:$D,$D498,куб!S:S),IF($C498&lt;&gt;0,SUMIF(куб!$C:$C,$C498,куб!S:S),IF($B498&lt;&gt;0,SUMIF(куб!$B:$B,$B498,куб!S:S))))))</f>
        <v>0</v>
      </c>
      <c r="AH498" s="16" t="str">
        <f t="shared" si="175"/>
        <v>-</v>
      </c>
      <c r="AI498" s="8"/>
      <c r="AJ498" s="27" t="b">
        <f>IF($G498&lt;&gt;0,SUMIF(куб!$G:$G,$G498,куб!T:T),IF($E498&lt;&gt;0,SUMIF(куб!$E:$E,$E498,куб!T:T),IF($D498&lt;&gt;0,SUMIF(куб!$D:$D,$D498,куб!T:T),IF($C498&lt;&gt;0,SUMIF(куб!$C:$C,$C498,куб!T:T),IF($B498&lt;&gt;0,SUMIF(куб!$B:$B,$B498,куб!T:T))))))</f>
        <v>0</v>
      </c>
      <c r="AK498" s="27" t="b">
        <f>IF($G498&lt;&gt;0,SUMIF(куб!$G:$G,$G498,куб!U:U),IF($E498&lt;&gt;0,SUMIF(куб!$E:$E,$E498,куб!U:U),IF($D498&lt;&gt;0,SUMIF(куб!$D:$D,$D498,куб!U:U),IF($C498&lt;&gt;0,SUMIF(куб!$C:$C,$C498,куб!U:U),IF($B498&lt;&gt;0,SUMIF(куб!$B:$B,$B498,куб!U:U))))))</f>
        <v>0</v>
      </c>
      <c r="AL498" s="16" t="str">
        <f t="shared" si="176"/>
        <v>-</v>
      </c>
      <c r="AM498" s="8"/>
      <c r="AN498" s="17" t="str">
        <f t="shared" si="177"/>
        <v xml:space="preserve"> </v>
      </c>
      <c r="AO498" s="17" t="str">
        <f t="shared" si="178"/>
        <v xml:space="preserve"> </v>
      </c>
      <c r="AP498" s="16" t="str">
        <f t="shared" si="179"/>
        <v>-</v>
      </c>
      <c r="AQ498" s="8"/>
      <c r="AR498" s="17" t="str">
        <f t="shared" si="180"/>
        <v>-</v>
      </c>
      <c r="AS498" s="17" t="str">
        <f t="shared" si="181"/>
        <v>-</v>
      </c>
      <c r="AT498" s="13" t="str">
        <f t="shared" si="182"/>
        <v>-</v>
      </c>
      <c r="AU498" s="8"/>
    </row>
    <row r="499" spans="1:47" x14ac:dyDescent="0.25">
      <c r="A499" s="31"/>
      <c r="B499" s="31"/>
      <c r="C499"/>
      <c r="D499" s="31"/>
      <c r="E499"/>
      <c r="F499" s="31"/>
      <c r="G499"/>
      <c r="H499" s="27">
        <f>IF($G499&lt;&gt;0,SUMIF(куб!$G:$G,$G499,куб!H:H),IF($E499&lt;&gt;0,SUMIF(куб!$E:$E,$E499,куб!H:H),IF($D499&lt;&gt;0,SUMIF(куб!$D:$D,$D499,куб!H:H),IF($C499&lt;&gt;0,SUMIF(куб!$C:$C,$C499,куб!H:H),IF($B499&lt;&gt;0,SUMIF(куб!$B:$B,$B499,куб!H:H),IF($G499&lt;&gt;0,SUMIF(куб!$A:$A,$G499,куб!H:H),SUMIF(куб!$A:$A,$G499,куб!H:H)))))))</f>
        <v>0</v>
      </c>
      <c r="I499" s="27">
        <f>IF($G499&lt;&gt;0,SUMIF(куб!$G:$G,$G499,куб!I:I),IF($E499&lt;&gt;0,SUMIF(куб!$E:$E,$E499,куб!I:I),IF($D499&lt;&gt;0,SUMIF(куб!$D:$D,$D499,куб!I:I),IF($C499&lt;&gt;0,SUMIF(куб!$C:$C,$C499,куб!I:I),IF($B499&lt;&gt;0,SUMIF(куб!$B:$B,$B499,куб!I:I),IF($G499&lt;&gt;0,SUMIF(куб!$A:$A,$G499,куб!I:I),SUMIF(куб!$A:$A,$G499,куб!I:I)))))))</f>
        <v>0</v>
      </c>
      <c r="J499" s="19" t="str">
        <f t="shared" si="165"/>
        <v>-</v>
      </c>
      <c r="K499" s="8"/>
      <c r="L499" s="17">
        <f t="shared" si="166"/>
        <v>0</v>
      </c>
      <c r="M499" s="17">
        <f t="shared" si="167"/>
        <v>0</v>
      </c>
      <c r="N499" s="12">
        <f t="shared" si="168"/>
        <v>0</v>
      </c>
      <c r="O499" s="5"/>
      <c r="P499" s="27" t="b">
        <f>IF($G499&lt;&gt;0,SUMIF(куб!$G:$G,$G499,куб!J:J),IF($E499&lt;&gt;0,SUMIF(куб!$E:$E,$E499,куб!J:J),IF($D499&lt;&gt;0,SUMIF(куб!$D:$D,$D499,куб!J:J),IF($C499&lt;&gt;0,SUMIF(куб!$C:$C,$C499,куб!J:J),IF($B499&lt;&gt;0,SUMIF(куб!$B:$B,$B499,куб!J:J))))))</f>
        <v>0</v>
      </c>
      <c r="Q499" s="27" t="b">
        <f>IF($G499&lt;&gt;0,SUMIF(куб!$G:$G,$G499,куб!K:K),IF($E499&lt;&gt;0,SUMIF(куб!$E:$E,$E499,куб!K:K),IF($D499&lt;&gt;0,SUMIF(куб!$D:$D,$D499,куб!K:K),IF($C499&lt;&gt;0,SUMIF(куб!$C:$C,$C499,куб!K:K),IF($B499&lt;&gt;0,SUMIF(куб!$B:$B,$B499,куб!K:K))))))</f>
        <v>0</v>
      </c>
      <c r="R499" s="13" t="str">
        <f t="shared" si="169"/>
        <v>-</v>
      </c>
      <c r="S499" s="5"/>
      <c r="T499" s="27" t="b">
        <f>IF($G499&lt;&gt;0,SUMIF(куб!$G:$G,$G499,куб!L:L),IF($E499&lt;&gt;0,SUMIF(куб!$E:$E,$E499,куб!L:L),IF($D499&lt;&gt;0,SUMIF(куб!$D:$D,$D499,куб!L:L),IF($C499&lt;&gt;0,SUMIF(куб!$C:$C,$C499,куб!L:L),IF($B499&lt;&gt;0,SUMIF(куб!$B:$B,$B499,куб!L:L))))))</f>
        <v>0</v>
      </c>
      <c r="U499" s="27" t="b">
        <f>IF($G499&lt;&gt;0,SUMIF(куб!$G:$G,$G499,куб!M:M),IF($E499&lt;&gt;0,SUMIF(куб!$E:$E,$E499,куб!M:M),IF($D499&lt;&gt;0,SUMIF(куб!$D:$D,$D499,куб!M:M),IF($C499&lt;&gt;0,SUMIF(куб!$C:$C,$C499,куб!M:M),IF($B499&lt;&gt;0,SUMIF(куб!$B:$B,$B499,куб!M:M))))))</f>
        <v>0</v>
      </c>
      <c r="V499" s="13" t="str">
        <f t="shared" si="170"/>
        <v>-</v>
      </c>
      <c r="W499" s="5"/>
      <c r="X499" s="27" t="b">
        <f>IF($G499&lt;&gt;0,SUMIF(куб!$G:$G,$G499,куб!N:N),IF($E499&lt;&gt;0,SUMIF(куб!$E:$E,$E499,куб!N:N),IF($D499&lt;&gt;0,SUMIF(куб!$D:$D,$D499,куб!N:N),IF($C499&lt;&gt;0,SUMIF(куб!$C:$C,$C499,куб!N:N),IF($B499&lt;&gt;0,SUMIF(куб!$B:$B,$B499,куб!N:N))))))</f>
        <v>0</v>
      </c>
      <c r="Y499" s="27" t="b">
        <f>IF($G499&lt;&gt;0,SUMIF(куб!$G:$G,$G499,куб!O:O),IF($E499&lt;&gt;0,SUMIF(куб!$E:$E,$E499,куб!O:O),IF($D499&lt;&gt;0,SUMIF(куб!$D:$D,$D499,куб!O:O),IF($C499&lt;&gt;0,SUMIF(куб!$C:$C,$C499,куб!O:O),IF($B499&lt;&gt;0,SUMIF(куб!$B:$B,$B499,куб!O:O))))))</f>
        <v>0</v>
      </c>
      <c r="Z499" s="13" t="str">
        <f t="shared" si="171"/>
        <v>-</v>
      </c>
      <c r="AA499" s="5"/>
      <c r="AB499" s="33" t="str">
        <f t="shared" si="172"/>
        <v/>
      </c>
      <c r="AC499" s="33" t="str">
        <f t="shared" si="173"/>
        <v/>
      </c>
      <c r="AD499" s="15" t="str">
        <f t="shared" si="174"/>
        <v xml:space="preserve"> </v>
      </c>
      <c r="AE499" s="5"/>
      <c r="AF499" s="27" t="b">
        <f>IF($G499&lt;&gt;0,SUMIF(куб!$G:$G,$G499,куб!R:R),IF($E499&lt;&gt;0,SUMIF(куб!$E:$E,$E499,куб!R:R),IF($D499&lt;&gt;0,SUMIF(куб!$D:$D,$D499,куб!R:R),IF($C499&lt;&gt;0,SUMIF(куб!$C:$C,$C499,куб!R:R),IF($B499&lt;&gt;0,SUMIF(куб!$B:$B,$B499,куб!R:R))))))</f>
        <v>0</v>
      </c>
      <c r="AG499" s="27" t="b">
        <f>IF($G499&lt;&gt;0,SUMIF(куб!$G:$G,$G499,куб!S:S),IF($E499&lt;&gt;0,SUMIF(куб!$E:$E,$E499,куб!S:S),IF($D499&lt;&gt;0,SUMIF(куб!$D:$D,$D499,куб!S:S),IF($C499&lt;&gt;0,SUMIF(куб!$C:$C,$C499,куб!S:S),IF($B499&lt;&gt;0,SUMIF(куб!$B:$B,$B499,куб!S:S))))))</f>
        <v>0</v>
      </c>
      <c r="AH499" s="16" t="str">
        <f t="shared" si="175"/>
        <v>-</v>
      </c>
      <c r="AI499" s="8"/>
      <c r="AJ499" s="27" t="b">
        <f>IF($G499&lt;&gt;0,SUMIF(куб!$G:$G,$G499,куб!T:T),IF($E499&lt;&gt;0,SUMIF(куб!$E:$E,$E499,куб!T:T),IF($D499&lt;&gt;0,SUMIF(куб!$D:$D,$D499,куб!T:T),IF($C499&lt;&gt;0,SUMIF(куб!$C:$C,$C499,куб!T:T),IF($B499&lt;&gt;0,SUMIF(куб!$B:$B,$B499,куб!T:T))))))</f>
        <v>0</v>
      </c>
      <c r="AK499" s="27" t="b">
        <f>IF($G499&lt;&gt;0,SUMIF(куб!$G:$G,$G499,куб!U:U),IF($E499&lt;&gt;0,SUMIF(куб!$E:$E,$E499,куб!U:U),IF($D499&lt;&gt;0,SUMIF(куб!$D:$D,$D499,куб!U:U),IF($C499&lt;&gt;0,SUMIF(куб!$C:$C,$C499,куб!U:U),IF($B499&lt;&gt;0,SUMIF(куб!$B:$B,$B499,куб!U:U))))))</f>
        <v>0</v>
      </c>
      <c r="AL499" s="16" t="str">
        <f t="shared" si="176"/>
        <v>-</v>
      </c>
      <c r="AM499" s="8"/>
      <c r="AN499" s="17" t="str">
        <f t="shared" si="177"/>
        <v xml:space="preserve"> </v>
      </c>
      <c r="AO499" s="17" t="str">
        <f t="shared" si="178"/>
        <v xml:space="preserve"> </v>
      </c>
      <c r="AP499" s="16" t="str">
        <f t="shared" si="179"/>
        <v>-</v>
      </c>
      <c r="AQ499" s="8"/>
      <c r="AR499" s="17" t="str">
        <f t="shared" si="180"/>
        <v>-</v>
      </c>
      <c r="AS499" s="17" t="str">
        <f t="shared" si="181"/>
        <v>-</v>
      </c>
      <c r="AT499" s="13" t="str">
        <f t="shared" si="182"/>
        <v>-</v>
      </c>
      <c r="AU499" s="8"/>
    </row>
    <row r="500" spans="1:47" x14ac:dyDescent="0.25">
      <c r="A500" s="31"/>
      <c r="B500" s="31"/>
      <c r="C500"/>
      <c r="D500" s="31"/>
      <c r="E500"/>
      <c r="F500" s="31"/>
      <c r="G500"/>
      <c r="H500" s="27">
        <f>IF($G500&lt;&gt;0,SUMIF(куб!$G:$G,$G500,куб!H:H),IF($E500&lt;&gt;0,SUMIF(куб!$E:$E,$E500,куб!H:H),IF($D500&lt;&gt;0,SUMIF(куб!$D:$D,$D500,куб!H:H),IF($C500&lt;&gt;0,SUMIF(куб!$C:$C,$C500,куб!H:H),IF($B500&lt;&gt;0,SUMIF(куб!$B:$B,$B500,куб!H:H),IF($G500&lt;&gt;0,SUMIF(куб!$A:$A,$G500,куб!H:H),SUMIF(куб!$A:$A,$G500,куб!H:H)))))))</f>
        <v>0</v>
      </c>
      <c r="I500" s="27">
        <f>IF($G500&lt;&gt;0,SUMIF(куб!$G:$G,$G500,куб!I:I),IF($E500&lt;&gt;0,SUMIF(куб!$E:$E,$E500,куб!I:I),IF($D500&lt;&gt;0,SUMIF(куб!$D:$D,$D500,куб!I:I),IF($C500&lt;&gt;0,SUMIF(куб!$C:$C,$C500,куб!I:I),IF($B500&lt;&gt;0,SUMIF(куб!$B:$B,$B500,куб!I:I),IF($G500&lt;&gt;0,SUMIF(куб!$A:$A,$G500,куб!I:I),SUMIF(куб!$A:$A,$G500,куб!I:I)))))))</f>
        <v>0</v>
      </c>
      <c r="J500" s="19" t="str">
        <f t="shared" si="165"/>
        <v>-</v>
      </c>
      <c r="K500" s="8"/>
      <c r="L500" s="17">
        <f t="shared" si="166"/>
        <v>0</v>
      </c>
      <c r="M500" s="17">
        <f t="shared" si="167"/>
        <v>0</v>
      </c>
      <c r="N500" s="12">
        <f t="shared" si="168"/>
        <v>0</v>
      </c>
      <c r="O500" s="5"/>
      <c r="P500" s="27" t="b">
        <f>IF($G500&lt;&gt;0,SUMIF(куб!$G:$G,$G500,куб!J:J),IF($E500&lt;&gt;0,SUMIF(куб!$E:$E,$E500,куб!J:J),IF($D500&lt;&gt;0,SUMIF(куб!$D:$D,$D500,куб!J:J),IF($C500&lt;&gt;0,SUMIF(куб!$C:$C,$C500,куб!J:J),IF($B500&lt;&gt;0,SUMIF(куб!$B:$B,$B500,куб!J:J))))))</f>
        <v>0</v>
      </c>
      <c r="Q500" s="27" t="b">
        <f>IF($G500&lt;&gt;0,SUMIF(куб!$G:$G,$G500,куб!K:K),IF($E500&lt;&gt;0,SUMIF(куб!$E:$E,$E500,куб!K:K),IF($D500&lt;&gt;0,SUMIF(куб!$D:$D,$D500,куб!K:K),IF($C500&lt;&gt;0,SUMIF(куб!$C:$C,$C500,куб!K:K),IF($B500&lt;&gt;0,SUMIF(куб!$B:$B,$B500,куб!K:K))))))</f>
        <v>0</v>
      </c>
      <c r="R500" s="13" t="str">
        <f t="shared" si="169"/>
        <v>-</v>
      </c>
      <c r="S500" s="5"/>
      <c r="T500" s="27" t="b">
        <f>IF($G500&lt;&gt;0,SUMIF(куб!$G:$G,$G500,куб!L:L),IF($E500&lt;&gt;0,SUMIF(куб!$E:$E,$E500,куб!L:L),IF($D500&lt;&gt;0,SUMIF(куб!$D:$D,$D500,куб!L:L),IF($C500&lt;&gt;0,SUMIF(куб!$C:$C,$C500,куб!L:L),IF($B500&lt;&gt;0,SUMIF(куб!$B:$B,$B500,куб!L:L))))))</f>
        <v>0</v>
      </c>
      <c r="U500" s="27" t="b">
        <f>IF($G500&lt;&gt;0,SUMIF(куб!$G:$G,$G500,куб!M:M),IF($E500&lt;&gt;0,SUMIF(куб!$E:$E,$E500,куб!M:M),IF($D500&lt;&gt;0,SUMIF(куб!$D:$D,$D500,куб!M:M),IF($C500&lt;&gt;0,SUMIF(куб!$C:$C,$C500,куб!M:M),IF($B500&lt;&gt;0,SUMIF(куб!$B:$B,$B500,куб!M:M))))))</f>
        <v>0</v>
      </c>
      <c r="V500" s="13" t="str">
        <f t="shared" si="170"/>
        <v>-</v>
      </c>
      <c r="W500" s="5"/>
      <c r="X500" s="27" t="b">
        <f>IF($G500&lt;&gt;0,SUMIF(куб!$G:$G,$G500,куб!N:N),IF($E500&lt;&gt;0,SUMIF(куб!$E:$E,$E500,куб!N:N),IF($D500&lt;&gt;0,SUMIF(куб!$D:$D,$D500,куб!N:N),IF($C500&lt;&gt;0,SUMIF(куб!$C:$C,$C500,куб!N:N),IF($B500&lt;&gt;0,SUMIF(куб!$B:$B,$B500,куб!N:N))))))</f>
        <v>0</v>
      </c>
      <c r="Y500" s="27" t="b">
        <f>IF($G500&lt;&gt;0,SUMIF(куб!$G:$G,$G500,куб!O:O),IF($E500&lt;&gt;0,SUMIF(куб!$E:$E,$E500,куб!O:O),IF($D500&lt;&gt;0,SUMIF(куб!$D:$D,$D500,куб!O:O),IF($C500&lt;&gt;0,SUMIF(куб!$C:$C,$C500,куб!O:O),IF($B500&lt;&gt;0,SUMIF(куб!$B:$B,$B500,куб!O:O))))))</f>
        <v>0</v>
      </c>
      <c r="Z500" s="13" t="str">
        <f t="shared" si="171"/>
        <v>-</v>
      </c>
      <c r="AA500" s="5"/>
      <c r="AB500" s="33" t="str">
        <f t="shared" si="172"/>
        <v/>
      </c>
      <c r="AC500" s="33" t="str">
        <f t="shared" si="173"/>
        <v/>
      </c>
      <c r="AD500" s="15" t="str">
        <f t="shared" si="174"/>
        <v xml:space="preserve"> </v>
      </c>
      <c r="AE500" s="5"/>
      <c r="AF500" s="27" t="b">
        <f>IF($G500&lt;&gt;0,SUMIF(куб!$G:$G,$G500,куб!R:R),IF($E500&lt;&gt;0,SUMIF(куб!$E:$E,$E500,куб!R:R),IF($D500&lt;&gt;0,SUMIF(куб!$D:$D,$D500,куб!R:R),IF($C500&lt;&gt;0,SUMIF(куб!$C:$C,$C500,куб!R:R),IF($B500&lt;&gt;0,SUMIF(куб!$B:$B,$B500,куб!R:R))))))</f>
        <v>0</v>
      </c>
      <c r="AG500" s="27" t="b">
        <f>IF($G500&lt;&gt;0,SUMIF(куб!$G:$G,$G500,куб!S:S),IF($E500&lt;&gt;0,SUMIF(куб!$E:$E,$E500,куб!S:S),IF($D500&lt;&gt;0,SUMIF(куб!$D:$D,$D500,куб!S:S),IF($C500&lt;&gt;0,SUMIF(куб!$C:$C,$C500,куб!S:S),IF($B500&lt;&gt;0,SUMIF(куб!$B:$B,$B500,куб!S:S))))))</f>
        <v>0</v>
      </c>
      <c r="AH500" s="16" t="str">
        <f t="shared" si="175"/>
        <v>-</v>
      </c>
      <c r="AI500" s="8"/>
      <c r="AJ500" s="27" t="b">
        <f>IF($G500&lt;&gt;0,SUMIF(куб!$G:$G,$G500,куб!T:T),IF($E500&lt;&gt;0,SUMIF(куб!$E:$E,$E500,куб!T:T),IF($D500&lt;&gt;0,SUMIF(куб!$D:$D,$D500,куб!T:T),IF($C500&lt;&gt;0,SUMIF(куб!$C:$C,$C500,куб!T:T),IF($B500&lt;&gt;0,SUMIF(куб!$B:$B,$B500,куб!T:T))))))</f>
        <v>0</v>
      </c>
      <c r="AK500" s="27" t="b">
        <f>IF($G500&lt;&gt;0,SUMIF(куб!$G:$G,$G500,куб!U:U),IF($E500&lt;&gt;0,SUMIF(куб!$E:$E,$E500,куб!U:U),IF($D500&lt;&gt;0,SUMIF(куб!$D:$D,$D500,куб!U:U),IF($C500&lt;&gt;0,SUMIF(куб!$C:$C,$C500,куб!U:U),IF($B500&lt;&gt;0,SUMIF(куб!$B:$B,$B500,куб!U:U))))))</f>
        <v>0</v>
      </c>
      <c r="AL500" s="16" t="str">
        <f t="shared" si="176"/>
        <v>-</v>
      </c>
      <c r="AM500" s="8"/>
      <c r="AN500" s="17" t="str">
        <f t="shared" si="177"/>
        <v xml:space="preserve"> </v>
      </c>
      <c r="AO500" s="17" t="str">
        <f t="shared" si="178"/>
        <v xml:space="preserve"> </v>
      </c>
      <c r="AP500" s="16" t="str">
        <f t="shared" si="179"/>
        <v>-</v>
      </c>
      <c r="AQ500" s="8"/>
      <c r="AR500" s="17" t="str">
        <f t="shared" si="180"/>
        <v>-</v>
      </c>
      <c r="AS500" s="17" t="str">
        <f t="shared" si="181"/>
        <v>-</v>
      </c>
      <c r="AT500" s="13" t="str">
        <f t="shared" si="182"/>
        <v>-</v>
      </c>
      <c r="AU500" s="8"/>
    </row>
    <row r="501" spans="1:47" x14ac:dyDescent="0.25">
      <c r="A501" s="31"/>
      <c r="B501" s="31"/>
      <c r="C501"/>
      <c r="D501" s="31"/>
      <c r="E501"/>
      <c r="F501" s="31"/>
      <c r="G501"/>
      <c r="H501" s="27">
        <f>IF($G501&lt;&gt;0,SUMIF(куб!$G:$G,$G501,куб!H:H),IF($E501&lt;&gt;0,SUMIF(куб!$E:$E,$E501,куб!H:H),IF($D501&lt;&gt;0,SUMIF(куб!$D:$D,$D501,куб!H:H),IF($C501&lt;&gt;0,SUMIF(куб!$C:$C,$C501,куб!H:H),IF($B501&lt;&gt;0,SUMIF(куб!$B:$B,$B501,куб!H:H),IF($G501&lt;&gt;0,SUMIF(куб!$A:$A,$G501,куб!H:H),SUMIF(куб!$A:$A,$G501,куб!H:H)))))))</f>
        <v>0</v>
      </c>
      <c r="I501" s="27">
        <f>IF($G501&lt;&gt;0,SUMIF(куб!$G:$G,$G501,куб!I:I),IF($E501&lt;&gt;0,SUMIF(куб!$E:$E,$E501,куб!I:I),IF($D501&lt;&gt;0,SUMIF(куб!$D:$D,$D501,куб!I:I),IF($C501&lt;&gt;0,SUMIF(куб!$C:$C,$C501,куб!I:I),IF($B501&lt;&gt;0,SUMIF(куб!$B:$B,$B501,куб!I:I),IF($G501&lt;&gt;0,SUMIF(куб!$A:$A,$G501,куб!I:I),SUMIF(куб!$A:$A,$G501,куб!I:I)))))))</f>
        <v>0</v>
      </c>
      <c r="J501" s="19" t="str">
        <f t="shared" si="165"/>
        <v>-</v>
      </c>
      <c r="K501" s="8"/>
      <c r="L501" s="17">
        <f t="shared" si="166"/>
        <v>0</v>
      </c>
      <c r="M501" s="17">
        <f t="shared" si="167"/>
        <v>0</v>
      </c>
      <c r="N501" s="12">
        <f t="shared" si="168"/>
        <v>0</v>
      </c>
      <c r="O501" s="5"/>
      <c r="P501" s="27" t="b">
        <f>IF($G501&lt;&gt;0,SUMIF(куб!$G:$G,$G501,куб!J:J),IF($E501&lt;&gt;0,SUMIF(куб!$E:$E,$E501,куб!J:J),IF($D501&lt;&gt;0,SUMIF(куб!$D:$D,$D501,куб!J:J),IF($C501&lt;&gt;0,SUMIF(куб!$C:$C,$C501,куб!J:J),IF($B501&lt;&gt;0,SUMIF(куб!$B:$B,$B501,куб!J:J))))))</f>
        <v>0</v>
      </c>
      <c r="Q501" s="27" t="b">
        <f>IF($G501&lt;&gt;0,SUMIF(куб!$G:$G,$G501,куб!K:K),IF($E501&lt;&gt;0,SUMIF(куб!$E:$E,$E501,куб!K:K),IF($D501&lt;&gt;0,SUMIF(куб!$D:$D,$D501,куб!K:K),IF($C501&lt;&gt;0,SUMIF(куб!$C:$C,$C501,куб!K:K),IF($B501&lt;&gt;0,SUMIF(куб!$B:$B,$B501,куб!K:K))))))</f>
        <v>0</v>
      </c>
      <c r="R501" s="13" t="str">
        <f t="shared" si="169"/>
        <v>-</v>
      </c>
      <c r="S501" s="5"/>
      <c r="T501" s="27" t="b">
        <f>IF($G501&lt;&gt;0,SUMIF(куб!$G:$G,$G501,куб!L:L),IF($E501&lt;&gt;0,SUMIF(куб!$E:$E,$E501,куб!L:L),IF($D501&lt;&gt;0,SUMIF(куб!$D:$D,$D501,куб!L:L),IF($C501&lt;&gt;0,SUMIF(куб!$C:$C,$C501,куб!L:L),IF($B501&lt;&gt;0,SUMIF(куб!$B:$B,$B501,куб!L:L))))))</f>
        <v>0</v>
      </c>
      <c r="U501" s="27" t="b">
        <f>IF($G501&lt;&gt;0,SUMIF(куб!$G:$G,$G501,куб!M:M),IF($E501&lt;&gt;0,SUMIF(куб!$E:$E,$E501,куб!M:M),IF($D501&lt;&gt;0,SUMIF(куб!$D:$D,$D501,куб!M:M),IF($C501&lt;&gt;0,SUMIF(куб!$C:$C,$C501,куб!M:M),IF($B501&lt;&gt;0,SUMIF(куб!$B:$B,$B501,куб!M:M))))))</f>
        <v>0</v>
      </c>
      <c r="V501" s="13" t="str">
        <f t="shared" si="170"/>
        <v>-</v>
      </c>
      <c r="W501" s="5"/>
      <c r="X501" s="27" t="b">
        <f>IF($G501&lt;&gt;0,SUMIF(куб!$G:$G,$G501,куб!N:N),IF($E501&lt;&gt;0,SUMIF(куб!$E:$E,$E501,куб!N:N),IF($D501&lt;&gt;0,SUMIF(куб!$D:$D,$D501,куб!N:N),IF($C501&lt;&gt;0,SUMIF(куб!$C:$C,$C501,куб!N:N),IF($B501&lt;&gt;0,SUMIF(куб!$B:$B,$B501,куб!N:N))))))</f>
        <v>0</v>
      </c>
      <c r="Y501" s="27" t="b">
        <f>IF($G501&lt;&gt;0,SUMIF(куб!$G:$G,$G501,куб!O:O),IF($E501&lt;&gt;0,SUMIF(куб!$E:$E,$E501,куб!O:O),IF($D501&lt;&gt;0,SUMIF(куб!$D:$D,$D501,куб!O:O),IF($C501&lt;&gt;0,SUMIF(куб!$C:$C,$C501,куб!O:O),IF($B501&lt;&gt;0,SUMIF(куб!$B:$B,$B501,куб!O:O))))))</f>
        <v>0</v>
      </c>
      <c r="Z501" s="13" t="str">
        <f t="shared" si="171"/>
        <v>-</v>
      </c>
      <c r="AA501" s="5"/>
      <c r="AB501" s="33" t="str">
        <f t="shared" si="172"/>
        <v/>
      </c>
      <c r="AC501" s="33" t="str">
        <f t="shared" si="173"/>
        <v/>
      </c>
      <c r="AD501" s="15" t="str">
        <f t="shared" si="174"/>
        <v xml:space="preserve"> </v>
      </c>
      <c r="AE501" s="5"/>
      <c r="AF501" s="27" t="b">
        <f>IF($G501&lt;&gt;0,SUMIF(куб!$G:$G,$G501,куб!R:R),IF($E501&lt;&gt;0,SUMIF(куб!$E:$E,$E501,куб!R:R),IF($D501&lt;&gt;0,SUMIF(куб!$D:$D,$D501,куб!R:R),IF($C501&lt;&gt;0,SUMIF(куб!$C:$C,$C501,куб!R:R),IF($B501&lt;&gt;0,SUMIF(куб!$B:$B,$B501,куб!R:R))))))</f>
        <v>0</v>
      </c>
      <c r="AG501" s="27" t="b">
        <f>IF($G501&lt;&gt;0,SUMIF(куб!$G:$G,$G501,куб!S:S),IF($E501&lt;&gt;0,SUMIF(куб!$E:$E,$E501,куб!S:S),IF($D501&lt;&gt;0,SUMIF(куб!$D:$D,$D501,куб!S:S),IF($C501&lt;&gt;0,SUMIF(куб!$C:$C,$C501,куб!S:S),IF($B501&lt;&gt;0,SUMIF(куб!$B:$B,$B501,куб!S:S))))))</f>
        <v>0</v>
      </c>
      <c r="AH501" s="16" t="str">
        <f t="shared" si="175"/>
        <v>-</v>
      </c>
      <c r="AI501" s="8"/>
      <c r="AJ501" s="27" t="b">
        <f>IF($G501&lt;&gt;0,SUMIF(куб!$G:$G,$G501,куб!T:T),IF($E501&lt;&gt;0,SUMIF(куб!$E:$E,$E501,куб!T:T),IF($D501&lt;&gt;0,SUMIF(куб!$D:$D,$D501,куб!T:T),IF($C501&lt;&gt;0,SUMIF(куб!$C:$C,$C501,куб!T:T),IF($B501&lt;&gt;0,SUMIF(куб!$B:$B,$B501,куб!T:T))))))</f>
        <v>0</v>
      </c>
      <c r="AK501" s="27" t="b">
        <f>IF($G501&lt;&gt;0,SUMIF(куб!$G:$G,$G501,куб!U:U),IF($E501&lt;&gt;0,SUMIF(куб!$E:$E,$E501,куб!U:U),IF($D501&lt;&gt;0,SUMIF(куб!$D:$D,$D501,куб!U:U),IF($C501&lt;&gt;0,SUMIF(куб!$C:$C,$C501,куб!U:U),IF($B501&lt;&gt;0,SUMIF(куб!$B:$B,$B501,куб!U:U))))))</f>
        <v>0</v>
      </c>
      <c r="AL501" s="16" t="str">
        <f t="shared" si="176"/>
        <v>-</v>
      </c>
      <c r="AM501" s="8"/>
      <c r="AN501" s="17" t="str">
        <f t="shared" si="177"/>
        <v xml:space="preserve"> </v>
      </c>
      <c r="AO501" s="17" t="str">
        <f t="shared" si="178"/>
        <v xml:space="preserve"> </v>
      </c>
      <c r="AP501" s="16" t="str">
        <f t="shared" si="179"/>
        <v>-</v>
      </c>
      <c r="AQ501" s="8"/>
      <c r="AR501" s="17" t="str">
        <f t="shared" si="180"/>
        <v>-</v>
      </c>
      <c r="AS501" s="17" t="str">
        <f t="shared" si="181"/>
        <v>-</v>
      </c>
      <c r="AT501" s="13" t="str">
        <f t="shared" si="182"/>
        <v>-</v>
      </c>
      <c r="AU501" s="8"/>
    </row>
    <row r="502" spans="1:47" x14ac:dyDescent="0.25">
      <c r="A502" s="31"/>
      <c r="B502" s="31"/>
      <c r="C502"/>
      <c r="D502" s="31"/>
      <c r="E502"/>
      <c r="F502" s="31"/>
      <c r="G502"/>
      <c r="H502" s="27">
        <f>IF($G502&lt;&gt;0,SUMIF(куб!$G:$G,$G502,куб!H:H),IF($E502&lt;&gt;0,SUMIF(куб!$E:$E,$E502,куб!H:H),IF($D502&lt;&gt;0,SUMIF(куб!$D:$D,$D502,куб!H:H),IF($C502&lt;&gt;0,SUMIF(куб!$C:$C,$C502,куб!H:H),IF($B502&lt;&gt;0,SUMIF(куб!$B:$B,$B502,куб!H:H),IF($G502&lt;&gt;0,SUMIF(куб!$A:$A,$G502,куб!H:H),SUMIF(куб!$A:$A,$G502,куб!H:H)))))))</f>
        <v>0</v>
      </c>
      <c r="I502" s="27">
        <f>IF($G502&lt;&gt;0,SUMIF(куб!$G:$G,$G502,куб!I:I),IF($E502&lt;&gt;0,SUMIF(куб!$E:$E,$E502,куб!I:I),IF($D502&lt;&gt;0,SUMIF(куб!$D:$D,$D502,куб!I:I),IF($C502&lt;&gt;0,SUMIF(куб!$C:$C,$C502,куб!I:I),IF($B502&lt;&gt;0,SUMIF(куб!$B:$B,$B502,куб!I:I),IF($G502&lt;&gt;0,SUMIF(куб!$A:$A,$G502,куб!I:I),SUMIF(куб!$A:$A,$G502,куб!I:I)))))))</f>
        <v>0</v>
      </c>
      <c r="J502" s="19" t="str">
        <f t="shared" si="165"/>
        <v>-</v>
      </c>
      <c r="K502" s="8"/>
      <c r="L502" s="17">
        <f t="shared" si="166"/>
        <v>0</v>
      </c>
      <c r="M502" s="17">
        <f t="shared" si="167"/>
        <v>0</v>
      </c>
      <c r="N502" s="12">
        <f t="shared" si="168"/>
        <v>0</v>
      </c>
      <c r="O502" s="5"/>
      <c r="P502" s="27" t="b">
        <f>IF($G502&lt;&gt;0,SUMIF(куб!$G:$G,$G502,куб!J:J),IF($E502&lt;&gt;0,SUMIF(куб!$E:$E,$E502,куб!J:J),IF($D502&lt;&gt;0,SUMIF(куб!$D:$D,$D502,куб!J:J),IF($C502&lt;&gt;0,SUMIF(куб!$C:$C,$C502,куб!J:J),IF($B502&lt;&gt;0,SUMIF(куб!$B:$B,$B502,куб!J:J))))))</f>
        <v>0</v>
      </c>
      <c r="Q502" s="27" t="b">
        <f>IF($G502&lt;&gt;0,SUMIF(куб!$G:$G,$G502,куб!K:K),IF($E502&lt;&gt;0,SUMIF(куб!$E:$E,$E502,куб!K:K),IF($D502&lt;&gt;0,SUMIF(куб!$D:$D,$D502,куб!K:K),IF($C502&lt;&gt;0,SUMIF(куб!$C:$C,$C502,куб!K:K),IF($B502&lt;&gt;0,SUMIF(куб!$B:$B,$B502,куб!K:K))))))</f>
        <v>0</v>
      </c>
      <c r="R502" s="13" t="str">
        <f t="shared" si="169"/>
        <v>-</v>
      </c>
      <c r="S502" s="5"/>
      <c r="T502" s="27" t="b">
        <f>IF($G502&lt;&gt;0,SUMIF(куб!$G:$G,$G502,куб!L:L),IF($E502&lt;&gt;0,SUMIF(куб!$E:$E,$E502,куб!L:L),IF($D502&lt;&gt;0,SUMIF(куб!$D:$D,$D502,куб!L:L),IF($C502&lt;&gt;0,SUMIF(куб!$C:$C,$C502,куб!L:L),IF($B502&lt;&gt;0,SUMIF(куб!$B:$B,$B502,куб!L:L))))))</f>
        <v>0</v>
      </c>
      <c r="U502" s="27" t="b">
        <f>IF($G502&lt;&gt;0,SUMIF(куб!$G:$G,$G502,куб!M:M),IF($E502&lt;&gt;0,SUMIF(куб!$E:$E,$E502,куб!M:M),IF($D502&lt;&gt;0,SUMIF(куб!$D:$D,$D502,куб!M:M),IF($C502&lt;&gt;0,SUMIF(куб!$C:$C,$C502,куб!M:M),IF($B502&lt;&gt;0,SUMIF(куб!$B:$B,$B502,куб!M:M))))))</f>
        <v>0</v>
      </c>
      <c r="V502" s="13" t="str">
        <f t="shared" si="170"/>
        <v>-</v>
      </c>
      <c r="W502" s="5"/>
      <c r="X502" s="27" t="b">
        <f>IF($G502&lt;&gt;0,SUMIF(куб!$G:$G,$G502,куб!N:N),IF($E502&lt;&gt;0,SUMIF(куб!$E:$E,$E502,куб!N:N),IF($D502&lt;&gt;0,SUMIF(куб!$D:$D,$D502,куб!N:N),IF($C502&lt;&gt;0,SUMIF(куб!$C:$C,$C502,куб!N:N),IF($B502&lt;&gt;0,SUMIF(куб!$B:$B,$B502,куб!N:N))))))</f>
        <v>0</v>
      </c>
      <c r="Y502" s="27" t="b">
        <f>IF($G502&lt;&gt;0,SUMIF(куб!$G:$G,$G502,куб!O:O),IF($E502&lt;&gt;0,SUMIF(куб!$E:$E,$E502,куб!O:O),IF($D502&lt;&gt;0,SUMIF(куб!$D:$D,$D502,куб!O:O),IF($C502&lt;&gt;0,SUMIF(куб!$C:$C,$C502,куб!O:O),IF($B502&lt;&gt;0,SUMIF(куб!$B:$B,$B502,куб!O:O))))))</f>
        <v>0</v>
      </c>
      <c r="Z502" s="13" t="str">
        <f t="shared" si="171"/>
        <v>-</v>
      </c>
      <c r="AA502" s="5"/>
      <c r="AB502" s="33" t="str">
        <f t="shared" si="172"/>
        <v/>
      </c>
      <c r="AC502" s="33" t="str">
        <f t="shared" si="173"/>
        <v/>
      </c>
      <c r="AD502" s="15" t="str">
        <f t="shared" si="174"/>
        <v xml:space="preserve"> </v>
      </c>
      <c r="AE502" s="5"/>
      <c r="AF502" s="27" t="b">
        <f>IF($G502&lt;&gt;0,SUMIF(куб!$G:$G,$G502,куб!R:R),IF($E502&lt;&gt;0,SUMIF(куб!$E:$E,$E502,куб!R:R),IF($D502&lt;&gt;0,SUMIF(куб!$D:$D,$D502,куб!R:R),IF($C502&lt;&gt;0,SUMIF(куб!$C:$C,$C502,куб!R:R),IF($B502&lt;&gt;0,SUMIF(куб!$B:$B,$B502,куб!R:R))))))</f>
        <v>0</v>
      </c>
      <c r="AG502" s="27" t="b">
        <f>IF($G502&lt;&gt;0,SUMIF(куб!$G:$G,$G502,куб!S:S),IF($E502&lt;&gt;0,SUMIF(куб!$E:$E,$E502,куб!S:S),IF($D502&lt;&gt;0,SUMIF(куб!$D:$D,$D502,куб!S:S),IF($C502&lt;&gt;0,SUMIF(куб!$C:$C,$C502,куб!S:S),IF($B502&lt;&gt;0,SUMIF(куб!$B:$B,$B502,куб!S:S))))))</f>
        <v>0</v>
      </c>
      <c r="AH502" s="16" t="str">
        <f t="shared" si="175"/>
        <v>-</v>
      </c>
      <c r="AI502" s="8"/>
      <c r="AJ502" s="27" t="b">
        <f>IF($G502&lt;&gt;0,SUMIF(куб!$G:$G,$G502,куб!T:T),IF($E502&lt;&gt;0,SUMIF(куб!$E:$E,$E502,куб!T:T),IF($D502&lt;&gt;0,SUMIF(куб!$D:$D,$D502,куб!T:T),IF($C502&lt;&gt;0,SUMIF(куб!$C:$C,$C502,куб!T:T),IF($B502&lt;&gt;0,SUMIF(куб!$B:$B,$B502,куб!T:T))))))</f>
        <v>0</v>
      </c>
      <c r="AK502" s="27" t="b">
        <f>IF($G502&lt;&gt;0,SUMIF(куб!$G:$G,$G502,куб!U:U),IF($E502&lt;&gt;0,SUMIF(куб!$E:$E,$E502,куб!U:U),IF($D502&lt;&gt;0,SUMIF(куб!$D:$D,$D502,куб!U:U),IF($C502&lt;&gt;0,SUMIF(куб!$C:$C,$C502,куб!U:U),IF($B502&lt;&gt;0,SUMIF(куб!$B:$B,$B502,куб!U:U))))))</f>
        <v>0</v>
      </c>
      <c r="AL502" s="16" t="str">
        <f t="shared" si="176"/>
        <v>-</v>
      </c>
      <c r="AM502" s="8"/>
      <c r="AN502" s="17" t="str">
        <f t="shared" si="177"/>
        <v xml:space="preserve"> </v>
      </c>
      <c r="AO502" s="17" t="str">
        <f t="shared" si="178"/>
        <v xml:space="preserve"> </v>
      </c>
      <c r="AP502" s="16" t="str">
        <f t="shared" si="179"/>
        <v>-</v>
      </c>
      <c r="AQ502" s="8"/>
      <c r="AR502" s="17" t="str">
        <f t="shared" si="180"/>
        <v>-</v>
      </c>
      <c r="AS502" s="17" t="str">
        <f t="shared" si="181"/>
        <v>-</v>
      </c>
      <c r="AT502" s="13" t="str">
        <f t="shared" si="182"/>
        <v>-</v>
      </c>
      <c r="AU502" s="8"/>
    </row>
    <row r="503" spans="1:47" x14ac:dyDescent="0.25">
      <c r="A503" s="31"/>
      <c r="B503" s="31"/>
      <c r="C503"/>
      <c r="D503" s="31"/>
      <c r="E503"/>
      <c r="F503" s="31"/>
      <c r="G503"/>
      <c r="H503" s="27">
        <f>IF($G503&lt;&gt;0,SUMIF(куб!$G:$G,$G503,куб!H:H),IF($E503&lt;&gt;0,SUMIF(куб!$E:$E,$E503,куб!H:H),IF($D503&lt;&gt;0,SUMIF(куб!$D:$D,$D503,куб!H:H),IF($C503&lt;&gt;0,SUMIF(куб!$C:$C,$C503,куб!H:H),IF($B503&lt;&gt;0,SUMIF(куб!$B:$B,$B503,куб!H:H),IF($G503&lt;&gt;0,SUMIF(куб!$A:$A,$G503,куб!H:H),SUMIF(куб!$A:$A,$G503,куб!H:H)))))))</f>
        <v>0</v>
      </c>
      <c r="I503" s="27">
        <f>IF($G503&lt;&gt;0,SUMIF(куб!$G:$G,$G503,куб!I:I),IF($E503&lt;&gt;0,SUMIF(куб!$E:$E,$E503,куб!I:I),IF($D503&lt;&gt;0,SUMIF(куб!$D:$D,$D503,куб!I:I),IF($C503&lt;&gt;0,SUMIF(куб!$C:$C,$C503,куб!I:I),IF($B503&lt;&gt;0,SUMIF(куб!$B:$B,$B503,куб!I:I),IF($G503&lt;&gt;0,SUMIF(куб!$A:$A,$G503,куб!I:I),SUMIF(куб!$A:$A,$G503,куб!I:I)))))))</f>
        <v>0</v>
      </c>
      <c r="J503" s="19" t="str">
        <f t="shared" si="165"/>
        <v>-</v>
      </c>
      <c r="K503" s="8"/>
      <c r="L503" s="17">
        <f t="shared" si="166"/>
        <v>0</v>
      </c>
      <c r="M503" s="17">
        <f t="shared" si="167"/>
        <v>0</v>
      </c>
      <c r="N503" s="12">
        <f t="shared" si="168"/>
        <v>0</v>
      </c>
      <c r="O503" s="5"/>
      <c r="P503" s="27" t="b">
        <f>IF($G503&lt;&gt;0,SUMIF(куб!$G:$G,$G503,куб!J:J),IF($E503&lt;&gt;0,SUMIF(куб!$E:$E,$E503,куб!J:J),IF($D503&lt;&gt;0,SUMIF(куб!$D:$D,$D503,куб!J:J),IF($C503&lt;&gt;0,SUMIF(куб!$C:$C,$C503,куб!J:J),IF($B503&lt;&gt;0,SUMIF(куб!$B:$B,$B503,куб!J:J))))))</f>
        <v>0</v>
      </c>
      <c r="Q503" s="27" t="b">
        <f>IF($G503&lt;&gt;0,SUMIF(куб!$G:$G,$G503,куб!K:K),IF($E503&lt;&gt;0,SUMIF(куб!$E:$E,$E503,куб!K:K),IF($D503&lt;&gt;0,SUMIF(куб!$D:$D,$D503,куб!K:K),IF($C503&lt;&gt;0,SUMIF(куб!$C:$C,$C503,куб!K:K),IF($B503&lt;&gt;0,SUMIF(куб!$B:$B,$B503,куб!K:K))))))</f>
        <v>0</v>
      </c>
      <c r="R503" s="13" t="str">
        <f t="shared" si="169"/>
        <v>-</v>
      </c>
      <c r="S503" s="5"/>
      <c r="T503" s="27" t="b">
        <f>IF($G503&lt;&gt;0,SUMIF(куб!$G:$G,$G503,куб!L:L),IF($E503&lt;&gt;0,SUMIF(куб!$E:$E,$E503,куб!L:L),IF($D503&lt;&gt;0,SUMIF(куб!$D:$D,$D503,куб!L:L),IF($C503&lt;&gt;0,SUMIF(куб!$C:$C,$C503,куб!L:L),IF($B503&lt;&gt;0,SUMIF(куб!$B:$B,$B503,куб!L:L))))))</f>
        <v>0</v>
      </c>
      <c r="U503" s="27" t="b">
        <f>IF($G503&lt;&gt;0,SUMIF(куб!$G:$G,$G503,куб!M:M),IF($E503&lt;&gt;0,SUMIF(куб!$E:$E,$E503,куб!M:M),IF($D503&lt;&gt;0,SUMIF(куб!$D:$D,$D503,куб!M:M),IF($C503&lt;&gt;0,SUMIF(куб!$C:$C,$C503,куб!M:M),IF($B503&lt;&gt;0,SUMIF(куб!$B:$B,$B503,куб!M:M))))))</f>
        <v>0</v>
      </c>
      <c r="V503" s="13" t="str">
        <f t="shared" si="170"/>
        <v>-</v>
      </c>
      <c r="W503" s="5"/>
      <c r="X503" s="27" t="b">
        <f>IF($G503&lt;&gt;0,SUMIF(куб!$G:$G,$G503,куб!N:N),IF($E503&lt;&gt;0,SUMIF(куб!$E:$E,$E503,куб!N:N),IF($D503&lt;&gt;0,SUMIF(куб!$D:$D,$D503,куб!N:N),IF($C503&lt;&gt;0,SUMIF(куб!$C:$C,$C503,куб!N:N),IF($B503&lt;&gt;0,SUMIF(куб!$B:$B,$B503,куб!N:N))))))</f>
        <v>0</v>
      </c>
      <c r="Y503" s="27" t="b">
        <f>IF($G503&lt;&gt;0,SUMIF(куб!$G:$G,$G503,куб!O:O),IF($E503&lt;&gt;0,SUMIF(куб!$E:$E,$E503,куб!O:O),IF($D503&lt;&gt;0,SUMIF(куб!$D:$D,$D503,куб!O:O),IF($C503&lt;&gt;0,SUMIF(куб!$C:$C,$C503,куб!O:O),IF($B503&lt;&gt;0,SUMIF(куб!$B:$B,$B503,куб!O:O))))))</f>
        <v>0</v>
      </c>
      <c r="Z503" s="13" t="str">
        <f t="shared" si="171"/>
        <v>-</v>
      </c>
      <c r="AA503" s="5"/>
      <c r="AB503" s="33" t="str">
        <f t="shared" si="172"/>
        <v/>
      </c>
      <c r="AC503" s="33" t="str">
        <f t="shared" si="173"/>
        <v/>
      </c>
      <c r="AD503" s="15" t="str">
        <f t="shared" si="174"/>
        <v xml:space="preserve"> </v>
      </c>
      <c r="AE503" s="5"/>
      <c r="AF503" s="27" t="b">
        <f>IF($G503&lt;&gt;0,SUMIF(куб!$G:$G,$G503,куб!R:R),IF($E503&lt;&gt;0,SUMIF(куб!$E:$E,$E503,куб!R:R),IF($D503&lt;&gt;0,SUMIF(куб!$D:$D,$D503,куб!R:R),IF($C503&lt;&gt;0,SUMIF(куб!$C:$C,$C503,куб!R:R),IF($B503&lt;&gt;0,SUMIF(куб!$B:$B,$B503,куб!R:R))))))</f>
        <v>0</v>
      </c>
      <c r="AG503" s="27" t="b">
        <f>IF($G503&lt;&gt;0,SUMIF(куб!$G:$G,$G503,куб!S:S),IF($E503&lt;&gt;0,SUMIF(куб!$E:$E,$E503,куб!S:S),IF($D503&lt;&gt;0,SUMIF(куб!$D:$D,$D503,куб!S:S),IF($C503&lt;&gt;0,SUMIF(куб!$C:$C,$C503,куб!S:S),IF($B503&lt;&gt;0,SUMIF(куб!$B:$B,$B503,куб!S:S))))))</f>
        <v>0</v>
      </c>
      <c r="AH503" s="16" t="str">
        <f t="shared" si="175"/>
        <v>-</v>
      </c>
      <c r="AI503" s="8"/>
      <c r="AJ503" s="27" t="b">
        <f>IF($G503&lt;&gt;0,SUMIF(куб!$G:$G,$G503,куб!T:T),IF($E503&lt;&gt;0,SUMIF(куб!$E:$E,$E503,куб!T:T),IF($D503&lt;&gt;0,SUMIF(куб!$D:$D,$D503,куб!T:T),IF($C503&lt;&gt;0,SUMIF(куб!$C:$C,$C503,куб!T:T),IF($B503&lt;&gt;0,SUMIF(куб!$B:$B,$B503,куб!T:T))))))</f>
        <v>0</v>
      </c>
      <c r="AK503" s="27" t="b">
        <f>IF($G503&lt;&gt;0,SUMIF(куб!$G:$G,$G503,куб!U:U),IF($E503&lt;&gt;0,SUMIF(куб!$E:$E,$E503,куб!U:U),IF($D503&lt;&gt;0,SUMIF(куб!$D:$D,$D503,куб!U:U),IF($C503&lt;&gt;0,SUMIF(куб!$C:$C,$C503,куб!U:U),IF($B503&lt;&gt;0,SUMIF(куб!$B:$B,$B503,куб!U:U))))))</f>
        <v>0</v>
      </c>
      <c r="AL503" s="16" t="str">
        <f t="shared" si="176"/>
        <v>-</v>
      </c>
      <c r="AM503" s="8"/>
      <c r="AN503" s="17" t="str">
        <f t="shared" si="177"/>
        <v xml:space="preserve"> </v>
      </c>
      <c r="AO503" s="17" t="str">
        <f t="shared" si="178"/>
        <v xml:space="preserve"> </v>
      </c>
      <c r="AP503" s="16" t="str">
        <f t="shared" si="179"/>
        <v>-</v>
      </c>
      <c r="AQ503" s="8"/>
      <c r="AR503" s="17" t="str">
        <f t="shared" si="180"/>
        <v>-</v>
      </c>
      <c r="AS503" s="17" t="str">
        <f t="shared" si="181"/>
        <v>-</v>
      </c>
      <c r="AT503" s="13" t="str">
        <f t="shared" si="182"/>
        <v>-</v>
      </c>
      <c r="AU503" s="8"/>
    </row>
    <row r="504" spans="1:47" x14ac:dyDescent="0.25">
      <c r="A504" s="31"/>
      <c r="B504" s="31"/>
      <c r="C504"/>
      <c r="D504" s="31"/>
      <c r="E504"/>
      <c r="F504" s="31"/>
      <c r="G504"/>
      <c r="H504" s="27">
        <f>IF($G504&lt;&gt;0,SUMIF(куб!$G:$G,$G504,куб!H:H),IF($E504&lt;&gt;0,SUMIF(куб!$E:$E,$E504,куб!H:H),IF($D504&lt;&gt;0,SUMIF(куб!$D:$D,$D504,куб!H:H),IF($C504&lt;&gt;0,SUMIF(куб!$C:$C,$C504,куб!H:H),IF($B504&lt;&gt;0,SUMIF(куб!$B:$B,$B504,куб!H:H),IF($G504&lt;&gt;0,SUMIF(куб!$A:$A,$G504,куб!H:H),SUMIF(куб!$A:$A,$G504,куб!H:H)))))))</f>
        <v>0</v>
      </c>
      <c r="I504" s="27">
        <f>IF($G504&lt;&gt;0,SUMIF(куб!$G:$G,$G504,куб!I:I),IF($E504&lt;&gt;0,SUMIF(куб!$E:$E,$E504,куб!I:I),IF($D504&lt;&gt;0,SUMIF(куб!$D:$D,$D504,куб!I:I),IF($C504&lt;&gt;0,SUMIF(куб!$C:$C,$C504,куб!I:I),IF($B504&lt;&gt;0,SUMIF(куб!$B:$B,$B504,куб!I:I),IF($G504&lt;&gt;0,SUMIF(куб!$A:$A,$G504,куб!I:I),SUMIF(куб!$A:$A,$G504,куб!I:I)))))))</f>
        <v>0</v>
      </c>
      <c r="J504" s="19" t="str">
        <f t="shared" si="165"/>
        <v>-</v>
      </c>
      <c r="K504" s="8"/>
      <c r="L504" s="17">
        <f t="shared" si="166"/>
        <v>0</v>
      </c>
      <c r="M504" s="17">
        <f t="shared" si="167"/>
        <v>0</v>
      </c>
      <c r="N504" s="12">
        <f t="shared" si="168"/>
        <v>0</v>
      </c>
      <c r="O504" s="5"/>
      <c r="P504" s="27" t="b">
        <f>IF($G504&lt;&gt;0,SUMIF(куб!$G:$G,$G504,куб!J:J),IF($E504&lt;&gt;0,SUMIF(куб!$E:$E,$E504,куб!J:J),IF($D504&lt;&gt;0,SUMIF(куб!$D:$D,$D504,куб!J:J),IF($C504&lt;&gt;0,SUMIF(куб!$C:$C,$C504,куб!J:J),IF($B504&lt;&gt;0,SUMIF(куб!$B:$B,$B504,куб!J:J))))))</f>
        <v>0</v>
      </c>
      <c r="Q504" s="27" t="b">
        <f>IF($G504&lt;&gt;0,SUMIF(куб!$G:$G,$G504,куб!K:K),IF($E504&lt;&gt;0,SUMIF(куб!$E:$E,$E504,куб!K:K),IF($D504&lt;&gt;0,SUMIF(куб!$D:$D,$D504,куб!K:K),IF($C504&lt;&gt;0,SUMIF(куб!$C:$C,$C504,куб!K:K),IF($B504&lt;&gt;0,SUMIF(куб!$B:$B,$B504,куб!K:K))))))</f>
        <v>0</v>
      </c>
      <c r="R504" s="13" t="str">
        <f t="shared" si="169"/>
        <v>-</v>
      </c>
      <c r="S504" s="5"/>
      <c r="T504" s="27" t="b">
        <f>IF($G504&lt;&gt;0,SUMIF(куб!$G:$G,$G504,куб!L:L),IF($E504&lt;&gt;0,SUMIF(куб!$E:$E,$E504,куб!L:L),IF($D504&lt;&gt;0,SUMIF(куб!$D:$D,$D504,куб!L:L),IF($C504&lt;&gt;0,SUMIF(куб!$C:$C,$C504,куб!L:L),IF($B504&lt;&gt;0,SUMIF(куб!$B:$B,$B504,куб!L:L))))))</f>
        <v>0</v>
      </c>
      <c r="U504" s="27" t="b">
        <f>IF($G504&lt;&gt;0,SUMIF(куб!$G:$G,$G504,куб!M:M),IF($E504&lt;&gt;0,SUMIF(куб!$E:$E,$E504,куб!M:M),IF($D504&lt;&gt;0,SUMIF(куб!$D:$D,$D504,куб!M:M),IF($C504&lt;&gt;0,SUMIF(куб!$C:$C,$C504,куб!M:M),IF($B504&lt;&gt;0,SUMIF(куб!$B:$B,$B504,куб!M:M))))))</f>
        <v>0</v>
      </c>
      <c r="V504" s="13" t="str">
        <f t="shared" si="170"/>
        <v>-</v>
      </c>
      <c r="W504" s="5"/>
      <c r="X504" s="27" t="b">
        <f>IF($G504&lt;&gt;0,SUMIF(куб!$G:$G,$G504,куб!N:N),IF($E504&lt;&gt;0,SUMIF(куб!$E:$E,$E504,куб!N:N),IF($D504&lt;&gt;0,SUMIF(куб!$D:$D,$D504,куб!N:N),IF($C504&lt;&gt;0,SUMIF(куб!$C:$C,$C504,куб!N:N),IF($B504&lt;&gt;0,SUMIF(куб!$B:$B,$B504,куб!N:N))))))</f>
        <v>0</v>
      </c>
      <c r="Y504" s="27" t="b">
        <f>IF($G504&lt;&gt;0,SUMIF(куб!$G:$G,$G504,куб!O:O),IF($E504&lt;&gt;0,SUMIF(куб!$E:$E,$E504,куб!O:O),IF($D504&lt;&gt;0,SUMIF(куб!$D:$D,$D504,куб!O:O),IF($C504&lt;&gt;0,SUMIF(куб!$C:$C,$C504,куб!O:O),IF($B504&lt;&gt;0,SUMIF(куб!$B:$B,$B504,куб!O:O))))))</f>
        <v>0</v>
      </c>
      <c r="Z504" s="13" t="str">
        <f t="shared" si="171"/>
        <v>-</v>
      </c>
      <c r="AA504" s="5"/>
      <c r="AB504" s="33" t="str">
        <f t="shared" si="172"/>
        <v/>
      </c>
      <c r="AC504" s="33" t="str">
        <f t="shared" si="173"/>
        <v/>
      </c>
      <c r="AD504" s="15" t="str">
        <f t="shared" si="174"/>
        <v xml:space="preserve"> </v>
      </c>
      <c r="AE504" s="5"/>
      <c r="AF504" s="27" t="b">
        <f>IF($G504&lt;&gt;0,SUMIF(куб!$G:$G,$G504,куб!R:R),IF($E504&lt;&gt;0,SUMIF(куб!$E:$E,$E504,куб!R:R),IF($D504&lt;&gt;0,SUMIF(куб!$D:$D,$D504,куб!R:R),IF($C504&lt;&gt;0,SUMIF(куб!$C:$C,$C504,куб!R:R),IF($B504&lt;&gt;0,SUMIF(куб!$B:$B,$B504,куб!R:R))))))</f>
        <v>0</v>
      </c>
      <c r="AG504" s="27" t="b">
        <f>IF($G504&lt;&gt;0,SUMIF(куб!$G:$G,$G504,куб!S:S),IF($E504&lt;&gt;0,SUMIF(куб!$E:$E,$E504,куб!S:S),IF($D504&lt;&gt;0,SUMIF(куб!$D:$D,$D504,куб!S:S),IF($C504&lt;&gt;0,SUMIF(куб!$C:$C,$C504,куб!S:S),IF($B504&lt;&gt;0,SUMIF(куб!$B:$B,$B504,куб!S:S))))))</f>
        <v>0</v>
      </c>
      <c r="AH504" s="16" t="str">
        <f t="shared" si="175"/>
        <v>-</v>
      </c>
      <c r="AI504" s="8"/>
      <c r="AJ504" s="27" t="b">
        <f>IF($G504&lt;&gt;0,SUMIF(куб!$G:$G,$G504,куб!T:T),IF($E504&lt;&gt;0,SUMIF(куб!$E:$E,$E504,куб!T:T),IF($D504&lt;&gt;0,SUMIF(куб!$D:$D,$D504,куб!T:T),IF($C504&lt;&gt;0,SUMIF(куб!$C:$C,$C504,куб!T:T),IF($B504&lt;&gt;0,SUMIF(куб!$B:$B,$B504,куб!T:T))))))</f>
        <v>0</v>
      </c>
      <c r="AK504" s="27" t="b">
        <f>IF($G504&lt;&gt;0,SUMIF(куб!$G:$G,$G504,куб!U:U),IF($E504&lt;&gt;0,SUMIF(куб!$E:$E,$E504,куб!U:U),IF($D504&lt;&gt;0,SUMIF(куб!$D:$D,$D504,куб!U:U),IF($C504&lt;&gt;0,SUMIF(куб!$C:$C,$C504,куб!U:U),IF($B504&lt;&gt;0,SUMIF(куб!$B:$B,$B504,куб!U:U))))))</f>
        <v>0</v>
      </c>
      <c r="AL504" s="16" t="str">
        <f t="shared" si="176"/>
        <v>-</v>
      </c>
      <c r="AM504" s="8"/>
      <c r="AN504" s="17" t="str">
        <f t="shared" si="177"/>
        <v xml:space="preserve"> </v>
      </c>
      <c r="AO504" s="17" t="str">
        <f t="shared" si="178"/>
        <v xml:space="preserve"> </v>
      </c>
      <c r="AP504" s="16" t="str">
        <f t="shared" si="179"/>
        <v>-</v>
      </c>
      <c r="AQ504" s="8"/>
      <c r="AR504" s="17" t="str">
        <f t="shared" si="180"/>
        <v>-</v>
      </c>
      <c r="AS504" s="17" t="str">
        <f t="shared" si="181"/>
        <v>-</v>
      </c>
      <c r="AT504" s="13" t="str">
        <f t="shared" si="182"/>
        <v>-</v>
      </c>
      <c r="AU504" s="8"/>
    </row>
    <row r="505" spans="1:47" x14ac:dyDescent="0.25">
      <c r="A505" s="31"/>
      <c r="B505" s="31"/>
      <c r="C505"/>
      <c r="D505" s="31"/>
      <c r="E505"/>
      <c r="F505" s="31"/>
      <c r="G505"/>
      <c r="H505" s="27">
        <f>IF($G505&lt;&gt;0,SUMIF(куб!$G:$G,$G505,куб!H:H),IF($E505&lt;&gt;0,SUMIF(куб!$E:$E,$E505,куб!H:H),IF($D505&lt;&gt;0,SUMIF(куб!$D:$D,$D505,куб!H:H),IF($C505&lt;&gt;0,SUMIF(куб!$C:$C,$C505,куб!H:H),IF($B505&lt;&gt;0,SUMIF(куб!$B:$B,$B505,куб!H:H),IF($G505&lt;&gt;0,SUMIF(куб!$A:$A,$G505,куб!H:H),SUMIF(куб!$A:$A,$G505,куб!H:H)))))))</f>
        <v>0</v>
      </c>
      <c r="I505" s="27">
        <f>IF($G505&lt;&gt;0,SUMIF(куб!$G:$G,$G505,куб!I:I),IF($E505&lt;&gt;0,SUMIF(куб!$E:$E,$E505,куб!I:I),IF($D505&lt;&gt;0,SUMIF(куб!$D:$D,$D505,куб!I:I),IF($C505&lt;&gt;0,SUMIF(куб!$C:$C,$C505,куб!I:I),IF($B505&lt;&gt;0,SUMIF(куб!$B:$B,$B505,куб!I:I),IF($G505&lt;&gt;0,SUMIF(куб!$A:$A,$G505,куб!I:I),SUMIF(куб!$A:$A,$G505,куб!I:I)))))))</f>
        <v>0</v>
      </c>
      <c r="J505" s="19" t="str">
        <f t="shared" si="165"/>
        <v>-</v>
      </c>
      <c r="K505" s="8"/>
      <c r="L505" s="17">
        <f t="shared" si="166"/>
        <v>0</v>
      </c>
      <c r="M505" s="17">
        <f t="shared" si="167"/>
        <v>0</v>
      </c>
      <c r="N505" s="12">
        <f t="shared" si="168"/>
        <v>0</v>
      </c>
      <c r="O505" s="5"/>
      <c r="P505" s="27" t="b">
        <f>IF($G505&lt;&gt;0,SUMIF(куб!$G:$G,$G505,куб!J:J),IF($E505&lt;&gt;0,SUMIF(куб!$E:$E,$E505,куб!J:J),IF($D505&lt;&gt;0,SUMIF(куб!$D:$D,$D505,куб!J:J),IF($C505&lt;&gt;0,SUMIF(куб!$C:$C,$C505,куб!J:J),IF($B505&lt;&gt;0,SUMIF(куб!$B:$B,$B505,куб!J:J))))))</f>
        <v>0</v>
      </c>
      <c r="Q505" s="27" t="b">
        <f>IF($G505&lt;&gt;0,SUMIF(куб!$G:$G,$G505,куб!K:K),IF($E505&lt;&gt;0,SUMIF(куб!$E:$E,$E505,куб!K:K),IF($D505&lt;&gt;0,SUMIF(куб!$D:$D,$D505,куб!K:K),IF($C505&lt;&gt;0,SUMIF(куб!$C:$C,$C505,куб!K:K),IF($B505&lt;&gt;0,SUMIF(куб!$B:$B,$B505,куб!K:K))))))</f>
        <v>0</v>
      </c>
      <c r="R505" s="13" t="str">
        <f t="shared" si="169"/>
        <v>-</v>
      </c>
      <c r="S505" s="5"/>
      <c r="T505" s="27" t="b">
        <f>IF($G505&lt;&gt;0,SUMIF(куб!$G:$G,$G505,куб!L:L),IF($E505&lt;&gt;0,SUMIF(куб!$E:$E,$E505,куб!L:L),IF($D505&lt;&gt;0,SUMIF(куб!$D:$D,$D505,куб!L:L),IF($C505&lt;&gt;0,SUMIF(куб!$C:$C,$C505,куб!L:L),IF($B505&lt;&gt;0,SUMIF(куб!$B:$B,$B505,куб!L:L))))))</f>
        <v>0</v>
      </c>
      <c r="U505" s="27" t="b">
        <f>IF($G505&lt;&gt;0,SUMIF(куб!$G:$G,$G505,куб!M:M),IF($E505&lt;&gt;0,SUMIF(куб!$E:$E,$E505,куб!M:M),IF($D505&lt;&gt;0,SUMIF(куб!$D:$D,$D505,куб!M:M),IF($C505&lt;&gt;0,SUMIF(куб!$C:$C,$C505,куб!M:M),IF($B505&lt;&gt;0,SUMIF(куб!$B:$B,$B505,куб!M:M))))))</f>
        <v>0</v>
      </c>
      <c r="V505" s="13" t="str">
        <f t="shared" si="170"/>
        <v>-</v>
      </c>
      <c r="W505" s="5"/>
      <c r="X505" s="27" t="b">
        <f>IF($G505&lt;&gt;0,SUMIF(куб!$G:$G,$G505,куб!N:N),IF($E505&lt;&gt;0,SUMIF(куб!$E:$E,$E505,куб!N:N),IF($D505&lt;&gt;0,SUMIF(куб!$D:$D,$D505,куб!N:N),IF($C505&lt;&gt;0,SUMIF(куб!$C:$C,$C505,куб!N:N),IF($B505&lt;&gt;0,SUMIF(куб!$B:$B,$B505,куб!N:N))))))</f>
        <v>0</v>
      </c>
      <c r="Y505" s="27" t="b">
        <f>IF($G505&lt;&gt;0,SUMIF(куб!$G:$G,$G505,куб!O:O),IF($E505&lt;&gt;0,SUMIF(куб!$E:$E,$E505,куб!O:O),IF($D505&lt;&gt;0,SUMIF(куб!$D:$D,$D505,куб!O:O),IF($C505&lt;&gt;0,SUMIF(куб!$C:$C,$C505,куб!O:O),IF($B505&lt;&gt;0,SUMIF(куб!$B:$B,$B505,куб!O:O))))))</f>
        <v>0</v>
      </c>
      <c r="Z505" s="13" t="str">
        <f t="shared" si="171"/>
        <v>-</v>
      </c>
      <c r="AA505" s="5"/>
      <c r="AB505" s="33" t="str">
        <f t="shared" si="172"/>
        <v/>
      </c>
      <c r="AC505" s="33" t="str">
        <f t="shared" si="173"/>
        <v/>
      </c>
      <c r="AD505" s="15" t="str">
        <f t="shared" si="174"/>
        <v xml:space="preserve"> </v>
      </c>
      <c r="AE505" s="5"/>
      <c r="AF505" s="27" t="b">
        <f>IF($G505&lt;&gt;0,SUMIF(куб!$G:$G,$G505,куб!R:R),IF($E505&lt;&gt;0,SUMIF(куб!$E:$E,$E505,куб!R:R),IF($D505&lt;&gt;0,SUMIF(куб!$D:$D,$D505,куб!R:R),IF($C505&lt;&gt;0,SUMIF(куб!$C:$C,$C505,куб!R:R),IF($B505&lt;&gt;0,SUMIF(куб!$B:$B,$B505,куб!R:R))))))</f>
        <v>0</v>
      </c>
      <c r="AG505" s="27" t="b">
        <f>IF($G505&lt;&gt;0,SUMIF(куб!$G:$G,$G505,куб!S:S),IF($E505&lt;&gt;0,SUMIF(куб!$E:$E,$E505,куб!S:S),IF($D505&lt;&gt;0,SUMIF(куб!$D:$D,$D505,куб!S:S),IF($C505&lt;&gt;0,SUMIF(куб!$C:$C,$C505,куб!S:S),IF($B505&lt;&gt;0,SUMIF(куб!$B:$B,$B505,куб!S:S))))))</f>
        <v>0</v>
      </c>
      <c r="AH505" s="16" t="str">
        <f t="shared" si="175"/>
        <v>-</v>
      </c>
      <c r="AI505" s="8"/>
      <c r="AJ505" s="27" t="b">
        <f>IF($G505&lt;&gt;0,SUMIF(куб!$G:$G,$G505,куб!T:T),IF($E505&lt;&gt;0,SUMIF(куб!$E:$E,$E505,куб!T:T),IF($D505&lt;&gt;0,SUMIF(куб!$D:$D,$D505,куб!T:T),IF($C505&lt;&gt;0,SUMIF(куб!$C:$C,$C505,куб!T:T),IF($B505&lt;&gt;0,SUMIF(куб!$B:$B,$B505,куб!T:T))))))</f>
        <v>0</v>
      </c>
      <c r="AK505" s="27" t="b">
        <f>IF($G505&lt;&gt;0,SUMIF(куб!$G:$G,$G505,куб!U:U),IF($E505&lt;&gt;0,SUMIF(куб!$E:$E,$E505,куб!U:U),IF($D505&lt;&gt;0,SUMIF(куб!$D:$D,$D505,куб!U:U),IF($C505&lt;&gt;0,SUMIF(куб!$C:$C,$C505,куб!U:U),IF($B505&lt;&gt;0,SUMIF(куб!$B:$B,$B505,куб!U:U))))))</f>
        <v>0</v>
      </c>
      <c r="AL505" s="16" t="str">
        <f t="shared" si="176"/>
        <v>-</v>
      </c>
      <c r="AM505" s="8"/>
      <c r="AN505" s="17" t="str">
        <f t="shared" si="177"/>
        <v xml:space="preserve"> </v>
      </c>
      <c r="AO505" s="17" t="str">
        <f t="shared" si="178"/>
        <v xml:space="preserve"> </v>
      </c>
      <c r="AP505" s="16" t="str">
        <f t="shared" si="179"/>
        <v>-</v>
      </c>
      <c r="AQ505" s="8"/>
      <c r="AR505" s="17" t="str">
        <f t="shared" si="180"/>
        <v>-</v>
      </c>
      <c r="AS505" s="17" t="str">
        <f t="shared" si="181"/>
        <v>-</v>
      </c>
      <c r="AT505" s="13" t="str">
        <f t="shared" si="182"/>
        <v>-</v>
      </c>
      <c r="AU505" s="8"/>
    </row>
    <row r="506" spans="1:47" x14ac:dyDescent="0.25">
      <c r="A506" s="31"/>
      <c r="B506" s="31"/>
      <c r="C506"/>
      <c r="D506" s="31"/>
      <c r="E506"/>
      <c r="F506" s="31"/>
      <c r="G506"/>
      <c r="H506" s="27">
        <f>IF($G506&lt;&gt;0,SUMIF(куб!$G:$G,$G506,куб!H:H),IF($E506&lt;&gt;0,SUMIF(куб!$E:$E,$E506,куб!H:H),IF($D506&lt;&gt;0,SUMIF(куб!$D:$D,$D506,куб!H:H),IF($C506&lt;&gt;0,SUMIF(куб!$C:$C,$C506,куб!H:H),IF($B506&lt;&gt;0,SUMIF(куб!$B:$B,$B506,куб!H:H),IF($G506&lt;&gt;0,SUMIF(куб!$A:$A,$G506,куб!H:H),SUMIF(куб!$A:$A,$G506,куб!H:H)))))))</f>
        <v>0</v>
      </c>
      <c r="I506" s="27">
        <f>IF($G506&lt;&gt;0,SUMIF(куб!$G:$G,$G506,куб!I:I),IF($E506&lt;&gt;0,SUMIF(куб!$E:$E,$E506,куб!I:I),IF($D506&lt;&gt;0,SUMIF(куб!$D:$D,$D506,куб!I:I),IF($C506&lt;&gt;0,SUMIF(куб!$C:$C,$C506,куб!I:I),IF($B506&lt;&gt;0,SUMIF(куб!$B:$B,$B506,куб!I:I),IF($G506&lt;&gt;0,SUMIF(куб!$A:$A,$G506,куб!I:I),SUMIF(куб!$A:$A,$G506,куб!I:I)))))))</f>
        <v>0</v>
      </c>
      <c r="J506" s="19" t="str">
        <f t="shared" si="165"/>
        <v>-</v>
      </c>
      <c r="K506" s="8"/>
      <c r="L506" s="17">
        <f t="shared" si="166"/>
        <v>0</v>
      </c>
      <c r="M506" s="17">
        <f t="shared" si="167"/>
        <v>0</v>
      </c>
      <c r="N506" s="12">
        <f t="shared" si="168"/>
        <v>0</v>
      </c>
      <c r="O506" s="5"/>
      <c r="P506" s="27" t="b">
        <f>IF($G506&lt;&gt;0,SUMIF(куб!$G:$G,$G506,куб!J:J),IF($E506&lt;&gt;0,SUMIF(куб!$E:$E,$E506,куб!J:J),IF($D506&lt;&gt;0,SUMIF(куб!$D:$D,$D506,куб!J:J),IF($C506&lt;&gt;0,SUMIF(куб!$C:$C,$C506,куб!J:J),IF($B506&lt;&gt;0,SUMIF(куб!$B:$B,$B506,куб!J:J))))))</f>
        <v>0</v>
      </c>
      <c r="Q506" s="27" t="b">
        <f>IF($G506&lt;&gt;0,SUMIF(куб!$G:$G,$G506,куб!K:K),IF($E506&lt;&gt;0,SUMIF(куб!$E:$E,$E506,куб!K:K),IF($D506&lt;&gt;0,SUMIF(куб!$D:$D,$D506,куб!K:K),IF($C506&lt;&gt;0,SUMIF(куб!$C:$C,$C506,куб!K:K),IF($B506&lt;&gt;0,SUMIF(куб!$B:$B,$B506,куб!K:K))))))</f>
        <v>0</v>
      </c>
      <c r="R506" s="13" t="str">
        <f t="shared" si="169"/>
        <v>-</v>
      </c>
      <c r="S506" s="5"/>
      <c r="T506" s="27" t="b">
        <f>IF($G506&lt;&gt;0,SUMIF(куб!$G:$G,$G506,куб!L:L),IF($E506&lt;&gt;0,SUMIF(куб!$E:$E,$E506,куб!L:L),IF($D506&lt;&gt;0,SUMIF(куб!$D:$D,$D506,куб!L:L),IF($C506&lt;&gt;0,SUMIF(куб!$C:$C,$C506,куб!L:L),IF($B506&lt;&gt;0,SUMIF(куб!$B:$B,$B506,куб!L:L))))))</f>
        <v>0</v>
      </c>
      <c r="U506" s="27" t="b">
        <f>IF($G506&lt;&gt;0,SUMIF(куб!$G:$G,$G506,куб!M:M),IF($E506&lt;&gt;0,SUMIF(куб!$E:$E,$E506,куб!M:M),IF($D506&lt;&gt;0,SUMIF(куб!$D:$D,$D506,куб!M:M),IF($C506&lt;&gt;0,SUMIF(куб!$C:$C,$C506,куб!M:M),IF($B506&lt;&gt;0,SUMIF(куб!$B:$B,$B506,куб!M:M))))))</f>
        <v>0</v>
      </c>
      <c r="V506" s="13" t="str">
        <f t="shared" si="170"/>
        <v>-</v>
      </c>
      <c r="W506" s="5"/>
      <c r="X506" s="27" t="b">
        <f>IF($G506&lt;&gt;0,SUMIF(куб!$G:$G,$G506,куб!N:N),IF($E506&lt;&gt;0,SUMIF(куб!$E:$E,$E506,куб!N:N),IF($D506&lt;&gt;0,SUMIF(куб!$D:$D,$D506,куб!N:N),IF($C506&lt;&gt;0,SUMIF(куб!$C:$C,$C506,куб!N:N),IF($B506&lt;&gt;0,SUMIF(куб!$B:$B,$B506,куб!N:N))))))</f>
        <v>0</v>
      </c>
      <c r="Y506" s="27" t="b">
        <f>IF($G506&lt;&gt;0,SUMIF(куб!$G:$G,$G506,куб!O:O),IF($E506&lt;&gt;0,SUMIF(куб!$E:$E,$E506,куб!O:O),IF($D506&lt;&gt;0,SUMIF(куб!$D:$D,$D506,куб!O:O),IF($C506&lt;&gt;0,SUMIF(куб!$C:$C,$C506,куб!O:O),IF($B506&lt;&gt;0,SUMIF(куб!$B:$B,$B506,куб!O:O))))))</f>
        <v>0</v>
      </c>
      <c r="Z506" s="13" t="str">
        <f t="shared" si="171"/>
        <v>-</v>
      </c>
      <c r="AA506" s="5"/>
      <c r="AB506" s="33" t="str">
        <f t="shared" si="172"/>
        <v/>
      </c>
      <c r="AC506" s="33" t="str">
        <f t="shared" si="173"/>
        <v/>
      </c>
      <c r="AD506" s="15" t="str">
        <f t="shared" si="174"/>
        <v xml:space="preserve"> </v>
      </c>
      <c r="AE506" s="5"/>
      <c r="AF506" s="27" t="b">
        <f>IF($G506&lt;&gt;0,SUMIF(куб!$G:$G,$G506,куб!R:R),IF($E506&lt;&gt;0,SUMIF(куб!$E:$E,$E506,куб!R:R),IF($D506&lt;&gt;0,SUMIF(куб!$D:$D,$D506,куб!R:R),IF($C506&lt;&gt;0,SUMIF(куб!$C:$C,$C506,куб!R:R),IF($B506&lt;&gt;0,SUMIF(куб!$B:$B,$B506,куб!R:R))))))</f>
        <v>0</v>
      </c>
      <c r="AG506" s="27" t="b">
        <f>IF($G506&lt;&gt;0,SUMIF(куб!$G:$G,$G506,куб!S:S),IF($E506&lt;&gt;0,SUMIF(куб!$E:$E,$E506,куб!S:S),IF($D506&lt;&gt;0,SUMIF(куб!$D:$D,$D506,куб!S:S),IF($C506&lt;&gt;0,SUMIF(куб!$C:$C,$C506,куб!S:S),IF($B506&lt;&gt;0,SUMIF(куб!$B:$B,$B506,куб!S:S))))))</f>
        <v>0</v>
      </c>
      <c r="AH506" s="16" t="str">
        <f t="shared" si="175"/>
        <v>-</v>
      </c>
      <c r="AI506" s="8"/>
      <c r="AJ506" s="27" t="b">
        <f>IF($G506&lt;&gt;0,SUMIF(куб!$G:$G,$G506,куб!T:T),IF($E506&lt;&gt;0,SUMIF(куб!$E:$E,$E506,куб!T:T),IF($D506&lt;&gt;0,SUMIF(куб!$D:$D,$D506,куб!T:T),IF($C506&lt;&gt;0,SUMIF(куб!$C:$C,$C506,куб!T:T),IF($B506&lt;&gt;0,SUMIF(куб!$B:$B,$B506,куб!T:T))))))</f>
        <v>0</v>
      </c>
      <c r="AK506" s="27" t="b">
        <f>IF($G506&lt;&gt;0,SUMIF(куб!$G:$G,$G506,куб!U:U),IF($E506&lt;&gt;0,SUMIF(куб!$E:$E,$E506,куб!U:U),IF($D506&lt;&gt;0,SUMIF(куб!$D:$D,$D506,куб!U:U),IF($C506&lt;&gt;0,SUMIF(куб!$C:$C,$C506,куб!U:U),IF($B506&lt;&gt;0,SUMIF(куб!$B:$B,$B506,куб!U:U))))))</f>
        <v>0</v>
      </c>
      <c r="AL506" s="16" t="str">
        <f t="shared" si="176"/>
        <v>-</v>
      </c>
      <c r="AM506" s="8"/>
      <c r="AN506" s="17" t="str">
        <f t="shared" si="177"/>
        <v xml:space="preserve"> </v>
      </c>
      <c r="AO506" s="17" t="str">
        <f t="shared" si="178"/>
        <v xml:space="preserve"> </v>
      </c>
      <c r="AP506" s="16" t="str">
        <f t="shared" si="179"/>
        <v>-</v>
      </c>
      <c r="AQ506" s="8"/>
      <c r="AR506" s="17" t="str">
        <f t="shared" si="180"/>
        <v>-</v>
      </c>
      <c r="AS506" s="17" t="str">
        <f t="shared" si="181"/>
        <v>-</v>
      </c>
      <c r="AT506" s="13" t="str">
        <f t="shared" si="182"/>
        <v>-</v>
      </c>
      <c r="AU506" s="8"/>
    </row>
    <row r="507" spans="1:47" x14ac:dyDescent="0.25">
      <c r="A507" s="31"/>
      <c r="B507" s="31"/>
      <c r="C507"/>
      <c r="D507" s="31"/>
      <c r="E507"/>
      <c r="F507" s="31"/>
      <c r="G507"/>
      <c r="H507" s="27">
        <f>IF($G507&lt;&gt;0,SUMIF(куб!$G:$G,$G507,куб!H:H),IF($E507&lt;&gt;0,SUMIF(куб!$E:$E,$E507,куб!H:H),IF($D507&lt;&gt;0,SUMIF(куб!$D:$D,$D507,куб!H:H),IF($C507&lt;&gt;0,SUMIF(куб!$C:$C,$C507,куб!H:H),IF($B507&lt;&gt;0,SUMIF(куб!$B:$B,$B507,куб!H:H),IF($G507&lt;&gt;0,SUMIF(куб!$A:$A,$G507,куб!H:H),SUMIF(куб!$A:$A,$G507,куб!H:H)))))))</f>
        <v>0</v>
      </c>
      <c r="I507" s="27">
        <f>IF($G507&lt;&gt;0,SUMIF(куб!$G:$G,$G507,куб!I:I),IF($E507&lt;&gt;0,SUMIF(куб!$E:$E,$E507,куб!I:I),IF($D507&lt;&gt;0,SUMIF(куб!$D:$D,$D507,куб!I:I),IF($C507&lt;&gt;0,SUMIF(куб!$C:$C,$C507,куб!I:I),IF($B507&lt;&gt;0,SUMIF(куб!$B:$B,$B507,куб!I:I),IF($G507&lt;&gt;0,SUMIF(куб!$A:$A,$G507,куб!I:I),SUMIF(куб!$A:$A,$G507,куб!I:I)))))))</f>
        <v>0</v>
      </c>
      <c r="J507" s="19" t="str">
        <f t="shared" si="165"/>
        <v>-</v>
      </c>
      <c r="K507" s="8"/>
      <c r="L507" s="17">
        <f t="shared" si="166"/>
        <v>0</v>
      </c>
      <c r="M507" s="17">
        <f t="shared" si="167"/>
        <v>0</v>
      </c>
      <c r="N507" s="12">
        <f t="shared" si="168"/>
        <v>0</v>
      </c>
      <c r="O507" s="5"/>
      <c r="P507" s="27" t="b">
        <f>IF($G507&lt;&gt;0,SUMIF(куб!$G:$G,$G507,куб!J:J),IF($E507&lt;&gt;0,SUMIF(куб!$E:$E,$E507,куб!J:J),IF($D507&lt;&gt;0,SUMIF(куб!$D:$D,$D507,куб!J:J),IF($C507&lt;&gt;0,SUMIF(куб!$C:$C,$C507,куб!J:J),IF($B507&lt;&gt;0,SUMIF(куб!$B:$B,$B507,куб!J:J))))))</f>
        <v>0</v>
      </c>
      <c r="Q507" s="27" t="b">
        <f>IF($G507&lt;&gt;0,SUMIF(куб!$G:$G,$G507,куб!K:K),IF($E507&lt;&gt;0,SUMIF(куб!$E:$E,$E507,куб!K:K),IF($D507&lt;&gt;0,SUMIF(куб!$D:$D,$D507,куб!K:K),IF($C507&lt;&gt;0,SUMIF(куб!$C:$C,$C507,куб!K:K),IF($B507&lt;&gt;0,SUMIF(куб!$B:$B,$B507,куб!K:K))))))</f>
        <v>0</v>
      </c>
      <c r="R507" s="13" t="str">
        <f t="shared" si="169"/>
        <v>-</v>
      </c>
      <c r="S507" s="5"/>
      <c r="T507" s="27" t="b">
        <f>IF($G507&lt;&gt;0,SUMIF(куб!$G:$G,$G507,куб!L:L),IF($E507&lt;&gt;0,SUMIF(куб!$E:$E,$E507,куб!L:L),IF($D507&lt;&gt;0,SUMIF(куб!$D:$D,$D507,куб!L:L),IF($C507&lt;&gt;0,SUMIF(куб!$C:$C,$C507,куб!L:L),IF($B507&lt;&gt;0,SUMIF(куб!$B:$B,$B507,куб!L:L))))))</f>
        <v>0</v>
      </c>
      <c r="U507" s="27" t="b">
        <f>IF($G507&lt;&gt;0,SUMIF(куб!$G:$G,$G507,куб!M:M),IF($E507&lt;&gt;0,SUMIF(куб!$E:$E,$E507,куб!M:M),IF($D507&lt;&gt;0,SUMIF(куб!$D:$D,$D507,куб!M:M),IF($C507&lt;&gt;0,SUMIF(куб!$C:$C,$C507,куб!M:M),IF($B507&lt;&gt;0,SUMIF(куб!$B:$B,$B507,куб!M:M))))))</f>
        <v>0</v>
      </c>
      <c r="V507" s="13" t="str">
        <f t="shared" si="170"/>
        <v>-</v>
      </c>
      <c r="W507" s="5"/>
      <c r="X507" s="27" t="b">
        <f>IF($G507&lt;&gt;0,SUMIF(куб!$G:$G,$G507,куб!N:N),IF($E507&lt;&gt;0,SUMIF(куб!$E:$E,$E507,куб!N:N),IF($D507&lt;&gt;0,SUMIF(куб!$D:$D,$D507,куб!N:N),IF($C507&lt;&gt;0,SUMIF(куб!$C:$C,$C507,куб!N:N),IF($B507&lt;&gt;0,SUMIF(куб!$B:$B,$B507,куб!N:N))))))</f>
        <v>0</v>
      </c>
      <c r="Y507" s="27" t="b">
        <f>IF($G507&lt;&gt;0,SUMIF(куб!$G:$G,$G507,куб!O:O),IF($E507&lt;&gt;0,SUMIF(куб!$E:$E,$E507,куб!O:O),IF($D507&lt;&gt;0,SUMIF(куб!$D:$D,$D507,куб!O:O),IF($C507&lt;&gt;0,SUMIF(куб!$C:$C,$C507,куб!O:O),IF($B507&lt;&gt;0,SUMIF(куб!$B:$B,$B507,куб!O:O))))))</f>
        <v>0</v>
      </c>
      <c r="Z507" s="13" t="str">
        <f t="shared" si="171"/>
        <v>-</v>
      </c>
      <c r="AA507" s="5"/>
      <c r="AB507" s="33" t="str">
        <f t="shared" si="172"/>
        <v/>
      </c>
      <c r="AC507" s="33" t="str">
        <f t="shared" si="173"/>
        <v/>
      </c>
      <c r="AD507" s="15" t="str">
        <f t="shared" si="174"/>
        <v xml:space="preserve"> </v>
      </c>
      <c r="AE507" s="5"/>
      <c r="AF507" s="27" t="b">
        <f>IF($G507&lt;&gt;0,SUMIF(куб!$G:$G,$G507,куб!R:R),IF($E507&lt;&gt;0,SUMIF(куб!$E:$E,$E507,куб!R:R),IF($D507&lt;&gt;0,SUMIF(куб!$D:$D,$D507,куб!R:R),IF($C507&lt;&gt;0,SUMIF(куб!$C:$C,$C507,куб!R:R),IF($B507&lt;&gt;0,SUMIF(куб!$B:$B,$B507,куб!R:R))))))</f>
        <v>0</v>
      </c>
      <c r="AG507" s="27" t="b">
        <f>IF($G507&lt;&gt;0,SUMIF(куб!$G:$G,$G507,куб!S:S),IF($E507&lt;&gt;0,SUMIF(куб!$E:$E,$E507,куб!S:S),IF($D507&lt;&gt;0,SUMIF(куб!$D:$D,$D507,куб!S:S),IF($C507&lt;&gt;0,SUMIF(куб!$C:$C,$C507,куб!S:S),IF($B507&lt;&gt;0,SUMIF(куб!$B:$B,$B507,куб!S:S))))))</f>
        <v>0</v>
      </c>
      <c r="AH507" s="16" t="str">
        <f t="shared" si="175"/>
        <v>-</v>
      </c>
      <c r="AI507" s="8"/>
      <c r="AJ507" s="27" t="b">
        <f>IF($G507&lt;&gt;0,SUMIF(куб!$G:$G,$G507,куб!T:T),IF($E507&lt;&gt;0,SUMIF(куб!$E:$E,$E507,куб!T:T),IF($D507&lt;&gt;0,SUMIF(куб!$D:$D,$D507,куб!T:T),IF($C507&lt;&gt;0,SUMIF(куб!$C:$C,$C507,куб!T:T),IF($B507&lt;&gt;0,SUMIF(куб!$B:$B,$B507,куб!T:T))))))</f>
        <v>0</v>
      </c>
      <c r="AK507" s="27" t="b">
        <f>IF($G507&lt;&gt;0,SUMIF(куб!$G:$G,$G507,куб!U:U),IF($E507&lt;&gt;0,SUMIF(куб!$E:$E,$E507,куб!U:U),IF($D507&lt;&gt;0,SUMIF(куб!$D:$D,$D507,куб!U:U),IF($C507&lt;&gt;0,SUMIF(куб!$C:$C,$C507,куб!U:U),IF($B507&lt;&gt;0,SUMIF(куб!$B:$B,$B507,куб!U:U))))))</f>
        <v>0</v>
      </c>
      <c r="AL507" s="16" t="str">
        <f t="shared" si="176"/>
        <v>-</v>
      </c>
      <c r="AM507" s="8"/>
      <c r="AN507" s="17" t="str">
        <f t="shared" si="177"/>
        <v xml:space="preserve"> </v>
      </c>
      <c r="AO507" s="17" t="str">
        <f t="shared" si="178"/>
        <v xml:space="preserve"> </v>
      </c>
      <c r="AP507" s="16" t="str">
        <f t="shared" si="179"/>
        <v>-</v>
      </c>
      <c r="AQ507" s="8"/>
      <c r="AR507" s="17" t="str">
        <f t="shared" si="180"/>
        <v>-</v>
      </c>
      <c r="AS507" s="17" t="str">
        <f t="shared" si="181"/>
        <v>-</v>
      </c>
      <c r="AT507" s="13" t="str">
        <f t="shared" si="182"/>
        <v>-</v>
      </c>
      <c r="AU507" s="8"/>
    </row>
    <row r="508" spans="1:47" x14ac:dyDescent="0.25">
      <c r="A508" s="31"/>
      <c r="B508" s="31"/>
      <c r="C508"/>
      <c r="D508" s="31"/>
      <c r="E508"/>
      <c r="F508" s="31"/>
      <c r="G508"/>
      <c r="H508" s="27">
        <f>IF($G508&lt;&gt;0,SUMIF(куб!$G:$G,$G508,куб!H:H),IF($E508&lt;&gt;0,SUMIF(куб!$E:$E,$E508,куб!H:H),IF($D508&lt;&gt;0,SUMIF(куб!$D:$D,$D508,куб!H:H),IF($C508&lt;&gt;0,SUMIF(куб!$C:$C,$C508,куб!H:H),IF($B508&lt;&gt;0,SUMIF(куб!$B:$B,$B508,куб!H:H),IF($G508&lt;&gt;0,SUMIF(куб!$A:$A,$G508,куб!H:H),SUMIF(куб!$A:$A,$G508,куб!H:H)))))))</f>
        <v>0</v>
      </c>
      <c r="I508" s="27">
        <f>IF($G508&lt;&gt;0,SUMIF(куб!$G:$G,$G508,куб!I:I),IF($E508&lt;&gt;0,SUMIF(куб!$E:$E,$E508,куб!I:I),IF($D508&lt;&gt;0,SUMIF(куб!$D:$D,$D508,куб!I:I),IF($C508&lt;&gt;0,SUMIF(куб!$C:$C,$C508,куб!I:I),IF($B508&lt;&gt;0,SUMIF(куб!$B:$B,$B508,куб!I:I),IF($G508&lt;&gt;0,SUMIF(куб!$A:$A,$G508,куб!I:I),SUMIF(куб!$A:$A,$G508,куб!I:I)))))))</f>
        <v>0</v>
      </c>
      <c r="J508" s="19" t="str">
        <f t="shared" si="165"/>
        <v>-</v>
      </c>
      <c r="K508" s="8"/>
      <c r="L508" s="17">
        <f t="shared" si="166"/>
        <v>0</v>
      </c>
      <c r="M508" s="17">
        <f t="shared" si="167"/>
        <v>0</v>
      </c>
      <c r="N508" s="12">
        <f t="shared" si="168"/>
        <v>0</v>
      </c>
      <c r="O508" s="5"/>
      <c r="P508" s="27" t="b">
        <f>IF($G508&lt;&gt;0,SUMIF(куб!$G:$G,$G508,куб!J:J),IF($E508&lt;&gt;0,SUMIF(куб!$E:$E,$E508,куб!J:J),IF($D508&lt;&gt;0,SUMIF(куб!$D:$D,$D508,куб!J:J),IF($C508&lt;&gt;0,SUMIF(куб!$C:$C,$C508,куб!J:J),IF($B508&lt;&gt;0,SUMIF(куб!$B:$B,$B508,куб!J:J))))))</f>
        <v>0</v>
      </c>
      <c r="Q508" s="27" t="b">
        <f>IF($G508&lt;&gt;0,SUMIF(куб!$G:$G,$G508,куб!K:K),IF($E508&lt;&gt;0,SUMIF(куб!$E:$E,$E508,куб!K:K),IF($D508&lt;&gt;0,SUMIF(куб!$D:$D,$D508,куб!K:K),IF($C508&lt;&gt;0,SUMIF(куб!$C:$C,$C508,куб!K:K),IF($B508&lt;&gt;0,SUMIF(куб!$B:$B,$B508,куб!K:K))))))</f>
        <v>0</v>
      </c>
      <c r="R508" s="13" t="str">
        <f t="shared" si="169"/>
        <v>-</v>
      </c>
      <c r="S508" s="5"/>
      <c r="T508" s="27" t="b">
        <f>IF($G508&lt;&gt;0,SUMIF(куб!$G:$G,$G508,куб!L:L),IF($E508&lt;&gt;0,SUMIF(куб!$E:$E,$E508,куб!L:L),IF($D508&lt;&gt;0,SUMIF(куб!$D:$D,$D508,куб!L:L),IF($C508&lt;&gt;0,SUMIF(куб!$C:$C,$C508,куб!L:L),IF($B508&lt;&gt;0,SUMIF(куб!$B:$B,$B508,куб!L:L))))))</f>
        <v>0</v>
      </c>
      <c r="U508" s="27" t="b">
        <f>IF($G508&lt;&gt;0,SUMIF(куб!$G:$G,$G508,куб!M:M),IF($E508&lt;&gt;0,SUMIF(куб!$E:$E,$E508,куб!M:M),IF($D508&lt;&gt;0,SUMIF(куб!$D:$D,$D508,куб!M:M),IF($C508&lt;&gt;0,SUMIF(куб!$C:$C,$C508,куб!M:M),IF($B508&lt;&gt;0,SUMIF(куб!$B:$B,$B508,куб!M:M))))))</f>
        <v>0</v>
      </c>
      <c r="V508" s="13" t="str">
        <f t="shared" si="170"/>
        <v>-</v>
      </c>
      <c r="W508" s="5"/>
      <c r="X508" s="27" t="b">
        <f>IF($G508&lt;&gt;0,SUMIF(куб!$G:$G,$G508,куб!N:N),IF($E508&lt;&gt;0,SUMIF(куб!$E:$E,$E508,куб!N:N),IF($D508&lt;&gt;0,SUMIF(куб!$D:$D,$D508,куб!N:N),IF($C508&lt;&gt;0,SUMIF(куб!$C:$C,$C508,куб!N:N),IF($B508&lt;&gt;0,SUMIF(куб!$B:$B,$B508,куб!N:N))))))</f>
        <v>0</v>
      </c>
      <c r="Y508" s="27" t="b">
        <f>IF($G508&lt;&gt;0,SUMIF(куб!$G:$G,$G508,куб!O:O),IF($E508&lt;&gt;0,SUMIF(куб!$E:$E,$E508,куб!O:O),IF($D508&lt;&gt;0,SUMIF(куб!$D:$D,$D508,куб!O:O),IF($C508&lt;&gt;0,SUMIF(куб!$C:$C,$C508,куб!O:O),IF($B508&lt;&gt;0,SUMIF(куб!$B:$B,$B508,куб!O:O))))))</f>
        <v>0</v>
      </c>
      <c r="Z508" s="13" t="str">
        <f t="shared" si="171"/>
        <v>-</v>
      </c>
      <c r="AA508" s="5"/>
      <c r="AB508" s="33" t="str">
        <f t="shared" si="172"/>
        <v/>
      </c>
      <c r="AC508" s="33" t="str">
        <f t="shared" si="173"/>
        <v/>
      </c>
      <c r="AD508" s="15" t="str">
        <f t="shared" si="174"/>
        <v xml:space="preserve"> </v>
      </c>
      <c r="AE508" s="5"/>
      <c r="AF508" s="27" t="b">
        <f>IF($G508&lt;&gt;0,SUMIF(куб!$G:$G,$G508,куб!R:R),IF($E508&lt;&gt;0,SUMIF(куб!$E:$E,$E508,куб!R:R),IF($D508&lt;&gt;0,SUMIF(куб!$D:$D,$D508,куб!R:R),IF($C508&lt;&gt;0,SUMIF(куб!$C:$C,$C508,куб!R:R),IF($B508&lt;&gt;0,SUMIF(куб!$B:$B,$B508,куб!R:R))))))</f>
        <v>0</v>
      </c>
      <c r="AG508" s="27" t="b">
        <f>IF($G508&lt;&gt;0,SUMIF(куб!$G:$G,$G508,куб!S:S),IF($E508&lt;&gt;0,SUMIF(куб!$E:$E,$E508,куб!S:S),IF($D508&lt;&gt;0,SUMIF(куб!$D:$D,$D508,куб!S:S),IF($C508&lt;&gt;0,SUMIF(куб!$C:$C,$C508,куб!S:S),IF($B508&lt;&gt;0,SUMIF(куб!$B:$B,$B508,куб!S:S))))))</f>
        <v>0</v>
      </c>
      <c r="AH508" s="16" t="str">
        <f t="shared" si="175"/>
        <v>-</v>
      </c>
      <c r="AI508" s="8"/>
      <c r="AJ508" s="27" t="b">
        <f>IF($G508&lt;&gt;0,SUMIF(куб!$G:$G,$G508,куб!T:T),IF($E508&lt;&gt;0,SUMIF(куб!$E:$E,$E508,куб!T:T),IF($D508&lt;&gt;0,SUMIF(куб!$D:$D,$D508,куб!T:T),IF($C508&lt;&gt;0,SUMIF(куб!$C:$C,$C508,куб!T:T),IF($B508&lt;&gt;0,SUMIF(куб!$B:$B,$B508,куб!T:T))))))</f>
        <v>0</v>
      </c>
      <c r="AK508" s="27" t="b">
        <f>IF($G508&lt;&gt;0,SUMIF(куб!$G:$G,$G508,куб!U:U),IF($E508&lt;&gt;0,SUMIF(куб!$E:$E,$E508,куб!U:U),IF($D508&lt;&gt;0,SUMIF(куб!$D:$D,$D508,куб!U:U),IF($C508&lt;&gt;0,SUMIF(куб!$C:$C,$C508,куб!U:U),IF($B508&lt;&gt;0,SUMIF(куб!$B:$B,$B508,куб!U:U))))))</f>
        <v>0</v>
      </c>
      <c r="AL508" s="16" t="str">
        <f t="shared" si="176"/>
        <v>-</v>
      </c>
      <c r="AM508" s="8"/>
      <c r="AN508" s="17" t="str">
        <f t="shared" si="177"/>
        <v xml:space="preserve"> </v>
      </c>
      <c r="AO508" s="17" t="str">
        <f t="shared" si="178"/>
        <v xml:space="preserve"> </v>
      </c>
      <c r="AP508" s="16" t="str">
        <f t="shared" si="179"/>
        <v>-</v>
      </c>
      <c r="AQ508" s="8"/>
      <c r="AR508" s="17" t="str">
        <f t="shared" si="180"/>
        <v>-</v>
      </c>
      <c r="AS508" s="17" t="str">
        <f t="shared" si="181"/>
        <v>-</v>
      </c>
      <c r="AT508" s="13" t="str">
        <f t="shared" si="182"/>
        <v>-</v>
      </c>
      <c r="AU508" s="8"/>
    </row>
    <row r="509" spans="1:47" x14ac:dyDescent="0.25">
      <c r="A509" s="31"/>
      <c r="B509" s="31"/>
      <c r="C509"/>
      <c r="D509" s="31"/>
      <c r="E509"/>
      <c r="F509" s="31"/>
      <c r="G509"/>
      <c r="H509" s="27">
        <f>IF($G509&lt;&gt;0,SUMIF(куб!$G:$G,$G509,куб!H:H),IF($E509&lt;&gt;0,SUMIF(куб!$E:$E,$E509,куб!H:H),IF($D509&lt;&gt;0,SUMIF(куб!$D:$D,$D509,куб!H:H),IF($C509&lt;&gt;0,SUMIF(куб!$C:$C,$C509,куб!H:H),IF($B509&lt;&gt;0,SUMIF(куб!$B:$B,$B509,куб!H:H),IF($G509&lt;&gt;0,SUMIF(куб!$A:$A,$G509,куб!H:H),SUMIF(куб!$A:$A,$G509,куб!H:H)))))))</f>
        <v>0</v>
      </c>
      <c r="I509" s="27">
        <f>IF($G509&lt;&gt;0,SUMIF(куб!$G:$G,$G509,куб!I:I),IF($E509&lt;&gt;0,SUMIF(куб!$E:$E,$E509,куб!I:I),IF($D509&lt;&gt;0,SUMIF(куб!$D:$D,$D509,куб!I:I),IF($C509&lt;&gt;0,SUMIF(куб!$C:$C,$C509,куб!I:I),IF($B509&lt;&gt;0,SUMIF(куб!$B:$B,$B509,куб!I:I),IF($G509&lt;&gt;0,SUMIF(куб!$A:$A,$G509,куб!I:I),SUMIF(куб!$A:$A,$G509,куб!I:I)))))))</f>
        <v>0</v>
      </c>
      <c r="J509" s="19" t="str">
        <f t="shared" si="165"/>
        <v>-</v>
      </c>
      <c r="K509" s="8"/>
      <c r="L509" s="17">
        <f t="shared" si="166"/>
        <v>0</v>
      </c>
      <c r="M509" s="17">
        <f t="shared" si="167"/>
        <v>0</v>
      </c>
      <c r="N509" s="12">
        <f t="shared" si="168"/>
        <v>0</v>
      </c>
      <c r="O509" s="5"/>
      <c r="P509" s="27" t="b">
        <f>IF($G509&lt;&gt;0,SUMIF(куб!$G:$G,$G509,куб!J:J),IF($E509&lt;&gt;0,SUMIF(куб!$E:$E,$E509,куб!J:J),IF($D509&lt;&gt;0,SUMIF(куб!$D:$D,$D509,куб!J:J),IF($C509&lt;&gt;0,SUMIF(куб!$C:$C,$C509,куб!J:J),IF($B509&lt;&gt;0,SUMIF(куб!$B:$B,$B509,куб!J:J))))))</f>
        <v>0</v>
      </c>
      <c r="Q509" s="27" t="b">
        <f>IF($G509&lt;&gt;0,SUMIF(куб!$G:$G,$G509,куб!K:K),IF($E509&lt;&gt;0,SUMIF(куб!$E:$E,$E509,куб!K:K),IF($D509&lt;&gt;0,SUMIF(куб!$D:$D,$D509,куб!K:K),IF($C509&lt;&gt;0,SUMIF(куб!$C:$C,$C509,куб!K:K),IF($B509&lt;&gt;0,SUMIF(куб!$B:$B,$B509,куб!K:K))))))</f>
        <v>0</v>
      </c>
      <c r="R509" s="13" t="str">
        <f t="shared" si="169"/>
        <v>-</v>
      </c>
      <c r="S509" s="5"/>
      <c r="T509" s="27" t="b">
        <f>IF($G509&lt;&gt;0,SUMIF(куб!$G:$G,$G509,куб!L:L),IF($E509&lt;&gt;0,SUMIF(куб!$E:$E,$E509,куб!L:L),IF($D509&lt;&gt;0,SUMIF(куб!$D:$D,$D509,куб!L:L),IF($C509&lt;&gt;0,SUMIF(куб!$C:$C,$C509,куб!L:L),IF($B509&lt;&gt;0,SUMIF(куб!$B:$B,$B509,куб!L:L))))))</f>
        <v>0</v>
      </c>
      <c r="U509" s="27" t="b">
        <f>IF($G509&lt;&gt;0,SUMIF(куб!$G:$G,$G509,куб!M:M),IF($E509&lt;&gt;0,SUMIF(куб!$E:$E,$E509,куб!M:M),IF($D509&lt;&gt;0,SUMIF(куб!$D:$D,$D509,куб!M:M),IF($C509&lt;&gt;0,SUMIF(куб!$C:$C,$C509,куб!M:M),IF($B509&lt;&gt;0,SUMIF(куб!$B:$B,$B509,куб!M:M))))))</f>
        <v>0</v>
      </c>
      <c r="V509" s="13" t="str">
        <f t="shared" si="170"/>
        <v>-</v>
      </c>
      <c r="W509" s="5"/>
      <c r="X509" s="27" t="b">
        <f>IF($G509&lt;&gt;0,SUMIF(куб!$G:$G,$G509,куб!N:N),IF($E509&lt;&gt;0,SUMIF(куб!$E:$E,$E509,куб!N:N),IF($D509&lt;&gt;0,SUMIF(куб!$D:$D,$D509,куб!N:N),IF($C509&lt;&gt;0,SUMIF(куб!$C:$C,$C509,куб!N:N),IF($B509&lt;&gt;0,SUMIF(куб!$B:$B,$B509,куб!N:N))))))</f>
        <v>0</v>
      </c>
      <c r="Y509" s="27" t="b">
        <f>IF($G509&lt;&gt;0,SUMIF(куб!$G:$G,$G509,куб!O:O),IF($E509&lt;&gt;0,SUMIF(куб!$E:$E,$E509,куб!O:O),IF($D509&lt;&gt;0,SUMIF(куб!$D:$D,$D509,куб!O:O),IF($C509&lt;&gt;0,SUMIF(куб!$C:$C,$C509,куб!O:O),IF($B509&lt;&gt;0,SUMIF(куб!$B:$B,$B509,куб!O:O))))))</f>
        <v>0</v>
      </c>
      <c r="Z509" s="13" t="str">
        <f t="shared" si="171"/>
        <v>-</v>
      </c>
      <c r="AA509" s="5"/>
      <c r="AB509" s="33" t="str">
        <f t="shared" si="172"/>
        <v/>
      </c>
      <c r="AC509" s="33" t="str">
        <f t="shared" si="173"/>
        <v/>
      </c>
      <c r="AD509" s="15" t="str">
        <f t="shared" si="174"/>
        <v xml:space="preserve"> </v>
      </c>
      <c r="AE509" s="5"/>
      <c r="AF509" s="27" t="b">
        <f>IF($G509&lt;&gt;0,SUMIF(куб!$G:$G,$G509,куб!R:R),IF($E509&lt;&gt;0,SUMIF(куб!$E:$E,$E509,куб!R:R),IF($D509&lt;&gt;0,SUMIF(куб!$D:$D,$D509,куб!R:R),IF($C509&lt;&gt;0,SUMIF(куб!$C:$C,$C509,куб!R:R),IF($B509&lt;&gt;0,SUMIF(куб!$B:$B,$B509,куб!R:R))))))</f>
        <v>0</v>
      </c>
      <c r="AG509" s="27" t="b">
        <f>IF($G509&lt;&gt;0,SUMIF(куб!$G:$G,$G509,куб!S:S),IF($E509&lt;&gt;0,SUMIF(куб!$E:$E,$E509,куб!S:S),IF($D509&lt;&gt;0,SUMIF(куб!$D:$D,$D509,куб!S:S),IF($C509&lt;&gt;0,SUMIF(куб!$C:$C,$C509,куб!S:S),IF($B509&lt;&gt;0,SUMIF(куб!$B:$B,$B509,куб!S:S))))))</f>
        <v>0</v>
      </c>
      <c r="AH509" s="16" t="str">
        <f t="shared" si="175"/>
        <v>-</v>
      </c>
      <c r="AI509" s="8"/>
      <c r="AJ509" s="27" t="b">
        <f>IF($G509&lt;&gt;0,SUMIF(куб!$G:$G,$G509,куб!T:T),IF($E509&lt;&gt;0,SUMIF(куб!$E:$E,$E509,куб!T:T),IF($D509&lt;&gt;0,SUMIF(куб!$D:$D,$D509,куб!T:T),IF($C509&lt;&gt;0,SUMIF(куб!$C:$C,$C509,куб!T:T),IF($B509&lt;&gt;0,SUMIF(куб!$B:$B,$B509,куб!T:T))))))</f>
        <v>0</v>
      </c>
      <c r="AK509" s="27" t="b">
        <f>IF($G509&lt;&gt;0,SUMIF(куб!$G:$G,$G509,куб!U:U),IF($E509&lt;&gt;0,SUMIF(куб!$E:$E,$E509,куб!U:U),IF($D509&lt;&gt;0,SUMIF(куб!$D:$D,$D509,куб!U:U),IF($C509&lt;&gt;0,SUMIF(куб!$C:$C,$C509,куб!U:U),IF($B509&lt;&gt;0,SUMIF(куб!$B:$B,$B509,куб!U:U))))))</f>
        <v>0</v>
      </c>
      <c r="AL509" s="16" t="str">
        <f t="shared" si="176"/>
        <v>-</v>
      </c>
      <c r="AM509" s="8"/>
      <c r="AN509" s="17" t="str">
        <f t="shared" si="177"/>
        <v xml:space="preserve"> </v>
      </c>
      <c r="AO509" s="17" t="str">
        <f t="shared" si="178"/>
        <v xml:space="preserve"> </v>
      </c>
      <c r="AP509" s="16" t="str">
        <f t="shared" si="179"/>
        <v>-</v>
      </c>
      <c r="AQ509" s="8"/>
      <c r="AR509" s="17" t="str">
        <f t="shared" si="180"/>
        <v>-</v>
      </c>
      <c r="AS509" s="17" t="str">
        <f t="shared" si="181"/>
        <v>-</v>
      </c>
      <c r="AT509" s="13" t="str">
        <f t="shared" si="182"/>
        <v>-</v>
      </c>
      <c r="AU509" s="8"/>
    </row>
    <row r="510" spans="1:47" x14ac:dyDescent="0.25">
      <c r="A510" s="31"/>
      <c r="B510" s="31"/>
      <c r="C510"/>
      <c r="D510" s="31"/>
      <c r="E510"/>
      <c r="F510" s="31"/>
      <c r="G510"/>
      <c r="H510" s="27">
        <f>IF($G510&lt;&gt;0,SUMIF(куб!$G:$G,$G510,куб!H:H),IF($E510&lt;&gt;0,SUMIF(куб!$E:$E,$E510,куб!H:H),IF($D510&lt;&gt;0,SUMIF(куб!$D:$D,$D510,куб!H:H),IF($C510&lt;&gt;0,SUMIF(куб!$C:$C,$C510,куб!H:H),IF($B510&lt;&gt;0,SUMIF(куб!$B:$B,$B510,куб!H:H),IF($G510&lt;&gt;0,SUMIF(куб!$A:$A,$G510,куб!H:H),SUMIF(куб!$A:$A,$G510,куб!H:H)))))))</f>
        <v>0</v>
      </c>
      <c r="I510" s="27">
        <f>IF($G510&lt;&gt;0,SUMIF(куб!$G:$G,$G510,куб!I:I),IF($E510&lt;&gt;0,SUMIF(куб!$E:$E,$E510,куб!I:I),IF($D510&lt;&gt;0,SUMIF(куб!$D:$D,$D510,куб!I:I),IF($C510&lt;&gt;0,SUMIF(куб!$C:$C,$C510,куб!I:I),IF($B510&lt;&gt;0,SUMIF(куб!$B:$B,$B510,куб!I:I),IF($G510&lt;&gt;0,SUMIF(куб!$A:$A,$G510,куб!I:I),SUMIF(куб!$A:$A,$G510,куб!I:I)))))))</f>
        <v>0</v>
      </c>
      <c r="J510" s="19" t="str">
        <f t="shared" si="165"/>
        <v>-</v>
      </c>
      <c r="K510" s="8"/>
      <c r="L510" s="17">
        <f t="shared" si="166"/>
        <v>0</v>
      </c>
      <c r="M510" s="17">
        <f t="shared" si="167"/>
        <v>0</v>
      </c>
      <c r="N510" s="12">
        <f t="shared" si="168"/>
        <v>0</v>
      </c>
      <c r="O510" s="5"/>
      <c r="P510" s="27" t="b">
        <f>IF($G510&lt;&gt;0,SUMIF(куб!$G:$G,$G510,куб!J:J),IF($E510&lt;&gt;0,SUMIF(куб!$E:$E,$E510,куб!J:J),IF($D510&lt;&gt;0,SUMIF(куб!$D:$D,$D510,куб!J:J),IF($C510&lt;&gt;0,SUMIF(куб!$C:$C,$C510,куб!J:J),IF($B510&lt;&gt;0,SUMIF(куб!$B:$B,$B510,куб!J:J))))))</f>
        <v>0</v>
      </c>
      <c r="Q510" s="27" t="b">
        <f>IF($G510&lt;&gt;0,SUMIF(куб!$G:$G,$G510,куб!K:K),IF($E510&lt;&gt;0,SUMIF(куб!$E:$E,$E510,куб!K:K),IF($D510&lt;&gt;0,SUMIF(куб!$D:$D,$D510,куб!K:K),IF($C510&lt;&gt;0,SUMIF(куб!$C:$C,$C510,куб!K:K),IF($B510&lt;&gt;0,SUMIF(куб!$B:$B,$B510,куб!K:K))))))</f>
        <v>0</v>
      </c>
      <c r="R510" s="13" t="str">
        <f t="shared" si="169"/>
        <v>-</v>
      </c>
      <c r="S510" s="5"/>
      <c r="T510" s="27" t="b">
        <f>IF($G510&lt;&gt;0,SUMIF(куб!$G:$G,$G510,куб!L:L),IF($E510&lt;&gt;0,SUMIF(куб!$E:$E,$E510,куб!L:L),IF($D510&lt;&gt;0,SUMIF(куб!$D:$D,$D510,куб!L:L),IF($C510&lt;&gt;0,SUMIF(куб!$C:$C,$C510,куб!L:L),IF($B510&lt;&gt;0,SUMIF(куб!$B:$B,$B510,куб!L:L))))))</f>
        <v>0</v>
      </c>
      <c r="U510" s="27" t="b">
        <f>IF($G510&lt;&gt;0,SUMIF(куб!$G:$G,$G510,куб!M:M),IF($E510&lt;&gt;0,SUMIF(куб!$E:$E,$E510,куб!M:M),IF($D510&lt;&gt;0,SUMIF(куб!$D:$D,$D510,куб!M:M),IF($C510&lt;&gt;0,SUMIF(куб!$C:$C,$C510,куб!M:M),IF($B510&lt;&gt;0,SUMIF(куб!$B:$B,$B510,куб!M:M))))))</f>
        <v>0</v>
      </c>
      <c r="V510" s="13" t="str">
        <f t="shared" si="170"/>
        <v>-</v>
      </c>
      <c r="W510" s="5"/>
      <c r="X510" s="27" t="b">
        <f>IF($G510&lt;&gt;0,SUMIF(куб!$G:$G,$G510,куб!N:N),IF($E510&lt;&gt;0,SUMIF(куб!$E:$E,$E510,куб!N:N),IF($D510&lt;&gt;0,SUMIF(куб!$D:$D,$D510,куб!N:N),IF($C510&lt;&gt;0,SUMIF(куб!$C:$C,$C510,куб!N:N),IF($B510&lt;&gt;0,SUMIF(куб!$B:$B,$B510,куб!N:N))))))</f>
        <v>0</v>
      </c>
      <c r="Y510" s="27" t="b">
        <f>IF($G510&lt;&gt;0,SUMIF(куб!$G:$G,$G510,куб!O:O),IF($E510&lt;&gt;0,SUMIF(куб!$E:$E,$E510,куб!O:O),IF($D510&lt;&gt;0,SUMIF(куб!$D:$D,$D510,куб!O:O),IF($C510&lt;&gt;0,SUMIF(куб!$C:$C,$C510,куб!O:O),IF($B510&lt;&gt;0,SUMIF(куб!$B:$B,$B510,куб!O:O))))))</f>
        <v>0</v>
      </c>
      <c r="Z510" s="13" t="str">
        <f t="shared" si="171"/>
        <v>-</v>
      </c>
      <c r="AA510" s="5"/>
      <c r="AB510" s="33" t="str">
        <f t="shared" si="172"/>
        <v/>
      </c>
      <c r="AC510" s="33" t="str">
        <f t="shared" si="173"/>
        <v/>
      </c>
      <c r="AD510" s="15" t="str">
        <f t="shared" si="174"/>
        <v xml:space="preserve"> </v>
      </c>
      <c r="AE510" s="5"/>
      <c r="AF510" s="27" t="b">
        <f>IF($G510&lt;&gt;0,SUMIF(куб!$G:$G,$G510,куб!R:R),IF($E510&lt;&gt;0,SUMIF(куб!$E:$E,$E510,куб!R:R),IF($D510&lt;&gt;0,SUMIF(куб!$D:$D,$D510,куб!R:R),IF($C510&lt;&gt;0,SUMIF(куб!$C:$C,$C510,куб!R:R),IF($B510&lt;&gt;0,SUMIF(куб!$B:$B,$B510,куб!R:R))))))</f>
        <v>0</v>
      </c>
      <c r="AG510" s="27" t="b">
        <f>IF($G510&lt;&gt;0,SUMIF(куб!$G:$G,$G510,куб!S:S),IF($E510&lt;&gt;0,SUMIF(куб!$E:$E,$E510,куб!S:S),IF($D510&lt;&gt;0,SUMIF(куб!$D:$D,$D510,куб!S:S),IF($C510&lt;&gt;0,SUMIF(куб!$C:$C,$C510,куб!S:S),IF($B510&lt;&gt;0,SUMIF(куб!$B:$B,$B510,куб!S:S))))))</f>
        <v>0</v>
      </c>
      <c r="AH510" s="16" t="str">
        <f t="shared" si="175"/>
        <v>-</v>
      </c>
      <c r="AI510" s="8"/>
      <c r="AJ510" s="27" t="b">
        <f>IF($G510&lt;&gt;0,SUMIF(куб!$G:$G,$G510,куб!T:T),IF($E510&lt;&gt;0,SUMIF(куб!$E:$E,$E510,куб!T:T),IF($D510&lt;&gt;0,SUMIF(куб!$D:$D,$D510,куб!T:T),IF($C510&lt;&gt;0,SUMIF(куб!$C:$C,$C510,куб!T:T),IF($B510&lt;&gt;0,SUMIF(куб!$B:$B,$B510,куб!T:T))))))</f>
        <v>0</v>
      </c>
      <c r="AK510" s="27" t="b">
        <f>IF($G510&lt;&gt;0,SUMIF(куб!$G:$G,$G510,куб!U:U),IF($E510&lt;&gt;0,SUMIF(куб!$E:$E,$E510,куб!U:U),IF($D510&lt;&gt;0,SUMIF(куб!$D:$D,$D510,куб!U:U),IF($C510&lt;&gt;0,SUMIF(куб!$C:$C,$C510,куб!U:U),IF($B510&lt;&gt;0,SUMIF(куб!$B:$B,$B510,куб!U:U))))))</f>
        <v>0</v>
      </c>
      <c r="AL510" s="16" t="str">
        <f t="shared" si="176"/>
        <v>-</v>
      </c>
      <c r="AM510" s="8"/>
      <c r="AN510" s="17" t="str">
        <f t="shared" si="177"/>
        <v xml:space="preserve"> </v>
      </c>
      <c r="AO510" s="17" t="str">
        <f t="shared" si="178"/>
        <v xml:space="preserve"> </v>
      </c>
      <c r="AP510" s="16" t="str">
        <f t="shared" si="179"/>
        <v>-</v>
      </c>
      <c r="AQ510" s="8"/>
      <c r="AR510" s="17" t="str">
        <f t="shared" si="180"/>
        <v>-</v>
      </c>
      <c r="AS510" s="17" t="str">
        <f t="shared" si="181"/>
        <v>-</v>
      </c>
      <c r="AT510" s="13" t="str">
        <f t="shared" si="182"/>
        <v>-</v>
      </c>
      <c r="AU510" s="8"/>
    </row>
    <row r="511" spans="1:47" x14ac:dyDescent="0.25">
      <c r="A511" s="31"/>
      <c r="B511" s="31"/>
      <c r="C511"/>
      <c r="D511" s="31"/>
      <c r="E511"/>
      <c r="F511" s="31"/>
      <c r="G511"/>
      <c r="H511" s="27">
        <f>IF($G511&lt;&gt;0,SUMIF(куб!$G:$G,$G511,куб!H:H),IF($E511&lt;&gt;0,SUMIF(куб!$E:$E,$E511,куб!H:H),IF($D511&lt;&gt;0,SUMIF(куб!$D:$D,$D511,куб!H:H),IF($C511&lt;&gt;0,SUMIF(куб!$C:$C,$C511,куб!H:H),IF($B511&lt;&gt;0,SUMIF(куб!$B:$B,$B511,куб!H:H),IF($G511&lt;&gt;0,SUMIF(куб!$A:$A,$G511,куб!H:H),SUMIF(куб!$A:$A,$G511,куб!H:H)))))))</f>
        <v>0</v>
      </c>
      <c r="I511" s="27">
        <f>IF($G511&lt;&gt;0,SUMIF(куб!$G:$G,$G511,куб!I:I),IF($E511&lt;&gt;0,SUMIF(куб!$E:$E,$E511,куб!I:I),IF($D511&lt;&gt;0,SUMIF(куб!$D:$D,$D511,куб!I:I),IF($C511&lt;&gt;0,SUMIF(куб!$C:$C,$C511,куб!I:I),IF($B511&lt;&gt;0,SUMIF(куб!$B:$B,$B511,куб!I:I),IF($G511&lt;&gt;0,SUMIF(куб!$A:$A,$G511,куб!I:I),SUMIF(куб!$A:$A,$G511,куб!I:I)))))))</f>
        <v>0</v>
      </c>
      <c r="J511" s="19" t="str">
        <f t="shared" si="165"/>
        <v>-</v>
      </c>
      <c r="K511" s="8"/>
      <c r="L511" s="17">
        <f t="shared" si="166"/>
        <v>0</v>
      </c>
      <c r="M511" s="17">
        <f t="shared" si="167"/>
        <v>0</v>
      </c>
      <c r="N511" s="12">
        <f t="shared" si="168"/>
        <v>0</v>
      </c>
      <c r="O511" s="5"/>
      <c r="P511" s="27" t="b">
        <f>IF($G511&lt;&gt;0,SUMIF(куб!$G:$G,$G511,куб!J:J),IF($E511&lt;&gt;0,SUMIF(куб!$E:$E,$E511,куб!J:J),IF($D511&lt;&gt;0,SUMIF(куб!$D:$D,$D511,куб!J:J),IF($C511&lt;&gt;0,SUMIF(куб!$C:$C,$C511,куб!J:J),IF($B511&lt;&gt;0,SUMIF(куб!$B:$B,$B511,куб!J:J))))))</f>
        <v>0</v>
      </c>
      <c r="Q511" s="27" t="b">
        <f>IF($G511&lt;&gt;0,SUMIF(куб!$G:$G,$G511,куб!K:K),IF($E511&lt;&gt;0,SUMIF(куб!$E:$E,$E511,куб!K:K),IF($D511&lt;&gt;0,SUMIF(куб!$D:$D,$D511,куб!K:K),IF($C511&lt;&gt;0,SUMIF(куб!$C:$C,$C511,куб!K:K),IF($B511&lt;&gt;0,SUMIF(куб!$B:$B,$B511,куб!K:K))))))</f>
        <v>0</v>
      </c>
      <c r="R511" s="13" t="str">
        <f t="shared" si="169"/>
        <v>-</v>
      </c>
      <c r="S511" s="5"/>
      <c r="T511" s="27" t="b">
        <f>IF($G511&lt;&gt;0,SUMIF(куб!$G:$G,$G511,куб!L:L),IF($E511&lt;&gt;0,SUMIF(куб!$E:$E,$E511,куб!L:L),IF($D511&lt;&gt;0,SUMIF(куб!$D:$D,$D511,куб!L:L),IF($C511&lt;&gt;0,SUMIF(куб!$C:$C,$C511,куб!L:L),IF($B511&lt;&gt;0,SUMIF(куб!$B:$B,$B511,куб!L:L))))))</f>
        <v>0</v>
      </c>
      <c r="U511" s="27" t="b">
        <f>IF($G511&lt;&gt;0,SUMIF(куб!$G:$G,$G511,куб!M:M),IF($E511&lt;&gt;0,SUMIF(куб!$E:$E,$E511,куб!M:M),IF($D511&lt;&gt;0,SUMIF(куб!$D:$D,$D511,куб!M:M),IF($C511&lt;&gt;0,SUMIF(куб!$C:$C,$C511,куб!M:M),IF($B511&lt;&gt;0,SUMIF(куб!$B:$B,$B511,куб!M:M))))))</f>
        <v>0</v>
      </c>
      <c r="V511" s="13" t="str">
        <f t="shared" si="170"/>
        <v>-</v>
      </c>
      <c r="W511" s="5"/>
      <c r="X511" s="27" t="b">
        <f>IF($G511&lt;&gt;0,SUMIF(куб!$G:$G,$G511,куб!N:N),IF($E511&lt;&gt;0,SUMIF(куб!$E:$E,$E511,куб!N:N),IF($D511&lt;&gt;0,SUMIF(куб!$D:$D,$D511,куб!N:N),IF($C511&lt;&gt;0,SUMIF(куб!$C:$C,$C511,куб!N:N),IF($B511&lt;&gt;0,SUMIF(куб!$B:$B,$B511,куб!N:N))))))</f>
        <v>0</v>
      </c>
      <c r="Y511" s="27" t="b">
        <f>IF($G511&lt;&gt;0,SUMIF(куб!$G:$G,$G511,куб!O:O),IF($E511&lt;&gt;0,SUMIF(куб!$E:$E,$E511,куб!O:O),IF($D511&lt;&gt;0,SUMIF(куб!$D:$D,$D511,куб!O:O),IF($C511&lt;&gt;0,SUMIF(куб!$C:$C,$C511,куб!O:O),IF($B511&lt;&gt;0,SUMIF(куб!$B:$B,$B511,куб!O:O))))))</f>
        <v>0</v>
      </c>
      <c r="Z511" s="13" t="str">
        <f t="shared" si="171"/>
        <v>-</v>
      </c>
      <c r="AA511" s="5"/>
      <c r="AB511" s="33" t="str">
        <f t="shared" si="172"/>
        <v/>
      </c>
      <c r="AC511" s="33" t="str">
        <f t="shared" si="173"/>
        <v/>
      </c>
      <c r="AD511" s="15" t="str">
        <f t="shared" si="174"/>
        <v xml:space="preserve"> </v>
      </c>
      <c r="AE511" s="5"/>
      <c r="AF511" s="27" t="b">
        <f>IF($G511&lt;&gt;0,SUMIF(куб!$G:$G,$G511,куб!R:R),IF($E511&lt;&gt;0,SUMIF(куб!$E:$E,$E511,куб!R:R),IF($D511&lt;&gt;0,SUMIF(куб!$D:$D,$D511,куб!R:R),IF($C511&lt;&gt;0,SUMIF(куб!$C:$C,$C511,куб!R:R),IF($B511&lt;&gt;0,SUMIF(куб!$B:$B,$B511,куб!R:R))))))</f>
        <v>0</v>
      </c>
      <c r="AG511" s="27" t="b">
        <f>IF($G511&lt;&gt;0,SUMIF(куб!$G:$G,$G511,куб!S:S),IF($E511&lt;&gt;0,SUMIF(куб!$E:$E,$E511,куб!S:S),IF($D511&lt;&gt;0,SUMIF(куб!$D:$D,$D511,куб!S:S),IF($C511&lt;&gt;0,SUMIF(куб!$C:$C,$C511,куб!S:S),IF($B511&lt;&gt;0,SUMIF(куб!$B:$B,$B511,куб!S:S))))))</f>
        <v>0</v>
      </c>
      <c r="AH511" s="16" t="str">
        <f t="shared" si="175"/>
        <v>-</v>
      </c>
      <c r="AI511" s="8"/>
      <c r="AJ511" s="27" t="b">
        <f>IF($G511&lt;&gt;0,SUMIF(куб!$G:$G,$G511,куб!T:T),IF($E511&lt;&gt;0,SUMIF(куб!$E:$E,$E511,куб!T:T),IF($D511&lt;&gt;0,SUMIF(куб!$D:$D,$D511,куб!T:T),IF($C511&lt;&gt;0,SUMIF(куб!$C:$C,$C511,куб!T:T),IF($B511&lt;&gt;0,SUMIF(куб!$B:$B,$B511,куб!T:T))))))</f>
        <v>0</v>
      </c>
      <c r="AK511" s="27" t="b">
        <f>IF($G511&lt;&gt;0,SUMIF(куб!$G:$G,$G511,куб!U:U),IF($E511&lt;&gt;0,SUMIF(куб!$E:$E,$E511,куб!U:U),IF($D511&lt;&gt;0,SUMIF(куб!$D:$D,$D511,куб!U:U),IF($C511&lt;&gt;0,SUMIF(куб!$C:$C,$C511,куб!U:U),IF($B511&lt;&gt;0,SUMIF(куб!$B:$B,$B511,куб!U:U))))))</f>
        <v>0</v>
      </c>
      <c r="AL511" s="16" t="str">
        <f t="shared" si="176"/>
        <v>-</v>
      </c>
      <c r="AM511" s="8"/>
      <c r="AN511" s="17" t="str">
        <f t="shared" si="177"/>
        <v xml:space="preserve"> </v>
      </c>
      <c r="AO511" s="17" t="str">
        <f t="shared" si="178"/>
        <v xml:space="preserve"> </v>
      </c>
      <c r="AP511" s="16" t="str">
        <f t="shared" si="179"/>
        <v>-</v>
      </c>
      <c r="AQ511" s="8"/>
      <c r="AR511" s="17" t="str">
        <f t="shared" si="180"/>
        <v>-</v>
      </c>
      <c r="AS511" s="17" t="str">
        <f t="shared" si="181"/>
        <v>-</v>
      </c>
      <c r="AT511" s="13" t="str">
        <f t="shared" si="182"/>
        <v>-</v>
      </c>
      <c r="AU511" s="8"/>
    </row>
    <row r="512" spans="1:47" x14ac:dyDescent="0.25">
      <c r="A512" s="31"/>
      <c r="B512" s="31"/>
      <c r="C512"/>
      <c r="D512" s="31"/>
      <c r="E512"/>
      <c r="F512" s="31"/>
      <c r="G512"/>
      <c r="H512" s="27">
        <f>IF($G512&lt;&gt;0,SUMIF(куб!$G:$G,$G512,куб!H:H),IF($E512&lt;&gt;0,SUMIF(куб!$E:$E,$E512,куб!H:H),IF($D512&lt;&gt;0,SUMIF(куб!$D:$D,$D512,куб!H:H),IF($C512&lt;&gt;0,SUMIF(куб!$C:$C,$C512,куб!H:H),IF($B512&lt;&gt;0,SUMIF(куб!$B:$B,$B512,куб!H:H),IF($G512&lt;&gt;0,SUMIF(куб!$A:$A,$G512,куб!H:H),SUMIF(куб!$A:$A,$G512,куб!H:H)))))))</f>
        <v>0</v>
      </c>
      <c r="I512" s="27">
        <f>IF($G512&lt;&gt;0,SUMIF(куб!$G:$G,$G512,куб!I:I),IF($E512&lt;&gt;0,SUMIF(куб!$E:$E,$E512,куб!I:I),IF($D512&lt;&gt;0,SUMIF(куб!$D:$D,$D512,куб!I:I),IF($C512&lt;&gt;0,SUMIF(куб!$C:$C,$C512,куб!I:I),IF($B512&lt;&gt;0,SUMIF(куб!$B:$B,$B512,куб!I:I),IF($G512&lt;&gt;0,SUMIF(куб!$A:$A,$G512,куб!I:I),SUMIF(куб!$A:$A,$G512,куб!I:I)))))))</f>
        <v>0</v>
      </c>
      <c r="J512" s="19" t="str">
        <f t="shared" si="165"/>
        <v>-</v>
      </c>
      <c r="K512" s="8"/>
      <c r="L512" s="17">
        <f t="shared" si="166"/>
        <v>0</v>
      </c>
      <c r="M512" s="17">
        <f t="shared" si="167"/>
        <v>0</v>
      </c>
      <c r="N512" s="12">
        <f t="shared" si="168"/>
        <v>0</v>
      </c>
      <c r="O512" s="5"/>
      <c r="P512" s="27" t="b">
        <f>IF($G512&lt;&gt;0,SUMIF(куб!$G:$G,$G512,куб!J:J),IF($E512&lt;&gt;0,SUMIF(куб!$E:$E,$E512,куб!J:J),IF($D512&lt;&gt;0,SUMIF(куб!$D:$D,$D512,куб!J:J),IF($C512&lt;&gt;0,SUMIF(куб!$C:$C,$C512,куб!J:J),IF($B512&lt;&gt;0,SUMIF(куб!$B:$B,$B512,куб!J:J))))))</f>
        <v>0</v>
      </c>
      <c r="Q512" s="27" t="b">
        <f>IF($G512&lt;&gt;0,SUMIF(куб!$G:$G,$G512,куб!K:K),IF($E512&lt;&gt;0,SUMIF(куб!$E:$E,$E512,куб!K:K),IF($D512&lt;&gt;0,SUMIF(куб!$D:$D,$D512,куб!K:K),IF($C512&lt;&gt;0,SUMIF(куб!$C:$C,$C512,куб!K:K),IF($B512&lt;&gt;0,SUMIF(куб!$B:$B,$B512,куб!K:K))))))</f>
        <v>0</v>
      </c>
      <c r="R512" s="13" t="str">
        <f t="shared" si="169"/>
        <v>-</v>
      </c>
      <c r="S512" s="5"/>
      <c r="T512" s="27" t="b">
        <f>IF($G512&lt;&gt;0,SUMIF(куб!$G:$G,$G512,куб!L:L),IF($E512&lt;&gt;0,SUMIF(куб!$E:$E,$E512,куб!L:L),IF($D512&lt;&gt;0,SUMIF(куб!$D:$D,$D512,куб!L:L),IF($C512&lt;&gt;0,SUMIF(куб!$C:$C,$C512,куб!L:L),IF($B512&lt;&gt;0,SUMIF(куб!$B:$B,$B512,куб!L:L))))))</f>
        <v>0</v>
      </c>
      <c r="U512" s="27" t="b">
        <f>IF($G512&lt;&gt;0,SUMIF(куб!$G:$G,$G512,куб!M:M),IF($E512&lt;&gt;0,SUMIF(куб!$E:$E,$E512,куб!M:M),IF($D512&lt;&gt;0,SUMIF(куб!$D:$D,$D512,куб!M:M),IF($C512&lt;&gt;0,SUMIF(куб!$C:$C,$C512,куб!M:M),IF($B512&lt;&gt;0,SUMIF(куб!$B:$B,$B512,куб!M:M))))))</f>
        <v>0</v>
      </c>
      <c r="V512" s="13" t="str">
        <f t="shared" si="170"/>
        <v>-</v>
      </c>
      <c r="W512" s="5"/>
      <c r="X512" s="27" t="b">
        <f>IF($G512&lt;&gt;0,SUMIF(куб!$G:$G,$G512,куб!N:N),IF($E512&lt;&gt;0,SUMIF(куб!$E:$E,$E512,куб!N:N),IF($D512&lt;&gt;0,SUMIF(куб!$D:$D,$D512,куб!N:N),IF($C512&lt;&gt;0,SUMIF(куб!$C:$C,$C512,куб!N:N),IF($B512&lt;&gt;0,SUMIF(куб!$B:$B,$B512,куб!N:N))))))</f>
        <v>0</v>
      </c>
      <c r="Y512" s="27" t="b">
        <f>IF($G512&lt;&gt;0,SUMIF(куб!$G:$G,$G512,куб!O:O),IF($E512&lt;&gt;0,SUMIF(куб!$E:$E,$E512,куб!O:O),IF($D512&lt;&gt;0,SUMIF(куб!$D:$D,$D512,куб!O:O),IF($C512&lt;&gt;0,SUMIF(куб!$C:$C,$C512,куб!O:O),IF($B512&lt;&gt;0,SUMIF(куб!$B:$B,$B512,куб!O:O))))))</f>
        <v>0</v>
      </c>
      <c r="Z512" s="13" t="str">
        <f t="shared" si="171"/>
        <v>-</v>
      </c>
      <c r="AA512" s="5"/>
      <c r="AB512" s="33" t="str">
        <f t="shared" si="172"/>
        <v/>
      </c>
      <c r="AC512" s="33" t="str">
        <f t="shared" si="173"/>
        <v/>
      </c>
      <c r="AD512" s="15" t="str">
        <f t="shared" si="174"/>
        <v xml:space="preserve"> </v>
      </c>
      <c r="AE512" s="5"/>
      <c r="AF512" s="27" t="b">
        <f>IF($G512&lt;&gt;0,SUMIF(куб!$G:$G,$G512,куб!R:R),IF($E512&lt;&gt;0,SUMIF(куб!$E:$E,$E512,куб!R:R),IF($D512&lt;&gt;0,SUMIF(куб!$D:$D,$D512,куб!R:R),IF($C512&lt;&gt;0,SUMIF(куб!$C:$C,$C512,куб!R:R),IF($B512&lt;&gt;0,SUMIF(куб!$B:$B,$B512,куб!R:R))))))</f>
        <v>0</v>
      </c>
      <c r="AG512" s="27" t="b">
        <f>IF($G512&lt;&gt;0,SUMIF(куб!$G:$G,$G512,куб!S:S),IF($E512&lt;&gt;0,SUMIF(куб!$E:$E,$E512,куб!S:S),IF($D512&lt;&gt;0,SUMIF(куб!$D:$D,$D512,куб!S:S),IF($C512&lt;&gt;0,SUMIF(куб!$C:$C,$C512,куб!S:S),IF($B512&lt;&gt;0,SUMIF(куб!$B:$B,$B512,куб!S:S))))))</f>
        <v>0</v>
      </c>
      <c r="AH512" s="16" t="str">
        <f t="shared" si="175"/>
        <v>-</v>
      </c>
      <c r="AI512" s="8"/>
      <c r="AJ512" s="27" t="b">
        <f>IF($G512&lt;&gt;0,SUMIF(куб!$G:$G,$G512,куб!T:T),IF($E512&lt;&gt;0,SUMIF(куб!$E:$E,$E512,куб!T:T),IF($D512&lt;&gt;0,SUMIF(куб!$D:$D,$D512,куб!T:T),IF($C512&lt;&gt;0,SUMIF(куб!$C:$C,$C512,куб!T:T),IF($B512&lt;&gt;0,SUMIF(куб!$B:$B,$B512,куб!T:T))))))</f>
        <v>0</v>
      </c>
      <c r="AK512" s="27" t="b">
        <f>IF($G512&lt;&gt;0,SUMIF(куб!$G:$G,$G512,куб!U:U),IF($E512&lt;&gt;0,SUMIF(куб!$E:$E,$E512,куб!U:U),IF($D512&lt;&gt;0,SUMIF(куб!$D:$D,$D512,куб!U:U),IF($C512&lt;&gt;0,SUMIF(куб!$C:$C,$C512,куб!U:U),IF($B512&lt;&gt;0,SUMIF(куб!$B:$B,$B512,куб!U:U))))))</f>
        <v>0</v>
      </c>
      <c r="AL512" s="16" t="str">
        <f t="shared" si="176"/>
        <v>-</v>
      </c>
      <c r="AM512" s="8"/>
      <c r="AN512" s="17" t="str">
        <f t="shared" si="177"/>
        <v xml:space="preserve"> </v>
      </c>
      <c r="AO512" s="17" t="str">
        <f t="shared" si="178"/>
        <v xml:space="preserve"> </v>
      </c>
      <c r="AP512" s="16" t="str">
        <f t="shared" si="179"/>
        <v>-</v>
      </c>
      <c r="AQ512" s="8"/>
      <c r="AR512" s="17" t="str">
        <f t="shared" si="180"/>
        <v>-</v>
      </c>
      <c r="AS512" s="17" t="str">
        <f t="shared" si="181"/>
        <v>-</v>
      </c>
      <c r="AT512" s="13" t="str">
        <f t="shared" si="182"/>
        <v>-</v>
      </c>
      <c r="AU512" s="8"/>
    </row>
    <row r="513" spans="1:47" x14ac:dyDescent="0.25">
      <c r="A513" s="31"/>
      <c r="B513" s="31"/>
      <c r="C513"/>
      <c r="D513" s="31"/>
      <c r="E513"/>
      <c r="F513" s="31"/>
      <c r="G513"/>
      <c r="H513" s="27">
        <f>IF($G513&lt;&gt;0,SUMIF(куб!$G:$G,$G513,куб!H:H),IF($E513&lt;&gt;0,SUMIF(куб!$E:$E,$E513,куб!H:H),IF($D513&lt;&gt;0,SUMIF(куб!$D:$D,$D513,куб!H:H),IF($C513&lt;&gt;0,SUMIF(куб!$C:$C,$C513,куб!H:H),IF($B513&lt;&gt;0,SUMIF(куб!$B:$B,$B513,куб!H:H),IF($G513&lt;&gt;0,SUMIF(куб!$A:$A,$G513,куб!H:H),SUMIF(куб!$A:$A,$G513,куб!H:H)))))))</f>
        <v>0</v>
      </c>
      <c r="I513" s="27">
        <f>IF($G513&lt;&gt;0,SUMIF(куб!$G:$G,$G513,куб!I:I),IF($E513&lt;&gt;0,SUMIF(куб!$E:$E,$E513,куб!I:I),IF($D513&lt;&gt;0,SUMIF(куб!$D:$D,$D513,куб!I:I),IF($C513&lt;&gt;0,SUMIF(куб!$C:$C,$C513,куб!I:I),IF($B513&lt;&gt;0,SUMIF(куб!$B:$B,$B513,куб!I:I),IF($G513&lt;&gt;0,SUMIF(куб!$A:$A,$G513,куб!I:I),SUMIF(куб!$A:$A,$G513,куб!I:I)))))))</f>
        <v>0</v>
      </c>
      <c r="J513" s="19" t="str">
        <f t="shared" si="165"/>
        <v>-</v>
      </c>
      <c r="K513" s="8"/>
      <c r="L513" s="17">
        <f t="shared" si="166"/>
        <v>0</v>
      </c>
      <c r="M513" s="17">
        <f t="shared" si="167"/>
        <v>0</v>
      </c>
      <c r="N513" s="12">
        <f t="shared" si="168"/>
        <v>0</v>
      </c>
      <c r="O513" s="5"/>
      <c r="P513" s="27" t="b">
        <f>IF($G513&lt;&gt;0,SUMIF(куб!$G:$G,$G513,куб!J:J),IF($E513&lt;&gt;0,SUMIF(куб!$E:$E,$E513,куб!J:J),IF($D513&lt;&gt;0,SUMIF(куб!$D:$D,$D513,куб!J:J),IF($C513&lt;&gt;0,SUMIF(куб!$C:$C,$C513,куб!J:J),IF($B513&lt;&gt;0,SUMIF(куб!$B:$B,$B513,куб!J:J))))))</f>
        <v>0</v>
      </c>
      <c r="Q513" s="27" t="b">
        <f>IF($G513&lt;&gt;0,SUMIF(куб!$G:$G,$G513,куб!K:K),IF($E513&lt;&gt;0,SUMIF(куб!$E:$E,$E513,куб!K:K),IF($D513&lt;&gt;0,SUMIF(куб!$D:$D,$D513,куб!K:K),IF($C513&lt;&gt;0,SUMIF(куб!$C:$C,$C513,куб!K:K),IF($B513&lt;&gt;0,SUMIF(куб!$B:$B,$B513,куб!K:K))))))</f>
        <v>0</v>
      </c>
      <c r="R513" s="13" t="str">
        <f t="shared" si="169"/>
        <v>-</v>
      </c>
      <c r="S513" s="5"/>
      <c r="T513" s="27" t="b">
        <f>IF($G513&lt;&gt;0,SUMIF(куб!$G:$G,$G513,куб!L:L),IF($E513&lt;&gt;0,SUMIF(куб!$E:$E,$E513,куб!L:L),IF($D513&lt;&gt;0,SUMIF(куб!$D:$D,$D513,куб!L:L),IF($C513&lt;&gt;0,SUMIF(куб!$C:$C,$C513,куб!L:L),IF($B513&lt;&gt;0,SUMIF(куб!$B:$B,$B513,куб!L:L))))))</f>
        <v>0</v>
      </c>
      <c r="U513" s="27" t="b">
        <f>IF($G513&lt;&gt;0,SUMIF(куб!$G:$G,$G513,куб!M:M),IF($E513&lt;&gt;0,SUMIF(куб!$E:$E,$E513,куб!M:M),IF($D513&lt;&gt;0,SUMIF(куб!$D:$D,$D513,куб!M:M),IF($C513&lt;&gt;0,SUMIF(куб!$C:$C,$C513,куб!M:M),IF($B513&lt;&gt;0,SUMIF(куб!$B:$B,$B513,куб!M:M))))))</f>
        <v>0</v>
      </c>
      <c r="V513" s="13" t="str">
        <f t="shared" si="170"/>
        <v>-</v>
      </c>
      <c r="W513" s="5"/>
      <c r="X513" s="27" t="b">
        <f>IF($G513&lt;&gt;0,SUMIF(куб!$G:$G,$G513,куб!N:N),IF($E513&lt;&gt;0,SUMIF(куб!$E:$E,$E513,куб!N:N),IF($D513&lt;&gt;0,SUMIF(куб!$D:$D,$D513,куб!N:N),IF($C513&lt;&gt;0,SUMIF(куб!$C:$C,$C513,куб!N:N),IF($B513&lt;&gt;0,SUMIF(куб!$B:$B,$B513,куб!N:N))))))</f>
        <v>0</v>
      </c>
      <c r="Y513" s="27" t="b">
        <f>IF($G513&lt;&gt;0,SUMIF(куб!$G:$G,$G513,куб!O:O),IF($E513&lt;&gt;0,SUMIF(куб!$E:$E,$E513,куб!O:O),IF($D513&lt;&gt;0,SUMIF(куб!$D:$D,$D513,куб!O:O),IF($C513&lt;&gt;0,SUMIF(куб!$C:$C,$C513,куб!O:O),IF($B513&lt;&gt;0,SUMIF(куб!$B:$B,$B513,куб!O:O))))))</f>
        <v>0</v>
      </c>
      <c r="Z513" s="13" t="str">
        <f t="shared" si="171"/>
        <v>-</v>
      </c>
      <c r="AA513" s="5"/>
      <c r="AB513" s="33" t="str">
        <f t="shared" si="172"/>
        <v/>
      </c>
      <c r="AC513" s="33" t="str">
        <f t="shared" si="173"/>
        <v/>
      </c>
      <c r="AD513" s="15" t="str">
        <f t="shared" si="174"/>
        <v xml:space="preserve"> </v>
      </c>
      <c r="AE513" s="5"/>
      <c r="AF513" s="27" t="b">
        <f>IF($G513&lt;&gt;0,SUMIF(куб!$G:$G,$G513,куб!R:R),IF($E513&lt;&gt;0,SUMIF(куб!$E:$E,$E513,куб!R:R),IF($D513&lt;&gt;0,SUMIF(куб!$D:$D,$D513,куб!R:R),IF($C513&lt;&gt;0,SUMIF(куб!$C:$C,$C513,куб!R:R),IF($B513&lt;&gt;0,SUMIF(куб!$B:$B,$B513,куб!R:R))))))</f>
        <v>0</v>
      </c>
      <c r="AG513" s="27" t="b">
        <f>IF($G513&lt;&gt;0,SUMIF(куб!$G:$G,$G513,куб!S:S),IF($E513&lt;&gt;0,SUMIF(куб!$E:$E,$E513,куб!S:S),IF($D513&lt;&gt;0,SUMIF(куб!$D:$D,$D513,куб!S:S),IF($C513&lt;&gt;0,SUMIF(куб!$C:$C,$C513,куб!S:S),IF($B513&lt;&gt;0,SUMIF(куб!$B:$B,$B513,куб!S:S))))))</f>
        <v>0</v>
      </c>
      <c r="AH513" s="16" t="str">
        <f t="shared" si="175"/>
        <v>-</v>
      </c>
      <c r="AI513" s="8"/>
      <c r="AJ513" s="27" t="b">
        <f>IF($G513&lt;&gt;0,SUMIF(куб!$G:$G,$G513,куб!T:T),IF($E513&lt;&gt;0,SUMIF(куб!$E:$E,$E513,куб!T:T),IF($D513&lt;&gt;0,SUMIF(куб!$D:$D,$D513,куб!T:T),IF($C513&lt;&gt;0,SUMIF(куб!$C:$C,$C513,куб!T:T),IF($B513&lt;&gt;0,SUMIF(куб!$B:$B,$B513,куб!T:T))))))</f>
        <v>0</v>
      </c>
      <c r="AK513" s="27" t="b">
        <f>IF($G513&lt;&gt;0,SUMIF(куб!$G:$G,$G513,куб!U:U),IF($E513&lt;&gt;0,SUMIF(куб!$E:$E,$E513,куб!U:U),IF($D513&lt;&gt;0,SUMIF(куб!$D:$D,$D513,куб!U:U),IF($C513&lt;&gt;0,SUMIF(куб!$C:$C,$C513,куб!U:U),IF($B513&lt;&gt;0,SUMIF(куб!$B:$B,$B513,куб!U:U))))))</f>
        <v>0</v>
      </c>
      <c r="AL513" s="16" t="str">
        <f t="shared" si="176"/>
        <v>-</v>
      </c>
      <c r="AM513" s="8"/>
      <c r="AN513" s="17" t="str">
        <f t="shared" si="177"/>
        <v xml:space="preserve"> </v>
      </c>
      <c r="AO513" s="17" t="str">
        <f t="shared" si="178"/>
        <v xml:space="preserve"> </v>
      </c>
      <c r="AP513" s="16" t="str">
        <f t="shared" si="179"/>
        <v>-</v>
      </c>
      <c r="AQ513" s="8"/>
      <c r="AR513" s="17" t="str">
        <f t="shared" si="180"/>
        <v>-</v>
      </c>
      <c r="AS513" s="17" t="str">
        <f t="shared" si="181"/>
        <v>-</v>
      </c>
      <c r="AT513" s="13" t="str">
        <f t="shared" si="182"/>
        <v>-</v>
      </c>
      <c r="AU513" s="8"/>
    </row>
    <row r="514" spans="1:47" x14ac:dyDescent="0.25">
      <c r="A514" s="31"/>
      <c r="B514" s="31"/>
      <c r="C514"/>
      <c r="D514" s="31"/>
      <c r="E514"/>
      <c r="F514" s="31"/>
      <c r="G514"/>
      <c r="H514" s="27">
        <f>IF($G514&lt;&gt;0,SUMIF(куб!$G:$G,$G514,куб!H:H),IF($E514&lt;&gt;0,SUMIF(куб!$E:$E,$E514,куб!H:H),IF($D514&lt;&gt;0,SUMIF(куб!$D:$D,$D514,куб!H:H),IF($C514&lt;&gt;0,SUMIF(куб!$C:$C,$C514,куб!H:H),IF($B514&lt;&gt;0,SUMIF(куб!$B:$B,$B514,куб!H:H),IF($G514&lt;&gt;0,SUMIF(куб!$A:$A,$G514,куб!H:H),SUMIF(куб!$A:$A,$G514,куб!H:H)))))))</f>
        <v>0</v>
      </c>
      <c r="I514" s="27">
        <f>IF($G514&lt;&gt;0,SUMIF(куб!$G:$G,$G514,куб!I:I),IF($E514&lt;&gt;0,SUMIF(куб!$E:$E,$E514,куб!I:I),IF($D514&lt;&gt;0,SUMIF(куб!$D:$D,$D514,куб!I:I),IF($C514&lt;&gt;0,SUMIF(куб!$C:$C,$C514,куб!I:I),IF($B514&lt;&gt;0,SUMIF(куб!$B:$B,$B514,куб!I:I),IF($G514&lt;&gt;0,SUMIF(куб!$A:$A,$G514,куб!I:I),SUMIF(куб!$A:$A,$G514,куб!I:I)))))))</f>
        <v>0</v>
      </c>
      <c r="J514" s="19" t="str">
        <f t="shared" si="165"/>
        <v>-</v>
      </c>
      <c r="K514" s="8"/>
      <c r="L514" s="17">
        <f t="shared" si="166"/>
        <v>0</v>
      </c>
      <c r="M514" s="17">
        <f t="shared" si="167"/>
        <v>0</v>
      </c>
      <c r="N514" s="12">
        <f t="shared" si="168"/>
        <v>0</v>
      </c>
      <c r="O514" s="5"/>
      <c r="P514" s="27" t="b">
        <f>IF($G514&lt;&gt;0,SUMIF(куб!$G:$G,$G514,куб!J:J),IF($E514&lt;&gt;0,SUMIF(куб!$E:$E,$E514,куб!J:J),IF($D514&lt;&gt;0,SUMIF(куб!$D:$D,$D514,куб!J:J),IF($C514&lt;&gt;0,SUMIF(куб!$C:$C,$C514,куб!J:J),IF($B514&lt;&gt;0,SUMIF(куб!$B:$B,$B514,куб!J:J))))))</f>
        <v>0</v>
      </c>
      <c r="Q514" s="27" t="b">
        <f>IF($G514&lt;&gt;0,SUMIF(куб!$G:$G,$G514,куб!K:K),IF($E514&lt;&gt;0,SUMIF(куб!$E:$E,$E514,куб!K:K),IF($D514&lt;&gt;0,SUMIF(куб!$D:$D,$D514,куб!K:K),IF($C514&lt;&gt;0,SUMIF(куб!$C:$C,$C514,куб!K:K),IF($B514&lt;&gt;0,SUMIF(куб!$B:$B,$B514,куб!K:K))))))</f>
        <v>0</v>
      </c>
      <c r="R514" s="13" t="str">
        <f t="shared" si="169"/>
        <v>-</v>
      </c>
      <c r="S514" s="5"/>
      <c r="T514" s="27" t="b">
        <f>IF($G514&lt;&gt;0,SUMIF(куб!$G:$G,$G514,куб!L:L),IF($E514&lt;&gt;0,SUMIF(куб!$E:$E,$E514,куб!L:L),IF($D514&lt;&gt;0,SUMIF(куб!$D:$D,$D514,куб!L:L),IF($C514&lt;&gt;0,SUMIF(куб!$C:$C,$C514,куб!L:L),IF($B514&lt;&gt;0,SUMIF(куб!$B:$B,$B514,куб!L:L))))))</f>
        <v>0</v>
      </c>
      <c r="U514" s="27" t="b">
        <f>IF($G514&lt;&gt;0,SUMIF(куб!$G:$G,$G514,куб!M:M),IF($E514&lt;&gt;0,SUMIF(куб!$E:$E,$E514,куб!M:M),IF($D514&lt;&gt;0,SUMIF(куб!$D:$D,$D514,куб!M:M),IF($C514&lt;&gt;0,SUMIF(куб!$C:$C,$C514,куб!M:M),IF($B514&lt;&gt;0,SUMIF(куб!$B:$B,$B514,куб!M:M))))))</f>
        <v>0</v>
      </c>
      <c r="V514" s="13" t="str">
        <f t="shared" si="170"/>
        <v>-</v>
      </c>
      <c r="W514" s="5"/>
      <c r="X514" s="27" t="b">
        <f>IF($G514&lt;&gt;0,SUMIF(куб!$G:$G,$G514,куб!N:N),IF($E514&lt;&gt;0,SUMIF(куб!$E:$E,$E514,куб!N:N),IF($D514&lt;&gt;0,SUMIF(куб!$D:$D,$D514,куб!N:N),IF($C514&lt;&gt;0,SUMIF(куб!$C:$C,$C514,куб!N:N),IF($B514&lt;&gt;0,SUMIF(куб!$B:$B,$B514,куб!N:N))))))</f>
        <v>0</v>
      </c>
      <c r="Y514" s="27" t="b">
        <f>IF($G514&lt;&gt;0,SUMIF(куб!$G:$G,$G514,куб!O:O),IF($E514&lt;&gt;0,SUMIF(куб!$E:$E,$E514,куб!O:O),IF($D514&lt;&gt;0,SUMIF(куб!$D:$D,$D514,куб!O:O),IF($C514&lt;&gt;0,SUMIF(куб!$C:$C,$C514,куб!O:O),IF($B514&lt;&gt;0,SUMIF(куб!$B:$B,$B514,куб!O:O))))))</f>
        <v>0</v>
      </c>
      <c r="Z514" s="13" t="str">
        <f t="shared" si="171"/>
        <v>-</v>
      </c>
      <c r="AA514" s="5"/>
      <c r="AB514" s="33" t="str">
        <f t="shared" si="172"/>
        <v/>
      </c>
      <c r="AC514" s="33" t="str">
        <f t="shared" si="173"/>
        <v/>
      </c>
      <c r="AD514" s="15" t="str">
        <f t="shared" si="174"/>
        <v xml:space="preserve"> </v>
      </c>
      <c r="AE514" s="5"/>
      <c r="AF514" s="27" t="b">
        <f>IF($G514&lt;&gt;0,SUMIF(куб!$G:$G,$G514,куб!R:R),IF($E514&lt;&gt;0,SUMIF(куб!$E:$E,$E514,куб!R:R),IF($D514&lt;&gt;0,SUMIF(куб!$D:$D,$D514,куб!R:R),IF($C514&lt;&gt;0,SUMIF(куб!$C:$C,$C514,куб!R:R),IF($B514&lt;&gt;0,SUMIF(куб!$B:$B,$B514,куб!R:R))))))</f>
        <v>0</v>
      </c>
      <c r="AG514" s="27" t="b">
        <f>IF($G514&lt;&gt;0,SUMIF(куб!$G:$G,$G514,куб!S:S),IF($E514&lt;&gt;0,SUMIF(куб!$E:$E,$E514,куб!S:S),IF($D514&lt;&gt;0,SUMIF(куб!$D:$D,$D514,куб!S:S),IF($C514&lt;&gt;0,SUMIF(куб!$C:$C,$C514,куб!S:S),IF($B514&lt;&gt;0,SUMIF(куб!$B:$B,$B514,куб!S:S))))))</f>
        <v>0</v>
      </c>
      <c r="AH514" s="16" t="str">
        <f t="shared" si="175"/>
        <v>-</v>
      </c>
      <c r="AI514" s="8"/>
      <c r="AJ514" s="27" t="b">
        <f>IF($G514&lt;&gt;0,SUMIF(куб!$G:$G,$G514,куб!T:T),IF($E514&lt;&gt;0,SUMIF(куб!$E:$E,$E514,куб!T:T),IF($D514&lt;&gt;0,SUMIF(куб!$D:$D,$D514,куб!T:T),IF($C514&lt;&gt;0,SUMIF(куб!$C:$C,$C514,куб!T:T),IF($B514&lt;&gt;0,SUMIF(куб!$B:$B,$B514,куб!T:T))))))</f>
        <v>0</v>
      </c>
      <c r="AK514" s="27" t="b">
        <f>IF($G514&lt;&gt;0,SUMIF(куб!$G:$G,$G514,куб!U:U),IF($E514&lt;&gt;0,SUMIF(куб!$E:$E,$E514,куб!U:U),IF($D514&lt;&gt;0,SUMIF(куб!$D:$D,$D514,куб!U:U),IF($C514&lt;&gt;0,SUMIF(куб!$C:$C,$C514,куб!U:U),IF($B514&lt;&gt;0,SUMIF(куб!$B:$B,$B514,куб!U:U))))))</f>
        <v>0</v>
      </c>
      <c r="AL514" s="16" t="str">
        <f t="shared" si="176"/>
        <v>-</v>
      </c>
      <c r="AM514" s="8"/>
      <c r="AN514" s="17" t="str">
        <f t="shared" si="177"/>
        <v xml:space="preserve"> </v>
      </c>
      <c r="AO514" s="17" t="str">
        <f t="shared" si="178"/>
        <v xml:space="preserve"> </v>
      </c>
      <c r="AP514" s="16" t="str">
        <f t="shared" si="179"/>
        <v>-</v>
      </c>
      <c r="AQ514" s="8"/>
      <c r="AR514" s="17" t="str">
        <f t="shared" si="180"/>
        <v>-</v>
      </c>
      <c r="AS514" s="17" t="str">
        <f t="shared" si="181"/>
        <v>-</v>
      </c>
      <c r="AT514" s="13" t="str">
        <f t="shared" si="182"/>
        <v>-</v>
      </c>
      <c r="AU514" s="8"/>
    </row>
    <row r="515" spans="1:47" x14ac:dyDescent="0.25">
      <c r="A515" s="31"/>
      <c r="B515" s="31"/>
      <c r="C515"/>
      <c r="D515" s="31"/>
      <c r="E515"/>
      <c r="F515" s="31"/>
      <c r="G515"/>
      <c r="H515" s="27">
        <f>IF($G515&lt;&gt;0,SUMIF(куб!$G:$G,$G515,куб!H:H),IF($E515&lt;&gt;0,SUMIF(куб!$E:$E,$E515,куб!H:H),IF($D515&lt;&gt;0,SUMIF(куб!$D:$D,$D515,куб!H:H),IF($C515&lt;&gt;0,SUMIF(куб!$C:$C,$C515,куб!H:H),IF($B515&lt;&gt;0,SUMIF(куб!$B:$B,$B515,куб!H:H),IF($G515&lt;&gt;0,SUMIF(куб!$A:$A,$G515,куб!H:H),SUMIF(куб!$A:$A,$G515,куб!H:H)))))))</f>
        <v>0</v>
      </c>
      <c r="I515" s="27">
        <f>IF($G515&lt;&gt;0,SUMIF(куб!$G:$G,$G515,куб!I:I),IF($E515&lt;&gt;0,SUMIF(куб!$E:$E,$E515,куб!I:I),IF($D515&lt;&gt;0,SUMIF(куб!$D:$D,$D515,куб!I:I),IF($C515&lt;&gt;0,SUMIF(куб!$C:$C,$C515,куб!I:I),IF($B515&lt;&gt;0,SUMIF(куб!$B:$B,$B515,куб!I:I),IF($G515&lt;&gt;0,SUMIF(куб!$A:$A,$G515,куб!I:I),SUMIF(куб!$A:$A,$G515,куб!I:I)))))))</f>
        <v>0</v>
      </c>
      <c r="J515" s="19" t="str">
        <f t="shared" si="165"/>
        <v>-</v>
      </c>
      <c r="K515" s="8"/>
      <c r="L515" s="17">
        <f t="shared" si="166"/>
        <v>0</v>
      </c>
      <c r="M515" s="17">
        <f t="shared" si="167"/>
        <v>0</v>
      </c>
      <c r="N515" s="12">
        <f t="shared" si="168"/>
        <v>0</v>
      </c>
      <c r="O515" s="5"/>
      <c r="P515" s="27" t="b">
        <f>IF($G515&lt;&gt;0,SUMIF(куб!$G:$G,$G515,куб!J:J),IF($E515&lt;&gt;0,SUMIF(куб!$E:$E,$E515,куб!J:J),IF($D515&lt;&gt;0,SUMIF(куб!$D:$D,$D515,куб!J:J),IF($C515&lt;&gt;0,SUMIF(куб!$C:$C,$C515,куб!J:J),IF($B515&lt;&gt;0,SUMIF(куб!$B:$B,$B515,куб!J:J))))))</f>
        <v>0</v>
      </c>
      <c r="Q515" s="27" t="b">
        <f>IF($G515&lt;&gt;0,SUMIF(куб!$G:$G,$G515,куб!K:K),IF($E515&lt;&gt;0,SUMIF(куб!$E:$E,$E515,куб!K:K),IF($D515&lt;&gt;0,SUMIF(куб!$D:$D,$D515,куб!K:K),IF($C515&lt;&gt;0,SUMIF(куб!$C:$C,$C515,куб!K:K),IF($B515&lt;&gt;0,SUMIF(куб!$B:$B,$B515,куб!K:K))))))</f>
        <v>0</v>
      </c>
      <c r="R515" s="13" t="str">
        <f t="shared" si="169"/>
        <v>-</v>
      </c>
      <c r="S515" s="5"/>
      <c r="T515" s="27" t="b">
        <f>IF($G515&lt;&gt;0,SUMIF(куб!$G:$G,$G515,куб!L:L),IF($E515&lt;&gt;0,SUMIF(куб!$E:$E,$E515,куб!L:L),IF($D515&lt;&gt;0,SUMIF(куб!$D:$D,$D515,куб!L:L),IF($C515&lt;&gt;0,SUMIF(куб!$C:$C,$C515,куб!L:L),IF($B515&lt;&gt;0,SUMIF(куб!$B:$B,$B515,куб!L:L))))))</f>
        <v>0</v>
      </c>
      <c r="U515" s="27" t="b">
        <f>IF($G515&lt;&gt;0,SUMIF(куб!$G:$G,$G515,куб!M:M),IF($E515&lt;&gt;0,SUMIF(куб!$E:$E,$E515,куб!M:M),IF($D515&lt;&gt;0,SUMIF(куб!$D:$D,$D515,куб!M:M),IF($C515&lt;&gt;0,SUMIF(куб!$C:$C,$C515,куб!M:M),IF($B515&lt;&gt;0,SUMIF(куб!$B:$B,$B515,куб!M:M))))))</f>
        <v>0</v>
      </c>
      <c r="V515" s="13" t="str">
        <f t="shared" si="170"/>
        <v>-</v>
      </c>
      <c r="W515" s="5"/>
      <c r="X515" s="27" t="b">
        <f>IF($G515&lt;&gt;0,SUMIF(куб!$G:$G,$G515,куб!N:N),IF($E515&lt;&gt;0,SUMIF(куб!$E:$E,$E515,куб!N:N),IF($D515&lt;&gt;0,SUMIF(куб!$D:$D,$D515,куб!N:N),IF($C515&lt;&gt;0,SUMIF(куб!$C:$C,$C515,куб!N:N),IF($B515&lt;&gt;0,SUMIF(куб!$B:$B,$B515,куб!N:N))))))</f>
        <v>0</v>
      </c>
      <c r="Y515" s="27" t="b">
        <f>IF($G515&lt;&gt;0,SUMIF(куб!$G:$G,$G515,куб!O:O),IF($E515&lt;&gt;0,SUMIF(куб!$E:$E,$E515,куб!O:O),IF($D515&lt;&gt;0,SUMIF(куб!$D:$D,$D515,куб!O:O),IF($C515&lt;&gt;0,SUMIF(куб!$C:$C,$C515,куб!O:O),IF($B515&lt;&gt;0,SUMIF(куб!$B:$B,$B515,куб!O:O))))))</f>
        <v>0</v>
      </c>
      <c r="Z515" s="13" t="str">
        <f t="shared" si="171"/>
        <v>-</v>
      </c>
      <c r="AA515" s="5"/>
      <c r="AB515" s="33" t="str">
        <f t="shared" si="172"/>
        <v/>
      </c>
      <c r="AC515" s="33" t="str">
        <f t="shared" si="173"/>
        <v/>
      </c>
      <c r="AD515" s="15" t="str">
        <f t="shared" si="174"/>
        <v xml:space="preserve"> </v>
      </c>
      <c r="AE515" s="5"/>
      <c r="AF515" s="27" t="b">
        <f>IF($G515&lt;&gt;0,SUMIF(куб!$G:$G,$G515,куб!R:R),IF($E515&lt;&gt;0,SUMIF(куб!$E:$E,$E515,куб!R:R),IF($D515&lt;&gt;0,SUMIF(куб!$D:$D,$D515,куб!R:R),IF($C515&lt;&gt;0,SUMIF(куб!$C:$C,$C515,куб!R:R),IF($B515&lt;&gt;0,SUMIF(куб!$B:$B,$B515,куб!R:R))))))</f>
        <v>0</v>
      </c>
      <c r="AG515" s="27" t="b">
        <f>IF($G515&lt;&gt;0,SUMIF(куб!$G:$G,$G515,куб!S:S),IF($E515&lt;&gt;0,SUMIF(куб!$E:$E,$E515,куб!S:S),IF($D515&lt;&gt;0,SUMIF(куб!$D:$D,$D515,куб!S:S),IF($C515&lt;&gt;0,SUMIF(куб!$C:$C,$C515,куб!S:S),IF($B515&lt;&gt;0,SUMIF(куб!$B:$B,$B515,куб!S:S))))))</f>
        <v>0</v>
      </c>
      <c r="AH515" s="16" t="str">
        <f t="shared" si="175"/>
        <v>-</v>
      </c>
      <c r="AI515" s="8"/>
      <c r="AJ515" s="27" t="b">
        <f>IF($G515&lt;&gt;0,SUMIF(куб!$G:$G,$G515,куб!T:T),IF($E515&lt;&gt;0,SUMIF(куб!$E:$E,$E515,куб!T:T),IF($D515&lt;&gt;0,SUMIF(куб!$D:$D,$D515,куб!T:T),IF($C515&lt;&gt;0,SUMIF(куб!$C:$C,$C515,куб!T:T),IF($B515&lt;&gt;0,SUMIF(куб!$B:$B,$B515,куб!T:T))))))</f>
        <v>0</v>
      </c>
      <c r="AK515" s="27" t="b">
        <f>IF($G515&lt;&gt;0,SUMIF(куб!$G:$G,$G515,куб!U:U),IF($E515&lt;&gt;0,SUMIF(куб!$E:$E,$E515,куб!U:U),IF($D515&lt;&gt;0,SUMIF(куб!$D:$D,$D515,куб!U:U),IF($C515&lt;&gt;0,SUMIF(куб!$C:$C,$C515,куб!U:U),IF($B515&lt;&gt;0,SUMIF(куб!$B:$B,$B515,куб!U:U))))))</f>
        <v>0</v>
      </c>
      <c r="AL515" s="16" t="str">
        <f t="shared" si="176"/>
        <v>-</v>
      </c>
      <c r="AM515" s="8"/>
      <c r="AN515" s="17" t="str">
        <f t="shared" si="177"/>
        <v xml:space="preserve"> </v>
      </c>
      <c r="AO515" s="17" t="str">
        <f t="shared" si="178"/>
        <v xml:space="preserve"> </v>
      </c>
      <c r="AP515" s="16" t="str">
        <f t="shared" si="179"/>
        <v>-</v>
      </c>
      <c r="AQ515" s="8"/>
      <c r="AR515" s="17" t="str">
        <f t="shared" si="180"/>
        <v>-</v>
      </c>
      <c r="AS515" s="17" t="str">
        <f t="shared" si="181"/>
        <v>-</v>
      </c>
      <c r="AT515" s="13" t="str">
        <f t="shared" si="182"/>
        <v>-</v>
      </c>
      <c r="AU515" s="8"/>
    </row>
    <row r="516" spans="1:47" x14ac:dyDescent="0.25">
      <c r="A516" s="31"/>
      <c r="B516" s="31"/>
      <c r="C516"/>
      <c r="D516" s="31"/>
      <c r="E516"/>
      <c r="F516" s="31"/>
      <c r="G516"/>
      <c r="H516" s="27">
        <f>IF($G516&lt;&gt;0,SUMIF(куб!$G:$G,$G516,куб!H:H),IF($E516&lt;&gt;0,SUMIF(куб!$E:$E,$E516,куб!H:H),IF($D516&lt;&gt;0,SUMIF(куб!$D:$D,$D516,куб!H:H),IF($C516&lt;&gt;0,SUMIF(куб!$C:$C,$C516,куб!H:H),IF($B516&lt;&gt;0,SUMIF(куб!$B:$B,$B516,куб!H:H),IF($G516&lt;&gt;0,SUMIF(куб!$A:$A,$G516,куб!H:H),SUMIF(куб!$A:$A,$G516,куб!H:H)))))))</f>
        <v>0</v>
      </c>
      <c r="I516" s="27">
        <f>IF($G516&lt;&gt;0,SUMIF(куб!$G:$G,$G516,куб!I:I),IF($E516&lt;&gt;0,SUMIF(куб!$E:$E,$E516,куб!I:I),IF($D516&lt;&gt;0,SUMIF(куб!$D:$D,$D516,куб!I:I),IF($C516&lt;&gt;0,SUMIF(куб!$C:$C,$C516,куб!I:I),IF($B516&lt;&gt;0,SUMIF(куб!$B:$B,$B516,куб!I:I),IF($G516&lt;&gt;0,SUMIF(куб!$A:$A,$G516,куб!I:I),SUMIF(куб!$A:$A,$G516,куб!I:I)))))))</f>
        <v>0</v>
      </c>
      <c r="J516" s="19" t="str">
        <f t="shared" si="165"/>
        <v>-</v>
      </c>
      <c r="K516" s="8"/>
      <c r="L516" s="17">
        <f t="shared" si="166"/>
        <v>0</v>
      </c>
      <c r="M516" s="17">
        <f t="shared" si="167"/>
        <v>0</v>
      </c>
      <c r="N516" s="12">
        <f t="shared" si="168"/>
        <v>0</v>
      </c>
      <c r="O516" s="5"/>
      <c r="P516" s="27" t="b">
        <f>IF($G516&lt;&gt;0,SUMIF(куб!$G:$G,$G516,куб!J:J),IF($E516&lt;&gt;0,SUMIF(куб!$E:$E,$E516,куб!J:J),IF($D516&lt;&gt;0,SUMIF(куб!$D:$D,$D516,куб!J:J),IF($C516&lt;&gt;0,SUMIF(куб!$C:$C,$C516,куб!J:J),IF($B516&lt;&gt;0,SUMIF(куб!$B:$B,$B516,куб!J:J))))))</f>
        <v>0</v>
      </c>
      <c r="Q516" s="27" t="b">
        <f>IF($G516&lt;&gt;0,SUMIF(куб!$G:$G,$G516,куб!K:K),IF($E516&lt;&gt;0,SUMIF(куб!$E:$E,$E516,куб!K:K),IF($D516&lt;&gt;0,SUMIF(куб!$D:$D,$D516,куб!K:K),IF($C516&lt;&gt;0,SUMIF(куб!$C:$C,$C516,куб!K:K),IF($B516&lt;&gt;0,SUMIF(куб!$B:$B,$B516,куб!K:K))))))</f>
        <v>0</v>
      </c>
      <c r="R516" s="13" t="str">
        <f t="shared" si="169"/>
        <v>-</v>
      </c>
      <c r="S516" s="5"/>
      <c r="T516" s="27" t="b">
        <f>IF($G516&lt;&gt;0,SUMIF(куб!$G:$G,$G516,куб!L:L),IF($E516&lt;&gt;0,SUMIF(куб!$E:$E,$E516,куб!L:L),IF($D516&lt;&gt;0,SUMIF(куб!$D:$D,$D516,куб!L:L),IF($C516&lt;&gt;0,SUMIF(куб!$C:$C,$C516,куб!L:L),IF($B516&lt;&gt;0,SUMIF(куб!$B:$B,$B516,куб!L:L))))))</f>
        <v>0</v>
      </c>
      <c r="U516" s="27" t="b">
        <f>IF($G516&lt;&gt;0,SUMIF(куб!$G:$G,$G516,куб!M:M),IF($E516&lt;&gt;0,SUMIF(куб!$E:$E,$E516,куб!M:M),IF($D516&lt;&gt;0,SUMIF(куб!$D:$D,$D516,куб!M:M),IF($C516&lt;&gt;0,SUMIF(куб!$C:$C,$C516,куб!M:M),IF($B516&lt;&gt;0,SUMIF(куб!$B:$B,$B516,куб!M:M))))))</f>
        <v>0</v>
      </c>
      <c r="V516" s="13" t="str">
        <f t="shared" si="170"/>
        <v>-</v>
      </c>
      <c r="W516" s="5"/>
      <c r="X516" s="27" t="b">
        <f>IF($G516&lt;&gt;0,SUMIF(куб!$G:$G,$G516,куб!N:N),IF($E516&lt;&gt;0,SUMIF(куб!$E:$E,$E516,куб!N:N),IF($D516&lt;&gt;0,SUMIF(куб!$D:$D,$D516,куб!N:N),IF($C516&lt;&gt;0,SUMIF(куб!$C:$C,$C516,куб!N:N),IF($B516&lt;&gt;0,SUMIF(куб!$B:$B,$B516,куб!N:N))))))</f>
        <v>0</v>
      </c>
      <c r="Y516" s="27" t="b">
        <f>IF($G516&lt;&gt;0,SUMIF(куб!$G:$G,$G516,куб!O:O),IF($E516&lt;&gt;0,SUMIF(куб!$E:$E,$E516,куб!O:O),IF($D516&lt;&gt;0,SUMIF(куб!$D:$D,$D516,куб!O:O),IF($C516&lt;&gt;0,SUMIF(куб!$C:$C,$C516,куб!O:O),IF($B516&lt;&gt;0,SUMIF(куб!$B:$B,$B516,куб!O:O))))))</f>
        <v>0</v>
      </c>
      <c r="Z516" s="13" t="str">
        <f t="shared" si="171"/>
        <v>-</v>
      </c>
      <c r="AA516" s="5"/>
      <c r="AB516" s="33" t="str">
        <f t="shared" si="172"/>
        <v/>
      </c>
      <c r="AC516" s="33" t="str">
        <f t="shared" si="173"/>
        <v/>
      </c>
      <c r="AD516" s="15" t="str">
        <f t="shared" si="174"/>
        <v xml:space="preserve"> </v>
      </c>
      <c r="AE516" s="5"/>
      <c r="AF516" s="27" t="b">
        <f>IF($G516&lt;&gt;0,SUMIF(куб!$G:$G,$G516,куб!R:R),IF($E516&lt;&gt;0,SUMIF(куб!$E:$E,$E516,куб!R:R),IF($D516&lt;&gt;0,SUMIF(куб!$D:$D,$D516,куб!R:R),IF($C516&lt;&gt;0,SUMIF(куб!$C:$C,$C516,куб!R:R),IF($B516&lt;&gt;0,SUMIF(куб!$B:$B,$B516,куб!R:R))))))</f>
        <v>0</v>
      </c>
      <c r="AG516" s="27" t="b">
        <f>IF($G516&lt;&gt;0,SUMIF(куб!$G:$G,$G516,куб!S:S),IF($E516&lt;&gt;0,SUMIF(куб!$E:$E,$E516,куб!S:S),IF($D516&lt;&gt;0,SUMIF(куб!$D:$D,$D516,куб!S:S),IF($C516&lt;&gt;0,SUMIF(куб!$C:$C,$C516,куб!S:S),IF($B516&lt;&gt;0,SUMIF(куб!$B:$B,$B516,куб!S:S))))))</f>
        <v>0</v>
      </c>
      <c r="AH516" s="16" t="str">
        <f t="shared" si="175"/>
        <v>-</v>
      </c>
      <c r="AI516" s="8"/>
      <c r="AJ516" s="27" t="b">
        <f>IF($G516&lt;&gt;0,SUMIF(куб!$G:$G,$G516,куб!T:T),IF($E516&lt;&gt;0,SUMIF(куб!$E:$E,$E516,куб!T:T),IF($D516&lt;&gt;0,SUMIF(куб!$D:$D,$D516,куб!T:T),IF($C516&lt;&gt;0,SUMIF(куб!$C:$C,$C516,куб!T:T),IF($B516&lt;&gt;0,SUMIF(куб!$B:$B,$B516,куб!T:T))))))</f>
        <v>0</v>
      </c>
      <c r="AK516" s="27" t="b">
        <f>IF($G516&lt;&gt;0,SUMIF(куб!$G:$G,$G516,куб!U:U),IF($E516&lt;&gt;0,SUMIF(куб!$E:$E,$E516,куб!U:U),IF($D516&lt;&gt;0,SUMIF(куб!$D:$D,$D516,куб!U:U),IF($C516&lt;&gt;0,SUMIF(куб!$C:$C,$C516,куб!U:U),IF($B516&lt;&gt;0,SUMIF(куб!$B:$B,$B516,куб!U:U))))))</f>
        <v>0</v>
      </c>
      <c r="AL516" s="16" t="str">
        <f t="shared" si="176"/>
        <v>-</v>
      </c>
      <c r="AM516" s="8"/>
      <c r="AN516" s="17" t="str">
        <f t="shared" si="177"/>
        <v xml:space="preserve"> </v>
      </c>
      <c r="AO516" s="17" t="str">
        <f t="shared" si="178"/>
        <v xml:space="preserve"> </v>
      </c>
      <c r="AP516" s="16" t="str">
        <f t="shared" si="179"/>
        <v>-</v>
      </c>
      <c r="AQ516" s="8"/>
      <c r="AR516" s="17" t="str">
        <f t="shared" si="180"/>
        <v>-</v>
      </c>
      <c r="AS516" s="17" t="str">
        <f t="shared" si="181"/>
        <v>-</v>
      </c>
      <c r="AT516" s="13" t="str">
        <f t="shared" si="182"/>
        <v>-</v>
      </c>
      <c r="AU516" s="8"/>
    </row>
    <row r="517" spans="1:47" x14ac:dyDescent="0.25">
      <c r="A517" s="31"/>
      <c r="B517" s="31"/>
      <c r="C517"/>
      <c r="D517" s="31"/>
      <c r="E517"/>
      <c r="F517" s="31"/>
      <c r="G517"/>
      <c r="H517" s="27">
        <f>IF($G517&lt;&gt;0,SUMIF(куб!$G:$G,$G517,куб!H:H),IF($E517&lt;&gt;0,SUMIF(куб!$E:$E,$E517,куб!H:H),IF($D517&lt;&gt;0,SUMIF(куб!$D:$D,$D517,куб!H:H),IF($C517&lt;&gt;0,SUMIF(куб!$C:$C,$C517,куб!H:H),IF($B517&lt;&gt;0,SUMIF(куб!$B:$B,$B517,куб!H:H),IF($G517&lt;&gt;0,SUMIF(куб!$A:$A,$G517,куб!H:H),SUMIF(куб!$A:$A,$G517,куб!H:H)))))))</f>
        <v>0</v>
      </c>
      <c r="I517" s="27">
        <f>IF($G517&lt;&gt;0,SUMIF(куб!$G:$G,$G517,куб!I:I),IF($E517&lt;&gt;0,SUMIF(куб!$E:$E,$E517,куб!I:I),IF($D517&lt;&gt;0,SUMIF(куб!$D:$D,$D517,куб!I:I),IF($C517&lt;&gt;0,SUMIF(куб!$C:$C,$C517,куб!I:I),IF($B517&lt;&gt;0,SUMIF(куб!$B:$B,$B517,куб!I:I),IF($G517&lt;&gt;0,SUMIF(куб!$A:$A,$G517,куб!I:I),SUMIF(куб!$A:$A,$G517,куб!I:I)))))))</f>
        <v>0</v>
      </c>
      <c r="J517" s="19" t="str">
        <f t="shared" si="165"/>
        <v>-</v>
      </c>
      <c r="K517" s="8"/>
      <c r="L517" s="17">
        <f t="shared" si="166"/>
        <v>0</v>
      </c>
      <c r="M517" s="17">
        <f t="shared" si="167"/>
        <v>0</v>
      </c>
      <c r="N517" s="12">
        <f t="shared" si="168"/>
        <v>0</v>
      </c>
      <c r="O517" s="5"/>
      <c r="P517" s="27" t="b">
        <f>IF($G517&lt;&gt;0,SUMIF(куб!$G:$G,$G517,куб!J:J),IF($E517&lt;&gt;0,SUMIF(куб!$E:$E,$E517,куб!J:J),IF($D517&lt;&gt;0,SUMIF(куб!$D:$D,$D517,куб!J:J),IF($C517&lt;&gt;0,SUMIF(куб!$C:$C,$C517,куб!J:J),IF($B517&lt;&gt;0,SUMIF(куб!$B:$B,$B517,куб!J:J))))))</f>
        <v>0</v>
      </c>
      <c r="Q517" s="27" t="b">
        <f>IF($G517&lt;&gt;0,SUMIF(куб!$G:$G,$G517,куб!K:K),IF($E517&lt;&gt;0,SUMIF(куб!$E:$E,$E517,куб!K:K),IF($D517&lt;&gt;0,SUMIF(куб!$D:$D,$D517,куб!K:K),IF($C517&lt;&gt;0,SUMIF(куб!$C:$C,$C517,куб!K:K),IF($B517&lt;&gt;0,SUMIF(куб!$B:$B,$B517,куб!K:K))))))</f>
        <v>0</v>
      </c>
      <c r="R517" s="13" t="str">
        <f t="shared" si="169"/>
        <v>-</v>
      </c>
      <c r="S517" s="5"/>
      <c r="T517" s="27" t="b">
        <f>IF($G517&lt;&gt;0,SUMIF(куб!$G:$G,$G517,куб!L:L),IF($E517&lt;&gt;0,SUMIF(куб!$E:$E,$E517,куб!L:L),IF($D517&lt;&gt;0,SUMIF(куб!$D:$D,$D517,куб!L:L),IF($C517&lt;&gt;0,SUMIF(куб!$C:$C,$C517,куб!L:L),IF($B517&lt;&gt;0,SUMIF(куб!$B:$B,$B517,куб!L:L))))))</f>
        <v>0</v>
      </c>
      <c r="U517" s="27" t="b">
        <f>IF($G517&lt;&gt;0,SUMIF(куб!$G:$G,$G517,куб!M:M),IF($E517&lt;&gt;0,SUMIF(куб!$E:$E,$E517,куб!M:M),IF($D517&lt;&gt;0,SUMIF(куб!$D:$D,$D517,куб!M:M),IF($C517&lt;&gt;0,SUMIF(куб!$C:$C,$C517,куб!M:M),IF($B517&lt;&gt;0,SUMIF(куб!$B:$B,$B517,куб!M:M))))))</f>
        <v>0</v>
      </c>
      <c r="V517" s="13" t="str">
        <f t="shared" si="170"/>
        <v>-</v>
      </c>
      <c r="W517" s="5"/>
      <c r="X517" s="27" t="b">
        <f>IF($G517&lt;&gt;0,SUMIF(куб!$G:$G,$G517,куб!N:N),IF($E517&lt;&gt;0,SUMIF(куб!$E:$E,$E517,куб!N:N),IF($D517&lt;&gt;0,SUMIF(куб!$D:$D,$D517,куб!N:N),IF($C517&lt;&gt;0,SUMIF(куб!$C:$C,$C517,куб!N:N),IF($B517&lt;&gt;0,SUMIF(куб!$B:$B,$B517,куб!N:N))))))</f>
        <v>0</v>
      </c>
      <c r="Y517" s="27" t="b">
        <f>IF($G517&lt;&gt;0,SUMIF(куб!$G:$G,$G517,куб!O:O),IF($E517&lt;&gt;0,SUMIF(куб!$E:$E,$E517,куб!O:O),IF($D517&lt;&gt;0,SUMIF(куб!$D:$D,$D517,куб!O:O),IF($C517&lt;&gt;0,SUMIF(куб!$C:$C,$C517,куб!O:O),IF($B517&lt;&gt;0,SUMIF(куб!$B:$B,$B517,куб!O:O))))))</f>
        <v>0</v>
      </c>
      <c r="Z517" s="13" t="str">
        <f t="shared" si="171"/>
        <v>-</v>
      </c>
      <c r="AA517" s="5"/>
      <c r="AB517" s="33" t="str">
        <f t="shared" si="172"/>
        <v/>
      </c>
      <c r="AC517" s="33" t="str">
        <f t="shared" si="173"/>
        <v/>
      </c>
      <c r="AD517" s="15" t="str">
        <f t="shared" si="174"/>
        <v xml:space="preserve"> </v>
      </c>
      <c r="AE517" s="5"/>
      <c r="AF517" s="27" t="b">
        <f>IF($G517&lt;&gt;0,SUMIF(куб!$G:$G,$G517,куб!R:R),IF($E517&lt;&gt;0,SUMIF(куб!$E:$E,$E517,куб!R:R),IF($D517&lt;&gt;0,SUMIF(куб!$D:$D,$D517,куб!R:R),IF($C517&lt;&gt;0,SUMIF(куб!$C:$C,$C517,куб!R:R),IF($B517&lt;&gt;0,SUMIF(куб!$B:$B,$B517,куб!R:R))))))</f>
        <v>0</v>
      </c>
      <c r="AG517" s="27" t="b">
        <f>IF($G517&lt;&gt;0,SUMIF(куб!$G:$G,$G517,куб!S:S),IF($E517&lt;&gt;0,SUMIF(куб!$E:$E,$E517,куб!S:S),IF($D517&lt;&gt;0,SUMIF(куб!$D:$D,$D517,куб!S:S),IF($C517&lt;&gt;0,SUMIF(куб!$C:$C,$C517,куб!S:S),IF($B517&lt;&gt;0,SUMIF(куб!$B:$B,$B517,куб!S:S))))))</f>
        <v>0</v>
      </c>
      <c r="AH517" s="16" t="str">
        <f t="shared" si="175"/>
        <v>-</v>
      </c>
      <c r="AI517" s="8"/>
      <c r="AJ517" s="27" t="b">
        <f>IF($G517&lt;&gt;0,SUMIF(куб!$G:$G,$G517,куб!T:T),IF($E517&lt;&gt;0,SUMIF(куб!$E:$E,$E517,куб!T:T),IF($D517&lt;&gt;0,SUMIF(куб!$D:$D,$D517,куб!T:T),IF($C517&lt;&gt;0,SUMIF(куб!$C:$C,$C517,куб!T:T),IF($B517&lt;&gt;0,SUMIF(куб!$B:$B,$B517,куб!T:T))))))</f>
        <v>0</v>
      </c>
      <c r="AK517" s="27" t="b">
        <f>IF($G517&lt;&gt;0,SUMIF(куб!$G:$G,$G517,куб!U:U),IF($E517&lt;&gt;0,SUMIF(куб!$E:$E,$E517,куб!U:U),IF($D517&lt;&gt;0,SUMIF(куб!$D:$D,$D517,куб!U:U),IF($C517&lt;&gt;0,SUMIF(куб!$C:$C,$C517,куб!U:U),IF($B517&lt;&gt;0,SUMIF(куб!$B:$B,$B517,куб!U:U))))))</f>
        <v>0</v>
      </c>
      <c r="AL517" s="16" t="str">
        <f t="shared" si="176"/>
        <v>-</v>
      </c>
      <c r="AM517" s="8"/>
      <c r="AN517" s="17" t="str">
        <f t="shared" si="177"/>
        <v xml:space="preserve"> </v>
      </c>
      <c r="AO517" s="17" t="str">
        <f t="shared" si="178"/>
        <v xml:space="preserve"> </v>
      </c>
      <c r="AP517" s="16" t="str">
        <f t="shared" si="179"/>
        <v>-</v>
      </c>
      <c r="AQ517" s="8"/>
      <c r="AR517" s="17" t="str">
        <f t="shared" si="180"/>
        <v>-</v>
      </c>
      <c r="AS517" s="17" t="str">
        <f t="shared" si="181"/>
        <v>-</v>
      </c>
      <c r="AT517" s="13" t="str">
        <f t="shared" si="182"/>
        <v>-</v>
      </c>
      <c r="AU517" s="8"/>
    </row>
    <row r="518" spans="1:47" x14ac:dyDescent="0.25">
      <c r="A518" s="31"/>
      <c r="B518" s="31"/>
      <c r="C518"/>
      <c r="D518" s="31"/>
      <c r="E518"/>
      <c r="F518" s="31"/>
      <c r="G518"/>
      <c r="H518" s="27">
        <f>IF($G518&lt;&gt;0,SUMIF(куб!$G:$G,$G518,куб!H:H),IF($E518&lt;&gt;0,SUMIF(куб!$E:$E,$E518,куб!H:H),IF($D518&lt;&gt;0,SUMIF(куб!$D:$D,$D518,куб!H:H),IF($C518&lt;&gt;0,SUMIF(куб!$C:$C,$C518,куб!H:H),IF($B518&lt;&gt;0,SUMIF(куб!$B:$B,$B518,куб!H:H),IF($G518&lt;&gt;0,SUMIF(куб!$A:$A,$G518,куб!H:H),SUMIF(куб!$A:$A,$G518,куб!H:H)))))))</f>
        <v>0</v>
      </c>
      <c r="I518" s="27">
        <f>IF($G518&lt;&gt;0,SUMIF(куб!$G:$G,$G518,куб!I:I),IF($E518&lt;&gt;0,SUMIF(куб!$E:$E,$E518,куб!I:I),IF($D518&lt;&gt;0,SUMIF(куб!$D:$D,$D518,куб!I:I),IF($C518&lt;&gt;0,SUMIF(куб!$C:$C,$C518,куб!I:I),IF($B518&lt;&gt;0,SUMIF(куб!$B:$B,$B518,куб!I:I),IF($G518&lt;&gt;0,SUMIF(куб!$A:$A,$G518,куб!I:I),SUMIF(куб!$A:$A,$G518,куб!I:I)))))))</f>
        <v>0</v>
      </c>
      <c r="J518" s="19" t="str">
        <f t="shared" si="165"/>
        <v>-</v>
      </c>
      <c r="K518" s="8"/>
      <c r="L518" s="17">
        <f t="shared" si="166"/>
        <v>0</v>
      </c>
      <c r="M518" s="17">
        <f t="shared" si="167"/>
        <v>0</v>
      </c>
      <c r="N518" s="12">
        <f t="shared" si="168"/>
        <v>0</v>
      </c>
      <c r="O518" s="5"/>
      <c r="P518" s="27" t="b">
        <f>IF($G518&lt;&gt;0,SUMIF(куб!$G:$G,$G518,куб!J:J),IF($E518&lt;&gt;0,SUMIF(куб!$E:$E,$E518,куб!J:J),IF($D518&lt;&gt;0,SUMIF(куб!$D:$D,$D518,куб!J:J),IF($C518&lt;&gt;0,SUMIF(куб!$C:$C,$C518,куб!J:J),IF($B518&lt;&gt;0,SUMIF(куб!$B:$B,$B518,куб!J:J))))))</f>
        <v>0</v>
      </c>
      <c r="Q518" s="27" t="b">
        <f>IF($G518&lt;&gt;0,SUMIF(куб!$G:$G,$G518,куб!K:K),IF($E518&lt;&gt;0,SUMIF(куб!$E:$E,$E518,куб!K:K),IF($D518&lt;&gt;0,SUMIF(куб!$D:$D,$D518,куб!K:K),IF($C518&lt;&gt;0,SUMIF(куб!$C:$C,$C518,куб!K:K),IF($B518&lt;&gt;0,SUMIF(куб!$B:$B,$B518,куб!K:K))))))</f>
        <v>0</v>
      </c>
      <c r="R518" s="13" t="str">
        <f t="shared" si="169"/>
        <v>-</v>
      </c>
      <c r="S518" s="5"/>
      <c r="T518" s="27" t="b">
        <f>IF($G518&lt;&gt;0,SUMIF(куб!$G:$G,$G518,куб!L:L),IF($E518&lt;&gt;0,SUMIF(куб!$E:$E,$E518,куб!L:L),IF($D518&lt;&gt;0,SUMIF(куб!$D:$D,$D518,куб!L:L),IF($C518&lt;&gt;0,SUMIF(куб!$C:$C,$C518,куб!L:L),IF($B518&lt;&gt;0,SUMIF(куб!$B:$B,$B518,куб!L:L))))))</f>
        <v>0</v>
      </c>
      <c r="U518" s="27" t="b">
        <f>IF($G518&lt;&gt;0,SUMIF(куб!$G:$G,$G518,куб!M:M),IF($E518&lt;&gt;0,SUMIF(куб!$E:$E,$E518,куб!M:M),IF($D518&lt;&gt;0,SUMIF(куб!$D:$D,$D518,куб!M:M),IF($C518&lt;&gt;0,SUMIF(куб!$C:$C,$C518,куб!M:M),IF($B518&lt;&gt;0,SUMIF(куб!$B:$B,$B518,куб!M:M))))))</f>
        <v>0</v>
      </c>
      <c r="V518" s="13" t="str">
        <f t="shared" si="170"/>
        <v>-</v>
      </c>
      <c r="W518" s="5"/>
      <c r="X518" s="27" t="b">
        <f>IF($G518&lt;&gt;0,SUMIF(куб!$G:$G,$G518,куб!N:N),IF($E518&lt;&gt;0,SUMIF(куб!$E:$E,$E518,куб!N:N),IF($D518&lt;&gt;0,SUMIF(куб!$D:$D,$D518,куб!N:N),IF($C518&lt;&gt;0,SUMIF(куб!$C:$C,$C518,куб!N:N),IF($B518&lt;&gt;0,SUMIF(куб!$B:$B,$B518,куб!N:N))))))</f>
        <v>0</v>
      </c>
      <c r="Y518" s="27" t="b">
        <f>IF($G518&lt;&gt;0,SUMIF(куб!$G:$G,$G518,куб!O:O),IF($E518&lt;&gt;0,SUMIF(куб!$E:$E,$E518,куб!O:O),IF($D518&lt;&gt;0,SUMIF(куб!$D:$D,$D518,куб!O:O),IF($C518&lt;&gt;0,SUMIF(куб!$C:$C,$C518,куб!O:O),IF($B518&lt;&gt;0,SUMIF(куб!$B:$B,$B518,куб!O:O))))))</f>
        <v>0</v>
      </c>
      <c r="Z518" s="13" t="str">
        <f t="shared" si="171"/>
        <v>-</v>
      </c>
      <c r="AA518" s="5"/>
      <c r="AB518" s="33" t="str">
        <f t="shared" si="172"/>
        <v/>
      </c>
      <c r="AC518" s="33" t="str">
        <f t="shared" si="173"/>
        <v/>
      </c>
      <c r="AD518" s="15" t="str">
        <f t="shared" si="174"/>
        <v xml:space="preserve"> </v>
      </c>
      <c r="AE518" s="5"/>
      <c r="AF518" s="27" t="b">
        <f>IF($G518&lt;&gt;0,SUMIF(куб!$G:$G,$G518,куб!R:R),IF($E518&lt;&gt;0,SUMIF(куб!$E:$E,$E518,куб!R:R),IF($D518&lt;&gt;0,SUMIF(куб!$D:$D,$D518,куб!R:R),IF($C518&lt;&gt;0,SUMIF(куб!$C:$C,$C518,куб!R:R),IF($B518&lt;&gt;0,SUMIF(куб!$B:$B,$B518,куб!R:R))))))</f>
        <v>0</v>
      </c>
      <c r="AG518" s="27" t="b">
        <f>IF($G518&lt;&gt;0,SUMIF(куб!$G:$G,$G518,куб!S:S),IF($E518&lt;&gt;0,SUMIF(куб!$E:$E,$E518,куб!S:S),IF($D518&lt;&gt;0,SUMIF(куб!$D:$D,$D518,куб!S:S),IF($C518&lt;&gt;0,SUMIF(куб!$C:$C,$C518,куб!S:S),IF($B518&lt;&gt;0,SUMIF(куб!$B:$B,$B518,куб!S:S))))))</f>
        <v>0</v>
      </c>
      <c r="AH518" s="16" t="str">
        <f t="shared" si="175"/>
        <v>-</v>
      </c>
      <c r="AI518" s="8"/>
      <c r="AJ518" s="27" t="b">
        <f>IF($G518&lt;&gt;0,SUMIF(куб!$G:$G,$G518,куб!T:T),IF($E518&lt;&gt;0,SUMIF(куб!$E:$E,$E518,куб!T:T),IF($D518&lt;&gt;0,SUMIF(куб!$D:$D,$D518,куб!T:T),IF($C518&lt;&gt;0,SUMIF(куб!$C:$C,$C518,куб!T:T),IF($B518&lt;&gt;0,SUMIF(куб!$B:$B,$B518,куб!T:T))))))</f>
        <v>0</v>
      </c>
      <c r="AK518" s="27" t="b">
        <f>IF($G518&lt;&gt;0,SUMIF(куб!$G:$G,$G518,куб!U:U),IF($E518&lt;&gt;0,SUMIF(куб!$E:$E,$E518,куб!U:U),IF($D518&lt;&gt;0,SUMIF(куб!$D:$D,$D518,куб!U:U),IF($C518&lt;&gt;0,SUMIF(куб!$C:$C,$C518,куб!U:U),IF($B518&lt;&gt;0,SUMIF(куб!$B:$B,$B518,куб!U:U))))))</f>
        <v>0</v>
      </c>
      <c r="AL518" s="16" t="str">
        <f t="shared" si="176"/>
        <v>-</v>
      </c>
      <c r="AM518" s="8"/>
      <c r="AN518" s="17" t="str">
        <f t="shared" si="177"/>
        <v xml:space="preserve"> </v>
      </c>
      <c r="AO518" s="17" t="str">
        <f t="shared" si="178"/>
        <v xml:space="preserve"> </v>
      </c>
      <c r="AP518" s="16" t="str">
        <f t="shared" si="179"/>
        <v>-</v>
      </c>
      <c r="AQ518" s="8"/>
      <c r="AR518" s="17" t="str">
        <f t="shared" si="180"/>
        <v>-</v>
      </c>
      <c r="AS518" s="17" t="str">
        <f t="shared" si="181"/>
        <v>-</v>
      </c>
      <c r="AT518" s="13" t="str">
        <f t="shared" si="182"/>
        <v>-</v>
      </c>
      <c r="AU518" s="8"/>
    </row>
    <row r="519" spans="1:47" x14ac:dyDescent="0.25">
      <c r="A519" s="31"/>
      <c r="B519" s="31"/>
      <c r="C519"/>
      <c r="D519" s="31"/>
      <c r="E519"/>
      <c r="F519" s="31"/>
      <c r="G519"/>
      <c r="H519" s="27">
        <f>IF($G519&lt;&gt;0,SUMIF(куб!$G:$G,$G519,куб!H:H),IF($E519&lt;&gt;0,SUMIF(куб!$E:$E,$E519,куб!H:H),IF($D519&lt;&gt;0,SUMIF(куб!$D:$D,$D519,куб!H:H),IF($C519&lt;&gt;0,SUMIF(куб!$C:$C,$C519,куб!H:H),IF($B519&lt;&gt;0,SUMIF(куб!$B:$B,$B519,куб!H:H),IF($G519&lt;&gt;0,SUMIF(куб!$A:$A,$G519,куб!H:H),SUMIF(куб!$A:$A,$G519,куб!H:H)))))))</f>
        <v>0</v>
      </c>
      <c r="I519" s="27">
        <f>IF($G519&lt;&gt;0,SUMIF(куб!$G:$G,$G519,куб!I:I),IF($E519&lt;&gt;0,SUMIF(куб!$E:$E,$E519,куб!I:I),IF($D519&lt;&gt;0,SUMIF(куб!$D:$D,$D519,куб!I:I),IF($C519&lt;&gt;0,SUMIF(куб!$C:$C,$C519,куб!I:I),IF($B519&lt;&gt;0,SUMIF(куб!$B:$B,$B519,куб!I:I),IF($G519&lt;&gt;0,SUMIF(куб!$A:$A,$G519,куб!I:I),SUMIF(куб!$A:$A,$G519,куб!I:I)))))))</f>
        <v>0</v>
      </c>
      <c r="J519" s="19" t="str">
        <f t="shared" si="165"/>
        <v>-</v>
      </c>
      <c r="K519" s="8"/>
      <c r="L519" s="17">
        <f t="shared" si="166"/>
        <v>0</v>
      </c>
      <c r="M519" s="17">
        <f t="shared" si="167"/>
        <v>0</v>
      </c>
      <c r="N519" s="12">
        <f t="shared" si="168"/>
        <v>0</v>
      </c>
      <c r="O519" s="5"/>
      <c r="P519" s="27" t="b">
        <f>IF($G519&lt;&gt;0,SUMIF(куб!$G:$G,$G519,куб!J:J),IF($E519&lt;&gt;0,SUMIF(куб!$E:$E,$E519,куб!J:J),IF($D519&lt;&gt;0,SUMIF(куб!$D:$D,$D519,куб!J:J),IF($C519&lt;&gt;0,SUMIF(куб!$C:$C,$C519,куб!J:J),IF($B519&lt;&gt;0,SUMIF(куб!$B:$B,$B519,куб!J:J))))))</f>
        <v>0</v>
      </c>
      <c r="Q519" s="27" t="b">
        <f>IF($G519&lt;&gt;0,SUMIF(куб!$G:$G,$G519,куб!K:K),IF($E519&lt;&gt;0,SUMIF(куб!$E:$E,$E519,куб!K:K),IF($D519&lt;&gt;0,SUMIF(куб!$D:$D,$D519,куб!K:K),IF($C519&lt;&gt;0,SUMIF(куб!$C:$C,$C519,куб!K:K),IF($B519&lt;&gt;0,SUMIF(куб!$B:$B,$B519,куб!K:K))))))</f>
        <v>0</v>
      </c>
      <c r="R519" s="13" t="str">
        <f t="shared" si="169"/>
        <v>-</v>
      </c>
      <c r="S519" s="5"/>
      <c r="T519" s="27" t="b">
        <f>IF($G519&lt;&gt;0,SUMIF(куб!$G:$G,$G519,куб!L:L),IF($E519&lt;&gt;0,SUMIF(куб!$E:$E,$E519,куб!L:L),IF($D519&lt;&gt;0,SUMIF(куб!$D:$D,$D519,куб!L:L),IF($C519&lt;&gt;0,SUMIF(куб!$C:$C,$C519,куб!L:L),IF($B519&lt;&gt;0,SUMIF(куб!$B:$B,$B519,куб!L:L))))))</f>
        <v>0</v>
      </c>
      <c r="U519" s="27" t="b">
        <f>IF($G519&lt;&gt;0,SUMIF(куб!$G:$G,$G519,куб!M:M),IF($E519&lt;&gt;0,SUMIF(куб!$E:$E,$E519,куб!M:M),IF($D519&lt;&gt;0,SUMIF(куб!$D:$D,$D519,куб!M:M),IF($C519&lt;&gt;0,SUMIF(куб!$C:$C,$C519,куб!M:M),IF($B519&lt;&gt;0,SUMIF(куб!$B:$B,$B519,куб!M:M))))))</f>
        <v>0</v>
      </c>
      <c r="V519" s="13" t="str">
        <f t="shared" si="170"/>
        <v>-</v>
      </c>
      <c r="W519" s="5"/>
      <c r="X519" s="27" t="b">
        <f>IF($G519&lt;&gt;0,SUMIF(куб!$G:$G,$G519,куб!N:N),IF($E519&lt;&gt;0,SUMIF(куб!$E:$E,$E519,куб!N:N),IF($D519&lt;&gt;0,SUMIF(куб!$D:$D,$D519,куб!N:N),IF($C519&lt;&gt;0,SUMIF(куб!$C:$C,$C519,куб!N:N),IF($B519&lt;&gt;0,SUMIF(куб!$B:$B,$B519,куб!N:N))))))</f>
        <v>0</v>
      </c>
      <c r="Y519" s="27" t="b">
        <f>IF($G519&lt;&gt;0,SUMIF(куб!$G:$G,$G519,куб!O:O),IF($E519&lt;&gt;0,SUMIF(куб!$E:$E,$E519,куб!O:O),IF($D519&lt;&gt;0,SUMIF(куб!$D:$D,$D519,куб!O:O),IF($C519&lt;&gt;0,SUMIF(куб!$C:$C,$C519,куб!O:O),IF($B519&lt;&gt;0,SUMIF(куб!$B:$B,$B519,куб!O:O))))))</f>
        <v>0</v>
      </c>
      <c r="Z519" s="13" t="str">
        <f t="shared" si="171"/>
        <v>-</v>
      </c>
      <c r="AA519" s="5"/>
      <c r="AB519" s="33" t="str">
        <f t="shared" si="172"/>
        <v/>
      </c>
      <c r="AC519" s="33" t="str">
        <f t="shared" si="173"/>
        <v/>
      </c>
      <c r="AD519" s="15" t="str">
        <f t="shared" si="174"/>
        <v xml:space="preserve"> </v>
      </c>
      <c r="AE519" s="5"/>
      <c r="AF519" s="27" t="b">
        <f>IF($G519&lt;&gt;0,SUMIF(куб!$G:$G,$G519,куб!R:R),IF($E519&lt;&gt;0,SUMIF(куб!$E:$E,$E519,куб!R:R),IF($D519&lt;&gt;0,SUMIF(куб!$D:$D,$D519,куб!R:R),IF($C519&lt;&gt;0,SUMIF(куб!$C:$C,$C519,куб!R:R),IF($B519&lt;&gt;0,SUMIF(куб!$B:$B,$B519,куб!R:R))))))</f>
        <v>0</v>
      </c>
      <c r="AG519" s="27" t="b">
        <f>IF($G519&lt;&gt;0,SUMIF(куб!$G:$G,$G519,куб!S:S),IF($E519&lt;&gt;0,SUMIF(куб!$E:$E,$E519,куб!S:S),IF($D519&lt;&gt;0,SUMIF(куб!$D:$D,$D519,куб!S:S),IF($C519&lt;&gt;0,SUMIF(куб!$C:$C,$C519,куб!S:S),IF($B519&lt;&gt;0,SUMIF(куб!$B:$B,$B519,куб!S:S))))))</f>
        <v>0</v>
      </c>
      <c r="AH519" s="16" t="str">
        <f t="shared" si="175"/>
        <v>-</v>
      </c>
      <c r="AI519" s="8"/>
      <c r="AJ519" s="27" t="b">
        <f>IF($G519&lt;&gt;0,SUMIF(куб!$G:$G,$G519,куб!T:T),IF($E519&lt;&gt;0,SUMIF(куб!$E:$E,$E519,куб!T:T),IF($D519&lt;&gt;0,SUMIF(куб!$D:$D,$D519,куб!T:T),IF($C519&lt;&gt;0,SUMIF(куб!$C:$C,$C519,куб!T:T),IF($B519&lt;&gt;0,SUMIF(куб!$B:$B,$B519,куб!T:T))))))</f>
        <v>0</v>
      </c>
      <c r="AK519" s="27" t="b">
        <f>IF($G519&lt;&gt;0,SUMIF(куб!$G:$G,$G519,куб!U:U),IF($E519&lt;&gt;0,SUMIF(куб!$E:$E,$E519,куб!U:U),IF($D519&lt;&gt;0,SUMIF(куб!$D:$D,$D519,куб!U:U),IF($C519&lt;&gt;0,SUMIF(куб!$C:$C,$C519,куб!U:U),IF($B519&lt;&gt;0,SUMIF(куб!$B:$B,$B519,куб!U:U))))))</f>
        <v>0</v>
      </c>
      <c r="AL519" s="16" t="str">
        <f t="shared" si="176"/>
        <v>-</v>
      </c>
      <c r="AM519" s="8"/>
      <c r="AN519" s="17" t="str">
        <f t="shared" si="177"/>
        <v xml:space="preserve"> </v>
      </c>
      <c r="AO519" s="17" t="str">
        <f t="shared" si="178"/>
        <v xml:space="preserve"> </v>
      </c>
      <c r="AP519" s="16" t="str">
        <f t="shared" si="179"/>
        <v>-</v>
      </c>
      <c r="AQ519" s="8"/>
      <c r="AR519" s="17" t="str">
        <f t="shared" si="180"/>
        <v>-</v>
      </c>
      <c r="AS519" s="17" t="str">
        <f t="shared" si="181"/>
        <v>-</v>
      </c>
      <c r="AT519" s="13" t="str">
        <f t="shared" si="182"/>
        <v>-</v>
      </c>
      <c r="AU519" s="8"/>
    </row>
    <row r="520" spans="1:47" x14ac:dyDescent="0.25">
      <c r="A520" s="31"/>
      <c r="B520" s="31"/>
      <c r="C520"/>
      <c r="D520" s="31"/>
      <c r="E520"/>
      <c r="F520" s="31"/>
      <c r="G520"/>
      <c r="H520" s="27">
        <f>IF($G520&lt;&gt;0,SUMIF(куб!$G:$G,$G520,куб!H:H),IF($E520&lt;&gt;0,SUMIF(куб!$E:$E,$E520,куб!H:H),IF($D520&lt;&gt;0,SUMIF(куб!$D:$D,$D520,куб!H:H),IF($C520&lt;&gt;0,SUMIF(куб!$C:$C,$C520,куб!H:H),IF($B520&lt;&gt;0,SUMIF(куб!$B:$B,$B520,куб!H:H),IF($G520&lt;&gt;0,SUMIF(куб!$A:$A,$G520,куб!H:H),SUMIF(куб!$A:$A,$G520,куб!H:H)))))))</f>
        <v>0</v>
      </c>
      <c r="I520" s="27">
        <f>IF($G520&lt;&gt;0,SUMIF(куб!$G:$G,$G520,куб!I:I),IF($E520&lt;&gt;0,SUMIF(куб!$E:$E,$E520,куб!I:I),IF($D520&lt;&gt;0,SUMIF(куб!$D:$D,$D520,куб!I:I),IF($C520&lt;&gt;0,SUMIF(куб!$C:$C,$C520,куб!I:I),IF($B520&lt;&gt;0,SUMIF(куб!$B:$B,$B520,куб!I:I),IF($G520&lt;&gt;0,SUMIF(куб!$A:$A,$G520,куб!I:I),SUMIF(куб!$A:$A,$G520,куб!I:I)))))))</f>
        <v>0</v>
      </c>
      <c r="J520" s="19" t="str">
        <f t="shared" si="165"/>
        <v>-</v>
      </c>
      <c r="K520" s="8"/>
      <c r="L520" s="17">
        <f t="shared" si="166"/>
        <v>0</v>
      </c>
      <c r="M520" s="17">
        <f t="shared" si="167"/>
        <v>0</v>
      </c>
      <c r="N520" s="12">
        <f t="shared" si="168"/>
        <v>0</v>
      </c>
      <c r="O520" s="5"/>
      <c r="P520" s="27" t="b">
        <f>IF($G520&lt;&gt;0,SUMIF(куб!$G:$G,$G520,куб!J:J),IF($E520&lt;&gt;0,SUMIF(куб!$E:$E,$E520,куб!J:J),IF($D520&lt;&gt;0,SUMIF(куб!$D:$D,$D520,куб!J:J),IF($C520&lt;&gt;0,SUMIF(куб!$C:$C,$C520,куб!J:J),IF($B520&lt;&gt;0,SUMIF(куб!$B:$B,$B520,куб!J:J))))))</f>
        <v>0</v>
      </c>
      <c r="Q520" s="27" t="b">
        <f>IF($G520&lt;&gt;0,SUMIF(куб!$G:$G,$G520,куб!K:K),IF($E520&lt;&gt;0,SUMIF(куб!$E:$E,$E520,куб!K:K),IF($D520&lt;&gt;0,SUMIF(куб!$D:$D,$D520,куб!K:K),IF($C520&lt;&gt;0,SUMIF(куб!$C:$C,$C520,куб!K:K),IF($B520&lt;&gt;0,SUMIF(куб!$B:$B,$B520,куб!K:K))))))</f>
        <v>0</v>
      </c>
      <c r="R520" s="13" t="str">
        <f t="shared" si="169"/>
        <v>-</v>
      </c>
      <c r="S520" s="5"/>
      <c r="T520" s="27" t="b">
        <f>IF($G520&lt;&gt;0,SUMIF(куб!$G:$G,$G520,куб!L:L),IF($E520&lt;&gt;0,SUMIF(куб!$E:$E,$E520,куб!L:L),IF($D520&lt;&gt;0,SUMIF(куб!$D:$D,$D520,куб!L:L),IF($C520&lt;&gt;0,SUMIF(куб!$C:$C,$C520,куб!L:L),IF($B520&lt;&gt;0,SUMIF(куб!$B:$B,$B520,куб!L:L))))))</f>
        <v>0</v>
      </c>
      <c r="U520" s="27" t="b">
        <f>IF($G520&lt;&gt;0,SUMIF(куб!$G:$G,$G520,куб!M:M),IF($E520&lt;&gt;0,SUMIF(куб!$E:$E,$E520,куб!M:M),IF($D520&lt;&gt;0,SUMIF(куб!$D:$D,$D520,куб!M:M),IF($C520&lt;&gt;0,SUMIF(куб!$C:$C,$C520,куб!M:M),IF($B520&lt;&gt;0,SUMIF(куб!$B:$B,$B520,куб!M:M))))))</f>
        <v>0</v>
      </c>
      <c r="V520" s="13" t="str">
        <f t="shared" si="170"/>
        <v>-</v>
      </c>
      <c r="W520" s="5"/>
      <c r="X520" s="27" t="b">
        <f>IF($G520&lt;&gt;0,SUMIF(куб!$G:$G,$G520,куб!N:N),IF($E520&lt;&gt;0,SUMIF(куб!$E:$E,$E520,куб!N:N),IF($D520&lt;&gt;0,SUMIF(куб!$D:$D,$D520,куб!N:N),IF($C520&lt;&gt;0,SUMIF(куб!$C:$C,$C520,куб!N:N),IF($B520&lt;&gt;0,SUMIF(куб!$B:$B,$B520,куб!N:N))))))</f>
        <v>0</v>
      </c>
      <c r="Y520" s="27" t="b">
        <f>IF($G520&lt;&gt;0,SUMIF(куб!$G:$G,$G520,куб!O:O),IF($E520&lt;&gt;0,SUMIF(куб!$E:$E,$E520,куб!O:O),IF($D520&lt;&gt;0,SUMIF(куб!$D:$D,$D520,куб!O:O),IF($C520&lt;&gt;0,SUMIF(куб!$C:$C,$C520,куб!O:O),IF($B520&lt;&gt;0,SUMIF(куб!$B:$B,$B520,куб!O:O))))))</f>
        <v>0</v>
      </c>
      <c r="Z520" s="13" t="str">
        <f t="shared" si="171"/>
        <v>-</v>
      </c>
      <c r="AA520" s="5"/>
      <c r="AB520" s="33" t="str">
        <f t="shared" si="172"/>
        <v/>
      </c>
      <c r="AC520" s="33" t="str">
        <f t="shared" si="173"/>
        <v/>
      </c>
      <c r="AD520" s="15" t="str">
        <f t="shared" si="174"/>
        <v xml:space="preserve"> </v>
      </c>
      <c r="AE520" s="5"/>
      <c r="AF520" s="27" t="b">
        <f>IF($G520&lt;&gt;0,SUMIF(куб!$G:$G,$G520,куб!R:R),IF($E520&lt;&gt;0,SUMIF(куб!$E:$E,$E520,куб!R:R),IF($D520&lt;&gt;0,SUMIF(куб!$D:$D,$D520,куб!R:R),IF($C520&lt;&gt;0,SUMIF(куб!$C:$C,$C520,куб!R:R),IF($B520&lt;&gt;0,SUMIF(куб!$B:$B,$B520,куб!R:R))))))</f>
        <v>0</v>
      </c>
      <c r="AG520" s="27" t="b">
        <f>IF($G520&lt;&gt;0,SUMIF(куб!$G:$G,$G520,куб!S:S),IF($E520&lt;&gt;0,SUMIF(куб!$E:$E,$E520,куб!S:S),IF($D520&lt;&gt;0,SUMIF(куб!$D:$D,$D520,куб!S:S),IF($C520&lt;&gt;0,SUMIF(куб!$C:$C,$C520,куб!S:S),IF($B520&lt;&gt;0,SUMIF(куб!$B:$B,$B520,куб!S:S))))))</f>
        <v>0</v>
      </c>
      <c r="AH520" s="16" t="str">
        <f t="shared" si="175"/>
        <v>-</v>
      </c>
      <c r="AI520" s="8"/>
      <c r="AJ520" s="27" t="b">
        <f>IF($G520&lt;&gt;0,SUMIF(куб!$G:$G,$G520,куб!T:T),IF($E520&lt;&gt;0,SUMIF(куб!$E:$E,$E520,куб!T:T),IF($D520&lt;&gt;0,SUMIF(куб!$D:$D,$D520,куб!T:T),IF($C520&lt;&gt;0,SUMIF(куб!$C:$C,$C520,куб!T:T),IF($B520&lt;&gt;0,SUMIF(куб!$B:$B,$B520,куб!T:T))))))</f>
        <v>0</v>
      </c>
      <c r="AK520" s="27" t="b">
        <f>IF($G520&lt;&gt;0,SUMIF(куб!$G:$G,$G520,куб!U:U),IF($E520&lt;&gt;0,SUMIF(куб!$E:$E,$E520,куб!U:U),IF($D520&lt;&gt;0,SUMIF(куб!$D:$D,$D520,куб!U:U),IF($C520&lt;&gt;0,SUMIF(куб!$C:$C,$C520,куб!U:U),IF($B520&lt;&gt;0,SUMIF(куб!$B:$B,$B520,куб!U:U))))))</f>
        <v>0</v>
      </c>
      <c r="AL520" s="16" t="str">
        <f t="shared" si="176"/>
        <v>-</v>
      </c>
      <c r="AM520" s="8"/>
      <c r="AN520" s="17" t="str">
        <f t="shared" si="177"/>
        <v xml:space="preserve"> </v>
      </c>
      <c r="AO520" s="17" t="str">
        <f t="shared" si="178"/>
        <v xml:space="preserve"> </v>
      </c>
      <c r="AP520" s="16" t="str">
        <f t="shared" si="179"/>
        <v>-</v>
      </c>
      <c r="AQ520" s="8"/>
      <c r="AR520" s="17" t="str">
        <f t="shared" si="180"/>
        <v>-</v>
      </c>
      <c r="AS520" s="17" t="str">
        <f t="shared" si="181"/>
        <v>-</v>
      </c>
      <c r="AT520" s="13" t="str">
        <f t="shared" si="182"/>
        <v>-</v>
      </c>
      <c r="AU520" s="8"/>
    </row>
    <row r="521" spans="1:47" x14ac:dyDescent="0.25">
      <c r="A521" s="31"/>
      <c r="B521" s="31"/>
      <c r="C521"/>
      <c r="D521" s="31"/>
      <c r="E521"/>
      <c r="F521" s="31"/>
      <c r="G521"/>
      <c r="H521" s="27">
        <f>IF($G521&lt;&gt;0,SUMIF(куб!$G:$G,$G521,куб!H:H),IF($E521&lt;&gt;0,SUMIF(куб!$E:$E,$E521,куб!H:H),IF($D521&lt;&gt;0,SUMIF(куб!$D:$D,$D521,куб!H:H),IF($C521&lt;&gt;0,SUMIF(куб!$C:$C,$C521,куб!H:H),IF($B521&lt;&gt;0,SUMIF(куб!$B:$B,$B521,куб!H:H),IF($G521&lt;&gt;0,SUMIF(куб!$A:$A,$G521,куб!H:H),SUMIF(куб!$A:$A,$G521,куб!H:H)))))))</f>
        <v>0</v>
      </c>
      <c r="I521" s="27">
        <f>IF($G521&lt;&gt;0,SUMIF(куб!$G:$G,$G521,куб!I:I),IF($E521&lt;&gt;0,SUMIF(куб!$E:$E,$E521,куб!I:I),IF($D521&lt;&gt;0,SUMIF(куб!$D:$D,$D521,куб!I:I),IF($C521&lt;&gt;0,SUMIF(куб!$C:$C,$C521,куб!I:I),IF($B521&lt;&gt;0,SUMIF(куб!$B:$B,$B521,куб!I:I),IF($G521&lt;&gt;0,SUMIF(куб!$A:$A,$G521,куб!I:I),SUMIF(куб!$A:$A,$G521,куб!I:I)))))))</f>
        <v>0</v>
      </c>
      <c r="J521" s="19" t="str">
        <f t="shared" si="165"/>
        <v>-</v>
      </c>
      <c r="K521" s="8"/>
      <c r="L521" s="17">
        <f t="shared" si="166"/>
        <v>0</v>
      </c>
      <c r="M521" s="17">
        <f t="shared" si="167"/>
        <v>0</v>
      </c>
      <c r="N521" s="12">
        <f t="shared" si="168"/>
        <v>0</v>
      </c>
      <c r="O521" s="5"/>
      <c r="P521" s="27" t="b">
        <f>IF($G521&lt;&gt;0,SUMIF(куб!$G:$G,$G521,куб!J:J),IF($E521&lt;&gt;0,SUMIF(куб!$E:$E,$E521,куб!J:J),IF($D521&lt;&gt;0,SUMIF(куб!$D:$D,$D521,куб!J:J),IF($C521&lt;&gt;0,SUMIF(куб!$C:$C,$C521,куб!J:J),IF($B521&lt;&gt;0,SUMIF(куб!$B:$B,$B521,куб!J:J))))))</f>
        <v>0</v>
      </c>
      <c r="Q521" s="27" t="b">
        <f>IF($G521&lt;&gt;0,SUMIF(куб!$G:$G,$G521,куб!K:K),IF($E521&lt;&gt;0,SUMIF(куб!$E:$E,$E521,куб!K:K),IF($D521&lt;&gt;0,SUMIF(куб!$D:$D,$D521,куб!K:K),IF($C521&lt;&gt;0,SUMIF(куб!$C:$C,$C521,куб!K:K),IF($B521&lt;&gt;0,SUMIF(куб!$B:$B,$B521,куб!K:K))))))</f>
        <v>0</v>
      </c>
      <c r="R521" s="13" t="str">
        <f t="shared" si="169"/>
        <v>-</v>
      </c>
      <c r="S521" s="5"/>
      <c r="T521" s="27" t="b">
        <f>IF($G521&lt;&gt;0,SUMIF(куб!$G:$G,$G521,куб!L:L),IF($E521&lt;&gt;0,SUMIF(куб!$E:$E,$E521,куб!L:L),IF($D521&lt;&gt;0,SUMIF(куб!$D:$D,$D521,куб!L:L),IF($C521&lt;&gt;0,SUMIF(куб!$C:$C,$C521,куб!L:L),IF($B521&lt;&gt;0,SUMIF(куб!$B:$B,$B521,куб!L:L))))))</f>
        <v>0</v>
      </c>
      <c r="U521" s="27" t="b">
        <f>IF($G521&lt;&gt;0,SUMIF(куб!$G:$G,$G521,куб!M:M),IF($E521&lt;&gt;0,SUMIF(куб!$E:$E,$E521,куб!M:M),IF($D521&lt;&gt;0,SUMIF(куб!$D:$D,$D521,куб!M:M),IF($C521&lt;&gt;0,SUMIF(куб!$C:$C,$C521,куб!M:M),IF($B521&lt;&gt;0,SUMIF(куб!$B:$B,$B521,куб!M:M))))))</f>
        <v>0</v>
      </c>
      <c r="V521" s="13" t="str">
        <f t="shared" si="170"/>
        <v>-</v>
      </c>
      <c r="W521" s="5"/>
      <c r="X521" s="27" t="b">
        <f>IF($G521&lt;&gt;0,SUMIF(куб!$G:$G,$G521,куб!N:N),IF($E521&lt;&gt;0,SUMIF(куб!$E:$E,$E521,куб!N:N),IF($D521&lt;&gt;0,SUMIF(куб!$D:$D,$D521,куб!N:N),IF($C521&lt;&gt;0,SUMIF(куб!$C:$C,$C521,куб!N:N),IF($B521&lt;&gt;0,SUMIF(куб!$B:$B,$B521,куб!N:N))))))</f>
        <v>0</v>
      </c>
      <c r="Y521" s="27" t="b">
        <f>IF($G521&lt;&gt;0,SUMIF(куб!$G:$G,$G521,куб!O:O),IF($E521&lt;&gt;0,SUMIF(куб!$E:$E,$E521,куб!O:O),IF($D521&lt;&gt;0,SUMIF(куб!$D:$D,$D521,куб!O:O),IF($C521&lt;&gt;0,SUMIF(куб!$C:$C,$C521,куб!O:O),IF($B521&lt;&gt;0,SUMIF(куб!$B:$B,$B521,куб!O:O))))))</f>
        <v>0</v>
      </c>
      <c r="Z521" s="13" t="str">
        <f t="shared" si="171"/>
        <v>-</v>
      </c>
      <c r="AA521" s="5"/>
      <c r="AB521" s="33" t="str">
        <f t="shared" si="172"/>
        <v/>
      </c>
      <c r="AC521" s="33" t="str">
        <f t="shared" si="173"/>
        <v/>
      </c>
      <c r="AD521" s="15" t="str">
        <f t="shared" si="174"/>
        <v xml:space="preserve"> </v>
      </c>
      <c r="AE521" s="5"/>
      <c r="AF521" s="27" t="b">
        <f>IF($G521&lt;&gt;0,SUMIF(куб!$G:$G,$G521,куб!R:R),IF($E521&lt;&gt;0,SUMIF(куб!$E:$E,$E521,куб!R:R),IF($D521&lt;&gt;0,SUMIF(куб!$D:$D,$D521,куб!R:R),IF($C521&lt;&gt;0,SUMIF(куб!$C:$C,$C521,куб!R:R),IF($B521&lt;&gt;0,SUMIF(куб!$B:$B,$B521,куб!R:R))))))</f>
        <v>0</v>
      </c>
      <c r="AG521" s="27" t="b">
        <f>IF($G521&lt;&gt;0,SUMIF(куб!$G:$G,$G521,куб!S:S),IF($E521&lt;&gt;0,SUMIF(куб!$E:$E,$E521,куб!S:S),IF($D521&lt;&gt;0,SUMIF(куб!$D:$D,$D521,куб!S:S),IF($C521&lt;&gt;0,SUMIF(куб!$C:$C,$C521,куб!S:S),IF($B521&lt;&gt;0,SUMIF(куб!$B:$B,$B521,куб!S:S))))))</f>
        <v>0</v>
      </c>
      <c r="AH521" s="16" t="str">
        <f t="shared" si="175"/>
        <v>-</v>
      </c>
      <c r="AI521" s="8"/>
      <c r="AJ521" s="27" t="b">
        <f>IF($G521&lt;&gt;0,SUMIF(куб!$G:$G,$G521,куб!T:T),IF($E521&lt;&gt;0,SUMIF(куб!$E:$E,$E521,куб!T:T),IF($D521&lt;&gt;0,SUMIF(куб!$D:$D,$D521,куб!T:T),IF($C521&lt;&gt;0,SUMIF(куб!$C:$C,$C521,куб!T:T),IF($B521&lt;&gt;0,SUMIF(куб!$B:$B,$B521,куб!T:T))))))</f>
        <v>0</v>
      </c>
      <c r="AK521" s="27" t="b">
        <f>IF($G521&lt;&gt;0,SUMIF(куб!$G:$G,$G521,куб!U:U),IF($E521&lt;&gt;0,SUMIF(куб!$E:$E,$E521,куб!U:U),IF($D521&lt;&gt;0,SUMIF(куб!$D:$D,$D521,куб!U:U),IF($C521&lt;&gt;0,SUMIF(куб!$C:$C,$C521,куб!U:U),IF($B521&lt;&gt;0,SUMIF(куб!$B:$B,$B521,куб!U:U))))))</f>
        <v>0</v>
      </c>
      <c r="AL521" s="16" t="str">
        <f t="shared" si="176"/>
        <v>-</v>
      </c>
      <c r="AM521" s="8"/>
      <c r="AN521" s="17" t="str">
        <f t="shared" si="177"/>
        <v xml:space="preserve"> </v>
      </c>
      <c r="AO521" s="17" t="str">
        <f t="shared" si="178"/>
        <v xml:space="preserve"> </v>
      </c>
      <c r="AP521" s="16" t="str">
        <f t="shared" si="179"/>
        <v>-</v>
      </c>
      <c r="AQ521" s="8"/>
      <c r="AR521" s="17" t="str">
        <f t="shared" si="180"/>
        <v>-</v>
      </c>
      <c r="AS521" s="17" t="str">
        <f t="shared" si="181"/>
        <v>-</v>
      </c>
      <c r="AT521" s="13" t="str">
        <f t="shared" si="182"/>
        <v>-</v>
      </c>
      <c r="AU521" s="8"/>
    </row>
    <row r="522" spans="1:47" x14ac:dyDescent="0.25">
      <c r="A522" s="31"/>
      <c r="B522" s="31"/>
      <c r="C522"/>
      <c r="D522" s="31"/>
      <c r="E522"/>
      <c r="F522" s="31"/>
      <c r="G522"/>
      <c r="H522" s="27">
        <f>IF($G522&lt;&gt;0,SUMIF(куб!$G:$G,$G522,куб!H:H),IF($E522&lt;&gt;0,SUMIF(куб!$E:$E,$E522,куб!H:H),IF($D522&lt;&gt;0,SUMIF(куб!$D:$D,$D522,куб!H:H),IF($C522&lt;&gt;0,SUMIF(куб!$C:$C,$C522,куб!H:H),IF($B522&lt;&gt;0,SUMIF(куб!$B:$B,$B522,куб!H:H),IF($G522&lt;&gt;0,SUMIF(куб!$A:$A,$G522,куб!H:H),SUMIF(куб!$A:$A,$G522,куб!H:H)))))))</f>
        <v>0</v>
      </c>
      <c r="I522" s="27">
        <f>IF($G522&lt;&gt;0,SUMIF(куб!$G:$G,$G522,куб!I:I),IF($E522&lt;&gt;0,SUMIF(куб!$E:$E,$E522,куб!I:I),IF($D522&lt;&gt;0,SUMIF(куб!$D:$D,$D522,куб!I:I),IF($C522&lt;&gt;0,SUMIF(куб!$C:$C,$C522,куб!I:I),IF($B522&lt;&gt;0,SUMIF(куб!$B:$B,$B522,куб!I:I),IF($G522&lt;&gt;0,SUMIF(куб!$A:$A,$G522,куб!I:I),SUMIF(куб!$A:$A,$G522,куб!I:I)))))))</f>
        <v>0</v>
      </c>
      <c r="J522" s="19" t="str">
        <f t="shared" si="165"/>
        <v>-</v>
      </c>
      <c r="K522" s="8"/>
      <c r="L522" s="17">
        <f t="shared" si="166"/>
        <v>0</v>
      </c>
      <c r="M522" s="17">
        <f t="shared" si="167"/>
        <v>0</v>
      </c>
      <c r="N522" s="12">
        <f t="shared" si="168"/>
        <v>0</v>
      </c>
      <c r="O522" s="5"/>
      <c r="P522" s="27" t="b">
        <f>IF($G522&lt;&gt;0,SUMIF(куб!$G:$G,$G522,куб!J:J),IF($E522&lt;&gt;0,SUMIF(куб!$E:$E,$E522,куб!J:J),IF($D522&lt;&gt;0,SUMIF(куб!$D:$D,$D522,куб!J:J),IF($C522&lt;&gt;0,SUMIF(куб!$C:$C,$C522,куб!J:J),IF($B522&lt;&gt;0,SUMIF(куб!$B:$B,$B522,куб!J:J))))))</f>
        <v>0</v>
      </c>
      <c r="Q522" s="27" t="b">
        <f>IF($G522&lt;&gt;0,SUMIF(куб!$G:$G,$G522,куб!K:K),IF($E522&lt;&gt;0,SUMIF(куб!$E:$E,$E522,куб!K:K),IF($D522&lt;&gt;0,SUMIF(куб!$D:$D,$D522,куб!K:K),IF($C522&lt;&gt;0,SUMIF(куб!$C:$C,$C522,куб!K:K),IF($B522&lt;&gt;0,SUMIF(куб!$B:$B,$B522,куб!K:K))))))</f>
        <v>0</v>
      </c>
      <c r="R522" s="13" t="str">
        <f t="shared" si="169"/>
        <v>-</v>
      </c>
      <c r="S522" s="5"/>
      <c r="T522" s="27" t="b">
        <f>IF($G522&lt;&gt;0,SUMIF(куб!$G:$G,$G522,куб!L:L),IF($E522&lt;&gt;0,SUMIF(куб!$E:$E,$E522,куб!L:L),IF($D522&lt;&gt;0,SUMIF(куб!$D:$D,$D522,куб!L:L),IF($C522&lt;&gt;0,SUMIF(куб!$C:$C,$C522,куб!L:L),IF($B522&lt;&gt;0,SUMIF(куб!$B:$B,$B522,куб!L:L))))))</f>
        <v>0</v>
      </c>
      <c r="U522" s="27" t="b">
        <f>IF($G522&lt;&gt;0,SUMIF(куб!$G:$G,$G522,куб!M:M),IF($E522&lt;&gt;0,SUMIF(куб!$E:$E,$E522,куб!M:M),IF($D522&lt;&gt;0,SUMIF(куб!$D:$D,$D522,куб!M:M),IF($C522&lt;&gt;0,SUMIF(куб!$C:$C,$C522,куб!M:M),IF($B522&lt;&gt;0,SUMIF(куб!$B:$B,$B522,куб!M:M))))))</f>
        <v>0</v>
      </c>
      <c r="V522" s="13" t="str">
        <f t="shared" si="170"/>
        <v>-</v>
      </c>
      <c r="W522" s="5"/>
      <c r="X522" s="27" t="b">
        <f>IF($G522&lt;&gt;0,SUMIF(куб!$G:$G,$G522,куб!N:N),IF($E522&lt;&gt;0,SUMIF(куб!$E:$E,$E522,куб!N:N),IF($D522&lt;&gt;0,SUMIF(куб!$D:$D,$D522,куб!N:N),IF($C522&lt;&gt;0,SUMIF(куб!$C:$C,$C522,куб!N:N),IF($B522&lt;&gt;0,SUMIF(куб!$B:$B,$B522,куб!N:N))))))</f>
        <v>0</v>
      </c>
      <c r="Y522" s="27" t="b">
        <f>IF($G522&lt;&gt;0,SUMIF(куб!$G:$G,$G522,куб!O:O),IF($E522&lt;&gt;0,SUMIF(куб!$E:$E,$E522,куб!O:O),IF($D522&lt;&gt;0,SUMIF(куб!$D:$D,$D522,куб!O:O),IF($C522&lt;&gt;0,SUMIF(куб!$C:$C,$C522,куб!O:O),IF($B522&lt;&gt;0,SUMIF(куб!$B:$B,$B522,куб!O:O))))))</f>
        <v>0</v>
      </c>
      <c r="Z522" s="13" t="str">
        <f t="shared" si="171"/>
        <v>-</v>
      </c>
      <c r="AA522" s="5"/>
      <c r="AB522" s="33" t="str">
        <f t="shared" si="172"/>
        <v/>
      </c>
      <c r="AC522" s="33" t="str">
        <f t="shared" si="173"/>
        <v/>
      </c>
      <c r="AD522" s="15" t="str">
        <f t="shared" si="174"/>
        <v xml:space="preserve"> </v>
      </c>
      <c r="AE522" s="5"/>
      <c r="AF522" s="27" t="b">
        <f>IF($G522&lt;&gt;0,SUMIF(куб!$G:$G,$G522,куб!R:R),IF($E522&lt;&gt;0,SUMIF(куб!$E:$E,$E522,куб!R:R),IF($D522&lt;&gt;0,SUMIF(куб!$D:$D,$D522,куб!R:R),IF($C522&lt;&gt;0,SUMIF(куб!$C:$C,$C522,куб!R:R),IF($B522&lt;&gt;0,SUMIF(куб!$B:$B,$B522,куб!R:R))))))</f>
        <v>0</v>
      </c>
      <c r="AG522" s="27" t="b">
        <f>IF($G522&lt;&gt;0,SUMIF(куб!$G:$G,$G522,куб!S:S),IF($E522&lt;&gt;0,SUMIF(куб!$E:$E,$E522,куб!S:S),IF($D522&lt;&gt;0,SUMIF(куб!$D:$D,$D522,куб!S:S),IF($C522&lt;&gt;0,SUMIF(куб!$C:$C,$C522,куб!S:S),IF($B522&lt;&gt;0,SUMIF(куб!$B:$B,$B522,куб!S:S))))))</f>
        <v>0</v>
      </c>
      <c r="AH522" s="16" t="str">
        <f t="shared" si="175"/>
        <v>-</v>
      </c>
      <c r="AI522" s="8"/>
      <c r="AJ522" s="27" t="b">
        <f>IF($G522&lt;&gt;0,SUMIF(куб!$G:$G,$G522,куб!T:T),IF($E522&lt;&gt;0,SUMIF(куб!$E:$E,$E522,куб!T:T),IF($D522&lt;&gt;0,SUMIF(куб!$D:$D,$D522,куб!T:T),IF($C522&lt;&gt;0,SUMIF(куб!$C:$C,$C522,куб!T:T),IF($B522&lt;&gt;0,SUMIF(куб!$B:$B,$B522,куб!T:T))))))</f>
        <v>0</v>
      </c>
      <c r="AK522" s="27" t="b">
        <f>IF($G522&lt;&gt;0,SUMIF(куб!$G:$G,$G522,куб!U:U),IF($E522&lt;&gt;0,SUMIF(куб!$E:$E,$E522,куб!U:U),IF($D522&lt;&gt;0,SUMIF(куб!$D:$D,$D522,куб!U:U),IF($C522&lt;&gt;0,SUMIF(куб!$C:$C,$C522,куб!U:U),IF($B522&lt;&gt;0,SUMIF(куб!$B:$B,$B522,куб!U:U))))))</f>
        <v>0</v>
      </c>
      <c r="AL522" s="16" t="str">
        <f t="shared" si="176"/>
        <v>-</v>
      </c>
      <c r="AM522" s="8"/>
      <c r="AN522" s="17" t="str">
        <f t="shared" si="177"/>
        <v xml:space="preserve"> </v>
      </c>
      <c r="AO522" s="17" t="str">
        <f t="shared" si="178"/>
        <v xml:space="preserve"> </v>
      </c>
      <c r="AP522" s="16" t="str">
        <f t="shared" si="179"/>
        <v>-</v>
      </c>
      <c r="AQ522" s="8"/>
      <c r="AR522" s="17" t="str">
        <f t="shared" si="180"/>
        <v>-</v>
      </c>
      <c r="AS522" s="17" t="str">
        <f t="shared" si="181"/>
        <v>-</v>
      </c>
      <c r="AT522" s="13" t="str">
        <f t="shared" si="182"/>
        <v>-</v>
      </c>
      <c r="AU522" s="8"/>
    </row>
    <row r="523" spans="1:47" x14ac:dyDescent="0.25">
      <c r="A523" s="31"/>
      <c r="B523" s="31"/>
      <c r="C523"/>
      <c r="D523" s="31"/>
      <c r="E523"/>
      <c r="F523" s="31"/>
      <c r="G523"/>
      <c r="H523" s="27">
        <f>IF($G523&lt;&gt;0,SUMIF(куб!$G:$G,$G523,куб!H:H),IF($E523&lt;&gt;0,SUMIF(куб!$E:$E,$E523,куб!H:H),IF($D523&lt;&gt;0,SUMIF(куб!$D:$D,$D523,куб!H:H),IF($C523&lt;&gt;0,SUMIF(куб!$C:$C,$C523,куб!H:H),IF($B523&lt;&gt;0,SUMIF(куб!$B:$B,$B523,куб!H:H),IF($G523&lt;&gt;0,SUMIF(куб!$A:$A,$G523,куб!H:H),SUMIF(куб!$A:$A,$G523,куб!H:H)))))))</f>
        <v>0</v>
      </c>
      <c r="I523" s="27">
        <f>IF($G523&lt;&gt;0,SUMIF(куб!$G:$G,$G523,куб!I:I),IF($E523&lt;&gt;0,SUMIF(куб!$E:$E,$E523,куб!I:I),IF($D523&lt;&gt;0,SUMIF(куб!$D:$D,$D523,куб!I:I),IF($C523&lt;&gt;0,SUMIF(куб!$C:$C,$C523,куб!I:I),IF($B523&lt;&gt;0,SUMIF(куб!$B:$B,$B523,куб!I:I),IF($G523&lt;&gt;0,SUMIF(куб!$A:$A,$G523,куб!I:I),SUMIF(куб!$A:$A,$G523,куб!I:I)))))))</f>
        <v>0</v>
      </c>
      <c r="J523" s="19" t="str">
        <f t="shared" si="165"/>
        <v>-</v>
      </c>
      <c r="K523" s="8"/>
      <c r="L523" s="17">
        <f t="shared" si="166"/>
        <v>0</v>
      </c>
      <c r="M523" s="17">
        <f t="shared" si="167"/>
        <v>0</v>
      </c>
      <c r="N523" s="12">
        <f t="shared" si="168"/>
        <v>0</v>
      </c>
      <c r="O523" s="5"/>
      <c r="P523" s="27" t="b">
        <f>IF($G523&lt;&gt;0,SUMIF(куб!$G:$G,$G523,куб!J:J),IF($E523&lt;&gt;0,SUMIF(куб!$E:$E,$E523,куб!J:J),IF($D523&lt;&gt;0,SUMIF(куб!$D:$D,$D523,куб!J:J),IF($C523&lt;&gt;0,SUMIF(куб!$C:$C,$C523,куб!J:J),IF($B523&lt;&gt;0,SUMIF(куб!$B:$B,$B523,куб!J:J))))))</f>
        <v>0</v>
      </c>
      <c r="Q523" s="27" t="b">
        <f>IF($G523&lt;&gt;0,SUMIF(куб!$G:$G,$G523,куб!K:K),IF($E523&lt;&gt;0,SUMIF(куб!$E:$E,$E523,куб!K:K),IF($D523&lt;&gt;0,SUMIF(куб!$D:$D,$D523,куб!K:K),IF($C523&lt;&gt;0,SUMIF(куб!$C:$C,$C523,куб!K:K),IF($B523&lt;&gt;0,SUMIF(куб!$B:$B,$B523,куб!K:K))))))</f>
        <v>0</v>
      </c>
      <c r="R523" s="13" t="str">
        <f t="shared" si="169"/>
        <v>-</v>
      </c>
      <c r="S523" s="5"/>
      <c r="T523" s="27" t="b">
        <f>IF($G523&lt;&gt;0,SUMIF(куб!$G:$G,$G523,куб!L:L),IF($E523&lt;&gt;0,SUMIF(куб!$E:$E,$E523,куб!L:L),IF($D523&lt;&gt;0,SUMIF(куб!$D:$D,$D523,куб!L:L),IF($C523&lt;&gt;0,SUMIF(куб!$C:$C,$C523,куб!L:L),IF($B523&lt;&gt;0,SUMIF(куб!$B:$B,$B523,куб!L:L))))))</f>
        <v>0</v>
      </c>
      <c r="U523" s="27" t="b">
        <f>IF($G523&lt;&gt;0,SUMIF(куб!$G:$G,$G523,куб!M:M),IF($E523&lt;&gt;0,SUMIF(куб!$E:$E,$E523,куб!M:M),IF($D523&lt;&gt;0,SUMIF(куб!$D:$D,$D523,куб!M:M),IF($C523&lt;&gt;0,SUMIF(куб!$C:$C,$C523,куб!M:M),IF($B523&lt;&gt;0,SUMIF(куб!$B:$B,$B523,куб!M:M))))))</f>
        <v>0</v>
      </c>
      <c r="V523" s="13" t="str">
        <f t="shared" si="170"/>
        <v>-</v>
      </c>
      <c r="W523" s="5"/>
      <c r="X523" s="27" t="b">
        <f>IF($G523&lt;&gt;0,SUMIF(куб!$G:$G,$G523,куб!N:N),IF($E523&lt;&gt;0,SUMIF(куб!$E:$E,$E523,куб!N:N),IF($D523&lt;&gt;0,SUMIF(куб!$D:$D,$D523,куб!N:N),IF($C523&lt;&gt;0,SUMIF(куб!$C:$C,$C523,куб!N:N),IF($B523&lt;&gt;0,SUMIF(куб!$B:$B,$B523,куб!N:N))))))</f>
        <v>0</v>
      </c>
      <c r="Y523" s="27" t="b">
        <f>IF($G523&lt;&gt;0,SUMIF(куб!$G:$G,$G523,куб!O:O),IF($E523&lt;&gt;0,SUMIF(куб!$E:$E,$E523,куб!O:O),IF($D523&lt;&gt;0,SUMIF(куб!$D:$D,$D523,куб!O:O),IF($C523&lt;&gt;0,SUMIF(куб!$C:$C,$C523,куб!O:O),IF($B523&lt;&gt;0,SUMIF(куб!$B:$B,$B523,куб!O:O))))))</f>
        <v>0</v>
      </c>
      <c r="Z523" s="13" t="str">
        <f t="shared" si="171"/>
        <v>-</v>
      </c>
      <c r="AA523" s="5"/>
      <c r="AB523" s="33" t="str">
        <f t="shared" si="172"/>
        <v/>
      </c>
      <c r="AC523" s="33" t="str">
        <f t="shared" si="173"/>
        <v/>
      </c>
      <c r="AD523" s="15" t="str">
        <f t="shared" si="174"/>
        <v xml:space="preserve"> </v>
      </c>
      <c r="AE523" s="5"/>
      <c r="AF523" s="27" t="b">
        <f>IF($G523&lt;&gt;0,SUMIF(куб!$G:$G,$G523,куб!R:R),IF($E523&lt;&gt;0,SUMIF(куб!$E:$E,$E523,куб!R:R),IF($D523&lt;&gt;0,SUMIF(куб!$D:$D,$D523,куб!R:R),IF($C523&lt;&gt;0,SUMIF(куб!$C:$C,$C523,куб!R:R),IF($B523&lt;&gt;0,SUMIF(куб!$B:$B,$B523,куб!R:R))))))</f>
        <v>0</v>
      </c>
      <c r="AG523" s="27" t="b">
        <f>IF($G523&lt;&gt;0,SUMIF(куб!$G:$G,$G523,куб!S:S),IF($E523&lt;&gt;0,SUMIF(куб!$E:$E,$E523,куб!S:S),IF($D523&lt;&gt;0,SUMIF(куб!$D:$D,$D523,куб!S:S),IF($C523&lt;&gt;0,SUMIF(куб!$C:$C,$C523,куб!S:S),IF($B523&lt;&gt;0,SUMIF(куб!$B:$B,$B523,куб!S:S))))))</f>
        <v>0</v>
      </c>
      <c r="AH523" s="16" t="str">
        <f t="shared" si="175"/>
        <v>-</v>
      </c>
      <c r="AI523" s="8"/>
      <c r="AJ523" s="27" t="b">
        <f>IF($G523&lt;&gt;0,SUMIF(куб!$G:$G,$G523,куб!T:T),IF($E523&lt;&gt;0,SUMIF(куб!$E:$E,$E523,куб!T:T),IF($D523&lt;&gt;0,SUMIF(куб!$D:$D,$D523,куб!T:T),IF($C523&lt;&gt;0,SUMIF(куб!$C:$C,$C523,куб!T:T),IF($B523&lt;&gt;0,SUMIF(куб!$B:$B,$B523,куб!T:T))))))</f>
        <v>0</v>
      </c>
      <c r="AK523" s="27" t="b">
        <f>IF($G523&lt;&gt;0,SUMIF(куб!$G:$G,$G523,куб!U:U),IF($E523&lt;&gt;0,SUMIF(куб!$E:$E,$E523,куб!U:U),IF($D523&lt;&gt;0,SUMIF(куб!$D:$D,$D523,куб!U:U),IF($C523&lt;&gt;0,SUMIF(куб!$C:$C,$C523,куб!U:U),IF($B523&lt;&gt;0,SUMIF(куб!$B:$B,$B523,куб!U:U))))))</f>
        <v>0</v>
      </c>
      <c r="AL523" s="16" t="str">
        <f t="shared" si="176"/>
        <v>-</v>
      </c>
      <c r="AM523" s="8"/>
      <c r="AN523" s="17" t="str">
        <f t="shared" si="177"/>
        <v xml:space="preserve"> </v>
      </c>
      <c r="AO523" s="17" t="str">
        <f t="shared" si="178"/>
        <v xml:space="preserve"> </v>
      </c>
      <c r="AP523" s="16" t="str">
        <f t="shared" si="179"/>
        <v>-</v>
      </c>
      <c r="AQ523" s="8"/>
      <c r="AR523" s="17" t="str">
        <f t="shared" si="180"/>
        <v>-</v>
      </c>
      <c r="AS523" s="17" t="str">
        <f t="shared" si="181"/>
        <v>-</v>
      </c>
      <c r="AT523" s="13" t="str">
        <f t="shared" si="182"/>
        <v>-</v>
      </c>
      <c r="AU523" s="8"/>
    </row>
    <row r="524" spans="1:47" x14ac:dyDescent="0.25">
      <c r="A524" s="31"/>
      <c r="B524" s="31"/>
      <c r="C524"/>
      <c r="D524" s="31"/>
      <c r="E524"/>
      <c r="F524" s="31"/>
      <c r="G524"/>
      <c r="H524" s="27">
        <f>IF($G524&lt;&gt;0,SUMIF(куб!$G:$G,$G524,куб!H:H),IF($E524&lt;&gt;0,SUMIF(куб!$E:$E,$E524,куб!H:H),IF($D524&lt;&gt;0,SUMIF(куб!$D:$D,$D524,куб!H:H),IF($C524&lt;&gt;0,SUMIF(куб!$C:$C,$C524,куб!H:H),IF($B524&lt;&gt;0,SUMIF(куб!$B:$B,$B524,куб!H:H),IF($G524&lt;&gt;0,SUMIF(куб!$A:$A,$G524,куб!H:H),SUMIF(куб!$A:$A,$G524,куб!H:H)))))))</f>
        <v>0</v>
      </c>
      <c r="I524" s="27">
        <f>IF($G524&lt;&gt;0,SUMIF(куб!$G:$G,$G524,куб!I:I),IF($E524&lt;&gt;0,SUMIF(куб!$E:$E,$E524,куб!I:I),IF($D524&lt;&gt;0,SUMIF(куб!$D:$D,$D524,куб!I:I),IF($C524&lt;&gt;0,SUMIF(куб!$C:$C,$C524,куб!I:I),IF($B524&lt;&gt;0,SUMIF(куб!$B:$B,$B524,куб!I:I),IF($G524&lt;&gt;0,SUMIF(куб!$A:$A,$G524,куб!I:I),SUMIF(куб!$A:$A,$G524,куб!I:I)))))))</f>
        <v>0</v>
      </c>
      <c r="J524" s="19" t="str">
        <f t="shared" si="165"/>
        <v>-</v>
      </c>
      <c r="K524" s="8"/>
      <c r="L524" s="17">
        <f t="shared" si="166"/>
        <v>0</v>
      </c>
      <c r="M524" s="17">
        <f t="shared" si="167"/>
        <v>0</v>
      </c>
      <c r="N524" s="12">
        <f t="shared" si="168"/>
        <v>0</v>
      </c>
      <c r="O524" s="5"/>
      <c r="P524" s="27" t="b">
        <f>IF($G524&lt;&gt;0,SUMIF(куб!$G:$G,$G524,куб!J:J),IF($E524&lt;&gt;0,SUMIF(куб!$E:$E,$E524,куб!J:J),IF($D524&lt;&gt;0,SUMIF(куб!$D:$D,$D524,куб!J:J),IF($C524&lt;&gt;0,SUMIF(куб!$C:$C,$C524,куб!J:J),IF($B524&lt;&gt;0,SUMIF(куб!$B:$B,$B524,куб!J:J))))))</f>
        <v>0</v>
      </c>
      <c r="Q524" s="27" t="b">
        <f>IF($G524&lt;&gt;0,SUMIF(куб!$G:$G,$G524,куб!K:K),IF($E524&lt;&gt;0,SUMIF(куб!$E:$E,$E524,куб!K:K),IF($D524&lt;&gt;0,SUMIF(куб!$D:$D,$D524,куб!K:K),IF($C524&lt;&gt;0,SUMIF(куб!$C:$C,$C524,куб!K:K),IF($B524&lt;&gt;0,SUMIF(куб!$B:$B,$B524,куб!K:K))))))</f>
        <v>0</v>
      </c>
      <c r="R524" s="13" t="str">
        <f t="shared" si="169"/>
        <v>-</v>
      </c>
      <c r="S524" s="5"/>
      <c r="T524" s="27" t="b">
        <f>IF($G524&lt;&gt;0,SUMIF(куб!$G:$G,$G524,куб!L:L),IF($E524&lt;&gt;0,SUMIF(куб!$E:$E,$E524,куб!L:L),IF($D524&lt;&gt;0,SUMIF(куб!$D:$D,$D524,куб!L:L),IF($C524&lt;&gt;0,SUMIF(куб!$C:$C,$C524,куб!L:L),IF($B524&lt;&gt;0,SUMIF(куб!$B:$B,$B524,куб!L:L))))))</f>
        <v>0</v>
      </c>
      <c r="U524" s="27" t="b">
        <f>IF($G524&lt;&gt;0,SUMIF(куб!$G:$G,$G524,куб!M:M),IF($E524&lt;&gt;0,SUMIF(куб!$E:$E,$E524,куб!M:M),IF($D524&lt;&gt;0,SUMIF(куб!$D:$D,$D524,куб!M:M),IF($C524&lt;&gt;0,SUMIF(куб!$C:$C,$C524,куб!M:M),IF($B524&lt;&gt;0,SUMIF(куб!$B:$B,$B524,куб!M:M))))))</f>
        <v>0</v>
      </c>
      <c r="V524" s="13" t="str">
        <f t="shared" si="170"/>
        <v>-</v>
      </c>
      <c r="W524" s="5"/>
      <c r="X524" s="27" t="b">
        <f>IF($G524&lt;&gt;0,SUMIF(куб!$G:$G,$G524,куб!N:N),IF($E524&lt;&gt;0,SUMIF(куб!$E:$E,$E524,куб!N:N),IF($D524&lt;&gt;0,SUMIF(куб!$D:$D,$D524,куб!N:N),IF($C524&lt;&gt;0,SUMIF(куб!$C:$C,$C524,куб!N:N),IF($B524&lt;&gt;0,SUMIF(куб!$B:$B,$B524,куб!N:N))))))</f>
        <v>0</v>
      </c>
      <c r="Y524" s="27" t="b">
        <f>IF($G524&lt;&gt;0,SUMIF(куб!$G:$G,$G524,куб!O:O),IF($E524&lt;&gt;0,SUMIF(куб!$E:$E,$E524,куб!O:O),IF($D524&lt;&gt;0,SUMIF(куб!$D:$D,$D524,куб!O:O),IF($C524&lt;&gt;0,SUMIF(куб!$C:$C,$C524,куб!O:O),IF($B524&lt;&gt;0,SUMIF(куб!$B:$B,$B524,куб!O:O))))))</f>
        <v>0</v>
      </c>
      <c r="Z524" s="13" t="str">
        <f t="shared" si="171"/>
        <v>-</v>
      </c>
      <c r="AA524" s="5"/>
      <c r="AB524" s="33" t="str">
        <f t="shared" si="172"/>
        <v/>
      </c>
      <c r="AC524" s="33" t="str">
        <f t="shared" si="173"/>
        <v/>
      </c>
      <c r="AD524" s="15" t="str">
        <f t="shared" si="174"/>
        <v xml:space="preserve"> </v>
      </c>
      <c r="AE524" s="5"/>
      <c r="AF524" s="27" t="b">
        <f>IF($G524&lt;&gt;0,SUMIF(куб!$G:$G,$G524,куб!R:R),IF($E524&lt;&gt;0,SUMIF(куб!$E:$E,$E524,куб!R:R),IF($D524&lt;&gt;0,SUMIF(куб!$D:$D,$D524,куб!R:R),IF($C524&lt;&gt;0,SUMIF(куб!$C:$C,$C524,куб!R:R),IF($B524&lt;&gt;0,SUMIF(куб!$B:$B,$B524,куб!R:R))))))</f>
        <v>0</v>
      </c>
      <c r="AG524" s="27" t="b">
        <f>IF($G524&lt;&gt;0,SUMIF(куб!$G:$G,$G524,куб!S:S),IF($E524&lt;&gt;0,SUMIF(куб!$E:$E,$E524,куб!S:S),IF($D524&lt;&gt;0,SUMIF(куб!$D:$D,$D524,куб!S:S),IF($C524&lt;&gt;0,SUMIF(куб!$C:$C,$C524,куб!S:S),IF($B524&lt;&gt;0,SUMIF(куб!$B:$B,$B524,куб!S:S))))))</f>
        <v>0</v>
      </c>
      <c r="AH524" s="16" t="str">
        <f t="shared" si="175"/>
        <v>-</v>
      </c>
      <c r="AI524" s="8"/>
      <c r="AJ524" s="27" t="b">
        <f>IF($G524&lt;&gt;0,SUMIF(куб!$G:$G,$G524,куб!T:T),IF($E524&lt;&gt;0,SUMIF(куб!$E:$E,$E524,куб!T:T),IF($D524&lt;&gt;0,SUMIF(куб!$D:$D,$D524,куб!T:T),IF($C524&lt;&gt;0,SUMIF(куб!$C:$C,$C524,куб!T:T),IF($B524&lt;&gt;0,SUMIF(куб!$B:$B,$B524,куб!T:T))))))</f>
        <v>0</v>
      </c>
      <c r="AK524" s="27" t="b">
        <f>IF($G524&lt;&gt;0,SUMIF(куб!$G:$G,$G524,куб!U:U),IF($E524&lt;&gt;0,SUMIF(куб!$E:$E,$E524,куб!U:U),IF($D524&lt;&gt;0,SUMIF(куб!$D:$D,$D524,куб!U:U),IF($C524&lt;&gt;0,SUMIF(куб!$C:$C,$C524,куб!U:U),IF($B524&lt;&gt;0,SUMIF(куб!$B:$B,$B524,куб!U:U))))))</f>
        <v>0</v>
      </c>
      <c r="AL524" s="16" t="str">
        <f t="shared" si="176"/>
        <v>-</v>
      </c>
      <c r="AM524" s="8"/>
      <c r="AN524" s="17" t="str">
        <f t="shared" si="177"/>
        <v xml:space="preserve"> </v>
      </c>
      <c r="AO524" s="17" t="str">
        <f t="shared" si="178"/>
        <v xml:space="preserve"> </v>
      </c>
      <c r="AP524" s="16" t="str">
        <f t="shared" si="179"/>
        <v>-</v>
      </c>
      <c r="AQ524" s="8"/>
      <c r="AR524" s="17" t="str">
        <f t="shared" si="180"/>
        <v>-</v>
      </c>
      <c r="AS524" s="17" t="str">
        <f t="shared" si="181"/>
        <v>-</v>
      </c>
      <c r="AT524" s="13" t="str">
        <f t="shared" si="182"/>
        <v>-</v>
      </c>
      <c r="AU524" s="8"/>
    </row>
    <row r="525" spans="1:47" x14ac:dyDescent="0.25">
      <c r="A525" s="31"/>
      <c r="B525" s="31"/>
      <c r="C525"/>
      <c r="D525" s="31"/>
      <c r="E525"/>
      <c r="F525" s="31"/>
      <c r="G525"/>
      <c r="H525" s="27">
        <f>IF($G525&lt;&gt;0,SUMIF(куб!$G:$G,$G525,куб!H:H),IF($E525&lt;&gt;0,SUMIF(куб!$E:$E,$E525,куб!H:H),IF($D525&lt;&gt;0,SUMIF(куб!$D:$D,$D525,куб!H:H),IF($C525&lt;&gt;0,SUMIF(куб!$C:$C,$C525,куб!H:H),IF($B525&lt;&gt;0,SUMIF(куб!$B:$B,$B525,куб!H:H),IF($G525&lt;&gt;0,SUMIF(куб!$A:$A,$G525,куб!H:H),SUMIF(куб!$A:$A,$G525,куб!H:H)))))))</f>
        <v>0</v>
      </c>
      <c r="I525" s="27">
        <f>IF($G525&lt;&gt;0,SUMIF(куб!$G:$G,$G525,куб!I:I),IF($E525&lt;&gt;0,SUMIF(куб!$E:$E,$E525,куб!I:I),IF($D525&lt;&gt;0,SUMIF(куб!$D:$D,$D525,куб!I:I),IF($C525&lt;&gt;0,SUMIF(куб!$C:$C,$C525,куб!I:I),IF($B525&lt;&gt;0,SUMIF(куб!$B:$B,$B525,куб!I:I),IF($G525&lt;&gt;0,SUMIF(куб!$A:$A,$G525,куб!I:I),SUMIF(куб!$A:$A,$G525,куб!I:I)))))))</f>
        <v>0</v>
      </c>
      <c r="J525" s="19" t="str">
        <f t="shared" ref="J525:J588" si="183">IFERROR((I525-H525)/ABS(H525),"-")</f>
        <v>-</v>
      </c>
      <c r="K525" s="8"/>
      <c r="L525" s="17">
        <f t="shared" ref="L525:L588" si="184">H525/$H$3</f>
        <v>0</v>
      </c>
      <c r="M525" s="17">
        <f t="shared" ref="M525:M588" si="185">I525/$I$3</f>
        <v>0</v>
      </c>
      <c r="N525" s="12">
        <f t="shared" ref="N525:N588" si="186">M525-L525</f>
        <v>0</v>
      </c>
      <c r="O525" s="5"/>
      <c r="P525" s="27" t="b">
        <f>IF($G525&lt;&gt;0,SUMIF(куб!$G:$G,$G525,куб!J:J),IF($E525&lt;&gt;0,SUMIF(куб!$E:$E,$E525,куб!J:J),IF($D525&lt;&gt;0,SUMIF(куб!$D:$D,$D525,куб!J:J),IF($C525&lt;&gt;0,SUMIF(куб!$C:$C,$C525,куб!J:J),IF($B525&lt;&gt;0,SUMIF(куб!$B:$B,$B525,куб!J:J))))))</f>
        <v>0</v>
      </c>
      <c r="Q525" s="27" t="b">
        <f>IF($G525&lt;&gt;0,SUMIF(куб!$G:$G,$G525,куб!K:K),IF($E525&lt;&gt;0,SUMIF(куб!$E:$E,$E525,куб!K:K),IF($D525&lt;&gt;0,SUMIF(куб!$D:$D,$D525,куб!K:K),IF($C525&lt;&gt;0,SUMIF(куб!$C:$C,$C525,куб!K:K),IF($B525&lt;&gt;0,SUMIF(куб!$B:$B,$B525,куб!K:K))))))</f>
        <v>0</v>
      </c>
      <c r="R525" s="13" t="str">
        <f t="shared" ref="R525:R588" si="187">IFERROR((Q525-P525)/ABS(P525),"-")</f>
        <v>-</v>
      </c>
      <c r="S525" s="5"/>
      <c r="T525" s="27" t="b">
        <f>IF($G525&lt;&gt;0,SUMIF(куб!$G:$G,$G525,куб!L:L),IF($E525&lt;&gt;0,SUMIF(куб!$E:$E,$E525,куб!L:L),IF($D525&lt;&gt;0,SUMIF(куб!$D:$D,$D525,куб!L:L),IF($C525&lt;&gt;0,SUMIF(куб!$C:$C,$C525,куб!L:L),IF($B525&lt;&gt;0,SUMIF(куб!$B:$B,$B525,куб!L:L))))))</f>
        <v>0</v>
      </c>
      <c r="U525" s="27" t="b">
        <f>IF($G525&lt;&gt;0,SUMIF(куб!$G:$G,$G525,куб!M:M),IF($E525&lt;&gt;0,SUMIF(куб!$E:$E,$E525,куб!M:M),IF($D525&lt;&gt;0,SUMIF(куб!$D:$D,$D525,куб!M:M),IF($C525&lt;&gt;0,SUMIF(куб!$C:$C,$C525,куб!M:M),IF($B525&lt;&gt;0,SUMIF(куб!$B:$B,$B525,куб!M:M))))))</f>
        <v>0</v>
      </c>
      <c r="V525" s="13" t="str">
        <f t="shared" ref="V525:V588" si="188">IFERROR((U525-T525)/ABS(T525),"-")</f>
        <v>-</v>
      </c>
      <c r="W525" s="5"/>
      <c r="X525" s="27" t="b">
        <f>IF($G525&lt;&gt;0,SUMIF(куб!$G:$G,$G525,куб!N:N),IF($E525&lt;&gt;0,SUMIF(куб!$E:$E,$E525,куб!N:N),IF($D525&lt;&gt;0,SUMIF(куб!$D:$D,$D525,куб!N:N),IF($C525&lt;&gt;0,SUMIF(куб!$C:$C,$C525,куб!N:N),IF($B525&lt;&gt;0,SUMIF(куб!$B:$B,$B525,куб!N:N))))))</f>
        <v>0</v>
      </c>
      <c r="Y525" s="27" t="b">
        <f>IF($G525&lt;&gt;0,SUMIF(куб!$G:$G,$G525,куб!O:O),IF($E525&lt;&gt;0,SUMIF(куб!$E:$E,$E525,куб!O:O),IF($D525&lt;&gt;0,SUMIF(куб!$D:$D,$D525,куб!O:O),IF($C525&lt;&gt;0,SUMIF(куб!$C:$C,$C525,куб!O:O),IF($B525&lt;&gt;0,SUMIF(куб!$B:$B,$B525,куб!O:O))))))</f>
        <v>0</v>
      </c>
      <c r="Z525" s="13" t="str">
        <f t="shared" ref="Z525:Z588" si="189">IFERROR((Y525-X525)/ABS(X525),"-")</f>
        <v>-</v>
      </c>
      <c r="AA525" s="5"/>
      <c r="AB525" s="33" t="str">
        <f t="shared" ref="AB525:AB588" si="190">IFERROR(X525/H525,"")</f>
        <v/>
      </c>
      <c r="AC525" s="33" t="str">
        <f t="shared" ref="AC525:AC588" si="191">IFERROR(Y525/I525,"")</f>
        <v/>
      </c>
      <c r="AD525" s="15" t="str">
        <f t="shared" ref="AD525:AD588" si="192">IFERROR(AC525-AB525," ")</f>
        <v xml:space="preserve"> </v>
      </c>
      <c r="AE525" s="5"/>
      <c r="AF525" s="27" t="b">
        <f>IF($G525&lt;&gt;0,SUMIF(куб!$G:$G,$G525,куб!R:R),IF($E525&lt;&gt;0,SUMIF(куб!$E:$E,$E525,куб!R:R),IF($D525&lt;&gt;0,SUMIF(куб!$D:$D,$D525,куб!R:R),IF($C525&lt;&gt;0,SUMIF(куб!$C:$C,$C525,куб!R:R),IF($B525&lt;&gt;0,SUMIF(куб!$B:$B,$B525,куб!R:R))))))</f>
        <v>0</v>
      </c>
      <c r="AG525" s="27" t="b">
        <f>IF($G525&lt;&gt;0,SUMIF(куб!$G:$G,$G525,куб!S:S),IF($E525&lt;&gt;0,SUMIF(куб!$E:$E,$E525,куб!S:S),IF($D525&lt;&gt;0,SUMIF(куб!$D:$D,$D525,куб!S:S),IF($C525&lt;&gt;0,SUMIF(куб!$C:$C,$C525,куб!S:S),IF($B525&lt;&gt;0,SUMIF(куб!$B:$B,$B525,куб!S:S))))))</f>
        <v>0</v>
      </c>
      <c r="AH525" s="16" t="str">
        <f t="shared" ref="AH525:AH588" si="193">IFERROR((AG525-AF525)/ABS(AF525),"-")</f>
        <v>-</v>
      </c>
      <c r="AI525" s="8"/>
      <c r="AJ525" s="27" t="b">
        <f>IF($G525&lt;&gt;0,SUMIF(куб!$G:$G,$G525,куб!T:T),IF($E525&lt;&gt;0,SUMIF(куб!$E:$E,$E525,куб!T:T),IF($D525&lt;&gt;0,SUMIF(куб!$D:$D,$D525,куб!T:T),IF($C525&lt;&gt;0,SUMIF(куб!$C:$C,$C525,куб!T:T),IF($B525&lt;&gt;0,SUMIF(куб!$B:$B,$B525,куб!T:T))))))</f>
        <v>0</v>
      </c>
      <c r="AK525" s="27" t="b">
        <f>IF($G525&lt;&gt;0,SUMIF(куб!$G:$G,$G525,куб!U:U),IF($E525&lt;&gt;0,SUMIF(куб!$E:$E,$E525,куб!U:U),IF($D525&lt;&gt;0,SUMIF(куб!$D:$D,$D525,куб!U:U),IF($C525&lt;&gt;0,SUMIF(куб!$C:$C,$C525,куб!U:U),IF($B525&lt;&gt;0,SUMIF(куб!$B:$B,$B525,куб!U:U))))))</f>
        <v>0</v>
      </c>
      <c r="AL525" s="16" t="str">
        <f t="shared" ref="AL525:AL588" si="194">IFERROR((AK525-AJ525)/ABS(AJ525),"-")</f>
        <v>-</v>
      </c>
      <c r="AM525" s="8"/>
      <c r="AN525" s="17" t="str">
        <f t="shared" ref="AN525:AN588" si="195">IFERROR(AF525/H525," ")</f>
        <v xml:space="preserve"> </v>
      </c>
      <c r="AO525" s="17" t="str">
        <f t="shared" ref="AO525:AO588" si="196">IFERROR(AG525/I525," ")</f>
        <v xml:space="preserve"> </v>
      </c>
      <c r="AP525" s="16" t="str">
        <f t="shared" ref="AP525:AP588" si="197">IFERROR(AO525-AN525,"-")</f>
        <v>-</v>
      </c>
      <c r="AQ525" s="8"/>
      <c r="AR525" s="17" t="str">
        <f t="shared" ref="AR525:AR588" si="198">IFERROR((X525-AF525)/H525,"-")</f>
        <v>-</v>
      </c>
      <c r="AS525" s="17" t="str">
        <f t="shared" ref="AS525:AS588" si="199">IFERROR((Y525-AG525)/I525,"-")</f>
        <v>-</v>
      </c>
      <c r="AT525" s="13" t="str">
        <f t="shared" ref="AT525:AT588" si="200">IFERROR(AS525-AR525,"-")</f>
        <v>-</v>
      </c>
      <c r="AU525" s="8"/>
    </row>
    <row r="526" spans="1:47" x14ac:dyDescent="0.25">
      <c r="A526" s="31"/>
      <c r="B526" s="31"/>
      <c r="C526"/>
      <c r="D526" s="31"/>
      <c r="E526"/>
      <c r="F526" s="31"/>
      <c r="G526"/>
      <c r="H526" s="27">
        <f>IF($G526&lt;&gt;0,SUMIF(куб!$G:$G,$G526,куб!H:H),IF($E526&lt;&gt;0,SUMIF(куб!$E:$E,$E526,куб!H:H),IF($D526&lt;&gt;0,SUMIF(куб!$D:$D,$D526,куб!H:H),IF($C526&lt;&gt;0,SUMIF(куб!$C:$C,$C526,куб!H:H),IF($B526&lt;&gt;0,SUMIF(куб!$B:$B,$B526,куб!H:H),IF($G526&lt;&gt;0,SUMIF(куб!$A:$A,$G526,куб!H:H),SUMIF(куб!$A:$A,$G526,куб!H:H)))))))</f>
        <v>0</v>
      </c>
      <c r="I526" s="27">
        <f>IF($G526&lt;&gt;0,SUMIF(куб!$G:$G,$G526,куб!I:I),IF($E526&lt;&gt;0,SUMIF(куб!$E:$E,$E526,куб!I:I),IF($D526&lt;&gt;0,SUMIF(куб!$D:$D,$D526,куб!I:I),IF($C526&lt;&gt;0,SUMIF(куб!$C:$C,$C526,куб!I:I),IF($B526&lt;&gt;0,SUMIF(куб!$B:$B,$B526,куб!I:I),IF($G526&lt;&gt;0,SUMIF(куб!$A:$A,$G526,куб!I:I),SUMIF(куб!$A:$A,$G526,куб!I:I)))))))</f>
        <v>0</v>
      </c>
      <c r="J526" s="19" t="str">
        <f t="shared" si="183"/>
        <v>-</v>
      </c>
      <c r="K526" s="8"/>
      <c r="L526" s="17">
        <f t="shared" si="184"/>
        <v>0</v>
      </c>
      <c r="M526" s="17">
        <f t="shared" si="185"/>
        <v>0</v>
      </c>
      <c r="N526" s="12">
        <f t="shared" si="186"/>
        <v>0</v>
      </c>
      <c r="O526" s="5"/>
      <c r="P526" s="27" t="b">
        <f>IF($G526&lt;&gt;0,SUMIF(куб!$G:$G,$G526,куб!J:J),IF($E526&lt;&gt;0,SUMIF(куб!$E:$E,$E526,куб!J:J),IF($D526&lt;&gt;0,SUMIF(куб!$D:$D,$D526,куб!J:J),IF($C526&lt;&gt;0,SUMIF(куб!$C:$C,$C526,куб!J:J),IF($B526&lt;&gt;0,SUMIF(куб!$B:$B,$B526,куб!J:J))))))</f>
        <v>0</v>
      </c>
      <c r="Q526" s="27" t="b">
        <f>IF($G526&lt;&gt;0,SUMIF(куб!$G:$G,$G526,куб!K:K),IF($E526&lt;&gt;0,SUMIF(куб!$E:$E,$E526,куб!K:K),IF($D526&lt;&gt;0,SUMIF(куб!$D:$D,$D526,куб!K:K),IF($C526&lt;&gt;0,SUMIF(куб!$C:$C,$C526,куб!K:K),IF($B526&lt;&gt;0,SUMIF(куб!$B:$B,$B526,куб!K:K))))))</f>
        <v>0</v>
      </c>
      <c r="R526" s="13" t="str">
        <f t="shared" si="187"/>
        <v>-</v>
      </c>
      <c r="S526" s="5"/>
      <c r="T526" s="27" t="b">
        <f>IF($G526&lt;&gt;0,SUMIF(куб!$G:$G,$G526,куб!L:L),IF($E526&lt;&gt;0,SUMIF(куб!$E:$E,$E526,куб!L:L),IF($D526&lt;&gt;0,SUMIF(куб!$D:$D,$D526,куб!L:L),IF($C526&lt;&gt;0,SUMIF(куб!$C:$C,$C526,куб!L:L),IF($B526&lt;&gt;0,SUMIF(куб!$B:$B,$B526,куб!L:L))))))</f>
        <v>0</v>
      </c>
      <c r="U526" s="27" t="b">
        <f>IF($G526&lt;&gt;0,SUMIF(куб!$G:$G,$G526,куб!M:M),IF($E526&lt;&gt;0,SUMIF(куб!$E:$E,$E526,куб!M:M),IF($D526&lt;&gt;0,SUMIF(куб!$D:$D,$D526,куб!M:M),IF($C526&lt;&gt;0,SUMIF(куб!$C:$C,$C526,куб!M:M),IF($B526&lt;&gt;0,SUMIF(куб!$B:$B,$B526,куб!M:M))))))</f>
        <v>0</v>
      </c>
      <c r="V526" s="13" t="str">
        <f t="shared" si="188"/>
        <v>-</v>
      </c>
      <c r="W526" s="5"/>
      <c r="X526" s="27" t="b">
        <f>IF($G526&lt;&gt;0,SUMIF(куб!$G:$G,$G526,куб!N:N),IF($E526&lt;&gt;0,SUMIF(куб!$E:$E,$E526,куб!N:N),IF($D526&lt;&gt;0,SUMIF(куб!$D:$D,$D526,куб!N:N),IF($C526&lt;&gt;0,SUMIF(куб!$C:$C,$C526,куб!N:N),IF($B526&lt;&gt;0,SUMIF(куб!$B:$B,$B526,куб!N:N))))))</f>
        <v>0</v>
      </c>
      <c r="Y526" s="27" t="b">
        <f>IF($G526&lt;&gt;0,SUMIF(куб!$G:$G,$G526,куб!O:O),IF($E526&lt;&gt;0,SUMIF(куб!$E:$E,$E526,куб!O:O),IF($D526&lt;&gt;0,SUMIF(куб!$D:$D,$D526,куб!O:O),IF($C526&lt;&gt;0,SUMIF(куб!$C:$C,$C526,куб!O:O),IF($B526&lt;&gt;0,SUMIF(куб!$B:$B,$B526,куб!O:O))))))</f>
        <v>0</v>
      </c>
      <c r="Z526" s="13" t="str">
        <f t="shared" si="189"/>
        <v>-</v>
      </c>
      <c r="AA526" s="5"/>
      <c r="AB526" s="33" t="str">
        <f t="shared" si="190"/>
        <v/>
      </c>
      <c r="AC526" s="33" t="str">
        <f t="shared" si="191"/>
        <v/>
      </c>
      <c r="AD526" s="15" t="str">
        <f t="shared" si="192"/>
        <v xml:space="preserve"> </v>
      </c>
      <c r="AE526" s="5"/>
      <c r="AF526" s="27" t="b">
        <f>IF($G526&lt;&gt;0,SUMIF(куб!$G:$G,$G526,куб!R:R),IF($E526&lt;&gt;0,SUMIF(куб!$E:$E,$E526,куб!R:R),IF($D526&lt;&gt;0,SUMIF(куб!$D:$D,$D526,куб!R:R),IF($C526&lt;&gt;0,SUMIF(куб!$C:$C,$C526,куб!R:R),IF($B526&lt;&gt;0,SUMIF(куб!$B:$B,$B526,куб!R:R))))))</f>
        <v>0</v>
      </c>
      <c r="AG526" s="27" t="b">
        <f>IF($G526&lt;&gt;0,SUMIF(куб!$G:$G,$G526,куб!S:S),IF($E526&lt;&gt;0,SUMIF(куб!$E:$E,$E526,куб!S:S),IF($D526&lt;&gt;0,SUMIF(куб!$D:$D,$D526,куб!S:S),IF($C526&lt;&gt;0,SUMIF(куб!$C:$C,$C526,куб!S:S),IF($B526&lt;&gt;0,SUMIF(куб!$B:$B,$B526,куб!S:S))))))</f>
        <v>0</v>
      </c>
      <c r="AH526" s="16" t="str">
        <f t="shared" si="193"/>
        <v>-</v>
      </c>
      <c r="AI526" s="8"/>
      <c r="AJ526" s="27" t="b">
        <f>IF($G526&lt;&gt;0,SUMIF(куб!$G:$G,$G526,куб!T:T),IF($E526&lt;&gt;0,SUMIF(куб!$E:$E,$E526,куб!T:T),IF($D526&lt;&gt;0,SUMIF(куб!$D:$D,$D526,куб!T:T),IF($C526&lt;&gt;0,SUMIF(куб!$C:$C,$C526,куб!T:T),IF($B526&lt;&gt;0,SUMIF(куб!$B:$B,$B526,куб!T:T))))))</f>
        <v>0</v>
      </c>
      <c r="AK526" s="27" t="b">
        <f>IF($G526&lt;&gt;0,SUMIF(куб!$G:$G,$G526,куб!U:U),IF($E526&lt;&gt;0,SUMIF(куб!$E:$E,$E526,куб!U:U),IF($D526&lt;&gt;0,SUMIF(куб!$D:$D,$D526,куб!U:U),IF($C526&lt;&gt;0,SUMIF(куб!$C:$C,$C526,куб!U:U),IF($B526&lt;&gt;0,SUMIF(куб!$B:$B,$B526,куб!U:U))))))</f>
        <v>0</v>
      </c>
      <c r="AL526" s="16" t="str">
        <f t="shared" si="194"/>
        <v>-</v>
      </c>
      <c r="AM526" s="8"/>
      <c r="AN526" s="17" t="str">
        <f t="shared" si="195"/>
        <v xml:space="preserve"> </v>
      </c>
      <c r="AO526" s="17" t="str">
        <f t="shared" si="196"/>
        <v xml:space="preserve"> </v>
      </c>
      <c r="AP526" s="16" t="str">
        <f t="shared" si="197"/>
        <v>-</v>
      </c>
      <c r="AQ526" s="8"/>
      <c r="AR526" s="17" t="str">
        <f t="shared" si="198"/>
        <v>-</v>
      </c>
      <c r="AS526" s="17" t="str">
        <f t="shared" si="199"/>
        <v>-</v>
      </c>
      <c r="AT526" s="13" t="str">
        <f t="shared" si="200"/>
        <v>-</v>
      </c>
      <c r="AU526" s="8"/>
    </row>
    <row r="527" spans="1:47" x14ac:dyDescent="0.25">
      <c r="A527" s="31"/>
      <c r="B527" s="31"/>
      <c r="C527"/>
      <c r="D527" s="31"/>
      <c r="E527"/>
      <c r="F527" s="31"/>
      <c r="G527"/>
      <c r="H527" s="27">
        <f>IF($G527&lt;&gt;0,SUMIF(куб!$G:$G,$G527,куб!H:H),IF($E527&lt;&gt;0,SUMIF(куб!$E:$E,$E527,куб!H:H),IF($D527&lt;&gt;0,SUMIF(куб!$D:$D,$D527,куб!H:H),IF($C527&lt;&gt;0,SUMIF(куб!$C:$C,$C527,куб!H:H),IF($B527&lt;&gt;0,SUMIF(куб!$B:$B,$B527,куб!H:H),IF($G527&lt;&gt;0,SUMIF(куб!$A:$A,$G527,куб!H:H),SUMIF(куб!$A:$A,$G527,куб!H:H)))))))</f>
        <v>0</v>
      </c>
      <c r="I527" s="27">
        <f>IF($G527&lt;&gt;0,SUMIF(куб!$G:$G,$G527,куб!I:I),IF($E527&lt;&gt;0,SUMIF(куб!$E:$E,$E527,куб!I:I),IF($D527&lt;&gt;0,SUMIF(куб!$D:$D,$D527,куб!I:I),IF($C527&lt;&gt;0,SUMIF(куб!$C:$C,$C527,куб!I:I),IF($B527&lt;&gt;0,SUMIF(куб!$B:$B,$B527,куб!I:I),IF($G527&lt;&gt;0,SUMIF(куб!$A:$A,$G527,куб!I:I),SUMIF(куб!$A:$A,$G527,куб!I:I)))))))</f>
        <v>0</v>
      </c>
      <c r="J527" s="19" t="str">
        <f t="shared" si="183"/>
        <v>-</v>
      </c>
      <c r="K527" s="8"/>
      <c r="L527" s="17">
        <f t="shared" si="184"/>
        <v>0</v>
      </c>
      <c r="M527" s="17">
        <f t="shared" si="185"/>
        <v>0</v>
      </c>
      <c r="N527" s="12">
        <f t="shared" si="186"/>
        <v>0</v>
      </c>
      <c r="O527" s="5"/>
      <c r="P527" s="27" t="b">
        <f>IF($G527&lt;&gt;0,SUMIF(куб!$G:$G,$G527,куб!J:J),IF($E527&lt;&gt;0,SUMIF(куб!$E:$E,$E527,куб!J:J),IF($D527&lt;&gt;0,SUMIF(куб!$D:$D,$D527,куб!J:J),IF($C527&lt;&gt;0,SUMIF(куб!$C:$C,$C527,куб!J:J),IF($B527&lt;&gt;0,SUMIF(куб!$B:$B,$B527,куб!J:J))))))</f>
        <v>0</v>
      </c>
      <c r="Q527" s="27" t="b">
        <f>IF($G527&lt;&gt;0,SUMIF(куб!$G:$G,$G527,куб!K:K),IF($E527&lt;&gt;0,SUMIF(куб!$E:$E,$E527,куб!K:K),IF($D527&lt;&gt;0,SUMIF(куб!$D:$D,$D527,куб!K:K),IF($C527&lt;&gt;0,SUMIF(куб!$C:$C,$C527,куб!K:K),IF($B527&lt;&gt;0,SUMIF(куб!$B:$B,$B527,куб!K:K))))))</f>
        <v>0</v>
      </c>
      <c r="R527" s="13" t="str">
        <f t="shared" si="187"/>
        <v>-</v>
      </c>
      <c r="S527" s="5"/>
      <c r="T527" s="27" t="b">
        <f>IF($G527&lt;&gt;0,SUMIF(куб!$G:$G,$G527,куб!L:L),IF($E527&lt;&gt;0,SUMIF(куб!$E:$E,$E527,куб!L:L),IF($D527&lt;&gt;0,SUMIF(куб!$D:$D,$D527,куб!L:L),IF($C527&lt;&gt;0,SUMIF(куб!$C:$C,$C527,куб!L:L),IF($B527&lt;&gt;0,SUMIF(куб!$B:$B,$B527,куб!L:L))))))</f>
        <v>0</v>
      </c>
      <c r="U527" s="27" t="b">
        <f>IF($G527&lt;&gt;0,SUMIF(куб!$G:$G,$G527,куб!M:M),IF($E527&lt;&gt;0,SUMIF(куб!$E:$E,$E527,куб!M:M),IF($D527&lt;&gt;0,SUMIF(куб!$D:$D,$D527,куб!M:M),IF($C527&lt;&gt;0,SUMIF(куб!$C:$C,$C527,куб!M:M),IF($B527&lt;&gt;0,SUMIF(куб!$B:$B,$B527,куб!M:M))))))</f>
        <v>0</v>
      </c>
      <c r="V527" s="13" t="str">
        <f t="shared" si="188"/>
        <v>-</v>
      </c>
      <c r="W527" s="5"/>
      <c r="X527" s="27" t="b">
        <f>IF($G527&lt;&gt;0,SUMIF(куб!$G:$G,$G527,куб!N:N),IF($E527&lt;&gt;0,SUMIF(куб!$E:$E,$E527,куб!N:N),IF($D527&lt;&gt;0,SUMIF(куб!$D:$D,$D527,куб!N:N),IF($C527&lt;&gt;0,SUMIF(куб!$C:$C,$C527,куб!N:N),IF($B527&lt;&gt;0,SUMIF(куб!$B:$B,$B527,куб!N:N))))))</f>
        <v>0</v>
      </c>
      <c r="Y527" s="27" t="b">
        <f>IF($G527&lt;&gt;0,SUMIF(куб!$G:$G,$G527,куб!O:O),IF($E527&lt;&gt;0,SUMIF(куб!$E:$E,$E527,куб!O:O),IF($D527&lt;&gt;0,SUMIF(куб!$D:$D,$D527,куб!O:O),IF($C527&lt;&gt;0,SUMIF(куб!$C:$C,$C527,куб!O:O),IF($B527&lt;&gt;0,SUMIF(куб!$B:$B,$B527,куб!O:O))))))</f>
        <v>0</v>
      </c>
      <c r="Z527" s="13" t="str">
        <f t="shared" si="189"/>
        <v>-</v>
      </c>
      <c r="AA527" s="5"/>
      <c r="AB527" s="33" t="str">
        <f t="shared" si="190"/>
        <v/>
      </c>
      <c r="AC527" s="33" t="str">
        <f t="shared" si="191"/>
        <v/>
      </c>
      <c r="AD527" s="15" t="str">
        <f t="shared" si="192"/>
        <v xml:space="preserve"> </v>
      </c>
      <c r="AE527" s="5"/>
      <c r="AF527" s="27" t="b">
        <f>IF($G527&lt;&gt;0,SUMIF(куб!$G:$G,$G527,куб!R:R),IF($E527&lt;&gt;0,SUMIF(куб!$E:$E,$E527,куб!R:R),IF($D527&lt;&gt;0,SUMIF(куб!$D:$D,$D527,куб!R:R),IF($C527&lt;&gt;0,SUMIF(куб!$C:$C,$C527,куб!R:R),IF($B527&lt;&gt;0,SUMIF(куб!$B:$B,$B527,куб!R:R))))))</f>
        <v>0</v>
      </c>
      <c r="AG527" s="27" t="b">
        <f>IF($G527&lt;&gt;0,SUMIF(куб!$G:$G,$G527,куб!S:S),IF($E527&lt;&gt;0,SUMIF(куб!$E:$E,$E527,куб!S:S),IF($D527&lt;&gt;0,SUMIF(куб!$D:$D,$D527,куб!S:S),IF($C527&lt;&gt;0,SUMIF(куб!$C:$C,$C527,куб!S:S),IF($B527&lt;&gt;0,SUMIF(куб!$B:$B,$B527,куб!S:S))))))</f>
        <v>0</v>
      </c>
      <c r="AH527" s="16" t="str">
        <f t="shared" si="193"/>
        <v>-</v>
      </c>
      <c r="AI527" s="8"/>
      <c r="AJ527" s="27" t="b">
        <f>IF($G527&lt;&gt;0,SUMIF(куб!$G:$G,$G527,куб!T:T),IF($E527&lt;&gt;0,SUMIF(куб!$E:$E,$E527,куб!T:T),IF($D527&lt;&gt;0,SUMIF(куб!$D:$D,$D527,куб!T:T),IF($C527&lt;&gt;0,SUMIF(куб!$C:$C,$C527,куб!T:T),IF($B527&lt;&gt;0,SUMIF(куб!$B:$B,$B527,куб!T:T))))))</f>
        <v>0</v>
      </c>
      <c r="AK527" s="27" t="b">
        <f>IF($G527&lt;&gt;0,SUMIF(куб!$G:$G,$G527,куб!U:U),IF($E527&lt;&gt;0,SUMIF(куб!$E:$E,$E527,куб!U:U),IF($D527&lt;&gt;0,SUMIF(куб!$D:$D,$D527,куб!U:U),IF($C527&lt;&gt;0,SUMIF(куб!$C:$C,$C527,куб!U:U),IF($B527&lt;&gt;0,SUMIF(куб!$B:$B,$B527,куб!U:U))))))</f>
        <v>0</v>
      </c>
      <c r="AL527" s="16" t="str">
        <f t="shared" si="194"/>
        <v>-</v>
      </c>
      <c r="AM527" s="8"/>
      <c r="AN527" s="17" t="str">
        <f t="shared" si="195"/>
        <v xml:space="preserve"> </v>
      </c>
      <c r="AO527" s="17" t="str">
        <f t="shared" si="196"/>
        <v xml:space="preserve"> </v>
      </c>
      <c r="AP527" s="16" t="str">
        <f t="shared" si="197"/>
        <v>-</v>
      </c>
      <c r="AQ527" s="8"/>
      <c r="AR527" s="17" t="str">
        <f t="shared" si="198"/>
        <v>-</v>
      </c>
      <c r="AS527" s="17" t="str">
        <f t="shared" si="199"/>
        <v>-</v>
      </c>
      <c r="AT527" s="13" t="str">
        <f t="shared" si="200"/>
        <v>-</v>
      </c>
      <c r="AU527" s="8"/>
    </row>
    <row r="528" spans="1:47" x14ac:dyDescent="0.25">
      <c r="A528" s="31"/>
      <c r="B528" s="31"/>
      <c r="C528"/>
      <c r="D528" s="31"/>
      <c r="E528"/>
      <c r="F528" s="31"/>
      <c r="G528"/>
      <c r="H528" s="27">
        <f>IF($G528&lt;&gt;0,SUMIF(куб!$G:$G,$G528,куб!H:H),IF($E528&lt;&gt;0,SUMIF(куб!$E:$E,$E528,куб!H:H),IF($D528&lt;&gt;0,SUMIF(куб!$D:$D,$D528,куб!H:H),IF($C528&lt;&gt;0,SUMIF(куб!$C:$C,$C528,куб!H:H),IF($B528&lt;&gt;0,SUMIF(куб!$B:$B,$B528,куб!H:H),IF($G528&lt;&gt;0,SUMIF(куб!$A:$A,$G528,куб!H:H),SUMIF(куб!$A:$A,$G528,куб!H:H)))))))</f>
        <v>0</v>
      </c>
      <c r="I528" s="27">
        <f>IF($G528&lt;&gt;0,SUMIF(куб!$G:$G,$G528,куб!I:I),IF($E528&lt;&gt;0,SUMIF(куб!$E:$E,$E528,куб!I:I),IF($D528&lt;&gt;0,SUMIF(куб!$D:$D,$D528,куб!I:I),IF($C528&lt;&gt;0,SUMIF(куб!$C:$C,$C528,куб!I:I),IF($B528&lt;&gt;0,SUMIF(куб!$B:$B,$B528,куб!I:I),IF($G528&lt;&gt;0,SUMIF(куб!$A:$A,$G528,куб!I:I),SUMIF(куб!$A:$A,$G528,куб!I:I)))))))</f>
        <v>0</v>
      </c>
      <c r="J528" s="19" t="str">
        <f t="shared" si="183"/>
        <v>-</v>
      </c>
      <c r="K528" s="8"/>
      <c r="L528" s="17">
        <f t="shared" si="184"/>
        <v>0</v>
      </c>
      <c r="M528" s="17">
        <f t="shared" si="185"/>
        <v>0</v>
      </c>
      <c r="N528" s="12">
        <f t="shared" si="186"/>
        <v>0</v>
      </c>
      <c r="O528" s="5"/>
      <c r="P528" s="27" t="b">
        <f>IF($G528&lt;&gt;0,SUMIF(куб!$G:$G,$G528,куб!J:J),IF($E528&lt;&gt;0,SUMIF(куб!$E:$E,$E528,куб!J:J),IF($D528&lt;&gt;0,SUMIF(куб!$D:$D,$D528,куб!J:J),IF($C528&lt;&gt;0,SUMIF(куб!$C:$C,$C528,куб!J:J),IF($B528&lt;&gt;0,SUMIF(куб!$B:$B,$B528,куб!J:J))))))</f>
        <v>0</v>
      </c>
      <c r="Q528" s="27" t="b">
        <f>IF($G528&lt;&gt;0,SUMIF(куб!$G:$G,$G528,куб!K:K),IF($E528&lt;&gt;0,SUMIF(куб!$E:$E,$E528,куб!K:K),IF($D528&lt;&gt;0,SUMIF(куб!$D:$D,$D528,куб!K:K),IF($C528&lt;&gt;0,SUMIF(куб!$C:$C,$C528,куб!K:K),IF($B528&lt;&gt;0,SUMIF(куб!$B:$B,$B528,куб!K:K))))))</f>
        <v>0</v>
      </c>
      <c r="R528" s="13" t="str">
        <f t="shared" si="187"/>
        <v>-</v>
      </c>
      <c r="S528" s="5"/>
      <c r="T528" s="27" t="b">
        <f>IF($G528&lt;&gt;0,SUMIF(куб!$G:$G,$G528,куб!L:L),IF($E528&lt;&gt;0,SUMIF(куб!$E:$E,$E528,куб!L:L),IF($D528&lt;&gt;0,SUMIF(куб!$D:$D,$D528,куб!L:L),IF($C528&lt;&gt;0,SUMIF(куб!$C:$C,$C528,куб!L:L),IF($B528&lt;&gt;0,SUMIF(куб!$B:$B,$B528,куб!L:L))))))</f>
        <v>0</v>
      </c>
      <c r="U528" s="27" t="b">
        <f>IF($G528&lt;&gt;0,SUMIF(куб!$G:$G,$G528,куб!M:M),IF($E528&lt;&gt;0,SUMIF(куб!$E:$E,$E528,куб!M:M),IF($D528&lt;&gt;0,SUMIF(куб!$D:$D,$D528,куб!M:M),IF($C528&lt;&gt;0,SUMIF(куб!$C:$C,$C528,куб!M:M),IF($B528&lt;&gt;0,SUMIF(куб!$B:$B,$B528,куб!M:M))))))</f>
        <v>0</v>
      </c>
      <c r="V528" s="13" t="str">
        <f t="shared" si="188"/>
        <v>-</v>
      </c>
      <c r="W528" s="5"/>
      <c r="X528" s="27" t="b">
        <f>IF($G528&lt;&gt;0,SUMIF(куб!$G:$G,$G528,куб!N:N),IF($E528&lt;&gt;0,SUMIF(куб!$E:$E,$E528,куб!N:N),IF($D528&lt;&gt;0,SUMIF(куб!$D:$D,$D528,куб!N:N),IF($C528&lt;&gt;0,SUMIF(куб!$C:$C,$C528,куб!N:N),IF($B528&lt;&gt;0,SUMIF(куб!$B:$B,$B528,куб!N:N))))))</f>
        <v>0</v>
      </c>
      <c r="Y528" s="27" t="b">
        <f>IF($G528&lt;&gt;0,SUMIF(куб!$G:$G,$G528,куб!O:O),IF($E528&lt;&gt;0,SUMIF(куб!$E:$E,$E528,куб!O:O),IF($D528&lt;&gt;0,SUMIF(куб!$D:$D,$D528,куб!O:O),IF($C528&lt;&gt;0,SUMIF(куб!$C:$C,$C528,куб!O:O),IF($B528&lt;&gt;0,SUMIF(куб!$B:$B,$B528,куб!O:O))))))</f>
        <v>0</v>
      </c>
      <c r="Z528" s="13" t="str">
        <f t="shared" si="189"/>
        <v>-</v>
      </c>
      <c r="AA528" s="5"/>
      <c r="AB528" s="33" t="str">
        <f t="shared" si="190"/>
        <v/>
      </c>
      <c r="AC528" s="33" t="str">
        <f t="shared" si="191"/>
        <v/>
      </c>
      <c r="AD528" s="15" t="str">
        <f t="shared" si="192"/>
        <v xml:space="preserve"> </v>
      </c>
      <c r="AE528" s="5"/>
      <c r="AF528" s="27" t="b">
        <f>IF($G528&lt;&gt;0,SUMIF(куб!$G:$G,$G528,куб!R:R),IF($E528&lt;&gt;0,SUMIF(куб!$E:$E,$E528,куб!R:R),IF($D528&lt;&gt;0,SUMIF(куб!$D:$D,$D528,куб!R:R),IF($C528&lt;&gt;0,SUMIF(куб!$C:$C,$C528,куб!R:R),IF($B528&lt;&gt;0,SUMIF(куб!$B:$B,$B528,куб!R:R))))))</f>
        <v>0</v>
      </c>
      <c r="AG528" s="27" t="b">
        <f>IF($G528&lt;&gt;0,SUMIF(куб!$G:$G,$G528,куб!S:S),IF($E528&lt;&gt;0,SUMIF(куб!$E:$E,$E528,куб!S:S),IF($D528&lt;&gt;0,SUMIF(куб!$D:$D,$D528,куб!S:S),IF($C528&lt;&gt;0,SUMIF(куб!$C:$C,$C528,куб!S:S),IF($B528&lt;&gt;0,SUMIF(куб!$B:$B,$B528,куб!S:S))))))</f>
        <v>0</v>
      </c>
      <c r="AH528" s="16" t="str">
        <f t="shared" si="193"/>
        <v>-</v>
      </c>
      <c r="AI528" s="8"/>
      <c r="AJ528" s="27" t="b">
        <f>IF($G528&lt;&gt;0,SUMIF(куб!$G:$G,$G528,куб!T:T),IF($E528&lt;&gt;0,SUMIF(куб!$E:$E,$E528,куб!T:T),IF($D528&lt;&gt;0,SUMIF(куб!$D:$D,$D528,куб!T:T),IF($C528&lt;&gt;0,SUMIF(куб!$C:$C,$C528,куб!T:T),IF($B528&lt;&gt;0,SUMIF(куб!$B:$B,$B528,куб!T:T))))))</f>
        <v>0</v>
      </c>
      <c r="AK528" s="27" t="b">
        <f>IF($G528&lt;&gt;0,SUMIF(куб!$G:$G,$G528,куб!U:U),IF($E528&lt;&gt;0,SUMIF(куб!$E:$E,$E528,куб!U:U),IF($D528&lt;&gt;0,SUMIF(куб!$D:$D,$D528,куб!U:U),IF($C528&lt;&gt;0,SUMIF(куб!$C:$C,$C528,куб!U:U),IF($B528&lt;&gt;0,SUMIF(куб!$B:$B,$B528,куб!U:U))))))</f>
        <v>0</v>
      </c>
      <c r="AL528" s="16" t="str">
        <f t="shared" si="194"/>
        <v>-</v>
      </c>
      <c r="AM528" s="8"/>
      <c r="AN528" s="17" t="str">
        <f t="shared" si="195"/>
        <v xml:space="preserve"> </v>
      </c>
      <c r="AO528" s="17" t="str">
        <f t="shared" si="196"/>
        <v xml:space="preserve"> </v>
      </c>
      <c r="AP528" s="16" t="str">
        <f t="shared" si="197"/>
        <v>-</v>
      </c>
      <c r="AQ528" s="8"/>
      <c r="AR528" s="17" t="str">
        <f t="shared" si="198"/>
        <v>-</v>
      </c>
      <c r="AS528" s="17" t="str">
        <f t="shared" si="199"/>
        <v>-</v>
      </c>
      <c r="AT528" s="13" t="str">
        <f t="shared" si="200"/>
        <v>-</v>
      </c>
      <c r="AU528" s="8"/>
    </row>
    <row r="529" spans="1:47" x14ac:dyDescent="0.25">
      <c r="A529" s="31"/>
      <c r="B529" s="31"/>
      <c r="C529"/>
      <c r="D529" s="31"/>
      <c r="E529"/>
      <c r="F529" s="31"/>
      <c r="G529"/>
      <c r="H529" s="27">
        <f>IF($G529&lt;&gt;0,SUMIF(куб!$G:$G,$G529,куб!H:H),IF($E529&lt;&gt;0,SUMIF(куб!$E:$E,$E529,куб!H:H),IF($D529&lt;&gt;0,SUMIF(куб!$D:$D,$D529,куб!H:H),IF($C529&lt;&gt;0,SUMIF(куб!$C:$C,$C529,куб!H:H),IF($B529&lt;&gt;0,SUMIF(куб!$B:$B,$B529,куб!H:H),IF($G529&lt;&gt;0,SUMIF(куб!$A:$A,$G529,куб!H:H),SUMIF(куб!$A:$A,$G529,куб!H:H)))))))</f>
        <v>0</v>
      </c>
      <c r="I529" s="27">
        <f>IF($G529&lt;&gt;0,SUMIF(куб!$G:$G,$G529,куб!I:I),IF($E529&lt;&gt;0,SUMIF(куб!$E:$E,$E529,куб!I:I),IF($D529&lt;&gt;0,SUMIF(куб!$D:$D,$D529,куб!I:I),IF($C529&lt;&gt;0,SUMIF(куб!$C:$C,$C529,куб!I:I),IF($B529&lt;&gt;0,SUMIF(куб!$B:$B,$B529,куб!I:I),IF($G529&lt;&gt;0,SUMIF(куб!$A:$A,$G529,куб!I:I),SUMIF(куб!$A:$A,$G529,куб!I:I)))))))</f>
        <v>0</v>
      </c>
      <c r="J529" s="19" t="str">
        <f t="shared" si="183"/>
        <v>-</v>
      </c>
      <c r="K529" s="8"/>
      <c r="L529" s="17">
        <f t="shared" si="184"/>
        <v>0</v>
      </c>
      <c r="M529" s="17">
        <f t="shared" si="185"/>
        <v>0</v>
      </c>
      <c r="N529" s="12">
        <f t="shared" si="186"/>
        <v>0</v>
      </c>
      <c r="O529" s="5"/>
      <c r="P529" s="27" t="b">
        <f>IF($G529&lt;&gt;0,SUMIF(куб!$G:$G,$G529,куб!J:J),IF($E529&lt;&gt;0,SUMIF(куб!$E:$E,$E529,куб!J:J),IF($D529&lt;&gt;0,SUMIF(куб!$D:$D,$D529,куб!J:J),IF($C529&lt;&gt;0,SUMIF(куб!$C:$C,$C529,куб!J:J),IF($B529&lt;&gt;0,SUMIF(куб!$B:$B,$B529,куб!J:J))))))</f>
        <v>0</v>
      </c>
      <c r="Q529" s="27" t="b">
        <f>IF($G529&lt;&gt;0,SUMIF(куб!$G:$G,$G529,куб!K:K),IF($E529&lt;&gt;0,SUMIF(куб!$E:$E,$E529,куб!K:K),IF($D529&lt;&gt;0,SUMIF(куб!$D:$D,$D529,куб!K:K),IF($C529&lt;&gt;0,SUMIF(куб!$C:$C,$C529,куб!K:K),IF($B529&lt;&gt;0,SUMIF(куб!$B:$B,$B529,куб!K:K))))))</f>
        <v>0</v>
      </c>
      <c r="R529" s="13" t="str">
        <f t="shared" si="187"/>
        <v>-</v>
      </c>
      <c r="S529" s="5"/>
      <c r="T529" s="27" t="b">
        <f>IF($G529&lt;&gt;0,SUMIF(куб!$G:$G,$G529,куб!L:L),IF($E529&lt;&gt;0,SUMIF(куб!$E:$E,$E529,куб!L:L),IF($D529&lt;&gt;0,SUMIF(куб!$D:$D,$D529,куб!L:L),IF($C529&lt;&gt;0,SUMIF(куб!$C:$C,$C529,куб!L:L),IF($B529&lt;&gt;0,SUMIF(куб!$B:$B,$B529,куб!L:L))))))</f>
        <v>0</v>
      </c>
      <c r="U529" s="27" t="b">
        <f>IF($G529&lt;&gt;0,SUMIF(куб!$G:$G,$G529,куб!M:M),IF($E529&lt;&gt;0,SUMIF(куб!$E:$E,$E529,куб!M:M),IF($D529&lt;&gt;0,SUMIF(куб!$D:$D,$D529,куб!M:M),IF($C529&lt;&gt;0,SUMIF(куб!$C:$C,$C529,куб!M:M),IF($B529&lt;&gt;0,SUMIF(куб!$B:$B,$B529,куб!M:M))))))</f>
        <v>0</v>
      </c>
      <c r="V529" s="13" t="str">
        <f t="shared" si="188"/>
        <v>-</v>
      </c>
      <c r="W529" s="5"/>
      <c r="X529" s="27" t="b">
        <f>IF($G529&lt;&gt;0,SUMIF(куб!$G:$G,$G529,куб!N:N),IF($E529&lt;&gt;0,SUMIF(куб!$E:$E,$E529,куб!N:N),IF($D529&lt;&gt;0,SUMIF(куб!$D:$D,$D529,куб!N:N),IF($C529&lt;&gt;0,SUMIF(куб!$C:$C,$C529,куб!N:N),IF($B529&lt;&gt;0,SUMIF(куб!$B:$B,$B529,куб!N:N))))))</f>
        <v>0</v>
      </c>
      <c r="Y529" s="27" t="b">
        <f>IF($G529&lt;&gt;0,SUMIF(куб!$G:$G,$G529,куб!O:O),IF($E529&lt;&gt;0,SUMIF(куб!$E:$E,$E529,куб!O:O),IF($D529&lt;&gt;0,SUMIF(куб!$D:$D,$D529,куб!O:O),IF($C529&lt;&gt;0,SUMIF(куб!$C:$C,$C529,куб!O:O),IF($B529&lt;&gt;0,SUMIF(куб!$B:$B,$B529,куб!O:O))))))</f>
        <v>0</v>
      </c>
      <c r="Z529" s="13" t="str">
        <f t="shared" si="189"/>
        <v>-</v>
      </c>
      <c r="AA529" s="5"/>
      <c r="AB529" s="33" t="str">
        <f t="shared" si="190"/>
        <v/>
      </c>
      <c r="AC529" s="33" t="str">
        <f t="shared" si="191"/>
        <v/>
      </c>
      <c r="AD529" s="15" t="str">
        <f t="shared" si="192"/>
        <v xml:space="preserve"> </v>
      </c>
      <c r="AE529" s="5"/>
      <c r="AF529" s="27" t="b">
        <f>IF($G529&lt;&gt;0,SUMIF(куб!$G:$G,$G529,куб!R:R),IF($E529&lt;&gt;0,SUMIF(куб!$E:$E,$E529,куб!R:R),IF($D529&lt;&gt;0,SUMIF(куб!$D:$D,$D529,куб!R:R),IF($C529&lt;&gt;0,SUMIF(куб!$C:$C,$C529,куб!R:R),IF($B529&lt;&gt;0,SUMIF(куб!$B:$B,$B529,куб!R:R))))))</f>
        <v>0</v>
      </c>
      <c r="AG529" s="27" t="b">
        <f>IF($G529&lt;&gt;0,SUMIF(куб!$G:$G,$G529,куб!S:S),IF($E529&lt;&gt;0,SUMIF(куб!$E:$E,$E529,куб!S:S),IF($D529&lt;&gt;0,SUMIF(куб!$D:$D,$D529,куб!S:S),IF($C529&lt;&gt;0,SUMIF(куб!$C:$C,$C529,куб!S:S),IF($B529&lt;&gt;0,SUMIF(куб!$B:$B,$B529,куб!S:S))))))</f>
        <v>0</v>
      </c>
      <c r="AH529" s="16" t="str">
        <f t="shared" si="193"/>
        <v>-</v>
      </c>
      <c r="AI529" s="8"/>
      <c r="AJ529" s="27" t="b">
        <f>IF($G529&lt;&gt;0,SUMIF(куб!$G:$G,$G529,куб!T:T),IF($E529&lt;&gt;0,SUMIF(куб!$E:$E,$E529,куб!T:T),IF($D529&lt;&gt;0,SUMIF(куб!$D:$D,$D529,куб!T:T),IF($C529&lt;&gt;0,SUMIF(куб!$C:$C,$C529,куб!T:T),IF($B529&lt;&gt;0,SUMIF(куб!$B:$B,$B529,куб!T:T))))))</f>
        <v>0</v>
      </c>
      <c r="AK529" s="27" t="b">
        <f>IF($G529&lt;&gt;0,SUMIF(куб!$G:$G,$G529,куб!U:U),IF($E529&lt;&gt;0,SUMIF(куб!$E:$E,$E529,куб!U:U),IF($D529&lt;&gt;0,SUMIF(куб!$D:$D,$D529,куб!U:U),IF($C529&lt;&gt;0,SUMIF(куб!$C:$C,$C529,куб!U:U),IF($B529&lt;&gt;0,SUMIF(куб!$B:$B,$B529,куб!U:U))))))</f>
        <v>0</v>
      </c>
      <c r="AL529" s="16" t="str">
        <f t="shared" si="194"/>
        <v>-</v>
      </c>
      <c r="AM529" s="8"/>
      <c r="AN529" s="17" t="str">
        <f t="shared" si="195"/>
        <v xml:space="preserve"> </v>
      </c>
      <c r="AO529" s="17" t="str">
        <f t="shared" si="196"/>
        <v xml:space="preserve"> </v>
      </c>
      <c r="AP529" s="16" t="str">
        <f t="shared" si="197"/>
        <v>-</v>
      </c>
      <c r="AQ529" s="8"/>
      <c r="AR529" s="17" t="str">
        <f t="shared" si="198"/>
        <v>-</v>
      </c>
      <c r="AS529" s="17" t="str">
        <f t="shared" si="199"/>
        <v>-</v>
      </c>
      <c r="AT529" s="13" t="str">
        <f t="shared" si="200"/>
        <v>-</v>
      </c>
      <c r="AU529" s="8"/>
    </row>
    <row r="530" spans="1:47" x14ac:dyDescent="0.25">
      <c r="A530" s="31"/>
      <c r="B530" s="31"/>
      <c r="C530"/>
      <c r="D530" s="31"/>
      <c r="E530"/>
      <c r="F530" s="31"/>
      <c r="G530"/>
      <c r="H530" s="27">
        <f>IF($G530&lt;&gt;0,SUMIF(куб!$G:$G,$G530,куб!H:H),IF($E530&lt;&gt;0,SUMIF(куб!$E:$E,$E530,куб!H:H),IF($D530&lt;&gt;0,SUMIF(куб!$D:$D,$D530,куб!H:H),IF($C530&lt;&gt;0,SUMIF(куб!$C:$C,$C530,куб!H:H),IF($B530&lt;&gt;0,SUMIF(куб!$B:$B,$B530,куб!H:H),IF($G530&lt;&gt;0,SUMIF(куб!$A:$A,$G530,куб!H:H),SUMIF(куб!$A:$A,$G530,куб!H:H)))))))</f>
        <v>0</v>
      </c>
      <c r="I530" s="27">
        <f>IF($G530&lt;&gt;0,SUMIF(куб!$G:$G,$G530,куб!I:I),IF($E530&lt;&gt;0,SUMIF(куб!$E:$E,$E530,куб!I:I),IF($D530&lt;&gt;0,SUMIF(куб!$D:$D,$D530,куб!I:I),IF($C530&lt;&gt;0,SUMIF(куб!$C:$C,$C530,куб!I:I),IF($B530&lt;&gt;0,SUMIF(куб!$B:$B,$B530,куб!I:I),IF($G530&lt;&gt;0,SUMIF(куб!$A:$A,$G530,куб!I:I),SUMIF(куб!$A:$A,$G530,куб!I:I)))))))</f>
        <v>0</v>
      </c>
      <c r="J530" s="19" t="str">
        <f t="shared" si="183"/>
        <v>-</v>
      </c>
      <c r="K530" s="8"/>
      <c r="L530" s="17">
        <f t="shared" si="184"/>
        <v>0</v>
      </c>
      <c r="M530" s="17">
        <f t="shared" si="185"/>
        <v>0</v>
      </c>
      <c r="N530" s="12">
        <f t="shared" si="186"/>
        <v>0</v>
      </c>
      <c r="O530" s="5"/>
      <c r="P530" s="27" t="b">
        <f>IF($G530&lt;&gt;0,SUMIF(куб!$G:$G,$G530,куб!J:J),IF($E530&lt;&gt;0,SUMIF(куб!$E:$E,$E530,куб!J:J),IF($D530&lt;&gt;0,SUMIF(куб!$D:$D,$D530,куб!J:J),IF($C530&lt;&gt;0,SUMIF(куб!$C:$C,$C530,куб!J:J),IF($B530&lt;&gt;0,SUMIF(куб!$B:$B,$B530,куб!J:J))))))</f>
        <v>0</v>
      </c>
      <c r="Q530" s="27" t="b">
        <f>IF($G530&lt;&gt;0,SUMIF(куб!$G:$G,$G530,куб!K:K),IF($E530&lt;&gt;0,SUMIF(куб!$E:$E,$E530,куб!K:K),IF($D530&lt;&gt;0,SUMIF(куб!$D:$D,$D530,куб!K:K),IF($C530&lt;&gt;0,SUMIF(куб!$C:$C,$C530,куб!K:K),IF($B530&lt;&gt;0,SUMIF(куб!$B:$B,$B530,куб!K:K))))))</f>
        <v>0</v>
      </c>
      <c r="R530" s="13" t="str">
        <f t="shared" si="187"/>
        <v>-</v>
      </c>
      <c r="S530" s="5"/>
      <c r="T530" s="27" t="b">
        <f>IF($G530&lt;&gt;0,SUMIF(куб!$G:$G,$G530,куб!L:L),IF($E530&lt;&gt;0,SUMIF(куб!$E:$E,$E530,куб!L:L),IF($D530&lt;&gt;0,SUMIF(куб!$D:$D,$D530,куб!L:L),IF($C530&lt;&gt;0,SUMIF(куб!$C:$C,$C530,куб!L:L),IF($B530&lt;&gt;0,SUMIF(куб!$B:$B,$B530,куб!L:L))))))</f>
        <v>0</v>
      </c>
      <c r="U530" s="27" t="b">
        <f>IF($G530&lt;&gt;0,SUMIF(куб!$G:$G,$G530,куб!M:M),IF($E530&lt;&gt;0,SUMIF(куб!$E:$E,$E530,куб!M:M),IF($D530&lt;&gt;0,SUMIF(куб!$D:$D,$D530,куб!M:M),IF($C530&lt;&gt;0,SUMIF(куб!$C:$C,$C530,куб!M:M),IF($B530&lt;&gt;0,SUMIF(куб!$B:$B,$B530,куб!M:M))))))</f>
        <v>0</v>
      </c>
      <c r="V530" s="13" t="str">
        <f t="shared" si="188"/>
        <v>-</v>
      </c>
      <c r="W530" s="5"/>
      <c r="X530" s="27" t="b">
        <f>IF($G530&lt;&gt;0,SUMIF(куб!$G:$G,$G530,куб!N:N),IF($E530&lt;&gt;0,SUMIF(куб!$E:$E,$E530,куб!N:N),IF($D530&lt;&gt;0,SUMIF(куб!$D:$D,$D530,куб!N:N),IF($C530&lt;&gt;0,SUMIF(куб!$C:$C,$C530,куб!N:N),IF($B530&lt;&gt;0,SUMIF(куб!$B:$B,$B530,куб!N:N))))))</f>
        <v>0</v>
      </c>
      <c r="Y530" s="27" t="b">
        <f>IF($G530&lt;&gt;0,SUMIF(куб!$G:$G,$G530,куб!O:O),IF($E530&lt;&gt;0,SUMIF(куб!$E:$E,$E530,куб!O:O),IF($D530&lt;&gt;0,SUMIF(куб!$D:$D,$D530,куб!O:O),IF($C530&lt;&gt;0,SUMIF(куб!$C:$C,$C530,куб!O:O),IF($B530&lt;&gt;0,SUMIF(куб!$B:$B,$B530,куб!O:O))))))</f>
        <v>0</v>
      </c>
      <c r="Z530" s="13" t="str">
        <f t="shared" si="189"/>
        <v>-</v>
      </c>
      <c r="AA530" s="5"/>
      <c r="AB530" s="33" t="str">
        <f t="shared" si="190"/>
        <v/>
      </c>
      <c r="AC530" s="33" t="str">
        <f t="shared" si="191"/>
        <v/>
      </c>
      <c r="AD530" s="15" t="str">
        <f t="shared" si="192"/>
        <v xml:space="preserve"> </v>
      </c>
      <c r="AE530" s="5"/>
      <c r="AF530" s="27" t="b">
        <f>IF($G530&lt;&gt;0,SUMIF(куб!$G:$G,$G530,куб!R:R),IF($E530&lt;&gt;0,SUMIF(куб!$E:$E,$E530,куб!R:R),IF($D530&lt;&gt;0,SUMIF(куб!$D:$D,$D530,куб!R:R),IF($C530&lt;&gt;0,SUMIF(куб!$C:$C,$C530,куб!R:R),IF($B530&lt;&gt;0,SUMIF(куб!$B:$B,$B530,куб!R:R))))))</f>
        <v>0</v>
      </c>
      <c r="AG530" s="27" t="b">
        <f>IF($G530&lt;&gt;0,SUMIF(куб!$G:$G,$G530,куб!S:S),IF($E530&lt;&gt;0,SUMIF(куб!$E:$E,$E530,куб!S:S),IF($D530&lt;&gt;0,SUMIF(куб!$D:$D,$D530,куб!S:S),IF($C530&lt;&gt;0,SUMIF(куб!$C:$C,$C530,куб!S:S),IF($B530&lt;&gt;0,SUMIF(куб!$B:$B,$B530,куб!S:S))))))</f>
        <v>0</v>
      </c>
      <c r="AH530" s="16" t="str">
        <f t="shared" si="193"/>
        <v>-</v>
      </c>
      <c r="AI530" s="8"/>
      <c r="AJ530" s="27" t="b">
        <f>IF($G530&lt;&gt;0,SUMIF(куб!$G:$G,$G530,куб!T:T),IF($E530&lt;&gt;0,SUMIF(куб!$E:$E,$E530,куб!T:T),IF($D530&lt;&gt;0,SUMIF(куб!$D:$D,$D530,куб!T:T),IF($C530&lt;&gt;0,SUMIF(куб!$C:$C,$C530,куб!T:T),IF($B530&lt;&gt;0,SUMIF(куб!$B:$B,$B530,куб!T:T))))))</f>
        <v>0</v>
      </c>
      <c r="AK530" s="27" t="b">
        <f>IF($G530&lt;&gt;0,SUMIF(куб!$G:$G,$G530,куб!U:U),IF($E530&lt;&gt;0,SUMIF(куб!$E:$E,$E530,куб!U:U),IF($D530&lt;&gt;0,SUMIF(куб!$D:$D,$D530,куб!U:U),IF($C530&lt;&gt;0,SUMIF(куб!$C:$C,$C530,куб!U:U),IF($B530&lt;&gt;0,SUMIF(куб!$B:$B,$B530,куб!U:U))))))</f>
        <v>0</v>
      </c>
      <c r="AL530" s="16" t="str">
        <f t="shared" si="194"/>
        <v>-</v>
      </c>
      <c r="AM530" s="8"/>
      <c r="AN530" s="17" t="str">
        <f t="shared" si="195"/>
        <v xml:space="preserve"> </v>
      </c>
      <c r="AO530" s="17" t="str">
        <f t="shared" si="196"/>
        <v xml:space="preserve"> </v>
      </c>
      <c r="AP530" s="16" t="str">
        <f t="shared" si="197"/>
        <v>-</v>
      </c>
      <c r="AQ530" s="8"/>
      <c r="AR530" s="17" t="str">
        <f t="shared" si="198"/>
        <v>-</v>
      </c>
      <c r="AS530" s="17" t="str">
        <f t="shared" si="199"/>
        <v>-</v>
      </c>
      <c r="AT530" s="13" t="str">
        <f t="shared" si="200"/>
        <v>-</v>
      </c>
      <c r="AU530" s="8"/>
    </row>
    <row r="531" spans="1:47" x14ac:dyDescent="0.25">
      <c r="A531" s="31"/>
      <c r="B531" s="31"/>
      <c r="C531"/>
      <c r="D531" s="31"/>
      <c r="E531"/>
      <c r="F531"/>
      <c r="G531"/>
      <c r="H531" s="27">
        <f>IF($G531&lt;&gt;0,SUMIF(куб!$G:$G,$G531,куб!H:H),IF($E531&lt;&gt;0,SUMIF(куб!$E:$E,$E531,куб!H:H),IF($D531&lt;&gt;0,SUMIF(куб!$D:$D,$D531,куб!H:H),IF($C531&lt;&gt;0,SUMIF(куб!$C:$C,$C531,куб!H:H),IF($B531&lt;&gt;0,SUMIF(куб!$B:$B,$B531,куб!H:H),IF($G531&lt;&gt;0,SUMIF(куб!$A:$A,$G531,куб!H:H),SUMIF(куб!$A:$A,$G531,куб!H:H)))))))</f>
        <v>0</v>
      </c>
      <c r="I531" s="27">
        <f>IF($G531&lt;&gt;0,SUMIF(куб!$G:$G,$G531,куб!I:I),IF($E531&lt;&gt;0,SUMIF(куб!$E:$E,$E531,куб!I:I),IF($D531&lt;&gt;0,SUMIF(куб!$D:$D,$D531,куб!I:I),IF($C531&lt;&gt;0,SUMIF(куб!$C:$C,$C531,куб!I:I),IF($B531&lt;&gt;0,SUMIF(куб!$B:$B,$B531,куб!I:I),IF($G531&lt;&gt;0,SUMIF(куб!$A:$A,$G531,куб!I:I),SUMIF(куб!$A:$A,$G531,куб!I:I)))))))</f>
        <v>0</v>
      </c>
      <c r="J531" s="19" t="str">
        <f t="shared" si="183"/>
        <v>-</v>
      </c>
      <c r="K531" s="8"/>
      <c r="L531" s="17">
        <f t="shared" si="184"/>
        <v>0</v>
      </c>
      <c r="M531" s="17">
        <f t="shared" si="185"/>
        <v>0</v>
      </c>
      <c r="N531" s="12">
        <f t="shared" si="186"/>
        <v>0</v>
      </c>
      <c r="O531" s="5"/>
      <c r="P531" s="27" t="b">
        <f>IF($G531&lt;&gt;0,SUMIF(куб!$G:$G,$G531,куб!J:J),IF($E531&lt;&gt;0,SUMIF(куб!$E:$E,$E531,куб!J:J),IF($D531&lt;&gt;0,SUMIF(куб!$D:$D,$D531,куб!J:J),IF($C531&lt;&gt;0,SUMIF(куб!$C:$C,$C531,куб!J:J),IF($B531&lt;&gt;0,SUMIF(куб!$B:$B,$B531,куб!J:J))))))</f>
        <v>0</v>
      </c>
      <c r="Q531" s="27" t="b">
        <f>IF($G531&lt;&gt;0,SUMIF(куб!$G:$G,$G531,куб!K:K),IF($E531&lt;&gt;0,SUMIF(куб!$E:$E,$E531,куб!K:K),IF($D531&lt;&gt;0,SUMIF(куб!$D:$D,$D531,куб!K:K),IF($C531&lt;&gt;0,SUMIF(куб!$C:$C,$C531,куб!K:K),IF($B531&lt;&gt;0,SUMIF(куб!$B:$B,$B531,куб!K:K))))))</f>
        <v>0</v>
      </c>
      <c r="R531" s="13" t="str">
        <f t="shared" si="187"/>
        <v>-</v>
      </c>
      <c r="S531" s="5"/>
      <c r="T531" s="27" t="b">
        <f>IF($G531&lt;&gt;0,SUMIF(куб!$G:$G,$G531,куб!L:L),IF($E531&lt;&gt;0,SUMIF(куб!$E:$E,$E531,куб!L:L),IF($D531&lt;&gt;0,SUMIF(куб!$D:$D,$D531,куб!L:L),IF($C531&lt;&gt;0,SUMIF(куб!$C:$C,$C531,куб!L:L),IF($B531&lt;&gt;0,SUMIF(куб!$B:$B,$B531,куб!L:L))))))</f>
        <v>0</v>
      </c>
      <c r="U531" s="27" t="b">
        <f>IF($G531&lt;&gt;0,SUMIF(куб!$G:$G,$G531,куб!M:M),IF($E531&lt;&gt;0,SUMIF(куб!$E:$E,$E531,куб!M:M),IF($D531&lt;&gt;0,SUMIF(куб!$D:$D,$D531,куб!M:M),IF($C531&lt;&gt;0,SUMIF(куб!$C:$C,$C531,куб!M:M),IF($B531&lt;&gt;0,SUMIF(куб!$B:$B,$B531,куб!M:M))))))</f>
        <v>0</v>
      </c>
      <c r="V531" s="13" t="str">
        <f t="shared" si="188"/>
        <v>-</v>
      </c>
      <c r="W531" s="5"/>
      <c r="X531" s="27" t="b">
        <f>IF($G531&lt;&gt;0,SUMIF(куб!$G:$G,$G531,куб!N:N),IF($E531&lt;&gt;0,SUMIF(куб!$E:$E,$E531,куб!N:N),IF($D531&lt;&gt;0,SUMIF(куб!$D:$D,$D531,куб!N:N),IF($C531&lt;&gt;0,SUMIF(куб!$C:$C,$C531,куб!N:N),IF($B531&lt;&gt;0,SUMIF(куб!$B:$B,$B531,куб!N:N))))))</f>
        <v>0</v>
      </c>
      <c r="Y531" s="27" t="b">
        <f>IF($G531&lt;&gt;0,SUMIF(куб!$G:$G,$G531,куб!O:O),IF($E531&lt;&gt;0,SUMIF(куб!$E:$E,$E531,куб!O:O),IF($D531&lt;&gt;0,SUMIF(куб!$D:$D,$D531,куб!O:O),IF($C531&lt;&gt;0,SUMIF(куб!$C:$C,$C531,куб!O:O),IF($B531&lt;&gt;0,SUMIF(куб!$B:$B,$B531,куб!O:O))))))</f>
        <v>0</v>
      </c>
      <c r="Z531" s="13" t="str">
        <f t="shared" si="189"/>
        <v>-</v>
      </c>
      <c r="AA531" s="5"/>
      <c r="AB531" s="33" t="str">
        <f t="shared" si="190"/>
        <v/>
      </c>
      <c r="AC531" s="33" t="str">
        <f t="shared" si="191"/>
        <v/>
      </c>
      <c r="AD531" s="15" t="str">
        <f t="shared" si="192"/>
        <v xml:space="preserve"> </v>
      </c>
      <c r="AE531" s="5"/>
      <c r="AF531" s="27" t="b">
        <f>IF($G531&lt;&gt;0,SUMIF(куб!$G:$G,$G531,куб!R:R),IF($E531&lt;&gt;0,SUMIF(куб!$E:$E,$E531,куб!R:R),IF($D531&lt;&gt;0,SUMIF(куб!$D:$D,$D531,куб!R:R),IF($C531&lt;&gt;0,SUMIF(куб!$C:$C,$C531,куб!R:R),IF($B531&lt;&gt;0,SUMIF(куб!$B:$B,$B531,куб!R:R))))))</f>
        <v>0</v>
      </c>
      <c r="AG531" s="27" t="b">
        <f>IF($G531&lt;&gt;0,SUMIF(куб!$G:$G,$G531,куб!S:S),IF($E531&lt;&gt;0,SUMIF(куб!$E:$E,$E531,куб!S:S),IF($D531&lt;&gt;0,SUMIF(куб!$D:$D,$D531,куб!S:S),IF($C531&lt;&gt;0,SUMIF(куб!$C:$C,$C531,куб!S:S),IF($B531&lt;&gt;0,SUMIF(куб!$B:$B,$B531,куб!S:S))))))</f>
        <v>0</v>
      </c>
      <c r="AH531" s="16" t="str">
        <f t="shared" si="193"/>
        <v>-</v>
      </c>
      <c r="AI531" s="8"/>
      <c r="AJ531" s="27" t="b">
        <f>IF($G531&lt;&gt;0,SUMIF(куб!$G:$G,$G531,куб!T:T),IF($E531&lt;&gt;0,SUMIF(куб!$E:$E,$E531,куб!T:T),IF($D531&lt;&gt;0,SUMIF(куб!$D:$D,$D531,куб!T:T),IF($C531&lt;&gt;0,SUMIF(куб!$C:$C,$C531,куб!T:T),IF($B531&lt;&gt;0,SUMIF(куб!$B:$B,$B531,куб!T:T))))))</f>
        <v>0</v>
      </c>
      <c r="AK531" s="27" t="b">
        <f>IF($G531&lt;&gt;0,SUMIF(куб!$G:$G,$G531,куб!U:U),IF($E531&lt;&gt;0,SUMIF(куб!$E:$E,$E531,куб!U:U),IF($D531&lt;&gt;0,SUMIF(куб!$D:$D,$D531,куб!U:U),IF($C531&lt;&gt;0,SUMIF(куб!$C:$C,$C531,куб!U:U),IF($B531&lt;&gt;0,SUMIF(куб!$B:$B,$B531,куб!U:U))))))</f>
        <v>0</v>
      </c>
      <c r="AL531" s="16" t="str">
        <f t="shared" si="194"/>
        <v>-</v>
      </c>
      <c r="AM531" s="8"/>
      <c r="AN531" s="17" t="str">
        <f t="shared" si="195"/>
        <v xml:space="preserve"> </v>
      </c>
      <c r="AO531" s="17" t="str">
        <f t="shared" si="196"/>
        <v xml:space="preserve"> </v>
      </c>
      <c r="AP531" s="16" t="str">
        <f t="shared" si="197"/>
        <v>-</v>
      </c>
      <c r="AQ531" s="8"/>
      <c r="AR531" s="17" t="str">
        <f t="shared" si="198"/>
        <v>-</v>
      </c>
      <c r="AS531" s="17" t="str">
        <f t="shared" si="199"/>
        <v>-</v>
      </c>
      <c r="AT531" s="13" t="str">
        <f t="shared" si="200"/>
        <v>-</v>
      </c>
      <c r="AU531" s="8"/>
    </row>
    <row r="532" spans="1:47" x14ac:dyDescent="0.25">
      <c r="A532" s="31"/>
      <c r="B532" s="31"/>
      <c r="C532"/>
      <c r="D532" s="31"/>
      <c r="E532" s="31"/>
      <c r="F532" s="31"/>
      <c r="G532" s="31"/>
      <c r="H532" s="27">
        <f>IF($G532&lt;&gt;0,SUMIF(куб!$G:$G,$G532,куб!H:H),IF($E532&lt;&gt;0,SUMIF(куб!$E:$E,$E532,куб!H:H),IF($D532&lt;&gt;0,SUMIF(куб!$D:$D,$D532,куб!H:H),IF($C532&lt;&gt;0,SUMIF(куб!$C:$C,$C532,куб!H:H),IF($B532&lt;&gt;0,SUMIF(куб!$B:$B,$B532,куб!H:H),IF($G532&lt;&gt;0,SUMIF(куб!$A:$A,$G532,куб!H:H),SUMIF(куб!$A:$A,$G532,куб!H:H)))))))</f>
        <v>0</v>
      </c>
      <c r="I532" s="27">
        <f>IF($G532&lt;&gt;0,SUMIF(куб!$G:$G,$G532,куб!I:I),IF($E532&lt;&gt;0,SUMIF(куб!$E:$E,$E532,куб!I:I),IF($D532&lt;&gt;0,SUMIF(куб!$D:$D,$D532,куб!I:I),IF($C532&lt;&gt;0,SUMIF(куб!$C:$C,$C532,куб!I:I),IF($B532&lt;&gt;0,SUMIF(куб!$B:$B,$B532,куб!I:I),IF($G532&lt;&gt;0,SUMIF(куб!$A:$A,$G532,куб!I:I),SUMIF(куб!$A:$A,$G532,куб!I:I)))))))</f>
        <v>0</v>
      </c>
      <c r="J532" s="19" t="str">
        <f t="shared" si="183"/>
        <v>-</v>
      </c>
      <c r="K532" s="8"/>
      <c r="L532" s="17">
        <f t="shared" si="184"/>
        <v>0</v>
      </c>
      <c r="M532" s="17">
        <f t="shared" si="185"/>
        <v>0</v>
      </c>
      <c r="N532" s="12">
        <f t="shared" si="186"/>
        <v>0</v>
      </c>
      <c r="O532" s="5"/>
      <c r="P532" s="27" t="b">
        <f>IF($G532&lt;&gt;0,SUMIF(куб!$G:$G,$G532,куб!J:J),IF($E532&lt;&gt;0,SUMIF(куб!$E:$E,$E532,куб!J:J),IF($D532&lt;&gt;0,SUMIF(куб!$D:$D,$D532,куб!J:J),IF($C532&lt;&gt;0,SUMIF(куб!$C:$C,$C532,куб!J:J),IF($B532&lt;&gt;0,SUMIF(куб!$B:$B,$B532,куб!J:J))))))</f>
        <v>0</v>
      </c>
      <c r="Q532" s="27" t="b">
        <f>IF($G532&lt;&gt;0,SUMIF(куб!$G:$G,$G532,куб!K:K),IF($E532&lt;&gt;0,SUMIF(куб!$E:$E,$E532,куб!K:K),IF($D532&lt;&gt;0,SUMIF(куб!$D:$D,$D532,куб!K:K),IF($C532&lt;&gt;0,SUMIF(куб!$C:$C,$C532,куб!K:K),IF($B532&lt;&gt;0,SUMIF(куб!$B:$B,$B532,куб!K:K))))))</f>
        <v>0</v>
      </c>
      <c r="R532" s="13" t="str">
        <f t="shared" si="187"/>
        <v>-</v>
      </c>
      <c r="S532" s="5"/>
      <c r="T532" s="27" t="b">
        <f>IF($G532&lt;&gt;0,SUMIF(куб!$G:$G,$G532,куб!L:L),IF($E532&lt;&gt;0,SUMIF(куб!$E:$E,$E532,куб!L:L),IF($D532&lt;&gt;0,SUMIF(куб!$D:$D,$D532,куб!L:L),IF($C532&lt;&gt;0,SUMIF(куб!$C:$C,$C532,куб!L:L),IF($B532&lt;&gt;0,SUMIF(куб!$B:$B,$B532,куб!L:L))))))</f>
        <v>0</v>
      </c>
      <c r="U532" s="27" t="b">
        <f>IF($G532&lt;&gt;0,SUMIF(куб!$G:$G,$G532,куб!M:M),IF($E532&lt;&gt;0,SUMIF(куб!$E:$E,$E532,куб!M:M),IF($D532&lt;&gt;0,SUMIF(куб!$D:$D,$D532,куб!M:M),IF($C532&lt;&gt;0,SUMIF(куб!$C:$C,$C532,куб!M:M),IF($B532&lt;&gt;0,SUMIF(куб!$B:$B,$B532,куб!M:M))))))</f>
        <v>0</v>
      </c>
      <c r="V532" s="13" t="str">
        <f t="shared" si="188"/>
        <v>-</v>
      </c>
      <c r="W532" s="5"/>
      <c r="X532" s="27" t="b">
        <f>IF($G532&lt;&gt;0,SUMIF(куб!$G:$G,$G532,куб!N:N),IF($E532&lt;&gt;0,SUMIF(куб!$E:$E,$E532,куб!N:N),IF($D532&lt;&gt;0,SUMIF(куб!$D:$D,$D532,куб!N:N),IF($C532&lt;&gt;0,SUMIF(куб!$C:$C,$C532,куб!N:N),IF($B532&lt;&gt;0,SUMIF(куб!$B:$B,$B532,куб!N:N))))))</f>
        <v>0</v>
      </c>
      <c r="Y532" s="27" t="b">
        <f>IF($G532&lt;&gt;0,SUMIF(куб!$G:$G,$G532,куб!O:O),IF($E532&lt;&gt;0,SUMIF(куб!$E:$E,$E532,куб!O:O),IF($D532&lt;&gt;0,SUMIF(куб!$D:$D,$D532,куб!O:O),IF($C532&lt;&gt;0,SUMIF(куб!$C:$C,$C532,куб!O:O),IF($B532&lt;&gt;0,SUMIF(куб!$B:$B,$B532,куб!O:O))))))</f>
        <v>0</v>
      </c>
      <c r="Z532" s="13" t="str">
        <f t="shared" si="189"/>
        <v>-</v>
      </c>
      <c r="AA532" s="5"/>
      <c r="AB532" s="33" t="str">
        <f t="shared" si="190"/>
        <v/>
      </c>
      <c r="AC532" s="33" t="str">
        <f t="shared" si="191"/>
        <v/>
      </c>
      <c r="AD532" s="15" t="str">
        <f t="shared" si="192"/>
        <v xml:space="preserve"> </v>
      </c>
      <c r="AE532" s="5"/>
      <c r="AF532" s="27" t="b">
        <f>IF($G532&lt;&gt;0,SUMIF(куб!$G:$G,$G532,куб!R:R),IF($E532&lt;&gt;0,SUMIF(куб!$E:$E,$E532,куб!R:R),IF($D532&lt;&gt;0,SUMIF(куб!$D:$D,$D532,куб!R:R),IF($C532&lt;&gt;0,SUMIF(куб!$C:$C,$C532,куб!R:R),IF($B532&lt;&gt;0,SUMIF(куб!$B:$B,$B532,куб!R:R))))))</f>
        <v>0</v>
      </c>
      <c r="AG532" s="27" t="b">
        <f>IF($G532&lt;&gt;0,SUMIF(куб!$G:$G,$G532,куб!S:S),IF($E532&lt;&gt;0,SUMIF(куб!$E:$E,$E532,куб!S:S),IF($D532&lt;&gt;0,SUMIF(куб!$D:$D,$D532,куб!S:S),IF($C532&lt;&gt;0,SUMIF(куб!$C:$C,$C532,куб!S:S),IF($B532&lt;&gt;0,SUMIF(куб!$B:$B,$B532,куб!S:S))))))</f>
        <v>0</v>
      </c>
      <c r="AH532" s="16" t="str">
        <f t="shared" si="193"/>
        <v>-</v>
      </c>
      <c r="AI532" s="8"/>
      <c r="AJ532" s="27" t="b">
        <f>IF($G532&lt;&gt;0,SUMIF(куб!$G:$G,$G532,куб!T:T),IF($E532&lt;&gt;0,SUMIF(куб!$E:$E,$E532,куб!T:T),IF($D532&lt;&gt;0,SUMIF(куб!$D:$D,$D532,куб!T:T),IF($C532&lt;&gt;0,SUMIF(куб!$C:$C,$C532,куб!T:T),IF($B532&lt;&gt;0,SUMIF(куб!$B:$B,$B532,куб!T:T))))))</f>
        <v>0</v>
      </c>
      <c r="AK532" s="27" t="b">
        <f>IF($G532&lt;&gt;0,SUMIF(куб!$G:$G,$G532,куб!U:U),IF($E532&lt;&gt;0,SUMIF(куб!$E:$E,$E532,куб!U:U),IF($D532&lt;&gt;0,SUMIF(куб!$D:$D,$D532,куб!U:U),IF($C532&lt;&gt;0,SUMIF(куб!$C:$C,$C532,куб!U:U),IF($B532&lt;&gt;0,SUMIF(куб!$B:$B,$B532,куб!U:U))))))</f>
        <v>0</v>
      </c>
      <c r="AL532" s="16" t="str">
        <f t="shared" si="194"/>
        <v>-</v>
      </c>
      <c r="AM532" s="8"/>
      <c r="AN532" s="17" t="str">
        <f t="shared" si="195"/>
        <v xml:space="preserve"> </v>
      </c>
      <c r="AO532" s="17" t="str">
        <f t="shared" si="196"/>
        <v xml:space="preserve"> </v>
      </c>
      <c r="AP532" s="16" t="str">
        <f t="shared" si="197"/>
        <v>-</v>
      </c>
      <c r="AQ532" s="8"/>
      <c r="AR532" s="17" t="str">
        <f t="shared" si="198"/>
        <v>-</v>
      </c>
      <c r="AS532" s="17" t="str">
        <f t="shared" si="199"/>
        <v>-</v>
      </c>
      <c r="AT532" s="13" t="str">
        <f t="shared" si="200"/>
        <v>-</v>
      </c>
      <c r="AU532" s="8"/>
    </row>
    <row r="533" spans="1:47" x14ac:dyDescent="0.25">
      <c r="A533" s="31"/>
      <c r="B533" s="31"/>
      <c r="C533"/>
      <c r="D533" s="31"/>
      <c r="E533"/>
      <c r="F533" s="31"/>
      <c r="G533"/>
      <c r="H533" s="27">
        <f>IF($G533&lt;&gt;0,SUMIF(куб!$G:$G,$G533,куб!H:H),IF($E533&lt;&gt;0,SUMIF(куб!$E:$E,$E533,куб!H:H),IF($D533&lt;&gt;0,SUMIF(куб!$D:$D,$D533,куб!H:H),IF($C533&lt;&gt;0,SUMIF(куб!$C:$C,$C533,куб!H:H),IF($B533&lt;&gt;0,SUMIF(куб!$B:$B,$B533,куб!H:H),IF($G533&lt;&gt;0,SUMIF(куб!$A:$A,$G533,куб!H:H),SUMIF(куб!$A:$A,$G533,куб!H:H)))))))</f>
        <v>0</v>
      </c>
      <c r="I533" s="27">
        <f>IF($G533&lt;&gt;0,SUMIF(куб!$G:$G,$G533,куб!I:I),IF($E533&lt;&gt;0,SUMIF(куб!$E:$E,$E533,куб!I:I),IF($D533&lt;&gt;0,SUMIF(куб!$D:$D,$D533,куб!I:I),IF($C533&lt;&gt;0,SUMIF(куб!$C:$C,$C533,куб!I:I),IF($B533&lt;&gt;0,SUMIF(куб!$B:$B,$B533,куб!I:I),IF($G533&lt;&gt;0,SUMIF(куб!$A:$A,$G533,куб!I:I),SUMIF(куб!$A:$A,$G533,куб!I:I)))))))</f>
        <v>0</v>
      </c>
      <c r="J533" s="19" t="str">
        <f t="shared" si="183"/>
        <v>-</v>
      </c>
      <c r="K533" s="8"/>
      <c r="L533" s="17">
        <f t="shared" si="184"/>
        <v>0</v>
      </c>
      <c r="M533" s="17">
        <f t="shared" si="185"/>
        <v>0</v>
      </c>
      <c r="N533" s="12">
        <f t="shared" si="186"/>
        <v>0</v>
      </c>
      <c r="O533" s="5"/>
      <c r="P533" s="27" t="b">
        <f>IF($G533&lt;&gt;0,SUMIF(куб!$G:$G,$G533,куб!J:J),IF($E533&lt;&gt;0,SUMIF(куб!$E:$E,$E533,куб!J:J),IF($D533&lt;&gt;0,SUMIF(куб!$D:$D,$D533,куб!J:J),IF($C533&lt;&gt;0,SUMIF(куб!$C:$C,$C533,куб!J:J),IF($B533&lt;&gt;0,SUMIF(куб!$B:$B,$B533,куб!J:J))))))</f>
        <v>0</v>
      </c>
      <c r="Q533" s="27" t="b">
        <f>IF($G533&lt;&gt;0,SUMIF(куб!$G:$G,$G533,куб!K:K),IF($E533&lt;&gt;0,SUMIF(куб!$E:$E,$E533,куб!K:K),IF($D533&lt;&gt;0,SUMIF(куб!$D:$D,$D533,куб!K:K),IF($C533&lt;&gt;0,SUMIF(куб!$C:$C,$C533,куб!K:K),IF($B533&lt;&gt;0,SUMIF(куб!$B:$B,$B533,куб!K:K))))))</f>
        <v>0</v>
      </c>
      <c r="R533" s="13" t="str">
        <f t="shared" si="187"/>
        <v>-</v>
      </c>
      <c r="S533" s="5"/>
      <c r="T533" s="27" t="b">
        <f>IF($G533&lt;&gt;0,SUMIF(куб!$G:$G,$G533,куб!L:L),IF($E533&lt;&gt;0,SUMIF(куб!$E:$E,$E533,куб!L:L),IF($D533&lt;&gt;0,SUMIF(куб!$D:$D,$D533,куб!L:L),IF($C533&lt;&gt;0,SUMIF(куб!$C:$C,$C533,куб!L:L),IF($B533&lt;&gt;0,SUMIF(куб!$B:$B,$B533,куб!L:L))))))</f>
        <v>0</v>
      </c>
      <c r="U533" s="27" t="b">
        <f>IF($G533&lt;&gt;0,SUMIF(куб!$G:$G,$G533,куб!M:M),IF($E533&lt;&gt;0,SUMIF(куб!$E:$E,$E533,куб!M:M),IF($D533&lt;&gt;0,SUMIF(куб!$D:$D,$D533,куб!M:M),IF($C533&lt;&gt;0,SUMIF(куб!$C:$C,$C533,куб!M:M),IF($B533&lt;&gt;0,SUMIF(куб!$B:$B,$B533,куб!M:M))))))</f>
        <v>0</v>
      </c>
      <c r="V533" s="13" t="str">
        <f t="shared" si="188"/>
        <v>-</v>
      </c>
      <c r="W533" s="5"/>
      <c r="X533" s="27" t="b">
        <f>IF($G533&lt;&gt;0,SUMIF(куб!$G:$G,$G533,куб!N:N),IF($E533&lt;&gt;0,SUMIF(куб!$E:$E,$E533,куб!N:N),IF($D533&lt;&gt;0,SUMIF(куб!$D:$D,$D533,куб!N:N),IF($C533&lt;&gt;0,SUMIF(куб!$C:$C,$C533,куб!N:N),IF($B533&lt;&gt;0,SUMIF(куб!$B:$B,$B533,куб!N:N))))))</f>
        <v>0</v>
      </c>
      <c r="Y533" s="27" t="b">
        <f>IF($G533&lt;&gt;0,SUMIF(куб!$G:$G,$G533,куб!O:O),IF($E533&lt;&gt;0,SUMIF(куб!$E:$E,$E533,куб!O:O),IF($D533&lt;&gt;0,SUMIF(куб!$D:$D,$D533,куб!O:O),IF($C533&lt;&gt;0,SUMIF(куб!$C:$C,$C533,куб!O:O),IF($B533&lt;&gt;0,SUMIF(куб!$B:$B,$B533,куб!O:O))))))</f>
        <v>0</v>
      </c>
      <c r="Z533" s="13" t="str">
        <f t="shared" si="189"/>
        <v>-</v>
      </c>
      <c r="AA533" s="5"/>
      <c r="AB533" s="33" t="str">
        <f t="shared" si="190"/>
        <v/>
      </c>
      <c r="AC533" s="33" t="str">
        <f t="shared" si="191"/>
        <v/>
      </c>
      <c r="AD533" s="15" t="str">
        <f t="shared" si="192"/>
        <v xml:space="preserve"> </v>
      </c>
      <c r="AE533" s="5"/>
      <c r="AF533" s="27" t="b">
        <f>IF($G533&lt;&gt;0,SUMIF(куб!$G:$G,$G533,куб!R:R),IF($E533&lt;&gt;0,SUMIF(куб!$E:$E,$E533,куб!R:R),IF($D533&lt;&gt;0,SUMIF(куб!$D:$D,$D533,куб!R:R),IF($C533&lt;&gt;0,SUMIF(куб!$C:$C,$C533,куб!R:R),IF($B533&lt;&gt;0,SUMIF(куб!$B:$B,$B533,куб!R:R))))))</f>
        <v>0</v>
      </c>
      <c r="AG533" s="27" t="b">
        <f>IF($G533&lt;&gt;0,SUMIF(куб!$G:$G,$G533,куб!S:S),IF($E533&lt;&gt;0,SUMIF(куб!$E:$E,$E533,куб!S:S),IF($D533&lt;&gt;0,SUMIF(куб!$D:$D,$D533,куб!S:S),IF($C533&lt;&gt;0,SUMIF(куб!$C:$C,$C533,куб!S:S),IF($B533&lt;&gt;0,SUMIF(куб!$B:$B,$B533,куб!S:S))))))</f>
        <v>0</v>
      </c>
      <c r="AH533" s="16" t="str">
        <f t="shared" si="193"/>
        <v>-</v>
      </c>
      <c r="AI533" s="8"/>
      <c r="AJ533" s="27" t="b">
        <f>IF($G533&lt;&gt;0,SUMIF(куб!$G:$G,$G533,куб!T:T),IF($E533&lt;&gt;0,SUMIF(куб!$E:$E,$E533,куб!T:T),IF($D533&lt;&gt;0,SUMIF(куб!$D:$D,$D533,куб!T:T),IF($C533&lt;&gt;0,SUMIF(куб!$C:$C,$C533,куб!T:T),IF($B533&lt;&gt;0,SUMIF(куб!$B:$B,$B533,куб!T:T))))))</f>
        <v>0</v>
      </c>
      <c r="AK533" s="27" t="b">
        <f>IF($G533&lt;&gt;0,SUMIF(куб!$G:$G,$G533,куб!U:U),IF($E533&lt;&gt;0,SUMIF(куб!$E:$E,$E533,куб!U:U),IF($D533&lt;&gt;0,SUMIF(куб!$D:$D,$D533,куб!U:U),IF($C533&lt;&gt;0,SUMIF(куб!$C:$C,$C533,куб!U:U),IF($B533&lt;&gt;0,SUMIF(куб!$B:$B,$B533,куб!U:U))))))</f>
        <v>0</v>
      </c>
      <c r="AL533" s="16" t="str">
        <f t="shared" si="194"/>
        <v>-</v>
      </c>
      <c r="AM533" s="8"/>
      <c r="AN533" s="17" t="str">
        <f t="shared" si="195"/>
        <v xml:space="preserve"> </v>
      </c>
      <c r="AO533" s="17" t="str">
        <f t="shared" si="196"/>
        <v xml:space="preserve"> </v>
      </c>
      <c r="AP533" s="16" t="str">
        <f t="shared" si="197"/>
        <v>-</v>
      </c>
      <c r="AQ533" s="8"/>
      <c r="AR533" s="17" t="str">
        <f t="shared" si="198"/>
        <v>-</v>
      </c>
      <c r="AS533" s="17" t="str">
        <f t="shared" si="199"/>
        <v>-</v>
      </c>
      <c r="AT533" s="13" t="str">
        <f t="shared" si="200"/>
        <v>-</v>
      </c>
      <c r="AU533" s="8"/>
    </row>
    <row r="534" spans="1:47" x14ac:dyDescent="0.25">
      <c r="A534" s="31"/>
      <c r="B534" s="31"/>
      <c r="C534"/>
      <c r="D534" s="31"/>
      <c r="E534"/>
      <c r="F534" s="31"/>
      <c r="G534"/>
      <c r="H534" s="27">
        <f>IF($G534&lt;&gt;0,SUMIF(куб!$G:$G,$G534,куб!H:H),IF($E534&lt;&gt;0,SUMIF(куб!$E:$E,$E534,куб!H:H),IF($D534&lt;&gt;0,SUMIF(куб!$D:$D,$D534,куб!H:H),IF($C534&lt;&gt;0,SUMIF(куб!$C:$C,$C534,куб!H:H),IF($B534&lt;&gt;0,SUMIF(куб!$B:$B,$B534,куб!H:H),IF($G534&lt;&gt;0,SUMIF(куб!$A:$A,$G534,куб!H:H),SUMIF(куб!$A:$A,$G534,куб!H:H)))))))</f>
        <v>0</v>
      </c>
      <c r="I534" s="27">
        <f>IF($G534&lt;&gt;0,SUMIF(куб!$G:$G,$G534,куб!I:I),IF($E534&lt;&gt;0,SUMIF(куб!$E:$E,$E534,куб!I:I),IF($D534&lt;&gt;0,SUMIF(куб!$D:$D,$D534,куб!I:I),IF($C534&lt;&gt;0,SUMIF(куб!$C:$C,$C534,куб!I:I),IF($B534&lt;&gt;0,SUMIF(куб!$B:$B,$B534,куб!I:I),IF($G534&lt;&gt;0,SUMIF(куб!$A:$A,$G534,куб!I:I),SUMIF(куб!$A:$A,$G534,куб!I:I)))))))</f>
        <v>0</v>
      </c>
      <c r="J534" s="19" t="str">
        <f t="shared" si="183"/>
        <v>-</v>
      </c>
      <c r="K534" s="8"/>
      <c r="L534" s="17">
        <f t="shared" si="184"/>
        <v>0</v>
      </c>
      <c r="M534" s="17">
        <f t="shared" si="185"/>
        <v>0</v>
      </c>
      <c r="N534" s="12">
        <f t="shared" si="186"/>
        <v>0</v>
      </c>
      <c r="O534" s="5"/>
      <c r="P534" s="27" t="b">
        <f>IF($G534&lt;&gt;0,SUMIF(куб!$G:$G,$G534,куб!J:J),IF($E534&lt;&gt;0,SUMIF(куб!$E:$E,$E534,куб!J:J),IF($D534&lt;&gt;0,SUMIF(куб!$D:$D,$D534,куб!J:J),IF($C534&lt;&gt;0,SUMIF(куб!$C:$C,$C534,куб!J:J),IF($B534&lt;&gt;0,SUMIF(куб!$B:$B,$B534,куб!J:J))))))</f>
        <v>0</v>
      </c>
      <c r="Q534" s="27" t="b">
        <f>IF($G534&lt;&gt;0,SUMIF(куб!$G:$G,$G534,куб!K:K),IF($E534&lt;&gt;0,SUMIF(куб!$E:$E,$E534,куб!K:K),IF($D534&lt;&gt;0,SUMIF(куб!$D:$D,$D534,куб!K:K),IF($C534&lt;&gt;0,SUMIF(куб!$C:$C,$C534,куб!K:K),IF($B534&lt;&gt;0,SUMIF(куб!$B:$B,$B534,куб!K:K))))))</f>
        <v>0</v>
      </c>
      <c r="R534" s="13" t="str">
        <f t="shared" si="187"/>
        <v>-</v>
      </c>
      <c r="S534" s="5"/>
      <c r="T534" s="27" t="b">
        <f>IF($G534&lt;&gt;0,SUMIF(куб!$G:$G,$G534,куб!L:L),IF($E534&lt;&gt;0,SUMIF(куб!$E:$E,$E534,куб!L:L),IF($D534&lt;&gt;0,SUMIF(куб!$D:$D,$D534,куб!L:L),IF($C534&lt;&gt;0,SUMIF(куб!$C:$C,$C534,куб!L:L),IF($B534&lt;&gt;0,SUMIF(куб!$B:$B,$B534,куб!L:L))))))</f>
        <v>0</v>
      </c>
      <c r="U534" s="27" t="b">
        <f>IF($G534&lt;&gt;0,SUMIF(куб!$G:$G,$G534,куб!M:M),IF($E534&lt;&gt;0,SUMIF(куб!$E:$E,$E534,куб!M:M),IF($D534&lt;&gt;0,SUMIF(куб!$D:$D,$D534,куб!M:M),IF($C534&lt;&gt;0,SUMIF(куб!$C:$C,$C534,куб!M:M),IF($B534&lt;&gt;0,SUMIF(куб!$B:$B,$B534,куб!M:M))))))</f>
        <v>0</v>
      </c>
      <c r="V534" s="13" t="str">
        <f t="shared" si="188"/>
        <v>-</v>
      </c>
      <c r="W534" s="5"/>
      <c r="X534" s="27" t="b">
        <f>IF($G534&lt;&gt;0,SUMIF(куб!$G:$G,$G534,куб!N:N),IF($E534&lt;&gt;0,SUMIF(куб!$E:$E,$E534,куб!N:N),IF($D534&lt;&gt;0,SUMIF(куб!$D:$D,$D534,куб!N:N),IF($C534&lt;&gt;0,SUMIF(куб!$C:$C,$C534,куб!N:N),IF($B534&lt;&gt;0,SUMIF(куб!$B:$B,$B534,куб!N:N))))))</f>
        <v>0</v>
      </c>
      <c r="Y534" s="27" t="b">
        <f>IF($G534&lt;&gt;0,SUMIF(куб!$G:$G,$G534,куб!O:O),IF($E534&lt;&gt;0,SUMIF(куб!$E:$E,$E534,куб!O:O),IF($D534&lt;&gt;0,SUMIF(куб!$D:$D,$D534,куб!O:O),IF($C534&lt;&gt;0,SUMIF(куб!$C:$C,$C534,куб!O:O),IF($B534&lt;&gt;0,SUMIF(куб!$B:$B,$B534,куб!O:O))))))</f>
        <v>0</v>
      </c>
      <c r="Z534" s="13" t="str">
        <f t="shared" si="189"/>
        <v>-</v>
      </c>
      <c r="AA534" s="5"/>
      <c r="AB534" s="33" t="str">
        <f t="shared" si="190"/>
        <v/>
      </c>
      <c r="AC534" s="33" t="str">
        <f t="shared" si="191"/>
        <v/>
      </c>
      <c r="AD534" s="15" t="str">
        <f t="shared" si="192"/>
        <v xml:space="preserve"> </v>
      </c>
      <c r="AE534" s="5"/>
      <c r="AF534" s="27" t="b">
        <f>IF($G534&lt;&gt;0,SUMIF(куб!$G:$G,$G534,куб!R:R),IF($E534&lt;&gt;0,SUMIF(куб!$E:$E,$E534,куб!R:R),IF($D534&lt;&gt;0,SUMIF(куб!$D:$D,$D534,куб!R:R),IF($C534&lt;&gt;0,SUMIF(куб!$C:$C,$C534,куб!R:R),IF($B534&lt;&gt;0,SUMIF(куб!$B:$B,$B534,куб!R:R))))))</f>
        <v>0</v>
      </c>
      <c r="AG534" s="27" t="b">
        <f>IF($G534&lt;&gt;0,SUMIF(куб!$G:$G,$G534,куб!S:S),IF($E534&lt;&gt;0,SUMIF(куб!$E:$E,$E534,куб!S:S),IF($D534&lt;&gt;0,SUMIF(куб!$D:$D,$D534,куб!S:S),IF($C534&lt;&gt;0,SUMIF(куб!$C:$C,$C534,куб!S:S),IF($B534&lt;&gt;0,SUMIF(куб!$B:$B,$B534,куб!S:S))))))</f>
        <v>0</v>
      </c>
      <c r="AH534" s="16" t="str">
        <f t="shared" si="193"/>
        <v>-</v>
      </c>
      <c r="AI534" s="8"/>
      <c r="AJ534" s="27" t="b">
        <f>IF($G534&lt;&gt;0,SUMIF(куб!$G:$G,$G534,куб!T:T),IF($E534&lt;&gt;0,SUMIF(куб!$E:$E,$E534,куб!T:T),IF($D534&lt;&gt;0,SUMIF(куб!$D:$D,$D534,куб!T:T),IF($C534&lt;&gt;0,SUMIF(куб!$C:$C,$C534,куб!T:T),IF($B534&lt;&gt;0,SUMIF(куб!$B:$B,$B534,куб!T:T))))))</f>
        <v>0</v>
      </c>
      <c r="AK534" s="27" t="b">
        <f>IF($G534&lt;&gt;0,SUMIF(куб!$G:$G,$G534,куб!U:U),IF($E534&lt;&gt;0,SUMIF(куб!$E:$E,$E534,куб!U:U),IF($D534&lt;&gt;0,SUMIF(куб!$D:$D,$D534,куб!U:U),IF($C534&lt;&gt;0,SUMIF(куб!$C:$C,$C534,куб!U:U),IF($B534&lt;&gt;0,SUMIF(куб!$B:$B,$B534,куб!U:U))))))</f>
        <v>0</v>
      </c>
      <c r="AL534" s="16" t="str">
        <f t="shared" si="194"/>
        <v>-</v>
      </c>
      <c r="AM534" s="8"/>
      <c r="AN534" s="17" t="str">
        <f t="shared" si="195"/>
        <v xml:space="preserve"> </v>
      </c>
      <c r="AO534" s="17" t="str">
        <f t="shared" si="196"/>
        <v xml:space="preserve"> </v>
      </c>
      <c r="AP534" s="16" t="str">
        <f t="shared" si="197"/>
        <v>-</v>
      </c>
      <c r="AQ534" s="8"/>
      <c r="AR534" s="17" t="str">
        <f t="shared" si="198"/>
        <v>-</v>
      </c>
      <c r="AS534" s="17" t="str">
        <f t="shared" si="199"/>
        <v>-</v>
      </c>
      <c r="AT534" s="13" t="str">
        <f t="shared" si="200"/>
        <v>-</v>
      </c>
      <c r="AU534" s="8"/>
    </row>
    <row r="535" spans="1:47" x14ac:dyDescent="0.25">
      <c r="A535" s="31"/>
      <c r="B535" s="31"/>
      <c r="C535"/>
      <c r="D535" s="31"/>
      <c r="E535"/>
      <c r="F535" s="31"/>
      <c r="G535"/>
      <c r="H535" s="27">
        <f>IF($G535&lt;&gt;0,SUMIF(куб!$G:$G,$G535,куб!H:H),IF($E535&lt;&gt;0,SUMIF(куб!$E:$E,$E535,куб!H:H),IF($D535&lt;&gt;0,SUMIF(куб!$D:$D,$D535,куб!H:H),IF($C535&lt;&gt;0,SUMIF(куб!$C:$C,$C535,куб!H:H),IF($B535&lt;&gt;0,SUMIF(куб!$B:$B,$B535,куб!H:H),IF($G535&lt;&gt;0,SUMIF(куб!$A:$A,$G535,куб!H:H),SUMIF(куб!$A:$A,$G535,куб!H:H)))))))</f>
        <v>0</v>
      </c>
      <c r="I535" s="27">
        <f>IF($G535&lt;&gt;0,SUMIF(куб!$G:$G,$G535,куб!I:I),IF($E535&lt;&gt;0,SUMIF(куб!$E:$E,$E535,куб!I:I),IF($D535&lt;&gt;0,SUMIF(куб!$D:$D,$D535,куб!I:I),IF($C535&lt;&gt;0,SUMIF(куб!$C:$C,$C535,куб!I:I),IF($B535&lt;&gt;0,SUMIF(куб!$B:$B,$B535,куб!I:I),IF($G535&lt;&gt;0,SUMIF(куб!$A:$A,$G535,куб!I:I),SUMIF(куб!$A:$A,$G535,куб!I:I)))))))</f>
        <v>0</v>
      </c>
      <c r="J535" s="19" t="str">
        <f t="shared" si="183"/>
        <v>-</v>
      </c>
      <c r="K535" s="8"/>
      <c r="L535" s="17">
        <f t="shared" si="184"/>
        <v>0</v>
      </c>
      <c r="M535" s="17">
        <f t="shared" si="185"/>
        <v>0</v>
      </c>
      <c r="N535" s="12">
        <f t="shared" si="186"/>
        <v>0</v>
      </c>
      <c r="O535" s="5"/>
      <c r="P535" s="27" t="b">
        <f>IF($G535&lt;&gt;0,SUMIF(куб!$G:$G,$G535,куб!J:J),IF($E535&lt;&gt;0,SUMIF(куб!$E:$E,$E535,куб!J:J),IF($D535&lt;&gt;0,SUMIF(куб!$D:$D,$D535,куб!J:J),IF($C535&lt;&gt;0,SUMIF(куб!$C:$C,$C535,куб!J:J),IF($B535&lt;&gt;0,SUMIF(куб!$B:$B,$B535,куб!J:J))))))</f>
        <v>0</v>
      </c>
      <c r="Q535" s="27" t="b">
        <f>IF($G535&lt;&gt;0,SUMIF(куб!$G:$G,$G535,куб!K:K),IF($E535&lt;&gt;0,SUMIF(куб!$E:$E,$E535,куб!K:K),IF($D535&lt;&gt;0,SUMIF(куб!$D:$D,$D535,куб!K:K),IF($C535&lt;&gt;0,SUMIF(куб!$C:$C,$C535,куб!K:K),IF($B535&lt;&gt;0,SUMIF(куб!$B:$B,$B535,куб!K:K))))))</f>
        <v>0</v>
      </c>
      <c r="R535" s="13" t="str">
        <f t="shared" si="187"/>
        <v>-</v>
      </c>
      <c r="S535" s="5"/>
      <c r="T535" s="27" t="b">
        <f>IF($G535&lt;&gt;0,SUMIF(куб!$G:$G,$G535,куб!L:L),IF($E535&lt;&gt;0,SUMIF(куб!$E:$E,$E535,куб!L:L),IF($D535&lt;&gt;0,SUMIF(куб!$D:$D,$D535,куб!L:L),IF($C535&lt;&gt;0,SUMIF(куб!$C:$C,$C535,куб!L:L),IF($B535&lt;&gt;0,SUMIF(куб!$B:$B,$B535,куб!L:L))))))</f>
        <v>0</v>
      </c>
      <c r="U535" s="27" t="b">
        <f>IF($G535&lt;&gt;0,SUMIF(куб!$G:$G,$G535,куб!M:M),IF($E535&lt;&gt;0,SUMIF(куб!$E:$E,$E535,куб!M:M),IF($D535&lt;&gt;0,SUMIF(куб!$D:$D,$D535,куб!M:M),IF($C535&lt;&gt;0,SUMIF(куб!$C:$C,$C535,куб!M:M),IF($B535&lt;&gt;0,SUMIF(куб!$B:$B,$B535,куб!M:M))))))</f>
        <v>0</v>
      </c>
      <c r="V535" s="13" t="str">
        <f t="shared" si="188"/>
        <v>-</v>
      </c>
      <c r="W535" s="5"/>
      <c r="X535" s="27" t="b">
        <f>IF($G535&lt;&gt;0,SUMIF(куб!$G:$G,$G535,куб!N:N),IF($E535&lt;&gt;0,SUMIF(куб!$E:$E,$E535,куб!N:N),IF($D535&lt;&gt;0,SUMIF(куб!$D:$D,$D535,куб!N:N),IF($C535&lt;&gt;0,SUMIF(куб!$C:$C,$C535,куб!N:N),IF($B535&lt;&gt;0,SUMIF(куб!$B:$B,$B535,куб!N:N))))))</f>
        <v>0</v>
      </c>
      <c r="Y535" s="27" t="b">
        <f>IF($G535&lt;&gt;0,SUMIF(куб!$G:$G,$G535,куб!O:O),IF($E535&lt;&gt;0,SUMIF(куб!$E:$E,$E535,куб!O:O),IF($D535&lt;&gt;0,SUMIF(куб!$D:$D,$D535,куб!O:O),IF($C535&lt;&gt;0,SUMIF(куб!$C:$C,$C535,куб!O:O),IF($B535&lt;&gt;0,SUMIF(куб!$B:$B,$B535,куб!O:O))))))</f>
        <v>0</v>
      </c>
      <c r="Z535" s="13" t="str">
        <f t="shared" si="189"/>
        <v>-</v>
      </c>
      <c r="AA535" s="5"/>
      <c r="AB535" s="33" t="str">
        <f t="shared" si="190"/>
        <v/>
      </c>
      <c r="AC535" s="33" t="str">
        <f t="shared" si="191"/>
        <v/>
      </c>
      <c r="AD535" s="15" t="str">
        <f t="shared" si="192"/>
        <v xml:space="preserve"> </v>
      </c>
      <c r="AE535" s="5"/>
      <c r="AF535" s="27" t="b">
        <f>IF($G535&lt;&gt;0,SUMIF(куб!$G:$G,$G535,куб!R:R),IF($E535&lt;&gt;0,SUMIF(куб!$E:$E,$E535,куб!R:R),IF($D535&lt;&gt;0,SUMIF(куб!$D:$D,$D535,куб!R:R),IF($C535&lt;&gt;0,SUMIF(куб!$C:$C,$C535,куб!R:R),IF($B535&lt;&gt;0,SUMIF(куб!$B:$B,$B535,куб!R:R))))))</f>
        <v>0</v>
      </c>
      <c r="AG535" s="27" t="b">
        <f>IF($G535&lt;&gt;0,SUMIF(куб!$G:$G,$G535,куб!S:S),IF($E535&lt;&gt;0,SUMIF(куб!$E:$E,$E535,куб!S:S),IF($D535&lt;&gt;0,SUMIF(куб!$D:$D,$D535,куб!S:S),IF($C535&lt;&gt;0,SUMIF(куб!$C:$C,$C535,куб!S:S),IF($B535&lt;&gt;0,SUMIF(куб!$B:$B,$B535,куб!S:S))))))</f>
        <v>0</v>
      </c>
      <c r="AH535" s="16" t="str">
        <f t="shared" si="193"/>
        <v>-</v>
      </c>
      <c r="AI535" s="8"/>
      <c r="AJ535" s="27" t="b">
        <f>IF($G535&lt;&gt;0,SUMIF(куб!$G:$G,$G535,куб!T:T),IF($E535&lt;&gt;0,SUMIF(куб!$E:$E,$E535,куб!T:T),IF($D535&lt;&gt;0,SUMIF(куб!$D:$D,$D535,куб!T:T),IF($C535&lt;&gt;0,SUMIF(куб!$C:$C,$C535,куб!T:T),IF($B535&lt;&gt;0,SUMIF(куб!$B:$B,$B535,куб!T:T))))))</f>
        <v>0</v>
      </c>
      <c r="AK535" s="27" t="b">
        <f>IF($G535&lt;&gt;0,SUMIF(куб!$G:$G,$G535,куб!U:U),IF($E535&lt;&gt;0,SUMIF(куб!$E:$E,$E535,куб!U:U),IF($D535&lt;&gt;0,SUMIF(куб!$D:$D,$D535,куб!U:U),IF($C535&lt;&gt;0,SUMIF(куб!$C:$C,$C535,куб!U:U),IF($B535&lt;&gt;0,SUMIF(куб!$B:$B,$B535,куб!U:U))))))</f>
        <v>0</v>
      </c>
      <c r="AL535" s="16" t="str">
        <f t="shared" si="194"/>
        <v>-</v>
      </c>
      <c r="AM535" s="8"/>
      <c r="AN535" s="17" t="str">
        <f t="shared" si="195"/>
        <v xml:space="preserve"> </v>
      </c>
      <c r="AO535" s="17" t="str">
        <f t="shared" si="196"/>
        <v xml:space="preserve"> </v>
      </c>
      <c r="AP535" s="16" t="str">
        <f t="shared" si="197"/>
        <v>-</v>
      </c>
      <c r="AQ535" s="8"/>
      <c r="AR535" s="17" t="str">
        <f t="shared" si="198"/>
        <v>-</v>
      </c>
      <c r="AS535" s="17" t="str">
        <f t="shared" si="199"/>
        <v>-</v>
      </c>
      <c r="AT535" s="13" t="str">
        <f t="shared" si="200"/>
        <v>-</v>
      </c>
      <c r="AU535" s="8"/>
    </row>
    <row r="536" spans="1:47" x14ac:dyDescent="0.25">
      <c r="A536" s="31"/>
      <c r="B536" s="31"/>
      <c r="C536"/>
      <c r="D536" s="31"/>
      <c r="E536"/>
      <c r="F536" s="31"/>
      <c r="G536"/>
      <c r="H536" s="27">
        <f>IF($G536&lt;&gt;0,SUMIF(куб!$G:$G,$G536,куб!H:H),IF($E536&lt;&gt;0,SUMIF(куб!$E:$E,$E536,куб!H:H),IF($D536&lt;&gt;0,SUMIF(куб!$D:$D,$D536,куб!H:H),IF($C536&lt;&gt;0,SUMIF(куб!$C:$C,$C536,куб!H:H),IF($B536&lt;&gt;0,SUMIF(куб!$B:$B,$B536,куб!H:H),IF($G536&lt;&gt;0,SUMIF(куб!$A:$A,$G536,куб!H:H),SUMIF(куб!$A:$A,$G536,куб!H:H)))))))</f>
        <v>0</v>
      </c>
      <c r="I536" s="27">
        <f>IF($G536&lt;&gt;0,SUMIF(куб!$G:$G,$G536,куб!I:I),IF($E536&lt;&gt;0,SUMIF(куб!$E:$E,$E536,куб!I:I),IF($D536&lt;&gt;0,SUMIF(куб!$D:$D,$D536,куб!I:I),IF($C536&lt;&gt;0,SUMIF(куб!$C:$C,$C536,куб!I:I),IF($B536&lt;&gt;0,SUMIF(куб!$B:$B,$B536,куб!I:I),IF($G536&lt;&gt;0,SUMIF(куб!$A:$A,$G536,куб!I:I),SUMIF(куб!$A:$A,$G536,куб!I:I)))))))</f>
        <v>0</v>
      </c>
      <c r="J536" s="19" t="str">
        <f t="shared" si="183"/>
        <v>-</v>
      </c>
      <c r="K536" s="8"/>
      <c r="L536" s="17">
        <f t="shared" si="184"/>
        <v>0</v>
      </c>
      <c r="M536" s="17">
        <f t="shared" si="185"/>
        <v>0</v>
      </c>
      <c r="N536" s="12">
        <f t="shared" si="186"/>
        <v>0</v>
      </c>
      <c r="O536" s="5"/>
      <c r="P536" s="27" t="b">
        <f>IF($G536&lt;&gt;0,SUMIF(куб!$G:$G,$G536,куб!J:J),IF($E536&lt;&gt;0,SUMIF(куб!$E:$E,$E536,куб!J:J),IF($D536&lt;&gt;0,SUMIF(куб!$D:$D,$D536,куб!J:J),IF($C536&lt;&gt;0,SUMIF(куб!$C:$C,$C536,куб!J:J),IF($B536&lt;&gt;0,SUMIF(куб!$B:$B,$B536,куб!J:J))))))</f>
        <v>0</v>
      </c>
      <c r="Q536" s="27" t="b">
        <f>IF($G536&lt;&gt;0,SUMIF(куб!$G:$G,$G536,куб!K:K),IF($E536&lt;&gt;0,SUMIF(куб!$E:$E,$E536,куб!K:K),IF($D536&lt;&gt;0,SUMIF(куб!$D:$D,$D536,куб!K:K),IF($C536&lt;&gt;0,SUMIF(куб!$C:$C,$C536,куб!K:K),IF($B536&lt;&gt;0,SUMIF(куб!$B:$B,$B536,куб!K:K))))))</f>
        <v>0</v>
      </c>
      <c r="R536" s="13" t="str">
        <f t="shared" si="187"/>
        <v>-</v>
      </c>
      <c r="S536" s="5"/>
      <c r="T536" s="27" t="b">
        <f>IF($G536&lt;&gt;0,SUMIF(куб!$G:$G,$G536,куб!L:L),IF($E536&lt;&gt;0,SUMIF(куб!$E:$E,$E536,куб!L:L),IF($D536&lt;&gt;0,SUMIF(куб!$D:$D,$D536,куб!L:L),IF($C536&lt;&gt;0,SUMIF(куб!$C:$C,$C536,куб!L:L),IF($B536&lt;&gt;0,SUMIF(куб!$B:$B,$B536,куб!L:L))))))</f>
        <v>0</v>
      </c>
      <c r="U536" s="27" t="b">
        <f>IF($G536&lt;&gt;0,SUMIF(куб!$G:$G,$G536,куб!M:M),IF($E536&lt;&gt;0,SUMIF(куб!$E:$E,$E536,куб!M:M),IF($D536&lt;&gt;0,SUMIF(куб!$D:$D,$D536,куб!M:M),IF($C536&lt;&gt;0,SUMIF(куб!$C:$C,$C536,куб!M:M),IF($B536&lt;&gt;0,SUMIF(куб!$B:$B,$B536,куб!M:M))))))</f>
        <v>0</v>
      </c>
      <c r="V536" s="13" t="str">
        <f t="shared" si="188"/>
        <v>-</v>
      </c>
      <c r="W536" s="5"/>
      <c r="X536" s="27" t="b">
        <f>IF($G536&lt;&gt;0,SUMIF(куб!$G:$G,$G536,куб!N:N),IF($E536&lt;&gt;0,SUMIF(куб!$E:$E,$E536,куб!N:N),IF($D536&lt;&gt;0,SUMIF(куб!$D:$D,$D536,куб!N:N),IF($C536&lt;&gt;0,SUMIF(куб!$C:$C,$C536,куб!N:N),IF($B536&lt;&gt;0,SUMIF(куб!$B:$B,$B536,куб!N:N))))))</f>
        <v>0</v>
      </c>
      <c r="Y536" s="27" t="b">
        <f>IF($G536&lt;&gt;0,SUMIF(куб!$G:$G,$G536,куб!O:O),IF($E536&lt;&gt;0,SUMIF(куб!$E:$E,$E536,куб!O:O),IF($D536&lt;&gt;0,SUMIF(куб!$D:$D,$D536,куб!O:O),IF($C536&lt;&gt;0,SUMIF(куб!$C:$C,$C536,куб!O:O),IF($B536&lt;&gt;0,SUMIF(куб!$B:$B,$B536,куб!O:O))))))</f>
        <v>0</v>
      </c>
      <c r="Z536" s="13" t="str">
        <f t="shared" si="189"/>
        <v>-</v>
      </c>
      <c r="AA536" s="5"/>
      <c r="AB536" s="33" t="str">
        <f t="shared" si="190"/>
        <v/>
      </c>
      <c r="AC536" s="33" t="str">
        <f t="shared" si="191"/>
        <v/>
      </c>
      <c r="AD536" s="15" t="str">
        <f t="shared" si="192"/>
        <v xml:space="preserve"> </v>
      </c>
      <c r="AE536" s="5"/>
      <c r="AF536" s="27" t="b">
        <f>IF($G536&lt;&gt;0,SUMIF(куб!$G:$G,$G536,куб!R:R),IF($E536&lt;&gt;0,SUMIF(куб!$E:$E,$E536,куб!R:R),IF($D536&lt;&gt;0,SUMIF(куб!$D:$D,$D536,куб!R:R),IF($C536&lt;&gt;0,SUMIF(куб!$C:$C,$C536,куб!R:R),IF($B536&lt;&gt;0,SUMIF(куб!$B:$B,$B536,куб!R:R))))))</f>
        <v>0</v>
      </c>
      <c r="AG536" s="27" t="b">
        <f>IF($G536&lt;&gt;0,SUMIF(куб!$G:$G,$G536,куб!S:S),IF($E536&lt;&gt;0,SUMIF(куб!$E:$E,$E536,куб!S:S),IF($D536&lt;&gt;0,SUMIF(куб!$D:$D,$D536,куб!S:S),IF($C536&lt;&gt;0,SUMIF(куб!$C:$C,$C536,куб!S:S),IF($B536&lt;&gt;0,SUMIF(куб!$B:$B,$B536,куб!S:S))))))</f>
        <v>0</v>
      </c>
      <c r="AH536" s="16" t="str">
        <f t="shared" si="193"/>
        <v>-</v>
      </c>
      <c r="AI536" s="8"/>
      <c r="AJ536" s="27" t="b">
        <f>IF($G536&lt;&gt;0,SUMIF(куб!$G:$G,$G536,куб!T:T),IF($E536&lt;&gt;0,SUMIF(куб!$E:$E,$E536,куб!T:T),IF($D536&lt;&gt;0,SUMIF(куб!$D:$D,$D536,куб!T:T),IF($C536&lt;&gt;0,SUMIF(куб!$C:$C,$C536,куб!T:T),IF($B536&lt;&gt;0,SUMIF(куб!$B:$B,$B536,куб!T:T))))))</f>
        <v>0</v>
      </c>
      <c r="AK536" s="27" t="b">
        <f>IF($G536&lt;&gt;0,SUMIF(куб!$G:$G,$G536,куб!U:U),IF($E536&lt;&gt;0,SUMIF(куб!$E:$E,$E536,куб!U:U),IF($D536&lt;&gt;0,SUMIF(куб!$D:$D,$D536,куб!U:U),IF($C536&lt;&gt;0,SUMIF(куб!$C:$C,$C536,куб!U:U),IF($B536&lt;&gt;0,SUMIF(куб!$B:$B,$B536,куб!U:U))))))</f>
        <v>0</v>
      </c>
      <c r="AL536" s="16" t="str">
        <f t="shared" si="194"/>
        <v>-</v>
      </c>
      <c r="AM536" s="8"/>
      <c r="AN536" s="17" t="str">
        <f t="shared" si="195"/>
        <v xml:space="preserve"> </v>
      </c>
      <c r="AO536" s="17" t="str">
        <f t="shared" si="196"/>
        <v xml:space="preserve"> </v>
      </c>
      <c r="AP536" s="16" t="str">
        <f t="shared" si="197"/>
        <v>-</v>
      </c>
      <c r="AQ536" s="8"/>
      <c r="AR536" s="17" t="str">
        <f t="shared" si="198"/>
        <v>-</v>
      </c>
      <c r="AS536" s="17" t="str">
        <f t="shared" si="199"/>
        <v>-</v>
      </c>
      <c r="AT536" s="13" t="str">
        <f t="shared" si="200"/>
        <v>-</v>
      </c>
      <c r="AU536" s="8"/>
    </row>
    <row r="537" spans="1:47" x14ac:dyDescent="0.25">
      <c r="A537" s="31"/>
      <c r="B537" s="31"/>
      <c r="C537"/>
      <c r="D537" s="31"/>
      <c r="E537"/>
      <c r="F537" s="31"/>
      <c r="G537"/>
      <c r="H537" s="27">
        <f>IF($G537&lt;&gt;0,SUMIF(куб!$G:$G,$G537,куб!H:H),IF($E537&lt;&gt;0,SUMIF(куб!$E:$E,$E537,куб!H:H),IF($D537&lt;&gt;0,SUMIF(куб!$D:$D,$D537,куб!H:H),IF($C537&lt;&gt;0,SUMIF(куб!$C:$C,$C537,куб!H:H),IF($B537&lt;&gt;0,SUMIF(куб!$B:$B,$B537,куб!H:H),IF($G537&lt;&gt;0,SUMIF(куб!$A:$A,$G537,куб!H:H),SUMIF(куб!$A:$A,$G537,куб!H:H)))))))</f>
        <v>0</v>
      </c>
      <c r="I537" s="27">
        <f>IF($G537&lt;&gt;0,SUMIF(куб!$G:$G,$G537,куб!I:I),IF($E537&lt;&gt;0,SUMIF(куб!$E:$E,$E537,куб!I:I),IF($D537&lt;&gt;0,SUMIF(куб!$D:$D,$D537,куб!I:I),IF($C537&lt;&gt;0,SUMIF(куб!$C:$C,$C537,куб!I:I),IF($B537&lt;&gt;0,SUMIF(куб!$B:$B,$B537,куб!I:I),IF($G537&lt;&gt;0,SUMIF(куб!$A:$A,$G537,куб!I:I),SUMIF(куб!$A:$A,$G537,куб!I:I)))))))</f>
        <v>0</v>
      </c>
      <c r="J537" s="19" t="str">
        <f t="shared" si="183"/>
        <v>-</v>
      </c>
      <c r="K537" s="8"/>
      <c r="L537" s="17">
        <f t="shared" si="184"/>
        <v>0</v>
      </c>
      <c r="M537" s="17">
        <f t="shared" si="185"/>
        <v>0</v>
      </c>
      <c r="N537" s="12">
        <f t="shared" si="186"/>
        <v>0</v>
      </c>
      <c r="O537" s="5"/>
      <c r="P537" s="27" t="b">
        <f>IF($G537&lt;&gt;0,SUMIF(куб!$G:$G,$G537,куб!J:J),IF($E537&lt;&gt;0,SUMIF(куб!$E:$E,$E537,куб!J:J),IF($D537&lt;&gt;0,SUMIF(куб!$D:$D,$D537,куб!J:J),IF($C537&lt;&gt;0,SUMIF(куб!$C:$C,$C537,куб!J:J),IF($B537&lt;&gt;0,SUMIF(куб!$B:$B,$B537,куб!J:J))))))</f>
        <v>0</v>
      </c>
      <c r="Q537" s="27" t="b">
        <f>IF($G537&lt;&gt;0,SUMIF(куб!$G:$G,$G537,куб!K:K),IF($E537&lt;&gt;0,SUMIF(куб!$E:$E,$E537,куб!K:K),IF($D537&lt;&gt;0,SUMIF(куб!$D:$D,$D537,куб!K:K),IF($C537&lt;&gt;0,SUMIF(куб!$C:$C,$C537,куб!K:K),IF($B537&lt;&gt;0,SUMIF(куб!$B:$B,$B537,куб!K:K))))))</f>
        <v>0</v>
      </c>
      <c r="R537" s="13" t="str">
        <f t="shared" si="187"/>
        <v>-</v>
      </c>
      <c r="S537" s="5"/>
      <c r="T537" s="27" t="b">
        <f>IF($G537&lt;&gt;0,SUMIF(куб!$G:$G,$G537,куб!L:L),IF($E537&lt;&gt;0,SUMIF(куб!$E:$E,$E537,куб!L:L),IF($D537&lt;&gt;0,SUMIF(куб!$D:$D,$D537,куб!L:L),IF($C537&lt;&gt;0,SUMIF(куб!$C:$C,$C537,куб!L:L),IF($B537&lt;&gt;0,SUMIF(куб!$B:$B,$B537,куб!L:L))))))</f>
        <v>0</v>
      </c>
      <c r="U537" s="27" t="b">
        <f>IF($G537&lt;&gt;0,SUMIF(куб!$G:$G,$G537,куб!M:M),IF($E537&lt;&gt;0,SUMIF(куб!$E:$E,$E537,куб!M:M),IF($D537&lt;&gt;0,SUMIF(куб!$D:$D,$D537,куб!M:M),IF($C537&lt;&gt;0,SUMIF(куб!$C:$C,$C537,куб!M:M),IF($B537&lt;&gt;0,SUMIF(куб!$B:$B,$B537,куб!M:M))))))</f>
        <v>0</v>
      </c>
      <c r="V537" s="13" t="str">
        <f t="shared" si="188"/>
        <v>-</v>
      </c>
      <c r="W537" s="5"/>
      <c r="X537" s="27" t="b">
        <f>IF($G537&lt;&gt;0,SUMIF(куб!$G:$G,$G537,куб!N:N),IF($E537&lt;&gt;0,SUMIF(куб!$E:$E,$E537,куб!N:N),IF($D537&lt;&gt;0,SUMIF(куб!$D:$D,$D537,куб!N:N),IF($C537&lt;&gt;0,SUMIF(куб!$C:$C,$C537,куб!N:N),IF($B537&lt;&gt;0,SUMIF(куб!$B:$B,$B537,куб!N:N))))))</f>
        <v>0</v>
      </c>
      <c r="Y537" s="27" t="b">
        <f>IF($G537&lt;&gt;0,SUMIF(куб!$G:$G,$G537,куб!O:O),IF($E537&lt;&gt;0,SUMIF(куб!$E:$E,$E537,куб!O:O),IF($D537&lt;&gt;0,SUMIF(куб!$D:$D,$D537,куб!O:O),IF($C537&lt;&gt;0,SUMIF(куб!$C:$C,$C537,куб!O:O),IF($B537&lt;&gt;0,SUMIF(куб!$B:$B,$B537,куб!O:O))))))</f>
        <v>0</v>
      </c>
      <c r="Z537" s="13" t="str">
        <f t="shared" si="189"/>
        <v>-</v>
      </c>
      <c r="AA537" s="5"/>
      <c r="AB537" s="33" t="str">
        <f t="shared" si="190"/>
        <v/>
      </c>
      <c r="AC537" s="33" t="str">
        <f t="shared" si="191"/>
        <v/>
      </c>
      <c r="AD537" s="15" t="str">
        <f t="shared" si="192"/>
        <v xml:space="preserve"> </v>
      </c>
      <c r="AE537" s="5"/>
      <c r="AF537" s="27" t="b">
        <f>IF($G537&lt;&gt;0,SUMIF(куб!$G:$G,$G537,куб!R:R),IF($E537&lt;&gt;0,SUMIF(куб!$E:$E,$E537,куб!R:R),IF($D537&lt;&gt;0,SUMIF(куб!$D:$D,$D537,куб!R:R),IF($C537&lt;&gt;0,SUMIF(куб!$C:$C,$C537,куб!R:R),IF($B537&lt;&gt;0,SUMIF(куб!$B:$B,$B537,куб!R:R))))))</f>
        <v>0</v>
      </c>
      <c r="AG537" s="27" t="b">
        <f>IF($G537&lt;&gt;0,SUMIF(куб!$G:$G,$G537,куб!S:S),IF($E537&lt;&gt;0,SUMIF(куб!$E:$E,$E537,куб!S:S),IF($D537&lt;&gt;0,SUMIF(куб!$D:$D,$D537,куб!S:S),IF($C537&lt;&gt;0,SUMIF(куб!$C:$C,$C537,куб!S:S),IF($B537&lt;&gt;0,SUMIF(куб!$B:$B,$B537,куб!S:S))))))</f>
        <v>0</v>
      </c>
      <c r="AH537" s="16" t="str">
        <f t="shared" si="193"/>
        <v>-</v>
      </c>
      <c r="AI537" s="8"/>
      <c r="AJ537" s="27" t="b">
        <f>IF($G537&lt;&gt;0,SUMIF(куб!$G:$G,$G537,куб!T:T),IF($E537&lt;&gt;0,SUMIF(куб!$E:$E,$E537,куб!T:T),IF($D537&lt;&gt;0,SUMIF(куб!$D:$D,$D537,куб!T:T),IF($C537&lt;&gt;0,SUMIF(куб!$C:$C,$C537,куб!T:T),IF($B537&lt;&gt;0,SUMIF(куб!$B:$B,$B537,куб!T:T))))))</f>
        <v>0</v>
      </c>
      <c r="AK537" s="27" t="b">
        <f>IF($G537&lt;&gt;0,SUMIF(куб!$G:$G,$G537,куб!U:U),IF($E537&lt;&gt;0,SUMIF(куб!$E:$E,$E537,куб!U:U),IF($D537&lt;&gt;0,SUMIF(куб!$D:$D,$D537,куб!U:U),IF($C537&lt;&gt;0,SUMIF(куб!$C:$C,$C537,куб!U:U),IF($B537&lt;&gt;0,SUMIF(куб!$B:$B,$B537,куб!U:U))))))</f>
        <v>0</v>
      </c>
      <c r="AL537" s="16" t="str">
        <f t="shared" si="194"/>
        <v>-</v>
      </c>
      <c r="AM537" s="8"/>
      <c r="AN537" s="17" t="str">
        <f t="shared" si="195"/>
        <v xml:space="preserve"> </v>
      </c>
      <c r="AO537" s="17" t="str">
        <f t="shared" si="196"/>
        <v xml:space="preserve"> </v>
      </c>
      <c r="AP537" s="16" t="str">
        <f t="shared" si="197"/>
        <v>-</v>
      </c>
      <c r="AQ537" s="8"/>
      <c r="AR537" s="17" t="str">
        <f t="shared" si="198"/>
        <v>-</v>
      </c>
      <c r="AS537" s="17" t="str">
        <f t="shared" si="199"/>
        <v>-</v>
      </c>
      <c r="AT537" s="13" t="str">
        <f t="shared" si="200"/>
        <v>-</v>
      </c>
      <c r="AU537" s="8"/>
    </row>
    <row r="538" spans="1:47" x14ac:dyDescent="0.25">
      <c r="A538" s="31"/>
      <c r="B538" s="31"/>
      <c r="C538"/>
      <c r="D538" s="31"/>
      <c r="E538"/>
      <c r="F538" s="31"/>
      <c r="G538"/>
      <c r="H538" s="27">
        <f>IF($G538&lt;&gt;0,SUMIF(куб!$G:$G,$G538,куб!H:H),IF($E538&lt;&gt;0,SUMIF(куб!$E:$E,$E538,куб!H:H),IF($D538&lt;&gt;0,SUMIF(куб!$D:$D,$D538,куб!H:H),IF($C538&lt;&gt;0,SUMIF(куб!$C:$C,$C538,куб!H:H),IF($B538&lt;&gt;0,SUMIF(куб!$B:$B,$B538,куб!H:H),IF($G538&lt;&gt;0,SUMIF(куб!$A:$A,$G538,куб!H:H),SUMIF(куб!$A:$A,$G538,куб!H:H)))))))</f>
        <v>0</v>
      </c>
      <c r="I538" s="27">
        <f>IF($G538&lt;&gt;0,SUMIF(куб!$G:$G,$G538,куб!I:I),IF($E538&lt;&gt;0,SUMIF(куб!$E:$E,$E538,куб!I:I),IF($D538&lt;&gt;0,SUMIF(куб!$D:$D,$D538,куб!I:I),IF($C538&lt;&gt;0,SUMIF(куб!$C:$C,$C538,куб!I:I),IF($B538&lt;&gt;0,SUMIF(куб!$B:$B,$B538,куб!I:I),IF($G538&lt;&gt;0,SUMIF(куб!$A:$A,$G538,куб!I:I),SUMIF(куб!$A:$A,$G538,куб!I:I)))))))</f>
        <v>0</v>
      </c>
      <c r="J538" s="19" t="str">
        <f t="shared" si="183"/>
        <v>-</v>
      </c>
      <c r="K538" s="8"/>
      <c r="L538" s="17">
        <f t="shared" si="184"/>
        <v>0</v>
      </c>
      <c r="M538" s="17">
        <f t="shared" si="185"/>
        <v>0</v>
      </c>
      <c r="N538" s="12">
        <f t="shared" si="186"/>
        <v>0</v>
      </c>
      <c r="O538" s="5"/>
      <c r="P538" s="27" t="b">
        <f>IF($G538&lt;&gt;0,SUMIF(куб!$G:$G,$G538,куб!J:J),IF($E538&lt;&gt;0,SUMIF(куб!$E:$E,$E538,куб!J:J),IF($D538&lt;&gt;0,SUMIF(куб!$D:$D,$D538,куб!J:J),IF($C538&lt;&gt;0,SUMIF(куб!$C:$C,$C538,куб!J:J),IF($B538&lt;&gt;0,SUMIF(куб!$B:$B,$B538,куб!J:J))))))</f>
        <v>0</v>
      </c>
      <c r="Q538" s="27" t="b">
        <f>IF($G538&lt;&gt;0,SUMIF(куб!$G:$G,$G538,куб!K:K),IF($E538&lt;&gt;0,SUMIF(куб!$E:$E,$E538,куб!K:K),IF($D538&lt;&gt;0,SUMIF(куб!$D:$D,$D538,куб!K:K),IF($C538&lt;&gt;0,SUMIF(куб!$C:$C,$C538,куб!K:K),IF($B538&lt;&gt;0,SUMIF(куб!$B:$B,$B538,куб!K:K))))))</f>
        <v>0</v>
      </c>
      <c r="R538" s="13" t="str">
        <f t="shared" si="187"/>
        <v>-</v>
      </c>
      <c r="S538" s="5"/>
      <c r="T538" s="27" t="b">
        <f>IF($G538&lt;&gt;0,SUMIF(куб!$G:$G,$G538,куб!L:L),IF($E538&lt;&gt;0,SUMIF(куб!$E:$E,$E538,куб!L:L),IF($D538&lt;&gt;0,SUMIF(куб!$D:$D,$D538,куб!L:L),IF($C538&lt;&gt;0,SUMIF(куб!$C:$C,$C538,куб!L:L),IF($B538&lt;&gt;0,SUMIF(куб!$B:$B,$B538,куб!L:L))))))</f>
        <v>0</v>
      </c>
      <c r="U538" s="27" t="b">
        <f>IF($G538&lt;&gt;0,SUMIF(куб!$G:$G,$G538,куб!M:M),IF($E538&lt;&gt;0,SUMIF(куб!$E:$E,$E538,куб!M:M),IF($D538&lt;&gt;0,SUMIF(куб!$D:$D,$D538,куб!M:M),IF($C538&lt;&gt;0,SUMIF(куб!$C:$C,$C538,куб!M:M),IF($B538&lt;&gt;0,SUMIF(куб!$B:$B,$B538,куб!M:M))))))</f>
        <v>0</v>
      </c>
      <c r="V538" s="13" t="str">
        <f t="shared" si="188"/>
        <v>-</v>
      </c>
      <c r="W538" s="5"/>
      <c r="X538" s="27" t="b">
        <f>IF($G538&lt;&gt;0,SUMIF(куб!$G:$G,$G538,куб!N:N),IF($E538&lt;&gt;0,SUMIF(куб!$E:$E,$E538,куб!N:N),IF($D538&lt;&gt;0,SUMIF(куб!$D:$D,$D538,куб!N:N),IF($C538&lt;&gt;0,SUMIF(куб!$C:$C,$C538,куб!N:N),IF($B538&lt;&gt;0,SUMIF(куб!$B:$B,$B538,куб!N:N))))))</f>
        <v>0</v>
      </c>
      <c r="Y538" s="27" t="b">
        <f>IF($G538&lt;&gt;0,SUMIF(куб!$G:$G,$G538,куб!O:O),IF($E538&lt;&gt;0,SUMIF(куб!$E:$E,$E538,куб!O:O),IF($D538&lt;&gt;0,SUMIF(куб!$D:$D,$D538,куб!O:O),IF($C538&lt;&gt;0,SUMIF(куб!$C:$C,$C538,куб!O:O),IF($B538&lt;&gt;0,SUMIF(куб!$B:$B,$B538,куб!O:O))))))</f>
        <v>0</v>
      </c>
      <c r="Z538" s="13" t="str">
        <f t="shared" si="189"/>
        <v>-</v>
      </c>
      <c r="AA538" s="5"/>
      <c r="AB538" s="33" t="str">
        <f t="shared" si="190"/>
        <v/>
      </c>
      <c r="AC538" s="33" t="str">
        <f t="shared" si="191"/>
        <v/>
      </c>
      <c r="AD538" s="15" t="str">
        <f t="shared" si="192"/>
        <v xml:space="preserve"> </v>
      </c>
      <c r="AE538" s="5"/>
      <c r="AF538" s="27" t="b">
        <f>IF($G538&lt;&gt;0,SUMIF(куб!$G:$G,$G538,куб!R:R),IF($E538&lt;&gt;0,SUMIF(куб!$E:$E,$E538,куб!R:R),IF($D538&lt;&gt;0,SUMIF(куб!$D:$D,$D538,куб!R:R),IF($C538&lt;&gt;0,SUMIF(куб!$C:$C,$C538,куб!R:R),IF($B538&lt;&gt;0,SUMIF(куб!$B:$B,$B538,куб!R:R))))))</f>
        <v>0</v>
      </c>
      <c r="AG538" s="27" t="b">
        <f>IF($G538&lt;&gt;0,SUMIF(куб!$G:$G,$G538,куб!S:S),IF($E538&lt;&gt;0,SUMIF(куб!$E:$E,$E538,куб!S:S),IF($D538&lt;&gt;0,SUMIF(куб!$D:$D,$D538,куб!S:S),IF($C538&lt;&gt;0,SUMIF(куб!$C:$C,$C538,куб!S:S),IF($B538&lt;&gt;0,SUMIF(куб!$B:$B,$B538,куб!S:S))))))</f>
        <v>0</v>
      </c>
      <c r="AH538" s="16" t="str">
        <f t="shared" si="193"/>
        <v>-</v>
      </c>
      <c r="AI538" s="8"/>
      <c r="AJ538" s="27" t="b">
        <f>IF($G538&lt;&gt;0,SUMIF(куб!$G:$G,$G538,куб!T:T),IF($E538&lt;&gt;0,SUMIF(куб!$E:$E,$E538,куб!T:T),IF($D538&lt;&gt;0,SUMIF(куб!$D:$D,$D538,куб!T:T),IF($C538&lt;&gt;0,SUMIF(куб!$C:$C,$C538,куб!T:T),IF($B538&lt;&gt;0,SUMIF(куб!$B:$B,$B538,куб!T:T))))))</f>
        <v>0</v>
      </c>
      <c r="AK538" s="27" t="b">
        <f>IF($G538&lt;&gt;0,SUMIF(куб!$G:$G,$G538,куб!U:U),IF($E538&lt;&gt;0,SUMIF(куб!$E:$E,$E538,куб!U:U),IF($D538&lt;&gt;0,SUMIF(куб!$D:$D,$D538,куб!U:U),IF($C538&lt;&gt;0,SUMIF(куб!$C:$C,$C538,куб!U:U),IF($B538&lt;&gt;0,SUMIF(куб!$B:$B,$B538,куб!U:U))))))</f>
        <v>0</v>
      </c>
      <c r="AL538" s="16" t="str">
        <f t="shared" si="194"/>
        <v>-</v>
      </c>
      <c r="AM538" s="8"/>
      <c r="AN538" s="17" t="str">
        <f t="shared" si="195"/>
        <v xml:space="preserve"> </v>
      </c>
      <c r="AO538" s="17" t="str">
        <f t="shared" si="196"/>
        <v xml:space="preserve"> </v>
      </c>
      <c r="AP538" s="16" t="str">
        <f t="shared" si="197"/>
        <v>-</v>
      </c>
      <c r="AQ538" s="8"/>
      <c r="AR538" s="17" t="str">
        <f t="shared" si="198"/>
        <v>-</v>
      </c>
      <c r="AS538" s="17" t="str">
        <f t="shared" si="199"/>
        <v>-</v>
      </c>
      <c r="AT538" s="13" t="str">
        <f t="shared" si="200"/>
        <v>-</v>
      </c>
      <c r="AU538" s="8"/>
    </row>
    <row r="539" spans="1:47" x14ac:dyDescent="0.25">
      <c r="A539" s="31"/>
      <c r="B539" s="31"/>
      <c r="C539"/>
      <c r="D539" s="31"/>
      <c r="E539"/>
      <c r="F539" s="31"/>
      <c r="G539"/>
      <c r="H539" s="27">
        <f>IF($G539&lt;&gt;0,SUMIF(куб!$G:$G,$G539,куб!H:H),IF($E539&lt;&gt;0,SUMIF(куб!$E:$E,$E539,куб!H:H),IF($D539&lt;&gt;0,SUMIF(куб!$D:$D,$D539,куб!H:H),IF($C539&lt;&gt;0,SUMIF(куб!$C:$C,$C539,куб!H:H),IF($B539&lt;&gt;0,SUMIF(куб!$B:$B,$B539,куб!H:H),IF($G539&lt;&gt;0,SUMIF(куб!$A:$A,$G539,куб!H:H),SUMIF(куб!$A:$A,$G539,куб!H:H)))))))</f>
        <v>0</v>
      </c>
      <c r="I539" s="27">
        <f>IF($G539&lt;&gt;0,SUMIF(куб!$G:$G,$G539,куб!I:I),IF($E539&lt;&gt;0,SUMIF(куб!$E:$E,$E539,куб!I:I),IF($D539&lt;&gt;0,SUMIF(куб!$D:$D,$D539,куб!I:I),IF($C539&lt;&gt;0,SUMIF(куб!$C:$C,$C539,куб!I:I),IF($B539&lt;&gt;0,SUMIF(куб!$B:$B,$B539,куб!I:I),IF($G539&lt;&gt;0,SUMIF(куб!$A:$A,$G539,куб!I:I),SUMIF(куб!$A:$A,$G539,куб!I:I)))))))</f>
        <v>0</v>
      </c>
      <c r="J539" s="19" t="str">
        <f t="shared" si="183"/>
        <v>-</v>
      </c>
      <c r="K539" s="8"/>
      <c r="L539" s="17">
        <f t="shared" si="184"/>
        <v>0</v>
      </c>
      <c r="M539" s="17">
        <f t="shared" si="185"/>
        <v>0</v>
      </c>
      <c r="N539" s="12">
        <f t="shared" si="186"/>
        <v>0</v>
      </c>
      <c r="O539" s="5"/>
      <c r="P539" s="27" t="b">
        <f>IF($G539&lt;&gt;0,SUMIF(куб!$G:$G,$G539,куб!J:J),IF($E539&lt;&gt;0,SUMIF(куб!$E:$E,$E539,куб!J:J),IF($D539&lt;&gt;0,SUMIF(куб!$D:$D,$D539,куб!J:J),IF($C539&lt;&gt;0,SUMIF(куб!$C:$C,$C539,куб!J:J),IF($B539&lt;&gt;0,SUMIF(куб!$B:$B,$B539,куб!J:J))))))</f>
        <v>0</v>
      </c>
      <c r="Q539" s="27" t="b">
        <f>IF($G539&lt;&gt;0,SUMIF(куб!$G:$G,$G539,куб!K:K),IF($E539&lt;&gt;0,SUMIF(куб!$E:$E,$E539,куб!K:K),IF($D539&lt;&gt;0,SUMIF(куб!$D:$D,$D539,куб!K:K),IF($C539&lt;&gt;0,SUMIF(куб!$C:$C,$C539,куб!K:K),IF($B539&lt;&gt;0,SUMIF(куб!$B:$B,$B539,куб!K:K))))))</f>
        <v>0</v>
      </c>
      <c r="R539" s="13" t="str">
        <f t="shared" si="187"/>
        <v>-</v>
      </c>
      <c r="S539" s="5"/>
      <c r="T539" s="27" t="b">
        <f>IF($G539&lt;&gt;0,SUMIF(куб!$G:$G,$G539,куб!L:L),IF($E539&lt;&gt;0,SUMIF(куб!$E:$E,$E539,куб!L:L),IF($D539&lt;&gt;0,SUMIF(куб!$D:$D,$D539,куб!L:L),IF($C539&lt;&gt;0,SUMIF(куб!$C:$C,$C539,куб!L:L),IF($B539&lt;&gt;0,SUMIF(куб!$B:$B,$B539,куб!L:L))))))</f>
        <v>0</v>
      </c>
      <c r="U539" s="27" t="b">
        <f>IF($G539&lt;&gt;0,SUMIF(куб!$G:$G,$G539,куб!M:M),IF($E539&lt;&gt;0,SUMIF(куб!$E:$E,$E539,куб!M:M),IF($D539&lt;&gt;0,SUMIF(куб!$D:$D,$D539,куб!M:M),IF($C539&lt;&gt;0,SUMIF(куб!$C:$C,$C539,куб!M:M),IF($B539&lt;&gt;0,SUMIF(куб!$B:$B,$B539,куб!M:M))))))</f>
        <v>0</v>
      </c>
      <c r="V539" s="13" t="str">
        <f t="shared" si="188"/>
        <v>-</v>
      </c>
      <c r="W539" s="5"/>
      <c r="X539" s="27" t="b">
        <f>IF($G539&lt;&gt;0,SUMIF(куб!$G:$G,$G539,куб!N:N),IF($E539&lt;&gt;0,SUMIF(куб!$E:$E,$E539,куб!N:N),IF($D539&lt;&gt;0,SUMIF(куб!$D:$D,$D539,куб!N:N),IF($C539&lt;&gt;0,SUMIF(куб!$C:$C,$C539,куб!N:N),IF($B539&lt;&gt;0,SUMIF(куб!$B:$B,$B539,куб!N:N))))))</f>
        <v>0</v>
      </c>
      <c r="Y539" s="27" t="b">
        <f>IF($G539&lt;&gt;0,SUMIF(куб!$G:$G,$G539,куб!O:O),IF($E539&lt;&gt;0,SUMIF(куб!$E:$E,$E539,куб!O:O),IF($D539&lt;&gt;0,SUMIF(куб!$D:$D,$D539,куб!O:O),IF($C539&lt;&gt;0,SUMIF(куб!$C:$C,$C539,куб!O:O),IF($B539&lt;&gt;0,SUMIF(куб!$B:$B,$B539,куб!O:O))))))</f>
        <v>0</v>
      </c>
      <c r="Z539" s="13" t="str">
        <f t="shared" si="189"/>
        <v>-</v>
      </c>
      <c r="AA539" s="5"/>
      <c r="AB539" s="33" t="str">
        <f t="shared" si="190"/>
        <v/>
      </c>
      <c r="AC539" s="33" t="str">
        <f t="shared" si="191"/>
        <v/>
      </c>
      <c r="AD539" s="15" t="str">
        <f t="shared" si="192"/>
        <v xml:space="preserve"> </v>
      </c>
      <c r="AE539" s="5"/>
      <c r="AF539" s="27" t="b">
        <f>IF($G539&lt;&gt;0,SUMIF(куб!$G:$G,$G539,куб!R:R),IF($E539&lt;&gt;0,SUMIF(куб!$E:$E,$E539,куб!R:R),IF($D539&lt;&gt;0,SUMIF(куб!$D:$D,$D539,куб!R:R),IF($C539&lt;&gt;0,SUMIF(куб!$C:$C,$C539,куб!R:R),IF($B539&lt;&gt;0,SUMIF(куб!$B:$B,$B539,куб!R:R))))))</f>
        <v>0</v>
      </c>
      <c r="AG539" s="27" t="b">
        <f>IF($G539&lt;&gt;0,SUMIF(куб!$G:$G,$G539,куб!S:S),IF($E539&lt;&gt;0,SUMIF(куб!$E:$E,$E539,куб!S:S),IF($D539&lt;&gt;0,SUMIF(куб!$D:$D,$D539,куб!S:S),IF($C539&lt;&gt;0,SUMIF(куб!$C:$C,$C539,куб!S:S),IF($B539&lt;&gt;0,SUMIF(куб!$B:$B,$B539,куб!S:S))))))</f>
        <v>0</v>
      </c>
      <c r="AH539" s="16" t="str">
        <f t="shared" si="193"/>
        <v>-</v>
      </c>
      <c r="AI539" s="8"/>
      <c r="AJ539" s="27" t="b">
        <f>IF($G539&lt;&gt;0,SUMIF(куб!$G:$G,$G539,куб!T:T),IF($E539&lt;&gt;0,SUMIF(куб!$E:$E,$E539,куб!T:T),IF($D539&lt;&gt;0,SUMIF(куб!$D:$D,$D539,куб!T:T),IF($C539&lt;&gt;0,SUMIF(куб!$C:$C,$C539,куб!T:T),IF($B539&lt;&gt;0,SUMIF(куб!$B:$B,$B539,куб!T:T))))))</f>
        <v>0</v>
      </c>
      <c r="AK539" s="27" t="b">
        <f>IF($G539&lt;&gt;0,SUMIF(куб!$G:$G,$G539,куб!U:U),IF($E539&lt;&gt;0,SUMIF(куб!$E:$E,$E539,куб!U:U),IF($D539&lt;&gt;0,SUMIF(куб!$D:$D,$D539,куб!U:U),IF($C539&lt;&gt;0,SUMIF(куб!$C:$C,$C539,куб!U:U),IF($B539&lt;&gt;0,SUMIF(куб!$B:$B,$B539,куб!U:U))))))</f>
        <v>0</v>
      </c>
      <c r="AL539" s="16" t="str">
        <f t="shared" si="194"/>
        <v>-</v>
      </c>
      <c r="AM539" s="8"/>
      <c r="AN539" s="17" t="str">
        <f t="shared" si="195"/>
        <v xml:space="preserve"> </v>
      </c>
      <c r="AO539" s="17" t="str">
        <f t="shared" si="196"/>
        <v xml:space="preserve"> </v>
      </c>
      <c r="AP539" s="16" t="str">
        <f t="shared" si="197"/>
        <v>-</v>
      </c>
      <c r="AQ539" s="8"/>
      <c r="AR539" s="17" t="str">
        <f t="shared" si="198"/>
        <v>-</v>
      </c>
      <c r="AS539" s="17" t="str">
        <f t="shared" si="199"/>
        <v>-</v>
      </c>
      <c r="AT539" s="13" t="str">
        <f t="shared" si="200"/>
        <v>-</v>
      </c>
      <c r="AU539" s="8"/>
    </row>
    <row r="540" spans="1:47" x14ac:dyDescent="0.25">
      <c r="A540" s="31"/>
      <c r="B540" s="31"/>
      <c r="C540"/>
      <c r="D540" s="31"/>
      <c r="E540"/>
      <c r="F540" s="31"/>
      <c r="G540"/>
      <c r="H540" s="27">
        <f>IF($G540&lt;&gt;0,SUMIF(куб!$G:$G,$G540,куб!H:H),IF($E540&lt;&gt;0,SUMIF(куб!$E:$E,$E540,куб!H:H),IF($D540&lt;&gt;0,SUMIF(куб!$D:$D,$D540,куб!H:H),IF($C540&lt;&gt;0,SUMIF(куб!$C:$C,$C540,куб!H:H),IF($B540&lt;&gt;0,SUMIF(куб!$B:$B,$B540,куб!H:H),IF($G540&lt;&gt;0,SUMIF(куб!$A:$A,$G540,куб!H:H),SUMIF(куб!$A:$A,$G540,куб!H:H)))))))</f>
        <v>0</v>
      </c>
      <c r="I540" s="27">
        <f>IF($G540&lt;&gt;0,SUMIF(куб!$G:$G,$G540,куб!I:I),IF($E540&lt;&gt;0,SUMIF(куб!$E:$E,$E540,куб!I:I),IF($D540&lt;&gt;0,SUMIF(куб!$D:$D,$D540,куб!I:I),IF($C540&lt;&gt;0,SUMIF(куб!$C:$C,$C540,куб!I:I),IF($B540&lt;&gt;0,SUMIF(куб!$B:$B,$B540,куб!I:I),IF($G540&lt;&gt;0,SUMIF(куб!$A:$A,$G540,куб!I:I),SUMIF(куб!$A:$A,$G540,куб!I:I)))))))</f>
        <v>0</v>
      </c>
      <c r="J540" s="19" t="str">
        <f t="shared" si="183"/>
        <v>-</v>
      </c>
      <c r="K540" s="8"/>
      <c r="L540" s="17">
        <f t="shared" si="184"/>
        <v>0</v>
      </c>
      <c r="M540" s="17">
        <f t="shared" si="185"/>
        <v>0</v>
      </c>
      <c r="N540" s="12">
        <f t="shared" si="186"/>
        <v>0</v>
      </c>
      <c r="O540" s="5"/>
      <c r="P540" s="27" t="b">
        <f>IF($G540&lt;&gt;0,SUMIF(куб!$G:$G,$G540,куб!J:J),IF($E540&lt;&gt;0,SUMIF(куб!$E:$E,$E540,куб!J:J),IF($D540&lt;&gt;0,SUMIF(куб!$D:$D,$D540,куб!J:J),IF($C540&lt;&gt;0,SUMIF(куб!$C:$C,$C540,куб!J:J),IF($B540&lt;&gt;0,SUMIF(куб!$B:$B,$B540,куб!J:J))))))</f>
        <v>0</v>
      </c>
      <c r="Q540" s="27" t="b">
        <f>IF($G540&lt;&gt;0,SUMIF(куб!$G:$G,$G540,куб!K:K),IF($E540&lt;&gt;0,SUMIF(куб!$E:$E,$E540,куб!K:K),IF($D540&lt;&gt;0,SUMIF(куб!$D:$D,$D540,куб!K:K),IF($C540&lt;&gt;0,SUMIF(куб!$C:$C,$C540,куб!K:K),IF($B540&lt;&gt;0,SUMIF(куб!$B:$B,$B540,куб!K:K))))))</f>
        <v>0</v>
      </c>
      <c r="R540" s="13" t="str">
        <f t="shared" si="187"/>
        <v>-</v>
      </c>
      <c r="S540" s="5"/>
      <c r="T540" s="27" t="b">
        <f>IF($G540&lt;&gt;0,SUMIF(куб!$G:$G,$G540,куб!L:L),IF($E540&lt;&gt;0,SUMIF(куб!$E:$E,$E540,куб!L:L),IF($D540&lt;&gt;0,SUMIF(куб!$D:$D,$D540,куб!L:L),IF($C540&lt;&gt;0,SUMIF(куб!$C:$C,$C540,куб!L:L),IF($B540&lt;&gt;0,SUMIF(куб!$B:$B,$B540,куб!L:L))))))</f>
        <v>0</v>
      </c>
      <c r="U540" s="27" t="b">
        <f>IF($G540&lt;&gt;0,SUMIF(куб!$G:$G,$G540,куб!M:M),IF($E540&lt;&gt;0,SUMIF(куб!$E:$E,$E540,куб!M:M),IF($D540&lt;&gt;0,SUMIF(куб!$D:$D,$D540,куб!M:M),IF($C540&lt;&gt;0,SUMIF(куб!$C:$C,$C540,куб!M:M),IF($B540&lt;&gt;0,SUMIF(куб!$B:$B,$B540,куб!M:M))))))</f>
        <v>0</v>
      </c>
      <c r="V540" s="13" t="str">
        <f t="shared" si="188"/>
        <v>-</v>
      </c>
      <c r="W540" s="5"/>
      <c r="X540" s="27" t="b">
        <f>IF($G540&lt;&gt;0,SUMIF(куб!$G:$G,$G540,куб!N:N),IF($E540&lt;&gt;0,SUMIF(куб!$E:$E,$E540,куб!N:N),IF($D540&lt;&gt;0,SUMIF(куб!$D:$D,$D540,куб!N:N),IF($C540&lt;&gt;0,SUMIF(куб!$C:$C,$C540,куб!N:N),IF($B540&lt;&gt;0,SUMIF(куб!$B:$B,$B540,куб!N:N))))))</f>
        <v>0</v>
      </c>
      <c r="Y540" s="27" t="b">
        <f>IF($G540&lt;&gt;0,SUMIF(куб!$G:$G,$G540,куб!O:O),IF($E540&lt;&gt;0,SUMIF(куб!$E:$E,$E540,куб!O:O),IF($D540&lt;&gt;0,SUMIF(куб!$D:$D,$D540,куб!O:O),IF($C540&lt;&gt;0,SUMIF(куб!$C:$C,$C540,куб!O:O),IF($B540&lt;&gt;0,SUMIF(куб!$B:$B,$B540,куб!O:O))))))</f>
        <v>0</v>
      </c>
      <c r="Z540" s="13" t="str">
        <f t="shared" si="189"/>
        <v>-</v>
      </c>
      <c r="AA540" s="5"/>
      <c r="AB540" s="33" t="str">
        <f t="shared" si="190"/>
        <v/>
      </c>
      <c r="AC540" s="33" t="str">
        <f t="shared" si="191"/>
        <v/>
      </c>
      <c r="AD540" s="15" t="str">
        <f t="shared" si="192"/>
        <v xml:space="preserve"> </v>
      </c>
      <c r="AE540" s="5"/>
      <c r="AF540" s="27" t="b">
        <f>IF($G540&lt;&gt;0,SUMIF(куб!$G:$G,$G540,куб!R:R),IF($E540&lt;&gt;0,SUMIF(куб!$E:$E,$E540,куб!R:R),IF($D540&lt;&gt;0,SUMIF(куб!$D:$D,$D540,куб!R:R),IF($C540&lt;&gt;0,SUMIF(куб!$C:$C,$C540,куб!R:R),IF($B540&lt;&gt;0,SUMIF(куб!$B:$B,$B540,куб!R:R))))))</f>
        <v>0</v>
      </c>
      <c r="AG540" s="27" t="b">
        <f>IF($G540&lt;&gt;0,SUMIF(куб!$G:$G,$G540,куб!S:S),IF($E540&lt;&gt;0,SUMIF(куб!$E:$E,$E540,куб!S:S),IF($D540&lt;&gt;0,SUMIF(куб!$D:$D,$D540,куб!S:S),IF($C540&lt;&gt;0,SUMIF(куб!$C:$C,$C540,куб!S:S),IF($B540&lt;&gt;0,SUMIF(куб!$B:$B,$B540,куб!S:S))))))</f>
        <v>0</v>
      </c>
      <c r="AH540" s="16" t="str">
        <f t="shared" si="193"/>
        <v>-</v>
      </c>
      <c r="AI540" s="8"/>
      <c r="AJ540" s="27" t="b">
        <f>IF($G540&lt;&gt;0,SUMIF(куб!$G:$G,$G540,куб!T:T),IF($E540&lt;&gt;0,SUMIF(куб!$E:$E,$E540,куб!T:T),IF($D540&lt;&gt;0,SUMIF(куб!$D:$D,$D540,куб!T:T),IF($C540&lt;&gt;0,SUMIF(куб!$C:$C,$C540,куб!T:T),IF($B540&lt;&gt;0,SUMIF(куб!$B:$B,$B540,куб!T:T))))))</f>
        <v>0</v>
      </c>
      <c r="AK540" s="27" t="b">
        <f>IF($G540&lt;&gt;0,SUMIF(куб!$G:$G,$G540,куб!U:U),IF($E540&lt;&gt;0,SUMIF(куб!$E:$E,$E540,куб!U:U),IF($D540&lt;&gt;0,SUMIF(куб!$D:$D,$D540,куб!U:U),IF($C540&lt;&gt;0,SUMIF(куб!$C:$C,$C540,куб!U:U),IF($B540&lt;&gt;0,SUMIF(куб!$B:$B,$B540,куб!U:U))))))</f>
        <v>0</v>
      </c>
      <c r="AL540" s="16" t="str">
        <f t="shared" si="194"/>
        <v>-</v>
      </c>
      <c r="AM540" s="8"/>
      <c r="AN540" s="17" t="str">
        <f t="shared" si="195"/>
        <v xml:space="preserve"> </v>
      </c>
      <c r="AO540" s="17" t="str">
        <f t="shared" si="196"/>
        <v xml:space="preserve"> </v>
      </c>
      <c r="AP540" s="16" t="str">
        <f t="shared" si="197"/>
        <v>-</v>
      </c>
      <c r="AQ540" s="8"/>
      <c r="AR540" s="17" t="str">
        <f t="shared" si="198"/>
        <v>-</v>
      </c>
      <c r="AS540" s="17" t="str">
        <f t="shared" si="199"/>
        <v>-</v>
      </c>
      <c r="AT540" s="13" t="str">
        <f t="shared" si="200"/>
        <v>-</v>
      </c>
      <c r="AU540" s="8"/>
    </row>
    <row r="541" spans="1:47" x14ac:dyDescent="0.25">
      <c r="A541" s="31"/>
      <c r="B541" s="31"/>
      <c r="C541"/>
      <c r="D541" s="31"/>
      <c r="E541"/>
      <c r="F541" s="31"/>
      <c r="G541"/>
      <c r="H541" s="27">
        <f>IF($G541&lt;&gt;0,SUMIF(куб!$G:$G,$G541,куб!H:H),IF($E541&lt;&gt;0,SUMIF(куб!$E:$E,$E541,куб!H:H),IF($D541&lt;&gt;0,SUMIF(куб!$D:$D,$D541,куб!H:H),IF($C541&lt;&gt;0,SUMIF(куб!$C:$C,$C541,куб!H:H),IF($B541&lt;&gt;0,SUMIF(куб!$B:$B,$B541,куб!H:H),IF($G541&lt;&gt;0,SUMIF(куб!$A:$A,$G541,куб!H:H),SUMIF(куб!$A:$A,$G541,куб!H:H)))))))</f>
        <v>0</v>
      </c>
      <c r="I541" s="27">
        <f>IF($G541&lt;&gt;0,SUMIF(куб!$G:$G,$G541,куб!I:I),IF($E541&lt;&gt;0,SUMIF(куб!$E:$E,$E541,куб!I:I),IF($D541&lt;&gt;0,SUMIF(куб!$D:$D,$D541,куб!I:I),IF($C541&lt;&gt;0,SUMIF(куб!$C:$C,$C541,куб!I:I),IF($B541&lt;&gt;0,SUMIF(куб!$B:$B,$B541,куб!I:I),IF($G541&lt;&gt;0,SUMIF(куб!$A:$A,$G541,куб!I:I),SUMIF(куб!$A:$A,$G541,куб!I:I)))))))</f>
        <v>0</v>
      </c>
      <c r="J541" s="19" t="str">
        <f t="shared" si="183"/>
        <v>-</v>
      </c>
      <c r="K541" s="8"/>
      <c r="L541" s="17">
        <f t="shared" si="184"/>
        <v>0</v>
      </c>
      <c r="M541" s="17">
        <f t="shared" si="185"/>
        <v>0</v>
      </c>
      <c r="N541" s="12">
        <f t="shared" si="186"/>
        <v>0</v>
      </c>
      <c r="O541" s="5"/>
      <c r="P541" s="27" t="b">
        <f>IF($G541&lt;&gt;0,SUMIF(куб!$G:$G,$G541,куб!J:J),IF($E541&lt;&gt;0,SUMIF(куб!$E:$E,$E541,куб!J:J),IF($D541&lt;&gt;0,SUMIF(куб!$D:$D,$D541,куб!J:J),IF($C541&lt;&gt;0,SUMIF(куб!$C:$C,$C541,куб!J:J),IF($B541&lt;&gt;0,SUMIF(куб!$B:$B,$B541,куб!J:J))))))</f>
        <v>0</v>
      </c>
      <c r="Q541" s="27" t="b">
        <f>IF($G541&lt;&gt;0,SUMIF(куб!$G:$G,$G541,куб!K:K),IF($E541&lt;&gt;0,SUMIF(куб!$E:$E,$E541,куб!K:K),IF($D541&lt;&gt;0,SUMIF(куб!$D:$D,$D541,куб!K:K),IF($C541&lt;&gt;0,SUMIF(куб!$C:$C,$C541,куб!K:K),IF($B541&lt;&gt;0,SUMIF(куб!$B:$B,$B541,куб!K:K))))))</f>
        <v>0</v>
      </c>
      <c r="R541" s="13" t="str">
        <f t="shared" si="187"/>
        <v>-</v>
      </c>
      <c r="S541" s="5"/>
      <c r="T541" s="27" t="b">
        <f>IF($G541&lt;&gt;0,SUMIF(куб!$G:$G,$G541,куб!L:L),IF($E541&lt;&gt;0,SUMIF(куб!$E:$E,$E541,куб!L:L),IF($D541&lt;&gt;0,SUMIF(куб!$D:$D,$D541,куб!L:L),IF($C541&lt;&gt;0,SUMIF(куб!$C:$C,$C541,куб!L:L),IF($B541&lt;&gt;0,SUMIF(куб!$B:$B,$B541,куб!L:L))))))</f>
        <v>0</v>
      </c>
      <c r="U541" s="27" t="b">
        <f>IF($G541&lt;&gt;0,SUMIF(куб!$G:$G,$G541,куб!M:M),IF($E541&lt;&gt;0,SUMIF(куб!$E:$E,$E541,куб!M:M),IF($D541&lt;&gt;0,SUMIF(куб!$D:$D,$D541,куб!M:M),IF($C541&lt;&gt;0,SUMIF(куб!$C:$C,$C541,куб!M:M),IF($B541&lt;&gt;0,SUMIF(куб!$B:$B,$B541,куб!M:M))))))</f>
        <v>0</v>
      </c>
      <c r="V541" s="13" t="str">
        <f t="shared" si="188"/>
        <v>-</v>
      </c>
      <c r="W541" s="5"/>
      <c r="X541" s="27" t="b">
        <f>IF($G541&lt;&gt;0,SUMIF(куб!$G:$G,$G541,куб!N:N),IF($E541&lt;&gt;0,SUMIF(куб!$E:$E,$E541,куб!N:N),IF($D541&lt;&gt;0,SUMIF(куб!$D:$D,$D541,куб!N:N),IF($C541&lt;&gt;0,SUMIF(куб!$C:$C,$C541,куб!N:N),IF($B541&lt;&gt;0,SUMIF(куб!$B:$B,$B541,куб!N:N))))))</f>
        <v>0</v>
      </c>
      <c r="Y541" s="27" t="b">
        <f>IF($G541&lt;&gt;0,SUMIF(куб!$G:$G,$G541,куб!O:O),IF($E541&lt;&gt;0,SUMIF(куб!$E:$E,$E541,куб!O:O),IF($D541&lt;&gt;0,SUMIF(куб!$D:$D,$D541,куб!O:O),IF($C541&lt;&gt;0,SUMIF(куб!$C:$C,$C541,куб!O:O),IF($B541&lt;&gt;0,SUMIF(куб!$B:$B,$B541,куб!O:O))))))</f>
        <v>0</v>
      </c>
      <c r="Z541" s="13" t="str">
        <f t="shared" si="189"/>
        <v>-</v>
      </c>
      <c r="AA541" s="5"/>
      <c r="AB541" s="33" t="str">
        <f t="shared" si="190"/>
        <v/>
      </c>
      <c r="AC541" s="33" t="str">
        <f t="shared" si="191"/>
        <v/>
      </c>
      <c r="AD541" s="15" t="str">
        <f t="shared" si="192"/>
        <v xml:space="preserve"> </v>
      </c>
      <c r="AE541" s="5"/>
      <c r="AF541" s="27" t="b">
        <f>IF($G541&lt;&gt;0,SUMIF(куб!$G:$G,$G541,куб!R:R),IF($E541&lt;&gt;0,SUMIF(куб!$E:$E,$E541,куб!R:R),IF($D541&lt;&gt;0,SUMIF(куб!$D:$D,$D541,куб!R:R),IF($C541&lt;&gt;0,SUMIF(куб!$C:$C,$C541,куб!R:R),IF($B541&lt;&gt;0,SUMIF(куб!$B:$B,$B541,куб!R:R))))))</f>
        <v>0</v>
      </c>
      <c r="AG541" s="27" t="b">
        <f>IF($G541&lt;&gt;0,SUMIF(куб!$G:$G,$G541,куб!S:S),IF($E541&lt;&gt;0,SUMIF(куб!$E:$E,$E541,куб!S:S),IF($D541&lt;&gt;0,SUMIF(куб!$D:$D,$D541,куб!S:S),IF($C541&lt;&gt;0,SUMIF(куб!$C:$C,$C541,куб!S:S),IF($B541&lt;&gt;0,SUMIF(куб!$B:$B,$B541,куб!S:S))))))</f>
        <v>0</v>
      </c>
      <c r="AH541" s="16" t="str">
        <f t="shared" si="193"/>
        <v>-</v>
      </c>
      <c r="AI541" s="8"/>
      <c r="AJ541" s="27" t="b">
        <f>IF($G541&lt;&gt;0,SUMIF(куб!$G:$G,$G541,куб!T:T),IF($E541&lt;&gt;0,SUMIF(куб!$E:$E,$E541,куб!T:T),IF($D541&lt;&gt;0,SUMIF(куб!$D:$D,$D541,куб!T:T),IF($C541&lt;&gt;0,SUMIF(куб!$C:$C,$C541,куб!T:T),IF($B541&lt;&gt;0,SUMIF(куб!$B:$B,$B541,куб!T:T))))))</f>
        <v>0</v>
      </c>
      <c r="AK541" s="27" t="b">
        <f>IF($G541&lt;&gt;0,SUMIF(куб!$G:$G,$G541,куб!U:U),IF($E541&lt;&gt;0,SUMIF(куб!$E:$E,$E541,куб!U:U),IF($D541&lt;&gt;0,SUMIF(куб!$D:$D,$D541,куб!U:U),IF($C541&lt;&gt;0,SUMIF(куб!$C:$C,$C541,куб!U:U),IF($B541&lt;&gt;0,SUMIF(куб!$B:$B,$B541,куб!U:U))))))</f>
        <v>0</v>
      </c>
      <c r="AL541" s="16" t="str">
        <f t="shared" si="194"/>
        <v>-</v>
      </c>
      <c r="AM541" s="8"/>
      <c r="AN541" s="17" t="str">
        <f t="shared" si="195"/>
        <v xml:space="preserve"> </v>
      </c>
      <c r="AO541" s="17" t="str">
        <f t="shared" si="196"/>
        <v xml:space="preserve"> </v>
      </c>
      <c r="AP541" s="16" t="str">
        <f t="shared" si="197"/>
        <v>-</v>
      </c>
      <c r="AQ541" s="8"/>
      <c r="AR541" s="17" t="str">
        <f t="shared" si="198"/>
        <v>-</v>
      </c>
      <c r="AS541" s="17" t="str">
        <f t="shared" si="199"/>
        <v>-</v>
      </c>
      <c r="AT541" s="13" t="str">
        <f t="shared" si="200"/>
        <v>-</v>
      </c>
      <c r="AU541" s="8"/>
    </row>
    <row r="542" spans="1:47" x14ac:dyDescent="0.25">
      <c r="A542" s="31"/>
      <c r="B542" s="31"/>
      <c r="C542"/>
      <c r="D542" s="31"/>
      <c r="E542"/>
      <c r="F542" s="31"/>
      <c r="G542"/>
      <c r="H542" s="27">
        <f>IF($G542&lt;&gt;0,SUMIF(куб!$G:$G,$G542,куб!H:H),IF($E542&lt;&gt;0,SUMIF(куб!$E:$E,$E542,куб!H:H),IF($D542&lt;&gt;0,SUMIF(куб!$D:$D,$D542,куб!H:H),IF($C542&lt;&gt;0,SUMIF(куб!$C:$C,$C542,куб!H:H),IF($B542&lt;&gt;0,SUMIF(куб!$B:$B,$B542,куб!H:H),IF($G542&lt;&gt;0,SUMIF(куб!$A:$A,$G542,куб!H:H),SUMIF(куб!$A:$A,$G542,куб!H:H)))))))</f>
        <v>0</v>
      </c>
      <c r="I542" s="27">
        <f>IF($G542&lt;&gt;0,SUMIF(куб!$G:$G,$G542,куб!I:I),IF($E542&lt;&gt;0,SUMIF(куб!$E:$E,$E542,куб!I:I),IF($D542&lt;&gt;0,SUMIF(куб!$D:$D,$D542,куб!I:I),IF($C542&lt;&gt;0,SUMIF(куб!$C:$C,$C542,куб!I:I),IF($B542&lt;&gt;0,SUMIF(куб!$B:$B,$B542,куб!I:I),IF($G542&lt;&gt;0,SUMIF(куб!$A:$A,$G542,куб!I:I),SUMIF(куб!$A:$A,$G542,куб!I:I)))))))</f>
        <v>0</v>
      </c>
      <c r="J542" s="19" t="str">
        <f t="shared" si="183"/>
        <v>-</v>
      </c>
      <c r="K542" s="8"/>
      <c r="L542" s="17">
        <f t="shared" si="184"/>
        <v>0</v>
      </c>
      <c r="M542" s="17">
        <f t="shared" si="185"/>
        <v>0</v>
      </c>
      <c r="N542" s="12">
        <f t="shared" si="186"/>
        <v>0</v>
      </c>
      <c r="O542" s="5"/>
      <c r="P542" s="27" t="b">
        <f>IF($G542&lt;&gt;0,SUMIF(куб!$G:$G,$G542,куб!J:J),IF($E542&lt;&gt;0,SUMIF(куб!$E:$E,$E542,куб!J:J),IF($D542&lt;&gt;0,SUMIF(куб!$D:$D,$D542,куб!J:J),IF($C542&lt;&gt;0,SUMIF(куб!$C:$C,$C542,куб!J:J),IF($B542&lt;&gt;0,SUMIF(куб!$B:$B,$B542,куб!J:J))))))</f>
        <v>0</v>
      </c>
      <c r="Q542" s="27" t="b">
        <f>IF($G542&lt;&gt;0,SUMIF(куб!$G:$G,$G542,куб!K:K),IF($E542&lt;&gt;0,SUMIF(куб!$E:$E,$E542,куб!K:K),IF($D542&lt;&gt;0,SUMIF(куб!$D:$D,$D542,куб!K:K),IF($C542&lt;&gt;0,SUMIF(куб!$C:$C,$C542,куб!K:K),IF($B542&lt;&gt;0,SUMIF(куб!$B:$B,$B542,куб!K:K))))))</f>
        <v>0</v>
      </c>
      <c r="R542" s="13" t="str">
        <f t="shared" si="187"/>
        <v>-</v>
      </c>
      <c r="S542" s="5"/>
      <c r="T542" s="27" t="b">
        <f>IF($G542&lt;&gt;0,SUMIF(куб!$G:$G,$G542,куб!L:L),IF($E542&lt;&gt;0,SUMIF(куб!$E:$E,$E542,куб!L:L),IF($D542&lt;&gt;0,SUMIF(куб!$D:$D,$D542,куб!L:L),IF($C542&lt;&gt;0,SUMIF(куб!$C:$C,$C542,куб!L:L),IF($B542&lt;&gt;0,SUMIF(куб!$B:$B,$B542,куб!L:L))))))</f>
        <v>0</v>
      </c>
      <c r="U542" s="27" t="b">
        <f>IF($G542&lt;&gt;0,SUMIF(куб!$G:$G,$G542,куб!M:M),IF($E542&lt;&gt;0,SUMIF(куб!$E:$E,$E542,куб!M:M),IF($D542&lt;&gt;0,SUMIF(куб!$D:$D,$D542,куб!M:M),IF($C542&lt;&gt;0,SUMIF(куб!$C:$C,$C542,куб!M:M),IF($B542&lt;&gt;0,SUMIF(куб!$B:$B,$B542,куб!M:M))))))</f>
        <v>0</v>
      </c>
      <c r="V542" s="13" t="str">
        <f t="shared" si="188"/>
        <v>-</v>
      </c>
      <c r="W542" s="5"/>
      <c r="X542" s="27" t="b">
        <f>IF($G542&lt;&gt;0,SUMIF(куб!$G:$G,$G542,куб!N:N),IF($E542&lt;&gt;0,SUMIF(куб!$E:$E,$E542,куб!N:N),IF($D542&lt;&gt;0,SUMIF(куб!$D:$D,$D542,куб!N:N),IF($C542&lt;&gt;0,SUMIF(куб!$C:$C,$C542,куб!N:N),IF($B542&lt;&gt;0,SUMIF(куб!$B:$B,$B542,куб!N:N))))))</f>
        <v>0</v>
      </c>
      <c r="Y542" s="27" t="b">
        <f>IF($G542&lt;&gt;0,SUMIF(куб!$G:$G,$G542,куб!O:O),IF($E542&lt;&gt;0,SUMIF(куб!$E:$E,$E542,куб!O:O),IF($D542&lt;&gt;0,SUMIF(куб!$D:$D,$D542,куб!O:O),IF($C542&lt;&gt;0,SUMIF(куб!$C:$C,$C542,куб!O:O),IF($B542&lt;&gt;0,SUMIF(куб!$B:$B,$B542,куб!O:O))))))</f>
        <v>0</v>
      </c>
      <c r="Z542" s="13" t="str">
        <f t="shared" si="189"/>
        <v>-</v>
      </c>
      <c r="AA542" s="5"/>
      <c r="AB542" s="33" t="str">
        <f t="shared" si="190"/>
        <v/>
      </c>
      <c r="AC542" s="33" t="str">
        <f t="shared" si="191"/>
        <v/>
      </c>
      <c r="AD542" s="15" t="str">
        <f t="shared" si="192"/>
        <v xml:space="preserve"> </v>
      </c>
      <c r="AE542" s="5"/>
      <c r="AF542" s="27" t="b">
        <f>IF($G542&lt;&gt;0,SUMIF(куб!$G:$G,$G542,куб!R:R),IF($E542&lt;&gt;0,SUMIF(куб!$E:$E,$E542,куб!R:R),IF($D542&lt;&gt;0,SUMIF(куб!$D:$D,$D542,куб!R:R),IF($C542&lt;&gt;0,SUMIF(куб!$C:$C,$C542,куб!R:R),IF($B542&lt;&gt;0,SUMIF(куб!$B:$B,$B542,куб!R:R))))))</f>
        <v>0</v>
      </c>
      <c r="AG542" s="27" t="b">
        <f>IF($G542&lt;&gt;0,SUMIF(куб!$G:$G,$G542,куб!S:S),IF($E542&lt;&gt;0,SUMIF(куб!$E:$E,$E542,куб!S:S),IF($D542&lt;&gt;0,SUMIF(куб!$D:$D,$D542,куб!S:S),IF($C542&lt;&gt;0,SUMIF(куб!$C:$C,$C542,куб!S:S),IF($B542&lt;&gt;0,SUMIF(куб!$B:$B,$B542,куб!S:S))))))</f>
        <v>0</v>
      </c>
      <c r="AH542" s="16" t="str">
        <f t="shared" si="193"/>
        <v>-</v>
      </c>
      <c r="AI542" s="8"/>
      <c r="AJ542" s="27" t="b">
        <f>IF($G542&lt;&gt;0,SUMIF(куб!$G:$G,$G542,куб!T:T),IF($E542&lt;&gt;0,SUMIF(куб!$E:$E,$E542,куб!T:T),IF($D542&lt;&gt;0,SUMIF(куб!$D:$D,$D542,куб!T:T),IF($C542&lt;&gt;0,SUMIF(куб!$C:$C,$C542,куб!T:T),IF($B542&lt;&gt;0,SUMIF(куб!$B:$B,$B542,куб!T:T))))))</f>
        <v>0</v>
      </c>
      <c r="AK542" s="27" t="b">
        <f>IF($G542&lt;&gt;0,SUMIF(куб!$G:$G,$G542,куб!U:U),IF($E542&lt;&gt;0,SUMIF(куб!$E:$E,$E542,куб!U:U),IF($D542&lt;&gt;0,SUMIF(куб!$D:$D,$D542,куб!U:U),IF($C542&lt;&gt;0,SUMIF(куб!$C:$C,$C542,куб!U:U),IF($B542&lt;&gt;0,SUMIF(куб!$B:$B,$B542,куб!U:U))))))</f>
        <v>0</v>
      </c>
      <c r="AL542" s="16" t="str">
        <f t="shared" si="194"/>
        <v>-</v>
      </c>
      <c r="AM542" s="8"/>
      <c r="AN542" s="17" t="str">
        <f t="shared" si="195"/>
        <v xml:space="preserve"> </v>
      </c>
      <c r="AO542" s="17" t="str">
        <f t="shared" si="196"/>
        <v xml:space="preserve"> </v>
      </c>
      <c r="AP542" s="16" t="str">
        <f t="shared" si="197"/>
        <v>-</v>
      </c>
      <c r="AQ542" s="8"/>
      <c r="AR542" s="17" t="str">
        <f t="shared" si="198"/>
        <v>-</v>
      </c>
      <c r="AS542" s="17" t="str">
        <f t="shared" si="199"/>
        <v>-</v>
      </c>
      <c r="AT542" s="13" t="str">
        <f t="shared" si="200"/>
        <v>-</v>
      </c>
      <c r="AU542" s="8"/>
    </row>
    <row r="543" spans="1:47" x14ac:dyDescent="0.25">
      <c r="A543" s="31"/>
      <c r="B543" s="31"/>
      <c r="C543"/>
      <c r="D543" s="31"/>
      <c r="E543"/>
      <c r="F543" s="31"/>
      <c r="G543"/>
      <c r="H543" s="27">
        <f>IF($G543&lt;&gt;0,SUMIF(куб!$G:$G,$G543,куб!H:H),IF($E543&lt;&gt;0,SUMIF(куб!$E:$E,$E543,куб!H:H),IF($D543&lt;&gt;0,SUMIF(куб!$D:$D,$D543,куб!H:H),IF($C543&lt;&gt;0,SUMIF(куб!$C:$C,$C543,куб!H:H),IF($B543&lt;&gt;0,SUMIF(куб!$B:$B,$B543,куб!H:H),IF($G543&lt;&gt;0,SUMIF(куб!$A:$A,$G543,куб!H:H),SUMIF(куб!$A:$A,$G543,куб!H:H)))))))</f>
        <v>0</v>
      </c>
      <c r="I543" s="27">
        <f>IF($G543&lt;&gt;0,SUMIF(куб!$G:$G,$G543,куб!I:I),IF($E543&lt;&gt;0,SUMIF(куб!$E:$E,$E543,куб!I:I),IF($D543&lt;&gt;0,SUMIF(куб!$D:$D,$D543,куб!I:I),IF($C543&lt;&gt;0,SUMIF(куб!$C:$C,$C543,куб!I:I),IF($B543&lt;&gt;0,SUMIF(куб!$B:$B,$B543,куб!I:I),IF($G543&lt;&gt;0,SUMIF(куб!$A:$A,$G543,куб!I:I),SUMIF(куб!$A:$A,$G543,куб!I:I)))))))</f>
        <v>0</v>
      </c>
      <c r="J543" s="19" t="str">
        <f t="shared" si="183"/>
        <v>-</v>
      </c>
      <c r="K543" s="8"/>
      <c r="L543" s="17">
        <f t="shared" si="184"/>
        <v>0</v>
      </c>
      <c r="M543" s="17">
        <f t="shared" si="185"/>
        <v>0</v>
      </c>
      <c r="N543" s="12">
        <f t="shared" si="186"/>
        <v>0</v>
      </c>
      <c r="O543" s="5"/>
      <c r="P543" s="27" t="b">
        <f>IF($G543&lt;&gt;0,SUMIF(куб!$G:$G,$G543,куб!J:J),IF($E543&lt;&gt;0,SUMIF(куб!$E:$E,$E543,куб!J:J),IF($D543&lt;&gt;0,SUMIF(куб!$D:$D,$D543,куб!J:J),IF($C543&lt;&gt;0,SUMIF(куб!$C:$C,$C543,куб!J:J),IF($B543&lt;&gt;0,SUMIF(куб!$B:$B,$B543,куб!J:J))))))</f>
        <v>0</v>
      </c>
      <c r="Q543" s="27" t="b">
        <f>IF($G543&lt;&gt;0,SUMIF(куб!$G:$G,$G543,куб!K:K),IF($E543&lt;&gt;0,SUMIF(куб!$E:$E,$E543,куб!K:K),IF($D543&lt;&gt;0,SUMIF(куб!$D:$D,$D543,куб!K:K),IF($C543&lt;&gt;0,SUMIF(куб!$C:$C,$C543,куб!K:K),IF($B543&lt;&gt;0,SUMIF(куб!$B:$B,$B543,куб!K:K))))))</f>
        <v>0</v>
      </c>
      <c r="R543" s="13" t="str">
        <f t="shared" si="187"/>
        <v>-</v>
      </c>
      <c r="S543" s="5"/>
      <c r="T543" s="27" t="b">
        <f>IF($G543&lt;&gt;0,SUMIF(куб!$G:$G,$G543,куб!L:L),IF($E543&lt;&gt;0,SUMIF(куб!$E:$E,$E543,куб!L:L),IF($D543&lt;&gt;0,SUMIF(куб!$D:$D,$D543,куб!L:L),IF($C543&lt;&gt;0,SUMIF(куб!$C:$C,$C543,куб!L:L),IF($B543&lt;&gt;0,SUMIF(куб!$B:$B,$B543,куб!L:L))))))</f>
        <v>0</v>
      </c>
      <c r="U543" s="27" t="b">
        <f>IF($G543&lt;&gt;0,SUMIF(куб!$G:$G,$G543,куб!M:M),IF($E543&lt;&gt;0,SUMIF(куб!$E:$E,$E543,куб!M:M),IF($D543&lt;&gt;0,SUMIF(куб!$D:$D,$D543,куб!M:M),IF($C543&lt;&gt;0,SUMIF(куб!$C:$C,$C543,куб!M:M),IF($B543&lt;&gt;0,SUMIF(куб!$B:$B,$B543,куб!M:M))))))</f>
        <v>0</v>
      </c>
      <c r="V543" s="13" t="str">
        <f t="shared" si="188"/>
        <v>-</v>
      </c>
      <c r="W543" s="5"/>
      <c r="X543" s="27" t="b">
        <f>IF($G543&lt;&gt;0,SUMIF(куб!$G:$G,$G543,куб!N:N),IF($E543&lt;&gt;0,SUMIF(куб!$E:$E,$E543,куб!N:N),IF($D543&lt;&gt;0,SUMIF(куб!$D:$D,$D543,куб!N:N),IF($C543&lt;&gt;0,SUMIF(куб!$C:$C,$C543,куб!N:N),IF($B543&lt;&gt;0,SUMIF(куб!$B:$B,$B543,куб!N:N))))))</f>
        <v>0</v>
      </c>
      <c r="Y543" s="27" t="b">
        <f>IF($G543&lt;&gt;0,SUMIF(куб!$G:$G,$G543,куб!O:O),IF($E543&lt;&gt;0,SUMIF(куб!$E:$E,$E543,куб!O:O),IF($D543&lt;&gt;0,SUMIF(куб!$D:$D,$D543,куб!O:O),IF($C543&lt;&gt;0,SUMIF(куб!$C:$C,$C543,куб!O:O),IF($B543&lt;&gt;0,SUMIF(куб!$B:$B,$B543,куб!O:O))))))</f>
        <v>0</v>
      </c>
      <c r="Z543" s="13" t="str">
        <f t="shared" si="189"/>
        <v>-</v>
      </c>
      <c r="AA543" s="5"/>
      <c r="AB543" s="33" t="str">
        <f t="shared" si="190"/>
        <v/>
      </c>
      <c r="AC543" s="33" t="str">
        <f t="shared" si="191"/>
        <v/>
      </c>
      <c r="AD543" s="15" t="str">
        <f t="shared" si="192"/>
        <v xml:space="preserve"> </v>
      </c>
      <c r="AE543" s="5"/>
      <c r="AF543" s="27" t="b">
        <f>IF($G543&lt;&gt;0,SUMIF(куб!$G:$G,$G543,куб!R:R),IF($E543&lt;&gt;0,SUMIF(куб!$E:$E,$E543,куб!R:R),IF($D543&lt;&gt;0,SUMIF(куб!$D:$D,$D543,куб!R:R),IF($C543&lt;&gt;0,SUMIF(куб!$C:$C,$C543,куб!R:R),IF($B543&lt;&gt;0,SUMIF(куб!$B:$B,$B543,куб!R:R))))))</f>
        <v>0</v>
      </c>
      <c r="AG543" s="27" t="b">
        <f>IF($G543&lt;&gt;0,SUMIF(куб!$G:$G,$G543,куб!S:S),IF($E543&lt;&gt;0,SUMIF(куб!$E:$E,$E543,куб!S:S),IF($D543&lt;&gt;0,SUMIF(куб!$D:$D,$D543,куб!S:S),IF($C543&lt;&gt;0,SUMIF(куб!$C:$C,$C543,куб!S:S),IF($B543&lt;&gt;0,SUMIF(куб!$B:$B,$B543,куб!S:S))))))</f>
        <v>0</v>
      </c>
      <c r="AH543" s="16" t="str">
        <f t="shared" si="193"/>
        <v>-</v>
      </c>
      <c r="AI543" s="8"/>
      <c r="AJ543" s="27" t="b">
        <f>IF($G543&lt;&gt;0,SUMIF(куб!$G:$G,$G543,куб!T:T),IF($E543&lt;&gt;0,SUMIF(куб!$E:$E,$E543,куб!T:T),IF($D543&lt;&gt;0,SUMIF(куб!$D:$D,$D543,куб!T:T),IF($C543&lt;&gt;0,SUMIF(куб!$C:$C,$C543,куб!T:T),IF($B543&lt;&gt;0,SUMIF(куб!$B:$B,$B543,куб!T:T))))))</f>
        <v>0</v>
      </c>
      <c r="AK543" s="27" t="b">
        <f>IF($G543&lt;&gt;0,SUMIF(куб!$G:$G,$G543,куб!U:U),IF($E543&lt;&gt;0,SUMIF(куб!$E:$E,$E543,куб!U:U),IF($D543&lt;&gt;0,SUMIF(куб!$D:$D,$D543,куб!U:U),IF($C543&lt;&gt;0,SUMIF(куб!$C:$C,$C543,куб!U:U),IF($B543&lt;&gt;0,SUMIF(куб!$B:$B,$B543,куб!U:U))))))</f>
        <v>0</v>
      </c>
      <c r="AL543" s="16" t="str">
        <f t="shared" si="194"/>
        <v>-</v>
      </c>
      <c r="AM543" s="8"/>
      <c r="AN543" s="17" t="str">
        <f t="shared" si="195"/>
        <v xml:space="preserve"> </v>
      </c>
      <c r="AO543" s="17" t="str">
        <f t="shared" si="196"/>
        <v xml:space="preserve"> </v>
      </c>
      <c r="AP543" s="16" t="str">
        <f t="shared" si="197"/>
        <v>-</v>
      </c>
      <c r="AQ543" s="8"/>
      <c r="AR543" s="17" t="str">
        <f t="shared" si="198"/>
        <v>-</v>
      </c>
      <c r="AS543" s="17" t="str">
        <f t="shared" si="199"/>
        <v>-</v>
      </c>
      <c r="AT543" s="13" t="str">
        <f t="shared" si="200"/>
        <v>-</v>
      </c>
      <c r="AU543" s="8"/>
    </row>
    <row r="544" spans="1:47" x14ac:dyDescent="0.25">
      <c r="A544" s="31"/>
      <c r="B544" s="31"/>
      <c r="C544"/>
      <c r="D544" s="31"/>
      <c r="E544"/>
      <c r="F544" s="31"/>
      <c r="G544"/>
      <c r="H544" s="27">
        <f>IF($G544&lt;&gt;0,SUMIF(куб!$G:$G,$G544,куб!H:H),IF($E544&lt;&gt;0,SUMIF(куб!$E:$E,$E544,куб!H:H),IF($D544&lt;&gt;0,SUMIF(куб!$D:$D,$D544,куб!H:H),IF($C544&lt;&gt;0,SUMIF(куб!$C:$C,$C544,куб!H:H),IF($B544&lt;&gt;0,SUMIF(куб!$B:$B,$B544,куб!H:H),IF($G544&lt;&gt;0,SUMIF(куб!$A:$A,$G544,куб!H:H),SUMIF(куб!$A:$A,$G544,куб!H:H)))))))</f>
        <v>0</v>
      </c>
      <c r="I544" s="27">
        <f>IF($G544&lt;&gt;0,SUMIF(куб!$G:$G,$G544,куб!I:I),IF($E544&lt;&gt;0,SUMIF(куб!$E:$E,$E544,куб!I:I),IF($D544&lt;&gt;0,SUMIF(куб!$D:$D,$D544,куб!I:I),IF($C544&lt;&gt;0,SUMIF(куб!$C:$C,$C544,куб!I:I),IF($B544&lt;&gt;0,SUMIF(куб!$B:$B,$B544,куб!I:I),IF($G544&lt;&gt;0,SUMIF(куб!$A:$A,$G544,куб!I:I),SUMIF(куб!$A:$A,$G544,куб!I:I)))))))</f>
        <v>0</v>
      </c>
      <c r="J544" s="19" t="str">
        <f t="shared" si="183"/>
        <v>-</v>
      </c>
      <c r="K544" s="8"/>
      <c r="L544" s="17">
        <f t="shared" si="184"/>
        <v>0</v>
      </c>
      <c r="M544" s="17">
        <f t="shared" si="185"/>
        <v>0</v>
      </c>
      <c r="N544" s="12">
        <f t="shared" si="186"/>
        <v>0</v>
      </c>
      <c r="O544" s="5"/>
      <c r="P544" s="27" t="b">
        <f>IF($G544&lt;&gt;0,SUMIF(куб!$G:$G,$G544,куб!J:J),IF($E544&lt;&gt;0,SUMIF(куб!$E:$E,$E544,куб!J:J),IF($D544&lt;&gt;0,SUMIF(куб!$D:$D,$D544,куб!J:J),IF($C544&lt;&gt;0,SUMIF(куб!$C:$C,$C544,куб!J:J),IF($B544&lt;&gt;0,SUMIF(куб!$B:$B,$B544,куб!J:J))))))</f>
        <v>0</v>
      </c>
      <c r="Q544" s="27" t="b">
        <f>IF($G544&lt;&gt;0,SUMIF(куб!$G:$G,$G544,куб!K:K),IF($E544&lt;&gt;0,SUMIF(куб!$E:$E,$E544,куб!K:K),IF($D544&lt;&gt;0,SUMIF(куб!$D:$D,$D544,куб!K:K),IF($C544&lt;&gt;0,SUMIF(куб!$C:$C,$C544,куб!K:K),IF($B544&lt;&gt;0,SUMIF(куб!$B:$B,$B544,куб!K:K))))))</f>
        <v>0</v>
      </c>
      <c r="R544" s="13" t="str">
        <f t="shared" si="187"/>
        <v>-</v>
      </c>
      <c r="S544" s="5"/>
      <c r="T544" s="27" t="b">
        <f>IF($G544&lt;&gt;0,SUMIF(куб!$G:$G,$G544,куб!L:L),IF($E544&lt;&gt;0,SUMIF(куб!$E:$E,$E544,куб!L:L),IF($D544&lt;&gt;0,SUMIF(куб!$D:$D,$D544,куб!L:L),IF($C544&lt;&gt;0,SUMIF(куб!$C:$C,$C544,куб!L:L),IF($B544&lt;&gt;0,SUMIF(куб!$B:$B,$B544,куб!L:L))))))</f>
        <v>0</v>
      </c>
      <c r="U544" s="27" t="b">
        <f>IF($G544&lt;&gt;0,SUMIF(куб!$G:$G,$G544,куб!M:M),IF($E544&lt;&gt;0,SUMIF(куб!$E:$E,$E544,куб!M:M),IF($D544&lt;&gt;0,SUMIF(куб!$D:$D,$D544,куб!M:M),IF($C544&lt;&gt;0,SUMIF(куб!$C:$C,$C544,куб!M:M),IF($B544&lt;&gt;0,SUMIF(куб!$B:$B,$B544,куб!M:M))))))</f>
        <v>0</v>
      </c>
      <c r="V544" s="13" t="str">
        <f t="shared" si="188"/>
        <v>-</v>
      </c>
      <c r="W544" s="5"/>
      <c r="X544" s="27" t="b">
        <f>IF($G544&lt;&gt;0,SUMIF(куб!$G:$G,$G544,куб!N:N),IF($E544&lt;&gt;0,SUMIF(куб!$E:$E,$E544,куб!N:N),IF($D544&lt;&gt;0,SUMIF(куб!$D:$D,$D544,куб!N:N),IF($C544&lt;&gt;0,SUMIF(куб!$C:$C,$C544,куб!N:N),IF($B544&lt;&gt;0,SUMIF(куб!$B:$B,$B544,куб!N:N))))))</f>
        <v>0</v>
      </c>
      <c r="Y544" s="27" t="b">
        <f>IF($G544&lt;&gt;0,SUMIF(куб!$G:$G,$G544,куб!O:O),IF($E544&lt;&gt;0,SUMIF(куб!$E:$E,$E544,куб!O:O),IF($D544&lt;&gt;0,SUMIF(куб!$D:$D,$D544,куб!O:O),IF($C544&lt;&gt;0,SUMIF(куб!$C:$C,$C544,куб!O:O),IF($B544&lt;&gt;0,SUMIF(куб!$B:$B,$B544,куб!O:O))))))</f>
        <v>0</v>
      </c>
      <c r="Z544" s="13" t="str">
        <f t="shared" si="189"/>
        <v>-</v>
      </c>
      <c r="AA544" s="5"/>
      <c r="AB544" s="33" t="str">
        <f t="shared" si="190"/>
        <v/>
      </c>
      <c r="AC544" s="33" t="str">
        <f t="shared" si="191"/>
        <v/>
      </c>
      <c r="AD544" s="15" t="str">
        <f t="shared" si="192"/>
        <v xml:space="preserve"> </v>
      </c>
      <c r="AE544" s="5"/>
      <c r="AF544" s="27" t="b">
        <f>IF($G544&lt;&gt;0,SUMIF(куб!$G:$G,$G544,куб!R:R),IF($E544&lt;&gt;0,SUMIF(куб!$E:$E,$E544,куб!R:R),IF($D544&lt;&gt;0,SUMIF(куб!$D:$D,$D544,куб!R:R),IF($C544&lt;&gt;0,SUMIF(куб!$C:$C,$C544,куб!R:R),IF($B544&lt;&gt;0,SUMIF(куб!$B:$B,$B544,куб!R:R))))))</f>
        <v>0</v>
      </c>
      <c r="AG544" s="27" t="b">
        <f>IF($G544&lt;&gt;0,SUMIF(куб!$G:$G,$G544,куб!S:S),IF($E544&lt;&gt;0,SUMIF(куб!$E:$E,$E544,куб!S:S),IF($D544&lt;&gt;0,SUMIF(куб!$D:$D,$D544,куб!S:S),IF($C544&lt;&gt;0,SUMIF(куб!$C:$C,$C544,куб!S:S),IF($B544&lt;&gt;0,SUMIF(куб!$B:$B,$B544,куб!S:S))))))</f>
        <v>0</v>
      </c>
      <c r="AH544" s="16" t="str">
        <f t="shared" si="193"/>
        <v>-</v>
      </c>
      <c r="AI544" s="8"/>
      <c r="AJ544" s="27" t="b">
        <f>IF($G544&lt;&gt;0,SUMIF(куб!$G:$G,$G544,куб!T:T),IF($E544&lt;&gt;0,SUMIF(куб!$E:$E,$E544,куб!T:T),IF($D544&lt;&gt;0,SUMIF(куб!$D:$D,$D544,куб!T:T),IF($C544&lt;&gt;0,SUMIF(куб!$C:$C,$C544,куб!T:T),IF($B544&lt;&gt;0,SUMIF(куб!$B:$B,$B544,куб!T:T))))))</f>
        <v>0</v>
      </c>
      <c r="AK544" s="27" t="b">
        <f>IF($G544&lt;&gt;0,SUMIF(куб!$G:$G,$G544,куб!U:U),IF($E544&lt;&gt;0,SUMIF(куб!$E:$E,$E544,куб!U:U),IF($D544&lt;&gt;0,SUMIF(куб!$D:$D,$D544,куб!U:U),IF($C544&lt;&gt;0,SUMIF(куб!$C:$C,$C544,куб!U:U),IF($B544&lt;&gt;0,SUMIF(куб!$B:$B,$B544,куб!U:U))))))</f>
        <v>0</v>
      </c>
      <c r="AL544" s="16" t="str">
        <f t="shared" si="194"/>
        <v>-</v>
      </c>
      <c r="AM544" s="8"/>
      <c r="AN544" s="17" t="str">
        <f t="shared" si="195"/>
        <v xml:space="preserve"> </v>
      </c>
      <c r="AO544" s="17" t="str">
        <f t="shared" si="196"/>
        <v xml:space="preserve"> </v>
      </c>
      <c r="AP544" s="16" t="str">
        <f t="shared" si="197"/>
        <v>-</v>
      </c>
      <c r="AQ544" s="8"/>
      <c r="AR544" s="17" t="str">
        <f t="shared" si="198"/>
        <v>-</v>
      </c>
      <c r="AS544" s="17" t="str">
        <f t="shared" si="199"/>
        <v>-</v>
      </c>
      <c r="AT544" s="13" t="str">
        <f t="shared" si="200"/>
        <v>-</v>
      </c>
      <c r="AU544" s="8"/>
    </row>
    <row r="545" spans="1:47" x14ac:dyDescent="0.25">
      <c r="A545" s="31"/>
      <c r="B545" s="31"/>
      <c r="C545"/>
      <c r="D545" s="31"/>
      <c r="E545"/>
      <c r="F545" s="31"/>
      <c r="G545"/>
      <c r="H545" s="27">
        <f>IF($G545&lt;&gt;0,SUMIF(куб!$G:$G,$G545,куб!H:H),IF($E545&lt;&gt;0,SUMIF(куб!$E:$E,$E545,куб!H:H),IF($D545&lt;&gt;0,SUMIF(куб!$D:$D,$D545,куб!H:H),IF($C545&lt;&gt;0,SUMIF(куб!$C:$C,$C545,куб!H:H),IF($B545&lt;&gt;0,SUMIF(куб!$B:$B,$B545,куб!H:H),IF($G545&lt;&gt;0,SUMIF(куб!$A:$A,$G545,куб!H:H),SUMIF(куб!$A:$A,$G545,куб!H:H)))))))</f>
        <v>0</v>
      </c>
      <c r="I545" s="27">
        <f>IF($G545&lt;&gt;0,SUMIF(куб!$G:$G,$G545,куб!I:I),IF($E545&lt;&gt;0,SUMIF(куб!$E:$E,$E545,куб!I:I),IF($D545&lt;&gt;0,SUMIF(куб!$D:$D,$D545,куб!I:I),IF($C545&lt;&gt;0,SUMIF(куб!$C:$C,$C545,куб!I:I),IF($B545&lt;&gt;0,SUMIF(куб!$B:$B,$B545,куб!I:I),IF($G545&lt;&gt;0,SUMIF(куб!$A:$A,$G545,куб!I:I),SUMIF(куб!$A:$A,$G545,куб!I:I)))))))</f>
        <v>0</v>
      </c>
      <c r="J545" s="19" t="str">
        <f t="shared" si="183"/>
        <v>-</v>
      </c>
      <c r="K545" s="8"/>
      <c r="L545" s="17">
        <f t="shared" si="184"/>
        <v>0</v>
      </c>
      <c r="M545" s="17">
        <f t="shared" si="185"/>
        <v>0</v>
      </c>
      <c r="N545" s="12">
        <f t="shared" si="186"/>
        <v>0</v>
      </c>
      <c r="O545" s="5"/>
      <c r="P545" s="27" t="b">
        <f>IF($G545&lt;&gt;0,SUMIF(куб!$G:$G,$G545,куб!J:J),IF($E545&lt;&gt;0,SUMIF(куб!$E:$E,$E545,куб!J:J),IF($D545&lt;&gt;0,SUMIF(куб!$D:$D,$D545,куб!J:J),IF($C545&lt;&gt;0,SUMIF(куб!$C:$C,$C545,куб!J:J),IF($B545&lt;&gt;0,SUMIF(куб!$B:$B,$B545,куб!J:J))))))</f>
        <v>0</v>
      </c>
      <c r="Q545" s="27" t="b">
        <f>IF($G545&lt;&gt;0,SUMIF(куб!$G:$G,$G545,куб!K:K),IF($E545&lt;&gt;0,SUMIF(куб!$E:$E,$E545,куб!K:K),IF($D545&lt;&gt;0,SUMIF(куб!$D:$D,$D545,куб!K:K),IF($C545&lt;&gt;0,SUMIF(куб!$C:$C,$C545,куб!K:K),IF($B545&lt;&gt;0,SUMIF(куб!$B:$B,$B545,куб!K:K))))))</f>
        <v>0</v>
      </c>
      <c r="R545" s="13" t="str">
        <f t="shared" si="187"/>
        <v>-</v>
      </c>
      <c r="S545" s="5"/>
      <c r="T545" s="27" t="b">
        <f>IF($G545&lt;&gt;0,SUMIF(куб!$G:$G,$G545,куб!L:L),IF($E545&lt;&gt;0,SUMIF(куб!$E:$E,$E545,куб!L:L),IF($D545&lt;&gt;0,SUMIF(куб!$D:$D,$D545,куб!L:L),IF($C545&lt;&gt;0,SUMIF(куб!$C:$C,$C545,куб!L:L),IF($B545&lt;&gt;0,SUMIF(куб!$B:$B,$B545,куб!L:L))))))</f>
        <v>0</v>
      </c>
      <c r="U545" s="27" t="b">
        <f>IF($G545&lt;&gt;0,SUMIF(куб!$G:$G,$G545,куб!M:M),IF($E545&lt;&gt;0,SUMIF(куб!$E:$E,$E545,куб!M:M),IF($D545&lt;&gt;0,SUMIF(куб!$D:$D,$D545,куб!M:M),IF($C545&lt;&gt;0,SUMIF(куб!$C:$C,$C545,куб!M:M),IF($B545&lt;&gt;0,SUMIF(куб!$B:$B,$B545,куб!M:M))))))</f>
        <v>0</v>
      </c>
      <c r="V545" s="13" t="str">
        <f t="shared" si="188"/>
        <v>-</v>
      </c>
      <c r="W545" s="5"/>
      <c r="X545" s="27" t="b">
        <f>IF($G545&lt;&gt;0,SUMIF(куб!$G:$G,$G545,куб!N:N),IF($E545&lt;&gt;0,SUMIF(куб!$E:$E,$E545,куб!N:N),IF($D545&lt;&gt;0,SUMIF(куб!$D:$D,$D545,куб!N:N),IF($C545&lt;&gt;0,SUMIF(куб!$C:$C,$C545,куб!N:N),IF($B545&lt;&gt;0,SUMIF(куб!$B:$B,$B545,куб!N:N))))))</f>
        <v>0</v>
      </c>
      <c r="Y545" s="27" t="b">
        <f>IF($G545&lt;&gt;0,SUMIF(куб!$G:$G,$G545,куб!O:O),IF($E545&lt;&gt;0,SUMIF(куб!$E:$E,$E545,куб!O:O),IF($D545&lt;&gt;0,SUMIF(куб!$D:$D,$D545,куб!O:O),IF($C545&lt;&gt;0,SUMIF(куб!$C:$C,$C545,куб!O:O),IF($B545&lt;&gt;0,SUMIF(куб!$B:$B,$B545,куб!O:O))))))</f>
        <v>0</v>
      </c>
      <c r="Z545" s="13" t="str">
        <f t="shared" si="189"/>
        <v>-</v>
      </c>
      <c r="AA545" s="5"/>
      <c r="AB545" s="33" t="str">
        <f t="shared" si="190"/>
        <v/>
      </c>
      <c r="AC545" s="33" t="str">
        <f t="shared" si="191"/>
        <v/>
      </c>
      <c r="AD545" s="15" t="str">
        <f t="shared" si="192"/>
        <v xml:space="preserve"> </v>
      </c>
      <c r="AE545" s="5"/>
      <c r="AF545" s="27" t="b">
        <f>IF($G545&lt;&gt;0,SUMIF(куб!$G:$G,$G545,куб!R:R),IF($E545&lt;&gt;0,SUMIF(куб!$E:$E,$E545,куб!R:R),IF($D545&lt;&gt;0,SUMIF(куб!$D:$D,$D545,куб!R:R),IF($C545&lt;&gt;0,SUMIF(куб!$C:$C,$C545,куб!R:R),IF($B545&lt;&gt;0,SUMIF(куб!$B:$B,$B545,куб!R:R))))))</f>
        <v>0</v>
      </c>
      <c r="AG545" s="27" t="b">
        <f>IF($G545&lt;&gt;0,SUMIF(куб!$G:$G,$G545,куб!S:S),IF($E545&lt;&gt;0,SUMIF(куб!$E:$E,$E545,куб!S:S),IF($D545&lt;&gt;0,SUMIF(куб!$D:$D,$D545,куб!S:S),IF($C545&lt;&gt;0,SUMIF(куб!$C:$C,$C545,куб!S:S),IF($B545&lt;&gt;0,SUMIF(куб!$B:$B,$B545,куб!S:S))))))</f>
        <v>0</v>
      </c>
      <c r="AH545" s="16" t="str">
        <f t="shared" si="193"/>
        <v>-</v>
      </c>
      <c r="AI545" s="8"/>
      <c r="AJ545" s="27" t="b">
        <f>IF($G545&lt;&gt;0,SUMIF(куб!$G:$G,$G545,куб!T:T),IF($E545&lt;&gt;0,SUMIF(куб!$E:$E,$E545,куб!T:T),IF($D545&lt;&gt;0,SUMIF(куб!$D:$D,$D545,куб!T:T),IF($C545&lt;&gt;0,SUMIF(куб!$C:$C,$C545,куб!T:T),IF($B545&lt;&gt;0,SUMIF(куб!$B:$B,$B545,куб!T:T))))))</f>
        <v>0</v>
      </c>
      <c r="AK545" s="27" t="b">
        <f>IF($G545&lt;&gt;0,SUMIF(куб!$G:$G,$G545,куб!U:U),IF($E545&lt;&gt;0,SUMIF(куб!$E:$E,$E545,куб!U:U),IF($D545&lt;&gt;0,SUMIF(куб!$D:$D,$D545,куб!U:U),IF($C545&lt;&gt;0,SUMIF(куб!$C:$C,$C545,куб!U:U),IF($B545&lt;&gt;0,SUMIF(куб!$B:$B,$B545,куб!U:U))))))</f>
        <v>0</v>
      </c>
      <c r="AL545" s="16" t="str">
        <f t="shared" si="194"/>
        <v>-</v>
      </c>
      <c r="AM545" s="8"/>
      <c r="AN545" s="17" t="str">
        <f t="shared" si="195"/>
        <v xml:space="preserve"> </v>
      </c>
      <c r="AO545" s="17" t="str">
        <f t="shared" si="196"/>
        <v xml:space="preserve"> </v>
      </c>
      <c r="AP545" s="16" t="str">
        <f t="shared" si="197"/>
        <v>-</v>
      </c>
      <c r="AQ545" s="8"/>
      <c r="AR545" s="17" t="str">
        <f t="shared" si="198"/>
        <v>-</v>
      </c>
      <c r="AS545" s="17" t="str">
        <f t="shared" si="199"/>
        <v>-</v>
      </c>
      <c r="AT545" s="13" t="str">
        <f t="shared" si="200"/>
        <v>-</v>
      </c>
      <c r="AU545" s="8"/>
    </row>
    <row r="546" spans="1:47" x14ac:dyDescent="0.25">
      <c r="A546" s="31"/>
      <c r="B546" s="31"/>
      <c r="C546"/>
      <c r="D546" s="31"/>
      <c r="E546"/>
      <c r="F546" s="31"/>
      <c r="G546"/>
      <c r="H546" s="27">
        <f>IF($G546&lt;&gt;0,SUMIF(куб!$G:$G,$G546,куб!H:H),IF($E546&lt;&gt;0,SUMIF(куб!$E:$E,$E546,куб!H:H),IF($D546&lt;&gt;0,SUMIF(куб!$D:$D,$D546,куб!H:H),IF($C546&lt;&gt;0,SUMIF(куб!$C:$C,$C546,куб!H:H),IF($B546&lt;&gt;0,SUMIF(куб!$B:$B,$B546,куб!H:H),IF($G546&lt;&gt;0,SUMIF(куб!$A:$A,$G546,куб!H:H),SUMIF(куб!$A:$A,$G546,куб!H:H)))))))</f>
        <v>0</v>
      </c>
      <c r="I546" s="27">
        <f>IF($G546&lt;&gt;0,SUMIF(куб!$G:$G,$G546,куб!I:I),IF($E546&lt;&gt;0,SUMIF(куб!$E:$E,$E546,куб!I:I),IF($D546&lt;&gt;0,SUMIF(куб!$D:$D,$D546,куб!I:I),IF($C546&lt;&gt;0,SUMIF(куб!$C:$C,$C546,куб!I:I),IF($B546&lt;&gt;0,SUMIF(куб!$B:$B,$B546,куб!I:I),IF($G546&lt;&gt;0,SUMIF(куб!$A:$A,$G546,куб!I:I),SUMIF(куб!$A:$A,$G546,куб!I:I)))))))</f>
        <v>0</v>
      </c>
      <c r="J546" s="19" t="str">
        <f t="shared" si="183"/>
        <v>-</v>
      </c>
      <c r="K546" s="8"/>
      <c r="L546" s="17">
        <f t="shared" si="184"/>
        <v>0</v>
      </c>
      <c r="M546" s="17">
        <f t="shared" si="185"/>
        <v>0</v>
      </c>
      <c r="N546" s="12">
        <f t="shared" si="186"/>
        <v>0</v>
      </c>
      <c r="O546" s="5"/>
      <c r="P546" s="27" t="b">
        <f>IF($G546&lt;&gt;0,SUMIF(куб!$G:$G,$G546,куб!J:J),IF($E546&lt;&gt;0,SUMIF(куб!$E:$E,$E546,куб!J:J),IF($D546&lt;&gt;0,SUMIF(куб!$D:$D,$D546,куб!J:J),IF($C546&lt;&gt;0,SUMIF(куб!$C:$C,$C546,куб!J:J),IF($B546&lt;&gt;0,SUMIF(куб!$B:$B,$B546,куб!J:J))))))</f>
        <v>0</v>
      </c>
      <c r="Q546" s="27" t="b">
        <f>IF($G546&lt;&gt;0,SUMIF(куб!$G:$G,$G546,куб!K:K),IF($E546&lt;&gt;0,SUMIF(куб!$E:$E,$E546,куб!K:K),IF($D546&lt;&gt;0,SUMIF(куб!$D:$D,$D546,куб!K:K),IF($C546&lt;&gt;0,SUMIF(куб!$C:$C,$C546,куб!K:K),IF($B546&lt;&gt;0,SUMIF(куб!$B:$B,$B546,куб!K:K))))))</f>
        <v>0</v>
      </c>
      <c r="R546" s="13" t="str">
        <f t="shared" si="187"/>
        <v>-</v>
      </c>
      <c r="S546" s="5"/>
      <c r="T546" s="27" t="b">
        <f>IF($G546&lt;&gt;0,SUMIF(куб!$G:$G,$G546,куб!L:L),IF($E546&lt;&gt;0,SUMIF(куб!$E:$E,$E546,куб!L:L),IF($D546&lt;&gt;0,SUMIF(куб!$D:$D,$D546,куб!L:L),IF($C546&lt;&gt;0,SUMIF(куб!$C:$C,$C546,куб!L:L),IF($B546&lt;&gt;0,SUMIF(куб!$B:$B,$B546,куб!L:L))))))</f>
        <v>0</v>
      </c>
      <c r="U546" s="27" t="b">
        <f>IF($G546&lt;&gt;0,SUMIF(куб!$G:$G,$G546,куб!M:M),IF($E546&lt;&gt;0,SUMIF(куб!$E:$E,$E546,куб!M:M),IF($D546&lt;&gt;0,SUMIF(куб!$D:$D,$D546,куб!M:M),IF($C546&lt;&gt;0,SUMIF(куб!$C:$C,$C546,куб!M:M),IF($B546&lt;&gt;0,SUMIF(куб!$B:$B,$B546,куб!M:M))))))</f>
        <v>0</v>
      </c>
      <c r="V546" s="13" t="str">
        <f t="shared" si="188"/>
        <v>-</v>
      </c>
      <c r="W546" s="5"/>
      <c r="X546" s="27" t="b">
        <f>IF($G546&lt;&gt;0,SUMIF(куб!$G:$G,$G546,куб!N:N),IF($E546&lt;&gt;0,SUMIF(куб!$E:$E,$E546,куб!N:N),IF($D546&lt;&gt;0,SUMIF(куб!$D:$D,$D546,куб!N:N),IF($C546&lt;&gt;0,SUMIF(куб!$C:$C,$C546,куб!N:N),IF($B546&lt;&gt;0,SUMIF(куб!$B:$B,$B546,куб!N:N))))))</f>
        <v>0</v>
      </c>
      <c r="Y546" s="27" t="b">
        <f>IF($G546&lt;&gt;0,SUMIF(куб!$G:$G,$G546,куб!O:O),IF($E546&lt;&gt;0,SUMIF(куб!$E:$E,$E546,куб!O:O),IF($D546&lt;&gt;0,SUMIF(куб!$D:$D,$D546,куб!O:O),IF($C546&lt;&gt;0,SUMIF(куб!$C:$C,$C546,куб!O:O),IF($B546&lt;&gt;0,SUMIF(куб!$B:$B,$B546,куб!O:O))))))</f>
        <v>0</v>
      </c>
      <c r="Z546" s="13" t="str">
        <f t="shared" si="189"/>
        <v>-</v>
      </c>
      <c r="AA546" s="5"/>
      <c r="AB546" s="33" t="str">
        <f t="shared" si="190"/>
        <v/>
      </c>
      <c r="AC546" s="33" t="str">
        <f t="shared" si="191"/>
        <v/>
      </c>
      <c r="AD546" s="15" t="str">
        <f t="shared" si="192"/>
        <v xml:space="preserve"> </v>
      </c>
      <c r="AE546" s="5"/>
      <c r="AF546" s="27" t="b">
        <f>IF($G546&lt;&gt;0,SUMIF(куб!$G:$G,$G546,куб!R:R),IF($E546&lt;&gt;0,SUMIF(куб!$E:$E,$E546,куб!R:R),IF($D546&lt;&gt;0,SUMIF(куб!$D:$D,$D546,куб!R:R),IF($C546&lt;&gt;0,SUMIF(куб!$C:$C,$C546,куб!R:R),IF($B546&lt;&gt;0,SUMIF(куб!$B:$B,$B546,куб!R:R))))))</f>
        <v>0</v>
      </c>
      <c r="AG546" s="27" t="b">
        <f>IF($G546&lt;&gt;0,SUMIF(куб!$G:$G,$G546,куб!S:S),IF($E546&lt;&gt;0,SUMIF(куб!$E:$E,$E546,куб!S:S),IF($D546&lt;&gt;0,SUMIF(куб!$D:$D,$D546,куб!S:S),IF($C546&lt;&gt;0,SUMIF(куб!$C:$C,$C546,куб!S:S),IF($B546&lt;&gt;0,SUMIF(куб!$B:$B,$B546,куб!S:S))))))</f>
        <v>0</v>
      </c>
      <c r="AH546" s="16" t="str">
        <f t="shared" si="193"/>
        <v>-</v>
      </c>
      <c r="AI546" s="8"/>
      <c r="AJ546" s="27" t="b">
        <f>IF($G546&lt;&gt;0,SUMIF(куб!$G:$G,$G546,куб!T:T),IF($E546&lt;&gt;0,SUMIF(куб!$E:$E,$E546,куб!T:T),IF($D546&lt;&gt;0,SUMIF(куб!$D:$D,$D546,куб!T:T),IF($C546&lt;&gt;0,SUMIF(куб!$C:$C,$C546,куб!T:T),IF($B546&lt;&gt;0,SUMIF(куб!$B:$B,$B546,куб!T:T))))))</f>
        <v>0</v>
      </c>
      <c r="AK546" s="27" t="b">
        <f>IF($G546&lt;&gt;0,SUMIF(куб!$G:$G,$G546,куб!U:U),IF($E546&lt;&gt;0,SUMIF(куб!$E:$E,$E546,куб!U:U),IF($D546&lt;&gt;0,SUMIF(куб!$D:$D,$D546,куб!U:U),IF($C546&lt;&gt;0,SUMIF(куб!$C:$C,$C546,куб!U:U),IF($B546&lt;&gt;0,SUMIF(куб!$B:$B,$B546,куб!U:U))))))</f>
        <v>0</v>
      </c>
      <c r="AL546" s="16" t="str">
        <f t="shared" si="194"/>
        <v>-</v>
      </c>
      <c r="AM546" s="8"/>
      <c r="AN546" s="17" t="str">
        <f t="shared" si="195"/>
        <v xml:space="preserve"> </v>
      </c>
      <c r="AO546" s="17" t="str">
        <f t="shared" si="196"/>
        <v xml:space="preserve"> </v>
      </c>
      <c r="AP546" s="16" t="str">
        <f t="shared" si="197"/>
        <v>-</v>
      </c>
      <c r="AQ546" s="8"/>
      <c r="AR546" s="17" t="str">
        <f t="shared" si="198"/>
        <v>-</v>
      </c>
      <c r="AS546" s="17" t="str">
        <f t="shared" si="199"/>
        <v>-</v>
      </c>
      <c r="AT546" s="13" t="str">
        <f t="shared" si="200"/>
        <v>-</v>
      </c>
      <c r="AU546" s="8"/>
    </row>
    <row r="547" spans="1:47" x14ac:dyDescent="0.25">
      <c r="A547" s="31"/>
      <c r="B547" s="31"/>
      <c r="C547"/>
      <c r="D547" s="31"/>
      <c r="E547"/>
      <c r="F547" s="31"/>
      <c r="G547"/>
      <c r="H547" s="27">
        <f>IF($G547&lt;&gt;0,SUMIF(куб!$G:$G,$G547,куб!H:H),IF($E547&lt;&gt;0,SUMIF(куб!$E:$E,$E547,куб!H:H),IF($D547&lt;&gt;0,SUMIF(куб!$D:$D,$D547,куб!H:H),IF($C547&lt;&gt;0,SUMIF(куб!$C:$C,$C547,куб!H:H),IF($B547&lt;&gt;0,SUMIF(куб!$B:$B,$B547,куб!H:H),IF($G547&lt;&gt;0,SUMIF(куб!$A:$A,$G547,куб!H:H),SUMIF(куб!$A:$A,$G547,куб!H:H)))))))</f>
        <v>0</v>
      </c>
      <c r="I547" s="27">
        <f>IF($G547&lt;&gt;0,SUMIF(куб!$G:$G,$G547,куб!I:I),IF($E547&lt;&gt;0,SUMIF(куб!$E:$E,$E547,куб!I:I),IF($D547&lt;&gt;0,SUMIF(куб!$D:$D,$D547,куб!I:I),IF($C547&lt;&gt;0,SUMIF(куб!$C:$C,$C547,куб!I:I),IF($B547&lt;&gt;0,SUMIF(куб!$B:$B,$B547,куб!I:I),IF($G547&lt;&gt;0,SUMIF(куб!$A:$A,$G547,куб!I:I),SUMIF(куб!$A:$A,$G547,куб!I:I)))))))</f>
        <v>0</v>
      </c>
      <c r="J547" s="19" t="str">
        <f t="shared" si="183"/>
        <v>-</v>
      </c>
      <c r="K547" s="8"/>
      <c r="L547" s="17">
        <f t="shared" si="184"/>
        <v>0</v>
      </c>
      <c r="M547" s="17">
        <f t="shared" si="185"/>
        <v>0</v>
      </c>
      <c r="N547" s="12">
        <f t="shared" si="186"/>
        <v>0</v>
      </c>
      <c r="O547" s="5"/>
      <c r="P547" s="27" t="b">
        <f>IF($G547&lt;&gt;0,SUMIF(куб!$G:$G,$G547,куб!J:J),IF($E547&lt;&gt;0,SUMIF(куб!$E:$E,$E547,куб!J:J),IF($D547&lt;&gt;0,SUMIF(куб!$D:$D,$D547,куб!J:J),IF($C547&lt;&gt;0,SUMIF(куб!$C:$C,$C547,куб!J:J),IF($B547&lt;&gt;0,SUMIF(куб!$B:$B,$B547,куб!J:J))))))</f>
        <v>0</v>
      </c>
      <c r="Q547" s="27" t="b">
        <f>IF($G547&lt;&gt;0,SUMIF(куб!$G:$G,$G547,куб!K:K),IF($E547&lt;&gt;0,SUMIF(куб!$E:$E,$E547,куб!K:K),IF($D547&lt;&gt;0,SUMIF(куб!$D:$D,$D547,куб!K:K),IF($C547&lt;&gt;0,SUMIF(куб!$C:$C,$C547,куб!K:K),IF($B547&lt;&gt;0,SUMIF(куб!$B:$B,$B547,куб!K:K))))))</f>
        <v>0</v>
      </c>
      <c r="R547" s="13" t="str">
        <f t="shared" si="187"/>
        <v>-</v>
      </c>
      <c r="S547" s="5"/>
      <c r="T547" s="27" t="b">
        <f>IF($G547&lt;&gt;0,SUMIF(куб!$G:$G,$G547,куб!L:L),IF($E547&lt;&gt;0,SUMIF(куб!$E:$E,$E547,куб!L:L),IF($D547&lt;&gt;0,SUMIF(куб!$D:$D,$D547,куб!L:L),IF($C547&lt;&gt;0,SUMIF(куб!$C:$C,$C547,куб!L:L),IF($B547&lt;&gt;0,SUMIF(куб!$B:$B,$B547,куб!L:L))))))</f>
        <v>0</v>
      </c>
      <c r="U547" s="27" t="b">
        <f>IF($G547&lt;&gt;0,SUMIF(куб!$G:$G,$G547,куб!M:M),IF($E547&lt;&gt;0,SUMIF(куб!$E:$E,$E547,куб!M:M),IF($D547&lt;&gt;0,SUMIF(куб!$D:$D,$D547,куб!M:M),IF($C547&lt;&gt;0,SUMIF(куб!$C:$C,$C547,куб!M:M),IF($B547&lt;&gt;0,SUMIF(куб!$B:$B,$B547,куб!M:M))))))</f>
        <v>0</v>
      </c>
      <c r="V547" s="13" t="str">
        <f t="shared" si="188"/>
        <v>-</v>
      </c>
      <c r="W547" s="5"/>
      <c r="X547" s="27" t="b">
        <f>IF($G547&lt;&gt;0,SUMIF(куб!$G:$G,$G547,куб!N:N),IF($E547&lt;&gt;0,SUMIF(куб!$E:$E,$E547,куб!N:N),IF($D547&lt;&gt;0,SUMIF(куб!$D:$D,$D547,куб!N:N),IF($C547&lt;&gt;0,SUMIF(куб!$C:$C,$C547,куб!N:N),IF($B547&lt;&gt;0,SUMIF(куб!$B:$B,$B547,куб!N:N))))))</f>
        <v>0</v>
      </c>
      <c r="Y547" s="27" t="b">
        <f>IF($G547&lt;&gt;0,SUMIF(куб!$G:$G,$G547,куб!O:O),IF($E547&lt;&gt;0,SUMIF(куб!$E:$E,$E547,куб!O:O),IF($D547&lt;&gt;0,SUMIF(куб!$D:$D,$D547,куб!O:O),IF($C547&lt;&gt;0,SUMIF(куб!$C:$C,$C547,куб!O:O),IF($B547&lt;&gt;0,SUMIF(куб!$B:$B,$B547,куб!O:O))))))</f>
        <v>0</v>
      </c>
      <c r="Z547" s="13" t="str">
        <f t="shared" si="189"/>
        <v>-</v>
      </c>
      <c r="AA547" s="5"/>
      <c r="AB547" s="33" t="str">
        <f t="shared" si="190"/>
        <v/>
      </c>
      <c r="AC547" s="33" t="str">
        <f t="shared" si="191"/>
        <v/>
      </c>
      <c r="AD547" s="15" t="str">
        <f t="shared" si="192"/>
        <v xml:space="preserve"> </v>
      </c>
      <c r="AE547" s="5"/>
      <c r="AF547" s="27" t="b">
        <f>IF($G547&lt;&gt;0,SUMIF(куб!$G:$G,$G547,куб!R:R),IF($E547&lt;&gt;0,SUMIF(куб!$E:$E,$E547,куб!R:R),IF($D547&lt;&gt;0,SUMIF(куб!$D:$D,$D547,куб!R:R),IF($C547&lt;&gt;0,SUMIF(куб!$C:$C,$C547,куб!R:R),IF($B547&lt;&gt;0,SUMIF(куб!$B:$B,$B547,куб!R:R))))))</f>
        <v>0</v>
      </c>
      <c r="AG547" s="27" t="b">
        <f>IF($G547&lt;&gt;0,SUMIF(куб!$G:$G,$G547,куб!S:S),IF($E547&lt;&gt;0,SUMIF(куб!$E:$E,$E547,куб!S:S),IF($D547&lt;&gt;0,SUMIF(куб!$D:$D,$D547,куб!S:S),IF($C547&lt;&gt;0,SUMIF(куб!$C:$C,$C547,куб!S:S),IF($B547&lt;&gt;0,SUMIF(куб!$B:$B,$B547,куб!S:S))))))</f>
        <v>0</v>
      </c>
      <c r="AH547" s="16" t="str">
        <f t="shared" si="193"/>
        <v>-</v>
      </c>
      <c r="AI547" s="8"/>
      <c r="AJ547" s="27" t="b">
        <f>IF($G547&lt;&gt;0,SUMIF(куб!$G:$G,$G547,куб!T:T),IF($E547&lt;&gt;0,SUMIF(куб!$E:$E,$E547,куб!T:T),IF($D547&lt;&gt;0,SUMIF(куб!$D:$D,$D547,куб!T:T),IF($C547&lt;&gt;0,SUMIF(куб!$C:$C,$C547,куб!T:T),IF($B547&lt;&gt;0,SUMIF(куб!$B:$B,$B547,куб!T:T))))))</f>
        <v>0</v>
      </c>
      <c r="AK547" s="27" t="b">
        <f>IF($G547&lt;&gt;0,SUMIF(куб!$G:$G,$G547,куб!U:U),IF($E547&lt;&gt;0,SUMIF(куб!$E:$E,$E547,куб!U:U),IF($D547&lt;&gt;0,SUMIF(куб!$D:$D,$D547,куб!U:U),IF($C547&lt;&gt;0,SUMIF(куб!$C:$C,$C547,куб!U:U),IF($B547&lt;&gt;0,SUMIF(куб!$B:$B,$B547,куб!U:U))))))</f>
        <v>0</v>
      </c>
      <c r="AL547" s="16" t="str">
        <f t="shared" si="194"/>
        <v>-</v>
      </c>
      <c r="AM547" s="8"/>
      <c r="AN547" s="17" t="str">
        <f t="shared" si="195"/>
        <v xml:space="preserve"> </v>
      </c>
      <c r="AO547" s="17" t="str">
        <f t="shared" si="196"/>
        <v xml:space="preserve"> </v>
      </c>
      <c r="AP547" s="16" t="str">
        <f t="shared" si="197"/>
        <v>-</v>
      </c>
      <c r="AQ547" s="8"/>
      <c r="AR547" s="17" t="str">
        <f t="shared" si="198"/>
        <v>-</v>
      </c>
      <c r="AS547" s="17" t="str">
        <f t="shared" si="199"/>
        <v>-</v>
      </c>
      <c r="AT547" s="13" t="str">
        <f t="shared" si="200"/>
        <v>-</v>
      </c>
      <c r="AU547" s="8"/>
    </row>
    <row r="548" spans="1:47" x14ac:dyDescent="0.25">
      <c r="A548" s="31"/>
      <c r="B548" s="31"/>
      <c r="C548"/>
      <c r="D548" s="31"/>
      <c r="E548"/>
      <c r="F548" s="31"/>
      <c r="G548"/>
      <c r="H548" s="27">
        <f>IF($G548&lt;&gt;0,SUMIF(куб!$G:$G,$G548,куб!H:H),IF($E548&lt;&gt;0,SUMIF(куб!$E:$E,$E548,куб!H:H),IF($D548&lt;&gt;0,SUMIF(куб!$D:$D,$D548,куб!H:H),IF($C548&lt;&gt;0,SUMIF(куб!$C:$C,$C548,куб!H:H),IF($B548&lt;&gt;0,SUMIF(куб!$B:$B,$B548,куб!H:H),IF($G548&lt;&gt;0,SUMIF(куб!$A:$A,$G548,куб!H:H),SUMIF(куб!$A:$A,$G548,куб!H:H)))))))</f>
        <v>0</v>
      </c>
      <c r="I548" s="27">
        <f>IF($G548&lt;&gt;0,SUMIF(куб!$G:$G,$G548,куб!I:I),IF($E548&lt;&gt;0,SUMIF(куб!$E:$E,$E548,куб!I:I),IF($D548&lt;&gt;0,SUMIF(куб!$D:$D,$D548,куб!I:I),IF($C548&lt;&gt;0,SUMIF(куб!$C:$C,$C548,куб!I:I),IF($B548&lt;&gt;0,SUMIF(куб!$B:$B,$B548,куб!I:I),IF($G548&lt;&gt;0,SUMIF(куб!$A:$A,$G548,куб!I:I),SUMIF(куб!$A:$A,$G548,куб!I:I)))))))</f>
        <v>0</v>
      </c>
      <c r="J548" s="19" t="str">
        <f t="shared" si="183"/>
        <v>-</v>
      </c>
      <c r="K548" s="8"/>
      <c r="L548" s="17">
        <f t="shared" si="184"/>
        <v>0</v>
      </c>
      <c r="M548" s="17">
        <f t="shared" si="185"/>
        <v>0</v>
      </c>
      <c r="N548" s="12">
        <f t="shared" si="186"/>
        <v>0</v>
      </c>
      <c r="O548" s="5"/>
      <c r="P548" s="27" t="b">
        <f>IF($G548&lt;&gt;0,SUMIF(куб!$G:$G,$G548,куб!J:J),IF($E548&lt;&gt;0,SUMIF(куб!$E:$E,$E548,куб!J:J),IF($D548&lt;&gt;0,SUMIF(куб!$D:$D,$D548,куб!J:J),IF($C548&lt;&gt;0,SUMIF(куб!$C:$C,$C548,куб!J:J),IF($B548&lt;&gt;0,SUMIF(куб!$B:$B,$B548,куб!J:J))))))</f>
        <v>0</v>
      </c>
      <c r="Q548" s="27" t="b">
        <f>IF($G548&lt;&gt;0,SUMIF(куб!$G:$G,$G548,куб!K:K),IF($E548&lt;&gt;0,SUMIF(куб!$E:$E,$E548,куб!K:K),IF($D548&lt;&gt;0,SUMIF(куб!$D:$D,$D548,куб!K:K),IF($C548&lt;&gt;0,SUMIF(куб!$C:$C,$C548,куб!K:K),IF($B548&lt;&gt;0,SUMIF(куб!$B:$B,$B548,куб!K:K))))))</f>
        <v>0</v>
      </c>
      <c r="R548" s="13" t="str">
        <f t="shared" si="187"/>
        <v>-</v>
      </c>
      <c r="S548" s="5"/>
      <c r="T548" s="27" t="b">
        <f>IF($G548&lt;&gt;0,SUMIF(куб!$G:$G,$G548,куб!L:L),IF($E548&lt;&gt;0,SUMIF(куб!$E:$E,$E548,куб!L:L),IF($D548&lt;&gt;0,SUMIF(куб!$D:$D,$D548,куб!L:L),IF($C548&lt;&gt;0,SUMIF(куб!$C:$C,$C548,куб!L:L),IF($B548&lt;&gt;0,SUMIF(куб!$B:$B,$B548,куб!L:L))))))</f>
        <v>0</v>
      </c>
      <c r="U548" s="27" t="b">
        <f>IF($G548&lt;&gt;0,SUMIF(куб!$G:$G,$G548,куб!M:M),IF($E548&lt;&gt;0,SUMIF(куб!$E:$E,$E548,куб!M:M),IF($D548&lt;&gt;0,SUMIF(куб!$D:$D,$D548,куб!M:M),IF($C548&lt;&gt;0,SUMIF(куб!$C:$C,$C548,куб!M:M),IF($B548&lt;&gt;0,SUMIF(куб!$B:$B,$B548,куб!M:M))))))</f>
        <v>0</v>
      </c>
      <c r="V548" s="13" t="str">
        <f t="shared" si="188"/>
        <v>-</v>
      </c>
      <c r="W548" s="5"/>
      <c r="X548" s="27" t="b">
        <f>IF($G548&lt;&gt;0,SUMIF(куб!$G:$G,$G548,куб!N:N),IF($E548&lt;&gt;0,SUMIF(куб!$E:$E,$E548,куб!N:N),IF($D548&lt;&gt;0,SUMIF(куб!$D:$D,$D548,куб!N:N),IF($C548&lt;&gt;0,SUMIF(куб!$C:$C,$C548,куб!N:N),IF($B548&lt;&gt;0,SUMIF(куб!$B:$B,$B548,куб!N:N))))))</f>
        <v>0</v>
      </c>
      <c r="Y548" s="27" t="b">
        <f>IF($G548&lt;&gt;0,SUMIF(куб!$G:$G,$G548,куб!O:O),IF($E548&lt;&gt;0,SUMIF(куб!$E:$E,$E548,куб!O:O),IF($D548&lt;&gt;0,SUMIF(куб!$D:$D,$D548,куб!O:O),IF($C548&lt;&gt;0,SUMIF(куб!$C:$C,$C548,куб!O:O),IF($B548&lt;&gt;0,SUMIF(куб!$B:$B,$B548,куб!O:O))))))</f>
        <v>0</v>
      </c>
      <c r="Z548" s="13" t="str">
        <f t="shared" si="189"/>
        <v>-</v>
      </c>
      <c r="AA548" s="5"/>
      <c r="AB548" s="33" t="str">
        <f t="shared" si="190"/>
        <v/>
      </c>
      <c r="AC548" s="33" t="str">
        <f t="shared" si="191"/>
        <v/>
      </c>
      <c r="AD548" s="15" t="str">
        <f t="shared" si="192"/>
        <v xml:space="preserve"> </v>
      </c>
      <c r="AE548" s="5"/>
      <c r="AF548" s="27" t="b">
        <f>IF($G548&lt;&gt;0,SUMIF(куб!$G:$G,$G548,куб!R:R),IF($E548&lt;&gt;0,SUMIF(куб!$E:$E,$E548,куб!R:R),IF($D548&lt;&gt;0,SUMIF(куб!$D:$D,$D548,куб!R:R),IF($C548&lt;&gt;0,SUMIF(куб!$C:$C,$C548,куб!R:R),IF($B548&lt;&gt;0,SUMIF(куб!$B:$B,$B548,куб!R:R))))))</f>
        <v>0</v>
      </c>
      <c r="AG548" s="27" t="b">
        <f>IF($G548&lt;&gt;0,SUMIF(куб!$G:$G,$G548,куб!S:S),IF($E548&lt;&gt;0,SUMIF(куб!$E:$E,$E548,куб!S:S),IF($D548&lt;&gt;0,SUMIF(куб!$D:$D,$D548,куб!S:S),IF($C548&lt;&gt;0,SUMIF(куб!$C:$C,$C548,куб!S:S),IF($B548&lt;&gt;0,SUMIF(куб!$B:$B,$B548,куб!S:S))))))</f>
        <v>0</v>
      </c>
      <c r="AH548" s="16" t="str">
        <f t="shared" si="193"/>
        <v>-</v>
      </c>
      <c r="AI548" s="8"/>
      <c r="AJ548" s="27" t="b">
        <f>IF($G548&lt;&gt;0,SUMIF(куб!$G:$G,$G548,куб!T:T),IF($E548&lt;&gt;0,SUMIF(куб!$E:$E,$E548,куб!T:T),IF($D548&lt;&gt;0,SUMIF(куб!$D:$D,$D548,куб!T:T),IF($C548&lt;&gt;0,SUMIF(куб!$C:$C,$C548,куб!T:T),IF($B548&lt;&gt;0,SUMIF(куб!$B:$B,$B548,куб!T:T))))))</f>
        <v>0</v>
      </c>
      <c r="AK548" s="27" t="b">
        <f>IF($G548&lt;&gt;0,SUMIF(куб!$G:$G,$G548,куб!U:U),IF($E548&lt;&gt;0,SUMIF(куб!$E:$E,$E548,куб!U:U),IF($D548&lt;&gt;0,SUMIF(куб!$D:$D,$D548,куб!U:U),IF($C548&lt;&gt;0,SUMIF(куб!$C:$C,$C548,куб!U:U),IF($B548&lt;&gt;0,SUMIF(куб!$B:$B,$B548,куб!U:U))))))</f>
        <v>0</v>
      </c>
      <c r="AL548" s="16" t="str">
        <f t="shared" si="194"/>
        <v>-</v>
      </c>
      <c r="AM548" s="8"/>
      <c r="AN548" s="17" t="str">
        <f t="shared" si="195"/>
        <v xml:space="preserve"> </v>
      </c>
      <c r="AO548" s="17" t="str">
        <f t="shared" si="196"/>
        <v xml:space="preserve"> </v>
      </c>
      <c r="AP548" s="16" t="str">
        <f t="shared" si="197"/>
        <v>-</v>
      </c>
      <c r="AQ548" s="8"/>
      <c r="AR548" s="17" t="str">
        <f t="shared" si="198"/>
        <v>-</v>
      </c>
      <c r="AS548" s="17" t="str">
        <f t="shared" si="199"/>
        <v>-</v>
      </c>
      <c r="AT548" s="13" t="str">
        <f t="shared" si="200"/>
        <v>-</v>
      </c>
      <c r="AU548" s="8"/>
    </row>
    <row r="549" spans="1:47" x14ac:dyDescent="0.25">
      <c r="A549" s="31"/>
      <c r="B549" s="31"/>
      <c r="C549"/>
      <c r="D549" s="31"/>
      <c r="E549"/>
      <c r="F549" s="31"/>
      <c r="G549"/>
      <c r="H549" s="27">
        <f>IF($G549&lt;&gt;0,SUMIF(куб!$G:$G,$G549,куб!H:H),IF($E549&lt;&gt;0,SUMIF(куб!$E:$E,$E549,куб!H:H),IF($D549&lt;&gt;0,SUMIF(куб!$D:$D,$D549,куб!H:H),IF($C549&lt;&gt;0,SUMIF(куб!$C:$C,$C549,куб!H:H),IF($B549&lt;&gt;0,SUMIF(куб!$B:$B,$B549,куб!H:H),IF($G549&lt;&gt;0,SUMIF(куб!$A:$A,$G549,куб!H:H),SUMIF(куб!$A:$A,$G549,куб!H:H)))))))</f>
        <v>0</v>
      </c>
      <c r="I549" s="27">
        <f>IF($G549&lt;&gt;0,SUMIF(куб!$G:$G,$G549,куб!I:I),IF($E549&lt;&gt;0,SUMIF(куб!$E:$E,$E549,куб!I:I),IF($D549&lt;&gt;0,SUMIF(куб!$D:$D,$D549,куб!I:I),IF($C549&lt;&gt;0,SUMIF(куб!$C:$C,$C549,куб!I:I),IF($B549&lt;&gt;0,SUMIF(куб!$B:$B,$B549,куб!I:I),IF($G549&lt;&gt;0,SUMIF(куб!$A:$A,$G549,куб!I:I),SUMIF(куб!$A:$A,$G549,куб!I:I)))))))</f>
        <v>0</v>
      </c>
      <c r="J549" s="19" t="str">
        <f t="shared" si="183"/>
        <v>-</v>
      </c>
      <c r="K549" s="8"/>
      <c r="L549" s="17">
        <f t="shared" si="184"/>
        <v>0</v>
      </c>
      <c r="M549" s="17">
        <f t="shared" si="185"/>
        <v>0</v>
      </c>
      <c r="N549" s="12">
        <f t="shared" si="186"/>
        <v>0</v>
      </c>
      <c r="O549" s="5"/>
      <c r="P549" s="27" t="b">
        <f>IF($G549&lt;&gt;0,SUMIF(куб!$G:$G,$G549,куб!J:J),IF($E549&lt;&gt;0,SUMIF(куб!$E:$E,$E549,куб!J:J),IF($D549&lt;&gt;0,SUMIF(куб!$D:$D,$D549,куб!J:J),IF($C549&lt;&gt;0,SUMIF(куб!$C:$C,$C549,куб!J:J),IF($B549&lt;&gt;0,SUMIF(куб!$B:$B,$B549,куб!J:J))))))</f>
        <v>0</v>
      </c>
      <c r="Q549" s="27" t="b">
        <f>IF($G549&lt;&gt;0,SUMIF(куб!$G:$G,$G549,куб!K:K),IF($E549&lt;&gt;0,SUMIF(куб!$E:$E,$E549,куб!K:K),IF($D549&lt;&gt;0,SUMIF(куб!$D:$D,$D549,куб!K:K),IF($C549&lt;&gt;0,SUMIF(куб!$C:$C,$C549,куб!K:K),IF($B549&lt;&gt;0,SUMIF(куб!$B:$B,$B549,куб!K:K))))))</f>
        <v>0</v>
      </c>
      <c r="R549" s="13" t="str">
        <f t="shared" si="187"/>
        <v>-</v>
      </c>
      <c r="S549" s="5"/>
      <c r="T549" s="27" t="b">
        <f>IF($G549&lt;&gt;0,SUMIF(куб!$G:$G,$G549,куб!L:L),IF($E549&lt;&gt;0,SUMIF(куб!$E:$E,$E549,куб!L:L),IF($D549&lt;&gt;0,SUMIF(куб!$D:$D,$D549,куб!L:L),IF($C549&lt;&gt;0,SUMIF(куб!$C:$C,$C549,куб!L:L),IF($B549&lt;&gt;0,SUMIF(куб!$B:$B,$B549,куб!L:L))))))</f>
        <v>0</v>
      </c>
      <c r="U549" s="27" t="b">
        <f>IF($G549&lt;&gt;0,SUMIF(куб!$G:$G,$G549,куб!M:M),IF($E549&lt;&gt;0,SUMIF(куб!$E:$E,$E549,куб!M:M),IF($D549&lt;&gt;0,SUMIF(куб!$D:$D,$D549,куб!M:M),IF($C549&lt;&gt;0,SUMIF(куб!$C:$C,$C549,куб!M:M),IF($B549&lt;&gt;0,SUMIF(куб!$B:$B,$B549,куб!M:M))))))</f>
        <v>0</v>
      </c>
      <c r="V549" s="13" t="str">
        <f t="shared" si="188"/>
        <v>-</v>
      </c>
      <c r="W549" s="5"/>
      <c r="X549" s="27" t="b">
        <f>IF($G549&lt;&gt;0,SUMIF(куб!$G:$G,$G549,куб!N:N),IF($E549&lt;&gt;0,SUMIF(куб!$E:$E,$E549,куб!N:N),IF($D549&lt;&gt;0,SUMIF(куб!$D:$D,$D549,куб!N:N),IF($C549&lt;&gt;0,SUMIF(куб!$C:$C,$C549,куб!N:N),IF($B549&lt;&gt;0,SUMIF(куб!$B:$B,$B549,куб!N:N))))))</f>
        <v>0</v>
      </c>
      <c r="Y549" s="27" t="b">
        <f>IF($G549&lt;&gt;0,SUMIF(куб!$G:$G,$G549,куб!O:O),IF($E549&lt;&gt;0,SUMIF(куб!$E:$E,$E549,куб!O:O),IF($D549&lt;&gt;0,SUMIF(куб!$D:$D,$D549,куб!O:O),IF($C549&lt;&gt;0,SUMIF(куб!$C:$C,$C549,куб!O:O),IF($B549&lt;&gt;0,SUMIF(куб!$B:$B,$B549,куб!O:O))))))</f>
        <v>0</v>
      </c>
      <c r="Z549" s="13" t="str">
        <f t="shared" si="189"/>
        <v>-</v>
      </c>
      <c r="AA549" s="5"/>
      <c r="AB549" s="33" t="str">
        <f t="shared" si="190"/>
        <v/>
      </c>
      <c r="AC549" s="33" t="str">
        <f t="shared" si="191"/>
        <v/>
      </c>
      <c r="AD549" s="15" t="str">
        <f t="shared" si="192"/>
        <v xml:space="preserve"> </v>
      </c>
      <c r="AE549" s="5"/>
      <c r="AF549" s="27" t="b">
        <f>IF($G549&lt;&gt;0,SUMIF(куб!$G:$G,$G549,куб!R:R),IF($E549&lt;&gt;0,SUMIF(куб!$E:$E,$E549,куб!R:R),IF($D549&lt;&gt;0,SUMIF(куб!$D:$D,$D549,куб!R:R),IF($C549&lt;&gt;0,SUMIF(куб!$C:$C,$C549,куб!R:R),IF($B549&lt;&gt;0,SUMIF(куб!$B:$B,$B549,куб!R:R))))))</f>
        <v>0</v>
      </c>
      <c r="AG549" s="27" t="b">
        <f>IF($G549&lt;&gt;0,SUMIF(куб!$G:$G,$G549,куб!S:S),IF($E549&lt;&gt;0,SUMIF(куб!$E:$E,$E549,куб!S:S),IF($D549&lt;&gt;0,SUMIF(куб!$D:$D,$D549,куб!S:S),IF($C549&lt;&gt;0,SUMIF(куб!$C:$C,$C549,куб!S:S),IF($B549&lt;&gt;0,SUMIF(куб!$B:$B,$B549,куб!S:S))))))</f>
        <v>0</v>
      </c>
      <c r="AH549" s="16" t="str">
        <f t="shared" si="193"/>
        <v>-</v>
      </c>
      <c r="AI549" s="8"/>
      <c r="AJ549" s="27" t="b">
        <f>IF($G549&lt;&gt;0,SUMIF(куб!$G:$G,$G549,куб!T:T),IF($E549&lt;&gt;0,SUMIF(куб!$E:$E,$E549,куб!T:T),IF($D549&lt;&gt;0,SUMIF(куб!$D:$D,$D549,куб!T:T),IF($C549&lt;&gt;0,SUMIF(куб!$C:$C,$C549,куб!T:T),IF($B549&lt;&gt;0,SUMIF(куб!$B:$B,$B549,куб!T:T))))))</f>
        <v>0</v>
      </c>
      <c r="AK549" s="27" t="b">
        <f>IF($G549&lt;&gt;0,SUMIF(куб!$G:$G,$G549,куб!U:U),IF($E549&lt;&gt;0,SUMIF(куб!$E:$E,$E549,куб!U:U),IF($D549&lt;&gt;0,SUMIF(куб!$D:$D,$D549,куб!U:U),IF($C549&lt;&gt;0,SUMIF(куб!$C:$C,$C549,куб!U:U),IF($B549&lt;&gt;0,SUMIF(куб!$B:$B,$B549,куб!U:U))))))</f>
        <v>0</v>
      </c>
      <c r="AL549" s="16" t="str">
        <f t="shared" si="194"/>
        <v>-</v>
      </c>
      <c r="AM549" s="8"/>
      <c r="AN549" s="17" t="str">
        <f t="shared" si="195"/>
        <v xml:space="preserve"> </v>
      </c>
      <c r="AO549" s="17" t="str">
        <f t="shared" si="196"/>
        <v xml:space="preserve"> </v>
      </c>
      <c r="AP549" s="16" t="str">
        <f t="shared" si="197"/>
        <v>-</v>
      </c>
      <c r="AQ549" s="8"/>
      <c r="AR549" s="17" t="str">
        <f t="shared" si="198"/>
        <v>-</v>
      </c>
      <c r="AS549" s="17" t="str">
        <f t="shared" si="199"/>
        <v>-</v>
      </c>
      <c r="AT549" s="13" t="str">
        <f t="shared" si="200"/>
        <v>-</v>
      </c>
      <c r="AU549" s="8"/>
    </row>
    <row r="550" spans="1:47" x14ac:dyDescent="0.25">
      <c r="A550" s="31"/>
      <c r="B550" s="31"/>
      <c r="C550"/>
      <c r="D550" s="31"/>
      <c r="E550"/>
      <c r="F550"/>
      <c r="G550"/>
      <c r="H550" s="27">
        <f>IF($G550&lt;&gt;0,SUMIF(куб!$G:$G,$G550,куб!H:H),IF($E550&lt;&gt;0,SUMIF(куб!$E:$E,$E550,куб!H:H),IF($D550&lt;&gt;0,SUMIF(куб!$D:$D,$D550,куб!H:H),IF($C550&lt;&gt;0,SUMIF(куб!$C:$C,$C550,куб!H:H),IF($B550&lt;&gt;0,SUMIF(куб!$B:$B,$B550,куб!H:H),IF($G550&lt;&gt;0,SUMIF(куб!$A:$A,$G550,куб!H:H),SUMIF(куб!$A:$A,$G550,куб!H:H)))))))</f>
        <v>0</v>
      </c>
      <c r="I550" s="27">
        <f>IF($G550&lt;&gt;0,SUMIF(куб!$G:$G,$G550,куб!I:I),IF($E550&lt;&gt;0,SUMIF(куб!$E:$E,$E550,куб!I:I),IF($D550&lt;&gt;0,SUMIF(куб!$D:$D,$D550,куб!I:I),IF($C550&lt;&gt;0,SUMIF(куб!$C:$C,$C550,куб!I:I),IF($B550&lt;&gt;0,SUMIF(куб!$B:$B,$B550,куб!I:I),IF($G550&lt;&gt;0,SUMIF(куб!$A:$A,$G550,куб!I:I),SUMIF(куб!$A:$A,$G550,куб!I:I)))))))</f>
        <v>0</v>
      </c>
      <c r="J550" s="19" t="str">
        <f t="shared" si="183"/>
        <v>-</v>
      </c>
      <c r="K550" s="8"/>
      <c r="L550" s="17">
        <f t="shared" si="184"/>
        <v>0</v>
      </c>
      <c r="M550" s="17">
        <f t="shared" si="185"/>
        <v>0</v>
      </c>
      <c r="N550" s="12">
        <f t="shared" si="186"/>
        <v>0</v>
      </c>
      <c r="O550" s="5"/>
      <c r="P550" s="27" t="b">
        <f>IF($G550&lt;&gt;0,SUMIF(куб!$G:$G,$G550,куб!J:J),IF($E550&lt;&gt;0,SUMIF(куб!$E:$E,$E550,куб!J:J),IF($D550&lt;&gt;0,SUMIF(куб!$D:$D,$D550,куб!J:J),IF($C550&lt;&gt;0,SUMIF(куб!$C:$C,$C550,куб!J:J),IF($B550&lt;&gt;0,SUMIF(куб!$B:$B,$B550,куб!J:J))))))</f>
        <v>0</v>
      </c>
      <c r="Q550" s="27" t="b">
        <f>IF($G550&lt;&gt;0,SUMIF(куб!$G:$G,$G550,куб!K:K),IF($E550&lt;&gt;0,SUMIF(куб!$E:$E,$E550,куб!K:K),IF($D550&lt;&gt;0,SUMIF(куб!$D:$D,$D550,куб!K:K),IF($C550&lt;&gt;0,SUMIF(куб!$C:$C,$C550,куб!K:K),IF($B550&lt;&gt;0,SUMIF(куб!$B:$B,$B550,куб!K:K))))))</f>
        <v>0</v>
      </c>
      <c r="R550" s="13" t="str">
        <f t="shared" si="187"/>
        <v>-</v>
      </c>
      <c r="S550" s="5"/>
      <c r="T550" s="27" t="b">
        <f>IF($G550&lt;&gt;0,SUMIF(куб!$G:$G,$G550,куб!L:L),IF($E550&lt;&gt;0,SUMIF(куб!$E:$E,$E550,куб!L:L),IF($D550&lt;&gt;0,SUMIF(куб!$D:$D,$D550,куб!L:L),IF($C550&lt;&gt;0,SUMIF(куб!$C:$C,$C550,куб!L:L),IF($B550&lt;&gt;0,SUMIF(куб!$B:$B,$B550,куб!L:L))))))</f>
        <v>0</v>
      </c>
      <c r="U550" s="27" t="b">
        <f>IF($G550&lt;&gt;0,SUMIF(куб!$G:$G,$G550,куб!M:M),IF($E550&lt;&gt;0,SUMIF(куб!$E:$E,$E550,куб!M:M),IF($D550&lt;&gt;0,SUMIF(куб!$D:$D,$D550,куб!M:M),IF($C550&lt;&gt;0,SUMIF(куб!$C:$C,$C550,куб!M:M),IF($B550&lt;&gt;0,SUMIF(куб!$B:$B,$B550,куб!M:M))))))</f>
        <v>0</v>
      </c>
      <c r="V550" s="13" t="str">
        <f t="shared" si="188"/>
        <v>-</v>
      </c>
      <c r="W550" s="5"/>
      <c r="X550" s="27" t="b">
        <f>IF($G550&lt;&gt;0,SUMIF(куб!$G:$G,$G550,куб!N:N),IF($E550&lt;&gt;0,SUMIF(куб!$E:$E,$E550,куб!N:N),IF($D550&lt;&gt;0,SUMIF(куб!$D:$D,$D550,куб!N:N),IF($C550&lt;&gt;0,SUMIF(куб!$C:$C,$C550,куб!N:N),IF($B550&lt;&gt;0,SUMIF(куб!$B:$B,$B550,куб!N:N))))))</f>
        <v>0</v>
      </c>
      <c r="Y550" s="27" t="b">
        <f>IF($G550&lt;&gt;0,SUMIF(куб!$G:$G,$G550,куб!O:O),IF($E550&lt;&gt;0,SUMIF(куб!$E:$E,$E550,куб!O:O),IF($D550&lt;&gt;0,SUMIF(куб!$D:$D,$D550,куб!O:O),IF($C550&lt;&gt;0,SUMIF(куб!$C:$C,$C550,куб!O:O),IF($B550&lt;&gt;0,SUMIF(куб!$B:$B,$B550,куб!O:O))))))</f>
        <v>0</v>
      </c>
      <c r="Z550" s="13" t="str">
        <f t="shared" si="189"/>
        <v>-</v>
      </c>
      <c r="AA550" s="5"/>
      <c r="AB550" s="33" t="str">
        <f t="shared" si="190"/>
        <v/>
      </c>
      <c r="AC550" s="33" t="str">
        <f t="shared" si="191"/>
        <v/>
      </c>
      <c r="AD550" s="15" t="str">
        <f t="shared" si="192"/>
        <v xml:space="preserve"> </v>
      </c>
      <c r="AE550" s="5"/>
      <c r="AF550" s="27" t="b">
        <f>IF($G550&lt;&gt;0,SUMIF(куб!$G:$G,$G550,куб!R:R),IF($E550&lt;&gt;0,SUMIF(куб!$E:$E,$E550,куб!R:R),IF($D550&lt;&gt;0,SUMIF(куб!$D:$D,$D550,куб!R:R),IF($C550&lt;&gt;0,SUMIF(куб!$C:$C,$C550,куб!R:R),IF($B550&lt;&gt;0,SUMIF(куб!$B:$B,$B550,куб!R:R))))))</f>
        <v>0</v>
      </c>
      <c r="AG550" s="27" t="b">
        <f>IF($G550&lt;&gt;0,SUMIF(куб!$G:$G,$G550,куб!S:S),IF($E550&lt;&gt;0,SUMIF(куб!$E:$E,$E550,куб!S:S),IF($D550&lt;&gt;0,SUMIF(куб!$D:$D,$D550,куб!S:S),IF($C550&lt;&gt;0,SUMIF(куб!$C:$C,$C550,куб!S:S),IF($B550&lt;&gt;0,SUMIF(куб!$B:$B,$B550,куб!S:S))))))</f>
        <v>0</v>
      </c>
      <c r="AH550" s="16" t="str">
        <f t="shared" si="193"/>
        <v>-</v>
      </c>
      <c r="AI550" s="8"/>
      <c r="AJ550" s="27" t="b">
        <f>IF($G550&lt;&gt;0,SUMIF(куб!$G:$G,$G550,куб!T:T),IF($E550&lt;&gt;0,SUMIF(куб!$E:$E,$E550,куб!T:T),IF($D550&lt;&gt;0,SUMIF(куб!$D:$D,$D550,куб!T:T),IF($C550&lt;&gt;0,SUMIF(куб!$C:$C,$C550,куб!T:T),IF($B550&lt;&gt;0,SUMIF(куб!$B:$B,$B550,куб!T:T))))))</f>
        <v>0</v>
      </c>
      <c r="AK550" s="27" t="b">
        <f>IF($G550&lt;&gt;0,SUMIF(куб!$G:$G,$G550,куб!U:U),IF($E550&lt;&gt;0,SUMIF(куб!$E:$E,$E550,куб!U:U),IF($D550&lt;&gt;0,SUMIF(куб!$D:$D,$D550,куб!U:U),IF($C550&lt;&gt;0,SUMIF(куб!$C:$C,$C550,куб!U:U),IF($B550&lt;&gt;0,SUMIF(куб!$B:$B,$B550,куб!U:U))))))</f>
        <v>0</v>
      </c>
      <c r="AL550" s="16" t="str">
        <f t="shared" si="194"/>
        <v>-</v>
      </c>
      <c r="AM550" s="8"/>
      <c r="AN550" s="17" t="str">
        <f t="shared" si="195"/>
        <v xml:space="preserve"> </v>
      </c>
      <c r="AO550" s="17" t="str">
        <f t="shared" si="196"/>
        <v xml:space="preserve"> </v>
      </c>
      <c r="AP550" s="16" t="str">
        <f t="shared" si="197"/>
        <v>-</v>
      </c>
      <c r="AQ550" s="8"/>
      <c r="AR550" s="17" t="str">
        <f t="shared" si="198"/>
        <v>-</v>
      </c>
      <c r="AS550" s="17" t="str">
        <f t="shared" si="199"/>
        <v>-</v>
      </c>
      <c r="AT550" s="13" t="str">
        <f t="shared" si="200"/>
        <v>-</v>
      </c>
      <c r="AU550" s="8"/>
    </row>
    <row r="551" spans="1:47" x14ac:dyDescent="0.25">
      <c r="A551" s="31"/>
      <c r="B551" s="31"/>
      <c r="C551"/>
      <c r="D551" s="31"/>
      <c r="E551" s="31"/>
      <c r="F551" s="31"/>
      <c r="G551" s="31"/>
      <c r="H551" s="27">
        <f>IF($G551&lt;&gt;0,SUMIF(куб!$G:$G,$G551,куб!H:H),IF($E551&lt;&gt;0,SUMIF(куб!$E:$E,$E551,куб!H:H),IF($D551&lt;&gt;0,SUMIF(куб!$D:$D,$D551,куб!H:H),IF($C551&lt;&gt;0,SUMIF(куб!$C:$C,$C551,куб!H:H),IF($B551&lt;&gt;0,SUMIF(куб!$B:$B,$B551,куб!H:H),IF($G551&lt;&gt;0,SUMIF(куб!$A:$A,$G551,куб!H:H),SUMIF(куб!$A:$A,$G551,куб!H:H)))))))</f>
        <v>0</v>
      </c>
      <c r="I551" s="27">
        <f>IF($G551&lt;&gt;0,SUMIF(куб!$G:$G,$G551,куб!I:I),IF($E551&lt;&gt;0,SUMIF(куб!$E:$E,$E551,куб!I:I),IF($D551&lt;&gt;0,SUMIF(куб!$D:$D,$D551,куб!I:I),IF($C551&lt;&gt;0,SUMIF(куб!$C:$C,$C551,куб!I:I),IF($B551&lt;&gt;0,SUMIF(куб!$B:$B,$B551,куб!I:I),IF($G551&lt;&gt;0,SUMIF(куб!$A:$A,$G551,куб!I:I),SUMIF(куб!$A:$A,$G551,куб!I:I)))))))</f>
        <v>0</v>
      </c>
      <c r="J551" s="19" t="str">
        <f t="shared" si="183"/>
        <v>-</v>
      </c>
      <c r="K551" s="8"/>
      <c r="L551" s="17">
        <f t="shared" si="184"/>
        <v>0</v>
      </c>
      <c r="M551" s="17">
        <f t="shared" si="185"/>
        <v>0</v>
      </c>
      <c r="N551" s="12">
        <f t="shared" si="186"/>
        <v>0</v>
      </c>
      <c r="O551" s="5"/>
      <c r="P551" s="27" t="b">
        <f>IF($G551&lt;&gt;0,SUMIF(куб!$G:$G,$G551,куб!J:J),IF($E551&lt;&gt;0,SUMIF(куб!$E:$E,$E551,куб!J:J),IF($D551&lt;&gt;0,SUMIF(куб!$D:$D,$D551,куб!J:J),IF($C551&lt;&gt;0,SUMIF(куб!$C:$C,$C551,куб!J:J),IF($B551&lt;&gt;0,SUMIF(куб!$B:$B,$B551,куб!J:J))))))</f>
        <v>0</v>
      </c>
      <c r="Q551" s="27" t="b">
        <f>IF($G551&lt;&gt;0,SUMIF(куб!$G:$G,$G551,куб!K:K),IF($E551&lt;&gt;0,SUMIF(куб!$E:$E,$E551,куб!K:K),IF($D551&lt;&gt;0,SUMIF(куб!$D:$D,$D551,куб!K:K),IF($C551&lt;&gt;0,SUMIF(куб!$C:$C,$C551,куб!K:K),IF($B551&lt;&gt;0,SUMIF(куб!$B:$B,$B551,куб!K:K))))))</f>
        <v>0</v>
      </c>
      <c r="R551" s="13" t="str">
        <f t="shared" si="187"/>
        <v>-</v>
      </c>
      <c r="S551" s="5"/>
      <c r="T551" s="27" t="b">
        <f>IF($G551&lt;&gt;0,SUMIF(куб!$G:$G,$G551,куб!L:L),IF($E551&lt;&gt;0,SUMIF(куб!$E:$E,$E551,куб!L:L),IF($D551&lt;&gt;0,SUMIF(куб!$D:$D,$D551,куб!L:L),IF($C551&lt;&gt;0,SUMIF(куб!$C:$C,$C551,куб!L:L),IF($B551&lt;&gt;0,SUMIF(куб!$B:$B,$B551,куб!L:L))))))</f>
        <v>0</v>
      </c>
      <c r="U551" s="27" t="b">
        <f>IF($G551&lt;&gt;0,SUMIF(куб!$G:$G,$G551,куб!M:M),IF($E551&lt;&gt;0,SUMIF(куб!$E:$E,$E551,куб!M:M),IF($D551&lt;&gt;0,SUMIF(куб!$D:$D,$D551,куб!M:M),IF($C551&lt;&gt;0,SUMIF(куб!$C:$C,$C551,куб!M:M),IF($B551&lt;&gt;0,SUMIF(куб!$B:$B,$B551,куб!M:M))))))</f>
        <v>0</v>
      </c>
      <c r="V551" s="13" t="str">
        <f t="shared" si="188"/>
        <v>-</v>
      </c>
      <c r="W551" s="5"/>
      <c r="X551" s="27" t="b">
        <f>IF($G551&lt;&gt;0,SUMIF(куб!$G:$G,$G551,куб!N:N),IF($E551&lt;&gt;0,SUMIF(куб!$E:$E,$E551,куб!N:N),IF($D551&lt;&gt;0,SUMIF(куб!$D:$D,$D551,куб!N:N),IF($C551&lt;&gt;0,SUMIF(куб!$C:$C,$C551,куб!N:N),IF($B551&lt;&gt;0,SUMIF(куб!$B:$B,$B551,куб!N:N))))))</f>
        <v>0</v>
      </c>
      <c r="Y551" s="27" t="b">
        <f>IF($G551&lt;&gt;0,SUMIF(куб!$G:$G,$G551,куб!O:O),IF($E551&lt;&gt;0,SUMIF(куб!$E:$E,$E551,куб!O:O),IF($D551&lt;&gt;0,SUMIF(куб!$D:$D,$D551,куб!O:O),IF($C551&lt;&gt;0,SUMIF(куб!$C:$C,$C551,куб!O:O),IF($B551&lt;&gt;0,SUMIF(куб!$B:$B,$B551,куб!O:O))))))</f>
        <v>0</v>
      </c>
      <c r="Z551" s="13" t="str">
        <f t="shared" si="189"/>
        <v>-</v>
      </c>
      <c r="AA551" s="5"/>
      <c r="AB551" s="33" t="str">
        <f t="shared" si="190"/>
        <v/>
      </c>
      <c r="AC551" s="33" t="str">
        <f t="shared" si="191"/>
        <v/>
      </c>
      <c r="AD551" s="15" t="str">
        <f t="shared" si="192"/>
        <v xml:space="preserve"> </v>
      </c>
      <c r="AE551" s="5"/>
      <c r="AF551" s="27" t="b">
        <f>IF($G551&lt;&gt;0,SUMIF(куб!$G:$G,$G551,куб!R:R),IF($E551&lt;&gt;0,SUMIF(куб!$E:$E,$E551,куб!R:R),IF($D551&lt;&gt;0,SUMIF(куб!$D:$D,$D551,куб!R:R),IF($C551&lt;&gt;0,SUMIF(куб!$C:$C,$C551,куб!R:R),IF($B551&lt;&gt;0,SUMIF(куб!$B:$B,$B551,куб!R:R))))))</f>
        <v>0</v>
      </c>
      <c r="AG551" s="27" t="b">
        <f>IF($G551&lt;&gt;0,SUMIF(куб!$G:$G,$G551,куб!S:S),IF($E551&lt;&gt;0,SUMIF(куб!$E:$E,$E551,куб!S:S),IF($D551&lt;&gt;0,SUMIF(куб!$D:$D,$D551,куб!S:S),IF($C551&lt;&gt;0,SUMIF(куб!$C:$C,$C551,куб!S:S),IF($B551&lt;&gt;0,SUMIF(куб!$B:$B,$B551,куб!S:S))))))</f>
        <v>0</v>
      </c>
      <c r="AH551" s="16" t="str">
        <f t="shared" si="193"/>
        <v>-</v>
      </c>
      <c r="AI551" s="8"/>
      <c r="AJ551" s="27" t="b">
        <f>IF($G551&lt;&gt;0,SUMIF(куб!$G:$G,$G551,куб!T:T),IF($E551&lt;&gt;0,SUMIF(куб!$E:$E,$E551,куб!T:T),IF($D551&lt;&gt;0,SUMIF(куб!$D:$D,$D551,куб!T:T),IF($C551&lt;&gt;0,SUMIF(куб!$C:$C,$C551,куб!T:T),IF($B551&lt;&gt;0,SUMIF(куб!$B:$B,$B551,куб!T:T))))))</f>
        <v>0</v>
      </c>
      <c r="AK551" s="27" t="b">
        <f>IF($G551&lt;&gt;0,SUMIF(куб!$G:$G,$G551,куб!U:U),IF($E551&lt;&gt;0,SUMIF(куб!$E:$E,$E551,куб!U:U),IF($D551&lt;&gt;0,SUMIF(куб!$D:$D,$D551,куб!U:U),IF($C551&lt;&gt;0,SUMIF(куб!$C:$C,$C551,куб!U:U),IF($B551&lt;&gt;0,SUMIF(куб!$B:$B,$B551,куб!U:U))))))</f>
        <v>0</v>
      </c>
      <c r="AL551" s="16" t="str">
        <f t="shared" si="194"/>
        <v>-</v>
      </c>
      <c r="AM551" s="8"/>
      <c r="AN551" s="17" t="str">
        <f t="shared" si="195"/>
        <v xml:space="preserve"> </v>
      </c>
      <c r="AO551" s="17" t="str">
        <f t="shared" si="196"/>
        <v xml:space="preserve"> </v>
      </c>
      <c r="AP551" s="16" t="str">
        <f t="shared" si="197"/>
        <v>-</v>
      </c>
      <c r="AQ551" s="8"/>
      <c r="AR551" s="17" t="str">
        <f t="shared" si="198"/>
        <v>-</v>
      </c>
      <c r="AS551" s="17" t="str">
        <f t="shared" si="199"/>
        <v>-</v>
      </c>
      <c r="AT551" s="13" t="str">
        <f t="shared" si="200"/>
        <v>-</v>
      </c>
      <c r="AU551" s="8"/>
    </row>
    <row r="552" spans="1:47" x14ac:dyDescent="0.25">
      <c r="A552" s="31"/>
      <c r="B552" s="31"/>
      <c r="C552"/>
      <c r="D552" s="31"/>
      <c r="E552"/>
      <c r="F552" s="31"/>
      <c r="G552"/>
      <c r="H552" s="27">
        <f>IF($G552&lt;&gt;0,SUMIF(куб!$G:$G,$G552,куб!H:H),IF($E552&lt;&gt;0,SUMIF(куб!$E:$E,$E552,куб!H:H),IF($D552&lt;&gt;0,SUMIF(куб!$D:$D,$D552,куб!H:H),IF($C552&lt;&gt;0,SUMIF(куб!$C:$C,$C552,куб!H:H),IF($B552&lt;&gt;0,SUMIF(куб!$B:$B,$B552,куб!H:H),IF($G552&lt;&gt;0,SUMIF(куб!$A:$A,$G552,куб!H:H),SUMIF(куб!$A:$A,$G552,куб!H:H)))))))</f>
        <v>0</v>
      </c>
      <c r="I552" s="27">
        <f>IF($G552&lt;&gt;0,SUMIF(куб!$G:$G,$G552,куб!I:I),IF($E552&lt;&gt;0,SUMIF(куб!$E:$E,$E552,куб!I:I),IF($D552&lt;&gt;0,SUMIF(куб!$D:$D,$D552,куб!I:I),IF($C552&lt;&gt;0,SUMIF(куб!$C:$C,$C552,куб!I:I),IF($B552&lt;&gt;0,SUMIF(куб!$B:$B,$B552,куб!I:I),IF($G552&lt;&gt;0,SUMIF(куб!$A:$A,$G552,куб!I:I),SUMIF(куб!$A:$A,$G552,куб!I:I)))))))</f>
        <v>0</v>
      </c>
      <c r="J552" s="19" t="str">
        <f t="shared" si="183"/>
        <v>-</v>
      </c>
      <c r="K552" s="8"/>
      <c r="L552" s="17">
        <f t="shared" si="184"/>
        <v>0</v>
      </c>
      <c r="M552" s="17">
        <f t="shared" si="185"/>
        <v>0</v>
      </c>
      <c r="N552" s="12">
        <f t="shared" si="186"/>
        <v>0</v>
      </c>
      <c r="O552" s="5"/>
      <c r="P552" s="27" t="b">
        <f>IF($G552&lt;&gt;0,SUMIF(куб!$G:$G,$G552,куб!J:J),IF($E552&lt;&gt;0,SUMIF(куб!$E:$E,$E552,куб!J:J),IF($D552&lt;&gt;0,SUMIF(куб!$D:$D,$D552,куб!J:J),IF($C552&lt;&gt;0,SUMIF(куб!$C:$C,$C552,куб!J:J),IF($B552&lt;&gt;0,SUMIF(куб!$B:$B,$B552,куб!J:J))))))</f>
        <v>0</v>
      </c>
      <c r="Q552" s="27" t="b">
        <f>IF($G552&lt;&gt;0,SUMIF(куб!$G:$G,$G552,куб!K:K),IF($E552&lt;&gt;0,SUMIF(куб!$E:$E,$E552,куб!K:K),IF($D552&lt;&gt;0,SUMIF(куб!$D:$D,$D552,куб!K:K),IF($C552&lt;&gt;0,SUMIF(куб!$C:$C,$C552,куб!K:K),IF($B552&lt;&gt;0,SUMIF(куб!$B:$B,$B552,куб!K:K))))))</f>
        <v>0</v>
      </c>
      <c r="R552" s="13" t="str">
        <f t="shared" si="187"/>
        <v>-</v>
      </c>
      <c r="S552" s="5"/>
      <c r="T552" s="27" t="b">
        <f>IF($G552&lt;&gt;0,SUMIF(куб!$G:$G,$G552,куб!L:L),IF($E552&lt;&gt;0,SUMIF(куб!$E:$E,$E552,куб!L:L),IF($D552&lt;&gt;0,SUMIF(куб!$D:$D,$D552,куб!L:L),IF($C552&lt;&gt;0,SUMIF(куб!$C:$C,$C552,куб!L:L),IF($B552&lt;&gt;0,SUMIF(куб!$B:$B,$B552,куб!L:L))))))</f>
        <v>0</v>
      </c>
      <c r="U552" s="27" t="b">
        <f>IF($G552&lt;&gt;0,SUMIF(куб!$G:$G,$G552,куб!M:M),IF($E552&lt;&gt;0,SUMIF(куб!$E:$E,$E552,куб!M:M),IF($D552&lt;&gt;0,SUMIF(куб!$D:$D,$D552,куб!M:M),IF($C552&lt;&gt;0,SUMIF(куб!$C:$C,$C552,куб!M:M),IF($B552&lt;&gt;0,SUMIF(куб!$B:$B,$B552,куб!M:M))))))</f>
        <v>0</v>
      </c>
      <c r="V552" s="13" t="str">
        <f t="shared" si="188"/>
        <v>-</v>
      </c>
      <c r="W552" s="5"/>
      <c r="X552" s="27" t="b">
        <f>IF($G552&lt;&gt;0,SUMIF(куб!$G:$G,$G552,куб!N:N),IF($E552&lt;&gt;0,SUMIF(куб!$E:$E,$E552,куб!N:N),IF($D552&lt;&gt;0,SUMIF(куб!$D:$D,$D552,куб!N:N),IF($C552&lt;&gt;0,SUMIF(куб!$C:$C,$C552,куб!N:N),IF($B552&lt;&gt;0,SUMIF(куб!$B:$B,$B552,куб!N:N))))))</f>
        <v>0</v>
      </c>
      <c r="Y552" s="27" t="b">
        <f>IF($G552&lt;&gt;0,SUMIF(куб!$G:$G,$G552,куб!O:O),IF($E552&lt;&gt;0,SUMIF(куб!$E:$E,$E552,куб!O:O),IF($D552&lt;&gt;0,SUMIF(куб!$D:$D,$D552,куб!O:O),IF($C552&lt;&gt;0,SUMIF(куб!$C:$C,$C552,куб!O:O),IF($B552&lt;&gt;0,SUMIF(куб!$B:$B,$B552,куб!O:O))))))</f>
        <v>0</v>
      </c>
      <c r="Z552" s="13" t="str">
        <f t="shared" si="189"/>
        <v>-</v>
      </c>
      <c r="AA552" s="5"/>
      <c r="AB552" s="33" t="str">
        <f t="shared" si="190"/>
        <v/>
      </c>
      <c r="AC552" s="33" t="str">
        <f t="shared" si="191"/>
        <v/>
      </c>
      <c r="AD552" s="15" t="str">
        <f t="shared" si="192"/>
        <v xml:space="preserve"> </v>
      </c>
      <c r="AE552" s="5"/>
      <c r="AF552" s="27" t="b">
        <f>IF($G552&lt;&gt;0,SUMIF(куб!$G:$G,$G552,куб!R:R),IF($E552&lt;&gt;0,SUMIF(куб!$E:$E,$E552,куб!R:R),IF($D552&lt;&gt;0,SUMIF(куб!$D:$D,$D552,куб!R:R),IF($C552&lt;&gt;0,SUMIF(куб!$C:$C,$C552,куб!R:R),IF($B552&lt;&gt;0,SUMIF(куб!$B:$B,$B552,куб!R:R))))))</f>
        <v>0</v>
      </c>
      <c r="AG552" s="27" t="b">
        <f>IF($G552&lt;&gt;0,SUMIF(куб!$G:$G,$G552,куб!S:S),IF($E552&lt;&gt;0,SUMIF(куб!$E:$E,$E552,куб!S:S),IF($D552&lt;&gt;0,SUMIF(куб!$D:$D,$D552,куб!S:S),IF($C552&lt;&gt;0,SUMIF(куб!$C:$C,$C552,куб!S:S),IF($B552&lt;&gt;0,SUMIF(куб!$B:$B,$B552,куб!S:S))))))</f>
        <v>0</v>
      </c>
      <c r="AH552" s="16" t="str">
        <f t="shared" si="193"/>
        <v>-</v>
      </c>
      <c r="AI552" s="8"/>
      <c r="AJ552" s="27" t="b">
        <f>IF($G552&lt;&gt;0,SUMIF(куб!$G:$G,$G552,куб!T:T),IF($E552&lt;&gt;0,SUMIF(куб!$E:$E,$E552,куб!T:T),IF($D552&lt;&gt;0,SUMIF(куб!$D:$D,$D552,куб!T:T),IF($C552&lt;&gt;0,SUMIF(куб!$C:$C,$C552,куб!T:T),IF($B552&lt;&gt;0,SUMIF(куб!$B:$B,$B552,куб!T:T))))))</f>
        <v>0</v>
      </c>
      <c r="AK552" s="27" t="b">
        <f>IF($G552&lt;&gt;0,SUMIF(куб!$G:$G,$G552,куб!U:U),IF($E552&lt;&gt;0,SUMIF(куб!$E:$E,$E552,куб!U:U),IF($D552&lt;&gt;0,SUMIF(куб!$D:$D,$D552,куб!U:U),IF($C552&lt;&gt;0,SUMIF(куб!$C:$C,$C552,куб!U:U),IF($B552&lt;&gt;0,SUMIF(куб!$B:$B,$B552,куб!U:U))))))</f>
        <v>0</v>
      </c>
      <c r="AL552" s="16" t="str">
        <f t="shared" si="194"/>
        <v>-</v>
      </c>
      <c r="AM552" s="8"/>
      <c r="AN552" s="17" t="str">
        <f t="shared" si="195"/>
        <v xml:space="preserve"> </v>
      </c>
      <c r="AO552" s="17" t="str">
        <f t="shared" si="196"/>
        <v xml:space="preserve"> </v>
      </c>
      <c r="AP552" s="16" t="str">
        <f t="shared" si="197"/>
        <v>-</v>
      </c>
      <c r="AQ552" s="8"/>
      <c r="AR552" s="17" t="str">
        <f t="shared" si="198"/>
        <v>-</v>
      </c>
      <c r="AS552" s="17" t="str">
        <f t="shared" si="199"/>
        <v>-</v>
      </c>
      <c r="AT552" s="13" t="str">
        <f t="shared" si="200"/>
        <v>-</v>
      </c>
      <c r="AU552" s="8"/>
    </row>
    <row r="553" spans="1:47" x14ac:dyDescent="0.25">
      <c r="A553" s="31"/>
      <c r="B553" s="31"/>
      <c r="C553"/>
      <c r="D553" s="31"/>
      <c r="E553"/>
      <c r="F553" s="31"/>
      <c r="G553"/>
      <c r="H553" s="27">
        <f>IF($G553&lt;&gt;0,SUMIF(куб!$G:$G,$G553,куб!H:H),IF($E553&lt;&gt;0,SUMIF(куб!$E:$E,$E553,куб!H:H),IF($D553&lt;&gt;0,SUMIF(куб!$D:$D,$D553,куб!H:H),IF($C553&lt;&gt;0,SUMIF(куб!$C:$C,$C553,куб!H:H),IF($B553&lt;&gt;0,SUMIF(куб!$B:$B,$B553,куб!H:H),IF($G553&lt;&gt;0,SUMIF(куб!$A:$A,$G553,куб!H:H),SUMIF(куб!$A:$A,$G553,куб!H:H)))))))</f>
        <v>0</v>
      </c>
      <c r="I553" s="27">
        <f>IF($G553&lt;&gt;0,SUMIF(куб!$G:$G,$G553,куб!I:I),IF($E553&lt;&gt;0,SUMIF(куб!$E:$E,$E553,куб!I:I),IF($D553&lt;&gt;0,SUMIF(куб!$D:$D,$D553,куб!I:I),IF($C553&lt;&gt;0,SUMIF(куб!$C:$C,$C553,куб!I:I),IF($B553&lt;&gt;0,SUMIF(куб!$B:$B,$B553,куб!I:I),IF($G553&lt;&gt;0,SUMIF(куб!$A:$A,$G553,куб!I:I),SUMIF(куб!$A:$A,$G553,куб!I:I)))))))</f>
        <v>0</v>
      </c>
      <c r="J553" s="19" t="str">
        <f t="shared" si="183"/>
        <v>-</v>
      </c>
      <c r="K553" s="8"/>
      <c r="L553" s="17">
        <f t="shared" si="184"/>
        <v>0</v>
      </c>
      <c r="M553" s="17">
        <f t="shared" si="185"/>
        <v>0</v>
      </c>
      <c r="N553" s="12">
        <f t="shared" si="186"/>
        <v>0</v>
      </c>
      <c r="O553" s="5"/>
      <c r="P553" s="27" t="b">
        <f>IF($G553&lt;&gt;0,SUMIF(куб!$G:$G,$G553,куб!J:J),IF($E553&lt;&gt;0,SUMIF(куб!$E:$E,$E553,куб!J:J),IF($D553&lt;&gt;0,SUMIF(куб!$D:$D,$D553,куб!J:J),IF($C553&lt;&gt;0,SUMIF(куб!$C:$C,$C553,куб!J:J),IF($B553&lt;&gt;0,SUMIF(куб!$B:$B,$B553,куб!J:J))))))</f>
        <v>0</v>
      </c>
      <c r="Q553" s="27" t="b">
        <f>IF($G553&lt;&gt;0,SUMIF(куб!$G:$G,$G553,куб!K:K),IF($E553&lt;&gt;0,SUMIF(куб!$E:$E,$E553,куб!K:K),IF($D553&lt;&gt;0,SUMIF(куб!$D:$D,$D553,куб!K:K),IF($C553&lt;&gt;0,SUMIF(куб!$C:$C,$C553,куб!K:K),IF($B553&lt;&gt;0,SUMIF(куб!$B:$B,$B553,куб!K:K))))))</f>
        <v>0</v>
      </c>
      <c r="R553" s="13" t="str">
        <f t="shared" si="187"/>
        <v>-</v>
      </c>
      <c r="S553" s="5"/>
      <c r="T553" s="27" t="b">
        <f>IF($G553&lt;&gt;0,SUMIF(куб!$G:$G,$G553,куб!L:L),IF($E553&lt;&gt;0,SUMIF(куб!$E:$E,$E553,куб!L:L),IF($D553&lt;&gt;0,SUMIF(куб!$D:$D,$D553,куб!L:L),IF($C553&lt;&gt;0,SUMIF(куб!$C:$C,$C553,куб!L:L),IF($B553&lt;&gt;0,SUMIF(куб!$B:$B,$B553,куб!L:L))))))</f>
        <v>0</v>
      </c>
      <c r="U553" s="27" t="b">
        <f>IF($G553&lt;&gt;0,SUMIF(куб!$G:$G,$G553,куб!M:M),IF($E553&lt;&gt;0,SUMIF(куб!$E:$E,$E553,куб!M:M),IF($D553&lt;&gt;0,SUMIF(куб!$D:$D,$D553,куб!M:M),IF($C553&lt;&gt;0,SUMIF(куб!$C:$C,$C553,куб!M:M),IF($B553&lt;&gt;0,SUMIF(куб!$B:$B,$B553,куб!M:M))))))</f>
        <v>0</v>
      </c>
      <c r="V553" s="13" t="str">
        <f t="shared" si="188"/>
        <v>-</v>
      </c>
      <c r="W553" s="5"/>
      <c r="X553" s="27" t="b">
        <f>IF($G553&lt;&gt;0,SUMIF(куб!$G:$G,$G553,куб!N:N),IF($E553&lt;&gt;0,SUMIF(куб!$E:$E,$E553,куб!N:N),IF($D553&lt;&gt;0,SUMIF(куб!$D:$D,$D553,куб!N:N),IF($C553&lt;&gt;0,SUMIF(куб!$C:$C,$C553,куб!N:N),IF($B553&lt;&gt;0,SUMIF(куб!$B:$B,$B553,куб!N:N))))))</f>
        <v>0</v>
      </c>
      <c r="Y553" s="27" t="b">
        <f>IF($G553&lt;&gt;0,SUMIF(куб!$G:$G,$G553,куб!O:O),IF($E553&lt;&gt;0,SUMIF(куб!$E:$E,$E553,куб!O:O),IF($D553&lt;&gt;0,SUMIF(куб!$D:$D,$D553,куб!O:O),IF($C553&lt;&gt;0,SUMIF(куб!$C:$C,$C553,куб!O:O),IF($B553&lt;&gt;0,SUMIF(куб!$B:$B,$B553,куб!O:O))))))</f>
        <v>0</v>
      </c>
      <c r="Z553" s="13" t="str">
        <f t="shared" si="189"/>
        <v>-</v>
      </c>
      <c r="AA553" s="5"/>
      <c r="AB553" s="33" t="str">
        <f t="shared" si="190"/>
        <v/>
      </c>
      <c r="AC553" s="33" t="str">
        <f t="shared" si="191"/>
        <v/>
      </c>
      <c r="AD553" s="15" t="str">
        <f t="shared" si="192"/>
        <v xml:space="preserve"> </v>
      </c>
      <c r="AE553" s="5"/>
      <c r="AF553" s="27" t="b">
        <f>IF($G553&lt;&gt;0,SUMIF(куб!$G:$G,$G553,куб!R:R),IF($E553&lt;&gt;0,SUMIF(куб!$E:$E,$E553,куб!R:R),IF($D553&lt;&gt;0,SUMIF(куб!$D:$D,$D553,куб!R:R),IF($C553&lt;&gt;0,SUMIF(куб!$C:$C,$C553,куб!R:R),IF($B553&lt;&gt;0,SUMIF(куб!$B:$B,$B553,куб!R:R))))))</f>
        <v>0</v>
      </c>
      <c r="AG553" s="27" t="b">
        <f>IF($G553&lt;&gt;0,SUMIF(куб!$G:$G,$G553,куб!S:S),IF($E553&lt;&gt;0,SUMIF(куб!$E:$E,$E553,куб!S:S),IF($D553&lt;&gt;0,SUMIF(куб!$D:$D,$D553,куб!S:S),IF($C553&lt;&gt;0,SUMIF(куб!$C:$C,$C553,куб!S:S),IF($B553&lt;&gt;0,SUMIF(куб!$B:$B,$B553,куб!S:S))))))</f>
        <v>0</v>
      </c>
      <c r="AH553" s="16" t="str">
        <f t="shared" si="193"/>
        <v>-</v>
      </c>
      <c r="AI553" s="8"/>
      <c r="AJ553" s="27" t="b">
        <f>IF($G553&lt;&gt;0,SUMIF(куб!$G:$G,$G553,куб!T:T),IF($E553&lt;&gt;0,SUMIF(куб!$E:$E,$E553,куб!T:T),IF($D553&lt;&gt;0,SUMIF(куб!$D:$D,$D553,куб!T:T),IF($C553&lt;&gt;0,SUMIF(куб!$C:$C,$C553,куб!T:T),IF($B553&lt;&gt;0,SUMIF(куб!$B:$B,$B553,куб!T:T))))))</f>
        <v>0</v>
      </c>
      <c r="AK553" s="27" t="b">
        <f>IF($G553&lt;&gt;0,SUMIF(куб!$G:$G,$G553,куб!U:U),IF($E553&lt;&gt;0,SUMIF(куб!$E:$E,$E553,куб!U:U),IF($D553&lt;&gt;0,SUMIF(куб!$D:$D,$D553,куб!U:U),IF($C553&lt;&gt;0,SUMIF(куб!$C:$C,$C553,куб!U:U),IF($B553&lt;&gt;0,SUMIF(куб!$B:$B,$B553,куб!U:U))))))</f>
        <v>0</v>
      </c>
      <c r="AL553" s="16" t="str">
        <f t="shared" si="194"/>
        <v>-</v>
      </c>
      <c r="AM553" s="8"/>
      <c r="AN553" s="17" t="str">
        <f t="shared" si="195"/>
        <v xml:space="preserve"> </v>
      </c>
      <c r="AO553" s="17" t="str">
        <f t="shared" si="196"/>
        <v xml:space="preserve"> </v>
      </c>
      <c r="AP553" s="16" t="str">
        <f t="shared" si="197"/>
        <v>-</v>
      </c>
      <c r="AQ553" s="8"/>
      <c r="AR553" s="17" t="str">
        <f t="shared" si="198"/>
        <v>-</v>
      </c>
      <c r="AS553" s="17" t="str">
        <f t="shared" si="199"/>
        <v>-</v>
      </c>
      <c r="AT553" s="13" t="str">
        <f t="shared" si="200"/>
        <v>-</v>
      </c>
      <c r="AU553" s="8"/>
    </row>
    <row r="554" spans="1:47" x14ac:dyDescent="0.25">
      <c r="A554" s="31"/>
      <c r="B554" s="31"/>
      <c r="C554"/>
      <c r="D554" s="31"/>
      <c r="E554"/>
      <c r="F554" s="31"/>
      <c r="G554"/>
      <c r="H554" s="27">
        <f>IF($G554&lt;&gt;0,SUMIF(куб!$G:$G,$G554,куб!H:H),IF($E554&lt;&gt;0,SUMIF(куб!$E:$E,$E554,куб!H:H),IF($D554&lt;&gt;0,SUMIF(куб!$D:$D,$D554,куб!H:H),IF($C554&lt;&gt;0,SUMIF(куб!$C:$C,$C554,куб!H:H),IF($B554&lt;&gt;0,SUMIF(куб!$B:$B,$B554,куб!H:H),IF($G554&lt;&gt;0,SUMIF(куб!$A:$A,$G554,куб!H:H),SUMIF(куб!$A:$A,$G554,куб!H:H)))))))</f>
        <v>0</v>
      </c>
      <c r="I554" s="27">
        <f>IF($G554&lt;&gt;0,SUMIF(куб!$G:$G,$G554,куб!I:I),IF($E554&lt;&gt;0,SUMIF(куб!$E:$E,$E554,куб!I:I),IF($D554&lt;&gt;0,SUMIF(куб!$D:$D,$D554,куб!I:I),IF($C554&lt;&gt;0,SUMIF(куб!$C:$C,$C554,куб!I:I),IF($B554&lt;&gt;0,SUMIF(куб!$B:$B,$B554,куб!I:I),IF($G554&lt;&gt;0,SUMIF(куб!$A:$A,$G554,куб!I:I),SUMIF(куб!$A:$A,$G554,куб!I:I)))))))</f>
        <v>0</v>
      </c>
      <c r="J554" s="19" t="str">
        <f t="shared" si="183"/>
        <v>-</v>
      </c>
      <c r="K554" s="8"/>
      <c r="L554" s="17">
        <f t="shared" si="184"/>
        <v>0</v>
      </c>
      <c r="M554" s="17">
        <f t="shared" si="185"/>
        <v>0</v>
      </c>
      <c r="N554" s="12">
        <f t="shared" si="186"/>
        <v>0</v>
      </c>
      <c r="O554" s="5"/>
      <c r="P554" s="27" t="b">
        <f>IF($G554&lt;&gt;0,SUMIF(куб!$G:$G,$G554,куб!J:J),IF($E554&lt;&gt;0,SUMIF(куб!$E:$E,$E554,куб!J:J),IF($D554&lt;&gt;0,SUMIF(куб!$D:$D,$D554,куб!J:J),IF($C554&lt;&gt;0,SUMIF(куб!$C:$C,$C554,куб!J:J),IF($B554&lt;&gt;0,SUMIF(куб!$B:$B,$B554,куб!J:J))))))</f>
        <v>0</v>
      </c>
      <c r="Q554" s="27" t="b">
        <f>IF($G554&lt;&gt;0,SUMIF(куб!$G:$G,$G554,куб!K:K),IF($E554&lt;&gt;0,SUMIF(куб!$E:$E,$E554,куб!K:K),IF($D554&lt;&gt;0,SUMIF(куб!$D:$D,$D554,куб!K:K),IF($C554&lt;&gt;0,SUMIF(куб!$C:$C,$C554,куб!K:K),IF($B554&lt;&gt;0,SUMIF(куб!$B:$B,$B554,куб!K:K))))))</f>
        <v>0</v>
      </c>
      <c r="R554" s="13" t="str">
        <f t="shared" si="187"/>
        <v>-</v>
      </c>
      <c r="S554" s="5"/>
      <c r="T554" s="27" t="b">
        <f>IF($G554&lt;&gt;0,SUMIF(куб!$G:$G,$G554,куб!L:L),IF($E554&lt;&gt;0,SUMIF(куб!$E:$E,$E554,куб!L:L),IF($D554&lt;&gt;0,SUMIF(куб!$D:$D,$D554,куб!L:L),IF($C554&lt;&gt;0,SUMIF(куб!$C:$C,$C554,куб!L:L),IF($B554&lt;&gt;0,SUMIF(куб!$B:$B,$B554,куб!L:L))))))</f>
        <v>0</v>
      </c>
      <c r="U554" s="27" t="b">
        <f>IF($G554&lt;&gt;0,SUMIF(куб!$G:$G,$G554,куб!M:M),IF($E554&lt;&gt;0,SUMIF(куб!$E:$E,$E554,куб!M:M),IF($D554&lt;&gt;0,SUMIF(куб!$D:$D,$D554,куб!M:M),IF($C554&lt;&gt;0,SUMIF(куб!$C:$C,$C554,куб!M:M),IF($B554&lt;&gt;0,SUMIF(куб!$B:$B,$B554,куб!M:M))))))</f>
        <v>0</v>
      </c>
      <c r="V554" s="13" t="str">
        <f t="shared" si="188"/>
        <v>-</v>
      </c>
      <c r="W554" s="5"/>
      <c r="X554" s="27" t="b">
        <f>IF($G554&lt;&gt;0,SUMIF(куб!$G:$G,$G554,куб!N:N),IF($E554&lt;&gt;0,SUMIF(куб!$E:$E,$E554,куб!N:N),IF($D554&lt;&gt;0,SUMIF(куб!$D:$D,$D554,куб!N:N),IF($C554&lt;&gt;0,SUMIF(куб!$C:$C,$C554,куб!N:N),IF($B554&lt;&gt;0,SUMIF(куб!$B:$B,$B554,куб!N:N))))))</f>
        <v>0</v>
      </c>
      <c r="Y554" s="27" t="b">
        <f>IF($G554&lt;&gt;0,SUMIF(куб!$G:$G,$G554,куб!O:O),IF($E554&lt;&gt;0,SUMIF(куб!$E:$E,$E554,куб!O:O),IF($D554&lt;&gt;0,SUMIF(куб!$D:$D,$D554,куб!O:O),IF($C554&lt;&gt;0,SUMIF(куб!$C:$C,$C554,куб!O:O),IF($B554&lt;&gt;0,SUMIF(куб!$B:$B,$B554,куб!O:O))))))</f>
        <v>0</v>
      </c>
      <c r="Z554" s="13" t="str">
        <f t="shared" si="189"/>
        <v>-</v>
      </c>
      <c r="AA554" s="5"/>
      <c r="AB554" s="33" t="str">
        <f t="shared" si="190"/>
        <v/>
      </c>
      <c r="AC554" s="33" t="str">
        <f t="shared" si="191"/>
        <v/>
      </c>
      <c r="AD554" s="15" t="str">
        <f t="shared" si="192"/>
        <v xml:space="preserve"> </v>
      </c>
      <c r="AE554" s="5"/>
      <c r="AF554" s="27" t="b">
        <f>IF($G554&lt;&gt;0,SUMIF(куб!$G:$G,$G554,куб!R:R),IF($E554&lt;&gt;0,SUMIF(куб!$E:$E,$E554,куб!R:R),IF($D554&lt;&gt;0,SUMIF(куб!$D:$D,$D554,куб!R:R),IF($C554&lt;&gt;0,SUMIF(куб!$C:$C,$C554,куб!R:R),IF($B554&lt;&gt;0,SUMIF(куб!$B:$B,$B554,куб!R:R))))))</f>
        <v>0</v>
      </c>
      <c r="AG554" s="27" t="b">
        <f>IF($G554&lt;&gt;0,SUMIF(куб!$G:$G,$G554,куб!S:S),IF($E554&lt;&gt;0,SUMIF(куб!$E:$E,$E554,куб!S:S),IF($D554&lt;&gt;0,SUMIF(куб!$D:$D,$D554,куб!S:S),IF($C554&lt;&gt;0,SUMIF(куб!$C:$C,$C554,куб!S:S),IF($B554&lt;&gt;0,SUMIF(куб!$B:$B,$B554,куб!S:S))))))</f>
        <v>0</v>
      </c>
      <c r="AH554" s="16" t="str">
        <f t="shared" si="193"/>
        <v>-</v>
      </c>
      <c r="AI554" s="8"/>
      <c r="AJ554" s="27" t="b">
        <f>IF($G554&lt;&gt;0,SUMIF(куб!$G:$G,$G554,куб!T:T),IF($E554&lt;&gt;0,SUMIF(куб!$E:$E,$E554,куб!T:T),IF($D554&lt;&gt;0,SUMIF(куб!$D:$D,$D554,куб!T:T),IF($C554&lt;&gt;0,SUMIF(куб!$C:$C,$C554,куб!T:T),IF($B554&lt;&gt;0,SUMIF(куб!$B:$B,$B554,куб!T:T))))))</f>
        <v>0</v>
      </c>
      <c r="AK554" s="27" t="b">
        <f>IF($G554&lt;&gt;0,SUMIF(куб!$G:$G,$G554,куб!U:U),IF($E554&lt;&gt;0,SUMIF(куб!$E:$E,$E554,куб!U:U),IF($D554&lt;&gt;0,SUMIF(куб!$D:$D,$D554,куб!U:U),IF($C554&lt;&gt;0,SUMIF(куб!$C:$C,$C554,куб!U:U),IF($B554&lt;&gt;0,SUMIF(куб!$B:$B,$B554,куб!U:U))))))</f>
        <v>0</v>
      </c>
      <c r="AL554" s="16" t="str">
        <f t="shared" si="194"/>
        <v>-</v>
      </c>
      <c r="AM554" s="8"/>
      <c r="AN554" s="17" t="str">
        <f t="shared" si="195"/>
        <v xml:space="preserve"> </v>
      </c>
      <c r="AO554" s="17" t="str">
        <f t="shared" si="196"/>
        <v xml:space="preserve"> </v>
      </c>
      <c r="AP554" s="16" t="str">
        <f t="shared" si="197"/>
        <v>-</v>
      </c>
      <c r="AQ554" s="8"/>
      <c r="AR554" s="17" t="str">
        <f t="shared" si="198"/>
        <v>-</v>
      </c>
      <c r="AS554" s="17" t="str">
        <f t="shared" si="199"/>
        <v>-</v>
      </c>
      <c r="AT554" s="13" t="str">
        <f t="shared" si="200"/>
        <v>-</v>
      </c>
      <c r="AU554" s="8"/>
    </row>
    <row r="555" spans="1:47" x14ac:dyDescent="0.25">
      <c r="A555" s="31"/>
      <c r="B555" s="31"/>
      <c r="C555"/>
      <c r="D555" s="31"/>
      <c r="E555"/>
      <c r="F555" s="31"/>
      <c r="G555"/>
      <c r="H555" s="27">
        <f>IF($G555&lt;&gt;0,SUMIF(куб!$G:$G,$G555,куб!H:H),IF($E555&lt;&gt;0,SUMIF(куб!$E:$E,$E555,куб!H:H),IF($D555&lt;&gt;0,SUMIF(куб!$D:$D,$D555,куб!H:H),IF($C555&lt;&gt;0,SUMIF(куб!$C:$C,$C555,куб!H:H),IF($B555&lt;&gt;0,SUMIF(куб!$B:$B,$B555,куб!H:H),IF($G555&lt;&gt;0,SUMIF(куб!$A:$A,$G555,куб!H:H),SUMIF(куб!$A:$A,$G555,куб!H:H)))))))</f>
        <v>0</v>
      </c>
      <c r="I555" s="27">
        <f>IF($G555&lt;&gt;0,SUMIF(куб!$G:$G,$G555,куб!I:I),IF($E555&lt;&gt;0,SUMIF(куб!$E:$E,$E555,куб!I:I),IF($D555&lt;&gt;0,SUMIF(куб!$D:$D,$D555,куб!I:I),IF($C555&lt;&gt;0,SUMIF(куб!$C:$C,$C555,куб!I:I),IF($B555&lt;&gt;0,SUMIF(куб!$B:$B,$B555,куб!I:I),IF($G555&lt;&gt;0,SUMIF(куб!$A:$A,$G555,куб!I:I),SUMIF(куб!$A:$A,$G555,куб!I:I)))))))</f>
        <v>0</v>
      </c>
      <c r="J555" s="19" t="str">
        <f t="shared" si="183"/>
        <v>-</v>
      </c>
      <c r="K555" s="8"/>
      <c r="L555" s="17">
        <f t="shared" si="184"/>
        <v>0</v>
      </c>
      <c r="M555" s="17">
        <f t="shared" si="185"/>
        <v>0</v>
      </c>
      <c r="N555" s="12">
        <f t="shared" si="186"/>
        <v>0</v>
      </c>
      <c r="O555" s="5"/>
      <c r="P555" s="27" t="b">
        <f>IF($G555&lt;&gt;0,SUMIF(куб!$G:$G,$G555,куб!J:J),IF($E555&lt;&gt;0,SUMIF(куб!$E:$E,$E555,куб!J:J),IF($D555&lt;&gt;0,SUMIF(куб!$D:$D,$D555,куб!J:J),IF($C555&lt;&gt;0,SUMIF(куб!$C:$C,$C555,куб!J:J),IF($B555&lt;&gt;0,SUMIF(куб!$B:$B,$B555,куб!J:J))))))</f>
        <v>0</v>
      </c>
      <c r="Q555" s="27" t="b">
        <f>IF($G555&lt;&gt;0,SUMIF(куб!$G:$G,$G555,куб!K:K),IF($E555&lt;&gt;0,SUMIF(куб!$E:$E,$E555,куб!K:K),IF($D555&lt;&gt;0,SUMIF(куб!$D:$D,$D555,куб!K:K),IF($C555&lt;&gt;0,SUMIF(куб!$C:$C,$C555,куб!K:K),IF($B555&lt;&gt;0,SUMIF(куб!$B:$B,$B555,куб!K:K))))))</f>
        <v>0</v>
      </c>
      <c r="R555" s="13" t="str">
        <f t="shared" si="187"/>
        <v>-</v>
      </c>
      <c r="S555" s="5"/>
      <c r="T555" s="27" t="b">
        <f>IF($G555&lt;&gt;0,SUMIF(куб!$G:$G,$G555,куб!L:L),IF($E555&lt;&gt;0,SUMIF(куб!$E:$E,$E555,куб!L:L),IF($D555&lt;&gt;0,SUMIF(куб!$D:$D,$D555,куб!L:L),IF($C555&lt;&gt;0,SUMIF(куб!$C:$C,$C555,куб!L:L),IF($B555&lt;&gt;0,SUMIF(куб!$B:$B,$B555,куб!L:L))))))</f>
        <v>0</v>
      </c>
      <c r="U555" s="27" t="b">
        <f>IF($G555&lt;&gt;0,SUMIF(куб!$G:$G,$G555,куб!M:M),IF($E555&lt;&gt;0,SUMIF(куб!$E:$E,$E555,куб!M:M),IF($D555&lt;&gt;0,SUMIF(куб!$D:$D,$D555,куб!M:M),IF($C555&lt;&gt;0,SUMIF(куб!$C:$C,$C555,куб!M:M),IF($B555&lt;&gt;0,SUMIF(куб!$B:$B,$B555,куб!M:M))))))</f>
        <v>0</v>
      </c>
      <c r="V555" s="13" t="str">
        <f t="shared" si="188"/>
        <v>-</v>
      </c>
      <c r="W555" s="5"/>
      <c r="X555" s="27" t="b">
        <f>IF($G555&lt;&gt;0,SUMIF(куб!$G:$G,$G555,куб!N:N),IF($E555&lt;&gt;0,SUMIF(куб!$E:$E,$E555,куб!N:N),IF($D555&lt;&gt;0,SUMIF(куб!$D:$D,$D555,куб!N:N),IF($C555&lt;&gt;0,SUMIF(куб!$C:$C,$C555,куб!N:N),IF($B555&lt;&gt;0,SUMIF(куб!$B:$B,$B555,куб!N:N))))))</f>
        <v>0</v>
      </c>
      <c r="Y555" s="27" t="b">
        <f>IF($G555&lt;&gt;0,SUMIF(куб!$G:$G,$G555,куб!O:O),IF($E555&lt;&gt;0,SUMIF(куб!$E:$E,$E555,куб!O:O),IF($D555&lt;&gt;0,SUMIF(куб!$D:$D,$D555,куб!O:O),IF($C555&lt;&gt;0,SUMIF(куб!$C:$C,$C555,куб!O:O),IF($B555&lt;&gt;0,SUMIF(куб!$B:$B,$B555,куб!O:O))))))</f>
        <v>0</v>
      </c>
      <c r="Z555" s="13" t="str">
        <f t="shared" si="189"/>
        <v>-</v>
      </c>
      <c r="AA555" s="5"/>
      <c r="AB555" s="33" t="str">
        <f t="shared" si="190"/>
        <v/>
      </c>
      <c r="AC555" s="33" t="str">
        <f t="shared" si="191"/>
        <v/>
      </c>
      <c r="AD555" s="15" t="str">
        <f t="shared" si="192"/>
        <v xml:space="preserve"> </v>
      </c>
      <c r="AE555" s="5"/>
      <c r="AF555" s="27" t="b">
        <f>IF($G555&lt;&gt;0,SUMIF(куб!$G:$G,$G555,куб!R:R),IF($E555&lt;&gt;0,SUMIF(куб!$E:$E,$E555,куб!R:R),IF($D555&lt;&gt;0,SUMIF(куб!$D:$D,$D555,куб!R:R),IF($C555&lt;&gt;0,SUMIF(куб!$C:$C,$C555,куб!R:R),IF($B555&lt;&gt;0,SUMIF(куб!$B:$B,$B555,куб!R:R))))))</f>
        <v>0</v>
      </c>
      <c r="AG555" s="27" t="b">
        <f>IF($G555&lt;&gt;0,SUMIF(куб!$G:$G,$G555,куб!S:S),IF($E555&lt;&gt;0,SUMIF(куб!$E:$E,$E555,куб!S:S),IF($D555&lt;&gt;0,SUMIF(куб!$D:$D,$D555,куб!S:S),IF($C555&lt;&gt;0,SUMIF(куб!$C:$C,$C555,куб!S:S),IF($B555&lt;&gt;0,SUMIF(куб!$B:$B,$B555,куб!S:S))))))</f>
        <v>0</v>
      </c>
      <c r="AH555" s="16" t="str">
        <f t="shared" si="193"/>
        <v>-</v>
      </c>
      <c r="AI555" s="8"/>
      <c r="AJ555" s="27" t="b">
        <f>IF($G555&lt;&gt;0,SUMIF(куб!$G:$G,$G555,куб!T:T),IF($E555&lt;&gt;0,SUMIF(куб!$E:$E,$E555,куб!T:T),IF($D555&lt;&gt;0,SUMIF(куб!$D:$D,$D555,куб!T:T),IF($C555&lt;&gt;0,SUMIF(куб!$C:$C,$C555,куб!T:T),IF($B555&lt;&gt;0,SUMIF(куб!$B:$B,$B555,куб!T:T))))))</f>
        <v>0</v>
      </c>
      <c r="AK555" s="27" t="b">
        <f>IF($G555&lt;&gt;0,SUMIF(куб!$G:$G,$G555,куб!U:U),IF($E555&lt;&gt;0,SUMIF(куб!$E:$E,$E555,куб!U:U),IF($D555&lt;&gt;0,SUMIF(куб!$D:$D,$D555,куб!U:U),IF($C555&lt;&gt;0,SUMIF(куб!$C:$C,$C555,куб!U:U),IF($B555&lt;&gt;0,SUMIF(куб!$B:$B,$B555,куб!U:U))))))</f>
        <v>0</v>
      </c>
      <c r="AL555" s="16" t="str">
        <f t="shared" si="194"/>
        <v>-</v>
      </c>
      <c r="AM555" s="8"/>
      <c r="AN555" s="17" t="str">
        <f t="shared" si="195"/>
        <v xml:space="preserve"> </v>
      </c>
      <c r="AO555" s="17" t="str">
        <f t="shared" si="196"/>
        <v xml:space="preserve"> </v>
      </c>
      <c r="AP555" s="16" t="str">
        <f t="shared" si="197"/>
        <v>-</v>
      </c>
      <c r="AQ555" s="8"/>
      <c r="AR555" s="17" t="str">
        <f t="shared" si="198"/>
        <v>-</v>
      </c>
      <c r="AS555" s="17" t="str">
        <f t="shared" si="199"/>
        <v>-</v>
      </c>
      <c r="AT555" s="13" t="str">
        <f t="shared" si="200"/>
        <v>-</v>
      </c>
      <c r="AU555" s="8"/>
    </row>
    <row r="556" spans="1:47" x14ac:dyDescent="0.25">
      <c r="A556" s="31"/>
      <c r="B556" s="31"/>
      <c r="C556"/>
      <c r="D556" s="31"/>
      <c r="E556"/>
      <c r="F556" s="31"/>
      <c r="G556"/>
      <c r="H556" s="27">
        <f>IF($G556&lt;&gt;0,SUMIF(куб!$G:$G,$G556,куб!H:H),IF($E556&lt;&gt;0,SUMIF(куб!$E:$E,$E556,куб!H:H),IF($D556&lt;&gt;0,SUMIF(куб!$D:$D,$D556,куб!H:H),IF($C556&lt;&gt;0,SUMIF(куб!$C:$C,$C556,куб!H:H),IF($B556&lt;&gt;0,SUMIF(куб!$B:$B,$B556,куб!H:H),IF($G556&lt;&gt;0,SUMIF(куб!$A:$A,$G556,куб!H:H),SUMIF(куб!$A:$A,$G556,куб!H:H)))))))</f>
        <v>0</v>
      </c>
      <c r="I556" s="27">
        <f>IF($G556&lt;&gt;0,SUMIF(куб!$G:$G,$G556,куб!I:I),IF($E556&lt;&gt;0,SUMIF(куб!$E:$E,$E556,куб!I:I),IF($D556&lt;&gt;0,SUMIF(куб!$D:$D,$D556,куб!I:I),IF($C556&lt;&gt;0,SUMIF(куб!$C:$C,$C556,куб!I:I),IF($B556&lt;&gt;0,SUMIF(куб!$B:$B,$B556,куб!I:I),IF($G556&lt;&gt;0,SUMIF(куб!$A:$A,$G556,куб!I:I),SUMIF(куб!$A:$A,$G556,куб!I:I)))))))</f>
        <v>0</v>
      </c>
      <c r="J556" s="19" t="str">
        <f t="shared" si="183"/>
        <v>-</v>
      </c>
      <c r="K556" s="8"/>
      <c r="L556" s="17">
        <f t="shared" si="184"/>
        <v>0</v>
      </c>
      <c r="M556" s="17">
        <f t="shared" si="185"/>
        <v>0</v>
      </c>
      <c r="N556" s="12">
        <f t="shared" si="186"/>
        <v>0</v>
      </c>
      <c r="O556" s="5"/>
      <c r="P556" s="27" t="b">
        <f>IF($G556&lt;&gt;0,SUMIF(куб!$G:$G,$G556,куб!J:J),IF($E556&lt;&gt;0,SUMIF(куб!$E:$E,$E556,куб!J:J),IF($D556&lt;&gt;0,SUMIF(куб!$D:$D,$D556,куб!J:J),IF($C556&lt;&gt;0,SUMIF(куб!$C:$C,$C556,куб!J:J),IF($B556&lt;&gt;0,SUMIF(куб!$B:$B,$B556,куб!J:J))))))</f>
        <v>0</v>
      </c>
      <c r="Q556" s="27" t="b">
        <f>IF($G556&lt;&gt;0,SUMIF(куб!$G:$G,$G556,куб!K:K),IF($E556&lt;&gt;0,SUMIF(куб!$E:$E,$E556,куб!K:K),IF($D556&lt;&gt;0,SUMIF(куб!$D:$D,$D556,куб!K:K),IF($C556&lt;&gt;0,SUMIF(куб!$C:$C,$C556,куб!K:K),IF($B556&lt;&gt;0,SUMIF(куб!$B:$B,$B556,куб!K:K))))))</f>
        <v>0</v>
      </c>
      <c r="R556" s="13" t="str">
        <f t="shared" si="187"/>
        <v>-</v>
      </c>
      <c r="S556" s="5"/>
      <c r="T556" s="27" t="b">
        <f>IF($G556&lt;&gt;0,SUMIF(куб!$G:$G,$G556,куб!L:L),IF($E556&lt;&gt;0,SUMIF(куб!$E:$E,$E556,куб!L:L),IF($D556&lt;&gt;0,SUMIF(куб!$D:$D,$D556,куб!L:L),IF($C556&lt;&gt;0,SUMIF(куб!$C:$C,$C556,куб!L:L),IF($B556&lt;&gt;0,SUMIF(куб!$B:$B,$B556,куб!L:L))))))</f>
        <v>0</v>
      </c>
      <c r="U556" s="27" t="b">
        <f>IF($G556&lt;&gt;0,SUMIF(куб!$G:$G,$G556,куб!M:M),IF($E556&lt;&gt;0,SUMIF(куб!$E:$E,$E556,куб!M:M),IF($D556&lt;&gt;0,SUMIF(куб!$D:$D,$D556,куб!M:M),IF($C556&lt;&gt;0,SUMIF(куб!$C:$C,$C556,куб!M:M),IF($B556&lt;&gt;0,SUMIF(куб!$B:$B,$B556,куб!M:M))))))</f>
        <v>0</v>
      </c>
      <c r="V556" s="13" t="str">
        <f t="shared" si="188"/>
        <v>-</v>
      </c>
      <c r="W556" s="5"/>
      <c r="X556" s="27" t="b">
        <f>IF($G556&lt;&gt;0,SUMIF(куб!$G:$G,$G556,куб!N:N),IF($E556&lt;&gt;0,SUMIF(куб!$E:$E,$E556,куб!N:N),IF($D556&lt;&gt;0,SUMIF(куб!$D:$D,$D556,куб!N:N),IF($C556&lt;&gt;0,SUMIF(куб!$C:$C,$C556,куб!N:N),IF($B556&lt;&gt;0,SUMIF(куб!$B:$B,$B556,куб!N:N))))))</f>
        <v>0</v>
      </c>
      <c r="Y556" s="27" t="b">
        <f>IF($G556&lt;&gt;0,SUMIF(куб!$G:$G,$G556,куб!O:O),IF($E556&lt;&gt;0,SUMIF(куб!$E:$E,$E556,куб!O:O),IF($D556&lt;&gt;0,SUMIF(куб!$D:$D,$D556,куб!O:O),IF($C556&lt;&gt;0,SUMIF(куб!$C:$C,$C556,куб!O:O),IF($B556&lt;&gt;0,SUMIF(куб!$B:$B,$B556,куб!O:O))))))</f>
        <v>0</v>
      </c>
      <c r="Z556" s="13" t="str">
        <f t="shared" si="189"/>
        <v>-</v>
      </c>
      <c r="AA556" s="5"/>
      <c r="AB556" s="33" t="str">
        <f t="shared" si="190"/>
        <v/>
      </c>
      <c r="AC556" s="33" t="str">
        <f t="shared" si="191"/>
        <v/>
      </c>
      <c r="AD556" s="15" t="str">
        <f t="shared" si="192"/>
        <v xml:space="preserve"> </v>
      </c>
      <c r="AE556" s="5"/>
      <c r="AF556" s="27" t="b">
        <f>IF($G556&lt;&gt;0,SUMIF(куб!$G:$G,$G556,куб!R:R),IF($E556&lt;&gt;0,SUMIF(куб!$E:$E,$E556,куб!R:R),IF($D556&lt;&gt;0,SUMIF(куб!$D:$D,$D556,куб!R:R),IF($C556&lt;&gt;0,SUMIF(куб!$C:$C,$C556,куб!R:R),IF($B556&lt;&gt;0,SUMIF(куб!$B:$B,$B556,куб!R:R))))))</f>
        <v>0</v>
      </c>
      <c r="AG556" s="27" t="b">
        <f>IF($G556&lt;&gt;0,SUMIF(куб!$G:$G,$G556,куб!S:S),IF($E556&lt;&gt;0,SUMIF(куб!$E:$E,$E556,куб!S:S),IF($D556&lt;&gt;0,SUMIF(куб!$D:$D,$D556,куб!S:S),IF($C556&lt;&gt;0,SUMIF(куб!$C:$C,$C556,куб!S:S),IF($B556&lt;&gt;0,SUMIF(куб!$B:$B,$B556,куб!S:S))))))</f>
        <v>0</v>
      </c>
      <c r="AH556" s="16" t="str">
        <f t="shared" si="193"/>
        <v>-</v>
      </c>
      <c r="AI556" s="8"/>
      <c r="AJ556" s="27" t="b">
        <f>IF($G556&lt;&gt;0,SUMIF(куб!$G:$G,$G556,куб!T:T),IF($E556&lt;&gt;0,SUMIF(куб!$E:$E,$E556,куб!T:T),IF($D556&lt;&gt;0,SUMIF(куб!$D:$D,$D556,куб!T:T),IF($C556&lt;&gt;0,SUMIF(куб!$C:$C,$C556,куб!T:T),IF($B556&lt;&gt;0,SUMIF(куб!$B:$B,$B556,куб!T:T))))))</f>
        <v>0</v>
      </c>
      <c r="AK556" s="27" t="b">
        <f>IF($G556&lt;&gt;0,SUMIF(куб!$G:$G,$G556,куб!U:U),IF($E556&lt;&gt;0,SUMIF(куб!$E:$E,$E556,куб!U:U),IF($D556&lt;&gt;0,SUMIF(куб!$D:$D,$D556,куб!U:U),IF($C556&lt;&gt;0,SUMIF(куб!$C:$C,$C556,куб!U:U),IF($B556&lt;&gt;0,SUMIF(куб!$B:$B,$B556,куб!U:U))))))</f>
        <v>0</v>
      </c>
      <c r="AL556" s="16" t="str">
        <f t="shared" si="194"/>
        <v>-</v>
      </c>
      <c r="AM556" s="8"/>
      <c r="AN556" s="17" t="str">
        <f t="shared" si="195"/>
        <v xml:space="preserve"> </v>
      </c>
      <c r="AO556" s="17" t="str">
        <f t="shared" si="196"/>
        <v xml:space="preserve"> </v>
      </c>
      <c r="AP556" s="16" t="str">
        <f t="shared" si="197"/>
        <v>-</v>
      </c>
      <c r="AQ556" s="8"/>
      <c r="AR556" s="17" t="str">
        <f t="shared" si="198"/>
        <v>-</v>
      </c>
      <c r="AS556" s="17" t="str">
        <f t="shared" si="199"/>
        <v>-</v>
      </c>
      <c r="AT556" s="13" t="str">
        <f t="shared" si="200"/>
        <v>-</v>
      </c>
      <c r="AU556" s="8"/>
    </row>
    <row r="557" spans="1:47" x14ac:dyDescent="0.25">
      <c r="A557" s="31"/>
      <c r="B557" s="31"/>
      <c r="C557"/>
      <c r="D557" s="31"/>
      <c r="E557"/>
      <c r="F557" s="31"/>
      <c r="G557"/>
      <c r="H557" s="27">
        <f>IF($G557&lt;&gt;0,SUMIF(куб!$G:$G,$G557,куб!H:H),IF($E557&lt;&gt;0,SUMIF(куб!$E:$E,$E557,куб!H:H),IF($D557&lt;&gt;0,SUMIF(куб!$D:$D,$D557,куб!H:H),IF($C557&lt;&gt;0,SUMIF(куб!$C:$C,$C557,куб!H:H),IF($B557&lt;&gt;0,SUMIF(куб!$B:$B,$B557,куб!H:H),IF($G557&lt;&gt;0,SUMIF(куб!$A:$A,$G557,куб!H:H),SUMIF(куб!$A:$A,$G557,куб!H:H)))))))</f>
        <v>0</v>
      </c>
      <c r="I557" s="27">
        <f>IF($G557&lt;&gt;0,SUMIF(куб!$G:$G,$G557,куб!I:I),IF($E557&lt;&gt;0,SUMIF(куб!$E:$E,$E557,куб!I:I),IF($D557&lt;&gt;0,SUMIF(куб!$D:$D,$D557,куб!I:I),IF($C557&lt;&gt;0,SUMIF(куб!$C:$C,$C557,куб!I:I),IF($B557&lt;&gt;0,SUMIF(куб!$B:$B,$B557,куб!I:I),IF($G557&lt;&gt;0,SUMIF(куб!$A:$A,$G557,куб!I:I),SUMIF(куб!$A:$A,$G557,куб!I:I)))))))</f>
        <v>0</v>
      </c>
      <c r="J557" s="19" t="str">
        <f t="shared" si="183"/>
        <v>-</v>
      </c>
      <c r="K557" s="8"/>
      <c r="L557" s="17">
        <f t="shared" si="184"/>
        <v>0</v>
      </c>
      <c r="M557" s="17">
        <f t="shared" si="185"/>
        <v>0</v>
      </c>
      <c r="N557" s="12">
        <f t="shared" si="186"/>
        <v>0</v>
      </c>
      <c r="O557" s="5"/>
      <c r="P557" s="27" t="b">
        <f>IF($G557&lt;&gt;0,SUMIF(куб!$G:$G,$G557,куб!J:J),IF($E557&lt;&gt;0,SUMIF(куб!$E:$E,$E557,куб!J:J),IF($D557&lt;&gt;0,SUMIF(куб!$D:$D,$D557,куб!J:J),IF($C557&lt;&gt;0,SUMIF(куб!$C:$C,$C557,куб!J:J),IF($B557&lt;&gt;0,SUMIF(куб!$B:$B,$B557,куб!J:J))))))</f>
        <v>0</v>
      </c>
      <c r="Q557" s="27" t="b">
        <f>IF($G557&lt;&gt;0,SUMIF(куб!$G:$G,$G557,куб!K:K),IF($E557&lt;&gt;0,SUMIF(куб!$E:$E,$E557,куб!K:K),IF($D557&lt;&gt;0,SUMIF(куб!$D:$D,$D557,куб!K:K),IF($C557&lt;&gt;0,SUMIF(куб!$C:$C,$C557,куб!K:K),IF($B557&lt;&gt;0,SUMIF(куб!$B:$B,$B557,куб!K:K))))))</f>
        <v>0</v>
      </c>
      <c r="R557" s="13" t="str">
        <f t="shared" si="187"/>
        <v>-</v>
      </c>
      <c r="S557" s="5"/>
      <c r="T557" s="27" t="b">
        <f>IF($G557&lt;&gt;0,SUMIF(куб!$G:$G,$G557,куб!L:L),IF($E557&lt;&gt;0,SUMIF(куб!$E:$E,$E557,куб!L:L),IF($D557&lt;&gt;0,SUMIF(куб!$D:$D,$D557,куб!L:L),IF($C557&lt;&gt;0,SUMIF(куб!$C:$C,$C557,куб!L:L),IF($B557&lt;&gt;0,SUMIF(куб!$B:$B,$B557,куб!L:L))))))</f>
        <v>0</v>
      </c>
      <c r="U557" s="27" t="b">
        <f>IF($G557&lt;&gt;0,SUMIF(куб!$G:$G,$G557,куб!M:M),IF($E557&lt;&gt;0,SUMIF(куб!$E:$E,$E557,куб!M:M),IF($D557&lt;&gt;0,SUMIF(куб!$D:$D,$D557,куб!M:M),IF($C557&lt;&gt;0,SUMIF(куб!$C:$C,$C557,куб!M:M),IF($B557&lt;&gt;0,SUMIF(куб!$B:$B,$B557,куб!M:M))))))</f>
        <v>0</v>
      </c>
      <c r="V557" s="13" t="str">
        <f t="shared" si="188"/>
        <v>-</v>
      </c>
      <c r="W557" s="5"/>
      <c r="X557" s="27" t="b">
        <f>IF($G557&lt;&gt;0,SUMIF(куб!$G:$G,$G557,куб!N:N),IF($E557&lt;&gt;0,SUMIF(куб!$E:$E,$E557,куб!N:N),IF($D557&lt;&gt;0,SUMIF(куб!$D:$D,$D557,куб!N:N),IF($C557&lt;&gt;0,SUMIF(куб!$C:$C,$C557,куб!N:N),IF($B557&lt;&gt;0,SUMIF(куб!$B:$B,$B557,куб!N:N))))))</f>
        <v>0</v>
      </c>
      <c r="Y557" s="27" t="b">
        <f>IF($G557&lt;&gt;0,SUMIF(куб!$G:$G,$G557,куб!O:O),IF($E557&lt;&gt;0,SUMIF(куб!$E:$E,$E557,куб!O:O),IF($D557&lt;&gt;0,SUMIF(куб!$D:$D,$D557,куб!O:O),IF($C557&lt;&gt;0,SUMIF(куб!$C:$C,$C557,куб!O:O),IF($B557&lt;&gt;0,SUMIF(куб!$B:$B,$B557,куб!O:O))))))</f>
        <v>0</v>
      </c>
      <c r="Z557" s="13" t="str">
        <f t="shared" si="189"/>
        <v>-</v>
      </c>
      <c r="AA557" s="5"/>
      <c r="AB557" s="33" t="str">
        <f t="shared" si="190"/>
        <v/>
      </c>
      <c r="AC557" s="33" t="str">
        <f t="shared" si="191"/>
        <v/>
      </c>
      <c r="AD557" s="15" t="str">
        <f t="shared" si="192"/>
        <v xml:space="preserve"> </v>
      </c>
      <c r="AE557" s="5"/>
      <c r="AF557" s="27" t="b">
        <f>IF($G557&lt;&gt;0,SUMIF(куб!$G:$G,$G557,куб!R:R),IF($E557&lt;&gt;0,SUMIF(куб!$E:$E,$E557,куб!R:R),IF($D557&lt;&gt;0,SUMIF(куб!$D:$D,$D557,куб!R:R),IF($C557&lt;&gt;0,SUMIF(куб!$C:$C,$C557,куб!R:R),IF($B557&lt;&gt;0,SUMIF(куб!$B:$B,$B557,куб!R:R))))))</f>
        <v>0</v>
      </c>
      <c r="AG557" s="27" t="b">
        <f>IF($G557&lt;&gt;0,SUMIF(куб!$G:$G,$G557,куб!S:S),IF($E557&lt;&gt;0,SUMIF(куб!$E:$E,$E557,куб!S:S),IF($D557&lt;&gt;0,SUMIF(куб!$D:$D,$D557,куб!S:S),IF($C557&lt;&gt;0,SUMIF(куб!$C:$C,$C557,куб!S:S),IF($B557&lt;&gt;0,SUMIF(куб!$B:$B,$B557,куб!S:S))))))</f>
        <v>0</v>
      </c>
      <c r="AH557" s="16" t="str">
        <f t="shared" si="193"/>
        <v>-</v>
      </c>
      <c r="AI557" s="8"/>
      <c r="AJ557" s="27" t="b">
        <f>IF($G557&lt;&gt;0,SUMIF(куб!$G:$G,$G557,куб!T:T),IF($E557&lt;&gt;0,SUMIF(куб!$E:$E,$E557,куб!T:T),IF($D557&lt;&gt;0,SUMIF(куб!$D:$D,$D557,куб!T:T),IF($C557&lt;&gt;0,SUMIF(куб!$C:$C,$C557,куб!T:T),IF($B557&lt;&gt;0,SUMIF(куб!$B:$B,$B557,куб!T:T))))))</f>
        <v>0</v>
      </c>
      <c r="AK557" s="27" t="b">
        <f>IF($G557&lt;&gt;0,SUMIF(куб!$G:$G,$G557,куб!U:U),IF($E557&lt;&gt;0,SUMIF(куб!$E:$E,$E557,куб!U:U),IF($D557&lt;&gt;0,SUMIF(куб!$D:$D,$D557,куб!U:U),IF($C557&lt;&gt;0,SUMIF(куб!$C:$C,$C557,куб!U:U),IF($B557&lt;&gt;0,SUMIF(куб!$B:$B,$B557,куб!U:U))))))</f>
        <v>0</v>
      </c>
      <c r="AL557" s="16" t="str">
        <f t="shared" si="194"/>
        <v>-</v>
      </c>
      <c r="AM557" s="8"/>
      <c r="AN557" s="17" t="str">
        <f t="shared" si="195"/>
        <v xml:space="preserve"> </v>
      </c>
      <c r="AO557" s="17" t="str">
        <f t="shared" si="196"/>
        <v xml:space="preserve"> </v>
      </c>
      <c r="AP557" s="16" t="str">
        <f t="shared" si="197"/>
        <v>-</v>
      </c>
      <c r="AQ557" s="8"/>
      <c r="AR557" s="17" t="str">
        <f t="shared" si="198"/>
        <v>-</v>
      </c>
      <c r="AS557" s="17" t="str">
        <f t="shared" si="199"/>
        <v>-</v>
      </c>
      <c r="AT557" s="13" t="str">
        <f t="shared" si="200"/>
        <v>-</v>
      </c>
      <c r="AU557" s="8"/>
    </row>
    <row r="558" spans="1:47" x14ac:dyDescent="0.25">
      <c r="A558" s="31"/>
      <c r="B558" s="31"/>
      <c r="C558"/>
      <c r="D558" s="31"/>
      <c r="E558"/>
      <c r="F558" s="31"/>
      <c r="G558"/>
      <c r="H558" s="27">
        <f>IF($G558&lt;&gt;0,SUMIF(куб!$G:$G,$G558,куб!H:H),IF($E558&lt;&gt;0,SUMIF(куб!$E:$E,$E558,куб!H:H),IF($D558&lt;&gt;0,SUMIF(куб!$D:$D,$D558,куб!H:H),IF($C558&lt;&gt;0,SUMIF(куб!$C:$C,$C558,куб!H:H),IF($B558&lt;&gt;0,SUMIF(куб!$B:$B,$B558,куб!H:H),IF($G558&lt;&gt;0,SUMIF(куб!$A:$A,$G558,куб!H:H),SUMIF(куб!$A:$A,$G558,куб!H:H)))))))</f>
        <v>0</v>
      </c>
      <c r="I558" s="27">
        <f>IF($G558&lt;&gt;0,SUMIF(куб!$G:$G,$G558,куб!I:I),IF($E558&lt;&gt;0,SUMIF(куб!$E:$E,$E558,куб!I:I),IF($D558&lt;&gt;0,SUMIF(куб!$D:$D,$D558,куб!I:I),IF($C558&lt;&gt;0,SUMIF(куб!$C:$C,$C558,куб!I:I),IF($B558&lt;&gt;0,SUMIF(куб!$B:$B,$B558,куб!I:I),IF($G558&lt;&gt;0,SUMIF(куб!$A:$A,$G558,куб!I:I),SUMIF(куб!$A:$A,$G558,куб!I:I)))))))</f>
        <v>0</v>
      </c>
      <c r="J558" s="19" t="str">
        <f t="shared" si="183"/>
        <v>-</v>
      </c>
      <c r="K558" s="8"/>
      <c r="L558" s="17">
        <f t="shared" si="184"/>
        <v>0</v>
      </c>
      <c r="M558" s="17">
        <f t="shared" si="185"/>
        <v>0</v>
      </c>
      <c r="N558" s="12">
        <f t="shared" si="186"/>
        <v>0</v>
      </c>
      <c r="O558" s="5"/>
      <c r="P558" s="27" t="b">
        <f>IF($G558&lt;&gt;0,SUMIF(куб!$G:$G,$G558,куб!J:J),IF($E558&lt;&gt;0,SUMIF(куб!$E:$E,$E558,куб!J:J),IF($D558&lt;&gt;0,SUMIF(куб!$D:$D,$D558,куб!J:J),IF($C558&lt;&gt;0,SUMIF(куб!$C:$C,$C558,куб!J:J),IF($B558&lt;&gt;0,SUMIF(куб!$B:$B,$B558,куб!J:J))))))</f>
        <v>0</v>
      </c>
      <c r="Q558" s="27" t="b">
        <f>IF($G558&lt;&gt;0,SUMIF(куб!$G:$G,$G558,куб!K:K),IF($E558&lt;&gt;0,SUMIF(куб!$E:$E,$E558,куб!K:K),IF($D558&lt;&gt;0,SUMIF(куб!$D:$D,$D558,куб!K:K),IF($C558&lt;&gt;0,SUMIF(куб!$C:$C,$C558,куб!K:K),IF($B558&lt;&gt;0,SUMIF(куб!$B:$B,$B558,куб!K:K))))))</f>
        <v>0</v>
      </c>
      <c r="R558" s="13" t="str">
        <f t="shared" si="187"/>
        <v>-</v>
      </c>
      <c r="S558" s="5"/>
      <c r="T558" s="27" t="b">
        <f>IF($G558&lt;&gt;0,SUMIF(куб!$G:$G,$G558,куб!L:L),IF($E558&lt;&gt;0,SUMIF(куб!$E:$E,$E558,куб!L:L),IF($D558&lt;&gt;0,SUMIF(куб!$D:$D,$D558,куб!L:L),IF($C558&lt;&gt;0,SUMIF(куб!$C:$C,$C558,куб!L:L),IF($B558&lt;&gt;0,SUMIF(куб!$B:$B,$B558,куб!L:L))))))</f>
        <v>0</v>
      </c>
      <c r="U558" s="27" t="b">
        <f>IF($G558&lt;&gt;0,SUMIF(куб!$G:$G,$G558,куб!M:M),IF($E558&lt;&gt;0,SUMIF(куб!$E:$E,$E558,куб!M:M),IF($D558&lt;&gt;0,SUMIF(куб!$D:$D,$D558,куб!M:M),IF($C558&lt;&gt;0,SUMIF(куб!$C:$C,$C558,куб!M:M),IF($B558&lt;&gt;0,SUMIF(куб!$B:$B,$B558,куб!M:M))))))</f>
        <v>0</v>
      </c>
      <c r="V558" s="13" t="str">
        <f t="shared" si="188"/>
        <v>-</v>
      </c>
      <c r="W558" s="5"/>
      <c r="X558" s="27" t="b">
        <f>IF($G558&lt;&gt;0,SUMIF(куб!$G:$G,$G558,куб!N:N),IF($E558&lt;&gt;0,SUMIF(куб!$E:$E,$E558,куб!N:N),IF($D558&lt;&gt;0,SUMIF(куб!$D:$D,$D558,куб!N:N),IF($C558&lt;&gt;0,SUMIF(куб!$C:$C,$C558,куб!N:N),IF($B558&lt;&gt;0,SUMIF(куб!$B:$B,$B558,куб!N:N))))))</f>
        <v>0</v>
      </c>
      <c r="Y558" s="27" t="b">
        <f>IF($G558&lt;&gt;0,SUMIF(куб!$G:$G,$G558,куб!O:O),IF($E558&lt;&gt;0,SUMIF(куб!$E:$E,$E558,куб!O:O),IF($D558&lt;&gt;0,SUMIF(куб!$D:$D,$D558,куб!O:O),IF($C558&lt;&gt;0,SUMIF(куб!$C:$C,$C558,куб!O:O),IF($B558&lt;&gt;0,SUMIF(куб!$B:$B,$B558,куб!O:O))))))</f>
        <v>0</v>
      </c>
      <c r="Z558" s="13" t="str">
        <f t="shared" si="189"/>
        <v>-</v>
      </c>
      <c r="AA558" s="5"/>
      <c r="AB558" s="33" t="str">
        <f t="shared" si="190"/>
        <v/>
      </c>
      <c r="AC558" s="33" t="str">
        <f t="shared" si="191"/>
        <v/>
      </c>
      <c r="AD558" s="15" t="str">
        <f t="shared" si="192"/>
        <v xml:space="preserve"> </v>
      </c>
      <c r="AE558" s="5"/>
      <c r="AF558" s="27" t="b">
        <f>IF($G558&lt;&gt;0,SUMIF(куб!$G:$G,$G558,куб!R:R),IF($E558&lt;&gt;0,SUMIF(куб!$E:$E,$E558,куб!R:R),IF($D558&lt;&gt;0,SUMIF(куб!$D:$D,$D558,куб!R:R),IF($C558&lt;&gt;0,SUMIF(куб!$C:$C,$C558,куб!R:R),IF($B558&lt;&gt;0,SUMIF(куб!$B:$B,$B558,куб!R:R))))))</f>
        <v>0</v>
      </c>
      <c r="AG558" s="27" t="b">
        <f>IF($G558&lt;&gt;0,SUMIF(куб!$G:$G,$G558,куб!S:S),IF($E558&lt;&gt;0,SUMIF(куб!$E:$E,$E558,куб!S:S),IF($D558&lt;&gt;0,SUMIF(куб!$D:$D,$D558,куб!S:S),IF($C558&lt;&gt;0,SUMIF(куб!$C:$C,$C558,куб!S:S),IF($B558&lt;&gt;0,SUMIF(куб!$B:$B,$B558,куб!S:S))))))</f>
        <v>0</v>
      </c>
      <c r="AH558" s="16" t="str">
        <f t="shared" si="193"/>
        <v>-</v>
      </c>
      <c r="AI558" s="8"/>
      <c r="AJ558" s="27" t="b">
        <f>IF($G558&lt;&gt;0,SUMIF(куб!$G:$G,$G558,куб!T:T),IF($E558&lt;&gt;0,SUMIF(куб!$E:$E,$E558,куб!T:T),IF($D558&lt;&gt;0,SUMIF(куб!$D:$D,$D558,куб!T:T),IF($C558&lt;&gt;0,SUMIF(куб!$C:$C,$C558,куб!T:T),IF($B558&lt;&gt;0,SUMIF(куб!$B:$B,$B558,куб!T:T))))))</f>
        <v>0</v>
      </c>
      <c r="AK558" s="27" t="b">
        <f>IF($G558&lt;&gt;0,SUMIF(куб!$G:$G,$G558,куб!U:U),IF($E558&lt;&gt;0,SUMIF(куб!$E:$E,$E558,куб!U:U),IF($D558&lt;&gt;0,SUMIF(куб!$D:$D,$D558,куб!U:U),IF($C558&lt;&gt;0,SUMIF(куб!$C:$C,$C558,куб!U:U),IF($B558&lt;&gt;0,SUMIF(куб!$B:$B,$B558,куб!U:U))))))</f>
        <v>0</v>
      </c>
      <c r="AL558" s="16" t="str">
        <f t="shared" si="194"/>
        <v>-</v>
      </c>
      <c r="AM558" s="8"/>
      <c r="AN558" s="17" t="str">
        <f t="shared" si="195"/>
        <v xml:space="preserve"> </v>
      </c>
      <c r="AO558" s="17" t="str">
        <f t="shared" si="196"/>
        <v xml:space="preserve"> </v>
      </c>
      <c r="AP558" s="16" t="str">
        <f t="shared" si="197"/>
        <v>-</v>
      </c>
      <c r="AQ558" s="8"/>
      <c r="AR558" s="17" t="str">
        <f t="shared" si="198"/>
        <v>-</v>
      </c>
      <c r="AS558" s="17" t="str">
        <f t="shared" si="199"/>
        <v>-</v>
      </c>
      <c r="AT558" s="13" t="str">
        <f t="shared" si="200"/>
        <v>-</v>
      </c>
      <c r="AU558" s="8"/>
    </row>
    <row r="559" spans="1:47" x14ac:dyDescent="0.25">
      <c r="A559" s="31"/>
      <c r="B559" s="31"/>
      <c r="C559"/>
      <c r="D559" s="31"/>
      <c r="E559"/>
      <c r="F559" s="31"/>
      <c r="G559"/>
      <c r="H559" s="27">
        <f>IF($G559&lt;&gt;0,SUMIF(куб!$G:$G,$G559,куб!H:H),IF($E559&lt;&gt;0,SUMIF(куб!$E:$E,$E559,куб!H:H),IF($D559&lt;&gt;0,SUMIF(куб!$D:$D,$D559,куб!H:H),IF($C559&lt;&gt;0,SUMIF(куб!$C:$C,$C559,куб!H:H),IF($B559&lt;&gt;0,SUMIF(куб!$B:$B,$B559,куб!H:H),IF($G559&lt;&gt;0,SUMIF(куб!$A:$A,$G559,куб!H:H),SUMIF(куб!$A:$A,$G559,куб!H:H)))))))</f>
        <v>0</v>
      </c>
      <c r="I559" s="27">
        <f>IF($G559&lt;&gt;0,SUMIF(куб!$G:$G,$G559,куб!I:I),IF($E559&lt;&gt;0,SUMIF(куб!$E:$E,$E559,куб!I:I),IF($D559&lt;&gt;0,SUMIF(куб!$D:$D,$D559,куб!I:I),IF($C559&lt;&gt;0,SUMIF(куб!$C:$C,$C559,куб!I:I),IF($B559&lt;&gt;0,SUMIF(куб!$B:$B,$B559,куб!I:I),IF($G559&lt;&gt;0,SUMIF(куб!$A:$A,$G559,куб!I:I),SUMIF(куб!$A:$A,$G559,куб!I:I)))))))</f>
        <v>0</v>
      </c>
      <c r="J559" s="19" t="str">
        <f t="shared" si="183"/>
        <v>-</v>
      </c>
      <c r="K559" s="8"/>
      <c r="L559" s="17">
        <f t="shared" si="184"/>
        <v>0</v>
      </c>
      <c r="M559" s="17">
        <f t="shared" si="185"/>
        <v>0</v>
      </c>
      <c r="N559" s="12">
        <f t="shared" si="186"/>
        <v>0</v>
      </c>
      <c r="O559" s="5"/>
      <c r="P559" s="27" t="b">
        <f>IF($G559&lt;&gt;0,SUMIF(куб!$G:$G,$G559,куб!J:J),IF($E559&lt;&gt;0,SUMIF(куб!$E:$E,$E559,куб!J:J),IF($D559&lt;&gt;0,SUMIF(куб!$D:$D,$D559,куб!J:J),IF($C559&lt;&gt;0,SUMIF(куб!$C:$C,$C559,куб!J:J),IF($B559&lt;&gt;0,SUMIF(куб!$B:$B,$B559,куб!J:J))))))</f>
        <v>0</v>
      </c>
      <c r="Q559" s="27" t="b">
        <f>IF($G559&lt;&gt;0,SUMIF(куб!$G:$G,$G559,куб!K:K),IF($E559&lt;&gt;0,SUMIF(куб!$E:$E,$E559,куб!K:K),IF($D559&lt;&gt;0,SUMIF(куб!$D:$D,$D559,куб!K:K),IF($C559&lt;&gt;0,SUMIF(куб!$C:$C,$C559,куб!K:K),IF($B559&lt;&gt;0,SUMIF(куб!$B:$B,$B559,куб!K:K))))))</f>
        <v>0</v>
      </c>
      <c r="R559" s="13" t="str">
        <f t="shared" si="187"/>
        <v>-</v>
      </c>
      <c r="S559" s="5"/>
      <c r="T559" s="27" t="b">
        <f>IF($G559&lt;&gt;0,SUMIF(куб!$G:$G,$G559,куб!L:L),IF($E559&lt;&gt;0,SUMIF(куб!$E:$E,$E559,куб!L:L),IF($D559&lt;&gt;0,SUMIF(куб!$D:$D,$D559,куб!L:L),IF($C559&lt;&gt;0,SUMIF(куб!$C:$C,$C559,куб!L:L),IF($B559&lt;&gt;0,SUMIF(куб!$B:$B,$B559,куб!L:L))))))</f>
        <v>0</v>
      </c>
      <c r="U559" s="27" t="b">
        <f>IF($G559&lt;&gt;0,SUMIF(куб!$G:$G,$G559,куб!M:M),IF($E559&lt;&gt;0,SUMIF(куб!$E:$E,$E559,куб!M:M),IF($D559&lt;&gt;0,SUMIF(куб!$D:$D,$D559,куб!M:M),IF($C559&lt;&gt;0,SUMIF(куб!$C:$C,$C559,куб!M:M),IF($B559&lt;&gt;0,SUMIF(куб!$B:$B,$B559,куб!M:M))))))</f>
        <v>0</v>
      </c>
      <c r="V559" s="13" t="str">
        <f t="shared" si="188"/>
        <v>-</v>
      </c>
      <c r="W559" s="5"/>
      <c r="X559" s="27" t="b">
        <f>IF($G559&lt;&gt;0,SUMIF(куб!$G:$G,$G559,куб!N:N),IF($E559&lt;&gt;0,SUMIF(куб!$E:$E,$E559,куб!N:N),IF($D559&lt;&gt;0,SUMIF(куб!$D:$D,$D559,куб!N:N),IF($C559&lt;&gt;0,SUMIF(куб!$C:$C,$C559,куб!N:N),IF($B559&lt;&gt;0,SUMIF(куб!$B:$B,$B559,куб!N:N))))))</f>
        <v>0</v>
      </c>
      <c r="Y559" s="27" t="b">
        <f>IF($G559&lt;&gt;0,SUMIF(куб!$G:$G,$G559,куб!O:O),IF($E559&lt;&gt;0,SUMIF(куб!$E:$E,$E559,куб!O:O),IF($D559&lt;&gt;0,SUMIF(куб!$D:$D,$D559,куб!O:O),IF($C559&lt;&gt;0,SUMIF(куб!$C:$C,$C559,куб!O:O),IF($B559&lt;&gt;0,SUMIF(куб!$B:$B,$B559,куб!O:O))))))</f>
        <v>0</v>
      </c>
      <c r="Z559" s="13" t="str">
        <f t="shared" si="189"/>
        <v>-</v>
      </c>
      <c r="AA559" s="5"/>
      <c r="AB559" s="33" t="str">
        <f t="shared" si="190"/>
        <v/>
      </c>
      <c r="AC559" s="33" t="str">
        <f t="shared" si="191"/>
        <v/>
      </c>
      <c r="AD559" s="15" t="str">
        <f t="shared" si="192"/>
        <v xml:space="preserve"> </v>
      </c>
      <c r="AE559" s="5"/>
      <c r="AF559" s="27" t="b">
        <f>IF($G559&lt;&gt;0,SUMIF(куб!$G:$G,$G559,куб!R:R),IF($E559&lt;&gt;0,SUMIF(куб!$E:$E,$E559,куб!R:R),IF($D559&lt;&gt;0,SUMIF(куб!$D:$D,$D559,куб!R:R),IF($C559&lt;&gt;0,SUMIF(куб!$C:$C,$C559,куб!R:R),IF($B559&lt;&gt;0,SUMIF(куб!$B:$B,$B559,куб!R:R))))))</f>
        <v>0</v>
      </c>
      <c r="AG559" s="27" t="b">
        <f>IF($G559&lt;&gt;0,SUMIF(куб!$G:$G,$G559,куб!S:S),IF($E559&lt;&gt;0,SUMIF(куб!$E:$E,$E559,куб!S:S),IF($D559&lt;&gt;0,SUMIF(куб!$D:$D,$D559,куб!S:S),IF($C559&lt;&gt;0,SUMIF(куб!$C:$C,$C559,куб!S:S),IF($B559&lt;&gt;0,SUMIF(куб!$B:$B,$B559,куб!S:S))))))</f>
        <v>0</v>
      </c>
      <c r="AH559" s="16" t="str">
        <f t="shared" si="193"/>
        <v>-</v>
      </c>
      <c r="AI559" s="8"/>
      <c r="AJ559" s="27" t="b">
        <f>IF($G559&lt;&gt;0,SUMIF(куб!$G:$G,$G559,куб!T:T),IF($E559&lt;&gt;0,SUMIF(куб!$E:$E,$E559,куб!T:T),IF($D559&lt;&gt;0,SUMIF(куб!$D:$D,$D559,куб!T:T),IF($C559&lt;&gt;0,SUMIF(куб!$C:$C,$C559,куб!T:T),IF($B559&lt;&gt;0,SUMIF(куб!$B:$B,$B559,куб!T:T))))))</f>
        <v>0</v>
      </c>
      <c r="AK559" s="27" t="b">
        <f>IF($G559&lt;&gt;0,SUMIF(куб!$G:$G,$G559,куб!U:U),IF($E559&lt;&gt;0,SUMIF(куб!$E:$E,$E559,куб!U:U),IF($D559&lt;&gt;0,SUMIF(куб!$D:$D,$D559,куб!U:U),IF($C559&lt;&gt;0,SUMIF(куб!$C:$C,$C559,куб!U:U),IF($B559&lt;&gt;0,SUMIF(куб!$B:$B,$B559,куб!U:U))))))</f>
        <v>0</v>
      </c>
      <c r="AL559" s="16" t="str">
        <f t="shared" si="194"/>
        <v>-</v>
      </c>
      <c r="AM559" s="8"/>
      <c r="AN559" s="17" t="str">
        <f t="shared" si="195"/>
        <v xml:space="preserve"> </v>
      </c>
      <c r="AO559" s="17" t="str">
        <f t="shared" si="196"/>
        <v xml:space="preserve"> </v>
      </c>
      <c r="AP559" s="16" t="str">
        <f t="shared" si="197"/>
        <v>-</v>
      </c>
      <c r="AQ559" s="8"/>
      <c r="AR559" s="17" t="str">
        <f t="shared" si="198"/>
        <v>-</v>
      </c>
      <c r="AS559" s="17" t="str">
        <f t="shared" si="199"/>
        <v>-</v>
      </c>
      <c r="AT559" s="13" t="str">
        <f t="shared" si="200"/>
        <v>-</v>
      </c>
      <c r="AU559" s="8"/>
    </row>
    <row r="560" spans="1:47" x14ac:dyDescent="0.25">
      <c r="A560" s="31"/>
      <c r="B560" s="31"/>
      <c r="C560"/>
      <c r="D560" s="31"/>
      <c r="E560"/>
      <c r="F560" s="31"/>
      <c r="G560"/>
      <c r="H560" s="27">
        <f>IF($G560&lt;&gt;0,SUMIF(куб!$G:$G,$G560,куб!H:H),IF($E560&lt;&gt;0,SUMIF(куб!$E:$E,$E560,куб!H:H),IF($D560&lt;&gt;0,SUMIF(куб!$D:$D,$D560,куб!H:H),IF($C560&lt;&gt;0,SUMIF(куб!$C:$C,$C560,куб!H:H),IF($B560&lt;&gt;0,SUMIF(куб!$B:$B,$B560,куб!H:H),IF($G560&lt;&gt;0,SUMIF(куб!$A:$A,$G560,куб!H:H),SUMIF(куб!$A:$A,$G560,куб!H:H)))))))</f>
        <v>0</v>
      </c>
      <c r="I560" s="27">
        <f>IF($G560&lt;&gt;0,SUMIF(куб!$G:$G,$G560,куб!I:I),IF($E560&lt;&gt;0,SUMIF(куб!$E:$E,$E560,куб!I:I),IF($D560&lt;&gt;0,SUMIF(куб!$D:$D,$D560,куб!I:I),IF($C560&lt;&gt;0,SUMIF(куб!$C:$C,$C560,куб!I:I),IF($B560&lt;&gt;0,SUMIF(куб!$B:$B,$B560,куб!I:I),IF($G560&lt;&gt;0,SUMIF(куб!$A:$A,$G560,куб!I:I),SUMIF(куб!$A:$A,$G560,куб!I:I)))))))</f>
        <v>0</v>
      </c>
      <c r="J560" s="19" t="str">
        <f t="shared" si="183"/>
        <v>-</v>
      </c>
      <c r="K560" s="8"/>
      <c r="L560" s="17">
        <f t="shared" si="184"/>
        <v>0</v>
      </c>
      <c r="M560" s="17">
        <f t="shared" si="185"/>
        <v>0</v>
      </c>
      <c r="N560" s="12">
        <f t="shared" si="186"/>
        <v>0</v>
      </c>
      <c r="O560" s="5"/>
      <c r="P560" s="27" t="b">
        <f>IF($G560&lt;&gt;0,SUMIF(куб!$G:$G,$G560,куб!J:J),IF($E560&lt;&gt;0,SUMIF(куб!$E:$E,$E560,куб!J:J),IF($D560&lt;&gt;0,SUMIF(куб!$D:$D,$D560,куб!J:J),IF($C560&lt;&gt;0,SUMIF(куб!$C:$C,$C560,куб!J:J),IF($B560&lt;&gt;0,SUMIF(куб!$B:$B,$B560,куб!J:J))))))</f>
        <v>0</v>
      </c>
      <c r="Q560" s="27" t="b">
        <f>IF($G560&lt;&gt;0,SUMIF(куб!$G:$G,$G560,куб!K:K),IF($E560&lt;&gt;0,SUMIF(куб!$E:$E,$E560,куб!K:K),IF($D560&lt;&gt;0,SUMIF(куб!$D:$D,$D560,куб!K:K),IF($C560&lt;&gt;0,SUMIF(куб!$C:$C,$C560,куб!K:K),IF($B560&lt;&gt;0,SUMIF(куб!$B:$B,$B560,куб!K:K))))))</f>
        <v>0</v>
      </c>
      <c r="R560" s="13" t="str">
        <f t="shared" si="187"/>
        <v>-</v>
      </c>
      <c r="S560" s="5"/>
      <c r="T560" s="27" t="b">
        <f>IF($G560&lt;&gt;0,SUMIF(куб!$G:$G,$G560,куб!L:L),IF($E560&lt;&gt;0,SUMIF(куб!$E:$E,$E560,куб!L:L),IF($D560&lt;&gt;0,SUMIF(куб!$D:$D,$D560,куб!L:L),IF($C560&lt;&gt;0,SUMIF(куб!$C:$C,$C560,куб!L:L),IF($B560&lt;&gt;0,SUMIF(куб!$B:$B,$B560,куб!L:L))))))</f>
        <v>0</v>
      </c>
      <c r="U560" s="27" t="b">
        <f>IF($G560&lt;&gt;0,SUMIF(куб!$G:$G,$G560,куб!M:M),IF($E560&lt;&gt;0,SUMIF(куб!$E:$E,$E560,куб!M:M),IF($D560&lt;&gt;0,SUMIF(куб!$D:$D,$D560,куб!M:M),IF($C560&lt;&gt;0,SUMIF(куб!$C:$C,$C560,куб!M:M),IF($B560&lt;&gt;0,SUMIF(куб!$B:$B,$B560,куб!M:M))))))</f>
        <v>0</v>
      </c>
      <c r="V560" s="13" t="str">
        <f t="shared" si="188"/>
        <v>-</v>
      </c>
      <c r="W560" s="5"/>
      <c r="X560" s="27" t="b">
        <f>IF($G560&lt;&gt;0,SUMIF(куб!$G:$G,$G560,куб!N:N),IF($E560&lt;&gt;0,SUMIF(куб!$E:$E,$E560,куб!N:N),IF($D560&lt;&gt;0,SUMIF(куб!$D:$D,$D560,куб!N:N),IF($C560&lt;&gt;0,SUMIF(куб!$C:$C,$C560,куб!N:N),IF($B560&lt;&gt;0,SUMIF(куб!$B:$B,$B560,куб!N:N))))))</f>
        <v>0</v>
      </c>
      <c r="Y560" s="27" t="b">
        <f>IF($G560&lt;&gt;0,SUMIF(куб!$G:$G,$G560,куб!O:O),IF($E560&lt;&gt;0,SUMIF(куб!$E:$E,$E560,куб!O:O),IF($D560&lt;&gt;0,SUMIF(куб!$D:$D,$D560,куб!O:O),IF($C560&lt;&gt;0,SUMIF(куб!$C:$C,$C560,куб!O:O),IF($B560&lt;&gt;0,SUMIF(куб!$B:$B,$B560,куб!O:O))))))</f>
        <v>0</v>
      </c>
      <c r="Z560" s="13" t="str">
        <f t="shared" si="189"/>
        <v>-</v>
      </c>
      <c r="AA560" s="5"/>
      <c r="AB560" s="33" t="str">
        <f t="shared" si="190"/>
        <v/>
      </c>
      <c r="AC560" s="33" t="str">
        <f t="shared" si="191"/>
        <v/>
      </c>
      <c r="AD560" s="15" t="str">
        <f t="shared" si="192"/>
        <v xml:space="preserve"> </v>
      </c>
      <c r="AE560" s="5"/>
      <c r="AF560" s="27" t="b">
        <f>IF($G560&lt;&gt;0,SUMIF(куб!$G:$G,$G560,куб!R:R),IF($E560&lt;&gt;0,SUMIF(куб!$E:$E,$E560,куб!R:R),IF($D560&lt;&gt;0,SUMIF(куб!$D:$D,$D560,куб!R:R),IF($C560&lt;&gt;0,SUMIF(куб!$C:$C,$C560,куб!R:R),IF($B560&lt;&gt;0,SUMIF(куб!$B:$B,$B560,куб!R:R))))))</f>
        <v>0</v>
      </c>
      <c r="AG560" s="27" t="b">
        <f>IF($G560&lt;&gt;0,SUMIF(куб!$G:$G,$G560,куб!S:S),IF($E560&lt;&gt;0,SUMIF(куб!$E:$E,$E560,куб!S:S),IF($D560&lt;&gt;0,SUMIF(куб!$D:$D,$D560,куб!S:S),IF($C560&lt;&gt;0,SUMIF(куб!$C:$C,$C560,куб!S:S),IF($B560&lt;&gt;0,SUMIF(куб!$B:$B,$B560,куб!S:S))))))</f>
        <v>0</v>
      </c>
      <c r="AH560" s="16" t="str">
        <f t="shared" si="193"/>
        <v>-</v>
      </c>
      <c r="AI560" s="8"/>
      <c r="AJ560" s="27" t="b">
        <f>IF($G560&lt;&gt;0,SUMIF(куб!$G:$G,$G560,куб!T:T),IF($E560&lt;&gt;0,SUMIF(куб!$E:$E,$E560,куб!T:T),IF($D560&lt;&gt;0,SUMIF(куб!$D:$D,$D560,куб!T:T),IF($C560&lt;&gt;0,SUMIF(куб!$C:$C,$C560,куб!T:T),IF($B560&lt;&gt;0,SUMIF(куб!$B:$B,$B560,куб!T:T))))))</f>
        <v>0</v>
      </c>
      <c r="AK560" s="27" t="b">
        <f>IF($G560&lt;&gt;0,SUMIF(куб!$G:$G,$G560,куб!U:U),IF($E560&lt;&gt;0,SUMIF(куб!$E:$E,$E560,куб!U:U),IF($D560&lt;&gt;0,SUMIF(куб!$D:$D,$D560,куб!U:U),IF($C560&lt;&gt;0,SUMIF(куб!$C:$C,$C560,куб!U:U),IF($B560&lt;&gt;0,SUMIF(куб!$B:$B,$B560,куб!U:U))))))</f>
        <v>0</v>
      </c>
      <c r="AL560" s="16" t="str">
        <f t="shared" si="194"/>
        <v>-</v>
      </c>
      <c r="AM560" s="8"/>
      <c r="AN560" s="17" t="str">
        <f t="shared" si="195"/>
        <v xml:space="preserve"> </v>
      </c>
      <c r="AO560" s="17" t="str">
        <f t="shared" si="196"/>
        <v xml:space="preserve"> </v>
      </c>
      <c r="AP560" s="16" t="str">
        <f t="shared" si="197"/>
        <v>-</v>
      </c>
      <c r="AQ560" s="8"/>
      <c r="AR560" s="17" t="str">
        <f t="shared" si="198"/>
        <v>-</v>
      </c>
      <c r="AS560" s="17" t="str">
        <f t="shared" si="199"/>
        <v>-</v>
      </c>
      <c r="AT560" s="13" t="str">
        <f t="shared" si="200"/>
        <v>-</v>
      </c>
      <c r="AU560" s="8"/>
    </row>
    <row r="561" spans="1:47" x14ac:dyDescent="0.25">
      <c r="A561" s="31"/>
      <c r="B561" s="31"/>
      <c r="C561"/>
      <c r="D561" s="31"/>
      <c r="E561"/>
      <c r="F561"/>
      <c r="G561"/>
      <c r="H561" s="27">
        <f>IF($G561&lt;&gt;0,SUMIF(куб!$G:$G,$G561,куб!H:H),IF($E561&lt;&gt;0,SUMIF(куб!$E:$E,$E561,куб!H:H),IF($D561&lt;&gt;0,SUMIF(куб!$D:$D,$D561,куб!H:H),IF($C561&lt;&gt;0,SUMIF(куб!$C:$C,$C561,куб!H:H),IF($B561&lt;&gt;0,SUMIF(куб!$B:$B,$B561,куб!H:H),IF($G561&lt;&gt;0,SUMIF(куб!$A:$A,$G561,куб!H:H),SUMIF(куб!$A:$A,$G561,куб!H:H)))))))</f>
        <v>0</v>
      </c>
      <c r="I561" s="27">
        <f>IF($G561&lt;&gt;0,SUMIF(куб!$G:$G,$G561,куб!I:I),IF($E561&lt;&gt;0,SUMIF(куб!$E:$E,$E561,куб!I:I),IF($D561&lt;&gt;0,SUMIF(куб!$D:$D,$D561,куб!I:I),IF($C561&lt;&gt;0,SUMIF(куб!$C:$C,$C561,куб!I:I),IF($B561&lt;&gt;0,SUMIF(куб!$B:$B,$B561,куб!I:I),IF($G561&lt;&gt;0,SUMIF(куб!$A:$A,$G561,куб!I:I),SUMIF(куб!$A:$A,$G561,куб!I:I)))))))</f>
        <v>0</v>
      </c>
      <c r="J561" s="19" t="str">
        <f t="shared" si="183"/>
        <v>-</v>
      </c>
      <c r="K561" s="8"/>
      <c r="L561" s="17">
        <f t="shared" si="184"/>
        <v>0</v>
      </c>
      <c r="M561" s="17">
        <f t="shared" si="185"/>
        <v>0</v>
      </c>
      <c r="N561" s="12">
        <f t="shared" si="186"/>
        <v>0</v>
      </c>
      <c r="O561" s="5"/>
      <c r="P561" s="27" t="b">
        <f>IF($G561&lt;&gt;0,SUMIF(куб!$G:$G,$G561,куб!J:J),IF($E561&lt;&gt;0,SUMIF(куб!$E:$E,$E561,куб!J:J),IF($D561&lt;&gt;0,SUMIF(куб!$D:$D,$D561,куб!J:J),IF($C561&lt;&gt;0,SUMIF(куб!$C:$C,$C561,куб!J:J),IF($B561&lt;&gt;0,SUMIF(куб!$B:$B,$B561,куб!J:J))))))</f>
        <v>0</v>
      </c>
      <c r="Q561" s="27" t="b">
        <f>IF($G561&lt;&gt;0,SUMIF(куб!$G:$G,$G561,куб!K:K),IF($E561&lt;&gt;0,SUMIF(куб!$E:$E,$E561,куб!K:K),IF($D561&lt;&gt;0,SUMIF(куб!$D:$D,$D561,куб!K:K),IF($C561&lt;&gt;0,SUMIF(куб!$C:$C,$C561,куб!K:K),IF($B561&lt;&gt;0,SUMIF(куб!$B:$B,$B561,куб!K:K))))))</f>
        <v>0</v>
      </c>
      <c r="R561" s="13" t="str">
        <f t="shared" si="187"/>
        <v>-</v>
      </c>
      <c r="S561" s="5"/>
      <c r="T561" s="27" t="b">
        <f>IF($G561&lt;&gt;0,SUMIF(куб!$G:$G,$G561,куб!L:L),IF($E561&lt;&gt;0,SUMIF(куб!$E:$E,$E561,куб!L:L),IF($D561&lt;&gt;0,SUMIF(куб!$D:$D,$D561,куб!L:L),IF($C561&lt;&gt;0,SUMIF(куб!$C:$C,$C561,куб!L:L),IF($B561&lt;&gt;0,SUMIF(куб!$B:$B,$B561,куб!L:L))))))</f>
        <v>0</v>
      </c>
      <c r="U561" s="27" t="b">
        <f>IF($G561&lt;&gt;0,SUMIF(куб!$G:$G,$G561,куб!M:M),IF($E561&lt;&gt;0,SUMIF(куб!$E:$E,$E561,куб!M:M),IF($D561&lt;&gt;0,SUMIF(куб!$D:$D,$D561,куб!M:M),IF($C561&lt;&gt;0,SUMIF(куб!$C:$C,$C561,куб!M:M),IF($B561&lt;&gt;0,SUMIF(куб!$B:$B,$B561,куб!M:M))))))</f>
        <v>0</v>
      </c>
      <c r="V561" s="13" t="str">
        <f t="shared" si="188"/>
        <v>-</v>
      </c>
      <c r="W561" s="5"/>
      <c r="X561" s="27" t="b">
        <f>IF($G561&lt;&gt;0,SUMIF(куб!$G:$G,$G561,куб!N:N),IF($E561&lt;&gt;0,SUMIF(куб!$E:$E,$E561,куб!N:N),IF($D561&lt;&gt;0,SUMIF(куб!$D:$D,$D561,куб!N:N),IF($C561&lt;&gt;0,SUMIF(куб!$C:$C,$C561,куб!N:N),IF($B561&lt;&gt;0,SUMIF(куб!$B:$B,$B561,куб!N:N))))))</f>
        <v>0</v>
      </c>
      <c r="Y561" s="27" t="b">
        <f>IF($G561&lt;&gt;0,SUMIF(куб!$G:$G,$G561,куб!O:O),IF($E561&lt;&gt;0,SUMIF(куб!$E:$E,$E561,куб!O:O),IF($D561&lt;&gt;0,SUMIF(куб!$D:$D,$D561,куб!O:O),IF($C561&lt;&gt;0,SUMIF(куб!$C:$C,$C561,куб!O:O),IF($B561&lt;&gt;0,SUMIF(куб!$B:$B,$B561,куб!O:O))))))</f>
        <v>0</v>
      </c>
      <c r="Z561" s="13" t="str">
        <f t="shared" si="189"/>
        <v>-</v>
      </c>
      <c r="AA561" s="5"/>
      <c r="AB561" s="33" t="str">
        <f t="shared" si="190"/>
        <v/>
      </c>
      <c r="AC561" s="33" t="str">
        <f t="shared" si="191"/>
        <v/>
      </c>
      <c r="AD561" s="15" t="str">
        <f t="shared" si="192"/>
        <v xml:space="preserve"> </v>
      </c>
      <c r="AE561" s="5"/>
      <c r="AF561" s="27" t="b">
        <f>IF($G561&lt;&gt;0,SUMIF(куб!$G:$G,$G561,куб!R:R),IF($E561&lt;&gt;0,SUMIF(куб!$E:$E,$E561,куб!R:R),IF($D561&lt;&gt;0,SUMIF(куб!$D:$D,$D561,куб!R:R),IF($C561&lt;&gt;0,SUMIF(куб!$C:$C,$C561,куб!R:R),IF($B561&lt;&gt;0,SUMIF(куб!$B:$B,$B561,куб!R:R))))))</f>
        <v>0</v>
      </c>
      <c r="AG561" s="27" t="b">
        <f>IF($G561&lt;&gt;0,SUMIF(куб!$G:$G,$G561,куб!S:S),IF($E561&lt;&gt;0,SUMIF(куб!$E:$E,$E561,куб!S:S),IF($D561&lt;&gt;0,SUMIF(куб!$D:$D,$D561,куб!S:S),IF($C561&lt;&gt;0,SUMIF(куб!$C:$C,$C561,куб!S:S),IF($B561&lt;&gt;0,SUMIF(куб!$B:$B,$B561,куб!S:S))))))</f>
        <v>0</v>
      </c>
      <c r="AH561" s="16" t="str">
        <f t="shared" si="193"/>
        <v>-</v>
      </c>
      <c r="AI561" s="8"/>
      <c r="AJ561" s="27" t="b">
        <f>IF($G561&lt;&gt;0,SUMIF(куб!$G:$G,$G561,куб!T:T),IF($E561&lt;&gt;0,SUMIF(куб!$E:$E,$E561,куб!T:T),IF($D561&lt;&gt;0,SUMIF(куб!$D:$D,$D561,куб!T:T),IF($C561&lt;&gt;0,SUMIF(куб!$C:$C,$C561,куб!T:T),IF($B561&lt;&gt;0,SUMIF(куб!$B:$B,$B561,куб!T:T))))))</f>
        <v>0</v>
      </c>
      <c r="AK561" s="27" t="b">
        <f>IF($G561&lt;&gt;0,SUMIF(куб!$G:$G,$G561,куб!U:U),IF($E561&lt;&gt;0,SUMIF(куб!$E:$E,$E561,куб!U:U),IF($D561&lt;&gt;0,SUMIF(куб!$D:$D,$D561,куб!U:U),IF($C561&lt;&gt;0,SUMIF(куб!$C:$C,$C561,куб!U:U),IF($B561&lt;&gt;0,SUMIF(куб!$B:$B,$B561,куб!U:U))))))</f>
        <v>0</v>
      </c>
      <c r="AL561" s="16" t="str">
        <f t="shared" si="194"/>
        <v>-</v>
      </c>
      <c r="AM561" s="8"/>
      <c r="AN561" s="17" t="str">
        <f t="shared" si="195"/>
        <v xml:space="preserve"> </v>
      </c>
      <c r="AO561" s="17" t="str">
        <f t="shared" si="196"/>
        <v xml:space="preserve"> </v>
      </c>
      <c r="AP561" s="16" t="str">
        <f t="shared" si="197"/>
        <v>-</v>
      </c>
      <c r="AQ561" s="8"/>
      <c r="AR561" s="17" t="str">
        <f t="shared" si="198"/>
        <v>-</v>
      </c>
      <c r="AS561" s="17" t="str">
        <f t="shared" si="199"/>
        <v>-</v>
      </c>
      <c r="AT561" s="13" t="str">
        <f t="shared" si="200"/>
        <v>-</v>
      </c>
      <c r="AU561" s="8"/>
    </row>
    <row r="562" spans="1:47" x14ac:dyDescent="0.25">
      <c r="A562" s="31"/>
      <c r="B562" s="31"/>
      <c r="C562"/>
      <c r="D562" s="31"/>
      <c r="E562" s="31"/>
      <c r="F562" s="31"/>
      <c r="G562" s="31"/>
      <c r="H562" s="27">
        <f>IF($G562&lt;&gt;0,SUMIF(куб!$G:$G,$G562,куб!H:H),IF($E562&lt;&gt;0,SUMIF(куб!$E:$E,$E562,куб!H:H),IF($D562&lt;&gt;0,SUMIF(куб!$D:$D,$D562,куб!H:H),IF($C562&lt;&gt;0,SUMIF(куб!$C:$C,$C562,куб!H:H),IF($B562&lt;&gt;0,SUMIF(куб!$B:$B,$B562,куб!H:H),IF($G562&lt;&gt;0,SUMIF(куб!$A:$A,$G562,куб!H:H),SUMIF(куб!$A:$A,$G562,куб!H:H)))))))</f>
        <v>0</v>
      </c>
      <c r="I562" s="27">
        <f>IF($G562&lt;&gt;0,SUMIF(куб!$G:$G,$G562,куб!I:I),IF($E562&lt;&gt;0,SUMIF(куб!$E:$E,$E562,куб!I:I),IF($D562&lt;&gt;0,SUMIF(куб!$D:$D,$D562,куб!I:I),IF($C562&lt;&gt;0,SUMIF(куб!$C:$C,$C562,куб!I:I),IF($B562&lt;&gt;0,SUMIF(куб!$B:$B,$B562,куб!I:I),IF($G562&lt;&gt;0,SUMIF(куб!$A:$A,$G562,куб!I:I),SUMIF(куб!$A:$A,$G562,куб!I:I)))))))</f>
        <v>0</v>
      </c>
      <c r="J562" s="19" t="str">
        <f t="shared" si="183"/>
        <v>-</v>
      </c>
      <c r="K562" s="8"/>
      <c r="L562" s="17">
        <f t="shared" si="184"/>
        <v>0</v>
      </c>
      <c r="M562" s="17">
        <f t="shared" si="185"/>
        <v>0</v>
      </c>
      <c r="N562" s="12">
        <f t="shared" si="186"/>
        <v>0</v>
      </c>
      <c r="O562" s="5"/>
      <c r="P562" s="27" t="b">
        <f>IF($G562&lt;&gt;0,SUMIF(куб!$G:$G,$G562,куб!J:J),IF($E562&lt;&gt;0,SUMIF(куб!$E:$E,$E562,куб!J:J),IF($D562&lt;&gt;0,SUMIF(куб!$D:$D,$D562,куб!J:J),IF($C562&lt;&gt;0,SUMIF(куб!$C:$C,$C562,куб!J:J),IF($B562&lt;&gt;0,SUMIF(куб!$B:$B,$B562,куб!J:J))))))</f>
        <v>0</v>
      </c>
      <c r="Q562" s="27" t="b">
        <f>IF($G562&lt;&gt;0,SUMIF(куб!$G:$G,$G562,куб!K:K),IF($E562&lt;&gt;0,SUMIF(куб!$E:$E,$E562,куб!K:K),IF($D562&lt;&gt;0,SUMIF(куб!$D:$D,$D562,куб!K:K),IF($C562&lt;&gt;0,SUMIF(куб!$C:$C,$C562,куб!K:K),IF($B562&lt;&gt;0,SUMIF(куб!$B:$B,$B562,куб!K:K))))))</f>
        <v>0</v>
      </c>
      <c r="R562" s="13" t="str">
        <f t="shared" si="187"/>
        <v>-</v>
      </c>
      <c r="S562" s="5"/>
      <c r="T562" s="27" t="b">
        <f>IF($G562&lt;&gt;0,SUMIF(куб!$G:$G,$G562,куб!L:L),IF($E562&lt;&gt;0,SUMIF(куб!$E:$E,$E562,куб!L:L),IF($D562&lt;&gt;0,SUMIF(куб!$D:$D,$D562,куб!L:L),IF($C562&lt;&gt;0,SUMIF(куб!$C:$C,$C562,куб!L:L),IF($B562&lt;&gt;0,SUMIF(куб!$B:$B,$B562,куб!L:L))))))</f>
        <v>0</v>
      </c>
      <c r="U562" s="27" t="b">
        <f>IF($G562&lt;&gt;0,SUMIF(куб!$G:$G,$G562,куб!M:M),IF($E562&lt;&gt;0,SUMIF(куб!$E:$E,$E562,куб!M:M),IF($D562&lt;&gt;0,SUMIF(куб!$D:$D,$D562,куб!M:M),IF($C562&lt;&gt;0,SUMIF(куб!$C:$C,$C562,куб!M:M),IF($B562&lt;&gt;0,SUMIF(куб!$B:$B,$B562,куб!M:M))))))</f>
        <v>0</v>
      </c>
      <c r="V562" s="13" t="str">
        <f t="shared" si="188"/>
        <v>-</v>
      </c>
      <c r="W562" s="5"/>
      <c r="X562" s="27" t="b">
        <f>IF($G562&lt;&gt;0,SUMIF(куб!$G:$G,$G562,куб!N:N),IF($E562&lt;&gt;0,SUMIF(куб!$E:$E,$E562,куб!N:N),IF($D562&lt;&gt;0,SUMIF(куб!$D:$D,$D562,куб!N:N),IF($C562&lt;&gt;0,SUMIF(куб!$C:$C,$C562,куб!N:N),IF($B562&lt;&gt;0,SUMIF(куб!$B:$B,$B562,куб!N:N))))))</f>
        <v>0</v>
      </c>
      <c r="Y562" s="27" t="b">
        <f>IF($G562&lt;&gt;0,SUMIF(куб!$G:$G,$G562,куб!O:O),IF($E562&lt;&gt;0,SUMIF(куб!$E:$E,$E562,куб!O:O),IF($D562&lt;&gt;0,SUMIF(куб!$D:$D,$D562,куб!O:O),IF($C562&lt;&gt;0,SUMIF(куб!$C:$C,$C562,куб!O:O),IF($B562&lt;&gt;0,SUMIF(куб!$B:$B,$B562,куб!O:O))))))</f>
        <v>0</v>
      </c>
      <c r="Z562" s="13" t="str">
        <f t="shared" si="189"/>
        <v>-</v>
      </c>
      <c r="AA562" s="5"/>
      <c r="AB562" s="33" t="str">
        <f t="shared" si="190"/>
        <v/>
      </c>
      <c r="AC562" s="33" t="str">
        <f t="shared" si="191"/>
        <v/>
      </c>
      <c r="AD562" s="15" t="str">
        <f t="shared" si="192"/>
        <v xml:space="preserve"> </v>
      </c>
      <c r="AE562" s="5"/>
      <c r="AF562" s="27" t="b">
        <f>IF($G562&lt;&gt;0,SUMIF(куб!$G:$G,$G562,куб!R:R),IF($E562&lt;&gt;0,SUMIF(куб!$E:$E,$E562,куб!R:R),IF($D562&lt;&gt;0,SUMIF(куб!$D:$D,$D562,куб!R:R),IF($C562&lt;&gt;0,SUMIF(куб!$C:$C,$C562,куб!R:R),IF($B562&lt;&gt;0,SUMIF(куб!$B:$B,$B562,куб!R:R))))))</f>
        <v>0</v>
      </c>
      <c r="AG562" s="27" t="b">
        <f>IF($G562&lt;&gt;0,SUMIF(куб!$G:$G,$G562,куб!S:S),IF($E562&lt;&gt;0,SUMIF(куб!$E:$E,$E562,куб!S:S),IF($D562&lt;&gt;0,SUMIF(куб!$D:$D,$D562,куб!S:S),IF($C562&lt;&gt;0,SUMIF(куб!$C:$C,$C562,куб!S:S),IF($B562&lt;&gt;0,SUMIF(куб!$B:$B,$B562,куб!S:S))))))</f>
        <v>0</v>
      </c>
      <c r="AH562" s="16" t="str">
        <f t="shared" si="193"/>
        <v>-</v>
      </c>
      <c r="AI562" s="8"/>
      <c r="AJ562" s="27" t="b">
        <f>IF($G562&lt;&gt;0,SUMIF(куб!$G:$G,$G562,куб!T:T),IF($E562&lt;&gt;0,SUMIF(куб!$E:$E,$E562,куб!T:T),IF($D562&lt;&gt;0,SUMIF(куб!$D:$D,$D562,куб!T:T),IF($C562&lt;&gt;0,SUMIF(куб!$C:$C,$C562,куб!T:T),IF($B562&lt;&gt;0,SUMIF(куб!$B:$B,$B562,куб!T:T))))))</f>
        <v>0</v>
      </c>
      <c r="AK562" s="27" t="b">
        <f>IF($G562&lt;&gt;0,SUMIF(куб!$G:$G,$G562,куб!U:U),IF($E562&lt;&gt;0,SUMIF(куб!$E:$E,$E562,куб!U:U),IF($D562&lt;&gt;0,SUMIF(куб!$D:$D,$D562,куб!U:U),IF($C562&lt;&gt;0,SUMIF(куб!$C:$C,$C562,куб!U:U),IF($B562&lt;&gt;0,SUMIF(куб!$B:$B,$B562,куб!U:U))))))</f>
        <v>0</v>
      </c>
      <c r="AL562" s="16" t="str">
        <f t="shared" si="194"/>
        <v>-</v>
      </c>
      <c r="AM562" s="8"/>
      <c r="AN562" s="17" t="str">
        <f t="shared" si="195"/>
        <v xml:space="preserve"> </v>
      </c>
      <c r="AO562" s="17" t="str">
        <f t="shared" si="196"/>
        <v xml:space="preserve"> </v>
      </c>
      <c r="AP562" s="16" t="str">
        <f t="shared" si="197"/>
        <v>-</v>
      </c>
      <c r="AQ562" s="8"/>
      <c r="AR562" s="17" t="str">
        <f t="shared" si="198"/>
        <v>-</v>
      </c>
      <c r="AS562" s="17" t="str">
        <f t="shared" si="199"/>
        <v>-</v>
      </c>
      <c r="AT562" s="13" t="str">
        <f t="shared" si="200"/>
        <v>-</v>
      </c>
      <c r="AU562" s="8"/>
    </row>
    <row r="563" spans="1:47" x14ac:dyDescent="0.25">
      <c r="A563" s="31"/>
      <c r="B563" s="31"/>
      <c r="C563"/>
      <c r="D563" s="31"/>
      <c r="E563"/>
      <c r="F563" s="31"/>
      <c r="G563"/>
      <c r="H563" s="27">
        <f>IF($G563&lt;&gt;0,SUMIF(куб!$G:$G,$G563,куб!H:H),IF($E563&lt;&gt;0,SUMIF(куб!$E:$E,$E563,куб!H:H),IF($D563&lt;&gt;0,SUMIF(куб!$D:$D,$D563,куб!H:H),IF($C563&lt;&gt;0,SUMIF(куб!$C:$C,$C563,куб!H:H),IF($B563&lt;&gt;0,SUMIF(куб!$B:$B,$B563,куб!H:H),IF($G563&lt;&gt;0,SUMIF(куб!$A:$A,$G563,куб!H:H),SUMIF(куб!$A:$A,$G563,куб!H:H)))))))</f>
        <v>0</v>
      </c>
      <c r="I563" s="27">
        <f>IF($G563&lt;&gt;0,SUMIF(куб!$G:$G,$G563,куб!I:I),IF($E563&lt;&gt;0,SUMIF(куб!$E:$E,$E563,куб!I:I),IF($D563&lt;&gt;0,SUMIF(куб!$D:$D,$D563,куб!I:I),IF($C563&lt;&gt;0,SUMIF(куб!$C:$C,$C563,куб!I:I),IF($B563&lt;&gt;0,SUMIF(куб!$B:$B,$B563,куб!I:I),IF($G563&lt;&gt;0,SUMIF(куб!$A:$A,$G563,куб!I:I),SUMIF(куб!$A:$A,$G563,куб!I:I)))))))</f>
        <v>0</v>
      </c>
      <c r="J563" s="19" t="str">
        <f t="shared" si="183"/>
        <v>-</v>
      </c>
      <c r="K563" s="8"/>
      <c r="L563" s="17">
        <f t="shared" si="184"/>
        <v>0</v>
      </c>
      <c r="M563" s="17">
        <f t="shared" si="185"/>
        <v>0</v>
      </c>
      <c r="N563" s="12">
        <f t="shared" si="186"/>
        <v>0</v>
      </c>
      <c r="O563" s="5"/>
      <c r="P563" s="27" t="b">
        <f>IF($G563&lt;&gt;0,SUMIF(куб!$G:$G,$G563,куб!J:J),IF($E563&lt;&gt;0,SUMIF(куб!$E:$E,$E563,куб!J:J),IF($D563&lt;&gt;0,SUMIF(куб!$D:$D,$D563,куб!J:J),IF($C563&lt;&gt;0,SUMIF(куб!$C:$C,$C563,куб!J:J),IF($B563&lt;&gt;0,SUMIF(куб!$B:$B,$B563,куб!J:J))))))</f>
        <v>0</v>
      </c>
      <c r="Q563" s="27" t="b">
        <f>IF($G563&lt;&gt;0,SUMIF(куб!$G:$G,$G563,куб!K:K),IF($E563&lt;&gt;0,SUMIF(куб!$E:$E,$E563,куб!K:K),IF($D563&lt;&gt;0,SUMIF(куб!$D:$D,$D563,куб!K:K),IF($C563&lt;&gt;0,SUMIF(куб!$C:$C,$C563,куб!K:K),IF($B563&lt;&gt;0,SUMIF(куб!$B:$B,$B563,куб!K:K))))))</f>
        <v>0</v>
      </c>
      <c r="R563" s="13" t="str">
        <f t="shared" si="187"/>
        <v>-</v>
      </c>
      <c r="S563" s="5"/>
      <c r="T563" s="27" t="b">
        <f>IF($G563&lt;&gt;0,SUMIF(куб!$G:$G,$G563,куб!L:L),IF($E563&lt;&gt;0,SUMIF(куб!$E:$E,$E563,куб!L:L),IF($D563&lt;&gt;0,SUMIF(куб!$D:$D,$D563,куб!L:L),IF($C563&lt;&gt;0,SUMIF(куб!$C:$C,$C563,куб!L:L),IF($B563&lt;&gt;0,SUMIF(куб!$B:$B,$B563,куб!L:L))))))</f>
        <v>0</v>
      </c>
      <c r="U563" s="27" t="b">
        <f>IF($G563&lt;&gt;0,SUMIF(куб!$G:$G,$G563,куб!M:M),IF($E563&lt;&gt;0,SUMIF(куб!$E:$E,$E563,куб!M:M),IF($D563&lt;&gt;0,SUMIF(куб!$D:$D,$D563,куб!M:M),IF($C563&lt;&gt;0,SUMIF(куб!$C:$C,$C563,куб!M:M),IF($B563&lt;&gt;0,SUMIF(куб!$B:$B,$B563,куб!M:M))))))</f>
        <v>0</v>
      </c>
      <c r="V563" s="13" t="str">
        <f t="shared" si="188"/>
        <v>-</v>
      </c>
      <c r="W563" s="5"/>
      <c r="X563" s="27" t="b">
        <f>IF($G563&lt;&gt;0,SUMIF(куб!$G:$G,$G563,куб!N:N),IF($E563&lt;&gt;0,SUMIF(куб!$E:$E,$E563,куб!N:N),IF($D563&lt;&gt;0,SUMIF(куб!$D:$D,$D563,куб!N:N),IF($C563&lt;&gt;0,SUMIF(куб!$C:$C,$C563,куб!N:N),IF($B563&lt;&gt;0,SUMIF(куб!$B:$B,$B563,куб!N:N))))))</f>
        <v>0</v>
      </c>
      <c r="Y563" s="27" t="b">
        <f>IF($G563&lt;&gt;0,SUMIF(куб!$G:$G,$G563,куб!O:O),IF($E563&lt;&gt;0,SUMIF(куб!$E:$E,$E563,куб!O:O),IF($D563&lt;&gt;0,SUMIF(куб!$D:$D,$D563,куб!O:O),IF($C563&lt;&gt;0,SUMIF(куб!$C:$C,$C563,куб!O:O),IF($B563&lt;&gt;0,SUMIF(куб!$B:$B,$B563,куб!O:O))))))</f>
        <v>0</v>
      </c>
      <c r="Z563" s="13" t="str">
        <f t="shared" si="189"/>
        <v>-</v>
      </c>
      <c r="AA563" s="5"/>
      <c r="AB563" s="33" t="str">
        <f t="shared" si="190"/>
        <v/>
      </c>
      <c r="AC563" s="33" t="str">
        <f t="shared" si="191"/>
        <v/>
      </c>
      <c r="AD563" s="15" t="str">
        <f t="shared" si="192"/>
        <v xml:space="preserve"> </v>
      </c>
      <c r="AE563" s="5"/>
      <c r="AF563" s="27" t="b">
        <f>IF($G563&lt;&gt;0,SUMIF(куб!$G:$G,$G563,куб!R:R),IF($E563&lt;&gt;0,SUMIF(куб!$E:$E,$E563,куб!R:R),IF($D563&lt;&gt;0,SUMIF(куб!$D:$D,$D563,куб!R:R),IF($C563&lt;&gt;0,SUMIF(куб!$C:$C,$C563,куб!R:R),IF($B563&lt;&gt;0,SUMIF(куб!$B:$B,$B563,куб!R:R))))))</f>
        <v>0</v>
      </c>
      <c r="AG563" s="27" t="b">
        <f>IF($G563&lt;&gt;0,SUMIF(куб!$G:$G,$G563,куб!S:S),IF($E563&lt;&gt;0,SUMIF(куб!$E:$E,$E563,куб!S:S),IF($D563&lt;&gt;0,SUMIF(куб!$D:$D,$D563,куб!S:S),IF($C563&lt;&gt;0,SUMIF(куб!$C:$C,$C563,куб!S:S),IF($B563&lt;&gt;0,SUMIF(куб!$B:$B,$B563,куб!S:S))))))</f>
        <v>0</v>
      </c>
      <c r="AH563" s="16" t="str">
        <f t="shared" si="193"/>
        <v>-</v>
      </c>
      <c r="AI563" s="8"/>
      <c r="AJ563" s="27" t="b">
        <f>IF($G563&lt;&gt;0,SUMIF(куб!$G:$G,$G563,куб!T:T),IF($E563&lt;&gt;0,SUMIF(куб!$E:$E,$E563,куб!T:T),IF($D563&lt;&gt;0,SUMIF(куб!$D:$D,$D563,куб!T:T),IF($C563&lt;&gt;0,SUMIF(куб!$C:$C,$C563,куб!T:T),IF($B563&lt;&gt;0,SUMIF(куб!$B:$B,$B563,куб!T:T))))))</f>
        <v>0</v>
      </c>
      <c r="AK563" s="27" t="b">
        <f>IF($G563&lt;&gt;0,SUMIF(куб!$G:$G,$G563,куб!U:U),IF($E563&lt;&gt;0,SUMIF(куб!$E:$E,$E563,куб!U:U),IF($D563&lt;&gt;0,SUMIF(куб!$D:$D,$D563,куб!U:U),IF($C563&lt;&gt;0,SUMIF(куб!$C:$C,$C563,куб!U:U),IF($B563&lt;&gt;0,SUMIF(куб!$B:$B,$B563,куб!U:U))))))</f>
        <v>0</v>
      </c>
      <c r="AL563" s="16" t="str">
        <f t="shared" si="194"/>
        <v>-</v>
      </c>
      <c r="AM563" s="8"/>
      <c r="AN563" s="17" t="str">
        <f t="shared" si="195"/>
        <v xml:space="preserve"> </v>
      </c>
      <c r="AO563" s="17" t="str">
        <f t="shared" si="196"/>
        <v xml:space="preserve"> </v>
      </c>
      <c r="AP563" s="16" t="str">
        <f t="shared" si="197"/>
        <v>-</v>
      </c>
      <c r="AQ563" s="8"/>
      <c r="AR563" s="17" t="str">
        <f t="shared" si="198"/>
        <v>-</v>
      </c>
      <c r="AS563" s="17" t="str">
        <f t="shared" si="199"/>
        <v>-</v>
      </c>
      <c r="AT563" s="13" t="str">
        <f t="shared" si="200"/>
        <v>-</v>
      </c>
      <c r="AU563" s="8"/>
    </row>
    <row r="564" spans="1:47" x14ac:dyDescent="0.25">
      <c r="A564" s="31"/>
      <c r="B564" s="31"/>
      <c r="C564"/>
      <c r="D564" s="31"/>
      <c r="E564"/>
      <c r="F564" s="31"/>
      <c r="G564"/>
      <c r="H564" s="27">
        <f>IF($G564&lt;&gt;0,SUMIF(куб!$G:$G,$G564,куб!H:H),IF($E564&lt;&gt;0,SUMIF(куб!$E:$E,$E564,куб!H:H),IF($D564&lt;&gt;0,SUMIF(куб!$D:$D,$D564,куб!H:H),IF($C564&lt;&gt;0,SUMIF(куб!$C:$C,$C564,куб!H:H),IF($B564&lt;&gt;0,SUMIF(куб!$B:$B,$B564,куб!H:H),IF($G564&lt;&gt;0,SUMIF(куб!$A:$A,$G564,куб!H:H),SUMIF(куб!$A:$A,$G564,куб!H:H)))))))</f>
        <v>0</v>
      </c>
      <c r="I564" s="27">
        <f>IF($G564&lt;&gt;0,SUMIF(куб!$G:$G,$G564,куб!I:I),IF($E564&lt;&gt;0,SUMIF(куб!$E:$E,$E564,куб!I:I),IF($D564&lt;&gt;0,SUMIF(куб!$D:$D,$D564,куб!I:I),IF($C564&lt;&gt;0,SUMIF(куб!$C:$C,$C564,куб!I:I),IF($B564&lt;&gt;0,SUMIF(куб!$B:$B,$B564,куб!I:I),IF($G564&lt;&gt;0,SUMIF(куб!$A:$A,$G564,куб!I:I),SUMIF(куб!$A:$A,$G564,куб!I:I)))))))</f>
        <v>0</v>
      </c>
      <c r="J564" s="19" t="str">
        <f t="shared" si="183"/>
        <v>-</v>
      </c>
      <c r="K564" s="8"/>
      <c r="L564" s="17">
        <f t="shared" si="184"/>
        <v>0</v>
      </c>
      <c r="M564" s="17">
        <f t="shared" si="185"/>
        <v>0</v>
      </c>
      <c r="N564" s="12">
        <f t="shared" si="186"/>
        <v>0</v>
      </c>
      <c r="O564" s="5"/>
      <c r="P564" s="27" t="b">
        <f>IF($G564&lt;&gt;0,SUMIF(куб!$G:$G,$G564,куб!J:J),IF($E564&lt;&gt;0,SUMIF(куб!$E:$E,$E564,куб!J:J),IF($D564&lt;&gt;0,SUMIF(куб!$D:$D,$D564,куб!J:J),IF($C564&lt;&gt;0,SUMIF(куб!$C:$C,$C564,куб!J:J),IF($B564&lt;&gt;0,SUMIF(куб!$B:$B,$B564,куб!J:J))))))</f>
        <v>0</v>
      </c>
      <c r="Q564" s="27" t="b">
        <f>IF($G564&lt;&gt;0,SUMIF(куб!$G:$G,$G564,куб!K:K),IF($E564&lt;&gt;0,SUMIF(куб!$E:$E,$E564,куб!K:K),IF($D564&lt;&gt;0,SUMIF(куб!$D:$D,$D564,куб!K:K),IF($C564&lt;&gt;0,SUMIF(куб!$C:$C,$C564,куб!K:K),IF($B564&lt;&gt;0,SUMIF(куб!$B:$B,$B564,куб!K:K))))))</f>
        <v>0</v>
      </c>
      <c r="R564" s="13" t="str">
        <f t="shared" si="187"/>
        <v>-</v>
      </c>
      <c r="S564" s="5"/>
      <c r="T564" s="27" t="b">
        <f>IF($G564&lt;&gt;0,SUMIF(куб!$G:$G,$G564,куб!L:L),IF($E564&lt;&gt;0,SUMIF(куб!$E:$E,$E564,куб!L:L),IF($D564&lt;&gt;0,SUMIF(куб!$D:$D,$D564,куб!L:L),IF($C564&lt;&gt;0,SUMIF(куб!$C:$C,$C564,куб!L:L),IF($B564&lt;&gt;0,SUMIF(куб!$B:$B,$B564,куб!L:L))))))</f>
        <v>0</v>
      </c>
      <c r="U564" s="27" t="b">
        <f>IF($G564&lt;&gt;0,SUMIF(куб!$G:$G,$G564,куб!M:M),IF($E564&lt;&gt;0,SUMIF(куб!$E:$E,$E564,куб!M:M),IF($D564&lt;&gt;0,SUMIF(куб!$D:$D,$D564,куб!M:M),IF($C564&lt;&gt;0,SUMIF(куб!$C:$C,$C564,куб!M:M),IF($B564&lt;&gt;0,SUMIF(куб!$B:$B,$B564,куб!M:M))))))</f>
        <v>0</v>
      </c>
      <c r="V564" s="13" t="str">
        <f t="shared" si="188"/>
        <v>-</v>
      </c>
      <c r="W564" s="5"/>
      <c r="X564" s="27" t="b">
        <f>IF($G564&lt;&gt;0,SUMIF(куб!$G:$G,$G564,куб!N:N),IF($E564&lt;&gt;0,SUMIF(куб!$E:$E,$E564,куб!N:N),IF($D564&lt;&gt;0,SUMIF(куб!$D:$D,$D564,куб!N:N),IF($C564&lt;&gt;0,SUMIF(куб!$C:$C,$C564,куб!N:N),IF($B564&lt;&gt;0,SUMIF(куб!$B:$B,$B564,куб!N:N))))))</f>
        <v>0</v>
      </c>
      <c r="Y564" s="27" t="b">
        <f>IF($G564&lt;&gt;0,SUMIF(куб!$G:$G,$G564,куб!O:O),IF($E564&lt;&gt;0,SUMIF(куб!$E:$E,$E564,куб!O:O),IF($D564&lt;&gt;0,SUMIF(куб!$D:$D,$D564,куб!O:O),IF($C564&lt;&gt;0,SUMIF(куб!$C:$C,$C564,куб!O:O),IF($B564&lt;&gt;0,SUMIF(куб!$B:$B,$B564,куб!O:O))))))</f>
        <v>0</v>
      </c>
      <c r="Z564" s="13" t="str">
        <f t="shared" si="189"/>
        <v>-</v>
      </c>
      <c r="AA564" s="5"/>
      <c r="AB564" s="33" t="str">
        <f t="shared" si="190"/>
        <v/>
      </c>
      <c r="AC564" s="33" t="str">
        <f t="shared" si="191"/>
        <v/>
      </c>
      <c r="AD564" s="15" t="str">
        <f t="shared" si="192"/>
        <v xml:space="preserve"> </v>
      </c>
      <c r="AE564" s="5"/>
      <c r="AF564" s="27" t="b">
        <f>IF($G564&lt;&gt;0,SUMIF(куб!$G:$G,$G564,куб!R:R),IF($E564&lt;&gt;0,SUMIF(куб!$E:$E,$E564,куб!R:R),IF($D564&lt;&gt;0,SUMIF(куб!$D:$D,$D564,куб!R:R),IF($C564&lt;&gt;0,SUMIF(куб!$C:$C,$C564,куб!R:R),IF($B564&lt;&gt;0,SUMIF(куб!$B:$B,$B564,куб!R:R))))))</f>
        <v>0</v>
      </c>
      <c r="AG564" s="27" t="b">
        <f>IF($G564&lt;&gt;0,SUMIF(куб!$G:$G,$G564,куб!S:S),IF($E564&lt;&gt;0,SUMIF(куб!$E:$E,$E564,куб!S:S),IF($D564&lt;&gt;0,SUMIF(куб!$D:$D,$D564,куб!S:S),IF($C564&lt;&gt;0,SUMIF(куб!$C:$C,$C564,куб!S:S),IF($B564&lt;&gt;0,SUMIF(куб!$B:$B,$B564,куб!S:S))))))</f>
        <v>0</v>
      </c>
      <c r="AH564" s="16" t="str">
        <f t="shared" si="193"/>
        <v>-</v>
      </c>
      <c r="AI564" s="8"/>
      <c r="AJ564" s="27" t="b">
        <f>IF($G564&lt;&gt;0,SUMIF(куб!$G:$G,$G564,куб!T:T),IF($E564&lt;&gt;0,SUMIF(куб!$E:$E,$E564,куб!T:T),IF($D564&lt;&gt;0,SUMIF(куб!$D:$D,$D564,куб!T:T),IF($C564&lt;&gt;0,SUMIF(куб!$C:$C,$C564,куб!T:T),IF($B564&lt;&gt;0,SUMIF(куб!$B:$B,$B564,куб!T:T))))))</f>
        <v>0</v>
      </c>
      <c r="AK564" s="27" t="b">
        <f>IF($G564&lt;&gt;0,SUMIF(куб!$G:$G,$G564,куб!U:U),IF($E564&lt;&gt;0,SUMIF(куб!$E:$E,$E564,куб!U:U),IF($D564&lt;&gt;0,SUMIF(куб!$D:$D,$D564,куб!U:U),IF($C564&lt;&gt;0,SUMIF(куб!$C:$C,$C564,куб!U:U),IF($B564&lt;&gt;0,SUMIF(куб!$B:$B,$B564,куб!U:U))))))</f>
        <v>0</v>
      </c>
      <c r="AL564" s="16" t="str">
        <f t="shared" si="194"/>
        <v>-</v>
      </c>
      <c r="AM564" s="8"/>
      <c r="AN564" s="17" t="str">
        <f t="shared" si="195"/>
        <v xml:space="preserve"> </v>
      </c>
      <c r="AO564" s="17" t="str">
        <f t="shared" si="196"/>
        <v xml:space="preserve"> </v>
      </c>
      <c r="AP564" s="16" t="str">
        <f t="shared" si="197"/>
        <v>-</v>
      </c>
      <c r="AQ564" s="8"/>
      <c r="AR564" s="17" t="str">
        <f t="shared" si="198"/>
        <v>-</v>
      </c>
      <c r="AS564" s="17" t="str">
        <f t="shared" si="199"/>
        <v>-</v>
      </c>
      <c r="AT564" s="13" t="str">
        <f t="shared" si="200"/>
        <v>-</v>
      </c>
      <c r="AU564" s="8"/>
    </row>
    <row r="565" spans="1:47" x14ac:dyDescent="0.25">
      <c r="A565" s="31"/>
      <c r="B565" s="31"/>
      <c r="C565"/>
      <c r="D565" s="31"/>
      <c r="E565"/>
      <c r="F565" s="31"/>
      <c r="G565"/>
      <c r="H565" s="27">
        <f>IF($G565&lt;&gt;0,SUMIF(куб!$G:$G,$G565,куб!H:H),IF($E565&lt;&gt;0,SUMIF(куб!$E:$E,$E565,куб!H:H),IF($D565&lt;&gt;0,SUMIF(куб!$D:$D,$D565,куб!H:H),IF($C565&lt;&gt;0,SUMIF(куб!$C:$C,$C565,куб!H:H),IF($B565&lt;&gt;0,SUMIF(куб!$B:$B,$B565,куб!H:H),IF($G565&lt;&gt;0,SUMIF(куб!$A:$A,$G565,куб!H:H),SUMIF(куб!$A:$A,$G565,куб!H:H)))))))</f>
        <v>0</v>
      </c>
      <c r="I565" s="27">
        <f>IF($G565&lt;&gt;0,SUMIF(куб!$G:$G,$G565,куб!I:I),IF($E565&lt;&gt;0,SUMIF(куб!$E:$E,$E565,куб!I:I),IF($D565&lt;&gt;0,SUMIF(куб!$D:$D,$D565,куб!I:I),IF($C565&lt;&gt;0,SUMIF(куб!$C:$C,$C565,куб!I:I),IF($B565&lt;&gt;0,SUMIF(куб!$B:$B,$B565,куб!I:I),IF($G565&lt;&gt;0,SUMIF(куб!$A:$A,$G565,куб!I:I),SUMIF(куб!$A:$A,$G565,куб!I:I)))))))</f>
        <v>0</v>
      </c>
      <c r="J565" s="19" t="str">
        <f t="shared" si="183"/>
        <v>-</v>
      </c>
      <c r="K565" s="8"/>
      <c r="L565" s="17">
        <f t="shared" si="184"/>
        <v>0</v>
      </c>
      <c r="M565" s="17">
        <f t="shared" si="185"/>
        <v>0</v>
      </c>
      <c r="N565" s="12">
        <f t="shared" si="186"/>
        <v>0</v>
      </c>
      <c r="O565" s="5"/>
      <c r="P565" s="27" t="b">
        <f>IF($G565&lt;&gt;0,SUMIF(куб!$G:$G,$G565,куб!J:J),IF($E565&lt;&gt;0,SUMIF(куб!$E:$E,$E565,куб!J:J),IF($D565&lt;&gt;0,SUMIF(куб!$D:$D,$D565,куб!J:J),IF($C565&lt;&gt;0,SUMIF(куб!$C:$C,$C565,куб!J:J),IF($B565&lt;&gt;0,SUMIF(куб!$B:$B,$B565,куб!J:J))))))</f>
        <v>0</v>
      </c>
      <c r="Q565" s="27" t="b">
        <f>IF($G565&lt;&gt;0,SUMIF(куб!$G:$G,$G565,куб!K:K),IF($E565&lt;&gt;0,SUMIF(куб!$E:$E,$E565,куб!K:K),IF($D565&lt;&gt;0,SUMIF(куб!$D:$D,$D565,куб!K:K),IF($C565&lt;&gt;0,SUMIF(куб!$C:$C,$C565,куб!K:K),IF($B565&lt;&gt;0,SUMIF(куб!$B:$B,$B565,куб!K:K))))))</f>
        <v>0</v>
      </c>
      <c r="R565" s="13" t="str">
        <f t="shared" si="187"/>
        <v>-</v>
      </c>
      <c r="S565" s="5"/>
      <c r="T565" s="27" t="b">
        <f>IF($G565&lt;&gt;0,SUMIF(куб!$G:$G,$G565,куб!L:L),IF($E565&lt;&gt;0,SUMIF(куб!$E:$E,$E565,куб!L:L),IF($D565&lt;&gt;0,SUMIF(куб!$D:$D,$D565,куб!L:L),IF($C565&lt;&gt;0,SUMIF(куб!$C:$C,$C565,куб!L:L),IF($B565&lt;&gt;0,SUMIF(куб!$B:$B,$B565,куб!L:L))))))</f>
        <v>0</v>
      </c>
      <c r="U565" s="27" t="b">
        <f>IF($G565&lt;&gt;0,SUMIF(куб!$G:$G,$G565,куб!M:M),IF($E565&lt;&gt;0,SUMIF(куб!$E:$E,$E565,куб!M:M),IF($D565&lt;&gt;0,SUMIF(куб!$D:$D,$D565,куб!M:M),IF($C565&lt;&gt;0,SUMIF(куб!$C:$C,$C565,куб!M:M),IF($B565&lt;&gt;0,SUMIF(куб!$B:$B,$B565,куб!M:M))))))</f>
        <v>0</v>
      </c>
      <c r="V565" s="13" t="str">
        <f t="shared" si="188"/>
        <v>-</v>
      </c>
      <c r="W565" s="5"/>
      <c r="X565" s="27" t="b">
        <f>IF($G565&lt;&gt;0,SUMIF(куб!$G:$G,$G565,куб!N:N),IF($E565&lt;&gt;0,SUMIF(куб!$E:$E,$E565,куб!N:N),IF($D565&lt;&gt;0,SUMIF(куб!$D:$D,$D565,куб!N:N),IF($C565&lt;&gt;0,SUMIF(куб!$C:$C,$C565,куб!N:N),IF($B565&lt;&gt;0,SUMIF(куб!$B:$B,$B565,куб!N:N))))))</f>
        <v>0</v>
      </c>
      <c r="Y565" s="27" t="b">
        <f>IF($G565&lt;&gt;0,SUMIF(куб!$G:$G,$G565,куб!O:O),IF($E565&lt;&gt;0,SUMIF(куб!$E:$E,$E565,куб!O:O),IF($D565&lt;&gt;0,SUMIF(куб!$D:$D,$D565,куб!O:O),IF($C565&lt;&gt;0,SUMIF(куб!$C:$C,$C565,куб!O:O),IF($B565&lt;&gt;0,SUMIF(куб!$B:$B,$B565,куб!O:O))))))</f>
        <v>0</v>
      </c>
      <c r="Z565" s="13" t="str">
        <f t="shared" si="189"/>
        <v>-</v>
      </c>
      <c r="AA565" s="5"/>
      <c r="AB565" s="33" t="str">
        <f t="shared" si="190"/>
        <v/>
      </c>
      <c r="AC565" s="33" t="str">
        <f t="shared" si="191"/>
        <v/>
      </c>
      <c r="AD565" s="15" t="str">
        <f t="shared" si="192"/>
        <v xml:space="preserve"> </v>
      </c>
      <c r="AE565" s="5"/>
      <c r="AF565" s="27" t="b">
        <f>IF($G565&lt;&gt;0,SUMIF(куб!$G:$G,$G565,куб!R:R),IF($E565&lt;&gt;0,SUMIF(куб!$E:$E,$E565,куб!R:R),IF($D565&lt;&gt;0,SUMIF(куб!$D:$D,$D565,куб!R:R),IF($C565&lt;&gt;0,SUMIF(куб!$C:$C,$C565,куб!R:R),IF($B565&lt;&gt;0,SUMIF(куб!$B:$B,$B565,куб!R:R))))))</f>
        <v>0</v>
      </c>
      <c r="AG565" s="27" t="b">
        <f>IF($G565&lt;&gt;0,SUMIF(куб!$G:$G,$G565,куб!S:S),IF($E565&lt;&gt;0,SUMIF(куб!$E:$E,$E565,куб!S:S),IF($D565&lt;&gt;0,SUMIF(куб!$D:$D,$D565,куб!S:S),IF($C565&lt;&gt;0,SUMIF(куб!$C:$C,$C565,куб!S:S),IF($B565&lt;&gt;0,SUMIF(куб!$B:$B,$B565,куб!S:S))))))</f>
        <v>0</v>
      </c>
      <c r="AH565" s="16" t="str">
        <f t="shared" si="193"/>
        <v>-</v>
      </c>
      <c r="AI565" s="8"/>
      <c r="AJ565" s="27" t="b">
        <f>IF($G565&lt;&gt;0,SUMIF(куб!$G:$G,$G565,куб!T:T),IF($E565&lt;&gt;0,SUMIF(куб!$E:$E,$E565,куб!T:T),IF($D565&lt;&gt;0,SUMIF(куб!$D:$D,$D565,куб!T:T),IF($C565&lt;&gt;0,SUMIF(куб!$C:$C,$C565,куб!T:T),IF($B565&lt;&gt;0,SUMIF(куб!$B:$B,$B565,куб!T:T))))))</f>
        <v>0</v>
      </c>
      <c r="AK565" s="27" t="b">
        <f>IF($G565&lt;&gt;0,SUMIF(куб!$G:$G,$G565,куб!U:U),IF($E565&lt;&gt;0,SUMIF(куб!$E:$E,$E565,куб!U:U),IF($D565&lt;&gt;0,SUMIF(куб!$D:$D,$D565,куб!U:U),IF($C565&lt;&gt;0,SUMIF(куб!$C:$C,$C565,куб!U:U),IF($B565&lt;&gt;0,SUMIF(куб!$B:$B,$B565,куб!U:U))))))</f>
        <v>0</v>
      </c>
      <c r="AL565" s="16" t="str">
        <f t="shared" si="194"/>
        <v>-</v>
      </c>
      <c r="AM565" s="8"/>
      <c r="AN565" s="17" t="str">
        <f t="shared" si="195"/>
        <v xml:space="preserve"> </v>
      </c>
      <c r="AO565" s="17" t="str">
        <f t="shared" si="196"/>
        <v xml:space="preserve"> </v>
      </c>
      <c r="AP565" s="16" t="str">
        <f t="shared" si="197"/>
        <v>-</v>
      </c>
      <c r="AQ565" s="8"/>
      <c r="AR565" s="17" t="str">
        <f t="shared" si="198"/>
        <v>-</v>
      </c>
      <c r="AS565" s="17" t="str">
        <f t="shared" si="199"/>
        <v>-</v>
      </c>
      <c r="AT565" s="13" t="str">
        <f t="shared" si="200"/>
        <v>-</v>
      </c>
      <c r="AU565" s="8"/>
    </row>
    <row r="566" spans="1:47" x14ac:dyDescent="0.25">
      <c r="A566" s="31"/>
      <c r="B566" s="31"/>
      <c r="C566"/>
      <c r="D566" s="31"/>
      <c r="E566"/>
      <c r="F566" s="31"/>
      <c r="G566"/>
      <c r="H566" s="27">
        <f>IF($G566&lt;&gt;0,SUMIF(куб!$G:$G,$G566,куб!H:H),IF($E566&lt;&gt;0,SUMIF(куб!$E:$E,$E566,куб!H:H),IF($D566&lt;&gt;0,SUMIF(куб!$D:$D,$D566,куб!H:H),IF($C566&lt;&gt;0,SUMIF(куб!$C:$C,$C566,куб!H:H),IF($B566&lt;&gt;0,SUMIF(куб!$B:$B,$B566,куб!H:H),IF($G566&lt;&gt;0,SUMIF(куб!$A:$A,$G566,куб!H:H),SUMIF(куб!$A:$A,$G566,куб!H:H)))))))</f>
        <v>0</v>
      </c>
      <c r="I566" s="27">
        <f>IF($G566&lt;&gt;0,SUMIF(куб!$G:$G,$G566,куб!I:I),IF($E566&lt;&gt;0,SUMIF(куб!$E:$E,$E566,куб!I:I),IF($D566&lt;&gt;0,SUMIF(куб!$D:$D,$D566,куб!I:I),IF($C566&lt;&gt;0,SUMIF(куб!$C:$C,$C566,куб!I:I),IF($B566&lt;&gt;0,SUMIF(куб!$B:$B,$B566,куб!I:I),IF($G566&lt;&gt;0,SUMIF(куб!$A:$A,$G566,куб!I:I),SUMIF(куб!$A:$A,$G566,куб!I:I)))))))</f>
        <v>0</v>
      </c>
      <c r="J566" s="19" t="str">
        <f t="shared" si="183"/>
        <v>-</v>
      </c>
      <c r="K566" s="8"/>
      <c r="L566" s="17">
        <f t="shared" si="184"/>
        <v>0</v>
      </c>
      <c r="M566" s="17">
        <f t="shared" si="185"/>
        <v>0</v>
      </c>
      <c r="N566" s="12">
        <f t="shared" si="186"/>
        <v>0</v>
      </c>
      <c r="O566" s="5"/>
      <c r="P566" s="27" t="b">
        <f>IF($G566&lt;&gt;0,SUMIF(куб!$G:$G,$G566,куб!J:J),IF($E566&lt;&gt;0,SUMIF(куб!$E:$E,$E566,куб!J:J),IF($D566&lt;&gt;0,SUMIF(куб!$D:$D,$D566,куб!J:J),IF($C566&lt;&gt;0,SUMIF(куб!$C:$C,$C566,куб!J:J),IF($B566&lt;&gt;0,SUMIF(куб!$B:$B,$B566,куб!J:J))))))</f>
        <v>0</v>
      </c>
      <c r="Q566" s="27" t="b">
        <f>IF($G566&lt;&gt;0,SUMIF(куб!$G:$G,$G566,куб!K:K),IF($E566&lt;&gt;0,SUMIF(куб!$E:$E,$E566,куб!K:K),IF($D566&lt;&gt;0,SUMIF(куб!$D:$D,$D566,куб!K:K),IF($C566&lt;&gt;0,SUMIF(куб!$C:$C,$C566,куб!K:K),IF($B566&lt;&gt;0,SUMIF(куб!$B:$B,$B566,куб!K:K))))))</f>
        <v>0</v>
      </c>
      <c r="R566" s="13" t="str">
        <f t="shared" si="187"/>
        <v>-</v>
      </c>
      <c r="S566" s="5"/>
      <c r="T566" s="27" t="b">
        <f>IF($G566&lt;&gt;0,SUMIF(куб!$G:$G,$G566,куб!L:L),IF($E566&lt;&gt;0,SUMIF(куб!$E:$E,$E566,куб!L:L),IF($D566&lt;&gt;0,SUMIF(куб!$D:$D,$D566,куб!L:L),IF($C566&lt;&gt;0,SUMIF(куб!$C:$C,$C566,куб!L:L),IF($B566&lt;&gt;0,SUMIF(куб!$B:$B,$B566,куб!L:L))))))</f>
        <v>0</v>
      </c>
      <c r="U566" s="27" t="b">
        <f>IF($G566&lt;&gt;0,SUMIF(куб!$G:$G,$G566,куб!M:M),IF($E566&lt;&gt;0,SUMIF(куб!$E:$E,$E566,куб!M:M),IF($D566&lt;&gt;0,SUMIF(куб!$D:$D,$D566,куб!M:M),IF($C566&lt;&gt;0,SUMIF(куб!$C:$C,$C566,куб!M:M),IF($B566&lt;&gt;0,SUMIF(куб!$B:$B,$B566,куб!M:M))))))</f>
        <v>0</v>
      </c>
      <c r="V566" s="13" t="str">
        <f t="shared" si="188"/>
        <v>-</v>
      </c>
      <c r="W566" s="5"/>
      <c r="X566" s="27" t="b">
        <f>IF($G566&lt;&gt;0,SUMIF(куб!$G:$G,$G566,куб!N:N),IF($E566&lt;&gt;0,SUMIF(куб!$E:$E,$E566,куб!N:N),IF($D566&lt;&gt;0,SUMIF(куб!$D:$D,$D566,куб!N:N),IF($C566&lt;&gt;0,SUMIF(куб!$C:$C,$C566,куб!N:N),IF($B566&lt;&gt;0,SUMIF(куб!$B:$B,$B566,куб!N:N))))))</f>
        <v>0</v>
      </c>
      <c r="Y566" s="27" t="b">
        <f>IF($G566&lt;&gt;0,SUMIF(куб!$G:$G,$G566,куб!O:O),IF($E566&lt;&gt;0,SUMIF(куб!$E:$E,$E566,куб!O:O),IF($D566&lt;&gt;0,SUMIF(куб!$D:$D,$D566,куб!O:O),IF($C566&lt;&gt;0,SUMIF(куб!$C:$C,$C566,куб!O:O),IF($B566&lt;&gt;0,SUMIF(куб!$B:$B,$B566,куб!O:O))))))</f>
        <v>0</v>
      </c>
      <c r="Z566" s="13" t="str">
        <f t="shared" si="189"/>
        <v>-</v>
      </c>
      <c r="AA566" s="5"/>
      <c r="AB566" s="33" t="str">
        <f t="shared" si="190"/>
        <v/>
      </c>
      <c r="AC566" s="33" t="str">
        <f t="shared" si="191"/>
        <v/>
      </c>
      <c r="AD566" s="15" t="str">
        <f t="shared" si="192"/>
        <v xml:space="preserve"> </v>
      </c>
      <c r="AE566" s="5"/>
      <c r="AF566" s="27" t="b">
        <f>IF($G566&lt;&gt;0,SUMIF(куб!$G:$G,$G566,куб!R:R),IF($E566&lt;&gt;0,SUMIF(куб!$E:$E,$E566,куб!R:R),IF($D566&lt;&gt;0,SUMIF(куб!$D:$D,$D566,куб!R:R),IF($C566&lt;&gt;0,SUMIF(куб!$C:$C,$C566,куб!R:R),IF($B566&lt;&gt;0,SUMIF(куб!$B:$B,$B566,куб!R:R))))))</f>
        <v>0</v>
      </c>
      <c r="AG566" s="27" t="b">
        <f>IF($G566&lt;&gt;0,SUMIF(куб!$G:$G,$G566,куб!S:S),IF($E566&lt;&gt;0,SUMIF(куб!$E:$E,$E566,куб!S:S),IF($D566&lt;&gt;0,SUMIF(куб!$D:$D,$D566,куб!S:S),IF($C566&lt;&gt;0,SUMIF(куб!$C:$C,$C566,куб!S:S),IF($B566&lt;&gt;0,SUMIF(куб!$B:$B,$B566,куб!S:S))))))</f>
        <v>0</v>
      </c>
      <c r="AH566" s="16" t="str">
        <f t="shared" si="193"/>
        <v>-</v>
      </c>
      <c r="AI566" s="8"/>
      <c r="AJ566" s="27" t="b">
        <f>IF($G566&lt;&gt;0,SUMIF(куб!$G:$G,$G566,куб!T:T),IF($E566&lt;&gt;0,SUMIF(куб!$E:$E,$E566,куб!T:T),IF($D566&lt;&gt;0,SUMIF(куб!$D:$D,$D566,куб!T:T),IF($C566&lt;&gt;0,SUMIF(куб!$C:$C,$C566,куб!T:T),IF($B566&lt;&gt;0,SUMIF(куб!$B:$B,$B566,куб!T:T))))))</f>
        <v>0</v>
      </c>
      <c r="AK566" s="27" t="b">
        <f>IF($G566&lt;&gt;0,SUMIF(куб!$G:$G,$G566,куб!U:U),IF($E566&lt;&gt;0,SUMIF(куб!$E:$E,$E566,куб!U:U),IF($D566&lt;&gt;0,SUMIF(куб!$D:$D,$D566,куб!U:U),IF($C566&lt;&gt;0,SUMIF(куб!$C:$C,$C566,куб!U:U),IF($B566&lt;&gt;0,SUMIF(куб!$B:$B,$B566,куб!U:U))))))</f>
        <v>0</v>
      </c>
      <c r="AL566" s="16" t="str">
        <f t="shared" si="194"/>
        <v>-</v>
      </c>
      <c r="AM566" s="8"/>
      <c r="AN566" s="17" t="str">
        <f t="shared" si="195"/>
        <v xml:space="preserve"> </v>
      </c>
      <c r="AO566" s="17" t="str">
        <f t="shared" si="196"/>
        <v xml:space="preserve"> </v>
      </c>
      <c r="AP566" s="16" t="str">
        <f t="shared" si="197"/>
        <v>-</v>
      </c>
      <c r="AQ566" s="8"/>
      <c r="AR566" s="17" t="str">
        <f t="shared" si="198"/>
        <v>-</v>
      </c>
      <c r="AS566" s="17" t="str">
        <f t="shared" si="199"/>
        <v>-</v>
      </c>
      <c r="AT566" s="13" t="str">
        <f t="shared" si="200"/>
        <v>-</v>
      </c>
      <c r="AU566" s="8"/>
    </row>
    <row r="567" spans="1:47" x14ac:dyDescent="0.25">
      <c r="A567" s="31"/>
      <c r="B567" s="31"/>
      <c r="C567"/>
      <c r="D567" s="31"/>
      <c r="E567"/>
      <c r="F567" s="31"/>
      <c r="G567"/>
      <c r="H567" s="27">
        <f>IF($G567&lt;&gt;0,SUMIF(куб!$G:$G,$G567,куб!H:H),IF($E567&lt;&gt;0,SUMIF(куб!$E:$E,$E567,куб!H:H),IF($D567&lt;&gt;0,SUMIF(куб!$D:$D,$D567,куб!H:H),IF($C567&lt;&gt;0,SUMIF(куб!$C:$C,$C567,куб!H:H),IF($B567&lt;&gt;0,SUMIF(куб!$B:$B,$B567,куб!H:H),IF($G567&lt;&gt;0,SUMIF(куб!$A:$A,$G567,куб!H:H),SUMIF(куб!$A:$A,$G567,куб!H:H)))))))</f>
        <v>0</v>
      </c>
      <c r="I567" s="27">
        <f>IF($G567&lt;&gt;0,SUMIF(куб!$G:$G,$G567,куб!I:I),IF($E567&lt;&gt;0,SUMIF(куб!$E:$E,$E567,куб!I:I),IF($D567&lt;&gt;0,SUMIF(куб!$D:$D,$D567,куб!I:I),IF($C567&lt;&gt;0,SUMIF(куб!$C:$C,$C567,куб!I:I),IF($B567&lt;&gt;0,SUMIF(куб!$B:$B,$B567,куб!I:I),IF($G567&lt;&gt;0,SUMIF(куб!$A:$A,$G567,куб!I:I),SUMIF(куб!$A:$A,$G567,куб!I:I)))))))</f>
        <v>0</v>
      </c>
      <c r="J567" s="19" t="str">
        <f t="shared" si="183"/>
        <v>-</v>
      </c>
      <c r="K567" s="8"/>
      <c r="L567" s="17">
        <f t="shared" si="184"/>
        <v>0</v>
      </c>
      <c r="M567" s="17">
        <f t="shared" si="185"/>
        <v>0</v>
      </c>
      <c r="N567" s="12">
        <f t="shared" si="186"/>
        <v>0</v>
      </c>
      <c r="O567" s="5"/>
      <c r="P567" s="27" t="b">
        <f>IF($G567&lt;&gt;0,SUMIF(куб!$G:$G,$G567,куб!J:J),IF($E567&lt;&gt;0,SUMIF(куб!$E:$E,$E567,куб!J:J),IF($D567&lt;&gt;0,SUMIF(куб!$D:$D,$D567,куб!J:J),IF($C567&lt;&gt;0,SUMIF(куб!$C:$C,$C567,куб!J:J),IF($B567&lt;&gt;0,SUMIF(куб!$B:$B,$B567,куб!J:J))))))</f>
        <v>0</v>
      </c>
      <c r="Q567" s="27" t="b">
        <f>IF($G567&lt;&gt;0,SUMIF(куб!$G:$G,$G567,куб!K:K),IF($E567&lt;&gt;0,SUMIF(куб!$E:$E,$E567,куб!K:K),IF($D567&lt;&gt;0,SUMIF(куб!$D:$D,$D567,куб!K:K),IF($C567&lt;&gt;0,SUMIF(куб!$C:$C,$C567,куб!K:K),IF($B567&lt;&gt;0,SUMIF(куб!$B:$B,$B567,куб!K:K))))))</f>
        <v>0</v>
      </c>
      <c r="R567" s="13" t="str">
        <f t="shared" si="187"/>
        <v>-</v>
      </c>
      <c r="S567" s="5"/>
      <c r="T567" s="27" t="b">
        <f>IF($G567&lt;&gt;0,SUMIF(куб!$G:$G,$G567,куб!L:L),IF($E567&lt;&gt;0,SUMIF(куб!$E:$E,$E567,куб!L:L),IF($D567&lt;&gt;0,SUMIF(куб!$D:$D,$D567,куб!L:L),IF($C567&lt;&gt;0,SUMIF(куб!$C:$C,$C567,куб!L:L),IF($B567&lt;&gt;0,SUMIF(куб!$B:$B,$B567,куб!L:L))))))</f>
        <v>0</v>
      </c>
      <c r="U567" s="27" t="b">
        <f>IF($G567&lt;&gt;0,SUMIF(куб!$G:$G,$G567,куб!M:M),IF($E567&lt;&gt;0,SUMIF(куб!$E:$E,$E567,куб!M:M),IF($D567&lt;&gt;0,SUMIF(куб!$D:$D,$D567,куб!M:M),IF($C567&lt;&gt;0,SUMIF(куб!$C:$C,$C567,куб!M:M),IF($B567&lt;&gt;0,SUMIF(куб!$B:$B,$B567,куб!M:M))))))</f>
        <v>0</v>
      </c>
      <c r="V567" s="13" t="str">
        <f t="shared" si="188"/>
        <v>-</v>
      </c>
      <c r="W567" s="5"/>
      <c r="X567" s="27" t="b">
        <f>IF($G567&lt;&gt;0,SUMIF(куб!$G:$G,$G567,куб!N:N),IF($E567&lt;&gt;0,SUMIF(куб!$E:$E,$E567,куб!N:N),IF($D567&lt;&gt;0,SUMIF(куб!$D:$D,$D567,куб!N:N),IF($C567&lt;&gt;0,SUMIF(куб!$C:$C,$C567,куб!N:N),IF($B567&lt;&gt;0,SUMIF(куб!$B:$B,$B567,куб!N:N))))))</f>
        <v>0</v>
      </c>
      <c r="Y567" s="27" t="b">
        <f>IF($G567&lt;&gt;0,SUMIF(куб!$G:$G,$G567,куб!O:O),IF($E567&lt;&gt;0,SUMIF(куб!$E:$E,$E567,куб!O:O),IF($D567&lt;&gt;0,SUMIF(куб!$D:$D,$D567,куб!O:O),IF($C567&lt;&gt;0,SUMIF(куб!$C:$C,$C567,куб!O:O),IF($B567&lt;&gt;0,SUMIF(куб!$B:$B,$B567,куб!O:O))))))</f>
        <v>0</v>
      </c>
      <c r="Z567" s="13" t="str">
        <f t="shared" si="189"/>
        <v>-</v>
      </c>
      <c r="AA567" s="5"/>
      <c r="AB567" s="33" t="str">
        <f t="shared" si="190"/>
        <v/>
      </c>
      <c r="AC567" s="33" t="str">
        <f t="shared" si="191"/>
        <v/>
      </c>
      <c r="AD567" s="15" t="str">
        <f t="shared" si="192"/>
        <v xml:space="preserve"> </v>
      </c>
      <c r="AE567" s="5"/>
      <c r="AF567" s="27" t="b">
        <f>IF($G567&lt;&gt;0,SUMIF(куб!$G:$G,$G567,куб!R:R),IF($E567&lt;&gt;0,SUMIF(куб!$E:$E,$E567,куб!R:R),IF($D567&lt;&gt;0,SUMIF(куб!$D:$D,$D567,куб!R:R),IF($C567&lt;&gt;0,SUMIF(куб!$C:$C,$C567,куб!R:R),IF($B567&lt;&gt;0,SUMIF(куб!$B:$B,$B567,куб!R:R))))))</f>
        <v>0</v>
      </c>
      <c r="AG567" s="27" t="b">
        <f>IF($G567&lt;&gt;0,SUMIF(куб!$G:$G,$G567,куб!S:S),IF($E567&lt;&gt;0,SUMIF(куб!$E:$E,$E567,куб!S:S),IF($D567&lt;&gt;0,SUMIF(куб!$D:$D,$D567,куб!S:S),IF($C567&lt;&gt;0,SUMIF(куб!$C:$C,$C567,куб!S:S),IF($B567&lt;&gt;0,SUMIF(куб!$B:$B,$B567,куб!S:S))))))</f>
        <v>0</v>
      </c>
      <c r="AH567" s="16" t="str">
        <f t="shared" si="193"/>
        <v>-</v>
      </c>
      <c r="AI567" s="8"/>
      <c r="AJ567" s="27" t="b">
        <f>IF($G567&lt;&gt;0,SUMIF(куб!$G:$G,$G567,куб!T:T),IF($E567&lt;&gt;0,SUMIF(куб!$E:$E,$E567,куб!T:T),IF($D567&lt;&gt;0,SUMIF(куб!$D:$D,$D567,куб!T:T),IF($C567&lt;&gt;0,SUMIF(куб!$C:$C,$C567,куб!T:T),IF($B567&lt;&gt;0,SUMIF(куб!$B:$B,$B567,куб!T:T))))))</f>
        <v>0</v>
      </c>
      <c r="AK567" s="27" t="b">
        <f>IF($G567&lt;&gt;0,SUMIF(куб!$G:$G,$G567,куб!U:U),IF($E567&lt;&gt;0,SUMIF(куб!$E:$E,$E567,куб!U:U),IF($D567&lt;&gt;0,SUMIF(куб!$D:$D,$D567,куб!U:U),IF($C567&lt;&gt;0,SUMIF(куб!$C:$C,$C567,куб!U:U),IF($B567&lt;&gt;0,SUMIF(куб!$B:$B,$B567,куб!U:U))))))</f>
        <v>0</v>
      </c>
      <c r="AL567" s="16" t="str">
        <f t="shared" si="194"/>
        <v>-</v>
      </c>
      <c r="AM567" s="8"/>
      <c r="AN567" s="17" t="str">
        <f t="shared" si="195"/>
        <v xml:space="preserve"> </v>
      </c>
      <c r="AO567" s="17" t="str">
        <f t="shared" si="196"/>
        <v xml:space="preserve"> </v>
      </c>
      <c r="AP567" s="16" t="str">
        <f t="shared" si="197"/>
        <v>-</v>
      </c>
      <c r="AQ567" s="8"/>
      <c r="AR567" s="17" t="str">
        <f t="shared" si="198"/>
        <v>-</v>
      </c>
      <c r="AS567" s="17" t="str">
        <f t="shared" si="199"/>
        <v>-</v>
      </c>
      <c r="AT567" s="13" t="str">
        <f t="shared" si="200"/>
        <v>-</v>
      </c>
      <c r="AU567" s="8"/>
    </row>
    <row r="568" spans="1:47" x14ac:dyDescent="0.25">
      <c r="A568" s="31"/>
      <c r="B568" s="31"/>
      <c r="C568"/>
      <c r="D568" s="31"/>
      <c r="E568"/>
      <c r="F568" s="31"/>
      <c r="G568"/>
      <c r="H568" s="27">
        <f>IF($G568&lt;&gt;0,SUMIF(куб!$G:$G,$G568,куб!H:H),IF($E568&lt;&gt;0,SUMIF(куб!$E:$E,$E568,куб!H:H),IF($D568&lt;&gt;0,SUMIF(куб!$D:$D,$D568,куб!H:H),IF($C568&lt;&gt;0,SUMIF(куб!$C:$C,$C568,куб!H:H),IF($B568&lt;&gt;0,SUMIF(куб!$B:$B,$B568,куб!H:H),IF($G568&lt;&gt;0,SUMIF(куб!$A:$A,$G568,куб!H:H),SUMIF(куб!$A:$A,$G568,куб!H:H)))))))</f>
        <v>0</v>
      </c>
      <c r="I568" s="27">
        <f>IF($G568&lt;&gt;0,SUMIF(куб!$G:$G,$G568,куб!I:I),IF($E568&lt;&gt;0,SUMIF(куб!$E:$E,$E568,куб!I:I),IF($D568&lt;&gt;0,SUMIF(куб!$D:$D,$D568,куб!I:I),IF($C568&lt;&gt;0,SUMIF(куб!$C:$C,$C568,куб!I:I),IF($B568&lt;&gt;0,SUMIF(куб!$B:$B,$B568,куб!I:I),IF($G568&lt;&gt;0,SUMIF(куб!$A:$A,$G568,куб!I:I),SUMIF(куб!$A:$A,$G568,куб!I:I)))))))</f>
        <v>0</v>
      </c>
      <c r="J568" s="19" t="str">
        <f t="shared" si="183"/>
        <v>-</v>
      </c>
      <c r="K568" s="8"/>
      <c r="L568" s="17">
        <f t="shared" si="184"/>
        <v>0</v>
      </c>
      <c r="M568" s="17">
        <f t="shared" si="185"/>
        <v>0</v>
      </c>
      <c r="N568" s="12">
        <f t="shared" si="186"/>
        <v>0</v>
      </c>
      <c r="O568" s="5"/>
      <c r="P568" s="27" t="b">
        <f>IF($G568&lt;&gt;0,SUMIF(куб!$G:$G,$G568,куб!J:J),IF($E568&lt;&gt;0,SUMIF(куб!$E:$E,$E568,куб!J:J),IF($D568&lt;&gt;0,SUMIF(куб!$D:$D,$D568,куб!J:J),IF($C568&lt;&gt;0,SUMIF(куб!$C:$C,$C568,куб!J:J),IF($B568&lt;&gt;0,SUMIF(куб!$B:$B,$B568,куб!J:J))))))</f>
        <v>0</v>
      </c>
      <c r="Q568" s="27" t="b">
        <f>IF($G568&lt;&gt;0,SUMIF(куб!$G:$G,$G568,куб!K:K),IF($E568&lt;&gt;0,SUMIF(куб!$E:$E,$E568,куб!K:K),IF($D568&lt;&gt;0,SUMIF(куб!$D:$D,$D568,куб!K:K),IF($C568&lt;&gt;0,SUMIF(куб!$C:$C,$C568,куб!K:K),IF($B568&lt;&gt;0,SUMIF(куб!$B:$B,$B568,куб!K:K))))))</f>
        <v>0</v>
      </c>
      <c r="R568" s="13" t="str">
        <f t="shared" si="187"/>
        <v>-</v>
      </c>
      <c r="S568" s="5"/>
      <c r="T568" s="27" t="b">
        <f>IF($G568&lt;&gt;0,SUMIF(куб!$G:$G,$G568,куб!L:L),IF($E568&lt;&gt;0,SUMIF(куб!$E:$E,$E568,куб!L:L),IF($D568&lt;&gt;0,SUMIF(куб!$D:$D,$D568,куб!L:L),IF($C568&lt;&gt;0,SUMIF(куб!$C:$C,$C568,куб!L:L),IF($B568&lt;&gt;0,SUMIF(куб!$B:$B,$B568,куб!L:L))))))</f>
        <v>0</v>
      </c>
      <c r="U568" s="27" t="b">
        <f>IF($G568&lt;&gt;0,SUMIF(куб!$G:$G,$G568,куб!M:M),IF($E568&lt;&gt;0,SUMIF(куб!$E:$E,$E568,куб!M:M),IF($D568&lt;&gt;0,SUMIF(куб!$D:$D,$D568,куб!M:M),IF($C568&lt;&gt;0,SUMIF(куб!$C:$C,$C568,куб!M:M),IF($B568&lt;&gt;0,SUMIF(куб!$B:$B,$B568,куб!M:M))))))</f>
        <v>0</v>
      </c>
      <c r="V568" s="13" t="str">
        <f t="shared" si="188"/>
        <v>-</v>
      </c>
      <c r="W568" s="5"/>
      <c r="X568" s="27" t="b">
        <f>IF($G568&lt;&gt;0,SUMIF(куб!$G:$G,$G568,куб!N:N),IF($E568&lt;&gt;0,SUMIF(куб!$E:$E,$E568,куб!N:N),IF($D568&lt;&gt;0,SUMIF(куб!$D:$D,$D568,куб!N:N),IF($C568&lt;&gt;0,SUMIF(куб!$C:$C,$C568,куб!N:N),IF($B568&lt;&gt;0,SUMIF(куб!$B:$B,$B568,куб!N:N))))))</f>
        <v>0</v>
      </c>
      <c r="Y568" s="27" t="b">
        <f>IF($G568&lt;&gt;0,SUMIF(куб!$G:$G,$G568,куб!O:O),IF($E568&lt;&gt;0,SUMIF(куб!$E:$E,$E568,куб!O:O),IF($D568&lt;&gt;0,SUMIF(куб!$D:$D,$D568,куб!O:O),IF($C568&lt;&gt;0,SUMIF(куб!$C:$C,$C568,куб!O:O),IF($B568&lt;&gt;0,SUMIF(куб!$B:$B,$B568,куб!O:O))))))</f>
        <v>0</v>
      </c>
      <c r="Z568" s="13" t="str">
        <f t="shared" si="189"/>
        <v>-</v>
      </c>
      <c r="AA568" s="5"/>
      <c r="AB568" s="33" t="str">
        <f t="shared" si="190"/>
        <v/>
      </c>
      <c r="AC568" s="33" t="str">
        <f t="shared" si="191"/>
        <v/>
      </c>
      <c r="AD568" s="15" t="str">
        <f t="shared" si="192"/>
        <v xml:space="preserve"> </v>
      </c>
      <c r="AE568" s="5"/>
      <c r="AF568" s="27" t="b">
        <f>IF($G568&lt;&gt;0,SUMIF(куб!$G:$G,$G568,куб!R:R),IF($E568&lt;&gt;0,SUMIF(куб!$E:$E,$E568,куб!R:R),IF($D568&lt;&gt;0,SUMIF(куб!$D:$D,$D568,куб!R:R),IF($C568&lt;&gt;0,SUMIF(куб!$C:$C,$C568,куб!R:R),IF($B568&lt;&gt;0,SUMIF(куб!$B:$B,$B568,куб!R:R))))))</f>
        <v>0</v>
      </c>
      <c r="AG568" s="27" t="b">
        <f>IF($G568&lt;&gt;0,SUMIF(куб!$G:$G,$G568,куб!S:S),IF($E568&lt;&gt;0,SUMIF(куб!$E:$E,$E568,куб!S:S),IF($D568&lt;&gt;0,SUMIF(куб!$D:$D,$D568,куб!S:S),IF($C568&lt;&gt;0,SUMIF(куб!$C:$C,$C568,куб!S:S),IF($B568&lt;&gt;0,SUMIF(куб!$B:$B,$B568,куб!S:S))))))</f>
        <v>0</v>
      </c>
      <c r="AH568" s="16" t="str">
        <f t="shared" si="193"/>
        <v>-</v>
      </c>
      <c r="AI568" s="8"/>
      <c r="AJ568" s="27" t="b">
        <f>IF($G568&lt;&gt;0,SUMIF(куб!$G:$G,$G568,куб!T:T),IF($E568&lt;&gt;0,SUMIF(куб!$E:$E,$E568,куб!T:T),IF($D568&lt;&gt;0,SUMIF(куб!$D:$D,$D568,куб!T:T),IF($C568&lt;&gt;0,SUMIF(куб!$C:$C,$C568,куб!T:T),IF($B568&lt;&gt;0,SUMIF(куб!$B:$B,$B568,куб!T:T))))))</f>
        <v>0</v>
      </c>
      <c r="AK568" s="27" t="b">
        <f>IF($G568&lt;&gt;0,SUMIF(куб!$G:$G,$G568,куб!U:U),IF($E568&lt;&gt;0,SUMIF(куб!$E:$E,$E568,куб!U:U),IF($D568&lt;&gt;0,SUMIF(куб!$D:$D,$D568,куб!U:U),IF($C568&lt;&gt;0,SUMIF(куб!$C:$C,$C568,куб!U:U),IF($B568&lt;&gt;0,SUMIF(куб!$B:$B,$B568,куб!U:U))))))</f>
        <v>0</v>
      </c>
      <c r="AL568" s="16" t="str">
        <f t="shared" si="194"/>
        <v>-</v>
      </c>
      <c r="AM568" s="8"/>
      <c r="AN568" s="17" t="str">
        <f t="shared" si="195"/>
        <v xml:space="preserve"> </v>
      </c>
      <c r="AO568" s="17" t="str">
        <f t="shared" si="196"/>
        <v xml:space="preserve"> </v>
      </c>
      <c r="AP568" s="16" t="str">
        <f t="shared" si="197"/>
        <v>-</v>
      </c>
      <c r="AQ568" s="8"/>
      <c r="AR568" s="17" t="str">
        <f t="shared" si="198"/>
        <v>-</v>
      </c>
      <c r="AS568" s="17" t="str">
        <f t="shared" si="199"/>
        <v>-</v>
      </c>
      <c r="AT568" s="13" t="str">
        <f t="shared" si="200"/>
        <v>-</v>
      </c>
      <c r="AU568" s="8"/>
    </row>
    <row r="569" spans="1:47" x14ac:dyDescent="0.25">
      <c r="A569" s="31"/>
      <c r="B569" s="31"/>
      <c r="C569"/>
      <c r="D569" s="31"/>
      <c r="E569"/>
      <c r="F569" s="31"/>
      <c r="G569"/>
      <c r="H569" s="27">
        <f>IF($G569&lt;&gt;0,SUMIF(куб!$G:$G,$G569,куб!H:H),IF($E569&lt;&gt;0,SUMIF(куб!$E:$E,$E569,куб!H:H),IF($D569&lt;&gt;0,SUMIF(куб!$D:$D,$D569,куб!H:H),IF($C569&lt;&gt;0,SUMIF(куб!$C:$C,$C569,куб!H:H),IF($B569&lt;&gt;0,SUMIF(куб!$B:$B,$B569,куб!H:H),IF($G569&lt;&gt;0,SUMIF(куб!$A:$A,$G569,куб!H:H),SUMIF(куб!$A:$A,$G569,куб!H:H)))))))</f>
        <v>0</v>
      </c>
      <c r="I569" s="27">
        <f>IF($G569&lt;&gt;0,SUMIF(куб!$G:$G,$G569,куб!I:I),IF($E569&lt;&gt;0,SUMIF(куб!$E:$E,$E569,куб!I:I),IF($D569&lt;&gt;0,SUMIF(куб!$D:$D,$D569,куб!I:I),IF($C569&lt;&gt;0,SUMIF(куб!$C:$C,$C569,куб!I:I),IF($B569&lt;&gt;0,SUMIF(куб!$B:$B,$B569,куб!I:I),IF($G569&lt;&gt;0,SUMIF(куб!$A:$A,$G569,куб!I:I),SUMIF(куб!$A:$A,$G569,куб!I:I)))))))</f>
        <v>0</v>
      </c>
      <c r="J569" s="19" t="str">
        <f t="shared" si="183"/>
        <v>-</v>
      </c>
      <c r="K569" s="8"/>
      <c r="L569" s="17">
        <f t="shared" si="184"/>
        <v>0</v>
      </c>
      <c r="M569" s="17">
        <f t="shared" si="185"/>
        <v>0</v>
      </c>
      <c r="N569" s="12">
        <f t="shared" si="186"/>
        <v>0</v>
      </c>
      <c r="O569" s="5"/>
      <c r="P569" s="27" t="b">
        <f>IF($G569&lt;&gt;0,SUMIF(куб!$G:$G,$G569,куб!J:J),IF($E569&lt;&gt;0,SUMIF(куб!$E:$E,$E569,куб!J:J),IF($D569&lt;&gt;0,SUMIF(куб!$D:$D,$D569,куб!J:J),IF($C569&lt;&gt;0,SUMIF(куб!$C:$C,$C569,куб!J:J),IF($B569&lt;&gt;0,SUMIF(куб!$B:$B,$B569,куб!J:J))))))</f>
        <v>0</v>
      </c>
      <c r="Q569" s="27" t="b">
        <f>IF($G569&lt;&gt;0,SUMIF(куб!$G:$G,$G569,куб!K:K),IF($E569&lt;&gt;0,SUMIF(куб!$E:$E,$E569,куб!K:K),IF($D569&lt;&gt;0,SUMIF(куб!$D:$D,$D569,куб!K:K),IF($C569&lt;&gt;0,SUMIF(куб!$C:$C,$C569,куб!K:K),IF($B569&lt;&gt;0,SUMIF(куб!$B:$B,$B569,куб!K:K))))))</f>
        <v>0</v>
      </c>
      <c r="R569" s="13" t="str">
        <f t="shared" si="187"/>
        <v>-</v>
      </c>
      <c r="S569" s="5"/>
      <c r="T569" s="27" t="b">
        <f>IF($G569&lt;&gt;0,SUMIF(куб!$G:$G,$G569,куб!L:L),IF($E569&lt;&gt;0,SUMIF(куб!$E:$E,$E569,куб!L:L),IF($D569&lt;&gt;0,SUMIF(куб!$D:$D,$D569,куб!L:L),IF($C569&lt;&gt;0,SUMIF(куб!$C:$C,$C569,куб!L:L),IF($B569&lt;&gt;0,SUMIF(куб!$B:$B,$B569,куб!L:L))))))</f>
        <v>0</v>
      </c>
      <c r="U569" s="27" t="b">
        <f>IF($G569&lt;&gt;0,SUMIF(куб!$G:$G,$G569,куб!M:M),IF($E569&lt;&gt;0,SUMIF(куб!$E:$E,$E569,куб!M:M),IF($D569&lt;&gt;0,SUMIF(куб!$D:$D,$D569,куб!M:M),IF($C569&lt;&gt;0,SUMIF(куб!$C:$C,$C569,куб!M:M),IF($B569&lt;&gt;0,SUMIF(куб!$B:$B,$B569,куб!M:M))))))</f>
        <v>0</v>
      </c>
      <c r="V569" s="13" t="str">
        <f t="shared" si="188"/>
        <v>-</v>
      </c>
      <c r="W569" s="5"/>
      <c r="X569" s="27" t="b">
        <f>IF($G569&lt;&gt;0,SUMIF(куб!$G:$G,$G569,куб!N:N),IF($E569&lt;&gt;0,SUMIF(куб!$E:$E,$E569,куб!N:N),IF($D569&lt;&gt;0,SUMIF(куб!$D:$D,$D569,куб!N:N),IF($C569&lt;&gt;0,SUMIF(куб!$C:$C,$C569,куб!N:N),IF($B569&lt;&gt;0,SUMIF(куб!$B:$B,$B569,куб!N:N))))))</f>
        <v>0</v>
      </c>
      <c r="Y569" s="27" t="b">
        <f>IF($G569&lt;&gt;0,SUMIF(куб!$G:$G,$G569,куб!O:O),IF($E569&lt;&gt;0,SUMIF(куб!$E:$E,$E569,куб!O:O),IF($D569&lt;&gt;0,SUMIF(куб!$D:$D,$D569,куб!O:O),IF($C569&lt;&gt;0,SUMIF(куб!$C:$C,$C569,куб!O:O),IF($B569&lt;&gt;0,SUMIF(куб!$B:$B,$B569,куб!O:O))))))</f>
        <v>0</v>
      </c>
      <c r="Z569" s="13" t="str">
        <f t="shared" si="189"/>
        <v>-</v>
      </c>
      <c r="AA569" s="5"/>
      <c r="AB569" s="33" t="str">
        <f t="shared" si="190"/>
        <v/>
      </c>
      <c r="AC569" s="33" t="str">
        <f t="shared" si="191"/>
        <v/>
      </c>
      <c r="AD569" s="15" t="str">
        <f t="shared" si="192"/>
        <v xml:space="preserve"> </v>
      </c>
      <c r="AE569" s="5"/>
      <c r="AF569" s="27" t="b">
        <f>IF($G569&lt;&gt;0,SUMIF(куб!$G:$G,$G569,куб!R:R),IF($E569&lt;&gt;0,SUMIF(куб!$E:$E,$E569,куб!R:R),IF($D569&lt;&gt;0,SUMIF(куб!$D:$D,$D569,куб!R:R),IF($C569&lt;&gt;0,SUMIF(куб!$C:$C,$C569,куб!R:R),IF($B569&lt;&gt;0,SUMIF(куб!$B:$B,$B569,куб!R:R))))))</f>
        <v>0</v>
      </c>
      <c r="AG569" s="27" t="b">
        <f>IF($G569&lt;&gt;0,SUMIF(куб!$G:$G,$G569,куб!S:S),IF($E569&lt;&gt;0,SUMIF(куб!$E:$E,$E569,куб!S:S),IF($D569&lt;&gt;0,SUMIF(куб!$D:$D,$D569,куб!S:S),IF($C569&lt;&gt;0,SUMIF(куб!$C:$C,$C569,куб!S:S),IF($B569&lt;&gt;0,SUMIF(куб!$B:$B,$B569,куб!S:S))))))</f>
        <v>0</v>
      </c>
      <c r="AH569" s="16" t="str">
        <f t="shared" si="193"/>
        <v>-</v>
      </c>
      <c r="AI569" s="8"/>
      <c r="AJ569" s="27" t="b">
        <f>IF($G569&lt;&gt;0,SUMIF(куб!$G:$G,$G569,куб!T:T),IF($E569&lt;&gt;0,SUMIF(куб!$E:$E,$E569,куб!T:T),IF($D569&lt;&gt;0,SUMIF(куб!$D:$D,$D569,куб!T:T),IF($C569&lt;&gt;0,SUMIF(куб!$C:$C,$C569,куб!T:T),IF($B569&lt;&gt;0,SUMIF(куб!$B:$B,$B569,куб!T:T))))))</f>
        <v>0</v>
      </c>
      <c r="AK569" s="27" t="b">
        <f>IF($G569&lt;&gt;0,SUMIF(куб!$G:$G,$G569,куб!U:U),IF($E569&lt;&gt;0,SUMIF(куб!$E:$E,$E569,куб!U:U),IF($D569&lt;&gt;0,SUMIF(куб!$D:$D,$D569,куб!U:U),IF($C569&lt;&gt;0,SUMIF(куб!$C:$C,$C569,куб!U:U),IF($B569&lt;&gt;0,SUMIF(куб!$B:$B,$B569,куб!U:U))))))</f>
        <v>0</v>
      </c>
      <c r="AL569" s="16" t="str">
        <f t="shared" si="194"/>
        <v>-</v>
      </c>
      <c r="AM569" s="8"/>
      <c r="AN569" s="17" t="str">
        <f t="shared" si="195"/>
        <v xml:space="preserve"> </v>
      </c>
      <c r="AO569" s="17" t="str">
        <f t="shared" si="196"/>
        <v xml:space="preserve"> </v>
      </c>
      <c r="AP569" s="16" t="str">
        <f t="shared" si="197"/>
        <v>-</v>
      </c>
      <c r="AQ569" s="8"/>
      <c r="AR569" s="17" t="str">
        <f t="shared" si="198"/>
        <v>-</v>
      </c>
      <c r="AS569" s="17" t="str">
        <f t="shared" si="199"/>
        <v>-</v>
      </c>
      <c r="AT569" s="13" t="str">
        <f t="shared" si="200"/>
        <v>-</v>
      </c>
      <c r="AU569" s="8"/>
    </row>
    <row r="570" spans="1:47" x14ac:dyDescent="0.25">
      <c r="A570" s="31"/>
      <c r="B570" s="31"/>
      <c r="C570"/>
      <c r="D570" s="31"/>
      <c r="E570"/>
      <c r="F570" s="31"/>
      <c r="G570"/>
      <c r="H570" s="27">
        <f>IF($G570&lt;&gt;0,SUMIF(куб!$G:$G,$G570,куб!H:H),IF($E570&lt;&gt;0,SUMIF(куб!$E:$E,$E570,куб!H:H),IF($D570&lt;&gt;0,SUMIF(куб!$D:$D,$D570,куб!H:H),IF($C570&lt;&gt;0,SUMIF(куб!$C:$C,$C570,куб!H:H),IF($B570&lt;&gt;0,SUMIF(куб!$B:$B,$B570,куб!H:H),IF($G570&lt;&gt;0,SUMIF(куб!$A:$A,$G570,куб!H:H),SUMIF(куб!$A:$A,$G570,куб!H:H)))))))</f>
        <v>0</v>
      </c>
      <c r="I570" s="27">
        <f>IF($G570&lt;&gt;0,SUMIF(куб!$G:$G,$G570,куб!I:I),IF($E570&lt;&gt;0,SUMIF(куб!$E:$E,$E570,куб!I:I),IF($D570&lt;&gt;0,SUMIF(куб!$D:$D,$D570,куб!I:I),IF($C570&lt;&gt;0,SUMIF(куб!$C:$C,$C570,куб!I:I),IF($B570&lt;&gt;0,SUMIF(куб!$B:$B,$B570,куб!I:I),IF($G570&lt;&gt;0,SUMIF(куб!$A:$A,$G570,куб!I:I),SUMIF(куб!$A:$A,$G570,куб!I:I)))))))</f>
        <v>0</v>
      </c>
      <c r="J570" s="19" t="str">
        <f t="shared" si="183"/>
        <v>-</v>
      </c>
      <c r="K570" s="8"/>
      <c r="L570" s="17">
        <f t="shared" si="184"/>
        <v>0</v>
      </c>
      <c r="M570" s="17">
        <f t="shared" si="185"/>
        <v>0</v>
      </c>
      <c r="N570" s="12">
        <f t="shared" si="186"/>
        <v>0</v>
      </c>
      <c r="O570" s="5"/>
      <c r="P570" s="27" t="b">
        <f>IF($G570&lt;&gt;0,SUMIF(куб!$G:$G,$G570,куб!J:J),IF($E570&lt;&gt;0,SUMIF(куб!$E:$E,$E570,куб!J:J),IF($D570&lt;&gt;0,SUMIF(куб!$D:$D,$D570,куб!J:J),IF($C570&lt;&gt;0,SUMIF(куб!$C:$C,$C570,куб!J:J),IF($B570&lt;&gt;0,SUMIF(куб!$B:$B,$B570,куб!J:J))))))</f>
        <v>0</v>
      </c>
      <c r="Q570" s="27" t="b">
        <f>IF($G570&lt;&gt;0,SUMIF(куб!$G:$G,$G570,куб!K:K),IF($E570&lt;&gt;0,SUMIF(куб!$E:$E,$E570,куб!K:K),IF($D570&lt;&gt;0,SUMIF(куб!$D:$D,$D570,куб!K:K),IF($C570&lt;&gt;0,SUMIF(куб!$C:$C,$C570,куб!K:K),IF($B570&lt;&gt;0,SUMIF(куб!$B:$B,$B570,куб!K:K))))))</f>
        <v>0</v>
      </c>
      <c r="R570" s="13" t="str">
        <f t="shared" si="187"/>
        <v>-</v>
      </c>
      <c r="S570" s="5"/>
      <c r="T570" s="27" t="b">
        <f>IF($G570&lt;&gt;0,SUMIF(куб!$G:$G,$G570,куб!L:L),IF($E570&lt;&gt;0,SUMIF(куб!$E:$E,$E570,куб!L:L),IF($D570&lt;&gt;0,SUMIF(куб!$D:$D,$D570,куб!L:L),IF($C570&lt;&gt;0,SUMIF(куб!$C:$C,$C570,куб!L:L),IF($B570&lt;&gt;0,SUMIF(куб!$B:$B,$B570,куб!L:L))))))</f>
        <v>0</v>
      </c>
      <c r="U570" s="27" t="b">
        <f>IF($G570&lt;&gt;0,SUMIF(куб!$G:$G,$G570,куб!M:M),IF($E570&lt;&gt;0,SUMIF(куб!$E:$E,$E570,куб!M:M),IF($D570&lt;&gt;0,SUMIF(куб!$D:$D,$D570,куб!M:M),IF($C570&lt;&gt;0,SUMIF(куб!$C:$C,$C570,куб!M:M),IF($B570&lt;&gt;0,SUMIF(куб!$B:$B,$B570,куб!M:M))))))</f>
        <v>0</v>
      </c>
      <c r="V570" s="13" t="str">
        <f t="shared" si="188"/>
        <v>-</v>
      </c>
      <c r="W570" s="5"/>
      <c r="X570" s="27" t="b">
        <f>IF($G570&lt;&gt;0,SUMIF(куб!$G:$G,$G570,куб!N:N),IF($E570&lt;&gt;0,SUMIF(куб!$E:$E,$E570,куб!N:N),IF($D570&lt;&gt;0,SUMIF(куб!$D:$D,$D570,куб!N:N),IF($C570&lt;&gt;0,SUMIF(куб!$C:$C,$C570,куб!N:N),IF($B570&lt;&gt;0,SUMIF(куб!$B:$B,$B570,куб!N:N))))))</f>
        <v>0</v>
      </c>
      <c r="Y570" s="27" t="b">
        <f>IF($G570&lt;&gt;0,SUMIF(куб!$G:$G,$G570,куб!O:O),IF($E570&lt;&gt;0,SUMIF(куб!$E:$E,$E570,куб!O:O),IF($D570&lt;&gt;0,SUMIF(куб!$D:$D,$D570,куб!O:O),IF($C570&lt;&gt;0,SUMIF(куб!$C:$C,$C570,куб!O:O),IF($B570&lt;&gt;0,SUMIF(куб!$B:$B,$B570,куб!O:O))))))</f>
        <v>0</v>
      </c>
      <c r="Z570" s="13" t="str">
        <f t="shared" si="189"/>
        <v>-</v>
      </c>
      <c r="AA570" s="5"/>
      <c r="AB570" s="33" t="str">
        <f t="shared" si="190"/>
        <v/>
      </c>
      <c r="AC570" s="33" t="str">
        <f t="shared" si="191"/>
        <v/>
      </c>
      <c r="AD570" s="15" t="str">
        <f t="shared" si="192"/>
        <v xml:space="preserve"> </v>
      </c>
      <c r="AE570" s="5"/>
      <c r="AF570" s="27" t="b">
        <f>IF($G570&lt;&gt;0,SUMIF(куб!$G:$G,$G570,куб!R:R),IF($E570&lt;&gt;0,SUMIF(куб!$E:$E,$E570,куб!R:R),IF($D570&lt;&gt;0,SUMIF(куб!$D:$D,$D570,куб!R:R),IF($C570&lt;&gt;0,SUMIF(куб!$C:$C,$C570,куб!R:R),IF($B570&lt;&gt;0,SUMIF(куб!$B:$B,$B570,куб!R:R))))))</f>
        <v>0</v>
      </c>
      <c r="AG570" s="27" t="b">
        <f>IF($G570&lt;&gt;0,SUMIF(куб!$G:$G,$G570,куб!S:S),IF($E570&lt;&gt;0,SUMIF(куб!$E:$E,$E570,куб!S:S),IF($D570&lt;&gt;0,SUMIF(куб!$D:$D,$D570,куб!S:S),IF($C570&lt;&gt;0,SUMIF(куб!$C:$C,$C570,куб!S:S),IF($B570&lt;&gt;0,SUMIF(куб!$B:$B,$B570,куб!S:S))))))</f>
        <v>0</v>
      </c>
      <c r="AH570" s="16" t="str">
        <f t="shared" si="193"/>
        <v>-</v>
      </c>
      <c r="AI570" s="8"/>
      <c r="AJ570" s="27" t="b">
        <f>IF($G570&lt;&gt;0,SUMIF(куб!$G:$G,$G570,куб!T:T),IF($E570&lt;&gt;0,SUMIF(куб!$E:$E,$E570,куб!T:T),IF($D570&lt;&gt;0,SUMIF(куб!$D:$D,$D570,куб!T:T),IF($C570&lt;&gt;0,SUMIF(куб!$C:$C,$C570,куб!T:T),IF($B570&lt;&gt;0,SUMIF(куб!$B:$B,$B570,куб!T:T))))))</f>
        <v>0</v>
      </c>
      <c r="AK570" s="27" t="b">
        <f>IF($G570&lt;&gt;0,SUMIF(куб!$G:$G,$G570,куб!U:U),IF($E570&lt;&gt;0,SUMIF(куб!$E:$E,$E570,куб!U:U),IF($D570&lt;&gt;0,SUMIF(куб!$D:$D,$D570,куб!U:U),IF($C570&lt;&gt;0,SUMIF(куб!$C:$C,$C570,куб!U:U),IF($B570&lt;&gt;0,SUMIF(куб!$B:$B,$B570,куб!U:U))))))</f>
        <v>0</v>
      </c>
      <c r="AL570" s="16" t="str">
        <f t="shared" si="194"/>
        <v>-</v>
      </c>
      <c r="AM570" s="8"/>
      <c r="AN570" s="17" t="str">
        <f t="shared" si="195"/>
        <v xml:space="preserve"> </v>
      </c>
      <c r="AO570" s="17" t="str">
        <f t="shared" si="196"/>
        <v xml:space="preserve"> </v>
      </c>
      <c r="AP570" s="16" t="str">
        <f t="shared" si="197"/>
        <v>-</v>
      </c>
      <c r="AQ570" s="8"/>
      <c r="AR570" s="17" t="str">
        <f t="shared" si="198"/>
        <v>-</v>
      </c>
      <c r="AS570" s="17" t="str">
        <f t="shared" si="199"/>
        <v>-</v>
      </c>
      <c r="AT570" s="13" t="str">
        <f t="shared" si="200"/>
        <v>-</v>
      </c>
      <c r="AU570" s="8"/>
    </row>
    <row r="571" spans="1:47" x14ac:dyDescent="0.25">
      <c r="A571" s="31"/>
      <c r="B571" s="31"/>
      <c r="C571"/>
      <c r="D571" s="31"/>
      <c r="E571"/>
      <c r="F571" s="31"/>
      <c r="G571"/>
      <c r="H571" s="27">
        <f>IF($G571&lt;&gt;0,SUMIF(куб!$G:$G,$G571,куб!H:H),IF($E571&lt;&gt;0,SUMIF(куб!$E:$E,$E571,куб!H:H),IF($D571&lt;&gt;0,SUMIF(куб!$D:$D,$D571,куб!H:H),IF($C571&lt;&gt;0,SUMIF(куб!$C:$C,$C571,куб!H:H),IF($B571&lt;&gt;0,SUMIF(куб!$B:$B,$B571,куб!H:H),IF($G571&lt;&gt;0,SUMIF(куб!$A:$A,$G571,куб!H:H),SUMIF(куб!$A:$A,$G571,куб!H:H)))))))</f>
        <v>0</v>
      </c>
      <c r="I571" s="27">
        <f>IF($G571&lt;&gt;0,SUMIF(куб!$G:$G,$G571,куб!I:I),IF($E571&lt;&gt;0,SUMIF(куб!$E:$E,$E571,куб!I:I),IF($D571&lt;&gt;0,SUMIF(куб!$D:$D,$D571,куб!I:I),IF($C571&lt;&gt;0,SUMIF(куб!$C:$C,$C571,куб!I:I),IF($B571&lt;&gt;0,SUMIF(куб!$B:$B,$B571,куб!I:I),IF($G571&lt;&gt;0,SUMIF(куб!$A:$A,$G571,куб!I:I),SUMIF(куб!$A:$A,$G571,куб!I:I)))))))</f>
        <v>0</v>
      </c>
      <c r="J571" s="19" t="str">
        <f t="shared" si="183"/>
        <v>-</v>
      </c>
      <c r="K571" s="8"/>
      <c r="L571" s="17">
        <f t="shared" si="184"/>
        <v>0</v>
      </c>
      <c r="M571" s="17">
        <f t="shared" si="185"/>
        <v>0</v>
      </c>
      <c r="N571" s="12">
        <f t="shared" si="186"/>
        <v>0</v>
      </c>
      <c r="O571" s="5"/>
      <c r="P571" s="27" t="b">
        <f>IF($G571&lt;&gt;0,SUMIF(куб!$G:$G,$G571,куб!J:J),IF($E571&lt;&gt;0,SUMIF(куб!$E:$E,$E571,куб!J:J),IF($D571&lt;&gt;0,SUMIF(куб!$D:$D,$D571,куб!J:J),IF($C571&lt;&gt;0,SUMIF(куб!$C:$C,$C571,куб!J:J),IF($B571&lt;&gt;0,SUMIF(куб!$B:$B,$B571,куб!J:J))))))</f>
        <v>0</v>
      </c>
      <c r="Q571" s="27" t="b">
        <f>IF($G571&lt;&gt;0,SUMIF(куб!$G:$G,$G571,куб!K:K),IF($E571&lt;&gt;0,SUMIF(куб!$E:$E,$E571,куб!K:K),IF($D571&lt;&gt;0,SUMIF(куб!$D:$D,$D571,куб!K:K),IF($C571&lt;&gt;0,SUMIF(куб!$C:$C,$C571,куб!K:K),IF($B571&lt;&gt;0,SUMIF(куб!$B:$B,$B571,куб!K:K))))))</f>
        <v>0</v>
      </c>
      <c r="R571" s="13" t="str">
        <f t="shared" si="187"/>
        <v>-</v>
      </c>
      <c r="S571" s="5"/>
      <c r="T571" s="27" t="b">
        <f>IF($G571&lt;&gt;0,SUMIF(куб!$G:$G,$G571,куб!L:L),IF($E571&lt;&gt;0,SUMIF(куб!$E:$E,$E571,куб!L:L),IF($D571&lt;&gt;0,SUMIF(куб!$D:$D,$D571,куб!L:L),IF($C571&lt;&gt;0,SUMIF(куб!$C:$C,$C571,куб!L:L),IF($B571&lt;&gt;0,SUMIF(куб!$B:$B,$B571,куб!L:L))))))</f>
        <v>0</v>
      </c>
      <c r="U571" s="27" t="b">
        <f>IF($G571&lt;&gt;0,SUMIF(куб!$G:$G,$G571,куб!M:M),IF($E571&lt;&gt;0,SUMIF(куб!$E:$E,$E571,куб!M:M),IF($D571&lt;&gt;0,SUMIF(куб!$D:$D,$D571,куб!M:M),IF($C571&lt;&gt;0,SUMIF(куб!$C:$C,$C571,куб!M:M),IF($B571&lt;&gt;0,SUMIF(куб!$B:$B,$B571,куб!M:M))))))</f>
        <v>0</v>
      </c>
      <c r="V571" s="13" t="str">
        <f t="shared" si="188"/>
        <v>-</v>
      </c>
      <c r="W571" s="5"/>
      <c r="X571" s="27" t="b">
        <f>IF($G571&lt;&gt;0,SUMIF(куб!$G:$G,$G571,куб!N:N),IF($E571&lt;&gt;0,SUMIF(куб!$E:$E,$E571,куб!N:N),IF($D571&lt;&gt;0,SUMIF(куб!$D:$D,$D571,куб!N:N),IF($C571&lt;&gt;0,SUMIF(куб!$C:$C,$C571,куб!N:N),IF($B571&lt;&gt;0,SUMIF(куб!$B:$B,$B571,куб!N:N))))))</f>
        <v>0</v>
      </c>
      <c r="Y571" s="27" t="b">
        <f>IF($G571&lt;&gt;0,SUMIF(куб!$G:$G,$G571,куб!O:O),IF($E571&lt;&gt;0,SUMIF(куб!$E:$E,$E571,куб!O:O),IF($D571&lt;&gt;0,SUMIF(куб!$D:$D,$D571,куб!O:O),IF($C571&lt;&gt;0,SUMIF(куб!$C:$C,$C571,куб!O:O),IF($B571&lt;&gt;0,SUMIF(куб!$B:$B,$B571,куб!O:O))))))</f>
        <v>0</v>
      </c>
      <c r="Z571" s="13" t="str">
        <f t="shared" si="189"/>
        <v>-</v>
      </c>
      <c r="AA571" s="5"/>
      <c r="AB571" s="33" t="str">
        <f t="shared" si="190"/>
        <v/>
      </c>
      <c r="AC571" s="33" t="str">
        <f t="shared" si="191"/>
        <v/>
      </c>
      <c r="AD571" s="15" t="str">
        <f t="shared" si="192"/>
        <v xml:space="preserve"> </v>
      </c>
      <c r="AE571" s="5"/>
      <c r="AF571" s="27" t="b">
        <f>IF($G571&lt;&gt;0,SUMIF(куб!$G:$G,$G571,куб!R:R),IF($E571&lt;&gt;0,SUMIF(куб!$E:$E,$E571,куб!R:R),IF($D571&lt;&gt;0,SUMIF(куб!$D:$D,$D571,куб!R:R),IF($C571&lt;&gt;0,SUMIF(куб!$C:$C,$C571,куб!R:R),IF($B571&lt;&gt;0,SUMIF(куб!$B:$B,$B571,куб!R:R))))))</f>
        <v>0</v>
      </c>
      <c r="AG571" s="27" t="b">
        <f>IF($G571&lt;&gt;0,SUMIF(куб!$G:$G,$G571,куб!S:S),IF($E571&lt;&gt;0,SUMIF(куб!$E:$E,$E571,куб!S:S),IF($D571&lt;&gt;0,SUMIF(куб!$D:$D,$D571,куб!S:S),IF($C571&lt;&gt;0,SUMIF(куб!$C:$C,$C571,куб!S:S),IF($B571&lt;&gt;0,SUMIF(куб!$B:$B,$B571,куб!S:S))))))</f>
        <v>0</v>
      </c>
      <c r="AH571" s="16" t="str">
        <f t="shared" si="193"/>
        <v>-</v>
      </c>
      <c r="AI571" s="8"/>
      <c r="AJ571" s="27" t="b">
        <f>IF($G571&lt;&gt;0,SUMIF(куб!$G:$G,$G571,куб!T:T),IF($E571&lt;&gt;0,SUMIF(куб!$E:$E,$E571,куб!T:T),IF($D571&lt;&gt;0,SUMIF(куб!$D:$D,$D571,куб!T:T),IF($C571&lt;&gt;0,SUMIF(куб!$C:$C,$C571,куб!T:T),IF($B571&lt;&gt;0,SUMIF(куб!$B:$B,$B571,куб!T:T))))))</f>
        <v>0</v>
      </c>
      <c r="AK571" s="27" t="b">
        <f>IF($G571&lt;&gt;0,SUMIF(куб!$G:$G,$G571,куб!U:U),IF($E571&lt;&gt;0,SUMIF(куб!$E:$E,$E571,куб!U:U),IF($D571&lt;&gt;0,SUMIF(куб!$D:$D,$D571,куб!U:U),IF($C571&lt;&gt;0,SUMIF(куб!$C:$C,$C571,куб!U:U),IF($B571&lt;&gt;0,SUMIF(куб!$B:$B,$B571,куб!U:U))))))</f>
        <v>0</v>
      </c>
      <c r="AL571" s="16" t="str">
        <f t="shared" si="194"/>
        <v>-</v>
      </c>
      <c r="AM571" s="8"/>
      <c r="AN571" s="17" t="str">
        <f t="shared" si="195"/>
        <v xml:space="preserve"> </v>
      </c>
      <c r="AO571" s="17" t="str">
        <f t="shared" si="196"/>
        <v xml:space="preserve"> </v>
      </c>
      <c r="AP571" s="16" t="str">
        <f t="shared" si="197"/>
        <v>-</v>
      </c>
      <c r="AQ571" s="8"/>
      <c r="AR571" s="17" t="str">
        <f t="shared" si="198"/>
        <v>-</v>
      </c>
      <c r="AS571" s="17" t="str">
        <f t="shared" si="199"/>
        <v>-</v>
      </c>
      <c r="AT571" s="13" t="str">
        <f t="shared" si="200"/>
        <v>-</v>
      </c>
      <c r="AU571" s="8"/>
    </row>
    <row r="572" spans="1:47" x14ac:dyDescent="0.25">
      <c r="A572" s="31"/>
      <c r="B572" s="31"/>
      <c r="C572"/>
      <c r="D572" s="31"/>
      <c r="E572"/>
      <c r="F572" s="31"/>
      <c r="G572"/>
      <c r="H572" s="27">
        <f>IF($G572&lt;&gt;0,SUMIF(куб!$G:$G,$G572,куб!H:H),IF($E572&lt;&gt;0,SUMIF(куб!$E:$E,$E572,куб!H:H),IF($D572&lt;&gt;0,SUMIF(куб!$D:$D,$D572,куб!H:H),IF($C572&lt;&gt;0,SUMIF(куб!$C:$C,$C572,куб!H:H),IF($B572&lt;&gt;0,SUMIF(куб!$B:$B,$B572,куб!H:H),IF($G572&lt;&gt;0,SUMIF(куб!$A:$A,$G572,куб!H:H),SUMIF(куб!$A:$A,$G572,куб!H:H)))))))</f>
        <v>0</v>
      </c>
      <c r="I572" s="27">
        <f>IF($G572&lt;&gt;0,SUMIF(куб!$G:$G,$G572,куб!I:I),IF($E572&lt;&gt;0,SUMIF(куб!$E:$E,$E572,куб!I:I),IF($D572&lt;&gt;0,SUMIF(куб!$D:$D,$D572,куб!I:I),IF($C572&lt;&gt;0,SUMIF(куб!$C:$C,$C572,куб!I:I),IF($B572&lt;&gt;0,SUMIF(куб!$B:$B,$B572,куб!I:I),IF($G572&lt;&gt;0,SUMIF(куб!$A:$A,$G572,куб!I:I),SUMIF(куб!$A:$A,$G572,куб!I:I)))))))</f>
        <v>0</v>
      </c>
      <c r="J572" s="19" t="str">
        <f t="shared" si="183"/>
        <v>-</v>
      </c>
      <c r="K572" s="8"/>
      <c r="L572" s="17">
        <f t="shared" si="184"/>
        <v>0</v>
      </c>
      <c r="M572" s="17">
        <f t="shared" si="185"/>
        <v>0</v>
      </c>
      <c r="N572" s="12">
        <f t="shared" si="186"/>
        <v>0</v>
      </c>
      <c r="O572" s="5"/>
      <c r="P572" s="27" t="b">
        <f>IF($G572&lt;&gt;0,SUMIF(куб!$G:$G,$G572,куб!J:J),IF($E572&lt;&gt;0,SUMIF(куб!$E:$E,$E572,куб!J:J),IF($D572&lt;&gt;0,SUMIF(куб!$D:$D,$D572,куб!J:J),IF($C572&lt;&gt;0,SUMIF(куб!$C:$C,$C572,куб!J:J),IF($B572&lt;&gt;0,SUMIF(куб!$B:$B,$B572,куб!J:J))))))</f>
        <v>0</v>
      </c>
      <c r="Q572" s="27" t="b">
        <f>IF($G572&lt;&gt;0,SUMIF(куб!$G:$G,$G572,куб!K:K),IF($E572&lt;&gt;0,SUMIF(куб!$E:$E,$E572,куб!K:K),IF($D572&lt;&gt;0,SUMIF(куб!$D:$D,$D572,куб!K:K),IF($C572&lt;&gt;0,SUMIF(куб!$C:$C,$C572,куб!K:K),IF($B572&lt;&gt;0,SUMIF(куб!$B:$B,$B572,куб!K:K))))))</f>
        <v>0</v>
      </c>
      <c r="R572" s="13" t="str">
        <f t="shared" si="187"/>
        <v>-</v>
      </c>
      <c r="S572" s="5"/>
      <c r="T572" s="27" t="b">
        <f>IF($G572&lt;&gt;0,SUMIF(куб!$G:$G,$G572,куб!L:L),IF($E572&lt;&gt;0,SUMIF(куб!$E:$E,$E572,куб!L:L),IF($D572&lt;&gt;0,SUMIF(куб!$D:$D,$D572,куб!L:L),IF($C572&lt;&gt;0,SUMIF(куб!$C:$C,$C572,куб!L:L),IF($B572&lt;&gt;0,SUMIF(куб!$B:$B,$B572,куб!L:L))))))</f>
        <v>0</v>
      </c>
      <c r="U572" s="27" t="b">
        <f>IF($G572&lt;&gt;0,SUMIF(куб!$G:$G,$G572,куб!M:M),IF($E572&lt;&gt;0,SUMIF(куб!$E:$E,$E572,куб!M:M),IF($D572&lt;&gt;0,SUMIF(куб!$D:$D,$D572,куб!M:M),IF($C572&lt;&gt;0,SUMIF(куб!$C:$C,$C572,куб!M:M),IF($B572&lt;&gt;0,SUMIF(куб!$B:$B,$B572,куб!M:M))))))</f>
        <v>0</v>
      </c>
      <c r="V572" s="13" t="str">
        <f t="shared" si="188"/>
        <v>-</v>
      </c>
      <c r="W572" s="5"/>
      <c r="X572" s="27" t="b">
        <f>IF($G572&lt;&gt;0,SUMIF(куб!$G:$G,$G572,куб!N:N),IF($E572&lt;&gt;0,SUMIF(куб!$E:$E,$E572,куб!N:N),IF($D572&lt;&gt;0,SUMIF(куб!$D:$D,$D572,куб!N:N),IF($C572&lt;&gt;0,SUMIF(куб!$C:$C,$C572,куб!N:N),IF($B572&lt;&gt;0,SUMIF(куб!$B:$B,$B572,куб!N:N))))))</f>
        <v>0</v>
      </c>
      <c r="Y572" s="27" t="b">
        <f>IF($G572&lt;&gt;0,SUMIF(куб!$G:$G,$G572,куб!O:O),IF($E572&lt;&gt;0,SUMIF(куб!$E:$E,$E572,куб!O:O),IF($D572&lt;&gt;0,SUMIF(куб!$D:$D,$D572,куб!O:O),IF($C572&lt;&gt;0,SUMIF(куб!$C:$C,$C572,куб!O:O),IF($B572&lt;&gt;0,SUMIF(куб!$B:$B,$B572,куб!O:O))))))</f>
        <v>0</v>
      </c>
      <c r="Z572" s="13" t="str">
        <f t="shared" si="189"/>
        <v>-</v>
      </c>
      <c r="AA572" s="5"/>
      <c r="AB572" s="33" t="str">
        <f t="shared" si="190"/>
        <v/>
      </c>
      <c r="AC572" s="33" t="str">
        <f t="shared" si="191"/>
        <v/>
      </c>
      <c r="AD572" s="15" t="str">
        <f t="shared" si="192"/>
        <v xml:space="preserve"> </v>
      </c>
      <c r="AE572" s="5"/>
      <c r="AF572" s="27" t="b">
        <f>IF($G572&lt;&gt;0,SUMIF(куб!$G:$G,$G572,куб!R:R),IF($E572&lt;&gt;0,SUMIF(куб!$E:$E,$E572,куб!R:R),IF($D572&lt;&gt;0,SUMIF(куб!$D:$D,$D572,куб!R:R),IF($C572&lt;&gt;0,SUMIF(куб!$C:$C,$C572,куб!R:R),IF($B572&lt;&gt;0,SUMIF(куб!$B:$B,$B572,куб!R:R))))))</f>
        <v>0</v>
      </c>
      <c r="AG572" s="27" t="b">
        <f>IF($G572&lt;&gt;0,SUMIF(куб!$G:$G,$G572,куб!S:S),IF($E572&lt;&gt;0,SUMIF(куб!$E:$E,$E572,куб!S:S),IF($D572&lt;&gt;0,SUMIF(куб!$D:$D,$D572,куб!S:S),IF($C572&lt;&gt;0,SUMIF(куб!$C:$C,$C572,куб!S:S),IF($B572&lt;&gt;0,SUMIF(куб!$B:$B,$B572,куб!S:S))))))</f>
        <v>0</v>
      </c>
      <c r="AH572" s="16" t="str">
        <f t="shared" si="193"/>
        <v>-</v>
      </c>
      <c r="AI572" s="8"/>
      <c r="AJ572" s="27" t="b">
        <f>IF($G572&lt;&gt;0,SUMIF(куб!$G:$G,$G572,куб!T:T),IF($E572&lt;&gt;0,SUMIF(куб!$E:$E,$E572,куб!T:T),IF($D572&lt;&gt;0,SUMIF(куб!$D:$D,$D572,куб!T:T),IF($C572&lt;&gt;0,SUMIF(куб!$C:$C,$C572,куб!T:T),IF($B572&lt;&gt;0,SUMIF(куб!$B:$B,$B572,куб!T:T))))))</f>
        <v>0</v>
      </c>
      <c r="AK572" s="27" t="b">
        <f>IF($G572&lt;&gt;0,SUMIF(куб!$G:$G,$G572,куб!U:U),IF($E572&lt;&gt;0,SUMIF(куб!$E:$E,$E572,куб!U:U),IF($D572&lt;&gt;0,SUMIF(куб!$D:$D,$D572,куб!U:U),IF($C572&lt;&gt;0,SUMIF(куб!$C:$C,$C572,куб!U:U),IF($B572&lt;&gt;0,SUMIF(куб!$B:$B,$B572,куб!U:U))))))</f>
        <v>0</v>
      </c>
      <c r="AL572" s="16" t="str">
        <f t="shared" si="194"/>
        <v>-</v>
      </c>
      <c r="AM572" s="8"/>
      <c r="AN572" s="17" t="str">
        <f t="shared" si="195"/>
        <v xml:space="preserve"> </v>
      </c>
      <c r="AO572" s="17" t="str">
        <f t="shared" si="196"/>
        <v xml:space="preserve"> </v>
      </c>
      <c r="AP572" s="16" t="str">
        <f t="shared" si="197"/>
        <v>-</v>
      </c>
      <c r="AQ572" s="8"/>
      <c r="AR572" s="17" t="str">
        <f t="shared" si="198"/>
        <v>-</v>
      </c>
      <c r="AS572" s="17" t="str">
        <f t="shared" si="199"/>
        <v>-</v>
      </c>
      <c r="AT572" s="13" t="str">
        <f t="shared" si="200"/>
        <v>-</v>
      </c>
      <c r="AU572" s="8"/>
    </row>
    <row r="573" spans="1:47" x14ac:dyDescent="0.25">
      <c r="A573" s="31"/>
      <c r="B573" s="31"/>
      <c r="C573"/>
      <c r="D573" s="31"/>
      <c r="E573"/>
      <c r="F573" s="31"/>
      <c r="G573"/>
      <c r="H573" s="27">
        <f>IF($G573&lt;&gt;0,SUMIF(куб!$G:$G,$G573,куб!H:H),IF($E573&lt;&gt;0,SUMIF(куб!$E:$E,$E573,куб!H:H),IF($D573&lt;&gt;0,SUMIF(куб!$D:$D,$D573,куб!H:H),IF($C573&lt;&gt;0,SUMIF(куб!$C:$C,$C573,куб!H:H),IF($B573&lt;&gt;0,SUMIF(куб!$B:$B,$B573,куб!H:H),IF($G573&lt;&gt;0,SUMIF(куб!$A:$A,$G573,куб!H:H),SUMIF(куб!$A:$A,$G573,куб!H:H)))))))</f>
        <v>0</v>
      </c>
      <c r="I573" s="27">
        <f>IF($G573&lt;&gt;0,SUMIF(куб!$G:$G,$G573,куб!I:I),IF($E573&lt;&gt;0,SUMIF(куб!$E:$E,$E573,куб!I:I),IF($D573&lt;&gt;0,SUMIF(куб!$D:$D,$D573,куб!I:I),IF($C573&lt;&gt;0,SUMIF(куб!$C:$C,$C573,куб!I:I),IF($B573&lt;&gt;0,SUMIF(куб!$B:$B,$B573,куб!I:I),IF($G573&lt;&gt;0,SUMIF(куб!$A:$A,$G573,куб!I:I),SUMIF(куб!$A:$A,$G573,куб!I:I)))))))</f>
        <v>0</v>
      </c>
      <c r="J573" s="19" t="str">
        <f t="shared" si="183"/>
        <v>-</v>
      </c>
      <c r="K573" s="8"/>
      <c r="L573" s="17">
        <f t="shared" si="184"/>
        <v>0</v>
      </c>
      <c r="M573" s="17">
        <f t="shared" si="185"/>
        <v>0</v>
      </c>
      <c r="N573" s="12">
        <f t="shared" si="186"/>
        <v>0</v>
      </c>
      <c r="O573" s="5"/>
      <c r="P573" s="27" t="b">
        <f>IF($G573&lt;&gt;0,SUMIF(куб!$G:$G,$G573,куб!J:J),IF($E573&lt;&gt;0,SUMIF(куб!$E:$E,$E573,куб!J:J),IF($D573&lt;&gt;0,SUMIF(куб!$D:$D,$D573,куб!J:J),IF($C573&lt;&gt;0,SUMIF(куб!$C:$C,$C573,куб!J:J),IF($B573&lt;&gt;0,SUMIF(куб!$B:$B,$B573,куб!J:J))))))</f>
        <v>0</v>
      </c>
      <c r="Q573" s="27" t="b">
        <f>IF($G573&lt;&gt;0,SUMIF(куб!$G:$G,$G573,куб!K:K),IF($E573&lt;&gt;0,SUMIF(куб!$E:$E,$E573,куб!K:K),IF($D573&lt;&gt;0,SUMIF(куб!$D:$D,$D573,куб!K:K),IF($C573&lt;&gt;0,SUMIF(куб!$C:$C,$C573,куб!K:K),IF($B573&lt;&gt;0,SUMIF(куб!$B:$B,$B573,куб!K:K))))))</f>
        <v>0</v>
      </c>
      <c r="R573" s="13" t="str">
        <f t="shared" si="187"/>
        <v>-</v>
      </c>
      <c r="S573" s="5"/>
      <c r="T573" s="27" t="b">
        <f>IF($G573&lt;&gt;0,SUMIF(куб!$G:$G,$G573,куб!L:L),IF($E573&lt;&gt;0,SUMIF(куб!$E:$E,$E573,куб!L:L),IF($D573&lt;&gt;0,SUMIF(куб!$D:$D,$D573,куб!L:L),IF($C573&lt;&gt;0,SUMIF(куб!$C:$C,$C573,куб!L:L),IF($B573&lt;&gt;0,SUMIF(куб!$B:$B,$B573,куб!L:L))))))</f>
        <v>0</v>
      </c>
      <c r="U573" s="27" t="b">
        <f>IF($G573&lt;&gt;0,SUMIF(куб!$G:$G,$G573,куб!M:M),IF($E573&lt;&gt;0,SUMIF(куб!$E:$E,$E573,куб!M:M),IF($D573&lt;&gt;0,SUMIF(куб!$D:$D,$D573,куб!M:M),IF($C573&lt;&gt;0,SUMIF(куб!$C:$C,$C573,куб!M:M),IF($B573&lt;&gt;0,SUMIF(куб!$B:$B,$B573,куб!M:M))))))</f>
        <v>0</v>
      </c>
      <c r="V573" s="13" t="str">
        <f t="shared" si="188"/>
        <v>-</v>
      </c>
      <c r="W573" s="5"/>
      <c r="X573" s="27" t="b">
        <f>IF($G573&lt;&gt;0,SUMIF(куб!$G:$G,$G573,куб!N:N),IF($E573&lt;&gt;0,SUMIF(куб!$E:$E,$E573,куб!N:N),IF($D573&lt;&gt;0,SUMIF(куб!$D:$D,$D573,куб!N:N),IF($C573&lt;&gt;0,SUMIF(куб!$C:$C,$C573,куб!N:N),IF($B573&lt;&gt;0,SUMIF(куб!$B:$B,$B573,куб!N:N))))))</f>
        <v>0</v>
      </c>
      <c r="Y573" s="27" t="b">
        <f>IF($G573&lt;&gt;0,SUMIF(куб!$G:$G,$G573,куб!O:O),IF($E573&lt;&gt;0,SUMIF(куб!$E:$E,$E573,куб!O:O),IF($D573&lt;&gt;0,SUMIF(куб!$D:$D,$D573,куб!O:O),IF($C573&lt;&gt;0,SUMIF(куб!$C:$C,$C573,куб!O:O),IF($B573&lt;&gt;0,SUMIF(куб!$B:$B,$B573,куб!O:O))))))</f>
        <v>0</v>
      </c>
      <c r="Z573" s="13" t="str">
        <f t="shared" si="189"/>
        <v>-</v>
      </c>
      <c r="AA573" s="5"/>
      <c r="AB573" s="33" t="str">
        <f t="shared" si="190"/>
        <v/>
      </c>
      <c r="AC573" s="33" t="str">
        <f t="shared" si="191"/>
        <v/>
      </c>
      <c r="AD573" s="15" t="str">
        <f t="shared" si="192"/>
        <v xml:space="preserve"> </v>
      </c>
      <c r="AE573" s="5"/>
      <c r="AF573" s="27" t="b">
        <f>IF($G573&lt;&gt;0,SUMIF(куб!$G:$G,$G573,куб!R:R),IF($E573&lt;&gt;0,SUMIF(куб!$E:$E,$E573,куб!R:R),IF($D573&lt;&gt;0,SUMIF(куб!$D:$D,$D573,куб!R:R),IF($C573&lt;&gt;0,SUMIF(куб!$C:$C,$C573,куб!R:R),IF($B573&lt;&gt;0,SUMIF(куб!$B:$B,$B573,куб!R:R))))))</f>
        <v>0</v>
      </c>
      <c r="AG573" s="27" t="b">
        <f>IF($G573&lt;&gt;0,SUMIF(куб!$G:$G,$G573,куб!S:S),IF($E573&lt;&gt;0,SUMIF(куб!$E:$E,$E573,куб!S:S),IF($D573&lt;&gt;0,SUMIF(куб!$D:$D,$D573,куб!S:S),IF($C573&lt;&gt;0,SUMIF(куб!$C:$C,$C573,куб!S:S),IF($B573&lt;&gt;0,SUMIF(куб!$B:$B,$B573,куб!S:S))))))</f>
        <v>0</v>
      </c>
      <c r="AH573" s="16" t="str">
        <f t="shared" si="193"/>
        <v>-</v>
      </c>
      <c r="AI573" s="8"/>
      <c r="AJ573" s="27" t="b">
        <f>IF($G573&lt;&gt;0,SUMIF(куб!$G:$G,$G573,куб!T:T),IF($E573&lt;&gt;0,SUMIF(куб!$E:$E,$E573,куб!T:T),IF($D573&lt;&gt;0,SUMIF(куб!$D:$D,$D573,куб!T:T),IF($C573&lt;&gt;0,SUMIF(куб!$C:$C,$C573,куб!T:T),IF($B573&lt;&gt;0,SUMIF(куб!$B:$B,$B573,куб!T:T))))))</f>
        <v>0</v>
      </c>
      <c r="AK573" s="27" t="b">
        <f>IF($G573&lt;&gt;0,SUMIF(куб!$G:$G,$G573,куб!U:U),IF($E573&lt;&gt;0,SUMIF(куб!$E:$E,$E573,куб!U:U),IF($D573&lt;&gt;0,SUMIF(куб!$D:$D,$D573,куб!U:U),IF($C573&lt;&gt;0,SUMIF(куб!$C:$C,$C573,куб!U:U),IF($B573&lt;&gt;0,SUMIF(куб!$B:$B,$B573,куб!U:U))))))</f>
        <v>0</v>
      </c>
      <c r="AL573" s="16" t="str">
        <f t="shared" si="194"/>
        <v>-</v>
      </c>
      <c r="AM573" s="8"/>
      <c r="AN573" s="17" t="str">
        <f t="shared" si="195"/>
        <v xml:space="preserve"> </v>
      </c>
      <c r="AO573" s="17" t="str">
        <f t="shared" si="196"/>
        <v xml:space="preserve"> </v>
      </c>
      <c r="AP573" s="16" t="str">
        <f t="shared" si="197"/>
        <v>-</v>
      </c>
      <c r="AQ573" s="8"/>
      <c r="AR573" s="17" t="str">
        <f t="shared" si="198"/>
        <v>-</v>
      </c>
      <c r="AS573" s="17" t="str">
        <f t="shared" si="199"/>
        <v>-</v>
      </c>
      <c r="AT573" s="13" t="str">
        <f t="shared" si="200"/>
        <v>-</v>
      </c>
      <c r="AU573" s="8"/>
    </row>
    <row r="574" spans="1:47" x14ac:dyDescent="0.25">
      <c r="A574" s="31"/>
      <c r="B574" s="31"/>
      <c r="C574"/>
      <c r="D574" s="31"/>
      <c r="E574"/>
      <c r="F574" s="31"/>
      <c r="G574"/>
      <c r="H574" s="27">
        <f>IF($G574&lt;&gt;0,SUMIF(куб!$G:$G,$G574,куб!H:H),IF($E574&lt;&gt;0,SUMIF(куб!$E:$E,$E574,куб!H:H),IF($D574&lt;&gt;0,SUMIF(куб!$D:$D,$D574,куб!H:H),IF($C574&lt;&gt;0,SUMIF(куб!$C:$C,$C574,куб!H:H),IF($B574&lt;&gt;0,SUMIF(куб!$B:$B,$B574,куб!H:H),IF($G574&lt;&gt;0,SUMIF(куб!$A:$A,$G574,куб!H:H),SUMIF(куб!$A:$A,$G574,куб!H:H)))))))</f>
        <v>0</v>
      </c>
      <c r="I574" s="27">
        <f>IF($G574&lt;&gt;0,SUMIF(куб!$G:$G,$G574,куб!I:I),IF($E574&lt;&gt;0,SUMIF(куб!$E:$E,$E574,куб!I:I),IF($D574&lt;&gt;0,SUMIF(куб!$D:$D,$D574,куб!I:I),IF($C574&lt;&gt;0,SUMIF(куб!$C:$C,$C574,куб!I:I),IF($B574&lt;&gt;0,SUMIF(куб!$B:$B,$B574,куб!I:I),IF($G574&lt;&gt;0,SUMIF(куб!$A:$A,$G574,куб!I:I),SUMIF(куб!$A:$A,$G574,куб!I:I)))))))</f>
        <v>0</v>
      </c>
      <c r="J574" s="19" t="str">
        <f t="shared" si="183"/>
        <v>-</v>
      </c>
      <c r="K574" s="8"/>
      <c r="L574" s="17">
        <f t="shared" si="184"/>
        <v>0</v>
      </c>
      <c r="M574" s="17">
        <f t="shared" si="185"/>
        <v>0</v>
      </c>
      <c r="N574" s="12">
        <f t="shared" si="186"/>
        <v>0</v>
      </c>
      <c r="O574" s="5"/>
      <c r="P574" s="27" t="b">
        <f>IF($G574&lt;&gt;0,SUMIF(куб!$G:$G,$G574,куб!J:J),IF($E574&lt;&gt;0,SUMIF(куб!$E:$E,$E574,куб!J:J),IF($D574&lt;&gt;0,SUMIF(куб!$D:$D,$D574,куб!J:J),IF($C574&lt;&gt;0,SUMIF(куб!$C:$C,$C574,куб!J:J),IF($B574&lt;&gt;0,SUMIF(куб!$B:$B,$B574,куб!J:J))))))</f>
        <v>0</v>
      </c>
      <c r="Q574" s="27" t="b">
        <f>IF($G574&lt;&gt;0,SUMIF(куб!$G:$G,$G574,куб!K:K),IF($E574&lt;&gt;0,SUMIF(куб!$E:$E,$E574,куб!K:K),IF($D574&lt;&gt;0,SUMIF(куб!$D:$D,$D574,куб!K:K),IF($C574&lt;&gt;0,SUMIF(куб!$C:$C,$C574,куб!K:K),IF($B574&lt;&gt;0,SUMIF(куб!$B:$B,$B574,куб!K:K))))))</f>
        <v>0</v>
      </c>
      <c r="R574" s="13" t="str">
        <f t="shared" si="187"/>
        <v>-</v>
      </c>
      <c r="S574" s="5"/>
      <c r="T574" s="27" t="b">
        <f>IF($G574&lt;&gt;0,SUMIF(куб!$G:$G,$G574,куб!L:L),IF($E574&lt;&gt;0,SUMIF(куб!$E:$E,$E574,куб!L:L),IF($D574&lt;&gt;0,SUMIF(куб!$D:$D,$D574,куб!L:L),IF($C574&lt;&gt;0,SUMIF(куб!$C:$C,$C574,куб!L:L),IF($B574&lt;&gt;0,SUMIF(куб!$B:$B,$B574,куб!L:L))))))</f>
        <v>0</v>
      </c>
      <c r="U574" s="27" t="b">
        <f>IF($G574&lt;&gt;0,SUMIF(куб!$G:$G,$G574,куб!M:M),IF($E574&lt;&gt;0,SUMIF(куб!$E:$E,$E574,куб!M:M),IF($D574&lt;&gt;0,SUMIF(куб!$D:$D,$D574,куб!M:M),IF($C574&lt;&gt;0,SUMIF(куб!$C:$C,$C574,куб!M:M),IF($B574&lt;&gt;0,SUMIF(куб!$B:$B,$B574,куб!M:M))))))</f>
        <v>0</v>
      </c>
      <c r="V574" s="13" t="str">
        <f t="shared" si="188"/>
        <v>-</v>
      </c>
      <c r="W574" s="5"/>
      <c r="X574" s="27" t="b">
        <f>IF($G574&lt;&gt;0,SUMIF(куб!$G:$G,$G574,куб!N:N),IF($E574&lt;&gt;0,SUMIF(куб!$E:$E,$E574,куб!N:N),IF($D574&lt;&gt;0,SUMIF(куб!$D:$D,$D574,куб!N:N),IF($C574&lt;&gt;0,SUMIF(куб!$C:$C,$C574,куб!N:N),IF($B574&lt;&gt;0,SUMIF(куб!$B:$B,$B574,куб!N:N))))))</f>
        <v>0</v>
      </c>
      <c r="Y574" s="27" t="b">
        <f>IF($G574&lt;&gt;0,SUMIF(куб!$G:$G,$G574,куб!O:O),IF($E574&lt;&gt;0,SUMIF(куб!$E:$E,$E574,куб!O:O),IF($D574&lt;&gt;0,SUMIF(куб!$D:$D,$D574,куб!O:O),IF($C574&lt;&gt;0,SUMIF(куб!$C:$C,$C574,куб!O:O),IF($B574&lt;&gt;0,SUMIF(куб!$B:$B,$B574,куб!O:O))))))</f>
        <v>0</v>
      </c>
      <c r="Z574" s="13" t="str">
        <f t="shared" si="189"/>
        <v>-</v>
      </c>
      <c r="AA574" s="5"/>
      <c r="AB574" s="33" t="str">
        <f t="shared" si="190"/>
        <v/>
      </c>
      <c r="AC574" s="33" t="str">
        <f t="shared" si="191"/>
        <v/>
      </c>
      <c r="AD574" s="15" t="str">
        <f t="shared" si="192"/>
        <v xml:space="preserve"> </v>
      </c>
      <c r="AE574" s="5"/>
      <c r="AF574" s="27" t="b">
        <f>IF($G574&lt;&gt;0,SUMIF(куб!$G:$G,$G574,куб!R:R),IF($E574&lt;&gt;0,SUMIF(куб!$E:$E,$E574,куб!R:R),IF($D574&lt;&gt;0,SUMIF(куб!$D:$D,$D574,куб!R:R),IF($C574&lt;&gt;0,SUMIF(куб!$C:$C,$C574,куб!R:R),IF($B574&lt;&gt;0,SUMIF(куб!$B:$B,$B574,куб!R:R))))))</f>
        <v>0</v>
      </c>
      <c r="AG574" s="27" t="b">
        <f>IF($G574&lt;&gt;0,SUMIF(куб!$G:$G,$G574,куб!S:S),IF($E574&lt;&gt;0,SUMIF(куб!$E:$E,$E574,куб!S:S),IF($D574&lt;&gt;0,SUMIF(куб!$D:$D,$D574,куб!S:S),IF($C574&lt;&gt;0,SUMIF(куб!$C:$C,$C574,куб!S:S),IF($B574&lt;&gt;0,SUMIF(куб!$B:$B,$B574,куб!S:S))))))</f>
        <v>0</v>
      </c>
      <c r="AH574" s="16" t="str">
        <f t="shared" si="193"/>
        <v>-</v>
      </c>
      <c r="AI574" s="8"/>
      <c r="AJ574" s="27" t="b">
        <f>IF($G574&lt;&gt;0,SUMIF(куб!$G:$G,$G574,куб!T:T),IF($E574&lt;&gt;0,SUMIF(куб!$E:$E,$E574,куб!T:T),IF($D574&lt;&gt;0,SUMIF(куб!$D:$D,$D574,куб!T:T),IF($C574&lt;&gt;0,SUMIF(куб!$C:$C,$C574,куб!T:T),IF($B574&lt;&gt;0,SUMIF(куб!$B:$B,$B574,куб!T:T))))))</f>
        <v>0</v>
      </c>
      <c r="AK574" s="27" t="b">
        <f>IF($G574&lt;&gt;0,SUMIF(куб!$G:$G,$G574,куб!U:U),IF($E574&lt;&gt;0,SUMIF(куб!$E:$E,$E574,куб!U:U),IF($D574&lt;&gt;0,SUMIF(куб!$D:$D,$D574,куб!U:U),IF($C574&lt;&gt;0,SUMIF(куб!$C:$C,$C574,куб!U:U),IF($B574&lt;&gt;0,SUMIF(куб!$B:$B,$B574,куб!U:U))))))</f>
        <v>0</v>
      </c>
      <c r="AL574" s="16" t="str">
        <f t="shared" si="194"/>
        <v>-</v>
      </c>
      <c r="AM574" s="8"/>
      <c r="AN574" s="17" t="str">
        <f t="shared" si="195"/>
        <v xml:space="preserve"> </v>
      </c>
      <c r="AO574" s="17" t="str">
        <f t="shared" si="196"/>
        <v xml:space="preserve"> </v>
      </c>
      <c r="AP574" s="16" t="str">
        <f t="shared" si="197"/>
        <v>-</v>
      </c>
      <c r="AQ574" s="8"/>
      <c r="AR574" s="17" t="str">
        <f t="shared" si="198"/>
        <v>-</v>
      </c>
      <c r="AS574" s="17" t="str">
        <f t="shared" si="199"/>
        <v>-</v>
      </c>
      <c r="AT574" s="13" t="str">
        <f t="shared" si="200"/>
        <v>-</v>
      </c>
      <c r="AU574" s="8"/>
    </row>
    <row r="575" spans="1:47" x14ac:dyDescent="0.25">
      <c r="A575" s="31"/>
      <c r="B575" s="31"/>
      <c r="C575"/>
      <c r="D575" s="31"/>
      <c r="E575"/>
      <c r="F575" s="31"/>
      <c r="G575"/>
      <c r="H575" s="27">
        <f>IF($G575&lt;&gt;0,SUMIF(куб!$G:$G,$G575,куб!H:H),IF($E575&lt;&gt;0,SUMIF(куб!$E:$E,$E575,куб!H:H),IF($D575&lt;&gt;0,SUMIF(куб!$D:$D,$D575,куб!H:H),IF($C575&lt;&gt;0,SUMIF(куб!$C:$C,$C575,куб!H:H),IF($B575&lt;&gt;0,SUMIF(куб!$B:$B,$B575,куб!H:H),IF($G575&lt;&gt;0,SUMIF(куб!$A:$A,$G575,куб!H:H),SUMIF(куб!$A:$A,$G575,куб!H:H)))))))</f>
        <v>0</v>
      </c>
      <c r="I575" s="27">
        <f>IF($G575&lt;&gt;0,SUMIF(куб!$G:$G,$G575,куб!I:I),IF($E575&lt;&gt;0,SUMIF(куб!$E:$E,$E575,куб!I:I),IF($D575&lt;&gt;0,SUMIF(куб!$D:$D,$D575,куб!I:I),IF($C575&lt;&gt;0,SUMIF(куб!$C:$C,$C575,куб!I:I),IF($B575&lt;&gt;0,SUMIF(куб!$B:$B,$B575,куб!I:I),IF($G575&lt;&gt;0,SUMIF(куб!$A:$A,$G575,куб!I:I),SUMIF(куб!$A:$A,$G575,куб!I:I)))))))</f>
        <v>0</v>
      </c>
      <c r="J575" s="19" t="str">
        <f t="shared" si="183"/>
        <v>-</v>
      </c>
      <c r="K575" s="8"/>
      <c r="L575" s="17">
        <f t="shared" si="184"/>
        <v>0</v>
      </c>
      <c r="M575" s="17">
        <f t="shared" si="185"/>
        <v>0</v>
      </c>
      <c r="N575" s="12">
        <f t="shared" si="186"/>
        <v>0</v>
      </c>
      <c r="O575" s="5"/>
      <c r="P575" s="27" t="b">
        <f>IF($G575&lt;&gt;0,SUMIF(куб!$G:$G,$G575,куб!J:J),IF($E575&lt;&gt;0,SUMIF(куб!$E:$E,$E575,куб!J:J),IF($D575&lt;&gt;0,SUMIF(куб!$D:$D,$D575,куб!J:J),IF($C575&lt;&gt;0,SUMIF(куб!$C:$C,$C575,куб!J:J),IF($B575&lt;&gt;0,SUMIF(куб!$B:$B,$B575,куб!J:J))))))</f>
        <v>0</v>
      </c>
      <c r="Q575" s="27" t="b">
        <f>IF($G575&lt;&gt;0,SUMIF(куб!$G:$G,$G575,куб!K:K),IF($E575&lt;&gt;0,SUMIF(куб!$E:$E,$E575,куб!K:K),IF($D575&lt;&gt;0,SUMIF(куб!$D:$D,$D575,куб!K:K),IF($C575&lt;&gt;0,SUMIF(куб!$C:$C,$C575,куб!K:K),IF($B575&lt;&gt;0,SUMIF(куб!$B:$B,$B575,куб!K:K))))))</f>
        <v>0</v>
      </c>
      <c r="R575" s="13" t="str">
        <f t="shared" si="187"/>
        <v>-</v>
      </c>
      <c r="S575" s="5"/>
      <c r="T575" s="27" t="b">
        <f>IF($G575&lt;&gt;0,SUMIF(куб!$G:$G,$G575,куб!L:L),IF($E575&lt;&gt;0,SUMIF(куб!$E:$E,$E575,куб!L:L),IF($D575&lt;&gt;0,SUMIF(куб!$D:$D,$D575,куб!L:L),IF($C575&lt;&gt;0,SUMIF(куб!$C:$C,$C575,куб!L:L),IF($B575&lt;&gt;0,SUMIF(куб!$B:$B,$B575,куб!L:L))))))</f>
        <v>0</v>
      </c>
      <c r="U575" s="27" t="b">
        <f>IF($G575&lt;&gt;0,SUMIF(куб!$G:$G,$G575,куб!M:M),IF($E575&lt;&gt;0,SUMIF(куб!$E:$E,$E575,куб!M:M),IF($D575&lt;&gt;0,SUMIF(куб!$D:$D,$D575,куб!M:M),IF($C575&lt;&gt;0,SUMIF(куб!$C:$C,$C575,куб!M:M),IF($B575&lt;&gt;0,SUMIF(куб!$B:$B,$B575,куб!M:M))))))</f>
        <v>0</v>
      </c>
      <c r="V575" s="13" t="str">
        <f t="shared" si="188"/>
        <v>-</v>
      </c>
      <c r="W575" s="5"/>
      <c r="X575" s="27" t="b">
        <f>IF($G575&lt;&gt;0,SUMIF(куб!$G:$G,$G575,куб!N:N),IF($E575&lt;&gt;0,SUMIF(куб!$E:$E,$E575,куб!N:N),IF($D575&lt;&gt;0,SUMIF(куб!$D:$D,$D575,куб!N:N),IF($C575&lt;&gt;0,SUMIF(куб!$C:$C,$C575,куб!N:N),IF($B575&lt;&gt;0,SUMIF(куб!$B:$B,$B575,куб!N:N))))))</f>
        <v>0</v>
      </c>
      <c r="Y575" s="27" t="b">
        <f>IF($G575&lt;&gt;0,SUMIF(куб!$G:$G,$G575,куб!O:O),IF($E575&lt;&gt;0,SUMIF(куб!$E:$E,$E575,куб!O:O),IF($D575&lt;&gt;0,SUMIF(куб!$D:$D,$D575,куб!O:O),IF($C575&lt;&gt;0,SUMIF(куб!$C:$C,$C575,куб!O:O),IF($B575&lt;&gt;0,SUMIF(куб!$B:$B,$B575,куб!O:O))))))</f>
        <v>0</v>
      </c>
      <c r="Z575" s="13" t="str">
        <f t="shared" si="189"/>
        <v>-</v>
      </c>
      <c r="AA575" s="5"/>
      <c r="AB575" s="33" t="str">
        <f t="shared" si="190"/>
        <v/>
      </c>
      <c r="AC575" s="33" t="str">
        <f t="shared" si="191"/>
        <v/>
      </c>
      <c r="AD575" s="15" t="str">
        <f t="shared" si="192"/>
        <v xml:space="preserve"> </v>
      </c>
      <c r="AE575" s="5"/>
      <c r="AF575" s="27" t="b">
        <f>IF($G575&lt;&gt;0,SUMIF(куб!$G:$G,$G575,куб!R:R),IF($E575&lt;&gt;0,SUMIF(куб!$E:$E,$E575,куб!R:R),IF($D575&lt;&gt;0,SUMIF(куб!$D:$D,$D575,куб!R:R),IF($C575&lt;&gt;0,SUMIF(куб!$C:$C,$C575,куб!R:R),IF($B575&lt;&gt;0,SUMIF(куб!$B:$B,$B575,куб!R:R))))))</f>
        <v>0</v>
      </c>
      <c r="AG575" s="27" t="b">
        <f>IF($G575&lt;&gt;0,SUMIF(куб!$G:$G,$G575,куб!S:S),IF($E575&lt;&gt;0,SUMIF(куб!$E:$E,$E575,куб!S:S),IF($D575&lt;&gt;0,SUMIF(куб!$D:$D,$D575,куб!S:S),IF($C575&lt;&gt;0,SUMIF(куб!$C:$C,$C575,куб!S:S),IF($B575&lt;&gt;0,SUMIF(куб!$B:$B,$B575,куб!S:S))))))</f>
        <v>0</v>
      </c>
      <c r="AH575" s="16" t="str">
        <f t="shared" si="193"/>
        <v>-</v>
      </c>
      <c r="AI575" s="8"/>
      <c r="AJ575" s="27" t="b">
        <f>IF($G575&lt;&gt;0,SUMIF(куб!$G:$G,$G575,куб!T:T),IF($E575&lt;&gt;0,SUMIF(куб!$E:$E,$E575,куб!T:T),IF($D575&lt;&gt;0,SUMIF(куб!$D:$D,$D575,куб!T:T),IF($C575&lt;&gt;0,SUMIF(куб!$C:$C,$C575,куб!T:T),IF($B575&lt;&gt;0,SUMIF(куб!$B:$B,$B575,куб!T:T))))))</f>
        <v>0</v>
      </c>
      <c r="AK575" s="27" t="b">
        <f>IF($G575&lt;&gt;0,SUMIF(куб!$G:$G,$G575,куб!U:U),IF($E575&lt;&gt;0,SUMIF(куб!$E:$E,$E575,куб!U:U),IF($D575&lt;&gt;0,SUMIF(куб!$D:$D,$D575,куб!U:U),IF($C575&lt;&gt;0,SUMIF(куб!$C:$C,$C575,куб!U:U),IF($B575&lt;&gt;0,SUMIF(куб!$B:$B,$B575,куб!U:U))))))</f>
        <v>0</v>
      </c>
      <c r="AL575" s="16" t="str">
        <f t="shared" si="194"/>
        <v>-</v>
      </c>
      <c r="AM575" s="8"/>
      <c r="AN575" s="17" t="str">
        <f t="shared" si="195"/>
        <v xml:space="preserve"> </v>
      </c>
      <c r="AO575" s="17" t="str">
        <f t="shared" si="196"/>
        <v xml:space="preserve"> </v>
      </c>
      <c r="AP575" s="16" t="str">
        <f t="shared" si="197"/>
        <v>-</v>
      </c>
      <c r="AQ575" s="8"/>
      <c r="AR575" s="17" t="str">
        <f t="shared" si="198"/>
        <v>-</v>
      </c>
      <c r="AS575" s="17" t="str">
        <f t="shared" si="199"/>
        <v>-</v>
      </c>
      <c r="AT575" s="13" t="str">
        <f t="shared" si="200"/>
        <v>-</v>
      </c>
      <c r="AU575" s="8"/>
    </row>
    <row r="576" spans="1:47" x14ac:dyDescent="0.25">
      <c r="A576" s="31"/>
      <c r="B576" s="31"/>
      <c r="C576"/>
      <c r="D576" s="31"/>
      <c r="E576"/>
      <c r="F576" s="31"/>
      <c r="G576"/>
      <c r="H576" s="27">
        <f>IF($G576&lt;&gt;0,SUMIF(куб!$G:$G,$G576,куб!H:H),IF($E576&lt;&gt;0,SUMIF(куб!$E:$E,$E576,куб!H:H),IF($D576&lt;&gt;0,SUMIF(куб!$D:$D,$D576,куб!H:H),IF($C576&lt;&gt;0,SUMIF(куб!$C:$C,$C576,куб!H:H),IF($B576&lt;&gt;0,SUMIF(куб!$B:$B,$B576,куб!H:H),IF($G576&lt;&gt;0,SUMIF(куб!$A:$A,$G576,куб!H:H),SUMIF(куб!$A:$A,$G576,куб!H:H)))))))</f>
        <v>0</v>
      </c>
      <c r="I576" s="27">
        <f>IF($G576&lt;&gt;0,SUMIF(куб!$G:$G,$G576,куб!I:I),IF($E576&lt;&gt;0,SUMIF(куб!$E:$E,$E576,куб!I:I),IF($D576&lt;&gt;0,SUMIF(куб!$D:$D,$D576,куб!I:I),IF($C576&lt;&gt;0,SUMIF(куб!$C:$C,$C576,куб!I:I),IF($B576&lt;&gt;0,SUMIF(куб!$B:$B,$B576,куб!I:I),IF($G576&lt;&gt;0,SUMIF(куб!$A:$A,$G576,куб!I:I),SUMIF(куб!$A:$A,$G576,куб!I:I)))))))</f>
        <v>0</v>
      </c>
      <c r="J576" s="19" t="str">
        <f t="shared" si="183"/>
        <v>-</v>
      </c>
      <c r="K576" s="8"/>
      <c r="L576" s="17">
        <f t="shared" si="184"/>
        <v>0</v>
      </c>
      <c r="M576" s="17">
        <f t="shared" si="185"/>
        <v>0</v>
      </c>
      <c r="N576" s="12">
        <f t="shared" si="186"/>
        <v>0</v>
      </c>
      <c r="O576" s="5"/>
      <c r="P576" s="27" t="b">
        <f>IF($G576&lt;&gt;0,SUMIF(куб!$G:$G,$G576,куб!J:J),IF($E576&lt;&gt;0,SUMIF(куб!$E:$E,$E576,куб!J:J),IF($D576&lt;&gt;0,SUMIF(куб!$D:$D,$D576,куб!J:J),IF($C576&lt;&gt;0,SUMIF(куб!$C:$C,$C576,куб!J:J),IF($B576&lt;&gt;0,SUMIF(куб!$B:$B,$B576,куб!J:J))))))</f>
        <v>0</v>
      </c>
      <c r="Q576" s="27" t="b">
        <f>IF($G576&lt;&gt;0,SUMIF(куб!$G:$G,$G576,куб!K:K),IF($E576&lt;&gt;0,SUMIF(куб!$E:$E,$E576,куб!K:K),IF($D576&lt;&gt;0,SUMIF(куб!$D:$D,$D576,куб!K:K),IF($C576&lt;&gt;0,SUMIF(куб!$C:$C,$C576,куб!K:K),IF($B576&lt;&gt;0,SUMIF(куб!$B:$B,$B576,куб!K:K))))))</f>
        <v>0</v>
      </c>
      <c r="R576" s="13" t="str">
        <f t="shared" si="187"/>
        <v>-</v>
      </c>
      <c r="S576" s="5"/>
      <c r="T576" s="27" t="b">
        <f>IF($G576&lt;&gt;0,SUMIF(куб!$G:$G,$G576,куб!L:L),IF($E576&lt;&gt;0,SUMIF(куб!$E:$E,$E576,куб!L:L),IF($D576&lt;&gt;0,SUMIF(куб!$D:$D,$D576,куб!L:L),IF($C576&lt;&gt;0,SUMIF(куб!$C:$C,$C576,куб!L:L),IF($B576&lt;&gt;0,SUMIF(куб!$B:$B,$B576,куб!L:L))))))</f>
        <v>0</v>
      </c>
      <c r="U576" s="27" t="b">
        <f>IF($G576&lt;&gt;0,SUMIF(куб!$G:$G,$G576,куб!M:M),IF($E576&lt;&gt;0,SUMIF(куб!$E:$E,$E576,куб!M:M),IF($D576&lt;&gt;0,SUMIF(куб!$D:$D,$D576,куб!M:M),IF($C576&lt;&gt;0,SUMIF(куб!$C:$C,$C576,куб!M:M),IF($B576&lt;&gt;0,SUMIF(куб!$B:$B,$B576,куб!M:M))))))</f>
        <v>0</v>
      </c>
      <c r="V576" s="13" t="str">
        <f t="shared" si="188"/>
        <v>-</v>
      </c>
      <c r="W576" s="5"/>
      <c r="X576" s="27" t="b">
        <f>IF($G576&lt;&gt;0,SUMIF(куб!$G:$G,$G576,куб!N:N),IF($E576&lt;&gt;0,SUMIF(куб!$E:$E,$E576,куб!N:N),IF($D576&lt;&gt;0,SUMIF(куб!$D:$D,$D576,куб!N:N),IF($C576&lt;&gt;0,SUMIF(куб!$C:$C,$C576,куб!N:N),IF($B576&lt;&gt;0,SUMIF(куб!$B:$B,$B576,куб!N:N))))))</f>
        <v>0</v>
      </c>
      <c r="Y576" s="27" t="b">
        <f>IF($G576&lt;&gt;0,SUMIF(куб!$G:$G,$G576,куб!O:O),IF($E576&lt;&gt;0,SUMIF(куб!$E:$E,$E576,куб!O:O),IF($D576&lt;&gt;0,SUMIF(куб!$D:$D,$D576,куб!O:O),IF($C576&lt;&gt;0,SUMIF(куб!$C:$C,$C576,куб!O:O),IF($B576&lt;&gt;0,SUMIF(куб!$B:$B,$B576,куб!O:O))))))</f>
        <v>0</v>
      </c>
      <c r="Z576" s="13" t="str">
        <f t="shared" si="189"/>
        <v>-</v>
      </c>
      <c r="AA576" s="5"/>
      <c r="AB576" s="33" t="str">
        <f t="shared" si="190"/>
        <v/>
      </c>
      <c r="AC576" s="33" t="str">
        <f t="shared" si="191"/>
        <v/>
      </c>
      <c r="AD576" s="15" t="str">
        <f t="shared" si="192"/>
        <v xml:space="preserve"> </v>
      </c>
      <c r="AE576" s="5"/>
      <c r="AF576" s="27" t="b">
        <f>IF($G576&lt;&gt;0,SUMIF(куб!$G:$G,$G576,куб!R:R),IF($E576&lt;&gt;0,SUMIF(куб!$E:$E,$E576,куб!R:R),IF($D576&lt;&gt;0,SUMIF(куб!$D:$D,$D576,куб!R:R),IF($C576&lt;&gt;0,SUMIF(куб!$C:$C,$C576,куб!R:R),IF($B576&lt;&gt;0,SUMIF(куб!$B:$B,$B576,куб!R:R))))))</f>
        <v>0</v>
      </c>
      <c r="AG576" s="27" t="b">
        <f>IF($G576&lt;&gt;0,SUMIF(куб!$G:$G,$G576,куб!S:S),IF($E576&lt;&gt;0,SUMIF(куб!$E:$E,$E576,куб!S:S),IF($D576&lt;&gt;0,SUMIF(куб!$D:$D,$D576,куб!S:S),IF($C576&lt;&gt;0,SUMIF(куб!$C:$C,$C576,куб!S:S),IF($B576&lt;&gt;0,SUMIF(куб!$B:$B,$B576,куб!S:S))))))</f>
        <v>0</v>
      </c>
      <c r="AH576" s="16" t="str">
        <f t="shared" si="193"/>
        <v>-</v>
      </c>
      <c r="AI576" s="8"/>
      <c r="AJ576" s="27" t="b">
        <f>IF($G576&lt;&gt;0,SUMIF(куб!$G:$G,$G576,куб!T:T),IF($E576&lt;&gt;0,SUMIF(куб!$E:$E,$E576,куб!T:T),IF($D576&lt;&gt;0,SUMIF(куб!$D:$D,$D576,куб!T:T),IF($C576&lt;&gt;0,SUMIF(куб!$C:$C,$C576,куб!T:T),IF($B576&lt;&gt;0,SUMIF(куб!$B:$B,$B576,куб!T:T))))))</f>
        <v>0</v>
      </c>
      <c r="AK576" s="27" t="b">
        <f>IF($G576&lt;&gt;0,SUMIF(куб!$G:$G,$G576,куб!U:U),IF($E576&lt;&gt;0,SUMIF(куб!$E:$E,$E576,куб!U:U),IF($D576&lt;&gt;0,SUMIF(куб!$D:$D,$D576,куб!U:U),IF($C576&lt;&gt;0,SUMIF(куб!$C:$C,$C576,куб!U:U),IF($B576&lt;&gt;0,SUMIF(куб!$B:$B,$B576,куб!U:U))))))</f>
        <v>0</v>
      </c>
      <c r="AL576" s="16" t="str">
        <f t="shared" si="194"/>
        <v>-</v>
      </c>
      <c r="AM576" s="8"/>
      <c r="AN576" s="17" t="str">
        <f t="shared" si="195"/>
        <v xml:space="preserve"> </v>
      </c>
      <c r="AO576" s="17" t="str">
        <f t="shared" si="196"/>
        <v xml:space="preserve"> </v>
      </c>
      <c r="AP576" s="16" t="str">
        <f t="shared" si="197"/>
        <v>-</v>
      </c>
      <c r="AQ576" s="8"/>
      <c r="AR576" s="17" t="str">
        <f t="shared" si="198"/>
        <v>-</v>
      </c>
      <c r="AS576" s="17" t="str">
        <f t="shared" si="199"/>
        <v>-</v>
      </c>
      <c r="AT576" s="13" t="str">
        <f t="shared" si="200"/>
        <v>-</v>
      </c>
      <c r="AU576" s="8"/>
    </row>
    <row r="577" spans="1:47" x14ac:dyDescent="0.25">
      <c r="A577" s="31"/>
      <c r="B577" s="31"/>
      <c r="C577"/>
      <c r="D577" s="31"/>
      <c r="E577"/>
      <c r="F577" s="31"/>
      <c r="G577"/>
      <c r="H577" s="27">
        <f>IF($G577&lt;&gt;0,SUMIF(куб!$G:$G,$G577,куб!H:H),IF($E577&lt;&gt;0,SUMIF(куб!$E:$E,$E577,куб!H:H),IF($D577&lt;&gt;0,SUMIF(куб!$D:$D,$D577,куб!H:H),IF($C577&lt;&gt;0,SUMIF(куб!$C:$C,$C577,куб!H:H),IF($B577&lt;&gt;0,SUMIF(куб!$B:$B,$B577,куб!H:H),IF($G577&lt;&gt;0,SUMIF(куб!$A:$A,$G577,куб!H:H),SUMIF(куб!$A:$A,$G577,куб!H:H)))))))</f>
        <v>0</v>
      </c>
      <c r="I577" s="27">
        <f>IF($G577&lt;&gt;0,SUMIF(куб!$G:$G,$G577,куб!I:I),IF($E577&lt;&gt;0,SUMIF(куб!$E:$E,$E577,куб!I:I),IF($D577&lt;&gt;0,SUMIF(куб!$D:$D,$D577,куб!I:I),IF($C577&lt;&gt;0,SUMIF(куб!$C:$C,$C577,куб!I:I),IF($B577&lt;&gt;0,SUMIF(куб!$B:$B,$B577,куб!I:I),IF($G577&lt;&gt;0,SUMIF(куб!$A:$A,$G577,куб!I:I),SUMIF(куб!$A:$A,$G577,куб!I:I)))))))</f>
        <v>0</v>
      </c>
      <c r="J577" s="19" t="str">
        <f t="shared" si="183"/>
        <v>-</v>
      </c>
      <c r="K577" s="8"/>
      <c r="L577" s="17">
        <f t="shared" si="184"/>
        <v>0</v>
      </c>
      <c r="M577" s="17">
        <f t="shared" si="185"/>
        <v>0</v>
      </c>
      <c r="N577" s="12">
        <f t="shared" si="186"/>
        <v>0</v>
      </c>
      <c r="O577" s="5"/>
      <c r="P577" s="27" t="b">
        <f>IF($G577&lt;&gt;0,SUMIF(куб!$G:$G,$G577,куб!J:J),IF($E577&lt;&gt;0,SUMIF(куб!$E:$E,$E577,куб!J:J),IF($D577&lt;&gt;0,SUMIF(куб!$D:$D,$D577,куб!J:J),IF($C577&lt;&gt;0,SUMIF(куб!$C:$C,$C577,куб!J:J),IF($B577&lt;&gt;0,SUMIF(куб!$B:$B,$B577,куб!J:J))))))</f>
        <v>0</v>
      </c>
      <c r="Q577" s="27" t="b">
        <f>IF($G577&lt;&gt;0,SUMIF(куб!$G:$G,$G577,куб!K:K),IF($E577&lt;&gt;0,SUMIF(куб!$E:$E,$E577,куб!K:K),IF($D577&lt;&gt;0,SUMIF(куб!$D:$D,$D577,куб!K:K),IF($C577&lt;&gt;0,SUMIF(куб!$C:$C,$C577,куб!K:K),IF($B577&lt;&gt;0,SUMIF(куб!$B:$B,$B577,куб!K:K))))))</f>
        <v>0</v>
      </c>
      <c r="R577" s="13" t="str">
        <f t="shared" si="187"/>
        <v>-</v>
      </c>
      <c r="S577" s="5"/>
      <c r="T577" s="27" t="b">
        <f>IF($G577&lt;&gt;0,SUMIF(куб!$G:$G,$G577,куб!L:L),IF($E577&lt;&gt;0,SUMIF(куб!$E:$E,$E577,куб!L:L),IF($D577&lt;&gt;0,SUMIF(куб!$D:$D,$D577,куб!L:L),IF($C577&lt;&gt;0,SUMIF(куб!$C:$C,$C577,куб!L:L),IF($B577&lt;&gt;0,SUMIF(куб!$B:$B,$B577,куб!L:L))))))</f>
        <v>0</v>
      </c>
      <c r="U577" s="27" t="b">
        <f>IF($G577&lt;&gt;0,SUMIF(куб!$G:$G,$G577,куб!M:M),IF($E577&lt;&gt;0,SUMIF(куб!$E:$E,$E577,куб!M:M),IF($D577&lt;&gt;0,SUMIF(куб!$D:$D,$D577,куб!M:M),IF($C577&lt;&gt;0,SUMIF(куб!$C:$C,$C577,куб!M:M),IF($B577&lt;&gt;0,SUMIF(куб!$B:$B,$B577,куб!M:M))))))</f>
        <v>0</v>
      </c>
      <c r="V577" s="13" t="str">
        <f t="shared" si="188"/>
        <v>-</v>
      </c>
      <c r="W577" s="5"/>
      <c r="X577" s="27" t="b">
        <f>IF($G577&lt;&gt;0,SUMIF(куб!$G:$G,$G577,куб!N:N),IF($E577&lt;&gt;0,SUMIF(куб!$E:$E,$E577,куб!N:N),IF($D577&lt;&gt;0,SUMIF(куб!$D:$D,$D577,куб!N:N),IF($C577&lt;&gt;0,SUMIF(куб!$C:$C,$C577,куб!N:N),IF($B577&lt;&gt;0,SUMIF(куб!$B:$B,$B577,куб!N:N))))))</f>
        <v>0</v>
      </c>
      <c r="Y577" s="27" t="b">
        <f>IF($G577&lt;&gt;0,SUMIF(куб!$G:$G,$G577,куб!O:O),IF($E577&lt;&gt;0,SUMIF(куб!$E:$E,$E577,куб!O:O),IF($D577&lt;&gt;0,SUMIF(куб!$D:$D,$D577,куб!O:O),IF($C577&lt;&gt;0,SUMIF(куб!$C:$C,$C577,куб!O:O),IF($B577&lt;&gt;0,SUMIF(куб!$B:$B,$B577,куб!O:O))))))</f>
        <v>0</v>
      </c>
      <c r="Z577" s="13" t="str">
        <f t="shared" si="189"/>
        <v>-</v>
      </c>
      <c r="AA577" s="5"/>
      <c r="AB577" s="33" t="str">
        <f t="shared" si="190"/>
        <v/>
      </c>
      <c r="AC577" s="33" t="str">
        <f t="shared" si="191"/>
        <v/>
      </c>
      <c r="AD577" s="15" t="str">
        <f t="shared" si="192"/>
        <v xml:space="preserve"> </v>
      </c>
      <c r="AE577" s="5"/>
      <c r="AF577" s="27" t="b">
        <f>IF($G577&lt;&gt;0,SUMIF(куб!$G:$G,$G577,куб!R:R),IF($E577&lt;&gt;0,SUMIF(куб!$E:$E,$E577,куб!R:R),IF($D577&lt;&gt;0,SUMIF(куб!$D:$D,$D577,куб!R:R),IF($C577&lt;&gt;0,SUMIF(куб!$C:$C,$C577,куб!R:R),IF($B577&lt;&gt;0,SUMIF(куб!$B:$B,$B577,куб!R:R))))))</f>
        <v>0</v>
      </c>
      <c r="AG577" s="27" t="b">
        <f>IF($G577&lt;&gt;0,SUMIF(куб!$G:$G,$G577,куб!S:S),IF($E577&lt;&gt;0,SUMIF(куб!$E:$E,$E577,куб!S:S),IF($D577&lt;&gt;0,SUMIF(куб!$D:$D,$D577,куб!S:S),IF($C577&lt;&gt;0,SUMIF(куб!$C:$C,$C577,куб!S:S),IF($B577&lt;&gt;0,SUMIF(куб!$B:$B,$B577,куб!S:S))))))</f>
        <v>0</v>
      </c>
      <c r="AH577" s="16" t="str">
        <f t="shared" si="193"/>
        <v>-</v>
      </c>
      <c r="AI577" s="8"/>
      <c r="AJ577" s="27" t="b">
        <f>IF($G577&lt;&gt;0,SUMIF(куб!$G:$G,$G577,куб!T:T),IF($E577&lt;&gt;0,SUMIF(куб!$E:$E,$E577,куб!T:T),IF($D577&lt;&gt;0,SUMIF(куб!$D:$D,$D577,куб!T:T),IF($C577&lt;&gt;0,SUMIF(куб!$C:$C,$C577,куб!T:T),IF($B577&lt;&gt;0,SUMIF(куб!$B:$B,$B577,куб!T:T))))))</f>
        <v>0</v>
      </c>
      <c r="AK577" s="27" t="b">
        <f>IF($G577&lt;&gt;0,SUMIF(куб!$G:$G,$G577,куб!U:U),IF($E577&lt;&gt;0,SUMIF(куб!$E:$E,$E577,куб!U:U),IF($D577&lt;&gt;0,SUMIF(куб!$D:$D,$D577,куб!U:U),IF($C577&lt;&gt;0,SUMIF(куб!$C:$C,$C577,куб!U:U),IF($B577&lt;&gt;0,SUMIF(куб!$B:$B,$B577,куб!U:U))))))</f>
        <v>0</v>
      </c>
      <c r="AL577" s="16" t="str">
        <f t="shared" si="194"/>
        <v>-</v>
      </c>
      <c r="AM577" s="8"/>
      <c r="AN577" s="17" t="str">
        <f t="shared" si="195"/>
        <v xml:space="preserve"> </v>
      </c>
      <c r="AO577" s="17" t="str">
        <f t="shared" si="196"/>
        <v xml:space="preserve"> </v>
      </c>
      <c r="AP577" s="16" t="str">
        <f t="shared" si="197"/>
        <v>-</v>
      </c>
      <c r="AQ577" s="8"/>
      <c r="AR577" s="17" t="str">
        <f t="shared" si="198"/>
        <v>-</v>
      </c>
      <c r="AS577" s="17" t="str">
        <f t="shared" si="199"/>
        <v>-</v>
      </c>
      <c r="AT577" s="13" t="str">
        <f t="shared" si="200"/>
        <v>-</v>
      </c>
      <c r="AU577" s="8"/>
    </row>
    <row r="578" spans="1:47" x14ac:dyDescent="0.25">
      <c r="A578" s="31"/>
      <c r="B578" s="31"/>
      <c r="C578"/>
      <c r="D578" s="31"/>
      <c r="E578"/>
      <c r="F578" s="31"/>
      <c r="G578"/>
      <c r="H578" s="27">
        <f>IF($G578&lt;&gt;0,SUMIF(куб!$G:$G,$G578,куб!H:H),IF($E578&lt;&gt;0,SUMIF(куб!$E:$E,$E578,куб!H:H),IF($D578&lt;&gt;0,SUMIF(куб!$D:$D,$D578,куб!H:H),IF($C578&lt;&gt;0,SUMIF(куб!$C:$C,$C578,куб!H:H),IF($B578&lt;&gt;0,SUMIF(куб!$B:$B,$B578,куб!H:H),IF($G578&lt;&gt;0,SUMIF(куб!$A:$A,$G578,куб!H:H),SUMIF(куб!$A:$A,$G578,куб!H:H)))))))</f>
        <v>0</v>
      </c>
      <c r="I578" s="27">
        <f>IF($G578&lt;&gt;0,SUMIF(куб!$G:$G,$G578,куб!I:I),IF($E578&lt;&gt;0,SUMIF(куб!$E:$E,$E578,куб!I:I),IF($D578&lt;&gt;0,SUMIF(куб!$D:$D,$D578,куб!I:I),IF($C578&lt;&gt;0,SUMIF(куб!$C:$C,$C578,куб!I:I),IF($B578&lt;&gt;0,SUMIF(куб!$B:$B,$B578,куб!I:I),IF($G578&lt;&gt;0,SUMIF(куб!$A:$A,$G578,куб!I:I),SUMIF(куб!$A:$A,$G578,куб!I:I)))))))</f>
        <v>0</v>
      </c>
      <c r="J578" s="19" t="str">
        <f t="shared" si="183"/>
        <v>-</v>
      </c>
      <c r="K578" s="8"/>
      <c r="L578" s="17">
        <f t="shared" si="184"/>
        <v>0</v>
      </c>
      <c r="M578" s="17">
        <f t="shared" si="185"/>
        <v>0</v>
      </c>
      <c r="N578" s="12">
        <f t="shared" si="186"/>
        <v>0</v>
      </c>
      <c r="O578" s="5"/>
      <c r="P578" s="27" t="b">
        <f>IF($G578&lt;&gt;0,SUMIF(куб!$G:$G,$G578,куб!J:J),IF($E578&lt;&gt;0,SUMIF(куб!$E:$E,$E578,куб!J:J),IF($D578&lt;&gt;0,SUMIF(куб!$D:$D,$D578,куб!J:J),IF($C578&lt;&gt;0,SUMIF(куб!$C:$C,$C578,куб!J:J),IF($B578&lt;&gt;0,SUMIF(куб!$B:$B,$B578,куб!J:J))))))</f>
        <v>0</v>
      </c>
      <c r="Q578" s="27" t="b">
        <f>IF($G578&lt;&gt;0,SUMIF(куб!$G:$G,$G578,куб!K:K),IF($E578&lt;&gt;0,SUMIF(куб!$E:$E,$E578,куб!K:K),IF($D578&lt;&gt;0,SUMIF(куб!$D:$D,$D578,куб!K:K),IF($C578&lt;&gt;0,SUMIF(куб!$C:$C,$C578,куб!K:K),IF($B578&lt;&gt;0,SUMIF(куб!$B:$B,$B578,куб!K:K))))))</f>
        <v>0</v>
      </c>
      <c r="R578" s="13" t="str">
        <f t="shared" si="187"/>
        <v>-</v>
      </c>
      <c r="S578" s="5"/>
      <c r="T578" s="27" t="b">
        <f>IF($G578&lt;&gt;0,SUMIF(куб!$G:$G,$G578,куб!L:L),IF($E578&lt;&gt;0,SUMIF(куб!$E:$E,$E578,куб!L:L),IF($D578&lt;&gt;0,SUMIF(куб!$D:$D,$D578,куб!L:L),IF($C578&lt;&gt;0,SUMIF(куб!$C:$C,$C578,куб!L:L),IF($B578&lt;&gt;0,SUMIF(куб!$B:$B,$B578,куб!L:L))))))</f>
        <v>0</v>
      </c>
      <c r="U578" s="27" t="b">
        <f>IF($G578&lt;&gt;0,SUMIF(куб!$G:$G,$G578,куб!M:M),IF($E578&lt;&gt;0,SUMIF(куб!$E:$E,$E578,куб!M:M),IF($D578&lt;&gt;0,SUMIF(куб!$D:$D,$D578,куб!M:M),IF($C578&lt;&gt;0,SUMIF(куб!$C:$C,$C578,куб!M:M),IF($B578&lt;&gt;0,SUMIF(куб!$B:$B,$B578,куб!M:M))))))</f>
        <v>0</v>
      </c>
      <c r="V578" s="13" t="str">
        <f t="shared" si="188"/>
        <v>-</v>
      </c>
      <c r="W578" s="5"/>
      <c r="X578" s="27" t="b">
        <f>IF($G578&lt;&gt;0,SUMIF(куб!$G:$G,$G578,куб!N:N),IF($E578&lt;&gt;0,SUMIF(куб!$E:$E,$E578,куб!N:N),IF($D578&lt;&gt;0,SUMIF(куб!$D:$D,$D578,куб!N:N),IF($C578&lt;&gt;0,SUMIF(куб!$C:$C,$C578,куб!N:N),IF($B578&lt;&gt;0,SUMIF(куб!$B:$B,$B578,куб!N:N))))))</f>
        <v>0</v>
      </c>
      <c r="Y578" s="27" t="b">
        <f>IF($G578&lt;&gt;0,SUMIF(куб!$G:$G,$G578,куб!O:O),IF($E578&lt;&gt;0,SUMIF(куб!$E:$E,$E578,куб!O:O),IF($D578&lt;&gt;0,SUMIF(куб!$D:$D,$D578,куб!O:O),IF($C578&lt;&gt;0,SUMIF(куб!$C:$C,$C578,куб!O:O),IF($B578&lt;&gt;0,SUMIF(куб!$B:$B,$B578,куб!O:O))))))</f>
        <v>0</v>
      </c>
      <c r="Z578" s="13" t="str">
        <f t="shared" si="189"/>
        <v>-</v>
      </c>
      <c r="AA578" s="5"/>
      <c r="AB578" s="33" t="str">
        <f t="shared" si="190"/>
        <v/>
      </c>
      <c r="AC578" s="33" t="str">
        <f t="shared" si="191"/>
        <v/>
      </c>
      <c r="AD578" s="15" t="str">
        <f t="shared" si="192"/>
        <v xml:space="preserve"> </v>
      </c>
      <c r="AE578" s="5"/>
      <c r="AF578" s="27" t="b">
        <f>IF($G578&lt;&gt;0,SUMIF(куб!$G:$G,$G578,куб!R:R),IF($E578&lt;&gt;0,SUMIF(куб!$E:$E,$E578,куб!R:R),IF($D578&lt;&gt;0,SUMIF(куб!$D:$D,$D578,куб!R:R),IF($C578&lt;&gt;0,SUMIF(куб!$C:$C,$C578,куб!R:R),IF($B578&lt;&gt;0,SUMIF(куб!$B:$B,$B578,куб!R:R))))))</f>
        <v>0</v>
      </c>
      <c r="AG578" s="27" t="b">
        <f>IF($G578&lt;&gt;0,SUMIF(куб!$G:$G,$G578,куб!S:S),IF($E578&lt;&gt;0,SUMIF(куб!$E:$E,$E578,куб!S:S),IF($D578&lt;&gt;0,SUMIF(куб!$D:$D,$D578,куб!S:S),IF($C578&lt;&gt;0,SUMIF(куб!$C:$C,$C578,куб!S:S),IF($B578&lt;&gt;0,SUMIF(куб!$B:$B,$B578,куб!S:S))))))</f>
        <v>0</v>
      </c>
      <c r="AH578" s="16" t="str">
        <f t="shared" si="193"/>
        <v>-</v>
      </c>
      <c r="AI578" s="8"/>
      <c r="AJ578" s="27" t="b">
        <f>IF($G578&lt;&gt;0,SUMIF(куб!$G:$G,$G578,куб!T:T),IF($E578&lt;&gt;0,SUMIF(куб!$E:$E,$E578,куб!T:T),IF($D578&lt;&gt;0,SUMIF(куб!$D:$D,$D578,куб!T:T),IF($C578&lt;&gt;0,SUMIF(куб!$C:$C,$C578,куб!T:T),IF($B578&lt;&gt;0,SUMIF(куб!$B:$B,$B578,куб!T:T))))))</f>
        <v>0</v>
      </c>
      <c r="AK578" s="27" t="b">
        <f>IF($G578&lt;&gt;0,SUMIF(куб!$G:$G,$G578,куб!U:U),IF($E578&lt;&gt;0,SUMIF(куб!$E:$E,$E578,куб!U:U),IF($D578&lt;&gt;0,SUMIF(куб!$D:$D,$D578,куб!U:U),IF($C578&lt;&gt;0,SUMIF(куб!$C:$C,$C578,куб!U:U),IF($B578&lt;&gt;0,SUMIF(куб!$B:$B,$B578,куб!U:U))))))</f>
        <v>0</v>
      </c>
      <c r="AL578" s="16" t="str">
        <f t="shared" si="194"/>
        <v>-</v>
      </c>
      <c r="AM578" s="8"/>
      <c r="AN578" s="17" t="str">
        <f t="shared" si="195"/>
        <v xml:space="preserve"> </v>
      </c>
      <c r="AO578" s="17" t="str">
        <f t="shared" si="196"/>
        <v xml:space="preserve"> </v>
      </c>
      <c r="AP578" s="16" t="str">
        <f t="shared" si="197"/>
        <v>-</v>
      </c>
      <c r="AQ578" s="8"/>
      <c r="AR578" s="17" t="str">
        <f t="shared" si="198"/>
        <v>-</v>
      </c>
      <c r="AS578" s="17" t="str">
        <f t="shared" si="199"/>
        <v>-</v>
      </c>
      <c r="AT578" s="13" t="str">
        <f t="shared" si="200"/>
        <v>-</v>
      </c>
      <c r="AU578" s="8"/>
    </row>
    <row r="579" spans="1:47" x14ac:dyDescent="0.25">
      <c r="A579" s="31"/>
      <c r="B579" s="31"/>
      <c r="C579"/>
      <c r="D579" s="31"/>
      <c r="E579"/>
      <c r="F579" s="31"/>
      <c r="G579"/>
      <c r="H579" s="27">
        <f>IF($G579&lt;&gt;0,SUMIF(куб!$G:$G,$G579,куб!H:H),IF($E579&lt;&gt;0,SUMIF(куб!$E:$E,$E579,куб!H:H),IF($D579&lt;&gt;0,SUMIF(куб!$D:$D,$D579,куб!H:H),IF($C579&lt;&gt;0,SUMIF(куб!$C:$C,$C579,куб!H:H),IF($B579&lt;&gt;0,SUMIF(куб!$B:$B,$B579,куб!H:H),IF($G579&lt;&gt;0,SUMIF(куб!$A:$A,$G579,куб!H:H),SUMIF(куб!$A:$A,$G579,куб!H:H)))))))</f>
        <v>0</v>
      </c>
      <c r="I579" s="27">
        <f>IF($G579&lt;&gt;0,SUMIF(куб!$G:$G,$G579,куб!I:I),IF($E579&lt;&gt;0,SUMIF(куб!$E:$E,$E579,куб!I:I),IF($D579&lt;&gt;0,SUMIF(куб!$D:$D,$D579,куб!I:I),IF($C579&lt;&gt;0,SUMIF(куб!$C:$C,$C579,куб!I:I),IF($B579&lt;&gt;0,SUMIF(куб!$B:$B,$B579,куб!I:I),IF($G579&lt;&gt;0,SUMIF(куб!$A:$A,$G579,куб!I:I),SUMIF(куб!$A:$A,$G579,куб!I:I)))))))</f>
        <v>0</v>
      </c>
      <c r="J579" s="19" t="str">
        <f t="shared" si="183"/>
        <v>-</v>
      </c>
      <c r="K579" s="8"/>
      <c r="L579" s="17">
        <f t="shared" si="184"/>
        <v>0</v>
      </c>
      <c r="M579" s="17">
        <f t="shared" si="185"/>
        <v>0</v>
      </c>
      <c r="N579" s="12">
        <f t="shared" si="186"/>
        <v>0</v>
      </c>
      <c r="O579" s="5"/>
      <c r="P579" s="27" t="b">
        <f>IF($G579&lt;&gt;0,SUMIF(куб!$G:$G,$G579,куб!J:J),IF($E579&lt;&gt;0,SUMIF(куб!$E:$E,$E579,куб!J:J),IF($D579&lt;&gt;0,SUMIF(куб!$D:$D,$D579,куб!J:J),IF($C579&lt;&gt;0,SUMIF(куб!$C:$C,$C579,куб!J:J),IF($B579&lt;&gt;0,SUMIF(куб!$B:$B,$B579,куб!J:J))))))</f>
        <v>0</v>
      </c>
      <c r="Q579" s="27" t="b">
        <f>IF($G579&lt;&gt;0,SUMIF(куб!$G:$G,$G579,куб!K:K),IF($E579&lt;&gt;0,SUMIF(куб!$E:$E,$E579,куб!K:K),IF($D579&lt;&gt;0,SUMIF(куб!$D:$D,$D579,куб!K:K),IF($C579&lt;&gt;0,SUMIF(куб!$C:$C,$C579,куб!K:K),IF($B579&lt;&gt;0,SUMIF(куб!$B:$B,$B579,куб!K:K))))))</f>
        <v>0</v>
      </c>
      <c r="R579" s="13" t="str">
        <f t="shared" si="187"/>
        <v>-</v>
      </c>
      <c r="S579" s="5"/>
      <c r="T579" s="27" t="b">
        <f>IF($G579&lt;&gt;0,SUMIF(куб!$G:$G,$G579,куб!L:L),IF($E579&lt;&gt;0,SUMIF(куб!$E:$E,$E579,куб!L:L),IF($D579&lt;&gt;0,SUMIF(куб!$D:$D,$D579,куб!L:L),IF($C579&lt;&gt;0,SUMIF(куб!$C:$C,$C579,куб!L:L),IF($B579&lt;&gt;0,SUMIF(куб!$B:$B,$B579,куб!L:L))))))</f>
        <v>0</v>
      </c>
      <c r="U579" s="27" t="b">
        <f>IF($G579&lt;&gt;0,SUMIF(куб!$G:$G,$G579,куб!M:M),IF($E579&lt;&gt;0,SUMIF(куб!$E:$E,$E579,куб!M:M),IF($D579&lt;&gt;0,SUMIF(куб!$D:$D,$D579,куб!M:M),IF($C579&lt;&gt;0,SUMIF(куб!$C:$C,$C579,куб!M:M),IF($B579&lt;&gt;0,SUMIF(куб!$B:$B,$B579,куб!M:M))))))</f>
        <v>0</v>
      </c>
      <c r="V579" s="13" t="str">
        <f t="shared" si="188"/>
        <v>-</v>
      </c>
      <c r="W579" s="5"/>
      <c r="X579" s="27" t="b">
        <f>IF($G579&lt;&gt;0,SUMIF(куб!$G:$G,$G579,куб!N:N),IF($E579&lt;&gt;0,SUMIF(куб!$E:$E,$E579,куб!N:N),IF($D579&lt;&gt;0,SUMIF(куб!$D:$D,$D579,куб!N:N),IF($C579&lt;&gt;0,SUMIF(куб!$C:$C,$C579,куб!N:N),IF($B579&lt;&gt;0,SUMIF(куб!$B:$B,$B579,куб!N:N))))))</f>
        <v>0</v>
      </c>
      <c r="Y579" s="27" t="b">
        <f>IF($G579&lt;&gt;0,SUMIF(куб!$G:$G,$G579,куб!O:O),IF($E579&lt;&gt;0,SUMIF(куб!$E:$E,$E579,куб!O:O),IF($D579&lt;&gt;0,SUMIF(куб!$D:$D,$D579,куб!O:O),IF($C579&lt;&gt;0,SUMIF(куб!$C:$C,$C579,куб!O:O),IF($B579&lt;&gt;0,SUMIF(куб!$B:$B,$B579,куб!O:O))))))</f>
        <v>0</v>
      </c>
      <c r="Z579" s="13" t="str">
        <f t="shared" si="189"/>
        <v>-</v>
      </c>
      <c r="AA579" s="5"/>
      <c r="AB579" s="33" t="str">
        <f t="shared" si="190"/>
        <v/>
      </c>
      <c r="AC579" s="33" t="str">
        <f t="shared" si="191"/>
        <v/>
      </c>
      <c r="AD579" s="15" t="str">
        <f t="shared" si="192"/>
        <v xml:space="preserve"> </v>
      </c>
      <c r="AE579" s="5"/>
      <c r="AF579" s="27" t="b">
        <f>IF($G579&lt;&gt;0,SUMIF(куб!$G:$G,$G579,куб!R:R),IF($E579&lt;&gt;0,SUMIF(куб!$E:$E,$E579,куб!R:R),IF($D579&lt;&gt;0,SUMIF(куб!$D:$D,$D579,куб!R:R),IF($C579&lt;&gt;0,SUMIF(куб!$C:$C,$C579,куб!R:R),IF($B579&lt;&gt;0,SUMIF(куб!$B:$B,$B579,куб!R:R))))))</f>
        <v>0</v>
      </c>
      <c r="AG579" s="27" t="b">
        <f>IF($G579&lt;&gt;0,SUMIF(куб!$G:$G,$G579,куб!S:S),IF($E579&lt;&gt;0,SUMIF(куб!$E:$E,$E579,куб!S:S),IF($D579&lt;&gt;0,SUMIF(куб!$D:$D,$D579,куб!S:S),IF($C579&lt;&gt;0,SUMIF(куб!$C:$C,$C579,куб!S:S),IF($B579&lt;&gt;0,SUMIF(куб!$B:$B,$B579,куб!S:S))))))</f>
        <v>0</v>
      </c>
      <c r="AH579" s="16" t="str">
        <f t="shared" si="193"/>
        <v>-</v>
      </c>
      <c r="AI579" s="8"/>
      <c r="AJ579" s="27" t="b">
        <f>IF($G579&lt;&gt;0,SUMIF(куб!$G:$G,$G579,куб!T:T),IF($E579&lt;&gt;0,SUMIF(куб!$E:$E,$E579,куб!T:T),IF($D579&lt;&gt;0,SUMIF(куб!$D:$D,$D579,куб!T:T),IF($C579&lt;&gt;0,SUMIF(куб!$C:$C,$C579,куб!T:T),IF($B579&lt;&gt;0,SUMIF(куб!$B:$B,$B579,куб!T:T))))))</f>
        <v>0</v>
      </c>
      <c r="AK579" s="27" t="b">
        <f>IF($G579&lt;&gt;0,SUMIF(куб!$G:$G,$G579,куб!U:U),IF($E579&lt;&gt;0,SUMIF(куб!$E:$E,$E579,куб!U:U),IF($D579&lt;&gt;0,SUMIF(куб!$D:$D,$D579,куб!U:U),IF($C579&lt;&gt;0,SUMIF(куб!$C:$C,$C579,куб!U:U),IF($B579&lt;&gt;0,SUMIF(куб!$B:$B,$B579,куб!U:U))))))</f>
        <v>0</v>
      </c>
      <c r="AL579" s="16" t="str">
        <f t="shared" si="194"/>
        <v>-</v>
      </c>
      <c r="AM579" s="8"/>
      <c r="AN579" s="17" t="str">
        <f t="shared" si="195"/>
        <v xml:space="preserve"> </v>
      </c>
      <c r="AO579" s="17" t="str">
        <f t="shared" si="196"/>
        <v xml:space="preserve"> </v>
      </c>
      <c r="AP579" s="16" t="str">
        <f t="shared" si="197"/>
        <v>-</v>
      </c>
      <c r="AQ579" s="8"/>
      <c r="AR579" s="17" t="str">
        <f t="shared" si="198"/>
        <v>-</v>
      </c>
      <c r="AS579" s="17" t="str">
        <f t="shared" si="199"/>
        <v>-</v>
      </c>
      <c r="AT579" s="13" t="str">
        <f t="shared" si="200"/>
        <v>-</v>
      </c>
      <c r="AU579" s="8"/>
    </row>
    <row r="580" spans="1:47" x14ac:dyDescent="0.25">
      <c r="A580" s="31"/>
      <c r="B580" s="31"/>
      <c r="C580"/>
      <c r="D580" s="31"/>
      <c r="E580"/>
      <c r="F580" s="31"/>
      <c r="G580"/>
      <c r="H580" s="27">
        <f>IF($G580&lt;&gt;0,SUMIF(куб!$G:$G,$G580,куб!H:H),IF($E580&lt;&gt;0,SUMIF(куб!$E:$E,$E580,куб!H:H),IF($D580&lt;&gt;0,SUMIF(куб!$D:$D,$D580,куб!H:H),IF($C580&lt;&gt;0,SUMIF(куб!$C:$C,$C580,куб!H:H),IF($B580&lt;&gt;0,SUMIF(куб!$B:$B,$B580,куб!H:H),IF($G580&lt;&gt;0,SUMIF(куб!$A:$A,$G580,куб!H:H),SUMIF(куб!$A:$A,$G580,куб!H:H)))))))</f>
        <v>0</v>
      </c>
      <c r="I580" s="27">
        <f>IF($G580&lt;&gt;0,SUMIF(куб!$G:$G,$G580,куб!I:I),IF($E580&lt;&gt;0,SUMIF(куб!$E:$E,$E580,куб!I:I),IF($D580&lt;&gt;0,SUMIF(куб!$D:$D,$D580,куб!I:I),IF($C580&lt;&gt;0,SUMIF(куб!$C:$C,$C580,куб!I:I),IF($B580&lt;&gt;0,SUMIF(куб!$B:$B,$B580,куб!I:I),IF($G580&lt;&gt;0,SUMIF(куб!$A:$A,$G580,куб!I:I),SUMIF(куб!$A:$A,$G580,куб!I:I)))))))</f>
        <v>0</v>
      </c>
      <c r="J580" s="19" t="str">
        <f t="shared" si="183"/>
        <v>-</v>
      </c>
      <c r="K580" s="8"/>
      <c r="L580" s="17">
        <f t="shared" si="184"/>
        <v>0</v>
      </c>
      <c r="M580" s="17">
        <f t="shared" si="185"/>
        <v>0</v>
      </c>
      <c r="N580" s="12">
        <f t="shared" si="186"/>
        <v>0</v>
      </c>
      <c r="O580" s="5"/>
      <c r="P580" s="27" t="b">
        <f>IF($G580&lt;&gt;0,SUMIF(куб!$G:$G,$G580,куб!J:J),IF($E580&lt;&gt;0,SUMIF(куб!$E:$E,$E580,куб!J:J),IF($D580&lt;&gt;0,SUMIF(куб!$D:$D,$D580,куб!J:J),IF($C580&lt;&gt;0,SUMIF(куб!$C:$C,$C580,куб!J:J),IF($B580&lt;&gt;0,SUMIF(куб!$B:$B,$B580,куб!J:J))))))</f>
        <v>0</v>
      </c>
      <c r="Q580" s="27" t="b">
        <f>IF($G580&lt;&gt;0,SUMIF(куб!$G:$G,$G580,куб!K:K),IF($E580&lt;&gt;0,SUMIF(куб!$E:$E,$E580,куб!K:K),IF($D580&lt;&gt;0,SUMIF(куб!$D:$D,$D580,куб!K:K),IF($C580&lt;&gt;0,SUMIF(куб!$C:$C,$C580,куб!K:K),IF($B580&lt;&gt;0,SUMIF(куб!$B:$B,$B580,куб!K:K))))))</f>
        <v>0</v>
      </c>
      <c r="R580" s="13" t="str">
        <f t="shared" si="187"/>
        <v>-</v>
      </c>
      <c r="S580" s="5"/>
      <c r="T580" s="27" t="b">
        <f>IF($G580&lt;&gt;0,SUMIF(куб!$G:$G,$G580,куб!L:L),IF($E580&lt;&gt;0,SUMIF(куб!$E:$E,$E580,куб!L:L),IF($D580&lt;&gt;0,SUMIF(куб!$D:$D,$D580,куб!L:L),IF($C580&lt;&gt;0,SUMIF(куб!$C:$C,$C580,куб!L:L),IF($B580&lt;&gt;0,SUMIF(куб!$B:$B,$B580,куб!L:L))))))</f>
        <v>0</v>
      </c>
      <c r="U580" s="27" t="b">
        <f>IF($G580&lt;&gt;0,SUMIF(куб!$G:$G,$G580,куб!M:M),IF($E580&lt;&gt;0,SUMIF(куб!$E:$E,$E580,куб!M:M),IF($D580&lt;&gt;0,SUMIF(куб!$D:$D,$D580,куб!M:M),IF($C580&lt;&gt;0,SUMIF(куб!$C:$C,$C580,куб!M:M),IF($B580&lt;&gt;0,SUMIF(куб!$B:$B,$B580,куб!M:M))))))</f>
        <v>0</v>
      </c>
      <c r="V580" s="13" t="str">
        <f t="shared" si="188"/>
        <v>-</v>
      </c>
      <c r="W580" s="5"/>
      <c r="X580" s="27" t="b">
        <f>IF($G580&lt;&gt;0,SUMIF(куб!$G:$G,$G580,куб!N:N),IF($E580&lt;&gt;0,SUMIF(куб!$E:$E,$E580,куб!N:N),IF($D580&lt;&gt;0,SUMIF(куб!$D:$D,$D580,куб!N:N),IF($C580&lt;&gt;0,SUMIF(куб!$C:$C,$C580,куб!N:N),IF($B580&lt;&gt;0,SUMIF(куб!$B:$B,$B580,куб!N:N))))))</f>
        <v>0</v>
      </c>
      <c r="Y580" s="27" t="b">
        <f>IF($G580&lt;&gt;0,SUMIF(куб!$G:$G,$G580,куб!O:O),IF($E580&lt;&gt;0,SUMIF(куб!$E:$E,$E580,куб!O:O),IF($D580&lt;&gt;0,SUMIF(куб!$D:$D,$D580,куб!O:O),IF($C580&lt;&gt;0,SUMIF(куб!$C:$C,$C580,куб!O:O),IF($B580&lt;&gt;0,SUMIF(куб!$B:$B,$B580,куб!O:O))))))</f>
        <v>0</v>
      </c>
      <c r="Z580" s="13" t="str">
        <f t="shared" si="189"/>
        <v>-</v>
      </c>
      <c r="AA580" s="5"/>
      <c r="AB580" s="33" t="str">
        <f t="shared" si="190"/>
        <v/>
      </c>
      <c r="AC580" s="33" t="str">
        <f t="shared" si="191"/>
        <v/>
      </c>
      <c r="AD580" s="15" t="str">
        <f t="shared" si="192"/>
        <v xml:space="preserve"> </v>
      </c>
      <c r="AE580" s="5"/>
      <c r="AF580" s="27" t="b">
        <f>IF($G580&lt;&gt;0,SUMIF(куб!$G:$G,$G580,куб!R:R),IF($E580&lt;&gt;0,SUMIF(куб!$E:$E,$E580,куб!R:R),IF($D580&lt;&gt;0,SUMIF(куб!$D:$D,$D580,куб!R:R),IF($C580&lt;&gt;0,SUMIF(куб!$C:$C,$C580,куб!R:R),IF($B580&lt;&gt;0,SUMIF(куб!$B:$B,$B580,куб!R:R))))))</f>
        <v>0</v>
      </c>
      <c r="AG580" s="27" t="b">
        <f>IF($G580&lt;&gt;0,SUMIF(куб!$G:$G,$G580,куб!S:S),IF($E580&lt;&gt;0,SUMIF(куб!$E:$E,$E580,куб!S:S),IF($D580&lt;&gt;0,SUMIF(куб!$D:$D,$D580,куб!S:S),IF($C580&lt;&gt;0,SUMIF(куб!$C:$C,$C580,куб!S:S),IF($B580&lt;&gt;0,SUMIF(куб!$B:$B,$B580,куб!S:S))))))</f>
        <v>0</v>
      </c>
      <c r="AH580" s="16" t="str">
        <f t="shared" si="193"/>
        <v>-</v>
      </c>
      <c r="AI580" s="8"/>
      <c r="AJ580" s="27" t="b">
        <f>IF($G580&lt;&gt;0,SUMIF(куб!$G:$G,$G580,куб!T:T),IF($E580&lt;&gt;0,SUMIF(куб!$E:$E,$E580,куб!T:T),IF($D580&lt;&gt;0,SUMIF(куб!$D:$D,$D580,куб!T:T),IF($C580&lt;&gt;0,SUMIF(куб!$C:$C,$C580,куб!T:T),IF($B580&lt;&gt;0,SUMIF(куб!$B:$B,$B580,куб!T:T))))))</f>
        <v>0</v>
      </c>
      <c r="AK580" s="27" t="b">
        <f>IF($G580&lt;&gt;0,SUMIF(куб!$G:$G,$G580,куб!U:U),IF($E580&lt;&gt;0,SUMIF(куб!$E:$E,$E580,куб!U:U),IF($D580&lt;&gt;0,SUMIF(куб!$D:$D,$D580,куб!U:U),IF($C580&lt;&gt;0,SUMIF(куб!$C:$C,$C580,куб!U:U),IF($B580&lt;&gt;0,SUMIF(куб!$B:$B,$B580,куб!U:U))))))</f>
        <v>0</v>
      </c>
      <c r="AL580" s="16" t="str">
        <f t="shared" si="194"/>
        <v>-</v>
      </c>
      <c r="AM580" s="8"/>
      <c r="AN580" s="17" t="str">
        <f t="shared" si="195"/>
        <v xml:space="preserve"> </v>
      </c>
      <c r="AO580" s="17" t="str">
        <f t="shared" si="196"/>
        <v xml:space="preserve"> </v>
      </c>
      <c r="AP580" s="16" t="str">
        <f t="shared" si="197"/>
        <v>-</v>
      </c>
      <c r="AQ580" s="8"/>
      <c r="AR580" s="17" t="str">
        <f t="shared" si="198"/>
        <v>-</v>
      </c>
      <c r="AS580" s="17" t="str">
        <f t="shared" si="199"/>
        <v>-</v>
      </c>
      <c r="AT580" s="13" t="str">
        <f t="shared" si="200"/>
        <v>-</v>
      </c>
      <c r="AU580" s="8"/>
    </row>
    <row r="581" spans="1:47" x14ac:dyDescent="0.25">
      <c r="A581" s="31"/>
      <c r="B581" s="31"/>
      <c r="C581"/>
      <c r="D581" s="31"/>
      <c r="E581"/>
      <c r="F581" s="31"/>
      <c r="G581"/>
      <c r="H581" s="27">
        <f>IF($G581&lt;&gt;0,SUMIF(куб!$G:$G,$G581,куб!H:H),IF($E581&lt;&gt;0,SUMIF(куб!$E:$E,$E581,куб!H:H),IF($D581&lt;&gt;0,SUMIF(куб!$D:$D,$D581,куб!H:H),IF($C581&lt;&gt;0,SUMIF(куб!$C:$C,$C581,куб!H:H),IF($B581&lt;&gt;0,SUMIF(куб!$B:$B,$B581,куб!H:H),IF($G581&lt;&gt;0,SUMIF(куб!$A:$A,$G581,куб!H:H),SUMIF(куб!$A:$A,$G581,куб!H:H)))))))</f>
        <v>0</v>
      </c>
      <c r="I581" s="27">
        <f>IF($G581&lt;&gt;0,SUMIF(куб!$G:$G,$G581,куб!I:I),IF($E581&lt;&gt;0,SUMIF(куб!$E:$E,$E581,куб!I:I),IF($D581&lt;&gt;0,SUMIF(куб!$D:$D,$D581,куб!I:I),IF($C581&lt;&gt;0,SUMIF(куб!$C:$C,$C581,куб!I:I),IF($B581&lt;&gt;0,SUMIF(куб!$B:$B,$B581,куб!I:I),IF($G581&lt;&gt;0,SUMIF(куб!$A:$A,$G581,куб!I:I),SUMIF(куб!$A:$A,$G581,куб!I:I)))))))</f>
        <v>0</v>
      </c>
      <c r="J581" s="19" t="str">
        <f t="shared" si="183"/>
        <v>-</v>
      </c>
      <c r="K581" s="8"/>
      <c r="L581" s="17">
        <f t="shared" si="184"/>
        <v>0</v>
      </c>
      <c r="M581" s="17">
        <f t="shared" si="185"/>
        <v>0</v>
      </c>
      <c r="N581" s="12">
        <f t="shared" si="186"/>
        <v>0</v>
      </c>
      <c r="O581" s="5"/>
      <c r="P581" s="27" t="b">
        <f>IF($G581&lt;&gt;0,SUMIF(куб!$G:$G,$G581,куб!J:J),IF($E581&lt;&gt;0,SUMIF(куб!$E:$E,$E581,куб!J:J),IF($D581&lt;&gt;0,SUMIF(куб!$D:$D,$D581,куб!J:J),IF($C581&lt;&gt;0,SUMIF(куб!$C:$C,$C581,куб!J:J),IF($B581&lt;&gt;0,SUMIF(куб!$B:$B,$B581,куб!J:J))))))</f>
        <v>0</v>
      </c>
      <c r="Q581" s="27" t="b">
        <f>IF($G581&lt;&gt;0,SUMIF(куб!$G:$G,$G581,куб!K:K),IF($E581&lt;&gt;0,SUMIF(куб!$E:$E,$E581,куб!K:K),IF($D581&lt;&gt;0,SUMIF(куб!$D:$D,$D581,куб!K:K),IF($C581&lt;&gt;0,SUMIF(куб!$C:$C,$C581,куб!K:K),IF($B581&lt;&gt;0,SUMIF(куб!$B:$B,$B581,куб!K:K))))))</f>
        <v>0</v>
      </c>
      <c r="R581" s="13" t="str">
        <f t="shared" si="187"/>
        <v>-</v>
      </c>
      <c r="S581" s="5"/>
      <c r="T581" s="27" t="b">
        <f>IF($G581&lt;&gt;0,SUMIF(куб!$G:$G,$G581,куб!L:L),IF($E581&lt;&gt;0,SUMIF(куб!$E:$E,$E581,куб!L:L),IF($D581&lt;&gt;0,SUMIF(куб!$D:$D,$D581,куб!L:L),IF($C581&lt;&gt;0,SUMIF(куб!$C:$C,$C581,куб!L:L),IF($B581&lt;&gt;0,SUMIF(куб!$B:$B,$B581,куб!L:L))))))</f>
        <v>0</v>
      </c>
      <c r="U581" s="27" t="b">
        <f>IF($G581&lt;&gt;0,SUMIF(куб!$G:$G,$G581,куб!M:M),IF($E581&lt;&gt;0,SUMIF(куб!$E:$E,$E581,куб!M:M),IF($D581&lt;&gt;0,SUMIF(куб!$D:$D,$D581,куб!M:M),IF($C581&lt;&gt;0,SUMIF(куб!$C:$C,$C581,куб!M:M),IF($B581&lt;&gt;0,SUMIF(куб!$B:$B,$B581,куб!M:M))))))</f>
        <v>0</v>
      </c>
      <c r="V581" s="13" t="str">
        <f t="shared" si="188"/>
        <v>-</v>
      </c>
      <c r="W581" s="5"/>
      <c r="X581" s="27" t="b">
        <f>IF($G581&lt;&gt;0,SUMIF(куб!$G:$G,$G581,куб!N:N),IF($E581&lt;&gt;0,SUMIF(куб!$E:$E,$E581,куб!N:N),IF($D581&lt;&gt;0,SUMIF(куб!$D:$D,$D581,куб!N:N),IF($C581&lt;&gt;0,SUMIF(куб!$C:$C,$C581,куб!N:N),IF($B581&lt;&gt;0,SUMIF(куб!$B:$B,$B581,куб!N:N))))))</f>
        <v>0</v>
      </c>
      <c r="Y581" s="27" t="b">
        <f>IF($G581&lt;&gt;0,SUMIF(куб!$G:$G,$G581,куб!O:O),IF($E581&lt;&gt;0,SUMIF(куб!$E:$E,$E581,куб!O:O),IF($D581&lt;&gt;0,SUMIF(куб!$D:$D,$D581,куб!O:O),IF($C581&lt;&gt;0,SUMIF(куб!$C:$C,$C581,куб!O:O),IF($B581&lt;&gt;0,SUMIF(куб!$B:$B,$B581,куб!O:O))))))</f>
        <v>0</v>
      </c>
      <c r="Z581" s="13" t="str">
        <f t="shared" si="189"/>
        <v>-</v>
      </c>
      <c r="AA581" s="5"/>
      <c r="AB581" s="33" t="str">
        <f t="shared" si="190"/>
        <v/>
      </c>
      <c r="AC581" s="33" t="str">
        <f t="shared" si="191"/>
        <v/>
      </c>
      <c r="AD581" s="15" t="str">
        <f t="shared" si="192"/>
        <v xml:space="preserve"> </v>
      </c>
      <c r="AE581" s="5"/>
      <c r="AF581" s="27" t="b">
        <f>IF($G581&lt;&gt;0,SUMIF(куб!$G:$G,$G581,куб!R:R),IF($E581&lt;&gt;0,SUMIF(куб!$E:$E,$E581,куб!R:R),IF($D581&lt;&gt;0,SUMIF(куб!$D:$D,$D581,куб!R:R),IF($C581&lt;&gt;0,SUMIF(куб!$C:$C,$C581,куб!R:R),IF($B581&lt;&gt;0,SUMIF(куб!$B:$B,$B581,куб!R:R))))))</f>
        <v>0</v>
      </c>
      <c r="AG581" s="27" t="b">
        <f>IF($G581&lt;&gt;0,SUMIF(куб!$G:$G,$G581,куб!S:S),IF($E581&lt;&gt;0,SUMIF(куб!$E:$E,$E581,куб!S:S),IF($D581&lt;&gt;0,SUMIF(куб!$D:$D,$D581,куб!S:S),IF($C581&lt;&gt;0,SUMIF(куб!$C:$C,$C581,куб!S:S),IF($B581&lt;&gt;0,SUMIF(куб!$B:$B,$B581,куб!S:S))))))</f>
        <v>0</v>
      </c>
      <c r="AH581" s="16" t="str">
        <f t="shared" si="193"/>
        <v>-</v>
      </c>
      <c r="AI581" s="8"/>
      <c r="AJ581" s="27" t="b">
        <f>IF($G581&lt;&gt;0,SUMIF(куб!$G:$G,$G581,куб!T:T),IF($E581&lt;&gt;0,SUMIF(куб!$E:$E,$E581,куб!T:T),IF($D581&lt;&gt;0,SUMIF(куб!$D:$D,$D581,куб!T:T),IF($C581&lt;&gt;0,SUMIF(куб!$C:$C,$C581,куб!T:T),IF($B581&lt;&gt;0,SUMIF(куб!$B:$B,$B581,куб!T:T))))))</f>
        <v>0</v>
      </c>
      <c r="AK581" s="27" t="b">
        <f>IF($G581&lt;&gt;0,SUMIF(куб!$G:$G,$G581,куб!U:U),IF($E581&lt;&gt;0,SUMIF(куб!$E:$E,$E581,куб!U:U),IF($D581&lt;&gt;0,SUMIF(куб!$D:$D,$D581,куб!U:U),IF($C581&lt;&gt;0,SUMIF(куб!$C:$C,$C581,куб!U:U),IF($B581&lt;&gt;0,SUMIF(куб!$B:$B,$B581,куб!U:U))))))</f>
        <v>0</v>
      </c>
      <c r="AL581" s="16" t="str">
        <f t="shared" si="194"/>
        <v>-</v>
      </c>
      <c r="AM581" s="8"/>
      <c r="AN581" s="17" t="str">
        <f t="shared" si="195"/>
        <v xml:space="preserve"> </v>
      </c>
      <c r="AO581" s="17" t="str">
        <f t="shared" si="196"/>
        <v xml:space="preserve"> </v>
      </c>
      <c r="AP581" s="16" t="str">
        <f t="shared" si="197"/>
        <v>-</v>
      </c>
      <c r="AQ581" s="8"/>
      <c r="AR581" s="17" t="str">
        <f t="shared" si="198"/>
        <v>-</v>
      </c>
      <c r="AS581" s="17" t="str">
        <f t="shared" si="199"/>
        <v>-</v>
      </c>
      <c r="AT581" s="13" t="str">
        <f t="shared" si="200"/>
        <v>-</v>
      </c>
      <c r="AU581" s="8"/>
    </row>
    <row r="582" spans="1:47" x14ac:dyDescent="0.25">
      <c r="A582" s="31"/>
      <c r="B582" s="31"/>
      <c r="C582"/>
      <c r="D582" s="31"/>
      <c r="E582"/>
      <c r="F582" s="31"/>
      <c r="G582"/>
      <c r="H582" s="27">
        <f>IF($G582&lt;&gt;0,SUMIF(куб!$G:$G,$G582,куб!H:H),IF($E582&lt;&gt;0,SUMIF(куб!$E:$E,$E582,куб!H:H),IF($D582&lt;&gt;0,SUMIF(куб!$D:$D,$D582,куб!H:H),IF($C582&lt;&gt;0,SUMIF(куб!$C:$C,$C582,куб!H:H),IF($B582&lt;&gt;0,SUMIF(куб!$B:$B,$B582,куб!H:H),IF($G582&lt;&gt;0,SUMIF(куб!$A:$A,$G582,куб!H:H),SUMIF(куб!$A:$A,$G582,куб!H:H)))))))</f>
        <v>0</v>
      </c>
      <c r="I582" s="27">
        <f>IF($G582&lt;&gt;0,SUMIF(куб!$G:$G,$G582,куб!I:I),IF($E582&lt;&gt;0,SUMIF(куб!$E:$E,$E582,куб!I:I),IF($D582&lt;&gt;0,SUMIF(куб!$D:$D,$D582,куб!I:I),IF($C582&lt;&gt;0,SUMIF(куб!$C:$C,$C582,куб!I:I),IF($B582&lt;&gt;0,SUMIF(куб!$B:$B,$B582,куб!I:I),IF($G582&lt;&gt;0,SUMIF(куб!$A:$A,$G582,куб!I:I),SUMIF(куб!$A:$A,$G582,куб!I:I)))))))</f>
        <v>0</v>
      </c>
      <c r="J582" s="19" t="str">
        <f t="shared" si="183"/>
        <v>-</v>
      </c>
      <c r="K582" s="8"/>
      <c r="L582" s="17">
        <f t="shared" si="184"/>
        <v>0</v>
      </c>
      <c r="M582" s="17">
        <f t="shared" si="185"/>
        <v>0</v>
      </c>
      <c r="N582" s="12">
        <f t="shared" si="186"/>
        <v>0</v>
      </c>
      <c r="O582" s="5"/>
      <c r="P582" s="27" t="b">
        <f>IF($G582&lt;&gt;0,SUMIF(куб!$G:$G,$G582,куб!J:J),IF($E582&lt;&gt;0,SUMIF(куб!$E:$E,$E582,куб!J:J),IF($D582&lt;&gt;0,SUMIF(куб!$D:$D,$D582,куб!J:J),IF($C582&lt;&gt;0,SUMIF(куб!$C:$C,$C582,куб!J:J),IF($B582&lt;&gt;0,SUMIF(куб!$B:$B,$B582,куб!J:J))))))</f>
        <v>0</v>
      </c>
      <c r="Q582" s="27" t="b">
        <f>IF($G582&lt;&gt;0,SUMIF(куб!$G:$G,$G582,куб!K:K),IF($E582&lt;&gt;0,SUMIF(куб!$E:$E,$E582,куб!K:K),IF($D582&lt;&gt;0,SUMIF(куб!$D:$D,$D582,куб!K:K),IF($C582&lt;&gt;0,SUMIF(куб!$C:$C,$C582,куб!K:K),IF($B582&lt;&gt;0,SUMIF(куб!$B:$B,$B582,куб!K:K))))))</f>
        <v>0</v>
      </c>
      <c r="R582" s="13" t="str">
        <f t="shared" si="187"/>
        <v>-</v>
      </c>
      <c r="S582" s="5"/>
      <c r="T582" s="27" t="b">
        <f>IF($G582&lt;&gt;0,SUMIF(куб!$G:$G,$G582,куб!L:L),IF($E582&lt;&gt;0,SUMIF(куб!$E:$E,$E582,куб!L:L),IF($D582&lt;&gt;0,SUMIF(куб!$D:$D,$D582,куб!L:L),IF($C582&lt;&gt;0,SUMIF(куб!$C:$C,$C582,куб!L:L),IF($B582&lt;&gt;0,SUMIF(куб!$B:$B,$B582,куб!L:L))))))</f>
        <v>0</v>
      </c>
      <c r="U582" s="27" t="b">
        <f>IF($G582&lt;&gt;0,SUMIF(куб!$G:$G,$G582,куб!M:M),IF($E582&lt;&gt;0,SUMIF(куб!$E:$E,$E582,куб!M:M),IF($D582&lt;&gt;0,SUMIF(куб!$D:$D,$D582,куб!M:M),IF($C582&lt;&gt;0,SUMIF(куб!$C:$C,$C582,куб!M:M),IF($B582&lt;&gt;0,SUMIF(куб!$B:$B,$B582,куб!M:M))))))</f>
        <v>0</v>
      </c>
      <c r="V582" s="13" t="str">
        <f t="shared" si="188"/>
        <v>-</v>
      </c>
      <c r="W582" s="5"/>
      <c r="X582" s="27" t="b">
        <f>IF($G582&lt;&gt;0,SUMIF(куб!$G:$G,$G582,куб!N:N),IF($E582&lt;&gt;0,SUMIF(куб!$E:$E,$E582,куб!N:N),IF($D582&lt;&gt;0,SUMIF(куб!$D:$D,$D582,куб!N:N),IF($C582&lt;&gt;0,SUMIF(куб!$C:$C,$C582,куб!N:N),IF($B582&lt;&gt;0,SUMIF(куб!$B:$B,$B582,куб!N:N))))))</f>
        <v>0</v>
      </c>
      <c r="Y582" s="27" t="b">
        <f>IF($G582&lt;&gt;0,SUMIF(куб!$G:$G,$G582,куб!O:O),IF($E582&lt;&gt;0,SUMIF(куб!$E:$E,$E582,куб!O:O),IF($D582&lt;&gt;0,SUMIF(куб!$D:$D,$D582,куб!O:O),IF($C582&lt;&gt;0,SUMIF(куб!$C:$C,$C582,куб!O:O),IF($B582&lt;&gt;0,SUMIF(куб!$B:$B,$B582,куб!O:O))))))</f>
        <v>0</v>
      </c>
      <c r="Z582" s="13" t="str">
        <f t="shared" si="189"/>
        <v>-</v>
      </c>
      <c r="AA582" s="5"/>
      <c r="AB582" s="33" t="str">
        <f t="shared" si="190"/>
        <v/>
      </c>
      <c r="AC582" s="33" t="str">
        <f t="shared" si="191"/>
        <v/>
      </c>
      <c r="AD582" s="15" t="str">
        <f t="shared" si="192"/>
        <v xml:space="preserve"> </v>
      </c>
      <c r="AE582" s="5"/>
      <c r="AF582" s="27" t="b">
        <f>IF($G582&lt;&gt;0,SUMIF(куб!$G:$G,$G582,куб!R:R),IF($E582&lt;&gt;0,SUMIF(куб!$E:$E,$E582,куб!R:R),IF($D582&lt;&gt;0,SUMIF(куб!$D:$D,$D582,куб!R:R),IF($C582&lt;&gt;0,SUMIF(куб!$C:$C,$C582,куб!R:R),IF($B582&lt;&gt;0,SUMIF(куб!$B:$B,$B582,куб!R:R))))))</f>
        <v>0</v>
      </c>
      <c r="AG582" s="27" t="b">
        <f>IF($G582&lt;&gt;0,SUMIF(куб!$G:$G,$G582,куб!S:S),IF($E582&lt;&gt;0,SUMIF(куб!$E:$E,$E582,куб!S:S),IF($D582&lt;&gt;0,SUMIF(куб!$D:$D,$D582,куб!S:S),IF($C582&lt;&gt;0,SUMIF(куб!$C:$C,$C582,куб!S:S),IF($B582&lt;&gt;0,SUMIF(куб!$B:$B,$B582,куб!S:S))))))</f>
        <v>0</v>
      </c>
      <c r="AH582" s="16" t="str">
        <f t="shared" si="193"/>
        <v>-</v>
      </c>
      <c r="AI582" s="8"/>
      <c r="AJ582" s="27" t="b">
        <f>IF($G582&lt;&gt;0,SUMIF(куб!$G:$G,$G582,куб!T:T),IF($E582&lt;&gt;0,SUMIF(куб!$E:$E,$E582,куб!T:T),IF($D582&lt;&gt;0,SUMIF(куб!$D:$D,$D582,куб!T:T),IF($C582&lt;&gt;0,SUMIF(куб!$C:$C,$C582,куб!T:T),IF($B582&lt;&gt;0,SUMIF(куб!$B:$B,$B582,куб!T:T))))))</f>
        <v>0</v>
      </c>
      <c r="AK582" s="27" t="b">
        <f>IF($G582&lt;&gt;0,SUMIF(куб!$G:$G,$G582,куб!U:U),IF($E582&lt;&gt;0,SUMIF(куб!$E:$E,$E582,куб!U:U),IF($D582&lt;&gt;0,SUMIF(куб!$D:$D,$D582,куб!U:U),IF($C582&lt;&gt;0,SUMIF(куб!$C:$C,$C582,куб!U:U),IF($B582&lt;&gt;0,SUMIF(куб!$B:$B,$B582,куб!U:U))))))</f>
        <v>0</v>
      </c>
      <c r="AL582" s="16" t="str">
        <f t="shared" si="194"/>
        <v>-</v>
      </c>
      <c r="AM582" s="8"/>
      <c r="AN582" s="17" t="str">
        <f t="shared" si="195"/>
        <v xml:space="preserve"> </v>
      </c>
      <c r="AO582" s="17" t="str">
        <f t="shared" si="196"/>
        <v xml:space="preserve"> </v>
      </c>
      <c r="AP582" s="16" t="str">
        <f t="shared" si="197"/>
        <v>-</v>
      </c>
      <c r="AQ582" s="8"/>
      <c r="AR582" s="17" t="str">
        <f t="shared" si="198"/>
        <v>-</v>
      </c>
      <c r="AS582" s="17" t="str">
        <f t="shared" si="199"/>
        <v>-</v>
      </c>
      <c r="AT582" s="13" t="str">
        <f t="shared" si="200"/>
        <v>-</v>
      </c>
      <c r="AU582" s="8"/>
    </row>
    <row r="583" spans="1:47" x14ac:dyDescent="0.25">
      <c r="A583" s="31"/>
      <c r="B583" s="31"/>
      <c r="C583"/>
      <c r="D583" s="31"/>
      <c r="E583"/>
      <c r="F583" s="31"/>
      <c r="G583"/>
      <c r="H583" s="27">
        <f>IF($G583&lt;&gt;0,SUMIF(куб!$G:$G,$G583,куб!H:H),IF($E583&lt;&gt;0,SUMIF(куб!$E:$E,$E583,куб!H:H),IF($D583&lt;&gt;0,SUMIF(куб!$D:$D,$D583,куб!H:H),IF($C583&lt;&gt;0,SUMIF(куб!$C:$C,$C583,куб!H:H),IF($B583&lt;&gt;0,SUMIF(куб!$B:$B,$B583,куб!H:H),IF($G583&lt;&gt;0,SUMIF(куб!$A:$A,$G583,куб!H:H),SUMIF(куб!$A:$A,$G583,куб!H:H)))))))</f>
        <v>0</v>
      </c>
      <c r="I583" s="27">
        <f>IF($G583&lt;&gt;0,SUMIF(куб!$G:$G,$G583,куб!I:I),IF($E583&lt;&gt;0,SUMIF(куб!$E:$E,$E583,куб!I:I),IF($D583&lt;&gt;0,SUMIF(куб!$D:$D,$D583,куб!I:I),IF($C583&lt;&gt;0,SUMIF(куб!$C:$C,$C583,куб!I:I),IF($B583&lt;&gt;0,SUMIF(куб!$B:$B,$B583,куб!I:I),IF($G583&lt;&gt;0,SUMIF(куб!$A:$A,$G583,куб!I:I),SUMIF(куб!$A:$A,$G583,куб!I:I)))))))</f>
        <v>0</v>
      </c>
      <c r="J583" s="19" t="str">
        <f t="shared" si="183"/>
        <v>-</v>
      </c>
      <c r="K583" s="8"/>
      <c r="L583" s="17">
        <f t="shared" si="184"/>
        <v>0</v>
      </c>
      <c r="M583" s="17">
        <f t="shared" si="185"/>
        <v>0</v>
      </c>
      <c r="N583" s="12">
        <f t="shared" si="186"/>
        <v>0</v>
      </c>
      <c r="O583" s="5"/>
      <c r="P583" s="27" t="b">
        <f>IF($G583&lt;&gt;0,SUMIF(куб!$G:$G,$G583,куб!J:J),IF($E583&lt;&gt;0,SUMIF(куб!$E:$E,$E583,куб!J:J),IF($D583&lt;&gt;0,SUMIF(куб!$D:$D,$D583,куб!J:J),IF($C583&lt;&gt;0,SUMIF(куб!$C:$C,$C583,куб!J:J),IF($B583&lt;&gt;0,SUMIF(куб!$B:$B,$B583,куб!J:J))))))</f>
        <v>0</v>
      </c>
      <c r="Q583" s="27" t="b">
        <f>IF($G583&lt;&gt;0,SUMIF(куб!$G:$G,$G583,куб!K:K),IF($E583&lt;&gt;0,SUMIF(куб!$E:$E,$E583,куб!K:K),IF($D583&lt;&gt;0,SUMIF(куб!$D:$D,$D583,куб!K:K),IF($C583&lt;&gt;0,SUMIF(куб!$C:$C,$C583,куб!K:K),IF($B583&lt;&gt;0,SUMIF(куб!$B:$B,$B583,куб!K:K))))))</f>
        <v>0</v>
      </c>
      <c r="R583" s="13" t="str">
        <f t="shared" si="187"/>
        <v>-</v>
      </c>
      <c r="S583" s="5"/>
      <c r="T583" s="27" t="b">
        <f>IF($G583&lt;&gt;0,SUMIF(куб!$G:$G,$G583,куб!L:L),IF($E583&lt;&gt;0,SUMIF(куб!$E:$E,$E583,куб!L:L),IF($D583&lt;&gt;0,SUMIF(куб!$D:$D,$D583,куб!L:L),IF($C583&lt;&gt;0,SUMIF(куб!$C:$C,$C583,куб!L:L),IF($B583&lt;&gt;0,SUMIF(куб!$B:$B,$B583,куб!L:L))))))</f>
        <v>0</v>
      </c>
      <c r="U583" s="27" t="b">
        <f>IF($G583&lt;&gt;0,SUMIF(куб!$G:$G,$G583,куб!M:M),IF($E583&lt;&gt;0,SUMIF(куб!$E:$E,$E583,куб!M:M),IF($D583&lt;&gt;0,SUMIF(куб!$D:$D,$D583,куб!M:M),IF($C583&lt;&gt;0,SUMIF(куб!$C:$C,$C583,куб!M:M),IF($B583&lt;&gt;0,SUMIF(куб!$B:$B,$B583,куб!M:M))))))</f>
        <v>0</v>
      </c>
      <c r="V583" s="13" t="str">
        <f t="shared" si="188"/>
        <v>-</v>
      </c>
      <c r="W583" s="5"/>
      <c r="X583" s="27" t="b">
        <f>IF($G583&lt;&gt;0,SUMIF(куб!$G:$G,$G583,куб!N:N),IF($E583&lt;&gt;0,SUMIF(куб!$E:$E,$E583,куб!N:N),IF($D583&lt;&gt;0,SUMIF(куб!$D:$D,$D583,куб!N:N),IF($C583&lt;&gt;0,SUMIF(куб!$C:$C,$C583,куб!N:N),IF($B583&lt;&gt;0,SUMIF(куб!$B:$B,$B583,куб!N:N))))))</f>
        <v>0</v>
      </c>
      <c r="Y583" s="27" t="b">
        <f>IF($G583&lt;&gt;0,SUMIF(куб!$G:$G,$G583,куб!O:O),IF($E583&lt;&gt;0,SUMIF(куб!$E:$E,$E583,куб!O:O),IF($D583&lt;&gt;0,SUMIF(куб!$D:$D,$D583,куб!O:O),IF($C583&lt;&gt;0,SUMIF(куб!$C:$C,$C583,куб!O:O),IF($B583&lt;&gt;0,SUMIF(куб!$B:$B,$B583,куб!O:O))))))</f>
        <v>0</v>
      </c>
      <c r="Z583" s="13" t="str">
        <f t="shared" si="189"/>
        <v>-</v>
      </c>
      <c r="AA583" s="5"/>
      <c r="AB583" s="33" t="str">
        <f t="shared" si="190"/>
        <v/>
      </c>
      <c r="AC583" s="33" t="str">
        <f t="shared" si="191"/>
        <v/>
      </c>
      <c r="AD583" s="15" t="str">
        <f t="shared" si="192"/>
        <v xml:space="preserve"> </v>
      </c>
      <c r="AE583" s="5"/>
      <c r="AF583" s="27" t="b">
        <f>IF($G583&lt;&gt;0,SUMIF(куб!$G:$G,$G583,куб!R:R),IF($E583&lt;&gt;0,SUMIF(куб!$E:$E,$E583,куб!R:R),IF($D583&lt;&gt;0,SUMIF(куб!$D:$D,$D583,куб!R:R),IF($C583&lt;&gt;0,SUMIF(куб!$C:$C,$C583,куб!R:R),IF($B583&lt;&gt;0,SUMIF(куб!$B:$B,$B583,куб!R:R))))))</f>
        <v>0</v>
      </c>
      <c r="AG583" s="27" t="b">
        <f>IF($G583&lt;&gt;0,SUMIF(куб!$G:$G,$G583,куб!S:S),IF($E583&lt;&gt;0,SUMIF(куб!$E:$E,$E583,куб!S:S),IF($D583&lt;&gt;0,SUMIF(куб!$D:$D,$D583,куб!S:S),IF($C583&lt;&gt;0,SUMIF(куб!$C:$C,$C583,куб!S:S),IF($B583&lt;&gt;0,SUMIF(куб!$B:$B,$B583,куб!S:S))))))</f>
        <v>0</v>
      </c>
      <c r="AH583" s="16" t="str">
        <f t="shared" si="193"/>
        <v>-</v>
      </c>
      <c r="AI583" s="8"/>
      <c r="AJ583" s="27" t="b">
        <f>IF($G583&lt;&gt;0,SUMIF(куб!$G:$G,$G583,куб!T:T),IF($E583&lt;&gt;0,SUMIF(куб!$E:$E,$E583,куб!T:T),IF($D583&lt;&gt;0,SUMIF(куб!$D:$D,$D583,куб!T:T),IF($C583&lt;&gt;0,SUMIF(куб!$C:$C,$C583,куб!T:T),IF($B583&lt;&gt;0,SUMIF(куб!$B:$B,$B583,куб!T:T))))))</f>
        <v>0</v>
      </c>
      <c r="AK583" s="27" t="b">
        <f>IF($G583&lt;&gt;0,SUMIF(куб!$G:$G,$G583,куб!U:U),IF($E583&lt;&gt;0,SUMIF(куб!$E:$E,$E583,куб!U:U),IF($D583&lt;&gt;0,SUMIF(куб!$D:$D,$D583,куб!U:U),IF($C583&lt;&gt;0,SUMIF(куб!$C:$C,$C583,куб!U:U),IF($B583&lt;&gt;0,SUMIF(куб!$B:$B,$B583,куб!U:U))))))</f>
        <v>0</v>
      </c>
      <c r="AL583" s="16" t="str">
        <f t="shared" si="194"/>
        <v>-</v>
      </c>
      <c r="AM583" s="8"/>
      <c r="AN583" s="17" t="str">
        <f t="shared" si="195"/>
        <v xml:space="preserve"> </v>
      </c>
      <c r="AO583" s="17" t="str">
        <f t="shared" si="196"/>
        <v xml:space="preserve"> </v>
      </c>
      <c r="AP583" s="16" t="str">
        <f t="shared" si="197"/>
        <v>-</v>
      </c>
      <c r="AQ583" s="8"/>
      <c r="AR583" s="17" t="str">
        <f t="shared" si="198"/>
        <v>-</v>
      </c>
      <c r="AS583" s="17" t="str">
        <f t="shared" si="199"/>
        <v>-</v>
      </c>
      <c r="AT583" s="13" t="str">
        <f t="shared" si="200"/>
        <v>-</v>
      </c>
      <c r="AU583" s="8"/>
    </row>
    <row r="584" spans="1:47" x14ac:dyDescent="0.25">
      <c r="A584" s="31"/>
      <c r="B584" s="31"/>
      <c r="C584"/>
      <c r="D584" s="31"/>
      <c r="E584"/>
      <c r="F584" s="31"/>
      <c r="G584"/>
      <c r="H584" s="27">
        <f>IF($G584&lt;&gt;0,SUMIF(куб!$G:$G,$G584,куб!H:H),IF($E584&lt;&gt;0,SUMIF(куб!$E:$E,$E584,куб!H:H),IF($D584&lt;&gt;0,SUMIF(куб!$D:$D,$D584,куб!H:H),IF($C584&lt;&gt;0,SUMIF(куб!$C:$C,$C584,куб!H:H),IF($B584&lt;&gt;0,SUMIF(куб!$B:$B,$B584,куб!H:H),IF($G584&lt;&gt;0,SUMIF(куб!$A:$A,$G584,куб!H:H),SUMIF(куб!$A:$A,$G584,куб!H:H)))))))</f>
        <v>0</v>
      </c>
      <c r="I584" s="27">
        <f>IF($G584&lt;&gt;0,SUMIF(куб!$G:$G,$G584,куб!I:I),IF($E584&lt;&gt;0,SUMIF(куб!$E:$E,$E584,куб!I:I),IF($D584&lt;&gt;0,SUMIF(куб!$D:$D,$D584,куб!I:I),IF($C584&lt;&gt;0,SUMIF(куб!$C:$C,$C584,куб!I:I),IF($B584&lt;&gt;0,SUMIF(куб!$B:$B,$B584,куб!I:I),IF($G584&lt;&gt;0,SUMIF(куб!$A:$A,$G584,куб!I:I),SUMIF(куб!$A:$A,$G584,куб!I:I)))))))</f>
        <v>0</v>
      </c>
      <c r="J584" s="19" t="str">
        <f t="shared" si="183"/>
        <v>-</v>
      </c>
      <c r="K584" s="8"/>
      <c r="L584" s="17">
        <f t="shared" si="184"/>
        <v>0</v>
      </c>
      <c r="M584" s="17">
        <f t="shared" si="185"/>
        <v>0</v>
      </c>
      <c r="N584" s="12">
        <f t="shared" si="186"/>
        <v>0</v>
      </c>
      <c r="O584" s="5"/>
      <c r="P584" s="27" t="b">
        <f>IF($G584&lt;&gt;0,SUMIF(куб!$G:$G,$G584,куб!J:J),IF($E584&lt;&gt;0,SUMIF(куб!$E:$E,$E584,куб!J:J),IF($D584&lt;&gt;0,SUMIF(куб!$D:$D,$D584,куб!J:J),IF($C584&lt;&gt;0,SUMIF(куб!$C:$C,$C584,куб!J:J),IF($B584&lt;&gt;0,SUMIF(куб!$B:$B,$B584,куб!J:J))))))</f>
        <v>0</v>
      </c>
      <c r="Q584" s="27" t="b">
        <f>IF($G584&lt;&gt;0,SUMIF(куб!$G:$G,$G584,куб!K:K),IF($E584&lt;&gt;0,SUMIF(куб!$E:$E,$E584,куб!K:K),IF($D584&lt;&gt;0,SUMIF(куб!$D:$D,$D584,куб!K:K),IF($C584&lt;&gt;0,SUMIF(куб!$C:$C,$C584,куб!K:K),IF($B584&lt;&gt;0,SUMIF(куб!$B:$B,$B584,куб!K:K))))))</f>
        <v>0</v>
      </c>
      <c r="R584" s="13" t="str">
        <f t="shared" si="187"/>
        <v>-</v>
      </c>
      <c r="S584" s="5"/>
      <c r="T584" s="27" t="b">
        <f>IF($G584&lt;&gt;0,SUMIF(куб!$G:$G,$G584,куб!L:L),IF($E584&lt;&gt;0,SUMIF(куб!$E:$E,$E584,куб!L:L),IF($D584&lt;&gt;0,SUMIF(куб!$D:$D,$D584,куб!L:L),IF($C584&lt;&gt;0,SUMIF(куб!$C:$C,$C584,куб!L:L),IF($B584&lt;&gt;0,SUMIF(куб!$B:$B,$B584,куб!L:L))))))</f>
        <v>0</v>
      </c>
      <c r="U584" s="27" t="b">
        <f>IF($G584&lt;&gt;0,SUMIF(куб!$G:$G,$G584,куб!M:M),IF($E584&lt;&gt;0,SUMIF(куб!$E:$E,$E584,куб!M:M),IF($D584&lt;&gt;0,SUMIF(куб!$D:$D,$D584,куб!M:M),IF($C584&lt;&gt;0,SUMIF(куб!$C:$C,$C584,куб!M:M),IF($B584&lt;&gt;0,SUMIF(куб!$B:$B,$B584,куб!M:M))))))</f>
        <v>0</v>
      </c>
      <c r="V584" s="13" t="str">
        <f t="shared" si="188"/>
        <v>-</v>
      </c>
      <c r="W584" s="5"/>
      <c r="X584" s="27" t="b">
        <f>IF($G584&lt;&gt;0,SUMIF(куб!$G:$G,$G584,куб!N:N),IF($E584&lt;&gt;0,SUMIF(куб!$E:$E,$E584,куб!N:N),IF($D584&lt;&gt;0,SUMIF(куб!$D:$D,$D584,куб!N:N),IF($C584&lt;&gt;0,SUMIF(куб!$C:$C,$C584,куб!N:N),IF($B584&lt;&gt;0,SUMIF(куб!$B:$B,$B584,куб!N:N))))))</f>
        <v>0</v>
      </c>
      <c r="Y584" s="27" t="b">
        <f>IF($G584&lt;&gt;0,SUMIF(куб!$G:$G,$G584,куб!O:O),IF($E584&lt;&gt;0,SUMIF(куб!$E:$E,$E584,куб!O:O),IF($D584&lt;&gt;0,SUMIF(куб!$D:$D,$D584,куб!O:O),IF($C584&lt;&gt;0,SUMIF(куб!$C:$C,$C584,куб!O:O),IF($B584&lt;&gt;0,SUMIF(куб!$B:$B,$B584,куб!O:O))))))</f>
        <v>0</v>
      </c>
      <c r="Z584" s="13" t="str">
        <f t="shared" si="189"/>
        <v>-</v>
      </c>
      <c r="AA584" s="5"/>
      <c r="AB584" s="33" t="str">
        <f t="shared" si="190"/>
        <v/>
      </c>
      <c r="AC584" s="33" t="str">
        <f t="shared" si="191"/>
        <v/>
      </c>
      <c r="AD584" s="15" t="str">
        <f t="shared" si="192"/>
        <v xml:space="preserve"> </v>
      </c>
      <c r="AE584" s="5"/>
      <c r="AF584" s="27" t="b">
        <f>IF($G584&lt;&gt;0,SUMIF(куб!$G:$G,$G584,куб!R:R),IF($E584&lt;&gt;0,SUMIF(куб!$E:$E,$E584,куб!R:R),IF($D584&lt;&gt;0,SUMIF(куб!$D:$D,$D584,куб!R:R),IF($C584&lt;&gt;0,SUMIF(куб!$C:$C,$C584,куб!R:R),IF($B584&lt;&gt;0,SUMIF(куб!$B:$B,$B584,куб!R:R))))))</f>
        <v>0</v>
      </c>
      <c r="AG584" s="27" t="b">
        <f>IF($G584&lt;&gt;0,SUMIF(куб!$G:$G,$G584,куб!S:S),IF($E584&lt;&gt;0,SUMIF(куб!$E:$E,$E584,куб!S:S),IF($D584&lt;&gt;0,SUMIF(куб!$D:$D,$D584,куб!S:S),IF($C584&lt;&gt;0,SUMIF(куб!$C:$C,$C584,куб!S:S),IF($B584&lt;&gt;0,SUMIF(куб!$B:$B,$B584,куб!S:S))))))</f>
        <v>0</v>
      </c>
      <c r="AH584" s="16" t="str">
        <f t="shared" si="193"/>
        <v>-</v>
      </c>
      <c r="AI584" s="8"/>
      <c r="AJ584" s="27" t="b">
        <f>IF($G584&lt;&gt;0,SUMIF(куб!$G:$G,$G584,куб!T:T),IF($E584&lt;&gt;0,SUMIF(куб!$E:$E,$E584,куб!T:T),IF($D584&lt;&gt;0,SUMIF(куб!$D:$D,$D584,куб!T:T),IF($C584&lt;&gt;0,SUMIF(куб!$C:$C,$C584,куб!T:T),IF($B584&lt;&gt;0,SUMIF(куб!$B:$B,$B584,куб!T:T))))))</f>
        <v>0</v>
      </c>
      <c r="AK584" s="27" t="b">
        <f>IF($G584&lt;&gt;0,SUMIF(куб!$G:$G,$G584,куб!U:U),IF($E584&lt;&gt;0,SUMIF(куб!$E:$E,$E584,куб!U:U),IF($D584&lt;&gt;0,SUMIF(куб!$D:$D,$D584,куб!U:U),IF($C584&lt;&gt;0,SUMIF(куб!$C:$C,$C584,куб!U:U),IF($B584&lt;&gt;0,SUMIF(куб!$B:$B,$B584,куб!U:U))))))</f>
        <v>0</v>
      </c>
      <c r="AL584" s="16" t="str">
        <f t="shared" si="194"/>
        <v>-</v>
      </c>
      <c r="AM584" s="8"/>
      <c r="AN584" s="17" t="str">
        <f t="shared" si="195"/>
        <v xml:space="preserve"> </v>
      </c>
      <c r="AO584" s="17" t="str">
        <f t="shared" si="196"/>
        <v xml:space="preserve"> </v>
      </c>
      <c r="AP584" s="16" t="str">
        <f t="shared" si="197"/>
        <v>-</v>
      </c>
      <c r="AQ584" s="8"/>
      <c r="AR584" s="17" t="str">
        <f t="shared" si="198"/>
        <v>-</v>
      </c>
      <c r="AS584" s="17" t="str">
        <f t="shared" si="199"/>
        <v>-</v>
      </c>
      <c r="AT584" s="13" t="str">
        <f t="shared" si="200"/>
        <v>-</v>
      </c>
      <c r="AU584" s="8"/>
    </row>
    <row r="585" spans="1:47" x14ac:dyDescent="0.25">
      <c r="A585" s="31"/>
      <c r="B585" s="31"/>
      <c r="C585"/>
      <c r="D585" s="31"/>
      <c r="E585"/>
      <c r="F585" s="31"/>
      <c r="G585"/>
      <c r="H585" s="27">
        <f>IF($G585&lt;&gt;0,SUMIF(куб!$G:$G,$G585,куб!H:H),IF($E585&lt;&gt;0,SUMIF(куб!$E:$E,$E585,куб!H:H),IF($D585&lt;&gt;0,SUMIF(куб!$D:$D,$D585,куб!H:H),IF($C585&lt;&gt;0,SUMIF(куб!$C:$C,$C585,куб!H:H),IF($B585&lt;&gt;0,SUMIF(куб!$B:$B,$B585,куб!H:H),IF($G585&lt;&gt;0,SUMIF(куб!$A:$A,$G585,куб!H:H),SUMIF(куб!$A:$A,$G585,куб!H:H)))))))</f>
        <v>0</v>
      </c>
      <c r="I585" s="27">
        <f>IF($G585&lt;&gt;0,SUMIF(куб!$G:$G,$G585,куб!I:I),IF($E585&lt;&gt;0,SUMIF(куб!$E:$E,$E585,куб!I:I),IF($D585&lt;&gt;0,SUMIF(куб!$D:$D,$D585,куб!I:I),IF($C585&lt;&gt;0,SUMIF(куб!$C:$C,$C585,куб!I:I),IF($B585&lt;&gt;0,SUMIF(куб!$B:$B,$B585,куб!I:I),IF($G585&lt;&gt;0,SUMIF(куб!$A:$A,$G585,куб!I:I),SUMIF(куб!$A:$A,$G585,куб!I:I)))))))</f>
        <v>0</v>
      </c>
      <c r="J585" s="19" t="str">
        <f t="shared" si="183"/>
        <v>-</v>
      </c>
      <c r="K585" s="8"/>
      <c r="L585" s="17">
        <f t="shared" si="184"/>
        <v>0</v>
      </c>
      <c r="M585" s="17">
        <f t="shared" si="185"/>
        <v>0</v>
      </c>
      <c r="N585" s="12">
        <f t="shared" si="186"/>
        <v>0</v>
      </c>
      <c r="O585" s="5"/>
      <c r="P585" s="27" t="b">
        <f>IF($G585&lt;&gt;0,SUMIF(куб!$G:$G,$G585,куб!J:J),IF($E585&lt;&gt;0,SUMIF(куб!$E:$E,$E585,куб!J:J),IF($D585&lt;&gt;0,SUMIF(куб!$D:$D,$D585,куб!J:J),IF($C585&lt;&gt;0,SUMIF(куб!$C:$C,$C585,куб!J:J),IF($B585&lt;&gt;0,SUMIF(куб!$B:$B,$B585,куб!J:J))))))</f>
        <v>0</v>
      </c>
      <c r="Q585" s="27" t="b">
        <f>IF($G585&lt;&gt;0,SUMIF(куб!$G:$G,$G585,куб!K:K),IF($E585&lt;&gt;0,SUMIF(куб!$E:$E,$E585,куб!K:K),IF($D585&lt;&gt;0,SUMIF(куб!$D:$D,$D585,куб!K:K),IF($C585&lt;&gt;0,SUMIF(куб!$C:$C,$C585,куб!K:K),IF($B585&lt;&gt;0,SUMIF(куб!$B:$B,$B585,куб!K:K))))))</f>
        <v>0</v>
      </c>
      <c r="R585" s="13" t="str">
        <f t="shared" si="187"/>
        <v>-</v>
      </c>
      <c r="S585" s="5"/>
      <c r="T585" s="27" t="b">
        <f>IF($G585&lt;&gt;0,SUMIF(куб!$G:$G,$G585,куб!L:L),IF($E585&lt;&gt;0,SUMIF(куб!$E:$E,$E585,куб!L:L),IF($D585&lt;&gt;0,SUMIF(куб!$D:$D,$D585,куб!L:L),IF($C585&lt;&gt;0,SUMIF(куб!$C:$C,$C585,куб!L:L),IF($B585&lt;&gt;0,SUMIF(куб!$B:$B,$B585,куб!L:L))))))</f>
        <v>0</v>
      </c>
      <c r="U585" s="27" t="b">
        <f>IF($G585&lt;&gt;0,SUMIF(куб!$G:$G,$G585,куб!M:M),IF($E585&lt;&gt;0,SUMIF(куб!$E:$E,$E585,куб!M:M),IF($D585&lt;&gt;0,SUMIF(куб!$D:$D,$D585,куб!M:M),IF($C585&lt;&gt;0,SUMIF(куб!$C:$C,$C585,куб!M:M),IF($B585&lt;&gt;0,SUMIF(куб!$B:$B,$B585,куб!M:M))))))</f>
        <v>0</v>
      </c>
      <c r="V585" s="13" t="str">
        <f t="shared" si="188"/>
        <v>-</v>
      </c>
      <c r="W585" s="5"/>
      <c r="X585" s="27" t="b">
        <f>IF($G585&lt;&gt;0,SUMIF(куб!$G:$G,$G585,куб!N:N),IF($E585&lt;&gt;0,SUMIF(куб!$E:$E,$E585,куб!N:N),IF($D585&lt;&gt;0,SUMIF(куб!$D:$D,$D585,куб!N:N),IF($C585&lt;&gt;0,SUMIF(куб!$C:$C,$C585,куб!N:N),IF($B585&lt;&gt;0,SUMIF(куб!$B:$B,$B585,куб!N:N))))))</f>
        <v>0</v>
      </c>
      <c r="Y585" s="27" t="b">
        <f>IF($G585&lt;&gt;0,SUMIF(куб!$G:$G,$G585,куб!O:O),IF($E585&lt;&gt;0,SUMIF(куб!$E:$E,$E585,куб!O:O),IF($D585&lt;&gt;0,SUMIF(куб!$D:$D,$D585,куб!O:O),IF($C585&lt;&gt;0,SUMIF(куб!$C:$C,$C585,куб!O:O),IF($B585&lt;&gt;0,SUMIF(куб!$B:$B,$B585,куб!O:O))))))</f>
        <v>0</v>
      </c>
      <c r="Z585" s="13" t="str">
        <f t="shared" si="189"/>
        <v>-</v>
      </c>
      <c r="AA585" s="5"/>
      <c r="AB585" s="33" t="str">
        <f t="shared" si="190"/>
        <v/>
      </c>
      <c r="AC585" s="33" t="str">
        <f t="shared" si="191"/>
        <v/>
      </c>
      <c r="AD585" s="15" t="str">
        <f t="shared" si="192"/>
        <v xml:space="preserve"> </v>
      </c>
      <c r="AE585" s="5"/>
      <c r="AF585" s="27" t="b">
        <f>IF($G585&lt;&gt;0,SUMIF(куб!$G:$G,$G585,куб!R:R),IF($E585&lt;&gt;0,SUMIF(куб!$E:$E,$E585,куб!R:R),IF($D585&lt;&gt;0,SUMIF(куб!$D:$D,$D585,куб!R:R),IF($C585&lt;&gt;0,SUMIF(куб!$C:$C,$C585,куб!R:R),IF($B585&lt;&gt;0,SUMIF(куб!$B:$B,$B585,куб!R:R))))))</f>
        <v>0</v>
      </c>
      <c r="AG585" s="27" t="b">
        <f>IF($G585&lt;&gt;0,SUMIF(куб!$G:$G,$G585,куб!S:S),IF($E585&lt;&gt;0,SUMIF(куб!$E:$E,$E585,куб!S:S),IF($D585&lt;&gt;0,SUMIF(куб!$D:$D,$D585,куб!S:S),IF($C585&lt;&gt;0,SUMIF(куб!$C:$C,$C585,куб!S:S),IF($B585&lt;&gt;0,SUMIF(куб!$B:$B,$B585,куб!S:S))))))</f>
        <v>0</v>
      </c>
      <c r="AH585" s="16" t="str">
        <f t="shared" si="193"/>
        <v>-</v>
      </c>
      <c r="AI585" s="8"/>
      <c r="AJ585" s="27" t="b">
        <f>IF($G585&lt;&gt;0,SUMIF(куб!$G:$G,$G585,куб!T:T),IF($E585&lt;&gt;0,SUMIF(куб!$E:$E,$E585,куб!T:T),IF($D585&lt;&gt;0,SUMIF(куб!$D:$D,$D585,куб!T:T),IF($C585&lt;&gt;0,SUMIF(куб!$C:$C,$C585,куб!T:T),IF($B585&lt;&gt;0,SUMIF(куб!$B:$B,$B585,куб!T:T))))))</f>
        <v>0</v>
      </c>
      <c r="AK585" s="27" t="b">
        <f>IF($G585&lt;&gt;0,SUMIF(куб!$G:$G,$G585,куб!U:U),IF($E585&lt;&gt;0,SUMIF(куб!$E:$E,$E585,куб!U:U),IF($D585&lt;&gt;0,SUMIF(куб!$D:$D,$D585,куб!U:U),IF($C585&lt;&gt;0,SUMIF(куб!$C:$C,$C585,куб!U:U),IF($B585&lt;&gt;0,SUMIF(куб!$B:$B,$B585,куб!U:U))))))</f>
        <v>0</v>
      </c>
      <c r="AL585" s="16" t="str">
        <f t="shared" si="194"/>
        <v>-</v>
      </c>
      <c r="AM585" s="8"/>
      <c r="AN585" s="17" t="str">
        <f t="shared" si="195"/>
        <v xml:space="preserve"> </v>
      </c>
      <c r="AO585" s="17" t="str">
        <f t="shared" si="196"/>
        <v xml:space="preserve"> </v>
      </c>
      <c r="AP585" s="16" t="str">
        <f t="shared" si="197"/>
        <v>-</v>
      </c>
      <c r="AQ585" s="8"/>
      <c r="AR585" s="17" t="str">
        <f t="shared" si="198"/>
        <v>-</v>
      </c>
      <c r="AS585" s="17" t="str">
        <f t="shared" si="199"/>
        <v>-</v>
      </c>
      <c r="AT585" s="13" t="str">
        <f t="shared" si="200"/>
        <v>-</v>
      </c>
      <c r="AU585" s="8"/>
    </row>
    <row r="586" spans="1:47" x14ac:dyDescent="0.25">
      <c r="A586" s="31"/>
      <c r="B586" s="31"/>
      <c r="C586"/>
      <c r="D586" s="31"/>
      <c r="E586"/>
      <c r="F586" s="31"/>
      <c r="G586"/>
      <c r="H586" s="27">
        <f>IF($G586&lt;&gt;0,SUMIF(куб!$G:$G,$G586,куб!H:H),IF($E586&lt;&gt;0,SUMIF(куб!$E:$E,$E586,куб!H:H),IF($D586&lt;&gt;0,SUMIF(куб!$D:$D,$D586,куб!H:H),IF($C586&lt;&gt;0,SUMIF(куб!$C:$C,$C586,куб!H:H),IF($B586&lt;&gt;0,SUMIF(куб!$B:$B,$B586,куб!H:H),IF($G586&lt;&gt;0,SUMIF(куб!$A:$A,$G586,куб!H:H),SUMIF(куб!$A:$A,$G586,куб!H:H)))))))</f>
        <v>0</v>
      </c>
      <c r="I586" s="27">
        <f>IF($G586&lt;&gt;0,SUMIF(куб!$G:$G,$G586,куб!I:I),IF($E586&lt;&gt;0,SUMIF(куб!$E:$E,$E586,куб!I:I),IF($D586&lt;&gt;0,SUMIF(куб!$D:$D,$D586,куб!I:I),IF($C586&lt;&gt;0,SUMIF(куб!$C:$C,$C586,куб!I:I),IF($B586&lt;&gt;0,SUMIF(куб!$B:$B,$B586,куб!I:I),IF($G586&lt;&gt;0,SUMIF(куб!$A:$A,$G586,куб!I:I),SUMIF(куб!$A:$A,$G586,куб!I:I)))))))</f>
        <v>0</v>
      </c>
      <c r="J586" s="19" t="str">
        <f t="shared" si="183"/>
        <v>-</v>
      </c>
      <c r="K586" s="8"/>
      <c r="L586" s="17">
        <f t="shared" si="184"/>
        <v>0</v>
      </c>
      <c r="M586" s="17">
        <f t="shared" si="185"/>
        <v>0</v>
      </c>
      <c r="N586" s="12">
        <f t="shared" si="186"/>
        <v>0</v>
      </c>
      <c r="O586" s="5"/>
      <c r="P586" s="27" t="b">
        <f>IF($G586&lt;&gt;0,SUMIF(куб!$G:$G,$G586,куб!J:J),IF($E586&lt;&gt;0,SUMIF(куб!$E:$E,$E586,куб!J:J),IF($D586&lt;&gt;0,SUMIF(куб!$D:$D,$D586,куб!J:J),IF($C586&lt;&gt;0,SUMIF(куб!$C:$C,$C586,куб!J:J),IF($B586&lt;&gt;0,SUMIF(куб!$B:$B,$B586,куб!J:J))))))</f>
        <v>0</v>
      </c>
      <c r="Q586" s="27" t="b">
        <f>IF($G586&lt;&gt;0,SUMIF(куб!$G:$G,$G586,куб!K:K),IF($E586&lt;&gt;0,SUMIF(куб!$E:$E,$E586,куб!K:K),IF($D586&lt;&gt;0,SUMIF(куб!$D:$D,$D586,куб!K:K),IF($C586&lt;&gt;0,SUMIF(куб!$C:$C,$C586,куб!K:K),IF($B586&lt;&gt;0,SUMIF(куб!$B:$B,$B586,куб!K:K))))))</f>
        <v>0</v>
      </c>
      <c r="R586" s="13" t="str">
        <f t="shared" si="187"/>
        <v>-</v>
      </c>
      <c r="S586" s="5"/>
      <c r="T586" s="27" t="b">
        <f>IF($G586&lt;&gt;0,SUMIF(куб!$G:$G,$G586,куб!L:L),IF($E586&lt;&gt;0,SUMIF(куб!$E:$E,$E586,куб!L:L),IF($D586&lt;&gt;0,SUMIF(куб!$D:$D,$D586,куб!L:L),IF($C586&lt;&gt;0,SUMIF(куб!$C:$C,$C586,куб!L:L),IF($B586&lt;&gt;0,SUMIF(куб!$B:$B,$B586,куб!L:L))))))</f>
        <v>0</v>
      </c>
      <c r="U586" s="27" t="b">
        <f>IF($G586&lt;&gt;0,SUMIF(куб!$G:$G,$G586,куб!M:M),IF($E586&lt;&gt;0,SUMIF(куб!$E:$E,$E586,куб!M:M),IF($D586&lt;&gt;0,SUMIF(куб!$D:$D,$D586,куб!M:M),IF($C586&lt;&gt;0,SUMIF(куб!$C:$C,$C586,куб!M:M),IF($B586&lt;&gt;0,SUMIF(куб!$B:$B,$B586,куб!M:M))))))</f>
        <v>0</v>
      </c>
      <c r="V586" s="13" t="str">
        <f t="shared" si="188"/>
        <v>-</v>
      </c>
      <c r="W586" s="5"/>
      <c r="X586" s="27" t="b">
        <f>IF($G586&lt;&gt;0,SUMIF(куб!$G:$G,$G586,куб!N:N),IF($E586&lt;&gt;0,SUMIF(куб!$E:$E,$E586,куб!N:N),IF($D586&lt;&gt;0,SUMIF(куб!$D:$D,$D586,куб!N:N),IF($C586&lt;&gt;0,SUMIF(куб!$C:$C,$C586,куб!N:N),IF($B586&lt;&gt;0,SUMIF(куб!$B:$B,$B586,куб!N:N))))))</f>
        <v>0</v>
      </c>
      <c r="Y586" s="27" t="b">
        <f>IF($G586&lt;&gt;0,SUMIF(куб!$G:$G,$G586,куб!O:O),IF($E586&lt;&gt;0,SUMIF(куб!$E:$E,$E586,куб!O:O),IF($D586&lt;&gt;0,SUMIF(куб!$D:$D,$D586,куб!O:O),IF($C586&lt;&gt;0,SUMIF(куб!$C:$C,$C586,куб!O:O),IF($B586&lt;&gt;0,SUMIF(куб!$B:$B,$B586,куб!O:O))))))</f>
        <v>0</v>
      </c>
      <c r="Z586" s="13" t="str">
        <f t="shared" si="189"/>
        <v>-</v>
      </c>
      <c r="AA586" s="5"/>
      <c r="AB586" s="33" t="str">
        <f t="shared" si="190"/>
        <v/>
      </c>
      <c r="AC586" s="33" t="str">
        <f t="shared" si="191"/>
        <v/>
      </c>
      <c r="AD586" s="15" t="str">
        <f t="shared" si="192"/>
        <v xml:space="preserve"> </v>
      </c>
      <c r="AE586" s="5"/>
      <c r="AF586" s="27" t="b">
        <f>IF($G586&lt;&gt;0,SUMIF(куб!$G:$G,$G586,куб!R:R),IF($E586&lt;&gt;0,SUMIF(куб!$E:$E,$E586,куб!R:R),IF($D586&lt;&gt;0,SUMIF(куб!$D:$D,$D586,куб!R:R),IF($C586&lt;&gt;0,SUMIF(куб!$C:$C,$C586,куб!R:R),IF($B586&lt;&gt;0,SUMIF(куб!$B:$B,$B586,куб!R:R))))))</f>
        <v>0</v>
      </c>
      <c r="AG586" s="27" t="b">
        <f>IF($G586&lt;&gt;0,SUMIF(куб!$G:$G,$G586,куб!S:S),IF($E586&lt;&gt;0,SUMIF(куб!$E:$E,$E586,куб!S:S),IF($D586&lt;&gt;0,SUMIF(куб!$D:$D,$D586,куб!S:S),IF($C586&lt;&gt;0,SUMIF(куб!$C:$C,$C586,куб!S:S),IF($B586&lt;&gt;0,SUMIF(куб!$B:$B,$B586,куб!S:S))))))</f>
        <v>0</v>
      </c>
      <c r="AH586" s="16" t="str">
        <f t="shared" si="193"/>
        <v>-</v>
      </c>
      <c r="AI586" s="8"/>
      <c r="AJ586" s="27" t="b">
        <f>IF($G586&lt;&gt;0,SUMIF(куб!$G:$G,$G586,куб!T:T),IF($E586&lt;&gt;0,SUMIF(куб!$E:$E,$E586,куб!T:T),IF($D586&lt;&gt;0,SUMIF(куб!$D:$D,$D586,куб!T:T),IF($C586&lt;&gt;0,SUMIF(куб!$C:$C,$C586,куб!T:T),IF($B586&lt;&gt;0,SUMIF(куб!$B:$B,$B586,куб!T:T))))))</f>
        <v>0</v>
      </c>
      <c r="AK586" s="27" t="b">
        <f>IF($G586&lt;&gt;0,SUMIF(куб!$G:$G,$G586,куб!U:U),IF($E586&lt;&gt;0,SUMIF(куб!$E:$E,$E586,куб!U:U),IF($D586&lt;&gt;0,SUMIF(куб!$D:$D,$D586,куб!U:U),IF($C586&lt;&gt;0,SUMIF(куб!$C:$C,$C586,куб!U:U),IF($B586&lt;&gt;0,SUMIF(куб!$B:$B,$B586,куб!U:U))))))</f>
        <v>0</v>
      </c>
      <c r="AL586" s="16" t="str">
        <f t="shared" si="194"/>
        <v>-</v>
      </c>
      <c r="AM586" s="8"/>
      <c r="AN586" s="17" t="str">
        <f t="shared" si="195"/>
        <v xml:space="preserve"> </v>
      </c>
      <c r="AO586" s="17" t="str">
        <f t="shared" si="196"/>
        <v xml:space="preserve"> </v>
      </c>
      <c r="AP586" s="16" t="str">
        <f t="shared" si="197"/>
        <v>-</v>
      </c>
      <c r="AQ586" s="8"/>
      <c r="AR586" s="17" t="str">
        <f t="shared" si="198"/>
        <v>-</v>
      </c>
      <c r="AS586" s="17" t="str">
        <f t="shared" si="199"/>
        <v>-</v>
      </c>
      <c r="AT586" s="13" t="str">
        <f t="shared" si="200"/>
        <v>-</v>
      </c>
      <c r="AU586" s="8"/>
    </row>
    <row r="587" spans="1:47" x14ac:dyDescent="0.25">
      <c r="A587" s="31"/>
      <c r="B587" s="31"/>
      <c r="C587"/>
      <c r="D587" s="31"/>
      <c r="E587"/>
      <c r="F587" s="31"/>
      <c r="G587"/>
      <c r="H587" s="27">
        <f>IF($G587&lt;&gt;0,SUMIF(куб!$G:$G,$G587,куб!H:H),IF($E587&lt;&gt;0,SUMIF(куб!$E:$E,$E587,куб!H:H),IF($D587&lt;&gt;0,SUMIF(куб!$D:$D,$D587,куб!H:H),IF($C587&lt;&gt;0,SUMIF(куб!$C:$C,$C587,куб!H:H),IF($B587&lt;&gt;0,SUMIF(куб!$B:$B,$B587,куб!H:H),IF($G587&lt;&gt;0,SUMIF(куб!$A:$A,$G587,куб!H:H),SUMIF(куб!$A:$A,$G587,куб!H:H)))))))</f>
        <v>0</v>
      </c>
      <c r="I587" s="27">
        <f>IF($G587&lt;&gt;0,SUMIF(куб!$G:$G,$G587,куб!I:I),IF($E587&lt;&gt;0,SUMIF(куб!$E:$E,$E587,куб!I:I),IF($D587&lt;&gt;0,SUMIF(куб!$D:$D,$D587,куб!I:I),IF($C587&lt;&gt;0,SUMIF(куб!$C:$C,$C587,куб!I:I),IF($B587&lt;&gt;0,SUMIF(куб!$B:$B,$B587,куб!I:I),IF($G587&lt;&gt;0,SUMIF(куб!$A:$A,$G587,куб!I:I),SUMIF(куб!$A:$A,$G587,куб!I:I)))))))</f>
        <v>0</v>
      </c>
      <c r="J587" s="19" t="str">
        <f t="shared" si="183"/>
        <v>-</v>
      </c>
      <c r="K587" s="8"/>
      <c r="L587" s="17">
        <f t="shared" si="184"/>
        <v>0</v>
      </c>
      <c r="M587" s="17">
        <f t="shared" si="185"/>
        <v>0</v>
      </c>
      <c r="N587" s="12">
        <f t="shared" si="186"/>
        <v>0</v>
      </c>
      <c r="O587" s="5"/>
      <c r="P587" s="27" t="b">
        <f>IF($G587&lt;&gt;0,SUMIF(куб!$G:$G,$G587,куб!J:J),IF($E587&lt;&gt;0,SUMIF(куб!$E:$E,$E587,куб!J:J),IF($D587&lt;&gt;0,SUMIF(куб!$D:$D,$D587,куб!J:J),IF($C587&lt;&gt;0,SUMIF(куб!$C:$C,$C587,куб!J:J),IF($B587&lt;&gt;0,SUMIF(куб!$B:$B,$B587,куб!J:J))))))</f>
        <v>0</v>
      </c>
      <c r="Q587" s="27" t="b">
        <f>IF($G587&lt;&gt;0,SUMIF(куб!$G:$G,$G587,куб!K:K),IF($E587&lt;&gt;0,SUMIF(куб!$E:$E,$E587,куб!K:K),IF($D587&lt;&gt;0,SUMIF(куб!$D:$D,$D587,куб!K:K),IF($C587&lt;&gt;0,SUMIF(куб!$C:$C,$C587,куб!K:K),IF($B587&lt;&gt;0,SUMIF(куб!$B:$B,$B587,куб!K:K))))))</f>
        <v>0</v>
      </c>
      <c r="R587" s="13" t="str">
        <f t="shared" si="187"/>
        <v>-</v>
      </c>
      <c r="S587" s="5"/>
      <c r="T587" s="27" t="b">
        <f>IF($G587&lt;&gt;0,SUMIF(куб!$G:$G,$G587,куб!L:L),IF($E587&lt;&gt;0,SUMIF(куб!$E:$E,$E587,куб!L:L),IF($D587&lt;&gt;0,SUMIF(куб!$D:$D,$D587,куб!L:L),IF($C587&lt;&gt;0,SUMIF(куб!$C:$C,$C587,куб!L:L),IF($B587&lt;&gt;0,SUMIF(куб!$B:$B,$B587,куб!L:L))))))</f>
        <v>0</v>
      </c>
      <c r="U587" s="27" t="b">
        <f>IF($G587&lt;&gt;0,SUMIF(куб!$G:$G,$G587,куб!M:M),IF($E587&lt;&gt;0,SUMIF(куб!$E:$E,$E587,куб!M:M),IF($D587&lt;&gt;0,SUMIF(куб!$D:$D,$D587,куб!M:M),IF($C587&lt;&gt;0,SUMIF(куб!$C:$C,$C587,куб!M:M),IF($B587&lt;&gt;0,SUMIF(куб!$B:$B,$B587,куб!M:M))))))</f>
        <v>0</v>
      </c>
      <c r="V587" s="13" t="str">
        <f t="shared" si="188"/>
        <v>-</v>
      </c>
      <c r="W587" s="5"/>
      <c r="X587" s="27" t="b">
        <f>IF($G587&lt;&gt;0,SUMIF(куб!$G:$G,$G587,куб!N:N),IF($E587&lt;&gt;0,SUMIF(куб!$E:$E,$E587,куб!N:N),IF($D587&lt;&gt;0,SUMIF(куб!$D:$D,$D587,куб!N:N),IF($C587&lt;&gt;0,SUMIF(куб!$C:$C,$C587,куб!N:N),IF($B587&lt;&gt;0,SUMIF(куб!$B:$B,$B587,куб!N:N))))))</f>
        <v>0</v>
      </c>
      <c r="Y587" s="27" t="b">
        <f>IF($G587&lt;&gt;0,SUMIF(куб!$G:$G,$G587,куб!O:O),IF($E587&lt;&gt;0,SUMIF(куб!$E:$E,$E587,куб!O:O),IF($D587&lt;&gt;0,SUMIF(куб!$D:$D,$D587,куб!O:O),IF($C587&lt;&gt;0,SUMIF(куб!$C:$C,$C587,куб!O:O),IF($B587&lt;&gt;0,SUMIF(куб!$B:$B,$B587,куб!O:O))))))</f>
        <v>0</v>
      </c>
      <c r="Z587" s="13" t="str">
        <f t="shared" si="189"/>
        <v>-</v>
      </c>
      <c r="AA587" s="5"/>
      <c r="AB587" s="33" t="str">
        <f t="shared" si="190"/>
        <v/>
      </c>
      <c r="AC587" s="33" t="str">
        <f t="shared" si="191"/>
        <v/>
      </c>
      <c r="AD587" s="15" t="str">
        <f t="shared" si="192"/>
        <v xml:space="preserve"> </v>
      </c>
      <c r="AE587" s="5"/>
      <c r="AF587" s="27" t="b">
        <f>IF($G587&lt;&gt;0,SUMIF(куб!$G:$G,$G587,куб!R:R),IF($E587&lt;&gt;0,SUMIF(куб!$E:$E,$E587,куб!R:R),IF($D587&lt;&gt;0,SUMIF(куб!$D:$D,$D587,куб!R:R),IF($C587&lt;&gt;0,SUMIF(куб!$C:$C,$C587,куб!R:R),IF($B587&lt;&gt;0,SUMIF(куб!$B:$B,$B587,куб!R:R))))))</f>
        <v>0</v>
      </c>
      <c r="AG587" s="27" t="b">
        <f>IF($G587&lt;&gt;0,SUMIF(куб!$G:$G,$G587,куб!S:S),IF($E587&lt;&gt;0,SUMIF(куб!$E:$E,$E587,куб!S:S),IF($D587&lt;&gt;0,SUMIF(куб!$D:$D,$D587,куб!S:S),IF($C587&lt;&gt;0,SUMIF(куб!$C:$C,$C587,куб!S:S),IF($B587&lt;&gt;0,SUMIF(куб!$B:$B,$B587,куб!S:S))))))</f>
        <v>0</v>
      </c>
      <c r="AH587" s="16" t="str">
        <f t="shared" si="193"/>
        <v>-</v>
      </c>
      <c r="AI587" s="8"/>
      <c r="AJ587" s="27" t="b">
        <f>IF($G587&lt;&gt;0,SUMIF(куб!$G:$G,$G587,куб!T:T),IF($E587&lt;&gt;0,SUMIF(куб!$E:$E,$E587,куб!T:T),IF($D587&lt;&gt;0,SUMIF(куб!$D:$D,$D587,куб!T:T),IF($C587&lt;&gt;0,SUMIF(куб!$C:$C,$C587,куб!T:T),IF($B587&lt;&gt;0,SUMIF(куб!$B:$B,$B587,куб!T:T))))))</f>
        <v>0</v>
      </c>
      <c r="AK587" s="27" t="b">
        <f>IF($G587&lt;&gt;0,SUMIF(куб!$G:$G,$G587,куб!U:U),IF($E587&lt;&gt;0,SUMIF(куб!$E:$E,$E587,куб!U:U),IF($D587&lt;&gt;0,SUMIF(куб!$D:$D,$D587,куб!U:U),IF($C587&lt;&gt;0,SUMIF(куб!$C:$C,$C587,куб!U:U),IF($B587&lt;&gt;0,SUMIF(куб!$B:$B,$B587,куб!U:U))))))</f>
        <v>0</v>
      </c>
      <c r="AL587" s="16" t="str">
        <f t="shared" si="194"/>
        <v>-</v>
      </c>
      <c r="AM587" s="8"/>
      <c r="AN587" s="17" t="str">
        <f t="shared" si="195"/>
        <v xml:space="preserve"> </v>
      </c>
      <c r="AO587" s="17" t="str">
        <f t="shared" si="196"/>
        <v xml:space="preserve"> </v>
      </c>
      <c r="AP587" s="16" t="str">
        <f t="shared" si="197"/>
        <v>-</v>
      </c>
      <c r="AQ587" s="8"/>
      <c r="AR587" s="17" t="str">
        <f t="shared" si="198"/>
        <v>-</v>
      </c>
      <c r="AS587" s="17" t="str">
        <f t="shared" si="199"/>
        <v>-</v>
      </c>
      <c r="AT587" s="13" t="str">
        <f t="shared" si="200"/>
        <v>-</v>
      </c>
      <c r="AU587" s="8"/>
    </row>
    <row r="588" spans="1:47" x14ac:dyDescent="0.25">
      <c r="A588" s="31"/>
      <c r="B588" s="31"/>
      <c r="C588"/>
      <c r="D588" s="31"/>
      <c r="E588"/>
      <c r="F588" s="31"/>
      <c r="G588"/>
      <c r="H588" s="27">
        <f>IF($G588&lt;&gt;0,SUMIF(куб!$G:$G,$G588,куб!H:H),IF($E588&lt;&gt;0,SUMIF(куб!$E:$E,$E588,куб!H:H),IF($D588&lt;&gt;0,SUMIF(куб!$D:$D,$D588,куб!H:H),IF($C588&lt;&gt;0,SUMIF(куб!$C:$C,$C588,куб!H:H),IF($B588&lt;&gt;0,SUMIF(куб!$B:$B,$B588,куб!H:H),IF($G588&lt;&gt;0,SUMIF(куб!$A:$A,$G588,куб!H:H),SUMIF(куб!$A:$A,$G588,куб!H:H)))))))</f>
        <v>0</v>
      </c>
      <c r="I588" s="27">
        <f>IF($G588&lt;&gt;0,SUMIF(куб!$G:$G,$G588,куб!I:I),IF($E588&lt;&gt;0,SUMIF(куб!$E:$E,$E588,куб!I:I),IF($D588&lt;&gt;0,SUMIF(куб!$D:$D,$D588,куб!I:I),IF($C588&lt;&gt;0,SUMIF(куб!$C:$C,$C588,куб!I:I),IF($B588&lt;&gt;0,SUMIF(куб!$B:$B,$B588,куб!I:I),IF($G588&lt;&gt;0,SUMIF(куб!$A:$A,$G588,куб!I:I),SUMIF(куб!$A:$A,$G588,куб!I:I)))))))</f>
        <v>0</v>
      </c>
      <c r="J588" s="19" t="str">
        <f t="shared" si="183"/>
        <v>-</v>
      </c>
      <c r="K588" s="8"/>
      <c r="L588" s="17">
        <f t="shared" si="184"/>
        <v>0</v>
      </c>
      <c r="M588" s="17">
        <f t="shared" si="185"/>
        <v>0</v>
      </c>
      <c r="N588" s="12">
        <f t="shared" si="186"/>
        <v>0</v>
      </c>
      <c r="O588" s="5"/>
      <c r="P588" s="27" t="b">
        <f>IF($G588&lt;&gt;0,SUMIF(куб!$G:$G,$G588,куб!J:J),IF($E588&lt;&gt;0,SUMIF(куб!$E:$E,$E588,куб!J:J),IF($D588&lt;&gt;0,SUMIF(куб!$D:$D,$D588,куб!J:J),IF($C588&lt;&gt;0,SUMIF(куб!$C:$C,$C588,куб!J:J),IF($B588&lt;&gt;0,SUMIF(куб!$B:$B,$B588,куб!J:J))))))</f>
        <v>0</v>
      </c>
      <c r="Q588" s="27" t="b">
        <f>IF($G588&lt;&gt;0,SUMIF(куб!$G:$G,$G588,куб!K:K),IF($E588&lt;&gt;0,SUMIF(куб!$E:$E,$E588,куб!K:K),IF($D588&lt;&gt;0,SUMIF(куб!$D:$D,$D588,куб!K:K),IF($C588&lt;&gt;0,SUMIF(куб!$C:$C,$C588,куб!K:K),IF($B588&lt;&gt;0,SUMIF(куб!$B:$B,$B588,куб!K:K))))))</f>
        <v>0</v>
      </c>
      <c r="R588" s="13" t="str">
        <f t="shared" si="187"/>
        <v>-</v>
      </c>
      <c r="S588" s="5"/>
      <c r="T588" s="27" t="b">
        <f>IF($G588&lt;&gt;0,SUMIF(куб!$G:$G,$G588,куб!L:L),IF($E588&lt;&gt;0,SUMIF(куб!$E:$E,$E588,куб!L:L),IF($D588&lt;&gt;0,SUMIF(куб!$D:$D,$D588,куб!L:L),IF($C588&lt;&gt;0,SUMIF(куб!$C:$C,$C588,куб!L:L),IF($B588&lt;&gt;0,SUMIF(куб!$B:$B,$B588,куб!L:L))))))</f>
        <v>0</v>
      </c>
      <c r="U588" s="27" t="b">
        <f>IF($G588&lt;&gt;0,SUMIF(куб!$G:$G,$G588,куб!M:M),IF($E588&lt;&gt;0,SUMIF(куб!$E:$E,$E588,куб!M:M),IF($D588&lt;&gt;0,SUMIF(куб!$D:$D,$D588,куб!M:M),IF($C588&lt;&gt;0,SUMIF(куб!$C:$C,$C588,куб!M:M),IF($B588&lt;&gt;0,SUMIF(куб!$B:$B,$B588,куб!M:M))))))</f>
        <v>0</v>
      </c>
      <c r="V588" s="13" t="str">
        <f t="shared" si="188"/>
        <v>-</v>
      </c>
      <c r="W588" s="5"/>
      <c r="X588" s="27" t="b">
        <f>IF($G588&lt;&gt;0,SUMIF(куб!$G:$G,$G588,куб!N:N),IF($E588&lt;&gt;0,SUMIF(куб!$E:$E,$E588,куб!N:N),IF($D588&lt;&gt;0,SUMIF(куб!$D:$D,$D588,куб!N:N),IF($C588&lt;&gt;0,SUMIF(куб!$C:$C,$C588,куб!N:N),IF($B588&lt;&gt;0,SUMIF(куб!$B:$B,$B588,куб!N:N))))))</f>
        <v>0</v>
      </c>
      <c r="Y588" s="27" t="b">
        <f>IF($G588&lt;&gt;0,SUMIF(куб!$G:$G,$G588,куб!O:O),IF($E588&lt;&gt;0,SUMIF(куб!$E:$E,$E588,куб!O:O),IF($D588&lt;&gt;0,SUMIF(куб!$D:$D,$D588,куб!O:O),IF($C588&lt;&gt;0,SUMIF(куб!$C:$C,$C588,куб!O:O),IF($B588&lt;&gt;0,SUMIF(куб!$B:$B,$B588,куб!O:O))))))</f>
        <v>0</v>
      </c>
      <c r="Z588" s="13" t="str">
        <f t="shared" si="189"/>
        <v>-</v>
      </c>
      <c r="AA588" s="5"/>
      <c r="AB588" s="33" t="str">
        <f t="shared" si="190"/>
        <v/>
      </c>
      <c r="AC588" s="33" t="str">
        <f t="shared" si="191"/>
        <v/>
      </c>
      <c r="AD588" s="15" t="str">
        <f t="shared" si="192"/>
        <v xml:space="preserve"> </v>
      </c>
      <c r="AE588" s="5"/>
      <c r="AF588" s="27" t="b">
        <f>IF($G588&lt;&gt;0,SUMIF(куб!$G:$G,$G588,куб!R:R),IF($E588&lt;&gt;0,SUMIF(куб!$E:$E,$E588,куб!R:R),IF($D588&lt;&gt;0,SUMIF(куб!$D:$D,$D588,куб!R:R),IF($C588&lt;&gt;0,SUMIF(куб!$C:$C,$C588,куб!R:R),IF($B588&lt;&gt;0,SUMIF(куб!$B:$B,$B588,куб!R:R))))))</f>
        <v>0</v>
      </c>
      <c r="AG588" s="27" t="b">
        <f>IF($G588&lt;&gt;0,SUMIF(куб!$G:$G,$G588,куб!S:S),IF($E588&lt;&gt;0,SUMIF(куб!$E:$E,$E588,куб!S:S),IF($D588&lt;&gt;0,SUMIF(куб!$D:$D,$D588,куб!S:S),IF($C588&lt;&gt;0,SUMIF(куб!$C:$C,$C588,куб!S:S),IF($B588&lt;&gt;0,SUMIF(куб!$B:$B,$B588,куб!S:S))))))</f>
        <v>0</v>
      </c>
      <c r="AH588" s="16" t="str">
        <f t="shared" si="193"/>
        <v>-</v>
      </c>
      <c r="AI588" s="8"/>
      <c r="AJ588" s="27" t="b">
        <f>IF($G588&lt;&gt;0,SUMIF(куб!$G:$G,$G588,куб!T:T),IF($E588&lt;&gt;0,SUMIF(куб!$E:$E,$E588,куб!T:T),IF($D588&lt;&gt;0,SUMIF(куб!$D:$D,$D588,куб!T:T),IF($C588&lt;&gt;0,SUMIF(куб!$C:$C,$C588,куб!T:T),IF($B588&lt;&gt;0,SUMIF(куб!$B:$B,$B588,куб!T:T))))))</f>
        <v>0</v>
      </c>
      <c r="AK588" s="27" t="b">
        <f>IF($G588&lt;&gt;0,SUMIF(куб!$G:$G,$G588,куб!U:U),IF($E588&lt;&gt;0,SUMIF(куб!$E:$E,$E588,куб!U:U),IF($D588&lt;&gt;0,SUMIF(куб!$D:$D,$D588,куб!U:U),IF($C588&lt;&gt;0,SUMIF(куб!$C:$C,$C588,куб!U:U),IF($B588&lt;&gt;0,SUMIF(куб!$B:$B,$B588,куб!U:U))))))</f>
        <v>0</v>
      </c>
      <c r="AL588" s="16" t="str">
        <f t="shared" si="194"/>
        <v>-</v>
      </c>
      <c r="AM588" s="8"/>
      <c r="AN588" s="17" t="str">
        <f t="shared" si="195"/>
        <v xml:space="preserve"> </v>
      </c>
      <c r="AO588" s="17" t="str">
        <f t="shared" si="196"/>
        <v xml:space="preserve"> </v>
      </c>
      <c r="AP588" s="16" t="str">
        <f t="shared" si="197"/>
        <v>-</v>
      </c>
      <c r="AQ588" s="8"/>
      <c r="AR588" s="17" t="str">
        <f t="shared" si="198"/>
        <v>-</v>
      </c>
      <c r="AS588" s="17" t="str">
        <f t="shared" si="199"/>
        <v>-</v>
      </c>
      <c r="AT588" s="13" t="str">
        <f t="shared" si="200"/>
        <v>-</v>
      </c>
      <c r="AU588" s="8"/>
    </row>
    <row r="589" spans="1:47" x14ac:dyDescent="0.25">
      <c r="A589" s="31"/>
      <c r="B589" s="31"/>
      <c r="C589"/>
      <c r="D589" s="31"/>
      <c r="E589"/>
      <c r="F589" s="31"/>
      <c r="G589"/>
      <c r="H589" s="27">
        <f>IF($G589&lt;&gt;0,SUMIF(куб!$G:$G,$G589,куб!H:H),IF($E589&lt;&gt;0,SUMIF(куб!$E:$E,$E589,куб!H:H),IF($D589&lt;&gt;0,SUMIF(куб!$D:$D,$D589,куб!H:H),IF($C589&lt;&gt;0,SUMIF(куб!$C:$C,$C589,куб!H:H),IF($B589&lt;&gt;0,SUMIF(куб!$B:$B,$B589,куб!H:H),IF($G589&lt;&gt;0,SUMIF(куб!$A:$A,$G589,куб!H:H),SUMIF(куб!$A:$A,$G589,куб!H:H)))))))</f>
        <v>0</v>
      </c>
      <c r="I589" s="27">
        <f>IF($G589&lt;&gt;0,SUMIF(куб!$G:$G,$G589,куб!I:I),IF($E589&lt;&gt;0,SUMIF(куб!$E:$E,$E589,куб!I:I),IF($D589&lt;&gt;0,SUMIF(куб!$D:$D,$D589,куб!I:I),IF($C589&lt;&gt;0,SUMIF(куб!$C:$C,$C589,куб!I:I),IF($B589&lt;&gt;0,SUMIF(куб!$B:$B,$B589,куб!I:I),IF($G589&lt;&gt;0,SUMIF(куб!$A:$A,$G589,куб!I:I),SUMIF(куб!$A:$A,$G589,куб!I:I)))))))</f>
        <v>0</v>
      </c>
      <c r="J589" s="19" t="str">
        <f t="shared" ref="J589:J631" si="201">IFERROR((I589-H589)/ABS(H589),"-")</f>
        <v>-</v>
      </c>
      <c r="K589" s="8"/>
      <c r="L589" s="17">
        <f t="shared" ref="L589:L631" si="202">H589/$H$3</f>
        <v>0</v>
      </c>
      <c r="M589" s="17">
        <f t="shared" ref="M589:M631" si="203">I589/$I$3</f>
        <v>0</v>
      </c>
      <c r="N589" s="12">
        <f t="shared" ref="N589:N631" si="204">M589-L589</f>
        <v>0</v>
      </c>
      <c r="O589" s="5"/>
      <c r="P589" s="27" t="b">
        <f>IF($G589&lt;&gt;0,SUMIF(куб!$G:$G,$G589,куб!J:J),IF($E589&lt;&gt;0,SUMIF(куб!$E:$E,$E589,куб!J:J),IF($D589&lt;&gt;0,SUMIF(куб!$D:$D,$D589,куб!J:J),IF($C589&lt;&gt;0,SUMIF(куб!$C:$C,$C589,куб!J:J),IF($B589&lt;&gt;0,SUMIF(куб!$B:$B,$B589,куб!J:J))))))</f>
        <v>0</v>
      </c>
      <c r="Q589" s="27" t="b">
        <f>IF($G589&lt;&gt;0,SUMIF(куб!$G:$G,$G589,куб!K:K),IF($E589&lt;&gt;0,SUMIF(куб!$E:$E,$E589,куб!K:K),IF($D589&lt;&gt;0,SUMIF(куб!$D:$D,$D589,куб!K:K),IF($C589&lt;&gt;0,SUMIF(куб!$C:$C,$C589,куб!K:K),IF($B589&lt;&gt;0,SUMIF(куб!$B:$B,$B589,куб!K:K))))))</f>
        <v>0</v>
      </c>
      <c r="R589" s="13" t="str">
        <f t="shared" ref="R589:R631" si="205">IFERROR((Q589-P589)/ABS(P589),"-")</f>
        <v>-</v>
      </c>
      <c r="S589" s="5"/>
      <c r="T589" s="27" t="b">
        <f>IF($G589&lt;&gt;0,SUMIF(куб!$G:$G,$G589,куб!L:L),IF($E589&lt;&gt;0,SUMIF(куб!$E:$E,$E589,куб!L:L),IF($D589&lt;&gt;0,SUMIF(куб!$D:$D,$D589,куб!L:L),IF($C589&lt;&gt;0,SUMIF(куб!$C:$C,$C589,куб!L:L),IF($B589&lt;&gt;0,SUMIF(куб!$B:$B,$B589,куб!L:L))))))</f>
        <v>0</v>
      </c>
      <c r="U589" s="27" t="b">
        <f>IF($G589&lt;&gt;0,SUMIF(куб!$G:$G,$G589,куб!M:M),IF($E589&lt;&gt;0,SUMIF(куб!$E:$E,$E589,куб!M:M),IF($D589&lt;&gt;0,SUMIF(куб!$D:$D,$D589,куб!M:M),IF($C589&lt;&gt;0,SUMIF(куб!$C:$C,$C589,куб!M:M),IF($B589&lt;&gt;0,SUMIF(куб!$B:$B,$B589,куб!M:M))))))</f>
        <v>0</v>
      </c>
      <c r="V589" s="13" t="str">
        <f t="shared" ref="V589:V631" si="206">IFERROR((U589-T589)/ABS(T589),"-")</f>
        <v>-</v>
      </c>
      <c r="W589" s="5"/>
      <c r="X589" s="27" t="b">
        <f>IF($G589&lt;&gt;0,SUMIF(куб!$G:$G,$G589,куб!N:N),IF($E589&lt;&gt;0,SUMIF(куб!$E:$E,$E589,куб!N:N),IF($D589&lt;&gt;0,SUMIF(куб!$D:$D,$D589,куб!N:N),IF($C589&lt;&gt;0,SUMIF(куб!$C:$C,$C589,куб!N:N),IF($B589&lt;&gt;0,SUMIF(куб!$B:$B,$B589,куб!N:N))))))</f>
        <v>0</v>
      </c>
      <c r="Y589" s="27" t="b">
        <f>IF($G589&lt;&gt;0,SUMIF(куб!$G:$G,$G589,куб!O:O),IF($E589&lt;&gt;0,SUMIF(куб!$E:$E,$E589,куб!O:O),IF($D589&lt;&gt;0,SUMIF(куб!$D:$D,$D589,куб!O:O),IF($C589&lt;&gt;0,SUMIF(куб!$C:$C,$C589,куб!O:O),IF($B589&lt;&gt;0,SUMIF(куб!$B:$B,$B589,куб!O:O))))))</f>
        <v>0</v>
      </c>
      <c r="Z589" s="13" t="str">
        <f t="shared" ref="Z589:Z631" si="207">IFERROR((Y589-X589)/ABS(X589),"-")</f>
        <v>-</v>
      </c>
      <c r="AA589" s="5"/>
      <c r="AB589" s="33" t="str">
        <f t="shared" ref="AB589:AB631" si="208">IFERROR(X589/H589,"")</f>
        <v/>
      </c>
      <c r="AC589" s="33" t="str">
        <f t="shared" ref="AC589:AC631" si="209">IFERROR(Y589/I589,"")</f>
        <v/>
      </c>
      <c r="AD589" s="15" t="str">
        <f t="shared" ref="AD589:AD631" si="210">IFERROR(AC589-AB589," ")</f>
        <v xml:space="preserve"> </v>
      </c>
      <c r="AE589" s="5"/>
      <c r="AF589" s="27" t="b">
        <f>IF($G589&lt;&gt;0,SUMIF(куб!$G:$G,$G589,куб!R:R),IF($E589&lt;&gt;0,SUMIF(куб!$E:$E,$E589,куб!R:R),IF($D589&lt;&gt;0,SUMIF(куб!$D:$D,$D589,куб!R:R),IF($C589&lt;&gt;0,SUMIF(куб!$C:$C,$C589,куб!R:R),IF($B589&lt;&gt;0,SUMIF(куб!$B:$B,$B589,куб!R:R))))))</f>
        <v>0</v>
      </c>
      <c r="AG589" s="27" t="b">
        <f>IF($G589&lt;&gt;0,SUMIF(куб!$G:$G,$G589,куб!S:S),IF($E589&lt;&gt;0,SUMIF(куб!$E:$E,$E589,куб!S:S),IF($D589&lt;&gt;0,SUMIF(куб!$D:$D,$D589,куб!S:S),IF($C589&lt;&gt;0,SUMIF(куб!$C:$C,$C589,куб!S:S),IF($B589&lt;&gt;0,SUMIF(куб!$B:$B,$B589,куб!S:S))))))</f>
        <v>0</v>
      </c>
      <c r="AH589" s="16" t="str">
        <f t="shared" ref="AH589:AH631" si="211">IFERROR((AG589-AF589)/ABS(AF589),"-")</f>
        <v>-</v>
      </c>
      <c r="AI589" s="8"/>
      <c r="AJ589" s="27" t="b">
        <f>IF($G589&lt;&gt;0,SUMIF(куб!$G:$G,$G589,куб!T:T),IF($E589&lt;&gt;0,SUMIF(куб!$E:$E,$E589,куб!T:T),IF($D589&lt;&gt;0,SUMIF(куб!$D:$D,$D589,куб!T:T),IF($C589&lt;&gt;0,SUMIF(куб!$C:$C,$C589,куб!T:T),IF($B589&lt;&gt;0,SUMIF(куб!$B:$B,$B589,куб!T:T))))))</f>
        <v>0</v>
      </c>
      <c r="AK589" s="27" t="b">
        <f>IF($G589&lt;&gt;0,SUMIF(куб!$G:$G,$G589,куб!U:U),IF($E589&lt;&gt;0,SUMIF(куб!$E:$E,$E589,куб!U:U),IF($D589&lt;&gt;0,SUMIF(куб!$D:$D,$D589,куб!U:U),IF($C589&lt;&gt;0,SUMIF(куб!$C:$C,$C589,куб!U:U),IF($B589&lt;&gt;0,SUMIF(куб!$B:$B,$B589,куб!U:U))))))</f>
        <v>0</v>
      </c>
      <c r="AL589" s="16" t="str">
        <f t="shared" ref="AL589:AL631" si="212">IFERROR((AK589-AJ589)/ABS(AJ589),"-")</f>
        <v>-</v>
      </c>
      <c r="AM589" s="8"/>
      <c r="AN589" s="17" t="str">
        <f t="shared" ref="AN589:AN631" si="213">IFERROR(AF589/H589," ")</f>
        <v xml:space="preserve"> </v>
      </c>
      <c r="AO589" s="17" t="str">
        <f t="shared" ref="AO589:AO631" si="214">IFERROR(AG589/I589," ")</f>
        <v xml:space="preserve"> </v>
      </c>
      <c r="AP589" s="16" t="str">
        <f t="shared" ref="AP589:AP631" si="215">IFERROR(AO589-AN589,"-")</f>
        <v>-</v>
      </c>
      <c r="AQ589" s="8"/>
      <c r="AR589" s="17" t="str">
        <f t="shared" ref="AR589:AR631" si="216">IFERROR((X589-AF589)/H589,"-")</f>
        <v>-</v>
      </c>
      <c r="AS589" s="17" t="str">
        <f t="shared" ref="AS589:AS631" si="217">IFERROR((Y589-AG589)/I589,"-")</f>
        <v>-</v>
      </c>
      <c r="AT589" s="13" t="str">
        <f t="shared" ref="AT589:AT631" si="218">IFERROR(AS589-AR589,"-")</f>
        <v>-</v>
      </c>
      <c r="AU589" s="8"/>
    </row>
    <row r="590" spans="1:47" x14ac:dyDescent="0.25">
      <c r="A590" s="31"/>
      <c r="B590" s="31"/>
      <c r="C590"/>
      <c r="D590" s="31"/>
      <c r="E590"/>
      <c r="F590" s="31"/>
      <c r="G590"/>
      <c r="H590" s="27">
        <f>IF($G590&lt;&gt;0,SUMIF(куб!$G:$G,$G590,куб!H:H),IF($E590&lt;&gt;0,SUMIF(куб!$E:$E,$E590,куб!H:H),IF($D590&lt;&gt;0,SUMIF(куб!$D:$D,$D590,куб!H:H),IF($C590&lt;&gt;0,SUMIF(куб!$C:$C,$C590,куб!H:H),IF($B590&lt;&gt;0,SUMIF(куб!$B:$B,$B590,куб!H:H),IF($G590&lt;&gt;0,SUMIF(куб!$A:$A,$G590,куб!H:H),SUMIF(куб!$A:$A,$G590,куб!H:H)))))))</f>
        <v>0</v>
      </c>
      <c r="I590" s="27">
        <f>IF($G590&lt;&gt;0,SUMIF(куб!$G:$G,$G590,куб!I:I),IF($E590&lt;&gt;0,SUMIF(куб!$E:$E,$E590,куб!I:I),IF($D590&lt;&gt;0,SUMIF(куб!$D:$D,$D590,куб!I:I),IF($C590&lt;&gt;0,SUMIF(куб!$C:$C,$C590,куб!I:I),IF($B590&lt;&gt;0,SUMIF(куб!$B:$B,$B590,куб!I:I),IF($G590&lt;&gt;0,SUMIF(куб!$A:$A,$G590,куб!I:I),SUMIF(куб!$A:$A,$G590,куб!I:I)))))))</f>
        <v>0</v>
      </c>
      <c r="J590" s="19" t="str">
        <f t="shared" si="201"/>
        <v>-</v>
      </c>
      <c r="K590" s="8"/>
      <c r="L590" s="17">
        <f t="shared" si="202"/>
        <v>0</v>
      </c>
      <c r="M590" s="17">
        <f t="shared" si="203"/>
        <v>0</v>
      </c>
      <c r="N590" s="12">
        <f t="shared" si="204"/>
        <v>0</v>
      </c>
      <c r="O590" s="5"/>
      <c r="P590" s="27" t="b">
        <f>IF($G590&lt;&gt;0,SUMIF(куб!$G:$G,$G590,куб!J:J),IF($E590&lt;&gt;0,SUMIF(куб!$E:$E,$E590,куб!J:J),IF($D590&lt;&gt;0,SUMIF(куб!$D:$D,$D590,куб!J:J),IF($C590&lt;&gt;0,SUMIF(куб!$C:$C,$C590,куб!J:J),IF($B590&lt;&gt;0,SUMIF(куб!$B:$B,$B590,куб!J:J))))))</f>
        <v>0</v>
      </c>
      <c r="Q590" s="27" t="b">
        <f>IF($G590&lt;&gt;0,SUMIF(куб!$G:$G,$G590,куб!K:K),IF($E590&lt;&gt;0,SUMIF(куб!$E:$E,$E590,куб!K:K),IF($D590&lt;&gt;0,SUMIF(куб!$D:$D,$D590,куб!K:K),IF($C590&lt;&gt;0,SUMIF(куб!$C:$C,$C590,куб!K:K),IF($B590&lt;&gt;0,SUMIF(куб!$B:$B,$B590,куб!K:K))))))</f>
        <v>0</v>
      </c>
      <c r="R590" s="13" t="str">
        <f t="shared" si="205"/>
        <v>-</v>
      </c>
      <c r="S590" s="5"/>
      <c r="T590" s="27" t="b">
        <f>IF($G590&lt;&gt;0,SUMIF(куб!$G:$G,$G590,куб!L:L),IF($E590&lt;&gt;0,SUMIF(куб!$E:$E,$E590,куб!L:L),IF($D590&lt;&gt;0,SUMIF(куб!$D:$D,$D590,куб!L:L),IF($C590&lt;&gt;0,SUMIF(куб!$C:$C,$C590,куб!L:L),IF($B590&lt;&gt;0,SUMIF(куб!$B:$B,$B590,куб!L:L))))))</f>
        <v>0</v>
      </c>
      <c r="U590" s="27" t="b">
        <f>IF($G590&lt;&gt;0,SUMIF(куб!$G:$G,$G590,куб!M:M),IF($E590&lt;&gt;0,SUMIF(куб!$E:$E,$E590,куб!M:M),IF($D590&lt;&gt;0,SUMIF(куб!$D:$D,$D590,куб!M:M),IF($C590&lt;&gt;0,SUMIF(куб!$C:$C,$C590,куб!M:M),IF($B590&lt;&gt;0,SUMIF(куб!$B:$B,$B590,куб!M:M))))))</f>
        <v>0</v>
      </c>
      <c r="V590" s="13" t="str">
        <f t="shared" si="206"/>
        <v>-</v>
      </c>
      <c r="W590" s="5"/>
      <c r="X590" s="27" t="b">
        <f>IF($G590&lt;&gt;0,SUMIF(куб!$G:$G,$G590,куб!N:N),IF($E590&lt;&gt;0,SUMIF(куб!$E:$E,$E590,куб!N:N),IF($D590&lt;&gt;0,SUMIF(куб!$D:$D,$D590,куб!N:N),IF($C590&lt;&gt;0,SUMIF(куб!$C:$C,$C590,куб!N:N),IF($B590&lt;&gt;0,SUMIF(куб!$B:$B,$B590,куб!N:N))))))</f>
        <v>0</v>
      </c>
      <c r="Y590" s="27" t="b">
        <f>IF($G590&lt;&gt;0,SUMIF(куб!$G:$G,$G590,куб!O:O),IF($E590&lt;&gt;0,SUMIF(куб!$E:$E,$E590,куб!O:O),IF($D590&lt;&gt;0,SUMIF(куб!$D:$D,$D590,куб!O:O),IF($C590&lt;&gt;0,SUMIF(куб!$C:$C,$C590,куб!O:O),IF($B590&lt;&gt;0,SUMIF(куб!$B:$B,$B590,куб!O:O))))))</f>
        <v>0</v>
      </c>
      <c r="Z590" s="13" t="str">
        <f t="shared" si="207"/>
        <v>-</v>
      </c>
      <c r="AA590" s="5"/>
      <c r="AB590" s="33" t="str">
        <f t="shared" si="208"/>
        <v/>
      </c>
      <c r="AC590" s="33" t="str">
        <f t="shared" si="209"/>
        <v/>
      </c>
      <c r="AD590" s="15" t="str">
        <f t="shared" si="210"/>
        <v xml:space="preserve"> </v>
      </c>
      <c r="AE590" s="5"/>
      <c r="AF590" s="27" t="b">
        <f>IF($G590&lt;&gt;0,SUMIF(куб!$G:$G,$G590,куб!R:R),IF($E590&lt;&gt;0,SUMIF(куб!$E:$E,$E590,куб!R:R),IF($D590&lt;&gt;0,SUMIF(куб!$D:$D,$D590,куб!R:R),IF($C590&lt;&gt;0,SUMIF(куб!$C:$C,$C590,куб!R:R),IF($B590&lt;&gt;0,SUMIF(куб!$B:$B,$B590,куб!R:R))))))</f>
        <v>0</v>
      </c>
      <c r="AG590" s="27" t="b">
        <f>IF($G590&lt;&gt;0,SUMIF(куб!$G:$G,$G590,куб!S:S),IF($E590&lt;&gt;0,SUMIF(куб!$E:$E,$E590,куб!S:S),IF($D590&lt;&gt;0,SUMIF(куб!$D:$D,$D590,куб!S:S),IF($C590&lt;&gt;0,SUMIF(куб!$C:$C,$C590,куб!S:S),IF($B590&lt;&gt;0,SUMIF(куб!$B:$B,$B590,куб!S:S))))))</f>
        <v>0</v>
      </c>
      <c r="AH590" s="16" t="str">
        <f t="shared" si="211"/>
        <v>-</v>
      </c>
      <c r="AI590" s="8"/>
      <c r="AJ590" s="27" t="b">
        <f>IF($G590&lt;&gt;0,SUMIF(куб!$G:$G,$G590,куб!T:T),IF($E590&lt;&gt;0,SUMIF(куб!$E:$E,$E590,куб!T:T),IF($D590&lt;&gt;0,SUMIF(куб!$D:$D,$D590,куб!T:T),IF($C590&lt;&gt;0,SUMIF(куб!$C:$C,$C590,куб!T:T),IF($B590&lt;&gt;0,SUMIF(куб!$B:$B,$B590,куб!T:T))))))</f>
        <v>0</v>
      </c>
      <c r="AK590" s="27" t="b">
        <f>IF($G590&lt;&gt;0,SUMIF(куб!$G:$G,$G590,куб!U:U),IF($E590&lt;&gt;0,SUMIF(куб!$E:$E,$E590,куб!U:U),IF($D590&lt;&gt;0,SUMIF(куб!$D:$D,$D590,куб!U:U),IF($C590&lt;&gt;0,SUMIF(куб!$C:$C,$C590,куб!U:U),IF($B590&lt;&gt;0,SUMIF(куб!$B:$B,$B590,куб!U:U))))))</f>
        <v>0</v>
      </c>
      <c r="AL590" s="16" t="str">
        <f t="shared" si="212"/>
        <v>-</v>
      </c>
      <c r="AM590" s="8"/>
      <c r="AN590" s="17" t="str">
        <f t="shared" si="213"/>
        <v xml:space="preserve"> </v>
      </c>
      <c r="AO590" s="17" t="str">
        <f t="shared" si="214"/>
        <v xml:space="preserve"> </v>
      </c>
      <c r="AP590" s="16" t="str">
        <f t="shared" si="215"/>
        <v>-</v>
      </c>
      <c r="AQ590" s="8"/>
      <c r="AR590" s="17" t="str">
        <f t="shared" si="216"/>
        <v>-</v>
      </c>
      <c r="AS590" s="17" t="str">
        <f t="shared" si="217"/>
        <v>-</v>
      </c>
      <c r="AT590" s="13" t="str">
        <f t="shared" si="218"/>
        <v>-</v>
      </c>
      <c r="AU590" s="8"/>
    </row>
    <row r="591" spans="1:47" x14ac:dyDescent="0.25">
      <c r="A591" s="31"/>
      <c r="B591" s="31"/>
      <c r="C591"/>
      <c r="D591" s="31"/>
      <c r="E591"/>
      <c r="F591" s="31"/>
      <c r="G591"/>
      <c r="H591" s="27">
        <f>IF($G591&lt;&gt;0,SUMIF(куб!$G:$G,$G591,куб!H:H),IF($E591&lt;&gt;0,SUMIF(куб!$E:$E,$E591,куб!H:H),IF($D591&lt;&gt;0,SUMIF(куб!$D:$D,$D591,куб!H:H),IF($C591&lt;&gt;0,SUMIF(куб!$C:$C,$C591,куб!H:H),IF($B591&lt;&gt;0,SUMIF(куб!$B:$B,$B591,куб!H:H),IF($G591&lt;&gt;0,SUMIF(куб!$A:$A,$G591,куб!H:H),SUMIF(куб!$A:$A,$G591,куб!H:H)))))))</f>
        <v>0</v>
      </c>
      <c r="I591" s="27">
        <f>IF($G591&lt;&gt;0,SUMIF(куб!$G:$G,$G591,куб!I:I),IF($E591&lt;&gt;0,SUMIF(куб!$E:$E,$E591,куб!I:I),IF($D591&lt;&gt;0,SUMIF(куб!$D:$D,$D591,куб!I:I),IF($C591&lt;&gt;0,SUMIF(куб!$C:$C,$C591,куб!I:I),IF($B591&lt;&gt;0,SUMIF(куб!$B:$B,$B591,куб!I:I),IF($G591&lt;&gt;0,SUMIF(куб!$A:$A,$G591,куб!I:I),SUMIF(куб!$A:$A,$G591,куб!I:I)))))))</f>
        <v>0</v>
      </c>
      <c r="J591" s="19" t="str">
        <f t="shared" si="201"/>
        <v>-</v>
      </c>
      <c r="K591" s="8"/>
      <c r="L591" s="17">
        <f t="shared" si="202"/>
        <v>0</v>
      </c>
      <c r="M591" s="17">
        <f t="shared" si="203"/>
        <v>0</v>
      </c>
      <c r="N591" s="12">
        <f t="shared" si="204"/>
        <v>0</v>
      </c>
      <c r="O591" s="5"/>
      <c r="P591" s="27" t="b">
        <f>IF($G591&lt;&gt;0,SUMIF(куб!$G:$G,$G591,куб!J:J),IF($E591&lt;&gt;0,SUMIF(куб!$E:$E,$E591,куб!J:J),IF($D591&lt;&gt;0,SUMIF(куб!$D:$D,$D591,куб!J:J),IF($C591&lt;&gt;0,SUMIF(куб!$C:$C,$C591,куб!J:J),IF($B591&lt;&gt;0,SUMIF(куб!$B:$B,$B591,куб!J:J))))))</f>
        <v>0</v>
      </c>
      <c r="Q591" s="27" t="b">
        <f>IF($G591&lt;&gt;0,SUMIF(куб!$G:$G,$G591,куб!K:K),IF($E591&lt;&gt;0,SUMIF(куб!$E:$E,$E591,куб!K:K),IF($D591&lt;&gt;0,SUMIF(куб!$D:$D,$D591,куб!K:K),IF($C591&lt;&gt;0,SUMIF(куб!$C:$C,$C591,куб!K:K),IF($B591&lt;&gt;0,SUMIF(куб!$B:$B,$B591,куб!K:K))))))</f>
        <v>0</v>
      </c>
      <c r="R591" s="13" t="str">
        <f t="shared" si="205"/>
        <v>-</v>
      </c>
      <c r="S591" s="5"/>
      <c r="T591" s="27" t="b">
        <f>IF($G591&lt;&gt;0,SUMIF(куб!$G:$G,$G591,куб!L:L),IF($E591&lt;&gt;0,SUMIF(куб!$E:$E,$E591,куб!L:L),IF($D591&lt;&gt;0,SUMIF(куб!$D:$D,$D591,куб!L:L),IF($C591&lt;&gt;0,SUMIF(куб!$C:$C,$C591,куб!L:L),IF($B591&lt;&gt;0,SUMIF(куб!$B:$B,$B591,куб!L:L))))))</f>
        <v>0</v>
      </c>
      <c r="U591" s="27" t="b">
        <f>IF($G591&lt;&gt;0,SUMIF(куб!$G:$G,$G591,куб!M:M),IF($E591&lt;&gt;0,SUMIF(куб!$E:$E,$E591,куб!M:M),IF($D591&lt;&gt;0,SUMIF(куб!$D:$D,$D591,куб!M:M),IF($C591&lt;&gt;0,SUMIF(куб!$C:$C,$C591,куб!M:M),IF($B591&lt;&gt;0,SUMIF(куб!$B:$B,$B591,куб!M:M))))))</f>
        <v>0</v>
      </c>
      <c r="V591" s="13" t="str">
        <f t="shared" si="206"/>
        <v>-</v>
      </c>
      <c r="W591" s="5"/>
      <c r="X591" s="27" t="b">
        <f>IF($G591&lt;&gt;0,SUMIF(куб!$G:$G,$G591,куб!N:N),IF($E591&lt;&gt;0,SUMIF(куб!$E:$E,$E591,куб!N:N),IF($D591&lt;&gt;0,SUMIF(куб!$D:$D,$D591,куб!N:N),IF($C591&lt;&gt;0,SUMIF(куб!$C:$C,$C591,куб!N:N),IF($B591&lt;&gt;0,SUMIF(куб!$B:$B,$B591,куб!N:N))))))</f>
        <v>0</v>
      </c>
      <c r="Y591" s="27" t="b">
        <f>IF($G591&lt;&gt;0,SUMIF(куб!$G:$G,$G591,куб!O:O),IF($E591&lt;&gt;0,SUMIF(куб!$E:$E,$E591,куб!O:O),IF($D591&lt;&gt;0,SUMIF(куб!$D:$D,$D591,куб!O:O),IF($C591&lt;&gt;0,SUMIF(куб!$C:$C,$C591,куб!O:O),IF($B591&lt;&gt;0,SUMIF(куб!$B:$B,$B591,куб!O:O))))))</f>
        <v>0</v>
      </c>
      <c r="Z591" s="13" t="str">
        <f t="shared" si="207"/>
        <v>-</v>
      </c>
      <c r="AA591" s="5"/>
      <c r="AB591" s="33" t="str">
        <f t="shared" si="208"/>
        <v/>
      </c>
      <c r="AC591" s="33" t="str">
        <f t="shared" si="209"/>
        <v/>
      </c>
      <c r="AD591" s="15" t="str">
        <f t="shared" si="210"/>
        <v xml:space="preserve"> </v>
      </c>
      <c r="AE591" s="5"/>
      <c r="AF591" s="27" t="b">
        <f>IF($G591&lt;&gt;0,SUMIF(куб!$G:$G,$G591,куб!R:R),IF($E591&lt;&gt;0,SUMIF(куб!$E:$E,$E591,куб!R:R),IF($D591&lt;&gt;0,SUMIF(куб!$D:$D,$D591,куб!R:R),IF($C591&lt;&gt;0,SUMIF(куб!$C:$C,$C591,куб!R:R),IF($B591&lt;&gt;0,SUMIF(куб!$B:$B,$B591,куб!R:R))))))</f>
        <v>0</v>
      </c>
      <c r="AG591" s="27" t="b">
        <f>IF($G591&lt;&gt;0,SUMIF(куб!$G:$G,$G591,куб!S:S),IF($E591&lt;&gt;0,SUMIF(куб!$E:$E,$E591,куб!S:S),IF($D591&lt;&gt;0,SUMIF(куб!$D:$D,$D591,куб!S:S),IF($C591&lt;&gt;0,SUMIF(куб!$C:$C,$C591,куб!S:S),IF($B591&lt;&gt;0,SUMIF(куб!$B:$B,$B591,куб!S:S))))))</f>
        <v>0</v>
      </c>
      <c r="AH591" s="16" t="str">
        <f t="shared" si="211"/>
        <v>-</v>
      </c>
      <c r="AI591" s="8"/>
      <c r="AJ591" s="27" t="b">
        <f>IF($G591&lt;&gt;0,SUMIF(куб!$G:$G,$G591,куб!T:T),IF($E591&lt;&gt;0,SUMIF(куб!$E:$E,$E591,куб!T:T),IF($D591&lt;&gt;0,SUMIF(куб!$D:$D,$D591,куб!T:T),IF($C591&lt;&gt;0,SUMIF(куб!$C:$C,$C591,куб!T:T),IF($B591&lt;&gt;0,SUMIF(куб!$B:$B,$B591,куб!T:T))))))</f>
        <v>0</v>
      </c>
      <c r="AK591" s="27" t="b">
        <f>IF($G591&lt;&gt;0,SUMIF(куб!$G:$G,$G591,куб!U:U),IF($E591&lt;&gt;0,SUMIF(куб!$E:$E,$E591,куб!U:U),IF($D591&lt;&gt;0,SUMIF(куб!$D:$D,$D591,куб!U:U),IF($C591&lt;&gt;0,SUMIF(куб!$C:$C,$C591,куб!U:U),IF($B591&lt;&gt;0,SUMIF(куб!$B:$B,$B591,куб!U:U))))))</f>
        <v>0</v>
      </c>
      <c r="AL591" s="16" t="str">
        <f t="shared" si="212"/>
        <v>-</v>
      </c>
      <c r="AM591" s="8"/>
      <c r="AN591" s="17" t="str">
        <f t="shared" si="213"/>
        <v xml:space="preserve"> </v>
      </c>
      <c r="AO591" s="17" t="str">
        <f t="shared" si="214"/>
        <v xml:space="preserve"> </v>
      </c>
      <c r="AP591" s="16" t="str">
        <f t="shared" si="215"/>
        <v>-</v>
      </c>
      <c r="AQ591" s="8"/>
      <c r="AR591" s="17" t="str">
        <f t="shared" si="216"/>
        <v>-</v>
      </c>
      <c r="AS591" s="17" t="str">
        <f t="shared" si="217"/>
        <v>-</v>
      </c>
      <c r="AT591" s="13" t="str">
        <f t="shared" si="218"/>
        <v>-</v>
      </c>
      <c r="AU591" s="8"/>
    </row>
    <row r="592" spans="1:47" x14ac:dyDescent="0.25">
      <c r="A592" s="31"/>
      <c r="B592" s="31"/>
      <c r="C592"/>
      <c r="D592" s="31"/>
      <c r="E592"/>
      <c r="F592" s="31"/>
      <c r="G592"/>
      <c r="H592" s="27">
        <f>IF($G592&lt;&gt;0,SUMIF(куб!$G:$G,$G592,куб!H:H),IF($E592&lt;&gt;0,SUMIF(куб!$E:$E,$E592,куб!H:H),IF($D592&lt;&gt;0,SUMIF(куб!$D:$D,$D592,куб!H:H),IF($C592&lt;&gt;0,SUMIF(куб!$C:$C,$C592,куб!H:H),IF($B592&lt;&gt;0,SUMIF(куб!$B:$B,$B592,куб!H:H),IF($G592&lt;&gt;0,SUMIF(куб!$A:$A,$G592,куб!H:H),SUMIF(куб!$A:$A,$G592,куб!H:H)))))))</f>
        <v>0</v>
      </c>
      <c r="I592" s="27">
        <f>IF($G592&lt;&gt;0,SUMIF(куб!$G:$G,$G592,куб!I:I),IF($E592&lt;&gt;0,SUMIF(куб!$E:$E,$E592,куб!I:I),IF($D592&lt;&gt;0,SUMIF(куб!$D:$D,$D592,куб!I:I),IF($C592&lt;&gt;0,SUMIF(куб!$C:$C,$C592,куб!I:I),IF($B592&lt;&gt;0,SUMIF(куб!$B:$B,$B592,куб!I:I),IF($G592&lt;&gt;0,SUMIF(куб!$A:$A,$G592,куб!I:I),SUMIF(куб!$A:$A,$G592,куб!I:I)))))))</f>
        <v>0</v>
      </c>
      <c r="J592" s="19" t="str">
        <f t="shared" si="201"/>
        <v>-</v>
      </c>
      <c r="K592" s="8"/>
      <c r="L592" s="17">
        <f t="shared" si="202"/>
        <v>0</v>
      </c>
      <c r="M592" s="17">
        <f t="shared" si="203"/>
        <v>0</v>
      </c>
      <c r="N592" s="12">
        <f t="shared" si="204"/>
        <v>0</v>
      </c>
      <c r="O592" s="5"/>
      <c r="P592" s="27" t="b">
        <f>IF($G592&lt;&gt;0,SUMIF(куб!$G:$G,$G592,куб!J:J),IF($E592&lt;&gt;0,SUMIF(куб!$E:$E,$E592,куб!J:J),IF($D592&lt;&gt;0,SUMIF(куб!$D:$D,$D592,куб!J:J),IF($C592&lt;&gt;0,SUMIF(куб!$C:$C,$C592,куб!J:J),IF($B592&lt;&gt;0,SUMIF(куб!$B:$B,$B592,куб!J:J))))))</f>
        <v>0</v>
      </c>
      <c r="Q592" s="27" t="b">
        <f>IF($G592&lt;&gt;0,SUMIF(куб!$G:$G,$G592,куб!K:K),IF($E592&lt;&gt;0,SUMIF(куб!$E:$E,$E592,куб!K:K),IF($D592&lt;&gt;0,SUMIF(куб!$D:$D,$D592,куб!K:K),IF($C592&lt;&gt;0,SUMIF(куб!$C:$C,$C592,куб!K:K),IF($B592&lt;&gt;0,SUMIF(куб!$B:$B,$B592,куб!K:K))))))</f>
        <v>0</v>
      </c>
      <c r="R592" s="13" t="str">
        <f t="shared" si="205"/>
        <v>-</v>
      </c>
      <c r="S592" s="5"/>
      <c r="T592" s="27" t="b">
        <f>IF($G592&lt;&gt;0,SUMIF(куб!$G:$G,$G592,куб!L:L),IF($E592&lt;&gt;0,SUMIF(куб!$E:$E,$E592,куб!L:L),IF($D592&lt;&gt;0,SUMIF(куб!$D:$D,$D592,куб!L:L),IF($C592&lt;&gt;0,SUMIF(куб!$C:$C,$C592,куб!L:L),IF($B592&lt;&gt;0,SUMIF(куб!$B:$B,$B592,куб!L:L))))))</f>
        <v>0</v>
      </c>
      <c r="U592" s="27" t="b">
        <f>IF($G592&lt;&gt;0,SUMIF(куб!$G:$G,$G592,куб!M:M),IF($E592&lt;&gt;0,SUMIF(куб!$E:$E,$E592,куб!M:M),IF($D592&lt;&gt;0,SUMIF(куб!$D:$D,$D592,куб!M:M),IF($C592&lt;&gt;0,SUMIF(куб!$C:$C,$C592,куб!M:M),IF($B592&lt;&gt;0,SUMIF(куб!$B:$B,$B592,куб!M:M))))))</f>
        <v>0</v>
      </c>
      <c r="V592" s="13" t="str">
        <f t="shared" si="206"/>
        <v>-</v>
      </c>
      <c r="W592" s="5"/>
      <c r="X592" s="27" t="b">
        <f>IF($G592&lt;&gt;0,SUMIF(куб!$G:$G,$G592,куб!N:N),IF($E592&lt;&gt;0,SUMIF(куб!$E:$E,$E592,куб!N:N),IF($D592&lt;&gt;0,SUMIF(куб!$D:$D,$D592,куб!N:N),IF($C592&lt;&gt;0,SUMIF(куб!$C:$C,$C592,куб!N:N),IF($B592&lt;&gt;0,SUMIF(куб!$B:$B,$B592,куб!N:N))))))</f>
        <v>0</v>
      </c>
      <c r="Y592" s="27" t="b">
        <f>IF($G592&lt;&gt;0,SUMIF(куб!$G:$G,$G592,куб!O:O),IF($E592&lt;&gt;0,SUMIF(куб!$E:$E,$E592,куб!O:O),IF($D592&lt;&gt;0,SUMIF(куб!$D:$D,$D592,куб!O:O),IF($C592&lt;&gt;0,SUMIF(куб!$C:$C,$C592,куб!O:O),IF($B592&lt;&gt;0,SUMIF(куб!$B:$B,$B592,куб!O:O))))))</f>
        <v>0</v>
      </c>
      <c r="Z592" s="13" t="str">
        <f t="shared" si="207"/>
        <v>-</v>
      </c>
      <c r="AA592" s="5"/>
      <c r="AB592" s="33" t="str">
        <f t="shared" si="208"/>
        <v/>
      </c>
      <c r="AC592" s="33" t="str">
        <f t="shared" si="209"/>
        <v/>
      </c>
      <c r="AD592" s="15" t="str">
        <f t="shared" si="210"/>
        <v xml:space="preserve"> </v>
      </c>
      <c r="AE592" s="5"/>
      <c r="AF592" s="27" t="b">
        <f>IF($G592&lt;&gt;0,SUMIF(куб!$G:$G,$G592,куб!R:R),IF($E592&lt;&gt;0,SUMIF(куб!$E:$E,$E592,куб!R:R),IF($D592&lt;&gt;0,SUMIF(куб!$D:$D,$D592,куб!R:R),IF($C592&lt;&gt;0,SUMIF(куб!$C:$C,$C592,куб!R:R),IF($B592&lt;&gt;0,SUMIF(куб!$B:$B,$B592,куб!R:R))))))</f>
        <v>0</v>
      </c>
      <c r="AG592" s="27" t="b">
        <f>IF($G592&lt;&gt;0,SUMIF(куб!$G:$G,$G592,куб!S:S),IF($E592&lt;&gt;0,SUMIF(куб!$E:$E,$E592,куб!S:S),IF($D592&lt;&gt;0,SUMIF(куб!$D:$D,$D592,куб!S:S),IF($C592&lt;&gt;0,SUMIF(куб!$C:$C,$C592,куб!S:S),IF($B592&lt;&gt;0,SUMIF(куб!$B:$B,$B592,куб!S:S))))))</f>
        <v>0</v>
      </c>
      <c r="AH592" s="16" t="str">
        <f t="shared" si="211"/>
        <v>-</v>
      </c>
      <c r="AI592" s="8"/>
      <c r="AJ592" s="27" t="b">
        <f>IF($G592&lt;&gt;0,SUMIF(куб!$G:$G,$G592,куб!T:T),IF($E592&lt;&gt;0,SUMIF(куб!$E:$E,$E592,куб!T:T),IF($D592&lt;&gt;0,SUMIF(куб!$D:$D,$D592,куб!T:T),IF($C592&lt;&gt;0,SUMIF(куб!$C:$C,$C592,куб!T:T),IF($B592&lt;&gt;0,SUMIF(куб!$B:$B,$B592,куб!T:T))))))</f>
        <v>0</v>
      </c>
      <c r="AK592" s="27" t="b">
        <f>IF($G592&lt;&gt;0,SUMIF(куб!$G:$G,$G592,куб!U:U),IF($E592&lt;&gt;0,SUMIF(куб!$E:$E,$E592,куб!U:U),IF($D592&lt;&gt;0,SUMIF(куб!$D:$D,$D592,куб!U:U),IF($C592&lt;&gt;0,SUMIF(куб!$C:$C,$C592,куб!U:U),IF($B592&lt;&gt;0,SUMIF(куб!$B:$B,$B592,куб!U:U))))))</f>
        <v>0</v>
      </c>
      <c r="AL592" s="16" t="str">
        <f t="shared" si="212"/>
        <v>-</v>
      </c>
      <c r="AM592" s="8"/>
      <c r="AN592" s="17" t="str">
        <f t="shared" si="213"/>
        <v xml:space="preserve"> </v>
      </c>
      <c r="AO592" s="17" t="str">
        <f t="shared" si="214"/>
        <v xml:space="preserve"> </v>
      </c>
      <c r="AP592" s="16" t="str">
        <f t="shared" si="215"/>
        <v>-</v>
      </c>
      <c r="AQ592" s="8"/>
      <c r="AR592" s="17" t="str">
        <f t="shared" si="216"/>
        <v>-</v>
      </c>
      <c r="AS592" s="17" t="str">
        <f t="shared" si="217"/>
        <v>-</v>
      </c>
      <c r="AT592" s="13" t="str">
        <f t="shared" si="218"/>
        <v>-</v>
      </c>
      <c r="AU592" s="8"/>
    </row>
    <row r="593" spans="1:47" x14ac:dyDescent="0.25">
      <c r="A593" s="31"/>
      <c r="B593" s="31"/>
      <c r="C593"/>
      <c r="D593" s="31"/>
      <c r="E593"/>
      <c r="F593" s="31"/>
      <c r="G593"/>
      <c r="H593" s="27">
        <f>IF($G593&lt;&gt;0,SUMIF(куб!$G:$G,$G593,куб!H:H),IF($E593&lt;&gt;0,SUMIF(куб!$E:$E,$E593,куб!H:H),IF($D593&lt;&gt;0,SUMIF(куб!$D:$D,$D593,куб!H:H),IF($C593&lt;&gt;0,SUMIF(куб!$C:$C,$C593,куб!H:H),IF($B593&lt;&gt;0,SUMIF(куб!$B:$B,$B593,куб!H:H),IF($G593&lt;&gt;0,SUMIF(куб!$A:$A,$G593,куб!H:H),SUMIF(куб!$A:$A,$G593,куб!H:H)))))))</f>
        <v>0</v>
      </c>
      <c r="I593" s="27">
        <f>IF($G593&lt;&gt;0,SUMIF(куб!$G:$G,$G593,куб!I:I),IF($E593&lt;&gt;0,SUMIF(куб!$E:$E,$E593,куб!I:I),IF($D593&lt;&gt;0,SUMIF(куб!$D:$D,$D593,куб!I:I),IF($C593&lt;&gt;0,SUMIF(куб!$C:$C,$C593,куб!I:I),IF($B593&lt;&gt;0,SUMIF(куб!$B:$B,$B593,куб!I:I),IF($G593&lt;&gt;0,SUMIF(куб!$A:$A,$G593,куб!I:I),SUMIF(куб!$A:$A,$G593,куб!I:I)))))))</f>
        <v>0</v>
      </c>
      <c r="J593" s="19" t="str">
        <f t="shared" si="201"/>
        <v>-</v>
      </c>
      <c r="K593" s="8"/>
      <c r="L593" s="17">
        <f t="shared" si="202"/>
        <v>0</v>
      </c>
      <c r="M593" s="17">
        <f t="shared" si="203"/>
        <v>0</v>
      </c>
      <c r="N593" s="12">
        <f t="shared" si="204"/>
        <v>0</v>
      </c>
      <c r="O593" s="5"/>
      <c r="P593" s="27" t="b">
        <f>IF($G593&lt;&gt;0,SUMIF(куб!$G:$G,$G593,куб!J:J),IF($E593&lt;&gt;0,SUMIF(куб!$E:$E,$E593,куб!J:J),IF($D593&lt;&gt;0,SUMIF(куб!$D:$D,$D593,куб!J:J),IF($C593&lt;&gt;0,SUMIF(куб!$C:$C,$C593,куб!J:J),IF($B593&lt;&gt;0,SUMIF(куб!$B:$B,$B593,куб!J:J))))))</f>
        <v>0</v>
      </c>
      <c r="Q593" s="27" t="b">
        <f>IF($G593&lt;&gt;0,SUMIF(куб!$G:$G,$G593,куб!K:K),IF($E593&lt;&gt;0,SUMIF(куб!$E:$E,$E593,куб!K:K),IF($D593&lt;&gt;0,SUMIF(куб!$D:$D,$D593,куб!K:K),IF($C593&lt;&gt;0,SUMIF(куб!$C:$C,$C593,куб!K:K),IF($B593&lt;&gt;0,SUMIF(куб!$B:$B,$B593,куб!K:K))))))</f>
        <v>0</v>
      </c>
      <c r="R593" s="13" t="str">
        <f t="shared" si="205"/>
        <v>-</v>
      </c>
      <c r="S593" s="5"/>
      <c r="T593" s="27" t="b">
        <f>IF($G593&lt;&gt;0,SUMIF(куб!$G:$G,$G593,куб!L:L),IF($E593&lt;&gt;0,SUMIF(куб!$E:$E,$E593,куб!L:L),IF($D593&lt;&gt;0,SUMIF(куб!$D:$D,$D593,куб!L:L),IF($C593&lt;&gt;0,SUMIF(куб!$C:$C,$C593,куб!L:L),IF($B593&lt;&gt;0,SUMIF(куб!$B:$B,$B593,куб!L:L))))))</f>
        <v>0</v>
      </c>
      <c r="U593" s="27" t="b">
        <f>IF($G593&lt;&gt;0,SUMIF(куб!$G:$G,$G593,куб!M:M),IF($E593&lt;&gt;0,SUMIF(куб!$E:$E,$E593,куб!M:M),IF($D593&lt;&gt;0,SUMIF(куб!$D:$D,$D593,куб!M:M),IF($C593&lt;&gt;0,SUMIF(куб!$C:$C,$C593,куб!M:M),IF($B593&lt;&gt;0,SUMIF(куб!$B:$B,$B593,куб!M:M))))))</f>
        <v>0</v>
      </c>
      <c r="V593" s="13" t="str">
        <f t="shared" si="206"/>
        <v>-</v>
      </c>
      <c r="W593" s="5"/>
      <c r="X593" s="27" t="b">
        <f>IF($G593&lt;&gt;0,SUMIF(куб!$G:$G,$G593,куб!N:N),IF($E593&lt;&gt;0,SUMIF(куб!$E:$E,$E593,куб!N:N),IF($D593&lt;&gt;0,SUMIF(куб!$D:$D,$D593,куб!N:N),IF($C593&lt;&gt;0,SUMIF(куб!$C:$C,$C593,куб!N:N),IF($B593&lt;&gt;0,SUMIF(куб!$B:$B,$B593,куб!N:N))))))</f>
        <v>0</v>
      </c>
      <c r="Y593" s="27" t="b">
        <f>IF($G593&lt;&gt;0,SUMIF(куб!$G:$G,$G593,куб!O:O),IF($E593&lt;&gt;0,SUMIF(куб!$E:$E,$E593,куб!O:O),IF($D593&lt;&gt;0,SUMIF(куб!$D:$D,$D593,куб!O:O),IF($C593&lt;&gt;0,SUMIF(куб!$C:$C,$C593,куб!O:O),IF($B593&lt;&gt;0,SUMIF(куб!$B:$B,$B593,куб!O:O))))))</f>
        <v>0</v>
      </c>
      <c r="Z593" s="13" t="str">
        <f t="shared" si="207"/>
        <v>-</v>
      </c>
      <c r="AA593" s="5"/>
      <c r="AB593" s="33" t="str">
        <f t="shared" si="208"/>
        <v/>
      </c>
      <c r="AC593" s="33" t="str">
        <f t="shared" si="209"/>
        <v/>
      </c>
      <c r="AD593" s="15" t="str">
        <f t="shared" si="210"/>
        <v xml:space="preserve"> </v>
      </c>
      <c r="AE593" s="5"/>
      <c r="AF593" s="27" t="b">
        <f>IF($G593&lt;&gt;0,SUMIF(куб!$G:$G,$G593,куб!R:R),IF($E593&lt;&gt;0,SUMIF(куб!$E:$E,$E593,куб!R:R),IF($D593&lt;&gt;0,SUMIF(куб!$D:$D,$D593,куб!R:R),IF($C593&lt;&gt;0,SUMIF(куб!$C:$C,$C593,куб!R:R),IF($B593&lt;&gt;0,SUMIF(куб!$B:$B,$B593,куб!R:R))))))</f>
        <v>0</v>
      </c>
      <c r="AG593" s="27" t="b">
        <f>IF($G593&lt;&gt;0,SUMIF(куб!$G:$G,$G593,куб!S:S),IF($E593&lt;&gt;0,SUMIF(куб!$E:$E,$E593,куб!S:S),IF($D593&lt;&gt;0,SUMIF(куб!$D:$D,$D593,куб!S:S),IF($C593&lt;&gt;0,SUMIF(куб!$C:$C,$C593,куб!S:S),IF($B593&lt;&gt;0,SUMIF(куб!$B:$B,$B593,куб!S:S))))))</f>
        <v>0</v>
      </c>
      <c r="AH593" s="16" t="str">
        <f t="shared" si="211"/>
        <v>-</v>
      </c>
      <c r="AI593" s="8"/>
      <c r="AJ593" s="27" t="b">
        <f>IF($G593&lt;&gt;0,SUMIF(куб!$G:$G,$G593,куб!T:T),IF($E593&lt;&gt;0,SUMIF(куб!$E:$E,$E593,куб!T:T),IF($D593&lt;&gt;0,SUMIF(куб!$D:$D,$D593,куб!T:T),IF($C593&lt;&gt;0,SUMIF(куб!$C:$C,$C593,куб!T:T),IF($B593&lt;&gt;0,SUMIF(куб!$B:$B,$B593,куб!T:T))))))</f>
        <v>0</v>
      </c>
      <c r="AK593" s="27" t="b">
        <f>IF($G593&lt;&gt;0,SUMIF(куб!$G:$G,$G593,куб!U:U),IF($E593&lt;&gt;0,SUMIF(куб!$E:$E,$E593,куб!U:U),IF($D593&lt;&gt;0,SUMIF(куб!$D:$D,$D593,куб!U:U),IF($C593&lt;&gt;0,SUMIF(куб!$C:$C,$C593,куб!U:U),IF($B593&lt;&gt;0,SUMIF(куб!$B:$B,$B593,куб!U:U))))))</f>
        <v>0</v>
      </c>
      <c r="AL593" s="16" t="str">
        <f t="shared" si="212"/>
        <v>-</v>
      </c>
      <c r="AM593" s="8"/>
      <c r="AN593" s="17" t="str">
        <f t="shared" si="213"/>
        <v xml:space="preserve"> </v>
      </c>
      <c r="AO593" s="17" t="str">
        <f t="shared" si="214"/>
        <v xml:space="preserve"> </v>
      </c>
      <c r="AP593" s="16" t="str">
        <f t="shared" si="215"/>
        <v>-</v>
      </c>
      <c r="AQ593" s="8"/>
      <c r="AR593" s="17" t="str">
        <f t="shared" si="216"/>
        <v>-</v>
      </c>
      <c r="AS593" s="17" t="str">
        <f t="shared" si="217"/>
        <v>-</v>
      </c>
      <c r="AT593" s="13" t="str">
        <f t="shared" si="218"/>
        <v>-</v>
      </c>
      <c r="AU593" s="8"/>
    </row>
    <row r="594" spans="1:47" x14ac:dyDescent="0.25">
      <c r="A594" s="31"/>
      <c r="B594" s="31"/>
      <c r="C594"/>
      <c r="D594" s="31"/>
      <c r="E594"/>
      <c r="F594" s="31"/>
      <c r="G594"/>
      <c r="H594" s="27">
        <f>IF($G594&lt;&gt;0,SUMIF(куб!$G:$G,$G594,куб!H:H),IF($E594&lt;&gt;0,SUMIF(куб!$E:$E,$E594,куб!H:H),IF($D594&lt;&gt;0,SUMIF(куб!$D:$D,$D594,куб!H:H),IF($C594&lt;&gt;0,SUMIF(куб!$C:$C,$C594,куб!H:H),IF($B594&lt;&gt;0,SUMIF(куб!$B:$B,$B594,куб!H:H),IF($G594&lt;&gt;0,SUMIF(куб!$A:$A,$G594,куб!H:H),SUMIF(куб!$A:$A,$G594,куб!H:H)))))))</f>
        <v>0</v>
      </c>
      <c r="I594" s="27">
        <f>IF($G594&lt;&gt;0,SUMIF(куб!$G:$G,$G594,куб!I:I),IF($E594&lt;&gt;0,SUMIF(куб!$E:$E,$E594,куб!I:I),IF($D594&lt;&gt;0,SUMIF(куб!$D:$D,$D594,куб!I:I),IF($C594&lt;&gt;0,SUMIF(куб!$C:$C,$C594,куб!I:I),IF($B594&lt;&gt;0,SUMIF(куб!$B:$B,$B594,куб!I:I),IF($G594&lt;&gt;0,SUMIF(куб!$A:$A,$G594,куб!I:I),SUMIF(куб!$A:$A,$G594,куб!I:I)))))))</f>
        <v>0</v>
      </c>
      <c r="J594" s="19" t="str">
        <f t="shared" si="201"/>
        <v>-</v>
      </c>
      <c r="K594" s="8"/>
      <c r="L594" s="17">
        <f t="shared" si="202"/>
        <v>0</v>
      </c>
      <c r="M594" s="17">
        <f t="shared" si="203"/>
        <v>0</v>
      </c>
      <c r="N594" s="12">
        <f t="shared" si="204"/>
        <v>0</v>
      </c>
      <c r="O594" s="5"/>
      <c r="P594" s="27" t="b">
        <f>IF($G594&lt;&gt;0,SUMIF(куб!$G:$G,$G594,куб!J:J),IF($E594&lt;&gt;0,SUMIF(куб!$E:$E,$E594,куб!J:J),IF($D594&lt;&gt;0,SUMIF(куб!$D:$D,$D594,куб!J:J),IF($C594&lt;&gt;0,SUMIF(куб!$C:$C,$C594,куб!J:J),IF($B594&lt;&gt;0,SUMIF(куб!$B:$B,$B594,куб!J:J))))))</f>
        <v>0</v>
      </c>
      <c r="Q594" s="27" t="b">
        <f>IF($G594&lt;&gt;0,SUMIF(куб!$G:$G,$G594,куб!K:K),IF($E594&lt;&gt;0,SUMIF(куб!$E:$E,$E594,куб!K:K),IF($D594&lt;&gt;0,SUMIF(куб!$D:$D,$D594,куб!K:K),IF($C594&lt;&gt;0,SUMIF(куб!$C:$C,$C594,куб!K:K),IF($B594&lt;&gt;0,SUMIF(куб!$B:$B,$B594,куб!K:K))))))</f>
        <v>0</v>
      </c>
      <c r="R594" s="13" t="str">
        <f t="shared" si="205"/>
        <v>-</v>
      </c>
      <c r="S594" s="5"/>
      <c r="T594" s="27" t="b">
        <f>IF($G594&lt;&gt;0,SUMIF(куб!$G:$G,$G594,куб!L:L),IF($E594&lt;&gt;0,SUMIF(куб!$E:$E,$E594,куб!L:L),IF($D594&lt;&gt;0,SUMIF(куб!$D:$D,$D594,куб!L:L),IF($C594&lt;&gt;0,SUMIF(куб!$C:$C,$C594,куб!L:L),IF($B594&lt;&gt;0,SUMIF(куб!$B:$B,$B594,куб!L:L))))))</f>
        <v>0</v>
      </c>
      <c r="U594" s="27" t="b">
        <f>IF($G594&lt;&gt;0,SUMIF(куб!$G:$G,$G594,куб!M:M),IF($E594&lt;&gt;0,SUMIF(куб!$E:$E,$E594,куб!M:M),IF($D594&lt;&gt;0,SUMIF(куб!$D:$D,$D594,куб!M:M),IF($C594&lt;&gt;0,SUMIF(куб!$C:$C,$C594,куб!M:M),IF($B594&lt;&gt;0,SUMIF(куб!$B:$B,$B594,куб!M:M))))))</f>
        <v>0</v>
      </c>
      <c r="V594" s="13" t="str">
        <f t="shared" si="206"/>
        <v>-</v>
      </c>
      <c r="W594" s="5"/>
      <c r="X594" s="27" t="b">
        <f>IF($G594&lt;&gt;0,SUMIF(куб!$G:$G,$G594,куб!N:N),IF($E594&lt;&gt;0,SUMIF(куб!$E:$E,$E594,куб!N:N),IF($D594&lt;&gt;0,SUMIF(куб!$D:$D,$D594,куб!N:N),IF($C594&lt;&gt;0,SUMIF(куб!$C:$C,$C594,куб!N:N),IF($B594&lt;&gt;0,SUMIF(куб!$B:$B,$B594,куб!N:N))))))</f>
        <v>0</v>
      </c>
      <c r="Y594" s="27" t="b">
        <f>IF($G594&lt;&gt;0,SUMIF(куб!$G:$G,$G594,куб!O:O),IF($E594&lt;&gt;0,SUMIF(куб!$E:$E,$E594,куб!O:O),IF($D594&lt;&gt;0,SUMIF(куб!$D:$D,$D594,куб!O:O),IF($C594&lt;&gt;0,SUMIF(куб!$C:$C,$C594,куб!O:O),IF($B594&lt;&gt;0,SUMIF(куб!$B:$B,$B594,куб!O:O))))))</f>
        <v>0</v>
      </c>
      <c r="Z594" s="13" t="str">
        <f t="shared" si="207"/>
        <v>-</v>
      </c>
      <c r="AA594" s="5"/>
      <c r="AB594" s="33" t="str">
        <f t="shared" si="208"/>
        <v/>
      </c>
      <c r="AC594" s="33" t="str">
        <f t="shared" si="209"/>
        <v/>
      </c>
      <c r="AD594" s="15" t="str">
        <f t="shared" si="210"/>
        <v xml:space="preserve"> </v>
      </c>
      <c r="AE594" s="5"/>
      <c r="AF594" s="27" t="b">
        <f>IF($G594&lt;&gt;0,SUMIF(куб!$G:$G,$G594,куб!R:R),IF($E594&lt;&gt;0,SUMIF(куб!$E:$E,$E594,куб!R:R),IF($D594&lt;&gt;0,SUMIF(куб!$D:$D,$D594,куб!R:R),IF($C594&lt;&gt;0,SUMIF(куб!$C:$C,$C594,куб!R:R),IF($B594&lt;&gt;0,SUMIF(куб!$B:$B,$B594,куб!R:R))))))</f>
        <v>0</v>
      </c>
      <c r="AG594" s="27" t="b">
        <f>IF($G594&lt;&gt;0,SUMIF(куб!$G:$G,$G594,куб!S:S),IF($E594&lt;&gt;0,SUMIF(куб!$E:$E,$E594,куб!S:S),IF($D594&lt;&gt;0,SUMIF(куб!$D:$D,$D594,куб!S:S),IF($C594&lt;&gt;0,SUMIF(куб!$C:$C,$C594,куб!S:S),IF($B594&lt;&gt;0,SUMIF(куб!$B:$B,$B594,куб!S:S))))))</f>
        <v>0</v>
      </c>
      <c r="AH594" s="16" t="str">
        <f t="shared" si="211"/>
        <v>-</v>
      </c>
      <c r="AI594" s="8"/>
      <c r="AJ594" s="27" t="b">
        <f>IF($G594&lt;&gt;0,SUMIF(куб!$G:$G,$G594,куб!T:T),IF($E594&lt;&gt;0,SUMIF(куб!$E:$E,$E594,куб!T:T),IF($D594&lt;&gt;0,SUMIF(куб!$D:$D,$D594,куб!T:T),IF($C594&lt;&gt;0,SUMIF(куб!$C:$C,$C594,куб!T:T),IF($B594&lt;&gt;0,SUMIF(куб!$B:$B,$B594,куб!T:T))))))</f>
        <v>0</v>
      </c>
      <c r="AK594" s="27" t="b">
        <f>IF($G594&lt;&gt;0,SUMIF(куб!$G:$G,$G594,куб!U:U),IF($E594&lt;&gt;0,SUMIF(куб!$E:$E,$E594,куб!U:U),IF($D594&lt;&gt;0,SUMIF(куб!$D:$D,$D594,куб!U:U),IF($C594&lt;&gt;0,SUMIF(куб!$C:$C,$C594,куб!U:U),IF($B594&lt;&gt;0,SUMIF(куб!$B:$B,$B594,куб!U:U))))))</f>
        <v>0</v>
      </c>
      <c r="AL594" s="16" t="str">
        <f t="shared" si="212"/>
        <v>-</v>
      </c>
      <c r="AM594" s="8"/>
      <c r="AN594" s="17" t="str">
        <f t="shared" si="213"/>
        <v xml:space="preserve"> </v>
      </c>
      <c r="AO594" s="17" t="str">
        <f t="shared" si="214"/>
        <v xml:space="preserve"> </v>
      </c>
      <c r="AP594" s="16" t="str">
        <f t="shared" si="215"/>
        <v>-</v>
      </c>
      <c r="AQ594" s="8"/>
      <c r="AR594" s="17" t="str">
        <f t="shared" si="216"/>
        <v>-</v>
      </c>
      <c r="AS594" s="17" t="str">
        <f t="shared" si="217"/>
        <v>-</v>
      </c>
      <c r="AT594" s="13" t="str">
        <f t="shared" si="218"/>
        <v>-</v>
      </c>
      <c r="AU594" s="8"/>
    </row>
    <row r="595" spans="1:47" x14ac:dyDescent="0.25">
      <c r="A595" s="31"/>
      <c r="B595" s="31"/>
      <c r="C595"/>
      <c r="D595" s="31"/>
      <c r="E595"/>
      <c r="F595" s="31"/>
      <c r="G595"/>
      <c r="H595" s="27">
        <f>IF($G595&lt;&gt;0,SUMIF(куб!$G:$G,$G595,куб!H:H),IF($E595&lt;&gt;0,SUMIF(куб!$E:$E,$E595,куб!H:H),IF($D595&lt;&gt;0,SUMIF(куб!$D:$D,$D595,куб!H:H),IF($C595&lt;&gt;0,SUMIF(куб!$C:$C,$C595,куб!H:H),IF($B595&lt;&gt;0,SUMIF(куб!$B:$B,$B595,куб!H:H),IF($G595&lt;&gt;0,SUMIF(куб!$A:$A,$G595,куб!H:H),SUMIF(куб!$A:$A,$G595,куб!H:H)))))))</f>
        <v>0</v>
      </c>
      <c r="I595" s="27">
        <f>IF($G595&lt;&gt;0,SUMIF(куб!$G:$G,$G595,куб!I:I),IF($E595&lt;&gt;0,SUMIF(куб!$E:$E,$E595,куб!I:I),IF($D595&lt;&gt;0,SUMIF(куб!$D:$D,$D595,куб!I:I),IF($C595&lt;&gt;0,SUMIF(куб!$C:$C,$C595,куб!I:I),IF($B595&lt;&gt;0,SUMIF(куб!$B:$B,$B595,куб!I:I),IF($G595&lt;&gt;0,SUMIF(куб!$A:$A,$G595,куб!I:I),SUMIF(куб!$A:$A,$G595,куб!I:I)))))))</f>
        <v>0</v>
      </c>
      <c r="J595" s="19" t="str">
        <f t="shared" si="201"/>
        <v>-</v>
      </c>
      <c r="K595" s="8"/>
      <c r="L595" s="17">
        <f t="shared" si="202"/>
        <v>0</v>
      </c>
      <c r="M595" s="17">
        <f t="shared" si="203"/>
        <v>0</v>
      </c>
      <c r="N595" s="12">
        <f t="shared" si="204"/>
        <v>0</v>
      </c>
      <c r="O595" s="5"/>
      <c r="P595" s="27" t="b">
        <f>IF($G595&lt;&gt;0,SUMIF(куб!$G:$G,$G595,куб!J:J),IF($E595&lt;&gt;0,SUMIF(куб!$E:$E,$E595,куб!J:J),IF($D595&lt;&gt;0,SUMIF(куб!$D:$D,$D595,куб!J:J),IF($C595&lt;&gt;0,SUMIF(куб!$C:$C,$C595,куб!J:J),IF($B595&lt;&gt;0,SUMIF(куб!$B:$B,$B595,куб!J:J))))))</f>
        <v>0</v>
      </c>
      <c r="Q595" s="27" t="b">
        <f>IF($G595&lt;&gt;0,SUMIF(куб!$G:$G,$G595,куб!K:K),IF($E595&lt;&gt;0,SUMIF(куб!$E:$E,$E595,куб!K:K),IF($D595&lt;&gt;0,SUMIF(куб!$D:$D,$D595,куб!K:K),IF($C595&lt;&gt;0,SUMIF(куб!$C:$C,$C595,куб!K:K),IF($B595&lt;&gt;0,SUMIF(куб!$B:$B,$B595,куб!K:K))))))</f>
        <v>0</v>
      </c>
      <c r="R595" s="13" t="str">
        <f t="shared" si="205"/>
        <v>-</v>
      </c>
      <c r="S595" s="5"/>
      <c r="T595" s="27" t="b">
        <f>IF($G595&lt;&gt;0,SUMIF(куб!$G:$G,$G595,куб!L:L),IF($E595&lt;&gt;0,SUMIF(куб!$E:$E,$E595,куб!L:L),IF($D595&lt;&gt;0,SUMIF(куб!$D:$D,$D595,куб!L:L),IF($C595&lt;&gt;0,SUMIF(куб!$C:$C,$C595,куб!L:L),IF($B595&lt;&gt;0,SUMIF(куб!$B:$B,$B595,куб!L:L))))))</f>
        <v>0</v>
      </c>
      <c r="U595" s="27" t="b">
        <f>IF($G595&lt;&gt;0,SUMIF(куб!$G:$G,$G595,куб!M:M),IF($E595&lt;&gt;0,SUMIF(куб!$E:$E,$E595,куб!M:M),IF($D595&lt;&gt;0,SUMIF(куб!$D:$D,$D595,куб!M:M),IF($C595&lt;&gt;0,SUMIF(куб!$C:$C,$C595,куб!M:M),IF($B595&lt;&gt;0,SUMIF(куб!$B:$B,$B595,куб!M:M))))))</f>
        <v>0</v>
      </c>
      <c r="V595" s="13" t="str">
        <f t="shared" si="206"/>
        <v>-</v>
      </c>
      <c r="W595" s="5"/>
      <c r="X595" s="27" t="b">
        <f>IF($G595&lt;&gt;0,SUMIF(куб!$G:$G,$G595,куб!N:N),IF($E595&lt;&gt;0,SUMIF(куб!$E:$E,$E595,куб!N:N),IF($D595&lt;&gt;0,SUMIF(куб!$D:$D,$D595,куб!N:N),IF($C595&lt;&gt;0,SUMIF(куб!$C:$C,$C595,куб!N:N),IF($B595&lt;&gt;0,SUMIF(куб!$B:$B,$B595,куб!N:N))))))</f>
        <v>0</v>
      </c>
      <c r="Y595" s="27" t="b">
        <f>IF($G595&lt;&gt;0,SUMIF(куб!$G:$G,$G595,куб!O:O),IF($E595&lt;&gt;0,SUMIF(куб!$E:$E,$E595,куб!O:O),IF($D595&lt;&gt;0,SUMIF(куб!$D:$D,$D595,куб!O:O),IF($C595&lt;&gt;0,SUMIF(куб!$C:$C,$C595,куб!O:O),IF($B595&lt;&gt;0,SUMIF(куб!$B:$B,$B595,куб!O:O))))))</f>
        <v>0</v>
      </c>
      <c r="Z595" s="13" t="str">
        <f t="shared" si="207"/>
        <v>-</v>
      </c>
      <c r="AA595" s="5"/>
      <c r="AB595" s="33" t="str">
        <f t="shared" si="208"/>
        <v/>
      </c>
      <c r="AC595" s="33" t="str">
        <f t="shared" si="209"/>
        <v/>
      </c>
      <c r="AD595" s="15" t="str">
        <f t="shared" si="210"/>
        <v xml:space="preserve"> </v>
      </c>
      <c r="AE595" s="5"/>
      <c r="AF595" s="27" t="b">
        <f>IF($G595&lt;&gt;0,SUMIF(куб!$G:$G,$G595,куб!R:R),IF($E595&lt;&gt;0,SUMIF(куб!$E:$E,$E595,куб!R:R),IF($D595&lt;&gt;0,SUMIF(куб!$D:$D,$D595,куб!R:R),IF($C595&lt;&gt;0,SUMIF(куб!$C:$C,$C595,куб!R:R),IF($B595&lt;&gt;0,SUMIF(куб!$B:$B,$B595,куб!R:R))))))</f>
        <v>0</v>
      </c>
      <c r="AG595" s="27" t="b">
        <f>IF($G595&lt;&gt;0,SUMIF(куб!$G:$G,$G595,куб!S:S),IF($E595&lt;&gt;0,SUMIF(куб!$E:$E,$E595,куб!S:S),IF($D595&lt;&gt;0,SUMIF(куб!$D:$D,$D595,куб!S:S),IF($C595&lt;&gt;0,SUMIF(куб!$C:$C,$C595,куб!S:S),IF($B595&lt;&gt;0,SUMIF(куб!$B:$B,$B595,куб!S:S))))))</f>
        <v>0</v>
      </c>
      <c r="AH595" s="16" t="str">
        <f t="shared" si="211"/>
        <v>-</v>
      </c>
      <c r="AI595" s="8"/>
      <c r="AJ595" s="27" t="b">
        <f>IF($G595&lt;&gt;0,SUMIF(куб!$G:$G,$G595,куб!T:T),IF($E595&lt;&gt;0,SUMIF(куб!$E:$E,$E595,куб!T:T),IF($D595&lt;&gt;0,SUMIF(куб!$D:$D,$D595,куб!T:T),IF($C595&lt;&gt;0,SUMIF(куб!$C:$C,$C595,куб!T:T),IF($B595&lt;&gt;0,SUMIF(куб!$B:$B,$B595,куб!T:T))))))</f>
        <v>0</v>
      </c>
      <c r="AK595" s="27" t="b">
        <f>IF($G595&lt;&gt;0,SUMIF(куб!$G:$G,$G595,куб!U:U),IF($E595&lt;&gt;0,SUMIF(куб!$E:$E,$E595,куб!U:U),IF($D595&lt;&gt;0,SUMIF(куб!$D:$D,$D595,куб!U:U),IF($C595&lt;&gt;0,SUMIF(куб!$C:$C,$C595,куб!U:U),IF($B595&lt;&gt;0,SUMIF(куб!$B:$B,$B595,куб!U:U))))))</f>
        <v>0</v>
      </c>
      <c r="AL595" s="16" t="str">
        <f t="shared" si="212"/>
        <v>-</v>
      </c>
      <c r="AM595" s="8"/>
      <c r="AN595" s="17" t="str">
        <f t="shared" si="213"/>
        <v xml:space="preserve"> </v>
      </c>
      <c r="AO595" s="17" t="str">
        <f t="shared" si="214"/>
        <v xml:space="preserve"> </v>
      </c>
      <c r="AP595" s="16" t="str">
        <f t="shared" si="215"/>
        <v>-</v>
      </c>
      <c r="AQ595" s="8"/>
      <c r="AR595" s="17" t="str">
        <f t="shared" si="216"/>
        <v>-</v>
      </c>
      <c r="AS595" s="17" t="str">
        <f t="shared" si="217"/>
        <v>-</v>
      </c>
      <c r="AT595" s="13" t="str">
        <f t="shared" si="218"/>
        <v>-</v>
      </c>
      <c r="AU595" s="8"/>
    </row>
    <row r="596" spans="1:47" x14ac:dyDescent="0.25">
      <c r="A596" s="31"/>
      <c r="B596" s="31"/>
      <c r="C596"/>
      <c r="D596" s="31"/>
      <c r="E596"/>
      <c r="F596" s="31"/>
      <c r="G596"/>
      <c r="H596" s="27">
        <f>IF($G596&lt;&gt;0,SUMIF(куб!$G:$G,$G596,куб!H:H),IF($E596&lt;&gt;0,SUMIF(куб!$E:$E,$E596,куб!H:H),IF($D596&lt;&gt;0,SUMIF(куб!$D:$D,$D596,куб!H:H),IF($C596&lt;&gt;0,SUMIF(куб!$C:$C,$C596,куб!H:H),IF($B596&lt;&gt;0,SUMIF(куб!$B:$B,$B596,куб!H:H),IF($G596&lt;&gt;0,SUMIF(куб!$A:$A,$G596,куб!H:H),SUMIF(куб!$A:$A,$G596,куб!H:H)))))))</f>
        <v>0</v>
      </c>
      <c r="I596" s="27">
        <f>IF($G596&lt;&gt;0,SUMIF(куб!$G:$G,$G596,куб!I:I),IF($E596&lt;&gt;0,SUMIF(куб!$E:$E,$E596,куб!I:I),IF($D596&lt;&gt;0,SUMIF(куб!$D:$D,$D596,куб!I:I),IF($C596&lt;&gt;0,SUMIF(куб!$C:$C,$C596,куб!I:I),IF($B596&lt;&gt;0,SUMIF(куб!$B:$B,$B596,куб!I:I),IF($G596&lt;&gt;0,SUMIF(куб!$A:$A,$G596,куб!I:I),SUMIF(куб!$A:$A,$G596,куб!I:I)))))))</f>
        <v>0</v>
      </c>
      <c r="J596" s="19" t="str">
        <f t="shared" si="201"/>
        <v>-</v>
      </c>
      <c r="K596" s="8"/>
      <c r="L596" s="17">
        <f t="shared" si="202"/>
        <v>0</v>
      </c>
      <c r="M596" s="17">
        <f t="shared" si="203"/>
        <v>0</v>
      </c>
      <c r="N596" s="12">
        <f t="shared" si="204"/>
        <v>0</v>
      </c>
      <c r="O596" s="5"/>
      <c r="P596" s="27" t="b">
        <f>IF($G596&lt;&gt;0,SUMIF(куб!$G:$G,$G596,куб!J:J),IF($E596&lt;&gt;0,SUMIF(куб!$E:$E,$E596,куб!J:J),IF($D596&lt;&gt;0,SUMIF(куб!$D:$D,$D596,куб!J:J),IF($C596&lt;&gt;0,SUMIF(куб!$C:$C,$C596,куб!J:J),IF($B596&lt;&gt;0,SUMIF(куб!$B:$B,$B596,куб!J:J))))))</f>
        <v>0</v>
      </c>
      <c r="Q596" s="27" t="b">
        <f>IF($G596&lt;&gt;0,SUMIF(куб!$G:$G,$G596,куб!K:K),IF($E596&lt;&gt;0,SUMIF(куб!$E:$E,$E596,куб!K:K),IF($D596&lt;&gt;0,SUMIF(куб!$D:$D,$D596,куб!K:K),IF($C596&lt;&gt;0,SUMIF(куб!$C:$C,$C596,куб!K:K),IF($B596&lt;&gt;0,SUMIF(куб!$B:$B,$B596,куб!K:K))))))</f>
        <v>0</v>
      </c>
      <c r="R596" s="13" t="str">
        <f t="shared" si="205"/>
        <v>-</v>
      </c>
      <c r="S596" s="5"/>
      <c r="T596" s="27" t="b">
        <f>IF($G596&lt;&gt;0,SUMIF(куб!$G:$G,$G596,куб!L:L),IF($E596&lt;&gt;0,SUMIF(куб!$E:$E,$E596,куб!L:L),IF($D596&lt;&gt;0,SUMIF(куб!$D:$D,$D596,куб!L:L),IF($C596&lt;&gt;0,SUMIF(куб!$C:$C,$C596,куб!L:L),IF($B596&lt;&gt;0,SUMIF(куб!$B:$B,$B596,куб!L:L))))))</f>
        <v>0</v>
      </c>
      <c r="U596" s="27" t="b">
        <f>IF($G596&lt;&gt;0,SUMIF(куб!$G:$G,$G596,куб!M:M),IF($E596&lt;&gt;0,SUMIF(куб!$E:$E,$E596,куб!M:M),IF($D596&lt;&gt;0,SUMIF(куб!$D:$D,$D596,куб!M:M),IF($C596&lt;&gt;0,SUMIF(куб!$C:$C,$C596,куб!M:M),IF($B596&lt;&gt;0,SUMIF(куб!$B:$B,$B596,куб!M:M))))))</f>
        <v>0</v>
      </c>
      <c r="V596" s="13" t="str">
        <f t="shared" si="206"/>
        <v>-</v>
      </c>
      <c r="W596" s="5"/>
      <c r="X596" s="27" t="b">
        <f>IF($G596&lt;&gt;0,SUMIF(куб!$G:$G,$G596,куб!N:N),IF($E596&lt;&gt;0,SUMIF(куб!$E:$E,$E596,куб!N:N),IF($D596&lt;&gt;0,SUMIF(куб!$D:$D,$D596,куб!N:N),IF($C596&lt;&gt;0,SUMIF(куб!$C:$C,$C596,куб!N:N),IF($B596&lt;&gt;0,SUMIF(куб!$B:$B,$B596,куб!N:N))))))</f>
        <v>0</v>
      </c>
      <c r="Y596" s="27" t="b">
        <f>IF($G596&lt;&gt;0,SUMIF(куб!$G:$G,$G596,куб!O:O),IF($E596&lt;&gt;0,SUMIF(куб!$E:$E,$E596,куб!O:O),IF($D596&lt;&gt;0,SUMIF(куб!$D:$D,$D596,куб!O:O),IF($C596&lt;&gt;0,SUMIF(куб!$C:$C,$C596,куб!O:O),IF($B596&lt;&gt;0,SUMIF(куб!$B:$B,$B596,куб!O:O))))))</f>
        <v>0</v>
      </c>
      <c r="Z596" s="13" t="str">
        <f t="shared" si="207"/>
        <v>-</v>
      </c>
      <c r="AA596" s="5"/>
      <c r="AB596" s="33" t="str">
        <f t="shared" si="208"/>
        <v/>
      </c>
      <c r="AC596" s="33" t="str">
        <f t="shared" si="209"/>
        <v/>
      </c>
      <c r="AD596" s="15" t="str">
        <f t="shared" si="210"/>
        <v xml:space="preserve"> </v>
      </c>
      <c r="AE596" s="5"/>
      <c r="AF596" s="27" t="b">
        <f>IF($G596&lt;&gt;0,SUMIF(куб!$G:$G,$G596,куб!R:R),IF($E596&lt;&gt;0,SUMIF(куб!$E:$E,$E596,куб!R:R),IF($D596&lt;&gt;0,SUMIF(куб!$D:$D,$D596,куб!R:R),IF($C596&lt;&gt;0,SUMIF(куб!$C:$C,$C596,куб!R:R),IF($B596&lt;&gt;0,SUMIF(куб!$B:$B,$B596,куб!R:R))))))</f>
        <v>0</v>
      </c>
      <c r="AG596" s="27" t="b">
        <f>IF($G596&lt;&gt;0,SUMIF(куб!$G:$G,$G596,куб!S:S),IF($E596&lt;&gt;0,SUMIF(куб!$E:$E,$E596,куб!S:S),IF($D596&lt;&gt;0,SUMIF(куб!$D:$D,$D596,куб!S:S),IF($C596&lt;&gt;0,SUMIF(куб!$C:$C,$C596,куб!S:S),IF($B596&lt;&gt;0,SUMIF(куб!$B:$B,$B596,куб!S:S))))))</f>
        <v>0</v>
      </c>
      <c r="AH596" s="16" t="str">
        <f t="shared" si="211"/>
        <v>-</v>
      </c>
      <c r="AI596" s="8"/>
      <c r="AJ596" s="27" t="b">
        <f>IF($G596&lt;&gt;0,SUMIF(куб!$G:$G,$G596,куб!T:T),IF($E596&lt;&gt;0,SUMIF(куб!$E:$E,$E596,куб!T:T),IF($D596&lt;&gt;0,SUMIF(куб!$D:$D,$D596,куб!T:T),IF($C596&lt;&gt;0,SUMIF(куб!$C:$C,$C596,куб!T:T),IF($B596&lt;&gt;0,SUMIF(куб!$B:$B,$B596,куб!T:T))))))</f>
        <v>0</v>
      </c>
      <c r="AK596" s="27" t="b">
        <f>IF($G596&lt;&gt;0,SUMIF(куб!$G:$G,$G596,куб!U:U),IF($E596&lt;&gt;0,SUMIF(куб!$E:$E,$E596,куб!U:U),IF($D596&lt;&gt;0,SUMIF(куб!$D:$D,$D596,куб!U:U),IF($C596&lt;&gt;0,SUMIF(куб!$C:$C,$C596,куб!U:U),IF($B596&lt;&gt;0,SUMIF(куб!$B:$B,$B596,куб!U:U))))))</f>
        <v>0</v>
      </c>
      <c r="AL596" s="16" t="str">
        <f t="shared" si="212"/>
        <v>-</v>
      </c>
      <c r="AM596" s="8"/>
      <c r="AN596" s="17" t="str">
        <f t="shared" si="213"/>
        <v xml:space="preserve"> </v>
      </c>
      <c r="AO596" s="17" t="str">
        <f t="shared" si="214"/>
        <v xml:space="preserve"> </v>
      </c>
      <c r="AP596" s="16" t="str">
        <f t="shared" si="215"/>
        <v>-</v>
      </c>
      <c r="AQ596" s="8"/>
      <c r="AR596" s="17" t="str">
        <f t="shared" si="216"/>
        <v>-</v>
      </c>
      <c r="AS596" s="17" t="str">
        <f t="shared" si="217"/>
        <v>-</v>
      </c>
      <c r="AT596" s="13" t="str">
        <f t="shared" si="218"/>
        <v>-</v>
      </c>
      <c r="AU596" s="8"/>
    </row>
    <row r="597" spans="1:47" x14ac:dyDescent="0.25">
      <c r="A597" s="31"/>
      <c r="B597" s="31"/>
      <c r="C597"/>
      <c r="D597" s="31"/>
      <c r="E597"/>
      <c r="F597" s="31"/>
      <c r="G597"/>
      <c r="H597" s="27">
        <f>IF($G597&lt;&gt;0,SUMIF(куб!$G:$G,$G597,куб!H:H),IF($E597&lt;&gt;0,SUMIF(куб!$E:$E,$E597,куб!H:H),IF($D597&lt;&gt;0,SUMIF(куб!$D:$D,$D597,куб!H:H),IF($C597&lt;&gt;0,SUMIF(куб!$C:$C,$C597,куб!H:H),IF($B597&lt;&gt;0,SUMIF(куб!$B:$B,$B597,куб!H:H),IF($G597&lt;&gt;0,SUMIF(куб!$A:$A,$G597,куб!H:H),SUMIF(куб!$A:$A,$G597,куб!H:H)))))))</f>
        <v>0</v>
      </c>
      <c r="I597" s="27">
        <f>IF($G597&lt;&gt;0,SUMIF(куб!$G:$G,$G597,куб!I:I),IF($E597&lt;&gt;0,SUMIF(куб!$E:$E,$E597,куб!I:I),IF($D597&lt;&gt;0,SUMIF(куб!$D:$D,$D597,куб!I:I),IF($C597&lt;&gt;0,SUMIF(куб!$C:$C,$C597,куб!I:I),IF($B597&lt;&gt;0,SUMIF(куб!$B:$B,$B597,куб!I:I),IF($G597&lt;&gt;0,SUMIF(куб!$A:$A,$G597,куб!I:I),SUMIF(куб!$A:$A,$G597,куб!I:I)))))))</f>
        <v>0</v>
      </c>
      <c r="J597" s="19" t="str">
        <f t="shared" si="201"/>
        <v>-</v>
      </c>
      <c r="K597" s="8"/>
      <c r="L597" s="17">
        <f t="shared" si="202"/>
        <v>0</v>
      </c>
      <c r="M597" s="17">
        <f t="shared" si="203"/>
        <v>0</v>
      </c>
      <c r="N597" s="12">
        <f t="shared" si="204"/>
        <v>0</v>
      </c>
      <c r="O597" s="5"/>
      <c r="P597" s="27" t="b">
        <f>IF($G597&lt;&gt;0,SUMIF(куб!$G:$G,$G597,куб!J:J),IF($E597&lt;&gt;0,SUMIF(куб!$E:$E,$E597,куб!J:J),IF($D597&lt;&gt;0,SUMIF(куб!$D:$D,$D597,куб!J:J),IF($C597&lt;&gt;0,SUMIF(куб!$C:$C,$C597,куб!J:J),IF($B597&lt;&gt;0,SUMIF(куб!$B:$B,$B597,куб!J:J))))))</f>
        <v>0</v>
      </c>
      <c r="Q597" s="27" t="b">
        <f>IF($G597&lt;&gt;0,SUMIF(куб!$G:$G,$G597,куб!K:K),IF($E597&lt;&gt;0,SUMIF(куб!$E:$E,$E597,куб!K:K),IF($D597&lt;&gt;0,SUMIF(куб!$D:$D,$D597,куб!K:K),IF($C597&lt;&gt;0,SUMIF(куб!$C:$C,$C597,куб!K:K),IF($B597&lt;&gt;0,SUMIF(куб!$B:$B,$B597,куб!K:K))))))</f>
        <v>0</v>
      </c>
      <c r="R597" s="13" t="str">
        <f t="shared" si="205"/>
        <v>-</v>
      </c>
      <c r="S597" s="5"/>
      <c r="T597" s="27" t="b">
        <f>IF($G597&lt;&gt;0,SUMIF(куб!$G:$G,$G597,куб!L:L),IF($E597&lt;&gt;0,SUMIF(куб!$E:$E,$E597,куб!L:L),IF($D597&lt;&gt;0,SUMIF(куб!$D:$D,$D597,куб!L:L),IF($C597&lt;&gt;0,SUMIF(куб!$C:$C,$C597,куб!L:L),IF($B597&lt;&gt;0,SUMIF(куб!$B:$B,$B597,куб!L:L))))))</f>
        <v>0</v>
      </c>
      <c r="U597" s="27" t="b">
        <f>IF($G597&lt;&gt;0,SUMIF(куб!$G:$G,$G597,куб!M:M),IF($E597&lt;&gt;0,SUMIF(куб!$E:$E,$E597,куб!M:M),IF($D597&lt;&gt;0,SUMIF(куб!$D:$D,$D597,куб!M:M),IF($C597&lt;&gt;0,SUMIF(куб!$C:$C,$C597,куб!M:M),IF($B597&lt;&gt;0,SUMIF(куб!$B:$B,$B597,куб!M:M))))))</f>
        <v>0</v>
      </c>
      <c r="V597" s="13" t="str">
        <f t="shared" si="206"/>
        <v>-</v>
      </c>
      <c r="W597" s="5"/>
      <c r="X597" s="27" t="b">
        <f>IF($G597&lt;&gt;0,SUMIF(куб!$G:$G,$G597,куб!N:N),IF($E597&lt;&gt;0,SUMIF(куб!$E:$E,$E597,куб!N:N),IF($D597&lt;&gt;0,SUMIF(куб!$D:$D,$D597,куб!N:N),IF($C597&lt;&gt;0,SUMIF(куб!$C:$C,$C597,куб!N:N),IF($B597&lt;&gt;0,SUMIF(куб!$B:$B,$B597,куб!N:N))))))</f>
        <v>0</v>
      </c>
      <c r="Y597" s="27" t="b">
        <f>IF($G597&lt;&gt;0,SUMIF(куб!$G:$G,$G597,куб!O:O),IF($E597&lt;&gt;0,SUMIF(куб!$E:$E,$E597,куб!O:O),IF($D597&lt;&gt;0,SUMIF(куб!$D:$D,$D597,куб!O:O),IF($C597&lt;&gt;0,SUMIF(куб!$C:$C,$C597,куб!O:O),IF($B597&lt;&gt;0,SUMIF(куб!$B:$B,$B597,куб!O:O))))))</f>
        <v>0</v>
      </c>
      <c r="Z597" s="13" t="str">
        <f t="shared" si="207"/>
        <v>-</v>
      </c>
      <c r="AA597" s="5"/>
      <c r="AB597" s="33" t="str">
        <f t="shared" si="208"/>
        <v/>
      </c>
      <c r="AC597" s="33" t="str">
        <f t="shared" si="209"/>
        <v/>
      </c>
      <c r="AD597" s="15" t="str">
        <f t="shared" si="210"/>
        <v xml:space="preserve"> </v>
      </c>
      <c r="AE597" s="5"/>
      <c r="AF597" s="27" t="b">
        <f>IF($G597&lt;&gt;0,SUMIF(куб!$G:$G,$G597,куб!R:R),IF($E597&lt;&gt;0,SUMIF(куб!$E:$E,$E597,куб!R:R),IF($D597&lt;&gt;0,SUMIF(куб!$D:$D,$D597,куб!R:R),IF($C597&lt;&gt;0,SUMIF(куб!$C:$C,$C597,куб!R:R),IF($B597&lt;&gt;0,SUMIF(куб!$B:$B,$B597,куб!R:R))))))</f>
        <v>0</v>
      </c>
      <c r="AG597" s="27" t="b">
        <f>IF($G597&lt;&gt;0,SUMIF(куб!$G:$G,$G597,куб!S:S),IF($E597&lt;&gt;0,SUMIF(куб!$E:$E,$E597,куб!S:S),IF($D597&lt;&gt;0,SUMIF(куб!$D:$D,$D597,куб!S:S),IF($C597&lt;&gt;0,SUMIF(куб!$C:$C,$C597,куб!S:S),IF($B597&lt;&gt;0,SUMIF(куб!$B:$B,$B597,куб!S:S))))))</f>
        <v>0</v>
      </c>
      <c r="AH597" s="16" t="str">
        <f t="shared" si="211"/>
        <v>-</v>
      </c>
      <c r="AI597" s="8"/>
      <c r="AJ597" s="27" t="b">
        <f>IF($G597&lt;&gt;0,SUMIF(куб!$G:$G,$G597,куб!T:T),IF($E597&lt;&gt;0,SUMIF(куб!$E:$E,$E597,куб!T:T),IF($D597&lt;&gt;0,SUMIF(куб!$D:$D,$D597,куб!T:T),IF($C597&lt;&gt;0,SUMIF(куб!$C:$C,$C597,куб!T:T),IF($B597&lt;&gt;0,SUMIF(куб!$B:$B,$B597,куб!T:T))))))</f>
        <v>0</v>
      </c>
      <c r="AK597" s="27" t="b">
        <f>IF($G597&lt;&gt;0,SUMIF(куб!$G:$G,$G597,куб!U:U),IF($E597&lt;&gt;0,SUMIF(куб!$E:$E,$E597,куб!U:U),IF($D597&lt;&gt;0,SUMIF(куб!$D:$D,$D597,куб!U:U),IF($C597&lt;&gt;0,SUMIF(куб!$C:$C,$C597,куб!U:U),IF($B597&lt;&gt;0,SUMIF(куб!$B:$B,$B597,куб!U:U))))))</f>
        <v>0</v>
      </c>
      <c r="AL597" s="16" t="str">
        <f t="shared" si="212"/>
        <v>-</v>
      </c>
      <c r="AM597" s="8"/>
      <c r="AN597" s="17" t="str">
        <f t="shared" si="213"/>
        <v xml:space="preserve"> </v>
      </c>
      <c r="AO597" s="17" t="str">
        <f t="shared" si="214"/>
        <v xml:space="preserve"> </v>
      </c>
      <c r="AP597" s="16" t="str">
        <f t="shared" si="215"/>
        <v>-</v>
      </c>
      <c r="AQ597" s="8"/>
      <c r="AR597" s="17" t="str">
        <f t="shared" si="216"/>
        <v>-</v>
      </c>
      <c r="AS597" s="17" t="str">
        <f t="shared" si="217"/>
        <v>-</v>
      </c>
      <c r="AT597" s="13" t="str">
        <f t="shared" si="218"/>
        <v>-</v>
      </c>
      <c r="AU597" s="8"/>
    </row>
    <row r="598" spans="1:47" x14ac:dyDescent="0.25">
      <c r="A598" s="31"/>
      <c r="B598" s="31"/>
      <c r="C598"/>
      <c r="D598" s="31"/>
      <c r="E598"/>
      <c r="F598" s="31"/>
      <c r="G598"/>
      <c r="H598" s="27">
        <f>IF($G598&lt;&gt;0,SUMIF(куб!$G:$G,$G598,куб!H:H),IF($E598&lt;&gt;0,SUMIF(куб!$E:$E,$E598,куб!H:H),IF($D598&lt;&gt;0,SUMIF(куб!$D:$D,$D598,куб!H:H),IF($C598&lt;&gt;0,SUMIF(куб!$C:$C,$C598,куб!H:H),IF($B598&lt;&gt;0,SUMIF(куб!$B:$B,$B598,куб!H:H),IF($G598&lt;&gt;0,SUMIF(куб!$A:$A,$G598,куб!H:H),SUMIF(куб!$A:$A,$G598,куб!H:H)))))))</f>
        <v>0</v>
      </c>
      <c r="I598" s="27">
        <f>IF($G598&lt;&gt;0,SUMIF(куб!$G:$G,$G598,куб!I:I),IF($E598&lt;&gt;0,SUMIF(куб!$E:$E,$E598,куб!I:I),IF($D598&lt;&gt;0,SUMIF(куб!$D:$D,$D598,куб!I:I),IF($C598&lt;&gt;0,SUMIF(куб!$C:$C,$C598,куб!I:I),IF($B598&lt;&gt;0,SUMIF(куб!$B:$B,$B598,куб!I:I),IF($G598&lt;&gt;0,SUMIF(куб!$A:$A,$G598,куб!I:I),SUMIF(куб!$A:$A,$G598,куб!I:I)))))))</f>
        <v>0</v>
      </c>
      <c r="J598" s="19" t="str">
        <f t="shared" si="201"/>
        <v>-</v>
      </c>
      <c r="K598" s="8"/>
      <c r="L598" s="17">
        <f t="shared" si="202"/>
        <v>0</v>
      </c>
      <c r="M598" s="17">
        <f t="shared" si="203"/>
        <v>0</v>
      </c>
      <c r="N598" s="12">
        <f t="shared" si="204"/>
        <v>0</v>
      </c>
      <c r="O598" s="5"/>
      <c r="P598" s="27" t="b">
        <f>IF($G598&lt;&gt;0,SUMIF(куб!$G:$G,$G598,куб!J:J),IF($E598&lt;&gt;0,SUMIF(куб!$E:$E,$E598,куб!J:J),IF($D598&lt;&gt;0,SUMIF(куб!$D:$D,$D598,куб!J:J),IF($C598&lt;&gt;0,SUMIF(куб!$C:$C,$C598,куб!J:J),IF($B598&lt;&gt;0,SUMIF(куб!$B:$B,$B598,куб!J:J))))))</f>
        <v>0</v>
      </c>
      <c r="Q598" s="27" t="b">
        <f>IF($G598&lt;&gt;0,SUMIF(куб!$G:$G,$G598,куб!K:K),IF($E598&lt;&gt;0,SUMIF(куб!$E:$E,$E598,куб!K:K),IF($D598&lt;&gt;0,SUMIF(куб!$D:$D,$D598,куб!K:K),IF($C598&lt;&gt;0,SUMIF(куб!$C:$C,$C598,куб!K:K),IF($B598&lt;&gt;0,SUMIF(куб!$B:$B,$B598,куб!K:K))))))</f>
        <v>0</v>
      </c>
      <c r="R598" s="13" t="str">
        <f t="shared" si="205"/>
        <v>-</v>
      </c>
      <c r="S598" s="5"/>
      <c r="T598" s="27" t="b">
        <f>IF($G598&lt;&gt;0,SUMIF(куб!$G:$G,$G598,куб!L:L),IF($E598&lt;&gt;0,SUMIF(куб!$E:$E,$E598,куб!L:L),IF($D598&lt;&gt;0,SUMIF(куб!$D:$D,$D598,куб!L:L),IF($C598&lt;&gt;0,SUMIF(куб!$C:$C,$C598,куб!L:L),IF($B598&lt;&gt;0,SUMIF(куб!$B:$B,$B598,куб!L:L))))))</f>
        <v>0</v>
      </c>
      <c r="U598" s="27" t="b">
        <f>IF($G598&lt;&gt;0,SUMIF(куб!$G:$G,$G598,куб!M:M),IF($E598&lt;&gt;0,SUMIF(куб!$E:$E,$E598,куб!M:M),IF($D598&lt;&gt;0,SUMIF(куб!$D:$D,$D598,куб!M:M),IF($C598&lt;&gt;0,SUMIF(куб!$C:$C,$C598,куб!M:M),IF($B598&lt;&gt;0,SUMIF(куб!$B:$B,$B598,куб!M:M))))))</f>
        <v>0</v>
      </c>
      <c r="V598" s="13" t="str">
        <f t="shared" si="206"/>
        <v>-</v>
      </c>
      <c r="W598" s="5"/>
      <c r="X598" s="27" t="b">
        <f>IF($G598&lt;&gt;0,SUMIF(куб!$G:$G,$G598,куб!N:N),IF($E598&lt;&gt;0,SUMIF(куб!$E:$E,$E598,куб!N:N),IF($D598&lt;&gt;0,SUMIF(куб!$D:$D,$D598,куб!N:N),IF($C598&lt;&gt;0,SUMIF(куб!$C:$C,$C598,куб!N:N),IF($B598&lt;&gt;0,SUMIF(куб!$B:$B,$B598,куб!N:N))))))</f>
        <v>0</v>
      </c>
      <c r="Y598" s="27" t="b">
        <f>IF($G598&lt;&gt;0,SUMIF(куб!$G:$G,$G598,куб!O:O),IF($E598&lt;&gt;0,SUMIF(куб!$E:$E,$E598,куб!O:O),IF($D598&lt;&gt;0,SUMIF(куб!$D:$D,$D598,куб!O:O),IF($C598&lt;&gt;0,SUMIF(куб!$C:$C,$C598,куб!O:O),IF($B598&lt;&gt;0,SUMIF(куб!$B:$B,$B598,куб!O:O))))))</f>
        <v>0</v>
      </c>
      <c r="Z598" s="13" t="str">
        <f t="shared" si="207"/>
        <v>-</v>
      </c>
      <c r="AA598" s="5"/>
      <c r="AB598" s="33" t="str">
        <f t="shared" si="208"/>
        <v/>
      </c>
      <c r="AC598" s="33" t="str">
        <f t="shared" si="209"/>
        <v/>
      </c>
      <c r="AD598" s="15" t="str">
        <f t="shared" si="210"/>
        <v xml:space="preserve"> </v>
      </c>
      <c r="AE598" s="5"/>
      <c r="AF598" s="27" t="b">
        <f>IF($G598&lt;&gt;0,SUMIF(куб!$G:$G,$G598,куб!R:R),IF($E598&lt;&gt;0,SUMIF(куб!$E:$E,$E598,куб!R:R),IF($D598&lt;&gt;0,SUMIF(куб!$D:$D,$D598,куб!R:R),IF($C598&lt;&gt;0,SUMIF(куб!$C:$C,$C598,куб!R:R),IF($B598&lt;&gt;0,SUMIF(куб!$B:$B,$B598,куб!R:R))))))</f>
        <v>0</v>
      </c>
      <c r="AG598" s="27" t="b">
        <f>IF($G598&lt;&gt;0,SUMIF(куб!$G:$G,$G598,куб!S:S),IF($E598&lt;&gt;0,SUMIF(куб!$E:$E,$E598,куб!S:S),IF($D598&lt;&gt;0,SUMIF(куб!$D:$D,$D598,куб!S:S),IF($C598&lt;&gt;0,SUMIF(куб!$C:$C,$C598,куб!S:S),IF($B598&lt;&gt;0,SUMIF(куб!$B:$B,$B598,куб!S:S))))))</f>
        <v>0</v>
      </c>
      <c r="AH598" s="16" t="str">
        <f t="shared" si="211"/>
        <v>-</v>
      </c>
      <c r="AI598" s="8"/>
      <c r="AJ598" s="27" t="b">
        <f>IF($G598&lt;&gt;0,SUMIF(куб!$G:$G,$G598,куб!T:T),IF($E598&lt;&gt;0,SUMIF(куб!$E:$E,$E598,куб!T:T),IF($D598&lt;&gt;0,SUMIF(куб!$D:$D,$D598,куб!T:T),IF($C598&lt;&gt;0,SUMIF(куб!$C:$C,$C598,куб!T:T),IF($B598&lt;&gt;0,SUMIF(куб!$B:$B,$B598,куб!T:T))))))</f>
        <v>0</v>
      </c>
      <c r="AK598" s="27" t="b">
        <f>IF($G598&lt;&gt;0,SUMIF(куб!$G:$G,$G598,куб!U:U),IF($E598&lt;&gt;0,SUMIF(куб!$E:$E,$E598,куб!U:U),IF($D598&lt;&gt;0,SUMIF(куб!$D:$D,$D598,куб!U:U),IF($C598&lt;&gt;0,SUMIF(куб!$C:$C,$C598,куб!U:U),IF($B598&lt;&gt;0,SUMIF(куб!$B:$B,$B598,куб!U:U))))))</f>
        <v>0</v>
      </c>
      <c r="AL598" s="16" t="str">
        <f t="shared" si="212"/>
        <v>-</v>
      </c>
      <c r="AM598" s="8"/>
      <c r="AN598" s="17" t="str">
        <f t="shared" si="213"/>
        <v xml:space="preserve"> </v>
      </c>
      <c r="AO598" s="17" t="str">
        <f t="shared" si="214"/>
        <v xml:space="preserve"> </v>
      </c>
      <c r="AP598" s="16" t="str">
        <f t="shared" si="215"/>
        <v>-</v>
      </c>
      <c r="AQ598" s="8"/>
      <c r="AR598" s="17" t="str">
        <f t="shared" si="216"/>
        <v>-</v>
      </c>
      <c r="AS598" s="17" t="str">
        <f t="shared" si="217"/>
        <v>-</v>
      </c>
      <c r="AT598" s="13" t="str">
        <f t="shared" si="218"/>
        <v>-</v>
      </c>
      <c r="AU598" s="8"/>
    </row>
    <row r="599" spans="1:47" x14ac:dyDescent="0.25">
      <c r="A599" s="31"/>
      <c r="B599" s="31"/>
      <c r="C599"/>
      <c r="D599" s="31"/>
      <c r="E599"/>
      <c r="F599" s="31"/>
      <c r="G599"/>
      <c r="H599" s="27">
        <f>IF($G599&lt;&gt;0,SUMIF(куб!$G:$G,$G599,куб!H:H),IF($E599&lt;&gt;0,SUMIF(куб!$E:$E,$E599,куб!H:H),IF($D599&lt;&gt;0,SUMIF(куб!$D:$D,$D599,куб!H:H),IF($C599&lt;&gt;0,SUMIF(куб!$C:$C,$C599,куб!H:H),IF($B599&lt;&gt;0,SUMIF(куб!$B:$B,$B599,куб!H:H),IF($G599&lt;&gt;0,SUMIF(куб!$A:$A,$G599,куб!H:H),SUMIF(куб!$A:$A,$G599,куб!H:H)))))))</f>
        <v>0</v>
      </c>
      <c r="I599" s="27">
        <f>IF($G599&lt;&gt;0,SUMIF(куб!$G:$G,$G599,куб!I:I),IF($E599&lt;&gt;0,SUMIF(куб!$E:$E,$E599,куб!I:I),IF($D599&lt;&gt;0,SUMIF(куб!$D:$D,$D599,куб!I:I),IF($C599&lt;&gt;0,SUMIF(куб!$C:$C,$C599,куб!I:I),IF($B599&lt;&gt;0,SUMIF(куб!$B:$B,$B599,куб!I:I),IF($G599&lt;&gt;0,SUMIF(куб!$A:$A,$G599,куб!I:I),SUMIF(куб!$A:$A,$G599,куб!I:I)))))))</f>
        <v>0</v>
      </c>
      <c r="J599" s="19" t="str">
        <f t="shared" si="201"/>
        <v>-</v>
      </c>
      <c r="K599" s="8"/>
      <c r="L599" s="17">
        <f t="shared" si="202"/>
        <v>0</v>
      </c>
      <c r="M599" s="17">
        <f t="shared" si="203"/>
        <v>0</v>
      </c>
      <c r="N599" s="12">
        <f t="shared" si="204"/>
        <v>0</v>
      </c>
      <c r="O599" s="5"/>
      <c r="P599" s="27" t="b">
        <f>IF($G599&lt;&gt;0,SUMIF(куб!$G:$G,$G599,куб!J:J),IF($E599&lt;&gt;0,SUMIF(куб!$E:$E,$E599,куб!J:J),IF($D599&lt;&gt;0,SUMIF(куб!$D:$D,$D599,куб!J:J),IF($C599&lt;&gt;0,SUMIF(куб!$C:$C,$C599,куб!J:J),IF($B599&lt;&gt;0,SUMIF(куб!$B:$B,$B599,куб!J:J))))))</f>
        <v>0</v>
      </c>
      <c r="Q599" s="27" t="b">
        <f>IF($G599&lt;&gt;0,SUMIF(куб!$G:$G,$G599,куб!K:K),IF($E599&lt;&gt;0,SUMIF(куб!$E:$E,$E599,куб!K:K),IF($D599&lt;&gt;0,SUMIF(куб!$D:$D,$D599,куб!K:K),IF($C599&lt;&gt;0,SUMIF(куб!$C:$C,$C599,куб!K:K),IF($B599&lt;&gt;0,SUMIF(куб!$B:$B,$B599,куб!K:K))))))</f>
        <v>0</v>
      </c>
      <c r="R599" s="13" t="str">
        <f t="shared" si="205"/>
        <v>-</v>
      </c>
      <c r="S599" s="5"/>
      <c r="T599" s="27" t="b">
        <f>IF($G599&lt;&gt;0,SUMIF(куб!$G:$G,$G599,куб!L:L),IF($E599&lt;&gt;0,SUMIF(куб!$E:$E,$E599,куб!L:L),IF($D599&lt;&gt;0,SUMIF(куб!$D:$D,$D599,куб!L:L),IF($C599&lt;&gt;0,SUMIF(куб!$C:$C,$C599,куб!L:L),IF($B599&lt;&gt;0,SUMIF(куб!$B:$B,$B599,куб!L:L))))))</f>
        <v>0</v>
      </c>
      <c r="U599" s="27" t="b">
        <f>IF($G599&lt;&gt;0,SUMIF(куб!$G:$G,$G599,куб!M:M),IF($E599&lt;&gt;0,SUMIF(куб!$E:$E,$E599,куб!M:M),IF($D599&lt;&gt;0,SUMIF(куб!$D:$D,$D599,куб!M:M),IF($C599&lt;&gt;0,SUMIF(куб!$C:$C,$C599,куб!M:M),IF($B599&lt;&gt;0,SUMIF(куб!$B:$B,$B599,куб!M:M))))))</f>
        <v>0</v>
      </c>
      <c r="V599" s="13" t="str">
        <f t="shared" si="206"/>
        <v>-</v>
      </c>
      <c r="W599" s="5"/>
      <c r="X599" s="27" t="b">
        <f>IF($G599&lt;&gt;0,SUMIF(куб!$G:$G,$G599,куб!N:N),IF($E599&lt;&gt;0,SUMIF(куб!$E:$E,$E599,куб!N:N),IF($D599&lt;&gt;0,SUMIF(куб!$D:$D,$D599,куб!N:N),IF($C599&lt;&gt;0,SUMIF(куб!$C:$C,$C599,куб!N:N),IF($B599&lt;&gt;0,SUMIF(куб!$B:$B,$B599,куб!N:N))))))</f>
        <v>0</v>
      </c>
      <c r="Y599" s="27" t="b">
        <f>IF($G599&lt;&gt;0,SUMIF(куб!$G:$G,$G599,куб!O:O),IF($E599&lt;&gt;0,SUMIF(куб!$E:$E,$E599,куб!O:O),IF($D599&lt;&gt;0,SUMIF(куб!$D:$D,$D599,куб!O:O),IF($C599&lt;&gt;0,SUMIF(куб!$C:$C,$C599,куб!O:O),IF($B599&lt;&gt;0,SUMIF(куб!$B:$B,$B599,куб!O:O))))))</f>
        <v>0</v>
      </c>
      <c r="Z599" s="13" t="str">
        <f t="shared" si="207"/>
        <v>-</v>
      </c>
      <c r="AA599" s="5"/>
      <c r="AB599" s="33" t="str">
        <f t="shared" si="208"/>
        <v/>
      </c>
      <c r="AC599" s="33" t="str">
        <f t="shared" si="209"/>
        <v/>
      </c>
      <c r="AD599" s="15" t="str">
        <f t="shared" si="210"/>
        <v xml:space="preserve"> </v>
      </c>
      <c r="AE599" s="5"/>
      <c r="AF599" s="27" t="b">
        <f>IF($G599&lt;&gt;0,SUMIF(куб!$G:$G,$G599,куб!R:R),IF($E599&lt;&gt;0,SUMIF(куб!$E:$E,$E599,куб!R:R),IF($D599&lt;&gt;0,SUMIF(куб!$D:$D,$D599,куб!R:R),IF($C599&lt;&gt;0,SUMIF(куб!$C:$C,$C599,куб!R:R),IF($B599&lt;&gt;0,SUMIF(куб!$B:$B,$B599,куб!R:R))))))</f>
        <v>0</v>
      </c>
      <c r="AG599" s="27" t="b">
        <f>IF($G599&lt;&gt;0,SUMIF(куб!$G:$G,$G599,куб!S:S),IF($E599&lt;&gt;0,SUMIF(куб!$E:$E,$E599,куб!S:S),IF($D599&lt;&gt;0,SUMIF(куб!$D:$D,$D599,куб!S:S),IF($C599&lt;&gt;0,SUMIF(куб!$C:$C,$C599,куб!S:S),IF($B599&lt;&gt;0,SUMIF(куб!$B:$B,$B599,куб!S:S))))))</f>
        <v>0</v>
      </c>
      <c r="AH599" s="16" t="str">
        <f t="shared" si="211"/>
        <v>-</v>
      </c>
      <c r="AI599" s="8"/>
      <c r="AJ599" s="27" t="b">
        <f>IF($G599&lt;&gt;0,SUMIF(куб!$G:$G,$G599,куб!T:T),IF($E599&lt;&gt;0,SUMIF(куб!$E:$E,$E599,куб!T:T),IF($D599&lt;&gt;0,SUMIF(куб!$D:$D,$D599,куб!T:T),IF($C599&lt;&gt;0,SUMIF(куб!$C:$C,$C599,куб!T:T),IF($B599&lt;&gt;0,SUMIF(куб!$B:$B,$B599,куб!T:T))))))</f>
        <v>0</v>
      </c>
      <c r="AK599" s="27" t="b">
        <f>IF($G599&lt;&gt;0,SUMIF(куб!$G:$G,$G599,куб!U:U),IF($E599&lt;&gt;0,SUMIF(куб!$E:$E,$E599,куб!U:U),IF($D599&lt;&gt;0,SUMIF(куб!$D:$D,$D599,куб!U:U),IF($C599&lt;&gt;0,SUMIF(куб!$C:$C,$C599,куб!U:U),IF($B599&lt;&gt;0,SUMIF(куб!$B:$B,$B599,куб!U:U))))))</f>
        <v>0</v>
      </c>
      <c r="AL599" s="16" t="str">
        <f t="shared" si="212"/>
        <v>-</v>
      </c>
      <c r="AM599" s="8"/>
      <c r="AN599" s="17" t="str">
        <f t="shared" si="213"/>
        <v xml:space="preserve"> </v>
      </c>
      <c r="AO599" s="17" t="str">
        <f t="shared" si="214"/>
        <v xml:space="preserve"> </v>
      </c>
      <c r="AP599" s="16" t="str">
        <f t="shared" si="215"/>
        <v>-</v>
      </c>
      <c r="AQ599" s="8"/>
      <c r="AR599" s="17" t="str">
        <f t="shared" si="216"/>
        <v>-</v>
      </c>
      <c r="AS599" s="17" t="str">
        <f t="shared" si="217"/>
        <v>-</v>
      </c>
      <c r="AT599" s="13" t="str">
        <f t="shared" si="218"/>
        <v>-</v>
      </c>
      <c r="AU599" s="8"/>
    </row>
    <row r="600" spans="1:47" x14ac:dyDescent="0.25">
      <c r="A600" s="31"/>
      <c r="B600" s="31"/>
      <c r="C600"/>
      <c r="D600" s="31"/>
      <c r="E600"/>
      <c r="F600" s="31"/>
      <c r="G600"/>
      <c r="H600" s="27">
        <f>IF($G600&lt;&gt;0,SUMIF(куб!$G:$G,$G600,куб!H:H),IF($E600&lt;&gt;0,SUMIF(куб!$E:$E,$E600,куб!H:H),IF($D600&lt;&gt;0,SUMIF(куб!$D:$D,$D600,куб!H:H),IF($C600&lt;&gt;0,SUMIF(куб!$C:$C,$C600,куб!H:H),IF($B600&lt;&gt;0,SUMIF(куб!$B:$B,$B600,куб!H:H),IF($G600&lt;&gt;0,SUMIF(куб!$A:$A,$G600,куб!H:H),SUMIF(куб!$A:$A,$G600,куб!H:H)))))))</f>
        <v>0</v>
      </c>
      <c r="I600" s="27">
        <f>IF($G600&lt;&gt;0,SUMIF(куб!$G:$G,$G600,куб!I:I),IF($E600&lt;&gt;0,SUMIF(куб!$E:$E,$E600,куб!I:I),IF($D600&lt;&gt;0,SUMIF(куб!$D:$D,$D600,куб!I:I),IF($C600&lt;&gt;0,SUMIF(куб!$C:$C,$C600,куб!I:I),IF($B600&lt;&gt;0,SUMIF(куб!$B:$B,$B600,куб!I:I),IF($G600&lt;&gt;0,SUMIF(куб!$A:$A,$G600,куб!I:I),SUMIF(куб!$A:$A,$G600,куб!I:I)))))))</f>
        <v>0</v>
      </c>
      <c r="J600" s="19" t="str">
        <f t="shared" si="201"/>
        <v>-</v>
      </c>
      <c r="K600" s="8"/>
      <c r="L600" s="17">
        <f t="shared" si="202"/>
        <v>0</v>
      </c>
      <c r="M600" s="17">
        <f t="shared" si="203"/>
        <v>0</v>
      </c>
      <c r="N600" s="12">
        <f t="shared" si="204"/>
        <v>0</v>
      </c>
      <c r="O600" s="5"/>
      <c r="P600" s="27" t="b">
        <f>IF($G600&lt;&gt;0,SUMIF(куб!$G:$G,$G600,куб!J:J),IF($E600&lt;&gt;0,SUMIF(куб!$E:$E,$E600,куб!J:J),IF($D600&lt;&gt;0,SUMIF(куб!$D:$D,$D600,куб!J:J),IF($C600&lt;&gt;0,SUMIF(куб!$C:$C,$C600,куб!J:J),IF($B600&lt;&gt;0,SUMIF(куб!$B:$B,$B600,куб!J:J))))))</f>
        <v>0</v>
      </c>
      <c r="Q600" s="27" t="b">
        <f>IF($G600&lt;&gt;0,SUMIF(куб!$G:$G,$G600,куб!K:K),IF($E600&lt;&gt;0,SUMIF(куб!$E:$E,$E600,куб!K:K),IF($D600&lt;&gt;0,SUMIF(куб!$D:$D,$D600,куб!K:K),IF($C600&lt;&gt;0,SUMIF(куб!$C:$C,$C600,куб!K:K),IF($B600&lt;&gt;0,SUMIF(куб!$B:$B,$B600,куб!K:K))))))</f>
        <v>0</v>
      </c>
      <c r="R600" s="13" t="str">
        <f t="shared" si="205"/>
        <v>-</v>
      </c>
      <c r="S600" s="5"/>
      <c r="T600" s="27" t="b">
        <f>IF($G600&lt;&gt;0,SUMIF(куб!$G:$G,$G600,куб!L:L),IF($E600&lt;&gt;0,SUMIF(куб!$E:$E,$E600,куб!L:L),IF($D600&lt;&gt;0,SUMIF(куб!$D:$D,$D600,куб!L:L),IF($C600&lt;&gt;0,SUMIF(куб!$C:$C,$C600,куб!L:L),IF($B600&lt;&gt;0,SUMIF(куб!$B:$B,$B600,куб!L:L))))))</f>
        <v>0</v>
      </c>
      <c r="U600" s="27" t="b">
        <f>IF($G600&lt;&gt;0,SUMIF(куб!$G:$G,$G600,куб!M:M),IF($E600&lt;&gt;0,SUMIF(куб!$E:$E,$E600,куб!M:M),IF($D600&lt;&gt;0,SUMIF(куб!$D:$D,$D600,куб!M:M),IF($C600&lt;&gt;0,SUMIF(куб!$C:$C,$C600,куб!M:M),IF($B600&lt;&gt;0,SUMIF(куб!$B:$B,$B600,куб!M:M))))))</f>
        <v>0</v>
      </c>
      <c r="V600" s="13" t="str">
        <f t="shared" si="206"/>
        <v>-</v>
      </c>
      <c r="W600" s="5"/>
      <c r="X600" s="27" t="b">
        <f>IF($G600&lt;&gt;0,SUMIF(куб!$G:$G,$G600,куб!N:N),IF($E600&lt;&gt;0,SUMIF(куб!$E:$E,$E600,куб!N:N),IF($D600&lt;&gt;0,SUMIF(куб!$D:$D,$D600,куб!N:N),IF($C600&lt;&gt;0,SUMIF(куб!$C:$C,$C600,куб!N:N),IF($B600&lt;&gt;0,SUMIF(куб!$B:$B,$B600,куб!N:N))))))</f>
        <v>0</v>
      </c>
      <c r="Y600" s="27" t="b">
        <f>IF($G600&lt;&gt;0,SUMIF(куб!$G:$G,$G600,куб!O:O),IF($E600&lt;&gt;0,SUMIF(куб!$E:$E,$E600,куб!O:O),IF($D600&lt;&gt;0,SUMIF(куб!$D:$D,$D600,куб!O:O),IF($C600&lt;&gt;0,SUMIF(куб!$C:$C,$C600,куб!O:O),IF($B600&lt;&gt;0,SUMIF(куб!$B:$B,$B600,куб!O:O))))))</f>
        <v>0</v>
      </c>
      <c r="Z600" s="13" t="str">
        <f t="shared" si="207"/>
        <v>-</v>
      </c>
      <c r="AA600" s="5"/>
      <c r="AB600" s="33" t="str">
        <f t="shared" si="208"/>
        <v/>
      </c>
      <c r="AC600" s="33" t="str">
        <f t="shared" si="209"/>
        <v/>
      </c>
      <c r="AD600" s="15" t="str">
        <f t="shared" si="210"/>
        <v xml:space="preserve"> </v>
      </c>
      <c r="AE600" s="5"/>
      <c r="AF600" s="27" t="b">
        <f>IF($G600&lt;&gt;0,SUMIF(куб!$G:$G,$G600,куб!R:R),IF($E600&lt;&gt;0,SUMIF(куб!$E:$E,$E600,куб!R:R),IF($D600&lt;&gt;0,SUMIF(куб!$D:$D,$D600,куб!R:R),IF($C600&lt;&gt;0,SUMIF(куб!$C:$C,$C600,куб!R:R),IF($B600&lt;&gt;0,SUMIF(куб!$B:$B,$B600,куб!R:R))))))</f>
        <v>0</v>
      </c>
      <c r="AG600" s="27" t="b">
        <f>IF($G600&lt;&gt;0,SUMIF(куб!$G:$G,$G600,куб!S:S),IF($E600&lt;&gt;0,SUMIF(куб!$E:$E,$E600,куб!S:S),IF($D600&lt;&gt;0,SUMIF(куб!$D:$D,$D600,куб!S:S),IF($C600&lt;&gt;0,SUMIF(куб!$C:$C,$C600,куб!S:S),IF($B600&lt;&gt;0,SUMIF(куб!$B:$B,$B600,куб!S:S))))))</f>
        <v>0</v>
      </c>
      <c r="AH600" s="16" t="str">
        <f t="shared" si="211"/>
        <v>-</v>
      </c>
      <c r="AI600" s="8"/>
      <c r="AJ600" s="27" t="b">
        <f>IF($G600&lt;&gt;0,SUMIF(куб!$G:$G,$G600,куб!T:T),IF($E600&lt;&gt;0,SUMIF(куб!$E:$E,$E600,куб!T:T),IF($D600&lt;&gt;0,SUMIF(куб!$D:$D,$D600,куб!T:T),IF($C600&lt;&gt;0,SUMIF(куб!$C:$C,$C600,куб!T:T),IF($B600&lt;&gt;0,SUMIF(куб!$B:$B,$B600,куб!T:T))))))</f>
        <v>0</v>
      </c>
      <c r="AK600" s="27" t="b">
        <f>IF($G600&lt;&gt;0,SUMIF(куб!$G:$G,$G600,куб!U:U),IF($E600&lt;&gt;0,SUMIF(куб!$E:$E,$E600,куб!U:U),IF($D600&lt;&gt;0,SUMIF(куб!$D:$D,$D600,куб!U:U),IF($C600&lt;&gt;0,SUMIF(куб!$C:$C,$C600,куб!U:U),IF($B600&lt;&gt;0,SUMIF(куб!$B:$B,$B600,куб!U:U))))))</f>
        <v>0</v>
      </c>
      <c r="AL600" s="16" t="str">
        <f t="shared" si="212"/>
        <v>-</v>
      </c>
      <c r="AM600" s="8"/>
      <c r="AN600" s="17" t="str">
        <f t="shared" si="213"/>
        <v xml:space="preserve"> </v>
      </c>
      <c r="AO600" s="17" t="str">
        <f t="shared" si="214"/>
        <v xml:space="preserve"> </v>
      </c>
      <c r="AP600" s="16" t="str">
        <f t="shared" si="215"/>
        <v>-</v>
      </c>
      <c r="AQ600" s="8"/>
      <c r="AR600" s="17" t="str">
        <f t="shared" si="216"/>
        <v>-</v>
      </c>
      <c r="AS600" s="17" t="str">
        <f t="shared" si="217"/>
        <v>-</v>
      </c>
      <c r="AT600" s="13" t="str">
        <f t="shared" si="218"/>
        <v>-</v>
      </c>
      <c r="AU600" s="8"/>
    </row>
    <row r="601" spans="1:47" x14ac:dyDescent="0.25">
      <c r="A601" s="31"/>
      <c r="B601" s="31"/>
      <c r="C601"/>
      <c r="D601" s="31"/>
      <c r="E601"/>
      <c r="F601" s="31"/>
      <c r="G601"/>
      <c r="H601" s="27">
        <f>IF($G601&lt;&gt;0,SUMIF(куб!$G:$G,$G601,куб!H:H),IF($E601&lt;&gt;0,SUMIF(куб!$E:$E,$E601,куб!H:H),IF($D601&lt;&gt;0,SUMIF(куб!$D:$D,$D601,куб!H:H),IF($C601&lt;&gt;0,SUMIF(куб!$C:$C,$C601,куб!H:H),IF($B601&lt;&gt;0,SUMIF(куб!$B:$B,$B601,куб!H:H),IF($G601&lt;&gt;0,SUMIF(куб!$A:$A,$G601,куб!H:H),SUMIF(куб!$A:$A,$G601,куб!H:H)))))))</f>
        <v>0</v>
      </c>
      <c r="I601" s="27">
        <f>IF($G601&lt;&gt;0,SUMIF(куб!$G:$G,$G601,куб!I:I),IF($E601&lt;&gt;0,SUMIF(куб!$E:$E,$E601,куб!I:I),IF($D601&lt;&gt;0,SUMIF(куб!$D:$D,$D601,куб!I:I),IF($C601&lt;&gt;0,SUMIF(куб!$C:$C,$C601,куб!I:I),IF($B601&lt;&gt;0,SUMIF(куб!$B:$B,$B601,куб!I:I),IF($G601&lt;&gt;0,SUMIF(куб!$A:$A,$G601,куб!I:I),SUMIF(куб!$A:$A,$G601,куб!I:I)))))))</f>
        <v>0</v>
      </c>
      <c r="J601" s="19" t="str">
        <f t="shared" si="201"/>
        <v>-</v>
      </c>
      <c r="K601" s="8"/>
      <c r="L601" s="17">
        <f t="shared" si="202"/>
        <v>0</v>
      </c>
      <c r="M601" s="17">
        <f t="shared" si="203"/>
        <v>0</v>
      </c>
      <c r="N601" s="12">
        <f t="shared" si="204"/>
        <v>0</v>
      </c>
      <c r="O601" s="5"/>
      <c r="P601" s="27" t="b">
        <f>IF($G601&lt;&gt;0,SUMIF(куб!$G:$G,$G601,куб!J:J),IF($E601&lt;&gt;0,SUMIF(куб!$E:$E,$E601,куб!J:J),IF($D601&lt;&gt;0,SUMIF(куб!$D:$D,$D601,куб!J:J),IF($C601&lt;&gt;0,SUMIF(куб!$C:$C,$C601,куб!J:J),IF($B601&lt;&gt;0,SUMIF(куб!$B:$B,$B601,куб!J:J))))))</f>
        <v>0</v>
      </c>
      <c r="Q601" s="27" t="b">
        <f>IF($G601&lt;&gt;0,SUMIF(куб!$G:$G,$G601,куб!K:K),IF($E601&lt;&gt;0,SUMIF(куб!$E:$E,$E601,куб!K:K),IF($D601&lt;&gt;0,SUMIF(куб!$D:$D,$D601,куб!K:K),IF($C601&lt;&gt;0,SUMIF(куб!$C:$C,$C601,куб!K:K),IF($B601&lt;&gt;0,SUMIF(куб!$B:$B,$B601,куб!K:K))))))</f>
        <v>0</v>
      </c>
      <c r="R601" s="13" t="str">
        <f t="shared" si="205"/>
        <v>-</v>
      </c>
      <c r="S601" s="5"/>
      <c r="T601" s="27" t="b">
        <f>IF($G601&lt;&gt;0,SUMIF(куб!$G:$G,$G601,куб!L:L),IF($E601&lt;&gt;0,SUMIF(куб!$E:$E,$E601,куб!L:L),IF($D601&lt;&gt;0,SUMIF(куб!$D:$D,$D601,куб!L:L),IF($C601&lt;&gt;0,SUMIF(куб!$C:$C,$C601,куб!L:L),IF($B601&lt;&gt;0,SUMIF(куб!$B:$B,$B601,куб!L:L))))))</f>
        <v>0</v>
      </c>
      <c r="U601" s="27" t="b">
        <f>IF($G601&lt;&gt;0,SUMIF(куб!$G:$G,$G601,куб!M:M),IF($E601&lt;&gt;0,SUMIF(куб!$E:$E,$E601,куб!M:M),IF($D601&lt;&gt;0,SUMIF(куб!$D:$D,$D601,куб!M:M),IF($C601&lt;&gt;0,SUMIF(куб!$C:$C,$C601,куб!M:M),IF($B601&lt;&gt;0,SUMIF(куб!$B:$B,$B601,куб!M:M))))))</f>
        <v>0</v>
      </c>
      <c r="V601" s="13" t="str">
        <f t="shared" si="206"/>
        <v>-</v>
      </c>
      <c r="W601" s="5"/>
      <c r="X601" s="27" t="b">
        <f>IF($G601&lt;&gt;0,SUMIF(куб!$G:$G,$G601,куб!N:N),IF($E601&lt;&gt;0,SUMIF(куб!$E:$E,$E601,куб!N:N),IF($D601&lt;&gt;0,SUMIF(куб!$D:$D,$D601,куб!N:N),IF($C601&lt;&gt;0,SUMIF(куб!$C:$C,$C601,куб!N:N),IF($B601&lt;&gt;0,SUMIF(куб!$B:$B,$B601,куб!N:N))))))</f>
        <v>0</v>
      </c>
      <c r="Y601" s="27" t="b">
        <f>IF($G601&lt;&gt;0,SUMIF(куб!$G:$G,$G601,куб!O:O),IF($E601&lt;&gt;0,SUMIF(куб!$E:$E,$E601,куб!O:O),IF($D601&lt;&gt;0,SUMIF(куб!$D:$D,$D601,куб!O:O),IF($C601&lt;&gt;0,SUMIF(куб!$C:$C,$C601,куб!O:O),IF($B601&lt;&gt;0,SUMIF(куб!$B:$B,$B601,куб!O:O))))))</f>
        <v>0</v>
      </c>
      <c r="Z601" s="13" t="str">
        <f t="shared" si="207"/>
        <v>-</v>
      </c>
      <c r="AA601" s="5"/>
      <c r="AB601" s="33" t="str">
        <f t="shared" si="208"/>
        <v/>
      </c>
      <c r="AC601" s="33" t="str">
        <f t="shared" si="209"/>
        <v/>
      </c>
      <c r="AD601" s="15" t="str">
        <f t="shared" si="210"/>
        <v xml:space="preserve"> </v>
      </c>
      <c r="AE601" s="5"/>
      <c r="AF601" s="27" t="b">
        <f>IF($G601&lt;&gt;0,SUMIF(куб!$G:$G,$G601,куб!R:R),IF($E601&lt;&gt;0,SUMIF(куб!$E:$E,$E601,куб!R:R),IF($D601&lt;&gt;0,SUMIF(куб!$D:$D,$D601,куб!R:R),IF($C601&lt;&gt;0,SUMIF(куб!$C:$C,$C601,куб!R:R),IF($B601&lt;&gt;0,SUMIF(куб!$B:$B,$B601,куб!R:R))))))</f>
        <v>0</v>
      </c>
      <c r="AG601" s="27" t="b">
        <f>IF($G601&lt;&gt;0,SUMIF(куб!$G:$G,$G601,куб!S:S),IF($E601&lt;&gt;0,SUMIF(куб!$E:$E,$E601,куб!S:S),IF($D601&lt;&gt;0,SUMIF(куб!$D:$D,$D601,куб!S:S),IF($C601&lt;&gt;0,SUMIF(куб!$C:$C,$C601,куб!S:S),IF($B601&lt;&gt;0,SUMIF(куб!$B:$B,$B601,куб!S:S))))))</f>
        <v>0</v>
      </c>
      <c r="AH601" s="16" t="str">
        <f t="shared" si="211"/>
        <v>-</v>
      </c>
      <c r="AI601" s="8"/>
      <c r="AJ601" s="27" t="b">
        <f>IF($G601&lt;&gt;0,SUMIF(куб!$G:$G,$G601,куб!T:T),IF($E601&lt;&gt;0,SUMIF(куб!$E:$E,$E601,куб!T:T),IF($D601&lt;&gt;0,SUMIF(куб!$D:$D,$D601,куб!T:T),IF($C601&lt;&gt;0,SUMIF(куб!$C:$C,$C601,куб!T:T),IF($B601&lt;&gt;0,SUMIF(куб!$B:$B,$B601,куб!T:T))))))</f>
        <v>0</v>
      </c>
      <c r="AK601" s="27" t="b">
        <f>IF($G601&lt;&gt;0,SUMIF(куб!$G:$G,$G601,куб!U:U),IF($E601&lt;&gt;0,SUMIF(куб!$E:$E,$E601,куб!U:U),IF($D601&lt;&gt;0,SUMIF(куб!$D:$D,$D601,куб!U:U),IF($C601&lt;&gt;0,SUMIF(куб!$C:$C,$C601,куб!U:U),IF($B601&lt;&gt;0,SUMIF(куб!$B:$B,$B601,куб!U:U))))))</f>
        <v>0</v>
      </c>
      <c r="AL601" s="16" t="str">
        <f t="shared" si="212"/>
        <v>-</v>
      </c>
      <c r="AM601" s="8"/>
      <c r="AN601" s="17" t="str">
        <f t="shared" si="213"/>
        <v xml:space="preserve"> </v>
      </c>
      <c r="AO601" s="17" t="str">
        <f t="shared" si="214"/>
        <v xml:space="preserve"> </v>
      </c>
      <c r="AP601" s="16" t="str">
        <f t="shared" si="215"/>
        <v>-</v>
      </c>
      <c r="AQ601" s="8"/>
      <c r="AR601" s="17" t="str">
        <f t="shared" si="216"/>
        <v>-</v>
      </c>
      <c r="AS601" s="17" t="str">
        <f t="shared" si="217"/>
        <v>-</v>
      </c>
      <c r="AT601" s="13" t="str">
        <f t="shared" si="218"/>
        <v>-</v>
      </c>
      <c r="AU601" s="8"/>
    </row>
    <row r="602" spans="1:47" x14ac:dyDescent="0.25">
      <c r="A602" s="31"/>
      <c r="B602" s="31"/>
      <c r="C602"/>
      <c r="D602" s="31"/>
      <c r="E602"/>
      <c r="F602" s="31"/>
      <c r="G602"/>
      <c r="H602" s="27">
        <f>IF($G602&lt;&gt;0,SUMIF(куб!$G:$G,$G602,куб!H:H),IF($E602&lt;&gt;0,SUMIF(куб!$E:$E,$E602,куб!H:H),IF($D602&lt;&gt;0,SUMIF(куб!$D:$D,$D602,куб!H:H),IF($C602&lt;&gt;0,SUMIF(куб!$C:$C,$C602,куб!H:H),IF($B602&lt;&gt;0,SUMIF(куб!$B:$B,$B602,куб!H:H),IF($G602&lt;&gt;0,SUMIF(куб!$A:$A,$G602,куб!H:H),SUMIF(куб!$A:$A,$G602,куб!H:H)))))))</f>
        <v>0</v>
      </c>
      <c r="I602" s="27">
        <f>IF($G602&lt;&gt;0,SUMIF(куб!$G:$G,$G602,куб!I:I),IF($E602&lt;&gt;0,SUMIF(куб!$E:$E,$E602,куб!I:I),IF($D602&lt;&gt;0,SUMIF(куб!$D:$D,$D602,куб!I:I),IF($C602&lt;&gt;0,SUMIF(куб!$C:$C,$C602,куб!I:I),IF($B602&lt;&gt;0,SUMIF(куб!$B:$B,$B602,куб!I:I),IF($G602&lt;&gt;0,SUMIF(куб!$A:$A,$G602,куб!I:I),SUMIF(куб!$A:$A,$G602,куб!I:I)))))))</f>
        <v>0</v>
      </c>
      <c r="J602" s="19" t="str">
        <f t="shared" si="201"/>
        <v>-</v>
      </c>
      <c r="K602" s="8"/>
      <c r="L602" s="17">
        <f t="shared" si="202"/>
        <v>0</v>
      </c>
      <c r="M602" s="17">
        <f t="shared" si="203"/>
        <v>0</v>
      </c>
      <c r="N602" s="12">
        <f t="shared" si="204"/>
        <v>0</v>
      </c>
      <c r="O602" s="5"/>
      <c r="P602" s="27" t="b">
        <f>IF($G602&lt;&gt;0,SUMIF(куб!$G:$G,$G602,куб!J:J),IF($E602&lt;&gt;0,SUMIF(куб!$E:$E,$E602,куб!J:J),IF($D602&lt;&gt;0,SUMIF(куб!$D:$D,$D602,куб!J:J),IF($C602&lt;&gt;0,SUMIF(куб!$C:$C,$C602,куб!J:J),IF($B602&lt;&gt;0,SUMIF(куб!$B:$B,$B602,куб!J:J))))))</f>
        <v>0</v>
      </c>
      <c r="Q602" s="27" t="b">
        <f>IF($G602&lt;&gt;0,SUMIF(куб!$G:$G,$G602,куб!K:K),IF($E602&lt;&gt;0,SUMIF(куб!$E:$E,$E602,куб!K:K),IF($D602&lt;&gt;0,SUMIF(куб!$D:$D,$D602,куб!K:K),IF($C602&lt;&gt;0,SUMIF(куб!$C:$C,$C602,куб!K:K),IF($B602&lt;&gt;0,SUMIF(куб!$B:$B,$B602,куб!K:K))))))</f>
        <v>0</v>
      </c>
      <c r="R602" s="13" t="str">
        <f t="shared" si="205"/>
        <v>-</v>
      </c>
      <c r="S602" s="5"/>
      <c r="T602" s="27" t="b">
        <f>IF($G602&lt;&gt;0,SUMIF(куб!$G:$G,$G602,куб!L:L),IF($E602&lt;&gt;0,SUMIF(куб!$E:$E,$E602,куб!L:L),IF($D602&lt;&gt;0,SUMIF(куб!$D:$D,$D602,куб!L:L),IF($C602&lt;&gt;0,SUMIF(куб!$C:$C,$C602,куб!L:L),IF($B602&lt;&gt;0,SUMIF(куб!$B:$B,$B602,куб!L:L))))))</f>
        <v>0</v>
      </c>
      <c r="U602" s="27" t="b">
        <f>IF($G602&lt;&gt;0,SUMIF(куб!$G:$G,$G602,куб!M:M),IF($E602&lt;&gt;0,SUMIF(куб!$E:$E,$E602,куб!M:M),IF($D602&lt;&gt;0,SUMIF(куб!$D:$D,$D602,куб!M:M),IF($C602&lt;&gt;0,SUMIF(куб!$C:$C,$C602,куб!M:M),IF($B602&lt;&gt;0,SUMIF(куб!$B:$B,$B602,куб!M:M))))))</f>
        <v>0</v>
      </c>
      <c r="V602" s="13" t="str">
        <f t="shared" si="206"/>
        <v>-</v>
      </c>
      <c r="W602" s="5"/>
      <c r="X602" s="27" t="b">
        <f>IF($G602&lt;&gt;0,SUMIF(куб!$G:$G,$G602,куб!N:N),IF($E602&lt;&gt;0,SUMIF(куб!$E:$E,$E602,куб!N:N),IF($D602&lt;&gt;0,SUMIF(куб!$D:$D,$D602,куб!N:N),IF($C602&lt;&gt;0,SUMIF(куб!$C:$C,$C602,куб!N:N),IF($B602&lt;&gt;0,SUMIF(куб!$B:$B,$B602,куб!N:N))))))</f>
        <v>0</v>
      </c>
      <c r="Y602" s="27" t="b">
        <f>IF($G602&lt;&gt;0,SUMIF(куб!$G:$G,$G602,куб!O:O),IF($E602&lt;&gt;0,SUMIF(куб!$E:$E,$E602,куб!O:O),IF($D602&lt;&gt;0,SUMIF(куб!$D:$D,$D602,куб!O:O),IF($C602&lt;&gt;0,SUMIF(куб!$C:$C,$C602,куб!O:O),IF($B602&lt;&gt;0,SUMIF(куб!$B:$B,$B602,куб!O:O))))))</f>
        <v>0</v>
      </c>
      <c r="Z602" s="13" t="str">
        <f t="shared" si="207"/>
        <v>-</v>
      </c>
      <c r="AA602" s="5"/>
      <c r="AB602" s="33" t="str">
        <f t="shared" si="208"/>
        <v/>
      </c>
      <c r="AC602" s="33" t="str">
        <f t="shared" si="209"/>
        <v/>
      </c>
      <c r="AD602" s="15" t="str">
        <f t="shared" si="210"/>
        <v xml:space="preserve"> </v>
      </c>
      <c r="AE602" s="5"/>
      <c r="AF602" s="27" t="b">
        <f>IF($G602&lt;&gt;0,SUMIF(куб!$G:$G,$G602,куб!R:R),IF($E602&lt;&gt;0,SUMIF(куб!$E:$E,$E602,куб!R:R),IF($D602&lt;&gt;0,SUMIF(куб!$D:$D,$D602,куб!R:R),IF($C602&lt;&gt;0,SUMIF(куб!$C:$C,$C602,куб!R:R),IF($B602&lt;&gt;0,SUMIF(куб!$B:$B,$B602,куб!R:R))))))</f>
        <v>0</v>
      </c>
      <c r="AG602" s="27" t="b">
        <f>IF($G602&lt;&gt;0,SUMIF(куб!$G:$G,$G602,куб!S:S),IF($E602&lt;&gt;0,SUMIF(куб!$E:$E,$E602,куб!S:S),IF($D602&lt;&gt;0,SUMIF(куб!$D:$D,$D602,куб!S:S),IF($C602&lt;&gt;0,SUMIF(куб!$C:$C,$C602,куб!S:S),IF($B602&lt;&gt;0,SUMIF(куб!$B:$B,$B602,куб!S:S))))))</f>
        <v>0</v>
      </c>
      <c r="AH602" s="16" t="str">
        <f t="shared" si="211"/>
        <v>-</v>
      </c>
      <c r="AI602" s="8"/>
      <c r="AJ602" s="27" t="b">
        <f>IF($G602&lt;&gt;0,SUMIF(куб!$G:$G,$G602,куб!T:T),IF($E602&lt;&gt;0,SUMIF(куб!$E:$E,$E602,куб!T:T),IF($D602&lt;&gt;0,SUMIF(куб!$D:$D,$D602,куб!T:T),IF($C602&lt;&gt;0,SUMIF(куб!$C:$C,$C602,куб!T:T),IF($B602&lt;&gt;0,SUMIF(куб!$B:$B,$B602,куб!T:T))))))</f>
        <v>0</v>
      </c>
      <c r="AK602" s="27" t="b">
        <f>IF($G602&lt;&gt;0,SUMIF(куб!$G:$G,$G602,куб!U:U),IF($E602&lt;&gt;0,SUMIF(куб!$E:$E,$E602,куб!U:U),IF($D602&lt;&gt;0,SUMIF(куб!$D:$D,$D602,куб!U:U),IF($C602&lt;&gt;0,SUMIF(куб!$C:$C,$C602,куб!U:U),IF($B602&lt;&gt;0,SUMIF(куб!$B:$B,$B602,куб!U:U))))))</f>
        <v>0</v>
      </c>
      <c r="AL602" s="16" t="str">
        <f t="shared" si="212"/>
        <v>-</v>
      </c>
      <c r="AM602" s="8"/>
      <c r="AN602" s="17" t="str">
        <f t="shared" si="213"/>
        <v xml:space="preserve"> </v>
      </c>
      <c r="AO602" s="17" t="str">
        <f t="shared" si="214"/>
        <v xml:space="preserve"> </v>
      </c>
      <c r="AP602" s="16" t="str">
        <f t="shared" si="215"/>
        <v>-</v>
      </c>
      <c r="AQ602" s="8"/>
      <c r="AR602" s="17" t="str">
        <f t="shared" si="216"/>
        <v>-</v>
      </c>
      <c r="AS602" s="17" t="str">
        <f t="shared" si="217"/>
        <v>-</v>
      </c>
      <c r="AT602" s="13" t="str">
        <f t="shared" si="218"/>
        <v>-</v>
      </c>
      <c r="AU602" s="8"/>
    </row>
    <row r="603" spans="1:47" x14ac:dyDescent="0.25">
      <c r="A603" s="31"/>
      <c r="B603" s="31"/>
      <c r="C603"/>
      <c r="D603" s="31"/>
      <c r="E603"/>
      <c r="F603" s="31"/>
      <c r="G603"/>
      <c r="H603" s="27">
        <f>IF($G603&lt;&gt;0,SUMIF(куб!$G:$G,$G603,куб!H:H),IF($E603&lt;&gt;0,SUMIF(куб!$E:$E,$E603,куб!H:H),IF($D603&lt;&gt;0,SUMIF(куб!$D:$D,$D603,куб!H:H),IF($C603&lt;&gt;0,SUMIF(куб!$C:$C,$C603,куб!H:H),IF($B603&lt;&gt;0,SUMIF(куб!$B:$B,$B603,куб!H:H),IF($G603&lt;&gt;0,SUMIF(куб!$A:$A,$G603,куб!H:H),SUMIF(куб!$A:$A,$G603,куб!H:H)))))))</f>
        <v>0</v>
      </c>
      <c r="I603" s="27">
        <f>IF($G603&lt;&gt;0,SUMIF(куб!$G:$G,$G603,куб!I:I),IF($E603&lt;&gt;0,SUMIF(куб!$E:$E,$E603,куб!I:I),IF($D603&lt;&gt;0,SUMIF(куб!$D:$D,$D603,куб!I:I),IF($C603&lt;&gt;0,SUMIF(куб!$C:$C,$C603,куб!I:I),IF($B603&lt;&gt;0,SUMIF(куб!$B:$B,$B603,куб!I:I),IF($G603&lt;&gt;0,SUMIF(куб!$A:$A,$G603,куб!I:I),SUMIF(куб!$A:$A,$G603,куб!I:I)))))))</f>
        <v>0</v>
      </c>
      <c r="J603" s="19" t="str">
        <f t="shared" si="201"/>
        <v>-</v>
      </c>
      <c r="K603" s="8"/>
      <c r="L603" s="17">
        <f t="shared" si="202"/>
        <v>0</v>
      </c>
      <c r="M603" s="17">
        <f t="shared" si="203"/>
        <v>0</v>
      </c>
      <c r="N603" s="12">
        <f t="shared" si="204"/>
        <v>0</v>
      </c>
      <c r="O603" s="5"/>
      <c r="P603" s="27" t="b">
        <f>IF($G603&lt;&gt;0,SUMIF(куб!$G:$G,$G603,куб!J:J),IF($E603&lt;&gt;0,SUMIF(куб!$E:$E,$E603,куб!J:J),IF($D603&lt;&gt;0,SUMIF(куб!$D:$D,$D603,куб!J:J),IF($C603&lt;&gt;0,SUMIF(куб!$C:$C,$C603,куб!J:J),IF($B603&lt;&gt;0,SUMIF(куб!$B:$B,$B603,куб!J:J))))))</f>
        <v>0</v>
      </c>
      <c r="Q603" s="27" t="b">
        <f>IF($G603&lt;&gt;0,SUMIF(куб!$G:$G,$G603,куб!K:K),IF($E603&lt;&gt;0,SUMIF(куб!$E:$E,$E603,куб!K:K),IF($D603&lt;&gt;0,SUMIF(куб!$D:$D,$D603,куб!K:K),IF($C603&lt;&gt;0,SUMIF(куб!$C:$C,$C603,куб!K:K),IF($B603&lt;&gt;0,SUMIF(куб!$B:$B,$B603,куб!K:K))))))</f>
        <v>0</v>
      </c>
      <c r="R603" s="13" t="str">
        <f t="shared" si="205"/>
        <v>-</v>
      </c>
      <c r="S603" s="5"/>
      <c r="T603" s="27" t="b">
        <f>IF($G603&lt;&gt;0,SUMIF(куб!$G:$G,$G603,куб!L:L),IF($E603&lt;&gt;0,SUMIF(куб!$E:$E,$E603,куб!L:L),IF($D603&lt;&gt;0,SUMIF(куб!$D:$D,$D603,куб!L:L),IF($C603&lt;&gt;0,SUMIF(куб!$C:$C,$C603,куб!L:L),IF($B603&lt;&gt;0,SUMIF(куб!$B:$B,$B603,куб!L:L))))))</f>
        <v>0</v>
      </c>
      <c r="U603" s="27" t="b">
        <f>IF($G603&lt;&gt;0,SUMIF(куб!$G:$G,$G603,куб!M:M),IF($E603&lt;&gt;0,SUMIF(куб!$E:$E,$E603,куб!M:M),IF($D603&lt;&gt;0,SUMIF(куб!$D:$D,$D603,куб!M:M),IF($C603&lt;&gt;0,SUMIF(куб!$C:$C,$C603,куб!M:M),IF($B603&lt;&gt;0,SUMIF(куб!$B:$B,$B603,куб!M:M))))))</f>
        <v>0</v>
      </c>
      <c r="V603" s="13" t="str">
        <f t="shared" si="206"/>
        <v>-</v>
      </c>
      <c r="W603" s="5"/>
      <c r="X603" s="27" t="b">
        <f>IF($G603&lt;&gt;0,SUMIF(куб!$G:$G,$G603,куб!N:N),IF($E603&lt;&gt;0,SUMIF(куб!$E:$E,$E603,куб!N:N),IF($D603&lt;&gt;0,SUMIF(куб!$D:$D,$D603,куб!N:N),IF($C603&lt;&gt;0,SUMIF(куб!$C:$C,$C603,куб!N:N),IF($B603&lt;&gt;0,SUMIF(куб!$B:$B,$B603,куб!N:N))))))</f>
        <v>0</v>
      </c>
      <c r="Y603" s="27" t="b">
        <f>IF($G603&lt;&gt;0,SUMIF(куб!$G:$G,$G603,куб!O:O),IF($E603&lt;&gt;0,SUMIF(куб!$E:$E,$E603,куб!O:O),IF($D603&lt;&gt;0,SUMIF(куб!$D:$D,$D603,куб!O:O),IF($C603&lt;&gt;0,SUMIF(куб!$C:$C,$C603,куб!O:O),IF($B603&lt;&gt;0,SUMIF(куб!$B:$B,$B603,куб!O:O))))))</f>
        <v>0</v>
      </c>
      <c r="Z603" s="13" t="str">
        <f t="shared" si="207"/>
        <v>-</v>
      </c>
      <c r="AA603" s="5"/>
      <c r="AB603" s="33" t="str">
        <f t="shared" si="208"/>
        <v/>
      </c>
      <c r="AC603" s="33" t="str">
        <f t="shared" si="209"/>
        <v/>
      </c>
      <c r="AD603" s="15" t="str">
        <f t="shared" si="210"/>
        <v xml:space="preserve"> </v>
      </c>
      <c r="AE603" s="5"/>
      <c r="AF603" s="27" t="b">
        <f>IF($G603&lt;&gt;0,SUMIF(куб!$G:$G,$G603,куб!R:R),IF($E603&lt;&gt;0,SUMIF(куб!$E:$E,$E603,куб!R:R),IF($D603&lt;&gt;0,SUMIF(куб!$D:$D,$D603,куб!R:R),IF($C603&lt;&gt;0,SUMIF(куб!$C:$C,$C603,куб!R:R),IF($B603&lt;&gt;0,SUMIF(куб!$B:$B,$B603,куб!R:R))))))</f>
        <v>0</v>
      </c>
      <c r="AG603" s="27" t="b">
        <f>IF($G603&lt;&gt;0,SUMIF(куб!$G:$G,$G603,куб!S:S),IF($E603&lt;&gt;0,SUMIF(куб!$E:$E,$E603,куб!S:S),IF($D603&lt;&gt;0,SUMIF(куб!$D:$D,$D603,куб!S:S),IF($C603&lt;&gt;0,SUMIF(куб!$C:$C,$C603,куб!S:S),IF($B603&lt;&gt;0,SUMIF(куб!$B:$B,$B603,куб!S:S))))))</f>
        <v>0</v>
      </c>
      <c r="AH603" s="16" t="str">
        <f t="shared" si="211"/>
        <v>-</v>
      </c>
      <c r="AI603" s="8"/>
      <c r="AJ603" s="27" t="b">
        <f>IF($G603&lt;&gt;0,SUMIF(куб!$G:$G,$G603,куб!T:T),IF($E603&lt;&gt;0,SUMIF(куб!$E:$E,$E603,куб!T:T),IF($D603&lt;&gt;0,SUMIF(куб!$D:$D,$D603,куб!T:T),IF($C603&lt;&gt;0,SUMIF(куб!$C:$C,$C603,куб!T:T),IF($B603&lt;&gt;0,SUMIF(куб!$B:$B,$B603,куб!T:T))))))</f>
        <v>0</v>
      </c>
      <c r="AK603" s="27" t="b">
        <f>IF($G603&lt;&gt;0,SUMIF(куб!$G:$G,$G603,куб!U:U),IF($E603&lt;&gt;0,SUMIF(куб!$E:$E,$E603,куб!U:U),IF($D603&lt;&gt;0,SUMIF(куб!$D:$D,$D603,куб!U:U),IF($C603&lt;&gt;0,SUMIF(куб!$C:$C,$C603,куб!U:U),IF($B603&lt;&gt;0,SUMIF(куб!$B:$B,$B603,куб!U:U))))))</f>
        <v>0</v>
      </c>
      <c r="AL603" s="16" t="str">
        <f t="shared" si="212"/>
        <v>-</v>
      </c>
      <c r="AM603" s="8"/>
      <c r="AN603" s="17" t="str">
        <f t="shared" si="213"/>
        <v xml:space="preserve"> </v>
      </c>
      <c r="AO603" s="17" t="str">
        <f t="shared" si="214"/>
        <v xml:space="preserve"> </v>
      </c>
      <c r="AP603" s="16" t="str">
        <f t="shared" si="215"/>
        <v>-</v>
      </c>
      <c r="AQ603" s="8"/>
      <c r="AR603" s="17" t="str">
        <f t="shared" si="216"/>
        <v>-</v>
      </c>
      <c r="AS603" s="17" t="str">
        <f t="shared" si="217"/>
        <v>-</v>
      </c>
      <c r="AT603" s="13" t="str">
        <f t="shared" si="218"/>
        <v>-</v>
      </c>
      <c r="AU603" s="8"/>
    </row>
    <row r="604" spans="1:47" x14ac:dyDescent="0.25">
      <c r="A604" s="31"/>
      <c r="B604" s="31"/>
      <c r="C604"/>
      <c r="D604" s="31"/>
      <c r="E604"/>
      <c r="F604" s="31"/>
      <c r="G604"/>
      <c r="H604" s="27">
        <f>IF($G604&lt;&gt;0,SUMIF(куб!$G:$G,$G604,куб!H:H),IF($E604&lt;&gt;0,SUMIF(куб!$E:$E,$E604,куб!H:H),IF($D604&lt;&gt;0,SUMIF(куб!$D:$D,$D604,куб!H:H),IF($C604&lt;&gt;0,SUMIF(куб!$C:$C,$C604,куб!H:H),IF($B604&lt;&gt;0,SUMIF(куб!$B:$B,$B604,куб!H:H),IF($G604&lt;&gt;0,SUMIF(куб!$A:$A,$G604,куб!H:H),SUMIF(куб!$A:$A,$G604,куб!H:H)))))))</f>
        <v>0</v>
      </c>
      <c r="I604" s="27">
        <f>IF($G604&lt;&gt;0,SUMIF(куб!$G:$G,$G604,куб!I:I),IF($E604&lt;&gt;0,SUMIF(куб!$E:$E,$E604,куб!I:I),IF($D604&lt;&gt;0,SUMIF(куб!$D:$D,$D604,куб!I:I),IF($C604&lt;&gt;0,SUMIF(куб!$C:$C,$C604,куб!I:I),IF($B604&lt;&gt;0,SUMIF(куб!$B:$B,$B604,куб!I:I),IF($G604&lt;&gt;0,SUMIF(куб!$A:$A,$G604,куб!I:I),SUMIF(куб!$A:$A,$G604,куб!I:I)))))))</f>
        <v>0</v>
      </c>
      <c r="J604" s="19" t="str">
        <f t="shared" si="201"/>
        <v>-</v>
      </c>
      <c r="K604" s="8"/>
      <c r="L604" s="17">
        <f t="shared" si="202"/>
        <v>0</v>
      </c>
      <c r="M604" s="17">
        <f t="shared" si="203"/>
        <v>0</v>
      </c>
      <c r="N604" s="12">
        <f t="shared" si="204"/>
        <v>0</v>
      </c>
      <c r="O604" s="5"/>
      <c r="P604" s="27" t="b">
        <f>IF($G604&lt;&gt;0,SUMIF(куб!$G:$G,$G604,куб!J:J),IF($E604&lt;&gt;0,SUMIF(куб!$E:$E,$E604,куб!J:J),IF($D604&lt;&gt;0,SUMIF(куб!$D:$D,$D604,куб!J:J),IF($C604&lt;&gt;0,SUMIF(куб!$C:$C,$C604,куб!J:J),IF($B604&lt;&gt;0,SUMIF(куб!$B:$B,$B604,куб!J:J))))))</f>
        <v>0</v>
      </c>
      <c r="Q604" s="27" t="b">
        <f>IF($G604&lt;&gt;0,SUMIF(куб!$G:$G,$G604,куб!K:K),IF($E604&lt;&gt;0,SUMIF(куб!$E:$E,$E604,куб!K:K),IF($D604&lt;&gt;0,SUMIF(куб!$D:$D,$D604,куб!K:K),IF($C604&lt;&gt;0,SUMIF(куб!$C:$C,$C604,куб!K:K),IF($B604&lt;&gt;0,SUMIF(куб!$B:$B,$B604,куб!K:K))))))</f>
        <v>0</v>
      </c>
      <c r="R604" s="13" t="str">
        <f t="shared" si="205"/>
        <v>-</v>
      </c>
      <c r="S604" s="5"/>
      <c r="T604" s="27" t="b">
        <f>IF($G604&lt;&gt;0,SUMIF(куб!$G:$G,$G604,куб!L:L),IF($E604&lt;&gt;0,SUMIF(куб!$E:$E,$E604,куб!L:L),IF($D604&lt;&gt;0,SUMIF(куб!$D:$D,$D604,куб!L:L),IF($C604&lt;&gt;0,SUMIF(куб!$C:$C,$C604,куб!L:L),IF($B604&lt;&gt;0,SUMIF(куб!$B:$B,$B604,куб!L:L))))))</f>
        <v>0</v>
      </c>
      <c r="U604" s="27" t="b">
        <f>IF($G604&lt;&gt;0,SUMIF(куб!$G:$G,$G604,куб!M:M),IF($E604&lt;&gt;0,SUMIF(куб!$E:$E,$E604,куб!M:M),IF($D604&lt;&gt;0,SUMIF(куб!$D:$D,$D604,куб!M:M),IF($C604&lt;&gt;0,SUMIF(куб!$C:$C,$C604,куб!M:M),IF($B604&lt;&gt;0,SUMIF(куб!$B:$B,$B604,куб!M:M))))))</f>
        <v>0</v>
      </c>
      <c r="V604" s="13" t="str">
        <f t="shared" si="206"/>
        <v>-</v>
      </c>
      <c r="W604" s="5"/>
      <c r="X604" s="27" t="b">
        <f>IF($G604&lt;&gt;0,SUMIF(куб!$G:$G,$G604,куб!N:N),IF($E604&lt;&gt;0,SUMIF(куб!$E:$E,$E604,куб!N:N),IF($D604&lt;&gt;0,SUMIF(куб!$D:$D,$D604,куб!N:N),IF($C604&lt;&gt;0,SUMIF(куб!$C:$C,$C604,куб!N:N),IF($B604&lt;&gt;0,SUMIF(куб!$B:$B,$B604,куб!N:N))))))</f>
        <v>0</v>
      </c>
      <c r="Y604" s="27" t="b">
        <f>IF($G604&lt;&gt;0,SUMIF(куб!$G:$G,$G604,куб!O:O),IF($E604&lt;&gt;0,SUMIF(куб!$E:$E,$E604,куб!O:O),IF($D604&lt;&gt;0,SUMIF(куб!$D:$D,$D604,куб!O:O),IF($C604&lt;&gt;0,SUMIF(куб!$C:$C,$C604,куб!O:O),IF($B604&lt;&gt;0,SUMIF(куб!$B:$B,$B604,куб!O:O))))))</f>
        <v>0</v>
      </c>
      <c r="Z604" s="13" t="str">
        <f t="shared" si="207"/>
        <v>-</v>
      </c>
      <c r="AA604" s="5"/>
      <c r="AB604" s="33" t="str">
        <f t="shared" si="208"/>
        <v/>
      </c>
      <c r="AC604" s="33" t="str">
        <f t="shared" si="209"/>
        <v/>
      </c>
      <c r="AD604" s="15" t="str">
        <f t="shared" si="210"/>
        <v xml:space="preserve"> </v>
      </c>
      <c r="AE604" s="5"/>
      <c r="AF604" s="27" t="b">
        <f>IF($G604&lt;&gt;0,SUMIF(куб!$G:$G,$G604,куб!R:R),IF($E604&lt;&gt;0,SUMIF(куб!$E:$E,$E604,куб!R:R),IF($D604&lt;&gt;0,SUMIF(куб!$D:$D,$D604,куб!R:R),IF($C604&lt;&gt;0,SUMIF(куб!$C:$C,$C604,куб!R:R),IF($B604&lt;&gt;0,SUMIF(куб!$B:$B,$B604,куб!R:R))))))</f>
        <v>0</v>
      </c>
      <c r="AG604" s="27" t="b">
        <f>IF($G604&lt;&gt;0,SUMIF(куб!$G:$G,$G604,куб!S:S),IF($E604&lt;&gt;0,SUMIF(куб!$E:$E,$E604,куб!S:S),IF($D604&lt;&gt;0,SUMIF(куб!$D:$D,$D604,куб!S:S),IF($C604&lt;&gt;0,SUMIF(куб!$C:$C,$C604,куб!S:S),IF($B604&lt;&gt;0,SUMIF(куб!$B:$B,$B604,куб!S:S))))))</f>
        <v>0</v>
      </c>
      <c r="AH604" s="16" t="str">
        <f t="shared" si="211"/>
        <v>-</v>
      </c>
      <c r="AI604" s="8"/>
      <c r="AJ604" s="27" t="b">
        <f>IF($G604&lt;&gt;0,SUMIF(куб!$G:$G,$G604,куб!T:T),IF($E604&lt;&gt;0,SUMIF(куб!$E:$E,$E604,куб!T:T),IF($D604&lt;&gt;0,SUMIF(куб!$D:$D,$D604,куб!T:T),IF($C604&lt;&gt;0,SUMIF(куб!$C:$C,$C604,куб!T:T),IF($B604&lt;&gt;0,SUMIF(куб!$B:$B,$B604,куб!T:T))))))</f>
        <v>0</v>
      </c>
      <c r="AK604" s="27" t="b">
        <f>IF($G604&lt;&gt;0,SUMIF(куб!$G:$G,$G604,куб!U:U),IF($E604&lt;&gt;0,SUMIF(куб!$E:$E,$E604,куб!U:U),IF($D604&lt;&gt;0,SUMIF(куб!$D:$D,$D604,куб!U:U),IF($C604&lt;&gt;0,SUMIF(куб!$C:$C,$C604,куб!U:U),IF($B604&lt;&gt;0,SUMIF(куб!$B:$B,$B604,куб!U:U))))))</f>
        <v>0</v>
      </c>
      <c r="AL604" s="16" t="str">
        <f t="shared" si="212"/>
        <v>-</v>
      </c>
      <c r="AM604" s="8"/>
      <c r="AN604" s="17" t="str">
        <f t="shared" si="213"/>
        <v xml:space="preserve"> </v>
      </c>
      <c r="AO604" s="17" t="str">
        <f t="shared" si="214"/>
        <v xml:space="preserve"> </v>
      </c>
      <c r="AP604" s="16" t="str">
        <f t="shared" si="215"/>
        <v>-</v>
      </c>
      <c r="AQ604" s="8"/>
      <c r="AR604" s="17" t="str">
        <f t="shared" si="216"/>
        <v>-</v>
      </c>
      <c r="AS604" s="17" t="str">
        <f t="shared" si="217"/>
        <v>-</v>
      </c>
      <c r="AT604" s="13" t="str">
        <f t="shared" si="218"/>
        <v>-</v>
      </c>
      <c r="AU604" s="8"/>
    </row>
    <row r="605" spans="1:47" x14ac:dyDescent="0.25">
      <c r="A605" s="31"/>
      <c r="B605" s="31"/>
      <c r="C605"/>
      <c r="D605" s="31"/>
      <c r="E605"/>
      <c r="F605" s="31"/>
      <c r="G605"/>
      <c r="H605" s="27">
        <f>IF($G605&lt;&gt;0,SUMIF(куб!$G:$G,$G605,куб!H:H),IF($E605&lt;&gt;0,SUMIF(куб!$E:$E,$E605,куб!H:H),IF($D605&lt;&gt;0,SUMIF(куб!$D:$D,$D605,куб!H:H),IF($C605&lt;&gt;0,SUMIF(куб!$C:$C,$C605,куб!H:H),IF($B605&lt;&gt;0,SUMIF(куб!$B:$B,$B605,куб!H:H),IF($G605&lt;&gt;0,SUMIF(куб!$A:$A,$G605,куб!H:H),SUMIF(куб!$A:$A,$G605,куб!H:H)))))))</f>
        <v>0</v>
      </c>
      <c r="I605" s="27">
        <f>IF($G605&lt;&gt;0,SUMIF(куб!$G:$G,$G605,куб!I:I),IF($E605&lt;&gt;0,SUMIF(куб!$E:$E,$E605,куб!I:I),IF($D605&lt;&gt;0,SUMIF(куб!$D:$D,$D605,куб!I:I),IF($C605&lt;&gt;0,SUMIF(куб!$C:$C,$C605,куб!I:I),IF($B605&lt;&gt;0,SUMIF(куб!$B:$B,$B605,куб!I:I),IF($G605&lt;&gt;0,SUMIF(куб!$A:$A,$G605,куб!I:I),SUMIF(куб!$A:$A,$G605,куб!I:I)))))))</f>
        <v>0</v>
      </c>
      <c r="J605" s="19" t="str">
        <f t="shared" si="201"/>
        <v>-</v>
      </c>
      <c r="K605" s="8"/>
      <c r="L605" s="17">
        <f t="shared" si="202"/>
        <v>0</v>
      </c>
      <c r="M605" s="17">
        <f t="shared" si="203"/>
        <v>0</v>
      </c>
      <c r="N605" s="12">
        <f t="shared" si="204"/>
        <v>0</v>
      </c>
      <c r="O605" s="5"/>
      <c r="P605" s="27" t="b">
        <f>IF($G605&lt;&gt;0,SUMIF(куб!$G:$G,$G605,куб!J:J),IF($E605&lt;&gt;0,SUMIF(куб!$E:$E,$E605,куб!J:J),IF($D605&lt;&gt;0,SUMIF(куб!$D:$D,$D605,куб!J:J),IF($C605&lt;&gt;0,SUMIF(куб!$C:$C,$C605,куб!J:J),IF($B605&lt;&gt;0,SUMIF(куб!$B:$B,$B605,куб!J:J))))))</f>
        <v>0</v>
      </c>
      <c r="Q605" s="27" t="b">
        <f>IF($G605&lt;&gt;0,SUMIF(куб!$G:$G,$G605,куб!K:K),IF($E605&lt;&gt;0,SUMIF(куб!$E:$E,$E605,куб!K:K),IF($D605&lt;&gt;0,SUMIF(куб!$D:$D,$D605,куб!K:K),IF($C605&lt;&gt;0,SUMIF(куб!$C:$C,$C605,куб!K:K),IF($B605&lt;&gt;0,SUMIF(куб!$B:$B,$B605,куб!K:K))))))</f>
        <v>0</v>
      </c>
      <c r="R605" s="13" t="str">
        <f t="shared" si="205"/>
        <v>-</v>
      </c>
      <c r="S605" s="5"/>
      <c r="T605" s="27" t="b">
        <f>IF($G605&lt;&gt;0,SUMIF(куб!$G:$G,$G605,куб!L:L),IF($E605&lt;&gt;0,SUMIF(куб!$E:$E,$E605,куб!L:L),IF($D605&lt;&gt;0,SUMIF(куб!$D:$D,$D605,куб!L:L),IF($C605&lt;&gt;0,SUMIF(куб!$C:$C,$C605,куб!L:L),IF($B605&lt;&gt;0,SUMIF(куб!$B:$B,$B605,куб!L:L))))))</f>
        <v>0</v>
      </c>
      <c r="U605" s="27" t="b">
        <f>IF($G605&lt;&gt;0,SUMIF(куб!$G:$G,$G605,куб!M:M),IF($E605&lt;&gt;0,SUMIF(куб!$E:$E,$E605,куб!M:M),IF($D605&lt;&gt;0,SUMIF(куб!$D:$D,$D605,куб!M:M),IF($C605&lt;&gt;0,SUMIF(куб!$C:$C,$C605,куб!M:M),IF($B605&lt;&gt;0,SUMIF(куб!$B:$B,$B605,куб!M:M))))))</f>
        <v>0</v>
      </c>
      <c r="V605" s="13" t="str">
        <f t="shared" si="206"/>
        <v>-</v>
      </c>
      <c r="W605" s="5"/>
      <c r="X605" s="27" t="b">
        <f>IF($G605&lt;&gt;0,SUMIF(куб!$G:$G,$G605,куб!N:N),IF($E605&lt;&gt;0,SUMIF(куб!$E:$E,$E605,куб!N:N),IF($D605&lt;&gt;0,SUMIF(куб!$D:$D,$D605,куб!N:N),IF($C605&lt;&gt;0,SUMIF(куб!$C:$C,$C605,куб!N:N),IF($B605&lt;&gt;0,SUMIF(куб!$B:$B,$B605,куб!N:N))))))</f>
        <v>0</v>
      </c>
      <c r="Y605" s="27" t="b">
        <f>IF($G605&lt;&gt;0,SUMIF(куб!$G:$G,$G605,куб!O:O),IF($E605&lt;&gt;0,SUMIF(куб!$E:$E,$E605,куб!O:O),IF($D605&lt;&gt;0,SUMIF(куб!$D:$D,$D605,куб!O:O),IF($C605&lt;&gt;0,SUMIF(куб!$C:$C,$C605,куб!O:O),IF($B605&lt;&gt;0,SUMIF(куб!$B:$B,$B605,куб!O:O))))))</f>
        <v>0</v>
      </c>
      <c r="Z605" s="13" t="str">
        <f t="shared" si="207"/>
        <v>-</v>
      </c>
      <c r="AA605" s="5"/>
      <c r="AB605" s="33" t="str">
        <f t="shared" si="208"/>
        <v/>
      </c>
      <c r="AC605" s="33" t="str">
        <f t="shared" si="209"/>
        <v/>
      </c>
      <c r="AD605" s="15" t="str">
        <f t="shared" si="210"/>
        <v xml:space="preserve"> </v>
      </c>
      <c r="AE605" s="5"/>
      <c r="AF605" s="27" t="b">
        <f>IF($G605&lt;&gt;0,SUMIF(куб!$G:$G,$G605,куб!R:R),IF($E605&lt;&gt;0,SUMIF(куб!$E:$E,$E605,куб!R:R),IF($D605&lt;&gt;0,SUMIF(куб!$D:$D,$D605,куб!R:R),IF($C605&lt;&gt;0,SUMIF(куб!$C:$C,$C605,куб!R:R),IF($B605&lt;&gt;0,SUMIF(куб!$B:$B,$B605,куб!R:R))))))</f>
        <v>0</v>
      </c>
      <c r="AG605" s="27" t="b">
        <f>IF($G605&lt;&gt;0,SUMIF(куб!$G:$G,$G605,куб!S:S),IF($E605&lt;&gt;0,SUMIF(куб!$E:$E,$E605,куб!S:S),IF($D605&lt;&gt;0,SUMIF(куб!$D:$D,$D605,куб!S:S),IF($C605&lt;&gt;0,SUMIF(куб!$C:$C,$C605,куб!S:S),IF($B605&lt;&gt;0,SUMIF(куб!$B:$B,$B605,куб!S:S))))))</f>
        <v>0</v>
      </c>
      <c r="AH605" s="16" t="str">
        <f t="shared" si="211"/>
        <v>-</v>
      </c>
      <c r="AI605" s="8"/>
      <c r="AJ605" s="27" t="b">
        <f>IF($G605&lt;&gt;0,SUMIF(куб!$G:$G,$G605,куб!T:T),IF($E605&lt;&gt;0,SUMIF(куб!$E:$E,$E605,куб!T:T),IF($D605&lt;&gt;0,SUMIF(куб!$D:$D,$D605,куб!T:T),IF($C605&lt;&gt;0,SUMIF(куб!$C:$C,$C605,куб!T:T),IF($B605&lt;&gt;0,SUMIF(куб!$B:$B,$B605,куб!T:T))))))</f>
        <v>0</v>
      </c>
      <c r="AK605" s="27" t="b">
        <f>IF($G605&lt;&gt;0,SUMIF(куб!$G:$G,$G605,куб!U:U),IF($E605&lt;&gt;0,SUMIF(куб!$E:$E,$E605,куб!U:U),IF($D605&lt;&gt;0,SUMIF(куб!$D:$D,$D605,куб!U:U),IF($C605&lt;&gt;0,SUMIF(куб!$C:$C,$C605,куб!U:U),IF($B605&lt;&gt;0,SUMIF(куб!$B:$B,$B605,куб!U:U))))))</f>
        <v>0</v>
      </c>
      <c r="AL605" s="16" t="str">
        <f t="shared" si="212"/>
        <v>-</v>
      </c>
      <c r="AM605" s="8"/>
      <c r="AN605" s="17" t="str">
        <f t="shared" si="213"/>
        <v xml:space="preserve"> </v>
      </c>
      <c r="AO605" s="17" t="str">
        <f t="shared" si="214"/>
        <v xml:space="preserve"> </v>
      </c>
      <c r="AP605" s="16" t="str">
        <f t="shared" si="215"/>
        <v>-</v>
      </c>
      <c r="AQ605" s="8"/>
      <c r="AR605" s="17" t="str">
        <f t="shared" si="216"/>
        <v>-</v>
      </c>
      <c r="AS605" s="17" t="str">
        <f t="shared" si="217"/>
        <v>-</v>
      </c>
      <c r="AT605" s="13" t="str">
        <f t="shared" si="218"/>
        <v>-</v>
      </c>
      <c r="AU605" s="8"/>
    </row>
    <row r="606" spans="1:47" x14ac:dyDescent="0.25">
      <c r="A606" s="31"/>
      <c r="B606" s="31"/>
      <c r="C606"/>
      <c r="D606" s="31"/>
      <c r="E606"/>
      <c r="F606" s="31"/>
      <c r="G606"/>
      <c r="H606" s="27">
        <f>IF($G606&lt;&gt;0,SUMIF(куб!$G:$G,$G606,куб!H:H),IF($E606&lt;&gt;0,SUMIF(куб!$E:$E,$E606,куб!H:H),IF($D606&lt;&gt;0,SUMIF(куб!$D:$D,$D606,куб!H:H),IF($C606&lt;&gt;0,SUMIF(куб!$C:$C,$C606,куб!H:H),IF($B606&lt;&gt;0,SUMIF(куб!$B:$B,$B606,куб!H:H),IF($G606&lt;&gt;0,SUMIF(куб!$A:$A,$G606,куб!H:H),SUMIF(куб!$A:$A,$G606,куб!H:H)))))))</f>
        <v>0</v>
      </c>
      <c r="I606" s="27">
        <f>IF($G606&lt;&gt;0,SUMIF(куб!$G:$G,$G606,куб!I:I),IF($E606&lt;&gt;0,SUMIF(куб!$E:$E,$E606,куб!I:I),IF($D606&lt;&gt;0,SUMIF(куб!$D:$D,$D606,куб!I:I),IF($C606&lt;&gt;0,SUMIF(куб!$C:$C,$C606,куб!I:I),IF($B606&lt;&gt;0,SUMIF(куб!$B:$B,$B606,куб!I:I),IF($G606&lt;&gt;0,SUMIF(куб!$A:$A,$G606,куб!I:I),SUMIF(куб!$A:$A,$G606,куб!I:I)))))))</f>
        <v>0</v>
      </c>
      <c r="J606" s="19" t="str">
        <f t="shared" si="201"/>
        <v>-</v>
      </c>
      <c r="K606" s="8"/>
      <c r="L606" s="17">
        <f t="shared" si="202"/>
        <v>0</v>
      </c>
      <c r="M606" s="17">
        <f t="shared" si="203"/>
        <v>0</v>
      </c>
      <c r="N606" s="12">
        <f t="shared" si="204"/>
        <v>0</v>
      </c>
      <c r="O606" s="5"/>
      <c r="P606" s="27" t="b">
        <f>IF($G606&lt;&gt;0,SUMIF(куб!$G:$G,$G606,куб!J:J),IF($E606&lt;&gt;0,SUMIF(куб!$E:$E,$E606,куб!J:J),IF($D606&lt;&gt;0,SUMIF(куб!$D:$D,$D606,куб!J:J),IF($C606&lt;&gt;0,SUMIF(куб!$C:$C,$C606,куб!J:J),IF($B606&lt;&gt;0,SUMIF(куб!$B:$B,$B606,куб!J:J))))))</f>
        <v>0</v>
      </c>
      <c r="Q606" s="27" t="b">
        <f>IF($G606&lt;&gt;0,SUMIF(куб!$G:$G,$G606,куб!K:K),IF($E606&lt;&gt;0,SUMIF(куб!$E:$E,$E606,куб!K:K),IF($D606&lt;&gt;0,SUMIF(куб!$D:$D,$D606,куб!K:K),IF($C606&lt;&gt;0,SUMIF(куб!$C:$C,$C606,куб!K:K),IF($B606&lt;&gt;0,SUMIF(куб!$B:$B,$B606,куб!K:K))))))</f>
        <v>0</v>
      </c>
      <c r="R606" s="13" t="str">
        <f t="shared" si="205"/>
        <v>-</v>
      </c>
      <c r="S606" s="5"/>
      <c r="T606" s="27" t="b">
        <f>IF($G606&lt;&gt;0,SUMIF(куб!$G:$G,$G606,куб!L:L),IF($E606&lt;&gt;0,SUMIF(куб!$E:$E,$E606,куб!L:L),IF($D606&lt;&gt;0,SUMIF(куб!$D:$D,$D606,куб!L:L),IF($C606&lt;&gt;0,SUMIF(куб!$C:$C,$C606,куб!L:L),IF($B606&lt;&gt;0,SUMIF(куб!$B:$B,$B606,куб!L:L))))))</f>
        <v>0</v>
      </c>
      <c r="U606" s="27" t="b">
        <f>IF($G606&lt;&gt;0,SUMIF(куб!$G:$G,$G606,куб!M:M),IF($E606&lt;&gt;0,SUMIF(куб!$E:$E,$E606,куб!M:M),IF($D606&lt;&gt;0,SUMIF(куб!$D:$D,$D606,куб!M:M),IF($C606&lt;&gt;0,SUMIF(куб!$C:$C,$C606,куб!M:M),IF($B606&lt;&gt;0,SUMIF(куб!$B:$B,$B606,куб!M:M))))))</f>
        <v>0</v>
      </c>
      <c r="V606" s="13" t="str">
        <f t="shared" si="206"/>
        <v>-</v>
      </c>
      <c r="W606" s="5"/>
      <c r="X606" s="27" t="b">
        <f>IF($G606&lt;&gt;0,SUMIF(куб!$G:$G,$G606,куб!N:N),IF($E606&lt;&gt;0,SUMIF(куб!$E:$E,$E606,куб!N:N),IF($D606&lt;&gt;0,SUMIF(куб!$D:$D,$D606,куб!N:N),IF($C606&lt;&gt;0,SUMIF(куб!$C:$C,$C606,куб!N:N),IF($B606&lt;&gt;0,SUMIF(куб!$B:$B,$B606,куб!N:N))))))</f>
        <v>0</v>
      </c>
      <c r="Y606" s="27" t="b">
        <f>IF($G606&lt;&gt;0,SUMIF(куб!$G:$G,$G606,куб!O:O),IF($E606&lt;&gt;0,SUMIF(куб!$E:$E,$E606,куб!O:O),IF($D606&lt;&gt;0,SUMIF(куб!$D:$D,$D606,куб!O:O),IF($C606&lt;&gt;0,SUMIF(куб!$C:$C,$C606,куб!O:O),IF($B606&lt;&gt;0,SUMIF(куб!$B:$B,$B606,куб!O:O))))))</f>
        <v>0</v>
      </c>
      <c r="Z606" s="13" t="str">
        <f t="shared" si="207"/>
        <v>-</v>
      </c>
      <c r="AA606" s="5"/>
      <c r="AB606" s="33" t="str">
        <f t="shared" si="208"/>
        <v/>
      </c>
      <c r="AC606" s="33" t="str">
        <f t="shared" si="209"/>
        <v/>
      </c>
      <c r="AD606" s="15" t="str">
        <f t="shared" si="210"/>
        <v xml:space="preserve"> </v>
      </c>
      <c r="AE606" s="5"/>
      <c r="AF606" s="27" t="b">
        <f>IF($G606&lt;&gt;0,SUMIF(куб!$G:$G,$G606,куб!R:R),IF($E606&lt;&gt;0,SUMIF(куб!$E:$E,$E606,куб!R:R),IF($D606&lt;&gt;0,SUMIF(куб!$D:$D,$D606,куб!R:R),IF($C606&lt;&gt;0,SUMIF(куб!$C:$C,$C606,куб!R:R),IF($B606&lt;&gt;0,SUMIF(куб!$B:$B,$B606,куб!R:R))))))</f>
        <v>0</v>
      </c>
      <c r="AG606" s="27" t="b">
        <f>IF($G606&lt;&gt;0,SUMIF(куб!$G:$G,$G606,куб!S:S),IF($E606&lt;&gt;0,SUMIF(куб!$E:$E,$E606,куб!S:S),IF($D606&lt;&gt;0,SUMIF(куб!$D:$D,$D606,куб!S:S),IF($C606&lt;&gt;0,SUMIF(куб!$C:$C,$C606,куб!S:S),IF($B606&lt;&gt;0,SUMIF(куб!$B:$B,$B606,куб!S:S))))))</f>
        <v>0</v>
      </c>
      <c r="AH606" s="16" t="str">
        <f t="shared" si="211"/>
        <v>-</v>
      </c>
      <c r="AI606" s="8"/>
      <c r="AJ606" s="27" t="b">
        <f>IF($G606&lt;&gt;0,SUMIF(куб!$G:$G,$G606,куб!T:T),IF($E606&lt;&gt;0,SUMIF(куб!$E:$E,$E606,куб!T:T),IF($D606&lt;&gt;0,SUMIF(куб!$D:$D,$D606,куб!T:T),IF($C606&lt;&gt;0,SUMIF(куб!$C:$C,$C606,куб!T:T),IF($B606&lt;&gt;0,SUMIF(куб!$B:$B,$B606,куб!T:T))))))</f>
        <v>0</v>
      </c>
      <c r="AK606" s="27" t="b">
        <f>IF($G606&lt;&gt;0,SUMIF(куб!$G:$G,$G606,куб!U:U),IF($E606&lt;&gt;0,SUMIF(куб!$E:$E,$E606,куб!U:U),IF($D606&lt;&gt;0,SUMIF(куб!$D:$D,$D606,куб!U:U),IF($C606&lt;&gt;0,SUMIF(куб!$C:$C,$C606,куб!U:U),IF($B606&lt;&gt;0,SUMIF(куб!$B:$B,$B606,куб!U:U))))))</f>
        <v>0</v>
      </c>
      <c r="AL606" s="16" t="str">
        <f t="shared" si="212"/>
        <v>-</v>
      </c>
      <c r="AM606" s="8"/>
      <c r="AN606" s="17" t="str">
        <f t="shared" si="213"/>
        <v xml:space="preserve"> </v>
      </c>
      <c r="AO606" s="17" t="str">
        <f t="shared" si="214"/>
        <v xml:space="preserve"> </v>
      </c>
      <c r="AP606" s="16" t="str">
        <f t="shared" si="215"/>
        <v>-</v>
      </c>
      <c r="AQ606" s="8"/>
      <c r="AR606" s="17" t="str">
        <f t="shared" si="216"/>
        <v>-</v>
      </c>
      <c r="AS606" s="17" t="str">
        <f t="shared" si="217"/>
        <v>-</v>
      </c>
      <c r="AT606" s="13" t="str">
        <f t="shared" si="218"/>
        <v>-</v>
      </c>
      <c r="AU606" s="8"/>
    </row>
    <row r="607" spans="1:47" x14ac:dyDescent="0.25">
      <c r="A607" s="31"/>
      <c r="B607" s="31"/>
      <c r="C607"/>
      <c r="D607" s="31"/>
      <c r="E607"/>
      <c r="F607" s="31"/>
      <c r="G607"/>
      <c r="H607" s="27">
        <f>IF($G607&lt;&gt;0,SUMIF(куб!$G:$G,$G607,куб!H:H),IF($E607&lt;&gt;0,SUMIF(куб!$E:$E,$E607,куб!H:H),IF($D607&lt;&gt;0,SUMIF(куб!$D:$D,$D607,куб!H:H),IF($C607&lt;&gt;0,SUMIF(куб!$C:$C,$C607,куб!H:H),IF($B607&lt;&gt;0,SUMIF(куб!$B:$B,$B607,куб!H:H),IF($G607&lt;&gt;0,SUMIF(куб!$A:$A,$G607,куб!H:H),SUMIF(куб!$A:$A,$G607,куб!H:H)))))))</f>
        <v>0</v>
      </c>
      <c r="I607" s="27">
        <f>IF($G607&lt;&gt;0,SUMIF(куб!$G:$G,$G607,куб!I:I),IF($E607&lt;&gt;0,SUMIF(куб!$E:$E,$E607,куб!I:I),IF($D607&lt;&gt;0,SUMIF(куб!$D:$D,$D607,куб!I:I),IF($C607&lt;&gt;0,SUMIF(куб!$C:$C,$C607,куб!I:I),IF($B607&lt;&gt;0,SUMIF(куб!$B:$B,$B607,куб!I:I),IF($G607&lt;&gt;0,SUMIF(куб!$A:$A,$G607,куб!I:I),SUMIF(куб!$A:$A,$G607,куб!I:I)))))))</f>
        <v>0</v>
      </c>
      <c r="J607" s="19" t="str">
        <f t="shared" si="201"/>
        <v>-</v>
      </c>
      <c r="K607" s="8"/>
      <c r="L607" s="17">
        <f t="shared" si="202"/>
        <v>0</v>
      </c>
      <c r="M607" s="17">
        <f t="shared" si="203"/>
        <v>0</v>
      </c>
      <c r="N607" s="12">
        <f t="shared" si="204"/>
        <v>0</v>
      </c>
      <c r="O607" s="5"/>
      <c r="P607" s="27" t="b">
        <f>IF($G607&lt;&gt;0,SUMIF(куб!$G:$G,$G607,куб!J:J),IF($E607&lt;&gt;0,SUMIF(куб!$E:$E,$E607,куб!J:J),IF($D607&lt;&gt;0,SUMIF(куб!$D:$D,$D607,куб!J:J),IF($C607&lt;&gt;0,SUMIF(куб!$C:$C,$C607,куб!J:J),IF($B607&lt;&gt;0,SUMIF(куб!$B:$B,$B607,куб!J:J))))))</f>
        <v>0</v>
      </c>
      <c r="Q607" s="27" t="b">
        <f>IF($G607&lt;&gt;0,SUMIF(куб!$G:$G,$G607,куб!K:K),IF($E607&lt;&gt;0,SUMIF(куб!$E:$E,$E607,куб!K:K),IF($D607&lt;&gt;0,SUMIF(куб!$D:$D,$D607,куб!K:K),IF($C607&lt;&gt;0,SUMIF(куб!$C:$C,$C607,куб!K:K),IF($B607&lt;&gt;0,SUMIF(куб!$B:$B,$B607,куб!K:K))))))</f>
        <v>0</v>
      </c>
      <c r="R607" s="13" t="str">
        <f t="shared" si="205"/>
        <v>-</v>
      </c>
      <c r="S607" s="5"/>
      <c r="T607" s="27" t="b">
        <f>IF($G607&lt;&gt;0,SUMIF(куб!$G:$G,$G607,куб!L:L),IF($E607&lt;&gt;0,SUMIF(куб!$E:$E,$E607,куб!L:L),IF($D607&lt;&gt;0,SUMIF(куб!$D:$D,$D607,куб!L:L),IF($C607&lt;&gt;0,SUMIF(куб!$C:$C,$C607,куб!L:L),IF($B607&lt;&gt;0,SUMIF(куб!$B:$B,$B607,куб!L:L))))))</f>
        <v>0</v>
      </c>
      <c r="U607" s="27" t="b">
        <f>IF($G607&lt;&gt;0,SUMIF(куб!$G:$G,$G607,куб!M:M),IF($E607&lt;&gt;0,SUMIF(куб!$E:$E,$E607,куб!M:M),IF($D607&lt;&gt;0,SUMIF(куб!$D:$D,$D607,куб!M:M),IF($C607&lt;&gt;0,SUMIF(куб!$C:$C,$C607,куб!M:M),IF($B607&lt;&gt;0,SUMIF(куб!$B:$B,$B607,куб!M:M))))))</f>
        <v>0</v>
      </c>
      <c r="V607" s="13" t="str">
        <f t="shared" si="206"/>
        <v>-</v>
      </c>
      <c r="W607" s="5"/>
      <c r="X607" s="27" t="b">
        <f>IF($G607&lt;&gt;0,SUMIF(куб!$G:$G,$G607,куб!N:N),IF($E607&lt;&gt;0,SUMIF(куб!$E:$E,$E607,куб!N:N),IF($D607&lt;&gt;0,SUMIF(куб!$D:$D,$D607,куб!N:N),IF($C607&lt;&gt;0,SUMIF(куб!$C:$C,$C607,куб!N:N),IF($B607&lt;&gt;0,SUMIF(куб!$B:$B,$B607,куб!N:N))))))</f>
        <v>0</v>
      </c>
      <c r="Y607" s="27" t="b">
        <f>IF($G607&lt;&gt;0,SUMIF(куб!$G:$G,$G607,куб!O:O),IF($E607&lt;&gt;0,SUMIF(куб!$E:$E,$E607,куб!O:O),IF($D607&lt;&gt;0,SUMIF(куб!$D:$D,$D607,куб!O:O),IF($C607&lt;&gt;0,SUMIF(куб!$C:$C,$C607,куб!O:O),IF($B607&lt;&gt;0,SUMIF(куб!$B:$B,$B607,куб!O:O))))))</f>
        <v>0</v>
      </c>
      <c r="Z607" s="13" t="str">
        <f t="shared" si="207"/>
        <v>-</v>
      </c>
      <c r="AA607" s="5"/>
      <c r="AB607" s="33" t="str">
        <f t="shared" si="208"/>
        <v/>
      </c>
      <c r="AC607" s="33" t="str">
        <f t="shared" si="209"/>
        <v/>
      </c>
      <c r="AD607" s="15" t="str">
        <f t="shared" si="210"/>
        <v xml:space="preserve"> </v>
      </c>
      <c r="AE607" s="5"/>
      <c r="AF607" s="27" t="b">
        <f>IF($G607&lt;&gt;0,SUMIF(куб!$G:$G,$G607,куб!R:R),IF($E607&lt;&gt;0,SUMIF(куб!$E:$E,$E607,куб!R:R),IF($D607&lt;&gt;0,SUMIF(куб!$D:$D,$D607,куб!R:R),IF($C607&lt;&gt;0,SUMIF(куб!$C:$C,$C607,куб!R:R),IF($B607&lt;&gt;0,SUMIF(куб!$B:$B,$B607,куб!R:R))))))</f>
        <v>0</v>
      </c>
      <c r="AG607" s="27" t="b">
        <f>IF($G607&lt;&gt;0,SUMIF(куб!$G:$G,$G607,куб!S:S),IF($E607&lt;&gt;0,SUMIF(куб!$E:$E,$E607,куб!S:S),IF($D607&lt;&gt;0,SUMIF(куб!$D:$D,$D607,куб!S:S),IF($C607&lt;&gt;0,SUMIF(куб!$C:$C,$C607,куб!S:S),IF($B607&lt;&gt;0,SUMIF(куб!$B:$B,$B607,куб!S:S))))))</f>
        <v>0</v>
      </c>
      <c r="AH607" s="16" t="str">
        <f t="shared" si="211"/>
        <v>-</v>
      </c>
      <c r="AI607" s="8"/>
      <c r="AJ607" s="27" t="b">
        <f>IF($G607&lt;&gt;0,SUMIF(куб!$G:$G,$G607,куб!T:T),IF($E607&lt;&gt;0,SUMIF(куб!$E:$E,$E607,куб!T:T),IF($D607&lt;&gt;0,SUMIF(куб!$D:$D,$D607,куб!T:T),IF($C607&lt;&gt;0,SUMIF(куб!$C:$C,$C607,куб!T:T),IF($B607&lt;&gt;0,SUMIF(куб!$B:$B,$B607,куб!T:T))))))</f>
        <v>0</v>
      </c>
      <c r="AK607" s="27" t="b">
        <f>IF($G607&lt;&gt;0,SUMIF(куб!$G:$G,$G607,куб!U:U),IF($E607&lt;&gt;0,SUMIF(куб!$E:$E,$E607,куб!U:U),IF($D607&lt;&gt;0,SUMIF(куб!$D:$D,$D607,куб!U:U),IF($C607&lt;&gt;0,SUMIF(куб!$C:$C,$C607,куб!U:U),IF($B607&lt;&gt;0,SUMIF(куб!$B:$B,$B607,куб!U:U))))))</f>
        <v>0</v>
      </c>
      <c r="AL607" s="16" t="str">
        <f t="shared" si="212"/>
        <v>-</v>
      </c>
      <c r="AM607" s="8"/>
      <c r="AN607" s="17" t="str">
        <f t="shared" si="213"/>
        <v xml:space="preserve"> </v>
      </c>
      <c r="AO607" s="17" t="str">
        <f t="shared" si="214"/>
        <v xml:space="preserve"> </v>
      </c>
      <c r="AP607" s="16" t="str">
        <f t="shared" si="215"/>
        <v>-</v>
      </c>
      <c r="AQ607" s="8"/>
      <c r="AR607" s="17" t="str">
        <f t="shared" si="216"/>
        <v>-</v>
      </c>
      <c r="AS607" s="17" t="str">
        <f t="shared" si="217"/>
        <v>-</v>
      </c>
      <c r="AT607" s="13" t="str">
        <f t="shared" si="218"/>
        <v>-</v>
      </c>
      <c r="AU607" s="8"/>
    </row>
    <row r="608" spans="1:47" x14ac:dyDescent="0.25">
      <c r="A608" s="31"/>
      <c r="B608" s="31"/>
      <c r="C608"/>
      <c r="D608" s="31"/>
      <c r="E608"/>
      <c r="F608" s="31"/>
      <c r="G608"/>
      <c r="H608" s="27">
        <f>IF($G608&lt;&gt;0,SUMIF(куб!$G:$G,$G608,куб!H:H),IF($E608&lt;&gt;0,SUMIF(куб!$E:$E,$E608,куб!H:H),IF($D608&lt;&gt;0,SUMIF(куб!$D:$D,$D608,куб!H:H),IF($C608&lt;&gt;0,SUMIF(куб!$C:$C,$C608,куб!H:H),IF($B608&lt;&gt;0,SUMIF(куб!$B:$B,$B608,куб!H:H),IF($G608&lt;&gt;0,SUMIF(куб!$A:$A,$G608,куб!H:H),SUMIF(куб!$A:$A,$G608,куб!H:H)))))))</f>
        <v>0</v>
      </c>
      <c r="I608" s="27">
        <f>IF($G608&lt;&gt;0,SUMIF(куб!$G:$G,$G608,куб!I:I),IF($E608&lt;&gt;0,SUMIF(куб!$E:$E,$E608,куб!I:I),IF($D608&lt;&gt;0,SUMIF(куб!$D:$D,$D608,куб!I:I),IF($C608&lt;&gt;0,SUMIF(куб!$C:$C,$C608,куб!I:I),IF($B608&lt;&gt;0,SUMIF(куб!$B:$B,$B608,куб!I:I),IF($G608&lt;&gt;0,SUMIF(куб!$A:$A,$G608,куб!I:I),SUMIF(куб!$A:$A,$G608,куб!I:I)))))))</f>
        <v>0</v>
      </c>
      <c r="J608" s="19" t="str">
        <f t="shared" si="201"/>
        <v>-</v>
      </c>
      <c r="K608" s="8"/>
      <c r="L608" s="17">
        <f t="shared" si="202"/>
        <v>0</v>
      </c>
      <c r="M608" s="17">
        <f t="shared" si="203"/>
        <v>0</v>
      </c>
      <c r="N608" s="12">
        <f t="shared" si="204"/>
        <v>0</v>
      </c>
      <c r="O608" s="5"/>
      <c r="P608" s="27" t="b">
        <f>IF($G608&lt;&gt;0,SUMIF(куб!$G:$G,$G608,куб!J:J),IF($E608&lt;&gt;0,SUMIF(куб!$E:$E,$E608,куб!J:J),IF($D608&lt;&gt;0,SUMIF(куб!$D:$D,$D608,куб!J:J),IF($C608&lt;&gt;0,SUMIF(куб!$C:$C,$C608,куб!J:J),IF($B608&lt;&gt;0,SUMIF(куб!$B:$B,$B608,куб!J:J))))))</f>
        <v>0</v>
      </c>
      <c r="Q608" s="27" t="b">
        <f>IF($G608&lt;&gt;0,SUMIF(куб!$G:$G,$G608,куб!K:K),IF($E608&lt;&gt;0,SUMIF(куб!$E:$E,$E608,куб!K:K),IF($D608&lt;&gt;0,SUMIF(куб!$D:$D,$D608,куб!K:K),IF($C608&lt;&gt;0,SUMIF(куб!$C:$C,$C608,куб!K:K),IF($B608&lt;&gt;0,SUMIF(куб!$B:$B,$B608,куб!K:K))))))</f>
        <v>0</v>
      </c>
      <c r="R608" s="13" t="str">
        <f t="shared" si="205"/>
        <v>-</v>
      </c>
      <c r="S608" s="5"/>
      <c r="T608" s="27" t="b">
        <f>IF($G608&lt;&gt;0,SUMIF(куб!$G:$G,$G608,куб!L:L),IF($E608&lt;&gt;0,SUMIF(куб!$E:$E,$E608,куб!L:L),IF($D608&lt;&gt;0,SUMIF(куб!$D:$D,$D608,куб!L:L),IF($C608&lt;&gt;0,SUMIF(куб!$C:$C,$C608,куб!L:L),IF($B608&lt;&gt;0,SUMIF(куб!$B:$B,$B608,куб!L:L))))))</f>
        <v>0</v>
      </c>
      <c r="U608" s="27" t="b">
        <f>IF($G608&lt;&gt;0,SUMIF(куб!$G:$G,$G608,куб!M:M),IF($E608&lt;&gt;0,SUMIF(куб!$E:$E,$E608,куб!M:M),IF($D608&lt;&gt;0,SUMIF(куб!$D:$D,$D608,куб!M:M),IF($C608&lt;&gt;0,SUMIF(куб!$C:$C,$C608,куб!M:M),IF($B608&lt;&gt;0,SUMIF(куб!$B:$B,$B608,куб!M:M))))))</f>
        <v>0</v>
      </c>
      <c r="V608" s="13" t="str">
        <f t="shared" si="206"/>
        <v>-</v>
      </c>
      <c r="W608" s="5"/>
      <c r="X608" s="27" t="b">
        <f>IF($G608&lt;&gt;0,SUMIF(куб!$G:$G,$G608,куб!N:N),IF($E608&lt;&gt;0,SUMIF(куб!$E:$E,$E608,куб!N:N),IF($D608&lt;&gt;0,SUMIF(куб!$D:$D,$D608,куб!N:N),IF($C608&lt;&gt;0,SUMIF(куб!$C:$C,$C608,куб!N:N),IF($B608&lt;&gt;0,SUMIF(куб!$B:$B,$B608,куб!N:N))))))</f>
        <v>0</v>
      </c>
      <c r="Y608" s="27" t="b">
        <f>IF($G608&lt;&gt;0,SUMIF(куб!$G:$G,$G608,куб!O:O),IF($E608&lt;&gt;0,SUMIF(куб!$E:$E,$E608,куб!O:O),IF($D608&lt;&gt;0,SUMIF(куб!$D:$D,$D608,куб!O:O),IF($C608&lt;&gt;0,SUMIF(куб!$C:$C,$C608,куб!O:O),IF($B608&lt;&gt;0,SUMIF(куб!$B:$B,$B608,куб!O:O))))))</f>
        <v>0</v>
      </c>
      <c r="Z608" s="13" t="str">
        <f t="shared" si="207"/>
        <v>-</v>
      </c>
      <c r="AA608" s="5"/>
      <c r="AB608" s="33" t="str">
        <f t="shared" si="208"/>
        <v/>
      </c>
      <c r="AC608" s="33" t="str">
        <f t="shared" si="209"/>
        <v/>
      </c>
      <c r="AD608" s="15" t="str">
        <f t="shared" si="210"/>
        <v xml:space="preserve"> </v>
      </c>
      <c r="AE608" s="5"/>
      <c r="AF608" s="27" t="b">
        <f>IF($G608&lt;&gt;0,SUMIF(куб!$G:$G,$G608,куб!R:R),IF($E608&lt;&gt;0,SUMIF(куб!$E:$E,$E608,куб!R:R),IF($D608&lt;&gt;0,SUMIF(куб!$D:$D,$D608,куб!R:R),IF($C608&lt;&gt;0,SUMIF(куб!$C:$C,$C608,куб!R:R),IF($B608&lt;&gt;0,SUMIF(куб!$B:$B,$B608,куб!R:R))))))</f>
        <v>0</v>
      </c>
      <c r="AG608" s="27" t="b">
        <f>IF($G608&lt;&gt;0,SUMIF(куб!$G:$G,$G608,куб!S:S),IF($E608&lt;&gt;0,SUMIF(куб!$E:$E,$E608,куб!S:S),IF($D608&lt;&gt;0,SUMIF(куб!$D:$D,$D608,куб!S:S),IF($C608&lt;&gt;0,SUMIF(куб!$C:$C,$C608,куб!S:S),IF($B608&lt;&gt;0,SUMIF(куб!$B:$B,$B608,куб!S:S))))))</f>
        <v>0</v>
      </c>
      <c r="AH608" s="16" t="str">
        <f t="shared" si="211"/>
        <v>-</v>
      </c>
      <c r="AI608" s="8"/>
      <c r="AJ608" s="27" t="b">
        <f>IF($G608&lt;&gt;0,SUMIF(куб!$G:$G,$G608,куб!T:T),IF($E608&lt;&gt;0,SUMIF(куб!$E:$E,$E608,куб!T:T),IF($D608&lt;&gt;0,SUMIF(куб!$D:$D,$D608,куб!T:T),IF($C608&lt;&gt;0,SUMIF(куб!$C:$C,$C608,куб!T:T),IF($B608&lt;&gt;0,SUMIF(куб!$B:$B,$B608,куб!T:T))))))</f>
        <v>0</v>
      </c>
      <c r="AK608" s="27" t="b">
        <f>IF($G608&lt;&gt;0,SUMIF(куб!$G:$G,$G608,куб!U:U),IF($E608&lt;&gt;0,SUMIF(куб!$E:$E,$E608,куб!U:U),IF($D608&lt;&gt;0,SUMIF(куб!$D:$D,$D608,куб!U:U),IF($C608&lt;&gt;0,SUMIF(куб!$C:$C,$C608,куб!U:U),IF($B608&lt;&gt;0,SUMIF(куб!$B:$B,$B608,куб!U:U))))))</f>
        <v>0</v>
      </c>
      <c r="AL608" s="16" t="str">
        <f t="shared" si="212"/>
        <v>-</v>
      </c>
      <c r="AM608" s="8"/>
      <c r="AN608" s="17" t="str">
        <f t="shared" si="213"/>
        <v xml:space="preserve"> </v>
      </c>
      <c r="AO608" s="17" t="str">
        <f t="shared" si="214"/>
        <v xml:space="preserve"> </v>
      </c>
      <c r="AP608" s="16" t="str">
        <f t="shared" si="215"/>
        <v>-</v>
      </c>
      <c r="AQ608" s="8"/>
      <c r="AR608" s="17" t="str">
        <f t="shared" si="216"/>
        <v>-</v>
      </c>
      <c r="AS608" s="17" t="str">
        <f t="shared" si="217"/>
        <v>-</v>
      </c>
      <c r="AT608" s="13" t="str">
        <f t="shared" si="218"/>
        <v>-</v>
      </c>
      <c r="AU608" s="8"/>
    </row>
    <row r="609" spans="1:47" x14ac:dyDescent="0.25">
      <c r="A609" s="31"/>
      <c r="B609" s="31"/>
      <c r="C609"/>
      <c r="D609" s="31"/>
      <c r="E609"/>
      <c r="F609" s="31"/>
      <c r="G609"/>
      <c r="H609" s="27">
        <f>IF($G609&lt;&gt;0,SUMIF(куб!$G:$G,$G609,куб!H:H),IF($E609&lt;&gt;0,SUMIF(куб!$E:$E,$E609,куб!H:H),IF($D609&lt;&gt;0,SUMIF(куб!$D:$D,$D609,куб!H:H),IF($C609&lt;&gt;0,SUMIF(куб!$C:$C,$C609,куб!H:H),IF($B609&lt;&gt;0,SUMIF(куб!$B:$B,$B609,куб!H:H),IF($G609&lt;&gt;0,SUMIF(куб!$A:$A,$G609,куб!H:H),SUMIF(куб!$A:$A,$G609,куб!H:H)))))))</f>
        <v>0</v>
      </c>
      <c r="I609" s="27">
        <f>IF($G609&lt;&gt;0,SUMIF(куб!$G:$G,$G609,куб!I:I),IF($E609&lt;&gt;0,SUMIF(куб!$E:$E,$E609,куб!I:I),IF($D609&lt;&gt;0,SUMIF(куб!$D:$D,$D609,куб!I:I),IF($C609&lt;&gt;0,SUMIF(куб!$C:$C,$C609,куб!I:I),IF($B609&lt;&gt;0,SUMIF(куб!$B:$B,$B609,куб!I:I),IF($G609&lt;&gt;0,SUMIF(куб!$A:$A,$G609,куб!I:I),SUMIF(куб!$A:$A,$G609,куб!I:I)))))))</f>
        <v>0</v>
      </c>
      <c r="J609" s="19" t="str">
        <f t="shared" si="201"/>
        <v>-</v>
      </c>
      <c r="K609" s="8"/>
      <c r="L609" s="17">
        <f t="shared" si="202"/>
        <v>0</v>
      </c>
      <c r="M609" s="17">
        <f t="shared" si="203"/>
        <v>0</v>
      </c>
      <c r="N609" s="12">
        <f t="shared" si="204"/>
        <v>0</v>
      </c>
      <c r="O609" s="5"/>
      <c r="P609" s="27" t="b">
        <f>IF($G609&lt;&gt;0,SUMIF(куб!$G:$G,$G609,куб!J:J),IF($E609&lt;&gt;0,SUMIF(куб!$E:$E,$E609,куб!J:J),IF($D609&lt;&gt;0,SUMIF(куб!$D:$D,$D609,куб!J:J),IF($C609&lt;&gt;0,SUMIF(куб!$C:$C,$C609,куб!J:J),IF($B609&lt;&gt;0,SUMIF(куб!$B:$B,$B609,куб!J:J))))))</f>
        <v>0</v>
      </c>
      <c r="Q609" s="27" t="b">
        <f>IF($G609&lt;&gt;0,SUMIF(куб!$G:$G,$G609,куб!K:K),IF($E609&lt;&gt;0,SUMIF(куб!$E:$E,$E609,куб!K:K),IF($D609&lt;&gt;0,SUMIF(куб!$D:$D,$D609,куб!K:K),IF($C609&lt;&gt;0,SUMIF(куб!$C:$C,$C609,куб!K:K),IF($B609&lt;&gt;0,SUMIF(куб!$B:$B,$B609,куб!K:K))))))</f>
        <v>0</v>
      </c>
      <c r="R609" s="13" t="str">
        <f t="shared" si="205"/>
        <v>-</v>
      </c>
      <c r="S609" s="5"/>
      <c r="T609" s="27" t="b">
        <f>IF($G609&lt;&gt;0,SUMIF(куб!$G:$G,$G609,куб!L:L),IF($E609&lt;&gt;0,SUMIF(куб!$E:$E,$E609,куб!L:L),IF($D609&lt;&gt;0,SUMIF(куб!$D:$D,$D609,куб!L:L),IF($C609&lt;&gt;0,SUMIF(куб!$C:$C,$C609,куб!L:L),IF($B609&lt;&gt;0,SUMIF(куб!$B:$B,$B609,куб!L:L))))))</f>
        <v>0</v>
      </c>
      <c r="U609" s="27" t="b">
        <f>IF($G609&lt;&gt;0,SUMIF(куб!$G:$G,$G609,куб!M:M),IF($E609&lt;&gt;0,SUMIF(куб!$E:$E,$E609,куб!M:M),IF($D609&lt;&gt;0,SUMIF(куб!$D:$D,$D609,куб!M:M),IF($C609&lt;&gt;0,SUMIF(куб!$C:$C,$C609,куб!M:M),IF($B609&lt;&gt;0,SUMIF(куб!$B:$B,$B609,куб!M:M))))))</f>
        <v>0</v>
      </c>
      <c r="V609" s="13" t="str">
        <f t="shared" si="206"/>
        <v>-</v>
      </c>
      <c r="W609" s="5"/>
      <c r="X609" s="27" t="b">
        <f>IF($G609&lt;&gt;0,SUMIF(куб!$G:$G,$G609,куб!N:N),IF($E609&lt;&gt;0,SUMIF(куб!$E:$E,$E609,куб!N:N),IF($D609&lt;&gt;0,SUMIF(куб!$D:$D,$D609,куб!N:N),IF($C609&lt;&gt;0,SUMIF(куб!$C:$C,$C609,куб!N:N),IF($B609&lt;&gt;0,SUMIF(куб!$B:$B,$B609,куб!N:N))))))</f>
        <v>0</v>
      </c>
      <c r="Y609" s="27" t="b">
        <f>IF($G609&lt;&gt;0,SUMIF(куб!$G:$G,$G609,куб!O:O),IF($E609&lt;&gt;0,SUMIF(куб!$E:$E,$E609,куб!O:O),IF($D609&lt;&gt;0,SUMIF(куб!$D:$D,$D609,куб!O:O),IF($C609&lt;&gt;0,SUMIF(куб!$C:$C,$C609,куб!O:O),IF($B609&lt;&gt;0,SUMIF(куб!$B:$B,$B609,куб!O:O))))))</f>
        <v>0</v>
      </c>
      <c r="Z609" s="13" t="str">
        <f t="shared" si="207"/>
        <v>-</v>
      </c>
      <c r="AA609" s="5"/>
      <c r="AB609" s="33" t="str">
        <f t="shared" si="208"/>
        <v/>
      </c>
      <c r="AC609" s="33" t="str">
        <f t="shared" si="209"/>
        <v/>
      </c>
      <c r="AD609" s="15" t="str">
        <f t="shared" si="210"/>
        <v xml:space="preserve"> </v>
      </c>
      <c r="AE609" s="5"/>
      <c r="AF609" s="27" t="b">
        <f>IF($G609&lt;&gt;0,SUMIF(куб!$G:$G,$G609,куб!R:R),IF($E609&lt;&gt;0,SUMIF(куб!$E:$E,$E609,куб!R:R),IF($D609&lt;&gt;0,SUMIF(куб!$D:$D,$D609,куб!R:R),IF($C609&lt;&gt;0,SUMIF(куб!$C:$C,$C609,куб!R:R),IF($B609&lt;&gt;0,SUMIF(куб!$B:$B,$B609,куб!R:R))))))</f>
        <v>0</v>
      </c>
      <c r="AG609" s="27" t="b">
        <f>IF($G609&lt;&gt;0,SUMIF(куб!$G:$G,$G609,куб!S:S),IF($E609&lt;&gt;0,SUMIF(куб!$E:$E,$E609,куб!S:S),IF($D609&lt;&gt;0,SUMIF(куб!$D:$D,$D609,куб!S:S),IF($C609&lt;&gt;0,SUMIF(куб!$C:$C,$C609,куб!S:S),IF($B609&lt;&gt;0,SUMIF(куб!$B:$B,$B609,куб!S:S))))))</f>
        <v>0</v>
      </c>
      <c r="AH609" s="16" t="str">
        <f t="shared" si="211"/>
        <v>-</v>
      </c>
      <c r="AI609" s="8"/>
      <c r="AJ609" s="27" t="b">
        <f>IF($G609&lt;&gt;0,SUMIF(куб!$G:$G,$G609,куб!T:T),IF($E609&lt;&gt;0,SUMIF(куб!$E:$E,$E609,куб!T:T),IF($D609&lt;&gt;0,SUMIF(куб!$D:$D,$D609,куб!T:T),IF($C609&lt;&gt;0,SUMIF(куб!$C:$C,$C609,куб!T:T),IF($B609&lt;&gt;0,SUMIF(куб!$B:$B,$B609,куб!T:T))))))</f>
        <v>0</v>
      </c>
      <c r="AK609" s="27" t="b">
        <f>IF($G609&lt;&gt;0,SUMIF(куб!$G:$G,$G609,куб!U:U),IF($E609&lt;&gt;0,SUMIF(куб!$E:$E,$E609,куб!U:U),IF($D609&lt;&gt;0,SUMIF(куб!$D:$D,$D609,куб!U:U),IF($C609&lt;&gt;0,SUMIF(куб!$C:$C,$C609,куб!U:U),IF($B609&lt;&gt;0,SUMIF(куб!$B:$B,$B609,куб!U:U))))))</f>
        <v>0</v>
      </c>
      <c r="AL609" s="16" t="str">
        <f t="shared" si="212"/>
        <v>-</v>
      </c>
      <c r="AM609" s="8"/>
      <c r="AN609" s="17" t="str">
        <f t="shared" si="213"/>
        <v xml:space="preserve"> </v>
      </c>
      <c r="AO609" s="17" t="str">
        <f t="shared" si="214"/>
        <v xml:space="preserve"> </v>
      </c>
      <c r="AP609" s="16" t="str">
        <f t="shared" si="215"/>
        <v>-</v>
      </c>
      <c r="AQ609" s="8"/>
      <c r="AR609" s="17" t="str">
        <f t="shared" si="216"/>
        <v>-</v>
      </c>
      <c r="AS609" s="17" t="str">
        <f t="shared" si="217"/>
        <v>-</v>
      </c>
      <c r="AT609" s="13" t="str">
        <f t="shared" si="218"/>
        <v>-</v>
      </c>
      <c r="AU609" s="8"/>
    </row>
    <row r="610" spans="1:47" x14ac:dyDescent="0.25">
      <c r="A610" s="31"/>
      <c r="B610" s="31"/>
      <c r="C610"/>
      <c r="D610" s="31"/>
      <c r="E610"/>
      <c r="F610" s="31"/>
      <c r="G610"/>
      <c r="H610" s="27">
        <f>IF($G610&lt;&gt;0,SUMIF(куб!$G:$G,$G610,куб!H:H),IF($E610&lt;&gt;0,SUMIF(куб!$E:$E,$E610,куб!H:H),IF($D610&lt;&gt;0,SUMIF(куб!$D:$D,$D610,куб!H:H),IF($C610&lt;&gt;0,SUMIF(куб!$C:$C,$C610,куб!H:H),IF($B610&lt;&gt;0,SUMIF(куб!$B:$B,$B610,куб!H:H),IF($G610&lt;&gt;0,SUMIF(куб!$A:$A,$G610,куб!H:H),SUMIF(куб!$A:$A,$G610,куб!H:H)))))))</f>
        <v>0</v>
      </c>
      <c r="I610" s="27">
        <f>IF($G610&lt;&gt;0,SUMIF(куб!$G:$G,$G610,куб!I:I),IF($E610&lt;&gt;0,SUMIF(куб!$E:$E,$E610,куб!I:I),IF($D610&lt;&gt;0,SUMIF(куб!$D:$D,$D610,куб!I:I),IF($C610&lt;&gt;0,SUMIF(куб!$C:$C,$C610,куб!I:I),IF($B610&lt;&gt;0,SUMIF(куб!$B:$B,$B610,куб!I:I),IF($G610&lt;&gt;0,SUMIF(куб!$A:$A,$G610,куб!I:I),SUMIF(куб!$A:$A,$G610,куб!I:I)))))))</f>
        <v>0</v>
      </c>
      <c r="J610" s="19" t="str">
        <f t="shared" si="201"/>
        <v>-</v>
      </c>
      <c r="K610" s="8"/>
      <c r="L610" s="17">
        <f t="shared" si="202"/>
        <v>0</v>
      </c>
      <c r="M610" s="17">
        <f t="shared" si="203"/>
        <v>0</v>
      </c>
      <c r="N610" s="12">
        <f t="shared" si="204"/>
        <v>0</v>
      </c>
      <c r="O610" s="5"/>
      <c r="P610" s="27" t="b">
        <f>IF($G610&lt;&gt;0,SUMIF(куб!$G:$G,$G610,куб!J:J),IF($E610&lt;&gt;0,SUMIF(куб!$E:$E,$E610,куб!J:J),IF($D610&lt;&gt;0,SUMIF(куб!$D:$D,$D610,куб!J:J),IF($C610&lt;&gt;0,SUMIF(куб!$C:$C,$C610,куб!J:J),IF($B610&lt;&gt;0,SUMIF(куб!$B:$B,$B610,куб!J:J))))))</f>
        <v>0</v>
      </c>
      <c r="Q610" s="27" t="b">
        <f>IF($G610&lt;&gt;0,SUMIF(куб!$G:$G,$G610,куб!K:K),IF($E610&lt;&gt;0,SUMIF(куб!$E:$E,$E610,куб!K:K),IF($D610&lt;&gt;0,SUMIF(куб!$D:$D,$D610,куб!K:K),IF($C610&lt;&gt;0,SUMIF(куб!$C:$C,$C610,куб!K:K),IF($B610&lt;&gt;0,SUMIF(куб!$B:$B,$B610,куб!K:K))))))</f>
        <v>0</v>
      </c>
      <c r="R610" s="13" t="str">
        <f t="shared" si="205"/>
        <v>-</v>
      </c>
      <c r="S610" s="5"/>
      <c r="T610" s="27" t="b">
        <f>IF($G610&lt;&gt;0,SUMIF(куб!$G:$G,$G610,куб!L:L),IF($E610&lt;&gt;0,SUMIF(куб!$E:$E,$E610,куб!L:L),IF($D610&lt;&gt;0,SUMIF(куб!$D:$D,$D610,куб!L:L),IF($C610&lt;&gt;0,SUMIF(куб!$C:$C,$C610,куб!L:L),IF($B610&lt;&gt;0,SUMIF(куб!$B:$B,$B610,куб!L:L))))))</f>
        <v>0</v>
      </c>
      <c r="U610" s="27" t="b">
        <f>IF($G610&lt;&gt;0,SUMIF(куб!$G:$G,$G610,куб!M:M),IF($E610&lt;&gt;0,SUMIF(куб!$E:$E,$E610,куб!M:M),IF($D610&lt;&gt;0,SUMIF(куб!$D:$D,$D610,куб!M:M),IF($C610&lt;&gt;0,SUMIF(куб!$C:$C,$C610,куб!M:M),IF($B610&lt;&gt;0,SUMIF(куб!$B:$B,$B610,куб!M:M))))))</f>
        <v>0</v>
      </c>
      <c r="V610" s="13" t="str">
        <f t="shared" si="206"/>
        <v>-</v>
      </c>
      <c r="W610" s="5"/>
      <c r="X610" s="27" t="b">
        <f>IF($G610&lt;&gt;0,SUMIF(куб!$G:$G,$G610,куб!N:N),IF($E610&lt;&gt;0,SUMIF(куб!$E:$E,$E610,куб!N:N),IF($D610&lt;&gt;0,SUMIF(куб!$D:$D,$D610,куб!N:N),IF($C610&lt;&gt;0,SUMIF(куб!$C:$C,$C610,куб!N:N),IF($B610&lt;&gt;0,SUMIF(куб!$B:$B,$B610,куб!N:N))))))</f>
        <v>0</v>
      </c>
      <c r="Y610" s="27" t="b">
        <f>IF($G610&lt;&gt;0,SUMIF(куб!$G:$G,$G610,куб!O:O),IF($E610&lt;&gt;0,SUMIF(куб!$E:$E,$E610,куб!O:O),IF($D610&lt;&gt;0,SUMIF(куб!$D:$D,$D610,куб!O:O),IF($C610&lt;&gt;0,SUMIF(куб!$C:$C,$C610,куб!O:O),IF($B610&lt;&gt;0,SUMIF(куб!$B:$B,$B610,куб!O:O))))))</f>
        <v>0</v>
      </c>
      <c r="Z610" s="13" t="str">
        <f t="shared" si="207"/>
        <v>-</v>
      </c>
      <c r="AA610" s="5"/>
      <c r="AB610" s="33" t="str">
        <f t="shared" si="208"/>
        <v/>
      </c>
      <c r="AC610" s="33" t="str">
        <f t="shared" si="209"/>
        <v/>
      </c>
      <c r="AD610" s="15" t="str">
        <f t="shared" si="210"/>
        <v xml:space="preserve"> </v>
      </c>
      <c r="AE610" s="5"/>
      <c r="AF610" s="27" t="b">
        <f>IF($G610&lt;&gt;0,SUMIF(куб!$G:$G,$G610,куб!R:R),IF($E610&lt;&gt;0,SUMIF(куб!$E:$E,$E610,куб!R:R),IF($D610&lt;&gt;0,SUMIF(куб!$D:$D,$D610,куб!R:R),IF($C610&lt;&gt;0,SUMIF(куб!$C:$C,$C610,куб!R:R),IF($B610&lt;&gt;0,SUMIF(куб!$B:$B,$B610,куб!R:R))))))</f>
        <v>0</v>
      </c>
      <c r="AG610" s="27" t="b">
        <f>IF($G610&lt;&gt;0,SUMIF(куб!$G:$G,$G610,куб!S:S),IF($E610&lt;&gt;0,SUMIF(куб!$E:$E,$E610,куб!S:S),IF($D610&lt;&gt;0,SUMIF(куб!$D:$D,$D610,куб!S:S),IF($C610&lt;&gt;0,SUMIF(куб!$C:$C,$C610,куб!S:S),IF($B610&lt;&gt;0,SUMIF(куб!$B:$B,$B610,куб!S:S))))))</f>
        <v>0</v>
      </c>
      <c r="AH610" s="16" t="str">
        <f t="shared" si="211"/>
        <v>-</v>
      </c>
      <c r="AI610" s="8"/>
      <c r="AJ610" s="27" t="b">
        <f>IF($G610&lt;&gt;0,SUMIF(куб!$G:$G,$G610,куб!T:T),IF($E610&lt;&gt;0,SUMIF(куб!$E:$E,$E610,куб!T:T),IF($D610&lt;&gt;0,SUMIF(куб!$D:$D,$D610,куб!T:T),IF($C610&lt;&gt;0,SUMIF(куб!$C:$C,$C610,куб!T:T),IF($B610&lt;&gt;0,SUMIF(куб!$B:$B,$B610,куб!T:T))))))</f>
        <v>0</v>
      </c>
      <c r="AK610" s="27" t="b">
        <f>IF($G610&lt;&gt;0,SUMIF(куб!$G:$G,$G610,куб!U:U),IF($E610&lt;&gt;0,SUMIF(куб!$E:$E,$E610,куб!U:U),IF($D610&lt;&gt;0,SUMIF(куб!$D:$D,$D610,куб!U:U),IF($C610&lt;&gt;0,SUMIF(куб!$C:$C,$C610,куб!U:U),IF($B610&lt;&gt;0,SUMIF(куб!$B:$B,$B610,куб!U:U))))))</f>
        <v>0</v>
      </c>
      <c r="AL610" s="16" t="str">
        <f t="shared" si="212"/>
        <v>-</v>
      </c>
      <c r="AM610" s="8"/>
      <c r="AN610" s="17" t="str">
        <f t="shared" si="213"/>
        <v xml:space="preserve"> </v>
      </c>
      <c r="AO610" s="17" t="str">
        <f t="shared" si="214"/>
        <v xml:space="preserve"> </v>
      </c>
      <c r="AP610" s="16" t="str">
        <f t="shared" si="215"/>
        <v>-</v>
      </c>
      <c r="AQ610" s="8"/>
      <c r="AR610" s="17" t="str">
        <f t="shared" si="216"/>
        <v>-</v>
      </c>
      <c r="AS610" s="17" t="str">
        <f t="shared" si="217"/>
        <v>-</v>
      </c>
      <c r="AT610" s="13" t="str">
        <f t="shared" si="218"/>
        <v>-</v>
      </c>
      <c r="AU610" s="8"/>
    </row>
    <row r="611" spans="1:47" x14ac:dyDescent="0.25">
      <c r="A611" s="31"/>
      <c r="B611" s="31"/>
      <c r="C611"/>
      <c r="D611" s="31"/>
      <c r="E611"/>
      <c r="F611" s="31"/>
      <c r="G611"/>
      <c r="H611" s="27">
        <f>IF($G611&lt;&gt;0,SUMIF(куб!$G:$G,$G611,куб!H:H),IF($E611&lt;&gt;0,SUMIF(куб!$E:$E,$E611,куб!H:H),IF($D611&lt;&gt;0,SUMIF(куб!$D:$D,$D611,куб!H:H),IF($C611&lt;&gt;0,SUMIF(куб!$C:$C,$C611,куб!H:H),IF($B611&lt;&gt;0,SUMIF(куб!$B:$B,$B611,куб!H:H),IF($G611&lt;&gt;0,SUMIF(куб!$A:$A,$G611,куб!H:H),SUMIF(куб!$A:$A,$G611,куб!H:H)))))))</f>
        <v>0</v>
      </c>
      <c r="I611" s="27">
        <f>IF($G611&lt;&gt;0,SUMIF(куб!$G:$G,$G611,куб!I:I),IF($E611&lt;&gt;0,SUMIF(куб!$E:$E,$E611,куб!I:I),IF($D611&lt;&gt;0,SUMIF(куб!$D:$D,$D611,куб!I:I),IF($C611&lt;&gt;0,SUMIF(куб!$C:$C,$C611,куб!I:I),IF($B611&lt;&gt;0,SUMIF(куб!$B:$B,$B611,куб!I:I),IF($G611&lt;&gt;0,SUMIF(куб!$A:$A,$G611,куб!I:I),SUMIF(куб!$A:$A,$G611,куб!I:I)))))))</f>
        <v>0</v>
      </c>
      <c r="J611" s="19" t="str">
        <f t="shared" si="201"/>
        <v>-</v>
      </c>
      <c r="K611" s="8"/>
      <c r="L611" s="17">
        <f t="shared" si="202"/>
        <v>0</v>
      </c>
      <c r="M611" s="17">
        <f t="shared" si="203"/>
        <v>0</v>
      </c>
      <c r="N611" s="12">
        <f t="shared" si="204"/>
        <v>0</v>
      </c>
      <c r="O611" s="5"/>
      <c r="P611" s="27" t="b">
        <f>IF($G611&lt;&gt;0,SUMIF(куб!$G:$G,$G611,куб!J:J),IF($E611&lt;&gt;0,SUMIF(куб!$E:$E,$E611,куб!J:J),IF($D611&lt;&gt;0,SUMIF(куб!$D:$D,$D611,куб!J:J),IF($C611&lt;&gt;0,SUMIF(куб!$C:$C,$C611,куб!J:J),IF($B611&lt;&gt;0,SUMIF(куб!$B:$B,$B611,куб!J:J))))))</f>
        <v>0</v>
      </c>
      <c r="Q611" s="27" t="b">
        <f>IF($G611&lt;&gt;0,SUMIF(куб!$G:$G,$G611,куб!K:K),IF($E611&lt;&gt;0,SUMIF(куб!$E:$E,$E611,куб!K:K),IF($D611&lt;&gt;0,SUMIF(куб!$D:$D,$D611,куб!K:K),IF($C611&lt;&gt;0,SUMIF(куб!$C:$C,$C611,куб!K:K),IF($B611&lt;&gt;0,SUMIF(куб!$B:$B,$B611,куб!K:K))))))</f>
        <v>0</v>
      </c>
      <c r="R611" s="13" t="str">
        <f t="shared" si="205"/>
        <v>-</v>
      </c>
      <c r="S611" s="5"/>
      <c r="T611" s="27" t="b">
        <f>IF($G611&lt;&gt;0,SUMIF(куб!$G:$G,$G611,куб!L:L),IF($E611&lt;&gt;0,SUMIF(куб!$E:$E,$E611,куб!L:L),IF($D611&lt;&gt;0,SUMIF(куб!$D:$D,$D611,куб!L:L),IF($C611&lt;&gt;0,SUMIF(куб!$C:$C,$C611,куб!L:L),IF($B611&lt;&gt;0,SUMIF(куб!$B:$B,$B611,куб!L:L))))))</f>
        <v>0</v>
      </c>
      <c r="U611" s="27" t="b">
        <f>IF($G611&lt;&gt;0,SUMIF(куб!$G:$G,$G611,куб!M:M),IF($E611&lt;&gt;0,SUMIF(куб!$E:$E,$E611,куб!M:M),IF($D611&lt;&gt;0,SUMIF(куб!$D:$D,$D611,куб!M:M),IF($C611&lt;&gt;0,SUMIF(куб!$C:$C,$C611,куб!M:M),IF($B611&lt;&gt;0,SUMIF(куб!$B:$B,$B611,куб!M:M))))))</f>
        <v>0</v>
      </c>
      <c r="V611" s="13" t="str">
        <f t="shared" si="206"/>
        <v>-</v>
      </c>
      <c r="W611" s="5"/>
      <c r="X611" s="27" t="b">
        <f>IF($G611&lt;&gt;0,SUMIF(куб!$G:$G,$G611,куб!N:N),IF($E611&lt;&gt;0,SUMIF(куб!$E:$E,$E611,куб!N:N),IF($D611&lt;&gt;0,SUMIF(куб!$D:$D,$D611,куб!N:N),IF($C611&lt;&gt;0,SUMIF(куб!$C:$C,$C611,куб!N:N),IF($B611&lt;&gt;0,SUMIF(куб!$B:$B,$B611,куб!N:N))))))</f>
        <v>0</v>
      </c>
      <c r="Y611" s="27" t="b">
        <f>IF($G611&lt;&gt;0,SUMIF(куб!$G:$G,$G611,куб!O:O),IF($E611&lt;&gt;0,SUMIF(куб!$E:$E,$E611,куб!O:O),IF($D611&lt;&gt;0,SUMIF(куб!$D:$D,$D611,куб!O:O),IF($C611&lt;&gt;0,SUMIF(куб!$C:$C,$C611,куб!O:O),IF($B611&lt;&gt;0,SUMIF(куб!$B:$B,$B611,куб!O:O))))))</f>
        <v>0</v>
      </c>
      <c r="Z611" s="13" t="str">
        <f t="shared" si="207"/>
        <v>-</v>
      </c>
      <c r="AA611" s="5"/>
      <c r="AB611" s="33" t="str">
        <f t="shared" si="208"/>
        <v/>
      </c>
      <c r="AC611" s="33" t="str">
        <f t="shared" si="209"/>
        <v/>
      </c>
      <c r="AD611" s="15" t="str">
        <f t="shared" si="210"/>
        <v xml:space="preserve"> </v>
      </c>
      <c r="AE611" s="5"/>
      <c r="AF611" s="27" t="b">
        <f>IF($G611&lt;&gt;0,SUMIF(куб!$G:$G,$G611,куб!R:R),IF($E611&lt;&gt;0,SUMIF(куб!$E:$E,$E611,куб!R:R),IF($D611&lt;&gt;0,SUMIF(куб!$D:$D,$D611,куб!R:R),IF($C611&lt;&gt;0,SUMIF(куб!$C:$C,$C611,куб!R:R),IF($B611&lt;&gt;0,SUMIF(куб!$B:$B,$B611,куб!R:R))))))</f>
        <v>0</v>
      </c>
      <c r="AG611" s="27" t="b">
        <f>IF($G611&lt;&gt;0,SUMIF(куб!$G:$G,$G611,куб!S:S),IF($E611&lt;&gt;0,SUMIF(куб!$E:$E,$E611,куб!S:S),IF($D611&lt;&gt;0,SUMIF(куб!$D:$D,$D611,куб!S:S),IF($C611&lt;&gt;0,SUMIF(куб!$C:$C,$C611,куб!S:S),IF($B611&lt;&gt;0,SUMIF(куб!$B:$B,$B611,куб!S:S))))))</f>
        <v>0</v>
      </c>
      <c r="AH611" s="16" t="str">
        <f t="shared" si="211"/>
        <v>-</v>
      </c>
      <c r="AI611" s="8"/>
      <c r="AJ611" s="27" t="b">
        <f>IF($G611&lt;&gt;0,SUMIF(куб!$G:$G,$G611,куб!T:T),IF($E611&lt;&gt;0,SUMIF(куб!$E:$E,$E611,куб!T:T),IF($D611&lt;&gt;0,SUMIF(куб!$D:$D,$D611,куб!T:T),IF($C611&lt;&gt;0,SUMIF(куб!$C:$C,$C611,куб!T:T),IF($B611&lt;&gt;0,SUMIF(куб!$B:$B,$B611,куб!T:T))))))</f>
        <v>0</v>
      </c>
      <c r="AK611" s="27" t="b">
        <f>IF($G611&lt;&gt;0,SUMIF(куб!$G:$G,$G611,куб!U:U),IF($E611&lt;&gt;0,SUMIF(куб!$E:$E,$E611,куб!U:U),IF($D611&lt;&gt;0,SUMIF(куб!$D:$D,$D611,куб!U:U),IF($C611&lt;&gt;0,SUMIF(куб!$C:$C,$C611,куб!U:U),IF($B611&lt;&gt;0,SUMIF(куб!$B:$B,$B611,куб!U:U))))))</f>
        <v>0</v>
      </c>
      <c r="AL611" s="16" t="str">
        <f t="shared" si="212"/>
        <v>-</v>
      </c>
      <c r="AM611" s="8"/>
      <c r="AN611" s="17" t="str">
        <f t="shared" si="213"/>
        <v xml:space="preserve"> </v>
      </c>
      <c r="AO611" s="17" t="str">
        <f t="shared" si="214"/>
        <v xml:space="preserve"> </v>
      </c>
      <c r="AP611" s="16" t="str">
        <f t="shared" si="215"/>
        <v>-</v>
      </c>
      <c r="AQ611" s="8"/>
      <c r="AR611" s="17" t="str">
        <f t="shared" si="216"/>
        <v>-</v>
      </c>
      <c r="AS611" s="17" t="str">
        <f t="shared" si="217"/>
        <v>-</v>
      </c>
      <c r="AT611" s="13" t="str">
        <f t="shared" si="218"/>
        <v>-</v>
      </c>
      <c r="AU611" s="8"/>
    </row>
    <row r="612" spans="1:47" x14ac:dyDescent="0.25">
      <c r="A612" s="31"/>
      <c r="B612" s="31"/>
      <c r="C612"/>
      <c r="D612" s="31"/>
      <c r="E612"/>
      <c r="F612" s="31"/>
      <c r="G612"/>
      <c r="H612" s="27">
        <f>IF($G612&lt;&gt;0,SUMIF(куб!$G:$G,$G612,куб!H:H),IF($E612&lt;&gt;0,SUMIF(куб!$E:$E,$E612,куб!H:H),IF($D612&lt;&gt;0,SUMIF(куб!$D:$D,$D612,куб!H:H),IF($C612&lt;&gt;0,SUMIF(куб!$C:$C,$C612,куб!H:H),IF($B612&lt;&gt;0,SUMIF(куб!$B:$B,$B612,куб!H:H),IF($G612&lt;&gt;0,SUMIF(куб!$A:$A,$G612,куб!H:H),SUMIF(куб!$A:$A,$G612,куб!H:H)))))))</f>
        <v>0</v>
      </c>
      <c r="I612" s="27">
        <f>IF($G612&lt;&gt;0,SUMIF(куб!$G:$G,$G612,куб!I:I),IF($E612&lt;&gt;0,SUMIF(куб!$E:$E,$E612,куб!I:I),IF($D612&lt;&gt;0,SUMIF(куб!$D:$D,$D612,куб!I:I),IF($C612&lt;&gt;0,SUMIF(куб!$C:$C,$C612,куб!I:I),IF($B612&lt;&gt;0,SUMIF(куб!$B:$B,$B612,куб!I:I),IF($G612&lt;&gt;0,SUMIF(куб!$A:$A,$G612,куб!I:I),SUMIF(куб!$A:$A,$G612,куб!I:I)))))))</f>
        <v>0</v>
      </c>
      <c r="J612" s="19" t="str">
        <f t="shared" si="201"/>
        <v>-</v>
      </c>
      <c r="K612" s="8"/>
      <c r="L612" s="17">
        <f t="shared" si="202"/>
        <v>0</v>
      </c>
      <c r="M612" s="17">
        <f t="shared" si="203"/>
        <v>0</v>
      </c>
      <c r="N612" s="12">
        <f t="shared" si="204"/>
        <v>0</v>
      </c>
      <c r="O612" s="5"/>
      <c r="P612" s="27" t="b">
        <f>IF($G612&lt;&gt;0,SUMIF(куб!$G:$G,$G612,куб!J:J),IF($E612&lt;&gt;0,SUMIF(куб!$E:$E,$E612,куб!J:J),IF($D612&lt;&gt;0,SUMIF(куб!$D:$D,$D612,куб!J:J),IF($C612&lt;&gt;0,SUMIF(куб!$C:$C,$C612,куб!J:J),IF($B612&lt;&gt;0,SUMIF(куб!$B:$B,$B612,куб!J:J))))))</f>
        <v>0</v>
      </c>
      <c r="Q612" s="27" t="b">
        <f>IF($G612&lt;&gt;0,SUMIF(куб!$G:$G,$G612,куб!K:K),IF($E612&lt;&gt;0,SUMIF(куб!$E:$E,$E612,куб!K:K),IF($D612&lt;&gt;0,SUMIF(куб!$D:$D,$D612,куб!K:K),IF($C612&lt;&gt;0,SUMIF(куб!$C:$C,$C612,куб!K:K),IF($B612&lt;&gt;0,SUMIF(куб!$B:$B,$B612,куб!K:K))))))</f>
        <v>0</v>
      </c>
      <c r="R612" s="13" t="str">
        <f t="shared" si="205"/>
        <v>-</v>
      </c>
      <c r="S612" s="5"/>
      <c r="T612" s="27" t="b">
        <f>IF($G612&lt;&gt;0,SUMIF(куб!$G:$G,$G612,куб!L:L),IF($E612&lt;&gt;0,SUMIF(куб!$E:$E,$E612,куб!L:L),IF($D612&lt;&gt;0,SUMIF(куб!$D:$D,$D612,куб!L:L),IF($C612&lt;&gt;0,SUMIF(куб!$C:$C,$C612,куб!L:L),IF($B612&lt;&gt;0,SUMIF(куб!$B:$B,$B612,куб!L:L))))))</f>
        <v>0</v>
      </c>
      <c r="U612" s="27" t="b">
        <f>IF($G612&lt;&gt;0,SUMIF(куб!$G:$G,$G612,куб!M:M),IF($E612&lt;&gt;0,SUMIF(куб!$E:$E,$E612,куб!M:M),IF($D612&lt;&gt;0,SUMIF(куб!$D:$D,$D612,куб!M:M),IF($C612&lt;&gt;0,SUMIF(куб!$C:$C,$C612,куб!M:M),IF($B612&lt;&gt;0,SUMIF(куб!$B:$B,$B612,куб!M:M))))))</f>
        <v>0</v>
      </c>
      <c r="V612" s="13" t="str">
        <f t="shared" si="206"/>
        <v>-</v>
      </c>
      <c r="W612" s="5"/>
      <c r="X612" s="27" t="b">
        <f>IF($G612&lt;&gt;0,SUMIF(куб!$G:$G,$G612,куб!N:N),IF($E612&lt;&gt;0,SUMIF(куб!$E:$E,$E612,куб!N:N),IF($D612&lt;&gt;0,SUMIF(куб!$D:$D,$D612,куб!N:N),IF($C612&lt;&gt;0,SUMIF(куб!$C:$C,$C612,куб!N:N),IF($B612&lt;&gt;0,SUMIF(куб!$B:$B,$B612,куб!N:N))))))</f>
        <v>0</v>
      </c>
      <c r="Y612" s="27" t="b">
        <f>IF($G612&lt;&gt;0,SUMIF(куб!$G:$G,$G612,куб!O:O),IF($E612&lt;&gt;0,SUMIF(куб!$E:$E,$E612,куб!O:O),IF($D612&lt;&gt;0,SUMIF(куб!$D:$D,$D612,куб!O:O),IF($C612&lt;&gt;0,SUMIF(куб!$C:$C,$C612,куб!O:O),IF($B612&lt;&gt;0,SUMIF(куб!$B:$B,$B612,куб!O:O))))))</f>
        <v>0</v>
      </c>
      <c r="Z612" s="13" t="str">
        <f t="shared" si="207"/>
        <v>-</v>
      </c>
      <c r="AA612" s="5"/>
      <c r="AB612" s="33" t="str">
        <f t="shared" si="208"/>
        <v/>
      </c>
      <c r="AC612" s="33" t="str">
        <f t="shared" si="209"/>
        <v/>
      </c>
      <c r="AD612" s="15" t="str">
        <f t="shared" si="210"/>
        <v xml:space="preserve"> </v>
      </c>
      <c r="AE612" s="5"/>
      <c r="AF612" s="27" t="b">
        <f>IF($G612&lt;&gt;0,SUMIF(куб!$G:$G,$G612,куб!R:R),IF($E612&lt;&gt;0,SUMIF(куб!$E:$E,$E612,куб!R:R),IF($D612&lt;&gt;0,SUMIF(куб!$D:$D,$D612,куб!R:R),IF($C612&lt;&gt;0,SUMIF(куб!$C:$C,$C612,куб!R:R),IF($B612&lt;&gt;0,SUMIF(куб!$B:$B,$B612,куб!R:R))))))</f>
        <v>0</v>
      </c>
      <c r="AG612" s="27" t="b">
        <f>IF($G612&lt;&gt;0,SUMIF(куб!$G:$G,$G612,куб!S:S),IF($E612&lt;&gt;0,SUMIF(куб!$E:$E,$E612,куб!S:S),IF($D612&lt;&gt;0,SUMIF(куб!$D:$D,$D612,куб!S:S),IF($C612&lt;&gt;0,SUMIF(куб!$C:$C,$C612,куб!S:S),IF($B612&lt;&gt;0,SUMIF(куб!$B:$B,$B612,куб!S:S))))))</f>
        <v>0</v>
      </c>
      <c r="AH612" s="16" t="str">
        <f t="shared" si="211"/>
        <v>-</v>
      </c>
      <c r="AI612" s="8"/>
      <c r="AJ612" s="27" t="b">
        <f>IF($G612&lt;&gt;0,SUMIF(куб!$G:$G,$G612,куб!T:T),IF($E612&lt;&gt;0,SUMIF(куб!$E:$E,$E612,куб!T:T),IF($D612&lt;&gt;0,SUMIF(куб!$D:$D,$D612,куб!T:T),IF($C612&lt;&gt;0,SUMIF(куб!$C:$C,$C612,куб!T:T),IF($B612&lt;&gt;0,SUMIF(куб!$B:$B,$B612,куб!T:T))))))</f>
        <v>0</v>
      </c>
      <c r="AK612" s="27" t="b">
        <f>IF($G612&lt;&gt;0,SUMIF(куб!$G:$G,$G612,куб!U:U),IF($E612&lt;&gt;0,SUMIF(куб!$E:$E,$E612,куб!U:U),IF($D612&lt;&gt;0,SUMIF(куб!$D:$D,$D612,куб!U:U),IF($C612&lt;&gt;0,SUMIF(куб!$C:$C,$C612,куб!U:U),IF($B612&lt;&gt;0,SUMIF(куб!$B:$B,$B612,куб!U:U))))))</f>
        <v>0</v>
      </c>
      <c r="AL612" s="16" t="str">
        <f t="shared" si="212"/>
        <v>-</v>
      </c>
      <c r="AM612" s="8"/>
      <c r="AN612" s="17" t="str">
        <f t="shared" si="213"/>
        <v xml:space="preserve"> </v>
      </c>
      <c r="AO612" s="17" t="str">
        <f t="shared" si="214"/>
        <v xml:space="preserve"> </v>
      </c>
      <c r="AP612" s="16" t="str">
        <f t="shared" si="215"/>
        <v>-</v>
      </c>
      <c r="AQ612" s="8"/>
      <c r="AR612" s="17" t="str">
        <f t="shared" si="216"/>
        <v>-</v>
      </c>
      <c r="AS612" s="17" t="str">
        <f t="shared" si="217"/>
        <v>-</v>
      </c>
      <c r="AT612" s="13" t="str">
        <f t="shared" si="218"/>
        <v>-</v>
      </c>
      <c r="AU612" s="8"/>
    </row>
    <row r="613" spans="1:47" x14ac:dyDescent="0.25">
      <c r="A613" s="31"/>
      <c r="B613" s="31"/>
      <c r="C613"/>
      <c r="D613" s="31"/>
      <c r="E613"/>
      <c r="F613"/>
      <c r="G613"/>
      <c r="H613" s="27">
        <f>IF($G613&lt;&gt;0,SUMIF(куб!$G:$G,$G613,куб!H:H),IF($E613&lt;&gt;0,SUMIF(куб!$E:$E,$E613,куб!H:H),IF($D613&lt;&gt;0,SUMIF(куб!$D:$D,$D613,куб!H:H),IF($C613&lt;&gt;0,SUMIF(куб!$C:$C,$C613,куб!H:H),IF($B613&lt;&gt;0,SUMIF(куб!$B:$B,$B613,куб!H:H),IF($G613&lt;&gt;0,SUMIF(куб!$A:$A,$G613,куб!H:H),SUMIF(куб!$A:$A,$G613,куб!H:H)))))))</f>
        <v>0</v>
      </c>
      <c r="I613" s="27">
        <f>IF($G613&lt;&gt;0,SUMIF(куб!$G:$G,$G613,куб!I:I),IF($E613&lt;&gt;0,SUMIF(куб!$E:$E,$E613,куб!I:I),IF($D613&lt;&gt;0,SUMIF(куб!$D:$D,$D613,куб!I:I),IF($C613&lt;&gt;0,SUMIF(куб!$C:$C,$C613,куб!I:I),IF($B613&lt;&gt;0,SUMIF(куб!$B:$B,$B613,куб!I:I),IF($G613&lt;&gt;0,SUMIF(куб!$A:$A,$G613,куб!I:I),SUMIF(куб!$A:$A,$G613,куб!I:I)))))))</f>
        <v>0</v>
      </c>
      <c r="J613" s="19" t="str">
        <f t="shared" si="201"/>
        <v>-</v>
      </c>
      <c r="K613" s="8"/>
      <c r="L613" s="17">
        <f t="shared" si="202"/>
        <v>0</v>
      </c>
      <c r="M613" s="17">
        <f t="shared" si="203"/>
        <v>0</v>
      </c>
      <c r="N613" s="12">
        <f t="shared" si="204"/>
        <v>0</v>
      </c>
      <c r="O613" s="5"/>
      <c r="P613" s="27" t="b">
        <f>IF($G613&lt;&gt;0,SUMIF(куб!$G:$G,$G613,куб!J:J),IF($E613&lt;&gt;0,SUMIF(куб!$E:$E,$E613,куб!J:J),IF($D613&lt;&gt;0,SUMIF(куб!$D:$D,$D613,куб!J:J),IF($C613&lt;&gt;0,SUMIF(куб!$C:$C,$C613,куб!J:J),IF($B613&lt;&gt;0,SUMIF(куб!$B:$B,$B613,куб!J:J))))))</f>
        <v>0</v>
      </c>
      <c r="Q613" s="27" t="b">
        <f>IF($G613&lt;&gt;0,SUMIF(куб!$G:$G,$G613,куб!K:K),IF($E613&lt;&gt;0,SUMIF(куб!$E:$E,$E613,куб!K:K),IF($D613&lt;&gt;0,SUMIF(куб!$D:$D,$D613,куб!K:K),IF($C613&lt;&gt;0,SUMIF(куб!$C:$C,$C613,куб!K:K),IF($B613&lt;&gt;0,SUMIF(куб!$B:$B,$B613,куб!K:K))))))</f>
        <v>0</v>
      </c>
      <c r="R613" s="13" t="str">
        <f t="shared" si="205"/>
        <v>-</v>
      </c>
      <c r="S613" s="5"/>
      <c r="T613" s="27" t="b">
        <f>IF($G613&lt;&gt;0,SUMIF(куб!$G:$G,$G613,куб!L:L),IF($E613&lt;&gt;0,SUMIF(куб!$E:$E,$E613,куб!L:L),IF($D613&lt;&gt;0,SUMIF(куб!$D:$D,$D613,куб!L:L),IF($C613&lt;&gt;0,SUMIF(куб!$C:$C,$C613,куб!L:L),IF($B613&lt;&gt;0,SUMIF(куб!$B:$B,$B613,куб!L:L))))))</f>
        <v>0</v>
      </c>
      <c r="U613" s="27" t="b">
        <f>IF($G613&lt;&gt;0,SUMIF(куб!$G:$G,$G613,куб!M:M),IF($E613&lt;&gt;0,SUMIF(куб!$E:$E,$E613,куб!M:M),IF($D613&lt;&gt;0,SUMIF(куб!$D:$D,$D613,куб!M:M),IF($C613&lt;&gt;0,SUMIF(куб!$C:$C,$C613,куб!M:M),IF($B613&lt;&gt;0,SUMIF(куб!$B:$B,$B613,куб!M:M))))))</f>
        <v>0</v>
      </c>
      <c r="V613" s="13" t="str">
        <f t="shared" si="206"/>
        <v>-</v>
      </c>
      <c r="W613" s="5"/>
      <c r="X613" s="27" t="b">
        <f>IF($G613&lt;&gt;0,SUMIF(куб!$G:$G,$G613,куб!N:N),IF($E613&lt;&gt;0,SUMIF(куб!$E:$E,$E613,куб!N:N),IF($D613&lt;&gt;0,SUMIF(куб!$D:$D,$D613,куб!N:N),IF($C613&lt;&gt;0,SUMIF(куб!$C:$C,$C613,куб!N:N),IF($B613&lt;&gt;0,SUMIF(куб!$B:$B,$B613,куб!N:N))))))</f>
        <v>0</v>
      </c>
      <c r="Y613" s="27" t="b">
        <f>IF($G613&lt;&gt;0,SUMIF(куб!$G:$G,$G613,куб!O:O),IF($E613&lt;&gt;0,SUMIF(куб!$E:$E,$E613,куб!O:O),IF($D613&lt;&gt;0,SUMIF(куб!$D:$D,$D613,куб!O:O),IF($C613&lt;&gt;0,SUMIF(куб!$C:$C,$C613,куб!O:O),IF($B613&lt;&gt;0,SUMIF(куб!$B:$B,$B613,куб!O:O))))))</f>
        <v>0</v>
      </c>
      <c r="Z613" s="13" t="str">
        <f t="shared" si="207"/>
        <v>-</v>
      </c>
      <c r="AA613" s="5"/>
      <c r="AB613" s="33" t="str">
        <f t="shared" si="208"/>
        <v/>
      </c>
      <c r="AC613" s="33" t="str">
        <f t="shared" si="209"/>
        <v/>
      </c>
      <c r="AD613" s="15" t="str">
        <f t="shared" si="210"/>
        <v xml:space="preserve"> </v>
      </c>
      <c r="AE613" s="5"/>
      <c r="AF613" s="27" t="b">
        <f>IF($G613&lt;&gt;0,SUMIF(куб!$G:$G,$G613,куб!R:R),IF($E613&lt;&gt;0,SUMIF(куб!$E:$E,$E613,куб!R:R),IF($D613&lt;&gt;0,SUMIF(куб!$D:$D,$D613,куб!R:R),IF($C613&lt;&gt;0,SUMIF(куб!$C:$C,$C613,куб!R:R),IF($B613&lt;&gt;0,SUMIF(куб!$B:$B,$B613,куб!R:R))))))</f>
        <v>0</v>
      </c>
      <c r="AG613" s="27" t="b">
        <f>IF($G613&lt;&gt;0,SUMIF(куб!$G:$G,$G613,куб!S:S),IF($E613&lt;&gt;0,SUMIF(куб!$E:$E,$E613,куб!S:S),IF($D613&lt;&gt;0,SUMIF(куб!$D:$D,$D613,куб!S:S),IF($C613&lt;&gt;0,SUMIF(куб!$C:$C,$C613,куб!S:S),IF($B613&lt;&gt;0,SUMIF(куб!$B:$B,$B613,куб!S:S))))))</f>
        <v>0</v>
      </c>
      <c r="AH613" s="16" t="str">
        <f t="shared" si="211"/>
        <v>-</v>
      </c>
      <c r="AI613" s="8"/>
      <c r="AJ613" s="27" t="b">
        <f>IF($G613&lt;&gt;0,SUMIF(куб!$G:$G,$G613,куб!T:T),IF($E613&lt;&gt;0,SUMIF(куб!$E:$E,$E613,куб!T:T),IF($D613&lt;&gt;0,SUMIF(куб!$D:$D,$D613,куб!T:T),IF($C613&lt;&gt;0,SUMIF(куб!$C:$C,$C613,куб!T:T),IF($B613&lt;&gt;0,SUMIF(куб!$B:$B,$B613,куб!T:T))))))</f>
        <v>0</v>
      </c>
      <c r="AK613" s="27" t="b">
        <f>IF($G613&lt;&gt;0,SUMIF(куб!$G:$G,$G613,куб!U:U),IF($E613&lt;&gt;0,SUMIF(куб!$E:$E,$E613,куб!U:U),IF($D613&lt;&gt;0,SUMIF(куб!$D:$D,$D613,куб!U:U),IF($C613&lt;&gt;0,SUMIF(куб!$C:$C,$C613,куб!U:U),IF($B613&lt;&gt;0,SUMIF(куб!$B:$B,$B613,куб!U:U))))))</f>
        <v>0</v>
      </c>
      <c r="AL613" s="16" t="str">
        <f t="shared" si="212"/>
        <v>-</v>
      </c>
      <c r="AM613" s="8"/>
      <c r="AN613" s="17" t="str">
        <f t="shared" si="213"/>
        <v xml:space="preserve"> </v>
      </c>
      <c r="AO613" s="17" t="str">
        <f t="shared" si="214"/>
        <v xml:space="preserve"> </v>
      </c>
      <c r="AP613" s="16" t="str">
        <f t="shared" si="215"/>
        <v>-</v>
      </c>
      <c r="AQ613" s="8"/>
      <c r="AR613" s="17" t="str">
        <f t="shared" si="216"/>
        <v>-</v>
      </c>
      <c r="AS613" s="17" t="str">
        <f t="shared" si="217"/>
        <v>-</v>
      </c>
      <c r="AT613" s="13" t="str">
        <f t="shared" si="218"/>
        <v>-</v>
      </c>
      <c r="AU613" s="8"/>
    </row>
    <row r="614" spans="1:47" x14ac:dyDescent="0.25">
      <c r="A614" s="31"/>
      <c r="B614" s="31"/>
      <c r="C614"/>
      <c r="D614" s="31"/>
      <c r="E614" s="31"/>
      <c r="F614" s="31"/>
      <c r="G614" s="31"/>
      <c r="H614" s="27">
        <f>IF($G614&lt;&gt;0,SUMIF(куб!$G:$G,$G614,куб!H:H),IF($E614&lt;&gt;0,SUMIF(куб!$E:$E,$E614,куб!H:H),IF($D614&lt;&gt;0,SUMIF(куб!$D:$D,$D614,куб!H:H),IF($C614&lt;&gt;0,SUMIF(куб!$C:$C,$C614,куб!H:H),IF($B614&lt;&gt;0,SUMIF(куб!$B:$B,$B614,куб!H:H),IF($G614&lt;&gt;0,SUMIF(куб!$A:$A,$G614,куб!H:H),SUMIF(куб!$A:$A,$G614,куб!H:H)))))))</f>
        <v>0</v>
      </c>
      <c r="I614" s="27">
        <f>IF($G614&lt;&gt;0,SUMIF(куб!$G:$G,$G614,куб!I:I),IF($E614&lt;&gt;0,SUMIF(куб!$E:$E,$E614,куб!I:I),IF($D614&lt;&gt;0,SUMIF(куб!$D:$D,$D614,куб!I:I),IF($C614&lt;&gt;0,SUMIF(куб!$C:$C,$C614,куб!I:I),IF($B614&lt;&gt;0,SUMIF(куб!$B:$B,$B614,куб!I:I),IF($G614&lt;&gt;0,SUMIF(куб!$A:$A,$G614,куб!I:I),SUMIF(куб!$A:$A,$G614,куб!I:I)))))))</f>
        <v>0</v>
      </c>
      <c r="J614" s="19" t="str">
        <f t="shared" si="201"/>
        <v>-</v>
      </c>
      <c r="K614" s="8"/>
      <c r="L614" s="17">
        <f t="shared" si="202"/>
        <v>0</v>
      </c>
      <c r="M614" s="17">
        <f t="shared" si="203"/>
        <v>0</v>
      </c>
      <c r="N614" s="12">
        <f t="shared" si="204"/>
        <v>0</v>
      </c>
      <c r="O614" s="5"/>
      <c r="P614" s="27" t="b">
        <f>IF($G614&lt;&gt;0,SUMIF(куб!$G:$G,$G614,куб!J:J),IF($E614&lt;&gt;0,SUMIF(куб!$E:$E,$E614,куб!J:J),IF($D614&lt;&gt;0,SUMIF(куб!$D:$D,$D614,куб!J:J),IF($C614&lt;&gt;0,SUMIF(куб!$C:$C,$C614,куб!J:J),IF($B614&lt;&gt;0,SUMIF(куб!$B:$B,$B614,куб!J:J))))))</f>
        <v>0</v>
      </c>
      <c r="Q614" s="27" t="b">
        <f>IF($G614&lt;&gt;0,SUMIF(куб!$G:$G,$G614,куб!K:K),IF($E614&lt;&gt;0,SUMIF(куб!$E:$E,$E614,куб!K:K),IF($D614&lt;&gt;0,SUMIF(куб!$D:$D,$D614,куб!K:K),IF($C614&lt;&gt;0,SUMIF(куб!$C:$C,$C614,куб!K:K),IF($B614&lt;&gt;0,SUMIF(куб!$B:$B,$B614,куб!K:K))))))</f>
        <v>0</v>
      </c>
      <c r="R614" s="13" t="str">
        <f t="shared" si="205"/>
        <v>-</v>
      </c>
      <c r="S614" s="5"/>
      <c r="T614" s="27" t="b">
        <f>IF($G614&lt;&gt;0,SUMIF(куб!$G:$G,$G614,куб!L:L),IF($E614&lt;&gt;0,SUMIF(куб!$E:$E,$E614,куб!L:L),IF($D614&lt;&gt;0,SUMIF(куб!$D:$D,$D614,куб!L:L),IF($C614&lt;&gt;0,SUMIF(куб!$C:$C,$C614,куб!L:L),IF($B614&lt;&gt;0,SUMIF(куб!$B:$B,$B614,куб!L:L))))))</f>
        <v>0</v>
      </c>
      <c r="U614" s="27" t="b">
        <f>IF($G614&lt;&gt;0,SUMIF(куб!$G:$G,$G614,куб!M:M),IF($E614&lt;&gt;0,SUMIF(куб!$E:$E,$E614,куб!M:M),IF($D614&lt;&gt;0,SUMIF(куб!$D:$D,$D614,куб!M:M),IF($C614&lt;&gt;0,SUMIF(куб!$C:$C,$C614,куб!M:M),IF($B614&lt;&gt;0,SUMIF(куб!$B:$B,$B614,куб!M:M))))))</f>
        <v>0</v>
      </c>
      <c r="V614" s="13" t="str">
        <f t="shared" si="206"/>
        <v>-</v>
      </c>
      <c r="W614" s="5"/>
      <c r="X614" s="27" t="b">
        <f>IF($G614&lt;&gt;0,SUMIF(куб!$G:$G,$G614,куб!N:N),IF($E614&lt;&gt;0,SUMIF(куб!$E:$E,$E614,куб!N:N),IF($D614&lt;&gt;0,SUMIF(куб!$D:$D,$D614,куб!N:N),IF($C614&lt;&gt;0,SUMIF(куб!$C:$C,$C614,куб!N:N),IF($B614&lt;&gt;0,SUMIF(куб!$B:$B,$B614,куб!N:N))))))</f>
        <v>0</v>
      </c>
      <c r="Y614" s="27" t="b">
        <f>IF($G614&lt;&gt;0,SUMIF(куб!$G:$G,$G614,куб!O:O),IF($E614&lt;&gt;0,SUMIF(куб!$E:$E,$E614,куб!O:O),IF($D614&lt;&gt;0,SUMIF(куб!$D:$D,$D614,куб!O:O),IF($C614&lt;&gt;0,SUMIF(куб!$C:$C,$C614,куб!O:O),IF($B614&lt;&gt;0,SUMIF(куб!$B:$B,$B614,куб!O:O))))))</f>
        <v>0</v>
      </c>
      <c r="Z614" s="13" t="str">
        <f t="shared" si="207"/>
        <v>-</v>
      </c>
      <c r="AA614" s="5"/>
      <c r="AB614" s="33" t="str">
        <f t="shared" si="208"/>
        <v/>
      </c>
      <c r="AC614" s="33" t="str">
        <f t="shared" si="209"/>
        <v/>
      </c>
      <c r="AD614" s="15" t="str">
        <f t="shared" si="210"/>
        <v xml:space="preserve"> </v>
      </c>
      <c r="AE614" s="5"/>
      <c r="AF614" s="27" t="b">
        <f>IF($G614&lt;&gt;0,SUMIF(куб!$G:$G,$G614,куб!R:R),IF($E614&lt;&gt;0,SUMIF(куб!$E:$E,$E614,куб!R:R),IF($D614&lt;&gt;0,SUMIF(куб!$D:$D,$D614,куб!R:R),IF($C614&lt;&gt;0,SUMIF(куб!$C:$C,$C614,куб!R:R),IF($B614&lt;&gt;0,SUMIF(куб!$B:$B,$B614,куб!R:R))))))</f>
        <v>0</v>
      </c>
      <c r="AG614" s="27" t="b">
        <f>IF($G614&lt;&gt;0,SUMIF(куб!$G:$G,$G614,куб!S:S),IF($E614&lt;&gt;0,SUMIF(куб!$E:$E,$E614,куб!S:S),IF($D614&lt;&gt;0,SUMIF(куб!$D:$D,$D614,куб!S:S),IF($C614&lt;&gt;0,SUMIF(куб!$C:$C,$C614,куб!S:S),IF($B614&lt;&gt;0,SUMIF(куб!$B:$B,$B614,куб!S:S))))))</f>
        <v>0</v>
      </c>
      <c r="AH614" s="16" t="str">
        <f t="shared" si="211"/>
        <v>-</v>
      </c>
      <c r="AI614" s="8"/>
      <c r="AJ614" s="27" t="b">
        <f>IF($G614&lt;&gt;0,SUMIF(куб!$G:$G,$G614,куб!T:T),IF($E614&lt;&gt;0,SUMIF(куб!$E:$E,$E614,куб!T:T),IF($D614&lt;&gt;0,SUMIF(куб!$D:$D,$D614,куб!T:T),IF($C614&lt;&gt;0,SUMIF(куб!$C:$C,$C614,куб!T:T),IF($B614&lt;&gt;0,SUMIF(куб!$B:$B,$B614,куб!T:T))))))</f>
        <v>0</v>
      </c>
      <c r="AK614" s="27" t="b">
        <f>IF($G614&lt;&gt;0,SUMIF(куб!$G:$G,$G614,куб!U:U),IF($E614&lt;&gt;0,SUMIF(куб!$E:$E,$E614,куб!U:U),IF($D614&lt;&gt;0,SUMIF(куб!$D:$D,$D614,куб!U:U),IF($C614&lt;&gt;0,SUMIF(куб!$C:$C,$C614,куб!U:U),IF($B614&lt;&gt;0,SUMIF(куб!$B:$B,$B614,куб!U:U))))))</f>
        <v>0</v>
      </c>
      <c r="AL614" s="16" t="str">
        <f t="shared" si="212"/>
        <v>-</v>
      </c>
      <c r="AM614" s="8"/>
      <c r="AN614" s="17" t="str">
        <f t="shared" si="213"/>
        <v xml:space="preserve"> </v>
      </c>
      <c r="AO614" s="17" t="str">
        <f t="shared" si="214"/>
        <v xml:space="preserve"> </v>
      </c>
      <c r="AP614" s="16" t="str">
        <f t="shared" si="215"/>
        <v>-</v>
      </c>
      <c r="AQ614" s="8"/>
      <c r="AR614" s="17" t="str">
        <f t="shared" si="216"/>
        <v>-</v>
      </c>
      <c r="AS614" s="17" t="str">
        <f t="shared" si="217"/>
        <v>-</v>
      </c>
      <c r="AT614" s="13" t="str">
        <f t="shared" si="218"/>
        <v>-</v>
      </c>
      <c r="AU614" s="8"/>
    </row>
    <row r="615" spans="1:47" x14ac:dyDescent="0.25">
      <c r="A615" s="31"/>
      <c r="B615" s="31"/>
      <c r="C615"/>
      <c r="D615" s="31"/>
      <c r="E615"/>
      <c r="F615" s="31"/>
      <c r="G615"/>
      <c r="H615" s="27">
        <f>IF($G615&lt;&gt;0,SUMIF(куб!$G:$G,$G615,куб!H:H),IF($E615&lt;&gt;0,SUMIF(куб!$E:$E,$E615,куб!H:H),IF($D615&lt;&gt;0,SUMIF(куб!$D:$D,$D615,куб!H:H),IF($C615&lt;&gt;0,SUMIF(куб!$C:$C,$C615,куб!H:H),IF($B615&lt;&gt;0,SUMIF(куб!$B:$B,$B615,куб!H:H),IF($G615&lt;&gt;0,SUMIF(куб!$A:$A,$G615,куб!H:H),SUMIF(куб!$A:$A,$G615,куб!H:H)))))))</f>
        <v>0</v>
      </c>
      <c r="I615" s="27">
        <f>IF($G615&lt;&gt;0,SUMIF(куб!$G:$G,$G615,куб!I:I),IF($E615&lt;&gt;0,SUMIF(куб!$E:$E,$E615,куб!I:I),IF($D615&lt;&gt;0,SUMIF(куб!$D:$D,$D615,куб!I:I),IF($C615&lt;&gt;0,SUMIF(куб!$C:$C,$C615,куб!I:I),IF($B615&lt;&gt;0,SUMIF(куб!$B:$B,$B615,куб!I:I),IF($G615&lt;&gt;0,SUMIF(куб!$A:$A,$G615,куб!I:I),SUMIF(куб!$A:$A,$G615,куб!I:I)))))))</f>
        <v>0</v>
      </c>
      <c r="J615" s="19" t="str">
        <f t="shared" si="201"/>
        <v>-</v>
      </c>
      <c r="K615" s="8"/>
      <c r="L615" s="17">
        <f t="shared" si="202"/>
        <v>0</v>
      </c>
      <c r="M615" s="17">
        <f t="shared" si="203"/>
        <v>0</v>
      </c>
      <c r="N615" s="12">
        <f t="shared" si="204"/>
        <v>0</v>
      </c>
      <c r="O615" s="5"/>
      <c r="P615" s="27" t="b">
        <f>IF($G615&lt;&gt;0,SUMIF(куб!$G:$G,$G615,куб!J:J),IF($E615&lt;&gt;0,SUMIF(куб!$E:$E,$E615,куб!J:J),IF($D615&lt;&gt;0,SUMIF(куб!$D:$D,$D615,куб!J:J),IF($C615&lt;&gt;0,SUMIF(куб!$C:$C,$C615,куб!J:J),IF($B615&lt;&gt;0,SUMIF(куб!$B:$B,$B615,куб!J:J))))))</f>
        <v>0</v>
      </c>
      <c r="Q615" s="27" t="b">
        <f>IF($G615&lt;&gt;0,SUMIF(куб!$G:$G,$G615,куб!K:K),IF($E615&lt;&gt;0,SUMIF(куб!$E:$E,$E615,куб!K:K),IF($D615&lt;&gt;0,SUMIF(куб!$D:$D,$D615,куб!K:K),IF($C615&lt;&gt;0,SUMIF(куб!$C:$C,$C615,куб!K:K),IF($B615&lt;&gt;0,SUMIF(куб!$B:$B,$B615,куб!K:K))))))</f>
        <v>0</v>
      </c>
      <c r="R615" s="13" t="str">
        <f t="shared" si="205"/>
        <v>-</v>
      </c>
      <c r="S615" s="5"/>
      <c r="T615" s="27" t="b">
        <f>IF($G615&lt;&gt;0,SUMIF(куб!$G:$G,$G615,куб!L:L),IF($E615&lt;&gt;0,SUMIF(куб!$E:$E,$E615,куб!L:L),IF($D615&lt;&gt;0,SUMIF(куб!$D:$D,$D615,куб!L:L),IF($C615&lt;&gt;0,SUMIF(куб!$C:$C,$C615,куб!L:L),IF($B615&lt;&gt;0,SUMIF(куб!$B:$B,$B615,куб!L:L))))))</f>
        <v>0</v>
      </c>
      <c r="U615" s="27" t="b">
        <f>IF($G615&lt;&gt;0,SUMIF(куб!$G:$G,$G615,куб!M:M),IF($E615&lt;&gt;0,SUMIF(куб!$E:$E,$E615,куб!M:M),IF($D615&lt;&gt;0,SUMIF(куб!$D:$D,$D615,куб!M:M),IF($C615&lt;&gt;0,SUMIF(куб!$C:$C,$C615,куб!M:M),IF($B615&lt;&gt;0,SUMIF(куб!$B:$B,$B615,куб!M:M))))))</f>
        <v>0</v>
      </c>
      <c r="V615" s="13" t="str">
        <f t="shared" si="206"/>
        <v>-</v>
      </c>
      <c r="W615" s="5"/>
      <c r="X615" s="27" t="b">
        <f>IF($G615&lt;&gt;0,SUMIF(куб!$G:$G,$G615,куб!N:N),IF($E615&lt;&gt;0,SUMIF(куб!$E:$E,$E615,куб!N:N),IF($D615&lt;&gt;0,SUMIF(куб!$D:$D,$D615,куб!N:N),IF($C615&lt;&gt;0,SUMIF(куб!$C:$C,$C615,куб!N:N),IF($B615&lt;&gt;0,SUMIF(куб!$B:$B,$B615,куб!N:N))))))</f>
        <v>0</v>
      </c>
      <c r="Y615" s="27" t="b">
        <f>IF($G615&lt;&gt;0,SUMIF(куб!$G:$G,$G615,куб!O:O),IF($E615&lt;&gt;0,SUMIF(куб!$E:$E,$E615,куб!O:O),IF($D615&lt;&gt;0,SUMIF(куб!$D:$D,$D615,куб!O:O),IF($C615&lt;&gt;0,SUMIF(куб!$C:$C,$C615,куб!O:O),IF($B615&lt;&gt;0,SUMIF(куб!$B:$B,$B615,куб!O:O))))))</f>
        <v>0</v>
      </c>
      <c r="Z615" s="13" t="str">
        <f t="shared" si="207"/>
        <v>-</v>
      </c>
      <c r="AA615" s="5"/>
      <c r="AB615" s="33" t="str">
        <f t="shared" si="208"/>
        <v/>
      </c>
      <c r="AC615" s="33" t="str">
        <f t="shared" si="209"/>
        <v/>
      </c>
      <c r="AD615" s="15" t="str">
        <f t="shared" si="210"/>
        <v xml:space="preserve"> </v>
      </c>
      <c r="AE615" s="5"/>
      <c r="AF615" s="27" t="b">
        <f>IF($G615&lt;&gt;0,SUMIF(куб!$G:$G,$G615,куб!R:R),IF($E615&lt;&gt;0,SUMIF(куб!$E:$E,$E615,куб!R:R),IF($D615&lt;&gt;0,SUMIF(куб!$D:$D,$D615,куб!R:R),IF($C615&lt;&gt;0,SUMIF(куб!$C:$C,$C615,куб!R:R),IF($B615&lt;&gt;0,SUMIF(куб!$B:$B,$B615,куб!R:R))))))</f>
        <v>0</v>
      </c>
      <c r="AG615" s="27" t="b">
        <f>IF($G615&lt;&gt;0,SUMIF(куб!$G:$G,$G615,куб!S:S),IF($E615&lt;&gt;0,SUMIF(куб!$E:$E,$E615,куб!S:S),IF($D615&lt;&gt;0,SUMIF(куб!$D:$D,$D615,куб!S:S),IF($C615&lt;&gt;0,SUMIF(куб!$C:$C,$C615,куб!S:S),IF($B615&lt;&gt;0,SUMIF(куб!$B:$B,$B615,куб!S:S))))))</f>
        <v>0</v>
      </c>
      <c r="AH615" s="16" t="str">
        <f t="shared" si="211"/>
        <v>-</v>
      </c>
      <c r="AI615" s="8"/>
      <c r="AJ615" s="27" t="b">
        <f>IF($G615&lt;&gt;0,SUMIF(куб!$G:$G,$G615,куб!T:T),IF($E615&lt;&gt;0,SUMIF(куб!$E:$E,$E615,куб!T:T),IF($D615&lt;&gt;0,SUMIF(куб!$D:$D,$D615,куб!T:T),IF($C615&lt;&gt;0,SUMIF(куб!$C:$C,$C615,куб!T:T),IF($B615&lt;&gt;0,SUMIF(куб!$B:$B,$B615,куб!T:T))))))</f>
        <v>0</v>
      </c>
      <c r="AK615" s="27" t="b">
        <f>IF($G615&lt;&gt;0,SUMIF(куб!$G:$G,$G615,куб!U:U),IF($E615&lt;&gt;0,SUMIF(куб!$E:$E,$E615,куб!U:U),IF($D615&lt;&gt;0,SUMIF(куб!$D:$D,$D615,куб!U:U),IF($C615&lt;&gt;0,SUMIF(куб!$C:$C,$C615,куб!U:U),IF($B615&lt;&gt;0,SUMIF(куб!$B:$B,$B615,куб!U:U))))))</f>
        <v>0</v>
      </c>
      <c r="AL615" s="16" t="str">
        <f t="shared" si="212"/>
        <v>-</v>
      </c>
      <c r="AM615" s="8"/>
      <c r="AN615" s="17" t="str">
        <f t="shared" si="213"/>
        <v xml:space="preserve"> </v>
      </c>
      <c r="AO615" s="17" t="str">
        <f t="shared" si="214"/>
        <v xml:space="preserve"> </v>
      </c>
      <c r="AP615" s="16" t="str">
        <f t="shared" si="215"/>
        <v>-</v>
      </c>
      <c r="AQ615" s="8"/>
      <c r="AR615" s="17" t="str">
        <f t="shared" si="216"/>
        <v>-</v>
      </c>
      <c r="AS615" s="17" t="str">
        <f t="shared" si="217"/>
        <v>-</v>
      </c>
      <c r="AT615" s="13" t="str">
        <f t="shared" si="218"/>
        <v>-</v>
      </c>
      <c r="AU615" s="8"/>
    </row>
    <row r="616" spans="1:47" x14ac:dyDescent="0.25">
      <c r="A616" s="31"/>
      <c r="B616" s="31"/>
      <c r="C616"/>
      <c r="D616" s="31"/>
      <c r="E616"/>
      <c r="F616" s="31"/>
      <c r="G616"/>
      <c r="H616" s="27">
        <f>IF($G616&lt;&gt;0,SUMIF(куб!$G:$G,$G616,куб!H:H),IF($E616&lt;&gt;0,SUMIF(куб!$E:$E,$E616,куб!H:H),IF($D616&lt;&gt;0,SUMIF(куб!$D:$D,$D616,куб!H:H),IF($C616&lt;&gt;0,SUMIF(куб!$C:$C,$C616,куб!H:H),IF($B616&lt;&gt;0,SUMIF(куб!$B:$B,$B616,куб!H:H),IF($G616&lt;&gt;0,SUMIF(куб!$A:$A,$G616,куб!H:H),SUMIF(куб!$A:$A,$G616,куб!H:H)))))))</f>
        <v>0</v>
      </c>
      <c r="I616" s="27">
        <f>IF($G616&lt;&gt;0,SUMIF(куб!$G:$G,$G616,куб!I:I),IF($E616&lt;&gt;0,SUMIF(куб!$E:$E,$E616,куб!I:I),IF($D616&lt;&gt;0,SUMIF(куб!$D:$D,$D616,куб!I:I),IF($C616&lt;&gt;0,SUMIF(куб!$C:$C,$C616,куб!I:I),IF($B616&lt;&gt;0,SUMIF(куб!$B:$B,$B616,куб!I:I),IF($G616&lt;&gt;0,SUMIF(куб!$A:$A,$G616,куб!I:I),SUMIF(куб!$A:$A,$G616,куб!I:I)))))))</f>
        <v>0</v>
      </c>
      <c r="J616" s="19" t="str">
        <f t="shared" si="201"/>
        <v>-</v>
      </c>
      <c r="K616" s="8"/>
      <c r="L616" s="17">
        <f t="shared" si="202"/>
        <v>0</v>
      </c>
      <c r="M616" s="17">
        <f t="shared" si="203"/>
        <v>0</v>
      </c>
      <c r="N616" s="12">
        <f t="shared" si="204"/>
        <v>0</v>
      </c>
      <c r="O616" s="5"/>
      <c r="P616" s="27" t="b">
        <f>IF($G616&lt;&gt;0,SUMIF(куб!$G:$G,$G616,куб!J:J),IF($E616&lt;&gt;0,SUMIF(куб!$E:$E,$E616,куб!J:J),IF($D616&lt;&gt;0,SUMIF(куб!$D:$D,$D616,куб!J:J),IF($C616&lt;&gt;0,SUMIF(куб!$C:$C,$C616,куб!J:J),IF($B616&lt;&gt;0,SUMIF(куб!$B:$B,$B616,куб!J:J))))))</f>
        <v>0</v>
      </c>
      <c r="Q616" s="27" t="b">
        <f>IF($G616&lt;&gt;0,SUMIF(куб!$G:$G,$G616,куб!K:K),IF($E616&lt;&gt;0,SUMIF(куб!$E:$E,$E616,куб!K:K),IF($D616&lt;&gt;0,SUMIF(куб!$D:$D,$D616,куб!K:K),IF($C616&lt;&gt;0,SUMIF(куб!$C:$C,$C616,куб!K:K),IF($B616&lt;&gt;0,SUMIF(куб!$B:$B,$B616,куб!K:K))))))</f>
        <v>0</v>
      </c>
      <c r="R616" s="13" t="str">
        <f t="shared" si="205"/>
        <v>-</v>
      </c>
      <c r="S616" s="5"/>
      <c r="T616" s="27" t="b">
        <f>IF($G616&lt;&gt;0,SUMIF(куб!$G:$G,$G616,куб!L:L),IF($E616&lt;&gt;0,SUMIF(куб!$E:$E,$E616,куб!L:L),IF($D616&lt;&gt;0,SUMIF(куб!$D:$D,$D616,куб!L:L),IF($C616&lt;&gt;0,SUMIF(куб!$C:$C,$C616,куб!L:L),IF($B616&lt;&gt;0,SUMIF(куб!$B:$B,$B616,куб!L:L))))))</f>
        <v>0</v>
      </c>
      <c r="U616" s="27" t="b">
        <f>IF($G616&lt;&gt;0,SUMIF(куб!$G:$G,$G616,куб!M:M),IF($E616&lt;&gt;0,SUMIF(куб!$E:$E,$E616,куб!M:M),IF($D616&lt;&gt;0,SUMIF(куб!$D:$D,$D616,куб!M:M),IF($C616&lt;&gt;0,SUMIF(куб!$C:$C,$C616,куб!M:M),IF($B616&lt;&gt;0,SUMIF(куб!$B:$B,$B616,куб!M:M))))))</f>
        <v>0</v>
      </c>
      <c r="V616" s="13" t="str">
        <f t="shared" si="206"/>
        <v>-</v>
      </c>
      <c r="W616" s="5"/>
      <c r="X616" s="27" t="b">
        <f>IF($G616&lt;&gt;0,SUMIF(куб!$G:$G,$G616,куб!N:N),IF($E616&lt;&gt;0,SUMIF(куб!$E:$E,$E616,куб!N:N),IF($D616&lt;&gt;0,SUMIF(куб!$D:$D,$D616,куб!N:N),IF($C616&lt;&gt;0,SUMIF(куб!$C:$C,$C616,куб!N:N),IF($B616&lt;&gt;0,SUMIF(куб!$B:$B,$B616,куб!N:N))))))</f>
        <v>0</v>
      </c>
      <c r="Y616" s="27" t="b">
        <f>IF($G616&lt;&gt;0,SUMIF(куб!$G:$G,$G616,куб!O:O),IF($E616&lt;&gt;0,SUMIF(куб!$E:$E,$E616,куб!O:O),IF($D616&lt;&gt;0,SUMIF(куб!$D:$D,$D616,куб!O:O),IF($C616&lt;&gt;0,SUMIF(куб!$C:$C,$C616,куб!O:O),IF($B616&lt;&gt;0,SUMIF(куб!$B:$B,$B616,куб!O:O))))))</f>
        <v>0</v>
      </c>
      <c r="Z616" s="13" t="str">
        <f t="shared" si="207"/>
        <v>-</v>
      </c>
      <c r="AA616" s="5"/>
      <c r="AB616" s="33" t="str">
        <f t="shared" si="208"/>
        <v/>
      </c>
      <c r="AC616" s="33" t="str">
        <f t="shared" si="209"/>
        <v/>
      </c>
      <c r="AD616" s="15" t="str">
        <f t="shared" si="210"/>
        <v xml:space="preserve"> </v>
      </c>
      <c r="AE616" s="5"/>
      <c r="AF616" s="27" t="b">
        <f>IF($G616&lt;&gt;0,SUMIF(куб!$G:$G,$G616,куб!R:R),IF($E616&lt;&gt;0,SUMIF(куб!$E:$E,$E616,куб!R:R),IF($D616&lt;&gt;0,SUMIF(куб!$D:$D,$D616,куб!R:R),IF($C616&lt;&gt;0,SUMIF(куб!$C:$C,$C616,куб!R:R),IF($B616&lt;&gt;0,SUMIF(куб!$B:$B,$B616,куб!R:R))))))</f>
        <v>0</v>
      </c>
      <c r="AG616" s="27" t="b">
        <f>IF($G616&lt;&gt;0,SUMIF(куб!$G:$G,$G616,куб!S:S),IF($E616&lt;&gt;0,SUMIF(куб!$E:$E,$E616,куб!S:S),IF($D616&lt;&gt;0,SUMIF(куб!$D:$D,$D616,куб!S:S),IF($C616&lt;&gt;0,SUMIF(куб!$C:$C,$C616,куб!S:S),IF($B616&lt;&gt;0,SUMIF(куб!$B:$B,$B616,куб!S:S))))))</f>
        <v>0</v>
      </c>
      <c r="AH616" s="16" t="str">
        <f t="shared" si="211"/>
        <v>-</v>
      </c>
      <c r="AI616" s="8"/>
      <c r="AJ616" s="27" t="b">
        <f>IF($G616&lt;&gt;0,SUMIF(куб!$G:$G,$G616,куб!T:T),IF($E616&lt;&gt;0,SUMIF(куб!$E:$E,$E616,куб!T:T),IF($D616&lt;&gt;0,SUMIF(куб!$D:$D,$D616,куб!T:T),IF($C616&lt;&gt;0,SUMIF(куб!$C:$C,$C616,куб!T:T),IF($B616&lt;&gt;0,SUMIF(куб!$B:$B,$B616,куб!T:T))))))</f>
        <v>0</v>
      </c>
      <c r="AK616" s="27" t="b">
        <f>IF($G616&lt;&gt;0,SUMIF(куб!$G:$G,$G616,куб!U:U),IF($E616&lt;&gt;0,SUMIF(куб!$E:$E,$E616,куб!U:U),IF($D616&lt;&gt;0,SUMIF(куб!$D:$D,$D616,куб!U:U),IF($C616&lt;&gt;0,SUMIF(куб!$C:$C,$C616,куб!U:U),IF($B616&lt;&gt;0,SUMIF(куб!$B:$B,$B616,куб!U:U))))))</f>
        <v>0</v>
      </c>
      <c r="AL616" s="16" t="str">
        <f t="shared" si="212"/>
        <v>-</v>
      </c>
      <c r="AM616" s="8"/>
      <c r="AN616" s="17" t="str">
        <f t="shared" si="213"/>
        <v xml:space="preserve"> </v>
      </c>
      <c r="AO616" s="17" t="str">
        <f t="shared" si="214"/>
        <v xml:space="preserve"> </v>
      </c>
      <c r="AP616" s="16" t="str">
        <f t="shared" si="215"/>
        <v>-</v>
      </c>
      <c r="AQ616" s="8"/>
      <c r="AR616" s="17" t="str">
        <f t="shared" si="216"/>
        <v>-</v>
      </c>
      <c r="AS616" s="17" t="str">
        <f t="shared" si="217"/>
        <v>-</v>
      </c>
      <c r="AT616" s="13" t="str">
        <f t="shared" si="218"/>
        <v>-</v>
      </c>
      <c r="AU616" s="8"/>
    </row>
    <row r="617" spans="1:47" x14ac:dyDescent="0.25">
      <c r="A617" s="31"/>
      <c r="B617" s="31"/>
      <c r="C617"/>
      <c r="D617" s="31"/>
      <c r="E617"/>
      <c r="F617" s="31"/>
      <c r="G617"/>
      <c r="H617" s="27">
        <f>IF($G617&lt;&gt;0,SUMIF(куб!$G:$G,$G617,куб!H:H),IF($E617&lt;&gt;0,SUMIF(куб!$E:$E,$E617,куб!H:H),IF($D617&lt;&gt;0,SUMIF(куб!$D:$D,$D617,куб!H:H),IF($C617&lt;&gt;0,SUMIF(куб!$C:$C,$C617,куб!H:H),IF($B617&lt;&gt;0,SUMIF(куб!$B:$B,$B617,куб!H:H),IF($G617&lt;&gt;0,SUMIF(куб!$A:$A,$G617,куб!H:H),SUMIF(куб!$A:$A,$G617,куб!H:H)))))))</f>
        <v>0</v>
      </c>
      <c r="I617" s="27">
        <f>IF($G617&lt;&gt;0,SUMIF(куб!$G:$G,$G617,куб!I:I),IF($E617&lt;&gt;0,SUMIF(куб!$E:$E,$E617,куб!I:I),IF($D617&lt;&gt;0,SUMIF(куб!$D:$D,$D617,куб!I:I),IF($C617&lt;&gt;0,SUMIF(куб!$C:$C,$C617,куб!I:I),IF($B617&lt;&gt;0,SUMIF(куб!$B:$B,$B617,куб!I:I),IF($G617&lt;&gt;0,SUMIF(куб!$A:$A,$G617,куб!I:I),SUMIF(куб!$A:$A,$G617,куб!I:I)))))))</f>
        <v>0</v>
      </c>
      <c r="J617" s="19" t="str">
        <f t="shared" si="201"/>
        <v>-</v>
      </c>
      <c r="K617" s="8"/>
      <c r="L617" s="17">
        <f t="shared" si="202"/>
        <v>0</v>
      </c>
      <c r="M617" s="17">
        <f t="shared" si="203"/>
        <v>0</v>
      </c>
      <c r="N617" s="12">
        <f t="shared" si="204"/>
        <v>0</v>
      </c>
      <c r="O617" s="5"/>
      <c r="P617" s="27" t="b">
        <f>IF($G617&lt;&gt;0,SUMIF(куб!$G:$G,$G617,куб!J:J),IF($E617&lt;&gt;0,SUMIF(куб!$E:$E,$E617,куб!J:J),IF($D617&lt;&gt;0,SUMIF(куб!$D:$D,$D617,куб!J:J),IF($C617&lt;&gt;0,SUMIF(куб!$C:$C,$C617,куб!J:J),IF($B617&lt;&gt;0,SUMIF(куб!$B:$B,$B617,куб!J:J))))))</f>
        <v>0</v>
      </c>
      <c r="Q617" s="27" t="b">
        <f>IF($G617&lt;&gt;0,SUMIF(куб!$G:$G,$G617,куб!K:K),IF($E617&lt;&gt;0,SUMIF(куб!$E:$E,$E617,куб!K:K),IF($D617&lt;&gt;0,SUMIF(куб!$D:$D,$D617,куб!K:K),IF($C617&lt;&gt;0,SUMIF(куб!$C:$C,$C617,куб!K:K),IF($B617&lt;&gt;0,SUMIF(куб!$B:$B,$B617,куб!K:K))))))</f>
        <v>0</v>
      </c>
      <c r="R617" s="13" t="str">
        <f t="shared" si="205"/>
        <v>-</v>
      </c>
      <c r="S617" s="5"/>
      <c r="T617" s="27" t="b">
        <f>IF($G617&lt;&gt;0,SUMIF(куб!$G:$G,$G617,куб!L:L),IF($E617&lt;&gt;0,SUMIF(куб!$E:$E,$E617,куб!L:L),IF($D617&lt;&gt;0,SUMIF(куб!$D:$D,$D617,куб!L:L),IF($C617&lt;&gt;0,SUMIF(куб!$C:$C,$C617,куб!L:L),IF($B617&lt;&gt;0,SUMIF(куб!$B:$B,$B617,куб!L:L))))))</f>
        <v>0</v>
      </c>
      <c r="U617" s="27" t="b">
        <f>IF($G617&lt;&gt;0,SUMIF(куб!$G:$G,$G617,куб!M:M),IF($E617&lt;&gt;0,SUMIF(куб!$E:$E,$E617,куб!M:M),IF($D617&lt;&gt;0,SUMIF(куб!$D:$D,$D617,куб!M:M),IF($C617&lt;&gt;0,SUMIF(куб!$C:$C,$C617,куб!M:M),IF($B617&lt;&gt;0,SUMIF(куб!$B:$B,$B617,куб!M:M))))))</f>
        <v>0</v>
      </c>
      <c r="V617" s="13" t="str">
        <f t="shared" si="206"/>
        <v>-</v>
      </c>
      <c r="W617" s="5"/>
      <c r="X617" s="27" t="b">
        <f>IF($G617&lt;&gt;0,SUMIF(куб!$G:$G,$G617,куб!N:N),IF($E617&lt;&gt;0,SUMIF(куб!$E:$E,$E617,куб!N:N),IF($D617&lt;&gt;0,SUMIF(куб!$D:$D,$D617,куб!N:N),IF($C617&lt;&gt;0,SUMIF(куб!$C:$C,$C617,куб!N:N),IF($B617&lt;&gt;0,SUMIF(куб!$B:$B,$B617,куб!N:N))))))</f>
        <v>0</v>
      </c>
      <c r="Y617" s="27" t="b">
        <f>IF($G617&lt;&gt;0,SUMIF(куб!$G:$G,$G617,куб!O:O),IF($E617&lt;&gt;0,SUMIF(куб!$E:$E,$E617,куб!O:O),IF($D617&lt;&gt;0,SUMIF(куб!$D:$D,$D617,куб!O:O),IF($C617&lt;&gt;0,SUMIF(куб!$C:$C,$C617,куб!O:O),IF($B617&lt;&gt;0,SUMIF(куб!$B:$B,$B617,куб!O:O))))))</f>
        <v>0</v>
      </c>
      <c r="Z617" s="13" t="str">
        <f t="shared" si="207"/>
        <v>-</v>
      </c>
      <c r="AA617" s="5"/>
      <c r="AB617" s="33" t="str">
        <f t="shared" si="208"/>
        <v/>
      </c>
      <c r="AC617" s="33" t="str">
        <f t="shared" si="209"/>
        <v/>
      </c>
      <c r="AD617" s="15" t="str">
        <f t="shared" si="210"/>
        <v xml:space="preserve"> </v>
      </c>
      <c r="AE617" s="5"/>
      <c r="AF617" s="27" t="b">
        <f>IF($G617&lt;&gt;0,SUMIF(куб!$G:$G,$G617,куб!R:R),IF($E617&lt;&gt;0,SUMIF(куб!$E:$E,$E617,куб!R:R),IF($D617&lt;&gt;0,SUMIF(куб!$D:$D,$D617,куб!R:R),IF($C617&lt;&gt;0,SUMIF(куб!$C:$C,$C617,куб!R:R),IF($B617&lt;&gt;0,SUMIF(куб!$B:$B,$B617,куб!R:R))))))</f>
        <v>0</v>
      </c>
      <c r="AG617" s="27" t="b">
        <f>IF($G617&lt;&gt;0,SUMIF(куб!$G:$G,$G617,куб!S:S),IF($E617&lt;&gt;0,SUMIF(куб!$E:$E,$E617,куб!S:S),IF($D617&lt;&gt;0,SUMIF(куб!$D:$D,$D617,куб!S:S),IF($C617&lt;&gt;0,SUMIF(куб!$C:$C,$C617,куб!S:S),IF($B617&lt;&gt;0,SUMIF(куб!$B:$B,$B617,куб!S:S))))))</f>
        <v>0</v>
      </c>
      <c r="AH617" s="16" t="str">
        <f t="shared" si="211"/>
        <v>-</v>
      </c>
      <c r="AI617" s="8"/>
      <c r="AJ617" s="27" t="b">
        <f>IF($G617&lt;&gt;0,SUMIF(куб!$G:$G,$G617,куб!T:T),IF($E617&lt;&gt;0,SUMIF(куб!$E:$E,$E617,куб!T:T),IF($D617&lt;&gt;0,SUMIF(куб!$D:$D,$D617,куб!T:T),IF($C617&lt;&gt;0,SUMIF(куб!$C:$C,$C617,куб!T:T),IF($B617&lt;&gt;0,SUMIF(куб!$B:$B,$B617,куб!T:T))))))</f>
        <v>0</v>
      </c>
      <c r="AK617" s="27" t="b">
        <f>IF($G617&lt;&gt;0,SUMIF(куб!$G:$G,$G617,куб!U:U),IF($E617&lt;&gt;0,SUMIF(куб!$E:$E,$E617,куб!U:U),IF($D617&lt;&gt;0,SUMIF(куб!$D:$D,$D617,куб!U:U),IF($C617&lt;&gt;0,SUMIF(куб!$C:$C,$C617,куб!U:U),IF($B617&lt;&gt;0,SUMIF(куб!$B:$B,$B617,куб!U:U))))))</f>
        <v>0</v>
      </c>
      <c r="AL617" s="16" t="str">
        <f t="shared" si="212"/>
        <v>-</v>
      </c>
      <c r="AM617" s="8"/>
      <c r="AN617" s="17" t="str">
        <f t="shared" si="213"/>
        <v xml:space="preserve"> </v>
      </c>
      <c r="AO617" s="17" t="str">
        <f t="shared" si="214"/>
        <v xml:space="preserve"> </v>
      </c>
      <c r="AP617" s="16" t="str">
        <f t="shared" si="215"/>
        <v>-</v>
      </c>
      <c r="AQ617" s="8"/>
      <c r="AR617" s="17" t="str">
        <f t="shared" si="216"/>
        <v>-</v>
      </c>
      <c r="AS617" s="17" t="str">
        <f t="shared" si="217"/>
        <v>-</v>
      </c>
      <c r="AT617" s="13" t="str">
        <f t="shared" si="218"/>
        <v>-</v>
      </c>
      <c r="AU617" s="8"/>
    </row>
    <row r="618" spans="1:47" x14ac:dyDescent="0.25">
      <c r="A618" s="31"/>
      <c r="B618" s="31"/>
      <c r="C618"/>
      <c r="D618" s="31"/>
      <c r="E618"/>
      <c r="F618" s="31"/>
      <c r="G618"/>
      <c r="H618" s="27">
        <f>IF($G618&lt;&gt;0,SUMIF(куб!$G:$G,$G618,куб!H:H),IF($E618&lt;&gt;0,SUMIF(куб!$E:$E,$E618,куб!H:H),IF($D618&lt;&gt;0,SUMIF(куб!$D:$D,$D618,куб!H:H),IF($C618&lt;&gt;0,SUMIF(куб!$C:$C,$C618,куб!H:H),IF($B618&lt;&gt;0,SUMIF(куб!$B:$B,$B618,куб!H:H),IF($G618&lt;&gt;0,SUMIF(куб!$A:$A,$G618,куб!H:H),SUMIF(куб!$A:$A,$G618,куб!H:H)))))))</f>
        <v>0</v>
      </c>
      <c r="I618" s="27">
        <f>IF($G618&lt;&gt;0,SUMIF(куб!$G:$G,$G618,куб!I:I),IF($E618&lt;&gt;0,SUMIF(куб!$E:$E,$E618,куб!I:I),IF($D618&lt;&gt;0,SUMIF(куб!$D:$D,$D618,куб!I:I),IF($C618&lt;&gt;0,SUMIF(куб!$C:$C,$C618,куб!I:I),IF($B618&lt;&gt;0,SUMIF(куб!$B:$B,$B618,куб!I:I),IF($G618&lt;&gt;0,SUMIF(куб!$A:$A,$G618,куб!I:I),SUMIF(куб!$A:$A,$G618,куб!I:I)))))))</f>
        <v>0</v>
      </c>
      <c r="J618" s="19" t="str">
        <f t="shared" si="201"/>
        <v>-</v>
      </c>
      <c r="K618" s="8"/>
      <c r="L618" s="17">
        <f t="shared" si="202"/>
        <v>0</v>
      </c>
      <c r="M618" s="17">
        <f t="shared" si="203"/>
        <v>0</v>
      </c>
      <c r="N618" s="12">
        <f t="shared" si="204"/>
        <v>0</v>
      </c>
      <c r="O618" s="5"/>
      <c r="P618" s="27" t="b">
        <f>IF($G618&lt;&gt;0,SUMIF(куб!$G:$G,$G618,куб!J:J),IF($E618&lt;&gt;0,SUMIF(куб!$E:$E,$E618,куб!J:J),IF($D618&lt;&gt;0,SUMIF(куб!$D:$D,$D618,куб!J:J),IF($C618&lt;&gt;0,SUMIF(куб!$C:$C,$C618,куб!J:J),IF($B618&lt;&gt;0,SUMIF(куб!$B:$B,$B618,куб!J:J))))))</f>
        <v>0</v>
      </c>
      <c r="Q618" s="27" t="b">
        <f>IF($G618&lt;&gt;0,SUMIF(куб!$G:$G,$G618,куб!K:K),IF($E618&lt;&gt;0,SUMIF(куб!$E:$E,$E618,куб!K:K),IF($D618&lt;&gt;0,SUMIF(куб!$D:$D,$D618,куб!K:K),IF($C618&lt;&gt;0,SUMIF(куб!$C:$C,$C618,куб!K:K),IF($B618&lt;&gt;0,SUMIF(куб!$B:$B,$B618,куб!K:K))))))</f>
        <v>0</v>
      </c>
      <c r="R618" s="13" t="str">
        <f t="shared" si="205"/>
        <v>-</v>
      </c>
      <c r="S618" s="5"/>
      <c r="T618" s="27" t="b">
        <f>IF($G618&lt;&gt;0,SUMIF(куб!$G:$G,$G618,куб!L:L),IF($E618&lt;&gt;0,SUMIF(куб!$E:$E,$E618,куб!L:L),IF($D618&lt;&gt;0,SUMIF(куб!$D:$D,$D618,куб!L:L),IF($C618&lt;&gt;0,SUMIF(куб!$C:$C,$C618,куб!L:L),IF($B618&lt;&gt;0,SUMIF(куб!$B:$B,$B618,куб!L:L))))))</f>
        <v>0</v>
      </c>
      <c r="U618" s="27" t="b">
        <f>IF($G618&lt;&gt;0,SUMIF(куб!$G:$G,$G618,куб!M:M),IF($E618&lt;&gt;0,SUMIF(куб!$E:$E,$E618,куб!M:M),IF($D618&lt;&gt;0,SUMIF(куб!$D:$D,$D618,куб!M:M),IF($C618&lt;&gt;0,SUMIF(куб!$C:$C,$C618,куб!M:M),IF($B618&lt;&gt;0,SUMIF(куб!$B:$B,$B618,куб!M:M))))))</f>
        <v>0</v>
      </c>
      <c r="V618" s="13" t="str">
        <f t="shared" si="206"/>
        <v>-</v>
      </c>
      <c r="W618" s="5"/>
      <c r="X618" s="27" t="b">
        <f>IF($G618&lt;&gt;0,SUMIF(куб!$G:$G,$G618,куб!N:N),IF($E618&lt;&gt;0,SUMIF(куб!$E:$E,$E618,куб!N:N),IF($D618&lt;&gt;0,SUMIF(куб!$D:$D,$D618,куб!N:N),IF($C618&lt;&gt;0,SUMIF(куб!$C:$C,$C618,куб!N:N),IF($B618&lt;&gt;0,SUMIF(куб!$B:$B,$B618,куб!N:N))))))</f>
        <v>0</v>
      </c>
      <c r="Y618" s="27" t="b">
        <f>IF($G618&lt;&gt;0,SUMIF(куб!$G:$G,$G618,куб!O:O),IF($E618&lt;&gt;0,SUMIF(куб!$E:$E,$E618,куб!O:O),IF($D618&lt;&gt;0,SUMIF(куб!$D:$D,$D618,куб!O:O),IF($C618&lt;&gt;0,SUMIF(куб!$C:$C,$C618,куб!O:O),IF($B618&lt;&gt;0,SUMIF(куб!$B:$B,$B618,куб!O:O))))))</f>
        <v>0</v>
      </c>
      <c r="Z618" s="13" t="str">
        <f t="shared" si="207"/>
        <v>-</v>
      </c>
      <c r="AA618" s="5"/>
      <c r="AB618" s="33" t="str">
        <f t="shared" si="208"/>
        <v/>
      </c>
      <c r="AC618" s="33" t="str">
        <f t="shared" si="209"/>
        <v/>
      </c>
      <c r="AD618" s="15" t="str">
        <f t="shared" si="210"/>
        <v xml:space="preserve"> </v>
      </c>
      <c r="AE618" s="5"/>
      <c r="AF618" s="27" t="b">
        <f>IF($G618&lt;&gt;0,SUMIF(куб!$G:$G,$G618,куб!R:R),IF($E618&lt;&gt;0,SUMIF(куб!$E:$E,$E618,куб!R:R),IF($D618&lt;&gt;0,SUMIF(куб!$D:$D,$D618,куб!R:R),IF($C618&lt;&gt;0,SUMIF(куб!$C:$C,$C618,куб!R:R),IF($B618&lt;&gt;0,SUMIF(куб!$B:$B,$B618,куб!R:R))))))</f>
        <v>0</v>
      </c>
      <c r="AG618" s="27" t="b">
        <f>IF($G618&lt;&gt;0,SUMIF(куб!$G:$G,$G618,куб!S:S),IF($E618&lt;&gt;0,SUMIF(куб!$E:$E,$E618,куб!S:S),IF($D618&lt;&gt;0,SUMIF(куб!$D:$D,$D618,куб!S:S),IF($C618&lt;&gt;0,SUMIF(куб!$C:$C,$C618,куб!S:S),IF($B618&lt;&gt;0,SUMIF(куб!$B:$B,$B618,куб!S:S))))))</f>
        <v>0</v>
      </c>
      <c r="AH618" s="16" t="str">
        <f t="shared" si="211"/>
        <v>-</v>
      </c>
      <c r="AI618" s="8"/>
      <c r="AJ618" s="27" t="b">
        <f>IF($G618&lt;&gt;0,SUMIF(куб!$G:$G,$G618,куб!T:T),IF($E618&lt;&gt;0,SUMIF(куб!$E:$E,$E618,куб!T:T),IF($D618&lt;&gt;0,SUMIF(куб!$D:$D,$D618,куб!T:T),IF($C618&lt;&gt;0,SUMIF(куб!$C:$C,$C618,куб!T:T),IF($B618&lt;&gt;0,SUMIF(куб!$B:$B,$B618,куб!T:T))))))</f>
        <v>0</v>
      </c>
      <c r="AK618" s="27" t="b">
        <f>IF($G618&lt;&gt;0,SUMIF(куб!$G:$G,$G618,куб!U:U),IF($E618&lt;&gt;0,SUMIF(куб!$E:$E,$E618,куб!U:U),IF($D618&lt;&gt;0,SUMIF(куб!$D:$D,$D618,куб!U:U),IF($C618&lt;&gt;0,SUMIF(куб!$C:$C,$C618,куб!U:U),IF($B618&lt;&gt;0,SUMIF(куб!$B:$B,$B618,куб!U:U))))))</f>
        <v>0</v>
      </c>
      <c r="AL618" s="16" t="str">
        <f t="shared" si="212"/>
        <v>-</v>
      </c>
      <c r="AM618" s="8"/>
      <c r="AN618" s="17" t="str">
        <f t="shared" si="213"/>
        <v xml:space="preserve"> </v>
      </c>
      <c r="AO618" s="17" t="str">
        <f t="shared" si="214"/>
        <v xml:space="preserve"> </v>
      </c>
      <c r="AP618" s="16" t="str">
        <f t="shared" si="215"/>
        <v>-</v>
      </c>
      <c r="AQ618" s="8"/>
      <c r="AR618" s="17" t="str">
        <f t="shared" si="216"/>
        <v>-</v>
      </c>
      <c r="AS618" s="17" t="str">
        <f t="shared" si="217"/>
        <v>-</v>
      </c>
      <c r="AT618" s="13" t="str">
        <f t="shared" si="218"/>
        <v>-</v>
      </c>
      <c r="AU618" s="8"/>
    </row>
    <row r="619" spans="1:47" x14ac:dyDescent="0.25">
      <c r="A619" s="31"/>
      <c r="B619" s="31"/>
      <c r="C619"/>
      <c r="D619" s="31"/>
      <c r="E619"/>
      <c r="F619" s="31"/>
      <c r="G619"/>
      <c r="H619" s="27">
        <f>IF($G619&lt;&gt;0,SUMIF(куб!$G:$G,$G619,куб!H:H),IF($E619&lt;&gt;0,SUMIF(куб!$E:$E,$E619,куб!H:H),IF($D619&lt;&gt;0,SUMIF(куб!$D:$D,$D619,куб!H:H),IF($C619&lt;&gt;0,SUMIF(куб!$C:$C,$C619,куб!H:H),IF($B619&lt;&gt;0,SUMIF(куб!$B:$B,$B619,куб!H:H),IF($G619&lt;&gt;0,SUMIF(куб!$A:$A,$G619,куб!H:H),SUMIF(куб!$A:$A,$G619,куб!H:H)))))))</f>
        <v>0</v>
      </c>
      <c r="I619" s="27">
        <f>IF($G619&lt;&gt;0,SUMIF(куб!$G:$G,$G619,куб!I:I),IF($E619&lt;&gt;0,SUMIF(куб!$E:$E,$E619,куб!I:I),IF($D619&lt;&gt;0,SUMIF(куб!$D:$D,$D619,куб!I:I),IF($C619&lt;&gt;0,SUMIF(куб!$C:$C,$C619,куб!I:I),IF($B619&lt;&gt;0,SUMIF(куб!$B:$B,$B619,куб!I:I),IF($G619&lt;&gt;0,SUMIF(куб!$A:$A,$G619,куб!I:I),SUMIF(куб!$A:$A,$G619,куб!I:I)))))))</f>
        <v>0</v>
      </c>
      <c r="J619" s="19" t="str">
        <f t="shared" si="201"/>
        <v>-</v>
      </c>
      <c r="K619" s="8"/>
      <c r="L619" s="17">
        <f t="shared" si="202"/>
        <v>0</v>
      </c>
      <c r="M619" s="17">
        <f t="shared" si="203"/>
        <v>0</v>
      </c>
      <c r="N619" s="12">
        <f t="shared" si="204"/>
        <v>0</v>
      </c>
      <c r="O619" s="5"/>
      <c r="P619" s="27" t="b">
        <f>IF($G619&lt;&gt;0,SUMIF(куб!$G:$G,$G619,куб!J:J),IF($E619&lt;&gt;0,SUMIF(куб!$E:$E,$E619,куб!J:J),IF($D619&lt;&gt;0,SUMIF(куб!$D:$D,$D619,куб!J:J),IF($C619&lt;&gt;0,SUMIF(куб!$C:$C,$C619,куб!J:J),IF($B619&lt;&gt;0,SUMIF(куб!$B:$B,$B619,куб!J:J))))))</f>
        <v>0</v>
      </c>
      <c r="Q619" s="27" t="b">
        <f>IF($G619&lt;&gt;0,SUMIF(куб!$G:$G,$G619,куб!K:K),IF($E619&lt;&gt;0,SUMIF(куб!$E:$E,$E619,куб!K:K),IF($D619&lt;&gt;0,SUMIF(куб!$D:$D,$D619,куб!K:K),IF($C619&lt;&gt;0,SUMIF(куб!$C:$C,$C619,куб!K:K),IF($B619&lt;&gt;0,SUMIF(куб!$B:$B,$B619,куб!K:K))))))</f>
        <v>0</v>
      </c>
      <c r="R619" s="13" t="str">
        <f t="shared" si="205"/>
        <v>-</v>
      </c>
      <c r="S619" s="5"/>
      <c r="T619" s="27" t="b">
        <f>IF($G619&lt;&gt;0,SUMIF(куб!$G:$G,$G619,куб!L:L),IF($E619&lt;&gt;0,SUMIF(куб!$E:$E,$E619,куб!L:L),IF($D619&lt;&gt;0,SUMIF(куб!$D:$D,$D619,куб!L:L),IF($C619&lt;&gt;0,SUMIF(куб!$C:$C,$C619,куб!L:L),IF($B619&lt;&gt;0,SUMIF(куб!$B:$B,$B619,куб!L:L))))))</f>
        <v>0</v>
      </c>
      <c r="U619" s="27" t="b">
        <f>IF($G619&lt;&gt;0,SUMIF(куб!$G:$G,$G619,куб!M:M),IF($E619&lt;&gt;0,SUMIF(куб!$E:$E,$E619,куб!M:M),IF($D619&lt;&gt;0,SUMIF(куб!$D:$D,$D619,куб!M:M),IF($C619&lt;&gt;0,SUMIF(куб!$C:$C,$C619,куб!M:M),IF($B619&lt;&gt;0,SUMIF(куб!$B:$B,$B619,куб!M:M))))))</f>
        <v>0</v>
      </c>
      <c r="V619" s="13" t="str">
        <f t="shared" si="206"/>
        <v>-</v>
      </c>
      <c r="W619" s="5"/>
      <c r="X619" s="27" t="b">
        <f>IF($G619&lt;&gt;0,SUMIF(куб!$G:$G,$G619,куб!N:N),IF($E619&lt;&gt;0,SUMIF(куб!$E:$E,$E619,куб!N:N),IF($D619&lt;&gt;0,SUMIF(куб!$D:$D,$D619,куб!N:N),IF($C619&lt;&gt;0,SUMIF(куб!$C:$C,$C619,куб!N:N),IF($B619&lt;&gt;0,SUMIF(куб!$B:$B,$B619,куб!N:N))))))</f>
        <v>0</v>
      </c>
      <c r="Y619" s="27" t="b">
        <f>IF($G619&lt;&gt;0,SUMIF(куб!$G:$G,$G619,куб!O:O),IF($E619&lt;&gt;0,SUMIF(куб!$E:$E,$E619,куб!O:O),IF($D619&lt;&gt;0,SUMIF(куб!$D:$D,$D619,куб!O:O),IF($C619&lt;&gt;0,SUMIF(куб!$C:$C,$C619,куб!O:O),IF($B619&lt;&gt;0,SUMIF(куб!$B:$B,$B619,куб!O:O))))))</f>
        <v>0</v>
      </c>
      <c r="Z619" s="13" t="str">
        <f t="shared" si="207"/>
        <v>-</v>
      </c>
      <c r="AA619" s="5"/>
      <c r="AB619" s="33" t="str">
        <f t="shared" si="208"/>
        <v/>
      </c>
      <c r="AC619" s="33" t="str">
        <f t="shared" si="209"/>
        <v/>
      </c>
      <c r="AD619" s="15" t="str">
        <f t="shared" si="210"/>
        <v xml:space="preserve"> </v>
      </c>
      <c r="AE619" s="5"/>
      <c r="AF619" s="27" t="b">
        <f>IF($G619&lt;&gt;0,SUMIF(куб!$G:$G,$G619,куб!R:R),IF($E619&lt;&gt;0,SUMIF(куб!$E:$E,$E619,куб!R:R),IF($D619&lt;&gt;0,SUMIF(куб!$D:$D,$D619,куб!R:R),IF($C619&lt;&gt;0,SUMIF(куб!$C:$C,$C619,куб!R:R),IF($B619&lt;&gt;0,SUMIF(куб!$B:$B,$B619,куб!R:R))))))</f>
        <v>0</v>
      </c>
      <c r="AG619" s="27" t="b">
        <f>IF($G619&lt;&gt;0,SUMIF(куб!$G:$G,$G619,куб!S:S),IF($E619&lt;&gt;0,SUMIF(куб!$E:$E,$E619,куб!S:S),IF($D619&lt;&gt;0,SUMIF(куб!$D:$D,$D619,куб!S:S),IF($C619&lt;&gt;0,SUMIF(куб!$C:$C,$C619,куб!S:S),IF($B619&lt;&gt;0,SUMIF(куб!$B:$B,$B619,куб!S:S))))))</f>
        <v>0</v>
      </c>
      <c r="AH619" s="16" t="str">
        <f t="shared" si="211"/>
        <v>-</v>
      </c>
      <c r="AI619" s="8"/>
      <c r="AJ619" s="27" t="b">
        <f>IF($G619&lt;&gt;0,SUMIF(куб!$G:$G,$G619,куб!T:T),IF($E619&lt;&gt;0,SUMIF(куб!$E:$E,$E619,куб!T:T),IF($D619&lt;&gt;0,SUMIF(куб!$D:$D,$D619,куб!T:T),IF($C619&lt;&gt;0,SUMIF(куб!$C:$C,$C619,куб!T:T),IF($B619&lt;&gt;0,SUMIF(куб!$B:$B,$B619,куб!T:T))))))</f>
        <v>0</v>
      </c>
      <c r="AK619" s="27" t="b">
        <f>IF($G619&lt;&gt;0,SUMIF(куб!$G:$G,$G619,куб!U:U),IF($E619&lt;&gt;0,SUMIF(куб!$E:$E,$E619,куб!U:U),IF($D619&lt;&gt;0,SUMIF(куб!$D:$D,$D619,куб!U:U),IF($C619&lt;&gt;0,SUMIF(куб!$C:$C,$C619,куб!U:U),IF($B619&lt;&gt;0,SUMIF(куб!$B:$B,$B619,куб!U:U))))))</f>
        <v>0</v>
      </c>
      <c r="AL619" s="16" t="str">
        <f t="shared" si="212"/>
        <v>-</v>
      </c>
      <c r="AM619" s="8"/>
      <c r="AN619" s="17" t="str">
        <f t="shared" si="213"/>
        <v xml:space="preserve"> </v>
      </c>
      <c r="AO619" s="17" t="str">
        <f t="shared" si="214"/>
        <v xml:space="preserve"> </v>
      </c>
      <c r="AP619" s="16" t="str">
        <f t="shared" si="215"/>
        <v>-</v>
      </c>
      <c r="AQ619" s="8"/>
      <c r="AR619" s="17" t="str">
        <f t="shared" si="216"/>
        <v>-</v>
      </c>
      <c r="AS619" s="17" t="str">
        <f t="shared" si="217"/>
        <v>-</v>
      </c>
      <c r="AT619" s="13" t="str">
        <f t="shared" si="218"/>
        <v>-</v>
      </c>
      <c r="AU619" s="8"/>
    </row>
    <row r="620" spans="1:47" x14ac:dyDescent="0.25">
      <c r="A620" s="31"/>
      <c r="B620" s="31"/>
      <c r="C620"/>
      <c r="D620" s="31"/>
      <c r="E620"/>
      <c r="F620" s="31"/>
      <c r="G620"/>
      <c r="H620" s="27">
        <f>IF($G620&lt;&gt;0,SUMIF(куб!$G:$G,$G620,куб!H:H),IF($E620&lt;&gt;0,SUMIF(куб!$E:$E,$E620,куб!H:H),IF($D620&lt;&gt;0,SUMIF(куб!$D:$D,$D620,куб!H:H),IF($C620&lt;&gt;0,SUMIF(куб!$C:$C,$C620,куб!H:H),IF($B620&lt;&gt;0,SUMIF(куб!$B:$B,$B620,куб!H:H),IF($G620&lt;&gt;0,SUMIF(куб!$A:$A,$G620,куб!H:H),SUMIF(куб!$A:$A,$G620,куб!H:H)))))))</f>
        <v>0</v>
      </c>
      <c r="I620" s="27">
        <f>IF($G620&lt;&gt;0,SUMIF(куб!$G:$G,$G620,куб!I:I),IF($E620&lt;&gt;0,SUMIF(куб!$E:$E,$E620,куб!I:I),IF($D620&lt;&gt;0,SUMIF(куб!$D:$D,$D620,куб!I:I),IF($C620&lt;&gt;0,SUMIF(куб!$C:$C,$C620,куб!I:I),IF($B620&lt;&gt;0,SUMIF(куб!$B:$B,$B620,куб!I:I),IF($G620&lt;&gt;0,SUMIF(куб!$A:$A,$G620,куб!I:I),SUMIF(куб!$A:$A,$G620,куб!I:I)))))))</f>
        <v>0</v>
      </c>
      <c r="J620" s="19" t="str">
        <f t="shared" si="201"/>
        <v>-</v>
      </c>
      <c r="K620" s="8"/>
      <c r="L620" s="17">
        <f t="shared" si="202"/>
        <v>0</v>
      </c>
      <c r="M620" s="17">
        <f t="shared" si="203"/>
        <v>0</v>
      </c>
      <c r="N620" s="12">
        <f t="shared" si="204"/>
        <v>0</v>
      </c>
      <c r="O620" s="5"/>
      <c r="P620" s="27" t="b">
        <f>IF($G620&lt;&gt;0,SUMIF(куб!$G:$G,$G620,куб!J:J),IF($E620&lt;&gt;0,SUMIF(куб!$E:$E,$E620,куб!J:J),IF($D620&lt;&gt;0,SUMIF(куб!$D:$D,$D620,куб!J:J),IF($C620&lt;&gt;0,SUMIF(куб!$C:$C,$C620,куб!J:J),IF($B620&lt;&gt;0,SUMIF(куб!$B:$B,$B620,куб!J:J))))))</f>
        <v>0</v>
      </c>
      <c r="Q620" s="27" t="b">
        <f>IF($G620&lt;&gt;0,SUMIF(куб!$G:$G,$G620,куб!K:K),IF($E620&lt;&gt;0,SUMIF(куб!$E:$E,$E620,куб!K:K),IF($D620&lt;&gt;0,SUMIF(куб!$D:$D,$D620,куб!K:K),IF($C620&lt;&gt;0,SUMIF(куб!$C:$C,$C620,куб!K:K),IF($B620&lt;&gt;0,SUMIF(куб!$B:$B,$B620,куб!K:K))))))</f>
        <v>0</v>
      </c>
      <c r="R620" s="13" t="str">
        <f t="shared" si="205"/>
        <v>-</v>
      </c>
      <c r="S620" s="5"/>
      <c r="T620" s="27" t="b">
        <f>IF($G620&lt;&gt;0,SUMIF(куб!$G:$G,$G620,куб!L:L),IF($E620&lt;&gt;0,SUMIF(куб!$E:$E,$E620,куб!L:L),IF($D620&lt;&gt;0,SUMIF(куб!$D:$D,$D620,куб!L:L),IF($C620&lt;&gt;0,SUMIF(куб!$C:$C,$C620,куб!L:L),IF($B620&lt;&gt;0,SUMIF(куб!$B:$B,$B620,куб!L:L))))))</f>
        <v>0</v>
      </c>
      <c r="U620" s="27" t="b">
        <f>IF($G620&lt;&gt;0,SUMIF(куб!$G:$G,$G620,куб!M:M),IF($E620&lt;&gt;0,SUMIF(куб!$E:$E,$E620,куб!M:M),IF($D620&lt;&gt;0,SUMIF(куб!$D:$D,$D620,куб!M:M),IF($C620&lt;&gt;0,SUMIF(куб!$C:$C,$C620,куб!M:M),IF($B620&lt;&gt;0,SUMIF(куб!$B:$B,$B620,куб!M:M))))))</f>
        <v>0</v>
      </c>
      <c r="V620" s="13" t="str">
        <f t="shared" si="206"/>
        <v>-</v>
      </c>
      <c r="W620" s="5"/>
      <c r="X620" s="27" t="b">
        <f>IF($G620&lt;&gt;0,SUMIF(куб!$G:$G,$G620,куб!N:N),IF($E620&lt;&gt;0,SUMIF(куб!$E:$E,$E620,куб!N:N),IF($D620&lt;&gt;0,SUMIF(куб!$D:$D,$D620,куб!N:N),IF($C620&lt;&gt;0,SUMIF(куб!$C:$C,$C620,куб!N:N),IF($B620&lt;&gt;0,SUMIF(куб!$B:$B,$B620,куб!N:N))))))</f>
        <v>0</v>
      </c>
      <c r="Y620" s="27" t="b">
        <f>IF($G620&lt;&gt;0,SUMIF(куб!$G:$G,$G620,куб!O:O),IF($E620&lt;&gt;0,SUMIF(куб!$E:$E,$E620,куб!O:O),IF($D620&lt;&gt;0,SUMIF(куб!$D:$D,$D620,куб!O:O),IF($C620&lt;&gt;0,SUMIF(куб!$C:$C,$C620,куб!O:O),IF($B620&lt;&gt;0,SUMIF(куб!$B:$B,$B620,куб!O:O))))))</f>
        <v>0</v>
      </c>
      <c r="Z620" s="13" t="str">
        <f t="shared" si="207"/>
        <v>-</v>
      </c>
      <c r="AA620" s="5"/>
      <c r="AB620" s="33" t="str">
        <f t="shared" si="208"/>
        <v/>
      </c>
      <c r="AC620" s="33" t="str">
        <f t="shared" si="209"/>
        <v/>
      </c>
      <c r="AD620" s="15" t="str">
        <f t="shared" si="210"/>
        <v xml:space="preserve"> </v>
      </c>
      <c r="AE620" s="5"/>
      <c r="AF620" s="27" t="b">
        <f>IF($G620&lt;&gt;0,SUMIF(куб!$G:$G,$G620,куб!R:R),IF($E620&lt;&gt;0,SUMIF(куб!$E:$E,$E620,куб!R:R),IF($D620&lt;&gt;0,SUMIF(куб!$D:$D,$D620,куб!R:R),IF($C620&lt;&gt;0,SUMIF(куб!$C:$C,$C620,куб!R:R),IF($B620&lt;&gt;0,SUMIF(куб!$B:$B,$B620,куб!R:R))))))</f>
        <v>0</v>
      </c>
      <c r="AG620" s="27" t="b">
        <f>IF($G620&lt;&gt;0,SUMIF(куб!$G:$G,$G620,куб!S:S),IF($E620&lt;&gt;0,SUMIF(куб!$E:$E,$E620,куб!S:S),IF($D620&lt;&gt;0,SUMIF(куб!$D:$D,$D620,куб!S:S),IF($C620&lt;&gt;0,SUMIF(куб!$C:$C,$C620,куб!S:S),IF($B620&lt;&gt;0,SUMIF(куб!$B:$B,$B620,куб!S:S))))))</f>
        <v>0</v>
      </c>
      <c r="AH620" s="16" t="str">
        <f t="shared" si="211"/>
        <v>-</v>
      </c>
      <c r="AI620" s="8"/>
      <c r="AJ620" s="27" t="b">
        <f>IF($G620&lt;&gt;0,SUMIF(куб!$G:$G,$G620,куб!T:T),IF($E620&lt;&gt;0,SUMIF(куб!$E:$E,$E620,куб!T:T),IF($D620&lt;&gt;0,SUMIF(куб!$D:$D,$D620,куб!T:T),IF($C620&lt;&gt;0,SUMIF(куб!$C:$C,$C620,куб!T:T),IF($B620&lt;&gt;0,SUMIF(куб!$B:$B,$B620,куб!T:T))))))</f>
        <v>0</v>
      </c>
      <c r="AK620" s="27" t="b">
        <f>IF($G620&lt;&gt;0,SUMIF(куб!$G:$G,$G620,куб!U:U),IF($E620&lt;&gt;0,SUMIF(куб!$E:$E,$E620,куб!U:U),IF($D620&lt;&gt;0,SUMIF(куб!$D:$D,$D620,куб!U:U),IF($C620&lt;&gt;0,SUMIF(куб!$C:$C,$C620,куб!U:U),IF($B620&lt;&gt;0,SUMIF(куб!$B:$B,$B620,куб!U:U))))))</f>
        <v>0</v>
      </c>
      <c r="AL620" s="16" t="str">
        <f t="shared" si="212"/>
        <v>-</v>
      </c>
      <c r="AM620" s="8"/>
      <c r="AN620" s="17" t="str">
        <f t="shared" si="213"/>
        <v xml:space="preserve"> </v>
      </c>
      <c r="AO620" s="17" t="str">
        <f t="shared" si="214"/>
        <v xml:space="preserve"> </v>
      </c>
      <c r="AP620" s="16" t="str">
        <f t="shared" si="215"/>
        <v>-</v>
      </c>
      <c r="AQ620" s="8"/>
      <c r="AR620" s="17" t="str">
        <f t="shared" si="216"/>
        <v>-</v>
      </c>
      <c r="AS620" s="17" t="str">
        <f t="shared" si="217"/>
        <v>-</v>
      </c>
      <c r="AT620" s="13" t="str">
        <f t="shared" si="218"/>
        <v>-</v>
      </c>
      <c r="AU620" s="8"/>
    </row>
    <row r="621" spans="1:47" x14ac:dyDescent="0.25">
      <c r="A621" s="31"/>
      <c r="B621" s="31"/>
      <c r="C621"/>
      <c r="D621" s="31"/>
      <c r="E621"/>
      <c r="F621" s="31"/>
      <c r="G621"/>
      <c r="H621" s="27">
        <f>IF($G621&lt;&gt;0,SUMIF(куб!$G:$G,$G621,куб!H:H),IF($E621&lt;&gt;0,SUMIF(куб!$E:$E,$E621,куб!H:H),IF($D621&lt;&gt;0,SUMIF(куб!$D:$D,$D621,куб!H:H),IF($C621&lt;&gt;0,SUMIF(куб!$C:$C,$C621,куб!H:H),IF($B621&lt;&gt;0,SUMIF(куб!$B:$B,$B621,куб!H:H),IF($G621&lt;&gt;0,SUMIF(куб!$A:$A,$G621,куб!H:H),SUMIF(куб!$A:$A,$G621,куб!H:H)))))))</f>
        <v>0</v>
      </c>
      <c r="I621" s="27">
        <f>IF($G621&lt;&gt;0,SUMIF(куб!$G:$G,$G621,куб!I:I),IF($E621&lt;&gt;0,SUMIF(куб!$E:$E,$E621,куб!I:I),IF($D621&lt;&gt;0,SUMIF(куб!$D:$D,$D621,куб!I:I),IF($C621&lt;&gt;0,SUMIF(куб!$C:$C,$C621,куб!I:I),IF($B621&lt;&gt;0,SUMIF(куб!$B:$B,$B621,куб!I:I),IF($G621&lt;&gt;0,SUMIF(куб!$A:$A,$G621,куб!I:I),SUMIF(куб!$A:$A,$G621,куб!I:I)))))))</f>
        <v>0</v>
      </c>
      <c r="J621" s="19" t="str">
        <f t="shared" si="201"/>
        <v>-</v>
      </c>
      <c r="K621" s="8"/>
      <c r="L621" s="17">
        <f t="shared" si="202"/>
        <v>0</v>
      </c>
      <c r="M621" s="17">
        <f t="shared" si="203"/>
        <v>0</v>
      </c>
      <c r="N621" s="12">
        <f t="shared" si="204"/>
        <v>0</v>
      </c>
      <c r="O621" s="5"/>
      <c r="P621" s="27" t="b">
        <f>IF($G621&lt;&gt;0,SUMIF(куб!$G:$G,$G621,куб!J:J),IF($E621&lt;&gt;0,SUMIF(куб!$E:$E,$E621,куб!J:J),IF($D621&lt;&gt;0,SUMIF(куб!$D:$D,$D621,куб!J:J),IF($C621&lt;&gt;0,SUMIF(куб!$C:$C,$C621,куб!J:J),IF($B621&lt;&gt;0,SUMIF(куб!$B:$B,$B621,куб!J:J))))))</f>
        <v>0</v>
      </c>
      <c r="Q621" s="27" t="b">
        <f>IF($G621&lt;&gt;0,SUMIF(куб!$G:$G,$G621,куб!K:K),IF($E621&lt;&gt;0,SUMIF(куб!$E:$E,$E621,куб!K:K),IF($D621&lt;&gt;0,SUMIF(куб!$D:$D,$D621,куб!K:K),IF($C621&lt;&gt;0,SUMIF(куб!$C:$C,$C621,куб!K:K),IF($B621&lt;&gt;0,SUMIF(куб!$B:$B,$B621,куб!K:K))))))</f>
        <v>0</v>
      </c>
      <c r="R621" s="13" t="str">
        <f t="shared" si="205"/>
        <v>-</v>
      </c>
      <c r="S621" s="5"/>
      <c r="T621" s="27" t="b">
        <f>IF($G621&lt;&gt;0,SUMIF(куб!$G:$G,$G621,куб!L:L),IF($E621&lt;&gt;0,SUMIF(куб!$E:$E,$E621,куб!L:L),IF($D621&lt;&gt;0,SUMIF(куб!$D:$D,$D621,куб!L:L),IF($C621&lt;&gt;0,SUMIF(куб!$C:$C,$C621,куб!L:L),IF($B621&lt;&gt;0,SUMIF(куб!$B:$B,$B621,куб!L:L))))))</f>
        <v>0</v>
      </c>
      <c r="U621" s="27" t="b">
        <f>IF($G621&lt;&gt;0,SUMIF(куб!$G:$G,$G621,куб!M:M),IF($E621&lt;&gt;0,SUMIF(куб!$E:$E,$E621,куб!M:M),IF($D621&lt;&gt;0,SUMIF(куб!$D:$D,$D621,куб!M:M),IF($C621&lt;&gt;0,SUMIF(куб!$C:$C,$C621,куб!M:M),IF($B621&lt;&gt;0,SUMIF(куб!$B:$B,$B621,куб!M:M))))))</f>
        <v>0</v>
      </c>
      <c r="V621" s="13" t="str">
        <f t="shared" si="206"/>
        <v>-</v>
      </c>
      <c r="W621" s="5"/>
      <c r="X621" s="27" t="b">
        <f>IF($G621&lt;&gt;0,SUMIF(куб!$G:$G,$G621,куб!N:N),IF($E621&lt;&gt;0,SUMIF(куб!$E:$E,$E621,куб!N:N),IF($D621&lt;&gt;0,SUMIF(куб!$D:$D,$D621,куб!N:N),IF($C621&lt;&gt;0,SUMIF(куб!$C:$C,$C621,куб!N:N),IF($B621&lt;&gt;0,SUMIF(куб!$B:$B,$B621,куб!N:N))))))</f>
        <v>0</v>
      </c>
      <c r="Y621" s="27" t="b">
        <f>IF($G621&lt;&gt;0,SUMIF(куб!$G:$G,$G621,куб!O:O),IF($E621&lt;&gt;0,SUMIF(куб!$E:$E,$E621,куб!O:O),IF($D621&lt;&gt;0,SUMIF(куб!$D:$D,$D621,куб!O:O),IF($C621&lt;&gt;0,SUMIF(куб!$C:$C,$C621,куб!O:O),IF($B621&lt;&gt;0,SUMIF(куб!$B:$B,$B621,куб!O:O))))))</f>
        <v>0</v>
      </c>
      <c r="Z621" s="13" t="str">
        <f t="shared" si="207"/>
        <v>-</v>
      </c>
      <c r="AA621" s="5"/>
      <c r="AB621" s="33" t="str">
        <f t="shared" si="208"/>
        <v/>
      </c>
      <c r="AC621" s="33" t="str">
        <f t="shared" si="209"/>
        <v/>
      </c>
      <c r="AD621" s="15" t="str">
        <f t="shared" si="210"/>
        <v xml:space="preserve"> </v>
      </c>
      <c r="AE621" s="5"/>
      <c r="AF621" s="27" t="b">
        <f>IF($G621&lt;&gt;0,SUMIF(куб!$G:$G,$G621,куб!R:R),IF($E621&lt;&gt;0,SUMIF(куб!$E:$E,$E621,куб!R:R),IF($D621&lt;&gt;0,SUMIF(куб!$D:$D,$D621,куб!R:R),IF($C621&lt;&gt;0,SUMIF(куб!$C:$C,$C621,куб!R:R),IF($B621&lt;&gt;0,SUMIF(куб!$B:$B,$B621,куб!R:R))))))</f>
        <v>0</v>
      </c>
      <c r="AG621" s="27" t="b">
        <f>IF($G621&lt;&gt;0,SUMIF(куб!$G:$G,$G621,куб!S:S),IF($E621&lt;&gt;0,SUMIF(куб!$E:$E,$E621,куб!S:S),IF($D621&lt;&gt;0,SUMIF(куб!$D:$D,$D621,куб!S:S),IF($C621&lt;&gt;0,SUMIF(куб!$C:$C,$C621,куб!S:S),IF($B621&lt;&gt;0,SUMIF(куб!$B:$B,$B621,куб!S:S))))))</f>
        <v>0</v>
      </c>
      <c r="AH621" s="16" t="str">
        <f t="shared" si="211"/>
        <v>-</v>
      </c>
      <c r="AI621" s="8"/>
      <c r="AJ621" s="27" t="b">
        <f>IF($G621&lt;&gt;0,SUMIF(куб!$G:$G,$G621,куб!T:T),IF($E621&lt;&gt;0,SUMIF(куб!$E:$E,$E621,куб!T:T),IF($D621&lt;&gt;0,SUMIF(куб!$D:$D,$D621,куб!T:T),IF($C621&lt;&gt;0,SUMIF(куб!$C:$C,$C621,куб!T:T),IF($B621&lt;&gt;0,SUMIF(куб!$B:$B,$B621,куб!T:T))))))</f>
        <v>0</v>
      </c>
      <c r="AK621" s="27" t="b">
        <f>IF($G621&lt;&gt;0,SUMIF(куб!$G:$G,$G621,куб!U:U),IF($E621&lt;&gt;0,SUMIF(куб!$E:$E,$E621,куб!U:U),IF($D621&lt;&gt;0,SUMIF(куб!$D:$D,$D621,куб!U:U),IF($C621&lt;&gt;0,SUMIF(куб!$C:$C,$C621,куб!U:U),IF($B621&lt;&gt;0,SUMIF(куб!$B:$B,$B621,куб!U:U))))))</f>
        <v>0</v>
      </c>
      <c r="AL621" s="16" t="str">
        <f t="shared" si="212"/>
        <v>-</v>
      </c>
      <c r="AM621" s="8"/>
      <c r="AN621" s="17" t="str">
        <f t="shared" si="213"/>
        <v xml:space="preserve"> </v>
      </c>
      <c r="AO621" s="17" t="str">
        <f t="shared" si="214"/>
        <v xml:space="preserve"> </v>
      </c>
      <c r="AP621" s="16" t="str">
        <f t="shared" si="215"/>
        <v>-</v>
      </c>
      <c r="AQ621" s="8"/>
      <c r="AR621" s="17" t="str">
        <f t="shared" si="216"/>
        <v>-</v>
      </c>
      <c r="AS621" s="17" t="str">
        <f t="shared" si="217"/>
        <v>-</v>
      </c>
      <c r="AT621" s="13" t="str">
        <f t="shared" si="218"/>
        <v>-</v>
      </c>
      <c r="AU621" s="8"/>
    </row>
    <row r="622" spans="1:47" x14ac:dyDescent="0.25">
      <c r="A622" s="31"/>
      <c r="B622" s="31"/>
      <c r="C622"/>
      <c r="D622" s="31"/>
      <c r="E622"/>
      <c r="F622" s="31"/>
      <c r="G622"/>
      <c r="H622" s="27">
        <f>IF($G622&lt;&gt;0,SUMIF(куб!$G:$G,$G622,куб!H:H),IF($E622&lt;&gt;0,SUMIF(куб!$E:$E,$E622,куб!H:H),IF($D622&lt;&gt;0,SUMIF(куб!$D:$D,$D622,куб!H:H),IF($C622&lt;&gt;0,SUMIF(куб!$C:$C,$C622,куб!H:H),IF($B622&lt;&gt;0,SUMIF(куб!$B:$B,$B622,куб!H:H),IF($G622&lt;&gt;0,SUMIF(куб!$A:$A,$G622,куб!H:H),SUMIF(куб!$A:$A,$G622,куб!H:H)))))))</f>
        <v>0</v>
      </c>
      <c r="I622" s="27">
        <f>IF($G622&lt;&gt;0,SUMIF(куб!$G:$G,$G622,куб!I:I),IF($E622&lt;&gt;0,SUMIF(куб!$E:$E,$E622,куб!I:I),IF($D622&lt;&gt;0,SUMIF(куб!$D:$D,$D622,куб!I:I),IF($C622&lt;&gt;0,SUMIF(куб!$C:$C,$C622,куб!I:I),IF($B622&lt;&gt;0,SUMIF(куб!$B:$B,$B622,куб!I:I),IF($G622&lt;&gt;0,SUMIF(куб!$A:$A,$G622,куб!I:I),SUMIF(куб!$A:$A,$G622,куб!I:I)))))))</f>
        <v>0</v>
      </c>
      <c r="J622" s="19" t="str">
        <f t="shared" si="201"/>
        <v>-</v>
      </c>
      <c r="K622" s="8"/>
      <c r="L622" s="17">
        <f t="shared" si="202"/>
        <v>0</v>
      </c>
      <c r="M622" s="17">
        <f t="shared" si="203"/>
        <v>0</v>
      </c>
      <c r="N622" s="12">
        <f t="shared" si="204"/>
        <v>0</v>
      </c>
      <c r="O622" s="5"/>
      <c r="P622" s="27" t="b">
        <f>IF($G622&lt;&gt;0,SUMIF(куб!$G:$G,$G622,куб!J:J),IF($E622&lt;&gt;0,SUMIF(куб!$E:$E,$E622,куб!J:J),IF($D622&lt;&gt;0,SUMIF(куб!$D:$D,$D622,куб!J:J),IF($C622&lt;&gt;0,SUMIF(куб!$C:$C,$C622,куб!J:J),IF($B622&lt;&gt;0,SUMIF(куб!$B:$B,$B622,куб!J:J))))))</f>
        <v>0</v>
      </c>
      <c r="Q622" s="27" t="b">
        <f>IF($G622&lt;&gt;0,SUMIF(куб!$G:$G,$G622,куб!K:K),IF($E622&lt;&gt;0,SUMIF(куб!$E:$E,$E622,куб!K:K),IF($D622&lt;&gt;0,SUMIF(куб!$D:$D,$D622,куб!K:K),IF($C622&lt;&gt;0,SUMIF(куб!$C:$C,$C622,куб!K:K),IF($B622&lt;&gt;0,SUMIF(куб!$B:$B,$B622,куб!K:K))))))</f>
        <v>0</v>
      </c>
      <c r="R622" s="13" t="str">
        <f t="shared" si="205"/>
        <v>-</v>
      </c>
      <c r="S622" s="5"/>
      <c r="T622" s="27" t="b">
        <f>IF($G622&lt;&gt;0,SUMIF(куб!$G:$G,$G622,куб!L:L),IF($E622&lt;&gt;0,SUMIF(куб!$E:$E,$E622,куб!L:L),IF($D622&lt;&gt;0,SUMIF(куб!$D:$D,$D622,куб!L:L),IF($C622&lt;&gt;0,SUMIF(куб!$C:$C,$C622,куб!L:L),IF($B622&lt;&gt;0,SUMIF(куб!$B:$B,$B622,куб!L:L))))))</f>
        <v>0</v>
      </c>
      <c r="U622" s="27" t="b">
        <f>IF($G622&lt;&gt;0,SUMIF(куб!$G:$G,$G622,куб!M:M),IF($E622&lt;&gt;0,SUMIF(куб!$E:$E,$E622,куб!M:M),IF($D622&lt;&gt;0,SUMIF(куб!$D:$D,$D622,куб!M:M),IF($C622&lt;&gt;0,SUMIF(куб!$C:$C,$C622,куб!M:M),IF($B622&lt;&gt;0,SUMIF(куб!$B:$B,$B622,куб!M:M))))))</f>
        <v>0</v>
      </c>
      <c r="V622" s="13" t="str">
        <f t="shared" si="206"/>
        <v>-</v>
      </c>
      <c r="W622" s="5"/>
      <c r="X622" s="27" t="b">
        <f>IF($G622&lt;&gt;0,SUMIF(куб!$G:$G,$G622,куб!N:N),IF($E622&lt;&gt;0,SUMIF(куб!$E:$E,$E622,куб!N:N),IF($D622&lt;&gt;0,SUMIF(куб!$D:$D,$D622,куб!N:N),IF($C622&lt;&gt;0,SUMIF(куб!$C:$C,$C622,куб!N:N),IF($B622&lt;&gt;0,SUMIF(куб!$B:$B,$B622,куб!N:N))))))</f>
        <v>0</v>
      </c>
      <c r="Y622" s="27" t="b">
        <f>IF($G622&lt;&gt;0,SUMIF(куб!$G:$G,$G622,куб!O:O),IF($E622&lt;&gt;0,SUMIF(куб!$E:$E,$E622,куб!O:O),IF($D622&lt;&gt;0,SUMIF(куб!$D:$D,$D622,куб!O:O),IF($C622&lt;&gt;0,SUMIF(куб!$C:$C,$C622,куб!O:O),IF($B622&lt;&gt;0,SUMIF(куб!$B:$B,$B622,куб!O:O))))))</f>
        <v>0</v>
      </c>
      <c r="Z622" s="13" t="str">
        <f t="shared" si="207"/>
        <v>-</v>
      </c>
      <c r="AA622" s="5"/>
      <c r="AB622" s="33" t="str">
        <f t="shared" si="208"/>
        <v/>
      </c>
      <c r="AC622" s="33" t="str">
        <f t="shared" si="209"/>
        <v/>
      </c>
      <c r="AD622" s="15" t="str">
        <f t="shared" si="210"/>
        <v xml:space="preserve"> </v>
      </c>
      <c r="AE622" s="5"/>
      <c r="AF622" s="27" t="b">
        <f>IF($G622&lt;&gt;0,SUMIF(куб!$G:$G,$G622,куб!R:R),IF($E622&lt;&gt;0,SUMIF(куб!$E:$E,$E622,куб!R:R),IF($D622&lt;&gt;0,SUMIF(куб!$D:$D,$D622,куб!R:R),IF($C622&lt;&gt;0,SUMIF(куб!$C:$C,$C622,куб!R:R),IF($B622&lt;&gt;0,SUMIF(куб!$B:$B,$B622,куб!R:R))))))</f>
        <v>0</v>
      </c>
      <c r="AG622" s="27" t="b">
        <f>IF($G622&lt;&gt;0,SUMIF(куб!$G:$G,$G622,куб!S:S),IF($E622&lt;&gt;0,SUMIF(куб!$E:$E,$E622,куб!S:S),IF($D622&lt;&gt;0,SUMIF(куб!$D:$D,$D622,куб!S:S),IF($C622&lt;&gt;0,SUMIF(куб!$C:$C,$C622,куб!S:S),IF($B622&lt;&gt;0,SUMIF(куб!$B:$B,$B622,куб!S:S))))))</f>
        <v>0</v>
      </c>
      <c r="AH622" s="16" t="str">
        <f t="shared" si="211"/>
        <v>-</v>
      </c>
      <c r="AI622" s="8"/>
      <c r="AJ622" s="27" t="b">
        <f>IF($G622&lt;&gt;0,SUMIF(куб!$G:$G,$G622,куб!T:T),IF($E622&lt;&gt;0,SUMIF(куб!$E:$E,$E622,куб!T:T),IF($D622&lt;&gt;0,SUMIF(куб!$D:$D,$D622,куб!T:T),IF($C622&lt;&gt;0,SUMIF(куб!$C:$C,$C622,куб!T:T),IF($B622&lt;&gt;0,SUMIF(куб!$B:$B,$B622,куб!T:T))))))</f>
        <v>0</v>
      </c>
      <c r="AK622" s="27" t="b">
        <f>IF($G622&lt;&gt;0,SUMIF(куб!$G:$G,$G622,куб!U:U),IF($E622&lt;&gt;0,SUMIF(куб!$E:$E,$E622,куб!U:U),IF($D622&lt;&gt;0,SUMIF(куб!$D:$D,$D622,куб!U:U),IF($C622&lt;&gt;0,SUMIF(куб!$C:$C,$C622,куб!U:U),IF($B622&lt;&gt;0,SUMIF(куб!$B:$B,$B622,куб!U:U))))))</f>
        <v>0</v>
      </c>
      <c r="AL622" s="16" t="str">
        <f t="shared" si="212"/>
        <v>-</v>
      </c>
      <c r="AM622" s="8"/>
      <c r="AN622" s="17" t="str">
        <f t="shared" si="213"/>
        <v xml:space="preserve"> </v>
      </c>
      <c r="AO622" s="17" t="str">
        <f t="shared" si="214"/>
        <v xml:space="preserve"> </v>
      </c>
      <c r="AP622" s="16" t="str">
        <f t="shared" si="215"/>
        <v>-</v>
      </c>
      <c r="AQ622" s="8"/>
      <c r="AR622" s="17" t="str">
        <f t="shared" si="216"/>
        <v>-</v>
      </c>
      <c r="AS622" s="17" t="str">
        <f t="shared" si="217"/>
        <v>-</v>
      </c>
      <c r="AT622" s="13" t="str">
        <f t="shared" si="218"/>
        <v>-</v>
      </c>
      <c r="AU622" s="8"/>
    </row>
    <row r="623" spans="1:47" x14ac:dyDescent="0.25">
      <c r="A623" s="31"/>
      <c r="B623" s="31"/>
      <c r="C623"/>
      <c r="D623" s="31"/>
      <c r="E623"/>
      <c r="F623" s="31"/>
      <c r="G623"/>
      <c r="H623" s="27">
        <f>IF($G623&lt;&gt;0,SUMIF(куб!$G:$G,$G623,куб!H:H),IF($E623&lt;&gt;0,SUMIF(куб!$E:$E,$E623,куб!H:H),IF($D623&lt;&gt;0,SUMIF(куб!$D:$D,$D623,куб!H:H),IF($C623&lt;&gt;0,SUMIF(куб!$C:$C,$C623,куб!H:H),IF($B623&lt;&gt;0,SUMIF(куб!$B:$B,$B623,куб!H:H),IF($G623&lt;&gt;0,SUMIF(куб!$A:$A,$G623,куб!H:H),SUMIF(куб!$A:$A,$G623,куб!H:H)))))))</f>
        <v>0</v>
      </c>
      <c r="I623" s="27">
        <f>IF($G623&lt;&gt;0,SUMIF(куб!$G:$G,$G623,куб!I:I),IF($E623&lt;&gt;0,SUMIF(куб!$E:$E,$E623,куб!I:I),IF($D623&lt;&gt;0,SUMIF(куб!$D:$D,$D623,куб!I:I),IF($C623&lt;&gt;0,SUMIF(куб!$C:$C,$C623,куб!I:I),IF($B623&lt;&gt;0,SUMIF(куб!$B:$B,$B623,куб!I:I),IF($G623&lt;&gt;0,SUMIF(куб!$A:$A,$G623,куб!I:I),SUMIF(куб!$A:$A,$G623,куб!I:I)))))))</f>
        <v>0</v>
      </c>
      <c r="J623" s="19" t="str">
        <f t="shared" si="201"/>
        <v>-</v>
      </c>
      <c r="K623" s="8"/>
      <c r="L623" s="17">
        <f t="shared" si="202"/>
        <v>0</v>
      </c>
      <c r="M623" s="17">
        <f t="shared" si="203"/>
        <v>0</v>
      </c>
      <c r="N623" s="12">
        <f t="shared" si="204"/>
        <v>0</v>
      </c>
      <c r="O623" s="5"/>
      <c r="P623" s="27" t="b">
        <f>IF($G623&lt;&gt;0,SUMIF(куб!$G:$G,$G623,куб!J:J),IF($E623&lt;&gt;0,SUMIF(куб!$E:$E,$E623,куб!J:J),IF($D623&lt;&gt;0,SUMIF(куб!$D:$D,$D623,куб!J:J),IF($C623&lt;&gt;0,SUMIF(куб!$C:$C,$C623,куб!J:J),IF($B623&lt;&gt;0,SUMIF(куб!$B:$B,$B623,куб!J:J))))))</f>
        <v>0</v>
      </c>
      <c r="Q623" s="27" t="b">
        <f>IF($G623&lt;&gt;0,SUMIF(куб!$G:$G,$G623,куб!K:K),IF($E623&lt;&gt;0,SUMIF(куб!$E:$E,$E623,куб!K:K),IF($D623&lt;&gt;0,SUMIF(куб!$D:$D,$D623,куб!K:K),IF($C623&lt;&gt;0,SUMIF(куб!$C:$C,$C623,куб!K:K),IF($B623&lt;&gt;0,SUMIF(куб!$B:$B,$B623,куб!K:K))))))</f>
        <v>0</v>
      </c>
      <c r="R623" s="13" t="str">
        <f t="shared" si="205"/>
        <v>-</v>
      </c>
      <c r="S623" s="5"/>
      <c r="T623" s="27" t="b">
        <f>IF($G623&lt;&gt;0,SUMIF(куб!$G:$G,$G623,куб!L:L),IF($E623&lt;&gt;0,SUMIF(куб!$E:$E,$E623,куб!L:L),IF($D623&lt;&gt;0,SUMIF(куб!$D:$D,$D623,куб!L:L),IF($C623&lt;&gt;0,SUMIF(куб!$C:$C,$C623,куб!L:L),IF($B623&lt;&gt;0,SUMIF(куб!$B:$B,$B623,куб!L:L))))))</f>
        <v>0</v>
      </c>
      <c r="U623" s="27" t="b">
        <f>IF($G623&lt;&gt;0,SUMIF(куб!$G:$G,$G623,куб!M:M),IF($E623&lt;&gt;0,SUMIF(куб!$E:$E,$E623,куб!M:M),IF($D623&lt;&gt;0,SUMIF(куб!$D:$D,$D623,куб!M:M),IF($C623&lt;&gt;0,SUMIF(куб!$C:$C,$C623,куб!M:M),IF($B623&lt;&gt;0,SUMIF(куб!$B:$B,$B623,куб!M:M))))))</f>
        <v>0</v>
      </c>
      <c r="V623" s="13" t="str">
        <f t="shared" si="206"/>
        <v>-</v>
      </c>
      <c r="W623" s="5"/>
      <c r="X623" s="27" t="b">
        <f>IF($G623&lt;&gt;0,SUMIF(куб!$G:$G,$G623,куб!N:N),IF($E623&lt;&gt;0,SUMIF(куб!$E:$E,$E623,куб!N:N),IF($D623&lt;&gt;0,SUMIF(куб!$D:$D,$D623,куб!N:N),IF($C623&lt;&gt;0,SUMIF(куб!$C:$C,$C623,куб!N:N),IF($B623&lt;&gt;0,SUMIF(куб!$B:$B,$B623,куб!N:N))))))</f>
        <v>0</v>
      </c>
      <c r="Y623" s="27" t="b">
        <f>IF($G623&lt;&gt;0,SUMIF(куб!$G:$G,$G623,куб!O:O),IF($E623&lt;&gt;0,SUMIF(куб!$E:$E,$E623,куб!O:O),IF($D623&lt;&gt;0,SUMIF(куб!$D:$D,$D623,куб!O:O),IF($C623&lt;&gt;0,SUMIF(куб!$C:$C,$C623,куб!O:O),IF($B623&lt;&gt;0,SUMIF(куб!$B:$B,$B623,куб!O:O))))))</f>
        <v>0</v>
      </c>
      <c r="Z623" s="13" t="str">
        <f t="shared" si="207"/>
        <v>-</v>
      </c>
      <c r="AA623" s="5"/>
      <c r="AB623" s="33" t="str">
        <f t="shared" si="208"/>
        <v/>
      </c>
      <c r="AC623" s="33" t="str">
        <f t="shared" si="209"/>
        <v/>
      </c>
      <c r="AD623" s="15" t="str">
        <f t="shared" si="210"/>
        <v xml:space="preserve"> </v>
      </c>
      <c r="AE623" s="5"/>
      <c r="AF623" s="27" t="b">
        <f>IF($G623&lt;&gt;0,SUMIF(куб!$G:$G,$G623,куб!R:R),IF($E623&lt;&gt;0,SUMIF(куб!$E:$E,$E623,куб!R:R),IF($D623&lt;&gt;0,SUMIF(куб!$D:$D,$D623,куб!R:R),IF($C623&lt;&gt;0,SUMIF(куб!$C:$C,$C623,куб!R:R),IF($B623&lt;&gt;0,SUMIF(куб!$B:$B,$B623,куб!R:R))))))</f>
        <v>0</v>
      </c>
      <c r="AG623" s="27" t="b">
        <f>IF($G623&lt;&gt;0,SUMIF(куб!$G:$G,$G623,куб!S:S),IF($E623&lt;&gt;0,SUMIF(куб!$E:$E,$E623,куб!S:S),IF($D623&lt;&gt;0,SUMIF(куб!$D:$D,$D623,куб!S:S),IF($C623&lt;&gt;0,SUMIF(куб!$C:$C,$C623,куб!S:S),IF($B623&lt;&gt;0,SUMIF(куб!$B:$B,$B623,куб!S:S))))))</f>
        <v>0</v>
      </c>
      <c r="AH623" s="16" t="str">
        <f t="shared" si="211"/>
        <v>-</v>
      </c>
      <c r="AI623" s="8"/>
      <c r="AJ623" s="27" t="b">
        <f>IF($G623&lt;&gt;0,SUMIF(куб!$G:$G,$G623,куб!T:T),IF($E623&lt;&gt;0,SUMIF(куб!$E:$E,$E623,куб!T:T),IF($D623&lt;&gt;0,SUMIF(куб!$D:$D,$D623,куб!T:T),IF($C623&lt;&gt;0,SUMIF(куб!$C:$C,$C623,куб!T:T),IF($B623&lt;&gt;0,SUMIF(куб!$B:$B,$B623,куб!T:T))))))</f>
        <v>0</v>
      </c>
      <c r="AK623" s="27" t="b">
        <f>IF($G623&lt;&gt;0,SUMIF(куб!$G:$G,$G623,куб!U:U),IF($E623&lt;&gt;0,SUMIF(куб!$E:$E,$E623,куб!U:U),IF($D623&lt;&gt;0,SUMIF(куб!$D:$D,$D623,куб!U:U),IF($C623&lt;&gt;0,SUMIF(куб!$C:$C,$C623,куб!U:U),IF($B623&lt;&gt;0,SUMIF(куб!$B:$B,$B623,куб!U:U))))))</f>
        <v>0</v>
      </c>
      <c r="AL623" s="16" t="str">
        <f t="shared" si="212"/>
        <v>-</v>
      </c>
      <c r="AM623" s="8"/>
      <c r="AN623" s="17" t="str">
        <f t="shared" si="213"/>
        <v xml:space="preserve"> </v>
      </c>
      <c r="AO623" s="17" t="str">
        <f t="shared" si="214"/>
        <v xml:space="preserve"> </v>
      </c>
      <c r="AP623" s="16" t="str">
        <f t="shared" si="215"/>
        <v>-</v>
      </c>
      <c r="AQ623" s="8"/>
      <c r="AR623" s="17" t="str">
        <f t="shared" si="216"/>
        <v>-</v>
      </c>
      <c r="AS623" s="17" t="str">
        <f t="shared" si="217"/>
        <v>-</v>
      </c>
      <c r="AT623" s="13" t="str">
        <f t="shared" si="218"/>
        <v>-</v>
      </c>
      <c r="AU623" s="8"/>
    </row>
    <row r="624" spans="1:47" x14ac:dyDescent="0.25">
      <c r="A624" s="31"/>
      <c r="B624" s="31"/>
      <c r="C624"/>
      <c r="D624" s="31"/>
      <c r="E624"/>
      <c r="F624" s="31"/>
      <c r="G624"/>
      <c r="H624" s="27">
        <f>IF($G624&lt;&gt;0,SUMIF(куб!$G:$G,$G624,куб!H:H),IF($E624&lt;&gt;0,SUMIF(куб!$E:$E,$E624,куб!H:H),IF($D624&lt;&gt;0,SUMIF(куб!$D:$D,$D624,куб!H:H),IF($C624&lt;&gt;0,SUMIF(куб!$C:$C,$C624,куб!H:H),IF($B624&lt;&gt;0,SUMIF(куб!$B:$B,$B624,куб!H:H),IF($G624&lt;&gt;0,SUMIF(куб!$A:$A,$G624,куб!H:H),SUMIF(куб!$A:$A,$G624,куб!H:H)))))))</f>
        <v>0</v>
      </c>
      <c r="I624" s="27">
        <f>IF($G624&lt;&gt;0,SUMIF(куб!$G:$G,$G624,куб!I:I),IF($E624&lt;&gt;0,SUMIF(куб!$E:$E,$E624,куб!I:I),IF($D624&lt;&gt;0,SUMIF(куб!$D:$D,$D624,куб!I:I),IF($C624&lt;&gt;0,SUMIF(куб!$C:$C,$C624,куб!I:I),IF($B624&lt;&gt;0,SUMIF(куб!$B:$B,$B624,куб!I:I),IF($G624&lt;&gt;0,SUMIF(куб!$A:$A,$G624,куб!I:I),SUMIF(куб!$A:$A,$G624,куб!I:I)))))))</f>
        <v>0</v>
      </c>
      <c r="J624" s="19" t="str">
        <f t="shared" si="201"/>
        <v>-</v>
      </c>
      <c r="K624" s="8"/>
      <c r="L624" s="17">
        <f t="shared" si="202"/>
        <v>0</v>
      </c>
      <c r="M624" s="17">
        <f t="shared" si="203"/>
        <v>0</v>
      </c>
      <c r="N624" s="12">
        <f t="shared" si="204"/>
        <v>0</v>
      </c>
      <c r="O624" s="5"/>
      <c r="P624" s="27" t="b">
        <f>IF($G624&lt;&gt;0,SUMIF(куб!$G:$G,$G624,куб!J:J),IF($E624&lt;&gt;0,SUMIF(куб!$E:$E,$E624,куб!J:J),IF($D624&lt;&gt;0,SUMIF(куб!$D:$D,$D624,куб!J:J),IF($C624&lt;&gt;0,SUMIF(куб!$C:$C,$C624,куб!J:J),IF($B624&lt;&gt;0,SUMIF(куб!$B:$B,$B624,куб!J:J))))))</f>
        <v>0</v>
      </c>
      <c r="Q624" s="27" t="b">
        <f>IF($G624&lt;&gt;0,SUMIF(куб!$G:$G,$G624,куб!K:K),IF($E624&lt;&gt;0,SUMIF(куб!$E:$E,$E624,куб!K:K),IF($D624&lt;&gt;0,SUMIF(куб!$D:$D,$D624,куб!K:K),IF($C624&lt;&gt;0,SUMIF(куб!$C:$C,$C624,куб!K:K),IF($B624&lt;&gt;0,SUMIF(куб!$B:$B,$B624,куб!K:K))))))</f>
        <v>0</v>
      </c>
      <c r="R624" s="13" t="str">
        <f t="shared" si="205"/>
        <v>-</v>
      </c>
      <c r="S624" s="5"/>
      <c r="T624" s="27" t="b">
        <f>IF($G624&lt;&gt;0,SUMIF(куб!$G:$G,$G624,куб!L:L),IF($E624&lt;&gt;0,SUMIF(куб!$E:$E,$E624,куб!L:L),IF($D624&lt;&gt;0,SUMIF(куб!$D:$D,$D624,куб!L:L),IF($C624&lt;&gt;0,SUMIF(куб!$C:$C,$C624,куб!L:L),IF($B624&lt;&gt;0,SUMIF(куб!$B:$B,$B624,куб!L:L))))))</f>
        <v>0</v>
      </c>
      <c r="U624" s="27" t="b">
        <f>IF($G624&lt;&gt;0,SUMIF(куб!$G:$G,$G624,куб!M:M),IF($E624&lt;&gt;0,SUMIF(куб!$E:$E,$E624,куб!M:M),IF($D624&lt;&gt;0,SUMIF(куб!$D:$D,$D624,куб!M:M),IF($C624&lt;&gt;0,SUMIF(куб!$C:$C,$C624,куб!M:M),IF($B624&lt;&gt;0,SUMIF(куб!$B:$B,$B624,куб!M:M))))))</f>
        <v>0</v>
      </c>
      <c r="V624" s="13" t="str">
        <f t="shared" si="206"/>
        <v>-</v>
      </c>
      <c r="W624" s="5"/>
      <c r="X624" s="27" t="b">
        <f>IF($G624&lt;&gt;0,SUMIF(куб!$G:$G,$G624,куб!N:N),IF($E624&lt;&gt;0,SUMIF(куб!$E:$E,$E624,куб!N:N),IF($D624&lt;&gt;0,SUMIF(куб!$D:$D,$D624,куб!N:N),IF($C624&lt;&gt;0,SUMIF(куб!$C:$C,$C624,куб!N:N),IF($B624&lt;&gt;0,SUMIF(куб!$B:$B,$B624,куб!N:N))))))</f>
        <v>0</v>
      </c>
      <c r="Y624" s="27" t="b">
        <f>IF($G624&lt;&gt;0,SUMIF(куб!$G:$G,$G624,куб!O:O),IF($E624&lt;&gt;0,SUMIF(куб!$E:$E,$E624,куб!O:O),IF($D624&lt;&gt;0,SUMIF(куб!$D:$D,$D624,куб!O:O),IF($C624&lt;&gt;0,SUMIF(куб!$C:$C,$C624,куб!O:O),IF($B624&lt;&gt;0,SUMIF(куб!$B:$B,$B624,куб!O:O))))))</f>
        <v>0</v>
      </c>
      <c r="Z624" s="13" t="str">
        <f t="shared" si="207"/>
        <v>-</v>
      </c>
      <c r="AA624" s="5"/>
      <c r="AB624" s="33" t="str">
        <f t="shared" si="208"/>
        <v/>
      </c>
      <c r="AC624" s="33" t="str">
        <f t="shared" si="209"/>
        <v/>
      </c>
      <c r="AD624" s="15" t="str">
        <f t="shared" si="210"/>
        <v xml:space="preserve"> </v>
      </c>
      <c r="AE624" s="5"/>
      <c r="AF624" s="27" t="b">
        <f>IF($G624&lt;&gt;0,SUMIF(куб!$G:$G,$G624,куб!R:R),IF($E624&lt;&gt;0,SUMIF(куб!$E:$E,$E624,куб!R:R),IF($D624&lt;&gt;0,SUMIF(куб!$D:$D,$D624,куб!R:R),IF($C624&lt;&gt;0,SUMIF(куб!$C:$C,$C624,куб!R:R),IF($B624&lt;&gt;0,SUMIF(куб!$B:$B,$B624,куб!R:R))))))</f>
        <v>0</v>
      </c>
      <c r="AG624" s="27" t="b">
        <f>IF($G624&lt;&gt;0,SUMIF(куб!$G:$G,$G624,куб!S:S),IF($E624&lt;&gt;0,SUMIF(куб!$E:$E,$E624,куб!S:S),IF($D624&lt;&gt;0,SUMIF(куб!$D:$D,$D624,куб!S:S),IF($C624&lt;&gt;0,SUMIF(куб!$C:$C,$C624,куб!S:S),IF($B624&lt;&gt;0,SUMIF(куб!$B:$B,$B624,куб!S:S))))))</f>
        <v>0</v>
      </c>
      <c r="AH624" s="16" t="str">
        <f t="shared" si="211"/>
        <v>-</v>
      </c>
      <c r="AI624" s="8"/>
      <c r="AJ624" s="27" t="b">
        <f>IF($G624&lt;&gt;0,SUMIF(куб!$G:$G,$G624,куб!T:T),IF($E624&lt;&gt;0,SUMIF(куб!$E:$E,$E624,куб!T:T),IF($D624&lt;&gt;0,SUMIF(куб!$D:$D,$D624,куб!T:T),IF($C624&lt;&gt;0,SUMIF(куб!$C:$C,$C624,куб!T:T),IF($B624&lt;&gt;0,SUMIF(куб!$B:$B,$B624,куб!T:T))))))</f>
        <v>0</v>
      </c>
      <c r="AK624" s="27" t="b">
        <f>IF($G624&lt;&gt;0,SUMIF(куб!$G:$G,$G624,куб!U:U),IF($E624&lt;&gt;0,SUMIF(куб!$E:$E,$E624,куб!U:U),IF($D624&lt;&gt;0,SUMIF(куб!$D:$D,$D624,куб!U:U),IF($C624&lt;&gt;0,SUMIF(куб!$C:$C,$C624,куб!U:U),IF($B624&lt;&gt;0,SUMIF(куб!$B:$B,$B624,куб!U:U))))))</f>
        <v>0</v>
      </c>
      <c r="AL624" s="16" t="str">
        <f t="shared" si="212"/>
        <v>-</v>
      </c>
      <c r="AM624" s="8"/>
      <c r="AN624" s="17" t="str">
        <f t="shared" si="213"/>
        <v xml:space="preserve"> </v>
      </c>
      <c r="AO624" s="17" t="str">
        <f t="shared" si="214"/>
        <v xml:space="preserve"> </v>
      </c>
      <c r="AP624" s="16" t="str">
        <f t="shared" si="215"/>
        <v>-</v>
      </c>
      <c r="AQ624" s="8"/>
      <c r="AR624" s="17" t="str">
        <f t="shared" si="216"/>
        <v>-</v>
      </c>
      <c r="AS624" s="17" t="str">
        <f t="shared" si="217"/>
        <v>-</v>
      </c>
      <c r="AT624" s="13" t="str">
        <f t="shared" si="218"/>
        <v>-</v>
      </c>
      <c r="AU624" s="8"/>
    </row>
    <row r="625" spans="1:47" x14ac:dyDescent="0.25">
      <c r="A625" s="31"/>
      <c r="B625" s="31"/>
      <c r="C625"/>
      <c r="D625" s="31"/>
      <c r="E625"/>
      <c r="F625" s="31"/>
      <c r="G625"/>
      <c r="H625" s="27">
        <f>IF($G625&lt;&gt;0,SUMIF(куб!$G:$G,$G625,куб!H:H),IF($E625&lt;&gt;0,SUMIF(куб!$E:$E,$E625,куб!H:H),IF($D625&lt;&gt;0,SUMIF(куб!$D:$D,$D625,куб!H:H),IF($C625&lt;&gt;0,SUMIF(куб!$C:$C,$C625,куб!H:H),IF($B625&lt;&gt;0,SUMIF(куб!$B:$B,$B625,куб!H:H),IF($G625&lt;&gt;0,SUMIF(куб!$A:$A,$G625,куб!H:H),SUMIF(куб!$A:$A,$G625,куб!H:H)))))))</f>
        <v>0</v>
      </c>
      <c r="I625" s="27">
        <f>IF($G625&lt;&gt;0,SUMIF(куб!$G:$G,$G625,куб!I:I),IF($E625&lt;&gt;0,SUMIF(куб!$E:$E,$E625,куб!I:I),IF($D625&lt;&gt;0,SUMIF(куб!$D:$D,$D625,куб!I:I),IF($C625&lt;&gt;0,SUMIF(куб!$C:$C,$C625,куб!I:I),IF($B625&lt;&gt;0,SUMIF(куб!$B:$B,$B625,куб!I:I),IF($G625&lt;&gt;0,SUMIF(куб!$A:$A,$G625,куб!I:I),SUMIF(куб!$A:$A,$G625,куб!I:I)))))))</f>
        <v>0</v>
      </c>
      <c r="J625" s="19" t="str">
        <f t="shared" si="201"/>
        <v>-</v>
      </c>
      <c r="K625" s="8"/>
      <c r="L625" s="17">
        <f t="shared" si="202"/>
        <v>0</v>
      </c>
      <c r="M625" s="17">
        <f t="shared" si="203"/>
        <v>0</v>
      </c>
      <c r="N625" s="12">
        <f t="shared" si="204"/>
        <v>0</v>
      </c>
      <c r="O625" s="5"/>
      <c r="P625" s="27" t="b">
        <f>IF($G625&lt;&gt;0,SUMIF(куб!$G:$G,$G625,куб!J:J),IF($E625&lt;&gt;0,SUMIF(куб!$E:$E,$E625,куб!J:J),IF($D625&lt;&gt;0,SUMIF(куб!$D:$D,$D625,куб!J:J),IF($C625&lt;&gt;0,SUMIF(куб!$C:$C,$C625,куб!J:J),IF($B625&lt;&gt;0,SUMIF(куб!$B:$B,$B625,куб!J:J))))))</f>
        <v>0</v>
      </c>
      <c r="Q625" s="27" t="b">
        <f>IF($G625&lt;&gt;0,SUMIF(куб!$G:$G,$G625,куб!K:K),IF($E625&lt;&gt;0,SUMIF(куб!$E:$E,$E625,куб!K:K),IF($D625&lt;&gt;0,SUMIF(куб!$D:$D,$D625,куб!K:K),IF($C625&lt;&gt;0,SUMIF(куб!$C:$C,$C625,куб!K:K),IF($B625&lt;&gt;0,SUMIF(куб!$B:$B,$B625,куб!K:K))))))</f>
        <v>0</v>
      </c>
      <c r="R625" s="13" t="str">
        <f t="shared" si="205"/>
        <v>-</v>
      </c>
      <c r="S625" s="5"/>
      <c r="T625" s="27" t="b">
        <f>IF($G625&lt;&gt;0,SUMIF(куб!$G:$G,$G625,куб!L:L),IF($E625&lt;&gt;0,SUMIF(куб!$E:$E,$E625,куб!L:L),IF($D625&lt;&gt;0,SUMIF(куб!$D:$D,$D625,куб!L:L),IF($C625&lt;&gt;0,SUMIF(куб!$C:$C,$C625,куб!L:L),IF($B625&lt;&gt;0,SUMIF(куб!$B:$B,$B625,куб!L:L))))))</f>
        <v>0</v>
      </c>
      <c r="U625" s="27" t="b">
        <f>IF($G625&lt;&gt;0,SUMIF(куб!$G:$G,$G625,куб!M:M),IF($E625&lt;&gt;0,SUMIF(куб!$E:$E,$E625,куб!M:M),IF($D625&lt;&gt;0,SUMIF(куб!$D:$D,$D625,куб!M:M),IF($C625&lt;&gt;0,SUMIF(куб!$C:$C,$C625,куб!M:M),IF($B625&lt;&gt;0,SUMIF(куб!$B:$B,$B625,куб!M:M))))))</f>
        <v>0</v>
      </c>
      <c r="V625" s="13" t="str">
        <f t="shared" si="206"/>
        <v>-</v>
      </c>
      <c r="W625" s="5"/>
      <c r="X625" s="27" t="b">
        <f>IF($G625&lt;&gt;0,SUMIF(куб!$G:$G,$G625,куб!N:N),IF($E625&lt;&gt;0,SUMIF(куб!$E:$E,$E625,куб!N:N),IF($D625&lt;&gt;0,SUMIF(куб!$D:$D,$D625,куб!N:N),IF($C625&lt;&gt;0,SUMIF(куб!$C:$C,$C625,куб!N:N),IF($B625&lt;&gt;0,SUMIF(куб!$B:$B,$B625,куб!N:N))))))</f>
        <v>0</v>
      </c>
      <c r="Y625" s="27" t="b">
        <f>IF($G625&lt;&gt;0,SUMIF(куб!$G:$G,$G625,куб!O:O),IF($E625&lt;&gt;0,SUMIF(куб!$E:$E,$E625,куб!O:O),IF($D625&lt;&gt;0,SUMIF(куб!$D:$D,$D625,куб!O:O),IF($C625&lt;&gt;0,SUMIF(куб!$C:$C,$C625,куб!O:O),IF($B625&lt;&gt;0,SUMIF(куб!$B:$B,$B625,куб!O:O))))))</f>
        <v>0</v>
      </c>
      <c r="Z625" s="13" t="str">
        <f t="shared" si="207"/>
        <v>-</v>
      </c>
      <c r="AA625" s="5"/>
      <c r="AB625" s="33" t="str">
        <f t="shared" si="208"/>
        <v/>
      </c>
      <c r="AC625" s="33" t="str">
        <f t="shared" si="209"/>
        <v/>
      </c>
      <c r="AD625" s="15" t="str">
        <f t="shared" si="210"/>
        <v xml:space="preserve"> </v>
      </c>
      <c r="AE625" s="5"/>
      <c r="AF625" s="27" t="b">
        <f>IF($G625&lt;&gt;0,SUMIF(куб!$G:$G,$G625,куб!R:R),IF($E625&lt;&gt;0,SUMIF(куб!$E:$E,$E625,куб!R:R),IF($D625&lt;&gt;0,SUMIF(куб!$D:$D,$D625,куб!R:R),IF($C625&lt;&gt;0,SUMIF(куб!$C:$C,$C625,куб!R:R),IF($B625&lt;&gt;0,SUMIF(куб!$B:$B,$B625,куб!R:R))))))</f>
        <v>0</v>
      </c>
      <c r="AG625" s="27" t="b">
        <f>IF($G625&lt;&gt;0,SUMIF(куб!$G:$G,$G625,куб!S:S),IF($E625&lt;&gt;0,SUMIF(куб!$E:$E,$E625,куб!S:S),IF($D625&lt;&gt;0,SUMIF(куб!$D:$D,$D625,куб!S:S),IF($C625&lt;&gt;0,SUMIF(куб!$C:$C,$C625,куб!S:S),IF($B625&lt;&gt;0,SUMIF(куб!$B:$B,$B625,куб!S:S))))))</f>
        <v>0</v>
      </c>
      <c r="AH625" s="16" t="str">
        <f t="shared" si="211"/>
        <v>-</v>
      </c>
      <c r="AI625" s="8"/>
      <c r="AJ625" s="27" t="b">
        <f>IF($G625&lt;&gt;0,SUMIF(куб!$G:$G,$G625,куб!T:T),IF($E625&lt;&gt;0,SUMIF(куб!$E:$E,$E625,куб!T:T),IF($D625&lt;&gt;0,SUMIF(куб!$D:$D,$D625,куб!T:T),IF($C625&lt;&gt;0,SUMIF(куб!$C:$C,$C625,куб!T:T),IF($B625&lt;&gt;0,SUMIF(куб!$B:$B,$B625,куб!T:T))))))</f>
        <v>0</v>
      </c>
      <c r="AK625" s="27" t="b">
        <f>IF($G625&lt;&gt;0,SUMIF(куб!$G:$G,$G625,куб!U:U),IF($E625&lt;&gt;0,SUMIF(куб!$E:$E,$E625,куб!U:U),IF($D625&lt;&gt;0,SUMIF(куб!$D:$D,$D625,куб!U:U),IF($C625&lt;&gt;0,SUMIF(куб!$C:$C,$C625,куб!U:U),IF($B625&lt;&gt;0,SUMIF(куб!$B:$B,$B625,куб!U:U))))))</f>
        <v>0</v>
      </c>
      <c r="AL625" s="16" t="str">
        <f t="shared" si="212"/>
        <v>-</v>
      </c>
      <c r="AM625" s="8"/>
      <c r="AN625" s="17" t="str">
        <f t="shared" si="213"/>
        <v xml:space="preserve"> </v>
      </c>
      <c r="AO625" s="17" t="str">
        <f t="shared" si="214"/>
        <v xml:space="preserve"> </v>
      </c>
      <c r="AP625" s="16" t="str">
        <f t="shared" si="215"/>
        <v>-</v>
      </c>
      <c r="AQ625" s="8"/>
      <c r="AR625" s="17" t="str">
        <f t="shared" si="216"/>
        <v>-</v>
      </c>
      <c r="AS625" s="17" t="str">
        <f t="shared" si="217"/>
        <v>-</v>
      </c>
      <c r="AT625" s="13" t="str">
        <f t="shared" si="218"/>
        <v>-</v>
      </c>
      <c r="AU625" s="8"/>
    </row>
    <row r="626" spans="1:47" x14ac:dyDescent="0.25">
      <c r="A626" s="31"/>
      <c r="B626" s="31"/>
      <c r="C626"/>
      <c r="D626" s="31"/>
      <c r="E626"/>
      <c r="F626" s="31"/>
      <c r="G626"/>
      <c r="H626" s="27">
        <f>IF($G626&lt;&gt;0,SUMIF(куб!$G:$G,$G626,куб!H:H),IF($E626&lt;&gt;0,SUMIF(куб!$E:$E,$E626,куб!H:H),IF($D626&lt;&gt;0,SUMIF(куб!$D:$D,$D626,куб!H:H),IF($C626&lt;&gt;0,SUMIF(куб!$C:$C,$C626,куб!H:H),IF($B626&lt;&gt;0,SUMIF(куб!$B:$B,$B626,куб!H:H),IF($G626&lt;&gt;0,SUMIF(куб!$A:$A,$G626,куб!H:H),SUMIF(куб!$A:$A,$G626,куб!H:H)))))))</f>
        <v>0</v>
      </c>
      <c r="I626" s="27">
        <f>IF($G626&lt;&gt;0,SUMIF(куб!$G:$G,$G626,куб!I:I),IF($E626&lt;&gt;0,SUMIF(куб!$E:$E,$E626,куб!I:I),IF($D626&lt;&gt;0,SUMIF(куб!$D:$D,$D626,куб!I:I),IF($C626&lt;&gt;0,SUMIF(куб!$C:$C,$C626,куб!I:I),IF($B626&lt;&gt;0,SUMIF(куб!$B:$B,$B626,куб!I:I),IF($G626&lt;&gt;0,SUMIF(куб!$A:$A,$G626,куб!I:I),SUMIF(куб!$A:$A,$G626,куб!I:I)))))))</f>
        <v>0</v>
      </c>
      <c r="J626" s="19" t="str">
        <f t="shared" si="201"/>
        <v>-</v>
      </c>
      <c r="K626" s="8"/>
      <c r="L626" s="17">
        <f t="shared" si="202"/>
        <v>0</v>
      </c>
      <c r="M626" s="17">
        <f t="shared" si="203"/>
        <v>0</v>
      </c>
      <c r="N626" s="12">
        <f t="shared" si="204"/>
        <v>0</v>
      </c>
      <c r="O626" s="5"/>
      <c r="P626" s="27" t="b">
        <f>IF($G626&lt;&gt;0,SUMIF(куб!$G:$G,$G626,куб!J:J),IF($E626&lt;&gt;0,SUMIF(куб!$E:$E,$E626,куб!J:J),IF($D626&lt;&gt;0,SUMIF(куб!$D:$D,$D626,куб!J:J),IF($C626&lt;&gt;0,SUMIF(куб!$C:$C,$C626,куб!J:J),IF($B626&lt;&gt;0,SUMIF(куб!$B:$B,$B626,куб!J:J))))))</f>
        <v>0</v>
      </c>
      <c r="Q626" s="27" t="b">
        <f>IF($G626&lt;&gt;0,SUMIF(куб!$G:$G,$G626,куб!K:K),IF($E626&lt;&gt;0,SUMIF(куб!$E:$E,$E626,куб!K:K),IF($D626&lt;&gt;0,SUMIF(куб!$D:$D,$D626,куб!K:K),IF($C626&lt;&gt;0,SUMIF(куб!$C:$C,$C626,куб!K:K),IF($B626&lt;&gt;0,SUMIF(куб!$B:$B,$B626,куб!K:K))))))</f>
        <v>0</v>
      </c>
      <c r="R626" s="13" t="str">
        <f t="shared" si="205"/>
        <v>-</v>
      </c>
      <c r="S626" s="5"/>
      <c r="T626" s="27" t="b">
        <f>IF($G626&lt;&gt;0,SUMIF(куб!$G:$G,$G626,куб!L:L),IF($E626&lt;&gt;0,SUMIF(куб!$E:$E,$E626,куб!L:L),IF($D626&lt;&gt;0,SUMIF(куб!$D:$D,$D626,куб!L:L),IF($C626&lt;&gt;0,SUMIF(куб!$C:$C,$C626,куб!L:L),IF($B626&lt;&gt;0,SUMIF(куб!$B:$B,$B626,куб!L:L))))))</f>
        <v>0</v>
      </c>
      <c r="U626" s="27" t="b">
        <f>IF($G626&lt;&gt;0,SUMIF(куб!$G:$G,$G626,куб!M:M),IF($E626&lt;&gt;0,SUMIF(куб!$E:$E,$E626,куб!M:M),IF($D626&lt;&gt;0,SUMIF(куб!$D:$D,$D626,куб!M:M),IF($C626&lt;&gt;0,SUMIF(куб!$C:$C,$C626,куб!M:M),IF($B626&lt;&gt;0,SUMIF(куб!$B:$B,$B626,куб!M:M))))))</f>
        <v>0</v>
      </c>
      <c r="V626" s="13" t="str">
        <f t="shared" si="206"/>
        <v>-</v>
      </c>
      <c r="W626" s="5"/>
      <c r="X626" s="27" t="b">
        <f>IF($G626&lt;&gt;0,SUMIF(куб!$G:$G,$G626,куб!N:N),IF($E626&lt;&gt;0,SUMIF(куб!$E:$E,$E626,куб!N:N),IF($D626&lt;&gt;0,SUMIF(куб!$D:$D,$D626,куб!N:N),IF($C626&lt;&gt;0,SUMIF(куб!$C:$C,$C626,куб!N:N),IF($B626&lt;&gt;0,SUMIF(куб!$B:$B,$B626,куб!N:N))))))</f>
        <v>0</v>
      </c>
      <c r="Y626" s="27" t="b">
        <f>IF($G626&lt;&gt;0,SUMIF(куб!$G:$G,$G626,куб!O:O),IF($E626&lt;&gt;0,SUMIF(куб!$E:$E,$E626,куб!O:O),IF($D626&lt;&gt;0,SUMIF(куб!$D:$D,$D626,куб!O:O),IF($C626&lt;&gt;0,SUMIF(куб!$C:$C,$C626,куб!O:O),IF($B626&lt;&gt;0,SUMIF(куб!$B:$B,$B626,куб!O:O))))))</f>
        <v>0</v>
      </c>
      <c r="Z626" s="13" t="str">
        <f t="shared" si="207"/>
        <v>-</v>
      </c>
      <c r="AA626" s="5"/>
      <c r="AB626" s="33" t="str">
        <f t="shared" si="208"/>
        <v/>
      </c>
      <c r="AC626" s="33" t="str">
        <f t="shared" si="209"/>
        <v/>
      </c>
      <c r="AD626" s="15" t="str">
        <f t="shared" si="210"/>
        <v xml:space="preserve"> </v>
      </c>
      <c r="AE626" s="5"/>
      <c r="AF626" s="27" t="b">
        <f>IF($G626&lt;&gt;0,SUMIF(куб!$G:$G,$G626,куб!R:R),IF($E626&lt;&gt;0,SUMIF(куб!$E:$E,$E626,куб!R:R),IF($D626&lt;&gt;0,SUMIF(куб!$D:$D,$D626,куб!R:R),IF($C626&lt;&gt;0,SUMIF(куб!$C:$C,$C626,куб!R:R),IF($B626&lt;&gt;0,SUMIF(куб!$B:$B,$B626,куб!R:R))))))</f>
        <v>0</v>
      </c>
      <c r="AG626" s="27" t="b">
        <f>IF($G626&lt;&gt;0,SUMIF(куб!$G:$G,$G626,куб!S:S),IF($E626&lt;&gt;0,SUMIF(куб!$E:$E,$E626,куб!S:S),IF($D626&lt;&gt;0,SUMIF(куб!$D:$D,$D626,куб!S:S),IF($C626&lt;&gt;0,SUMIF(куб!$C:$C,$C626,куб!S:S),IF($B626&lt;&gt;0,SUMIF(куб!$B:$B,$B626,куб!S:S))))))</f>
        <v>0</v>
      </c>
      <c r="AH626" s="16" t="str">
        <f t="shared" si="211"/>
        <v>-</v>
      </c>
      <c r="AI626" s="8"/>
      <c r="AJ626" s="27" t="b">
        <f>IF($G626&lt;&gt;0,SUMIF(куб!$G:$G,$G626,куб!T:T),IF($E626&lt;&gt;0,SUMIF(куб!$E:$E,$E626,куб!T:T),IF($D626&lt;&gt;0,SUMIF(куб!$D:$D,$D626,куб!T:T),IF($C626&lt;&gt;0,SUMIF(куб!$C:$C,$C626,куб!T:T),IF($B626&lt;&gt;0,SUMIF(куб!$B:$B,$B626,куб!T:T))))))</f>
        <v>0</v>
      </c>
      <c r="AK626" s="27" t="b">
        <f>IF($G626&lt;&gt;0,SUMIF(куб!$G:$G,$G626,куб!U:U),IF($E626&lt;&gt;0,SUMIF(куб!$E:$E,$E626,куб!U:U),IF($D626&lt;&gt;0,SUMIF(куб!$D:$D,$D626,куб!U:U),IF($C626&lt;&gt;0,SUMIF(куб!$C:$C,$C626,куб!U:U),IF($B626&lt;&gt;0,SUMIF(куб!$B:$B,$B626,куб!U:U))))))</f>
        <v>0</v>
      </c>
      <c r="AL626" s="16" t="str">
        <f t="shared" si="212"/>
        <v>-</v>
      </c>
      <c r="AM626" s="8"/>
      <c r="AN626" s="17" t="str">
        <f t="shared" si="213"/>
        <v xml:space="preserve"> </v>
      </c>
      <c r="AO626" s="17" t="str">
        <f t="shared" si="214"/>
        <v xml:space="preserve"> </v>
      </c>
      <c r="AP626" s="16" t="str">
        <f t="shared" si="215"/>
        <v>-</v>
      </c>
      <c r="AQ626" s="8"/>
      <c r="AR626" s="17" t="str">
        <f t="shared" si="216"/>
        <v>-</v>
      </c>
      <c r="AS626" s="17" t="str">
        <f t="shared" si="217"/>
        <v>-</v>
      </c>
      <c r="AT626" s="13" t="str">
        <f t="shared" si="218"/>
        <v>-</v>
      </c>
      <c r="AU626" s="8"/>
    </row>
    <row r="627" spans="1:47" x14ac:dyDescent="0.25">
      <c r="A627" s="31"/>
      <c r="B627" s="31"/>
      <c r="C627"/>
      <c r="D627" s="31"/>
      <c r="E627"/>
      <c r="F627" s="31"/>
      <c r="G627"/>
      <c r="H627" s="27">
        <f>IF($G627&lt;&gt;0,SUMIF(куб!$G:$G,$G627,куб!H:H),IF($E627&lt;&gt;0,SUMIF(куб!$E:$E,$E627,куб!H:H),IF($D627&lt;&gt;0,SUMIF(куб!$D:$D,$D627,куб!H:H),IF($C627&lt;&gt;0,SUMIF(куб!$C:$C,$C627,куб!H:H),IF($B627&lt;&gt;0,SUMIF(куб!$B:$B,$B627,куб!H:H),IF($G627&lt;&gt;0,SUMIF(куб!$A:$A,$G627,куб!H:H),SUMIF(куб!$A:$A,$G627,куб!H:H)))))))</f>
        <v>0</v>
      </c>
      <c r="I627" s="27">
        <f>IF($G627&lt;&gt;0,SUMIF(куб!$G:$G,$G627,куб!I:I),IF($E627&lt;&gt;0,SUMIF(куб!$E:$E,$E627,куб!I:I),IF($D627&lt;&gt;0,SUMIF(куб!$D:$D,$D627,куб!I:I),IF($C627&lt;&gt;0,SUMIF(куб!$C:$C,$C627,куб!I:I),IF($B627&lt;&gt;0,SUMIF(куб!$B:$B,$B627,куб!I:I),IF($G627&lt;&gt;0,SUMIF(куб!$A:$A,$G627,куб!I:I),SUMIF(куб!$A:$A,$G627,куб!I:I)))))))</f>
        <v>0</v>
      </c>
      <c r="J627" s="19" t="str">
        <f t="shared" si="201"/>
        <v>-</v>
      </c>
      <c r="K627" s="8"/>
      <c r="L627" s="17">
        <f t="shared" si="202"/>
        <v>0</v>
      </c>
      <c r="M627" s="17">
        <f t="shared" si="203"/>
        <v>0</v>
      </c>
      <c r="N627" s="12">
        <f t="shared" si="204"/>
        <v>0</v>
      </c>
      <c r="O627" s="5"/>
      <c r="P627" s="27" t="b">
        <f>IF($G627&lt;&gt;0,SUMIF(куб!$G:$G,$G627,куб!J:J),IF($E627&lt;&gt;0,SUMIF(куб!$E:$E,$E627,куб!J:J),IF($D627&lt;&gt;0,SUMIF(куб!$D:$D,$D627,куб!J:J),IF($C627&lt;&gt;0,SUMIF(куб!$C:$C,$C627,куб!J:J),IF($B627&lt;&gt;0,SUMIF(куб!$B:$B,$B627,куб!J:J))))))</f>
        <v>0</v>
      </c>
      <c r="Q627" s="27" t="b">
        <f>IF($G627&lt;&gt;0,SUMIF(куб!$G:$G,$G627,куб!K:K),IF($E627&lt;&gt;0,SUMIF(куб!$E:$E,$E627,куб!K:K),IF($D627&lt;&gt;0,SUMIF(куб!$D:$D,$D627,куб!K:K),IF($C627&lt;&gt;0,SUMIF(куб!$C:$C,$C627,куб!K:K),IF($B627&lt;&gt;0,SUMIF(куб!$B:$B,$B627,куб!K:K))))))</f>
        <v>0</v>
      </c>
      <c r="R627" s="13" t="str">
        <f t="shared" si="205"/>
        <v>-</v>
      </c>
      <c r="S627" s="5"/>
      <c r="T627" s="27" t="b">
        <f>IF($G627&lt;&gt;0,SUMIF(куб!$G:$G,$G627,куб!L:L),IF($E627&lt;&gt;0,SUMIF(куб!$E:$E,$E627,куб!L:L),IF($D627&lt;&gt;0,SUMIF(куб!$D:$D,$D627,куб!L:L),IF($C627&lt;&gt;0,SUMIF(куб!$C:$C,$C627,куб!L:L),IF($B627&lt;&gt;0,SUMIF(куб!$B:$B,$B627,куб!L:L))))))</f>
        <v>0</v>
      </c>
      <c r="U627" s="27" t="b">
        <f>IF($G627&lt;&gt;0,SUMIF(куб!$G:$G,$G627,куб!M:M),IF($E627&lt;&gt;0,SUMIF(куб!$E:$E,$E627,куб!M:M),IF($D627&lt;&gt;0,SUMIF(куб!$D:$D,$D627,куб!M:M),IF($C627&lt;&gt;0,SUMIF(куб!$C:$C,$C627,куб!M:M),IF($B627&lt;&gt;0,SUMIF(куб!$B:$B,$B627,куб!M:M))))))</f>
        <v>0</v>
      </c>
      <c r="V627" s="13" t="str">
        <f t="shared" si="206"/>
        <v>-</v>
      </c>
      <c r="W627" s="5"/>
      <c r="X627" s="27" t="b">
        <f>IF($G627&lt;&gt;0,SUMIF(куб!$G:$G,$G627,куб!N:N),IF($E627&lt;&gt;0,SUMIF(куб!$E:$E,$E627,куб!N:N),IF($D627&lt;&gt;0,SUMIF(куб!$D:$D,$D627,куб!N:N),IF($C627&lt;&gt;0,SUMIF(куб!$C:$C,$C627,куб!N:N),IF($B627&lt;&gt;0,SUMIF(куб!$B:$B,$B627,куб!N:N))))))</f>
        <v>0</v>
      </c>
      <c r="Y627" s="27" t="b">
        <f>IF($G627&lt;&gt;0,SUMIF(куб!$G:$G,$G627,куб!O:O),IF($E627&lt;&gt;0,SUMIF(куб!$E:$E,$E627,куб!O:O),IF($D627&lt;&gt;0,SUMIF(куб!$D:$D,$D627,куб!O:O),IF($C627&lt;&gt;0,SUMIF(куб!$C:$C,$C627,куб!O:O),IF($B627&lt;&gt;0,SUMIF(куб!$B:$B,$B627,куб!O:O))))))</f>
        <v>0</v>
      </c>
      <c r="Z627" s="13" t="str">
        <f t="shared" si="207"/>
        <v>-</v>
      </c>
      <c r="AA627" s="5"/>
      <c r="AB627" s="33" t="str">
        <f t="shared" si="208"/>
        <v/>
      </c>
      <c r="AC627" s="33" t="str">
        <f t="shared" si="209"/>
        <v/>
      </c>
      <c r="AD627" s="15" t="str">
        <f t="shared" si="210"/>
        <v xml:space="preserve"> </v>
      </c>
      <c r="AE627" s="5"/>
      <c r="AF627" s="27" t="b">
        <f>IF($G627&lt;&gt;0,SUMIF(куб!$G:$G,$G627,куб!R:R),IF($E627&lt;&gt;0,SUMIF(куб!$E:$E,$E627,куб!R:R),IF($D627&lt;&gt;0,SUMIF(куб!$D:$D,$D627,куб!R:R),IF($C627&lt;&gt;0,SUMIF(куб!$C:$C,$C627,куб!R:R),IF($B627&lt;&gt;0,SUMIF(куб!$B:$B,$B627,куб!R:R))))))</f>
        <v>0</v>
      </c>
      <c r="AG627" s="27" t="b">
        <f>IF($G627&lt;&gt;0,SUMIF(куб!$G:$G,$G627,куб!S:S),IF($E627&lt;&gt;0,SUMIF(куб!$E:$E,$E627,куб!S:S),IF($D627&lt;&gt;0,SUMIF(куб!$D:$D,$D627,куб!S:S),IF($C627&lt;&gt;0,SUMIF(куб!$C:$C,$C627,куб!S:S),IF($B627&lt;&gt;0,SUMIF(куб!$B:$B,$B627,куб!S:S))))))</f>
        <v>0</v>
      </c>
      <c r="AH627" s="16" t="str">
        <f t="shared" si="211"/>
        <v>-</v>
      </c>
      <c r="AI627" s="8"/>
      <c r="AJ627" s="27" t="b">
        <f>IF($G627&lt;&gt;0,SUMIF(куб!$G:$G,$G627,куб!T:T),IF($E627&lt;&gt;0,SUMIF(куб!$E:$E,$E627,куб!T:T),IF($D627&lt;&gt;0,SUMIF(куб!$D:$D,$D627,куб!T:T),IF($C627&lt;&gt;0,SUMIF(куб!$C:$C,$C627,куб!T:T),IF($B627&lt;&gt;0,SUMIF(куб!$B:$B,$B627,куб!T:T))))))</f>
        <v>0</v>
      </c>
      <c r="AK627" s="27" t="b">
        <f>IF($G627&lt;&gt;0,SUMIF(куб!$G:$G,$G627,куб!U:U),IF($E627&lt;&gt;0,SUMIF(куб!$E:$E,$E627,куб!U:U),IF($D627&lt;&gt;0,SUMIF(куб!$D:$D,$D627,куб!U:U),IF($C627&lt;&gt;0,SUMIF(куб!$C:$C,$C627,куб!U:U),IF($B627&lt;&gt;0,SUMIF(куб!$B:$B,$B627,куб!U:U))))))</f>
        <v>0</v>
      </c>
      <c r="AL627" s="16" t="str">
        <f t="shared" si="212"/>
        <v>-</v>
      </c>
      <c r="AM627" s="8"/>
      <c r="AN627" s="17" t="str">
        <f t="shared" si="213"/>
        <v xml:space="preserve"> </v>
      </c>
      <c r="AO627" s="17" t="str">
        <f t="shared" si="214"/>
        <v xml:space="preserve"> </v>
      </c>
      <c r="AP627" s="16" t="str">
        <f t="shared" si="215"/>
        <v>-</v>
      </c>
      <c r="AQ627" s="8"/>
      <c r="AR627" s="17" t="str">
        <f t="shared" si="216"/>
        <v>-</v>
      </c>
      <c r="AS627" s="17" t="str">
        <f t="shared" si="217"/>
        <v>-</v>
      </c>
      <c r="AT627" s="13" t="str">
        <f t="shared" si="218"/>
        <v>-</v>
      </c>
      <c r="AU627" s="8"/>
    </row>
    <row r="628" spans="1:47" x14ac:dyDescent="0.25">
      <c r="A628" s="31"/>
      <c r="B628" s="31"/>
      <c r="C628"/>
      <c r="D628" s="31"/>
      <c r="E628"/>
      <c r="F628" s="31"/>
      <c r="G628"/>
      <c r="H628" s="27">
        <f>IF($G628&lt;&gt;0,SUMIF(куб!$G:$G,$G628,куб!H:H),IF($E628&lt;&gt;0,SUMIF(куб!$E:$E,$E628,куб!H:H),IF($D628&lt;&gt;0,SUMIF(куб!$D:$D,$D628,куб!H:H),IF($C628&lt;&gt;0,SUMIF(куб!$C:$C,$C628,куб!H:H),IF($B628&lt;&gt;0,SUMIF(куб!$B:$B,$B628,куб!H:H),IF($G628&lt;&gt;0,SUMIF(куб!$A:$A,$G628,куб!H:H),SUMIF(куб!$A:$A,$G628,куб!H:H)))))))</f>
        <v>0</v>
      </c>
      <c r="I628" s="27">
        <f>IF($G628&lt;&gt;0,SUMIF(куб!$G:$G,$G628,куб!I:I),IF($E628&lt;&gt;0,SUMIF(куб!$E:$E,$E628,куб!I:I),IF($D628&lt;&gt;0,SUMIF(куб!$D:$D,$D628,куб!I:I),IF($C628&lt;&gt;0,SUMIF(куб!$C:$C,$C628,куб!I:I),IF($B628&lt;&gt;0,SUMIF(куб!$B:$B,$B628,куб!I:I),IF($G628&lt;&gt;0,SUMIF(куб!$A:$A,$G628,куб!I:I),SUMIF(куб!$A:$A,$G628,куб!I:I)))))))</f>
        <v>0</v>
      </c>
      <c r="J628" s="19" t="str">
        <f t="shared" si="201"/>
        <v>-</v>
      </c>
      <c r="K628" s="8"/>
      <c r="L628" s="17">
        <f t="shared" si="202"/>
        <v>0</v>
      </c>
      <c r="M628" s="17">
        <f t="shared" si="203"/>
        <v>0</v>
      </c>
      <c r="N628" s="12">
        <f t="shared" si="204"/>
        <v>0</v>
      </c>
      <c r="O628" s="5"/>
      <c r="P628" s="27" t="b">
        <f>IF($G628&lt;&gt;0,SUMIF(куб!$G:$G,$G628,куб!J:J),IF($E628&lt;&gt;0,SUMIF(куб!$E:$E,$E628,куб!J:J),IF($D628&lt;&gt;0,SUMIF(куб!$D:$D,$D628,куб!J:J),IF($C628&lt;&gt;0,SUMIF(куб!$C:$C,$C628,куб!J:J),IF($B628&lt;&gt;0,SUMIF(куб!$B:$B,$B628,куб!J:J))))))</f>
        <v>0</v>
      </c>
      <c r="Q628" s="27" t="b">
        <f>IF($G628&lt;&gt;0,SUMIF(куб!$G:$G,$G628,куб!K:K),IF($E628&lt;&gt;0,SUMIF(куб!$E:$E,$E628,куб!K:K),IF($D628&lt;&gt;0,SUMIF(куб!$D:$D,$D628,куб!K:K),IF($C628&lt;&gt;0,SUMIF(куб!$C:$C,$C628,куб!K:K),IF($B628&lt;&gt;0,SUMIF(куб!$B:$B,$B628,куб!K:K))))))</f>
        <v>0</v>
      </c>
      <c r="R628" s="13" t="str">
        <f t="shared" si="205"/>
        <v>-</v>
      </c>
      <c r="S628" s="5"/>
      <c r="T628" s="27" t="b">
        <f>IF($G628&lt;&gt;0,SUMIF(куб!$G:$G,$G628,куб!L:L),IF($E628&lt;&gt;0,SUMIF(куб!$E:$E,$E628,куб!L:L),IF($D628&lt;&gt;0,SUMIF(куб!$D:$D,$D628,куб!L:L),IF($C628&lt;&gt;0,SUMIF(куб!$C:$C,$C628,куб!L:L),IF($B628&lt;&gt;0,SUMIF(куб!$B:$B,$B628,куб!L:L))))))</f>
        <v>0</v>
      </c>
      <c r="U628" s="27" t="b">
        <f>IF($G628&lt;&gt;0,SUMIF(куб!$G:$G,$G628,куб!M:M),IF($E628&lt;&gt;0,SUMIF(куб!$E:$E,$E628,куб!M:M),IF($D628&lt;&gt;0,SUMIF(куб!$D:$D,$D628,куб!M:M),IF($C628&lt;&gt;0,SUMIF(куб!$C:$C,$C628,куб!M:M),IF($B628&lt;&gt;0,SUMIF(куб!$B:$B,$B628,куб!M:M))))))</f>
        <v>0</v>
      </c>
      <c r="V628" s="13" t="str">
        <f t="shared" si="206"/>
        <v>-</v>
      </c>
      <c r="W628" s="5"/>
      <c r="X628" s="27" t="b">
        <f>IF($G628&lt;&gt;0,SUMIF(куб!$G:$G,$G628,куб!N:N),IF($E628&lt;&gt;0,SUMIF(куб!$E:$E,$E628,куб!N:N),IF($D628&lt;&gt;0,SUMIF(куб!$D:$D,$D628,куб!N:N),IF($C628&lt;&gt;0,SUMIF(куб!$C:$C,$C628,куб!N:N),IF($B628&lt;&gt;0,SUMIF(куб!$B:$B,$B628,куб!N:N))))))</f>
        <v>0</v>
      </c>
      <c r="Y628" s="27" t="b">
        <f>IF($G628&lt;&gt;0,SUMIF(куб!$G:$G,$G628,куб!O:O),IF($E628&lt;&gt;0,SUMIF(куб!$E:$E,$E628,куб!O:O),IF($D628&lt;&gt;0,SUMIF(куб!$D:$D,$D628,куб!O:O),IF($C628&lt;&gt;0,SUMIF(куб!$C:$C,$C628,куб!O:O),IF($B628&lt;&gt;0,SUMIF(куб!$B:$B,$B628,куб!O:O))))))</f>
        <v>0</v>
      </c>
      <c r="Z628" s="13" t="str">
        <f t="shared" si="207"/>
        <v>-</v>
      </c>
      <c r="AA628" s="5"/>
      <c r="AB628" s="33" t="str">
        <f t="shared" si="208"/>
        <v/>
      </c>
      <c r="AC628" s="33" t="str">
        <f t="shared" si="209"/>
        <v/>
      </c>
      <c r="AD628" s="15" t="str">
        <f t="shared" si="210"/>
        <v xml:space="preserve"> </v>
      </c>
      <c r="AE628" s="5"/>
      <c r="AF628" s="27" t="b">
        <f>IF($G628&lt;&gt;0,SUMIF(куб!$G:$G,$G628,куб!R:R),IF($E628&lt;&gt;0,SUMIF(куб!$E:$E,$E628,куб!R:R),IF($D628&lt;&gt;0,SUMIF(куб!$D:$D,$D628,куб!R:R),IF($C628&lt;&gt;0,SUMIF(куб!$C:$C,$C628,куб!R:R),IF($B628&lt;&gt;0,SUMIF(куб!$B:$B,$B628,куб!R:R))))))</f>
        <v>0</v>
      </c>
      <c r="AG628" s="27" t="b">
        <f>IF($G628&lt;&gt;0,SUMIF(куб!$G:$G,$G628,куб!S:S),IF($E628&lt;&gt;0,SUMIF(куб!$E:$E,$E628,куб!S:S),IF($D628&lt;&gt;0,SUMIF(куб!$D:$D,$D628,куб!S:S),IF($C628&lt;&gt;0,SUMIF(куб!$C:$C,$C628,куб!S:S),IF($B628&lt;&gt;0,SUMIF(куб!$B:$B,$B628,куб!S:S))))))</f>
        <v>0</v>
      </c>
      <c r="AH628" s="16" t="str">
        <f t="shared" si="211"/>
        <v>-</v>
      </c>
      <c r="AI628" s="8"/>
      <c r="AJ628" s="27" t="b">
        <f>IF($G628&lt;&gt;0,SUMIF(куб!$G:$G,$G628,куб!T:T),IF($E628&lt;&gt;0,SUMIF(куб!$E:$E,$E628,куб!T:T),IF($D628&lt;&gt;0,SUMIF(куб!$D:$D,$D628,куб!T:T),IF($C628&lt;&gt;0,SUMIF(куб!$C:$C,$C628,куб!T:T),IF($B628&lt;&gt;0,SUMIF(куб!$B:$B,$B628,куб!T:T))))))</f>
        <v>0</v>
      </c>
      <c r="AK628" s="27" t="b">
        <f>IF($G628&lt;&gt;0,SUMIF(куб!$G:$G,$G628,куб!U:U),IF($E628&lt;&gt;0,SUMIF(куб!$E:$E,$E628,куб!U:U),IF($D628&lt;&gt;0,SUMIF(куб!$D:$D,$D628,куб!U:U),IF($C628&lt;&gt;0,SUMIF(куб!$C:$C,$C628,куб!U:U),IF($B628&lt;&gt;0,SUMIF(куб!$B:$B,$B628,куб!U:U))))))</f>
        <v>0</v>
      </c>
      <c r="AL628" s="16" t="str">
        <f t="shared" si="212"/>
        <v>-</v>
      </c>
      <c r="AM628" s="8"/>
      <c r="AN628" s="17" t="str">
        <f t="shared" si="213"/>
        <v xml:space="preserve"> </v>
      </c>
      <c r="AO628" s="17" t="str">
        <f t="shared" si="214"/>
        <v xml:space="preserve"> </v>
      </c>
      <c r="AP628" s="16" t="str">
        <f t="shared" si="215"/>
        <v>-</v>
      </c>
      <c r="AQ628" s="8"/>
      <c r="AR628" s="17" t="str">
        <f t="shared" si="216"/>
        <v>-</v>
      </c>
      <c r="AS628" s="17" t="str">
        <f t="shared" si="217"/>
        <v>-</v>
      </c>
      <c r="AT628" s="13" t="str">
        <f t="shared" si="218"/>
        <v>-</v>
      </c>
      <c r="AU628" s="8"/>
    </row>
    <row r="629" spans="1:47" x14ac:dyDescent="0.25">
      <c r="A629" s="31"/>
      <c r="B629" s="31"/>
      <c r="C629"/>
      <c r="D629" s="31"/>
      <c r="E629"/>
      <c r="F629" s="31"/>
      <c r="G629"/>
      <c r="H629" s="27">
        <f>IF($G629&lt;&gt;0,SUMIF(куб!$G:$G,$G629,куб!H:H),IF($E629&lt;&gt;0,SUMIF(куб!$E:$E,$E629,куб!H:H),IF($D629&lt;&gt;0,SUMIF(куб!$D:$D,$D629,куб!H:H),IF($C629&lt;&gt;0,SUMIF(куб!$C:$C,$C629,куб!H:H),IF($B629&lt;&gt;0,SUMIF(куб!$B:$B,$B629,куб!H:H),IF($G629&lt;&gt;0,SUMIF(куб!$A:$A,$G629,куб!H:H),SUMIF(куб!$A:$A,$G629,куб!H:H)))))))</f>
        <v>0</v>
      </c>
      <c r="I629" s="27">
        <f>IF($G629&lt;&gt;0,SUMIF(куб!$G:$G,$G629,куб!I:I),IF($E629&lt;&gt;0,SUMIF(куб!$E:$E,$E629,куб!I:I),IF($D629&lt;&gt;0,SUMIF(куб!$D:$D,$D629,куб!I:I),IF($C629&lt;&gt;0,SUMIF(куб!$C:$C,$C629,куб!I:I),IF($B629&lt;&gt;0,SUMIF(куб!$B:$B,$B629,куб!I:I),IF($G629&lt;&gt;0,SUMIF(куб!$A:$A,$G629,куб!I:I),SUMIF(куб!$A:$A,$G629,куб!I:I)))))))</f>
        <v>0</v>
      </c>
      <c r="J629" s="19" t="str">
        <f t="shared" si="201"/>
        <v>-</v>
      </c>
      <c r="K629" s="8"/>
      <c r="L629" s="17">
        <f t="shared" si="202"/>
        <v>0</v>
      </c>
      <c r="M629" s="17">
        <f t="shared" si="203"/>
        <v>0</v>
      </c>
      <c r="N629" s="12">
        <f t="shared" si="204"/>
        <v>0</v>
      </c>
      <c r="O629" s="5"/>
      <c r="P629" s="27" t="b">
        <f>IF($G629&lt;&gt;0,SUMIF(куб!$G:$G,$G629,куб!J:J),IF($E629&lt;&gt;0,SUMIF(куб!$E:$E,$E629,куб!J:J),IF($D629&lt;&gt;0,SUMIF(куб!$D:$D,$D629,куб!J:J),IF($C629&lt;&gt;0,SUMIF(куб!$C:$C,$C629,куб!J:J),IF($B629&lt;&gt;0,SUMIF(куб!$B:$B,$B629,куб!J:J))))))</f>
        <v>0</v>
      </c>
      <c r="Q629" s="27" t="b">
        <f>IF($G629&lt;&gt;0,SUMIF(куб!$G:$G,$G629,куб!K:K),IF($E629&lt;&gt;0,SUMIF(куб!$E:$E,$E629,куб!K:K),IF($D629&lt;&gt;0,SUMIF(куб!$D:$D,$D629,куб!K:K),IF($C629&lt;&gt;0,SUMIF(куб!$C:$C,$C629,куб!K:K),IF($B629&lt;&gt;0,SUMIF(куб!$B:$B,$B629,куб!K:K))))))</f>
        <v>0</v>
      </c>
      <c r="R629" s="13" t="str">
        <f t="shared" si="205"/>
        <v>-</v>
      </c>
      <c r="S629" s="5"/>
      <c r="T629" s="27" t="b">
        <f>IF($G629&lt;&gt;0,SUMIF(куб!$G:$G,$G629,куб!L:L),IF($E629&lt;&gt;0,SUMIF(куб!$E:$E,$E629,куб!L:L),IF($D629&lt;&gt;0,SUMIF(куб!$D:$D,$D629,куб!L:L),IF($C629&lt;&gt;0,SUMIF(куб!$C:$C,$C629,куб!L:L),IF($B629&lt;&gt;0,SUMIF(куб!$B:$B,$B629,куб!L:L))))))</f>
        <v>0</v>
      </c>
      <c r="U629" s="27" t="b">
        <f>IF($G629&lt;&gt;0,SUMIF(куб!$G:$G,$G629,куб!M:M),IF($E629&lt;&gt;0,SUMIF(куб!$E:$E,$E629,куб!M:M),IF($D629&lt;&gt;0,SUMIF(куб!$D:$D,$D629,куб!M:M),IF($C629&lt;&gt;0,SUMIF(куб!$C:$C,$C629,куб!M:M),IF($B629&lt;&gt;0,SUMIF(куб!$B:$B,$B629,куб!M:M))))))</f>
        <v>0</v>
      </c>
      <c r="V629" s="13" t="str">
        <f t="shared" si="206"/>
        <v>-</v>
      </c>
      <c r="W629" s="5"/>
      <c r="X629" s="27" t="b">
        <f>IF($G629&lt;&gt;0,SUMIF(куб!$G:$G,$G629,куб!N:N),IF($E629&lt;&gt;0,SUMIF(куб!$E:$E,$E629,куб!N:N),IF($D629&lt;&gt;0,SUMIF(куб!$D:$D,$D629,куб!N:N),IF($C629&lt;&gt;0,SUMIF(куб!$C:$C,$C629,куб!N:N),IF($B629&lt;&gt;0,SUMIF(куб!$B:$B,$B629,куб!N:N))))))</f>
        <v>0</v>
      </c>
      <c r="Y629" s="27" t="b">
        <f>IF($G629&lt;&gt;0,SUMIF(куб!$G:$G,$G629,куб!O:O),IF($E629&lt;&gt;0,SUMIF(куб!$E:$E,$E629,куб!O:O),IF($D629&lt;&gt;0,SUMIF(куб!$D:$D,$D629,куб!O:O),IF($C629&lt;&gt;0,SUMIF(куб!$C:$C,$C629,куб!O:O),IF($B629&lt;&gt;0,SUMIF(куб!$B:$B,$B629,куб!O:O))))))</f>
        <v>0</v>
      </c>
      <c r="Z629" s="13" t="str">
        <f t="shared" si="207"/>
        <v>-</v>
      </c>
      <c r="AA629" s="5"/>
      <c r="AB629" s="33" t="str">
        <f t="shared" si="208"/>
        <v/>
      </c>
      <c r="AC629" s="33" t="str">
        <f t="shared" si="209"/>
        <v/>
      </c>
      <c r="AD629" s="15" t="str">
        <f t="shared" si="210"/>
        <v xml:space="preserve"> </v>
      </c>
      <c r="AE629" s="5"/>
      <c r="AF629" s="27" t="b">
        <f>IF($G629&lt;&gt;0,SUMIF(куб!$G:$G,$G629,куб!R:R),IF($E629&lt;&gt;0,SUMIF(куб!$E:$E,$E629,куб!R:R),IF($D629&lt;&gt;0,SUMIF(куб!$D:$D,$D629,куб!R:R),IF($C629&lt;&gt;0,SUMIF(куб!$C:$C,$C629,куб!R:R),IF($B629&lt;&gt;0,SUMIF(куб!$B:$B,$B629,куб!R:R))))))</f>
        <v>0</v>
      </c>
      <c r="AG629" s="27" t="b">
        <f>IF($G629&lt;&gt;0,SUMIF(куб!$G:$G,$G629,куб!S:S),IF($E629&lt;&gt;0,SUMIF(куб!$E:$E,$E629,куб!S:S),IF($D629&lt;&gt;0,SUMIF(куб!$D:$D,$D629,куб!S:S),IF($C629&lt;&gt;0,SUMIF(куб!$C:$C,$C629,куб!S:S),IF($B629&lt;&gt;0,SUMIF(куб!$B:$B,$B629,куб!S:S))))))</f>
        <v>0</v>
      </c>
      <c r="AH629" s="16" t="str">
        <f t="shared" si="211"/>
        <v>-</v>
      </c>
      <c r="AI629" s="8"/>
      <c r="AJ629" s="27" t="b">
        <f>IF($G629&lt;&gt;0,SUMIF(куб!$G:$G,$G629,куб!T:T),IF($E629&lt;&gt;0,SUMIF(куб!$E:$E,$E629,куб!T:T),IF($D629&lt;&gt;0,SUMIF(куб!$D:$D,$D629,куб!T:T),IF($C629&lt;&gt;0,SUMIF(куб!$C:$C,$C629,куб!T:T),IF($B629&lt;&gt;0,SUMIF(куб!$B:$B,$B629,куб!T:T))))))</f>
        <v>0</v>
      </c>
      <c r="AK629" s="27" t="b">
        <f>IF($G629&lt;&gt;0,SUMIF(куб!$G:$G,$G629,куб!U:U),IF($E629&lt;&gt;0,SUMIF(куб!$E:$E,$E629,куб!U:U),IF($D629&lt;&gt;0,SUMIF(куб!$D:$D,$D629,куб!U:U),IF($C629&lt;&gt;0,SUMIF(куб!$C:$C,$C629,куб!U:U),IF($B629&lt;&gt;0,SUMIF(куб!$B:$B,$B629,куб!U:U))))))</f>
        <v>0</v>
      </c>
      <c r="AL629" s="16" t="str">
        <f t="shared" si="212"/>
        <v>-</v>
      </c>
      <c r="AM629" s="8"/>
      <c r="AN629" s="17" t="str">
        <f t="shared" si="213"/>
        <v xml:space="preserve"> </v>
      </c>
      <c r="AO629" s="17" t="str">
        <f t="shared" si="214"/>
        <v xml:space="preserve"> </v>
      </c>
      <c r="AP629" s="16" t="str">
        <f t="shared" si="215"/>
        <v>-</v>
      </c>
      <c r="AQ629" s="8"/>
      <c r="AR629" s="17" t="str">
        <f t="shared" si="216"/>
        <v>-</v>
      </c>
      <c r="AS629" s="17" t="str">
        <f t="shared" si="217"/>
        <v>-</v>
      </c>
      <c r="AT629" s="13" t="str">
        <f t="shared" si="218"/>
        <v>-</v>
      </c>
      <c r="AU629" s="8"/>
    </row>
    <row r="630" spans="1:47" x14ac:dyDescent="0.25">
      <c r="A630" s="31"/>
      <c r="B630" s="31"/>
      <c r="C630"/>
      <c r="D630" s="31"/>
      <c r="E630"/>
      <c r="F630" s="31"/>
      <c r="G630"/>
      <c r="H630" s="27">
        <f>IF($G630&lt;&gt;0,SUMIF(куб!$G:$G,$G630,куб!H:H),IF($E630&lt;&gt;0,SUMIF(куб!$E:$E,$E630,куб!H:H),IF($D630&lt;&gt;0,SUMIF(куб!$D:$D,$D630,куб!H:H),IF($C630&lt;&gt;0,SUMIF(куб!$C:$C,$C630,куб!H:H),IF($B630&lt;&gt;0,SUMIF(куб!$B:$B,$B630,куб!H:H),IF($G630&lt;&gt;0,SUMIF(куб!$A:$A,$G630,куб!H:H),SUMIF(куб!$A:$A,$G630,куб!H:H)))))))</f>
        <v>0</v>
      </c>
      <c r="I630" s="27">
        <f>IF($G630&lt;&gt;0,SUMIF(куб!$G:$G,$G630,куб!I:I),IF($E630&lt;&gt;0,SUMIF(куб!$E:$E,$E630,куб!I:I),IF($D630&lt;&gt;0,SUMIF(куб!$D:$D,$D630,куб!I:I),IF($C630&lt;&gt;0,SUMIF(куб!$C:$C,$C630,куб!I:I),IF($B630&lt;&gt;0,SUMIF(куб!$B:$B,$B630,куб!I:I),IF($G630&lt;&gt;0,SUMIF(куб!$A:$A,$G630,куб!I:I),SUMIF(куб!$A:$A,$G630,куб!I:I)))))))</f>
        <v>0</v>
      </c>
      <c r="J630" s="19" t="str">
        <f t="shared" si="201"/>
        <v>-</v>
      </c>
      <c r="K630" s="8"/>
      <c r="L630" s="17">
        <f t="shared" si="202"/>
        <v>0</v>
      </c>
      <c r="M630" s="17">
        <f t="shared" si="203"/>
        <v>0</v>
      </c>
      <c r="N630" s="12">
        <f t="shared" si="204"/>
        <v>0</v>
      </c>
      <c r="O630" s="5"/>
      <c r="P630" s="27" t="b">
        <f>IF($G630&lt;&gt;0,SUMIF(куб!$G:$G,$G630,куб!J:J),IF($E630&lt;&gt;0,SUMIF(куб!$E:$E,$E630,куб!J:J),IF($D630&lt;&gt;0,SUMIF(куб!$D:$D,$D630,куб!J:J),IF($C630&lt;&gt;0,SUMIF(куб!$C:$C,$C630,куб!J:J),IF($B630&lt;&gt;0,SUMIF(куб!$B:$B,$B630,куб!J:J))))))</f>
        <v>0</v>
      </c>
      <c r="Q630" s="27" t="b">
        <f>IF($G630&lt;&gt;0,SUMIF(куб!$G:$G,$G630,куб!K:K),IF($E630&lt;&gt;0,SUMIF(куб!$E:$E,$E630,куб!K:K),IF($D630&lt;&gt;0,SUMIF(куб!$D:$D,$D630,куб!K:K),IF($C630&lt;&gt;0,SUMIF(куб!$C:$C,$C630,куб!K:K),IF($B630&lt;&gt;0,SUMIF(куб!$B:$B,$B630,куб!K:K))))))</f>
        <v>0</v>
      </c>
      <c r="R630" s="13" t="str">
        <f t="shared" si="205"/>
        <v>-</v>
      </c>
      <c r="S630" s="5"/>
      <c r="T630" s="27" t="b">
        <f>IF($G630&lt;&gt;0,SUMIF(куб!$G:$G,$G630,куб!L:L),IF($E630&lt;&gt;0,SUMIF(куб!$E:$E,$E630,куб!L:L),IF($D630&lt;&gt;0,SUMIF(куб!$D:$D,$D630,куб!L:L),IF($C630&lt;&gt;0,SUMIF(куб!$C:$C,$C630,куб!L:L),IF($B630&lt;&gt;0,SUMIF(куб!$B:$B,$B630,куб!L:L))))))</f>
        <v>0</v>
      </c>
      <c r="U630" s="27" t="b">
        <f>IF($G630&lt;&gt;0,SUMIF(куб!$G:$G,$G630,куб!M:M),IF($E630&lt;&gt;0,SUMIF(куб!$E:$E,$E630,куб!M:M),IF($D630&lt;&gt;0,SUMIF(куб!$D:$D,$D630,куб!M:M),IF($C630&lt;&gt;0,SUMIF(куб!$C:$C,$C630,куб!M:M),IF($B630&lt;&gt;0,SUMIF(куб!$B:$B,$B630,куб!M:M))))))</f>
        <v>0</v>
      </c>
      <c r="V630" s="13" t="str">
        <f t="shared" si="206"/>
        <v>-</v>
      </c>
      <c r="W630" s="5"/>
      <c r="X630" s="27" t="b">
        <f>IF($G630&lt;&gt;0,SUMIF(куб!$G:$G,$G630,куб!N:N),IF($E630&lt;&gt;0,SUMIF(куб!$E:$E,$E630,куб!N:N),IF($D630&lt;&gt;0,SUMIF(куб!$D:$D,$D630,куб!N:N),IF($C630&lt;&gt;0,SUMIF(куб!$C:$C,$C630,куб!N:N),IF($B630&lt;&gt;0,SUMIF(куб!$B:$B,$B630,куб!N:N))))))</f>
        <v>0</v>
      </c>
      <c r="Y630" s="27" t="b">
        <f>IF($G630&lt;&gt;0,SUMIF(куб!$G:$G,$G630,куб!O:O),IF($E630&lt;&gt;0,SUMIF(куб!$E:$E,$E630,куб!O:O),IF($D630&lt;&gt;0,SUMIF(куб!$D:$D,$D630,куб!O:O),IF($C630&lt;&gt;0,SUMIF(куб!$C:$C,$C630,куб!O:O),IF($B630&lt;&gt;0,SUMIF(куб!$B:$B,$B630,куб!O:O))))))</f>
        <v>0</v>
      </c>
      <c r="Z630" s="13" t="str">
        <f t="shared" si="207"/>
        <v>-</v>
      </c>
      <c r="AA630" s="5"/>
      <c r="AB630" s="33" t="str">
        <f t="shared" si="208"/>
        <v/>
      </c>
      <c r="AC630" s="33" t="str">
        <f t="shared" si="209"/>
        <v/>
      </c>
      <c r="AD630" s="15" t="str">
        <f t="shared" si="210"/>
        <v xml:space="preserve"> </v>
      </c>
      <c r="AE630" s="5"/>
      <c r="AF630" s="27" t="b">
        <f>IF($G630&lt;&gt;0,SUMIF(куб!$G:$G,$G630,куб!R:R),IF($E630&lt;&gt;0,SUMIF(куб!$E:$E,$E630,куб!R:R),IF($D630&lt;&gt;0,SUMIF(куб!$D:$D,$D630,куб!R:R),IF($C630&lt;&gt;0,SUMIF(куб!$C:$C,$C630,куб!R:R),IF($B630&lt;&gt;0,SUMIF(куб!$B:$B,$B630,куб!R:R))))))</f>
        <v>0</v>
      </c>
      <c r="AG630" s="27" t="b">
        <f>IF($G630&lt;&gt;0,SUMIF(куб!$G:$G,$G630,куб!S:S),IF($E630&lt;&gt;0,SUMIF(куб!$E:$E,$E630,куб!S:S),IF($D630&lt;&gt;0,SUMIF(куб!$D:$D,$D630,куб!S:S),IF($C630&lt;&gt;0,SUMIF(куб!$C:$C,$C630,куб!S:S),IF($B630&lt;&gt;0,SUMIF(куб!$B:$B,$B630,куб!S:S))))))</f>
        <v>0</v>
      </c>
      <c r="AH630" s="16" t="str">
        <f t="shared" si="211"/>
        <v>-</v>
      </c>
      <c r="AI630" s="8"/>
      <c r="AJ630" s="27" t="b">
        <f>IF($G630&lt;&gt;0,SUMIF(куб!$G:$G,$G630,куб!T:T),IF($E630&lt;&gt;0,SUMIF(куб!$E:$E,$E630,куб!T:T),IF($D630&lt;&gt;0,SUMIF(куб!$D:$D,$D630,куб!T:T),IF($C630&lt;&gt;0,SUMIF(куб!$C:$C,$C630,куб!T:T),IF($B630&lt;&gt;0,SUMIF(куб!$B:$B,$B630,куб!T:T))))))</f>
        <v>0</v>
      </c>
      <c r="AK630" s="27" t="b">
        <f>IF($G630&lt;&gt;0,SUMIF(куб!$G:$G,$G630,куб!U:U),IF($E630&lt;&gt;0,SUMIF(куб!$E:$E,$E630,куб!U:U),IF($D630&lt;&gt;0,SUMIF(куб!$D:$D,$D630,куб!U:U),IF($C630&lt;&gt;0,SUMIF(куб!$C:$C,$C630,куб!U:U),IF($B630&lt;&gt;0,SUMIF(куб!$B:$B,$B630,куб!U:U))))))</f>
        <v>0</v>
      </c>
      <c r="AL630" s="16" t="str">
        <f t="shared" si="212"/>
        <v>-</v>
      </c>
      <c r="AM630" s="8"/>
      <c r="AN630" s="17" t="str">
        <f t="shared" si="213"/>
        <v xml:space="preserve"> </v>
      </c>
      <c r="AO630" s="17" t="str">
        <f t="shared" si="214"/>
        <v xml:space="preserve"> </v>
      </c>
      <c r="AP630" s="16" t="str">
        <f t="shared" si="215"/>
        <v>-</v>
      </c>
      <c r="AQ630" s="8"/>
      <c r="AR630" s="17" t="str">
        <f t="shared" si="216"/>
        <v>-</v>
      </c>
      <c r="AS630" s="17" t="str">
        <f t="shared" si="217"/>
        <v>-</v>
      </c>
      <c r="AT630" s="13" t="str">
        <f t="shared" si="218"/>
        <v>-</v>
      </c>
      <c r="AU630" s="8"/>
    </row>
    <row r="631" spans="1:47" x14ac:dyDescent="0.25">
      <c r="A631" s="31"/>
      <c r="B631" s="31"/>
      <c r="C631"/>
      <c r="D631" s="31"/>
      <c r="E631"/>
      <c r="F631" s="31"/>
      <c r="G631"/>
      <c r="H631" s="27">
        <f>IF($G631&lt;&gt;0,SUMIF(куб!$G:$G,$G631,куб!H:H),IF($E631&lt;&gt;0,SUMIF(куб!$E:$E,$E631,куб!H:H),IF($D631&lt;&gt;0,SUMIF(куб!$D:$D,$D631,куб!H:H),IF($C631&lt;&gt;0,SUMIF(куб!$C:$C,$C631,куб!H:H),IF($B631&lt;&gt;0,SUMIF(куб!$B:$B,$B631,куб!H:H),IF($G631&lt;&gt;0,SUMIF(куб!$A:$A,$G631,куб!H:H),SUMIF(куб!$A:$A,$G631,куб!H:H)))))))</f>
        <v>0</v>
      </c>
      <c r="I631" s="27">
        <f>IF($G631&lt;&gt;0,SUMIF(куб!$G:$G,$G631,куб!I:I),IF($E631&lt;&gt;0,SUMIF(куб!$E:$E,$E631,куб!I:I),IF($D631&lt;&gt;0,SUMIF(куб!$D:$D,$D631,куб!I:I),IF($C631&lt;&gt;0,SUMIF(куб!$C:$C,$C631,куб!I:I),IF($B631&lt;&gt;0,SUMIF(куб!$B:$B,$B631,куб!I:I),IF($G631&lt;&gt;0,SUMIF(куб!$A:$A,$G631,куб!I:I),SUMIF(куб!$A:$A,$G631,куб!I:I)))))))</f>
        <v>0</v>
      </c>
      <c r="J631" s="19" t="str">
        <f t="shared" si="201"/>
        <v>-</v>
      </c>
      <c r="K631" s="8"/>
      <c r="L631" s="17">
        <f t="shared" si="202"/>
        <v>0</v>
      </c>
      <c r="M631" s="17">
        <f t="shared" si="203"/>
        <v>0</v>
      </c>
      <c r="N631" s="12">
        <f t="shared" si="204"/>
        <v>0</v>
      </c>
      <c r="O631" s="5"/>
      <c r="P631" s="27" t="b">
        <f>IF($G631&lt;&gt;0,SUMIF(куб!$G:$G,$G631,куб!J:J),IF($E631&lt;&gt;0,SUMIF(куб!$E:$E,$E631,куб!J:J),IF($D631&lt;&gt;0,SUMIF(куб!$D:$D,$D631,куб!J:J),IF($C631&lt;&gt;0,SUMIF(куб!$C:$C,$C631,куб!J:J),IF($B631&lt;&gt;0,SUMIF(куб!$B:$B,$B631,куб!J:J))))))</f>
        <v>0</v>
      </c>
      <c r="Q631" s="27" t="b">
        <f>IF($G631&lt;&gt;0,SUMIF(куб!$G:$G,$G631,куб!K:K),IF($E631&lt;&gt;0,SUMIF(куб!$E:$E,$E631,куб!K:K),IF($D631&lt;&gt;0,SUMIF(куб!$D:$D,$D631,куб!K:K),IF($C631&lt;&gt;0,SUMIF(куб!$C:$C,$C631,куб!K:K),IF($B631&lt;&gt;0,SUMIF(куб!$B:$B,$B631,куб!K:K))))))</f>
        <v>0</v>
      </c>
      <c r="R631" s="13" t="str">
        <f t="shared" si="205"/>
        <v>-</v>
      </c>
      <c r="S631" s="5"/>
      <c r="T631" s="27" t="b">
        <f>IF($G631&lt;&gt;0,SUMIF(куб!$G:$G,$G631,куб!L:L),IF($E631&lt;&gt;0,SUMIF(куб!$E:$E,$E631,куб!L:L),IF($D631&lt;&gt;0,SUMIF(куб!$D:$D,$D631,куб!L:L),IF($C631&lt;&gt;0,SUMIF(куб!$C:$C,$C631,куб!L:L),IF($B631&lt;&gt;0,SUMIF(куб!$B:$B,$B631,куб!L:L))))))</f>
        <v>0</v>
      </c>
      <c r="U631" s="27" t="b">
        <f>IF($G631&lt;&gt;0,SUMIF(куб!$G:$G,$G631,куб!M:M),IF($E631&lt;&gt;0,SUMIF(куб!$E:$E,$E631,куб!M:M),IF($D631&lt;&gt;0,SUMIF(куб!$D:$D,$D631,куб!M:M),IF($C631&lt;&gt;0,SUMIF(куб!$C:$C,$C631,куб!M:M),IF($B631&lt;&gt;0,SUMIF(куб!$B:$B,$B631,куб!M:M))))))</f>
        <v>0</v>
      </c>
      <c r="V631" s="13" t="str">
        <f t="shared" si="206"/>
        <v>-</v>
      </c>
      <c r="W631" s="5"/>
      <c r="X631" s="27" t="b">
        <f>IF($G631&lt;&gt;0,SUMIF(куб!$G:$G,$G631,куб!N:N),IF($E631&lt;&gt;0,SUMIF(куб!$E:$E,$E631,куб!N:N),IF($D631&lt;&gt;0,SUMIF(куб!$D:$D,$D631,куб!N:N),IF($C631&lt;&gt;0,SUMIF(куб!$C:$C,$C631,куб!N:N),IF($B631&lt;&gt;0,SUMIF(куб!$B:$B,$B631,куб!N:N))))))</f>
        <v>0</v>
      </c>
      <c r="Y631" s="27" t="b">
        <f>IF($G631&lt;&gt;0,SUMIF(куб!$G:$G,$G631,куб!O:O),IF($E631&lt;&gt;0,SUMIF(куб!$E:$E,$E631,куб!O:O),IF($D631&lt;&gt;0,SUMIF(куб!$D:$D,$D631,куб!O:O),IF($C631&lt;&gt;0,SUMIF(куб!$C:$C,$C631,куб!O:O),IF($B631&lt;&gt;0,SUMIF(куб!$B:$B,$B631,куб!O:O))))))</f>
        <v>0</v>
      </c>
      <c r="Z631" s="13" t="str">
        <f t="shared" si="207"/>
        <v>-</v>
      </c>
      <c r="AA631" s="5"/>
      <c r="AB631" s="33" t="str">
        <f t="shared" si="208"/>
        <v/>
      </c>
      <c r="AC631" s="33" t="str">
        <f t="shared" si="209"/>
        <v/>
      </c>
      <c r="AD631" s="15" t="str">
        <f t="shared" si="210"/>
        <v xml:space="preserve"> </v>
      </c>
      <c r="AE631" s="5"/>
      <c r="AF631" s="27" t="b">
        <f>IF($G631&lt;&gt;0,SUMIF(куб!$G:$G,$G631,куб!R:R),IF($E631&lt;&gt;0,SUMIF(куб!$E:$E,$E631,куб!R:R),IF($D631&lt;&gt;0,SUMIF(куб!$D:$D,$D631,куб!R:R),IF($C631&lt;&gt;0,SUMIF(куб!$C:$C,$C631,куб!R:R),IF($B631&lt;&gt;0,SUMIF(куб!$B:$B,$B631,куб!R:R))))))</f>
        <v>0</v>
      </c>
      <c r="AG631" s="27" t="b">
        <f>IF($G631&lt;&gt;0,SUMIF(куб!$G:$G,$G631,куб!S:S),IF($E631&lt;&gt;0,SUMIF(куб!$E:$E,$E631,куб!S:S),IF($D631&lt;&gt;0,SUMIF(куб!$D:$D,$D631,куб!S:S),IF($C631&lt;&gt;0,SUMIF(куб!$C:$C,$C631,куб!S:S),IF($B631&lt;&gt;0,SUMIF(куб!$B:$B,$B631,куб!S:S))))))</f>
        <v>0</v>
      </c>
      <c r="AH631" s="16" t="str">
        <f t="shared" si="211"/>
        <v>-</v>
      </c>
      <c r="AI631" s="8"/>
      <c r="AJ631" s="27" t="b">
        <f>IF($G631&lt;&gt;0,SUMIF(куб!$G:$G,$G631,куб!T:T),IF($E631&lt;&gt;0,SUMIF(куб!$E:$E,$E631,куб!T:T),IF($D631&lt;&gt;0,SUMIF(куб!$D:$D,$D631,куб!T:T),IF($C631&lt;&gt;0,SUMIF(куб!$C:$C,$C631,куб!T:T),IF($B631&lt;&gt;0,SUMIF(куб!$B:$B,$B631,куб!T:T))))))</f>
        <v>0</v>
      </c>
      <c r="AK631" s="27" t="b">
        <f>IF($G631&lt;&gt;0,SUMIF(куб!$G:$G,$G631,куб!U:U),IF($E631&lt;&gt;0,SUMIF(куб!$E:$E,$E631,куб!U:U),IF($D631&lt;&gt;0,SUMIF(куб!$D:$D,$D631,куб!U:U),IF($C631&lt;&gt;0,SUMIF(куб!$C:$C,$C631,куб!U:U),IF($B631&lt;&gt;0,SUMIF(куб!$B:$B,$B631,куб!U:U))))))</f>
        <v>0</v>
      </c>
      <c r="AL631" s="16" t="str">
        <f t="shared" si="212"/>
        <v>-</v>
      </c>
      <c r="AM631" s="8"/>
      <c r="AN631" s="17" t="str">
        <f t="shared" si="213"/>
        <v xml:space="preserve"> </v>
      </c>
      <c r="AO631" s="17" t="str">
        <f t="shared" si="214"/>
        <v xml:space="preserve"> </v>
      </c>
      <c r="AP631" s="16" t="str">
        <f t="shared" si="215"/>
        <v>-</v>
      </c>
      <c r="AQ631" s="8"/>
      <c r="AR631" s="17" t="str">
        <f t="shared" si="216"/>
        <v>-</v>
      </c>
      <c r="AS631" s="17" t="str">
        <f t="shared" si="217"/>
        <v>-</v>
      </c>
      <c r="AT631" s="13" t="str">
        <f t="shared" si="218"/>
        <v>-</v>
      </c>
      <c r="AU631" s="8"/>
    </row>
    <row r="632" spans="1:47" x14ac:dyDescent="0.25">
      <c r="A632" s="31"/>
      <c r="B632" s="31"/>
      <c r="C632"/>
      <c r="D632" s="31"/>
      <c r="E632"/>
      <c r="F632" s="31"/>
      <c r="G632"/>
      <c r="H632" s="27">
        <f>IF($G632&lt;&gt;0,SUMIF(куб!$G:$G,$G632,куб!H:H),IF($E632&lt;&gt;0,SUMIF(куб!$E:$E,$E632,куб!H:H),IF($D632&lt;&gt;0,SUMIF(куб!$D:$D,$D632,куб!H:H),IF($C632&lt;&gt;0,SUMIF(куб!$C:$C,$C632,куб!H:H),IF($B632&lt;&gt;0,SUMIF(куб!$B:$B,$B632,куб!H:H),IF($G632&lt;&gt;0,SUMIF(куб!$A:$A,$G632,куб!H:H),SUMIF(куб!$A:$A,$G632,куб!H:H)))))))</f>
        <v>0</v>
      </c>
      <c r="I632" s="27">
        <f>IF($G632&lt;&gt;0,SUMIF(куб!$G:$G,$G632,куб!I:I),IF($E632&lt;&gt;0,SUMIF(куб!$E:$E,$E632,куб!I:I),IF($D632&lt;&gt;0,SUMIF(куб!$D:$D,$D632,куб!I:I),IF($C632&lt;&gt;0,SUMIF(куб!$C:$C,$C632,куб!I:I),IF($B632&lt;&gt;0,SUMIF(куб!$B:$B,$B632,куб!I:I),IF($G632&lt;&gt;0,SUMIF(куб!$A:$A,$G632,куб!I:I),SUMIF(куб!$A:$A,$G632,куб!I:I)))))))</f>
        <v>0</v>
      </c>
      <c r="J632" s="19" t="str">
        <f t="shared" ref="J632:J695" si="219">IFERROR((I632-H632)/ABS(H632),"-")</f>
        <v>-</v>
      </c>
      <c r="K632" s="8"/>
      <c r="L632" s="17">
        <f t="shared" ref="L632:L695" si="220">H632/$H$3</f>
        <v>0</v>
      </c>
      <c r="M632" s="17">
        <f t="shared" ref="M632:M695" si="221">I632/$I$3</f>
        <v>0</v>
      </c>
      <c r="N632" s="12">
        <f t="shared" ref="N632:N695" si="222">M632-L632</f>
        <v>0</v>
      </c>
      <c r="O632" s="5"/>
      <c r="P632" s="27" t="b">
        <f>IF($G632&lt;&gt;0,SUMIF(куб!$G:$G,$G632,куб!J:J),IF($E632&lt;&gt;0,SUMIF(куб!$E:$E,$E632,куб!J:J),IF($D632&lt;&gt;0,SUMIF(куб!$D:$D,$D632,куб!J:J),IF($C632&lt;&gt;0,SUMIF(куб!$C:$C,$C632,куб!J:J),IF($B632&lt;&gt;0,SUMIF(куб!$B:$B,$B632,куб!J:J))))))</f>
        <v>0</v>
      </c>
      <c r="Q632" s="27" t="b">
        <f>IF($G632&lt;&gt;0,SUMIF(куб!$G:$G,$G632,куб!K:K),IF($E632&lt;&gt;0,SUMIF(куб!$E:$E,$E632,куб!K:K),IF($D632&lt;&gt;0,SUMIF(куб!$D:$D,$D632,куб!K:K),IF($C632&lt;&gt;0,SUMIF(куб!$C:$C,$C632,куб!K:K),IF($B632&lt;&gt;0,SUMIF(куб!$B:$B,$B632,куб!K:K))))))</f>
        <v>0</v>
      </c>
      <c r="R632" s="13" t="str">
        <f t="shared" ref="R632:R695" si="223">IFERROR((Q632-P632)/ABS(P632),"-")</f>
        <v>-</v>
      </c>
      <c r="S632" s="5"/>
      <c r="T632" s="27" t="b">
        <f>IF($G632&lt;&gt;0,SUMIF(куб!$G:$G,$G632,куб!L:L),IF($E632&lt;&gt;0,SUMIF(куб!$E:$E,$E632,куб!L:L),IF($D632&lt;&gt;0,SUMIF(куб!$D:$D,$D632,куб!L:L),IF($C632&lt;&gt;0,SUMIF(куб!$C:$C,$C632,куб!L:L),IF($B632&lt;&gt;0,SUMIF(куб!$B:$B,$B632,куб!L:L))))))</f>
        <v>0</v>
      </c>
      <c r="U632" s="27" t="b">
        <f>IF($G632&lt;&gt;0,SUMIF(куб!$G:$G,$G632,куб!M:M),IF($E632&lt;&gt;0,SUMIF(куб!$E:$E,$E632,куб!M:M),IF($D632&lt;&gt;0,SUMIF(куб!$D:$D,$D632,куб!M:M),IF($C632&lt;&gt;0,SUMIF(куб!$C:$C,$C632,куб!M:M),IF($B632&lt;&gt;0,SUMIF(куб!$B:$B,$B632,куб!M:M))))))</f>
        <v>0</v>
      </c>
      <c r="V632" s="13" t="str">
        <f t="shared" ref="V632:V695" si="224">IFERROR((U632-T632)/ABS(T632),"-")</f>
        <v>-</v>
      </c>
      <c r="W632" s="5"/>
      <c r="X632" s="27" t="b">
        <f>IF($G632&lt;&gt;0,SUMIF(куб!$G:$G,$G632,куб!N:N),IF($E632&lt;&gt;0,SUMIF(куб!$E:$E,$E632,куб!N:N),IF($D632&lt;&gt;0,SUMIF(куб!$D:$D,$D632,куб!N:N),IF($C632&lt;&gt;0,SUMIF(куб!$C:$C,$C632,куб!N:N),IF($B632&lt;&gt;0,SUMIF(куб!$B:$B,$B632,куб!N:N))))))</f>
        <v>0</v>
      </c>
      <c r="Y632" s="27" t="b">
        <f>IF($G632&lt;&gt;0,SUMIF(куб!$G:$G,$G632,куб!O:O),IF($E632&lt;&gt;0,SUMIF(куб!$E:$E,$E632,куб!O:O),IF($D632&lt;&gt;0,SUMIF(куб!$D:$D,$D632,куб!O:O),IF($C632&lt;&gt;0,SUMIF(куб!$C:$C,$C632,куб!O:O),IF($B632&lt;&gt;0,SUMIF(куб!$B:$B,$B632,куб!O:O))))))</f>
        <v>0</v>
      </c>
      <c r="Z632" s="13" t="str">
        <f t="shared" ref="Z632:Z695" si="225">IFERROR((Y632-X632)/ABS(X632),"-")</f>
        <v>-</v>
      </c>
      <c r="AA632" s="5"/>
      <c r="AB632" s="33" t="str">
        <f t="shared" ref="AB632:AB695" si="226">IFERROR(X632/H632,"")</f>
        <v/>
      </c>
      <c r="AC632" s="33" t="str">
        <f t="shared" ref="AC632:AC695" si="227">IFERROR(Y632/I632,"")</f>
        <v/>
      </c>
      <c r="AD632" s="15" t="str">
        <f t="shared" ref="AD632:AD695" si="228">IFERROR(AC632-AB632," ")</f>
        <v xml:space="preserve"> </v>
      </c>
      <c r="AE632" s="5"/>
      <c r="AF632" s="27" t="b">
        <f>IF($G632&lt;&gt;0,SUMIF(куб!$G:$G,$G632,куб!R:R),IF($E632&lt;&gt;0,SUMIF(куб!$E:$E,$E632,куб!R:R),IF($D632&lt;&gt;0,SUMIF(куб!$D:$D,$D632,куб!R:R),IF($C632&lt;&gt;0,SUMIF(куб!$C:$C,$C632,куб!R:R),IF($B632&lt;&gt;0,SUMIF(куб!$B:$B,$B632,куб!R:R))))))</f>
        <v>0</v>
      </c>
      <c r="AG632" s="27" t="b">
        <f>IF($G632&lt;&gt;0,SUMIF(куб!$G:$G,$G632,куб!S:S),IF($E632&lt;&gt;0,SUMIF(куб!$E:$E,$E632,куб!S:S),IF($D632&lt;&gt;0,SUMIF(куб!$D:$D,$D632,куб!S:S),IF($C632&lt;&gt;0,SUMIF(куб!$C:$C,$C632,куб!S:S),IF($B632&lt;&gt;0,SUMIF(куб!$B:$B,$B632,куб!S:S))))))</f>
        <v>0</v>
      </c>
      <c r="AH632" s="16" t="str">
        <f t="shared" ref="AH632:AH695" si="229">IFERROR((AG632-AF632)/ABS(AF632),"-")</f>
        <v>-</v>
      </c>
      <c r="AI632" s="8"/>
      <c r="AJ632" s="27" t="b">
        <f>IF($G632&lt;&gt;0,SUMIF(куб!$G:$G,$G632,куб!T:T),IF($E632&lt;&gt;0,SUMIF(куб!$E:$E,$E632,куб!T:T),IF($D632&lt;&gt;0,SUMIF(куб!$D:$D,$D632,куб!T:T),IF($C632&lt;&gt;0,SUMIF(куб!$C:$C,$C632,куб!T:T),IF($B632&lt;&gt;0,SUMIF(куб!$B:$B,$B632,куб!T:T))))))</f>
        <v>0</v>
      </c>
      <c r="AK632" s="27" t="b">
        <f>IF($G632&lt;&gt;0,SUMIF(куб!$G:$G,$G632,куб!U:U),IF($E632&lt;&gt;0,SUMIF(куб!$E:$E,$E632,куб!U:U),IF($D632&lt;&gt;0,SUMIF(куб!$D:$D,$D632,куб!U:U),IF($C632&lt;&gt;0,SUMIF(куб!$C:$C,$C632,куб!U:U),IF($B632&lt;&gt;0,SUMIF(куб!$B:$B,$B632,куб!U:U))))))</f>
        <v>0</v>
      </c>
      <c r="AL632" s="16" t="str">
        <f t="shared" ref="AL632:AL695" si="230">IFERROR((AK632-AJ632)/ABS(AJ632),"-")</f>
        <v>-</v>
      </c>
      <c r="AM632" s="8"/>
      <c r="AN632" s="17" t="str">
        <f t="shared" ref="AN632:AN695" si="231">IFERROR(AF632/H632," ")</f>
        <v xml:space="preserve"> </v>
      </c>
      <c r="AO632" s="17" t="str">
        <f t="shared" ref="AO632:AO695" si="232">IFERROR(AG632/I632," ")</f>
        <v xml:space="preserve"> </v>
      </c>
      <c r="AP632" s="16" t="str">
        <f t="shared" ref="AP632:AP695" si="233">IFERROR(AO632-AN632,"-")</f>
        <v>-</v>
      </c>
      <c r="AQ632" s="8"/>
      <c r="AR632" s="17" t="str">
        <f t="shared" ref="AR632:AR695" si="234">IFERROR((X632-AF632)/H632,"-")</f>
        <v>-</v>
      </c>
      <c r="AS632" s="17" t="str">
        <f t="shared" ref="AS632:AS695" si="235">IFERROR((Y632-AG632)/I632,"-")</f>
        <v>-</v>
      </c>
      <c r="AT632" s="13" t="str">
        <f t="shared" ref="AT632:AT695" si="236">IFERROR(AS632-AR632,"-")</f>
        <v>-</v>
      </c>
      <c r="AU632" s="8"/>
    </row>
    <row r="633" spans="1:47" x14ac:dyDescent="0.25">
      <c r="A633" s="31"/>
      <c r="B633" s="31"/>
      <c r="C633"/>
      <c r="D633" s="31"/>
      <c r="E633"/>
      <c r="F633" s="31"/>
      <c r="G633"/>
      <c r="H633" s="27">
        <f>IF($G633&lt;&gt;0,SUMIF(куб!$G:$G,$G633,куб!H:H),IF($E633&lt;&gt;0,SUMIF(куб!$E:$E,$E633,куб!H:H),IF($D633&lt;&gt;0,SUMIF(куб!$D:$D,$D633,куб!H:H),IF($C633&lt;&gt;0,SUMIF(куб!$C:$C,$C633,куб!H:H),IF($B633&lt;&gt;0,SUMIF(куб!$B:$B,$B633,куб!H:H),IF($G633&lt;&gt;0,SUMIF(куб!$A:$A,$G633,куб!H:H),SUMIF(куб!$A:$A,$G633,куб!H:H)))))))</f>
        <v>0</v>
      </c>
      <c r="I633" s="27">
        <f>IF($G633&lt;&gt;0,SUMIF(куб!$G:$G,$G633,куб!I:I),IF($E633&lt;&gt;0,SUMIF(куб!$E:$E,$E633,куб!I:I),IF($D633&lt;&gt;0,SUMIF(куб!$D:$D,$D633,куб!I:I),IF($C633&lt;&gt;0,SUMIF(куб!$C:$C,$C633,куб!I:I),IF($B633&lt;&gt;0,SUMIF(куб!$B:$B,$B633,куб!I:I),IF($G633&lt;&gt;0,SUMIF(куб!$A:$A,$G633,куб!I:I),SUMIF(куб!$A:$A,$G633,куб!I:I)))))))</f>
        <v>0</v>
      </c>
      <c r="J633" s="19" t="str">
        <f t="shared" si="219"/>
        <v>-</v>
      </c>
      <c r="K633" s="8"/>
      <c r="L633" s="17">
        <f t="shared" si="220"/>
        <v>0</v>
      </c>
      <c r="M633" s="17">
        <f t="shared" si="221"/>
        <v>0</v>
      </c>
      <c r="N633" s="12">
        <f t="shared" si="222"/>
        <v>0</v>
      </c>
      <c r="O633" s="5"/>
      <c r="P633" s="27" t="b">
        <f>IF($G633&lt;&gt;0,SUMIF(куб!$G:$G,$G633,куб!J:J),IF($E633&lt;&gt;0,SUMIF(куб!$E:$E,$E633,куб!J:J),IF($D633&lt;&gt;0,SUMIF(куб!$D:$D,$D633,куб!J:J),IF($C633&lt;&gt;0,SUMIF(куб!$C:$C,$C633,куб!J:J),IF($B633&lt;&gt;0,SUMIF(куб!$B:$B,$B633,куб!J:J))))))</f>
        <v>0</v>
      </c>
      <c r="Q633" s="27" t="b">
        <f>IF($G633&lt;&gt;0,SUMIF(куб!$G:$G,$G633,куб!K:K),IF($E633&lt;&gt;0,SUMIF(куб!$E:$E,$E633,куб!K:K),IF($D633&lt;&gt;0,SUMIF(куб!$D:$D,$D633,куб!K:K),IF($C633&lt;&gt;0,SUMIF(куб!$C:$C,$C633,куб!K:K),IF($B633&lt;&gt;0,SUMIF(куб!$B:$B,$B633,куб!K:K))))))</f>
        <v>0</v>
      </c>
      <c r="R633" s="13" t="str">
        <f t="shared" si="223"/>
        <v>-</v>
      </c>
      <c r="S633" s="5"/>
      <c r="T633" s="27" t="b">
        <f>IF($G633&lt;&gt;0,SUMIF(куб!$G:$G,$G633,куб!L:L),IF($E633&lt;&gt;0,SUMIF(куб!$E:$E,$E633,куб!L:L),IF($D633&lt;&gt;0,SUMIF(куб!$D:$D,$D633,куб!L:L),IF($C633&lt;&gt;0,SUMIF(куб!$C:$C,$C633,куб!L:L),IF($B633&lt;&gt;0,SUMIF(куб!$B:$B,$B633,куб!L:L))))))</f>
        <v>0</v>
      </c>
      <c r="U633" s="27" t="b">
        <f>IF($G633&lt;&gt;0,SUMIF(куб!$G:$G,$G633,куб!M:M),IF($E633&lt;&gt;0,SUMIF(куб!$E:$E,$E633,куб!M:M),IF($D633&lt;&gt;0,SUMIF(куб!$D:$D,$D633,куб!M:M),IF($C633&lt;&gt;0,SUMIF(куб!$C:$C,$C633,куб!M:M),IF($B633&lt;&gt;0,SUMIF(куб!$B:$B,$B633,куб!M:M))))))</f>
        <v>0</v>
      </c>
      <c r="V633" s="13" t="str">
        <f t="shared" si="224"/>
        <v>-</v>
      </c>
      <c r="W633" s="5"/>
      <c r="X633" s="27" t="b">
        <f>IF($G633&lt;&gt;0,SUMIF(куб!$G:$G,$G633,куб!N:N),IF($E633&lt;&gt;0,SUMIF(куб!$E:$E,$E633,куб!N:N),IF($D633&lt;&gt;0,SUMIF(куб!$D:$D,$D633,куб!N:N),IF($C633&lt;&gt;0,SUMIF(куб!$C:$C,$C633,куб!N:N),IF($B633&lt;&gt;0,SUMIF(куб!$B:$B,$B633,куб!N:N))))))</f>
        <v>0</v>
      </c>
      <c r="Y633" s="27" t="b">
        <f>IF($G633&lt;&gt;0,SUMIF(куб!$G:$G,$G633,куб!O:O),IF($E633&lt;&gt;0,SUMIF(куб!$E:$E,$E633,куб!O:O),IF($D633&lt;&gt;0,SUMIF(куб!$D:$D,$D633,куб!O:O),IF($C633&lt;&gt;0,SUMIF(куб!$C:$C,$C633,куб!O:O),IF($B633&lt;&gt;0,SUMIF(куб!$B:$B,$B633,куб!O:O))))))</f>
        <v>0</v>
      </c>
      <c r="Z633" s="13" t="str">
        <f t="shared" si="225"/>
        <v>-</v>
      </c>
      <c r="AA633" s="5"/>
      <c r="AB633" s="33" t="str">
        <f t="shared" si="226"/>
        <v/>
      </c>
      <c r="AC633" s="33" t="str">
        <f t="shared" si="227"/>
        <v/>
      </c>
      <c r="AD633" s="15" t="str">
        <f t="shared" si="228"/>
        <v xml:space="preserve"> </v>
      </c>
      <c r="AE633" s="5"/>
      <c r="AF633" s="27" t="b">
        <f>IF($G633&lt;&gt;0,SUMIF(куб!$G:$G,$G633,куб!R:R),IF($E633&lt;&gt;0,SUMIF(куб!$E:$E,$E633,куб!R:R),IF($D633&lt;&gt;0,SUMIF(куб!$D:$D,$D633,куб!R:R),IF($C633&lt;&gt;0,SUMIF(куб!$C:$C,$C633,куб!R:R),IF($B633&lt;&gt;0,SUMIF(куб!$B:$B,$B633,куб!R:R))))))</f>
        <v>0</v>
      </c>
      <c r="AG633" s="27" t="b">
        <f>IF($G633&lt;&gt;0,SUMIF(куб!$G:$G,$G633,куб!S:S),IF($E633&lt;&gt;0,SUMIF(куб!$E:$E,$E633,куб!S:S),IF($D633&lt;&gt;0,SUMIF(куб!$D:$D,$D633,куб!S:S),IF($C633&lt;&gt;0,SUMIF(куб!$C:$C,$C633,куб!S:S),IF($B633&lt;&gt;0,SUMIF(куб!$B:$B,$B633,куб!S:S))))))</f>
        <v>0</v>
      </c>
      <c r="AH633" s="16" t="str">
        <f t="shared" si="229"/>
        <v>-</v>
      </c>
      <c r="AI633" s="8"/>
      <c r="AJ633" s="27" t="b">
        <f>IF($G633&lt;&gt;0,SUMIF(куб!$G:$G,$G633,куб!T:T),IF($E633&lt;&gt;0,SUMIF(куб!$E:$E,$E633,куб!T:T),IF($D633&lt;&gt;0,SUMIF(куб!$D:$D,$D633,куб!T:T),IF($C633&lt;&gt;0,SUMIF(куб!$C:$C,$C633,куб!T:T),IF($B633&lt;&gt;0,SUMIF(куб!$B:$B,$B633,куб!T:T))))))</f>
        <v>0</v>
      </c>
      <c r="AK633" s="27" t="b">
        <f>IF($G633&lt;&gt;0,SUMIF(куб!$G:$G,$G633,куб!U:U),IF($E633&lt;&gt;0,SUMIF(куб!$E:$E,$E633,куб!U:U),IF($D633&lt;&gt;0,SUMIF(куб!$D:$D,$D633,куб!U:U),IF($C633&lt;&gt;0,SUMIF(куб!$C:$C,$C633,куб!U:U),IF($B633&lt;&gt;0,SUMIF(куб!$B:$B,$B633,куб!U:U))))))</f>
        <v>0</v>
      </c>
      <c r="AL633" s="16" t="str">
        <f t="shared" si="230"/>
        <v>-</v>
      </c>
      <c r="AM633" s="8"/>
      <c r="AN633" s="17" t="str">
        <f t="shared" si="231"/>
        <v xml:space="preserve"> </v>
      </c>
      <c r="AO633" s="17" t="str">
        <f t="shared" si="232"/>
        <v xml:space="preserve"> </v>
      </c>
      <c r="AP633" s="16" t="str">
        <f t="shared" si="233"/>
        <v>-</v>
      </c>
      <c r="AQ633" s="8"/>
      <c r="AR633" s="17" t="str">
        <f t="shared" si="234"/>
        <v>-</v>
      </c>
      <c r="AS633" s="17" t="str">
        <f t="shared" si="235"/>
        <v>-</v>
      </c>
      <c r="AT633" s="13" t="str">
        <f t="shared" si="236"/>
        <v>-</v>
      </c>
      <c r="AU633" s="8"/>
    </row>
    <row r="634" spans="1:47" x14ac:dyDescent="0.25">
      <c r="A634" s="31"/>
      <c r="B634" s="31"/>
      <c r="C634"/>
      <c r="D634" s="31"/>
      <c r="E634"/>
      <c r="F634" s="31"/>
      <c r="G634"/>
      <c r="H634" s="27">
        <f>IF($G634&lt;&gt;0,SUMIF(куб!$G:$G,$G634,куб!H:H),IF($E634&lt;&gt;0,SUMIF(куб!$E:$E,$E634,куб!H:H),IF($D634&lt;&gt;0,SUMIF(куб!$D:$D,$D634,куб!H:H),IF($C634&lt;&gt;0,SUMIF(куб!$C:$C,$C634,куб!H:H),IF($B634&lt;&gt;0,SUMIF(куб!$B:$B,$B634,куб!H:H),IF($G634&lt;&gt;0,SUMIF(куб!$A:$A,$G634,куб!H:H),SUMIF(куб!$A:$A,$G634,куб!H:H)))))))</f>
        <v>0</v>
      </c>
      <c r="I634" s="27">
        <f>IF($G634&lt;&gt;0,SUMIF(куб!$G:$G,$G634,куб!I:I),IF($E634&lt;&gt;0,SUMIF(куб!$E:$E,$E634,куб!I:I),IF($D634&lt;&gt;0,SUMIF(куб!$D:$D,$D634,куб!I:I),IF($C634&lt;&gt;0,SUMIF(куб!$C:$C,$C634,куб!I:I),IF($B634&lt;&gt;0,SUMIF(куб!$B:$B,$B634,куб!I:I),IF($G634&lt;&gt;0,SUMIF(куб!$A:$A,$G634,куб!I:I),SUMIF(куб!$A:$A,$G634,куб!I:I)))))))</f>
        <v>0</v>
      </c>
      <c r="J634" s="19" t="str">
        <f t="shared" si="219"/>
        <v>-</v>
      </c>
      <c r="K634" s="8"/>
      <c r="L634" s="17">
        <f t="shared" si="220"/>
        <v>0</v>
      </c>
      <c r="M634" s="17">
        <f t="shared" si="221"/>
        <v>0</v>
      </c>
      <c r="N634" s="12">
        <f t="shared" si="222"/>
        <v>0</v>
      </c>
      <c r="O634" s="5"/>
      <c r="P634" s="27" t="b">
        <f>IF($G634&lt;&gt;0,SUMIF(куб!$G:$G,$G634,куб!J:J),IF($E634&lt;&gt;0,SUMIF(куб!$E:$E,$E634,куб!J:J),IF($D634&lt;&gt;0,SUMIF(куб!$D:$D,$D634,куб!J:J),IF($C634&lt;&gt;0,SUMIF(куб!$C:$C,$C634,куб!J:J),IF($B634&lt;&gt;0,SUMIF(куб!$B:$B,$B634,куб!J:J))))))</f>
        <v>0</v>
      </c>
      <c r="Q634" s="27" t="b">
        <f>IF($G634&lt;&gt;0,SUMIF(куб!$G:$G,$G634,куб!K:K),IF($E634&lt;&gt;0,SUMIF(куб!$E:$E,$E634,куб!K:K),IF($D634&lt;&gt;0,SUMIF(куб!$D:$D,$D634,куб!K:K),IF($C634&lt;&gt;0,SUMIF(куб!$C:$C,$C634,куб!K:K),IF($B634&lt;&gt;0,SUMIF(куб!$B:$B,$B634,куб!K:K))))))</f>
        <v>0</v>
      </c>
      <c r="R634" s="13" t="str">
        <f t="shared" si="223"/>
        <v>-</v>
      </c>
      <c r="S634" s="5"/>
      <c r="T634" s="27" t="b">
        <f>IF($G634&lt;&gt;0,SUMIF(куб!$G:$G,$G634,куб!L:L),IF($E634&lt;&gt;0,SUMIF(куб!$E:$E,$E634,куб!L:L),IF($D634&lt;&gt;0,SUMIF(куб!$D:$D,$D634,куб!L:L),IF($C634&lt;&gt;0,SUMIF(куб!$C:$C,$C634,куб!L:L),IF($B634&lt;&gt;0,SUMIF(куб!$B:$B,$B634,куб!L:L))))))</f>
        <v>0</v>
      </c>
      <c r="U634" s="27" t="b">
        <f>IF($G634&lt;&gt;0,SUMIF(куб!$G:$G,$G634,куб!M:M),IF($E634&lt;&gt;0,SUMIF(куб!$E:$E,$E634,куб!M:M),IF($D634&lt;&gt;0,SUMIF(куб!$D:$D,$D634,куб!M:M),IF($C634&lt;&gt;0,SUMIF(куб!$C:$C,$C634,куб!M:M),IF($B634&lt;&gt;0,SUMIF(куб!$B:$B,$B634,куб!M:M))))))</f>
        <v>0</v>
      </c>
      <c r="V634" s="13" t="str">
        <f t="shared" si="224"/>
        <v>-</v>
      </c>
      <c r="W634" s="5"/>
      <c r="X634" s="27" t="b">
        <f>IF($G634&lt;&gt;0,SUMIF(куб!$G:$G,$G634,куб!N:N),IF($E634&lt;&gt;0,SUMIF(куб!$E:$E,$E634,куб!N:N),IF($D634&lt;&gt;0,SUMIF(куб!$D:$D,$D634,куб!N:N),IF($C634&lt;&gt;0,SUMIF(куб!$C:$C,$C634,куб!N:N),IF($B634&lt;&gt;0,SUMIF(куб!$B:$B,$B634,куб!N:N))))))</f>
        <v>0</v>
      </c>
      <c r="Y634" s="27" t="b">
        <f>IF($G634&lt;&gt;0,SUMIF(куб!$G:$G,$G634,куб!O:O),IF($E634&lt;&gt;0,SUMIF(куб!$E:$E,$E634,куб!O:O),IF($D634&lt;&gt;0,SUMIF(куб!$D:$D,$D634,куб!O:O),IF($C634&lt;&gt;0,SUMIF(куб!$C:$C,$C634,куб!O:O),IF($B634&lt;&gt;0,SUMIF(куб!$B:$B,$B634,куб!O:O))))))</f>
        <v>0</v>
      </c>
      <c r="Z634" s="13" t="str">
        <f t="shared" si="225"/>
        <v>-</v>
      </c>
      <c r="AA634" s="5"/>
      <c r="AB634" s="33" t="str">
        <f t="shared" si="226"/>
        <v/>
      </c>
      <c r="AC634" s="33" t="str">
        <f t="shared" si="227"/>
        <v/>
      </c>
      <c r="AD634" s="15" t="str">
        <f t="shared" si="228"/>
        <v xml:space="preserve"> </v>
      </c>
      <c r="AE634" s="5"/>
      <c r="AF634" s="27" t="b">
        <f>IF($G634&lt;&gt;0,SUMIF(куб!$G:$G,$G634,куб!R:R),IF($E634&lt;&gt;0,SUMIF(куб!$E:$E,$E634,куб!R:R),IF($D634&lt;&gt;0,SUMIF(куб!$D:$D,$D634,куб!R:R),IF($C634&lt;&gt;0,SUMIF(куб!$C:$C,$C634,куб!R:R),IF($B634&lt;&gt;0,SUMIF(куб!$B:$B,$B634,куб!R:R))))))</f>
        <v>0</v>
      </c>
      <c r="AG634" s="27" t="b">
        <f>IF($G634&lt;&gt;0,SUMIF(куб!$G:$G,$G634,куб!S:S),IF($E634&lt;&gt;0,SUMIF(куб!$E:$E,$E634,куб!S:S),IF($D634&lt;&gt;0,SUMIF(куб!$D:$D,$D634,куб!S:S),IF($C634&lt;&gt;0,SUMIF(куб!$C:$C,$C634,куб!S:S),IF($B634&lt;&gt;0,SUMIF(куб!$B:$B,$B634,куб!S:S))))))</f>
        <v>0</v>
      </c>
      <c r="AH634" s="16" t="str">
        <f t="shared" si="229"/>
        <v>-</v>
      </c>
      <c r="AI634" s="8"/>
      <c r="AJ634" s="27" t="b">
        <f>IF($G634&lt;&gt;0,SUMIF(куб!$G:$G,$G634,куб!T:T),IF($E634&lt;&gt;0,SUMIF(куб!$E:$E,$E634,куб!T:T),IF($D634&lt;&gt;0,SUMIF(куб!$D:$D,$D634,куб!T:T),IF($C634&lt;&gt;0,SUMIF(куб!$C:$C,$C634,куб!T:T),IF($B634&lt;&gt;0,SUMIF(куб!$B:$B,$B634,куб!T:T))))))</f>
        <v>0</v>
      </c>
      <c r="AK634" s="27" t="b">
        <f>IF($G634&lt;&gt;0,SUMIF(куб!$G:$G,$G634,куб!U:U),IF($E634&lt;&gt;0,SUMIF(куб!$E:$E,$E634,куб!U:U),IF($D634&lt;&gt;0,SUMIF(куб!$D:$D,$D634,куб!U:U),IF($C634&lt;&gt;0,SUMIF(куб!$C:$C,$C634,куб!U:U),IF($B634&lt;&gt;0,SUMIF(куб!$B:$B,$B634,куб!U:U))))))</f>
        <v>0</v>
      </c>
      <c r="AL634" s="16" t="str">
        <f t="shared" si="230"/>
        <v>-</v>
      </c>
      <c r="AM634" s="8"/>
      <c r="AN634" s="17" t="str">
        <f t="shared" si="231"/>
        <v xml:space="preserve"> </v>
      </c>
      <c r="AO634" s="17" t="str">
        <f t="shared" si="232"/>
        <v xml:space="preserve"> </v>
      </c>
      <c r="AP634" s="16" t="str">
        <f t="shared" si="233"/>
        <v>-</v>
      </c>
      <c r="AQ634" s="8"/>
      <c r="AR634" s="17" t="str">
        <f t="shared" si="234"/>
        <v>-</v>
      </c>
      <c r="AS634" s="17" t="str">
        <f t="shared" si="235"/>
        <v>-</v>
      </c>
      <c r="AT634" s="13" t="str">
        <f t="shared" si="236"/>
        <v>-</v>
      </c>
      <c r="AU634" s="8"/>
    </row>
    <row r="635" spans="1:47" x14ac:dyDescent="0.25">
      <c r="A635" s="31"/>
      <c r="B635" s="31"/>
      <c r="C635"/>
      <c r="D635" s="31"/>
      <c r="E635"/>
      <c r="F635" s="31"/>
      <c r="G635"/>
      <c r="H635" s="27">
        <f>IF($G635&lt;&gt;0,SUMIF(куб!$G:$G,$G635,куб!H:H),IF($E635&lt;&gt;0,SUMIF(куб!$E:$E,$E635,куб!H:H),IF($D635&lt;&gt;0,SUMIF(куб!$D:$D,$D635,куб!H:H),IF($C635&lt;&gt;0,SUMIF(куб!$C:$C,$C635,куб!H:H),IF($B635&lt;&gt;0,SUMIF(куб!$B:$B,$B635,куб!H:H),IF($G635&lt;&gt;0,SUMIF(куб!$A:$A,$G635,куб!H:H),SUMIF(куб!$A:$A,$G635,куб!H:H)))))))</f>
        <v>0</v>
      </c>
      <c r="I635" s="27">
        <f>IF($G635&lt;&gt;0,SUMIF(куб!$G:$G,$G635,куб!I:I),IF($E635&lt;&gt;0,SUMIF(куб!$E:$E,$E635,куб!I:I),IF($D635&lt;&gt;0,SUMIF(куб!$D:$D,$D635,куб!I:I),IF($C635&lt;&gt;0,SUMIF(куб!$C:$C,$C635,куб!I:I),IF($B635&lt;&gt;0,SUMIF(куб!$B:$B,$B635,куб!I:I),IF($G635&lt;&gt;0,SUMIF(куб!$A:$A,$G635,куб!I:I),SUMIF(куб!$A:$A,$G635,куб!I:I)))))))</f>
        <v>0</v>
      </c>
      <c r="J635" s="19" t="str">
        <f t="shared" si="219"/>
        <v>-</v>
      </c>
      <c r="K635" s="8"/>
      <c r="L635" s="17">
        <f t="shared" si="220"/>
        <v>0</v>
      </c>
      <c r="M635" s="17">
        <f t="shared" si="221"/>
        <v>0</v>
      </c>
      <c r="N635" s="12">
        <f t="shared" si="222"/>
        <v>0</v>
      </c>
      <c r="O635" s="5"/>
      <c r="P635" s="27" t="b">
        <f>IF($G635&lt;&gt;0,SUMIF(куб!$G:$G,$G635,куб!J:J),IF($E635&lt;&gt;0,SUMIF(куб!$E:$E,$E635,куб!J:J),IF($D635&lt;&gt;0,SUMIF(куб!$D:$D,$D635,куб!J:J),IF($C635&lt;&gt;0,SUMIF(куб!$C:$C,$C635,куб!J:J),IF($B635&lt;&gt;0,SUMIF(куб!$B:$B,$B635,куб!J:J))))))</f>
        <v>0</v>
      </c>
      <c r="Q635" s="27" t="b">
        <f>IF($G635&lt;&gt;0,SUMIF(куб!$G:$G,$G635,куб!K:K),IF($E635&lt;&gt;0,SUMIF(куб!$E:$E,$E635,куб!K:K),IF($D635&lt;&gt;0,SUMIF(куб!$D:$D,$D635,куб!K:K),IF($C635&lt;&gt;0,SUMIF(куб!$C:$C,$C635,куб!K:K),IF($B635&lt;&gt;0,SUMIF(куб!$B:$B,$B635,куб!K:K))))))</f>
        <v>0</v>
      </c>
      <c r="R635" s="13" t="str">
        <f t="shared" si="223"/>
        <v>-</v>
      </c>
      <c r="S635" s="5"/>
      <c r="T635" s="27" t="b">
        <f>IF($G635&lt;&gt;0,SUMIF(куб!$G:$G,$G635,куб!L:L),IF($E635&lt;&gt;0,SUMIF(куб!$E:$E,$E635,куб!L:L),IF($D635&lt;&gt;0,SUMIF(куб!$D:$D,$D635,куб!L:L),IF($C635&lt;&gt;0,SUMIF(куб!$C:$C,$C635,куб!L:L),IF($B635&lt;&gt;0,SUMIF(куб!$B:$B,$B635,куб!L:L))))))</f>
        <v>0</v>
      </c>
      <c r="U635" s="27" t="b">
        <f>IF($G635&lt;&gt;0,SUMIF(куб!$G:$G,$G635,куб!M:M),IF($E635&lt;&gt;0,SUMIF(куб!$E:$E,$E635,куб!M:M),IF($D635&lt;&gt;0,SUMIF(куб!$D:$D,$D635,куб!M:M),IF($C635&lt;&gt;0,SUMIF(куб!$C:$C,$C635,куб!M:M),IF($B635&lt;&gt;0,SUMIF(куб!$B:$B,$B635,куб!M:M))))))</f>
        <v>0</v>
      </c>
      <c r="V635" s="13" t="str">
        <f t="shared" si="224"/>
        <v>-</v>
      </c>
      <c r="W635" s="5"/>
      <c r="X635" s="27" t="b">
        <f>IF($G635&lt;&gt;0,SUMIF(куб!$G:$G,$G635,куб!N:N),IF($E635&lt;&gt;0,SUMIF(куб!$E:$E,$E635,куб!N:N),IF($D635&lt;&gt;0,SUMIF(куб!$D:$D,$D635,куб!N:N),IF($C635&lt;&gt;0,SUMIF(куб!$C:$C,$C635,куб!N:N),IF($B635&lt;&gt;0,SUMIF(куб!$B:$B,$B635,куб!N:N))))))</f>
        <v>0</v>
      </c>
      <c r="Y635" s="27" t="b">
        <f>IF($G635&lt;&gt;0,SUMIF(куб!$G:$G,$G635,куб!O:O),IF($E635&lt;&gt;0,SUMIF(куб!$E:$E,$E635,куб!O:O),IF($D635&lt;&gt;0,SUMIF(куб!$D:$D,$D635,куб!O:O),IF($C635&lt;&gt;0,SUMIF(куб!$C:$C,$C635,куб!O:O),IF($B635&lt;&gt;0,SUMIF(куб!$B:$B,$B635,куб!O:O))))))</f>
        <v>0</v>
      </c>
      <c r="Z635" s="13" t="str">
        <f t="shared" si="225"/>
        <v>-</v>
      </c>
      <c r="AA635" s="5"/>
      <c r="AB635" s="33" t="str">
        <f t="shared" si="226"/>
        <v/>
      </c>
      <c r="AC635" s="33" t="str">
        <f t="shared" si="227"/>
        <v/>
      </c>
      <c r="AD635" s="15" t="str">
        <f t="shared" si="228"/>
        <v xml:space="preserve"> </v>
      </c>
      <c r="AE635" s="5"/>
      <c r="AF635" s="27" t="b">
        <f>IF($G635&lt;&gt;0,SUMIF(куб!$G:$G,$G635,куб!R:R),IF($E635&lt;&gt;0,SUMIF(куб!$E:$E,$E635,куб!R:R),IF($D635&lt;&gt;0,SUMIF(куб!$D:$D,$D635,куб!R:R),IF($C635&lt;&gt;0,SUMIF(куб!$C:$C,$C635,куб!R:R),IF($B635&lt;&gt;0,SUMIF(куб!$B:$B,$B635,куб!R:R))))))</f>
        <v>0</v>
      </c>
      <c r="AG635" s="27" t="b">
        <f>IF($G635&lt;&gt;0,SUMIF(куб!$G:$G,$G635,куб!S:S),IF($E635&lt;&gt;0,SUMIF(куб!$E:$E,$E635,куб!S:S),IF($D635&lt;&gt;0,SUMIF(куб!$D:$D,$D635,куб!S:S),IF($C635&lt;&gt;0,SUMIF(куб!$C:$C,$C635,куб!S:S),IF($B635&lt;&gt;0,SUMIF(куб!$B:$B,$B635,куб!S:S))))))</f>
        <v>0</v>
      </c>
      <c r="AH635" s="16" t="str">
        <f t="shared" si="229"/>
        <v>-</v>
      </c>
      <c r="AI635" s="8"/>
      <c r="AJ635" s="27" t="b">
        <f>IF($G635&lt;&gt;0,SUMIF(куб!$G:$G,$G635,куб!T:T),IF($E635&lt;&gt;0,SUMIF(куб!$E:$E,$E635,куб!T:T),IF($D635&lt;&gt;0,SUMIF(куб!$D:$D,$D635,куб!T:T),IF($C635&lt;&gt;0,SUMIF(куб!$C:$C,$C635,куб!T:T),IF($B635&lt;&gt;0,SUMIF(куб!$B:$B,$B635,куб!T:T))))))</f>
        <v>0</v>
      </c>
      <c r="AK635" s="27" t="b">
        <f>IF($G635&lt;&gt;0,SUMIF(куб!$G:$G,$G635,куб!U:U),IF($E635&lt;&gt;0,SUMIF(куб!$E:$E,$E635,куб!U:U),IF($D635&lt;&gt;0,SUMIF(куб!$D:$D,$D635,куб!U:U),IF($C635&lt;&gt;0,SUMIF(куб!$C:$C,$C635,куб!U:U),IF($B635&lt;&gt;0,SUMIF(куб!$B:$B,$B635,куб!U:U))))))</f>
        <v>0</v>
      </c>
      <c r="AL635" s="16" t="str">
        <f t="shared" si="230"/>
        <v>-</v>
      </c>
      <c r="AM635" s="8"/>
      <c r="AN635" s="17" t="str">
        <f t="shared" si="231"/>
        <v xml:space="preserve"> </v>
      </c>
      <c r="AO635" s="17" t="str">
        <f t="shared" si="232"/>
        <v xml:space="preserve"> </v>
      </c>
      <c r="AP635" s="16" t="str">
        <f t="shared" si="233"/>
        <v>-</v>
      </c>
      <c r="AQ635" s="8"/>
      <c r="AR635" s="17" t="str">
        <f t="shared" si="234"/>
        <v>-</v>
      </c>
      <c r="AS635" s="17" t="str">
        <f t="shared" si="235"/>
        <v>-</v>
      </c>
      <c r="AT635" s="13" t="str">
        <f t="shared" si="236"/>
        <v>-</v>
      </c>
      <c r="AU635" s="8"/>
    </row>
    <row r="636" spans="1:47" x14ac:dyDescent="0.25">
      <c r="A636" s="31"/>
      <c r="B636" s="31"/>
      <c r="C636"/>
      <c r="D636" s="31"/>
      <c r="E636"/>
      <c r="F636"/>
      <c r="G636"/>
      <c r="H636" s="27">
        <f>IF($G636&lt;&gt;0,SUMIF(куб!$G:$G,$G636,куб!H:H),IF($E636&lt;&gt;0,SUMIF(куб!$E:$E,$E636,куб!H:H),IF($D636&lt;&gt;0,SUMIF(куб!$D:$D,$D636,куб!H:H),IF($C636&lt;&gt;0,SUMIF(куб!$C:$C,$C636,куб!H:H),IF($B636&lt;&gt;0,SUMIF(куб!$B:$B,$B636,куб!H:H),IF($G636&lt;&gt;0,SUMIF(куб!$A:$A,$G636,куб!H:H),SUMIF(куб!$A:$A,$G636,куб!H:H)))))))</f>
        <v>0</v>
      </c>
      <c r="I636" s="27">
        <f>IF($G636&lt;&gt;0,SUMIF(куб!$G:$G,$G636,куб!I:I),IF($E636&lt;&gt;0,SUMIF(куб!$E:$E,$E636,куб!I:I),IF($D636&lt;&gt;0,SUMIF(куб!$D:$D,$D636,куб!I:I),IF($C636&lt;&gt;0,SUMIF(куб!$C:$C,$C636,куб!I:I),IF($B636&lt;&gt;0,SUMIF(куб!$B:$B,$B636,куб!I:I),IF($G636&lt;&gt;0,SUMIF(куб!$A:$A,$G636,куб!I:I),SUMIF(куб!$A:$A,$G636,куб!I:I)))))))</f>
        <v>0</v>
      </c>
      <c r="J636" s="19" t="str">
        <f t="shared" si="219"/>
        <v>-</v>
      </c>
      <c r="K636" s="8"/>
      <c r="L636" s="17">
        <f t="shared" si="220"/>
        <v>0</v>
      </c>
      <c r="M636" s="17">
        <f t="shared" si="221"/>
        <v>0</v>
      </c>
      <c r="N636" s="12">
        <f t="shared" si="222"/>
        <v>0</v>
      </c>
      <c r="O636" s="5"/>
      <c r="P636" s="27" t="b">
        <f>IF($G636&lt;&gt;0,SUMIF(куб!$G:$G,$G636,куб!J:J),IF($E636&lt;&gt;0,SUMIF(куб!$E:$E,$E636,куб!J:J),IF($D636&lt;&gt;0,SUMIF(куб!$D:$D,$D636,куб!J:J),IF($C636&lt;&gt;0,SUMIF(куб!$C:$C,$C636,куб!J:J),IF($B636&lt;&gt;0,SUMIF(куб!$B:$B,$B636,куб!J:J))))))</f>
        <v>0</v>
      </c>
      <c r="Q636" s="27" t="b">
        <f>IF($G636&lt;&gt;0,SUMIF(куб!$G:$G,$G636,куб!K:K),IF($E636&lt;&gt;0,SUMIF(куб!$E:$E,$E636,куб!K:K),IF($D636&lt;&gt;0,SUMIF(куб!$D:$D,$D636,куб!K:K),IF($C636&lt;&gt;0,SUMIF(куб!$C:$C,$C636,куб!K:K),IF($B636&lt;&gt;0,SUMIF(куб!$B:$B,$B636,куб!K:K))))))</f>
        <v>0</v>
      </c>
      <c r="R636" s="13" t="str">
        <f t="shared" si="223"/>
        <v>-</v>
      </c>
      <c r="S636" s="5"/>
      <c r="T636" s="27" t="b">
        <f>IF($G636&lt;&gt;0,SUMIF(куб!$G:$G,$G636,куб!L:L),IF($E636&lt;&gt;0,SUMIF(куб!$E:$E,$E636,куб!L:L),IF($D636&lt;&gt;0,SUMIF(куб!$D:$D,$D636,куб!L:L),IF($C636&lt;&gt;0,SUMIF(куб!$C:$C,$C636,куб!L:L),IF($B636&lt;&gt;0,SUMIF(куб!$B:$B,$B636,куб!L:L))))))</f>
        <v>0</v>
      </c>
      <c r="U636" s="27" t="b">
        <f>IF($G636&lt;&gt;0,SUMIF(куб!$G:$G,$G636,куб!M:M),IF($E636&lt;&gt;0,SUMIF(куб!$E:$E,$E636,куб!M:M),IF($D636&lt;&gt;0,SUMIF(куб!$D:$D,$D636,куб!M:M),IF($C636&lt;&gt;0,SUMIF(куб!$C:$C,$C636,куб!M:M),IF($B636&lt;&gt;0,SUMIF(куб!$B:$B,$B636,куб!M:M))))))</f>
        <v>0</v>
      </c>
      <c r="V636" s="13" t="str">
        <f t="shared" si="224"/>
        <v>-</v>
      </c>
      <c r="W636" s="5"/>
      <c r="X636" s="27" t="b">
        <f>IF($G636&lt;&gt;0,SUMIF(куб!$G:$G,$G636,куб!N:N),IF($E636&lt;&gt;0,SUMIF(куб!$E:$E,$E636,куб!N:N),IF($D636&lt;&gt;0,SUMIF(куб!$D:$D,$D636,куб!N:N),IF($C636&lt;&gt;0,SUMIF(куб!$C:$C,$C636,куб!N:N),IF($B636&lt;&gt;0,SUMIF(куб!$B:$B,$B636,куб!N:N))))))</f>
        <v>0</v>
      </c>
      <c r="Y636" s="27" t="b">
        <f>IF($G636&lt;&gt;0,SUMIF(куб!$G:$G,$G636,куб!O:O),IF($E636&lt;&gt;0,SUMIF(куб!$E:$E,$E636,куб!O:O),IF($D636&lt;&gt;0,SUMIF(куб!$D:$D,$D636,куб!O:O),IF($C636&lt;&gt;0,SUMIF(куб!$C:$C,$C636,куб!O:O),IF($B636&lt;&gt;0,SUMIF(куб!$B:$B,$B636,куб!O:O))))))</f>
        <v>0</v>
      </c>
      <c r="Z636" s="13" t="str">
        <f t="shared" si="225"/>
        <v>-</v>
      </c>
      <c r="AA636" s="5"/>
      <c r="AB636" s="33" t="str">
        <f t="shared" si="226"/>
        <v/>
      </c>
      <c r="AC636" s="33" t="str">
        <f t="shared" si="227"/>
        <v/>
      </c>
      <c r="AD636" s="15" t="str">
        <f t="shared" si="228"/>
        <v xml:space="preserve"> </v>
      </c>
      <c r="AE636" s="5"/>
      <c r="AF636" s="27" t="b">
        <f>IF($G636&lt;&gt;0,SUMIF(куб!$G:$G,$G636,куб!R:R),IF($E636&lt;&gt;0,SUMIF(куб!$E:$E,$E636,куб!R:R),IF($D636&lt;&gt;0,SUMIF(куб!$D:$D,$D636,куб!R:R),IF($C636&lt;&gt;0,SUMIF(куб!$C:$C,$C636,куб!R:R),IF($B636&lt;&gt;0,SUMIF(куб!$B:$B,$B636,куб!R:R))))))</f>
        <v>0</v>
      </c>
      <c r="AG636" s="27" t="b">
        <f>IF($G636&lt;&gt;0,SUMIF(куб!$G:$G,$G636,куб!S:S),IF($E636&lt;&gt;0,SUMIF(куб!$E:$E,$E636,куб!S:S),IF($D636&lt;&gt;0,SUMIF(куб!$D:$D,$D636,куб!S:S),IF($C636&lt;&gt;0,SUMIF(куб!$C:$C,$C636,куб!S:S),IF($B636&lt;&gt;0,SUMIF(куб!$B:$B,$B636,куб!S:S))))))</f>
        <v>0</v>
      </c>
      <c r="AH636" s="16" t="str">
        <f t="shared" si="229"/>
        <v>-</v>
      </c>
      <c r="AI636" s="8"/>
      <c r="AJ636" s="27" t="b">
        <f>IF($G636&lt;&gt;0,SUMIF(куб!$G:$G,$G636,куб!T:T),IF($E636&lt;&gt;0,SUMIF(куб!$E:$E,$E636,куб!T:T),IF($D636&lt;&gt;0,SUMIF(куб!$D:$D,$D636,куб!T:T),IF($C636&lt;&gt;0,SUMIF(куб!$C:$C,$C636,куб!T:T),IF($B636&lt;&gt;0,SUMIF(куб!$B:$B,$B636,куб!T:T))))))</f>
        <v>0</v>
      </c>
      <c r="AK636" s="27" t="b">
        <f>IF($G636&lt;&gt;0,SUMIF(куб!$G:$G,$G636,куб!U:U),IF($E636&lt;&gt;0,SUMIF(куб!$E:$E,$E636,куб!U:U),IF($D636&lt;&gt;0,SUMIF(куб!$D:$D,$D636,куб!U:U),IF($C636&lt;&gt;0,SUMIF(куб!$C:$C,$C636,куб!U:U),IF($B636&lt;&gt;0,SUMIF(куб!$B:$B,$B636,куб!U:U))))))</f>
        <v>0</v>
      </c>
      <c r="AL636" s="16" t="str">
        <f t="shared" si="230"/>
        <v>-</v>
      </c>
      <c r="AM636" s="8"/>
      <c r="AN636" s="17" t="str">
        <f t="shared" si="231"/>
        <v xml:space="preserve"> </v>
      </c>
      <c r="AO636" s="17" t="str">
        <f t="shared" si="232"/>
        <v xml:space="preserve"> </v>
      </c>
      <c r="AP636" s="16" t="str">
        <f t="shared" si="233"/>
        <v>-</v>
      </c>
      <c r="AQ636" s="8"/>
      <c r="AR636" s="17" t="str">
        <f t="shared" si="234"/>
        <v>-</v>
      </c>
      <c r="AS636" s="17" t="str">
        <f t="shared" si="235"/>
        <v>-</v>
      </c>
      <c r="AT636" s="13" t="str">
        <f t="shared" si="236"/>
        <v>-</v>
      </c>
      <c r="AU636" s="8"/>
    </row>
    <row r="637" spans="1:47" x14ac:dyDescent="0.25">
      <c r="A637" s="31"/>
      <c r="B637" s="31"/>
      <c r="C637"/>
      <c r="D637" s="31"/>
      <c r="E637" s="31"/>
      <c r="F637" s="31"/>
      <c r="G637" s="31"/>
      <c r="H637" s="27">
        <f>IF($G637&lt;&gt;0,SUMIF(куб!$G:$G,$G637,куб!H:H),IF($E637&lt;&gt;0,SUMIF(куб!$E:$E,$E637,куб!H:H),IF($D637&lt;&gt;0,SUMIF(куб!$D:$D,$D637,куб!H:H),IF($C637&lt;&gt;0,SUMIF(куб!$C:$C,$C637,куб!H:H),IF($B637&lt;&gt;0,SUMIF(куб!$B:$B,$B637,куб!H:H),IF($G637&lt;&gt;0,SUMIF(куб!$A:$A,$G637,куб!H:H),SUMIF(куб!$A:$A,$G637,куб!H:H)))))))</f>
        <v>0</v>
      </c>
      <c r="I637" s="27">
        <f>IF($G637&lt;&gt;0,SUMIF(куб!$G:$G,$G637,куб!I:I),IF($E637&lt;&gt;0,SUMIF(куб!$E:$E,$E637,куб!I:I),IF($D637&lt;&gt;0,SUMIF(куб!$D:$D,$D637,куб!I:I),IF($C637&lt;&gt;0,SUMIF(куб!$C:$C,$C637,куб!I:I),IF($B637&lt;&gt;0,SUMIF(куб!$B:$B,$B637,куб!I:I),IF($G637&lt;&gt;0,SUMIF(куб!$A:$A,$G637,куб!I:I),SUMIF(куб!$A:$A,$G637,куб!I:I)))))))</f>
        <v>0</v>
      </c>
      <c r="J637" s="19" t="str">
        <f t="shared" si="219"/>
        <v>-</v>
      </c>
      <c r="K637" s="8"/>
      <c r="L637" s="17">
        <f t="shared" si="220"/>
        <v>0</v>
      </c>
      <c r="M637" s="17">
        <f t="shared" si="221"/>
        <v>0</v>
      </c>
      <c r="N637" s="12">
        <f t="shared" si="222"/>
        <v>0</v>
      </c>
      <c r="O637" s="5"/>
      <c r="P637" s="27" t="b">
        <f>IF($G637&lt;&gt;0,SUMIF(куб!$G:$G,$G637,куб!J:J),IF($E637&lt;&gt;0,SUMIF(куб!$E:$E,$E637,куб!J:J),IF($D637&lt;&gt;0,SUMIF(куб!$D:$D,$D637,куб!J:J),IF($C637&lt;&gt;0,SUMIF(куб!$C:$C,$C637,куб!J:J),IF($B637&lt;&gt;0,SUMIF(куб!$B:$B,$B637,куб!J:J))))))</f>
        <v>0</v>
      </c>
      <c r="Q637" s="27" t="b">
        <f>IF($G637&lt;&gt;0,SUMIF(куб!$G:$G,$G637,куб!K:K),IF($E637&lt;&gt;0,SUMIF(куб!$E:$E,$E637,куб!K:K),IF($D637&lt;&gt;0,SUMIF(куб!$D:$D,$D637,куб!K:K),IF($C637&lt;&gt;0,SUMIF(куб!$C:$C,$C637,куб!K:K),IF($B637&lt;&gt;0,SUMIF(куб!$B:$B,$B637,куб!K:K))))))</f>
        <v>0</v>
      </c>
      <c r="R637" s="13" t="str">
        <f t="shared" si="223"/>
        <v>-</v>
      </c>
      <c r="S637" s="5"/>
      <c r="T637" s="27" t="b">
        <f>IF($G637&lt;&gt;0,SUMIF(куб!$G:$G,$G637,куб!L:L),IF($E637&lt;&gt;0,SUMIF(куб!$E:$E,$E637,куб!L:L),IF($D637&lt;&gt;0,SUMIF(куб!$D:$D,$D637,куб!L:L),IF($C637&lt;&gt;0,SUMIF(куб!$C:$C,$C637,куб!L:L),IF($B637&lt;&gt;0,SUMIF(куб!$B:$B,$B637,куб!L:L))))))</f>
        <v>0</v>
      </c>
      <c r="U637" s="27" t="b">
        <f>IF($G637&lt;&gt;0,SUMIF(куб!$G:$G,$G637,куб!M:M),IF($E637&lt;&gt;0,SUMIF(куб!$E:$E,$E637,куб!M:M),IF($D637&lt;&gt;0,SUMIF(куб!$D:$D,$D637,куб!M:M),IF($C637&lt;&gt;0,SUMIF(куб!$C:$C,$C637,куб!M:M),IF($B637&lt;&gt;0,SUMIF(куб!$B:$B,$B637,куб!M:M))))))</f>
        <v>0</v>
      </c>
      <c r="V637" s="13" t="str">
        <f t="shared" si="224"/>
        <v>-</v>
      </c>
      <c r="W637" s="5"/>
      <c r="X637" s="27" t="b">
        <f>IF($G637&lt;&gt;0,SUMIF(куб!$G:$G,$G637,куб!N:N),IF($E637&lt;&gt;0,SUMIF(куб!$E:$E,$E637,куб!N:N),IF($D637&lt;&gt;0,SUMIF(куб!$D:$D,$D637,куб!N:N),IF($C637&lt;&gt;0,SUMIF(куб!$C:$C,$C637,куб!N:N),IF($B637&lt;&gt;0,SUMIF(куб!$B:$B,$B637,куб!N:N))))))</f>
        <v>0</v>
      </c>
      <c r="Y637" s="27" t="b">
        <f>IF($G637&lt;&gt;0,SUMIF(куб!$G:$G,$G637,куб!O:O),IF($E637&lt;&gt;0,SUMIF(куб!$E:$E,$E637,куб!O:O),IF($D637&lt;&gt;0,SUMIF(куб!$D:$D,$D637,куб!O:O),IF($C637&lt;&gt;0,SUMIF(куб!$C:$C,$C637,куб!O:O),IF($B637&lt;&gt;0,SUMIF(куб!$B:$B,$B637,куб!O:O))))))</f>
        <v>0</v>
      </c>
      <c r="Z637" s="13" t="str">
        <f t="shared" si="225"/>
        <v>-</v>
      </c>
      <c r="AA637" s="5"/>
      <c r="AB637" s="33" t="str">
        <f t="shared" si="226"/>
        <v/>
      </c>
      <c r="AC637" s="33" t="str">
        <f t="shared" si="227"/>
        <v/>
      </c>
      <c r="AD637" s="15" t="str">
        <f t="shared" si="228"/>
        <v xml:space="preserve"> </v>
      </c>
      <c r="AE637" s="5"/>
      <c r="AF637" s="27" t="b">
        <f>IF($G637&lt;&gt;0,SUMIF(куб!$G:$G,$G637,куб!R:R),IF($E637&lt;&gt;0,SUMIF(куб!$E:$E,$E637,куб!R:R),IF($D637&lt;&gt;0,SUMIF(куб!$D:$D,$D637,куб!R:R),IF($C637&lt;&gt;0,SUMIF(куб!$C:$C,$C637,куб!R:R),IF($B637&lt;&gt;0,SUMIF(куб!$B:$B,$B637,куб!R:R))))))</f>
        <v>0</v>
      </c>
      <c r="AG637" s="27" t="b">
        <f>IF($G637&lt;&gt;0,SUMIF(куб!$G:$G,$G637,куб!S:S),IF($E637&lt;&gt;0,SUMIF(куб!$E:$E,$E637,куб!S:S),IF($D637&lt;&gt;0,SUMIF(куб!$D:$D,$D637,куб!S:S),IF($C637&lt;&gt;0,SUMIF(куб!$C:$C,$C637,куб!S:S),IF($B637&lt;&gt;0,SUMIF(куб!$B:$B,$B637,куб!S:S))))))</f>
        <v>0</v>
      </c>
      <c r="AH637" s="16" t="str">
        <f t="shared" si="229"/>
        <v>-</v>
      </c>
      <c r="AI637" s="8"/>
      <c r="AJ637" s="27" t="b">
        <f>IF($G637&lt;&gt;0,SUMIF(куб!$G:$G,$G637,куб!T:T),IF($E637&lt;&gt;0,SUMIF(куб!$E:$E,$E637,куб!T:T),IF($D637&lt;&gt;0,SUMIF(куб!$D:$D,$D637,куб!T:T),IF($C637&lt;&gt;0,SUMIF(куб!$C:$C,$C637,куб!T:T),IF($B637&lt;&gt;0,SUMIF(куб!$B:$B,$B637,куб!T:T))))))</f>
        <v>0</v>
      </c>
      <c r="AK637" s="27" t="b">
        <f>IF($G637&lt;&gt;0,SUMIF(куб!$G:$G,$G637,куб!U:U),IF($E637&lt;&gt;0,SUMIF(куб!$E:$E,$E637,куб!U:U),IF($D637&lt;&gt;0,SUMIF(куб!$D:$D,$D637,куб!U:U),IF($C637&lt;&gt;0,SUMIF(куб!$C:$C,$C637,куб!U:U),IF($B637&lt;&gt;0,SUMIF(куб!$B:$B,$B637,куб!U:U))))))</f>
        <v>0</v>
      </c>
      <c r="AL637" s="16" t="str">
        <f t="shared" si="230"/>
        <v>-</v>
      </c>
      <c r="AM637" s="8"/>
      <c r="AN637" s="17" t="str">
        <f t="shared" si="231"/>
        <v xml:space="preserve"> </v>
      </c>
      <c r="AO637" s="17" t="str">
        <f t="shared" si="232"/>
        <v xml:space="preserve"> </v>
      </c>
      <c r="AP637" s="16" t="str">
        <f t="shared" si="233"/>
        <v>-</v>
      </c>
      <c r="AQ637" s="8"/>
      <c r="AR637" s="17" t="str">
        <f t="shared" si="234"/>
        <v>-</v>
      </c>
      <c r="AS637" s="17" t="str">
        <f t="shared" si="235"/>
        <v>-</v>
      </c>
      <c r="AT637" s="13" t="str">
        <f t="shared" si="236"/>
        <v>-</v>
      </c>
      <c r="AU637" s="8"/>
    </row>
    <row r="638" spans="1:47" x14ac:dyDescent="0.25">
      <c r="A638" s="31"/>
      <c r="B638" s="31"/>
      <c r="C638"/>
      <c r="D638" s="31"/>
      <c r="E638"/>
      <c r="F638" s="31"/>
      <c r="G638"/>
      <c r="H638" s="27">
        <f>IF($G638&lt;&gt;0,SUMIF(куб!$G:$G,$G638,куб!H:H),IF($E638&lt;&gt;0,SUMIF(куб!$E:$E,$E638,куб!H:H),IF($D638&lt;&gt;0,SUMIF(куб!$D:$D,$D638,куб!H:H),IF($C638&lt;&gt;0,SUMIF(куб!$C:$C,$C638,куб!H:H),IF($B638&lt;&gt;0,SUMIF(куб!$B:$B,$B638,куб!H:H),IF($G638&lt;&gt;0,SUMIF(куб!$A:$A,$G638,куб!H:H),SUMIF(куб!$A:$A,$G638,куб!H:H)))))))</f>
        <v>0</v>
      </c>
      <c r="I638" s="27">
        <f>IF($G638&lt;&gt;0,SUMIF(куб!$G:$G,$G638,куб!I:I),IF($E638&lt;&gt;0,SUMIF(куб!$E:$E,$E638,куб!I:I),IF($D638&lt;&gt;0,SUMIF(куб!$D:$D,$D638,куб!I:I),IF($C638&lt;&gt;0,SUMIF(куб!$C:$C,$C638,куб!I:I),IF($B638&lt;&gt;0,SUMIF(куб!$B:$B,$B638,куб!I:I),IF($G638&lt;&gt;0,SUMIF(куб!$A:$A,$G638,куб!I:I),SUMIF(куб!$A:$A,$G638,куб!I:I)))))))</f>
        <v>0</v>
      </c>
      <c r="J638" s="19" t="str">
        <f t="shared" si="219"/>
        <v>-</v>
      </c>
      <c r="K638" s="8"/>
      <c r="L638" s="17">
        <f t="shared" si="220"/>
        <v>0</v>
      </c>
      <c r="M638" s="17">
        <f t="shared" si="221"/>
        <v>0</v>
      </c>
      <c r="N638" s="12">
        <f t="shared" si="222"/>
        <v>0</v>
      </c>
      <c r="O638" s="5"/>
      <c r="P638" s="27" t="b">
        <f>IF($G638&lt;&gt;0,SUMIF(куб!$G:$G,$G638,куб!J:J),IF($E638&lt;&gt;0,SUMIF(куб!$E:$E,$E638,куб!J:J),IF($D638&lt;&gt;0,SUMIF(куб!$D:$D,$D638,куб!J:J),IF($C638&lt;&gt;0,SUMIF(куб!$C:$C,$C638,куб!J:J),IF($B638&lt;&gt;0,SUMIF(куб!$B:$B,$B638,куб!J:J))))))</f>
        <v>0</v>
      </c>
      <c r="Q638" s="27" t="b">
        <f>IF($G638&lt;&gt;0,SUMIF(куб!$G:$G,$G638,куб!K:K),IF($E638&lt;&gt;0,SUMIF(куб!$E:$E,$E638,куб!K:K),IF($D638&lt;&gt;0,SUMIF(куб!$D:$D,$D638,куб!K:K),IF($C638&lt;&gt;0,SUMIF(куб!$C:$C,$C638,куб!K:K),IF($B638&lt;&gt;0,SUMIF(куб!$B:$B,$B638,куб!K:K))))))</f>
        <v>0</v>
      </c>
      <c r="R638" s="13" t="str">
        <f t="shared" si="223"/>
        <v>-</v>
      </c>
      <c r="S638" s="5"/>
      <c r="T638" s="27" t="b">
        <f>IF($G638&lt;&gt;0,SUMIF(куб!$G:$G,$G638,куб!L:L),IF($E638&lt;&gt;0,SUMIF(куб!$E:$E,$E638,куб!L:L),IF($D638&lt;&gt;0,SUMIF(куб!$D:$D,$D638,куб!L:L),IF($C638&lt;&gt;0,SUMIF(куб!$C:$C,$C638,куб!L:L),IF($B638&lt;&gt;0,SUMIF(куб!$B:$B,$B638,куб!L:L))))))</f>
        <v>0</v>
      </c>
      <c r="U638" s="27" t="b">
        <f>IF($G638&lt;&gt;0,SUMIF(куб!$G:$G,$G638,куб!M:M),IF($E638&lt;&gt;0,SUMIF(куб!$E:$E,$E638,куб!M:M),IF($D638&lt;&gt;0,SUMIF(куб!$D:$D,$D638,куб!M:M),IF($C638&lt;&gt;0,SUMIF(куб!$C:$C,$C638,куб!M:M),IF($B638&lt;&gt;0,SUMIF(куб!$B:$B,$B638,куб!M:M))))))</f>
        <v>0</v>
      </c>
      <c r="V638" s="13" t="str">
        <f t="shared" si="224"/>
        <v>-</v>
      </c>
      <c r="W638" s="5"/>
      <c r="X638" s="27" t="b">
        <f>IF($G638&lt;&gt;0,SUMIF(куб!$G:$G,$G638,куб!N:N),IF($E638&lt;&gt;0,SUMIF(куб!$E:$E,$E638,куб!N:N),IF($D638&lt;&gt;0,SUMIF(куб!$D:$D,$D638,куб!N:N),IF($C638&lt;&gt;0,SUMIF(куб!$C:$C,$C638,куб!N:N),IF($B638&lt;&gt;0,SUMIF(куб!$B:$B,$B638,куб!N:N))))))</f>
        <v>0</v>
      </c>
      <c r="Y638" s="27" t="b">
        <f>IF($G638&lt;&gt;0,SUMIF(куб!$G:$G,$G638,куб!O:O),IF($E638&lt;&gt;0,SUMIF(куб!$E:$E,$E638,куб!O:O),IF($D638&lt;&gt;0,SUMIF(куб!$D:$D,$D638,куб!O:O),IF($C638&lt;&gt;0,SUMIF(куб!$C:$C,$C638,куб!O:O),IF($B638&lt;&gt;0,SUMIF(куб!$B:$B,$B638,куб!O:O))))))</f>
        <v>0</v>
      </c>
      <c r="Z638" s="13" t="str">
        <f t="shared" si="225"/>
        <v>-</v>
      </c>
      <c r="AA638" s="5"/>
      <c r="AB638" s="33" t="str">
        <f t="shared" si="226"/>
        <v/>
      </c>
      <c r="AC638" s="33" t="str">
        <f t="shared" si="227"/>
        <v/>
      </c>
      <c r="AD638" s="15" t="str">
        <f t="shared" si="228"/>
        <v xml:space="preserve"> </v>
      </c>
      <c r="AE638" s="5"/>
      <c r="AF638" s="27" t="b">
        <f>IF($G638&lt;&gt;0,SUMIF(куб!$G:$G,$G638,куб!R:R),IF($E638&lt;&gt;0,SUMIF(куб!$E:$E,$E638,куб!R:R),IF($D638&lt;&gt;0,SUMIF(куб!$D:$D,$D638,куб!R:R),IF($C638&lt;&gt;0,SUMIF(куб!$C:$C,$C638,куб!R:R),IF($B638&lt;&gt;0,SUMIF(куб!$B:$B,$B638,куб!R:R))))))</f>
        <v>0</v>
      </c>
      <c r="AG638" s="27" t="b">
        <f>IF($G638&lt;&gt;0,SUMIF(куб!$G:$G,$G638,куб!S:S),IF($E638&lt;&gt;0,SUMIF(куб!$E:$E,$E638,куб!S:S),IF($D638&lt;&gt;0,SUMIF(куб!$D:$D,$D638,куб!S:S),IF($C638&lt;&gt;0,SUMIF(куб!$C:$C,$C638,куб!S:S),IF($B638&lt;&gt;0,SUMIF(куб!$B:$B,$B638,куб!S:S))))))</f>
        <v>0</v>
      </c>
      <c r="AH638" s="16" t="str">
        <f t="shared" si="229"/>
        <v>-</v>
      </c>
      <c r="AI638" s="8"/>
      <c r="AJ638" s="27" t="b">
        <f>IF($G638&lt;&gt;0,SUMIF(куб!$G:$G,$G638,куб!T:T),IF($E638&lt;&gt;0,SUMIF(куб!$E:$E,$E638,куб!T:T),IF($D638&lt;&gt;0,SUMIF(куб!$D:$D,$D638,куб!T:T),IF($C638&lt;&gt;0,SUMIF(куб!$C:$C,$C638,куб!T:T),IF($B638&lt;&gt;0,SUMIF(куб!$B:$B,$B638,куб!T:T))))))</f>
        <v>0</v>
      </c>
      <c r="AK638" s="27" t="b">
        <f>IF($G638&lt;&gt;0,SUMIF(куб!$G:$G,$G638,куб!U:U),IF($E638&lt;&gt;0,SUMIF(куб!$E:$E,$E638,куб!U:U),IF($D638&lt;&gt;0,SUMIF(куб!$D:$D,$D638,куб!U:U),IF($C638&lt;&gt;0,SUMIF(куб!$C:$C,$C638,куб!U:U),IF($B638&lt;&gt;0,SUMIF(куб!$B:$B,$B638,куб!U:U))))))</f>
        <v>0</v>
      </c>
      <c r="AL638" s="16" t="str">
        <f t="shared" si="230"/>
        <v>-</v>
      </c>
      <c r="AM638" s="8"/>
      <c r="AN638" s="17" t="str">
        <f t="shared" si="231"/>
        <v xml:space="preserve"> </v>
      </c>
      <c r="AO638" s="17" t="str">
        <f t="shared" si="232"/>
        <v xml:space="preserve"> </v>
      </c>
      <c r="AP638" s="16" t="str">
        <f t="shared" si="233"/>
        <v>-</v>
      </c>
      <c r="AQ638" s="8"/>
      <c r="AR638" s="17" t="str">
        <f t="shared" si="234"/>
        <v>-</v>
      </c>
      <c r="AS638" s="17" t="str">
        <f t="shared" si="235"/>
        <v>-</v>
      </c>
      <c r="AT638" s="13" t="str">
        <f t="shared" si="236"/>
        <v>-</v>
      </c>
      <c r="AU638" s="8"/>
    </row>
    <row r="639" spans="1:47" x14ac:dyDescent="0.25">
      <c r="A639" s="31"/>
      <c r="B639" s="31"/>
      <c r="C639"/>
      <c r="D639" s="31"/>
      <c r="E639"/>
      <c r="F639" s="31"/>
      <c r="G639"/>
      <c r="H639" s="27">
        <f>IF($G639&lt;&gt;0,SUMIF(куб!$G:$G,$G639,куб!H:H),IF($E639&lt;&gt;0,SUMIF(куб!$E:$E,$E639,куб!H:H),IF($D639&lt;&gt;0,SUMIF(куб!$D:$D,$D639,куб!H:H),IF($C639&lt;&gt;0,SUMIF(куб!$C:$C,$C639,куб!H:H),IF($B639&lt;&gt;0,SUMIF(куб!$B:$B,$B639,куб!H:H),IF($G639&lt;&gt;0,SUMIF(куб!$A:$A,$G639,куб!H:H),SUMIF(куб!$A:$A,$G639,куб!H:H)))))))</f>
        <v>0</v>
      </c>
      <c r="I639" s="27">
        <f>IF($G639&lt;&gt;0,SUMIF(куб!$G:$G,$G639,куб!I:I),IF($E639&lt;&gt;0,SUMIF(куб!$E:$E,$E639,куб!I:I),IF($D639&lt;&gt;0,SUMIF(куб!$D:$D,$D639,куб!I:I),IF($C639&lt;&gt;0,SUMIF(куб!$C:$C,$C639,куб!I:I),IF($B639&lt;&gt;0,SUMIF(куб!$B:$B,$B639,куб!I:I),IF($G639&lt;&gt;0,SUMIF(куб!$A:$A,$G639,куб!I:I),SUMIF(куб!$A:$A,$G639,куб!I:I)))))))</f>
        <v>0</v>
      </c>
      <c r="J639" s="19" t="str">
        <f t="shared" si="219"/>
        <v>-</v>
      </c>
      <c r="K639" s="8"/>
      <c r="L639" s="17">
        <f t="shared" si="220"/>
        <v>0</v>
      </c>
      <c r="M639" s="17">
        <f t="shared" si="221"/>
        <v>0</v>
      </c>
      <c r="N639" s="12">
        <f t="shared" si="222"/>
        <v>0</v>
      </c>
      <c r="O639" s="5"/>
      <c r="P639" s="27" t="b">
        <f>IF($G639&lt;&gt;0,SUMIF(куб!$G:$G,$G639,куб!J:J),IF($E639&lt;&gt;0,SUMIF(куб!$E:$E,$E639,куб!J:J),IF($D639&lt;&gt;0,SUMIF(куб!$D:$D,$D639,куб!J:J),IF($C639&lt;&gt;0,SUMIF(куб!$C:$C,$C639,куб!J:J),IF($B639&lt;&gt;0,SUMIF(куб!$B:$B,$B639,куб!J:J))))))</f>
        <v>0</v>
      </c>
      <c r="Q639" s="27" t="b">
        <f>IF($G639&lt;&gt;0,SUMIF(куб!$G:$G,$G639,куб!K:K),IF($E639&lt;&gt;0,SUMIF(куб!$E:$E,$E639,куб!K:K),IF($D639&lt;&gt;0,SUMIF(куб!$D:$D,$D639,куб!K:K),IF($C639&lt;&gt;0,SUMIF(куб!$C:$C,$C639,куб!K:K),IF($B639&lt;&gt;0,SUMIF(куб!$B:$B,$B639,куб!K:K))))))</f>
        <v>0</v>
      </c>
      <c r="R639" s="13" t="str">
        <f t="shared" si="223"/>
        <v>-</v>
      </c>
      <c r="S639" s="5"/>
      <c r="T639" s="27" t="b">
        <f>IF($G639&lt;&gt;0,SUMIF(куб!$G:$G,$G639,куб!L:L),IF($E639&lt;&gt;0,SUMIF(куб!$E:$E,$E639,куб!L:L),IF($D639&lt;&gt;0,SUMIF(куб!$D:$D,$D639,куб!L:L),IF($C639&lt;&gt;0,SUMIF(куб!$C:$C,$C639,куб!L:L),IF($B639&lt;&gt;0,SUMIF(куб!$B:$B,$B639,куб!L:L))))))</f>
        <v>0</v>
      </c>
      <c r="U639" s="27" t="b">
        <f>IF($G639&lt;&gt;0,SUMIF(куб!$G:$G,$G639,куб!M:M),IF($E639&lt;&gt;0,SUMIF(куб!$E:$E,$E639,куб!M:M),IF($D639&lt;&gt;0,SUMIF(куб!$D:$D,$D639,куб!M:M),IF($C639&lt;&gt;0,SUMIF(куб!$C:$C,$C639,куб!M:M),IF($B639&lt;&gt;0,SUMIF(куб!$B:$B,$B639,куб!M:M))))))</f>
        <v>0</v>
      </c>
      <c r="V639" s="13" t="str">
        <f t="shared" si="224"/>
        <v>-</v>
      </c>
      <c r="W639" s="5"/>
      <c r="X639" s="27" t="b">
        <f>IF($G639&lt;&gt;0,SUMIF(куб!$G:$G,$G639,куб!N:N),IF($E639&lt;&gt;0,SUMIF(куб!$E:$E,$E639,куб!N:N),IF($D639&lt;&gt;0,SUMIF(куб!$D:$D,$D639,куб!N:N),IF($C639&lt;&gt;0,SUMIF(куб!$C:$C,$C639,куб!N:N),IF($B639&lt;&gt;0,SUMIF(куб!$B:$B,$B639,куб!N:N))))))</f>
        <v>0</v>
      </c>
      <c r="Y639" s="27" t="b">
        <f>IF($G639&lt;&gt;0,SUMIF(куб!$G:$G,$G639,куб!O:O),IF($E639&lt;&gt;0,SUMIF(куб!$E:$E,$E639,куб!O:O),IF($D639&lt;&gt;0,SUMIF(куб!$D:$D,$D639,куб!O:O),IF($C639&lt;&gt;0,SUMIF(куб!$C:$C,$C639,куб!O:O),IF($B639&lt;&gt;0,SUMIF(куб!$B:$B,$B639,куб!O:O))))))</f>
        <v>0</v>
      </c>
      <c r="Z639" s="13" t="str">
        <f t="shared" si="225"/>
        <v>-</v>
      </c>
      <c r="AA639" s="5"/>
      <c r="AB639" s="33" t="str">
        <f t="shared" si="226"/>
        <v/>
      </c>
      <c r="AC639" s="33" t="str">
        <f t="shared" si="227"/>
        <v/>
      </c>
      <c r="AD639" s="15" t="str">
        <f t="shared" si="228"/>
        <v xml:space="preserve"> </v>
      </c>
      <c r="AE639" s="5"/>
      <c r="AF639" s="27" t="b">
        <f>IF($G639&lt;&gt;0,SUMIF(куб!$G:$G,$G639,куб!R:R),IF($E639&lt;&gt;0,SUMIF(куб!$E:$E,$E639,куб!R:R),IF($D639&lt;&gt;0,SUMIF(куб!$D:$D,$D639,куб!R:R),IF($C639&lt;&gt;0,SUMIF(куб!$C:$C,$C639,куб!R:R),IF($B639&lt;&gt;0,SUMIF(куб!$B:$B,$B639,куб!R:R))))))</f>
        <v>0</v>
      </c>
      <c r="AG639" s="27" t="b">
        <f>IF($G639&lt;&gt;0,SUMIF(куб!$G:$G,$G639,куб!S:S),IF($E639&lt;&gt;0,SUMIF(куб!$E:$E,$E639,куб!S:S),IF($D639&lt;&gt;0,SUMIF(куб!$D:$D,$D639,куб!S:S),IF($C639&lt;&gt;0,SUMIF(куб!$C:$C,$C639,куб!S:S),IF($B639&lt;&gt;0,SUMIF(куб!$B:$B,$B639,куб!S:S))))))</f>
        <v>0</v>
      </c>
      <c r="AH639" s="16" t="str">
        <f t="shared" si="229"/>
        <v>-</v>
      </c>
      <c r="AI639" s="8"/>
      <c r="AJ639" s="27" t="b">
        <f>IF($G639&lt;&gt;0,SUMIF(куб!$G:$G,$G639,куб!T:T),IF($E639&lt;&gt;0,SUMIF(куб!$E:$E,$E639,куб!T:T),IF($D639&lt;&gt;0,SUMIF(куб!$D:$D,$D639,куб!T:T),IF($C639&lt;&gt;0,SUMIF(куб!$C:$C,$C639,куб!T:T),IF($B639&lt;&gt;0,SUMIF(куб!$B:$B,$B639,куб!T:T))))))</f>
        <v>0</v>
      </c>
      <c r="AK639" s="27" t="b">
        <f>IF($G639&lt;&gt;0,SUMIF(куб!$G:$G,$G639,куб!U:U),IF($E639&lt;&gt;0,SUMIF(куб!$E:$E,$E639,куб!U:U),IF($D639&lt;&gt;0,SUMIF(куб!$D:$D,$D639,куб!U:U),IF($C639&lt;&gt;0,SUMIF(куб!$C:$C,$C639,куб!U:U),IF($B639&lt;&gt;0,SUMIF(куб!$B:$B,$B639,куб!U:U))))))</f>
        <v>0</v>
      </c>
      <c r="AL639" s="16" t="str">
        <f t="shared" si="230"/>
        <v>-</v>
      </c>
      <c r="AM639" s="8"/>
      <c r="AN639" s="17" t="str">
        <f t="shared" si="231"/>
        <v xml:space="preserve"> </v>
      </c>
      <c r="AO639" s="17" t="str">
        <f t="shared" si="232"/>
        <v xml:space="preserve"> </v>
      </c>
      <c r="AP639" s="16" t="str">
        <f t="shared" si="233"/>
        <v>-</v>
      </c>
      <c r="AQ639" s="8"/>
      <c r="AR639" s="17" t="str">
        <f t="shared" si="234"/>
        <v>-</v>
      </c>
      <c r="AS639" s="17" t="str">
        <f t="shared" si="235"/>
        <v>-</v>
      </c>
      <c r="AT639" s="13" t="str">
        <f t="shared" si="236"/>
        <v>-</v>
      </c>
      <c r="AU639" s="8"/>
    </row>
    <row r="640" spans="1:47" x14ac:dyDescent="0.25">
      <c r="A640" s="31"/>
      <c r="B640" s="31"/>
      <c r="C640"/>
      <c r="D640" s="31"/>
      <c r="E640"/>
      <c r="F640" s="31"/>
      <c r="G640"/>
      <c r="H640" s="27">
        <f>IF($G640&lt;&gt;0,SUMIF(куб!$G:$G,$G640,куб!H:H),IF($E640&lt;&gt;0,SUMIF(куб!$E:$E,$E640,куб!H:H),IF($D640&lt;&gt;0,SUMIF(куб!$D:$D,$D640,куб!H:H),IF($C640&lt;&gt;0,SUMIF(куб!$C:$C,$C640,куб!H:H),IF($B640&lt;&gt;0,SUMIF(куб!$B:$B,$B640,куб!H:H),IF($G640&lt;&gt;0,SUMIF(куб!$A:$A,$G640,куб!H:H),SUMIF(куб!$A:$A,$G640,куб!H:H)))))))</f>
        <v>0</v>
      </c>
      <c r="I640" s="27">
        <f>IF($G640&lt;&gt;0,SUMIF(куб!$G:$G,$G640,куб!I:I),IF($E640&lt;&gt;0,SUMIF(куб!$E:$E,$E640,куб!I:I),IF($D640&lt;&gt;0,SUMIF(куб!$D:$D,$D640,куб!I:I),IF($C640&lt;&gt;0,SUMIF(куб!$C:$C,$C640,куб!I:I),IF($B640&lt;&gt;0,SUMIF(куб!$B:$B,$B640,куб!I:I),IF($G640&lt;&gt;0,SUMIF(куб!$A:$A,$G640,куб!I:I),SUMIF(куб!$A:$A,$G640,куб!I:I)))))))</f>
        <v>0</v>
      </c>
      <c r="J640" s="19" t="str">
        <f t="shared" si="219"/>
        <v>-</v>
      </c>
      <c r="K640" s="8"/>
      <c r="L640" s="17">
        <f t="shared" si="220"/>
        <v>0</v>
      </c>
      <c r="M640" s="17">
        <f t="shared" si="221"/>
        <v>0</v>
      </c>
      <c r="N640" s="12">
        <f t="shared" si="222"/>
        <v>0</v>
      </c>
      <c r="O640" s="5"/>
      <c r="P640" s="27" t="b">
        <f>IF($G640&lt;&gt;0,SUMIF(куб!$G:$G,$G640,куб!J:J),IF($E640&lt;&gt;0,SUMIF(куб!$E:$E,$E640,куб!J:J),IF($D640&lt;&gt;0,SUMIF(куб!$D:$D,$D640,куб!J:J),IF($C640&lt;&gt;0,SUMIF(куб!$C:$C,$C640,куб!J:J),IF($B640&lt;&gt;0,SUMIF(куб!$B:$B,$B640,куб!J:J))))))</f>
        <v>0</v>
      </c>
      <c r="Q640" s="27" t="b">
        <f>IF($G640&lt;&gt;0,SUMIF(куб!$G:$G,$G640,куб!K:K),IF($E640&lt;&gt;0,SUMIF(куб!$E:$E,$E640,куб!K:K),IF($D640&lt;&gt;0,SUMIF(куб!$D:$D,$D640,куб!K:K),IF($C640&lt;&gt;0,SUMIF(куб!$C:$C,$C640,куб!K:K),IF($B640&lt;&gt;0,SUMIF(куб!$B:$B,$B640,куб!K:K))))))</f>
        <v>0</v>
      </c>
      <c r="R640" s="13" t="str">
        <f t="shared" si="223"/>
        <v>-</v>
      </c>
      <c r="S640" s="5"/>
      <c r="T640" s="27" t="b">
        <f>IF($G640&lt;&gt;0,SUMIF(куб!$G:$G,$G640,куб!L:L),IF($E640&lt;&gt;0,SUMIF(куб!$E:$E,$E640,куб!L:L),IF($D640&lt;&gt;0,SUMIF(куб!$D:$D,$D640,куб!L:L),IF($C640&lt;&gt;0,SUMIF(куб!$C:$C,$C640,куб!L:L),IF($B640&lt;&gt;0,SUMIF(куб!$B:$B,$B640,куб!L:L))))))</f>
        <v>0</v>
      </c>
      <c r="U640" s="27" t="b">
        <f>IF($G640&lt;&gt;0,SUMIF(куб!$G:$G,$G640,куб!M:M),IF($E640&lt;&gt;0,SUMIF(куб!$E:$E,$E640,куб!M:M),IF($D640&lt;&gt;0,SUMIF(куб!$D:$D,$D640,куб!M:M),IF($C640&lt;&gt;0,SUMIF(куб!$C:$C,$C640,куб!M:M),IF($B640&lt;&gt;0,SUMIF(куб!$B:$B,$B640,куб!M:M))))))</f>
        <v>0</v>
      </c>
      <c r="V640" s="13" t="str">
        <f t="shared" si="224"/>
        <v>-</v>
      </c>
      <c r="W640" s="5"/>
      <c r="X640" s="27" t="b">
        <f>IF($G640&lt;&gt;0,SUMIF(куб!$G:$G,$G640,куб!N:N),IF($E640&lt;&gt;0,SUMIF(куб!$E:$E,$E640,куб!N:N),IF($D640&lt;&gt;0,SUMIF(куб!$D:$D,$D640,куб!N:N),IF($C640&lt;&gt;0,SUMIF(куб!$C:$C,$C640,куб!N:N),IF($B640&lt;&gt;0,SUMIF(куб!$B:$B,$B640,куб!N:N))))))</f>
        <v>0</v>
      </c>
      <c r="Y640" s="27" t="b">
        <f>IF($G640&lt;&gt;0,SUMIF(куб!$G:$G,$G640,куб!O:O),IF($E640&lt;&gt;0,SUMIF(куб!$E:$E,$E640,куб!O:O),IF($D640&lt;&gt;0,SUMIF(куб!$D:$D,$D640,куб!O:O),IF($C640&lt;&gt;0,SUMIF(куб!$C:$C,$C640,куб!O:O),IF($B640&lt;&gt;0,SUMIF(куб!$B:$B,$B640,куб!O:O))))))</f>
        <v>0</v>
      </c>
      <c r="Z640" s="13" t="str">
        <f t="shared" si="225"/>
        <v>-</v>
      </c>
      <c r="AA640" s="5"/>
      <c r="AB640" s="33" t="str">
        <f t="shared" si="226"/>
        <v/>
      </c>
      <c r="AC640" s="33" t="str">
        <f t="shared" si="227"/>
        <v/>
      </c>
      <c r="AD640" s="15" t="str">
        <f t="shared" si="228"/>
        <v xml:space="preserve"> </v>
      </c>
      <c r="AE640" s="5"/>
      <c r="AF640" s="27" t="b">
        <f>IF($G640&lt;&gt;0,SUMIF(куб!$G:$G,$G640,куб!R:R),IF($E640&lt;&gt;0,SUMIF(куб!$E:$E,$E640,куб!R:R),IF($D640&lt;&gt;0,SUMIF(куб!$D:$D,$D640,куб!R:R),IF($C640&lt;&gt;0,SUMIF(куб!$C:$C,$C640,куб!R:R),IF($B640&lt;&gt;0,SUMIF(куб!$B:$B,$B640,куб!R:R))))))</f>
        <v>0</v>
      </c>
      <c r="AG640" s="27" t="b">
        <f>IF($G640&lt;&gt;0,SUMIF(куб!$G:$G,$G640,куб!S:S),IF($E640&lt;&gt;0,SUMIF(куб!$E:$E,$E640,куб!S:S),IF($D640&lt;&gt;0,SUMIF(куб!$D:$D,$D640,куб!S:S),IF($C640&lt;&gt;0,SUMIF(куб!$C:$C,$C640,куб!S:S),IF($B640&lt;&gt;0,SUMIF(куб!$B:$B,$B640,куб!S:S))))))</f>
        <v>0</v>
      </c>
      <c r="AH640" s="16" t="str">
        <f t="shared" si="229"/>
        <v>-</v>
      </c>
      <c r="AI640" s="8"/>
      <c r="AJ640" s="27" t="b">
        <f>IF($G640&lt;&gt;0,SUMIF(куб!$G:$G,$G640,куб!T:T),IF($E640&lt;&gt;0,SUMIF(куб!$E:$E,$E640,куб!T:T),IF($D640&lt;&gt;0,SUMIF(куб!$D:$D,$D640,куб!T:T),IF($C640&lt;&gt;0,SUMIF(куб!$C:$C,$C640,куб!T:T),IF($B640&lt;&gt;0,SUMIF(куб!$B:$B,$B640,куб!T:T))))))</f>
        <v>0</v>
      </c>
      <c r="AK640" s="27" t="b">
        <f>IF($G640&lt;&gt;0,SUMIF(куб!$G:$G,$G640,куб!U:U),IF($E640&lt;&gt;0,SUMIF(куб!$E:$E,$E640,куб!U:U),IF($D640&lt;&gt;0,SUMIF(куб!$D:$D,$D640,куб!U:U),IF($C640&lt;&gt;0,SUMIF(куб!$C:$C,$C640,куб!U:U),IF($B640&lt;&gt;0,SUMIF(куб!$B:$B,$B640,куб!U:U))))))</f>
        <v>0</v>
      </c>
      <c r="AL640" s="16" t="str">
        <f t="shared" si="230"/>
        <v>-</v>
      </c>
      <c r="AM640" s="8"/>
      <c r="AN640" s="17" t="str">
        <f t="shared" si="231"/>
        <v xml:space="preserve"> </v>
      </c>
      <c r="AO640" s="17" t="str">
        <f t="shared" si="232"/>
        <v xml:space="preserve"> </v>
      </c>
      <c r="AP640" s="16" t="str">
        <f t="shared" si="233"/>
        <v>-</v>
      </c>
      <c r="AQ640" s="8"/>
      <c r="AR640" s="17" t="str">
        <f t="shared" si="234"/>
        <v>-</v>
      </c>
      <c r="AS640" s="17" t="str">
        <f t="shared" si="235"/>
        <v>-</v>
      </c>
      <c r="AT640" s="13" t="str">
        <f t="shared" si="236"/>
        <v>-</v>
      </c>
      <c r="AU640" s="8"/>
    </row>
    <row r="641" spans="1:47" x14ac:dyDescent="0.25">
      <c r="A641" s="31"/>
      <c r="B641" s="31"/>
      <c r="C641"/>
      <c r="D641" s="31"/>
      <c r="E641"/>
      <c r="F641" s="31"/>
      <c r="G641"/>
      <c r="H641" s="27">
        <f>IF($G641&lt;&gt;0,SUMIF(куб!$G:$G,$G641,куб!H:H),IF($E641&lt;&gt;0,SUMIF(куб!$E:$E,$E641,куб!H:H),IF($D641&lt;&gt;0,SUMIF(куб!$D:$D,$D641,куб!H:H),IF($C641&lt;&gt;0,SUMIF(куб!$C:$C,$C641,куб!H:H),IF($B641&lt;&gt;0,SUMIF(куб!$B:$B,$B641,куб!H:H),IF($G641&lt;&gt;0,SUMIF(куб!$A:$A,$G641,куб!H:H),SUMIF(куб!$A:$A,$G641,куб!H:H)))))))</f>
        <v>0</v>
      </c>
      <c r="I641" s="27">
        <f>IF($G641&lt;&gt;0,SUMIF(куб!$G:$G,$G641,куб!I:I),IF($E641&lt;&gt;0,SUMIF(куб!$E:$E,$E641,куб!I:I),IF($D641&lt;&gt;0,SUMIF(куб!$D:$D,$D641,куб!I:I),IF($C641&lt;&gt;0,SUMIF(куб!$C:$C,$C641,куб!I:I),IF($B641&lt;&gt;0,SUMIF(куб!$B:$B,$B641,куб!I:I),IF($G641&lt;&gt;0,SUMIF(куб!$A:$A,$G641,куб!I:I),SUMIF(куб!$A:$A,$G641,куб!I:I)))))))</f>
        <v>0</v>
      </c>
      <c r="J641" s="19" t="str">
        <f t="shared" si="219"/>
        <v>-</v>
      </c>
      <c r="K641" s="8"/>
      <c r="L641" s="17">
        <f t="shared" si="220"/>
        <v>0</v>
      </c>
      <c r="M641" s="17">
        <f t="shared" si="221"/>
        <v>0</v>
      </c>
      <c r="N641" s="12">
        <f t="shared" si="222"/>
        <v>0</v>
      </c>
      <c r="O641" s="5"/>
      <c r="P641" s="27" t="b">
        <f>IF($G641&lt;&gt;0,SUMIF(куб!$G:$G,$G641,куб!J:J),IF($E641&lt;&gt;0,SUMIF(куб!$E:$E,$E641,куб!J:J),IF($D641&lt;&gt;0,SUMIF(куб!$D:$D,$D641,куб!J:J),IF($C641&lt;&gt;0,SUMIF(куб!$C:$C,$C641,куб!J:J),IF($B641&lt;&gt;0,SUMIF(куб!$B:$B,$B641,куб!J:J))))))</f>
        <v>0</v>
      </c>
      <c r="Q641" s="27" t="b">
        <f>IF($G641&lt;&gt;0,SUMIF(куб!$G:$G,$G641,куб!K:K),IF($E641&lt;&gt;0,SUMIF(куб!$E:$E,$E641,куб!K:K),IF($D641&lt;&gt;0,SUMIF(куб!$D:$D,$D641,куб!K:K),IF($C641&lt;&gt;0,SUMIF(куб!$C:$C,$C641,куб!K:K),IF($B641&lt;&gt;0,SUMIF(куб!$B:$B,$B641,куб!K:K))))))</f>
        <v>0</v>
      </c>
      <c r="R641" s="13" t="str">
        <f t="shared" si="223"/>
        <v>-</v>
      </c>
      <c r="S641" s="5"/>
      <c r="T641" s="27" t="b">
        <f>IF($G641&lt;&gt;0,SUMIF(куб!$G:$G,$G641,куб!L:L),IF($E641&lt;&gt;0,SUMIF(куб!$E:$E,$E641,куб!L:L),IF($D641&lt;&gt;0,SUMIF(куб!$D:$D,$D641,куб!L:L),IF($C641&lt;&gt;0,SUMIF(куб!$C:$C,$C641,куб!L:L),IF($B641&lt;&gt;0,SUMIF(куб!$B:$B,$B641,куб!L:L))))))</f>
        <v>0</v>
      </c>
      <c r="U641" s="27" t="b">
        <f>IF($G641&lt;&gt;0,SUMIF(куб!$G:$G,$G641,куб!M:M),IF($E641&lt;&gt;0,SUMIF(куб!$E:$E,$E641,куб!M:M),IF($D641&lt;&gt;0,SUMIF(куб!$D:$D,$D641,куб!M:M),IF($C641&lt;&gt;0,SUMIF(куб!$C:$C,$C641,куб!M:M),IF($B641&lt;&gt;0,SUMIF(куб!$B:$B,$B641,куб!M:M))))))</f>
        <v>0</v>
      </c>
      <c r="V641" s="13" t="str">
        <f t="shared" si="224"/>
        <v>-</v>
      </c>
      <c r="W641" s="5"/>
      <c r="X641" s="27" t="b">
        <f>IF($G641&lt;&gt;0,SUMIF(куб!$G:$G,$G641,куб!N:N),IF($E641&lt;&gt;0,SUMIF(куб!$E:$E,$E641,куб!N:N),IF($D641&lt;&gt;0,SUMIF(куб!$D:$D,$D641,куб!N:N),IF($C641&lt;&gt;0,SUMIF(куб!$C:$C,$C641,куб!N:N),IF($B641&lt;&gt;0,SUMIF(куб!$B:$B,$B641,куб!N:N))))))</f>
        <v>0</v>
      </c>
      <c r="Y641" s="27" t="b">
        <f>IF($G641&lt;&gt;0,SUMIF(куб!$G:$G,$G641,куб!O:O),IF($E641&lt;&gt;0,SUMIF(куб!$E:$E,$E641,куб!O:O),IF($D641&lt;&gt;0,SUMIF(куб!$D:$D,$D641,куб!O:O),IF($C641&lt;&gt;0,SUMIF(куб!$C:$C,$C641,куб!O:O),IF($B641&lt;&gt;0,SUMIF(куб!$B:$B,$B641,куб!O:O))))))</f>
        <v>0</v>
      </c>
      <c r="Z641" s="13" t="str">
        <f t="shared" si="225"/>
        <v>-</v>
      </c>
      <c r="AA641" s="5"/>
      <c r="AB641" s="33" t="str">
        <f t="shared" si="226"/>
        <v/>
      </c>
      <c r="AC641" s="33" t="str">
        <f t="shared" si="227"/>
        <v/>
      </c>
      <c r="AD641" s="15" t="str">
        <f t="shared" si="228"/>
        <v xml:space="preserve"> </v>
      </c>
      <c r="AE641" s="5"/>
      <c r="AF641" s="27" t="b">
        <f>IF($G641&lt;&gt;0,SUMIF(куб!$G:$G,$G641,куб!R:R),IF($E641&lt;&gt;0,SUMIF(куб!$E:$E,$E641,куб!R:R),IF($D641&lt;&gt;0,SUMIF(куб!$D:$D,$D641,куб!R:R),IF($C641&lt;&gt;0,SUMIF(куб!$C:$C,$C641,куб!R:R),IF($B641&lt;&gt;0,SUMIF(куб!$B:$B,$B641,куб!R:R))))))</f>
        <v>0</v>
      </c>
      <c r="AG641" s="27" t="b">
        <f>IF($G641&lt;&gt;0,SUMIF(куб!$G:$G,$G641,куб!S:S),IF($E641&lt;&gt;0,SUMIF(куб!$E:$E,$E641,куб!S:S),IF($D641&lt;&gt;0,SUMIF(куб!$D:$D,$D641,куб!S:S),IF($C641&lt;&gt;0,SUMIF(куб!$C:$C,$C641,куб!S:S),IF($B641&lt;&gt;0,SUMIF(куб!$B:$B,$B641,куб!S:S))))))</f>
        <v>0</v>
      </c>
      <c r="AH641" s="16" t="str">
        <f t="shared" si="229"/>
        <v>-</v>
      </c>
      <c r="AI641" s="8"/>
      <c r="AJ641" s="27" t="b">
        <f>IF($G641&lt;&gt;0,SUMIF(куб!$G:$G,$G641,куб!T:T),IF($E641&lt;&gt;0,SUMIF(куб!$E:$E,$E641,куб!T:T),IF($D641&lt;&gt;0,SUMIF(куб!$D:$D,$D641,куб!T:T),IF($C641&lt;&gt;0,SUMIF(куб!$C:$C,$C641,куб!T:T),IF($B641&lt;&gt;0,SUMIF(куб!$B:$B,$B641,куб!T:T))))))</f>
        <v>0</v>
      </c>
      <c r="AK641" s="27" t="b">
        <f>IF($G641&lt;&gt;0,SUMIF(куб!$G:$G,$G641,куб!U:U),IF($E641&lt;&gt;0,SUMIF(куб!$E:$E,$E641,куб!U:U),IF($D641&lt;&gt;0,SUMIF(куб!$D:$D,$D641,куб!U:U),IF($C641&lt;&gt;0,SUMIF(куб!$C:$C,$C641,куб!U:U),IF($B641&lt;&gt;0,SUMIF(куб!$B:$B,$B641,куб!U:U))))))</f>
        <v>0</v>
      </c>
      <c r="AL641" s="16" t="str">
        <f t="shared" si="230"/>
        <v>-</v>
      </c>
      <c r="AM641" s="8"/>
      <c r="AN641" s="17" t="str">
        <f t="shared" si="231"/>
        <v xml:space="preserve"> </v>
      </c>
      <c r="AO641" s="17" t="str">
        <f t="shared" si="232"/>
        <v xml:space="preserve"> </v>
      </c>
      <c r="AP641" s="16" t="str">
        <f t="shared" si="233"/>
        <v>-</v>
      </c>
      <c r="AQ641" s="8"/>
      <c r="AR641" s="17" t="str">
        <f t="shared" si="234"/>
        <v>-</v>
      </c>
      <c r="AS641" s="17" t="str">
        <f t="shared" si="235"/>
        <v>-</v>
      </c>
      <c r="AT641" s="13" t="str">
        <f t="shared" si="236"/>
        <v>-</v>
      </c>
      <c r="AU641" s="8"/>
    </row>
    <row r="642" spans="1:47" x14ac:dyDescent="0.25">
      <c r="A642" s="31"/>
      <c r="B642" s="31"/>
      <c r="C642"/>
      <c r="D642" s="31"/>
      <c r="E642"/>
      <c r="F642" s="31"/>
      <c r="G642"/>
      <c r="H642" s="27">
        <f>IF($G642&lt;&gt;0,SUMIF(куб!$G:$G,$G642,куб!H:H),IF($E642&lt;&gt;0,SUMIF(куб!$E:$E,$E642,куб!H:H),IF($D642&lt;&gt;0,SUMIF(куб!$D:$D,$D642,куб!H:H),IF($C642&lt;&gt;0,SUMIF(куб!$C:$C,$C642,куб!H:H),IF($B642&lt;&gt;0,SUMIF(куб!$B:$B,$B642,куб!H:H),IF($G642&lt;&gt;0,SUMIF(куб!$A:$A,$G642,куб!H:H),SUMIF(куб!$A:$A,$G642,куб!H:H)))))))</f>
        <v>0</v>
      </c>
      <c r="I642" s="27">
        <f>IF($G642&lt;&gt;0,SUMIF(куб!$G:$G,$G642,куб!I:I),IF($E642&lt;&gt;0,SUMIF(куб!$E:$E,$E642,куб!I:I),IF($D642&lt;&gt;0,SUMIF(куб!$D:$D,$D642,куб!I:I),IF($C642&lt;&gt;0,SUMIF(куб!$C:$C,$C642,куб!I:I),IF($B642&lt;&gt;0,SUMIF(куб!$B:$B,$B642,куб!I:I),IF($G642&lt;&gt;0,SUMIF(куб!$A:$A,$G642,куб!I:I),SUMIF(куб!$A:$A,$G642,куб!I:I)))))))</f>
        <v>0</v>
      </c>
      <c r="J642" s="19" t="str">
        <f t="shared" si="219"/>
        <v>-</v>
      </c>
      <c r="K642" s="8"/>
      <c r="L642" s="17">
        <f t="shared" si="220"/>
        <v>0</v>
      </c>
      <c r="M642" s="17">
        <f t="shared" si="221"/>
        <v>0</v>
      </c>
      <c r="N642" s="12">
        <f t="shared" si="222"/>
        <v>0</v>
      </c>
      <c r="O642" s="5"/>
      <c r="P642" s="27" t="b">
        <f>IF($G642&lt;&gt;0,SUMIF(куб!$G:$G,$G642,куб!J:J),IF($E642&lt;&gt;0,SUMIF(куб!$E:$E,$E642,куб!J:J),IF($D642&lt;&gt;0,SUMIF(куб!$D:$D,$D642,куб!J:J),IF($C642&lt;&gt;0,SUMIF(куб!$C:$C,$C642,куб!J:J),IF($B642&lt;&gt;0,SUMIF(куб!$B:$B,$B642,куб!J:J))))))</f>
        <v>0</v>
      </c>
      <c r="Q642" s="27" t="b">
        <f>IF($G642&lt;&gt;0,SUMIF(куб!$G:$G,$G642,куб!K:K),IF($E642&lt;&gt;0,SUMIF(куб!$E:$E,$E642,куб!K:K),IF($D642&lt;&gt;0,SUMIF(куб!$D:$D,$D642,куб!K:K),IF($C642&lt;&gt;0,SUMIF(куб!$C:$C,$C642,куб!K:K),IF($B642&lt;&gt;0,SUMIF(куб!$B:$B,$B642,куб!K:K))))))</f>
        <v>0</v>
      </c>
      <c r="R642" s="13" t="str">
        <f t="shared" si="223"/>
        <v>-</v>
      </c>
      <c r="S642" s="5"/>
      <c r="T642" s="27" t="b">
        <f>IF($G642&lt;&gt;0,SUMIF(куб!$G:$G,$G642,куб!L:L),IF($E642&lt;&gt;0,SUMIF(куб!$E:$E,$E642,куб!L:L),IF($D642&lt;&gt;0,SUMIF(куб!$D:$D,$D642,куб!L:L),IF($C642&lt;&gt;0,SUMIF(куб!$C:$C,$C642,куб!L:L),IF($B642&lt;&gt;0,SUMIF(куб!$B:$B,$B642,куб!L:L))))))</f>
        <v>0</v>
      </c>
      <c r="U642" s="27" t="b">
        <f>IF($G642&lt;&gt;0,SUMIF(куб!$G:$G,$G642,куб!M:M),IF($E642&lt;&gt;0,SUMIF(куб!$E:$E,$E642,куб!M:M),IF($D642&lt;&gt;0,SUMIF(куб!$D:$D,$D642,куб!M:M),IF($C642&lt;&gt;0,SUMIF(куб!$C:$C,$C642,куб!M:M),IF($B642&lt;&gt;0,SUMIF(куб!$B:$B,$B642,куб!M:M))))))</f>
        <v>0</v>
      </c>
      <c r="V642" s="13" t="str">
        <f t="shared" si="224"/>
        <v>-</v>
      </c>
      <c r="W642" s="5"/>
      <c r="X642" s="27" t="b">
        <f>IF($G642&lt;&gt;0,SUMIF(куб!$G:$G,$G642,куб!N:N),IF($E642&lt;&gt;0,SUMIF(куб!$E:$E,$E642,куб!N:N),IF($D642&lt;&gt;0,SUMIF(куб!$D:$D,$D642,куб!N:N),IF($C642&lt;&gt;0,SUMIF(куб!$C:$C,$C642,куб!N:N),IF($B642&lt;&gt;0,SUMIF(куб!$B:$B,$B642,куб!N:N))))))</f>
        <v>0</v>
      </c>
      <c r="Y642" s="27" t="b">
        <f>IF($G642&lt;&gt;0,SUMIF(куб!$G:$G,$G642,куб!O:O),IF($E642&lt;&gt;0,SUMIF(куб!$E:$E,$E642,куб!O:O),IF($D642&lt;&gt;0,SUMIF(куб!$D:$D,$D642,куб!O:O),IF($C642&lt;&gt;0,SUMIF(куб!$C:$C,$C642,куб!O:O),IF($B642&lt;&gt;0,SUMIF(куб!$B:$B,$B642,куб!O:O))))))</f>
        <v>0</v>
      </c>
      <c r="Z642" s="13" t="str">
        <f t="shared" si="225"/>
        <v>-</v>
      </c>
      <c r="AA642" s="5"/>
      <c r="AB642" s="33" t="str">
        <f t="shared" si="226"/>
        <v/>
      </c>
      <c r="AC642" s="33" t="str">
        <f t="shared" si="227"/>
        <v/>
      </c>
      <c r="AD642" s="15" t="str">
        <f t="shared" si="228"/>
        <v xml:space="preserve"> </v>
      </c>
      <c r="AE642" s="5"/>
      <c r="AF642" s="27" t="b">
        <f>IF($G642&lt;&gt;0,SUMIF(куб!$G:$G,$G642,куб!R:R),IF($E642&lt;&gt;0,SUMIF(куб!$E:$E,$E642,куб!R:R),IF($D642&lt;&gt;0,SUMIF(куб!$D:$D,$D642,куб!R:R),IF($C642&lt;&gt;0,SUMIF(куб!$C:$C,$C642,куб!R:R),IF($B642&lt;&gt;0,SUMIF(куб!$B:$B,$B642,куб!R:R))))))</f>
        <v>0</v>
      </c>
      <c r="AG642" s="27" t="b">
        <f>IF($G642&lt;&gt;0,SUMIF(куб!$G:$G,$G642,куб!S:S),IF($E642&lt;&gt;0,SUMIF(куб!$E:$E,$E642,куб!S:S),IF($D642&lt;&gt;0,SUMIF(куб!$D:$D,$D642,куб!S:S),IF($C642&lt;&gt;0,SUMIF(куб!$C:$C,$C642,куб!S:S),IF($B642&lt;&gt;0,SUMIF(куб!$B:$B,$B642,куб!S:S))))))</f>
        <v>0</v>
      </c>
      <c r="AH642" s="16" t="str">
        <f t="shared" si="229"/>
        <v>-</v>
      </c>
      <c r="AI642" s="8"/>
      <c r="AJ642" s="27" t="b">
        <f>IF($G642&lt;&gt;0,SUMIF(куб!$G:$G,$G642,куб!T:T),IF($E642&lt;&gt;0,SUMIF(куб!$E:$E,$E642,куб!T:T),IF($D642&lt;&gt;0,SUMIF(куб!$D:$D,$D642,куб!T:T),IF($C642&lt;&gt;0,SUMIF(куб!$C:$C,$C642,куб!T:T),IF($B642&lt;&gt;0,SUMIF(куб!$B:$B,$B642,куб!T:T))))))</f>
        <v>0</v>
      </c>
      <c r="AK642" s="27" t="b">
        <f>IF($G642&lt;&gt;0,SUMIF(куб!$G:$G,$G642,куб!U:U),IF($E642&lt;&gt;0,SUMIF(куб!$E:$E,$E642,куб!U:U),IF($D642&lt;&gt;0,SUMIF(куб!$D:$D,$D642,куб!U:U),IF($C642&lt;&gt;0,SUMIF(куб!$C:$C,$C642,куб!U:U),IF($B642&lt;&gt;0,SUMIF(куб!$B:$B,$B642,куб!U:U))))))</f>
        <v>0</v>
      </c>
      <c r="AL642" s="16" t="str">
        <f t="shared" si="230"/>
        <v>-</v>
      </c>
      <c r="AM642" s="8"/>
      <c r="AN642" s="17" t="str">
        <f t="shared" si="231"/>
        <v xml:space="preserve"> </v>
      </c>
      <c r="AO642" s="17" t="str">
        <f t="shared" si="232"/>
        <v xml:space="preserve"> </v>
      </c>
      <c r="AP642" s="16" t="str">
        <f t="shared" si="233"/>
        <v>-</v>
      </c>
      <c r="AQ642" s="8"/>
      <c r="AR642" s="17" t="str">
        <f t="shared" si="234"/>
        <v>-</v>
      </c>
      <c r="AS642" s="17" t="str">
        <f t="shared" si="235"/>
        <v>-</v>
      </c>
      <c r="AT642" s="13" t="str">
        <f t="shared" si="236"/>
        <v>-</v>
      </c>
      <c r="AU642" s="8"/>
    </row>
    <row r="643" spans="1:47" x14ac:dyDescent="0.25">
      <c r="A643" s="31"/>
      <c r="B643" s="31"/>
      <c r="C643"/>
      <c r="D643" s="31"/>
      <c r="E643"/>
      <c r="F643"/>
      <c r="G643"/>
      <c r="H643" s="27">
        <f>IF($G643&lt;&gt;0,SUMIF(куб!$G:$G,$G643,куб!H:H),IF($E643&lt;&gt;0,SUMIF(куб!$E:$E,$E643,куб!H:H),IF($D643&lt;&gt;0,SUMIF(куб!$D:$D,$D643,куб!H:H),IF($C643&lt;&gt;0,SUMIF(куб!$C:$C,$C643,куб!H:H),IF($B643&lt;&gt;0,SUMIF(куб!$B:$B,$B643,куб!H:H),IF($G643&lt;&gt;0,SUMIF(куб!$A:$A,$G643,куб!H:H),SUMIF(куб!$A:$A,$G643,куб!H:H)))))))</f>
        <v>0</v>
      </c>
      <c r="I643" s="27">
        <f>IF($G643&lt;&gt;0,SUMIF(куб!$G:$G,$G643,куб!I:I),IF($E643&lt;&gt;0,SUMIF(куб!$E:$E,$E643,куб!I:I),IF($D643&lt;&gt;0,SUMIF(куб!$D:$D,$D643,куб!I:I),IF($C643&lt;&gt;0,SUMIF(куб!$C:$C,$C643,куб!I:I),IF($B643&lt;&gt;0,SUMIF(куб!$B:$B,$B643,куб!I:I),IF($G643&lt;&gt;0,SUMIF(куб!$A:$A,$G643,куб!I:I),SUMIF(куб!$A:$A,$G643,куб!I:I)))))))</f>
        <v>0</v>
      </c>
      <c r="J643" s="19" t="str">
        <f t="shared" si="219"/>
        <v>-</v>
      </c>
      <c r="K643" s="8"/>
      <c r="L643" s="17">
        <f t="shared" si="220"/>
        <v>0</v>
      </c>
      <c r="M643" s="17">
        <f t="shared" si="221"/>
        <v>0</v>
      </c>
      <c r="N643" s="12">
        <f t="shared" si="222"/>
        <v>0</v>
      </c>
      <c r="O643" s="5"/>
      <c r="P643" s="27" t="b">
        <f>IF($G643&lt;&gt;0,SUMIF(куб!$G:$G,$G643,куб!J:J),IF($E643&lt;&gt;0,SUMIF(куб!$E:$E,$E643,куб!J:J),IF($D643&lt;&gt;0,SUMIF(куб!$D:$D,$D643,куб!J:J),IF($C643&lt;&gt;0,SUMIF(куб!$C:$C,$C643,куб!J:J),IF($B643&lt;&gt;0,SUMIF(куб!$B:$B,$B643,куб!J:J))))))</f>
        <v>0</v>
      </c>
      <c r="Q643" s="27" t="b">
        <f>IF($G643&lt;&gt;0,SUMIF(куб!$G:$G,$G643,куб!K:K),IF($E643&lt;&gt;0,SUMIF(куб!$E:$E,$E643,куб!K:K),IF($D643&lt;&gt;0,SUMIF(куб!$D:$D,$D643,куб!K:K),IF($C643&lt;&gt;0,SUMIF(куб!$C:$C,$C643,куб!K:K),IF($B643&lt;&gt;0,SUMIF(куб!$B:$B,$B643,куб!K:K))))))</f>
        <v>0</v>
      </c>
      <c r="R643" s="13" t="str">
        <f t="shared" si="223"/>
        <v>-</v>
      </c>
      <c r="S643" s="5"/>
      <c r="T643" s="27" t="b">
        <f>IF($G643&lt;&gt;0,SUMIF(куб!$G:$G,$G643,куб!L:L),IF($E643&lt;&gt;0,SUMIF(куб!$E:$E,$E643,куб!L:L),IF($D643&lt;&gt;0,SUMIF(куб!$D:$D,$D643,куб!L:L),IF($C643&lt;&gt;0,SUMIF(куб!$C:$C,$C643,куб!L:L),IF($B643&lt;&gt;0,SUMIF(куб!$B:$B,$B643,куб!L:L))))))</f>
        <v>0</v>
      </c>
      <c r="U643" s="27" t="b">
        <f>IF($G643&lt;&gt;0,SUMIF(куб!$G:$G,$G643,куб!M:M),IF($E643&lt;&gt;0,SUMIF(куб!$E:$E,$E643,куб!M:M),IF($D643&lt;&gt;0,SUMIF(куб!$D:$D,$D643,куб!M:M),IF($C643&lt;&gt;0,SUMIF(куб!$C:$C,$C643,куб!M:M),IF($B643&lt;&gt;0,SUMIF(куб!$B:$B,$B643,куб!M:M))))))</f>
        <v>0</v>
      </c>
      <c r="V643" s="13" t="str">
        <f t="shared" si="224"/>
        <v>-</v>
      </c>
      <c r="W643" s="5"/>
      <c r="X643" s="27" t="b">
        <f>IF($G643&lt;&gt;0,SUMIF(куб!$G:$G,$G643,куб!N:N),IF($E643&lt;&gt;0,SUMIF(куб!$E:$E,$E643,куб!N:N),IF($D643&lt;&gt;0,SUMIF(куб!$D:$D,$D643,куб!N:N),IF($C643&lt;&gt;0,SUMIF(куб!$C:$C,$C643,куб!N:N),IF($B643&lt;&gt;0,SUMIF(куб!$B:$B,$B643,куб!N:N))))))</f>
        <v>0</v>
      </c>
      <c r="Y643" s="27" t="b">
        <f>IF($G643&lt;&gt;0,SUMIF(куб!$G:$G,$G643,куб!O:O),IF($E643&lt;&gt;0,SUMIF(куб!$E:$E,$E643,куб!O:O),IF($D643&lt;&gt;0,SUMIF(куб!$D:$D,$D643,куб!O:O),IF($C643&lt;&gt;0,SUMIF(куб!$C:$C,$C643,куб!O:O),IF($B643&lt;&gt;0,SUMIF(куб!$B:$B,$B643,куб!O:O))))))</f>
        <v>0</v>
      </c>
      <c r="Z643" s="13" t="str">
        <f t="shared" si="225"/>
        <v>-</v>
      </c>
      <c r="AA643" s="5"/>
      <c r="AB643" s="33" t="str">
        <f t="shared" si="226"/>
        <v/>
      </c>
      <c r="AC643" s="33" t="str">
        <f t="shared" si="227"/>
        <v/>
      </c>
      <c r="AD643" s="15" t="str">
        <f t="shared" si="228"/>
        <v xml:space="preserve"> </v>
      </c>
      <c r="AE643" s="5"/>
      <c r="AF643" s="27" t="b">
        <f>IF($G643&lt;&gt;0,SUMIF(куб!$G:$G,$G643,куб!R:R),IF($E643&lt;&gt;0,SUMIF(куб!$E:$E,$E643,куб!R:R),IF($D643&lt;&gt;0,SUMIF(куб!$D:$D,$D643,куб!R:R),IF($C643&lt;&gt;0,SUMIF(куб!$C:$C,$C643,куб!R:R),IF($B643&lt;&gt;0,SUMIF(куб!$B:$B,$B643,куб!R:R))))))</f>
        <v>0</v>
      </c>
      <c r="AG643" s="27" t="b">
        <f>IF($G643&lt;&gt;0,SUMIF(куб!$G:$G,$G643,куб!S:S),IF($E643&lt;&gt;0,SUMIF(куб!$E:$E,$E643,куб!S:S),IF($D643&lt;&gt;0,SUMIF(куб!$D:$D,$D643,куб!S:S),IF($C643&lt;&gt;0,SUMIF(куб!$C:$C,$C643,куб!S:S),IF($B643&lt;&gt;0,SUMIF(куб!$B:$B,$B643,куб!S:S))))))</f>
        <v>0</v>
      </c>
      <c r="AH643" s="16" t="str">
        <f t="shared" si="229"/>
        <v>-</v>
      </c>
      <c r="AI643" s="8"/>
      <c r="AJ643" s="27" t="b">
        <f>IF($G643&lt;&gt;0,SUMIF(куб!$G:$G,$G643,куб!T:T),IF($E643&lt;&gt;0,SUMIF(куб!$E:$E,$E643,куб!T:T),IF($D643&lt;&gt;0,SUMIF(куб!$D:$D,$D643,куб!T:T),IF($C643&lt;&gt;0,SUMIF(куб!$C:$C,$C643,куб!T:T),IF($B643&lt;&gt;0,SUMIF(куб!$B:$B,$B643,куб!T:T))))))</f>
        <v>0</v>
      </c>
      <c r="AK643" s="27" t="b">
        <f>IF($G643&lt;&gt;0,SUMIF(куб!$G:$G,$G643,куб!U:U),IF($E643&lt;&gt;0,SUMIF(куб!$E:$E,$E643,куб!U:U),IF($D643&lt;&gt;0,SUMIF(куб!$D:$D,$D643,куб!U:U),IF($C643&lt;&gt;0,SUMIF(куб!$C:$C,$C643,куб!U:U),IF($B643&lt;&gt;0,SUMIF(куб!$B:$B,$B643,куб!U:U))))))</f>
        <v>0</v>
      </c>
      <c r="AL643" s="16" t="str">
        <f t="shared" si="230"/>
        <v>-</v>
      </c>
      <c r="AM643" s="8"/>
      <c r="AN643" s="17" t="str">
        <f t="shared" si="231"/>
        <v xml:space="preserve"> </v>
      </c>
      <c r="AO643" s="17" t="str">
        <f t="shared" si="232"/>
        <v xml:space="preserve"> </v>
      </c>
      <c r="AP643" s="16" t="str">
        <f t="shared" si="233"/>
        <v>-</v>
      </c>
      <c r="AQ643" s="8"/>
      <c r="AR643" s="17" t="str">
        <f t="shared" si="234"/>
        <v>-</v>
      </c>
      <c r="AS643" s="17" t="str">
        <f t="shared" si="235"/>
        <v>-</v>
      </c>
      <c r="AT643" s="13" t="str">
        <f t="shared" si="236"/>
        <v>-</v>
      </c>
      <c r="AU643" s="8"/>
    </row>
    <row r="644" spans="1:47" x14ac:dyDescent="0.25">
      <c r="A644" s="31"/>
      <c r="B644" s="31"/>
      <c r="C644"/>
      <c r="D644" s="31"/>
      <c r="E644" s="31"/>
      <c r="F644" s="31"/>
      <c r="G644" s="31"/>
      <c r="H644" s="27">
        <f>IF($G644&lt;&gt;0,SUMIF(куб!$G:$G,$G644,куб!H:H),IF($E644&lt;&gt;0,SUMIF(куб!$E:$E,$E644,куб!H:H),IF($D644&lt;&gt;0,SUMIF(куб!$D:$D,$D644,куб!H:H),IF($C644&lt;&gt;0,SUMIF(куб!$C:$C,$C644,куб!H:H),IF($B644&lt;&gt;0,SUMIF(куб!$B:$B,$B644,куб!H:H),IF($G644&lt;&gt;0,SUMIF(куб!$A:$A,$G644,куб!H:H),SUMIF(куб!$A:$A,$G644,куб!H:H)))))))</f>
        <v>0</v>
      </c>
      <c r="I644" s="27">
        <f>IF($G644&lt;&gt;0,SUMIF(куб!$G:$G,$G644,куб!I:I),IF($E644&lt;&gt;0,SUMIF(куб!$E:$E,$E644,куб!I:I),IF($D644&lt;&gt;0,SUMIF(куб!$D:$D,$D644,куб!I:I),IF($C644&lt;&gt;0,SUMIF(куб!$C:$C,$C644,куб!I:I),IF($B644&lt;&gt;0,SUMIF(куб!$B:$B,$B644,куб!I:I),IF($G644&lt;&gt;0,SUMIF(куб!$A:$A,$G644,куб!I:I),SUMIF(куб!$A:$A,$G644,куб!I:I)))))))</f>
        <v>0</v>
      </c>
      <c r="J644" s="19" t="str">
        <f t="shared" si="219"/>
        <v>-</v>
      </c>
      <c r="K644" s="8"/>
      <c r="L644" s="17">
        <f t="shared" si="220"/>
        <v>0</v>
      </c>
      <c r="M644" s="17">
        <f t="shared" si="221"/>
        <v>0</v>
      </c>
      <c r="N644" s="12">
        <f t="shared" si="222"/>
        <v>0</v>
      </c>
      <c r="O644" s="5"/>
      <c r="P644" s="27" t="b">
        <f>IF($G644&lt;&gt;0,SUMIF(куб!$G:$G,$G644,куб!J:J),IF($E644&lt;&gt;0,SUMIF(куб!$E:$E,$E644,куб!J:J),IF($D644&lt;&gt;0,SUMIF(куб!$D:$D,$D644,куб!J:J),IF($C644&lt;&gt;0,SUMIF(куб!$C:$C,$C644,куб!J:J),IF($B644&lt;&gt;0,SUMIF(куб!$B:$B,$B644,куб!J:J))))))</f>
        <v>0</v>
      </c>
      <c r="Q644" s="27" t="b">
        <f>IF($G644&lt;&gt;0,SUMIF(куб!$G:$G,$G644,куб!K:K),IF($E644&lt;&gt;0,SUMIF(куб!$E:$E,$E644,куб!K:K),IF($D644&lt;&gt;0,SUMIF(куб!$D:$D,$D644,куб!K:K),IF($C644&lt;&gt;0,SUMIF(куб!$C:$C,$C644,куб!K:K),IF($B644&lt;&gt;0,SUMIF(куб!$B:$B,$B644,куб!K:K))))))</f>
        <v>0</v>
      </c>
      <c r="R644" s="13" t="str">
        <f t="shared" si="223"/>
        <v>-</v>
      </c>
      <c r="S644" s="5"/>
      <c r="T644" s="27" t="b">
        <f>IF($G644&lt;&gt;0,SUMIF(куб!$G:$G,$G644,куб!L:L),IF($E644&lt;&gt;0,SUMIF(куб!$E:$E,$E644,куб!L:L),IF($D644&lt;&gt;0,SUMIF(куб!$D:$D,$D644,куб!L:L),IF($C644&lt;&gt;0,SUMIF(куб!$C:$C,$C644,куб!L:L),IF($B644&lt;&gt;0,SUMIF(куб!$B:$B,$B644,куб!L:L))))))</f>
        <v>0</v>
      </c>
      <c r="U644" s="27" t="b">
        <f>IF($G644&lt;&gt;0,SUMIF(куб!$G:$G,$G644,куб!M:M),IF($E644&lt;&gt;0,SUMIF(куб!$E:$E,$E644,куб!M:M),IF($D644&lt;&gt;0,SUMIF(куб!$D:$D,$D644,куб!M:M),IF($C644&lt;&gt;0,SUMIF(куб!$C:$C,$C644,куб!M:M),IF($B644&lt;&gt;0,SUMIF(куб!$B:$B,$B644,куб!M:M))))))</f>
        <v>0</v>
      </c>
      <c r="V644" s="13" t="str">
        <f t="shared" si="224"/>
        <v>-</v>
      </c>
      <c r="W644" s="5"/>
      <c r="X644" s="27" t="b">
        <f>IF($G644&lt;&gt;0,SUMIF(куб!$G:$G,$G644,куб!N:N),IF($E644&lt;&gt;0,SUMIF(куб!$E:$E,$E644,куб!N:N),IF($D644&lt;&gt;0,SUMIF(куб!$D:$D,$D644,куб!N:N),IF($C644&lt;&gt;0,SUMIF(куб!$C:$C,$C644,куб!N:N),IF($B644&lt;&gt;0,SUMIF(куб!$B:$B,$B644,куб!N:N))))))</f>
        <v>0</v>
      </c>
      <c r="Y644" s="27" t="b">
        <f>IF($G644&lt;&gt;0,SUMIF(куб!$G:$G,$G644,куб!O:O),IF($E644&lt;&gt;0,SUMIF(куб!$E:$E,$E644,куб!O:O),IF($D644&lt;&gt;0,SUMIF(куб!$D:$D,$D644,куб!O:O),IF($C644&lt;&gt;0,SUMIF(куб!$C:$C,$C644,куб!O:O),IF($B644&lt;&gt;0,SUMIF(куб!$B:$B,$B644,куб!O:O))))))</f>
        <v>0</v>
      </c>
      <c r="Z644" s="13" t="str">
        <f t="shared" si="225"/>
        <v>-</v>
      </c>
      <c r="AA644" s="5"/>
      <c r="AB644" s="33" t="str">
        <f t="shared" si="226"/>
        <v/>
      </c>
      <c r="AC644" s="33" t="str">
        <f t="shared" si="227"/>
        <v/>
      </c>
      <c r="AD644" s="15" t="str">
        <f t="shared" si="228"/>
        <v xml:space="preserve"> </v>
      </c>
      <c r="AE644" s="5"/>
      <c r="AF644" s="27" t="b">
        <f>IF($G644&lt;&gt;0,SUMIF(куб!$G:$G,$G644,куб!R:R),IF($E644&lt;&gt;0,SUMIF(куб!$E:$E,$E644,куб!R:R),IF($D644&lt;&gt;0,SUMIF(куб!$D:$D,$D644,куб!R:R),IF($C644&lt;&gt;0,SUMIF(куб!$C:$C,$C644,куб!R:R),IF($B644&lt;&gt;0,SUMIF(куб!$B:$B,$B644,куб!R:R))))))</f>
        <v>0</v>
      </c>
      <c r="AG644" s="27" t="b">
        <f>IF($G644&lt;&gt;0,SUMIF(куб!$G:$G,$G644,куб!S:S),IF($E644&lt;&gt;0,SUMIF(куб!$E:$E,$E644,куб!S:S),IF($D644&lt;&gt;0,SUMIF(куб!$D:$D,$D644,куб!S:S),IF($C644&lt;&gt;0,SUMIF(куб!$C:$C,$C644,куб!S:S),IF($B644&lt;&gt;0,SUMIF(куб!$B:$B,$B644,куб!S:S))))))</f>
        <v>0</v>
      </c>
      <c r="AH644" s="16" t="str">
        <f t="shared" si="229"/>
        <v>-</v>
      </c>
      <c r="AI644" s="8"/>
      <c r="AJ644" s="27" t="b">
        <f>IF($G644&lt;&gt;0,SUMIF(куб!$G:$G,$G644,куб!T:T),IF($E644&lt;&gt;0,SUMIF(куб!$E:$E,$E644,куб!T:T),IF($D644&lt;&gt;0,SUMIF(куб!$D:$D,$D644,куб!T:T),IF($C644&lt;&gt;0,SUMIF(куб!$C:$C,$C644,куб!T:T),IF($B644&lt;&gt;0,SUMIF(куб!$B:$B,$B644,куб!T:T))))))</f>
        <v>0</v>
      </c>
      <c r="AK644" s="27" t="b">
        <f>IF($G644&lt;&gt;0,SUMIF(куб!$G:$G,$G644,куб!U:U),IF($E644&lt;&gt;0,SUMIF(куб!$E:$E,$E644,куб!U:U),IF($D644&lt;&gt;0,SUMIF(куб!$D:$D,$D644,куб!U:U),IF($C644&lt;&gt;0,SUMIF(куб!$C:$C,$C644,куб!U:U),IF($B644&lt;&gt;0,SUMIF(куб!$B:$B,$B644,куб!U:U))))))</f>
        <v>0</v>
      </c>
      <c r="AL644" s="16" t="str">
        <f t="shared" si="230"/>
        <v>-</v>
      </c>
      <c r="AM644" s="8"/>
      <c r="AN644" s="17" t="str">
        <f t="shared" si="231"/>
        <v xml:space="preserve"> </v>
      </c>
      <c r="AO644" s="17" t="str">
        <f t="shared" si="232"/>
        <v xml:space="preserve"> </v>
      </c>
      <c r="AP644" s="16" t="str">
        <f t="shared" si="233"/>
        <v>-</v>
      </c>
      <c r="AQ644" s="8"/>
      <c r="AR644" s="17" t="str">
        <f t="shared" si="234"/>
        <v>-</v>
      </c>
      <c r="AS644" s="17" t="str">
        <f t="shared" si="235"/>
        <v>-</v>
      </c>
      <c r="AT644" s="13" t="str">
        <f t="shared" si="236"/>
        <v>-</v>
      </c>
      <c r="AU644" s="8"/>
    </row>
    <row r="645" spans="1:47" x14ac:dyDescent="0.25">
      <c r="A645" s="31"/>
      <c r="B645" s="31"/>
      <c r="C645"/>
      <c r="D645" s="31"/>
      <c r="E645"/>
      <c r="F645" s="31"/>
      <c r="G645"/>
      <c r="H645" s="27">
        <f>IF($G645&lt;&gt;0,SUMIF(куб!$G:$G,$G645,куб!H:H),IF($E645&lt;&gt;0,SUMIF(куб!$E:$E,$E645,куб!H:H),IF($D645&lt;&gt;0,SUMIF(куб!$D:$D,$D645,куб!H:H),IF($C645&lt;&gt;0,SUMIF(куб!$C:$C,$C645,куб!H:H),IF($B645&lt;&gt;0,SUMIF(куб!$B:$B,$B645,куб!H:H),IF($G645&lt;&gt;0,SUMIF(куб!$A:$A,$G645,куб!H:H),SUMIF(куб!$A:$A,$G645,куб!H:H)))))))</f>
        <v>0</v>
      </c>
      <c r="I645" s="27">
        <f>IF($G645&lt;&gt;0,SUMIF(куб!$G:$G,$G645,куб!I:I),IF($E645&lt;&gt;0,SUMIF(куб!$E:$E,$E645,куб!I:I),IF($D645&lt;&gt;0,SUMIF(куб!$D:$D,$D645,куб!I:I),IF($C645&lt;&gt;0,SUMIF(куб!$C:$C,$C645,куб!I:I),IF($B645&lt;&gt;0,SUMIF(куб!$B:$B,$B645,куб!I:I),IF($G645&lt;&gt;0,SUMIF(куб!$A:$A,$G645,куб!I:I),SUMIF(куб!$A:$A,$G645,куб!I:I)))))))</f>
        <v>0</v>
      </c>
      <c r="J645" s="19" t="str">
        <f t="shared" si="219"/>
        <v>-</v>
      </c>
      <c r="K645" s="8"/>
      <c r="L645" s="17">
        <f t="shared" si="220"/>
        <v>0</v>
      </c>
      <c r="M645" s="17">
        <f t="shared" si="221"/>
        <v>0</v>
      </c>
      <c r="N645" s="12">
        <f t="shared" si="222"/>
        <v>0</v>
      </c>
      <c r="O645" s="5"/>
      <c r="P645" s="27" t="b">
        <f>IF($G645&lt;&gt;0,SUMIF(куб!$G:$G,$G645,куб!J:J),IF($E645&lt;&gt;0,SUMIF(куб!$E:$E,$E645,куб!J:J),IF($D645&lt;&gt;0,SUMIF(куб!$D:$D,$D645,куб!J:J),IF($C645&lt;&gt;0,SUMIF(куб!$C:$C,$C645,куб!J:J),IF($B645&lt;&gt;0,SUMIF(куб!$B:$B,$B645,куб!J:J))))))</f>
        <v>0</v>
      </c>
      <c r="Q645" s="27" t="b">
        <f>IF($G645&lt;&gt;0,SUMIF(куб!$G:$G,$G645,куб!K:K),IF($E645&lt;&gt;0,SUMIF(куб!$E:$E,$E645,куб!K:K),IF($D645&lt;&gt;0,SUMIF(куб!$D:$D,$D645,куб!K:K),IF($C645&lt;&gt;0,SUMIF(куб!$C:$C,$C645,куб!K:K),IF($B645&lt;&gt;0,SUMIF(куб!$B:$B,$B645,куб!K:K))))))</f>
        <v>0</v>
      </c>
      <c r="R645" s="13" t="str">
        <f t="shared" si="223"/>
        <v>-</v>
      </c>
      <c r="S645" s="5"/>
      <c r="T645" s="27" t="b">
        <f>IF($G645&lt;&gt;0,SUMIF(куб!$G:$G,$G645,куб!L:L),IF($E645&lt;&gt;0,SUMIF(куб!$E:$E,$E645,куб!L:L),IF($D645&lt;&gt;0,SUMIF(куб!$D:$D,$D645,куб!L:L),IF($C645&lt;&gt;0,SUMIF(куб!$C:$C,$C645,куб!L:L),IF($B645&lt;&gt;0,SUMIF(куб!$B:$B,$B645,куб!L:L))))))</f>
        <v>0</v>
      </c>
      <c r="U645" s="27" t="b">
        <f>IF($G645&lt;&gt;0,SUMIF(куб!$G:$G,$G645,куб!M:M),IF($E645&lt;&gt;0,SUMIF(куб!$E:$E,$E645,куб!M:M),IF($D645&lt;&gt;0,SUMIF(куб!$D:$D,$D645,куб!M:M),IF($C645&lt;&gt;0,SUMIF(куб!$C:$C,$C645,куб!M:M),IF($B645&lt;&gt;0,SUMIF(куб!$B:$B,$B645,куб!M:M))))))</f>
        <v>0</v>
      </c>
      <c r="V645" s="13" t="str">
        <f t="shared" si="224"/>
        <v>-</v>
      </c>
      <c r="W645" s="5"/>
      <c r="X645" s="27" t="b">
        <f>IF($G645&lt;&gt;0,SUMIF(куб!$G:$G,$G645,куб!N:N),IF($E645&lt;&gt;0,SUMIF(куб!$E:$E,$E645,куб!N:N),IF($D645&lt;&gt;0,SUMIF(куб!$D:$D,$D645,куб!N:N),IF($C645&lt;&gt;0,SUMIF(куб!$C:$C,$C645,куб!N:N),IF($B645&lt;&gt;0,SUMIF(куб!$B:$B,$B645,куб!N:N))))))</f>
        <v>0</v>
      </c>
      <c r="Y645" s="27" t="b">
        <f>IF($G645&lt;&gt;0,SUMIF(куб!$G:$G,$G645,куб!O:O),IF($E645&lt;&gt;0,SUMIF(куб!$E:$E,$E645,куб!O:O),IF($D645&lt;&gt;0,SUMIF(куб!$D:$D,$D645,куб!O:O),IF($C645&lt;&gt;0,SUMIF(куб!$C:$C,$C645,куб!O:O),IF($B645&lt;&gt;0,SUMIF(куб!$B:$B,$B645,куб!O:O))))))</f>
        <v>0</v>
      </c>
      <c r="Z645" s="13" t="str">
        <f t="shared" si="225"/>
        <v>-</v>
      </c>
      <c r="AA645" s="5"/>
      <c r="AB645" s="33" t="str">
        <f t="shared" si="226"/>
        <v/>
      </c>
      <c r="AC645" s="33" t="str">
        <f t="shared" si="227"/>
        <v/>
      </c>
      <c r="AD645" s="15" t="str">
        <f t="shared" si="228"/>
        <v xml:space="preserve"> </v>
      </c>
      <c r="AE645" s="5"/>
      <c r="AF645" s="27" t="b">
        <f>IF($G645&lt;&gt;0,SUMIF(куб!$G:$G,$G645,куб!R:R),IF($E645&lt;&gt;0,SUMIF(куб!$E:$E,$E645,куб!R:R),IF($D645&lt;&gt;0,SUMIF(куб!$D:$D,$D645,куб!R:R),IF($C645&lt;&gt;0,SUMIF(куб!$C:$C,$C645,куб!R:R),IF($B645&lt;&gt;0,SUMIF(куб!$B:$B,$B645,куб!R:R))))))</f>
        <v>0</v>
      </c>
      <c r="AG645" s="27" t="b">
        <f>IF($G645&lt;&gt;0,SUMIF(куб!$G:$G,$G645,куб!S:S),IF($E645&lt;&gt;0,SUMIF(куб!$E:$E,$E645,куб!S:S),IF($D645&lt;&gt;0,SUMIF(куб!$D:$D,$D645,куб!S:S),IF($C645&lt;&gt;0,SUMIF(куб!$C:$C,$C645,куб!S:S),IF($B645&lt;&gt;0,SUMIF(куб!$B:$B,$B645,куб!S:S))))))</f>
        <v>0</v>
      </c>
      <c r="AH645" s="16" t="str">
        <f t="shared" si="229"/>
        <v>-</v>
      </c>
      <c r="AI645" s="8"/>
      <c r="AJ645" s="27" t="b">
        <f>IF($G645&lt;&gt;0,SUMIF(куб!$G:$G,$G645,куб!T:T),IF($E645&lt;&gt;0,SUMIF(куб!$E:$E,$E645,куб!T:T),IF($D645&lt;&gt;0,SUMIF(куб!$D:$D,$D645,куб!T:T),IF($C645&lt;&gt;0,SUMIF(куб!$C:$C,$C645,куб!T:T),IF($B645&lt;&gt;0,SUMIF(куб!$B:$B,$B645,куб!T:T))))))</f>
        <v>0</v>
      </c>
      <c r="AK645" s="27" t="b">
        <f>IF($G645&lt;&gt;0,SUMIF(куб!$G:$G,$G645,куб!U:U),IF($E645&lt;&gt;0,SUMIF(куб!$E:$E,$E645,куб!U:U),IF($D645&lt;&gt;0,SUMIF(куб!$D:$D,$D645,куб!U:U),IF($C645&lt;&gt;0,SUMIF(куб!$C:$C,$C645,куб!U:U),IF($B645&lt;&gt;0,SUMIF(куб!$B:$B,$B645,куб!U:U))))))</f>
        <v>0</v>
      </c>
      <c r="AL645" s="16" t="str">
        <f t="shared" si="230"/>
        <v>-</v>
      </c>
      <c r="AM645" s="8"/>
      <c r="AN645" s="17" t="str">
        <f t="shared" si="231"/>
        <v xml:space="preserve"> </v>
      </c>
      <c r="AO645" s="17" t="str">
        <f t="shared" si="232"/>
        <v xml:space="preserve"> </v>
      </c>
      <c r="AP645" s="16" t="str">
        <f t="shared" si="233"/>
        <v>-</v>
      </c>
      <c r="AQ645" s="8"/>
      <c r="AR645" s="17" t="str">
        <f t="shared" si="234"/>
        <v>-</v>
      </c>
      <c r="AS645" s="17" t="str">
        <f t="shared" si="235"/>
        <v>-</v>
      </c>
      <c r="AT645" s="13" t="str">
        <f t="shared" si="236"/>
        <v>-</v>
      </c>
      <c r="AU645" s="8"/>
    </row>
    <row r="646" spans="1:47" x14ac:dyDescent="0.25">
      <c r="A646" s="31"/>
      <c r="B646" s="31"/>
      <c r="C646"/>
      <c r="D646" s="31"/>
      <c r="E646"/>
      <c r="F646"/>
      <c r="G646"/>
      <c r="H646" s="27">
        <f>IF($G646&lt;&gt;0,SUMIF(куб!$G:$G,$G646,куб!H:H),IF($E646&lt;&gt;0,SUMIF(куб!$E:$E,$E646,куб!H:H),IF($D646&lt;&gt;0,SUMIF(куб!$D:$D,$D646,куб!H:H),IF($C646&lt;&gt;0,SUMIF(куб!$C:$C,$C646,куб!H:H),IF($B646&lt;&gt;0,SUMIF(куб!$B:$B,$B646,куб!H:H),IF($G646&lt;&gt;0,SUMIF(куб!$A:$A,$G646,куб!H:H),SUMIF(куб!$A:$A,$G646,куб!H:H)))))))</f>
        <v>0</v>
      </c>
      <c r="I646" s="27">
        <f>IF($G646&lt;&gt;0,SUMIF(куб!$G:$G,$G646,куб!I:I),IF($E646&lt;&gt;0,SUMIF(куб!$E:$E,$E646,куб!I:I),IF($D646&lt;&gt;0,SUMIF(куб!$D:$D,$D646,куб!I:I),IF($C646&lt;&gt;0,SUMIF(куб!$C:$C,$C646,куб!I:I),IF($B646&lt;&gt;0,SUMIF(куб!$B:$B,$B646,куб!I:I),IF($G646&lt;&gt;0,SUMIF(куб!$A:$A,$G646,куб!I:I),SUMIF(куб!$A:$A,$G646,куб!I:I)))))))</f>
        <v>0</v>
      </c>
      <c r="J646" s="19" t="str">
        <f t="shared" si="219"/>
        <v>-</v>
      </c>
      <c r="K646" s="8"/>
      <c r="L646" s="17">
        <f t="shared" si="220"/>
        <v>0</v>
      </c>
      <c r="M646" s="17">
        <f t="shared" si="221"/>
        <v>0</v>
      </c>
      <c r="N646" s="12">
        <f t="shared" si="222"/>
        <v>0</v>
      </c>
      <c r="O646" s="5"/>
      <c r="P646" s="27" t="b">
        <f>IF($G646&lt;&gt;0,SUMIF(куб!$G:$G,$G646,куб!J:J),IF($E646&lt;&gt;0,SUMIF(куб!$E:$E,$E646,куб!J:J),IF($D646&lt;&gt;0,SUMIF(куб!$D:$D,$D646,куб!J:J),IF($C646&lt;&gt;0,SUMIF(куб!$C:$C,$C646,куб!J:J),IF($B646&lt;&gt;0,SUMIF(куб!$B:$B,$B646,куб!J:J))))))</f>
        <v>0</v>
      </c>
      <c r="Q646" s="27" t="b">
        <f>IF($G646&lt;&gt;0,SUMIF(куб!$G:$G,$G646,куб!K:K),IF($E646&lt;&gt;0,SUMIF(куб!$E:$E,$E646,куб!K:K),IF($D646&lt;&gt;0,SUMIF(куб!$D:$D,$D646,куб!K:K),IF($C646&lt;&gt;0,SUMIF(куб!$C:$C,$C646,куб!K:K),IF($B646&lt;&gt;0,SUMIF(куб!$B:$B,$B646,куб!K:K))))))</f>
        <v>0</v>
      </c>
      <c r="R646" s="13" t="str">
        <f t="shared" si="223"/>
        <v>-</v>
      </c>
      <c r="S646" s="5"/>
      <c r="T646" s="27" t="b">
        <f>IF($G646&lt;&gt;0,SUMIF(куб!$G:$G,$G646,куб!L:L),IF($E646&lt;&gt;0,SUMIF(куб!$E:$E,$E646,куб!L:L),IF($D646&lt;&gt;0,SUMIF(куб!$D:$D,$D646,куб!L:L),IF($C646&lt;&gt;0,SUMIF(куб!$C:$C,$C646,куб!L:L),IF($B646&lt;&gt;0,SUMIF(куб!$B:$B,$B646,куб!L:L))))))</f>
        <v>0</v>
      </c>
      <c r="U646" s="27" t="b">
        <f>IF($G646&lt;&gt;0,SUMIF(куб!$G:$G,$G646,куб!M:M),IF($E646&lt;&gt;0,SUMIF(куб!$E:$E,$E646,куб!M:M),IF($D646&lt;&gt;0,SUMIF(куб!$D:$D,$D646,куб!M:M),IF($C646&lt;&gt;0,SUMIF(куб!$C:$C,$C646,куб!M:M),IF($B646&lt;&gt;0,SUMIF(куб!$B:$B,$B646,куб!M:M))))))</f>
        <v>0</v>
      </c>
      <c r="V646" s="13" t="str">
        <f t="shared" si="224"/>
        <v>-</v>
      </c>
      <c r="W646" s="5"/>
      <c r="X646" s="27" t="b">
        <f>IF($G646&lt;&gt;0,SUMIF(куб!$G:$G,$G646,куб!N:N),IF($E646&lt;&gt;0,SUMIF(куб!$E:$E,$E646,куб!N:N),IF($D646&lt;&gt;0,SUMIF(куб!$D:$D,$D646,куб!N:N),IF($C646&lt;&gt;0,SUMIF(куб!$C:$C,$C646,куб!N:N),IF($B646&lt;&gt;0,SUMIF(куб!$B:$B,$B646,куб!N:N))))))</f>
        <v>0</v>
      </c>
      <c r="Y646" s="27" t="b">
        <f>IF($G646&lt;&gt;0,SUMIF(куб!$G:$G,$G646,куб!O:O),IF($E646&lt;&gt;0,SUMIF(куб!$E:$E,$E646,куб!O:O),IF($D646&lt;&gt;0,SUMIF(куб!$D:$D,$D646,куб!O:O),IF($C646&lt;&gt;0,SUMIF(куб!$C:$C,$C646,куб!O:O),IF($B646&lt;&gt;0,SUMIF(куб!$B:$B,$B646,куб!O:O))))))</f>
        <v>0</v>
      </c>
      <c r="Z646" s="13" t="str">
        <f t="shared" si="225"/>
        <v>-</v>
      </c>
      <c r="AA646" s="5"/>
      <c r="AB646" s="33" t="str">
        <f t="shared" si="226"/>
        <v/>
      </c>
      <c r="AC646" s="33" t="str">
        <f t="shared" si="227"/>
        <v/>
      </c>
      <c r="AD646" s="15" t="str">
        <f t="shared" si="228"/>
        <v xml:space="preserve"> </v>
      </c>
      <c r="AE646" s="5"/>
      <c r="AF646" s="27" t="b">
        <f>IF($G646&lt;&gt;0,SUMIF(куб!$G:$G,$G646,куб!R:R),IF($E646&lt;&gt;0,SUMIF(куб!$E:$E,$E646,куб!R:R),IF($D646&lt;&gt;0,SUMIF(куб!$D:$D,$D646,куб!R:R),IF($C646&lt;&gt;0,SUMIF(куб!$C:$C,$C646,куб!R:R),IF($B646&lt;&gt;0,SUMIF(куб!$B:$B,$B646,куб!R:R))))))</f>
        <v>0</v>
      </c>
      <c r="AG646" s="27" t="b">
        <f>IF($G646&lt;&gt;0,SUMIF(куб!$G:$G,$G646,куб!S:S),IF($E646&lt;&gt;0,SUMIF(куб!$E:$E,$E646,куб!S:S),IF($D646&lt;&gt;0,SUMIF(куб!$D:$D,$D646,куб!S:S),IF($C646&lt;&gt;0,SUMIF(куб!$C:$C,$C646,куб!S:S),IF($B646&lt;&gt;0,SUMIF(куб!$B:$B,$B646,куб!S:S))))))</f>
        <v>0</v>
      </c>
      <c r="AH646" s="16" t="str">
        <f t="shared" si="229"/>
        <v>-</v>
      </c>
      <c r="AI646" s="8"/>
      <c r="AJ646" s="27" t="b">
        <f>IF($G646&lt;&gt;0,SUMIF(куб!$G:$G,$G646,куб!T:T),IF($E646&lt;&gt;0,SUMIF(куб!$E:$E,$E646,куб!T:T),IF($D646&lt;&gt;0,SUMIF(куб!$D:$D,$D646,куб!T:T),IF($C646&lt;&gt;0,SUMIF(куб!$C:$C,$C646,куб!T:T),IF($B646&lt;&gt;0,SUMIF(куб!$B:$B,$B646,куб!T:T))))))</f>
        <v>0</v>
      </c>
      <c r="AK646" s="27" t="b">
        <f>IF($G646&lt;&gt;0,SUMIF(куб!$G:$G,$G646,куб!U:U),IF($E646&lt;&gt;0,SUMIF(куб!$E:$E,$E646,куб!U:U),IF($D646&lt;&gt;0,SUMIF(куб!$D:$D,$D646,куб!U:U),IF($C646&lt;&gt;0,SUMIF(куб!$C:$C,$C646,куб!U:U),IF($B646&lt;&gt;0,SUMIF(куб!$B:$B,$B646,куб!U:U))))))</f>
        <v>0</v>
      </c>
      <c r="AL646" s="16" t="str">
        <f t="shared" si="230"/>
        <v>-</v>
      </c>
      <c r="AM646" s="8"/>
      <c r="AN646" s="17" t="str">
        <f t="shared" si="231"/>
        <v xml:space="preserve"> </v>
      </c>
      <c r="AO646" s="17" t="str">
        <f t="shared" si="232"/>
        <v xml:space="preserve"> </v>
      </c>
      <c r="AP646" s="16" t="str">
        <f t="shared" si="233"/>
        <v>-</v>
      </c>
      <c r="AQ646" s="8"/>
      <c r="AR646" s="17" t="str">
        <f t="shared" si="234"/>
        <v>-</v>
      </c>
      <c r="AS646" s="17" t="str">
        <f t="shared" si="235"/>
        <v>-</v>
      </c>
      <c r="AT646" s="13" t="str">
        <f t="shared" si="236"/>
        <v>-</v>
      </c>
      <c r="AU646" s="8"/>
    </row>
    <row r="647" spans="1:47" x14ac:dyDescent="0.25">
      <c r="A647" s="31"/>
      <c r="B647" s="31"/>
      <c r="C647"/>
      <c r="D647" s="31"/>
      <c r="E647" s="31"/>
      <c r="F647" s="31"/>
      <c r="G647" s="31"/>
      <c r="H647" s="27">
        <f>IF($G647&lt;&gt;0,SUMIF(куб!$G:$G,$G647,куб!H:H),IF($E647&lt;&gt;0,SUMIF(куб!$E:$E,$E647,куб!H:H),IF($D647&lt;&gt;0,SUMIF(куб!$D:$D,$D647,куб!H:H),IF($C647&lt;&gt;0,SUMIF(куб!$C:$C,$C647,куб!H:H),IF($B647&lt;&gt;0,SUMIF(куб!$B:$B,$B647,куб!H:H),IF($G647&lt;&gt;0,SUMIF(куб!$A:$A,$G647,куб!H:H),SUMIF(куб!$A:$A,$G647,куб!H:H)))))))</f>
        <v>0</v>
      </c>
      <c r="I647" s="27">
        <f>IF($G647&lt;&gt;0,SUMIF(куб!$G:$G,$G647,куб!I:I),IF($E647&lt;&gt;0,SUMIF(куб!$E:$E,$E647,куб!I:I),IF($D647&lt;&gt;0,SUMIF(куб!$D:$D,$D647,куб!I:I),IF($C647&lt;&gt;0,SUMIF(куб!$C:$C,$C647,куб!I:I),IF($B647&lt;&gt;0,SUMIF(куб!$B:$B,$B647,куб!I:I),IF($G647&lt;&gt;0,SUMIF(куб!$A:$A,$G647,куб!I:I),SUMIF(куб!$A:$A,$G647,куб!I:I)))))))</f>
        <v>0</v>
      </c>
      <c r="J647" s="19" t="str">
        <f t="shared" si="219"/>
        <v>-</v>
      </c>
      <c r="K647" s="8"/>
      <c r="L647" s="17">
        <f t="shared" si="220"/>
        <v>0</v>
      </c>
      <c r="M647" s="17">
        <f t="shared" si="221"/>
        <v>0</v>
      </c>
      <c r="N647" s="12">
        <f t="shared" si="222"/>
        <v>0</v>
      </c>
      <c r="O647" s="5"/>
      <c r="P647" s="27" t="b">
        <f>IF($G647&lt;&gt;0,SUMIF(куб!$G:$G,$G647,куб!J:J),IF($E647&lt;&gt;0,SUMIF(куб!$E:$E,$E647,куб!J:J),IF($D647&lt;&gt;0,SUMIF(куб!$D:$D,$D647,куб!J:J),IF($C647&lt;&gt;0,SUMIF(куб!$C:$C,$C647,куб!J:J),IF($B647&lt;&gt;0,SUMIF(куб!$B:$B,$B647,куб!J:J))))))</f>
        <v>0</v>
      </c>
      <c r="Q647" s="27" t="b">
        <f>IF($G647&lt;&gt;0,SUMIF(куб!$G:$G,$G647,куб!K:K),IF($E647&lt;&gt;0,SUMIF(куб!$E:$E,$E647,куб!K:K),IF($D647&lt;&gt;0,SUMIF(куб!$D:$D,$D647,куб!K:K),IF($C647&lt;&gt;0,SUMIF(куб!$C:$C,$C647,куб!K:K),IF($B647&lt;&gt;0,SUMIF(куб!$B:$B,$B647,куб!K:K))))))</f>
        <v>0</v>
      </c>
      <c r="R647" s="13" t="str">
        <f t="shared" si="223"/>
        <v>-</v>
      </c>
      <c r="S647" s="5"/>
      <c r="T647" s="27" t="b">
        <f>IF($G647&lt;&gt;0,SUMIF(куб!$G:$G,$G647,куб!L:L),IF($E647&lt;&gt;0,SUMIF(куб!$E:$E,$E647,куб!L:L),IF($D647&lt;&gt;0,SUMIF(куб!$D:$D,$D647,куб!L:L),IF($C647&lt;&gt;0,SUMIF(куб!$C:$C,$C647,куб!L:L),IF($B647&lt;&gt;0,SUMIF(куб!$B:$B,$B647,куб!L:L))))))</f>
        <v>0</v>
      </c>
      <c r="U647" s="27" t="b">
        <f>IF($G647&lt;&gt;0,SUMIF(куб!$G:$G,$G647,куб!M:M),IF($E647&lt;&gt;0,SUMIF(куб!$E:$E,$E647,куб!M:M),IF($D647&lt;&gt;0,SUMIF(куб!$D:$D,$D647,куб!M:M),IF($C647&lt;&gt;0,SUMIF(куб!$C:$C,$C647,куб!M:M),IF($B647&lt;&gt;0,SUMIF(куб!$B:$B,$B647,куб!M:M))))))</f>
        <v>0</v>
      </c>
      <c r="V647" s="13" t="str">
        <f t="shared" si="224"/>
        <v>-</v>
      </c>
      <c r="W647" s="5"/>
      <c r="X647" s="27" t="b">
        <f>IF($G647&lt;&gt;0,SUMIF(куб!$G:$G,$G647,куб!N:N),IF($E647&lt;&gt;0,SUMIF(куб!$E:$E,$E647,куб!N:N),IF($D647&lt;&gt;0,SUMIF(куб!$D:$D,$D647,куб!N:N),IF($C647&lt;&gt;0,SUMIF(куб!$C:$C,$C647,куб!N:N),IF($B647&lt;&gt;0,SUMIF(куб!$B:$B,$B647,куб!N:N))))))</f>
        <v>0</v>
      </c>
      <c r="Y647" s="27" t="b">
        <f>IF($G647&lt;&gt;0,SUMIF(куб!$G:$G,$G647,куб!O:O),IF($E647&lt;&gt;0,SUMIF(куб!$E:$E,$E647,куб!O:O),IF($D647&lt;&gt;0,SUMIF(куб!$D:$D,$D647,куб!O:O),IF($C647&lt;&gt;0,SUMIF(куб!$C:$C,$C647,куб!O:O),IF($B647&lt;&gt;0,SUMIF(куб!$B:$B,$B647,куб!O:O))))))</f>
        <v>0</v>
      </c>
      <c r="Z647" s="13" t="str">
        <f t="shared" si="225"/>
        <v>-</v>
      </c>
      <c r="AA647" s="5"/>
      <c r="AB647" s="33" t="str">
        <f t="shared" si="226"/>
        <v/>
      </c>
      <c r="AC647" s="33" t="str">
        <f t="shared" si="227"/>
        <v/>
      </c>
      <c r="AD647" s="15" t="str">
        <f t="shared" si="228"/>
        <v xml:space="preserve"> </v>
      </c>
      <c r="AE647" s="5"/>
      <c r="AF647" s="27" t="b">
        <f>IF($G647&lt;&gt;0,SUMIF(куб!$G:$G,$G647,куб!R:R),IF($E647&lt;&gt;0,SUMIF(куб!$E:$E,$E647,куб!R:R),IF($D647&lt;&gt;0,SUMIF(куб!$D:$D,$D647,куб!R:R),IF($C647&lt;&gt;0,SUMIF(куб!$C:$C,$C647,куб!R:R),IF($B647&lt;&gt;0,SUMIF(куб!$B:$B,$B647,куб!R:R))))))</f>
        <v>0</v>
      </c>
      <c r="AG647" s="27" t="b">
        <f>IF($G647&lt;&gt;0,SUMIF(куб!$G:$G,$G647,куб!S:S),IF($E647&lt;&gt;0,SUMIF(куб!$E:$E,$E647,куб!S:S),IF($D647&lt;&gt;0,SUMIF(куб!$D:$D,$D647,куб!S:S),IF($C647&lt;&gt;0,SUMIF(куб!$C:$C,$C647,куб!S:S),IF($B647&lt;&gt;0,SUMIF(куб!$B:$B,$B647,куб!S:S))))))</f>
        <v>0</v>
      </c>
      <c r="AH647" s="16" t="str">
        <f t="shared" si="229"/>
        <v>-</v>
      </c>
      <c r="AI647" s="8"/>
      <c r="AJ647" s="27" t="b">
        <f>IF($G647&lt;&gt;0,SUMIF(куб!$G:$G,$G647,куб!T:T),IF($E647&lt;&gt;0,SUMIF(куб!$E:$E,$E647,куб!T:T),IF($D647&lt;&gt;0,SUMIF(куб!$D:$D,$D647,куб!T:T),IF($C647&lt;&gt;0,SUMIF(куб!$C:$C,$C647,куб!T:T),IF($B647&lt;&gt;0,SUMIF(куб!$B:$B,$B647,куб!T:T))))))</f>
        <v>0</v>
      </c>
      <c r="AK647" s="27" t="b">
        <f>IF($G647&lt;&gt;0,SUMIF(куб!$G:$G,$G647,куб!U:U),IF($E647&lt;&gt;0,SUMIF(куб!$E:$E,$E647,куб!U:U),IF($D647&lt;&gt;0,SUMIF(куб!$D:$D,$D647,куб!U:U),IF($C647&lt;&gt;0,SUMIF(куб!$C:$C,$C647,куб!U:U),IF($B647&lt;&gt;0,SUMIF(куб!$B:$B,$B647,куб!U:U))))))</f>
        <v>0</v>
      </c>
      <c r="AL647" s="16" t="str">
        <f t="shared" si="230"/>
        <v>-</v>
      </c>
      <c r="AM647" s="8"/>
      <c r="AN647" s="17" t="str">
        <f t="shared" si="231"/>
        <v xml:space="preserve"> </v>
      </c>
      <c r="AO647" s="17" t="str">
        <f t="shared" si="232"/>
        <v xml:space="preserve"> </v>
      </c>
      <c r="AP647" s="16" t="str">
        <f t="shared" si="233"/>
        <v>-</v>
      </c>
      <c r="AQ647" s="8"/>
      <c r="AR647" s="17" t="str">
        <f t="shared" si="234"/>
        <v>-</v>
      </c>
      <c r="AS647" s="17" t="str">
        <f t="shared" si="235"/>
        <v>-</v>
      </c>
      <c r="AT647" s="13" t="str">
        <f t="shared" si="236"/>
        <v>-</v>
      </c>
      <c r="AU647" s="8"/>
    </row>
    <row r="648" spans="1:47" x14ac:dyDescent="0.25">
      <c r="A648" s="31"/>
      <c r="B648" s="31"/>
      <c r="C648"/>
      <c r="D648" s="31"/>
      <c r="E648"/>
      <c r="F648" s="31"/>
      <c r="G648"/>
      <c r="H648" s="27">
        <f>IF($G648&lt;&gt;0,SUMIF(куб!$G:$G,$G648,куб!H:H),IF($E648&lt;&gt;0,SUMIF(куб!$E:$E,$E648,куб!H:H),IF($D648&lt;&gt;0,SUMIF(куб!$D:$D,$D648,куб!H:H),IF($C648&lt;&gt;0,SUMIF(куб!$C:$C,$C648,куб!H:H),IF($B648&lt;&gt;0,SUMIF(куб!$B:$B,$B648,куб!H:H),IF($G648&lt;&gt;0,SUMIF(куб!$A:$A,$G648,куб!H:H),SUMIF(куб!$A:$A,$G648,куб!H:H)))))))</f>
        <v>0</v>
      </c>
      <c r="I648" s="27">
        <f>IF($G648&lt;&gt;0,SUMIF(куб!$G:$G,$G648,куб!I:I),IF($E648&lt;&gt;0,SUMIF(куб!$E:$E,$E648,куб!I:I),IF($D648&lt;&gt;0,SUMIF(куб!$D:$D,$D648,куб!I:I),IF($C648&lt;&gt;0,SUMIF(куб!$C:$C,$C648,куб!I:I),IF($B648&lt;&gt;0,SUMIF(куб!$B:$B,$B648,куб!I:I),IF($G648&lt;&gt;0,SUMIF(куб!$A:$A,$G648,куб!I:I),SUMIF(куб!$A:$A,$G648,куб!I:I)))))))</f>
        <v>0</v>
      </c>
      <c r="J648" s="19" t="str">
        <f t="shared" si="219"/>
        <v>-</v>
      </c>
      <c r="K648" s="8"/>
      <c r="L648" s="17">
        <f t="shared" si="220"/>
        <v>0</v>
      </c>
      <c r="M648" s="17">
        <f t="shared" si="221"/>
        <v>0</v>
      </c>
      <c r="N648" s="12">
        <f t="shared" si="222"/>
        <v>0</v>
      </c>
      <c r="O648" s="5"/>
      <c r="P648" s="27" t="b">
        <f>IF($G648&lt;&gt;0,SUMIF(куб!$G:$G,$G648,куб!J:J),IF($E648&lt;&gt;0,SUMIF(куб!$E:$E,$E648,куб!J:J),IF($D648&lt;&gt;0,SUMIF(куб!$D:$D,$D648,куб!J:J),IF($C648&lt;&gt;0,SUMIF(куб!$C:$C,$C648,куб!J:J),IF($B648&lt;&gt;0,SUMIF(куб!$B:$B,$B648,куб!J:J))))))</f>
        <v>0</v>
      </c>
      <c r="Q648" s="27" t="b">
        <f>IF($G648&lt;&gt;0,SUMIF(куб!$G:$G,$G648,куб!K:K),IF($E648&lt;&gt;0,SUMIF(куб!$E:$E,$E648,куб!K:K),IF($D648&lt;&gt;0,SUMIF(куб!$D:$D,$D648,куб!K:K),IF($C648&lt;&gt;0,SUMIF(куб!$C:$C,$C648,куб!K:K),IF($B648&lt;&gt;0,SUMIF(куб!$B:$B,$B648,куб!K:K))))))</f>
        <v>0</v>
      </c>
      <c r="R648" s="13" t="str">
        <f t="shared" si="223"/>
        <v>-</v>
      </c>
      <c r="S648" s="5"/>
      <c r="T648" s="27" t="b">
        <f>IF($G648&lt;&gt;0,SUMIF(куб!$G:$G,$G648,куб!L:L),IF($E648&lt;&gt;0,SUMIF(куб!$E:$E,$E648,куб!L:L),IF($D648&lt;&gt;0,SUMIF(куб!$D:$D,$D648,куб!L:L),IF($C648&lt;&gt;0,SUMIF(куб!$C:$C,$C648,куб!L:L),IF($B648&lt;&gt;0,SUMIF(куб!$B:$B,$B648,куб!L:L))))))</f>
        <v>0</v>
      </c>
      <c r="U648" s="27" t="b">
        <f>IF($G648&lt;&gt;0,SUMIF(куб!$G:$G,$G648,куб!M:M),IF($E648&lt;&gt;0,SUMIF(куб!$E:$E,$E648,куб!M:M),IF($D648&lt;&gt;0,SUMIF(куб!$D:$D,$D648,куб!M:M),IF($C648&lt;&gt;0,SUMIF(куб!$C:$C,$C648,куб!M:M),IF($B648&lt;&gt;0,SUMIF(куб!$B:$B,$B648,куб!M:M))))))</f>
        <v>0</v>
      </c>
      <c r="V648" s="13" t="str">
        <f t="shared" si="224"/>
        <v>-</v>
      </c>
      <c r="W648" s="5"/>
      <c r="X648" s="27" t="b">
        <f>IF($G648&lt;&gt;0,SUMIF(куб!$G:$G,$G648,куб!N:N),IF($E648&lt;&gt;0,SUMIF(куб!$E:$E,$E648,куб!N:N),IF($D648&lt;&gt;0,SUMIF(куб!$D:$D,$D648,куб!N:N),IF($C648&lt;&gt;0,SUMIF(куб!$C:$C,$C648,куб!N:N),IF($B648&lt;&gt;0,SUMIF(куб!$B:$B,$B648,куб!N:N))))))</f>
        <v>0</v>
      </c>
      <c r="Y648" s="27" t="b">
        <f>IF($G648&lt;&gt;0,SUMIF(куб!$G:$G,$G648,куб!O:O),IF($E648&lt;&gt;0,SUMIF(куб!$E:$E,$E648,куб!O:O),IF($D648&lt;&gt;0,SUMIF(куб!$D:$D,$D648,куб!O:O),IF($C648&lt;&gt;0,SUMIF(куб!$C:$C,$C648,куб!O:O),IF($B648&lt;&gt;0,SUMIF(куб!$B:$B,$B648,куб!O:O))))))</f>
        <v>0</v>
      </c>
      <c r="Z648" s="13" t="str">
        <f t="shared" si="225"/>
        <v>-</v>
      </c>
      <c r="AA648" s="5"/>
      <c r="AB648" s="33" t="str">
        <f t="shared" si="226"/>
        <v/>
      </c>
      <c r="AC648" s="33" t="str">
        <f t="shared" si="227"/>
        <v/>
      </c>
      <c r="AD648" s="15" t="str">
        <f t="shared" si="228"/>
        <v xml:space="preserve"> </v>
      </c>
      <c r="AE648" s="5"/>
      <c r="AF648" s="27" t="b">
        <f>IF($G648&lt;&gt;0,SUMIF(куб!$G:$G,$G648,куб!R:R),IF($E648&lt;&gt;0,SUMIF(куб!$E:$E,$E648,куб!R:R),IF($D648&lt;&gt;0,SUMIF(куб!$D:$D,$D648,куб!R:R),IF($C648&lt;&gt;0,SUMIF(куб!$C:$C,$C648,куб!R:R),IF($B648&lt;&gt;0,SUMIF(куб!$B:$B,$B648,куб!R:R))))))</f>
        <v>0</v>
      </c>
      <c r="AG648" s="27" t="b">
        <f>IF($G648&lt;&gt;0,SUMIF(куб!$G:$G,$G648,куб!S:S),IF($E648&lt;&gt;0,SUMIF(куб!$E:$E,$E648,куб!S:S),IF($D648&lt;&gt;0,SUMIF(куб!$D:$D,$D648,куб!S:S),IF($C648&lt;&gt;0,SUMIF(куб!$C:$C,$C648,куб!S:S),IF($B648&lt;&gt;0,SUMIF(куб!$B:$B,$B648,куб!S:S))))))</f>
        <v>0</v>
      </c>
      <c r="AH648" s="16" t="str">
        <f t="shared" si="229"/>
        <v>-</v>
      </c>
      <c r="AI648" s="8"/>
      <c r="AJ648" s="27" t="b">
        <f>IF($G648&lt;&gt;0,SUMIF(куб!$G:$G,$G648,куб!T:T),IF($E648&lt;&gt;0,SUMIF(куб!$E:$E,$E648,куб!T:T),IF($D648&lt;&gt;0,SUMIF(куб!$D:$D,$D648,куб!T:T),IF($C648&lt;&gt;0,SUMIF(куб!$C:$C,$C648,куб!T:T),IF($B648&lt;&gt;0,SUMIF(куб!$B:$B,$B648,куб!T:T))))))</f>
        <v>0</v>
      </c>
      <c r="AK648" s="27" t="b">
        <f>IF($G648&lt;&gt;0,SUMIF(куб!$G:$G,$G648,куб!U:U),IF($E648&lt;&gt;0,SUMIF(куб!$E:$E,$E648,куб!U:U),IF($D648&lt;&gt;0,SUMIF(куб!$D:$D,$D648,куб!U:U),IF($C648&lt;&gt;0,SUMIF(куб!$C:$C,$C648,куб!U:U),IF($B648&lt;&gt;0,SUMIF(куб!$B:$B,$B648,куб!U:U))))))</f>
        <v>0</v>
      </c>
      <c r="AL648" s="16" t="str">
        <f t="shared" si="230"/>
        <v>-</v>
      </c>
      <c r="AM648" s="8"/>
      <c r="AN648" s="17" t="str">
        <f t="shared" si="231"/>
        <v xml:space="preserve"> </v>
      </c>
      <c r="AO648" s="17" t="str">
        <f t="shared" si="232"/>
        <v xml:space="preserve"> </v>
      </c>
      <c r="AP648" s="16" t="str">
        <f t="shared" si="233"/>
        <v>-</v>
      </c>
      <c r="AQ648" s="8"/>
      <c r="AR648" s="17" t="str">
        <f t="shared" si="234"/>
        <v>-</v>
      </c>
      <c r="AS648" s="17" t="str">
        <f t="shared" si="235"/>
        <v>-</v>
      </c>
      <c r="AT648" s="13" t="str">
        <f t="shared" si="236"/>
        <v>-</v>
      </c>
      <c r="AU648" s="8"/>
    </row>
    <row r="649" spans="1:47" x14ac:dyDescent="0.25">
      <c r="A649" s="31"/>
      <c r="B649" s="31"/>
      <c r="C649"/>
      <c r="D649" s="31"/>
      <c r="E649"/>
      <c r="F649" s="31"/>
      <c r="G649"/>
      <c r="H649" s="27">
        <f>IF($G649&lt;&gt;0,SUMIF(куб!$G:$G,$G649,куб!H:H),IF($E649&lt;&gt;0,SUMIF(куб!$E:$E,$E649,куб!H:H),IF($D649&lt;&gt;0,SUMIF(куб!$D:$D,$D649,куб!H:H),IF($C649&lt;&gt;0,SUMIF(куб!$C:$C,$C649,куб!H:H),IF($B649&lt;&gt;0,SUMIF(куб!$B:$B,$B649,куб!H:H),IF($G649&lt;&gt;0,SUMIF(куб!$A:$A,$G649,куб!H:H),SUMIF(куб!$A:$A,$G649,куб!H:H)))))))</f>
        <v>0</v>
      </c>
      <c r="I649" s="27">
        <f>IF($G649&lt;&gt;0,SUMIF(куб!$G:$G,$G649,куб!I:I),IF($E649&lt;&gt;0,SUMIF(куб!$E:$E,$E649,куб!I:I),IF($D649&lt;&gt;0,SUMIF(куб!$D:$D,$D649,куб!I:I),IF($C649&lt;&gt;0,SUMIF(куб!$C:$C,$C649,куб!I:I),IF($B649&lt;&gt;0,SUMIF(куб!$B:$B,$B649,куб!I:I),IF($G649&lt;&gt;0,SUMIF(куб!$A:$A,$G649,куб!I:I),SUMIF(куб!$A:$A,$G649,куб!I:I)))))))</f>
        <v>0</v>
      </c>
      <c r="J649" s="19" t="str">
        <f t="shared" si="219"/>
        <v>-</v>
      </c>
      <c r="K649" s="8"/>
      <c r="L649" s="17">
        <f t="shared" si="220"/>
        <v>0</v>
      </c>
      <c r="M649" s="17">
        <f t="shared" si="221"/>
        <v>0</v>
      </c>
      <c r="N649" s="12">
        <f t="shared" si="222"/>
        <v>0</v>
      </c>
      <c r="O649" s="5"/>
      <c r="P649" s="27" t="b">
        <f>IF($G649&lt;&gt;0,SUMIF(куб!$G:$G,$G649,куб!J:J),IF($E649&lt;&gt;0,SUMIF(куб!$E:$E,$E649,куб!J:J),IF($D649&lt;&gt;0,SUMIF(куб!$D:$D,$D649,куб!J:J),IF($C649&lt;&gt;0,SUMIF(куб!$C:$C,$C649,куб!J:J),IF($B649&lt;&gt;0,SUMIF(куб!$B:$B,$B649,куб!J:J))))))</f>
        <v>0</v>
      </c>
      <c r="Q649" s="27" t="b">
        <f>IF($G649&lt;&gt;0,SUMIF(куб!$G:$G,$G649,куб!K:K),IF($E649&lt;&gt;0,SUMIF(куб!$E:$E,$E649,куб!K:K),IF($D649&lt;&gt;0,SUMIF(куб!$D:$D,$D649,куб!K:K),IF($C649&lt;&gt;0,SUMIF(куб!$C:$C,$C649,куб!K:K),IF($B649&lt;&gt;0,SUMIF(куб!$B:$B,$B649,куб!K:K))))))</f>
        <v>0</v>
      </c>
      <c r="R649" s="13" t="str">
        <f t="shared" si="223"/>
        <v>-</v>
      </c>
      <c r="S649" s="5"/>
      <c r="T649" s="27" t="b">
        <f>IF($G649&lt;&gt;0,SUMIF(куб!$G:$G,$G649,куб!L:L),IF($E649&lt;&gt;0,SUMIF(куб!$E:$E,$E649,куб!L:L),IF($D649&lt;&gt;0,SUMIF(куб!$D:$D,$D649,куб!L:L),IF($C649&lt;&gt;0,SUMIF(куб!$C:$C,$C649,куб!L:L),IF($B649&lt;&gt;0,SUMIF(куб!$B:$B,$B649,куб!L:L))))))</f>
        <v>0</v>
      </c>
      <c r="U649" s="27" t="b">
        <f>IF($G649&lt;&gt;0,SUMIF(куб!$G:$G,$G649,куб!M:M),IF($E649&lt;&gt;0,SUMIF(куб!$E:$E,$E649,куб!M:M),IF($D649&lt;&gt;0,SUMIF(куб!$D:$D,$D649,куб!M:M),IF($C649&lt;&gt;0,SUMIF(куб!$C:$C,$C649,куб!M:M),IF($B649&lt;&gt;0,SUMIF(куб!$B:$B,$B649,куб!M:M))))))</f>
        <v>0</v>
      </c>
      <c r="V649" s="13" t="str">
        <f t="shared" si="224"/>
        <v>-</v>
      </c>
      <c r="W649" s="5"/>
      <c r="X649" s="27" t="b">
        <f>IF($G649&lt;&gt;0,SUMIF(куб!$G:$G,$G649,куб!N:N),IF($E649&lt;&gt;0,SUMIF(куб!$E:$E,$E649,куб!N:N),IF($D649&lt;&gt;0,SUMIF(куб!$D:$D,$D649,куб!N:N),IF($C649&lt;&gt;0,SUMIF(куб!$C:$C,$C649,куб!N:N),IF($B649&lt;&gt;0,SUMIF(куб!$B:$B,$B649,куб!N:N))))))</f>
        <v>0</v>
      </c>
      <c r="Y649" s="27" t="b">
        <f>IF($G649&lt;&gt;0,SUMIF(куб!$G:$G,$G649,куб!O:O),IF($E649&lt;&gt;0,SUMIF(куб!$E:$E,$E649,куб!O:O),IF($D649&lt;&gt;0,SUMIF(куб!$D:$D,$D649,куб!O:O),IF($C649&lt;&gt;0,SUMIF(куб!$C:$C,$C649,куб!O:O),IF($B649&lt;&gt;0,SUMIF(куб!$B:$B,$B649,куб!O:O))))))</f>
        <v>0</v>
      </c>
      <c r="Z649" s="13" t="str">
        <f t="shared" si="225"/>
        <v>-</v>
      </c>
      <c r="AA649" s="5"/>
      <c r="AB649" s="33" t="str">
        <f t="shared" si="226"/>
        <v/>
      </c>
      <c r="AC649" s="33" t="str">
        <f t="shared" si="227"/>
        <v/>
      </c>
      <c r="AD649" s="15" t="str">
        <f t="shared" si="228"/>
        <v xml:space="preserve"> </v>
      </c>
      <c r="AE649" s="5"/>
      <c r="AF649" s="27" t="b">
        <f>IF($G649&lt;&gt;0,SUMIF(куб!$G:$G,$G649,куб!R:R),IF($E649&lt;&gt;0,SUMIF(куб!$E:$E,$E649,куб!R:R),IF($D649&lt;&gt;0,SUMIF(куб!$D:$D,$D649,куб!R:R),IF($C649&lt;&gt;0,SUMIF(куб!$C:$C,$C649,куб!R:R),IF($B649&lt;&gt;0,SUMIF(куб!$B:$B,$B649,куб!R:R))))))</f>
        <v>0</v>
      </c>
      <c r="AG649" s="27" t="b">
        <f>IF($G649&lt;&gt;0,SUMIF(куб!$G:$G,$G649,куб!S:S),IF($E649&lt;&gt;0,SUMIF(куб!$E:$E,$E649,куб!S:S),IF($D649&lt;&gt;0,SUMIF(куб!$D:$D,$D649,куб!S:S),IF($C649&lt;&gt;0,SUMIF(куб!$C:$C,$C649,куб!S:S),IF($B649&lt;&gt;0,SUMIF(куб!$B:$B,$B649,куб!S:S))))))</f>
        <v>0</v>
      </c>
      <c r="AH649" s="16" t="str">
        <f t="shared" si="229"/>
        <v>-</v>
      </c>
      <c r="AI649" s="8"/>
      <c r="AJ649" s="27" t="b">
        <f>IF($G649&lt;&gt;0,SUMIF(куб!$G:$G,$G649,куб!T:T),IF($E649&lt;&gt;0,SUMIF(куб!$E:$E,$E649,куб!T:T),IF($D649&lt;&gt;0,SUMIF(куб!$D:$D,$D649,куб!T:T),IF($C649&lt;&gt;0,SUMIF(куб!$C:$C,$C649,куб!T:T),IF($B649&lt;&gt;0,SUMIF(куб!$B:$B,$B649,куб!T:T))))))</f>
        <v>0</v>
      </c>
      <c r="AK649" s="27" t="b">
        <f>IF($G649&lt;&gt;0,SUMIF(куб!$G:$G,$G649,куб!U:U),IF($E649&lt;&gt;0,SUMIF(куб!$E:$E,$E649,куб!U:U),IF($D649&lt;&gt;0,SUMIF(куб!$D:$D,$D649,куб!U:U),IF($C649&lt;&gt;0,SUMIF(куб!$C:$C,$C649,куб!U:U),IF($B649&lt;&gt;0,SUMIF(куб!$B:$B,$B649,куб!U:U))))))</f>
        <v>0</v>
      </c>
      <c r="AL649" s="16" t="str">
        <f t="shared" si="230"/>
        <v>-</v>
      </c>
      <c r="AM649" s="8"/>
      <c r="AN649" s="17" t="str">
        <f t="shared" si="231"/>
        <v xml:space="preserve"> </v>
      </c>
      <c r="AO649" s="17" t="str">
        <f t="shared" si="232"/>
        <v xml:space="preserve"> </v>
      </c>
      <c r="AP649" s="16" t="str">
        <f t="shared" si="233"/>
        <v>-</v>
      </c>
      <c r="AQ649" s="8"/>
      <c r="AR649" s="17" t="str">
        <f t="shared" si="234"/>
        <v>-</v>
      </c>
      <c r="AS649" s="17" t="str">
        <f t="shared" si="235"/>
        <v>-</v>
      </c>
      <c r="AT649" s="13" t="str">
        <f t="shared" si="236"/>
        <v>-</v>
      </c>
      <c r="AU649" s="8"/>
    </row>
    <row r="650" spans="1:47" x14ac:dyDescent="0.25">
      <c r="A650" s="31"/>
      <c r="B650" s="31"/>
      <c r="C650"/>
      <c r="D650" s="31"/>
      <c r="E650"/>
      <c r="F650" s="31"/>
      <c r="G650"/>
      <c r="H650" s="27">
        <f>IF($G650&lt;&gt;0,SUMIF(куб!$G:$G,$G650,куб!H:H),IF($E650&lt;&gt;0,SUMIF(куб!$E:$E,$E650,куб!H:H),IF($D650&lt;&gt;0,SUMIF(куб!$D:$D,$D650,куб!H:H),IF($C650&lt;&gt;0,SUMIF(куб!$C:$C,$C650,куб!H:H),IF($B650&lt;&gt;0,SUMIF(куб!$B:$B,$B650,куб!H:H),IF($G650&lt;&gt;0,SUMIF(куб!$A:$A,$G650,куб!H:H),SUMIF(куб!$A:$A,$G650,куб!H:H)))))))</f>
        <v>0</v>
      </c>
      <c r="I650" s="27">
        <f>IF($G650&lt;&gt;0,SUMIF(куб!$G:$G,$G650,куб!I:I),IF($E650&lt;&gt;0,SUMIF(куб!$E:$E,$E650,куб!I:I),IF($D650&lt;&gt;0,SUMIF(куб!$D:$D,$D650,куб!I:I),IF($C650&lt;&gt;0,SUMIF(куб!$C:$C,$C650,куб!I:I),IF($B650&lt;&gt;0,SUMIF(куб!$B:$B,$B650,куб!I:I),IF($G650&lt;&gt;0,SUMIF(куб!$A:$A,$G650,куб!I:I),SUMIF(куб!$A:$A,$G650,куб!I:I)))))))</f>
        <v>0</v>
      </c>
      <c r="J650" s="19" t="str">
        <f t="shared" si="219"/>
        <v>-</v>
      </c>
      <c r="K650" s="8"/>
      <c r="L650" s="17">
        <f t="shared" si="220"/>
        <v>0</v>
      </c>
      <c r="M650" s="17">
        <f t="shared" si="221"/>
        <v>0</v>
      </c>
      <c r="N650" s="12">
        <f t="shared" si="222"/>
        <v>0</v>
      </c>
      <c r="O650" s="5"/>
      <c r="P650" s="27" t="b">
        <f>IF($G650&lt;&gt;0,SUMIF(куб!$G:$G,$G650,куб!J:J),IF($E650&lt;&gt;0,SUMIF(куб!$E:$E,$E650,куб!J:J),IF($D650&lt;&gt;0,SUMIF(куб!$D:$D,$D650,куб!J:J),IF($C650&lt;&gt;0,SUMIF(куб!$C:$C,$C650,куб!J:J),IF($B650&lt;&gt;0,SUMIF(куб!$B:$B,$B650,куб!J:J))))))</f>
        <v>0</v>
      </c>
      <c r="Q650" s="27" t="b">
        <f>IF($G650&lt;&gt;0,SUMIF(куб!$G:$G,$G650,куб!K:K),IF($E650&lt;&gt;0,SUMIF(куб!$E:$E,$E650,куб!K:K),IF($D650&lt;&gt;0,SUMIF(куб!$D:$D,$D650,куб!K:K),IF($C650&lt;&gt;0,SUMIF(куб!$C:$C,$C650,куб!K:K),IF($B650&lt;&gt;0,SUMIF(куб!$B:$B,$B650,куб!K:K))))))</f>
        <v>0</v>
      </c>
      <c r="R650" s="13" t="str">
        <f t="shared" si="223"/>
        <v>-</v>
      </c>
      <c r="S650" s="5"/>
      <c r="T650" s="27" t="b">
        <f>IF($G650&lt;&gt;0,SUMIF(куб!$G:$G,$G650,куб!L:L),IF($E650&lt;&gt;0,SUMIF(куб!$E:$E,$E650,куб!L:L),IF($D650&lt;&gt;0,SUMIF(куб!$D:$D,$D650,куб!L:L),IF($C650&lt;&gt;0,SUMIF(куб!$C:$C,$C650,куб!L:L),IF($B650&lt;&gt;0,SUMIF(куб!$B:$B,$B650,куб!L:L))))))</f>
        <v>0</v>
      </c>
      <c r="U650" s="27" t="b">
        <f>IF($G650&lt;&gt;0,SUMIF(куб!$G:$G,$G650,куб!M:M),IF($E650&lt;&gt;0,SUMIF(куб!$E:$E,$E650,куб!M:M),IF($D650&lt;&gt;0,SUMIF(куб!$D:$D,$D650,куб!M:M),IF($C650&lt;&gt;0,SUMIF(куб!$C:$C,$C650,куб!M:M),IF($B650&lt;&gt;0,SUMIF(куб!$B:$B,$B650,куб!M:M))))))</f>
        <v>0</v>
      </c>
      <c r="V650" s="13" t="str">
        <f t="shared" si="224"/>
        <v>-</v>
      </c>
      <c r="W650" s="5"/>
      <c r="X650" s="27" t="b">
        <f>IF($G650&lt;&gt;0,SUMIF(куб!$G:$G,$G650,куб!N:N),IF($E650&lt;&gt;0,SUMIF(куб!$E:$E,$E650,куб!N:N),IF($D650&lt;&gt;0,SUMIF(куб!$D:$D,$D650,куб!N:N),IF($C650&lt;&gt;0,SUMIF(куб!$C:$C,$C650,куб!N:N),IF($B650&lt;&gt;0,SUMIF(куб!$B:$B,$B650,куб!N:N))))))</f>
        <v>0</v>
      </c>
      <c r="Y650" s="27" t="b">
        <f>IF($G650&lt;&gt;0,SUMIF(куб!$G:$G,$G650,куб!O:O),IF($E650&lt;&gt;0,SUMIF(куб!$E:$E,$E650,куб!O:O),IF($D650&lt;&gt;0,SUMIF(куб!$D:$D,$D650,куб!O:O),IF($C650&lt;&gt;0,SUMIF(куб!$C:$C,$C650,куб!O:O),IF($B650&lt;&gt;0,SUMIF(куб!$B:$B,$B650,куб!O:O))))))</f>
        <v>0</v>
      </c>
      <c r="Z650" s="13" t="str">
        <f t="shared" si="225"/>
        <v>-</v>
      </c>
      <c r="AA650" s="5"/>
      <c r="AB650" s="33" t="str">
        <f t="shared" si="226"/>
        <v/>
      </c>
      <c r="AC650" s="33" t="str">
        <f t="shared" si="227"/>
        <v/>
      </c>
      <c r="AD650" s="15" t="str">
        <f t="shared" si="228"/>
        <v xml:space="preserve"> </v>
      </c>
      <c r="AE650" s="5"/>
      <c r="AF650" s="27" t="b">
        <f>IF($G650&lt;&gt;0,SUMIF(куб!$G:$G,$G650,куб!R:R),IF($E650&lt;&gt;0,SUMIF(куб!$E:$E,$E650,куб!R:R),IF($D650&lt;&gt;0,SUMIF(куб!$D:$D,$D650,куб!R:R),IF($C650&lt;&gt;0,SUMIF(куб!$C:$C,$C650,куб!R:R),IF($B650&lt;&gt;0,SUMIF(куб!$B:$B,$B650,куб!R:R))))))</f>
        <v>0</v>
      </c>
      <c r="AG650" s="27" t="b">
        <f>IF($G650&lt;&gt;0,SUMIF(куб!$G:$G,$G650,куб!S:S),IF($E650&lt;&gt;0,SUMIF(куб!$E:$E,$E650,куб!S:S),IF($D650&lt;&gt;0,SUMIF(куб!$D:$D,$D650,куб!S:S),IF($C650&lt;&gt;0,SUMIF(куб!$C:$C,$C650,куб!S:S),IF($B650&lt;&gt;0,SUMIF(куб!$B:$B,$B650,куб!S:S))))))</f>
        <v>0</v>
      </c>
      <c r="AH650" s="16" t="str">
        <f t="shared" si="229"/>
        <v>-</v>
      </c>
      <c r="AI650" s="8"/>
      <c r="AJ650" s="27" t="b">
        <f>IF($G650&lt;&gt;0,SUMIF(куб!$G:$G,$G650,куб!T:T),IF($E650&lt;&gt;0,SUMIF(куб!$E:$E,$E650,куб!T:T),IF($D650&lt;&gt;0,SUMIF(куб!$D:$D,$D650,куб!T:T),IF($C650&lt;&gt;0,SUMIF(куб!$C:$C,$C650,куб!T:T),IF($B650&lt;&gt;0,SUMIF(куб!$B:$B,$B650,куб!T:T))))))</f>
        <v>0</v>
      </c>
      <c r="AK650" s="27" t="b">
        <f>IF($G650&lt;&gt;0,SUMIF(куб!$G:$G,$G650,куб!U:U),IF($E650&lt;&gt;0,SUMIF(куб!$E:$E,$E650,куб!U:U),IF($D650&lt;&gt;0,SUMIF(куб!$D:$D,$D650,куб!U:U),IF($C650&lt;&gt;0,SUMIF(куб!$C:$C,$C650,куб!U:U),IF($B650&lt;&gt;0,SUMIF(куб!$B:$B,$B650,куб!U:U))))))</f>
        <v>0</v>
      </c>
      <c r="AL650" s="16" t="str">
        <f t="shared" si="230"/>
        <v>-</v>
      </c>
      <c r="AM650" s="8"/>
      <c r="AN650" s="17" t="str">
        <f t="shared" si="231"/>
        <v xml:space="preserve"> </v>
      </c>
      <c r="AO650" s="17" t="str">
        <f t="shared" si="232"/>
        <v xml:space="preserve"> </v>
      </c>
      <c r="AP650" s="16" t="str">
        <f t="shared" si="233"/>
        <v>-</v>
      </c>
      <c r="AQ650" s="8"/>
      <c r="AR650" s="17" t="str">
        <f t="shared" si="234"/>
        <v>-</v>
      </c>
      <c r="AS650" s="17" t="str">
        <f t="shared" si="235"/>
        <v>-</v>
      </c>
      <c r="AT650" s="13" t="str">
        <f t="shared" si="236"/>
        <v>-</v>
      </c>
      <c r="AU650" s="8"/>
    </row>
    <row r="651" spans="1:47" x14ac:dyDescent="0.25">
      <c r="A651" s="31"/>
      <c r="B651" s="31"/>
      <c r="C651"/>
      <c r="D651" s="31"/>
      <c r="E651"/>
      <c r="F651" s="31"/>
      <c r="G651"/>
      <c r="H651" s="27">
        <f>IF($G651&lt;&gt;0,SUMIF(куб!$G:$G,$G651,куб!H:H),IF($E651&lt;&gt;0,SUMIF(куб!$E:$E,$E651,куб!H:H),IF($D651&lt;&gt;0,SUMIF(куб!$D:$D,$D651,куб!H:H),IF($C651&lt;&gt;0,SUMIF(куб!$C:$C,$C651,куб!H:H),IF($B651&lt;&gt;0,SUMIF(куб!$B:$B,$B651,куб!H:H),IF($G651&lt;&gt;0,SUMIF(куб!$A:$A,$G651,куб!H:H),SUMIF(куб!$A:$A,$G651,куб!H:H)))))))</f>
        <v>0</v>
      </c>
      <c r="I651" s="27">
        <f>IF($G651&lt;&gt;0,SUMIF(куб!$G:$G,$G651,куб!I:I),IF($E651&lt;&gt;0,SUMIF(куб!$E:$E,$E651,куб!I:I),IF($D651&lt;&gt;0,SUMIF(куб!$D:$D,$D651,куб!I:I),IF($C651&lt;&gt;0,SUMIF(куб!$C:$C,$C651,куб!I:I),IF($B651&lt;&gt;0,SUMIF(куб!$B:$B,$B651,куб!I:I),IF($G651&lt;&gt;0,SUMIF(куб!$A:$A,$G651,куб!I:I),SUMIF(куб!$A:$A,$G651,куб!I:I)))))))</f>
        <v>0</v>
      </c>
      <c r="J651" s="19" t="str">
        <f t="shared" si="219"/>
        <v>-</v>
      </c>
      <c r="K651" s="8"/>
      <c r="L651" s="17">
        <f t="shared" si="220"/>
        <v>0</v>
      </c>
      <c r="M651" s="17">
        <f t="shared" si="221"/>
        <v>0</v>
      </c>
      <c r="N651" s="12">
        <f t="shared" si="222"/>
        <v>0</v>
      </c>
      <c r="O651" s="5"/>
      <c r="P651" s="27" t="b">
        <f>IF($G651&lt;&gt;0,SUMIF(куб!$G:$G,$G651,куб!J:J),IF($E651&lt;&gt;0,SUMIF(куб!$E:$E,$E651,куб!J:J),IF($D651&lt;&gt;0,SUMIF(куб!$D:$D,$D651,куб!J:J),IF($C651&lt;&gt;0,SUMIF(куб!$C:$C,$C651,куб!J:J),IF($B651&lt;&gt;0,SUMIF(куб!$B:$B,$B651,куб!J:J))))))</f>
        <v>0</v>
      </c>
      <c r="Q651" s="27" t="b">
        <f>IF($G651&lt;&gt;0,SUMIF(куб!$G:$G,$G651,куб!K:K),IF($E651&lt;&gt;0,SUMIF(куб!$E:$E,$E651,куб!K:K),IF($D651&lt;&gt;0,SUMIF(куб!$D:$D,$D651,куб!K:K),IF($C651&lt;&gt;0,SUMIF(куб!$C:$C,$C651,куб!K:K),IF($B651&lt;&gt;0,SUMIF(куб!$B:$B,$B651,куб!K:K))))))</f>
        <v>0</v>
      </c>
      <c r="R651" s="13" t="str">
        <f t="shared" si="223"/>
        <v>-</v>
      </c>
      <c r="S651" s="5"/>
      <c r="T651" s="27" t="b">
        <f>IF($G651&lt;&gt;0,SUMIF(куб!$G:$G,$G651,куб!L:L),IF($E651&lt;&gt;0,SUMIF(куб!$E:$E,$E651,куб!L:L),IF($D651&lt;&gt;0,SUMIF(куб!$D:$D,$D651,куб!L:L),IF($C651&lt;&gt;0,SUMIF(куб!$C:$C,$C651,куб!L:L),IF($B651&lt;&gt;0,SUMIF(куб!$B:$B,$B651,куб!L:L))))))</f>
        <v>0</v>
      </c>
      <c r="U651" s="27" t="b">
        <f>IF($G651&lt;&gt;0,SUMIF(куб!$G:$G,$G651,куб!M:M),IF($E651&lt;&gt;0,SUMIF(куб!$E:$E,$E651,куб!M:M),IF($D651&lt;&gt;0,SUMIF(куб!$D:$D,$D651,куб!M:M),IF($C651&lt;&gt;0,SUMIF(куб!$C:$C,$C651,куб!M:M),IF($B651&lt;&gt;0,SUMIF(куб!$B:$B,$B651,куб!M:M))))))</f>
        <v>0</v>
      </c>
      <c r="V651" s="13" t="str">
        <f t="shared" si="224"/>
        <v>-</v>
      </c>
      <c r="W651" s="5"/>
      <c r="X651" s="27" t="b">
        <f>IF($G651&lt;&gt;0,SUMIF(куб!$G:$G,$G651,куб!N:N),IF($E651&lt;&gt;0,SUMIF(куб!$E:$E,$E651,куб!N:N),IF($D651&lt;&gt;0,SUMIF(куб!$D:$D,$D651,куб!N:N),IF($C651&lt;&gt;0,SUMIF(куб!$C:$C,$C651,куб!N:N),IF($B651&lt;&gt;0,SUMIF(куб!$B:$B,$B651,куб!N:N))))))</f>
        <v>0</v>
      </c>
      <c r="Y651" s="27" t="b">
        <f>IF($G651&lt;&gt;0,SUMIF(куб!$G:$G,$G651,куб!O:O),IF($E651&lt;&gt;0,SUMIF(куб!$E:$E,$E651,куб!O:O),IF($D651&lt;&gt;0,SUMIF(куб!$D:$D,$D651,куб!O:O),IF($C651&lt;&gt;0,SUMIF(куб!$C:$C,$C651,куб!O:O),IF($B651&lt;&gt;0,SUMIF(куб!$B:$B,$B651,куб!O:O))))))</f>
        <v>0</v>
      </c>
      <c r="Z651" s="13" t="str">
        <f t="shared" si="225"/>
        <v>-</v>
      </c>
      <c r="AA651" s="5"/>
      <c r="AB651" s="33" t="str">
        <f t="shared" si="226"/>
        <v/>
      </c>
      <c r="AC651" s="33" t="str">
        <f t="shared" si="227"/>
        <v/>
      </c>
      <c r="AD651" s="15" t="str">
        <f t="shared" si="228"/>
        <v xml:space="preserve"> </v>
      </c>
      <c r="AE651" s="5"/>
      <c r="AF651" s="27" t="b">
        <f>IF($G651&lt;&gt;0,SUMIF(куб!$G:$G,$G651,куб!R:R),IF($E651&lt;&gt;0,SUMIF(куб!$E:$E,$E651,куб!R:R),IF($D651&lt;&gt;0,SUMIF(куб!$D:$D,$D651,куб!R:R),IF($C651&lt;&gt;0,SUMIF(куб!$C:$C,$C651,куб!R:R),IF($B651&lt;&gt;0,SUMIF(куб!$B:$B,$B651,куб!R:R))))))</f>
        <v>0</v>
      </c>
      <c r="AG651" s="27" t="b">
        <f>IF($G651&lt;&gt;0,SUMIF(куб!$G:$G,$G651,куб!S:S),IF($E651&lt;&gt;0,SUMIF(куб!$E:$E,$E651,куб!S:S),IF($D651&lt;&gt;0,SUMIF(куб!$D:$D,$D651,куб!S:S),IF($C651&lt;&gt;0,SUMIF(куб!$C:$C,$C651,куб!S:S),IF($B651&lt;&gt;0,SUMIF(куб!$B:$B,$B651,куб!S:S))))))</f>
        <v>0</v>
      </c>
      <c r="AH651" s="16" t="str">
        <f t="shared" si="229"/>
        <v>-</v>
      </c>
      <c r="AI651" s="8"/>
      <c r="AJ651" s="27" t="b">
        <f>IF($G651&lt;&gt;0,SUMIF(куб!$G:$G,$G651,куб!T:T),IF($E651&lt;&gt;0,SUMIF(куб!$E:$E,$E651,куб!T:T),IF($D651&lt;&gt;0,SUMIF(куб!$D:$D,$D651,куб!T:T),IF($C651&lt;&gt;0,SUMIF(куб!$C:$C,$C651,куб!T:T),IF($B651&lt;&gt;0,SUMIF(куб!$B:$B,$B651,куб!T:T))))))</f>
        <v>0</v>
      </c>
      <c r="AK651" s="27" t="b">
        <f>IF($G651&lt;&gt;0,SUMIF(куб!$G:$G,$G651,куб!U:U),IF($E651&lt;&gt;0,SUMIF(куб!$E:$E,$E651,куб!U:U),IF($D651&lt;&gt;0,SUMIF(куб!$D:$D,$D651,куб!U:U),IF($C651&lt;&gt;0,SUMIF(куб!$C:$C,$C651,куб!U:U),IF($B651&lt;&gt;0,SUMIF(куб!$B:$B,$B651,куб!U:U))))))</f>
        <v>0</v>
      </c>
      <c r="AL651" s="16" t="str">
        <f t="shared" si="230"/>
        <v>-</v>
      </c>
      <c r="AM651" s="8"/>
      <c r="AN651" s="17" t="str">
        <f t="shared" si="231"/>
        <v xml:space="preserve"> </v>
      </c>
      <c r="AO651" s="17" t="str">
        <f t="shared" si="232"/>
        <v xml:space="preserve"> </v>
      </c>
      <c r="AP651" s="16" t="str">
        <f t="shared" si="233"/>
        <v>-</v>
      </c>
      <c r="AQ651" s="8"/>
      <c r="AR651" s="17" t="str">
        <f t="shared" si="234"/>
        <v>-</v>
      </c>
      <c r="AS651" s="17" t="str">
        <f t="shared" si="235"/>
        <v>-</v>
      </c>
      <c r="AT651" s="13" t="str">
        <f t="shared" si="236"/>
        <v>-</v>
      </c>
      <c r="AU651" s="8"/>
    </row>
    <row r="652" spans="1:47" x14ac:dyDescent="0.25">
      <c r="A652" s="31"/>
      <c r="B652" s="31"/>
      <c r="C652"/>
      <c r="D652" s="31"/>
      <c r="E652"/>
      <c r="F652"/>
      <c r="G652"/>
      <c r="H652" s="27">
        <f>IF($G652&lt;&gt;0,SUMIF(куб!$G:$G,$G652,куб!H:H),IF($E652&lt;&gt;0,SUMIF(куб!$E:$E,$E652,куб!H:H),IF($D652&lt;&gt;0,SUMIF(куб!$D:$D,$D652,куб!H:H),IF($C652&lt;&gt;0,SUMIF(куб!$C:$C,$C652,куб!H:H),IF($B652&lt;&gt;0,SUMIF(куб!$B:$B,$B652,куб!H:H),IF($G652&lt;&gt;0,SUMIF(куб!$A:$A,$G652,куб!H:H),SUMIF(куб!$A:$A,$G652,куб!H:H)))))))</f>
        <v>0</v>
      </c>
      <c r="I652" s="27">
        <f>IF($G652&lt;&gt;0,SUMIF(куб!$G:$G,$G652,куб!I:I),IF($E652&lt;&gt;0,SUMIF(куб!$E:$E,$E652,куб!I:I),IF($D652&lt;&gt;0,SUMIF(куб!$D:$D,$D652,куб!I:I),IF($C652&lt;&gt;0,SUMIF(куб!$C:$C,$C652,куб!I:I),IF($B652&lt;&gt;0,SUMIF(куб!$B:$B,$B652,куб!I:I),IF($G652&lt;&gt;0,SUMIF(куб!$A:$A,$G652,куб!I:I),SUMIF(куб!$A:$A,$G652,куб!I:I)))))))</f>
        <v>0</v>
      </c>
      <c r="J652" s="19" t="str">
        <f t="shared" si="219"/>
        <v>-</v>
      </c>
      <c r="K652" s="8"/>
      <c r="L652" s="17">
        <f t="shared" si="220"/>
        <v>0</v>
      </c>
      <c r="M652" s="17">
        <f t="shared" si="221"/>
        <v>0</v>
      </c>
      <c r="N652" s="12">
        <f t="shared" si="222"/>
        <v>0</v>
      </c>
      <c r="O652" s="5"/>
      <c r="P652" s="27" t="b">
        <f>IF($G652&lt;&gt;0,SUMIF(куб!$G:$G,$G652,куб!J:J),IF($E652&lt;&gt;0,SUMIF(куб!$E:$E,$E652,куб!J:J),IF($D652&lt;&gt;0,SUMIF(куб!$D:$D,$D652,куб!J:J),IF($C652&lt;&gt;0,SUMIF(куб!$C:$C,$C652,куб!J:J),IF($B652&lt;&gt;0,SUMIF(куб!$B:$B,$B652,куб!J:J))))))</f>
        <v>0</v>
      </c>
      <c r="Q652" s="27" t="b">
        <f>IF($G652&lt;&gt;0,SUMIF(куб!$G:$G,$G652,куб!K:K),IF($E652&lt;&gt;0,SUMIF(куб!$E:$E,$E652,куб!K:K),IF($D652&lt;&gt;0,SUMIF(куб!$D:$D,$D652,куб!K:K),IF($C652&lt;&gt;0,SUMIF(куб!$C:$C,$C652,куб!K:K),IF($B652&lt;&gt;0,SUMIF(куб!$B:$B,$B652,куб!K:K))))))</f>
        <v>0</v>
      </c>
      <c r="R652" s="13" t="str">
        <f t="shared" si="223"/>
        <v>-</v>
      </c>
      <c r="S652" s="5"/>
      <c r="T652" s="27" t="b">
        <f>IF($G652&lt;&gt;0,SUMIF(куб!$G:$G,$G652,куб!L:L),IF($E652&lt;&gt;0,SUMIF(куб!$E:$E,$E652,куб!L:L),IF($D652&lt;&gt;0,SUMIF(куб!$D:$D,$D652,куб!L:L),IF($C652&lt;&gt;0,SUMIF(куб!$C:$C,$C652,куб!L:L),IF($B652&lt;&gt;0,SUMIF(куб!$B:$B,$B652,куб!L:L))))))</f>
        <v>0</v>
      </c>
      <c r="U652" s="27" t="b">
        <f>IF($G652&lt;&gt;0,SUMIF(куб!$G:$G,$G652,куб!M:M),IF($E652&lt;&gt;0,SUMIF(куб!$E:$E,$E652,куб!M:M),IF($D652&lt;&gt;0,SUMIF(куб!$D:$D,$D652,куб!M:M),IF($C652&lt;&gt;0,SUMIF(куб!$C:$C,$C652,куб!M:M),IF($B652&lt;&gt;0,SUMIF(куб!$B:$B,$B652,куб!M:M))))))</f>
        <v>0</v>
      </c>
      <c r="V652" s="13" t="str">
        <f t="shared" si="224"/>
        <v>-</v>
      </c>
      <c r="W652" s="5"/>
      <c r="X652" s="27" t="b">
        <f>IF($G652&lt;&gt;0,SUMIF(куб!$G:$G,$G652,куб!N:N),IF($E652&lt;&gt;0,SUMIF(куб!$E:$E,$E652,куб!N:N),IF($D652&lt;&gt;0,SUMIF(куб!$D:$D,$D652,куб!N:N),IF($C652&lt;&gt;0,SUMIF(куб!$C:$C,$C652,куб!N:N),IF($B652&lt;&gt;0,SUMIF(куб!$B:$B,$B652,куб!N:N))))))</f>
        <v>0</v>
      </c>
      <c r="Y652" s="27" t="b">
        <f>IF($G652&lt;&gt;0,SUMIF(куб!$G:$G,$G652,куб!O:O),IF($E652&lt;&gt;0,SUMIF(куб!$E:$E,$E652,куб!O:O),IF($D652&lt;&gt;0,SUMIF(куб!$D:$D,$D652,куб!O:O),IF($C652&lt;&gt;0,SUMIF(куб!$C:$C,$C652,куб!O:O),IF($B652&lt;&gt;0,SUMIF(куб!$B:$B,$B652,куб!O:O))))))</f>
        <v>0</v>
      </c>
      <c r="Z652" s="13" t="str">
        <f t="shared" si="225"/>
        <v>-</v>
      </c>
      <c r="AA652" s="5"/>
      <c r="AB652" s="33" t="str">
        <f t="shared" si="226"/>
        <v/>
      </c>
      <c r="AC652" s="33" t="str">
        <f t="shared" si="227"/>
        <v/>
      </c>
      <c r="AD652" s="15" t="str">
        <f t="shared" si="228"/>
        <v xml:space="preserve"> </v>
      </c>
      <c r="AE652" s="5"/>
      <c r="AF652" s="27" t="b">
        <f>IF($G652&lt;&gt;0,SUMIF(куб!$G:$G,$G652,куб!R:R),IF($E652&lt;&gt;0,SUMIF(куб!$E:$E,$E652,куб!R:R),IF($D652&lt;&gt;0,SUMIF(куб!$D:$D,$D652,куб!R:R),IF($C652&lt;&gt;0,SUMIF(куб!$C:$C,$C652,куб!R:R),IF($B652&lt;&gt;0,SUMIF(куб!$B:$B,$B652,куб!R:R))))))</f>
        <v>0</v>
      </c>
      <c r="AG652" s="27" t="b">
        <f>IF($G652&lt;&gt;0,SUMIF(куб!$G:$G,$G652,куб!S:S),IF($E652&lt;&gt;0,SUMIF(куб!$E:$E,$E652,куб!S:S),IF($D652&lt;&gt;0,SUMIF(куб!$D:$D,$D652,куб!S:S),IF($C652&lt;&gt;0,SUMIF(куб!$C:$C,$C652,куб!S:S),IF($B652&lt;&gt;0,SUMIF(куб!$B:$B,$B652,куб!S:S))))))</f>
        <v>0</v>
      </c>
      <c r="AH652" s="16" t="str">
        <f t="shared" si="229"/>
        <v>-</v>
      </c>
      <c r="AI652" s="8"/>
      <c r="AJ652" s="27" t="b">
        <f>IF($G652&lt;&gt;0,SUMIF(куб!$G:$G,$G652,куб!T:T),IF($E652&lt;&gt;0,SUMIF(куб!$E:$E,$E652,куб!T:T),IF($D652&lt;&gt;0,SUMIF(куб!$D:$D,$D652,куб!T:T),IF($C652&lt;&gt;0,SUMIF(куб!$C:$C,$C652,куб!T:T),IF($B652&lt;&gt;0,SUMIF(куб!$B:$B,$B652,куб!T:T))))))</f>
        <v>0</v>
      </c>
      <c r="AK652" s="27" t="b">
        <f>IF($G652&lt;&gt;0,SUMIF(куб!$G:$G,$G652,куб!U:U),IF($E652&lt;&gt;0,SUMIF(куб!$E:$E,$E652,куб!U:U),IF($D652&lt;&gt;0,SUMIF(куб!$D:$D,$D652,куб!U:U),IF($C652&lt;&gt;0,SUMIF(куб!$C:$C,$C652,куб!U:U),IF($B652&lt;&gt;0,SUMIF(куб!$B:$B,$B652,куб!U:U))))))</f>
        <v>0</v>
      </c>
      <c r="AL652" s="16" t="str">
        <f t="shared" si="230"/>
        <v>-</v>
      </c>
      <c r="AM652" s="8"/>
      <c r="AN652" s="17" t="str">
        <f t="shared" si="231"/>
        <v xml:space="preserve"> </v>
      </c>
      <c r="AO652" s="17" t="str">
        <f t="shared" si="232"/>
        <v xml:space="preserve"> </v>
      </c>
      <c r="AP652" s="16" t="str">
        <f t="shared" si="233"/>
        <v>-</v>
      </c>
      <c r="AQ652" s="8"/>
      <c r="AR652" s="17" t="str">
        <f t="shared" si="234"/>
        <v>-</v>
      </c>
      <c r="AS652" s="17" t="str">
        <f t="shared" si="235"/>
        <v>-</v>
      </c>
      <c r="AT652" s="13" t="str">
        <f t="shared" si="236"/>
        <v>-</v>
      </c>
      <c r="AU652" s="8"/>
    </row>
    <row r="653" spans="1:47" x14ac:dyDescent="0.25">
      <c r="A653" s="31"/>
      <c r="B653" s="31"/>
      <c r="C653"/>
      <c r="D653" s="31"/>
      <c r="E653" s="31"/>
      <c r="F653" s="31"/>
      <c r="G653" s="31"/>
      <c r="H653" s="27">
        <f>IF($G653&lt;&gt;0,SUMIF(куб!$G:$G,$G653,куб!H:H),IF($E653&lt;&gt;0,SUMIF(куб!$E:$E,$E653,куб!H:H),IF($D653&lt;&gt;0,SUMIF(куб!$D:$D,$D653,куб!H:H),IF($C653&lt;&gt;0,SUMIF(куб!$C:$C,$C653,куб!H:H),IF($B653&lt;&gt;0,SUMIF(куб!$B:$B,$B653,куб!H:H),IF($G653&lt;&gt;0,SUMIF(куб!$A:$A,$G653,куб!H:H),SUMIF(куб!$A:$A,$G653,куб!H:H)))))))</f>
        <v>0</v>
      </c>
      <c r="I653" s="27">
        <f>IF($G653&lt;&gt;0,SUMIF(куб!$G:$G,$G653,куб!I:I),IF($E653&lt;&gt;0,SUMIF(куб!$E:$E,$E653,куб!I:I),IF($D653&lt;&gt;0,SUMIF(куб!$D:$D,$D653,куб!I:I),IF($C653&lt;&gt;0,SUMIF(куб!$C:$C,$C653,куб!I:I),IF($B653&lt;&gt;0,SUMIF(куб!$B:$B,$B653,куб!I:I),IF($G653&lt;&gt;0,SUMIF(куб!$A:$A,$G653,куб!I:I),SUMIF(куб!$A:$A,$G653,куб!I:I)))))))</f>
        <v>0</v>
      </c>
      <c r="J653" s="19" t="str">
        <f t="shared" si="219"/>
        <v>-</v>
      </c>
      <c r="K653" s="8"/>
      <c r="L653" s="17">
        <f t="shared" si="220"/>
        <v>0</v>
      </c>
      <c r="M653" s="17">
        <f t="shared" si="221"/>
        <v>0</v>
      </c>
      <c r="N653" s="12">
        <f t="shared" si="222"/>
        <v>0</v>
      </c>
      <c r="O653" s="5"/>
      <c r="P653" s="27" t="b">
        <f>IF($G653&lt;&gt;0,SUMIF(куб!$G:$G,$G653,куб!J:J),IF($E653&lt;&gt;0,SUMIF(куб!$E:$E,$E653,куб!J:J),IF($D653&lt;&gt;0,SUMIF(куб!$D:$D,$D653,куб!J:J),IF($C653&lt;&gt;0,SUMIF(куб!$C:$C,$C653,куб!J:J),IF($B653&lt;&gt;0,SUMIF(куб!$B:$B,$B653,куб!J:J))))))</f>
        <v>0</v>
      </c>
      <c r="Q653" s="27" t="b">
        <f>IF($G653&lt;&gt;0,SUMIF(куб!$G:$G,$G653,куб!K:K),IF($E653&lt;&gt;0,SUMIF(куб!$E:$E,$E653,куб!K:K),IF($D653&lt;&gt;0,SUMIF(куб!$D:$D,$D653,куб!K:K),IF($C653&lt;&gt;0,SUMIF(куб!$C:$C,$C653,куб!K:K),IF($B653&lt;&gt;0,SUMIF(куб!$B:$B,$B653,куб!K:K))))))</f>
        <v>0</v>
      </c>
      <c r="R653" s="13" t="str">
        <f t="shared" si="223"/>
        <v>-</v>
      </c>
      <c r="S653" s="5"/>
      <c r="T653" s="27" t="b">
        <f>IF($G653&lt;&gt;0,SUMIF(куб!$G:$G,$G653,куб!L:L),IF($E653&lt;&gt;0,SUMIF(куб!$E:$E,$E653,куб!L:L),IF($D653&lt;&gt;0,SUMIF(куб!$D:$D,$D653,куб!L:L),IF($C653&lt;&gt;0,SUMIF(куб!$C:$C,$C653,куб!L:L),IF($B653&lt;&gt;0,SUMIF(куб!$B:$B,$B653,куб!L:L))))))</f>
        <v>0</v>
      </c>
      <c r="U653" s="27" t="b">
        <f>IF($G653&lt;&gt;0,SUMIF(куб!$G:$G,$G653,куб!M:M),IF($E653&lt;&gt;0,SUMIF(куб!$E:$E,$E653,куб!M:M),IF($D653&lt;&gt;0,SUMIF(куб!$D:$D,$D653,куб!M:M),IF($C653&lt;&gt;0,SUMIF(куб!$C:$C,$C653,куб!M:M),IF($B653&lt;&gt;0,SUMIF(куб!$B:$B,$B653,куб!M:M))))))</f>
        <v>0</v>
      </c>
      <c r="V653" s="13" t="str">
        <f t="shared" si="224"/>
        <v>-</v>
      </c>
      <c r="W653" s="5"/>
      <c r="X653" s="27" t="b">
        <f>IF($G653&lt;&gt;0,SUMIF(куб!$G:$G,$G653,куб!N:N),IF($E653&lt;&gt;0,SUMIF(куб!$E:$E,$E653,куб!N:N),IF($D653&lt;&gt;0,SUMIF(куб!$D:$D,$D653,куб!N:N),IF($C653&lt;&gt;0,SUMIF(куб!$C:$C,$C653,куб!N:N),IF($B653&lt;&gt;0,SUMIF(куб!$B:$B,$B653,куб!N:N))))))</f>
        <v>0</v>
      </c>
      <c r="Y653" s="27" t="b">
        <f>IF($G653&lt;&gt;0,SUMIF(куб!$G:$G,$G653,куб!O:O),IF($E653&lt;&gt;0,SUMIF(куб!$E:$E,$E653,куб!O:O),IF($D653&lt;&gt;0,SUMIF(куб!$D:$D,$D653,куб!O:O),IF($C653&lt;&gt;0,SUMIF(куб!$C:$C,$C653,куб!O:O),IF($B653&lt;&gt;0,SUMIF(куб!$B:$B,$B653,куб!O:O))))))</f>
        <v>0</v>
      </c>
      <c r="Z653" s="13" t="str">
        <f t="shared" si="225"/>
        <v>-</v>
      </c>
      <c r="AA653" s="5"/>
      <c r="AB653" s="33" t="str">
        <f t="shared" si="226"/>
        <v/>
      </c>
      <c r="AC653" s="33" t="str">
        <f t="shared" si="227"/>
        <v/>
      </c>
      <c r="AD653" s="15" t="str">
        <f t="shared" si="228"/>
        <v xml:space="preserve"> </v>
      </c>
      <c r="AE653" s="5"/>
      <c r="AF653" s="27" t="b">
        <f>IF($G653&lt;&gt;0,SUMIF(куб!$G:$G,$G653,куб!R:R),IF($E653&lt;&gt;0,SUMIF(куб!$E:$E,$E653,куб!R:R),IF($D653&lt;&gt;0,SUMIF(куб!$D:$D,$D653,куб!R:R),IF($C653&lt;&gt;0,SUMIF(куб!$C:$C,$C653,куб!R:R),IF($B653&lt;&gt;0,SUMIF(куб!$B:$B,$B653,куб!R:R))))))</f>
        <v>0</v>
      </c>
      <c r="AG653" s="27" t="b">
        <f>IF($G653&lt;&gt;0,SUMIF(куб!$G:$G,$G653,куб!S:S),IF($E653&lt;&gt;0,SUMIF(куб!$E:$E,$E653,куб!S:S),IF($D653&lt;&gt;0,SUMIF(куб!$D:$D,$D653,куб!S:S),IF($C653&lt;&gt;0,SUMIF(куб!$C:$C,$C653,куб!S:S),IF($B653&lt;&gt;0,SUMIF(куб!$B:$B,$B653,куб!S:S))))))</f>
        <v>0</v>
      </c>
      <c r="AH653" s="16" t="str">
        <f t="shared" si="229"/>
        <v>-</v>
      </c>
      <c r="AI653" s="8"/>
      <c r="AJ653" s="27" t="b">
        <f>IF($G653&lt;&gt;0,SUMIF(куб!$G:$G,$G653,куб!T:T),IF($E653&lt;&gt;0,SUMIF(куб!$E:$E,$E653,куб!T:T),IF($D653&lt;&gt;0,SUMIF(куб!$D:$D,$D653,куб!T:T),IF($C653&lt;&gt;0,SUMIF(куб!$C:$C,$C653,куб!T:T),IF($B653&lt;&gt;0,SUMIF(куб!$B:$B,$B653,куб!T:T))))))</f>
        <v>0</v>
      </c>
      <c r="AK653" s="27" t="b">
        <f>IF($G653&lt;&gt;0,SUMIF(куб!$G:$G,$G653,куб!U:U),IF($E653&lt;&gt;0,SUMIF(куб!$E:$E,$E653,куб!U:U),IF($D653&lt;&gt;0,SUMIF(куб!$D:$D,$D653,куб!U:U),IF($C653&lt;&gt;0,SUMIF(куб!$C:$C,$C653,куб!U:U),IF($B653&lt;&gt;0,SUMIF(куб!$B:$B,$B653,куб!U:U))))))</f>
        <v>0</v>
      </c>
      <c r="AL653" s="16" t="str">
        <f t="shared" si="230"/>
        <v>-</v>
      </c>
      <c r="AM653" s="8"/>
      <c r="AN653" s="17" t="str">
        <f t="shared" si="231"/>
        <v xml:space="preserve"> </v>
      </c>
      <c r="AO653" s="17" t="str">
        <f t="shared" si="232"/>
        <v xml:space="preserve"> </v>
      </c>
      <c r="AP653" s="16" t="str">
        <f t="shared" si="233"/>
        <v>-</v>
      </c>
      <c r="AQ653" s="8"/>
      <c r="AR653" s="17" t="str">
        <f t="shared" si="234"/>
        <v>-</v>
      </c>
      <c r="AS653" s="17" t="str">
        <f t="shared" si="235"/>
        <v>-</v>
      </c>
      <c r="AT653" s="13" t="str">
        <f t="shared" si="236"/>
        <v>-</v>
      </c>
      <c r="AU653" s="8"/>
    </row>
    <row r="654" spans="1:47" x14ac:dyDescent="0.25">
      <c r="A654" s="31"/>
      <c r="B654" s="31"/>
      <c r="C654"/>
      <c r="D654"/>
      <c r="E654"/>
      <c r="F654"/>
      <c r="G654"/>
      <c r="H654" s="27">
        <f>IF($G654&lt;&gt;0,SUMIF(куб!$G:$G,$G654,куб!H:H),IF($E654&lt;&gt;0,SUMIF(куб!$E:$E,$E654,куб!H:H),IF($D654&lt;&gt;0,SUMIF(куб!$D:$D,$D654,куб!H:H),IF($C654&lt;&gt;0,SUMIF(куб!$C:$C,$C654,куб!H:H),IF($B654&lt;&gt;0,SUMIF(куб!$B:$B,$B654,куб!H:H),IF($G654&lt;&gt;0,SUMIF(куб!$A:$A,$G654,куб!H:H),SUMIF(куб!$A:$A,$G654,куб!H:H)))))))</f>
        <v>0</v>
      </c>
      <c r="I654" s="27">
        <f>IF($G654&lt;&gt;0,SUMIF(куб!$G:$G,$G654,куб!I:I),IF($E654&lt;&gt;0,SUMIF(куб!$E:$E,$E654,куб!I:I),IF($D654&lt;&gt;0,SUMIF(куб!$D:$D,$D654,куб!I:I),IF($C654&lt;&gt;0,SUMIF(куб!$C:$C,$C654,куб!I:I),IF($B654&lt;&gt;0,SUMIF(куб!$B:$B,$B654,куб!I:I),IF($G654&lt;&gt;0,SUMIF(куб!$A:$A,$G654,куб!I:I),SUMIF(куб!$A:$A,$G654,куб!I:I)))))))</f>
        <v>0</v>
      </c>
      <c r="J654" s="19" t="str">
        <f t="shared" si="219"/>
        <v>-</v>
      </c>
      <c r="K654" s="8"/>
      <c r="L654" s="17">
        <f t="shared" si="220"/>
        <v>0</v>
      </c>
      <c r="M654" s="17">
        <f t="shared" si="221"/>
        <v>0</v>
      </c>
      <c r="N654" s="12">
        <f t="shared" si="222"/>
        <v>0</v>
      </c>
      <c r="O654" s="5"/>
      <c r="P654" s="27" t="b">
        <f>IF($G654&lt;&gt;0,SUMIF(куб!$G:$G,$G654,куб!J:J),IF($E654&lt;&gt;0,SUMIF(куб!$E:$E,$E654,куб!J:J),IF($D654&lt;&gt;0,SUMIF(куб!$D:$D,$D654,куб!J:J),IF($C654&lt;&gt;0,SUMIF(куб!$C:$C,$C654,куб!J:J),IF($B654&lt;&gt;0,SUMIF(куб!$B:$B,$B654,куб!J:J))))))</f>
        <v>0</v>
      </c>
      <c r="Q654" s="27" t="b">
        <f>IF($G654&lt;&gt;0,SUMIF(куб!$G:$G,$G654,куб!K:K),IF($E654&lt;&gt;0,SUMIF(куб!$E:$E,$E654,куб!K:K),IF($D654&lt;&gt;0,SUMIF(куб!$D:$D,$D654,куб!K:K),IF($C654&lt;&gt;0,SUMIF(куб!$C:$C,$C654,куб!K:K),IF($B654&lt;&gt;0,SUMIF(куб!$B:$B,$B654,куб!K:K))))))</f>
        <v>0</v>
      </c>
      <c r="R654" s="13" t="str">
        <f t="shared" si="223"/>
        <v>-</v>
      </c>
      <c r="S654" s="5"/>
      <c r="T654" s="27" t="b">
        <f>IF($G654&lt;&gt;0,SUMIF(куб!$G:$G,$G654,куб!L:L),IF($E654&lt;&gt;0,SUMIF(куб!$E:$E,$E654,куб!L:L),IF($D654&lt;&gt;0,SUMIF(куб!$D:$D,$D654,куб!L:L),IF($C654&lt;&gt;0,SUMIF(куб!$C:$C,$C654,куб!L:L),IF($B654&lt;&gt;0,SUMIF(куб!$B:$B,$B654,куб!L:L))))))</f>
        <v>0</v>
      </c>
      <c r="U654" s="27" t="b">
        <f>IF($G654&lt;&gt;0,SUMIF(куб!$G:$G,$G654,куб!M:M),IF($E654&lt;&gt;0,SUMIF(куб!$E:$E,$E654,куб!M:M),IF($D654&lt;&gt;0,SUMIF(куб!$D:$D,$D654,куб!M:M),IF($C654&lt;&gt;0,SUMIF(куб!$C:$C,$C654,куб!M:M),IF($B654&lt;&gt;0,SUMIF(куб!$B:$B,$B654,куб!M:M))))))</f>
        <v>0</v>
      </c>
      <c r="V654" s="13" t="str">
        <f t="shared" si="224"/>
        <v>-</v>
      </c>
      <c r="W654" s="5"/>
      <c r="X654" s="27" t="b">
        <f>IF($G654&lt;&gt;0,SUMIF(куб!$G:$G,$G654,куб!N:N),IF($E654&lt;&gt;0,SUMIF(куб!$E:$E,$E654,куб!N:N),IF($D654&lt;&gt;0,SUMIF(куб!$D:$D,$D654,куб!N:N),IF($C654&lt;&gt;0,SUMIF(куб!$C:$C,$C654,куб!N:N),IF($B654&lt;&gt;0,SUMIF(куб!$B:$B,$B654,куб!N:N))))))</f>
        <v>0</v>
      </c>
      <c r="Y654" s="27" t="b">
        <f>IF($G654&lt;&gt;0,SUMIF(куб!$G:$G,$G654,куб!O:O),IF($E654&lt;&gt;0,SUMIF(куб!$E:$E,$E654,куб!O:O),IF($D654&lt;&gt;0,SUMIF(куб!$D:$D,$D654,куб!O:O),IF($C654&lt;&gt;0,SUMIF(куб!$C:$C,$C654,куб!O:O),IF($B654&lt;&gt;0,SUMIF(куб!$B:$B,$B654,куб!O:O))))))</f>
        <v>0</v>
      </c>
      <c r="Z654" s="13" t="str">
        <f t="shared" si="225"/>
        <v>-</v>
      </c>
      <c r="AA654" s="5"/>
      <c r="AB654" s="33" t="str">
        <f t="shared" si="226"/>
        <v/>
      </c>
      <c r="AC654" s="33" t="str">
        <f t="shared" si="227"/>
        <v/>
      </c>
      <c r="AD654" s="15" t="str">
        <f t="shared" si="228"/>
        <v xml:space="preserve"> </v>
      </c>
      <c r="AE654" s="5"/>
      <c r="AF654" s="27" t="b">
        <f>IF($G654&lt;&gt;0,SUMIF(куб!$G:$G,$G654,куб!R:R),IF($E654&lt;&gt;0,SUMIF(куб!$E:$E,$E654,куб!R:R),IF($D654&lt;&gt;0,SUMIF(куб!$D:$D,$D654,куб!R:R),IF($C654&lt;&gt;0,SUMIF(куб!$C:$C,$C654,куб!R:R),IF($B654&lt;&gt;0,SUMIF(куб!$B:$B,$B654,куб!R:R))))))</f>
        <v>0</v>
      </c>
      <c r="AG654" s="27" t="b">
        <f>IF($G654&lt;&gt;0,SUMIF(куб!$G:$G,$G654,куб!S:S),IF($E654&lt;&gt;0,SUMIF(куб!$E:$E,$E654,куб!S:S),IF($D654&lt;&gt;0,SUMIF(куб!$D:$D,$D654,куб!S:S),IF($C654&lt;&gt;0,SUMIF(куб!$C:$C,$C654,куб!S:S),IF($B654&lt;&gt;0,SUMIF(куб!$B:$B,$B654,куб!S:S))))))</f>
        <v>0</v>
      </c>
      <c r="AH654" s="16" t="str">
        <f t="shared" si="229"/>
        <v>-</v>
      </c>
      <c r="AI654" s="8"/>
      <c r="AJ654" s="27" t="b">
        <f>IF($G654&lt;&gt;0,SUMIF(куб!$G:$G,$G654,куб!T:T),IF($E654&lt;&gt;0,SUMIF(куб!$E:$E,$E654,куб!T:T),IF($D654&lt;&gt;0,SUMIF(куб!$D:$D,$D654,куб!T:T),IF($C654&lt;&gt;0,SUMIF(куб!$C:$C,$C654,куб!T:T),IF($B654&lt;&gt;0,SUMIF(куб!$B:$B,$B654,куб!T:T))))))</f>
        <v>0</v>
      </c>
      <c r="AK654" s="27" t="b">
        <f>IF($G654&lt;&gt;0,SUMIF(куб!$G:$G,$G654,куб!U:U),IF($E654&lt;&gt;0,SUMIF(куб!$E:$E,$E654,куб!U:U),IF($D654&lt;&gt;0,SUMIF(куб!$D:$D,$D654,куб!U:U),IF($C654&lt;&gt;0,SUMIF(куб!$C:$C,$C654,куб!U:U),IF($B654&lt;&gt;0,SUMIF(куб!$B:$B,$B654,куб!U:U))))))</f>
        <v>0</v>
      </c>
      <c r="AL654" s="16" t="str">
        <f t="shared" si="230"/>
        <v>-</v>
      </c>
      <c r="AM654" s="8"/>
      <c r="AN654" s="17" t="str">
        <f t="shared" si="231"/>
        <v xml:space="preserve"> </v>
      </c>
      <c r="AO654" s="17" t="str">
        <f t="shared" si="232"/>
        <v xml:space="preserve"> </v>
      </c>
      <c r="AP654" s="16" t="str">
        <f t="shared" si="233"/>
        <v>-</v>
      </c>
      <c r="AQ654" s="8"/>
      <c r="AR654" s="17" t="str">
        <f t="shared" si="234"/>
        <v>-</v>
      </c>
      <c r="AS654" s="17" t="str">
        <f t="shared" si="235"/>
        <v>-</v>
      </c>
      <c r="AT654" s="13" t="str">
        <f t="shared" si="236"/>
        <v>-</v>
      </c>
      <c r="AU654" s="8"/>
    </row>
    <row r="655" spans="1:47" x14ac:dyDescent="0.25">
      <c r="A655" s="31"/>
      <c r="B655" s="31"/>
      <c r="C655"/>
      <c r="D655" s="31"/>
      <c r="E655"/>
      <c r="F655" s="31"/>
      <c r="G655"/>
      <c r="H655" s="27">
        <f>IF($G655&lt;&gt;0,SUMIF(куб!$G:$G,$G655,куб!H:H),IF($E655&lt;&gt;0,SUMIF(куб!$E:$E,$E655,куб!H:H),IF($D655&lt;&gt;0,SUMIF(куб!$D:$D,$D655,куб!H:H),IF($C655&lt;&gt;0,SUMIF(куб!$C:$C,$C655,куб!H:H),IF($B655&lt;&gt;0,SUMIF(куб!$B:$B,$B655,куб!H:H),IF($G655&lt;&gt;0,SUMIF(куб!$A:$A,$G655,куб!H:H),SUMIF(куб!$A:$A,$G655,куб!H:H)))))))</f>
        <v>0</v>
      </c>
      <c r="I655" s="27">
        <f>IF($G655&lt;&gt;0,SUMIF(куб!$G:$G,$G655,куб!I:I),IF($E655&lt;&gt;0,SUMIF(куб!$E:$E,$E655,куб!I:I),IF($D655&lt;&gt;0,SUMIF(куб!$D:$D,$D655,куб!I:I),IF($C655&lt;&gt;0,SUMIF(куб!$C:$C,$C655,куб!I:I),IF($B655&lt;&gt;0,SUMIF(куб!$B:$B,$B655,куб!I:I),IF($G655&lt;&gt;0,SUMIF(куб!$A:$A,$G655,куб!I:I),SUMIF(куб!$A:$A,$G655,куб!I:I)))))))</f>
        <v>0</v>
      </c>
      <c r="J655" s="19" t="str">
        <f t="shared" si="219"/>
        <v>-</v>
      </c>
      <c r="K655" s="8"/>
      <c r="L655" s="17">
        <f t="shared" si="220"/>
        <v>0</v>
      </c>
      <c r="M655" s="17">
        <f t="shared" si="221"/>
        <v>0</v>
      </c>
      <c r="N655" s="12">
        <f t="shared" si="222"/>
        <v>0</v>
      </c>
      <c r="O655" s="5"/>
      <c r="P655" s="27" t="b">
        <f>IF($G655&lt;&gt;0,SUMIF(куб!$G:$G,$G655,куб!J:J),IF($E655&lt;&gt;0,SUMIF(куб!$E:$E,$E655,куб!J:J),IF($D655&lt;&gt;0,SUMIF(куб!$D:$D,$D655,куб!J:J),IF($C655&lt;&gt;0,SUMIF(куб!$C:$C,$C655,куб!J:J),IF($B655&lt;&gt;0,SUMIF(куб!$B:$B,$B655,куб!J:J))))))</f>
        <v>0</v>
      </c>
      <c r="Q655" s="27" t="b">
        <f>IF($G655&lt;&gt;0,SUMIF(куб!$G:$G,$G655,куб!K:K),IF($E655&lt;&gt;0,SUMIF(куб!$E:$E,$E655,куб!K:K),IF($D655&lt;&gt;0,SUMIF(куб!$D:$D,$D655,куб!K:K),IF($C655&lt;&gt;0,SUMIF(куб!$C:$C,$C655,куб!K:K),IF($B655&lt;&gt;0,SUMIF(куб!$B:$B,$B655,куб!K:K))))))</f>
        <v>0</v>
      </c>
      <c r="R655" s="13" t="str">
        <f t="shared" si="223"/>
        <v>-</v>
      </c>
      <c r="S655" s="5"/>
      <c r="T655" s="27" t="b">
        <f>IF($G655&lt;&gt;0,SUMIF(куб!$G:$G,$G655,куб!L:L),IF($E655&lt;&gt;0,SUMIF(куб!$E:$E,$E655,куб!L:L),IF($D655&lt;&gt;0,SUMIF(куб!$D:$D,$D655,куб!L:L),IF($C655&lt;&gt;0,SUMIF(куб!$C:$C,$C655,куб!L:L),IF($B655&lt;&gt;0,SUMIF(куб!$B:$B,$B655,куб!L:L))))))</f>
        <v>0</v>
      </c>
      <c r="U655" s="27" t="b">
        <f>IF($G655&lt;&gt;0,SUMIF(куб!$G:$G,$G655,куб!M:M),IF($E655&lt;&gt;0,SUMIF(куб!$E:$E,$E655,куб!M:M),IF($D655&lt;&gt;0,SUMIF(куб!$D:$D,$D655,куб!M:M),IF($C655&lt;&gt;0,SUMIF(куб!$C:$C,$C655,куб!M:M),IF($B655&lt;&gt;0,SUMIF(куб!$B:$B,$B655,куб!M:M))))))</f>
        <v>0</v>
      </c>
      <c r="V655" s="13" t="str">
        <f t="shared" si="224"/>
        <v>-</v>
      </c>
      <c r="W655" s="5"/>
      <c r="X655" s="27" t="b">
        <f>IF($G655&lt;&gt;0,SUMIF(куб!$G:$G,$G655,куб!N:N),IF($E655&lt;&gt;0,SUMIF(куб!$E:$E,$E655,куб!N:N),IF($D655&lt;&gt;0,SUMIF(куб!$D:$D,$D655,куб!N:N),IF($C655&lt;&gt;0,SUMIF(куб!$C:$C,$C655,куб!N:N),IF($B655&lt;&gt;0,SUMIF(куб!$B:$B,$B655,куб!N:N))))))</f>
        <v>0</v>
      </c>
      <c r="Y655" s="27" t="b">
        <f>IF($G655&lt;&gt;0,SUMIF(куб!$G:$G,$G655,куб!O:O),IF($E655&lt;&gt;0,SUMIF(куб!$E:$E,$E655,куб!O:O),IF($D655&lt;&gt;0,SUMIF(куб!$D:$D,$D655,куб!O:O),IF($C655&lt;&gt;0,SUMIF(куб!$C:$C,$C655,куб!O:O),IF($B655&lt;&gt;0,SUMIF(куб!$B:$B,$B655,куб!O:O))))))</f>
        <v>0</v>
      </c>
      <c r="Z655" s="13" t="str">
        <f t="shared" si="225"/>
        <v>-</v>
      </c>
      <c r="AA655" s="5"/>
      <c r="AB655" s="33" t="str">
        <f t="shared" si="226"/>
        <v/>
      </c>
      <c r="AC655" s="33" t="str">
        <f t="shared" si="227"/>
        <v/>
      </c>
      <c r="AD655" s="15" t="str">
        <f t="shared" si="228"/>
        <v xml:space="preserve"> </v>
      </c>
      <c r="AE655" s="5"/>
      <c r="AF655" s="27" t="b">
        <f>IF($G655&lt;&gt;0,SUMIF(куб!$G:$G,$G655,куб!R:R),IF($E655&lt;&gt;0,SUMIF(куб!$E:$E,$E655,куб!R:R),IF($D655&lt;&gt;0,SUMIF(куб!$D:$D,$D655,куб!R:R),IF($C655&lt;&gt;0,SUMIF(куб!$C:$C,$C655,куб!R:R),IF($B655&lt;&gt;0,SUMIF(куб!$B:$B,$B655,куб!R:R))))))</f>
        <v>0</v>
      </c>
      <c r="AG655" s="27" t="b">
        <f>IF($G655&lt;&gt;0,SUMIF(куб!$G:$G,$G655,куб!S:S),IF($E655&lt;&gt;0,SUMIF(куб!$E:$E,$E655,куб!S:S),IF($D655&lt;&gt;0,SUMIF(куб!$D:$D,$D655,куб!S:S),IF($C655&lt;&gt;0,SUMIF(куб!$C:$C,$C655,куб!S:S),IF($B655&lt;&gt;0,SUMIF(куб!$B:$B,$B655,куб!S:S))))))</f>
        <v>0</v>
      </c>
      <c r="AH655" s="16" t="str">
        <f t="shared" si="229"/>
        <v>-</v>
      </c>
      <c r="AI655" s="8"/>
      <c r="AJ655" s="27" t="b">
        <f>IF($G655&lt;&gt;0,SUMIF(куб!$G:$G,$G655,куб!T:T),IF($E655&lt;&gt;0,SUMIF(куб!$E:$E,$E655,куб!T:T),IF($D655&lt;&gt;0,SUMIF(куб!$D:$D,$D655,куб!T:T),IF($C655&lt;&gt;0,SUMIF(куб!$C:$C,$C655,куб!T:T),IF($B655&lt;&gt;0,SUMIF(куб!$B:$B,$B655,куб!T:T))))))</f>
        <v>0</v>
      </c>
      <c r="AK655" s="27" t="b">
        <f>IF($G655&lt;&gt;0,SUMIF(куб!$G:$G,$G655,куб!U:U),IF($E655&lt;&gt;0,SUMIF(куб!$E:$E,$E655,куб!U:U),IF($D655&lt;&gt;0,SUMIF(куб!$D:$D,$D655,куб!U:U),IF($C655&lt;&gt;0,SUMIF(куб!$C:$C,$C655,куб!U:U),IF($B655&lt;&gt;0,SUMIF(куб!$B:$B,$B655,куб!U:U))))))</f>
        <v>0</v>
      </c>
      <c r="AL655" s="16" t="str">
        <f t="shared" si="230"/>
        <v>-</v>
      </c>
      <c r="AM655" s="8"/>
      <c r="AN655" s="17" t="str">
        <f t="shared" si="231"/>
        <v xml:space="preserve"> </v>
      </c>
      <c r="AO655" s="17" t="str">
        <f t="shared" si="232"/>
        <v xml:space="preserve"> </v>
      </c>
      <c r="AP655" s="16" t="str">
        <f t="shared" si="233"/>
        <v>-</v>
      </c>
      <c r="AQ655" s="8"/>
      <c r="AR655" s="17" t="str">
        <f t="shared" si="234"/>
        <v>-</v>
      </c>
      <c r="AS655" s="17" t="str">
        <f t="shared" si="235"/>
        <v>-</v>
      </c>
      <c r="AT655" s="13" t="str">
        <f t="shared" si="236"/>
        <v>-</v>
      </c>
      <c r="AU655" s="8"/>
    </row>
    <row r="656" spans="1:47" x14ac:dyDescent="0.25">
      <c r="A656" s="31"/>
      <c r="B656" s="31"/>
      <c r="C656"/>
      <c r="D656" s="31"/>
      <c r="E656"/>
      <c r="F656" s="31"/>
      <c r="G656"/>
      <c r="H656" s="27">
        <f>IF($G656&lt;&gt;0,SUMIF(куб!$G:$G,$G656,куб!H:H),IF($E656&lt;&gt;0,SUMIF(куб!$E:$E,$E656,куб!H:H),IF($D656&lt;&gt;0,SUMIF(куб!$D:$D,$D656,куб!H:H),IF($C656&lt;&gt;0,SUMIF(куб!$C:$C,$C656,куб!H:H),IF($B656&lt;&gt;0,SUMIF(куб!$B:$B,$B656,куб!H:H),IF($G656&lt;&gt;0,SUMIF(куб!$A:$A,$G656,куб!H:H),SUMIF(куб!$A:$A,$G656,куб!H:H)))))))</f>
        <v>0</v>
      </c>
      <c r="I656" s="27">
        <f>IF($G656&lt;&gt;0,SUMIF(куб!$G:$G,$G656,куб!I:I),IF($E656&lt;&gt;0,SUMIF(куб!$E:$E,$E656,куб!I:I),IF($D656&lt;&gt;0,SUMIF(куб!$D:$D,$D656,куб!I:I),IF($C656&lt;&gt;0,SUMIF(куб!$C:$C,$C656,куб!I:I),IF($B656&lt;&gt;0,SUMIF(куб!$B:$B,$B656,куб!I:I),IF($G656&lt;&gt;0,SUMIF(куб!$A:$A,$G656,куб!I:I),SUMIF(куб!$A:$A,$G656,куб!I:I)))))))</f>
        <v>0</v>
      </c>
      <c r="J656" s="19" t="str">
        <f t="shared" si="219"/>
        <v>-</v>
      </c>
      <c r="K656" s="8"/>
      <c r="L656" s="17">
        <f t="shared" si="220"/>
        <v>0</v>
      </c>
      <c r="M656" s="17">
        <f t="shared" si="221"/>
        <v>0</v>
      </c>
      <c r="N656" s="12">
        <f t="shared" si="222"/>
        <v>0</v>
      </c>
      <c r="O656" s="5"/>
      <c r="P656" s="27" t="b">
        <f>IF($G656&lt;&gt;0,SUMIF(куб!$G:$G,$G656,куб!J:J),IF($E656&lt;&gt;0,SUMIF(куб!$E:$E,$E656,куб!J:J),IF($D656&lt;&gt;0,SUMIF(куб!$D:$D,$D656,куб!J:J),IF($C656&lt;&gt;0,SUMIF(куб!$C:$C,$C656,куб!J:J),IF($B656&lt;&gt;0,SUMIF(куб!$B:$B,$B656,куб!J:J))))))</f>
        <v>0</v>
      </c>
      <c r="Q656" s="27" t="b">
        <f>IF($G656&lt;&gt;0,SUMIF(куб!$G:$G,$G656,куб!K:K),IF($E656&lt;&gt;0,SUMIF(куб!$E:$E,$E656,куб!K:K),IF($D656&lt;&gt;0,SUMIF(куб!$D:$D,$D656,куб!K:K),IF($C656&lt;&gt;0,SUMIF(куб!$C:$C,$C656,куб!K:K),IF($B656&lt;&gt;0,SUMIF(куб!$B:$B,$B656,куб!K:K))))))</f>
        <v>0</v>
      </c>
      <c r="R656" s="13" t="str">
        <f t="shared" si="223"/>
        <v>-</v>
      </c>
      <c r="S656" s="5"/>
      <c r="T656" s="27" t="b">
        <f>IF($G656&lt;&gt;0,SUMIF(куб!$G:$G,$G656,куб!L:L),IF($E656&lt;&gt;0,SUMIF(куб!$E:$E,$E656,куб!L:L),IF($D656&lt;&gt;0,SUMIF(куб!$D:$D,$D656,куб!L:L),IF($C656&lt;&gt;0,SUMIF(куб!$C:$C,$C656,куб!L:L),IF($B656&lt;&gt;0,SUMIF(куб!$B:$B,$B656,куб!L:L))))))</f>
        <v>0</v>
      </c>
      <c r="U656" s="27" t="b">
        <f>IF($G656&lt;&gt;0,SUMIF(куб!$G:$G,$G656,куб!M:M),IF($E656&lt;&gt;0,SUMIF(куб!$E:$E,$E656,куб!M:M),IF($D656&lt;&gt;0,SUMIF(куб!$D:$D,$D656,куб!M:M),IF($C656&lt;&gt;0,SUMIF(куб!$C:$C,$C656,куб!M:M),IF($B656&lt;&gt;0,SUMIF(куб!$B:$B,$B656,куб!M:M))))))</f>
        <v>0</v>
      </c>
      <c r="V656" s="13" t="str">
        <f t="shared" si="224"/>
        <v>-</v>
      </c>
      <c r="W656" s="5"/>
      <c r="X656" s="27" t="b">
        <f>IF($G656&lt;&gt;0,SUMIF(куб!$G:$G,$G656,куб!N:N),IF($E656&lt;&gt;0,SUMIF(куб!$E:$E,$E656,куб!N:N),IF($D656&lt;&gt;0,SUMIF(куб!$D:$D,$D656,куб!N:N),IF($C656&lt;&gt;0,SUMIF(куб!$C:$C,$C656,куб!N:N),IF($B656&lt;&gt;0,SUMIF(куб!$B:$B,$B656,куб!N:N))))))</f>
        <v>0</v>
      </c>
      <c r="Y656" s="27" t="b">
        <f>IF($G656&lt;&gt;0,SUMIF(куб!$G:$G,$G656,куб!O:O),IF($E656&lt;&gt;0,SUMIF(куб!$E:$E,$E656,куб!O:O),IF($D656&lt;&gt;0,SUMIF(куб!$D:$D,$D656,куб!O:O),IF($C656&lt;&gt;0,SUMIF(куб!$C:$C,$C656,куб!O:O),IF($B656&lt;&gt;0,SUMIF(куб!$B:$B,$B656,куб!O:O))))))</f>
        <v>0</v>
      </c>
      <c r="Z656" s="13" t="str">
        <f t="shared" si="225"/>
        <v>-</v>
      </c>
      <c r="AA656" s="5"/>
      <c r="AB656" s="33" t="str">
        <f t="shared" si="226"/>
        <v/>
      </c>
      <c r="AC656" s="33" t="str">
        <f t="shared" si="227"/>
        <v/>
      </c>
      <c r="AD656" s="15" t="str">
        <f t="shared" si="228"/>
        <v xml:space="preserve"> </v>
      </c>
      <c r="AE656" s="5"/>
      <c r="AF656" s="27" t="b">
        <f>IF($G656&lt;&gt;0,SUMIF(куб!$G:$G,$G656,куб!R:R),IF($E656&lt;&gt;0,SUMIF(куб!$E:$E,$E656,куб!R:R),IF($D656&lt;&gt;0,SUMIF(куб!$D:$D,$D656,куб!R:R),IF($C656&lt;&gt;0,SUMIF(куб!$C:$C,$C656,куб!R:R),IF($B656&lt;&gt;0,SUMIF(куб!$B:$B,$B656,куб!R:R))))))</f>
        <v>0</v>
      </c>
      <c r="AG656" s="27" t="b">
        <f>IF($G656&lt;&gt;0,SUMIF(куб!$G:$G,$G656,куб!S:S),IF($E656&lt;&gt;0,SUMIF(куб!$E:$E,$E656,куб!S:S),IF($D656&lt;&gt;0,SUMIF(куб!$D:$D,$D656,куб!S:S),IF($C656&lt;&gt;0,SUMIF(куб!$C:$C,$C656,куб!S:S),IF($B656&lt;&gt;0,SUMIF(куб!$B:$B,$B656,куб!S:S))))))</f>
        <v>0</v>
      </c>
      <c r="AH656" s="16" t="str">
        <f t="shared" si="229"/>
        <v>-</v>
      </c>
      <c r="AI656" s="8"/>
      <c r="AJ656" s="27" t="b">
        <f>IF($G656&lt;&gt;0,SUMIF(куб!$G:$G,$G656,куб!T:T),IF($E656&lt;&gt;0,SUMIF(куб!$E:$E,$E656,куб!T:T),IF($D656&lt;&gt;0,SUMIF(куб!$D:$D,$D656,куб!T:T),IF($C656&lt;&gt;0,SUMIF(куб!$C:$C,$C656,куб!T:T),IF($B656&lt;&gt;0,SUMIF(куб!$B:$B,$B656,куб!T:T))))))</f>
        <v>0</v>
      </c>
      <c r="AK656" s="27" t="b">
        <f>IF($G656&lt;&gt;0,SUMIF(куб!$G:$G,$G656,куб!U:U),IF($E656&lt;&gt;0,SUMIF(куб!$E:$E,$E656,куб!U:U),IF($D656&lt;&gt;0,SUMIF(куб!$D:$D,$D656,куб!U:U),IF($C656&lt;&gt;0,SUMIF(куб!$C:$C,$C656,куб!U:U),IF($B656&lt;&gt;0,SUMIF(куб!$B:$B,$B656,куб!U:U))))))</f>
        <v>0</v>
      </c>
      <c r="AL656" s="16" t="str">
        <f t="shared" si="230"/>
        <v>-</v>
      </c>
      <c r="AM656" s="8"/>
      <c r="AN656" s="17" t="str">
        <f t="shared" si="231"/>
        <v xml:space="preserve"> </v>
      </c>
      <c r="AO656" s="17" t="str">
        <f t="shared" si="232"/>
        <v xml:space="preserve"> </v>
      </c>
      <c r="AP656" s="16" t="str">
        <f t="shared" si="233"/>
        <v>-</v>
      </c>
      <c r="AQ656" s="8"/>
      <c r="AR656" s="17" t="str">
        <f t="shared" si="234"/>
        <v>-</v>
      </c>
      <c r="AS656" s="17" t="str">
        <f t="shared" si="235"/>
        <v>-</v>
      </c>
      <c r="AT656" s="13" t="str">
        <f t="shared" si="236"/>
        <v>-</v>
      </c>
      <c r="AU656" s="8"/>
    </row>
    <row r="657" spans="1:47" x14ac:dyDescent="0.25">
      <c r="A657" s="31"/>
      <c r="B657" s="31"/>
      <c r="C657"/>
      <c r="D657" s="31"/>
      <c r="E657"/>
      <c r="F657" s="31"/>
      <c r="G657"/>
      <c r="H657" s="27">
        <f>IF($G657&lt;&gt;0,SUMIF(куб!$G:$G,$G657,куб!H:H),IF($E657&lt;&gt;0,SUMIF(куб!$E:$E,$E657,куб!H:H),IF($D657&lt;&gt;0,SUMIF(куб!$D:$D,$D657,куб!H:H),IF($C657&lt;&gt;0,SUMIF(куб!$C:$C,$C657,куб!H:H),IF($B657&lt;&gt;0,SUMIF(куб!$B:$B,$B657,куб!H:H),IF($G657&lt;&gt;0,SUMIF(куб!$A:$A,$G657,куб!H:H),SUMIF(куб!$A:$A,$G657,куб!H:H)))))))</f>
        <v>0</v>
      </c>
      <c r="I657" s="27">
        <f>IF($G657&lt;&gt;0,SUMIF(куб!$G:$G,$G657,куб!I:I),IF($E657&lt;&gt;0,SUMIF(куб!$E:$E,$E657,куб!I:I),IF($D657&lt;&gt;0,SUMIF(куб!$D:$D,$D657,куб!I:I),IF($C657&lt;&gt;0,SUMIF(куб!$C:$C,$C657,куб!I:I),IF($B657&lt;&gt;0,SUMIF(куб!$B:$B,$B657,куб!I:I),IF($G657&lt;&gt;0,SUMIF(куб!$A:$A,$G657,куб!I:I),SUMIF(куб!$A:$A,$G657,куб!I:I)))))))</f>
        <v>0</v>
      </c>
      <c r="J657" s="19" t="str">
        <f t="shared" si="219"/>
        <v>-</v>
      </c>
      <c r="K657" s="8"/>
      <c r="L657" s="17">
        <f t="shared" si="220"/>
        <v>0</v>
      </c>
      <c r="M657" s="17">
        <f t="shared" si="221"/>
        <v>0</v>
      </c>
      <c r="N657" s="12">
        <f t="shared" si="222"/>
        <v>0</v>
      </c>
      <c r="O657" s="5"/>
      <c r="P657" s="27" t="b">
        <f>IF($G657&lt;&gt;0,SUMIF(куб!$G:$G,$G657,куб!J:J),IF($E657&lt;&gt;0,SUMIF(куб!$E:$E,$E657,куб!J:J),IF($D657&lt;&gt;0,SUMIF(куб!$D:$D,$D657,куб!J:J),IF($C657&lt;&gt;0,SUMIF(куб!$C:$C,$C657,куб!J:J),IF($B657&lt;&gt;0,SUMIF(куб!$B:$B,$B657,куб!J:J))))))</f>
        <v>0</v>
      </c>
      <c r="Q657" s="27" t="b">
        <f>IF($G657&lt;&gt;0,SUMIF(куб!$G:$G,$G657,куб!K:K),IF($E657&lt;&gt;0,SUMIF(куб!$E:$E,$E657,куб!K:K),IF($D657&lt;&gt;0,SUMIF(куб!$D:$D,$D657,куб!K:K),IF($C657&lt;&gt;0,SUMIF(куб!$C:$C,$C657,куб!K:K),IF($B657&lt;&gt;0,SUMIF(куб!$B:$B,$B657,куб!K:K))))))</f>
        <v>0</v>
      </c>
      <c r="R657" s="13" t="str">
        <f t="shared" si="223"/>
        <v>-</v>
      </c>
      <c r="S657" s="5"/>
      <c r="T657" s="27" t="b">
        <f>IF($G657&lt;&gt;0,SUMIF(куб!$G:$G,$G657,куб!L:L),IF($E657&lt;&gt;0,SUMIF(куб!$E:$E,$E657,куб!L:L),IF($D657&lt;&gt;0,SUMIF(куб!$D:$D,$D657,куб!L:L),IF($C657&lt;&gt;0,SUMIF(куб!$C:$C,$C657,куб!L:L),IF($B657&lt;&gt;0,SUMIF(куб!$B:$B,$B657,куб!L:L))))))</f>
        <v>0</v>
      </c>
      <c r="U657" s="27" t="b">
        <f>IF($G657&lt;&gt;0,SUMIF(куб!$G:$G,$G657,куб!M:M),IF($E657&lt;&gt;0,SUMIF(куб!$E:$E,$E657,куб!M:M),IF($D657&lt;&gt;0,SUMIF(куб!$D:$D,$D657,куб!M:M),IF($C657&lt;&gt;0,SUMIF(куб!$C:$C,$C657,куб!M:M),IF($B657&lt;&gt;0,SUMIF(куб!$B:$B,$B657,куб!M:M))))))</f>
        <v>0</v>
      </c>
      <c r="V657" s="13" t="str">
        <f t="shared" si="224"/>
        <v>-</v>
      </c>
      <c r="W657" s="5"/>
      <c r="X657" s="27" t="b">
        <f>IF($G657&lt;&gt;0,SUMIF(куб!$G:$G,$G657,куб!N:N),IF($E657&lt;&gt;0,SUMIF(куб!$E:$E,$E657,куб!N:N),IF($D657&lt;&gt;0,SUMIF(куб!$D:$D,$D657,куб!N:N),IF($C657&lt;&gt;0,SUMIF(куб!$C:$C,$C657,куб!N:N),IF($B657&lt;&gt;0,SUMIF(куб!$B:$B,$B657,куб!N:N))))))</f>
        <v>0</v>
      </c>
      <c r="Y657" s="27" t="b">
        <f>IF($G657&lt;&gt;0,SUMIF(куб!$G:$G,$G657,куб!O:O),IF($E657&lt;&gt;0,SUMIF(куб!$E:$E,$E657,куб!O:O),IF($D657&lt;&gt;0,SUMIF(куб!$D:$D,$D657,куб!O:O),IF($C657&lt;&gt;0,SUMIF(куб!$C:$C,$C657,куб!O:O),IF($B657&lt;&gt;0,SUMIF(куб!$B:$B,$B657,куб!O:O))))))</f>
        <v>0</v>
      </c>
      <c r="Z657" s="13" t="str">
        <f t="shared" si="225"/>
        <v>-</v>
      </c>
      <c r="AA657" s="5"/>
      <c r="AB657" s="33" t="str">
        <f t="shared" si="226"/>
        <v/>
      </c>
      <c r="AC657" s="33" t="str">
        <f t="shared" si="227"/>
        <v/>
      </c>
      <c r="AD657" s="15" t="str">
        <f t="shared" si="228"/>
        <v xml:space="preserve"> </v>
      </c>
      <c r="AE657" s="5"/>
      <c r="AF657" s="27" t="b">
        <f>IF($G657&lt;&gt;0,SUMIF(куб!$G:$G,$G657,куб!R:R),IF($E657&lt;&gt;0,SUMIF(куб!$E:$E,$E657,куб!R:R),IF($D657&lt;&gt;0,SUMIF(куб!$D:$D,$D657,куб!R:R),IF($C657&lt;&gt;0,SUMIF(куб!$C:$C,$C657,куб!R:R),IF($B657&lt;&gt;0,SUMIF(куб!$B:$B,$B657,куб!R:R))))))</f>
        <v>0</v>
      </c>
      <c r="AG657" s="27" t="b">
        <f>IF($G657&lt;&gt;0,SUMIF(куб!$G:$G,$G657,куб!S:S),IF($E657&lt;&gt;0,SUMIF(куб!$E:$E,$E657,куб!S:S),IF($D657&lt;&gt;0,SUMIF(куб!$D:$D,$D657,куб!S:S),IF($C657&lt;&gt;0,SUMIF(куб!$C:$C,$C657,куб!S:S),IF($B657&lt;&gt;0,SUMIF(куб!$B:$B,$B657,куб!S:S))))))</f>
        <v>0</v>
      </c>
      <c r="AH657" s="16" t="str">
        <f t="shared" si="229"/>
        <v>-</v>
      </c>
      <c r="AI657" s="8"/>
      <c r="AJ657" s="27" t="b">
        <f>IF($G657&lt;&gt;0,SUMIF(куб!$G:$G,$G657,куб!T:T),IF($E657&lt;&gt;0,SUMIF(куб!$E:$E,$E657,куб!T:T),IF($D657&lt;&gt;0,SUMIF(куб!$D:$D,$D657,куб!T:T),IF($C657&lt;&gt;0,SUMIF(куб!$C:$C,$C657,куб!T:T),IF($B657&lt;&gt;0,SUMIF(куб!$B:$B,$B657,куб!T:T))))))</f>
        <v>0</v>
      </c>
      <c r="AK657" s="27" t="b">
        <f>IF($G657&lt;&gt;0,SUMIF(куб!$G:$G,$G657,куб!U:U),IF($E657&lt;&gt;0,SUMIF(куб!$E:$E,$E657,куб!U:U),IF($D657&lt;&gt;0,SUMIF(куб!$D:$D,$D657,куб!U:U),IF($C657&lt;&gt;0,SUMIF(куб!$C:$C,$C657,куб!U:U),IF($B657&lt;&gt;0,SUMIF(куб!$B:$B,$B657,куб!U:U))))))</f>
        <v>0</v>
      </c>
      <c r="AL657" s="16" t="str">
        <f t="shared" si="230"/>
        <v>-</v>
      </c>
      <c r="AM657" s="8"/>
      <c r="AN657" s="17" t="str">
        <f t="shared" si="231"/>
        <v xml:space="preserve"> </v>
      </c>
      <c r="AO657" s="17" t="str">
        <f t="shared" si="232"/>
        <v xml:space="preserve"> </v>
      </c>
      <c r="AP657" s="16" t="str">
        <f t="shared" si="233"/>
        <v>-</v>
      </c>
      <c r="AQ657" s="8"/>
      <c r="AR657" s="17" t="str">
        <f t="shared" si="234"/>
        <v>-</v>
      </c>
      <c r="AS657" s="17" t="str">
        <f t="shared" si="235"/>
        <v>-</v>
      </c>
      <c r="AT657" s="13" t="str">
        <f t="shared" si="236"/>
        <v>-</v>
      </c>
      <c r="AU657" s="8"/>
    </row>
    <row r="658" spans="1:47" x14ac:dyDescent="0.25">
      <c r="A658" s="31"/>
      <c r="B658" s="31"/>
      <c r="C658"/>
      <c r="D658" s="31"/>
      <c r="E658"/>
      <c r="F658" s="31"/>
      <c r="G658"/>
      <c r="H658" s="27">
        <f>IF($G658&lt;&gt;0,SUMIF(куб!$G:$G,$G658,куб!H:H),IF($E658&lt;&gt;0,SUMIF(куб!$E:$E,$E658,куб!H:H),IF($D658&lt;&gt;0,SUMIF(куб!$D:$D,$D658,куб!H:H),IF($C658&lt;&gt;0,SUMIF(куб!$C:$C,$C658,куб!H:H),IF($B658&lt;&gt;0,SUMIF(куб!$B:$B,$B658,куб!H:H),IF($G658&lt;&gt;0,SUMIF(куб!$A:$A,$G658,куб!H:H),SUMIF(куб!$A:$A,$G658,куб!H:H)))))))</f>
        <v>0</v>
      </c>
      <c r="I658" s="27">
        <f>IF($G658&lt;&gt;0,SUMIF(куб!$G:$G,$G658,куб!I:I),IF($E658&lt;&gt;0,SUMIF(куб!$E:$E,$E658,куб!I:I),IF($D658&lt;&gt;0,SUMIF(куб!$D:$D,$D658,куб!I:I),IF($C658&lt;&gt;0,SUMIF(куб!$C:$C,$C658,куб!I:I),IF($B658&lt;&gt;0,SUMIF(куб!$B:$B,$B658,куб!I:I),IF($G658&lt;&gt;0,SUMIF(куб!$A:$A,$G658,куб!I:I),SUMIF(куб!$A:$A,$G658,куб!I:I)))))))</f>
        <v>0</v>
      </c>
      <c r="J658" s="19" t="str">
        <f t="shared" si="219"/>
        <v>-</v>
      </c>
      <c r="K658" s="8"/>
      <c r="L658" s="17">
        <f t="shared" si="220"/>
        <v>0</v>
      </c>
      <c r="M658" s="17">
        <f t="shared" si="221"/>
        <v>0</v>
      </c>
      <c r="N658" s="12">
        <f t="shared" si="222"/>
        <v>0</v>
      </c>
      <c r="O658" s="5"/>
      <c r="P658" s="27" t="b">
        <f>IF($G658&lt;&gt;0,SUMIF(куб!$G:$G,$G658,куб!J:J),IF($E658&lt;&gt;0,SUMIF(куб!$E:$E,$E658,куб!J:J),IF($D658&lt;&gt;0,SUMIF(куб!$D:$D,$D658,куб!J:J),IF($C658&lt;&gt;0,SUMIF(куб!$C:$C,$C658,куб!J:J),IF($B658&lt;&gt;0,SUMIF(куб!$B:$B,$B658,куб!J:J))))))</f>
        <v>0</v>
      </c>
      <c r="Q658" s="27" t="b">
        <f>IF($G658&lt;&gt;0,SUMIF(куб!$G:$G,$G658,куб!K:K),IF($E658&lt;&gt;0,SUMIF(куб!$E:$E,$E658,куб!K:K),IF($D658&lt;&gt;0,SUMIF(куб!$D:$D,$D658,куб!K:K),IF($C658&lt;&gt;0,SUMIF(куб!$C:$C,$C658,куб!K:K),IF($B658&lt;&gt;0,SUMIF(куб!$B:$B,$B658,куб!K:K))))))</f>
        <v>0</v>
      </c>
      <c r="R658" s="13" t="str">
        <f t="shared" si="223"/>
        <v>-</v>
      </c>
      <c r="S658" s="5"/>
      <c r="T658" s="27" t="b">
        <f>IF($G658&lt;&gt;0,SUMIF(куб!$G:$G,$G658,куб!L:L),IF($E658&lt;&gt;0,SUMIF(куб!$E:$E,$E658,куб!L:L),IF($D658&lt;&gt;0,SUMIF(куб!$D:$D,$D658,куб!L:L),IF($C658&lt;&gt;0,SUMIF(куб!$C:$C,$C658,куб!L:L),IF($B658&lt;&gt;0,SUMIF(куб!$B:$B,$B658,куб!L:L))))))</f>
        <v>0</v>
      </c>
      <c r="U658" s="27" t="b">
        <f>IF($G658&lt;&gt;0,SUMIF(куб!$G:$G,$G658,куб!M:M),IF($E658&lt;&gt;0,SUMIF(куб!$E:$E,$E658,куб!M:M),IF($D658&lt;&gt;0,SUMIF(куб!$D:$D,$D658,куб!M:M),IF($C658&lt;&gt;0,SUMIF(куб!$C:$C,$C658,куб!M:M),IF($B658&lt;&gt;0,SUMIF(куб!$B:$B,$B658,куб!M:M))))))</f>
        <v>0</v>
      </c>
      <c r="V658" s="13" t="str">
        <f t="shared" si="224"/>
        <v>-</v>
      </c>
      <c r="W658" s="5"/>
      <c r="X658" s="27" t="b">
        <f>IF($G658&lt;&gt;0,SUMIF(куб!$G:$G,$G658,куб!N:N),IF($E658&lt;&gt;0,SUMIF(куб!$E:$E,$E658,куб!N:N),IF($D658&lt;&gt;0,SUMIF(куб!$D:$D,$D658,куб!N:N),IF($C658&lt;&gt;0,SUMIF(куб!$C:$C,$C658,куб!N:N),IF($B658&lt;&gt;0,SUMIF(куб!$B:$B,$B658,куб!N:N))))))</f>
        <v>0</v>
      </c>
      <c r="Y658" s="27" t="b">
        <f>IF($G658&lt;&gt;0,SUMIF(куб!$G:$G,$G658,куб!O:O),IF($E658&lt;&gt;0,SUMIF(куб!$E:$E,$E658,куб!O:O),IF($D658&lt;&gt;0,SUMIF(куб!$D:$D,$D658,куб!O:O),IF($C658&lt;&gt;0,SUMIF(куб!$C:$C,$C658,куб!O:O),IF($B658&lt;&gt;0,SUMIF(куб!$B:$B,$B658,куб!O:O))))))</f>
        <v>0</v>
      </c>
      <c r="Z658" s="13" t="str">
        <f t="shared" si="225"/>
        <v>-</v>
      </c>
      <c r="AA658" s="5"/>
      <c r="AB658" s="33" t="str">
        <f t="shared" si="226"/>
        <v/>
      </c>
      <c r="AC658" s="33" t="str">
        <f t="shared" si="227"/>
        <v/>
      </c>
      <c r="AD658" s="15" t="str">
        <f t="shared" si="228"/>
        <v xml:space="preserve"> </v>
      </c>
      <c r="AE658" s="5"/>
      <c r="AF658" s="27" t="b">
        <f>IF($G658&lt;&gt;0,SUMIF(куб!$G:$G,$G658,куб!R:R),IF($E658&lt;&gt;0,SUMIF(куб!$E:$E,$E658,куб!R:R),IF($D658&lt;&gt;0,SUMIF(куб!$D:$D,$D658,куб!R:R),IF($C658&lt;&gt;0,SUMIF(куб!$C:$C,$C658,куб!R:R),IF($B658&lt;&gt;0,SUMIF(куб!$B:$B,$B658,куб!R:R))))))</f>
        <v>0</v>
      </c>
      <c r="AG658" s="27" t="b">
        <f>IF($G658&lt;&gt;0,SUMIF(куб!$G:$G,$G658,куб!S:S),IF($E658&lt;&gt;0,SUMIF(куб!$E:$E,$E658,куб!S:S),IF($D658&lt;&gt;0,SUMIF(куб!$D:$D,$D658,куб!S:S),IF($C658&lt;&gt;0,SUMIF(куб!$C:$C,$C658,куб!S:S),IF($B658&lt;&gt;0,SUMIF(куб!$B:$B,$B658,куб!S:S))))))</f>
        <v>0</v>
      </c>
      <c r="AH658" s="16" t="str">
        <f t="shared" si="229"/>
        <v>-</v>
      </c>
      <c r="AI658" s="8"/>
      <c r="AJ658" s="27" t="b">
        <f>IF($G658&lt;&gt;0,SUMIF(куб!$G:$G,$G658,куб!T:T),IF($E658&lt;&gt;0,SUMIF(куб!$E:$E,$E658,куб!T:T),IF($D658&lt;&gt;0,SUMIF(куб!$D:$D,$D658,куб!T:T),IF($C658&lt;&gt;0,SUMIF(куб!$C:$C,$C658,куб!T:T),IF($B658&lt;&gt;0,SUMIF(куб!$B:$B,$B658,куб!T:T))))))</f>
        <v>0</v>
      </c>
      <c r="AK658" s="27" t="b">
        <f>IF($G658&lt;&gt;0,SUMIF(куб!$G:$G,$G658,куб!U:U),IF($E658&lt;&gt;0,SUMIF(куб!$E:$E,$E658,куб!U:U),IF($D658&lt;&gt;0,SUMIF(куб!$D:$D,$D658,куб!U:U),IF($C658&lt;&gt;0,SUMIF(куб!$C:$C,$C658,куб!U:U),IF($B658&lt;&gt;0,SUMIF(куб!$B:$B,$B658,куб!U:U))))))</f>
        <v>0</v>
      </c>
      <c r="AL658" s="16" t="str">
        <f t="shared" si="230"/>
        <v>-</v>
      </c>
      <c r="AM658" s="8"/>
      <c r="AN658" s="17" t="str">
        <f t="shared" si="231"/>
        <v xml:space="preserve"> </v>
      </c>
      <c r="AO658" s="17" t="str">
        <f t="shared" si="232"/>
        <v xml:space="preserve"> </v>
      </c>
      <c r="AP658" s="16" t="str">
        <f t="shared" si="233"/>
        <v>-</v>
      </c>
      <c r="AQ658" s="8"/>
      <c r="AR658" s="17" t="str">
        <f t="shared" si="234"/>
        <v>-</v>
      </c>
      <c r="AS658" s="17" t="str">
        <f t="shared" si="235"/>
        <v>-</v>
      </c>
      <c r="AT658" s="13" t="str">
        <f t="shared" si="236"/>
        <v>-</v>
      </c>
      <c r="AU658" s="8"/>
    </row>
    <row r="659" spans="1:47" x14ac:dyDescent="0.25">
      <c r="A659" s="31"/>
      <c r="B659" s="31"/>
      <c r="C659"/>
      <c r="D659" s="31"/>
      <c r="E659"/>
      <c r="F659" s="31"/>
      <c r="G659"/>
      <c r="H659" s="27">
        <f>IF($G659&lt;&gt;0,SUMIF(куб!$G:$G,$G659,куб!H:H),IF($E659&lt;&gt;0,SUMIF(куб!$E:$E,$E659,куб!H:H),IF($D659&lt;&gt;0,SUMIF(куб!$D:$D,$D659,куб!H:H),IF($C659&lt;&gt;0,SUMIF(куб!$C:$C,$C659,куб!H:H),IF($B659&lt;&gt;0,SUMIF(куб!$B:$B,$B659,куб!H:H),IF($G659&lt;&gt;0,SUMIF(куб!$A:$A,$G659,куб!H:H),SUMIF(куб!$A:$A,$G659,куб!H:H)))))))</f>
        <v>0</v>
      </c>
      <c r="I659" s="27">
        <f>IF($G659&lt;&gt;0,SUMIF(куб!$G:$G,$G659,куб!I:I),IF($E659&lt;&gt;0,SUMIF(куб!$E:$E,$E659,куб!I:I),IF($D659&lt;&gt;0,SUMIF(куб!$D:$D,$D659,куб!I:I),IF($C659&lt;&gt;0,SUMIF(куб!$C:$C,$C659,куб!I:I),IF($B659&lt;&gt;0,SUMIF(куб!$B:$B,$B659,куб!I:I),IF($G659&lt;&gt;0,SUMIF(куб!$A:$A,$G659,куб!I:I),SUMIF(куб!$A:$A,$G659,куб!I:I)))))))</f>
        <v>0</v>
      </c>
      <c r="J659" s="19" t="str">
        <f t="shared" si="219"/>
        <v>-</v>
      </c>
      <c r="K659" s="8"/>
      <c r="L659" s="17">
        <f t="shared" si="220"/>
        <v>0</v>
      </c>
      <c r="M659" s="17">
        <f t="shared" si="221"/>
        <v>0</v>
      </c>
      <c r="N659" s="12">
        <f t="shared" si="222"/>
        <v>0</v>
      </c>
      <c r="O659" s="5"/>
      <c r="P659" s="27" t="b">
        <f>IF($G659&lt;&gt;0,SUMIF(куб!$G:$G,$G659,куб!J:J),IF($E659&lt;&gt;0,SUMIF(куб!$E:$E,$E659,куб!J:J),IF($D659&lt;&gt;0,SUMIF(куб!$D:$D,$D659,куб!J:J),IF($C659&lt;&gt;0,SUMIF(куб!$C:$C,$C659,куб!J:J),IF($B659&lt;&gt;0,SUMIF(куб!$B:$B,$B659,куб!J:J))))))</f>
        <v>0</v>
      </c>
      <c r="Q659" s="27" t="b">
        <f>IF($G659&lt;&gt;0,SUMIF(куб!$G:$G,$G659,куб!K:K),IF($E659&lt;&gt;0,SUMIF(куб!$E:$E,$E659,куб!K:K),IF($D659&lt;&gt;0,SUMIF(куб!$D:$D,$D659,куб!K:K),IF($C659&lt;&gt;0,SUMIF(куб!$C:$C,$C659,куб!K:K),IF($B659&lt;&gt;0,SUMIF(куб!$B:$B,$B659,куб!K:K))))))</f>
        <v>0</v>
      </c>
      <c r="R659" s="13" t="str">
        <f t="shared" si="223"/>
        <v>-</v>
      </c>
      <c r="S659" s="5"/>
      <c r="T659" s="27" t="b">
        <f>IF($G659&lt;&gt;0,SUMIF(куб!$G:$G,$G659,куб!L:L),IF($E659&lt;&gt;0,SUMIF(куб!$E:$E,$E659,куб!L:L),IF($D659&lt;&gt;0,SUMIF(куб!$D:$D,$D659,куб!L:L),IF($C659&lt;&gt;0,SUMIF(куб!$C:$C,$C659,куб!L:L),IF($B659&lt;&gt;0,SUMIF(куб!$B:$B,$B659,куб!L:L))))))</f>
        <v>0</v>
      </c>
      <c r="U659" s="27" t="b">
        <f>IF($G659&lt;&gt;0,SUMIF(куб!$G:$G,$G659,куб!M:M),IF($E659&lt;&gt;0,SUMIF(куб!$E:$E,$E659,куб!M:M),IF($D659&lt;&gt;0,SUMIF(куб!$D:$D,$D659,куб!M:M),IF($C659&lt;&gt;0,SUMIF(куб!$C:$C,$C659,куб!M:M),IF($B659&lt;&gt;0,SUMIF(куб!$B:$B,$B659,куб!M:M))))))</f>
        <v>0</v>
      </c>
      <c r="V659" s="13" t="str">
        <f t="shared" si="224"/>
        <v>-</v>
      </c>
      <c r="W659" s="5"/>
      <c r="X659" s="27" t="b">
        <f>IF($G659&lt;&gt;0,SUMIF(куб!$G:$G,$G659,куб!N:N),IF($E659&lt;&gt;0,SUMIF(куб!$E:$E,$E659,куб!N:N),IF($D659&lt;&gt;0,SUMIF(куб!$D:$D,$D659,куб!N:N),IF($C659&lt;&gt;0,SUMIF(куб!$C:$C,$C659,куб!N:N),IF($B659&lt;&gt;0,SUMIF(куб!$B:$B,$B659,куб!N:N))))))</f>
        <v>0</v>
      </c>
      <c r="Y659" s="27" t="b">
        <f>IF($G659&lt;&gt;0,SUMIF(куб!$G:$G,$G659,куб!O:O),IF($E659&lt;&gt;0,SUMIF(куб!$E:$E,$E659,куб!O:O),IF($D659&lt;&gt;0,SUMIF(куб!$D:$D,$D659,куб!O:O),IF($C659&lt;&gt;0,SUMIF(куб!$C:$C,$C659,куб!O:O),IF($B659&lt;&gt;0,SUMIF(куб!$B:$B,$B659,куб!O:O))))))</f>
        <v>0</v>
      </c>
      <c r="Z659" s="13" t="str">
        <f t="shared" si="225"/>
        <v>-</v>
      </c>
      <c r="AA659" s="5"/>
      <c r="AB659" s="33" t="str">
        <f t="shared" si="226"/>
        <v/>
      </c>
      <c r="AC659" s="33" t="str">
        <f t="shared" si="227"/>
        <v/>
      </c>
      <c r="AD659" s="15" t="str">
        <f t="shared" si="228"/>
        <v xml:space="preserve"> </v>
      </c>
      <c r="AE659" s="5"/>
      <c r="AF659" s="27" t="b">
        <f>IF($G659&lt;&gt;0,SUMIF(куб!$G:$G,$G659,куб!R:R),IF($E659&lt;&gt;0,SUMIF(куб!$E:$E,$E659,куб!R:R),IF($D659&lt;&gt;0,SUMIF(куб!$D:$D,$D659,куб!R:R),IF($C659&lt;&gt;0,SUMIF(куб!$C:$C,$C659,куб!R:R),IF($B659&lt;&gt;0,SUMIF(куб!$B:$B,$B659,куб!R:R))))))</f>
        <v>0</v>
      </c>
      <c r="AG659" s="27" t="b">
        <f>IF($G659&lt;&gt;0,SUMIF(куб!$G:$G,$G659,куб!S:S),IF($E659&lt;&gt;0,SUMIF(куб!$E:$E,$E659,куб!S:S),IF($D659&lt;&gt;0,SUMIF(куб!$D:$D,$D659,куб!S:S),IF($C659&lt;&gt;0,SUMIF(куб!$C:$C,$C659,куб!S:S),IF($B659&lt;&gt;0,SUMIF(куб!$B:$B,$B659,куб!S:S))))))</f>
        <v>0</v>
      </c>
      <c r="AH659" s="16" t="str">
        <f t="shared" si="229"/>
        <v>-</v>
      </c>
      <c r="AI659" s="8"/>
      <c r="AJ659" s="27" t="b">
        <f>IF($G659&lt;&gt;0,SUMIF(куб!$G:$G,$G659,куб!T:T),IF($E659&lt;&gt;0,SUMIF(куб!$E:$E,$E659,куб!T:T),IF($D659&lt;&gt;0,SUMIF(куб!$D:$D,$D659,куб!T:T),IF($C659&lt;&gt;0,SUMIF(куб!$C:$C,$C659,куб!T:T),IF($B659&lt;&gt;0,SUMIF(куб!$B:$B,$B659,куб!T:T))))))</f>
        <v>0</v>
      </c>
      <c r="AK659" s="27" t="b">
        <f>IF($G659&lt;&gt;0,SUMIF(куб!$G:$G,$G659,куб!U:U),IF($E659&lt;&gt;0,SUMIF(куб!$E:$E,$E659,куб!U:U),IF($D659&lt;&gt;0,SUMIF(куб!$D:$D,$D659,куб!U:U),IF($C659&lt;&gt;0,SUMIF(куб!$C:$C,$C659,куб!U:U),IF($B659&lt;&gt;0,SUMIF(куб!$B:$B,$B659,куб!U:U))))))</f>
        <v>0</v>
      </c>
      <c r="AL659" s="16" t="str">
        <f t="shared" si="230"/>
        <v>-</v>
      </c>
      <c r="AM659" s="8"/>
      <c r="AN659" s="17" t="str">
        <f t="shared" si="231"/>
        <v xml:space="preserve"> </v>
      </c>
      <c r="AO659" s="17" t="str">
        <f t="shared" si="232"/>
        <v xml:space="preserve"> </v>
      </c>
      <c r="AP659" s="16" t="str">
        <f t="shared" si="233"/>
        <v>-</v>
      </c>
      <c r="AQ659" s="8"/>
      <c r="AR659" s="17" t="str">
        <f t="shared" si="234"/>
        <v>-</v>
      </c>
      <c r="AS659" s="17" t="str">
        <f t="shared" si="235"/>
        <v>-</v>
      </c>
      <c r="AT659" s="13" t="str">
        <f t="shared" si="236"/>
        <v>-</v>
      </c>
      <c r="AU659" s="8"/>
    </row>
    <row r="660" spans="1:47" x14ac:dyDescent="0.25">
      <c r="A660" s="31"/>
      <c r="B660" s="31"/>
      <c r="C660"/>
      <c r="D660" s="31"/>
      <c r="E660"/>
      <c r="F660" s="31"/>
      <c r="G660"/>
      <c r="H660" s="27">
        <f>IF($G660&lt;&gt;0,SUMIF(куб!$G:$G,$G660,куб!H:H),IF($E660&lt;&gt;0,SUMIF(куб!$E:$E,$E660,куб!H:H),IF($D660&lt;&gt;0,SUMIF(куб!$D:$D,$D660,куб!H:H),IF($C660&lt;&gt;0,SUMIF(куб!$C:$C,$C660,куб!H:H),IF($B660&lt;&gt;0,SUMIF(куб!$B:$B,$B660,куб!H:H),IF($G660&lt;&gt;0,SUMIF(куб!$A:$A,$G660,куб!H:H),SUMIF(куб!$A:$A,$G660,куб!H:H)))))))</f>
        <v>0</v>
      </c>
      <c r="I660" s="27">
        <f>IF($G660&lt;&gt;0,SUMIF(куб!$G:$G,$G660,куб!I:I),IF($E660&lt;&gt;0,SUMIF(куб!$E:$E,$E660,куб!I:I),IF($D660&lt;&gt;0,SUMIF(куб!$D:$D,$D660,куб!I:I),IF($C660&lt;&gt;0,SUMIF(куб!$C:$C,$C660,куб!I:I),IF($B660&lt;&gt;0,SUMIF(куб!$B:$B,$B660,куб!I:I),IF($G660&lt;&gt;0,SUMIF(куб!$A:$A,$G660,куб!I:I),SUMIF(куб!$A:$A,$G660,куб!I:I)))))))</f>
        <v>0</v>
      </c>
      <c r="J660" s="19" t="str">
        <f t="shared" si="219"/>
        <v>-</v>
      </c>
      <c r="K660" s="8"/>
      <c r="L660" s="17">
        <f t="shared" si="220"/>
        <v>0</v>
      </c>
      <c r="M660" s="17">
        <f t="shared" si="221"/>
        <v>0</v>
      </c>
      <c r="N660" s="12">
        <f t="shared" si="222"/>
        <v>0</v>
      </c>
      <c r="O660" s="5"/>
      <c r="P660" s="27" t="b">
        <f>IF($G660&lt;&gt;0,SUMIF(куб!$G:$G,$G660,куб!J:J),IF($E660&lt;&gt;0,SUMIF(куб!$E:$E,$E660,куб!J:J),IF($D660&lt;&gt;0,SUMIF(куб!$D:$D,$D660,куб!J:J),IF($C660&lt;&gt;0,SUMIF(куб!$C:$C,$C660,куб!J:J),IF($B660&lt;&gt;0,SUMIF(куб!$B:$B,$B660,куб!J:J))))))</f>
        <v>0</v>
      </c>
      <c r="Q660" s="27" t="b">
        <f>IF($G660&lt;&gt;0,SUMIF(куб!$G:$G,$G660,куб!K:K),IF($E660&lt;&gt;0,SUMIF(куб!$E:$E,$E660,куб!K:K),IF($D660&lt;&gt;0,SUMIF(куб!$D:$D,$D660,куб!K:K),IF($C660&lt;&gt;0,SUMIF(куб!$C:$C,$C660,куб!K:K),IF($B660&lt;&gt;0,SUMIF(куб!$B:$B,$B660,куб!K:K))))))</f>
        <v>0</v>
      </c>
      <c r="R660" s="13" t="str">
        <f t="shared" si="223"/>
        <v>-</v>
      </c>
      <c r="S660" s="5"/>
      <c r="T660" s="27" t="b">
        <f>IF($G660&lt;&gt;0,SUMIF(куб!$G:$G,$G660,куб!L:L),IF($E660&lt;&gt;0,SUMIF(куб!$E:$E,$E660,куб!L:L),IF($D660&lt;&gt;0,SUMIF(куб!$D:$D,$D660,куб!L:L),IF($C660&lt;&gt;0,SUMIF(куб!$C:$C,$C660,куб!L:L),IF($B660&lt;&gt;0,SUMIF(куб!$B:$B,$B660,куб!L:L))))))</f>
        <v>0</v>
      </c>
      <c r="U660" s="27" t="b">
        <f>IF($G660&lt;&gt;0,SUMIF(куб!$G:$G,$G660,куб!M:M),IF($E660&lt;&gt;0,SUMIF(куб!$E:$E,$E660,куб!M:M),IF($D660&lt;&gt;0,SUMIF(куб!$D:$D,$D660,куб!M:M),IF($C660&lt;&gt;0,SUMIF(куб!$C:$C,$C660,куб!M:M),IF($B660&lt;&gt;0,SUMIF(куб!$B:$B,$B660,куб!M:M))))))</f>
        <v>0</v>
      </c>
      <c r="V660" s="13" t="str">
        <f t="shared" si="224"/>
        <v>-</v>
      </c>
      <c r="W660" s="5"/>
      <c r="X660" s="27" t="b">
        <f>IF($G660&lt;&gt;0,SUMIF(куб!$G:$G,$G660,куб!N:N),IF($E660&lt;&gt;0,SUMIF(куб!$E:$E,$E660,куб!N:N),IF($D660&lt;&gt;0,SUMIF(куб!$D:$D,$D660,куб!N:N),IF($C660&lt;&gt;0,SUMIF(куб!$C:$C,$C660,куб!N:N),IF($B660&lt;&gt;0,SUMIF(куб!$B:$B,$B660,куб!N:N))))))</f>
        <v>0</v>
      </c>
      <c r="Y660" s="27" t="b">
        <f>IF($G660&lt;&gt;0,SUMIF(куб!$G:$G,$G660,куб!O:O),IF($E660&lt;&gt;0,SUMIF(куб!$E:$E,$E660,куб!O:O),IF($D660&lt;&gt;0,SUMIF(куб!$D:$D,$D660,куб!O:O),IF($C660&lt;&gt;0,SUMIF(куб!$C:$C,$C660,куб!O:O),IF($B660&lt;&gt;0,SUMIF(куб!$B:$B,$B660,куб!O:O))))))</f>
        <v>0</v>
      </c>
      <c r="Z660" s="13" t="str">
        <f t="shared" si="225"/>
        <v>-</v>
      </c>
      <c r="AA660" s="5"/>
      <c r="AB660" s="33" t="str">
        <f t="shared" si="226"/>
        <v/>
      </c>
      <c r="AC660" s="33" t="str">
        <f t="shared" si="227"/>
        <v/>
      </c>
      <c r="AD660" s="15" t="str">
        <f t="shared" si="228"/>
        <v xml:space="preserve"> </v>
      </c>
      <c r="AE660" s="5"/>
      <c r="AF660" s="27" t="b">
        <f>IF($G660&lt;&gt;0,SUMIF(куб!$G:$G,$G660,куб!R:R),IF($E660&lt;&gt;0,SUMIF(куб!$E:$E,$E660,куб!R:R),IF($D660&lt;&gt;0,SUMIF(куб!$D:$D,$D660,куб!R:R),IF($C660&lt;&gt;0,SUMIF(куб!$C:$C,$C660,куб!R:R),IF($B660&lt;&gt;0,SUMIF(куб!$B:$B,$B660,куб!R:R))))))</f>
        <v>0</v>
      </c>
      <c r="AG660" s="27" t="b">
        <f>IF($G660&lt;&gt;0,SUMIF(куб!$G:$G,$G660,куб!S:S),IF($E660&lt;&gt;0,SUMIF(куб!$E:$E,$E660,куб!S:S),IF($D660&lt;&gt;0,SUMIF(куб!$D:$D,$D660,куб!S:S),IF($C660&lt;&gt;0,SUMIF(куб!$C:$C,$C660,куб!S:S),IF($B660&lt;&gt;0,SUMIF(куб!$B:$B,$B660,куб!S:S))))))</f>
        <v>0</v>
      </c>
      <c r="AH660" s="16" t="str">
        <f t="shared" si="229"/>
        <v>-</v>
      </c>
      <c r="AI660" s="8"/>
      <c r="AJ660" s="27" t="b">
        <f>IF($G660&lt;&gt;0,SUMIF(куб!$G:$G,$G660,куб!T:T),IF($E660&lt;&gt;0,SUMIF(куб!$E:$E,$E660,куб!T:T),IF($D660&lt;&gt;0,SUMIF(куб!$D:$D,$D660,куб!T:T),IF($C660&lt;&gt;0,SUMIF(куб!$C:$C,$C660,куб!T:T),IF($B660&lt;&gt;0,SUMIF(куб!$B:$B,$B660,куб!T:T))))))</f>
        <v>0</v>
      </c>
      <c r="AK660" s="27" t="b">
        <f>IF($G660&lt;&gt;0,SUMIF(куб!$G:$G,$G660,куб!U:U),IF($E660&lt;&gt;0,SUMIF(куб!$E:$E,$E660,куб!U:U),IF($D660&lt;&gt;0,SUMIF(куб!$D:$D,$D660,куб!U:U),IF($C660&lt;&gt;0,SUMIF(куб!$C:$C,$C660,куб!U:U),IF($B660&lt;&gt;0,SUMIF(куб!$B:$B,$B660,куб!U:U))))))</f>
        <v>0</v>
      </c>
      <c r="AL660" s="16" t="str">
        <f t="shared" si="230"/>
        <v>-</v>
      </c>
      <c r="AM660" s="8"/>
      <c r="AN660" s="17" t="str">
        <f t="shared" si="231"/>
        <v xml:space="preserve"> </v>
      </c>
      <c r="AO660" s="17" t="str">
        <f t="shared" si="232"/>
        <v xml:space="preserve"> </v>
      </c>
      <c r="AP660" s="16" t="str">
        <f t="shared" si="233"/>
        <v>-</v>
      </c>
      <c r="AQ660" s="8"/>
      <c r="AR660" s="17" t="str">
        <f t="shared" si="234"/>
        <v>-</v>
      </c>
      <c r="AS660" s="17" t="str">
        <f t="shared" si="235"/>
        <v>-</v>
      </c>
      <c r="AT660" s="13" t="str">
        <f t="shared" si="236"/>
        <v>-</v>
      </c>
      <c r="AU660" s="8"/>
    </row>
    <row r="661" spans="1:47" x14ac:dyDescent="0.25">
      <c r="A661" s="31"/>
      <c r="B661" s="31"/>
      <c r="C661"/>
      <c r="D661" s="31"/>
      <c r="E661"/>
      <c r="F661" s="31"/>
      <c r="G661"/>
      <c r="H661" s="27">
        <f>IF($G661&lt;&gt;0,SUMIF(куб!$G:$G,$G661,куб!H:H),IF($E661&lt;&gt;0,SUMIF(куб!$E:$E,$E661,куб!H:H),IF($D661&lt;&gt;0,SUMIF(куб!$D:$D,$D661,куб!H:H),IF($C661&lt;&gt;0,SUMIF(куб!$C:$C,$C661,куб!H:H),IF($B661&lt;&gt;0,SUMIF(куб!$B:$B,$B661,куб!H:H),IF($G661&lt;&gt;0,SUMIF(куб!$A:$A,$G661,куб!H:H),SUMIF(куб!$A:$A,$G661,куб!H:H)))))))</f>
        <v>0</v>
      </c>
      <c r="I661" s="27">
        <f>IF($G661&lt;&gt;0,SUMIF(куб!$G:$G,$G661,куб!I:I),IF($E661&lt;&gt;0,SUMIF(куб!$E:$E,$E661,куб!I:I),IF($D661&lt;&gt;0,SUMIF(куб!$D:$D,$D661,куб!I:I),IF($C661&lt;&gt;0,SUMIF(куб!$C:$C,$C661,куб!I:I),IF($B661&lt;&gt;0,SUMIF(куб!$B:$B,$B661,куб!I:I),IF($G661&lt;&gt;0,SUMIF(куб!$A:$A,$G661,куб!I:I),SUMIF(куб!$A:$A,$G661,куб!I:I)))))))</f>
        <v>0</v>
      </c>
      <c r="J661" s="19" t="str">
        <f t="shared" si="219"/>
        <v>-</v>
      </c>
      <c r="K661" s="8"/>
      <c r="L661" s="17">
        <f t="shared" si="220"/>
        <v>0</v>
      </c>
      <c r="M661" s="17">
        <f t="shared" si="221"/>
        <v>0</v>
      </c>
      <c r="N661" s="12">
        <f t="shared" si="222"/>
        <v>0</v>
      </c>
      <c r="O661" s="5"/>
      <c r="P661" s="27" t="b">
        <f>IF($G661&lt;&gt;0,SUMIF(куб!$G:$G,$G661,куб!J:J),IF($E661&lt;&gt;0,SUMIF(куб!$E:$E,$E661,куб!J:J),IF($D661&lt;&gt;0,SUMIF(куб!$D:$D,$D661,куб!J:J),IF($C661&lt;&gt;0,SUMIF(куб!$C:$C,$C661,куб!J:J),IF($B661&lt;&gt;0,SUMIF(куб!$B:$B,$B661,куб!J:J))))))</f>
        <v>0</v>
      </c>
      <c r="Q661" s="27" t="b">
        <f>IF($G661&lt;&gt;0,SUMIF(куб!$G:$G,$G661,куб!K:K),IF($E661&lt;&gt;0,SUMIF(куб!$E:$E,$E661,куб!K:K),IF($D661&lt;&gt;0,SUMIF(куб!$D:$D,$D661,куб!K:K),IF($C661&lt;&gt;0,SUMIF(куб!$C:$C,$C661,куб!K:K),IF($B661&lt;&gt;0,SUMIF(куб!$B:$B,$B661,куб!K:K))))))</f>
        <v>0</v>
      </c>
      <c r="R661" s="13" t="str">
        <f t="shared" si="223"/>
        <v>-</v>
      </c>
      <c r="S661" s="5"/>
      <c r="T661" s="27" t="b">
        <f>IF($G661&lt;&gt;0,SUMIF(куб!$G:$G,$G661,куб!L:L),IF($E661&lt;&gt;0,SUMIF(куб!$E:$E,$E661,куб!L:L),IF($D661&lt;&gt;0,SUMIF(куб!$D:$D,$D661,куб!L:L),IF($C661&lt;&gt;0,SUMIF(куб!$C:$C,$C661,куб!L:L),IF($B661&lt;&gt;0,SUMIF(куб!$B:$B,$B661,куб!L:L))))))</f>
        <v>0</v>
      </c>
      <c r="U661" s="27" t="b">
        <f>IF($G661&lt;&gt;0,SUMIF(куб!$G:$G,$G661,куб!M:M),IF($E661&lt;&gt;0,SUMIF(куб!$E:$E,$E661,куб!M:M),IF($D661&lt;&gt;0,SUMIF(куб!$D:$D,$D661,куб!M:M),IF($C661&lt;&gt;0,SUMIF(куб!$C:$C,$C661,куб!M:M),IF($B661&lt;&gt;0,SUMIF(куб!$B:$B,$B661,куб!M:M))))))</f>
        <v>0</v>
      </c>
      <c r="V661" s="13" t="str">
        <f t="shared" si="224"/>
        <v>-</v>
      </c>
      <c r="W661" s="5"/>
      <c r="X661" s="27" t="b">
        <f>IF($G661&lt;&gt;0,SUMIF(куб!$G:$G,$G661,куб!N:N),IF($E661&lt;&gt;0,SUMIF(куб!$E:$E,$E661,куб!N:N),IF($D661&lt;&gt;0,SUMIF(куб!$D:$D,$D661,куб!N:N),IF($C661&lt;&gt;0,SUMIF(куб!$C:$C,$C661,куб!N:N),IF($B661&lt;&gt;0,SUMIF(куб!$B:$B,$B661,куб!N:N))))))</f>
        <v>0</v>
      </c>
      <c r="Y661" s="27" t="b">
        <f>IF($G661&lt;&gt;0,SUMIF(куб!$G:$G,$G661,куб!O:O),IF($E661&lt;&gt;0,SUMIF(куб!$E:$E,$E661,куб!O:O),IF($D661&lt;&gt;0,SUMIF(куб!$D:$D,$D661,куб!O:O),IF($C661&lt;&gt;0,SUMIF(куб!$C:$C,$C661,куб!O:O),IF($B661&lt;&gt;0,SUMIF(куб!$B:$B,$B661,куб!O:O))))))</f>
        <v>0</v>
      </c>
      <c r="Z661" s="13" t="str">
        <f t="shared" si="225"/>
        <v>-</v>
      </c>
      <c r="AA661" s="5"/>
      <c r="AB661" s="33" t="str">
        <f t="shared" si="226"/>
        <v/>
      </c>
      <c r="AC661" s="33" t="str">
        <f t="shared" si="227"/>
        <v/>
      </c>
      <c r="AD661" s="15" t="str">
        <f t="shared" si="228"/>
        <v xml:space="preserve"> </v>
      </c>
      <c r="AE661" s="5"/>
      <c r="AF661" s="27" t="b">
        <f>IF($G661&lt;&gt;0,SUMIF(куб!$G:$G,$G661,куб!R:R),IF($E661&lt;&gt;0,SUMIF(куб!$E:$E,$E661,куб!R:R),IF($D661&lt;&gt;0,SUMIF(куб!$D:$D,$D661,куб!R:R),IF($C661&lt;&gt;0,SUMIF(куб!$C:$C,$C661,куб!R:R),IF($B661&lt;&gt;0,SUMIF(куб!$B:$B,$B661,куб!R:R))))))</f>
        <v>0</v>
      </c>
      <c r="AG661" s="27" t="b">
        <f>IF($G661&lt;&gt;0,SUMIF(куб!$G:$G,$G661,куб!S:S),IF($E661&lt;&gt;0,SUMIF(куб!$E:$E,$E661,куб!S:S),IF($D661&lt;&gt;0,SUMIF(куб!$D:$D,$D661,куб!S:S),IF($C661&lt;&gt;0,SUMIF(куб!$C:$C,$C661,куб!S:S),IF($B661&lt;&gt;0,SUMIF(куб!$B:$B,$B661,куб!S:S))))))</f>
        <v>0</v>
      </c>
      <c r="AH661" s="16" t="str">
        <f t="shared" si="229"/>
        <v>-</v>
      </c>
      <c r="AI661" s="8"/>
      <c r="AJ661" s="27" t="b">
        <f>IF($G661&lt;&gt;0,SUMIF(куб!$G:$G,$G661,куб!T:T),IF($E661&lt;&gt;0,SUMIF(куб!$E:$E,$E661,куб!T:T),IF($D661&lt;&gt;0,SUMIF(куб!$D:$D,$D661,куб!T:T),IF($C661&lt;&gt;0,SUMIF(куб!$C:$C,$C661,куб!T:T),IF($B661&lt;&gt;0,SUMIF(куб!$B:$B,$B661,куб!T:T))))))</f>
        <v>0</v>
      </c>
      <c r="AK661" s="27" t="b">
        <f>IF($G661&lt;&gt;0,SUMIF(куб!$G:$G,$G661,куб!U:U),IF($E661&lt;&gt;0,SUMIF(куб!$E:$E,$E661,куб!U:U),IF($D661&lt;&gt;0,SUMIF(куб!$D:$D,$D661,куб!U:U),IF($C661&lt;&gt;0,SUMIF(куб!$C:$C,$C661,куб!U:U),IF($B661&lt;&gt;0,SUMIF(куб!$B:$B,$B661,куб!U:U))))))</f>
        <v>0</v>
      </c>
      <c r="AL661" s="16" t="str">
        <f t="shared" si="230"/>
        <v>-</v>
      </c>
      <c r="AM661" s="8"/>
      <c r="AN661" s="17" t="str">
        <f t="shared" si="231"/>
        <v xml:space="preserve"> </v>
      </c>
      <c r="AO661" s="17" t="str">
        <f t="shared" si="232"/>
        <v xml:space="preserve"> </v>
      </c>
      <c r="AP661" s="16" t="str">
        <f t="shared" si="233"/>
        <v>-</v>
      </c>
      <c r="AQ661" s="8"/>
      <c r="AR661" s="17" t="str">
        <f t="shared" si="234"/>
        <v>-</v>
      </c>
      <c r="AS661" s="17" t="str">
        <f t="shared" si="235"/>
        <v>-</v>
      </c>
      <c r="AT661" s="13" t="str">
        <f t="shared" si="236"/>
        <v>-</v>
      </c>
      <c r="AU661" s="8"/>
    </row>
    <row r="662" spans="1:47" x14ac:dyDescent="0.25">
      <c r="A662" s="31"/>
      <c r="B662" s="31"/>
      <c r="C662"/>
      <c r="D662" s="31"/>
      <c r="E662"/>
      <c r="F662" s="31"/>
      <c r="G662"/>
      <c r="H662" s="27">
        <f>IF($G662&lt;&gt;0,SUMIF(куб!$G:$G,$G662,куб!H:H),IF($E662&lt;&gt;0,SUMIF(куб!$E:$E,$E662,куб!H:H),IF($D662&lt;&gt;0,SUMIF(куб!$D:$D,$D662,куб!H:H),IF($C662&lt;&gt;0,SUMIF(куб!$C:$C,$C662,куб!H:H),IF($B662&lt;&gt;0,SUMIF(куб!$B:$B,$B662,куб!H:H),IF($G662&lt;&gt;0,SUMIF(куб!$A:$A,$G662,куб!H:H),SUMIF(куб!$A:$A,$G662,куб!H:H)))))))</f>
        <v>0</v>
      </c>
      <c r="I662" s="27">
        <f>IF($G662&lt;&gt;0,SUMIF(куб!$G:$G,$G662,куб!I:I),IF($E662&lt;&gt;0,SUMIF(куб!$E:$E,$E662,куб!I:I),IF($D662&lt;&gt;0,SUMIF(куб!$D:$D,$D662,куб!I:I),IF($C662&lt;&gt;0,SUMIF(куб!$C:$C,$C662,куб!I:I),IF($B662&lt;&gt;0,SUMIF(куб!$B:$B,$B662,куб!I:I),IF($G662&lt;&gt;0,SUMIF(куб!$A:$A,$G662,куб!I:I),SUMIF(куб!$A:$A,$G662,куб!I:I)))))))</f>
        <v>0</v>
      </c>
      <c r="J662" s="19" t="str">
        <f t="shared" si="219"/>
        <v>-</v>
      </c>
      <c r="K662" s="8"/>
      <c r="L662" s="17">
        <f t="shared" si="220"/>
        <v>0</v>
      </c>
      <c r="M662" s="17">
        <f t="shared" si="221"/>
        <v>0</v>
      </c>
      <c r="N662" s="12">
        <f t="shared" si="222"/>
        <v>0</v>
      </c>
      <c r="O662" s="5"/>
      <c r="P662" s="27" t="b">
        <f>IF($G662&lt;&gt;0,SUMIF(куб!$G:$G,$G662,куб!J:J),IF($E662&lt;&gt;0,SUMIF(куб!$E:$E,$E662,куб!J:J),IF($D662&lt;&gt;0,SUMIF(куб!$D:$D,$D662,куб!J:J),IF($C662&lt;&gt;0,SUMIF(куб!$C:$C,$C662,куб!J:J),IF($B662&lt;&gt;0,SUMIF(куб!$B:$B,$B662,куб!J:J))))))</f>
        <v>0</v>
      </c>
      <c r="Q662" s="27" t="b">
        <f>IF($G662&lt;&gt;0,SUMIF(куб!$G:$G,$G662,куб!K:K),IF($E662&lt;&gt;0,SUMIF(куб!$E:$E,$E662,куб!K:K),IF($D662&lt;&gt;0,SUMIF(куб!$D:$D,$D662,куб!K:K),IF($C662&lt;&gt;0,SUMIF(куб!$C:$C,$C662,куб!K:K),IF($B662&lt;&gt;0,SUMIF(куб!$B:$B,$B662,куб!K:K))))))</f>
        <v>0</v>
      </c>
      <c r="R662" s="13" t="str">
        <f t="shared" si="223"/>
        <v>-</v>
      </c>
      <c r="S662" s="5"/>
      <c r="T662" s="27" t="b">
        <f>IF($G662&lt;&gt;0,SUMIF(куб!$G:$G,$G662,куб!L:L),IF($E662&lt;&gt;0,SUMIF(куб!$E:$E,$E662,куб!L:L),IF($D662&lt;&gt;0,SUMIF(куб!$D:$D,$D662,куб!L:L),IF($C662&lt;&gt;0,SUMIF(куб!$C:$C,$C662,куб!L:L),IF($B662&lt;&gt;0,SUMIF(куб!$B:$B,$B662,куб!L:L))))))</f>
        <v>0</v>
      </c>
      <c r="U662" s="27" t="b">
        <f>IF($G662&lt;&gt;0,SUMIF(куб!$G:$G,$G662,куб!M:M),IF($E662&lt;&gt;0,SUMIF(куб!$E:$E,$E662,куб!M:M),IF($D662&lt;&gt;0,SUMIF(куб!$D:$D,$D662,куб!M:M),IF($C662&lt;&gt;0,SUMIF(куб!$C:$C,$C662,куб!M:M),IF($B662&lt;&gt;0,SUMIF(куб!$B:$B,$B662,куб!M:M))))))</f>
        <v>0</v>
      </c>
      <c r="V662" s="13" t="str">
        <f t="shared" si="224"/>
        <v>-</v>
      </c>
      <c r="W662" s="5"/>
      <c r="X662" s="27" t="b">
        <f>IF($G662&lt;&gt;0,SUMIF(куб!$G:$G,$G662,куб!N:N),IF($E662&lt;&gt;0,SUMIF(куб!$E:$E,$E662,куб!N:N),IF($D662&lt;&gt;0,SUMIF(куб!$D:$D,$D662,куб!N:N),IF($C662&lt;&gt;0,SUMIF(куб!$C:$C,$C662,куб!N:N),IF($B662&lt;&gt;0,SUMIF(куб!$B:$B,$B662,куб!N:N))))))</f>
        <v>0</v>
      </c>
      <c r="Y662" s="27" t="b">
        <f>IF($G662&lt;&gt;0,SUMIF(куб!$G:$G,$G662,куб!O:O),IF($E662&lt;&gt;0,SUMIF(куб!$E:$E,$E662,куб!O:O),IF($D662&lt;&gt;0,SUMIF(куб!$D:$D,$D662,куб!O:O),IF($C662&lt;&gt;0,SUMIF(куб!$C:$C,$C662,куб!O:O),IF($B662&lt;&gt;0,SUMIF(куб!$B:$B,$B662,куб!O:O))))))</f>
        <v>0</v>
      </c>
      <c r="Z662" s="13" t="str">
        <f t="shared" si="225"/>
        <v>-</v>
      </c>
      <c r="AA662" s="5"/>
      <c r="AB662" s="33" t="str">
        <f t="shared" si="226"/>
        <v/>
      </c>
      <c r="AC662" s="33" t="str">
        <f t="shared" si="227"/>
        <v/>
      </c>
      <c r="AD662" s="15" t="str">
        <f t="shared" si="228"/>
        <v xml:space="preserve"> </v>
      </c>
      <c r="AE662" s="5"/>
      <c r="AF662" s="27" t="b">
        <f>IF($G662&lt;&gt;0,SUMIF(куб!$G:$G,$G662,куб!R:R),IF($E662&lt;&gt;0,SUMIF(куб!$E:$E,$E662,куб!R:R),IF($D662&lt;&gt;0,SUMIF(куб!$D:$D,$D662,куб!R:R),IF($C662&lt;&gt;0,SUMIF(куб!$C:$C,$C662,куб!R:R),IF($B662&lt;&gt;0,SUMIF(куб!$B:$B,$B662,куб!R:R))))))</f>
        <v>0</v>
      </c>
      <c r="AG662" s="27" t="b">
        <f>IF($G662&lt;&gt;0,SUMIF(куб!$G:$G,$G662,куб!S:S),IF($E662&lt;&gt;0,SUMIF(куб!$E:$E,$E662,куб!S:S),IF($D662&lt;&gt;0,SUMIF(куб!$D:$D,$D662,куб!S:S),IF($C662&lt;&gt;0,SUMIF(куб!$C:$C,$C662,куб!S:S),IF($B662&lt;&gt;0,SUMIF(куб!$B:$B,$B662,куб!S:S))))))</f>
        <v>0</v>
      </c>
      <c r="AH662" s="16" t="str">
        <f t="shared" si="229"/>
        <v>-</v>
      </c>
      <c r="AI662" s="8"/>
      <c r="AJ662" s="27" t="b">
        <f>IF($G662&lt;&gt;0,SUMIF(куб!$G:$G,$G662,куб!T:T),IF($E662&lt;&gt;0,SUMIF(куб!$E:$E,$E662,куб!T:T),IF($D662&lt;&gt;0,SUMIF(куб!$D:$D,$D662,куб!T:T),IF($C662&lt;&gt;0,SUMIF(куб!$C:$C,$C662,куб!T:T),IF($B662&lt;&gt;0,SUMIF(куб!$B:$B,$B662,куб!T:T))))))</f>
        <v>0</v>
      </c>
      <c r="AK662" s="27" t="b">
        <f>IF($G662&lt;&gt;0,SUMIF(куб!$G:$G,$G662,куб!U:U),IF($E662&lt;&gt;0,SUMIF(куб!$E:$E,$E662,куб!U:U),IF($D662&lt;&gt;0,SUMIF(куб!$D:$D,$D662,куб!U:U),IF($C662&lt;&gt;0,SUMIF(куб!$C:$C,$C662,куб!U:U),IF($B662&lt;&gt;0,SUMIF(куб!$B:$B,$B662,куб!U:U))))))</f>
        <v>0</v>
      </c>
      <c r="AL662" s="16" t="str">
        <f t="shared" si="230"/>
        <v>-</v>
      </c>
      <c r="AM662" s="8"/>
      <c r="AN662" s="17" t="str">
        <f t="shared" si="231"/>
        <v xml:space="preserve"> </v>
      </c>
      <c r="AO662" s="17" t="str">
        <f t="shared" si="232"/>
        <v xml:space="preserve"> </v>
      </c>
      <c r="AP662" s="16" t="str">
        <f t="shared" si="233"/>
        <v>-</v>
      </c>
      <c r="AQ662" s="8"/>
      <c r="AR662" s="17" t="str">
        <f t="shared" si="234"/>
        <v>-</v>
      </c>
      <c r="AS662" s="17" t="str">
        <f t="shared" si="235"/>
        <v>-</v>
      </c>
      <c r="AT662" s="13" t="str">
        <f t="shared" si="236"/>
        <v>-</v>
      </c>
      <c r="AU662" s="8"/>
    </row>
    <row r="663" spans="1:47" x14ac:dyDescent="0.25">
      <c r="A663" s="31"/>
      <c r="B663" s="31"/>
      <c r="C663"/>
      <c r="D663" s="31"/>
      <c r="E663"/>
      <c r="F663" s="31"/>
      <c r="G663"/>
      <c r="H663" s="27">
        <f>IF($G663&lt;&gt;0,SUMIF(куб!$G:$G,$G663,куб!H:H),IF($E663&lt;&gt;0,SUMIF(куб!$E:$E,$E663,куб!H:H),IF($D663&lt;&gt;0,SUMIF(куб!$D:$D,$D663,куб!H:H),IF($C663&lt;&gt;0,SUMIF(куб!$C:$C,$C663,куб!H:H),IF($B663&lt;&gt;0,SUMIF(куб!$B:$B,$B663,куб!H:H),IF($G663&lt;&gt;0,SUMIF(куб!$A:$A,$G663,куб!H:H),SUMIF(куб!$A:$A,$G663,куб!H:H)))))))</f>
        <v>0</v>
      </c>
      <c r="I663" s="27">
        <f>IF($G663&lt;&gt;0,SUMIF(куб!$G:$G,$G663,куб!I:I),IF($E663&lt;&gt;0,SUMIF(куб!$E:$E,$E663,куб!I:I),IF($D663&lt;&gt;0,SUMIF(куб!$D:$D,$D663,куб!I:I),IF($C663&lt;&gt;0,SUMIF(куб!$C:$C,$C663,куб!I:I),IF($B663&lt;&gt;0,SUMIF(куб!$B:$B,$B663,куб!I:I),IF($G663&lt;&gt;0,SUMIF(куб!$A:$A,$G663,куб!I:I),SUMIF(куб!$A:$A,$G663,куб!I:I)))))))</f>
        <v>0</v>
      </c>
      <c r="J663" s="19" t="str">
        <f t="shared" si="219"/>
        <v>-</v>
      </c>
      <c r="K663" s="8"/>
      <c r="L663" s="17">
        <f t="shared" si="220"/>
        <v>0</v>
      </c>
      <c r="M663" s="17">
        <f t="shared" si="221"/>
        <v>0</v>
      </c>
      <c r="N663" s="12">
        <f t="shared" si="222"/>
        <v>0</v>
      </c>
      <c r="O663" s="5"/>
      <c r="P663" s="27" t="b">
        <f>IF($G663&lt;&gt;0,SUMIF(куб!$G:$G,$G663,куб!J:J),IF($E663&lt;&gt;0,SUMIF(куб!$E:$E,$E663,куб!J:J),IF($D663&lt;&gt;0,SUMIF(куб!$D:$D,$D663,куб!J:J),IF($C663&lt;&gt;0,SUMIF(куб!$C:$C,$C663,куб!J:J),IF($B663&lt;&gt;0,SUMIF(куб!$B:$B,$B663,куб!J:J))))))</f>
        <v>0</v>
      </c>
      <c r="Q663" s="27" t="b">
        <f>IF($G663&lt;&gt;0,SUMIF(куб!$G:$G,$G663,куб!K:K),IF($E663&lt;&gt;0,SUMIF(куб!$E:$E,$E663,куб!K:K),IF($D663&lt;&gt;0,SUMIF(куб!$D:$D,$D663,куб!K:K),IF($C663&lt;&gt;0,SUMIF(куб!$C:$C,$C663,куб!K:K),IF($B663&lt;&gt;0,SUMIF(куб!$B:$B,$B663,куб!K:K))))))</f>
        <v>0</v>
      </c>
      <c r="R663" s="13" t="str">
        <f t="shared" si="223"/>
        <v>-</v>
      </c>
      <c r="S663" s="5"/>
      <c r="T663" s="27" t="b">
        <f>IF($G663&lt;&gt;0,SUMIF(куб!$G:$G,$G663,куб!L:L),IF($E663&lt;&gt;0,SUMIF(куб!$E:$E,$E663,куб!L:L),IF($D663&lt;&gt;0,SUMIF(куб!$D:$D,$D663,куб!L:L),IF($C663&lt;&gt;0,SUMIF(куб!$C:$C,$C663,куб!L:L),IF($B663&lt;&gt;0,SUMIF(куб!$B:$B,$B663,куб!L:L))))))</f>
        <v>0</v>
      </c>
      <c r="U663" s="27" t="b">
        <f>IF($G663&lt;&gt;0,SUMIF(куб!$G:$G,$G663,куб!M:M),IF($E663&lt;&gt;0,SUMIF(куб!$E:$E,$E663,куб!M:M),IF($D663&lt;&gt;0,SUMIF(куб!$D:$D,$D663,куб!M:M),IF($C663&lt;&gt;0,SUMIF(куб!$C:$C,$C663,куб!M:M),IF($B663&lt;&gt;0,SUMIF(куб!$B:$B,$B663,куб!M:M))))))</f>
        <v>0</v>
      </c>
      <c r="V663" s="13" t="str">
        <f t="shared" si="224"/>
        <v>-</v>
      </c>
      <c r="W663" s="5"/>
      <c r="X663" s="27" t="b">
        <f>IF($G663&lt;&gt;0,SUMIF(куб!$G:$G,$G663,куб!N:N),IF($E663&lt;&gt;0,SUMIF(куб!$E:$E,$E663,куб!N:N),IF($D663&lt;&gt;0,SUMIF(куб!$D:$D,$D663,куб!N:N),IF($C663&lt;&gt;0,SUMIF(куб!$C:$C,$C663,куб!N:N),IF($B663&lt;&gt;0,SUMIF(куб!$B:$B,$B663,куб!N:N))))))</f>
        <v>0</v>
      </c>
      <c r="Y663" s="27" t="b">
        <f>IF($G663&lt;&gt;0,SUMIF(куб!$G:$G,$G663,куб!O:O),IF($E663&lt;&gt;0,SUMIF(куб!$E:$E,$E663,куб!O:O),IF($D663&lt;&gt;0,SUMIF(куб!$D:$D,$D663,куб!O:O),IF($C663&lt;&gt;0,SUMIF(куб!$C:$C,$C663,куб!O:O),IF($B663&lt;&gt;0,SUMIF(куб!$B:$B,$B663,куб!O:O))))))</f>
        <v>0</v>
      </c>
      <c r="Z663" s="13" t="str">
        <f t="shared" si="225"/>
        <v>-</v>
      </c>
      <c r="AA663" s="5"/>
      <c r="AB663" s="33" t="str">
        <f t="shared" si="226"/>
        <v/>
      </c>
      <c r="AC663" s="33" t="str">
        <f t="shared" si="227"/>
        <v/>
      </c>
      <c r="AD663" s="15" t="str">
        <f t="shared" si="228"/>
        <v xml:space="preserve"> </v>
      </c>
      <c r="AE663" s="5"/>
      <c r="AF663" s="27" t="b">
        <f>IF($G663&lt;&gt;0,SUMIF(куб!$G:$G,$G663,куб!R:R),IF($E663&lt;&gt;0,SUMIF(куб!$E:$E,$E663,куб!R:R),IF($D663&lt;&gt;0,SUMIF(куб!$D:$D,$D663,куб!R:R),IF($C663&lt;&gt;0,SUMIF(куб!$C:$C,$C663,куб!R:R),IF($B663&lt;&gt;0,SUMIF(куб!$B:$B,$B663,куб!R:R))))))</f>
        <v>0</v>
      </c>
      <c r="AG663" s="27" t="b">
        <f>IF($G663&lt;&gt;0,SUMIF(куб!$G:$G,$G663,куб!S:S),IF($E663&lt;&gt;0,SUMIF(куб!$E:$E,$E663,куб!S:S),IF($D663&lt;&gt;0,SUMIF(куб!$D:$D,$D663,куб!S:S),IF($C663&lt;&gt;0,SUMIF(куб!$C:$C,$C663,куб!S:S),IF($B663&lt;&gt;0,SUMIF(куб!$B:$B,$B663,куб!S:S))))))</f>
        <v>0</v>
      </c>
      <c r="AH663" s="16" t="str">
        <f t="shared" si="229"/>
        <v>-</v>
      </c>
      <c r="AI663" s="8"/>
      <c r="AJ663" s="27" t="b">
        <f>IF($G663&lt;&gt;0,SUMIF(куб!$G:$G,$G663,куб!T:T),IF($E663&lt;&gt;0,SUMIF(куб!$E:$E,$E663,куб!T:T),IF($D663&lt;&gt;0,SUMIF(куб!$D:$D,$D663,куб!T:T),IF($C663&lt;&gt;0,SUMIF(куб!$C:$C,$C663,куб!T:T),IF($B663&lt;&gt;0,SUMIF(куб!$B:$B,$B663,куб!T:T))))))</f>
        <v>0</v>
      </c>
      <c r="AK663" s="27" t="b">
        <f>IF($G663&lt;&gt;0,SUMIF(куб!$G:$G,$G663,куб!U:U),IF($E663&lt;&gt;0,SUMIF(куб!$E:$E,$E663,куб!U:U),IF($D663&lt;&gt;0,SUMIF(куб!$D:$D,$D663,куб!U:U),IF($C663&lt;&gt;0,SUMIF(куб!$C:$C,$C663,куб!U:U),IF($B663&lt;&gt;0,SUMIF(куб!$B:$B,$B663,куб!U:U))))))</f>
        <v>0</v>
      </c>
      <c r="AL663" s="16" t="str">
        <f t="shared" si="230"/>
        <v>-</v>
      </c>
      <c r="AM663" s="8"/>
      <c r="AN663" s="17" t="str">
        <f t="shared" si="231"/>
        <v xml:space="preserve"> </v>
      </c>
      <c r="AO663" s="17" t="str">
        <f t="shared" si="232"/>
        <v xml:space="preserve"> </v>
      </c>
      <c r="AP663" s="16" t="str">
        <f t="shared" si="233"/>
        <v>-</v>
      </c>
      <c r="AQ663" s="8"/>
      <c r="AR663" s="17" t="str">
        <f t="shared" si="234"/>
        <v>-</v>
      </c>
      <c r="AS663" s="17" t="str">
        <f t="shared" si="235"/>
        <v>-</v>
      </c>
      <c r="AT663" s="13" t="str">
        <f t="shared" si="236"/>
        <v>-</v>
      </c>
      <c r="AU663" s="8"/>
    </row>
    <row r="664" spans="1:47" x14ac:dyDescent="0.25">
      <c r="A664" s="31"/>
      <c r="B664" s="31"/>
      <c r="C664"/>
      <c r="D664" s="31"/>
      <c r="E664"/>
      <c r="F664" s="31"/>
      <c r="G664"/>
      <c r="H664" s="27">
        <f>IF($G664&lt;&gt;0,SUMIF(куб!$G:$G,$G664,куб!H:H),IF($E664&lt;&gt;0,SUMIF(куб!$E:$E,$E664,куб!H:H),IF($D664&lt;&gt;0,SUMIF(куб!$D:$D,$D664,куб!H:H),IF($C664&lt;&gt;0,SUMIF(куб!$C:$C,$C664,куб!H:H),IF($B664&lt;&gt;0,SUMIF(куб!$B:$B,$B664,куб!H:H),IF($G664&lt;&gt;0,SUMIF(куб!$A:$A,$G664,куб!H:H),SUMIF(куб!$A:$A,$G664,куб!H:H)))))))</f>
        <v>0</v>
      </c>
      <c r="I664" s="27">
        <f>IF($G664&lt;&gt;0,SUMIF(куб!$G:$G,$G664,куб!I:I),IF($E664&lt;&gt;0,SUMIF(куб!$E:$E,$E664,куб!I:I),IF($D664&lt;&gt;0,SUMIF(куб!$D:$D,$D664,куб!I:I),IF($C664&lt;&gt;0,SUMIF(куб!$C:$C,$C664,куб!I:I),IF($B664&lt;&gt;0,SUMIF(куб!$B:$B,$B664,куб!I:I),IF($G664&lt;&gt;0,SUMIF(куб!$A:$A,$G664,куб!I:I),SUMIF(куб!$A:$A,$G664,куб!I:I)))))))</f>
        <v>0</v>
      </c>
      <c r="J664" s="19" t="str">
        <f t="shared" si="219"/>
        <v>-</v>
      </c>
      <c r="K664" s="8"/>
      <c r="L664" s="17">
        <f t="shared" si="220"/>
        <v>0</v>
      </c>
      <c r="M664" s="17">
        <f t="shared" si="221"/>
        <v>0</v>
      </c>
      <c r="N664" s="12">
        <f t="shared" si="222"/>
        <v>0</v>
      </c>
      <c r="O664" s="5"/>
      <c r="P664" s="27" t="b">
        <f>IF($G664&lt;&gt;0,SUMIF(куб!$G:$G,$G664,куб!J:J),IF($E664&lt;&gt;0,SUMIF(куб!$E:$E,$E664,куб!J:J),IF($D664&lt;&gt;0,SUMIF(куб!$D:$D,$D664,куб!J:J),IF($C664&lt;&gt;0,SUMIF(куб!$C:$C,$C664,куб!J:J),IF($B664&lt;&gt;0,SUMIF(куб!$B:$B,$B664,куб!J:J))))))</f>
        <v>0</v>
      </c>
      <c r="Q664" s="27" t="b">
        <f>IF($G664&lt;&gt;0,SUMIF(куб!$G:$G,$G664,куб!K:K),IF($E664&lt;&gt;0,SUMIF(куб!$E:$E,$E664,куб!K:K),IF($D664&lt;&gt;0,SUMIF(куб!$D:$D,$D664,куб!K:K),IF($C664&lt;&gt;0,SUMIF(куб!$C:$C,$C664,куб!K:K),IF($B664&lt;&gt;0,SUMIF(куб!$B:$B,$B664,куб!K:K))))))</f>
        <v>0</v>
      </c>
      <c r="R664" s="13" t="str">
        <f t="shared" si="223"/>
        <v>-</v>
      </c>
      <c r="S664" s="5"/>
      <c r="T664" s="27" t="b">
        <f>IF($G664&lt;&gt;0,SUMIF(куб!$G:$G,$G664,куб!L:L),IF($E664&lt;&gt;0,SUMIF(куб!$E:$E,$E664,куб!L:L),IF($D664&lt;&gt;0,SUMIF(куб!$D:$D,$D664,куб!L:L),IF($C664&lt;&gt;0,SUMIF(куб!$C:$C,$C664,куб!L:L),IF($B664&lt;&gt;0,SUMIF(куб!$B:$B,$B664,куб!L:L))))))</f>
        <v>0</v>
      </c>
      <c r="U664" s="27" t="b">
        <f>IF($G664&lt;&gt;0,SUMIF(куб!$G:$G,$G664,куб!M:M),IF($E664&lt;&gt;0,SUMIF(куб!$E:$E,$E664,куб!M:M),IF($D664&lt;&gt;0,SUMIF(куб!$D:$D,$D664,куб!M:M),IF($C664&lt;&gt;0,SUMIF(куб!$C:$C,$C664,куб!M:M),IF($B664&lt;&gt;0,SUMIF(куб!$B:$B,$B664,куб!M:M))))))</f>
        <v>0</v>
      </c>
      <c r="V664" s="13" t="str">
        <f t="shared" si="224"/>
        <v>-</v>
      </c>
      <c r="W664" s="5"/>
      <c r="X664" s="27" t="b">
        <f>IF($G664&lt;&gt;0,SUMIF(куб!$G:$G,$G664,куб!N:N),IF($E664&lt;&gt;0,SUMIF(куб!$E:$E,$E664,куб!N:N),IF($D664&lt;&gt;0,SUMIF(куб!$D:$D,$D664,куб!N:N),IF($C664&lt;&gt;0,SUMIF(куб!$C:$C,$C664,куб!N:N),IF($B664&lt;&gt;0,SUMIF(куб!$B:$B,$B664,куб!N:N))))))</f>
        <v>0</v>
      </c>
      <c r="Y664" s="27" t="b">
        <f>IF($G664&lt;&gt;0,SUMIF(куб!$G:$G,$G664,куб!O:O),IF($E664&lt;&gt;0,SUMIF(куб!$E:$E,$E664,куб!O:O),IF($D664&lt;&gt;0,SUMIF(куб!$D:$D,$D664,куб!O:O),IF($C664&lt;&gt;0,SUMIF(куб!$C:$C,$C664,куб!O:O),IF($B664&lt;&gt;0,SUMIF(куб!$B:$B,$B664,куб!O:O))))))</f>
        <v>0</v>
      </c>
      <c r="Z664" s="13" t="str">
        <f t="shared" si="225"/>
        <v>-</v>
      </c>
      <c r="AA664" s="5"/>
      <c r="AB664" s="33" t="str">
        <f t="shared" si="226"/>
        <v/>
      </c>
      <c r="AC664" s="33" t="str">
        <f t="shared" si="227"/>
        <v/>
      </c>
      <c r="AD664" s="15" t="str">
        <f t="shared" si="228"/>
        <v xml:space="preserve"> </v>
      </c>
      <c r="AE664" s="5"/>
      <c r="AF664" s="27" t="b">
        <f>IF($G664&lt;&gt;0,SUMIF(куб!$G:$G,$G664,куб!R:R),IF($E664&lt;&gt;0,SUMIF(куб!$E:$E,$E664,куб!R:R),IF($D664&lt;&gt;0,SUMIF(куб!$D:$D,$D664,куб!R:R),IF($C664&lt;&gt;0,SUMIF(куб!$C:$C,$C664,куб!R:R),IF($B664&lt;&gt;0,SUMIF(куб!$B:$B,$B664,куб!R:R))))))</f>
        <v>0</v>
      </c>
      <c r="AG664" s="27" t="b">
        <f>IF($G664&lt;&gt;0,SUMIF(куб!$G:$G,$G664,куб!S:S),IF($E664&lt;&gt;0,SUMIF(куб!$E:$E,$E664,куб!S:S),IF($D664&lt;&gt;0,SUMIF(куб!$D:$D,$D664,куб!S:S),IF($C664&lt;&gt;0,SUMIF(куб!$C:$C,$C664,куб!S:S),IF($B664&lt;&gt;0,SUMIF(куб!$B:$B,$B664,куб!S:S))))))</f>
        <v>0</v>
      </c>
      <c r="AH664" s="16" t="str">
        <f t="shared" si="229"/>
        <v>-</v>
      </c>
      <c r="AI664" s="8"/>
      <c r="AJ664" s="27" t="b">
        <f>IF($G664&lt;&gt;0,SUMIF(куб!$G:$G,$G664,куб!T:T),IF($E664&lt;&gt;0,SUMIF(куб!$E:$E,$E664,куб!T:T),IF($D664&lt;&gt;0,SUMIF(куб!$D:$D,$D664,куб!T:T),IF($C664&lt;&gt;0,SUMIF(куб!$C:$C,$C664,куб!T:T),IF($B664&lt;&gt;0,SUMIF(куб!$B:$B,$B664,куб!T:T))))))</f>
        <v>0</v>
      </c>
      <c r="AK664" s="27" t="b">
        <f>IF($G664&lt;&gt;0,SUMIF(куб!$G:$G,$G664,куб!U:U),IF($E664&lt;&gt;0,SUMIF(куб!$E:$E,$E664,куб!U:U),IF($D664&lt;&gt;0,SUMIF(куб!$D:$D,$D664,куб!U:U),IF($C664&lt;&gt;0,SUMIF(куб!$C:$C,$C664,куб!U:U),IF($B664&lt;&gt;0,SUMIF(куб!$B:$B,$B664,куб!U:U))))))</f>
        <v>0</v>
      </c>
      <c r="AL664" s="16" t="str">
        <f t="shared" si="230"/>
        <v>-</v>
      </c>
      <c r="AM664" s="8"/>
      <c r="AN664" s="17" t="str">
        <f t="shared" si="231"/>
        <v xml:space="preserve"> </v>
      </c>
      <c r="AO664" s="17" t="str">
        <f t="shared" si="232"/>
        <v xml:space="preserve"> </v>
      </c>
      <c r="AP664" s="16" t="str">
        <f t="shared" si="233"/>
        <v>-</v>
      </c>
      <c r="AQ664" s="8"/>
      <c r="AR664" s="17" t="str">
        <f t="shared" si="234"/>
        <v>-</v>
      </c>
      <c r="AS664" s="17" t="str">
        <f t="shared" si="235"/>
        <v>-</v>
      </c>
      <c r="AT664" s="13" t="str">
        <f t="shared" si="236"/>
        <v>-</v>
      </c>
      <c r="AU664" s="8"/>
    </row>
    <row r="665" spans="1:47" x14ac:dyDescent="0.25">
      <c r="A665" s="31"/>
      <c r="B665" s="31"/>
      <c r="C665"/>
      <c r="D665" s="31"/>
      <c r="E665"/>
      <c r="F665" s="31"/>
      <c r="G665"/>
      <c r="H665" s="27">
        <f>IF($G665&lt;&gt;0,SUMIF(куб!$G:$G,$G665,куб!H:H),IF($E665&lt;&gt;0,SUMIF(куб!$E:$E,$E665,куб!H:H),IF($D665&lt;&gt;0,SUMIF(куб!$D:$D,$D665,куб!H:H),IF($C665&lt;&gt;0,SUMIF(куб!$C:$C,$C665,куб!H:H),IF($B665&lt;&gt;0,SUMIF(куб!$B:$B,$B665,куб!H:H),IF($G665&lt;&gt;0,SUMIF(куб!$A:$A,$G665,куб!H:H),SUMIF(куб!$A:$A,$G665,куб!H:H)))))))</f>
        <v>0</v>
      </c>
      <c r="I665" s="27">
        <f>IF($G665&lt;&gt;0,SUMIF(куб!$G:$G,$G665,куб!I:I),IF($E665&lt;&gt;0,SUMIF(куб!$E:$E,$E665,куб!I:I),IF($D665&lt;&gt;0,SUMIF(куб!$D:$D,$D665,куб!I:I),IF($C665&lt;&gt;0,SUMIF(куб!$C:$C,$C665,куб!I:I),IF($B665&lt;&gt;0,SUMIF(куб!$B:$B,$B665,куб!I:I),IF($G665&lt;&gt;0,SUMIF(куб!$A:$A,$G665,куб!I:I),SUMIF(куб!$A:$A,$G665,куб!I:I)))))))</f>
        <v>0</v>
      </c>
      <c r="J665" s="19" t="str">
        <f t="shared" si="219"/>
        <v>-</v>
      </c>
      <c r="K665" s="8"/>
      <c r="L665" s="17">
        <f t="shared" si="220"/>
        <v>0</v>
      </c>
      <c r="M665" s="17">
        <f t="shared" si="221"/>
        <v>0</v>
      </c>
      <c r="N665" s="12">
        <f t="shared" si="222"/>
        <v>0</v>
      </c>
      <c r="O665" s="5"/>
      <c r="P665" s="27" t="b">
        <f>IF($G665&lt;&gt;0,SUMIF(куб!$G:$G,$G665,куб!J:J),IF($E665&lt;&gt;0,SUMIF(куб!$E:$E,$E665,куб!J:J),IF($D665&lt;&gt;0,SUMIF(куб!$D:$D,$D665,куб!J:J),IF($C665&lt;&gt;0,SUMIF(куб!$C:$C,$C665,куб!J:J),IF($B665&lt;&gt;0,SUMIF(куб!$B:$B,$B665,куб!J:J))))))</f>
        <v>0</v>
      </c>
      <c r="Q665" s="27" t="b">
        <f>IF($G665&lt;&gt;0,SUMIF(куб!$G:$G,$G665,куб!K:K),IF($E665&lt;&gt;0,SUMIF(куб!$E:$E,$E665,куб!K:K),IF($D665&lt;&gt;0,SUMIF(куб!$D:$D,$D665,куб!K:K),IF($C665&lt;&gt;0,SUMIF(куб!$C:$C,$C665,куб!K:K),IF($B665&lt;&gt;0,SUMIF(куб!$B:$B,$B665,куб!K:K))))))</f>
        <v>0</v>
      </c>
      <c r="R665" s="13" t="str">
        <f t="shared" si="223"/>
        <v>-</v>
      </c>
      <c r="S665" s="5"/>
      <c r="T665" s="27" t="b">
        <f>IF($G665&lt;&gt;0,SUMIF(куб!$G:$G,$G665,куб!L:L),IF($E665&lt;&gt;0,SUMIF(куб!$E:$E,$E665,куб!L:L),IF($D665&lt;&gt;0,SUMIF(куб!$D:$D,$D665,куб!L:L),IF($C665&lt;&gt;0,SUMIF(куб!$C:$C,$C665,куб!L:L),IF($B665&lt;&gt;0,SUMIF(куб!$B:$B,$B665,куб!L:L))))))</f>
        <v>0</v>
      </c>
      <c r="U665" s="27" t="b">
        <f>IF($G665&lt;&gt;0,SUMIF(куб!$G:$G,$G665,куб!M:M),IF($E665&lt;&gt;0,SUMIF(куб!$E:$E,$E665,куб!M:M),IF($D665&lt;&gt;0,SUMIF(куб!$D:$D,$D665,куб!M:M),IF($C665&lt;&gt;0,SUMIF(куб!$C:$C,$C665,куб!M:M),IF($B665&lt;&gt;0,SUMIF(куб!$B:$B,$B665,куб!M:M))))))</f>
        <v>0</v>
      </c>
      <c r="V665" s="13" t="str">
        <f t="shared" si="224"/>
        <v>-</v>
      </c>
      <c r="W665" s="5"/>
      <c r="X665" s="27" t="b">
        <f>IF($G665&lt;&gt;0,SUMIF(куб!$G:$G,$G665,куб!N:N),IF($E665&lt;&gt;0,SUMIF(куб!$E:$E,$E665,куб!N:N),IF($D665&lt;&gt;0,SUMIF(куб!$D:$D,$D665,куб!N:N),IF($C665&lt;&gt;0,SUMIF(куб!$C:$C,$C665,куб!N:N),IF($B665&lt;&gt;0,SUMIF(куб!$B:$B,$B665,куб!N:N))))))</f>
        <v>0</v>
      </c>
      <c r="Y665" s="27" t="b">
        <f>IF($G665&lt;&gt;0,SUMIF(куб!$G:$G,$G665,куб!O:O),IF($E665&lt;&gt;0,SUMIF(куб!$E:$E,$E665,куб!O:O),IF($D665&lt;&gt;0,SUMIF(куб!$D:$D,$D665,куб!O:O),IF($C665&lt;&gt;0,SUMIF(куб!$C:$C,$C665,куб!O:O),IF($B665&lt;&gt;0,SUMIF(куб!$B:$B,$B665,куб!O:O))))))</f>
        <v>0</v>
      </c>
      <c r="Z665" s="13" t="str">
        <f t="shared" si="225"/>
        <v>-</v>
      </c>
      <c r="AA665" s="5"/>
      <c r="AB665" s="33" t="str">
        <f t="shared" si="226"/>
        <v/>
      </c>
      <c r="AC665" s="33" t="str">
        <f t="shared" si="227"/>
        <v/>
      </c>
      <c r="AD665" s="15" t="str">
        <f t="shared" si="228"/>
        <v xml:space="preserve"> </v>
      </c>
      <c r="AE665" s="5"/>
      <c r="AF665" s="27" t="b">
        <f>IF($G665&lt;&gt;0,SUMIF(куб!$G:$G,$G665,куб!R:R),IF($E665&lt;&gt;0,SUMIF(куб!$E:$E,$E665,куб!R:R),IF($D665&lt;&gt;0,SUMIF(куб!$D:$D,$D665,куб!R:R),IF($C665&lt;&gt;0,SUMIF(куб!$C:$C,$C665,куб!R:R),IF($B665&lt;&gt;0,SUMIF(куб!$B:$B,$B665,куб!R:R))))))</f>
        <v>0</v>
      </c>
      <c r="AG665" s="27" t="b">
        <f>IF($G665&lt;&gt;0,SUMIF(куб!$G:$G,$G665,куб!S:S),IF($E665&lt;&gt;0,SUMIF(куб!$E:$E,$E665,куб!S:S),IF($D665&lt;&gt;0,SUMIF(куб!$D:$D,$D665,куб!S:S),IF($C665&lt;&gt;0,SUMIF(куб!$C:$C,$C665,куб!S:S),IF($B665&lt;&gt;0,SUMIF(куб!$B:$B,$B665,куб!S:S))))))</f>
        <v>0</v>
      </c>
      <c r="AH665" s="16" t="str">
        <f t="shared" si="229"/>
        <v>-</v>
      </c>
      <c r="AI665" s="8"/>
      <c r="AJ665" s="27" t="b">
        <f>IF($G665&lt;&gt;0,SUMIF(куб!$G:$G,$G665,куб!T:T),IF($E665&lt;&gt;0,SUMIF(куб!$E:$E,$E665,куб!T:T),IF($D665&lt;&gt;0,SUMIF(куб!$D:$D,$D665,куб!T:T),IF($C665&lt;&gt;0,SUMIF(куб!$C:$C,$C665,куб!T:T),IF($B665&lt;&gt;0,SUMIF(куб!$B:$B,$B665,куб!T:T))))))</f>
        <v>0</v>
      </c>
      <c r="AK665" s="27" t="b">
        <f>IF($G665&lt;&gt;0,SUMIF(куб!$G:$G,$G665,куб!U:U),IF($E665&lt;&gt;0,SUMIF(куб!$E:$E,$E665,куб!U:U),IF($D665&lt;&gt;0,SUMIF(куб!$D:$D,$D665,куб!U:U),IF($C665&lt;&gt;0,SUMIF(куб!$C:$C,$C665,куб!U:U),IF($B665&lt;&gt;0,SUMIF(куб!$B:$B,$B665,куб!U:U))))))</f>
        <v>0</v>
      </c>
      <c r="AL665" s="16" t="str">
        <f t="shared" si="230"/>
        <v>-</v>
      </c>
      <c r="AM665" s="8"/>
      <c r="AN665" s="17" t="str">
        <f t="shared" si="231"/>
        <v xml:space="preserve"> </v>
      </c>
      <c r="AO665" s="17" t="str">
        <f t="shared" si="232"/>
        <v xml:space="preserve"> </v>
      </c>
      <c r="AP665" s="16" t="str">
        <f t="shared" si="233"/>
        <v>-</v>
      </c>
      <c r="AQ665" s="8"/>
      <c r="AR665" s="17" t="str">
        <f t="shared" si="234"/>
        <v>-</v>
      </c>
      <c r="AS665" s="17" t="str">
        <f t="shared" si="235"/>
        <v>-</v>
      </c>
      <c r="AT665" s="13" t="str">
        <f t="shared" si="236"/>
        <v>-</v>
      </c>
      <c r="AU665" s="8"/>
    </row>
    <row r="666" spans="1:47" x14ac:dyDescent="0.25">
      <c r="A666" s="31"/>
      <c r="B666" s="31"/>
      <c r="C666"/>
      <c r="D666" s="31"/>
      <c r="E666"/>
      <c r="F666"/>
      <c r="G666"/>
      <c r="H666" s="27">
        <f>IF($G666&lt;&gt;0,SUMIF(куб!$G:$G,$G666,куб!H:H),IF($E666&lt;&gt;0,SUMIF(куб!$E:$E,$E666,куб!H:H),IF($D666&lt;&gt;0,SUMIF(куб!$D:$D,$D666,куб!H:H),IF($C666&lt;&gt;0,SUMIF(куб!$C:$C,$C666,куб!H:H),IF($B666&lt;&gt;0,SUMIF(куб!$B:$B,$B666,куб!H:H),IF($G666&lt;&gt;0,SUMIF(куб!$A:$A,$G666,куб!H:H),SUMIF(куб!$A:$A,$G666,куб!H:H)))))))</f>
        <v>0</v>
      </c>
      <c r="I666" s="27">
        <f>IF($G666&lt;&gt;0,SUMIF(куб!$G:$G,$G666,куб!I:I),IF($E666&lt;&gt;0,SUMIF(куб!$E:$E,$E666,куб!I:I),IF($D666&lt;&gt;0,SUMIF(куб!$D:$D,$D666,куб!I:I),IF($C666&lt;&gt;0,SUMIF(куб!$C:$C,$C666,куб!I:I),IF($B666&lt;&gt;0,SUMIF(куб!$B:$B,$B666,куб!I:I),IF($G666&lt;&gt;0,SUMIF(куб!$A:$A,$G666,куб!I:I),SUMIF(куб!$A:$A,$G666,куб!I:I)))))))</f>
        <v>0</v>
      </c>
      <c r="J666" s="19" t="str">
        <f t="shared" si="219"/>
        <v>-</v>
      </c>
      <c r="K666" s="8"/>
      <c r="L666" s="17">
        <f t="shared" si="220"/>
        <v>0</v>
      </c>
      <c r="M666" s="17">
        <f t="shared" si="221"/>
        <v>0</v>
      </c>
      <c r="N666" s="12">
        <f t="shared" si="222"/>
        <v>0</v>
      </c>
      <c r="O666" s="5"/>
      <c r="P666" s="27" t="b">
        <f>IF($G666&lt;&gt;0,SUMIF(куб!$G:$G,$G666,куб!J:J),IF($E666&lt;&gt;0,SUMIF(куб!$E:$E,$E666,куб!J:J),IF($D666&lt;&gt;0,SUMIF(куб!$D:$D,$D666,куб!J:J),IF($C666&lt;&gt;0,SUMIF(куб!$C:$C,$C666,куб!J:J),IF($B666&lt;&gt;0,SUMIF(куб!$B:$B,$B666,куб!J:J))))))</f>
        <v>0</v>
      </c>
      <c r="Q666" s="27" t="b">
        <f>IF($G666&lt;&gt;0,SUMIF(куб!$G:$G,$G666,куб!K:K),IF($E666&lt;&gt;0,SUMIF(куб!$E:$E,$E666,куб!K:K),IF($D666&lt;&gt;0,SUMIF(куб!$D:$D,$D666,куб!K:K),IF($C666&lt;&gt;0,SUMIF(куб!$C:$C,$C666,куб!K:K),IF($B666&lt;&gt;0,SUMIF(куб!$B:$B,$B666,куб!K:K))))))</f>
        <v>0</v>
      </c>
      <c r="R666" s="13" t="str">
        <f t="shared" si="223"/>
        <v>-</v>
      </c>
      <c r="S666" s="5"/>
      <c r="T666" s="27" t="b">
        <f>IF($G666&lt;&gt;0,SUMIF(куб!$G:$G,$G666,куб!L:L),IF($E666&lt;&gt;0,SUMIF(куб!$E:$E,$E666,куб!L:L),IF($D666&lt;&gt;0,SUMIF(куб!$D:$D,$D666,куб!L:L),IF($C666&lt;&gt;0,SUMIF(куб!$C:$C,$C666,куб!L:L),IF($B666&lt;&gt;0,SUMIF(куб!$B:$B,$B666,куб!L:L))))))</f>
        <v>0</v>
      </c>
      <c r="U666" s="27" t="b">
        <f>IF($G666&lt;&gt;0,SUMIF(куб!$G:$G,$G666,куб!M:M),IF($E666&lt;&gt;0,SUMIF(куб!$E:$E,$E666,куб!M:M),IF($D666&lt;&gt;0,SUMIF(куб!$D:$D,$D666,куб!M:M),IF($C666&lt;&gt;0,SUMIF(куб!$C:$C,$C666,куб!M:M),IF($B666&lt;&gt;0,SUMIF(куб!$B:$B,$B666,куб!M:M))))))</f>
        <v>0</v>
      </c>
      <c r="V666" s="13" t="str">
        <f t="shared" si="224"/>
        <v>-</v>
      </c>
      <c r="W666" s="5"/>
      <c r="X666" s="27" t="b">
        <f>IF($G666&lt;&gt;0,SUMIF(куб!$G:$G,$G666,куб!N:N),IF($E666&lt;&gt;0,SUMIF(куб!$E:$E,$E666,куб!N:N),IF($D666&lt;&gt;0,SUMIF(куб!$D:$D,$D666,куб!N:N),IF($C666&lt;&gt;0,SUMIF(куб!$C:$C,$C666,куб!N:N),IF($B666&lt;&gt;0,SUMIF(куб!$B:$B,$B666,куб!N:N))))))</f>
        <v>0</v>
      </c>
      <c r="Y666" s="27" t="b">
        <f>IF($G666&lt;&gt;0,SUMIF(куб!$G:$G,$G666,куб!O:O),IF($E666&lt;&gt;0,SUMIF(куб!$E:$E,$E666,куб!O:O),IF($D666&lt;&gt;0,SUMIF(куб!$D:$D,$D666,куб!O:O),IF($C666&lt;&gt;0,SUMIF(куб!$C:$C,$C666,куб!O:O),IF($B666&lt;&gt;0,SUMIF(куб!$B:$B,$B666,куб!O:O))))))</f>
        <v>0</v>
      </c>
      <c r="Z666" s="13" t="str">
        <f t="shared" si="225"/>
        <v>-</v>
      </c>
      <c r="AA666" s="5"/>
      <c r="AB666" s="33" t="str">
        <f t="shared" si="226"/>
        <v/>
      </c>
      <c r="AC666" s="33" t="str">
        <f t="shared" si="227"/>
        <v/>
      </c>
      <c r="AD666" s="15" t="str">
        <f t="shared" si="228"/>
        <v xml:space="preserve"> </v>
      </c>
      <c r="AE666" s="5"/>
      <c r="AF666" s="27" t="b">
        <f>IF($G666&lt;&gt;0,SUMIF(куб!$G:$G,$G666,куб!R:R),IF($E666&lt;&gt;0,SUMIF(куб!$E:$E,$E666,куб!R:R),IF($D666&lt;&gt;0,SUMIF(куб!$D:$D,$D666,куб!R:R),IF($C666&lt;&gt;0,SUMIF(куб!$C:$C,$C666,куб!R:R),IF($B666&lt;&gt;0,SUMIF(куб!$B:$B,$B666,куб!R:R))))))</f>
        <v>0</v>
      </c>
      <c r="AG666" s="27" t="b">
        <f>IF($G666&lt;&gt;0,SUMIF(куб!$G:$G,$G666,куб!S:S),IF($E666&lt;&gt;0,SUMIF(куб!$E:$E,$E666,куб!S:S),IF($D666&lt;&gt;0,SUMIF(куб!$D:$D,$D666,куб!S:S),IF($C666&lt;&gt;0,SUMIF(куб!$C:$C,$C666,куб!S:S),IF($B666&lt;&gt;0,SUMIF(куб!$B:$B,$B666,куб!S:S))))))</f>
        <v>0</v>
      </c>
      <c r="AH666" s="16" t="str">
        <f t="shared" si="229"/>
        <v>-</v>
      </c>
      <c r="AI666" s="8"/>
      <c r="AJ666" s="27" t="b">
        <f>IF($G666&lt;&gt;0,SUMIF(куб!$G:$G,$G666,куб!T:T),IF($E666&lt;&gt;0,SUMIF(куб!$E:$E,$E666,куб!T:T),IF($D666&lt;&gt;0,SUMIF(куб!$D:$D,$D666,куб!T:T),IF($C666&lt;&gt;0,SUMIF(куб!$C:$C,$C666,куб!T:T),IF($B666&lt;&gt;0,SUMIF(куб!$B:$B,$B666,куб!T:T))))))</f>
        <v>0</v>
      </c>
      <c r="AK666" s="27" t="b">
        <f>IF($G666&lt;&gt;0,SUMIF(куб!$G:$G,$G666,куб!U:U),IF($E666&lt;&gt;0,SUMIF(куб!$E:$E,$E666,куб!U:U),IF($D666&lt;&gt;0,SUMIF(куб!$D:$D,$D666,куб!U:U),IF($C666&lt;&gt;0,SUMIF(куб!$C:$C,$C666,куб!U:U),IF($B666&lt;&gt;0,SUMIF(куб!$B:$B,$B666,куб!U:U))))))</f>
        <v>0</v>
      </c>
      <c r="AL666" s="16" t="str">
        <f t="shared" si="230"/>
        <v>-</v>
      </c>
      <c r="AM666" s="8"/>
      <c r="AN666" s="17" t="str">
        <f t="shared" si="231"/>
        <v xml:space="preserve"> </v>
      </c>
      <c r="AO666" s="17" t="str">
        <f t="shared" si="232"/>
        <v xml:space="preserve"> </v>
      </c>
      <c r="AP666" s="16" t="str">
        <f t="shared" si="233"/>
        <v>-</v>
      </c>
      <c r="AQ666" s="8"/>
      <c r="AR666" s="17" t="str">
        <f t="shared" si="234"/>
        <v>-</v>
      </c>
      <c r="AS666" s="17" t="str">
        <f t="shared" si="235"/>
        <v>-</v>
      </c>
      <c r="AT666" s="13" t="str">
        <f t="shared" si="236"/>
        <v>-</v>
      </c>
      <c r="AU666" s="8"/>
    </row>
    <row r="667" spans="1:47" x14ac:dyDescent="0.25">
      <c r="A667" s="31"/>
      <c r="B667" s="31"/>
      <c r="C667"/>
      <c r="D667" s="31"/>
      <c r="E667" s="31"/>
      <c r="F667" s="31"/>
      <c r="G667" s="31"/>
      <c r="H667" s="27">
        <f>IF($G667&lt;&gt;0,SUMIF(куб!$G:$G,$G667,куб!H:H),IF($E667&lt;&gt;0,SUMIF(куб!$E:$E,$E667,куб!H:H),IF($D667&lt;&gt;0,SUMIF(куб!$D:$D,$D667,куб!H:H),IF($C667&lt;&gt;0,SUMIF(куб!$C:$C,$C667,куб!H:H),IF($B667&lt;&gt;0,SUMIF(куб!$B:$B,$B667,куб!H:H),IF($G667&lt;&gt;0,SUMIF(куб!$A:$A,$G667,куб!H:H),SUMIF(куб!$A:$A,$G667,куб!H:H)))))))</f>
        <v>0</v>
      </c>
      <c r="I667" s="27">
        <f>IF($G667&lt;&gt;0,SUMIF(куб!$G:$G,$G667,куб!I:I),IF($E667&lt;&gt;0,SUMIF(куб!$E:$E,$E667,куб!I:I),IF($D667&lt;&gt;0,SUMIF(куб!$D:$D,$D667,куб!I:I),IF($C667&lt;&gt;0,SUMIF(куб!$C:$C,$C667,куб!I:I),IF($B667&lt;&gt;0,SUMIF(куб!$B:$B,$B667,куб!I:I),IF($G667&lt;&gt;0,SUMIF(куб!$A:$A,$G667,куб!I:I),SUMIF(куб!$A:$A,$G667,куб!I:I)))))))</f>
        <v>0</v>
      </c>
      <c r="J667" s="19" t="str">
        <f t="shared" si="219"/>
        <v>-</v>
      </c>
      <c r="K667" s="8"/>
      <c r="L667" s="17">
        <f t="shared" si="220"/>
        <v>0</v>
      </c>
      <c r="M667" s="17">
        <f t="shared" si="221"/>
        <v>0</v>
      </c>
      <c r="N667" s="12">
        <f t="shared" si="222"/>
        <v>0</v>
      </c>
      <c r="O667" s="5"/>
      <c r="P667" s="27" t="b">
        <f>IF($G667&lt;&gt;0,SUMIF(куб!$G:$G,$G667,куб!J:J),IF($E667&lt;&gt;0,SUMIF(куб!$E:$E,$E667,куб!J:J),IF($D667&lt;&gt;0,SUMIF(куб!$D:$D,$D667,куб!J:J),IF($C667&lt;&gt;0,SUMIF(куб!$C:$C,$C667,куб!J:J),IF($B667&lt;&gt;0,SUMIF(куб!$B:$B,$B667,куб!J:J))))))</f>
        <v>0</v>
      </c>
      <c r="Q667" s="27" t="b">
        <f>IF($G667&lt;&gt;0,SUMIF(куб!$G:$G,$G667,куб!K:K),IF($E667&lt;&gt;0,SUMIF(куб!$E:$E,$E667,куб!K:K),IF($D667&lt;&gt;0,SUMIF(куб!$D:$D,$D667,куб!K:K),IF($C667&lt;&gt;0,SUMIF(куб!$C:$C,$C667,куб!K:K),IF($B667&lt;&gt;0,SUMIF(куб!$B:$B,$B667,куб!K:K))))))</f>
        <v>0</v>
      </c>
      <c r="R667" s="13" t="str">
        <f t="shared" si="223"/>
        <v>-</v>
      </c>
      <c r="S667" s="5"/>
      <c r="T667" s="27" t="b">
        <f>IF($G667&lt;&gt;0,SUMIF(куб!$G:$G,$G667,куб!L:L),IF($E667&lt;&gt;0,SUMIF(куб!$E:$E,$E667,куб!L:L),IF($D667&lt;&gt;0,SUMIF(куб!$D:$D,$D667,куб!L:L),IF($C667&lt;&gt;0,SUMIF(куб!$C:$C,$C667,куб!L:L),IF($B667&lt;&gt;0,SUMIF(куб!$B:$B,$B667,куб!L:L))))))</f>
        <v>0</v>
      </c>
      <c r="U667" s="27" t="b">
        <f>IF($G667&lt;&gt;0,SUMIF(куб!$G:$G,$G667,куб!M:M),IF($E667&lt;&gt;0,SUMIF(куб!$E:$E,$E667,куб!M:M),IF($D667&lt;&gt;0,SUMIF(куб!$D:$D,$D667,куб!M:M),IF($C667&lt;&gt;0,SUMIF(куб!$C:$C,$C667,куб!M:M),IF($B667&lt;&gt;0,SUMIF(куб!$B:$B,$B667,куб!M:M))))))</f>
        <v>0</v>
      </c>
      <c r="V667" s="13" t="str">
        <f t="shared" si="224"/>
        <v>-</v>
      </c>
      <c r="W667" s="5"/>
      <c r="X667" s="27" t="b">
        <f>IF($G667&lt;&gt;0,SUMIF(куб!$G:$G,$G667,куб!N:N),IF($E667&lt;&gt;0,SUMIF(куб!$E:$E,$E667,куб!N:N),IF($D667&lt;&gt;0,SUMIF(куб!$D:$D,$D667,куб!N:N),IF($C667&lt;&gt;0,SUMIF(куб!$C:$C,$C667,куб!N:N),IF($B667&lt;&gt;0,SUMIF(куб!$B:$B,$B667,куб!N:N))))))</f>
        <v>0</v>
      </c>
      <c r="Y667" s="27" t="b">
        <f>IF($G667&lt;&gt;0,SUMIF(куб!$G:$G,$G667,куб!O:O),IF($E667&lt;&gt;0,SUMIF(куб!$E:$E,$E667,куб!O:O),IF($D667&lt;&gt;0,SUMIF(куб!$D:$D,$D667,куб!O:O),IF($C667&lt;&gt;0,SUMIF(куб!$C:$C,$C667,куб!O:O),IF($B667&lt;&gt;0,SUMIF(куб!$B:$B,$B667,куб!O:O))))))</f>
        <v>0</v>
      </c>
      <c r="Z667" s="13" t="str">
        <f t="shared" si="225"/>
        <v>-</v>
      </c>
      <c r="AA667" s="5"/>
      <c r="AB667" s="33" t="str">
        <f t="shared" si="226"/>
        <v/>
      </c>
      <c r="AC667" s="33" t="str">
        <f t="shared" si="227"/>
        <v/>
      </c>
      <c r="AD667" s="15" t="str">
        <f t="shared" si="228"/>
        <v xml:space="preserve"> </v>
      </c>
      <c r="AE667" s="5"/>
      <c r="AF667" s="27" t="b">
        <f>IF($G667&lt;&gt;0,SUMIF(куб!$G:$G,$G667,куб!R:R),IF($E667&lt;&gt;0,SUMIF(куб!$E:$E,$E667,куб!R:R),IF($D667&lt;&gt;0,SUMIF(куб!$D:$D,$D667,куб!R:R),IF($C667&lt;&gt;0,SUMIF(куб!$C:$C,$C667,куб!R:R),IF($B667&lt;&gt;0,SUMIF(куб!$B:$B,$B667,куб!R:R))))))</f>
        <v>0</v>
      </c>
      <c r="AG667" s="27" t="b">
        <f>IF($G667&lt;&gt;0,SUMIF(куб!$G:$G,$G667,куб!S:S),IF($E667&lt;&gt;0,SUMIF(куб!$E:$E,$E667,куб!S:S),IF($D667&lt;&gt;0,SUMIF(куб!$D:$D,$D667,куб!S:S),IF($C667&lt;&gt;0,SUMIF(куб!$C:$C,$C667,куб!S:S),IF($B667&lt;&gt;0,SUMIF(куб!$B:$B,$B667,куб!S:S))))))</f>
        <v>0</v>
      </c>
      <c r="AH667" s="16" t="str">
        <f t="shared" si="229"/>
        <v>-</v>
      </c>
      <c r="AI667" s="8"/>
      <c r="AJ667" s="27" t="b">
        <f>IF($G667&lt;&gt;0,SUMIF(куб!$G:$G,$G667,куб!T:T),IF($E667&lt;&gt;0,SUMIF(куб!$E:$E,$E667,куб!T:T),IF($D667&lt;&gt;0,SUMIF(куб!$D:$D,$D667,куб!T:T),IF($C667&lt;&gt;0,SUMIF(куб!$C:$C,$C667,куб!T:T),IF($B667&lt;&gt;0,SUMIF(куб!$B:$B,$B667,куб!T:T))))))</f>
        <v>0</v>
      </c>
      <c r="AK667" s="27" t="b">
        <f>IF($G667&lt;&gt;0,SUMIF(куб!$G:$G,$G667,куб!U:U),IF($E667&lt;&gt;0,SUMIF(куб!$E:$E,$E667,куб!U:U),IF($D667&lt;&gt;0,SUMIF(куб!$D:$D,$D667,куб!U:U),IF($C667&lt;&gt;0,SUMIF(куб!$C:$C,$C667,куб!U:U),IF($B667&lt;&gt;0,SUMIF(куб!$B:$B,$B667,куб!U:U))))))</f>
        <v>0</v>
      </c>
      <c r="AL667" s="16" t="str">
        <f t="shared" si="230"/>
        <v>-</v>
      </c>
      <c r="AM667" s="8"/>
      <c r="AN667" s="17" t="str">
        <f t="shared" si="231"/>
        <v xml:space="preserve"> </v>
      </c>
      <c r="AO667" s="17" t="str">
        <f t="shared" si="232"/>
        <v xml:space="preserve"> </v>
      </c>
      <c r="AP667" s="16" t="str">
        <f t="shared" si="233"/>
        <v>-</v>
      </c>
      <c r="AQ667" s="8"/>
      <c r="AR667" s="17" t="str">
        <f t="shared" si="234"/>
        <v>-</v>
      </c>
      <c r="AS667" s="17" t="str">
        <f t="shared" si="235"/>
        <v>-</v>
      </c>
      <c r="AT667" s="13" t="str">
        <f t="shared" si="236"/>
        <v>-</v>
      </c>
      <c r="AU667" s="8"/>
    </row>
    <row r="668" spans="1:47" x14ac:dyDescent="0.25">
      <c r="A668" s="31"/>
      <c r="B668" s="31"/>
      <c r="C668"/>
      <c r="D668" s="31"/>
      <c r="E668"/>
      <c r="F668" s="31"/>
      <c r="G668"/>
      <c r="H668" s="27">
        <f>IF($G668&lt;&gt;0,SUMIF(куб!$G:$G,$G668,куб!H:H),IF($E668&lt;&gt;0,SUMIF(куб!$E:$E,$E668,куб!H:H),IF($D668&lt;&gt;0,SUMIF(куб!$D:$D,$D668,куб!H:H),IF($C668&lt;&gt;0,SUMIF(куб!$C:$C,$C668,куб!H:H),IF($B668&lt;&gt;0,SUMIF(куб!$B:$B,$B668,куб!H:H),IF($G668&lt;&gt;0,SUMIF(куб!$A:$A,$G668,куб!H:H),SUMIF(куб!$A:$A,$G668,куб!H:H)))))))</f>
        <v>0</v>
      </c>
      <c r="I668" s="27">
        <f>IF($G668&lt;&gt;0,SUMIF(куб!$G:$G,$G668,куб!I:I),IF($E668&lt;&gt;0,SUMIF(куб!$E:$E,$E668,куб!I:I),IF($D668&lt;&gt;0,SUMIF(куб!$D:$D,$D668,куб!I:I),IF($C668&lt;&gt;0,SUMIF(куб!$C:$C,$C668,куб!I:I),IF($B668&lt;&gt;0,SUMIF(куб!$B:$B,$B668,куб!I:I),IF($G668&lt;&gt;0,SUMIF(куб!$A:$A,$G668,куб!I:I),SUMIF(куб!$A:$A,$G668,куб!I:I)))))))</f>
        <v>0</v>
      </c>
      <c r="J668" s="19" t="str">
        <f t="shared" si="219"/>
        <v>-</v>
      </c>
      <c r="K668" s="8"/>
      <c r="L668" s="17">
        <f t="shared" si="220"/>
        <v>0</v>
      </c>
      <c r="M668" s="17">
        <f t="shared" si="221"/>
        <v>0</v>
      </c>
      <c r="N668" s="12">
        <f t="shared" si="222"/>
        <v>0</v>
      </c>
      <c r="O668" s="5"/>
      <c r="P668" s="27" t="b">
        <f>IF($G668&lt;&gt;0,SUMIF(куб!$G:$G,$G668,куб!J:J),IF($E668&lt;&gt;0,SUMIF(куб!$E:$E,$E668,куб!J:J),IF($D668&lt;&gt;0,SUMIF(куб!$D:$D,$D668,куб!J:J),IF($C668&lt;&gt;0,SUMIF(куб!$C:$C,$C668,куб!J:J),IF($B668&lt;&gt;0,SUMIF(куб!$B:$B,$B668,куб!J:J))))))</f>
        <v>0</v>
      </c>
      <c r="Q668" s="27" t="b">
        <f>IF($G668&lt;&gt;0,SUMIF(куб!$G:$G,$G668,куб!K:K),IF($E668&lt;&gt;0,SUMIF(куб!$E:$E,$E668,куб!K:K),IF($D668&lt;&gt;0,SUMIF(куб!$D:$D,$D668,куб!K:K),IF($C668&lt;&gt;0,SUMIF(куб!$C:$C,$C668,куб!K:K),IF($B668&lt;&gt;0,SUMIF(куб!$B:$B,$B668,куб!K:K))))))</f>
        <v>0</v>
      </c>
      <c r="R668" s="13" t="str">
        <f t="shared" si="223"/>
        <v>-</v>
      </c>
      <c r="S668" s="5"/>
      <c r="T668" s="27" t="b">
        <f>IF($G668&lt;&gt;0,SUMIF(куб!$G:$G,$G668,куб!L:L),IF($E668&lt;&gt;0,SUMIF(куб!$E:$E,$E668,куб!L:L),IF($D668&lt;&gt;0,SUMIF(куб!$D:$D,$D668,куб!L:L),IF($C668&lt;&gt;0,SUMIF(куб!$C:$C,$C668,куб!L:L),IF($B668&lt;&gt;0,SUMIF(куб!$B:$B,$B668,куб!L:L))))))</f>
        <v>0</v>
      </c>
      <c r="U668" s="27" t="b">
        <f>IF($G668&lt;&gt;0,SUMIF(куб!$G:$G,$G668,куб!M:M),IF($E668&lt;&gt;0,SUMIF(куб!$E:$E,$E668,куб!M:M),IF($D668&lt;&gt;0,SUMIF(куб!$D:$D,$D668,куб!M:M),IF($C668&lt;&gt;0,SUMIF(куб!$C:$C,$C668,куб!M:M),IF($B668&lt;&gt;0,SUMIF(куб!$B:$B,$B668,куб!M:M))))))</f>
        <v>0</v>
      </c>
      <c r="V668" s="13" t="str">
        <f t="shared" si="224"/>
        <v>-</v>
      </c>
      <c r="W668" s="5"/>
      <c r="X668" s="27" t="b">
        <f>IF($G668&lt;&gt;0,SUMIF(куб!$G:$G,$G668,куб!N:N),IF($E668&lt;&gt;0,SUMIF(куб!$E:$E,$E668,куб!N:N),IF($D668&lt;&gt;0,SUMIF(куб!$D:$D,$D668,куб!N:N),IF($C668&lt;&gt;0,SUMIF(куб!$C:$C,$C668,куб!N:N),IF($B668&lt;&gt;0,SUMIF(куб!$B:$B,$B668,куб!N:N))))))</f>
        <v>0</v>
      </c>
      <c r="Y668" s="27" t="b">
        <f>IF($G668&lt;&gt;0,SUMIF(куб!$G:$G,$G668,куб!O:O),IF($E668&lt;&gt;0,SUMIF(куб!$E:$E,$E668,куб!O:O),IF($D668&lt;&gt;0,SUMIF(куб!$D:$D,$D668,куб!O:O),IF($C668&lt;&gt;0,SUMIF(куб!$C:$C,$C668,куб!O:O),IF($B668&lt;&gt;0,SUMIF(куб!$B:$B,$B668,куб!O:O))))))</f>
        <v>0</v>
      </c>
      <c r="Z668" s="13" t="str">
        <f t="shared" si="225"/>
        <v>-</v>
      </c>
      <c r="AA668" s="5"/>
      <c r="AB668" s="33" t="str">
        <f t="shared" si="226"/>
        <v/>
      </c>
      <c r="AC668" s="33" t="str">
        <f t="shared" si="227"/>
        <v/>
      </c>
      <c r="AD668" s="15" t="str">
        <f t="shared" si="228"/>
        <v xml:space="preserve"> </v>
      </c>
      <c r="AE668" s="5"/>
      <c r="AF668" s="27" t="b">
        <f>IF($G668&lt;&gt;0,SUMIF(куб!$G:$G,$G668,куб!R:R),IF($E668&lt;&gt;0,SUMIF(куб!$E:$E,$E668,куб!R:R),IF($D668&lt;&gt;0,SUMIF(куб!$D:$D,$D668,куб!R:R),IF($C668&lt;&gt;0,SUMIF(куб!$C:$C,$C668,куб!R:R),IF($B668&lt;&gt;0,SUMIF(куб!$B:$B,$B668,куб!R:R))))))</f>
        <v>0</v>
      </c>
      <c r="AG668" s="27" t="b">
        <f>IF($G668&lt;&gt;0,SUMIF(куб!$G:$G,$G668,куб!S:S),IF($E668&lt;&gt;0,SUMIF(куб!$E:$E,$E668,куб!S:S),IF($D668&lt;&gt;0,SUMIF(куб!$D:$D,$D668,куб!S:S),IF($C668&lt;&gt;0,SUMIF(куб!$C:$C,$C668,куб!S:S),IF($B668&lt;&gt;0,SUMIF(куб!$B:$B,$B668,куб!S:S))))))</f>
        <v>0</v>
      </c>
      <c r="AH668" s="16" t="str">
        <f t="shared" si="229"/>
        <v>-</v>
      </c>
      <c r="AI668" s="8"/>
      <c r="AJ668" s="27" t="b">
        <f>IF($G668&lt;&gt;0,SUMIF(куб!$G:$G,$G668,куб!T:T),IF($E668&lt;&gt;0,SUMIF(куб!$E:$E,$E668,куб!T:T),IF($D668&lt;&gt;0,SUMIF(куб!$D:$D,$D668,куб!T:T),IF($C668&lt;&gt;0,SUMIF(куб!$C:$C,$C668,куб!T:T),IF($B668&lt;&gt;0,SUMIF(куб!$B:$B,$B668,куб!T:T))))))</f>
        <v>0</v>
      </c>
      <c r="AK668" s="27" t="b">
        <f>IF($G668&lt;&gt;0,SUMIF(куб!$G:$G,$G668,куб!U:U),IF($E668&lt;&gt;0,SUMIF(куб!$E:$E,$E668,куб!U:U),IF($D668&lt;&gt;0,SUMIF(куб!$D:$D,$D668,куб!U:U),IF($C668&lt;&gt;0,SUMIF(куб!$C:$C,$C668,куб!U:U),IF($B668&lt;&gt;0,SUMIF(куб!$B:$B,$B668,куб!U:U))))))</f>
        <v>0</v>
      </c>
      <c r="AL668" s="16" t="str">
        <f t="shared" si="230"/>
        <v>-</v>
      </c>
      <c r="AM668" s="8"/>
      <c r="AN668" s="17" t="str">
        <f t="shared" si="231"/>
        <v xml:space="preserve"> </v>
      </c>
      <c r="AO668" s="17" t="str">
        <f t="shared" si="232"/>
        <v xml:space="preserve"> </v>
      </c>
      <c r="AP668" s="16" t="str">
        <f t="shared" si="233"/>
        <v>-</v>
      </c>
      <c r="AQ668" s="8"/>
      <c r="AR668" s="17" t="str">
        <f t="shared" si="234"/>
        <v>-</v>
      </c>
      <c r="AS668" s="17" t="str">
        <f t="shared" si="235"/>
        <v>-</v>
      </c>
      <c r="AT668" s="13" t="str">
        <f t="shared" si="236"/>
        <v>-</v>
      </c>
      <c r="AU668" s="8"/>
    </row>
    <row r="669" spans="1:47" x14ac:dyDescent="0.25">
      <c r="A669" s="31"/>
      <c r="B669" s="31"/>
      <c r="C669"/>
      <c r="D669" s="31"/>
      <c r="E669"/>
      <c r="F669" s="31"/>
      <c r="G669"/>
      <c r="H669" s="27">
        <f>IF($G669&lt;&gt;0,SUMIF(куб!$G:$G,$G669,куб!H:H),IF($E669&lt;&gt;0,SUMIF(куб!$E:$E,$E669,куб!H:H),IF($D669&lt;&gt;0,SUMIF(куб!$D:$D,$D669,куб!H:H),IF($C669&lt;&gt;0,SUMIF(куб!$C:$C,$C669,куб!H:H),IF($B669&lt;&gt;0,SUMIF(куб!$B:$B,$B669,куб!H:H),IF($G669&lt;&gt;0,SUMIF(куб!$A:$A,$G669,куб!H:H),SUMIF(куб!$A:$A,$G669,куб!H:H)))))))</f>
        <v>0</v>
      </c>
      <c r="I669" s="27">
        <f>IF($G669&lt;&gt;0,SUMIF(куб!$G:$G,$G669,куб!I:I),IF($E669&lt;&gt;0,SUMIF(куб!$E:$E,$E669,куб!I:I),IF($D669&lt;&gt;0,SUMIF(куб!$D:$D,$D669,куб!I:I),IF($C669&lt;&gt;0,SUMIF(куб!$C:$C,$C669,куб!I:I),IF($B669&lt;&gt;0,SUMIF(куб!$B:$B,$B669,куб!I:I),IF($G669&lt;&gt;0,SUMIF(куб!$A:$A,$G669,куб!I:I),SUMIF(куб!$A:$A,$G669,куб!I:I)))))))</f>
        <v>0</v>
      </c>
      <c r="J669" s="19" t="str">
        <f t="shared" si="219"/>
        <v>-</v>
      </c>
      <c r="K669" s="8"/>
      <c r="L669" s="17">
        <f t="shared" si="220"/>
        <v>0</v>
      </c>
      <c r="M669" s="17">
        <f t="shared" si="221"/>
        <v>0</v>
      </c>
      <c r="N669" s="12">
        <f t="shared" si="222"/>
        <v>0</v>
      </c>
      <c r="O669" s="5"/>
      <c r="P669" s="27" t="b">
        <f>IF($G669&lt;&gt;0,SUMIF(куб!$G:$G,$G669,куб!J:J),IF($E669&lt;&gt;0,SUMIF(куб!$E:$E,$E669,куб!J:J),IF($D669&lt;&gt;0,SUMIF(куб!$D:$D,$D669,куб!J:J),IF($C669&lt;&gt;0,SUMIF(куб!$C:$C,$C669,куб!J:J),IF($B669&lt;&gt;0,SUMIF(куб!$B:$B,$B669,куб!J:J))))))</f>
        <v>0</v>
      </c>
      <c r="Q669" s="27" t="b">
        <f>IF($G669&lt;&gt;0,SUMIF(куб!$G:$G,$G669,куб!K:K),IF($E669&lt;&gt;0,SUMIF(куб!$E:$E,$E669,куб!K:K),IF($D669&lt;&gt;0,SUMIF(куб!$D:$D,$D669,куб!K:K),IF($C669&lt;&gt;0,SUMIF(куб!$C:$C,$C669,куб!K:K),IF($B669&lt;&gt;0,SUMIF(куб!$B:$B,$B669,куб!K:K))))))</f>
        <v>0</v>
      </c>
      <c r="R669" s="13" t="str">
        <f t="shared" si="223"/>
        <v>-</v>
      </c>
      <c r="S669" s="5"/>
      <c r="T669" s="27" t="b">
        <f>IF($G669&lt;&gt;0,SUMIF(куб!$G:$G,$G669,куб!L:L),IF($E669&lt;&gt;0,SUMIF(куб!$E:$E,$E669,куб!L:L),IF($D669&lt;&gt;0,SUMIF(куб!$D:$D,$D669,куб!L:L),IF($C669&lt;&gt;0,SUMIF(куб!$C:$C,$C669,куб!L:L),IF($B669&lt;&gt;0,SUMIF(куб!$B:$B,$B669,куб!L:L))))))</f>
        <v>0</v>
      </c>
      <c r="U669" s="27" t="b">
        <f>IF($G669&lt;&gt;0,SUMIF(куб!$G:$G,$G669,куб!M:M),IF($E669&lt;&gt;0,SUMIF(куб!$E:$E,$E669,куб!M:M),IF($D669&lt;&gt;0,SUMIF(куб!$D:$D,$D669,куб!M:M),IF($C669&lt;&gt;0,SUMIF(куб!$C:$C,$C669,куб!M:M),IF($B669&lt;&gt;0,SUMIF(куб!$B:$B,$B669,куб!M:M))))))</f>
        <v>0</v>
      </c>
      <c r="V669" s="13" t="str">
        <f t="shared" si="224"/>
        <v>-</v>
      </c>
      <c r="W669" s="5"/>
      <c r="X669" s="27" t="b">
        <f>IF($G669&lt;&gt;0,SUMIF(куб!$G:$G,$G669,куб!N:N),IF($E669&lt;&gt;0,SUMIF(куб!$E:$E,$E669,куб!N:N),IF($D669&lt;&gt;0,SUMIF(куб!$D:$D,$D669,куб!N:N),IF($C669&lt;&gt;0,SUMIF(куб!$C:$C,$C669,куб!N:N),IF($B669&lt;&gt;0,SUMIF(куб!$B:$B,$B669,куб!N:N))))))</f>
        <v>0</v>
      </c>
      <c r="Y669" s="27" t="b">
        <f>IF($G669&lt;&gt;0,SUMIF(куб!$G:$G,$G669,куб!O:O),IF($E669&lt;&gt;0,SUMIF(куб!$E:$E,$E669,куб!O:O),IF($D669&lt;&gt;0,SUMIF(куб!$D:$D,$D669,куб!O:O),IF($C669&lt;&gt;0,SUMIF(куб!$C:$C,$C669,куб!O:O),IF($B669&lt;&gt;0,SUMIF(куб!$B:$B,$B669,куб!O:O))))))</f>
        <v>0</v>
      </c>
      <c r="Z669" s="13" t="str">
        <f t="shared" si="225"/>
        <v>-</v>
      </c>
      <c r="AA669" s="5"/>
      <c r="AB669" s="33" t="str">
        <f t="shared" si="226"/>
        <v/>
      </c>
      <c r="AC669" s="33" t="str">
        <f t="shared" si="227"/>
        <v/>
      </c>
      <c r="AD669" s="15" t="str">
        <f t="shared" si="228"/>
        <v xml:space="preserve"> </v>
      </c>
      <c r="AE669" s="5"/>
      <c r="AF669" s="27" t="b">
        <f>IF($G669&lt;&gt;0,SUMIF(куб!$G:$G,$G669,куб!R:R),IF($E669&lt;&gt;0,SUMIF(куб!$E:$E,$E669,куб!R:R),IF($D669&lt;&gt;0,SUMIF(куб!$D:$D,$D669,куб!R:R),IF($C669&lt;&gt;0,SUMIF(куб!$C:$C,$C669,куб!R:R),IF($B669&lt;&gt;0,SUMIF(куб!$B:$B,$B669,куб!R:R))))))</f>
        <v>0</v>
      </c>
      <c r="AG669" s="27" t="b">
        <f>IF($G669&lt;&gt;0,SUMIF(куб!$G:$G,$G669,куб!S:S),IF($E669&lt;&gt;0,SUMIF(куб!$E:$E,$E669,куб!S:S),IF($D669&lt;&gt;0,SUMIF(куб!$D:$D,$D669,куб!S:S),IF($C669&lt;&gt;0,SUMIF(куб!$C:$C,$C669,куб!S:S),IF($B669&lt;&gt;0,SUMIF(куб!$B:$B,$B669,куб!S:S))))))</f>
        <v>0</v>
      </c>
      <c r="AH669" s="16" t="str">
        <f t="shared" si="229"/>
        <v>-</v>
      </c>
      <c r="AI669" s="8"/>
      <c r="AJ669" s="27" t="b">
        <f>IF($G669&lt;&gt;0,SUMIF(куб!$G:$G,$G669,куб!T:T),IF($E669&lt;&gt;0,SUMIF(куб!$E:$E,$E669,куб!T:T),IF($D669&lt;&gt;0,SUMIF(куб!$D:$D,$D669,куб!T:T),IF($C669&lt;&gt;0,SUMIF(куб!$C:$C,$C669,куб!T:T),IF($B669&lt;&gt;0,SUMIF(куб!$B:$B,$B669,куб!T:T))))))</f>
        <v>0</v>
      </c>
      <c r="AK669" s="27" t="b">
        <f>IF($G669&lt;&gt;0,SUMIF(куб!$G:$G,$G669,куб!U:U),IF($E669&lt;&gt;0,SUMIF(куб!$E:$E,$E669,куб!U:U),IF($D669&lt;&gt;0,SUMIF(куб!$D:$D,$D669,куб!U:U),IF($C669&lt;&gt;0,SUMIF(куб!$C:$C,$C669,куб!U:U),IF($B669&lt;&gt;0,SUMIF(куб!$B:$B,$B669,куб!U:U))))))</f>
        <v>0</v>
      </c>
      <c r="AL669" s="16" t="str">
        <f t="shared" si="230"/>
        <v>-</v>
      </c>
      <c r="AM669" s="8"/>
      <c r="AN669" s="17" t="str">
        <f t="shared" si="231"/>
        <v xml:space="preserve"> </v>
      </c>
      <c r="AO669" s="17" t="str">
        <f t="shared" si="232"/>
        <v xml:space="preserve"> </v>
      </c>
      <c r="AP669" s="16" t="str">
        <f t="shared" si="233"/>
        <v>-</v>
      </c>
      <c r="AQ669" s="8"/>
      <c r="AR669" s="17" t="str">
        <f t="shared" si="234"/>
        <v>-</v>
      </c>
      <c r="AS669" s="17" t="str">
        <f t="shared" si="235"/>
        <v>-</v>
      </c>
      <c r="AT669" s="13" t="str">
        <f t="shared" si="236"/>
        <v>-</v>
      </c>
      <c r="AU669" s="8"/>
    </row>
    <row r="670" spans="1:47" x14ac:dyDescent="0.25">
      <c r="A670" s="31"/>
      <c r="B670" s="31"/>
      <c r="C670"/>
      <c r="D670" s="31"/>
      <c r="E670"/>
      <c r="F670" s="31"/>
      <c r="G670"/>
      <c r="H670" s="27">
        <f>IF($G670&lt;&gt;0,SUMIF(куб!$G:$G,$G670,куб!H:H),IF($E670&lt;&gt;0,SUMIF(куб!$E:$E,$E670,куб!H:H),IF($D670&lt;&gt;0,SUMIF(куб!$D:$D,$D670,куб!H:H),IF($C670&lt;&gt;0,SUMIF(куб!$C:$C,$C670,куб!H:H),IF($B670&lt;&gt;0,SUMIF(куб!$B:$B,$B670,куб!H:H),IF($G670&lt;&gt;0,SUMIF(куб!$A:$A,$G670,куб!H:H),SUMIF(куб!$A:$A,$G670,куб!H:H)))))))</f>
        <v>0</v>
      </c>
      <c r="I670" s="27">
        <f>IF($G670&lt;&gt;0,SUMIF(куб!$G:$G,$G670,куб!I:I),IF($E670&lt;&gt;0,SUMIF(куб!$E:$E,$E670,куб!I:I),IF($D670&lt;&gt;0,SUMIF(куб!$D:$D,$D670,куб!I:I),IF($C670&lt;&gt;0,SUMIF(куб!$C:$C,$C670,куб!I:I),IF($B670&lt;&gt;0,SUMIF(куб!$B:$B,$B670,куб!I:I),IF($G670&lt;&gt;0,SUMIF(куб!$A:$A,$G670,куб!I:I),SUMIF(куб!$A:$A,$G670,куб!I:I)))))))</f>
        <v>0</v>
      </c>
      <c r="J670" s="19" t="str">
        <f t="shared" si="219"/>
        <v>-</v>
      </c>
      <c r="K670" s="8"/>
      <c r="L670" s="17">
        <f t="shared" si="220"/>
        <v>0</v>
      </c>
      <c r="M670" s="17">
        <f t="shared" si="221"/>
        <v>0</v>
      </c>
      <c r="N670" s="12">
        <f t="shared" si="222"/>
        <v>0</v>
      </c>
      <c r="O670" s="5"/>
      <c r="P670" s="27" t="b">
        <f>IF($G670&lt;&gt;0,SUMIF(куб!$G:$G,$G670,куб!J:J),IF($E670&lt;&gt;0,SUMIF(куб!$E:$E,$E670,куб!J:J),IF($D670&lt;&gt;0,SUMIF(куб!$D:$D,$D670,куб!J:J),IF($C670&lt;&gt;0,SUMIF(куб!$C:$C,$C670,куб!J:J),IF($B670&lt;&gt;0,SUMIF(куб!$B:$B,$B670,куб!J:J))))))</f>
        <v>0</v>
      </c>
      <c r="Q670" s="27" t="b">
        <f>IF($G670&lt;&gt;0,SUMIF(куб!$G:$G,$G670,куб!K:K),IF($E670&lt;&gt;0,SUMIF(куб!$E:$E,$E670,куб!K:K),IF($D670&lt;&gt;0,SUMIF(куб!$D:$D,$D670,куб!K:K),IF($C670&lt;&gt;0,SUMIF(куб!$C:$C,$C670,куб!K:K),IF($B670&lt;&gt;0,SUMIF(куб!$B:$B,$B670,куб!K:K))))))</f>
        <v>0</v>
      </c>
      <c r="R670" s="13" t="str">
        <f t="shared" si="223"/>
        <v>-</v>
      </c>
      <c r="S670" s="5"/>
      <c r="T670" s="27" t="b">
        <f>IF($G670&lt;&gt;0,SUMIF(куб!$G:$G,$G670,куб!L:L),IF($E670&lt;&gt;0,SUMIF(куб!$E:$E,$E670,куб!L:L),IF($D670&lt;&gt;0,SUMIF(куб!$D:$D,$D670,куб!L:L),IF($C670&lt;&gt;0,SUMIF(куб!$C:$C,$C670,куб!L:L),IF($B670&lt;&gt;0,SUMIF(куб!$B:$B,$B670,куб!L:L))))))</f>
        <v>0</v>
      </c>
      <c r="U670" s="27" t="b">
        <f>IF($G670&lt;&gt;0,SUMIF(куб!$G:$G,$G670,куб!M:M),IF($E670&lt;&gt;0,SUMIF(куб!$E:$E,$E670,куб!M:M),IF($D670&lt;&gt;0,SUMIF(куб!$D:$D,$D670,куб!M:M),IF($C670&lt;&gt;0,SUMIF(куб!$C:$C,$C670,куб!M:M),IF($B670&lt;&gt;0,SUMIF(куб!$B:$B,$B670,куб!M:M))))))</f>
        <v>0</v>
      </c>
      <c r="V670" s="13" t="str">
        <f t="shared" si="224"/>
        <v>-</v>
      </c>
      <c r="W670" s="5"/>
      <c r="X670" s="27" t="b">
        <f>IF($G670&lt;&gt;0,SUMIF(куб!$G:$G,$G670,куб!N:N),IF($E670&lt;&gt;0,SUMIF(куб!$E:$E,$E670,куб!N:N),IF($D670&lt;&gt;0,SUMIF(куб!$D:$D,$D670,куб!N:N),IF($C670&lt;&gt;0,SUMIF(куб!$C:$C,$C670,куб!N:N),IF($B670&lt;&gt;0,SUMIF(куб!$B:$B,$B670,куб!N:N))))))</f>
        <v>0</v>
      </c>
      <c r="Y670" s="27" t="b">
        <f>IF($G670&lt;&gt;0,SUMIF(куб!$G:$G,$G670,куб!O:O),IF($E670&lt;&gt;0,SUMIF(куб!$E:$E,$E670,куб!O:O),IF($D670&lt;&gt;0,SUMIF(куб!$D:$D,$D670,куб!O:O),IF($C670&lt;&gt;0,SUMIF(куб!$C:$C,$C670,куб!O:O),IF($B670&lt;&gt;0,SUMIF(куб!$B:$B,$B670,куб!O:O))))))</f>
        <v>0</v>
      </c>
      <c r="Z670" s="13" t="str">
        <f t="shared" si="225"/>
        <v>-</v>
      </c>
      <c r="AA670" s="5"/>
      <c r="AB670" s="33" t="str">
        <f t="shared" si="226"/>
        <v/>
      </c>
      <c r="AC670" s="33" t="str">
        <f t="shared" si="227"/>
        <v/>
      </c>
      <c r="AD670" s="15" t="str">
        <f t="shared" si="228"/>
        <v xml:space="preserve"> </v>
      </c>
      <c r="AE670" s="5"/>
      <c r="AF670" s="27" t="b">
        <f>IF($G670&lt;&gt;0,SUMIF(куб!$G:$G,$G670,куб!R:R),IF($E670&lt;&gt;0,SUMIF(куб!$E:$E,$E670,куб!R:R),IF($D670&lt;&gt;0,SUMIF(куб!$D:$D,$D670,куб!R:R),IF($C670&lt;&gt;0,SUMIF(куб!$C:$C,$C670,куб!R:R),IF($B670&lt;&gt;0,SUMIF(куб!$B:$B,$B670,куб!R:R))))))</f>
        <v>0</v>
      </c>
      <c r="AG670" s="27" t="b">
        <f>IF($G670&lt;&gt;0,SUMIF(куб!$G:$G,$G670,куб!S:S),IF($E670&lt;&gt;0,SUMIF(куб!$E:$E,$E670,куб!S:S),IF($D670&lt;&gt;0,SUMIF(куб!$D:$D,$D670,куб!S:S),IF($C670&lt;&gt;0,SUMIF(куб!$C:$C,$C670,куб!S:S),IF($B670&lt;&gt;0,SUMIF(куб!$B:$B,$B670,куб!S:S))))))</f>
        <v>0</v>
      </c>
      <c r="AH670" s="16" t="str">
        <f t="shared" si="229"/>
        <v>-</v>
      </c>
      <c r="AI670" s="8"/>
      <c r="AJ670" s="27" t="b">
        <f>IF($G670&lt;&gt;0,SUMIF(куб!$G:$G,$G670,куб!T:T),IF($E670&lt;&gt;0,SUMIF(куб!$E:$E,$E670,куб!T:T),IF($D670&lt;&gt;0,SUMIF(куб!$D:$D,$D670,куб!T:T),IF($C670&lt;&gt;0,SUMIF(куб!$C:$C,$C670,куб!T:T),IF($B670&lt;&gt;0,SUMIF(куб!$B:$B,$B670,куб!T:T))))))</f>
        <v>0</v>
      </c>
      <c r="AK670" s="27" t="b">
        <f>IF($G670&lt;&gt;0,SUMIF(куб!$G:$G,$G670,куб!U:U),IF($E670&lt;&gt;0,SUMIF(куб!$E:$E,$E670,куб!U:U),IF($D670&lt;&gt;0,SUMIF(куб!$D:$D,$D670,куб!U:U),IF($C670&lt;&gt;0,SUMIF(куб!$C:$C,$C670,куб!U:U),IF($B670&lt;&gt;0,SUMIF(куб!$B:$B,$B670,куб!U:U))))))</f>
        <v>0</v>
      </c>
      <c r="AL670" s="16" t="str">
        <f t="shared" si="230"/>
        <v>-</v>
      </c>
      <c r="AM670" s="8"/>
      <c r="AN670" s="17" t="str">
        <f t="shared" si="231"/>
        <v xml:space="preserve"> </v>
      </c>
      <c r="AO670" s="17" t="str">
        <f t="shared" si="232"/>
        <v xml:space="preserve"> </v>
      </c>
      <c r="AP670" s="16" t="str">
        <f t="shared" si="233"/>
        <v>-</v>
      </c>
      <c r="AQ670" s="8"/>
      <c r="AR670" s="17" t="str">
        <f t="shared" si="234"/>
        <v>-</v>
      </c>
      <c r="AS670" s="17" t="str">
        <f t="shared" si="235"/>
        <v>-</v>
      </c>
      <c r="AT670" s="13" t="str">
        <f t="shared" si="236"/>
        <v>-</v>
      </c>
      <c r="AU670" s="8"/>
    </row>
    <row r="671" spans="1:47" x14ac:dyDescent="0.25">
      <c r="A671" s="31"/>
      <c r="B671" s="31"/>
      <c r="C671"/>
      <c r="D671" s="31"/>
      <c r="E671"/>
      <c r="F671" s="31"/>
      <c r="G671"/>
      <c r="H671" s="27">
        <f>IF($G671&lt;&gt;0,SUMIF(куб!$G:$G,$G671,куб!H:H),IF($E671&lt;&gt;0,SUMIF(куб!$E:$E,$E671,куб!H:H),IF($D671&lt;&gt;0,SUMIF(куб!$D:$D,$D671,куб!H:H),IF($C671&lt;&gt;0,SUMIF(куб!$C:$C,$C671,куб!H:H),IF($B671&lt;&gt;0,SUMIF(куб!$B:$B,$B671,куб!H:H),IF($G671&lt;&gt;0,SUMIF(куб!$A:$A,$G671,куб!H:H),SUMIF(куб!$A:$A,$G671,куб!H:H)))))))</f>
        <v>0</v>
      </c>
      <c r="I671" s="27">
        <f>IF($G671&lt;&gt;0,SUMIF(куб!$G:$G,$G671,куб!I:I),IF($E671&lt;&gt;0,SUMIF(куб!$E:$E,$E671,куб!I:I),IF($D671&lt;&gt;0,SUMIF(куб!$D:$D,$D671,куб!I:I),IF($C671&lt;&gt;0,SUMIF(куб!$C:$C,$C671,куб!I:I),IF($B671&lt;&gt;0,SUMIF(куб!$B:$B,$B671,куб!I:I),IF($G671&lt;&gt;0,SUMIF(куб!$A:$A,$G671,куб!I:I),SUMIF(куб!$A:$A,$G671,куб!I:I)))))))</f>
        <v>0</v>
      </c>
      <c r="J671" s="19" t="str">
        <f t="shared" si="219"/>
        <v>-</v>
      </c>
      <c r="K671" s="8"/>
      <c r="L671" s="17">
        <f t="shared" si="220"/>
        <v>0</v>
      </c>
      <c r="M671" s="17">
        <f t="shared" si="221"/>
        <v>0</v>
      </c>
      <c r="N671" s="12">
        <f t="shared" si="222"/>
        <v>0</v>
      </c>
      <c r="O671" s="5"/>
      <c r="P671" s="27" t="b">
        <f>IF($G671&lt;&gt;0,SUMIF(куб!$G:$G,$G671,куб!J:J),IF($E671&lt;&gt;0,SUMIF(куб!$E:$E,$E671,куб!J:J),IF($D671&lt;&gt;0,SUMIF(куб!$D:$D,$D671,куб!J:J),IF($C671&lt;&gt;0,SUMIF(куб!$C:$C,$C671,куб!J:J),IF($B671&lt;&gt;0,SUMIF(куб!$B:$B,$B671,куб!J:J))))))</f>
        <v>0</v>
      </c>
      <c r="Q671" s="27" t="b">
        <f>IF($G671&lt;&gt;0,SUMIF(куб!$G:$G,$G671,куб!K:K),IF($E671&lt;&gt;0,SUMIF(куб!$E:$E,$E671,куб!K:K),IF($D671&lt;&gt;0,SUMIF(куб!$D:$D,$D671,куб!K:K),IF($C671&lt;&gt;0,SUMIF(куб!$C:$C,$C671,куб!K:K),IF($B671&lt;&gt;0,SUMIF(куб!$B:$B,$B671,куб!K:K))))))</f>
        <v>0</v>
      </c>
      <c r="R671" s="13" t="str">
        <f t="shared" si="223"/>
        <v>-</v>
      </c>
      <c r="S671" s="5"/>
      <c r="T671" s="27" t="b">
        <f>IF($G671&lt;&gt;0,SUMIF(куб!$G:$G,$G671,куб!L:L),IF($E671&lt;&gt;0,SUMIF(куб!$E:$E,$E671,куб!L:L),IF($D671&lt;&gt;0,SUMIF(куб!$D:$D,$D671,куб!L:L),IF($C671&lt;&gt;0,SUMIF(куб!$C:$C,$C671,куб!L:L),IF($B671&lt;&gt;0,SUMIF(куб!$B:$B,$B671,куб!L:L))))))</f>
        <v>0</v>
      </c>
      <c r="U671" s="27" t="b">
        <f>IF($G671&lt;&gt;0,SUMIF(куб!$G:$G,$G671,куб!M:M),IF($E671&lt;&gt;0,SUMIF(куб!$E:$E,$E671,куб!M:M),IF($D671&lt;&gt;0,SUMIF(куб!$D:$D,$D671,куб!M:M),IF($C671&lt;&gt;0,SUMIF(куб!$C:$C,$C671,куб!M:M),IF($B671&lt;&gt;0,SUMIF(куб!$B:$B,$B671,куб!M:M))))))</f>
        <v>0</v>
      </c>
      <c r="V671" s="13" t="str">
        <f t="shared" si="224"/>
        <v>-</v>
      </c>
      <c r="W671" s="5"/>
      <c r="X671" s="27" t="b">
        <f>IF($G671&lt;&gt;0,SUMIF(куб!$G:$G,$G671,куб!N:N),IF($E671&lt;&gt;0,SUMIF(куб!$E:$E,$E671,куб!N:N),IF($D671&lt;&gt;0,SUMIF(куб!$D:$D,$D671,куб!N:N),IF($C671&lt;&gt;0,SUMIF(куб!$C:$C,$C671,куб!N:N),IF($B671&lt;&gt;0,SUMIF(куб!$B:$B,$B671,куб!N:N))))))</f>
        <v>0</v>
      </c>
      <c r="Y671" s="27" t="b">
        <f>IF($G671&lt;&gt;0,SUMIF(куб!$G:$G,$G671,куб!O:O),IF($E671&lt;&gt;0,SUMIF(куб!$E:$E,$E671,куб!O:O),IF($D671&lt;&gt;0,SUMIF(куб!$D:$D,$D671,куб!O:O),IF($C671&lt;&gt;0,SUMIF(куб!$C:$C,$C671,куб!O:O),IF($B671&lt;&gt;0,SUMIF(куб!$B:$B,$B671,куб!O:O))))))</f>
        <v>0</v>
      </c>
      <c r="Z671" s="13" t="str">
        <f t="shared" si="225"/>
        <v>-</v>
      </c>
      <c r="AA671" s="5"/>
      <c r="AB671" s="33" t="str">
        <f t="shared" si="226"/>
        <v/>
      </c>
      <c r="AC671" s="33" t="str">
        <f t="shared" si="227"/>
        <v/>
      </c>
      <c r="AD671" s="15" t="str">
        <f t="shared" si="228"/>
        <v xml:space="preserve"> </v>
      </c>
      <c r="AE671" s="5"/>
      <c r="AF671" s="27" t="b">
        <f>IF($G671&lt;&gt;0,SUMIF(куб!$G:$G,$G671,куб!R:R),IF($E671&lt;&gt;0,SUMIF(куб!$E:$E,$E671,куб!R:R),IF($D671&lt;&gt;0,SUMIF(куб!$D:$D,$D671,куб!R:R),IF($C671&lt;&gt;0,SUMIF(куб!$C:$C,$C671,куб!R:R),IF($B671&lt;&gt;0,SUMIF(куб!$B:$B,$B671,куб!R:R))))))</f>
        <v>0</v>
      </c>
      <c r="AG671" s="27" t="b">
        <f>IF($G671&lt;&gt;0,SUMIF(куб!$G:$G,$G671,куб!S:S),IF($E671&lt;&gt;0,SUMIF(куб!$E:$E,$E671,куб!S:S),IF($D671&lt;&gt;0,SUMIF(куб!$D:$D,$D671,куб!S:S),IF($C671&lt;&gt;0,SUMIF(куб!$C:$C,$C671,куб!S:S),IF($B671&lt;&gt;0,SUMIF(куб!$B:$B,$B671,куб!S:S))))))</f>
        <v>0</v>
      </c>
      <c r="AH671" s="16" t="str">
        <f t="shared" si="229"/>
        <v>-</v>
      </c>
      <c r="AI671" s="8"/>
      <c r="AJ671" s="27" t="b">
        <f>IF($G671&lt;&gt;0,SUMIF(куб!$G:$G,$G671,куб!T:T),IF($E671&lt;&gt;0,SUMIF(куб!$E:$E,$E671,куб!T:T),IF($D671&lt;&gt;0,SUMIF(куб!$D:$D,$D671,куб!T:T),IF($C671&lt;&gt;0,SUMIF(куб!$C:$C,$C671,куб!T:T),IF($B671&lt;&gt;0,SUMIF(куб!$B:$B,$B671,куб!T:T))))))</f>
        <v>0</v>
      </c>
      <c r="AK671" s="27" t="b">
        <f>IF($G671&lt;&gt;0,SUMIF(куб!$G:$G,$G671,куб!U:U),IF($E671&lt;&gt;0,SUMIF(куб!$E:$E,$E671,куб!U:U),IF($D671&lt;&gt;0,SUMIF(куб!$D:$D,$D671,куб!U:U),IF($C671&lt;&gt;0,SUMIF(куб!$C:$C,$C671,куб!U:U),IF($B671&lt;&gt;0,SUMIF(куб!$B:$B,$B671,куб!U:U))))))</f>
        <v>0</v>
      </c>
      <c r="AL671" s="16" t="str">
        <f t="shared" si="230"/>
        <v>-</v>
      </c>
      <c r="AM671" s="8"/>
      <c r="AN671" s="17" t="str">
        <f t="shared" si="231"/>
        <v xml:space="preserve"> </v>
      </c>
      <c r="AO671" s="17" t="str">
        <f t="shared" si="232"/>
        <v xml:space="preserve"> </v>
      </c>
      <c r="AP671" s="16" t="str">
        <f t="shared" si="233"/>
        <v>-</v>
      </c>
      <c r="AQ671" s="8"/>
      <c r="AR671" s="17" t="str">
        <f t="shared" si="234"/>
        <v>-</v>
      </c>
      <c r="AS671" s="17" t="str">
        <f t="shared" si="235"/>
        <v>-</v>
      </c>
      <c r="AT671" s="13" t="str">
        <f t="shared" si="236"/>
        <v>-</v>
      </c>
      <c r="AU671" s="8"/>
    </row>
    <row r="672" spans="1:47" x14ac:dyDescent="0.25">
      <c r="A672" s="31"/>
      <c r="B672" s="31"/>
      <c r="C672"/>
      <c r="D672" s="31"/>
      <c r="E672"/>
      <c r="F672" s="31"/>
      <c r="G672"/>
      <c r="H672" s="27">
        <f>IF($G672&lt;&gt;0,SUMIF(куб!$G:$G,$G672,куб!H:H),IF($E672&lt;&gt;0,SUMIF(куб!$E:$E,$E672,куб!H:H),IF($D672&lt;&gt;0,SUMIF(куб!$D:$D,$D672,куб!H:H),IF($C672&lt;&gt;0,SUMIF(куб!$C:$C,$C672,куб!H:H),IF($B672&lt;&gt;0,SUMIF(куб!$B:$B,$B672,куб!H:H),IF($G672&lt;&gt;0,SUMIF(куб!$A:$A,$G672,куб!H:H),SUMIF(куб!$A:$A,$G672,куб!H:H)))))))</f>
        <v>0</v>
      </c>
      <c r="I672" s="27">
        <f>IF($G672&lt;&gt;0,SUMIF(куб!$G:$G,$G672,куб!I:I),IF($E672&lt;&gt;0,SUMIF(куб!$E:$E,$E672,куб!I:I),IF($D672&lt;&gt;0,SUMIF(куб!$D:$D,$D672,куб!I:I),IF($C672&lt;&gt;0,SUMIF(куб!$C:$C,$C672,куб!I:I),IF($B672&lt;&gt;0,SUMIF(куб!$B:$B,$B672,куб!I:I),IF($G672&lt;&gt;0,SUMIF(куб!$A:$A,$G672,куб!I:I),SUMIF(куб!$A:$A,$G672,куб!I:I)))))))</f>
        <v>0</v>
      </c>
      <c r="J672" s="19" t="str">
        <f t="shared" si="219"/>
        <v>-</v>
      </c>
      <c r="K672" s="8"/>
      <c r="L672" s="17">
        <f t="shared" si="220"/>
        <v>0</v>
      </c>
      <c r="M672" s="17">
        <f t="shared" si="221"/>
        <v>0</v>
      </c>
      <c r="N672" s="12">
        <f t="shared" si="222"/>
        <v>0</v>
      </c>
      <c r="O672" s="5"/>
      <c r="P672" s="27" t="b">
        <f>IF($G672&lt;&gt;0,SUMIF(куб!$G:$G,$G672,куб!J:J),IF($E672&lt;&gt;0,SUMIF(куб!$E:$E,$E672,куб!J:J),IF($D672&lt;&gt;0,SUMIF(куб!$D:$D,$D672,куб!J:J),IF($C672&lt;&gt;0,SUMIF(куб!$C:$C,$C672,куб!J:J),IF($B672&lt;&gt;0,SUMIF(куб!$B:$B,$B672,куб!J:J))))))</f>
        <v>0</v>
      </c>
      <c r="Q672" s="27" t="b">
        <f>IF($G672&lt;&gt;0,SUMIF(куб!$G:$G,$G672,куб!K:K),IF($E672&lt;&gt;0,SUMIF(куб!$E:$E,$E672,куб!K:K),IF($D672&lt;&gt;0,SUMIF(куб!$D:$D,$D672,куб!K:K),IF($C672&lt;&gt;0,SUMIF(куб!$C:$C,$C672,куб!K:K),IF($B672&lt;&gt;0,SUMIF(куб!$B:$B,$B672,куб!K:K))))))</f>
        <v>0</v>
      </c>
      <c r="R672" s="13" t="str">
        <f t="shared" si="223"/>
        <v>-</v>
      </c>
      <c r="S672" s="5"/>
      <c r="T672" s="27" t="b">
        <f>IF($G672&lt;&gt;0,SUMIF(куб!$G:$G,$G672,куб!L:L),IF($E672&lt;&gt;0,SUMIF(куб!$E:$E,$E672,куб!L:L),IF($D672&lt;&gt;0,SUMIF(куб!$D:$D,$D672,куб!L:L),IF($C672&lt;&gt;0,SUMIF(куб!$C:$C,$C672,куб!L:L),IF($B672&lt;&gt;0,SUMIF(куб!$B:$B,$B672,куб!L:L))))))</f>
        <v>0</v>
      </c>
      <c r="U672" s="27" t="b">
        <f>IF($G672&lt;&gt;0,SUMIF(куб!$G:$G,$G672,куб!M:M),IF($E672&lt;&gt;0,SUMIF(куб!$E:$E,$E672,куб!M:M),IF($D672&lt;&gt;0,SUMIF(куб!$D:$D,$D672,куб!M:M),IF($C672&lt;&gt;0,SUMIF(куб!$C:$C,$C672,куб!M:M),IF($B672&lt;&gt;0,SUMIF(куб!$B:$B,$B672,куб!M:M))))))</f>
        <v>0</v>
      </c>
      <c r="V672" s="13" t="str">
        <f t="shared" si="224"/>
        <v>-</v>
      </c>
      <c r="W672" s="5"/>
      <c r="X672" s="27" t="b">
        <f>IF($G672&lt;&gt;0,SUMIF(куб!$G:$G,$G672,куб!N:N),IF($E672&lt;&gt;0,SUMIF(куб!$E:$E,$E672,куб!N:N),IF($D672&lt;&gt;0,SUMIF(куб!$D:$D,$D672,куб!N:N),IF($C672&lt;&gt;0,SUMIF(куб!$C:$C,$C672,куб!N:N),IF($B672&lt;&gt;0,SUMIF(куб!$B:$B,$B672,куб!N:N))))))</f>
        <v>0</v>
      </c>
      <c r="Y672" s="27" t="b">
        <f>IF($G672&lt;&gt;0,SUMIF(куб!$G:$G,$G672,куб!O:O),IF($E672&lt;&gt;0,SUMIF(куб!$E:$E,$E672,куб!O:O),IF($D672&lt;&gt;0,SUMIF(куб!$D:$D,$D672,куб!O:O),IF($C672&lt;&gt;0,SUMIF(куб!$C:$C,$C672,куб!O:O),IF($B672&lt;&gt;0,SUMIF(куб!$B:$B,$B672,куб!O:O))))))</f>
        <v>0</v>
      </c>
      <c r="Z672" s="13" t="str">
        <f t="shared" si="225"/>
        <v>-</v>
      </c>
      <c r="AA672" s="5"/>
      <c r="AB672" s="33" t="str">
        <f t="shared" si="226"/>
        <v/>
      </c>
      <c r="AC672" s="33" t="str">
        <f t="shared" si="227"/>
        <v/>
      </c>
      <c r="AD672" s="15" t="str">
        <f t="shared" si="228"/>
        <v xml:space="preserve"> </v>
      </c>
      <c r="AE672" s="5"/>
      <c r="AF672" s="27" t="b">
        <f>IF($G672&lt;&gt;0,SUMIF(куб!$G:$G,$G672,куб!R:R),IF($E672&lt;&gt;0,SUMIF(куб!$E:$E,$E672,куб!R:R),IF($D672&lt;&gt;0,SUMIF(куб!$D:$D,$D672,куб!R:R),IF($C672&lt;&gt;0,SUMIF(куб!$C:$C,$C672,куб!R:R),IF($B672&lt;&gt;0,SUMIF(куб!$B:$B,$B672,куб!R:R))))))</f>
        <v>0</v>
      </c>
      <c r="AG672" s="27" t="b">
        <f>IF($G672&lt;&gt;0,SUMIF(куб!$G:$G,$G672,куб!S:S),IF($E672&lt;&gt;0,SUMIF(куб!$E:$E,$E672,куб!S:S),IF($D672&lt;&gt;0,SUMIF(куб!$D:$D,$D672,куб!S:S),IF($C672&lt;&gt;0,SUMIF(куб!$C:$C,$C672,куб!S:S),IF($B672&lt;&gt;0,SUMIF(куб!$B:$B,$B672,куб!S:S))))))</f>
        <v>0</v>
      </c>
      <c r="AH672" s="16" t="str">
        <f t="shared" si="229"/>
        <v>-</v>
      </c>
      <c r="AI672" s="8"/>
      <c r="AJ672" s="27" t="b">
        <f>IF($G672&lt;&gt;0,SUMIF(куб!$G:$G,$G672,куб!T:T),IF($E672&lt;&gt;0,SUMIF(куб!$E:$E,$E672,куб!T:T),IF($D672&lt;&gt;0,SUMIF(куб!$D:$D,$D672,куб!T:T),IF($C672&lt;&gt;0,SUMIF(куб!$C:$C,$C672,куб!T:T),IF($B672&lt;&gt;0,SUMIF(куб!$B:$B,$B672,куб!T:T))))))</f>
        <v>0</v>
      </c>
      <c r="AK672" s="27" t="b">
        <f>IF($G672&lt;&gt;0,SUMIF(куб!$G:$G,$G672,куб!U:U),IF($E672&lt;&gt;0,SUMIF(куб!$E:$E,$E672,куб!U:U),IF($D672&lt;&gt;0,SUMIF(куб!$D:$D,$D672,куб!U:U),IF($C672&lt;&gt;0,SUMIF(куб!$C:$C,$C672,куб!U:U),IF($B672&lt;&gt;0,SUMIF(куб!$B:$B,$B672,куб!U:U))))))</f>
        <v>0</v>
      </c>
      <c r="AL672" s="16" t="str">
        <f t="shared" si="230"/>
        <v>-</v>
      </c>
      <c r="AM672" s="8"/>
      <c r="AN672" s="17" t="str">
        <f t="shared" si="231"/>
        <v xml:space="preserve"> </v>
      </c>
      <c r="AO672" s="17" t="str">
        <f t="shared" si="232"/>
        <v xml:space="preserve"> </v>
      </c>
      <c r="AP672" s="16" t="str">
        <f t="shared" si="233"/>
        <v>-</v>
      </c>
      <c r="AQ672" s="8"/>
      <c r="AR672" s="17" t="str">
        <f t="shared" si="234"/>
        <v>-</v>
      </c>
      <c r="AS672" s="17" t="str">
        <f t="shared" si="235"/>
        <v>-</v>
      </c>
      <c r="AT672" s="13" t="str">
        <f t="shared" si="236"/>
        <v>-</v>
      </c>
      <c r="AU672" s="8"/>
    </row>
    <row r="673" spans="1:47" x14ac:dyDescent="0.25">
      <c r="A673" s="31"/>
      <c r="B673" s="31"/>
      <c r="C673"/>
      <c r="D673" s="31"/>
      <c r="E673"/>
      <c r="F673" s="31"/>
      <c r="G673"/>
      <c r="H673" s="27">
        <f>IF($G673&lt;&gt;0,SUMIF(куб!$G:$G,$G673,куб!H:H),IF($E673&lt;&gt;0,SUMIF(куб!$E:$E,$E673,куб!H:H),IF($D673&lt;&gt;0,SUMIF(куб!$D:$D,$D673,куб!H:H),IF($C673&lt;&gt;0,SUMIF(куб!$C:$C,$C673,куб!H:H),IF($B673&lt;&gt;0,SUMIF(куб!$B:$B,$B673,куб!H:H),IF($G673&lt;&gt;0,SUMIF(куб!$A:$A,$G673,куб!H:H),SUMIF(куб!$A:$A,$G673,куб!H:H)))))))</f>
        <v>0</v>
      </c>
      <c r="I673" s="27">
        <f>IF($G673&lt;&gt;0,SUMIF(куб!$G:$G,$G673,куб!I:I),IF($E673&lt;&gt;0,SUMIF(куб!$E:$E,$E673,куб!I:I),IF($D673&lt;&gt;0,SUMIF(куб!$D:$D,$D673,куб!I:I),IF($C673&lt;&gt;0,SUMIF(куб!$C:$C,$C673,куб!I:I),IF($B673&lt;&gt;0,SUMIF(куб!$B:$B,$B673,куб!I:I),IF($G673&lt;&gt;0,SUMIF(куб!$A:$A,$G673,куб!I:I),SUMIF(куб!$A:$A,$G673,куб!I:I)))))))</f>
        <v>0</v>
      </c>
      <c r="J673" s="19" t="str">
        <f t="shared" si="219"/>
        <v>-</v>
      </c>
      <c r="K673" s="8"/>
      <c r="L673" s="17">
        <f t="shared" si="220"/>
        <v>0</v>
      </c>
      <c r="M673" s="17">
        <f t="shared" si="221"/>
        <v>0</v>
      </c>
      <c r="N673" s="12">
        <f t="shared" si="222"/>
        <v>0</v>
      </c>
      <c r="O673" s="5"/>
      <c r="P673" s="27" t="b">
        <f>IF($G673&lt;&gt;0,SUMIF(куб!$G:$G,$G673,куб!J:J),IF($E673&lt;&gt;0,SUMIF(куб!$E:$E,$E673,куб!J:J),IF($D673&lt;&gt;0,SUMIF(куб!$D:$D,$D673,куб!J:J),IF($C673&lt;&gt;0,SUMIF(куб!$C:$C,$C673,куб!J:J),IF($B673&lt;&gt;0,SUMIF(куб!$B:$B,$B673,куб!J:J))))))</f>
        <v>0</v>
      </c>
      <c r="Q673" s="27" t="b">
        <f>IF($G673&lt;&gt;0,SUMIF(куб!$G:$G,$G673,куб!K:K),IF($E673&lt;&gt;0,SUMIF(куб!$E:$E,$E673,куб!K:K),IF($D673&lt;&gt;0,SUMIF(куб!$D:$D,$D673,куб!K:K),IF($C673&lt;&gt;0,SUMIF(куб!$C:$C,$C673,куб!K:K),IF($B673&lt;&gt;0,SUMIF(куб!$B:$B,$B673,куб!K:K))))))</f>
        <v>0</v>
      </c>
      <c r="R673" s="13" t="str">
        <f t="shared" si="223"/>
        <v>-</v>
      </c>
      <c r="S673" s="5"/>
      <c r="T673" s="27" t="b">
        <f>IF($G673&lt;&gt;0,SUMIF(куб!$G:$G,$G673,куб!L:L),IF($E673&lt;&gt;0,SUMIF(куб!$E:$E,$E673,куб!L:L),IF($D673&lt;&gt;0,SUMIF(куб!$D:$D,$D673,куб!L:L),IF($C673&lt;&gt;0,SUMIF(куб!$C:$C,$C673,куб!L:L),IF($B673&lt;&gt;0,SUMIF(куб!$B:$B,$B673,куб!L:L))))))</f>
        <v>0</v>
      </c>
      <c r="U673" s="27" t="b">
        <f>IF($G673&lt;&gt;0,SUMIF(куб!$G:$G,$G673,куб!M:M),IF($E673&lt;&gt;0,SUMIF(куб!$E:$E,$E673,куб!M:M),IF($D673&lt;&gt;0,SUMIF(куб!$D:$D,$D673,куб!M:M),IF($C673&lt;&gt;0,SUMIF(куб!$C:$C,$C673,куб!M:M),IF($B673&lt;&gt;0,SUMIF(куб!$B:$B,$B673,куб!M:M))))))</f>
        <v>0</v>
      </c>
      <c r="V673" s="13" t="str">
        <f t="shared" si="224"/>
        <v>-</v>
      </c>
      <c r="W673" s="5"/>
      <c r="X673" s="27" t="b">
        <f>IF($G673&lt;&gt;0,SUMIF(куб!$G:$G,$G673,куб!N:N),IF($E673&lt;&gt;0,SUMIF(куб!$E:$E,$E673,куб!N:N),IF($D673&lt;&gt;0,SUMIF(куб!$D:$D,$D673,куб!N:N),IF($C673&lt;&gt;0,SUMIF(куб!$C:$C,$C673,куб!N:N),IF($B673&lt;&gt;0,SUMIF(куб!$B:$B,$B673,куб!N:N))))))</f>
        <v>0</v>
      </c>
      <c r="Y673" s="27" t="b">
        <f>IF($G673&lt;&gt;0,SUMIF(куб!$G:$G,$G673,куб!O:O),IF($E673&lt;&gt;0,SUMIF(куб!$E:$E,$E673,куб!O:O),IF($D673&lt;&gt;0,SUMIF(куб!$D:$D,$D673,куб!O:O),IF($C673&lt;&gt;0,SUMIF(куб!$C:$C,$C673,куб!O:O),IF($B673&lt;&gt;0,SUMIF(куб!$B:$B,$B673,куб!O:O))))))</f>
        <v>0</v>
      </c>
      <c r="Z673" s="13" t="str">
        <f t="shared" si="225"/>
        <v>-</v>
      </c>
      <c r="AA673" s="5"/>
      <c r="AB673" s="33" t="str">
        <f t="shared" si="226"/>
        <v/>
      </c>
      <c r="AC673" s="33" t="str">
        <f t="shared" si="227"/>
        <v/>
      </c>
      <c r="AD673" s="15" t="str">
        <f t="shared" si="228"/>
        <v xml:space="preserve"> </v>
      </c>
      <c r="AE673" s="5"/>
      <c r="AF673" s="27" t="b">
        <f>IF($G673&lt;&gt;0,SUMIF(куб!$G:$G,$G673,куб!R:R),IF($E673&lt;&gt;0,SUMIF(куб!$E:$E,$E673,куб!R:R),IF($D673&lt;&gt;0,SUMIF(куб!$D:$D,$D673,куб!R:R),IF($C673&lt;&gt;0,SUMIF(куб!$C:$C,$C673,куб!R:R),IF($B673&lt;&gt;0,SUMIF(куб!$B:$B,$B673,куб!R:R))))))</f>
        <v>0</v>
      </c>
      <c r="AG673" s="27" t="b">
        <f>IF($G673&lt;&gt;0,SUMIF(куб!$G:$G,$G673,куб!S:S),IF($E673&lt;&gt;0,SUMIF(куб!$E:$E,$E673,куб!S:S),IF($D673&lt;&gt;0,SUMIF(куб!$D:$D,$D673,куб!S:S),IF($C673&lt;&gt;0,SUMIF(куб!$C:$C,$C673,куб!S:S),IF($B673&lt;&gt;0,SUMIF(куб!$B:$B,$B673,куб!S:S))))))</f>
        <v>0</v>
      </c>
      <c r="AH673" s="16" t="str">
        <f t="shared" si="229"/>
        <v>-</v>
      </c>
      <c r="AI673" s="8"/>
      <c r="AJ673" s="27" t="b">
        <f>IF($G673&lt;&gt;0,SUMIF(куб!$G:$G,$G673,куб!T:T),IF($E673&lt;&gt;0,SUMIF(куб!$E:$E,$E673,куб!T:T),IF($D673&lt;&gt;0,SUMIF(куб!$D:$D,$D673,куб!T:T),IF($C673&lt;&gt;0,SUMIF(куб!$C:$C,$C673,куб!T:T),IF($B673&lt;&gt;0,SUMIF(куб!$B:$B,$B673,куб!T:T))))))</f>
        <v>0</v>
      </c>
      <c r="AK673" s="27" t="b">
        <f>IF($G673&lt;&gt;0,SUMIF(куб!$G:$G,$G673,куб!U:U),IF($E673&lt;&gt;0,SUMIF(куб!$E:$E,$E673,куб!U:U),IF($D673&lt;&gt;0,SUMIF(куб!$D:$D,$D673,куб!U:U),IF($C673&lt;&gt;0,SUMIF(куб!$C:$C,$C673,куб!U:U),IF($B673&lt;&gt;0,SUMIF(куб!$B:$B,$B673,куб!U:U))))))</f>
        <v>0</v>
      </c>
      <c r="AL673" s="16" t="str">
        <f t="shared" si="230"/>
        <v>-</v>
      </c>
      <c r="AM673" s="8"/>
      <c r="AN673" s="17" t="str">
        <f t="shared" si="231"/>
        <v xml:space="preserve"> </v>
      </c>
      <c r="AO673" s="17" t="str">
        <f t="shared" si="232"/>
        <v xml:space="preserve"> </v>
      </c>
      <c r="AP673" s="16" t="str">
        <f t="shared" si="233"/>
        <v>-</v>
      </c>
      <c r="AQ673" s="8"/>
      <c r="AR673" s="17" t="str">
        <f t="shared" si="234"/>
        <v>-</v>
      </c>
      <c r="AS673" s="17" t="str">
        <f t="shared" si="235"/>
        <v>-</v>
      </c>
      <c r="AT673" s="13" t="str">
        <f t="shared" si="236"/>
        <v>-</v>
      </c>
      <c r="AU673" s="8"/>
    </row>
    <row r="674" spans="1:47" x14ac:dyDescent="0.25">
      <c r="A674" s="31"/>
      <c r="B674" s="31"/>
      <c r="C674"/>
      <c r="D674" s="31"/>
      <c r="E674"/>
      <c r="F674" s="31"/>
      <c r="G674"/>
      <c r="H674" s="27">
        <f>IF($G674&lt;&gt;0,SUMIF(куб!$G:$G,$G674,куб!H:H),IF($E674&lt;&gt;0,SUMIF(куб!$E:$E,$E674,куб!H:H),IF($D674&lt;&gt;0,SUMIF(куб!$D:$D,$D674,куб!H:H),IF($C674&lt;&gt;0,SUMIF(куб!$C:$C,$C674,куб!H:H),IF($B674&lt;&gt;0,SUMIF(куб!$B:$B,$B674,куб!H:H),IF($G674&lt;&gt;0,SUMIF(куб!$A:$A,$G674,куб!H:H),SUMIF(куб!$A:$A,$G674,куб!H:H)))))))</f>
        <v>0</v>
      </c>
      <c r="I674" s="27">
        <f>IF($G674&lt;&gt;0,SUMIF(куб!$G:$G,$G674,куб!I:I),IF($E674&lt;&gt;0,SUMIF(куб!$E:$E,$E674,куб!I:I),IF($D674&lt;&gt;0,SUMIF(куб!$D:$D,$D674,куб!I:I),IF($C674&lt;&gt;0,SUMIF(куб!$C:$C,$C674,куб!I:I),IF($B674&lt;&gt;0,SUMIF(куб!$B:$B,$B674,куб!I:I),IF($G674&lt;&gt;0,SUMIF(куб!$A:$A,$G674,куб!I:I),SUMIF(куб!$A:$A,$G674,куб!I:I)))))))</f>
        <v>0</v>
      </c>
      <c r="J674" s="19" t="str">
        <f t="shared" si="219"/>
        <v>-</v>
      </c>
      <c r="K674" s="8"/>
      <c r="L674" s="17">
        <f t="shared" si="220"/>
        <v>0</v>
      </c>
      <c r="M674" s="17">
        <f t="shared" si="221"/>
        <v>0</v>
      </c>
      <c r="N674" s="12">
        <f t="shared" si="222"/>
        <v>0</v>
      </c>
      <c r="O674" s="5"/>
      <c r="P674" s="27" t="b">
        <f>IF($G674&lt;&gt;0,SUMIF(куб!$G:$G,$G674,куб!J:J),IF($E674&lt;&gt;0,SUMIF(куб!$E:$E,$E674,куб!J:J),IF($D674&lt;&gt;0,SUMIF(куб!$D:$D,$D674,куб!J:J),IF($C674&lt;&gt;0,SUMIF(куб!$C:$C,$C674,куб!J:J),IF($B674&lt;&gt;0,SUMIF(куб!$B:$B,$B674,куб!J:J))))))</f>
        <v>0</v>
      </c>
      <c r="Q674" s="27" t="b">
        <f>IF($G674&lt;&gt;0,SUMIF(куб!$G:$G,$G674,куб!K:K),IF($E674&lt;&gt;0,SUMIF(куб!$E:$E,$E674,куб!K:K),IF($D674&lt;&gt;0,SUMIF(куб!$D:$D,$D674,куб!K:K),IF($C674&lt;&gt;0,SUMIF(куб!$C:$C,$C674,куб!K:K),IF($B674&lt;&gt;0,SUMIF(куб!$B:$B,$B674,куб!K:K))))))</f>
        <v>0</v>
      </c>
      <c r="R674" s="13" t="str">
        <f t="shared" si="223"/>
        <v>-</v>
      </c>
      <c r="S674" s="5"/>
      <c r="T674" s="27" t="b">
        <f>IF($G674&lt;&gt;0,SUMIF(куб!$G:$G,$G674,куб!L:L),IF($E674&lt;&gt;0,SUMIF(куб!$E:$E,$E674,куб!L:L),IF($D674&lt;&gt;0,SUMIF(куб!$D:$D,$D674,куб!L:L),IF($C674&lt;&gt;0,SUMIF(куб!$C:$C,$C674,куб!L:L),IF($B674&lt;&gt;0,SUMIF(куб!$B:$B,$B674,куб!L:L))))))</f>
        <v>0</v>
      </c>
      <c r="U674" s="27" t="b">
        <f>IF($G674&lt;&gt;0,SUMIF(куб!$G:$G,$G674,куб!M:M),IF($E674&lt;&gt;0,SUMIF(куб!$E:$E,$E674,куб!M:M),IF($D674&lt;&gt;0,SUMIF(куб!$D:$D,$D674,куб!M:M),IF($C674&lt;&gt;0,SUMIF(куб!$C:$C,$C674,куб!M:M),IF($B674&lt;&gt;0,SUMIF(куб!$B:$B,$B674,куб!M:M))))))</f>
        <v>0</v>
      </c>
      <c r="V674" s="13" t="str">
        <f t="shared" si="224"/>
        <v>-</v>
      </c>
      <c r="W674" s="5"/>
      <c r="X674" s="27" t="b">
        <f>IF($G674&lt;&gt;0,SUMIF(куб!$G:$G,$G674,куб!N:N),IF($E674&lt;&gt;0,SUMIF(куб!$E:$E,$E674,куб!N:N),IF($D674&lt;&gt;0,SUMIF(куб!$D:$D,$D674,куб!N:N),IF($C674&lt;&gt;0,SUMIF(куб!$C:$C,$C674,куб!N:N),IF($B674&lt;&gt;0,SUMIF(куб!$B:$B,$B674,куб!N:N))))))</f>
        <v>0</v>
      </c>
      <c r="Y674" s="27" t="b">
        <f>IF($G674&lt;&gt;0,SUMIF(куб!$G:$G,$G674,куб!O:O),IF($E674&lt;&gt;0,SUMIF(куб!$E:$E,$E674,куб!O:O),IF($D674&lt;&gt;0,SUMIF(куб!$D:$D,$D674,куб!O:O),IF($C674&lt;&gt;0,SUMIF(куб!$C:$C,$C674,куб!O:O),IF($B674&lt;&gt;0,SUMIF(куб!$B:$B,$B674,куб!O:O))))))</f>
        <v>0</v>
      </c>
      <c r="Z674" s="13" t="str">
        <f t="shared" si="225"/>
        <v>-</v>
      </c>
      <c r="AA674" s="5"/>
      <c r="AB674" s="33" t="str">
        <f t="shared" si="226"/>
        <v/>
      </c>
      <c r="AC674" s="33" t="str">
        <f t="shared" si="227"/>
        <v/>
      </c>
      <c r="AD674" s="15" t="str">
        <f t="shared" si="228"/>
        <v xml:space="preserve"> </v>
      </c>
      <c r="AE674" s="5"/>
      <c r="AF674" s="27" t="b">
        <f>IF($G674&lt;&gt;0,SUMIF(куб!$G:$G,$G674,куб!R:R),IF($E674&lt;&gt;0,SUMIF(куб!$E:$E,$E674,куб!R:R),IF($D674&lt;&gt;0,SUMIF(куб!$D:$D,$D674,куб!R:R),IF($C674&lt;&gt;0,SUMIF(куб!$C:$C,$C674,куб!R:R),IF($B674&lt;&gt;0,SUMIF(куб!$B:$B,$B674,куб!R:R))))))</f>
        <v>0</v>
      </c>
      <c r="AG674" s="27" t="b">
        <f>IF($G674&lt;&gt;0,SUMIF(куб!$G:$G,$G674,куб!S:S),IF($E674&lt;&gt;0,SUMIF(куб!$E:$E,$E674,куб!S:S),IF($D674&lt;&gt;0,SUMIF(куб!$D:$D,$D674,куб!S:S),IF($C674&lt;&gt;0,SUMIF(куб!$C:$C,$C674,куб!S:S),IF($B674&lt;&gt;0,SUMIF(куб!$B:$B,$B674,куб!S:S))))))</f>
        <v>0</v>
      </c>
      <c r="AH674" s="16" t="str">
        <f t="shared" si="229"/>
        <v>-</v>
      </c>
      <c r="AI674" s="8"/>
      <c r="AJ674" s="27" t="b">
        <f>IF($G674&lt;&gt;0,SUMIF(куб!$G:$G,$G674,куб!T:T),IF($E674&lt;&gt;0,SUMIF(куб!$E:$E,$E674,куб!T:T),IF($D674&lt;&gt;0,SUMIF(куб!$D:$D,$D674,куб!T:T),IF($C674&lt;&gt;0,SUMIF(куб!$C:$C,$C674,куб!T:T),IF($B674&lt;&gt;0,SUMIF(куб!$B:$B,$B674,куб!T:T))))))</f>
        <v>0</v>
      </c>
      <c r="AK674" s="27" t="b">
        <f>IF($G674&lt;&gt;0,SUMIF(куб!$G:$G,$G674,куб!U:U),IF($E674&lt;&gt;0,SUMIF(куб!$E:$E,$E674,куб!U:U),IF($D674&lt;&gt;0,SUMIF(куб!$D:$D,$D674,куб!U:U),IF($C674&lt;&gt;0,SUMIF(куб!$C:$C,$C674,куб!U:U),IF($B674&lt;&gt;0,SUMIF(куб!$B:$B,$B674,куб!U:U))))))</f>
        <v>0</v>
      </c>
      <c r="AL674" s="16" t="str">
        <f t="shared" si="230"/>
        <v>-</v>
      </c>
      <c r="AM674" s="8"/>
      <c r="AN674" s="17" t="str">
        <f t="shared" si="231"/>
        <v xml:space="preserve"> </v>
      </c>
      <c r="AO674" s="17" t="str">
        <f t="shared" si="232"/>
        <v xml:space="preserve"> </v>
      </c>
      <c r="AP674" s="16" t="str">
        <f t="shared" si="233"/>
        <v>-</v>
      </c>
      <c r="AQ674" s="8"/>
      <c r="AR674" s="17" t="str">
        <f t="shared" si="234"/>
        <v>-</v>
      </c>
      <c r="AS674" s="17" t="str">
        <f t="shared" si="235"/>
        <v>-</v>
      </c>
      <c r="AT674" s="13" t="str">
        <f t="shared" si="236"/>
        <v>-</v>
      </c>
      <c r="AU674" s="8"/>
    </row>
    <row r="675" spans="1:47" x14ac:dyDescent="0.25">
      <c r="A675" s="31"/>
      <c r="B675" s="31"/>
      <c r="C675"/>
      <c r="D675" s="31"/>
      <c r="E675"/>
      <c r="F675" s="31"/>
      <c r="G675"/>
      <c r="H675" s="27">
        <f>IF($G675&lt;&gt;0,SUMIF(куб!$G:$G,$G675,куб!H:H),IF($E675&lt;&gt;0,SUMIF(куб!$E:$E,$E675,куб!H:H),IF($D675&lt;&gt;0,SUMIF(куб!$D:$D,$D675,куб!H:H),IF($C675&lt;&gt;0,SUMIF(куб!$C:$C,$C675,куб!H:H),IF($B675&lt;&gt;0,SUMIF(куб!$B:$B,$B675,куб!H:H),IF($G675&lt;&gt;0,SUMIF(куб!$A:$A,$G675,куб!H:H),SUMIF(куб!$A:$A,$G675,куб!H:H)))))))</f>
        <v>0</v>
      </c>
      <c r="I675" s="27">
        <f>IF($G675&lt;&gt;0,SUMIF(куб!$G:$G,$G675,куб!I:I),IF($E675&lt;&gt;0,SUMIF(куб!$E:$E,$E675,куб!I:I),IF($D675&lt;&gt;0,SUMIF(куб!$D:$D,$D675,куб!I:I),IF($C675&lt;&gt;0,SUMIF(куб!$C:$C,$C675,куб!I:I),IF($B675&lt;&gt;0,SUMIF(куб!$B:$B,$B675,куб!I:I),IF($G675&lt;&gt;0,SUMIF(куб!$A:$A,$G675,куб!I:I),SUMIF(куб!$A:$A,$G675,куб!I:I)))))))</f>
        <v>0</v>
      </c>
      <c r="J675" s="19" t="str">
        <f t="shared" si="219"/>
        <v>-</v>
      </c>
      <c r="K675" s="8"/>
      <c r="L675" s="17">
        <f t="shared" si="220"/>
        <v>0</v>
      </c>
      <c r="M675" s="17">
        <f t="shared" si="221"/>
        <v>0</v>
      </c>
      <c r="N675" s="12">
        <f t="shared" si="222"/>
        <v>0</v>
      </c>
      <c r="O675" s="5"/>
      <c r="P675" s="27" t="b">
        <f>IF($G675&lt;&gt;0,SUMIF(куб!$G:$G,$G675,куб!J:J),IF($E675&lt;&gt;0,SUMIF(куб!$E:$E,$E675,куб!J:J),IF($D675&lt;&gt;0,SUMIF(куб!$D:$D,$D675,куб!J:J),IF($C675&lt;&gt;0,SUMIF(куб!$C:$C,$C675,куб!J:J),IF($B675&lt;&gt;0,SUMIF(куб!$B:$B,$B675,куб!J:J))))))</f>
        <v>0</v>
      </c>
      <c r="Q675" s="27" t="b">
        <f>IF($G675&lt;&gt;0,SUMIF(куб!$G:$G,$G675,куб!K:K),IF($E675&lt;&gt;0,SUMIF(куб!$E:$E,$E675,куб!K:K),IF($D675&lt;&gt;0,SUMIF(куб!$D:$D,$D675,куб!K:K),IF($C675&lt;&gt;0,SUMIF(куб!$C:$C,$C675,куб!K:K),IF($B675&lt;&gt;0,SUMIF(куб!$B:$B,$B675,куб!K:K))))))</f>
        <v>0</v>
      </c>
      <c r="R675" s="13" t="str">
        <f t="shared" si="223"/>
        <v>-</v>
      </c>
      <c r="S675" s="5"/>
      <c r="T675" s="27" t="b">
        <f>IF($G675&lt;&gt;0,SUMIF(куб!$G:$G,$G675,куб!L:L),IF($E675&lt;&gt;0,SUMIF(куб!$E:$E,$E675,куб!L:L),IF($D675&lt;&gt;0,SUMIF(куб!$D:$D,$D675,куб!L:L),IF($C675&lt;&gt;0,SUMIF(куб!$C:$C,$C675,куб!L:L),IF($B675&lt;&gt;0,SUMIF(куб!$B:$B,$B675,куб!L:L))))))</f>
        <v>0</v>
      </c>
      <c r="U675" s="27" t="b">
        <f>IF($G675&lt;&gt;0,SUMIF(куб!$G:$G,$G675,куб!M:M),IF($E675&lt;&gt;0,SUMIF(куб!$E:$E,$E675,куб!M:M),IF($D675&lt;&gt;0,SUMIF(куб!$D:$D,$D675,куб!M:M),IF($C675&lt;&gt;0,SUMIF(куб!$C:$C,$C675,куб!M:M),IF($B675&lt;&gt;0,SUMIF(куб!$B:$B,$B675,куб!M:M))))))</f>
        <v>0</v>
      </c>
      <c r="V675" s="13" t="str">
        <f t="shared" si="224"/>
        <v>-</v>
      </c>
      <c r="W675" s="5"/>
      <c r="X675" s="27" t="b">
        <f>IF($G675&lt;&gt;0,SUMIF(куб!$G:$G,$G675,куб!N:N),IF($E675&lt;&gt;0,SUMIF(куб!$E:$E,$E675,куб!N:N),IF($D675&lt;&gt;0,SUMIF(куб!$D:$D,$D675,куб!N:N),IF($C675&lt;&gt;0,SUMIF(куб!$C:$C,$C675,куб!N:N),IF($B675&lt;&gt;0,SUMIF(куб!$B:$B,$B675,куб!N:N))))))</f>
        <v>0</v>
      </c>
      <c r="Y675" s="27" t="b">
        <f>IF($G675&lt;&gt;0,SUMIF(куб!$G:$G,$G675,куб!O:O),IF($E675&lt;&gt;0,SUMIF(куб!$E:$E,$E675,куб!O:O),IF($D675&lt;&gt;0,SUMIF(куб!$D:$D,$D675,куб!O:O),IF($C675&lt;&gt;0,SUMIF(куб!$C:$C,$C675,куб!O:O),IF($B675&lt;&gt;0,SUMIF(куб!$B:$B,$B675,куб!O:O))))))</f>
        <v>0</v>
      </c>
      <c r="Z675" s="13" t="str">
        <f t="shared" si="225"/>
        <v>-</v>
      </c>
      <c r="AA675" s="5"/>
      <c r="AB675" s="33" t="str">
        <f t="shared" si="226"/>
        <v/>
      </c>
      <c r="AC675" s="33" t="str">
        <f t="shared" si="227"/>
        <v/>
      </c>
      <c r="AD675" s="15" t="str">
        <f t="shared" si="228"/>
        <v xml:space="preserve"> </v>
      </c>
      <c r="AE675" s="5"/>
      <c r="AF675" s="27" t="b">
        <f>IF($G675&lt;&gt;0,SUMIF(куб!$G:$G,$G675,куб!R:R),IF($E675&lt;&gt;0,SUMIF(куб!$E:$E,$E675,куб!R:R),IF($D675&lt;&gt;0,SUMIF(куб!$D:$D,$D675,куб!R:R),IF($C675&lt;&gt;0,SUMIF(куб!$C:$C,$C675,куб!R:R),IF($B675&lt;&gt;0,SUMIF(куб!$B:$B,$B675,куб!R:R))))))</f>
        <v>0</v>
      </c>
      <c r="AG675" s="27" t="b">
        <f>IF($G675&lt;&gt;0,SUMIF(куб!$G:$G,$G675,куб!S:S),IF($E675&lt;&gt;0,SUMIF(куб!$E:$E,$E675,куб!S:S),IF($D675&lt;&gt;0,SUMIF(куб!$D:$D,$D675,куб!S:S),IF($C675&lt;&gt;0,SUMIF(куб!$C:$C,$C675,куб!S:S),IF($B675&lt;&gt;0,SUMIF(куб!$B:$B,$B675,куб!S:S))))))</f>
        <v>0</v>
      </c>
      <c r="AH675" s="16" t="str">
        <f t="shared" si="229"/>
        <v>-</v>
      </c>
      <c r="AI675" s="8"/>
      <c r="AJ675" s="27" t="b">
        <f>IF($G675&lt;&gt;0,SUMIF(куб!$G:$G,$G675,куб!T:T),IF($E675&lt;&gt;0,SUMIF(куб!$E:$E,$E675,куб!T:T),IF($D675&lt;&gt;0,SUMIF(куб!$D:$D,$D675,куб!T:T),IF($C675&lt;&gt;0,SUMIF(куб!$C:$C,$C675,куб!T:T),IF($B675&lt;&gt;0,SUMIF(куб!$B:$B,$B675,куб!T:T))))))</f>
        <v>0</v>
      </c>
      <c r="AK675" s="27" t="b">
        <f>IF($G675&lt;&gt;0,SUMIF(куб!$G:$G,$G675,куб!U:U),IF($E675&lt;&gt;0,SUMIF(куб!$E:$E,$E675,куб!U:U),IF($D675&lt;&gt;0,SUMIF(куб!$D:$D,$D675,куб!U:U),IF($C675&lt;&gt;0,SUMIF(куб!$C:$C,$C675,куб!U:U),IF($B675&lt;&gt;0,SUMIF(куб!$B:$B,$B675,куб!U:U))))))</f>
        <v>0</v>
      </c>
      <c r="AL675" s="16" t="str">
        <f t="shared" si="230"/>
        <v>-</v>
      </c>
      <c r="AM675" s="8"/>
      <c r="AN675" s="17" t="str">
        <f t="shared" si="231"/>
        <v xml:space="preserve"> </v>
      </c>
      <c r="AO675" s="17" t="str">
        <f t="shared" si="232"/>
        <v xml:space="preserve"> </v>
      </c>
      <c r="AP675" s="16" t="str">
        <f t="shared" si="233"/>
        <v>-</v>
      </c>
      <c r="AQ675" s="8"/>
      <c r="AR675" s="17" t="str">
        <f t="shared" si="234"/>
        <v>-</v>
      </c>
      <c r="AS675" s="17" t="str">
        <f t="shared" si="235"/>
        <v>-</v>
      </c>
      <c r="AT675" s="13" t="str">
        <f t="shared" si="236"/>
        <v>-</v>
      </c>
      <c r="AU675" s="8"/>
    </row>
    <row r="676" spans="1:47" x14ac:dyDescent="0.25">
      <c r="A676" s="31"/>
      <c r="B676" s="31"/>
      <c r="C676"/>
      <c r="D676" s="31"/>
      <c r="E676"/>
      <c r="F676" s="31"/>
      <c r="G676"/>
      <c r="H676" s="27">
        <f>IF($G676&lt;&gt;0,SUMIF(куб!$G:$G,$G676,куб!H:H),IF($E676&lt;&gt;0,SUMIF(куб!$E:$E,$E676,куб!H:H),IF($D676&lt;&gt;0,SUMIF(куб!$D:$D,$D676,куб!H:H),IF($C676&lt;&gt;0,SUMIF(куб!$C:$C,$C676,куб!H:H),IF($B676&lt;&gt;0,SUMIF(куб!$B:$B,$B676,куб!H:H),IF($G676&lt;&gt;0,SUMIF(куб!$A:$A,$G676,куб!H:H),SUMIF(куб!$A:$A,$G676,куб!H:H)))))))</f>
        <v>0</v>
      </c>
      <c r="I676" s="27">
        <f>IF($G676&lt;&gt;0,SUMIF(куб!$G:$G,$G676,куб!I:I),IF($E676&lt;&gt;0,SUMIF(куб!$E:$E,$E676,куб!I:I),IF($D676&lt;&gt;0,SUMIF(куб!$D:$D,$D676,куб!I:I),IF($C676&lt;&gt;0,SUMIF(куб!$C:$C,$C676,куб!I:I),IF($B676&lt;&gt;0,SUMIF(куб!$B:$B,$B676,куб!I:I),IF($G676&lt;&gt;0,SUMIF(куб!$A:$A,$G676,куб!I:I),SUMIF(куб!$A:$A,$G676,куб!I:I)))))))</f>
        <v>0</v>
      </c>
      <c r="J676" s="19" t="str">
        <f t="shared" si="219"/>
        <v>-</v>
      </c>
      <c r="K676" s="8"/>
      <c r="L676" s="17">
        <f t="shared" si="220"/>
        <v>0</v>
      </c>
      <c r="M676" s="17">
        <f t="shared" si="221"/>
        <v>0</v>
      </c>
      <c r="N676" s="12">
        <f t="shared" si="222"/>
        <v>0</v>
      </c>
      <c r="O676" s="5"/>
      <c r="P676" s="27" t="b">
        <f>IF($G676&lt;&gt;0,SUMIF(куб!$G:$G,$G676,куб!J:J),IF($E676&lt;&gt;0,SUMIF(куб!$E:$E,$E676,куб!J:J),IF($D676&lt;&gt;0,SUMIF(куб!$D:$D,$D676,куб!J:J),IF($C676&lt;&gt;0,SUMIF(куб!$C:$C,$C676,куб!J:J),IF($B676&lt;&gt;0,SUMIF(куб!$B:$B,$B676,куб!J:J))))))</f>
        <v>0</v>
      </c>
      <c r="Q676" s="27" t="b">
        <f>IF($G676&lt;&gt;0,SUMIF(куб!$G:$G,$G676,куб!K:K),IF($E676&lt;&gt;0,SUMIF(куб!$E:$E,$E676,куб!K:K),IF($D676&lt;&gt;0,SUMIF(куб!$D:$D,$D676,куб!K:K),IF($C676&lt;&gt;0,SUMIF(куб!$C:$C,$C676,куб!K:K),IF($B676&lt;&gt;0,SUMIF(куб!$B:$B,$B676,куб!K:K))))))</f>
        <v>0</v>
      </c>
      <c r="R676" s="13" t="str">
        <f t="shared" si="223"/>
        <v>-</v>
      </c>
      <c r="S676" s="5"/>
      <c r="T676" s="27" t="b">
        <f>IF($G676&lt;&gt;0,SUMIF(куб!$G:$G,$G676,куб!L:L),IF($E676&lt;&gt;0,SUMIF(куб!$E:$E,$E676,куб!L:L),IF($D676&lt;&gt;0,SUMIF(куб!$D:$D,$D676,куб!L:L),IF($C676&lt;&gt;0,SUMIF(куб!$C:$C,$C676,куб!L:L),IF($B676&lt;&gt;0,SUMIF(куб!$B:$B,$B676,куб!L:L))))))</f>
        <v>0</v>
      </c>
      <c r="U676" s="27" t="b">
        <f>IF($G676&lt;&gt;0,SUMIF(куб!$G:$G,$G676,куб!M:M),IF($E676&lt;&gt;0,SUMIF(куб!$E:$E,$E676,куб!M:M),IF($D676&lt;&gt;0,SUMIF(куб!$D:$D,$D676,куб!M:M),IF($C676&lt;&gt;0,SUMIF(куб!$C:$C,$C676,куб!M:M),IF($B676&lt;&gt;0,SUMIF(куб!$B:$B,$B676,куб!M:M))))))</f>
        <v>0</v>
      </c>
      <c r="V676" s="13" t="str">
        <f t="shared" si="224"/>
        <v>-</v>
      </c>
      <c r="W676" s="5"/>
      <c r="X676" s="27" t="b">
        <f>IF($G676&lt;&gt;0,SUMIF(куб!$G:$G,$G676,куб!N:N),IF($E676&lt;&gt;0,SUMIF(куб!$E:$E,$E676,куб!N:N),IF($D676&lt;&gt;0,SUMIF(куб!$D:$D,$D676,куб!N:N),IF($C676&lt;&gt;0,SUMIF(куб!$C:$C,$C676,куб!N:N),IF($B676&lt;&gt;0,SUMIF(куб!$B:$B,$B676,куб!N:N))))))</f>
        <v>0</v>
      </c>
      <c r="Y676" s="27" t="b">
        <f>IF($G676&lt;&gt;0,SUMIF(куб!$G:$G,$G676,куб!O:O),IF($E676&lt;&gt;0,SUMIF(куб!$E:$E,$E676,куб!O:O),IF($D676&lt;&gt;0,SUMIF(куб!$D:$D,$D676,куб!O:O),IF($C676&lt;&gt;0,SUMIF(куб!$C:$C,$C676,куб!O:O),IF($B676&lt;&gt;0,SUMIF(куб!$B:$B,$B676,куб!O:O))))))</f>
        <v>0</v>
      </c>
      <c r="Z676" s="13" t="str">
        <f t="shared" si="225"/>
        <v>-</v>
      </c>
      <c r="AA676" s="5"/>
      <c r="AB676" s="33" t="str">
        <f t="shared" si="226"/>
        <v/>
      </c>
      <c r="AC676" s="33" t="str">
        <f t="shared" si="227"/>
        <v/>
      </c>
      <c r="AD676" s="15" t="str">
        <f t="shared" si="228"/>
        <v xml:space="preserve"> </v>
      </c>
      <c r="AE676" s="5"/>
      <c r="AF676" s="27" t="b">
        <f>IF($G676&lt;&gt;0,SUMIF(куб!$G:$G,$G676,куб!R:R),IF($E676&lt;&gt;0,SUMIF(куб!$E:$E,$E676,куб!R:R),IF($D676&lt;&gt;0,SUMIF(куб!$D:$D,$D676,куб!R:R),IF($C676&lt;&gt;0,SUMIF(куб!$C:$C,$C676,куб!R:R),IF($B676&lt;&gt;0,SUMIF(куб!$B:$B,$B676,куб!R:R))))))</f>
        <v>0</v>
      </c>
      <c r="AG676" s="27" t="b">
        <f>IF($G676&lt;&gt;0,SUMIF(куб!$G:$G,$G676,куб!S:S),IF($E676&lt;&gt;0,SUMIF(куб!$E:$E,$E676,куб!S:S),IF($D676&lt;&gt;0,SUMIF(куб!$D:$D,$D676,куб!S:S),IF($C676&lt;&gt;0,SUMIF(куб!$C:$C,$C676,куб!S:S),IF($B676&lt;&gt;0,SUMIF(куб!$B:$B,$B676,куб!S:S))))))</f>
        <v>0</v>
      </c>
      <c r="AH676" s="16" t="str">
        <f t="shared" si="229"/>
        <v>-</v>
      </c>
      <c r="AI676" s="8"/>
      <c r="AJ676" s="27" t="b">
        <f>IF($G676&lt;&gt;0,SUMIF(куб!$G:$G,$G676,куб!T:T),IF($E676&lt;&gt;0,SUMIF(куб!$E:$E,$E676,куб!T:T),IF($D676&lt;&gt;0,SUMIF(куб!$D:$D,$D676,куб!T:T),IF($C676&lt;&gt;0,SUMIF(куб!$C:$C,$C676,куб!T:T),IF($B676&lt;&gt;0,SUMIF(куб!$B:$B,$B676,куб!T:T))))))</f>
        <v>0</v>
      </c>
      <c r="AK676" s="27" t="b">
        <f>IF($G676&lt;&gt;0,SUMIF(куб!$G:$G,$G676,куб!U:U),IF($E676&lt;&gt;0,SUMIF(куб!$E:$E,$E676,куб!U:U),IF($D676&lt;&gt;0,SUMIF(куб!$D:$D,$D676,куб!U:U),IF($C676&lt;&gt;0,SUMIF(куб!$C:$C,$C676,куб!U:U),IF($B676&lt;&gt;0,SUMIF(куб!$B:$B,$B676,куб!U:U))))))</f>
        <v>0</v>
      </c>
      <c r="AL676" s="16" t="str">
        <f t="shared" si="230"/>
        <v>-</v>
      </c>
      <c r="AM676" s="8"/>
      <c r="AN676" s="17" t="str">
        <f t="shared" si="231"/>
        <v xml:space="preserve"> </v>
      </c>
      <c r="AO676" s="17" t="str">
        <f t="shared" si="232"/>
        <v xml:space="preserve"> </v>
      </c>
      <c r="AP676" s="16" t="str">
        <f t="shared" si="233"/>
        <v>-</v>
      </c>
      <c r="AQ676" s="8"/>
      <c r="AR676" s="17" t="str">
        <f t="shared" si="234"/>
        <v>-</v>
      </c>
      <c r="AS676" s="17" t="str">
        <f t="shared" si="235"/>
        <v>-</v>
      </c>
      <c r="AT676" s="13" t="str">
        <f t="shared" si="236"/>
        <v>-</v>
      </c>
      <c r="AU676" s="8"/>
    </row>
    <row r="677" spans="1:47" x14ac:dyDescent="0.25">
      <c r="A677" s="31"/>
      <c r="B677" s="31"/>
      <c r="C677"/>
      <c r="D677" s="31"/>
      <c r="E677"/>
      <c r="F677" s="31"/>
      <c r="G677"/>
      <c r="H677" s="27">
        <f>IF($G677&lt;&gt;0,SUMIF(куб!$G:$G,$G677,куб!H:H),IF($E677&lt;&gt;0,SUMIF(куб!$E:$E,$E677,куб!H:H),IF($D677&lt;&gt;0,SUMIF(куб!$D:$D,$D677,куб!H:H),IF($C677&lt;&gt;0,SUMIF(куб!$C:$C,$C677,куб!H:H),IF($B677&lt;&gt;0,SUMIF(куб!$B:$B,$B677,куб!H:H),IF($G677&lt;&gt;0,SUMIF(куб!$A:$A,$G677,куб!H:H),SUMIF(куб!$A:$A,$G677,куб!H:H)))))))</f>
        <v>0</v>
      </c>
      <c r="I677" s="27">
        <f>IF($G677&lt;&gt;0,SUMIF(куб!$G:$G,$G677,куб!I:I),IF($E677&lt;&gt;0,SUMIF(куб!$E:$E,$E677,куб!I:I),IF($D677&lt;&gt;0,SUMIF(куб!$D:$D,$D677,куб!I:I),IF($C677&lt;&gt;0,SUMIF(куб!$C:$C,$C677,куб!I:I),IF($B677&lt;&gt;0,SUMIF(куб!$B:$B,$B677,куб!I:I),IF($G677&lt;&gt;0,SUMIF(куб!$A:$A,$G677,куб!I:I),SUMIF(куб!$A:$A,$G677,куб!I:I)))))))</f>
        <v>0</v>
      </c>
      <c r="J677" s="19" t="str">
        <f t="shared" si="219"/>
        <v>-</v>
      </c>
      <c r="K677" s="8"/>
      <c r="L677" s="17">
        <f t="shared" si="220"/>
        <v>0</v>
      </c>
      <c r="M677" s="17">
        <f t="shared" si="221"/>
        <v>0</v>
      </c>
      <c r="N677" s="12">
        <f t="shared" si="222"/>
        <v>0</v>
      </c>
      <c r="O677" s="5"/>
      <c r="P677" s="27" t="b">
        <f>IF($G677&lt;&gt;0,SUMIF(куб!$G:$G,$G677,куб!J:J),IF($E677&lt;&gt;0,SUMIF(куб!$E:$E,$E677,куб!J:J),IF($D677&lt;&gt;0,SUMIF(куб!$D:$D,$D677,куб!J:J),IF($C677&lt;&gt;0,SUMIF(куб!$C:$C,$C677,куб!J:J),IF($B677&lt;&gt;0,SUMIF(куб!$B:$B,$B677,куб!J:J))))))</f>
        <v>0</v>
      </c>
      <c r="Q677" s="27" t="b">
        <f>IF($G677&lt;&gt;0,SUMIF(куб!$G:$G,$G677,куб!K:K),IF($E677&lt;&gt;0,SUMIF(куб!$E:$E,$E677,куб!K:K),IF($D677&lt;&gt;0,SUMIF(куб!$D:$D,$D677,куб!K:K),IF($C677&lt;&gt;0,SUMIF(куб!$C:$C,$C677,куб!K:K),IF($B677&lt;&gt;0,SUMIF(куб!$B:$B,$B677,куб!K:K))))))</f>
        <v>0</v>
      </c>
      <c r="R677" s="13" t="str">
        <f t="shared" si="223"/>
        <v>-</v>
      </c>
      <c r="S677" s="5"/>
      <c r="T677" s="27" t="b">
        <f>IF($G677&lt;&gt;0,SUMIF(куб!$G:$G,$G677,куб!L:L),IF($E677&lt;&gt;0,SUMIF(куб!$E:$E,$E677,куб!L:L),IF($D677&lt;&gt;0,SUMIF(куб!$D:$D,$D677,куб!L:L),IF($C677&lt;&gt;0,SUMIF(куб!$C:$C,$C677,куб!L:L),IF($B677&lt;&gt;0,SUMIF(куб!$B:$B,$B677,куб!L:L))))))</f>
        <v>0</v>
      </c>
      <c r="U677" s="27" t="b">
        <f>IF($G677&lt;&gt;0,SUMIF(куб!$G:$G,$G677,куб!M:M),IF($E677&lt;&gt;0,SUMIF(куб!$E:$E,$E677,куб!M:M),IF($D677&lt;&gt;0,SUMIF(куб!$D:$D,$D677,куб!M:M),IF($C677&lt;&gt;0,SUMIF(куб!$C:$C,$C677,куб!M:M),IF($B677&lt;&gt;0,SUMIF(куб!$B:$B,$B677,куб!M:M))))))</f>
        <v>0</v>
      </c>
      <c r="V677" s="13" t="str">
        <f t="shared" si="224"/>
        <v>-</v>
      </c>
      <c r="W677" s="5"/>
      <c r="X677" s="27" t="b">
        <f>IF($G677&lt;&gt;0,SUMIF(куб!$G:$G,$G677,куб!N:N),IF($E677&lt;&gt;0,SUMIF(куб!$E:$E,$E677,куб!N:N),IF($D677&lt;&gt;0,SUMIF(куб!$D:$D,$D677,куб!N:N),IF($C677&lt;&gt;0,SUMIF(куб!$C:$C,$C677,куб!N:N),IF($B677&lt;&gt;0,SUMIF(куб!$B:$B,$B677,куб!N:N))))))</f>
        <v>0</v>
      </c>
      <c r="Y677" s="27" t="b">
        <f>IF($G677&lt;&gt;0,SUMIF(куб!$G:$G,$G677,куб!O:O),IF($E677&lt;&gt;0,SUMIF(куб!$E:$E,$E677,куб!O:O),IF($D677&lt;&gt;0,SUMIF(куб!$D:$D,$D677,куб!O:O),IF($C677&lt;&gt;0,SUMIF(куб!$C:$C,$C677,куб!O:O),IF($B677&lt;&gt;0,SUMIF(куб!$B:$B,$B677,куб!O:O))))))</f>
        <v>0</v>
      </c>
      <c r="Z677" s="13" t="str">
        <f t="shared" si="225"/>
        <v>-</v>
      </c>
      <c r="AA677" s="5"/>
      <c r="AB677" s="33" t="str">
        <f t="shared" si="226"/>
        <v/>
      </c>
      <c r="AC677" s="33" t="str">
        <f t="shared" si="227"/>
        <v/>
      </c>
      <c r="AD677" s="15" t="str">
        <f t="shared" si="228"/>
        <v xml:space="preserve"> </v>
      </c>
      <c r="AE677" s="5"/>
      <c r="AF677" s="27" t="b">
        <f>IF($G677&lt;&gt;0,SUMIF(куб!$G:$G,$G677,куб!R:R),IF($E677&lt;&gt;0,SUMIF(куб!$E:$E,$E677,куб!R:R),IF($D677&lt;&gt;0,SUMIF(куб!$D:$D,$D677,куб!R:R),IF($C677&lt;&gt;0,SUMIF(куб!$C:$C,$C677,куб!R:R),IF($B677&lt;&gt;0,SUMIF(куб!$B:$B,$B677,куб!R:R))))))</f>
        <v>0</v>
      </c>
      <c r="AG677" s="27" t="b">
        <f>IF($G677&lt;&gt;0,SUMIF(куб!$G:$G,$G677,куб!S:S),IF($E677&lt;&gt;0,SUMIF(куб!$E:$E,$E677,куб!S:S),IF($D677&lt;&gt;0,SUMIF(куб!$D:$D,$D677,куб!S:S),IF($C677&lt;&gt;0,SUMIF(куб!$C:$C,$C677,куб!S:S),IF($B677&lt;&gt;0,SUMIF(куб!$B:$B,$B677,куб!S:S))))))</f>
        <v>0</v>
      </c>
      <c r="AH677" s="16" t="str">
        <f t="shared" si="229"/>
        <v>-</v>
      </c>
      <c r="AI677" s="8"/>
      <c r="AJ677" s="27" t="b">
        <f>IF($G677&lt;&gt;0,SUMIF(куб!$G:$G,$G677,куб!T:T),IF($E677&lt;&gt;0,SUMIF(куб!$E:$E,$E677,куб!T:T),IF($D677&lt;&gt;0,SUMIF(куб!$D:$D,$D677,куб!T:T),IF($C677&lt;&gt;0,SUMIF(куб!$C:$C,$C677,куб!T:T),IF($B677&lt;&gt;0,SUMIF(куб!$B:$B,$B677,куб!T:T))))))</f>
        <v>0</v>
      </c>
      <c r="AK677" s="27" t="b">
        <f>IF($G677&lt;&gt;0,SUMIF(куб!$G:$G,$G677,куб!U:U),IF($E677&lt;&gt;0,SUMIF(куб!$E:$E,$E677,куб!U:U),IF($D677&lt;&gt;0,SUMIF(куб!$D:$D,$D677,куб!U:U),IF($C677&lt;&gt;0,SUMIF(куб!$C:$C,$C677,куб!U:U),IF($B677&lt;&gt;0,SUMIF(куб!$B:$B,$B677,куб!U:U))))))</f>
        <v>0</v>
      </c>
      <c r="AL677" s="16" t="str">
        <f t="shared" si="230"/>
        <v>-</v>
      </c>
      <c r="AM677" s="8"/>
      <c r="AN677" s="17" t="str">
        <f t="shared" si="231"/>
        <v xml:space="preserve"> </v>
      </c>
      <c r="AO677" s="17" t="str">
        <f t="shared" si="232"/>
        <v xml:space="preserve"> </v>
      </c>
      <c r="AP677" s="16" t="str">
        <f t="shared" si="233"/>
        <v>-</v>
      </c>
      <c r="AQ677" s="8"/>
      <c r="AR677" s="17" t="str">
        <f t="shared" si="234"/>
        <v>-</v>
      </c>
      <c r="AS677" s="17" t="str">
        <f t="shared" si="235"/>
        <v>-</v>
      </c>
      <c r="AT677" s="13" t="str">
        <f t="shared" si="236"/>
        <v>-</v>
      </c>
      <c r="AU677" s="8"/>
    </row>
    <row r="678" spans="1:47" x14ac:dyDescent="0.25">
      <c r="A678" s="31"/>
      <c r="B678" s="31"/>
      <c r="C678"/>
      <c r="D678" s="31"/>
      <c r="E678"/>
      <c r="F678" s="31"/>
      <c r="G678"/>
      <c r="H678" s="27">
        <f>IF($G678&lt;&gt;0,SUMIF(куб!$G:$G,$G678,куб!H:H),IF($E678&lt;&gt;0,SUMIF(куб!$E:$E,$E678,куб!H:H),IF($D678&lt;&gt;0,SUMIF(куб!$D:$D,$D678,куб!H:H),IF($C678&lt;&gt;0,SUMIF(куб!$C:$C,$C678,куб!H:H),IF($B678&lt;&gt;0,SUMIF(куб!$B:$B,$B678,куб!H:H),IF($G678&lt;&gt;0,SUMIF(куб!$A:$A,$G678,куб!H:H),SUMIF(куб!$A:$A,$G678,куб!H:H)))))))</f>
        <v>0</v>
      </c>
      <c r="I678" s="27">
        <f>IF($G678&lt;&gt;0,SUMIF(куб!$G:$G,$G678,куб!I:I),IF($E678&lt;&gt;0,SUMIF(куб!$E:$E,$E678,куб!I:I),IF($D678&lt;&gt;0,SUMIF(куб!$D:$D,$D678,куб!I:I),IF($C678&lt;&gt;0,SUMIF(куб!$C:$C,$C678,куб!I:I),IF($B678&lt;&gt;0,SUMIF(куб!$B:$B,$B678,куб!I:I),IF($G678&lt;&gt;0,SUMIF(куб!$A:$A,$G678,куб!I:I),SUMIF(куб!$A:$A,$G678,куб!I:I)))))))</f>
        <v>0</v>
      </c>
      <c r="J678" s="19" t="str">
        <f t="shared" si="219"/>
        <v>-</v>
      </c>
      <c r="K678" s="8"/>
      <c r="L678" s="17">
        <f t="shared" si="220"/>
        <v>0</v>
      </c>
      <c r="M678" s="17">
        <f t="shared" si="221"/>
        <v>0</v>
      </c>
      <c r="N678" s="12">
        <f t="shared" si="222"/>
        <v>0</v>
      </c>
      <c r="O678" s="5"/>
      <c r="P678" s="27" t="b">
        <f>IF($G678&lt;&gt;0,SUMIF(куб!$G:$G,$G678,куб!J:J),IF($E678&lt;&gt;0,SUMIF(куб!$E:$E,$E678,куб!J:J),IF($D678&lt;&gt;0,SUMIF(куб!$D:$D,$D678,куб!J:J),IF($C678&lt;&gt;0,SUMIF(куб!$C:$C,$C678,куб!J:J),IF($B678&lt;&gt;0,SUMIF(куб!$B:$B,$B678,куб!J:J))))))</f>
        <v>0</v>
      </c>
      <c r="Q678" s="27" t="b">
        <f>IF($G678&lt;&gt;0,SUMIF(куб!$G:$G,$G678,куб!K:K),IF($E678&lt;&gt;0,SUMIF(куб!$E:$E,$E678,куб!K:K),IF($D678&lt;&gt;0,SUMIF(куб!$D:$D,$D678,куб!K:K),IF($C678&lt;&gt;0,SUMIF(куб!$C:$C,$C678,куб!K:K),IF($B678&lt;&gt;0,SUMIF(куб!$B:$B,$B678,куб!K:K))))))</f>
        <v>0</v>
      </c>
      <c r="R678" s="13" t="str">
        <f t="shared" si="223"/>
        <v>-</v>
      </c>
      <c r="S678" s="5"/>
      <c r="T678" s="27" t="b">
        <f>IF($G678&lt;&gt;0,SUMIF(куб!$G:$G,$G678,куб!L:L),IF($E678&lt;&gt;0,SUMIF(куб!$E:$E,$E678,куб!L:L),IF($D678&lt;&gt;0,SUMIF(куб!$D:$D,$D678,куб!L:L),IF($C678&lt;&gt;0,SUMIF(куб!$C:$C,$C678,куб!L:L),IF($B678&lt;&gt;0,SUMIF(куб!$B:$B,$B678,куб!L:L))))))</f>
        <v>0</v>
      </c>
      <c r="U678" s="27" t="b">
        <f>IF($G678&lt;&gt;0,SUMIF(куб!$G:$G,$G678,куб!M:M),IF($E678&lt;&gt;0,SUMIF(куб!$E:$E,$E678,куб!M:M),IF($D678&lt;&gt;0,SUMIF(куб!$D:$D,$D678,куб!M:M),IF($C678&lt;&gt;0,SUMIF(куб!$C:$C,$C678,куб!M:M),IF($B678&lt;&gt;0,SUMIF(куб!$B:$B,$B678,куб!M:M))))))</f>
        <v>0</v>
      </c>
      <c r="V678" s="13" t="str">
        <f t="shared" si="224"/>
        <v>-</v>
      </c>
      <c r="W678" s="5"/>
      <c r="X678" s="27" t="b">
        <f>IF($G678&lt;&gt;0,SUMIF(куб!$G:$G,$G678,куб!N:N),IF($E678&lt;&gt;0,SUMIF(куб!$E:$E,$E678,куб!N:N),IF($D678&lt;&gt;0,SUMIF(куб!$D:$D,$D678,куб!N:N),IF($C678&lt;&gt;0,SUMIF(куб!$C:$C,$C678,куб!N:N),IF($B678&lt;&gt;0,SUMIF(куб!$B:$B,$B678,куб!N:N))))))</f>
        <v>0</v>
      </c>
      <c r="Y678" s="27" t="b">
        <f>IF($G678&lt;&gt;0,SUMIF(куб!$G:$G,$G678,куб!O:O),IF($E678&lt;&gt;0,SUMIF(куб!$E:$E,$E678,куб!O:O),IF($D678&lt;&gt;0,SUMIF(куб!$D:$D,$D678,куб!O:O),IF($C678&lt;&gt;0,SUMIF(куб!$C:$C,$C678,куб!O:O),IF($B678&lt;&gt;0,SUMIF(куб!$B:$B,$B678,куб!O:O))))))</f>
        <v>0</v>
      </c>
      <c r="Z678" s="13" t="str">
        <f t="shared" si="225"/>
        <v>-</v>
      </c>
      <c r="AA678" s="5"/>
      <c r="AB678" s="33" t="str">
        <f t="shared" si="226"/>
        <v/>
      </c>
      <c r="AC678" s="33" t="str">
        <f t="shared" si="227"/>
        <v/>
      </c>
      <c r="AD678" s="15" t="str">
        <f t="shared" si="228"/>
        <v xml:space="preserve"> </v>
      </c>
      <c r="AE678" s="5"/>
      <c r="AF678" s="27" t="b">
        <f>IF($G678&lt;&gt;0,SUMIF(куб!$G:$G,$G678,куб!R:R),IF($E678&lt;&gt;0,SUMIF(куб!$E:$E,$E678,куб!R:R),IF($D678&lt;&gt;0,SUMIF(куб!$D:$D,$D678,куб!R:R),IF($C678&lt;&gt;0,SUMIF(куб!$C:$C,$C678,куб!R:R),IF($B678&lt;&gt;0,SUMIF(куб!$B:$B,$B678,куб!R:R))))))</f>
        <v>0</v>
      </c>
      <c r="AG678" s="27" t="b">
        <f>IF($G678&lt;&gt;0,SUMIF(куб!$G:$G,$G678,куб!S:S),IF($E678&lt;&gt;0,SUMIF(куб!$E:$E,$E678,куб!S:S),IF($D678&lt;&gt;0,SUMIF(куб!$D:$D,$D678,куб!S:S),IF($C678&lt;&gt;0,SUMIF(куб!$C:$C,$C678,куб!S:S),IF($B678&lt;&gt;0,SUMIF(куб!$B:$B,$B678,куб!S:S))))))</f>
        <v>0</v>
      </c>
      <c r="AH678" s="16" t="str">
        <f t="shared" si="229"/>
        <v>-</v>
      </c>
      <c r="AI678" s="8"/>
      <c r="AJ678" s="27" t="b">
        <f>IF($G678&lt;&gt;0,SUMIF(куб!$G:$G,$G678,куб!T:T),IF($E678&lt;&gt;0,SUMIF(куб!$E:$E,$E678,куб!T:T),IF($D678&lt;&gt;0,SUMIF(куб!$D:$D,$D678,куб!T:T),IF($C678&lt;&gt;0,SUMIF(куб!$C:$C,$C678,куб!T:T),IF($B678&lt;&gt;0,SUMIF(куб!$B:$B,$B678,куб!T:T))))))</f>
        <v>0</v>
      </c>
      <c r="AK678" s="27" t="b">
        <f>IF($G678&lt;&gt;0,SUMIF(куб!$G:$G,$G678,куб!U:U),IF($E678&lt;&gt;0,SUMIF(куб!$E:$E,$E678,куб!U:U),IF($D678&lt;&gt;0,SUMIF(куб!$D:$D,$D678,куб!U:U),IF($C678&lt;&gt;0,SUMIF(куб!$C:$C,$C678,куб!U:U),IF($B678&lt;&gt;0,SUMIF(куб!$B:$B,$B678,куб!U:U))))))</f>
        <v>0</v>
      </c>
      <c r="AL678" s="16" t="str">
        <f t="shared" si="230"/>
        <v>-</v>
      </c>
      <c r="AM678" s="8"/>
      <c r="AN678" s="17" t="str">
        <f t="shared" si="231"/>
        <v xml:space="preserve"> </v>
      </c>
      <c r="AO678" s="17" t="str">
        <f t="shared" si="232"/>
        <v xml:space="preserve"> </v>
      </c>
      <c r="AP678" s="16" t="str">
        <f t="shared" si="233"/>
        <v>-</v>
      </c>
      <c r="AQ678" s="8"/>
      <c r="AR678" s="17" t="str">
        <f t="shared" si="234"/>
        <v>-</v>
      </c>
      <c r="AS678" s="17" t="str">
        <f t="shared" si="235"/>
        <v>-</v>
      </c>
      <c r="AT678" s="13" t="str">
        <f t="shared" si="236"/>
        <v>-</v>
      </c>
      <c r="AU678" s="8"/>
    </row>
    <row r="679" spans="1:47" x14ac:dyDescent="0.25">
      <c r="A679" s="31"/>
      <c r="B679" s="31"/>
      <c r="C679"/>
      <c r="D679" s="31"/>
      <c r="E679"/>
      <c r="F679" s="31"/>
      <c r="G679"/>
      <c r="H679" s="27">
        <f>IF($G679&lt;&gt;0,SUMIF(куб!$G:$G,$G679,куб!H:H),IF($E679&lt;&gt;0,SUMIF(куб!$E:$E,$E679,куб!H:H),IF($D679&lt;&gt;0,SUMIF(куб!$D:$D,$D679,куб!H:H),IF($C679&lt;&gt;0,SUMIF(куб!$C:$C,$C679,куб!H:H),IF($B679&lt;&gt;0,SUMIF(куб!$B:$B,$B679,куб!H:H),IF($G679&lt;&gt;0,SUMIF(куб!$A:$A,$G679,куб!H:H),SUMIF(куб!$A:$A,$G679,куб!H:H)))))))</f>
        <v>0</v>
      </c>
      <c r="I679" s="27">
        <f>IF($G679&lt;&gt;0,SUMIF(куб!$G:$G,$G679,куб!I:I),IF($E679&lt;&gt;0,SUMIF(куб!$E:$E,$E679,куб!I:I),IF($D679&lt;&gt;0,SUMIF(куб!$D:$D,$D679,куб!I:I),IF($C679&lt;&gt;0,SUMIF(куб!$C:$C,$C679,куб!I:I),IF($B679&lt;&gt;0,SUMIF(куб!$B:$B,$B679,куб!I:I),IF($G679&lt;&gt;0,SUMIF(куб!$A:$A,$G679,куб!I:I),SUMIF(куб!$A:$A,$G679,куб!I:I)))))))</f>
        <v>0</v>
      </c>
      <c r="J679" s="19" t="str">
        <f t="shared" si="219"/>
        <v>-</v>
      </c>
      <c r="K679" s="8"/>
      <c r="L679" s="17">
        <f t="shared" si="220"/>
        <v>0</v>
      </c>
      <c r="M679" s="17">
        <f t="shared" si="221"/>
        <v>0</v>
      </c>
      <c r="N679" s="12">
        <f t="shared" si="222"/>
        <v>0</v>
      </c>
      <c r="O679" s="5"/>
      <c r="P679" s="27" t="b">
        <f>IF($G679&lt;&gt;0,SUMIF(куб!$G:$G,$G679,куб!J:J),IF($E679&lt;&gt;0,SUMIF(куб!$E:$E,$E679,куб!J:J),IF($D679&lt;&gt;0,SUMIF(куб!$D:$D,$D679,куб!J:J),IF($C679&lt;&gt;0,SUMIF(куб!$C:$C,$C679,куб!J:J),IF($B679&lt;&gt;0,SUMIF(куб!$B:$B,$B679,куб!J:J))))))</f>
        <v>0</v>
      </c>
      <c r="Q679" s="27" t="b">
        <f>IF($G679&lt;&gt;0,SUMIF(куб!$G:$G,$G679,куб!K:K),IF($E679&lt;&gt;0,SUMIF(куб!$E:$E,$E679,куб!K:K),IF($D679&lt;&gt;0,SUMIF(куб!$D:$D,$D679,куб!K:K),IF($C679&lt;&gt;0,SUMIF(куб!$C:$C,$C679,куб!K:K),IF($B679&lt;&gt;0,SUMIF(куб!$B:$B,$B679,куб!K:K))))))</f>
        <v>0</v>
      </c>
      <c r="R679" s="13" t="str">
        <f t="shared" si="223"/>
        <v>-</v>
      </c>
      <c r="S679" s="5"/>
      <c r="T679" s="27" t="b">
        <f>IF($G679&lt;&gt;0,SUMIF(куб!$G:$G,$G679,куб!L:L),IF($E679&lt;&gt;0,SUMIF(куб!$E:$E,$E679,куб!L:L),IF($D679&lt;&gt;0,SUMIF(куб!$D:$D,$D679,куб!L:L),IF($C679&lt;&gt;0,SUMIF(куб!$C:$C,$C679,куб!L:L),IF($B679&lt;&gt;0,SUMIF(куб!$B:$B,$B679,куб!L:L))))))</f>
        <v>0</v>
      </c>
      <c r="U679" s="27" t="b">
        <f>IF($G679&lt;&gt;0,SUMIF(куб!$G:$G,$G679,куб!M:M),IF($E679&lt;&gt;0,SUMIF(куб!$E:$E,$E679,куб!M:M),IF($D679&lt;&gt;0,SUMIF(куб!$D:$D,$D679,куб!M:M),IF($C679&lt;&gt;0,SUMIF(куб!$C:$C,$C679,куб!M:M),IF($B679&lt;&gt;0,SUMIF(куб!$B:$B,$B679,куб!M:M))))))</f>
        <v>0</v>
      </c>
      <c r="V679" s="13" t="str">
        <f t="shared" si="224"/>
        <v>-</v>
      </c>
      <c r="W679" s="5"/>
      <c r="X679" s="27" t="b">
        <f>IF($G679&lt;&gt;0,SUMIF(куб!$G:$G,$G679,куб!N:N),IF($E679&lt;&gt;0,SUMIF(куб!$E:$E,$E679,куб!N:N),IF($D679&lt;&gt;0,SUMIF(куб!$D:$D,$D679,куб!N:N),IF($C679&lt;&gt;0,SUMIF(куб!$C:$C,$C679,куб!N:N),IF($B679&lt;&gt;0,SUMIF(куб!$B:$B,$B679,куб!N:N))))))</f>
        <v>0</v>
      </c>
      <c r="Y679" s="27" t="b">
        <f>IF($G679&lt;&gt;0,SUMIF(куб!$G:$G,$G679,куб!O:O),IF($E679&lt;&gt;0,SUMIF(куб!$E:$E,$E679,куб!O:O),IF($D679&lt;&gt;0,SUMIF(куб!$D:$D,$D679,куб!O:O),IF($C679&lt;&gt;0,SUMIF(куб!$C:$C,$C679,куб!O:O),IF($B679&lt;&gt;0,SUMIF(куб!$B:$B,$B679,куб!O:O))))))</f>
        <v>0</v>
      </c>
      <c r="Z679" s="13" t="str">
        <f t="shared" si="225"/>
        <v>-</v>
      </c>
      <c r="AA679" s="5"/>
      <c r="AB679" s="33" t="str">
        <f t="shared" si="226"/>
        <v/>
      </c>
      <c r="AC679" s="33" t="str">
        <f t="shared" si="227"/>
        <v/>
      </c>
      <c r="AD679" s="15" t="str">
        <f t="shared" si="228"/>
        <v xml:space="preserve"> </v>
      </c>
      <c r="AE679" s="5"/>
      <c r="AF679" s="27" t="b">
        <f>IF($G679&lt;&gt;0,SUMIF(куб!$G:$G,$G679,куб!R:R),IF($E679&lt;&gt;0,SUMIF(куб!$E:$E,$E679,куб!R:R),IF($D679&lt;&gt;0,SUMIF(куб!$D:$D,$D679,куб!R:R),IF($C679&lt;&gt;0,SUMIF(куб!$C:$C,$C679,куб!R:R),IF($B679&lt;&gt;0,SUMIF(куб!$B:$B,$B679,куб!R:R))))))</f>
        <v>0</v>
      </c>
      <c r="AG679" s="27" t="b">
        <f>IF($G679&lt;&gt;0,SUMIF(куб!$G:$G,$G679,куб!S:S),IF($E679&lt;&gt;0,SUMIF(куб!$E:$E,$E679,куб!S:S),IF($D679&lt;&gt;0,SUMIF(куб!$D:$D,$D679,куб!S:S),IF($C679&lt;&gt;0,SUMIF(куб!$C:$C,$C679,куб!S:S),IF($B679&lt;&gt;0,SUMIF(куб!$B:$B,$B679,куб!S:S))))))</f>
        <v>0</v>
      </c>
      <c r="AH679" s="16" t="str">
        <f t="shared" si="229"/>
        <v>-</v>
      </c>
      <c r="AI679" s="8"/>
      <c r="AJ679" s="27" t="b">
        <f>IF($G679&lt;&gt;0,SUMIF(куб!$G:$G,$G679,куб!T:T),IF($E679&lt;&gt;0,SUMIF(куб!$E:$E,$E679,куб!T:T),IF($D679&lt;&gt;0,SUMIF(куб!$D:$D,$D679,куб!T:T),IF($C679&lt;&gt;0,SUMIF(куб!$C:$C,$C679,куб!T:T),IF($B679&lt;&gt;0,SUMIF(куб!$B:$B,$B679,куб!T:T))))))</f>
        <v>0</v>
      </c>
      <c r="AK679" s="27" t="b">
        <f>IF($G679&lt;&gt;0,SUMIF(куб!$G:$G,$G679,куб!U:U),IF($E679&lt;&gt;0,SUMIF(куб!$E:$E,$E679,куб!U:U),IF($D679&lt;&gt;0,SUMIF(куб!$D:$D,$D679,куб!U:U),IF($C679&lt;&gt;0,SUMIF(куб!$C:$C,$C679,куб!U:U),IF($B679&lt;&gt;0,SUMIF(куб!$B:$B,$B679,куб!U:U))))))</f>
        <v>0</v>
      </c>
      <c r="AL679" s="16" t="str">
        <f t="shared" si="230"/>
        <v>-</v>
      </c>
      <c r="AM679" s="8"/>
      <c r="AN679" s="17" t="str">
        <f t="shared" si="231"/>
        <v xml:space="preserve"> </v>
      </c>
      <c r="AO679" s="17" t="str">
        <f t="shared" si="232"/>
        <v xml:space="preserve"> </v>
      </c>
      <c r="AP679" s="16" t="str">
        <f t="shared" si="233"/>
        <v>-</v>
      </c>
      <c r="AQ679" s="8"/>
      <c r="AR679" s="17" t="str">
        <f t="shared" si="234"/>
        <v>-</v>
      </c>
      <c r="AS679" s="17" t="str">
        <f t="shared" si="235"/>
        <v>-</v>
      </c>
      <c r="AT679" s="13" t="str">
        <f t="shared" si="236"/>
        <v>-</v>
      </c>
      <c r="AU679" s="8"/>
    </row>
    <row r="680" spans="1:47" x14ac:dyDescent="0.25">
      <c r="A680" s="31"/>
      <c r="B680" s="31"/>
      <c r="C680"/>
      <c r="D680" s="31"/>
      <c r="E680"/>
      <c r="F680" s="31"/>
      <c r="G680"/>
      <c r="H680" s="27">
        <f>IF($G680&lt;&gt;0,SUMIF(куб!$G:$G,$G680,куб!H:H),IF($E680&lt;&gt;0,SUMIF(куб!$E:$E,$E680,куб!H:H),IF($D680&lt;&gt;0,SUMIF(куб!$D:$D,$D680,куб!H:H),IF($C680&lt;&gt;0,SUMIF(куб!$C:$C,$C680,куб!H:H),IF($B680&lt;&gt;0,SUMIF(куб!$B:$B,$B680,куб!H:H),IF($G680&lt;&gt;0,SUMIF(куб!$A:$A,$G680,куб!H:H),SUMIF(куб!$A:$A,$G680,куб!H:H)))))))</f>
        <v>0</v>
      </c>
      <c r="I680" s="27">
        <f>IF($G680&lt;&gt;0,SUMIF(куб!$G:$G,$G680,куб!I:I),IF($E680&lt;&gt;0,SUMIF(куб!$E:$E,$E680,куб!I:I),IF($D680&lt;&gt;0,SUMIF(куб!$D:$D,$D680,куб!I:I),IF($C680&lt;&gt;0,SUMIF(куб!$C:$C,$C680,куб!I:I),IF($B680&lt;&gt;0,SUMIF(куб!$B:$B,$B680,куб!I:I),IF($G680&lt;&gt;0,SUMIF(куб!$A:$A,$G680,куб!I:I),SUMIF(куб!$A:$A,$G680,куб!I:I)))))))</f>
        <v>0</v>
      </c>
      <c r="J680" s="19" t="str">
        <f t="shared" si="219"/>
        <v>-</v>
      </c>
      <c r="K680" s="8"/>
      <c r="L680" s="17">
        <f t="shared" si="220"/>
        <v>0</v>
      </c>
      <c r="M680" s="17">
        <f t="shared" si="221"/>
        <v>0</v>
      </c>
      <c r="N680" s="12">
        <f t="shared" si="222"/>
        <v>0</v>
      </c>
      <c r="O680" s="5"/>
      <c r="P680" s="27" t="b">
        <f>IF($G680&lt;&gt;0,SUMIF(куб!$G:$G,$G680,куб!J:J),IF($E680&lt;&gt;0,SUMIF(куб!$E:$E,$E680,куб!J:J),IF($D680&lt;&gt;0,SUMIF(куб!$D:$D,$D680,куб!J:J),IF($C680&lt;&gt;0,SUMIF(куб!$C:$C,$C680,куб!J:J),IF($B680&lt;&gt;0,SUMIF(куб!$B:$B,$B680,куб!J:J))))))</f>
        <v>0</v>
      </c>
      <c r="Q680" s="27" t="b">
        <f>IF($G680&lt;&gt;0,SUMIF(куб!$G:$G,$G680,куб!K:K),IF($E680&lt;&gt;0,SUMIF(куб!$E:$E,$E680,куб!K:K),IF($D680&lt;&gt;0,SUMIF(куб!$D:$D,$D680,куб!K:K),IF($C680&lt;&gt;0,SUMIF(куб!$C:$C,$C680,куб!K:K),IF($B680&lt;&gt;0,SUMIF(куб!$B:$B,$B680,куб!K:K))))))</f>
        <v>0</v>
      </c>
      <c r="R680" s="13" t="str">
        <f t="shared" si="223"/>
        <v>-</v>
      </c>
      <c r="S680" s="5"/>
      <c r="T680" s="27" t="b">
        <f>IF($G680&lt;&gt;0,SUMIF(куб!$G:$G,$G680,куб!L:L),IF($E680&lt;&gt;0,SUMIF(куб!$E:$E,$E680,куб!L:L),IF($D680&lt;&gt;0,SUMIF(куб!$D:$D,$D680,куб!L:L),IF($C680&lt;&gt;0,SUMIF(куб!$C:$C,$C680,куб!L:L),IF($B680&lt;&gt;0,SUMIF(куб!$B:$B,$B680,куб!L:L))))))</f>
        <v>0</v>
      </c>
      <c r="U680" s="27" t="b">
        <f>IF($G680&lt;&gt;0,SUMIF(куб!$G:$G,$G680,куб!M:M),IF($E680&lt;&gt;0,SUMIF(куб!$E:$E,$E680,куб!M:M),IF($D680&lt;&gt;0,SUMIF(куб!$D:$D,$D680,куб!M:M),IF($C680&lt;&gt;0,SUMIF(куб!$C:$C,$C680,куб!M:M),IF($B680&lt;&gt;0,SUMIF(куб!$B:$B,$B680,куб!M:M))))))</f>
        <v>0</v>
      </c>
      <c r="V680" s="13" t="str">
        <f t="shared" si="224"/>
        <v>-</v>
      </c>
      <c r="W680" s="5"/>
      <c r="X680" s="27" t="b">
        <f>IF($G680&lt;&gt;0,SUMIF(куб!$G:$G,$G680,куб!N:N),IF($E680&lt;&gt;0,SUMIF(куб!$E:$E,$E680,куб!N:N),IF($D680&lt;&gt;0,SUMIF(куб!$D:$D,$D680,куб!N:N),IF($C680&lt;&gt;0,SUMIF(куб!$C:$C,$C680,куб!N:N),IF($B680&lt;&gt;0,SUMIF(куб!$B:$B,$B680,куб!N:N))))))</f>
        <v>0</v>
      </c>
      <c r="Y680" s="27" t="b">
        <f>IF($G680&lt;&gt;0,SUMIF(куб!$G:$G,$G680,куб!O:O),IF($E680&lt;&gt;0,SUMIF(куб!$E:$E,$E680,куб!O:O),IF($D680&lt;&gt;0,SUMIF(куб!$D:$D,$D680,куб!O:O),IF($C680&lt;&gt;0,SUMIF(куб!$C:$C,$C680,куб!O:O),IF($B680&lt;&gt;0,SUMIF(куб!$B:$B,$B680,куб!O:O))))))</f>
        <v>0</v>
      </c>
      <c r="Z680" s="13" t="str">
        <f t="shared" si="225"/>
        <v>-</v>
      </c>
      <c r="AA680" s="5"/>
      <c r="AB680" s="33" t="str">
        <f t="shared" si="226"/>
        <v/>
      </c>
      <c r="AC680" s="33" t="str">
        <f t="shared" si="227"/>
        <v/>
      </c>
      <c r="AD680" s="15" t="str">
        <f t="shared" si="228"/>
        <v xml:space="preserve"> </v>
      </c>
      <c r="AE680" s="5"/>
      <c r="AF680" s="27" t="b">
        <f>IF($G680&lt;&gt;0,SUMIF(куб!$G:$G,$G680,куб!R:R),IF($E680&lt;&gt;0,SUMIF(куб!$E:$E,$E680,куб!R:R),IF($D680&lt;&gt;0,SUMIF(куб!$D:$D,$D680,куб!R:R),IF($C680&lt;&gt;0,SUMIF(куб!$C:$C,$C680,куб!R:R),IF($B680&lt;&gt;0,SUMIF(куб!$B:$B,$B680,куб!R:R))))))</f>
        <v>0</v>
      </c>
      <c r="AG680" s="27" t="b">
        <f>IF($G680&lt;&gt;0,SUMIF(куб!$G:$G,$G680,куб!S:S),IF($E680&lt;&gt;0,SUMIF(куб!$E:$E,$E680,куб!S:S),IF($D680&lt;&gt;0,SUMIF(куб!$D:$D,$D680,куб!S:S),IF($C680&lt;&gt;0,SUMIF(куб!$C:$C,$C680,куб!S:S),IF($B680&lt;&gt;0,SUMIF(куб!$B:$B,$B680,куб!S:S))))))</f>
        <v>0</v>
      </c>
      <c r="AH680" s="16" t="str">
        <f t="shared" si="229"/>
        <v>-</v>
      </c>
      <c r="AI680" s="8"/>
      <c r="AJ680" s="27" t="b">
        <f>IF($G680&lt;&gt;0,SUMIF(куб!$G:$G,$G680,куб!T:T),IF($E680&lt;&gt;0,SUMIF(куб!$E:$E,$E680,куб!T:T),IF($D680&lt;&gt;0,SUMIF(куб!$D:$D,$D680,куб!T:T),IF($C680&lt;&gt;0,SUMIF(куб!$C:$C,$C680,куб!T:T),IF($B680&lt;&gt;0,SUMIF(куб!$B:$B,$B680,куб!T:T))))))</f>
        <v>0</v>
      </c>
      <c r="AK680" s="27" t="b">
        <f>IF($G680&lt;&gt;0,SUMIF(куб!$G:$G,$G680,куб!U:U),IF($E680&lt;&gt;0,SUMIF(куб!$E:$E,$E680,куб!U:U),IF($D680&lt;&gt;0,SUMIF(куб!$D:$D,$D680,куб!U:U),IF($C680&lt;&gt;0,SUMIF(куб!$C:$C,$C680,куб!U:U),IF($B680&lt;&gt;0,SUMIF(куб!$B:$B,$B680,куб!U:U))))))</f>
        <v>0</v>
      </c>
      <c r="AL680" s="16" t="str">
        <f t="shared" si="230"/>
        <v>-</v>
      </c>
      <c r="AM680" s="8"/>
      <c r="AN680" s="17" t="str">
        <f t="shared" si="231"/>
        <v xml:space="preserve"> </v>
      </c>
      <c r="AO680" s="17" t="str">
        <f t="shared" si="232"/>
        <v xml:space="preserve"> </v>
      </c>
      <c r="AP680" s="16" t="str">
        <f t="shared" si="233"/>
        <v>-</v>
      </c>
      <c r="AQ680" s="8"/>
      <c r="AR680" s="17" t="str">
        <f t="shared" si="234"/>
        <v>-</v>
      </c>
      <c r="AS680" s="17" t="str">
        <f t="shared" si="235"/>
        <v>-</v>
      </c>
      <c r="AT680" s="13" t="str">
        <f t="shared" si="236"/>
        <v>-</v>
      </c>
      <c r="AU680" s="8"/>
    </row>
    <row r="681" spans="1:47" x14ac:dyDescent="0.25">
      <c r="A681" s="31"/>
      <c r="B681" s="31"/>
      <c r="C681"/>
      <c r="D681" s="31"/>
      <c r="E681"/>
      <c r="F681" s="31"/>
      <c r="G681"/>
      <c r="H681" s="27">
        <f>IF($G681&lt;&gt;0,SUMIF(куб!$G:$G,$G681,куб!H:H),IF($E681&lt;&gt;0,SUMIF(куб!$E:$E,$E681,куб!H:H),IF($D681&lt;&gt;0,SUMIF(куб!$D:$D,$D681,куб!H:H),IF($C681&lt;&gt;0,SUMIF(куб!$C:$C,$C681,куб!H:H),IF($B681&lt;&gt;0,SUMIF(куб!$B:$B,$B681,куб!H:H),IF($G681&lt;&gt;0,SUMIF(куб!$A:$A,$G681,куб!H:H),SUMIF(куб!$A:$A,$G681,куб!H:H)))))))</f>
        <v>0</v>
      </c>
      <c r="I681" s="27">
        <f>IF($G681&lt;&gt;0,SUMIF(куб!$G:$G,$G681,куб!I:I),IF($E681&lt;&gt;0,SUMIF(куб!$E:$E,$E681,куб!I:I),IF($D681&lt;&gt;0,SUMIF(куб!$D:$D,$D681,куб!I:I),IF($C681&lt;&gt;0,SUMIF(куб!$C:$C,$C681,куб!I:I),IF($B681&lt;&gt;0,SUMIF(куб!$B:$B,$B681,куб!I:I),IF($G681&lt;&gt;0,SUMIF(куб!$A:$A,$G681,куб!I:I),SUMIF(куб!$A:$A,$G681,куб!I:I)))))))</f>
        <v>0</v>
      </c>
      <c r="J681" s="19" t="str">
        <f t="shared" si="219"/>
        <v>-</v>
      </c>
      <c r="K681" s="8"/>
      <c r="L681" s="17">
        <f t="shared" si="220"/>
        <v>0</v>
      </c>
      <c r="M681" s="17">
        <f t="shared" si="221"/>
        <v>0</v>
      </c>
      <c r="N681" s="12">
        <f t="shared" si="222"/>
        <v>0</v>
      </c>
      <c r="O681" s="5"/>
      <c r="P681" s="27" t="b">
        <f>IF($G681&lt;&gt;0,SUMIF(куб!$G:$G,$G681,куб!J:J),IF($E681&lt;&gt;0,SUMIF(куб!$E:$E,$E681,куб!J:J),IF($D681&lt;&gt;0,SUMIF(куб!$D:$D,$D681,куб!J:J),IF($C681&lt;&gt;0,SUMIF(куб!$C:$C,$C681,куб!J:J),IF($B681&lt;&gt;0,SUMIF(куб!$B:$B,$B681,куб!J:J))))))</f>
        <v>0</v>
      </c>
      <c r="Q681" s="27" t="b">
        <f>IF($G681&lt;&gt;0,SUMIF(куб!$G:$G,$G681,куб!K:K),IF($E681&lt;&gt;0,SUMIF(куб!$E:$E,$E681,куб!K:K),IF($D681&lt;&gt;0,SUMIF(куб!$D:$D,$D681,куб!K:K),IF($C681&lt;&gt;0,SUMIF(куб!$C:$C,$C681,куб!K:K),IF($B681&lt;&gt;0,SUMIF(куб!$B:$B,$B681,куб!K:K))))))</f>
        <v>0</v>
      </c>
      <c r="R681" s="13" t="str">
        <f t="shared" si="223"/>
        <v>-</v>
      </c>
      <c r="S681" s="5"/>
      <c r="T681" s="27" t="b">
        <f>IF($G681&lt;&gt;0,SUMIF(куб!$G:$G,$G681,куб!L:L),IF($E681&lt;&gt;0,SUMIF(куб!$E:$E,$E681,куб!L:L),IF($D681&lt;&gt;0,SUMIF(куб!$D:$D,$D681,куб!L:L),IF($C681&lt;&gt;0,SUMIF(куб!$C:$C,$C681,куб!L:L),IF($B681&lt;&gt;0,SUMIF(куб!$B:$B,$B681,куб!L:L))))))</f>
        <v>0</v>
      </c>
      <c r="U681" s="27" t="b">
        <f>IF($G681&lt;&gt;0,SUMIF(куб!$G:$G,$G681,куб!M:M),IF($E681&lt;&gt;0,SUMIF(куб!$E:$E,$E681,куб!M:M),IF($D681&lt;&gt;0,SUMIF(куб!$D:$D,$D681,куб!M:M),IF($C681&lt;&gt;0,SUMIF(куб!$C:$C,$C681,куб!M:M),IF($B681&lt;&gt;0,SUMIF(куб!$B:$B,$B681,куб!M:M))))))</f>
        <v>0</v>
      </c>
      <c r="V681" s="13" t="str">
        <f t="shared" si="224"/>
        <v>-</v>
      </c>
      <c r="W681" s="5"/>
      <c r="X681" s="27" t="b">
        <f>IF($G681&lt;&gt;0,SUMIF(куб!$G:$G,$G681,куб!N:N),IF($E681&lt;&gt;0,SUMIF(куб!$E:$E,$E681,куб!N:N),IF($D681&lt;&gt;0,SUMIF(куб!$D:$D,$D681,куб!N:N),IF($C681&lt;&gt;0,SUMIF(куб!$C:$C,$C681,куб!N:N),IF($B681&lt;&gt;0,SUMIF(куб!$B:$B,$B681,куб!N:N))))))</f>
        <v>0</v>
      </c>
      <c r="Y681" s="27" t="b">
        <f>IF($G681&lt;&gt;0,SUMIF(куб!$G:$G,$G681,куб!O:O),IF($E681&lt;&gt;0,SUMIF(куб!$E:$E,$E681,куб!O:O),IF($D681&lt;&gt;0,SUMIF(куб!$D:$D,$D681,куб!O:O),IF($C681&lt;&gt;0,SUMIF(куб!$C:$C,$C681,куб!O:O),IF($B681&lt;&gt;0,SUMIF(куб!$B:$B,$B681,куб!O:O))))))</f>
        <v>0</v>
      </c>
      <c r="Z681" s="13" t="str">
        <f t="shared" si="225"/>
        <v>-</v>
      </c>
      <c r="AA681" s="5"/>
      <c r="AB681" s="33" t="str">
        <f t="shared" si="226"/>
        <v/>
      </c>
      <c r="AC681" s="33" t="str">
        <f t="shared" si="227"/>
        <v/>
      </c>
      <c r="AD681" s="15" t="str">
        <f t="shared" si="228"/>
        <v xml:space="preserve"> </v>
      </c>
      <c r="AE681" s="5"/>
      <c r="AF681" s="27" t="b">
        <f>IF($G681&lt;&gt;0,SUMIF(куб!$G:$G,$G681,куб!R:R),IF($E681&lt;&gt;0,SUMIF(куб!$E:$E,$E681,куб!R:R),IF($D681&lt;&gt;0,SUMIF(куб!$D:$D,$D681,куб!R:R),IF($C681&lt;&gt;0,SUMIF(куб!$C:$C,$C681,куб!R:R),IF($B681&lt;&gt;0,SUMIF(куб!$B:$B,$B681,куб!R:R))))))</f>
        <v>0</v>
      </c>
      <c r="AG681" s="27" t="b">
        <f>IF($G681&lt;&gt;0,SUMIF(куб!$G:$G,$G681,куб!S:S),IF($E681&lt;&gt;0,SUMIF(куб!$E:$E,$E681,куб!S:S),IF($D681&lt;&gt;0,SUMIF(куб!$D:$D,$D681,куб!S:S),IF($C681&lt;&gt;0,SUMIF(куб!$C:$C,$C681,куб!S:S),IF($B681&lt;&gt;0,SUMIF(куб!$B:$B,$B681,куб!S:S))))))</f>
        <v>0</v>
      </c>
      <c r="AH681" s="16" t="str">
        <f t="shared" si="229"/>
        <v>-</v>
      </c>
      <c r="AI681" s="8"/>
      <c r="AJ681" s="27" t="b">
        <f>IF($G681&lt;&gt;0,SUMIF(куб!$G:$G,$G681,куб!T:T),IF($E681&lt;&gt;0,SUMIF(куб!$E:$E,$E681,куб!T:T),IF($D681&lt;&gt;0,SUMIF(куб!$D:$D,$D681,куб!T:T),IF($C681&lt;&gt;0,SUMIF(куб!$C:$C,$C681,куб!T:T),IF($B681&lt;&gt;0,SUMIF(куб!$B:$B,$B681,куб!T:T))))))</f>
        <v>0</v>
      </c>
      <c r="AK681" s="27" t="b">
        <f>IF($G681&lt;&gt;0,SUMIF(куб!$G:$G,$G681,куб!U:U),IF($E681&lt;&gt;0,SUMIF(куб!$E:$E,$E681,куб!U:U),IF($D681&lt;&gt;0,SUMIF(куб!$D:$D,$D681,куб!U:U),IF($C681&lt;&gt;0,SUMIF(куб!$C:$C,$C681,куб!U:U),IF($B681&lt;&gt;0,SUMIF(куб!$B:$B,$B681,куб!U:U))))))</f>
        <v>0</v>
      </c>
      <c r="AL681" s="16" t="str">
        <f t="shared" si="230"/>
        <v>-</v>
      </c>
      <c r="AM681" s="8"/>
      <c r="AN681" s="17" t="str">
        <f t="shared" si="231"/>
        <v xml:space="preserve"> </v>
      </c>
      <c r="AO681" s="17" t="str">
        <f t="shared" si="232"/>
        <v xml:space="preserve"> </v>
      </c>
      <c r="AP681" s="16" t="str">
        <f t="shared" si="233"/>
        <v>-</v>
      </c>
      <c r="AQ681" s="8"/>
      <c r="AR681" s="17" t="str">
        <f t="shared" si="234"/>
        <v>-</v>
      </c>
      <c r="AS681" s="17" t="str">
        <f t="shared" si="235"/>
        <v>-</v>
      </c>
      <c r="AT681" s="13" t="str">
        <f t="shared" si="236"/>
        <v>-</v>
      </c>
      <c r="AU681" s="8"/>
    </row>
    <row r="682" spans="1:47" x14ac:dyDescent="0.25">
      <c r="A682" s="31"/>
      <c r="B682" s="31"/>
      <c r="C682"/>
      <c r="D682" s="31"/>
      <c r="E682"/>
      <c r="F682" s="31"/>
      <c r="G682"/>
      <c r="H682" s="27">
        <f>IF($G682&lt;&gt;0,SUMIF(куб!$G:$G,$G682,куб!H:H),IF($E682&lt;&gt;0,SUMIF(куб!$E:$E,$E682,куб!H:H),IF($D682&lt;&gt;0,SUMIF(куб!$D:$D,$D682,куб!H:H),IF($C682&lt;&gt;0,SUMIF(куб!$C:$C,$C682,куб!H:H),IF($B682&lt;&gt;0,SUMIF(куб!$B:$B,$B682,куб!H:H),IF($G682&lt;&gt;0,SUMIF(куб!$A:$A,$G682,куб!H:H),SUMIF(куб!$A:$A,$G682,куб!H:H)))))))</f>
        <v>0</v>
      </c>
      <c r="I682" s="27">
        <f>IF($G682&lt;&gt;0,SUMIF(куб!$G:$G,$G682,куб!I:I),IF($E682&lt;&gt;0,SUMIF(куб!$E:$E,$E682,куб!I:I),IF($D682&lt;&gt;0,SUMIF(куб!$D:$D,$D682,куб!I:I),IF($C682&lt;&gt;0,SUMIF(куб!$C:$C,$C682,куб!I:I),IF($B682&lt;&gt;0,SUMIF(куб!$B:$B,$B682,куб!I:I),IF($G682&lt;&gt;0,SUMIF(куб!$A:$A,$G682,куб!I:I),SUMIF(куб!$A:$A,$G682,куб!I:I)))))))</f>
        <v>0</v>
      </c>
      <c r="J682" s="19" t="str">
        <f t="shared" si="219"/>
        <v>-</v>
      </c>
      <c r="K682" s="8"/>
      <c r="L682" s="17">
        <f t="shared" si="220"/>
        <v>0</v>
      </c>
      <c r="M682" s="17">
        <f t="shared" si="221"/>
        <v>0</v>
      </c>
      <c r="N682" s="12">
        <f t="shared" si="222"/>
        <v>0</v>
      </c>
      <c r="O682" s="5"/>
      <c r="P682" s="27" t="b">
        <f>IF($G682&lt;&gt;0,SUMIF(куб!$G:$G,$G682,куб!J:J),IF($E682&lt;&gt;0,SUMIF(куб!$E:$E,$E682,куб!J:J),IF($D682&lt;&gt;0,SUMIF(куб!$D:$D,$D682,куб!J:J),IF($C682&lt;&gt;0,SUMIF(куб!$C:$C,$C682,куб!J:J),IF($B682&lt;&gt;0,SUMIF(куб!$B:$B,$B682,куб!J:J))))))</f>
        <v>0</v>
      </c>
      <c r="Q682" s="27" t="b">
        <f>IF($G682&lt;&gt;0,SUMIF(куб!$G:$G,$G682,куб!K:K),IF($E682&lt;&gt;0,SUMIF(куб!$E:$E,$E682,куб!K:K),IF($D682&lt;&gt;0,SUMIF(куб!$D:$D,$D682,куб!K:K),IF($C682&lt;&gt;0,SUMIF(куб!$C:$C,$C682,куб!K:K),IF($B682&lt;&gt;0,SUMIF(куб!$B:$B,$B682,куб!K:K))))))</f>
        <v>0</v>
      </c>
      <c r="R682" s="13" t="str">
        <f t="shared" si="223"/>
        <v>-</v>
      </c>
      <c r="S682" s="5"/>
      <c r="T682" s="27" t="b">
        <f>IF($G682&lt;&gt;0,SUMIF(куб!$G:$G,$G682,куб!L:L),IF($E682&lt;&gt;0,SUMIF(куб!$E:$E,$E682,куб!L:L),IF($D682&lt;&gt;0,SUMIF(куб!$D:$D,$D682,куб!L:L),IF($C682&lt;&gt;0,SUMIF(куб!$C:$C,$C682,куб!L:L),IF($B682&lt;&gt;0,SUMIF(куб!$B:$B,$B682,куб!L:L))))))</f>
        <v>0</v>
      </c>
      <c r="U682" s="27" t="b">
        <f>IF($G682&lt;&gt;0,SUMIF(куб!$G:$G,$G682,куб!M:M),IF($E682&lt;&gt;0,SUMIF(куб!$E:$E,$E682,куб!M:M),IF($D682&lt;&gt;0,SUMIF(куб!$D:$D,$D682,куб!M:M),IF($C682&lt;&gt;0,SUMIF(куб!$C:$C,$C682,куб!M:M),IF($B682&lt;&gt;0,SUMIF(куб!$B:$B,$B682,куб!M:M))))))</f>
        <v>0</v>
      </c>
      <c r="V682" s="13" t="str">
        <f t="shared" si="224"/>
        <v>-</v>
      </c>
      <c r="W682" s="5"/>
      <c r="X682" s="27" t="b">
        <f>IF($G682&lt;&gt;0,SUMIF(куб!$G:$G,$G682,куб!N:N),IF($E682&lt;&gt;0,SUMIF(куб!$E:$E,$E682,куб!N:N),IF($D682&lt;&gt;0,SUMIF(куб!$D:$D,$D682,куб!N:N),IF($C682&lt;&gt;0,SUMIF(куб!$C:$C,$C682,куб!N:N),IF($B682&lt;&gt;0,SUMIF(куб!$B:$B,$B682,куб!N:N))))))</f>
        <v>0</v>
      </c>
      <c r="Y682" s="27" t="b">
        <f>IF($G682&lt;&gt;0,SUMIF(куб!$G:$G,$G682,куб!O:O),IF($E682&lt;&gt;0,SUMIF(куб!$E:$E,$E682,куб!O:O),IF($D682&lt;&gt;0,SUMIF(куб!$D:$D,$D682,куб!O:O),IF($C682&lt;&gt;0,SUMIF(куб!$C:$C,$C682,куб!O:O),IF($B682&lt;&gt;0,SUMIF(куб!$B:$B,$B682,куб!O:O))))))</f>
        <v>0</v>
      </c>
      <c r="Z682" s="13" t="str">
        <f t="shared" si="225"/>
        <v>-</v>
      </c>
      <c r="AA682" s="5"/>
      <c r="AB682" s="33" t="str">
        <f t="shared" si="226"/>
        <v/>
      </c>
      <c r="AC682" s="33" t="str">
        <f t="shared" si="227"/>
        <v/>
      </c>
      <c r="AD682" s="15" t="str">
        <f t="shared" si="228"/>
        <v xml:space="preserve"> </v>
      </c>
      <c r="AE682" s="5"/>
      <c r="AF682" s="27" t="b">
        <f>IF($G682&lt;&gt;0,SUMIF(куб!$G:$G,$G682,куб!R:R),IF($E682&lt;&gt;0,SUMIF(куб!$E:$E,$E682,куб!R:R),IF($D682&lt;&gt;0,SUMIF(куб!$D:$D,$D682,куб!R:R),IF($C682&lt;&gt;0,SUMIF(куб!$C:$C,$C682,куб!R:R),IF($B682&lt;&gt;0,SUMIF(куб!$B:$B,$B682,куб!R:R))))))</f>
        <v>0</v>
      </c>
      <c r="AG682" s="27" t="b">
        <f>IF($G682&lt;&gt;0,SUMIF(куб!$G:$G,$G682,куб!S:S),IF($E682&lt;&gt;0,SUMIF(куб!$E:$E,$E682,куб!S:S),IF($D682&lt;&gt;0,SUMIF(куб!$D:$D,$D682,куб!S:S),IF($C682&lt;&gt;0,SUMIF(куб!$C:$C,$C682,куб!S:S),IF($B682&lt;&gt;0,SUMIF(куб!$B:$B,$B682,куб!S:S))))))</f>
        <v>0</v>
      </c>
      <c r="AH682" s="16" t="str">
        <f t="shared" si="229"/>
        <v>-</v>
      </c>
      <c r="AI682" s="8"/>
      <c r="AJ682" s="27" t="b">
        <f>IF($G682&lt;&gt;0,SUMIF(куб!$G:$G,$G682,куб!T:T),IF($E682&lt;&gt;0,SUMIF(куб!$E:$E,$E682,куб!T:T),IF($D682&lt;&gt;0,SUMIF(куб!$D:$D,$D682,куб!T:T),IF($C682&lt;&gt;0,SUMIF(куб!$C:$C,$C682,куб!T:T),IF($B682&lt;&gt;0,SUMIF(куб!$B:$B,$B682,куб!T:T))))))</f>
        <v>0</v>
      </c>
      <c r="AK682" s="27" t="b">
        <f>IF($G682&lt;&gt;0,SUMIF(куб!$G:$G,$G682,куб!U:U),IF($E682&lt;&gt;0,SUMIF(куб!$E:$E,$E682,куб!U:U),IF($D682&lt;&gt;0,SUMIF(куб!$D:$D,$D682,куб!U:U),IF($C682&lt;&gt;0,SUMIF(куб!$C:$C,$C682,куб!U:U),IF($B682&lt;&gt;0,SUMIF(куб!$B:$B,$B682,куб!U:U))))))</f>
        <v>0</v>
      </c>
      <c r="AL682" s="16" t="str">
        <f t="shared" si="230"/>
        <v>-</v>
      </c>
      <c r="AM682" s="8"/>
      <c r="AN682" s="17" t="str">
        <f t="shared" si="231"/>
        <v xml:space="preserve"> </v>
      </c>
      <c r="AO682" s="17" t="str">
        <f t="shared" si="232"/>
        <v xml:space="preserve"> </v>
      </c>
      <c r="AP682" s="16" t="str">
        <f t="shared" si="233"/>
        <v>-</v>
      </c>
      <c r="AQ682" s="8"/>
      <c r="AR682" s="17" t="str">
        <f t="shared" si="234"/>
        <v>-</v>
      </c>
      <c r="AS682" s="17" t="str">
        <f t="shared" si="235"/>
        <v>-</v>
      </c>
      <c r="AT682" s="13" t="str">
        <f t="shared" si="236"/>
        <v>-</v>
      </c>
      <c r="AU682" s="8"/>
    </row>
    <row r="683" spans="1:47" x14ac:dyDescent="0.25">
      <c r="A683" s="31"/>
      <c r="B683" s="31"/>
      <c r="C683"/>
      <c r="D683" s="31"/>
      <c r="E683"/>
      <c r="F683"/>
      <c r="G683"/>
      <c r="H683" s="27">
        <f>IF($G683&lt;&gt;0,SUMIF(куб!$G:$G,$G683,куб!H:H),IF($E683&lt;&gt;0,SUMIF(куб!$E:$E,$E683,куб!H:H),IF($D683&lt;&gt;0,SUMIF(куб!$D:$D,$D683,куб!H:H),IF($C683&lt;&gt;0,SUMIF(куб!$C:$C,$C683,куб!H:H),IF($B683&lt;&gt;0,SUMIF(куб!$B:$B,$B683,куб!H:H),IF($G683&lt;&gt;0,SUMIF(куб!$A:$A,$G683,куб!H:H),SUMIF(куб!$A:$A,$G683,куб!H:H)))))))</f>
        <v>0</v>
      </c>
      <c r="I683" s="27">
        <f>IF($G683&lt;&gt;0,SUMIF(куб!$G:$G,$G683,куб!I:I),IF($E683&lt;&gt;0,SUMIF(куб!$E:$E,$E683,куб!I:I),IF($D683&lt;&gt;0,SUMIF(куб!$D:$D,$D683,куб!I:I),IF($C683&lt;&gt;0,SUMIF(куб!$C:$C,$C683,куб!I:I),IF($B683&lt;&gt;0,SUMIF(куб!$B:$B,$B683,куб!I:I),IF($G683&lt;&gt;0,SUMIF(куб!$A:$A,$G683,куб!I:I),SUMIF(куб!$A:$A,$G683,куб!I:I)))))))</f>
        <v>0</v>
      </c>
      <c r="J683" s="19" t="str">
        <f t="shared" si="219"/>
        <v>-</v>
      </c>
      <c r="K683" s="8"/>
      <c r="L683" s="17">
        <f t="shared" si="220"/>
        <v>0</v>
      </c>
      <c r="M683" s="17">
        <f t="shared" si="221"/>
        <v>0</v>
      </c>
      <c r="N683" s="12">
        <f t="shared" si="222"/>
        <v>0</v>
      </c>
      <c r="O683" s="5"/>
      <c r="P683" s="27" t="b">
        <f>IF($G683&lt;&gt;0,SUMIF(куб!$G:$G,$G683,куб!J:J),IF($E683&lt;&gt;0,SUMIF(куб!$E:$E,$E683,куб!J:J),IF($D683&lt;&gt;0,SUMIF(куб!$D:$D,$D683,куб!J:J),IF($C683&lt;&gt;0,SUMIF(куб!$C:$C,$C683,куб!J:J),IF($B683&lt;&gt;0,SUMIF(куб!$B:$B,$B683,куб!J:J))))))</f>
        <v>0</v>
      </c>
      <c r="Q683" s="27" t="b">
        <f>IF($G683&lt;&gt;0,SUMIF(куб!$G:$G,$G683,куб!K:K),IF($E683&lt;&gt;0,SUMIF(куб!$E:$E,$E683,куб!K:K),IF($D683&lt;&gt;0,SUMIF(куб!$D:$D,$D683,куб!K:K),IF($C683&lt;&gt;0,SUMIF(куб!$C:$C,$C683,куб!K:K),IF($B683&lt;&gt;0,SUMIF(куб!$B:$B,$B683,куб!K:K))))))</f>
        <v>0</v>
      </c>
      <c r="R683" s="13" t="str">
        <f t="shared" si="223"/>
        <v>-</v>
      </c>
      <c r="S683" s="5"/>
      <c r="T683" s="27" t="b">
        <f>IF($G683&lt;&gt;0,SUMIF(куб!$G:$G,$G683,куб!L:L),IF($E683&lt;&gt;0,SUMIF(куб!$E:$E,$E683,куб!L:L),IF($D683&lt;&gt;0,SUMIF(куб!$D:$D,$D683,куб!L:L),IF($C683&lt;&gt;0,SUMIF(куб!$C:$C,$C683,куб!L:L),IF($B683&lt;&gt;0,SUMIF(куб!$B:$B,$B683,куб!L:L))))))</f>
        <v>0</v>
      </c>
      <c r="U683" s="27" t="b">
        <f>IF($G683&lt;&gt;0,SUMIF(куб!$G:$G,$G683,куб!M:M),IF($E683&lt;&gt;0,SUMIF(куб!$E:$E,$E683,куб!M:M),IF($D683&lt;&gt;0,SUMIF(куб!$D:$D,$D683,куб!M:M),IF($C683&lt;&gt;0,SUMIF(куб!$C:$C,$C683,куб!M:M),IF($B683&lt;&gt;0,SUMIF(куб!$B:$B,$B683,куб!M:M))))))</f>
        <v>0</v>
      </c>
      <c r="V683" s="13" t="str">
        <f t="shared" si="224"/>
        <v>-</v>
      </c>
      <c r="W683" s="5"/>
      <c r="X683" s="27" t="b">
        <f>IF($G683&lt;&gt;0,SUMIF(куб!$G:$G,$G683,куб!N:N),IF($E683&lt;&gt;0,SUMIF(куб!$E:$E,$E683,куб!N:N),IF($D683&lt;&gt;0,SUMIF(куб!$D:$D,$D683,куб!N:N),IF($C683&lt;&gt;0,SUMIF(куб!$C:$C,$C683,куб!N:N),IF($B683&lt;&gt;0,SUMIF(куб!$B:$B,$B683,куб!N:N))))))</f>
        <v>0</v>
      </c>
      <c r="Y683" s="27" t="b">
        <f>IF($G683&lt;&gt;0,SUMIF(куб!$G:$G,$G683,куб!O:O),IF($E683&lt;&gt;0,SUMIF(куб!$E:$E,$E683,куб!O:O),IF($D683&lt;&gt;0,SUMIF(куб!$D:$D,$D683,куб!O:O),IF($C683&lt;&gt;0,SUMIF(куб!$C:$C,$C683,куб!O:O),IF($B683&lt;&gt;0,SUMIF(куб!$B:$B,$B683,куб!O:O))))))</f>
        <v>0</v>
      </c>
      <c r="Z683" s="13" t="str">
        <f t="shared" si="225"/>
        <v>-</v>
      </c>
      <c r="AA683" s="5"/>
      <c r="AB683" s="33" t="str">
        <f t="shared" si="226"/>
        <v/>
      </c>
      <c r="AC683" s="33" t="str">
        <f t="shared" si="227"/>
        <v/>
      </c>
      <c r="AD683" s="15" t="str">
        <f t="shared" si="228"/>
        <v xml:space="preserve"> </v>
      </c>
      <c r="AE683" s="5"/>
      <c r="AF683" s="27" t="b">
        <f>IF($G683&lt;&gt;0,SUMIF(куб!$G:$G,$G683,куб!R:R),IF($E683&lt;&gt;0,SUMIF(куб!$E:$E,$E683,куб!R:R),IF($D683&lt;&gt;0,SUMIF(куб!$D:$D,$D683,куб!R:R),IF($C683&lt;&gt;0,SUMIF(куб!$C:$C,$C683,куб!R:R),IF($B683&lt;&gt;0,SUMIF(куб!$B:$B,$B683,куб!R:R))))))</f>
        <v>0</v>
      </c>
      <c r="AG683" s="27" t="b">
        <f>IF($G683&lt;&gt;0,SUMIF(куб!$G:$G,$G683,куб!S:S),IF($E683&lt;&gt;0,SUMIF(куб!$E:$E,$E683,куб!S:S),IF($D683&lt;&gt;0,SUMIF(куб!$D:$D,$D683,куб!S:S),IF($C683&lt;&gt;0,SUMIF(куб!$C:$C,$C683,куб!S:S),IF($B683&lt;&gt;0,SUMIF(куб!$B:$B,$B683,куб!S:S))))))</f>
        <v>0</v>
      </c>
      <c r="AH683" s="16" t="str">
        <f t="shared" si="229"/>
        <v>-</v>
      </c>
      <c r="AI683" s="8"/>
      <c r="AJ683" s="27" t="b">
        <f>IF($G683&lt;&gt;0,SUMIF(куб!$G:$G,$G683,куб!T:T),IF($E683&lt;&gt;0,SUMIF(куб!$E:$E,$E683,куб!T:T),IF($D683&lt;&gt;0,SUMIF(куб!$D:$D,$D683,куб!T:T),IF($C683&lt;&gt;0,SUMIF(куб!$C:$C,$C683,куб!T:T),IF($B683&lt;&gt;0,SUMIF(куб!$B:$B,$B683,куб!T:T))))))</f>
        <v>0</v>
      </c>
      <c r="AK683" s="27" t="b">
        <f>IF($G683&lt;&gt;0,SUMIF(куб!$G:$G,$G683,куб!U:U),IF($E683&lt;&gt;0,SUMIF(куб!$E:$E,$E683,куб!U:U),IF($D683&lt;&gt;0,SUMIF(куб!$D:$D,$D683,куб!U:U),IF($C683&lt;&gt;0,SUMIF(куб!$C:$C,$C683,куб!U:U),IF($B683&lt;&gt;0,SUMIF(куб!$B:$B,$B683,куб!U:U))))))</f>
        <v>0</v>
      </c>
      <c r="AL683" s="16" t="str">
        <f t="shared" si="230"/>
        <v>-</v>
      </c>
      <c r="AM683" s="8"/>
      <c r="AN683" s="17" t="str">
        <f t="shared" si="231"/>
        <v xml:space="preserve"> </v>
      </c>
      <c r="AO683" s="17" t="str">
        <f t="shared" si="232"/>
        <v xml:space="preserve"> </v>
      </c>
      <c r="AP683" s="16" t="str">
        <f t="shared" si="233"/>
        <v>-</v>
      </c>
      <c r="AQ683" s="8"/>
      <c r="AR683" s="17" t="str">
        <f t="shared" si="234"/>
        <v>-</v>
      </c>
      <c r="AS683" s="17" t="str">
        <f t="shared" si="235"/>
        <v>-</v>
      </c>
      <c r="AT683" s="13" t="str">
        <f t="shared" si="236"/>
        <v>-</v>
      </c>
      <c r="AU683" s="8"/>
    </row>
    <row r="684" spans="1:47" x14ac:dyDescent="0.25">
      <c r="A684" s="31"/>
      <c r="B684" s="31"/>
      <c r="C684"/>
      <c r="D684" s="31"/>
      <c r="E684" s="31"/>
      <c r="F684" s="31"/>
      <c r="G684" s="31"/>
      <c r="H684" s="27">
        <f>IF($G684&lt;&gt;0,SUMIF(куб!$G:$G,$G684,куб!H:H),IF($E684&lt;&gt;0,SUMIF(куб!$E:$E,$E684,куб!H:H),IF($D684&lt;&gt;0,SUMIF(куб!$D:$D,$D684,куб!H:H),IF($C684&lt;&gt;0,SUMIF(куб!$C:$C,$C684,куб!H:H),IF($B684&lt;&gt;0,SUMIF(куб!$B:$B,$B684,куб!H:H),IF($G684&lt;&gt;0,SUMIF(куб!$A:$A,$G684,куб!H:H),SUMIF(куб!$A:$A,$G684,куб!H:H)))))))</f>
        <v>0</v>
      </c>
      <c r="I684" s="27">
        <f>IF($G684&lt;&gt;0,SUMIF(куб!$G:$G,$G684,куб!I:I),IF($E684&lt;&gt;0,SUMIF(куб!$E:$E,$E684,куб!I:I),IF($D684&lt;&gt;0,SUMIF(куб!$D:$D,$D684,куб!I:I),IF($C684&lt;&gt;0,SUMIF(куб!$C:$C,$C684,куб!I:I),IF($B684&lt;&gt;0,SUMIF(куб!$B:$B,$B684,куб!I:I),IF($G684&lt;&gt;0,SUMIF(куб!$A:$A,$G684,куб!I:I),SUMIF(куб!$A:$A,$G684,куб!I:I)))))))</f>
        <v>0</v>
      </c>
      <c r="J684" s="19" t="str">
        <f t="shared" si="219"/>
        <v>-</v>
      </c>
      <c r="K684" s="8"/>
      <c r="L684" s="17">
        <f t="shared" si="220"/>
        <v>0</v>
      </c>
      <c r="M684" s="17">
        <f t="shared" si="221"/>
        <v>0</v>
      </c>
      <c r="N684" s="12">
        <f t="shared" si="222"/>
        <v>0</v>
      </c>
      <c r="O684" s="5"/>
      <c r="P684" s="27" t="b">
        <f>IF($G684&lt;&gt;0,SUMIF(куб!$G:$G,$G684,куб!J:J),IF($E684&lt;&gt;0,SUMIF(куб!$E:$E,$E684,куб!J:J),IF($D684&lt;&gt;0,SUMIF(куб!$D:$D,$D684,куб!J:J),IF($C684&lt;&gt;0,SUMIF(куб!$C:$C,$C684,куб!J:J),IF($B684&lt;&gt;0,SUMIF(куб!$B:$B,$B684,куб!J:J))))))</f>
        <v>0</v>
      </c>
      <c r="Q684" s="27" t="b">
        <f>IF($G684&lt;&gt;0,SUMIF(куб!$G:$G,$G684,куб!K:K),IF($E684&lt;&gt;0,SUMIF(куб!$E:$E,$E684,куб!K:K),IF($D684&lt;&gt;0,SUMIF(куб!$D:$D,$D684,куб!K:K),IF($C684&lt;&gt;0,SUMIF(куб!$C:$C,$C684,куб!K:K),IF($B684&lt;&gt;0,SUMIF(куб!$B:$B,$B684,куб!K:K))))))</f>
        <v>0</v>
      </c>
      <c r="R684" s="13" t="str">
        <f t="shared" si="223"/>
        <v>-</v>
      </c>
      <c r="S684" s="5"/>
      <c r="T684" s="27" t="b">
        <f>IF($G684&lt;&gt;0,SUMIF(куб!$G:$G,$G684,куб!L:L),IF($E684&lt;&gt;0,SUMIF(куб!$E:$E,$E684,куб!L:L),IF($D684&lt;&gt;0,SUMIF(куб!$D:$D,$D684,куб!L:L),IF($C684&lt;&gt;0,SUMIF(куб!$C:$C,$C684,куб!L:L),IF($B684&lt;&gt;0,SUMIF(куб!$B:$B,$B684,куб!L:L))))))</f>
        <v>0</v>
      </c>
      <c r="U684" s="27" t="b">
        <f>IF($G684&lt;&gt;0,SUMIF(куб!$G:$G,$G684,куб!M:M),IF($E684&lt;&gt;0,SUMIF(куб!$E:$E,$E684,куб!M:M),IF($D684&lt;&gt;0,SUMIF(куб!$D:$D,$D684,куб!M:M),IF($C684&lt;&gt;0,SUMIF(куб!$C:$C,$C684,куб!M:M),IF($B684&lt;&gt;0,SUMIF(куб!$B:$B,$B684,куб!M:M))))))</f>
        <v>0</v>
      </c>
      <c r="V684" s="13" t="str">
        <f t="shared" si="224"/>
        <v>-</v>
      </c>
      <c r="W684" s="5"/>
      <c r="X684" s="27" t="b">
        <f>IF($G684&lt;&gt;0,SUMIF(куб!$G:$G,$G684,куб!N:N),IF($E684&lt;&gt;0,SUMIF(куб!$E:$E,$E684,куб!N:N),IF($D684&lt;&gt;0,SUMIF(куб!$D:$D,$D684,куб!N:N),IF($C684&lt;&gt;0,SUMIF(куб!$C:$C,$C684,куб!N:N),IF($B684&lt;&gt;0,SUMIF(куб!$B:$B,$B684,куб!N:N))))))</f>
        <v>0</v>
      </c>
      <c r="Y684" s="27" t="b">
        <f>IF($G684&lt;&gt;0,SUMIF(куб!$G:$G,$G684,куб!O:O),IF($E684&lt;&gt;0,SUMIF(куб!$E:$E,$E684,куб!O:O),IF($D684&lt;&gt;0,SUMIF(куб!$D:$D,$D684,куб!O:O),IF($C684&lt;&gt;0,SUMIF(куб!$C:$C,$C684,куб!O:O),IF($B684&lt;&gt;0,SUMIF(куб!$B:$B,$B684,куб!O:O))))))</f>
        <v>0</v>
      </c>
      <c r="Z684" s="13" t="str">
        <f t="shared" si="225"/>
        <v>-</v>
      </c>
      <c r="AA684" s="5"/>
      <c r="AB684" s="33" t="str">
        <f t="shared" si="226"/>
        <v/>
      </c>
      <c r="AC684" s="33" t="str">
        <f t="shared" si="227"/>
        <v/>
      </c>
      <c r="AD684" s="15" t="str">
        <f t="shared" si="228"/>
        <v xml:space="preserve"> </v>
      </c>
      <c r="AE684" s="5"/>
      <c r="AF684" s="27" t="b">
        <f>IF($G684&lt;&gt;0,SUMIF(куб!$G:$G,$G684,куб!R:R),IF($E684&lt;&gt;0,SUMIF(куб!$E:$E,$E684,куб!R:R),IF($D684&lt;&gt;0,SUMIF(куб!$D:$D,$D684,куб!R:R),IF($C684&lt;&gt;0,SUMIF(куб!$C:$C,$C684,куб!R:R),IF($B684&lt;&gt;0,SUMIF(куб!$B:$B,$B684,куб!R:R))))))</f>
        <v>0</v>
      </c>
      <c r="AG684" s="27" t="b">
        <f>IF($G684&lt;&gt;0,SUMIF(куб!$G:$G,$G684,куб!S:S),IF($E684&lt;&gt;0,SUMIF(куб!$E:$E,$E684,куб!S:S),IF($D684&lt;&gt;0,SUMIF(куб!$D:$D,$D684,куб!S:S),IF($C684&lt;&gt;0,SUMIF(куб!$C:$C,$C684,куб!S:S),IF($B684&lt;&gt;0,SUMIF(куб!$B:$B,$B684,куб!S:S))))))</f>
        <v>0</v>
      </c>
      <c r="AH684" s="16" t="str">
        <f t="shared" si="229"/>
        <v>-</v>
      </c>
      <c r="AI684" s="8"/>
      <c r="AJ684" s="27" t="b">
        <f>IF($G684&lt;&gt;0,SUMIF(куб!$G:$G,$G684,куб!T:T),IF($E684&lt;&gt;0,SUMIF(куб!$E:$E,$E684,куб!T:T),IF($D684&lt;&gt;0,SUMIF(куб!$D:$D,$D684,куб!T:T),IF($C684&lt;&gt;0,SUMIF(куб!$C:$C,$C684,куб!T:T),IF($B684&lt;&gt;0,SUMIF(куб!$B:$B,$B684,куб!T:T))))))</f>
        <v>0</v>
      </c>
      <c r="AK684" s="27" t="b">
        <f>IF($G684&lt;&gt;0,SUMIF(куб!$G:$G,$G684,куб!U:U),IF($E684&lt;&gt;0,SUMIF(куб!$E:$E,$E684,куб!U:U),IF($D684&lt;&gt;0,SUMIF(куб!$D:$D,$D684,куб!U:U),IF($C684&lt;&gt;0,SUMIF(куб!$C:$C,$C684,куб!U:U),IF($B684&lt;&gt;0,SUMIF(куб!$B:$B,$B684,куб!U:U))))))</f>
        <v>0</v>
      </c>
      <c r="AL684" s="16" t="str">
        <f t="shared" si="230"/>
        <v>-</v>
      </c>
      <c r="AM684" s="8"/>
      <c r="AN684" s="17" t="str">
        <f t="shared" si="231"/>
        <v xml:space="preserve"> </v>
      </c>
      <c r="AO684" s="17" t="str">
        <f t="shared" si="232"/>
        <v xml:space="preserve"> </v>
      </c>
      <c r="AP684" s="16" t="str">
        <f t="shared" si="233"/>
        <v>-</v>
      </c>
      <c r="AQ684" s="8"/>
      <c r="AR684" s="17" t="str">
        <f t="shared" si="234"/>
        <v>-</v>
      </c>
      <c r="AS684" s="17" t="str">
        <f t="shared" si="235"/>
        <v>-</v>
      </c>
      <c r="AT684" s="13" t="str">
        <f t="shared" si="236"/>
        <v>-</v>
      </c>
      <c r="AU684" s="8"/>
    </row>
    <row r="685" spans="1:47" x14ac:dyDescent="0.25">
      <c r="A685" s="31"/>
      <c r="B685" s="31"/>
      <c r="C685"/>
      <c r="D685"/>
      <c r="E685"/>
      <c r="F685"/>
      <c r="G685"/>
      <c r="H685" s="27">
        <f>IF($G685&lt;&gt;0,SUMIF(куб!$G:$G,$G685,куб!H:H),IF($E685&lt;&gt;0,SUMIF(куб!$E:$E,$E685,куб!H:H),IF($D685&lt;&gt;0,SUMIF(куб!$D:$D,$D685,куб!H:H),IF($C685&lt;&gt;0,SUMIF(куб!$C:$C,$C685,куб!H:H),IF($B685&lt;&gt;0,SUMIF(куб!$B:$B,$B685,куб!H:H),IF($G685&lt;&gt;0,SUMIF(куб!$A:$A,$G685,куб!H:H),SUMIF(куб!$A:$A,$G685,куб!H:H)))))))</f>
        <v>0</v>
      </c>
      <c r="I685" s="27">
        <f>IF($G685&lt;&gt;0,SUMIF(куб!$G:$G,$G685,куб!I:I),IF($E685&lt;&gt;0,SUMIF(куб!$E:$E,$E685,куб!I:I),IF($D685&lt;&gt;0,SUMIF(куб!$D:$D,$D685,куб!I:I),IF($C685&lt;&gt;0,SUMIF(куб!$C:$C,$C685,куб!I:I),IF($B685&lt;&gt;0,SUMIF(куб!$B:$B,$B685,куб!I:I),IF($G685&lt;&gt;0,SUMIF(куб!$A:$A,$G685,куб!I:I),SUMIF(куб!$A:$A,$G685,куб!I:I)))))))</f>
        <v>0</v>
      </c>
      <c r="J685" s="19" t="str">
        <f t="shared" si="219"/>
        <v>-</v>
      </c>
      <c r="K685" s="8"/>
      <c r="L685" s="17">
        <f t="shared" si="220"/>
        <v>0</v>
      </c>
      <c r="M685" s="17">
        <f t="shared" si="221"/>
        <v>0</v>
      </c>
      <c r="N685" s="12">
        <f t="shared" si="222"/>
        <v>0</v>
      </c>
      <c r="O685" s="5"/>
      <c r="P685" s="27" t="b">
        <f>IF($G685&lt;&gt;0,SUMIF(куб!$G:$G,$G685,куб!J:J),IF($E685&lt;&gt;0,SUMIF(куб!$E:$E,$E685,куб!J:J),IF($D685&lt;&gt;0,SUMIF(куб!$D:$D,$D685,куб!J:J),IF($C685&lt;&gt;0,SUMIF(куб!$C:$C,$C685,куб!J:J),IF($B685&lt;&gt;0,SUMIF(куб!$B:$B,$B685,куб!J:J))))))</f>
        <v>0</v>
      </c>
      <c r="Q685" s="27" t="b">
        <f>IF($G685&lt;&gt;0,SUMIF(куб!$G:$G,$G685,куб!K:K),IF($E685&lt;&gt;0,SUMIF(куб!$E:$E,$E685,куб!K:K),IF($D685&lt;&gt;0,SUMIF(куб!$D:$D,$D685,куб!K:K),IF($C685&lt;&gt;0,SUMIF(куб!$C:$C,$C685,куб!K:K),IF($B685&lt;&gt;0,SUMIF(куб!$B:$B,$B685,куб!K:K))))))</f>
        <v>0</v>
      </c>
      <c r="R685" s="13" t="str">
        <f t="shared" si="223"/>
        <v>-</v>
      </c>
      <c r="S685" s="5"/>
      <c r="T685" s="27" t="b">
        <f>IF($G685&lt;&gt;0,SUMIF(куб!$G:$G,$G685,куб!L:L),IF($E685&lt;&gt;0,SUMIF(куб!$E:$E,$E685,куб!L:L),IF($D685&lt;&gt;0,SUMIF(куб!$D:$D,$D685,куб!L:L),IF($C685&lt;&gt;0,SUMIF(куб!$C:$C,$C685,куб!L:L),IF($B685&lt;&gt;0,SUMIF(куб!$B:$B,$B685,куб!L:L))))))</f>
        <v>0</v>
      </c>
      <c r="U685" s="27" t="b">
        <f>IF($G685&lt;&gt;0,SUMIF(куб!$G:$G,$G685,куб!M:M),IF($E685&lt;&gt;0,SUMIF(куб!$E:$E,$E685,куб!M:M),IF($D685&lt;&gt;0,SUMIF(куб!$D:$D,$D685,куб!M:M),IF($C685&lt;&gt;0,SUMIF(куб!$C:$C,$C685,куб!M:M),IF($B685&lt;&gt;0,SUMIF(куб!$B:$B,$B685,куб!M:M))))))</f>
        <v>0</v>
      </c>
      <c r="V685" s="13" t="str">
        <f t="shared" si="224"/>
        <v>-</v>
      </c>
      <c r="W685" s="5"/>
      <c r="X685" s="27" t="b">
        <f>IF($G685&lt;&gt;0,SUMIF(куб!$G:$G,$G685,куб!N:N),IF($E685&lt;&gt;0,SUMIF(куб!$E:$E,$E685,куб!N:N),IF($D685&lt;&gt;0,SUMIF(куб!$D:$D,$D685,куб!N:N),IF($C685&lt;&gt;0,SUMIF(куб!$C:$C,$C685,куб!N:N),IF($B685&lt;&gt;0,SUMIF(куб!$B:$B,$B685,куб!N:N))))))</f>
        <v>0</v>
      </c>
      <c r="Y685" s="27" t="b">
        <f>IF($G685&lt;&gt;0,SUMIF(куб!$G:$G,$G685,куб!O:O),IF($E685&lt;&gt;0,SUMIF(куб!$E:$E,$E685,куб!O:O),IF($D685&lt;&gt;0,SUMIF(куб!$D:$D,$D685,куб!O:O),IF($C685&lt;&gt;0,SUMIF(куб!$C:$C,$C685,куб!O:O),IF($B685&lt;&gt;0,SUMIF(куб!$B:$B,$B685,куб!O:O))))))</f>
        <v>0</v>
      </c>
      <c r="Z685" s="13" t="str">
        <f t="shared" si="225"/>
        <v>-</v>
      </c>
      <c r="AA685" s="5"/>
      <c r="AB685" s="33" t="str">
        <f t="shared" si="226"/>
        <v/>
      </c>
      <c r="AC685" s="33" t="str">
        <f t="shared" si="227"/>
        <v/>
      </c>
      <c r="AD685" s="15" t="str">
        <f t="shared" si="228"/>
        <v xml:space="preserve"> </v>
      </c>
      <c r="AE685" s="5"/>
      <c r="AF685" s="27" t="b">
        <f>IF($G685&lt;&gt;0,SUMIF(куб!$G:$G,$G685,куб!R:R),IF($E685&lt;&gt;0,SUMIF(куб!$E:$E,$E685,куб!R:R),IF($D685&lt;&gt;0,SUMIF(куб!$D:$D,$D685,куб!R:R),IF($C685&lt;&gt;0,SUMIF(куб!$C:$C,$C685,куб!R:R),IF($B685&lt;&gt;0,SUMIF(куб!$B:$B,$B685,куб!R:R))))))</f>
        <v>0</v>
      </c>
      <c r="AG685" s="27" t="b">
        <f>IF($G685&lt;&gt;0,SUMIF(куб!$G:$G,$G685,куб!S:S),IF($E685&lt;&gt;0,SUMIF(куб!$E:$E,$E685,куб!S:S),IF($D685&lt;&gt;0,SUMIF(куб!$D:$D,$D685,куб!S:S),IF($C685&lt;&gt;0,SUMIF(куб!$C:$C,$C685,куб!S:S),IF($B685&lt;&gt;0,SUMIF(куб!$B:$B,$B685,куб!S:S))))))</f>
        <v>0</v>
      </c>
      <c r="AH685" s="16" t="str">
        <f t="shared" si="229"/>
        <v>-</v>
      </c>
      <c r="AI685" s="8"/>
      <c r="AJ685" s="27" t="b">
        <f>IF($G685&lt;&gt;0,SUMIF(куб!$G:$G,$G685,куб!T:T),IF($E685&lt;&gt;0,SUMIF(куб!$E:$E,$E685,куб!T:T),IF($D685&lt;&gt;0,SUMIF(куб!$D:$D,$D685,куб!T:T),IF($C685&lt;&gt;0,SUMIF(куб!$C:$C,$C685,куб!T:T),IF($B685&lt;&gt;0,SUMIF(куб!$B:$B,$B685,куб!T:T))))))</f>
        <v>0</v>
      </c>
      <c r="AK685" s="27" t="b">
        <f>IF($G685&lt;&gt;0,SUMIF(куб!$G:$G,$G685,куб!U:U),IF($E685&lt;&gt;0,SUMIF(куб!$E:$E,$E685,куб!U:U),IF($D685&lt;&gt;0,SUMIF(куб!$D:$D,$D685,куб!U:U),IF($C685&lt;&gt;0,SUMIF(куб!$C:$C,$C685,куб!U:U),IF($B685&lt;&gt;0,SUMIF(куб!$B:$B,$B685,куб!U:U))))))</f>
        <v>0</v>
      </c>
      <c r="AL685" s="16" t="str">
        <f t="shared" si="230"/>
        <v>-</v>
      </c>
      <c r="AM685" s="8"/>
      <c r="AN685" s="17" t="str">
        <f t="shared" si="231"/>
        <v xml:space="preserve"> </v>
      </c>
      <c r="AO685" s="17" t="str">
        <f t="shared" si="232"/>
        <v xml:space="preserve"> </v>
      </c>
      <c r="AP685" s="16" t="str">
        <f t="shared" si="233"/>
        <v>-</v>
      </c>
      <c r="AQ685" s="8"/>
      <c r="AR685" s="17" t="str">
        <f t="shared" si="234"/>
        <v>-</v>
      </c>
      <c r="AS685" s="17" t="str">
        <f t="shared" si="235"/>
        <v>-</v>
      </c>
      <c r="AT685" s="13" t="str">
        <f t="shared" si="236"/>
        <v>-</v>
      </c>
      <c r="AU685" s="8"/>
    </row>
    <row r="686" spans="1:47" x14ac:dyDescent="0.25">
      <c r="A686" s="31"/>
      <c r="B686" s="31"/>
      <c r="C686"/>
      <c r="D686" s="31"/>
      <c r="E686"/>
      <c r="F686" s="31"/>
      <c r="G686"/>
      <c r="H686" s="27">
        <f>IF($G686&lt;&gt;0,SUMIF(куб!$G:$G,$G686,куб!H:H),IF($E686&lt;&gt;0,SUMIF(куб!$E:$E,$E686,куб!H:H),IF($D686&lt;&gt;0,SUMIF(куб!$D:$D,$D686,куб!H:H),IF($C686&lt;&gt;0,SUMIF(куб!$C:$C,$C686,куб!H:H),IF($B686&lt;&gt;0,SUMIF(куб!$B:$B,$B686,куб!H:H),IF($G686&lt;&gt;0,SUMIF(куб!$A:$A,$G686,куб!H:H),SUMIF(куб!$A:$A,$G686,куб!H:H)))))))</f>
        <v>0</v>
      </c>
      <c r="I686" s="27">
        <f>IF($G686&lt;&gt;0,SUMIF(куб!$G:$G,$G686,куб!I:I),IF($E686&lt;&gt;0,SUMIF(куб!$E:$E,$E686,куб!I:I),IF($D686&lt;&gt;0,SUMIF(куб!$D:$D,$D686,куб!I:I),IF($C686&lt;&gt;0,SUMIF(куб!$C:$C,$C686,куб!I:I),IF($B686&lt;&gt;0,SUMIF(куб!$B:$B,$B686,куб!I:I),IF($G686&lt;&gt;0,SUMIF(куб!$A:$A,$G686,куб!I:I),SUMIF(куб!$A:$A,$G686,куб!I:I)))))))</f>
        <v>0</v>
      </c>
      <c r="J686" s="19" t="str">
        <f t="shared" si="219"/>
        <v>-</v>
      </c>
      <c r="K686" s="8"/>
      <c r="L686" s="17">
        <f t="shared" si="220"/>
        <v>0</v>
      </c>
      <c r="M686" s="17">
        <f t="shared" si="221"/>
        <v>0</v>
      </c>
      <c r="N686" s="12">
        <f t="shared" si="222"/>
        <v>0</v>
      </c>
      <c r="O686" s="5"/>
      <c r="P686" s="27" t="b">
        <f>IF($G686&lt;&gt;0,SUMIF(куб!$G:$G,$G686,куб!J:J),IF($E686&lt;&gt;0,SUMIF(куб!$E:$E,$E686,куб!J:J),IF($D686&lt;&gt;0,SUMIF(куб!$D:$D,$D686,куб!J:J),IF($C686&lt;&gt;0,SUMIF(куб!$C:$C,$C686,куб!J:J),IF($B686&lt;&gt;0,SUMIF(куб!$B:$B,$B686,куб!J:J))))))</f>
        <v>0</v>
      </c>
      <c r="Q686" s="27" t="b">
        <f>IF($G686&lt;&gt;0,SUMIF(куб!$G:$G,$G686,куб!K:K),IF($E686&lt;&gt;0,SUMIF(куб!$E:$E,$E686,куб!K:K),IF($D686&lt;&gt;0,SUMIF(куб!$D:$D,$D686,куб!K:K),IF($C686&lt;&gt;0,SUMIF(куб!$C:$C,$C686,куб!K:K),IF($B686&lt;&gt;0,SUMIF(куб!$B:$B,$B686,куб!K:K))))))</f>
        <v>0</v>
      </c>
      <c r="R686" s="13" t="str">
        <f t="shared" si="223"/>
        <v>-</v>
      </c>
      <c r="S686" s="5"/>
      <c r="T686" s="27" t="b">
        <f>IF($G686&lt;&gt;0,SUMIF(куб!$G:$G,$G686,куб!L:L),IF($E686&lt;&gt;0,SUMIF(куб!$E:$E,$E686,куб!L:L),IF($D686&lt;&gt;0,SUMIF(куб!$D:$D,$D686,куб!L:L),IF($C686&lt;&gt;0,SUMIF(куб!$C:$C,$C686,куб!L:L),IF($B686&lt;&gt;0,SUMIF(куб!$B:$B,$B686,куб!L:L))))))</f>
        <v>0</v>
      </c>
      <c r="U686" s="27" t="b">
        <f>IF($G686&lt;&gt;0,SUMIF(куб!$G:$G,$G686,куб!M:M),IF($E686&lt;&gt;0,SUMIF(куб!$E:$E,$E686,куб!M:M),IF($D686&lt;&gt;0,SUMIF(куб!$D:$D,$D686,куб!M:M),IF($C686&lt;&gt;0,SUMIF(куб!$C:$C,$C686,куб!M:M),IF($B686&lt;&gt;0,SUMIF(куб!$B:$B,$B686,куб!M:M))))))</f>
        <v>0</v>
      </c>
      <c r="V686" s="13" t="str">
        <f t="shared" si="224"/>
        <v>-</v>
      </c>
      <c r="W686" s="5"/>
      <c r="X686" s="27" t="b">
        <f>IF($G686&lt;&gt;0,SUMIF(куб!$G:$G,$G686,куб!N:N),IF($E686&lt;&gt;0,SUMIF(куб!$E:$E,$E686,куб!N:N),IF($D686&lt;&gt;0,SUMIF(куб!$D:$D,$D686,куб!N:N),IF($C686&lt;&gt;0,SUMIF(куб!$C:$C,$C686,куб!N:N),IF($B686&lt;&gt;0,SUMIF(куб!$B:$B,$B686,куб!N:N))))))</f>
        <v>0</v>
      </c>
      <c r="Y686" s="27" t="b">
        <f>IF($G686&lt;&gt;0,SUMIF(куб!$G:$G,$G686,куб!O:O),IF($E686&lt;&gt;0,SUMIF(куб!$E:$E,$E686,куб!O:O),IF($D686&lt;&gt;0,SUMIF(куб!$D:$D,$D686,куб!O:O),IF($C686&lt;&gt;0,SUMIF(куб!$C:$C,$C686,куб!O:O),IF($B686&lt;&gt;0,SUMIF(куб!$B:$B,$B686,куб!O:O))))))</f>
        <v>0</v>
      </c>
      <c r="Z686" s="13" t="str">
        <f t="shared" si="225"/>
        <v>-</v>
      </c>
      <c r="AA686" s="5"/>
      <c r="AB686" s="33" t="str">
        <f t="shared" si="226"/>
        <v/>
      </c>
      <c r="AC686" s="33" t="str">
        <f t="shared" si="227"/>
        <v/>
      </c>
      <c r="AD686" s="15" t="str">
        <f t="shared" si="228"/>
        <v xml:space="preserve"> </v>
      </c>
      <c r="AE686" s="5"/>
      <c r="AF686" s="27" t="b">
        <f>IF($G686&lt;&gt;0,SUMIF(куб!$G:$G,$G686,куб!R:R),IF($E686&lt;&gt;0,SUMIF(куб!$E:$E,$E686,куб!R:R),IF($D686&lt;&gt;0,SUMIF(куб!$D:$D,$D686,куб!R:R),IF($C686&lt;&gt;0,SUMIF(куб!$C:$C,$C686,куб!R:R),IF($B686&lt;&gt;0,SUMIF(куб!$B:$B,$B686,куб!R:R))))))</f>
        <v>0</v>
      </c>
      <c r="AG686" s="27" t="b">
        <f>IF($G686&lt;&gt;0,SUMIF(куб!$G:$G,$G686,куб!S:S),IF($E686&lt;&gt;0,SUMIF(куб!$E:$E,$E686,куб!S:S),IF($D686&lt;&gt;0,SUMIF(куб!$D:$D,$D686,куб!S:S),IF($C686&lt;&gt;0,SUMIF(куб!$C:$C,$C686,куб!S:S),IF($B686&lt;&gt;0,SUMIF(куб!$B:$B,$B686,куб!S:S))))))</f>
        <v>0</v>
      </c>
      <c r="AH686" s="16" t="str">
        <f t="shared" si="229"/>
        <v>-</v>
      </c>
      <c r="AI686" s="8"/>
      <c r="AJ686" s="27" t="b">
        <f>IF($G686&lt;&gt;0,SUMIF(куб!$G:$G,$G686,куб!T:T),IF($E686&lt;&gt;0,SUMIF(куб!$E:$E,$E686,куб!T:T),IF($D686&lt;&gt;0,SUMIF(куб!$D:$D,$D686,куб!T:T),IF($C686&lt;&gt;0,SUMIF(куб!$C:$C,$C686,куб!T:T),IF($B686&lt;&gt;0,SUMIF(куб!$B:$B,$B686,куб!T:T))))))</f>
        <v>0</v>
      </c>
      <c r="AK686" s="27" t="b">
        <f>IF($G686&lt;&gt;0,SUMIF(куб!$G:$G,$G686,куб!U:U),IF($E686&lt;&gt;0,SUMIF(куб!$E:$E,$E686,куб!U:U),IF($D686&lt;&gt;0,SUMIF(куб!$D:$D,$D686,куб!U:U),IF($C686&lt;&gt;0,SUMIF(куб!$C:$C,$C686,куб!U:U),IF($B686&lt;&gt;0,SUMIF(куб!$B:$B,$B686,куб!U:U))))))</f>
        <v>0</v>
      </c>
      <c r="AL686" s="16" t="str">
        <f t="shared" si="230"/>
        <v>-</v>
      </c>
      <c r="AM686" s="8"/>
      <c r="AN686" s="17" t="str">
        <f t="shared" si="231"/>
        <v xml:space="preserve"> </v>
      </c>
      <c r="AO686" s="17" t="str">
        <f t="shared" si="232"/>
        <v xml:space="preserve"> </v>
      </c>
      <c r="AP686" s="16" t="str">
        <f t="shared" si="233"/>
        <v>-</v>
      </c>
      <c r="AQ686" s="8"/>
      <c r="AR686" s="17" t="str">
        <f t="shared" si="234"/>
        <v>-</v>
      </c>
      <c r="AS686" s="17" t="str">
        <f t="shared" si="235"/>
        <v>-</v>
      </c>
      <c r="AT686" s="13" t="str">
        <f t="shared" si="236"/>
        <v>-</v>
      </c>
      <c r="AU686" s="8"/>
    </row>
    <row r="687" spans="1:47" x14ac:dyDescent="0.25">
      <c r="A687" s="31"/>
      <c r="B687" s="31"/>
      <c r="C687"/>
      <c r="D687" s="31"/>
      <c r="E687"/>
      <c r="F687"/>
      <c r="G687"/>
      <c r="H687" s="27">
        <f>IF($G687&lt;&gt;0,SUMIF(куб!$G:$G,$G687,куб!H:H),IF($E687&lt;&gt;0,SUMIF(куб!$E:$E,$E687,куб!H:H),IF($D687&lt;&gt;0,SUMIF(куб!$D:$D,$D687,куб!H:H),IF($C687&lt;&gt;0,SUMIF(куб!$C:$C,$C687,куб!H:H),IF($B687&lt;&gt;0,SUMIF(куб!$B:$B,$B687,куб!H:H),IF($G687&lt;&gt;0,SUMIF(куб!$A:$A,$G687,куб!H:H),SUMIF(куб!$A:$A,$G687,куб!H:H)))))))</f>
        <v>0</v>
      </c>
      <c r="I687" s="27">
        <f>IF($G687&lt;&gt;0,SUMIF(куб!$G:$G,$G687,куб!I:I),IF($E687&lt;&gt;0,SUMIF(куб!$E:$E,$E687,куб!I:I),IF($D687&lt;&gt;0,SUMIF(куб!$D:$D,$D687,куб!I:I),IF($C687&lt;&gt;0,SUMIF(куб!$C:$C,$C687,куб!I:I),IF($B687&lt;&gt;0,SUMIF(куб!$B:$B,$B687,куб!I:I),IF($G687&lt;&gt;0,SUMIF(куб!$A:$A,$G687,куб!I:I),SUMIF(куб!$A:$A,$G687,куб!I:I)))))))</f>
        <v>0</v>
      </c>
      <c r="J687" s="19" t="str">
        <f t="shared" si="219"/>
        <v>-</v>
      </c>
      <c r="K687" s="8"/>
      <c r="L687" s="17">
        <f t="shared" si="220"/>
        <v>0</v>
      </c>
      <c r="M687" s="17">
        <f t="shared" si="221"/>
        <v>0</v>
      </c>
      <c r="N687" s="12">
        <f t="shared" si="222"/>
        <v>0</v>
      </c>
      <c r="O687" s="5"/>
      <c r="P687" s="27" t="b">
        <f>IF($G687&lt;&gt;0,SUMIF(куб!$G:$G,$G687,куб!J:J),IF($E687&lt;&gt;0,SUMIF(куб!$E:$E,$E687,куб!J:J),IF($D687&lt;&gt;0,SUMIF(куб!$D:$D,$D687,куб!J:J),IF($C687&lt;&gt;0,SUMIF(куб!$C:$C,$C687,куб!J:J),IF($B687&lt;&gt;0,SUMIF(куб!$B:$B,$B687,куб!J:J))))))</f>
        <v>0</v>
      </c>
      <c r="Q687" s="27" t="b">
        <f>IF($G687&lt;&gt;0,SUMIF(куб!$G:$G,$G687,куб!K:K),IF($E687&lt;&gt;0,SUMIF(куб!$E:$E,$E687,куб!K:K),IF($D687&lt;&gt;0,SUMIF(куб!$D:$D,$D687,куб!K:K),IF($C687&lt;&gt;0,SUMIF(куб!$C:$C,$C687,куб!K:K),IF($B687&lt;&gt;0,SUMIF(куб!$B:$B,$B687,куб!K:K))))))</f>
        <v>0</v>
      </c>
      <c r="R687" s="13" t="str">
        <f t="shared" si="223"/>
        <v>-</v>
      </c>
      <c r="S687" s="5"/>
      <c r="T687" s="27" t="b">
        <f>IF($G687&lt;&gt;0,SUMIF(куб!$G:$G,$G687,куб!L:L),IF($E687&lt;&gt;0,SUMIF(куб!$E:$E,$E687,куб!L:L),IF($D687&lt;&gt;0,SUMIF(куб!$D:$D,$D687,куб!L:L),IF($C687&lt;&gt;0,SUMIF(куб!$C:$C,$C687,куб!L:L),IF($B687&lt;&gt;0,SUMIF(куб!$B:$B,$B687,куб!L:L))))))</f>
        <v>0</v>
      </c>
      <c r="U687" s="27" t="b">
        <f>IF($G687&lt;&gt;0,SUMIF(куб!$G:$G,$G687,куб!M:M),IF($E687&lt;&gt;0,SUMIF(куб!$E:$E,$E687,куб!M:M),IF($D687&lt;&gt;0,SUMIF(куб!$D:$D,$D687,куб!M:M),IF($C687&lt;&gt;0,SUMIF(куб!$C:$C,$C687,куб!M:M),IF($B687&lt;&gt;0,SUMIF(куб!$B:$B,$B687,куб!M:M))))))</f>
        <v>0</v>
      </c>
      <c r="V687" s="13" t="str">
        <f t="shared" si="224"/>
        <v>-</v>
      </c>
      <c r="W687" s="5"/>
      <c r="X687" s="27" t="b">
        <f>IF($G687&lt;&gt;0,SUMIF(куб!$G:$G,$G687,куб!N:N),IF($E687&lt;&gt;0,SUMIF(куб!$E:$E,$E687,куб!N:N),IF($D687&lt;&gt;0,SUMIF(куб!$D:$D,$D687,куб!N:N),IF($C687&lt;&gt;0,SUMIF(куб!$C:$C,$C687,куб!N:N),IF($B687&lt;&gt;0,SUMIF(куб!$B:$B,$B687,куб!N:N))))))</f>
        <v>0</v>
      </c>
      <c r="Y687" s="27" t="b">
        <f>IF($G687&lt;&gt;0,SUMIF(куб!$G:$G,$G687,куб!O:O),IF($E687&lt;&gt;0,SUMIF(куб!$E:$E,$E687,куб!O:O),IF($D687&lt;&gt;0,SUMIF(куб!$D:$D,$D687,куб!O:O),IF($C687&lt;&gt;0,SUMIF(куб!$C:$C,$C687,куб!O:O),IF($B687&lt;&gt;0,SUMIF(куб!$B:$B,$B687,куб!O:O))))))</f>
        <v>0</v>
      </c>
      <c r="Z687" s="13" t="str">
        <f t="shared" si="225"/>
        <v>-</v>
      </c>
      <c r="AA687" s="5"/>
      <c r="AB687" s="33" t="str">
        <f t="shared" si="226"/>
        <v/>
      </c>
      <c r="AC687" s="33" t="str">
        <f t="shared" si="227"/>
        <v/>
      </c>
      <c r="AD687" s="15" t="str">
        <f t="shared" si="228"/>
        <v xml:space="preserve"> </v>
      </c>
      <c r="AE687" s="5"/>
      <c r="AF687" s="27" t="b">
        <f>IF($G687&lt;&gt;0,SUMIF(куб!$G:$G,$G687,куб!R:R),IF($E687&lt;&gt;0,SUMIF(куб!$E:$E,$E687,куб!R:R),IF($D687&lt;&gt;0,SUMIF(куб!$D:$D,$D687,куб!R:R),IF($C687&lt;&gt;0,SUMIF(куб!$C:$C,$C687,куб!R:R),IF($B687&lt;&gt;0,SUMIF(куб!$B:$B,$B687,куб!R:R))))))</f>
        <v>0</v>
      </c>
      <c r="AG687" s="27" t="b">
        <f>IF($G687&lt;&gt;0,SUMIF(куб!$G:$G,$G687,куб!S:S),IF($E687&lt;&gt;0,SUMIF(куб!$E:$E,$E687,куб!S:S),IF($D687&lt;&gt;0,SUMIF(куб!$D:$D,$D687,куб!S:S),IF($C687&lt;&gt;0,SUMIF(куб!$C:$C,$C687,куб!S:S),IF($B687&lt;&gt;0,SUMIF(куб!$B:$B,$B687,куб!S:S))))))</f>
        <v>0</v>
      </c>
      <c r="AH687" s="16" t="str">
        <f t="shared" si="229"/>
        <v>-</v>
      </c>
      <c r="AI687" s="8"/>
      <c r="AJ687" s="27" t="b">
        <f>IF($G687&lt;&gt;0,SUMIF(куб!$G:$G,$G687,куб!T:T),IF($E687&lt;&gt;0,SUMIF(куб!$E:$E,$E687,куб!T:T),IF($D687&lt;&gt;0,SUMIF(куб!$D:$D,$D687,куб!T:T),IF($C687&lt;&gt;0,SUMIF(куб!$C:$C,$C687,куб!T:T),IF($B687&lt;&gt;0,SUMIF(куб!$B:$B,$B687,куб!T:T))))))</f>
        <v>0</v>
      </c>
      <c r="AK687" s="27" t="b">
        <f>IF($G687&lt;&gt;0,SUMIF(куб!$G:$G,$G687,куб!U:U),IF($E687&lt;&gt;0,SUMIF(куб!$E:$E,$E687,куб!U:U),IF($D687&lt;&gt;0,SUMIF(куб!$D:$D,$D687,куб!U:U),IF($C687&lt;&gt;0,SUMIF(куб!$C:$C,$C687,куб!U:U),IF($B687&lt;&gt;0,SUMIF(куб!$B:$B,$B687,куб!U:U))))))</f>
        <v>0</v>
      </c>
      <c r="AL687" s="16" t="str">
        <f t="shared" si="230"/>
        <v>-</v>
      </c>
      <c r="AM687" s="8"/>
      <c r="AN687" s="17" t="str">
        <f t="shared" si="231"/>
        <v xml:space="preserve"> </v>
      </c>
      <c r="AO687" s="17" t="str">
        <f t="shared" si="232"/>
        <v xml:space="preserve"> </v>
      </c>
      <c r="AP687" s="16" t="str">
        <f t="shared" si="233"/>
        <v>-</v>
      </c>
      <c r="AQ687" s="8"/>
      <c r="AR687" s="17" t="str">
        <f t="shared" si="234"/>
        <v>-</v>
      </c>
      <c r="AS687" s="17" t="str">
        <f t="shared" si="235"/>
        <v>-</v>
      </c>
      <c r="AT687" s="13" t="str">
        <f t="shared" si="236"/>
        <v>-</v>
      </c>
      <c r="AU687" s="8"/>
    </row>
    <row r="688" spans="1:47" x14ac:dyDescent="0.25">
      <c r="A688" s="31"/>
      <c r="B688" s="31"/>
      <c r="C688"/>
      <c r="D688" s="31"/>
      <c r="E688" s="31"/>
      <c r="F688" s="31"/>
      <c r="G688" s="31"/>
      <c r="H688" s="27">
        <f>IF($G688&lt;&gt;0,SUMIF(куб!$G:$G,$G688,куб!H:H),IF($E688&lt;&gt;0,SUMIF(куб!$E:$E,$E688,куб!H:H),IF($D688&lt;&gt;0,SUMIF(куб!$D:$D,$D688,куб!H:H),IF($C688&lt;&gt;0,SUMIF(куб!$C:$C,$C688,куб!H:H),IF($B688&lt;&gt;0,SUMIF(куб!$B:$B,$B688,куб!H:H),IF($G688&lt;&gt;0,SUMIF(куб!$A:$A,$G688,куб!H:H),SUMIF(куб!$A:$A,$G688,куб!H:H)))))))</f>
        <v>0</v>
      </c>
      <c r="I688" s="27">
        <f>IF($G688&lt;&gt;0,SUMIF(куб!$G:$G,$G688,куб!I:I),IF($E688&lt;&gt;0,SUMIF(куб!$E:$E,$E688,куб!I:I),IF($D688&lt;&gt;0,SUMIF(куб!$D:$D,$D688,куб!I:I),IF($C688&lt;&gt;0,SUMIF(куб!$C:$C,$C688,куб!I:I),IF($B688&lt;&gt;0,SUMIF(куб!$B:$B,$B688,куб!I:I),IF($G688&lt;&gt;0,SUMIF(куб!$A:$A,$G688,куб!I:I),SUMIF(куб!$A:$A,$G688,куб!I:I)))))))</f>
        <v>0</v>
      </c>
      <c r="J688" s="19" t="str">
        <f t="shared" si="219"/>
        <v>-</v>
      </c>
      <c r="K688" s="8"/>
      <c r="L688" s="17">
        <f t="shared" si="220"/>
        <v>0</v>
      </c>
      <c r="M688" s="17">
        <f t="shared" si="221"/>
        <v>0</v>
      </c>
      <c r="N688" s="12">
        <f t="shared" si="222"/>
        <v>0</v>
      </c>
      <c r="O688" s="5"/>
      <c r="P688" s="27" t="b">
        <f>IF($G688&lt;&gt;0,SUMIF(куб!$G:$G,$G688,куб!J:J),IF($E688&lt;&gt;0,SUMIF(куб!$E:$E,$E688,куб!J:J),IF($D688&lt;&gt;0,SUMIF(куб!$D:$D,$D688,куб!J:J),IF($C688&lt;&gt;0,SUMIF(куб!$C:$C,$C688,куб!J:J),IF($B688&lt;&gt;0,SUMIF(куб!$B:$B,$B688,куб!J:J))))))</f>
        <v>0</v>
      </c>
      <c r="Q688" s="27" t="b">
        <f>IF($G688&lt;&gt;0,SUMIF(куб!$G:$G,$G688,куб!K:K),IF($E688&lt;&gt;0,SUMIF(куб!$E:$E,$E688,куб!K:K),IF($D688&lt;&gt;0,SUMIF(куб!$D:$D,$D688,куб!K:K),IF($C688&lt;&gt;0,SUMIF(куб!$C:$C,$C688,куб!K:K),IF($B688&lt;&gt;0,SUMIF(куб!$B:$B,$B688,куб!K:K))))))</f>
        <v>0</v>
      </c>
      <c r="R688" s="13" t="str">
        <f t="shared" si="223"/>
        <v>-</v>
      </c>
      <c r="S688" s="5"/>
      <c r="T688" s="27" t="b">
        <f>IF($G688&lt;&gt;0,SUMIF(куб!$G:$G,$G688,куб!L:L),IF($E688&lt;&gt;0,SUMIF(куб!$E:$E,$E688,куб!L:L),IF($D688&lt;&gt;0,SUMIF(куб!$D:$D,$D688,куб!L:L),IF($C688&lt;&gt;0,SUMIF(куб!$C:$C,$C688,куб!L:L),IF($B688&lt;&gt;0,SUMIF(куб!$B:$B,$B688,куб!L:L))))))</f>
        <v>0</v>
      </c>
      <c r="U688" s="27" t="b">
        <f>IF($G688&lt;&gt;0,SUMIF(куб!$G:$G,$G688,куб!M:M),IF($E688&lt;&gt;0,SUMIF(куб!$E:$E,$E688,куб!M:M),IF($D688&lt;&gt;0,SUMIF(куб!$D:$D,$D688,куб!M:M),IF($C688&lt;&gt;0,SUMIF(куб!$C:$C,$C688,куб!M:M),IF($B688&lt;&gt;0,SUMIF(куб!$B:$B,$B688,куб!M:M))))))</f>
        <v>0</v>
      </c>
      <c r="V688" s="13" t="str">
        <f t="shared" si="224"/>
        <v>-</v>
      </c>
      <c r="W688" s="5"/>
      <c r="X688" s="27" t="b">
        <f>IF($G688&lt;&gt;0,SUMIF(куб!$G:$G,$G688,куб!N:N),IF($E688&lt;&gt;0,SUMIF(куб!$E:$E,$E688,куб!N:N),IF($D688&lt;&gt;0,SUMIF(куб!$D:$D,$D688,куб!N:N),IF($C688&lt;&gt;0,SUMIF(куб!$C:$C,$C688,куб!N:N),IF($B688&lt;&gt;0,SUMIF(куб!$B:$B,$B688,куб!N:N))))))</f>
        <v>0</v>
      </c>
      <c r="Y688" s="27" t="b">
        <f>IF($G688&lt;&gt;0,SUMIF(куб!$G:$G,$G688,куб!O:O),IF($E688&lt;&gt;0,SUMIF(куб!$E:$E,$E688,куб!O:O),IF($D688&lt;&gt;0,SUMIF(куб!$D:$D,$D688,куб!O:O),IF($C688&lt;&gt;0,SUMIF(куб!$C:$C,$C688,куб!O:O),IF($B688&lt;&gt;0,SUMIF(куб!$B:$B,$B688,куб!O:O))))))</f>
        <v>0</v>
      </c>
      <c r="Z688" s="13" t="str">
        <f t="shared" si="225"/>
        <v>-</v>
      </c>
      <c r="AA688" s="5"/>
      <c r="AB688" s="33" t="str">
        <f t="shared" si="226"/>
        <v/>
      </c>
      <c r="AC688" s="33" t="str">
        <f t="shared" si="227"/>
        <v/>
      </c>
      <c r="AD688" s="15" t="str">
        <f t="shared" si="228"/>
        <v xml:space="preserve"> </v>
      </c>
      <c r="AE688" s="5"/>
      <c r="AF688" s="27" t="b">
        <f>IF($G688&lt;&gt;0,SUMIF(куб!$G:$G,$G688,куб!R:R),IF($E688&lt;&gt;0,SUMIF(куб!$E:$E,$E688,куб!R:R),IF($D688&lt;&gt;0,SUMIF(куб!$D:$D,$D688,куб!R:R),IF($C688&lt;&gt;0,SUMIF(куб!$C:$C,$C688,куб!R:R),IF($B688&lt;&gt;0,SUMIF(куб!$B:$B,$B688,куб!R:R))))))</f>
        <v>0</v>
      </c>
      <c r="AG688" s="27" t="b">
        <f>IF($G688&lt;&gt;0,SUMIF(куб!$G:$G,$G688,куб!S:S),IF($E688&lt;&gt;0,SUMIF(куб!$E:$E,$E688,куб!S:S),IF($D688&lt;&gt;0,SUMIF(куб!$D:$D,$D688,куб!S:S),IF($C688&lt;&gt;0,SUMIF(куб!$C:$C,$C688,куб!S:S),IF($B688&lt;&gt;0,SUMIF(куб!$B:$B,$B688,куб!S:S))))))</f>
        <v>0</v>
      </c>
      <c r="AH688" s="16" t="str">
        <f t="shared" si="229"/>
        <v>-</v>
      </c>
      <c r="AI688" s="8"/>
      <c r="AJ688" s="27" t="b">
        <f>IF($G688&lt;&gt;0,SUMIF(куб!$G:$G,$G688,куб!T:T),IF($E688&lt;&gt;0,SUMIF(куб!$E:$E,$E688,куб!T:T),IF($D688&lt;&gt;0,SUMIF(куб!$D:$D,$D688,куб!T:T),IF($C688&lt;&gt;0,SUMIF(куб!$C:$C,$C688,куб!T:T),IF($B688&lt;&gt;0,SUMIF(куб!$B:$B,$B688,куб!T:T))))))</f>
        <v>0</v>
      </c>
      <c r="AK688" s="27" t="b">
        <f>IF($G688&lt;&gt;0,SUMIF(куб!$G:$G,$G688,куб!U:U),IF($E688&lt;&gt;0,SUMIF(куб!$E:$E,$E688,куб!U:U),IF($D688&lt;&gt;0,SUMIF(куб!$D:$D,$D688,куб!U:U),IF($C688&lt;&gt;0,SUMIF(куб!$C:$C,$C688,куб!U:U),IF($B688&lt;&gt;0,SUMIF(куб!$B:$B,$B688,куб!U:U))))))</f>
        <v>0</v>
      </c>
      <c r="AL688" s="16" t="str">
        <f t="shared" si="230"/>
        <v>-</v>
      </c>
      <c r="AM688" s="8"/>
      <c r="AN688" s="17" t="str">
        <f t="shared" si="231"/>
        <v xml:space="preserve"> </v>
      </c>
      <c r="AO688" s="17" t="str">
        <f t="shared" si="232"/>
        <v xml:space="preserve"> </v>
      </c>
      <c r="AP688" s="16" t="str">
        <f t="shared" si="233"/>
        <v>-</v>
      </c>
      <c r="AQ688" s="8"/>
      <c r="AR688" s="17" t="str">
        <f t="shared" si="234"/>
        <v>-</v>
      </c>
      <c r="AS688" s="17" t="str">
        <f t="shared" si="235"/>
        <v>-</v>
      </c>
      <c r="AT688" s="13" t="str">
        <f t="shared" si="236"/>
        <v>-</v>
      </c>
      <c r="AU688" s="8"/>
    </row>
    <row r="689" spans="1:47" x14ac:dyDescent="0.25">
      <c r="A689" s="31"/>
      <c r="B689" s="31"/>
      <c r="C689"/>
      <c r="D689" s="31"/>
      <c r="E689"/>
      <c r="F689" s="31"/>
      <c r="G689"/>
      <c r="H689" s="27">
        <f>IF($G689&lt;&gt;0,SUMIF(куб!$G:$G,$G689,куб!H:H),IF($E689&lt;&gt;0,SUMIF(куб!$E:$E,$E689,куб!H:H),IF($D689&lt;&gt;0,SUMIF(куб!$D:$D,$D689,куб!H:H),IF($C689&lt;&gt;0,SUMIF(куб!$C:$C,$C689,куб!H:H),IF($B689&lt;&gt;0,SUMIF(куб!$B:$B,$B689,куб!H:H),IF($G689&lt;&gt;0,SUMIF(куб!$A:$A,$G689,куб!H:H),SUMIF(куб!$A:$A,$G689,куб!H:H)))))))</f>
        <v>0</v>
      </c>
      <c r="I689" s="27">
        <f>IF($G689&lt;&gt;0,SUMIF(куб!$G:$G,$G689,куб!I:I),IF($E689&lt;&gt;0,SUMIF(куб!$E:$E,$E689,куб!I:I),IF($D689&lt;&gt;0,SUMIF(куб!$D:$D,$D689,куб!I:I),IF($C689&lt;&gt;0,SUMIF(куб!$C:$C,$C689,куб!I:I),IF($B689&lt;&gt;0,SUMIF(куб!$B:$B,$B689,куб!I:I),IF($G689&lt;&gt;0,SUMIF(куб!$A:$A,$G689,куб!I:I),SUMIF(куб!$A:$A,$G689,куб!I:I)))))))</f>
        <v>0</v>
      </c>
      <c r="J689" s="19" t="str">
        <f t="shared" si="219"/>
        <v>-</v>
      </c>
      <c r="K689" s="8"/>
      <c r="L689" s="17">
        <f t="shared" si="220"/>
        <v>0</v>
      </c>
      <c r="M689" s="17">
        <f t="shared" si="221"/>
        <v>0</v>
      </c>
      <c r="N689" s="12">
        <f t="shared" si="222"/>
        <v>0</v>
      </c>
      <c r="O689" s="5"/>
      <c r="P689" s="27" t="b">
        <f>IF($G689&lt;&gt;0,SUMIF(куб!$G:$G,$G689,куб!J:J),IF($E689&lt;&gt;0,SUMIF(куб!$E:$E,$E689,куб!J:J),IF($D689&lt;&gt;0,SUMIF(куб!$D:$D,$D689,куб!J:J),IF($C689&lt;&gt;0,SUMIF(куб!$C:$C,$C689,куб!J:J),IF($B689&lt;&gt;0,SUMIF(куб!$B:$B,$B689,куб!J:J))))))</f>
        <v>0</v>
      </c>
      <c r="Q689" s="27" t="b">
        <f>IF($G689&lt;&gt;0,SUMIF(куб!$G:$G,$G689,куб!K:K),IF($E689&lt;&gt;0,SUMIF(куб!$E:$E,$E689,куб!K:K),IF($D689&lt;&gt;0,SUMIF(куб!$D:$D,$D689,куб!K:K),IF($C689&lt;&gt;0,SUMIF(куб!$C:$C,$C689,куб!K:K),IF($B689&lt;&gt;0,SUMIF(куб!$B:$B,$B689,куб!K:K))))))</f>
        <v>0</v>
      </c>
      <c r="R689" s="13" t="str">
        <f t="shared" si="223"/>
        <v>-</v>
      </c>
      <c r="S689" s="5"/>
      <c r="T689" s="27" t="b">
        <f>IF($G689&lt;&gt;0,SUMIF(куб!$G:$G,$G689,куб!L:L),IF($E689&lt;&gt;0,SUMIF(куб!$E:$E,$E689,куб!L:L),IF($D689&lt;&gt;0,SUMIF(куб!$D:$D,$D689,куб!L:L),IF($C689&lt;&gt;0,SUMIF(куб!$C:$C,$C689,куб!L:L),IF($B689&lt;&gt;0,SUMIF(куб!$B:$B,$B689,куб!L:L))))))</f>
        <v>0</v>
      </c>
      <c r="U689" s="27" t="b">
        <f>IF($G689&lt;&gt;0,SUMIF(куб!$G:$G,$G689,куб!M:M),IF($E689&lt;&gt;0,SUMIF(куб!$E:$E,$E689,куб!M:M),IF($D689&lt;&gt;0,SUMIF(куб!$D:$D,$D689,куб!M:M),IF($C689&lt;&gt;0,SUMIF(куб!$C:$C,$C689,куб!M:M),IF($B689&lt;&gt;0,SUMIF(куб!$B:$B,$B689,куб!M:M))))))</f>
        <v>0</v>
      </c>
      <c r="V689" s="13" t="str">
        <f t="shared" si="224"/>
        <v>-</v>
      </c>
      <c r="W689" s="5"/>
      <c r="X689" s="27" t="b">
        <f>IF($G689&lt;&gt;0,SUMIF(куб!$G:$G,$G689,куб!N:N),IF($E689&lt;&gt;0,SUMIF(куб!$E:$E,$E689,куб!N:N),IF($D689&lt;&gt;0,SUMIF(куб!$D:$D,$D689,куб!N:N),IF($C689&lt;&gt;0,SUMIF(куб!$C:$C,$C689,куб!N:N),IF($B689&lt;&gt;0,SUMIF(куб!$B:$B,$B689,куб!N:N))))))</f>
        <v>0</v>
      </c>
      <c r="Y689" s="27" t="b">
        <f>IF($G689&lt;&gt;0,SUMIF(куб!$G:$G,$G689,куб!O:O),IF($E689&lt;&gt;0,SUMIF(куб!$E:$E,$E689,куб!O:O),IF($D689&lt;&gt;0,SUMIF(куб!$D:$D,$D689,куб!O:O),IF($C689&lt;&gt;0,SUMIF(куб!$C:$C,$C689,куб!O:O),IF($B689&lt;&gt;0,SUMIF(куб!$B:$B,$B689,куб!O:O))))))</f>
        <v>0</v>
      </c>
      <c r="Z689" s="13" t="str">
        <f t="shared" si="225"/>
        <v>-</v>
      </c>
      <c r="AA689" s="5"/>
      <c r="AB689" s="33" t="str">
        <f t="shared" si="226"/>
        <v/>
      </c>
      <c r="AC689" s="33" t="str">
        <f t="shared" si="227"/>
        <v/>
      </c>
      <c r="AD689" s="15" t="str">
        <f t="shared" si="228"/>
        <v xml:space="preserve"> </v>
      </c>
      <c r="AE689" s="5"/>
      <c r="AF689" s="27" t="b">
        <f>IF($G689&lt;&gt;0,SUMIF(куб!$G:$G,$G689,куб!R:R),IF($E689&lt;&gt;0,SUMIF(куб!$E:$E,$E689,куб!R:R),IF($D689&lt;&gt;0,SUMIF(куб!$D:$D,$D689,куб!R:R),IF($C689&lt;&gt;0,SUMIF(куб!$C:$C,$C689,куб!R:R),IF($B689&lt;&gt;0,SUMIF(куб!$B:$B,$B689,куб!R:R))))))</f>
        <v>0</v>
      </c>
      <c r="AG689" s="27" t="b">
        <f>IF($G689&lt;&gt;0,SUMIF(куб!$G:$G,$G689,куб!S:S),IF($E689&lt;&gt;0,SUMIF(куб!$E:$E,$E689,куб!S:S),IF($D689&lt;&gt;0,SUMIF(куб!$D:$D,$D689,куб!S:S),IF($C689&lt;&gt;0,SUMIF(куб!$C:$C,$C689,куб!S:S),IF($B689&lt;&gt;0,SUMIF(куб!$B:$B,$B689,куб!S:S))))))</f>
        <v>0</v>
      </c>
      <c r="AH689" s="16" t="str">
        <f t="shared" si="229"/>
        <v>-</v>
      </c>
      <c r="AI689" s="8"/>
      <c r="AJ689" s="27" t="b">
        <f>IF($G689&lt;&gt;0,SUMIF(куб!$G:$G,$G689,куб!T:T),IF($E689&lt;&gt;0,SUMIF(куб!$E:$E,$E689,куб!T:T),IF($D689&lt;&gt;0,SUMIF(куб!$D:$D,$D689,куб!T:T),IF($C689&lt;&gt;0,SUMIF(куб!$C:$C,$C689,куб!T:T),IF($B689&lt;&gt;0,SUMIF(куб!$B:$B,$B689,куб!T:T))))))</f>
        <v>0</v>
      </c>
      <c r="AK689" s="27" t="b">
        <f>IF($G689&lt;&gt;0,SUMIF(куб!$G:$G,$G689,куб!U:U),IF($E689&lt;&gt;0,SUMIF(куб!$E:$E,$E689,куб!U:U),IF($D689&lt;&gt;0,SUMIF(куб!$D:$D,$D689,куб!U:U),IF($C689&lt;&gt;0,SUMIF(куб!$C:$C,$C689,куб!U:U),IF($B689&lt;&gt;0,SUMIF(куб!$B:$B,$B689,куб!U:U))))))</f>
        <v>0</v>
      </c>
      <c r="AL689" s="16" t="str">
        <f t="shared" si="230"/>
        <v>-</v>
      </c>
      <c r="AM689" s="8"/>
      <c r="AN689" s="17" t="str">
        <f t="shared" si="231"/>
        <v xml:space="preserve"> </v>
      </c>
      <c r="AO689" s="17" t="str">
        <f t="shared" si="232"/>
        <v xml:space="preserve"> </v>
      </c>
      <c r="AP689" s="16" t="str">
        <f t="shared" si="233"/>
        <v>-</v>
      </c>
      <c r="AQ689" s="8"/>
      <c r="AR689" s="17" t="str">
        <f t="shared" si="234"/>
        <v>-</v>
      </c>
      <c r="AS689" s="17" t="str">
        <f t="shared" si="235"/>
        <v>-</v>
      </c>
      <c r="AT689" s="13" t="str">
        <f t="shared" si="236"/>
        <v>-</v>
      </c>
      <c r="AU689" s="8"/>
    </row>
    <row r="690" spans="1:47" x14ac:dyDescent="0.25">
      <c r="A690" s="31"/>
      <c r="B690" s="31"/>
      <c r="C690"/>
      <c r="D690" s="31"/>
      <c r="E690"/>
      <c r="F690" s="31"/>
      <c r="G690"/>
      <c r="H690" s="27">
        <f>IF($G690&lt;&gt;0,SUMIF(куб!$G:$G,$G690,куб!H:H),IF($E690&lt;&gt;0,SUMIF(куб!$E:$E,$E690,куб!H:H),IF($D690&lt;&gt;0,SUMIF(куб!$D:$D,$D690,куб!H:H),IF($C690&lt;&gt;0,SUMIF(куб!$C:$C,$C690,куб!H:H),IF($B690&lt;&gt;0,SUMIF(куб!$B:$B,$B690,куб!H:H),IF($G690&lt;&gt;0,SUMIF(куб!$A:$A,$G690,куб!H:H),SUMIF(куб!$A:$A,$G690,куб!H:H)))))))</f>
        <v>0</v>
      </c>
      <c r="I690" s="27">
        <f>IF($G690&lt;&gt;0,SUMIF(куб!$G:$G,$G690,куб!I:I),IF($E690&lt;&gt;0,SUMIF(куб!$E:$E,$E690,куб!I:I),IF($D690&lt;&gt;0,SUMIF(куб!$D:$D,$D690,куб!I:I),IF($C690&lt;&gt;0,SUMIF(куб!$C:$C,$C690,куб!I:I),IF($B690&lt;&gt;0,SUMIF(куб!$B:$B,$B690,куб!I:I),IF($G690&lt;&gt;0,SUMIF(куб!$A:$A,$G690,куб!I:I),SUMIF(куб!$A:$A,$G690,куб!I:I)))))))</f>
        <v>0</v>
      </c>
      <c r="J690" s="19" t="str">
        <f t="shared" si="219"/>
        <v>-</v>
      </c>
      <c r="K690" s="8"/>
      <c r="L690" s="17">
        <f t="shared" si="220"/>
        <v>0</v>
      </c>
      <c r="M690" s="17">
        <f t="shared" si="221"/>
        <v>0</v>
      </c>
      <c r="N690" s="12">
        <f t="shared" si="222"/>
        <v>0</v>
      </c>
      <c r="O690" s="5"/>
      <c r="P690" s="27" t="b">
        <f>IF($G690&lt;&gt;0,SUMIF(куб!$G:$G,$G690,куб!J:J),IF($E690&lt;&gt;0,SUMIF(куб!$E:$E,$E690,куб!J:J),IF($D690&lt;&gt;0,SUMIF(куб!$D:$D,$D690,куб!J:J),IF($C690&lt;&gt;0,SUMIF(куб!$C:$C,$C690,куб!J:J),IF($B690&lt;&gt;0,SUMIF(куб!$B:$B,$B690,куб!J:J))))))</f>
        <v>0</v>
      </c>
      <c r="Q690" s="27" t="b">
        <f>IF($G690&lt;&gt;0,SUMIF(куб!$G:$G,$G690,куб!K:K),IF($E690&lt;&gt;0,SUMIF(куб!$E:$E,$E690,куб!K:K),IF($D690&lt;&gt;0,SUMIF(куб!$D:$D,$D690,куб!K:K),IF($C690&lt;&gt;0,SUMIF(куб!$C:$C,$C690,куб!K:K),IF($B690&lt;&gt;0,SUMIF(куб!$B:$B,$B690,куб!K:K))))))</f>
        <v>0</v>
      </c>
      <c r="R690" s="13" t="str">
        <f t="shared" si="223"/>
        <v>-</v>
      </c>
      <c r="S690" s="5"/>
      <c r="T690" s="27" t="b">
        <f>IF($G690&lt;&gt;0,SUMIF(куб!$G:$G,$G690,куб!L:L),IF($E690&lt;&gt;0,SUMIF(куб!$E:$E,$E690,куб!L:L),IF($D690&lt;&gt;0,SUMIF(куб!$D:$D,$D690,куб!L:L),IF($C690&lt;&gt;0,SUMIF(куб!$C:$C,$C690,куб!L:L),IF($B690&lt;&gt;0,SUMIF(куб!$B:$B,$B690,куб!L:L))))))</f>
        <v>0</v>
      </c>
      <c r="U690" s="27" t="b">
        <f>IF($G690&lt;&gt;0,SUMIF(куб!$G:$G,$G690,куб!M:M),IF($E690&lt;&gt;0,SUMIF(куб!$E:$E,$E690,куб!M:M),IF($D690&lt;&gt;0,SUMIF(куб!$D:$D,$D690,куб!M:M),IF($C690&lt;&gt;0,SUMIF(куб!$C:$C,$C690,куб!M:M),IF($B690&lt;&gt;0,SUMIF(куб!$B:$B,$B690,куб!M:M))))))</f>
        <v>0</v>
      </c>
      <c r="V690" s="13" t="str">
        <f t="shared" si="224"/>
        <v>-</v>
      </c>
      <c r="W690" s="5"/>
      <c r="X690" s="27" t="b">
        <f>IF($G690&lt;&gt;0,SUMIF(куб!$G:$G,$G690,куб!N:N),IF($E690&lt;&gt;0,SUMIF(куб!$E:$E,$E690,куб!N:N),IF($D690&lt;&gt;0,SUMIF(куб!$D:$D,$D690,куб!N:N),IF($C690&lt;&gt;0,SUMIF(куб!$C:$C,$C690,куб!N:N),IF($B690&lt;&gt;0,SUMIF(куб!$B:$B,$B690,куб!N:N))))))</f>
        <v>0</v>
      </c>
      <c r="Y690" s="27" t="b">
        <f>IF($G690&lt;&gt;0,SUMIF(куб!$G:$G,$G690,куб!O:O),IF($E690&lt;&gt;0,SUMIF(куб!$E:$E,$E690,куб!O:O),IF($D690&lt;&gt;0,SUMIF(куб!$D:$D,$D690,куб!O:O),IF($C690&lt;&gt;0,SUMIF(куб!$C:$C,$C690,куб!O:O),IF($B690&lt;&gt;0,SUMIF(куб!$B:$B,$B690,куб!O:O))))))</f>
        <v>0</v>
      </c>
      <c r="Z690" s="13" t="str">
        <f t="shared" si="225"/>
        <v>-</v>
      </c>
      <c r="AA690" s="5"/>
      <c r="AB690" s="33" t="str">
        <f t="shared" si="226"/>
        <v/>
      </c>
      <c r="AC690" s="33" t="str">
        <f t="shared" si="227"/>
        <v/>
      </c>
      <c r="AD690" s="15" t="str">
        <f t="shared" si="228"/>
        <v xml:space="preserve"> </v>
      </c>
      <c r="AE690" s="5"/>
      <c r="AF690" s="27" t="b">
        <f>IF($G690&lt;&gt;0,SUMIF(куб!$G:$G,$G690,куб!R:R),IF($E690&lt;&gt;0,SUMIF(куб!$E:$E,$E690,куб!R:R),IF($D690&lt;&gt;0,SUMIF(куб!$D:$D,$D690,куб!R:R),IF($C690&lt;&gt;0,SUMIF(куб!$C:$C,$C690,куб!R:R),IF($B690&lt;&gt;0,SUMIF(куб!$B:$B,$B690,куб!R:R))))))</f>
        <v>0</v>
      </c>
      <c r="AG690" s="27" t="b">
        <f>IF($G690&lt;&gt;0,SUMIF(куб!$G:$G,$G690,куб!S:S),IF($E690&lt;&gt;0,SUMIF(куб!$E:$E,$E690,куб!S:S),IF($D690&lt;&gt;0,SUMIF(куб!$D:$D,$D690,куб!S:S),IF($C690&lt;&gt;0,SUMIF(куб!$C:$C,$C690,куб!S:S),IF($B690&lt;&gt;0,SUMIF(куб!$B:$B,$B690,куб!S:S))))))</f>
        <v>0</v>
      </c>
      <c r="AH690" s="16" t="str">
        <f t="shared" si="229"/>
        <v>-</v>
      </c>
      <c r="AI690" s="8"/>
      <c r="AJ690" s="27" t="b">
        <f>IF($G690&lt;&gt;0,SUMIF(куб!$G:$G,$G690,куб!T:T),IF($E690&lt;&gt;0,SUMIF(куб!$E:$E,$E690,куб!T:T),IF($D690&lt;&gt;0,SUMIF(куб!$D:$D,$D690,куб!T:T),IF($C690&lt;&gt;0,SUMIF(куб!$C:$C,$C690,куб!T:T),IF($B690&lt;&gt;0,SUMIF(куб!$B:$B,$B690,куб!T:T))))))</f>
        <v>0</v>
      </c>
      <c r="AK690" s="27" t="b">
        <f>IF($G690&lt;&gt;0,SUMIF(куб!$G:$G,$G690,куб!U:U),IF($E690&lt;&gt;0,SUMIF(куб!$E:$E,$E690,куб!U:U),IF($D690&lt;&gt;0,SUMIF(куб!$D:$D,$D690,куб!U:U),IF($C690&lt;&gt;0,SUMIF(куб!$C:$C,$C690,куб!U:U),IF($B690&lt;&gt;0,SUMIF(куб!$B:$B,$B690,куб!U:U))))))</f>
        <v>0</v>
      </c>
      <c r="AL690" s="16" t="str">
        <f t="shared" si="230"/>
        <v>-</v>
      </c>
      <c r="AM690" s="8"/>
      <c r="AN690" s="17" t="str">
        <f t="shared" si="231"/>
        <v xml:space="preserve"> </v>
      </c>
      <c r="AO690" s="17" t="str">
        <f t="shared" si="232"/>
        <v xml:space="preserve"> </v>
      </c>
      <c r="AP690" s="16" t="str">
        <f t="shared" si="233"/>
        <v>-</v>
      </c>
      <c r="AQ690" s="8"/>
      <c r="AR690" s="17" t="str">
        <f t="shared" si="234"/>
        <v>-</v>
      </c>
      <c r="AS690" s="17" t="str">
        <f t="shared" si="235"/>
        <v>-</v>
      </c>
      <c r="AT690" s="13" t="str">
        <f t="shared" si="236"/>
        <v>-</v>
      </c>
      <c r="AU690" s="8"/>
    </row>
    <row r="691" spans="1:47" x14ac:dyDescent="0.25">
      <c r="A691" s="31"/>
      <c r="B691" s="31"/>
      <c r="C691"/>
      <c r="D691" s="31"/>
      <c r="E691"/>
      <c r="F691" s="31"/>
      <c r="G691"/>
      <c r="H691" s="27">
        <f>IF($G691&lt;&gt;0,SUMIF(куб!$G:$G,$G691,куб!H:H),IF($E691&lt;&gt;0,SUMIF(куб!$E:$E,$E691,куб!H:H),IF($D691&lt;&gt;0,SUMIF(куб!$D:$D,$D691,куб!H:H),IF($C691&lt;&gt;0,SUMIF(куб!$C:$C,$C691,куб!H:H),IF($B691&lt;&gt;0,SUMIF(куб!$B:$B,$B691,куб!H:H),IF($G691&lt;&gt;0,SUMIF(куб!$A:$A,$G691,куб!H:H),SUMIF(куб!$A:$A,$G691,куб!H:H)))))))</f>
        <v>0</v>
      </c>
      <c r="I691" s="27">
        <f>IF($G691&lt;&gt;0,SUMIF(куб!$G:$G,$G691,куб!I:I),IF($E691&lt;&gt;0,SUMIF(куб!$E:$E,$E691,куб!I:I),IF($D691&lt;&gt;0,SUMIF(куб!$D:$D,$D691,куб!I:I),IF($C691&lt;&gt;0,SUMIF(куб!$C:$C,$C691,куб!I:I),IF($B691&lt;&gt;0,SUMIF(куб!$B:$B,$B691,куб!I:I),IF($G691&lt;&gt;0,SUMIF(куб!$A:$A,$G691,куб!I:I),SUMIF(куб!$A:$A,$G691,куб!I:I)))))))</f>
        <v>0</v>
      </c>
      <c r="J691" s="19" t="str">
        <f t="shared" si="219"/>
        <v>-</v>
      </c>
      <c r="K691" s="8"/>
      <c r="L691" s="17">
        <f t="shared" si="220"/>
        <v>0</v>
      </c>
      <c r="M691" s="17">
        <f t="shared" si="221"/>
        <v>0</v>
      </c>
      <c r="N691" s="12">
        <f t="shared" si="222"/>
        <v>0</v>
      </c>
      <c r="O691" s="5"/>
      <c r="P691" s="27" t="b">
        <f>IF($G691&lt;&gt;0,SUMIF(куб!$G:$G,$G691,куб!J:J),IF($E691&lt;&gt;0,SUMIF(куб!$E:$E,$E691,куб!J:J),IF($D691&lt;&gt;0,SUMIF(куб!$D:$D,$D691,куб!J:J),IF($C691&lt;&gt;0,SUMIF(куб!$C:$C,$C691,куб!J:J),IF($B691&lt;&gt;0,SUMIF(куб!$B:$B,$B691,куб!J:J))))))</f>
        <v>0</v>
      </c>
      <c r="Q691" s="27" t="b">
        <f>IF($G691&lt;&gt;0,SUMIF(куб!$G:$G,$G691,куб!K:K),IF($E691&lt;&gt;0,SUMIF(куб!$E:$E,$E691,куб!K:K),IF($D691&lt;&gt;0,SUMIF(куб!$D:$D,$D691,куб!K:K),IF($C691&lt;&gt;0,SUMIF(куб!$C:$C,$C691,куб!K:K),IF($B691&lt;&gt;0,SUMIF(куб!$B:$B,$B691,куб!K:K))))))</f>
        <v>0</v>
      </c>
      <c r="R691" s="13" t="str">
        <f t="shared" si="223"/>
        <v>-</v>
      </c>
      <c r="S691" s="5"/>
      <c r="T691" s="27" t="b">
        <f>IF($G691&lt;&gt;0,SUMIF(куб!$G:$G,$G691,куб!L:L),IF($E691&lt;&gt;0,SUMIF(куб!$E:$E,$E691,куб!L:L),IF($D691&lt;&gt;0,SUMIF(куб!$D:$D,$D691,куб!L:L),IF($C691&lt;&gt;0,SUMIF(куб!$C:$C,$C691,куб!L:L),IF($B691&lt;&gt;0,SUMIF(куб!$B:$B,$B691,куб!L:L))))))</f>
        <v>0</v>
      </c>
      <c r="U691" s="27" t="b">
        <f>IF($G691&lt;&gt;0,SUMIF(куб!$G:$G,$G691,куб!M:M),IF($E691&lt;&gt;0,SUMIF(куб!$E:$E,$E691,куб!M:M),IF($D691&lt;&gt;0,SUMIF(куб!$D:$D,$D691,куб!M:M),IF($C691&lt;&gt;0,SUMIF(куб!$C:$C,$C691,куб!M:M),IF($B691&lt;&gt;0,SUMIF(куб!$B:$B,$B691,куб!M:M))))))</f>
        <v>0</v>
      </c>
      <c r="V691" s="13" t="str">
        <f t="shared" si="224"/>
        <v>-</v>
      </c>
      <c r="W691" s="5"/>
      <c r="X691" s="27" t="b">
        <f>IF($G691&lt;&gt;0,SUMIF(куб!$G:$G,$G691,куб!N:N),IF($E691&lt;&gt;0,SUMIF(куб!$E:$E,$E691,куб!N:N),IF($D691&lt;&gt;0,SUMIF(куб!$D:$D,$D691,куб!N:N),IF($C691&lt;&gt;0,SUMIF(куб!$C:$C,$C691,куб!N:N),IF($B691&lt;&gt;0,SUMIF(куб!$B:$B,$B691,куб!N:N))))))</f>
        <v>0</v>
      </c>
      <c r="Y691" s="27" t="b">
        <f>IF($G691&lt;&gt;0,SUMIF(куб!$G:$G,$G691,куб!O:O),IF($E691&lt;&gt;0,SUMIF(куб!$E:$E,$E691,куб!O:O),IF($D691&lt;&gt;0,SUMIF(куб!$D:$D,$D691,куб!O:O),IF($C691&lt;&gt;0,SUMIF(куб!$C:$C,$C691,куб!O:O),IF($B691&lt;&gt;0,SUMIF(куб!$B:$B,$B691,куб!O:O))))))</f>
        <v>0</v>
      </c>
      <c r="Z691" s="13" t="str">
        <f t="shared" si="225"/>
        <v>-</v>
      </c>
      <c r="AA691" s="5"/>
      <c r="AB691" s="33" t="str">
        <f t="shared" si="226"/>
        <v/>
      </c>
      <c r="AC691" s="33" t="str">
        <f t="shared" si="227"/>
        <v/>
      </c>
      <c r="AD691" s="15" t="str">
        <f t="shared" si="228"/>
        <v xml:space="preserve"> </v>
      </c>
      <c r="AE691" s="5"/>
      <c r="AF691" s="27" t="b">
        <f>IF($G691&lt;&gt;0,SUMIF(куб!$G:$G,$G691,куб!R:R),IF($E691&lt;&gt;0,SUMIF(куб!$E:$E,$E691,куб!R:R),IF($D691&lt;&gt;0,SUMIF(куб!$D:$D,$D691,куб!R:R),IF($C691&lt;&gt;0,SUMIF(куб!$C:$C,$C691,куб!R:R),IF($B691&lt;&gt;0,SUMIF(куб!$B:$B,$B691,куб!R:R))))))</f>
        <v>0</v>
      </c>
      <c r="AG691" s="27" t="b">
        <f>IF($G691&lt;&gt;0,SUMIF(куб!$G:$G,$G691,куб!S:S),IF($E691&lt;&gt;0,SUMIF(куб!$E:$E,$E691,куб!S:S),IF($D691&lt;&gt;0,SUMIF(куб!$D:$D,$D691,куб!S:S),IF($C691&lt;&gt;0,SUMIF(куб!$C:$C,$C691,куб!S:S),IF($B691&lt;&gt;0,SUMIF(куб!$B:$B,$B691,куб!S:S))))))</f>
        <v>0</v>
      </c>
      <c r="AH691" s="16" t="str">
        <f t="shared" si="229"/>
        <v>-</v>
      </c>
      <c r="AI691" s="8"/>
      <c r="AJ691" s="27" t="b">
        <f>IF($G691&lt;&gt;0,SUMIF(куб!$G:$G,$G691,куб!T:T),IF($E691&lt;&gt;0,SUMIF(куб!$E:$E,$E691,куб!T:T),IF($D691&lt;&gt;0,SUMIF(куб!$D:$D,$D691,куб!T:T),IF($C691&lt;&gt;0,SUMIF(куб!$C:$C,$C691,куб!T:T),IF($B691&lt;&gt;0,SUMIF(куб!$B:$B,$B691,куб!T:T))))))</f>
        <v>0</v>
      </c>
      <c r="AK691" s="27" t="b">
        <f>IF($G691&lt;&gt;0,SUMIF(куб!$G:$G,$G691,куб!U:U),IF($E691&lt;&gt;0,SUMIF(куб!$E:$E,$E691,куб!U:U),IF($D691&lt;&gt;0,SUMIF(куб!$D:$D,$D691,куб!U:U),IF($C691&lt;&gt;0,SUMIF(куб!$C:$C,$C691,куб!U:U),IF($B691&lt;&gt;0,SUMIF(куб!$B:$B,$B691,куб!U:U))))))</f>
        <v>0</v>
      </c>
      <c r="AL691" s="16" t="str">
        <f t="shared" si="230"/>
        <v>-</v>
      </c>
      <c r="AM691" s="8"/>
      <c r="AN691" s="17" t="str">
        <f t="shared" si="231"/>
        <v xml:space="preserve"> </v>
      </c>
      <c r="AO691" s="17" t="str">
        <f t="shared" si="232"/>
        <v xml:space="preserve"> </v>
      </c>
      <c r="AP691" s="16" t="str">
        <f t="shared" si="233"/>
        <v>-</v>
      </c>
      <c r="AQ691" s="8"/>
      <c r="AR691" s="17" t="str">
        <f t="shared" si="234"/>
        <v>-</v>
      </c>
      <c r="AS691" s="17" t="str">
        <f t="shared" si="235"/>
        <v>-</v>
      </c>
      <c r="AT691" s="13" t="str">
        <f t="shared" si="236"/>
        <v>-</v>
      </c>
      <c r="AU691" s="8"/>
    </row>
    <row r="692" spans="1:47" x14ac:dyDescent="0.25">
      <c r="A692" s="31"/>
      <c r="B692" s="31"/>
      <c r="C692"/>
      <c r="D692" s="31"/>
      <c r="E692"/>
      <c r="F692" s="31"/>
      <c r="G692"/>
      <c r="H692" s="27">
        <f>IF($G692&lt;&gt;0,SUMIF(куб!$G:$G,$G692,куб!H:H),IF($E692&lt;&gt;0,SUMIF(куб!$E:$E,$E692,куб!H:H),IF($D692&lt;&gt;0,SUMIF(куб!$D:$D,$D692,куб!H:H),IF($C692&lt;&gt;0,SUMIF(куб!$C:$C,$C692,куб!H:H),IF($B692&lt;&gt;0,SUMIF(куб!$B:$B,$B692,куб!H:H),IF($G692&lt;&gt;0,SUMIF(куб!$A:$A,$G692,куб!H:H),SUMIF(куб!$A:$A,$G692,куб!H:H)))))))</f>
        <v>0</v>
      </c>
      <c r="I692" s="27">
        <f>IF($G692&lt;&gt;0,SUMIF(куб!$G:$G,$G692,куб!I:I),IF($E692&lt;&gt;0,SUMIF(куб!$E:$E,$E692,куб!I:I),IF($D692&lt;&gt;0,SUMIF(куб!$D:$D,$D692,куб!I:I),IF($C692&lt;&gt;0,SUMIF(куб!$C:$C,$C692,куб!I:I),IF($B692&lt;&gt;0,SUMIF(куб!$B:$B,$B692,куб!I:I),IF($G692&lt;&gt;0,SUMIF(куб!$A:$A,$G692,куб!I:I),SUMIF(куб!$A:$A,$G692,куб!I:I)))))))</f>
        <v>0</v>
      </c>
      <c r="J692" s="19" t="str">
        <f t="shared" si="219"/>
        <v>-</v>
      </c>
      <c r="K692" s="8"/>
      <c r="L692" s="17">
        <f t="shared" si="220"/>
        <v>0</v>
      </c>
      <c r="M692" s="17">
        <f t="shared" si="221"/>
        <v>0</v>
      </c>
      <c r="N692" s="12">
        <f t="shared" si="222"/>
        <v>0</v>
      </c>
      <c r="O692" s="5"/>
      <c r="P692" s="27" t="b">
        <f>IF($G692&lt;&gt;0,SUMIF(куб!$G:$G,$G692,куб!J:J),IF($E692&lt;&gt;0,SUMIF(куб!$E:$E,$E692,куб!J:J),IF($D692&lt;&gt;0,SUMIF(куб!$D:$D,$D692,куб!J:J),IF($C692&lt;&gt;0,SUMIF(куб!$C:$C,$C692,куб!J:J),IF($B692&lt;&gt;0,SUMIF(куб!$B:$B,$B692,куб!J:J))))))</f>
        <v>0</v>
      </c>
      <c r="Q692" s="27" t="b">
        <f>IF($G692&lt;&gt;0,SUMIF(куб!$G:$G,$G692,куб!K:K),IF($E692&lt;&gt;0,SUMIF(куб!$E:$E,$E692,куб!K:K),IF($D692&lt;&gt;0,SUMIF(куб!$D:$D,$D692,куб!K:K),IF($C692&lt;&gt;0,SUMIF(куб!$C:$C,$C692,куб!K:K),IF($B692&lt;&gt;0,SUMIF(куб!$B:$B,$B692,куб!K:K))))))</f>
        <v>0</v>
      </c>
      <c r="R692" s="13" t="str">
        <f t="shared" si="223"/>
        <v>-</v>
      </c>
      <c r="S692" s="5"/>
      <c r="T692" s="27" t="b">
        <f>IF($G692&lt;&gt;0,SUMIF(куб!$G:$G,$G692,куб!L:L),IF($E692&lt;&gt;0,SUMIF(куб!$E:$E,$E692,куб!L:L),IF($D692&lt;&gt;0,SUMIF(куб!$D:$D,$D692,куб!L:L),IF($C692&lt;&gt;0,SUMIF(куб!$C:$C,$C692,куб!L:L),IF($B692&lt;&gt;0,SUMIF(куб!$B:$B,$B692,куб!L:L))))))</f>
        <v>0</v>
      </c>
      <c r="U692" s="27" t="b">
        <f>IF($G692&lt;&gt;0,SUMIF(куб!$G:$G,$G692,куб!M:M),IF($E692&lt;&gt;0,SUMIF(куб!$E:$E,$E692,куб!M:M),IF($D692&lt;&gt;0,SUMIF(куб!$D:$D,$D692,куб!M:M),IF($C692&lt;&gt;0,SUMIF(куб!$C:$C,$C692,куб!M:M),IF($B692&lt;&gt;0,SUMIF(куб!$B:$B,$B692,куб!M:M))))))</f>
        <v>0</v>
      </c>
      <c r="V692" s="13" t="str">
        <f t="shared" si="224"/>
        <v>-</v>
      </c>
      <c r="W692" s="5"/>
      <c r="X692" s="27" t="b">
        <f>IF($G692&lt;&gt;0,SUMIF(куб!$G:$G,$G692,куб!N:N),IF($E692&lt;&gt;0,SUMIF(куб!$E:$E,$E692,куб!N:N),IF($D692&lt;&gt;0,SUMIF(куб!$D:$D,$D692,куб!N:N),IF($C692&lt;&gt;0,SUMIF(куб!$C:$C,$C692,куб!N:N),IF($B692&lt;&gt;0,SUMIF(куб!$B:$B,$B692,куб!N:N))))))</f>
        <v>0</v>
      </c>
      <c r="Y692" s="27" t="b">
        <f>IF($G692&lt;&gt;0,SUMIF(куб!$G:$G,$G692,куб!O:O),IF($E692&lt;&gt;0,SUMIF(куб!$E:$E,$E692,куб!O:O),IF($D692&lt;&gt;0,SUMIF(куб!$D:$D,$D692,куб!O:O),IF($C692&lt;&gt;0,SUMIF(куб!$C:$C,$C692,куб!O:O),IF($B692&lt;&gt;0,SUMIF(куб!$B:$B,$B692,куб!O:O))))))</f>
        <v>0</v>
      </c>
      <c r="Z692" s="13" t="str">
        <f t="shared" si="225"/>
        <v>-</v>
      </c>
      <c r="AA692" s="5"/>
      <c r="AB692" s="33" t="str">
        <f t="shared" si="226"/>
        <v/>
      </c>
      <c r="AC692" s="33" t="str">
        <f t="shared" si="227"/>
        <v/>
      </c>
      <c r="AD692" s="15" t="str">
        <f t="shared" si="228"/>
        <v xml:space="preserve"> </v>
      </c>
      <c r="AE692" s="5"/>
      <c r="AF692" s="27" t="b">
        <f>IF($G692&lt;&gt;0,SUMIF(куб!$G:$G,$G692,куб!R:R),IF($E692&lt;&gt;0,SUMIF(куб!$E:$E,$E692,куб!R:R),IF($D692&lt;&gt;0,SUMIF(куб!$D:$D,$D692,куб!R:R),IF($C692&lt;&gt;0,SUMIF(куб!$C:$C,$C692,куб!R:R),IF($B692&lt;&gt;0,SUMIF(куб!$B:$B,$B692,куб!R:R))))))</f>
        <v>0</v>
      </c>
      <c r="AG692" s="27" t="b">
        <f>IF($G692&lt;&gt;0,SUMIF(куб!$G:$G,$G692,куб!S:S),IF($E692&lt;&gt;0,SUMIF(куб!$E:$E,$E692,куб!S:S),IF($D692&lt;&gt;0,SUMIF(куб!$D:$D,$D692,куб!S:S),IF($C692&lt;&gt;0,SUMIF(куб!$C:$C,$C692,куб!S:S),IF($B692&lt;&gt;0,SUMIF(куб!$B:$B,$B692,куб!S:S))))))</f>
        <v>0</v>
      </c>
      <c r="AH692" s="16" t="str">
        <f t="shared" si="229"/>
        <v>-</v>
      </c>
      <c r="AI692" s="8"/>
      <c r="AJ692" s="27" t="b">
        <f>IF($G692&lt;&gt;0,SUMIF(куб!$G:$G,$G692,куб!T:T),IF($E692&lt;&gt;0,SUMIF(куб!$E:$E,$E692,куб!T:T),IF($D692&lt;&gt;0,SUMIF(куб!$D:$D,$D692,куб!T:T),IF($C692&lt;&gt;0,SUMIF(куб!$C:$C,$C692,куб!T:T),IF($B692&lt;&gt;0,SUMIF(куб!$B:$B,$B692,куб!T:T))))))</f>
        <v>0</v>
      </c>
      <c r="AK692" s="27" t="b">
        <f>IF($G692&lt;&gt;0,SUMIF(куб!$G:$G,$G692,куб!U:U),IF($E692&lt;&gt;0,SUMIF(куб!$E:$E,$E692,куб!U:U),IF($D692&lt;&gt;0,SUMIF(куб!$D:$D,$D692,куб!U:U),IF($C692&lt;&gt;0,SUMIF(куб!$C:$C,$C692,куб!U:U),IF($B692&lt;&gt;0,SUMIF(куб!$B:$B,$B692,куб!U:U))))))</f>
        <v>0</v>
      </c>
      <c r="AL692" s="16" t="str">
        <f t="shared" si="230"/>
        <v>-</v>
      </c>
      <c r="AM692" s="8"/>
      <c r="AN692" s="17" t="str">
        <f t="shared" si="231"/>
        <v xml:space="preserve"> </v>
      </c>
      <c r="AO692" s="17" t="str">
        <f t="shared" si="232"/>
        <v xml:space="preserve"> </v>
      </c>
      <c r="AP692" s="16" t="str">
        <f t="shared" si="233"/>
        <v>-</v>
      </c>
      <c r="AQ692" s="8"/>
      <c r="AR692" s="17" t="str">
        <f t="shared" si="234"/>
        <v>-</v>
      </c>
      <c r="AS692" s="17" t="str">
        <f t="shared" si="235"/>
        <v>-</v>
      </c>
      <c r="AT692" s="13" t="str">
        <f t="shared" si="236"/>
        <v>-</v>
      </c>
      <c r="AU692" s="8"/>
    </row>
    <row r="693" spans="1:47" x14ac:dyDescent="0.25">
      <c r="A693" s="31"/>
      <c r="B693" s="31"/>
      <c r="C693"/>
      <c r="D693" s="31"/>
      <c r="E693"/>
      <c r="F693" s="31"/>
      <c r="G693"/>
      <c r="H693" s="27">
        <f>IF($G693&lt;&gt;0,SUMIF(куб!$G:$G,$G693,куб!H:H),IF($E693&lt;&gt;0,SUMIF(куб!$E:$E,$E693,куб!H:H),IF($D693&lt;&gt;0,SUMIF(куб!$D:$D,$D693,куб!H:H),IF($C693&lt;&gt;0,SUMIF(куб!$C:$C,$C693,куб!H:H),IF($B693&lt;&gt;0,SUMIF(куб!$B:$B,$B693,куб!H:H),IF($G693&lt;&gt;0,SUMIF(куб!$A:$A,$G693,куб!H:H),SUMIF(куб!$A:$A,$G693,куб!H:H)))))))</f>
        <v>0</v>
      </c>
      <c r="I693" s="27">
        <f>IF($G693&lt;&gt;0,SUMIF(куб!$G:$G,$G693,куб!I:I),IF($E693&lt;&gt;0,SUMIF(куб!$E:$E,$E693,куб!I:I),IF($D693&lt;&gt;0,SUMIF(куб!$D:$D,$D693,куб!I:I),IF($C693&lt;&gt;0,SUMIF(куб!$C:$C,$C693,куб!I:I),IF($B693&lt;&gt;0,SUMIF(куб!$B:$B,$B693,куб!I:I),IF($G693&lt;&gt;0,SUMIF(куб!$A:$A,$G693,куб!I:I),SUMIF(куб!$A:$A,$G693,куб!I:I)))))))</f>
        <v>0</v>
      </c>
      <c r="J693" s="19" t="str">
        <f t="shared" si="219"/>
        <v>-</v>
      </c>
      <c r="K693" s="8"/>
      <c r="L693" s="17">
        <f t="shared" si="220"/>
        <v>0</v>
      </c>
      <c r="M693" s="17">
        <f t="shared" si="221"/>
        <v>0</v>
      </c>
      <c r="N693" s="12">
        <f t="shared" si="222"/>
        <v>0</v>
      </c>
      <c r="O693" s="5"/>
      <c r="P693" s="27" t="b">
        <f>IF($G693&lt;&gt;0,SUMIF(куб!$G:$G,$G693,куб!J:J),IF($E693&lt;&gt;0,SUMIF(куб!$E:$E,$E693,куб!J:J),IF($D693&lt;&gt;0,SUMIF(куб!$D:$D,$D693,куб!J:J),IF($C693&lt;&gt;0,SUMIF(куб!$C:$C,$C693,куб!J:J),IF($B693&lt;&gt;0,SUMIF(куб!$B:$B,$B693,куб!J:J))))))</f>
        <v>0</v>
      </c>
      <c r="Q693" s="27" t="b">
        <f>IF($G693&lt;&gt;0,SUMIF(куб!$G:$G,$G693,куб!K:K),IF($E693&lt;&gt;0,SUMIF(куб!$E:$E,$E693,куб!K:K),IF($D693&lt;&gt;0,SUMIF(куб!$D:$D,$D693,куб!K:K),IF($C693&lt;&gt;0,SUMIF(куб!$C:$C,$C693,куб!K:K),IF($B693&lt;&gt;0,SUMIF(куб!$B:$B,$B693,куб!K:K))))))</f>
        <v>0</v>
      </c>
      <c r="R693" s="13" t="str">
        <f t="shared" si="223"/>
        <v>-</v>
      </c>
      <c r="S693" s="5"/>
      <c r="T693" s="27" t="b">
        <f>IF($G693&lt;&gt;0,SUMIF(куб!$G:$G,$G693,куб!L:L),IF($E693&lt;&gt;0,SUMIF(куб!$E:$E,$E693,куб!L:L),IF($D693&lt;&gt;0,SUMIF(куб!$D:$D,$D693,куб!L:L),IF($C693&lt;&gt;0,SUMIF(куб!$C:$C,$C693,куб!L:L),IF($B693&lt;&gt;0,SUMIF(куб!$B:$B,$B693,куб!L:L))))))</f>
        <v>0</v>
      </c>
      <c r="U693" s="27" t="b">
        <f>IF($G693&lt;&gt;0,SUMIF(куб!$G:$G,$G693,куб!M:M),IF($E693&lt;&gt;0,SUMIF(куб!$E:$E,$E693,куб!M:M),IF($D693&lt;&gt;0,SUMIF(куб!$D:$D,$D693,куб!M:M),IF($C693&lt;&gt;0,SUMIF(куб!$C:$C,$C693,куб!M:M),IF($B693&lt;&gt;0,SUMIF(куб!$B:$B,$B693,куб!M:M))))))</f>
        <v>0</v>
      </c>
      <c r="V693" s="13" t="str">
        <f t="shared" si="224"/>
        <v>-</v>
      </c>
      <c r="W693" s="5"/>
      <c r="X693" s="27" t="b">
        <f>IF($G693&lt;&gt;0,SUMIF(куб!$G:$G,$G693,куб!N:N),IF($E693&lt;&gt;0,SUMIF(куб!$E:$E,$E693,куб!N:N),IF($D693&lt;&gt;0,SUMIF(куб!$D:$D,$D693,куб!N:N),IF($C693&lt;&gt;0,SUMIF(куб!$C:$C,$C693,куб!N:N),IF($B693&lt;&gt;0,SUMIF(куб!$B:$B,$B693,куб!N:N))))))</f>
        <v>0</v>
      </c>
      <c r="Y693" s="27" t="b">
        <f>IF($G693&lt;&gt;0,SUMIF(куб!$G:$G,$G693,куб!O:O),IF($E693&lt;&gt;0,SUMIF(куб!$E:$E,$E693,куб!O:O),IF($D693&lt;&gt;0,SUMIF(куб!$D:$D,$D693,куб!O:O),IF($C693&lt;&gt;0,SUMIF(куб!$C:$C,$C693,куб!O:O),IF($B693&lt;&gt;0,SUMIF(куб!$B:$B,$B693,куб!O:O))))))</f>
        <v>0</v>
      </c>
      <c r="Z693" s="13" t="str">
        <f t="shared" si="225"/>
        <v>-</v>
      </c>
      <c r="AA693" s="5"/>
      <c r="AB693" s="33" t="str">
        <f t="shared" si="226"/>
        <v/>
      </c>
      <c r="AC693" s="33" t="str">
        <f t="shared" si="227"/>
        <v/>
      </c>
      <c r="AD693" s="15" t="str">
        <f t="shared" si="228"/>
        <v xml:space="preserve"> </v>
      </c>
      <c r="AE693" s="5"/>
      <c r="AF693" s="27" t="b">
        <f>IF($G693&lt;&gt;0,SUMIF(куб!$G:$G,$G693,куб!R:R),IF($E693&lt;&gt;0,SUMIF(куб!$E:$E,$E693,куб!R:R),IF($D693&lt;&gt;0,SUMIF(куб!$D:$D,$D693,куб!R:R),IF($C693&lt;&gt;0,SUMIF(куб!$C:$C,$C693,куб!R:R),IF($B693&lt;&gt;0,SUMIF(куб!$B:$B,$B693,куб!R:R))))))</f>
        <v>0</v>
      </c>
      <c r="AG693" s="27" t="b">
        <f>IF($G693&lt;&gt;0,SUMIF(куб!$G:$G,$G693,куб!S:S),IF($E693&lt;&gt;0,SUMIF(куб!$E:$E,$E693,куб!S:S),IF($D693&lt;&gt;0,SUMIF(куб!$D:$D,$D693,куб!S:S),IF($C693&lt;&gt;0,SUMIF(куб!$C:$C,$C693,куб!S:S),IF($B693&lt;&gt;0,SUMIF(куб!$B:$B,$B693,куб!S:S))))))</f>
        <v>0</v>
      </c>
      <c r="AH693" s="16" t="str">
        <f t="shared" si="229"/>
        <v>-</v>
      </c>
      <c r="AI693" s="8"/>
      <c r="AJ693" s="27" t="b">
        <f>IF($G693&lt;&gt;0,SUMIF(куб!$G:$G,$G693,куб!T:T),IF($E693&lt;&gt;0,SUMIF(куб!$E:$E,$E693,куб!T:T),IF($D693&lt;&gt;0,SUMIF(куб!$D:$D,$D693,куб!T:T),IF($C693&lt;&gt;0,SUMIF(куб!$C:$C,$C693,куб!T:T),IF($B693&lt;&gt;0,SUMIF(куб!$B:$B,$B693,куб!T:T))))))</f>
        <v>0</v>
      </c>
      <c r="AK693" s="27" t="b">
        <f>IF($G693&lt;&gt;0,SUMIF(куб!$G:$G,$G693,куб!U:U),IF($E693&lt;&gt;0,SUMIF(куб!$E:$E,$E693,куб!U:U),IF($D693&lt;&gt;0,SUMIF(куб!$D:$D,$D693,куб!U:U),IF($C693&lt;&gt;0,SUMIF(куб!$C:$C,$C693,куб!U:U),IF($B693&lt;&gt;0,SUMIF(куб!$B:$B,$B693,куб!U:U))))))</f>
        <v>0</v>
      </c>
      <c r="AL693" s="16" t="str">
        <f t="shared" si="230"/>
        <v>-</v>
      </c>
      <c r="AM693" s="8"/>
      <c r="AN693" s="17" t="str">
        <f t="shared" si="231"/>
        <v xml:space="preserve"> </v>
      </c>
      <c r="AO693" s="17" t="str">
        <f t="shared" si="232"/>
        <v xml:space="preserve"> </v>
      </c>
      <c r="AP693" s="16" t="str">
        <f t="shared" si="233"/>
        <v>-</v>
      </c>
      <c r="AQ693" s="8"/>
      <c r="AR693" s="17" t="str">
        <f t="shared" si="234"/>
        <v>-</v>
      </c>
      <c r="AS693" s="17" t="str">
        <f t="shared" si="235"/>
        <v>-</v>
      </c>
      <c r="AT693" s="13" t="str">
        <f t="shared" si="236"/>
        <v>-</v>
      </c>
      <c r="AU693" s="8"/>
    </row>
    <row r="694" spans="1:47" x14ac:dyDescent="0.25">
      <c r="A694" s="31"/>
      <c r="B694" s="31"/>
      <c r="C694"/>
      <c r="D694" s="31"/>
      <c r="E694"/>
      <c r="F694" s="31"/>
      <c r="G694"/>
      <c r="H694" s="27">
        <f>IF($G694&lt;&gt;0,SUMIF(куб!$G:$G,$G694,куб!H:H),IF($E694&lt;&gt;0,SUMIF(куб!$E:$E,$E694,куб!H:H),IF($D694&lt;&gt;0,SUMIF(куб!$D:$D,$D694,куб!H:H),IF($C694&lt;&gt;0,SUMIF(куб!$C:$C,$C694,куб!H:H),IF($B694&lt;&gt;0,SUMIF(куб!$B:$B,$B694,куб!H:H),IF($G694&lt;&gt;0,SUMIF(куб!$A:$A,$G694,куб!H:H),SUMIF(куб!$A:$A,$G694,куб!H:H)))))))</f>
        <v>0</v>
      </c>
      <c r="I694" s="27">
        <f>IF($G694&lt;&gt;0,SUMIF(куб!$G:$G,$G694,куб!I:I),IF($E694&lt;&gt;0,SUMIF(куб!$E:$E,$E694,куб!I:I),IF($D694&lt;&gt;0,SUMIF(куб!$D:$D,$D694,куб!I:I),IF($C694&lt;&gt;0,SUMIF(куб!$C:$C,$C694,куб!I:I),IF($B694&lt;&gt;0,SUMIF(куб!$B:$B,$B694,куб!I:I),IF($G694&lt;&gt;0,SUMIF(куб!$A:$A,$G694,куб!I:I),SUMIF(куб!$A:$A,$G694,куб!I:I)))))))</f>
        <v>0</v>
      </c>
      <c r="J694" s="19" t="str">
        <f t="shared" si="219"/>
        <v>-</v>
      </c>
      <c r="K694" s="8"/>
      <c r="L694" s="17">
        <f t="shared" si="220"/>
        <v>0</v>
      </c>
      <c r="M694" s="17">
        <f t="shared" si="221"/>
        <v>0</v>
      </c>
      <c r="N694" s="12">
        <f t="shared" si="222"/>
        <v>0</v>
      </c>
      <c r="O694" s="5"/>
      <c r="P694" s="27" t="b">
        <f>IF($G694&lt;&gt;0,SUMIF(куб!$G:$G,$G694,куб!J:J),IF($E694&lt;&gt;0,SUMIF(куб!$E:$E,$E694,куб!J:J),IF($D694&lt;&gt;0,SUMIF(куб!$D:$D,$D694,куб!J:J),IF($C694&lt;&gt;0,SUMIF(куб!$C:$C,$C694,куб!J:J),IF($B694&lt;&gt;0,SUMIF(куб!$B:$B,$B694,куб!J:J))))))</f>
        <v>0</v>
      </c>
      <c r="Q694" s="27" t="b">
        <f>IF($G694&lt;&gt;0,SUMIF(куб!$G:$G,$G694,куб!K:K),IF($E694&lt;&gt;0,SUMIF(куб!$E:$E,$E694,куб!K:K),IF($D694&lt;&gt;0,SUMIF(куб!$D:$D,$D694,куб!K:K),IF($C694&lt;&gt;0,SUMIF(куб!$C:$C,$C694,куб!K:K),IF($B694&lt;&gt;0,SUMIF(куб!$B:$B,$B694,куб!K:K))))))</f>
        <v>0</v>
      </c>
      <c r="R694" s="13" t="str">
        <f t="shared" si="223"/>
        <v>-</v>
      </c>
      <c r="S694" s="5"/>
      <c r="T694" s="27" t="b">
        <f>IF($G694&lt;&gt;0,SUMIF(куб!$G:$G,$G694,куб!L:L),IF($E694&lt;&gt;0,SUMIF(куб!$E:$E,$E694,куб!L:L),IF($D694&lt;&gt;0,SUMIF(куб!$D:$D,$D694,куб!L:L),IF($C694&lt;&gt;0,SUMIF(куб!$C:$C,$C694,куб!L:L),IF($B694&lt;&gt;0,SUMIF(куб!$B:$B,$B694,куб!L:L))))))</f>
        <v>0</v>
      </c>
      <c r="U694" s="27" t="b">
        <f>IF($G694&lt;&gt;0,SUMIF(куб!$G:$G,$G694,куб!M:M),IF($E694&lt;&gt;0,SUMIF(куб!$E:$E,$E694,куб!M:M),IF($D694&lt;&gt;0,SUMIF(куб!$D:$D,$D694,куб!M:M),IF($C694&lt;&gt;0,SUMIF(куб!$C:$C,$C694,куб!M:M),IF($B694&lt;&gt;0,SUMIF(куб!$B:$B,$B694,куб!M:M))))))</f>
        <v>0</v>
      </c>
      <c r="V694" s="13" t="str">
        <f t="shared" si="224"/>
        <v>-</v>
      </c>
      <c r="W694" s="5"/>
      <c r="X694" s="27" t="b">
        <f>IF($G694&lt;&gt;0,SUMIF(куб!$G:$G,$G694,куб!N:N),IF($E694&lt;&gt;0,SUMIF(куб!$E:$E,$E694,куб!N:N),IF($D694&lt;&gt;0,SUMIF(куб!$D:$D,$D694,куб!N:N),IF($C694&lt;&gt;0,SUMIF(куб!$C:$C,$C694,куб!N:N),IF($B694&lt;&gt;0,SUMIF(куб!$B:$B,$B694,куб!N:N))))))</f>
        <v>0</v>
      </c>
      <c r="Y694" s="27" t="b">
        <f>IF($G694&lt;&gt;0,SUMIF(куб!$G:$G,$G694,куб!O:O),IF($E694&lt;&gt;0,SUMIF(куб!$E:$E,$E694,куб!O:O),IF($D694&lt;&gt;0,SUMIF(куб!$D:$D,$D694,куб!O:O),IF($C694&lt;&gt;0,SUMIF(куб!$C:$C,$C694,куб!O:O),IF($B694&lt;&gt;0,SUMIF(куб!$B:$B,$B694,куб!O:O))))))</f>
        <v>0</v>
      </c>
      <c r="Z694" s="13" t="str">
        <f t="shared" si="225"/>
        <v>-</v>
      </c>
      <c r="AA694" s="5"/>
      <c r="AB694" s="33" t="str">
        <f t="shared" si="226"/>
        <v/>
      </c>
      <c r="AC694" s="33" t="str">
        <f t="shared" si="227"/>
        <v/>
      </c>
      <c r="AD694" s="15" t="str">
        <f t="shared" si="228"/>
        <v xml:space="preserve"> </v>
      </c>
      <c r="AE694" s="5"/>
      <c r="AF694" s="27" t="b">
        <f>IF($G694&lt;&gt;0,SUMIF(куб!$G:$G,$G694,куб!R:R),IF($E694&lt;&gt;0,SUMIF(куб!$E:$E,$E694,куб!R:R),IF($D694&lt;&gt;0,SUMIF(куб!$D:$D,$D694,куб!R:R),IF($C694&lt;&gt;0,SUMIF(куб!$C:$C,$C694,куб!R:R),IF($B694&lt;&gt;0,SUMIF(куб!$B:$B,$B694,куб!R:R))))))</f>
        <v>0</v>
      </c>
      <c r="AG694" s="27" t="b">
        <f>IF($G694&lt;&gt;0,SUMIF(куб!$G:$G,$G694,куб!S:S),IF($E694&lt;&gt;0,SUMIF(куб!$E:$E,$E694,куб!S:S),IF($D694&lt;&gt;0,SUMIF(куб!$D:$D,$D694,куб!S:S),IF($C694&lt;&gt;0,SUMIF(куб!$C:$C,$C694,куб!S:S),IF($B694&lt;&gt;0,SUMIF(куб!$B:$B,$B694,куб!S:S))))))</f>
        <v>0</v>
      </c>
      <c r="AH694" s="16" t="str">
        <f t="shared" si="229"/>
        <v>-</v>
      </c>
      <c r="AI694" s="8"/>
      <c r="AJ694" s="27" t="b">
        <f>IF($G694&lt;&gt;0,SUMIF(куб!$G:$G,$G694,куб!T:T),IF($E694&lt;&gt;0,SUMIF(куб!$E:$E,$E694,куб!T:T),IF($D694&lt;&gt;0,SUMIF(куб!$D:$D,$D694,куб!T:T),IF($C694&lt;&gt;0,SUMIF(куб!$C:$C,$C694,куб!T:T),IF($B694&lt;&gt;0,SUMIF(куб!$B:$B,$B694,куб!T:T))))))</f>
        <v>0</v>
      </c>
      <c r="AK694" s="27" t="b">
        <f>IF($G694&lt;&gt;0,SUMIF(куб!$G:$G,$G694,куб!U:U),IF($E694&lt;&gt;0,SUMIF(куб!$E:$E,$E694,куб!U:U),IF($D694&lt;&gt;0,SUMIF(куб!$D:$D,$D694,куб!U:U),IF($C694&lt;&gt;0,SUMIF(куб!$C:$C,$C694,куб!U:U),IF($B694&lt;&gt;0,SUMIF(куб!$B:$B,$B694,куб!U:U))))))</f>
        <v>0</v>
      </c>
      <c r="AL694" s="16" t="str">
        <f t="shared" si="230"/>
        <v>-</v>
      </c>
      <c r="AM694" s="8"/>
      <c r="AN694" s="17" t="str">
        <f t="shared" si="231"/>
        <v xml:space="preserve"> </v>
      </c>
      <c r="AO694" s="17" t="str">
        <f t="shared" si="232"/>
        <v xml:space="preserve"> </v>
      </c>
      <c r="AP694" s="16" t="str">
        <f t="shared" si="233"/>
        <v>-</v>
      </c>
      <c r="AQ694" s="8"/>
      <c r="AR694" s="17" t="str">
        <f t="shared" si="234"/>
        <v>-</v>
      </c>
      <c r="AS694" s="17" t="str">
        <f t="shared" si="235"/>
        <v>-</v>
      </c>
      <c r="AT694" s="13" t="str">
        <f t="shared" si="236"/>
        <v>-</v>
      </c>
      <c r="AU694" s="8"/>
    </row>
    <row r="695" spans="1:47" x14ac:dyDescent="0.25">
      <c r="A695" s="31"/>
      <c r="B695" s="31"/>
      <c r="C695"/>
      <c r="D695" s="31"/>
      <c r="E695"/>
      <c r="F695" s="31"/>
      <c r="G695"/>
      <c r="H695" s="27">
        <f>IF($G695&lt;&gt;0,SUMIF(куб!$G:$G,$G695,куб!H:H),IF($E695&lt;&gt;0,SUMIF(куб!$E:$E,$E695,куб!H:H),IF($D695&lt;&gt;0,SUMIF(куб!$D:$D,$D695,куб!H:H),IF($C695&lt;&gt;0,SUMIF(куб!$C:$C,$C695,куб!H:H),IF($B695&lt;&gt;0,SUMIF(куб!$B:$B,$B695,куб!H:H),IF($G695&lt;&gt;0,SUMIF(куб!$A:$A,$G695,куб!H:H),SUMIF(куб!$A:$A,$G695,куб!H:H)))))))</f>
        <v>0</v>
      </c>
      <c r="I695" s="27">
        <f>IF($G695&lt;&gt;0,SUMIF(куб!$G:$G,$G695,куб!I:I),IF($E695&lt;&gt;0,SUMIF(куб!$E:$E,$E695,куб!I:I),IF($D695&lt;&gt;0,SUMIF(куб!$D:$D,$D695,куб!I:I),IF($C695&lt;&gt;0,SUMIF(куб!$C:$C,$C695,куб!I:I),IF($B695&lt;&gt;0,SUMIF(куб!$B:$B,$B695,куб!I:I),IF($G695&lt;&gt;0,SUMIF(куб!$A:$A,$G695,куб!I:I),SUMIF(куб!$A:$A,$G695,куб!I:I)))))))</f>
        <v>0</v>
      </c>
      <c r="J695" s="19" t="str">
        <f t="shared" si="219"/>
        <v>-</v>
      </c>
      <c r="K695" s="8"/>
      <c r="L695" s="17">
        <f t="shared" si="220"/>
        <v>0</v>
      </c>
      <c r="M695" s="17">
        <f t="shared" si="221"/>
        <v>0</v>
      </c>
      <c r="N695" s="12">
        <f t="shared" si="222"/>
        <v>0</v>
      </c>
      <c r="O695" s="5"/>
      <c r="P695" s="27" t="b">
        <f>IF($G695&lt;&gt;0,SUMIF(куб!$G:$G,$G695,куб!J:J),IF($E695&lt;&gt;0,SUMIF(куб!$E:$E,$E695,куб!J:J),IF($D695&lt;&gt;0,SUMIF(куб!$D:$D,$D695,куб!J:J),IF($C695&lt;&gt;0,SUMIF(куб!$C:$C,$C695,куб!J:J),IF($B695&lt;&gt;0,SUMIF(куб!$B:$B,$B695,куб!J:J))))))</f>
        <v>0</v>
      </c>
      <c r="Q695" s="27" t="b">
        <f>IF($G695&lt;&gt;0,SUMIF(куб!$G:$G,$G695,куб!K:K),IF($E695&lt;&gt;0,SUMIF(куб!$E:$E,$E695,куб!K:K),IF($D695&lt;&gt;0,SUMIF(куб!$D:$D,$D695,куб!K:K),IF($C695&lt;&gt;0,SUMIF(куб!$C:$C,$C695,куб!K:K),IF($B695&lt;&gt;0,SUMIF(куб!$B:$B,$B695,куб!K:K))))))</f>
        <v>0</v>
      </c>
      <c r="R695" s="13" t="str">
        <f t="shared" si="223"/>
        <v>-</v>
      </c>
      <c r="S695" s="5"/>
      <c r="T695" s="27" t="b">
        <f>IF($G695&lt;&gt;0,SUMIF(куб!$G:$G,$G695,куб!L:L),IF($E695&lt;&gt;0,SUMIF(куб!$E:$E,$E695,куб!L:L),IF($D695&lt;&gt;0,SUMIF(куб!$D:$D,$D695,куб!L:L),IF($C695&lt;&gt;0,SUMIF(куб!$C:$C,$C695,куб!L:L),IF($B695&lt;&gt;0,SUMIF(куб!$B:$B,$B695,куб!L:L))))))</f>
        <v>0</v>
      </c>
      <c r="U695" s="27" t="b">
        <f>IF($G695&lt;&gt;0,SUMIF(куб!$G:$G,$G695,куб!M:M),IF($E695&lt;&gt;0,SUMIF(куб!$E:$E,$E695,куб!M:M),IF($D695&lt;&gt;0,SUMIF(куб!$D:$D,$D695,куб!M:M),IF($C695&lt;&gt;0,SUMIF(куб!$C:$C,$C695,куб!M:M),IF($B695&lt;&gt;0,SUMIF(куб!$B:$B,$B695,куб!M:M))))))</f>
        <v>0</v>
      </c>
      <c r="V695" s="13" t="str">
        <f t="shared" si="224"/>
        <v>-</v>
      </c>
      <c r="W695" s="5"/>
      <c r="X695" s="27" t="b">
        <f>IF($G695&lt;&gt;0,SUMIF(куб!$G:$G,$G695,куб!N:N),IF($E695&lt;&gt;0,SUMIF(куб!$E:$E,$E695,куб!N:N),IF($D695&lt;&gt;0,SUMIF(куб!$D:$D,$D695,куб!N:N),IF($C695&lt;&gt;0,SUMIF(куб!$C:$C,$C695,куб!N:N),IF($B695&lt;&gt;0,SUMIF(куб!$B:$B,$B695,куб!N:N))))))</f>
        <v>0</v>
      </c>
      <c r="Y695" s="27" t="b">
        <f>IF($G695&lt;&gt;0,SUMIF(куб!$G:$G,$G695,куб!O:O),IF($E695&lt;&gt;0,SUMIF(куб!$E:$E,$E695,куб!O:O),IF($D695&lt;&gt;0,SUMIF(куб!$D:$D,$D695,куб!O:O),IF($C695&lt;&gt;0,SUMIF(куб!$C:$C,$C695,куб!O:O),IF($B695&lt;&gt;0,SUMIF(куб!$B:$B,$B695,куб!O:O))))))</f>
        <v>0</v>
      </c>
      <c r="Z695" s="13" t="str">
        <f t="shared" si="225"/>
        <v>-</v>
      </c>
      <c r="AA695" s="5"/>
      <c r="AB695" s="33" t="str">
        <f t="shared" si="226"/>
        <v/>
      </c>
      <c r="AC695" s="33" t="str">
        <f t="shared" si="227"/>
        <v/>
      </c>
      <c r="AD695" s="15" t="str">
        <f t="shared" si="228"/>
        <v xml:space="preserve"> </v>
      </c>
      <c r="AE695" s="5"/>
      <c r="AF695" s="27" t="b">
        <f>IF($G695&lt;&gt;0,SUMIF(куб!$G:$G,$G695,куб!R:R),IF($E695&lt;&gt;0,SUMIF(куб!$E:$E,$E695,куб!R:R),IF($D695&lt;&gt;0,SUMIF(куб!$D:$D,$D695,куб!R:R),IF($C695&lt;&gt;0,SUMIF(куб!$C:$C,$C695,куб!R:R),IF($B695&lt;&gt;0,SUMIF(куб!$B:$B,$B695,куб!R:R))))))</f>
        <v>0</v>
      </c>
      <c r="AG695" s="27" t="b">
        <f>IF($G695&lt;&gt;0,SUMIF(куб!$G:$G,$G695,куб!S:S),IF($E695&lt;&gt;0,SUMIF(куб!$E:$E,$E695,куб!S:S),IF($D695&lt;&gt;0,SUMIF(куб!$D:$D,$D695,куб!S:S),IF($C695&lt;&gt;0,SUMIF(куб!$C:$C,$C695,куб!S:S),IF($B695&lt;&gt;0,SUMIF(куб!$B:$B,$B695,куб!S:S))))))</f>
        <v>0</v>
      </c>
      <c r="AH695" s="16" t="str">
        <f t="shared" si="229"/>
        <v>-</v>
      </c>
      <c r="AI695" s="8"/>
      <c r="AJ695" s="27" t="b">
        <f>IF($G695&lt;&gt;0,SUMIF(куб!$G:$G,$G695,куб!T:T),IF($E695&lt;&gt;0,SUMIF(куб!$E:$E,$E695,куб!T:T),IF($D695&lt;&gt;0,SUMIF(куб!$D:$D,$D695,куб!T:T),IF($C695&lt;&gt;0,SUMIF(куб!$C:$C,$C695,куб!T:T),IF($B695&lt;&gt;0,SUMIF(куб!$B:$B,$B695,куб!T:T))))))</f>
        <v>0</v>
      </c>
      <c r="AK695" s="27" t="b">
        <f>IF($G695&lt;&gt;0,SUMIF(куб!$G:$G,$G695,куб!U:U),IF($E695&lt;&gt;0,SUMIF(куб!$E:$E,$E695,куб!U:U),IF($D695&lt;&gt;0,SUMIF(куб!$D:$D,$D695,куб!U:U),IF($C695&lt;&gt;0,SUMIF(куб!$C:$C,$C695,куб!U:U),IF($B695&lt;&gt;0,SUMIF(куб!$B:$B,$B695,куб!U:U))))))</f>
        <v>0</v>
      </c>
      <c r="AL695" s="16" t="str">
        <f t="shared" si="230"/>
        <v>-</v>
      </c>
      <c r="AM695" s="8"/>
      <c r="AN695" s="17" t="str">
        <f t="shared" si="231"/>
        <v xml:space="preserve"> </v>
      </c>
      <c r="AO695" s="17" t="str">
        <f t="shared" si="232"/>
        <v xml:space="preserve"> </v>
      </c>
      <c r="AP695" s="16" t="str">
        <f t="shared" si="233"/>
        <v>-</v>
      </c>
      <c r="AQ695" s="8"/>
      <c r="AR695" s="17" t="str">
        <f t="shared" si="234"/>
        <v>-</v>
      </c>
      <c r="AS695" s="17" t="str">
        <f t="shared" si="235"/>
        <v>-</v>
      </c>
      <c r="AT695" s="13" t="str">
        <f t="shared" si="236"/>
        <v>-</v>
      </c>
      <c r="AU695" s="8"/>
    </row>
    <row r="696" spans="1:47" x14ac:dyDescent="0.25">
      <c r="A696" s="31"/>
      <c r="B696" s="31"/>
      <c r="C696"/>
      <c r="D696" s="31"/>
      <c r="E696"/>
      <c r="F696" s="31"/>
      <c r="G696"/>
      <c r="H696" s="27">
        <f>IF($G696&lt;&gt;0,SUMIF(куб!$G:$G,$G696,куб!H:H),IF($E696&lt;&gt;0,SUMIF(куб!$E:$E,$E696,куб!H:H),IF($D696&lt;&gt;0,SUMIF(куб!$D:$D,$D696,куб!H:H),IF($C696&lt;&gt;0,SUMIF(куб!$C:$C,$C696,куб!H:H),IF($B696&lt;&gt;0,SUMIF(куб!$B:$B,$B696,куб!H:H),IF($G696&lt;&gt;0,SUMIF(куб!$A:$A,$G696,куб!H:H),SUMIF(куб!$A:$A,$G696,куб!H:H)))))))</f>
        <v>0</v>
      </c>
      <c r="I696" s="27">
        <f>IF($G696&lt;&gt;0,SUMIF(куб!$G:$G,$G696,куб!I:I),IF($E696&lt;&gt;0,SUMIF(куб!$E:$E,$E696,куб!I:I),IF($D696&lt;&gt;0,SUMIF(куб!$D:$D,$D696,куб!I:I),IF($C696&lt;&gt;0,SUMIF(куб!$C:$C,$C696,куб!I:I),IF($B696&lt;&gt;0,SUMIF(куб!$B:$B,$B696,куб!I:I),IF($G696&lt;&gt;0,SUMIF(куб!$A:$A,$G696,куб!I:I),SUMIF(куб!$A:$A,$G696,куб!I:I)))))))</f>
        <v>0</v>
      </c>
      <c r="J696" s="19" t="str">
        <f t="shared" ref="J696:J759" si="237">IFERROR((I696-H696)/ABS(H696),"-")</f>
        <v>-</v>
      </c>
      <c r="K696" s="8"/>
      <c r="L696" s="17">
        <f t="shared" ref="L696:L759" si="238">H696/$H$3</f>
        <v>0</v>
      </c>
      <c r="M696" s="17">
        <f t="shared" ref="M696:M759" si="239">I696/$I$3</f>
        <v>0</v>
      </c>
      <c r="N696" s="12">
        <f t="shared" ref="N696:N759" si="240">M696-L696</f>
        <v>0</v>
      </c>
      <c r="O696" s="5"/>
      <c r="P696" s="27" t="b">
        <f>IF($G696&lt;&gt;0,SUMIF(куб!$G:$G,$G696,куб!J:J),IF($E696&lt;&gt;0,SUMIF(куб!$E:$E,$E696,куб!J:J),IF($D696&lt;&gt;0,SUMIF(куб!$D:$D,$D696,куб!J:J),IF($C696&lt;&gt;0,SUMIF(куб!$C:$C,$C696,куб!J:J),IF($B696&lt;&gt;0,SUMIF(куб!$B:$B,$B696,куб!J:J))))))</f>
        <v>0</v>
      </c>
      <c r="Q696" s="27" t="b">
        <f>IF($G696&lt;&gt;0,SUMIF(куб!$G:$G,$G696,куб!K:K),IF($E696&lt;&gt;0,SUMIF(куб!$E:$E,$E696,куб!K:K),IF($D696&lt;&gt;0,SUMIF(куб!$D:$D,$D696,куб!K:K),IF($C696&lt;&gt;0,SUMIF(куб!$C:$C,$C696,куб!K:K),IF($B696&lt;&gt;0,SUMIF(куб!$B:$B,$B696,куб!K:K))))))</f>
        <v>0</v>
      </c>
      <c r="R696" s="13" t="str">
        <f t="shared" ref="R696:R759" si="241">IFERROR((Q696-P696)/ABS(P696),"-")</f>
        <v>-</v>
      </c>
      <c r="S696" s="5"/>
      <c r="T696" s="27" t="b">
        <f>IF($G696&lt;&gt;0,SUMIF(куб!$G:$G,$G696,куб!L:L),IF($E696&lt;&gt;0,SUMIF(куб!$E:$E,$E696,куб!L:L),IF($D696&lt;&gt;0,SUMIF(куб!$D:$D,$D696,куб!L:L),IF($C696&lt;&gt;0,SUMIF(куб!$C:$C,$C696,куб!L:L),IF($B696&lt;&gt;0,SUMIF(куб!$B:$B,$B696,куб!L:L))))))</f>
        <v>0</v>
      </c>
      <c r="U696" s="27" t="b">
        <f>IF($G696&lt;&gt;0,SUMIF(куб!$G:$G,$G696,куб!M:M),IF($E696&lt;&gt;0,SUMIF(куб!$E:$E,$E696,куб!M:M),IF($D696&lt;&gt;0,SUMIF(куб!$D:$D,$D696,куб!M:M),IF($C696&lt;&gt;0,SUMIF(куб!$C:$C,$C696,куб!M:M),IF($B696&lt;&gt;0,SUMIF(куб!$B:$B,$B696,куб!M:M))))))</f>
        <v>0</v>
      </c>
      <c r="V696" s="13" t="str">
        <f t="shared" ref="V696:V759" si="242">IFERROR((U696-T696)/ABS(T696),"-")</f>
        <v>-</v>
      </c>
      <c r="W696" s="5"/>
      <c r="X696" s="27" t="b">
        <f>IF($G696&lt;&gt;0,SUMIF(куб!$G:$G,$G696,куб!N:N),IF($E696&lt;&gt;0,SUMIF(куб!$E:$E,$E696,куб!N:N),IF($D696&lt;&gt;0,SUMIF(куб!$D:$D,$D696,куб!N:N),IF($C696&lt;&gt;0,SUMIF(куб!$C:$C,$C696,куб!N:N),IF($B696&lt;&gt;0,SUMIF(куб!$B:$B,$B696,куб!N:N))))))</f>
        <v>0</v>
      </c>
      <c r="Y696" s="27" t="b">
        <f>IF($G696&lt;&gt;0,SUMIF(куб!$G:$G,$G696,куб!O:O),IF($E696&lt;&gt;0,SUMIF(куб!$E:$E,$E696,куб!O:O),IF($D696&lt;&gt;0,SUMIF(куб!$D:$D,$D696,куб!O:O),IF($C696&lt;&gt;0,SUMIF(куб!$C:$C,$C696,куб!O:O),IF($B696&lt;&gt;0,SUMIF(куб!$B:$B,$B696,куб!O:O))))))</f>
        <v>0</v>
      </c>
      <c r="Z696" s="13" t="str">
        <f t="shared" ref="Z696:Z759" si="243">IFERROR((Y696-X696)/ABS(X696),"-")</f>
        <v>-</v>
      </c>
      <c r="AA696" s="5"/>
      <c r="AB696" s="33" t="str">
        <f t="shared" ref="AB696:AB759" si="244">IFERROR(X696/H696,"")</f>
        <v/>
      </c>
      <c r="AC696" s="33" t="str">
        <f t="shared" ref="AC696:AC759" si="245">IFERROR(Y696/I696,"")</f>
        <v/>
      </c>
      <c r="AD696" s="15" t="str">
        <f t="shared" ref="AD696:AD759" si="246">IFERROR(AC696-AB696," ")</f>
        <v xml:space="preserve"> </v>
      </c>
      <c r="AE696" s="5"/>
      <c r="AF696" s="27" t="b">
        <f>IF($G696&lt;&gt;0,SUMIF(куб!$G:$G,$G696,куб!R:R),IF($E696&lt;&gt;0,SUMIF(куб!$E:$E,$E696,куб!R:R),IF($D696&lt;&gt;0,SUMIF(куб!$D:$D,$D696,куб!R:R),IF($C696&lt;&gt;0,SUMIF(куб!$C:$C,$C696,куб!R:R),IF($B696&lt;&gt;0,SUMIF(куб!$B:$B,$B696,куб!R:R))))))</f>
        <v>0</v>
      </c>
      <c r="AG696" s="27" t="b">
        <f>IF($G696&lt;&gt;0,SUMIF(куб!$G:$G,$G696,куб!S:S),IF($E696&lt;&gt;0,SUMIF(куб!$E:$E,$E696,куб!S:S),IF($D696&lt;&gt;0,SUMIF(куб!$D:$D,$D696,куб!S:S),IF($C696&lt;&gt;0,SUMIF(куб!$C:$C,$C696,куб!S:S),IF($B696&lt;&gt;0,SUMIF(куб!$B:$B,$B696,куб!S:S))))))</f>
        <v>0</v>
      </c>
      <c r="AH696" s="16" t="str">
        <f t="shared" ref="AH696:AH759" si="247">IFERROR((AG696-AF696)/ABS(AF696),"-")</f>
        <v>-</v>
      </c>
      <c r="AI696" s="8"/>
      <c r="AJ696" s="27" t="b">
        <f>IF($G696&lt;&gt;0,SUMIF(куб!$G:$G,$G696,куб!T:T),IF($E696&lt;&gt;0,SUMIF(куб!$E:$E,$E696,куб!T:T),IF($D696&lt;&gt;0,SUMIF(куб!$D:$D,$D696,куб!T:T),IF($C696&lt;&gt;0,SUMIF(куб!$C:$C,$C696,куб!T:T),IF($B696&lt;&gt;0,SUMIF(куб!$B:$B,$B696,куб!T:T))))))</f>
        <v>0</v>
      </c>
      <c r="AK696" s="27" t="b">
        <f>IF($G696&lt;&gt;0,SUMIF(куб!$G:$G,$G696,куб!U:U),IF($E696&lt;&gt;0,SUMIF(куб!$E:$E,$E696,куб!U:U),IF($D696&lt;&gt;0,SUMIF(куб!$D:$D,$D696,куб!U:U),IF($C696&lt;&gt;0,SUMIF(куб!$C:$C,$C696,куб!U:U),IF($B696&lt;&gt;0,SUMIF(куб!$B:$B,$B696,куб!U:U))))))</f>
        <v>0</v>
      </c>
      <c r="AL696" s="16" t="str">
        <f t="shared" ref="AL696:AL759" si="248">IFERROR((AK696-AJ696)/ABS(AJ696),"-")</f>
        <v>-</v>
      </c>
      <c r="AM696" s="8"/>
      <c r="AN696" s="17" t="str">
        <f t="shared" ref="AN696:AN759" si="249">IFERROR(AF696/H696," ")</f>
        <v xml:space="preserve"> </v>
      </c>
      <c r="AO696" s="17" t="str">
        <f t="shared" ref="AO696:AO759" si="250">IFERROR(AG696/I696," ")</f>
        <v xml:space="preserve"> </v>
      </c>
      <c r="AP696" s="16" t="str">
        <f t="shared" ref="AP696:AP759" si="251">IFERROR(AO696-AN696,"-")</f>
        <v>-</v>
      </c>
      <c r="AQ696" s="8"/>
      <c r="AR696" s="17" t="str">
        <f t="shared" ref="AR696:AR759" si="252">IFERROR((X696-AF696)/H696,"-")</f>
        <v>-</v>
      </c>
      <c r="AS696" s="17" t="str">
        <f t="shared" ref="AS696:AS759" si="253">IFERROR((Y696-AG696)/I696,"-")</f>
        <v>-</v>
      </c>
      <c r="AT696" s="13" t="str">
        <f t="shared" ref="AT696:AT759" si="254">IFERROR(AS696-AR696,"-")</f>
        <v>-</v>
      </c>
      <c r="AU696" s="8"/>
    </row>
    <row r="697" spans="1:47" x14ac:dyDescent="0.25">
      <c r="A697" s="31"/>
      <c r="B697" s="31"/>
      <c r="C697"/>
      <c r="D697" s="31"/>
      <c r="E697"/>
      <c r="F697" s="31"/>
      <c r="G697"/>
      <c r="H697" s="27">
        <f>IF($G697&lt;&gt;0,SUMIF(куб!$G:$G,$G697,куб!H:H),IF($E697&lt;&gt;0,SUMIF(куб!$E:$E,$E697,куб!H:H),IF($D697&lt;&gt;0,SUMIF(куб!$D:$D,$D697,куб!H:H),IF($C697&lt;&gt;0,SUMIF(куб!$C:$C,$C697,куб!H:H),IF($B697&lt;&gt;0,SUMIF(куб!$B:$B,$B697,куб!H:H),IF($G697&lt;&gt;0,SUMIF(куб!$A:$A,$G697,куб!H:H),SUMIF(куб!$A:$A,$G697,куб!H:H)))))))</f>
        <v>0</v>
      </c>
      <c r="I697" s="27">
        <f>IF($G697&lt;&gt;0,SUMIF(куб!$G:$G,$G697,куб!I:I),IF($E697&lt;&gt;0,SUMIF(куб!$E:$E,$E697,куб!I:I),IF($D697&lt;&gt;0,SUMIF(куб!$D:$D,$D697,куб!I:I),IF($C697&lt;&gt;0,SUMIF(куб!$C:$C,$C697,куб!I:I),IF($B697&lt;&gt;0,SUMIF(куб!$B:$B,$B697,куб!I:I),IF($G697&lt;&gt;0,SUMIF(куб!$A:$A,$G697,куб!I:I),SUMIF(куб!$A:$A,$G697,куб!I:I)))))))</f>
        <v>0</v>
      </c>
      <c r="J697" s="19" t="str">
        <f t="shared" si="237"/>
        <v>-</v>
      </c>
      <c r="K697" s="8"/>
      <c r="L697" s="17">
        <f t="shared" si="238"/>
        <v>0</v>
      </c>
      <c r="M697" s="17">
        <f t="shared" si="239"/>
        <v>0</v>
      </c>
      <c r="N697" s="12">
        <f t="shared" si="240"/>
        <v>0</v>
      </c>
      <c r="O697" s="5"/>
      <c r="P697" s="27" t="b">
        <f>IF($G697&lt;&gt;0,SUMIF(куб!$G:$G,$G697,куб!J:J),IF($E697&lt;&gt;0,SUMIF(куб!$E:$E,$E697,куб!J:J),IF($D697&lt;&gt;0,SUMIF(куб!$D:$D,$D697,куб!J:J),IF($C697&lt;&gt;0,SUMIF(куб!$C:$C,$C697,куб!J:J),IF($B697&lt;&gt;0,SUMIF(куб!$B:$B,$B697,куб!J:J))))))</f>
        <v>0</v>
      </c>
      <c r="Q697" s="27" t="b">
        <f>IF($G697&lt;&gt;0,SUMIF(куб!$G:$G,$G697,куб!K:K),IF($E697&lt;&gt;0,SUMIF(куб!$E:$E,$E697,куб!K:K),IF($D697&lt;&gt;0,SUMIF(куб!$D:$D,$D697,куб!K:K),IF($C697&lt;&gt;0,SUMIF(куб!$C:$C,$C697,куб!K:K),IF($B697&lt;&gt;0,SUMIF(куб!$B:$B,$B697,куб!K:K))))))</f>
        <v>0</v>
      </c>
      <c r="R697" s="13" t="str">
        <f t="shared" si="241"/>
        <v>-</v>
      </c>
      <c r="S697" s="5"/>
      <c r="T697" s="27" t="b">
        <f>IF($G697&lt;&gt;0,SUMIF(куб!$G:$G,$G697,куб!L:L),IF($E697&lt;&gt;0,SUMIF(куб!$E:$E,$E697,куб!L:L),IF($D697&lt;&gt;0,SUMIF(куб!$D:$D,$D697,куб!L:L),IF($C697&lt;&gt;0,SUMIF(куб!$C:$C,$C697,куб!L:L),IF($B697&lt;&gt;0,SUMIF(куб!$B:$B,$B697,куб!L:L))))))</f>
        <v>0</v>
      </c>
      <c r="U697" s="27" t="b">
        <f>IF($G697&lt;&gt;0,SUMIF(куб!$G:$G,$G697,куб!M:M),IF($E697&lt;&gt;0,SUMIF(куб!$E:$E,$E697,куб!M:M),IF($D697&lt;&gt;0,SUMIF(куб!$D:$D,$D697,куб!M:M),IF($C697&lt;&gt;0,SUMIF(куб!$C:$C,$C697,куб!M:M),IF($B697&lt;&gt;0,SUMIF(куб!$B:$B,$B697,куб!M:M))))))</f>
        <v>0</v>
      </c>
      <c r="V697" s="13" t="str">
        <f t="shared" si="242"/>
        <v>-</v>
      </c>
      <c r="W697" s="5"/>
      <c r="X697" s="27" t="b">
        <f>IF($G697&lt;&gt;0,SUMIF(куб!$G:$G,$G697,куб!N:N),IF($E697&lt;&gt;0,SUMIF(куб!$E:$E,$E697,куб!N:N),IF($D697&lt;&gt;0,SUMIF(куб!$D:$D,$D697,куб!N:N),IF($C697&lt;&gt;0,SUMIF(куб!$C:$C,$C697,куб!N:N),IF($B697&lt;&gt;0,SUMIF(куб!$B:$B,$B697,куб!N:N))))))</f>
        <v>0</v>
      </c>
      <c r="Y697" s="27" t="b">
        <f>IF($G697&lt;&gt;0,SUMIF(куб!$G:$G,$G697,куб!O:O),IF($E697&lt;&gt;0,SUMIF(куб!$E:$E,$E697,куб!O:O),IF($D697&lt;&gt;0,SUMIF(куб!$D:$D,$D697,куб!O:O),IF($C697&lt;&gt;0,SUMIF(куб!$C:$C,$C697,куб!O:O),IF($B697&lt;&gt;0,SUMIF(куб!$B:$B,$B697,куб!O:O))))))</f>
        <v>0</v>
      </c>
      <c r="Z697" s="13" t="str">
        <f t="shared" si="243"/>
        <v>-</v>
      </c>
      <c r="AA697" s="5"/>
      <c r="AB697" s="33" t="str">
        <f t="shared" si="244"/>
        <v/>
      </c>
      <c r="AC697" s="33" t="str">
        <f t="shared" si="245"/>
        <v/>
      </c>
      <c r="AD697" s="15" t="str">
        <f t="shared" si="246"/>
        <v xml:space="preserve"> </v>
      </c>
      <c r="AE697" s="5"/>
      <c r="AF697" s="27" t="b">
        <f>IF($G697&lt;&gt;0,SUMIF(куб!$G:$G,$G697,куб!R:R),IF($E697&lt;&gt;0,SUMIF(куб!$E:$E,$E697,куб!R:R),IF($D697&lt;&gt;0,SUMIF(куб!$D:$D,$D697,куб!R:R),IF($C697&lt;&gt;0,SUMIF(куб!$C:$C,$C697,куб!R:R),IF($B697&lt;&gt;0,SUMIF(куб!$B:$B,$B697,куб!R:R))))))</f>
        <v>0</v>
      </c>
      <c r="AG697" s="27" t="b">
        <f>IF($G697&lt;&gt;0,SUMIF(куб!$G:$G,$G697,куб!S:S),IF($E697&lt;&gt;0,SUMIF(куб!$E:$E,$E697,куб!S:S),IF($D697&lt;&gt;0,SUMIF(куб!$D:$D,$D697,куб!S:S),IF($C697&lt;&gt;0,SUMIF(куб!$C:$C,$C697,куб!S:S),IF($B697&lt;&gt;0,SUMIF(куб!$B:$B,$B697,куб!S:S))))))</f>
        <v>0</v>
      </c>
      <c r="AH697" s="16" t="str">
        <f t="shared" si="247"/>
        <v>-</v>
      </c>
      <c r="AI697" s="8"/>
      <c r="AJ697" s="27" t="b">
        <f>IF($G697&lt;&gt;0,SUMIF(куб!$G:$G,$G697,куб!T:T),IF($E697&lt;&gt;0,SUMIF(куб!$E:$E,$E697,куб!T:T),IF($D697&lt;&gt;0,SUMIF(куб!$D:$D,$D697,куб!T:T),IF($C697&lt;&gt;0,SUMIF(куб!$C:$C,$C697,куб!T:T),IF($B697&lt;&gt;0,SUMIF(куб!$B:$B,$B697,куб!T:T))))))</f>
        <v>0</v>
      </c>
      <c r="AK697" s="27" t="b">
        <f>IF($G697&lt;&gt;0,SUMIF(куб!$G:$G,$G697,куб!U:U),IF($E697&lt;&gt;0,SUMIF(куб!$E:$E,$E697,куб!U:U),IF($D697&lt;&gt;0,SUMIF(куб!$D:$D,$D697,куб!U:U),IF($C697&lt;&gt;0,SUMIF(куб!$C:$C,$C697,куб!U:U),IF($B697&lt;&gt;0,SUMIF(куб!$B:$B,$B697,куб!U:U))))))</f>
        <v>0</v>
      </c>
      <c r="AL697" s="16" t="str">
        <f t="shared" si="248"/>
        <v>-</v>
      </c>
      <c r="AM697" s="8"/>
      <c r="AN697" s="17" t="str">
        <f t="shared" si="249"/>
        <v xml:space="preserve"> </v>
      </c>
      <c r="AO697" s="17" t="str">
        <f t="shared" si="250"/>
        <v xml:space="preserve"> </v>
      </c>
      <c r="AP697" s="16" t="str">
        <f t="shared" si="251"/>
        <v>-</v>
      </c>
      <c r="AQ697" s="8"/>
      <c r="AR697" s="17" t="str">
        <f t="shared" si="252"/>
        <v>-</v>
      </c>
      <c r="AS697" s="17" t="str">
        <f t="shared" si="253"/>
        <v>-</v>
      </c>
      <c r="AT697" s="13" t="str">
        <f t="shared" si="254"/>
        <v>-</v>
      </c>
      <c r="AU697" s="8"/>
    </row>
    <row r="698" spans="1:47" x14ac:dyDescent="0.25">
      <c r="A698" s="31"/>
      <c r="B698" s="31"/>
      <c r="C698"/>
      <c r="D698" s="31"/>
      <c r="E698"/>
      <c r="F698" s="31"/>
      <c r="G698"/>
      <c r="H698" s="27">
        <f>IF($G698&lt;&gt;0,SUMIF(куб!$G:$G,$G698,куб!H:H),IF($E698&lt;&gt;0,SUMIF(куб!$E:$E,$E698,куб!H:H),IF($D698&lt;&gt;0,SUMIF(куб!$D:$D,$D698,куб!H:H),IF($C698&lt;&gt;0,SUMIF(куб!$C:$C,$C698,куб!H:H),IF($B698&lt;&gt;0,SUMIF(куб!$B:$B,$B698,куб!H:H),IF($G698&lt;&gt;0,SUMIF(куб!$A:$A,$G698,куб!H:H),SUMIF(куб!$A:$A,$G698,куб!H:H)))))))</f>
        <v>0</v>
      </c>
      <c r="I698" s="27">
        <f>IF($G698&lt;&gt;0,SUMIF(куб!$G:$G,$G698,куб!I:I),IF($E698&lt;&gt;0,SUMIF(куб!$E:$E,$E698,куб!I:I),IF($D698&lt;&gt;0,SUMIF(куб!$D:$D,$D698,куб!I:I),IF($C698&lt;&gt;0,SUMIF(куб!$C:$C,$C698,куб!I:I),IF($B698&lt;&gt;0,SUMIF(куб!$B:$B,$B698,куб!I:I),IF($G698&lt;&gt;0,SUMIF(куб!$A:$A,$G698,куб!I:I),SUMIF(куб!$A:$A,$G698,куб!I:I)))))))</f>
        <v>0</v>
      </c>
      <c r="J698" s="19" t="str">
        <f t="shared" si="237"/>
        <v>-</v>
      </c>
      <c r="K698" s="8"/>
      <c r="L698" s="17">
        <f t="shared" si="238"/>
        <v>0</v>
      </c>
      <c r="M698" s="17">
        <f t="shared" si="239"/>
        <v>0</v>
      </c>
      <c r="N698" s="12">
        <f t="shared" si="240"/>
        <v>0</v>
      </c>
      <c r="O698" s="5"/>
      <c r="P698" s="27" t="b">
        <f>IF($G698&lt;&gt;0,SUMIF(куб!$G:$G,$G698,куб!J:J),IF($E698&lt;&gt;0,SUMIF(куб!$E:$E,$E698,куб!J:J),IF($D698&lt;&gt;0,SUMIF(куб!$D:$D,$D698,куб!J:J),IF($C698&lt;&gt;0,SUMIF(куб!$C:$C,$C698,куб!J:J),IF($B698&lt;&gt;0,SUMIF(куб!$B:$B,$B698,куб!J:J))))))</f>
        <v>0</v>
      </c>
      <c r="Q698" s="27" t="b">
        <f>IF($G698&lt;&gt;0,SUMIF(куб!$G:$G,$G698,куб!K:K),IF($E698&lt;&gt;0,SUMIF(куб!$E:$E,$E698,куб!K:K),IF($D698&lt;&gt;0,SUMIF(куб!$D:$D,$D698,куб!K:K),IF($C698&lt;&gt;0,SUMIF(куб!$C:$C,$C698,куб!K:K),IF($B698&lt;&gt;0,SUMIF(куб!$B:$B,$B698,куб!K:K))))))</f>
        <v>0</v>
      </c>
      <c r="R698" s="13" t="str">
        <f t="shared" si="241"/>
        <v>-</v>
      </c>
      <c r="S698" s="5"/>
      <c r="T698" s="27" t="b">
        <f>IF($G698&lt;&gt;0,SUMIF(куб!$G:$G,$G698,куб!L:L),IF($E698&lt;&gt;0,SUMIF(куб!$E:$E,$E698,куб!L:L),IF($D698&lt;&gt;0,SUMIF(куб!$D:$D,$D698,куб!L:L),IF($C698&lt;&gt;0,SUMIF(куб!$C:$C,$C698,куб!L:L),IF($B698&lt;&gt;0,SUMIF(куб!$B:$B,$B698,куб!L:L))))))</f>
        <v>0</v>
      </c>
      <c r="U698" s="27" t="b">
        <f>IF($G698&lt;&gt;0,SUMIF(куб!$G:$G,$G698,куб!M:M),IF($E698&lt;&gt;0,SUMIF(куб!$E:$E,$E698,куб!M:M),IF($D698&lt;&gt;0,SUMIF(куб!$D:$D,$D698,куб!M:M),IF($C698&lt;&gt;0,SUMIF(куб!$C:$C,$C698,куб!M:M),IF($B698&lt;&gt;0,SUMIF(куб!$B:$B,$B698,куб!M:M))))))</f>
        <v>0</v>
      </c>
      <c r="V698" s="13" t="str">
        <f t="shared" si="242"/>
        <v>-</v>
      </c>
      <c r="W698" s="5"/>
      <c r="X698" s="27" t="b">
        <f>IF($G698&lt;&gt;0,SUMIF(куб!$G:$G,$G698,куб!N:N),IF($E698&lt;&gt;0,SUMIF(куб!$E:$E,$E698,куб!N:N),IF($D698&lt;&gt;0,SUMIF(куб!$D:$D,$D698,куб!N:N),IF($C698&lt;&gt;0,SUMIF(куб!$C:$C,$C698,куб!N:N),IF($B698&lt;&gt;0,SUMIF(куб!$B:$B,$B698,куб!N:N))))))</f>
        <v>0</v>
      </c>
      <c r="Y698" s="27" t="b">
        <f>IF($G698&lt;&gt;0,SUMIF(куб!$G:$G,$G698,куб!O:O),IF($E698&lt;&gt;0,SUMIF(куб!$E:$E,$E698,куб!O:O),IF($D698&lt;&gt;0,SUMIF(куб!$D:$D,$D698,куб!O:O),IF($C698&lt;&gt;0,SUMIF(куб!$C:$C,$C698,куб!O:O),IF($B698&lt;&gt;0,SUMIF(куб!$B:$B,$B698,куб!O:O))))))</f>
        <v>0</v>
      </c>
      <c r="Z698" s="13" t="str">
        <f t="shared" si="243"/>
        <v>-</v>
      </c>
      <c r="AA698" s="5"/>
      <c r="AB698" s="33" t="str">
        <f t="shared" si="244"/>
        <v/>
      </c>
      <c r="AC698" s="33" t="str">
        <f t="shared" si="245"/>
        <v/>
      </c>
      <c r="AD698" s="15" t="str">
        <f t="shared" si="246"/>
        <v xml:space="preserve"> </v>
      </c>
      <c r="AE698" s="5"/>
      <c r="AF698" s="27" t="b">
        <f>IF($G698&lt;&gt;0,SUMIF(куб!$G:$G,$G698,куб!R:R),IF($E698&lt;&gt;0,SUMIF(куб!$E:$E,$E698,куб!R:R),IF($D698&lt;&gt;0,SUMIF(куб!$D:$D,$D698,куб!R:R),IF($C698&lt;&gt;0,SUMIF(куб!$C:$C,$C698,куб!R:R),IF($B698&lt;&gt;0,SUMIF(куб!$B:$B,$B698,куб!R:R))))))</f>
        <v>0</v>
      </c>
      <c r="AG698" s="27" t="b">
        <f>IF($G698&lt;&gt;0,SUMIF(куб!$G:$G,$G698,куб!S:S),IF($E698&lt;&gt;0,SUMIF(куб!$E:$E,$E698,куб!S:S),IF($D698&lt;&gt;0,SUMIF(куб!$D:$D,$D698,куб!S:S),IF($C698&lt;&gt;0,SUMIF(куб!$C:$C,$C698,куб!S:S),IF($B698&lt;&gt;0,SUMIF(куб!$B:$B,$B698,куб!S:S))))))</f>
        <v>0</v>
      </c>
      <c r="AH698" s="16" t="str">
        <f t="shared" si="247"/>
        <v>-</v>
      </c>
      <c r="AI698" s="8"/>
      <c r="AJ698" s="27" t="b">
        <f>IF($G698&lt;&gt;0,SUMIF(куб!$G:$G,$G698,куб!T:T),IF($E698&lt;&gt;0,SUMIF(куб!$E:$E,$E698,куб!T:T),IF($D698&lt;&gt;0,SUMIF(куб!$D:$D,$D698,куб!T:T),IF($C698&lt;&gt;0,SUMIF(куб!$C:$C,$C698,куб!T:T),IF($B698&lt;&gt;0,SUMIF(куб!$B:$B,$B698,куб!T:T))))))</f>
        <v>0</v>
      </c>
      <c r="AK698" s="27" t="b">
        <f>IF($G698&lt;&gt;0,SUMIF(куб!$G:$G,$G698,куб!U:U),IF($E698&lt;&gt;0,SUMIF(куб!$E:$E,$E698,куб!U:U),IF($D698&lt;&gt;0,SUMIF(куб!$D:$D,$D698,куб!U:U),IF($C698&lt;&gt;0,SUMIF(куб!$C:$C,$C698,куб!U:U),IF($B698&lt;&gt;0,SUMIF(куб!$B:$B,$B698,куб!U:U))))))</f>
        <v>0</v>
      </c>
      <c r="AL698" s="16" t="str">
        <f t="shared" si="248"/>
        <v>-</v>
      </c>
      <c r="AM698" s="8"/>
      <c r="AN698" s="17" t="str">
        <f t="shared" si="249"/>
        <v xml:space="preserve"> </v>
      </c>
      <c r="AO698" s="17" t="str">
        <f t="shared" si="250"/>
        <v xml:space="preserve"> </v>
      </c>
      <c r="AP698" s="16" t="str">
        <f t="shared" si="251"/>
        <v>-</v>
      </c>
      <c r="AQ698" s="8"/>
      <c r="AR698" s="17" t="str">
        <f t="shared" si="252"/>
        <v>-</v>
      </c>
      <c r="AS698" s="17" t="str">
        <f t="shared" si="253"/>
        <v>-</v>
      </c>
      <c r="AT698" s="13" t="str">
        <f t="shared" si="254"/>
        <v>-</v>
      </c>
      <c r="AU698" s="8"/>
    </row>
    <row r="699" spans="1:47" x14ac:dyDescent="0.25">
      <c r="A699" s="31"/>
      <c r="B699" s="31"/>
      <c r="C699"/>
      <c r="D699" s="31"/>
      <c r="E699"/>
      <c r="F699" s="31"/>
      <c r="G699"/>
      <c r="H699" s="27">
        <f>IF($G699&lt;&gt;0,SUMIF(куб!$G:$G,$G699,куб!H:H),IF($E699&lt;&gt;0,SUMIF(куб!$E:$E,$E699,куб!H:H),IF($D699&lt;&gt;0,SUMIF(куб!$D:$D,$D699,куб!H:H),IF($C699&lt;&gt;0,SUMIF(куб!$C:$C,$C699,куб!H:H),IF($B699&lt;&gt;0,SUMIF(куб!$B:$B,$B699,куб!H:H),IF($G699&lt;&gt;0,SUMIF(куб!$A:$A,$G699,куб!H:H),SUMIF(куб!$A:$A,$G699,куб!H:H)))))))</f>
        <v>0</v>
      </c>
      <c r="I699" s="27">
        <f>IF($G699&lt;&gt;0,SUMIF(куб!$G:$G,$G699,куб!I:I),IF($E699&lt;&gt;0,SUMIF(куб!$E:$E,$E699,куб!I:I),IF($D699&lt;&gt;0,SUMIF(куб!$D:$D,$D699,куб!I:I),IF($C699&lt;&gt;0,SUMIF(куб!$C:$C,$C699,куб!I:I),IF($B699&lt;&gt;0,SUMIF(куб!$B:$B,$B699,куб!I:I),IF($G699&lt;&gt;0,SUMIF(куб!$A:$A,$G699,куб!I:I),SUMIF(куб!$A:$A,$G699,куб!I:I)))))))</f>
        <v>0</v>
      </c>
      <c r="J699" s="19" t="str">
        <f t="shared" si="237"/>
        <v>-</v>
      </c>
      <c r="K699" s="8"/>
      <c r="L699" s="17">
        <f t="shared" si="238"/>
        <v>0</v>
      </c>
      <c r="M699" s="17">
        <f t="shared" si="239"/>
        <v>0</v>
      </c>
      <c r="N699" s="12">
        <f t="shared" si="240"/>
        <v>0</v>
      </c>
      <c r="O699" s="5"/>
      <c r="P699" s="27" t="b">
        <f>IF($G699&lt;&gt;0,SUMIF(куб!$G:$G,$G699,куб!J:J),IF($E699&lt;&gt;0,SUMIF(куб!$E:$E,$E699,куб!J:J),IF($D699&lt;&gt;0,SUMIF(куб!$D:$D,$D699,куб!J:J),IF($C699&lt;&gt;0,SUMIF(куб!$C:$C,$C699,куб!J:J),IF($B699&lt;&gt;0,SUMIF(куб!$B:$B,$B699,куб!J:J))))))</f>
        <v>0</v>
      </c>
      <c r="Q699" s="27" t="b">
        <f>IF($G699&lt;&gt;0,SUMIF(куб!$G:$G,$G699,куб!K:K),IF($E699&lt;&gt;0,SUMIF(куб!$E:$E,$E699,куб!K:K),IF($D699&lt;&gt;0,SUMIF(куб!$D:$D,$D699,куб!K:K),IF($C699&lt;&gt;0,SUMIF(куб!$C:$C,$C699,куб!K:K),IF($B699&lt;&gt;0,SUMIF(куб!$B:$B,$B699,куб!K:K))))))</f>
        <v>0</v>
      </c>
      <c r="R699" s="13" t="str">
        <f t="shared" si="241"/>
        <v>-</v>
      </c>
      <c r="S699" s="5"/>
      <c r="T699" s="27" t="b">
        <f>IF($G699&lt;&gt;0,SUMIF(куб!$G:$G,$G699,куб!L:L),IF($E699&lt;&gt;0,SUMIF(куб!$E:$E,$E699,куб!L:L),IF($D699&lt;&gt;0,SUMIF(куб!$D:$D,$D699,куб!L:L),IF($C699&lt;&gt;0,SUMIF(куб!$C:$C,$C699,куб!L:L),IF($B699&lt;&gt;0,SUMIF(куб!$B:$B,$B699,куб!L:L))))))</f>
        <v>0</v>
      </c>
      <c r="U699" s="27" t="b">
        <f>IF($G699&lt;&gt;0,SUMIF(куб!$G:$G,$G699,куб!M:M),IF($E699&lt;&gt;0,SUMIF(куб!$E:$E,$E699,куб!M:M),IF($D699&lt;&gt;0,SUMIF(куб!$D:$D,$D699,куб!M:M),IF($C699&lt;&gt;0,SUMIF(куб!$C:$C,$C699,куб!M:M),IF($B699&lt;&gt;0,SUMIF(куб!$B:$B,$B699,куб!M:M))))))</f>
        <v>0</v>
      </c>
      <c r="V699" s="13" t="str">
        <f t="shared" si="242"/>
        <v>-</v>
      </c>
      <c r="W699" s="5"/>
      <c r="X699" s="27" t="b">
        <f>IF($G699&lt;&gt;0,SUMIF(куб!$G:$G,$G699,куб!N:N),IF($E699&lt;&gt;0,SUMIF(куб!$E:$E,$E699,куб!N:N),IF($D699&lt;&gt;0,SUMIF(куб!$D:$D,$D699,куб!N:N),IF($C699&lt;&gt;0,SUMIF(куб!$C:$C,$C699,куб!N:N),IF($B699&lt;&gt;0,SUMIF(куб!$B:$B,$B699,куб!N:N))))))</f>
        <v>0</v>
      </c>
      <c r="Y699" s="27" t="b">
        <f>IF($G699&lt;&gt;0,SUMIF(куб!$G:$G,$G699,куб!O:O),IF($E699&lt;&gt;0,SUMIF(куб!$E:$E,$E699,куб!O:O),IF($D699&lt;&gt;0,SUMIF(куб!$D:$D,$D699,куб!O:O),IF($C699&lt;&gt;0,SUMIF(куб!$C:$C,$C699,куб!O:O),IF($B699&lt;&gt;0,SUMIF(куб!$B:$B,$B699,куб!O:O))))))</f>
        <v>0</v>
      </c>
      <c r="Z699" s="13" t="str">
        <f t="shared" si="243"/>
        <v>-</v>
      </c>
      <c r="AA699" s="5"/>
      <c r="AB699" s="33" t="str">
        <f t="shared" si="244"/>
        <v/>
      </c>
      <c r="AC699" s="33" t="str">
        <f t="shared" si="245"/>
        <v/>
      </c>
      <c r="AD699" s="15" t="str">
        <f t="shared" si="246"/>
        <v xml:space="preserve"> </v>
      </c>
      <c r="AE699" s="5"/>
      <c r="AF699" s="27" t="b">
        <f>IF($G699&lt;&gt;0,SUMIF(куб!$G:$G,$G699,куб!R:R),IF($E699&lt;&gt;0,SUMIF(куб!$E:$E,$E699,куб!R:R),IF($D699&lt;&gt;0,SUMIF(куб!$D:$D,$D699,куб!R:R),IF($C699&lt;&gt;0,SUMIF(куб!$C:$C,$C699,куб!R:R),IF($B699&lt;&gt;0,SUMIF(куб!$B:$B,$B699,куб!R:R))))))</f>
        <v>0</v>
      </c>
      <c r="AG699" s="27" t="b">
        <f>IF($G699&lt;&gt;0,SUMIF(куб!$G:$G,$G699,куб!S:S),IF($E699&lt;&gt;0,SUMIF(куб!$E:$E,$E699,куб!S:S),IF($D699&lt;&gt;0,SUMIF(куб!$D:$D,$D699,куб!S:S),IF($C699&lt;&gt;0,SUMIF(куб!$C:$C,$C699,куб!S:S),IF($B699&lt;&gt;0,SUMIF(куб!$B:$B,$B699,куб!S:S))))))</f>
        <v>0</v>
      </c>
      <c r="AH699" s="16" t="str">
        <f t="shared" si="247"/>
        <v>-</v>
      </c>
      <c r="AI699" s="8"/>
      <c r="AJ699" s="27" t="b">
        <f>IF($G699&lt;&gt;0,SUMIF(куб!$G:$G,$G699,куб!T:T),IF($E699&lt;&gt;0,SUMIF(куб!$E:$E,$E699,куб!T:T),IF($D699&lt;&gt;0,SUMIF(куб!$D:$D,$D699,куб!T:T),IF($C699&lt;&gt;0,SUMIF(куб!$C:$C,$C699,куб!T:T),IF($B699&lt;&gt;0,SUMIF(куб!$B:$B,$B699,куб!T:T))))))</f>
        <v>0</v>
      </c>
      <c r="AK699" s="27" t="b">
        <f>IF($G699&lt;&gt;0,SUMIF(куб!$G:$G,$G699,куб!U:U),IF($E699&lt;&gt;0,SUMIF(куб!$E:$E,$E699,куб!U:U),IF($D699&lt;&gt;0,SUMIF(куб!$D:$D,$D699,куб!U:U),IF($C699&lt;&gt;0,SUMIF(куб!$C:$C,$C699,куб!U:U),IF($B699&lt;&gt;0,SUMIF(куб!$B:$B,$B699,куб!U:U))))))</f>
        <v>0</v>
      </c>
      <c r="AL699" s="16" t="str">
        <f t="shared" si="248"/>
        <v>-</v>
      </c>
      <c r="AM699" s="8"/>
      <c r="AN699" s="17" t="str">
        <f t="shared" si="249"/>
        <v xml:space="preserve"> </v>
      </c>
      <c r="AO699" s="17" t="str">
        <f t="shared" si="250"/>
        <v xml:space="preserve"> </v>
      </c>
      <c r="AP699" s="16" t="str">
        <f t="shared" si="251"/>
        <v>-</v>
      </c>
      <c r="AQ699" s="8"/>
      <c r="AR699" s="17" t="str">
        <f t="shared" si="252"/>
        <v>-</v>
      </c>
      <c r="AS699" s="17" t="str">
        <f t="shared" si="253"/>
        <v>-</v>
      </c>
      <c r="AT699" s="13" t="str">
        <f t="shared" si="254"/>
        <v>-</v>
      </c>
      <c r="AU699" s="8"/>
    </row>
    <row r="700" spans="1:47" x14ac:dyDescent="0.25">
      <c r="A700" s="31"/>
      <c r="B700" s="31"/>
      <c r="C700"/>
      <c r="D700" s="31"/>
      <c r="E700"/>
      <c r="F700" s="31"/>
      <c r="G700"/>
      <c r="H700" s="27">
        <f>IF($G700&lt;&gt;0,SUMIF(куб!$G:$G,$G700,куб!H:H),IF($E700&lt;&gt;0,SUMIF(куб!$E:$E,$E700,куб!H:H),IF($D700&lt;&gt;0,SUMIF(куб!$D:$D,$D700,куб!H:H),IF($C700&lt;&gt;0,SUMIF(куб!$C:$C,$C700,куб!H:H),IF($B700&lt;&gt;0,SUMIF(куб!$B:$B,$B700,куб!H:H),IF($G700&lt;&gt;0,SUMIF(куб!$A:$A,$G700,куб!H:H),SUMIF(куб!$A:$A,$G700,куб!H:H)))))))</f>
        <v>0</v>
      </c>
      <c r="I700" s="27">
        <f>IF($G700&lt;&gt;0,SUMIF(куб!$G:$G,$G700,куб!I:I),IF($E700&lt;&gt;0,SUMIF(куб!$E:$E,$E700,куб!I:I),IF($D700&lt;&gt;0,SUMIF(куб!$D:$D,$D700,куб!I:I),IF($C700&lt;&gt;0,SUMIF(куб!$C:$C,$C700,куб!I:I),IF($B700&lt;&gt;0,SUMIF(куб!$B:$B,$B700,куб!I:I),IF($G700&lt;&gt;0,SUMIF(куб!$A:$A,$G700,куб!I:I),SUMIF(куб!$A:$A,$G700,куб!I:I)))))))</f>
        <v>0</v>
      </c>
      <c r="J700" s="19" t="str">
        <f t="shared" si="237"/>
        <v>-</v>
      </c>
      <c r="K700" s="8"/>
      <c r="L700" s="17">
        <f t="shared" si="238"/>
        <v>0</v>
      </c>
      <c r="M700" s="17">
        <f t="shared" si="239"/>
        <v>0</v>
      </c>
      <c r="N700" s="12">
        <f t="shared" si="240"/>
        <v>0</v>
      </c>
      <c r="O700" s="5"/>
      <c r="P700" s="27" t="b">
        <f>IF($G700&lt;&gt;0,SUMIF(куб!$G:$G,$G700,куб!J:J),IF($E700&lt;&gt;0,SUMIF(куб!$E:$E,$E700,куб!J:J),IF($D700&lt;&gt;0,SUMIF(куб!$D:$D,$D700,куб!J:J),IF($C700&lt;&gt;0,SUMIF(куб!$C:$C,$C700,куб!J:J),IF($B700&lt;&gt;0,SUMIF(куб!$B:$B,$B700,куб!J:J))))))</f>
        <v>0</v>
      </c>
      <c r="Q700" s="27" t="b">
        <f>IF($G700&lt;&gt;0,SUMIF(куб!$G:$G,$G700,куб!K:K),IF($E700&lt;&gt;0,SUMIF(куб!$E:$E,$E700,куб!K:K),IF($D700&lt;&gt;0,SUMIF(куб!$D:$D,$D700,куб!K:K),IF($C700&lt;&gt;0,SUMIF(куб!$C:$C,$C700,куб!K:K),IF($B700&lt;&gt;0,SUMIF(куб!$B:$B,$B700,куб!K:K))))))</f>
        <v>0</v>
      </c>
      <c r="R700" s="13" t="str">
        <f t="shared" si="241"/>
        <v>-</v>
      </c>
      <c r="S700" s="5"/>
      <c r="T700" s="27" t="b">
        <f>IF($G700&lt;&gt;0,SUMIF(куб!$G:$G,$G700,куб!L:L),IF($E700&lt;&gt;0,SUMIF(куб!$E:$E,$E700,куб!L:L),IF($D700&lt;&gt;0,SUMIF(куб!$D:$D,$D700,куб!L:L),IF($C700&lt;&gt;0,SUMIF(куб!$C:$C,$C700,куб!L:L),IF($B700&lt;&gt;0,SUMIF(куб!$B:$B,$B700,куб!L:L))))))</f>
        <v>0</v>
      </c>
      <c r="U700" s="27" t="b">
        <f>IF($G700&lt;&gt;0,SUMIF(куб!$G:$G,$G700,куб!M:M),IF($E700&lt;&gt;0,SUMIF(куб!$E:$E,$E700,куб!M:M),IF($D700&lt;&gt;0,SUMIF(куб!$D:$D,$D700,куб!M:M),IF($C700&lt;&gt;0,SUMIF(куб!$C:$C,$C700,куб!M:M),IF($B700&lt;&gt;0,SUMIF(куб!$B:$B,$B700,куб!M:M))))))</f>
        <v>0</v>
      </c>
      <c r="V700" s="13" t="str">
        <f t="shared" si="242"/>
        <v>-</v>
      </c>
      <c r="W700" s="5"/>
      <c r="X700" s="27" t="b">
        <f>IF($G700&lt;&gt;0,SUMIF(куб!$G:$G,$G700,куб!N:N),IF($E700&lt;&gt;0,SUMIF(куб!$E:$E,$E700,куб!N:N),IF($D700&lt;&gt;0,SUMIF(куб!$D:$D,$D700,куб!N:N),IF($C700&lt;&gt;0,SUMIF(куб!$C:$C,$C700,куб!N:N),IF($B700&lt;&gt;0,SUMIF(куб!$B:$B,$B700,куб!N:N))))))</f>
        <v>0</v>
      </c>
      <c r="Y700" s="27" t="b">
        <f>IF($G700&lt;&gt;0,SUMIF(куб!$G:$G,$G700,куб!O:O),IF($E700&lt;&gt;0,SUMIF(куб!$E:$E,$E700,куб!O:O),IF($D700&lt;&gt;0,SUMIF(куб!$D:$D,$D700,куб!O:O),IF($C700&lt;&gt;0,SUMIF(куб!$C:$C,$C700,куб!O:O),IF($B700&lt;&gt;0,SUMIF(куб!$B:$B,$B700,куб!O:O))))))</f>
        <v>0</v>
      </c>
      <c r="Z700" s="13" t="str">
        <f t="shared" si="243"/>
        <v>-</v>
      </c>
      <c r="AA700" s="5"/>
      <c r="AB700" s="33" t="str">
        <f t="shared" si="244"/>
        <v/>
      </c>
      <c r="AC700" s="33" t="str">
        <f t="shared" si="245"/>
        <v/>
      </c>
      <c r="AD700" s="15" t="str">
        <f t="shared" si="246"/>
        <v xml:space="preserve"> </v>
      </c>
      <c r="AE700" s="5"/>
      <c r="AF700" s="27" t="b">
        <f>IF($G700&lt;&gt;0,SUMIF(куб!$G:$G,$G700,куб!R:R),IF($E700&lt;&gt;0,SUMIF(куб!$E:$E,$E700,куб!R:R),IF($D700&lt;&gt;0,SUMIF(куб!$D:$D,$D700,куб!R:R),IF($C700&lt;&gt;0,SUMIF(куб!$C:$C,$C700,куб!R:R),IF($B700&lt;&gt;0,SUMIF(куб!$B:$B,$B700,куб!R:R))))))</f>
        <v>0</v>
      </c>
      <c r="AG700" s="27" t="b">
        <f>IF($G700&lt;&gt;0,SUMIF(куб!$G:$G,$G700,куб!S:S),IF($E700&lt;&gt;0,SUMIF(куб!$E:$E,$E700,куб!S:S),IF($D700&lt;&gt;0,SUMIF(куб!$D:$D,$D700,куб!S:S),IF($C700&lt;&gt;0,SUMIF(куб!$C:$C,$C700,куб!S:S),IF($B700&lt;&gt;0,SUMIF(куб!$B:$B,$B700,куб!S:S))))))</f>
        <v>0</v>
      </c>
      <c r="AH700" s="16" t="str">
        <f t="shared" si="247"/>
        <v>-</v>
      </c>
      <c r="AI700" s="8"/>
      <c r="AJ700" s="27" t="b">
        <f>IF($G700&lt;&gt;0,SUMIF(куб!$G:$G,$G700,куб!T:T),IF($E700&lt;&gt;0,SUMIF(куб!$E:$E,$E700,куб!T:T),IF($D700&lt;&gt;0,SUMIF(куб!$D:$D,$D700,куб!T:T),IF($C700&lt;&gt;0,SUMIF(куб!$C:$C,$C700,куб!T:T),IF($B700&lt;&gt;0,SUMIF(куб!$B:$B,$B700,куб!T:T))))))</f>
        <v>0</v>
      </c>
      <c r="AK700" s="27" t="b">
        <f>IF($G700&lt;&gt;0,SUMIF(куб!$G:$G,$G700,куб!U:U),IF($E700&lt;&gt;0,SUMIF(куб!$E:$E,$E700,куб!U:U),IF($D700&lt;&gt;0,SUMIF(куб!$D:$D,$D700,куб!U:U),IF($C700&lt;&gt;0,SUMIF(куб!$C:$C,$C700,куб!U:U),IF($B700&lt;&gt;0,SUMIF(куб!$B:$B,$B700,куб!U:U))))))</f>
        <v>0</v>
      </c>
      <c r="AL700" s="16" t="str">
        <f t="shared" si="248"/>
        <v>-</v>
      </c>
      <c r="AM700" s="8"/>
      <c r="AN700" s="17" t="str">
        <f t="shared" si="249"/>
        <v xml:space="preserve"> </v>
      </c>
      <c r="AO700" s="17" t="str">
        <f t="shared" si="250"/>
        <v xml:space="preserve"> </v>
      </c>
      <c r="AP700" s="16" t="str">
        <f t="shared" si="251"/>
        <v>-</v>
      </c>
      <c r="AQ700" s="8"/>
      <c r="AR700" s="17" t="str">
        <f t="shared" si="252"/>
        <v>-</v>
      </c>
      <c r="AS700" s="17" t="str">
        <f t="shared" si="253"/>
        <v>-</v>
      </c>
      <c r="AT700" s="13" t="str">
        <f t="shared" si="254"/>
        <v>-</v>
      </c>
      <c r="AU700" s="8"/>
    </row>
    <row r="701" spans="1:47" x14ac:dyDescent="0.25">
      <c r="A701" s="31"/>
      <c r="B701" s="31"/>
      <c r="C701"/>
      <c r="D701" s="31"/>
      <c r="E701"/>
      <c r="F701" s="31"/>
      <c r="G701"/>
      <c r="H701" s="27">
        <f>IF($G701&lt;&gt;0,SUMIF(куб!$G:$G,$G701,куб!H:H),IF($E701&lt;&gt;0,SUMIF(куб!$E:$E,$E701,куб!H:H),IF($D701&lt;&gt;0,SUMIF(куб!$D:$D,$D701,куб!H:H),IF($C701&lt;&gt;0,SUMIF(куб!$C:$C,$C701,куб!H:H),IF($B701&lt;&gt;0,SUMIF(куб!$B:$B,$B701,куб!H:H),IF($G701&lt;&gt;0,SUMIF(куб!$A:$A,$G701,куб!H:H),SUMIF(куб!$A:$A,$G701,куб!H:H)))))))</f>
        <v>0</v>
      </c>
      <c r="I701" s="27">
        <f>IF($G701&lt;&gt;0,SUMIF(куб!$G:$G,$G701,куб!I:I),IF($E701&lt;&gt;0,SUMIF(куб!$E:$E,$E701,куб!I:I),IF($D701&lt;&gt;0,SUMIF(куб!$D:$D,$D701,куб!I:I),IF($C701&lt;&gt;0,SUMIF(куб!$C:$C,$C701,куб!I:I),IF($B701&lt;&gt;0,SUMIF(куб!$B:$B,$B701,куб!I:I),IF($G701&lt;&gt;0,SUMIF(куб!$A:$A,$G701,куб!I:I),SUMIF(куб!$A:$A,$G701,куб!I:I)))))))</f>
        <v>0</v>
      </c>
      <c r="J701" s="19" t="str">
        <f t="shared" si="237"/>
        <v>-</v>
      </c>
      <c r="K701" s="8"/>
      <c r="L701" s="17">
        <f t="shared" si="238"/>
        <v>0</v>
      </c>
      <c r="M701" s="17">
        <f t="shared" si="239"/>
        <v>0</v>
      </c>
      <c r="N701" s="12">
        <f t="shared" si="240"/>
        <v>0</v>
      </c>
      <c r="O701" s="5"/>
      <c r="P701" s="27" t="b">
        <f>IF($G701&lt;&gt;0,SUMIF(куб!$G:$G,$G701,куб!J:J),IF($E701&lt;&gt;0,SUMIF(куб!$E:$E,$E701,куб!J:J),IF($D701&lt;&gt;0,SUMIF(куб!$D:$D,$D701,куб!J:J),IF($C701&lt;&gt;0,SUMIF(куб!$C:$C,$C701,куб!J:J),IF($B701&lt;&gt;0,SUMIF(куб!$B:$B,$B701,куб!J:J))))))</f>
        <v>0</v>
      </c>
      <c r="Q701" s="27" t="b">
        <f>IF($G701&lt;&gt;0,SUMIF(куб!$G:$G,$G701,куб!K:K),IF($E701&lt;&gt;0,SUMIF(куб!$E:$E,$E701,куб!K:K),IF($D701&lt;&gt;0,SUMIF(куб!$D:$D,$D701,куб!K:K),IF($C701&lt;&gt;0,SUMIF(куб!$C:$C,$C701,куб!K:K),IF($B701&lt;&gt;0,SUMIF(куб!$B:$B,$B701,куб!K:K))))))</f>
        <v>0</v>
      </c>
      <c r="R701" s="13" t="str">
        <f t="shared" si="241"/>
        <v>-</v>
      </c>
      <c r="S701" s="5"/>
      <c r="T701" s="27" t="b">
        <f>IF($G701&lt;&gt;0,SUMIF(куб!$G:$G,$G701,куб!L:L),IF($E701&lt;&gt;0,SUMIF(куб!$E:$E,$E701,куб!L:L),IF($D701&lt;&gt;0,SUMIF(куб!$D:$D,$D701,куб!L:L),IF($C701&lt;&gt;0,SUMIF(куб!$C:$C,$C701,куб!L:L),IF($B701&lt;&gt;0,SUMIF(куб!$B:$B,$B701,куб!L:L))))))</f>
        <v>0</v>
      </c>
      <c r="U701" s="27" t="b">
        <f>IF($G701&lt;&gt;0,SUMIF(куб!$G:$G,$G701,куб!M:M),IF($E701&lt;&gt;0,SUMIF(куб!$E:$E,$E701,куб!M:M),IF($D701&lt;&gt;0,SUMIF(куб!$D:$D,$D701,куб!M:M),IF($C701&lt;&gt;0,SUMIF(куб!$C:$C,$C701,куб!M:M),IF($B701&lt;&gt;0,SUMIF(куб!$B:$B,$B701,куб!M:M))))))</f>
        <v>0</v>
      </c>
      <c r="V701" s="13" t="str">
        <f t="shared" si="242"/>
        <v>-</v>
      </c>
      <c r="W701" s="5"/>
      <c r="X701" s="27" t="b">
        <f>IF($G701&lt;&gt;0,SUMIF(куб!$G:$G,$G701,куб!N:N),IF($E701&lt;&gt;0,SUMIF(куб!$E:$E,$E701,куб!N:N),IF($D701&lt;&gt;0,SUMIF(куб!$D:$D,$D701,куб!N:N),IF($C701&lt;&gt;0,SUMIF(куб!$C:$C,$C701,куб!N:N),IF($B701&lt;&gt;0,SUMIF(куб!$B:$B,$B701,куб!N:N))))))</f>
        <v>0</v>
      </c>
      <c r="Y701" s="27" t="b">
        <f>IF($G701&lt;&gt;0,SUMIF(куб!$G:$G,$G701,куб!O:O),IF($E701&lt;&gt;0,SUMIF(куб!$E:$E,$E701,куб!O:O),IF($D701&lt;&gt;0,SUMIF(куб!$D:$D,$D701,куб!O:O),IF($C701&lt;&gt;0,SUMIF(куб!$C:$C,$C701,куб!O:O),IF($B701&lt;&gt;0,SUMIF(куб!$B:$B,$B701,куб!O:O))))))</f>
        <v>0</v>
      </c>
      <c r="Z701" s="13" t="str">
        <f t="shared" si="243"/>
        <v>-</v>
      </c>
      <c r="AA701" s="5"/>
      <c r="AB701" s="33" t="str">
        <f t="shared" si="244"/>
        <v/>
      </c>
      <c r="AC701" s="33" t="str">
        <f t="shared" si="245"/>
        <v/>
      </c>
      <c r="AD701" s="15" t="str">
        <f t="shared" si="246"/>
        <v xml:space="preserve"> </v>
      </c>
      <c r="AE701" s="5"/>
      <c r="AF701" s="27" t="b">
        <f>IF($G701&lt;&gt;0,SUMIF(куб!$G:$G,$G701,куб!R:R),IF($E701&lt;&gt;0,SUMIF(куб!$E:$E,$E701,куб!R:R),IF($D701&lt;&gt;0,SUMIF(куб!$D:$D,$D701,куб!R:R),IF($C701&lt;&gt;0,SUMIF(куб!$C:$C,$C701,куб!R:R),IF($B701&lt;&gt;0,SUMIF(куб!$B:$B,$B701,куб!R:R))))))</f>
        <v>0</v>
      </c>
      <c r="AG701" s="27" t="b">
        <f>IF($G701&lt;&gt;0,SUMIF(куб!$G:$G,$G701,куб!S:S),IF($E701&lt;&gt;0,SUMIF(куб!$E:$E,$E701,куб!S:S),IF($D701&lt;&gt;0,SUMIF(куб!$D:$D,$D701,куб!S:S),IF($C701&lt;&gt;0,SUMIF(куб!$C:$C,$C701,куб!S:S),IF($B701&lt;&gt;0,SUMIF(куб!$B:$B,$B701,куб!S:S))))))</f>
        <v>0</v>
      </c>
      <c r="AH701" s="16" t="str">
        <f t="shared" si="247"/>
        <v>-</v>
      </c>
      <c r="AI701" s="8"/>
      <c r="AJ701" s="27" t="b">
        <f>IF($G701&lt;&gt;0,SUMIF(куб!$G:$G,$G701,куб!T:T),IF($E701&lt;&gt;0,SUMIF(куб!$E:$E,$E701,куб!T:T),IF($D701&lt;&gt;0,SUMIF(куб!$D:$D,$D701,куб!T:T),IF($C701&lt;&gt;0,SUMIF(куб!$C:$C,$C701,куб!T:T),IF($B701&lt;&gt;0,SUMIF(куб!$B:$B,$B701,куб!T:T))))))</f>
        <v>0</v>
      </c>
      <c r="AK701" s="27" t="b">
        <f>IF($G701&lt;&gt;0,SUMIF(куб!$G:$G,$G701,куб!U:U),IF($E701&lt;&gt;0,SUMIF(куб!$E:$E,$E701,куб!U:U),IF($D701&lt;&gt;0,SUMIF(куб!$D:$D,$D701,куб!U:U),IF($C701&lt;&gt;0,SUMIF(куб!$C:$C,$C701,куб!U:U),IF($B701&lt;&gt;0,SUMIF(куб!$B:$B,$B701,куб!U:U))))))</f>
        <v>0</v>
      </c>
      <c r="AL701" s="16" t="str">
        <f t="shared" si="248"/>
        <v>-</v>
      </c>
      <c r="AM701" s="8"/>
      <c r="AN701" s="17" t="str">
        <f t="shared" si="249"/>
        <v xml:space="preserve"> </v>
      </c>
      <c r="AO701" s="17" t="str">
        <f t="shared" si="250"/>
        <v xml:space="preserve"> </v>
      </c>
      <c r="AP701" s="16" t="str">
        <f t="shared" si="251"/>
        <v>-</v>
      </c>
      <c r="AQ701" s="8"/>
      <c r="AR701" s="17" t="str">
        <f t="shared" si="252"/>
        <v>-</v>
      </c>
      <c r="AS701" s="17" t="str">
        <f t="shared" si="253"/>
        <v>-</v>
      </c>
      <c r="AT701" s="13" t="str">
        <f t="shared" si="254"/>
        <v>-</v>
      </c>
      <c r="AU701" s="8"/>
    </row>
    <row r="702" spans="1:47" x14ac:dyDescent="0.25">
      <c r="A702" s="31"/>
      <c r="B702" s="31"/>
      <c r="C702"/>
      <c r="D702" s="31"/>
      <c r="E702"/>
      <c r="F702" s="31"/>
      <c r="G702"/>
      <c r="H702" s="27">
        <f>IF($G702&lt;&gt;0,SUMIF(куб!$G:$G,$G702,куб!H:H),IF($E702&lt;&gt;0,SUMIF(куб!$E:$E,$E702,куб!H:H),IF($D702&lt;&gt;0,SUMIF(куб!$D:$D,$D702,куб!H:H),IF($C702&lt;&gt;0,SUMIF(куб!$C:$C,$C702,куб!H:H),IF($B702&lt;&gt;0,SUMIF(куб!$B:$B,$B702,куб!H:H),IF($G702&lt;&gt;0,SUMIF(куб!$A:$A,$G702,куб!H:H),SUMIF(куб!$A:$A,$G702,куб!H:H)))))))</f>
        <v>0</v>
      </c>
      <c r="I702" s="27">
        <f>IF($G702&lt;&gt;0,SUMIF(куб!$G:$G,$G702,куб!I:I),IF($E702&lt;&gt;0,SUMIF(куб!$E:$E,$E702,куб!I:I),IF($D702&lt;&gt;0,SUMIF(куб!$D:$D,$D702,куб!I:I),IF($C702&lt;&gt;0,SUMIF(куб!$C:$C,$C702,куб!I:I),IF($B702&lt;&gt;0,SUMIF(куб!$B:$B,$B702,куб!I:I),IF($G702&lt;&gt;0,SUMIF(куб!$A:$A,$G702,куб!I:I),SUMIF(куб!$A:$A,$G702,куб!I:I)))))))</f>
        <v>0</v>
      </c>
      <c r="J702" s="19" t="str">
        <f t="shared" si="237"/>
        <v>-</v>
      </c>
      <c r="K702" s="8"/>
      <c r="L702" s="17">
        <f t="shared" si="238"/>
        <v>0</v>
      </c>
      <c r="M702" s="17">
        <f t="shared" si="239"/>
        <v>0</v>
      </c>
      <c r="N702" s="12">
        <f t="shared" si="240"/>
        <v>0</v>
      </c>
      <c r="O702" s="5"/>
      <c r="P702" s="27" t="b">
        <f>IF($G702&lt;&gt;0,SUMIF(куб!$G:$G,$G702,куб!J:J),IF($E702&lt;&gt;0,SUMIF(куб!$E:$E,$E702,куб!J:J),IF($D702&lt;&gt;0,SUMIF(куб!$D:$D,$D702,куб!J:J),IF($C702&lt;&gt;0,SUMIF(куб!$C:$C,$C702,куб!J:J),IF($B702&lt;&gt;0,SUMIF(куб!$B:$B,$B702,куб!J:J))))))</f>
        <v>0</v>
      </c>
      <c r="Q702" s="27" t="b">
        <f>IF($G702&lt;&gt;0,SUMIF(куб!$G:$G,$G702,куб!K:K),IF($E702&lt;&gt;0,SUMIF(куб!$E:$E,$E702,куб!K:K),IF($D702&lt;&gt;0,SUMIF(куб!$D:$D,$D702,куб!K:K),IF($C702&lt;&gt;0,SUMIF(куб!$C:$C,$C702,куб!K:K),IF($B702&lt;&gt;0,SUMIF(куб!$B:$B,$B702,куб!K:K))))))</f>
        <v>0</v>
      </c>
      <c r="R702" s="13" t="str">
        <f t="shared" si="241"/>
        <v>-</v>
      </c>
      <c r="S702" s="5"/>
      <c r="T702" s="27" t="b">
        <f>IF($G702&lt;&gt;0,SUMIF(куб!$G:$G,$G702,куб!L:L),IF($E702&lt;&gt;0,SUMIF(куб!$E:$E,$E702,куб!L:L),IF($D702&lt;&gt;0,SUMIF(куб!$D:$D,$D702,куб!L:L),IF($C702&lt;&gt;0,SUMIF(куб!$C:$C,$C702,куб!L:L),IF($B702&lt;&gt;0,SUMIF(куб!$B:$B,$B702,куб!L:L))))))</f>
        <v>0</v>
      </c>
      <c r="U702" s="27" t="b">
        <f>IF($G702&lt;&gt;0,SUMIF(куб!$G:$G,$G702,куб!M:M),IF($E702&lt;&gt;0,SUMIF(куб!$E:$E,$E702,куб!M:M),IF($D702&lt;&gt;0,SUMIF(куб!$D:$D,$D702,куб!M:M),IF($C702&lt;&gt;0,SUMIF(куб!$C:$C,$C702,куб!M:M),IF($B702&lt;&gt;0,SUMIF(куб!$B:$B,$B702,куб!M:M))))))</f>
        <v>0</v>
      </c>
      <c r="V702" s="13" t="str">
        <f t="shared" si="242"/>
        <v>-</v>
      </c>
      <c r="W702" s="5"/>
      <c r="X702" s="27" t="b">
        <f>IF($G702&lt;&gt;0,SUMIF(куб!$G:$G,$G702,куб!N:N),IF($E702&lt;&gt;0,SUMIF(куб!$E:$E,$E702,куб!N:N),IF($D702&lt;&gt;0,SUMIF(куб!$D:$D,$D702,куб!N:N),IF($C702&lt;&gt;0,SUMIF(куб!$C:$C,$C702,куб!N:N),IF($B702&lt;&gt;0,SUMIF(куб!$B:$B,$B702,куб!N:N))))))</f>
        <v>0</v>
      </c>
      <c r="Y702" s="27" t="b">
        <f>IF($G702&lt;&gt;0,SUMIF(куб!$G:$G,$G702,куб!O:O),IF($E702&lt;&gt;0,SUMIF(куб!$E:$E,$E702,куб!O:O),IF($D702&lt;&gt;0,SUMIF(куб!$D:$D,$D702,куб!O:O),IF($C702&lt;&gt;0,SUMIF(куб!$C:$C,$C702,куб!O:O),IF($B702&lt;&gt;0,SUMIF(куб!$B:$B,$B702,куб!O:O))))))</f>
        <v>0</v>
      </c>
      <c r="Z702" s="13" t="str">
        <f t="shared" si="243"/>
        <v>-</v>
      </c>
      <c r="AA702" s="5"/>
      <c r="AB702" s="33" t="str">
        <f t="shared" si="244"/>
        <v/>
      </c>
      <c r="AC702" s="33" t="str">
        <f t="shared" si="245"/>
        <v/>
      </c>
      <c r="AD702" s="15" t="str">
        <f t="shared" si="246"/>
        <v xml:space="preserve"> </v>
      </c>
      <c r="AE702" s="5"/>
      <c r="AF702" s="27" t="b">
        <f>IF($G702&lt;&gt;0,SUMIF(куб!$G:$G,$G702,куб!R:R),IF($E702&lt;&gt;0,SUMIF(куб!$E:$E,$E702,куб!R:R),IF($D702&lt;&gt;0,SUMIF(куб!$D:$D,$D702,куб!R:R),IF($C702&lt;&gt;0,SUMIF(куб!$C:$C,$C702,куб!R:R),IF($B702&lt;&gt;0,SUMIF(куб!$B:$B,$B702,куб!R:R))))))</f>
        <v>0</v>
      </c>
      <c r="AG702" s="27" t="b">
        <f>IF($G702&lt;&gt;0,SUMIF(куб!$G:$G,$G702,куб!S:S),IF($E702&lt;&gt;0,SUMIF(куб!$E:$E,$E702,куб!S:S),IF($D702&lt;&gt;0,SUMIF(куб!$D:$D,$D702,куб!S:S),IF($C702&lt;&gt;0,SUMIF(куб!$C:$C,$C702,куб!S:S),IF($B702&lt;&gt;0,SUMIF(куб!$B:$B,$B702,куб!S:S))))))</f>
        <v>0</v>
      </c>
      <c r="AH702" s="16" t="str">
        <f t="shared" si="247"/>
        <v>-</v>
      </c>
      <c r="AI702" s="8"/>
      <c r="AJ702" s="27" t="b">
        <f>IF($G702&lt;&gt;0,SUMIF(куб!$G:$G,$G702,куб!T:T),IF($E702&lt;&gt;0,SUMIF(куб!$E:$E,$E702,куб!T:T),IF($D702&lt;&gt;0,SUMIF(куб!$D:$D,$D702,куб!T:T),IF($C702&lt;&gt;0,SUMIF(куб!$C:$C,$C702,куб!T:T),IF($B702&lt;&gt;0,SUMIF(куб!$B:$B,$B702,куб!T:T))))))</f>
        <v>0</v>
      </c>
      <c r="AK702" s="27" t="b">
        <f>IF($G702&lt;&gt;0,SUMIF(куб!$G:$G,$G702,куб!U:U),IF($E702&lt;&gt;0,SUMIF(куб!$E:$E,$E702,куб!U:U),IF($D702&lt;&gt;0,SUMIF(куб!$D:$D,$D702,куб!U:U),IF($C702&lt;&gt;0,SUMIF(куб!$C:$C,$C702,куб!U:U),IF($B702&lt;&gt;0,SUMIF(куб!$B:$B,$B702,куб!U:U))))))</f>
        <v>0</v>
      </c>
      <c r="AL702" s="16" t="str">
        <f t="shared" si="248"/>
        <v>-</v>
      </c>
      <c r="AM702" s="8"/>
      <c r="AN702" s="17" t="str">
        <f t="shared" si="249"/>
        <v xml:space="preserve"> </v>
      </c>
      <c r="AO702" s="17" t="str">
        <f t="shared" si="250"/>
        <v xml:space="preserve"> </v>
      </c>
      <c r="AP702" s="16" t="str">
        <f t="shared" si="251"/>
        <v>-</v>
      </c>
      <c r="AQ702" s="8"/>
      <c r="AR702" s="17" t="str">
        <f t="shared" si="252"/>
        <v>-</v>
      </c>
      <c r="AS702" s="17" t="str">
        <f t="shared" si="253"/>
        <v>-</v>
      </c>
      <c r="AT702" s="13" t="str">
        <f t="shared" si="254"/>
        <v>-</v>
      </c>
      <c r="AU702" s="8"/>
    </row>
    <row r="703" spans="1:47" x14ac:dyDescent="0.25">
      <c r="A703" s="31"/>
      <c r="B703" s="31"/>
      <c r="C703"/>
      <c r="D703" s="31"/>
      <c r="E703"/>
      <c r="F703" s="31"/>
      <c r="G703"/>
      <c r="H703" s="27">
        <f>IF($G703&lt;&gt;0,SUMIF(куб!$G:$G,$G703,куб!H:H),IF($E703&lt;&gt;0,SUMIF(куб!$E:$E,$E703,куб!H:H),IF($D703&lt;&gt;0,SUMIF(куб!$D:$D,$D703,куб!H:H),IF($C703&lt;&gt;0,SUMIF(куб!$C:$C,$C703,куб!H:H),IF($B703&lt;&gt;0,SUMIF(куб!$B:$B,$B703,куб!H:H),IF($G703&lt;&gt;0,SUMIF(куб!$A:$A,$G703,куб!H:H),SUMIF(куб!$A:$A,$G703,куб!H:H)))))))</f>
        <v>0</v>
      </c>
      <c r="I703" s="27">
        <f>IF($G703&lt;&gt;0,SUMIF(куб!$G:$G,$G703,куб!I:I),IF($E703&lt;&gt;0,SUMIF(куб!$E:$E,$E703,куб!I:I),IF($D703&lt;&gt;0,SUMIF(куб!$D:$D,$D703,куб!I:I),IF($C703&lt;&gt;0,SUMIF(куб!$C:$C,$C703,куб!I:I),IF($B703&lt;&gt;0,SUMIF(куб!$B:$B,$B703,куб!I:I),IF($G703&lt;&gt;0,SUMIF(куб!$A:$A,$G703,куб!I:I),SUMIF(куб!$A:$A,$G703,куб!I:I)))))))</f>
        <v>0</v>
      </c>
      <c r="J703" s="19" t="str">
        <f t="shared" si="237"/>
        <v>-</v>
      </c>
      <c r="K703" s="8"/>
      <c r="L703" s="17">
        <f t="shared" si="238"/>
        <v>0</v>
      </c>
      <c r="M703" s="17">
        <f t="shared" si="239"/>
        <v>0</v>
      </c>
      <c r="N703" s="12">
        <f t="shared" si="240"/>
        <v>0</v>
      </c>
      <c r="O703" s="5"/>
      <c r="P703" s="27" t="b">
        <f>IF($G703&lt;&gt;0,SUMIF(куб!$G:$G,$G703,куб!J:J),IF($E703&lt;&gt;0,SUMIF(куб!$E:$E,$E703,куб!J:J),IF($D703&lt;&gt;0,SUMIF(куб!$D:$D,$D703,куб!J:J),IF($C703&lt;&gt;0,SUMIF(куб!$C:$C,$C703,куб!J:J),IF($B703&lt;&gt;0,SUMIF(куб!$B:$B,$B703,куб!J:J))))))</f>
        <v>0</v>
      </c>
      <c r="Q703" s="27" t="b">
        <f>IF($G703&lt;&gt;0,SUMIF(куб!$G:$G,$G703,куб!K:K),IF($E703&lt;&gt;0,SUMIF(куб!$E:$E,$E703,куб!K:K),IF($D703&lt;&gt;0,SUMIF(куб!$D:$D,$D703,куб!K:K),IF($C703&lt;&gt;0,SUMIF(куб!$C:$C,$C703,куб!K:K),IF($B703&lt;&gt;0,SUMIF(куб!$B:$B,$B703,куб!K:K))))))</f>
        <v>0</v>
      </c>
      <c r="R703" s="13" t="str">
        <f t="shared" si="241"/>
        <v>-</v>
      </c>
      <c r="S703" s="5"/>
      <c r="T703" s="27" t="b">
        <f>IF($G703&lt;&gt;0,SUMIF(куб!$G:$G,$G703,куб!L:L),IF($E703&lt;&gt;0,SUMIF(куб!$E:$E,$E703,куб!L:L),IF($D703&lt;&gt;0,SUMIF(куб!$D:$D,$D703,куб!L:L),IF($C703&lt;&gt;0,SUMIF(куб!$C:$C,$C703,куб!L:L),IF($B703&lt;&gt;0,SUMIF(куб!$B:$B,$B703,куб!L:L))))))</f>
        <v>0</v>
      </c>
      <c r="U703" s="27" t="b">
        <f>IF($G703&lt;&gt;0,SUMIF(куб!$G:$G,$G703,куб!M:M),IF($E703&lt;&gt;0,SUMIF(куб!$E:$E,$E703,куб!M:M),IF($D703&lt;&gt;0,SUMIF(куб!$D:$D,$D703,куб!M:M),IF($C703&lt;&gt;0,SUMIF(куб!$C:$C,$C703,куб!M:M),IF($B703&lt;&gt;0,SUMIF(куб!$B:$B,$B703,куб!M:M))))))</f>
        <v>0</v>
      </c>
      <c r="V703" s="13" t="str">
        <f t="shared" si="242"/>
        <v>-</v>
      </c>
      <c r="W703" s="5"/>
      <c r="X703" s="27" t="b">
        <f>IF($G703&lt;&gt;0,SUMIF(куб!$G:$G,$G703,куб!N:N),IF($E703&lt;&gt;0,SUMIF(куб!$E:$E,$E703,куб!N:N),IF($D703&lt;&gt;0,SUMIF(куб!$D:$D,$D703,куб!N:N),IF($C703&lt;&gt;0,SUMIF(куб!$C:$C,$C703,куб!N:N),IF($B703&lt;&gt;0,SUMIF(куб!$B:$B,$B703,куб!N:N))))))</f>
        <v>0</v>
      </c>
      <c r="Y703" s="27" t="b">
        <f>IF($G703&lt;&gt;0,SUMIF(куб!$G:$G,$G703,куб!O:O),IF($E703&lt;&gt;0,SUMIF(куб!$E:$E,$E703,куб!O:O),IF($D703&lt;&gt;0,SUMIF(куб!$D:$D,$D703,куб!O:O),IF($C703&lt;&gt;0,SUMIF(куб!$C:$C,$C703,куб!O:O),IF($B703&lt;&gt;0,SUMIF(куб!$B:$B,$B703,куб!O:O))))))</f>
        <v>0</v>
      </c>
      <c r="Z703" s="13" t="str">
        <f t="shared" si="243"/>
        <v>-</v>
      </c>
      <c r="AA703" s="5"/>
      <c r="AB703" s="33" t="str">
        <f t="shared" si="244"/>
        <v/>
      </c>
      <c r="AC703" s="33" t="str">
        <f t="shared" si="245"/>
        <v/>
      </c>
      <c r="AD703" s="15" t="str">
        <f t="shared" si="246"/>
        <v xml:space="preserve"> </v>
      </c>
      <c r="AE703" s="5"/>
      <c r="AF703" s="27" t="b">
        <f>IF($G703&lt;&gt;0,SUMIF(куб!$G:$G,$G703,куб!R:R),IF($E703&lt;&gt;0,SUMIF(куб!$E:$E,$E703,куб!R:R),IF($D703&lt;&gt;0,SUMIF(куб!$D:$D,$D703,куб!R:R),IF($C703&lt;&gt;0,SUMIF(куб!$C:$C,$C703,куб!R:R),IF($B703&lt;&gt;0,SUMIF(куб!$B:$B,$B703,куб!R:R))))))</f>
        <v>0</v>
      </c>
      <c r="AG703" s="27" t="b">
        <f>IF($G703&lt;&gt;0,SUMIF(куб!$G:$G,$G703,куб!S:S),IF($E703&lt;&gt;0,SUMIF(куб!$E:$E,$E703,куб!S:S),IF($D703&lt;&gt;0,SUMIF(куб!$D:$D,$D703,куб!S:S),IF($C703&lt;&gt;0,SUMIF(куб!$C:$C,$C703,куб!S:S),IF($B703&lt;&gt;0,SUMIF(куб!$B:$B,$B703,куб!S:S))))))</f>
        <v>0</v>
      </c>
      <c r="AH703" s="16" t="str">
        <f t="shared" si="247"/>
        <v>-</v>
      </c>
      <c r="AI703" s="8"/>
      <c r="AJ703" s="27" t="b">
        <f>IF($G703&lt;&gt;0,SUMIF(куб!$G:$G,$G703,куб!T:T),IF($E703&lt;&gt;0,SUMIF(куб!$E:$E,$E703,куб!T:T),IF($D703&lt;&gt;0,SUMIF(куб!$D:$D,$D703,куб!T:T),IF($C703&lt;&gt;0,SUMIF(куб!$C:$C,$C703,куб!T:T),IF($B703&lt;&gt;0,SUMIF(куб!$B:$B,$B703,куб!T:T))))))</f>
        <v>0</v>
      </c>
      <c r="AK703" s="27" t="b">
        <f>IF($G703&lt;&gt;0,SUMIF(куб!$G:$G,$G703,куб!U:U),IF($E703&lt;&gt;0,SUMIF(куб!$E:$E,$E703,куб!U:U),IF($D703&lt;&gt;0,SUMIF(куб!$D:$D,$D703,куб!U:U),IF($C703&lt;&gt;0,SUMIF(куб!$C:$C,$C703,куб!U:U),IF($B703&lt;&gt;0,SUMIF(куб!$B:$B,$B703,куб!U:U))))))</f>
        <v>0</v>
      </c>
      <c r="AL703" s="16" t="str">
        <f t="shared" si="248"/>
        <v>-</v>
      </c>
      <c r="AM703" s="8"/>
      <c r="AN703" s="17" t="str">
        <f t="shared" si="249"/>
        <v xml:space="preserve"> </v>
      </c>
      <c r="AO703" s="17" t="str">
        <f t="shared" si="250"/>
        <v xml:space="preserve"> </v>
      </c>
      <c r="AP703" s="16" t="str">
        <f t="shared" si="251"/>
        <v>-</v>
      </c>
      <c r="AQ703" s="8"/>
      <c r="AR703" s="17" t="str">
        <f t="shared" si="252"/>
        <v>-</v>
      </c>
      <c r="AS703" s="17" t="str">
        <f t="shared" si="253"/>
        <v>-</v>
      </c>
      <c r="AT703" s="13" t="str">
        <f t="shared" si="254"/>
        <v>-</v>
      </c>
      <c r="AU703" s="8"/>
    </row>
    <row r="704" spans="1:47" x14ac:dyDescent="0.25">
      <c r="A704" s="31"/>
      <c r="B704" s="31"/>
      <c r="C704"/>
      <c r="D704" s="31"/>
      <c r="E704"/>
      <c r="F704" s="31"/>
      <c r="G704"/>
      <c r="H704" s="27">
        <f>IF($G704&lt;&gt;0,SUMIF(куб!$G:$G,$G704,куб!H:H),IF($E704&lt;&gt;0,SUMIF(куб!$E:$E,$E704,куб!H:H),IF($D704&lt;&gt;0,SUMIF(куб!$D:$D,$D704,куб!H:H),IF($C704&lt;&gt;0,SUMIF(куб!$C:$C,$C704,куб!H:H),IF($B704&lt;&gt;0,SUMIF(куб!$B:$B,$B704,куб!H:H),IF($G704&lt;&gt;0,SUMIF(куб!$A:$A,$G704,куб!H:H),SUMIF(куб!$A:$A,$G704,куб!H:H)))))))</f>
        <v>0</v>
      </c>
      <c r="I704" s="27">
        <f>IF($G704&lt;&gt;0,SUMIF(куб!$G:$G,$G704,куб!I:I),IF($E704&lt;&gt;0,SUMIF(куб!$E:$E,$E704,куб!I:I),IF($D704&lt;&gt;0,SUMIF(куб!$D:$D,$D704,куб!I:I),IF($C704&lt;&gt;0,SUMIF(куб!$C:$C,$C704,куб!I:I),IF($B704&lt;&gt;0,SUMIF(куб!$B:$B,$B704,куб!I:I),IF($G704&lt;&gt;0,SUMIF(куб!$A:$A,$G704,куб!I:I),SUMIF(куб!$A:$A,$G704,куб!I:I)))))))</f>
        <v>0</v>
      </c>
      <c r="J704" s="19" t="str">
        <f t="shared" si="237"/>
        <v>-</v>
      </c>
      <c r="K704" s="8"/>
      <c r="L704" s="17">
        <f t="shared" si="238"/>
        <v>0</v>
      </c>
      <c r="M704" s="17">
        <f t="shared" si="239"/>
        <v>0</v>
      </c>
      <c r="N704" s="12">
        <f t="shared" si="240"/>
        <v>0</v>
      </c>
      <c r="O704" s="5"/>
      <c r="P704" s="27" t="b">
        <f>IF($G704&lt;&gt;0,SUMIF(куб!$G:$G,$G704,куб!J:J),IF($E704&lt;&gt;0,SUMIF(куб!$E:$E,$E704,куб!J:J),IF($D704&lt;&gt;0,SUMIF(куб!$D:$D,$D704,куб!J:J),IF($C704&lt;&gt;0,SUMIF(куб!$C:$C,$C704,куб!J:J),IF($B704&lt;&gt;0,SUMIF(куб!$B:$B,$B704,куб!J:J))))))</f>
        <v>0</v>
      </c>
      <c r="Q704" s="27" t="b">
        <f>IF($G704&lt;&gt;0,SUMIF(куб!$G:$G,$G704,куб!K:K),IF($E704&lt;&gt;0,SUMIF(куб!$E:$E,$E704,куб!K:K),IF($D704&lt;&gt;0,SUMIF(куб!$D:$D,$D704,куб!K:K),IF($C704&lt;&gt;0,SUMIF(куб!$C:$C,$C704,куб!K:K),IF($B704&lt;&gt;0,SUMIF(куб!$B:$B,$B704,куб!K:K))))))</f>
        <v>0</v>
      </c>
      <c r="R704" s="13" t="str">
        <f t="shared" si="241"/>
        <v>-</v>
      </c>
      <c r="S704" s="5"/>
      <c r="T704" s="27" t="b">
        <f>IF($G704&lt;&gt;0,SUMIF(куб!$G:$G,$G704,куб!L:L),IF($E704&lt;&gt;0,SUMIF(куб!$E:$E,$E704,куб!L:L),IF($D704&lt;&gt;0,SUMIF(куб!$D:$D,$D704,куб!L:L),IF($C704&lt;&gt;0,SUMIF(куб!$C:$C,$C704,куб!L:L),IF($B704&lt;&gt;0,SUMIF(куб!$B:$B,$B704,куб!L:L))))))</f>
        <v>0</v>
      </c>
      <c r="U704" s="27" t="b">
        <f>IF($G704&lt;&gt;0,SUMIF(куб!$G:$G,$G704,куб!M:M),IF($E704&lt;&gt;0,SUMIF(куб!$E:$E,$E704,куб!M:M),IF($D704&lt;&gt;0,SUMIF(куб!$D:$D,$D704,куб!M:M),IF($C704&lt;&gt;0,SUMIF(куб!$C:$C,$C704,куб!M:M),IF($B704&lt;&gt;0,SUMIF(куб!$B:$B,$B704,куб!M:M))))))</f>
        <v>0</v>
      </c>
      <c r="V704" s="13" t="str">
        <f t="shared" si="242"/>
        <v>-</v>
      </c>
      <c r="W704" s="5"/>
      <c r="X704" s="27" t="b">
        <f>IF($G704&lt;&gt;0,SUMIF(куб!$G:$G,$G704,куб!N:N),IF($E704&lt;&gt;0,SUMIF(куб!$E:$E,$E704,куб!N:N),IF($D704&lt;&gt;0,SUMIF(куб!$D:$D,$D704,куб!N:N),IF($C704&lt;&gt;0,SUMIF(куб!$C:$C,$C704,куб!N:N),IF($B704&lt;&gt;0,SUMIF(куб!$B:$B,$B704,куб!N:N))))))</f>
        <v>0</v>
      </c>
      <c r="Y704" s="27" t="b">
        <f>IF($G704&lt;&gt;0,SUMIF(куб!$G:$G,$G704,куб!O:O),IF($E704&lt;&gt;0,SUMIF(куб!$E:$E,$E704,куб!O:O),IF($D704&lt;&gt;0,SUMIF(куб!$D:$D,$D704,куб!O:O),IF($C704&lt;&gt;0,SUMIF(куб!$C:$C,$C704,куб!O:O),IF($B704&lt;&gt;0,SUMIF(куб!$B:$B,$B704,куб!O:O))))))</f>
        <v>0</v>
      </c>
      <c r="Z704" s="13" t="str">
        <f t="shared" si="243"/>
        <v>-</v>
      </c>
      <c r="AA704" s="5"/>
      <c r="AB704" s="33" t="str">
        <f t="shared" si="244"/>
        <v/>
      </c>
      <c r="AC704" s="33" t="str">
        <f t="shared" si="245"/>
        <v/>
      </c>
      <c r="AD704" s="15" t="str">
        <f t="shared" si="246"/>
        <v xml:space="preserve"> </v>
      </c>
      <c r="AE704" s="5"/>
      <c r="AF704" s="27" t="b">
        <f>IF($G704&lt;&gt;0,SUMIF(куб!$G:$G,$G704,куб!R:R),IF($E704&lt;&gt;0,SUMIF(куб!$E:$E,$E704,куб!R:R),IF($D704&lt;&gt;0,SUMIF(куб!$D:$D,$D704,куб!R:R),IF($C704&lt;&gt;0,SUMIF(куб!$C:$C,$C704,куб!R:R),IF($B704&lt;&gt;0,SUMIF(куб!$B:$B,$B704,куб!R:R))))))</f>
        <v>0</v>
      </c>
      <c r="AG704" s="27" t="b">
        <f>IF($G704&lt;&gt;0,SUMIF(куб!$G:$G,$G704,куб!S:S),IF($E704&lt;&gt;0,SUMIF(куб!$E:$E,$E704,куб!S:S),IF($D704&lt;&gt;0,SUMIF(куб!$D:$D,$D704,куб!S:S),IF($C704&lt;&gt;0,SUMIF(куб!$C:$C,$C704,куб!S:S),IF($B704&lt;&gt;0,SUMIF(куб!$B:$B,$B704,куб!S:S))))))</f>
        <v>0</v>
      </c>
      <c r="AH704" s="16" t="str">
        <f t="shared" si="247"/>
        <v>-</v>
      </c>
      <c r="AI704" s="8"/>
      <c r="AJ704" s="27" t="b">
        <f>IF($G704&lt;&gt;0,SUMIF(куб!$G:$G,$G704,куб!T:T),IF($E704&lt;&gt;0,SUMIF(куб!$E:$E,$E704,куб!T:T),IF($D704&lt;&gt;0,SUMIF(куб!$D:$D,$D704,куб!T:T),IF($C704&lt;&gt;0,SUMIF(куб!$C:$C,$C704,куб!T:T),IF($B704&lt;&gt;0,SUMIF(куб!$B:$B,$B704,куб!T:T))))))</f>
        <v>0</v>
      </c>
      <c r="AK704" s="27" t="b">
        <f>IF($G704&lt;&gt;0,SUMIF(куб!$G:$G,$G704,куб!U:U),IF($E704&lt;&gt;0,SUMIF(куб!$E:$E,$E704,куб!U:U),IF($D704&lt;&gt;0,SUMIF(куб!$D:$D,$D704,куб!U:U),IF($C704&lt;&gt;0,SUMIF(куб!$C:$C,$C704,куб!U:U),IF($B704&lt;&gt;0,SUMIF(куб!$B:$B,$B704,куб!U:U))))))</f>
        <v>0</v>
      </c>
      <c r="AL704" s="16" t="str">
        <f t="shared" si="248"/>
        <v>-</v>
      </c>
      <c r="AM704" s="8"/>
      <c r="AN704" s="17" t="str">
        <f t="shared" si="249"/>
        <v xml:space="preserve"> </v>
      </c>
      <c r="AO704" s="17" t="str">
        <f t="shared" si="250"/>
        <v xml:space="preserve"> </v>
      </c>
      <c r="AP704" s="16" t="str">
        <f t="shared" si="251"/>
        <v>-</v>
      </c>
      <c r="AQ704" s="8"/>
      <c r="AR704" s="17" t="str">
        <f t="shared" si="252"/>
        <v>-</v>
      </c>
      <c r="AS704" s="17" t="str">
        <f t="shared" si="253"/>
        <v>-</v>
      </c>
      <c r="AT704" s="13" t="str">
        <f t="shared" si="254"/>
        <v>-</v>
      </c>
      <c r="AU704" s="8"/>
    </row>
    <row r="705" spans="1:47" x14ac:dyDescent="0.25">
      <c r="A705" s="31"/>
      <c r="B705" s="31"/>
      <c r="C705"/>
      <c r="D705" s="31"/>
      <c r="E705"/>
      <c r="F705" s="31"/>
      <c r="G705"/>
      <c r="H705" s="27">
        <f>IF($G705&lt;&gt;0,SUMIF(куб!$G:$G,$G705,куб!H:H),IF($E705&lt;&gt;0,SUMIF(куб!$E:$E,$E705,куб!H:H),IF($D705&lt;&gt;0,SUMIF(куб!$D:$D,$D705,куб!H:H),IF($C705&lt;&gt;0,SUMIF(куб!$C:$C,$C705,куб!H:H),IF($B705&lt;&gt;0,SUMIF(куб!$B:$B,$B705,куб!H:H),IF($G705&lt;&gt;0,SUMIF(куб!$A:$A,$G705,куб!H:H),SUMIF(куб!$A:$A,$G705,куб!H:H)))))))</f>
        <v>0</v>
      </c>
      <c r="I705" s="27">
        <f>IF($G705&lt;&gt;0,SUMIF(куб!$G:$G,$G705,куб!I:I),IF($E705&lt;&gt;0,SUMIF(куб!$E:$E,$E705,куб!I:I),IF($D705&lt;&gt;0,SUMIF(куб!$D:$D,$D705,куб!I:I),IF($C705&lt;&gt;0,SUMIF(куб!$C:$C,$C705,куб!I:I),IF($B705&lt;&gt;0,SUMIF(куб!$B:$B,$B705,куб!I:I),IF($G705&lt;&gt;0,SUMIF(куб!$A:$A,$G705,куб!I:I),SUMIF(куб!$A:$A,$G705,куб!I:I)))))))</f>
        <v>0</v>
      </c>
      <c r="J705" s="19" t="str">
        <f t="shared" si="237"/>
        <v>-</v>
      </c>
      <c r="K705" s="8"/>
      <c r="L705" s="17">
        <f t="shared" si="238"/>
        <v>0</v>
      </c>
      <c r="M705" s="17">
        <f t="shared" si="239"/>
        <v>0</v>
      </c>
      <c r="N705" s="12">
        <f t="shared" si="240"/>
        <v>0</v>
      </c>
      <c r="O705" s="5"/>
      <c r="P705" s="27" t="b">
        <f>IF($G705&lt;&gt;0,SUMIF(куб!$G:$G,$G705,куб!J:J),IF($E705&lt;&gt;0,SUMIF(куб!$E:$E,$E705,куб!J:J),IF($D705&lt;&gt;0,SUMIF(куб!$D:$D,$D705,куб!J:J),IF($C705&lt;&gt;0,SUMIF(куб!$C:$C,$C705,куб!J:J),IF($B705&lt;&gt;0,SUMIF(куб!$B:$B,$B705,куб!J:J))))))</f>
        <v>0</v>
      </c>
      <c r="Q705" s="27" t="b">
        <f>IF($G705&lt;&gt;0,SUMIF(куб!$G:$G,$G705,куб!K:K),IF($E705&lt;&gt;0,SUMIF(куб!$E:$E,$E705,куб!K:K),IF($D705&lt;&gt;0,SUMIF(куб!$D:$D,$D705,куб!K:K),IF($C705&lt;&gt;0,SUMIF(куб!$C:$C,$C705,куб!K:K),IF($B705&lt;&gt;0,SUMIF(куб!$B:$B,$B705,куб!K:K))))))</f>
        <v>0</v>
      </c>
      <c r="R705" s="13" t="str">
        <f t="shared" si="241"/>
        <v>-</v>
      </c>
      <c r="S705" s="5"/>
      <c r="T705" s="27" t="b">
        <f>IF($G705&lt;&gt;0,SUMIF(куб!$G:$G,$G705,куб!L:L),IF($E705&lt;&gt;0,SUMIF(куб!$E:$E,$E705,куб!L:L),IF($D705&lt;&gt;0,SUMIF(куб!$D:$D,$D705,куб!L:L),IF($C705&lt;&gt;0,SUMIF(куб!$C:$C,$C705,куб!L:L),IF($B705&lt;&gt;0,SUMIF(куб!$B:$B,$B705,куб!L:L))))))</f>
        <v>0</v>
      </c>
      <c r="U705" s="27" t="b">
        <f>IF($G705&lt;&gt;0,SUMIF(куб!$G:$G,$G705,куб!M:M),IF($E705&lt;&gt;0,SUMIF(куб!$E:$E,$E705,куб!M:M),IF($D705&lt;&gt;0,SUMIF(куб!$D:$D,$D705,куб!M:M),IF($C705&lt;&gt;0,SUMIF(куб!$C:$C,$C705,куб!M:M),IF($B705&lt;&gt;0,SUMIF(куб!$B:$B,$B705,куб!M:M))))))</f>
        <v>0</v>
      </c>
      <c r="V705" s="13" t="str">
        <f t="shared" si="242"/>
        <v>-</v>
      </c>
      <c r="W705" s="5"/>
      <c r="X705" s="27" t="b">
        <f>IF($G705&lt;&gt;0,SUMIF(куб!$G:$G,$G705,куб!N:N),IF($E705&lt;&gt;0,SUMIF(куб!$E:$E,$E705,куб!N:N),IF($D705&lt;&gt;0,SUMIF(куб!$D:$D,$D705,куб!N:N),IF($C705&lt;&gt;0,SUMIF(куб!$C:$C,$C705,куб!N:N),IF($B705&lt;&gt;0,SUMIF(куб!$B:$B,$B705,куб!N:N))))))</f>
        <v>0</v>
      </c>
      <c r="Y705" s="27" t="b">
        <f>IF($G705&lt;&gt;0,SUMIF(куб!$G:$G,$G705,куб!O:O),IF($E705&lt;&gt;0,SUMIF(куб!$E:$E,$E705,куб!O:O),IF($D705&lt;&gt;0,SUMIF(куб!$D:$D,$D705,куб!O:O),IF($C705&lt;&gt;0,SUMIF(куб!$C:$C,$C705,куб!O:O),IF($B705&lt;&gt;0,SUMIF(куб!$B:$B,$B705,куб!O:O))))))</f>
        <v>0</v>
      </c>
      <c r="Z705" s="13" t="str">
        <f t="shared" si="243"/>
        <v>-</v>
      </c>
      <c r="AA705" s="5"/>
      <c r="AB705" s="33" t="str">
        <f t="shared" si="244"/>
        <v/>
      </c>
      <c r="AC705" s="33" t="str">
        <f t="shared" si="245"/>
        <v/>
      </c>
      <c r="AD705" s="15" t="str">
        <f t="shared" si="246"/>
        <v xml:space="preserve"> </v>
      </c>
      <c r="AE705" s="5"/>
      <c r="AF705" s="27" t="b">
        <f>IF($G705&lt;&gt;0,SUMIF(куб!$G:$G,$G705,куб!R:R),IF($E705&lt;&gt;0,SUMIF(куб!$E:$E,$E705,куб!R:R),IF($D705&lt;&gt;0,SUMIF(куб!$D:$D,$D705,куб!R:R),IF($C705&lt;&gt;0,SUMIF(куб!$C:$C,$C705,куб!R:R),IF($B705&lt;&gt;0,SUMIF(куб!$B:$B,$B705,куб!R:R))))))</f>
        <v>0</v>
      </c>
      <c r="AG705" s="27" t="b">
        <f>IF($G705&lt;&gt;0,SUMIF(куб!$G:$G,$G705,куб!S:S),IF($E705&lt;&gt;0,SUMIF(куб!$E:$E,$E705,куб!S:S),IF($D705&lt;&gt;0,SUMIF(куб!$D:$D,$D705,куб!S:S),IF($C705&lt;&gt;0,SUMIF(куб!$C:$C,$C705,куб!S:S),IF($B705&lt;&gt;0,SUMIF(куб!$B:$B,$B705,куб!S:S))))))</f>
        <v>0</v>
      </c>
      <c r="AH705" s="16" t="str">
        <f t="shared" si="247"/>
        <v>-</v>
      </c>
      <c r="AI705" s="8"/>
      <c r="AJ705" s="27" t="b">
        <f>IF($G705&lt;&gt;0,SUMIF(куб!$G:$G,$G705,куб!T:T),IF($E705&lt;&gt;0,SUMIF(куб!$E:$E,$E705,куб!T:T),IF($D705&lt;&gt;0,SUMIF(куб!$D:$D,$D705,куб!T:T),IF($C705&lt;&gt;0,SUMIF(куб!$C:$C,$C705,куб!T:T),IF($B705&lt;&gt;0,SUMIF(куб!$B:$B,$B705,куб!T:T))))))</f>
        <v>0</v>
      </c>
      <c r="AK705" s="27" t="b">
        <f>IF($G705&lt;&gt;0,SUMIF(куб!$G:$G,$G705,куб!U:U),IF($E705&lt;&gt;0,SUMIF(куб!$E:$E,$E705,куб!U:U),IF($D705&lt;&gt;0,SUMIF(куб!$D:$D,$D705,куб!U:U),IF($C705&lt;&gt;0,SUMIF(куб!$C:$C,$C705,куб!U:U),IF($B705&lt;&gt;0,SUMIF(куб!$B:$B,$B705,куб!U:U))))))</f>
        <v>0</v>
      </c>
      <c r="AL705" s="16" t="str">
        <f t="shared" si="248"/>
        <v>-</v>
      </c>
      <c r="AM705" s="8"/>
      <c r="AN705" s="17" t="str">
        <f t="shared" si="249"/>
        <v xml:space="preserve"> </v>
      </c>
      <c r="AO705" s="17" t="str">
        <f t="shared" si="250"/>
        <v xml:space="preserve"> </v>
      </c>
      <c r="AP705" s="16" t="str">
        <f t="shared" si="251"/>
        <v>-</v>
      </c>
      <c r="AQ705" s="8"/>
      <c r="AR705" s="17" t="str">
        <f t="shared" si="252"/>
        <v>-</v>
      </c>
      <c r="AS705" s="17" t="str">
        <f t="shared" si="253"/>
        <v>-</v>
      </c>
      <c r="AT705" s="13" t="str">
        <f t="shared" si="254"/>
        <v>-</v>
      </c>
      <c r="AU705" s="8"/>
    </row>
    <row r="706" spans="1:47" x14ac:dyDescent="0.25">
      <c r="A706" s="31"/>
      <c r="B706" s="31"/>
      <c r="C706"/>
      <c r="D706" s="31"/>
      <c r="E706"/>
      <c r="F706" s="31"/>
      <c r="G706"/>
      <c r="H706" s="27">
        <f>IF($G706&lt;&gt;0,SUMIF(куб!$G:$G,$G706,куб!H:H),IF($E706&lt;&gt;0,SUMIF(куб!$E:$E,$E706,куб!H:H),IF($D706&lt;&gt;0,SUMIF(куб!$D:$D,$D706,куб!H:H),IF($C706&lt;&gt;0,SUMIF(куб!$C:$C,$C706,куб!H:H),IF($B706&lt;&gt;0,SUMIF(куб!$B:$B,$B706,куб!H:H),IF($G706&lt;&gt;0,SUMIF(куб!$A:$A,$G706,куб!H:H),SUMIF(куб!$A:$A,$G706,куб!H:H)))))))</f>
        <v>0</v>
      </c>
      <c r="I706" s="27">
        <f>IF($G706&lt;&gt;0,SUMIF(куб!$G:$G,$G706,куб!I:I),IF($E706&lt;&gt;0,SUMIF(куб!$E:$E,$E706,куб!I:I),IF($D706&lt;&gt;0,SUMIF(куб!$D:$D,$D706,куб!I:I),IF($C706&lt;&gt;0,SUMIF(куб!$C:$C,$C706,куб!I:I),IF($B706&lt;&gt;0,SUMIF(куб!$B:$B,$B706,куб!I:I),IF($G706&lt;&gt;0,SUMIF(куб!$A:$A,$G706,куб!I:I),SUMIF(куб!$A:$A,$G706,куб!I:I)))))))</f>
        <v>0</v>
      </c>
      <c r="J706" s="19" t="str">
        <f t="shared" si="237"/>
        <v>-</v>
      </c>
      <c r="K706" s="8"/>
      <c r="L706" s="17">
        <f t="shared" si="238"/>
        <v>0</v>
      </c>
      <c r="M706" s="17">
        <f t="shared" si="239"/>
        <v>0</v>
      </c>
      <c r="N706" s="12">
        <f t="shared" si="240"/>
        <v>0</v>
      </c>
      <c r="O706" s="5"/>
      <c r="P706" s="27" t="b">
        <f>IF($G706&lt;&gt;0,SUMIF(куб!$G:$G,$G706,куб!J:J),IF($E706&lt;&gt;0,SUMIF(куб!$E:$E,$E706,куб!J:J),IF($D706&lt;&gt;0,SUMIF(куб!$D:$D,$D706,куб!J:J),IF($C706&lt;&gt;0,SUMIF(куб!$C:$C,$C706,куб!J:J),IF($B706&lt;&gt;0,SUMIF(куб!$B:$B,$B706,куб!J:J))))))</f>
        <v>0</v>
      </c>
      <c r="Q706" s="27" t="b">
        <f>IF($G706&lt;&gt;0,SUMIF(куб!$G:$G,$G706,куб!K:K),IF($E706&lt;&gt;0,SUMIF(куб!$E:$E,$E706,куб!K:K),IF($D706&lt;&gt;0,SUMIF(куб!$D:$D,$D706,куб!K:K),IF($C706&lt;&gt;0,SUMIF(куб!$C:$C,$C706,куб!K:K),IF($B706&lt;&gt;0,SUMIF(куб!$B:$B,$B706,куб!K:K))))))</f>
        <v>0</v>
      </c>
      <c r="R706" s="13" t="str">
        <f t="shared" si="241"/>
        <v>-</v>
      </c>
      <c r="S706" s="5"/>
      <c r="T706" s="27" t="b">
        <f>IF($G706&lt;&gt;0,SUMIF(куб!$G:$G,$G706,куб!L:L),IF($E706&lt;&gt;0,SUMIF(куб!$E:$E,$E706,куб!L:L),IF($D706&lt;&gt;0,SUMIF(куб!$D:$D,$D706,куб!L:L),IF($C706&lt;&gt;0,SUMIF(куб!$C:$C,$C706,куб!L:L),IF($B706&lt;&gt;0,SUMIF(куб!$B:$B,$B706,куб!L:L))))))</f>
        <v>0</v>
      </c>
      <c r="U706" s="27" t="b">
        <f>IF($G706&lt;&gt;0,SUMIF(куб!$G:$G,$G706,куб!M:M),IF($E706&lt;&gt;0,SUMIF(куб!$E:$E,$E706,куб!M:M),IF($D706&lt;&gt;0,SUMIF(куб!$D:$D,$D706,куб!M:M),IF($C706&lt;&gt;0,SUMIF(куб!$C:$C,$C706,куб!M:M),IF($B706&lt;&gt;0,SUMIF(куб!$B:$B,$B706,куб!M:M))))))</f>
        <v>0</v>
      </c>
      <c r="V706" s="13" t="str">
        <f t="shared" si="242"/>
        <v>-</v>
      </c>
      <c r="W706" s="5"/>
      <c r="X706" s="27" t="b">
        <f>IF($G706&lt;&gt;0,SUMIF(куб!$G:$G,$G706,куб!N:N),IF($E706&lt;&gt;0,SUMIF(куб!$E:$E,$E706,куб!N:N),IF($D706&lt;&gt;0,SUMIF(куб!$D:$D,$D706,куб!N:N),IF($C706&lt;&gt;0,SUMIF(куб!$C:$C,$C706,куб!N:N),IF($B706&lt;&gt;0,SUMIF(куб!$B:$B,$B706,куб!N:N))))))</f>
        <v>0</v>
      </c>
      <c r="Y706" s="27" t="b">
        <f>IF($G706&lt;&gt;0,SUMIF(куб!$G:$G,$G706,куб!O:O),IF($E706&lt;&gt;0,SUMIF(куб!$E:$E,$E706,куб!O:O),IF($D706&lt;&gt;0,SUMIF(куб!$D:$D,$D706,куб!O:O),IF($C706&lt;&gt;0,SUMIF(куб!$C:$C,$C706,куб!O:O),IF($B706&lt;&gt;0,SUMIF(куб!$B:$B,$B706,куб!O:O))))))</f>
        <v>0</v>
      </c>
      <c r="Z706" s="13" t="str">
        <f t="shared" si="243"/>
        <v>-</v>
      </c>
      <c r="AA706" s="5"/>
      <c r="AB706" s="33" t="str">
        <f t="shared" si="244"/>
        <v/>
      </c>
      <c r="AC706" s="33" t="str">
        <f t="shared" si="245"/>
        <v/>
      </c>
      <c r="AD706" s="15" t="str">
        <f t="shared" si="246"/>
        <v xml:space="preserve"> </v>
      </c>
      <c r="AE706" s="5"/>
      <c r="AF706" s="27" t="b">
        <f>IF($G706&lt;&gt;0,SUMIF(куб!$G:$G,$G706,куб!R:R),IF($E706&lt;&gt;0,SUMIF(куб!$E:$E,$E706,куб!R:R),IF($D706&lt;&gt;0,SUMIF(куб!$D:$D,$D706,куб!R:R),IF($C706&lt;&gt;0,SUMIF(куб!$C:$C,$C706,куб!R:R),IF($B706&lt;&gt;0,SUMIF(куб!$B:$B,$B706,куб!R:R))))))</f>
        <v>0</v>
      </c>
      <c r="AG706" s="27" t="b">
        <f>IF($G706&lt;&gt;0,SUMIF(куб!$G:$G,$G706,куб!S:S),IF($E706&lt;&gt;0,SUMIF(куб!$E:$E,$E706,куб!S:S),IF($D706&lt;&gt;0,SUMIF(куб!$D:$D,$D706,куб!S:S),IF($C706&lt;&gt;0,SUMIF(куб!$C:$C,$C706,куб!S:S),IF($B706&lt;&gt;0,SUMIF(куб!$B:$B,$B706,куб!S:S))))))</f>
        <v>0</v>
      </c>
      <c r="AH706" s="16" t="str">
        <f t="shared" si="247"/>
        <v>-</v>
      </c>
      <c r="AI706" s="8"/>
      <c r="AJ706" s="27" t="b">
        <f>IF($G706&lt;&gt;0,SUMIF(куб!$G:$G,$G706,куб!T:T),IF($E706&lt;&gt;0,SUMIF(куб!$E:$E,$E706,куб!T:T),IF($D706&lt;&gt;0,SUMIF(куб!$D:$D,$D706,куб!T:T),IF($C706&lt;&gt;0,SUMIF(куб!$C:$C,$C706,куб!T:T),IF($B706&lt;&gt;0,SUMIF(куб!$B:$B,$B706,куб!T:T))))))</f>
        <v>0</v>
      </c>
      <c r="AK706" s="27" t="b">
        <f>IF($G706&lt;&gt;0,SUMIF(куб!$G:$G,$G706,куб!U:U),IF($E706&lt;&gt;0,SUMIF(куб!$E:$E,$E706,куб!U:U),IF($D706&lt;&gt;0,SUMIF(куб!$D:$D,$D706,куб!U:U),IF($C706&lt;&gt;0,SUMIF(куб!$C:$C,$C706,куб!U:U),IF($B706&lt;&gt;0,SUMIF(куб!$B:$B,$B706,куб!U:U))))))</f>
        <v>0</v>
      </c>
      <c r="AL706" s="16" t="str">
        <f t="shared" si="248"/>
        <v>-</v>
      </c>
      <c r="AM706" s="8"/>
      <c r="AN706" s="17" t="str">
        <f t="shared" si="249"/>
        <v xml:space="preserve"> </v>
      </c>
      <c r="AO706" s="17" t="str">
        <f t="shared" si="250"/>
        <v xml:space="preserve"> </v>
      </c>
      <c r="AP706" s="16" t="str">
        <f t="shared" si="251"/>
        <v>-</v>
      </c>
      <c r="AQ706" s="8"/>
      <c r="AR706" s="17" t="str">
        <f t="shared" si="252"/>
        <v>-</v>
      </c>
      <c r="AS706" s="17" t="str">
        <f t="shared" si="253"/>
        <v>-</v>
      </c>
      <c r="AT706" s="13" t="str">
        <f t="shared" si="254"/>
        <v>-</v>
      </c>
      <c r="AU706" s="8"/>
    </row>
    <row r="707" spans="1:47" x14ac:dyDescent="0.25">
      <c r="A707" s="31"/>
      <c r="B707" s="31"/>
      <c r="C707"/>
      <c r="D707" s="31"/>
      <c r="E707"/>
      <c r="F707" s="31"/>
      <c r="G707"/>
      <c r="H707" s="27">
        <f>IF($G707&lt;&gt;0,SUMIF(куб!$G:$G,$G707,куб!H:H),IF($E707&lt;&gt;0,SUMIF(куб!$E:$E,$E707,куб!H:H),IF($D707&lt;&gt;0,SUMIF(куб!$D:$D,$D707,куб!H:H),IF($C707&lt;&gt;0,SUMIF(куб!$C:$C,$C707,куб!H:H),IF($B707&lt;&gt;0,SUMIF(куб!$B:$B,$B707,куб!H:H),IF($G707&lt;&gt;0,SUMIF(куб!$A:$A,$G707,куб!H:H),SUMIF(куб!$A:$A,$G707,куб!H:H)))))))</f>
        <v>0</v>
      </c>
      <c r="I707" s="27">
        <f>IF($G707&lt;&gt;0,SUMIF(куб!$G:$G,$G707,куб!I:I),IF($E707&lt;&gt;0,SUMIF(куб!$E:$E,$E707,куб!I:I),IF($D707&lt;&gt;0,SUMIF(куб!$D:$D,$D707,куб!I:I),IF($C707&lt;&gt;0,SUMIF(куб!$C:$C,$C707,куб!I:I),IF($B707&lt;&gt;0,SUMIF(куб!$B:$B,$B707,куб!I:I),IF($G707&lt;&gt;0,SUMIF(куб!$A:$A,$G707,куб!I:I),SUMIF(куб!$A:$A,$G707,куб!I:I)))))))</f>
        <v>0</v>
      </c>
      <c r="J707" s="19" t="str">
        <f t="shared" si="237"/>
        <v>-</v>
      </c>
      <c r="K707" s="8"/>
      <c r="L707" s="17">
        <f t="shared" si="238"/>
        <v>0</v>
      </c>
      <c r="M707" s="17">
        <f t="shared" si="239"/>
        <v>0</v>
      </c>
      <c r="N707" s="12">
        <f t="shared" si="240"/>
        <v>0</v>
      </c>
      <c r="O707" s="5"/>
      <c r="P707" s="27" t="b">
        <f>IF($G707&lt;&gt;0,SUMIF(куб!$G:$G,$G707,куб!J:J),IF($E707&lt;&gt;0,SUMIF(куб!$E:$E,$E707,куб!J:J),IF($D707&lt;&gt;0,SUMIF(куб!$D:$D,$D707,куб!J:J),IF($C707&lt;&gt;0,SUMIF(куб!$C:$C,$C707,куб!J:J),IF($B707&lt;&gt;0,SUMIF(куб!$B:$B,$B707,куб!J:J))))))</f>
        <v>0</v>
      </c>
      <c r="Q707" s="27" t="b">
        <f>IF($G707&lt;&gt;0,SUMIF(куб!$G:$G,$G707,куб!K:K),IF($E707&lt;&gt;0,SUMIF(куб!$E:$E,$E707,куб!K:K),IF($D707&lt;&gt;0,SUMIF(куб!$D:$D,$D707,куб!K:K),IF($C707&lt;&gt;0,SUMIF(куб!$C:$C,$C707,куб!K:K),IF($B707&lt;&gt;0,SUMIF(куб!$B:$B,$B707,куб!K:K))))))</f>
        <v>0</v>
      </c>
      <c r="R707" s="13" t="str">
        <f t="shared" si="241"/>
        <v>-</v>
      </c>
      <c r="S707" s="5"/>
      <c r="T707" s="27" t="b">
        <f>IF($G707&lt;&gt;0,SUMIF(куб!$G:$G,$G707,куб!L:L),IF($E707&lt;&gt;0,SUMIF(куб!$E:$E,$E707,куб!L:L),IF($D707&lt;&gt;0,SUMIF(куб!$D:$D,$D707,куб!L:L),IF($C707&lt;&gt;0,SUMIF(куб!$C:$C,$C707,куб!L:L),IF($B707&lt;&gt;0,SUMIF(куб!$B:$B,$B707,куб!L:L))))))</f>
        <v>0</v>
      </c>
      <c r="U707" s="27" t="b">
        <f>IF($G707&lt;&gt;0,SUMIF(куб!$G:$G,$G707,куб!M:M),IF($E707&lt;&gt;0,SUMIF(куб!$E:$E,$E707,куб!M:M),IF($D707&lt;&gt;0,SUMIF(куб!$D:$D,$D707,куб!M:M),IF($C707&lt;&gt;0,SUMIF(куб!$C:$C,$C707,куб!M:M),IF($B707&lt;&gt;0,SUMIF(куб!$B:$B,$B707,куб!M:M))))))</f>
        <v>0</v>
      </c>
      <c r="V707" s="13" t="str">
        <f t="shared" si="242"/>
        <v>-</v>
      </c>
      <c r="W707" s="5"/>
      <c r="X707" s="27" t="b">
        <f>IF($G707&lt;&gt;0,SUMIF(куб!$G:$G,$G707,куб!N:N),IF($E707&lt;&gt;0,SUMIF(куб!$E:$E,$E707,куб!N:N),IF($D707&lt;&gt;0,SUMIF(куб!$D:$D,$D707,куб!N:N),IF($C707&lt;&gt;0,SUMIF(куб!$C:$C,$C707,куб!N:N),IF($B707&lt;&gt;0,SUMIF(куб!$B:$B,$B707,куб!N:N))))))</f>
        <v>0</v>
      </c>
      <c r="Y707" s="27" t="b">
        <f>IF($G707&lt;&gt;0,SUMIF(куб!$G:$G,$G707,куб!O:O),IF($E707&lt;&gt;0,SUMIF(куб!$E:$E,$E707,куб!O:O),IF($D707&lt;&gt;0,SUMIF(куб!$D:$D,$D707,куб!O:O),IF($C707&lt;&gt;0,SUMIF(куб!$C:$C,$C707,куб!O:O),IF($B707&lt;&gt;0,SUMIF(куб!$B:$B,$B707,куб!O:O))))))</f>
        <v>0</v>
      </c>
      <c r="Z707" s="13" t="str">
        <f t="shared" si="243"/>
        <v>-</v>
      </c>
      <c r="AA707" s="5"/>
      <c r="AB707" s="33" t="str">
        <f t="shared" si="244"/>
        <v/>
      </c>
      <c r="AC707" s="33" t="str">
        <f t="shared" si="245"/>
        <v/>
      </c>
      <c r="AD707" s="15" t="str">
        <f t="shared" si="246"/>
        <v xml:space="preserve"> </v>
      </c>
      <c r="AE707" s="5"/>
      <c r="AF707" s="27" t="b">
        <f>IF($G707&lt;&gt;0,SUMIF(куб!$G:$G,$G707,куб!R:R),IF($E707&lt;&gt;0,SUMIF(куб!$E:$E,$E707,куб!R:R),IF($D707&lt;&gt;0,SUMIF(куб!$D:$D,$D707,куб!R:R),IF($C707&lt;&gt;0,SUMIF(куб!$C:$C,$C707,куб!R:R),IF($B707&lt;&gt;0,SUMIF(куб!$B:$B,$B707,куб!R:R))))))</f>
        <v>0</v>
      </c>
      <c r="AG707" s="27" t="b">
        <f>IF($G707&lt;&gt;0,SUMIF(куб!$G:$G,$G707,куб!S:S),IF($E707&lt;&gt;0,SUMIF(куб!$E:$E,$E707,куб!S:S),IF($D707&lt;&gt;0,SUMIF(куб!$D:$D,$D707,куб!S:S),IF($C707&lt;&gt;0,SUMIF(куб!$C:$C,$C707,куб!S:S),IF($B707&lt;&gt;0,SUMIF(куб!$B:$B,$B707,куб!S:S))))))</f>
        <v>0</v>
      </c>
      <c r="AH707" s="16" t="str">
        <f t="shared" si="247"/>
        <v>-</v>
      </c>
      <c r="AI707" s="8"/>
      <c r="AJ707" s="27" t="b">
        <f>IF($G707&lt;&gt;0,SUMIF(куб!$G:$G,$G707,куб!T:T),IF($E707&lt;&gt;0,SUMIF(куб!$E:$E,$E707,куб!T:T),IF($D707&lt;&gt;0,SUMIF(куб!$D:$D,$D707,куб!T:T),IF($C707&lt;&gt;0,SUMIF(куб!$C:$C,$C707,куб!T:T),IF($B707&lt;&gt;0,SUMIF(куб!$B:$B,$B707,куб!T:T))))))</f>
        <v>0</v>
      </c>
      <c r="AK707" s="27" t="b">
        <f>IF($G707&lt;&gt;0,SUMIF(куб!$G:$G,$G707,куб!U:U),IF($E707&lt;&gt;0,SUMIF(куб!$E:$E,$E707,куб!U:U),IF($D707&lt;&gt;0,SUMIF(куб!$D:$D,$D707,куб!U:U),IF($C707&lt;&gt;0,SUMIF(куб!$C:$C,$C707,куб!U:U),IF($B707&lt;&gt;0,SUMIF(куб!$B:$B,$B707,куб!U:U))))))</f>
        <v>0</v>
      </c>
      <c r="AL707" s="16" t="str">
        <f t="shared" si="248"/>
        <v>-</v>
      </c>
      <c r="AM707" s="8"/>
      <c r="AN707" s="17" t="str">
        <f t="shared" si="249"/>
        <v xml:space="preserve"> </v>
      </c>
      <c r="AO707" s="17" t="str">
        <f t="shared" si="250"/>
        <v xml:space="preserve"> </v>
      </c>
      <c r="AP707" s="16" t="str">
        <f t="shared" si="251"/>
        <v>-</v>
      </c>
      <c r="AQ707" s="8"/>
      <c r="AR707" s="17" t="str">
        <f t="shared" si="252"/>
        <v>-</v>
      </c>
      <c r="AS707" s="17" t="str">
        <f t="shared" si="253"/>
        <v>-</v>
      </c>
      <c r="AT707" s="13" t="str">
        <f t="shared" si="254"/>
        <v>-</v>
      </c>
      <c r="AU707" s="8"/>
    </row>
    <row r="708" spans="1:47" x14ac:dyDescent="0.25">
      <c r="A708" s="31"/>
      <c r="B708" s="31"/>
      <c r="C708"/>
      <c r="D708" s="31"/>
      <c r="E708"/>
      <c r="F708" s="31"/>
      <c r="G708"/>
      <c r="H708" s="27">
        <f>IF($G708&lt;&gt;0,SUMIF(куб!$G:$G,$G708,куб!H:H),IF($E708&lt;&gt;0,SUMIF(куб!$E:$E,$E708,куб!H:H),IF($D708&lt;&gt;0,SUMIF(куб!$D:$D,$D708,куб!H:H),IF($C708&lt;&gt;0,SUMIF(куб!$C:$C,$C708,куб!H:H),IF($B708&lt;&gt;0,SUMIF(куб!$B:$B,$B708,куб!H:H),IF($G708&lt;&gt;0,SUMIF(куб!$A:$A,$G708,куб!H:H),SUMIF(куб!$A:$A,$G708,куб!H:H)))))))</f>
        <v>0</v>
      </c>
      <c r="I708" s="27">
        <f>IF($G708&lt;&gt;0,SUMIF(куб!$G:$G,$G708,куб!I:I),IF($E708&lt;&gt;0,SUMIF(куб!$E:$E,$E708,куб!I:I),IF($D708&lt;&gt;0,SUMIF(куб!$D:$D,$D708,куб!I:I),IF($C708&lt;&gt;0,SUMIF(куб!$C:$C,$C708,куб!I:I),IF($B708&lt;&gt;0,SUMIF(куб!$B:$B,$B708,куб!I:I),IF($G708&lt;&gt;0,SUMIF(куб!$A:$A,$G708,куб!I:I),SUMIF(куб!$A:$A,$G708,куб!I:I)))))))</f>
        <v>0</v>
      </c>
      <c r="J708" s="19" t="str">
        <f t="shared" si="237"/>
        <v>-</v>
      </c>
      <c r="K708" s="8"/>
      <c r="L708" s="17">
        <f t="shared" si="238"/>
        <v>0</v>
      </c>
      <c r="M708" s="17">
        <f t="shared" si="239"/>
        <v>0</v>
      </c>
      <c r="N708" s="12">
        <f t="shared" si="240"/>
        <v>0</v>
      </c>
      <c r="O708" s="5"/>
      <c r="P708" s="27" t="b">
        <f>IF($G708&lt;&gt;0,SUMIF(куб!$G:$G,$G708,куб!J:J),IF($E708&lt;&gt;0,SUMIF(куб!$E:$E,$E708,куб!J:J),IF($D708&lt;&gt;0,SUMIF(куб!$D:$D,$D708,куб!J:J),IF($C708&lt;&gt;0,SUMIF(куб!$C:$C,$C708,куб!J:J),IF($B708&lt;&gt;0,SUMIF(куб!$B:$B,$B708,куб!J:J))))))</f>
        <v>0</v>
      </c>
      <c r="Q708" s="27" t="b">
        <f>IF($G708&lt;&gt;0,SUMIF(куб!$G:$G,$G708,куб!K:K),IF($E708&lt;&gt;0,SUMIF(куб!$E:$E,$E708,куб!K:K),IF($D708&lt;&gt;0,SUMIF(куб!$D:$D,$D708,куб!K:K),IF($C708&lt;&gt;0,SUMIF(куб!$C:$C,$C708,куб!K:K),IF($B708&lt;&gt;0,SUMIF(куб!$B:$B,$B708,куб!K:K))))))</f>
        <v>0</v>
      </c>
      <c r="R708" s="13" t="str">
        <f t="shared" si="241"/>
        <v>-</v>
      </c>
      <c r="S708" s="5"/>
      <c r="T708" s="27" t="b">
        <f>IF($G708&lt;&gt;0,SUMIF(куб!$G:$G,$G708,куб!L:L),IF($E708&lt;&gt;0,SUMIF(куб!$E:$E,$E708,куб!L:L),IF($D708&lt;&gt;0,SUMIF(куб!$D:$D,$D708,куб!L:L),IF($C708&lt;&gt;0,SUMIF(куб!$C:$C,$C708,куб!L:L),IF($B708&lt;&gt;0,SUMIF(куб!$B:$B,$B708,куб!L:L))))))</f>
        <v>0</v>
      </c>
      <c r="U708" s="27" t="b">
        <f>IF($G708&lt;&gt;0,SUMIF(куб!$G:$G,$G708,куб!M:M),IF($E708&lt;&gt;0,SUMIF(куб!$E:$E,$E708,куб!M:M),IF($D708&lt;&gt;0,SUMIF(куб!$D:$D,$D708,куб!M:M),IF($C708&lt;&gt;0,SUMIF(куб!$C:$C,$C708,куб!M:M),IF($B708&lt;&gt;0,SUMIF(куб!$B:$B,$B708,куб!M:M))))))</f>
        <v>0</v>
      </c>
      <c r="V708" s="13" t="str">
        <f t="shared" si="242"/>
        <v>-</v>
      </c>
      <c r="W708" s="5"/>
      <c r="X708" s="27" t="b">
        <f>IF($G708&lt;&gt;0,SUMIF(куб!$G:$G,$G708,куб!N:N),IF($E708&lt;&gt;0,SUMIF(куб!$E:$E,$E708,куб!N:N),IF($D708&lt;&gt;0,SUMIF(куб!$D:$D,$D708,куб!N:N),IF($C708&lt;&gt;0,SUMIF(куб!$C:$C,$C708,куб!N:N),IF($B708&lt;&gt;0,SUMIF(куб!$B:$B,$B708,куб!N:N))))))</f>
        <v>0</v>
      </c>
      <c r="Y708" s="27" t="b">
        <f>IF($G708&lt;&gt;0,SUMIF(куб!$G:$G,$G708,куб!O:O),IF($E708&lt;&gt;0,SUMIF(куб!$E:$E,$E708,куб!O:O),IF($D708&lt;&gt;0,SUMIF(куб!$D:$D,$D708,куб!O:O),IF($C708&lt;&gt;0,SUMIF(куб!$C:$C,$C708,куб!O:O),IF($B708&lt;&gt;0,SUMIF(куб!$B:$B,$B708,куб!O:O))))))</f>
        <v>0</v>
      </c>
      <c r="Z708" s="13" t="str">
        <f t="shared" si="243"/>
        <v>-</v>
      </c>
      <c r="AA708" s="5"/>
      <c r="AB708" s="33" t="str">
        <f t="shared" si="244"/>
        <v/>
      </c>
      <c r="AC708" s="33" t="str">
        <f t="shared" si="245"/>
        <v/>
      </c>
      <c r="AD708" s="15" t="str">
        <f t="shared" si="246"/>
        <v xml:space="preserve"> </v>
      </c>
      <c r="AE708" s="5"/>
      <c r="AF708" s="27" t="b">
        <f>IF($G708&lt;&gt;0,SUMIF(куб!$G:$G,$G708,куб!R:R),IF($E708&lt;&gt;0,SUMIF(куб!$E:$E,$E708,куб!R:R),IF($D708&lt;&gt;0,SUMIF(куб!$D:$D,$D708,куб!R:R),IF($C708&lt;&gt;0,SUMIF(куб!$C:$C,$C708,куб!R:R),IF($B708&lt;&gt;0,SUMIF(куб!$B:$B,$B708,куб!R:R))))))</f>
        <v>0</v>
      </c>
      <c r="AG708" s="27" t="b">
        <f>IF($G708&lt;&gt;0,SUMIF(куб!$G:$G,$G708,куб!S:S),IF($E708&lt;&gt;0,SUMIF(куб!$E:$E,$E708,куб!S:S),IF($D708&lt;&gt;0,SUMIF(куб!$D:$D,$D708,куб!S:S),IF($C708&lt;&gt;0,SUMIF(куб!$C:$C,$C708,куб!S:S),IF($B708&lt;&gt;0,SUMIF(куб!$B:$B,$B708,куб!S:S))))))</f>
        <v>0</v>
      </c>
      <c r="AH708" s="16" t="str">
        <f t="shared" si="247"/>
        <v>-</v>
      </c>
      <c r="AI708" s="8"/>
      <c r="AJ708" s="27" t="b">
        <f>IF($G708&lt;&gt;0,SUMIF(куб!$G:$G,$G708,куб!T:T),IF($E708&lt;&gt;0,SUMIF(куб!$E:$E,$E708,куб!T:T),IF($D708&lt;&gt;0,SUMIF(куб!$D:$D,$D708,куб!T:T),IF($C708&lt;&gt;0,SUMIF(куб!$C:$C,$C708,куб!T:T),IF($B708&lt;&gt;0,SUMIF(куб!$B:$B,$B708,куб!T:T))))))</f>
        <v>0</v>
      </c>
      <c r="AK708" s="27" t="b">
        <f>IF($G708&lt;&gt;0,SUMIF(куб!$G:$G,$G708,куб!U:U),IF($E708&lt;&gt;0,SUMIF(куб!$E:$E,$E708,куб!U:U),IF($D708&lt;&gt;0,SUMIF(куб!$D:$D,$D708,куб!U:U),IF($C708&lt;&gt;0,SUMIF(куб!$C:$C,$C708,куб!U:U),IF($B708&lt;&gt;0,SUMIF(куб!$B:$B,$B708,куб!U:U))))))</f>
        <v>0</v>
      </c>
      <c r="AL708" s="16" t="str">
        <f t="shared" si="248"/>
        <v>-</v>
      </c>
      <c r="AM708" s="8"/>
      <c r="AN708" s="17" t="str">
        <f t="shared" si="249"/>
        <v xml:space="preserve"> </v>
      </c>
      <c r="AO708" s="17" t="str">
        <f t="shared" si="250"/>
        <v xml:space="preserve"> </v>
      </c>
      <c r="AP708" s="16" t="str">
        <f t="shared" si="251"/>
        <v>-</v>
      </c>
      <c r="AQ708" s="8"/>
      <c r="AR708" s="17" t="str">
        <f t="shared" si="252"/>
        <v>-</v>
      </c>
      <c r="AS708" s="17" t="str">
        <f t="shared" si="253"/>
        <v>-</v>
      </c>
      <c r="AT708" s="13" t="str">
        <f t="shared" si="254"/>
        <v>-</v>
      </c>
      <c r="AU708" s="8"/>
    </row>
    <row r="709" spans="1:47" x14ac:dyDescent="0.25">
      <c r="A709" s="31"/>
      <c r="B709" s="31"/>
      <c r="C709"/>
      <c r="D709" s="31"/>
      <c r="E709"/>
      <c r="F709" s="31"/>
      <c r="G709"/>
      <c r="H709" s="27">
        <f>IF($G709&lt;&gt;0,SUMIF(куб!$G:$G,$G709,куб!H:H),IF($E709&lt;&gt;0,SUMIF(куб!$E:$E,$E709,куб!H:H),IF($D709&lt;&gt;0,SUMIF(куб!$D:$D,$D709,куб!H:H),IF($C709&lt;&gt;0,SUMIF(куб!$C:$C,$C709,куб!H:H),IF($B709&lt;&gt;0,SUMIF(куб!$B:$B,$B709,куб!H:H),IF($G709&lt;&gt;0,SUMIF(куб!$A:$A,$G709,куб!H:H),SUMIF(куб!$A:$A,$G709,куб!H:H)))))))</f>
        <v>0</v>
      </c>
      <c r="I709" s="27">
        <f>IF($G709&lt;&gt;0,SUMIF(куб!$G:$G,$G709,куб!I:I),IF($E709&lt;&gt;0,SUMIF(куб!$E:$E,$E709,куб!I:I),IF($D709&lt;&gt;0,SUMIF(куб!$D:$D,$D709,куб!I:I),IF($C709&lt;&gt;0,SUMIF(куб!$C:$C,$C709,куб!I:I),IF($B709&lt;&gt;0,SUMIF(куб!$B:$B,$B709,куб!I:I),IF($G709&lt;&gt;0,SUMIF(куб!$A:$A,$G709,куб!I:I),SUMIF(куб!$A:$A,$G709,куб!I:I)))))))</f>
        <v>0</v>
      </c>
      <c r="J709" s="19" t="str">
        <f t="shared" si="237"/>
        <v>-</v>
      </c>
      <c r="K709" s="8"/>
      <c r="L709" s="17">
        <f t="shared" si="238"/>
        <v>0</v>
      </c>
      <c r="M709" s="17">
        <f t="shared" si="239"/>
        <v>0</v>
      </c>
      <c r="N709" s="12">
        <f t="shared" si="240"/>
        <v>0</v>
      </c>
      <c r="O709" s="5"/>
      <c r="P709" s="27" t="b">
        <f>IF($G709&lt;&gt;0,SUMIF(куб!$G:$G,$G709,куб!J:J),IF($E709&lt;&gt;0,SUMIF(куб!$E:$E,$E709,куб!J:J),IF($D709&lt;&gt;0,SUMIF(куб!$D:$D,$D709,куб!J:J),IF($C709&lt;&gt;0,SUMIF(куб!$C:$C,$C709,куб!J:J),IF($B709&lt;&gt;0,SUMIF(куб!$B:$B,$B709,куб!J:J))))))</f>
        <v>0</v>
      </c>
      <c r="Q709" s="27" t="b">
        <f>IF($G709&lt;&gt;0,SUMIF(куб!$G:$G,$G709,куб!K:K),IF($E709&lt;&gt;0,SUMIF(куб!$E:$E,$E709,куб!K:K),IF($D709&lt;&gt;0,SUMIF(куб!$D:$D,$D709,куб!K:K),IF($C709&lt;&gt;0,SUMIF(куб!$C:$C,$C709,куб!K:K),IF($B709&lt;&gt;0,SUMIF(куб!$B:$B,$B709,куб!K:K))))))</f>
        <v>0</v>
      </c>
      <c r="R709" s="13" t="str">
        <f t="shared" si="241"/>
        <v>-</v>
      </c>
      <c r="S709" s="5"/>
      <c r="T709" s="27" t="b">
        <f>IF($G709&lt;&gt;0,SUMIF(куб!$G:$G,$G709,куб!L:L),IF($E709&lt;&gt;0,SUMIF(куб!$E:$E,$E709,куб!L:L),IF($D709&lt;&gt;0,SUMIF(куб!$D:$D,$D709,куб!L:L),IF($C709&lt;&gt;0,SUMIF(куб!$C:$C,$C709,куб!L:L),IF($B709&lt;&gt;0,SUMIF(куб!$B:$B,$B709,куб!L:L))))))</f>
        <v>0</v>
      </c>
      <c r="U709" s="27" t="b">
        <f>IF($G709&lt;&gt;0,SUMIF(куб!$G:$G,$G709,куб!M:M),IF($E709&lt;&gt;0,SUMIF(куб!$E:$E,$E709,куб!M:M),IF($D709&lt;&gt;0,SUMIF(куб!$D:$D,$D709,куб!M:M),IF($C709&lt;&gt;0,SUMIF(куб!$C:$C,$C709,куб!M:M),IF($B709&lt;&gt;0,SUMIF(куб!$B:$B,$B709,куб!M:M))))))</f>
        <v>0</v>
      </c>
      <c r="V709" s="13" t="str">
        <f t="shared" si="242"/>
        <v>-</v>
      </c>
      <c r="W709" s="5"/>
      <c r="X709" s="27" t="b">
        <f>IF($G709&lt;&gt;0,SUMIF(куб!$G:$G,$G709,куб!N:N),IF($E709&lt;&gt;0,SUMIF(куб!$E:$E,$E709,куб!N:N),IF($D709&lt;&gt;0,SUMIF(куб!$D:$D,$D709,куб!N:N),IF($C709&lt;&gt;0,SUMIF(куб!$C:$C,$C709,куб!N:N),IF($B709&lt;&gt;0,SUMIF(куб!$B:$B,$B709,куб!N:N))))))</f>
        <v>0</v>
      </c>
      <c r="Y709" s="27" t="b">
        <f>IF($G709&lt;&gt;0,SUMIF(куб!$G:$G,$G709,куб!O:O),IF($E709&lt;&gt;0,SUMIF(куб!$E:$E,$E709,куб!O:O),IF($D709&lt;&gt;0,SUMIF(куб!$D:$D,$D709,куб!O:O),IF($C709&lt;&gt;0,SUMIF(куб!$C:$C,$C709,куб!O:O),IF($B709&lt;&gt;0,SUMIF(куб!$B:$B,$B709,куб!O:O))))))</f>
        <v>0</v>
      </c>
      <c r="Z709" s="13" t="str">
        <f t="shared" si="243"/>
        <v>-</v>
      </c>
      <c r="AA709" s="5"/>
      <c r="AB709" s="33" t="str">
        <f t="shared" si="244"/>
        <v/>
      </c>
      <c r="AC709" s="33" t="str">
        <f t="shared" si="245"/>
        <v/>
      </c>
      <c r="AD709" s="15" t="str">
        <f t="shared" si="246"/>
        <v xml:space="preserve"> </v>
      </c>
      <c r="AE709" s="5"/>
      <c r="AF709" s="27" t="b">
        <f>IF($G709&lt;&gt;0,SUMIF(куб!$G:$G,$G709,куб!R:R),IF($E709&lt;&gt;0,SUMIF(куб!$E:$E,$E709,куб!R:R),IF($D709&lt;&gt;0,SUMIF(куб!$D:$D,$D709,куб!R:R),IF($C709&lt;&gt;0,SUMIF(куб!$C:$C,$C709,куб!R:R),IF($B709&lt;&gt;0,SUMIF(куб!$B:$B,$B709,куб!R:R))))))</f>
        <v>0</v>
      </c>
      <c r="AG709" s="27" t="b">
        <f>IF($G709&lt;&gt;0,SUMIF(куб!$G:$G,$G709,куб!S:S),IF($E709&lt;&gt;0,SUMIF(куб!$E:$E,$E709,куб!S:S),IF($D709&lt;&gt;0,SUMIF(куб!$D:$D,$D709,куб!S:S),IF($C709&lt;&gt;0,SUMIF(куб!$C:$C,$C709,куб!S:S),IF($B709&lt;&gt;0,SUMIF(куб!$B:$B,$B709,куб!S:S))))))</f>
        <v>0</v>
      </c>
      <c r="AH709" s="16" t="str">
        <f t="shared" si="247"/>
        <v>-</v>
      </c>
      <c r="AI709" s="8"/>
      <c r="AJ709" s="27" t="b">
        <f>IF($G709&lt;&gt;0,SUMIF(куб!$G:$G,$G709,куб!T:T),IF($E709&lt;&gt;0,SUMIF(куб!$E:$E,$E709,куб!T:T),IF($D709&lt;&gt;0,SUMIF(куб!$D:$D,$D709,куб!T:T),IF($C709&lt;&gt;0,SUMIF(куб!$C:$C,$C709,куб!T:T),IF($B709&lt;&gt;0,SUMIF(куб!$B:$B,$B709,куб!T:T))))))</f>
        <v>0</v>
      </c>
      <c r="AK709" s="27" t="b">
        <f>IF($G709&lt;&gt;0,SUMIF(куб!$G:$G,$G709,куб!U:U),IF($E709&lt;&gt;0,SUMIF(куб!$E:$E,$E709,куб!U:U),IF($D709&lt;&gt;0,SUMIF(куб!$D:$D,$D709,куб!U:U),IF($C709&lt;&gt;0,SUMIF(куб!$C:$C,$C709,куб!U:U),IF($B709&lt;&gt;0,SUMIF(куб!$B:$B,$B709,куб!U:U))))))</f>
        <v>0</v>
      </c>
      <c r="AL709" s="16" t="str">
        <f t="shared" si="248"/>
        <v>-</v>
      </c>
      <c r="AM709" s="8"/>
      <c r="AN709" s="17" t="str">
        <f t="shared" si="249"/>
        <v xml:space="preserve"> </v>
      </c>
      <c r="AO709" s="17" t="str">
        <f t="shared" si="250"/>
        <v xml:space="preserve"> </v>
      </c>
      <c r="AP709" s="16" t="str">
        <f t="shared" si="251"/>
        <v>-</v>
      </c>
      <c r="AQ709" s="8"/>
      <c r="AR709" s="17" t="str">
        <f t="shared" si="252"/>
        <v>-</v>
      </c>
      <c r="AS709" s="17" t="str">
        <f t="shared" si="253"/>
        <v>-</v>
      </c>
      <c r="AT709" s="13" t="str">
        <f t="shared" si="254"/>
        <v>-</v>
      </c>
      <c r="AU709" s="8"/>
    </row>
    <row r="710" spans="1:47" x14ac:dyDescent="0.25">
      <c r="A710" s="31"/>
      <c r="B710" s="31"/>
      <c r="C710"/>
      <c r="D710" s="31"/>
      <c r="E710"/>
      <c r="F710" s="31"/>
      <c r="G710"/>
      <c r="H710" s="27">
        <f>IF($G710&lt;&gt;0,SUMIF(куб!$G:$G,$G710,куб!H:H),IF($E710&lt;&gt;0,SUMIF(куб!$E:$E,$E710,куб!H:H),IF($D710&lt;&gt;0,SUMIF(куб!$D:$D,$D710,куб!H:H),IF($C710&lt;&gt;0,SUMIF(куб!$C:$C,$C710,куб!H:H),IF($B710&lt;&gt;0,SUMIF(куб!$B:$B,$B710,куб!H:H),IF($G710&lt;&gt;0,SUMIF(куб!$A:$A,$G710,куб!H:H),SUMIF(куб!$A:$A,$G710,куб!H:H)))))))</f>
        <v>0</v>
      </c>
      <c r="I710" s="27">
        <f>IF($G710&lt;&gt;0,SUMIF(куб!$G:$G,$G710,куб!I:I),IF($E710&lt;&gt;0,SUMIF(куб!$E:$E,$E710,куб!I:I),IF($D710&lt;&gt;0,SUMIF(куб!$D:$D,$D710,куб!I:I),IF($C710&lt;&gt;0,SUMIF(куб!$C:$C,$C710,куб!I:I),IF($B710&lt;&gt;0,SUMIF(куб!$B:$B,$B710,куб!I:I),IF($G710&lt;&gt;0,SUMIF(куб!$A:$A,$G710,куб!I:I),SUMIF(куб!$A:$A,$G710,куб!I:I)))))))</f>
        <v>0</v>
      </c>
      <c r="J710" s="19" t="str">
        <f t="shared" si="237"/>
        <v>-</v>
      </c>
      <c r="K710" s="8"/>
      <c r="L710" s="17">
        <f t="shared" si="238"/>
        <v>0</v>
      </c>
      <c r="M710" s="17">
        <f t="shared" si="239"/>
        <v>0</v>
      </c>
      <c r="N710" s="12">
        <f t="shared" si="240"/>
        <v>0</v>
      </c>
      <c r="O710" s="5"/>
      <c r="P710" s="27" t="b">
        <f>IF($G710&lt;&gt;0,SUMIF(куб!$G:$G,$G710,куб!J:J),IF($E710&lt;&gt;0,SUMIF(куб!$E:$E,$E710,куб!J:J),IF($D710&lt;&gt;0,SUMIF(куб!$D:$D,$D710,куб!J:J),IF($C710&lt;&gt;0,SUMIF(куб!$C:$C,$C710,куб!J:J),IF($B710&lt;&gt;0,SUMIF(куб!$B:$B,$B710,куб!J:J))))))</f>
        <v>0</v>
      </c>
      <c r="Q710" s="27" t="b">
        <f>IF($G710&lt;&gt;0,SUMIF(куб!$G:$G,$G710,куб!K:K),IF($E710&lt;&gt;0,SUMIF(куб!$E:$E,$E710,куб!K:K),IF($D710&lt;&gt;0,SUMIF(куб!$D:$D,$D710,куб!K:K),IF($C710&lt;&gt;0,SUMIF(куб!$C:$C,$C710,куб!K:K),IF($B710&lt;&gt;0,SUMIF(куб!$B:$B,$B710,куб!K:K))))))</f>
        <v>0</v>
      </c>
      <c r="R710" s="13" t="str">
        <f t="shared" si="241"/>
        <v>-</v>
      </c>
      <c r="S710" s="5"/>
      <c r="T710" s="27" t="b">
        <f>IF($G710&lt;&gt;0,SUMIF(куб!$G:$G,$G710,куб!L:L),IF($E710&lt;&gt;0,SUMIF(куб!$E:$E,$E710,куб!L:L),IF($D710&lt;&gt;0,SUMIF(куб!$D:$D,$D710,куб!L:L),IF($C710&lt;&gt;0,SUMIF(куб!$C:$C,$C710,куб!L:L),IF($B710&lt;&gt;0,SUMIF(куб!$B:$B,$B710,куб!L:L))))))</f>
        <v>0</v>
      </c>
      <c r="U710" s="27" t="b">
        <f>IF($G710&lt;&gt;0,SUMIF(куб!$G:$G,$G710,куб!M:M),IF($E710&lt;&gt;0,SUMIF(куб!$E:$E,$E710,куб!M:M),IF($D710&lt;&gt;0,SUMIF(куб!$D:$D,$D710,куб!M:M),IF($C710&lt;&gt;0,SUMIF(куб!$C:$C,$C710,куб!M:M),IF($B710&lt;&gt;0,SUMIF(куб!$B:$B,$B710,куб!M:M))))))</f>
        <v>0</v>
      </c>
      <c r="V710" s="13" t="str">
        <f t="shared" si="242"/>
        <v>-</v>
      </c>
      <c r="W710" s="5"/>
      <c r="X710" s="27" t="b">
        <f>IF($G710&lt;&gt;0,SUMIF(куб!$G:$G,$G710,куб!N:N),IF($E710&lt;&gt;0,SUMIF(куб!$E:$E,$E710,куб!N:N),IF($D710&lt;&gt;0,SUMIF(куб!$D:$D,$D710,куб!N:N),IF($C710&lt;&gt;0,SUMIF(куб!$C:$C,$C710,куб!N:N),IF($B710&lt;&gt;0,SUMIF(куб!$B:$B,$B710,куб!N:N))))))</f>
        <v>0</v>
      </c>
      <c r="Y710" s="27" t="b">
        <f>IF($G710&lt;&gt;0,SUMIF(куб!$G:$G,$G710,куб!O:O),IF($E710&lt;&gt;0,SUMIF(куб!$E:$E,$E710,куб!O:O),IF($D710&lt;&gt;0,SUMIF(куб!$D:$D,$D710,куб!O:O),IF($C710&lt;&gt;0,SUMIF(куб!$C:$C,$C710,куб!O:O),IF($B710&lt;&gt;0,SUMIF(куб!$B:$B,$B710,куб!O:O))))))</f>
        <v>0</v>
      </c>
      <c r="Z710" s="13" t="str">
        <f t="shared" si="243"/>
        <v>-</v>
      </c>
      <c r="AA710" s="5"/>
      <c r="AB710" s="33" t="str">
        <f t="shared" si="244"/>
        <v/>
      </c>
      <c r="AC710" s="33" t="str">
        <f t="shared" si="245"/>
        <v/>
      </c>
      <c r="AD710" s="15" t="str">
        <f t="shared" si="246"/>
        <v xml:space="preserve"> </v>
      </c>
      <c r="AE710" s="5"/>
      <c r="AF710" s="27" t="b">
        <f>IF($G710&lt;&gt;0,SUMIF(куб!$G:$G,$G710,куб!R:R),IF($E710&lt;&gt;0,SUMIF(куб!$E:$E,$E710,куб!R:R),IF($D710&lt;&gt;0,SUMIF(куб!$D:$D,$D710,куб!R:R),IF($C710&lt;&gt;0,SUMIF(куб!$C:$C,$C710,куб!R:R),IF($B710&lt;&gt;0,SUMIF(куб!$B:$B,$B710,куб!R:R))))))</f>
        <v>0</v>
      </c>
      <c r="AG710" s="27" t="b">
        <f>IF($G710&lt;&gt;0,SUMIF(куб!$G:$G,$G710,куб!S:S),IF($E710&lt;&gt;0,SUMIF(куб!$E:$E,$E710,куб!S:S),IF($D710&lt;&gt;0,SUMIF(куб!$D:$D,$D710,куб!S:S),IF($C710&lt;&gt;0,SUMIF(куб!$C:$C,$C710,куб!S:S),IF($B710&lt;&gt;0,SUMIF(куб!$B:$B,$B710,куб!S:S))))))</f>
        <v>0</v>
      </c>
      <c r="AH710" s="16" t="str">
        <f t="shared" si="247"/>
        <v>-</v>
      </c>
      <c r="AI710" s="8"/>
      <c r="AJ710" s="27" t="b">
        <f>IF($G710&lt;&gt;0,SUMIF(куб!$G:$G,$G710,куб!T:T),IF($E710&lt;&gt;0,SUMIF(куб!$E:$E,$E710,куб!T:T),IF($D710&lt;&gt;0,SUMIF(куб!$D:$D,$D710,куб!T:T),IF($C710&lt;&gt;0,SUMIF(куб!$C:$C,$C710,куб!T:T),IF($B710&lt;&gt;0,SUMIF(куб!$B:$B,$B710,куб!T:T))))))</f>
        <v>0</v>
      </c>
      <c r="AK710" s="27" t="b">
        <f>IF($G710&lt;&gt;0,SUMIF(куб!$G:$G,$G710,куб!U:U),IF($E710&lt;&gt;0,SUMIF(куб!$E:$E,$E710,куб!U:U),IF($D710&lt;&gt;0,SUMIF(куб!$D:$D,$D710,куб!U:U),IF($C710&lt;&gt;0,SUMIF(куб!$C:$C,$C710,куб!U:U),IF($B710&lt;&gt;0,SUMIF(куб!$B:$B,$B710,куб!U:U))))))</f>
        <v>0</v>
      </c>
      <c r="AL710" s="16" t="str">
        <f t="shared" si="248"/>
        <v>-</v>
      </c>
      <c r="AM710" s="8"/>
      <c r="AN710" s="17" t="str">
        <f t="shared" si="249"/>
        <v xml:space="preserve"> </v>
      </c>
      <c r="AO710" s="17" t="str">
        <f t="shared" si="250"/>
        <v xml:space="preserve"> </v>
      </c>
      <c r="AP710" s="16" t="str">
        <f t="shared" si="251"/>
        <v>-</v>
      </c>
      <c r="AQ710" s="8"/>
      <c r="AR710" s="17" t="str">
        <f t="shared" si="252"/>
        <v>-</v>
      </c>
      <c r="AS710" s="17" t="str">
        <f t="shared" si="253"/>
        <v>-</v>
      </c>
      <c r="AT710" s="13" t="str">
        <f t="shared" si="254"/>
        <v>-</v>
      </c>
      <c r="AU710" s="8"/>
    </row>
    <row r="711" spans="1:47" x14ac:dyDescent="0.25">
      <c r="A711" s="31"/>
      <c r="B711" s="31"/>
      <c r="C711"/>
      <c r="D711" s="31"/>
      <c r="E711"/>
      <c r="F711" s="31"/>
      <c r="G711"/>
      <c r="H711" s="27">
        <f>IF($G711&lt;&gt;0,SUMIF(куб!$G:$G,$G711,куб!H:H),IF($E711&lt;&gt;0,SUMIF(куб!$E:$E,$E711,куб!H:H),IF($D711&lt;&gt;0,SUMIF(куб!$D:$D,$D711,куб!H:H),IF($C711&lt;&gt;0,SUMIF(куб!$C:$C,$C711,куб!H:H),IF($B711&lt;&gt;0,SUMIF(куб!$B:$B,$B711,куб!H:H),IF($G711&lt;&gt;0,SUMIF(куб!$A:$A,$G711,куб!H:H),SUMIF(куб!$A:$A,$G711,куб!H:H)))))))</f>
        <v>0</v>
      </c>
      <c r="I711" s="27">
        <f>IF($G711&lt;&gt;0,SUMIF(куб!$G:$G,$G711,куб!I:I),IF($E711&lt;&gt;0,SUMIF(куб!$E:$E,$E711,куб!I:I),IF($D711&lt;&gt;0,SUMIF(куб!$D:$D,$D711,куб!I:I),IF($C711&lt;&gt;0,SUMIF(куб!$C:$C,$C711,куб!I:I),IF($B711&lt;&gt;0,SUMIF(куб!$B:$B,$B711,куб!I:I),IF($G711&lt;&gt;0,SUMIF(куб!$A:$A,$G711,куб!I:I),SUMIF(куб!$A:$A,$G711,куб!I:I)))))))</f>
        <v>0</v>
      </c>
      <c r="J711" s="19" t="str">
        <f t="shared" si="237"/>
        <v>-</v>
      </c>
      <c r="K711" s="8"/>
      <c r="L711" s="17">
        <f t="shared" si="238"/>
        <v>0</v>
      </c>
      <c r="M711" s="17">
        <f t="shared" si="239"/>
        <v>0</v>
      </c>
      <c r="N711" s="12">
        <f t="shared" si="240"/>
        <v>0</v>
      </c>
      <c r="O711" s="5"/>
      <c r="P711" s="27" t="b">
        <f>IF($G711&lt;&gt;0,SUMIF(куб!$G:$G,$G711,куб!J:J),IF($E711&lt;&gt;0,SUMIF(куб!$E:$E,$E711,куб!J:J),IF($D711&lt;&gt;0,SUMIF(куб!$D:$D,$D711,куб!J:J),IF($C711&lt;&gt;0,SUMIF(куб!$C:$C,$C711,куб!J:J),IF($B711&lt;&gt;0,SUMIF(куб!$B:$B,$B711,куб!J:J))))))</f>
        <v>0</v>
      </c>
      <c r="Q711" s="27" t="b">
        <f>IF($G711&lt;&gt;0,SUMIF(куб!$G:$G,$G711,куб!K:K),IF($E711&lt;&gt;0,SUMIF(куб!$E:$E,$E711,куб!K:K),IF($D711&lt;&gt;0,SUMIF(куб!$D:$D,$D711,куб!K:K),IF($C711&lt;&gt;0,SUMIF(куб!$C:$C,$C711,куб!K:K),IF($B711&lt;&gt;0,SUMIF(куб!$B:$B,$B711,куб!K:K))))))</f>
        <v>0</v>
      </c>
      <c r="R711" s="13" t="str">
        <f t="shared" si="241"/>
        <v>-</v>
      </c>
      <c r="S711" s="5"/>
      <c r="T711" s="27" t="b">
        <f>IF($G711&lt;&gt;0,SUMIF(куб!$G:$G,$G711,куб!L:L),IF($E711&lt;&gt;0,SUMIF(куб!$E:$E,$E711,куб!L:L),IF($D711&lt;&gt;0,SUMIF(куб!$D:$D,$D711,куб!L:L),IF($C711&lt;&gt;0,SUMIF(куб!$C:$C,$C711,куб!L:L),IF($B711&lt;&gt;0,SUMIF(куб!$B:$B,$B711,куб!L:L))))))</f>
        <v>0</v>
      </c>
      <c r="U711" s="27" t="b">
        <f>IF($G711&lt;&gt;0,SUMIF(куб!$G:$G,$G711,куб!M:M),IF($E711&lt;&gt;0,SUMIF(куб!$E:$E,$E711,куб!M:M),IF($D711&lt;&gt;0,SUMIF(куб!$D:$D,$D711,куб!M:M),IF($C711&lt;&gt;0,SUMIF(куб!$C:$C,$C711,куб!M:M),IF($B711&lt;&gt;0,SUMIF(куб!$B:$B,$B711,куб!M:M))))))</f>
        <v>0</v>
      </c>
      <c r="V711" s="13" t="str">
        <f t="shared" si="242"/>
        <v>-</v>
      </c>
      <c r="W711" s="5"/>
      <c r="X711" s="27" t="b">
        <f>IF($G711&lt;&gt;0,SUMIF(куб!$G:$G,$G711,куб!N:N),IF($E711&lt;&gt;0,SUMIF(куб!$E:$E,$E711,куб!N:N),IF($D711&lt;&gt;0,SUMIF(куб!$D:$D,$D711,куб!N:N),IF($C711&lt;&gt;0,SUMIF(куб!$C:$C,$C711,куб!N:N),IF($B711&lt;&gt;0,SUMIF(куб!$B:$B,$B711,куб!N:N))))))</f>
        <v>0</v>
      </c>
      <c r="Y711" s="27" t="b">
        <f>IF($G711&lt;&gt;0,SUMIF(куб!$G:$G,$G711,куб!O:O),IF($E711&lt;&gt;0,SUMIF(куб!$E:$E,$E711,куб!O:O),IF($D711&lt;&gt;0,SUMIF(куб!$D:$D,$D711,куб!O:O),IF($C711&lt;&gt;0,SUMIF(куб!$C:$C,$C711,куб!O:O),IF($B711&lt;&gt;0,SUMIF(куб!$B:$B,$B711,куб!O:O))))))</f>
        <v>0</v>
      </c>
      <c r="Z711" s="13" t="str">
        <f t="shared" si="243"/>
        <v>-</v>
      </c>
      <c r="AA711" s="5"/>
      <c r="AB711" s="33" t="str">
        <f t="shared" si="244"/>
        <v/>
      </c>
      <c r="AC711" s="33" t="str">
        <f t="shared" si="245"/>
        <v/>
      </c>
      <c r="AD711" s="15" t="str">
        <f t="shared" si="246"/>
        <v xml:space="preserve"> </v>
      </c>
      <c r="AE711" s="5"/>
      <c r="AF711" s="27" t="b">
        <f>IF($G711&lt;&gt;0,SUMIF(куб!$G:$G,$G711,куб!R:R),IF($E711&lt;&gt;0,SUMIF(куб!$E:$E,$E711,куб!R:R),IF($D711&lt;&gt;0,SUMIF(куб!$D:$D,$D711,куб!R:R),IF($C711&lt;&gt;0,SUMIF(куб!$C:$C,$C711,куб!R:R),IF($B711&lt;&gt;0,SUMIF(куб!$B:$B,$B711,куб!R:R))))))</f>
        <v>0</v>
      </c>
      <c r="AG711" s="27" t="b">
        <f>IF($G711&lt;&gt;0,SUMIF(куб!$G:$G,$G711,куб!S:S),IF($E711&lt;&gt;0,SUMIF(куб!$E:$E,$E711,куб!S:S),IF($D711&lt;&gt;0,SUMIF(куб!$D:$D,$D711,куб!S:S),IF($C711&lt;&gt;0,SUMIF(куб!$C:$C,$C711,куб!S:S),IF($B711&lt;&gt;0,SUMIF(куб!$B:$B,$B711,куб!S:S))))))</f>
        <v>0</v>
      </c>
      <c r="AH711" s="16" t="str">
        <f t="shared" si="247"/>
        <v>-</v>
      </c>
      <c r="AI711" s="8"/>
      <c r="AJ711" s="27" t="b">
        <f>IF($G711&lt;&gt;0,SUMIF(куб!$G:$G,$G711,куб!T:T),IF($E711&lt;&gt;0,SUMIF(куб!$E:$E,$E711,куб!T:T),IF($D711&lt;&gt;0,SUMIF(куб!$D:$D,$D711,куб!T:T),IF($C711&lt;&gt;0,SUMIF(куб!$C:$C,$C711,куб!T:T),IF($B711&lt;&gt;0,SUMIF(куб!$B:$B,$B711,куб!T:T))))))</f>
        <v>0</v>
      </c>
      <c r="AK711" s="27" t="b">
        <f>IF($G711&lt;&gt;0,SUMIF(куб!$G:$G,$G711,куб!U:U),IF($E711&lt;&gt;0,SUMIF(куб!$E:$E,$E711,куб!U:U),IF($D711&lt;&gt;0,SUMIF(куб!$D:$D,$D711,куб!U:U),IF($C711&lt;&gt;0,SUMIF(куб!$C:$C,$C711,куб!U:U),IF($B711&lt;&gt;0,SUMIF(куб!$B:$B,$B711,куб!U:U))))))</f>
        <v>0</v>
      </c>
      <c r="AL711" s="16" t="str">
        <f t="shared" si="248"/>
        <v>-</v>
      </c>
      <c r="AM711" s="8"/>
      <c r="AN711" s="17" t="str">
        <f t="shared" si="249"/>
        <v xml:space="preserve"> </v>
      </c>
      <c r="AO711" s="17" t="str">
        <f t="shared" si="250"/>
        <v xml:space="preserve"> </v>
      </c>
      <c r="AP711" s="16" t="str">
        <f t="shared" si="251"/>
        <v>-</v>
      </c>
      <c r="AQ711" s="8"/>
      <c r="AR711" s="17" t="str">
        <f t="shared" si="252"/>
        <v>-</v>
      </c>
      <c r="AS711" s="17" t="str">
        <f t="shared" si="253"/>
        <v>-</v>
      </c>
      <c r="AT711" s="13" t="str">
        <f t="shared" si="254"/>
        <v>-</v>
      </c>
      <c r="AU711" s="8"/>
    </row>
    <row r="712" spans="1:47" x14ac:dyDescent="0.25">
      <c r="A712" s="31"/>
      <c r="B712" s="31"/>
      <c r="C712"/>
      <c r="D712" s="31"/>
      <c r="E712"/>
      <c r="F712" s="31"/>
      <c r="G712"/>
      <c r="H712" s="27">
        <f>IF($G712&lt;&gt;0,SUMIF(куб!$G:$G,$G712,куб!H:H),IF($E712&lt;&gt;0,SUMIF(куб!$E:$E,$E712,куб!H:H),IF($D712&lt;&gt;0,SUMIF(куб!$D:$D,$D712,куб!H:H),IF($C712&lt;&gt;0,SUMIF(куб!$C:$C,$C712,куб!H:H),IF($B712&lt;&gt;0,SUMIF(куб!$B:$B,$B712,куб!H:H),IF($G712&lt;&gt;0,SUMIF(куб!$A:$A,$G712,куб!H:H),SUMIF(куб!$A:$A,$G712,куб!H:H)))))))</f>
        <v>0</v>
      </c>
      <c r="I712" s="27">
        <f>IF($G712&lt;&gt;0,SUMIF(куб!$G:$G,$G712,куб!I:I),IF($E712&lt;&gt;0,SUMIF(куб!$E:$E,$E712,куб!I:I),IF($D712&lt;&gt;0,SUMIF(куб!$D:$D,$D712,куб!I:I),IF($C712&lt;&gt;0,SUMIF(куб!$C:$C,$C712,куб!I:I),IF($B712&lt;&gt;0,SUMIF(куб!$B:$B,$B712,куб!I:I),IF($G712&lt;&gt;0,SUMIF(куб!$A:$A,$G712,куб!I:I),SUMIF(куб!$A:$A,$G712,куб!I:I)))))))</f>
        <v>0</v>
      </c>
      <c r="J712" s="19" t="str">
        <f t="shared" si="237"/>
        <v>-</v>
      </c>
      <c r="K712" s="8"/>
      <c r="L712" s="17">
        <f t="shared" si="238"/>
        <v>0</v>
      </c>
      <c r="M712" s="17">
        <f t="shared" si="239"/>
        <v>0</v>
      </c>
      <c r="N712" s="12">
        <f t="shared" si="240"/>
        <v>0</v>
      </c>
      <c r="O712" s="5"/>
      <c r="P712" s="27" t="b">
        <f>IF($G712&lt;&gt;0,SUMIF(куб!$G:$G,$G712,куб!J:J),IF($E712&lt;&gt;0,SUMIF(куб!$E:$E,$E712,куб!J:J),IF($D712&lt;&gt;0,SUMIF(куб!$D:$D,$D712,куб!J:J),IF($C712&lt;&gt;0,SUMIF(куб!$C:$C,$C712,куб!J:J),IF($B712&lt;&gt;0,SUMIF(куб!$B:$B,$B712,куб!J:J))))))</f>
        <v>0</v>
      </c>
      <c r="Q712" s="27" t="b">
        <f>IF($G712&lt;&gt;0,SUMIF(куб!$G:$G,$G712,куб!K:K),IF($E712&lt;&gt;0,SUMIF(куб!$E:$E,$E712,куб!K:K),IF($D712&lt;&gt;0,SUMIF(куб!$D:$D,$D712,куб!K:K),IF($C712&lt;&gt;0,SUMIF(куб!$C:$C,$C712,куб!K:K),IF($B712&lt;&gt;0,SUMIF(куб!$B:$B,$B712,куб!K:K))))))</f>
        <v>0</v>
      </c>
      <c r="R712" s="13" t="str">
        <f t="shared" si="241"/>
        <v>-</v>
      </c>
      <c r="S712" s="5"/>
      <c r="T712" s="27" t="b">
        <f>IF($G712&lt;&gt;0,SUMIF(куб!$G:$G,$G712,куб!L:L),IF($E712&lt;&gt;0,SUMIF(куб!$E:$E,$E712,куб!L:L),IF($D712&lt;&gt;0,SUMIF(куб!$D:$D,$D712,куб!L:L),IF($C712&lt;&gt;0,SUMIF(куб!$C:$C,$C712,куб!L:L),IF($B712&lt;&gt;0,SUMIF(куб!$B:$B,$B712,куб!L:L))))))</f>
        <v>0</v>
      </c>
      <c r="U712" s="27" t="b">
        <f>IF($G712&lt;&gt;0,SUMIF(куб!$G:$G,$G712,куб!M:M),IF($E712&lt;&gt;0,SUMIF(куб!$E:$E,$E712,куб!M:M),IF($D712&lt;&gt;0,SUMIF(куб!$D:$D,$D712,куб!M:M),IF($C712&lt;&gt;0,SUMIF(куб!$C:$C,$C712,куб!M:M),IF($B712&lt;&gt;0,SUMIF(куб!$B:$B,$B712,куб!M:M))))))</f>
        <v>0</v>
      </c>
      <c r="V712" s="13" t="str">
        <f t="shared" si="242"/>
        <v>-</v>
      </c>
      <c r="W712" s="5"/>
      <c r="X712" s="27" t="b">
        <f>IF($G712&lt;&gt;0,SUMIF(куб!$G:$G,$G712,куб!N:N),IF($E712&lt;&gt;0,SUMIF(куб!$E:$E,$E712,куб!N:N),IF($D712&lt;&gt;0,SUMIF(куб!$D:$D,$D712,куб!N:N),IF($C712&lt;&gt;0,SUMIF(куб!$C:$C,$C712,куб!N:N),IF($B712&lt;&gt;0,SUMIF(куб!$B:$B,$B712,куб!N:N))))))</f>
        <v>0</v>
      </c>
      <c r="Y712" s="27" t="b">
        <f>IF($G712&lt;&gt;0,SUMIF(куб!$G:$G,$G712,куб!O:O),IF($E712&lt;&gt;0,SUMIF(куб!$E:$E,$E712,куб!O:O),IF($D712&lt;&gt;0,SUMIF(куб!$D:$D,$D712,куб!O:O),IF($C712&lt;&gt;0,SUMIF(куб!$C:$C,$C712,куб!O:O),IF($B712&lt;&gt;0,SUMIF(куб!$B:$B,$B712,куб!O:O))))))</f>
        <v>0</v>
      </c>
      <c r="Z712" s="13" t="str">
        <f t="shared" si="243"/>
        <v>-</v>
      </c>
      <c r="AA712" s="5"/>
      <c r="AB712" s="33" t="str">
        <f t="shared" si="244"/>
        <v/>
      </c>
      <c r="AC712" s="33" t="str">
        <f t="shared" si="245"/>
        <v/>
      </c>
      <c r="AD712" s="15" t="str">
        <f t="shared" si="246"/>
        <v xml:space="preserve"> </v>
      </c>
      <c r="AE712" s="5"/>
      <c r="AF712" s="27" t="b">
        <f>IF($G712&lt;&gt;0,SUMIF(куб!$G:$G,$G712,куб!R:R),IF($E712&lt;&gt;0,SUMIF(куб!$E:$E,$E712,куб!R:R),IF($D712&lt;&gt;0,SUMIF(куб!$D:$D,$D712,куб!R:R),IF($C712&lt;&gt;0,SUMIF(куб!$C:$C,$C712,куб!R:R),IF($B712&lt;&gt;0,SUMIF(куб!$B:$B,$B712,куб!R:R))))))</f>
        <v>0</v>
      </c>
      <c r="AG712" s="27" t="b">
        <f>IF($G712&lt;&gt;0,SUMIF(куб!$G:$G,$G712,куб!S:S),IF($E712&lt;&gt;0,SUMIF(куб!$E:$E,$E712,куб!S:S),IF($D712&lt;&gt;0,SUMIF(куб!$D:$D,$D712,куб!S:S),IF($C712&lt;&gt;0,SUMIF(куб!$C:$C,$C712,куб!S:S),IF($B712&lt;&gt;0,SUMIF(куб!$B:$B,$B712,куб!S:S))))))</f>
        <v>0</v>
      </c>
      <c r="AH712" s="16" t="str">
        <f t="shared" si="247"/>
        <v>-</v>
      </c>
      <c r="AI712" s="8"/>
      <c r="AJ712" s="27" t="b">
        <f>IF($G712&lt;&gt;0,SUMIF(куб!$G:$G,$G712,куб!T:T),IF($E712&lt;&gt;0,SUMIF(куб!$E:$E,$E712,куб!T:T),IF($D712&lt;&gt;0,SUMIF(куб!$D:$D,$D712,куб!T:T),IF($C712&lt;&gt;0,SUMIF(куб!$C:$C,$C712,куб!T:T),IF($B712&lt;&gt;0,SUMIF(куб!$B:$B,$B712,куб!T:T))))))</f>
        <v>0</v>
      </c>
      <c r="AK712" s="27" t="b">
        <f>IF($G712&lt;&gt;0,SUMIF(куб!$G:$G,$G712,куб!U:U),IF($E712&lt;&gt;0,SUMIF(куб!$E:$E,$E712,куб!U:U),IF($D712&lt;&gt;0,SUMIF(куб!$D:$D,$D712,куб!U:U),IF($C712&lt;&gt;0,SUMIF(куб!$C:$C,$C712,куб!U:U),IF($B712&lt;&gt;0,SUMIF(куб!$B:$B,$B712,куб!U:U))))))</f>
        <v>0</v>
      </c>
      <c r="AL712" s="16" t="str">
        <f t="shared" si="248"/>
        <v>-</v>
      </c>
      <c r="AM712" s="8"/>
      <c r="AN712" s="17" t="str">
        <f t="shared" si="249"/>
        <v xml:space="preserve"> </v>
      </c>
      <c r="AO712" s="17" t="str">
        <f t="shared" si="250"/>
        <v xml:space="preserve"> </v>
      </c>
      <c r="AP712" s="16" t="str">
        <f t="shared" si="251"/>
        <v>-</v>
      </c>
      <c r="AQ712" s="8"/>
      <c r="AR712" s="17" t="str">
        <f t="shared" si="252"/>
        <v>-</v>
      </c>
      <c r="AS712" s="17" t="str">
        <f t="shared" si="253"/>
        <v>-</v>
      </c>
      <c r="AT712" s="13" t="str">
        <f t="shared" si="254"/>
        <v>-</v>
      </c>
      <c r="AU712" s="8"/>
    </row>
    <row r="713" spans="1:47" x14ac:dyDescent="0.25">
      <c r="A713" s="31"/>
      <c r="B713" s="31"/>
      <c r="C713"/>
      <c r="D713" s="31"/>
      <c r="E713"/>
      <c r="F713"/>
      <c r="G713"/>
      <c r="H713" s="27">
        <f>IF($G713&lt;&gt;0,SUMIF(куб!$G:$G,$G713,куб!H:H),IF($E713&lt;&gt;0,SUMIF(куб!$E:$E,$E713,куб!H:H),IF($D713&lt;&gt;0,SUMIF(куб!$D:$D,$D713,куб!H:H),IF($C713&lt;&gt;0,SUMIF(куб!$C:$C,$C713,куб!H:H),IF($B713&lt;&gt;0,SUMIF(куб!$B:$B,$B713,куб!H:H),IF($G713&lt;&gt;0,SUMIF(куб!$A:$A,$G713,куб!H:H),SUMIF(куб!$A:$A,$G713,куб!H:H)))))))</f>
        <v>0</v>
      </c>
      <c r="I713" s="27">
        <f>IF($G713&lt;&gt;0,SUMIF(куб!$G:$G,$G713,куб!I:I),IF($E713&lt;&gt;0,SUMIF(куб!$E:$E,$E713,куб!I:I),IF($D713&lt;&gt;0,SUMIF(куб!$D:$D,$D713,куб!I:I),IF($C713&lt;&gt;0,SUMIF(куб!$C:$C,$C713,куб!I:I),IF($B713&lt;&gt;0,SUMIF(куб!$B:$B,$B713,куб!I:I),IF($G713&lt;&gt;0,SUMIF(куб!$A:$A,$G713,куб!I:I),SUMIF(куб!$A:$A,$G713,куб!I:I)))))))</f>
        <v>0</v>
      </c>
      <c r="J713" s="19" t="str">
        <f t="shared" si="237"/>
        <v>-</v>
      </c>
      <c r="K713" s="8"/>
      <c r="L713" s="17">
        <f t="shared" si="238"/>
        <v>0</v>
      </c>
      <c r="M713" s="17">
        <f t="shared" si="239"/>
        <v>0</v>
      </c>
      <c r="N713" s="12">
        <f t="shared" si="240"/>
        <v>0</v>
      </c>
      <c r="O713" s="5"/>
      <c r="P713" s="27" t="b">
        <f>IF($G713&lt;&gt;0,SUMIF(куб!$G:$G,$G713,куб!J:J),IF($E713&lt;&gt;0,SUMIF(куб!$E:$E,$E713,куб!J:J),IF($D713&lt;&gt;0,SUMIF(куб!$D:$D,$D713,куб!J:J),IF($C713&lt;&gt;0,SUMIF(куб!$C:$C,$C713,куб!J:J),IF($B713&lt;&gt;0,SUMIF(куб!$B:$B,$B713,куб!J:J))))))</f>
        <v>0</v>
      </c>
      <c r="Q713" s="27" t="b">
        <f>IF($G713&lt;&gt;0,SUMIF(куб!$G:$G,$G713,куб!K:K),IF($E713&lt;&gt;0,SUMIF(куб!$E:$E,$E713,куб!K:K),IF($D713&lt;&gt;0,SUMIF(куб!$D:$D,$D713,куб!K:K),IF($C713&lt;&gt;0,SUMIF(куб!$C:$C,$C713,куб!K:K),IF($B713&lt;&gt;0,SUMIF(куб!$B:$B,$B713,куб!K:K))))))</f>
        <v>0</v>
      </c>
      <c r="R713" s="13" t="str">
        <f t="shared" si="241"/>
        <v>-</v>
      </c>
      <c r="S713" s="5"/>
      <c r="T713" s="27" t="b">
        <f>IF($G713&lt;&gt;0,SUMIF(куб!$G:$G,$G713,куб!L:L),IF($E713&lt;&gt;0,SUMIF(куб!$E:$E,$E713,куб!L:L),IF($D713&lt;&gt;0,SUMIF(куб!$D:$D,$D713,куб!L:L),IF($C713&lt;&gt;0,SUMIF(куб!$C:$C,$C713,куб!L:L),IF($B713&lt;&gt;0,SUMIF(куб!$B:$B,$B713,куб!L:L))))))</f>
        <v>0</v>
      </c>
      <c r="U713" s="27" t="b">
        <f>IF($G713&lt;&gt;0,SUMIF(куб!$G:$G,$G713,куб!M:M),IF($E713&lt;&gt;0,SUMIF(куб!$E:$E,$E713,куб!M:M),IF($D713&lt;&gt;0,SUMIF(куб!$D:$D,$D713,куб!M:M),IF($C713&lt;&gt;0,SUMIF(куб!$C:$C,$C713,куб!M:M),IF($B713&lt;&gt;0,SUMIF(куб!$B:$B,$B713,куб!M:M))))))</f>
        <v>0</v>
      </c>
      <c r="V713" s="13" t="str">
        <f t="shared" si="242"/>
        <v>-</v>
      </c>
      <c r="W713" s="5"/>
      <c r="X713" s="27" t="b">
        <f>IF($G713&lt;&gt;0,SUMIF(куб!$G:$G,$G713,куб!N:N),IF($E713&lt;&gt;0,SUMIF(куб!$E:$E,$E713,куб!N:N),IF($D713&lt;&gt;0,SUMIF(куб!$D:$D,$D713,куб!N:N),IF($C713&lt;&gt;0,SUMIF(куб!$C:$C,$C713,куб!N:N),IF($B713&lt;&gt;0,SUMIF(куб!$B:$B,$B713,куб!N:N))))))</f>
        <v>0</v>
      </c>
      <c r="Y713" s="27" t="b">
        <f>IF($G713&lt;&gt;0,SUMIF(куб!$G:$G,$G713,куб!O:O),IF($E713&lt;&gt;0,SUMIF(куб!$E:$E,$E713,куб!O:O),IF($D713&lt;&gt;0,SUMIF(куб!$D:$D,$D713,куб!O:O),IF($C713&lt;&gt;0,SUMIF(куб!$C:$C,$C713,куб!O:O),IF($B713&lt;&gt;0,SUMIF(куб!$B:$B,$B713,куб!O:O))))))</f>
        <v>0</v>
      </c>
      <c r="Z713" s="13" t="str">
        <f t="shared" si="243"/>
        <v>-</v>
      </c>
      <c r="AA713" s="5"/>
      <c r="AB713" s="33" t="str">
        <f t="shared" si="244"/>
        <v/>
      </c>
      <c r="AC713" s="33" t="str">
        <f t="shared" si="245"/>
        <v/>
      </c>
      <c r="AD713" s="15" t="str">
        <f t="shared" si="246"/>
        <v xml:space="preserve"> </v>
      </c>
      <c r="AE713" s="5"/>
      <c r="AF713" s="27" t="b">
        <f>IF($G713&lt;&gt;0,SUMIF(куб!$G:$G,$G713,куб!R:R),IF($E713&lt;&gt;0,SUMIF(куб!$E:$E,$E713,куб!R:R),IF($D713&lt;&gt;0,SUMIF(куб!$D:$D,$D713,куб!R:R),IF($C713&lt;&gt;0,SUMIF(куб!$C:$C,$C713,куб!R:R),IF($B713&lt;&gt;0,SUMIF(куб!$B:$B,$B713,куб!R:R))))))</f>
        <v>0</v>
      </c>
      <c r="AG713" s="27" t="b">
        <f>IF($G713&lt;&gt;0,SUMIF(куб!$G:$G,$G713,куб!S:S),IF($E713&lt;&gt;0,SUMIF(куб!$E:$E,$E713,куб!S:S),IF($D713&lt;&gt;0,SUMIF(куб!$D:$D,$D713,куб!S:S),IF($C713&lt;&gt;0,SUMIF(куб!$C:$C,$C713,куб!S:S),IF($B713&lt;&gt;0,SUMIF(куб!$B:$B,$B713,куб!S:S))))))</f>
        <v>0</v>
      </c>
      <c r="AH713" s="16" t="str">
        <f t="shared" si="247"/>
        <v>-</v>
      </c>
      <c r="AI713" s="8"/>
      <c r="AJ713" s="27" t="b">
        <f>IF($G713&lt;&gt;0,SUMIF(куб!$G:$G,$G713,куб!T:T),IF($E713&lt;&gt;0,SUMIF(куб!$E:$E,$E713,куб!T:T),IF($D713&lt;&gt;0,SUMIF(куб!$D:$D,$D713,куб!T:T),IF($C713&lt;&gt;0,SUMIF(куб!$C:$C,$C713,куб!T:T),IF($B713&lt;&gt;0,SUMIF(куб!$B:$B,$B713,куб!T:T))))))</f>
        <v>0</v>
      </c>
      <c r="AK713" s="27" t="b">
        <f>IF($G713&lt;&gt;0,SUMIF(куб!$G:$G,$G713,куб!U:U),IF($E713&lt;&gt;0,SUMIF(куб!$E:$E,$E713,куб!U:U),IF($D713&lt;&gt;0,SUMIF(куб!$D:$D,$D713,куб!U:U),IF($C713&lt;&gt;0,SUMIF(куб!$C:$C,$C713,куб!U:U),IF($B713&lt;&gt;0,SUMIF(куб!$B:$B,$B713,куб!U:U))))))</f>
        <v>0</v>
      </c>
      <c r="AL713" s="16" t="str">
        <f t="shared" si="248"/>
        <v>-</v>
      </c>
      <c r="AM713" s="8"/>
      <c r="AN713" s="17" t="str">
        <f t="shared" si="249"/>
        <v xml:space="preserve"> </v>
      </c>
      <c r="AO713" s="17" t="str">
        <f t="shared" si="250"/>
        <v xml:space="preserve"> </v>
      </c>
      <c r="AP713" s="16" t="str">
        <f t="shared" si="251"/>
        <v>-</v>
      </c>
      <c r="AQ713" s="8"/>
      <c r="AR713" s="17" t="str">
        <f t="shared" si="252"/>
        <v>-</v>
      </c>
      <c r="AS713" s="17" t="str">
        <f t="shared" si="253"/>
        <v>-</v>
      </c>
      <c r="AT713" s="13" t="str">
        <f t="shared" si="254"/>
        <v>-</v>
      </c>
      <c r="AU713" s="8"/>
    </row>
    <row r="714" spans="1:47" x14ac:dyDescent="0.25">
      <c r="A714" s="31"/>
      <c r="B714" s="31"/>
      <c r="C714"/>
      <c r="D714" s="31"/>
      <c r="E714" s="31"/>
      <c r="F714" s="31"/>
      <c r="G714" s="31"/>
      <c r="H714" s="27">
        <f>IF($G714&lt;&gt;0,SUMIF(куб!$G:$G,$G714,куб!H:H),IF($E714&lt;&gt;0,SUMIF(куб!$E:$E,$E714,куб!H:H),IF($D714&lt;&gt;0,SUMIF(куб!$D:$D,$D714,куб!H:H),IF($C714&lt;&gt;0,SUMIF(куб!$C:$C,$C714,куб!H:H),IF($B714&lt;&gt;0,SUMIF(куб!$B:$B,$B714,куб!H:H),IF($G714&lt;&gt;0,SUMIF(куб!$A:$A,$G714,куб!H:H),SUMIF(куб!$A:$A,$G714,куб!H:H)))))))</f>
        <v>0</v>
      </c>
      <c r="I714" s="27">
        <f>IF($G714&lt;&gt;0,SUMIF(куб!$G:$G,$G714,куб!I:I),IF($E714&lt;&gt;0,SUMIF(куб!$E:$E,$E714,куб!I:I),IF($D714&lt;&gt;0,SUMIF(куб!$D:$D,$D714,куб!I:I),IF($C714&lt;&gt;0,SUMIF(куб!$C:$C,$C714,куб!I:I),IF($B714&lt;&gt;0,SUMIF(куб!$B:$B,$B714,куб!I:I),IF($G714&lt;&gt;0,SUMIF(куб!$A:$A,$G714,куб!I:I),SUMIF(куб!$A:$A,$G714,куб!I:I)))))))</f>
        <v>0</v>
      </c>
      <c r="J714" s="19" t="str">
        <f t="shared" si="237"/>
        <v>-</v>
      </c>
      <c r="K714" s="8"/>
      <c r="L714" s="17">
        <f t="shared" si="238"/>
        <v>0</v>
      </c>
      <c r="M714" s="17">
        <f t="shared" si="239"/>
        <v>0</v>
      </c>
      <c r="N714" s="12">
        <f t="shared" si="240"/>
        <v>0</v>
      </c>
      <c r="O714" s="5"/>
      <c r="P714" s="27" t="b">
        <f>IF($G714&lt;&gt;0,SUMIF(куб!$G:$G,$G714,куб!J:J),IF($E714&lt;&gt;0,SUMIF(куб!$E:$E,$E714,куб!J:J),IF($D714&lt;&gt;0,SUMIF(куб!$D:$D,$D714,куб!J:J),IF($C714&lt;&gt;0,SUMIF(куб!$C:$C,$C714,куб!J:J),IF($B714&lt;&gt;0,SUMIF(куб!$B:$B,$B714,куб!J:J))))))</f>
        <v>0</v>
      </c>
      <c r="Q714" s="27" t="b">
        <f>IF($G714&lt;&gt;0,SUMIF(куб!$G:$G,$G714,куб!K:K),IF($E714&lt;&gt;0,SUMIF(куб!$E:$E,$E714,куб!K:K),IF($D714&lt;&gt;0,SUMIF(куб!$D:$D,$D714,куб!K:K),IF($C714&lt;&gt;0,SUMIF(куб!$C:$C,$C714,куб!K:K),IF($B714&lt;&gt;0,SUMIF(куб!$B:$B,$B714,куб!K:K))))))</f>
        <v>0</v>
      </c>
      <c r="R714" s="13" t="str">
        <f t="shared" si="241"/>
        <v>-</v>
      </c>
      <c r="S714" s="5"/>
      <c r="T714" s="27" t="b">
        <f>IF($G714&lt;&gt;0,SUMIF(куб!$G:$G,$G714,куб!L:L),IF($E714&lt;&gt;0,SUMIF(куб!$E:$E,$E714,куб!L:L),IF($D714&lt;&gt;0,SUMIF(куб!$D:$D,$D714,куб!L:L),IF($C714&lt;&gt;0,SUMIF(куб!$C:$C,$C714,куб!L:L),IF($B714&lt;&gt;0,SUMIF(куб!$B:$B,$B714,куб!L:L))))))</f>
        <v>0</v>
      </c>
      <c r="U714" s="27" t="b">
        <f>IF($G714&lt;&gt;0,SUMIF(куб!$G:$G,$G714,куб!M:M),IF($E714&lt;&gt;0,SUMIF(куб!$E:$E,$E714,куб!M:M),IF($D714&lt;&gt;0,SUMIF(куб!$D:$D,$D714,куб!M:M),IF($C714&lt;&gt;0,SUMIF(куб!$C:$C,$C714,куб!M:M),IF($B714&lt;&gt;0,SUMIF(куб!$B:$B,$B714,куб!M:M))))))</f>
        <v>0</v>
      </c>
      <c r="V714" s="13" t="str">
        <f t="shared" si="242"/>
        <v>-</v>
      </c>
      <c r="W714" s="5"/>
      <c r="X714" s="27" t="b">
        <f>IF($G714&lt;&gt;0,SUMIF(куб!$G:$G,$G714,куб!N:N),IF($E714&lt;&gt;0,SUMIF(куб!$E:$E,$E714,куб!N:N),IF($D714&lt;&gt;0,SUMIF(куб!$D:$D,$D714,куб!N:N),IF($C714&lt;&gt;0,SUMIF(куб!$C:$C,$C714,куб!N:N),IF($B714&lt;&gt;0,SUMIF(куб!$B:$B,$B714,куб!N:N))))))</f>
        <v>0</v>
      </c>
      <c r="Y714" s="27" t="b">
        <f>IF($G714&lt;&gt;0,SUMIF(куб!$G:$G,$G714,куб!O:O),IF($E714&lt;&gt;0,SUMIF(куб!$E:$E,$E714,куб!O:O),IF($D714&lt;&gt;0,SUMIF(куб!$D:$D,$D714,куб!O:O),IF($C714&lt;&gt;0,SUMIF(куб!$C:$C,$C714,куб!O:O),IF($B714&lt;&gt;0,SUMIF(куб!$B:$B,$B714,куб!O:O))))))</f>
        <v>0</v>
      </c>
      <c r="Z714" s="13" t="str">
        <f t="shared" si="243"/>
        <v>-</v>
      </c>
      <c r="AA714" s="5"/>
      <c r="AB714" s="33" t="str">
        <f t="shared" si="244"/>
        <v/>
      </c>
      <c r="AC714" s="33" t="str">
        <f t="shared" si="245"/>
        <v/>
      </c>
      <c r="AD714" s="15" t="str">
        <f t="shared" si="246"/>
        <v xml:space="preserve"> </v>
      </c>
      <c r="AE714" s="5"/>
      <c r="AF714" s="27" t="b">
        <f>IF($G714&lt;&gt;0,SUMIF(куб!$G:$G,$G714,куб!R:R),IF($E714&lt;&gt;0,SUMIF(куб!$E:$E,$E714,куб!R:R),IF($D714&lt;&gt;0,SUMIF(куб!$D:$D,$D714,куб!R:R),IF($C714&lt;&gt;0,SUMIF(куб!$C:$C,$C714,куб!R:R),IF($B714&lt;&gt;0,SUMIF(куб!$B:$B,$B714,куб!R:R))))))</f>
        <v>0</v>
      </c>
      <c r="AG714" s="27" t="b">
        <f>IF($G714&lt;&gt;0,SUMIF(куб!$G:$G,$G714,куб!S:S),IF($E714&lt;&gt;0,SUMIF(куб!$E:$E,$E714,куб!S:S),IF($D714&lt;&gt;0,SUMIF(куб!$D:$D,$D714,куб!S:S),IF($C714&lt;&gt;0,SUMIF(куб!$C:$C,$C714,куб!S:S),IF($B714&lt;&gt;0,SUMIF(куб!$B:$B,$B714,куб!S:S))))))</f>
        <v>0</v>
      </c>
      <c r="AH714" s="16" t="str">
        <f t="shared" si="247"/>
        <v>-</v>
      </c>
      <c r="AI714" s="8"/>
      <c r="AJ714" s="27" t="b">
        <f>IF($G714&lt;&gt;0,SUMIF(куб!$G:$G,$G714,куб!T:T),IF($E714&lt;&gt;0,SUMIF(куб!$E:$E,$E714,куб!T:T),IF($D714&lt;&gt;0,SUMIF(куб!$D:$D,$D714,куб!T:T),IF($C714&lt;&gt;0,SUMIF(куб!$C:$C,$C714,куб!T:T),IF($B714&lt;&gt;0,SUMIF(куб!$B:$B,$B714,куб!T:T))))))</f>
        <v>0</v>
      </c>
      <c r="AK714" s="27" t="b">
        <f>IF($G714&lt;&gt;0,SUMIF(куб!$G:$G,$G714,куб!U:U),IF($E714&lt;&gt;0,SUMIF(куб!$E:$E,$E714,куб!U:U),IF($D714&lt;&gt;0,SUMIF(куб!$D:$D,$D714,куб!U:U),IF($C714&lt;&gt;0,SUMIF(куб!$C:$C,$C714,куб!U:U),IF($B714&lt;&gt;0,SUMIF(куб!$B:$B,$B714,куб!U:U))))))</f>
        <v>0</v>
      </c>
      <c r="AL714" s="16" t="str">
        <f t="shared" si="248"/>
        <v>-</v>
      </c>
      <c r="AM714" s="8"/>
      <c r="AN714" s="17" t="str">
        <f t="shared" si="249"/>
        <v xml:space="preserve"> </v>
      </c>
      <c r="AO714" s="17" t="str">
        <f t="shared" si="250"/>
        <v xml:space="preserve"> </v>
      </c>
      <c r="AP714" s="16" t="str">
        <f t="shared" si="251"/>
        <v>-</v>
      </c>
      <c r="AQ714" s="8"/>
      <c r="AR714" s="17" t="str">
        <f t="shared" si="252"/>
        <v>-</v>
      </c>
      <c r="AS714" s="17" t="str">
        <f t="shared" si="253"/>
        <v>-</v>
      </c>
      <c r="AT714" s="13" t="str">
        <f t="shared" si="254"/>
        <v>-</v>
      </c>
      <c r="AU714" s="8"/>
    </row>
    <row r="715" spans="1:47" x14ac:dyDescent="0.25">
      <c r="A715" s="31"/>
      <c r="B715" s="31"/>
      <c r="C715"/>
      <c r="D715" s="31"/>
      <c r="E715"/>
      <c r="F715" s="31"/>
      <c r="G715"/>
      <c r="H715" s="27">
        <f>IF($G715&lt;&gt;0,SUMIF(куб!$G:$G,$G715,куб!H:H),IF($E715&lt;&gt;0,SUMIF(куб!$E:$E,$E715,куб!H:H),IF($D715&lt;&gt;0,SUMIF(куб!$D:$D,$D715,куб!H:H),IF($C715&lt;&gt;0,SUMIF(куб!$C:$C,$C715,куб!H:H),IF($B715&lt;&gt;0,SUMIF(куб!$B:$B,$B715,куб!H:H),IF($G715&lt;&gt;0,SUMIF(куб!$A:$A,$G715,куб!H:H),SUMIF(куб!$A:$A,$G715,куб!H:H)))))))</f>
        <v>0</v>
      </c>
      <c r="I715" s="27">
        <f>IF($G715&lt;&gt;0,SUMIF(куб!$G:$G,$G715,куб!I:I),IF($E715&lt;&gt;0,SUMIF(куб!$E:$E,$E715,куб!I:I),IF($D715&lt;&gt;0,SUMIF(куб!$D:$D,$D715,куб!I:I),IF($C715&lt;&gt;0,SUMIF(куб!$C:$C,$C715,куб!I:I),IF($B715&lt;&gt;0,SUMIF(куб!$B:$B,$B715,куб!I:I),IF($G715&lt;&gt;0,SUMIF(куб!$A:$A,$G715,куб!I:I),SUMIF(куб!$A:$A,$G715,куб!I:I)))))))</f>
        <v>0</v>
      </c>
      <c r="J715" s="19" t="str">
        <f t="shared" si="237"/>
        <v>-</v>
      </c>
      <c r="K715" s="8"/>
      <c r="L715" s="17">
        <f t="shared" si="238"/>
        <v>0</v>
      </c>
      <c r="M715" s="17">
        <f t="shared" si="239"/>
        <v>0</v>
      </c>
      <c r="N715" s="12">
        <f t="shared" si="240"/>
        <v>0</v>
      </c>
      <c r="O715" s="5"/>
      <c r="P715" s="27" t="b">
        <f>IF($G715&lt;&gt;0,SUMIF(куб!$G:$G,$G715,куб!J:J),IF($E715&lt;&gt;0,SUMIF(куб!$E:$E,$E715,куб!J:J),IF($D715&lt;&gt;0,SUMIF(куб!$D:$D,$D715,куб!J:J),IF($C715&lt;&gt;0,SUMIF(куб!$C:$C,$C715,куб!J:J),IF($B715&lt;&gt;0,SUMIF(куб!$B:$B,$B715,куб!J:J))))))</f>
        <v>0</v>
      </c>
      <c r="Q715" s="27" t="b">
        <f>IF($G715&lt;&gt;0,SUMIF(куб!$G:$G,$G715,куб!K:K),IF($E715&lt;&gt;0,SUMIF(куб!$E:$E,$E715,куб!K:K),IF($D715&lt;&gt;0,SUMIF(куб!$D:$D,$D715,куб!K:K),IF($C715&lt;&gt;0,SUMIF(куб!$C:$C,$C715,куб!K:K),IF($B715&lt;&gt;0,SUMIF(куб!$B:$B,$B715,куб!K:K))))))</f>
        <v>0</v>
      </c>
      <c r="R715" s="13" t="str">
        <f t="shared" si="241"/>
        <v>-</v>
      </c>
      <c r="S715" s="5"/>
      <c r="T715" s="27" t="b">
        <f>IF($G715&lt;&gt;0,SUMIF(куб!$G:$G,$G715,куб!L:L),IF($E715&lt;&gt;0,SUMIF(куб!$E:$E,$E715,куб!L:L),IF($D715&lt;&gt;0,SUMIF(куб!$D:$D,$D715,куб!L:L),IF($C715&lt;&gt;0,SUMIF(куб!$C:$C,$C715,куб!L:L),IF($B715&lt;&gt;0,SUMIF(куб!$B:$B,$B715,куб!L:L))))))</f>
        <v>0</v>
      </c>
      <c r="U715" s="27" t="b">
        <f>IF($G715&lt;&gt;0,SUMIF(куб!$G:$G,$G715,куб!M:M),IF($E715&lt;&gt;0,SUMIF(куб!$E:$E,$E715,куб!M:M),IF($D715&lt;&gt;0,SUMIF(куб!$D:$D,$D715,куб!M:M),IF($C715&lt;&gt;0,SUMIF(куб!$C:$C,$C715,куб!M:M),IF($B715&lt;&gt;0,SUMIF(куб!$B:$B,$B715,куб!M:M))))))</f>
        <v>0</v>
      </c>
      <c r="V715" s="13" t="str">
        <f t="shared" si="242"/>
        <v>-</v>
      </c>
      <c r="W715" s="5"/>
      <c r="X715" s="27" t="b">
        <f>IF($G715&lt;&gt;0,SUMIF(куб!$G:$G,$G715,куб!N:N),IF($E715&lt;&gt;0,SUMIF(куб!$E:$E,$E715,куб!N:N),IF($D715&lt;&gt;0,SUMIF(куб!$D:$D,$D715,куб!N:N),IF($C715&lt;&gt;0,SUMIF(куб!$C:$C,$C715,куб!N:N),IF($B715&lt;&gt;0,SUMIF(куб!$B:$B,$B715,куб!N:N))))))</f>
        <v>0</v>
      </c>
      <c r="Y715" s="27" t="b">
        <f>IF($G715&lt;&gt;0,SUMIF(куб!$G:$G,$G715,куб!O:O),IF($E715&lt;&gt;0,SUMIF(куб!$E:$E,$E715,куб!O:O),IF($D715&lt;&gt;0,SUMIF(куб!$D:$D,$D715,куб!O:O),IF($C715&lt;&gt;0,SUMIF(куб!$C:$C,$C715,куб!O:O),IF($B715&lt;&gt;0,SUMIF(куб!$B:$B,$B715,куб!O:O))))))</f>
        <v>0</v>
      </c>
      <c r="Z715" s="13" t="str">
        <f t="shared" si="243"/>
        <v>-</v>
      </c>
      <c r="AA715" s="5"/>
      <c r="AB715" s="33" t="str">
        <f t="shared" si="244"/>
        <v/>
      </c>
      <c r="AC715" s="33" t="str">
        <f t="shared" si="245"/>
        <v/>
      </c>
      <c r="AD715" s="15" t="str">
        <f t="shared" si="246"/>
        <v xml:space="preserve"> </v>
      </c>
      <c r="AE715" s="5"/>
      <c r="AF715" s="27" t="b">
        <f>IF($G715&lt;&gt;0,SUMIF(куб!$G:$G,$G715,куб!R:R),IF($E715&lt;&gt;0,SUMIF(куб!$E:$E,$E715,куб!R:R),IF($D715&lt;&gt;0,SUMIF(куб!$D:$D,$D715,куб!R:R),IF($C715&lt;&gt;0,SUMIF(куб!$C:$C,$C715,куб!R:R),IF($B715&lt;&gt;0,SUMIF(куб!$B:$B,$B715,куб!R:R))))))</f>
        <v>0</v>
      </c>
      <c r="AG715" s="27" t="b">
        <f>IF($G715&lt;&gt;0,SUMIF(куб!$G:$G,$G715,куб!S:S),IF($E715&lt;&gt;0,SUMIF(куб!$E:$E,$E715,куб!S:S),IF($D715&lt;&gt;0,SUMIF(куб!$D:$D,$D715,куб!S:S),IF($C715&lt;&gt;0,SUMIF(куб!$C:$C,$C715,куб!S:S),IF($B715&lt;&gt;0,SUMIF(куб!$B:$B,$B715,куб!S:S))))))</f>
        <v>0</v>
      </c>
      <c r="AH715" s="16" t="str">
        <f t="shared" si="247"/>
        <v>-</v>
      </c>
      <c r="AI715" s="8"/>
      <c r="AJ715" s="27" t="b">
        <f>IF($G715&lt;&gt;0,SUMIF(куб!$G:$G,$G715,куб!T:T),IF($E715&lt;&gt;0,SUMIF(куб!$E:$E,$E715,куб!T:T),IF($D715&lt;&gt;0,SUMIF(куб!$D:$D,$D715,куб!T:T),IF($C715&lt;&gt;0,SUMIF(куб!$C:$C,$C715,куб!T:T),IF($B715&lt;&gt;0,SUMIF(куб!$B:$B,$B715,куб!T:T))))))</f>
        <v>0</v>
      </c>
      <c r="AK715" s="27" t="b">
        <f>IF($G715&lt;&gt;0,SUMIF(куб!$G:$G,$G715,куб!U:U),IF($E715&lt;&gt;0,SUMIF(куб!$E:$E,$E715,куб!U:U),IF($D715&lt;&gt;0,SUMIF(куб!$D:$D,$D715,куб!U:U),IF($C715&lt;&gt;0,SUMIF(куб!$C:$C,$C715,куб!U:U),IF($B715&lt;&gt;0,SUMIF(куб!$B:$B,$B715,куб!U:U))))))</f>
        <v>0</v>
      </c>
      <c r="AL715" s="16" t="str">
        <f t="shared" si="248"/>
        <v>-</v>
      </c>
      <c r="AM715" s="8"/>
      <c r="AN715" s="17" t="str">
        <f t="shared" si="249"/>
        <v xml:space="preserve"> </v>
      </c>
      <c r="AO715" s="17" t="str">
        <f t="shared" si="250"/>
        <v xml:space="preserve"> </v>
      </c>
      <c r="AP715" s="16" t="str">
        <f t="shared" si="251"/>
        <v>-</v>
      </c>
      <c r="AQ715" s="8"/>
      <c r="AR715" s="17" t="str">
        <f t="shared" si="252"/>
        <v>-</v>
      </c>
      <c r="AS715" s="17" t="str">
        <f t="shared" si="253"/>
        <v>-</v>
      </c>
      <c r="AT715" s="13" t="str">
        <f t="shared" si="254"/>
        <v>-</v>
      </c>
      <c r="AU715" s="8"/>
    </row>
    <row r="716" spans="1:47" x14ac:dyDescent="0.25">
      <c r="A716" s="31"/>
      <c r="B716" s="31"/>
      <c r="C716"/>
      <c r="D716" s="31"/>
      <c r="E716"/>
      <c r="F716" s="31"/>
      <c r="G716"/>
      <c r="H716" s="27">
        <f>IF($G716&lt;&gt;0,SUMIF(куб!$G:$G,$G716,куб!H:H),IF($E716&lt;&gt;0,SUMIF(куб!$E:$E,$E716,куб!H:H),IF($D716&lt;&gt;0,SUMIF(куб!$D:$D,$D716,куб!H:H),IF($C716&lt;&gt;0,SUMIF(куб!$C:$C,$C716,куб!H:H),IF($B716&lt;&gt;0,SUMIF(куб!$B:$B,$B716,куб!H:H),IF($G716&lt;&gt;0,SUMIF(куб!$A:$A,$G716,куб!H:H),SUMIF(куб!$A:$A,$G716,куб!H:H)))))))</f>
        <v>0</v>
      </c>
      <c r="I716" s="27">
        <f>IF($G716&lt;&gt;0,SUMIF(куб!$G:$G,$G716,куб!I:I),IF($E716&lt;&gt;0,SUMIF(куб!$E:$E,$E716,куб!I:I),IF($D716&lt;&gt;0,SUMIF(куб!$D:$D,$D716,куб!I:I),IF($C716&lt;&gt;0,SUMIF(куб!$C:$C,$C716,куб!I:I),IF($B716&lt;&gt;0,SUMIF(куб!$B:$B,$B716,куб!I:I),IF($G716&lt;&gt;0,SUMIF(куб!$A:$A,$G716,куб!I:I),SUMIF(куб!$A:$A,$G716,куб!I:I)))))))</f>
        <v>0</v>
      </c>
      <c r="J716" s="19" t="str">
        <f t="shared" si="237"/>
        <v>-</v>
      </c>
      <c r="K716" s="8"/>
      <c r="L716" s="17">
        <f t="shared" si="238"/>
        <v>0</v>
      </c>
      <c r="M716" s="17">
        <f t="shared" si="239"/>
        <v>0</v>
      </c>
      <c r="N716" s="12">
        <f t="shared" si="240"/>
        <v>0</v>
      </c>
      <c r="O716" s="5"/>
      <c r="P716" s="27" t="b">
        <f>IF($G716&lt;&gt;0,SUMIF(куб!$G:$G,$G716,куб!J:J),IF($E716&lt;&gt;0,SUMIF(куб!$E:$E,$E716,куб!J:J),IF($D716&lt;&gt;0,SUMIF(куб!$D:$D,$D716,куб!J:J),IF($C716&lt;&gt;0,SUMIF(куб!$C:$C,$C716,куб!J:J),IF($B716&lt;&gt;0,SUMIF(куб!$B:$B,$B716,куб!J:J))))))</f>
        <v>0</v>
      </c>
      <c r="Q716" s="27" t="b">
        <f>IF($G716&lt;&gt;0,SUMIF(куб!$G:$G,$G716,куб!K:K),IF($E716&lt;&gt;0,SUMIF(куб!$E:$E,$E716,куб!K:K),IF($D716&lt;&gt;0,SUMIF(куб!$D:$D,$D716,куб!K:K),IF($C716&lt;&gt;0,SUMIF(куб!$C:$C,$C716,куб!K:K),IF($B716&lt;&gt;0,SUMIF(куб!$B:$B,$B716,куб!K:K))))))</f>
        <v>0</v>
      </c>
      <c r="R716" s="13" t="str">
        <f t="shared" si="241"/>
        <v>-</v>
      </c>
      <c r="S716" s="5"/>
      <c r="T716" s="27" t="b">
        <f>IF($G716&lt;&gt;0,SUMIF(куб!$G:$G,$G716,куб!L:L),IF($E716&lt;&gt;0,SUMIF(куб!$E:$E,$E716,куб!L:L),IF($D716&lt;&gt;0,SUMIF(куб!$D:$D,$D716,куб!L:L),IF($C716&lt;&gt;0,SUMIF(куб!$C:$C,$C716,куб!L:L),IF($B716&lt;&gt;0,SUMIF(куб!$B:$B,$B716,куб!L:L))))))</f>
        <v>0</v>
      </c>
      <c r="U716" s="27" t="b">
        <f>IF($G716&lt;&gt;0,SUMIF(куб!$G:$G,$G716,куб!M:M),IF($E716&lt;&gt;0,SUMIF(куб!$E:$E,$E716,куб!M:M),IF($D716&lt;&gt;0,SUMIF(куб!$D:$D,$D716,куб!M:M),IF($C716&lt;&gt;0,SUMIF(куб!$C:$C,$C716,куб!M:M),IF($B716&lt;&gt;0,SUMIF(куб!$B:$B,$B716,куб!M:M))))))</f>
        <v>0</v>
      </c>
      <c r="V716" s="13" t="str">
        <f t="shared" si="242"/>
        <v>-</v>
      </c>
      <c r="W716" s="5"/>
      <c r="X716" s="27" t="b">
        <f>IF($G716&lt;&gt;0,SUMIF(куб!$G:$G,$G716,куб!N:N),IF($E716&lt;&gt;0,SUMIF(куб!$E:$E,$E716,куб!N:N),IF($D716&lt;&gt;0,SUMIF(куб!$D:$D,$D716,куб!N:N),IF($C716&lt;&gt;0,SUMIF(куб!$C:$C,$C716,куб!N:N),IF($B716&lt;&gt;0,SUMIF(куб!$B:$B,$B716,куб!N:N))))))</f>
        <v>0</v>
      </c>
      <c r="Y716" s="27" t="b">
        <f>IF($G716&lt;&gt;0,SUMIF(куб!$G:$G,$G716,куб!O:O),IF($E716&lt;&gt;0,SUMIF(куб!$E:$E,$E716,куб!O:O),IF($D716&lt;&gt;0,SUMIF(куб!$D:$D,$D716,куб!O:O),IF($C716&lt;&gt;0,SUMIF(куб!$C:$C,$C716,куб!O:O),IF($B716&lt;&gt;0,SUMIF(куб!$B:$B,$B716,куб!O:O))))))</f>
        <v>0</v>
      </c>
      <c r="Z716" s="13" t="str">
        <f t="shared" si="243"/>
        <v>-</v>
      </c>
      <c r="AA716" s="5"/>
      <c r="AB716" s="33" t="str">
        <f t="shared" si="244"/>
        <v/>
      </c>
      <c r="AC716" s="33" t="str">
        <f t="shared" si="245"/>
        <v/>
      </c>
      <c r="AD716" s="15" t="str">
        <f t="shared" si="246"/>
        <v xml:space="preserve"> </v>
      </c>
      <c r="AE716" s="5"/>
      <c r="AF716" s="27" t="b">
        <f>IF($G716&lt;&gt;0,SUMIF(куб!$G:$G,$G716,куб!R:R),IF($E716&lt;&gt;0,SUMIF(куб!$E:$E,$E716,куб!R:R),IF($D716&lt;&gt;0,SUMIF(куб!$D:$D,$D716,куб!R:R),IF($C716&lt;&gt;0,SUMIF(куб!$C:$C,$C716,куб!R:R),IF($B716&lt;&gt;0,SUMIF(куб!$B:$B,$B716,куб!R:R))))))</f>
        <v>0</v>
      </c>
      <c r="AG716" s="27" t="b">
        <f>IF($G716&lt;&gt;0,SUMIF(куб!$G:$G,$G716,куб!S:S),IF($E716&lt;&gt;0,SUMIF(куб!$E:$E,$E716,куб!S:S),IF($D716&lt;&gt;0,SUMIF(куб!$D:$D,$D716,куб!S:S),IF($C716&lt;&gt;0,SUMIF(куб!$C:$C,$C716,куб!S:S),IF($B716&lt;&gt;0,SUMIF(куб!$B:$B,$B716,куб!S:S))))))</f>
        <v>0</v>
      </c>
      <c r="AH716" s="16" t="str">
        <f t="shared" si="247"/>
        <v>-</v>
      </c>
      <c r="AI716" s="8"/>
      <c r="AJ716" s="27" t="b">
        <f>IF($G716&lt;&gt;0,SUMIF(куб!$G:$G,$G716,куб!T:T),IF($E716&lt;&gt;0,SUMIF(куб!$E:$E,$E716,куб!T:T),IF($D716&lt;&gt;0,SUMIF(куб!$D:$D,$D716,куб!T:T),IF($C716&lt;&gt;0,SUMIF(куб!$C:$C,$C716,куб!T:T),IF($B716&lt;&gt;0,SUMIF(куб!$B:$B,$B716,куб!T:T))))))</f>
        <v>0</v>
      </c>
      <c r="AK716" s="27" t="b">
        <f>IF($G716&lt;&gt;0,SUMIF(куб!$G:$G,$G716,куб!U:U),IF($E716&lt;&gt;0,SUMIF(куб!$E:$E,$E716,куб!U:U),IF($D716&lt;&gt;0,SUMIF(куб!$D:$D,$D716,куб!U:U),IF($C716&lt;&gt;0,SUMIF(куб!$C:$C,$C716,куб!U:U),IF($B716&lt;&gt;0,SUMIF(куб!$B:$B,$B716,куб!U:U))))))</f>
        <v>0</v>
      </c>
      <c r="AL716" s="16" t="str">
        <f t="shared" si="248"/>
        <v>-</v>
      </c>
      <c r="AM716" s="8"/>
      <c r="AN716" s="17" t="str">
        <f t="shared" si="249"/>
        <v xml:space="preserve"> </v>
      </c>
      <c r="AO716" s="17" t="str">
        <f t="shared" si="250"/>
        <v xml:space="preserve"> </v>
      </c>
      <c r="AP716" s="16" t="str">
        <f t="shared" si="251"/>
        <v>-</v>
      </c>
      <c r="AQ716" s="8"/>
      <c r="AR716" s="17" t="str">
        <f t="shared" si="252"/>
        <v>-</v>
      </c>
      <c r="AS716" s="17" t="str">
        <f t="shared" si="253"/>
        <v>-</v>
      </c>
      <c r="AT716" s="13" t="str">
        <f t="shared" si="254"/>
        <v>-</v>
      </c>
      <c r="AU716" s="8"/>
    </row>
    <row r="717" spans="1:47" x14ac:dyDescent="0.25">
      <c r="A717" s="31"/>
      <c r="B717" s="31"/>
      <c r="C717"/>
      <c r="D717" s="31"/>
      <c r="E717"/>
      <c r="F717" s="31"/>
      <c r="G717"/>
      <c r="H717" s="27">
        <f>IF($G717&lt;&gt;0,SUMIF(куб!$G:$G,$G717,куб!H:H),IF($E717&lt;&gt;0,SUMIF(куб!$E:$E,$E717,куб!H:H),IF($D717&lt;&gt;0,SUMIF(куб!$D:$D,$D717,куб!H:H),IF($C717&lt;&gt;0,SUMIF(куб!$C:$C,$C717,куб!H:H),IF($B717&lt;&gt;0,SUMIF(куб!$B:$B,$B717,куб!H:H),IF($G717&lt;&gt;0,SUMIF(куб!$A:$A,$G717,куб!H:H),SUMIF(куб!$A:$A,$G717,куб!H:H)))))))</f>
        <v>0</v>
      </c>
      <c r="I717" s="27">
        <f>IF($G717&lt;&gt;0,SUMIF(куб!$G:$G,$G717,куб!I:I),IF($E717&lt;&gt;0,SUMIF(куб!$E:$E,$E717,куб!I:I),IF($D717&lt;&gt;0,SUMIF(куб!$D:$D,$D717,куб!I:I),IF($C717&lt;&gt;0,SUMIF(куб!$C:$C,$C717,куб!I:I),IF($B717&lt;&gt;0,SUMIF(куб!$B:$B,$B717,куб!I:I),IF($G717&lt;&gt;0,SUMIF(куб!$A:$A,$G717,куб!I:I),SUMIF(куб!$A:$A,$G717,куб!I:I)))))))</f>
        <v>0</v>
      </c>
      <c r="J717" s="19" t="str">
        <f t="shared" si="237"/>
        <v>-</v>
      </c>
      <c r="K717" s="8"/>
      <c r="L717" s="17">
        <f t="shared" si="238"/>
        <v>0</v>
      </c>
      <c r="M717" s="17">
        <f t="shared" si="239"/>
        <v>0</v>
      </c>
      <c r="N717" s="12">
        <f t="shared" si="240"/>
        <v>0</v>
      </c>
      <c r="O717" s="5"/>
      <c r="P717" s="27" t="b">
        <f>IF($G717&lt;&gt;0,SUMIF(куб!$G:$G,$G717,куб!J:J),IF($E717&lt;&gt;0,SUMIF(куб!$E:$E,$E717,куб!J:J),IF($D717&lt;&gt;0,SUMIF(куб!$D:$D,$D717,куб!J:J),IF($C717&lt;&gt;0,SUMIF(куб!$C:$C,$C717,куб!J:J),IF($B717&lt;&gt;0,SUMIF(куб!$B:$B,$B717,куб!J:J))))))</f>
        <v>0</v>
      </c>
      <c r="Q717" s="27" t="b">
        <f>IF($G717&lt;&gt;0,SUMIF(куб!$G:$G,$G717,куб!K:K),IF($E717&lt;&gt;0,SUMIF(куб!$E:$E,$E717,куб!K:K),IF($D717&lt;&gt;0,SUMIF(куб!$D:$D,$D717,куб!K:K),IF($C717&lt;&gt;0,SUMIF(куб!$C:$C,$C717,куб!K:K),IF($B717&lt;&gt;0,SUMIF(куб!$B:$B,$B717,куб!K:K))))))</f>
        <v>0</v>
      </c>
      <c r="R717" s="13" t="str">
        <f t="shared" si="241"/>
        <v>-</v>
      </c>
      <c r="S717" s="5"/>
      <c r="T717" s="27" t="b">
        <f>IF($G717&lt;&gt;0,SUMIF(куб!$G:$G,$G717,куб!L:L),IF($E717&lt;&gt;0,SUMIF(куб!$E:$E,$E717,куб!L:L),IF($D717&lt;&gt;0,SUMIF(куб!$D:$D,$D717,куб!L:L),IF($C717&lt;&gt;0,SUMIF(куб!$C:$C,$C717,куб!L:L),IF($B717&lt;&gt;0,SUMIF(куб!$B:$B,$B717,куб!L:L))))))</f>
        <v>0</v>
      </c>
      <c r="U717" s="27" t="b">
        <f>IF($G717&lt;&gt;0,SUMIF(куб!$G:$G,$G717,куб!M:M),IF($E717&lt;&gt;0,SUMIF(куб!$E:$E,$E717,куб!M:M),IF($D717&lt;&gt;0,SUMIF(куб!$D:$D,$D717,куб!M:M),IF($C717&lt;&gt;0,SUMIF(куб!$C:$C,$C717,куб!M:M),IF($B717&lt;&gt;0,SUMIF(куб!$B:$B,$B717,куб!M:M))))))</f>
        <v>0</v>
      </c>
      <c r="V717" s="13" t="str">
        <f t="shared" si="242"/>
        <v>-</v>
      </c>
      <c r="W717" s="5"/>
      <c r="X717" s="27" t="b">
        <f>IF($G717&lt;&gt;0,SUMIF(куб!$G:$G,$G717,куб!N:N),IF($E717&lt;&gt;0,SUMIF(куб!$E:$E,$E717,куб!N:N),IF($D717&lt;&gt;0,SUMIF(куб!$D:$D,$D717,куб!N:N),IF($C717&lt;&gt;0,SUMIF(куб!$C:$C,$C717,куб!N:N),IF($B717&lt;&gt;0,SUMIF(куб!$B:$B,$B717,куб!N:N))))))</f>
        <v>0</v>
      </c>
      <c r="Y717" s="27" t="b">
        <f>IF($G717&lt;&gt;0,SUMIF(куб!$G:$G,$G717,куб!O:O),IF($E717&lt;&gt;0,SUMIF(куб!$E:$E,$E717,куб!O:O),IF($D717&lt;&gt;0,SUMIF(куб!$D:$D,$D717,куб!O:O),IF($C717&lt;&gt;0,SUMIF(куб!$C:$C,$C717,куб!O:O),IF($B717&lt;&gt;0,SUMIF(куб!$B:$B,$B717,куб!O:O))))))</f>
        <v>0</v>
      </c>
      <c r="Z717" s="13" t="str">
        <f t="shared" si="243"/>
        <v>-</v>
      </c>
      <c r="AA717" s="5"/>
      <c r="AB717" s="33" t="str">
        <f t="shared" si="244"/>
        <v/>
      </c>
      <c r="AC717" s="33" t="str">
        <f t="shared" si="245"/>
        <v/>
      </c>
      <c r="AD717" s="15" t="str">
        <f t="shared" si="246"/>
        <v xml:space="preserve"> </v>
      </c>
      <c r="AE717" s="5"/>
      <c r="AF717" s="27" t="b">
        <f>IF($G717&lt;&gt;0,SUMIF(куб!$G:$G,$G717,куб!R:R),IF($E717&lt;&gt;0,SUMIF(куб!$E:$E,$E717,куб!R:R),IF($D717&lt;&gt;0,SUMIF(куб!$D:$D,$D717,куб!R:R),IF($C717&lt;&gt;0,SUMIF(куб!$C:$C,$C717,куб!R:R),IF($B717&lt;&gt;0,SUMIF(куб!$B:$B,$B717,куб!R:R))))))</f>
        <v>0</v>
      </c>
      <c r="AG717" s="27" t="b">
        <f>IF($G717&lt;&gt;0,SUMIF(куб!$G:$G,$G717,куб!S:S),IF($E717&lt;&gt;0,SUMIF(куб!$E:$E,$E717,куб!S:S),IF($D717&lt;&gt;0,SUMIF(куб!$D:$D,$D717,куб!S:S),IF($C717&lt;&gt;0,SUMIF(куб!$C:$C,$C717,куб!S:S),IF($B717&lt;&gt;0,SUMIF(куб!$B:$B,$B717,куб!S:S))))))</f>
        <v>0</v>
      </c>
      <c r="AH717" s="16" t="str">
        <f t="shared" si="247"/>
        <v>-</v>
      </c>
      <c r="AI717" s="8"/>
      <c r="AJ717" s="27" t="b">
        <f>IF($G717&lt;&gt;0,SUMIF(куб!$G:$G,$G717,куб!T:T),IF($E717&lt;&gt;0,SUMIF(куб!$E:$E,$E717,куб!T:T),IF($D717&lt;&gt;0,SUMIF(куб!$D:$D,$D717,куб!T:T),IF($C717&lt;&gt;0,SUMIF(куб!$C:$C,$C717,куб!T:T),IF($B717&lt;&gt;0,SUMIF(куб!$B:$B,$B717,куб!T:T))))))</f>
        <v>0</v>
      </c>
      <c r="AK717" s="27" t="b">
        <f>IF($G717&lt;&gt;0,SUMIF(куб!$G:$G,$G717,куб!U:U),IF($E717&lt;&gt;0,SUMIF(куб!$E:$E,$E717,куб!U:U),IF($D717&lt;&gt;0,SUMIF(куб!$D:$D,$D717,куб!U:U),IF($C717&lt;&gt;0,SUMIF(куб!$C:$C,$C717,куб!U:U),IF($B717&lt;&gt;0,SUMIF(куб!$B:$B,$B717,куб!U:U))))))</f>
        <v>0</v>
      </c>
      <c r="AL717" s="16" t="str">
        <f t="shared" si="248"/>
        <v>-</v>
      </c>
      <c r="AM717" s="8"/>
      <c r="AN717" s="17" t="str">
        <f t="shared" si="249"/>
        <v xml:space="preserve"> </v>
      </c>
      <c r="AO717" s="17" t="str">
        <f t="shared" si="250"/>
        <v xml:space="preserve"> </v>
      </c>
      <c r="AP717" s="16" t="str">
        <f t="shared" si="251"/>
        <v>-</v>
      </c>
      <c r="AQ717" s="8"/>
      <c r="AR717" s="17" t="str">
        <f t="shared" si="252"/>
        <v>-</v>
      </c>
      <c r="AS717" s="17" t="str">
        <f t="shared" si="253"/>
        <v>-</v>
      </c>
      <c r="AT717" s="13" t="str">
        <f t="shared" si="254"/>
        <v>-</v>
      </c>
      <c r="AU717" s="8"/>
    </row>
    <row r="718" spans="1:47" x14ac:dyDescent="0.25">
      <c r="A718" s="31"/>
      <c r="B718" s="31"/>
      <c r="C718"/>
      <c r="D718" s="31"/>
      <c r="E718"/>
      <c r="F718" s="31"/>
      <c r="G718"/>
      <c r="H718" s="27">
        <f>IF($G718&lt;&gt;0,SUMIF(куб!$G:$G,$G718,куб!H:H),IF($E718&lt;&gt;0,SUMIF(куб!$E:$E,$E718,куб!H:H),IF($D718&lt;&gt;0,SUMIF(куб!$D:$D,$D718,куб!H:H),IF($C718&lt;&gt;0,SUMIF(куб!$C:$C,$C718,куб!H:H),IF($B718&lt;&gt;0,SUMIF(куб!$B:$B,$B718,куб!H:H),IF($G718&lt;&gt;0,SUMIF(куб!$A:$A,$G718,куб!H:H),SUMIF(куб!$A:$A,$G718,куб!H:H)))))))</f>
        <v>0</v>
      </c>
      <c r="I718" s="27">
        <f>IF($G718&lt;&gt;0,SUMIF(куб!$G:$G,$G718,куб!I:I),IF($E718&lt;&gt;0,SUMIF(куб!$E:$E,$E718,куб!I:I),IF($D718&lt;&gt;0,SUMIF(куб!$D:$D,$D718,куб!I:I),IF($C718&lt;&gt;0,SUMIF(куб!$C:$C,$C718,куб!I:I),IF($B718&lt;&gt;0,SUMIF(куб!$B:$B,$B718,куб!I:I),IF($G718&lt;&gt;0,SUMIF(куб!$A:$A,$G718,куб!I:I),SUMIF(куб!$A:$A,$G718,куб!I:I)))))))</f>
        <v>0</v>
      </c>
      <c r="J718" s="19" t="str">
        <f t="shared" si="237"/>
        <v>-</v>
      </c>
      <c r="K718" s="8"/>
      <c r="L718" s="17">
        <f t="shared" si="238"/>
        <v>0</v>
      </c>
      <c r="M718" s="17">
        <f t="shared" si="239"/>
        <v>0</v>
      </c>
      <c r="N718" s="12">
        <f t="shared" si="240"/>
        <v>0</v>
      </c>
      <c r="O718" s="5"/>
      <c r="P718" s="27" t="b">
        <f>IF($G718&lt;&gt;0,SUMIF(куб!$G:$G,$G718,куб!J:J),IF($E718&lt;&gt;0,SUMIF(куб!$E:$E,$E718,куб!J:J),IF($D718&lt;&gt;0,SUMIF(куб!$D:$D,$D718,куб!J:J),IF($C718&lt;&gt;0,SUMIF(куб!$C:$C,$C718,куб!J:J),IF($B718&lt;&gt;0,SUMIF(куб!$B:$B,$B718,куб!J:J))))))</f>
        <v>0</v>
      </c>
      <c r="Q718" s="27" t="b">
        <f>IF($G718&lt;&gt;0,SUMIF(куб!$G:$G,$G718,куб!K:K),IF($E718&lt;&gt;0,SUMIF(куб!$E:$E,$E718,куб!K:K),IF($D718&lt;&gt;0,SUMIF(куб!$D:$D,$D718,куб!K:K),IF($C718&lt;&gt;0,SUMIF(куб!$C:$C,$C718,куб!K:K),IF($B718&lt;&gt;0,SUMIF(куб!$B:$B,$B718,куб!K:K))))))</f>
        <v>0</v>
      </c>
      <c r="R718" s="13" t="str">
        <f t="shared" si="241"/>
        <v>-</v>
      </c>
      <c r="S718" s="5"/>
      <c r="T718" s="27" t="b">
        <f>IF($G718&lt;&gt;0,SUMIF(куб!$G:$G,$G718,куб!L:L),IF($E718&lt;&gt;0,SUMIF(куб!$E:$E,$E718,куб!L:L),IF($D718&lt;&gt;0,SUMIF(куб!$D:$D,$D718,куб!L:L),IF($C718&lt;&gt;0,SUMIF(куб!$C:$C,$C718,куб!L:L),IF($B718&lt;&gt;0,SUMIF(куб!$B:$B,$B718,куб!L:L))))))</f>
        <v>0</v>
      </c>
      <c r="U718" s="27" t="b">
        <f>IF($G718&lt;&gt;0,SUMIF(куб!$G:$G,$G718,куб!M:M),IF($E718&lt;&gt;0,SUMIF(куб!$E:$E,$E718,куб!M:M),IF($D718&lt;&gt;0,SUMIF(куб!$D:$D,$D718,куб!M:M),IF($C718&lt;&gt;0,SUMIF(куб!$C:$C,$C718,куб!M:M),IF($B718&lt;&gt;0,SUMIF(куб!$B:$B,$B718,куб!M:M))))))</f>
        <v>0</v>
      </c>
      <c r="V718" s="13" t="str">
        <f t="shared" si="242"/>
        <v>-</v>
      </c>
      <c r="W718" s="5"/>
      <c r="X718" s="27" t="b">
        <f>IF($G718&lt;&gt;0,SUMIF(куб!$G:$G,$G718,куб!N:N),IF($E718&lt;&gt;0,SUMIF(куб!$E:$E,$E718,куб!N:N),IF($D718&lt;&gt;0,SUMIF(куб!$D:$D,$D718,куб!N:N),IF($C718&lt;&gt;0,SUMIF(куб!$C:$C,$C718,куб!N:N),IF($B718&lt;&gt;0,SUMIF(куб!$B:$B,$B718,куб!N:N))))))</f>
        <v>0</v>
      </c>
      <c r="Y718" s="27" t="b">
        <f>IF($G718&lt;&gt;0,SUMIF(куб!$G:$G,$G718,куб!O:O),IF($E718&lt;&gt;0,SUMIF(куб!$E:$E,$E718,куб!O:O),IF($D718&lt;&gt;0,SUMIF(куб!$D:$D,$D718,куб!O:O),IF($C718&lt;&gt;0,SUMIF(куб!$C:$C,$C718,куб!O:O),IF($B718&lt;&gt;0,SUMIF(куб!$B:$B,$B718,куб!O:O))))))</f>
        <v>0</v>
      </c>
      <c r="Z718" s="13" t="str">
        <f t="shared" si="243"/>
        <v>-</v>
      </c>
      <c r="AA718" s="5"/>
      <c r="AB718" s="33" t="str">
        <f t="shared" si="244"/>
        <v/>
      </c>
      <c r="AC718" s="33" t="str">
        <f t="shared" si="245"/>
        <v/>
      </c>
      <c r="AD718" s="15" t="str">
        <f t="shared" si="246"/>
        <v xml:space="preserve"> </v>
      </c>
      <c r="AE718" s="5"/>
      <c r="AF718" s="27" t="b">
        <f>IF($G718&lt;&gt;0,SUMIF(куб!$G:$G,$G718,куб!R:R),IF($E718&lt;&gt;0,SUMIF(куб!$E:$E,$E718,куб!R:R),IF($D718&lt;&gt;0,SUMIF(куб!$D:$D,$D718,куб!R:R),IF($C718&lt;&gt;0,SUMIF(куб!$C:$C,$C718,куб!R:R),IF($B718&lt;&gt;0,SUMIF(куб!$B:$B,$B718,куб!R:R))))))</f>
        <v>0</v>
      </c>
      <c r="AG718" s="27" t="b">
        <f>IF($G718&lt;&gt;0,SUMIF(куб!$G:$G,$G718,куб!S:S),IF($E718&lt;&gt;0,SUMIF(куб!$E:$E,$E718,куб!S:S),IF($D718&lt;&gt;0,SUMIF(куб!$D:$D,$D718,куб!S:S),IF($C718&lt;&gt;0,SUMIF(куб!$C:$C,$C718,куб!S:S),IF($B718&lt;&gt;0,SUMIF(куб!$B:$B,$B718,куб!S:S))))))</f>
        <v>0</v>
      </c>
      <c r="AH718" s="16" t="str">
        <f t="shared" si="247"/>
        <v>-</v>
      </c>
      <c r="AI718" s="8"/>
      <c r="AJ718" s="27" t="b">
        <f>IF($G718&lt;&gt;0,SUMIF(куб!$G:$G,$G718,куб!T:T),IF($E718&lt;&gt;0,SUMIF(куб!$E:$E,$E718,куб!T:T),IF($D718&lt;&gt;0,SUMIF(куб!$D:$D,$D718,куб!T:T),IF($C718&lt;&gt;0,SUMIF(куб!$C:$C,$C718,куб!T:T),IF($B718&lt;&gt;0,SUMIF(куб!$B:$B,$B718,куб!T:T))))))</f>
        <v>0</v>
      </c>
      <c r="AK718" s="27" t="b">
        <f>IF($G718&lt;&gt;0,SUMIF(куб!$G:$G,$G718,куб!U:U),IF($E718&lt;&gt;0,SUMIF(куб!$E:$E,$E718,куб!U:U),IF($D718&lt;&gt;0,SUMIF(куб!$D:$D,$D718,куб!U:U),IF($C718&lt;&gt;0,SUMIF(куб!$C:$C,$C718,куб!U:U),IF($B718&lt;&gt;0,SUMIF(куб!$B:$B,$B718,куб!U:U))))))</f>
        <v>0</v>
      </c>
      <c r="AL718" s="16" t="str">
        <f t="shared" si="248"/>
        <v>-</v>
      </c>
      <c r="AM718" s="8"/>
      <c r="AN718" s="17" t="str">
        <f t="shared" si="249"/>
        <v xml:space="preserve"> </v>
      </c>
      <c r="AO718" s="17" t="str">
        <f t="shared" si="250"/>
        <v xml:space="preserve"> </v>
      </c>
      <c r="AP718" s="16" t="str">
        <f t="shared" si="251"/>
        <v>-</v>
      </c>
      <c r="AQ718" s="8"/>
      <c r="AR718" s="17" t="str">
        <f t="shared" si="252"/>
        <v>-</v>
      </c>
      <c r="AS718" s="17" t="str">
        <f t="shared" si="253"/>
        <v>-</v>
      </c>
      <c r="AT718" s="13" t="str">
        <f t="shared" si="254"/>
        <v>-</v>
      </c>
      <c r="AU718" s="8"/>
    </row>
    <row r="719" spans="1:47" x14ac:dyDescent="0.25">
      <c r="A719" s="31"/>
      <c r="B719" s="31"/>
      <c r="C719"/>
      <c r="D719" s="31"/>
      <c r="E719"/>
      <c r="F719" s="31"/>
      <c r="G719"/>
      <c r="H719" s="27">
        <f>IF($G719&lt;&gt;0,SUMIF(куб!$G:$G,$G719,куб!H:H),IF($E719&lt;&gt;0,SUMIF(куб!$E:$E,$E719,куб!H:H),IF($D719&lt;&gt;0,SUMIF(куб!$D:$D,$D719,куб!H:H),IF($C719&lt;&gt;0,SUMIF(куб!$C:$C,$C719,куб!H:H),IF($B719&lt;&gt;0,SUMIF(куб!$B:$B,$B719,куб!H:H),IF($G719&lt;&gt;0,SUMIF(куб!$A:$A,$G719,куб!H:H),SUMIF(куб!$A:$A,$G719,куб!H:H)))))))</f>
        <v>0</v>
      </c>
      <c r="I719" s="27">
        <f>IF($G719&lt;&gt;0,SUMIF(куб!$G:$G,$G719,куб!I:I),IF($E719&lt;&gt;0,SUMIF(куб!$E:$E,$E719,куб!I:I),IF($D719&lt;&gt;0,SUMIF(куб!$D:$D,$D719,куб!I:I),IF($C719&lt;&gt;0,SUMIF(куб!$C:$C,$C719,куб!I:I),IF($B719&lt;&gt;0,SUMIF(куб!$B:$B,$B719,куб!I:I),IF($G719&lt;&gt;0,SUMIF(куб!$A:$A,$G719,куб!I:I),SUMIF(куб!$A:$A,$G719,куб!I:I)))))))</f>
        <v>0</v>
      </c>
      <c r="J719" s="19" t="str">
        <f t="shared" si="237"/>
        <v>-</v>
      </c>
      <c r="K719" s="8"/>
      <c r="L719" s="17">
        <f t="shared" si="238"/>
        <v>0</v>
      </c>
      <c r="M719" s="17">
        <f t="shared" si="239"/>
        <v>0</v>
      </c>
      <c r="N719" s="12">
        <f t="shared" si="240"/>
        <v>0</v>
      </c>
      <c r="O719" s="5"/>
      <c r="P719" s="27" t="b">
        <f>IF($G719&lt;&gt;0,SUMIF(куб!$G:$G,$G719,куб!J:J),IF($E719&lt;&gt;0,SUMIF(куб!$E:$E,$E719,куб!J:J),IF($D719&lt;&gt;0,SUMIF(куб!$D:$D,$D719,куб!J:J),IF($C719&lt;&gt;0,SUMIF(куб!$C:$C,$C719,куб!J:J),IF($B719&lt;&gt;0,SUMIF(куб!$B:$B,$B719,куб!J:J))))))</f>
        <v>0</v>
      </c>
      <c r="Q719" s="27" t="b">
        <f>IF($G719&lt;&gt;0,SUMIF(куб!$G:$G,$G719,куб!K:K),IF($E719&lt;&gt;0,SUMIF(куб!$E:$E,$E719,куб!K:K),IF($D719&lt;&gt;0,SUMIF(куб!$D:$D,$D719,куб!K:K),IF($C719&lt;&gt;0,SUMIF(куб!$C:$C,$C719,куб!K:K),IF($B719&lt;&gt;0,SUMIF(куб!$B:$B,$B719,куб!K:K))))))</f>
        <v>0</v>
      </c>
      <c r="R719" s="13" t="str">
        <f t="shared" si="241"/>
        <v>-</v>
      </c>
      <c r="S719" s="5"/>
      <c r="T719" s="27" t="b">
        <f>IF($G719&lt;&gt;0,SUMIF(куб!$G:$G,$G719,куб!L:L),IF($E719&lt;&gt;0,SUMIF(куб!$E:$E,$E719,куб!L:L),IF($D719&lt;&gt;0,SUMIF(куб!$D:$D,$D719,куб!L:L),IF($C719&lt;&gt;0,SUMIF(куб!$C:$C,$C719,куб!L:L),IF($B719&lt;&gt;0,SUMIF(куб!$B:$B,$B719,куб!L:L))))))</f>
        <v>0</v>
      </c>
      <c r="U719" s="27" t="b">
        <f>IF($G719&lt;&gt;0,SUMIF(куб!$G:$G,$G719,куб!M:M),IF($E719&lt;&gt;0,SUMIF(куб!$E:$E,$E719,куб!M:M),IF($D719&lt;&gt;0,SUMIF(куб!$D:$D,$D719,куб!M:M),IF($C719&lt;&gt;0,SUMIF(куб!$C:$C,$C719,куб!M:M),IF($B719&lt;&gt;0,SUMIF(куб!$B:$B,$B719,куб!M:M))))))</f>
        <v>0</v>
      </c>
      <c r="V719" s="13" t="str">
        <f t="shared" si="242"/>
        <v>-</v>
      </c>
      <c r="W719" s="5"/>
      <c r="X719" s="27" t="b">
        <f>IF($G719&lt;&gt;0,SUMIF(куб!$G:$G,$G719,куб!N:N),IF($E719&lt;&gt;0,SUMIF(куб!$E:$E,$E719,куб!N:N),IF($D719&lt;&gt;0,SUMIF(куб!$D:$D,$D719,куб!N:N),IF($C719&lt;&gt;0,SUMIF(куб!$C:$C,$C719,куб!N:N),IF($B719&lt;&gt;0,SUMIF(куб!$B:$B,$B719,куб!N:N))))))</f>
        <v>0</v>
      </c>
      <c r="Y719" s="27" t="b">
        <f>IF($G719&lt;&gt;0,SUMIF(куб!$G:$G,$G719,куб!O:O),IF($E719&lt;&gt;0,SUMIF(куб!$E:$E,$E719,куб!O:O),IF($D719&lt;&gt;0,SUMIF(куб!$D:$D,$D719,куб!O:O),IF($C719&lt;&gt;0,SUMIF(куб!$C:$C,$C719,куб!O:O),IF($B719&lt;&gt;0,SUMIF(куб!$B:$B,$B719,куб!O:O))))))</f>
        <v>0</v>
      </c>
      <c r="Z719" s="13" t="str">
        <f t="shared" si="243"/>
        <v>-</v>
      </c>
      <c r="AA719" s="5"/>
      <c r="AB719" s="33" t="str">
        <f t="shared" si="244"/>
        <v/>
      </c>
      <c r="AC719" s="33" t="str">
        <f t="shared" si="245"/>
        <v/>
      </c>
      <c r="AD719" s="15" t="str">
        <f t="shared" si="246"/>
        <v xml:space="preserve"> </v>
      </c>
      <c r="AE719" s="5"/>
      <c r="AF719" s="27" t="b">
        <f>IF($G719&lt;&gt;0,SUMIF(куб!$G:$G,$G719,куб!R:R),IF($E719&lt;&gt;0,SUMIF(куб!$E:$E,$E719,куб!R:R),IF($D719&lt;&gt;0,SUMIF(куб!$D:$D,$D719,куб!R:R),IF($C719&lt;&gt;0,SUMIF(куб!$C:$C,$C719,куб!R:R),IF($B719&lt;&gt;0,SUMIF(куб!$B:$B,$B719,куб!R:R))))))</f>
        <v>0</v>
      </c>
      <c r="AG719" s="27" t="b">
        <f>IF($G719&lt;&gt;0,SUMIF(куб!$G:$G,$G719,куб!S:S),IF($E719&lt;&gt;0,SUMIF(куб!$E:$E,$E719,куб!S:S),IF($D719&lt;&gt;0,SUMIF(куб!$D:$D,$D719,куб!S:S),IF($C719&lt;&gt;0,SUMIF(куб!$C:$C,$C719,куб!S:S),IF($B719&lt;&gt;0,SUMIF(куб!$B:$B,$B719,куб!S:S))))))</f>
        <v>0</v>
      </c>
      <c r="AH719" s="16" t="str">
        <f t="shared" si="247"/>
        <v>-</v>
      </c>
      <c r="AI719" s="8"/>
      <c r="AJ719" s="27" t="b">
        <f>IF($G719&lt;&gt;0,SUMIF(куб!$G:$G,$G719,куб!T:T),IF($E719&lt;&gt;0,SUMIF(куб!$E:$E,$E719,куб!T:T),IF($D719&lt;&gt;0,SUMIF(куб!$D:$D,$D719,куб!T:T),IF($C719&lt;&gt;0,SUMIF(куб!$C:$C,$C719,куб!T:T),IF($B719&lt;&gt;0,SUMIF(куб!$B:$B,$B719,куб!T:T))))))</f>
        <v>0</v>
      </c>
      <c r="AK719" s="27" t="b">
        <f>IF($G719&lt;&gt;0,SUMIF(куб!$G:$G,$G719,куб!U:U),IF($E719&lt;&gt;0,SUMIF(куб!$E:$E,$E719,куб!U:U),IF($D719&lt;&gt;0,SUMIF(куб!$D:$D,$D719,куб!U:U),IF($C719&lt;&gt;0,SUMIF(куб!$C:$C,$C719,куб!U:U),IF($B719&lt;&gt;0,SUMIF(куб!$B:$B,$B719,куб!U:U))))))</f>
        <v>0</v>
      </c>
      <c r="AL719" s="16" t="str">
        <f t="shared" si="248"/>
        <v>-</v>
      </c>
      <c r="AM719" s="8"/>
      <c r="AN719" s="17" t="str">
        <f t="shared" si="249"/>
        <v xml:space="preserve"> </v>
      </c>
      <c r="AO719" s="17" t="str">
        <f t="shared" si="250"/>
        <v xml:space="preserve"> </v>
      </c>
      <c r="AP719" s="16" t="str">
        <f t="shared" si="251"/>
        <v>-</v>
      </c>
      <c r="AQ719" s="8"/>
      <c r="AR719" s="17" t="str">
        <f t="shared" si="252"/>
        <v>-</v>
      </c>
      <c r="AS719" s="17" t="str">
        <f t="shared" si="253"/>
        <v>-</v>
      </c>
      <c r="AT719" s="13" t="str">
        <f t="shared" si="254"/>
        <v>-</v>
      </c>
      <c r="AU719" s="8"/>
    </row>
    <row r="720" spans="1:47" x14ac:dyDescent="0.25">
      <c r="A720" s="31"/>
      <c r="B720" s="31"/>
      <c r="C720"/>
      <c r="D720" s="31"/>
      <c r="E720"/>
      <c r="F720" s="31"/>
      <c r="G720"/>
      <c r="H720" s="27">
        <f>IF($G720&lt;&gt;0,SUMIF(куб!$G:$G,$G720,куб!H:H),IF($E720&lt;&gt;0,SUMIF(куб!$E:$E,$E720,куб!H:H),IF($D720&lt;&gt;0,SUMIF(куб!$D:$D,$D720,куб!H:H),IF($C720&lt;&gt;0,SUMIF(куб!$C:$C,$C720,куб!H:H),IF($B720&lt;&gt;0,SUMIF(куб!$B:$B,$B720,куб!H:H),IF($G720&lt;&gt;0,SUMIF(куб!$A:$A,$G720,куб!H:H),SUMIF(куб!$A:$A,$G720,куб!H:H)))))))</f>
        <v>0</v>
      </c>
      <c r="I720" s="27">
        <f>IF($G720&lt;&gt;0,SUMIF(куб!$G:$G,$G720,куб!I:I),IF($E720&lt;&gt;0,SUMIF(куб!$E:$E,$E720,куб!I:I),IF($D720&lt;&gt;0,SUMIF(куб!$D:$D,$D720,куб!I:I),IF($C720&lt;&gt;0,SUMIF(куб!$C:$C,$C720,куб!I:I),IF($B720&lt;&gt;0,SUMIF(куб!$B:$B,$B720,куб!I:I),IF($G720&lt;&gt;0,SUMIF(куб!$A:$A,$G720,куб!I:I),SUMIF(куб!$A:$A,$G720,куб!I:I)))))))</f>
        <v>0</v>
      </c>
      <c r="J720" s="19" t="str">
        <f t="shared" si="237"/>
        <v>-</v>
      </c>
      <c r="K720" s="8"/>
      <c r="L720" s="17">
        <f t="shared" si="238"/>
        <v>0</v>
      </c>
      <c r="M720" s="17">
        <f t="shared" si="239"/>
        <v>0</v>
      </c>
      <c r="N720" s="12">
        <f t="shared" si="240"/>
        <v>0</v>
      </c>
      <c r="O720" s="5"/>
      <c r="P720" s="27" t="b">
        <f>IF($G720&lt;&gt;0,SUMIF(куб!$G:$G,$G720,куб!J:J),IF($E720&lt;&gt;0,SUMIF(куб!$E:$E,$E720,куб!J:J),IF($D720&lt;&gt;0,SUMIF(куб!$D:$D,$D720,куб!J:J),IF($C720&lt;&gt;0,SUMIF(куб!$C:$C,$C720,куб!J:J),IF($B720&lt;&gt;0,SUMIF(куб!$B:$B,$B720,куб!J:J))))))</f>
        <v>0</v>
      </c>
      <c r="Q720" s="27" t="b">
        <f>IF($G720&lt;&gt;0,SUMIF(куб!$G:$G,$G720,куб!K:K),IF($E720&lt;&gt;0,SUMIF(куб!$E:$E,$E720,куб!K:K),IF($D720&lt;&gt;0,SUMIF(куб!$D:$D,$D720,куб!K:K),IF($C720&lt;&gt;0,SUMIF(куб!$C:$C,$C720,куб!K:K),IF($B720&lt;&gt;0,SUMIF(куб!$B:$B,$B720,куб!K:K))))))</f>
        <v>0</v>
      </c>
      <c r="R720" s="13" t="str">
        <f t="shared" si="241"/>
        <v>-</v>
      </c>
      <c r="S720" s="5"/>
      <c r="T720" s="27" t="b">
        <f>IF($G720&lt;&gt;0,SUMIF(куб!$G:$G,$G720,куб!L:L),IF($E720&lt;&gt;0,SUMIF(куб!$E:$E,$E720,куб!L:L),IF($D720&lt;&gt;0,SUMIF(куб!$D:$D,$D720,куб!L:L),IF($C720&lt;&gt;0,SUMIF(куб!$C:$C,$C720,куб!L:L),IF($B720&lt;&gt;0,SUMIF(куб!$B:$B,$B720,куб!L:L))))))</f>
        <v>0</v>
      </c>
      <c r="U720" s="27" t="b">
        <f>IF($G720&lt;&gt;0,SUMIF(куб!$G:$G,$G720,куб!M:M),IF($E720&lt;&gt;0,SUMIF(куб!$E:$E,$E720,куб!M:M),IF($D720&lt;&gt;0,SUMIF(куб!$D:$D,$D720,куб!M:M),IF($C720&lt;&gt;0,SUMIF(куб!$C:$C,$C720,куб!M:M),IF($B720&lt;&gt;0,SUMIF(куб!$B:$B,$B720,куб!M:M))))))</f>
        <v>0</v>
      </c>
      <c r="V720" s="13" t="str">
        <f t="shared" si="242"/>
        <v>-</v>
      </c>
      <c r="W720" s="5"/>
      <c r="X720" s="27" t="b">
        <f>IF($G720&lt;&gt;0,SUMIF(куб!$G:$G,$G720,куб!N:N),IF($E720&lt;&gt;0,SUMIF(куб!$E:$E,$E720,куб!N:N),IF($D720&lt;&gt;0,SUMIF(куб!$D:$D,$D720,куб!N:N),IF($C720&lt;&gt;0,SUMIF(куб!$C:$C,$C720,куб!N:N),IF($B720&lt;&gt;0,SUMIF(куб!$B:$B,$B720,куб!N:N))))))</f>
        <v>0</v>
      </c>
      <c r="Y720" s="27" t="b">
        <f>IF($G720&lt;&gt;0,SUMIF(куб!$G:$G,$G720,куб!O:O),IF($E720&lt;&gt;0,SUMIF(куб!$E:$E,$E720,куб!O:O),IF($D720&lt;&gt;0,SUMIF(куб!$D:$D,$D720,куб!O:O),IF($C720&lt;&gt;0,SUMIF(куб!$C:$C,$C720,куб!O:O),IF($B720&lt;&gt;0,SUMIF(куб!$B:$B,$B720,куб!O:O))))))</f>
        <v>0</v>
      </c>
      <c r="Z720" s="13" t="str">
        <f t="shared" si="243"/>
        <v>-</v>
      </c>
      <c r="AA720" s="5"/>
      <c r="AB720" s="33" t="str">
        <f t="shared" si="244"/>
        <v/>
      </c>
      <c r="AC720" s="33" t="str">
        <f t="shared" si="245"/>
        <v/>
      </c>
      <c r="AD720" s="15" t="str">
        <f t="shared" si="246"/>
        <v xml:space="preserve"> </v>
      </c>
      <c r="AE720" s="5"/>
      <c r="AF720" s="27" t="b">
        <f>IF($G720&lt;&gt;0,SUMIF(куб!$G:$G,$G720,куб!R:R),IF($E720&lt;&gt;0,SUMIF(куб!$E:$E,$E720,куб!R:R),IF($D720&lt;&gt;0,SUMIF(куб!$D:$D,$D720,куб!R:R),IF($C720&lt;&gt;0,SUMIF(куб!$C:$C,$C720,куб!R:R),IF($B720&lt;&gt;0,SUMIF(куб!$B:$B,$B720,куб!R:R))))))</f>
        <v>0</v>
      </c>
      <c r="AG720" s="27" t="b">
        <f>IF($G720&lt;&gt;0,SUMIF(куб!$G:$G,$G720,куб!S:S),IF($E720&lt;&gt;0,SUMIF(куб!$E:$E,$E720,куб!S:S),IF($D720&lt;&gt;0,SUMIF(куб!$D:$D,$D720,куб!S:S),IF($C720&lt;&gt;0,SUMIF(куб!$C:$C,$C720,куб!S:S),IF($B720&lt;&gt;0,SUMIF(куб!$B:$B,$B720,куб!S:S))))))</f>
        <v>0</v>
      </c>
      <c r="AH720" s="16" t="str">
        <f t="shared" si="247"/>
        <v>-</v>
      </c>
      <c r="AI720" s="8"/>
      <c r="AJ720" s="27" t="b">
        <f>IF($G720&lt;&gt;0,SUMIF(куб!$G:$G,$G720,куб!T:T),IF($E720&lt;&gt;0,SUMIF(куб!$E:$E,$E720,куб!T:T),IF($D720&lt;&gt;0,SUMIF(куб!$D:$D,$D720,куб!T:T),IF($C720&lt;&gt;0,SUMIF(куб!$C:$C,$C720,куб!T:T),IF($B720&lt;&gt;0,SUMIF(куб!$B:$B,$B720,куб!T:T))))))</f>
        <v>0</v>
      </c>
      <c r="AK720" s="27" t="b">
        <f>IF($G720&lt;&gt;0,SUMIF(куб!$G:$G,$G720,куб!U:U),IF($E720&lt;&gt;0,SUMIF(куб!$E:$E,$E720,куб!U:U),IF($D720&lt;&gt;0,SUMIF(куб!$D:$D,$D720,куб!U:U),IF($C720&lt;&gt;0,SUMIF(куб!$C:$C,$C720,куб!U:U),IF($B720&lt;&gt;0,SUMIF(куб!$B:$B,$B720,куб!U:U))))))</f>
        <v>0</v>
      </c>
      <c r="AL720" s="16" t="str">
        <f t="shared" si="248"/>
        <v>-</v>
      </c>
      <c r="AM720" s="8"/>
      <c r="AN720" s="17" t="str">
        <f t="shared" si="249"/>
        <v xml:space="preserve"> </v>
      </c>
      <c r="AO720" s="17" t="str">
        <f t="shared" si="250"/>
        <v xml:space="preserve"> </v>
      </c>
      <c r="AP720" s="16" t="str">
        <f t="shared" si="251"/>
        <v>-</v>
      </c>
      <c r="AQ720" s="8"/>
      <c r="AR720" s="17" t="str">
        <f t="shared" si="252"/>
        <v>-</v>
      </c>
      <c r="AS720" s="17" t="str">
        <f t="shared" si="253"/>
        <v>-</v>
      </c>
      <c r="AT720" s="13" t="str">
        <f t="shared" si="254"/>
        <v>-</v>
      </c>
      <c r="AU720" s="8"/>
    </row>
    <row r="721" spans="1:47" x14ac:dyDescent="0.25">
      <c r="A721" s="31"/>
      <c r="B721" s="31"/>
      <c r="C721"/>
      <c r="D721" s="31"/>
      <c r="E721"/>
      <c r="F721" s="31"/>
      <c r="G721"/>
      <c r="H721" s="27">
        <f>IF($G721&lt;&gt;0,SUMIF(куб!$G:$G,$G721,куб!H:H),IF($E721&lt;&gt;0,SUMIF(куб!$E:$E,$E721,куб!H:H),IF($D721&lt;&gt;0,SUMIF(куб!$D:$D,$D721,куб!H:H),IF($C721&lt;&gt;0,SUMIF(куб!$C:$C,$C721,куб!H:H),IF($B721&lt;&gt;0,SUMIF(куб!$B:$B,$B721,куб!H:H),IF($G721&lt;&gt;0,SUMIF(куб!$A:$A,$G721,куб!H:H),SUMIF(куб!$A:$A,$G721,куб!H:H)))))))</f>
        <v>0</v>
      </c>
      <c r="I721" s="27">
        <f>IF($G721&lt;&gt;0,SUMIF(куб!$G:$G,$G721,куб!I:I),IF($E721&lt;&gt;0,SUMIF(куб!$E:$E,$E721,куб!I:I),IF($D721&lt;&gt;0,SUMIF(куб!$D:$D,$D721,куб!I:I),IF($C721&lt;&gt;0,SUMIF(куб!$C:$C,$C721,куб!I:I),IF($B721&lt;&gt;0,SUMIF(куб!$B:$B,$B721,куб!I:I),IF($G721&lt;&gt;0,SUMIF(куб!$A:$A,$G721,куб!I:I),SUMIF(куб!$A:$A,$G721,куб!I:I)))))))</f>
        <v>0</v>
      </c>
      <c r="J721" s="19" t="str">
        <f t="shared" si="237"/>
        <v>-</v>
      </c>
      <c r="K721" s="8"/>
      <c r="L721" s="17">
        <f t="shared" si="238"/>
        <v>0</v>
      </c>
      <c r="M721" s="17">
        <f t="shared" si="239"/>
        <v>0</v>
      </c>
      <c r="N721" s="12">
        <f t="shared" si="240"/>
        <v>0</v>
      </c>
      <c r="O721" s="5"/>
      <c r="P721" s="27" t="b">
        <f>IF($G721&lt;&gt;0,SUMIF(куб!$G:$G,$G721,куб!J:J),IF($E721&lt;&gt;0,SUMIF(куб!$E:$E,$E721,куб!J:J),IF($D721&lt;&gt;0,SUMIF(куб!$D:$D,$D721,куб!J:J),IF($C721&lt;&gt;0,SUMIF(куб!$C:$C,$C721,куб!J:J),IF($B721&lt;&gt;0,SUMIF(куб!$B:$B,$B721,куб!J:J))))))</f>
        <v>0</v>
      </c>
      <c r="Q721" s="27" t="b">
        <f>IF($G721&lt;&gt;0,SUMIF(куб!$G:$G,$G721,куб!K:K),IF($E721&lt;&gt;0,SUMIF(куб!$E:$E,$E721,куб!K:K),IF($D721&lt;&gt;0,SUMIF(куб!$D:$D,$D721,куб!K:K),IF($C721&lt;&gt;0,SUMIF(куб!$C:$C,$C721,куб!K:K),IF($B721&lt;&gt;0,SUMIF(куб!$B:$B,$B721,куб!K:K))))))</f>
        <v>0</v>
      </c>
      <c r="R721" s="13" t="str">
        <f t="shared" si="241"/>
        <v>-</v>
      </c>
      <c r="S721" s="5"/>
      <c r="T721" s="27" t="b">
        <f>IF($G721&lt;&gt;0,SUMIF(куб!$G:$G,$G721,куб!L:L),IF($E721&lt;&gt;0,SUMIF(куб!$E:$E,$E721,куб!L:L),IF($D721&lt;&gt;0,SUMIF(куб!$D:$D,$D721,куб!L:L),IF($C721&lt;&gt;0,SUMIF(куб!$C:$C,$C721,куб!L:L),IF($B721&lt;&gt;0,SUMIF(куб!$B:$B,$B721,куб!L:L))))))</f>
        <v>0</v>
      </c>
      <c r="U721" s="27" t="b">
        <f>IF($G721&lt;&gt;0,SUMIF(куб!$G:$G,$G721,куб!M:M),IF($E721&lt;&gt;0,SUMIF(куб!$E:$E,$E721,куб!M:M),IF($D721&lt;&gt;0,SUMIF(куб!$D:$D,$D721,куб!M:M),IF($C721&lt;&gt;0,SUMIF(куб!$C:$C,$C721,куб!M:M),IF($B721&lt;&gt;0,SUMIF(куб!$B:$B,$B721,куб!M:M))))))</f>
        <v>0</v>
      </c>
      <c r="V721" s="13" t="str">
        <f t="shared" si="242"/>
        <v>-</v>
      </c>
      <c r="W721" s="5"/>
      <c r="X721" s="27" t="b">
        <f>IF($G721&lt;&gt;0,SUMIF(куб!$G:$G,$G721,куб!N:N),IF($E721&lt;&gt;0,SUMIF(куб!$E:$E,$E721,куб!N:N),IF($D721&lt;&gt;0,SUMIF(куб!$D:$D,$D721,куб!N:N),IF($C721&lt;&gt;0,SUMIF(куб!$C:$C,$C721,куб!N:N),IF($B721&lt;&gt;0,SUMIF(куб!$B:$B,$B721,куб!N:N))))))</f>
        <v>0</v>
      </c>
      <c r="Y721" s="27" t="b">
        <f>IF($G721&lt;&gt;0,SUMIF(куб!$G:$G,$G721,куб!O:O),IF($E721&lt;&gt;0,SUMIF(куб!$E:$E,$E721,куб!O:O),IF($D721&lt;&gt;0,SUMIF(куб!$D:$D,$D721,куб!O:O),IF($C721&lt;&gt;0,SUMIF(куб!$C:$C,$C721,куб!O:O),IF($B721&lt;&gt;0,SUMIF(куб!$B:$B,$B721,куб!O:O))))))</f>
        <v>0</v>
      </c>
      <c r="Z721" s="13" t="str">
        <f t="shared" si="243"/>
        <v>-</v>
      </c>
      <c r="AA721" s="5"/>
      <c r="AB721" s="33" t="str">
        <f t="shared" si="244"/>
        <v/>
      </c>
      <c r="AC721" s="33" t="str">
        <f t="shared" si="245"/>
        <v/>
      </c>
      <c r="AD721" s="15" t="str">
        <f t="shared" si="246"/>
        <v xml:space="preserve"> </v>
      </c>
      <c r="AE721" s="5"/>
      <c r="AF721" s="27" t="b">
        <f>IF($G721&lt;&gt;0,SUMIF(куб!$G:$G,$G721,куб!R:R),IF($E721&lt;&gt;0,SUMIF(куб!$E:$E,$E721,куб!R:R),IF($D721&lt;&gt;0,SUMIF(куб!$D:$D,$D721,куб!R:R),IF($C721&lt;&gt;0,SUMIF(куб!$C:$C,$C721,куб!R:R),IF($B721&lt;&gt;0,SUMIF(куб!$B:$B,$B721,куб!R:R))))))</f>
        <v>0</v>
      </c>
      <c r="AG721" s="27" t="b">
        <f>IF($G721&lt;&gt;0,SUMIF(куб!$G:$G,$G721,куб!S:S),IF($E721&lt;&gt;0,SUMIF(куб!$E:$E,$E721,куб!S:S),IF($D721&lt;&gt;0,SUMIF(куб!$D:$D,$D721,куб!S:S),IF($C721&lt;&gt;0,SUMIF(куб!$C:$C,$C721,куб!S:S),IF($B721&lt;&gt;0,SUMIF(куб!$B:$B,$B721,куб!S:S))))))</f>
        <v>0</v>
      </c>
      <c r="AH721" s="16" t="str">
        <f t="shared" si="247"/>
        <v>-</v>
      </c>
      <c r="AI721" s="8"/>
      <c r="AJ721" s="27" t="b">
        <f>IF($G721&lt;&gt;0,SUMIF(куб!$G:$G,$G721,куб!T:T),IF($E721&lt;&gt;0,SUMIF(куб!$E:$E,$E721,куб!T:T),IF($D721&lt;&gt;0,SUMIF(куб!$D:$D,$D721,куб!T:T),IF($C721&lt;&gt;0,SUMIF(куб!$C:$C,$C721,куб!T:T),IF($B721&lt;&gt;0,SUMIF(куб!$B:$B,$B721,куб!T:T))))))</f>
        <v>0</v>
      </c>
      <c r="AK721" s="27" t="b">
        <f>IF($G721&lt;&gt;0,SUMIF(куб!$G:$G,$G721,куб!U:U),IF($E721&lt;&gt;0,SUMIF(куб!$E:$E,$E721,куб!U:U),IF($D721&lt;&gt;0,SUMIF(куб!$D:$D,$D721,куб!U:U),IF($C721&lt;&gt;0,SUMIF(куб!$C:$C,$C721,куб!U:U),IF($B721&lt;&gt;0,SUMIF(куб!$B:$B,$B721,куб!U:U))))))</f>
        <v>0</v>
      </c>
      <c r="AL721" s="16" t="str">
        <f t="shared" si="248"/>
        <v>-</v>
      </c>
      <c r="AM721" s="8"/>
      <c r="AN721" s="17" t="str">
        <f t="shared" si="249"/>
        <v xml:space="preserve"> </v>
      </c>
      <c r="AO721" s="17" t="str">
        <f t="shared" si="250"/>
        <v xml:space="preserve"> </v>
      </c>
      <c r="AP721" s="16" t="str">
        <f t="shared" si="251"/>
        <v>-</v>
      </c>
      <c r="AQ721" s="8"/>
      <c r="AR721" s="17" t="str">
        <f t="shared" si="252"/>
        <v>-</v>
      </c>
      <c r="AS721" s="17" t="str">
        <f t="shared" si="253"/>
        <v>-</v>
      </c>
      <c r="AT721" s="13" t="str">
        <f t="shared" si="254"/>
        <v>-</v>
      </c>
      <c r="AU721" s="8"/>
    </row>
    <row r="722" spans="1:47" x14ac:dyDescent="0.25">
      <c r="A722" s="31"/>
      <c r="B722" s="31"/>
      <c r="C722"/>
      <c r="D722" s="31"/>
      <c r="E722"/>
      <c r="F722" s="31"/>
      <c r="G722"/>
      <c r="H722" s="27">
        <f>IF($G722&lt;&gt;0,SUMIF(куб!$G:$G,$G722,куб!H:H),IF($E722&lt;&gt;0,SUMIF(куб!$E:$E,$E722,куб!H:H),IF($D722&lt;&gt;0,SUMIF(куб!$D:$D,$D722,куб!H:H),IF($C722&lt;&gt;0,SUMIF(куб!$C:$C,$C722,куб!H:H),IF($B722&lt;&gt;0,SUMIF(куб!$B:$B,$B722,куб!H:H),IF($G722&lt;&gt;0,SUMIF(куб!$A:$A,$G722,куб!H:H),SUMIF(куб!$A:$A,$G722,куб!H:H)))))))</f>
        <v>0</v>
      </c>
      <c r="I722" s="27">
        <f>IF($G722&lt;&gt;0,SUMIF(куб!$G:$G,$G722,куб!I:I),IF($E722&lt;&gt;0,SUMIF(куб!$E:$E,$E722,куб!I:I),IF($D722&lt;&gt;0,SUMIF(куб!$D:$D,$D722,куб!I:I),IF($C722&lt;&gt;0,SUMIF(куб!$C:$C,$C722,куб!I:I),IF($B722&lt;&gt;0,SUMIF(куб!$B:$B,$B722,куб!I:I),IF($G722&lt;&gt;0,SUMIF(куб!$A:$A,$G722,куб!I:I),SUMIF(куб!$A:$A,$G722,куб!I:I)))))))</f>
        <v>0</v>
      </c>
      <c r="J722" s="19" t="str">
        <f t="shared" si="237"/>
        <v>-</v>
      </c>
      <c r="K722" s="8"/>
      <c r="L722" s="17">
        <f t="shared" si="238"/>
        <v>0</v>
      </c>
      <c r="M722" s="17">
        <f t="shared" si="239"/>
        <v>0</v>
      </c>
      <c r="N722" s="12">
        <f t="shared" si="240"/>
        <v>0</v>
      </c>
      <c r="O722" s="5"/>
      <c r="P722" s="27" t="b">
        <f>IF($G722&lt;&gt;0,SUMIF(куб!$G:$G,$G722,куб!J:J),IF($E722&lt;&gt;0,SUMIF(куб!$E:$E,$E722,куб!J:J),IF($D722&lt;&gt;0,SUMIF(куб!$D:$D,$D722,куб!J:J),IF($C722&lt;&gt;0,SUMIF(куб!$C:$C,$C722,куб!J:J),IF($B722&lt;&gt;0,SUMIF(куб!$B:$B,$B722,куб!J:J))))))</f>
        <v>0</v>
      </c>
      <c r="Q722" s="27" t="b">
        <f>IF($G722&lt;&gt;0,SUMIF(куб!$G:$G,$G722,куб!K:K),IF($E722&lt;&gt;0,SUMIF(куб!$E:$E,$E722,куб!K:K),IF($D722&lt;&gt;0,SUMIF(куб!$D:$D,$D722,куб!K:K),IF($C722&lt;&gt;0,SUMIF(куб!$C:$C,$C722,куб!K:K),IF($B722&lt;&gt;0,SUMIF(куб!$B:$B,$B722,куб!K:K))))))</f>
        <v>0</v>
      </c>
      <c r="R722" s="13" t="str">
        <f t="shared" si="241"/>
        <v>-</v>
      </c>
      <c r="S722" s="5"/>
      <c r="T722" s="27" t="b">
        <f>IF($G722&lt;&gt;0,SUMIF(куб!$G:$G,$G722,куб!L:L),IF($E722&lt;&gt;0,SUMIF(куб!$E:$E,$E722,куб!L:L),IF($D722&lt;&gt;0,SUMIF(куб!$D:$D,$D722,куб!L:L),IF($C722&lt;&gt;0,SUMIF(куб!$C:$C,$C722,куб!L:L),IF($B722&lt;&gt;0,SUMIF(куб!$B:$B,$B722,куб!L:L))))))</f>
        <v>0</v>
      </c>
      <c r="U722" s="27" t="b">
        <f>IF($G722&lt;&gt;0,SUMIF(куб!$G:$G,$G722,куб!M:M),IF($E722&lt;&gt;0,SUMIF(куб!$E:$E,$E722,куб!M:M),IF($D722&lt;&gt;0,SUMIF(куб!$D:$D,$D722,куб!M:M),IF($C722&lt;&gt;0,SUMIF(куб!$C:$C,$C722,куб!M:M),IF($B722&lt;&gt;0,SUMIF(куб!$B:$B,$B722,куб!M:M))))))</f>
        <v>0</v>
      </c>
      <c r="V722" s="13" t="str">
        <f t="shared" si="242"/>
        <v>-</v>
      </c>
      <c r="W722" s="5"/>
      <c r="X722" s="27" t="b">
        <f>IF($G722&lt;&gt;0,SUMIF(куб!$G:$G,$G722,куб!N:N),IF($E722&lt;&gt;0,SUMIF(куб!$E:$E,$E722,куб!N:N),IF($D722&lt;&gt;0,SUMIF(куб!$D:$D,$D722,куб!N:N),IF($C722&lt;&gt;0,SUMIF(куб!$C:$C,$C722,куб!N:N),IF($B722&lt;&gt;0,SUMIF(куб!$B:$B,$B722,куб!N:N))))))</f>
        <v>0</v>
      </c>
      <c r="Y722" s="27" t="b">
        <f>IF($G722&lt;&gt;0,SUMIF(куб!$G:$G,$G722,куб!O:O),IF($E722&lt;&gt;0,SUMIF(куб!$E:$E,$E722,куб!O:O),IF($D722&lt;&gt;0,SUMIF(куб!$D:$D,$D722,куб!O:O),IF($C722&lt;&gt;0,SUMIF(куб!$C:$C,$C722,куб!O:O),IF($B722&lt;&gt;0,SUMIF(куб!$B:$B,$B722,куб!O:O))))))</f>
        <v>0</v>
      </c>
      <c r="Z722" s="13" t="str">
        <f t="shared" si="243"/>
        <v>-</v>
      </c>
      <c r="AA722" s="5"/>
      <c r="AB722" s="33" t="str">
        <f t="shared" si="244"/>
        <v/>
      </c>
      <c r="AC722" s="33" t="str">
        <f t="shared" si="245"/>
        <v/>
      </c>
      <c r="AD722" s="15" t="str">
        <f t="shared" si="246"/>
        <v xml:space="preserve"> </v>
      </c>
      <c r="AE722" s="5"/>
      <c r="AF722" s="27" t="b">
        <f>IF($G722&lt;&gt;0,SUMIF(куб!$G:$G,$G722,куб!R:R),IF($E722&lt;&gt;0,SUMIF(куб!$E:$E,$E722,куб!R:R),IF($D722&lt;&gt;0,SUMIF(куб!$D:$D,$D722,куб!R:R),IF($C722&lt;&gt;0,SUMIF(куб!$C:$C,$C722,куб!R:R),IF($B722&lt;&gt;0,SUMIF(куб!$B:$B,$B722,куб!R:R))))))</f>
        <v>0</v>
      </c>
      <c r="AG722" s="27" t="b">
        <f>IF($G722&lt;&gt;0,SUMIF(куб!$G:$G,$G722,куб!S:S),IF($E722&lt;&gt;0,SUMIF(куб!$E:$E,$E722,куб!S:S),IF($D722&lt;&gt;0,SUMIF(куб!$D:$D,$D722,куб!S:S),IF($C722&lt;&gt;0,SUMIF(куб!$C:$C,$C722,куб!S:S),IF($B722&lt;&gt;0,SUMIF(куб!$B:$B,$B722,куб!S:S))))))</f>
        <v>0</v>
      </c>
      <c r="AH722" s="16" t="str">
        <f t="shared" si="247"/>
        <v>-</v>
      </c>
      <c r="AI722" s="8"/>
      <c r="AJ722" s="27" t="b">
        <f>IF($G722&lt;&gt;0,SUMIF(куб!$G:$G,$G722,куб!T:T),IF($E722&lt;&gt;0,SUMIF(куб!$E:$E,$E722,куб!T:T),IF($D722&lt;&gt;0,SUMIF(куб!$D:$D,$D722,куб!T:T),IF($C722&lt;&gt;0,SUMIF(куб!$C:$C,$C722,куб!T:T),IF($B722&lt;&gt;0,SUMIF(куб!$B:$B,$B722,куб!T:T))))))</f>
        <v>0</v>
      </c>
      <c r="AK722" s="27" t="b">
        <f>IF($G722&lt;&gt;0,SUMIF(куб!$G:$G,$G722,куб!U:U),IF($E722&lt;&gt;0,SUMIF(куб!$E:$E,$E722,куб!U:U),IF($D722&lt;&gt;0,SUMIF(куб!$D:$D,$D722,куб!U:U),IF($C722&lt;&gt;0,SUMIF(куб!$C:$C,$C722,куб!U:U),IF($B722&lt;&gt;0,SUMIF(куб!$B:$B,$B722,куб!U:U))))))</f>
        <v>0</v>
      </c>
      <c r="AL722" s="16" t="str">
        <f t="shared" si="248"/>
        <v>-</v>
      </c>
      <c r="AM722" s="8"/>
      <c r="AN722" s="17" t="str">
        <f t="shared" si="249"/>
        <v xml:space="preserve"> </v>
      </c>
      <c r="AO722" s="17" t="str">
        <f t="shared" si="250"/>
        <v xml:space="preserve"> </v>
      </c>
      <c r="AP722" s="16" t="str">
        <f t="shared" si="251"/>
        <v>-</v>
      </c>
      <c r="AQ722" s="8"/>
      <c r="AR722" s="17" t="str">
        <f t="shared" si="252"/>
        <v>-</v>
      </c>
      <c r="AS722" s="17" t="str">
        <f t="shared" si="253"/>
        <v>-</v>
      </c>
      <c r="AT722" s="13" t="str">
        <f t="shared" si="254"/>
        <v>-</v>
      </c>
      <c r="AU722" s="8"/>
    </row>
    <row r="723" spans="1:47" x14ac:dyDescent="0.25">
      <c r="A723" s="31"/>
      <c r="B723" s="31"/>
      <c r="C723"/>
      <c r="D723" s="31"/>
      <c r="E723"/>
      <c r="F723" s="31"/>
      <c r="G723"/>
      <c r="H723" s="27">
        <f>IF($G723&lt;&gt;0,SUMIF(куб!$G:$G,$G723,куб!H:H),IF($E723&lt;&gt;0,SUMIF(куб!$E:$E,$E723,куб!H:H),IF($D723&lt;&gt;0,SUMIF(куб!$D:$D,$D723,куб!H:H),IF($C723&lt;&gt;0,SUMIF(куб!$C:$C,$C723,куб!H:H),IF($B723&lt;&gt;0,SUMIF(куб!$B:$B,$B723,куб!H:H),IF($G723&lt;&gt;0,SUMIF(куб!$A:$A,$G723,куб!H:H),SUMIF(куб!$A:$A,$G723,куб!H:H)))))))</f>
        <v>0</v>
      </c>
      <c r="I723" s="27">
        <f>IF($G723&lt;&gt;0,SUMIF(куб!$G:$G,$G723,куб!I:I),IF($E723&lt;&gt;0,SUMIF(куб!$E:$E,$E723,куб!I:I),IF($D723&lt;&gt;0,SUMIF(куб!$D:$D,$D723,куб!I:I),IF($C723&lt;&gt;0,SUMIF(куб!$C:$C,$C723,куб!I:I),IF($B723&lt;&gt;0,SUMIF(куб!$B:$B,$B723,куб!I:I),IF($G723&lt;&gt;0,SUMIF(куб!$A:$A,$G723,куб!I:I),SUMIF(куб!$A:$A,$G723,куб!I:I)))))))</f>
        <v>0</v>
      </c>
      <c r="J723" s="19" t="str">
        <f t="shared" si="237"/>
        <v>-</v>
      </c>
      <c r="K723" s="8"/>
      <c r="L723" s="17">
        <f t="shared" si="238"/>
        <v>0</v>
      </c>
      <c r="M723" s="17">
        <f t="shared" si="239"/>
        <v>0</v>
      </c>
      <c r="N723" s="12">
        <f t="shared" si="240"/>
        <v>0</v>
      </c>
      <c r="O723" s="5"/>
      <c r="P723" s="27" t="b">
        <f>IF($G723&lt;&gt;0,SUMIF(куб!$G:$G,$G723,куб!J:J),IF($E723&lt;&gt;0,SUMIF(куб!$E:$E,$E723,куб!J:J),IF($D723&lt;&gt;0,SUMIF(куб!$D:$D,$D723,куб!J:J),IF($C723&lt;&gt;0,SUMIF(куб!$C:$C,$C723,куб!J:J),IF($B723&lt;&gt;0,SUMIF(куб!$B:$B,$B723,куб!J:J))))))</f>
        <v>0</v>
      </c>
      <c r="Q723" s="27" t="b">
        <f>IF($G723&lt;&gt;0,SUMIF(куб!$G:$G,$G723,куб!K:K),IF($E723&lt;&gt;0,SUMIF(куб!$E:$E,$E723,куб!K:K),IF($D723&lt;&gt;0,SUMIF(куб!$D:$D,$D723,куб!K:K),IF($C723&lt;&gt;0,SUMIF(куб!$C:$C,$C723,куб!K:K),IF($B723&lt;&gt;0,SUMIF(куб!$B:$B,$B723,куб!K:K))))))</f>
        <v>0</v>
      </c>
      <c r="R723" s="13" t="str">
        <f t="shared" si="241"/>
        <v>-</v>
      </c>
      <c r="S723" s="5"/>
      <c r="T723" s="27" t="b">
        <f>IF($G723&lt;&gt;0,SUMIF(куб!$G:$G,$G723,куб!L:L),IF($E723&lt;&gt;0,SUMIF(куб!$E:$E,$E723,куб!L:L),IF($D723&lt;&gt;0,SUMIF(куб!$D:$D,$D723,куб!L:L),IF($C723&lt;&gt;0,SUMIF(куб!$C:$C,$C723,куб!L:L),IF($B723&lt;&gt;0,SUMIF(куб!$B:$B,$B723,куб!L:L))))))</f>
        <v>0</v>
      </c>
      <c r="U723" s="27" t="b">
        <f>IF($G723&lt;&gt;0,SUMIF(куб!$G:$G,$G723,куб!M:M),IF($E723&lt;&gt;0,SUMIF(куб!$E:$E,$E723,куб!M:M),IF($D723&lt;&gt;0,SUMIF(куб!$D:$D,$D723,куб!M:M),IF($C723&lt;&gt;0,SUMIF(куб!$C:$C,$C723,куб!M:M),IF($B723&lt;&gt;0,SUMIF(куб!$B:$B,$B723,куб!M:M))))))</f>
        <v>0</v>
      </c>
      <c r="V723" s="13" t="str">
        <f t="shared" si="242"/>
        <v>-</v>
      </c>
      <c r="W723" s="5"/>
      <c r="X723" s="27" t="b">
        <f>IF($G723&lt;&gt;0,SUMIF(куб!$G:$G,$G723,куб!N:N),IF($E723&lt;&gt;0,SUMIF(куб!$E:$E,$E723,куб!N:N),IF($D723&lt;&gt;0,SUMIF(куб!$D:$D,$D723,куб!N:N),IF($C723&lt;&gt;0,SUMIF(куб!$C:$C,$C723,куб!N:N),IF($B723&lt;&gt;0,SUMIF(куб!$B:$B,$B723,куб!N:N))))))</f>
        <v>0</v>
      </c>
      <c r="Y723" s="27" t="b">
        <f>IF($G723&lt;&gt;0,SUMIF(куб!$G:$G,$G723,куб!O:O),IF($E723&lt;&gt;0,SUMIF(куб!$E:$E,$E723,куб!O:O),IF($D723&lt;&gt;0,SUMIF(куб!$D:$D,$D723,куб!O:O),IF($C723&lt;&gt;0,SUMIF(куб!$C:$C,$C723,куб!O:O),IF($B723&lt;&gt;0,SUMIF(куб!$B:$B,$B723,куб!O:O))))))</f>
        <v>0</v>
      </c>
      <c r="Z723" s="13" t="str">
        <f t="shared" si="243"/>
        <v>-</v>
      </c>
      <c r="AA723" s="5"/>
      <c r="AB723" s="33" t="str">
        <f t="shared" si="244"/>
        <v/>
      </c>
      <c r="AC723" s="33" t="str">
        <f t="shared" si="245"/>
        <v/>
      </c>
      <c r="AD723" s="15" t="str">
        <f t="shared" si="246"/>
        <v xml:space="preserve"> </v>
      </c>
      <c r="AE723" s="5"/>
      <c r="AF723" s="27" t="b">
        <f>IF($G723&lt;&gt;0,SUMIF(куб!$G:$G,$G723,куб!R:R),IF($E723&lt;&gt;0,SUMIF(куб!$E:$E,$E723,куб!R:R),IF($D723&lt;&gt;0,SUMIF(куб!$D:$D,$D723,куб!R:R),IF($C723&lt;&gt;0,SUMIF(куб!$C:$C,$C723,куб!R:R),IF($B723&lt;&gt;0,SUMIF(куб!$B:$B,$B723,куб!R:R))))))</f>
        <v>0</v>
      </c>
      <c r="AG723" s="27" t="b">
        <f>IF($G723&lt;&gt;0,SUMIF(куб!$G:$G,$G723,куб!S:S),IF($E723&lt;&gt;0,SUMIF(куб!$E:$E,$E723,куб!S:S),IF($D723&lt;&gt;0,SUMIF(куб!$D:$D,$D723,куб!S:S),IF($C723&lt;&gt;0,SUMIF(куб!$C:$C,$C723,куб!S:S),IF($B723&lt;&gt;0,SUMIF(куб!$B:$B,$B723,куб!S:S))))))</f>
        <v>0</v>
      </c>
      <c r="AH723" s="16" t="str">
        <f t="shared" si="247"/>
        <v>-</v>
      </c>
      <c r="AI723" s="8"/>
      <c r="AJ723" s="27" t="b">
        <f>IF($G723&lt;&gt;0,SUMIF(куб!$G:$G,$G723,куб!T:T),IF($E723&lt;&gt;0,SUMIF(куб!$E:$E,$E723,куб!T:T),IF($D723&lt;&gt;0,SUMIF(куб!$D:$D,$D723,куб!T:T),IF($C723&lt;&gt;0,SUMIF(куб!$C:$C,$C723,куб!T:T),IF($B723&lt;&gt;0,SUMIF(куб!$B:$B,$B723,куб!T:T))))))</f>
        <v>0</v>
      </c>
      <c r="AK723" s="27" t="b">
        <f>IF($G723&lt;&gt;0,SUMIF(куб!$G:$G,$G723,куб!U:U),IF($E723&lt;&gt;0,SUMIF(куб!$E:$E,$E723,куб!U:U),IF($D723&lt;&gt;0,SUMIF(куб!$D:$D,$D723,куб!U:U),IF($C723&lt;&gt;0,SUMIF(куб!$C:$C,$C723,куб!U:U),IF($B723&lt;&gt;0,SUMIF(куб!$B:$B,$B723,куб!U:U))))))</f>
        <v>0</v>
      </c>
      <c r="AL723" s="16" t="str">
        <f t="shared" si="248"/>
        <v>-</v>
      </c>
      <c r="AM723" s="8"/>
      <c r="AN723" s="17" t="str">
        <f t="shared" si="249"/>
        <v xml:space="preserve"> </v>
      </c>
      <c r="AO723" s="17" t="str">
        <f t="shared" si="250"/>
        <v xml:space="preserve"> </v>
      </c>
      <c r="AP723" s="16" t="str">
        <f t="shared" si="251"/>
        <v>-</v>
      </c>
      <c r="AQ723" s="8"/>
      <c r="AR723" s="17" t="str">
        <f t="shared" si="252"/>
        <v>-</v>
      </c>
      <c r="AS723" s="17" t="str">
        <f t="shared" si="253"/>
        <v>-</v>
      </c>
      <c r="AT723" s="13" t="str">
        <f t="shared" si="254"/>
        <v>-</v>
      </c>
      <c r="AU723" s="8"/>
    </row>
    <row r="724" spans="1:47" x14ac:dyDescent="0.25">
      <c r="A724" s="31"/>
      <c r="B724" s="31"/>
      <c r="C724"/>
      <c r="D724" s="31"/>
      <c r="E724"/>
      <c r="F724" s="31"/>
      <c r="G724"/>
      <c r="H724" s="27">
        <f>IF($G724&lt;&gt;0,SUMIF(куб!$G:$G,$G724,куб!H:H),IF($E724&lt;&gt;0,SUMIF(куб!$E:$E,$E724,куб!H:H),IF($D724&lt;&gt;0,SUMIF(куб!$D:$D,$D724,куб!H:H),IF($C724&lt;&gt;0,SUMIF(куб!$C:$C,$C724,куб!H:H),IF($B724&lt;&gt;0,SUMIF(куб!$B:$B,$B724,куб!H:H),IF($G724&lt;&gt;0,SUMIF(куб!$A:$A,$G724,куб!H:H),SUMIF(куб!$A:$A,$G724,куб!H:H)))))))</f>
        <v>0</v>
      </c>
      <c r="I724" s="27">
        <f>IF($G724&lt;&gt;0,SUMIF(куб!$G:$G,$G724,куб!I:I),IF($E724&lt;&gt;0,SUMIF(куб!$E:$E,$E724,куб!I:I),IF($D724&lt;&gt;0,SUMIF(куб!$D:$D,$D724,куб!I:I),IF($C724&lt;&gt;0,SUMIF(куб!$C:$C,$C724,куб!I:I),IF($B724&lt;&gt;0,SUMIF(куб!$B:$B,$B724,куб!I:I),IF($G724&lt;&gt;0,SUMIF(куб!$A:$A,$G724,куб!I:I),SUMIF(куб!$A:$A,$G724,куб!I:I)))))))</f>
        <v>0</v>
      </c>
      <c r="J724" s="19" t="str">
        <f t="shared" si="237"/>
        <v>-</v>
      </c>
      <c r="K724" s="8"/>
      <c r="L724" s="17">
        <f t="shared" si="238"/>
        <v>0</v>
      </c>
      <c r="M724" s="17">
        <f t="shared" si="239"/>
        <v>0</v>
      </c>
      <c r="N724" s="12">
        <f t="shared" si="240"/>
        <v>0</v>
      </c>
      <c r="O724" s="5"/>
      <c r="P724" s="27" t="b">
        <f>IF($G724&lt;&gt;0,SUMIF(куб!$G:$G,$G724,куб!J:J),IF($E724&lt;&gt;0,SUMIF(куб!$E:$E,$E724,куб!J:J),IF($D724&lt;&gt;0,SUMIF(куб!$D:$D,$D724,куб!J:J),IF($C724&lt;&gt;0,SUMIF(куб!$C:$C,$C724,куб!J:J),IF($B724&lt;&gt;0,SUMIF(куб!$B:$B,$B724,куб!J:J))))))</f>
        <v>0</v>
      </c>
      <c r="Q724" s="27" t="b">
        <f>IF($G724&lt;&gt;0,SUMIF(куб!$G:$G,$G724,куб!K:K),IF($E724&lt;&gt;0,SUMIF(куб!$E:$E,$E724,куб!K:K),IF($D724&lt;&gt;0,SUMIF(куб!$D:$D,$D724,куб!K:K),IF($C724&lt;&gt;0,SUMIF(куб!$C:$C,$C724,куб!K:K),IF($B724&lt;&gt;0,SUMIF(куб!$B:$B,$B724,куб!K:K))))))</f>
        <v>0</v>
      </c>
      <c r="R724" s="13" t="str">
        <f t="shared" si="241"/>
        <v>-</v>
      </c>
      <c r="S724" s="5"/>
      <c r="T724" s="27" t="b">
        <f>IF($G724&lt;&gt;0,SUMIF(куб!$G:$G,$G724,куб!L:L),IF($E724&lt;&gt;0,SUMIF(куб!$E:$E,$E724,куб!L:L),IF($D724&lt;&gt;0,SUMIF(куб!$D:$D,$D724,куб!L:L),IF($C724&lt;&gt;0,SUMIF(куб!$C:$C,$C724,куб!L:L),IF($B724&lt;&gt;0,SUMIF(куб!$B:$B,$B724,куб!L:L))))))</f>
        <v>0</v>
      </c>
      <c r="U724" s="27" t="b">
        <f>IF($G724&lt;&gt;0,SUMIF(куб!$G:$G,$G724,куб!M:M),IF($E724&lt;&gt;0,SUMIF(куб!$E:$E,$E724,куб!M:M),IF($D724&lt;&gt;0,SUMIF(куб!$D:$D,$D724,куб!M:M),IF($C724&lt;&gt;0,SUMIF(куб!$C:$C,$C724,куб!M:M),IF($B724&lt;&gt;0,SUMIF(куб!$B:$B,$B724,куб!M:M))))))</f>
        <v>0</v>
      </c>
      <c r="V724" s="13" t="str">
        <f t="shared" si="242"/>
        <v>-</v>
      </c>
      <c r="W724" s="5"/>
      <c r="X724" s="27" t="b">
        <f>IF($G724&lt;&gt;0,SUMIF(куб!$G:$G,$G724,куб!N:N),IF($E724&lt;&gt;0,SUMIF(куб!$E:$E,$E724,куб!N:N),IF($D724&lt;&gt;0,SUMIF(куб!$D:$D,$D724,куб!N:N),IF($C724&lt;&gt;0,SUMIF(куб!$C:$C,$C724,куб!N:N),IF($B724&lt;&gt;0,SUMIF(куб!$B:$B,$B724,куб!N:N))))))</f>
        <v>0</v>
      </c>
      <c r="Y724" s="27" t="b">
        <f>IF($G724&lt;&gt;0,SUMIF(куб!$G:$G,$G724,куб!O:O),IF($E724&lt;&gt;0,SUMIF(куб!$E:$E,$E724,куб!O:O),IF($D724&lt;&gt;0,SUMIF(куб!$D:$D,$D724,куб!O:O),IF($C724&lt;&gt;0,SUMIF(куб!$C:$C,$C724,куб!O:O),IF($B724&lt;&gt;0,SUMIF(куб!$B:$B,$B724,куб!O:O))))))</f>
        <v>0</v>
      </c>
      <c r="Z724" s="13" t="str">
        <f t="shared" si="243"/>
        <v>-</v>
      </c>
      <c r="AA724" s="5"/>
      <c r="AB724" s="33" t="str">
        <f t="shared" si="244"/>
        <v/>
      </c>
      <c r="AC724" s="33" t="str">
        <f t="shared" si="245"/>
        <v/>
      </c>
      <c r="AD724" s="15" t="str">
        <f t="shared" si="246"/>
        <v xml:space="preserve"> </v>
      </c>
      <c r="AE724" s="5"/>
      <c r="AF724" s="27" t="b">
        <f>IF($G724&lt;&gt;0,SUMIF(куб!$G:$G,$G724,куб!R:R),IF($E724&lt;&gt;0,SUMIF(куб!$E:$E,$E724,куб!R:R),IF($D724&lt;&gt;0,SUMIF(куб!$D:$D,$D724,куб!R:R),IF($C724&lt;&gt;0,SUMIF(куб!$C:$C,$C724,куб!R:R),IF($B724&lt;&gt;0,SUMIF(куб!$B:$B,$B724,куб!R:R))))))</f>
        <v>0</v>
      </c>
      <c r="AG724" s="27" t="b">
        <f>IF($G724&lt;&gt;0,SUMIF(куб!$G:$G,$G724,куб!S:S),IF($E724&lt;&gt;0,SUMIF(куб!$E:$E,$E724,куб!S:S),IF($D724&lt;&gt;0,SUMIF(куб!$D:$D,$D724,куб!S:S),IF($C724&lt;&gt;0,SUMIF(куб!$C:$C,$C724,куб!S:S),IF($B724&lt;&gt;0,SUMIF(куб!$B:$B,$B724,куб!S:S))))))</f>
        <v>0</v>
      </c>
      <c r="AH724" s="16" t="str">
        <f t="shared" si="247"/>
        <v>-</v>
      </c>
      <c r="AI724" s="8"/>
      <c r="AJ724" s="27" t="b">
        <f>IF($G724&lt;&gt;0,SUMIF(куб!$G:$G,$G724,куб!T:T),IF($E724&lt;&gt;0,SUMIF(куб!$E:$E,$E724,куб!T:T),IF($D724&lt;&gt;0,SUMIF(куб!$D:$D,$D724,куб!T:T),IF($C724&lt;&gt;0,SUMIF(куб!$C:$C,$C724,куб!T:T),IF($B724&lt;&gt;0,SUMIF(куб!$B:$B,$B724,куб!T:T))))))</f>
        <v>0</v>
      </c>
      <c r="AK724" s="27" t="b">
        <f>IF($G724&lt;&gt;0,SUMIF(куб!$G:$G,$G724,куб!U:U),IF($E724&lt;&gt;0,SUMIF(куб!$E:$E,$E724,куб!U:U),IF($D724&lt;&gt;0,SUMIF(куб!$D:$D,$D724,куб!U:U),IF($C724&lt;&gt;0,SUMIF(куб!$C:$C,$C724,куб!U:U),IF($B724&lt;&gt;0,SUMIF(куб!$B:$B,$B724,куб!U:U))))))</f>
        <v>0</v>
      </c>
      <c r="AL724" s="16" t="str">
        <f t="shared" si="248"/>
        <v>-</v>
      </c>
      <c r="AM724" s="8"/>
      <c r="AN724" s="17" t="str">
        <f t="shared" si="249"/>
        <v xml:space="preserve"> </v>
      </c>
      <c r="AO724" s="17" t="str">
        <f t="shared" si="250"/>
        <v xml:space="preserve"> </v>
      </c>
      <c r="AP724" s="16" t="str">
        <f t="shared" si="251"/>
        <v>-</v>
      </c>
      <c r="AQ724" s="8"/>
      <c r="AR724" s="17" t="str">
        <f t="shared" si="252"/>
        <v>-</v>
      </c>
      <c r="AS724" s="17" t="str">
        <f t="shared" si="253"/>
        <v>-</v>
      </c>
      <c r="AT724" s="13" t="str">
        <f t="shared" si="254"/>
        <v>-</v>
      </c>
      <c r="AU724" s="8"/>
    </row>
    <row r="725" spans="1:47" x14ac:dyDescent="0.25">
      <c r="A725" s="31"/>
      <c r="B725" s="31"/>
      <c r="C725"/>
      <c r="D725" s="31"/>
      <c r="E725"/>
      <c r="F725" s="31"/>
      <c r="G725"/>
      <c r="H725" s="27">
        <f>IF($G725&lt;&gt;0,SUMIF(куб!$G:$G,$G725,куб!H:H),IF($E725&lt;&gt;0,SUMIF(куб!$E:$E,$E725,куб!H:H),IF($D725&lt;&gt;0,SUMIF(куб!$D:$D,$D725,куб!H:H),IF($C725&lt;&gt;0,SUMIF(куб!$C:$C,$C725,куб!H:H),IF($B725&lt;&gt;0,SUMIF(куб!$B:$B,$B725,куб!H:H),IF($G725&lt;&gt;0,SUMIF(куб!$A:$A,$G725,куб!H:H),SUMIF(куб!$A:$A,$G725,куб!H:H)))))))</f>
        <v>0</v>
      </c>
      <c r="I725" s="27">
        <f>IF($G725&lt;&gt;0,SUMIF(куб!$G:$G,$G725,куб!I:I),IF($E725&lt;&gt;0,SUMIF(куб!$E:$E,$E725,куб!I:I),IF($D725&lt;&gt;0,SUMIF(куб!$D:$D,$D725,куб!I:I),IF($C725&lt;&gt;0,SUMIF(куб!$C:$C,$C725,куб!I:I),IF($B725&lt;&gt;0,SUMIF(куб!$B:$B,$B725,куб!I:I),IF($G725&lt;&gt;0,SUMIF(куб!$A:$A,$G725,куб!I:I),SUMIF(куб!$A:$A,$G725,куб!I:I)))))))</f>
        <v>0</v>
      </c>
      <c r="J725" s="19" t="str">
        <f t="shared" si="237"/>
        <v>-</v>
      </c>
      <c r="K725" s="8"/>
      <c r="L725" s="17">
        <f t="shared" si="238"/>
        <v>0</v>
      </c>
      <c r="M725" s="17">
        <f t="shared" si="239"/>
        <v>0</v>
      </c>
      <c r="N725" s="12">
        <f t="shared" si="240"/>
        <v>0</v>
      </c>
      <c r="O725" s="5"/>
      <c r="P725" s="27" t="b">
        <f>IF($G725&lt;&gt;0,SUMIF(куб!$G:$G,$G725,куб!J:J),IF($E725&lt;&gt;0,SUMIF(куб!$E:$E,$E725,куб!J:J),IF($D725&lt;&gt;0,SUMIF(куб!$D:$D,$D725,куб!J:J),IF($C725&lt;&gt;0,SUMIF(куб!$C:$C,$C725,куб!J:J),IF($B725&lt;&gt;0,SUMIF(куб!$B:$B,$B725,куб!J:J))))))</f>
        <v>0</v>
      </c>
      <c r="Q725" s="27" t="b">
        <f>IF($G725&lt;&gt;0,SUMIF(куб!$G:$G,$G725,куб!K:K),IF($E725&lt;&gt;0,SUMIF(куб!$E:$E,$E725,куб!K:K),IF($D725&lt;&gt;0,SUMIF(куб!$D:$D,$D725,куб!K:K),IF($C725&lt;&gt;0,SUMIF(куб!$C:$C,$C725,куб!K:K),IF($B725&lt;&gt;0,SUMIF(куб!$B:$B,$B725,куб!K:K))))))</f>
        <v>0</v>
      </c>
      <c r="R725" s="13" t="str">
        <f t="shared" si="241"/>
        <v>-</v>
      </c>
      <c r="S725" s="5"/>
      <c r="T725" s="27" t="b">
        <f>IF($G725&lt;&gt;0,SUMIF(куб!$G:$G,$G725,куб!L:L),IF($E725&lt;&gt;0,SUMIF(куб!$E:$E,$E725,куб!L:L),IF($D725&lt;&gt;0,SUMIF(куб!$D:$D,$D725,куб!L:L),IF($C725&lt;&gt;0,SUMIF(куб!$C:$C,$C725,куб!L:L),IF($B725&lt;&gt;0,SUMIF(куб!$B:$B,$B725,куб!L:L))))))</f>
        <v>0</v>
      </c>
      <c r="U725" s="27" t="b">
        <f>IF($G725&lt;&gt;0,SUMIF(куб!$G:$G,$G725,куб!M:M),IF($E725&lt;&gt;0,SUMIF(куб!$E:$E,$E725,куб!M:M),IF($D725&lt;&gt;0,SUMIF(куб!$D:$D,$D725,куб!M:M),IF($C725&lt;&gt;0,SUMIF(куб!$C:$C,$C725,куб!M:M),IF($B725&lt;&gt;0,SUMIF(куб!$B:$B,$B725,куб!M:M))))))</f>
        <v>0</v>
      </c>
      <c r="V725" s="13" t="str">
        <f t="shared" si="242"/>
        <v>-</v>
      </c>
      <c r="W725" s="5"/>
      <c r="X725" s="27" t="b">
        <f>IF($G725&lt;&gt;0,SUMIF(куб!$G:$G,$G725,куб!N:N),IF($E725&lt;&gt;0,SUMIF(куб!$E:$E,$E725,куб!N:N),IF($D725&lt;&gt;0,SUMIF(куб!$D:$D,$D725,куб!N:N),IF($C725&lt;&gt;0,SUMIF(куб!$C:$C,$C725,куб!N:N),IF($B725&lt;&gt;0,SUMIF(куб!$B:$B,$B725,куб!N:N))))))</f>
        <v>0</v>
      </c>
      <c r="Y725" s="27" t="b">
        <f>IF($G725&lt;&gt;0,SUMIF(куб!$G:$G,$G725,куб!O:O),IF($E725&lt;&gt;0,SUMIF(куб!$E:$E,$E725,куб!O:O),IF($D725&lt;&gt;0,SUMIF(куб!$D:$D,$D725,куб!O:O),IF($C725&lt;&gt;0,SUMIF(куб!$C:$C,$C725,куб!O:O),IF($B725&lt;&gt;0,SUMIF(куб!$B:$B,$B725,куб!O:O))))))</f>
        <v>0</v>
      </c>
      <c r="Z725" s="13" t="str">
        <f t="shared" si="243"/>
        <v>-</v>
      </c>
      <c r="AA725" s="5"/>
      <c r="AB725" s="33" t="str">
        <f t="shared" si="244"/>
        <v/>
      </c>
      <c r="AC725" s="33" t="str">
        <f t="shared" si="245"/>
        <v/>
      </c>
      <c r="AD725" s="15" t="str">
        <f t="shared" si="246"/>
        <v xml:space="preserve"> </v>
      </c>
      <c r="AE725" s="5"/>
      <c r="AF725" s="27" t="b">
        <f>IF($G725&lt;&gt;0,SUMIF(куб!$G:$G,$G725,куб!R:R),IF($E725&lt;&gt;0,SUMIF(куб!$E:$E,$E725,куб!R:R),IF($D725&lt;&gt;0,SUMIF(куб!$D:$D,$D725,куб!R:R),IF($C725&lt;&gt;0,SUMIF(куб!$C:$C,$C725,куб!R:R),IF($B725&lt;&gt;0,SUMIF(куб!$B:$B,$B725,куб!R:R))))))</f>
        <v>0</v>
      </c>
      <c r="AG725" s="27" t="b">
        <f>IF($G725&lt;&gt;0,SUMIF(куб!$G:$G,$G725,куб!S:S),IF($E725&lt;&gt;0,SUMIF(куб!$E:$E,$E725,куб!S:S),IF($D725&lt;&gt;0,SUMIF(куб!$D:$D,$D725,куб!S:S),IF($C725&lt;&gt;0,SUMIF(куб!$C:$C,$C725,куб!S:S),IF($B725&lt;&gt;0,SUMIF(куб!$B:$B,$B725,куб!S:S))))))</f>
        <v>0</v>
      </c>
      <c r="AH725" s="16" t="str">
        <f t="shared" si="247"/>
        <v>-</v>
      </c>
      <c r="AI725" s="8"/>
      <c r="AJ725" s="27" t="b">
        <f>IF($G725&lt;&gt;0,SUMIF(куб!$G:$G,$G725,куб!T:T),IF($E725&lt;&gt;0,SUMIF(куб!$E:$E,$E725,куб!T:T),IF($D725&lt;&gt;0,SUMIF(куб!$D:$D,$D725,куб!T:T),IF($C725&lt;&gt;0,SUMIF(куб!$C:$C,$C725,куб!T:T),IF($B725&lt;&gt;0,SUMIF(куб!$B:$B,$B725,куб!T:T))))))</f>
        <v>0</v>
      </c>
      <c r="AK725" s="27" t="b">
        <f>IF($G725&lt;&gt;0,SUMIF(куб!$G:$G,$G725,куб!U:U),IF($E725&lt;&gt;0,SUMIF(куб!$E:$E,$E725,куб!U:U),IF($D725&lt;&gt;0,SUMIF(куб!$D:$D,$D725,куб!U:U),IF($C725&lt;&gt;0,SUMIF(куб!$C:$C,$C725,куб!U:U),IF($B725&lt;&gt;0,SUMIF(куб!$B:$B,$B725,куб!U:U))))))</f>
        <v>0</v>
      </c>
      <c r="AL725" s="16" t="str">
        <f t="shared" si="248"/>
        <v>-</v>
      </c>
      <c r="AM725" s="8"/>
      <c r="AN725" s="17" t="str">
        <f t="shared" si="249"/>
        <v xml:space="preserve"> </v>
      </c>
      <c r="AO725" s="17" t="str">
        <f t="shared" si="250"/>
        <v xml:space="preserve"> </v>
      </c>
      <c r="AP725" s="16" t="str">
        <f t="shared" si="251"/>
        <v>-</v>
      </c>
      <c r="AQ725" s="8"/>
      <c r="AR725" s="17" t="str">
        <f t="shared" si="252"/>
        <v>-</v>
      </c>
      <c r="AS725" s="17" t="str">
        <f t="shared" si="253"/>
        <v>-</v>
      </c>
      <c r="AT725" s="13" t="str">
        <f t="shared" si="254"/>
        <v>-</v>
      </c>
      <c r="AU725" s="8"/>
    </row>
    <row r="726" spans="1:47" x14ac:dyDescent="0.25">
      <c r="A726" s="31"/>
      <c r="B726" s="31"/>
      <c r="C726"/>
      <c r="D726" s="31"/>
      <c r="E726"/>
      <c r="F726" s="31"/>
      <c r="G726"/>
      <c r="H726" s="27">
        <f>IF($G726&lt;&gt;0,SUMIF(куб!$G:$G,$G726,куб!H:H),IF($E726&lt;&gt;0,SUMIF(куб!$E:$E,$E726,куб!H:H),IF($D726&lt;&gt;0,SUMIF(куб!$D:$D,$D726,куб!H:H),IF($C726&lt;&gt;0,SUMIF(куб!$C:$C,$C726,куб!H:H),IF($B726&lt;&gt;0,SUMIF(куб!$B:$B,$B726,куб!H:H),IF($G726&lt;&gt;0,SUMIF(куб!$A:$A,$G726,куб!H:H),SUMIF(куб!$A:$A,$G726,куб!H:H)))))))</f>
        <v>0</v>
      </c>
      <c r="I726" s="27">
        <f>IF($G726&lt;&gt;0,SUMIF(куб!$G:$G,$G726,куб!I:I),IF($E726&lt;&gt;0,SUMIF(куб!$E:$E,$E726,куб!I:I),IF($D726&lt;&gt;0,SUMIF(куб!$D:$D,$D726,куб!I:I),IF($C726&lt;&gt;0,SUMIF(куб!$C:$C,$C726,куб!I:I),IF($B726&lt;&gt;0,SUMIF(куб!$B:$B,$B726,куб!I:I),IF($G726&lt;&gt;0,SUMIF(куб!$A:$A,$G726,куб!I:I),SUMIF(куб!$A:$A,$G726,куб!I:I)))))))</f>
        <v>0</v>
      </c>
      <c r="J726" s="19" t="str">
        <f t="shared" si="237"/>
        <v>-</v>
      </c>
      <c r="K726" s="8"/>
      <c r="L726" s="17">
        <f t="shared" si="238"/>
        <v>0</v>
      </c>
      <c r="M726" s="17">
        <f t="shared" si="239"/>
        <v>0</v>
      </c>
      <c r="N726" s="12">
        <f t="shared" si="240"/>
        <v>0</v>
      </c>
      <c r="O726" s="5"/>
      <c r="P726" s="27" t="b">
        <f>IF($G726&lt;&gt;0,SUMIF(куб!$G:$G,$G726,куб!J:J),IF($E726&lt;&gt;0,SUMIF(куб!$E:$E,$E726,куб!J:J),IF($D726&lt;&gt;0,SUMIF(куб!$D:$D,$D726,куб!J:J),IF($C726&lt;&gt;0,SUMIF(куб!$C:$C,$C726,куб!J:J),IF($B726&lt;&gt;0,SUMIF(куб!$B:$B,$B726,куб!J:J))))))</f>
        <v>0</v>
      </c>
      <c r="Q726" s="27" t="b">
        <f>IF($G726&lt;&gt;0,SUMIF(куб!$G:$G,$G726,куб!K:K),IF($E726&lt;&gt;0,SUMIF(куб!$E:$E,$E726,куб!K:K),IF($D726&lt;&gt;0,SUMIF(куб!$D:$D,$D726,куб!K:K),IF($C726&lt;&gt;0,SUMIF(куб!$C:$C,$C726,куб!K:K),IF($B726&lt;&gt;0,SUMIF(куб!$B:$B,$B726,куб!K:K))))))</f>
        <v>0</v>
      </c>
      <c r="R726" s="13" t="str">
        <f t="shared" si="241"/>
        <v>-</v>
      </c>
      <c r="S726" s="5"/>
      <c r="T726" s="27" t="b">
        <f>IF($G726&lt;&gt;0,SUMIF(куб!$G:$G,$G726,куб!L:L),IF($E726&lt;&gt;0,SUMIF(куб!$E:$E,$E726,куб!L:L),IF($D726&lt;&gt;0,SUMIF(куб!$D:$D,$D726,куб!L:L),IF($C726&lt;&gt;0,SUMIF(куб!$C:$C,$C726,куб!L:L),IF($B726&lt;&gt;0,SUMIF(куб!$B:$B,$B726,куб!L:L))))))</f>
        <v>0</v>
      </c>
      <c r="U726" s="27" t="b">
        <f>IF($G726&lt;&gt;0,SUMIF(куб!$G:$G,$G726,куб!M:M),IF($E726&lt;&gt;0,SUMIF(куб!$E:$E,$E726,куб!M:M),IF($D726&lt;&gt;0,SUMIF(куб!$D:$D,$D726,куб!M:M),IF($C726&lt;&gt;0,SUMIF(куб!$C:$C,$C726,куб!M:M),IF($B726&lt;&gt;0,SUMIF(куб!$B:$B,$B726,куб!M:M))))))</f>
        <v>0</v>
      </c>
      <c r="V726" s="13" t="str">
        <f t="shared" si="242"/>
        <v>-</v>
      </c>
      <c r="W726" s="5"/>
      <c r="X726" s="27" t="b">
        <f>IF($G726&lt;&gt;0,SUMIF(куб!$G:$G,$G726,куб!N:N),IF($E726&lt;&gt;0,SUMIF(куб!$E:$E,$E726,куб!N:N),IF($D726&lt;&gt;0,SUMIF(куб!$D:$D,$D726,куб!N:N),IF($C726&lt;&gt;0,SUMIF(куб!$C:$C,$C726,куб!N:N),IF($B726&lt;&gt;0,SUMIF(куб!$B:$B,$B726,куб!N:N))))))</f>
        <v>0</v>
      </c>
      <c r="Y726" s="27" t="b">
        <f>IF($G726&lt;&gt;0,SUMIF(куб!$G:$G,$G726,куб!O:O),IF($E726&lt;&gt;0,SUMIF(куб!$E:$E,$E726,куб!O:O),IF($D726&lt;&gt;0,SUMIF(куб!$D:$D,$D726,куб!O:O),IF($C726&lt;&gt;0,SUMIF(куб!$C:$C,$C726,куб!O:O),IF($B726&lt;&gt;0,SUMIF(куб!$B:$B,$B726,куб!O:O))))))</f>
        <v>0</v>
      </c>
      <c r="Z726" s="13" t="str">
        <f t="shared" si="243"/>
        <v>-</v>
      </c>
      <c r="AA726" s="5"/>
      <c r="AB726" s="33" t="str">
        <f t="shared" si="244"/>
        <v/>
      </c>
      <c r="AC726" s="33" t="str">
        <f t="shared" si="245"/>
        <v/>
      </c>
      <c r="AD726" s="15" t="str">
        <f t="shared" si="246"/>
        <v xml:space="preserve"> </v>
      </c>
      <c r="AE726" s="5"/>
      <c r="AF726" s="27" t="b">
        <f>IF($G726&lt;&gt;0,SUMIF(куб!$G:$G,$G726,куб!R:R),IF($E726&lt;&gt;0,SUMIF(куб!$E:$E,$E726,куб!R:R),IF($D726&lt;&gt;0,SUMIF(куб!$D:$D,$D726,куб!R:R),IF($C726&lt;&gt;0,SUMIF(куб!$C:$C,$C726,куб!R:R),IF($B726&lt;&gt;0,SUMIF(куб!$B:$B,$B726,куб!R:R))))))</f>
        <v>0</v>
      </c>
      <c r="AG726" s="27" t="b">
        <f>IF($G726&lt;&gt;0,SUMIF(куб!$G:$G,$G726,куб!S:S),IF($E726&lt;&gt;0,SUMIF(куб!$E:$E,$E726,куб!S:S),IF($D726&lt;&gt;0,SUMIF(куб!$D:$D,$D726,куб!S:S),IF($C726&lt;&gt;0,SUMIF(куб!$C:$C,$C726,куб!S:S),IF($B726&lt;&gt;0,SUMIF(куб!$B:$B,$B726,куб!S:S))))))</f>
        <v>0</v>
      </c>
      <c r="AH726" s="16" t="str">
        <f t="shared" si="247"/>
        <v>-</v>
      </c>
      <c r="AI726" s="8"/>
      <c r="AJ726" s="27" t="b">
        <f>IF($G726&lt;&gt;0,SUMIF(куб!$G:$G,$G726,куб!T:T),IF($E726&lt;&gt;0,SUMIF(куб!$E:$E,$E726,куб!T:T),IF($D726&lt;&gt;0,SUMIF(куб!$D:$D,$D726,куб!T:T),IF($C726&lt;&gt;0,SUMIF(куб!$C:$C,$C726,куб!T:T),IF($B726&lt;&gt;0,SUMIF(куб!$B:$B,$B726,куб!T:T))))))</f>
        <v>0</v>
      </c>
      <c r="AK726" s="27" t="b">
        <f>IF($G726&lt;&gt;0,SUMIF(куб!$G:$G,$G726,куб!U:U),IF($E726&lt;&gt;0,SUMIF(куб!$E:$E,$E726,куб!U:U),IF($D726&lt;&gt;0,SUMIF(куб!$D:$D,$D726,куб!U:U),IF($C726&lt;&gt;0,SUMIF(куб!$C:$C,$C726,куб!U:U),IF($B726&lt;&gt;0,SUMIF(куб!$B:$B,$B726,куб!U:U))))))</f>
        <v>0</v>
      </c>
      <c r="AL726" s="16" t="str">
        <f t="shared" si="248"/>
        <v>-</v>
      </c>
      <c r="AM726" s="8"/>
      <c r="AN726" s="17" t="str">
        <f t="shared" si="249"/>
        <v xml:space="preserve"> </v>
      </c>
      <c r="AO726" s="17" t="str">
        <f t="shared" si="250"/>
        <v xml:space="preserve"> </v>
      </c>
      <c r="AP726" s="16" t="str">
        <f t="shared" si="251"/>
        <v>-</v>
      </c>
      <c r="AQ726" s="8"/>
      <c r="AR726" s="17" t="str">
        <f t="shared" si="252"/>
        <v>-</v>
      </c>
      <c r="AS726" s="17" t="str">
        <f t="shared" si="253"/>
        <v>-</v>
      </c>
      <c r="AT726" s="13" t="str">
        <f t="shared" si="254"/>
        <v>-</v>
      </c>
      <c r="AU726" s="8"/>
    </row>
    <row r="727" spans="1:47" x14ac:dyDescent="0.25">
      <c r="A727" s="31"/>
      <c r="B727" s="31"/>
      <c r="C727"/>
      <c r="D727" s="31"/>
      <c r="E727"/>
      <c r="F727" s="31"/>
      <c r="G727"/>
      <c r="H727" s="27">
        <f>IF($G727&lt;&gt;0,SUMIF(куб!$G:$G,$G727,куб!H:H),IF($E727&lt;&gt;0,SUMIF(куб!$E:$E,$E727,куб!H:H),IF($D727&lt;&gt;0,SUMIF(куб!$D:$D,$D727,куб!H:H),IF($C727&lt;&gt;0,SUMIF(куб!$C:$C,$C727,куб!H:H),IF($B727&lt;&gt;0,SUMIF(куб!$B:$B,$B727,куб!H:H),IF($G727&lt;&gt;0,SUMIF(куб!$A:$A,$G727,куб!H:H),SUMIF(куб!$A:$A,$G727,куб!H:H)))))))</f>
        <v>0</v>
      </c>
      <c r="I727" s="27">
        <f>IF($G727&lt;&gt;0,SUMIF(куб!$G:$G,$G727,куб!I:I),IF($E727&lt;&gt;0,SUMIF(куб!$E:$E,$E727,куб!I:I),IF($D727&lt;&gt;0,SUMIF(куб!$D:$D,$D727,куб!I:I),IF($C727&lt;&gt;0,SUMIF(куб!$C:$C,$C727,куб!I:I),IF($B727&lt;&gt;0,SUMIF(куб!$B:$B,$B727,куб!I:I),IF($G727&lt;&gt;0,SUMIF(куб!$A:$A,$G727,куб!I:I),SUMIF(куб!$A:$A,$G727,куб!I:I)))))))</f>
        <v>0</v>
      </c>
      <c r="J727" s="19" t="str">
        <f t="shared" si="237"/>
        <v>-</v>
      </c>
      <c r="K727" s="8"/>
      <c r="L727" s="17">
        <f t="shared" si="238"/>
        <v>0</v>
      </c>
      <c r="M727" s="17">
        <f t="shared" si="239"/>
        <v>0</v>
      </c>
      <c r="N727" s="12">
        <f t="shared" si="240"/>
        <v>0</v>
      </c>
      <c r="O727" s="5"/>
      <c r="P727" s="27" t="b">
        <f>IF($G727&lt;&gt;0,SUMIF(куб!$G:$G,$G727,куб!J:J),IF($E727&lt;&gt;0,SUMIF(куб!$E:$E,$E727,куб!J:J),IF($D727&lt;&gt;0,SUMIF(куб!$D:$D,$D727,куб!J:J),IF($C727&lt;&gt;0,SUMIF(куб!$C:$C,$C727,куб!J:J),IF($B727&lt;&gt;0,SUMIF(куб!$B:$B,$B727,куб!J:J))))))</f>
        <v>0</v>
      </c>
      <c r="Q727" s="27" t="b">
        <f>IF($G727&lt;&gt;0,SUMIF(куб!$G:$G,$G727,куб!K:K),IF($E727&lt;&gt;0,SUMIF(куб!$E:$E,$E727,куб!K:K),IF($D727&lt;&gt;0,SUMIF(куб!$D:$D,$D727,куб!K:K),IF($C727&lt;&gt;0,SUMIF(куб!$C:$C,$C727,куб!K:K),IF($B727&lt;&gt;0,SUMIF(куб!$B:$B,$B727,куб!K:K))))))</f>
        <v>0</v>
      </c>
      <c r="R727" s="13" t="str">
        <f t="shared" si="241"/>
        <v>-</v>
      </c>
      <c r="S727" s="5"/>
      <c r="T727" s="27" t="b">
        <f>IF($G727&lt;&gt;0,SUMIF(куб!$G:$G,$G727,куб!L:L),IF($E727&lt;&gt;0,SUMIF(куб!$E:$E,$E727,куб!L:L),IF($D727&lt;&gt;0,SUMIF(куб!$D:$D,$D727,куб!L:L),IF($C727&lt;&gt;0,SUMIF(куб!$C:$C,$C727,куб!L:L),IF($B727&lt;&gt;0,SUMIF(куб!$B:$B,$B727,куб!L:L))))))</f>
        <v>0</v>
      </c>
      <c r="U727" s="27" t="b">
        <f>IF($G727&lt;&gt;0,SUMIF(куб!$G:$G,$G727,куб!M:M),IF($E727&lt;&gt;0,SUMIF(куб!$E:$E,$E727,куб!M:M),IF($D727&lt;&gt;0,SUMIF(куб!$D:$D,$D727,куб!M:M),IF($C727&lt;&gt;0,SUMIF(куб!$C:$C,$C727,куб!M:M),IF($B727&lt;&gt;0,SUMIF(куб!$B:$B,$B727,куб!M:M))))))</f>
        <v>0</v>
      </c>
      <c r="V727" s="13" t="str">
        <f t="shared" si="242"/>
        <v>-</v>
      </c>
      <c r="W727" s="5"/>
      <c r="X727" s="27" t="b">
        <f>IF($G727&lt;&gt;0,SUMIF(куб!$G:$G,$G727,куб!N:N),IF($E727&lt;&gt;0,SUMIF(куб!$E:$E,$E727,куб!N:N),IF($D727&lt;&gt;0,SUMIF(куб!$D:$D,$D727,куб!N:N),IF($C727&lt;&gt;0,SUMIF(куб!$C:$C,$C727,куб!N:N),IF($B727&lt;&gt;0,SUMIF(куб!$B:$B,$B727,куб!N:N))))))</f>
        <v>0</v>
      </c>
      <c r="Y727" s="27" t="b">
        <f>IF($G727&lt;&gt;0,SUMIF(куб!$G:$G,$G727,куб!O:O),IF($E727&lt;&gt;0,SUMIF(куб!$E:$E,$E727,куб!O:O),IF($D727&lt;&gt;0,SUMIF(куб!$D:$D,$D727,куб!O:O),IF($C727&lt;&gt;0,SUMIF(куб!$C:$C,$C727,куб!O:O),IF($B727&lt;&gt;0,SUMIF(куб!$B:$B,$B727,куб!O:O))))))</f>
        <v>0</v>
      </c>
      <c r="Z727" s="13" t="str">
        <f t="shared" si="243"/>
        <v>-</v>
      </c>
      <c r="AA727" s="5"/>
      <c r="AB727" s="33" t="str">
        <f t="shared" si="244"/>
        <v/>
      </c>
      <c r="AC727" s="33" t="str">
        <f t="shared" si="245"/>
        <v/>
      </c>
      <c r="AD727" s="15" t="str">
        <f t="shared" si="246"/>
        <v xml:space="preserve"> </v>
      </c>
      <c r="AE727" s="5"/>
      <c r="AF727" s="27" t="b">
        <f>IF($G727&lt;&gt;0,SUMIF(куб!$G:$G,$G727,куб!R:R),IF($E727&lt;&gt;0,SUMIF(куб!$E:$E,$E727,куб!R:R),IF($D727&lt;&gt;0,SUMIF(куб!$D:$D,$D727,куб!R:R),IF($C727&lt;&gt;0,SUMIF(куб!$C:$C,$C727,куб!R:R),IF($B727&lt;&gt;0,SUMIF(куб!$B:$B,$B727,куб!R:R))))))</f>
        <v>0</v>
      </c>
      <c r="AG727" s="27" t="b">
        <f>IF($G727&lt;&gt;0,SUMIF(куб!$G:$G,$G727,куб!S:S),IF($E727&lt;&gt;0,SUMIF(куб!$E:$E,$E727,куб!S:S),IF($D727&lt;&gt;0,SUMIF(куб!$D:$D,$D727,куб!S:S),IF($C727&lt;&gt;0,SUMIF(куб!$C:$C,$C727,куб!S:S),IF($B727&lt;&gt;0,SUMIF(куб!$B:$B,$B727,куб!S:S))))))</f>
        <v>0</v>
      </c>
      <c r="AH727" s="16" t="str">
        <f t="shared" si="247"/>
        <v>-</v>
      </c>
      <c r="AI727" s="8"/>
      <c r="AJ727" s="27" t="b">
        <f>IF($G727&lt;&gt;0,SUMIF(куб!$G:$G,$G727,куб!T:T),IF($E727&lt;&gt;0,SUMIF(куб!$E:$E,$E727,куб!T:T),IF($D727&lt;&gt;0,SUMIF(куб!$D:$D,$D727,куб!T:T),IF($C727&lt;&gt;0,SUMIF(куб!$C:$C,$C727,куб!T:T),IF($B727&lt;&gt;0,SUMIF(куб!$B:$B,$B727,куб!T:T))))))</f>
        <v>0</v>
      </c>
      <c r="AK727" s="27" t="b">
        <f>IF($G727&lt;&gt;0,SUMIF(куб!$G:$G,$G727,куб!U:U),IF($E727&lt;&gt;0,SUMIF(куб!$E:$E,$E727,куб!U:U),IF($D727&lt;&gt;0,SUMIF(куб!$D:$D,$D727,куб!U:U),IF($C727&lt;&gt;0,SUMIF(куб!$C:$C,$C727,куб!U:U),IF($B727&lt;&gt;0,SUMIF(куб!$B:$B,$B727,куб!U:U))))))</f>
        <v>0</v>
      </c>
      <c r="AL727" s="16" t="str">
        <f t="shared" si="248"/>
        <v>-</v>
      </c>
      <c r="AM727" s="8"/>
      <c r="AN727" s="17" t="str">
        <f t="shared" si="249"/>
        <v xml:space="preserve"> </v>
      </c>
      <c r="AO727" s="17" t="str">
        <f t="shared" si="250"/>
        <v xml:space="preserve"> </v>
      </c>
      <c r="AP727" s="16" t="str">
        <f t="shared" si="251"/>
        <v>-</v>
      </c>
      <c r="AQ727" s="8"/>
      <c r="AR727" s="17" t="str">
        <f t="shared" si="252"/>
        <v>-</v>
      </c>
      <c r="AS727" s="17" t="str">
        <f t="shared" si="253"/>
        <v>-</v>
      </c>
      <c r="AT727" s="13" t="str">
        <f t="shared" si="254"/>
        <v>-</v>
      </c>
      <c r="AU727" s="8"/>
    </row>
    <row r="728" spans="1:47" x14ac:dyDescent="0.25">
      <c r="A728" s="31"/>
      <c r="B728" s="31"/>
      <c r="C728"/>
      <c r="D728" s="31"/>
      <c r="E728"/>
      <c r="F728" s="31"/>
      <c r="G728"/>
      <c r="H728" s="27">
        <f>IF($G728&lt;&gt;0,SUMIF(куб!$G:$G,$G728,куб!H:H),IF($E728&lt;&gt;0,SUMIF(куб!$E:$E,$E728,куб!H:H),IF($D728&lt;&gt;0,SUMIF(куб!$D:$D,$D728,куб!H:H),IF($C728&lt;&gt;0,SUMIF(куб!$C:$C,$C728,куб!H:H),IF($B728&lt;&gt;0,SUMIF(куб!$B:$B,$B728,куб!H:H),IF($G728&lt;&gt;0,SUMIF(куб!$A:$A,$G728,куб!H:H),SUMIF(куб!$A:$A,$G728,куб!H:H)))))))</f>
        <v>0</v>
      </c>
      <c r="I728" s="27">
        <f>IF($G728&lt;&gt;0,SUMIF(куб!$G:$G,$G728,куб!I:I),IF($E728&lt;&gt;0,SUMIF(куб!$E:$E,$E728,куб!I:I),IF($D728&lt;&gt;0,SUMIF(куб!$D:$D,$D728,куб!I:I),IF($C728&lt;&gt;0,SUMIF(куб!$C:$C,$C728,куб!I:I),IF($B728&lt;&gt;0,SUMIF(куб!$B:$B,$B728,куб!I:I),IF($G728&lt;&gt;0,SUMIF(куб!$A:$A,$G728,куб!I:I),SUMIF(куб!$A:$A,$G728,куб!I:I)))))))</f>
        <v>0</v>
      </c>
      <c r="J728" s="19" t="str">
        <f t="shared" si="237"/>
        <v>-</v>
      </c>
      <c r="K728" s="8"/>
      <c r="L728" s="17">
        <f t="shared" si="238"/>
        <v>0</v>
      </c>
      <c r="M728" s="17">
        <f t="shared" si="239"/>
        <v>0</v>
      </c>
      <c r="N728" s="12">
        <f t="shared" si="240"/>
        <v>0</v>
      </c>
      <c r="O728" s="5"/>
      <c r="P728" s="27" t="b">
        <f>IF($G728&lt;&gt;0,SUMIF(куб!$G:$G,$G728,куб!J:J),IF($E728&lt;&gt;0,SUMIF(куб!$E:$E,$E728,куб!J:J),IF($D728&lt;&gt;0,SUMIF(куб!$D:$D,$D728,куб!J:J),IF($C728&lt;&gt;0,SUMIF(куб!$C:$C,$C728,куб!J:J),IF($B728&lt;&gt;0,SUMIF(куб!$B:$B,$B728,куб!J:J))))))</f>
        <v>0</v>
      </c>
      <c r="Q728" s="27" t="b">
        <f>IF($G728&lt;&gt;0,SUMIF(куб!$G:$G,$G728,куб!K:K),IF($E728&lt;&gt;0,SUMIF(куб!$E:$E,$E728,куб!K:K),IF($D728&lt;&gt;0,SUMIF(куб!$D:$D,$D728,куб!K:K),IF($C728&lt;&gt;0,SUMIF(куб!$C:$C,$C728,куб!K:K),IF($B728&lt;&gt;0,SUMIF(куб!$B:$B,$B728,куб!K:K))))))</f>
        <v>0</v>
      </c>
      <c r="R728" s="13" t="str">
        <f t="shared" si="241"/>
        <v>-</v>
      </c>
      <c r="S728" s="5"/>
      <c r="T728" s="27" t="b">
        <f>IF($G728&lt;&gt;0,SUMIF(куб!$G:$G,$G728,куб!L:L),IF($E728&lt;&gt;0,SUMIF(куб!$E:$E,$E728,куб!L:L),IF($D728&lt;&gt;0,SUMIF(куб!$D:$D,$D728,куб!L:L),IF($C728&lt;&gt;0,SUMIF(куб!$C:$C,$C728,куб!L:L),IF($B728&lt;&gt;0,SUMIF(куб!$B:$B,$B728,куб!L:L))))))</f>
        <v>0</v>
      </c>
      <c r="U728" s="27" t="b">
        <f>IF($G728&lt;&gt;0,SUMIF(куб!$G:$G,$G728,куб!M:M),IF($E728&lt;&gt;0,SUMIF(куб!$E:$E,$E728,куб!M:M),IF($D728&lt;&gt;0,SUMIF(куб!$D:$D,$D728,куб!M:M),IF($C728&lt;&gt;0,SUMIF(куб!$C:$C,$C728,куб!M:M),IF($B728&lt;&gt;0,SUMIF(куб!$B:$B,$B728,куб!M:M))))))</f>
        <v>0</v>
      </c>
      <c r="V728" s="13" t="str">
        <f t="shared" si="242"/>
        <v>-</v>
      </c>
      <c r="W728" s="5"/>
      <c r="X728" s="27" t="b">
        <f>IF($G728&lt;&gt;0,SUMIF(куб!$G:$G,$G728,куб!N:N),IF($E728&lt;&gt;0,SUMIF(куб!$E:$E,$E728,куб!N:N),IF($D728&lt;&gt;0,SUMIF(куб!$D:$D,$D728,куб!N:N),IF($C728&lt;&gt;0,SUMIF(куб!$C:$C,$C728,куб!N:N),IF($B728&lt;&gt;0,SUMIF(куб!$B:$B,$B728,куб!N:N))))))</f>
        <v>0</v>
      </c>
      <c r="Y728" s="27" t="b">
        <f>IF($G728&lt;&gt;0,SUMIF(куб!$G:$G,$G728,куб!O:O),IF($E728&lt;&gt;0,SUMIF(куб!$E:$E,$E728,куб!O:O),IF($D728&lt;&gt;0,SUMIF(куб!$D:$D,$D728,куб!O:O),IF($C728&lt;&gt;0,SUMIF(куб!$C:$C,$C728,куб!O:O),IF($B728&lt;&gt;0,SUMIF(куб!$B:$B,$B728,куб!O:O))))))</f>
        <v>0</v>
      </c>
      <c r="Z728" s="13" t="str">
        <f t="shared" si="243"/>
        <v>-</v>
      </c>
      <c r="AA728" s="5"/>
      <c r="AB728" s="33" t="str">
        <f t="shared" si="244"/>
        <v/>
      </c>
      <c r="AC728" s="33" t="str">
        <f t="shared" si="245"/>
        <v/>
      </c>
      <c r="AD728" s="15" t="str">
        <f t="shared" si="246"/>
        <v xml:space="preserve"> </v>
      </c>
      <c r="AE728" s="5"/>
      <c r="AF728" s="27" t="b">
        <f>IF($G728&lt;&gt;0,SUMIF(куб!$G:$G,$G728,куб!R:R),IF($E728&lt;&gt;0,SUMIF(куб!$E:$E,$E728,куб!R:R),IF($D728&lt;&gt;0,SUMIF(куб!$D:$D,$D728,куб!R:R),IF($C728&lt;&gt;0,SUMIF(куб!$C:$C,$C728,куб!R:R),IF($B728&lt;&gt;0,SUMIF(куб!$B:$B,$B728,куб!R:R))))))</f>
        <v>0</v>
      </c>
      <c r="AG728" s="27" t="b">
        <f>IF($G728&lt;&gt;0,SUMIF(куб!$G:$G,$G728,куб!S:S),IF($E728&lt;&gt;0,SUMIF(куб!$E:$E,$E728,куб!S:S),IF($D728&lt;&gt;0,SUMIF(куб!$D:$D,$D728,куб!S:S),IF($C728&lt;&gt;0,SUMIF(куб!$C:$C,$C728,куб!S:S),IF($B728&lt;&gt;0,SUMIF(куб!$B:$B,$B728,куб!S:S))))))</f>
        <v>0</v>
      </c>
      <c r="AH728" s="16" t="str">
        <f t="shared" si="247"/>
        <v>-</v>
      </c>
      <c r="AI728" s="8"/>
      <c r="AJ728" s="27" t="b">
        <f>IF($G728&lt;&gt;0,SUMIF(куб!$G:$G,$G728,куб!T:T),IF($E728&lt;&gt;0,SUMIF(куб!$E:$E,$E728,куб!T:T),IF($D728&lt;&gt;0,SUMIF(куб!$D:$D,$D728,куб!T:T),IF($C728&lt;&gt;0,SUMIF(куб!$C:$C,$C728,куб!T:T),IF($B728&lt;&gt;0,SUMIF(куб!$B:$B,$B728,куб!T:T))))))</f>
        <v>0</v>
      </c>
      <c r="AK728" s="27" t="b">
        <f>IF($G728&lt;&gt;0,SUMIF(куб!$G:$G,$G728,куб!U:U),IF($E728&lt;&gt;0,SUMIF(куб!$E:$E,$E728,куб!U:U),IF($D728&lt;&gt;0,SUMIF(куб!$D:$D,$D728,куб!U:U),IF($C728&lt;&gt;0,SUMIF(куб!$C:$C,$C728,куб!U:U),IF($B728&lt;&gt;0,SUMIF(куб!$B:$B,$B728,куб!U:U))))))</f>
        <v>0</v>
      </c>
      <c r="AL728" s="16" t="str">
        <f t="shared" si="248"/>
        <v>-</v>
      </c>
      <c r="AM728" s="8"/>
      <c r="AN728" s="17" t="str">
        <f t="shared" si="249"/>
        <v xml:space="preserve"> </v>
      </c>
      <c r="AO728" s="17" t="str">
        <f t="shared" si="250"/>
        <v xml:space="preserve"> </v>
      </c>
      <c r="AP728" s="16" t="str">
        <f t="shared" si="251"/>
        <v>-</v>
      </c>
      <c r="AQ728" s="8"/>
      <c r="AR728" s="17" t="str">
        <f t="shared" si="252"/>
        <v>-</v>
      </c>
      <c r="AS728" s="17" t="str">
        <f t="shared" si="253"/>
        <v>-</v>
      </c>
      <c r="AT728" s="13" t="str">
        <f t="shared" si="254"/>
        <v>-</v>
      </c>
      <c r="AU728" s="8"/>
    </row>
    <row r="729" spans="1:47" x14ac:dyDescent="0.25">
      <c r="A729" s="31"/>
      <c r="B729" s="31"/>
      <c r="C729"/>
      <c r="D729" s="31"/>
      <c r="E729"/>
      <c r="F729" s="31"/>
      <c r="G729"/>
      <c r="H729" s="27">
        <f>IF($G729&lt;&gt;0,SUMIF(куб!$G:$G,$G729,куб!H:H),IF($E729&lt;&gt;0,SUMIF(куб!$E:$E,$E729,куб!H:H),IF($D729&lt;&gt;0,SUMIF(куб!$D:$D,$D729,куб!H:H),IF($C729&lt;&gt;0,SUMIF(куб!$C:$C,$C729,куб!H:H),IF($B729&lt;&gt;0,SUMIF(куб!$B:$B,$B729,куб!H:H),IF($G729&lt;&gt;0,SUMIF(куб!$A:$A,$G729,куб!H:H),SUMIF(куб!$A:$A,$G729,куб!H:H)))))))</f>
        <v>0</v>
      </c>
      <c r="I729" s="27">
        <f>IF($G729&lt;&gt;0,SUMIF(куб!$G:$G,$G729,куб!I:I),IF($E729&lt;&gt;0,SUMIF(куб!$E:$E,$E729,куб!I:I),IF($D729&lt;&gt;0,SUMIF(куб!$D:$D,$D729,куб!I:I),IF($C729&lt;&gt;0,SUMIF(куб!$C:$C,$C729,куб!I:I),IF($B729&lt;&gt;0,SUMIF(куб!$B:$B,$B729,куб!I:I),IF($G729&lt;&gt;0,SUMIF(куб!$A:$A,$G729,куб!I:I),SUMIF(куб!$A:$A,$G729,куб!I:I)))))))</f>
        <v>0</v>
      </c>
      <c r="J729" s="19" t="str">
        <f t="shared" si="237"/>
        <v>-</v>
      </c>
      <c r="K729" s="8"/>
      <c r="L729" s="17">
        <f t="shared" si="238"/>
        <v>0</v>
      </c>
      <c r="M729" s="17">
        <f t="shared" si="239"/>
        <v>0</v>
      </c>
      <c r="N729" s="12">
        <f t="shared" si="240"/>
        <v>0</v>
      </c>
      <c r="O729" s="5"/>
      <c r="P729" s="27" t="b">
        <f>IF($G729&lt;&gt;0,SUMIF(куб!$G:$G,$G729,куб!J:J),IF($E729&lt;&gt;0,SUMIF(куб!$E:$E,$E729,куб!J:J),IF($D729&lt;&gt;0,SUMIF(куб!$D:$D,$D729,куб!J:J),IF($C729&lt;&gt;0,SUMIF(куб!$C:$C,$C729,куб!J:J),IF($B729&lt;&gt;0,SUMIF(куб!$B:$B,$B729,куб!J:J))))))</f>
        <v>0</v>
      </c>
      <c r="Q729" s="27" t="b">
        <f>IF($G729&lt;&gt;0,SUMIF(куб!$G:$G,$G729,куб!K:K),IF($E729&lt;&gt;0,SUMIF(куб!$E:$E,$E729,куб!K:K),IF($D729&lt;&gt;0,SUMIF(куб!$D:$D,$D729,куб!K:K),IF($C729&lt;&gt;0,SUMIF(куб!$C:$C,$C729,куб!K:K),IF($B729&lt;&gt;0,SUMIF(куб!$B:$B,$B729,куб!K:K))))))</f>
        <v>0</v>
      </c>
      <c r="R729" s="13" t="str">
        <f t="shared" si="241"/>
        <v>-</v>
      </c>
      <c r="S729" s="5"/>
      <c r="T729" s="27" t="b">
        <f>IF($G729&lt;&gt;0,SUMIF(куб!$G:$G,$G729,куб!L:L),IF($E729&lt;&gt;0,SUMIF(куб!$E:$E,$E729,куб!L:L),IF($D729&lt;&gt;0,SUMIF(куб!$D:$D,$D729,куб!L:L),IF($C729&lt;&gt;0,SUMIF(куб!$C:$C,$C729,куб!L:L),IF($B729&lt;&gt;0,SUMIF(куб!$B:$B,$B729,куб!L:L))))))</f>
        <v>0</v>
      </c>
      <c r="U729" s="27" t="b">
        <f>IF($G729&lt;&gt;0,SUMIF(куб!$G:$G,$G729,куб!M:M),IF($E729&lt;&gt;0,SUMIF(куб!$E:$E,$E729,куб!M:M),IF($D729&lt;&gt;0,SUMIF(куб!$D:$D,$D729,куб!M:M),IF($C729&lt;&gt;0,SUMIF(куб!$C:$C,$C729,куб!M:M),IF($B729&lt;&gt;0,SUMIF(куб!$B:$B,$B729,куб!M:M))))))</f>
        <v>0</v>
      </c>
      <c r="V729" s="13" t="str">
        <f t="shared" si="242"/>
        <v>-</v>
      </c>
      <c r="W729" s="5"/>
      <c r="X729" s="27" t="b">
        <f>IF($G729&lt;&gt;0,SUMIF(куб!$G:$G,$G729,куб!N:N),IF($E729&lt;&gt;0,SUMIF(куб!$E:$E,$E729,куб!N:N),IF($D729&lt;&gt;0,SUMIF(куб!$D:$D,$D729,куб!N:N),IF($C729&lt;&gt;0,SUMIF(куб!$C:$C,$C729,куб!N:N),IF($B729&lt;&gt;0,SUMIF(куб!$B:$B,$B729,куб!N:N))))))</f>
        <v>0</v>
      </c>
      <c r="Y729" s="27" t="b">
        <f>IF($G729&lt;&gt;0,SUMIF(куб!$G:$G,$G729,куб!O:O),IF($E729&lt;&gt;0,SUMIF(куб!$E:$E,$E729,куб!O:O),IF($D729&lt;&gt;0,SUMIF(куб!$D:$D,$D729,куб!O:O),IF($C729&lt;&gt;0,SUMIF(куб!$C:$C,$C729,куб!O:O),IF($B729&lt;&gt;0,SUMIF(куб!$B:$B,$B729,куб!O:O))))))</f>
        <v>0</v>
      </c>
      <c r="Z729" s="13" t="str">
        <f t="shared" si="243"/>
        <v>-</v>
      </c>
      <c r="AA729" s="5"/>
      <c r="AB729" s="33" t="str">
        <f t="shared" si="244"/>
        <v/>
      </c>
      <c r="AC729" s="33" t="str">
        <f t="shared" si="245"/>
        <v/>
      </c>
      <c r="AD729" s="15" t="str">
        <f t="shared" si="246"/>
        <v xml:space="preserve"> </v>
      </c>
      <c r="AE729" s="5"/>
      <c r="AF729" s="27" t="b">
        <f>IF($G729&lt;&gt;0,SUMIF(куб!$G:$G,$G729,куб!R:R),IF($E729&lt;&gt;0,SUMIF(куб!$E:$E,$E729,куб!R:R),IF($D729&lt;&gt;0,SUMIF(куб!$D:$D,$D729,куб!R:R),IF($C729&lt;&gt;0,SUMIF(куб!$C:$C,$C729,куб!R:R),IF($B729&lt;&gt;0,SUMIF(куб!$B:$B,$B729,куб!R:R))))))</f>
        <v>0</v>
      </c>
      <c r="AG729" s="27" t="b">
        <f>IF($G729&lt;&gt;0,SUMIF(куб!$G:$G,$G729,куб!S:S),IF($E729&lt;&gt;0,SUMIF(куб!$E:$E,$E729,куб!S:S),IF($D729&lt;&gt;0,SUMIF(куб!$D:$D,$D729,куб!S:S),IF($C729&lt;&gt;0,SUMIF(куб!$C:$C,$C729,куб!S:S),IF($B729&lt;&gt;0,SUMIF(куб!$B:$B,$B729,куб!S:S))))))</f>
        <v>0</v>
      </c>
      <c r="AH729" s="16" t="str">
        <f t="shared" si="247"/>
        <v>-</v>
      </c>
      <c r="AI729" s="8"/>
      <c r="AJ729" s="27" t="b">
        <f>IF($G729&lt;&gt;0,SUMIF(куб!$G:$G,$G729,куб!T:T),IF($E729&lt;&gt;0,SUMIF(куб!$E:$E,$E729,куб!T:T),IF($D729&lt;&gt;0,SUMIF(куб!$D:$D,$D729,куб!T:T),IF($C729&lt;&gt;0,SUMIF(куб!$C:$C,$C729,куб!T:T),IF($B729&lt;&gt;0,SUMIF(куб!$B:$B,$B729,куб!T:T))))))</f>
        <v>0</v>
      </c>
      <c r="AK729" s="27" t="b">
        <f>IF($G729&lt;&gt;0,SUMIF(куб!$G:$G,$G729,куб!U:U),IF($E729&lt;&gt;0,SUMIF(куб!$E:$E,$E729,куб!U:U),IF($D729&lt;&gt;0,SUMIF(куб!$D:$D,$D729,куб!U:U),IF($C729&lt;&gt;0,SUMIF(куб!$C:$C,$C729,куб!U:U),IF($B729&lt;&gt;0,SUMIF(куб!$B:$B,$B729,куб!U:U))))))</f>
        <v>0</v>
      </c>
      <c r="AL729" s="16" t="str">
        <f t="shared" si="248"/>
        <v>-</v>
      </c>
      <c r="AM729" s="8"/>
      <c r="AN729" s="17" t="str">
        <f t="shared" si="249"/>
        <v xml:space="preserve"> </v>
      </c>
      <c r="AO729" s="17" t="str">
        <f t="shared" si="250"/>
        <v xml:space="preserve"> </v>
      </c>
      <c r="AP729" s="16" t="str">
        <f t="shared" si="251"/>
        <v>-</v>
      </c>
      <c r="AQ729" s="8"/>
      <c r="AR729" s="17" t="str">
        <f t="shared" si="252"/>
        <v>-</v>
      </c>
      <c r="AS729" s="17" t="str">
        <f t="shared" si="253"/>
        <v>-</v>
      </c>
      <c r="AT729" s="13" t="str">
        <f t="shared" si="254"/>
        <v>-</v>
      </c>
      <c r="AU729" s="8"/>
    </row>
    <row r="730" spans="1:47" x14ac:dyDescent="0.25">
      <c r="A730" s="31"/>
      <c r="B730" s="31"/>
      <c r="C730"/>
      <c r="D730" s="31"/>
      <c r="E730"/>
      <c r="F730" s="31"/>
      <c r="G730"/>
      <c r="H730" s="27">
        <f>IF($G730&lt;&gt;0,SUMIF(куб!$G:$G,$G730,куб!H:H),IF($E730&lt;&gt;0,SUMIF(куб!$E:$E,$E730,куб!H:H),IF($D730&lt;&gt;0,SUMIF(куб!$D:$D,$D730,куб!H:H),IF($C730&lt;&gt;0,SUMIF(куб!$C:$C,$C730,куб!H:H),IF($B730&lt;&gt;0,SUMIF(куб!$B:$B,$B730,куб!H:H),IF($G730&lt;&gt;0,SUMIF(куб!$A:$A,$G730,куб!H:H),SUMIF(куб!$A:$A,$G730,куб!H:H)))))))</f>
        <v>0</v>
      </c>
      <c r="I730" s="27">
        <f>IF($G730&lt;&gt;0,SUMIF(куб!$G:$G,$G730,куб!I:I),IF($E730&lt;&gt;0,SUMIF(куб!$E:$E,$E730,куб!I:I),IF($D730&lt;&gt;0,SUMIF(куб!$D:$D,$D730,куб!I:I),IF($C730&lt;&gt;0,SUMIF(куб!$C:$C,$C730,куб!I:I),IF($B730&lt;&gt;0,SUMIF(куб!$B:$B,$B730,куб!I:I),IF($G730&lt;&gt;0,SUMIF(куб!$A:$A,$G730,куб!I:I),SUMIF(куб!$A:$A,$G730,куб!I:I)))))))</f>
        <v>0</v>
      </c>
      <c r="J730" s="19" t="str">
        <f t="shared" si="237"/>
        <v>-</v>
      </c>
      <c r="K730" s="8"/>
      <c r="L730" s="17">
        <f t="shared" si="238"/>
        <v>0</v>
      </c>
      <c r="M730" s="17">
        <f t="shared" si="239"/>
        <v>0</v>
      </c>
      <c r="N730" s="12">
        <f t="shared" si="240"/>
        <v>0</v>
      </c>
      <c r="O730" s="5"/>
      <c r="P730" s="27" t="b">
        <f>IF($G730&lt;&gt;0,SUMIF(куб!$G:$G,$G730,куб!J:J),IF($E730&lt;&gt;0,SUMIF(куб!$E:$E,$E730,куб!J:J),IF($D730&lt;&gt;0,SUMIF(куб!$D:$D,$D730,куб!J:J),IF($C730&lt;&gt;0,SUMIF(куб!$C:$C,$C730,куб!J:J),IF($B730&lt;&gt;0,SUMIF(куб!$B:$B,$B730,куб!J:J))))))</f>
        <v>0</v>
      </c>
      <c r="Q730" s="27" t="b">
        <f>IF($G730&lt;&gt;0,SUMIF(куб!$G:$G,$G730,куб!K:K),IF($E730&lt;&gt;0,SUMIF(куб!$E:$E,$E730,куб!K:K),IF($D730&lt;&gt;0,SUMIF(куб!$D:$D,$D730,куб!K:K),IF($C730&lt;&gt;0,SUMIF(куб!$C:$C,$C730,куб!K:K),IF($B730&lt;&gt;0,SUMIF(куб!$B:$B,$B730,куб!K:K))))))</f>
        <v>0</v>
      </c>
      <c r="R730" s="13" t="str">
        <f t="shared" si="241"/>
        <v>-</v>
      </c>
      <c r="S730" s="5"/>
      <c r="T730" s="27" t="b">
        <f>IF($G730&lt;&gt;0,SUMIF(куб!$G:$G,$G730,куб!L:L),IF($E730&lt;&gt;0,SUMIF(куб!$E:$E,$E730,куб!L:L),IF($D730&lt;&gt;0,SUMIF(куб!$D:$D,$D730,куб!L:L),IF($C730&lt;&gt;0,SUMIF(куб!$C:$C,$C730,куб!L:L),IF($B730&lt;&gt;0,SUMIF(куб!$B:$B,$B730,куб!L:L))))))</f>
        <v>0</v>
      </c>
      <c r="U730" s="27" t="b">
        <f>IF($G730&lt;&gt;0,SUMIF(куб!$G:$G,$G730,куб!M:M),IF($E730&lt;&gt;0,SUMIF(куб!$E:$E,$E730,куб!M:M),IF($D730&lt;&gt;0,SUMIF(куб!$D:$D,$D730,куб!M:M),IF($C730&lt;&gt;0,SUMIF(куб!$C:$C,$C730,куб!M:M),IF($B730&lt;&gt;0,SUMIF(куб!$B:$B,$B730,куб!M:M))))))</f>
        <v>0</v>
      </c>
      <c r="V730" s="13" t="str">
        <f t="shared" si="242"/>
        <v>-</v>
      </c>
      <c r="W730" s="5"/>
      <c r="X730" s="27" t="b">
        <f>IF($G730&lt;&gt;0,SUMIF(куб!$G:$G,$G730,куб!N:N),IF($E730&lt;&gt;0,SUMIF(куб!$E:$E,$E730,куб!N:N),IF($D730&lt;&gt;0,SUMIF(куб!$D:$D,$D730,куб!N:N),IF($C730&lt;&gt;0,SUMIF(куб!$C:$C,$C730,куб!N:N),IF($B730&lt;&gt;0,SUMIF(куб!$B:$B,$B730,куб!N:N))))))</f>
        <v>0</v>
      </c>
      <c r="Y730" s="27" t="b">
        <f>IF($G730&lt;&gt;0,SUMIF(куб!$G:$G,$G730,куб!O:O),IF($E730&lt;&gt;0,SUMIF(куб!$E:$E,$E730,куб!O:O),IF($D730&lt;&gt;0,SUMIF(куб!$D:$D,$D730,куб!O:O),IF($C730&lt;&gt;0,SUMIF(куб!$C:$C,$C730,куб!O:O),IF($B730&lt;&gt;0,SUMIF(куб!$B:$B,$B730,куб!O:O))))))</f>
        <v>0</v>
      </c>
      <c r="Z730" s="13" t="str">
        <f t="shared" si="243"/>
        <v>-</v>
      </c>
      <c r="AA730" s="5"/>
      <c r="AB730" s="33" t="str">
        <f t="shared" si="244"/>
        <v/>
      </c>
      <c r="AC730" s="33" t="str">
        <f t="shared" si="245"/>
        <v/>
      </c>
      <c r="AD730" s="15" t="str">
        <f t="shared" si="246"/>
        <v xml:space="preserve"> </v>
      </c>
      <c r="AE730" s="5"/>
      <c r="AF730" s="27" t="b">
        <f>IF($G730&lt;&gt;0,SUMIF(куб!$G:$G,$G730,куб!R:R),IF($E730&lt;&gt;0,SUMIF(куб!$E:$E,$E730,куб!R:R),IF($D730&lt;&gt;0,SUMIF(куб!$D:$D,$D730,куб!R:R),IF($C730&lt;&gt;0,SUMIF(куб!$C:$C,$C730,куб!R:R),IF($B730&lt;&gt;0,SUMIF(куб!$B:$B,$B730,куб!R:R))))))</f>
        <v>0</v>
      </c>
      <c r="AG730" s="27" t="b">
        <f>IF($G730&lt;&gt;0,SUMIF(куб!$G:$G,$G730,куб!S:S),IF($E730&lt;&gt;0,SUMIF(куб!$E:$E,$E730,куб!S:S),IF($D730&lt;&gt;0,SUMIF(куб!$D:$D,$D730,куб!S:S),IF($C730&lt;&gt;0,SUMIF(куб!$C:$C,$C730,куб!S:S),IF($B730&lt;&gt;0,SUMIF(куб!$B:$B,$B730,куб!S:S))))))</f>
        <v>0</v>
      </c>
      <c r="AH730" s="16" t="str">
        <f t="shared" si="247"/>
        <v>-</v>
      </c>
      <c r="AI730" s="8"/>
      <c r="AJ730" s="27" t="b">
        <f>IF($G730&lt;&gt;0,SUMIF(куб!$G:$G,$G730,куб!T:T),IF($E730&lt;&gt;0,SUMIF(куб!$E:$E,$E730,куб!T:T),IF($D730&lt;&gt;0,SUMIF(куб!$D:$D,$D730,куб!T:T),IF($C730&lt;&gt;0,SUMIF(куб!$C:$C,$C730,куб!T:T),IF($B730&lt;&gt;0,SUMIF(куб!$B:$B,$B730,куб!T:T))))))</f>
        <v>0</v>
      </c>
      <c r="AK730" s="27" t="b">
        <f>IF($G730&lt;&gt;0,SUMIF(куб!$G:$G,$G730,куб!U:U),IF($E730&lt;&gt;0,SUMIF(куб!$E:$E,$E730,куб!U:U),IF($D730&lt;&gt;0,SUMIF(куб!$D:$D,$D730,куб!U:U),IF($C730&lt;&gt;0,SUMIF(куб!$C:$C,$C730,куб!U:U),IF($B730&lt;&gt;0,SUMIF(куб!$B:$B,$B730,куб!U:U))))))</f>
        <v>0</v>
      </c>
      <c r="AL730" s="16" t="str">
        <f t="shared" si="248"/>
        <v>-</v>
      </c>
      <c r="AM730" s="8"/>
      <c r="AN730" s="17" t="str">
        <f t="shared" si="249"/>
        <v xml:space="preserve"> </v>
      </c>
      <c r="AO730" s="17" t="str">
        <f t="shared" si="250"/>
        <v xml:space="preserve"> </v>
      </c>
      <c r="AP730" s="16" t="str">
        <f t="shared" si="251"/>
        <v>-</v>
      </c>
      <c r="AQ730" s="8"/>
      <c r="AR730" s="17" t="str">
        <f t="shared" si="252"/>
        <v>-</v>
      </c>
      <c r="AS730" s="17" t="str">
        <f t="shared" si="253"/>
        <v>-</v>
      </c>
      <c r="AT730" s="13" t="str">
        <f t="shared" si="254"/>
        <v>-</v>
      </c>
      <c r="AU730" s="8"/>
    </row>
    <row r="731" spans="1:47" x14ac:dyDescent="0.25">
      <c r="A731" s="31"/>
      <c r="B731" s="31"/>
      <c r="C731"/>
      <c r="D731" s="31"/>
      <c r="E731"/>
      <c r="F731" s="31"/>
      <c r="G731"/>
      <c r="H731" s="27">
        <f>IF($G731&lt;&gt;0,SUMIF(куб!$G:$G,$G731,куб!H:H),IF($E731&lt;&gt;0,SUMIF(куб!$E:$E,$E731,куб!H:H),IF($D731&lt;&gt;0,SUMIF(куб!$D:$D,$D731,куб!H:H),IF($C731&lt;&gt;0,SUMIF(куб!$C:$C,$C731,куб!H:H),IF($B731&lt;&gt;0,SUMIF(куб!$B:$B,$B731,куб!H:H),IF($G731&lt;&gt;0,SUMIF(куб!$A:$A,$G731,куб!H:H),SUMIF(куб!$A:$A,$G731,куб!H:H)))))))</f>
        <v>0</v>
      </c>
      <c r="I731" s="27">
        <f>IF($G731&lt;&gt;0,SUMIF(куб!$G:$G,$G731,куб!I:I),IF($E731&lt;&gt;0,SUMIF(куб!$E:$E,$E731,куб!I:I),IF($D731&lt;&gt;0,SUMIF(куб!$D:$D,$D731,куб!I:I),IF($C731&lt;&gt;0,SUMIF(куб!$C:$C,$C731,куб!I:I),IF($B731&lt;&gt;0,SUMIF(куб!$B:$B,$B731,куб!I:I),IF($G731&lt;&gt;0,SUMIF(куб!$A:$A,$G731,куб!I:I),SUMIF(куб!$A:$A,$G731,куб!I:I)))))))</f>
        <v>0</v>
      </c>
      <c r="J731" s="19" t="str">
        <f t="shared" si="237"/>
        <v>-</v>
      </c>
      <c r="K731" s="8"/>
      <c r="L731" s="17">
        <f t="shared" si="238"/>
        <v>0</v>
      </c>
      <c r="M731" s="17">
        <f t="shared" si="239"/>
        <v>0</v>
      </c>
      <c r="N731" s="12">
        <f t="shared" si="240"/>
        <v>0</v>
      </c>
      <c r="O731" s="5"/>
      <c r="P731" s="27" t="b">
        <f>IF($G731&lt;&gt;0,SUMIF(куб!$G:$G,$G731,куб!J:J),IF($E731&lt;&gt;0,SUMIF(куб!$E:$E,$E731,куб!J:J),IF($D731&lt;&gt;0,SUMIF(куб!$D:$D,$D731,куб!J:J),IF($C731&lt;&gt;0,SUMIF(куб!$C:$C,$C731,куб!J:J),IF($B731&lt;&gt;0,SUMIF(куб!$B:$B,$B731,куб!J:J))))))</f>
        <v>0</v>
      </c>
      <c r="Q731" s="27" t="b">
        <f>IF($G731&lt;&gt;0,SUMIF(куб!$G:$G,$G731,куб!K:K),IF($E731&lt;&gt;0,SUMIF(куб!$E:$E,$E731,куб!K:K),IF($D731&lt;&gt;0,SUMIF(куб!$D:$D,$D731,куб!K:K),IF($C731&lt;&gt;0,SUMIF(куб!$C:$C,$C731,куб!K:K),IF($B731&lt;&gt;0,SUMIF(куб!$B:$B,$B731,куб!K:K))))))</f>
        <v>0</v>
      </c>
      <c r="R731" s="13" t="str">
        <f t="shared" si="241"/>
        <v>-</v>
      </c>
      <c r="S731" s="5"/>
      <c r="T731" s="27" t="b">
        <f>IF($G731&lt;&gt;0,SUMIF(куб!$G:$G,$G731,куб!L:L),IF($E731&lt;&gt;0,SUMIF(куб!$E:$E,$E731,куб!L:L),IF($D731&lt;&gt;0,SUMIF(куб!$D:$D,$D731,куб!L:L),IF($C731&lt;&gt;0,SUMIF(куб!$C:$C,$C731,куб!L:L),IF($B731&lt;&gt;0,SUMIF(куб!$B:$B,$B731,куб!L:L))))))</f>
        <v>0</v>
      </c>
      <c r="U731" s="27" t="b">
        <f>IF($G731&lt;&gt;0,SUMIF(куб!$G:$G,$G731,куб!M:M),IF($E731&lt;&gt;0,SUMIF(куб!$E:$E,$E731,куб!M:M),IF($D731&lt;&gt;0,SUMIF(куб!$D:$D,$D731,куб!M:M),IF($C731&lt;&gt;0,SUMIF(куб!$C:$C,$C731,куб!M:M),IF($B731&lt;&gt;0,SUMIF(куб!$B:$B,$B731,куб!M:M))))))</f>
        <v>0</v>
      </c>
      <c r="V731" s="13" t="str">
        <f t="shared" si="242"/>
        <v>-</v>
      </c>
      <c r="W731" s="5"/>
      <c r="X731" s="27" t="b">
        <f>IF($G731&lt;&gt;0,SUMIF(куб!$G:$G,$G731,куб!N:N),IF($E731&lt;&gt;0,SUMIF(куб!$E:$E,$E731,куб!N:N),IF($D731&lt;&gt;0,SUMIF(куб!$D:$D,$D731,куб!N:N),IF($C731&lt;&gt;0,SUMIF(куб!$C:$C,$C731,куб!N:N),IF($B731&lt;&gt;0,SUMIF(куб!$B:$B,$B731,куб!N:N))))))</f>
        <v>0</v>
      </c>
      <c r="Y731" s="27" t="b">
        <f>IF($G731&lt;&gt;0,SUMIF(куб!$G:$G,$G731,куб!O:O),IF($E731&lt;&gt;0,SUMIF(куб!$E:$E,$E731,куб!O:O),IF($D731&lt;&gt;0,SUMIF(куб!$D:$D,$D731,куб!O:O),IF($C731&lt;&gt;0,SUMIF(куб!$C:$C,$C731,куб!O:O),IF($B731&lt;&gt;0,SUMIF(куб!$B:$B,$B731,куб!O:O))))))</f>
        <v>0</v>
      </c>
      <c r="Z731" s="13" t="str">
        <f t="shared" si="243"/>
        <v>-</v>
      </c>
      <c r="AA731" s="5"/>
      <c r="AB731" s="33" t="str">
        <f t="shared" si="244"/>
        <v/>
      </c>
      <c r="AC731" s="33" t="str">
        <f t="shared" si="245"/>
        <v/>
      </c>
      <c r="AD731" s="15" t="str">
        <f t="shared" si="246"/>
        <v xml:space="preserve"> </v>
      </c>
      <c r="AE731" s="5"/>
      <c r="AF731" s="27" t="b">
        <f>IF($G731&lt;&gt;0,SUMIF(куб!$G:$G,$G731,куб!R:R),IF($E731&lt;&gt;0,SUMIF(куб!$E:$E,$E731,куб!R:R),IF($D731&lt;&gt;0,SUMIF(куб!$D:$D,$D731,куб!R:R),IF($C731&lt;&gt;0,SUMIF(куб!$C:$C,$C731,куб!R:R),IF($B731&lt;&gt;0,SUMIF(куб!$B:$B,$B731,куб!R:R))))))</f>
        <v>0</v>
      </c>
      <c r="AG731" s="27" t="b">
        <f>IF($G731&lt;&gt;0,SUMIF(куб!$G:$G,$G731,куб!S:S),IF($E731&lt;&gt;0,SUMIF(куб!$E:$E,$E731,куб!S:S),IF($D731&lt;&gt;0,SUMIF(куб!$D:$D,$D731,куб!S:S),IF($C731&lt;&gt;0,SUMIF(куб!$C:$C,$C731,куб!S:S),IF($B731&lt;&gt;0,SUMIF(куб!$B:$B,$B731,куб!S:S))))))</f>
        <v>0</v>
      </c>
      <c r="AH731" s="16" t="str">
        <f t="shared" si="247"/>
        <v>-</v>
      </c>
      <c r="AI731" s="8"/>
      <c r="AJ731" s="27" t="b">
        <f>IF($G731&lt;&gt;0,SUMIF(куб!$G:$G,$G731,куб!T:T),IF($E731&lt;&gt;0,SUMIF(куб!$E:$E,$E731,куб!T:T),IF($D731&lt;&gt;0,SUMIF(куб!$D:$D,$D731,куб!T:T),IF($C731&lt;&gt;0,SUMIF(куб!$C:$C,$C731,куб!T:T),IF($B731&lt;&gt;0,SUMIF(куб!$B:$B,$B731,куб!T:T))))))</f>
        <v>0</v>
      </c>
      <c r="AK731" s="27" t="b">
        <f>IF($G731&lt;&gt;0,SUMIF(куб!$G:$G,$G731,куб!U:U),IF($E731&lt;&gt;0,SUMIF(куб!$E:$E,$E731,куб!U:U),IF($D731&lt;&gt;0,SUMIF(куб!$D:$D,$D731,куб!U:U),IF($C731&lt;&gt;0,SUMIF(куб!$C:$C,$C731,куб!U:U),IF($B731&lt;&gt;0,SUMIF(куб!$B:$B,$B731,куб!U:U))))))</f>
        <v>0</v>
      </c>
      <c r="AL731" s="16" t="str">
        <f t="shared" si="248"/>
        <v>-</v>
      </c>
      <c r="AM731" s="8"/>
      <c r="AN731" s="17" t="str">
        <f t="shared" si="249"/>
        <v xml:space="preserve"> </v>
      </c>
      <c r="AO731" s="17" t="str">
        <f t="shared" si="250"/>
        <v xml:space="preserve"> </v>
      </c>
      <c r="AP731" s="16" t="str">
        <f t="shared" si="251"/>
        <v>-</v>
      </c>
      <c r="AQ731" s="8"/>
      <c r="AR731" s="17" t="str">
        <f t="shared" si="252"/>
        <v>-</v>
      </c>
      <c r="AS731" s="17" t="str">
        <f t="shared" si="253"/>
        <v>-</v>
      </c>
      <c r="AT731" s="13" t="str">
        <f t="shared" si="254"/>
        <v>-</v>
      </c>
      <c r="AU731" s="8"/>
    </row>
    <row r="732" spans="1:47" x14ac:dyDescent="0.25">
      <c r="A732" s="31"/>
      <c r="B732" s="31"/>
      <c r="C732"/>
      <c r="D732" s="31"/>
      <c r="E732"/>
      <c r="F732" s="31"/>
      <c r="G732"/>
      <c r="H732" s="27">
        <f>IF($G732&lt;&gt;0,SUMIF(куб!$G:$G,$G732,куб!H:H),IF($E732&lt;&gt;0,SUMIF(куб!$E:$E,$E732,куб!H:H),IF($D732&lt;&gt;0,SUMIF(куб!$D:$D,$D732,куб!H:H),IF($C732&lt;&gt;0,SUMIF(куб!$C:$C,$C732,куб!H:H),IF($B732&lt;&gt;0,SUMIF(куб!$B:$B,$B732,куб!H:H),IF($G732&lt;&gt;0,SUMIF(куб!$A:$A,$G732,куб!H:H),SUMIF(куб!$A:$A,$G732,куб!H:H)))))))</f>
        <v>0</v>
      </c>
      <c r="I732" s="27">
        <f>IF($G732&lt;&gt;0,SUMIF(куб!$G:$G,$G732,куб!I:I),IF($E732&lt;&gt;0,SUMIF(куб!$E:$E,$E732,куб!I:I),IF($D732&lt;&gt;0,SUMIF(куб!$D:$D,$D732,куб!I:I),IF($C732&lt;&gt;0,SUMIF(куб!$C:$C,$C732,куб!I:I),IF($B732&lt;&gt;0,SUMIF(куб!$B:$B,$B732,куб!I:I),IF($G732&lt;&gt;0,SUMIF(куб!$A:$A,$G732,куб!I:I),SUMIF(куб!$A:$A,$G732,куб!I:I)))))))</f>
        <v>0</v>
      </c>
      <c r="J732" s="19" t="str">
        <f t="shared" si="237"/>
        <v>-</v>
      </c>
      <c r="K732" s="8"/>
      <c r="L732" s="17">
        <f t="shared" si="238"/>
        <v>0</v>
      </c>
      <c r="M732" s="17">
        <f t="shared" si="239"/>
        <v>0</v>
      </c>
      <c r="N732" s="12">
        <f t="shared" si="240"/>
        <v>0</v>
      </c>
      <c r="O732" s="5"/>
      <c r="P732" s="27" t="b">
        <f>IF($G732&lt;&gt;0,SUMIF(куб!$G:$G,$G732,куб!J:J),IF($E732&lt;&gt;0,SUMIF(куб!$E:$E,$E732,куб!J:J),IF($D732&lt;&gt;0,SUMIF(куб!$D:$D,$D732,куб!J:J),IF($C732&lt;&gt;0,SUMIF(куб!$C:$C,$C732,куб!J:J),IF($B732&lt;&gt;0,SUMIF(куб!$B:$B,$B732,куб!J:J))))))</f>
        <v>0</v>
      </c>
      <c r="Q732" s="27" t="b">
        <f>IF($G732&lt;&gt;0,SUMIF(куб!$G:$G,$G732,куб!K:K),IF($E732&lt;&gt;0,SUMIF(куб!$E:$E,$E732,куб!K:K),IF($D732&lt;&gt;0,SUMIF(куб!$D:$D,$D732,куб!K:K),IF($C732&lt;&gt;0,SUMIF(куб!$C:$C,$C732,куб!K:K),IF($B732&lt;&gt;0,SUMIF(куб!$B:$B,$B732,куб!K:K))))))</f>
        <v>0</v>
      </c>
      <c r="R732" s="13" t="str">
        <f t="shared" si="241"/>
        <v>-</v>
      </c>
      <c r="S732" s="5"/>
      <c r="T732" s="27" t="b">
        <f>IF($G732&lt;&gt;0,SUMIF(куб!$G:$G,$G732,куб!L:L),IF($E732&lt;&gt;0,SUMIF(куб!$E:$E,$E732,куб!L:L),IF($D732&lt;&gt;0,SUMIF(куб!$D:$D,$D732,куб!L:L),IF($C732&lt;&gt;0,SUMIF(куб!$C:$C,$C732,куб!L:L),IF($B732&lt;&gt;0,SUMIF(куб!$B:$B,$B732,куб!L:L))))))</f>
        <v>0</v>
      </c>
      <c r="U732" s="27" t="b">
        <f>IF($G732&lt;&gt;0,SUMIF(куб!$G:$G,$G732,куб!M:M),IF($E732&lt;&gt;0,SUMIF(куб!$E:$E,$E732,куб!M:M),IF($D732&lt;&gt;0,SUMIF(куб!$D:$D,$D732,куб!M:M),IF($C732&lt;&gt;0,SUMIF(куб!$C:$C,$C732,куб!M:M),IF($B732&lt;&gt;0,SUMIF(куб!$B:$B,$B732,куб!M:M))))))</f>
        <v>0</v>
      </c>
      <c r="V732" s="13" t="str">
        <f t="shared" si="242"/>
        <v>-</v>
      </c>
      <c r="W732" s="5"/>
      <c r="X732" s="27" t="b">
        <f>IF($G732&lt;&gt;0,SUMIF(куб!$G:$G,$G732,куб!N:N),IF($E732&lt;&gt;0,SUMIF(куб!$E:$E,$E732,куб!N:N),IF($D732&lt;&gt;0,SUMIF(куб!$D:$D,$D732,куб!N:N),IF($C732&lt;&gt;0,SUMIF(куб!$C:$C,$C732,куб!N:N),IF($B732&lt;&gt;0,SUMIF(куб!$B:$B,$B732,куб!N:N))))))</f>
        <v>0</v>
      </c>
      <c r="Y732" s="27" t="b">
        <f>IF($G732&lt;&gt;0,SUMIF(куб!$G:$G,$G732,куб!O:O),IF($E732&lt;&gt;0,SUMIF(куб!$E:$E,$E732,куб!O:O),IF($D732&lt;&gt;0,SUMIF(куб!$D:$D,$D732,куб!O:O),IF($C732&lt;&gt;0,SUMIF(куб!$C:$C,$C732,куб!O:O),IF($B732&lt;&gt;0,SUMIF(куб!$B:$B,$B732,куб!O:O))))))</f>
        <v>0</v>
      </c>
      <c r="Z732" s="13" t="str">
        <f t="shared" si="243"/>
        <v>-</v>
      </c>
      <c r="AA732" s="5"/>
      <c r="AB732" s="33" t="str">
        <f t="shared" si="244"/>
        <v/>
      </c>
      <c r="AC732" s="33" t="str">
        <f t="shared" si="245"/>
        <v/>
      </c>
      <c r="AD732" s="15" t="str">
        <f t="shared" si="246"/>
        <v xml:space="preserve"> </v>
      </c>
      <c r="AE732" s="5"/>
      <c r="AF732" s="27" t="b">
        <f>IF($G732&lt;&gt;0,SUMIF(куб!$G:$G,$G732,куб!R:R),IF($E732&lt;&gt;0,SUMIF(куб!$E:$E,$E732,куб!R:R),IF($D732&lt;&gt;0,SUMIF(куб!$D:$D,$D732,куб!R:R),IF($C732&lt;&gt;0,SUMIF(куб!$C:$C,$C732,куб!R:R),IF($B732&lt;&gt;0,SUMIF(куб!$B:$B,$B732,куб!R:R))))))</f>
        <v>0</v>
      </c>
      <c r="AG732" s="27" t="b">
        <f>IF($G732&lt;&gt;0,SUMIF(куб!$G:$G,$G732,куб!S:S),IF($E732&lt;&gt;0,SUMIF(куб!$E:$E,$E732,куб!S:S),IF($D732&lt;&gt;0,SUMIF(куб!$D:$D,$D732,куб!S:S),IF($C732&lt;&gt;0,SUMIF(куб!$C:$C,$C732,куб!S:S),IF($B732&lt;&gt;0,SUMIF(куб!$B:$B,$B732,куб!S:S))))))</f>
        <v>0</v>
      </c>
      <c r="AH732" s="16" t="str">
        <f t="shared" si="247"/>
        <v>-</v>
      </c>
      <c r="AI732" s="8"/>
      <c r="AJ732" s="27" t="b">
        <f>IF($G732&lt;&gt;0,SUMIF(куб!$G:$G,$G732,куб!T:T),IF($E732&lt;&gt;0,SUMIF(куб!$E:$E,$E732,куб!T:T),IF($D732&lt;&gt;0,SUMIF(куб!$D:$D,$D732,куб!T:T),IF($C732&lt;&gt;0,SUMIF(куб!$C:$C,$C732,куб!T:T),IF($B732&lt;&gt;0,SUMIF(куб!$B:$B,$B732,куб!T:T))))))</f>
        <v>0</v>
      </c>
      <c r="AK732" s="27" t="b">
        <f>IF($G732&lt;&gt;0,SUMIF(куб!$G:$G,$G732,куб!U:U),IF($E732&lt;&gt;0,SUMIF(куб!$E:$E,$E732,куб!U:U),IF($D732&lt;&gt;0,SUMIF(куб!$D:$D,$D732,куб!U:U),IF($C732&lt;&gt;0,SUMIF(куб!$C:$C,$C732,куб!U:U),IF($B732&lt;&gt;0,SUMIF(куб!$B:$B,$B732,куб!U:U))))))</f>
        <v>0</v>
      </c>
      <c r="AL732" s="16" t="str">
        <f t="shared" si="248"/>
        <v>-</v>
      </c>
      <c r="AM732" s="8"/>
      <c r="AN732" s="17" t="str">
        <f t="shared" si="249"/>
        <v xml:space="preserve"> </v>
      </c>
      <c r="AO732" s="17" t="str">
        <f t="shared" si="250"/>
        <v xml:space="preserve"> </v>
      </c>
      <c r="AP732" s="16" t="str">
        <f t="shared" si="251"/>
        <v>-</v>
      </c>
      <c r="AQ732" s="8"/>
      <c r="AR732" s="17" t="str">
        <f t="shared" si="252"/>
        <v>-</v>
      </c>
      <c r="AS732" s="17" t="str">
        <f t="shared" si="253"/>
        <v>-</v>
      </c>
      <c r="AT732" s="13" t="str">
        <f t="shared" si="254"/>
        <v>-</v>
      </c>
      <c r="AU732" s="8"/>
    </row>
    <row r="733" spans="1:47" x14ac:dyDescent="0.25">
      <c r="A733" s="31"/>
      <c r="B733" s="31"/>
      <c r="C733"/>
      <c r="D733" s="31"/>
      <c r="E733"/>
      <c r="F733" s="31"/>
      <c r="G733"/>
      <c r="H733" s="27">
        <f>IF($G733&lt;&gt;0,SUMIF(куб!$G:$G,$G733,куб!H:H),IF($E733&lt;&gt;0,SUMIF(куб!$E:$E,$E733,куб!H:H),IF($D733&lt;&gt;0,SUMIF(куб!$D:$D,$D733,куб!H:H),IF($C733&lt;&gt;0,SUMIF(куб!$C:$C,$C733,куб!H:H),IF($B733&lt;&gt;0,SUMIF(куб!$B:$B,$B733,куб!H:H),IF($G733&lt;&gt;0,SUMIF(куб!$A:$A,$G733,куб!H:H),SUMIF(куб!$A:$A,$G733,куб!H:H)))))))</f>
        <v>0</v>
      </c>
      <c r="I733" s="27">
        <f>IF($G733&lt;&gt;0,SUMIF(куб!$G:$G,$G733,куб!I:I),IF($E733&lt;&gt;0,SUMIF(куб!$E:$E,$E733,куб!I:I),IF($D733&lt;&gt;0,SUMIF(куб!$D:$D,$D733,куб!I:I),IF($C733&lt;&gt;0,SUMIF(куб!$C:$C,$C733,куб!I:I),IF($B733&lt;&gt;0,SUMIF(куб!$B:$B,$B733,куб!I:I),IF($G733&lt;&gt;0,SUMIF(куб!$A:$A,$G733,куб!I:I),SUMIF(куб!$A:$A,$G733,куб!I:I)))))))</f>
        <v>0</v>
      </c>
      <c r="J733" s="19" t="str">
        <f t="shared" si="237"/>
        <v>-</v>
      </c>
      <c r="K733" s="8"/>
      <c r="L733" s="17">
        <f t="shared" si="238"/>
        <v>0</v>
      </c>
      <c r="M733" s="17">
        <f t="shared" si="239"/>
        <v>0</v>
      </c>
      <c r="N733" s="12">
        <f t="shared" si="240"/>
        <v>0</v>
      </c>
      <c r="O733" s="5"/>
      <c r="P733" s="27" t="b">
        <f>IF($G733&lt;&gt;0,SUMIF(куб!$G:$G,$G733,куб!J:J),IF($E733&lt;&gt;0,SUMIF(куб!$E:$E,$E733,куб!J:J),IF($D733&lt;&gt;0,SUMIF(куб!$D:$D,$D733,куб!J:J),IF($C733&lt;&gt;0,SUMIF(куб!$C:$C,$C733,куб!J:J),IF($B733&lt;&gt;0,SUMIF(куб!$B:$B,$B733,куб!J:J))))))</f>
        <v>0</v>
      </c>
      <c r="Q733" s="27" t="b">
        <f>IF($G733&lt;&gt;0,SUMIF(куб!$G:$G,$G733,куб!K:K),IF($E733&lt;&gt;0,SUMIF(куб!$E:$E,$E733,куб!K:K),IF($D733&lt;&gt;0,SUMIF(куб!$D:$D,$D733,куб!K:K),IF($C733&lt;&gt;0,SUMIF(куб!$C:$C,$C733,куб!K:K),IF($B733&lt;&gt;0,SUMIF(куб!$B:$B,$B733,куб!K:K))))))</f>
        <v>0</v>
      </c>
      <c r="R733" s="13" t="str">
        <f t="shared" si="241"/>
        <v>-</v>
      </c>
      <c r="S733" s="5"/>
      <c r="T733" s="27" t="b">
        <f>IF($G733&lt;&gt;0,SUMIF(куб!$G:$G,$G733,куб!L:L),IF($E733&lt;&gt;0,SUMIF(куб!$E:$E,$E733,куб!L:L),IF($D733&lt;&gt;0,SUMIF(куб!$D:$D,$D733,куб!L:L),IF($C733&lt;&gt;0,SUMIF(куб!$C:$C,$C733,куб!L:L),IF($B733&lt;&gt;0,SUMIF(куб!$B:$B,$B733,куб!L:L))))))</f>
        <v>0</v>
      </c>
      <c r="U733" s="27" t="b">
        <f>IF($G733&lt;&gt;0,SUMIF(куб!$G:$G,$G733,куб!M:M),IF($E733&lt;&gt;0,SUMIF(куб!$E:$E,$E733,куб!M:M),IF($D733&lt;&gt;0,SUMIF(куб!$D:$D,$D733,куб!M:M),IF($C733&lt;&gt;0,SUMIF(куб!$C:$C,$C733,куб!M:M),IF($B733&lt;&gt;0,SUMIF(куб!$B:$B,$B733,куб!M:M))))))</f>
        <v>0</v>
      </c>
      <c r="V733" s="13" t="str">
        <f t="shared" si="242"/>
        <v>-</v>
      </c>
      <c r="W733" s="5"/>
      <c r="X733" s="27" t="b">
        <f>IF($G733&lt;&gt;0,SUMIF(куб!$G:$G,$G733,куб!N:N),IF($E733&lt;&gt;0,SUMIF(куб!$E:$E,$E733,куб!N:N),IF($D733&lt;&gt;0,SUMIF(куб!$D:$D,$D733,куб!N:N),IF($C733&lt;&gt;0,SUMIF(куб!$C:$C,$C733,куб!N:N),IF($B733&lt;&gt;0,SUMIF(куб!$B:$B,$B733,куб!N:N))))))</f>
        <v>0</v>
      </c>
      <c r="Y733" s="27" t="b">
        <f>IF($G733&lt;&gt;0,SUMIF(куб!$G:$G,$G733,куб!O:O),IF($E733&lt;&gt;0,SUMIF(куб!$E:$E,$E733,куб!O:O),IF($D733&lt;&gt;0,SUMIF(куб!$D:$D,$D733,куб!O:O),IF($C733&lt;&gt;0,SUMIF(куб!$C:$C,$C733,куб!O:O),IF($B733&lt;&gt;0,SUMIF(куб!$B:$B,$B733,куб!O:O))))))</f>
        <v>0</v>
      </c>
      <c r="Z733" s="13" t="str">
        <f t="shared" si="243"/>
        <v>-</v>
      </c>
      <c r="AA733" s="5"/>
      <c r="AB733" s="33" t="str">
        <f t="shared" si="244"/>
        <v/>
      </c>
      <c r="AC733" s="33" t="str">
        <f t="shared" si="245"/>
        <v/>
      </c>
      <c r="AD733" s="15" t="str">
        <f t="shared" si="246"/>
        <v xml:space="preserve"> </v>
      </c>
      <c r="AE733" s="5"/>
      <c r="AF733" s="27" t="b">
        <f>IF($G733&lt;&gt;0,SUMIF(куб!$G:$G,$G733,куб!R:R),IF($E733&lt;&gt;0,SUMIF(куб!$E:$E,$E733,куб!R:R),IF($D733&lt;&gt;0,SUMIF(куб!$D:$D,$D733,куб!R:R),IF($C733&lt;&gt;0,SUMIF(куб!$C:$C,$C733,куб!R:R),IF($B733&lt;&gt;0,SUMIF(куб!$B:$B,$B733,куб!R:R))))))</f>
        <v>0</v>
      </c>
      <c r="AG733" s="27" t="b">
        <f>IF($G733&lt;&gt;0,SUMIF(куб!$G:$G,$G733,куб!S:S),IF($E733&lt;&gt;0,SUMIF(куб!$E:$E,$E733,куб!S:S),IF($D733&lt;&gt;0,SUMIF(куб!$D:$D,$D733,куб!S:S),IF($C733&lt;&gt;0,SUMIF(куб!$C:$C,$C733,куб!S:S),IF($B733&lt;&gt;0,SUMIF(куб!$B:$B,$B733,куб!S:S))))))</f>
        <v>0</v>
      </c>
      <c r="AH733" s="16" t="str">
        <f t="shared" si="247"/>
        <v>-</v>
      </c>
      <c r="AI733" s="8"/>
      <c r="AJ733" s="27" t="b">
        <f>IF($G733&lt;&gt;0,SUMIF(куб!$G:$G,$G733,куб!T:T),IF($E733&lt;&gt;0,SUMIF(куб!$E:$E,$E733,куб!T:T),IF($D733&lt;&gt;0,SUMIF(куб!$D:$D,$D733,куб!T:T),IF($C733&lt;&gt;0,SUMIF(куб!$C:$C,$C733,куб!T:T),IF($B733&lt;&gt;0,SUMIF(куб!$B:$B,$B733,куб!T:T))))))</f>
        <v>0</v>
      </c>
      <c r="AK733" s="27" t="b">
        <f>IF($G733&lt;&gt;0,SUMIF(куб!$G:$G,$G733,куб!U:U),IF($E733&lt;&gt;0,SUMIF(куб!$E:$E,$E733,куб!U:U),IF($D733&lt;&gt;0,SUMIF(куб!$D:$D,$D733,куб!U:U),IF($C733&lt;&gt;0,SUMIF(куб!$C:$C,$C733,куб!U:U),IF($B733&lt;&gt;0,SUMIF(куб!$B:$B,$B733,куб!U:U))))))</f>
        <v>0</v>
      </c>
      <c r="AL733" s="16" t="str">
        <f t="shared" si="248"/>
        <v>-</v>
      </c>
      <c r="AM733" s="8"/>
      <c r="AN733" s="17" t="str">
        <f t="shared" si="249"/>
        <v xml:space="preserve"> </v>
      </c>
      <c r="AO733" s="17" t="str">
        <f t="shared" si="250"/>
        <v xml:space="preserve"> </v>
      </c>
      <c r="AP733" s="16" t="str">
        <f t="shared" si="251"/>
        <v>-</v>
      </c>
      <c r="AQ733" s="8"/>
      <c r="AR733" s="17" t="str">
        <f t="shared" si="252"/>
        <v>-</v>
      </c>
      <c r="AS733" s="17" t="str">
        <f t="shared" si="253"/>
        <v>-</v>
      </c>
      <c r="AT733" s="13" t="str">
        <f t="shared" si="254"/>
        <v>-</v>
      </c>
      <c r="AU733" s="8"/>
    </row>
    <row r="734" spans="1:47" x14ac:dyDescent="0.25">
      <c r="A734" s="31"/>
      <c r="B734" s="31"/>
      <c r="C734"/>
      <c r="D734" s="31"/>
      <c r="E734"/>
      <c r="F734"/>
      <c r="G734"/>
      <c r="H734" s="27">
        <f>IF($G734&lt;&gt;0,SUMIF(куб!$G:$G,$G734,куб!H:H),IF($E734&lt;&gt;0,SUMIF(куб!$E:$E,$E734,куб!H:H),IF($D734&lt;&gt;0,SUMIF(куб!$D:$D,$D734,куб!H:H),IF($C734&lt;&gt;0,SUMIF(куб!$C:$C,$C734,куб!H:H),IF($B734&lt;&gt;0,SUMIF(куб!$B:$B,$B734,куб!H:H),IF($G734&lt;&gt;0,SUMIF(куб!$A:$A,$G734,куб!H:H),SUMIF(куб!$A:$A,$G734,куб!H:H)))))))</f>
        <v>0</v>
      </c>
      <c r="I734" s="27">
        <f>IF($G734&lt;&gt;0,SUMIF(куб!$G:$G,$G734,куб!I:I),IF($E734&lt;&gt;0,SUMIF(куб!$E:$E,$E734,куб!I:I),IF($D734&lt;&gt;0,SUMIF(куб!$D:$D,$D734,куб!I:I),IF($C734&lt;&gt;0,SUMIF(куб!$C:$C,$C734,куб!I:I),IF($B734&lt;&gt;0,SUMIF(куб!$B:$B,$B734,куб!I:I),IF($G734&lt;&gt;0,SUMIF(куб!$A:$A,$G734,куб!I:I),SUMIF(куб!$A:$A,$G734,куб!I:I)))))))</f>
        <v>0</v>
      </c>
      <c r="J734" s="19" t="str">
        <f t="shared" si="237"/>
        <v>-</v>
      </c>
      <c r="K734" s="8"/>
      <c r="L734" s="17">
        <f t="shared" si="238"/>
        <v>0</v>
      </c>
      <c r="M734" s="17">
        <f t="shared" si="239"/>
        <v>0</v>
      </c>
      <c r="N734" s="12">
        <f t="shared" si="240"/>
        <v>0</v>
      </c>
      <c r="O734" s="5"/>
      <c r="P734" s="27" t="b">
        <f>IF($G734&lt;&gt;0,SUMIF(куб!$G:$G,$G734,куб!J:J),IF($E734&lt;&gt;0,SUMIF(куб!$E:$E,$E734,куб!J:J),IF($D734&lt;&gt;0,SUMIF(куб!$D:$D,$D734,куб!J:J),IF($C734&lt;&gt;0,SUMIF(куб!$C:$C,$C734,куб!J:J),IF($B734&lt;&gt;0,SUMIF(куб!$B:$B,$B734,куб!J:J))))))</f>
        <v>0</v>
      </c>
      <c r="Q734" s="27" t="b">
        <f>IF($G734&lt;&gt;0,SUMIF(куб!$G:$G,$G734,куб!K:K),IF($E734&lt;&gt;0,SUMIF(куб!$E:$E,$E734,куб!K:K),IF($D734&lt;&gt;0,SUMIF(куб!$D:$D,$D734,куб!K:K),IF($C734&lt;&gt;0,SUMIF(куб!$C:$C,$C734,куб!K:K),IF($B734&lt;&gt;0,SUMIF(куб!$B:$B,$B734,куб!K:K))))))</f>
        <v>0</v>
      </c>
      <c r="R734" s="13" t="str">
        <f t="shared" si="241"/>
        <v>-</v>
      </c>
      <c r="S734" s="5"/>
      <c r="T734" s="27" t="b">
        <f>IF($G734&lt;&gt;0,SUMIF(куб!$G:$G,$G734,куб!L:L),IF($E734&lt;&gt;0,SUMIF(куб!$E:$E,$E734,куб!L:L),IF($D734&lt;&gt;0,SUMIF(куб!$D:$D,$D734,куб!L:L),IF($C734&lt;&gt;0,SUMIF(куб!$C:$C,$C734,куб!L:L),IF($B734&lt;&gt;0,SUMIF(куб!$B:$B,$B734,куб!L:L))))))</f>
        <v>0</v>
      </c>
      <c r="U734" s="27" t="b">
        <f>IF($G734&lt;&gt;0,SUMIF(куб!$G:$G,$G734,куб!M:M),IF($E734&lt;&gt;0,SUMIF(куб!$E:$E,$E734,куб!M:M),IF($D734&lt;&gt;0,SUMIF(куб!$D:$D,$D734,куб!M:M),IF($C734&lt;&gt;0,SUMIF(куб!$C:$C,$C734,куб!M:M),IF($B734&lt;&gt;0,SUMIF(куб!$B:$B,$B734,куб!M:M))))))</f>
        <v>0</v>
      </c>
      <c r="V734" s="13" t="str">
        <f t="shared" si="242"/>
        <v>-</v>
      </c>
      <c r="W734" s="5"/>
      <c r="X734" s="27" t="b">
        <f>IF($G734&lt;&gt;0,SUMIF(куб!$G:$G,$G734,куб!N:N),IF($E734&lt;&gt;0,SUMIF(куб!$E:$E,$E734,куб!N:N),IF($D734&lt;&gt;0,SUMIF(куб!$D:$D,$D734,куб!N:N),IF($C734&lt;&gt;0,SUMIF(куб!$C:$C,$C734,куб!N:N),IF($B734&lt;&gt;0,SUMIF(куб!$B:$B,$B734,куб!N:N))))))</f>
        <v>0</v>
      </c>
      <c r="Y734" s="27" t="b">
        <f>IF($G734&lt;&gt;0,SUMIF(куб!$G:$G,$G734,куб!O:O),IF($E734&lt;&gt;0,SUMIF(куб!$E:$E,$E734,куб!O:O),IF($D734&lt;&gt;0,SUMIF(куб!$D:$D,$D734,куб!O:O),IF($C734&lt;&gt;0,SUMIF(куб!$C:$C,$C734,куб!O:O),IF($B734&lt;&gt;0,SUMIF(куб!$B:$B,$B734,куб!O:O))))))</f>
        <v>0</v>
      </c>
      <c r="Z734" s="13" t="str">
        <f t="shared" si="243"/>
        <v>-</v>
      </c>
      <c r="AA734" s="5"/>
      <c r="AB734" s="33" t="str">
        <f t="shared" si="244"/>
        <v/>
      </c>
      <c r="AC734" s="33" t="str">
        <f t="shared" si="245"/>
        <v/>
      </c>
      <c r="AD734" s="15" t="str">
        <f t="shared" si="246"/>
        <v xml:space="preserve"> </v>
      </c>
      <c r="AE734" s="5"/>
      <c r="AF734" s="27" t="b">
        <f>IF($G734&lt;&gt;0,SUMIF(куб!$G:$G,$G734,куб!R:R),IF($E734&lt;&gt;0,SUMIF(куб!$E:$E,$E734,куб!R:R),IF($D734&lt;&gt;0,SUMIF(куб!$D:$D,$D734,куб!R:R),IF($C734&lt;&gt;0,SUMIF(куб!$C:$C,$C734,куб!R:R),IF($B734&lt;&gt;0,SUMIF(куб!$B:$B,$B734,куб!R:R))))))</f>
        <v>0</v>
      </c>
      <c r="AG734" s="27" t="b">
        <f>IF($G734&lt;&gt;0,SUMIF(куб!$G:$G,$G734,куб!S:S),IF($E734&lt;&gt;0,SUMIF(куб!$E:$E,$E734,куб!S:S),IF($D734&lt;&gt;0,SUMIF(куб!$D:$D,$D734,куб!S:S),IF($C734&lt;&gt;0,SUMIF(куб!$C:$C,$C734,куб!S:S),IF($B734&lt;&gt;0,SUMIF(куб!$B:$B,$B734,куб!S:S))))))</f>
        <v>0</v>
      </c>
      <c r="AH734" s="16" t="str">
        <f t="shared" si="247"/>
        <v>-</v>
      </c>
      <c r="AI734" s="8"/>
      <c r="AJ734" s="27" t="b">
        <f>IF($G734&lt;&gt;0,SUMIF(куб!$G:$G,$G734,куб!T:T),IF($E734&lt;&gt;0,SUMIF(куб!$E:$E,$E734,куб!T:T),IF($D734&lt;&gt;0,SUMIF(куб!$D:$D,$D734,куб!T:T),IF($C734&lt;&gt;0,SUMIF(куб!$C:$C,$C734,куб!T:T),IF($B734&lt;&gt;0,SUMIF(куб!$B:$B,$B734,куб!T:T))))))</f>
        <v>0</v>
      </c>
      <c r="AK734" s="27" t="b">
        <f>IF($G734&lt;&gt;0,SUMIF(куб!$G:$G,$G734,куб!U:U),IF($E734&lt;&gt;0,SUMIF(куб!$E:$E,$E734,куб!U:U),IF($D734&lt;&gt;0,SUMIF(куб!$D:$D,$D734,куб!U:U),IF($C734&lt;&gt;0,SUMIF(куб!$C:$C,$C734,куб!U:U),IF($B734&lt;&gt;0,SUMIF(куб!$B:$B,$B734,куб!U:U))))))</f>
        <v>0</v>
      </c>
      <c r="AL734" s="16" t="str">
        <f t="shared" si="248"/>
        <v>-</v>
      </c>
      <c r="AM734" s="8"/>
      <c r="AN734" s="17" t="str">
        <f t="shared" si="249"/>
        <v xml:space="preserve"> </v>
      </c>
      <c r="AO734" s="17" t="str">
        <f t="shared" si="250"/>
        <v xml:space="preserve"> </v>
      </c>
      <c r="AP734" s="16" t="str">
        <f t="shared" si="251"/>
        <v>-</v>
      </c>
      <c r="AQ734" s="8"/>
      <c r="AR734" s="17" t="str">
        <f t="shared" si="252"/>
        <v>-</v>
      </c>
      <c r="AS734" s="17" t="str">
        <f t="shared" si="253"/>
        <v>-</v>
      </c>
      <c r="AT734" s="13" t="str">
        <f t="shared" si="254"/>
        <v>-</v>
      </c>
      <c r="AU734" s="8"/>
    </row>
    <row r="735" spans="1:47" x14ac:dyDescent="0.25">
      <c r="A735" s="31"/>
      <c r="B735" s="31"/>
      <c r="C735"/>
      <c r="D735" s="31"/>
      <c r="E735" s="31"/>
      <c r="F735" s="31"/>
      <c r="G735" s="31"/>
      <c r="H735" s="27">
        <f>IF($G735&lt;&gt;0,SUMIF(куб!$G:$G,$G735,куб!H:H),IF($E735&lt;&gt;0,SUMIF(куб!$E:$E,$E735,куб!H:H),IF($D735&lt;&gt;0,SUMIF(куб!$D:$D,$D735,куб!H:H),IF($C735&lt;&gt;0,SUMIF(куб!$C:$C,$C735,куб!H:H),IF($B735&lt;&gt;0,SUMIF(куб!$B:$B,$B735,куб!H:H),IF($G735&lt;&gt;0,SUMIF(куб!$A:$A,$G735,куб!H:H),SUMIF(куб!$A:$A,$G735,куб!H:H)))))))</f>
        <v>0</v>
      </c>
      <c r="I735" s="27">
        <f>IF($G735&lt;&gt;0,SUMIF(куб!$G:$G,$G735,куб!I:I),IF($E735&lt;&gt;0,SUMIF(куб!$E:$E,$E735,куб!I:I),IF($D735&lt;&gt;0,SUMIF(куб!$D:$D,$D735,куб!I:I),IF($C735&lt;&gt;0,SUMIF(куб!$C:$C,$C735,куб!I:I),IF($B735&lt;&gt;0,SUMIF(куб!$B:$B,$B735,куб!I:I),IF($G735&lt;&gt;0,SUMIF(куб!$A:$A,$G735,куб!I:I),SUMIF(куб!$A:$A,$G735,куб!I:I)))))))</f>
        <v>0</v>
      </c>
      <c r="J735" s="19" t="str">
        <f t="shared" si="237"/>
        <v>-</v>
      </c>
      <c r="K735" s="8"/>
      <c r="L735" s="17">
        <f t="shared" si="238"/>
        <v>0</v>
      </c>
      <c r="M735" s="17">
        <f t="shared" si="239"/>
        <v>0</v>
      </c>
      <c r="N735" s="12">
        <f t="shared" si="240"/>
        <v>0</v>
      </c>
      <c r="O735" s="5"/>
      <c r="P735" s="27" t="b">
        <f>IF($G735&lt;&gt;0,SUMIF(куб!$G:$G,$G735,куб!J:J),IF($E735&lt;&gt;0,SUMIF(куб!$E:$E,$E735,куб!J:J),IF($D735&lt;&gt;0,SUMIF(куб!$D:$D,$D735,куб!J:J),IF($C735&lt;&gt;0,SUMIF(куб!$C:$C,$C735,куб!J:J),IF($B735&lt;&gt;0,SUMIF(куб!$B:$B,$B735,куб!J:J))))))</f>
        <v>0</v>
      </c>
      <c r="Q735" s="27" t="b">
        <f>IF($G735&lt;&gt;0,SUMIF(куб!$G:$G,$G735,куб!K:K),IF($E735&lt;&gt;0,SUMIF(куб!$E:$E,$E735,куб!K:K),IF($D735&lt;&gt;0,SUMIF(куб!$D:$D,$D735,куб!K:K),IF($C735&lt;&gt;0,SUMIF(куб!$C:$C,$C735,куб!K:K),IF($B735&lt;&gt;0,SUMIF(куб!$B:$B,$B735,куб!K:K))))))</f>
        <v>0</v>
      </c>
      <c r="R735" s="13" t="str">
        <f t="shared" si="241"/>
        <v>-</v>
      </c>
      <c r="S735" s="5"/>
      <c r="T735" s="27" t="b">
        <f>IF($G735&lt;&gt;0,SUMIF(куб!$G:$G,$G735,куб!L:L),IF($E735&lt;&gt;0,SUMIF(куб!$E:$E,$E735,куб!L:L),IF($D735&lt;&gt;0,SUMIF(куб!$D:$D,$D735,куб!L:L),IF($C735&lt;&gt;0,SUMIF(куб!$C:$C,$C735,куб!L:L),IF($B735&lt;&gt;0,SUMIF(куб!$B:$B,$B735,куб!L:L))))))</f>
        <v>0</v>
      </c>
      <c r="U735" s="27" t="b">
        <f>IF($G735&lt;&gt;0,SUMIF(куб!$G:$G,$G735,куб!M:M),IF($E735&lt;&gt;0,SUMIF(куб!$E:$E,$E735,куб!M:M),IF($D735&lt;&gt;0,SUMIF(куб!$D:$D,$D735,куб!M:M),IF($C735&lt;&gt;0,SUMIF(куб!$C:$C,$C735,куб!M:M),IF($B735&lt;&gt;0,SUMIF(куб!$B:$B,$B735,куб!M:M))))))</f>
        <v>0</v>
      </c>
      <c r="V735" s="13" t="str">
        <f t="shared" si="242"/>
        <v>-</v>
      </c>
      <c r="W735" s="5"/>
      <c r="X735" s="27" t="b">
        <f>IF($G735&lt;&gt;0,SUMIF(куб!$G:$G,$G735,куб!N:N),IF($E735&lt;&gt;0,SUMIF(куб!$E:$E,$E735,куб!N:N),IF($D735&lt;&gt;0,SUMIF(куб!$D:$D,$D735,куб!N:N),IF($C735&lt;&gt;0,SUMIF(куб!$C:$C,$C735,куб!N:N),IF($B735&lt;&gt;0,SUMIF(куб!$B:$B,$B735,куб!N:N))))))</f>
        <v>0</v>
      </c>
      <c r="Y735" s="27" t="b">
        <f>IF($G735&lt;&gt;0,SUMIF(куб!$G:$G,$G735,куб!O:O),IF($E735&lt;&gt;0,SUMIF(куб!$E:$E,$E735,куб!O:O),IF($D735&lt;&gt;0,SUMIF(куб!$D:$D,$D735,куб!O:O),IF($C735&lt;&gt;0,SUMIF(куб!$C:$C,$C735,куб!O:O),IF($B735&lt;&gt;0,SUMIF(куб!$B:$B,$B735,куб!O:O))))))</f>
        <v>0</v>
      </c>
      <c r="Z735" s="13" t="str">
        <f t="shared" si="243"/>
        <v>-</v>
      </c>
      <c r="AA735" s="5"/>
      <c r="AB735" s="33" t="str">
        <f t="shared" si="244"/>
        <v/>
      </c>
      <c r="AC735" s="33" t="str">
        <f t="shared" si="245"/>
        <v/>
      </c>
      <c r="AD735" s="15" t="str">
        <f t="shared" si="246"/>
        <v xml:space="preserve"> </v>
      </c>
      <c r="AE735" s="5"/>
      <c r="AF735" s="27" t="b">
        <f>IF($G735&lt;&gt;0,SUMIF(куб!$G:$G,$G735,куб!R:R),IF($E735&lt;&gt;0,SUMIF(куб!$E:$E,$E735,куб!R:R),IF($D735&lt;&gt;0,SUMIF(куб!$D:$D,$D735,куб!R:R),IF($C735&lt;&gt;0,SUMIF(куб!$C:$C,$C735,куб!R:R),IF($B735&lt;&gt;0,SUMIF(куб!$B:$B,$B735,куб!R:R))))))</f>
        <v>0</v>
      </c>
      <c r="AG735" s="27" t="b">
        <f>IF($G735&lt;&gt;0,SUMIF(куб!$G:$G,$G735,куб!S:S),IF($E735&lt;&gt;0,SUMIF(куб!$E:$E,$E735,куб!S:S),IF($D735&lt;&gt;0,SUMIF(куб!$D:$D,$D735,куб!S:S),IF($C735&lt;&gt;0,SUMIF(куб!$C:$C,$C735,куб!S:S),IF($B735&lt;&gt;0,SUMIF(куб!$B:$B,$B735,куб!S:S))))))</f>
        <v>0</v>
      </c>
      <c r="AH735" s="16" t="str">
        <f t="shared" si="247"/>
        <v>-</v>
      </c>
      <c r="AI735" s="8"/>
      <c r="AJ735" s="27" t="b">
        <f>IF($G735&lt;&gt;0,SUMIF(куб!$G:$G,$G735,куб!T:T),IF($E735&lt;&gt;0,SUMIF(куб!$E:$E,$E735,куб!T:T),IF($D735&lt;&gt;0,SUMIF(куб!$D:$D,$D735,куб!T:T),IF($C735&lt;&gt;0,SUMIF(куб!$C:$C,$C735,куб!T:T),IF($B735&lt;&gt;0,SUMIF(куб!$B:$B,$B735,куб!T:T))))))</f>
        <v>0</v>
      </c>
      <c r="AK735" s="27" t="b">
        <f>IF($G735&lt;&gt;0,SUMIF(куб!$G:$G,$G735,куб!U:U),IF($E735&lt;&gt;0,SUMIF(куб!$E:$E,$E735,куб!U:U),IF($D735&lt;&gt;0,SUMIF(куб!$D:$D,$D735,куб!U:U),IF($C735&lt;&gt;0,SUMIF(куб!$C:$C,$C735,куб!U:U),IF($B735&lt;&gt;0,SUMIF(куб!$B:$B,$B735,куб!U:U))))))</f>
        <v>0</v>
      </c>
      <c r="AL735" s="16" t="str">
        <f t="shared" si="248"/>
        <v>-</v>
      </c>
      <c r="AM735" s="8"/>
      <c r="AN735" s="17" t="str">
        <f t="shared" si="249"/>
        <v xml:space="preserve"> </v>
      </c>
      <c r="AO735" s="17" t="str">
        <f t="shared" si="250"/>
        <v xml:space="preserve"> </v>
      </c>
      <c r="AP735" s="16" t="str">
        <f t="shared" si="251"/>
        <v>-</v>
      </c>
      <c r="AQ735" s="8"/>
      <c r="AR735" s="17" t="str">
        <f t="shared" si="252"/>
        <v>-</v>
      </c>
      <c r="AS735" s="17" t="str">
        <f t="shared" si="253"/>
        <v>-</v>
      </c>
      <c r="AT735" s="13" t="str">
        <f t="shared" si="254"/>
        <v>-</v>
      </c>
      <c r="AU735" s="8"/>
    </row>
    <row r="736" spans="1:47" x14ac:dyDescent="0.25">
      <c r="A736" s="31"/>
      <c r="B736" s="31"/>
      <c r="C736"/>
      <c r="D736" s="31"/>
      <c r="E736"/>
      <c r="F736" s="31"/>
      <c r="G736"/>
      <c r="H736" s="27">
        <f>IF($G736&lt;&gt;0,SUMIF(куб!$G:$G,$G736,куб!H:H),IF($E736&lt;&gt;0,SUMIF(куб!$E:$E,$E736,куб!H:H),IF($D736&lt;&gt;0,SUMIF(куб!$D:$D,$D736,куб!H:H),IF($C736&lt;&gt;0,SUMIF(куб!$C:$C,$C736,куб!H:H),IF($B736&lt;&gt;0,SUMIF(куб!$B:$B,$B736,куб!H:H),IF($G736&lt;&gt;0,SUMIF(куб!$A:$A,$G736,куб!H:H),SUMIF(куб!$A:$A,$G736,куб!H:H)))))))</f>
        <v>0</v>
      </c>
      <c r="I736" s="27">
        <f>IF($G736&lt;&gt;0,SUMIF(куб!$G:$G,$G736,куб!I:I),IF($E736&lt;&gt;0,SUMIF(куб!$E:$E,$E736,куб!I:I),IF($D736&lt;&gt;0,SUMIF(куб!$D:$D,$D736,куб!I:I),IF($C736&lt;&gt;0,SUMIF(куб!$C:$C,$C736,куб!I:I),IF($B736&lt;&gt;0,SUMIF(куб!$B:$B,$B736,куб!I:I),IF($G736&lt;&gt;0,SUMIF(куб!$A:$A,$G736,куб!I:I),SUMIF(куб!$A:$A,$G736,куб!I:I)))))))</f>
        <v>0</v>
      </c>
      <c r="J736" s="19" t="str">
        <f t="shared" si="237"/>
        <v>-</v>
      </c>
      <c r="K736" s="8"/>
      <c r="L736" s="17">
        <f t="shared" si="238"/>
        <v>0</v>
      </c>
      <c r="M736" s="17">
        <f t="shared" si="239"/>
        <v>0</v>
      </c>
      <c r="N736" s="12">
        <f t="shared" si="240"/>
        <v>0</v>
      </c>
      <c r="O736" s="5"/>
      <c r="P736" s="27" t="b">
        <f>IF($G736&lt;&gt;0,SUMIF(куб!$G:$G,$G736,куб!J:J),IF($E736&lt;&gt;0,SUMIF(куб!$E:$E,$E736,куб!J:J),IF($D736&lt;&gt;0,SUMIF(куб!$D:$D,$D736,куб!J:J),IF($C736&lt;&gt;0,SUMIF(куб!$C:$C,$C736,куб!J:J),IF($B736&lt;&gt;0,SUMIF(куб!$B:$B,$B736,куб!J:J))))))</f>
        <v>0</v>
      </c>
      <c r="Q736" s="27" t="b">
        <f>IF($G736&lt;&gt;0,SUMIF(куб!$G:$G,$G736,куб!K:K),IF($E736&lt;&gt;0,SUMIF(куб!$E:$E,$E736,куб!K:K),IF($D736&lt;&gt;0,SUMIF(куб!$D:$D,$D736,куб!K:K),IF($C736&lt;&gt;0,SUMIF(куб!$C:$C,$C736,куб!K:K),IF($B736&lt;&gt;0,SUMIF(куб!$B:$B,$B736,куб!K:K))))))</f>
        <v>0</v>
      </c>
      <c r="R736" s="13" t="str">
        <f t="shared" si="241"/>
        <v>-</v>
      </c>
      <c r="S736" s="5"/>
      <c r="T736" s="27" t="b">
        <f>IF($G736&lt;&gt;0,SUMIF(куб!$G:$G,$G736,куб!L:L),IF($E736&lt;&gt;0,SUMIF(куб!$E:$E,$E736,куб!L:L),IF($D736&lt;&gt;0,SUMIF(куб!$D:$D,$D736,куб!L:L),IF($C736&lt;&gt;0,SUMIF(куб!$C:$C,$C736,куб!L:L),IF($B736&lt;&gt;0,SUMIF(куб!$B:$B,$B736,куб!L:L))))))</f>
        <v>0</v>
      </c>
      <c r="U736" s="27" t="b">
        <f>IF($G736&lt;&gt;0,SUMIF(куб!$G:$G,$G736,куб!M:M),IF($E736&lt;&gt;0,SUMIF(куб!$E:$E,$E736,куб!M:M),IF($D736&lt;&gt;0,SUMIF(куб!$D:$D,$D736,куб!M:M),IF($C736&lt;&gt;0,SUMIF(куб!$C:$C,$C736,куб!M:M),IF($B736&lt;&gt;0,SUMIF(куб!$B:$B,$B736,куб!M:M))))))</f>
        <v>0</v>
      </c>
      <c r="V736" s="13" t="str">
        <f t="shared" si="242"/>
        <v>-</v>
      </c>
      <c r="W736" s="5"/>
      <c r="X736" s="27" t="b">
        <f>IF($G736&lt;&gt;0,SUMIF(куб!$G:$G,$G736,куб!N:N),IF($E736&lt;&gt;0,SUMIF(куб!$E:$E,$E736,куб!N:N),IF($D736&lt;&gt;0,SUMIF(куб!$D:$D,$D736,куб!N:N),IF($C736&lt;&gt;0,SUMIF(куб!$C:$C,$C736,куб!N:N),IF($B736&lt;&gt;0,SUMIF(куб!$B:$B,$B736,куб!N:N))))))</f>
        <v>0</v>
      </c>
      <c r="Y736" s="27" t="b">
        <f>IF($G736&lt;&gt;0,SUMIF(куб!$G:$G,$G736,куб!O:O),IF($E736&lt;&gt;0,SUMIF(куб!$E:$E,$E736,куб!O:O),IF($D736&lt;&gt;0,SUMIF(куб!$D:$D,$D736,куб!O:O),IF($C736&lt;&gt;0,SUMIF(куб!$C:$C,$C736,куб!O:O),IF($B736&lt;&gt;0,SUMIF(куб!$B:$B,$B736,куб!O:O))))))</f>
        <v>0</v>
      </c>
      <c r="Z736" s="13" t="str">
        <f t="shared" si="243"/>
        <v>-</v>
      </c>
      <c r="AA736" s="5"/>
      <c r="AB736" s="33" t="str">
        <f t="shared" si="244"/>
        <v/>
      </c>
      <c r="AC736" s="33" t="str">
        <f t="shared" si="245"/>
        <v/>
      </c>
      <c r="AD736" s="15" t="str">
        <f t="shared" si="246"/>
        <v xml:space="preserve"> </v>
      </c>
      <c r="AE736" s="5"/>
      <c r="AF736" s="27" t="b">
        <f>IF($G736&lt;&gt;0,SUMIF(куб!$G:$G,$G736,куб!R:R),IF($E736&lt;&gt;0,SUMIF(куб!$E:$E,$E736,куб!R:R),IF($D736&lt;&gt;0,SUMIF(куб!$D:$D,$D736,куб!R:R),IF($C736&lt;&gt;0,SUMIF(куб!$C:$C,$C736,куб!R:R),IF($B736&lt;&gt;0,SUMIF(куб!$B:$B,$B736,куб!R:R))))))</f>
        <v>0</v>
      </c>
      <c r="AG736" s="27" t="b">
        <f>IF($G736&lt;&gt;0,SUMIF(куб!$G:$G,$G736,куб!S:S),IF($E736&lt;&gt;0,SUMIF(куб!$E:$E,$E736,куб!S:S),IF($D736&lt;&gt;0,SUMIF(куб!$D:$D,$D736,куб!S:S),IF($C736&lt;&gt;0,SUMIF(куб!$C:$C,$C736,куб!S:S),IF($B736&lt;&gt;0,SUMIF(куб!$B:$B,$B736,куб!S:S))))))</f>
        <v>0</v>
      </c>
      <c r="AH736" s="16" t="str">
        <f t="shared" si="247"/>
        <v>-</v>
      </c>
      <c r="AI736" s="8"/>
      <c r="AJ736" s="27" t="b">
        <f>IF($G736&lt;&gt;0,SUMIF(куб!$G:$G,$G736,куб!T:T),IF($E736&lt;&gt;0,SUMIF(куб!$E:$E,$E736,куб!T:T),IF($D736&lt;&gt;0,SUMIF(куб!$D:$D,$D736,куб!T:T),IF($C736&lt;&gt;0,SUMIF(куб!$C:$C,$C736,куб!T:T),IF($B736&lt;&gt;0,SUMIF(куб!$B:$B,$B736,куб!T:T))))))</f>
        <v>0</v>
      </c>
      <c r="AK736" s="27" t="b">
        <f>IF($G736&lt;&gt;0,SUMIF(куб!$G:$G,$G736,куб!U:U),IF($E736&lt;&gt;0,SUMIF(куб!$E:$E,$E736,куб!U:U),IF($D736&lt;&gt;0,SUMIF(куб!$D:$D,$D736,куб!U:U),IF($C736&lt;&gt;0,SUMIF(куб!$C:$C,$C736,куб!U:U),IF($B736&lt;&gt;0,SUMIF(куб!$B:$B,$B736,куб!U:U))))))</f>
        <v>0</v>
      </c>
      <c r="AL736" s="16" t="str">
        <f t="shared" si="248"/>
        <v>-</v>
      </c>
      <c r="AM736" s="8"/>
      <c r="AN736" s="17" t="str">
        <f t="shared" si="249"/>
        <v xml:space="preserve"> </v>
      </c>
      <c r="AO736" s="17" t="str">
        <f t="shared" si="250"/>
        <v xml:space="preserve"> </v>
      </c>
      <c r="AP736" s="16" t="str">
        <f t="shared" si="251"/>
        <v>-</v>
      </c>
      <c r="AQ736" s="8"/>
      <c r="AR736" s="17" t="str">
        <f t="shared" si="252"/>
        <v>-</v>
      </c>
      <c r="AS736" s="17" t="str">
        <f t="shared" si="253"/>
        <v>-</v>
      </c>
      <c r="AT736" s="13" t="str">
        <f t="shared" si="254"/>
        <v>-</v>
      </c>
      <c r="AU736" s="8"/>
    </row>
    <row r="737" spans="1:47" x14ac:dyDescent="0.25">
      <c r="A737" s="31"/>
      <c r="B737" s="31"/>
      <c r="C737"/>
      <c r="D737" s="31"/>
      <c r="E737"/>
      <c r="F737" s="31"/>
      <c r="G737"/>
      <c r="H737" s="27">
        <f>IF($G737&lt;&gt;0,SUMIF(куб!$G:$G,$G737,куб!H:H),IF($E737&lt;&gt;0,SUMIF(куб!$E:$E,$E737,куб!H:H),IF($D737&lt;&gt;0,SUMIF(куб!$D:$D,$D737,куб!H:H),IF($C737&lt;&gt;0,SUMIF(куб!$C:$C,$C737,куб!H:H),IF($B737&lt;&gt;0,SUMIF(куб!$B:$B,$B737,куб!H:H),IF($G737&lt;&gt;0,SUMIF(куб!$A:$A,$G737,куб!H:H),SUMIF(куб!$A:$A,$G737,куб!H:H)))))))</f>
        <v>0</v>
      </c>
      <c r="I737" s="27">
        <f>IF($G737&lt;&gt;0,SUMIF(куб!$G:$G,$G737,куб!I:I),IF($E737&lt;&gt;0,SUMIF(куб!$E:$E,$E737,куб!I:I),IF($D737&lt;&gt;0,SUMIF(куб!$D:$D,$D737,куб!I:I),IF($C737&lt;&gt;0,SUMIF(куб!$C:$C,$C737,куб!I:I),IF($B737&lt;&gt;0,SUMIF(куб!$B:$B,$B737,куб!I:I),IF($G737&lt;&gt;0,SUMIF(куб!$A:$A,$G737,куб!I:I),SUMIF(куб!$A:$A,$G737,куб!I:I)))))))</f>
        <v>0</v>
      </c>
      <c r="J737" s="19" t="str">
        <f t="shared" si="237"/>
        <v>-</v>
      </c>
      <c r="K737" s="8"/>
      <c r="L737" s="17">
        <f t="shared" si="238"/>
        <v>0</v>
      </c>
      <c r="M737" s="17">
        <f t="shared" si="239"/>
        <v>0</v>
      </c>
      <c r="N737" s="12">
        <f t="shared" si="240"/>
        <v>0</v>
      </c>
      <c r="O737" s="5"/>
      <c r="P737" s="27" t="b">
        <f>IF($G737&lt;&gt;0,SUMIF(куб!$G:$G,$G737,куб!J:J),IF($E737&lt;&gt;0,SUMIF(куб!$E:$E,$E737,куб!J:J),IF($D737&lt;&gt;0,SUMIF(куб!$D:$D,$D737,куб!J:J),IF($C737&lt;&gt;0,SUMIF(куб!$C:$C,$C737,куб!J:J),IF($B737&lt;&gt;0,SUMIF(куб!$B:$B,$B737,куб!J:J))))))</f>
        <v>0</v>
      </c>
      <c r="Q737" s="27" t="b">
        <f>IF($G737&lt;&gt;0,SUMIF(куб!$G:$G,$G737,куб!K:K),IF($E737&lt;&gt;0,SUMIF(куб!$E:$E,$E737,куб!K:K),IF($D737&lt;&gt;0,SUMIF(куб!$D:$D,$D737,куб!K:K),IF($C737&lt;&gt;0,SUMIF(куб!$C:$C,$C737,куб!K:K),IF($B737&lt;&gt;0,SUMIF(куб!$B:$B,$B737,куб!K:K))))))</f>
        <v>0</v>
      </c>
      <c r="R737" s="13" t="str">
        <f t="shared" si="241"/>
        <v>-</v>
      </c>
      <c r="S737" s="5"/>
      <c r="T737" s="27" t="b">
        <f>IF($G737&lt;&gt;0,SUMIF(куб!$G:$G,$G737,куб!L:L),IF($E737&lt;&gt;0,SUMIF(куб!$E:$E,$E737,куб!L:L),IF($D737&lt;&gt;0,SUMIF(куб!$D:$D,$D737,куб!L:L),IF($C737&lt;&gt;0,SUMIF(куб!$C:$C,$C737,куб!L:L),IF($B737&lt;&gt;0,SUMIF(куб!$B:$B,$B737,куб!L:L))))))</f>
        <v>0</v>
      </c>
      <c r="U737" s="27" t="b">
        <f>IF($G737&lt;&gt;0,SUMIF(куб!$G:$G,$G737,куб!M:M),IF($E737&lt;&gt;0,SUMIF(куб!$E:$E,$E737,куб!M:M),IF($D737&lt;&gt;0,SUMIF(куб!$D:$D,$D737,куб!M:M),IF($C737&lt;&gt;0,SUMIF(куб!$C:$C,$C737,куб!M:M),IF($B737&lt;&gt;0,SUMIF(куб!$B:$B,$B737,куб!M:M))))))</f>
        <v>0</v>
      </c>
      <c r="V737" s="13" t="str">
        <f t="shared" si="242"/>
        <v>-</v>
      </c>
      <c r="W737" s="5"/>
      <c r="X737" s="27" t="b">
        <f>IF($G737&lt;&gt;0,SUMIF(куб!$G:$G,$G737,куб!N:N),IF($E737&lt;&gt;0,SUMIF(куб!$E:$E,$E737,куб!N:N),IF($D737&lt;&gt;0,SUMIF(куб!$D:$D,$D737,куб!N:N),IF($C737&lt;&gt;0,SUMIF(куб!$C:$C,$C737,куб!N:N),IF($B737&lt;&gt;0,SUMIF(куб!$B:$B,$B737,куб!N:N))))))</f>
        <v>0</v>
      </c>
      <c r="Y737" s="27" t="b">
        <f>IF($G737&lt;&gt;0,SUMIF(куб!$G:$G,$G737,куб!O:O),IF($E737&lt;&gt;0,SUMIF(куб!$E:$E,$E737,куб!O:O),IF($D737&lt;&gt;0,SUMIF(куб!$D:$D,$D737,куб!O:O),IF($C737&lt;&gt;0,SUMIF(куб!$C:$C,$C737,куб!O:O),IF($B737&lt;&gt;0,SUMIF(куб!$B:$B,$B737,куб!O:O))))))</f>
        <v>0</v>
      </c>
      <c r="Z737" s="13" t="str">
        <f t="shared" si="243"/>
        <v>-</v>
      </c>
      <c r="AA737" s="5"/>
      <c r="AB737" s="33" t="str">
        <f t="shared" si="244"/>
        <v/>
      </c>
      <c r="AC737" s="33" t="str">
        <f t="shared" si="245"/>
        <v/>
      </c>
      <c r="AD737" s="15" t="str">
        <f t="shared" si="246"/>
        <v xml:space="preserve"> </v>
      </c>
      <c r="AE737" s="5"/>
      <c r="AF737" s="27" t="b">
        <f>IF($G737&lt;&gt;0,SUMIF(куб!$G:$G,$G737,куб!R:R),IF($E737&lt;&gt;0,SUMIF(куб!$E:$E,$E737,куб!R:R),IF($D737&lt;&gt;0,SUMIF(куб!$D:$D,$D737,куб!R:R),IF($C737&lt;&gt;0,SUMIF(куб!$C:$C,$C737,куб!R:R),IF($B737&lt;&gt;0,SUMIF(куб!$B:$B,$B737,куб!R:R))))))</f>
        <v>0</v>
      </c>
      <c r="AG737" s="27" t="b">
        <f>IF($G737&lt;&gt;0,SUMIF(куб!$G:$G,$G737,куб!S:S),IF($E737&lt;&gt;0,SUMIF(куб!$E:$E,$E737,куб!S:S),IF($D737&lt;&gt;0,SUMIF(куб!$D:$D,$D737,куб!S:S),IF($C737&lt;&gt;0,SUMIF(куб!$C:$C,$C737,куб!S:S),IF($B737&lt;&gt;0,SUMIF(куб!$B:$B,$B737,куб!S:S))))))</f>
        <v>0</v>
      </c>
      <c r="AH737" s="16" t="str">
        <f t="shared" si="247"/>
        <v>-</v>
      </c>
      <c r="AI737" s="8"/>
      <c r="AJ737" s="27" t="b">
        <f>IF($G737&lt;&gt;0,SUMIF(куб!$G:$G,$G737,куб!T:T),IF($E737&lt;&gt;0,SUMIF(куб!$E:$E,$E737,куб!T:T),IF($D737&lt;&gt;0,SUMIF(куб!$D:$D,$D737,куб!T:T),IF($C737&lt;&gt;0,SUMIF(куб!$C:$C,$C737,куб!T:T),IF($B737&lt;&gt;0,SUMIF(куб!$B:$B,$B737,куб!T:T))))))</f>
        <v>0</v>
      </c>
      <c r="AK737" s="27" t="b">
        <f>IF($G737&lt;&gt;0,SUMIF(куб!$G:$G,$G737,куб!U:U),IF($E737&lt;&gt;0,SUMIF(куб!$E:$E,$E737,куб!U:U),IF($D737&lt;&gt;0,SUMIF(куб!$D:$D,$D737,куб!U:U),IF($C737&lt;&gt;0,SUMIF(куб!$C:$C,$C737,куб!U:U),IF($B737&lt;&gt;0,SUMIF(куб!$B:$B,$B737,куб!U:U))))))</f>
        <v>0</v>
      </c>
      <c r="AL737" s="16" t="str">
        <f t="shared" si="248"/>
        <v>-</v>
      </c>
      <c r="AM737" s="8"/>
      <c r="AN737" s="17" t="str">
        <f t="shared" si="249"/>
        <v xml:space="preserve"> </v>
      </c>
      <c r="AO737" s="17" t="str">
        <f t="shared" si="250"/>
        <v xml:space="preserve"> </v>
      </c>
      <c r="AP737" s="16" t="str">
        <f t="shared" si="251"/>
        <v>-</v>
      </c>
      <c r="AQ737" s="8"/>
      <c r="AR737" s="17" t="str">
        <f t="shared" si="252"/>
        <v>-</v>
      </c>
      <c r="AS737" s="17" t="str">
        <f t="shared" si="253"/>
        <v>-</v>
      </c>
      <c r="AT737" s="13" t="str">
        <f t="shared" si="254"/>
        <v>-</v>
      </c>
      <c r="AU737" s="8"/>
    </row>
    <row r="738" spans="1:47" x14ac:dyDescent="0.25">
      <c r="A738" s="31"/>
      <c r="B738" s="31"/>
      <c r="C738"/>
      <c r="D738" s="31"/>
      <c r="E738"/>
      <c r="F738" s="31"/>
      <c r="G738"/>
      <c r="H738" s="27">
        <f>IF($G738&lt;&gt;0,SUMIF(куб!$G:$G,$G738,куб!H:H),IF($E738&lt;&gt;0,SUMIF(куб!$E:$E,$E738,куб!H:H),IF($D738&lt;&gt;0,SUMIF(куб!$D:$D,$D738,куб!H:H),IF($C738&lt;&gt;0,SUMIF(куб!$C:$C,$C738,куб!H:H),IF($B738&lt;&gt;0,SUMIF(куб!$B:$B,$B738,куб!H:H),IF($G738&lt;&gt;0,SUMIF(куб!$A:$A,$G738,куб!H:H),SUMIF(куб!$A:$A,$G738,куб!H:H)))))))</f>
        <v>0</v>
      </c>
      <c r="I738" s="27">
        <f>IF($G738&lt;&gt;0,SUMIF(куб!$G:$G,$G738,куб!I:I),IF($E738&lt;&gt;0,SUMIF(куб!$E:$E,$E738,куб!I:I),IF($D738&lt;&gt;0,SUMIF(куб!$D:$D,$D738,куб!I:I),IF($C738&lt;&gt;0,SUMIF(куб!$C:$C,$C738,куб!I:I),IF($B738&lt;&gt;0,SUMIF(куб!$B:$B,$B738,куб!I:I),IF($G738&lt;&gt;0,SUMIF(куб!$A:$A,$G738,куб!I:I),SUMIF(куб!$A:$A,$G738,куб!I:I)))))))</f>
        <v>0</v>
      </c>
      <c r="J738" s="19" t="str">
        <f t="shared" si="237"/>
        <v>-</v>
      </c>
      <c r="K738" s="8"/>
      <c r="L738" s="17">
        <f t="shared" si="238"/>
        <v>0</v>
      </c>
      <c r="M738" s="17">
        <f t="shared" si="239"/>
        <v>0</v>
      </c>
      <c r="N738" s="12">
        <f t="shared" si="240"/>
        <v>0</v>
      </c>
      <c r="O738" s="5"/>
      <c r="P738" s="27" t="b">
        <f>IF($G738&lt;&gt;0,SUMIF(куб!$G:$G,$G738,куб!J:J),IF($E738&lt;&gt;0,SUMIF(куб!$E:$E,$E738,куб!J:J),IF($D738&lt;&gt;0,SUMIF(куб!$D:$D,$D738,куб!J:J),IF($C738&lt;&gt;0,SUMIF(куб!$C:$C,$C738,куб!J:J),IF($B738&lt;&gt;0,SUMIF(куб!$B:$B,$B738,куб!J:J))))))</f>
        <v>0</v>
      </c>
      <c r="Q738" s="27" t="b">
        <f>IF($G738&lt;&gt;0,SUMIF(куб!$G:$G,$G738,куб!K:K),IF($E738&lt;&gt;0,SUMIF(куб!$E:$E,$E738,куб!K:K),IF($D738&lt;&gt;0,SUMIF(куб!$D:$D,$D738,куб!K:K),IF($C738&lt;&gt;0,SUMIF(куб!$C:$C,$C738,куб!K:K),IF($B738&lt;&gt;0,SUMIF(куб!$B:$B,$B738,куб!K:K))))))</f>
        <v>0</v>
      </c>
      <c r="R738" s="13" t="str">
        <f t="shared" si="241"/>
        <v>-</v>
      </c>
      <c r="S738" s="5"/>
      <c r="T738" s="27" t="b">
        <f>IF($G738&lt;&gt;0,SUMIF(куб!$G:$G,$G738,куб!L:L),IF($E738&lt;&gt;0,SUMIF(куб!$E:$E,$E738,куб!L:L),IF($D738&lt;&gt;0,SUMIF(куб!$D:$D,$D738,куб!L:L),IF($C738&lt;&gt;0,SUMIF(куб!$C:$C,$C738,куб!L:L),IF($B738&lt;&gt;0,SUMIF(куб!$B:$B,$B738,куб!L:L))))))</f>
        <v>0</v>
      </c>
      <c r="U738" s="27" t="b">
        <f>IF($G738&lt;&gt;0,SUMIF(куб!$G:$G,$G738,куб!M:M),IF($E738&lt;&gt;0,SUMIF(куб!$E:$E,$E738,куб!M:M),IF($D738&lt;&gt;0,SUMIF(куб!$D:$D,$D738,куб!M:M),IF($C738&lt;&gt;0,SUMIF(куб!$C:$C,$C738,куб!M:M),IF($B738&lt;&gt;0,SUMIF(куб!$B:$B,$B738,куб!M:M))))))</f>
        <v>0</v>
      </c>
      <c r="V738" s="13" t="str">
        <f t="shared" si="242"/>
        <v>-</v>
      </c>
      <c r="W738" s="5"/>
      <c r="X738" s="27" t="b">
        <f>IF($G738&lt;&gt;0,SUMIF(куб!$G:$G,$G738,куб!N:N),IF($E738&lt;&gt;0,SUMIF(куб!$E:$E,$E738,куб!N:N),IF($D738&lt;&gt;0,SUMIF(куб!$D:$D,$D738,куб!N:N),IF($C738&lt;&gt;0,SUMIF(куб!$C:$C,$C738,куб!N:N),IF($B738&lt;&gt;0,SUMIF(куб!$B:$B,$B738,куб!N:N))))))</f>
        <v>0</v>
      </c>
      <c r="Y738" s="27" t="b">
        <f>IF($G738&lt;&gt;0,SUMIF(куб!$G:$G,$G738,куб!O:O),IF($E738&lt;&gt;0,SUMIF(куб!$E:$E,$E738,куб!O:O),IF($D738&lt;&gt;0,SUMIF(куб!$D:$D,$D738,куб!O:O),IF($C738&lt;&gt;0,SUMIF(куб!$C:$C,$C738,куб!O:O),IF($B738&lt;&gt;0,SUMIF(куб!$B:$B,$B738,куб!O:O))))))</f>
        <v>0</v>
      </c>
      <c r="Z738" s="13" t="str">
        <f t="shared" si="243"/>
        <v>-</v>
      </c>
      <c r="AA738" s="5"/>
      <c r="AB738" s="33" t="str">
        <f t="shared" si="244"/>
        <v/>
      </c>
      <c r="AC738" s="33" t="str">
        <f t="shared" si="245"/>
        <v/>
      </c>
      <c r="AD738" s="15" t="str">
        <f t="shared" si="246"/>
        <v xml:space="preserve"> </v>
      </c>
      <c r="AE738" s="5"/>
      <c r="AF738" s="27" t="b">
        <f>IF($G738&lt;&gt;0,SUMIF(куб!$G:$G,$G738,куб!R:R),IF($E738&lt;&gt;0,SUMIF(куб!$E:$E,$E738,куб!R:R),IF($D738&lt;&gt;0,SUMIF(куб!$D:$D,$D738,куб!R:R),IF($C738&lt;&gt;0,SUMIF(куб!$C:$C,$C738,куб!R:R),IF($B738&lt;&gt;0,SUMIF(куб!$B:$B,$B738,куб!R:R))))))</f>
        <v>0</v>
      </c>
      <c r="AG738" s="27" t="b">
        <f>IF($G738&lt;&gt;0,SUMIF(куб!$G:$G,$G738,куб!S:S),IF($E738&lt;&gt;0,SUMIF(куб!$E:$E,$E738,куб!S:S),IF($D738&lt;&gt;0,SUMIF(куб!$D:$D,$D738,куб!S:S),IF($C738&lt;&gt;0,SUMIF(куб!$C:$C,$C738,куб!S:S),IF($B738&lt;&gt;0,SUMIF(куб!$B:$B,$B738,куб!S:S))))))</f>
        <v>0</v>
      </c>
      <c r="AH738" s="16" t="str">
        <f t="shared" si="247"/>
        <v>-</v>
      </c>
      <c r="AI738" s="8"/>
      <c r="AJ738" s="27" t="b">
        <f>IF($G738&lt;&gt;0,SUMIF(куб!$G:$G,$G738,куб!T:T),IF($E738&lt;&gt;0,SUMIF(куб!$E:$E,$E738,куб!T:T),IF($D738&lt;&gt;0,SUMIF(куб!$D:$D,$D738,куб!T:T),IF($C738&lt;&gt;0,SUMIF(куб!$C:$C,$C738,куб!T:T),IF($B738&lt;&gt;0,SUMIF(куб!$B:$B,$B738,куб!T:T))))))</f>
        <v>0</v>
      </c>
      <c r="AK738" s="27" t="b">
        <f>IF($G738&lt;&gt;0,SUMIF(куб!$G:$G,$G738,куб!U:U),IF($E738&lt;&gt;0,SUMIF(куб!$E:$E,$E738,куб!U:U),IF($D738&lt;&gt;0,SUMIF(куб!$D:$D,$D738,куб!U:U),IF($C738&lt;&gt;0,SUMIF(куб!$C:$C,$C738,куб!U:U),IF($B738&lt;&gt;0,SUMIF(куб!$B:$B,$B738,куб!U:U))))))</f>
        <v>0</v>
      </c>
      <c r="AL738" s="16" t="str">
        <f t="shared" si="248"/>
        <v>-</v>
      </c>
      <c r="AM738" s="8"/>
      <c r="AN738" s="17" t="str">
        <f t="shared" si="249"/>
        <v xml:space="preserve"> </v>
      </c>
      <c r="AO738" s="17" t="str">
        <f t="shared" si="250"/>
        <v xml:space="preserve"> </v>
      </c>
      <c r="AP738" s="16" t="str">
        <f t="shared" si="251"/>
        <v>-</v>
      </c>
      <c r="AQ738" s="8"/>
      <c r="AR738" s="17" t="str">
        <f t="shared" si="252"/>
        <v>-</v>
      </c>
      <c r="AS738" s="17" t="str">
        <f t="shared" si="253"/>
        <v>-</v>
      </c>
      <c r="AT738" s="13" t="str">
        <f t="shared" si="254"/>
        <v>-</v>
      </c>
      <c r="AU738" s="8"/>
    </row>
    <row r="739" spans="1:47" x14ac:dyDescent="0.25">
      <c r="A739" s="31"/>
      <c r="B739" s="31"/>
      <c r="C739"/>
      <c r="D739" s="31"/>
      <c r="E739"/>
      <c r="F739" s="31"/>
      <c r="G739"/>
      <c r="H739" s="27">
        <f>IF($G739&lt;&gt;0,SUMIF(куб!$G:$G,$G739,куб!H:H),IF($E739&lt;&gt;0,SUMIF(куб!$E:$E,$E739,куб!H:H),IF($D739&lt;&gt;0,SUMIF(куб!$D:$D,$D739,куб!H:H),IF($C739&lt;&gt;0,SUMIF(куб!$C:$C,$C739,куб!H:H),IF($B739&lt;&gt;0,SUMIF(куб!$B:$B,$B739,куб!H:H),IF($G739&lt;&gt;0,SUMIF(куб!$A:$A,$G739,куб!H:H),SUMIF(куб!$A:$A,$G739,куб!H:H)))))))</f>
        <v>0</v>
      </c>
      <c r="I739" s="27">
        <f>IF($G739&lt;&gt;0,SUMIF(куб!$G:$G,$G739,куб!I:I),IF($E739&lt;&gt;0,SUMIF(куб!$E:$E,$E739,куб!I:I),IF($D739&lt;&gt;0,SUMIF(куб!$D:$D,$D739,куб!I:I),IF($C739&lt;&gt;0,SUMIF(куб!$C:$C,$C739,куб!I:I),IF($B739&lt;&gt;0,SUMIF(куб!$B:$B,$B739,куб!I:I),IF($G739&lt;&gt;0,SUMIF(куб!$A:$A,$G739,куб!I:I),SUMIF(куб!$A:$A,$G739,куб!I:I)))))))</f>
        <v>0</v>
      </c>
      <c r="J739" s="19" t="str">
        <f t="shared" si="237"/>
        <v>-</v>
      </c>
      <c r="K739" s="8"/>
      <c r="L739" s="17">
        <f t="shared" si="238"/>
        <v>0</v>
      </c>
      <c r="M739" s="17">
        <f t="shared" si="239"/>
        <v>0</v>
      </c>
      <c r="N739" s="12">
        <f t="shared" si="240"/>
        <v>0</v>
      </c>
      <c r="O739" s="5"/>
      <c r="P739" s="27" t="b">
        <f>IF($G739&lt;&gt;0,SUMIF(куб!$G:$G,$G739,куб!J:J),IF($E739&lt;&gt;0,SUMIF(куб!$E:$E,$E739,куб!J:J),IF($D739&lt;&gt;0,SUMIF(куб!$D:$D,$D739,куб!J:J),IF($C739&lt;&gt;0,SUMIF(куб!$C:$C,$C739,куб!J:J),IF($B739&lt;&gt;0,SUMIF(куб!$B:$B,$B739,куб!J:J))))))</f>
        <v>0</v>
      </c>
      <c r="Q739" s="27" t="b">
        <f>IF($G739&lt;&gt;0,SUMIF(куб!$G:$G,$G739,куб!K:K),IF($E739&lt;&gt;0,SUMIF(куб!$E:$E,$E739,куб!K:K),IF($D739&lt;&gt;0,SUMIF(куб!$D:$D,$D739,куб!K:K),IF($C739&lt;&gt;0,SUMIF(куб!$C:$C,$C739,куб!K:K),IF($B739&lt;&gt;0,SUMIF(куб!$B:$B,$B739,куб!K:K))))))</f>
        <v>0</v>
      </c>
      <c r="R739" s="13" t="str">
        <f t="shared" si="241"/>
        <v>-</v>
      </c>
      <c r="S739" s="5"/>
      <c r="T739" s="27" t="b">
        <f>IF($G739&lt;&gt;0,SUMIF(куб!$G:$G,$G739,куб!L:L),IF($E739&lt;&gt;0,SUMIF(куб!$E:$E,$E739,куб!L:L),IF($D739&lt;&gt;0,SUMIF(куб!$D:$D,$D739,куб!L:L),IF($C739&lt;&gt;0,SUMIF(куб!$C:$C,$C739,куб!L:L),IF($B739&lt;&gt;0,SUMIF(куб!$B:$B,$B739,куб!L:L))))))</f>
        <v>0</v>
      </c>
      <c r="U739" s="27" t="b">
        <f>IF($G739&lt;&gt;0,SUMIF(куб!$G:$G,$G739,куб!M:M),IF($E739&lt;&gt;0,SUMIF(куб!$E:$E,$E739,куб!M:M),IF($D739&lt;&gt;0,SUMIF(куб!$D:$D,$D739,куб!M:M),IF($C739&lt;&gt;0,SUMIF(куб!$C:$C,$C739,куб!M:M),IF($B739&lt;&gt;0,SUMIF(куб!$B:$B,$B739,куб!M:M))))))</f>
        <v>0</v>
      </c>
      <c r="V739" s="13" t="str">
        <f t="shared" si="242"/>
        <v>-</v>
      </c>
      <c r="W739" s="5"/>
      <c r="X739" s="27" t="b">
        <f>IF($G739&lt;&gt;0,SUMIF(куб!$G:$G,$G739,куб!N:N),IF($E739&lt;&gt;0,SUMIF(куб!$E:$E,$E739,куб!N:N),IF($D739&lt;&gt;0,SUMIF(куб!$D:$D,$D739,куб!N:N),IF($C739&lt;&gt;0,SUMIF(куб!$C:$C,$C739,куб!N:N),IF($B739&lt;&gt;0,SUMIF(куб!$B:$B,$B739,куб!N:N))))))</f>
        <v>0</v>
      </c>
      <c r="Y739" s="27" t="b">
        <f>IF($G739&lt;&gt;0,SUMIF(куб!$G:$G,$G739,куб!O:O),IF($E739&lt;&gt;0,SUMIF(куб!$E:$E,$E739,куб!O:O),IF($D739&lt;&gt;0,SUMIF(куб!$D:$D,$D739,куб!O:O),IF($C739&lt;&gt;0,SUMIF(куб!$C:$C,$C739,куб!O:O),IF($B739&lt;&gt;0,SUMIF(куб!$B:$B,$B739,куб!O:O))))))</f>
        <v>0</v>
      </c>
      <c r="Z739" s="13" t="str">
        <f t="shared" si="243"/>
        <v>-</v>
      </c>
      <c r="AA739" s="5"/>
      <c r="AB739" s="33" t="str">
        <f t="shared" si="244"/>
        <v/>
      </c>
      <c r="AC739" s="33" t="str">
        <f t="shared" si="245"/>
        <v/>
      </c>
      <c r="AD739" s="15" t="str">
        <f t="shared" si="246"/>
        <v xml:space="preserve"> </v>
      </c>
      <c r="AE739" s="5"/>
      <c r="AF739" s="27" t="b">
        <f>IF($G739&lt;&gt;0,SUMIF(куб!$G:$G,$G739,куб!R:R),IF($E739&lt;&gt;0,SUMIF(куб!$E:$E,$E739,куб!R:R),IF($D739&lt;&gt;0,SUMIF(куб!$D:$D,$D739,куб!R:R),IF($C739&lt;&gt;0,SUMIF(куб!$C:$C,$C739,куб!R:R),IF($B739&lt;&gt;0,SUMIF(куб!$B:$B,$B739,куб!R:R))))))</f>
        <v>0</v>
      </c>
      <c r="AG739" s="27" t="b">
        <f>IF($G739&lt;&gt;0,SUMIF(куб!$G:$G,$G739,куб!S:S),IF($E739&lt;&gt;0,SUMIF(куб!$E:$E,$E739,куб!S:S),IF($D739&lt;&gt;0,SUMIF(куб!$D:$D,$D739,куб!S:S),IF($C739&lt;&gt;0,SUMIF(куб!$C:$C,$C739,куб!S:S),IF($B739&lt;&gt;0,SUMIF(куб!$B:$B,$B739,куб!S:S))))))</f>
        <v>0</v>
      </c>
      <c r="AH739" s="16" t="str">
        <f t="shared" si="247"/>
        <v>-</v>
      </c>
      <c r="AI739" s="8"/>
      <c r="AJ739" s="27" t="b">
        <f>IF($G739&lt;&gt;0,SUMIF(куб!$G:$G,$G739,куб!T:T),IF($E739&lt;&gt;0,SUMIF(куб!$E:$E,$E739,куб!T:T),IF($D739&lt;&gt;0,SUMIF(куб!$D:$D,$D739,куб!T:T),IF($C739&lt;&gt;0,SUMIF(куб!$C:$C,$C739,куб!T:T),IF($B739&lt;&gt;0,SUMIF(куб!$B:$B,$B739,куб!T:T))))))</f>
        <v>0</v>
      </c>
      <c r="AK739" s="27" t="b">
        <f>IF($G739&lt;&gt;0,SUMIF(куб!$G:$G,$G739,куб!U:U),IF($E739&lt;&gt;0,SUMIF(куб!$E:$E,$E739,куб!U:U),IF($D739&lt;&gt;0,SUMIF(куб!$D:$D,$D739,куб!U:U),IF($C739&lt;&gt;0,SUMIF(куб!$C:$C,$C739,куб!U:U),IF($B739&lt;&gt;0,SUMIF(куб!$B:$B,$B739,куб!U:U))))))</f>
        <v>0</v>
      </c>
      <c r="AL739" s="16" t="str">
        <f t="shared" si="248"/>
        <v>-</v>
      </c>
      <c r="AM739" s="8"/>
      <c r="AN739" s="17" t="str">
        <f t="shared" si="249"/>
        <v xml:space="preserve"> </v>
      </c>
      <c r="AO739" s="17" t="str">
        <f t="shared" si="250"/>
        <v xml:space="preserve"> </v>
      </c>
      <c r="AP739" s="16" t="str">
        <f t="shared" si="251"/>
        <v>-</v>
      </c>
      <c r="AQ739" s="8"/>
      <c r="AR739" s="17" t="str">
        <f t="shared" si="252"/>
        <v>-</v>
      </c>
      <c r="AS739" s="17" t="str">
        <f t="shared" si="253"/>
        <v>-</v>
      </c>
      <c r="AT739" s="13" t="str">
        <f t="shared" si="254"/>
        <v>-</v>
      </c>
      <c r="AU739" s="8"/>
    </row>
    <row r="740" spans="1:47" x14ac:dyDescent="0.25">
      <c r="A740" s="31"/>
      <c r="B740" s="31"/>
      <c r="C740"/>
      <c r="D740" s="31"/>
      <c r="E740"/>
      <c r="F740" s="31"/>
      <c r="G740"/>
      <c r="H740" s="27">
        <f>IF($G740&lt;&gt;0,SUMIF(куб!$G:$G,$G740,куб!H:H),IF($E740&lt;&gt;0,SUMIF(куб!$E:$E,$E740,куб!H:H),IF($D740&lt;&gt;0,SUMIF(куб!$D:$D,$D740,куб!H:H),IF($C740&lt;&gt;0,SUMIF(куб!$C:$C,$C740,куб!H:H),IF($B740&lt;&gt;0,SUMIF(куб!$B:$B,$B740,куб!H:H),IF($G740&lt;&gt;0,SUMIF(куб!$A:$A,$G740,куб!H:H),SUMIF(куб!$A:$A,$G740,куб!H:H)))))))</f>
        <v>0</v>
      </c>
      <c r="I740" s="27">
        <f>IF($G740&lt;&gt;0,SUMIF(куб!$G:$G,$G740,куб!I:I),IF($E740&lt;&gt;0,SUMIF(куб!$E:$E,$E740,куб!I:I),IF($D740&lt;&gt;0,SUMIF(куб!$D:$D,$D740,куб!I:I),IF($C740&lt;&gt;0,SUMIF(куб!$C:$C,$C740,куб!I:I),IF($B740&lt;&gt;0,SUMIF(куб!$B:$B,$B740,куб!I:I),IF($G740&lt;&gt;0,SUMIF(куб!$A:$A,$G740,куб!I:I),SUMIF(куб!$A:$A,$G740,куб!I:I)))))))</f>
        <v>0</v>
      </c>
      <c r="J740" s="19" t="str">
        <f t="shared" si="237"/>
        <v>-</v>
      </c>
      <c r="K740" s="8"/>
      <c r="L740" s="17">
        <f t="shared" si="238"/>
        <v>0</v>
      </c>
      <c r="M740" s="17">
        <f t="shared" si="239"/>
        <v>0</v>
      </c>
      <c r="N740" s="12">
        <f t="shared" si="240"/>
        <v>0</v>
      </c>
      <c r="O740" s="5"/>
      <c r="P740" s="27" t="b">
        <f>IF($G740&lt;&gt;0,SUMIF(куб!$G:$G,$G740,куб!J:J),IF($E740&lt;&gt;0,SUMIF(куб!$E:$E,$E740,куб!J:J),IF($D740&lt;&gt;0,SUMIF(куб!$D:$D,$D740,куб!J:J),IF($C740&lt;&gt;0,SUMIF(куб!$C:$C,$C740,куб!J:J),IF($B740&lt;&gt;0,SUMIF(куб!$B:$B,$B740,куб!J:J))))))</f>
        <v>0</v>
      </c>
      <c r="Q740" s="27" t="b">
        <f>IF($G740&lt;&gt;0,SUMIF(куб!$G:$G,$G740,куб!K:K),IF($E740&lt;&gt;0,SUMIF(куб!$E:$E,$E740,куб!K:K),IF($D740&lt;&gt;0,SUMIF(куб!$D:$D,$D740,куб!K:K),IF($C740&lt;&gt;0,SUMIF(куб!$C:$C,$C740,куб!K:K),IF($B740&lt;&gt;0,SUMIF(куб!$B:$B,$B740,куб!K:K))))))</f>
        <v>0</v>
      </c>
      <c r="R740" s="13" t="str">
        <f t="shared" si="241"/>
        <v>-</v>
      </c>
      <c r="S740" s="5"/>
      <c r="T740" s="27" t="b">
        <f>IF($G740&lt;&gt;0,SUMIF(куб!$G:$G,$G740,куб!L:L),IF($E740&lt;&gt;0,SUMIF(куб!$E:$E,$E740,куб!L:L),IF($D740&lt;&gt;0,SUMIF(куб!$D:$D,$D740,куб!L:L),IF($C740&lt;&gt;0,SUMIF(куб!$C:$C,$C740,куб!L:L),IF($B740&lt;&gt;0,SUMIF(куб!$B:$B,$B740,куб!L:L))))))</f>
        <v>0</v>
      </c>
      <c r="U740" s="27" t="b">
        <f>IF($G740&lt;&gt;0,SUMIF(куб!$G:$G,$G740,куб!M:M),IF($E740&lt;&gt;0,SUMIF(куб!$E:$E,$E740,куб!M:M),IF($D740&lt;&gt;0,SUMIF(куб!$D:$D,$D740,куб!M:M),IF($C740&lt;&gt;0,SUMIF(куб!$C:$C,$C740,куб!M:M),IF($B740&lt;&gt;0,SUMIF(куб!$B:$B,$B740,куб!M:M))))))</f>
        <v>0</v>
      </c>
      <c r="V740" s="13" t="str">
        <f t="shared" si="242"/>
        <v>-</v>
      </c>
      <c r="W740" s="5"/>
      <c r="X740" s="27" t="b">
        <f>IF($G740&lt;&gt;0,SUMIF(куб!$G:$G,$G740,куб!N:N),IF($E740&lt;&gt;0,SUMIF(куб!$E:$E,$E740,куб!N:N),IF($D740&lt;&gt;0,SUMIF(куб!$D:$D,$D740,куб!N:N),IF($C740&lt;&gt;0,SUMIF(куб!$C:$C,$C740,куб!N:N),IF($B740&lt;&gt;0,SUMIF(куб!$B:$B,$B740,куб!N:N))))))</f>
        <v>0</v>
      </c>
      <c r="Y740" s="27" t="b">
        <f>IF($G740&lt;&gt;0,SUMIF(куб!$G:$G,$G740,куб!O:O),IF($E740&lt;&gt;0,SUMIF(куб!$E:$E,$E740,куб!O:O),IF($D740&lt;&gt;0,SUMIF(куб!$D:$D,$D740,куб!O:O),IF($C740&lt;&gt;0,SUMIF(куб!$C:$C,$C740,куб!O:O),IF($B740&lt;&gt;0,SUMIF(куб!$B:$B,$B740,куб!O:O))))))</f>
        <v>0</v>
      </c>
      <c r="Z740" s="13" t="str">
        <f t="shared" si="243"/>
        <v>-</v>
      </c>
      <c r="AA740" s="5"/>
      <c r="AB740" s="33" t="str">
        <f t="shared" si="244"/>
        <v/>
      </c>
      <c r="AC740" s="33" t="str">
        <f t="shared" si="245"/>
        <v/>
      </c>
      <c r="AD740" s="15" t="str">
        <f t="shared" si="246"/>
        <v xml:space="preserve"> </v>
      </c>
      <c r="AE740" s="5"/>
      <c r="AF740" s="27" t="b">
        <f>IF($G740&lt;&gt;0,SUMIF(куб!$G:$G,$G740,куб!R:R),IF($E740&lt;&gt;0,SUMIF(куб!$E:$E,$E740,куб!R:R),IF($D740&lt;&gt;0,SUMIF(куб!$D:$D,$D740,куб!R:R),IF($C740&lt;&gt;0,SUMIF(куб!$C:$C,$C740,куб!R:R),IF($B740&lt;&gt;0,SUMIF(куб!$B:$B,$B740,куб!R:R))))))</f>
        <v>0</v>
      </c>
      <c r="AG740" s="27" t="b">
        <f>IF($G740&lt;&gt;0,SUMIF(куб!$G:$G,$G740,куб!S:S),IF($E740&lt;&gt;0,SUMIF(куб!$E:$E,$E740,куб!S:S),IF($D740&lt;&gt;0,SUMIF(куб!$D:$D,$D740,куб!S:S),IF($C740&lt;&gt;0,SUMIF(куб!$C:$C,$C740,куб!S:S),IF($B740&lt;&gt;0,SUMIF(куб!$B:$B,$B740,куб!S:S))))))</f>
        <v>0</v>
      </c>
      <c r="AH740" s="16" t="str">
        <f t="shared" si="247"/>
        <v>-</v>
      </c>
      <c r="AI740" s="8"/>
      <c r="AJ740" s="27" t="b">
        <f>IF($G740&lt;&gt;0,SUMIF(куб!$G:$G,$G740,куб!T:T),IF($E740&lt;&gt;0,SUMIF(куб!$E:$E,$E740,куб!T:T),IF($D740&lt;&gt;0,SUMIF(куб!$D:$D,$D740,куб!T:T),IF($C740&lt;&gt;0,SUMIF(куб!$C:$C,$C740,куб!T:T),IF($B740&lt;&gt;0,SUMIF(куб!$B:$B,$B740,куб!T:T))))))</f>
        <v>0</v>
      </c>
      <c r="AK740" s="27" t="b">
        <f>IF($G740&lt;&gt;0,SUMIF(куб!$G:$G,$G740,куб!U:U),IF($E740&lt;&gt;0,SUMIF(куб!$E:$E,$E740,куб!U:U),IF($D740&lt;&gt;0,SUMIF(куб!$D:$D,$D740,куб!U:U),IF($C740&lt;&gt;0,SUMIF(куб!$C:$C,$C740,куб!U:U),IF($B740&lt;&gt;0,SUMIF(куб!$B:$B,$B740,куб!U:U))))))</f>
        <v>0</v>
      </c>
      <c r="AL740" s="16" t="str">
        <f t="shared" si="248"/>
        <v>-</v>
      </c>
      <c r="AM740" s="8"/>
      <c r="AN740" s="17" t="str">
        <f t="shared" si="249"/>
        <v xml:space="preserve"> </v>
      </c>
      <c r="AO740" s="17" t="str">
        <f t="shared" si="250"/>
        <v xml:space="preserve"> </v>
      </c>
      <c r="AP740" s="16" t="str">
        <f t="shared" si="251"/>
        <v>-</v>
      </c>
      <c r="AQ740" s="8"/>
      <c r="AR740" s="17" t="str">
        <f t="shared" si="252"/>
        <v>-</v>
      </c>
      <c r="AS740" s="17" t="str">
        <f t="shared" si="253"/>
        <v>-</v>
      </c>
      <c r="AT740" s="13" t="str">
        <f t="shared" si="254"/>
        <v>-</v>
      </c>
      <c r="AU740" s="8"/>
    </row>
    <row r="741" spans="1:47" x14ac:dyDescent="0.25">
      <c r="A741" s="31"/>
      <c r="B741" s="31"/>
      <c r="C741"/>
      <c r="D741" s="31"/>
      <c r="E741"/>
      <c r="F741" s="31"/>
      <c r="G741"/>
      <c r="H741" s="27">
        <f>IF($G741&lt;&gt;0,SUMIF(куб!$G:$G,$G741,куб!H:H),IF($E741&lt;&gt;0,SUMIF(куб!$E:$E,$E741,куб!H:H),IF($D741&lt;&gt;0,SUMIF(куб!$D:$D,$D741,куб!H:H),IF($C741&lt;&gt;0,SUMIF(куб!$C:$C,$C741,куб!H:H),IF($B741&lt;&gt;0,SUMIF(куб!$B:$B,$B741,куб!H:H),IF($G741&lt;&gt;0,SUMIF(куб!$A:$A,$G741,куб!H:H),SUMIF(куб!$A:$A,$G741,куб!H:H)))))))</f>
        <v>0</v>
      </c>
      <c r="I741" s="27">
        <f>IF($G741&lt;&gt;0,SUMIF(куб!$G:$G,$G741,куб!I:I),IF($E741&lt;&gt;0,SUMIF(куб!$E:$E,$E741,куб!I:I),IF($D741&lt;&gt;0,SUMIF(куб!$D:$D,$D741,куб!I:I),IF($C741&lt;&gt;0,SUMIF(куб!$C:$C,$C741,куб!I:I),IF($B741&lt;&gt;0,SUMIF(куб!$B:$B,$B741,куб!I:I),IF($G741&lt;&gt;0,SUMIF(куб!$A:$A,$G741,куб!I:I),SUMIF(куб!$A:$A,$G741,куб!I:I)))))))</f>
        <v>0</v>
      </c>
      <c r="J741" s="19" t="str">
        <f t="shared" si="237"/>
        <v>-</v>
      </c>
      <c r="K741" s="8"/>
      <c r="L741" s="17">
        <f t="shared" si="238"/>
        <v>0</v>
      </c>
      <c r="M741" s="17">
        <f t="shared" si="239"/>
        <v>0</v>
      </c>
      <c r="N741" s="12">
        <f t="shared" si="240"/>
        <v>0</v>
      </c>
      <c r="O741" s="5"/>
      <c r="P741" s="27" t="b">
        <f>IF($G741&lt;&gt;0,SUMIF(куб!$G:$G,$G741,куб!J:J),IF($E741&lt;&gt;0,SUMIF(куб!$E:$E,$E741,куб!J:J),IF($D741&lt;&gt;0,SUMIF(куб!$D:$D,$D741,куб!J:J),IF($C741&lt;&gt;0,SUMIF(куб!$C:$C,$C741,куб!J:J),IF($B741&lt;&gt;0,SUMIF(куб!$B:$B,$B741,куб!J:J))))))</f>
        <v>0</v>
      </c>
      <c r="Q741" s="27" t="b">
        <f>IF($G741&lt;&gt;0,SUMIF(куб!$G:$G,$G741,куб!K:K),IF($E741&lt;&gt;0,SUMIF(куб!$E:$E,$E741,куб!K:K),IF($D741&lt;&gt;0,SUMIF(куб!$D:$D,$D741,куб!K:K),IF($C741&lt;&gt;0,SUMIF(куб!$C:$C,$C741,куб!K:K),IF($B741&lt;&gt;0,SUMIF(куб!$B:$B,$B741,куб!K:K))))))</f>
        <v>0</v>
      </c>
      <c r="R741" s="13" t="str">
        <f t="shared" si="241"/>
        <v>-</v>
      </c>
      <c r="S741" s="5"/>
      <c r="T741" s="27" t="b">
        <f>IF($G741&lt;&gt;0,SUMIF(куб!$G:$G,$G741,куб!L:L),IF($E741&lt;&gt;0,SUMIF(куб!$E:$E,$E741,куб!L:L),IF($D741&lt;&gt;0,SUMIF(куб!$D:$D,$D741,куб!L:L),IF($C741&lt;&gt;0,SUMIF(куб!$C:$C,$C741,куб!L:L),IF($B741&lt;&gt;0,SUMIF(куб!$B:$B,$B741,куб!L:L))))))</f>
        <v>0</v>
      </c>
      <c r="U741" s="27" t="b">
        <f>IF($G741&lt;&gt;0,SUMIF(куб!$G:$G,$G741,куб!M:M),IF($E741&lt;&gt;0,SUMIF(куб!$E:$E,$E741,куб!M:M),IF($D741&lt;&gt;0,SUMIF(куб!$D:$D,$D741,куб!M:M),IF($C741&lt;&gt;0,SUMIF(куб!$C:$C,$C741,куб!M:M),IF($B741&lt;&gt;0,SUMIF(куб!$B:$B,$B741,куб!M:M))))))</f>
        <v>0</v>
      </c>
      <c r="V741" s="13" t="str">
        <f t="shared" si="242"/>
        <v>-</v>
      </c>
      <c r="W741" s="5"/>
      <c r="X741" s="27" t="b">
        <f>IF($G741&lt;&gt;0,SUMIF(куб!$G:$G,$G741,куб!N:N),IF($E741&lt;&gt;0,SUMIF(куб!$E:$E,$E741,куб!N:N),IF($D741&lt;&gt;0,SUMIF(куб!$D:$D,$D741,куб!N:N),IF($C741&lt;&gt;0,SUMIF(куб!$C:$C,$C741,куб!N:N),IF($B741&lt;&gt;0,SUMIF(куб!$B:$B,$B741,куб!N:N))))))</f>
        <v>0</v>
      </c>
      <c r="Y741" s="27" t="b">
        <f>IF($G741&lt;&gt;0,SUMIF(куб!$G:$G,$G741,куб!O:O),IF($E741&lt;&gt;0,SUMIF(куб!$E:$E,$E741,куб!O:O),IF($D741&lt;&gt;0,SUMIF(куб!$D:$D,$D741,куб!O:O),IF($C741&lt;&gt;0,SUMIF(куб!$C:$C,$C741,куб!O:O),IF($B741&lt;&gt;0,SUMIF(куб!$B:$B,$B741,куб!O:O))))))</f>
        <v>0</v>
      </c>
      <c r="Z741" s="13" t="str">
        <f t="shared" si="243"/>
        <v>-</v>
      </c>
      <c r="AA741" s="5"/>
      <c r="AB741" s="33" t="str">
        <f t="shared" si="244"/>
        <v/>
      </c>
      <c r="AC741" s="33" t="str">
        <f t="shared" si="245"/>
        <v/>
      </c>
      <c r="AD741" s="15" t="str">
        <f t="shared" si="246"/>
        <v xml:space="preserve"> </v>
      </c>
      <c r="AE741" s="5"/>
      <c r="AF741" s="27" t="b">
        <f>IF($G741&lt;&gt;0,SUMIF(куб!$G:$G,$G741,куб!R:R),IF($E741&lt;&gt;0,SUMIF(куб!$E:$E,$E741,куб!R:R),IF($D741&lt;&gt;0,SUMIF(куб!$D:$D,$D741,куб!R:R),IF($C741&lt;&gt;0,SUMIF(куб!$C:$C,$C741,куб!R:R),IF($B741&lt;&gt;0,SUMIF(куб!$B:$B,$B741,куб!R:R))))))</f>
        <v>0</v>
      </c>
      <c r="AG741" s="27" t="b">
        <f>IF($G741&lt;&gt;0,SUMIF(куб!$G:$G,$G741,куб!S:S),IF($E741&lt;&gt;0,SUMIF(куб!$E:$E,$E741,куб!S:S),IF($D741&lt;&gt;0,SUMIF(куб!$D:$D,$D741,куб!S:S),IF($C741&lt;&gt;0,SUMIF(куб!$C:$C,$C741,куб!S:S),IF($B741&lt;&gt;0,SUMIF(куб!$B:$B,$B741,куб!S:S))))))</f>
        <v>0</v>
      </c>
      <c r="AH741" s="16" t="str">
        <f t="shared" si="247"/>
        <v>-</v>
      </c>
      <c r="AI741" s="8"/>
      <c r="AJ741" s="27" t="b">
        <f>IF($G741&lt;&gt;0,SUMIF(куб!$G:$G,$G741,куб!T:T),IF($E741&lt;&gt;0,SUMIF(куб!$E:$E,$E741,куб!T:T),IF($D741&lt;&gt;0,SUMIF(куб!$D:$D,$D741,куб!T:T),IF($C741&lt;&gt;0,SUMIF(куб!$C:$C,$C741,куб!T:T),IF($B741&lt;&gt;0,SUMIF(куб!$B:$B,$B741,куб!T:T))))))</f>
        <v>0</v>
      </c>
      <c r="AK741" s="27" t="b">
        <f>IF($G741&lt;&gt;0,SUMIF(куб!$G:$G,$G741,куб!U:U),IF($E741&lt;&gt;0,SUMIF(куб!$E:$E,$E741,куб!U:U),IF($D741&lt;&gt;0,SUMIF(куб!$D:$D,$D741,куб!U:U),IF($C741&lt;&gt;0,SUMIF(куб!$C:$C,$C741,куб!U:U),IF($B741&lt;&gt;0,SUMIF(куб!$B:$B,$B741,куб!U:U))))))</f>
        <v>0</v>
      </c>
      <c r="AL741" s="16" t="str">
        <f t="shared" si="248"/>
        <v>-</v>
      </c>
      <c r="AM741" s="8"/>
      <c r="AN741" s="17" t="str">
        <f t="shared" si="249"/>
        <v xml:space="preserve"> </v>
      </c>
      <c r="AO741" s="17" t="str">
        <f t="shared" si="250"/>
        <v xml:space="preserve"> </v>
      </c>
      <c r="AP741" s="16" t="str">
        <f t="shared" si="251"/>
        <v>-</v>
      </c>
      <c r="AQ741" s="8"/>
      <c r="AR741" s="17" t="str">
        <f t="shared" si="252"/>
        <v>-</v>
      </c>
      <c r="AS741" s="17" t="str">
        <f t="shared" si="253"/>
        <v>-</v>
      </c>
      <c r="AT741" s="13" t="str">
        <f t="shared" si="254"/>
        <v>-</v>
      </c>
      <c r="AU741" s="8"/>
    </row>
    <row r="742" spans="1:47" x14ac:dyDescent="0.25">
      <c r="A742" s="31"/>
      <c r="B742" s="31"/>
      <c r="C742"/>
      <c r="D742" s="31"/>
      <c r="E742"/>
      <c r="F742"/>
      <c r="G742"/>
      <c r="H742" s="27">
        <f>IF($G742&lt;&gt;0,SUMIF(куб!$G:$G,$G742,куб!H:H),IF($E742&lt;&gt;0,SUMIF(куб!$E:$E,$E742,куб!H:H),IF($D742&lt;&gt;0,SUMIF(куб!$D:$D,$D742,куб!H:H),IF($C742&lt;&gt;0,SUMIF(куб!$C:$C,$C742,куб!H:H),IF($B742&lt;&gt;0,SUMIF(куб!$B:$B,$B742,куб!H:H),IF($G742&lt;&gt;0,SUMIF(куб!$A:$A,$G742,куб!H:H),SUMIF(куб!$A:$A,$G742,куб!H:H)))))))</f>
        <v>0</v>
      </c>
      <c r="I742" s="27">
        <f>IF($G742&lt;&gt;0,SUMIF(куб!$G:$G,$G742,куб!I:I),IF($E742&lt;&gt;0,SUMIF(куб!$E:$E,$E742,куб!I:I),IF($D742&lt;&gt;0,SUMIF(куб!$D:$D,$D742,куб!I:I),IF($C742&lt;&gt;0,SUMIF(куб!$C:$C,$C742,куб!I:I),IF($B742&lt;&gt;0,SUMIF(куб!$B:$B,$B742,куб!I:I),IF($G742&lt;&gt;0,SUMIF(куб!$A:$A,$G742,куб!I:I),SUMIF(куб!$A:$A,$G742,куб!I:I)))))))</f>
        <v>0</v>
      </c>
      <c r="J742" s="19" t="str">
        <f t="shared" si="237"/>
        <v>-</v>
      </c>
      <c r="K742" s="8"/>
      <c r="L742" s="17">
        <f t="shared" si="238"/>
        <v>0</v>
      </c>
      <c r="M742" s="17">
        <f t="shared" si="239"/>
        <v>0</v>
      </c>
      <c r="N742" s="12">
        <f t="shared" si="240"/>
        <v>0</v>
      </c>
      <c r="O742" s="5"/>
      <c r="P742" s="27" t="b">
        <f>IF($G742&lt;&gt;0,SUMIF(куб!$G:$G,$G742,куб!J:J),IF($E742&lt;&gt;0,SUMIF(куб!$E:$E,$E742,куб!J:J),IF($D742&lt;&gt;0,SUMIF(куб!$D:$D,$D742,куб!J:J),IF($C742&lt;&gt;0,SUMIF(куб!$C:$C,$C742,куб!J:J),IF($B742&lt;&gt;0,SUMIF(куб!$B:$B,$B742,куб!J:J))))))</f>
        <v>0</v>
      </c>
      <c r="Q742" s="27" t="b">
        <f>IF($G742&lt;&gt;0,SUMIF(куб!$G:$G,$G742,куб!K:K),IF($E742&lt;&gt;0,SUMIF(куб!$E:$E,$E742,куб!K:K),IF($D742&lt;&gt;0,SUMIF(куб!$D:$D,$D742,куб!K:K),IF($C742&lt;&gt;0,SUMIF(куб!$C:$C,$C742,куб!K:K),IF($B742&lt;&gt;0,SUMIF(куб!$B:$B,$B742,куб!K:K))))))</f>
        <v>0</v>
      </c>
      <c r="R742" s="13" t="str">
        <f t="shared" si="241"/>
        <v>-</v>
      </c>
      <c r="S742" s="5"/>
      <c r="T742" s="27" t="b">
        <f>IF($G742&lt;&gt;0,SUMIF(куб!$G:$G,$G742,куб!L:L),IF($E742&lt;&gt;0,SUMIF(куб!$E:$E,$E742,куб!L:L),IF($D742&lt;&gt;0,SUMIF(куб!$D:$D,$D742,куб!L:L),IF($C742&lt;&gt;0,SUMIF(куб!$C:$C,$C742,куб!L:L),IF($B742&lt;&gt;0,SUMIF(куб!$B:$B,$B742,куб!L:L))))))</f>
        <v>0</v>
      </c>
      <c r="U742" s="27" t="b">
        <f>IF($G742&lt;&gt;0,SUMIF(куб!$G:$G,$G742,куб!M:M),IF($E742&lt;&gt;0,SUMIF(куб!$E:$E,$E742,куб!M:M),IF($D742&lt;&gt;0,SUMIF(куб!$D:$D,$D742,куб!M:M),IF($C742&lt;&gt;0,SUMIF(куб!$C:$C,$C742,куб!M:M),IF($B742&lt;&gt;0,SUMIF(куб!$B:$B,$B742,куб!M:M))))))</f>
        <v>0</v>
      </c>
      <c r="V742" s="13" t="str">
        <f t="shared" si="242"/>
        <v>-</v>
      </c>
      <c r="W742" s="5"/>
      <c r="X742" s="27" t="b">
        <f>IF($G742&lt;&gt;0,SUMIF(куб!$G:$G,$G742,куб!N:N),IF($E742&lt;&gt;0,SUMIF(куб!$E:$E,$E742,куб!N:N),IF($D742&lt;&gt;0,SUMIF(куб!$D:$D,$D742,куб!N:N),IF($C742&lt;&gt;0,SUMIF(куб!$C:$C,$C742,куб!N:N),IF($B742&lt;&gt;0,SUMIF(куб!$B:$B,$B742,куб!N:N))))))</f>
        <v>0</v>
      </c>
      <c r="Y742" s="27" t="b">
        <f>IF($G742&lt;&gt;0,SUMIF(куб!$G:$G,$G742,куб!O:O),IF($E742&lt;&gt;0,SUMIF(куб!$E:$E,$E742,куб!O:O),IF($D742&lt;&gt;0,SUMIF(куб!$D:$D,$D742,куб!O:O),IF($C742&lt;&gt;0,SUMIF(куб!$C:$C,$C742,куб!O:O),IF($B742&lt;&gt;0,SUMIF(куб!$B:$B,$B742,куб!O:O))))))</f>
        <v>0</v>
      </c>
      <c r="Z742" s="13" t="str">
        <f t="shared" si="243"/>
        <v>-</v>
      </c>
      <c r="AA742" s="5"/>
      <c r="AB742" s="33" t="str">
        <f t="shared" si="244"/>
        <v/>
      </c>
      <c r="AC742" s="33" t="str">
        <f t="shared" si="245"/>
        <v/>
      </c>
      <c r="AD742" s="15" t="str">
        <f t="shared" si="246"/>
        <v xml:space="preserve"> </v>
      </c>
      <c r="AE742" s="5"/>
      <c r="AF742" s="27" t="b">
        <f>IF($G742&lt;&gt;0,SUMIF(куб!$G:$G,$G742,куб!R:R),IF($E742&lt;&gt;0,SUMIF(куб!$E:$E,$E742,куб!R:R),IF($D742&lt;&gt;0,SUMIF(куб!$D:$D,$D742,куб!R:R),IF($C742&lt;&gt;0,SUMIF(куб!$C:$C,$C742,куб!R:R),IF($B742&lt;&gt;0,SUMIF(куб!$B:$B,$B742,куб!R:R))))))</f>
        <v>0</v>
      </c>
      <c r="AG742" s="27" t="b">
        <f>IF($G742&lt;&gt;0,SUMIF(куб!$G:$G,$G742,куб!S:S),IF($E742&lt;&gt;0,SUMIF(куб!$E:$E,$E742,куб!S:S),IF($D742&lt;&gt;0,SUMIF(куб!$D:$D,$D742,куб!S:S),IF($C742&lt;&gt;0,SUMIF(куб!$C:$C,$C742,куб!S:S),IF($B742&lt;&gt;0,SUMIF(куб!$B:$B,$B742,куб!S:S))))))</f>
        <v>0</v>
      </c>
      <c r="AH742" s="16" t="str">
        <f t="shared" si="247"/>
        <v>-</v>
      </c>
      <c r="AI742" s="8"/>
      <c r="AJ742" s="27" t="b">
        <f>IF($G742&lt;&gt;0,SUMIF(куб!$G:$G,$G742,куб!T:T),IF($E742&lt;&gt;0,SUMIF(куб!$E:$E,$E742,куб!T:T),IF($D742&lt;&gt;0,SUMIF(куб!$D:$D,$D742,куб!T:T),IF($C742&lt;&gt;0,SUMIF(куб!$C:$C,$C742,куб!T:T),IF($B742&lt;&gt;0,SUMIF(куб!$B:$B,$B742,куб!T:T))))))</f>
        <v>0</v>
      </c>
      <c r="AK742" s="27" t="b">
        <f>IF($G742&lt;&gt;0,SUMIF(куб!$G:$G,$G742,куб!U:U),IF($E742&lt;&gt;0,SUMIF(куб!$E:$E,$E742,куб!U:U),IF($D742&lt;&gt;0,SUMIF(куб!$D:$D,$D742,куб!U:U),IF($C742&lt;&gt;0,SUMIF(куб!$C:$C,$C742,куб!U:U),IF($B742&lt;&gt;0,SUMIF(куб!$B:$B,$B742,куб!U:U))))))</f>
        <v>0</v>
      </c>
      <c r="AL742" s="16" t="str">
        <f t="shared" si="248"/>
        <v>-</v>
      </c>
      <c r="AM742" s="8"/>
      <c r="AN742" s="17" t="str">
        <f t="shared" si="249"/>
        <v xml:space="preserve"> </v>
      </c>
      <c r="AO742" s="17" t="str">
        <f t="shared" si="250"/>
        <v xml:space="preserve"> </v>
      </c>
      <c r="AP742" s="16" t="str">
        <f t="shared" si="251"/>
        <v>-</v>
      </c>
      <c r="AQ742" s="8"/>
      <c r="AR742" s="17" t="str">
        <f t="shared" si="252"/>
        <v>-</v>
      </c>
      <c r="AS742" s="17" t="str">
        <f t="shared" si="253"/>
        <v>-</v>
      </c>
      <c r="AT742" s="13" t="str">
        <f t="shared" si="254"/>
        <v>-</v>
      </c>
      <c r="AU742" s="8"/>
    </row>
    <row r="743" spans="1:47" x14ac:dyDescent="0.25">
      <c r="A743" s="31"/>
      <c r="B743" s="31"/>
      <c r="C743"/>
      <c r="D743" s="31"/>
      <c r="E743" s="31"/>
      <c r="F743" s="31"/>
      <c r="G743" s="31"/>
      <c r="H743" s="27">
        <f>IF($G743&lt;&gt;0,SUMIF(куб!$G:$G,$G743,куб!H:H),IF($E743&lt;&gt;0,SUMIF(куб!$E:$E,$E743,куб!H:H),IF($D743&lt;&gt;0,SUMIF(куб!$D:$D,$D743,куб!H:H),IF($C743&lt;&gt;0,SUMIF(куб!$C:$C,$C743,куб!H:H),IF($B743&lt;&gt;0,SUMIF(куб!$B:$B,$B743,куб!H:H),IF($G743&lt;&gt;0,SUMIF(куб!$A:$A,$G743,куб!H:H),SUMIF(куб!$A:$A,$G743,куб!H:H)))))))</f>
        <v>0</v>
      </c>
      <c r="I743" s="27">
        <f>IF($G743&lt;&gt;0,SUMIF(куб!$G:$G,$G743,куб!I:I),IF($E743&lt;&gt;0,SUMIF(куб!$E:$E,$E743,куб!I:I),IF($D743&lt;&gt;0,SUMIF(куб!$D:$D,$D743,куб!I:I),IF($C743&lt;&gt;0,SUMIF(куб!$C:$C,$C743,куб!I:I),IF($B743&lt;&gt;0,SUMIF(куб!$B:$B,$B743,куб!I:I),IF($G743&lt;&gt;0,SUMIF(куб!$A:$A,$G743,куб!I:I),SUMIF(куб!$A:$A,$G743,куб!I:I)))))))</f>
        <v>0</v>
      </c>
      <c r="J743" s="19" t="str">
        <f t="shared" si="237"/>
        <v>-</v>
      </c>
      <c r="K743" s="8"/>
      <c r="L743" s="17">
        <f t="shared" si="238"/>
        <v>0</v>
      </c>
      <c r="M743" s="17">
        <f t="shared" si="239"/>
        <v>0</v>
      </c>
      <c r="N743" s="12">
        <f t="shared" si="240"/>
        <v>0</v>
      </c>
      <c r="O743" s="5"/>
      <c r="P743" s="27" t="b">
        <f>IF($G743&lt;&gt;0,SUMIF(куб!$G:$G,$G743,куб!J:J),IF($E743&lt;&gt;0,SUMIF(куб!$E:$E,$E743,куб!J:J),IF($D743&lt;&gt;0,SUMIF(куб!$D:$D,$D743,куб!J:J),IF($C743&lt;&gt;0,SUMIF(куб!$C:$C,$C743,куб!J:J),IF($B743&lt;&gt;0,SUMIF(куб!$B:$B,$B743,куб!J:J))))))</f>
        <v>0</v>
      </c>
      <c r="Q743" s="27" t="b">
        <f>IF($G743&lt;&gt;0,SUMIF(куб!$G:$G,$G743,куб!K:K),IF($E743&lt;&gt;0,SUMIF(куб!$E:$E,$E743,куб!K:K),IF($D743&lt;&gt;0,SUMIF(куб!$D:$D,$D743,куб!K:K),IF($C743&lt;&gt;0,SUMIF(куб!$C:$C,$C743,куб!K:K),IF($B743&lt;&gt;0,SUMIF(куб!$B:$B,$B743,куб!K:K))))))</f>
        <v>0</v>
      </c>
      <c r="R743" s="13" t="str">
        <f t="shared" si="241"/>
        <v>-</v>
      </c>
      <c r="S743" s="5"/>
      <c r="T743" s="27" t="b">
        <f>IF($G743&lt;&gt;0,SUMIF(куб!$G:$G,$G743,куб!L:L),IF($E743&lt;&gt;0,SUMIF(куб!$E:$E,$E743,куб!L:L),IF($D743&lt;&gt;0,SUMIF(куб!$D:$D,$D743,куб!L:L),IF($C743&lt;&gt;0,SUMIF(куб!$C:$C,$C743,куб!L:L),IF($B743&lt;&gt;0,SUMIF(куб!$B:$B,$B743,куб!L:L))))))</f>
        <v>0</v>
      </c>
      <c r="U743" s="27" t="b">
        <f>IF($G743&lt;&gt;0,SUMIF(куб!$G:$G,$G743,куб!M:M),IF($E743&lt;&gt;0,SUMIF(куб!$E:$E,$E743,куб!M:M),IF($D743&lt;&gt;0,SUMIF(куб!$D:$D,$D743,куб!M:M),IF($C743&lt;&gt;0,SUMIF(куб!$C:$C,$C743,куб!M:M),IF($B743&lt;&gt;0,SUMIF(куб!$B:$B,$B743,куб!M:M))))))</f>
        <v>0</v>
      </c>
      <c r="V743" s="13" t="str">
        <f t="shared" si="242"/>
        <v>-</v>
      </c>
      <c r="W743" s="5"/>
      <c r="X743" s="27" t="b">
        <f>IF($G743&lt;&gt;0,SUMIF(куб!$G:$G,$G743,куб!N:N),IF($E743&lt;&gt;0,SUMIF(куб!$E:$E,$E743,куб!N:N),IF($D743&lt;&gt;0,SUMIF(куб!$D:$D,$D743,куб!N:N),IF($C743&lt;&gt;0,SUMIF(куб!$C:$C,$C743,куб!N:N),IF($B743&lt;&gt;0,SUMIF(куб!$B:$B,$B743,куб!N:N))))))</f>
        <v>0</v>
      </c>
      <c r="Y743" s="27" t="b">
        <f>IF($G743&lt;&gt;0,SUMIF(куб!$G:$G,$G743,куб!O:O),IF($E743&lt;&gt;0,SUMIF(куб!$E:$E,$E743,куб!O:O),IF($D743&lt;&gt;0,SUMIF(куб!$D:$D,$D743,куб!O:O),IF($C743&lt;&gt;0,SUMIF(куб!$C:$C,$C743,куб!O:O),IF($B743&lt;&gt;0,SUMIF(куб!$B:$B,$B743,куб!O:O))))))</f>
        <v>0</v>
      </c>
      <c r="Z743" s="13" t="str">
        <f t="shared" si="243"/>
        <v>-</v>
      </c>
      <c r="AA743" s="5"/>
      <c r="AB743" s="33" t="str">
        <f t="shared" si="244"/>
        <v/>
      </c>
      <c r="AC743" s="33" t="str">
        <f t="shared" si="245"/>
        <v/>
      </c>
      <c r="AD743" s="15" t="str">
        <f t="shared" si="246"/>
        <v xml:space="preserve"> </v>
      </c>
      <c r="AE743" s="5"/>
      <c r="AF743" s="27" t="b">
        <f>IF($G743&lt;&gt;0,SUMIF(куб!$G:$G,$G743,куб!R:R),IF($E743&lt;&gt;0,SUMIF(куб!$E:$E,$E743,куб!R:R),IF($D743&lt;&gt;0,SUMIF(куб!$D:$D,$D743,куб!R:R),IF($C743&lt;&gt;0,SUMIF(куб!$C:$C,$C743,куб!R:R),IF($B743&lt;&gt;0,SUMIF(куб!$B:$B,$B743,куб!R:R))))))</f>
        <v>0</v>
      </c>
      <c r="AG743" s="27" t="b">
        <f>IF($G743&lt;&gt;0,SUMIF(куб!$G:$G,$G743,куб!S:S),IF($E743&lt;&gt;0,SUMIF(куб!$E:$E,$E743,куб!S:S),IF($D743&lt;&gt;0,SUMIF(куб!$D:$D,$D743,куб!S:S),IF($C743&lt;&gt;0,SUMIF(куб!$C:$C,$C743,куб!S:S),IF($B743&lt;&gt;0,SUMIF(куб!$B:$B,$B743,куб!S:S))))))</f>
        <v>0</v>
      </c>
      <c r="AH743" s="16" t="str">
        <f t="shared" si="247"/>
        <v>-</v>
      </c>
      <c r="AI743" s="8"/>
      <c r="AJ743" s="27" t="b">
        <f>IF($G743&lt;&gt;0,SUMIF(куб!$G:$G,$G743,куб!T:T),IF($E743&lt;&gt;0,SUMIF(куб!$E:$E,$E743,куб!T:T),IF($D743&lt;&gt;0,SUMIF(куб!$D:$D,$D743,куб!T:T),IF($C743&lt;&gt;0,SUMIF(куб!$C:$C,$C743,куб!T:T),IF($B743&lt;&gt;0,SUMIF(куб!$B:$B,$B743,куб!T:T))))))</f>
        <v>0</v>
      </c>
      <c r="AK743" s="27" t="b">
        <f>IF($G743&lt;&gt;0,SUMIF(куб!$G:$G,$G743,куб!U:U),IF($E743&lt;&gt;0,SUMIF(куб!$E:$E,$E743,куб!U:U),IF($D743&lt;&gt;0,SUMIF(куб!$D:$D,$D743,куб!U:U),IF($C743&lt;&gt;0,SUMIF(куб!$C:$C,$C743,куб!U:U),IF($B743&lt;&gt;0,SUMIF(куб!$B:$B,$B743,куб!U:U))))))</f>
        <v>0</v>
      </c>
      <c r="AL743" s="16" t="str">
        <f t="shared" si="248"/>
        <v>-</v>
      </c>
      <c r="AM743" s="8"/>
      <c r="AN743" s="17" t="str">
        <f t="shared" si="249"/>
        <v xml:space="preserve"> </v>
      </c>
      <c r="AO743" s="17" t="str">
        <f t="shared" si="250"/>
        <v xml:space="preserve"> </v>
      </c>
      <c r="AP743" s="16" t="str">
        <f t="shared" si="251"/>
        <v>-</v>
      </c>
      <c r="AQ743" s="8"/>
      <c r="AR743" s="17" t="str">
        <f t="shared" si="252"/>
        <v>-</v>
      </c>
      <c r="AS743" s="17" t="str">
        <f t="shared" si="253"/>
        <v>-</v>
      </c>
      <c r="AT743" s="13" t="str">
        <f t="shared" si="254"/>
        <v>-</v>
      </c>
      <c r="AU743" s="8"/>
    </row>
    <row r="744" spans="1:47" x14ac:dyDescent="0.25">
      <c r="A744" s="31"/>
      <c r="B744" s="31"/>
      <c r="C744"/>
      <c r="D744" s="31"/>
      <c r="E744"/>
      <c r="F744" s="31"/>
      <c r="G744"/>
      <c r="H744" s="27">
        <f>IF($G744&lt;&gt;0,SUMIF(куб!$G:$G,$G744,куб!H:H),IF($E744&lt;&gt;0,SUMIF(куб!$E:$E,$E744,куб!H:H),IF($D744&lt;&gt;0,SUMIF(куб!$D:$D,$D744,куб!H:H),IF($C744&lt;&gt;0,SUMIF(куб!$C:$C,$C744,куб!H:H),IF($B744&lt;&gt;0,SUMIF(куб!$B:$B,$B744,куб!H:H),IF($G744&lt;&gt;0,SUMIF(куб!$A:$A,$G744,куб!H:H),SUMIF(куб!$A:$A,$G744,куб!H:H)))))))</f>
        <v>0</v>
      </c>
      <c r="I744" s="27">
        <f>IF($G744&lt;&gt;0,SUMIF(куб!$G:$G,$G744,куб!I:I),IF($E744&lt;&gt;0,SUMIF(куб!$E:$E,$E744,куб!I:I),IF($D744&lt;&gt;0,SUMIF(куб!$D:$D,$D744,куб!I:I),IF($C744&lt;&gt;0,SUMIF(куб!$C:$C,$C744,куб!I:I),IF($B744&lt;&gt;0,SUMIF(куб!$B:$B,$B744,куб!I:I),IF($G744&lt;&gt;0,SUMIF(куб!$A:$A,$G744,куб!I:I),SUMIF(куб!$A:$A,$G744,куб!I:I)))))))</f>
        <v>0</v>
      </c>
      <c r="J744" s="19" t="str">
        <f t="shared" si="237"/>
        <v>-</v>
      </c>
      <c r="K744" s="8"/>
      <c r="L744" s="17">
        <f t="shared" si="238"/>
        <v>0</v>
      </c>
      <c r="M744" s="17">
        <f t="shared" si="239"/>
        <v>0</v>
      </c>
      <c r="N744" s="12">
        <f t="shared" si="240"/>
        <v>0</v>
      </c>
      <c r="O744" s="5"/>
      <c r="P744" s="27" t="b">
        <f>IF($G744&lt;&gt;0,SUMIF(куб!$G:$G,$G744,куб!J:J),IF($E744&lt;&gt;0,SUMIF(куб!$E:$E,$E744,куб!J:J),IF($D744&lt;&gt;0,SUMIF(куб!$D:$D,$D744,куб!J:J),IF($C744&lt;&gt;0,SUMIF(куб!$C:$C,$C744,куб!J:J),IF($B744&lt;&gt;0,SUMIF(куб!$B:$B,$B744,куб!J:J))))))</f>
        <v>0</v>
      </c>
      <c r="Q744" s="27" t="b">
        <f>IF($G744&lt;&gt;0,SUMIF(куб!$G:$G,$G744,куб!K:K),IF($E744&lt;&gt;0,SUMIF(куб!$E:$E,$E744,куб!K:K),IF($D744&lt;&gt;0,SUMIF(куб!$D:$D,$D744,куб!K:K),IF($C744&lt;&gt;0,SUMIF(куб!$C:$C,$C744,куб!K:K),IF($B744&lt;&gt;0,SUMIF(куб!$B:$B,$B744,куб!K:K))))))</f>
        <v>0</v>
      </c>
      <c r="R744" s="13" t="str">
        <f t="shared" si="241"/>
        <v>-</v>
      </c>
      <c r="S744" s="5"/>
      <c r="T744" s="27" t="b">
        <f>IF($G744&lt;&gt;0,SUMIF(куб!$G:$G,$G744,куб!L:L),IF($E744&lt;&gt;0,SUMIF(куб!$E:$E,$E744,куб!L:L),IF($D744&lt;&gt;0,SUMIF(куб!$D:$D,$D744,куб!L:L),IF($C744&lt;&gt;0,SUMIF(куб!$C:$C,$C744,куб!L:L),IF($B744&lt;&gt;0,SUMIF(куб!$B:$B,$B744,куб!L:L))))))</f>
        <v>0</v>
      </c>
      <c r="U744" s="27" t="b">
        <f>IF($G744&lt;&gt;0,SUMIF(куб!$G:$G,$G744,куб!M:M),IF($E744&lt;&gt;0,SUMIF(куб!$E:$E,$E744,куб!M:M),IF($D744&lt;&gt;0,SUMIF(куб!$D:$D,$D744,куб!M:M),IF($C744&lt;&gt;0,SUMIF(куб!$C:$C,$C744,куб!M:M),IF($B744&lt;&gt;0,SUMIF(куб!$B:$B,$B744,куб!M:M))))))</f>
        <v>0</v>
      </c>
      <c r="V744" s="13" t="str">
        <f t="shared" si="242"/>
        <v>-</v>
      </c>
      <c r="W744" s="5"/>
      <c r="X744" s="27" t="b">
        <f>IF($G744&lt;&gt;0,SUMIF(куб!$G:$G,$G744,куб!N:N),IF($E744&lt;&gt;0,SUMIF(куб!$E:$E,$E744,куб!N:N),IF($D744&lt;&gt;0,SUMIF(куб!$D:$D,$D744,куб!N:N),IF($C744&lt;&gt;0,SUMIF(куб!$C:$C,$C744,куб!N:N),IF($B744&lt;&gt;0,SUMIF(куб!$B:$B,$B744,куб!N:N))))))</f>
        <v>0</v>
      </c>
      <c r="Y744" s="27" t="b">
        <f>IF($G744&lt;&gt;0,SUMIF(куб!$G:$G,$G744,куб!O:O),IF($E744&lt;&gt;0,SUMIF(куб!$E:$E,$E744,куб!O:O),IF($D744&lt;&gt;0,SUMIF(куб!$D:$D,$D744,куб!O:O),IF($C744&lt;&gt;0,SUMIF(куб!$C:$C,$C744,куб!O:O),IF($B744&lt;&gt;0,SUMIF(куб!$B:$B,$B744,куб!O:O))))))</f>
        <v>0</v>
      </c>
      <c r="Z744" s="13" t="str">
        <f t="shared" si="243"/>
        <v>-</v>
      </c>
      <c r="AA744" s="5"/>
      <c r="AB744" s="33" t="str">
        <f t="shared" si="244"/>
        <v/>
      </c>
      <c r="AC744" s="33" t="str">
        <f t="shared" si="245"/>
        <v/>
      </c>
      <c r="AD744" s="15" t="str">
        <f t="shared" si="246"/>
        <v xml:space="preserve"> </v>
      </c>
      <c r="AE744" s="5"/>
      <c r="AF744" s="27" t="b">
        <f>IF($G744&lt;&gt;0,SUMIF(куб!$G:$G,$G744,куб!R:R),IF($E744&lt;&gt;0,SUMIF(куб!$E:$E,$E744,куб!R:R),IF($D744&lt;&gt;0,SUMIF(куб!$D:$D,$D744,куб!R:R),IF($C744&lt;&gt;0,SUMIF(куб!$C:$C,$C744,куб!R:R),IF($B744&lt;&gt;0,SUMIF(куб!$B:$B,$B744,куб!R:R))))))</f>
        <v>0</v>
      </c>
      <c r="AG744" s="27" t="b">
        <f>IF($G744&lt;&gt;0,SUMIF(куб!$G:$G,$G744,куб!S:S),IF($E744&lt;&gt;0,SUMIF(куб!$E:$E,$E744,куб!S:S),IF($D744&lt;&gt;0,SUMIF(куб!$D:$D,$D744,куб!S:S),IF($C744&lt;&gt;0,SUMIF(куб!$C:$C,$C744,куб!S:S),IF($B744&lt;&gt;0,SUMIF(куб!$B:$B,$B744,куб!S:S))))))</f>
        <v>0</v>
      </c>
      <c r="AH744" s="16" t="str">
        <f t="shared" si="247"/>
        <v>-</v>
      </c>
      <c r="AI744" s="8"/>
      <c r="AJ744" s="27" t="b">
        <f>IF($G744&lt;&gt;0,SUMIF(куб!$G:$G,$G744,куб!T:T),IF($E744&lt;&gt;0,SUMIF(куб!$E:$E,$E744,куб!T:T),IF($D744&lt;&gt;0,SUMIF(куб!$D:$D,$D744,куб!T:T),IF($C744&lt;&gt;0,SUMIF(куб!$C:$C,$C744,куб!T:T),IF($B744&lt;&gt;0,SUMIF(куб!$B:$B,$B744,куб!T:T))))))</f>
        <v>0</v>
      </c>
      <c r="AK744" s="27" t="b">
        <f>IF($G744&lt;&gt;0,SUMIF(куб!$G:$G,$G744,куб!U:U),IF($E744&lt;&gt;0,SUMIF(куб!$E:$E,$E744,куб!U:U),IF($D744&lt;&gt;0,SUMIF(куб!$D:$D,$D744,куб!U:U),IF($C744&lt;&gt;0,SUMIF(куб!$C:$C,$C744,куб!U:U),IF($B744&lt;&gt;0,SUMIF(куб!$B:$B,$B744,куб!U:U))))))</f>
        <v>0</v>
      </c>
      <c r="AL744" s="16" t="str">
        <f t="shared" si="248"/>
        <v>-</v>
      </c>
      <c r="AM744" s="8"/>
      <c r="AN744" s="17" t="str">
        <f t="shared" si="249"/>
        <v xml:space="preserve"> </v>
      </c>
      <c r="AO744" s="17" t="str">
        <f t="shared" si="250"/>
        <v xml:space="preserve"> </v>
      </c>
      <c r="AP744" s="16" t="str">
        <f t="shared" si="251"/>
        <v>-</v>
      </c>
      <c r="AQ744" s="8"/>
      <c r="AR744" s="17" t="str">
        <f t="shared" si="252"/>
        <v>-</v>
      </c>
      <c r="AS744" s="17" t="str">
        <f t="shared" si="253"/>
        <v>-</v>
      </c>
      <c r="AT744" s="13" t="str">
        <f t="shared" si="254"/>
        <v>-</v>
      </c>
      <c r="AU744" s="8"/>
    </row>
    <row r="745" spans="1:47" x14ac:dyDescent="0.25">
      <c r="A745" s="31"/>
      <c r="B745" s="31"/>
      <c r="C745"/>
      <c r="D745" s="31"/>
      <c r="E745"/>
      <c r="F745" s="31"/>
      <c r="G745"/>
      <c r="H745" s="27">
        <f>IF($G745&lt;&gt;0,SUMIF(куб!$G:$G,$G745,куб!H:H),IF($E745&lt;&gt;0,SUMIF(куб!$E:$E,$E745,куб!H:H),IF($D745&lt;&gt;0,SUMIF(куб!$D:$D,$D745,куб!H:H),IF($C745&lt;&gt;0,SUMIF(куб!$C:$C,$C745,куб!H:H),IF($B745&lt;&gt;0,SUMIF(куб!$B:$B,$B745,куб!H:H),IF($G745&lt;&gt;0,SUMIF(куб!$A:$A,$G745,куб!H:H),SUMIF(куб!$A:$A,$G745,куб!H:H)))))))</f>
        <v>0</v>
      </c>
      <c r="I745" s="27">
        <f>IF($G745&lt;&gt;0,SUMIF(куб!$G:$G,$G745,куб!I:I),IF($E745&lt;&gt;0,SUMIF(куб!$E:$E,$E745,куб!I:I),IF($D745&lt;&gt;0,SUMIF(куб!$D:$D,$D745,куб!I:I),IF($C745&lt;&gt;0,SUMIF(куб!$C:$C,$C745,куб!I:I),IF($B745&lt;&gt;0,SUMIF(куб!$B:$B,$B745,куб!I:I),IF($G745&lt;&gt;0,SUMIF(куб!$A:$A,$G745,куб!I:I),SUMIF(куб!$A:$A,$G745,куб!I:I)))))))</f>
        <v>0</v>
      </c>
      <c r="J745" s="19" t="str">
        <f t="shared" si="237"/>
        <v>-</v>
      </c>
      <c r="K745" s="8"/>
      <c r="L745" s="17">
        <f t="shared" si="238"/>
        <v>0</v>
      </c>
      <c r="M745" s="17">
        <f t="shared" si="239"/>
        <v>0</v>
      </c>
      <c r="N745" s="12">
        <f t="shared" si="240"/>
        <v>0</v>
      </c>
      <c r="O745" s="5"/>
      <c r="P745" s="27" t="b">
        <f>IF($G745&lt;&gt;0,SUMIF(куб!$G:$G,$G745,куб!J:J),IF($E745&lt;&gt;0,SUMIF(куб!$E:$E,$E745,куб!J:J),IF($D745&lt;&gt;0,SUMIF(куб!$D:$D,$D745,куб!J:J),IF($C745&lt;&gt;0,SUMIF(куб!$C:$C,$C745,куб!J:J),IF($B745&lt;&gt;0,SUMIF(куб!$B:$B,$B745,куб!J:J))))))</f>
        <v>0</v>
      </c>
      <c r="Q745" s="27" t="b">
        <f>IF($G745&lt;&gt;0,SUMIF(куб!$G:$G,$G745,куб!K:K),IF($E745&lt;&gt;0,SUMIF(куб!$E:$E,$E745,куб!K:K),IF($D745&lt;&gt;0,SUMIF(куб!$D:$D,$D745,куб!K:K),IF($C745&lt;&gt;0,SUMIF(куб!$C:$C,$C745,куб!K:K),IF($B745&lt;&gt;0,SUMIF(куб!$B:$B,$B745,куб!K:K))))))</f>
        <v>0</v>
      </c>
      <c r="R745" s="13" t="str">
        <f t="shared" si="241"/>
        <v>-</v>
      </c>
      <c r="S745" s="5"/>
      <c r="T745" s="27" t="b">
        <f>IF($G745&lt;&gt;0,SUMIF(куб!$G:$G,$G745,куб!L:L),IF($E745&lt;&gt;0,SUMIF(куб!$E:$E,$E745,куб!L:L),IF($D745&lt;&gt;0,SUMIF(куб!$D:$D,$D745,куб!L:L),IF($C745&lt;&gt;0,SUMIF(куб!$C:$C,$C745,куб!L:L),IF($B745&lt;&gt;0,SUMIF(куб!$B:$B,$B745,куб!L:L))))))</f>
        <v>0</v>
      </c>
      <c r="U745" s="27" t="b">
        <f>IF($G745&lt;&gt;0,SUMIF(куб!$G:$G,$G745,куб!M:M),IF($E745&lt;&gt;0,SUMIF(куб!$E:$E,$E745,куб!M:M),IF($D745&lt;&gt;0,SUMIF(куб!$D:$D,$D745,куб!M:M),IF($C745&lt;&gt;0,SUMIF(куб!$C:$C,$C745,куб!M:M),IF($B745&lt;&gt;0,SUMIF(куб!$B:$B,$B745,куб!M:M))))))</f>
        <v>0</v>
      </c>
      <c r="V745" s="13" t="str">
        <f t="shared" si="242"/>
        <v>-</v>
      </c>
      <c r="W745" s="5"/>
      <c r="X745" s="27" t="b">
        <f>IF($G745&lt;&gt;0,SUMIF(куб!$G:$G,$G745,куб!N:N),IF($E745&lt;&gt;0,SUMIF(куб!$E:$E,$E745,куб!N:N),IF($D745&lt;&gt;0,SUMIF(куб!$D:$D,$D745,куб!N:N),IF($C745&lt;&gt;0,SUMIF(куб!$C:$C,$C745,куб!N:N),IF($B745&lt;&gt;0,SUMIF(куб!$B:$B,$B745,куб!N:N))))))</f>
        <v>0</v>
      </c>
      <c r="Y745" s="27" t="b">
        <f>IF($G745&lt;&gt;0,SUMIF(куб!$G:$G,$G745,куб!O:O),IF($E745&lt;&gt;0,SUMIF(куб!$E:$E,$E745,куб!O:O),IF($D745&lt;&gt;0,SUMIF(куб!$D:$D,$D745,куб!O:O),IF($C745&lt;&gt;0,SUMIF(куб!$C:$C,$C745,куб!O:O),IF($B745&lt;&gt;0,SUMIF(куб!$B:$B,$B745,куб!O:O))))))</f>
        <v>0</v>
      </c>
      <c r="Z745" s="13" t="str">
        <f t="shared" si="243"/>
        <v>-</v>
      </c>
      <c r="AA745" s="5"/>
      <c r="AB745" s="33" t="str">
        <f t="shared" si="244"/>
        <v/>
      </c>
      <c r="AC745" s="33" t="str">
        <f t="shared" si="245"/>
        <v/>
      </c>
      <c r="AD745" s="15" t="str">
        <f t="shared" si="246"/>
        <v xml:space="preserve"> </v>
      </c>
      <c r="AE745" s="5"/>
      <c r="AF745" s="27" t="b">
        <f>IF($G745&lt;&gt;0,SUMIF(куб!$G:$G,$G745,куб!R:R),IF($E745&lt;&gt;0,SUMIF(куб!$E:$E,$E745,куб!R:R),IF($D745&lt;&gt;0,SUMIF(куб!$D:$D,$D745,куб!R:R),IF($C745&lt;&gt;0,SUMIF(куб!$C:$C,$C745,куб!R:R),IF($B745&lt;&gt;0,SUMIF(куб!$B:$B,$B745,куб!R:R))))))</f>
        <v>0</v>
      </c>
      <c r="AG745" s="27" t="b">
        <f>IF($G745&lt;&gt;0,SUMIF(куб!$G:$G,$G745,куб!S:S),IF($E745&lt;&gt;0,SUMIF(куб!$E:$E,$E745,куб!S:S),IF($D745&lt;&gt;0,SUMIF(куб!$D:$D,$D745,куб!S:S),IF($C745&lt;&gt;0,SUMIF(куб!$C:$C,$C745,куб!S:S),IF($B745&lt;&gt;0,SUMIF(куб!$B:$B,$B745,куб!S:S))))))</f>
        <v>0</v>
      </c>
      <c r="AH745" s="16" t="str">
        <f t="shared" si="247"/>
        <v>-</v>
      </c>
      <c r="AI745" s="8"/>
      <c r="AJ745" s="27" t="b">
        <f>IF($G745&lt;&gt;0,SUMIF(куб!$G:$G,$G745,куб!T:T),IF($E745&lt;&gt;0,SUMIF(куб!$E:$E,$E745,куб!T:T),IF($D745&lt;&gt;0,SUMIF(куб!$D:$D,$D745,куб!T:T),IF($C745&lt;&gt;0,SUMIF(куб!$C:$C,$C745,куб!T:T),IF($B745&lt;&gt;0,SUMIF(куб!$B:$B,$B745,куб!T:T))))))</f>
        <v>0</v>
      </c>
      <c r="AK745" s="27" t="b">
        <f>IF($G745&lt;&gt;0,SUMIF(куб!$G:$G,$G745,куб!U:U),IF($E745&lt;&gt;0,SUMIF(куб!$E:$E,$E745,куб!U:U),IF($D745&lt;&gt;0,SUMIF(куб!$D:$D,$D745,куб!U:U),IF($C745&lt;&gt;0,SUMIF(куб!$C:$C,$C745,куб!U:U),IF($B745&lt;&gt;0,SUMIF(куб!$B:$B,$B745,куб!U:U))))))</f>
        <v>0</v>
      </c>
      <c r="AL745" s="16" t="str">
        <f t="shared" si="248"/>
        <v>-</v>
      </c>
      <c r="AM745" s="8"/>
      <c r="AN745" s="17" t="str">
        <f t="shared" si="249"/>
        <v xml:space="preserve"> </v>
      </c>
      <c r="AO745" s="17" t="str">
        <f t="shared" si="250"/>
        <v xml:space="preserve"> </v>
      </c>
      <c r="AP745" s="16" t="str">
        <f t="shared" si="251"/>
        <v>-</v>
      </c>
      <c r="AQ745" s="8"/>
      <c r="AR745" s="17" t="str">
        <f t="shared" si="252"/>
        <v>-</v>
      </c>
      <c r="AS745" s="17" t="str">
        <f t="shared" si="253"/>
        <v>-</v>
      </c>
      <c r="AT745" s="13" t="str">
        <f t="shared" si="254"/>
        <v>-</v>
      </c>
      <c r="AU745" s="8"/>
    </row>
    <row r="746" spans="1:47" x14ac:dyDescent="0.25">
      <c r="A746" s="31"/>
      <c r="B746" s="31"/>
      <c r="C746"/>
      <c r="D746" s="31"/>
      <c r="E746"/>
      <c r="F746"/>
      <c r="G746"/>
      <c r="H746" s="27">
        <f>IF($G746&lt;&gt;0,SUMIF(куб!$G:$G,$G746,куб!H:H),IF($E746&lt;&gt;0,SUMIF(куб!$E:$E,$E746,куб!H:H),IF($D746&lt;&gt;0,SUMIF(куб!$D:$D,$D746,куб!H:H),IF($C746&lt;&gt;0,SUMIF(куб!$C:$C,$C746,куб!H:H),IF($B746&lt;&gt;0,SUMIF(куб!$B:$B,$B746,куб!H:H),IF($G746&lt;&gt;0,SUMIF(куб!$A:$A,$G746,куб!H:H),SUMIF(куб!$A:$A,$G746,куб!H:H)))))))</f>
        <v>0</v>
      </c>
      <c r="I746" s="27">
        <f>IF($G746&lt;&gt;0,SUMIF(куб!$G:$G,$G746,куб!I:I),IF($E746&lt;&gt;0,SUMIF(куб!$E:$E,$E746,куб!I:I),IF($D746&lt;&gt;0,SUMIF(куб!$D:$D,$D746,куб!I:I),IF($C746&lt;&gt;0,SUMIF(куб!$C:$C,$C746,куб!I:I),IF($B746&lt;&gt;0,SUMIF(куб!$B:$B,$B746,куб!I:I),IF($G746&lt;&gt;0,SUMIF(куб!$A:$A,$G746,куб!I:I),SUMIF(куб!$A:$A,$G746,куб!I:I)))))))</f>
        <v>0</v>
      </c>
      <c r="J746" s="19" t="str">
        <f t="shared" si="237"/>
        <v>-</v>
      </c>
      <c r="K746" s="8"/>
      <c r="L746" s="17">
        <f t="shared" si="238"/>
        <v>0</v>
      </c>
      <c r="M746" s="17">
        <f t="shared" si="239"/>
        <v>0</v>
      </c>
      <c r="N746" s="12">
        <f t="shared" si="240"/>
        <v>0</v>
      </c>
      <c r="O746" s="5"/>
      <c r="P746" s="27" t="b">
        <f>IF($G746&lt;&gt;0,SUMIF(куб!$G:$G,$G746,куб!J:J),IF($E746&lt;&gt;0,SUMIF(куб!$E:$E,$E746,куб!J:J),IF($D746&lt;&gt;0,SUMIF(куб!$D:$D,$D746,куб!J:J),IF($C746&lt;&gt;0,SUMIF(куб!$C:$C,$C746,куб!J:J),IF($B746&lt;&gt;0,SUMIF(куб!$B:$B,$B746,куб!J:J))))))</f>
        <v>0</v>
      </c>
      <c r="Q746" s="27" t="b">
        <f>IF($G746&lt;&gt;0,SUMIF(куб!$G:$G,$G746,куб!K:K),IF($E746&lt;&gt;0,SUMIF(куб!$E:$E,$E746,куб!K:K),IF($D746&lt;&gt;0,SUMIF(куб!$D:$D,$D746,куб!K:K),IF($C746&lt;&gt;0,SUMIF(куб!$C:$C,$C746,куб!K:K),IF($B746&lt;&gt;0,SUMIF(куб!$B:$B,$B746,куб!K:K))))))</f>
        <v>0</v>
      </c>
      <c r="R746" s="13" t="str">
        <f t="shared" si="241"/>
        <v>-</v>
      </c>
      <c r="S746" s="5"/>
      <c r="T746" s="27" t="b">
        <f>IF($G746&lt;&gt;0,SUMIF(куб!$G:$G,$G746,куб!L:L),IF($E746&lt;&gt;0,SUMIF(куб!$E:$E,$E746,куб!L:L),IF($D746&lt;&gt;0,SUMIF(куб!$D:$D,$D746,куб!L:L),IF($C746&lt;&gt;0,SUMIF(куб!$C:$C,$C746,куб!L:L),IF($B746&lt;&gt;0,SUMIF(куб!$B:$B,$B746,куб!L:L))))))</f>
        <v>0</v>
      </c>
      <c r="U746" s="27" t="b">
        <f>IF($G746&lt;&gt;0,SUMIF(куб!$G:$G,$G746,куб!M:M),IF($E746&lt;&gt;0,SUMIF(куб!$E:$E,$E746,куб!M:M),IF($D746&lt;&gt;0,SUMIF(куб!$D:$D,$D746,куб!M:M),IF($C746&lt;&gt;0,SUMIF(куб!$C:$C,$C746,куб!M:M),IF($B746&lt;&gt;0,SUMIF(куб!$B:$B,$B746,куб!M:M))))))</f>
        <v>0</v>
      </c>
      <c r="V746" s="13" t="str">
        <f t="shared" si="242"/>
        <v>-</v>
      </c>
      <c r="W746" s="5"/>
      <c r="X746" s="27" t="b">
        <f>IF($G746&lt;&gt;0,SUMIF(куб!$G:$G,$G746,куб!N:N),IF($E746&lt;&gt;0,SUMIF(куб!$E:$E,$E746,куб!N:N),IF($D746&lt;&gt;0,SUMIF(куб!$D:$D,$D746,куб!N:N),IF($C746&lt;&gt;0,SUMIF(куб!$C:$C,$C746,куб!N:N),IF($B746&lt;&gt;0,SUMIF(куб!$B:$B,$B746,куб!N:N))))))</f>
        <v>0</v>
      </c>
      <c r="Y746" s="27" t="b">
        <f>IF($G746&lt;&gt;0,SUMIF(куб!$G:$G,$G746,куб!O:O),IF($E746&lt;&gt;0,SUMIF(куб!$E:$E,$E746,куб!O:O),IF($D746&lt;&gt;0,SUMIF(куб!$D:$D,$D746,куб!O:O),IF($C746&lt;&gt;0,SUMIF(куб!$C:$C,$C746,куб!O:O),IF($B746&lt;&gt;0,SUMIF(куб!$B:$B,$B746,куб!O:O))))))</f>
        <v>0</v>
      </c>
      <c r="Z746" s="13" t="str">
        <f t="shared" si="243"/>
        <v>-</v>
      </c>
      <c r="AA746" s="5"/>
      <c r="AB746" s="33" t="str">
        <f t="shared" si="244"/>
        <v/>
      </c>
      <c r="AC746" s="33" t="str">
        <f t="shared" si="245"/>
        <v/>
      </c>
      <c r="AD746" s="15" t="str">
        <f t="shared" si="246"/>
        <v xml:space="preserve"> </v>
      </c>
      <c r="AE746" s="5"/>
      <c r="AF746" s="27" t="b">
        <f>IF($G746&lt;&gt;0,SUMIF(куб!$G:$G,$G746,куб!R:R),IF($E746&lt;&gt;0,SUMIF(куб!$E:$E,$E746,куб!R:R),IF($D746&lt;&gt;0,SUMIF(куб!$D:$D,$D746,куб!R:R),IF($C746&lt;&gt;0,SUMIF(куб!$C:$C,$C746,куб!R:R),IF($B746&lt;&gt;0,SUMIF(куб!$B:$B,$B746,куб!R:R))))))</f>
        <v>0</v>
      </c>
      <c r="AG746" s="27" t="b">
        <f>IF($G746&lt;&gt;0,SUMIF(куб!$G:$G,$G746,куб!S:S),IF($E746&lt;&gt;0,SUMIF(куб!$E:$E,$E746,куб!S:S),IF($D746&lt;&gt;0,SUMIF(куб!$D:$D,$D746,куб!S:S),IF($C746&lt;&gt;0,SUMIF(куб!$C:$C,$C746,куб!S:S),IF($B746&lt;&gt;0,SUMIF(куб!$B:$B,$B746,куб!S:S))))))</f>
        <v>0</v>
      </c>
      <c r="AH746" s="16" t="str">
        <f t="shared" si="247"/>
        <v>-</v>
      </c>
      <c r="AI746" s="8"/>
      <c r="AJ746" s="27" t="b">
        <f>IF($G746&lt;&gt;0,SUMIF(куб!$G:$G,$G746,куб!T:T),IF($E746&lt;&gt;0,SUMIF(куб!$E:$E,$E746,куб!T:T),IF($D746&lt;&gt;0,SUMIF(куб!$D:$D,$D746,куб!T:T),IF($C746&lt;&gt;0,SUMIF(куб!$C:$C,$C746,куб!T:T),IF($B746&lt;&gt;0,SUMIF(куб!$B:$B,$B746,куб!T:T))))))</f>
        <v>0</v>
      </c>
      <c r="AK746" s="27" t="b">
        <f>IF($G746&lt;&gt;0,SUMIF(куб!$G:$G,$G746,куб!U:U),IF($E746&lt;&gt;0,SUMIF(куб!$E:$E,$E746,куб!U:U),IF($D746&lt;&gt;0,SUMIF(куб!$D:$D,$D746,куб!U:U),IF($C746&lt;&gt;0,SUMIF(куб!$C:$C,$C746,куб!U:U),IF($B746&lt;&gt;0,SUMIF(куб!$B:$B,$B746,куб!U:U))))))</f>
        <v>0</v>
      </c>
      <c r="AL746" s="16" t="str">
        <f t="shared" si="248"/>
        <v>-</v>
      </c>
      <c r="AM746" s="8"/>
      <c r="AN746" s="17" t="str">
        <f t="shared" si="249"/>
        <v xml:space="preserve"> </v>
      </c>
      <c r="AO746" s="17" t="str">
        <f t="shared" si="250"/>
        <v xml:space="preserve"> </v>
      </c>
      <c r="AP746" s="16" t="str">
        <f t="shared" si="251"/>
        <v>-</v>
      </c>
      <c r="AQ746" s="8"/>
      <c r="AR746" s="17" t="str">
        <f t="shared" si="252"/>
        <v>-</v>
      </c>
      <c r="AS746" s="17" t="str">
        <f t="shared" si="253"/>
        <v>-</v>
      </c>
      <c r="AT746" s="13" t="str">
        <f t="shared" si="254"/>
        <v>-</v>
      </c>
      <c r="AU746" s="8"/>
    </row>
    <row r="747" spans="1:47" x14ac:dyDescent="0.25">
      <c r="A747" s="31"/>
      <c r="B747" s="31"/>
      <c r="C747"/>
      <c r="D747" s="31"/>
      <c r="E747" s="31"/>
      <c r="F747" s="31"/>
      <c r="G747" s="31"/>
      <c r="H747" s="27">
        <f>IF($G747&lt;&gt;0,SUMIF(куб!$G:$G,$G747,куб!H:H),IF($E747&lt;&gt;0,SUMIF(куб!$E:$E,$E747,куб!H:H),IF($D747&lt;&gt;0,SUMIF(куб!$D:$D,$D747,куб!H:H),IF($C747&lt;&gt;0,SUMIF(куб!$C:$C,$C747,куб!H:H),IF($B747&lt;&gt;0,SUMIF(куб!$B:$B,$B747,куб!H:H),IF($G747&lt;&gt;0,SUMIF(куб!$A:$A,$G747,куб!H:H),SUMIF(куб!$A:$A,$G747,куб!H:H)))))))</f>
        <v>0</v>
      </c>
      <c r="I747" s="27">
        <f>IF($G747&lt;&gt;0,SUMIF(куб!$G:$G,$G747,куб!I:I),IF($E747&lt;&gt;0,SUMIF(куб!$E:$E,$E747,куб!I:I),IF($D747&lt;&gt;0,SUMIF(куб!$D:$D,$D747,куб!I:I),IF($C747&lt;&gt;0,SUMIF(куб!$C:$C,$C747,куб!I:I),IF($B747&lt;&gt;0,SUMIF(куб!$B:$B,$B747,куб!I:I),IF($G747&lt;&gt;0,SUMIF(куб!$A:$A,$G747,куб!I:I),SUMIF(куб!$A:$A,$G747,куб!I:I)))))))</f>
        <v>0</v>
      </c>
      <c r="J747" s="19" t="str">
        <f t="shared" si="237"/>
        <v>-</v>
      </c>
      <c r="K747" s="8"/>
      <c r="L747" s="17">
        <f t="shared" si="238"/>
        <v>0</v>
      </c>
      <c r="M747" s="17">
        <f t="shared" si="239"/>
        <v>0</v>
      </c>
      <c r="N747" s="12">
        <f t="shared" si="240"/>
        <v>0</v>
      </c>
      <c r="O747" s="5"/>
      <c r="P747" s="27" t="b">
        <f>IF($G747&lt;&gt;0,SUMIF(куб!$G:$G,$G747,куб!J:J),IF($E747&lt;&gt;0,SUMIF(куб!$E:$E,$E747,куб!J:J),IF($D747&lt;&gt;0,SUMIF(куб!$D:$D,$D747,куб!J:J),IF($C747&lt;&gt;0,SUMIF(куб!$C:$C,$C747,куб!J:J),IF($B747&lt;&gt;0,SUMIF(куб!$B:$B,$B747,куб!J:J))))))</f>
        <v>0</v>
      </c>
      <c r="Q747" s="27" t="b">
        <f>IF($G747&lt;&gt;0,SUMIF(куб!$G:$G,$G747,куб!K:K),IF($E747&lt;&gt;0,SUMIF(куб!$E:$E,$E747,куб!K:K),IF($D747&lt;&gt;0,SUMIF(куб!$D:$D,$D747,куб!K:K),IF($C747&lt;&gt;0,SUMIF(куб!$C:$C,$C747,куб!K:K),IF($B747&lt;&gt;0,SUMIF(куб!$B:$B,$B747,куб!K:K))))))</f>
        <v>0</v>
      </c>
      <c r="R747" s="13" t="str">
        <f t="shared" si="241"/>
        <v>-</v>
      </c>
      <c r="S747" s="5"/>
      <c r="T747" s="27" t="b">
        <f>IF($G747&lt;&gt;0,SUMIF(куб!$G:$G,$G747,куб!L:L),IF($E747&lt;&gt;0,SUMIF(куб!$E:$E,$E747,куб!L:L),IF($D747&lt;&gt;0,SUMIF(куб!$D:$D,$D747,куб!L:L),IF($C747&lt;&gt;0,SUMIF(куб!$C:$C,$C747,куб!L:L),IF($B747&lt;&gt;0,SUMIF(куб!$B:$B,$B747,куб!L:L))))))</f>
        <v>0</v>
      </c>
      <c r="U747" s="27" t="b">
        <f>IF($G747&lt;&gt;0,SUMIF(куб!$G:$G,$G747,куб!M:M),IF($E747&lt;&gt;0,SUMIF(куб!$E:$E,$E747,куб!M:M),IF($D747&lt;&gt;0,SUMIF(куб!$D:$D,$D747,куб!M:M),IF($C747&lt;&gt;0,SUMIF(куб!$C:$C,$C747,куб!M:M),IF($B747&lt;&gt;0,SUMIF(куб!$B:$B,$B747,куб!M:M))))))</f>
        <v>0</v>
      </c>
      <c r="V747" s="13" t="str">
        <f t="shared" si="242"/>
        <v>-</v>
      </c>
      <c r="W747" s="5"/>
      <c r="X747" s="27" t="b">
        <f>IF($G747&lt;&gt;0,SUMIF(куб!$G:$G,$G747,куб!N:N),IF($E747&lt;&gt;0,SUMIF(куб!$E:$E,$E747,куб!N:N),IF($D747&lt;&gt;0,SUMIF(куб!$D:$D,$D747,куб!N:N),IF($C747&lt;&gt;0,SUMIF(куб!$C:$C,$C747,куб!N:N),IF($B747&lt;&gt;0,SUMIF(куб!$B:$B,$B747,куб!N:N))))))</f>
        <v>0</v>
      </c>
      <c r="Y747" s="27" t="b">
        <f>IF($G747&lt;&gt;0,SUMIF(куб!$G:$G,$G747,куб!O:O),IF($E747&lt;&gt;0,SUMIF(куб!$E:$E,$E747,куб!O:O),IF($D747&lt;&gt;0,SUMIF(куб!$D:$D,$D747,куб!O:O),IF($C747&lt;&gt;0,SUMIF(куб!$C:$C,$C747,куб!O:O),IF($B747&lt;&gt;0,SUMIF(куб!$B:$B,$B747,куб!O:O))))))</f>
        <v>0</v>
      </c>
      <c r="Z747" s="13" t="str">
        <f t="shared" si="243"/>
        <v>-</v>
      </c>
      <c r="AA747" s="5"/>
      <c r="AB747" s="33" t="str">
        <f t="shared" si="244"/>
        <v/>
      </c>
      <c r="AC747" s="33" t="str">
        <f t="shared" si="245"/>
        <v/>
      </c>
      <c r="AD747" s="15" t="str">
        <f t="shared" si="246"/>
        <v xml:space="preserve"> </v>
      </c>
      <c r="AE747" s="5"/>
      <c r="AF747" s="27" t="b">
        <f>IF($G747&lt;&gt;0,SUMIF(куб!$G:$G,$G747,куб!R:R),IF($E747&lt;&gt;0,SUMIF(куб!$E:$E,$E747,куб!R:R),IF($D747&lt;&gt;0,SUMIF(куб!$D:$D,$D747,куб!R:R),IF($C747&lt;&gt;0,SUMIF(куб!$C:$C,$C747,куб!R:R),IF($B747&lt;&gt;0,SUMIF(куб!$B:$B,$B747,куб!R:R))))))</f>
        <v>0</v>
      </c>
      <c r="AG747" s="27" t="b">
        <f>IF($G747&lt;&gt;0,SUMIF(куб!$G:$G,$G747,куб!S:S),IF($E747&lt;&gt;0,SUMIF(куб!$E:$E,$E747,куб!S:S),IF($D747&lt;&gt;0,SUMIF(куб!$D:$D,$D747,куб!S:S),IF($C747&lt;&gt;0,SUMIF(куб!$C:$C,$C747,куб!S:S),IF($B747&lt;&gt;0,SUMIF(куб!$B:$B,$B747,куб!S:S))))))</f>
        <v>0</v>
      </c>
      <c r="AH747" s="16" t="str">
        <f t="shared" si="247"/>
        <v>-</v>
      </c>
      <c r="AI747" s="8"/>
      <c r="AJ747" s="27" t="b">
        <f>IF($G747&lt;&gt;0,SUMIF(куб!$G:$G,$G747,куб!T:T),IF($E747&lt;&gt;0,SUMIF(куб!$E:$E,$E747,куб!T:T),IF($D747&lt;&gt;0,SUMIF(куб!$D:$D,$D747,куб!T:T),IF($C747&lt;&gt;0,SUMIF(куб!$C:$C,$C747,куб!T:T),IF($B747&lt;&gt;0,SUMIF(куб!$B:$B,$B747,куб!T:T))))))</f>
        <v>0</v>
      </c>
      <c r="AK747" s="27" t="b">
        <f>IF($G747&lt;&gt;0,SUMIF(куб!$G:$G,$G747,куб!U:U),IF($E747&lt;&gt;0,SUMIF(куб!$E:$E,$E747,куб!U:U),IF($D747&lt;&gt;0,SUMIF(куб!$D:$D,$D747,куб!U:U),IF($C747&lt;&gt;0,SUMIF(куб!$C:$C,$C747,куб!U:U),IF($B747&lt;&gt;0,SUMIF(куб!$B:$B,$B747,куб!U:U))))))</f>
        <v>0</v>
      </c>
      <c r="AL747" s="16" t="str">
        <f t="shared" si="248"/>
        <v>-</v>
      </c>
      <c r="AM747" s="8"/>
      <c r="AN747" s="17" t="str">
        <f t="shared" si="249"/>
        <v xml:space="preserve"> </v>
      </c>
      <c r="AO747" s="17" t="str">
        <f t="shared" si="250"/>
        <v xml:space="preserve"> </v>
      </c>
      <c r="AP747" s="16" t="str">
        <f t="shared" si="251"/>
        <v>-</v>
      </c>
      <c r="AQ747" s="8"/>
      <c r="AR747" s="17" t="str">
        <f t="shared" si="252"/>
        <v>-</v>
      </c>
      <c r="AS747" s="17" t="str">
        <f t="shared" si="253"/>
        <v>-</v>
      </c>
      <c r="AT747" s="13" t="str">
        <f t="shared" si="254"/>
        <v>-</v>
      </c>
      <c r="AU747" s="8"/>
    </row>
    <row r="748" spans="1:47" x14ac:dyDescent="0.25">
      <c r="A748" s="31"/>
      <c r="B748" s="31"/>
      <c r="C748"/>
      <c r="D748" s="31"/>
      <c r="E748"/>
      <c r="F748" s="31"/>
      <c r="G748"/>
      <c r="H748" s="27">
        <f>IF($G748&lt;&gt;0,SUMIF(куб!$G:$G,$G748,куб!H:H),IF($E748&lt;&gt;0,SUMIF(куб!$E:$E,$E748,куб!H:H),IF($D748&lt;&gt;0,SUMIF(куб!$D:$D,$D748,куб!H:H),IF($C748&lt;&gt;0,SUMIF(куб!$C:$C,$C748,куб!H:H),IF($B748&lt;&gt;0,SUMIF(куб!$B:$B,$B748,куб!H:H),IF($G748&lt;&gt;0,SUMIF(куб!$A:$A,$G748,куб!H:H),SUMIF(куб!$A:$A,$G748,куб!H:H)))))))</f>
        <v>0</v>
      </c>
      <c r="I748" s="27">
        <f>IF($G748&lt;&gt;0,SUMIF(куб!$G:$G,$G748,куб!I:I),IF($E748&lt;&gt;0,SUMIF(куб!$E:$E,$E748,куб!I:I),IF($D748&lt;&gt;0,SUMIF(куб!$D:$D,$D748,куб!I:I),IF($C748&lt;&gt;0,SUMIF(куб!$C:$C,$C748,куб!I:I),IF($B748&lt;&gt;0,SUMIF(куб!$B:$B,$B748,куб!I:I),IF($G748&lt;&gt;0,SUMIF(куб!$A:$A,$G748,куб!I:I),SUMIF(куб!$A:$A,$G748,куб!I:I)))))))</f>
        <v>0</v>
      </c>
      <c r="J748" s="19" t="str">
        <f t="shared" si="237"/>
        <v>-</v>
      </c>
      <c r="K748" s="8"/>
      <c r="L748" s="17">
        <f t="shared" si="238"/>
        <v>0</v>
      </c>
      <c r="M748" s="17">
        <f t="shared" si="239"/>
        <v>0</v>
      </c>
      <c r="N748" s="12">
        <f t="shared" si="240"/>
        <v>0</v>
      </c>
      <c r="O748" s="5"/>
      <c r="P748" s="27" t="b">
        <f>IF($G748&lt;&gt;0,SUMIF(куб!$G:$G,$G748,куб!J:J),IF($E748&lt;&gt;0,SUMIF(куб!$E:$E,$E748,куб!J:J),IF($D748&lt;&gt;0,SUMIF(куб!$D:$D,$D748,куб!J:J),IF($C748&lt;&gt;0,SUMIF(куб!$C:$C,$C748,куб!J:J),IF($B748&lt;&gt;0,SUMIF(куб!$B:$B,$B748,куб!J:J))))))</f>
        <v>0</v>
      </c>
      <c r="Q748" s="27" t="b">
        <f>IF($G748&lt;&gt;0,SUMIF(куб!$G:$G,$G748,куб!K:K),IF($E748&lt;&gt;0,SUMIF(куб!$E:$E,$E748,куб!K:K),IF($D748&lt;&gt;0,SUMIF(куб!$D:$D,$D748,куб!K:K),IF($C748&lt;&gt;0,SUMIF(куб!$C:$C,$C748,куб!K:K),IF($B748&lt;&gt;0,SUMIF(куб!$B:$B,$B748,куб!K:K))))))</f>
        <v>0</v>
      </c>
      <c r="R748" s="13" t="str">
        <f t="shared" si="241"/>
        <v>-</v>
      </c>
      <c r="S748" s="5"/>
      <c r="T748" s="27" t="b">
        <f>IF($G748&lt;&gt;0,SUMIF(куб!$G:$G,$G748,куб!L:L),IF($E748&lt;&gt;0,SUMIF(куб!$E:$E,$E748,куб!L:L),IF($D748&lt;&gt;0,SUMIF(куб!$D:$D,$D748,куб!L:L),IF($C748&lt;&gt;0,SUMIF(куб!$C:$C,$C748,куб!L:L),IF($B748&lt;&gt;0,SUMIF(куб!$B:$B,$B748,куб!L:L))))))</f>
        <v>0</v>
      </c>
      <c r="U748" s="27" t="b">
        <f>IF($G748&lt;&gt;0,SUMIF(куб!$G:$G,$G748,куб!M:M),IF($E748&lt;&gt;0,SUMIF(куб!$E:$E,$E748,куб!M:M),IF($D748&lt;&gt;0,SUMIF(куб!$D:$D,$D748,куб!M:M),IF($C748&lt;&gt;0,SUMIF(куб!$C:$C,$C748,куб!M:M),IF($B748&lt;&gt;0,SUMIF(куб!$B:$B,$B748,куб!M:M))))))</f>
        <v>0</v>
      </c>
      <c r="V748" s="13" t="str">
        <f t="shared" si="242"/>
        <v>-</v>
      </c>
      <c r="W748" s="5"/>
      <c r="X748" s="27" t="b">
        <f>IF($G748&lt;&gt;0,SUMIF(куб!$G:$G,$G748,куб!N:N),IF($E748&lt;&gt;0,SUMIF(куб!$E:$E,$E748,куб!N:N),IF($D748&lt;&gt;0,SUMIF(куб!$D:$D,$D748,куб!N:N),IF($C748&lt;&gt;0,SUMIF(куб!$C:$C,$C748,куб!N:N),IF($B748&lt;&gt;0,SUMIF(куб!$B:$B,$B748,куб!N:N))))))</f>
        <v>0</v>
      </c>
      <c r="Y748" s="27" t="b">
        <f>IF($G748&lt;&gt;0,SUMIF(куб!$G:$G,$G748,куб!O:O),IF($E748&lt;&gt;0,SUMIF(куб!$E:$E,$E748,куб!O:O),IF($D748&lt;&gt;0,SUMIF(куб!$D:$D,$D748,куб!O:O),IF($C748&lt;&gt;0,SUMIF(куб!$C:$C,$C748,куб!O:O),IF($B748&lt;&gt;0,SUMIF(куб!$B:$B,$B748,куб!O:O))))))</f>
        <v>0</v>
      </c>
      <c r="Z748" s="13" t="str">
        <f t="shared" si="243"/>
        <v>-</v>
      </c>
      <c r="AA748" s="5"/>
      <c r="AB748" s="33" t="str">
        <f t="shared" si="244"/>
        <v/>
      </c>
      <c r="AC748" s="33" t="str">
        <f t="shared" si="245"/>
        <v/>
      </c>
      <c r="AD748" s="15" t="str">
        <f t="shared" si="246"/>
        <v xml:space="preserve"> </v>
      </c>
      <c r="AE748" s="5"/>
      <c r="AF748" s="27" t="b">
        <f>IF($G748&lt;&gt;0,SUMIF(куб!$G:$G,$G748,куб!R:R),IF($E748&lt;&gt;0,SUMIF(куб!$E:$E,$E748,куб!R:R),IF($D748&lt;&gt;0,SUMIF(куб!$D:$D,$D748,куб!R:R),IF($C748&lt;&gt;0,SUMIF(куб!$C:$C,$C748,куб!R:R),IF($B748&lt;&gt;0,SUMIF(куб!$B:$B,$B748,куб!R:R))))))</f>
        <v>0</v>
      </c>
      <c r="AG748" s="27" t="b">
        <f>IF($G748&lt;&gt;0,SUMIF(куб!$G:$G,$G748,куб!S:S),IF($E748&lt;&gt;0,SUMIF(куб!$E:$E,$E748,куб!S:S),IF($D748&lt;&gt;0,SUMIF(куб!$D:$D,$D748,куб!S:S),IF($C748&lt;&gt;0,SUMIF(куб!$C:$C,$C748,куб!S:S),IF($B748&lt;&gt;0,SUMIF(куб!$B:$B,$B748,куб!S:S))))))</f>
        <v>0</v>
      </c>
      <c r="AH748" s="16" t="str">
        <f t="shared" si="247"/>
        <v>-</v>
      </c>
      <c r="AI748" s="8"/>
      <c r="AJ748" s="27" t="b">
        <f>IF($G748&lt;&gt;0,SUMIF(куб!$G:$G,$G748,куб!T:T),IF($E748&lt;&gt;0,SUMIF(куб!$E:$E,$E748,куб!T:T),IF($D748&lt;&gt;0,SUMIF(куб!$D:$D,$D748,куб!T:T),IF($C748&lt;&gt;0,SUMIF(куб!$C:$C,$C748,куб!T:T),IF($B748&lt;&gt;0,SUMIF(куб!$B:$B,$B748,куб!T:T))))))</f>
        <v>0</v>
      </c>
      <c r="AK748" s="27" t="b">
        <f>IF($G748&lt;&gt;0,SUMIF(куб!$G:$G,$G748,куб!U:U),IF($E748&lt;&gt;0,SUMIF(куб!$E:$E,$E748,куб!U:U),IF($D748&lt;&gt;0,SUMIF(куб!$D:$D,$D748,куб!U:U),IF($C748&lt;&gt;0,SUMIF(куб!$C:$C,$C748,куб!U:U),IF($B748&lt;&gt;0,SUMIF(куб!$B:$B,$B748,куб!U:U))))))</f>
        <v>0</v>
      </c>
      <c r="AL748" s="16" t="str">
        <f t="shared" si="248"/>
        <v>-</v>
      </c>
      <c r="AM748" s="8"/>
      <c r="AN748" s="17" t="str">
        <f t="shared" si="249"/>
        <v xml:space="preserve"> </v>
      </c>
      <c r="AO748" s="17" t="str">
        <f t="shared" si="250"/>
        <v xml:space="preserve"> </v>
      </c>
      <c r="AP748" s="16" t="str">
        <f t="shared" si="251"/>
        <v>-</v>
      </c>
      <c r="AQ748" s="8"/>
      <c r="AR748" s="17" t="str">
        <f t="shared" si="252"/>
        <v>-</v>
      </c>
      <c r="AS748" s="17" t="str">
        <f t="shared" si="253"/>
        <v>-</v>
      </c>
      <c r="AT748" s="13" t="str">
        <f t="shared" si="254"/>
        <v>-</v>
      </c>
      <c r="AU748" s="8"/>
    </row>
    <row r="749" spans="1:47" x14ac:dyDescent="0.25">
      <c r="A749" s="31"/>
      <c r="B749" s="31"/>
      <c r="C749"/>
      <c r="D749" s="31"/>
      <c r="E749"/>
      <c r="F749" s="31"/>
      <c r="G749"/>
      <c r="H749" s="27">
        <f>IF($G749&lt;&gt;0,SUMIF(куб!$G:$G,$G749,куб!H:H),IF($E749&lt;&gt;0,SUMIF(куб!$E:$E,$E749,куб!H:H),IF($D749&lt;&gt;0,SUMIF(куб!$D:$D,$D749,куб!H:H),IF($C749&lt;&gt;0,SUMIF(куб!$C:$C,$C749,куб!H:H),IF($B749&lt;&gt;0,SUMIF(куб!$B:$B,$B749,куб!H:H),IF($G749&lt;&gt;0,SUMIF(куб!$A:$A,$G749,куб!H:H),SUMIF(куб!$A:$A,$G749,куб!H:H)))))))</f>
        <v>0</v>
      </c>
      <c r="I749" s="27">
        <f>IF($G749&lt;&gt;0,SUMIF(куб!$G:$G,$G749,куб!I:I),IF($E749&lt;&gt;0,SUMIF(куб!$E:$E,$E749,куб!I:I),IF($D749&lt;&gt;0,SUMIF(куб!$D:$D,$D749,куб!I:I),IF($C749&lt;&gt;0,SUMIF(куб!$C:$C,$C749,куб!I:I),IF($B749&lt;&gt;0,SUMIF(куб!$B:$B,$B749,куб!I:I),IF($G749&lt;&gt;0,SUMIF(куб!$A:$A,$G749,куб!I:I),SUMIF(куб!$A:$A,$G749,куб!I:I)))))))</f>
        <v>0</v>
      </c>
      <c r="J749" s="19" t="str">
        <f t="shared" si="237"/>
        <v>-</v>
      </c>
      <c r="K749" s="8"/>
      <c r="L749" s="17">
        <f t="shared" si="238"/>
        <v>0</v>
      </c>
      <c r="M749" s="17">
        <f t="shared" si="239"/>
        <v>0</v>
      </c>
      <c r="N749" s="12">
        <f t="shared" si="240"/>
        <v>0</v>
      </c>
      <c r="O749" s="5"/>
      <c r="P749" s="27" t="b">
        <f>IF($G749&lt;&gt;0,SUMIF(куб!$G:$G,$G749,куб!J:J),IF($E749&lt;&gt;0,SUMIF(куб!$E:$E,$E749,куб!J:J),IF($D749&lt;&gt;0,SUMIF(куб!$D:$D,$D749,куб!J:J),IF($C749&lt;&gt;0,SUMIF(куб!$C:$C,$C749,куб!J:J),IF($B749&lt;&gt;0,SUMIF(куб!$B:$B,$B749,куб!J:J))))))</f>
        <v>0</v>
      </c>
      <c r="Q749" s="27" t="b">
        <f>IF($G749&lt;&gt;0,SUMIF(куб!$G:$G,$G749,куб!K:K),IF($E749&lt;&gt;0,SUMIF(куб!$E:$E,$E749,куб!K:K),IF($D749&lt;&gt;0,SUMIF(куб!$D:$D,$D749,куб!K:K),IF($C749&lt;&gt;0,SUMIF(куб!$C:$C,$C749,куб!K:K),IF($B749&lt;&gt;0,SUMIF(куб!$B:$B,$B749,куб!K:K))))))</f>
        <v>0</v>
      </c>
      <c r="R749" s="13" t="str">
        <f t="shared" si="241"/>
        <v>-</v>
      </c>
      <c r="S749" s="5"/>
      <c r="T749" s="27" t="b">
        <f>IF($G749&lt;&gt;0,SUMIF(куб!$G:$G,$G749,куб!L:L),IF($E749&lt;&gt;0,SUMIF(куб!$E:$E,$E749,куб!L:L),IF($D749&lt;&gt;0,SUMIF(куб!$D:$D,$D749,куб!L:L),IF($C749&lt;&gt;0,SUMIF(куб!$C:$C,$C749,куб!L:L),IF($B749&lt;&gt;0,SUMIF(куб!$B:$B,$B749,куб!L:L))))))</f>
        <v>0</v>
      </c>
      <c r="U749" s="27" t="b">
        <f>IF($G749&lt;&gt;0,SUMIF(куб!$G:$G,$G749,куб!M:M),IF($E749&lt;&gt;0,SUMIF(куб!$E:$E,$E749,куб!M:M),IF($D749&lt;&gt;0,SUMIF(куб!$D:$D,$D749,куб!M:M),IF($C749&lt;&gt;0,SUMIF(куб!$C:$C,$C749,куб!M:M),IF($B749&lt;&gt;0,SUMIF(куб!$B:$B,$B749,куб!M:M))))))</f>
        <v>0</v>
      </c>
      <c r="V749" s="13" t="str">
        <f t="shared" si="242"/>
        <v>-</v>
      </c>
      <c r="W749" s="5"/>
      <c r="X749" s="27" t="b">
        <f>IF($G749&lt;&gt;0,SUMIF(куб!$G:$G,$G749,куб!N:N),IF($E749&lt;&gt;0,SUMIF(куб!$E:$E,$E749,куб!N:N),IF($D749&lt;&gt;0,SUMIF(куб!$D:$D,$D749,куб!N:N),IF($C749&lt;&gt;0,SUMIF(куб!$C:$C,$C749,куб!N:N),IF($B749&lt;&gt;0,SUMIF(куб!$B:$B,$B749,куб!N:N))))))</f>
        <v>0</v>
      </c>
      <c r="Y749" s="27" t="b">
        <f>IF($G749&lt;&gt;0,SUMIF(куб!$G:$G,$G749,куб!O:O),IF($E749&lt;&gt;0,SUMIF(куб!$E:$E,$E749,куб!O:O),IF($D749&lt;&gt;0,SUMIF(куб!$D:$D,$D749,куб!O:O),IF($C749&lt;&gt;0,SUMIF(куб!$C:$C,$C749,куб!O:O),IF($B749&lt;&gt;0,SUMIF(куб!$B:$B,$B749,куб!O:O))))))</f>
        <v>0</v>
      </c>
      <c r="Z749" s="13" t="str">
        <f t="shared" si="243"/>
        <v>-</v>
      </c>
      <c r="AA749" s="5"/>
      <c r="AB749" s="33" t="str">
        <f t="shared" si="244"/>
        <v/>
      </c>
      <c r="AC749" s="33" t="str">
        <f t="shared" si="245"/>
        <v/>
      </c>
      <c r="AD749" s="15" t="str">
        <f t="shared" si="246"/>
        <v xml:space="preserve"> </v>
      </c>
      <c r="AE749" s="5"/>
      <c r="AF749" s="27" t="b">
        <f>IF($G749&lt;&gt;0,SUMIF(куб!$G:$G,$G749,куб!R:R),IF($E749&lt;&gt;0,SUMIF(куб!$E:$E,$E749,куб!R:R),IF($D749&lt;&gt;0,SUMIF(куб!$D:$D,$D749,куб!R:R),IF($C749&lt;&gt;0,SUMIF(куб!$C:$C,$C749,куб!R:R),IF($B749&lt;&gt;0,SUMIF(куб!$B:$B,$B749,куб!R:R))))))</f>
        <v>0</v>
      </c>
      <c r="AG749" s="27" t="b">
        <f>IF($G749&lt;&gt;0,SUMIF(куб!$G:$G,$G749,куб!S:S),IF($E749&lt;&gt;0,SUMIF(куб!$E:$E,$E749,куб!S:S),IF($D749&lt;&gt;0,SUMIF(куб!$D:$D,$D749,куб!S:S),IF($C749&lt;&gt;0,SUMIF(куб!$C:$C,$C749,куб!S:S),IF($B749&lt;&gt;0,SUMIF(куб!$B:$B,$B749,куб!S:S))))))</f>
        <v>0</v>
      </c>
      <c r="AH749" s="16" t="str">
        <f t="shared" si="247"/>
        <v>-</v>
      </c>
      <c r="AI749" s="8"/>
      <c r="AJ749" s="27" t="b">
        <f>IF($G749&lt;&gt;0,SUMIF(куб!$G:$G,$G749,куб!T:T),IF($E749&lt;&gt;0,SUMIF(куб!$E:$E,$E749,куб!T:T),IF($D749&lt;&gt;0,SUMIF(куб!$D:$D,$D749,куб!T:T),IF($C749&lt;&gt;0,SUMIF(куб!$C:$C,$C749,куб!T:T),IF($B749&lt;&gt;0,SUMIF(куб!$B:$B,$B749,куб!T:T))))))</f>
        <v>0</v>
      </c>
      <c r="AK749" s="27" t="b">
        <f>IF($G749&lt;&gt;0,SUMIF(куб!$G:$G,$G749,куб!U:U),IF($E749&lt;&gt;0,SUMIF(куб!$E:$E,$E749,куб!U:U),IF($D749&lt;&gt;0,SUMIF(куб!$D:$D,$D749,куб!U:U),IF($C749&lt;&gt;0,SUMIF(куб!$C:$C,$C749,куб!U:U),IF($B749&lt;&gt;0,SUMIF(куб!$B:$B,$B749,куб!U:U))))))</f>
        <v>0</v>
      </c>
      <c r="AL749" s="16" t="str">
        <f t="shared" si="248"/>
        <v>-</v>
      </c>
      <c r="AM749" s="8"/>
      <c r="AN749" s="17" t="str">
        <f t="shared" si="249"/>
        <v xml:space="preserve"> </v>
      </c>
      <c r="AO749" s="17" t="str">
        <f t="shared" si="250"/>
        <v xml:space="preserve"> </v>
      </c>
      <c r="AP749" s="16" t="str">
        <f t="shared" si="251"/>
        <v>-</v>
      </c>
      <c r="AQ749" s="8"/>
      <c r="AR749" s="17" t="str">
        <f t="shared" si="252"/>
        <v>-</v>
      </c>
      <c r="AS749" s="17" t="str">
        <f t="shared" si="253"/>
        <v>-</v>
      </c>
      <c r="AT749" s="13" t="str">
        <f t="shared" si="254"/>
        <v>-</v>
      </c>
      <c r="AU749" s="8"/>
    </row>
    <row r="750" spans="1:47" x14ac:dyDescent="0.25">
      <c r="A750" s="31"/>
      <c r="B750" s="31"/>
      <c r="C750"/>
      <c r="D750" s="31"/>
      <c r="E750"/>
      <c r="F750" s="31"/>
      <c r="G750"/>
      <c r="H750" s="27">
        <f>IF($G750&lt;&gt;0,SUMIF(куб!$G:$G,$G750,куб!H:H),IF($E750&lt;&gt;0,SUMIF(куб!$E:$E,$E750,куб!H:H),IF($D750&lt;&gt;0,SUMIF(куб!$D:$D,$D750,куб!H:H),IF($C750&lt;&gt;0,SUMIF(куб!$C:$C,$C750,куб!H:H),IF($B750&lt;&gt;0,SUMIF(куб!$B:$B,$B750,куб!H:H),IF($G750&lt;&gt;0,SUMIF(куб!$A:$A,$G750,куб!H:H),SUMIF(куб!$A:$A,$G750,куб!H:H)))))))</f>
        <v>0</v>
      </c>
      <c r="I750" s="27">
        <f>IF($G750&lt;&gt;0,SUMIF(куб!$G:$G,$G750,куб!I:I),IF($E750&lt;&gt;0,SUMIF(куб!$E:$E,$E750,куб!I:I),IF($D750&lt;&gt;0,SUMIF(куб!$D:$D,$D750,куб!I:I),IF($C750&lt;&gt;0,SUMIF(куб!$C:$C,$C750,куб!I:I),IF($B750&lt;&gt;0,SUMIF(куб!$B:$B,$B750,куб!I:I),IF($G750&lt;&gt;0,SUMIF(куб!$A:$A,$G750,куб!I:I),SUMIF(куб!$A:$A,$G750,куб!I:I)))))))</f>
        <v>0</v>
      </c>
      <c r="J750" s="19" t="str">
        <f t="shared" si="237"/>
        <v>-</v>
      </c>
      <c r="K750" s="8"/>
      <c r="L750" s="17">
        <f t="shared" si="238"/>
        <v>0</v>
      </c>
      <c r="M750" s="17">
        <f t="shared" si="239"/>
        <v>0</v>
      </c>
      <c r="N750" s="12">
        <f t="shared" si="240"/>
        <v>0</v>
      </c>
      <c r="O750" s="5"/>
      <c r="P750" s="27" t="b">
        <f>IF($G750&lt;&gt;0,SUMIF(куб!$G:$G,$G750,куб!J:J),IF($E750&lt;&gt;0,SUMIF(куб!$E:$E,$E750,куб!J:J),IF($D750&lt;&gt;0,SUMIF(куб!$D:$D,$D750,куб!J:J),IF($C750&lt;&gt;0,SUMIF(куб!$C:$C,$C750,куб!J:J),IF($B750&lt;&gt;0,SUMIF(куб!$B:$B,$B750,куб!J:J))))))</f>
        <v>0</v>
      </c>
      <c r="Q750" s="27" t="b">
        <f>IF($G750&lt;&gt;0,SUMIF(куб!$G:$G,$G750,куб!K:K),IF($E750&lt;&gt;0,SUMIF(куб!$E:$E,$E750,куб!K:K),IF($D750&lt;&gt;0,SUMIF(куб!$D:$D,$D750,куб!K:K),IF($C750&lt;&gt;0,SUMIF(куб!$C:$C,$C750,куб!K:K),IF($B750&lt;&gt;0,SUMIF(куб!$B:$B,$B750,куб!K:K))))))</f>
        <v>0</v>
      </c>
      <c r="R750" s="13" t="str">
        <f t="shared" si="241"/>
        <v>-</v>
      </c>
      <c r="S750" s="5"/>
      <c r="T750" s="27" t="b">
        <f>IF($G750&lt;&gt;0,SUMIF(куб!$G:$G,$G750,куб!L:L),IF($E750&lt;&gt;0,SUMIF(куб!$E:$E,$E750,куб!L:L),IF($D750&lt;&gt;0,SUMIF(куб!$D:$D,$D750,куб!L:L),IF($C750&lt;&gt;0,SUMIF(куб!$C:$C,$C750,куб!L:L),IF($B750&lt;&gt;0,SUMIF(куб!$B:$B,$B750,куб!L:L))))))</f>
        <v>0</v>
      </c>
      <c r="U750" s="27" t="b">
        <f>IF($G750&lt;&gt;0,SUMIF(куб!$G:$G,$G750,куб!M:M),IF($E750&lt;&gt;0,SUMIF(куб!$E:$E,$E750,куб!M:M),IF($D750&lt;&gt;0,SUMIF(куб!$D:$D,$D750,куб!M:M),IF($C750&lt;&gt;0,SUMIF(куб!$C:$C,$C750,куб!M:M),IF($B750&lt;&gt;0,SUMIF(куб!$B:$B,$B750,куб!M:M))))))</f>
        <v>0</v>
      </c>
      <c r="V750" s="13" t="str">
        <f t="shared" si="242"/>
        <v>-</v>
      </c>
      <c r="W750" s="5"/>
      <c r="X750" s="27" t="b">
        <f>IF($G750&lt;&gt;0,SUMIF(куб!$G:$G,$G750,куб!N:N),IF($E750&lt;&gt;0,SUMIF(куб!$E:$E,$E750,куб!N:N),IF($D750&lt;&gt;0,SUMIF(куб!$D:$D,$D750,куб!N:N),IF($C750&lt;&gt;0,SUMIF(куб!$C:$C,$C750,куб!N:N),IF($B750&lt;&gt;0,SUMIF(куб!$B:$B,$B750,куб!N:N))))))</f>
        <v>0</v>
      </c>
      <c r="Y750" s="27" t="b">
        <f>IF($G750&lt;&gt;0,SUMIF(куб!$G:$G,$G750,куб!O:O),IF($E750&lt;&gt;0,SUMIF(куб!$E:$E,$E750,куб!O:O),IF($D750&lt;&gt;0,SUMIF(куб!$D:$D,$D750,куб!O:O),IF($C750&lt;&gt;0,SUMIF(куб!$C:$C,$C750,куб!O:O),IF($B750&lt;&gt;0,SUMIF(куб!$B:$B,$B750,куб!O:O))))))</f>
        <v>0</v>
      </c>
      <c r="Z750" s="13" t="str">
        <f t="shared" si="243"/>
        <v>-</v>
      </c>
      <c r="AA750" s="5"/>
      <c r="AB750" s="33" t="str">
        <f t="shared" si="244"/>
        <v/>
      </c>
      <c r="AC750" s="33" t="str">
        <f t="shared" si="245"/>
        <v/>
      </c>
      <c r="AD750" s="15" t="str">
        <f t="shared" si="246"/>
        <v xml:space="preserve"> </v>
      </c>
      <c r="AE750" s="5"/>
      <c r="AF750" s="27" t="b">
        <f>IF($G750&lt;&gt;0,SUMIF(куб!$G:$G,$G750,куб!R:R),IF($E750&lt;&gt;0,SUMIF(куб!$E:$E,$E750,куб!R:R),IF($D750&lt;&gt;0,SUMIF(куб!$D:$D,$D750,куб!R:R),IF($C750&lt;&gt;0,SUMIF(куб!$C:$C,$C750,куб!R:R),IF($B750&lt;&gt;0,SUMIF(куб!$B:$B,$B750,куб!R:R))))))</f>
        <v>0</v>
      </c>
      <c r="AG750" s="27" t="b">
        <f>IF($G750&lt;&gt;0,SUMIF(куб!$G:$G,$G750,куб!S:S),IF($E750&lt;&gt;0,SUMIF(куб!$E:$E,$E750,куб!S:S),IF($D750&lt;&gt;0,SUMIF(куб!$D:$D,$D750,куб!S:S),IF($C750&lt;&gt;0,SUMIF(куб!$C:$C,$C750,куб!S:S),IF($B750&lt;&gt;0,SUMIF(куб!$B:$B,$B750,куб!S:S))))))</f>
        <v>0</v>
      </c>
      <c r="AH750" s="16" t="str">
        <f t="shared" si="247"/>
        <v>-</v>
      </c>
      <c r="AI750" s="8"/>
      <c r="AJ750" s="27" t="b">
        <f>IF($G750&lt;&gt;0,SUMIF(куб!$G:$G,$G750,куб!T:T),IF($E750&lt;&gt;0,SUMIF(куб!$E:$E,$E750,куб!T:T),IF($D750&lt;&gt;0,SUMIF(куб!$D:$D,$D750,куб!T:T),IF($C750&lt;&gt;0,SUMIF(куб!$C:$C,$C750,куб!T:T),IF($B750&lt;&gt;0,SUMIF(куб!$B:$B,$B750,куб!T:T))))))</f>
        <v>0</v>
      </c>
      <c r="AK750" s="27" t="b">
        <f>IF($G750&lt;&gt;0,SUMIF(куб!$G:$G,$G750,куб!U:U),IF($E750&lt;&gt;0,SUMIF(куб!$E:$E,$E750,куб!U:U),IF($D750&lt;&gt;0,SUMIF(куб!$D:$D,$D750,куб!U:U),IF($C750&lt;&gt;0,SUMIF(куб!$C:$C,$C750,куб!U:U),IF($B750&lt;&gt;0,SUMIF(куб!$B:$B,$B750,куб!U:U))))))</f>
        <v>0</v>
      </c>
      <c r="AL750" s="16" t="str">
        <f t="shared" si="248"/>
        <v>-</v>
      </c>
      <c r="AM750" s="8"/>
      <c r="AN750" s="17" t="str">
        <f t="shared" si="249"/>
        <v xml:space="preserve"> </v>
      </c>
      <c r="AO750" s="17" t="str">
        <f t="shared" si="250"/>
        <v xml:space="preserve"> </v>
      </c>
      <c r="AP750" s="16" t="str">
        <f t="shared" si="251"/>
        <v>-</v>
      </c>
      <c r="AQ750" s="8"/>
      <c r="AR750" s="17" t="str">
        <f t="shared" si="252"/>
        <v>-</v>
      </c>
      <c r="AS750" s="17" t="str">
        <f t="shared" si="253"/>
        <v>-</v>
      </c>
      <c r="AT750" s="13" t="str">
        <f t="shared" si="254"/>
        <v>-</v>
      </c>
      <c r="AU750" s="8"/>
    </row>
    <row r="751" spans="1:47" x14ac:dyDescent="0.25">
      <c r="A751" s="31"/>
      <c r="B751" s="31"/>
      <c r="C751"/>
      <c r="D751" s="31"/>
      <c r="E751"/>
      <c r="F751" s="31"/>
      <c r="G751"/>
      <c r="H751" s="27">
        <f>IF($G751&lt;&gt;0,SUMIF(куб!$G:$G,$G751,куб!H:H),IF($E751&lt;&gt;0,SUMIF(куб!$E:$E,$E751,куб!H:H),IF($D751&lt;&gt;0,SUMIF(куб!$D:$D,$D751,куб!H:H),IF($C751&lt;&gt;0,SUMIF(куб!$C:$C,$C751,куб!H:H),IF($B751&lt;&gt;0,SUMIF(куб!$B:$B,$B751,куб!H:H),IF($G751&lt;&gt;0,SUMIF(куб!$A:$A,$G751,куб!H:H),SUMIF(куб!$A:$A,$G751,куб!H:H)))))))</f>
        <v>0</v>
      </c>
      <c r="I751" s="27">
        <f>IF($G751&lt;&gt;0,SUMIF(куб!$G:$G,$G751,куб!I:I),IF($E751&lt;&gt;0,SUMIF(куб!$E:$E,$E751,куб!I:I),IF($D751&lt;&gt;0,SUMIF(куб!$D:$D,$D751,куб!I:I),IF($C751&lt;&gt;0,SUMIF(куб!$C:$C,$C751,куб!I:I),IF($B751&lt;&gt;0,SUMIF(куб!$B:$B,$B751,куб!I:I),IF($G751&lt;&gt;0,SUMIF(куб!$A:$A,$G751,куб!I:I),SUMIF(куб!$A:$A,$G751,куб!I:I)))))))</f>
        <v>0</v>
      </c>
      <c r="J751" s="19" t="str">
        <f t="shared" si="237"/>
        <v>-</v>
      </c>
      <c r="K751" s="8"/>
      <c r="L751" s="17">
        <f t="shared" si="238"/>
        <v>0</v>
      </c>
      <c r="M751" s="17">
        <f t="shared" si="239"/>
        <v>0</v>
      </c>
      <c r="N751" s="12">
        <f t="shared" si="240"/>
        <v>0</v>
      </c>
      <c r="O751" s="5"/>
      <c r="P751" s="27" t="b">
        <f>IF($G751&lt;&gt;0,SUMIF(куб!$G:$G,$G751,куб!J:J),IF($E751&lt;&gt;0,SUMIF(куб!$E:$E,$E751,куб!J:J),IF($D751&lt;&gt;0,SUMIF(куб!$D:$D,$D751,куб!J:J),IF($C751&lt;&gt;0,SUMIF(куб!$C:$C,$C751,куб!J:J),IF($B751&lt;&gt;0,SUMIF(куб!$B:$B,$B751,куб!J:J))))))</f>
        <v>0</v>
      </c>
      <c r="Q751" s="27" t="b">
        <f>IF($G751&lt;&gt;0,SUMIF(куб!$G:$G,$G751,куб!K:K),IF($E751&lt;&gt;0,SUMIF(куб!$E:$E,$E751,куб!K:K),IF($D751&lt;&gt;0,SUMIF(куб!$D:$D,$D751,куб!K:K),IF($C751&lt;&gt;0,SUMIF(куб!$C:$C,$C751,куб!K:K),IF($B751&lt;&gt;0,SUMIF(куб!$B:$B,$B751,куб!K:K))))))</f>
        <v>0</v>
      </c>
      <c r="R751" s="13" t="str">
        <f t="shared" si="241"/>
        <v>-</v>
      </c>
      <c r="S751" s="5"/>
      <c r="T751" s="27" t="b">
        <f>IF($G751&lt;&gt;0,SUMIF(куб!$G:$G,$G751,куб!L:L),IF($E751&lt;&gt;0,SUMIF(куб!$E:$E,$E751,куб!L:L),IF($D751&lt;&gt;0,SUMIF(куб!$D:$D,$D751,куб!L:L),IF($C751&lt;&gt;0,SUMIF(куб!$C:$C,$C751,куб!L:L),IF($B751&lt;&gt;0,SUMIF(куб!$B:$B,$B751,куб!L:L))))))</f>
        <v>0</v>
      </c>
      <c r="U751" s="27" t="b">
        <f>IF($G751&lt;&gt;0,SUMIF(куб!$G:$G,$G751,куб!M:M),IF($E751&lt;&gt;0,SUMIF(куб!$E:$E,$E751,куб!M:M),IF($D751&lt;&gt;0,SUMIF(куб!$D:$D,$D751,куб!M:M),IF($C751&lt;&gt;0,SUMIF(куб!$C:$C,$C751,куб!M:M),IF($B751&lt;&gt;0,SUMIF(куб!$B:$B,$B751,куб!M:M))))))</f>
        <v>0</v>
      </c>
      <c r="V751" s="13" t="str">
        <f t="shared" si="242"/>
        <v>-</v>
      </c>
      <c r="W751" s="5"/>
      <c r="X751" s="27" t="b">
        <f>IF($G751&lt;&gt;0,SUMIF(куб!$G:$G,$G751,куб!N:N),IF($E751&lt;&gt;0,SUMIF(куб!$E:$E,$E751,куб!N:N),IF($D751&lt;&gt;0,SUMIF(куб!$D:$D,$D751,куб!N:N),IF($C751&lt;&gt;0,SUMIF(куб!$C:$C,$C751,куб!N:N),IF($B751&lt;&gt;0,SUMIF(куб!$B:$B,$B751,куб!N:N))))))</f>
        <v>0</v>
      </c>
      <c r="Y751" s="27" t="b">
        <f>IF($G751&lt;&gt;0,SUMIF(куб!$G:$G,$G751,куб!O:O),IF($E751&lt;&gt;0,SUMIF(куб!$E:$E,$E751,куб!O:O),IF($D751&lt;&gt;0,SUMIF(куб!$D:$D,$D751,куб!O:O),IF($C751&lt;&gt;0,SUMIF(куб!$C:$C,$C751,куб!O:O),IF($B751&lt;&gt;0,SUMIF(куб!$B:$B,$B751,куб!O:O))))))</f>
        <v>0</v>
      </c>
      <c r="Z751" s="13" t="str">
        <f t="shared" si="243"/>
        <v>-</v>
      </c>
      <c r="AA751" s="5"/>
      <c r="AB751" s="33" t="str">
        <f t="shared" si="244"/>
        <v/>
      </c>
      <c r="AC751" s="33" t="str">
        <f t="shared" si="245"/>
        <v/>
      </c>
      <c r="AD751" s="15" t="str">
        <f t="shared" si="246"/>
        <v xml:space="preserve"> </v>
      </c>
      <c r="AE751" s="5"/>
      <c r="AF751" s="27" t="b">
        <f>IF($G751&lt;&gt;0,SUMIF(куб!$G:$G,$G751,куб!R:R),IF($E751&lt;&gt;0,SUMIF(куб!$E:$E,$E751,куб!R:R),IF($D751&lt;&gt;0,SUMIF(куб!$D:$D,$D751,куб!R:R),IF($C751&lt;&gt;0,SUMIF(куб!$C:$C,$C751,куб!R:R),IF($B751&lt;&gt;0,SUMIF(куб!$B:$B,$B751,куб!R:R))))))</f>
        <v>0</v>
      </c>
      <c r="AG751" s="27" t="b">
        <f>IF($G751&lt;&gt;0,SUMIF(куб!$G:$G,$G751,куб!S:S),IF($E751&lt;&gt;0,SUMIF(куб!$E:$E,$E751,куб!S:S),IF($D751&lt;&gt;0,SUMIF(куб!$D:$D,$D751,куб!S:S),IF($C751&lt;&gt;0,SUMIF(куб!$C:$C,$C751,куб!S:S),IF($B751&lt;&gt;0,SUMIF(куб!$B:$B,$B751,куб!S:S))))))</f>
        <v>0</v>
      </c>
      <c r="AH751" s="16" t="str">
        <f t="shared" si="247"/>
        <v>-</v>
      </c>
      <c r="AI751" s="8"/>
      <c r="AJ751" s="27" t="b">
        <f>IF($G751&lt;&gt;0,SUMIF(куб!$G:$G,$G751,куб!T:T),IF($E751&lt;&gt;0,SUMIF(куб!$E:$E,$E751,куб!T:T),IF($D751&lt;&gt;0,SUMIF(куб!$D:$D,$D751,куб!T:T),IF($C751&lt;&gt;0,SUMIF(куб!$C:$C,$C751,куб!T:T),IF($B751&lt;&gt;0,SUMIF(куб!$B:$B,$B751,куб!T:T))))))</f>
        <v>0</v>
      </c>
      <c r="AK751" s="27" t="b">
        <f>IF($G751&lt;&gt;0,SUMIF(куб!$G:$G,$G751,куб!U:U),IF($E751&lt;&gt;0,SUMIF(куб!$E:$E,$E751,куб!U:U),IF($D751&lt;&gt;0,SUMIF(куб!$D:$D,$D751,куб!U:U),IF($C751&lt;&gt;0,SUMIF(куб!$C:$C,$C751,куб!U:U),IF($B751&lt;&gt;0,SUMIF(куб!$B:$B,$B751,куб!U:U))))))</f>
        <v>0</v>
      </c>
      <c r="AL751" s="16" t="str">
        <f t="shared" si="248"/>
        <v>-</v>
      </c>
      <c r="AM751" s="8"/>
      <c r="AN751" s="17" t="str">
        <f t="shared" si="249"/>
        <v xml:space="preserve"> </v>
      </c>
      <c r="AO751" s="17" t="str">
        <f t="shared" si="250"/>
        <v xml:space="preserve"> </v>
      </c>
      <c r="AP751" s="16" t="str">
        <f t="shared" si="251"/>
        <v>-</v>
      </c>
      <c r="AQ751" s="8"/>
      <c r="AR751" s="17" t="str">
        <f t="shared" si="252"/>
        <v>-</v>
      </c>
      <c r="AS751" s="17" t="str">
        <f t="shared" si="253"/>
        <v>-</v>
      </c>
      <c r="AT751" s="13" t="str">
        <f t="shared" si="254"/>
        <v>-</v>
      </c>
      <c r="AU751" s="8"/>
    </row>
    <row r="752" spans="1:47" x14ac:dyDescent="0.25">
      <c r="A752" s="31"/>
      <c r="B752" s="31"/>
      <c r="C752"/>
      <c r="D752" s="31"/>
      <c r="E752"/>
      <c r="F752"/>
      <c r="G752"/>
      <c r="H752" s="27">
        <f>IF($G752&lt;&gt;0,SUMIF(куб!$G:$G,$G752,куб!H:H),IF($E752&lt;&gt;0,SUMIF(куб!$E:$E,$E752,куб!H:H),IF($D752&lt;&gt;0,SUMIF(куб!$D:$D,$D752,куб!H:H),IF($C752&lt;&gt;0,SUMIF(куб!$C:$C,$C752,куб!H:H),IF($B752&lt;&gt;0,SUMIF(куб!$B:$B,$B752,куб!H:H),IF($G752&lt;&gt;0,SUMIF(куб!$A:$A,$G752,куб!H:H),SUMIF(куб!$A:$A,$G752,куб!H:H)))))))</f>
        <v>0</v>
      </c>
      <c r="I752" s="27">
        <f>IF($G752&lt;&gt;0,SUMIF(куб!$G:$G,$G752,куб!I:I),IF($E752&lt;&gt;0,SUMIF(куб!$E:$E,$E752,куб!I:I),IF($D752&lt;&gt;0,SUMIF(куб!$D:$D,$D752,куб!I:I),IF($C752&lt;&gt;0,SUMIF(куб!$C:$C,$C752,куб!I:I),IF($B752&lt;&gt;0,SUMIF(куб!$B:$B,$B752,куб!I:I),IF($G752&lt;&gt;0,SUMIF(куб!$A:$A,$G752,куб!I:I),SUMIF(куб!$A:$A,$G752,куб!I:I)))))))</f>
        <v>0</v>
      </c>
      <c r="J752" s="19" t="str">
        <f t="shared" si="237"/>
        <v>-</v>
      </c>
      <c r="K752" s="8"/>
      <c r="L752" s="17">
        <f t="shared" si="238"/>
        <v>0</v>
      </c>
      <c r="M752" s="17">
        <f t="shared" si="239"/>
        <v>0</v>
      </c>
      <c r="N752" s="12">
        <f t="shared" si="240"/>
        <v>0</v>
      </c>
      <c r="O752" s="5"/>
      <c r="P752" s="27" t="b">
        <f>IF($G752&lt;&gt;0,SUMIF(куб!$G:$G,$G752,куб!J:J),IF($E752&lt;&gt;0,SUMIF(куб!$E:$E,$E752,куб!J:J),IF($D752&lt;&gt;0,SUMIF(куб!$D:$D,$D752,куб!J:J),IF($C752&lt;&gt;0,SUMIF(куб!$C:$C,$C752,куб!J:J),IF($B752&lt;&gt;0,SUMIF(куб!$B:$B,$B752,куб!J:J))))))</f>
        <v>0</v>
      </c>
      <c r="Q752" s="27" t="b">
        <f>IF($G752&lt;&gt;0,SUMIF(куб!$G:$G,$G752,куб!K:K),IF($E752&lt;&gt;0,SUMIF(куб!$E:$E,$E752,куб!K:K),IF($D752&lt;&gt;0,SUMIF(куб!$D:$D,$D752,куб!K:K),IF($C752&lt;&gt;0,SUMIF(куб!$C:$C,$C752,куб!K:K),IF($B752&lt;&gt;0,SUMIF(куб!$B:$B,$B752,куб!K:K))))))</f>
        <v>0</v>
      </c>
      <c r="R752" s="13" t="str">
        <f t="shared" si="241"/>
        <v>-</v>
      </c>
      <c r="S752" s="5"/>
      <c r="T752" s="27" t="b">
        <f>IF($G752&lt;&gt;0,SUMIF(куб!$G:$G,$G752,куб!L:L),IF($E752&lt;&gt;0,SUMIF(куб!$E:$E,$E752,куб!L:L),IF($D752&lt;&gt;0,SUMIF(куб!$D:$D,$D752,куб!L:L),IF($C752&lt;&gt;0,SUMIF(куб!$C:$C,$C752,куб!L:L),IF($B752&lt;&gt;0,SUMIF(куб!$B:$B,$B752,куб!L:L))))))</f>
        <v>0</v>
      </c>
      <c r="U752" s="27" t="b">
        <f>IF($G752&lt;&gt;0,SUMIF(куб!$G:$G,$G752,куб!M:M),IF($E752&lt;&gt;0,SUMIF(куб!$E:$E,$E752,куб!M:M),IF($D752&lt;&gt;0,SUMIF(куб!$D:$D,$D752,куб!M:M),IF($C752&lt;&gt;0,SUMIF(куб!$C:$C,$C752,куб!M:M),IF($B752&lt;&gt;0,SUMIF(куб!$B:$B,$B752,куб!M:M))))))</f>
        <v>0</v>
      </c>
      <c r="V752" s="13" t="str">
        <f t="shared" si="242"/>
        <v>-</v>
      </c>
      <c r="W752" s="5"/>
      <c r="X752" s="27" t="b">
        <f>IF($G752&lt;&gt;0,SUMIF(куб!$G:$G,$G752,куб!N:N),IF($E752&lt;&gt;0,SUMIF(куб!$E:$E,$E752,куб!N:N),IF($D752&lt;&gt;0,SUMIF(куб!$D:$D,$D752,куб!N:N),IF($C752&lt;&gt;0,SUMIF(куб!$C:$C,$C752,куб!N:N),IF($B752&lt;&gt;0,SUMIF(куб!$B:$B,$B752,куб!N:N))))))</f>
        <v>0</v>
      </c>
      <c r="Y752" s="27" t="b">
        <f>IF($G752&lt;&gt;0,SUMIF(куб!$G:$G,$G752,куб!O:O),IF($E752&lt;&gt;0,SUMIF(куб!$E:$E,$E752,куб!O:O),IF($D752&lt;&gt;0,SUMIF(куб!$D:$D,$D752,куб!O:O),IF($C752&lt;&gt;0,SUMIF(куб!$C:$C,$C752,куб!O:O),IF($B752&lt;&gt;0,SUMIF(куб!$B:$B,$B752,куб!O:O))))))</f>
        <v>0</v>
      </c>
      <c r="Z752" s="13" t="str">
        <f t="shared" si="243"/>
        <v>-</v>
      </c>
      <c r="AA752" s="5"/>
      <c r="AB752" s="33" t="str">
        <f t="shared" si="244"/>
        <v/>
      </c>
      <c r="AC752" s="33" t="str">
        <f t="shared" si="245"/>
        <v/>
      </c>
      <c r="AD752" s="15" t="str">
        <f t="shared" si="246"/>
        <v xml:space="preserve"> </v>
      </c>
      <c r="AE752" s="5"/>
      <c r="AF752" s="27" t="b">
        <f>IF($G752&lt;&gt;0,SUMIF(куб!$G:$G,$G752,куб!R:R),IF($E752&lt;&gt;0,SUMIF(куб!$E:$E,$E752,куб!R:R),IF($D752&lt;&gt;0,SUMIF(куб!$D:$D,$D752,куб!R:R),IF($C752&lt;&gt;0,SUMIF(куб!$C:$C,$C752,куб!R:R),IF($B752&lt;&gt;0,SUMIF(куб!$B:$B,$B752,куб!R:R))))))</f>
        <v>0</v>
      </c>
      <c r="AG752" s="27" t="b">
        <f>IF($G752&lt;&gt;0,SUMIF(куб!$G:$G,$G752,куб!S:S),IF($E752&lt;&gt;0,SUMIF(куб!$E:$E,$E752,куб!S:S),IF($D752&lt;&gt;0,SUMIF(куб!$D:$D,$D752,куб!S:S),IF($C752&lt;&gt;0,SUMIF(куб!$C:$C,$C752,куб!S:S),IF($B752&lt;&gt;0,SUMIF(куб!$B:$B,$B752,куб!S:S))))))</f>
        <v>0</v>
      </c>
      <c r="AH752" s="16" t="str">
        <f t="shared" si="247"/>
        <v>-</v>
      </c>
      <c r="AI752" s="8"/>
      <c r="AJ752" s="27" t="b">
        <f>IF($G752&lt;&gt;0,SUMIF(куб!$G:$G,$G752,куб!T:T),IF($E752&lt;&gt;0,SUMIF(куб!$E:$E,$E752,куб!T:T),IF($D752&lt;&gt;0,SUMIF(куб!$D:$D,$D752,куб!T:T),IF($C752&lt;&gt;0,SUMIF(куб!$C:$C,$C752,куб!T:T),IF($B752&lt;&gt;0,SUMIF(куб!$B:$B,$B752,куб!T:T))))))</f>
        <v>0</v>
      </c>
      <c r="AK752" s="27" t="b">
        <f>IF($G752&lt;&gt;0,SUMIF(куб!$G:$G,$G752,куб!U:U),IF($E752&lt;&gt;0,SUMIF(куб!$E:$E,$E752,куб!U:U),IF($D752&lt;&gt;0,SUMIF(куб!$D:$D,$D752,куб!U:U),IF($C752&lt;&gt;0,SUMIF(куб!$C:$C,$C752,куб!U:U),IF($B752&lt;&gt;0,SUMIF(куб!$B:$B,$B752,куб!U:U))))))</f>
        <v>0</v>
      </c>
      <c r="AL752" s="16" t="str">
        <f t="shared" si="248"/>
        <v>-</v>
      </c>
      <c r="AM752" s="8"/>
      <c r="AN752" s="17" t="str">
        <f t="shared" si="249"/>
        <v xml:space="preserve"> </v>
      </c>
      <c r="AO752" s="17" t="str">
        <f t="shared" si="250"/>
        <v xml:space="preserve"> </v>
      </c>
      <c r="AP752" s="16" t="str">
        <f t="shared" si="251"/>
        <v>-</v>
      </c>
      <c r="AQ752" s="8"/>
      <c r="AR752" s="17" t="str">
        <f t="shared" si="252"/>
        <v>-</v>
      </c>
      <c r="AS752" s="17" t="str">
        <f t="shared" si="253"/>
        <v>-</v>
      </c>
      <c r="AT752" s="13" t="str">
        <f t="shared" si="254"/>
        <v>-</v>
      </c>
      <c r="AU752" s="8"/>
    </row>
    <row r="753" spans="1:47" x14ac:dyDescent="0.25">
      <c r="A753" s="31"/>
      <c r="B753" s="31"/>
      <c r="C753"/>
      <c r="D753" s="31"/>
      <c r="E753" s="31"/>
      <c r="F753" s="31"/>
      <c r="G753" s="31"/>
      <c r="H753" s="27">
        <f>IF($G753&lt;&gt;0,SUMIF(куб!$G:$G,$G753,куб!H:H),IF($E753&lt;&gt;0,SUMIF(куб!$E:$E,$E753,куб!H:H),IF($D753&lt;&gt;0,SUMIF(куб!$D:$D,$D753,куб!H:H),IF($C753&lt;&gt;0,SUMIF(куб!$C:$C,$C753,куб!H:H),IF($B753&lt;&gt;0,SUMIF(куб!$B:$B,$B753,куб!H:H),IF($G753&lt;&gt;0,SUMIF(куб!$A:$A,$G753,куб!H:H),SUMIF(куб!$A:$A,$G753,куб!H:H)))))))</f>
        <v>0</v>
      </c>
      <c r="I753" s="27">
        <f>IF($G753&lt;&gt;0,SUMIF(куб!$G:$G,$G753,куб!I:I),IF($E753&lt;&gt;0,SUMIF(куб!$E:$E,$E753,куб!I:I),IF($D753&lt;&gt;0,SUMIF(куб!$D:$D,$D753,куб!I:I),IF($C753&lt;&gt;0,SUMIF(куб!$C:$C,$C753,куб!I:I),IF($B753&lt;&gt;0,SUMIF(куб!$B:$B,$B753,куб!I:I),IF($G753&lt;&gt;0,SUMIF(куб!$A:$A,$G753,куб!I:I),SUMIF(куб!$A:$A,$G753,куб!I:I)))))))</f>
        <v>0</v>
      </c>
      <c r="J753" s="19" t="str">
        <f t="shared" si="237"/>
        <v>-</v>
      </c>
      <c r="K753" s="8"/>
      <c r="L753" s="17">
        <f t="shared" si="238"/>
        <v>0</v>
      </c>
      <c r="M753" s="17">
        <f t="shared" si="239"/>
        <v>0</v>
      </c>
      <c r="N753" s="12">
        <f t="shared" si="240"/>
        <v>0</v>
      </c>
      <c r="O753" s="5"/>
      <c r="P753" s="27" t="b">
        <f>IF($G753&lt;&gt;0,SUMIF(куб!$G:$G,$G753,куб!J:J),IF($E753&lt;&gt;0,SUMIF(куб!$E:$E,$E753,куб!J:J),IF($D753&lt;&gt;0,SUMIF(куб!$D:$D,$D753,куб!J:J),IF($C753&lt;&gt;0,SUMIF(куб!$C:$C,$C753,куб!J:J),IF($B753&lt;&gt;0,SUMIF(куб!$B:$B,$B753,куб!J:J))))))</f>
        <v>0</v>
      </c>
      <c r="Q753" s="27" t="b">
        <f>IF($G753&lt;&gt;0,SUMIF(куб!$G:$G,$G753,куб!K:K),IF($E753&lt;&gt;0,SUMIF(куб!$E:$E,$E753,куб!K:K),IF($D753&lt;&gt;0,SUMIF(куб!$D:$D,$D753,куб!K:K),IF($C753&lt;&gt;0,SUMIF(куб!$C:$C,$C753,куб!K:K),IF($B753&lt;&gt;0,SUMIF(куб!$B:$B,$B753,куб!K:K))))))</f>
        <v>0</v>
      </c>
      <c r="R753" s="13" t="str">
        <f t="shared" si="241"/>
        <v>-</v>
      </c>
      <c r="S753" s="5"/>
      <c r="T753" s="27" t="b">
        <f>IF($G753&lt;&gt;0,SUMIF(куб!$G:$G,$G753,куб!L:L),IF($E753&lt;&gt;0,SUMIF(куб!$E:$E,$E753,куб!L:L),IF($D753&lt;&gt;0,SUMIF(куб!$D:$D,$D753,куб!L:L),IF($C753&lt;&gt;0,SUMIF(куб!$C:$C,$C753,куб!L:L),IF($B753&lt;&gt;0,SUMIF(куб!$B:$B,$B753,куб!L:L))))))</f>
        <v>0</v>
      </c>
      <c r="U753" s="27" t="b">
        <f>IF($G753&lt;&gt;0,SUMIF(куб!$G:$G,$G753,куб!M:M),IF($E753&lt;&gt;0,SUMIF(куб!$E:$E,$E753,куб!M:M),IF($D753&lt;&gt;0,SUMIF(куб!$D:$D,$D753,куб!M:M),IF($C753&lt;&gt;0,SUMIF(куб!$C:$C,$C753,куб!M:M),IF($B753&lt;&gt;0,SUMIF(куб!$B:$B,$B753,куб!M:M))))))</f>
        <v>0</v>
      </c>
      <c r="V753" s="13" t="str">
        <f t="shared" si="242"/>
        <v>-</v>
      </c>
      <c r="W753" s="5"/>
      <c r="X753" s="27" t="b">
        <f>IF($G753&lt;&gt;0,SUMIF(куб!$G:$G,$G753,куб!N:N),IF($E753&lt;&gt;0,SUMIF(куб!$E:$E,$E753,куб!N:N),IF($D753&lt;&gt;0,SUMIF(куб!$D:$D,$D753,куб!N:N),IF($C753&lt;&gt;0,SUMIF(куб!$C:$C,$C753,куб!N:N),IF($B753&lt;&gt;0,SUMIF(куб!$B:$B,$B753,куб!N:N))))))</f>
        <v>0</v>
      </c>
      <c r="Y753" s="27" t="b">
        <f>IF($G753&lt;&gt;0,SUMIF(куб!$G:$G,$G753,куб!O:O),IF($E753&lt;&gt;0,SUMIF(куб!$E:$E,$E753,куб!O:O),IF($D753&lt;&gt;0,SUMIF(куб!$D:$D,$D753,куб!O:O),IF($C753&lt;&gt;0,SUMIF(куб!$C:$C,$C753,куб!O:O),IF($B753&lt;&gt;0,SUMIF(куб!$B:$B,$B753,куб!O:O))))))</f>
        <v>0</v>
      </c>
      <c r="Z753" s="13" t="str">
        <f t="shared" si="243"/>
        <v>-</v>
      </c>
      <c r="AA753" s="5"/>
      <c r="AB753" s="33" t="str">
        <f t="shared" si="244"/>
        <v/>
      </c>
      <c r="AC753" s="33" t="str">
        <f t="shared" si="245"/>
        <v/>
      </c>
      <c r="AD753" s="15" t="str">
        <f t="shared" si="246"/>
        <v xml:space="preserve"> </v>
      </c>
      <c r="AE753" s="5"/>
      <c r="AF753" s="27" t="b">
        <f>IF($G753&lt;&gt;0,SUMIF(куб!$G:$G,$G753,куб!R:R),IF($E753&lt;&gt;0,SUMIF(куб!$E:$E,$E753,куб!R:R),IF($D753&lt;&gt;0,SUMIF(куб!$D:$D,$D753,куб!R:R),IF($C753&lt;&gt;0,SUMIF(куб!$C:$C,$C753,куб!R:R),IF($B753&lt;&gt;0,SUMIF(куб!$B:$B,$B753,куб!R:R))))))</f>
        <v>0</v>
      </c>
      <c r="AG753" s="27" t="b">
        <f>IF($G753&lt;&gt;0,SUMIF(куб!$G:$G,$G753,куб!S:S),IF($E753&lt;&gt;0,SUMIF(куб!$E:$E,$E753,куб!S:S),IF($D753&lt;&gt;0,SUMIF(куб!$D:$D,$D753,куб!S:S),IF($C753&lt;&gt;0,SUMIF(куб!$C:$C,$C753,куб!S:S),IF($B753&lt;&gt;0,SUMIF(куб!$B:$B,$B753,куб!S:S))))))</f>
        <v>0</v>
      </c>
      <c r="AH753" s="16" t="str">
        <f t="shared" si="247"/>
        <v>-</v>
      </c>
      <c r="AI753" s="8"/>
      <c r="AJ753" s="27" t="b">
        <f>IF($G753&lt;&gt;0,SUMIF(куб!$G:$G,$G753,куб!T:T),IF($E753&lt;&gt;0,SUMIF(куб!$E:$E,$E753,куб!T:T),IF($D753&lt;&gt;0,SUMIF(куб!$D:$D,$D753,куб!T:T),IF($C753&lt;&gt;0,SUMIF(куб!$C:$C,$C753,куб!T:T),IF($B753&lt;&gt;0,SUMIF(куб!$B:$B,$B753,куб!T:T))))))</f>
        <v>0</v>
      </c>
      <c r="AK753" s="27" t="b">
        <f>IF($G753&lt;&gt;0,SUMIF(куб!$G:$G,$G753,куб!U:U),IF($E753&lt;&gt;0,SUMIF(куб!$E:$E,$E753,куб!U:U),IF($D753&lt;&gt;0,SUMIF(куб!$D:$D,$D753,куб!U:U),IF($C753&lt;&gt;0,SUMIF(куб!$C:$C,$C753,куб!U:U),IF($B753&lt;&gt;0,SUMIF(куб!$B:$B,$B753,куб!U:U))))))</f>
        <v>0</v>
      </c>
      <c r="AL753" s="16" t="str">
        <f t="shared" si="248"/>
        <v>-</v>
      </c>
      <c r="AM753" s="8"/>
      <c r="AN753" s="17" t="str">
        <f t="shared" si="249"/>
        <v xml:space="preserve"> </v>
      </c>
      <c r="AO753" s="17" t="str">
        <f t="shared" si="250"/>
        <v xml:space="preserve"> </v>
      </c>
      <c r="AP753" s="16" t="str">
        <f t="shared" si="251"/>
        <v>-</v>
      </c>
      <c r="AQ753" s="8"/>
      <c r="AR753" s="17" t="str">
        <f t="shared" si="252"/>
        <v>-</v>
      </c>
      <c r="AS753" s="17" t="str">
        <f t="shared" si="253"/>
        <v>-</v>
      </c>
      <c r="AT753" s="13" t="str">
        <f t="shared" si="254"/>
        <v>-</v>
      </c>
      <c r="AU753" s="8"/>
    </row>
    <row r="754" spans="1:47" x14ac:dyDescent="0.25">
      <c r="A754" s="31"/>
      <c r="B754" s="31"/>
      <c r="C754"/>
      <c r="D754" s="31"/>
      <c r="E754"/>
      <c r="F754" s="31"/>
      <c r="G754"/>
      <c r="H754" s="27">
        <f>IF($G754&lt;&gt;0,SUMIF(куб!$G:$G,$G754,куб!H:H),IF($E754&lt;&gt;0,SUMIF(куб!$E:$E,$E754,куб!H:H),IF($D754&lt;&gt;0,SUMIF(куб!$D:$D,$D754,куб!H:H),IF($C754&lt;&gt;0,SUMIF(куб!$C:$C,$C754,куб!H:H),IF($B754&lt;&gt;0,SUMIF(куб!$B:$B,$B754,куб!H:H),IF($G754&lt;&gt;0,SUMIF(куб!$A:$A,$G754,куб!H:H),SUMIF(куб!$A:$A,$G754,куб!H:H)))))))</f>
        <v>0</v>
      </c>
      <c r="I754" s="27">
        <f>IF($G754&lt;&gt;0,SUMIF(куб!$G:$G,$G754,куб!I:I),IF($E754&lt;&gt;0,SUMIF(куб!$E:$E,$E754,куб!I:I),IF($D754&lt;&gt;0,SUMIF(куб!$D:$D,$D754,куб!I:I),IF($C754&lt;&gt;0,SUMIF(куб!$C:$C,$C754,куб!I:I),IF($B754&lt;&gt;0,SUMIF(куб!$B:$B,$B754,куб!I:I),IF($G754&lt;&gt;0,SUMIF(куб!$A:$A,$G754,куб!I:I),SUMIF(куб!$A:$A,$G754,куб!I:I)))))))</f>
        <v>0</v>
      </c>
      <c r="J754" s="19" t="str">
        <f t="shared" si="237"/>
        <v>-</v>
      </c>
      <c r="K754" s="8"/>
      <c r="L754" s="17">
        <f t="shared" si="238"/>
        <v>0</v>
      </c>
      <c r="M754" s="17">
        <f t="shared" si="239"/>
        <v>0</v>
      </c>
      <c r="N754" s="12">
        <f t="shared" si="240"/>
        <v>0</v>
      </c>
      <c r="O754" s="5"/>
      <c r="P754" s="27" t="b">
        <f>IF($G754&lt;&gt;0,SUMIF(куб!$G:$G,$G754,куб!J:J),IF($E754&lt;&gt;0,SUMIF(куб!$E:$E,$E754,куб!J:J),IF($D754&lt;&gt;0,SUMIF(куб!$D:$D,$D754,куб!J:J),IF($C754&lt;&gt;0,SUMIF(куб!$C:$C,$C754,куб!J:J),IF($B754&lt;&gt;0,SUMIF(куб!$B:$B,$B754,куб!J:J))))))</f>
        <v>0</v>
      </c>
      <c r="Q754" s="27" t="b">
        <f>IF($G754&lt;&gt;0,SUMIF(куб!$G:$G,$G754,куб!K:K),IF($E754&lt;&gt;0,SUMIF(куб!$E:$E,$E754,куб!K:K),IF($D754&lt;&gt;0,SUMIF(куб!$D:$D,$D754,куб!K:K),IF($C754&lt;&gt;0,SUMIF(куб!$C:$C,$C754,куб!K:K),IF($B754&lt;&gt;0,SUMIF(куб!$B:$B,$B754,куб!K:K))))))</f>
        <v>0</v>
      </c>
      <c r="R754" s="13" t="str">
        <f t="shared" si="241"/>
        <v>-</v>
      </c>
      <c r="S754" s="5"/>
      <c r="T754" s="27" t="b">
        <f>IF($G754&lt;&gt;0,SUMIF(куб!$G:$G,$G754,куб!L:L),IF($E754&lt;&gt;0,SUMIF(куб!$E:$E,$E754,куб!L:L),IF($D754&lt;&gt;0,SUMIF(куб!$D:$D,$D754,куб!L:L),IF($C754&lt;&gt;0,SUMIF(куб!$C:$C,$C754,куб!L:L),IF($B754&lt;&gt;0,SUMIF(куб!$B:$B,$B754,куб!L:L))))))</f>
        <v>0</v>
      </c>
      <c r="U754" s="27" t="b">
        <f>IF($G754&lt;&gt;0,SUMIF(куб!$G:$G,$G754,куб!M:M),IF($E754&lt;&gt;0,SUMIF(куб!$E:$E,$E754,куб!M:M),IF($D754&lt;&gt;0,SUMIF(куб!$D:$D,$D754,куб!M:M),IF($C754&lt;&gt;0,SUMIF(куб!$C:$C,$C754,куб!M:M),IF($B754&lt;&gt;0,SUMIF(куб!$B:$B,$B754,куб!M:M))))))</f>
        <v>0</v>
      </c>
      <c r="V754" s="13" t="str">
        <f t="shared" si="242"/>
        <v>-</v>
      </c>
      <c r="W754" s="5"/>
      <c r="X754" s="27" t="b">
        <f>IF($G754&lt;&gt;0,SUMIF(куб!$G:$G,$G754,куб!N:N),IF($E754&lt;&gt;0,SUMIF(куб!$E:$E,$E754,куб!N:N),IF($D754&lt;&gt;0,SUMIF(куб!$D:$D,$D754,куб!N:N),IF($C754&lt;&gt;0,SUMIF(куб!$C:$C,$C754,куб!N:N),IF($B754&lt;&gt;0,SUMIF(куб!$B:$B,$B754,куб!N:N))))))</f>
        <v>0</v>
      </c>
      <c r="Y754" s="27" t="b">
        <f>IF($G754&lt;&gt;0,SUMIF(куб!$G:$G,$G754,куб!O:O),IF($E754&lt;&gt;0,SUMIF(куб!$E:$E,$E754,куб!O:O),IF($D754&lt;&gt;0,SUMIF(куб!$D:$D,$D754,куб!O:O),IF($C754&lt;&gt;0,SUMIF(куб!$C:$C,$C754,куб!O:O),IF($B754&lt;&gt;0,SUMIF(куб!$B:$B,$B754,куб!O:O))))))</f>
        <v>0</v>
      </c>
      <c r="Z754" s="13" t="str">
        <f t="shared" si="243"/>
        <v>-</v>
      </c>
      <c r="AA754" s="5"/>
      <c r="AB754" s="33" t="str">
        <f t="shared" si="244"/>
        <v/>
      </c>
      <c r="AC754" s="33" t="str">
        <f t="shared" si="245"/>
        <v/>
      </c>
      <c r="AD754" s="15" t="str">
        <f t="shared" si="246"/>
        <v xml:space="preserve"> </v>
      </c>
      <c r="AE754" s="5"/>
      <c r="AF754" s="27" t="b">
        <f>IF($G754&lt;&gt;0,SUMIF(куб!$G:$G,$G754,куб!R:R),IF($E754&lt;&gt;0,SUMIF(куб!$E:$E,$E754,куб!R:R),IF($D754&lt;&gt;0,SUMIF(куб!$D:$D,$D754,куб!R:R),IF($C754&lt;&gt;0,SUMIF(куб!$C:$C,$C754,куб!R:R),IF($B754&lt;&gt;0,SUMIF(куб!$B:$B,$B754,куб!R:R))))))</f>
        <v>0</v>
      </c>
      <c r="AG754" s="27" t="b">
        <f>IF($G754&lt;&gt;0,SUMIF(куб!$G:$G,$G754,куб!S:S),IF($E754&lt;&gt;0,SUMIF(куб!$E:$E,$E754,куб!S:S),IF($D754&lt;&gt;0,SUMIF(куб!$D:$D,$D754,куб!S:S),IF($C754&lt;&gt;0,SUMIF(куб!$C:$C,$C754,куб!S:S),IF($B754&lt;&gt;0,SUMIF(куб!$B:$B,$B754,куб!S:S))))))</f>
        <v>0</v>
      </c>
      <c r="AH754" s="16" t="str">
        <f t="shared" si="247"/>
        <v>-</v>
      </c>
      <c r="AI754" s="8"/>
      <c r="AJ754" s="27" t="b">
        <f>IF($G754&lt;&gt;0,SUMIF(куб!$G:$G,$G754,куб!T:T),IF($E754&lt;&gt;0,SUMIF(куб!$E:$E,$E754,куб!T:T),IF($D754&lt;&gt;0,SUMIF(куб!$D:$D,$D754,куб!T:T),IF($C754&lt;&gt;0,SUMIF(куб!$C:$C,$C754,куб!T:T),IF($B754&lt;&gt;0,SUMIF(куб!$B:$B,$B754,куб!T:T))))))</f>
        <v>0</v>
      </c>
      <c r="AK754" s="27" t="b">
        <f>IF($G754&lt;&gt;0,SUMIF(куб!$G:$G,$G754,куб!U:U),IF($E754&lt;&gt;0,SUMIF(куб!$E:$E,$E754,куб!U:U),IF($D754&lt;&gt;0,SUMIF(куб!$D:$D,$D754,куб!U:U),IF($C754&lt;&gt;0,SUMIF(куб!$C:$C,$C754,куб!U:U),IF($B754&lt;&gt;0,SUMIF(куб!$B:$B,$B754,куб!U:U))))))</f>
        <v>0</v>
      </c>
      <c r="AL754" s="16" t="str">
        <f t="shared" si="248"/>
        <v>-</v>
      </c>
      <c r="AM754" s="8"/>
      <c r="AN754" s="17" t="str">
        <f t="shared" si="249"/>
        <v xml:space="preserve"> </v>
      </c>
      <c r="AO754" s="17" t="str">
        <f t="shared" si="250"/>
        <v xml:space="preserve"> </v>
      </c>
      <c r="AP754" s="16" t="str">
        <f t="shared" si="251"/>
        <v>-</v>
      </c>
      <c r="AQ754" s="8"/>
      <c r="AR754" s="17" t="str">
        <f t="shared" si="252"/>
        <v>-</v>
      </c>
      <c r="AS754" s="17" t="str">
        <f t="shared" si="253"/>
        <v>-</v>
      </c>
      <c r="AT754" s="13" t="str">
        <f t="shared" si="254"/>
        <v>-</v>
      </c>
      <c r="AU754" s="8"/>
    </row>
    <row r="755" spans="1:47" x14ac:dyDescent="0.25">
      <c r="A755" s="31"/>
      <c r="B755" s="31"/>
      <c r="C755"/>
      <c r="D755" s="31"/>
      <c r="E755"/>
      <c r="F755" s="31"/>
      <c r="G755"/>
      <c r="H755" s="27">
        <f>IF($G755&lt;&gt;0,SUMIF(куб!$G:$G,$G755,куб!H:H),IF($E755&lt;&gt;0,SUMIF(куб!$E:$E,$E755,куб!H:H),IF($D755&lt;&gt;0,SUMIF(куб!$D:$D,$D755,куб!H:H),IF($C755&lt;&gt;0,SUMIF(куб!$C:$C,$C755,куб!H:H),IF($B755&lt;&gt;0,SUMIF(куб!$B:$B,$B755,куб!H:H),IF($G755&lt;&gt;0,SUMIF(куб!$A:$A,$G755,куб!H:H),SUMIF(куб!$A:$A,$G755,куб!H:H)))))))</f>
        <v>0</v>
      </c>
      <c r="I755" s="27">
        <f>IF($G755&lt;&gt;0,SUMIF(куб!$G:$G,$G755,куб!I:I),IF($E755&lt;&gt;0,SUMIF(куб!$E:$E,$E755,куб!I:I),IF($D755&lt;&gt;0,SUMIF(куб!$D:$D,$D755,куб!I:I),IF($C755&lt;&gt;0,SUMIF(куб!$C:$C,$C755,куб!I:I),IF($B755&lt;&gt;0,SUMIF(куб!$B:$B,$B755,куб!I:I),IF($G755&lt;&gt;0,SUMIF(куб!$A:$A,$G755,куб!I:I),SUMIF(куб!$A:$A,$G755,куб!I:I)))))))</f>
        <v>0</v>
      </c>
      <c r="J755" s="19" t="str">
        <f t="shared" si="237"/>
        <v>-</v>
      </c>
      <c r="K755" s="8"/>
      <c r="L755" s="17">
        <f t="shared" si="238"/>
        <v>0</v>
      </c>
      <c r="M755" s="17">
        <f t="shared" si="239"/>
        <v>0</v>
      </c>
      <c r="N755" s="12">
        <f t="shared" si="240"/>
        <v>0</v>
      </c>
      <c r="O755" s="5"/>
      <c r="P755" s="27" t="b">
        <f>IF($G755&lt;&gt;0,SUMIF(куб!$G:$G,$G755,куб!J:J),IF($E755&lt;&gt;0,SUMIF(куб!$E:$E,$E755,куб!J:J),IF($D755&lt;&gt;0,SUMIF(куб!$D:$D,$D755,куб!J:J),IF($C755&lt;&gt;0,SUMIF(куб!$C:$C,$C755,куб!J:J),IF($B755&lt;&gt;0,SUMIF(куб!$B:$B,$B755,куб!J:J))))))</f>
        <v>0</v>
      </c>
      <c r="Q755" s="27" t="b">
        <f>IF($G755&lt;&gt;0,SUMIF(куб!$G:$G,$G755,куб!K:K),IF($E755&lt;&gt;0,SUMIF(куб!$E:$E,$E755,куб!K:K),IF($D755&lt;&gt;0,SUMIF(куб!$D:$D,$D755,куб!K:K),IF($C755&lt;&gt;0,SUMIF(куб!$C:$C,$C755,куб!K:K),IF($B755&lt;&gt;0,SUMIF(куб!$B:$B,$B755,куб!K:K))))))</f>
        <v>0</v>
      </c>
      <c r="R755" s="13" t="str">
        <f t="shared" si="241"/>
        <v>-</v>
      </c>
      <c r="S755" s="5"/>
      <c r="T755" s="27" t="b">
        <f>IF($G755&lt;&gt;0,SUMIF(куб!$G:$G,$G755,куб!L:L),IF($E755&lt;&gt;0,SUMIF(куб!$E:$E,$E755,куб!L:L),IF($D755&lt;&gt;0,SUMIF(куб!$D:$D,$D755,куб!L:L),IF($C755&lt;&gt;0,SUMIF(куб!$C:$C,$C755,куб!L:L),IF($B755&lt;&gt;0,SUMIF(куб!$B:$B,$B755,куб!L:L))))))</f>
        <v>0</v>
      </c>
      <c r="U755" s="27" t="b">
        <f>IF($G755&lt;&gt;0,SUMIF(куб!$G:$G,$G755,куб!M:M),IF($E755&lt;&gt;0,SUMIF(куб!$E:$E,$E755,куб!M:M),IF($D755&lt;&gt;0,SUMIF(куб!$D:$D,$D755,куб!M:M),IF($C755&lt;&gt;0,SUMIF(куб!$C:$C,$C755,куб!M:M),IF($B755&lt;&gt;0,SUMIF(куб!$B:$B,$B755,куб!M:M))))))</f>
        <v>0</v>
      </c>
      <c r="V755" s="13" t="str">
        <f t="shared" si="242"/>
        <v>-</v>
      </c>
      <c r="W755" s="5"/>
      <c r="X755" s="27" t="b">
        <f>IF($G755&lt;&gt;0,SUMIF(куб!$G:$G,$G755,куб!N:N),IF($E755&lt;&gt;0,SUMIF(куб!$E:$E,$E755,куб!N:N),IF($D755&lt;&gt;0,SUMIF(куб!$D:$D,$D755,куб!N:N),IF($C755&lt;&gt;0,SUMIF(куб!$C:$C,$C755,куб!N:N),IF($B755&lt;&gt;0,SUMIF(куб!$B:$B,$B755,куб!N:N))))))</f>
        <v>0</v>
      </c>
      <c r="Y755" s="27" t="b">
        <f>IF($G755&lt;&gt;0,SUMIF(куб!$G:$G,$G755,куб!O:O),IF($E755&lt;&gt;0,SUMIF(куб!$E:$E,$E755,куб!O:O),IF($D755&lt;&gt;0,SUMIF(куб!$D:$D,$D755,куб!O:O),IF($C755&lt;&gt;0,SUMIF(куб!$C:$C,$C755,куб!O:O),IF($B755&lt;&gt;0,SUMIF(куб!$B:$B,$B755,куб!O:O))))))</f>
        <v>0</v>
      </c>
      <c r="Z755" s="13" t="str">
        <f t="shared" si="243"/>
        <v>-</v>
      </c>
      <c r="AA755" s="5"/>
      <c r="AB755" s="33" t="str">
        <f t="shared" si="244"/>
        <v/>
      </c>
      <c r="AC755" s="33" t="str">
        <f t="shared" si="245"/>
        <v/>
      </c>
      <c r="AD755" s="15" t="str">
        <f t="shared" si="246"/>
        <v xml:space="preserve"> </v>
      </c>
      <c r="AE755" s="5"/>
      <c r="AF755" s="27" t="b">
        <f>IF($G755&lt;&gt;0,SUMIF(куб!$G:$G,$G755,куб!R:R),IF($E755&lt;&gt;0,SUMIF(куб!$E:$E,$E755,куб!R:R),IF($D755&lt;&gt;0,SUMIF(куб!$D:$D,$D755,куб!R:R),IF($C755&lt;&gt;0,SUMIF(куб!$C:$C,$C755,куб!R:R),IF($B755&lt;&gt;0,SUMIF(куб!$B:$B,$B755,куб!R:R))))))</f>
        <v>0</v>
      </c>
      <c r="AG755" s="27" t="b">
        <f>IF($G755&lt;&gt;0,SUMIF(куб!$G:$G,$G755,куб!S:S),IF($E755&lt;&gt;0,SUMIF(куб!$E:$E,$E755,куб!S:S),IF($D755&lt;&gt;0,SUMIF(куб!$D:$D,$D755,куб!S:S),IF($C755&lt;&gt;0,SUMIF(куб!$C:$C,$C755,куб!S:S),IF($B755&lt;&gt;0,SUMIF(куб!$B:$B,$B755,куб!S:S))))))</f>
        <v>0</v>
      </c>
      <c r="AH755" s="16" t="str">
        <f t="shared" si="247"/>
        <v>-</v>
      </c>
      <c r="AI755" s="8"/>
      <c r="AJ755" s="27" t="b">
        <f>IF($G755&lt;&gt;0,SUMIF(куб!$G:$G,$G755,куб!T:T),IF($E755&lt;&gt;0,SUMIF(куб!$E:$E,$E755,куб!T:T),IF($D755&lt;&gt;0,SUMIF(куб!$D:$D,$D755,куб!T:T),IF($C755&lt;&gt;0,SUMIF(куб!$C:$C,$C755,куб!T:T),IF($B755&lt;&gt;0,SUMIF(куб!$B:$B,$B755,куб!T:T))))))</f>
        <v>0</v>
      </c>
      <c r="AK755" s="27" t="b">
        <f>IF($G755&lt;&gt;0,SUMIF(куб!$G:$G,$G755,куб!U:U),IF($E755&lt;&gt;0,SUMIF(куб!$E:$E,$E755,куб!U:U),IF($D755&lt;&gt;0,SUMIF(куб!$D:$D,$D755,куб!U:U),IF($C755&lt;&gt;0,SUMIF(куб!$C:$C,$C755,куб!U:U),IF($B755&lt;&gt;0,SUMIF(куб!$B:$B,$B755,куб!U:U))))))</f>
        <v>0</v>
      </c>
      <c r="AL755" s="16" t="str">
        <f t="shared" si="248"/>
        <v>-</v>
      </c>
      <c r="AM755" s="8"/>
      <c r="AN755" s="17" t="str">
        <f t="shared" si="249"/>
        <v xml:space="preserve"> </v>
      </c>
      <c r="AO755" s="17" t="str">
        <f t="shared" si="250"/>
        <v xml:space="preserve"> </v>
      </c>
      <c r="AP755" s="16" t="str">
        <f t="shared" si="251"/>
        <v>-</v>
      </c>
      <c r="AQ755" s="8"/>
      <c r="AR755" s="17" t="str">
        <f t="shared" si="252"/>
        <v>-</v>
      </c>
      <c r="AS755" s="17" t="str">
        <f t="shared" si="253"/>
        <v>-</v>
      </c>
      <c r="AT755" s="13" t="str">
        <f t="shared" si="254"/>
        <v>-</v>
      </c>
      <c r="AU755" s="8"/>
    </row>
    <row r="756" spans="1:47" x14ac:dyDescent="0.25">
      <c r="A756" s="31"/>
      <c r="B756" s="31"/>
      <c r="C756"/>
      <c r="D756" s="31"/>
      <c r="E756"/>
      <c r="F756" s="31"/>
      <c r="G756"/>
      <c r="H756" s="27">
        <f>IF($G756&lt;&gt;0,SUMIF(куб!$G:$G,$G756,куб!H:H),IF($E756&lt;&gt;0,SUMIF(куб!$E:$E,$E756,куб!H:H),IF($D756&lt;&gt;0,SUMIF(куб!$D:$D,$D756,куб!H:H),IF($C756&lt;&gt;0,SUMIF(куб!$C:$C,$C756,куб!H:H),IF($B756&lt;&gt;0,SUMIF(куб!$B:$B,$B756,куб!H:H),IF($G756&lt;&gt;0,SUMIF(куб!$A:$A,$G756,куб!H:H),SUMIF(куб!$A:$A,$G756,куб!H:H)))))))</f>
        <v>0</v>
      </c>
      <c r="I756" s="27">
        <f>IF($G756&lt;&gt;0,SUMIF(куб!$G:$G,$G756,куб!I:I),IF($E756&lt;&gt;0,SUMIF(куб!$E:$E,$E756,куб!I:I),IF($D756&lt;&gt;0,SUMIF(куб!$D:$D,$D756,куб!I:I),IF($C756&lt;&gt;0,SUMIF(куб!$C:$C,$C756,куб!I:I),IF($B756&lt;&gt;0,SUMIF(куб!$B:$B,$B756,куб!I:I),IF($G756&lt;&gt;0,SUMIF(куб!$A:$A,$G756,куб!I:I),SUMIF(куб!$A:$A,$G756,куб!I:I)))))))</f>
        <v>0</v>
      </c>
      <c r="J756" s="19" t="str">
        <f t="shared" si="237"/>
        <v>-</v>
      </c>
      <c r="K756" s="8"/>
      <c r="L756" s="17">
        <f t="shared" si="238"/>
        <v>0</v>
      </c>
      <c r="M756" s="17">
        <f t="shared" si="239"/>
        <v>0</v>
      </c>
      <c r="N756" s="12">
        <f t="shared" si="240"/>
        <v>0</v>
      </c>
      <c r="O756" s="5"/>
      <c r="P756" s="27" t="b">
        <f>IF($G756&lt;&gt;0,SUMIF(куб!$G:$G,$G756,куб!J:J),IF($E756&lt;&gt;0,SUMIF(куб!$E:$E,$E756,куб!J:J),IF($D756&lt;&gt;0,SUMIF(куб!$D:$D,$D756,куб!J:J),IF($C756&lt;&gt;0,SUMIF(куб!$C:$C,$C756,куб!J:J),IF($B756&lt;&gt;0,SUMIF(куб!$B:$B,$B756,куб!J:J))))))</f>
        <v>0</v>
      </c>
      <c r="Q756" s="27" t="b">
        <f>IF($G756&lt;&gt;0,SUMIF(куб!$G:$G,$G756,куб!K:K),IF($E756&lt;&gt;0,SUMIF(куб!$E:$E,$E756,куб!K:K),IF($D756&lt;&gt;0,SUMIF(куб!$D:$D,$D756,куб!K:K),IF($C756&lt;&gt;0,SUMIF(куб!$C:$C,$C756,куб!K:K),IF($B756&lt;&gt;0,SUMIF(куб!$B:$B,$B756,куб!K:K))))))</f>
        <v>0</v>
      </c>
      <c r="R756" s="13" t="str">
        <f t="shared" si="241"/>
        <v>-</v>
      </c>
      <c r="S756" s="5"/>
      <c r="T756" s="27" t="b">
        <f>IF($G756&lt;&gt;0,SUMIF(куб!$G:$G,$G756,куб!L:L),IF($E756&lt;&gt;0,SUMIF(куб!$E:$E,$E756,куб!L:L),IF($D756&lt;&gt;0,SUMIF(куб!$D:$D,$D756,куб!L:L),IF($C756&lt;&gt;0,SUMIF(куб!$C:$C,$C756,куб!L:L),IF($B756&lt;&gt;0,SUMIF(куб!$B:$B,$B756,куб!L:L))))))</f>
        <v>0</v>
      </c>
      <c r="U756" s="27" t="b">
        <f>IF($G756&lt;&gt;0,SUMIF(куб!$G:$G,$G756,куб!M:M),IF($E756&lt;&gt;0,SUMIF(куб!$E:$E,$E756,куб!M:M),IF($D756&lt;&gt;0,SUMIF(куб!$D:$D,$D756,куб!M:M),IF($C756&lt;&gt;0,SUMIF(куб!$C:$C,$C756,куб!M:M),IF($B756&lt;&gt;0,SUMIF(куб!$B:$B,$B756,куб!M:M))))))</f>
        <v>0</v>
      </c>
      <c r="V756" s="13" t="str">
        <f t="shared" si="242"/>
        <v>-</v>
      </c>
      <c r="W756" s="5"/>
      <c r="X756" s="27" t="b">
        <f>IF($G756&lt;&gt;0,SUMIF(куб!$G:$G,$G756,куб!N:N),IF($E756&lt;&gt;0,SUMIF(куб!$E:$E,$E756,куб!N:N),IF($D756&lt;&gt;0,SUMIF(куб!$D:$D,$D756,куб!N:N),IF($C756&lt;&gt;0,SUMIF(куб!$C:$C,$C756,куб!N:N),IF($B756&lt;&gt;0,SUMIF(куб!$B:$B,$B756,куб!N:N))))))</f>
        <v>0</v>
      </c>
      <c r="Y756" s="27" t="b">
        <f>IF($G756&lt;&gt;0,SUMIF(куб!$G:$G,$G756,куб!O:O),IF($E756&lt;&gt;0,SUMIF(куб!$E:$E,$E756,куб!O:O),IF($D756&lt;&gt;0,SUMIF(куб!$D:$D,$D756,куб!O:O),IF($C756&lt;&gt;0,SUMIF(куб!$C:$C,$C756,куб!O:O),IF($B756&lt;&gt;0,SUMIF(куб!$B:$B,$B756,куб!O:O))))))</f>
        <v>0</v>
      </c>
      <c r="Z756" s="13" t="str">
        <f t="shared" si="243"/>
        <v>-</v>
      </c>
      <c r="AA756" s="5"/>
      <c r="AB756" s="33" t="str">
        <f t="shared" si="244"/>
        <v/>
      </c>
      <c r="AC756" s="33" t="str">
        <f t="shared" si="245"/>
        <v/>
      </c>
      <c r="AD756" s="15" t="str">
        <f t="shared" si="246"/>
        <v xml:space="preserve"> </v>
      </c>
      <c r="AE756" s="5"/>
      <c r="AF756" s="27" t="b">
        <f>IF($G756&lt;&gt;0,SUMIF(куб!$G:$G,$G756,куб!R:R),IF($E756&lt;&gt;0,SUMIF(куб!$E:$E,$E756,куб!R:R),IF($D756&lt;&gt;0,SUMIF(куб!$D:$D,$D756,куб!R:R),IF($C756&lt;&gt;0,SUMIF(куб!$C:$C,$C756,куб!R:R),IF($B756&lt;&gt;0,SUMIF(куб!$B:$B,$B756,куб!R:R))))))</f>
        <v>0</v>
      </c>
      <c r="AG756" s="27" t="b">
        <f>IF($G756&lt;&gt;0,SUMIF(куб!$G:$G,$G756,куб!S:S),IF($E756&lt;&gt;0,SUMIF(куб!$E:$E,$E756,куб!S:S),IF($D756&lt;&gt;0,SUMIF(куб!$D:$D,$D756,куб!S:S),IF($C756&lt;&gt;0,SUMIF(куб!$C:$C,$C756,куб!S:S),IF($B756&lt;&gt;0,SUMIF(куб!$B:$B,$B756,куб!S:S))))))</f>
        <v>0</v>
      </c>
      <c r="AH756" s="16" t="str">
        <f t="shared" si="247"/>
        <v>-</v>
      </c>
      <c r="AI756" s="8"/>
      <c r="AJ756" s="27" t="b">
        <f>IF($G756&lt;&gt;0,SUMIF(куб!$G:$G,$G756,куб!T:T),IF($E756&lt;&gt;0,SUMIF(куб!$E:$E,$E756,куб!T:T),IF($D756&lt;&gt;0,SUMIF(куб!$D:$D,$D756,куб!T:T),IF($C756&lt;&gt;0,SUMIF(куб!$C:$C,$C756,куб!T:T),IF($B756&lt;&gt;0,SUMIF(куб!$B:$B,$B756,куб!T:T))))))</f>
        <v>0</v>
      </c>
      <c r="AK756" s="27" t="b">
        <f>IF($G756&lt;&gt;0,SUMIF(куб!$G:$G,$G756,куб!U:U),IF($E756&lt;&gt;0,SUMIF(куб!$E:$E,$E756,куб!U:U),IF($D756&lt;&gt;0,SUMIF(куб!$D:$D,$D756,куб!U:U),IF($C756&lt;&gt;0,SUMIF(куб!$C:$C,$C756,куб!U:U),IF($B756&lt;&gt;0,SUMIF(куб!$B:$B,$B756,куб!U:U))))))</f>
        <v>0</v>
      </c>
      <c r="AL756" s="16" t="str">
        <f t="shared" si="248"/>
        <v>-</v>
      </c>
      <c r="AM756" s="8"/>
      <c r="AN756" s="17" t="str">
        <f t="shared" si="249"/>
        <v xml:space="preserve"> </v>
      </c>
      <c r="AO756" s="17" t="str">
        <f t="shared" si="250"/>
        <v xml:space="preserve"> </v>
      </c>
      <c r="AP756" s="16" t="str">
        <f t="shared" si="251"/>
        <v>-</v>
      </c>
      <c r="AQ756" s="8"/>
      <c r="AR756" s="17" t="str">
        <f t="shared" si="252"/>
        <v>-</v>
      </c>
      <c r="AS756" s="17" t="str">
        <f t="shared" si="253"/>
        <v>-</v>
      </c>
      <c r="AT756" s="13" t="str">
        <f t="shared" si="254"/>
        <v>-</v>
      </c>
      <c r="AU756" s="8"/>
    </row>
    <row r="757" spans="1:47" x14ac:dyDescent="0.25">
      <c r="A757" s="31"/>
      <c r="B757" s="31"/>
      <c r="C757"/>
      <c r="D757" s="31"/>
      <c r="E757"/>
      <c r="F757" s="31"/>
      <c r="G757"/>
      <c r="H757" s="27">
        <f>IF($G757&lt;&gt;0,SUMIF(куб!$G:$G,$G757,куб!H:H),IF($E757&lt;&gt;0,SUMIF(куб!$E:$E,$E757,куб!H:H),IF($D757&lt;&gt;0,SUMIF(куб!$D:$D,$D757,куб!H:H),IF($C757&lt;&gt;0,SUMIF(куб!$C:$C,$C757,куб!H:H),IF($B757&lt;&gt;0,SUMIF(куб!$B:$B,$B757,куб!H:H),IF($G757&lt;&gt;0,SUMIF(куб!$A:$A,$G757,куб!H:H),SUMIF(куб!$A:$A,$G757,куб!H:H)))))))</f>
        <v>0</v>
      </c>
      <c r="I757" s="27">
        <f>IF($G757&lt;&gt;0,SUMIF(куб!$G:$G,$G757,куб!I:I),IF($E757&lt;&gt;0,SUMIF(куб!$E:$E,$E757,куб!I:I),IF($D757&lt;&gt;0,SUMIF(куб!$D:$D,$D757,куб!I:I),IF($C757&lt;&gt;0,SUMIF(куб!$C:$C,$C757,куб!I:I),IF($B757&lt;&gt;0,SUMIF(куб!$B:$B,$B757,куб!I:I),IF($G757&lt;&gt;0,SUMIF(куб!$A:$A,$G757,куб!I:I),SUMIF(куб!$A:$A,$G757,куб!I:I)))))))</f>
        <v>0</v>
      </c>
      <c r="J757" s="19" t="str">
        <f t="shared" si="237"/>
        <v>-</v>
      </c>
      <c r="K757" s="8"/>
      <c r="L757" s="17">
        <f t="shared" si="238"/>
        <v>0</v>
      </c>
      <c r="M757" s="17">
        <f t="shared" si="239"/>
        <v>0</v>
      </c>
      <c r="N757" s="12">
        <f t="shared" si="240"/>
        <v>0</v>
      </c>
      <c r="O757" s="5"/>
      <c r="P757" s="27" t="b">
        <f>IF($G757&lt;&gt;0,SUMIF(куб!$G:$G,$G757,куб!J:J),IF($E757&lt;&gt;0,SUMIF(куб!$E:$E,$E757,куб!J:J),IF($D757&lt;&gt;0,SUMIF(куб!$D:$D,$D757,куб!J:J),IF($C757&lt;&gt;0,SUMIF(куб!$C:$C,$C757,куб!J:J),IF($B757&lt;&gt;0,SUMIF(куб!$B:$B,$B757,куб!J:J))))))</f>
        <v>0</v>
      </c>
      <c r="Q757" s="27" t="b">
        <f>IF($G757&lt;&gt;0,SUMIF(куб!$G:$G,$G757,куб!K:K),IF($E757&lt;&gt;0,SUMIF(куб!$E:$E,$E757,куб!K:K),IF($D757&lt;&gt;0,SUMIF(куб!$D:$D,$D757,куб!K:K),IF($C757&lt;&gt;0,SUMIF(куб!$C:$C,$C757,куб!K:K),IF($B757&lt;&gt;0,SUMIF(куб!$B:$B,$B757,куб!K:K))))))</f>
        <v>0</v>
      </c>
      <c r="R757" s="13" t="str">
        <f t="shared" si="241"/>
        <v>-</v>
      </c>
      <c r="S757" s="5"/>
      <c r="T757" s="27" t="b">
        <f>IF($G757&lt;&gt;0,SUMIF(куб!$G:$G,$G757,куб!L:L),IF($E757&lt;&gt;0,SUMIF(куб!$E:$E,$E757,куб!L:L),IF($D757&lt;&gt;0,SUMIF(куб!$D:$D,$D757,куб!L:L),IF($C757&lt;&gt;0,SUMIF(куб!$C:$C,$C757,куб!L:L),IF($B757&lt;&gt;0,SUMIF(куб!$B:$B,$B757,куб!L:L))))))</f>
        <v>0</v>
      </c>
      <c r="U757" s="27" t="b">
        <f>IF($G757&lt;&gt;0,SUMIF(куб!$G:$G,$G757,куб!M:M),IF($E757&lt;&gt;0,SUMIF(куб!$E:$E,$E757,куб!M:M),IF($D757&lt;&gt;0,SUMIF(куб!$D:$D,$D757,куб!M:M),IF($C757&lt;&gt;0,SUMIF(куб!$C:$C,$C757,куб!M:M),IF($B757&lt;&gt;0,SUMIF(куб!$B:$B,$B757,куб!M:M))))))</f>
        <v>0</v>
      </c>
      <c r="V757" s="13" t="str">
        <f t="shared" si="242"/>
        <v>-</v>
      </c>
      <c r="W757" s="5"/>
      <c r="X757" s="27" t="b">
        <f>IF($G757&lt;&gt;0,SUMIF(куб!$G:$G,$G757,куб!N:N),IF($E757&lt;&gt;0,SUMIF(куб!$E:$E,$E757,куб!N:N),IF($D757&lt;&gt;0,SUMIF(куб!$D:$D,$D757,куб!N:N),IF($C757&lt;&gt;0,SUMIF(куб!$C:$C,$C757,куб!N:N),IF($B757&lt;&gt;0,SUMIF(куб!$B:$B,$B757,куб!N:N))))))</f>
        <v>0</v>
      </c>
      <c r="Y757" s="27" t="b">
        <f>IF($G757&lt;&gt;0,SUMIF(куб!$G:$G,$G757,куб!O:O),IF($E757&lt;&gt;0,SUMIF(куб!$E:$E,$E757,куб!O:O),IF($D757&lt;&gt;0,SUMIF(куб!$D:$D,$D757,куб!O:O),IF($C757&lt;&gt;0,SUMIF(куб!$C:$C,$C757,куб!O:O),IF($B757&lt;&gt;0,SUMIF(куб!$B:$B,$B757,куб!O:O))))))</f>
        <v>0</v>
      </c>
      <c r="Z757" s="13" t="str">
        <f t="shared" si="243"/>
        <v>-</v>
      </c>
      <c r="AA757" s="5"/>
      <c r="AB757" s="33" t="str">
        <f t="shared" si="244"/>
        <v/>
      </c>
      <c r="AC757" s="33" t="str">
        <f t="shared" si="245"/>
        <v/>
      </c>
      <c r="AD757" s="15" t="str">
        <f t="shared" si="246"/>
        <v xml:space="preserve"> </v>
      </c>
      <c r="AE757" s="5"/>
      <c r="AF757" s="27" t="b">
        <f>IF($G757&lt;&gt;0,SUMIF(куб!$G:$G,$G757,куб!R:R),IF($E757&lt;&gt;0,SUMIF(куб!$E:$E,$E757,куб!R:R),IF($D757&lt;&gt;0,SUMIF(куб!$D:$D,$D757,куб!R:R),IF($C757&lt;&gt;0,SUMIF(куб!$C:$C,$C757,куб!R:R),IF($B757&lt;&gt;0,SUMIF(куб!$B:$B,$B757,куб!R:R))))))</f>
        <v>0</v>
      </c>
      <c r="AG757" s="27" t="b">
        <f>IF($G757&lt;&gt;0,SUMIF(куб!$G:$G,$G757,куб!S:S),IF($E757&lt;&gt;0,SUMIF(куб!$E:$E,$E757,куб!S:S),IF($D757&lt;&gt;0,SUMIF(куб!$D:$D,$D757,куб!S:S),IF($C757&lt;&gt;0,SUMIF(куб!$C:$C,$C757,куб!S:S),IF($B757&lt;&gt;0,SUMIF(куб!$B:$B,$B757,куб!S:S))))))</f>
        <v>0</v>
      </c>
      <c r="AH757" s="16" t="str">
        <f t="shared" si="247"/>
        <v>-</v>
      </c>
      <c r="AI757" s="8"/>
      <c r="AJ757" s="27" t="b">
        <f>IF($G757&lt;&gt;0,SUMIF(куб!$G:$G,$G757,куб!T:T),IF($E757&lt;&gt;0,SUMIF(куб!$E:$E,$E757,куб!T:T),IF($D757&lt;&gt;0,SUMIF(куб!$D:$D,$D757,куб!T:T),IF($C757&lt;&gt;0,SUMIF(куб!$C:$C,$C757,куб!T:T),IF($B757&lt;&gt;0,SUMIF(куб!$B:$B,$B757,куб!T:T))))))</f>
        <v>0</v>
      </c>
      <c r="AK757" s="27" t="b">
        <f>IF($G757&lt;&gt;0,SUMIF(куб!$G:$G,$G757,куб!U:U),IF($E757&lt;&gt;0,SUMIF(куб!$E:$E,$E757,куб!U:U),IF($D757&lt;&gt;0,SUMIF(куб!$D:$D,$D757,куб!U:U),IF($C757&lt;&gt;0,SUMIF(куб!$C:$C,$C757,куб!U:U),IF($B757&lt;&gt;0,SUMIF(куб!$B:$B,$B757,куб!U:U))))))</f>
        <v>0</v>
      </c>
      <c r="AL757" s="16" t="str">
        <f t="shared" si="248"/>
        <v>-</v>
      </c>
      <c r="AM757" s="8"/>
      <c r="AN757" s="17" t="str">
        <f t="shared" si="249"/>
        <v xml:space="preserve"> </v>
      </c>
      <c r="AO757" s="17" t="str">
        <f t="shared" si="250"/>
        <v xml:space="preserve"> </v>
      </c>
      <c r="AP757" s="16" t="str">
        <f t="shared" si="251"/>
        <v>-</v>
      </c>
      <c r="AQ757" s="8"/>
      <c r="AR757" s="17" t="str">
        <f t="shared" si="252"/>
        <v>-</v>
      </c>
      <c r="AS757" s="17" t="str">
        <f t="shared" si="253"/>
        <v>-</v>
      </c>
      <c r="AT757" s="13" t="str">
        <f t="shared" si="254"/>
        <v>-</v>
      </c>
      <c r="AU757" s="8"/>
    </row>
    <row r="758" spans="1:47" x14ac:dyDescent="0.25">
      <c r="A758" s="31"/>
      <c r="B758" s="31"/>
      <c r="C758"/>
      <c r="D758" s="31"/>
      <c r="E758"/>
      <c r="F758" s="31"/>
      <c r="G758"/>
      <c r="H758" s="27">
        <f>IF($G758&lt;&gt;0,SUMIF(куб!$G:$G,$G758,куб!H:H),IF($E758&lt;&gt;0,SUMIF(куб!$E:$E,$E758,куб!H:H),IF($D758&lt;&gt;0,SUMIF(куб!$D:$D,$D758,куб!H:H),IF($C758&lt;&gt;0,SUMIF(куб!$C:$C,$C758,куб!H:H),IF($B758&lt;&gt;0,SUMIF(куб!$B:$B,$B758,куб!H:H),IF($G758&lt;&gt;0,SUMIF(куб!$A:$A,$G758,куб!H:H),SUMIF(куб!$A:$A,$G758,куб!H:H)))))))</f>
        <v>0</v>
      </c>
      <c r="I758" s="27">
        <f>IF($G758&lt;&gt;0,SUMIF(куб!$G:$G,$G758,куб!I:I),IF($E758&lt;&gt;0,SUMIF(куб!$E:$E,$E758,куб!I:I),IF($D758&lt;&gt;0,SUMIF(куб!$D:$D,$D758,куб!I:I),IF($C758&lt;&gt;0,SUMIF(куб!$C:$C,$C758,куб!I:I),IF($B758&lt;&gt;0,SUMIF(куб!$B:$B,$B758,куб!I:I),IF($G758&lt;&gt;0,SUMIF(куб!$A:$A,$G758,куб!I:I),SUMIF(куб!$A:$A,$G758,куб!I:I)))))))</f>
        <v>0</v>
      </c>
      <c r="J758" s="19" t="str">
        <f t="shared" si="237"/>
        <v>-</v>
      </c>
      <c r="K758" s="8"/>
      <c r="L758" s="17">
        <f t="shared" si="238"/>
        <v>0</v>
      </c>
      <c r="M758" s="17">
        <f t="shared" si="239"/>
        <v>0</v>
      </c>
      <c r="N758" s="12">
        <f t="shared" si="240"/>
        <v>0</v>
      </c>
      <c r="O758" s="5"/>
      <c r="P758" s="27" t="b">
        <f>IF($G758&lt;&gt;0,SUMIF(куб!$G:$G,$G758,куб!J:J),IF($E758&lt;&gt;0,SUMIF(куб!$E:$E,$E758,куб!J:J),IF($D758&lt;&gt;0,SUMIF(куб!$D:$D,$D758,куб!J:J),IF($C758&lt;&gt;0,SUMIF(куб!$C:$C,$C758,куб!J:J),IF($B758&lt;&gt;0,SUMIF(куб!$B:$B,$B758,куб!J:J))))))</f>
        <v>0</v>
      </c>
      <c r="Q758" s="27" t="b">
        <f>IF($G758&lt;&gt;0,SUMIF(куб!$G:$G,$G758,куб!K:K),IF($E758&lt;&gt;0,SUMIF(куб!$E:$E,$E758,куб!K:K),IF($D758&lt;&gt;0,SUMIF(куб!$D:$D,$D758,куб!K:K),IF($C758&lt;&gt;0,SUMIF(куб!$C:$C,$C758,куб!K:K),IF($B758&lt;&gt;0,SUMIF(куб!$B:$B,$B758,куб!K:K))))))</f>
        <v>0</v>
      </c>
      <c r="R758" s="13" t="str">
        <f t="shared" si="241"/>
        <v>-</v>
      </c>
      <c r="S758" s="5"/>
      <c r="T758" s="27" t="b">
        <f>IF($G758&lt;&gt;0,SUMIF(куб!$G:$G,$G758,куб!L:L),IF($E758&lt;&gt;0,SUMIF(куб!$E:$E,$E758,куб!L:L),IF($D758&lt;&gt;0,SUMIF(куб!$D:$D,$D758,куб!L:L),IF($C758&lt;&gt;0,SUMIF(куб!$C:$C,$C758,куб!L:L),IF($B758&lt;&gt;0,SUMIF(куб!$B:$B,$B758,куб!L:L))))))</f>
        <v>0</v>
      </c>
      <c r="U758" s="27" t="b">
        <f>IF($G758&lt;&gt;0,SUMIF(куб!$G:$G,$G758,куб!M:M),IF($E758&lt;&gt;0,SUMIF(куб!$E:$E,$E758,куб!M:M),IF($D758&lt;&gt;0,SUMIF(куб!$D:$D,$D758,куб!M:M),IF($C758&lt;&gt;0,SUMIF(куб!$C:$C,$C758,куб!M:M),IF($B758&lt;&gt;0,SUMIF(куб!$B:$B,$B758,куб!M:M))))))</f>
        <v>0</v>
      </c>
      <c r="V758" s="13" t="str">
        <f t="shared" si="242"/>
        <v>-</v>
      </c>
      <c r="W758" s="5"/>
      <c r="X758" s="27" t="b">
        <f>IF($G758&lt;&gt;0,SUMIF(куб!$G:$G,$G758,куб!N:N),IF($E758&lt;&gt;0,SUMIF(куб!$E:$E,$E758,куб!N:N),IF($D758&lt;&gt;0,SUMIF(куб!$D:$D,$D758,куб!N:N),IF($C758&lt;&gt;0,SUMIF(куб!$C:$C,$C758,куб!N:N),IF($B758&lt;&gt;0,SUMIF(куб!$B:$B,$B758,куб!N:N))))))</f>
        <v>0</v>
      </c>
      <c r="Y758" s="27" t="b">
        <f>IF($G758&lt;&gt;0,SUMIF(куб!$G:$G,$G758,куб!O:O),IF($E758&lt;&gt;0,SUMIF(куб!$E:$E,$E758,куб!O:O),IF($D758&lt;&gt;0,SUMIF(куб!$D:$D,$D758,куб!O:O),IF($C758&lt;&gt;0,SUMIF(куб!$C:$C,$C758,куб!O:O),IF($B758&lt;&gt;0,SUMIF(куб!$B:$B,$B758,куб!O:O))))))</f>
        <v>0</v>
      </c>
      <c r="Z758" s="13" t="str">
        <f t="shared" si="243"/>
        <v>-</v>
      </c>
      <c r="AA758" s="5"/>
      <c r="AB758" s="33" t="str">
        <f t="shared" si="244"/>
        <v/>
      </c>
      <c r="AC758" s="33" t="str">
        <f t="shared" si="245"/>
        <v/>
      </c>
      <c r="AD758" s="15" t="str">
        <f t="shared" si="246"/>
        <v xml:space="preserve"> </v>
      </c>
      <c r="AE758" s="5"/>
      <c r="AF758" s="27" t="b">
        <f>IF($G758&lt;&gt;0,SUMIF(куб!$G:$G,$G758,куб!R:R),IF($E758&lt;&gt;0,SUMIF(куб!$E:$E,$E758,куб!R:R),IF($D758&lt;&gt;0,SUMIF(куб!$D:$D,$D758,куб!R:R),IF($C758&lt;&gt;0,SUMIF(куб!$C:$C,$C758,куб!R:R),IF($B758&lt;&gt;0,SUMIF(куб!$B:$B,$B758,куб!R:R))))))</f>
        <v>0</v>
      </c>
      <c r="AG758" s="27" t="b">
        <f>IF($G758&lt;&gt;0,SUMIF(куб!$G:$G,$G758,куб!S:S),IF($E758&lt;&gt;0,SUMIF(куб!$E:$E,$E758,куб!S:S),IF($D758&lt;&gt;0,SUMIF(куб!$D:$D,$D758,куб!S:S),IF($C758&lt;&gt;0,SUMIF(куб!$C:$C,$C758,куб!S:S),IF($B758&lt;&gt;0,SUMIF(куб!$B:$B,$B758,куб!S:S))))))</f>
        <v>0</v>
      </c>
      <c r="AH758" s="16" t="str">
        <f t="shared" si="247"/>
        <v>-</v>
      </c>
      <c r="AI758" s="8"/>
      <c r="AJ758" s="27" t="b">
        <f>IF($G758&lt;&gt;0,SUMIF(куб!$G:$G,$G758,куб!T:T),IF($E758&lt;&gt;0,SUMIF(куб!$E:$E,$E758,куб!T:T),IF($D758&lt;&gt;0,SUMIF(куб!$D:$D,$D758,куб!T:T),IF($C758&lt;&gt;0,SUMIF(куб!$C:$C,$C758,куб!T:T),IF($B758&lt;&gt;0,SUMIF(куб!$B:$B,$B758,куб!T:T))))))</f>
        <v>0</v>
      </c>
      <c r="AK758" s="27" t="b">
        <f>IF($G758&lt;&gt;0,SUMIF(куб!$G:$G,$G758,куб!U:U),IF($E758&lt;&gt;0,SUMIF(куб!$E:$E,$E758,куб!U:U),IF($D758&lt;&gt;0,SUMIF(куб!$D:$D,$D758,куб!U:U),IF($C758&lt;&gt;0,SUMIF(куб!$C:$C,$C758,куб!U:U),IF($B758&lt;&gt;0,SUMIF(куб!$B:$B,$B758,куб!U:U))))))</f>
        <v>0</v>
      </c>
      <c r="AL758" s="16" t="str">
        <f t="shared" si="248"/>
        <v>-</v>
      </c>
      <c r="AM758" s="8"/>
      <c r="AN758" s="17" t="str">
        <f t="shared" si="249"/>
        <v xml:space="preserve"> </v>
      </c>
      <c r="AO758" s="17" t="str">
        <f t="shared" si="250"/>
        <v xml:space="preserve"> </v>
      </c>
      <c r="AP758" s="16" t="str">
        <f t="shared" si="251"/>
        <v>-</v>
      </c>
      <c r="AQ758" s="8"/>
      <c r="AR758" s="17" t="str">
        <f t="shared" si="252"/>
        <v>-</v>
      </c>
      <c r="AS758" s="17" t="str">
        <f t="shared" si="253"/>
        <v>-</v>
      </c>
      <c r="AT758" s="13" t="str">
        <f t="shared" si="254"/>
        <v>-</v>
      </c>
      <c r="AU758" s="8"/>
    </row>
    <row r="759" spans="1:47" x14ac:dyDescent="0.25">
      <c r="A759" s="31"/>
      <c r="B759" s="31"/>
      <c r="C759"/>
      <c r="D759" s="31"/>
      <c r="E759"/>
      <c r="F759" s="31"/>
      <c r="G759"/>
      <c r="H759" s="27">
        <f>IF($G759&lt;&gt;0,SUMIF(куб!$G:$G,$G759,куб!H:H),IF($E759&lt;&gt;0,SUMIF(куб!$E:$E,$E759,куб!H:H),IF($D759&lt;&gt;0,SUMIF(куб!$D:$D,$D759,куб!H:H),IF($C759&lt;&gt;0,SUMIF(куб!$C:$C,$C759,куб!H:H),IF($B759&lt;&gt;0,SUMIF(куб!$B:$B,$B759,куб!H:H),IF($G759&lt;&gt;0,SUMIF(куб!$A:$A,$G759,куб!H:H),SUMIF(куб!$A:$A,$G759,куб!H:H)))))))</f>
        <v>0</v>
      </c>
      <c r="I759" s="27">
        <f>IF($G759&lt;&gt;0,SUMIF(куб!$G:$G,$G759,куб!I:I),IF($E759&lt;&gt;0,SUMIF(куб!$E:$E,$E759,куб!I:I),IF($D759&lt;&gt;0,SUMIF(куб!$D:$D,$D759,куб!I:I),IF($C759&lt;&gt;0,SUMIF(куб!$C:$C,$C759,куб!I:I),IF($B759&lt;&gt;0,SUMIF(куб!$B:$B,$B759,куб!I:I),IF($G759&lt;&gt;0,SUMIF(куб!$A:$A,$G759,куб!I:I),SUMIF(куб!$A:$A,$G759,куб!I:I)))))))</f>
        <v>0</v>
      </c>
      <c r="J759" s="19" t="str">
        <f t="shared" si="237"/>
        <v>-</v>
      </c>
      <c r="K759" s="8"/>
      <c r="L759" s="17">
        <f t="shared" si="238"/>
        <v>0</v>
      </c>
      <c r="M759" s="17">
        <f t="shared" si="239"/>
        <v>0</v>
      </c>
      <c r="N759" s="12">
        <f t="shared" si="240"/>
        <v>0</v>
      </c>
      <c r="O759" s="5"/>
      <c r="P759" s="27" t="b">
        <f>IF($G759&lt;&gt;0,SUMIF(куб!$G:$G,$G759,куб!J:J),IF($E759&lt;&gt;0,SUMIF(куб!$E:$E,$E759,куб!J:J),IF($D759&lt;&gt;0,SUMIF(куб!$D:$D,$D759,куб!J:J),IF($C759&lt;&gt;0,SUMIF(куб!$C:$C,$C759,куб!J:J),IF($B759&lt;&gt;0,SUMIF(куб!$B:$B,$B759,куб!J:J))))))</f>
        <v>0</v>
      </c>
      <c r="Q759" s="27" t="b">
        <f>IF($G759&lt;&gt;0,SUMIF(куб!$G:$G,$G759,куб!K:K),IF($E759&lt;&gt;0,SUMIF(куб!$E:$E,$E759,куб!K:K),IF($D759&lt;&gt;0,SUMIF(куб!$D:$D,$D759,куб!K:K),IF($C759&lt;&gt;0,SUMIF(куб!$C:$C,$C759,куб!K:K),IF($B759&lt;&gt;0,SUMIF(куб!$B:$B,$B759,куб!K:K))))))</f>
        <v>0</v>
      </c>
      <c r="R759" s="13" t="str">
        <f t="shared" si="241"/>
        <v>-</v>
      </c>
      <c r="S759" s="5"/>
      <c r="T759" s="27" t="b">
        <f>IF($G759&lt;&gt;0,SUMIF(куб!$G:$G,$G759,куб!L:L),IF($E759&lt;&gt;0,SUMIF(куб!$E:$E,$E759,куб!L:L),IF($D759&lt;&gt;0,SUMIF(куб!$D:$D,$D759,куб!L:L),IF($C759&lt;&gt;0,SUMIF(куб!$C:$C,$C759,куб!L:L),IF($B759&lt;&gt;0,SUMIF(куб!$B:$B,$B759,куб!L:L))))))</f>
        <v>0</v>
      </c>
      <c r="U759" s="27" t="b">
        <f>IF($G759&lt;&gt;0,SUMIF(куб!$G:$G,$G759,куб!M:M),IF($E759&lt;&gt;0,SUMIF(куб!$E:$E,$E759,куб!M:M),IF($D759&lt;&gt;0,SUMIF(куб!$D:$D,$D759,куб!M:M),IF($C759&lt;&gt;0,SUMIF(куб!$C:$C,$C759,куб!M:M),IF($B759&lt;&gt;0,SUMIF(куб!$B:$B,$B759,куб!M:M))))))</f>
        <v>0</v>
      </c>
      <c r="V759" s="13" t="str">
        <f t="shared" si="242"/>
        <v>-</v>
      </c>
      <c r="W759" s="5"/>
      <c r="X759" s="27" t="b">
        <f>IF($G759&lt;&gt;0,SUMIF(куб!$G:$G,$G759,куб!N:N),IF($E759&lt;&gt;0,SUMIF(куб!$E:$E,$E759,куб!N:N),IF($D759&lt;&gt;0,SUMIF(куб!$D:$D,$D759,куб!N:N),IF($C759&lt;&gt;0,SUMIF(куб!$C:$C,$C759,куб!N:N),IF($B759&lt;&gt;0,SUMIF(куб!$B:$B,$B759,куб!N:N))))))</f>
        <v>0</v>
      </c>
      <c r="Y759" s="27" t="b">
        <f>IF($G759&lt;&gt;0,SUMIF(куб!$G:$G,$G759,куб!O:O),IF($E759&lt;&gt;0,SUMIF(куб!$E:$E,$E759,куб!O:O),IF($D759&lt;&gt;0,SUMIF(куб!$D:$D,$D759,куб!O:O),IF($C759&lt;&gt;0,SUMIF(куб!$C:$C,$C759,куб!O:O),IF($B759&lt;&gt;0,SUMIF(куб!$B:$B,$B759,куб!O:O))))))</f>
        <v>0</v>
      </c>
      <c r="Z759" s="13" t="str">
        <f t="shared" si="243"/>
        <v>-</v>
      </c>
      <c r="AA759" s="5"/>
      <c r="AB759" s="33" t="str">
        <f t="shared" si="244"/>
        <v/>
      </c>
      <c r="AC759" s="33" t="str">
        <f t="shared" si="245"/>
        <v/>
      </c>
      <c r="AD759" s="15" t="str">
        <f t="shared" si="246"/>
        <v xml:space="preserve"> </v>
      </c>
      <c r="AE759" s="5"/>
      <c r="AF759" s="27" t="b">
        <f>IF($G759&lt;&gt;0,SUMIF(куб!$G:$G,$G759,куб!R:R),IF($E759&lt;&gt;0,SUMIF(куб!$E:$E,$E759,куб!R:R),IF($D759&lt;&gt;0,SUMIF(куб!$D:$D,$D759,куб!R:R),IF($C759&lt;&gt;0,SUMIF(куб!$C:$C,$C759,куб!R:R),IF($B759&lt;&gt;0,SUMIF(куб!$B:$B,$B759,куб!R:R))))))</f>
        <v>0</v>
      </c>
      <c r="AG759" s="27" t="b">
        <f>IF($G759&lt;&gt;0,SUMIF(куб!$G:$G,$G759,куб!S:S),IF($E759&lt;&gt;0,SUMIF(куб!$E:$E,$E759,куб!S:S),IF($D759&lt;&gt;0,SUMIF(куб!$D:$D,$D759,куб!S:S),IF($C759&lt;&gt;0,SUMIF(куб!$C:$C,$C759,куб!S:S),IF($B759&lt;&gt;0,SUMIF(куб!$B:$B,$B759,куб!S:S))))))</f>
        <v>0</v>
      </c>
      <c r="AH759" s="16" t="str">
        <f t="shared" si="247"/>
        <v>-</v>
      </c>
      <c r="AI759" s="8"/>
      <c r="AJ759" s="27" t="b">
        <f>IF($G759&lt;&gt;0,SUMIF(куб!$G:$G,$G759,куб!T:T),IF($E759&lt;&gt;0,SUMIF(куб!$E:$E,$E759,куб!T:T),IF($D759&lt;&gt;0,SUMIF(куб!$D:$D,$D759,куб!T:T),IF($C759&lt;&gt;0,SUMIF(куб!$C:$C,$C759,куб!T:T),IF($B759&lt;&gt;0,SUMIF(куб!$B:$B,$B759,куб!T:T))))))</f>
        <v>0</v>
      </c>
      <c r="AK759" s="27" t="b">
        <f>IF($G759&lt;&gt;0,SUMIF(куб!$G:$G,$G759,куб!U:U),IF($E759&lt;&gt;0,SUMIF(куб!$E:$E,$E759,куб!U:U),IF($D759&lt;&gt;0,SUMIF(куб!$D:$D,$D759,куб!U:U),IF($C759&lt;&gt;0,SUMIF(куб!$C:$C,$C759,куб!U:U),IF($B759&lt;&gt;0,SUMIF(куб!$B:$B,$B759,куб!U:U))))))</f>
        <v>0</v>
      </c>
      <c r="AL759" s="16" t="str">
        <f t="shared" si="248"/>
        <v>-</v>
      </c>
      <c r="AM759" s="8"/>
      <c r="AN759" s="17" t="str">
        <f t="shared" si="249"/>
        <v xml:space="preserve"> </v>
      </c>
      <c r="AO759" s="17" t="str">
        <f t="shared" si="250"/>
        <v xml:space="preserve"> </v>
      </c>
      <c r="AP759" s="16" t="str">
        <f t="shared" si="251"/>
        <v>-</v>
      </c>
      <c r="AQ759" s="8"/>
      <c r="AR759" s="17" t="str">
        <f t="shared" si="252"/>
        <v>-</v>
      </c>
      <c r="AS759" s="17" t="str">
        <f t="shared" si="253"/>
        <v>-</v>
      </c>
      <c r="AT759" s="13" t="str">
        <f t="shared" si="254"/>
        <v>-</v>
      </c>
      <c r="AU759" s="8"/>
    </row>
    <row r="760" spans="1:47" x14ac:dyDescent="0.25">
      <c r="A760" s="31"/>
      <c r="B760" s="31"/>
      <c r="C760"/>
      <c r="D760" s="31"/>
      <c r="E760"/>
      <c r="F760" s="31"/>
      <c r="G760"/>
      <c r="H760" s="27">
        <f>IF($G760&lt;&gt;0,SUMIF(куб!$G:$G,$G760,куб!H:H),IF($E760&lt;&gt;0,SUMIF(куб!$E:$E,$E760,куб!H:H),IF($D760&lt;&gt;0,SUMIF(куб!$D:$D,$D760,куб!H:H),IF($C760&lt;&gt;0,SUMIF(куб!$C:$C,$C760,куб!H:H),IF($B760&lt;&gt;0,SUMIF(куб!$B:$B,$B760,куб!H:H),IF($G760&lt;&gt;0,SUMIF(куб!$A:$A,$G760,куб!H:H),SUMIF(куб!$A:$A,$G760,куб!H:H)))))))</f>
        <v>0</v>
      </c>
      <c r="I760" s="27">
        <f>IF($G760&lt;&gt;0,SUMIF(куб!$G:$G,$G760,куб!I:I),IF($E760&lt;&gt;0,SUMIF(куб!$E:$E,$E760,куб!I:I),IF($D760&lt;&gt;0,SUMIF(куб!$D:$D,$D760,куб!I:I),IF($C760&lt;&gt;0,SUMIF(куб!$C:$C,$C760,куб!I:I),IF($B760&lt;&gt;0,SUMIF(куб!$B:$B,$B760,куб!I:I),IF($G760&lt;&gt;0,SUMIF(куб!$A:$A,$G760,куб!I:I),SUMIF(куб!$A:$A,$G760,куб!I:I)))))))</f>
        <v>0</v>
      </c>
      <c r="J760" s="19" t="str">
        <f t="shared" ref="J760:J823" si="255">IFERROR((I760-H760)/ABS(H760),"-")</f>
        <v>-</v>
      </c>
      <c r="K760" s="8"/>
      <c r="L760" s="17">
        <f t="shared" ref="L760:L823" si="256">H760/$H$3</f>
        <v>0</v>
      </c>
      <c r="M760" s="17">
        <f t="shared" ref="M760:M823" si="257">I760/$I$3</f>
        <v>0</v>
      </c>
      <c r="N760" s="12">
        <f t="shared" ref="N760:N823" si="258">M760-L760</f>
        <v>0</v>
      </c>
      <c r="O760" s="5"/>
      <c r="P760" s="27" t="b">
        <f>IF($G760&lt;&gt;0,SUMIF(куб!$G:$G,$G760,куб!J:J),IF($E760&lt;&gt;0,SUMIF(куб!$E:$E,$E760,куб!J:J),IF($D760&lt;&gt;0,SUMIF(куб!$D:$D,$D760,куб!J:J),IF($C760&lt;&gt;0,SUMIF(куб!$C:$C,$C760,куб!J:J),IF($B760&lt;&gt;0,SUMIF(куб!$B:$B,$B760,куб!J:J))))))</f>
        <v>0</v>
      </c>
      <c r="Q760" s="27" t="b">
        <f>IF($G760&lt;&gt;0,SUMIF(куб!$G:$G,$G760,куб!K:K),IF($E760&lt;&gt;0,SUMIF(куб!$E:$E,$E760,куб!K:K),IF($D760&lt;&gt;0,SUMIF(куб!$D:$D,$D760,куб!K:K),IF($C760&lt;&gt;0,SUMIF(куб!$C:$C,$C760,куб!K:K),IF($B760&lt;&gt;0,SUMIF(куб!$B:$B,$B760,куб!K:K))))))</f>
        <v>0</v>
      </c>
      <c r="R760" s="13" t="str">
        <f t="shared" ref="R760:R823" si="259">IFERROR((Q760-P760)/ABS(P760),"-")</f>
        <v>-</v>
      </c>
      <c r="S760" s="5"/>
      <c r="T760" s="27" t="b">
        <f>IF($G760&lt;&gt;0,SUMIF(куб!$G:$G,$G760,куб!L:L),IF($E760&lt;&gt;0,SUMIF(куб!$E:$E,$E760,куб!L:L),IF($D760&lt;&gt;0,SUMIF(куб!$D:$D,$D760,куб!L:L),IF($C760&lt;&gt;0,SUMIF(куб!$C:$C,$C760,куб!L:L),IF($B760&lt;&gt;0,SUMIF(куб!$B:$B,$B760,куб!L:L))))))</f>
        <v>0</v>
      </c>
      <c r="U760" s="27" t="b">
        <f>IF($G760&lt;&gt;0,SUMIF(куб!$G:$G,$G760,куб!M:M),IF($E760&lt;&gt;0,SUMIF(куб!$E:$E,$E760,куб!M:M),IF($D760&lt;&gt;0,SUMIF(куб!$D:$D,$D760,куб!M:M),IF($C760&lt;&gt;0,SUMIF(куб!$C:$C,$C760,куб!M:M),IF($B760&lt;&gt;0,SUMIF(куб!$B:$B,$B760,куб!M:M))))))</f>
        <v>0</v>
      </c>
      <c r="V760" s="13" t="str">
        <f t="shared" ref="V760:V823" si="260">IFERROR((U760-T760)/ABS(T760),"-")</f>
        <v>-</v>
      </c>
      <c r="W760" s="5"/>
      <c r="X760" s="27" t="b">
        <f>IF($G760&lt;&gt;0,SUMIF(куб!$G:$G,$G760,куб!N:N),IF($E760&lt;&gt;0,SUMIF(куб!$E:$E,$E760,куб!N:N),IF($D760&lt;&gt;0,SUMIF(куб!$D:$D,$D760,куб!N:N),IF($C760&lt;&gt;0,SUMIF(куб!$C:$C,$C760,куб!N:N),IF($B760&lt;&gt;0,SUMIF(куб!$B:$B,$B760,куб!N:N))))))</f>
        <v>0</v>
      </c>
      <c r="Y760" s="27" t="b">
        <f>IF($G760&lt;&gt;0,SUMIF(куб!$G:$G,$G760,куб!O:O),IF($E760&lt;&gt;0,SUMIF(куб!$E:$E,$E760,куб!O:O),IF($D760&lt;&gt;0,SUMIF(куб!$D:$D,$D760,куб!O:O),IF($C760&lt;&gt;0,SUMIF(куб!$C:$C,$C760,куб!O:O),IF($B760&lt;&gt;0,SUMIF(куб!$B:$B,$B760,куб!O:O))))))</f>
        <v>0</v>
      </c>
      <c r="Z760" s="13" t="str">
        <f t="shared" ref="Z760:Z823" si="261">IFERROR((Y760-X760)/ABS(X760),"-")</f>
        <v>-</v>
      </c>
      <c r="AA760" s="5"/>
      <c r="AB760" s="33" t="str">
        <f t="shared" ref="AB760:AB823" si="262">IFERROR(X760/H760,"")</f>
        <v/>
      </c>
      <c r="AC760" s="33" t="str">
        <f t="shared" ref="AC760:AC823" si="263">IFERROR(Y760/I760,"")</f>
        <v/>
      </c>
      <c r="AD760" s="15" t="str">
        <f t="shared" ref="AD760:AD823" si="264">IFERROR(AC760-AB760," ")</f>
        <v xml:space="preserve"> </v>
      </c>
      <c r="AE760" s="5"/>
      <c r="AF760" s="27" t="b">
        <f>IF($G760&lt;&gt;0,SUMIF(куб!$G:$G,$G760,куб!R:R),IF($E760&lt;&gt;0,SUMIF(куб!$E:$E,$E760,куб!R:R),IF($D760&lt;&gt;0,SUMIF(куб!$D:$D,$D760,куб!R:R),IF($C760&lt;&gt;0,SUMIF(куб!$C:$C,$C760,куб!R:R),IF($B760&lt;&gt;0,SUMIF(куб!$B:$B,$B760,куб!R:R))))))</f>
        <v>0</v>
      </c>
      <c r="AG760" s="27" t="b">
        <f>IF($G760&lt;&gt;0,SUMIF(куб!$G:$G,$G760,куб!S:S),IF($E760&lt;&gt;0,SUMIF(куб!$E:$E,$E760,куб!S:S),IF($D760&lt;&gt;0,SUMIF(куб!$D:$D,$D760,куб!S:S),IF($C760&lt;&gt;0,SUMIF(куб!$C:$C,$C760,куб!S:S),IF($B760&lt;&gt;0,SUMIF(куб!$B:$B,$B760,куб!S:S))))))</f>
        <v>0</v>
      </c>
      <c r="AH760" s="16" t="str">
        <f t="shared" ref="AH760:AH823" si="265">IFERROR((AG760-AF760)/ABS(AF760),"-")</f>
        <v>-</v>
      </c>
      <c r="AI760" s="8"/>
      <c r="AJ760" s="27" t="b">
        <f>IF($G760&lt;&gt;0,SUMIF(куб!$G:$G,$G760,куб!T:T),IF($E760&lt;&gt;0,SUMIF(куб!$E:$E,$E760,куб!T:T),IF($D760&lt;&gt;0,SUMIF(куб!$D:$D,$D760,куб!T:T),IF($C760&lt;&gt;0,SUMIF(куб!$C:$C,$C760,куб!T:T),IF($B760&lt;&gt;0,SUMIF(куб!$B:$B,$B760,куб!T:T))))))</f>
        <v>0</v>
      </c>
      <c r="AK760" s="27" t="b">
        <f>IF($G760&lt;&gt;0,SUMIF(куб!$G:$G,$G760,куб!U:U),IF($E760&lt;&gt;0,SUMIF(куб!$E:$E,$E760,куб!U:U),IF($D760&lt;&gt;0,SUMIF(куб!$D:$D,$D760,куб!U:U),IF($C760&lt;&gt;0,SUMIF(куб!$C:$C,$C760,куб!U:U),IF($B760&lt;&gt;0,SUMIF(куб!$B:$B,$B760,куб!U:U))))))</f>
        <v>0</v>
      </c>
      <c r="AL760" s="16" t="str">
        <f t="shared" ref="AL760:AL823" si="266">IFERROR((AK760-AJ760)/ABS(AJ760),"-")</f>
        <v>-</v>
      </c>
      <c r="AM760" s="8"/>
      <c r="AN760" s="17" t="str">
        <f t="shared" ref="AN760:AN823" si="267">IFERROR(AF760/H760," ")</f>
        <v xml:space="preserve"> </v>
      </c>
      <c r="AO760" s="17" t="str">
        <f t="shared" ref="AO760:AO823" si="268">IFERROR(AG760/I760," ")</f>
        <v xml:space="preserve"> </v>
      </c>
      <c r="AP760" s="16" t="str">
        <f t="shared" ref="AP760:AP823" si="269">IFERROR(AO760-AN760,"-")</f>
        <v>-</v>
      </c>
      <c r="AQ760" s="8"/>
      <c r="AR760" s="17" t="str">
        <f t="shared" ref="AR760:AR823" si="270">IFERROR((X760-AF760)/H760,"-")</f>
        <v>-</v>
      </c>
      <c r="AS760" s="17" t="str">
        <f t="shared" ref="AS760:AS823" si="271">IFERROR((Y760-AG760)/I760,"-")</f>
        <v>-</v>
      </c>
      <c r="AT760" s="13" t="str">
        <f t="shared" ref="AT760:AT823" si="272">IFERROR(AS760-AR760,"-")</f>
        <v>-</v>
      </c>
      <c r="AU760" s="8"/>
    </row>
    <row r="761" spans="1:47" x14ac:dyDescent="0.25">
      <c r="A761" s="31"/>
      <c r="B761" s="31"/>
      <c r="C761"/>
      <c r="D761" s="31"/>
      <c r="E761"/>
      <c r="F761" s="31"/>
      <c r="G761"/>
      <c r="H761" s="27">
        <f>IF($G761&lt;&gt;0,SUMIF(куб!$G:$G,$G761,куб!H:H),IF($E761&lt;&gt;0,SUMIF(куб!$E:$E,$E761,куб!H:H),IF($D761&lt;&gt;0,SUMIF(куб!$D:$D,$D761,куб!H:H),IF($C761&lt;&gt;0,SUMIF(куб!$C:$C,$C761,куб!H:H),IF($B761&lt;&gt;0,SUMIF(куб!$B:$B,$B761,куб!H:H),IF($G761&lt;&gt;0,SUMIF(куб!$A:$A,$G761,куб!H:H),SUMIF(куб!$A:$A,$G761,куб!H:H)))))))</f>
        <v>0</v>
      </c>
      <c r="I761" s="27">
        <f>IF($G761&lt;&gt;0,SUMIF(куб!$G:$G,$G761,куб!I:I),IF($E761&lt;&gt;0,SUMIF(куб!$E:$E,$E761,куб!I:I),IF($D761&lt;&gt;0,SUMIF(куб!$D:$D,$D761,куб!I:I),IF($C761&lt;&gt;0,SUMIF(куб!$C:$C,$C761,куб!I:I),IF($B761&lt;&gt;0,SUMIF(куб!$B:$B,$B761,куб!I:I),IF($G761&lt;&gt;0,SUMIF(куб!$A:$A,$G761,куб!I:I),SUMIF(куб!$A:$A,$G761,куб!I:I)))))))</f>
        <v>0</v>
      </c>
      <c r="J761" s="19" t="str">
        <f t="shared" si="255"/>
        <v>-</v>
      </c>
      <c r="K761" s="8"/>
      <c r="L761" s="17">
        <f t="shared" si="256"/>
        <v>0</v>
      </c>
      <c r="M761" s="17">
        <f t="shared" si="257"/>
        <v>0</v>
      </c>
      <c r="N761" s="12">
        <f t="shared" si="258"/>
        <v>0</v>
      </c>
      <c r="O761" s="5"/>
      <c r="P761" s="27" t="b">
        <f>IF($G761&lt;&gt;0,SUMIF(куб!$G:$G,$G761,куб!J:J),IF($E761&lt;&gt;0,SUMIF(куб!$E:$E,$E761,куб!J:J),IF($D761&lt;&gt;0,SUMIF(куб!$D:$D,$D761,куб!J:J),IF($C761&lt;&gt;0,SUMIF(куб!$C:$C,$C761,куб!J:J),IF($B761&lt;&gt;0,SUMIF(куб!$B:$B,$B761,куб!J:J))))))</f>
        <v>0</v>
      </c>
      <c r="Q761" s="27" t="b">
        <f>IF($G761&lt;&gt;0,SUMIF(куб!$G:$G,$G761,куб!K:K),IF($E761&lt;&gt;0,SUMIF(куб!$E:$E,$E761,куб!K:K),IF($D761&lt;&gt;0,SUMIF(куб!$D:$D,$D761,куб!K:K),IF($C761&lt;&gt;0,SUMIF(куб!$C:$C,$C761,куб!K:K),IF($B761&lt;&gt;0,SUMIF(куб!$B:$B,$B761,куб!K:K))))))</f>
        <v>0</v>
      </c>
      <c r="R761" s="13" t="str">
        <f t="shared" si="259"/>
        <v>-</v>
      </c>
      <c r="S761" s="5"/>
      <c r="T761" s="27" t="b">
        <f>IF($G761&lt;&gt;0,SUMIF(куб!$G:$G,$G761,куб!L:L),IF($E761&lt;&gt;0,SUMIF(куб!$E:$E,$E761,куб!L:L),IF($D761&lt;&gt;0,SUMIF(куб!$D:$D,$D761,куб!L:L),IF($C761&lt;&gt;0,SUMIF(куб!$C:$C,$C761,куб!L:L),IF($B761&lt;&gt;0,SUMIF(куб!$B:$B,$B761,куб!L:L))))))</f>
        <v>0</v>
      </c>
      <c r="U761" s="27" t="b">
        <f>IF($G761&lt;&gt;0,SUMIF(куб!$G:$G,$G761,куб!M:M),IF($E761&lt;&gt;0,SUMIF(куб!$E:$E,$E761,куб!M:M),IF($D761&lt;&gt;0,SUMIF(куб!$D:$D,$D761,куб!M:M),IF($C761&lt;&gt;0,SUMIF(куб!$C:$C,$C761,куб!M:M),IF($B761&lt;&gt;0,SUMIF(куб!$B:$B,$B761,куб!M:M))))))</f>
        <v>0</v>
      </c>
      <c r="V761" s="13" t="str">
        <f t="shared" si="260"/>
        <v>-</v>
      </c>
      <c r="W761" s="5"/>
      <c r="X761" s="27" t="b">
        <f>IF($G761&lt;&gt;0,SUMIF(куб!$G:$G,$G761,куб!N:N),IF($E761&lt;&gt;0,SUMIF(куб!$E:$E,$E761,куб!N:N),IF($D761&lt;&gt;0,SUMIF(куб!$D:$D,$D761,куб!N:N),IF($C761&lt;&gt;0,SUMIF(куб!$C:$C,$C761,куб!N:N),IF($B761&lt;&gt;0,SUMIF(куб!$B:$B,$B761,куб!N:N))))))</f>
        <v>0</v>
      </c>
      <c r="Y761" s="27" t="b">
        <f>IF($G761&lt;&gt;0,SUMIF(куб!$G:$G,$G761,куб!O:O),IF($E761&lt;&gt;0,SUMIF(куб!$E:$E,$E761,куб!O:O),IF($D761&lt;&gt;0,SUMIF(куб!$D:$D,$D761,куб!O:O),IF($C761&lt;&gt;0,SUMIF(куб!$C:$C,$C761,куб!O:O),IF($B761&lt;&gt;0,SUMIF(куб!$B:$B,$B761,куб!O:O))))))</f>
        <v>0</v>
      </c>
      <c r="Z761" s="13" t="str">
        <f t="shared" si="261"/>
        <v>-</v>
      </c>
      <c r="AA761" s="5"/>
      <c r="AB761" s="33" t="str">
        <f t="shared" si="262"/>
        <v/>
      </c>
      <c r="AC761" s="33" t="str">
        <f t="shared" si="263"/>
        <v/>
      </c>
      <c r="AD761" s="15" t="str">
        <f t="shared" si="264"/>
        <v xml:space="preserve"> </v>
      </c>
      <c r="AE761" s="5"/>
      <c r="AF761" s="27" t="b">
        <f>IF($G761&lt;&gt;0,SUMIF(куб!$G:$G,$G761,куб!R:R),IF($E761&lt;&gt;0,SUMIF(куб!$E:$E,$E761,куб!R:R),IF($D761&lt;&gt;0,SUMIF(куб!$D:$D,$D761,куб!R:R),IF($C761&lt;&gt;0,SUMIF(куб!$C:$C,$C761,куб!R:R),IF($B761&lt;&gt;0,SUMIF(куб!$B:$B,$B761,куб!R:R))))))</f>
        <v>0</v>
      </c>
      <c r="AG761" s="27" t="b">
        <f>IF($G761&lt;&gt;0,SUMIF(куб!$G:$G,$G761,куб!S:S),IF($E761&lt;&gt;0,SUMIF(куб!$E:$E,$E761,куб!S:S),IF($D761&lt;&gt;0,SUMIF(куб!$D:$D,$D761,куб!S:S),IF($C761&lt;&gt;0,SUMIF(куб!$C:$C,$C761,куб!S:S),IF($B761&lt;&gt;0,SUMIF(куб!$B:$B,$B761,куб!S:S))))))</f>
        <v>0</v>
      </c>
      <c r="AH761" s="16" t="str">
        <f t="shared" si="265"/>
        <v>-</v>
      </c>
      <c r="AI761" s="8"/>
      <c r="AJ761" s="27" t="b">
        <f>IF($G761&lt;&gt;0,SUMIF(куб!$G:$G,$G761,куб!T:T),IF($E761&lt;&gt;0,SUMIF(куб!$E:$E,$E761,куб!T:T),IF($D761&lt;&gt;0,SUMIF(куб!$D:$D,$D761,куб!T:T),IF($C761&lt;&gt;0,SUMIF(куб!$C:$C,$C761,куб!T:T),IF($B761&lt;&gt;0,SUMIF(куб!$B:$B,$B761,куб!T:T))))))</f>
        <v>0</v>
      </c>
      <c r="AK761" s="27" t="b">
        <f>IF($G761&lt;&gt;0,SUMIF(куб!$G:$G,$G761,куб!U:U),IF($E761&lt;&gt;0,SUMIF(куб!$E:$E,$E761,куб!U:U),IF($D761&lt;&gt;0,SUMIF(куб!$D:$D,$D761,куб!U:U),IF($C761&lt;&gt;0,SUMIF(куб!$C:$C,$C761,куб!U:U),IF($B761&lt;&gt;0,SUMIF(куб!$B:$B,$B761,куб!U:U))))))</f>
        <v>0</v>
      </c>
      <c r="AL761" s="16" t="str">
        <f t="shared" si="266"/>
        <v>-</v>
      </c>
      <c r="AM761" s="8"/>
      <c r="AN761" s="17" t="str">
        <f t="shared" si="267"/>
        <v xml:space="preserve"> </v>
      </c>
      <c r="AO761" s="17" t="str">
        <f t="shared" si="268"/>
        <v xml:space="preserve"> </v>
      </c>
      <c r="AP761" s="16" t="str">
        <f t="shared" si="269"/>
        <v>-</v>
      </c>
      <c r="AQ761" s="8"/>
      <c r="AR761" s="17" t="str">
        <f t="shared" si="270"/>
        <v>-</v>
      </c>
      <c r="AS761" s="17" t="str">
        <f t="shared" si="271"/>
        <v>-</v>
      </c>
      <c r="AT761" s="13" t="str">
        <f t="shared" si="272"/>
        <v>-</v>
      </c>
      <c r="AU761" s="8"/>
    </row>
    <row r="762" spans="1:47" x14ac:dyDescent="0.25">
      <c r="A762" s="31"/>
      <c r="B762" s="31"/>
      <c r="C762"/>
      <c r="D762" s="31"/>
      <c r="E762"/>
      <c r="F762" s="31"/>
      <c r="G762"/>
      <c r="H762" s="27">
        <f>IF($G762&lt;&gt;0,SUMIF(куб!$G:$G,$G762,куб!H:H),IF($E762&lt;&gt;0,SUMIF(куб!$E:$E,$E762,куб!H:H),IF($D762&lt;&gt;0,SUMIF(куб!$D:$D,$D762,куб!H:H),IF($C762&lt;&gt;0,SUMIF(куб!$C:$C,$C762,куб!H:H),IF($B762&lt;&gt;0,SUMIF(куб!$B:$B,$B762,куб!H:H),IF($G762&lt;&gt;0,SUMIF(куб!$A:$A,$G762,куб!H:H),SUMIF(куб!$A:$A,$G762,куб!H:H)))))))</f>
        <v>0</v>
      </c>
      <c r="I762" s="27">
        <f>IF($G762&lt;&gt;0,SUMIF(куб!$G:$G,$G762,куб!I:I),IF($E762&lt;&gt;0,SUMIF(куб!$E:$E,$E762,куб!I:I),IF($D762&lt;&gt;0,SUMIF(куб!$D:$D,$D762,куб!I:I),IF($C762&lt;&gt;0,SUMIF(куб!$C:$C,$C762,куб!I:I),IF($B762&lt;&gt;0,SUMIF(куб!$B:$B,$B762,куб!I:I),IF($G762&lt;&gt;0,SUMIF(куб!$A:$A,$G762,куб!I:I),SUMIF(куб!$A:$A,$G762,куб!I:I)))))))</f>
        <v>0</v>
      </c>
      <c r="J762" s="19" t="str">
        <f t="shared" si="255"/>
        <v>-</v>
      </c>
      <c r="K762" s="8"/>
      <c r="L762" s="17">
        <f t="shared" si="256"/>
        <v>0</v>
      </c>
      <c r="M762" s="17">
        <f t="shared" si="257"/>
        <v>0</v>
      </c>
      <c r="N762" s="12">
        <f t="shared" si="258"/>
        <v>0</v>
      </c>
      <c r="O762" s="5"/>
      <c r="P762" s="27" t="b">
        <f>IF($G762&lt;&gt;0,SUMIF(куб!$G:$G,$G762,куб!J:J),IF($E762&lt;&gt;0,SUMIF(куб!$E:$E,$E762,куб!J:J),IF($D762&lt;&gt;0,SUMIF(куб!$D:$D,$D762,куб!J:J),IF($C762&lt;&gt;0,SUMIF(куб!$C:$C,$C762,куб!J:J),IF($B762&lt;&gt;0,SUMIF(куб!$B:$B,$B762,куб!J:J))))))</f>
        <v>0</v>
      </c>
      <c r="Q762" s="27" t="b">
        <f>IF($G762&lt;&gt;0,SUMIF(куб!$G:$G,$G762,куб!K:K),IF($E762&lt;&gt;0,SUMIF(куб!$E:$E,$E762,куб!K:K),IF($D762&lt;&gt;0,SUMIF(куб!$D:$D,$D762,куб!K:K),IF($C762&lt;&gt;0,SUMIF(куб!$C:$C,$C762,куб!K:K),IF($B762&lt;&gt;0,SUMIF(куб!$B:$B,$B762,куб!K:K))))))</f>
        <v>0</v>
      </c>
      <c r="R762" s="13" t="str">
        <f t="shared" si="259"/>
        <v>-</v>
      </c>
      <c r="S762" s="5"/>
      <c r="T762" s="27" t="b">
        <f>IF($G762&lt;&gt;0,SUMIF(куб!$G:$G,$G762,куб!L:L),IF($E762&lt;&gt;0,SUMIF(куб!$E:$E,$E762,куб!L:L),IF($D762&lt;&gt;0,SUMIF(куб!$D:$D,$D762,куб!L:L),IF($C762&lt;&gt;0,SUMIF(куб!$C:$C,$C762,куб!L:L),IF($B762&lt;&gt;0,SUMIF(куб!$B:$B,$B762,куб!L:L))))))</f>
        <v>0</v>
      </c>
      <c r="U762" s="27" t="b">
        <f>IF($G762&lt;&gt;0,SUMIF(куб!$G:$G,$G762,куб!M:M),IF($E762&lt;&gt;0,SUMIF(куб!$E:$E,$E762,куб!M:M),IF($D762&lt;&gt;0,SUMIF(куб!$D:$D,$D762,куб!M:M),IF($C762&lt;&gt;0,SUMIF(куб!$C:$C,$C762,куб!M:M),IF($B762&lt;&gt;0,SUMIF(куб!$B:$B,$B762,куб!M:M))))))</f>
        <v>0</v>
      </c>
      <c r="V762" s="13" t="str">
        <f t="shared" si="260"/>
        <v>-</v>
      </c>
      <c r="W762" s="5"/>
      <c r="X762" s="27" t="b">
        <f>IF($G762&lt;&gt;0,SUMIF(куб!$G:$G,$G762,куб!N:N),IF($E762&lt;&gt;0,SUMIF(куб!$E:$E,$E762,куб!N:N),IF($D762&lt;&gt;0,SUMIF(куб!$D:$D,$D762,куб!N:N),IF($C762&lt;&gt;0,SUMIF(куб!$C:$C,$C762,куб!N:N),IF($B762&lt;&gt;0,SUMIF(куб!$B:$B,$B762,куб!N:N))))))</f>
        <v>0</v>
      </c>
      <c r="Y762" s="27" t="b">
        <f>IF($G762&lt;&gt;0,SUMIF(куб!$G:$G,$G762,куб!O:O),IF($E762&lt;&gt;0,SUMIF(куб!$E:$E,$E762,куб!O:O),IF($D762&lt;&gt;0,SUMIF(куб!$D:$D,$D762,куб!O:O),IF($C762&lt;&gt;0,SUMIF(куб!$C:$C,$C762,куб!O:O),IF($B762&lt;&gt;0,SUMIF(куб!$B:$B,$B762,куб!O:O))))))</f>
        <v>0</v>
      </c>
      <c r="Z762" s="13" t="str">
        <f t="shared" si="261"/>
        <v>-</v>
      </c>
      <c r="AA762" s="5"/>
      <c r="AB762" s="33" t="str">
        <f t="shared" si="262"/>
        <v/>
      </c>
      <c r="AC762" s="33" t="str">
        <f t="shared" si="263"/>
        <v/>
      </c>
      <c r="AD762" s="15" t="str">
        <f t="shared" si="264"/>
        <v xml:space="preserve"> </v>
      </c>
      <c r="AE762" s="5"/>
      <c r="AF762" s="27" t="b">
        <f>IF($G762&lt;&gt;0,SUMIF(куб!$G:$G,$G762,куб!R:R),IF($E762&lt;&gt;0,SUMIF(куб!$E:$E,$E762,куб!R:R),IF($D762&lt;&gt;0,SUMIF(куб!$D:$D,$D762,куб!R:R),IF($C762&lt;&gt;0,SUMIF(куб!$C:$C,$C762,куб!R:R),IF($B762&lt;&gt;0,SUMIF(куб!$B:$B,$B762,куб!R:R))))))</f>
        <v>0</v>
      </c>
      <c r="AG762" s="27" t="b">
        <f>IF($G762&lt;&gt;0,SUMIF(куб!$G:$G,$G762,куб!S:S),IF($E762&lt;&gt;0,SUMIF(куб!$E:$E,$E762,куб!S:S),IF($D762&lt;&gt;0,SUMIF(куб!$D:$D,$D762,куб!S:S),IF($C762&lt;&gt;0,SUMIF(куб!$C:$C,$C762,куб!S:S),IF($B762&lt;&gt;0,SUMIF(куб!$B:$B,$B762,куб!S:S))))))</f>
        <v>0</v>
      </c>
      <c r="AH762" s="16" t="str">
        <f t="shared" si="265"/>
        <v>-</v>
      </c>
      <c r="AI762" s="8"/>
      <c r="AJ762" s="27" t="b">
        <f>IF($G762&lt;&gt;0,SUMIF(куб!$G:$G,$G762,куб!T:T),IF($E762&lt;&gt;0,SUMIF(куб!$E:$E,$E762,куб!T:T),IF($D762&lt;&gt;0,SUMIF(куб!$D:$D,$D762,куб!T:T),IF($C762&lt;&gt;0,SUMIF(куб!$C:$C,$C762,куб!T:T),IF($B762&lt;&gt;0,SUMIF(куб!$B:$B,$B762,куб!T:T))))))</f>
        <v>0</v>
      </c>
      <c r="AK762" s="27" t="b">
        <f>IF($G762&lt;&gt;0,SUMIF(куб!$G:$G,$G762,куб!U:U),IF($E762&lt;&gt;0,SUMIF(куб!$E:$E,$E762,куб!U:U),IF($D762&lt;&gt;0,SUMIF(куб!$D:$D,$D762,куб!U:U),IF($C762&lt;&gt;0,SUMIF(куб!$C:$C,$C762,куб!U:U),IF($B762&lt;&gt;0,SUMIF(куб!$B:$B,$B762,куб!U:U))))))</f>
        <v>0</v>
      </c>
      <c r="AL762" s="16" t="str">
        <f t="shared" si="266"/>
        <v>-</v>
      </c>
      <c r="AM762" s="8"/>
      <c r="AN762" s="17" t="str">
        <f t="shared" si="267"/>
        <v xml:space="preserve"> </v>
      </c>
      <c r="AO762" s="17" t="str">
        <f t="shared" si="268"/>
        <v xml:space="preserve"> </v>
      </c>
      <c r="AP762" s="16" t="str">
        <f t="shared" si="269"/>
        <v>-</v>
      </c>
      <c r="AQ762" s="8"/>
      <c r="AR762" s="17" t="str">
        <f t="shared" si="270"/>
        <v>-</v>
      </c>
      <c r="AS762" s="17" t="str">
        <f t="shared" si="271"/>
        <v>-</v>
      </c>
      <c r="AT762" s="13" t="str">
        <f t="shared" si="272"/>
        <v>-</v>
      </c>
      <c r="AU762" s="8"/>
    </row>
    <row r="763" spans="1:47" x14ac:dyDescent="0.25">
      <c r="A763" s="31"/>
      <c r="B763" s="31"/>
      <c r="C763"/>
      <c r="D763" s="31"/>
      <c r="E763"/>
      <c r="F763" s="31"/>
      <c r="G763"/>
      <c r="H763" s="27">
        <f>IF($G763&lt;&gt;0,SUMIF(куб!$G:$G,$G763,куб!H:H),IF($E763&lt;&gt;0,SUMIF(куб!$E:$E,$E763,куб!H:H),IF($D763&lt;&gt;0,SUMIF(куб!$D:$D,$D763,куб!H:H),IF($C763&lt;&gt;0,SUMIF(куб!$C:$C,$C763,куб!H:H),IF($B763&lt;&gt;0,SUMIF(куб!$B:$B,$B763,куб!H:H),IF($G763&lt;&gt;0,SUMIF(куб!$A:$A,$G763,куб!H:H),SUMIF(куб!$A:$A,$G763,куб!H:H)))))))</f>
        <v>0</v>
      </c>
      <c r="I763" s="27">
        <f>IF($G763&lt;&gt;0,SUMIF(куб!$G:$G,$G763,куб!I:I),IF($E763&lt;&gt;0,SUMIF(куб!$E:$E,$E763,куб!I:I),IF($D763&lt;&gt;0,SUMIF(куб!$D:$D,$D763,куб!I:I),IF($C763&lt;&gt;0,SUMIF(куб!$C:$C,$C763,куб!I:I),IF($B763&lt;&gt;0,SUMIF(куб!$B:$B,$B763,куб!I:I),IF($G763&lt;&gt;0,SUMIF(куб!$A:$A,$G763,куб!I:I),SUMIF(куб!$A:$A,$G763,куб!I:I)))))))</f>
        <v>0</v>
      </c>
      <c r="J763" s="19" t="str">
        <f t="shared" si="255"/>
        <v>-</v>
      </c>
      <c r="K763" s="8"/>
      <c r="L763" s="17">
        <f t="shared" si="256"/>
        <v>0</v>
      </c>
      <c r="M763" s="17">
        <f t="shared" si="257"/>
        <v>0</v>
      </c>
      <c r="N763" s="12">
        <f t="shared" si="258"/>
        <v>0</v>
      </c>
      <c r="O763" s="5"/>
      <c r="P763" s="27" t="b">
        <f>IF($G763&lt;&gt;0,SUMIF(куб!$G:$G,$G763,куб!J:J),IF($E763&lt;&gt;0,SUMIF(куб!$E:$E,$E763,куб!J:J),IF($D763&lt;&gt;0,SUMIF(куб!$D:$D,$D763,куб!J:J),IF($C763&lt;&gt;0,SUMIF(куб!$C:$C,$C763,куб!J:J),IF($B763&lt;&gt;0,SUMIF(куб!$B:$B,$B763,куб!J:J))))))</f>
        <v>0</v>
      </c>
      <c r="Q763" s="27" t="b">
        <f>IF($G763&lt;&gt;0,SUMIF(куб!$G:$G,$G763,куб!K:K),IF($E763&lt;&gt;0,SUMIF(куб!$E:$E,$E763,куб!K:K),IF($D763&lt;&gt;0,SUMIF(куб!$D:$D,$D763,куб!K:K),IF($C763&lt;&gt;0,SUMIF(куб!$C:$C,$C763,куб!K:K),IF($B763&lt;&gt;0,SUMIF(куб!$B:$B,$B763,куб!K:K))))))</f>
        <v>0</v>
      </c>
      <c r="R763" s="13" t="str">
        <f t="shared" si="259"/>
        <v>-</v>
      </c>
      <c r="S763" s="5"/>
      <c r="T763" s="27" t="b">
        <f>IF($G763&lt;&gt;0,SUMIF(куб!$G:$G,$G763,куб!L:L),IF($E763&lt;&gt;0,SUMIF(куб!$E:$E,$E763,куб!L:L),IF($D763&lt;&gt;0,SUMIF(куб!$D:$D,$D763,куб!L:L),IF($C763&lt;&gt;0,SUMIF(куб!$C:$C,$C763,куб!L:L),IF($B763&lt;&gt;0,SUMIF(куб!$B:$B,$B763,куб!L:L))))))</f>
        <v>0</v>
      </c>
      <c r="U763" s="27" t="b">
        <f>IF($G763&lt;&gt;0,SUMIF(куб!$G:$G,$G763,куб!M:M),IF($E763&lt;&gt;0,SUMIF(куб!$E:$E,$E763,куб!M:M),IF($D763&lt;&gt;0,SUMIF(куб!$D:$D,$D763,куб!M:M),IF($C763&lt;&gt;0,SUMIF(куб!$C:$C,$C763,куб!M:M),IF($B763&lt;&gt;0,SUMIF(куб!$B:$B,$B763,куб!M:M))))))</f>
        <v>0</v>
      </c>
      <c r="V763" s="13" t="str">
        <f t="shared" si="260"/>
        <v>-</v>
      </c>
      <c r="W763" s="5"/>
      <c r="X763" s="27" t="b">
        <f>IF($G763&lt;&gt;0,SUMIF(куб!$G:$G,$G763,куб!N:N),IF($E763&lt;&gt;0,SUMIF(куб!$E:$E,$E763,куб!N:N),IF($D763&lt;&gt;0,SUMIF(куб!$D:$D,$D763,куб!N:N),IF($C763&lt;&gt;0,SUMIF(куб!$C:$C,$C763,куб!N:N),IF($B763&lt;&gt;0,SUMIF(куб!$B:$B,$B763,куб!N:N))))))</f>
        <v>0</v>
      </c>
      <c r="Y763" s="27" t="b">
        <f>IF($G763&lt;&gt;0,SUMIF(куб!$G:$G,$G763,куб!O:O),IF($E763&lt;&gt;0,SUMIF(куб!$E:$E,$E763,куб!O:O),IF($D763&lt;&gt;0,SUMIF(куб!$D:$D,$D763,куб!O:O),IF($C763&lt;&gt;0,SUMIF(куб!$C:$C,$C763,куб!O:O),IF($B763&lt;&gt;0,SUMIF(куб!$B:$B,$B763,куб!O:O))))))</f>
        <v>0</v>
      </c>
      <c r="Z763" s="13" t="str">
        <f t="shared" si="261"/>
        <v>-</v>
      </c>
      <c r="AA763" s="5"/>
      <c r="AB763" s="33" t="str">
        <f t="shared" si="262"/>
        <v/>
      </c>
      <c r="AC763" s="33" t="str">
        <f t="shared" si="263"/>
        <v/>
      </c>
      <c r="AD763" s="15" t="str">
        <f t="shared" si="264"/>
        <v xml:space="preserve"> </v>
      </c>
      <c r="AE763" s="5"/>
      <c r="AF763" s="27" t="b">
        <f>IF($G763&lt;&gt;0,SUMIF(куб!$G:$G,$G763,куб!R:R),IF($E763&lt;&gt;0,SUMIF(куб!$E:$E,$E763,куб!R:R),IF($D763&lt;&gt;0,SUMIF(куб!$D:$D,$D763,куб!R:R),IF($C763&lt;&gt;0,SUMIF(куб!$C:$C,$C763,куб!R:R),IF($B763&lt;&gt;0,SUMIF(куб!$B:$B,$B763,куб!R:R))))))</f>
        <v>0</v>
      </c>
      <c r="AG763" s="27" t="b">
        <f>IF($G763&lt;&gt;0,SUMIF(куб!$G:$G,$G763,куб!S:S),IF($E763&lt;&gt;0,SUMIF(куб!$E:$E,$E763,куб!S:S),IF($D763&lt;&gt;0,SUMIF(куб!$D:$D,$D763,куб!S:S),IF($C763&lt;&gt;0,SUMIF(куб!$C:$C,$C763,куб!S:S),IF($B763&lt;&gt;0,SUMIF(куб!$B:$B,$B763,куб!S:S))))))</f>
        <v>0</v>
      </c>
      <c r="AH763" s="16" t="str">
        <f t="shared" si="265"/>
        <v>-</v>
      </c>
      <c r="AI763" s="8"/>
      <c r="AJ763" s="27" t="b">
        <f>IF($G763&lt;&gt;0,SUMIF(куб!$G:$G,$G763,куб!T:T),IF($E763&lt;&gt;0,SUMIF(куб!$E:$E,$E763,куб!T:T),IF($D763&lt;&gt;0,SUMIF(куб!$D:$D,$D763,куб!T:T),IF($C763&lt;&gt;0,SUMIF(куб!$C:$C,$C763,куб!T:T),IF($B763&lt;&gt;0,SUMIF(куб!$B:$B,$B763,куб!T:T))))))</f>
        <v>0</v>
      </c>
      <c r="AK763" s="27" t="b">
        <f>IF($G763&lt;&gt;0,SUMIF(куб!$G:$G,$G763,куб!U:U),IF($E763&lt;&gt;0,SUMIF(куб!$E:$E,$E763,куб!U:U),IF($D763&lt;&gt;0,SUMIF(куб!$D:$D,$D763,куб!U:U),IF($C763&lt;&gt;0,SUMIF(куб!$C:$C,$C763,куб!U:U),IF($B763&lt;&gt;0,SUMIF(куб!$B:$B,$B763,куб!U:U))))))</f>
        <v>0</v>
      </c>
      <c r="AL763" s="16" t="str">
        <f t="shared" si="266"/>
        <v>-</v>
      </c>
      <c r="AM763" s="8"/>
      <c r="AN763" s="17" t="str">
        <f t="shared" si="267"/>
        <v xml:space="preserve"> </v>
      </c>
      <c r="AO763" s="17" t="str">
        <f t="shared" si="268"/>
        <v xml:space="preserve"> </v>
      </c>
      <c r="AP763" s="16" t="str">
        <f t="shared" si="269"/>
        <v>-</v>
      </c>
      <c r="AQ763" s="8"/>
      <c r="AR763" s="17" t="str">
        <f t="shared" si="270"/>
        <v>-</v>
      </c>
      <c r="AS763" s="17" t="str">
        <f t="shared" si="271"/>
        <v>-</v>
      </c>
      <c r="AT763" s="13" t="str">
        <f t="shared" si="272"/>
        <v>-</v>
      </c>
      <c r="AU763" s="8"/>
    </row>
    <row r="764" spans="1:47" x14ac:dyDescent="0.25">
      <c r="A764" s="31"/>
      <c r="B764" s="31"/>
      <c r="C764"/>
      <c r="D764" s="31"/>
      <c r="E764"/>
      <c r="F764" s="31"/>
      <c r="G764"/>
      <c r="H764" s="27">
        <f>IF($G764&lt;&gt;0,SUMIF(куб!$G:$G,$G764,куб!H:H),IF($E764&lt;&gt;0,SUMIF(куб!$E:$E,$E764,куб!H:H),IF($D764&lt;&gt;0,SUMIF(куб!$D:$D,$D764,куб!H:H),IF($C764&lt;&gt;0,SUMIF(куб!$C:$C,$C764,куб!H:H),IF($B764&lt;&gt;0,SUMIF(куб!$B:$B,$B764,куб!H:H),IF($G764&lt;&gt;0,SUMIF(куб!$A:$A,$G764,куб!H:H),SUMIF(куб!$A:$A,$G764,куб!H:H)))))))</f>
        <v>0</v>
      </c>
      <c r="I764" s="27">
        <f>IF($G764&lt;&gt;0,SUMIF(куб!$G:$G,$G764,куб!I:I),IF($E764&lt;&gt;0,SUMIF(куб!$E:$E,$E764,куб!I:I),IF($D764&lt;&gt;0,SUMIF(куб!$D:$D,$D764,куб!I:I),IF($C764&lt;&gt;0,SUMIF(куб!$C:$C,$C764,куб!I:I),IF($B764&lt;&gt;0,SUMIF(куб!$B:$B,$B764,куб!I:I),IF($G764&lt;&gt;0,SUMIF(куб!$A:$A,$G764,куб!I:I),SUMIF(куб!$A:$A,$G764,куб!I:I)))))))</f>
        <v>0</v>
      </c>
      <c r="J764" s="19" t="str">
        <f t="shared" si="255"/>
        <v>-</v>
      </c>
      <c r="K764" s="8"/>
      <c r="L764" s="17">
        <f t="shared" si="256"/>
        <v>0</v>
      </c>
      <c r="M764" s="17">
        <f t="shared" si="257"/>
        <v>0</v>
      </c>
      <c r="N764" s="12">
        <f t="shared" si="258"/>
        <v>0</v>
      </c>
      <c r="O764" s="5"/>
      <c r="P764" s="27" t="b">
        <f>IF($G764&lt;&gt;0,SUMIF(куб!$G:$G,$G764,куб!J:J),IF($E764&lt;&gt;0,SUMIF(куб!$E:$E,$E764,куб!J:J),IF($D764&lt;&gt;0,SUMIF(куб!$D:$D,$D764,куб!J:J),IF($C764&lt;&gt;0,SUMIF(куб!$C:$C,$C764,куб!J:J),IF($B764&lt;&gt;0,SUMIF(куб!$B:$B,$B764,куб!J:J))))))</f>
        <v>0</v>
      </c>
      <c r="Q764" s="27" t="b">
        <f>IF($G764&lt;&gt;0,SUMIF(куб!$G:$G,$G764,куб!K:K),IF($E764&lt;&gt;0,SUMIF(куб!$E:$E,$E764,куб!K:K),IF($D764&lt;&gt;0,SUMIF(куб!$D:$D,$D764,куб!K:K),IF($C764&lt;&gt;0,SUMIF(куб!$C:$C,$C764,куб!K:K),IF($B764&lt;&gt;0,SUMIF(куб!$B:$B,$B764,куб!K:K))))))</f>
        <v>0</v>
      </c>
      <c r="R764" s="13" t="str">
        <f t="shared" si="259"/>
        <v>-</v>
      </c>
      <c r="S764" s="5"/>
      <c r="T764" s="27" t="b">
        <f>IF($G764&lt;&gt;0,SUMIF(куб!$G:$G,$G764,куб!L:L),IF($E764&lt;&gt;0,SUMIF(куб!$E:$E,$E764,куб!L:L),IF($D764&lt;&gt;0,SUMIF(куб!$D:$D,$D764,куб!L:L),IF($C764&lt;&gt;0,SUMIF(куб!$C:$C,$C764,куб!L:L),IF($B764&lt;&gt;0,SUMIF(куб!$B:$B,$B764,куб!L:L))))))</f>
        <v>0</v>
      </c>
      <c r="U764" s="27" t="b">
        <f>IF($G764&lt;&gt;0,SUMIF(куб!$G:$G,$G764,куб!M:M),IF($E764&lt;&gt;0,SUMIF(куб!$E:$E,$E764,куб!M:M),IF($D764&lt;&gt;0,SUMIF(куб!$D:$D,$D764,куб!M:M),IF($C764&lt;&gt;0,SUMIF(куб!$C:$C,$C764,куб!M:M),IF($B764&lt;&gt;0,SUMIF(куб!$B:$B,$B764,куб!M:M))))))</f>
        <v>0</v>
      </c>
      <c r="V764" s="13" t="str">
        <f t="shared" si="260"/>
        <v>-</v>
      </c>
      <c r="W764" s="5"/>
      <c r="X764" s="27" t="b">
        <f>IF($G764&lt;&gt;0,SUMIF(куб!$G:$G,$G764,куб!N:N),IF($E764&lt;&gt;0,SUMIF(куб!$E:$E,$E764,куб!N:N),IF($D764&lt;&gt;0,SUMIF(куб!$D:$D,$D764,куб!N:N),IF($C764&lt;&gt;0,SUMIF(куб!$C:$C,$C764,куб!N:N),IF($B764&lt;&gt;0,SUMIF(куб!$B:$B,$B764,куб!N:N))))))</f>
        <v>0</v>
      </c>
      <c r="Y764" s="27" t="b">
        <f>IF($G764&lt;&gt;0,SUMIF(куб!$G:$G,$G764,куб!O:O),IF($E764&lt;&gt;0,SUMIF(куб!$E:$E,$E764,куб!O:O),IF($D764&lt;&gt;0,SUMIF(куб!$D:$D,$D764,куб!O:O),IF($C764&lt;&gt;0,SUMIF(куб!$C:$C,$C764,куб!O:O),IF($B764&lt;&gt;0,SUMIF(куб!$B:$B,$B764,куб!O:O))))))</f>
        <v>0</v>
      </c>
      <c r="Z764" s="13" t="str">
        <f t="shared" si="261"/>
        <v>-</v>
      </c>
      <c r="AA764" s="5"/>
      <c r="AB764" s="33" t="str">
        <f t="shared" si="262"/>
        <v/>
      </c>
      <c r="AC764" s="33" t="str">
        <f t="shared" si="263"/>
        <v/>
      </c>
      <c r="AD764" s="15" t="str">
        <f t="shared" si="264"/>
        <v xml:space="preserve"> </v>
      </c>
      <c r="AE764" s="5"/>
      <c r="AF764" s="27" t="b">
        <f>IF($G764&lt;&gt;0,SUMIF(куб!$G:$G,$G764,куб!R:R),IF($E764&lt;&gt;0,SUMIF(куб!$E:$E,$E764,куб!R:R),IF($D764&lt;&gt;0,SUMIF(куб!$D:$D,$D764,куб!R:R),IF($C764&lt;&gt;0,SUMIF(куб!$C:$C,$C764,куб!R:R),IF($B764&lt;&gt;0,SUMIF(куб!$B:$B,$B764,куб!R:R))))))</f>
        <v>0</v>
      </c>
      <c r="AG764" s="27" t="b">
        <f>IF($G764&lt;&gt;0,SUMIF(куб!$G:$G,$G764,куб!S:S),IF($E764&lt;&gt;0,SUMIF(куб!$E:$E,$E764,куб!S:S),IF($D764&lt;&gt;0,SUMIF(куб!$D:$D,$D764,куб!S:S),IF($C764&lt;&gt;0,SUMIF(куб!$C:$C,$C764,куб!S:S),IF($B764&lt;&gt;0,SUMIF(куб!$B:$B,$B764,куб!S:S))))))</f>
        <v>0</v>
      </c>
      <c r="AH764" s="16" t="str">
        <f t="shared" si="265"/>
        <v>-</v>
      </c>
      <c r="AI764" s="8"/>
      <c r="AJ764" s="27" t="b">
        <f>IF($G764&lt;&gt;0,SUMIF(куб!$G:$G,$G764,куб!T:T),IF($E764&lt;&gt;0,SUMIF(куб!$E:$E,$E764,куб!T:T),IF($D764&lt;&gt;0,SUMIF(куб!$D:$D,$D764,куб!T:T),IF($C764&lt;&gt;0,SUMIF(куб!$C:$C,$C764,куб!T:T),IF($B764&lt;&gt;0,SUMIF(куб!$B:$B,$B764,куб!T:T))))))</f>
        <v>0</v>
      </c>
      <c r="AK764" s="27" t="b">
        <f>IF($G764&lt;&gt;0,SUMIF(куб!$G:$G,$G764,куб!U:U),IF($E764&lt;&gt;0,SUMIF(куб!$E:$E,$E764,куб!U:U),IF($D764&lt;&gt;0,SUMIF(куб!$D:$D,$D764,куб!U:U),IF($C764&lt;&gt;0,SUMIF(куб!$C:$C,$C764,куб!U:U),IF($B764&lt;&gt;0,SUMIF(куб!$B:$B,$B764,куб!U:U))))))</f>
        <v>0</v>
      </c>
      <c r="AL764" s="16" t="str">
        <f t="shared" si="266"/>
        <v>-</v>
      </c>
      <c r="AM764" s="8"/>
      <c r="AN764" s="17" t="str">
        <f t="shared" si="267"/>
        <v xml:space="preserve"> </v>
      </c>
      <c r="AO764" s="17" t="str">
        <f t="shared" si="268"/>
        <v xml:space="preserve"> </v>
      </c>
      <c r="AP764" s="16" t="str">
        <f t="shared" si="269"/>
        <v>-</v>
      </c>
      <c r="AQ764" s="8"/>
      <c r="AR764" s="17" t="str">
        <f t="shared" si="270"/>
        <v>-</v>
      </c>
      <c r="AS764" s="17" t="str">
        <f t="shared" si="271"/>
        <v>-</v>
      </c>
      <c r="AT764" s="13" t="str">
        <f t="shared" si="272"/>
        <v>-</v>
      </c>
      <c r="AU764" s="8"/>
    </row>
    <row r="765" spans="1:47" x14ac:dyDescent="0.25">
      <c r="A765" s="31"/>
      <c r="B765" s="31"/>
      <c r="C765"/>
      <c r="D765" s="31"/>
      <c r="E765"/>
      <c r="F765" s="31"/>
      <c r="G765"/>
      <c r="H765" s="27">
        <f>IF($G765&lt;&gt;0,SUMIF(куб!$G:$G,$G765,куб!H:H),IF($E765&lt;&gt;0,SUMIF(куб!$E:$E,$E765,куб!H:H),IF($D765&lt;&gt;0,SUMIF(куб!$D:$D,$D765,куб!H:H),IF($C765&lt;&gt;0,SUMIF(куб!$C:$C,$C765,куб!H:H),IF($B765&lt;&gt;0,SUMIF(куб!$B:$B,$B765,куб!H:H),IF($G765&lt;&gt;0,SUMIF(куб!$A:$A,$G765,куб!H:H),SUMIF(куб!$A:$A,$G765,куб!H:H)))))))</f>
        <v>0</v>
      </c>
      <c r="I765" s="27">
        <f>IF($G765&lt;&gt;0,SUMIF(куб!$G:$G,$G765,куб!I:I),IF($E765&lt;&gt;0,SUMIF(куб!$E:$E,$E765,куб!I:I),IF($D765&lt;&gt;0,SUMIF(куб!$D:$D,$D765,куб!I:I),IF($C765&lt;&gt;0,SUMIF(куб!$C:$C,$C765,куб!I:I),IF($B765&lt;&gt;0,SUMIF(куб!$B:$B,$B765,куб!I:I),IF($G765&lt;&gt;0,SUMIF(куб!$A:$A,$G765,куб!I:I),SUMIF(куб!$A:$A,$G765,куб!I:I)))))))</f>
        <v>0</v>
      </c>
      <c r="J765" s="19" t="str">
        <f t="shared" si="255"/>
        <v>-</v>
      </c>
      <c r="K765" s="8"/>
      <c r="L765" s="17">
        <f t="shared" si="256"/>
        <v>0</v>
      </c>
      <c r="M765" s="17">
        <f t="shared" si="257"/>
        <v>0</v>
      </c>
      <c r="N765" s="12">
        <f t="shared" si="258"/>
        <v>0</v>
      </c>
      <c r="O765" s="5"/>
      <c r="P765" s="27" t="b">
        <f>IF($G765&lt;&gt;0,SUMIF(куб!$G:$G,$G765,куб!J:J),IF($E765&lt;&gt;0,SUMIF(куб!$E:$E,$E765,куб!J:J),IF($D765&lt;&gt;0,SUMIF(куб!$D:$D,$D765,куб!J:J),IF($C765&lt;&gt;0,SUMIF(куб!$C:$C,$C765,куб!J:J),IF($B765&lt;&gt;0,SUMIF(куб!$B:$B,$B765,куб!J:J))))))</f>
        <v>0</v>
      </c>
      <c r="Q765" s="27" t="b">
        <f>IF($G765&lt;&gt;0,SUMIF(куб!$G:$G,$G765,куб!K:K),IF($E765&lt;&gt;0,SUMIF(куб!$E:$E,$E765,куб!K:K),IF($D765&lt;&gt;0,SUMIF(куб!$D:$D,$D765,куб!K:K),IF($C765&lt;&gt;0,SUMIF(куб!$C:$C,$C765,куб!K:K),IF($B765&lt;&gt;0,SUMIF(куб!$B:$B,$B765,куб!K:K))))))</f>
        <v>0</v>
      </c>
      <c r="R765" s="13" t="str">
        <f t="shared" si="259"/>
        <v>-</v>
      </c>
      <c r="S765" s="5"/>
      <c r="T765" s="27" t="b">
        <f>IF($G765&lt;&gt;0,SUMIF(куб!$G:$G,$G765,куб!L:L),IF($E765&lt;&gt;0,SUMIF(куб!$E:$E,$E765,куб!L:L),IF($D765&lt;&gt;0,SUMIF(куб!$D:$D,$D765,куб!L:L),IF($C765&lt;&gt;0,SUMIF(куб!$C:$C,$C765,куб!L:L),IF($B765&lt;&gt;0,SUMIF(куб!$B:$B,$B765,куб!L:L))))))</f>
        <v>0</v>
      </c>
      <c r="U765" s="27" t="b">
        <f>IF($G765&lt;&gt;0,SUMIF(куб!$G:$G,$G765,куб!M:M),IF($E765&lt;&gt;0,SUMIF(куб!$E:$E,$E765,куб!M:M),IF($D765&lt;&gt;0,SUMIF(куб!$D:$D,$D765,куб!M:M),IF($C765&lt;&gt;0,SUMIF(куб!$C:$C,$C765,куб!M:M),IF($B765&lt;&gt;0,SUMIF(куб!$B:$B,$B765,куб!M:M))))))</f>
        <v>0</v>
      </c>
      <c r="V765" s="13" t="str">
        <f t="shared" si="260"/>
        <v>-</v>
      </c>
      <c r="W765" s="5"/>
      <c r="X765" s="27" t="b">
        <f>IF($G765&lt;&gt;0,SUMIF(куб!$G:$G,$G765,куб!N:N),IF($E765&lt;&gt;0,SUMIF(куб!$E:$E,$E765,куб!N:N),IF($D765&lt;&gt;0,SUMIF(куб!$D:$D,$D765,куб!N:N),IF($C765&lt;&gt;0,SUMIF(куб!$C:$C,$C765,куб!N:N),IF($B765&lt;&gt;0,SUMIF(куб!$B:$B,$B765,куб!N:N))))))</f>
        <v>0</v>
      </c>
      <c r="Y765" s="27" t="b">
        <f>IF($G765&lt;&gt;0,SUMIF(куб!$G:$G,$G765,куб!O:O),IF($E765&lt;&gt;0,SUMIF(куб!$E:$E,$E765,куб!O:O),IF($D765&lt;&gt;0,SUMIF(куб!$D:$D,$D765,куб!O:O),IF($C765&lt;&gt;0,SUMIF(куб!$C:$C,$C765,куб!O:O),IF($B765&lt;&gt;0,SUMIF(куб!$B:$B,$B765,куб!O:O))))))</f>
        <v>0</v>
      </c>
      <c r="Z765" s="13" t="str">
        <f t="shared" si="261"/>
        <v>-</v>
      </c>
      <c r="AA765" s="5"/>
      <c r="AB765" s="33" t="str">
        <f t="shared" si="262"/>
        <v/>
      </c>
      <c r="AC765" s="33" t="str">
        <f t="shared" si="263"/>
        <v/>
      </c>
      <c r="AD765" s="15" t="str">
        <f t="shared" si="264"/>
        <v xml:space="preserve"> </v>
      </c>
      <c r="AE765" s="5"/>
      <c r="AF765" s="27" t="b">
        <f>IF($G765&lt;&gt;0,SUMIF(куб!$G:$G,$G765,куб!R:R),IF($E765&lt;&gt;0,SUMIF(куб!$E:$E,$E765,куб!R:R),IF($D765&lt;&gt;0,SUMIF(куб!$D:$D,$D765,куб!R:R),IF($C765&lt;&gt;0,SUMIF(куб!$C:$C,$C765,куб!R:R),IF($B765&lt;&gt;0,SUMIF(куб!$B:$B,$B765,куб!R:R))))))</f>
        <v>0</v>
      </c>
      <c r="AG765" s="27" t="b">
        <f>IF($G765&lt;&gt;0,SUMIF(куб!$G:$G,$G765,куб!S:S),IF($E765&lt;&gt;0,SUMIF(куб!$E:$E,$E765,куб!S:S),IF($D765&lt;&gt;0,SUMIF(куб!$D:$D,$D765,куб!S:S),IF($C765&lt;&gt;0,SUMIF(куб!$C:$C,$C765,куб!S:S),IF($B765&lt;&gt;0,SUMIF(куб!$B:$B,$B765,куб!S:S))))))</f>
        <v>0</v>
      </c>
      <c r="AH765" s="16" t="str">
        <f t="shared" si="265"/>
        <v>-</v>
      </c>
      <c r="AI765" s="8"/>
      <c r="AJ765" s="27" t="b">
        <f>IF($G765&lt;&gt;0,SUMIF(куб!$G:$G,$G765,куб!T:T),IF($E765&lt;&gt;0,SUMIF(куб!$E:$E,$E765,куб!T:T),IF($D765&lt;&gt;0,SUMIF(куб!$D:$D,$D765,куб!T:T),IF($C765&lt;&gt;0,SUMIF(куб!$C:$C,$C765,куб!T:T),IF($B765&lt;&gt;0,SUMIF(куб!$B:$B,$B765,куб!T:T))))))</f>
        <v>0</v>
      </c>
      <c r="AK765" s="27" t="b">
        <f>IF($G765&lt;&gt;0,SUMIF(куб!$G:$G,$G765,куб!U:U),IF($E765&lt;&gt;0,SUMIF(куб!$E:$E,$E765,куб!U:U),IF($D765&lt;&gt;0,SUMIF(куб!$D:$D,$D765,куб!U:U),IF($C765&lt;&gt;0,SUMIF(куб!$C:$C,$C765,куб!U:U),IF($B765&lt;&gt;0,SUMIF(куб!$B:$B,$B765,куб!U:U))))))</f>
        <v>0</v>
      </c>
      <c r="AL765" s="16" t="str">
        <f t="shared" si="266"/>
        <v>-</v>
      </c>
      <c r="AM765" s="8"/>
      <c r="AN765" s="17" t="str">
        <f t="shared" si="267"/>
        <v xml:space="preserve"> </v>
      </c>
      <c r="AO765" s="17" t="str">
        <f t="shared" si="268"/>
        <v xml:space="preserve"> </v>
      </c>
      <c r="AP765" s="16" t="str">
        <f t="shared" si="269"/>
        <v>-</v>
      </c>
      <c r="AQ765" s="8"/>
      <c r="AR765" s="17" t="str">
        <f t="shared" si="270"/>
        <v>-</v>
      </c>
      <c r="AS765" s="17" t="str">
        <f t="shared" si="271"/>
        <v>-</v>
      </c>
      <c r="AT765" s="13" t="str">
        <f t="shared" si="272"/>
        <v>-</v>
      </c>
      <c r="AU765" s="8"/>
    </row>
    <row r="766" spans="1:47" x14ac:dyDescent="0.25">
      <c r="A766" s="31"/>
      <c r="B766" s="31"/>
      <c r="C766"/>
      <c r="D766" s="31"/>
      <c r="E766"/>
      <c r="F766" s="31"/>
      <c r="G766"/>
      <c r="H766" s="27">
        <f>IF($G766&lt;&gt;0,SUMIF(куб!$G:$G,$G766,куб!H:H),IF($E766&lt;&gt;0,SUMIF(куб!$E:$E,$E766,куб!H:H),IF($D766&lt;&gt;0,SUMIF(куб!$D:$D,$D766,куб!H:H),IF($C766&lt;&gt;0,SUMIF(куб!$C:$C,$C766,куб!H:H),IF($B766&lt;&gt;0,SUMIF(куб!$B:$B,$B766,куб!H:H),IF($G766&lt;&gt;0,SUMIF(куб!$A:$A,$G766,куб!H:H),SUMIF(куб!$A:$A,$G766,куб!H:H)))))))</f>
        <v>0</v>
      </c>
      <c r="I766" s="27">
        <f>IF($G766&lt;&gt;0,SUMIF(куб!$G:$G,$G766,куб!I:I),IF($E766&lt;&gt;0,SUMIF(куб!$E:$E,$E766,куб!I:I),IF($D766&lt;&gt;0,SUMIF(куб!$D:$D,$D766,куб!I:I),IF($C766&lt;&gt;0,SUMIF(куб!$C:$C,$C766,куб!I:I),IF($B766&lt;&gt;0,SUMIF(куб!$B:$B,$B766,куб!I:I),IF($G766&lt;&gt;0,SUMIF(куб!$A:$A,$G766,куб!I:I),SUMIF(куб!$A:$A,$G766,куб!I:I)))))))</f>
        <v>0</v>
      </c>
      <c r="J766" s="19" t="str">
        <f t="shared" si="255"/>
        <v>-</v>
      </c>
      <c r="K766" s="8"/>
      <c r="L766" s="17">
        <f t="shared" si="256"/>
        <v>0</v>
      </c>
      <c r="M766" s="17">
        <f t="shared" si="257"/>
        <v>0</v>
      </c>
      <c r="N766" s="12">
        <f t="shared" si="258"/>
        <v>0</v>
      </c>
      <c r="O766" s="5"/>
      <c r="P766" s="27" t="b">
        <f>IF($G766&lt;&gt;0,SUMIF(куб!$G:$G,$G766,куб!J:J),IF($E766&lt;&gt;0,SUMIF(куб!$E:$E,$E766,куб!J:J),IF($D766&lt;&gt;0,SUMIF(куб!$D:$D,$D766,куб!J:J),IF($C766&lt;&gt;0,SUMIF(куб!$C:$C,$C766,куб!J:J),IF($B766&lt;&gt;0,SUMIF(куб!$B:$B,$B766,куб!J:J))))))</f>
        <v>0</v>
      </c>
      <c r="Q766" s="27" t="b">
        <f>IF($G766&lt;&gt;0,SUMIF(куб!$G:$G,$G766,куб!K:K),IF($E766&lt;&gt;0,SUMIF(куб!$E:$E,$E766,куб!K:K),IF($D766&lt;&gt;0,SUMIF(куб!$D:$D,$D766,куб!K:K),IF($C766&lt;&gt;0,SUMIF(куб!$C:$C,$C766,куб!K:K),IF($B766&lt;&gt;0,SUMIF(куб!$B:$B,$B766,куб!K:K))))))</f>
        <v>0</v>
      </c>
      <c r="R766" s="13" t="str">
        <f t="shared" si="259"/>
        <v>-</v>
      </c>
      <c r="S766" s="5"/>
      <c r="T766" s="27" t="b">
        <f>IF($G766&lt;&gt;0,SUMIF(куб!$G:$G,$G766,куб!L:L),IF($E766&lt;&gt;0,SUMIF(куб!$E:$E,$E766,куб!L:L),IF($D766&lt;&gt;0,SUMIF(куб!$D:$D,$D766,куб!L:L),IF($C766&lt;&gt;0,SUMIF(куб!$C:$C,$C766,куб!L:L),IF($B766&lt;&gt;0,SUMIF(куб!$B:$B,$B766,куб!L:L))))))</f>
        <v>0</v>
      </c>
      <c r="U766" s="27" t="b">
        <f>IF($G766&lt;&gt;0,SUMIF(куб!$G:$G,$G766,куб!M:M),IF($E766&lt;&gt;0,SUMIF(куб!$E:$E,$E766,куб!M:M),IF($D766&lt;&gt;0,SUMIF(куб!$D:$D,$D766,куб!M:M),IF($C766&lt;&gt;0,SUMIF(куб!$C:$C,$C766,куб!M:M),IF($B766&lt;&gt;0,SUMIF(куб!$B:$B,$B766,куб!M:M))))))</f>
        <v>0</v>
      </c>
      <c r="V766" s="13" t="str">
        <f t="shared" si="260"/>
        <v>-</v>
      </c>
      <c r="W766" s="5"/>
      <c r="X766" s="27" t="b">
        <f>IF($G766&lt;&gt;0,SUMIF(куб!$G:$G,$G766,куб!N:N),IF($E766&lt;&gt;0,SUMIF(куб!$E:$E,$E766,куб!N:N),IF($D766&lt;&gt;0,SUMIF(куб!$D:$D,$D766,куб!N:N),IF($C766&lt;&gt;0,SUMIF(куб!$C:$C,$C766,куб!N:N),IF($B766&lt;&gt;0,SUMIF(куб!$B:$B,$B766,куб!N:N))))))</f>
        <v>0</v>
      </c>
      <c r="Y766" s="27" t="b">
        <f>IF($G766&lt;&gt;0,SUMIF(куб!$G:$G,$G766,куб!O:O),IF($E766&lt;&gt;0,SUMIF(куб!$E:$E,$E766,куб!O:O),IF($D766&lt;&gt;0,SUMIF(куб!$D:$D,$D766,куб!O:O),IF($C766&lt;&gt;0,SUMIF(куб!$C:$C,$C766,куб!O:O),IF($B766&lt;&gt;0,SUMIF(куб!$B:$B,$B766,куб!O:O))))))</f>
        <v>0</v>
      </c>
      <c r="Z766" s="13" t="str">
        <f t="shared" si="261"/>
        <v>-</v>
      </c>
      <c r="AA766" s="5"/>
      <c r="AB766" s="33" t="str">
        <f t="shared" si="262"/>
        <v/>
      </c>
      <c r="AC766" s="33" t="str">
        <f t="shared" si="263"/>
        <v/>
      </c>
      <c r="AD766" s="15" t="str">
        <f t="shared" si="264"/>
        <v xml:space="preserve"> </v>
      </c>
      <c r="AE766" s="5"/>
      <c r="AF766" s="27" t="b">
        <f>IF($G766&lt;&gt;0,SUMIF(куб!$G:$G,$G766,куб!R:R),IF($E766&lt;&gt;0,SUMIF(куб!$E:$E,$E766,куб!R:R),IF($D766&lt;&gt;0,SUMIF(куб!$D:$D,$D766,куб!R:R),IF($C766&lt;&gt;0,SUMIF(куб!$C:$C,$C766,куб!R:R),IF($B766&lt;&gt;0,SUMIF(куб!$B:$B,$B766,куб!R:R))))))</f>
        <v>0</v>
      </c>
      <c r="AG766" s="27" t="b">
        <f>IF($G766&lt;&gt;0,SUMIF(куб!$G:$G,$G766,куб!S:S),IF($E766&lt;&gt;0,SUMIF(куб!$E:$E,$E766,куб!S:S),IF($D766&lt;&gt;0,SUMIF(куб!$D:$D,$D766,куб!S:S),IF($C766&lt;&gt;0,SUMIF(куб!$C:$C,$C766,куб!S:S),IF($B766&lt;&gt;0,SUMIF(куб!$B:$B,$B766,куб!S:S))))))</f>
        <v>0</v>
      </c>
      <c r="AH766" s="16" t="str">
        <f t="shared" si="265"/>
        <v>-</v>
      </c>
      <c r="AI766" s="8"/>
      <c r="AJ766" s="27" t="b">
        <f>IF($G766&lt;&gt;0,SUMIF(куб!$G:$G,$G766,куб!T:T),IF($E766&lt;&gt;0,SUMIF(куб!$E:$E,$E766,куб!T:T),IF($D766&lt;&gt;0,SUMIF(куб!$D:$D,$D766,куб!T:T),IF($C766&lt;&gt;0,SUMIF(куб!$C:$C,$C766,куб!T:T),IF($B766&lt;&gt;0,SUMIF(куб!$B:$B,$B766,куб!T:T))))))</f>
        <v>0</v>
      </c>
      <c r="AK766" s="27" t="b">
        <f>IF($G766&lt;&gt;0,SUMIF(куб!$G:$G,$G766,куб!U:U),IF($E766&lt;&gt;0,SUMIF(куб!$E:$E,$E766,куб!U:U),IF($D766&lt;&gt;0,SUMIF(куб!$D:$D,$D766,куб!U:U),IF($C766&lt;&gt;0,SUMIF(куб!$C:$C,$C766,куб!U:U),IF($B766&lt;&gt;0,SUMIF(куб!$B:$B,$B766,куб!U:U))))))</f>
        <v>0</v>
      </c>
      <c r="AL766" s="16" t="str">
        <f t="shared" si="266"/>
        <v>-</v>
      </c>
      <c r="AM766" s="8"/>
      <c r="AN766" s="17" t="str">
        <f t="shared" si="267"/>
        <v xml:space="preserve"> </v>
      </c>
      <c r="AO766" s="17" t="str">
        <f t="shared" si="268"/>
        <v xml:space="preserve"> </v>
      </c>
      <c r="AP766" s="16" t="str">
        <f t="shared" si="269"/>
        <v>-</v>
      </c>
      <c r="AQ766" s="8"/>
      <c r="AR766" s="17" t="str">
        <f t="shared" si="270"/>
        <v>-</v>
      </c>
      <c r="AS766" s="17" t="str">
        <f t="shared" si="271"/>
        <v>-</v>
      </c>
      <c r="AT766" s="13" t="str">
        <f t="shared" si="272"/>
        <v>-</v>
      </c>
      <c r="AU766" s="8"/>
    </row>
    <row r="767" spans="1:47" x14ac:dyDescent="0.25">
      <c r="A767" s="31"/>
      <c r="B767" s="31"/>
      <c r="C767"/>
      <c r="D767" s="31"/>
      <c r="E767"/>
      <c r="F767" s="31"/>
      <c r="G767"/>
      <c r="H767" s="27">
        <f>IF($G767&lt;&gt;0,SUMIF(куб!$G:$G,$G767,куб!H:H),IF($E767&lt;&gt;0,SUMIF(куб!$E:$E,$E767,куб!H:H),IF($D767&lt;&gt;0,SUMIF(куб!$D:$D,$D767,куб!H:H),IF($C767&lt;&gt;0,SUMIF(куб!$C:$C,$C767,куб!H:H),IF($B767&lt;&gt;0,SUMIF(куб!$B:$B,$B767,куб!H:H),IF($G767&lt;&gt;0,SUMIF(куб!$A:$A,$G767,куб!H:H),SUMIF(куб!$A:$A,$G767,куб!H:H)))))))</f>
        <v>0</v>
      </c>
      <c r="I767" s="27">
        <f>IF($G767&lt;&gt;0,SUMIF(куб!$G:$G,$G767,куб!I:I),IF($E767&lt;&gt;0,SUMIF(куб!$E:$E,$E767,куб!I:I),IF($D767&lt;&gt;0,SUMIF(куб!$D:$D,$D767,куб!I:I),IF($C767&lt;&gt;0,SUMIF(куб!$C:$C,$C767,куб!I:I),IF($B767&lt;&gt;0,SUMIF(куб!$B:$B,$B767,куб!I:I),IF($G767&lt;&gt;0,SUMIF(куб!$A:$A,$G767,куб!I:I),SUMIF(куб!$A:$A,$G767,куб!I:I)))))))</f>
        <v>0</v>
      </c>
      <c r="J767" s="19" t="str">
        <f t="shared" si="255"/>
        <v>-</v>
      </c>
      <c r="K767" s="8"/>
      <c r="L767" s="17">
        <f t="shared" si="256"/>
        <v>0</v>
      </c>
      <c r="M767" s="17">
        <f t="shared" si="257"/>
        <v>0</v>
      </c>
      <c r="N767" s="12">
        <f t="shared" si="258"/>
        <v>0</v>
      </c>
      <c r="O767" s="5"/>
      <c r="P767" s="27" t="b">
        <f>IF($G767&lt;&gt;0,SUMIF(куб!$G:$G,$G767,куб!J:J),IF($E767&lt;&gt;0,SUMIF(куб!$E:$E,$E767,куб!J:J),IF($D767&lt;&gt;0,SUMIF(куб!$D:$D,$D767,куб!J:J),IF($C767&lt;&gt;0,SUMIF(куб!$C:$C,$C767,куб!J:J),IF($B767&lt;&gt;0,SUMIF(куб!$B:$B,$B767,куб!J:J))))))</f>
        <v>0</v>
      </c>
      <c r="Q767" s="27" t="b">
        <f>IF($G767&lt;&gt;0,SUMIF(куб!$G:$G,$G767,куб!K:K),IF($E767&lt;&gt;0,SUMIF(куб!$E:$E,$E767,куб!K:K),IF($D767&lt;&gt;0,SUMIF(куб!$D:$D,$D767,куб!K:K),IF($C767&lt;&gt;0,SUMIF(куб!$C:$C,$C767,куб!K:K),IF($B767&lt;&gt;0,SUMIF(куб!$B:$B,$B767,куб!K:K))))))</f>
        <v>0</v>
      </c>
      <c r="R767" s="13" t="str">
        <f t="shared" si="259"/>
        <v>-</v>
      </c>
      <c r="S767" s="5"/>
      <c r="T767" s="27" t="b">
        <f>IF($G767&lt;&gt;0,SUMIF(куб!$G:$G,$G767,куб!L:L),IF($E767&lt;&gt;0,SUMIF(куб!$E:$E,$E767,куб!L:L),IF($D767&lt;&gt;0,SUMIF(куб!$D:$D,$D767,куб!L:L),IF($C767&lt;&gt;0,SUMIF(куб!$C:$C,$C767,куб!L:L),IF($B767&lt;&gt;0,SUMIF(куб!$B:$B,$B767,куб!L:L))))))</f>
        <v>0</v>
      </c>
      <c r="U767" s="27" t="b">
        <f>IF($G767&lt;&gt;0,SUMIF(куб!$G:$G,$G767,куб!M:M),IF($E767&lt;&gt;0,SUMIF(куб!$E:$E,$E767,куб!M:M),IF($D767&lt;&gt;0,SUMIF(куб!$D:$D,$D767,куб!M:M),IF($C767&lt;&gt;0,SUMIF(куб!$C:$C,$C767,куб!M:M),IF($B767&lt;&gt;0,SUMIF(куб!$B:$B,$B767,куб!M:M))))))</f>
        <v>0</v>
      </c>
      <c r="V767" s="13" t="str">
        <f t="shared" si="260"/>
        <v>-</v>
      </c>
      <c r="W767" s="5"/>
      <c r="X767" s="27" t="b">
        <f>IF($G767&lt;&gt;0,SUMIF(куб!$G:$G,$G767,куб!N:N),IF($E767&lt;&gt;0,SUMIF(куб!$E:$E,$E767,куб!N:N),IF($D767&lt;&gt;0,SUMIF(куб!$D:$D,$D767,куб!N:N),IF($C767&lt;&gt;0,SUMIF(куб!$C:$C,$C767,куб!N:N),IF($B767&lt;&gt;0,SUMIF(куб!$B:$B,$B767,куб!N:N))))))</f>
        <v>0</v>
      </c>
      <c r="Y767" s="27" t="b">
        <f>IF($G767&lt;&gt;0,SUMIF(куб!$G:$G,$G767,куб!O:O),IF($E767&lt;&gt;0,SUMIF(куб!$E:$E,$E767,куб!O:O),IF($D767&lt;&gt;0,SUMIF(куб!$D:$D,$D767,куб!O:O),IF($C767&lt;&gt;0,SUMIF(куб!$C:$C,$C767,куб!O:O),IF($B767&lt;&gt;0,SUMIF(куб!$B:$B,$B767,куб!O:O))))))</f>
        <v>0</v>
      </c>
      <c r="Z767" s="13" t="str">
        <f t="shared" si="261"/>
        <v>-</v>
      </c>
      <c r="AA767" s="5"/>
      <c r="AB767" s="33" t="str">
        <f t="shared" si="262"/>
        <v/>
      </c>
      <c r="AC767" s="33" t="str">
        <f t="shared" si="263"/>
        <v/>
      </c>
      <c r="AD767" s="15" t="str">
        <f t="shared" si="264"/>
        <v xml:space="preserve"> </v>
      </c>
      <c r="AE767" s="5"/>
      <c r="AF767" s="27" t="b">
        <f>IF($G767&lt;&gt;0,SUMIF(куб!$G:$G,$G767,куб!R:R),IF($E767&lt;&gt;0,SUMIF(куб!$E:$E,$E767,куб!R:R),IF($D767&lt;&gt;0,SUMIF(куб!$D:$D,$D767,куб!R:R),IF($C767&lt;&gt;0,SUMIF(куб!$C:$C,$C767,куб!R:R),IF($B767&lt;&gt;0,SUMIF(куб!$B:$B,$B767,куб!R:R))))))</f>
        <v>0</v>
      </c>
      <c r="AG767" s="27" t="b">
        <f>IF($G767&lt;&gt;0,SUMIF(куб!$G:$G,$G767,куб!S:S),IF($E767&lt;&gt;0,SUMIF(куб!$E:$E,$E767,куб!S:S),IF($D767&lt;&gt;0,SUMIF(куб!$D:$D,$D767,куб!S:S),IF($C767&lt;&gt;0,SUMIF(куб!$C:$C,$C767,куб!S:S),IF($B767&lt;&gt;0,SUMIF(куб!$B:$B,$B767,куб!S:S))))))</f>
        <v>0</v>
      </c>
      <c r="AH767" s="16" t="str">
        <f t="shared" si="265"/>
        <v>-</v>
      </c>
      <c r="AI767" s="8"/>
      <c r="AJ767" s="27" t="b">
        <f>IF($G767&lt;&gt;0,SUMIF(куб!$G:$G,$G767,куб!T:T),IF($E767&lt;&gt;0,SUMIF(куб!$E:$E,$E767,куб!T:T),IF($D767&lt;&gt;0,SUMIF(куб!$D:$D,$D767,куб!T:T),IF($C767&lt;&gt;0,SUMIF(куб!$C:$C,$C767,куб!T:T),IF($B767&lt;&gt;0,SUMIF(куб!$B:$B,$B767,куб!T:T))))))</f>
        <v>0</v>
      </c>
      <c r="AK767" s="27" t="b">
        <f>IF($G767&lt;&gt;0,SUMIF(куб!$G:$G,$G767,куб!U:U),IF($E767&lt;&gt;0,SUMIF(куб!$E:$E,$E767,куб!U:U),IF($D767&lt;&gt;0,SUMIF(куб!$D:$D,$D767,куб!U:U),IF($C767&lt;&gt;0,SUMIF(куб!$C:$C,$C767,куб!U:U),IF($B767&lt;&gt;0,SUMIF(куб!$B:$B,$B767,куб!U:U))))))</f>
        <v>0</v>
      </c>
      <c r="AL767" s="16" t="str">
        <f t="shared" si="266"/>
        <v>-</v>
      </c>
      <c r="AM767" s="8"/>
      <c r="AN767" s="17" t="str">
        <f t="shared" si="267"/>
        <v xml:space="preserve"> </v>
      </c>
      <c r="AO767" s="17" t="str">
        <f t="shared" si="268"/>
        <v xml:space="preserve"> </v>
      </c>
      <c r="AP767" s="16" t="str">
        <f t="shared" si="269"/>
        <v>-</v>
      </c>
      <c r="AQ767" s="8"/>
      <c r="AR767" s="17" t="str">
        <f t="shared" si="270"/>
        <v>-</v>
      </c>
      <c r="AS767" s="17" t="str">
        <f t="shared" si="271"/>
        <v>-</v>
      </c>
      <c r="AT767" s="13" t="str">
        <f t="shared" si="272"/>
        <v>-</v>
      </c>
      <c r="AU767" s="8"/>
    </row>
    <row r="768" spans="1:47" x14ac:dyDescent="0.25">
      <c r="A768" s="31"/>
      <c r="B768" s="31"/>
      <c r="C768"/>
      <c r="D768" s="31"/>
      <c r="E768"/>
      <c r="F768" s="31"/>
      <c r="G768"/>
      <c r="H768" s="27">
        <f>IF($G768&lt;&gt;0,SUMIF(куб!$G:$G,$G768,куб!H:H),IF($E768&lt;&gt;0,SUMIF(куб!$E:$E,$E768,куб!H:H),IF($D768&lt;&gt;0,SUMIF(куб!$D:$D,$D768,куб!H:H),IF($C768&lt;&gt;0,SUMIF(куб!$C:$C,$C768,куб!H:H),IF($B768&lt;&gt;0,SUMIF(куб!$B:$B,$B768,куб!H:H),IF($G768&lt;&gt;0,SUMIF(куб!$A:$A,$G768,куб!H:H),SUMIF(куб!$A:$A,$G768,куб!H:H)))))))</f>
        <v>0</v>
      </c>
      <c r="I768" s="27">
        <f>IF($G768&lt;&gt;0,SUMIF(куб!$G:$G,$G768,куб!I:I),IF($E768&lt;&gt;0,SUMIF(куб!$E:$E,$E768,куб!I:I),IF($D768&lt;&gt;0,SUMIF(куб!$D:$D,$D768,куб!I:I),IF($C768&lt;&gt;0,SUMIF(куб!$C:$C,$C768,куб!I:I),IF($B768&lt;&gt;0,SUMIF(куб!$B:$B,$B768,куб!I:I),IF($G768&lt;&gt;0,SUMIF(куб!$A:$A,$G768,куб!I:I),SUMIF(куб!$A:$A,$G768,куб!I:I)))))))</f>
        <v>0</v>
      </c>
      <c r="J768" s="19" t="str">
        <f t="shared" si="255"/>
        <v>-</v>
      </c>
      <c r="K768" s="8"/>
      <c r="L768" s="17">
        <f t="shared" si="256"/>
        <v>0</v>
      </c>
      <c r="M768" s="17">
        <f t="shared" si="257"/>
        <v>0</v>
      </c>
      <c r="N768" s="12">
        <f t="shared" si="258"/>
        <v>0</v>
      </c>
      <c r="O768" s="5"/>
      <c r="P768" s="27" t="b">
        <f>IF($G768&lt;&gt;0,SUMIF(куб!$G:$G,$G768,куб!J:J),IF($E768&lt;&gt;0,SUMIF(куб!$E:$E,$E768,куб!J:J),IF($D768&lt;&gt;0,SUMIF(куб!$D:$D,$D768,куб!J:J),IF($C768&lt;&gt;0,SUMIF(куб!$C:$C,$C768,куб!J:J),IF($B768&lt;&gt;0,SUMIF(куб!$B:$B,$B768,куб!J:J))))))</f>
        <v>0</v>
      </c>
      <c r="Q768" s="27" t="b">
        <f>IF($G768&lt;&gt;0,SUMIF(куб!$G:$G,$G768,куб!K:K),IF($E768&lt;&gt;0,SUMIF(куб!$E:$E,$E768,куб!K:K),IF($D768&lt;&gt;0,SUMIF(куб!$D:$D,$D768,куб!K:K),IF($C768&lt;&gt;0,SUMIF(куб!$C:$C,$C768,куб!K:K),IF($B768&lt;&gt;0,SUMIF(куб!$B:$B,$B768,куб!K:K))))))</f>
        <v>0</v>
      </c>
      <c r="R768" s="13" t="str">
        <f t="shared" si="259"/>
        <v>-</v>
      </c>
      <c r="S768" s="5"/>
      <c r="T768" s="27" t="b">
        <f>IF($G768&lt;&gt;0,SUMIF(куб!$G:$G,$G768,куб!L:L),IF($E768&lt;&gt;0,SUMIF(куб!$E:$E,$E768,куб!L:L),IF($D768&lt;&gt;0,SUMIF(куб!$D:$D,$D768,куб!L:L),IF($C768&lt;&gt;0,SUMIF(куб!$C:$C,$C768,куб!L:L),IF($B768&lt;&gt;0,SUMIF(куб!$B:$B,$B768,куб!L:L))))))</f>
        <v>0</v>
      </c>
      <c r="U768" s="27" t="b">
        <f>IF($G768&lt;&gt;0,SUMIF(куб!$G:$G,$G768,куб!M:M),IF($E768&lt;&gt;0,SUMIF(куб!$E:$E,$E768,куб!M:M),IF($D768&lt;&gt;0,SUMIF(куб!$D:$D,$D768,куб!M:M),IF($C768&lt;&gt;0,SUMIF(куб!$C:$C,$C768,куб!M:M),IF($B768&lt;&gt;0,SUMIF(куб!$B:$B,$B768,куб!M:M))))))</f>
        <v>0</v>
      </c>
      <c r="V768" s="13" t="str">
        <f t="shared" si="260"/>
        <v>-</v>
      </c>
      <c r="W768" s="5"/>
      <c r="X768" s="27" t="b">
        <f>IF($G768&lt;&gt;0,SUMIF(куб!$G:$G,$G768,куб!N:N),IF($E768&lt;&gt;0,SUMIF(куб!$E:$E,$E768,куб!N:N),IF($D768&lt;&gt;0,SUMIF(куб!$D:$D,$D768,куб!N:N),IF($C768&lt;&gt;0,SUMIF(куб!$C:$C,$C768,куб!N:N),IF($B768&lt;&gt;0,SUMIF(куб!$B:$B,$B768,куб!N:N))))))</f>
        <v>0</v>
      </c>
      <c r="Y768" s="27" t="b">
        <f>IF($G768&lt;&gt;0,SUMIF(куб!$G:$G,$G768,куб!O:O),IF($E768&lt;&gt;0,SUMIF(куб!$E:$E,$E768,куб!O:O),IF($D768&lt;&gt;0,SUMIF(куб!$D:$D,$D768,куб!O:O),IF($C768&lt;&gt;0,SUMIF(куб!$C:$C,$C768,куб!O:O),IF($B768&lt;&gt;0,SUMIF(куб!$B:$B,$B768,куб!O:O))))))</f>
        <v>0</v>
      </c>
      <c r="Z768" s="13" t="str">
        <f t="shared" si="261"/>
        <v>-</v>
      </c>
      <c r="AA768" s="5"/>
      <c r="AB768" s="33" t="str">
        <f t="shared" si="262"/>
        <v/>
      </c>
      <c r="AC768" s="33" t="str">
        <f t="shared" si="263"/>
        <v/>
      </c>
      <c r="AD768" s="15" t="str">
        <f t="shared" si="264"/>
        <v xml:space="preserve"> </v>
      </c>
      <c r="AE768" s="5"/>
      <c r="AF768" s="27" t="b">
        <f>IF($G768&lt;&gt;0,SUMIF(куб!$G:$G,$G768,куб!R:R),IF($E768&lt;&gt;0,SUMIF(куб!$E:$E,$E768,куб!R:R),IF($D768&lt;&gt;0,SUMIF(куб!$D:$D,$D768,куб!R:R),IF($C768&lt;&gt;0,SUMIF(куб!$C:$C,$C768,куб!R:R),IF($B768&lt;&gt;0,SUMIF(куб!$B:$B,$B768,куб!R:R))))))</f>
        <v>0</v>
      </c>
      <c r="AG768" s="27" t="b">
        <f>IF($G768&lt;&gt;0,SUMIF(куб!$G:$G,$G768,куб!S:S),IF($E768&lt;&gt;0,SUMIF(куб!$E:$E,$E768,куб!S:S),IF($D768&lt;&gt;0,SUMIF(куб!$D:$D,$D768,куб!S:S),IF($C768&lt;&gt;0,SUMIF(куб!$C:$C,$C768,куб!S:S),IF($B768&lt;&gt;0,SUMIF(куб!$B:$B,$B768,куб!S:S))))))</f>
        <v>0</v>
      </c>
      <c r="AH768" s="16" t="str">
        <f t="shared" si="265"/>
        <v>-</v>
      </c>
      <c r="AI768" s="8"/>
      <c r="AJ768" s="27" t="b">
        <f>IF($G768&lt;&gt;0,SUMIF(куб!$G:$G,$G768,куб!T:T),IF($E768&lt;&gt;0,SUMIF(куб!$E:$E,$E768,куб!T:T),IF($D768&lt;&gt;0,SUMIF(куб!$D:$D,$D768,куб!T:T),IF($C768&lt;&gt;0,SUMIF(куб!$C:$C,$C768,куб!T:T),IF($B768&lt;&gt;0,SUMIF(куб!$B:$B,$B768,куб!T:T))))))</f>
        <v>0</v>
      </c>
      <c r="AK768" s="27" t="b">
        <f>IF($G768&lt;&gt;0,SUMIF(куб!$G:$G,$G768,куб!U:U),IF($E768&lt;&gt;0,SUMIF(куб!$E:$E,$E768,куб!U:U),IF($D768&lt;&gt;0,SUMIF(куб!$D:$D,$D768,куб!U:U),IF($C768&lt;&gt;0,SUMIF(куб!$C:$C,$C768,куб!U:U),IF($B768&lt;&gt;0,SUMIF(куб!$B:$B,$B768,куб!U:U))))))</f>
        <v>0</v>
      </c>
      <c r="AL768" s="16" t="str">
        <f t="shared" si="266"/>
        <v>-</v>
      </c>
      <c r="AM768" s="8"/>
      <c r="AN768" s="17" t="str">
        <f t="shared" si="267"/>
        <v xml:space="preserve"> </v>
      </c>
      <c r="AO768" s="17" t="str">
        <f t="shared" si="268"/>
        <v xml:space="preserve"> </v>
      </c>
      <c r="AP768" s="16" t="str">
        <f t="shared" si="269"/>
        <v>-</v>
      </c>
      <c r="AQ768" s="8"/>
      <c r="AR768" s="17" t="str">
        <f t="shared" si="270"/>
        <v>-</v>
      </c>
      <c r="AS768" s="17" t="str">
        <f t="shared" si="271"/>
        <v>-</v>
      </c>
      <c r="AT768" s="13" t="str">
        <f t="shared" si="272"/>
        <v>-</v>
      </c>
      <c r="AU768" s="8"/>
    </row>
    <row r="769" spans="1:47" x14ac:dyDescent="0.25">
      <c r="A769" s="31"/>
      <c r="B769" s="31"/>
      <c r="C769"/>
      <c r="D769" s="31"/>
      <c r="E769"/>
      <c r="F769" s="31"/>
      <c r="G769"/>
      <c r="H769" s="27">
        <f>IF($G769&lt;&gt;0,SUMIF(куб!$G:$G,$G769,куб!H:H),IF($E769&lt;&gt;0,SUMIF(куб!$E:$E,$E769,куб!H:H),IF($D769&lt;&gt;0,SUMIF(куб!$D:$D,$D769,куб!H:H),IF($C769&lt;&gt;0,SUMIF(куб!$C:$C,$C769,куб!H:H),IF($B769&lt;&gt;0,SUMIF(куб!$B:$B,$B769,куб!H:H),IF($G769&lt;&gt;0,SUMIF(куб!$A:$A,$G769,куб!H:H),SUMIF(куб!$A:$A,$G769,куб!H:H)))))))</f>
        <v>0</v>
      </c>
      <c r="I769" s="27">
        <f>IF($G769&lt;&gt;0,SUMIF(куб!$G:$G,$G769,куб!I:I),IF($E769&lt;&gt;0,SUMIF(куб!$E:$E,$E769,куб!I:I),IF($D769&lt;&gt;0,SUMIF(куб!$D:$D,$D769,куб!I:I),IF($C769&lt;&gt;0,SUMIF(куб!$C:$C,$C769,куб!I:I),IF($B769&lt;&gt;0,SUMIF(куб!$B:$B,$B769,куб!I:I),IF($G769&lt;&gt;0,SUMIF(куб!$A:$A,$G769,куб!I:I),SUMIF(куб!$A:$A,$G769,куб!I:I)))))))</f>
        <v>0</v>
      </c>
      <c r="J769" s="19" t="str">
        <f t="shared" si="255"/>
        <v>-</v>
      </c>
      <c r="K769" s="8"/>
      <c r="L769" s="17">
        <f t="shared" si="256"/>
        <v>0</v>
      </c>
      <c r="M769" s="17">
        <f t="shared" si="257"/>
        <v>0</v>
      </c>
      <c r="N769" s="12">
        <f t="shared" si="258"/>
        <v>0</v>
      </c>
      <c r="O769" s="5"/>
      <c r="P769" s="27" t="b">
        <f>IF($G769&lt;&gt;0,SUMIF(куб!$G:$G,$G769,куб!J:J),IF($E769&lt;&gt;0,SUMIF(куб!$E:$E,$E769,куб!J:J),IF($D769&lt;&gt;0,SUMIF(куб!$D:$D,$D769,куб!J:J),IF($C769&lt;&gt;0,SUMIF(куб!$C:$C,$C769,куб!J:J),IF($B769&lt;&gt;0,SUMIF(куб!$B:$B,$B769,куб!J:J))))))</f>
        <v>0</v>
      </c>
      <c r="Q769" s="27" t="b">
        <f>IF($G769&lt;&gt;0,SUMIF(куб!$G:$G,$G769,куб!K:K),IF($E769&lt;&gt;0,SUMIF(куб!$E:$E,$E769,куб!K:K),IF($D769&lt;&gt;0,SUMIF(куб!$D:$D,$D769,куб!K:K),IF($C769&lt;&gt;0,SUMIF(куб!$C:$C,$C769,куб!K:K),IF($B769&lt;&gt;0,SUMIF(куб!$B:$B,$B769,куб!K:K))))))</f>
        <v>0</v>
      </c>
      <c r="R769" s="13" t="str">
        <f t="shared" si="259"/>
        <v>-</v>
      </c>
      <c r="S769" s="5"/>
      <c r="T769" s="27" t="b">
        <f>IF($G769&lt;&gt;0,SUMIF(куб!$G:$G,$G769,куб!L:L),IF($E769&lt;&gt;0,SUMIF(куб!$E:$E,$E769,куб!L:L),IF($D769&lt;&gt;0,SUMIF(куб!$D:$D,$D769,куб!L:L),IF($C769&lt;&gt;0,SUMIF(куб!$C:$C,$C769,куб!L:L),IF($B769&lt;&gt;0,SUMIF(куб!$B:$B,$B769,куб!L:L))))))</f>
        <v>0</v>
      </c>
      <c r="U769" s="27" t="b">
        <f>IF($G769&lt;&gt;0,SUMIF(куб!$G:$G,$G769,куб!M:M),IF($E769&lt;&gt;0,SUMIF(куб!$E:$E,$E769,куб!M:M),IF($D769&lt;&gt;0,SUMIF(куб!$D:$D,$D769,куб!M:M),IF($C769&lt;&gt;0,SUMIF(куб!$C:$C,$C769,куб!M:M),IF($B769&lt;&gt;0,SUMIF(куб!$B:$B,$B769,куб!M:M))))))</f>
        <v>0</v>
      </c>
      <c r="V769" s="13" t="str">
        <f t="shared" si="260"/>
        <v>-</v>
      </c>
      <c r="W769" s="5"/>
      <c r="X769" s="27" t="b">
        <f>IF($G769&lt;&gt;0,SUMIF(куб!$G:$G,$G769,куб!N:N),IF($E769&lt;&gt;0,SUMIF(куб!$E:$E,$E769,куб!N:N),IF($D769&lt;&gt;0,SUMIF(куб!$D:$D,$D769,куб!N:N),IF($C769&lt;&gt;0,SUMIF(куб!$C:$C,$C769,куб!N:N),IF($B769&lt;&gt;0,SUMIF(куб!$B:$B,$B769,куб!N:N))))))</f>
        <v>0</v>
      </c>
      <c r="Y769" s="27" t="b">
        <f>IF($G769&lt;&gt;0,SUMIF(куб!$G:$G,$G769,куб!O:O),IF($E769&lt;&gt;0,SUMIF(куб!$E:$E,$E769,куб!O:O),IF($D769&lt;&gt;0,SUMIF(куб!$D:$D,$D769,куб!O:O),IF($C769&lt;&gt;0,SUMIF(куб!$C:$C,$C769,куб!O:O),IF($B769&lt;&gt;0,SUMIF(куб!$B:$B,$B769,куб!O:O))))))</f>
        <v>0</v>
      </c>
      <c r="Z769" s="13" t="str">
        <f t="shared" si="261"/>
        <v>-</v>
      </c>
      <c r="AA769" s="5"/>
      <c r="AB769" s="33" t="str">
        <f t="shared" si="262"/>
        <v/>
      </c>
      <c r="AC769" s="33" t="str">
        <f t="shared" si="263"/>
        <v/>
      </c>
      <c r="AD769" s="15" t="str">
        <f t="shared" si="264"/>
        <v xml:space="preserve"> </v>
      </c>
      <c r="AE769" s="5"/>
      <c r="AF769" s="27" t="b">
        <f>IF($G769&lt;&gt;0,SUMIF(куб!$G:$G,$G769,куб!R:R),IF($E769&lt;&gt;0,SUMIF(куб!$E:$E,$E769,куб!R:R),IF($D769&lt;&gt;0,SUMIF(куб!$D:$D,$D769,куб!R:R),IF($C769&lt;&gt;0,SUMIF(куб!$C:$C,$C769,куб!R:R),IF($B769&lt;&gt;0,SUMIF(куб!$B:$B,$B769,куб!R:R))))))</f>
        <v>0</v>
      </c>
      <c r="AG769" s="27" t="b">
        <f>IF($G769&lt;&gt;0,SUMIF(куб!$G:$G,$G769,куб!S:S),IF($E769&lt;&gt;0,SUMIF(куб!$E:$E,$E769,куб!S:S),IF($D769&lt;&gt;0,SUMIF(куб!$D:$D,$D769,куб!S:S),IF($C769&lt;&gt;0,SUMIF(куб!$C:$C,$C769,куб!S:S),IF($B769&lt;&gt;0,SUMIF(куб!$B:$B,$B769,куб!S:S))))))</f>
        <v>0</v>
      </c>
      <c r="AH769" s="16" t="str">
        <f t="shared" si="265"/>
        <v>-</v>
      </c>
      <c r="AI769" s="8"/>
      <c r="AJ769" s="27" t="b">
        <f>IF($G769&lt;&gt;0,SUMIF(куб!$G:$G,$G769,куб!T:T),IF($E769&lt;&gt;0,SUMIF(куб!$E:$E,$E769,куб!T:T),IF($D769&lt;&gt;0,SUMIF(куб!$D:$D,$D769,куб!T:T),IF($C769&lt;&gt;0,SUMIF(куб!$C:$C,$C769,куб!T:T),IF($B769&lt;&gt;0,SUMIF(куб!$B:$B,$B769,куб!T:T))))))</f>
        <v>0</v>
      </c>
      <c r="AK769" s="27" t="b">
        <f>IF($G769&lt;&gt;0,SUMIF(куб!$G:$G,$G769,куб!U:U),IF($E769&lt;&gt;0,SUMIF(куб!$E:$E,$E769,куб!U:U),IF($D769&lt;&gt;0,SUMIF(куб!$D:$D,$D769,куб!U:U),IF($C769&lt;&gt;0,SUMIF(куб!$C:$C,$C769,куб!U:U),IF($B769&lt;&gt;0,SUMIF(куб!$B:$B,$B769,куб!U:U))))))</f>
        <v>0</v>
      </c>
      <c r="AL769" s="16" t="str">
        <f t="shared" si="266"/>
        <v>-</v>
      </c>
      <c r="AM769" s="8"/>
      <c r="AN769" s="17" t="str">
        <f t="shared" si="267"/>
        <v xml:space="preserve"> </v>
      </c>
      <c r="AO769" s="17" t="str">
        <f t="shared" si="268"/>
        <v xml:space="preserve"> </v>
      </c>
      <c r="AP769" s="16" t="str">
        <f t="shared" si="269"/>
        <v>-</v>
      </c>
      <c r="AQ769" s="8"/>
      <c r="AR769" s="17" t="str">
        <f t="shared" si="270"/>
        <v>-</v>
      </c>
      <c r="AS769" s="17" t="str">
        <f t="shared" si="271"/>
        <v>-</v>
      </c>
      <c r="AT769" s="13" t="str">
        <f t="shared" si="272"/>
        <v>-</v>
      </c>
      <c r="AU769" s="8"/>
    </row>
    <row r="770" spans="1:47" x14ac:dyDescent="0.25">
      <c r="A770" s="31"/>
      <c r="B770" s="31"/>
      <c r="C770"/>
      <c r="D770" s="31"/>
      <c r="E770"/>
      <c r="F770" s="31"/>
      <c r="G770"/>
      <c r="H770" s="27">
        <f>IF($G770&lt;&gt;0,SUMIF(куб!$G:$G,$G770,куб!H:H),IF($E770&lt;&gt;0,SUMIF(куб!$E:$E,$E770,куб!H:H),IF($D770&lt;&gt;0,SUMIF(куб!$D:$D,$D770,куб!H:H),IF($C770&lt;&gt;0,SUMIF(куб!$C:$C,$C770,куб!H:H),IF($B770&lt;&gt;0,SUMIF(куб!$B:$B,$B770,куб!H:H),IF($G770&lt;&gt;0,SUMIF(куб!$A:$A,$G770,куб!H:H),SUMIF(куб!$A:$A,$G770,куб!H:H)))))))</f>
        <v>0</v>
      </c>
      <c r="I770" s="27">
        <f>IF($G770&lt;&gt;0,SUMIF(куб!$G:$G,$G770,куб!I:I),IF($E770&lt;&gt;0,SUMIF(куб!$E:$E,$E770,куб!I:I),IF($D770&lt;&gt;0,SUMIF(куб!$D:$D,$D770,куб!I:I),IF($C770&lt;&gt;0,SUMIF(куб!$C:$C,$C770,куб!I:I),IF($B770&lt;&gt;0,SUMIF(куб!$B:$B,$B770,куб!I:I),IF($G770&lt;&gt;0,SUMIF(куб!$A:$A,$G770,куб!I:I),SUMIF(куб!$A:$A,$G770,куб!I:I)))))))</f>
        <v>0</v>
      </c>
      <c r="J770" s="19" t="str">
        <f t="shared" si="255"/>
        <v>-</v>
      </c>
      <c r="K770" s="8"/>
      <c r="L770" s="17">
        <f t="shared" si="256"/>
        <v>0</v>
      </c>
      <c r="M770" s="17">
        <f t="shared" si="257"/>
        <v>0</v>
      </c>
      <c r="N770" s="12">
        <f t="shared" si="258"/>
        <v>0</v>
      </c>
      <c r="O770" s="5"/>
      <c r="P770" s="27" t="b">
        <f>IF($G770&lt;&gt;0,SUMIF(куб!$G:$G,$G770,куб!J:J),IF($E770&lt;&gt;0,SUMIF(куб!$E:$E,$E770,куб!J:J),IF($D770&lt;&gt;0,SUMIF(куб!$D:$D,$D770,куб!J:J),IF($C770&lt;&gt;0,SUMIF(куб!$C:$C,$C770,куб!J:J),IF($B770&lt;&gt;0,SUMIF(куб!$B:$B,$B770,куб!J:J))))))</f>
        <v>0</v>
      </c>
      <c r="Q770" s="27" t="b">
        <f>IF($G770&lt;&gt;0,SUMIF(куб!$G:$G,$G770,куб!K:K),IF($E770&lt;&gt;0,SUMIF(куб!$E:$E,$E770,куб!K:K),IF($D770&lt;&gt;0,SUMIF(куб!$D:$D,$D770,куб!K:K),IF($C770&lt;&gt;0,SUMIF(куб!$C:$C,$C770,куб!K:K),IF($B770&lt;&gt;0,SUMIF(куб!$B:$B,$B770,куб!K:K))))))</f>
        <v>0</v>
      </c>
      <c r="R770" s="13" t="str">
        <f t="shared" si="259"/>
        <v>-</v>
      </c>
      <c r="S770" s="5"/>
      <c r="T770" s="27" t="b">
        <f>IF($G770&lt;&gt;0,SUMIF(куб!$G:$G,$G770,куб!L:L),IF($E770&lt;&gt;0,SUMIF(куб!$E:$E,$E770,куб!L:L),IF($D770&lt;&gt;0,SUMIF(куб!$D:$D,$D770,куб!L:L),IF($C770&lt;&gt;0,SUMIF(куб!$C:$C,$C770,куб!L:L),IF($B770&lt;&gt;0,SUMIF(куб!$B:$B,$B770,куб!L:L))))))</f>
        <v>0</v>
      </c>
      <c r="U770" s="27" t="b">
        <f>IF($G770&lt;&gt;0,SUMIF(куб!$G:$G,$G770,куб!M:M),IF($E770&lt;&gt;0,SUMIF(куб!$E:$E,$E770,куб!M:M),IF($D770&lt;&gt;0,SUMIF(куб!$D:$D,$D770,куб!M:M),IF($C770&lt;&gt;0,SUMIF(куб!$C:$C,$C770,куб!M:M),IF($B770&lt;&gt;0,SUMIF(куб!$B:$B,$B770,куб!M:M))))))</f>
        <v>0</v>
      </c>
      <c r="V770" s="13" t="str">
        <f t="shared" si="260"/>
        <v>-</v>
      </c>
      <c r="W770" s="5"/>
      <c r="X770" s="27" t="b">
        <f>IF($G770&lt;&gt;0,SUMIF(куб!$G:$G,$G770,куб!N:N),IF($E770&lt;&gt;0,SUMIF(куб!$E:$E,$E770,куб!N:N),IF($D770&lt;&gt;0,SUMIF(куб!$D:$D,$D770,куб!N:N),IF($C770&lt;&gt;0,SUMIF(куб!$C:$C,$C770,куб!N:N),IF($B770&lt;&gt;0,SUMIF(куб!$B:$B,$B770,куб!N:N))))))</f>
        <v>0</v>
      </c>
      <c r="Y770" s="27" t="b">
        <f>IF($G770&lt;&gt;0,SUMIF(куб!$G:$G,$G770,куб!O:O),IF($E770&lt;&gt;0,SUMIF(куб!$E:$E,$E770,куб!O:O),IF($D770&lt;&gt;0,SUMIF(куб!$D:$D,$D770,куб!O:O),IF($C770&lt;&gt;0,SUMIF(куб!$C:$C,$C770,куб!O:O),IF($B770&lt;&gt;0,SUMIF(куб!$B:$B,$B770,куб!O:O))))))</f>
        <v>0</v>
      </c>
      <c r="Z770" s="13" t="str">
        <f t="shared" si="261"/>
        <v>-</v>
      </c>
      <c r="AA770" s="5"/>
      <c r="AB770" s="33" t="str">
        <f t="shared" si="262"/>
        <v/>
      </c>
      <c r="AC770" s="33" t="str">
        <f t="shared" si="263"/>
        <v/>
      </c>
      <c r="AD770" s="15" t="str">
        <f t="shared" si="264"/>
        <v xml:space="preserve"> </v>
      </c>
      <c r="AE770" s="5"/>
      <c r="AF770" s="27" t="b">
        <f>IF($G770&lt;&gt;0,SUMIF(куб!$G:$G,$G770,куб!R:R),IF($E770&lt;&gt;0,SUMIF(куб!$E:$E,$E770,куб!R:R),IF($D770&lt;&gt;0,SUMIF(куб!$D:$D,$D770,куб!R:R),IF($C770&lt;&gt;0,SUMIF(куб!$C:$C,$C770,куб!R:R),IF($B770&lt;&gt;0,SUMIF(куб!$B:$B,$B770,куб!R:R))))))</f>
        <v>0</v>
      </c>
      <c r="AG770" s="27" t="b">
        <f>IF($G770&lt;&gt;0,SUMIF(куб!$G:$G,$G770,куб!S:S),IF($E770&lt;&gt;0,SUMIF(куб!$E:$E,$E770,куб!S:S),IF($D770&lt;&gt;0,SUMIF(куб!$D:$D,$D770,куб!S:S),IF($C770&lt;&gt;0,SUMIF(куб!$C:$C,$C770,куб!S:S),IF($B770&lt;&gt;0,SUMIF(куб!$B:$B,$B770,куб!S:S))))))</f>
        <v>0</v>
      </c>
      <c r="AH770" s="16" t="str">
        <f t="shared" si="265"/>
        <v>-</v>
      </c>
      <c r="AI770" s="8"/>
      <c r="AJ770" s="27" t="b">
        <f>IF($G770&lt;&gt;0,SUMIF(куб!$G:$G,$G770,куб!T:T),IF($E770&lt;&gt;0,SUMIF(куб!$E:$E,$E770,куб!T:T),IF($D770&lt;&gt;0,SUMIF(куб!$D:$D,$D770,куб!T:T),IF($C770&lt;&gt;0,SUMIF(куб!$C:$C,$C770,куб!T:T),IF($B770&lt;&gt;0,SUMIF(куб!$B:$B,$B770,куб!T:T))))))</f>
        <v>0</v>
      </c>
      <c r="AK770" s="27" t="b">
        <f>IF($G770&lt;&gt;0,SUMIF(куб!$G:$G,$G770,куб!U:U),IF($E770&lt;&gt;0,SUMIF(куб!$E:$E,$E770,куб!U:U),IF($D770&lt;&gt;0,SUMIF(куб!$D:$D,$D770,куб!U:U),IF($C770&lt;&gt;0,SUMIF(куб!$C:$C,$C770,куб!U:U),IF($B770&lt;&gt;0,SUMIF(куб!$B:$B,$B770,куб!U:U))))))</f>
        <v>0</v>
      </c>
      <c r="AL770" s="16" t="str">
        <f t="shared" si="266"/>
        <v>-</v>
      </c>
      <c r="AM770" s="8"/>
      <c r="AN770" s="17" t="str">
        <f t="shared" si="267"/>
        <v xml:space="preserve"> </v>
      </c>
      <c r="AO770" s="17" t="str">
        <f t="shared" si="268"/>
        <v xml:space="preserve"> </v>
      </c>
      <c r="AP770" s="16" t="str">
        <f t="shared" si="269"/>
        <v>-</v>
      </c>
      <c r="AQ770" s="8"/>
      <c r="AR770" s="17" t="str">
        <f t="shared" si="270"/>
        <v>-</v>
      </c>
      <c r="AS770" s="17" t="str">
        <f t="shared" si="271"/>
        <v>-</v>
      </c>
      <c r="AT770" s="13" t="str">
        <f t="shared" si="272"/>
        <v>-</v>
      </c>
      <c r="AU770" s="8"/>
    </row>
    <row r="771" spans="1:47" x14ac:dyDescent="0.25">
      <c r="A771" s="31"/>
      <c r="B771" s="31"/>
      <c r="C771"/>
      <c r="D771" s="31"/>
      <c r="E771"/>
      <c r="F771" s="31"/>
      <c r="G771"/>
      <c r="H771" s="27">
        <f>IF($G771&lt;&gt;0,SUMIF(куб!$G:$G,$G771,куб!H:H),IF($E771&lt;&gt;0,SUMIF(куб!$E:$E,$E771,куб!H:H),IF($D771&lt;&gt;0,SUMIF(куб!$D:$D,$D771,куб!H:H),IF($C771&lt;&gt;0,SUMIF(куб!$C:$C,$C771,куб!H:H),IF($B771&lt;&gt;0,SUMIF(куб!$B:$B,$B771,куб!H:H),IF($G771&lt;&gt;0,SUMIF(куб!$A:$A,$G771,куб!H:H),SUMIF(куб!$A:$A,$G771,куб!H:H)))))))</f>
        <v>0</v>
      </c>
      <c r="I771" s="27">
        <f>IF($G771&lt;&gt;0,SUMIF(куб!$G:$G,$G771,куб!I:I),IF($E771&lt;&gt;0,SUMIF(куб!$E:$E,$E771,куб!I:I),IF($D771&lt;&gt;0,SUMIF(куб!$D:$D,$D771,куб!I:I),IF($C771&lt;&gt;0,SUMIF(куб!$C:$C,$C771,куб!I:I),IF($B771&lt;&gt;0,SUMIF(куб!$B:$B,$B771,куб!I:I),IF($G771&lt;&gt;0,SUMIF(куб!$A:$A,$G771,куб!I:I),SUMIF(куб!$A:$A,$G771,куб!I:I)))))))</f>
        <v>0</v>
      </c>
      <c r="J771" s="19" t="str">
        <f t="shared" si="255"/>
        <v>-</v>
      </c>
      <c r="K771" s="8"/>
      <c r="L771" s="17">
        <f t="shared" si="256"/>
        <v>0</v>
      </c>
      <c r="M771" s="17">
        <f t="shared" si="257"/>
        <v>0</v>
      </c>
      <c r="N771" s="12">
        <f t="shared" si="258"/>
        <v>0</v>
      </c>
      <c r="O771" s="5"/>
      <c r="P771" s="27" t="b">
        <f>IF($G771&lt;&gt;0,SUMIF(куб!$G:$G,$G771,куб!J:J),IF($E771&lt;&gt;0,SUMIF(куб!$E:$E,$E771,куб!J:J),IF($D771&lt;&gt;0,SUMIF(куб!$D:$D,$D771,куб!J:J),IF($C771&lt;&gt;0,SUMIF(куб!$C:$C,$C771,куб!J:J),IF($B771&lt;&gt;0,SUMIF(куб!$B:$B,$B771,куб!J:J))))))</f>
        <v>0</v>
      </c>
      <c r="Q771" s="27" t="b">
        <f>IF($G771&lt;&gt;0,SUMIF(куб!$G:$G,$G771,куб!K:K),IF($E771&lt;&gt;0,SUMIF(куб!$E:$E,$E771,куб!K:K),IF($D771&lt;&gt;0,SUMIF(куб!$D:$D,$D771,куб!K:K),IF($C771&lt;&gt;0,SUMIF(куб!$C:$C,$C771,куб!K:K),IF($B771&lt;&gt;0,SUMIF(куб!$B:$B,$B771,куб!K:K))))))</f>
        <v>0</v>
      </c>
      <c r="R771" s="13" t="str">
        <f t="shared" si="259"/>
        <v>-</v>
      </c>
      <c r="S771" s="5"/>
      <c r="T771" s="27" t="b">
        <f>IF($G771&lt;&gt;0,SUMIF(куб!$G:$G,$G771,куб!L:L),IF($E771&lt;&gt;0,SUMIF(куб!$E:$E,$E771,куб!L:L),IF($D771&lt;&gt;0,SUMIF(куб!$D:$D,$D771,куб!L:L),IF($C771&lt;&gt;0,SUMIF(куб!$C:$C,$C771,куб!L:L),IF($B771&lt;&gt;0,SUMIF(куб!$B:$B,$B771,куб!L:L))))))</f>
        <v>0</v>
      </c>
      <c r="U771" s="27" t="b">
        <f>IF($G771&lt;&gt;0,SUMIF(куб!$G:$G,$G771,куб!M:M),IF($E771&lt;&gt;0,SUMIF(куб!$E:$E,$E771,куб!M:M),IF($D771&lt;&gt;0,SUMIF(куб!$D:$D,$D771,куб!M:M),IF($C771&lt;&gt;0,SUMIF(куб!$C:$C,$C771,куб!M:M),IF($B771&lt;&gt;0,SUMIF(куб!$B:$B,$B771,куб!M:M))))))</f>
        <v>0</v>
      </c>
      <c r="V771" s="13" t="str">
        <f t="shared" si="260"/>
        <v>-</v>
      </c>
      <c r="W771" s="5"/>
      <c r="X771" s="27" t="b">
        <f>IF($G771&lt;&gt;0,SUMIF(куб!$G:$G,$G771,куб!N:N),IF($E771&lt;&gt;0,SUMIF(куб!$E:$E,$E771,куб!N:N),IF($D771&lt;&gt;0,SUMIF(куб!$D:$D,$D771,куб!N:N),IF($C771&lt;&gt;0,SUMIF(куб!$C:$C,$C771,куб!N:N),IF($B771&lt;&gt;0,SUMIF(куб!$B:$B,$B771,куб!N:N))))))</f>
        <v>0</v>
      </c>
      <c r="Y771" s="27" t="b">
        <f>IF($G771&lt;&gt;0,SUMIF(куб!$G:$G,$G771,куб!O:O),IF($E771&lt;&gt;0,SUMIF(куб!$E:$E,$E771,куб!O:O),IF($D771&lt;&gt;0,SUMIF(куб!$D:$D,$D771,куб!O:O),IF($C771&lt;&gt;0,SUMIF(куб!$C:$C,$C771,куб!O:O),IF($B771&lt;&gt;0,SUMIF(куб!$B:$B,$B771,куб!O:O))))))</f>
        <v>0</v>
      </c>
      <c r="Z771" s="13" t="str">
        <f t="shared" si="261"/>
        <v>-</v>
      </c>
      <c r="AA771" s="5"/>
      <c r="AB771" s="33" t="str">
        <f t="shared" si="262"/>
        <v/>
      </c>
      <c r="AC771" s="33" t="str">
        <f t="shared" si="263"/>
        <v/>
      </c>
      <c r="AD771" s="15" t="str">
        <f t="shared" si="264"/>
        <v xml:space="preserve"> </v>
      </c>
      <c r="AE771" s="5"/>
      <c r="AF771" s="27" t="b">
        <f>IF($G771&lt;&gt;0,SUMIF(куб!$G:$G,$G771,куб!R:R),IF($E771&lt;&gt;0,SUMIF(куб!$E:$E,$E771,куб!R:R),IF($D771&lt;&gt;0,SUMIF(куб!$D:$D,$D771,куб!R:R),IF($C771&lt;&gt;0,SUMIF(куб!$C:$C,$C771,куб!R:R),IF($B771&lt;&gt;0,SUMIF(куб!$B:$B,$B771,куб!R:R))))))</f>
        <v>0</v>
      </c>
      <c r="AG771" s="27" t="b">
        <f>IF($G771&lt;&gt;0,SUMIF(куб!$G:$G,$G771,куб!S:S),IF($E771&lt;&gt;0,SUMIF(куб!$E:$E,$E771,куб!S:S),IF($D771&lt;&gt;0,SUMIF(куб!$D:$D,$D771,куб!S:S),IF($C771&lt;&gt;0,SUMIF(куб!$C:$C,$C771,куб!S:S),IF($B771&lt;&gt;0,SUMIF(куб!$B:$B,$B771,куб!S:S))))))</f>
        <v>0</v>
      </c>
      <c r="AH771" s="16" t="str">
        <f t="shared" si="265"/>
        <v>-</v>
      </c>
      <c r="AI771" s="8"/>
      <c r="AJ771" s="27" t="b">
        <f>IF($G771&lt;&gt;0,SUMIF(куб!$G:$G,$G771,куб!T:T),IF($E771&lt;&gt;0,SUMIF(куб!$E:$E,$E771,куб!T:T),IF($D771&lt;&gt;0,SUMIF(куб!$D:$D,$D771,куб!T:T),IF($C771&lt;&gt;0,SUMIF(куб!$C:$C,$C771,куб!T:T),IF($B771&lt;&gt;0,SUMIF(куб!$B:$B,$B771,куб!T:T))))))</f>
        <v>0</v>
      </c>
      <c r="AK771" s="27" t="b">
        <f>IF($G771&lt;&gt;0,SUMIF(куб!$G:$G,$G771,куб!U:U),IF($E771&lt;&gt;0,SUMIF(куб!$E:$E,$E771,куб!U:U),IF($D771&lt;&gt;0,SUMIF(куб!$D:$D,$D771,куб!U:U),IF($C771&lt;&gt;0,SUMIF(куб!$C:$C,$C771,куб!U:U),IF($B771&lt;&gt;0,SUMIF(куб!$B:$B,$B771,куб!U:U))))))</f>
        <v>0</v>
      </c>
      <c r="AL771" s="16" t="str">
        <f t="shared" si="266"/>
        <v>-</v>
      </c>
      <c r="AM771" s="8"/>
      <c r="AN771" s="17" t="str">
        <f t="shared" si="267"/>
        <v xml:space="preserve"> </v>
      </c>
      <c r="AO771" s="17" t="str">
        <f t="shared" si="268"/>
        <v xml:space="preserve"> </v>
      </c>
      <c r="AP771" s="16" t="str">
        <f t="shared" si="269"/>
        <v>-</v>
      </c>
      <c r="AQ771" s="8"/>
      <c r="AR771" s="17" t="str">
        <f t="shared" si="270"/>
        <v>-</v>
      </c>
      <c r="AS771" s="17" t="str">
        <f t="shared" si="271"/>
        <v>-</v>
      </c>
      <c r="AT771" s="13" t="str">
        <f t="shared" si="272"/>
        <v>-</v>
      </c>
      <c r="AU771" s="8"/>
    </row>
    <row r="772" spans="1:47" x14ac:dyDescent="0.25">
      <c r="A772" s="31"/>
      <c r="B772" s="31"/>
      <c r="C772"/>
      <c r="D772" s="31"/>
      <c r="E772"/>
      <c r="F772" s="31"/>
      <c r="G772"/>
      <c r="H772" s="27">
        <f>IF($G772&lt;&gt;0,SUMIF(куб!$G:$G,$G772,куб!H:H),IF($E772&lt;&gt;0,SUMIF(куб!$E:$E,$E772,куб!H:H),IF($D772&lt;&gt;0,SUMIF(куб!$D:$D,$D772,куб!H:H),IF($C772&lt;&gt;0,SUMIF(куб!$C:$C,$C772,куб!H:H),IF($B772&lt;&gt;0,SUMIF(куб!$B:$B,$B772,куб!H:H),IF($G772&lt;&gt;0,SUMIF(куб!$A:$A,$G772,куб!H:H),SUMIF(куб!$A:$A,$G772,куб!H:H)))))))</f>
        <v>0</v>
      </c>
      <c r="I772" s="27">
        <f>IF($G772&lt;&gt;0,SUMIF(куб!$G:$G,$G772,куб!I:I),IF($E772&lt;&gt;0,SUMIF(куб!$E:$E,$E772,куб!I:I),IF($D772&lt;&gt;0,SUMIF(куб!$D:$D,$D772,куб!I:I),IF($C772&lt;&gt;0,SUMIF(куб!$C:$C,$C772,куб!I:I),IF($B772&lt;&gt;0,SUMIF(куб!$B:$B,$B772,куб!I:I),IF($G772&lt;&gt;0,SUMIF(куб!$A:$A,$G772,куб!I:I),SUMIF(куб!$A:$A,$G772,куб!I:I)))))))</f>
        <v>0</v>
      </c>
      <c r="J772" s="19" t="str">
        <f t="shared" si="255"/>
        <v>-</v>
      </c>
      <c r="K772" s="8"/>
      <c r="L772" s="17">
        <f t="shared" si="256"/>
        <v>0</v>
      </c>
      <c r="M772" s="17">
        <f t="shared" si="257"/>
        <v>0</v>
      </c>
      <c r="N772" s="12">
        <f t="shared" si="258"/>
        <v>0</v>
      </c>
      <c r="O772" s="5"/>
      <c r="P772" s="27" t="b">
        <f>IF($G772&lt;&gt;0,SUMIF(куб!$G:$G,$G772,куб!J:J),IF($E772&lt;&gt;0,SUMIF(куб!$E:$E,$E772,куб!J:J),IF($D772&lt;&gt;0,SUMIF(куб!$D:$D,$D772,куб!J:J),IF($C772&lt;&gt;0,SUMIF(куб!$C:$C,$C772,куб!J:J),IF($B772&lt;&gt;0,SUMIF(куб!$B:$B,$B772,куб!J:J))))))</f>
        <v>0</v>
      </c>
      <c r="Q772" s="27" t="b">
        <f>IF($G772&lt;&gt;0,SUMIF(куб!$G:$G,$G772,куб!K:K),IF($E772&lt;&gt;0,SUMIF(куб!$E:$E,$E772,куб!K:K),IF($D772&lt;&gt;0,SUMIF(куб!$D:$D,$D772,куб!K:K),IF($C772&lt;&gt;0,SUMIF(куб!$C:$C,$C772,куб!K:K),IF($B772&lt;&gt;0,SUMIF(куб!$B:$B,$B772,куб!K:K))))))</f>
        <v>0</v>
      </c>
      <c r="R772" s="13" t="str">
        <f t="shared" si="259"/>
        <v>-</v>
      </c>
      <c r="S772" s="5"/>
      <c r="T772" s="27" t="b">
        <f>IF($G772&lt;&gt;0,SUMIF(куб!$G:$G,$G772,куб!L:L),IF($E772&lt;&gt;0,SUMIF(куб!$E:$E,$E772,куб!L:L),IF($D772&lt;&gt;0,SUMIF(куб!$D:$D,$D772,куб!L:L),IF($C772&lt;&gt;0,SUMIF(куб!$C:$C,$C772,куб!L:L),IF($B772&lt;&gt;0,SUMIF(куб!$B:$B,$B772,куб!L:L))))))</f>
        <v>0</v>
      </c>
      <c r="U772" s="27" t="b">
        <f>IF($G772&lt;&gt;0,SUMIF(куб!$G:$G,$G772,куб!M:M),IF($E772&lt;&gt;0,SUMIF(куб!$E:$E,$E772,куб!M:M),IF($D772&lt;&gt;0,SUMIF(куб!$D:$D,$D772,куб!M:M),IF($C772&lt;&gt;0,SUMIF(куб!$C:$C,$C772,куб!M:M),IF($B772&lt;&gt;0,SUMIF(куб!$B:$B,$B772,куб!M:M))))))</f>
        <v>0</v>
      </c>
      <c r="V772" s="13" t="str">
        <f t="shared" si="260"/>
        <v>-</v>
      </c>
      <c r="W772" s="5"/>
      <c r="X772" s="27" t="b">
        <f>IF($G772&lt;&gt;0,SUMIF(куб!$G:$G,$G772,куб!N:N),IF($E772&lt;&gt;0,SUMIF(куб!$E:$E,$E772,куб!N:N),IF($D772&lt;&gt;0,SUMIF(куб!$D:$D,$D772,куб!N:N),IF($C772&lt;&gt;0,SUMIF(куб!$C:$C,$C772,куб!N:N),IF($B772&lt;&gt;0,SUMIF(куб!$B:$B,$B772,куб!N:N))))))</f>
        <v>0</v>
      </c>
      <c r="Y772" s="27" t="b">
        <f>IF($G772&lt;&gt;0,SUMIF(куб!$G:$G,$G772,куб!O:O),IF($E772&lt;&gt;0,SUMIF(куб!$E:$E,$E772,куб!O:O),IF($D772&lt;&gt;0,SUMIF(куб!$D:$D,$D772,куб!O:O),IF($C772&lt;&gt;0,SUMIF(куб!$C:$C,$C772,куб!O:O),IF($B772&lt;&gt;0,SUMIF(куб!$B:$B,$B772,куб!O:O))))))</f>
        <v>0</v>
      </c>
      <c r="Z772" s="13" t="str">
        <f t="shared" si="261"/>
        <v>-</v>
      </c>
      <c r="AA772" s="5"/>
      <c r="AB772" s="33" t="str">
        <f t="shared" si="262"/>
        <v/>
      </c>
      <c r="AC772" s="33" t="str">
        <f t="shared" si="263"/>
        <v/>
      </c>
      <c r="AD772" s="15" t="str">
        <f t="shared" si="264"/>
        <v xml:space="preserve"> </v>
      </c>
      <c r="AE772" s="5"/>
      <c r="AF772" s="27" t="b">
        <f>IF($G772&lt;&gt;0,SUMIF(куб!$G:$G,$G772,куб!R:R),IF($E772&lt;&gt;0,SUMIF(куб!$E:$E,$E772,куб!R:R),IF($D772&lt;&gt;0,SUMIF(куб!$D:$D,$D772,куб!R:R),IF($C772&lt;&gt;0,SUMIF(куб!$C:$C,$C772,куб!R:R),IF($B772&lt;&gt;0,SUMIF(куб!$B:$B,$B772,куб!R:R))))))</f>
        <v>0</v>
      </c>
      <c r="AG772" s="27" t="b">
        <f>IF($G772&lt;&gt;0,SUMIF(куб!$G:$G,$G772,куб!S:S),IF($E772&lt;&gt;0,SUMIF(куб!$E:$E,$E772,куб!S:S),IF($D772&lt;&gt;0,SUMIF(куб!$D:$D,$D772,куб!S:S),IF($C772&lt;&gt;0,SUMIF(куб!$C:$C,$C772,куб!S:S),IF($B772&lt;&gt;0,SUMIF(куб!$B:$B,$B772,куб!S:S))))))</f>
        <v>0</v>
      </c>
      <c r="AH772" s="16" t="str">
        <f t="shared" si="265"/>
        <v>-</v>
      </c>
      <c r="AI772" s="8"/>
      <c r="AJ772" s="27" t="b">
        <f>IF($G772&lt;&gt;0,SUMIF(куб!$G:$G,$G772,куб!T:T),IF($E772&lt;&gt;0,SUMIF(куб!$E:$E,$E772,куб!T:T),IF($D772&lt;&gt;0,SUMIF(куб!$D:$D,$D772,куб!T:T),IF($C772&lt;&gt;0,SUMIF(куб!$C:$C,$C772,куб!T:T),IF($B772&lt;&gt;0,SUMIF(куб!$B:$B,$B772,куб!T:T))))))</f>
        <v>0</v>
      </c>
      <c r="AK772" s="27" t="b">
        <f>IF($G772&lt;&gt;0,SUMIF(куб!$G:$G,$G772,куб!U:U),IF($E772&lt;&gt;0,SUMIF(куб!$E:$E,$E772,куб!U:U),IF($D772&lt;&gt;0,SUMIF(куб!$D:$D,$D772,куб!U:U),IF($C772&lt;&gt;0,SUMIF(куб!$C:$C,$C772,куб!U:U),IF($B772&lt;&gt;0,SUMIF(куб!$B:$B,$B772,куб!U:U))))))</f>
        <v>0</v>
      </c>
      <c r="AL772" s="16" t="str">
        <f t="shared" si="266"/>
        <v>-</v>
      </c>
      <c r="AM772" s="8"/>
      <c r="AN772" s="17" t="str">
        <f t="shared" si="267"/>
        <v xml:space="preserve"> </v>
      </c>
      <c r="AO772" s="17" t="str">
        <f t="shared" si="268"/>
        <v xml:space="preserve"> </v>
      </c>
      <c r="AP772" s="16" t="str">
        <f t="shared" si="269"/>
        <v>-</v>
      </c>
      <c r="AQ772" s="8"/>
      <c r="AR772" s="17" t="str">
        <f t="shared" si="270"/>
        <v>-</v>
      </c>
      <c r="AS772" s="17" t="str">
        <f t="shared" si="271"/>
        <v>-</v>
      </c>
      <c r="AT772" s="13" t="str">
        <f t="shared" si="272"/>
        <v>-</v>
      </c>
      <c r="AU772" s="8"/>
    </row>
    <row r="773" spans="1:47" x14ac:dyDescent="0.25">
      <c r="A773" s="31"/>
      <c r="B773" s="31"/>
      <c r="C773"/>
      <c r="D773" s="31"/>
      <c r="E773"/>
      <c r="F773" s="31"/>
      <c r="G773"/>
      <c r="H773" s="27">
        <f>IF($G773&lt;&gt;0,SUMIF(куб!$G:$G,$G773,куб!H:H),IF($E773&lt;&gt;0,SUMIF(куб!$E:$E,$E773,куб!H:H),IF($D773&lt;&gt;0,SUMIF(куб!$D:$D,$D773,куб!H:H),IF($C773&lt;&gt;0,SUMIF(куб!$C:$C,$C773,куб!H:H),IF($B773&lt;&gt;0,SUMIF(куб!$B:$B,$B773,куб!H:H),IF($G773&lt;&gt;0,SUMIF(куб!$A:$A,$G773,куб!H:H),SUMIF(куб!$A:$A,$G773,куб!H:H)))))))</f>
        <v>0</v>
      </c>
      <c r="I773" s="27">
        <f>IF($G773&lt;&gt;0,SUMIF(куб!$G:$G,$G773,куб!I:I),IF($E773&lt;&gt;0,SUMIF(куб!$E:$E,$E773,куб!I:I),IF($D773&lt;&gt;0,SUMIF(куб!$D:$D,$D773,куб!I:I),IF($C773&lt;&gt;0,SUMIF(куб!$C:$C,$C773,куб!I:I),IF($B773&lt;&gt;0,SUMIF(куб!$B:$B,$B773,куб!I:I),IF($G773&lt;&gt;0,SUMIF(куб!$A:$A,$G773,куб!I:I),SUMIF(куб!$A:$A,$G773,куб!I:I)))))))</f>
        <v>0</v>
      </c>
      <c r="J773" s="19" t="str">
        <f t="shared" si="255"/>
        <v>-</v>
      </c>
      <c r="K773" s="8"/>
      <c r="L773" s="17">
        <f t="shared" si="256"/>
        <v>0</v>
      </c>
      <c r="M773" s="17">
        <f t="shared" si="257"/>
        <v>0</v>
      </c>
      <c r="N773" s="12">
        <f t="shared" si="258"/>
        <v>0</v>
      </c>
      <c r="O773" s="5"/>
      <c r="P773" s="27" t="b">
        <f>IF($G773&lt;&gt;0,SUMIF(куб!$G:$G,$G773,куб!J:J),IF($E773&lt;&gt;0,SUMIF(куб!$E:$E,$E773,куб!J:J),IF($D773&lt;&gt;0,SUMIF(куб!$D:$D,$D773,куб!J:J),IF($C773&lt;&gt;0,SUMIF(куб!$C:$C,$C773,куб!J:J),IF($B773&lt;&gt;0,SUMIF(куб!$B:$B,$B773,куб!J:J))))))</f>
        <v>0</v>
      </c>
      <c r="Q773" s="27" t="b">
        <f>IF($G773&lt;&gt;0,SUMIF(куб!$G:$G,$G773,куб!K:K),IF($E773&lt;&gt;0,SUMIF(куб!$E:$E,$E773,куб!K:K),IF($D773&lt;&gt;0,SUMIF(куб!$D:$D,$D773,куб!K:K),IF($C773&lt;&gt;0,SUMIF(куб!$C:$C,$C773,куб!K:K),IF($B773&lt;&gt;0,SUMIF(куб!$B:$B,$B773,куб!K:K))))))</f>
        <v>0</v>
      </c>
      <c r="R773" s="13" t="str">
        <f t="shared" si="259"/>
        <v>-</v>
      </c>
      <c r="S773" s="5"/>
      <c r="T773" s="27" t="b">
        <f>IF($G773&lt;&gt;0,SUMIF(куб!$G:$G,$G773,куб!L:L),IF($E773&lt;&gt;0,SUMIF(куб!$E:$E,$E773,куб!L:L),IF($D773&lt;&gt;0,SUMIF(куб!$D:$D,$D773,куб!L:L),IF($C773&lt;&gt;0,SUMIF(куб!$C:$C,$C773,куб!L:L),IF($B773&lt;&gt;0,SUMIF(куб!$B:$B,$B773,куб!L:L))))))</f>
        <v>0</v>
      </c>
      <c r="U773" s="27" t="b">
        <f>IF($G773&lt;&gt;0,SUMIF(куб!$G:$G,$G773,куб!M:M),IF($E773&lt;&gt;0,SUMIF(куб!$E:$E,$E773,куб!M:M),IF($D773&lt;&gt;0,SUMIF(куб!$D:$D,$D773,куб!M:M),IF($C773&lt;&gt;0,SUMIF(куб!$C:$C,$C773,куб!M:M),IF($B773&lt;&gt;0,SUMIF(куб!$B:$B,$B773,куб!M:M))))))</f>
        <v>0</v>
      </c>
      <c r="V773" s="13" t="str">
        <f t="shared" si="260"/>
        <v>-</v>
      </c>
      <c r="W773" s="5"/>
      <c r="X773" s="27" t="b">
        <f>IF($G773&lt;&gt;0,SUMIF(куб!$G:$G,$G773,куб!N:N),IF($E773&lt;&gt;0,SUMIF(куб!$E:$E,$E773,куб!N:N),IF($D773&lt;&gt;0,SUMIF(куб!$D:$D,$D773,куб!N:N),IF($C773&lt;&gt;0,SUMIF(куб!$C:$C,$C773,куб!N:N),IF($B773&lt;&gt;0,SUMIF(куб!$B:$B,$B773,куб!N:N))))))</f>
        <v>0</v>
      </c>
      <c r="Y773" s="27" t="b">
        <f>IF($G773&lt;&gt;0,SUMIF(куб!$G:$G,$G773,куб!O:O),IF($E773&lt;&gt;0,SUMIF(куб!$E:$E,$E773,куб!O:O),IF($D773&lt;&gt;0,SUMIF(куб!$D:$D,$D773,куб!O:O),IF($C773&lt;&gt;0,SUMIF(куб!$C:$C,$C773,куб!O:O),IF($B773&lt;&gt;0,SUMIF(куб!$B:$B,$B773,куб!O:O))))))</f>
        <v>0</v>
      </c>
      <c r="Z773" s="13" t="str">
        <f t="shared" si="261"/>
        <v>-</v>
      </c>
      <c r="AA773" s="5"/>
      <c r="AB773" s="33" t="str">
        <f t="shared" si="262"/>
        <v/>
      </c>
      <c r="AC773" s="33" t="str">
        <f t="shared" si="263"/>
        <v/>
      </c>
      <c r="AD773" s="15" t="str">
        <f t="shared" si="264"/>
        <v xml:space="preserve"> </v>
      </c>
      <c r="AE773" s="5"/>
      <c r="AF773" s="27" t="b">
        <f>IF($G773&lt;&gt;0,SUMIF(куб!$G:$G,$G773,куб!R:R),IF($E773&lt;&gt;0,SUMIF(куб!$E:$E,$E773,куб!R:R),IF($D773&lt;&gt;0,SUMIF(куб!$D:$D,$D773,куб!R:R),IF($C773&lt;&gt;0,SUMIF(куб!$C:$C,$C773,куб!R:R),IF($B773&lt;&gt;0,SUMIF(куб!$B:$B,$B773,куб!R:R))))))</f>
        <v>0</v>
      </c>
      <c r="AG773" s="27" t="b">
        <f>IF($G773&lt;&gt;0,SUMIF(куб!$G:$G,$G773,куб!S:S),IF($E773&lt;&gt;0,SUMIF(куб!$E:$E,$E773,куб!S:S),IF($D773&lt;&gt;0,SUMIF(куб!$D:$D,$D773,куб!S:S),IF($C773&lt;&gt;0,SUMIF(куб!$C:$C,$C773,куб!S:S),IF($B773&lt;&gt;0,SUMIF(куб!$B:$B,$B773,куб!S:S))))))</f>
        <v>0</v>
      </c>
      <c r="AH773" s="16" t="str">
        <f t="shared" si="265"/>
        <v>-</v>
      </c>
      <c r="AI773" s="8"/>
      <c r="AJ773" s="27" t="b">
        <f>IF($G773&lt;&gt;0,SUMIF(куб!$G:$G,$G773,куб!T:T),IF($E773&lt;&gt;0,SUMIF(куб!$E:$E,$E773,куб!T:T),IF($D773&lt;&gt;0,SUMIF(куб!$D:$D,$D773,куб!T:T),IF($C773&lt;&gt;0,SUMIF(куб!$C:$C,$C773,куб!T:T),IF($B773&lt;&gt;0,SUMIF(куб!$B:$B,$B773,куб!T:T))))))</f>
        <v>0</v>
      </c>
      <c r="AK773" s="27" t="b">
        <f>IF($G773&lt;&gt;0,SUMIF(куб!$G:$G,$G773,куб!U:U),IF($E773&lt;&gt;0,SUMIF(куб!$E:$E,$E773,куб!U:U),IF($D773&lt;&gt;0,SUMIF(куб!$D:$D,$D773,куб!U:U),IF($C773&lt;&gt;0,SUMIF(куб!$C:$C,$C773,куб!U:U),IF($B773&lt;&gt;0,SUMIF(куб!$B:$B,$B773,куб!U:U))))))</f>
        <v>0</v>
      </c>
      <c r="AL773" s="16" t="str">
        <f t="shared" si="266"/>
        <v>-</v>
      </c>
      <c r="AM773" s="8"/>
      <c r="AN773" s="17" t="str">
        <f t="shared" si="267"/>
        <v xml:space="preserve"> </v>
      </c>
      <c r="AO773" s="17" t="str">
        <f t="shared" si="268"/>
        <v xml:space="preserve"> </v>
      </c>
      <c r="AP773" s="16" t="str">
        <f t="shared" si="269"/>
        <v>-</v>
      </c>
      <c r="AQ773" s="8"/>
      <c r="AR773" s="17" t="str">
        <f t="shared" si="270"/>
        <v>-</v>
      </c>
      <c r="AS773" s="17" t="str">
        <f t="shared" si="271"/>
        <v>-</v>
      </c>
      <c r="AT773" s="13" t="str">
        <f t="shared" si="272"/>
        <v>-</v>
      </c>
      <c r="AU773" s="8"/>
    </row>
    <row r="774" spans="1:47" x14ac:dyDescent="0.25">
      <c r="A774" s="31"/>
      <c r="B774" s="31"/>
      <c r="C774"/>
      <c r="D774" s="31"/>
      <c r="E774"/>
      <c r="F774" s="31"/>
      <c r="G774"/>
      <c r="H774" s="27">
        <f>IF($G774&lt;&gt;0,SUMIF(куб!$G:$G,$G774,куб!H:H),IF($E774&lt;&gt;0,SUMIF(куб!$E:$E,$E774,куб!H:H),IF($D774&lt;&gt;0,SUMIF(куб!$D:$D,$D774,куб!H:H),IF($C774&lt;&gt;0,SUMIF(куб!$C:$C,$C774,куб!H:H),IF($B774&lt;&gt;0,SUMIF(куб!$B:$B,$B774,куб!H:H),IF($G774&lt;&gt;0,SUMIF(куб!$A:$A,$G774,куб!H:H),SUMIF(куб!$A:$A,$G774,куб!H:H)))))))</f>
        <v>0</v>
      </c>
      <c r="I774" s="27">
        <f>IF($G774&lt;&gt;0,SUMIF(куб!$G:$G,$G774,куб!I:I),IF($E774&lt;&gt;0,SUMIF(куб!$E:$E,$E774,куб!I:I),IF($D774&lt;&gt;0,SUMIF(куб!$D:$D,$D774,куб!I:I),IF($C774&lt;&gt;0,SUMIF(куб!$C:$C,$C774,куб!I:I),IF($B774&lt;&gt;0,SUMIF(куб!$B:$B,$B774,куб!I:I),IF($G774&lt;&gt;0,SUMIF(куб!$A:$A,$G774,куб!I:I),SUMIF(куб!$A:$A,$G774,куб!I:I)))))))</f>
        <v>0</v>
      </c>
      <c r="J774" s="19" t="str">
        <f t="shared" si="255"/>
        <v>-</v>
      </c>
      <c r="K774" s="8"/>
      <c r="L774" s="17">
        <f t="shared" si="256"/>
        <v>0</v>
      </c>
      <c r="M774" s="17">
        <f t="shared" si="257"/>
        <v>0</v>
      </c>
      <c r="N774" s="12">
        <f t="shared" si="258"/>
        <v>0</v>
      </c>
      <c r="O774" s="5"/>
      <c r="P774" s="27" t="b">
        <f>IF($G774&lt;&gt;0,SUMIF(куб!$G:$G,$G774,куб!J:J),IF($E774&lt;&gt;0,SUMIF(куб!$E:$E,$E774,куб!J:J),IF($D774&lt;&gt;0,SUMIF(куб!$D:$D,$D774,куб!J:J),IF($C774&lt;&gt;0,SUMIF(куб!$C:$C,$C774,куб!J:J),IF($B774&lt;&gt;0,SUMIF(куб!$B:$B,$B774,куб!J:J))))))</f>
        <v>0</v>
      </c>
      <c r="Q774" s="27" t="b">
        <f>IF($G774&lt;&gt;0,SUMIF(куб!$G:$G,$G774,куб!K:K),IF($E774&lt;&gt;0,SUMIF(куб!$E:$E,$E774,куб!K:K),IF($D774&lt;&gt;0,SUMIF(куб!$D:$D,$D774,куб!K:K),IF($C774&lt;&gt;0,SUMIF(куб!$C:$C,$C774,куб!K:K),IF($B774&lt;&gt;0,SUMIF(куб!$B:$B,$B774,куб!K:K))))))</f>
        <v>0</v>
      </c>
      <c r="R774" s="13" t="str">
        <f t="shared" si="259"/>
        <v>-</v>
      </c>
      <c r="S774" s="5"/>
      <c r="T774" s="27" t="b">
        <f>IF($G774&lt;&gt;0,SUMIF(куб!$G:$G,$G774,куб!L:L),IF($E774&lt;&gt;0,SUMIF(куб!$E:$E,$E774,куб!L:L),IF($D774&lt;&gt;0,SUMIF(куб!$D:$D,$D774,куб!L:L),IF($C774&lt;&gt;0,SUMIF(куб!$C:$C,$C774,куб!L:L),IF($B774&lt;&gt;0,SUMIF(куб!$B:$B,$B774,куб!L:L))))))</f>
        <v>0</v>
      </c>
      <c r="U774" s="27" t="b">
        <f>IF($G774&lt;&gt;0,SUMIF(куб!$G:$G,$G774,куб!M:M),IF($E774&lt;&gt;0,SUMIF(куб!$E:$E,$E774,куб!M:M),IF($D774&lt;&gt;0,SUMIF(куб!$D:$D,$D774,куб!M:M),IF($C774&lt;&gt;0,SUMIF(куб!$C:$C,$C774,куб!M:M),IF($B774&lt;&gt;0,SUMIF(куб!$B:$B,$B774,куб!M:M))))))</f>
        <v>0</v>
      </c>
      <c r="V774" s="13" t="str">
        <f t="shared" si="260"/>
        <v>-</v>
      </c>
      <c r="W774" s="5"/>
      <c r="X774" s="27" t="b">
        <f>IF($G774&lt;&gt;0,SUMIF(куб!$G:$G,$G774,куб!N:N),IF($E774&lt;&gt;0,SUMIF(куб!$E:$E,$E774,куб!N:N),IF($D774&lt;&gt;0,SUMIF(куб!$D:$D,$D774,куб!N:N),IF($C774&lt;&gt;0,SUMIF(куб!$C:$C,$C774,куб!N:N),IF($B774&lt;&gt;0,SUMIF(куб!$B:$B,$B774,куб!N:N))))))</f>
        <v>0</v>
      </c>
      <c r="Y774" s="27" t="b">
        <f>IF($G774&lt;&gt;0,SUMIF(куб!$G:$G,$G774,куб!O:O),IF($E774&lt;&gt;0,SUMIF(куб!$E:$E,$E774,куб!O:O),IF($D774&lt;&gt;0,SUMIF(куб!$D:$D,$D774,куб!O:O),IF($C774&lt;&gt;0,SUMIF(куб!$C:$C,$C774,куб!O:O),IF($B774&lt;&gt;0,SUMIF(куб!$B:$B,$B774,куб!O:O))))))</f>
        <v>0</v>
      </c>
      <c r="Z774" s="13" t="str">
        <f t="shared" si="261"/>
        <v>-</v>
      </c>
      <c r="AA774" s="5"/>
      <c r="AB774" s="33" t="str">
        <f t="shared" si="262"/>
        <v/>
      </c>
      <c r="AC774" s="33" t="str">
        <f t="shared" si="263"/>
        <v/>
      </c>
      <c r="AD774" s="15" t="str">
        <f t="shared" si="264"/>
        <v xml:space="preserve"> </v>
      </c>
      <c r="AE774" s="5"/>
      <c r="AF774" s="27" t="b">
        <f>IF($G774&lt;&gt;0,SUMIF(куб!$G:$G,$G774,куб!R:R),IF($E774&lt;&gt;0,SUMIF(куб!$E:$E,$E774,куб!R:R),IF($D774&lt;&gt;0,SUMIF(куб!$D:$D,$D774,куб!R:R),IF($C774&lt;&gt;0,SUMIF(куб!$C:$C,$C774,куб!R:R),IF($B774&lt;&gt;0,SUMIF(куб!$B:$B,$B774,куб!R:R))))))</f>
        <v>0</v>
      </c>
      <c r="AG774" s="27" t="b">
        <f>IF($G774&lt;&gt;0,SUMIF(куб!$G:$G,$G774,куб!S:S),IF($E774&lt;&gt;0,SUMIF(куб!$E:$E,$E774,куб!S:S),IF($D774&lt;&gt;0,SUMIF(куб!$D:$D,$D774,куб!S:S),IF($C774&lt;&gt;0,SUMIF(куб!$C:$C,$C774,куб!S:S),IF($B774&lt;&gt;0,SUMIF(куб!$B:$B,$B774,куб!S:S))))))</f>
        <v>0</v>
      </c>
      <c r="AH774" s="16" t="str">
        <f t="shared" si="265"/>
        <v>-</v>
      </c>
      <c r="AI774" s="8"/>
      <c r="AJ774" s="27" t="b">
        <f>IF($G774&lt;&gt;0,SUMIF(куб!$G:$G,$G774,куб!T:T),IF($E774&lt;&gt;0,SUMIF(куб!$E:$E,$E774,куб!T:T),IF($D774&lt;&gt;0,SUMIF(куб!$D:$D,$D774,куб!T:T),IF($C774&lt;&gt;0,SUMIF(куб!$C:$C,$C774,куб!T:T),IF($B774&lt;&gt;0,SUMIF(куб!$B:$B,$B774,куб!T:T))))))</f>
        <v>0</v>
      </c>
      <c r="AK774" s="27" t="b">
        <f>IF($G774&lt;&gt;0,SUMIF(куб!$G:$G,$G774,куб!U:U),IF($E774&lt;&gt;0,SUMIF(куб!$E:$E,$E774,куб!U:U),IF($D774&lt;&gt;0,SUMIF(куб!$D:$D,$D774,куб!U:U),IF($C774&lt;&gt;0,SUMIF(куб!$C:$C,$C774,куб!U:U),IF($B774&lt;&gt;0,SUMIF(куб!$B:$B,$B774,куб!U:U))))))</f>
        <v>0</v>
      </c>
      <c r="AL774" s="16" t="str">
        <f t="shared" si="266"/>
        <v>-</v>
      </c>
      <c r="AM774" s="8"/>
      <c r="AN774" s="17" t="str">
        <f t="shared" si="267"/>
        <v xml:space="preserve"> </v>
      </c>
      <c r="AO774" s="17" t="str">
        <f t="shared" si="268"/>
        <v xml:space="preserve"> </v>
      </c>
      <c r="AP774" s="16" t="str">
        <f t="shared" si="269"/>
        <v>-</v>
      </c>
      <c r="AQ774" s="8"/>
      <c r="AR774" s="17" t="str">
        <f t="shared" si="270"/>
        <v>-</v>
      </c>
      <c r="AS774" s="17" t="str">
        <f t="shared" si="271"/>
        <v>-</v>
      </c>
      <c r="AT774" s="13" t="str">
        <f t="shared" si="272"/>
        <v>-</v>
      </c>
      <c r="AU774" s="8"/>
    </row>
    <row r="775" spans="1:47" x14ac:dyDescent="0.25">
      <c r="A775" s="31"/>
      <c r="B775" s="31"/>
      <c r="C775"/>
      <c r="D775" s="31"/>
      <c r="E775"/>
      <c r="F775" s="31"/>
      <c r="G775"/>
      <c r="H775" s="27">
        <f>IF($G775&lt;&gt;0,SUMIF(куб!$G:$G,$G775,куб!H:H),IF($E775&lt;&gt;0,SUMIF(куб!$E:$E,$E775,куб!H:H),IF($D775&lt;&gt;0,SUMIF(куб!$D:$D,$D775,куб!H:H),IF($C775&lt;&gt;0,SUMIF(куб!$C:$C,$C775,куб!H:H),IF($B775&lt;&gt;0,SUMIF(куб!$B:$B,$B775,куб!H:H),IF($G775&lt;&gt;0,SUMIF(куб!$A:$A,$G775,куб!H:H),SUMIF(куб!$A:$A,$G775,куб!H:H)))))))</f>
        <v>0</v>
      </c>
      <c r="I775" s="27">
        <f>IF($G775&lt;&gt;0,SUMIF(куб!$G:$G,$G775,куб!I:I),IF($E775&lt;&gt;0,SUMIF(куб!$E:$E,$E775,куб!I:I),IF($D775&lt;&gt;0,SUMIF(куб!$D:$D,$D775,куб!I:I),IF($C775&lt;&gt;0,SUMIF(куб!$C:$C,$C775,куб!I:I),IF($B775&lt;&gt;0,SUMIF(куб!$B:$B,$B775,куб!I:I),IF($G775&lt;&gt;0,SUMIF(куб!$A:$A,$G775,куб!I:I),SUMIF(куб!$A:$A,$G775,куб!I:I)))))))</f>
        <v>0</v>
      </c>
      <c r="J775" s="19" t="str">
        <f t="shared" si="255"/>
        <v>-</v>
      </c>
      <c r="K775" s="8"/>
      <c r="L775" s="17">
        <f t="shared" si="256"/>
        <v>0</v>
      </c>
      <c r="M775" s="17">
        <f t="shared" si="257"/>
        <v>0</v>
      </c>
      <c r="N775" s="12">
        <f t="shared" si="258"/>
        <v>0</v>
      </c>
      <c r="O775" s="5"/>
      <c r="P775" s="27" t="b">
        <f>IF($G775&lt;&gt;0,SUMIF(куб!$G:$G,$G775,куб!J:J),IF($E775&lt;&gt;0,SUMIF(куб!$E:$E,$E775,куб!J:J),IF($D775&lt;&gt;0,SUMIF(куб!$D:$D,$D775,куб!J:J),IF($C775&lt;&gt;0,SUMIF(куб!$C:$C,$C775,куб!J:J),IF($B775&lt;&gt;0,SUMIF(куб!$B:$B,$B775,куб!J:J))))))</f>
        <v>0</v>
      </c>
      <c r="Q775" s="27" t="b">
        <f>IF($G775&lt;&gt;0,SUMIF(куб!$G:$G,$G775,куб!K:K),IF($E775&lt;&gt;0,SUMIF(куб!$E:$E,$E775,куб!K:K),IF($D775&lt;&gt;0,SUMIF(куб!$D:$D,$D775,куб!K:K),IF($C775&lt;&gt;0,SUMIF(куб!$C:$C,$C775,куб!K:K),IF($B775&lt;&gt;0,SUMIF(куб!$B:$B,$B775,куб!K:K))))))</f>
        <v>0</v>
      </c>
      <c r="R775" s="13" t="str">
        <f t="shared" si="259"/>
        <v>-</v>
      </c>
      <c r="S775" s="5"/>
      <c r="T775" s="27" t="b">
        <f>IF($G775&lt;&gt;0,SUMIF(куб!$G:$G,$G775,куб!L:L),IF($E775&lt;&gt;0,SUMIF(куб!$E:$E,$E775,куб!L:L),IF($D775&lt;&gt;0,SUMIF(куб!$D:$D,$D775,куб!L:L),IF($C775&lt;&gt;0,SUMIF(куб!$C:$C,$C775,куб!L:L),IF($B775&lt;&gt;0,SUMIF(куб!$B:$B,$B775,куб!L:L))))))</f>
        <v>0</v>
      </c>
      <c r="U775" s="27" t="b">
        <f>IF($G775&lt;&gt;0,SUMIF(куб!$G:$G,$G775,куб!M:M),IF($E775&lt;&gt;0,SUMIF(куб!$E:$E,$E775,куб!M:M),IF($D775&lt;&gt;0,SUMIF(куб!$D:$D,$D775,куб!M:M),IF($C775&lt;&gt;0,SUMIF(куб!$C:$C,$C775,куб!M:M),IF($B775&lt;&gt;0,SUMIF(куб!$B:$B,$B775,куб!M:M))))))</f>
        <v>0</v>
      </c>
      <c r="V775" s="13" t="str">
        <f t="shared" si="260"/>
        <v>-</v>
      </c>
      <c r="W775" s="5"/>
      <c r="X775" s="27" t="b">
        <f>IF($G775&lt;&gt;0,SUMIF(куб!$G:$G,$G775,куб!N:N),IF($E775&lt;&gt;0,SUMIF(куб!$E:$E,$E775,куб!N:N),IF($D775&lt;&gt;0,SUMIF(куб!$D:$D,$D775,куб!N:N),IF($C775&lt;&gt;0,SUMIF(куб!$C:$C,$C775,куб!N:N),IF($B775&lt;&gt;0,SUMIF(куб!$B:$B,$B775,куб!N:N))))))</f>
        <v>0</v>
      </c>
      <c r="Y775" s="27" t="b">
        <f>IF($G775&lt;&gt;0,SUMIF(куб!$G:$G,$G775,куб!O:O),IF($E775&lt;&gt;0,SUMIF(куб!$E:$E,$E775,куб!O:O),IF($D775&lt;&gt;0,SUMIF(куб!$D:$D,$D775,куб!O:O),IF($C775&lt;&gt;0,SUMIF(куб!$C:$C,$C775,куб!O:O),IF($B775&lt;&gt;0,SUMIF(куб!$B:$B,$B775,куб!O:O))))))</f>
        <v>0</v>
      </c>
      <c r="Z775" s="13" t="str">
        <f t="shared" si="261"/>
        <v>-</v>
      </c>
      <c r="AA775" s="5"/>
      <c r="AB775" s="33" t="str">
        <f t="shared" si="262"/>
        <v/>
      </c>
      <c r="AC775" s="33" t="str">
        <f t="shared" si="263"/>
        <v/>
      </c>
      <c r="AD775" s="15" t="str">
        <f t="shared" si="264"/>
        <v xml:space="preserve"> </v>
      </c>
      <c r="AE775" s="5"/>
      <c r="AF775" s="27" t="b">
        <f>IF($G775&lt;&gt;0,SUMIF(куб!$G:$G,$G775,куб!R:R),IF($E775&lt;&gt;0,SUMIF(куб!$E:$E,$E775,куб!R:R),IF($D775&lt;&gt;0,SUMIF(куб!$D:$D,$D775,куб!R:R),IF($C775&lt;&gt;0,SUMIF(куб!$C:$C,$C775,куб!R:R),IF($B775&lt;&gt;0,SUMIF(куб!$B:$B,$B775,куб!R:R))))))</f>
        <v>0</v>
      </c>
      <c r="AG775" s="27" t="b">
        <f>IF($G775&lt;&gt;0,SUMIF(куб!$G:$G,$G775,куб!S:S),IF($E775&lt;&gt;0,SUMIF(куб!$E:$E,$E775,куб!S:S),IF($D775&lt;&gt;0,SUMIF(куб!$D:$D,$D775,куб!S:S),IF($C775&lt;&gt;0,SUMIF(куб!$C:$C,$C775,куб!S:S),IF($B775&lt;&gt;0,SUMIF(куб!$B:$B,$B775,куб!S:S))))))</f>
        <v>0</v>
      </c>
      <c r="AH775" s="16" t="str">
        <f t="shared" si="265"/>
        <v>-</v>
      </c>
      <c r="AI775" s="8"/>
      <c r="AJ775" s="27" t="b">
        <f>IF($G775&lt;&gt;0,SUMIF(куб!$G:$G,$G775,куб!T:T),IF($E775&lt;&gt;0,SUMIF(куб!$E:$E,$E775,куб!T:T),IF($D775&lt;&gt;0,SUMIF(куб!$D:$D,$D775,куб!T:T),IF($C775&lt;&gt;0,SUMIF(куб!$C:$C,$C775,куб!T:T),IF($B775&lt;&gt;0,SUMIF(куб!$B:$B,$B775,куб!T:T))))))</f>
        <v>0</v>
      </c>
      <c r="AK775" s="27" t="b">
        <f>IF($G775&lt;&gt;0,SUMIF(куб!$G:$G,$G775,куб!U:U),IF($E775&lt;&gt;0,SUMIF(куб!$E:$E,$E775,куб!U:U),IF($D775&lt;&gt;0,SUMIF(куб!$D:$D,$D775,куб!U:U),IF($C775&lt;&gt;0,SUMIF(куб!$C:$C,$C775,куб!U:U),IF($B775&lt;&gt;0,SUMIF(куб!$B:$B,$B775,куб!U:U))))))</f>
        <v>0</v>
      </c>
      <c r="AL775" s="16" t="str">
        <f t="shared" si="266"/>
        <v>-</v>
      </c>
      <c r="AM775" s="8"/>
      <c r="AN775" s="17" t="str">
        <f t="shared" si="267"/>
        <v xml:space="preserve"> </v>
      </c>
      <c r="AO775" s="17" t="str">
        <f t="shared" si="268"/>
        <v xml:space="preserve"> </v>
      </c>
      <c r="AP775" s="16" t="str">
        <f t="shared" si="269"/>
        <v>-</v>
      </c>
      <c r="AQ775" s="8"/>
      <c r="AR775" s="17" t="str">
        <f t="shared" si="270"/>
        <v>-</v>
      </c>
      <c r="AS775" s="17" t="str">
        <f t="shared" si="271"/>
        <v>-</v>
      </c>
      <c r="AT775" s="13" t="str">
        <f t="shared" si="272"/>
        <v>-</v>
      </c>
      <c r="AU775" s="8"/>
    </row>
    <row r="776" spans="1:47" x14ac:dyDescent="0.25">
      <c r="A776" s="31"/>
      <c r="B776" s="31"/>
      <c r="C776"/>
      <c r="D776" s="31"/>
      <c r="E776"/>
      <c r="F776" s="31"/>
      <c r="G776"/>
      <c r="H776" s="27">
        <f>IF($G776&lt;&gt;0,SUMIF(куб!$G:$G,$G776,куб!H:H),IF($E776&lt;&gt;0,SUMIF(куб!$E:$E,$E776,куб!H:H),IF($D776&lt;&gt;0,SUMIF(куб!$D:$D,$D776,куб!H:H),IF($C776&lt;&gt;0,SUMIF(куб!$C:$C,$C776,куб!H:H),IF($B776&lt;&gt;0,SUMIF(куб!$B:$B,$B776,куб!H:H),IF($G776&lt;&gt;0,SUMIF(куб!$A:$A,$G776,куб!H:H),SUMIF(куб!$A:$A,$G776,куб!H:H)))))))</f>
        <v>0</v>
      </c>
      <c r="I776" s="27">
        <f>IF($G776&lt;&gt;0,SUMIF(куб!$G:$G,$G776,куб!I:I),IF($E776&lt;&gt;0,SUMIF(куб!$E:$E,$E776,куб!I:I),IF($D776&lt;&gt;0,SUMIF(куб!$D:$D,$D776,куб!I:I),IF($C776&lt;&gt;0,SUMIF(куб!$C:$C,$C776,куб!I:I),IF($B776&lt;&gt;0,SUMIF(куб!$B:$B,$B776,куб!I:I),IF($G776&lt;&gt;0,SUMIF(куб!$A:$A,$G776,куб!I:I),SUMIF(куб!$A:$A,$G776,куб!I:I)))))))</f>
        <v>0</v>
      </c>
      <c r="J776" s="19" t="str">
        <f t="shared" si="255"/>
        <v>-</v>
      </c>
      <c r="K776" s="8"/>
      <c r="L776" s="17">
        <f t="shared" si="256"/>
        <v>0</v>
      </c>
      <c r="M776" s="17">
        <f t="shared" si="257"/>
        <v>0</v>
      </c>
      <c r="N776" s="12">
        <f t="shared" si="258"/>
        <v>0</v>
      </c>
      <c r="O776" s="5"/>
      <c r="P776" s="27" t="b">
        <f>IF($G776&lt;&gt;0,SUMIF(куб!$G:$G,$G776,куб!J:J),IF($E776&lt;&gt;0,SUMIF(куб!$E:$E,$E776,куб!J:J),IF($D776&lt;&gt;0,SUMIF(куб!$D:$D,$D776,куб!J:J),IF($C776&lt;&gt;0,SUMIF(куб!$C:$C,$C776,куб!J:J),IF($B776&lt;&gt;0,SUMIF(куб!$B:$B,$B776,куб!J:J))))))</f>
        <v>0</v>
      </c>
      <c r="Q776" s="27" t="b">
        <f>IF($G776&lt;&gt;0,SUMIF(куб!$G:$G,$G776,куб!K:K),IF($E776&lt;&gt;0,SUMIF(куб!$E:$E,$E776,куб!K:K),IF($D776&lt;&gt;0,SUMIF(куб!$D:$D,$D776,куб!K:K),IF($C776&lt;&gt;0,SUMIF(куб!$C:$C,$C776,куб!K:K),IF($B776&lt;&gt;0,SUMIF(куб!$B:$B,$B776,куб!K:K))))))</f>
        <v>0</v>
      </c>
      <c r="R776" s="13" t="str">
        <f t="shared" si="259"/>
        <v>-</v>
      </c>
      <c r="S776" s="5"/>
      <c r="T776" s="27" t="b">
        <f>IF($G776&lt;&gt;0,SUMIF(куб!$G:$G,$G776,куб!L:L),IF($E776&lt;&gt;0,SUMIF(куб!$E:$E,$E776,куб!L:L),IF($D776&lt;&gt;0,SUMIF(куб!$D:$D,$D776,куб!L:L),IF($C776&lt;&gt;0,SUMIF(куб!$C:$C,$C776,куб!L:L),IF($B776&lt;&gt;0,SUMIF(куб!$B:$B,$B776,куб!L:L))))))</f>
        <v>0</v>
      </c>
      <c r="U776" s="27" t="b">
        <f>IF($G776&lt;&gt;0,SUMIF(куб!$G:$G,$G776,куб!M:M),IF($E776&lt;&gt;0,SUMIF(куб!$E:$E,$E776,куб!M:M),IF($D776&lt;&gt;0,SUMIF(куб!$D:$D,$D776,куб!M:M),IF($C776&lt;&gt;0,SUMIF(куб!$C:$C,$C776,куб!M:M),IF($B776&lt;&gt;0,SUMIF(куб!$B:$B,$B776,куб!M:M))))))</f>
        <v>0</v>
      </c>
      <c r="V776" s="13" t="str">
        <f t="shared" si="260"/>
        <v>-</v>
      </c>
      <c r="W776" s="5"/>
      <c r="X776" s="27" t="b">
        <f>IF($G776&lt;&gt;0,SUMIF(куб!$G:$G,$G776,куб!N:N),IF($E776&lt;&gt;0,SUMIF(куб!$E:$E,$E776,куб!N:N),IF($D776&lt;&gt;0,SUMIF(куб!$D:$D,$D776,куб!N:N),IF($C776&lt;&gt;0,SUMIF(куб!$C:$C,$C776,куб!N:N),IF($B776&lt;&gt;0,SUMIF(куб!$B:$B,$B776,куб!N:N))))))</f>
        <v>0</v>
      </c>
      <c r="Y776" s="27" t="b">
        <f>IF($G776&lt;&gt;0,SUMIF(куб!$G:$G,$G776,куб!O:O),IF($E776&lt;&gt;0,SUMIF(куб!$E:$E,$E776,куб!O:O),IF($D776&lt;&gt;0,SUMIF(куб!$D:$D,$D776,куб!O:O),IF($C776&lt;&gt;0,SUMIF(куб!$C:$C,$C776,куб!O:O),IF($B776&lt;&gt;0,SUMIF(куб!$B:$B,$B776,куб!O:O))))))</f>
        <v>0</v>
      </c>
      <c r="Z776" s="13" t="str">
        <f t="shared" si="261"/>
        <v>-</v>
      </c>
      <c r="AA776" s="5"/>
      <c r="AB776" s="33" t="str">
        <f t="shared" si="262"/>
        <v/>
      </c>
      <c r="AC776" s="33" t="str">
        <f t="shared" si="263"/>
        <v/>
      </c>
      <c r="AD776" s="15" t="str">
        <f t="shared" si="264"/>
        <v xml:space="preserve"> </v>
      </c>
      <c r="AE776" s="5"/>
      <c r="AF776" s="27" t="b">
        <f>IF($G776&lt;&gt;0,SUMIF(куб!$G:$G,$G776,куб!R:R),IF($E776&lt;&gt;0,SUMIF(куб!$E:$E,$E776,куб!R:R),IF($D776&lt;&gt;0,SUMIF(куб!$D:$D,$D776,куб!R:R),IF($C776&lt;&gt;0,SUMIF(куб!$C:$C,$C776,куб!R:R),IF($B776&lt;&gt;0,SUMIF(куб!$B:$B,$B776,куб!R:R))))))</f>
        <v>0</v>
      </c>
      <c r="AG776" s="27" t="b">
        <f>IF($G776&lt;&gt;0,SUMIF(куб!$G:$G,$G776,куб!S:S),IF($E776&lt;&gt;0,SUMIF(куб!$E:$E,$E776,куб!S:S),IF($D776&lt;&gt;0,SUMIF(куб!$D:$D,$D776,куб!S:S),IF($C776&lt;&gt;0,SUMIF(куб!$C:$C,$C776,куб!S:S),IF($B776&lt;&gt;0,SUMIF(куб!$B:$B,$B776,куб!S:S))))))</f>
        <v>0</v>
      </c>
      <c r="AH776" s="16" t="str">
        <f t="shared" si="265"/>
        <v>-</v>
      </c>
      <c r="AI776" s="8"/>
      <c r="AJ776" s="27" t="b">
        <f>IF($G776&lt;&gt;0,SUMIF(куб!$G:$G,$G776,куб!T:T),IF($E776&lt;&gt;0,SUMIF(куб!$E:$E,$E776,куб!T:T),IF($D776&lt;&gt;0,SUMIF(куб!$D:$D,$D776,куб!T:T),IF($C776&lt;&gt;0,SUMIF(куб!$C:$C,$C776,куб!T:T),IF($B776&lt;&gt;0,SUMIF(куб!$B:$B,$B776,куб!T:T))))))</f>
        <v>0</v>
      </c>
      <c r="AK776" s="27" t="b">
        <f>IF($G776&lt;&gt;0,SUMIF(куб!$G:$G,$G776,куб!U:U),IF($E776&lt;&gt;0,SUMIF(куб!$E:$E,$E776,куб!U:U),IF($D776&lt;&gt;0,SUMIF(куб!$D:$D,$D776,куб!U:U),IF($C776&lt;&gt;0,SUMIF(куб!$C:$C,$C776,куб!U:U),IF($B776&lt;&gt;0,SUMIF(куб!$B:$B,$B776,куб!U:U))))))</f>
        <v>0</v>
      </c>
      <c r="AL776" s="16" t="str">
        <f t="shared" si="266"/>
        <v>-</v>
      </c>
      <c r="AM776" s="8"/>
      <c r="AN776" s="17" t="str">
        <f t="shared" si="267"/>
        <v xml:space="preserve"> </v>
      </c>
      <c r="AO776" s="17" t="str">
        <f t="shared" si="268"/>
        <v xml:space="preserve"> </v>
      </c>
      <c r="AP776" s="16" t="str">
        <f t="shared" si="269"/>
        <v>-</v>
      </c>
      <c r="AQ776" s="8"/>
      <c r="AR776" s="17" t="str">
        <f t="shared" si="270"/>
        <v>-</v>
      </c>
      <c r="AS776" s="17" t="str">
        <f t="shared" si="271"/>
        <v>-</v>
      </c>
      <c r="AT776" s="13" t="str">
        <f t="shared" si="272"/>
        <v>-</v>
      </c>
      <c r="AU776" s="8"/>
    </row>
    <row r="777" spans="1:47" x14ac:dyDescent="0.25">
      <c r="A777" s="31"/>
      <c r="B777" s="31"/>
      <c r="C777"/>
      <c r="D777" s="31"/>
      <c r="E777"/>
      <c r="F777" s="31"/>
      <c r="G777"/>
      <c r="H777" s="27">
        <f>IF($G777&lt;&gt;0,SUMIF(куб!$G:$G,$G777,куб!H:H),IF($E777&lt;&gt;0,SUMIF(куб!$E:$E,$E777,куб!H:H),IF($D777&lt;&gt;0,SUMIF(куб!$D:$D,$D777,куб!H:H),IF($C777&lt;&gt;0,SUMIF(куб!$C:$C,$C777,куб!H:H),IF($B777&lt;&gt;0,SUMIF(куб!$B:$B,$B777,куб!H:H),IF($G777&lt;&gt;0,SUMIF(куб!$A:$A,$G777,куб!H:H),SUMIF(куб!$A:$A,$G777,куб!H:H)))))))</f>
        <v>0</v>
      </c>
      <c r="I777" s="27">
        <f>IF($G777&lt;&gt;0,SUMIF(куб!$G:$G,$G777,куб!I:I),IF($E777&lt;&gt;0,SUMIF(куб!$E:$E,$E777,куб!I:I),IF($D777&lt;&gt;0,SUMIF(куб!$D:$D,$D777,куб!I:I),IF($C777&lt;&gt;0,SUMIF(куб!$C:$C,$C777,куб!I:I),IF($B777&lt;&gt;0,SUMIF(куб!$B:$B,$B777,куб!I:I),IF($G777&lt;&gt;0,SUMIF(куб!$A:$A,$G777,куб!I:I),SUMIF(куб!$A:$A,$G777,куб!I:I)))))))</f>
        <v>0</v>
      </c>
      <c r="J777" s="19" t="str">
        <f t="shared" si="255"/>
        <v>-</v>
      </c>
      <c r="K777" s="8"/>
      <c r="L777" s="17">
        <f t="shared" si="256"/>
        <v>0</v>
      </c>
      <c r="M777" s="17">
        <f t="shared" si="257"/>
        <v>0</v>
      </c>
      <c r="N777" s="12">
        <f t="shared" si="258"/>
        <v>0</v>
      </c>
      <c r="O777" s="5"/>
      <c r="P777" s="27" t="b">
        <f>IF($G777&lt;&gt;0,SUMIF(куб!$G:$G,$G777,куб!J:J),IF($E777&lt;&gt;0,SUMIF(куб!$E:$E,$E777,куб!J:J),IF($D777&lt;&gt;0,SUMIF(куб!$D:$D,$D777,куб!J:J),IF($C777&lt;&gt;0,SUMIF(куб!$C:$C,$C777,куб!J:J),IF($B777&lt;&gt;0,SUMIF(куб!$B:$B,$B777,куб!J:J))))))</f>
        <v>0</v>
      </c>
      <c r="Q777" s="27" t="b">
        <f>IF($G777&lt;&gt;0,SUMIF(куб!$G:$G,$G777,куб!K:K),IF($E777&lt;&gt;0,SUMIF(куб!$E:$E,$E777,куб!K:K),IF($D777&lt;&gt;0,SUMIF(куб!$D:$D,$D777,куб!K:K),IF($C777&lt;&gt;0,SUMIF(куб!$C:$C,$C777,куб!K:K),IF($B777&lt;&gt;0,SUMIF(куб!$B:$B,$B777,куб!K:K))))))</f>
        <v>0</v>
      </c>
      <c r="R777" s="13" t="str">
        <f t="shared" si="259"/>
        <v>-</v>
      </c>
      <c r="S777" s="5"/>
      <c r="T777" s="27" t="b">
        <f>IF($G777&lt;&gt;0,SUMIF(куб!$G:$G,$G777,куб!L:L),IF($E777&lt;&gt;0,SUMIF(куб!$E:$E,$E777,куб!L:L),IF($D777&lt;&gt;0,SUMIF(куб!$D:$D,$D777,куб!L:L),IF($C777&lt;&gt;0,SUMIF(куб!$C:$C,$C777,куб!L:L),IF($B777&lt;&gt;0,SUMIF(куб!$B:$B,$B777,куб!L:L))))))</f>
        <v>0</v>
      </c>
      <c r="U777" s="27" t="b">
        <f>IF($G777&lt;&gt;0,SUMIF(куб!$G:$G,$G777,куб!M:M),IF($E777&lt;&gt;0,SUMIF(куб!$E:$E,$E777,куб!M:M),IF($D777&lt;&gt;0,SUMIF(куб!$D:$D,$D777,куб!M:M),IF($C777&lt;&gt;0,SUMIF(куб!$C:$C,$C777,куб!M:M),IF($B777&lt;&gt;0,SUMIF(куб!$B:$B,$B777,куб!M:M))))))</f>
        <v>0</v>
      </c>
      <c r="V777" s="13" t="str">
        <f t="shared" si="260"/>
        <v>-</v>
      </c>
      <c r="W777" s="5"/>
      <c r="X777" s="27" t="b">
        <f>IF($G777&lt;&gt;0,SUMIF(куб!$G:$G,$G777,куб!N:N),IF($E777&lt;&gt;0,SUMIF(куб!$E:$E,$E777,куб!N:N),IF($D777&lt;&gt;0,SUMIF(куб!$D:$D,$D777,куб!N:N),IF($C777&lt;&gt;0,SUMIF(куб!$C:$C,$C777,куб!N:N),IF($B777&lt;&gt;0,SUMIF(куб!$B:$B,$B777,куб!N:N))))))</f>
        <v>0</v>
      </c>
      <c r="Y777" s="27" t="b">
        <f>IF($G777&lt;&gt;0,SUMIF(куб!$G:$G,$G777,куб!O:O),IF($E777&lt;&gt;0,SUMIF(куб!$E:$E,$E777,куб!O:O),IF($D777&lt;&gt;0,SUMIF(куб!$D:$D,$D777,куб!O:O),IF($C777&lt;&gt;0,SUMIF(куб!$C:$C,$C777,куб!O:O),IF($B777&lt;&gt;0,SUMIF(куб!$B:$B,$B777,куб!O:O))))))</f>
        <v>0</v>
      </c>
      <c r="Z777" s="13" t="str">
        <f t="shared" si="261"/>
        <v>-</v>
      </c>
      <c r="AA777" s="5"/>
      <c r="AB777" s="33" t="str">
        <f t="shared" si="262"/>
        <v/>
      </c>
      <c r="AC777" s="33" t="str">
        <f t="shared" si="263"/>
        <v/>
      </c>
      <c r="AD777" s="15" t="str">
        <f t="shared" si="264"/>
        <v xml:space="preserve"> </v>
      </c>
      <c r="AE777" s="5"/>
      <c r="AF777" s="27" t="b">
        <f>IF($G777&lt;&gt;0,SUMIF(куб!$G:$G,$G777,куб!R:R),IF($E777&lt;&gt;0,SUMIF(куб!$E:$E,$E777,куб!R:R),IF($D777&lt;&gt;0,SUMIF(куб!$D:$D,$D777,куб!R:R),IF($C777&lt;&gt;0,SUMIF(куб!$C:$C,$C777,куб!R:R),IF($B777&lt;&gt;0,SUMIF(куб!$B:$B,$B777,куб!R:R))))))</f>
        <v>0</v>
      </c>
      <c r="AG777" s="27" t="b">
        <f>IF($G777&lt;&gt;0,SUMIF(куб!$G:$G,$G777,куб!S:S),IF($E777&lt;&gt;0,SUMIF(куб!$E:$E,$E777,куб!S:S),IF($D777&lt;&gt;0,SUMIF(куб!$D:$D,$D777,куб!S:S),IF($C777&lt;&gt;0,SUMIF(куб!$C:$C,$C777,куб!S:S),IF($B777&lt;&gt;0,SUMIF(куб!$B:$B,$B777,куб!S:S))))))</f>
        <v>0</v>
      </c>
      <c r="AH777" s="16" t="str">
        <f t="shared" si="265"/>
        <v>-</v>
      </c>
      <c r="AI777" s="8"/>
      <c r="AJ777" s="27" t="b">
        <f>IF($G777&lt;&gt;0,SUMIF(куб!$G:$G,$G777,куб!T:T),IF($E777&lt;&gt;0,SUMIF(куб!$E:$E,$E777,куб!T:T),IF($D777&lt;&gt;0,SUMIF(куб!$D:$D,$D777,куб!T:T),IF($C777&lt;&gt;0,SUMIF(куб!$C:$C,$C777,куб!T:T),IF($B777&lt;&gt;0,SUMIF(куб!$B:$B,$B777,куб!T:T))))))</f>
        <v>0</v>
      </c>
      <c r="AK777" s="27" t="b">
        <f>IF($G777&lt;&gt;0,SUMIF(куб!$G:$G,$G777,куб!U:U),IF($E777&lt;&gt;0,SUMIF(куб!$E:$E,$E777,куб!U:U),IF($D777&lt;&gt;0,SUMIF(куб!$D:$D,$D777,куб!U:U),IF($C777&lt;&gt;0,SUMIF(куб!$C:$C,$C777,куб!U:U),IF($B777&lt;&gt;0,SUMIF(куб!$B:$B,$B777,куб!U:U))))))</f>
        <v>0</v>
      </c>
      <c r="AL777" s="16" t="str">
        <f t="shared" si="266"/>
        <v>-</v>
      </c>
      <c r="AM777" s="8"/>
      <c r="AN777" s="17" t="str">
        <f t="shared" si="267"/>
        <v xml:space="preserve"> </v>
      </c>
      <c r="AO777" s="17" t="str">
        <f t="shared" si="268"/>
        <v xml:space="preserve"> </v>
      </c>
      <c r="AP777" s="16" t="str">
        <f t="shared" si="269"/>
        <v>-</v>
      </c>
      <c r="AQ777" s="8"/>
      <c r="AR777" s="17" t="str">
        <f t="shared" si="270"/>
        <v>-</v>
      </c>
      <c r="AS777" s="17" t="str">
        <f t="shared" si="271"/>
        <v>-</v>
      </c>
      <c r="AT777" s="13" t="str">
        <f t="shared" si="272"/>
        <v>-</v>
      </c>
      <c r="AU777" s="8"/>
    </row>
    <row r="778" spans="1:47" x14ac:dyDescent="0.25">
      <c r="A778" s="31"/>
      <c r="B778" s="31"/>
      <c r="C778"/>
      <c r="D778" s="31"/>
      <c r="E778"/>
      <c r="F778" s="31"/>
      <c r="G778"/>
      <c r="H778" s="27">
        <f>IF($G778&lt;&gt;0,SUMIF(куб!$G:$G,$G778,куб!H:H),IF($E778&lt;&gt;0,SUMIF(куб!$E:$E,$E778,куб!H:H),IF($D778&lt;&gt;0,SUMIF(куб!$D:$D,$D778,куб!H:H),IF($C778&lt;&gt;0,SUMIF(куб!$C:$C,$C778,куб!H:H),IF($B778&lt;&gt;0,SUMIF(куб!$B:$B,$B778,куб!H:H),IF($G778&lt;&gt;0,SUMIF(куб!$A:$A,$G778,куб!H:H),SUMIF(куб!$A:$A,$G778,куб!H:H)))))))</f>
        <v>0</v>
      </c>
      <c r="I778" s="27">
        <f>IF($G778&lt;&gt;0,SUMIF(куб!$G:$G,$G778,куб!I:I),IF($E778&lt;&gt;0,SUMIF(куб!$E:$E,$E778,куб!I:I),IF($D778&lt;&gt;0,SUMIF(куб!$D:$D,$D778,куб!I:I),IF($C778&lt;&gt;0,SUMIF(куб!$C:$C,$C778,куб!I:I),IF($B778&lt;&gt;0,SUMIF(куб!$B:$B,$B778,куб!I:I),IF($G778&lt;&gt;0,SUMIF(куб!$A:$A,$G778,куб!I:I),SUMIF(куб!$A:$A,$G778,куб!I:I)))))))</f>
        <v>0</v>
      </c>
      <c r="J778" s="19" t="str">
        <f t="shared" si="255"/>
        <v>-</v>
      </c>
      <c r="K778" s="8"/>
      <c r="L778" s="17">
        <f t="shared" si="256"/>
        <v>0</v>
      </c>
      <c r="M778" s="17">
        <f t="shared" si="257"/>
        <v>0</v>
      </c>
      <c r="N778" s="12">
        <f t="shared" si="258"/>
        <v>0</v>
      </c>
      <c r="O778" s="5"/>
      <c r="P778" s="27" t="b">
        <f>IF($G778&lt;&gt;0,SUMIF(куб!$G:$G,$G778,куб!J:J),IF($E778&lt;&gt;0,SUMIF(куб!$E:$E,$E778,куб!J:J),IF($D778&lt;&gt;0,SUMIF(куб!$D:$D,$D778,куб!J:J),IF($C778&lt;&gt;0,SUMIF(куб!$C:$C,$C778,куб!J:J),IF($B778&lt;&gt;0,SUMIF(куб!$B:$B,$B778,куб!J:J))))))</f>
        <v>0</v>
      </c>
      <c r="Q778" s="27" t="b">
        <f>IF($G778&lt;&gt;0,SUMIF(куб!$G:$G,$G778,куб!K:K),IF($E778&lt;&gt;0,SUMIF(куб!$E:$E,$E778,куб!K:K),IF($D778&lt;&gt;0,SUMIF(куб!$D:$D,$D778,куб!K:K),IF($C778&lt;&gt;0,SUMIF(куб!$C:$C,$C778,куб!K:K),IF($B778&lt;&gt;0,SUMIF(куб!$B:$B,$B778,куб!K:K))))))</f>
        <v>0</v>
      </c>
      <c r="R778" s="13" t="str">
        <f t="shared" si="259"/>
        <v>-</v>
      </c>
      <c r="S778" s="5"/>
      <c r="T778" s="27" t="b">
        <f>IF($G778&lt;&gt;0,SUMIF(куб!$G:$G,$G778,куб!L:L),IF($E778&lt;&gt;0,SUMIF(куб!$E:$E,$E778,куб!L:L),IF($D778&lt;&gt;0,SUMIF(куб!$D:$D,$D778,куб!L:L),IF($C778&lt;&gt;0,SUMIF(куб!$C:$C,$C778,куб!L:L),IF($B778&lt;&gt;0,SUMIF(куб!$B:$B,$B778,куб!L:L))))))</f>
        <v>0</v>
      </c>
      <c r="U778" s="27" t="b">
        <f>IF($G778&lt;&gt;0,SUMIF(куб!$G:$G,$G778,куб!M:M),IF($E778&lt;&gt;0,SUMIF(куб!$E:$E,$E778,куб!M:M),IF($D778&lt;&gt;0,SUMIF(куб!$D:$D,$D778,куб!M:M),IF($C778&lt;&gt;0,SUMIF(куб!$C:$C,$C778,куб!M:M),IF($B778&lt;&gt;0,SUMIF(куб!$B:$B,$B778,куб!M:M))))))</f>
        <v>0</v>
      </c>
      <c r="V778" s="13" t="str">
        <f t="shared" si="260"/>
        <v>-</v>
      </c>
      <c r="W778" s="5"/>
      <c r="X778" s="27" t="b">
        <f>IF($G778&lt;&gt;0,SUMIF(куб!$G:$G,$G778,куб!N:N),IF($E778&lt;&gt;0,SUMIF(куб!$E:$E,$E778,куб!N:N),IF($D778&lt;&gt;0,SUMIF(куб!$D:$D,$D778,куб!N:N),IF($C778&lt;&gt;0,SUMIF(куб!$C:$C,$C778,куб!N:N),IF($B778&lt;&gt;0,SUMIF(куб!$B:$B,$B778,куб!N:N))))))</f>
        <v>0</v>
      </c>
      <c r="Y778" s="27" t="b">
        <f>IF($G778&lt;&gt;0,SUMIF(куб!$G:$G,$G778,куб!O:O),IF($E778&lt;&gt;0,SUMIF(куб!$E:$E,$E778,куб!O:O),IF($D778&lt;&gt;0,SUMIF(куб!$D:$D,$D778,куб!O:O),IF($C778&lt;&gt;0,SUMIF(куб!$C:$C,$C778,куб!O:O),IF($B778&lt;&gt;0,SUMIF(куб!$B:$B,$B778,куб!O:O))))))</f>
        <v>0</v>
      </c>
      <c r="Z778" s="13" t="str">
        <f t="shared" si="261"/>
        <v>-</v>
      </c>
      <c r="AA778" s="5"/>
      <c r="AB778" s="33" t="str">
        <f t="shared" si="262"/>
        <v/>
      </c>
      <c r="AC778" s="33" t="str">
        <f t="shared" si="263"/>
        <v/>
      </c>
      <c r="AD778" s="15" t="str">
        <f t="shared" si="264"/>
        <v xml:space="preserve"> </v>
      </c>
      <c r="AE778" s="5"/>
      <c r="AF778" s="27" t="b">
        <f>IF($G778&lt;&gt;0,SUMIF(куб!$G:$G,$G778,куб!R:R),IF($E778&lt;&gt;0,SUMIF(куб!$E:$E,$E778,куб!R:R),IF($D778&lt;&gt;0,SUMIF(куб!$D:$D,$D778,куб!R:R),IF($C778&lt;&gt;0,SUMIF(куб!$C:$C,$C778,куб!R:R),IF($B778&lt;&gt;0,SUMIF(куб!$B:$B,$B778,куб!R:R))))))</f>
        <v>0</v>
      </c>
      <c r="AG778" s="27" t="b">
        <f>IF($G778&lt;&gt;0,SUMIF(куб!$G:$G,$G778,куб!S:S),IF($E778&lt;&gt;0,SUMIF(куб!$E:$E,$E778,куб!S:S),IF($D778&lt;&gt;0,SUMIF(куб!$D:$D,$D778,куб!S:S),IF($C778&lt;&gt;0,SUMIF(куб!$C:$C,$C778,куб!S:S),IF($B778&lt;&gt;0,SUMIF(куб!$B:$B,$B778,куб!S:S))))))</f>
        <v>0</v>
      </c>
      <c r="AH778" s="16" t="str">
        <f t="shared" si="265"/>
        <v>-</v>
      </c>
      <c r="AI778" s="8"/>
      <c r="AJ778" s="27" t="b">
        <f>IF($G778&lt;&gt;0,SUMIF(куб!$G:$G,$G778,куб!T:T),IF($E778&lt;&gt;0,SUMIF(куб!$E:$E,$E778,куб!T:T),IF($D778&lt;&gt;0,SUMIF(куб!$D:$D,$D778,куб!T:T),IF($C778&lt;&gt;0,SUMIF(куб!$C:$C,$C778,куб!T:T),IF($B778&lt;&gt;0,SUMIF(куб!$B:$B,$B778,куб!T:T))))))</f>
        <v>0</v>
      </c>
      <c r="AK778" s="27" t="b">
        <f>IF($G778&lt;&gt;0,SUMIF(куб!$G:$G,$G778,куб!U:U),IF($E778&lt;&gt;0,SUMIF(куб!$E:$E,$E778,куб!U:U),IF($D778&lt;&gt;0,SUMIF(куб!$D:$D,$D778,куб!U:U),IF($C778&lt;&gt;0,SUMIF(куб!$C:$C,$C778,куб!U:U),IF($B778&lt;&gt;0,SUMIF(куб!$B:$B,$B778,куб!U:U))))))</f>
        <v>0</v>
      </c>
      <c r="AL778" s="16" t="str">
        <f t="shared" si="266"/>
        <v>-</v>
      </c>
      <c r="AM778" s="8"/>
      <c r="AN778" s="17" t="str">
        <f t="shared" si="267"/>
        <v xml:space="preserve"> </v>
      </c>
      <c r="AO778" s="17" t="str">
        <f t="shared" si="268"/>
        <v xml:space="preserve"> </v>
      </c>
      <c r="AP778" s="16" t="str">
        <f t="shared" si="269"/>
        <v>-</v>
      </c>
      <c r="AQ778" s="8"/>
      <c r="AR778" s="17" t="str">
        <f t="shared" si="270"/>
        <v>-</v>
      </c>
      <c r="AS778" s="17" t="str">
        <f t="shared" si="271"/>
        <v>-</v>
      </c>
      <c r="AT778" s="13" t="str">
        <f t="shared" si="272"/>
        <v>-</v>
      </c>
      <c r="AU778" s="8"/>
    </row>
    <row r="779" spans="1:47" x14ac:dyDescent="0.25">
      <c r="A779" s="31"/>
      <c r="B779" s="31"/>
      <c r="C779"/>
      <c r="D779" s="31"/>
      <c r="E779"/>
      <c r="F779"/>
      <c r="G779"/>
      <c r="H779" s="27">
        <f>IF($G779&lt;&gt;0,SUMIF(куб!$G:$G,$G779,куб!H:H),IF($E779&lt;&gt;0,SUMIF(куб!$E:$E,$E779,куб!H:H),IF($D779&lt;&gt;0,SUMIF(куб!$D:$D,$D779,куб!H:H),IF($C779&lt;&gt;0,SUMIF(куб!$C:$C,$C779,куб!H:H),IF($B779&lt;&gt;0,SUMIF(куб!$B:$B,$B779,куб!H:H),IF($G779&lt;&gt;0,SUMIF(куб!$A:$A,$G779,куб!H:H),SUMIF(куб!$A:$A,$G779,куб!H:H)))))))</f>
        <v>0</v>
      </c>
      <c r="I779" s="27">
        <f>IF($G779&lt;&gt;0,SUMIF(куб!$G:$G,$G779,куб!I:I),IF($E779&lt;&gt;0,SUMIF(куб!$E:$E,$E779,куб!I:I),IF($D779&lt;&gt;0,SUMIF(куб!$D:$D,$D779,куб!I:I),IF($C779&lt;&gt;0,SUMIF(куб!$C:$C,$C779,куб!I:I),IF($B779&lt;&gt;0,SUMIF(куб!$B:$B,$B779,куб!I:I),IF($G779&lt;&gt;0,SUMIF(куб!$A:$A,$G779,куб!I:I),SUMIF(куб!$A:$A,$G779,куб!I:I)))))))</f>
        <v>0</v>
      </c>
      <c r="J779" s="19" t="str">
        <f t="shared" si="255"/>
        <v>-</v>
      </c>
      <c r="K779" s="8"/>
      <c r="L779" s="17">
        <f t="shared" si="256"/>
        <v>0</v>
      </c>
      <c r="M779" s="17">
        <f t="shared" si="257"/>
        <v>0</v>
      </c>
      <c r="N779" s="12">
        <f t="shared" si="258"/>
        <v>0</v>
      </c>
      <c r="O779" s="5"/>
      <c r="P779" s="27" t="b">
        <f>IF($G779&lt;&gt;0,SUMIF(куб!$G:$G,$G779,куб!J:J),IF($E779&lt;&gt;0,SUMIF(куб!$E:$E,$E779,куб!J:J),IF($D779&lt;&gt;0,SUMIF(куб!$D:$D,$D779,куб!J:J),IF($C779&lt;&gt;0,SUMIF(куб!$C:$C,$C779,куб!J:J),IF($B779&lt;&gt;0,SUMIF(куб!$B:$B,$B779,куб!J:J))))))</f>
        <v>0</v>
      </c>
      <c r="Q779" s="27" t="b">
        <f>IF($G779&lt;&gt;0,SUMIF(куб!$G:$G,$G779,куб!K:K),IF($E779&lt;&gt;0,SUMIF(куб!$E:$E,$E779,куб!K:K),IF($D779&lt;&gt;0,SUMIF(куб!$D:$D,$D779,куб!K:K),IF($C779&lt;&gt;0,SUMIF(куб!$C:$C,$C779,куб!K:K),IF($B779&lt;&gt;0,SUMIF(куб!$B:$B,$B779,куб!K:K))))))</f>
        <v>0</v>
      </c>
      <c r="R779" s="13" t="str">
        <f t="shared" si="259"/>
        <v>-</v>
      </c>
      <c r="S779" s="5"/>
      <c r="T779" s="27" t="b">
        <f>IF($G779&lt;&gt;0,SUMIF(куб!$G:$G,$G779,куб!L:L),IF($E779&lt;&gt;0,SUMIF(куб!$E:$E,$E779,куб!L:L),IF($D779&lt;&gt;0,SUMIF(куб!$D:$D,$D779,куб!L:L),IF($C779&lt;&gt;0,SUMIF(куб!$C:$C,$C779,куб!L:L),IF($B779&lt;&gt;0,SUMIF(куб!$B:$B,$B779,куб!L:L))))))</f>
        <v>0</v>
      </c>
      <c r="U779" s="27" t="b">
        <f>IF($G779&lt;&gt;0,SUMIF(куб!$G:$G,$G779,куб!M:M),IF($E779&lt;&gt;0,SUMIF(куб!$E:$E,$E779,куб!M:M),IF($D779&lt;&gt;0,SUMIF(куб!$D:$D,$D779,куб!M:M),IF($C779&lt;&gt;0,SUMIF(куб!$C:$C,$C779,куб!M:M),IF($B779&lt;&gt;0,SUMIF(куб!$B:$B,$B779,куб!M:M))))))</f>
        <v>0</v>
      </c>
      <c r="V779" s="13" t="str">
        <f t="shared" si="260"/>
        <v>-</v>
      </c>
      <c r="W779" s="5"/>
      <c r="X779" s="27" t="b">
        <f>IF($G779&lt;&gt;0,SUMIF(куб!$G:$G,$G779,куб!N:N),IF($E779&lt;&gt;0,SUMIF(куб!$E:$E,$E779,куб!N:N),IF($D779&lt;&gt;0,SUMIF(куб!$D:$D,$D779,куб!N:N),IF($C779&lt;&gt;0,SUMIF(куб!$C:$C,$C779,куб!N:N),IF($B779&lt;&gt;0,SUMIF(куб!$B:$B,$B779,куб!N:N))))))</f>
        <v>0</v>
      </c>
      <c r="Y779" s="27" t="b">
        <f>IF($G779&lt;&gt;0,SUMIF(куб!$G:$G,$G779,куб!O:O),IF($E779&lt;&gt;0,SUMIF(куб!$E:$E,$E779,куб!O:O),IF($D779&lt;&gt;0,SUMIF(куб!$D:$D,$D779,куб!O:O),IF($C779&lt;&gt;0,SUMIF(куб!$C:$C,$C779,куб!O:O),IF($B779&lt;&gt;0,SUMIF(куб!$B:$B,$B779,куб!O:O))))))</f>
        <v>0</v>
      </c>
      <c r="Z779" s="13" t="str">
        <f t="shared" si="261"/>
        <v>-</v>
      </c>
      <c r="AA779" s="5"/>
      <c r="AB779" s="33" t="str">
        <f t="shared" si="262"/>
        <v/>
      </c>
      <c r="AC779" s="33" t="str">
        <f t="shared" si="263"/>
        <v/>
      </c>
      <c r="AD779" s="15" t="str">
        <f t="shared" si="264"/>
        <v xml:space="preserve"> </v>
      </c>
      <c r="AE779" s="5"/>
      <c r="AF779" s="27" t="b">
        <f>IF($G779&lt;&gt;0,SUMIF(куб!$G:$G,$G779,куб!R:R),IF($E779&lt;&gt;0,SUMIF(куб!$E:$E,$E779,куб!R:R),IF($D779&lt;&gt;0,SUMIF(куб!$D:$D,$D779,куб!R:R),IF($C779&lt;&gt;0,SUMIF(куб!$C:$C,$C779,куб!R:R),IF($B779&lt;&gt;0,SUMIF(куб!$B:$B,$B779,куб!R:R))))))</f>
        <v>0</v>
      </c>
      <c r="AG779" s="27" t="b">
        <f>IF($G779&lt;&gt;0,SUMIF(куб!$G:$G,$G779,куб!S:S),IF($E779&lt;&gt;0,SUMIF(куб!$E:$E,$E779,куб!S:S),IF($D779&lt;&gt;0,SUMIF(куб!$D:$D,$D779,куб!S:S),IF($C779&lt;&gt;0,SUMIF(куб!$C:$C,$C779,куб!S:S),IF($B779&lt;&gt;0,SUMIF(куб!$B:$B,$B779,куб!S:S))))))</f>
        <v>0</v>
      </c>
      <c r="AH779" s="16" t="str">
        <f t="shared" si="265"/>
        <v>-</v>
      </c>
      <c r="AI779" s="8"/>
      <c r="AJ779" s="27" t="b">
        <f>IF($G779&lt;&gt;0,SUMIF(куб!$G:$G,$G779,куб!T:T),IF($E779&lt;&gt;0,SUMIF(куб!$E:$E,$E779,куб!T:T),IF($D779&lt;&gt;0,SUMIF(куб!$D:$D,$D779,куб!T:T),IF($C779&lt;&gt;0,SUMIF(куб!$C:$C,$C779,куб!T:T),IF($B779&lt;&gt;0,SUMIF(куб!$B:$B,$B779,куб!T:T))))))</f>
        <v>0</v>
      </c>
      <c r="AK779" s="27" t="b">
        <f>IF($G779&lt;&gt;0,SUMIF(куб!$G:$G,$G779,куб!U:U),IF($E779&lt;&gt;0,SUMIF(куб!$E:$E,$E779,куб!U:U),IF($D779&lt;&gt;0,SUMIF(куб!$D:$D,$D779,куб!U:U),IF($C779&lt;&gt;0,SUMIF(куб!$C:$C,$C779,куб!U:U),IF($B779&lt;&gt;0,SUMIF(куб!$B:$B,$B779,куб!U:U))))))</f>
        <v>0</v>
      </c>
      <c r="AL779" s="16" t="str">
        <f t="shared" si="266"/>
        <v>-</v>
      </c>
      <c r="AM779" s="8"/>
      <c r="AN779" s="17" t="str">
        <f t="shared" si="267"/>
        <v xml:space="preserve"> </v>
      </c>
      <c r="AO779" s="17" t="str">
        <f t="shared" si="268"/>
        <v xml:space="preserve"> </v>
      </c>
      <c r="AP779" s="16" t="str">
        <f t="shared" si="269"/>
        <v>-</v>
      </c>
      <c r="AQ779" s="8"/>
      <c r="AR779" s="17" t="str">
        <f t="shared" si="270"/>
        <v>-</v>
      </c>
      <c r="AS779" s="17" t="str">
        <f t="shared" si="271"/>
        <v>-</v>
      </c>
      <c r="AT779" s="13" t="str">
        <f t="shared" si="272"/>
        <v>-</v>
      </c>
      <c r="AU779" s="8"/>
    </row>
    <row r="780" spans="1:47" x14ac:dyDescent="0.25">
      <c r="A780" s="31"/>
      <c r="B780" s="31"/>
      <c r="C780"/>
      <c r="D780" s="31"/>
      <c r="E780" s="31"/>
      <c r="F780" s="31"/>
      <c r="G780" s="31"/>
      <c r="H780" s="27">
        <f>IF($G780&lt;&gt;0,SUMIF(куб!$G:$G,$G780,куб!H:H),IF($E780&lt;&gt;0,SUMIF(куб!$E:$E,$E780,куб!H:H),IF($D780&lt;&gt;0,SUMIF(куб!$D:$D,$D780,куб!H:H),IF($C780&lt;&gt;0,SUMIF(куб!$C:$C,$C780,куб!H:H),IF($B780&lt;&gt;0,SUMIF(куб!$B:$B,$B780,куб!H:H),IF($G780&lt;&gt;0,SUMIF(куб!$A:$A,$G780,куб!H:H),SUMIF(куб!$A:$A,$G780,куб!H:H)))))))</f>
        <v>0</v>
      </c>
      <c r="I780" s="27">
        <f>IF($G780&lt;&gt;0,SUMIF(куб!$G:$G,$G780,куб!I:I),IF($E780&lt;&gt;0,SUMIF(куб!$E:$E,$E780,куб!I:I),IF($D780&lt;&gt;0,SUMIF(куб!$D:$D,$D780,куб!I:I),IF($C780&lt;&gt;0,SUMIF(куб!$C:$C,$C780,куб!I:I),IF($B780&lt;&gt;0,SUMIF(куб!$B:$B,$B780,куб!I:I),IF($G780&lt;&gt;0,SUMIF(куб!$A:$A,$G780,куб!I:I),SUMIF(куб!$A:$A,$G780,куб!I:I)))))))</f>
        <v>0</v>
      </c>
      <c r="J780" s="19" t="str">
        <f t="shared" si="255"/>
        <v>-</v>
      </c>
      <c r="K780" s="8"/>
      <c r="L780" s="17">
        <f t="shared" si="256"/>
        <v>0</v>
      </c>
      <c r="M780" s="17">
        <f t="shared" si="257"/>
        <v>0</v>
      </c>
      <c r="N780" s="12">
        <f t="shared" si="258"/>
        <v>0</v>
      </c>
      <c r="O780" s="5"/>
      <c r="P780" s="27" t="b">
        <f>IF($G780&lt;&gt;0,SUMIF(куб!$G:$G,$G780,куб!J:J),IF($E780&lt;&gt;0,SUMIF(куб!$E:$E,$E780,куб!J:J),IF($D780&lt;&gt;0,SUMIF(куб!$D:$D,$D780,куб!J:J),IF($C780&lt;&gt;0,SUMIF(куб!$C:$C,$C780,куб!J:J),IF($B780&lt;&gt;0,SUMIF(куб!$B:$B,$B780,куб!J:J))))))</f>
        <v>0</v>
      </c>
      <c r="Q780" s="27" t="b">
        <f>IF($G780&lt;&gt;0,SUMIF(куб!$G:$G,$G780,куб!K:K),IF($E780&lt;&gt;0,SUMIF(куб!$E:$E,$E780,куб!K:K),IF($D780&lt;&gt;0,SUMIF(куб!$D:$D,$D780,куб!K:K),IF($C780&lt;&gt;0,SUMIF(куб!$C:$C,$C780,куб!K:K),IF($B780&lt;&gt;0,SUMIF(куб!$B:$B,$B780,куб!K:K))))))</f>
        <v>0</v>
      </c>
      <c r="R780" s="13" t="str">
        <f t="shared" si="259"/>
        <v>-</v>
      </c>
      <c r="S780" s="5"/>
      <c r="T780" s="27" t="b">
        <f>IF($G780&lt;&gt;0,SUMIF(куб!$G:$G,$G780,куб!L:L),IF($E780&lt;&gt;0,SUMIF(куб!$E:$E,$E780,куб!L:L),IF($D780&lt;&gt;0,SUMIF(куб!$D:$D,$D780,куб!L:L),IF($C780&lt;&gt;0,SUMIF(куб!$C:$C,$C780,куб!L:L),IF($B780&lt;&gt;0,SUMIF(куб!$B:$B,$B780,куб!L:L))))))</f>
        <v>0</v>
      </c>
      <c r="U780" s="27" t="b">
        <f>IF($G780&lt;&gt;0,SUMIF(куб!$G:$G,$G780,куб!M:M),IF($E780&lt;&gt;0,SUMIF(куб!$E:$E,$E780,куб!M:M),IF($D780&lt;&gt;0,SUMIF(куб!$D:$D,$D780,куб!M:M),IF($C780&lt;&gt;0,SUMIF(куб!$C:$C,$C780,куб!M:M),IF($B780&lt;&gt;0,SUMIF(куб!$B:$B,$B780,куб!M:M))))))</f>
        <v>0</v>
      </c>
      <c r="V780" s="13" t="str">
        <f t="shared" si="260"/>
        <v>-</v>
      </c>
      <c r="W780" s="5"/>
      <c r="X780" s="27" t="b">
        <f>IF($G780&lt;&gt;0,SUMIF(куб!$G:$G,$G780,куб!N:N),IF($E780&lt;&gt;0,SUMIF(куб!$E:$E,$E780,куб!N:N),IF($D780&lt;&gt;0,SUMIF(куб!$D:$D,$D780,куб!N:N),IF($C780&lt;&gt;0,SUMIF(куб!$C:$C,$C780,куб!N:N),IF($B780&lt;&gt;0,SUMIF(куб!$B:$B,$B780,куб!N:N))))))</f>
        <v>0</v>
      </c>
      <c r="Y780" s="27" t="b">
        <f>IF($G780&lt;&gt;0,SUMIF(куб!$G:$G,$G780,куб!O:O),IF($E780&lt;&gt;0,SUMIF(куб!$E:$E,$E780,куб!O:O),IF($D780&lt;&gt;0,SUMIF(куб!$D:$D,$D780,куб!O:O),IF($C780&lt;&gt;0,SUMIF(куб!$C:$C,$C780,куб!O:O),IF($B780&lt;&gt;0,SUMIF(куб!$B:$B,$B780,куб!O:O))))))</f>
        <v>0</v>
      </c>
      <c r="Z780" s="13" t="str">
        <f t="shared" si="261"/>
        <v>-</v>
      </c>
      <c r="AA780" s="5"/>
      <c r="AB780" s="33" t="str">
        <f t="shared" si="262"/>
        <v/>
      </c>
      <c r="AC780" s="33" t="str">
        <f t="shared" si="263"/>
        <v/>
      </c>
      <c r="AD780" s="15" t="str">
        <f t="shared" si="264"/>
        <v xml:space="preserve"> </v>
      </c>
      <c r="AE780" s="5"/>
      <c r="AF780" s="27" t="b">
        <f>IF($G780&lt;&gt;0,SUMIF(куб!$G:$G,$G780,куб!R:R),IF($E780&lt;&gt;0,SUMIF(куб!$E:$E,$E780,куб!R:R),IF($D780&lt;&gt;0,SUMIF(куб!$D:$D,$D780,куб!R:R),IF($C780&lt;&gt;0,SUMIF(куб!$C:$C,$C780,куб!R:R),IF($B780&lt;&gt;0,SUMIF(куб!$B:$B,$B780,куб!R:R))))))</f>
        <v>0</v>
      </c>
      <c r="AG780" s="27" t="b">
        <f>IF($G780&lt;&gt;0,SUMIF(куб!$G:$G,$G780,куб!S:S),IF($E780&lt;&gt;0,SUMIF(куб!$E:$E,$E780,куб!S:S),IF($D780&lt;&gt;0,SUMIF(куб!$D:$D,$D780,куб!S:S),IF($C780&lt;&gt;0,SUMIF(куб!$C:$C,$C780,куб!S:S),IF($B780&lt;&gt;0,SUMIF(куб!$B:$B,$B780,куб!S:S))))))</f>
        <v>0</v>
      </c>
      <c r="AH780" s="16" t="str">
        <f t="shared" si="265"/>
        <v>-</v>
      </c>
      <c r="AI780" s="8"/>
      <c r="AJ780" s="27" t="b">
        <f>IF($G780&lt;&gt;0,SUMIF(куб!$G:$G,$G780,куб!T:T),IF($E780&lt;&gt;0,SUMIF(куб!$E:$E,$E780,куб!T:T),IF($D780&lt;&gt;0,SUMIF(куб!$D:$D,$D780,куб!T:T),IF($C780&lt;&gt;0,SUMIF(куб!$C:$C,$C780,куб!T:T),IF($B780&lt;&gt;0,SUMIF(куб!$B:$B,$B780,куб!T:T))))))</f>
        <v>0</v>
      </c>
      <c r="AK780" s="27" t="b">
        <f>IF($G780&lt;&gt;0,SUMIF(куб!$G:$G,$G780,куб!U:U),IF($E780&lt;&gt;0,SUMIF(куб!$E:$E,$E780,куб!U:U),IF($D780&lt;&gt;0,SUMIF(куб!$D:$D,$D780,куб!U:U),IF($C780&lt;&gt;0,SUMIF(куб!$C:$C,$C780,куб!U:U),IF($B780&lt;&gt;0,SUMIF(куб!$B:$B,$B780,куб!U:U))))))</f>
        <v>0</v>
      </c>
      <c r="AL780" s="16" t="str">
        <f t="shared" si="266"/>
        <v>-</v>
      </c>
      <c r="AM780" s="8"/>
      <c r="AN780" s="17" t="str">
        <f t="shared" si="267"/>
        <v xml:space="preserve"> </v>
      </c>
      <c r="AO780" s="17" t="str">
        <f t="shared" si="268"/>
        <v xml:space="preserve"> </v>
      </c>
      <c r="AP780" s="16" t="str">
        <f t="shared" si="269"/>
        <v>-</v>
      </c>
      <c r="AQ780" s="8"/>
      <c r="AR780" s="17" t="str">
        <f t="shared" si="270"/>
        <v>-</v>
      </c>
      <c r="AS780" s="17" t="str">
        <f t="shared" si="271"/>
        <v>-</v>
      </c>
      <c r="AT780" s="13" t="str">
        <f t="shared" si="272"/>
        <v>-</v>
      </c>
      <c r="AU780" s="8"/>
    </row>
    <row r="781" spans="1:47" x14ac:dyDescent="0.25">
      <c r="A781" s="31"/>
      <c r="B781" s="31"/>
      <c r="C781"/>
      <c r="D781" s="31"/>
      <c r="E781"/>
      <c r="F781" s="31"/>
      <c r="G781"/>
      <c r="H781" s="27">
        <f>IF($G781&lt;&gt;0,SUMIF(куб!$G:$G,$G781,куб!H:H),IF($E781&lt;&gt;0,SUMIF(куб!$E:$E,$E781,куб!H:H),IF($D781&lt;&gt;0,SUMIF(куб!$D:$D,$D781,куб!H:H),IF($C781&lt;&gt;0,SUMIF(куб!$C:$C,$C781,куб!H:H),IF($B781&lt;&gt;0,SUMIF(куб!$B:$B,$B781,куб!H:H),IF($G781&lt;&gt;0,SUMIF(куб!$A:$A,$G781,куб!H:H),SUMIF(куб!$A:$A,$G781,куб!H:H)))))))</f>
        <v>0</v>
      </c>
      <c r="I781" s="27">
        <f>IF($G781&lt;&gt;0,SUMIF(куб!$G:$G,$G781,куб!I:I),IF($E781&lt;&gt;0,SUMIF(куб!$E:$E,$E781,куб!I:I),IF($D781&lt;&gt;0,SUMIF(куб!$D:$D,$D781,куб!I:I),IF($C781&lt;&gt;0,SUMIF(куб!$C:$C,$C781,куб!I:I),IF($B781&lt;&gt;0,SUMIF(куб!$B:$B,$B781,куб!I:I),IF($G781&lt;&gt;0,SUMIF(куб!$A:$A,$G781,куб!I:I),SUMIF(куб!$A:$A,$G781,куб!I:I)))))))</f>
        <v>0</v>
      </c>
      <c r="J781" s="19" t="str">
        <f t="shared" si="255"/>
        <v>-</v>
      </c>
      <c r="K781" s="8"/>
      <c r="L781" s="17">
        <f t="shared" si="256"/>
        <v>0</v>
      </c>
      <c r="M781" s="17">
        <f t="shared" si="257"/>
        <v>0</v>
      </c>
      <c r="N781" s="12">
        <f t="shared" si="258"/>
        <v>0</v>
      </c>
      <c r="O781" s="5"/>
      <c r="P781" s="27" t="b">
        <f>IF($G781&lt;&gt;0,SUMIF(куб!$G:$G,$G781,куб!J:J),IF($E781&lt;&gt;0,SUMIF(куб!$E:$E,$E781,куб!J:J),IF($D781&lt;&gt;0,SUMIF(куб!$D:$D,$D781,куб!J:J),IF($C781&lt;&gt;0,SUMIF(куб!$C:$C,$C781,куб!J:J),IF($B781&lt;&gt;0,SUMIF(куб!$B:$B,$B781,куб!J:J))))))</f>
        <v>0</v>
      </c>
      <c r="Q781" s="27" t="b">
        <f>IF($G781&lt;&gt;0,SUMIF(куб!$G:$G,$G781,куб!K:K),IF($E781&lt;&gt;0,SUMIF(куб!$E:$E,$E781,куб!K:K),IF($D781&lt;&gt;0,SUMIF(куб!$D:$D,$D781,куб!K:K),IF($C781&lt;&gt;0,SUMIF(куб!$C:$C,$C781,куб!K:K),IF($B781&lt;&gt;0,SUMIF(куб!$B:$B,$B781,куб!K:K))))))</f>
        <v>0</v>
      </c>
      <c r="R781" s="13" t="str">
        <f t="shared" si="259"/>
        <v>-</v>
      </c>
      <c r="S781" s="5"/>
      <c r="T781" s="27" t="b">
        <f>IF($G781&lt;&gt;0,SUMIF(куб!$G:$G,$G781,куб!L:L),IF($E781&lt;&gt;0,SUMIF(куб!$E:$E,$E781,куб!L:L),IF($D781&lt;&gt;0,SUMIF(куб!$D:$D,$D781,куб!L:L),IF($C781&lt;&gt;0,SUMIF(куб!$C:$C,$C781,куб!L:L),IF($B781&lt;&gt;0,SUMIF(куб!$B:$B,$B781,куб!L:L))))))</f>
        <v>0</v>
      </c>
      <c r="U781" s="27" t="b">
        <f>IF($G781&lt;&gt;0,SUMIF(куб!$G:$G,$G781,куб!M:M),IF($E781&lt;&gt;0,SUMIF(куб!$E:$E,$E781,куб!M:M),IF($D781&lt;&gt;0,SUMIF(куб!$D:$D,$D781,куб!M:M),IF($C781&lt;&gt;0,SUMIF(куб!$C:$C,$C781,куб!M:M),IF($B781&lt;&gt;0,SUMIF(куб!$B:$B,$B781,куб!M:M))))))</f>
        <v>0</v>
      </c>
      <c r="V781" s="13" t="str">
        <f t="shared" si="260"/>
        <v>-</v>
      </c>
      <c r="W781" s="5"/>
      <c r="X781" s="27" t="b">
        <f>IF($G781&lt;&gt;0,SUMIF(куб!$G:$G,$G781,куб!N:N),IF($E781&lt;&gt;0,SUMIF(куб!$E:$E,$E781,куб!N:N),IF($D781&lt;&gt;0,SUMIF(куб!$D:$D,$D781,куб!N:N),IF($C781&lt;&gt;0,SUMIF(куб!$C:$C,$C781,куб!N:N),IF($B781&lt;&gt;0,SUMIF(куб!$B:$B,$B781,куб!N:N))))))</f>
        <v>0</v>
      </c>
      <c r="Y781" s="27" t="b">
        <f>IF($G781&lt;&gt;0,SUMIF(куб!$G:$G,$G781,куб!O:O),IF($E781&lt;&gt;0,SUMIF(куб!$E:$E,$E781,куб!O:O),IF($D781&lt;&gt;0,SUMIF(куб!$D:$D,$D781,куб!O:O),IF($C781&lt;&gt;0,SUMIF(куб!$C:$C,$C781,куб!O:O),IF($B781&lt;&gt;0,SUMIF(куб!$B:$B,$B781,куб!O:O))))))</f>
        <v>0</v>
      </c>
      <c r="Z781" s="13" t="str">
        <f t="shared" si="261"/>
        <v>-</v>
      </c>
      <c r="AA781" s="5"/>
      <c r="AB781" s="33" t="str">
        <f t="shared" si="262"/>
        <v/>
      </c>
      <c r="AC781" s="33" t="str">
        <f t="shared" si="263"/>
        <v/>
      </c>
      <c r="AD781" s="15" t="str">
        <f t="shared" si="264"/>
        <v xml:space="preserve"> </v>
      </c>
      <c r="AE781" s="5"/>
      <c r="AF781" s="27" t="b">
        <f>IF($G781&lt;&gt;0,SUMIF(куб!$G:$G,$G781,куб!R:R),IF($E781&lt;&gt;0,SUMIF(куб!$E:$E,$E781,куб!R:R),IF($D781&lt;&gt;0,SUMIF(куб!$D:$D,$D781,куб!R:R),IF($C781&lt;&gt;0,SUMIF(куб!$C:$C,$C781,куб!R:R),IF($B781&lt;&gt;0,SUMIF(куб!$B:$B,$B781,куб!R:R))))))</f>
        <v>0</v>
      </c>
      <c r="AG781" s="27" t="b">
        <f>IF($G781&lt;&gt;0,SUMIF(куб!$G:$G,$G781,куб!S:S),IF($E781&lt;&gt;0,SUMIF(куб!$E:$E,$E781,куб!S:S),IF($D781&lt;&gt;0,SUMIF(куб!$D:$D,$D781,куб!S:S),IF($C781&lt;&gt;0,SUMIF(куб!$C:$C,$C781,куб!S:S),IF($B781&lt;&gt;0,SUMIF(куб!$B:$B,$B781,куб!S:S))))))</f>
        <v>0</v>
      </c>
      <c r="AH781" s="16" t="str">
        <f t="shared" si="265"/>
        <v>-</v>
      </c>
      <c r="AI781" s="8"/>
      <c r="AJ781" s="27" t="b">
        <f>IF($G781&lt;&gt;0,SUMIF(куб!$G:$G,$G781,куб!T:T),IF($E781&lt;&gt;0,SUMIF(куб!$E:$E,$E781,куб!T:T),IF($D781&lt;&gt;0,SUMIF(куб!$D:$D,$D781,куб!T:T),IF($C781&lt;&gt;0,SUMIF(куб!$C:$C,$C781,куб!T:T),IF($B781&lt;&gt;0,SUMIF(куб!$B:$B,$B781,куб!T:T))))))</f>
        <v>0</v>
      </c>
      <c r="AK781" s="27" t="b">
        <f>IF($G781&lt;&gt;0,SUMIF(куб!$G:$G,$G781,куб!U:U),IF($E781&lt;&gt;0,SUMIF(куб!$E:$E,$E781,куб!U:U),IF($D781&lt;&gt;0,SUMIF(куб!$D:$D,$D781,куб!U:U),IF($C781&lt;&gt;0,SUMIF(куб!$C:$C,$C781,куб!U:U),IF($B781&lt;&gt;0,SUMIF(куб!$B:$B,$B781,куб!U:U))))))</f>
        <v>0</v>
      </c>
      <c r="AL781" s="16" t="str">
        <f t="shared" si="266"/>
        <v>-</v>
      </c>
      <c r="AM781" s="8"/>
      <c r="AN781" s="17" t="str">
        <f t="shared" si="267"/>
        <v xml:space="preserve"> </v>
      </c>
      <c r="AO781" s="17" t="str">
        <f t="shared" si="268"/>
        <v xml:space="preserve"> </v>
      </c>
      <c r="AP781" s="16" t="str">
        <f t="shared" si="269"/>
        <v>-</v>
      </c>
      <c r="AQ781" s="8"/>
      <c r="AR781" s="17" t="str">
        <f t="shared" si="270"/>
        <v>-</v>
      </c>
      <c r="AS781" s="17" t="str">
        <f t="shared" si="271"/>
        <v>-</v>
      </c>
      <c r="AT781" s="13" t="str">
        <f t="shared" si="272"/>
        <v>-</v>
      </c>
      <c r="AU781" s="8"/>
    </row>
    <row r="782" spans="1:47" x14ac:dyDescent="0.25">
      <c r="A782" s="31"/>
      <c r="B782" s="31"/>
      <c r="C782"/>
      <c r="D782" s="31"/>
      <c r="E782"/>
      <c r="F782"/>
      <c r="G782"/>
      <c r="H782" s="27">
        <f>IF($G782&lt;&gt;0,SUMIF(куб!$G:$G,$G782,куб!H:H),IF($E782&lt;&gt;0,SUMIF(куб!$E:$E,$E782,куб!H:H),IF($D782&lt;&gt;0,SUMIF(куб!$D:$D,$D782,куб!H:H),IF($C782&lt;&gt;0,SUMIF(куб!$C:$C,$C782,куб!H:H),IF($B782&lt;&gt;0,SUMIF(куб!$B:$B,$B782,куб!H:H),IF($G782&lt;&gt;0,SUMIF(куб!$A:$A,$G782,куб!H:H),SUMIF(куб!$A:$A,$G782,куб!H:H)))))))</f>
        <v>0</v>
      </c>
      <c r="I782" s="27">
        <f>IF($G782&lt;&gt;0,SUMIF(куб!$G:$G,$G782,куб!I:I),IF($E782&lt;&gt;0,SUMIF(куб!$E:$E,$E782,куб!I:I),IF($D782&lt;&gt;0,SUMIF(куб!$D:$D,$D782,куб!I:I),IF($C782&lt;&gt;0,SUMIF(куб!$C:$C,$C782,куб!I:I),IF($B782&lt;&gt;0,SUMIF(куб!$B:$B,$B782,куб!I:I),IF($G782&lt;&gt;0,SUMIF(куб!$A:$A,$G782,куб!I:I),SUMIF(куб!$A:$A,$G782,куб!I:I)))))))</f>
        <v>0</v>
      </c>
      <c r="J782" s="19" t="str">
        <f t="shared" si="255"/>
        <v>-</v>
      </c>
      <c r="K782" s="8"/>
      <c r="L782" s="17">
        <f t="shared" si="256"/>
        <v>0</v>
      </c>
      <c r="M782" s="17">
        <f t="shared" si="257"/>
        <v>0</v>
      </c>
      <c r="N782" s="12">
        <f t="shared" si="258"/>
        <v>0</v>
      </c>
      <c r="O782" s="5"/>
      <c r="P782" s="27" t="b">
        <f>IF($G782&lt;&gt;0,SUMIF(куб!$G:$G,$G782,куб!J:J),IF($E782&lt;&gt;0,SUMIF(куб!$E:$E,$E782,куб!J:J),IF($D782&lt;&gt;0,SUMIF(куб!$D:$D,$D782,куб!J:J),IF($C782&lt;&gt;0,SUMIF(куб!$C:$C,$C782,куб!J:J),IF($B782&lt;&gt;0,SUMIF(куб!$B:$B,$B782,куб!J:J))))))</f>
        <v>0</v>
      </c>
      <c r="Q782" s="27" t="b">
        <f>IF($G782&lt;&gt;0,SUMIF(куб!$G:$G,$G782,куб!K:K),IF($E782&lt;&gt;0,SUMIF(куб!$E:$E,$E782,куб!K:K),IF($D782&lt;&gt;0,SUMIF(куб!$D:$D,$D782,куб!K:K),IF($C782&lt;&gt;0,SUMIF(куб!$C:$C,$C782,куб!K:K),IF($B782&lt;&gt;0,SUMIF(куб!$B:$B,$B782,куб!K:K))))))</f>
        <v>0</v>
      </c>
      <c r="R782" s="13" t="str">
        <f t="shared" si="259"/>
        <v>-</v>
      </c>
      <c r="S782" s="5"/>
      <c r="T782" s="27" t="b">
        <f>IF($G782&lt;&gt;0,SUMIF(куб!$G:$G,$G782,куб!L:L),IF($E782&lt;&gt;0,SUMIF(куб!$E:$E,$E782,куб!L:L),IF($D782&lt;&gt;0,SUMIF(куб!$D:$D,$D782,куб!L:L),IF($C782&lt;&gt;0,SUMIF(куб!$C:$C,$C782,куб!L:L),IF($B782&lt;&gt;0,SUMIF(куб!$B:$B,$B782,куб!L:L))))))</f>
        <v>0</v>
      </c>
      <c r="U782" s="27" t="b">
        <f>IF($G782&lt;&gt;0,SUMIF(куб!$G:$G,$G782,куб!M:M),IF($E782&lt;&gt;0,SUMIF(куб!$E:$E,$E782,куб!M:M),IF($D782&lt;&gt;0,SUMIF(куб!$D:$D,$D782,куб!M:M),IF($C782&lt;&gt;0,SUMIF(куб!$C:$C,$C782,куб!M:M),IF($B782&lt;&gt;0,SUMIF(куб!$B:$B,$B782,куб!M:M))))))</f>
        <v>0</v>
      </c>
      <c r="V782" s="13" t="str">
        <f t="shared" si="260"/>
        <v>-</v>
      </c>
      <c r="W782" s="5"/>
      <c r="X782" s="27" t="b">
        <f>IF($G782&lt;&gt;0,SUMIF(куб!$G:$G,$G782,куб!N:N),IF($E782&lt;&gt;0,SUMIF(куб!$E:$E,$E782,куб!N:N),IF($D782&lt;&gt;0,SUMIF(куб!$D:$D,$D782,куб!N:N),IF($C782&lt;&gt;0,SUMIF(куб!$C:$C,$C782,куб!N:N),IF($B782&lt;&gt;0,SUMIF(куб!$B:$B,$B782,куб!N:N))))))</f>
        <v>0</v>
      </c>
      <c r="Y782" s="27" t="b">
        <f>IF($G782&lt;&gt;0,SUMIF(куб!$G:$G,$G782,куб!O:O),IF($E782&lt;&gt;0,SUMIF(куб!$E:$E,$E782,куб!O:O),IF($D782&lt;&gt;0,SUMIF(куб!$D:$D,$D782,куб!O:O),IF($C782&lt;&gt;0,SUMIF(куб!$C:$C,$C782,куб!O:O),IF($B782&lt;&gt;0,SUMIF(куб!$B:$B,$B782,куб!O:O))))))</f>
        <v>0</v>
      </c>
      <c r="Z782" s="13" t="str">
        <f t="shared" si="261"/>
        <v>-</v>
      </c>
      <c r="AA782" s="5"/>
      <c r="AB782" s="33" t="str">
        <f t="shared" si="262"/>
        <v/>
      </c>
      <c r="AC782" s="33" t="str">
        <f t="shared" si="263"/>
        <v/>
      </c>
      <c r="AD782" s="15" t="str">
        <f t="shared" si="264"/>
        <v xml:space="preserve"> </v>
      </c>
      <c r="AE782" s="5"/>
      <c r="AF782" s="27" t="b">
        <f>IF($G782&lt;&gt;0,SUMIF(куб!$G:$G,$G782,куб!R:R),IF($E782&lt;&gt;0,SUMIF(куб!$E:$E,$E782,куб!R:R),IF($D782&lt;&gt;0,SUMIF(куб!$D:$D,$D782,куб!R:R),IF($C782&lt;&gt;0,SUMIF(куб!$C:$C,$C782,куб!R:R),IF($B782&lt;&gt;0,SUMIF(куб!$B:$B,$B782,куб!R:R))))))</f>
        <v>0</v>
      </c>
      <c r="AG782" s="27" t="b">
        <f>IF($G782&lt;&gt;0,SUMIF(куб!$G:$G,$G782,куб!S:S),IF($E782&lt;&gt;0,SUMIF(куб!$E:$E,$E782,куб!S:S),IF($D782&lt;&gt;0,SUMIF(куб!$D:$D,$D782,куб!S:S),IF($C782&lt;&gt;0,SUMIF(куб!$C:$C,$C782,куб!S:S),IF($B782&lt;&gt;0,SUMIF(куб!$B:$B,$B782,куб!S:S))))))</f>
        <v>0</v>
      </c>
      <c r="AH782" s="16" t="str">
        <f t="shared" si="265"/>
        <v>-</v>
      </c>
      <c r="AI782" s="8"/>
      <c r="AJ782" s="27" t="b">
        <f>IF($G782&lt;&gt;0,SUMIF(куб!$G:$G,$G782,куб!T:T),IF($E782&lt;&gt;0,SUMIF(куб!$E:$E,$E782,куб!T:T),IF($D782&lt;&gt;0,SUMIF(куб!$D:$D,$D782,куб!T:T),IF($C782&lt;&gt;0,SUMIF(куб!$C:$C,$C782,куб!T:T),IF($B782&lt;&gt;0,SUMIF(куб!$B:$B,$B782,куб!T:T))))))</f>
        <v>0</v>
      </c>
      <c r="AK782" s="27" t="b">
        <f>IF($G782&lt;&gt;0,SUMIF(куб!$G:$G,$G782,куб!U:U),IF($E782&lt;&gt;0,SUMIF(куб!$E:$E,$E782,куб!U:U),IF($D782&lt;&gt;0,SUMIF(куб!$D:$D,$D782,куб!U:U),IF($C782&lt;&gt;0,SUMIF(куб!$C:$C,$C782,куб!U:U),IF($B782&lt;&gt;0,SUMIF(куб!$B:$B,$B782,куб!U:U))))))</f>
        <v>0</v>
      </c>
      <c r="AL782" s="16" t="str">
        <f t="shared" si="266"/>
        <v>-</v>
      </c>
      <c r="AM782" s="8"/>
      <c r="AN782" s="17" t="str">
        <f t="shared" si="267"/>
        <v xml:space="preserve"> </v>
      </c>
      <c r="AO782" s="17" t="str">
        <f t="shared" si="268"/>
        <v xml:space="preserve"> </v>
      </c>
      <c r="AP782" s="16" t="str">
        <f t="shared" si="269"/>
        <v>-</v>
      </c>
      <c r="AQ782" s="8"/>
      <c r="AR782" s="17" t="str">
        <f t="shared" si="270"/>
        <v>-</v>
      </c>
      <c r="AS782" s="17" t="str">
        <f t="shared" si="271"/>
        <v>-</v>
      </c>
      <c r="AT782" s="13" t="str">
        <f t="shared" si="272"/>
        <v>-</v>
      </c>
      <c r="AU782" s="8"/>
    </row>
    <row r="783" spans="1:47" x14ac:dyDescent="0.25">
      <c r="A783" s="31"/>
      <c r="B783" s="31"/>
      <c r="C783"/>
      <c r="D783" s="31"/>
      <c r="E783" s="31"/>
      <c r="F783" s="31"/>
      <c r="G783" s="31"/>
      <c r="H783" s="27">
        <f>IF($G783&lt;&gt;0,SUMIF(куб!$G:$G,$G783,куб!H:H),IF($E783&lt;&gt;0,SUMIF(куб!$E:$E,$E783,куб!H:H),IF($D783&lt;&gt;0,SUMIF(куб!$D:$D,$D783,куб!H:H),IF($C783&lt;&gt;0,SUMIF(куб!$C:$C,$C783,куб!H:H),IF($B783&lt;&gt;0,SUMIF(куб!$B:$B,$B783,куб!H:H),IF($G783&lt;&gt;0,SUMIF(куб!$A:$A,$G783,куб!H:H),SUMIF(куб!$A:$A,$G783,куб!H:H)))))))</f>
        <v>0</v>
      </c>
      <c r="I783" s="27">
        <f>IF($G783&lt;&gt;0,SUMIF(куб!$G:$G,$G783,куб!I:I),IF($E783&lt;&gt;0,SUMIF(куб!$E:$E,$E783,куб!I:I),IF($D783&lt;&gt;0,SUMIF(куб!$D:$D,$D783,куб!I:I),IF($C783&lt;&gt;0,SUMIF(куб!$C:$C,$C783,куб!I:I),IF($B783&lt;&gt;0,SUMIF(куб!$B:$B,$B783,куб!I:I),IF($G783&lt;&gt;0,SUMIF(куб!$A:$A,$G783,куб!I:I),SUMIF(куб!$A:$A,$G783,куб!I:I)))))))</f>
        <v>0</v>
      </c>
      <c r="J783" s="19" t="str">
        <f t="shared" si="255"/>
        <v>-</v>
      </c>
      <c r="K783" s="8"/>
      <c r="L783" s="17">
        <f t="shared" si="256"/>
        <v>0</v>
      </c>
      <c r="M783" s="17">
        <f t="shared" si="257"/>
        <v>0</v>
      </c>
      <c r="N783" s="12">
        <f t="shared" si="258"/>
        <v>0</v>
      </c>
      <c r="O783" s="5"/>
      <c r="P783" s="27" t="b">
        <f>IF($G783&lt;&gt;0,SUMIF(куб!$G:$G,$G783,куб!J:J),IF($E783&lt;&gt;0,SUMIF(куб!$E:$E,$E783,куб!J:J),IF($D783&lt;&gt;0,SUMIF(куб!$D:$D,$D783,куб!J:J),IF($C783&lt;&gt;0,SUMIF(куб!$C:$C,$C783,куб!J:J),IF($B783&lt;&gt;0,SUMIF(куб!$B:$B,$B783,куб!J:J))))))</f>
        <v>0</v>
      </c>
      <c r="Q783" s="27" t="b">
        <f>IF($G783&lt;&gt;0,SUMIF(куб!$G:$G,$G783,куб!K:K),IF($E783&lt;&gt;0,SUMIF(куб!$E:$E,$E783,куб!K:K),IF($D783&lt;&gt;0,SUMIF(куб!$D:$D,$D783,куб!K:K),IF($C783&lt;&gt;0,SUMIF(куб!$C:$C,$C783,куб!K:K),IF($B783&lt;&gt;0,SUMIF(куб!$B:$B,$B783,куб!K:K))))))</f>
        <v>0</v>
      </c>
      <c r="R783" s="13" t="str">
        <f t="shared" si="259"/>
        <v>-</v>
      </c>
      <c r="S783" s="5"/>
      <c r="T783" s="27" t="b">
        <f>IF($G783&lt;&gt;0,SUMIF(куб!$G:$G,$G783,куб!L:L),IF($E783&lt;&gt;0,SUMIF(куб!$E:$E,$E783,куб!L:L),IF($D783&lt;&gt;0,SUMIF(куб!$D:$D,$D783,куб!L:L),IF($C783&lt;&gt;0,SUMIF(куб!$C:$C,$C783,куб!L:L),IF($B783&lt;&gt;0,SUMIF(куб!$B:$B,$B783,куб!L:L))))))</f>
        <v>0</v>
      </c>
      <c r="U783" s="27" t="b">
        <f>IF($G783&lt;&gt;0,SUMIF(куб!$G:$G,$G783,куб!M:M),IF($E783&lt;&gt;0,SUMIF(куб!$E:$E,$E783,куб!M:M),IF($D783&lt;&gt;0,SUMIF(куб!$D:$D,$D783,куб!M:M),IF($C783&lt;&gt;0,SUMIF(куб!$C:$C,$C783,куб!M:M),IF($B783&lt;&gt;0,SUMIF(куб!$B:$B,$B783,куб!M:M))))))</f>
        <v>0</v>
      </c>
      <c r="V783" s="13" t="str">
        <f t="shared" si="260"/>
        <v>-</v>
      </c>
      <c r="W783" s="5"/>
      <c r="X783" s="27" t="b">
        <f>IF($G783&lt;&gt;0,SUMIF(куб!$G:$G,$G783,куб!N:N),IF($E783&lt;&gt;0,SUMIF(куб!$E:$E,$E783,куб!N:N),IF($D783&lt;&gt;0,SUMIF(куб!$D:$D,$D783,куб!N:N),IF($C783&lt;&gt;0,SUMIF(куб!$C:$C,$C783,куб!N:N),IF($B783&lt;&gt;0,SUMIF(куб!$B:$B,$B783,куб!N:N))))))</f>
        <v>0</v>
      </c>
      <c r="Y783" s="27" t="b">
        <f>IF($G783&lt;&gt;0,SUMIF(куб!$G:$G,$G783,куб!O:O),IF($E783&lt;&gt;0,SUMIF(куб!$E:$E,$E783,куб!O:O),IF($D783&lt;&gt;0,SUMIF(куб!$D:$D,$D783,куб!O:O),IF($C783&lt;&gt;0,SUMIF(куб!$C:$C,$C783,куб!O:O),IF($B783&lt;&gt;0,SUMIF(куб!$B:$B,$B783,куб!O:O))))))</f>
        <v>0</v>
      </c>
      <c r="Z783" s="13" t="str">
        <f t="shared" si="261"/>
        <v>-</v>
      </c>
      <c r="AA783" s="5"/>
      <c r="AB783" s="33" t="str">
        <f t="shared" si="262"/>
        <v/>
      </c>
      <c r="AC783" s="33" t="str">
        <f t="shared" si="263"/>
        <v/>
      </c>
      <c r="AD783" s="15" t="str">
        <f t="shared" si="264"/>
        <v xml:space="preserve"> </v>
      </c>
      <c r="AE783" s="5"/>
      <c r="AF783" s="27" t="b">
        <f>IF($G783&lt;&gt;0,SUMIF(куб!$G:$G,$G783,куб!R:R),IF($E783&lt;&gt;0,SUMIF(куб!$E:$E,$E783,куб!R:R),IF($D783&lt;&gt;0,SUMIF(куб!$D:$D,$D783,куб!R:R),IF($C783&lt;&gt;0,SUMIF(куб!$C:$C,$C783,куб!R:R),IF($B783&lt;&gt;0,SUMIF(куб!$B:$B,$B783,куб!R:R))))))</f>
        <v>0</v>
      </c>
      <c r="AG783" s="27" t="b">
        <f>IF($G783&lt;&gt;0,SUMIF(куб!$G:$G,$G783,куб!S:S),IF($E783&lt;&gt;0,SUMIF(куб!$E:$E,$E783,куб!S:S),IF($D783&lt;&gt;0,SUMIF(куб!$D:$D,$D783,куб!S:S),IF($C783&lt;&gt;0,SUMIF(куб!$C:$C,$C783,куб!S:S),IF($B783&lt;&gt;0,SUMIF(куб!$B:$B,$B783,куб!S:S))))))</f>
        <v>0</v>
      </c>
      <c r="AH783" s="16" t="str">
        <f t="shared" si="265"/>
        <v>-</v>
      </c>
      <c r="AI783" s="8"/>
      <c r="AJ783" s="27" t="b">
        <f>IF($G783&lt;&gt;0,SUMIF(куб!$G:$G,$G783,куб!T:T),IF($E783&lt;&gt;0,SUMIF(куб!$E:$E,$E783,куб!T:T),IF($D783&lt;&gt;0,SUMIF(куб!$D:$D,$D783,куб!T:T),IF($C783&lt;&gt;0,SUMIF(куб!$C:$C,$C783,куб!T:T),IF($B783&lt;&gt;0,SUMIF(куб!$B:$B,$B783,куб!T:T))))))</f>
        <v>0</v>
      </c>
      <c r="AK783" s="27" t="b">
        <f>IF($G783&lt;&gt;0,SUMIF(куб!$G:$G,$G783,куб!U:U),IF($E783&lt;&gt;0,SUMIF(куб!$E:$E,$E783,куб!U:U),IF($D783&lt;&gt;0,SUMIF(куб!$D:$D,$D783,куб!U:U),IF($C783&lt;&gt;0,SUMIF(куб!$C:$C,$C783,куб!U:U),IF($B783&lt;&gt;0,SUMIF(куб!$B:$B,$B783,куб!U:U))))))</f>
        <v>0</v>
      </c>
      <c r="AL783" s="16" t="str">
        <f t="shared" si="266"/>
        <v>-</v>
      </c>
      <c r="AM783" s="8"/>
      <c r="AN783" s="17" t="str">
        <f t="shared" si="267"/>
        <v xml:space="preserve"> </v>
      </c>
      <c r="AO783" s="17" t="str">
        <f t="shared" si="268"/>
        <v xml:space="preserve"> </v>
      </c>
      <c r="AP783" s="16" t="str">
        <f t="shared" si="269"/>
        <v>-</v>
      </c>
      <c r="AQ783" s="8"/>
      <c r="AR783" s="17" t="str">
        <f t="shared" si="270"/>
        <v>-</v>
      </c>
      <c r="AS783" s="17" t="str">
        <f t="shared" si="271"/>
        <v>-</v>
      </c>
      <c r="AT783" s="13" t="str">
        <f t="shared" si="272"/>
        <v>-</v>
      </c>
      <c r="AU783" s="8"/>
    </row>
    <row r="784" spans="1:47" x14ac:dyDescent="0.25">
      <c r="A784" s="31"/>
      <c r="B784" s="31"/>
      <c r="C784"/>
      <c r="D784" s="31"/>
      <c r="E784"/>
      <c r="F784" s="31"/>
      <c r="G784"/>
      <c r="H784" s="27">
        <f>IF($G784&lt;&gt;0,SUMIF(куб!$G:$G,$G784,куб!H:H),IF($E784&lt;&gt;0,SUMIF(куб!$E:$E,$E784,куб!H:H),IF($D784&lt;&gt;0,SUMIF(куб!$D:$D,$D784,куб!H:H),IF($C784&lt;&gt;0,SUMIF(куб!$C:$C,$C784,куб!H:H),IF($B784&lt;&gt;0,SUMIF(куб!$B:$B,$B784,куб!H:H),IF($G784&lt;&gt;0,SUMIF(куб!$A:$A,$G784,куб!H:H),SUMIF(куб!$A:$A,$G784,куб!H:H)))))))</f>
        <v>0</v>
      </c>
      <c r="I784" s="27">
        <f>IF($G784&lt;&gt;0,SUMIF(куб!$G:$G,$G784,куб!I:I),IF($E784&lt;&gt;0,SUMIF(куб!$E:$E,$E784,куб!I:I),IF($D784&lt;&gt;0,SUMIF(куб!$D:$D,$D784,куб!I:I),IF($C784&lt;&gt;0,SUMIF(куб!$C:$C,$C784,куб!I:I),IF($B784&lt;&gt;0,SUMIF(куб!$B:$B,$B784,куб!I:I),IF($G784&lt;&gt;0,SUMIF(куб!$A:$A,$G784,куб!I:I),SUMIF(куб!$A:$A,$G784,куб!I:I)))))))</f>
        <v>0</v>
      </c>
      <c r="J784" s="19" t="str">
        <f t="shared" si="255"/>
        <v>-</v>
      </c>
      <c r="K784" s="8"/>
      <c r="L784" s="17">
        <f t="shared" si="256"/>
        <v>0</v>
      </c>
      <c r="M784" s="17">
        <f t="shared" si="257"/>
        <v>0</v>
      </c>
      <c r="N784" s="12">
        <f t="shared" si="258"/>
        <v>0</v>
      </c>
      <c r="O784" s="5"/>
      <c r="P784" s="27" t="b">
        <f>IF($G784&lt;&gt;0,SUMIF(куб!$G:$G,$G784,куб!J:J),IF($E784&lt;&gt;0,SUMIF(куб!$E:$E,$E784,куб!J:J),IF($D784&lt;&gt;0,SUMIF(куб!$D:$D,$D784,куб!J:J),IF($C784&lt;&gt;0,SUMIF(куб!$C:$C,$C784,куб!J:J),IF($B784&lt;&gt;0,SUMIF(куб!$B:$B,$B784,куб!J:J))))))</f>
        <v>0</v>
      </c>
      <c r="Q784" s="27" t="b">
        <f>IF($G784&lt;&gt;0,SUMIF(куб!$G:$G,$G784,куб!K:K),IF($E784&lt;&gt;0,SUMIF(куб!$E:$E,$E784,куб!K:K),IF($D784&lt;&gt;0,SUMIF(куб!$D:$D,$D784,куб!K:K),IF($C784&lt;&gt;0,SUMIF(куб!$C:$C,$C784,куб!K:K),IF($B784&lt;&gt;0,SUMIF(куб!$B:$B,$B784,куб!K:K))))))</f>
        <v>0</v>
      </c>
      <c r="R784" s="13" t="str">
        <f t="shared" si="259"/>
        <v>-</v>
      </c>
      <c r="S784" s="5"/>
      <c r="T784" s="27" t="b">
        <f>IF($G784&lt;&gt;0,SUMIF(куб!$G:$G,$G784,куб!L:L),IF($E784&lt;&gt;0,SUMIF(куб!$E:$E,$E784,куб!L:L),IF($D784&lt;&gt;0,SUMIF(куб!$D:$D,$D784,куб!L:L),IF($C784&lt;&gt;0,SUMIF(куб!$C:$C,$C784,куб!L:L),IF($B784&lt;&gt;0,SUMIF(куб!$B:$B,$B784,куб!L:L))))))</f>
        <v>0</v>
      </c>
      <c r="U784" s="27" t="b">
        <f>IF($G784&lt;&gt;0,SUMIF(куб!$G:$G,$G784,куб!M:M),IF($E784&lt;&gt;0,SUMIF(куб!$E:$E,$E784,куб!M:M),IF($D784&lt;&gt;0,SUMIF(куб!$D:$D,$D784,куб!M:M),IF($C784&lt;&gt;0,SUMIF(куб!$C:$C,$C784,куб!M:M),IF($B784&lt;&gt;0,SUMIF(куб!$B:$B,$B784,куб!M:M))))))</f>
        <v>0</v>
      </c>
      <c r="V784" s="13" t="str">
        <f t="shared" si="260"/>
        <v>-</v>
      </c>
      <c r="W784" s="5"/>
      <c r="X784" s="27" t="b">
        <f>IF($G784&lt;&gt;0,SUMIF(куб!$G:$G,$G784,куб!N:N),IF($E784&lt;&gt;0,SUMIF(куб!$E:$E,$E784,куб!N:N),IF($D784&lt;&gt;0,SUMIF(куб!$D:$D,$D784,куб!N:N),IF($C784&lt;&gt;0,SUMIF(куб!$C:$C,$C784,куб!N:N),IF($B784&lt;&gt;0,SUMIF(куб!$B:$B,$B784,куб!N:N))))))</f>
        <v>0</v>
      </c>
      <c r="Y784" s="27" t="b">
        <f>IF($G784&lt;&gt;0,SUMIF(куб!$G:$G,$G784,куб!O:O),IF($E784&lt;&gt;0,SUMIF(куб!$E:$E,$E784,куб!O:O),IF($D784&lt;&gt;0,SUMIF(куб!$D:$D,$D784,куб!O:O),IF($C784&lt;&gt;0,SUMIF(куб!$C:$C,$C784,куб!O:O),IF($B784&lt;&gt;0,SUMIF(куб!$B:$B,$B784,куб!O:O))))))</f>
        <v>0</v>
      </c>
      <c r="Z784" s="13" t="str">
        <f t="shared" si="261"/>
        <v>-</v>
      </c>
      <c r="AA784" s="5"/>
      <c r="AB784" s="33" t="str">
        <f t="shared" si="262"/>
        <v/>
      </c>
      <c r="AC784" s="33" t="str">
        <f t="shared" si="263"/>
        <v/>
      </c>
      <c r="AD784" s="15" t="str">
        <f t="shared" si="264"/>
        <v xml:space="preserve"> </v>
      </c>
      <c r="AE784" s="5"/>
      <c r="AF784" s="27" t="b">
        <f>IF($G784&lt;&gt;0,SUMIF(куб!$G:$G,$G784,куб!R:R),IF($E784&lt;&gt;0,SUMIF(куб!$E:$E,$E784,куб!R:R),IF($D784&lt;&gt;0,SUMIF(куб!$D:$D,$D784,куб!R:R),IF($C784&lt;&gt;0,SUMIF(куб!$C:$C,$C784,куб!R:R),IF($B784&lt;&gt;0,SUMIF(куб!$B:$B,$B784,куб!R:R))))))</f>
        <v>0</v>
      </c>
      <c r="AG784" s="27" t="b">
        <f>IF($G784&lt;&gt;0,SUMIF(куб!$G:$G,$G784,куб!S:S),IF($E784&lt;&gt;0,SUMIF(куб!$E:$E,$E784,куб!S:S),IF($D784&lt;&gt;0,SUMIF(куб!$D:$D,$D784,куб!S:S),IF($C784&lt;&gt;0,SUMIF(куб!$C:$C,$C784,куб!S:S),IF($B784&lt;&gt;0,SUMIF(куб!$B:$B,$B784,куб!S:S))))))</f>
        <v>0</v>
      </c>
      <c r="AH784" s="16" t="str">
        <f t="shared" si="265"/>
        <v>-</v>
      </c>
      <c r="AI784" s="8"/>
      <c r="AJ784" s="27" t="b">
        <f>IF($G784&lt;&gt;0,SUMIF(куб!$G:$G,$G784,куб!T:T),IF($E784&lt;&gt;0,SUMIF(куб!$E:$E,$E784,куб!T:T),IF($D784&lt;&gt;0,SUMIF(куб!$D:$D,$D784,куб!T:T),IF($C784&lt;&gt;0,SUMIF(куб!$C:$C,$C784,куб!T:T),IF($B784&lt;&gt;0,SUMIF(куб!$B:$B,$B784,куб!T:T))))))</f>
        <v>0</v>
      </c>
      <c r="AK784" s="27" t="b">
        <f>IF($G784&lt;&gt;0,SUMIF(куб!$G:$G,$G784,куб!U:U),IF($E784&lt;&gt;0,SUMIF(куб!$E:$E,$E784,куб!U:U),IF($D784&lt;&gt;0,SUMIF(куб!$D:$D,$D784,куб!U:U),IF($C784&lt;&gt;0,SUMIF(куб!$C:$C,$C784,куб!U:U),IF($B784&lt;&gt;0,SUMIF(куб!$B:$B,$B784,куб!U:U))))))</f>
        <v>0</v>
      </c>
      <c r="AL784" s="16" t="str">
        <f t="shared" si="266"/>
        <v>-</v>
      </c>
      <c r="AM784" s="8"/>
      <c r="AN784" s="17" t="str">
        <f t="shared" si="267"/>
        <v xml:space="preserve"> </v>
      </c>
      <c r="AO784" s="17" t="str">
        <f t="shared" si="268"/>
        <v xml:space="preserve"> </v>
      </c>
      <c r="AP784" s="16" t="str">
        <f t="shared" si="269"/>
        <v>-</v>
      </c>
      <c r="AQ784" s="8"/>
      <c r="AR784" s="17" t="str">
        <f t="shared" si="270"/>
        <v>-</v>
      </c>
      <c r="AS784" s="17" t="str">
        <f t="shared" si="271"/>
        <v>-</v>
      </c>
      <c r="AT784" s="13" t="str">
        <f t="shared" si="272"/>
        <v>-</v>
      </c>
      <c r="AU784" s="8"/>
    </row>
    <row r="785" spans="1:47" x14ac:dyDescent="0.25">
      <c r="A785" s="31"/>
      <c r="B785" s="31"/>
      <c r="C785"/>
      <c r="D785" s="31"/>
      <c r="E785"/>
      <c r="F785"/>
      <c r="G785"/>
      <c r="H785" s="27">
        <f>IF($G785&lt;&gt;0,SUMIF(куб!$G:$G,$G785,куб!H:H),IF($E785&lt;&gt;0,SUMIF(куб!$E:$E,$E785,куб!H:H),IF($D785&lt;&gt;0,SUMIF(куб!$D:$D,$D785,куб!H:H),IF($C785&lt;&gt;0,SUMIF(куб!$C:$C,$C785,куб!H:H),IF($B785&lt;&gt;0,SUMIF(куб!$B:$B,$B785,куб!H:H),IF($G785&lt;&gt;0,SUMIF(куб!$A:$A,$G785,куб!H:H),SUMIF(куб!$A:$A,$G785,куб!H:H)))))))</f>
        <v>0</v>
      </c>
      <c r="I785" s="27">
        <f>IF($G785&lt;&gt;0,SUMIF(куб!$G:$G,$G785,куб!I:I),IF($E785&lt;&gt;0,SUMIF(куб!$E:$E,$E785,куб!I:I),IF($D785&lt;&gt;0,SUMIF(куб!$D:$D,$D785,куб!I:I),IF($C785&lt;&gt;0,SUMIF(куб!$C:$C,$C785,куб!I:I),IF($B785&lt;&gt;0,SUMIF(куб!$B:$B,$B785,куб!I:I),IF($G785&lt;&gt;0,SUMIF(куб!$A:$A,$G785,куб!I:I),SUMIF(куб!$A:$A,$G785,куб!I:I)))))))</f>
        <v>0</v>
      </c>
      <c r="J785" s="19" t="str">
        <f t="shared" si="255"/>
        <v>-</v>
      </c>
      <c r="K785" s="8"/>
      <c r="L785" s="17">
        <f t="shared" si="256"/>
        <v>0</v>
      </c>
      <c r="M785" s="17">
        <f t="shared" si="257"/>
        <v>0</v>
      </c>
      <c r="N785" s="12">
        <f t="shared" si="258"/>
        <v>0</v>
      </c>
      <c r="O785" s="5"/>
      <c r="P785" s="27" t="b">
        <f>IF($G785&lt;&gt;0,SUMIF(куб!$G:$G,$G785,куб!J:J),IF($E785&lt;&gt;0,SUMIF(куб!$E:$E,$E785,куб!J:J),IF($D785&lt;&gt;0,SUMIF(куб!$D:$D,$D785,куб!J:J),IF($C785&lt;&gt;0,SUMIF(куб!$C:$C,$C785,куб!J:J),IF($B785&lt;&gt;0,SUMIF(куб!$B:$B,$B785,куб!J:J))))))</f>
        <v>0</v>
      </c>
      <c r="Q785" s="27" t="b">
        <f>IF($G785&lt;&gt;0,SUMIF(куб!$G:$G,$G785,куб!K:K),IF($E785&lt;&gt;0,SUMIF(куб!$E:$E,$E785,куб!K:K),IF($D785&lt;&gt;0,SUMIF(куб!$D:$D,$D785,куб!K:K),IF($C785&lt;&gt;0,SUMIF(куб!$C:$C,$C785,куб!K:K),IF($B785&lt;&gt;0,SUMIF(куб!$B:$B,$B785,куб!K:K))))))</f>
        <v>0</v>
      </c>
      <c r="R785" s="13" t="str">
        <f t="shared" si="259"/>
        <v>-</v>
      </c>
      <c r="S785" s="5"/>
      <c r="T785" s="27" t="b">
        <f>IF($G785&lt;&gt;0,SUMIF(куб!$G:$G,$G785,куб!L:L),IF($E785&lt;&gt;0,SUMIF(куб!$E:$E,$E785,куб!L:L),IF($D785&lt;&gt;0,SUMIF(куб!$D:$D,$D785,куб!L:L),IF($C785&lt;&gt;0,SUMIF(куб!$C:$C,$C785,куб!L:L),IF($B785&lt;&gt;0,SUMIF(куб!$B:$B,$B785,куб!L:L))))))</f>
        <v>0</v>
      </c>
      <c r="U785" s="27" t="b">
        <f>IF($G785&lt;&gt;0,SUMIF(куб!$G:$G,$G785,куб!M:M),IF($E785&lt;&gt;0,SUMIF(куб!$E:$E,$E785,куб!M:M),IF($D785&lt;&gt;0,SUMIF(куб!$D:$D,$D785,куб!M:M),IF($C785&lt;&gt;0,SUMIF(куб!$C:$C,$C785,куб!M:M),IF($B785&lt;&gt;0,SUMIF(куб!$B:$B,$B785,куб!M:M))))))</f>
        <v>0</v>
      </c>
      <c r="V785" s="13" t="str">
        <f t="shared" si="260"/>
        <v>-</v>
      </c>
      <c r="W785" s="5"/>
      <c r="X785" s="27" t="b">
        <f>IF($G785&lt;&gt;0,SUMIF(куб!$G:$G,$G785,куб!N:N),IF($E785&lt;&gt;0,SUMIF(куб!$E:$E,$E785,куб!N:N),IF($D785&lt;&gt;0,SUMIF(куб!$D:$D,$D785,куб!N:N),IF($C785&lt;&gt;0,SUMIF(куб!$C:$C,$C785,куб!N:N),IF($B785&lt;&gt;0,SUMIF(куб!$B:$B,$B785,куб!N:N))))))</f>
        <v>0</v>
      </c>
      <c r="Y785" s="27" t="b">
        <f>IF($G785&lt;&gt;0,SUMIF(куб!$G:$G,$G785,куб!O:O),IF($E785&lt;&gt;0,SUMIF(куб!$E:$E,$E785,куб!O:O),IF($D785&lt;&gt;0,SUMIF(куб!$D:$D,$D785,куб!O:O),IF($C785&lt;&gt;0,SUMIF(куб!$C:$C,$C785,куб!O:O),IF($B785&lt;&gt;0,SUMIF(куб!$B:$B,$B785,куб!O:O))))))</f>
        <v>0</v>
      </c>
      <c r="Z785" s="13" t="str">
        <f t="shared" si="261"/>
        <v>-</v>
      </c>
      <c r="AA785" s="5"/>
      <c r="AB785" s="33" t="str">
        <f t="shared" si="262"/>
        <v/>
      </c>
      <c r="AC785" s="33" t="str">
        <f t="shared" si="263"/>
        <v/>
      </c>
      <c r="AD785" s="15" t="str">
        <f t="shared" si="264"/>
        <v xml:space="preserve"> </v>
      </c>
      <c r="AE785" s="5"/>
      <c r="AF785" s="27" t="b">
        <f>IF($G785&lt;&gt;0,SUMIF(куб!$G:$G,$G785,куб!R:R),IF($E785&lt;&gt;0,SUMIF(куб!$E:$E,$E785,куб!R:R),IF($D785&lt;&gt;0,SUMIF(куб!$D:$D,$D785,куб!R:R),IF($C785&lt;&gt;0,SUMIF(куб!$C:$C,$C785,куб!R:R),IF($B785&lt;&gt;0,SUMIF(куб!$B:$B,$B785,куб!R:R))))))</f>
        <v>0</v>
      </c>
      <c r="AG785" s="27" t="b">
        <f>IF($G785&lt;&gt;0,SUMIF(куб!$G:$G,$G785,куб!S:S),IF($E785&lt;&gt;0,SUMIF(куб!$E:$E,$E785,куб!S:S),IF($D785&lt;&gt;0,SUMIF(куб!$D:$D,$D785,куб!S:S),IF($C785&lt;&gt;0,SUMIF(куб!$C:$C,$C785,куб!S:S),IF($B785&lt;&gt;0,SUMIF(куб!$B:$B,$B785,куб!S:S))))))</f>
        <v>0</v>
      </c>
      <c r="AH785" s="16" t="str">
        <f t="shared" si="265"/>
        <v>-</v>
      </c>
      <c r="AI785" s="8"/>
      <c r="AJ785" s="27" t="b">
        <f>IF($G785&lt;&gt;0,SUMIF(куб!$G:$G,$G785,куб!T:T),IF($E785&lt;&gt;0,SUMIF(куб!$E:$E,$E785,куб!T:T),IF($D785&lt;&gt;0,SUMIF(куб!$D:$D,$D785,куб!T:T),IF($C785&lt;&gt;0,SUMIF(куб!$C:$C,$C785,куб!T:T),IF($B785&lt;&gt;0,SUMIF(куб!$B:$B,$B785,куб!T:T))))))</f>
        <v>0</v>
      </c>
      <c r="AK785" s="27" t="b">
        <f>IF($G785&lt;&gt;0,SUMIF(куб!$G:$G,$G785,куб!U:U),IF($E785&lt;&gt;0,SUMIF(куб!$E:$E,$E785,куб!U:U),IF($D785&lt;&gt;0,SUMIF(куб!$D:$D,$D785,куб!U:U),IF($C785&lt;&gt;0,SUMIF(куб!$C:$C,$C785,куб!U:U),IF($B785&lt;&gt;0,SUMIF(куб!$B:$B,$B785,куб!U:U))))))</f>
        <v>0</v>
      </c>
      <c r="AL785" s="16" t="str">
        <f t="shared" si="266"/>
        <v>-</v>
      </c>
      <c r="AM785" s="8"/>
      <c r="AN785" s="17" t="str">
        <f t="shared" si="267"/>
        <v xml:space="preserve"> </v>
      </c>
      <c r="AO785" s="17" t="str">
        <f t="shared" si="268"/>
        <v xml:space="preserve"> </v>
      </c>
      <c r="AP785" s="16" t="str">
        <f t="shared" si="269"/>
        <v>-</v>
      </c>
      <c r="AQ785" s="8"/>
      <c r="AR785" s="17" t="str">
        <f t="shared" si="270"/>
        <v>-</v>
      </c>
      <c r="AS785" s="17" t="str">
        <f t="shared" si="271"/>
        <v>-</v>
      </c>
      <c r="AT785" s="13" t="str">
        <f t="shared" si="272"/>
        <v>-</v>
      </c>
      <c r="AU785" s="8"/>
    </row>
    <row r="786" spans="1:47" x14ac:dyDescent="0.25">
      <c r="A786" s="31"/>
      <c r="B786" s="31"/>
      <c r="C786"/>
      <c r="D786" s="31"/>
      <c r="E786" s="31"/>
      <c r="F786" s="31"/>
      <c r="G786" s="31"/>
      <c r="H786" s="27">
        <f>IF($G786&lt;&gt;0,SUMIF(куб!$G:$G,$G786,куб!H:H),IF($E786&lt;&gt;0,SUMIF(куб!$E:$E,$E786,куб!H:H),IF($D786&lt;&gt;0,SUMIF(куб!$D:$D,$D786,куб!H:H),IF($C786&lt;&gt;0,SUMIF(куб!$C:$C,$C786,куб!H:H),IF($B786&lt;&gt;0,SUMIF(куб!$B:$B,$B786,куб!H:H),IF($G786&lt;&gt;0,SUMIF(куб!$A:$A,$G786,куб!H:H),SUMIF(куб!$A:$A,$G786,куб!H:H)))))))</f>
        <v>0</v>
      </c>
      <c r="I786" s="27">
        <f>IF($G786&lt;&gt;0,SUMIF(куб!$G:$G,$G786,куб!I:I),IF($E786&lt;&gt;0,SUMIF(куб!$E:$E,$E786,куб!I:I),IF($D786&lt;&gt;0,SUMIF(куб!$D:$D,$D786,куб!I:I),IF($C786&lt;&gt;0,SUMIF(куб!$C:$C,$C786,куб!I:I),IF($B786&lt;&gt;0,SUMIF(куб!$B:$B,$B786,куб!I:I),IF($G786&lt;&gt;0,SUMIF(куб!$A:$A,$G786,куб!I:I),SUMIF(куб!$A:$A,$G786,куб!I:I)))))))</f>
        <v>0</v>
      </c>
      <c r="J786" s="19" t="str">
        <f t="shared" si="255"/>
        <v>-</v>
      </c>
      <c r="K786" s="8"/>
      <c r="L786" s="17">
        <f t="shared" si="256"/>
        <v>0</v>
      </c>
      <c r="M786" s="17">
        <f t="shared" si="257"/>
        <v>0</v>
      </c>
      <c r="N786" s="12">
        <f t="shared" si="258"/>
        <v>0</v>
      </c>
      <c r="O786" s="5"/>
      <c r="P786" s="27" t="b">
        <f>IF($G786&lt;&gt;0,SUMIF(куб!$G:$G,$G786,куб!J:J),IF($E786&lt;&gt;0,SUMIF(куб!$E:$E,$E786,куб!J:J),IF($D786&lt;&gt;0,SUMIF(куб!$D:$D,$D786,куб!J:J),IF($C786&lt;&gt;0,SUMIF(куб!$C:$C,$C786,куб!J:J),IF($B786&lt;&gt;0,SUMIF(куб!$B:$B,$B786,куб!J:J))))))</f>
        <v>0</v>
      </c>
      <c r="Q786" s="27" t="b">
        <f>IF($G786&lt;&gt;0,SUMIF(куб!$G:$G,$G786,куб!K:K),IF($E786&lt;&gt;0,SUMIF(куб!$E:$E,$E786,куб!K:K),IF($D786&lt;&gt;0,SUMIF(куб!$D:$D,$D786,куб!K:K),IF($C786&lt;&gt;0,SUMIF(куб!$C:$C,$C786,куб!K:K),IF($B786&lt;&gt;0,SUMIF(куб!$B:$B,$B786,куб!K:K))))))</f>
        <v>0</v>
      </c>
      <c r="R786" s="13" t="str">
        <f t="shared" si="259"/>
        <v>-</v>
      </c>
      <c r="S786" s="5"/>
      <c r="T786" s="27" t="b">
        <f>IF($G786&lt;&gt;0,SUMIF(куб!$G:$G,$G786,куб!L:L),IF($E786&lt;&gt;0,SUMIF(куб!$E:$E,$E786,куб!L:L),IF($D786&lt;&gt;0,SUMIF(куб!$D:$D,$D786,куб!L:L),IF($C786&lt;&gt;0,SUMIF(куб!$C:$C,$C786,куб!L:L),IF($B786&lt;&gt;0,SUMIF(куб!$B:$B,$B786,куб!L:L))))))</f>
        <v>0</v>
      </c>
      <c r="U786" s="27" t="b">
        <f>IF($G786&lt;&gt;0,SUMIF(куб!$G:$G,$G786,куб!M:M),IF($E786&lt;&gt;0,SUMIF(куб!$E:$E,$E786,куб!M:M),IF($D786&lt;&gt;0,SUMIF(куб!$D:$D,$D786,куб!M:M),IF($C786&lt;&gt;0,SUMIF(куб!$C:$C,$C786,куб!M:M),IF($B786&lt;&gt;0,SUMIF(куб!$B:$B,$B786,куб!M:M))))))</f>
        <v>0</v>
      </c>
      <c r="V786" s="13" t="str">
        <f t="shared" si="260"/>
        <v>-</v>
      </c>
      <c r="W786" s="5"/>
      <c r="X786" s="27" t="b">
        <f>IF($G786&lt;&gt;0,SUMIF(куб!$G:$G,$G786,куб!N:N),IF($E786&lt;&gt;0,SUMIF(куб!$E:$E,$E786,куб!N:N),IF($D786&lt;&gt;0,SUMIF(куб!$D:$D,$D786,куб!N:N),IF($C786&lt;&gt;0,SUMIF(куб!$C:$C,$C786,куб!N:N),IF($B786&lt;&gt;0,SUMIF(куб!$B:$B,$B786,куб!N:N))))))</f>
        <v>0</v>
      </c>
      <c r="Y786" s="27" t="b">
        <f>IF($G786&lt;&gt;0,SUMIF(куб!$G:$G,$G786,куб!O:O),IF($E786&lt;&gt;0,SUMIF(куб!$E:$E,$E786,куб!O:O),IF($D786&lt;&gt;0,SUMIF(куб!$D:$D,$D786,куб!O:O),IF($C786&lt;&gt;0,SUMIF(куб!$C:$C,$C786,куб!O:O),IF($B786&lt;&gt;0,SUMIF(куб!$B:$B,$B786,куб!O:O))))))</f>
        <v>0</v>
      </c>
      <c r="Z786" s="13" t="str">
        <f t="shared" si="261"/>
        <v>-</v>
      </c>
      <c r="AA786" s="5"/>
      <c r="AB786" s="33" t="str">
        <f t="shared" si="262"/>
        <v/>
      </c>
      <c r="AC786" s="33" t="str">
        <f t="shared" si="263"/>
        <v/>
      </c>
      <c r="AD786" s="15" t="str">
        <f t="shared" si="264"/>
        <v xml:space="preserve"> </v>
      </c>
      <c r="AE786" s="5"/>
      <c r="AF786" s="27" t="b">
        <f>IF($G786&lt;&gt;0,SUMIF(куб!$G:$G,$G786,куб!R:R),IF($E786&lt;&gt;0,SUMIF(куб!$E:$E,$E786,куб!R:R),IF($D786&lt;&gt;0,SUMIF(куб!$D:$D,$D786,куб!R:R),IF($C786&lt;&gt;0,SUMIF(куб!$C:$C,$C786,куб!R:R),IF($B786&lt;&gt;0,SUMIF(куб!$B:$B,$B786,куб!R:R))))))</f>
        <v>0</v>
      </c>
      <c r="AG786" s="27" t="b">
        <f>IF($G786&lt;&gt;0,SUMIF(куб!$G:$G,$G786,куб!S:S),IF($E786&lt;&gt;0,SUMIF(куб!$E:$E,$E786,куб!S:S),IF($D786&lt;&gt;0,SUMIF(куб!$D:$D,$D786,куб!S:S),IF($C786&lt;&gt;0,SUMIF(куб!$C:$C,$C786,куб!S:S),IF($B786&lt;&gt;0,SUMIF(куб!$B:$B,$B786,куб!S:S))))))</f>
        <v>0</v>
      </c>
      <c r="AH786" s="16" t="str">
        <f t="shared" si="265"/>
        <v>-</v>
      </c>
      <c r="AI786" s="8"/>
      <c r="AJ786" s="27" t="b">
        <f>IF($G786&lt;&gt;0,SUMIF(куб!$G:$G,$G786,куб!T:T),IF($E786&lt;&gt;0,SUMIF(куб!$E:$E,$E786,куб!T:T),IF($D786&lt;&gt;0,SUMIF(куб!$D:$D,$D786,куб!T:T),IF($C786&lt;&gt;0,SUMIF(куб!$C:$C,$C786,куб!T:T),IF($B786&lt;&gt;0,SUMIF(куб!$B:$B,$B786,куб!T:T))))))</f>
        <v>0</v>
      </c>
      <c r="AK786" s="27" t="b">
        <f>IF($G786&lt;&gt;0,SUMIF(куб!$G:$G,$G786,куб!U:U),IF($E786&lt;&gt;0,SUMIF(куб!$E:$E,$E786,куб!U:U),IF($D786&lt;&gt;0,SUMIF(куб!$D:$D,$D786,куб!U:U),IF($C786&lt;&gt;0,SUMIF(куб!$C:$C,$C786,куб!U:U),IF($B786&lt;&gt;0,SUMIF(куб!$B:$B,$B786,куб!U:U))))))</f>
        <v>0</v>
      </c>
      <c r="AL786" s="16" t="str">
        <f t="shared" si="266"/>
        <v>-</v>
      </c>
      <c r="AM786" s="8"/>
      <c r="AN786" s="17" t="str">
        <f t="shared" si="267"/>
        <v xml:space="preserve"> </v>
      </c>
      <c r="AO786" s="17" t="str">
        <f t="shared" si="268"/>
        <v xml:space="preserve"> </v>
      </c>
      <c r="AP786" s="16" t="str">
        <f t="shared" si="269"/>
        <v>-</v>
      </c>
      <c r="AQ786" s="8"/>
      <c r="AR786" s="17" t="str">
        <f t="shared" si="270"/>
        <v>-</v>
      </c>
      <c r="AS786" s="17" t="str">
        <f t="shared" si="271"/>
        <v>-</v>
      </c>
      <c r="AT786" s="13" t="str">
        <f t="shared" si="272"/>
        <v>-</v>
      </c>
      <c r="AU786" s="8"/>
    </row>
    <row r="787" spans="1:47" x14ac:dyDescent="0.25">
      <c r="A787" s="31"/>
      <c r="B787" s="31"/>
      <c r="C787"/>
      <c r="D787" s="31"/>
      <c r="E787"/>
      <c r="F787" s="31"/>
      <c r="G787"/>
      <c r="H787" s="27">
        <f>IF($G787&lt;&gt;0,SUMIF(куб!$G:$G,$G787,куб!H:H),IF($E787&lt;&gt;0,SUMIF(куб!$E:$E,$E787,куб!H:H),IF($D787&lt;&gt;0,SUMIF(куб!$D:$D,$D787,куб!H:H),IF($C787&lt;&gt;0,SUMIF(куб!$C:$C,$C787,куб!H:H),IF($B787&lt;&gt;0,SUMIF(куб!$B:$B,$B787,куб!H:H),IF($G787&lt;&gt;0,SUMIF(куб!$A:$A,$G787,куб!H:H),SUMIF(куб!$A:$A,$G787,куб!H:H)))))))</f>
        <v>0</v>
      </c>
      <c r="I787" s="27">
        <f>IF($G787&lt;&gt;0,SUMIF(куб!$G:$G,$G787,куб!I:I),IF($E787&lt;&gt;0,SUMIF(куб!$E:$E,$E787,куб!I:I),IF($D787&lt;&gt;0,SUMIF(куб!$D:$D,$D787,куб!I:I),IF($C787&lt;&gt;0,SUMIF(куб!$C:$C,$C787,куб!I:I),IF($B787&lt;&gt;0,SUMIF(куб!$B:$B,$B787,куб!I:I),IF($G787&lt;&gt;0,SUMIF(куб!$A:$A,$G787,куб!I:I),SUMIF(куб!$A:$A,$G787,куб!I:I)))))))</f>
        <v>0</v>
      </c>
      <c r="J787" s="19" t="str">
        <f t="shared" si="255"/>
        <v>-</v>
      </c>
      <c r="K787" s="8"/>
      <c r="L787" s="17">
        <f t="shared" si="256"/>
        <v>0</v>
      </c>
      <c r="M787" s="17">
        <f t="shared" si="257"/>
        <v>0</v>
      </c>
      <c r="N787" s="12">
        <f t="shared" si="258"/>
        <v>0</v>
      </c>
      <c r="O787" s="5"/>
      <c r="P787" s="27" t="b">
        <f>IF($G787&lt;&gt;0,SUMIF(куб!$G:$G,$G787,куб!J:J),IF($E787&lt;&gt;0,SUMIF(куб!$E:$E,$E787,куб!J:J),IF($D787&lt;&gt;0,SUMIF(куб!$D:$D,$D787,куб!J:J),IF($C787&lt;&gt;0,SUMIF(куб!$C:$C,$C787,куб!J:J),IF($B787&lt;&gt;0,SUMIF(куб!$B:$B,$B787,куб!J:J))))))</f>
        <v>0</v>
      </c>
      <c r="Q787" s="27" t="b">
        <f>IF($G787&lt;&gt;0,SUMIF(куб!$G:$G,$G787,куб!K:K),IF($E787&lt;&gt;0,SUMIF(куб!$E:$E,$E787,куб!K:K),IF($D787&lt;&gt;0,SUMIF(куб!$D:$D,$D787,куб!K:K),IF($C787&lt;&gt;0,SUMIF(куб!$C:$C,$C787,куб!K:K),IF($B787&lt;&gt;0,SUMIF(куб!$B:$B,$B787,куб!K:K))))))</f>
        <v>0</v>
      </c>
      <c r="R787" s="13" t="str">
        <f t="shared" si="259"/>
        <v>-</v>
      </c>
      <c r="S787" s="5"/>
      <c r="T787" s="27" t="b">
        <f>IF($G787&lt;&gt;0,SUMIF(куб!$G:$G,$G787,куб!L:L),IF($E787&lt;&gt;0,SUMIF(куб!$E:$E,$E787,куб!L:L),IF($D787&lt;&gt;0,SUMIF(куб!$D:$D,$D787,куб!L:L),IF($C787&lt;&gt;0,SUMIF(куб!$C:$C,$C787,куб!L:L),IF($B787&lt;&gt;0,SUMIF(куб!$B:$B,$B787,куб!L:L))))))</f>
        <v>0</v>
      </c>
      <c r="U787" s="27" t="b">
        <f>IF($G787&lt;&gt;0,SUMIF(куб!$G:$G,$G787,куб!M:M),IF($E787&lt;&gt;0,SUMIF(куб!$E:$E,$E787,куб!M:M),IF($D787&lt;&gt;0,SUMIF(куб!$D:$D,$D787,куб!M:M),IF($C787&lt;&gt;0,SUMIF(куб!$C:$C,$C787,куб!M:M),IF($B787&lt;&gt;0,SUMIF(куб!$B:$B,$B787,куб!M:M))))))</f>
        <v>0</v>
      </c>
      <c r="V787" s="13" t="str">
        <f t="shared" si="260"/>
        <v>-</v>
      </c>
      <c r="W787" s="5"/>
      <c r="X787" s="27" t="b">
        <f>IF($G787&lt;&gt;0,SUMIF(куб!$G:$G,$G787,куб!N:N),IF($E787&lt;&gt;0,SUMIF(куб!$E:$E,$E787,куб!N:N),IF($D787&lt;&gt;0,SUMIF(куб!$D:$D,$D787,куб!N:N),IF($C787&lt;&gt;0,SUMIF(куб!$C:$C,$C787,куб!N:N),IF($B787&lt;&gt;0,SUMIF(куб!$B:$B,$B787,куб!N:N))))))</f>
        <v>0</v>
      </c>
      <c r="Y787" s="27" t="b">
        <f>IF($G787&lt;&gt;0,SUMIF(куб!$G:$G,$G787,куб!O:O),IF($E787&lt;&gt;0,SUMIF(куб!$E:$E,$E787,куб!O:O),IF($D787&lt;&gt;0,SUMIF(куб!$D:$D,$D787,куб!O:O),IF($C787&lt;&gt;0,SUMIF(куб!$C:$C,$C787,куб!O:O),IF($B787&lt;&gt;0,SUMIF(куб!$B:$B,$B787,куб!O:O))))))</f>
        <v>0</v>
      </c>
      <c r="Z787" s="13" t="str">
        <f t="shared" si="261"/>
        <v>-</v>
      </c>
      <c r="AA787" s="5"/>
      <c r="AB787" s="33" t="str">
        <f t="shared" si="262"/>
        <v/>
      </c>
      <c r="AC787" s="33" t="str">
        <f t="shared" si="263"/>
        <v/>
      </c>
      <c r="AD787" s="15" t="str">
        <f t="shared" si="264"/>
        <v xml:space="preserve"> </v>
      </c>
      <c r="AE787" s="5"/>
      <c r="AF787" s="27" t="b">
        <f>IF($G787&lt;&gt;0,SUMIF(куб!$G:$G,$G787,куб!R:R),IF($E787&lt;&gt;0,SUMIF(куб!$E:$E,$E787,куб!R:R),IF($D787&lt;&gt;0,SUMIF(куб!$D:$D,$D787,куб!R:R),IF($C787&lt;&gt;0,SUMIF(куб!$C:$C,$C787,куб!R:R),IF($B787&lt;&gt;0,SUMIF(куб!$B:$B,$B787,куб!R:R))))))</f>
        <v>0</v>
      </c>
      <c r="AG787" s="27" t="b">
        <f>IF($G787&lt;&gt;0,SUMIF(куб!$G:$G,$G787,куб!S:S),IF($E787&lt;&gt;0,SUMIF(куб!$E:$E,$E787,куб!S:S),IF($D787&lt;&gt;0,SUMIF(куб!$D:$D,$D787,куб!S:S),IF($C787&lt;&gt;0,SUMIF(куб!$C:$C,$C787,куб!S:S),IF($B787&lt;&gt;0,SUMIF(куб!$B:$B,$B787,куб!S:S))))))</f>
        <v>0</v>
      </c>
      <c r="AH787" s="16" t="str">
        <f t="shared" si="265"/>
        <v>-</v>
      </c>
      <c r="AI787" s="8"/>
      <c r="AJ787" s="27" t="b">
        <f>IF($G787&lt;&gt;0,SUMIF(куб!$G:$G,$G787,куб!T:T),IF($E787&lt;&gt;0,SUMIF(куб!$E:$E,$E787,куб!T:T),IF($D787&lt;&gt;0,SUMIF(куб!$D:$D,$D787,куб!T:T),IF($C787&lt;&gt;0,SUMIF(куб!$C:$C,$C787,куб!T:T),IF($B787&lt;&gt;0,SUMIF(куб!$B:$B,$B787,куб!T:T))))))</f>
        <v>0</v>
      </c>
      <c r="AK787" s="27" t="b">
        <f>IF($G787&lt;&gt;0,SUMIF(куб!$G:$G,$G787,куб!U:U),IF($E787&lt;&gt;0,SUMIF(куб!$E:$E,$E787,куб!U:U),IF($D787&lt;&gt;0,SUMIF(куб!$D:$D,$D787,куб!U:U),IF($C787&lt;&gt;0,SUMIF(куб!$C:$C,$C787,куб!U:U),IF($B787&lt;&gt;0,SUMIF(куб!$B:$B,$B787,куб!U:U))))))</f>
        <v>0</v>
      </c>
      <c r="AL787" s="16" t="str">
        <f t="shared" si="266"/>
        <v>-</v>
      </c>
      <c r="AM787" s="8"/>
      <c r="AN787" s="17" t="str">
        <f t="shared" si="267"/>
        <v xml:space="preserve"> </v>
      </c>
      <c r="AO787" s="17" t="str">
        <f t="shared" si="268"/>
        <v xml:space="preserve"> </v>
      </c>
      <c r="AP787" s="16" t="str">
        <f t="shared" si="269"/>
        <v>-</v>
      </c>
      <c r="AQ787" s="8"/>
      <c r="AR787" s="17" t="str">
        <f t="shared" si="270"/>
        <v>-</v>
      </c>
      <c r="AS787" s="17" t="str">
        <f t="shared" si="271"/>
        <v>-</v>
      </c>
      <c r="AT787" s="13" t="str">
        <f t="shared" si="272"/>
        <v>-</v>
      </c>
      <c r="AU787" s="8"/>
    </row>
    <row r="788" spans="1:47" x14ac:dyDescent="0.25">
      <c r="A788" s="31"/>
      <c r="B788" s="31"/>
      <c r="C788"/>
      <c r="D788" s="31"/>
      <c r="E788"/>
      <c r="F788"/>
      <c r="G788"/>
      <c r="H788" s="27">
        <f>IF($G788&lt;&gt;0,SUMIF(куб!$G:$G,$G788,куб!H:H),IF($E788&lt;&gt;0,SUMIF(куб!$E:$E,$E788,куб!H:H),IF($D788&lt;&gt;0,SUMIF(куб!$D:$D,$D788,куб!H:H),IF($C788&lt;&gt;0,SUMIF(куб!$C:$C,$C788,куб!H:H),IF($B788&lt;&gt;0,SUMIF(куб!$B:$B,$B788,куб!H:H),IF($G788&lt;&gt;0,SUMIF(куб!$A:$A,$G788,куб!H:H),SUMIF(куб!$A:$A,$G788,куб!H:H)))))))</f>
        <v>0</v>
      </c>
      <c r="I788" s="27">
        <f>IF($G788&lt;&gt;0,SUMIF(куб!$G:$G,$G788,куб!I:I),IF($E788&lt;&gt;0,SUMIF(куб!$E:$E,$E788,куб!I:I),IF($D788&lt;&gt;0,SUMIF(куб!$D:$D,$D788,куб!I:I),IF($C788&lt;&gt;0,SUMIF(куб!$C:$C,$C788,куб!I:I),IF($B788&lt;&gt;0,SUMIF(куб!$B:$B,$B788,куб!I:I),IF($G788&lt;&gt;0,SUMIF(куб!$A:$A,$G788,куб!I:I),SUMIF(куб!$A:$A,$G788,куб!I:I)))))))</f>
        <v>0</v>
      </c>
      <c r="J788" s="19" t="str">
        <f t="shared" si="255"/>
        <v>-</v>
      </c>
      <c r="K788" s="8"/>
      <c r="L788" s="17">
        <f t="shared" si="256"/>
        <v>0</v>
      </c>
      <c r="M788" s="17">
        <f t="shared" si="257"/>
        <v>0</v>
      </c>
      <c r="N788" s="12">
        <f t="shared" si="258"/>
        <v>0</v>
      </c>
      <c r="O788" s="5"/>
      <c r="P788" s="27" t="b">
        <f>IF($G788&lt;&gt;0,SUMIF(куб!$G:$G,$G788,куб!J:J),IF($E788&lt;&gt;0,SUMIF(куб!$E:$E,$E788,куб!J:J),IF($D788&lt;&gt;0,SUMIF(куб!$D:$D,$D788,куб!J:J),IF($C788&lt;&gt;0,SUMIF(куб!$C:$C,$C788,куб!J:J),IF($B788&lt;&gt;0,SUMIF(куб!$B:$B,$B788,куб!J:J))))))</f>
        <v>0</v>
      </c>
      <c r="Q788" s="27" t="b">
        <f>IF($G788&lt;&gt;0,SUMIF(куб!$G:$G,$G788,куб!K:K),IF($E788&lt;&gt;0,SUMIF(куб!$E:$E,$E788,куб!K:K),IF($D788&lt;&gt;0,SUMIF(куб!$D:$D,$D788,куб!K:K),IF($C788&lt;&gt;0,SUMIF(куб!$C:$C,$C788,куб!K:K),IF($B788&lt;&gt;0,SUMIF(куб!$B:$B,$B788,куб!K:K))))))</f>
        <v>0</v>
      </c>
      <c r="R788" s="13" t="str">
        <f t="shared" si="259"/>
        <v>-</v>
      </c>
      <c r="S788" s="5"/>
      <c r="T788" s="27" t="b">
        <f>IF($G788&lt;&gt;0,SUMIF(куб!$G:$G,$G788,куб!L:L),IF($E788&lt;&gt;0,SUMIF(куб!$E:$E,$E788,куб!L:L),IF($D788&lt;&gt;0,SUMIF(куб!$D:$D,$D788,куб!L:L),IF($C788&lt;&gt;0,SUMIF(куб!$C:$C,$C788,куб!L:L),IF($B788&lt;&gt;0,SUMIF(куб!$B:$B,$B788,куб!L:L))))))</f>
        <v>0</v>
      </c>
      <c r="U788" s="27" t="b">
        <f>IF($G788&lt;&gt;0,SUMIF(куб!$G:$G,$G788,куб!M:M),IF($E788&lt;&gt;0,SUMIF(куб!$E:$E,$E788,куб!M:M),IF($D788&lt;&gt;0,SUMIF(куб!$D:$D,$D788,куб!M:M),IF($C788&lt;&gt;0,SUMIF(куб!$C:$C,$C788,куб!M:M),IF($B788&lt;&gt;0,SUMIF(куб!$B:$B,$B788,куб!M:M))))))</f>
        <v>0</v>
      </c>
      <c r="V788" s="13" t="str">
        <f t="shared" si="260"/>
        <v>-</v>
      </c>
      <c r="W788" s="5"/>
      <c r="X788" s="27" t="b">
        <f>IF($G788&lt;&gt;0,SUMIF(куб!$G:$G,$G788,куб!N:N),IF($E788&lt;&gt;0,SUMIF(куб!$E:$E,$E788,куб!N:N),IF($D788&lt;&gt;0,SUMIF(куб!$D:$D,$D788,куб!N:N),IF($C788&lt;&gt;0,SUMIF(куб!$C:$C,$C788,куб!N:N),IF($B788&lt;&gt;0,SUMIF(куб!$B:$B,$B788,куб!N:N))))))</f>
        <v>0</v>
      </c>
      <c r="Y788" s="27" t="b">
        <f>IF($G788&lt;&gt;0,SUMIF(куб!$G:$G,$G788,куб!O:O),IF($E788&lt;&gt;0,SUMIF(куб!$E:$E,$E788,куб!O:O),IF($D788&lt;&gt;0,SUMIF(куб!$D:$D,$D788,куб!O:O),IF($C788&lt;&gt;0,SUMIF(куб!$C:$C,$C788,куб!O:O),IF($B788&lt;&gt;0,SUMIF(куб!$B:$B,$B788,куб!O:O))))))</f>
        <v>0</v>
      </c>
      <c r="Z788" s="13" t="str">
        <f t="shared" si="261"/>
        <v>-</v>
      </c>
      <c r="AA788" s="5"/>
      <c r="AB788" s="33" t="str">
        <f t="shared" si="262"/>
        <v/>
      </c>
      <c r="AC788" s="33" t="str">
        <f t="shared" si="263"/>
        <v/>
      </c>
      <c r="AD788" s="15" t="str">
        <f t="shared" si="264"/>
        <v xml:space="preserve"> </v>
      </c>
      <c r="AE788" s="5"/>
      <c r="AF788" s="27" t="b">
        <f>IF($G788&lt;&gt;0,SUMIF(куб!$G:$G,$G788,куб!R:R),IF($E788&lt;&gt;0,SUMIF(куб!$E:$E,$E788,куб!R:R),IF($D788&lt;&gt;0,SUMIF(куб!$D:$D,$D788,куб!R:R),IF($C788&lt;&gt;0,SUMIF(куб!$C:$C,$C788,куб!R:R),IF($B788&lt;&gt;0,SUMIF(куб!$B:$B,$B788,куб!R:R))))))</f>
        <v>0</v>
      </c>
      <c r="AG788" s="27" t="b">
        <f>IF($G788&lt;&gt;0,SUMIF(куб!$G:$G,$G788,куб!S:S),IF($E788&lt;&gt;0,SUMIF(куб!$E:$E,$E788,куб!S:S),IF($D788&lt;&gt;0,SUMIF(куб!$D:$D,$D788,куб!S:S),IF($C788&lt;&gt;0,SUMIF(куб!$C:$C,$C788,куб!S:S),IF($B788&lt;&gt;0,SUMIF(куб!$B:$B,$B788,куб!S:S))))))</f>
        <v>0</v>
      </c>
      <c r="AH788" s="16" t="str">
        <f t="shared" si="265"/>
        <v>-</v>
      </c>
      <c r="AI788" s="8"/>
      <c r="AJ788" s="27" t="b">
        <f>IF($G788&lt;&gt;0,SUMIF(куб!$G:$G,$G788,куб!T:T),IF($E788&lt;&gt;0,SUMIF(куб!$E:$E,$E788,куб!T:T),IF($D788&lt;&gt;0,SUMIF(куб!$D:$D,$D788,куб!T:T),IF($C788&lt;&gt;0,SUMIF(куб!$C:$C,$C788,куб!T:T),IF($B788&lt;&gt;0,SUMIF(куб!$B:$B,$B788,куб!T:T))))))</f>
        <v>0</v>
      </c>
      <c r="AK788" s="27" t="b">
        <f>IF($G788&lt;&gt;0,SUMIF(куб!$G:$G,$G788,куб!U:U),IF($E788&lt;&gt;0,SUMIF(куб!$E:$E,$E788,куб!U:U),IF($D788&lt;&gt;0,SUMIF(куб!$D:$D,$D788,куб!U:U),IF($C788&lt;&gt;0,SUMIF(куб!$C:$C,$C788,куб!U:U),IF($B788&lt;&gt;0,SUMIF(куб!$B:$B,$B788,куб!U:U))))))</f>
        <v>0</v>
      </c>
      <c r="AL788" s="16" t="str">
        <f t="shared" si="266"/>
        <v>-</v>
      </c>
      <c r="AM788" s="8"/>
      <c r="AN788" s="17" t="str">
        <f t="shared" si="267"/>
        <v xml:space="preserve"> </v>
      </c>
      <c r="AO788" s="17" t="str">
        <f t="shared" si="268"/>
        <v xml:space="preserve"> </v>
      </c>
      <c r="AP788" s="16" t="str">
        <f t="shared" si="269"/>
        <v>-</v>
      </c>
      <c r="AQ788" s="8"/>
      <c r="AR788" s="17" t="str">
        <f t="shared" si="270"/>
        <v>-</v>
      </c>
      <c r="AS788" s="17" t="str">
        <f t="shared" si="271"/>
        <v>-</v>
      </c>
      <c r="AT788" s="13" t="str">
        <f t="shared" si="272"/>
        <v>-</v>
      </c>
      <c r="AU788" s="8"/>
    </row>
    <row r="789" spans="1:47" x14ac:dyDescent="0.25">
      <c r="A789" s="31"/>
      <c r="B789" s="31"/>
      <c r="C789"/>
      <c r="D789" s="31"/>
      <c r="E789" s="31"/>
      <c r="F789" s="31"/>
      <c r="G789" s="31"/>
      <c r="H789" s="27">
        <f>IF($G789&lt;&gt;0,SUMIF(куб!$G:$G,$G789,куб!H:H),IF($E789&lt;&gt;0,SUMIF(куб!$E:$E,$E789,куб!H:H),IF($D789&lt;&gt;0,SUMIF(куб!$D:$D,$D789,куб!H:H),IF($C789&lt;&gt;0,SUMIF(куб!$C:$C,$C789,куб!H:H),IF($B789&lt;&gt;0,SUMIF(куб!$B:$B,$B789,куб!H:H),IF($G789&lt;&gt;0,SUMIF(куб!$A:$A,$G789,куб!H:H),SUMIF(куб!$A:$A,$G789,куб!H:H)))))))</f>
        <v>0</v>
      </c>
      <c r="I789" s="27">
        <f>IF($G789&lt;&gt;0,SUMIF(куб!$G:$G,$G789,куб!I:I),IF($E789&lt;&gt;0,SUMIF(куб!$E:$E,$E789,куб!I:I),IF($D789&lt;&gt;0,SUMIF(куб!$D:$D,$D789,куб!I:I),IF($C789&lt;&gt;0,SUMIF(куб!$C:$C,$C789,куб!I:I),IF($B789&lt;&gt;0,SUMIF(куб!$B:$B,$B789,куб!I:I),IF($G789&lt;&gt;0,SUMIF(куб!$A:$A,$G789,куб!I:I),SUMIF(куб!$A:$A,$G789,куб!I:I)))))))</f>
        <v>0</v>
      </c>
      <c r="J789" s="19" t="str">
        <f t="shared" si="255"/>
        <v>-</v>
      </c>
      <c r="K789" s="8"/>
      <c r="L789" s="17">
        <f t="shared" si="256"/>
        <v>0</v>
      </c>
      <c r="M789" s="17">
        <f t="shared" si="257"/>
        <v>0</v>
      </c>
      <c r="N789" s="12">
        <f t="shared" si="258"/>
        <v>0</v>
      </c>
      <c r="O789" s="5"/>
      <c r="P789" s="27" t="b">
        <f>IF($G789&lt;&gt;0,SUMIF(куб!$G:$G,$G789,куб!J:J),IF($E789&lt;&gt;0,SUMIF(куб!$E:$E,$E789,куб!J:J),IF($D789&lt;&gt;0,SUMIF(куб!$D:$D,$D789,куб!J:J),IF($C789&lt;&gt;0,SUMIF(куб!$C:$C,$C789,куб!J:J),IF($B789&lt;&gt;0,SUMIF(куб!$B:$B,$B789,куб!J:J))))))</f>
        <v>0</v>
      </c>
      <c r="Q789" s="27" t="b">
        <f>IF($G789&lt;&gt;0,SUMIF(куб!$G:$G,$G789,куб!K:K),IF($E789&lt;&gt;0,SUMIF(куб!$E:$E,$E789,куб!K:K),IF($D789&lt;&gt;0,SUMIF(куб!$D:$D,$D789,куб!K:K),IF($C789&lt;&gt;0,SUMIF(куб!$C:$C,$C789,куб!K:K),IF($B789&lt;&gt;0,SUMIF(куб!$B:$B,$B789,куб!K:K))))))</f>
        <v>0</v>
      </c>
      <c r="R789" s="13" t="str">
        <f t="shared" si="259"/>
        <v>-</v>
      </c>
      <c r="S789" s="5"/>
      <c r="T789" s="27" t="b">
        <f>IF($G789&lt;&gt;0,SUMIF(куб!$G:$G,$G789,куб!L:L),IF($E789&lt;&gt;0,SUMIF(куб!$E:$E,$E789,куб!L:L),IF($D789&lt;&gt;0,SUMIF(куб!$D:$D,$D789,куб!L:L),IF($C789&lt;&gt;0,SUMIF(куб!$C:$C,$C789,куб!L:L),IF($B789&lt;&gt;0,SUMIF(куб!$B:$B,$B789,куб!L:L))))))</f>
        <v>0</v>
      </c>
      <c r="U789" s="27" t="b">
        <f>IF($G789&lt;&gt;0,SUMIF(куб!$G:$G,$G789,куб!M:M),IF($E789&lt;&gt;0,SUMIF(куб!$E:$E,$E789,куб!M:M),IF($D789&lt;&gt;0,SUMIF(куб!$D:$D,$D789,куб!M:M),IF($C789&lt;&gt;0,SUMIF(куб!$C:$C,$C789,куб!M:M),IF($B789&lt;&gt;0,SUMIF(куб!$B:$B,$B789,куб!M:M))))))</f>
        <v>0</v>
      </c>
      <c r="V789" s="13" t="str">
        <f t="shared" si="260"/>
        <v>-</v>
      </c>
      <c r="W789" s="5"/>
      <c r="X789" s="27" t="b">
        <f>IF($G789&lt;&gt;0,SUMIF(куб!$G:$G,$G789,куб!N:N),IF($E789&lt;&gt;0,SUMIF(куб!$E:$E,$E789,куб!N:N),IF($D789&lt;&gt;0,SUMIF(куб!$D:$D,$D789,куб!N:N),IF($C789&lt;&gt;0,SUMIF(куб!$C:$C,$C789,куб!N:N),IF($B789&lt;&gt;0,SUMIF(куб!$B:$B,$B789,куб!N:N))))))</f>
        <v>0</v>
      </c>
      <c r="Y789" s="27" t="b">
        <f>IF($G789&lt;&gt;0,SUMIF(куб!$G:$G,$G789,куб!O:O),IF($E789&lt;&gt;0,SUMIF(куб!$E:$E,$E789,куб!O:O),IF($D789&lt;&gt;0,SUMIF(куб!$D:$D,$D789,куб!O:O),IF($C789&lt;&gt;0,SUMIF(куб!$C:$C,$C789,куб!O:O),IF($B789&lt;&gt;0,SUMIF(куб!$B:$B,$B789,куб!O:O))))))</f>
        <v>0</v>
      </c>
      <c r="Z789" s="13" t="str">
        <f t="shared" si="261"/>
        <v>-</v>
      </c>
      <c r="AA789" s="5"/>
      <c r="AB789" s="33" t="str">
        <f t="shared" si="262"/>
        <v/>
      </c>
      <c r="AC789" s="33" t="str">
        <f t="shared" si="263"/>
        <v/>
      </c>
      <c r="AD789" s="15" t="str">
        <f t="shared" si="264"/>
        <v xml:space="preserve"> </v>
      </c>
      <c r="AE789" s="5"/>
      <c r="AF789" s="27" t="b">
        <f>IF($G789&lt;&gt;0,SUMIF(куб!$G:$G,$G789,куб!R:R),IF($E789&lt;&gt;0,SUMIF(куб!$E:$E,$E789,куб!R:R),IF($D789&lt;&gt;0,SUMIF(куб!$D:$D,$D789,куб!R:R),IF($C789&lt;&gt;0,SUMIF(куб!$C:$C,$C789,куб!R:R),IF($B789&lt;&gt;0,SUMIF(куб!$B:$B,$B789,куб!R:R))))))</f>
        <v>0</v>
      </c>
      <c r="AG789" s="27" t="b">
        <f>IF($G789&lt;&gt;0,SUMIF(куб!$G:$G,$G789,куб!S:S),IF($E789&lt;&gt;0,SUMIF(куб!$E:$E,$E789,куб!S:S),IF($D789&lt;&gt;0,SUMIF(куб!$D:$D,$D789,куб!S:S),IF($C789&lt;&gt;0,SUMIF(куб!$C:$C,$C789,куб!S:S),IF($B789&lt;&gt;0,SUMIF(куб!$B:$B,$B789,куб!S:S))))))</f>
        <v>0</v>
      </c>
      <c r="AH789" s="16" t="str">
        <f t="shared" si="265"/>
        <v>-</v>
      </c>
      <c r="AI789" s="8"/>
      <c r="AJ789" s="27" t="b">
        <f>IF($G789&lt;&gt;0,SUMIF(куб!$G:$G,$G789,куб!T:T),IF($E789&lt;&gt;0,SUMIF(куб!$E:$E,$E789,куб!T:T),IF($D789&lt;&gt;0,SUMIF(куб!$D:$D,$D789,куб!T:T),IF($C789&lt;&gt;0,SUMIF(куб!$C:$C,$C789,куб!T:T),IF($B789&lt;&gt;0,SUMIF(куб!$B:$B,$B789,куб!T:T))))))</f>
        <v>0</v>
      </c>
      <c r="AK789" s="27" t="b">
        <f>IF($G789&lt;&gt;0,SUMIF(куб!$G:$G,$G789,куб!U:U),IF($E789&lt;&gt;0,SUMIF(куб!$E:$E,$E789,куб!U:U),IF($D789&lt;&gt;0,SUMIF(куб!$D:$D,$D789,куб!U:U),IF($C789&lt;&gt;0,SUMIF(куб!$C:$C,$C789,куб!U:U),IF($B789&lt;&gt;0,SUMIF(куб!$B:$B,$B789,куб!U:U))))))</f>
        <v>0</v>
      </c>
      <c r="AL789" s="16" t="str">
        <f t="shared" si="266"/>
        <v>-</v>
      </c>
      <c r="AM789" s="8"/>
      <c r="AN789" s="17" t="str">
        <f t="shared" si="267"/>
        <v xml:space="preserve"> </v>
      </c>
      <c r="AO789" s="17" t="str">
        <f t="shared" si="268"/>
        <v xml:space="preserve"> </v>
      </c>
      <c r="AP789" s="16" t="str">
        <f t="shared" si="269"/>
        <v>-</v>
      </c>
      <c r="AQ789" s="8"/>
      <c r="AR789" s="17" t="str">
        <f t="shared" si="270"/>
        <v>-</v>
      </c>
      <c r="AS789" s="17" t="str">
        <f t="shared" si="271"/>
        <v>-</v>
      </c>
      <c r="AT789" s="13" t="str">
        <f t="shared" si="272"/>
        <v>-</v>
      </c>
      <c r="AU789" s="8"/>
    </row>
    <row r="790" spans="1:47" x14ac:dyDescent="0.25">
      <c r="A790" s="31"/>
      <c r="B790" s="31"/>
      <c r="C790"/>
      <c r="D790" s="31"/>
      <c r="E790"/>
      <c r="F790" s="31"/>
      <c r="G790"/>
      <c r="H790" s="27">
        <f>IF($G790&lt;&gt;0,SUMIF(куб!$G:$G,$G790,куб!H:H),IF($E790&lt;&gt;0,SUMIF(куб!$E:$E,$E790,куб!H:H),IF($D790&lt;&gt;0,SUMIF(куб!$D:$D,$D790,куб!H:H),IF($C790&lt;&gt;0,SUMIF(куб!$C:$C,$C790,куб!H:H),IF($B790&lt;&gt;0,SUMIF(куб!$B:$B,$B790,куб!H:H),IF($G790&lt;&gt;0,SUMIF(куб!$A:$A,$G790,куб!H:H),SUMIF(куб!$A:$A,$G790,куб!H:H)))))))</f>
        <v>0</v>
      </c>
      <c r="I790" s="27">
        <f>IF($G790&lt;&gt;0,SUMIF(куб!$G:$G,$G790,куб!I:I),IF($E790&lt;&gt;0,SUMIF(куб!$E:$E,$E790,куб!I:I),IF($D790&lt;&gt;0,SUMIF(куб!$D:$D,$D790,куб!I:I),IF($C790&lt;&gt;0,SUMIF(куб!$C:$C,$C790,куб!I:I),IF($B790&lt;&gt;0,SUMIF(куб!$B:$B,$B790,куб!I:I),IF($G790&lt;&gt;0,SUMIF(куб!$A:$A,$G790,куб!I:I),SUMIF(куб!$A:$A,$G790,куб!I:I)))))))</f>
        <v>0</v>
      </c>
      <c r="J790" s="19" t="str">
        <f t="shared" si="255"/>
        <v>-</v>
      </c>
      <c r="K790" s="8"/>
      <c r="L790" s="17">
        <f t="shared" si="256"/>
        <v>0</v>
      </c>
      <c r="M790" s="17">
        <f t="shared" si="257"/>
        <v>0</v>
      </c>
      <c r="N790" s="12">
        <f t="shared" si="258"/>
        <v>0</v>
      </c>
      <c r="O790" s="5"/>
      <c r="P790" s="27" t="b">
        <f>IF($G790&lt;&gt;0,SUMIF(куб!$G:$G,$G790,куб!J:J),IF($E790&lt;&gt;0,SUMIF(куб!$E:$E,$E790,куб!J:J),IF($D790&lt;&gt;0,SUMIF(куб!$D:$D,$D790,куб!J:J),IF($C790&lt;&gt;0,SUMIF(куб!$C:$C,$C790,куб!J:J),IF($B790&lt;&gt;0,SUMIF(куб!$B:$B,$B790,куб!J:J))))))</f>
        <v>0</v>
      </c>
      <c r="Q790" s="27" t="b">
        <f>IF($G790&lt;&gt;0,SUMIF(куб!$G:$G,$G790,куб!K:K),IF($E790&lt;&gt;0,SUMIF(куб!$E:$E,$E790,куб!K:K),IF($D790&lt;&gt;0,SUMIF(куб!$D:$D,$D790,куб!K:K),IF($C790&lt;&gt;0,SUMIF(куб!$C:$C,$C790,куб!K:K),IF($B790&lt;&gt;0,SUMIF(куб!$B:$B,$B790,куб!K:K))))))</f>
        <v>0</v>
      </c>
      <c r="R790" s="13" t="str">
        <f t="shared" si="259"/>
        <v>-</v>
      </c>
      <c r="S790" s="5"/>
      <c r="T790" s="27" t="b">
        <f>IF($G790&lt;&gt;0,SUMIF(куб!$G:$G,$G790,куб!L:L),IF($E790&lt;&gt;0,SUMIF(куб!$E:$E,$E790,куб!L:L),IF($D790&lt;&gt;0,SUMIF(куб!$D:$D,$D790,куб!L:L),IF($C790&lt;&gt;0,SUMIF(куб!$C:$C,$C790,куб!L:L),IF($B790&lt;&gt;0,SUMIF(куб!$B:$B,$B790,куб!L:L))))))</f>
        <v>0</v>
      </c>
      <c r="U790" s="27" t="b">
        <f>IF($G790&lt;&gt;0,SUMIF(куб!$G:$G,$G790,куб!M:M),IF($E790&lt;&gt;0,SUMIF(куб!$E:$E,$E790,куб!M:M),IF($D790&lt;&gt;0,SUMIF(куб!$D:$D,$D790,куб!M:M),IF($C790&lt;&gt;0,SUMIF(куб!$C:$C,$C790,куб!M:M),IF($B790&lt;&gt;0,SUMIF(куб!$B:$B,$B790,куб!M:M))))))</f>
        <v>0</v>
      </c>
      <c r="V790" s="13" t="str">
        <f t="shared" si="260"/>
        <v>-</v>
      </c>
      <c r="W790" s="5"/>
      <c r="X790" s="27" t="b">
        <f>IF($G790&lt;&gt;0,SUMIF(куб!$G:$G,$G790,куб!N:N),IF($E790&lt;&gt;0,SUMIF(куб!$E:$E,$E790,куб!N:N),IF($D790&lt;&gt;0,SUMIF(куб!$D:$D,$D790,куб!N:N),IF($C790&lt;&gt;0,SUMIF(куб!$C:$C,$C790,куб!N:N),IF($B790&lt;&gt;0,SUMIF(куб!$B:$B,$B790,куб!N:N))))))</f>
        <v>0</v>
      </c>
      <c r="Y790" s="27" t="b">
        <f>IF($G790&lt;&gt;0,SUMIF(куб!$G:$G,$G790,куб!O:O),IF($E790&lt;&gt;0,SUMIF(куб!$E:$E,$E790,куб!O:O),IF($D790&lt;&gt;0,SUMIF(куб!$D:$D,$D790,куб!O:O),IF($C790&lt;&gt;0,SUMIF(куб!$C:$C,$C790,куб!O:O),IF($B790&lt;&gt;0,SUMIF(куб!$B:$B,$B790,куб!O:O))))))</f>
        <v>0</v>
      </c>
      <c r="Z790" s="13" t="str">
        <f t="shared" si="261"/>
        <v>-</v>
      </c>
      <c r="AA790" s="5"/>
      <c r="AB790" s="33" t="str">
        <f t="shared" si="262"/>
        <v/>
      </c>
      <c r="AC790" s="33" t="str">
        <f t="shared" si="263"/>
        <v/>
      </c>
      <c r="AD790" s="15" t="str">
        <f t="shared" si="264"/>
        <v xml:space="preserve"> </v>
      </c>
      <c r="AE790" s="5"/>
      <c r="AF790" s="27" t="b">
        <f>IF($G790&lt;&gt;0,SUMIF(куб!$G:$G,$G790,куб!R:R),IF($E790&lt;&gt;0,SUMIF(куб!$E:$E,$E790,куб!R:R),IF($D790&lt;&gt;0,SUMIF(куб!$D:$D,$D790,куб!R:R),IF($C790&lt;&gt;0,SUMIF(куб!$C:$C,$C790,куб!R:R),IF($B790&lt;&gt;0,SUMIF(куб!$B:$B,$B790,куб!R:R))))))</f>
        <v>0</v>
      </c>
      <c r="AG790" s="27" t="b">
        <f>IF($G790&lt;&gt;0,SUMIF(куб!$G:$G,$G790,куб!S:S),IF($E790&lt;&gt;0,SUMIF(куб!$E:$E,$E790,куб!S:S),IF($D790&lt;&gt;0,SUMIF(куб!$D:$D,$D790,куб!S:S),IF($C790&lt;&gt;0,SUMIF(куб!$C:$C,$C790,куб!S:S),IF($B790&lt;&gt;0,SUMIF(куб!$B:$B,$B790,куб!S:S))))))</f>
        <v>0</v>
      </c>
      <c r="AH790" s="16" t="str">
        <f t="shared" si="265"/>
        <v>-</v>
      </c>
      <c r="AI790" s="8"/>
      <c r="AJ790" s="27" t="b">
        <f>IF($G790&lt;&gt;0,SUMIF(куб!$G:$G,$G790,куб!T:T),IF($E790&lt;&gt;0,SUMIF(куб!$E:$E,$E790,куб!T:T),IF($D790&lt;&gt;0,SUMIF(куб!$D:$D,$D790,куб!T:T),IF($C790&lt;&gt;0,SUMIF(куб!$C:$C,$C790,куб!T:T),IF($B790&lt;&gt;0,SUMIF(куб!$B:$B,$B790,куб!T:T))))))</f>
        <v>0</v>
      </c>
      <c r="AK790" s="27" t="b">
        <f>IF($G790&lt;&gt;0,SUMIF(куб!$G:$G,$G790,куб!U:U),IF($E790&lt;&gt;0,SUMIF(куб!$E:$E,$E790,куб!U:U),IF($D790&lt;&gt;0,SUMIF(куб!$D:$D,$D790,куб!U:U),IF($C790&lt;&gt;0,SUMIF(куб!$C:$C,$C790,куб!U:U),IF($B790&lt;&gt;0,SUMIF(куб!$B:$B,$B790,куб!U:U))))))</f>
        <v>0</v>
      </c>
      <c r="AL790" s="16" t="str">
        <f t="shared" si="266"/>
        <v>-</v>
      </c>
      <c r="AM790" s="8"/>
      <c r="AN790" s="17" t="str">
        <f t="shared" si="267"/>
        <v xml:space="preserve"> </v>
      </c>
      <c r="AO790" s="17" t="str">
        <f t="shared" si="268"/>
        <v xml:space="preserve"> </v>
      </c>
      <c r="AP790" s="16" t="str">
        <f t="shared" si="269"/>
        <v>-</v>
      </c>
      <c r="AQ790" s="8"/>
      <c r="AR790" s="17" t="str">
        <f t="shared" si="270"/>
        <v>-</v>
      </c>
      <c r="AS790" s="17" t="str">
        <f t="shared" si="271"/>
        <v>-</v>
      </c>
      <c r="AT790" s="13" t="str">
        <f t="shared" si="272"/>
        <v>-</v>
      </c>
      <c r="AU790" s="8"/>
    </row>
    <row r="791" spans="1:47" x14ac:dyDescent="0.25">
      <c r="A791" s="31"/>
      <c r="B791" s="31"/>
      <c r="C791"/>
      <c r="D791" s="31"/>
      <c r="E791"/>
      <c r="F791" s="31"/>
      <c r="G791"/>
      <c r="H791" s="27">
        <f>IF($G791&lt;&gt;0,SUMIF(куб!$G:$G,$G791,куб!H:H),IF($E791&lt;&gt;0,SUMIF(куб!$E:$E,$E791,куб!H:H),IF($D791&lt;&gt;0,SUMIF(куб!$D:$D,$D791,куб!H:H),IF($C791&lt;&gt;0,SUMIF(куб!$C:$C,$C791,куб!H:H),IF($B791&lt;&gt;0,SUMIF(куб!$B:$B,$B791,куб!H:H),IF($G791&lt;&gt;0,SUMIF(куб!$A:$A,$G791,куб!H:H),SUMIF(куб!$A:$A,$G791,куб!H:H)))))))</f>
        <v>0</v>
      </c>
      <c r="I791" s="27">
        <f>IF($G791&lt;&gt;0,SUMIF(куб!$G:$G,$G791,куб!I:I),IF($E791&lt;&gt;0,SUMIF(куб!$E:$E,$E791,куб!I:I),IF($D791&lt;&gt;0,SUMIF(куб!$D:$D,$D791,куб!I:I),IF($C791&lt;&gt;0,SUMIF(куб!$C:$C,$C791,куб!I:I),IF($B791&lt;&gt;0,SUMIF(куб!$B:$B,$B791,куб!I:I),IF($G791&lt;&gt;0,SUMIF(куб!$A:$A,$G791,куб!I:I),SUMIF(куб!$A:$A,$G791,куб!I:I)))))))</f>
        <v>0</v>
      </c>
      <c r="J791" s="19" t="str">
        <f t="shared" si="255"/>
        <v>-</v>
      </c>
      <c r="K791" s="8"/>
      <c r="L791" s="17">
        <f t="shared" si="256"/>
        <v>0</v>
      </c>
      <c r="M791" s="17">
        <f t="shared" si="257"/>
        <v>0</v>
      </c>
      <c r="N791" s="12">
        <f t="shared" si="258"/>
        <v>0</v>
      </c>
      <c r="O791" s="5"/>
      <c r="P791" s="27" t="b">
        <f>IF($G791&lt;&gt;0,SUMIF(куб!$G:$G,$G791,куб!J:J),IF($E791&lt;&gt;0,SUMIF(куб!$E:$E,$E791,куб!J:J),IF($D791&lt;&gt;0,SUMIF(куб!$D:$D,$D791,куб!J:J),IF($C791&lt;&gt;0,SUMIF(куб!$C:$C,$C791,куб!J:J),IF($B791&lt;&gt;0,SUMIF(куб!$B:$B,$B791,куб!J:J))))))</f>
        <v>0</v>
      </c>
      <c r="Q791" s="27" t="b">
        <f>IF($G791&lt;&gt;0,SUMIF(куб!$G:$G,$G791,куб!K:K),IF($E791&lt;&gt;0,SUMIF(куб!$E:$E,$E791,куб!K:K),IF($D791&lt;&gt;0,SUMIF(куб!$D:$D,$D791,куб!K:K),IF($C791&lt;&gt;0,SUMIF(куб!$C:$C,$C791,куб!K:K),IF($B791&lt;&gt;0,SUMIF(куб!$B:$B,$B791,куб!K:K))))))</f>
        <v>0</v>
      </c>
      <c r="R791" s="13" t="str">
        <f t="shared" si="259"/>
        <v>-</v>
      </c>
      <c r="S791" s="5"/>
      <c r="T791" s="27" t="b">
        <f>IF($G791&lt;&gt;0,SUMIF(куб!$G:$G,$G791,куб!L:L),IF($E791&lt;&gt;0,SUMIF(куб!$E:$E,$E791,куб!L:L),IF($D791&lt;&gt;0,SUMIF(куб!$D:$D,$D791,куб!L:L),IF($C791&lt;&gt;0,SUMIF(куб!$C:$C,$C791,куб!L:L),IF($B791&lt;&gt;0,SUMIF(куб!$B:$B,$B791,куб!L:L))))))</f>
        <v>0</v>
      </c>
      <c r="U791" s="27" t="b">
        <f>IF($G791&lt;&gt;0,SUMIF(куб!$G:$G,$G791,куб!M:M),IF($E791&lt;&gt;0,SUMIF(куб!$E:$E,$E791,куб!M:M),IF($D791&lt;&gt;0,SUMIF(куб!$D:$D,$D791,куб!M:M),IF($C791&lt;&gt;0,SUMIF(куб!$C:$C,$C791,куб!M:M),IF($B791&lt;&gt;0,SUMIF(куб!$B:$B,$B791,куб!M:M))))))</f>
        <v>0</v>
      </c>
      <c r="V791" s="13" t="str">
        <f t="shared" si="260"/>
        <v>-</v>
      </c>
      <c r="W791" s="5"/>
      <c r="X791" s="27" t="b">
        <f>IF($G791&lt;&gt;0,SUMIF(куб!$G:$G,$G791,куб!N:N),IF($E791&lt;&gt;0,SUMIF(куб!$E:$E,$E791,куб!N:N),IF($D791&lt;&gt;0,SUMIF(куб!$D:$D,$D791,куб!N:N),IF($C791&lt;&gt;0,SUMIF(куб!$C:$C,$C791,куб!N:N),IF($B791&lt;&gt;0,SUMIF(куб!$B:$B,$B791,куб!N:N))))))</f>
        <v>0</v>
      </c>
      <c r="Y791" s="27" t="b">
        <f>IF($G791&lt;&gt;0,SUMIF(куб!$G:$G,$G791,куб!O:O),IF($E791&lt;&gt;0,SUMIF(куб!$E:$E,$E791,куб!O:O),IF($D791&lt;&gt;0,SUMIF(куб!$D:$D,$D791,куб!O:O),IF($C791&lt;&gt;0,SUMIF(куб!$C:$C,$C791,куб!O:O),IF($B791&lt;&gt;0,SUMIF(куб!$B:$B,$B791,куб!O:O))))))</f>
        <v>0</v>
      </c>
      <c r="Z791" s="13" t="str">
        <f t="shared" si="261"/>
        <v>-</v>
      </c>
      <c r="AA791" s="5"/>
      <c r="AB791" s="33" t="str">
        <f t="shared" si="262"/>
        <v/>
      </c>
      <c r="AC791" s="33" t="str">
        <f t="shared" si="263"/>
        <v/>
      </c>
      <c r="AD791" s="15" t="str">
        <f t="shared" si="264"/>
        <v xml:space="preserve"> </v>
      </c>
      <c r="AE791" s="5"/>
      <c r="AF791" s="27" t="b">
        <f>IF($G791&lt;&gt;0,SUMIF(куб!$G:$G,$G791,куб!R:R),IF($E791&lt;&gt;0,SUMIF(куб!$E:$E,$E791,куб!R:R),IF($D791&lt;&gt;0,SUMIF(куб!$D:$D,$D791,куб!R:R),IF($C791&lt;&gt;0,SUMIF(куб!$C:$C,$C791,куб!R:R),IF($B791&lt;&gt;0,SUMIF(куб!$B:$B,$B791,куб!R:R))))))</f>
        <v>0</v>
      </c>
      <c r="AG791" s="27" t="b">
        <f>IF($G791&lt;&gt;0,SUMIF(куб!$G:$G,$G791,куб!S:S),IF($E791&lt;&gt;0,SUMIF(куб!$E:$E,$E791,куб!S:S),IF($D791&lt;&gt;0,SUMIF(куб!$D:$D,$D791,куб!S:S),IF($C791&lt;&gt;0,SUMIF(куб!$C:$C,$C791,куб!S:S),IF($B791&lt;&gt;0,SUMIF(куб!$B:$B,$B791,куб!S:S))))))</f>
        <v>0</v>
      </c>
      <c r="AH791" s="16" t="str">
        <f t="shared" si="265"/>
        <v>-</v>
      </c>
      <c r="AI791" s="8"/>
      <c r="AJ791" s="27" t="b">
        <f>IF($G791&lt;&gt;0,SUMIF(куб!$G:$G,$G791,куб!T:T),IF($E791&lt;&gt;0,SUMIF(куб!$E:$E,$E791,куб!T:T),IF($D791&lt;&gt;0,SUMIF(куб!$D:$D,$D791,куб!T:T),IF($C791&lt;&gt;0,SUMIF(куб!$C:$C,$C791,куб!T:T),IF($B791&lt;&gt;0,SUMIF(куб!$B:$B,$B791,куб!T:T))))))</f>
        <v>0</v>
      </c>
      <c r="AK791" s="27" t="b">
        <f>IF($G791&lt;&gt;0,SUMIF(куб!$G:$G,$G791,куб!U:U),IF($E791&lt;&gt;0,SUMIF(куб!$E:$E,$E791,куб!U:U),IF($D791&lt;&gt;0,SUMIF(куб!$D:$D,$D791,куб!U:U),IF($C791&lt;&gt;0,SUMIF(куб!$C:$C,$C791,куб!U:U),IF($B791&lt;&gt;0,SUMIF(куб!$B:$B,$B791,куб!U:U))))))</f>
        <v>0</v>
      </c>
      <c r="AL791" s="16" t="str">
        <f t="shared" si="266"/>
        <v>-</v>
      </c>
      <c r="AM791" s="8"/>
      <c r="AN791" s="17" t="str">
        <f t="shared" si="267"/>
        <v xml:space="preserve"> </v>
      </c>
      <c r="AO791" s="17" t="str">
        <f t="shared" si="268"/>
        <v xml:space="preserve"> </v>
      </c>
      <c r="AP791" s="16" t="str">
        <f t="shared" si="269"/>
        <v>-</v>
      </c>
      <c r="AQ791" s="8"/>
      <c r="AR791" s="17" t="str">
        <f t="shared" si="270"/>
        <v>-</v>
      </c>
      <c r="AS791" s="17" t="str">
        <f t="shared" si="271"/>
        <v>-</v>
      </c>
      <c r="AT791" s="13" t="str">
        <f t="shared" si="272"/>
        <v>-</v>
      </c>
      <c r="AU791" s="8"/>
    </row>
    <row r="792" spans="1:47" x14ac:dyDescent="0.25">
      <c r="A792" s="31"/>
      <c r="B792" s="31"/>
      <c r="C792"/>
      <c r="D792" s="31"/>
      <c r="E792"/>
      <c r="F792" s="31"/>
      <c r="G792"/>
      <c r="H792" s="27">
        <f>IF($G792&lt;&gt;0,SUMIF(куб!$G:$G,$G792,куб!H:H),IF($E792&lt;&gt;0,SUMIF(куб!$E:$E,$E792,куб!H:H),IF($D792&lt;&gt;0,SUMIF(куб!$D:$D,$D792,куб!H:H),IF($C792&lt;&gt;0,SUMIF(куб!$C:$C,$C792,куб!H:H),IF($B792&lt;&gt;0,SUMIF(куб!$B:$B,$B792,куб!H:H),IF($G792&lt;&gt;0,SUMIF(куб!$A:$A,$G792,куб!H:H),SUMIF(куб!$A:$A,$G792,куб!H:H)))))))</f>
        <v>0</v>
      </c>
      <c r="I792" s="27">
        <f>IF($G792&lt;&gt;0,SUMIF(куб!$G:$G,$G792,куб!I:I),IF($E792&lt;&gt;0,SUMIF(куб!$E:$E,$E792,куб!I:I),IF($D792&lt;&gt;0,SUMIF(куб!$D:$D,$D792,куб!I:I),IF($C792&lt;&gt;0,SUMIF(куб!$C:$C,$C792,куб!I:I),IF($B792&lt;&gt;0,SUMIF(куб!$B:$B,$B792,куб!I:I),IF($G792&lt;&gt;0,SUMIF(куб!$A:$A,$G792,куб!I:I),SUMIF(куб!$A:$A,$G792,куб!I:I)))))))</f>
        <v>0</v>
      </c>
      <c r="J792" s="19" t="str">
        <f t="shared" si="255"/>
        <v>-</v>
      </c>
      <c r="K792" s="8"/>
      <c r="L792" s="17">
        <f t="shared" si="256"/>
        <v>0</v>
      </c>
      <c r="M792" s="17">
        <f t="shared" si="257"/>
        <v>0</v>
      </c>
      <c r="N792" s="12">
        <f t="shared" si="258"/>
        <v>0</v>
      </c>
      <c r="O792" s="5"/>
      <c r="P792" s="27" t="b">
        <f>IF($G792&lt;&gt;0,SUMIF(куб!$G:$G,$G792,куб!J:J),IF($E792&lt;&gt;0,SUMIF(куб!$E:$E,$E792,куб!J:J),IF($D792&lt;&gt;0,SUMIF(куб!$D:$D,$D792,куб!J:J),IF($C792&lt;&gt;0,SUMIF(куб!$C:$C,$C792,куб!J:J),IF($B792&lt;&gt;0,SUMIF(куб!$B:$B,$B792,куб!J:J))))))</f>
        <v>0</v>
      </c>
      <c r="Q792" s="27" t="b">
        <f>IF($G792&lt;&gt;0,SUMIF(куб!$G:$G,$G792,куб!K:K),IF($E792&lt;&gt;0,SUMIF(куб!$E:$E,$E792,куб!K:K),IF($D792&lt;&gt;0,SUMIF(куб!$D:$D,$D792,куб!K:K),IF($C792&lt;&gt;0,SUMIF(куб!$C:$C,$C792,куб!K:K),IF($B792&lt;&gt;0,SUMIF(куб!$B:$B,$B792,куб!K:K))))))</f>
        <v>0</v>
      </c>
      <c r="R792" s="13" t="str">
        <f t="shared" si="259"/>
        <v>-</v>
      </c>
      <c r="S792" s="5"/>
      <c r="T792" s="27" t="b">
        <f>IF($G792&lt;&gt;0,SUMIF(куб!$G:$G,$G792,куб!L:L),IF($E792&lt;&gt;0,SUMIF(куб!$E:$E,$E792,куб!L:L),IF($D792&lt;&gt;0,SUMIF(куб!$D:$D,$D792,куб!L:L),IF($C792&lt;&gt;0,SUMIF(куб!$C:$C,$C792,куб!L:L),IF($B792&lt;&gt;0,SUMIF(куб!$B:$B,$B792,куб!L:L))))))</f>
        <v>0</v>
      </c>
      <c r="U792" s="27" t="b">
        <f>IF($G792&lt;&gt;0,SUMIF(куб!$G:$G,$G792,куб!M:M),IF($E792&lt;&gt;0,SUMIF(куб!$E:$E,$E792,куб!M:M),IF($D792&lt;&gt;0,SUMIF(куб!$D:$D,$D792,куб!M:M),IF($C792&lt;&gt;0,SUMIF(куб!$C:$C,$C792,куб!M:M),IF($B792&lt;&gt;0,SUMIF(куб!$B:$B,$B792,куб!M:M))))))</f>
        <v>0</v>
      </c>
      <c r="V792" s="13" t="str">
        <f t="shared" si="260"/>
        <v>-</v>
      </c>
      <c r="W792" s="5"/>
      <c r="X792" s="27" t="b">
        <f>IF($G792&lt;&gt;0,SUMIF(куб!$G:$G,$G792,куб!N:N),IF($E792&lt;&gt;0,SUMIF(куб!$E:$E,$E792,куб!N:N),IF($D792&lt;&gt;0,SUMIF(куб!$D:$D,$D792,куб!N:N),IF($C792&lt;&gt;0,SUMIF(куб!$C:$C,$C792,куб!N:N),IF($B792&lt;&gt;0,SUMIF(куб!$B:$B,$B792,куб!N:N))))))</f>
        <v>0</v>
      </c>
      <c r="Y792" s="27" t="b">
        <f>IF($G792&lt;&gt;0,SUMIF(куб!$G:$G,$G792,куб!O:O),IF($E792&lt;&gt;0,SUMIF(куб!$E:$E,$E792,куб!O:O),IF($D792&lt;&gt;0,SUMIF(куб!$D:$D,$D792,куб!O:O),IF($C792&lt;&gt;0,SUMIF(куб!$C:$C,$C792,куб!O:O),IF($B792&lt;&gt;0,SUMIF(куб!$B:$B,$B792,куб!O:O))))))</f>
        <v>0</v>
      </c>
      <c r="Z792" s="13" t="str">
        <f t="shared" si="261"/>
        <v>-</v>
      </c>
      <c r="AA792" s="5"/>
      <c r="AB792" s="33" t="str">
        <f t="shared" si="262"/>
        <v/>
      </c>
      <c r="AC792" s="33" t="str">
        <f t="shared" si="263"/>
        <v/>
      </c>
      <c r="AD792" s="15" t="str">
        <f t="shared" si="264"/>
        <v xml:space="preserve"> </v>
      </c>
      <c r="AE792" s="5"/>
      <c r="AF792" s="27" t="b">
        <f>IF($G792&lt;&gt;0,SUMIF(куб!$G:$G,$G792,куб!R:R),IF($E792&lt;&gt;0,SUMIF(куб!$E:$E,$E792,куб!R:R),IF($D792&lt;&gt;0,SUMIF(куб!$D:$D,$D792,куб!R:R),IF($C792&lt;&gt;0,SUMIF(куб!$C:$C,$C792,куб!R:R),IF($B792&lt;&gt;0,SUMIF(куб!$B:$B,$B792,куб!R:R))))))</f>
        <v>0</v>
      </c>
      <c r="AG792" s="27" t="b">
        <f>IF($G792&lt;&gt;0,SUMIF(куб!$G:$G,$G792,куб!S:S),IF($E792&lt;&gt;0,SUMIF(куб!$E:$E,$E792,куб!S:S),IF($D792&lt;&gt;0,SUMIF(куб!$D:$D,$D792,куб!S:S),IF($C792&lt;&gt;0,SUMIF(куб!$C:$C,$C792,куб!S:S),IF($B792&lt;&gt;0,SUMIF(куб!$B:$B,$B792,куб!S:S))))))</f>
        <v>0</v>
      </c>
      <c r="AH792" s="16" t="str">
        <f t="shared" si="265"/>
        <v>-</v>
      </c>
      <c r="AI792" s="8"/>
      <c r="AJ792" s="27" t="b">
        <f>IF($G792&lt;&gt;0,SUMIF(куб!$G:$G,$G792,куб!T:T),IF($E792&lt;&gt;0,SUMIF(куб!$E:$E,$E792,куб!T:T),IF($D792&lt;&gt;0,SUMIF(куб!$D:$D,$D792,куб!T:T),IF($C792&lt;&gt;0,SUMIF(куб!$C:$C,$C792,куб!T:T),IF($B792&lt;&gt;0,SUMIF(куб!$B:$B,$B792,куб!T:T))))))</f>
        <v>0</v>
      </c>
      <c r="AK792" s="27" t="b">
        <f>IF($G792&lt;&gt;0,SUMIF(куб!$G:$G,$G792,куб!U:U),IF($E792&lt;&gt;0,SUMIF(куб!$E:$E,$E792,куб!U:U),IF($D792&lt;&gt;0,SUMIF(куб!$D:$D,$D792,куб!U:U),IF($C792&lt;&gt;0,SUMIF(куб!$C:$C,$C792,куб!U:U),IF($B792&lt;&gt;0,SUMIF(куб!$B:$B,$B792,куб!U:U))))))</f>
        <v>0</v>
      </c>
      <c r="AL792" s="16" t="str">
        <f t="shared" si="266"/>
        <v>-</v>
      </c>
      <c r="AM792" s="8"/>
      <c r="AN792" s="17" t="str">
        <f t="shared" si="267"/>
        <v xml:space="preserve"> </v>
      </c>
      <c r="AO792" s="17" t="str">
        <f t="shared" si="268"/>
        <v xml:space="preserve"> </v>
      </c>
      <c r="AP792" s="16" t="str">
        <f t="shared" si="269"/>
        <v>-</v>
      </c>
      <c r="AQ792" s="8"/>
      <c r="AR792" s="17" t="str">
        <f t="shared" si="270"/>
        <v>-</v>
      </c>
      <c r="AS792" s="17" t="str">
        <f t="shared" si="271"/>
        <v>-</v>
      </c>
      <c r="AT792" s="13" t="str">
        <f t="shared" si="272"/>
        <v>-</v>
      </c>
      <c r="AU792" s="8"/>
    </row>
    <row r="793" spans="1:47" x14ac:dyDescent="0.25">
      <c r="A793" s="31"/>
      <c r="B793" s="31"/>
      <c r="C793"/>
      <c r="D793" s="31"/>
      <c r="E793"/>
      <c r="F793"/>
      <c r="G793"/>
      <c r="H793" s="27">
        <f>IF($G793&lt;&gt;0,SUMIF(куб!$G:$G,$G793,куб!H:H),IF($E793&lt;&gt;0,SUMIF(куб!$E:$E,$E793,куб!H:H),IF($D793&lt;&gt;0,SUMIF(куб!$D:$D,$D793,куб!H:H),IF($C793&lt;&gt;0,SUMIF(куб!$C:$C,$C793,куб!H:H),IF($B793&lt;&gt;0,SUMIF(куб!$B:$B,$B793,куб!H:H),IF($G793&lt;&gt;0,SUMIF(куб!$A:$A,$G793,куб!H:H),SUMIF(куб!$A:$A,$G793,куб!H:H)))))))</f>
        <v>0</v>
      </c>
      <c r="I793" s="27">
        <f>IF($G793&lt;&gt;0,SUMIF(куб!$G:$G,$G793,куб!I:I),IF($E793&lt;&gt;0,SUMIF(куб!$E:$E,$E793,куб!I:I),IF($D793&lt;&gt;0,SUMIF(куб!$D:$D,$D793,куб!I:I),IF($C793&lt;&gt;0,SUMIF(куб!$C:$C,$C793,куб!I:I),IF($B793&lt;&gt;0,SUMIF(куб!$B:$B,$B793,куб!I:I),IF($G793&lt;&gt;0,SUMIF(куб!$A:$A,$G793,куб!I:I),SUMIF(куб!$A:$A,$G793,куб!I:I)))))))</f>
        <v>0</v>
      </c>
      <c r="J793" s="19" t="str">
        <f t="shared" si="255"/>
        <v>-</v>
      </c>
      <c r="K793" s="8"/>
      <c r="L793" s="17">
        <f t="shared" si="256"/>
        <v>0</v>
      </c>
      <c r="M793" s="17">
        <f t="shared" si="257"/>
        <v>0</v>
      </c>
      <c r="N793" s="12">
        <f t="shared" si="258"/>
        <v>0</v>
      </c>
      <c r="O793" s="5"/>
      <c r="P793" s="27" t="b">
        <f>IF($G793&lt;&gt;0,SUMIF(куб!$G:$G,$G793,куб!J:J),IF($E793&lt;&gt;0,SUMIF(куб!$E:$E,$E793,куб!J:J),IF($D793&lt;&gt;0,SUMIF(куб!$D:$D,$D793,куб!J:J),IF($C793&lt;&gt;0,SUMIF(куб!$C:$C,$C793,куб!J:J),IF($B793&lt;&gt;0,SUMIF(куб!$B:$B,$B793,куб!J:J))))))</f>
        <v>0</v>
      </c>
      <c r="Q793" s="27" t="b">
        <f>IF($G793&lt;&gt;0,SUMIF(куб!$G:$G,$G793,куб!K:K),IF($E793&lt;&gt;0,SUMIF(куб!$E:$E,$E793,куб!K:K),IF($D793&lt;&gt;0,SUMIF(куб!$D:$D,$D793,куб!K:K),IF($C793&lt;&gt;0,SUMIF(куб!$C:$C,$C793,куб!K:K),IF($B793&lt;&gt;0,SUMIF(куб!$B:$B,$B793,куб!K:K))))))</f>
        <v>0</v>
      </c>
      <c r="R793" s="13" t="str">
        <f t="shared" si="259"/>
        <v>-</v>
      </c>
      <c r="S793" s="5"/>
      <c r="T793" s="27" t="b">
        <f>IF($G793&lt;&gt;0,SUMIF(куб!$G:$G,$G793,куб!L:L),IF($E793&lt;&gt;0,SUMIF(куб!$E:$E,$E793,куб!L:L),IF($D793&lt;&gt;0,SUMIF(куб!$D:$D,$D793,куб!L:L),IF($C793&lt;&gt;0,SUMIF(куб!$C:$C,$C793,куб!L:L),IF($B793&lt;&gt;0,SUMIF(куб!$B:$B,$B793,куб!L:L))))))</f>
        <v>0</v>
      </c>
      <c r="U793" s="27" t="b">
        <f>IF($G793&lt;&gt;0,SUMIF(куб!$G:$G,$G793,куб!M:M),IF($E793&lt;&gt;0,SUMIF(куб!$E:$E,$E793,куб!M:M),IF($D793&lt;&gt;0,SUMIF(куб!$D:$D,$D793,куб!M:M),IF($C793&lt;&gt;0,SUMIF(куб!$C:$C,$C793,куб!M:M),IF($B793&lt;&gt;0,SUMIF(куб!$B:$B,$B793,куб!M:M))))))</f>
        <v>0</v>
      </c>
      <c r="V793" s="13" t="str">
        <f t="shared" si="260"/>
        <v>-</v>
      </c>
      <c r="W793" s="5"/>
      <c r="X793" s="27" t="b">
        <f>IF($G793&lt;&gt;0,SUMIF(куб!$G:$G,$G793,куб!N:N),IF($E793&lt;&gt;0,SUMIF(куб!$E:$E,$E793,куб!N:N),IF($D793&lt;&gt;0,SUMIF(куб!$D:$D,$D793,куб!N:N),IF($C793&lt;&gt;0,SUMIF(куб!$C:$C,$C793,куб!N:N),IF($B793&lt;&gt;0,SUMIF(куб!$B:$B,$B793,куб!N:N))))))</f>
        <v>0</v>
      </c>
      <c r="Y793" s="27" t="b">
        <f>IF($G793&lt;&gt;0,SUMIF(куб!$G:$G,$G793,куб!O:O),IF($E793&lt;&gt;0,SUMIF(куб!$E:$E,$E793,куб!O:O),IF($D793&lt;&gt;0,SUMIF(куб!$D:$D,$D793,куб!O:O),IF($C793&lt;&gt;0,SUMIF(куб!$C:$C,$C793,куб!O:O),IF($B793&lt;&gt;0,SUMIF(куб!$B:$B,$B793,куб!O:O))))))</f>
        <v>0</v>
      </c>
      <c r="Z793" s="13" t="str">
        <f t="shared" si="261"/>
        <v>-</v>
      </c>
      <c r="AA793" s="5"/>
      <c r="AB793" s="33" t="str">
        <f t="shared" si="262"/>
        <v/>
      </c>
      <c r="AC793" s="33" t="str">
        <f t="shared" si="263"/>
        <v/>
      </c>
      <c r="AD793" s="15" t="str">
        <f t="shared" si="264"/>
        <v xml:space="preserve"> </v>
      </c>
      <c r="AE793" s="5"/>
      <c r="AF793" s="27" t="b">
        <f>IF($G793&lt;&gt;0,SUMIF(куб!$G:$G,$G793,куб!R:R),IF($E793&lt;&gt;0,SUMIF(куб!$E:$E,$E793,куб!R:R),IF($D793&lt;&gt;0,SUMIF(куб!$D:$D,$D793,куб!R:R),IF($C793&lt;&gt;0,SUMIF(куб!$C:$C,$C793,куб!R:R),IF($B793&lt;&gt;0,SUMIF(куб!$B:$B,$B793,куб!R:R))))))</f>
        <v>0</v>
      </c>
      <c r="AG793" s="27" t="b">
        <f>IF($G793&lt;&gt;0,SUMIF(куб!$G:$G,$G793,куб!S:S),IF($E793&lt;&gt;0,SUMIF(куб!$E:$E,$E793,куб!S:S),IF($D793&lt;&gt;0,SUMIF(куб!$D:$D,$D793,куб!S:S),IF($C793&lt;&gt;0,SUMIF(куб!$C:$C,$C793,куб!S:S),IF($B793&lt;&gt;0,SUMIF(куб!$B:$B,$B793,куб!S:S))))))</f>
        <v>0</v>
      </c>
      <c r="AH793" s="16" t="str">
        <f t="shared" si="265"/>
        <v>-</v>
      </c>
      <c r="AI793" s="8"/>
      <c r="AJ793" s="27" t="b">
        <f>IF($G793&lt;&gt;0,SUMIF(куб!$G:$G,$G793,куб!T:T),IF($E793&lt;&gt;0,SUMIF(куб!$E:$E,$E793,куб!T:T),IF($D793&lt;&gt;0,SUMIF(куб!$D:$D,$D793,куб!T:T),IF($C793&lt;&gt;0,SUMIF(куб!$C:$C,$C793,куб!T:T),IF($B793&lt;&gt;0,SUMIF(куб!$B:$B,$B793,куб!T:T))))))</f>
        <v>0</v>
      </c>
      <c r="AK793" s="27" t="b">
        <f>IF($G793&lt;&gt;0,SUMIF(куб!$G:$G,$G793,куб!U:U),IF($E793&lt;&gt;0,SUMIF(куб!$E:$E,$E793,куб!U:U),IF($D793&lt;&gt;0,SUMIF(куб!$D:$D,$D793,куб!U:U),IF($C793&lt;&gt;0,SUMIF(куб!$C:$C,$C793,куб!U:U),IF($B793&lt;&gt;0,SUMIF(куб!$B:$B,$B793,куб!U:U))))))</f>
        <v>0</v>
      </c>
      <c r="AL793" s="16" t="str">
        <f t="shared" si="266"/>
        <v>-</v>
      </c>
      <c r="AM793" s="8"/>
      <c r="AN793" s="17" t="str">
        <f t="shared" si="267"/>
        <v xml:space="preserve"> </v>
      </c>
      <c r="AO793" s="17" t="str">
        <f t="shared" si="268"/>
        <v xml:space="preserve"> </v>
      </c>
      <c r="AP793" s="16" t="str">
        <f t="shared" si="269"/>
        <v>-</v>
      </c>
      <c r="AQ793" s="8"/>
      <c r="AR793" s="17" t="str">
        <f t="shared" si="270"/>
        <v>-</v>
      </c>
      <c r="AS793" s="17" t="str">
        <f t="shared" si="271"/>
        <v>-</v>
      </c>
      <c r="AT793" s="13" t="str">
        <f t="shared" si="272"/>
        <v>-</v>
      </c>
      <c r="AU793" s="8"/>
    </row>
    <row r="794" spans="1:47" x14ac:dyDescent="0.25">
      <c r="A794" s="31"/>
      <c r="B794" s="31"/>
      <c r="C794"/>
      <c r="D794" s="31"/>
      <c r="E794" s="31"/>
      <c r="F794" s="31"/>
      <c r="G794" s="31"/>
      <c r="H794" s="27">
        <f>IF($G794&lt;&gt;0,SUMIF(куб!$G:$G,$G794,куб!H:H),IF($E794&lt;&gt;0,SUMIF(куб!$E:$E,$E794,куб!H:H),IF($D794&lt;&gt;0,SUMIF(куб!$D:$D,$D794,куб!H:H),IF($C794&lt;&gt;0,SUMIF(куб!$C:$C,$C794,куб!H:H),IF($B794&lt;&gt;0,SUMIF(куб!$B:$B,$B794,куб!H:H),IF($G794&lt;&gt;0,SUMIF(куб!$A:$A,$G794,куб!H:H),SUMIF(куб!$A:$A,$G794,куб!H:H)))))))</f>
        <v>0</v>
      </c>
      <c r="I794" s="27">
        <f>IF($G794&lt;&gt;0,SUMIF(куб!$G:$G,$G794,куб!I:I),IF($E794&lt;&gt;0,SUMIF(куб!$E:$E,$E794,куб!I:I),IF($D794&lt;&gt;0,SUMIF(куб!$D:$D,$D794,куб!I:I),IF($C794&lt;&gt;0,SUMIF(куб!$C:$C,$C794,куб!I:I),IF($B794&lt;&gt;0,SUMIF(куб!$B:$B,$B794,куб!I:I),IF($G794&lt;&gt;0,SUMIF(куб!$A:$A,$G794,куб!I:I),SUMIF(куб!$A:$A,$G794,куб!I:I)))))))</f>
        <v>0</v>
      </c>
      <c r="J794" s="19" t="str">
        <f t="shared" si="255"/>
        <v>-</v>
      </c>
      <c r="K794" s="8"/>
      <c r="L794" s="17">
        <f t="shared" si="256"/>
        <v>0</v>
      </c>
      <c r="M794" s="17">
        <f t="shared" si="257"/>
        <v>0</v>
      </c>
      <c r="N794" s="12">
        <f t="shared" si="258"/>
        <v>0</v>
      </c>
      <c r="O794" s="5"/>
      <c r="P794" s="27" t="b">
        <f>IF($G794&lt;&gt;0,SUMIF(куб!$G:$G,$G794,куб!J:J),IF($E794&lt;&gt;0,SUMIF(куб!$E:$E,$E794,куб!J:J),IF($D794&lt;&gt;0,SUMIF(куб!$D:$D,$D794,куб!J:J),IF($C794&lt;&gt;0,SUMIF(куб!$C:$C,$C794,куб!J:J),IF($B794&lt;&gt;0,SUMIF(куб!$B:$B,$B794,куб!J:J))))))</f>
        <v>0</v>
      </c>
      <c r="Q794" s="27" t="b">
        <f>IF($G794&lt;&gt;0,SUMIF(куб!$G:$G,$G794,куб!K:K),IF($E794&lt;&gt;0,SUMIF(куб!$E:$E,$E794,куб!K:K),IF($D794&lt;&gt;0,SUMIF(куб!$D:$D,$D794,куб!K:K),IF($C794&lt;&gt;0,SUMIF(куб!$C:$C,$C794,куб!K:K),IF($B794&lt;&gt;0,SUMIF(куб!$B:$B,$B794,куб!K:K))))))</f>
        <v>0</v>
      </c>
      <c r="R794" s="13" t="str">
        <f t="shared" si="259"/>
        <v>-</v>
      </c>
      <c r="S794" s="5"/>
      <c r="T794" s="27" t="b">
        <f>IF($G794&lt;&gt;0,SUMIF(куб!$G:$G,$G794,куб!L:L),IF($E794&lt;&gt;0,SUMIF(куб!$E:$E,$E794,куб!L:L),IF($D794&lt;&gt;0,SUMIF(куб!$D:$D,$D794,куб!L:L),IF($C794&lt;&gt;0,SUMIF(куб!$C:$C,$C794,куб!L:L),IF($B794&lt;&gt;0,SUMIF(куб!$B:$B,$B794,куб!L:L))))))</f>
        <v>0</v>
      </c>
      <c r="U794" s="27" t="b">
        <f>IF($G794&lt;&gt;0,SUMIF(куб!$G:$G,$G794,куб!M:M),IF($E794&lt;&gt;0,SUMIF(куб!$E:$E,$E794,куб!M:M),IF($D794&lt;&gt;0,SUMIF(куб!$D:$D,$D794,куб!M:M),IF($C794&lt;&gt;0,SUMIF(куб!$C:$C,$C794,куб!M:M),IF($B794&lt;&gt;0,SUMIF(куб!$B:$B,$B794,куб!M:M))))))</f>
        <v>0</v>
      </c>
      <c r="V794" s="13" t="str">
        <f t="shared" si="260"/>
        <v>-</v>
      </c>
      <c r="W794" s="5"/>
      <c r="X794" s="27" t="b">
        <f>IF($G794&lt;&gt;0,SUMIF(куб!$G:$G,$G794,куб!N:N),IF($E794&lt;&gt;0,SUMIF(куб!$E:$E,$E794,куб!N:N),IF($D794&lt;&gt;0,SUMIF(куб!$D:$D,$D794,куб!N:N),IF($C794&lt;&gt;0,SUMIF(куб!$C:$C,$C794,куб!N:N),IF($B794&lt;&gt;0,SUMIF(куб!$B:$B,$B794,куб!N:N))))))</f>
        <v>0</v>
      </c>
      <c r="Y794" s="27" t="b">
        <f>IF($G794&lt;&gt;0,SUMIF(куб!$G:$G,$G794,куб!O:O),IF($E794&lt;&gt;0,SUMIF(куб!$E:$E,$E794,куб!O:O),IF($D794&lt;&gt;0,SUMIF(куб!$D:$D,$D794,куб!O:O),IF($C794&lt;&gt;0,SUMIF(куб!$C:$C,$C794,куб!O:O),IF($B794&lt;&gt;0,SUMIF(куб!$B:$B,$B794,куб!O:O))))))</f>
        <v>0</v>
      </c>
      <c r="Z794" s="13" t="str">
        <f t="shared" si="261"/>
        <v>-</v>
      </c>
      <c r="AA794" s="5"/>
      <c r="AB794" s="33" t="str">
        <f t="shared" si="262"/>
        <v/>
      </c>
      <c r="AC794" s="33" t="str">
        <f t="shared" si="263"/>
        <v/>
      </c>
      <c r="AD794" s="15" t="str">
        <f t="shared" si="264"/>
        <v xml:space="preserve"> </v>
      </c>
      <c r="AE794" s="5"/>
      <c r="AF794" s="27" t="b">
        <f>IF($G794&lt;&gt;0,SUMIF(куб!$G:$G,$G794,куб!R:R),IF($E794&lt;&gt;0,SUMIF(куб!$E:$E,$E794,куб!R:R),IF($D794&lt;&gt;0,SUMIF(куб!$D:$D,$D794,куб!R:R),IF($C794&lt;&gt;0,SUMIF(куб!$C:$C,$C794,куб!R:R),IF($B794&lt;&gt;0,SUMIF(куб!$B:$B,$B794,куб!R:R))))))</f>
        <v>0</v>
      </c>
      <c r="AG794" s="27" t="b">
        <f>IF($G794&lt;&gt;0,SUMIF(куб!$G:$G,$G794,куб!S:S),IF($E794&lt;&gt;0,SUMIF(куб!$E:$E,$E794,куб!S:S),IF($D794&lt;&gt;0,SUMIF(куб!$D:$D,$D794,куб!S:S),IF($C794&lt;&gt;0,SUMIF(куб!$C:$C,$C794,куб!S:S),IF($B794&lt;&gt;0,SUMIF(куб!$B:$B,$B794,куб!S:S))))))</f>
        <v>0</v>
      </c>
      <c r="AH794" s="16" t="str">
        <f t="shared" si="265"/>
        <v>-</v>
      </c>
      <c r="AI794" s="8"/>
      <c r="AJ794" s="27" t="b">
        <f>IF($G794&lt;&gt;0,SUMIF(куб!$G:$G,$G794,куб!T:T),IF($E794&lt;&gt;0,SUMIF(куб!$E:$E,$E794,куб!T:T),IF($D794&lt;&gt;0,SUMIF(куб!$D:$D,$D794,куб!T:T),IF($C794&lt;&gt;0,SUMIF(куб!$C:$C,$C794,куб!T:T),IF($B794&lt;&gt;0,SUMIF(куб!$B:$B,$B794,куб!T:T))))))</f>
        <v>0</v>
      </c>
      <c r="AK794" s="27" t="b">
        <f>IF($G794&lt;&gt;0,SUMIF(куб!$G:$G,$G794,куб!U:U),IF($E794&lt;&gt;0,SUMIF(куб!$E:$E,$E794,куб!U:U),IF($D794&lt;&gt;0,SUMIF(куб!$D:$D,$D794,куб!U:U),IF($C794&lt;&gt;0,SUMIF(куб!$C:$C,$C794,куб!U:U),IF($B794&lt;&gt;0,SUMIF(куб!$B:$B,$B794,куб!U:U))))))</f>
        <v>0</v>
      </c>
      <c r="AL794" s="16" t="str">
        <f t="shared" si="266"/>
        <v>-</v>
      </c>
      <c r="AM794" s="8"/>
      <c r="AN794" s="17" t="str">
        <f t="shared" si="267"/>
        <v xml:space="preserve"> </v>
      </c>
      <c r="AO794" s="17" t="str">
        <f t="shared" si="268"/>
        <v xml:space="preserve"> </v>
      </c>
      <c r="AP794" s="16" t="str">
        <f t="shared" si="269"/>
        <v>-</v>
      </c>
      <c r="AQ794" s="8"/>
      <c r="AR794" s="17" t="str">
        <f t="shared" si="270"/>
        <v>-</v>
      </c>
      <c r="AS794" s="17" t="str">
        <f t="shared" si="271"/>
        <v>-</v>
      </c>
      <c r="AT794" s="13" t="str">
        <f t="shared" si="272"/>
        <v>-</v>
      </c>
      <c r="AU794" s="8"/>
    </row>
    <row r="795" spans="1:47" x14ac:dyDescent="0.25">
      <c r="A795" s="31"/>
      <c r="B795" s="31"/>
      <c r="C795"/>
      <c r="D795" s="31"/>
      <c r="E795"/>
      <c r="F795" s="31"/>
      <c r="G795"/>
      <c r="H795" s="27">
        <f>IF($G795&lt;&gt;0,SUMIF(куб!$G:$G,$G795,куб!H:H),IF($E795&lt;&gt;0,SUMIF(куб!$E:$E,$E795,куб!H:H),IF($D795&lt;&gt;0,SUMIF(куб!$D:$D,$D795,куб!H:H),IF($C795&lt;&gt;0,SUMIF(куб!$C:$C,$C795,куб!H:H),IF($B795&lt;&gt;0,SUMIF(куб!$B:$B,$B795,куб!H:H),IF($G795&lt;&gt;0,SUMIF(куб!$A:$A,$G795,куб!H:H),SUMIF(куб!$A:$A,$G795,куб!H:H)))))))</f>
        <v>0</v>
      </c>
      <c r="I795" s="27">
        <f>IF($G795&lt;&gt;0,SUMIF(куб!$G:$G,$G795,куб!I:I),IF($E795&lt;&gt;0,SUMIF(куб!$E:$E,$E795,куб!I:I),IF($D795&lt;&gt;0,SUMIF(куб!$D:$D,$D795,куб!I:I),IF($C795&lt;&gt;0,SUMIF(куб!$C:$C,$C795,куб!I:I),IF($B795&lt;&gt;0,SUMIF(куб!$B:$B,$B795,куб!I:I),IF($G795&lt;&gt;0,SUMIF(куб!$A:$A,$G795,куб!I:I),SUMIF(куб!$A:$A,$G795,куб!I:I)))))))</f>
        <v>0</v>
      </c>
      <c r="J795" s="19" t="str">
        <f t="shared" si="255"/>
        <v>-</v>
      </c>
      <c r="K795" s="8"/>
      <c r="L795" s="17">
        <f t="shared" si="256"/>
        <v>0</v>
      </c>
      <c r="M795" s="17">
        <f t="shared" si="257"/>
        <v>0</v>
      </c>
      <c r="N795" s="12">
        <f t="shared" si="258"/>
        <v>0</v>
      </c>
      <c r="O795" s="5"/>
      <c r="P795" s="27" t="b">
        <f>IF($G795&lt;&gt;0,SUMIF(куб!$G:$G,$G795,куб!J:J),IF($E795&lt;&gt;0,SUMIF(куб!$E:$E,$E795,куб!J:J),IF($D795&lt;&gt;0,SUMIF(куб!$D:$D,$D795,куб!J:J),IF($C795&lt;&gt;0,SUMIF(куб!$C:$C,$C795,куб!J:J),IF($B795&lt;&gt;0,SUMIF(куб!$B:$B,$B795,куб!J:J))))))</f>
        <v>0</v>
      </c>
      <c r="Q795" s="27" t="b">
        <f>IF($G795&lt;&gt;0,SUMIF(куб!$G:$G,$G795,куб!K:K),IF($E795&lt;&gt;0,SUMIF(куб!$E:$E,$E795,куб!K:K),IF($D795&lt;&gt;0,SUMIF(куб!$D:$D,$D795,куб!K:K),IF($C795&lt;&gt;0,SUMIF(куб!$C:$C,$C795,куб!K:K),IF($B795&lt;&gt;0,SUMIF(куб!$B:$B,$B795,куб!K:K))))))</f>
        <v>0</v>
      </c>
      <c r="R795" s="13" t="str">
        <f t="shared" si="259"/>
        <v>-</v>
      </c>
      <c r="S795" s="5"/>
      <c r="T795" s="27" t="b">
        <f>IF($G795&lt;&gt;0,SUMIF(куб!$G:$G,$G795,куб!L:L),IF($E795&lt;&gt;0,SUMIF(куб!$E:$E,$E795,куб!L:L),IF($D795&lt;&gt;0,SUMIF(куб!$D:$D,$D795,куб!L:L),IF($C795&lt;&gt;0,SUMIF(куб!$C:$C,$C795,куб!L:L),IF($B795&lt;&gt;0,SUMIF(куб!$B:$B,$B795,куб!L:L))))))</f>
        <v>0</v>
      </c>
      <c r="U795" s="27" t="b">
        <f>IF($G795&lt;&gt;0,SUMIF(куб!$G:$G,$G795,куб!M:M),IF($E795&lt;&gt;0,SUMIF(куб!$E:$E,$E795,куб!M:M),IF($D795&lt;&gt;0,SUMIF(куб!$D:$D,$D795,куб!M:M),IF($C795&lt;&gt;0,SUMIF(куб!$C:$C,$C795,куб!M:M),IF($B795&lt;&gt;0,SUMIF(куб!$B:$B,$B795,куб!M:M))))))</f>
        <v>0</v>
      </c>
      <c r="V795" s="13" t="str">
        <f t="shared" si="260"/>
        <v>-</v>
      </c>
      <c r="W795" s="5"/>
      <c r="X795" s="27" t="b">
        <f>IF($G795&lt;&gt;0,SUMIF(куб!$G:$G,$G795,куб!N:N),IF($E795&lt;&gt;0,SUMIF(куб!$E:$E,$E795,куб!N:N),IF($D795&lt;&gt;0,SUMIF(куб!$D:$D,$D795,куб!N:N),IF($C795&lt;&gt;0,SUMIF(куб!$C:$C,$C795,куб!N:N),IF($B795&lt;&gt;0,SUMIF(куб!$B:$B,$B795,куб!N:N))))))</f>
        <v>0</v>
      </c>
      <c r="Y795" s="27" t="b">
        <f>IF($G795&lt;&gt;0,SUMIF(куб!$G:$G,$G795,куб!O:O),IF($E795&lt;&gt;0,SUMIF(куб!$E:$E,$E795,куб!O:O),IF($D795&lt;&gt;0,SUMIF(куб!$D:$D,$D795,куб!O:O),IF($C795&lt;&gt;0,SUMIF(куб!$C:$C,$C795,куб!O:O),IF($B795&lt;&gt;0,SUMIF(куб!$B:$B,$B795,куб!O:O))))))</f>
        <v>0</v>
      </c>
      <c r="Z795" s="13" t="str">
        <f t="shared" si="261"/>
        <v>-</v>
      </c>
      <c r="AA795" s="5"/>
      <c r="AB795" s="33" t="str">
        <f t="shared" si="262"/>
        <v/>
      </c>
      <c r="AC795" s="33" t="str">
        <f t="shared" si="263"/>
        <v/>
      </c>
      <c r="AD795" s="15" t="str">
        <f t="shared" si="264"/>
        <v xml:space="preserve"> </v>
      </c>
      <c r="AE795" s="5"/>
      <c r="AF795" s="27" t="b">
        <f>IF($G795&lt;&gt;0,SUMIF(куб!$G:$G,$G795,куб!R:R),IF($E795&lt;&gt;0,SUMIF(куб!$E:$E,$E795,куб!R:R),IF($D795&lt;&gt;0,SUMIF(куб!$D:$D,$D795,куб!R:R),IF($C795&lt;&gt;0,SUMIF(куб!$C:$C,$C795,куб!R:R),IF($B795&lt;&gt;0,SUMIF(куб!$B:$B,$B795,куб!R:R))))))</f>
        <v>0</v>
      </c>
      <c r="AG795" s="27" t="b">
        <f>IF($G795&lt;&gt;0,SUMIF(куб!$G:$G,$G795,куб!S:S),IF($E795&lt;&gt;0,SUMIF(куб!$E:$E,$E795,куб!S:S),IF($D795&lt;&gt;0,SUMIF(куб!$D:$D,$D795,куб!S:S),IF($C795&lt;&gt;0,SUMIF(куб!$C:$C,$C795,куб!S:S),IF($B795&lt;&gt;0,SUMIF(куб!$B:$B,$B795,куб!S:S))))))</f>
        <v>0</v>
      </c>
      <c r="AH795" s="16" t="str">
        <f t="shared" si="265"/>
        <v>-</v>
      </c>
      <c r="AI795" s="8"/>
      <c r="AJ795" s="27" t="b">
        <f>IF($G795&lt;&gt;0,SUMIF(куб!$G:$G,$G795,куб!T:T),IF($E795&lt;&gt;0,SUMIF(куб!$E:$E,$E795,куб!T:T),IF($D795&lt;&gt;0,SUMIF(куб!$D:$D,$D795,куб!T:T),IF($C795&lt;&gt;0,SUMIF(куб!$C:$C,$C795,куб!T:T),IF($B795&lt;&gt;0,SUMIF(куб!$B:$B,$B795,куб!T:T))))))</f>
        <v>0</v>
      </c>
      <c r="AK795" s="27" t="b">
        <f>IF($G795&lt;&gt;0,SUMIF(куб!$G:$G,$G795,куб!U:U),IF($E795&lt;&gt;0,SUMIF(куб!$E:$E,$E795,куб!U:U),IF($D795&lt;&gt;0,SUMIF(куб!$D:$D,$D795,куб!U:U),IF($C795&lt;&gt;0,SUMIF(куб!$C:$C,$C795,куб!U:U),IF($B795&lt;&gt;0,SUMIF(куб!$B:$B,$B795,куб!U:U))))))</f>
        <v>0</v>
      </c>
      <c r="AL795" s="16" t="str">
        <f t="shared" si="266"/>
        <v>-</v>
      </c>
      <c r="AM795" s="8"/>
      <c r="AN795" s="17" t="str">
        <f t="shared" si="267"/>
        <v xml:space="preserve"> </v>
      </c>
      <c r="AO795" s="17" t="str">
        <f t="shared" si="268"/>
        <v xml:space="preserve"> </v>
      </c>
      <c r="AP795" s="16" t="str">
        <f t="shared" si="269"/>
        <v>-</v>
      </c>
      <c r="AQ795" s="8"/>
      <c r="AR795" s="17" t="str">
        <f t="shared" si="270"/>
        <v>-</v>
      </c>
      <c r="AS795" s="17" t="str">
        <f t="shared" si="271"/>
        <v>-</v>
      </c>
      <c r="AT795" s="13" t="str">
        <f t="shared" si="272"/>
        <v>-</v>
      </c>
      <c r="AU795" s="8"/>
    </row>
    <row r="796" spans="1:47" x14ac:dyDescent="0.25">
      <c r="A796" s="31"/>
      <c r="B796" s="31"/>
      <c r="C796"/>
      <c r="D796" s="31"/>
      <c r="E796"/>
      <c r="F796" s="31"/>
      <c r="G796"/>
      <c r="H796" s="27">
        <f>IF($G796&lt;&gt;0,SUMIF(куб!$G:$G,$G796,куб!H:H),IF($E796&lt;&gt;0,SUMIF(куб!$E:$E,$E796,куб!H:H),IF($D796&lt;&gt;0,SUMIF(куб!$D:$D,$D796,куб!H:H),IF($C796&lt;&gt;0,SUMIF(куб!$C:$C,$C796,куб!H:H),IF($B796&lt;&gt;0,SUMIF(куб!$B:$B,$B796,куб!H:H),IF($G796&lt;&gt;0,SUMIF(куб!$A:$A,$G796,куб!H:H),SUMIF(куб!$A:$A,$G796,куб!H:H)))))))</f>
        <v>0</v>
      </c>
      <c r="I796" s="27">
        <f>IF($G796&lt;&gt;0,SUMIF(куб!$G:$G,$G796,куб!I:I),IF($E796&lt;&gt;0,SUMIF(куб!$E:$E,$E796,куб!I:I),IF($D796&lt;&gt;0,SUMIF(куб!$D:$D,$D796,куб!I:I),IF($C796&lt;&gt;0,SUMIF(куб!$C:$C,$C796,куб!I:I),IF($B796&lt;&gt;0,SUMIF(куб!$B:$B,$B796,куб!I:I),IF($G796&lt;&gt;0,SUMIF(куб!$A:$A,$G796,куб!I:I),SUMIF(куб!$A:$A,$G796,куб!I:I)))))))</f>
        <v>0</v>
      </c>
      <c r="J796" s="19" t="str">
        <f t="shared" si="255"/>
        <v>-</v>
      </c>
      <c r="K796" s="8"/>
      <c r="L796" s="17">
        <f t="shared" si="256"/>
        <v>0</v>
      </c>
      <c r="M796" s="17">
        <f t="shared" si="257"/>
        <v>0</v>
      </c>
      <c r="N796" s="12">
        <f t="shared" si="258"/>
        <v>0</v>
      </c>
      <c r="O796" s="5"/>
      <c r="P796" s="27" t="b">
        <f>IF($G796&lt;&gt;0,SUMIF(куб!$G:$G,$G796,куб!J:J),IF($E796&lt;&gt;0,SUMIF(куб!$E:$E,$E796,куб!J:J),IF($D796&lt;&gt;0,SUMIF(куб!$D:$D,$D796,куб!J:J),IF($C796&lt;&gt;0,SUMIF(куб!$C:$C,$C796,куб!J:J),IF($B796&lt;&gt;0,SUMIF(куб!$B:$B,$B796,куб!J:J))))))</f>
        <v>0</v>
      </c>
      <c r="Q796" s="27" t="b">
        <f>IF($G796&lt;&gt;0,SUMIF(куб!$G:$G,$G796,куб!K:K),IF($E796&lt;&gt;0,SUMIF(куб!$E:$E,$E796,куб!K:K),IF($D796&lt;&gt;0,SUMIF(куб!$D:$D,$D796,куб!K:K),IF($C796&lt;&gt;0,SUMIF(куб!$C:$C,$C796,куб!K:K),IF($B796&lt;&gt;0,SUMIF(куб!$B:$B,$B796,куб!K:K))))))</f>
        <v>0</v>
      </c>
      <c r="R796" s="13" t="str">
        <f t="shared" si="259"/>
        <v>-</v>
      </c>
      <c r="S796" s="5"/>
      <c r="T796" s="27" t="b">
        <f>IF($G796&lt;&gt;0,SUMIF(куб!$G:$G,$G796,куб!L:L),IF($E796&lt;&gt;0,SUMIF(куб!$E:$E,$E796,куб!L:L),IF($D796&lt;&gt;0,SUMIF(куб!$D:$D,$D796,куб!L:L),IF($C796&lt;&gt;0,SUMIF(куб!$C:$C,$C796,куб!L:L),IF($B796&lt;&gt;0,SUMIF(куб!$B:$B,$B796,куб!L:L))))))</f>
        <v>0</v>
      </c>
      <c r="U796" s="27" t="b">
        <f>IF($G796&lt;&gt;0,SUMIF(куб!$G:$G,$G796,куб!M:M),IF($E796&lt;&gt;0,SUMIF(куб!$E:$E,$E796,куб!M:M),IF($D796&lt;&gt;0,SUMIF(куб!$D:$D,$D796,куб!M:M),IF($C796&lt;&gt;0,SUMIF(куб!$C:$C,$C796,куб!M:M),IF($B796&lt;&gt;0,SUMIF(куб!$B:$B,$B796,куб!M:M))))))</f>
        <v>0</v>
      </c>
      <c r="V796" s="13" t="str">
        <f t="shared" si="260"/>
        <v>-</v>
      </c>
      <c r="W796" s="5"/>
      <c r="X796" s="27" t="b">
        <f>IF($G796&lt;&gt;0,SUMIF(куб!$G:$G,$G796,куб!N:N),IF($E796&lt;&gt;0,SUMIF(куб!$E:$E,$E796,куб!N:N),IF($D796&lt;&gt;0,SUMIF(куб!$D:$D,$D796,куб!N:N),IF($C796&lt;&gt;0,SUMIF(куб!$C:$C,$C796,куб!N:N),IF($B796&lt;&gt;0,SUMIF(куб!$B:$B,$B796,куб!N:N))))))</f>
        <v>0</v>
      </c>
      <c r="Y796" s="27" t="b">
        <f>IF($G796&lt;&gt;0,SUMIF(куб!$G:$G,$G796,куб!O:O),IF($E796&lt;&gt;0,SUMIF(куб!$E:$E,$E796,куб!O:O),IF($D796&lt;&gt;0,SUMIF(куб!$D:$D,$D796,куб!O:O),IF($C796&lt;&gt;0,SUMIF(куб!$C:$C,$C796,куб!O:O),IF($B796&lt;&gt;0,SUMIF(куб!$B:$B,$B796,куб!O:O))))))</f>
        <v>0</v>
      </c>
      <c r="Z796" s="13" t="str">
        <f t="shared" si="261"/>
        <v>-</v>
      </c>
      <c r="AA796" s="5"/>
      <c r="AB796" s="33" t="str">
        <f t="shared" si="262"/>
        <v/>
      </c>
      <c r="AC796" s="33" t="str">
        <f t="shared" si="263"/>
        <v/>
      </c>
      <c r="AD796" s="15" t="str">
        <f t="shared" si="264"/>
        <v xml:space="preserve"> </v>
      </c>
      <c r="AE796" s="5"/>
      <c r="AF796" s="27" t="b">
        <f>IF($G796&lt;&gt;0,SUMIF(куб!$G:$G,$G796,куб!R:R),IF($E796&lt;&gt;0,SUMIF(куб!$E:$E,$E796,куб!R:R),IF($D796&lt;&gt;0,SUMIF(куб!$D:$D,$D796,куб!R:R),IF($C796&lt;&gt;0,SUMIF(куб!$C:$C,$C796,куб!R:R),IF($B796&lt;&gt;0,SUMIF(куб!$B:$B,$B796,куб!R:R))))))</f>
        <v>0</v>
      </c>
      <c r="AG796" s="27" t="b">
        <f>IF($G796&lt;&gt;0,SUMIF(куб!$G:$G,$G796,куб!S:S),IF($E796&lt;&gt;0,SUMIF(куб!$E:$E,$E796,куб!S:S),IF($D796&lt;&gt;0,SUMIF(куб!$D:$D,$D796,куб!S:S),IF($C796&lt;&gt;0,SUMIF(куб!$C:$C,$C796,куб!S:S),IF($B796&lt;&gt;0,SUMIF(куб!$B:$B,$B796,куб!S:S))))))</f>
        <v>0</v>
      </c>
      <c r="AH796" s="16" t="str">
        <f t="shared" si="265"/>
        <v>-</v>
      </c>
      <c r="AI796" s="8"/>
      <c r="AJ796" s="27" t="b">
        <f>IF($G796&lt;&gt;0,SUMIF(куб!$G:$G,$G796,куб!T:T),IF($E796&lt;&gt;0,SUMIF(куб!$E:$E,$E796,куб!T:T),IF($D796&lt;&gt;0,SUMIF(куб!$D:$D,$D796,куб!T:T),IF($C796&lt;&gt;0,SUMIF(куб!$C:$C,$C796,куб!T:T),IF($B796&lt;&gt;0,SUMIF(куб!$B:$B,$B796,куб!T:T))))))</f>
        <v>0</v>
      </c>
      <c r="AK796" s="27" t="b">
        <f>IF($G796&lt;&gt;0,SUMIF(куб!$G:$G,$G796,куб!U:U),IF($E796&lt;&gt;0,SUMIF(куб!$E:$E,$E796,куб!U:U),IF($D796&lt;&gt;0,SUMIF(куб!$D:$D,$D796,куб!U:U),IF($C796&lt;&gt;0,SUMIF(куб!$C:$C,$C796,куб!U:U),IF($B796&lt;&gt;0,SUMIF(куб!$B:$B,$B796,куб!U:U))))))</f>
        <v>0</v>
      </c>
      <c r="AL796" s="16" t="str">
        <f t="shared" si="266"/>
        <v>-</v>
      </c>
      <c r="AM796" s="8"/>
      <c r="AN796" s="17" t="str">
        <f t="shared" si="267"/>
        <v xml:space="preserve"> </v>
      </c>
      <c r="AO796" s="17" t="str">
        <f t="shared" si="268"/>
        <v xml:space="preserve"> </v>
      </c>
      <c r="AP796" s="16" t="str">
        <f t="shared" si="269"/>
        <v>-</v>
      </c>
      <c r="AQ796" s="8"/>
      <c r="AR796" s="17" t="str">
        <f t="shared" si="270"/>
        <v>-</v>
      </c>
      <c r="AS796" s="17" t="str">
        <f t="shared" si="271"/>
        <v>-</v>
      </c>
      <c r="AT796" s="13" t="str">
        <f t="shared" si="272"/>
        <v>-</v>
      </c>
      <c r="AU796" s="8"/>
    </row>
    <row r="797" spans="1:47" x14ac:dyDescent="0.25">
      <c r="A797" s="31"/>
      <c r="B797" s="31"/>
      <c r="C797"/>
      <c r="D797" s="31"/>
      <c r="E797"/>
      <c r="F797" s="31"/>
      <c r="G797"/>
      <c r="H797" s="27">
        <f>IF($G797&lt;&gt;0,SUMIF(куб!$G:$G,$G797,куб!H:H),IF($E797&lt;&gt;0,SUMIF(куб!$E:$E,$E797,куб!H:H),IF($D797&lt;&gt;0,SUMIF(куб!$D:$D,$D797,куб!H:H),IF($C797&lt;&gt;0,SUMIF(куб!$C:$C,$C797,куб!H:H),IF($B797&lt;&gt;0,SUMIF(куб!$B:$B,$B797,куб!H:H),IF($G797&lt;&gt;0,SUMIF(куб!$A:$A,$G797,куб!H:H),SUMIF(куб!$A:$A,$G797,куб!H:H)))))))</f>
        <v>0</v>
      </c>
      <c r="I797" s="27">
        <f>IF($G797&lt;&gt;0,SUMIF(куб!$G:$G,$G797,куб!I:I),IF($E797&lt;&gt;0,SUMIF(куб!$E:$E,$E797,куб!I:I),IF($D797&lt;&gt;0,SUMIF(куб!$D:$D,$D797,куб!I:I),IF($C797&lt;&gt;0,SUMIF(куб!$C:$C,$C797,куб!I:I),IF($B797&lt;&gt;0,SUMIF(куб!$B:$B,$B797,куб!I:I),IF($G797&lt;&gt;0,SUMIF(куб!$A:$A,$G797,куб!I:I),SUMIF(куб!$A:$A,$G797,куб!I:I)))))))</f>
        <v>0</v>
      </c>
      <c r="J797" s="19" t="str">
        <f t="shared" si="255"/>
        <v>-</v>
      </c>
      <c r="K797" s="8"/>
      <c r="L797" s="17">
        <f t="shared" si="256"/>
        <v>0</v>
      </c>
      <c r="M797" s="17">
        <f t="shared" si="257"/>
        <v>0</v>
      </c>
      <c r="N797" s="12">
        <f t="shared" si="258"/>
        <v>0</v>
      </c>
      <c r="O797" s="5"/>
      <c r="P797" s="27" t="b">
        <f>IF($G797&lt;&gt;0,SUMIF(куб!$G:$G,$G797,куб!J:J),IF($E797&lt;&gt;0,SUMIF(куб!$E:$E,$E797,куб!J:J),IF($D797&lt;&gt;0,SUMIF(куб!$D:$D,$D797,куб!J:J),IF($C797&lt;&gt;0,SUMIF(куб!$C:$C,$C797,куб!J:J),IF($B797&lt;&gt;0,SUMIF(куб!$B:$B,$B797,куб!J:J))))))</f>
        <v>0</v>
      </c>
      <c r="Q797" s="27" t="b">
        <f>IF($G797&lt;&gt;0,SUMIF(куб!$G:$G,$G797,куб!K:K),IF($E797&lt;&gt;0,SUMIF(куб!$E:$E,$E797,куб!K:K),IF($D797&lt;&gt;0,SUMIF(куб!$D:$D,$D797,куб!K:K),IF($C797&lt;&gt;0,SUMIF(куб!$C:$C,$C797,куб!K:K),IF($B797&lt;&gt;0,SUMIF(куб!$B:$B,$B797,куб!K:K))))))</f>
        <v>0</v>
      </c>
      <c r="R797" s="13" t="str">
        <f t="shared" si="259"/>
        <v>-</v>
      </c>
      <c r="S797" s="5"/>
      <c r="T797" s="27" t="b">
        <f>IF($G797&lt;&gt;0,SUMIF(куб!$G:$G,$G797,куб!L:L),IF($E797&lt;&gt;0,SUMIF(куб!$E:$E,$E797,куб!L:L),IF($D797&lt;&gt;0,SUMIF(куб!$D:$D,$D797,куб!L:L),IF($C797&lt;&gt;0,SUMIF(куб!$C:$C,$C797,куб!L:L),IF($B797&lt;&gt;0,SUMIF(куб!$B:$B,$B797,куб!L:L))))))</f>
        <v>0</v>
      </c>
      <c r="U797" s="27" t="b">
        <f>IF($G797&lt;&gt;0,SUMIF(куб!$G:$G,$G797,куб!M:M),IF($E797&lt;&gt;0,SUMIF(куб!$E:$E,$E797,куб!M:M),IF($D797&lt;&gt;0,SUMIF(куб!$D:$D,$D797,куб!M:M),IF($C797&lt;&gt;0,SUMIF(куб!$C:$C,$C797,куб!M:M),IF($B797&lt;&gt;0,SUMIF(куб!$B:$B,$B797,куб!M:M))))))</f>
        <v>0</v>
      </c>
      <c r="V797" s="13" t="str">
        <f t="shared" si="260"/>
        <v>-</v>
      </c>
      <c r="W797" s="5"/>
      <c r="X797" s="27" t="b">
        <f>IF($G797&lt;&gt;0,SUMIF(куб!$G:$G,$G797,куб!N:N),IF($E797&lt;&gt;0,SUMIF(куб!$E:$E,$E797,куб!N:N),IF($D797&lt;&gt;0,SUMIF(куб!$D:$D,$D797,куб!N:N),IF($C797&lt;&gt;0,SUMIF(куб!$C:$C,$C797,куб!N:N),IF($B797&lt;&gt;0,SUMIF(куб!$B:$B,$B797,куб!N:N))))))</f>
        <v>0</v>
      </c>
      <c r="Y797" s="27" t="b">
        <f>IF($G797&lt;&gt;0,SUMIF(куб!$G:$G,$G797,куб!O:O),IF($E797&lt;&gt;0,SUMIF(куб!$E:$E,$E797,куб!O:O),IF($D797&lt;&gt;0,SUMIF(куб!$D:$D,$D797,куб!O:O),IF($C797&lt;&gt;0,SUMIF(куб!$C:$C,$C797,куб!O:O),IF($B797&lt;&gt;0,SUMIF(куб!$B:$B,$B797,куб!O:O))))))</f>
        <v>0</v>
      </c>
      <c r="Z797" s="13" t="str">
        <f t="shared" si="261"/>
        <v>-</v>
      </c>
      <c r="AA797" s="5"/>
      <c r="AB797" s="33" t="str">
        <f t="shared" si="262"/>
        <v/>
      </c>
      <c r="AC797" s="33" t="str">
        <f t="shared" si="263"/>
        <v/>
      </c>
      <c r="AD797" s="15" t="str">
        <f t="shared" si="264"/>
        <v xml:space="preserve"> </v>
      </c>
      <c r="AE797" s="5"/>
      <c r="AF797" s="27" t="b">
        <f>IF($G797&lt;&gt;0,SUMIF(куб!$G:$G,$G797,куб!R:R),IF($E797&lt;&gt;0,SUMIF(куб!$E:$E,$E797,куб!R:R),IF($D797&lt;&gt;0,SUMIF(куб!$D:$D,$D797,куб!R:R),IF($C797&lt;&gt;0,SUMIF(куб!$C:$C,$C797,куб!R:R),IF($B797&lt;&gt;0,SUMIF(куб!$B:$B,$B797,куб!R:R))))))</f>
        <v>0</v>
      </c>
      <c r="AG797" s="27" t="b">
        <f>IF($G797&lt;&gt;0,SUMIF(куб!$G:$G,$G797,куб!S:S),IF($E797&lt;&gt;0,SUMIF(куб!$E:$E,$E797,куб!S:S),IF($D797&lt;&gt;0,SUMIF(куб!$D:$D,$D797,куб!S:S),IF($C797&lt;&gt;0,SUMIF(куб!$C:$C,$C797,куб!S:S),IF($B797&lt;&gt;0,SUMIF(куб!$B:$B,$B797,куб!S:S))))))</f>
        <v>0</v>
      </c>
      <c r="AH797" s="16" t="str">
        <f t="shared" si="265"/>
        <v>-</v>
      </c>
      <c r="AI797" s="8"/>
      <c r="AJ797" s="27" t="b">
        <f>IF($G797&lt;&gt;0,SUMIF(куб!$G:$G,$G797,куб!T:T),IF($E797&lt;&gt;0,SUMIF(куб!$E:$E,$E797,куб!T:T),IF($D797&lt;&gt;0,SUMIF(куб!$D:$D,$D797,куб!T:T),IF($C797&lt;&gt;0,SUMIF(куб!$C:$C,$C797,куб!T:T),IF($B797&lt;&gt;0,SUMIF(куб!$B:$B,$B797,куб!T:T))))))</f>
        <v>0</v>
      </c>
      <c r="AK797" s="27" t="b">
        <f>IF($G797&lt;&gt;0,SUMIF(куб!$G:$G,$G797,куб!U:U),IF($E797&lt;&gt;0,SUMIF(куб!$E:$E,$E797,куб!U:U),IF($D797&lt;&gt;0,SUMIF(куб!$D:$D,$D797,куб!U:U),IF($C797&lt;&gt;0,SUMIF(куб!$C:$C,$C797,куб!U:U),IF($B797&lt;&gt;0,SUMIF(куб!$B:$B,$B797,куб!U:U))))))</f>
        <v>0</v>
      </c>
      <c r="AL797" s="16" t="str">
        <f t="shared" si="266"/>
        <v>-</v>
      </c>
      <c r="AM797" s="8"/>
      <c r="AN797" s="17" t="str">
        <f t="shared" si="267"/>
        <v xml:space="preserve"> </v>
      </c>
      <c r="AO797" s="17" t="str">
        <f t="shared" si="268"/>
        <v xml:space="preserve"> </v>
      </c>
      <c r="AP797" s="16" t="str">
        <f t="shared" si="269"/>
        <v>-</v>
      </c>
      <c r="AQ797" s="8"/>
      <c r="AR797" s="17" t="str">
        <f t="shared" si="270"/>
        <v>-</v>
      </c>
      <c r="AS797" s="17" t="str">
        <f t="shared" si="271"/>
        <v>-</v>
      </c>
      <c r="AT797" s="13" t="str">
        <f t="shared" si="272"/>
        <v>-</v>
      </c>
      <c r="AU797" s="8"/>
    </row>
    <row r="798" spans="1:47" x14ac:dyDescent="0.25">
      <c r="A798" s="31"/>
      <c r="B798" s="31"/>
      <c r="C798"/>
      <c r="D798" s="31"/>
      <c r="E798"/>
      <c r="F798" s="31"/>
      <c r="G798"/>
      <c r="H798" s="27">
        <f>IF($G798&lt;&gt;0,SUMIF(куб!$G:$G,$G798,куб!H:H),IF($E798&lt;&gt;0,SUMIF(куб!$E:$E,$E798,куб!H:H),IF($D798&lt;&gt;0,SUMIF(куб!$D:$D,$D798,куб!H:H),IF($C798&lt;&gt;0,SUMIF(куб!$C:$C,$C798,куб!H:H),IF($B798&lt;&gt;0,SUMIF(куб!$B:$B,$B798,куб!H:H),IF($G798&lt;&gt;0,SUMIF(куб!$A:$A,$G798,куб!H:H),SUMIF(куб!$A:$A,$G798,куб!H:H)))))))</f>
        <v>0</v>
      </c>
      <c r="I798" s="27">
        <f>IF($G798&lt;&gt;0,SUMIF(куб!$G:$G,$G798,куб!I:I),IF($E798&lt;&gt;0,SUMIF(куб!$E:$E,$E798,куб!I:I),IF($D798&lt;&gt;0,SUMIF(куб!$D:$D,$D798,куб!I:I),IF($C798&lt;&gt;0,SUMIF(куб!$C:$C,$C798,куб!I:I),IF($B798&lt;&gt;0,SUMIF(куб!$B:$B,$B798,куб!I:I),IF($G798&lt;&gt;0,SUMIF(куб!$A:$A,$G798,куб!I:I),SUMIF(куб!$A:$A,$G798,куб!I:I)))))))</f>
        <v>0</v>
      </c>
      <c r="J798" s="19" t="str">
        <f t="shared" si="255"/>
        <v>-</v>
      </c>
      <c r="K798" s="8"/>
      <c r="L798" s="17">
        <f t="shared" si="256"/>
        <v>0</v>
      </c>
      <c r="M798" s="17">
        <f t="shared" si="257"/>
        <v>0</v>
      </c>
      <c r="N798" s="12">
        <f t="shared" si="258"/>
        <v>0</v>
      </c>
      <c r="O798" s="5"/>
      <c r="P798" s="27" t="b">
        <f>IF($G798&lt;&gt;0,SUMIF(куб!$G:$G,$G798,куб!J:J),IF($E798&lt;&gt;0,SUMIF(куб!$E:$E,$E798,куб!J:J),IF($D798&lt;&gt;0,SUMIF(куб!$D:$D,$D798,куб!J:J),IF($C798&lt;&gt;0,SUMIF(куб!$C:$C,$C798,куб!J:J),IF($B798&lt;&gt;0,SUMIF(куб!$B:$B,$B798,куб!J:J))))))</f>
        <v>0</v>
      </c>
      <c r="Q798" s="27" t="b">
        <f>IF($G798&lt;&gt;0,SUMIF(куб!$G:$G,$G798,куб!K:K),IF($E798&lt;&gt;0,SUMIF(куб!$E:$E,$E798,куб!K:K),IF($D798&lt;&gt;0,SUMIF(куб!$D:$D,$D798,куб!K:K),IF($C798&lt;&gt;0,SUMIF(куб!$C:$C,$C798,куб!K:K),IF($B798&lt;&gt;0,SUMIF(куб!$B:$B,$B798,куб!K:K))))))</f>
        <v>0</v>
      </c>
      <c r="R798" s="13" t="str">
        <f t="shared" si="259"/>
        <v>-</v>
      </c>
      <c r="S798" s="5"/>
      <c r="T798" s="27" t="b">
        <f>IF($G798&lt;&gt;0,SUMIF(куб!$G:$G,$G798,куб!L:L),IF($E798&lt;&gt;0,SUMIF(куб!$E:$E,$E798,куб!L:L),IF($D798&lt;&gt;0,SUMIF(куб!$D:$D,$D798,куб!L:L),IF($C798&lt;&gt;0,SUMIF(куб!$C:$C,$C798,куб!L:L),IF($B798&lt;&gt;0,SUMIF(куб!$B:$B,$B798,куб!L:L))))))</f>
        <v>0</v>
      </c>
      <c r="U798" s="27" t="b">
        <f>IF($G798&lt;&gt;0,SUMIF(куб!$G:$G,$G798,куб!M:M),IF($E798&lt;&gt;0,SUMIF(куб!$E:$E,$E798,куб!M:M),IF($D798&lt;&gt;0,SUMIF(куб!$D:$D,$D798,куб!M:M),IF($C798&lt;&gt;0,SUMIF(куб!$C:$C,$C798,куб!M:M),IF($B798&lt;&gt;0,SUMIF(куб!$B:$B,$B798,куб!M:M))))))</f>
        <v>0</v>
      </c>
      <c r="V798" s="13" t="str">
        <f t="shared" si="260"/>
        <v>-</v>
      </c>
      <c r="W798" s="5"/>
      <c r="X798" s="27" t="b">
        <f>IF($G798&lt;&gt;0,SUMIF(куб!$G:$G,$G798,куб!N:N),IF($E798&lt;&gt;0,SUMIF(куб!$E:$E,$E798,куб!N:N),IF($D798&lt;&gt;0,SUMIF(куб!$D:$D,$D798,куб!N:N),IF($C798&lt;&gt;0,SUMIF(куб!$C:$C,$C798,куб!N:N),IF($B798&lt;&gt;0,SUMIF(куб!$B:$B,$B798,куб!N:N))))))</f>
        <v>0</v>
      </c>
      <c r="Y798" s="27" t="b">
        <f>IF($G798&lt;&gt;0,SUMIF(куб!$G:$G,$G798,куб!O:O),IF($E798&lt;&gt;0,SUMIF(куб!$E:$E,$E798,куб!O:O),IF($D798&lt;&gt;0,SUMIF(куб!$D:$D,$D798,куб!O:O),IF($C798&lt;&gt;0,SUMIF(куб!$C:$C,$C798,куб!O:O),IF($B798&lt;&gt;0,SUMIF(куб!$B:$B,$B798,куб!O:O))))))</f>
        <v>0</v>
      </c>
      <c r="Z798" s="13" t="str">
        <f t="shared" si="261"/>
        <v>-</v>
      </c>
      <c r="AA798" s="5"/>
      <c r="AB798" s="33" t="str">
        <f t="shared" si="262"/>
        <v/>
      </c>
      <c r="AC798" s="33" t="str">
        <f t="shared" si="263"/>
        <v/>
      </c>
      <c r="AD798" s="15" t="str">
        <f t="shared" si="264"/>
        <v xml:space="preserve"> </v>
      </c>
      <c r="AE798" s="5"/>
      <c r="AF798" s="27" t="b">
        <f>IF($G798&lt;&gt;0,SUMIF(куб!$G:$G,$G798,куб!R:R),IF($E798&lt;&gt;0,SUMIF(куб!$E:$E,$E798,куб!R:R),IF($D798&lt;&gt;0,SUMIF(куб!$D:$D,$D798,куб!R:R),IF($C798&lt;&gt;0,SUMIF(куб!$C:$C,$C798,куб!R:R),IF($B798&lt;&gt;0,SUMIF(куб!$B:$B,$B798,куб!R:R))))))</f>
        <v>0</v>
      </c>
      <c r="AG798" s="27" t="b">
        <f>IF($G798&lt;&gt;0,SUMIF(куб!$G:$G,$G798,куб!S:S),IF($E798&lt;&gt;0,SUMIF(куб!$E:$E,$E798,куб!S:S),IF($D798&lt;&gt;0,SUMIF(куб!$D:$D,$D798,куб!S:S),IF($C798&lt;&gt;0,SUMIF(куб!$C:$C,$C798,куб!S:S),IF($B798&lt;&gt;0,SUMIF(куб!$B:$B,$B798,куб!S:S))))))</f>
        <v>0</v>
      </c>
      <c r="AH798" s="16" t="str">
        <f t="shared" si="265"/>
        <v>-</v>
      </c>
      <c r="AI798" s="8"/>
      <c r="AJ798" s="27" t="b">
        <f>IF($G798&lt;&gt;0,SUMIF(куб!$G:$G,$G798,куб!T:T),IF($E798&lt;&gt;0,SUMIF(куб!$E:$E,$E798,куб!T:T),IF($D798&lt;&gt;0,SUMIF(куб!$D:$D,$D798,куб!T:T),IF($C798&lt;&gt;0,SUMIF(куб!$C:$C,$C798,куб!T:T),IF($B798&lt;&gt;0,SUMIF(куб!$B:$B,$B798,куб!T:T))))))</f>
        <v>0</v>
      </c>
      <c r="AK798" s="27" t="b">
        <f>IF($G798&lt;&gt;0,SUMIF(куб!$G:$G,$G798,куб!U:U),IF($E798&lt;&gt;0,SUMIF(куб!$E:$E,$E798,куб!U:U),IF($D798&lt;&gt;0,SUMIF(куб!$D:$D,$D798,куб!U:U),IF($C798&lt;&gt;0,SUMIF(куб!$C:$C,$C798,куб!U:U),IF($B798&lt;&gt;0,SUMIF(куб!$B:$B,$B798,куб!U:U))))))</f>
        <v>0</v>
      </c>
      <c r="AL798" s="16" t="str">
        <f t="shared" si="266"/>
        <v>-</v>
      </c>
      <c r="AM798" s="8"/>
      <c r="AN798" s="17" t="str">
        <f t="shared" si="267"/>
        <v xml:space="preserve"> </v>
      </c>
      <c r="AO798" s="17" t="str">
        <f t="shared" si="268"/>
        <v xml:space="preserve"> </v>
      </c>
      <c r="AP798" s="16" t="str">
        <f t="shared" si="269"/>
        <v>-</v>
      </c>
      <c r="AQ798" s="8"/>
      <c r="AR798" s="17" t="str">
        <f t="shared" si="270"/>
        <v>-</v>
      </c>
      <c r="AS798" s="17" t="str">
        <f t="shared" si="271"/>
        <v>-</v>
      </c>
      <c r="AT798" s="13" t="str">
        <f t="shared" si="272"/>
        <v>-</v>
      </c>
      <c r="AU798" s="8"/>
    </row>
    <row r="799" spans="1:47" x14ac:dyDescent="0.25">
      <c r="A799" s="31"/>
      <c r="B799" s="31"/>
      <c r="C799"/>
      <c r="D799" s="31"/>
      <c r="E799"/>
      <c r="F799" s="31"/>
      <c r="G799"/>
      <c r="H799" s="27">
        <f>IF($G799&lt;&gt;0,SUMIF(куб!$G:$G,$G799,куб!H:H),IF($E799&lt;&gt;0,SUMIF(куб!$E:$E,$E799,куб!H:H),IF($D799&lt;&gt;0,SUMIF(куб!$D:$D,$D799,куб!H:H),IF($C799&lt;&gt;0,SUMIF(куб!$C:$C,$C799,куб!H:H),IF($B799&lt;&gt;0,SUMIF(куб!$B:$B,$B799,куб!H:H),IF($G799&lt;&gt;0,SUMIF(куб!$A:$A,$G799,куб!H:H),SUMIF(куб!$A:$A,$G799,куб!H:H)))))))</f>
        <v>0</v>
      </c>
      <c r="I799" s="27">
        <f>IF($G799&lt;&gt;0,SUMIF(куб!$G:$G,$G799,куб!I:I),IF($E799&lt;&gt;0,SUMIF(куб!$E:$E,$E799,куб!I:I),IF($D799&lt;&gt;0,SUMIF(куб!$D:$D,$D799,куб!I:I),IF($C799&lt;&gt;0,SUMIF(куб!$C:$C,$C799,куб!I:I),IF($B799&lt;&gt;0,SUMIF(куб!$B:$B,$B799,куб!I:I),IF($G799&lt;&gt;0,SUMIF(куб!$A:$A,$G799,куб!I:I),SUMIF(куб!$A:$A,$G799,куб!I:I)))))))</f>
        <v>0</v>
      </c>
      <c r="J799" s="19" t="str">
        <f t="shared" si="255"/>
        <v>-</v>
      </c>
      <c r="K799" s="8"/>
      <c r="L799" s="17">
        <f t="shared" si="256"/>
        <v>0</v>
      </c>
      <c r="M799" s="17">
        <f t="shared" si="257"/>
        <v>0</v>
      </c>
      <c r="N799" s="12">
        <f t="shared" si="258"/>
        <v>0</v>
      </c>
      <c r="O799" s="5"/>
      <c r="P799" s="27" t="b">
        <f>IF($G799&lt;&gt;0,SUMIF(куб!$G:$G,$G799,куб!J:J),IF($E799&lt;&gt;0,SUMIF(куб!$E:$E,$E799,куб!J:J),IF($D799&lt;&gt;0,SUMIF(куб!$D:$D,$D799,куб!J:J),IF($C799&lt;&gt;0,SUMIF(куб!$C:$C,$C799,куб!J:J),IF($B799&lt;&gt;0,SUMIF(куб!$B:$B,$B799,куб!J:J))))))</f>
        <v>0</v>
      </c>
      <c r="Q799" s="27" t="b">
        <f>IF($G799&lt;&gt;0,SUMIF(куб!$G:$G,$G799,куб!K:K),IF($E799&lt;&gt;0,SUMIF(куб!$E:$E,$E799,куб!K:K),IF($D799&lt;&gt;0,SUMIF(куб!$D:$D,$D799,куб!K:K),IF($C799&lt;&gt;0,SUMIF(куб!$C:$C,$C799,куб!K:K),IF($B799&lt;&gt;0,SUMIF(куб!$B:$B,$B799,куб!K:K))))))</f>
        <v>0</v>
      </c>
      <c r="R799" s="13" t="str">
        <f t="shared" si="259"/>
        <v>-</v>
      </c>
      <c r="S799" s="5"/>
      <c r="T799" s="27" t="b">
        <f>IF($G799&lt;&gt;0,SUMIF(куб!$G:$G,$G799,куб!L:L),IF($E799&lt;&gt;0,SUMIF(куб!$E:$E,$E799,куб!L:L),IF($D799&lt;&gt;0,SUMIF(куб!$D:$D,$D799,куб!L:L),IF($C799&lt;&gt;0,SUMIF(куб!$C:$C,$C799,куб!L:L),IF($B799&lt;&gt;0,SUMIF(куб!$B:$B,$B799,куб!L:L))))))</f>
        <v>0</v>
      </c>
      <c r="U799" s="27" t="b">
        <f>IF($G799&lt;&gt;0,SUMIF(куб!$G:$G,$G799,куб!M:M),IF($E799&lt;&gt;0,SUMIF(куб!$E:$E,$E799,куб!M:M),IF($D799&lt;&gt;0,SUMIF(куб!$D:$D,$D799,куб!M:M),IF($C799&lt;&gt;0,SUMIF(куб!$C:$C,$C799,куб!M:M),IF($B799&lt;&gt;0,SUMIF(куб!$B:$B,$B799,куб!M:M))))))</f>
        <v>0</v>
      </c>
      <c r="V799" s="13" t="str">
        <f t="shared" si="260"/>
        <v>-</v>
      </c>
      <c r="W799" s="5"/>
      <c r="X799" s="27" t="b">
        <f>IF($G799&lt;&gt;0,SUMIF(куб!$G:$G,$G799,куб!N:N),IF($E799&lt;&gt;0,SUMIF(куб!$E:$E,$E799,куб!N:N),IF($D799&lt;&gt;0,SUMIF(куб!$D:$D,$D799,куб!N:N),IF($C799&lt;&gt;0,SUMIF(куб!$C:$C,$C799,куб!N:N),IF($B799&lt;&gt;0,SUMIF(куб!$B:$B,$B799,куб!N:N))))))</f>
        <v>0</v>
      </c>
      <c r="Y799" s="27" t="b">
        <f>IF($G799&lt;&gt;0,SUMIF(куб!$G:$G,$G799,куб!O:O),IF($E799&lt;&gt;0,SUMIF(куб!$E:$E,$E799,куб!O:O),IF($D799&lt;&gt;0,SUMIF(куб!$D:$D,$D799,куб!O:O),IF($C799&lt;&gt;0,SUMIF(куб!$C:$C,$C799,куб!O:O),IF($B799&lt;&gt;0,SUMIF(куб!$B:$B,$B799,куб!O:O))))))</f>
        <v>0</v>
      </c>
      <c r="Z799" s="13" t="str">
        <f t="shared" si="261"/>
        <v>-</v>
      </c>
      <c r="AA799" s="5"/>
      <c r="AB799" s="33" t="str">
        <f t="shared" si="262"/>
        <v/>
      </c>
      <c r="AC799" s="33" t="str">
        <f t="shared" si="263"/>
        <v/>
      </c>
      <c r="AD799" s="15" t="str">
        <f t="shared" si="264"/>
        <v xml:space="preserve"> </v>
      </c>
      <c r="AE799" s="5"/>
      <c r="AF799" s="27" t="b">
        <f>IF($G799&lt;&gt;0,SUMIF(куб!$G:$G,$G799,куб!R:R),IF($E799&lt;&gt;0,SUMIF(куб!$E:$E,$E799,куб!R:R),IF($D799&lt;&gt;0,SUMIF(куб!$D:$D,$D799,куб!R:R),IF($C799&lt;&gt;0,SUMIF(куб!$C:$C,$C799,куб!R:R),IF($B799&lt;&gt;0,SUMIF(куб!$B:$B,$B799,куб!R:R))))))</f>
        <v>0</v>
      </c>
      <c r="AG799" s="27" t="b">
        <f>IF($G799&lt;&gt;0,SUMIF(куб!$G:$G,$G799,куб!S:S),IF($E799&lt;&gt;0,SUMIF(куб!$E:$E,$E799,куб!S:S),IF($D799&lt;&gt;0,SUMIF(куб!$D:$D,$D799,куб!S:S),IF($C799&lt;&gt;0,SUMIF(куб!$C:$C,$C799,куб!S:S),IF($B799&lt;&gt;0,SUMIF(куб!$B:$B,$B799,куб!S:S))))))</f>
        <v>0</v>
      </c>
      <c r="AH799" s="16" t="str">
        <f t="shared" si="265"/>
        <v>-</v>
      </c>
      <c r="AI799" s="8"/>
      <c r="AJ799" s="27" t="b">
        <f>IF($G799&lt;&gt;0,SUMIF(куб!$G:$G,$G799,куб!T:T),IF($E799&lt;&gt;0,SUMIF(куб!$E:$E,$E799,куб!T:T),IF($D799&lt;&gt;0,SUMIF(куб!$D:$D,$D799,куб!T:T),IF($C799&lt;&gt;0,SUMIF(куб!$C:$C,$C799,куб!T:T),IF($B799&lt;&gt;0,SUMIF(куб!$B:$B,$B799,куб!T:T))))))</f>
        <v>0</v>
      </c>
      <c r="AK799" s="27" t="b">
        <f>IF($G799&lt;&gt;0,SUMIF(куб!$G:$G,$G799,куб!U:U),IF($E799&lt;&gt;0,SUMIF(куб!$E:$E,$E799,куб!U:U),IF($D799&lt;&gt;0,SUMIF(куб!$D:$D,$D799,куб!U:U),IF($C799&lt;&gt;0,SUMIF(куб!$C:$C,$C799,куб!U:U),IF($B799&lt;&gt;0,SUMIF(куб!$B:$B,$B799,куб!U:U))))))</f>
        <v>0</v>
      </c>
      <c r="AL799" s="16" t="str">
        <f t="shared" si="266"/>
        <v>-</v>
      </c>
      <c r="AM799" s="8"/>
      <c r="AN799" s="17" t="str">
        <f t="shared" si="267"/>
        <v xml:space="preserve"> </v>
      </c>
      <c r="AO799" s="17" t="str">
        <f t="shared" si="268"/>
        <v xml:space="preserve"> </v>
      </c>
      <c r="AP799" s="16" t="str">
        <f t="shared" si="269"/>
        <v>-</v>
      </c>
      <c r="AQ799" s="8"/>
      <c r="AR799" s="17" t="str">
        <f t="shared" si="270"/>
        <v>-</v>
      </c>
      <c r="AS799" s="17" t="str">
        <f t="shared" si="271"/>
        <v>-</v>
      </c>
      <c r="AT799" s="13" t="str">
        <f t="shared" si="272"/>
        <v>-</v>
      </c>
      <c r="AU799" s="8"/>
    </row>
    <row r="800" spans="1:47" x14ac:dyDescent="0.25">
      <c r="A800" s="31"/>
      <c r="B800" s="31"/>
      <c r="C800"/>
      <c r="D800" s="31"/>
      <c r="E800"/>
      <c r="F800"/>
      <c r="G800"/>
      <c r="H800" s="27">
        <f>IF($G800&lt;&gt;0,SUMIF(куб!$G:$G,$G800,куб!H:H),IF($E800&lt;&gt;0,SUMIF(куб!$E:$E,$E800,куб!H:H),IF($D800&lt;&gt;0,SUMIF(куб!$D:$D,$D800,куб!H:H),IF($C800&lt;&gt;0,SUMIF(куб!$C:$C,$C800,куб!H:H),IF($B800&lt;&gt;0,SUMIF(куб!$B:$B,$B800,куб!H:H),IF($G800&lt;&gt;0,SUMIF(куб!$A:$A,$G800,куб!H:H),SUMIF(куб!$A:$A,$G800,куб!H:H)))))))</f>
        <v>0</v>
      </c>
      <c r="I800" s="27">
        <f>IF($G800&lt;&gt;0,SUMIF(куб!$G:$G,$G800,куб!I:I),IF($E800&lt;&gt;0,SUMIF(куб!$E:$E,$E800,куб!I:I),IF($D800&lt;&gt;0,SUMIF(куб!$D:$D,$D800,куб!I:I),IF($C800&lt;&gt;0,SUMIF(куб!$C:$C,$C800,куб!I:I),IF($B800&lt;&gt;0,SUMIF(куб!$B:$B,$B800,куб!I:I),IF($G800&lt;&gt;0,SUMIF(куб!$A:$A,$G800,куб!I:I),SUMIF(куб!$A:$A,$G800,куб!I:I)))))))</f>
        <v>0</v>
      </c>
      <c r="J800" s="19" t="str">
        <f t="shared" si="255"/>
        <v>-</v>
      </c>
      <c r="K800" s="8"/>
      <c r="L800" s="17">
        <f t="shared" si="256"/>
        <v>0</v>
      </c>
      <c r="M800" s="17">
        <f t="shared" si="257"/>
        <v>0</v>
      </c>
      <c r="N800" s="12">
        <f t="shared" si="258"/>
        <v>0</v>
      </c>
      <c r="O800" s="5"/>
      <c r="P800" s="27" t="b">
        <f>IF($G800&lt;&gt;0,SUMIF(куб!$G:$G,$G800,куб!J:J),IF($E800&lt;&gt;0,SUMIF(куб!$E:$E,$E800,куб!J:J),IF($D800&lt;&gt;0,SUMIF(куб!$D:$D,$D800,куб!J:J),IF($C800&lt;&gt;0,SUMIF(куб!$C:$C,$C800,куб!J:J),IF($B800&lt;&gt;0,SUMIF(куб!$B:$B,$B800,куб!J:J))))))</f>
        <v>0</v>
      </c>
      <c r="Q800" s="27" t="b">
        <f>IF($G800&lt;&gt;0,SUMIF(куб!$G:$G,$G800,куб!K:K),IF($E800&lt;&gt;0,SUMIF(куб!$E:$E,$E800,куб!K:K),IF($D800&lt;&gt;0,SUMIF(куб!$D:$D,$D800,куб!K:K),IF($C800&lt;&gt;0,SUMIF(куб!$C:$C,$C800,куб!K:K),IF($B800&lt;&gt;0,SUMIF(куб!$B:$B,$B800,куб!K:K))))))</f>
        <v>0</v>
      </c>
      <c r="R800" s="13" t="str">
        <f t="shared" si="259"/>
        <v>-</v>
      </c>
      <c r="S800" s="5"/>
      <c r="T800" s="27" t="b">
        <f>IF($G800&lt;&gt;0,SUMIF(куб!$G:$G,$G800,куб!L:L),IF($E800&lt;&gt;0,SUMIF(куб!$E:$E,$E800,куб!L:L),IF($D800&lt;&gt;0,SUMIF(куб!$D:$D,$D800,куб!L:L),IF($C800&lt;&gt;0,SUMIF(куб!$C:$C,$C800,куб!L:L),IF($B800&lt;&gt;0,SUMIF(куб!$B:$B,$B800,куб!L:L))))))</f>
        <v>0</v>
      </c>
      <c r="U800" s="27" t="b">
        <f>IF($G800&lt;&gt;0,SUMIF(куб!$G:$G,$G800,куб!M:M),IF($E800&lt;&gt;0,SUMIF(куб!$E:$E,$E800,куб!M:M),IF($D800&lt;&gt;0,SUMIF(куб!$D:$D,$D800,куб!M:M),IF($C800&lt;&gt;0,SUMIF(куб!$C:$C,$C800,куб!M:M),IF($B800&lt;&gt;0,SUMIF(куб!$B:$B,$B800,куб!M:M))))))</f>
        <v>0</v>
      </c>
      <c r="V800" s="13" t="str">
        <f t="shared" si="260"/>
        <v>-</v>
      </c>
      <c r="W800" s="5"/>
      <c r="X800" s="27" t="b">
        <f>IF($G800&lt;&gt;0,SUMIF(куб!$G:$G,$G800,куб!N:N),IF($E800&lt;&gt;0,SUMIF(куб!$E:$E,$E800,куб!N:N),IF($D800&lt;&gt;0,SUMIF(куб!$D:$D,$D800,куб!N:N),IF($C800&lt;&gt;0,SUMIF(куб!$C:$C,$C800,куб!N:N),IF($B800&lt;&gt;0,SUMIF(куб!$B:$B,$B800,куб!N:N))))))</f>
        <v>0</v>
      </c>
      <c r="Y800" s="27" t="b">
        <f>IF($G800&lt;&gt;0,SUMIF(куб!$G:$G,$G800,куб!O:O),IF($E800&lt;&gt;0,SUMIF(куб!$E:$E,$E800,куб!O:O),IF($D800&lt;&gt;0,SUMIF(куб!$D:$D,$D800,куб!O:O),IF($C800&lt;&gt;0,SUMIF(куб!$C:$C,$C800,куб!O:O),IF($B800&lt;&gt;0,SUMIF(куб!$B:$B,$B800,куб!O:O))))))</f>
        <v>0</v>
      </c>
      <c r="Z800" s="13" t="str">
        <f t="shared" si="261"/>
        <v>-</v>
      </c>
      <c r="AA800" s="5"/>
      <c r="AB800" s="33" t="str">
        <f t="shared" si="262"/>
        <v/>
      </c>
      <c r="AC800" s="33" t="str">
        <f t="shared" si="263"/>
        <v/>
      </c>
      <c r="AD800" s="15" t="str">
        <f t="shared" si="264"/>
        <v xml:space="preserve"> </v>
      </c>
      <c r="AE800" s="5"/>
      <c r="AF800" s="27" t="b">
        <f>IF($G800&lt;&gt;0,SUMIF(куб!$G:$G,$G800,куб!R:R),IF($E800&lt;&gt;0,SUMIF(куб!$E:$E,$E800,куб!R:R),IF($D800&lt;&gt;0,SUMIF(куб!$D:$D,$D800,куб!R:R),IF($C800&lt;&gt;0,SUMIF(куб!$C:$C,$C800,куб!R:R),IF($B800&lt;&gt;0,SUMIF(куб!$B:$B,$B800,куб!R:R))))))</f>
        <v>0</v>
      </c>
      <c r="AG800" s="27" t="b">
        <f>IF($G800&lt;&gt;0,SUMIF(куб!$G:$G,$G800,куб!S:S),IF($E800&lt;&gt;0,SUMIF(куб!$E:$E,$E800,куб!S:S),IF($D800&lt;&gt;0,SUMIF(куб!$D:$D,$D800,куб!S:S),IF($C800&lt;&gt;0,SUMIF(куб!$C:$C,$C800,куб!S:S),IF($B800&lt;&gt;0,SUMIF(куб!$B:$B,$B800,куб!S:S))))))</f>
        <v>0</v>
      </c>
      <c r="AH800" s="16" t="str">
        <f t="shared" si="265"/>
        <v>-</v>
      </c>
      <c r="AI800" s="8"/>
      <c r="AJ800" s="27" t="b">
        <f>IF($G800&lt;&gt;0,SUMIF(куб!$G:$G,$G800,куб!T:T),IF($E800&lt;&gt;0,SUMIF(куб!$E:$E,$E800,куб!T:T),IF($D800&lt;&gt;0,SUMIF(куб!$D:$D,$D800,куб!T:T),IF($C800&lt;&gt;0,SUMIF(куб!$C:$C,$C800,куб!T:T),IF($B800&lt;&gt;0,SUMIF(куб!$B:$B,$B800,куб!T:T))))))</f>
        <v>0</v>
      </c>
      <c r="AK800" s="27" t="b">
        <f>IF($G800&lt;&gt;0,SUMIF(куб!$G:$G,$G800,куб!U:U),IF($E800&lt;&gt;0,SUMIF(куб!$E:$E,$E800,куб!U:U),IF($D800&lt;&gt;0,SUMIF(куб!$D:$D,$D800,куб!U:U),IF($C800&lt;&gt;0,SUMIF(куб!$C:$C,$C800,куб!U:U),IF($B800&lt;&gt;0,SUMIF(куб!$B:$B,$B800,куб!U:U))))))</f>
        <v>0</v>
      </c>
      <c r="AL800" s="16" t="str">
        <f t="shared" si="266"/>
        <v>-</v>
      </c>
      <c r="AM800" s="8"/>
      <c r="AN800" s="17" t="str">
        <f t="shared" si="267"/>
        <v xml:space="preserve"> </v>
      </c>
      <c r="AO800" s="17" t="str">
        <f t="shared" si="268"/>
        <v xml:space="preserve"> </v>
      </c>
      <c r="AP800" s="16" t="str">
        <f t="shared" si="269"/>
        <v>-</v>
      </c>
      <c r="AQ800" s="8"/>
      <c r="AR800" s="17" t="str">
        <f t="shared" si="270"/>
        <v>-</v>
      </c>
      <c r="AS800" s="17" t="str">
        <f t="shared" si="271"/>
        <v>-</v>
      </c>
      <c r="AT800" s="13" t="str">
        <f t="shared" si="272"/>
        <v>-</v>
      </c>
      <c r="AU800" s="8"/>
    </row>
    <row r="801" spans="1:47" x14ac:dyDescent="0.25">
      <c r="A801" s="31"/>
      <c r="B801" s="31"/>
      <c r="C801"/>
      <c r="D801" s="31"/>
      <c r="E801" s="31"/>
      <c r="F801" s="31"/>
      <c r="G801" s="31"/>
      <c r="H801" s="27">
        <f>IF($G801&lt;&gt;0,SUMIF(куб!$G:$G,$G801,куб!H:H),IF($E801&lt;&gt;0,SUMIF(куб!$E:$E,$E801,куб!H:H),IF($D801&lt;&gt;0,SUMIF(куб!$D:$D,$D801,куб!H:H),IF($C801&lt;&gt;0,SUMIF(куб!$C:$C,$C801,куб!H:H),IF($B801&lt;&gt;0,SUMIF(куб!$B:$B,$B801,куб!H:H),IF($G801&lt;&gt;0,SUMIF(куб!$A:$A,$G801,куб!H:H),SUMIF(куб!$A:$A,$G801,куб!H:H)))))))</f>
        <v>0</v>
      </c>
      <c r="I801" s="27">
        <f>IF($G801&lt;&gt;0,SUMIF(куб!$G:$G,$G801,куб!I:I),IF($E801&lt;&gt;0,SUMIF(куб!$E:$E,$E801,куб!I:I),IF($D801&lt;&gt;0,SUMIF(куб!$D:$D,$D801,куб!I:I),IF($C801&lt;&gt;0,SUMIF(куб!$C:$C,$C801,куб!I:I),IF($B801&lt;&gt;0,SUMIF(куб!$B:$B,$B801,куб!I:I),IF($G801&lt;&gt;0,SUMIF(куб!$A:$A,$G801,куб!I:I),SUMIF(куб!$A:$A,$G801,куб!I:I)))))))</f>
        <v>0</v>
      </c>
      <c r="J801" s="19" t="str">
        <f t="shared" si="255"/>
        <v>-</v>
      </c>
      <c r="K801" s="8"/>
      <c r="L801" s="17">
        <f t="shared" si="256"/>
        <v>0</v>
      </c>
      <c r="M801" s="17">
        <f t="shared" si="257"/>
        <v>0</v>
      </c>
      <c r="N801" s="12">
        <f t="shared" si="258"/>
        <v>0</v>
      </c>
      <c r="O801" s="5"/>
      <c r="P801" s="27" t="b">
        <f>IF($G801&lt;&gt;0,SUMIF(куб!$G:$G,$G801,куб!J:J),IF($E801&lt;&gt;0,SUMIF(куб!$E:$E,$E801,куб!J:J),IF($D801&lt;&gt;0,SUMIF(куб!$D:$D,$D801,куб!J:J),IF($C801&lt;&gt;0,SUMIF(куб!$C:$C,$C801,куб!J:J),IF($B801&lt;&gt;0,SUMIF(куб!$B:$B,$B801,куб!J:J))))))</f>
        <v>0</v>
      </c>
      <c r="Q801" s="27" t="b">
        <f>IF($G801&lt;&gt;0,SUMIF(куб!$G:$G,$G801,куб!K:K),IF($E801&lt;&gt;0,SUMIF(куб!$E:$E,$E801,куб!K:K),IF($D801&lt;&gt;0,SUMIF(куб!$D:$D,$D801,куб!K:K),IF($C801&lt;&gt;0,SUMIF(куб!$C:$C,$C801,куб!K:K),IF($B801&lt;&gt;0,SUMIF(куб!$B:$B,$B801,куб!K:K))))))</f>
        <v>0</v>
      </c>
      <c r="R801" s="13" t="str">
        <f t="shared" si="259"/>
        <v>-</v>
      </c>
      <c r="S801" s="5"/>
      <c r="T801" s="27" t="b">
        <f>IF($G801&lt;&gt;0,SUMIF(куб!$G:$G,$G801,куб!L:L),IF($E801&lt;&gt;0,SUMIF(куб!$E:$E,$E801,куб!L:L),IF($D801&lt;&gt;0,SUMIF(куб!$D:$D,$D801,куб!L:L),IF($C801&lt;&gt;0,SUMIF(куб!$C:$C,$C801,куб!L:L),IF($B801&lt;&gt;0,SUMIF(куб!$B:$B,$B801,куб!L:L))))))</f>
        <v>0</v>
      </c>
      <c r="U801" s="27" t="b">
        <f>IF($G801&lt;&gt;0,SUMIF(куб!$G:$G,$G801,куб!M:M),IF($E801&lt;&gt;0,SUMIF(куб!$E:$E,$E801,куб!M:M),IF($D801&lt;&gt;0,SUMIF(куб!$D:$D,$D801,куб!M:M),IF($C801&lt;&gt;0,SUMIF(куб!$C:$C,$C801,куб!M:M),IF($B801&lt;&gt;0,SUMIF(куб!$B:$B,$B801,куб!M:M))))))</f>
        <v>0</v>
      </c>
      <c r="V801" s="13" t="str">
        <f t="shared" si="260"/>
        <v>-</v>
      </c>
      <c r="W801" s="5"/>
      <c r="X801" s="27" t="b">
        <f>IF($G801&lt;&gt;0,SUMIF(куб!$G:$G,$G801,куб!N:N),IF($E801&lt;&gt;0,SUMIF(куб!$E:$E,$E801,куб!N:N),IF($D801&lt;&gt;0,SUMIF(куб!$D:$D,$D801,куб!N:N),IF($C801&lt;&gt;0,SUMIF(куб!$C:$C,$C801,куб!N:N),IF($B801&lt;&gt;0,SUMIF(куб!$B:$B,$B801,куб!N:N))))))</f>
        <v>0</v>
      </c>
      <c r="Y801" s="27" t="b">
        <f>IF($G801&lt;&gt;0,SUMIF(куб!$G:$G,$G801,куб!O:O),IF($E801&lt;&gt;0,SUMIF(куб!$E:$E,$E801,куб!O:O),IF($D801&lt;&gt;0,SUMIF(куб!$D:$D,$D801,куб!O:O),IF($C801&lt;&gt;0,SUMIF(куб!$C:$C,$C801,куб!O:O),IF($B801&lt;&gt;0,SUMIF(куб!$B:$B,$B801,куб!O:O))))))</f>
        <v>0</v>
      </c>
      <c r="Z801" s="13" t="str">
        <f t="shared" si="261"/>
        <v>-</v>
      </c>
      <c r="AA801" s="5"/>
      <c r="AB801" s="33" t="str">
        <f t="shared" si="262"/>
        <v/>
      </c>
      <c r="AC801" s="33" t="str">
        <f t="shared" si="263"/>
        <v/>
      </c>
      <c r="AD801" s="15" t="str">
        <f t="shared" si="264"/>
        <v xml:space="preserve"> </v>
      </c>
      <c r="AE801" s="5"/>
      <c r="AF801" s="27" t="b">
        <f>IF($G801&lt;&gt;0,SUMIF(куб!$G:$G,$G801,куб!R:R),IF($E801&lt;&gt;0,SUMIF(куб!$E:$E,$E801,куб!R:R),IF($D801&lt;&gt;0,SUMIF(куб!$D:$D,$D801,куб!R:R),IF($C801&lt;&gt;0,SUMIF(куб!$C:$C,$C801,куб!R:R),IF($B801&lt;&gt;0,SUMIF(куб!$B:$B,$B801,куб!R:R))))))</f>
        <v>0</v>
      </c>
      <c r="AG801" s="27" t="b">
        <f>IF($G801&lt;&gt;0,SUMIF(куб!$G:$G,$G801,куб!S:S),IF($E801&lt;&gt;0,SUMIF(куб!$E:$E,$E801,куб!S:S),IF($D801&lt;&gt;0,SUMIF(куб!$D:$D,$D801,куб!S:S),IF($C801&lt;&gt;0,SUMIF(куб!$C:$C,$C801,куб!S:S),IF($B801&lt;&gt;0,SUMIF(куб!$B:$B,$B801,куб!S:S))))))</f>
        <v>0</v>
      </c>
      <c r="AH801" s="16" t="str">
        <f t="shared" si="265"/>
        <v>-</v>
      </c>
      <c r="AI801" s="8"/>
      <c r="AJ801" s="27" t="b">
        <f>IF($G801&lt;&gt;0,SUMIF(куб!$G:$G,$G801,куб!T:T),IF($E801&lt;&gt;0,SUMIF(куб!$E:$E,$E801,куб!T:T),IF($D801&lt;&gt;0,SUMIF(куб!$D:$D,$D801,куб!T:T),IF($C801&lt;&gt;0,SUMIF(куб!$C:$C,$C801,куб!T:T),IF($B801&lt;&gt;0,SUMIF(куб!$B:$B,$B801,куб!T:T))))))</f>
        <v>0</v>
      </c>
      <c r="AK801" s="27" t="b">
        <f>IF($G801&lt;&gt;0,SUMIF(куб!$G:$G,$G801,куб!U:U),IF($E801&lt;&gt;0,SUMIF(куб!$E:$E,$E801,куб!U:U),IF($D801&lt;&gt;0,SUMIF(куб!$D:$D,$D801,куб!U:U),IF($C801&lt;&gt;0,SUMIF(куб!$C:$C,$C801,куб!U:U),IF($B801&lt;&gt;0,SUMIF(куб!$B:$B,$B801,куб!U:U))))))</f>
        <v>0</v>
      </c>
      <c r="AL801" s="16" t="str">
        <f t="shared" si="266"/>
        <v>-</v>
      </c>
      <c r="AM801" s="8"/>
      <c r="AN801" s="17" t="str">
        <f t="shared" si="267"/>
        <v xml:space="preserve"> </v>
      </c>
      <c r="AO801" s="17" t="str">
        <f t="shared" si="268"/>
        <v xml:space="preserve"> </v>
      </c>
      <c r="AP801" s="16" t="str">
        <f t="shared" si="269"/>
        <v>-</v>
      </c>
      <c r="AQ801" s="8"/>
      <c r="AR801" s="17" t="str">
        <f t="shared" si="270"/>
        <v>-</v>
      </c>
      <c r="AS801" s="17" t="str">
        <f t="shared" si="271"/>
        <v>-</v>
      </c>
      <c r="AT801" s="13" t="str">
        <f t="shared" si="272"/>
        <v>-</v>
      </c>
      <c r="AU801" s="8"/>
    </row>
    <row r="802" spans="1:47" x14ac:dyDescent="0.25">
      <c r="A802" s="31"/>
      <c r="B802" s="31"/>
      <c r="C802"/>
      <c r="D802"/>
      <c r="E802"/>
      <c r="F802"/>
      <c r="G802"/>
      <c r="H802" s="27">
        <f>IF($G802&lt;&gt;0,SUMIF(куб!$G:$G,$G802,куб!H:H),IF($E802&lt;&gt;0,SUMIF(куб!$E:$E,$E802,куб!H:H),IF($D802&lt;&gt;0,SUMIF(куб!$D:$D,$D802,куб!H:H),IF($C802&lt;&gt;0,SUMIF(куб!$C:$C,$C802,куб!H:H),IF($B802&lt;&gt;0,SUMIF(куб!$B:$B,$B802,куб!H:H),IF($G802&lt;&gt;0,SUMIF(куб!$A:$A,$G802,куб!H:H),SUMIF(куб!$A:$A,$G802,куб!H:H)))))))</f>
        <v>0</v>
      </c>
      <c r="I802" s="27">
        <f>IF($G802&lt;&gt;0,SUMIF(куб!$G:$G,$G802,куб!I:I),IF($E802&lt;&gt;0,SUMIF(куб!$E:$E,$E802,куб!I:I),IF($D802&lt;&gt;0,SUMIF(куб!$D:$D,$D802,куб!I:I),IF($C802&lt;&gt;0,SUMIF(куб!$C:$C,$C802,куб!I:I),IF($B802&lt;&gt;0,SUMIF(куб!$B:$B,$B802,куб!I:I),IF($G802&lt;&gt;0,SUMIF(куб!$A:$A,$G802,куб!I:I),SUMIF(куб!$A:$A,$G802,куб!I:I)))))))</f>
        <v>0</v>
      </c>
      <c r="J802" s="19" t="str">
        <f t="shared" si="255"/>
        <v>-</v>
      </c>
      <c r="K802" s="8"/>
      <c r="L802" s="17">
        <f t="shared" si="256"/>
        <v>0</v>
      </c>
      <c r="M802" s="17">
        <f t="shared" si="257"/>
        <v>0</v>
      </c>
      <c r="N802" s="12">
        <f t="shared" si="258"/>
        <v>0</v>
      </c>
      <c r="O802" s="5"/>
      <c r="P802" s="27" t="b">
        <f>IF($G802&lt;&gt;0,SUMIF(куб!$G:$G,$G802,куб!J:J),IF($E802&lt;&gt;0,SUMIF(куб!$E:$E,$E802,куб!J:J),IF($D802&lt;&gt;0,SUMIF(куб!$D:$D,$D802,куб!J:J),IF($C802&lt;&gt;0,SUMIF(куб!$C:$C,$C802,куб!J:J),IF($B802&lt;&gt;0,SUMIF(куб!$B:$B,$B802,куб!J:J))))))</f>
        <v>0</v>
      </c>
      <c r="Q802" s="27" t="b">
        <f>IF($G802&lt;&gt;0,SUMIF(куб!$G:$G,$G802,куб!K:K),IF($E802&lt;&gt;0,SUMIF(куб!$E:$E,$E802,куб!K:K),IF($D802&lt;&gt;0,SUMIF(куб!$D:$D,$D802,куб!K:K),IF($C802&lt;&gt;0,SUMIF(куб!$C:$C,$C802,куб!K:K),IF($B802&lt;&gt;0,SUMIF(куб!$B:$B,$B802,куб!K:K))))))</f>
        <v>0</v>
      </c>
      <c r="R802" s="13" t="str">
        <f t="shared" si="259"/>
        <v>-</v>
      </c>
      <c r="S802" s="5"/>
      <c r="T802" s="27" t="b">
        <f>IF($G802&lt;&gt;0,SUMIF(куб!$G:$G,$G802,куб!L:L),IF($E802&lt;&gt;0,SUMIF(куб!$E:$E,$E802,куб!L:L),IF($D802&lt;&gt;0,SUMIF(куб!$D:$D,$D802,куб!L:L),IF($C802&lt;&gt;0,SUMIF(куб!$C:$C,$C802,куб!L:L),IF($B802&lt;&gt;0,SUMIF(куб!$B:$B,$B802,куб!L:L))))))</f>
        <v>0</v>
      </c>
      <c r="U802" s="27" t="b">
        <f>IF($G802&lt;&gt;0,SUMIF(куб!$G:$G,$G802,куб!M:M),IF($E802&lt;&gt;0,SUMIF(куб!$E:$E,$E802,куб!M:M),IF($D802&lt;&gt;0,SUMIF(куб!$D:$D,$D802,куб!M:M),IF($C802&lt;&gt;0,SUMIF(куб!$C:$C,$C802,куб!M:M),IF($B802&lt;&gt;0,SUMIF(куб!$B:$B,$B802,куб!M:M))))))</f>
        <v>0</v>
      </c>
      <c r="V802" s="13" t="str">
        <f t="shared" si="260"/>
        <v>-</v>
      </c>
      <c r="W802" s="5"/>
      <c r="X802" s="27" t="b">
        <f>IF($G802&lt;&gt;0,SUMIF(куб!$G:$G,$G802,куб!N:N),IF($E802&lt;&gt;0,SUMIF(куб!$E:$E,$E802,куб!N:N),IF($D802&lt;&gt;0,SUMIF(куб!$D:$D,$D802,куб!N:N),IF($C802&lt;&gt;0,SUMIF(куб!$C:$C,$C802,куб!N:N),IF($B802&lt;&gt;0,SUMIF(куб!$B:$B,$B802,куб!N:N))))))</f>
        <v>0</v>
      </c>
      <c r="Y802" s="27" t="b">
        <f>IF($G802&lt;&gt;0,SUMIF(куб!$G:$G,$G802,куб!O:O),IF($E802&lt;&gt;0,SUMIF(куб!$E:$E,$E802,куб!O:O),IF($D802&lt;&gt;0,SUMIF(куб!$D:$D,$D802,куб!O:O),IF($C802&lt;&gt;0,SUMIF(куб!$C:$C,$C802,куб!O:O),IF($B802&lt;&gt;0,SUMIF(куб!$B:$B,$B802,куб!O:O))))))</f>
        <v>0</v>
      </c>
      <c r="Z802" s="13" t="str">
        <f t="shared" si="261"/>
        <v>-</v>
      </c>
      <c r="AA802" s="5"/>
      <c r="AB802" s="33" t="str">
        <f t="shared" si="262"/>
        <v/>
      </c>
      <c r="AC802" s="33" t="str">
        <f t="shared" si="263"/>
        <v/>
      </c>
      <c r="AD802" s="15" t="str">
        <f t="shared" si="264"/>
        <v xml:space="preserve"> </v>
      </c>
      <c r="AE802" s="5"/>
      <c r="AF802" s="27" t="b">
        <f>IF($G802&lt;&gt;0,SUMIF(куб!$G:$G,$G802,куб!R:R),IF($E802&lt;&gt;0,SUMIF(куб!$E:$E,$E802,куб!R:R),IF($D802&lt;&gt;0,SUMIF(куб!$D:$D,$D802,куб!R:R),IF($C802&lt;&gt;0,SUMIF(куб!$C:$C,$C802,куб!R:R),IF($B802&lt;&gt;0,SUMIF(куб!$B:$B,$B802,куб!R:R))))))</f>
        <v>0</v>
      </c>
      <c r="AG802" s="27" t="b">
        <f>IF($G802&lt;&gt;0,SUMIF(куб!$G:$G,$G802,куб!S:S),IF($E802&lt;&gt;0,SUMIF(куб!$E:$E,$E802,куб!S:S),IF($D802&lt;&gt;0,SUMIF(куб!$D:$D,$D802,куб!S:S),IF($C802&lt;&gt;0,SUMIF(куб!$C:$C,$C802,куб!S:S),IF($B802&lt;&gt;0,SUMIF(куб!$B:$B,$B802,куб!S:S))))))</f>
        <v>0</v>
      </c>
      <c r="AH802" s="16" t="str">
        <f t="shared" si="265"/>
        <v>-</v>
      </c>
      <c r="AI802" s="8"/>
      <c r="AJ802" s="27" t="b">
        <f>IF($G802&lt;&gt;0,SUMIF(куб!$G:$G,$G802,куб!T:T),IF($E802&lt;&gt;0,SUMIF(куб!$E:$E,$E802,куб!T:T),IF($D802&lt;&gt;0,SUMIF(куб!$D:$D,$D802,куб!T:T),IF($C802&lt;&gt;0,SUMIF(куб!$C:$C,$C802,куб!T:T),IF($B802&lt;&gt;0,SUMIF(куб!$B:$B,$B802,куб!T:T))))))</f>
        <v>0</v>
      </c>
      <c r="AK802" s="27" t="b">
        <f>IF($G802&lt;&gt;0,SUMIF(куб!$G:$G,$G802,куб!U:U),IF($E802&lt;&gt;0,SUMIF(куб!$E:$E,$E802,куб!U:U),IF($D802&lt;&gt;0,SUMIF(куб!$D:$D,$D802,куб!U:U),IF($C802&lt;&gt;0,SUMIF(куб!$C:$C,$C802,куб!U:U),IF($B802&lt;&gt;0,SUMIF(куб!$B:$B,$B802,куб!U:U))))))</f>
        <v>0</v>
      </c>
      <c r="AL802" s="16" t="str">
        <f t="shared" si="266"/>
        <v>-</v>
      </c>
      <c r="AM802" s="8"/>
      <c r="AN802" s="17" t="str">
        <f t="shared" si="267"/>
        <v xml:space="preserve"> </v>
      </c>
      <c r="AO802" s="17" t="str">
        <f t="shared" si="268"/>
        <v xml:space="preserve"> </v>
      </c>
      <c r="AP802" s="16" t="str">
        <f t="shared" si="269"/>
        <v>-</v>
      </c>
      <c r="AQ802" s="8"/>
      <c r="AR802" s="17" t="str">
        <f t="shared" si="270"/>
        <v>-</v>
      </c>
      <c r="AS802" s="17" t="str">
        <f t="shared" si="271"/>
        <v>-</v>
      </c>
      <c r="AT802" s="13" t="str">
        <f t="shared" si="272"/>
        <v>-</v>
      </c>
      <c r="AU802" s="8"/>
    </row>
    <row r="803" spans="1:47" x14ac:dyDescent="0.25">
      <c r="A803" s="31"/>
      <c r="B803" s="31"/>
      <c r="C803"/>
      <c r="D803" s="31"/>
      <c r="E803"/>
      <c r="F803" s="31"/>
      <c r="G803"/>
      <c r="H803" s="27">
        <f>IF($G803&lt;&gt;0,SUMIF(куб!$G:$G,$G803,куб!H:H),IF($E803&lt;&gt;0,SUMIF(куб!$E:$E,$E803,куб!H:H),IF($D803&lt;&gt;0,SUMIF(куб!$D:$D,$D803,куб!H:H),IF($C803&lt;&gt;0,SUMIF(куб!$C:$C,$C803,куб!H:H),IF($B803&lt;&gt;0,SUMIF(куб!$B:$B,$B803,куб!H:H),IF($G803&lt;&gt;0,SUMIF(куб!$A:$A,$G803,куб!H:H),SUMIF(куб!$A:$A,$G803,куб!H:H)))))))</f>
        <v>0</v>
      </c>
      <c r="I803" s="27">
        <f>IF($G803&lt;&gt;0,SUMIF(куб!$G:$G,$G803,куб!I:I),IF($E803&lt;&gt;0,SUMIF(куб!$E:$E,$E803,куб!I:I),IF($D803&lt;&gt;0,SUMIF(куб!$D:$D,$D803,куб!I:I),IF($C803&lt;&gt;0,SUMIF(куб!$C:$C,$C803,куб!I:I),IF($B803&lt;&gt;0,SUMIF(куб!$B:$B,$B803,куб!I:I),IF($G803&lt;&gt;0,SUMIF(куб!$A:$A,$G803,куб!I:I),SUMIF(куб!$A:$A,$G803,куб!I:I)))))))</f>
        <v>0</v>
      </c>
      <c r="J803" s="19" t="str">
        <f t="shared" si="255"/>
        <v>-</v>
      </c>
      <c r="K803" s="8"/>
      <c r="L803" s="17">
        <f t="shared" si="256"/>
        <v>0</v>
      </c>
      <c r="M803" s="17">
        <f t="shared" si="257"/>
        <v>0</v>
      </c>
      <c r="N803" s="12">
        <f t="shared" si="258"/>
        <v>0</v>
      </c>
      <c r="O803" s="5"/>
      <c r="P803" s="27" t="b">
        <f>IF($G803&lt;&gt;0,SUMIF(куб!$G:$G,$G803,куб!J:J),IF($E803&lt;&gt;0,SUMIF(куб!$E:$E,$E803,куб!J:J),IF($D803&lt;&gt;0,SUMIF(куб!$D:$D,$D803,куб!J:J),IF($C803&lt;&gt;0,SUMIF(куб!$C:$C,$C803,куб!J:J),IF($B803&lt;&gt;0,SUMIF(куб!$B:$B,$B803,куб!J:J))))))</f>
        <v>0</v>
      </c>
      <c r="Q803" s="27" t="b">
        <f>IF($G803&lt;&gt;0,SUMIF(куб!$G:$G,$G803,куб!K:K),IF($E803&lt;&gt;0,SUMIF(куб!$E:$E,$E803,куб!K:K),IF($D803&lt;&gt;0,SUMIF(куб!$D:$D,$D803,куб!K:K),IF($C803&lt;&gt;0,SUMIF(куб!$C:$C,$C803,куб!K:K),IF($B803&lt;&gt;0,SUMIF(куб!$B:$B,$B803,куб!K:K))))))</f>
        <v>0</v>
      </c>
      <c r="R803" s="13" t="str">
        <f t="shared" si="259"/>
        <v>-</v>
      </c>
      <c r="S803" s="5"/>
      <c r="T803" s="27" t="b">
        <f>IF($G803&lt;&gt;0,SUMIF(куб!$G:$G,$G803,куб!L:L),IF($E803&lt;&gt;0,SUMIF(куб!$E:$E,$E803,куб!L:L),IF($D803&lt;&gt;0,SUMIF(куб!$D:$D,$D803,куб!L:L),IF($C803&lt;&gt;0,SUMIF(куб!$C:$C,$C803,куб!L:L),IF($B803&lt;&gt;0,SUMIF(куб!$B:$B,$B803,куб!L:L))))))</f>
        <v>0</v>
      </c>
      <c r="U803" s="27" t="b">
        <f>IF($G803&lt;&gt;0,SUMIF(куб!$G:$G,$G803,куб!M:M),IF($E803&lt;&gt;0,SUMIF(куб!$E:$E,$E803,куб!M:M),IF($D803&lt;&gt;0,SUMIF(куб!$D:$D,$D803,куб!M:M),IF($C803&lt;&gt;0,SUMIF(куб!$C:$C,$C803,куб!M:M),IF($B803&lt;&gt;0,SUMIF(куб!$B:$B,$B803,куб!M:M))))))</f>
        <v>0</v>
      </c>
      <c r="V803" s="13" t="str">
        <f t="shared" si="260"/>
        <v>-</v>
      </c>
      <c r="W803" s="5"/>
      <c r="X803" s="27" t="b">
        <f>IF($G803&lt;&gt;0,SUMIF(куб!$G:$G,$G803,куб!N:N),IF($E803&lt;&gt;0,SUMIF(куб!$E:$E,$E803,куб!N:N),IF($D803&lt;&gt;0,SUMIF(куб!$D:$D,$D803,куб!N:N),IF($C803&lt;&gt;0,SUMIF(куб!$C:$C,$C803,куб!N:N),IF($B803&lt;&gt;0,SUMIF(куб!$B:$B,$B803,куб!N:N))))))</f>
        <v>0</v>
      </c>
      <c r="Y803" s="27" t="b">
        <f>IF($G803&lt;&gt;0,SUMIF(куб!$G:$G,$G803,куб!O:O),IF($E803&lt;&gt;0,SUMIF(куб!$E:$E,$E803,куб!O:O),IF($D803&lt;&gt;0,SUMIF(куб!$D:$D,$D803,куб!O:O),IF($C803&lt;&gt;0,SUMIF(куб!$C:$C,$C803,куб!O:O),IF($B803&lt;&gt;0,SUMIF(куб!$B:$B,$B803,куб!O:O))))))</f>
        <v>0</v>
      </c>
      <c r="Z803" s="13" t="str">
        <f t="shared" si="261"/>
        <v>-</v>
      </c>
      <c r="AA803" s="5"/>
      <c r="AB803" s="33" t="str">
        <f t="shared" si="262"/>
        <v/>
      </c>
      <c r="AC803" s="33" t="str">
        <f t="shared" si="263"/>
        <v/>
      </c>
      <c r="AD803" s="15" t="str">
        <f t="shared" si="264"/>
        <v xml:space="preserve"> </v>
      </c>
      <c r="AE803" s="5"/>
      <c r="AF803" s="27" t="b">
        <f>IF($G803&lt;&gt;0,SUMIF(куб!$G:$G,$G803,куб!R:R),IF($E803&lt;&gt;0,SUMIF(куб!$E:$E,$E803,куб!R:R),IF($D803&lt;&gt;0,SUMIF(куб!$D:$D,$D803,куб!R:R),IF($C803&lt;&gt;0,SUMIF(куб!$C:$C,$C803,куб!R:R),IF($B803&lt;&gt;0,SUMIF(куб!$B:$B,$B803,куб!R:R))))))</f>
        <v>0</v>
      </c>
      <c r="AG803" s="27" t="b">
        <f>IF($G803&lt;&gt;0,SUMIF(куб!$G:$G,$G803,куб!S:S),IF($E803&lt;&gt;0,SUMIF(куб!$E:$E,$E803,куб!S:S),IF($D803&lt;&gt;0,SUMIF(куб!$D:$D,$D803,куб!S:S),IF($C803&lt;&gt;0,SUMIF(куб!$C:$C,$C803,куб!S:S),IF($B803&lt;&gt;0,SUMIF(куб!$B:$B,$B803,куб!S:S))))))</f>
        <v>0</v>
      </c>
      <c r="AH803" s="16" t="str">
        <f t="shared" si="265"/>
        <v>-</v>
      </c>
      <c r="AI803" s="8"/>
      <c r="AJ803" s="27" t="b">
        <f>IF($G803&lt;&gt;0,SUMIF(куб!$G:$G,$G803,куб!T:T),IF($E803&lt;&gt;0,SUMIF(куб!$E:$E,$E803,куб!T:T),IF($D803&lt;&gt;0,SUMIF(куб!$D:$D,$D803,куб!T:T),IF($C803&lt;&gt;0,SUMIF(куб!$C:$C,$C803,куб!T:T),IF($B803&lt;&gt;0,SUMIF(куб!$B:$B,$B803,куб!T:T))))))</f>
        <v>0</v>
      </c>
      <c r="AK803" s="27" t="b">
        <f>IF($G803&lt;&gt;0,SUMIF(куб!$G:$G,$G803,куб!U:U),IF($E803&lt;&gt;0,SUMIF(куб!$E:$E,$E803,куб!U:U),IF($D803&lt;&gt;0,SUMIF(куб!$D:$D,$D803,куб!U:U),IF($C803&lt;&gt;0,SUMIF(куб!$C:$C,$C803,куб!U:U),IF($B803&lt;&gt;0,SUMIF(куб!$B:$B,$B803,куб!U:U))))))</f>
        <v>0</v>
      </c>
      <c r="AL803" s="16" t="str">
        <f t="shared" si="266"/>
        <v>-</v>
      </c>
      <c r="AM803" s="8"/>
      <c r="AN803" s="17" t="str">
        <f t="shared" si="267"/>
        <v xml:space="preserve"> </v>
      </c>
      <c r="AO803" s="17" t="str">
        <f t="shared" si="268"/>
        <v xml:space="preserve"> </v>
      </c>
      <c r="AP803" s="16" t="str">
        <f t="shared" si="269"/>
        <v>-</v>
      </c>
      <c r="AQ803" s="8"/>
      <c r="AR803" s="17" t="str">
        <f t="shared" si="270"/>
        <v>-</v>
      </c>
      <c r="AS803" s="17" t="str">
        <f t="shared" si="271"/>
        <v>-</v>
      </c>
      <c r="AT803" s="13" t="str">
        <f t="shared" si="272"/>
        <v>-</v>
      </c>
      <c r="AU803" s="8"/>
    </row>
    <row r="804" spans="1:47" x14ac:dyDescent="0.25">
      <c r="A804" s="31"/>
      <c r="B804" s="31"/>
      <c r="C804"/>
      <c r="D804" s="31"/>
      <c r="E804"/>
      <c r="F804"/>
      <c r="G804"/>
      <c r="H804" s="27">
        <f>IF($G804&lt;&gt;0,SUMIF(куб!$G:$G,$G804,куб!H:H),IF($E804&lt;&gt;0,SUMIF(куб!$E:$E,$E804,куб!H:H),IF($D804&lt;&gt;0,SUMIF(куб!$D:$D,$D804,куб!H:H),IF($C804&lt;&gt;0,SUMIF(куб!$C:$C,$C804,куб!H:H),IF($B804&lt;&gt;0,SUMIF(куб!$B:$B,$B804,куб!H:H),IF($G804&lt;&gt;0,SUMIF(куб!$A:$A,$G804,куб!H:H),SUMIF(куб!$A:$A,$G804,куб!H:H)))))))</f>
        <v>0</v>
      </c>
      <c r="I804" s="27">
        <f>IF($G804&lt;&gt;0,SUMIF(куб!$G:$G,$G804,куб!I:I),IF($E804&lt;&gt;0,SUMIF(куб!$E:$E,$E804,куб!I:I),IF($D804&lt;&gt;0,SUMIF(куб!$D:$D,$D804,куб!I:I),IF($C804&lt;&gt;0,SUMIF(куб!$C:$C,$C804,куб!I:I),IF($B804&lt;&gt;0,SUMIF(куб!$B:$B,$B804,куб!I:I),IF($G804&lt;&gt;0,SUMIF(куб!$A:$A,$G804,куб!I:I),SUMIF(куб!$A:$A,$G804,куб!I:I)))))))</f>
        <v>0</v>
      </c>
      <c r="J804" s="19" t="str">
        <f t="shared" si="255"/>
        <v>-</v>
      </c>
      <c r="K804" s="8"/>
      <c r="L804" s="17">
        <f t="shared" si="256"/>
        <v>0</v>
      </c>
      <c r="M804" s="17">
        <f t="shared" si="257"/>
        <v>0</v>
      </c>
      <c r="N804" s="12">
        <f t="shared" si="258"/>
        <v>0</v>
      </c>
      <c r="O804" s="5"/>
      <c r="P804" s="27" t="b">
        <f>IF($G804&lt;&gt;0,SUMIF(куб!$G:$G,$G804,куб!J:J),IF($E804&lt;&gt;0,SUMIF(куб!$E:$E,$E804,куб!J:J),IF($D804&lt;&gt;0,SUMIF(куб!$D:$D,$D804,куб!J:J),IF($C804&lt;&gt;0,SUMIF(куб!$C:$C,$C804,куб!J:J),IF($B804&lt;&gt;0,SUMIF(куб!$B:$B,$B804,куб!J:J))))))</f>
        <v>0</v>
      </c>
      <c r="Q804" s="27" t="b">
        <f>IF($G804&lt;&gt;0,SUMIF(куб!$G:$G,$G804,куб!K:K),IF($E804&lt;&gt;0,SUMIF(куб!$E:$E,$E804,куб!K:K),IF($D804&lt;&gt;0,SUMIF(куб!$D:$D,$D804,куб!K:K),IF($C804&lt;&gt;0,SUMIF(куб!$C:$C,$C804,куб!K:K),IF($B804&lt;&gt;0,SUMIF(куб!$B:$B,$B804,куб!K:K))))))</f>
        <v>0</v>
      </c>
      <c r="R804" s="13" t="str">
        <f t="shared" si="259"/>
        <v>-</v>
      </c>
      <c r="S804" s="5"/>
      <c r="T804" s="27" t="b">
        <f>IF($G804&lt;&gt;0,SUMIF(куб!$G:$G,$G804,куб!L:L),IF($E804&lt;&gt;0,SUMIF(куб!$E:$E,$E804,куб!L:L),IF($D804&lt;&gt;0,SUMIF(куб!$D:$D,$D804,куб!L:L),IF($C804&lt;&gt;0,SUMIF(куб!$C:$C,$C804,куб!L:L),IF($B804&lt;&gt;0,SUMIF(куб!$B:$B,$B804,куб!L:L))))))</f>
        <v>0</v>
      </c>
      <c r="U804" s="27" t="b">
        <f>IF($G804&lt;&gt;0,SUMIF(куб!$G:$G,$G804,куб!M:M),IF($E804&lt;&gt;0,SUMIF(куб!$E:$E,$E804,куб!M:M),IF($D804&lt;&gt;0,SUMIF(куб!$D:$D,$D804,куб!M:M),IF($C804&lt;&gt;0,SUMIF(куб!$C:$C,$C804,куб!M:M),IF($B804&lt;&gt;0,SUMIF(куб!$B:$B,$B804,куб!M:M))))))</f>
        <v>0</v>
      </c>
      <c r="V804" s="13" t="str">
        <f t="shared" si="260"/>
        <v>-</v>
      </c>
      <c r="W804" s="5"/>
      <c r="X804" s="27" t="b">
        <f>IF($G804&lt;&gt;0,SUMIF(куб!$G:$G,$G804,куб!N:N),IF($E804&lt;&gt;0,SUMIF(куб!$E:$E,$E804,куб!N:N),IF($D804&lt;&gt;0,SUMIF(куб!$D:$D,$D804,куб!N:N),IF($C804&lt;&gt;0,SUMIF(куб!$C:$C,$C804,куб!N:N),IF($B804&lt;&gt;0,SUMIF(куб!$B:$B,$B804,куб!N:N))))))</f>
        <v>0</v>
      </c>
      <c r="Y804" s="27" t="b">
        <f>IF($G804&lt;&gt;0,SUMIF(куб!$G:$G,$G804,куб!O:O),IF($E804&lt;&gt;0,SUMIF(куб!$E:$E,$E804,куб!O:O),IF($D804&lt;&gt;0,SUMIF(куб!$D:$D,$D804,куб!O:O),IF($C804&lt;&gt;0,SUMIF(куб!$C:$C,$C804,куб!O:O),IF($B804&lt;&gt;0,SUMIF(куб!$B:$B,$B804,куб!O:O))))))</f>
        <v>0</v>
      </c>
      <c r="Z804" s="13" t="str">
        <f t="shared" si="261"/>
        <v>-</v>
      </c>
      <c r="AA804" s="5"/>
      <c r="AB804" s="33" t="str">
        <f t="shared" si="262"/>
        <v/>
      </c>
      <c r="AC804" s="33" t="str">
        <f t="shared" si="263"/>
        <v/>
      </c>
      <c r="AD804" s="15" t="str">
        <f t="shared" si="264"/>
        <v xml:space="preserve"> </v>
      </c>
      <c r="AE804" s="5"/>
      <c r="AF804" s="27" t="b">
        <f>IF($G804&lt;&gt;0,SUMIF(куб!$G:$G,$G804,куб!R:R),IF($E804&lt;&gt;0,SUMIF(куб!$E:$E,$E804,куб!R:R),IF($D804&lt;&gt;0,SUMIF(куб!$D:$D,$D804,куб!R:R),IF($C804&lt;&gt;0,SUMIF(куб!$C:$C,$C804,куб!R:R),IF($B804&lt;&gt;0,SUMIF(куб!$B:$B,$B804,куб!R:R))))))</f>
        <v>0</v>
      </c>
      <c r="AG804" s="27" t="b">
        <f>IF($G804&lt;&gt;0,SUMIF(куб!$G:$G,$G804,куб!S:S),IF($E804&lt;&gt;0,SUMIF(куб!$E:$E,$E804,куб!S:S),IF($D804&lt;&gt;0,SUMIF(куб!$D:$D,$D804,куб!S:S),IF($C804&lt;&gt;0,SUMIF(куб!$C:$C,$C804,куб!S:S),IF($B804&lt;&gt;0,SUMIF(куб!$B:$B,$B804,куб!S:S))))))</f>
        <v>0</v>
      </c>
      <c r="AH804" s="16" t="str">
        <f t="shared" si="265"/>
        <v>-</v>
      </c>
      <c r="AI804" s="8"/>
      <c r="AJ804" s="27" t="b">
        <f>IF($G804&lt;&gt;0,SUMIF(куб!$G:$G,$G804,куб!T:T),IF($E804&lt;&gt;0,SUMIF(куб!$E:$E,$E804,куб!T:T),IF($D804&lt;&gt;0,SUMIF(куб!$D:$D,$D804,куб!T:T),IF($C804&lt;&gt;0,SUMIF(куб!$C:$C,$C804,куб!T:T),IF($B804&lt;&gt;0,SUMIF(куб!$B:$B,$B804,куб!T:T))))))</f>
        <v>0</v>
      </c>
      <c r="AK804" s="27" t="b">
        <f>IF($G804&lt;&gt;0,SUMIF(куб!$G:$G,$G804,куб!U:U),IF($E804&lt;&gt;0,SUMIF(куб!$E:$E,$E804,куб!U:U),IF($D804&lt;&gt;0,SUMIF(куб!$D:$D,$D804,куб!U:U),IF($C804&lt;&gt;0,SUMIF(куб!$C:$C,$C804,куб!U:U),IF($B804&lt;&gt;0,SUMIF(куб!$B:$B,$B804,куб!U:U))))))</f>
        <v>0</v>
      </c>
      <c r="AL804" s="16" t="str">
        <f t="shared" si="266"/>
        <v>-</v>
      </c>
      <c r="AM804" s="8"/>
      <c r="AN804" s="17" t="str">
        <f t="shared" si="267"/>
        <v xml:space="preserve"> </v>
      </c>
      <c r="AO804" s="17" t="str">
        <f t="shared" si="268"/>
        <v xml:space="preserve"> </v>
      </c>
      <c r="AP804" s="16" t="str">
        <f t="shared" si="269"/>
        <v>-</v>
      </c>
      <c r="AQ804" s="8"/>
      <c r="AR804" s="17" t="str">
        <f t="shared" si="270"/>
        <v>-</v>
      </c>
      <c r="AS804" s="17" t="str">
        <f t="shared" si="271"/>
        <v>-</v>
      </c>
      <c r="AT804" s="13" t="str">
        <f t="shared" si="272"/>
        <v>-</v>
      </c>
      <c r="AU804" s="8"/>
    </row>
    <row r="805" spans="1:47" x14ac:dyDescent="0.25">
      <c r="A805" s="31"/>
      <c r="B805" s="31"/>
      <c r="C805"/>
      <c r="D805" s="31"/>
      <c r="E805" s="31"/>
      <c r="F805" s="31"/>
      <c r="G805" s="31"/>
      <c r="H805" s="27">
        <f>IF($G805&lt;&gt;0,SUMIF(куб!$G:$G,$G805,куб!H:H),IF($E805&lt;&gt;0,SUMIF(куб!$E:$E,$E805,куб!H:H),IF($D805&lt;&gt;0,SUMIF(куб!$D:$D,$D805,куб!H:H),IF($C805&lt;&gt;0,SUMIF(куб!$C:$C,$C805,куб!H:H),IF($B805&lt;&gt;0,SUMIF(куб!$B:$B,$B805,куб!H:H),IF($G805&lt;&gt;0,SUMIF(куб!$A:$A,$G805,куб!H:H),SUMIF(куб!$A:$A,$G805,куб!H:H)))))))</f>
        <v>0</v>
      </c>
      <c r="I805" s="27">
        <f>IF($G805&lt;&gt;0,SUMIF(куб!$G:$G,$G805,куб!I:I),IF($E805&lt;&gt;0,SUMIF(куб!$E:$E,$E805,куб!I:I),IF($D805&lt;&gt;0,SUMIF(куб!$D:$D,$D805,куб!I:I),IF($C805&lt;&gt;0,SUMIF(куб!$C:$C,$C805,куб!I:I),IF($B805&lt;&gt;0,SUMIF(куб!$B:$B,$B805,куб!I:I),IF($G805&lt;&gt;0,SUMIF(куб!$A:$A,$G805,куб!I:I),SUMIF(куб!$A:$A,$G805,куб!I:I)))))))</f>
        <v>0</v>
      </c>
      <c r="J805" s="19" t="str">
        <f t="shared" si="255"/>
        <v>-</v>
      </c>
      <c r="K805" s="8"/>
      <c r="L805" s="17">
        <f t="shared" si="256"/>
        <v>0</v>
      </c>
      <c r="M805" s="17">
        <f t="shared" si="257"/>
        <v>0</v>
      </c>
      <c r="N805" s="12">
        <f t="shared" si="258"/>
        <v>0</v>
      </c>
      <c r="O805" s="5"/>
      <c r="P805" s="27" t="b">
        <f>IF($G805&lt;&gt;0,SUMIF(куб!$G:$G,$G805,куб!J:J),IF($E805&lt;&gt;0,SUMIF(куб!$E:$E,$E805,куб!J:J),IF($D805&lt;&gt;0,SUMIF(куб!$D:$D,$D805,куб!J:J),IF($C805&lt;&gt;0,SUMIF(куб!$C:$C,$C805,куб!J:J),IF($B805&lt;&gt;0,SUMIF(куб!$B:$B,$B805,куб!J:J))))))</f>
        <v>0</v>
      </c>
      <c r="Q805" s="27" t="b">
        <f>IF($G805&lt;&gt;0,SUMIF(куб!$G:$G,$G805,куб!K:K),IF($E805&lt;&gt;0,SUMIF(куб!$E:$E,$E805,куб!K:K),IF($D805&lt;&gt;0,SUMIF(куб!$D:$D,$D805,куб!K:K),IF($C805&lt;&gt;0,SUMIF(куб!$C:$C,$C805,куб!K:K),IF($B805&lt;&gt;0,SUMIF(куб!$B:$B,$B805,куб!K:K))))))</f>
        <v>0</v>
      </c>
      <c r="R805" s="13" t="str">
        <f t="shared" si="259"/>
        <v>-</v>
      </c>
      <c r="S805" s="5"/>
      <c r="T805" s="27" t="b">
        <f>IF($G805&lt;&gt;0,SUMIF(куб!$G:$G,$G805,куб!L:L),IF($E805&lt;&gt;0,SUMIF(куб!$E:$E,$E805,куб!L:L),IF($D805&lt;&gt;0,SUMIF(куб!$D:$D,$D805,куб!L:L),IF($C805&lt;&gt;0,SUMIF(куб!$C:$C,$C805,куб!L:L),IF($B805&lt;&gt;0,SUMIF(куб!$B:$B,$B805,куб!L:L))))))</f>
        <v>0</v>
      </c>
      <c r="U805" s="27" t="b">
        <f>IF($G805&lt;&gt;0,SUMIF(куб!$G:$G,$G805,куб!M:M),IF($E805&lt;&gt;0,SUMIF(куб!$E:$E,$E805,куб!M:M),IF($D805&lt;&gt;0,SUMIF(куб!$D:$D,$D805,куб!M:M),IF($C805&lt;&gt;0,SUMIF(куб!$C:$C,$C805,куб!M:M),IF($B805&lt;&gt;0,SUMIF(куб!$B:$B,$B805,куб!M:M))))))</f>
        <v>0</v>
      </c>
      <c r="V805" s="13" t="str">
        <f t="shared" si="260"/>
        <v>-</v>
      </c>
      <c r="W805" s="5"/>
      <c r="X805" s="27" t="b">
        <f>IF($G805&lt;&gt;0,SUMIF(куб!$G:$G,$G805,куб!N:N),IF($E805&lt;&gt;0,SUMIF(куб!$E:$E,$E805,куб!N:N),IF($D805&lt;&gt;0,SUMIF(куб!$D:$D,$D805,куб!N:N),IF($C805&lt;&gt;0,SUMIF(куб!$C:$C,$C805,куб!N:N),IF($B805&lt;&gt;0,SUMIF(куб!$B:$B,$B805,куб!N:N))))))</f>
        <v>0</v>
      </c>
      <c r="Y805" s="27" t="b">
        <f>IF($G805&lt;&gt;0,SUMIF(куб!$G:$G,$G805,куб!O:O),IF($E805&lt;&gt;0,SUMIF(куб!$E:$E,$E805,куб!O:O),IF($D805&lt;&gt;0,SUMIF(куб!$D:$D,$D805,куб!O:O),IF($C805&lt;&gt;0,SUMIF(куб!$C:$C,$C805,куб!O:O),IF($B805&lt;&gt;0,SUMIF(куб!$B:$B,$B805,куб!O:O))))))</f>
        <v>0</v>
      </c>
      <c r="Z805" s="13" t="str">
        <f t="shared" si="261"/>
        <v>-</v>
      </c>
      <c r="AA805" s="5"/>
      <c r="AB805" s="33" t="str">
        <f t="shared" si="262"/>
        <v/>
      </c>
      <c r="AC805" s="33" t="str">
        <f t="shared" si="263"/>
        <v/>
      </c>
      <c r="AD805" s="15" t="str">
        <f t="shared" si="264"/>
        <v xml:space="preserve"> </v>
      </c>
      <c r="AE805" s="5"/>
      <c r="AF805" s="27" t="b">
        <f>IF($G805&lt;&gt;0,SUMIF(куб!$G:$G,$G805,куб!R:R),IF($E805&lt;&gt;0,SUMIF(куб!$E:$E,$E805,куб!R:R),IF($D805&lt;&gt;0,SUMIF(куб!$D:$D,$D805,куб!R:R),IF($C805&lt;&gt;0,SUMIF(куб!$C:$C,$C805,куб!R:R),IF($B805&lt;&gt;0,SUMIF(куб!$B:$B,$B805,куб!R:R))))))</f>
        <v>0</v>
      </c>
      <c r="AG805" s="27" t="b">
        <f>IF($G805&lt;&gt;0,SUMIF(куб!$G:$G,$G805,куб!S:S),IF($E805&lt;&gt;0,SUMIF(куб!$E:$E,$E805,куб!S:S),IF($D805&lt;&gt;0,SUMIF(куб!$D:$D,$D805,куб!S:S),IF($C805&lt;&gt;0,SUMIF(куб!$C:$C,$C805,куб!S:S),IF($B805&lt;&gt;0,SUMIF(куб!$B:$B,$B805,куб!S:S))))))</f>
        <v>0</v>
      </c>
      <c r="AH805" s="16" t="str">
        <f t="shared" si="265"/>
        <v>-</v>
      </c>
      <c r="AI805" s="8"/>
      <c r="AJ805" s="27" t="b">
        <f>IF($G805&lt;&gt;0,SUMIF(куб!$G:$G,$G805,куб!T:T),IF($E805&lt;&gt;0,SUMIF(куб!$E:$E,$E805,куб!T:T),IF($D805&lt;&gt;0,SUMIF(куб!$D:$D,$D805,куб!T:T),IF($C805&lt;&gt;0,SUMIF(куб!$C:$C,$C805,куб!T:T),IF($B805&lt;&gt;0,SUMIF(куб!$B:$B,$B805,куб!T:T))))))</f>
        <v>0</v>
      </c>
      <c r="AK805" s="27" t="b">
        <f>IF($G805&lt;&gt;0,SUMIF(куб!$G:$G,$G805,куб!U:U),IF($E805&lt;&gt;0,SUMIF(куб!$E:$E,$E805,куб!U:U),IF($D805&lt;&gt;0,SUMIF(куб!$D:$D,$D805,куб!U:U),IF($C805&lt;&gt;0,SUMIF(куб!$C:$C,$C805,куб!U:U),IF($B805&lt;&gt;0,SUMIF(куб!$B:$B,$B805,куб!U:U))))))</f>
        <v>0</v>
      </c>
      <c r="AL805" s="16" t="str">
        <f t="shared" si="266"/>
        <v>-</v>
      </c>
      <c r="AM805" s="8"/>
      <c r="AN805" s="17" t="str">
        <f t="shared" si="267"/>
        <v xml:space="preserve"> </v>
      </c>
      <c r="AO805" s="17" t="str">
        <f t="shared" si="268"/>
        <v xml:space="preserve"> </v>
      </c>
      <c r="AP805" s="16" t="str">
        <f t="shared" si="269"/>
        <v>-</v>
      </c>
      <c r="AQ805" s="8"/>
      <c r="AR805" s="17" t="str">
        <f t="shared" si="270"/>
        <v>-</v>
      </c>
      <c r="AS805" s="17" t="str">
        <f t="shared" si="271"/>
        <v>-</v>
      </c>
      <c r="AT805" s="13" t="str">
        <f t="shared" si="272"/>
        <v>-</v>
      </c>
      <c r="AU805" s="8"/>
    </row>
    <row r="806" spans="1:47" x14ac:dyDescent="0.25">
      <c r="A806" s="31"/>
      <c r="B806" s="31"/>
      <c r="C806"/>
      <c r="D806" s="31"/>
      <c r="E806"/>
      <c r="F806" s="31"/>
      <c r="G806"/>
      <c r="H806" s="27">
        <f>IF($G806&lt;&gt;0,SUMIF(куб!$G:$G,$G806,куб!H:H),IF($E806&lt;&gt;0,SUMIF(куб!$E:$E,$E806,куб!H:H),IF($D806&lt;&gt;0,SUMIF(куб!$D:$D,$D806,куб!H:H),IF($C806&lt;&gt;0,SUMIF(куб!$C:$C,$C806,куб!H:H),IF($B806&lt;&gt;0,SUMIF(куб!$B:$B,$B806,куб!H:H),IF($G806&lt;&gt;0,SUMIF(куб!$A:$A,$G806,куб!H:H),SUMIF(куб!$A:$A,$G806,куб!H:H)))))))</f>
        <v>0</v>
      </c>
      <c r="I806" s="27">
        <f>IF($G806&lt;&gt;0,SUMIF(куб!$G:$G,$G806,куб!I:I),IF($E806&lt;&gt;0,SUMIF(куб!$E:$E,$E806,куб!I:I),IF($D806&lt;&gt;0,SUMIF(куб!$D:$D,$D806,куб!I:I),IF($C806&lt;&gt;0,SUMIF(куб!$C:$C,$C806,куб!I:I),IF($B806&lt;&gt;0,SUMIF(куб!$B:$B,$B806,куб!I:I),IF($G806&lt;&gt;0,SUMIF(куб!$A:$A,$G806,куб!I:I),SUMIF(куб!$A:$A,$G806,куб!I:I)))))))</f>
        <v>0</v>
      </c>
      <c r="J806" s="19" t="str">
        <f t="shared" si="255"/>
        <v>-</v>
      </c>
      <c r="K806" s="8"/>
      <c r="L806" s="17">
        <f t="shared" si="256"/>
        <v>0</v>
      </c>
      <c r="M806" s="17">
        <f t="shared" si="257"/>
        <v>0</v>
      </c>
      <c r="N806" s="12">
        <f t="shared" si="258"/>
        <v>0</v>
      </c>
      <c r="O806" s="5"/>
      <c r="P806" s="27" t="b">
        <f>IF($G806&lt;&gt;0,SUMIF(куб!$G:$G,$G806,куб!J:J),IF($E806&lt;&gt;0,SUMIF(куб!$E:$E,$E806,куб!J:J),IF($D806&lt;&gt;0,SUMIF(куб!$D:$D,$D806,куб!J:J),IF($C806&lt;&gt;0,SUMIF(куб!$C:$C,$C806,куб!J:J),IF($B806&lt;&gt;0,SUMIF(куб!$B:$B,$B806,куб!J:J))))))</f>
        <v>0</v>
      </c>
      <c r="Q806" s="27" t="b">
        <f>IF($G806&lt;&gt;0,SUMIF(куб!$G:$G,$G806,куб!K:K),IF($E806&lt;&gt;0,SUMIF(куб!$E:$E,$E806,куб!K:K),IF($D806&lt;&gt;0,SUMIF(куб!$D:$D,$D806,куб!K:K),IF($C806&lt;&gt;0,SUMIF(куб!$C:$C,$C806,куб!K:K),IF($B806&lt;&gt;0,SUMIF(куб!$B:$B,$B806,куб!K:K))))))</f>
        <v>0</v>
      </c>
      <c r="R806" s="13" t="str">
        <f t="shared" si="259"/>
        <v>-</v>
      </c>
      <c r="S806" s="5"/>
      <c r="T806" s="27" t="b">
        <f>IF($G806&lt;&gt;0,SUMIF(куб!$G:$G,$G806,куб!L:L),IF($E806&lt;&gt;0,SUMIF(куб!$E:$E,$E806,куб!L:L),IF($D806&lt;&gt;0,SUMIF(куб!$D:$D,$D806,куб!L:L),IF($C806&lt;&gt;0,SUMIF(куб!$C:$C,$C806,куб!L:L),IF($B806&lt;&gt;0,SUMIF(куб!$B:$B,$B806,куб!L:L))))))</f>
        <v>0</v>
      </c>
      <c r="U806" s="27" t="b">
        <f>IF($G806&lt;&gt;0,SUMIF(куб!$G:$G,$G806,куб!M:M),IF($E806&lt;&gt;0,SUMIF(куб!$E:$E,$E806,куб!M:M),IF($D806&lt;&gt;0,SUMIF(куб!$D:$D,$D806,куб!M:M),IF($C806&lt;&gt;0,SUMIF(куб!$C:$C,$C806,куб!M:M),IF($B806&lt;&gt;0,SUMIF(куб!$B:$B,$B806,куб!M:M))))))</f>
        <v>0</v>
      </c>
      <c r="V806" s="13" t="str">
        <f t="shared" si="260"/>
        <v>-</v>
      </c>
      <c r="W806" s="5"/>
      <c r="X806" s="27" t="b">
        <f>IF($G806&lt;&gt;0,SUMIF(куб!$G:$G,$G806,куб!N:N),IF($E806&lt;&gt;0,SUMIF(куб!$E:$E,$E806,куб!N:N),IF($D806&lt;&gt;0,SUMIF(куб!$D:$D,$D806,куб!N:N),IF($C806&lt;&gt;0,SUMIF(куб!$C:$C,$C806,куб!N:N),IF($B806&lt;&gt;0,SUMIF(куб!$B:$B,$B806,куб!N:N))))))</f>
        <v>0</v>
      </c>
      <c r="Y806" s="27" t="b">
        <f>IF($G806&lt;&gt;0,SUMIF(куб!$G:$G,$G806,куб!O:O),IF($E806&lt;&gt;0,SUMIF(куб!$E:$E,$E806,куб!O:O),IF($D806&lt;&gt;0,SUMIF(куб!$D:$D,$D806,куб!O:O),IF($C806&lt;&gt;0,SUMIF(куб!$C:$C,$C806,куб!O:O),IF($B806&lt;&gt;0,SUMIF(куб!$B:$B,$B806,куб!O:O))))))</f>
        <v>0</v>
      </c>
      <c r="Z806" s="13" t="str">
        <f t="shared" si="261"/>
        <v>-</v>
      </c>
      <c r="AA806" s="5"/>
      <c r="AB806" s="33" t="str">
        <f t="shared" si="262"/>
        <v/>
      </c>
      <c r="AC806" s="33" t="str">
        <f t="shared" si="263"/>
        <v/>
      </c>
      <c r="AD806" s="15" t="str">
        <f t="shared" si="264"/>
        <v xml:space="preserve"> </v>
      </c>
      <c r="AE806" s="5"/>
      <c r="AF806" s="27" t="b">
        <f>IF($G806&lt;&gt;0,SUMIF(куб!$G:$G,$G806,куб!R:R),IF($E806&lt;&gt;0,SUMIF(куб!$E:$E,$E806,куб!R:R),IF($D806&lt;&gt;0,SUMIF(куб!$D:$D,$D806,куб!R:R),IF($C806&lt;&gt;0,SUMIF(куб!$C:$C,$C806,куб!R:R),IF($B806&lt;&gt;0,SUMIF(куб!$B:$B,$B806,куб!R:R))))))</f>
        <v>0</v>
      </c>
      <c r="AG806" s="27" t="b">
        <f>IF($G806&lt;&gt;0,SUMIF(куб!$G:$G,$G806,куб!S:S),IF($E806&lt;&gt;0,SUMIF(куб!$E:$E,$E806,куб!S:S),IF($D806&lt;&gt;0,SUMIF(куб!$D:$D,$D806,куб!S:S),IF($C806&lt;&gt;0,SUMIF(куб!$C:$C,$C806,куб!S:S),IF($B806&lt;&gt;0,SUMIF(куб!$B:$B,$B806,куб!S:S))))))</f>
        <v>0</v>
      </c>
      <c r="AH806" s="16" t="str">
        <f t="shared" si="265"/>
        <v>-</v>
      </c>
      <c r="AI806" s="8"/>
      <c r="AJ806" s="27" t="b">
        <f>IF($G806&lt;&gt;0,SUMIF(куб!$G:$G,$G806,куб!T:T),IF($E806&lt;&gt;0,SUMIF(куб!$E:$E,$E806,куб!T:T),IF($D806&lt;&gt;0,SUMIF(куб!$D:$D,$D806,куб!T:T),IF($C806&lt;&gt;0,SUMIF(куб!$C:$C,$C806,куб!T:T),IF($B806&lt;&gt;0,SUMIF(куб!$B:$B,$B806,куб!T:T))))))</f>
        <v>0</v>
      </c>
      <c r="AK806" s="27" t="b">
        <f>IF($G806&lt;&gt;0,SUMIF(куб!$G:$G,$G806,куб!U:U),IF($E806&lt;&gt;0,SUMIF(куб!$E:$E,$E806,куб!U:U),IF($D806&lt;&gt;0,SUMIF(куб!$D:$D,$D806,куб!U:U),IF($C806&lt;&gt;0,SUMIF(куб!$C:$C,$C806,куб!U:U),IF($B806&lt;&gt;0,SUMIF(куб!$B:$B,$B806,куб!U:U))))))</f>
        <v>0</v>
      </c>
      <c r="AL806" s="16" t="str">
        <f t="shared" si="266"/>
        <v>-</v>
      </c>
      <c r="AM806" s="8"/>
      <c r="AN806" s="17" t="str">
        <f t="shared" si="267"/>
        <v xml:space="preserve"> </v>
      </c>
      <c r="AO806" s="17" t="str">
        <f t="shared" si="268"/>
        <v xml:space="preserve"> </v>
      </c>
      <c r="AP806" s="16" t="str">
        <f t="shared" si="269"/>
        <v>-</v>
      </c>
      <c r="AQ806" s="8"/>
      <c r="AR806" s="17" t="str">
        <f t="shared" si="270"/>
        <v>-</v>
      </c>
      <c r="AS806" s="17" t="str">
        <f t="shared" si="271"/>
        <v>-</v>
      </c>
      <c r="AT806" s="13" t="str">
        <f t="shared" si="272"/>
        <v>-</v>
      </c>
      <c r="AU806" s="8"/>
    </row>
    <row r="807" spans="1:47" x14ac:dyDescent="0.25">
      <c r="A807" s="31"/>
      <c r="B807" s="31"/>
      <c r="C807"/>
      <c r="D807" s="31"/>
      <c r="E807"/>
      <c r="F807" s="31"/>
      <c r="G807"/>
      <c r="H807" s="27">
        <f>IF($G807&lt;&gt;0,SUMIF(куб!$G:$G,$G807,куб!H:H),IF($E807&lt;&gt;0,SUMIF(куб!$E:$E,$E807,куб!H:H),IF($D807&lt;&gt;0,SUMIF(куб!$D:$D,$D807,куб!H:H),IF($C807&lt;&gt;0,SUMIF(куб!$C:$C,$C807,куб!H:H),IF($B807&lt;&gt;0,SUMIF(куб!$B:$B,$B807,куб!H:H),IF($G807&lt;&gt;0,SUMIF(куб!$A:$A,$G807,куб!H:H),SUMIF(куб!$A:$A,$G807,куб!H:H)))))))</f>
        <v>0</v>
      </c>
      <c r="I807" s="27">
        <f>IF($G807&lt;&gt;0,SUMIF(куб!$G:$G,$G807,куб!I:I),IF($E807&lt;&gt;0,SUMIF(куб!$E:$E,$E807,куб!I:I),IF($D807&lt;&gt;0,SUMIF(куб!$D:$D,$D807,куб!I:I),IF($C807&lt;&gt;0,SUMIF(куб!$C:$C,$C807,куб!I:I),IF($B807&lt;&gt;0,SUMIF(куб!$B:$B,$B807,куб!I:I),IF($G807&lt;&gt;0,SUMIF(куб!$A:$A,$G807,куб!I:I),SUMIF(куб!$A:$A,$G807,куб!I:I)))))))</f>
        <v>0</v>
      </c>
      <c r="J807" s="19" t="str">
        <f t="shared" si="255"/>
        <v>-</v>
      </c>
      <c r="K807" s="8"/>
      <c r="L807" s="17">
        <f t="shared" si="256"/>
        <v>0</v>
      </c>
      <c r="M807" s="17">
        <f t="shared" si="257"/>
        <v>0</v>
      </c>
      <c r="N807" s="12">
        <f t="shared" si="258"/>
        <v>0</v>
      </c>
      <c r="O807" s="5"/>
      <c r="P807" s="27" t="b">
        <f>IF($G807&lt;&gt;0,SUMIF(куб!$G:$G,$G807,куб!J:J),IF($E807&lt;&gt;0,SUMIF(куб!$E:$E,$E807,куб!J:J),IF($D807&lt;&gt;0,SUMIF(куб!$D:$D,$D807,куб!J:J),IF($C807&lt;&gt;0,SUMIF(куб!$C:$C,$C807,куб!J:J),IF($B807&lt;&gt;0,SUMIF(куб!$B:$B,$B807,куб!J:J))))))</f>
        <v>0</v>
      </c>
      <c r="Q807" s="27" t="b">
        <f>IF($G807&lt;&gt;0,SUMIF(куб!$G:$G,$G807,куб!K:K),IF($E807&lt;&gt;0,SUMIF(куб!$E:$E,$E807,куб!K:K),IF($D807&lt;&gt;0,SUMIF(куб!$D:$D,$D807,куб!K:K),IF($C807&lt;&gt;0,SUMIF(куб!$C:$C,$C807,куб!K:K),IF($B807&lt;&gt;0,SUMIF(куб!$B:$B,$B807,куб!K:K))))))</f>
        <v>0</v>
      </c>
      <c r="R807" s="13" t="str">
        <f t="shared" si="259"/>
        <v>-</v>
      </c>
      <c r="S807" s="5"/>
      <c r="T807" s="27" t="b">
        <f>IF($G807&lt;&gt;0,SUMIF(куб!$G:$G,$G807,куб!L:L),IF($E807&lt;&gt;0,SUMIF(куб!$E:$E,$E807,куб!L:L),IF($D807&lt;&gt;0,SUMIF(куб!$D:$D,$D807,куб!L:L),IF($C807&lt;&gt;0,SUMIF(куб!$C:$C,$C807,куб!L:L),IF($B807&lt;&gt;0,SUMIF(куб!$B:$B,$B807,куб!L:L))))))</f>
        <v>0</v>
      </c>
      <c r="U807" s="27" t="b">
        <f>IF($G807&lt;&gt;0,SUMIF(куб!$G:$G,$G807,куб!M:M),IF($E807&lt;&gt;0,SUMIF(куб!$E:$E,$E807,куб!M:M),IF($D807&lt;&gt;0,SUMIF(куб!$D:$D,$D807,куб!M:M),IF($C807&lt;&gt;0,SUMIF(куб!$C:$C,$C807,куб!M:M),IF($B807&lt;&gt;0,SUMIF(куб!$B:$B,$B807,куб!M:M))))))</f>
        <v>0</v>
      </c>
      <c r="V807" s="13" t="str">
        <f t="shared" si="260"/>
        <v>-</v>
      </c>
      <c r="W807" s="5"/>
      <c r="X807" s="27" t="b">
        <f>IF($G807&lt;&gt;0,SUMIF(куб!$G:$G,$G807,куб!N:N),IF($E807&lt;&gt;0,SUMIF(куб!$E:$E,$E807,куб!N:N),IF($D807&lt;&gt;0,SUMIF(куб!$D:$D,$D807,куб!N:N),IF($C807&lt;&gt;0,SUMIF(куб!$C:$C,$C807,куб!N:N),IF($B807&lt;&gt;0,SUMIF(куб!$B:$B,$B807,куб!N:N))))))</f>
        <v>0</v>
      </c>
      <c r="Y807" s="27" t="b">
        <f>IF($G807&lt;&gt;0,SUMIF(куб!$G:$G,$G807,куб!O:O),IF($E807&lt;&gt;0,SUMIF(куб!$E:$E,$E807,куб!O:O),IF($D807&lt;&gt;0,SUMIF(куб!$D:$D,$D807,куб!O:O),IF($C807&lt;&gt;0,SUMIF(куб!$C:$C,$C807,куб!O:O),IF($B807&lt;&gt;0,SUMIF(куб!$B:$B,$B807,куб!O:O))))))</f>
        <v>0</v>
      </c>
      <c r="Z807" s="13" t="str">
        <f t="shared" si="261"/>
        <v>-</v>
      </c>
      <c r="AA807" s="5"/>
      <c r="AB807" s="33" t="str">
        <f t="shared" si="262"/>
        <v/>
      </c>
      <c r="AC807" s="33" t="str">
        <f t="shared" si="263"/>
        <v/>
      </c>
      <c r="AD807" s="15" t="str">
        <f t="shared" si="264"/>
        <v xml:space="preserve"> </v>
      </c>
      <c r="AE807" s="5"/>
      <c r="AF807" s="27" t="b">
        <f>IF($G807&lt;&gt;0,SUMIF(куб!$G:$G,$G807,куб!R:R),IF($E807&lt;&gt;0,SUMIF(куб!$E:$E,$E807,куб!R:R),IF($D807&lt;&gt;0,SUMIF(куб!$D:$D,$D807,куб!R:R),IF($C807&lt;&gt;0,SUMIF(куб!$C:$C,$C807,куб!R:R),IF($B807&lt;&gt;0,SUMIF(куб!$B:$B,$B807,куб!R:R))))))</f>
        <v>0</v>
      </c>
      <c r="AG807" s="27" t="b">
        <f>IF($G807&lt;&gt;0,SUMIF(куб!$G:$G,$G807,куб!S:S),IF($E807&lt;&gt;0,SUMIF(куб!$E:$E,$E807,куб!S:S),IF($D807&lt;&gt;0,SUMIF(куб!$D:$D,$D807,куб!S:S),IF($C807&lt;&gt;0,SUMIF(куб!$C:$C,$C807,куб!S:S),IF($B807&lt;&gt;0,SUMIF(куб!$B:$B,$B807,куб!S:S))))))</f>
        <v>0</v>
      </c>
      <c r="AH807" s="16" t="str">
        <f t="shared" si="265"/>
        <v>-</v>
      </c>
      <c r="AI807" s="8"/>
      <c r="AJ807" s="27" t="b">
        <f>IF($G807&lt;&gt;0,SUMIF(куб!$G:$G,$G807,куб!T:T),IF($E807&lt;&gt;0,SUMIF(куб!$E:$E,$E807,куб!T:T),IF($D807&lt;&gt;0,SUMIF(куб!$D:$D,$D807,куб!T:T),IF($C807&lt;&gt;0,SUMIF(куб!$C:$C,$C807,куб!T:T),IF($B807&lt;&gt;0,SUMIF(куб!$B:$B,$B807,куб!T:T))))))</f>
        <v>0</v>
      </c>
      <c r="AK807" s="27" t="b">
        <f>IF($G807&lt;&gt;0,SUMIF(куб!$G:$G,$G807,куб!U:U),IF($E807&lt;&gt;0,SUMIF(куб!$E:$E,$E807,куб!U:U),IF($D807&lt;&gt;0,SUMIF(куб!$D:$D,$D807,куб!U:U),IF($C807&lt;&gt;0,SUMIF(куб!$C:$C,$C807,куб!U:U),IF($B807&lt;&gt;0,SUMIF(куб!$B:$B,$B807,куб!U:U))))))</f>
        <v>0</v>
      </c>
      <c r="AL807" s="16" t="str">
        <f t="shared" si="266"/>
        <v>-</v>
      </c>
      <c r="AM807" s="8"/>
      <c r="AN807" s="17" t="str">
        <f t="shared" si="267"/>
        <v xml:space="preserve"> </v>
      </c>
      <c r="AO807" s="17" t="str">
        <f t="shared" si="268"/>
        <v xml:space="preserve"> </v>
      </c>
      <c r="AP807" s="16" t="str">
        <f t="shared" si="269"/>
        <v>-</v>
      </c>
      <c r="AQ807" s="8"/>
      <c r="AR807" s="17" t="str">
        <f t="shared" si="270"/>
        <v>-</v>
      </c>
      <c r="AS807" s="17" t="str">
        <f t="shared" si="271"/>
        <v>-</v>
      </c>
      <c r="AT807" s="13" t="str">
        <f t="shared" si="272"/>
        <v>-</v>
      </c>
      <c r="AU807" s="8"/>
    </row>
    <row r="808" spans="1:47" x14ac:dyDescent="0.25">
      <c r="A808" s="31"/>
      <c r="B808" s="31"/>
      <c r="C808"/>
      <c r="D808" s="31"/>
      <c r="E808"/>
      <c r="F808" s="31"/>
      <c r="G808"/>
      <c r="H808" s="27">
        <f>IF($G808&lt;&gt;0,SUMIF(куб!$G:$G,$G808,куб!H:H),IF($E808&lt;&gt;0,SUMIF(куб!$E:$E,$E808,куб!H:H),IF($D808&lt;&gt;0,SUMIF(куб!$D:$D,$D808,куб!H:H),IF($C808&lt;&gt;0,SUMIF(куб!$C:$C,$C808,куб!H:H),IF($B808&lt;&gt;0,SUMIF(куб!$B:$B,$B808,куб!H:H),IF($G808&lt;&gt;0,SUMIF(куб!$A:$A,$G808,куб!H:H),SUMIF(куб!$A:$A,$G808,куб!H:H)))))))</f>
        <v>0</v>
      </c>
      <c r="I808" s="27">
        <f>IF($G808&lt;&gt;0,SUMIF(куб!$G:$G,$G808,куб!I:I),IF($E808&lt;&gt;0,SUMIF(куб!$E:$E,$E808,куб!I:I),IF($D808&lt;&gt;0,SUMIF(куб!$D:$D,$D808,куб!I:I),IF($C808&lt;&gt;0,SUMIF(куб!$C:$C,$C808,куб!I:I),IF($B808&lt;&gt;0,SUMIF(куб!$B:$B,$B808,куб!I:I),IF($G808&lt;&gt;0,SUMIF(куб!$A:$A,$G808,куб!I:I),SUMIF(куб!$A:$A,$G808,куб!I:I)))))))</f>
        <v>0</v>
      </c>
      <c r="J808" s="19" t="str">
        <f t="shared" si="255"/>
        <v>-</v>
      </c>
      <c r="K808" s="8"/>
      <c r="L808" s="17">
        <f t="shared" si="256"/>
        <v>0</v>
      </c>
      <c r="M808" s="17">
        <f t="shared" si="257"/>
        <v>0</v>
      </c>
      <c r="N808" s="12">
        <f t="shared" si="258"/>
        <v>0</v>
      </c>
      <c r="O808" s="5"/>
      <c r="P808" s="27" t="b">
        <f>IF($G808&lt;&gt;0,SUMIF(куб!$G:$G,$G808,куб!J:J),IF($E808&lt;&gt;0,SUMIF(куб!$E:$E,$E808,куб!J:J),IF($D808&lt;&gt;0,SUMIF(куб!$D:$D,$D808,куб!J:J),IF($C808&lt;&gt;0,SUMIF(куб!$C:$C,$C808,куб!J:J),IF($B808&lt;&gt;0,SUMIF(куб!$B:$B,$B808,куб!J:J))))))</f>
        <v>0</v>
      </c>
      <c r="Q808" s="27" t="b">
        <f>IF($G808&lt;&gt;0,SUMIF(куб!$G:$G,$G808,куб!K:K),IF($E808&lt;&gt;0,SUMIF(куб!$E:$E,$E808,куб!K:K),IF($D808&lt;&gt;0,SUMIF(куб!$D:$D,$D808,куб!K:K),IF($C808&lt;&gt;0,SUMIF(куб!$C:$C,$C808,куб!K:K),IF($B808&lt;&gt;0,SUMIF(куб!$B:$B,$B808,куб!K:K))))))</f>
        <v>0</v>
      </c>
      <c r="R808" s="13" t="str">
        <f t="shared" si="259"/>
        <v>-</v>
      </c>
      <c r="S808" s="5"/>
      <c r="T808" s="27" t="b">
        <f>IF($G808&lt;&gt;0,SUMIF(куб!$G:$G,$G808,куб!L:L),IF($E808&lt;&gt;0,SUMIF(куб!$E:$E,$E808,куб!L:L),IF($D808&lt;&gt;0,SUMIF(куб!$D:$D,$D808,куб!L:L),IF($C808&lt;&gt;0,SUMIF(куб!$C:$C,$C808,куб!L:L),IF($B808&lt;&gt;0,SUMIF(куб!$B:$B,$B808,куб!L:L))))))</f>
        <v>0</v>
      </c>
      <c r="U808" s="27" t="b">
        <f>IF($G808&lt;&gt;0,SUMIF(куб!$G:$G,$G808,куб!M:M),IF($E808&lt;&gt;0,SUMIF(куб!$E:$E,$E808,куб!M:M),IF($D808&lt;&gt;0,SUMIF(куб!$D:$D,$D808,куб!M:M),IF($C808&lt;&gt;0,SUMIF(куб!$C:$C,$C808,куб!M:M),IF($B808&lt;&gt;0,SUMIF(куб!$B:$B,$B808,куб!M:M))))))</f>
        <v>0</v>
      </c>
      <c r="V808" s="13" t="str">
        <f t="shared" si="260"/>
        <v>-</v>
      </c>
      <c r="W808" s="5"/>
      <c r="X808" s="27" t="b">
        <f>IF($G808&lt;&gt;0,SUMIF(куб!$G:$G,$G808,куб!N:N),IF($E808&lt;&gt;0,SUMIF(куб!$E:$E,$E808,куб!N:N),IF($D808&lt;&gt;0,SUMIF(куб!$D:$D,$D808,куб!N:N),IF($C808&lt;&gt;0,SUMIF(куб!$C:$C,$C808,куб!N:N),IF($B808&lt;&gt;0,SUMIF(куб!$B:$B,$B808,куб!N:N))))))</f>
        <v>0</v>
      </c>
      <c r="Y808" s="27" t="b">
        <f>IF($G808&lt;&gt;0,SUMIF(куб!$G:$G,$G808,куб!O:O),IF($E808&lt;&gt;0,SUMIF(куб!$E:$E,$E808,куб!O:O),IF($D808&lt;&gt;0,SUMIF(куб!$D:$D,$D808,куб!O:O),IF($C808&lt;&gt;0,SUMIF(куб!$C:$C,$C808,куб!O:O),IF($B808&lt;&gt;0,SUMIF(куб!$B:$B,$B808,куб!O:O))))))</f>
        <v>0</v>
      </c>
      <c r="Z808" s="13" t="str">
        <f t="shared" si="261"/>
        <v>-</v>
      </c>
      <c r="AA808" s="5"/>
      <c r="AB808" s="33" t="str">
        <f t="shared" si="262"/>
        <v/>
      </c>
      <c r="AC808" s="33" t="str">
        <f t="shared" si="263"/>
        <v/>
      </c>
      <c r="AD808" s="15" t="str">
        <f t="shared" si="264"/>
        <v xml:space="preserve"> </v>
      </c>
      <c r="AE808" s="5"/>
      <c r="AF808" s="27" t="b">
        <f>IF($G808&lt;&gt;0,SUMIF(куб!$G:$G,$G808,куб!R:R),IF($E808&lt;&gt;0,SUMIF(куб!$E:$E,$E808,куб!R:R),IF($D808&lt;&gt;0,SUMIF(куб!$D:$D,$D808,куб!R:R),IF($C808&lt;&gt;0,SUMIF(куб!$C:$C,$C808,куб!R:R),IF($B808&lt;&gt;0,SUMIF(куб!$B:$B,$B808,куб!R:R))))))</f>
        <v>0</v>
      </c>
      <c r="AG808" s="27" t="b">
        <f>IF($G808&lt;&gt;0,SUMIF(куб!$G:$G,$G808,куб!S:S),IF($E808&lt;&gt;0,SUMIF(куб!$E:$E,$E808,куб!S:S),IF($D808&lt;&gt;0,SUMIF(куб!$D:$D,$D808,куб!S:S),IF($C808&lt;&gt;0,SUMIF(куб!$C:$C,$C808,куб!S:S),IF($B808&lt;&gt;0,SUMIF(куб!$B:$B,$B808,куб!S:S))))))</f>
        <v>0</v>
      </c>
      <c r="AH808" s="16" t="str">
        <f t="shared" si="265"/>
        <v>-</v>
      </c>
      <c r="AI808" s="8"/>
      <c r="AJ808" s="27" t="b">
        <f>IF($G808&lt;&gt;0,SUMIF(куб!$G:$G,$G808,куб!T:T),IF($E808&lt;&gt;0,SUMIF(куб!$E:$E,$E808,куб!T:T),IF($D808&lt;&gt;0,SUMIF(куб!$D:$D,$D808,куб!T:T),IF($C808&lt;&gt;0,SUMIF(куб!$C:$C,$C808,куб!T:T),IF($B808&lt;&gt;0,SUMIF(куб!$B:$B,$B808,куб!T:T))))))</f>
        <v>0</v>
      </c>
      <c r="AK808" s="27" t="b">
        <f>IF($G808&lt;&gt;0,SUMIF(куб!$G:$G,$G808,куб!U:U),IF($E808&lt;&gt;0,SUMIF(куб!$E:$E,$E808,куб!U:U),IF($D808&lt;&gt;0,SUMIF(куб!$D:$D,$D808,куб!U:U),IF($C808&lt;&gt;0,SUMIF(куб!$C:$C,$C808,куб!U:U),IF($B808&lt;&gt;0,SUMIF(куб!$B:$B,$B808,куб!U:U))))))</f>
        <v>0</v>
      </c>
      <c r="AL808" s="16" t="str">
        <f t="shared" si="266"/>
        <v>-</v>
      </c>
      <c r="AM808" s="8"/>
      <c r="AN808" s="17" t="str">
        <f t="shared" si="267"/>
        <v xml:space="preserve"> </v>
      </c>
      <c r="AO808" s="17" t="str">
        <f t="shared" si="268"/>
        <v xml:space="preserve"> </v>
      </c>
      <c r="AP808" s="16" t="str">
        <f t="shared" si="269"/>
        <v>-</v>
      </c>
      <c r="AQ808" s="8"/>
      <c r="AR808" s="17" t="str">
        <f t="shared" si="270"/>
        <v>-</v>
      </c>
      <c r="AS808" s="17" t="str">
        <f t="shared" si="271"/>
        <v>-</v>
      </c>
      <c r="AT808" s="13" t="str">
        <f t="shared" si="272"/>
        <v>-</v>
      </c>
      <c r="AU808" s="8"/>
    </row>
    <row r="809" spans="1:47" x14ac:dyDescent="0.25">
      <c r="A809" s="31"/>
      <c r="B809" s="31"/>
      <c r="C809"/>
      <c r="D809" s="31"/>
      <c r="E809"/>
      <c r="F809" s="31"/>
      <c r="G809"/>
      <c r="H809" s="27">
        <f>IF($G809&lt;&gt;0,SUMIF(куб!$G:$G,$G809,куб!H:H),IF($E809&lt;&gt;0,SUMIF(куб!$E:$E,$E809,куб!H:H),IF($D809&lt;&gt;0,SUMIF(куб!$D:$D,$D809,куб!H:H),IF($C809&lt;&gt;0,SUMIF(куб!$C:$C,$C809,куб!H:H),IF($B809&lt;&gt;0,SUMIF(куб!$B:$B,$B809,куб!H:H),IF($G809&lt;&gt;0,SUMIF(куб!$A:$A,$G809,куб!H:H),SUMIF(куб!$A:$A,$G809,куб!H:H)))))))</f>
        <v>0</v>
      </c>
      <c r="I809" s="27">
        <f>IF($G809&lt;&gt;0,SUMIF(куб!$G:$G,$G809,куб!I:I),IF($E809&lt;&gt;0,SUMIF(куб!$E:$E,$E809,куб!I:I),IF($D809&lt;&gt;0,SUMIF(куб!$D:$D,$D809,куб!I:I),IF($C809&lt;&gt;0,SUMIF(куб!$C:$C,$C809,куб!I:I),IF($B809&lt;&gt;0,SUMIF(куб!$B:$B,$B809,куб!I:I),IF($G809&lt;&gt;0,SUMIF(куб!$A:$A,$G809,куб!I:I),SUMIF(куб!$A:$A,$G809,куб!I:I)))))))</f>
        <v>0</v>
      </c>
      <c r="J809" s="19" t="str">
        <f t="shared" si="255"/>
        <v>-</v>
      </c>
      <c r="K809" s="8"/>
      <c r="L809" s="17">
        <f t="shared" si="256"/>
        <v>0</v>
      </c>
      <c r="M809" s="17">
        <f t="shared" si="257"/>
        <v>0</v>
      </c>
      <c r="N809" s="12">
        <f t="shared" si="258"/>
        <v>0</v>
      </c>
      <c r="O809" s="5"/>
      <c r="P809" s="27" t="b">
        <f>IF($G809&lt;&gt;0,SUMIF(куб!$G:$G,$G809,куб!J:J),IF($E809&lt;&gt;0,SUMIF(куб!$E:$E,$E809,куб!J:J),IF($D809&lt;&gt;0,SUMIF(куб!$D:$D,$D809,куб!J:J),IF($C809&lt;&gt;0,SUMIF(куб!$C:$C,$C809,куб!J:J),IF($B809&lt;&gt;0,SUMIF(куб!$B:$B,$B809,куб!J:J))))))</f>
        <v>0</v>
      </c>
      <c r="Q809" s="27" t="b">
        <f>IF($G809&lt;&gt;0,SUMIF(куб!$G:$G,$G809,куб!K:K),IF($E809&lt;&gt;0,SUMIF(куб!$E:$E,$E809,куб!K:K),IF($D809&lt;&gt;0,SUMIF(куб!$D:$D,$D809,куб!K:K),IF($C809&lt;&gt;0,SUMIF(куб!$C:$C,$C809,куб!K:K),IF($B809&lt;&gt;0,SUMIF(куб!$B:$B,$B809,куб!K:K))))))</f>
        <v>0</v>
      </c>
      <c r="R809" s="13" t="str">
        <f t="shared" si="259"/>
        <v>-</v>
      </c>
      <c r="S809" s="5"/>
      <c r="T809" s="27" t="b">
        <f>IF($G809&lt;&gt;0,SUMIF(куб!$G:$G,$G809,куб!L:L),IF($E809&lt;&gt;0,SUMIF(куб!$E:$E,$E809,куб!L:L),IF($D809&lt;&gt;0,SUMIF(куб!$D:$D,$D809,куб!L:L),IF($C809&lt;&gt;0,SUMIF(куб!$C:$C,$C809,куб!L:L),IF($B809&lt;&gt;0,SUMIF(куб!$B:$B,$B809,куб!L:L))))))</f>
        <v>0</v>
      </c>
      <c r="U809" s="27" t="b">
        <f>IF($G809&lt;&gt;0,SUMIF(куб!$G:$G,$G809,куб!M:M),IF($E809&lt;&gt;0,SUMIF(куб!$E:$E,$E809,куб!M:M),IF($D809&lt;&gt;0,SUMIF(куб!$D:$D,$D809,куб!M:M),IF($C809&lt;&gt;0,SUMIF(куб!$C:$C,$C809,куб!M:M),IF($B809&lt;&gt;0,SUMIF(куб!$B:$B,$B809,куб!M:M))))))</f>
        <v>0</v>
      </c>
      <c r="V809" s="13" t="str">
        <f t="shared" si="260"/>
        <v>-</v>
      </c>
      <c r="W809" s="5"/>
      <c r="X809" s="27" t="b">
        <f>IF($G809&lt;&gt;0,SUMIF(куб!$G:$G,$G809,куб!N:N),IF($E809&lt;&gt;0,SUMIF(куб!$E:$E,$E809,куб!N:N),IF($D809&lt;&gt;0,SUMIF(куб!$D:$D,$D809,куб!N:N),IF($C809&lt;&gt;0,SUMIF(куб!$C:$C,$C809,куб!N:N),IF($B809&lt;&gt;0,SUMIF(куб!$B:$B,$B809,куб!N:N))))))</f>
        <v>0</v>
      </c>
      <c r="Y809" s="27" t="b">
        <f>IF($G809&lt;&gt;0,SUMIF(куб!$G:$G,$G809,куб!O:O),IF($E809&lt;&gt;0,SUMIF(куб!$E:$E,$E809,куб!O:O),IF($D809&lt;&gt;0,SUMIF(куб!$D:$D,$D809,куб!O:O),IF($C809&lt;&gt;0,SUMIF(куб!$C:$C,$C809,куб!O:O),IF($B809&lt;&gt;0,SUMIF(куб!$B:$B,$B809,куб!O:O))))))</f>
        <v>0</v>
      </c>
      <c r="Z809" s="13" t="str">
        <f t="shared" si="261"/>
        <v>-</v>
      </c>
      <c r="AA809" s="5"/>
      <c r="AB809" s="33" t="str">
        <f t="shared" si="262"/>
        <v/>
      </c>
      <c r="AC809" s="33" t="str">
        <f t="shared" si="263"/>
        <v/>
      </c>
      <c r="AD809" s="15" t="str">
        <f t="shared" si="264"/>
        <v xml:space="preserve"> </v>
      </c>
      <c r="AE809" s="5"/>
      <c r="AF809" s="27" t="b">
        <f>IF($G809&lt;&gt;0,SUMIF(куб!$G:$G,$G809,куб!R:R),IF($E809&lt;&gt;0,SUMIF(куб!$E:$E,$E809,куб!R:R),IF($D809&lt;&gt;0,SUMIF(куб!$D:$D,$D809,куб!R:R),IF($C809&lt;&gt;0,SUMIF(куб!$C:$C,$C809,куб!R:R),IF($B809&lt;&gt;0,SUMIF(куб!$B:$B,$B809,куб!R:R))))))</f>
        <v>0</v>
      </c>
      <c r="AG809" s="27" t="b">
        <f>IF($G809&lt;&gt;0,SUMIF(куб!$G:$G,$G809,куб!S:S),IF($E809&lt;&gt;0,SUMIF(куб!$E:$E,$E809,куб!S:S),IF($D809&lt;&gt;0,SUMIF(куб!$D:$D,$D809,куб!S:S),IF($C809&lt;&gt;0,SUMIF(куб!$C:$C,$C809,куб!S:S),IF($B809&lt;&gt;0,SUMIF(куб!$B:$B,$B809,куб!S:S))))))</f>
        <v>0</v>
      </c>
      <c r="AH809" s="16" t="str">
        <f t="shared" si="265"/>
        <v>-</v>
      </c>
      <c r="AI809" s="8"/>
      <c r="AJ809" s="27" t="b">
        <f>IF($G809&lt;&gt;0,SUMIF(куб!$G:$G,$G809,куб!T:T),IF($E809&lt;&gt;0,SUMIF(куб!$E:$E,$E809,куб!T:T),IF($D809&lt;&gt;0,SUMIF(куб!$D:$D,$D809,куб!T:T),IF($C809&lt;&gt;0,SUMIF(куб!$C:$C,$C809,куб!T:T),IF($B809&lt;&gt;0,SUMIF(куб!$B:$B,$B809,куб!T:T))))))</f>
        <v>0</v>
      </c>
      <c r="AK809" s="27" t="b">
        <f>IF($G809&lt;&gt;0,SUMIF(куб!$G:$G,$G809,куб!U:U),IF($E809&lt;&gt;0,SUMIF(куб!$E:$E,$E809,куб!U:U),IF($D809&lt;&gt;0,SUMIF(куб!$D:$D,$D809,куб!U:U),IF($C809&lt;&gt;0,SUMIF(куб!$C:$C,$C809,куб!U:U),IF($B809&lt;&gt;0,SUMIF(куб!$B:$B,$B809,куб!U:U))))))</f>
        <v>0</v>
      </c>
      <c r="AL809" s="16" t="str">
        <f t="shared" si="266"/>
        <v>-</v>
      </c>
      <c r="AM809" s="8"/>
      <c r="AN809" s="17" t="str">
        <f t="shared" si="267"/>
        <v xml:space="preserve"> </v>
      </c>
      <c r="AO809" s="17" t="str">
        <f t="shared" si="268"/>
        <v xml:space="preserve"> </v>
      </c>
      <c r="AP809" s="16" t="str">
        <f t="shared" si="269"/>
        <v>-</v>
      </c>
      <c r="AQ809" s="8"/>
      <c r="AR809" s="17" t="str">
        <f t="shared" si="270"/>
        <v>-</v>
      </c>
      <c r="AS809" s="17" t="str">
        <f t="shared" si="271"/>
        <v>-</v>
      </c>
      <c r="AT809" s="13" t="str">
        <f t="shared" si="272"/>
        <v>-</v>
      </c>
      <c r="AU809" s="8"/>
    </row>
    <row r="810" spans="1:47" x14ac:dyDescent="0.25">
      <c r="A810" s="31"/>
      <c r="B810" s="31"/>
      <c r="C810"/>
      <c r="D810" s="31"/>
      <c r="E810"/>
      <c r="F810" s="31"/>
      <c r="G810"/>
      <c r="H810" s="27">
        <f>IF($G810&lt;&gt;0,SUMIF(куб!$G:$G,$G810,куб!H:H),IF($E810&lt;&gt;0,SUMIF(куб!$E:$E,$E810,куб!H:H),IF($D810&lt;&gt;0,SUMIF(куб!$D:$D,$D810,куб!H:H),IF($C810&lt;&gt;0,SUMIF(куб!$C:$C,$C810,куб!H:H),IF($B810&lt;&gt;0,SUMIF(куб!$B:$B,$B810,куб!H:H),IF($G810&lt;&gt;0,SUMIF(куб!$A:$A,$G810,куб!H:H),SUMIF(куб!$A:$A,$G810,куб!H:H)))))))</f>
        <v>0</v>
      </c>
      <c r="I810" s="27">
        <f>IF($G810&lt;&gt;0,SUMIF(куб!$G:$G,$G810,куб!I:I),IF($E810&lt;&gt;0,SUMIF(куб!$E:$E,$E810,куб!I:I),IF($D810&lt;&gt;0,SUMIF(куб!$D:$D,$D810,куб!I:I),IF($C810&lt;&gt;0,SUMIF(куб!$C:$C,$C810,куб!I:I),IF($B810&lt;&gt;0,SUMIF(куб!$B:$B,$B810,куб!I:I),IF($G810&lt;&gt;0,SUMIF(куб!$A:$A,$G810,куб!I:I),SUMIF(куб!$A:$A,$G810,куб!I:I)))))))</f>
        <v>0</v>
      </c>
      <c r="J810" s="19" t="str">
        <f t="shared" si="255"/>
        <v>-</v>
      </c>
      <c r="K810" s="8"/>
      <c r="L810" s="17">
        <f t="shared" si="256"/>
        <v>0</v>
      </c>
      <c r="M810" s="17">
        <f t="shared" si="257"/>
        <v>0</v>
      </c>
      <c r="N810" s="12">
        <f t="shared" si="258"/>
        <v>0</v>
      </c>
      <c r="O810" s="5"/>
      <c r="P810" s="27" t="b">
        <f>IF($G810&lt;&gt;0,SUMIF(куб!$G:$G,$G810,куб!J:J),IF($E810&lt;&gt;0,SUMIF(куб!$E:$E,$E810,куб!J:J),IF($D810&lt;&gt;0,SUMIF(куб!$D:$D,$D810,куб!J:J),IF($C810&lt;&gt;0,SUMIF(куб!$C:$C,$C810,куб!J:J),IF($B810&lt;&gt;0,SUMIF(куб!$B:$B,$B810,куб!J:J))))))</f>
        <v>0</v>
      </c>
      <c r="Q810" s="27" t="b">
        <f>IF($G810&lt;&gt;0,SUMIF(куб!$G:$G,$G810,куб!K:K),IF($E810&lt;&gt;0,SUMIF(куб!$E:$E,$E810,куб!K:K),IF($D810&lt;&gt;0,SUMIF(куб!$D:$D,$D810,куб!K:K),IF($C810&lt;&gt;0,SUMIF(куб!$C:$C,$C810,куб!K:K),IF($B810&lt;&gt;0,SUMIF(куб!$B:$B,$B810,куб!K:K))))))</f>
        <v>0</v>
      </c>
      <c r="R810" s="13" t="str">
        <f t="shared" si="259"/>
        <v>-</v>
      </c>
      <c r="S810" s="5"/>
      <c r="T810" s="27" t="b">
        <f>IF($G810&lt;&gt;0,SUMIF(куб!$G:$G,$G810,куб!L:L),IF($E810&lt;&gt;0,SUMIF(куб!$E:$E,$E810,куб!L:L),IF($D810&lt;&gt;0,SUMIF(куб!$D:$D,$D810,куб!L:L),IF($C810&lt;&gt;0,SUMIF(куб!$C:$C,$C810,куб!L:L),IF($B810&lt;&gt;0,SUMIF(куб!$B:$B,$B810,куб!L:L))))))</f>
        <v>0</v>
      </c>
      <c r="U810" s="27" t="b">
        <f>IF($G810&lt;&gt;0,SUMIF(куб!$G:$G,$G810,куб!M:M),IF($E810&lt;&gt;0,SUMIF(куб!$E:$E,$E810,куб!M:M),IF($D810&lt;&gt;0,SUMIF(куб!$D:$D,$D810,куб!M:M),IF($C810&lt;&gt;0,SUMIF(куб!$C:$C,$C810,куб!M:M),IF($B810&lt;&gt;0,SUMIF(куб!$B:$B,$B810,куб!M:M))))))</f>
        <v>0</v>
      </c>
      <c r="V810" s="13" t="str">
        <f t="shared" si="260"/>
        <v>-</v>
      </c>
      <c r="W810" s="5"/>
      <c r="X810" s="27" t="b">
        <f>IF($G810&lt;&gt;0,SUMIF(куб!$G:$G,$G810,куб!N:N),IF($E810&lt;&gt;0,SUMIF(куб!$E:$E,$E810,куб!N:N),IF($D810&lt;&gt;0,SUMIF(куб!$D:$D,$D810,куб!N:N),IF($C810&lt;&gt;0,SUMIF(куб!$C:$C,$C810,куб!N:N),IF($B810&lt;&gt;0,SUMIF(куб!$B:$B,$B810,куб!N:N))))))</f>
        <v>0</v>
      </c>
      <c r="Y810" s="27" t="b">
        <f>IF($G810&lt;&gt;0,SUMIF(куб!$G:$G,$G810,куб!O:O),IF($E810&lt;&gt;0,SUMIF(куб!$E:$E,$E810,куб!O:O),IF($D810&lt;&gt;0,SUMIF(куб!$D:$D,$D810,куб!O:O),IF($C810&lt;&gt;0,SUMIF(куб!$C:$C,$C810,куб!O:O),IF($B810&lt;&gt;0,SUMIF(куб!$B:$B,$B810,куб!O:O))))))</f>
        <v>0</v>
      </c>
      <c r="Z810" s="13" t="str">
        <f t="shared" si="261"/>
        <v>-</v>
      </c>
      <c r="AA810" s="5"/>
      <c r="AB810" s="33" t="str">
        <f t="shared" si="262"/>
        <v/>
      </c>
      <c r="AC810" s="33" t="str">
        <f t="shared" si="263"/>
        <v/>
      </c>
      <c r="AD810" s="15" t="str">
        <f t="shared" si="264"/>
        <v xml:space="preserve"> </v>
      </c>
      <c r="AE810" s="5"/>
      <c r="AF810" s="27" t="b">
        <f>IF($G810&lt;&gt;0,SUMIF(куб!$G:$G,$G810,куб!R:R),IF($E810&lt;&gt;0,SUMIF(куб!$E:$E,$E810,куб!R:R),IF($D810&lt;&gt;0,SUMIF(куб!$D:$D,$D810,куб!R:R),IF($C810&lt;&gt;0,SUMIF(куб!$C:$C,$C810,куб!R:R),IF($B810&lt;&gt;0,SUMIF(куб!$B:$B,$B810,куб!R:R))))))</f>
        <v>0</v>
      </c>
      <c r="AG810" s="27" t="b">
        <f>IF($G810&lt;&gt;0,SUMIF(куб!$G:$G,$G810,куб!S:S),IF($E810&lt;&gt;0,SUMIF(куб!$E:$E,$E810,куб!S:S),IF($D810&lt;&gt;0,SUMIF(куб!$D:$D,$D810,куб!S:S),IF($C810&lt;&gt;0,SUMIF(куб!$C:$C,$C810,куб!S:S),IF($B810&lt;&gt;0,SUMIF(куб!$B:$B,$B810,куб!S:S))))))</f>
        <v>0</v>
      </c>
      <c r="AH810" s="16" t="str">
        <f t="shared" si="265"/>
        <v>-</v>
      </c>
      <c r="AI810" s="8"/>
      <c r="AJ810" s="27" t="b">
        <f>IF($G810&lt;&gt;0,SUMIF(куб!$G:$G,$G810,куб!T:T),IF($E810&lt;&gt;0,SUMIF(куб!$E:$E,$E810,куб!T:T),IF($D810&lt;&gt;0,SUMIF(куб!$D:$D,$D810,куб!T:T),IF($C810&lt;&gt;0,SUMIF(куб!$C:$C,$C810,куб!T:T),IF($B810&lt;&gt;0,SUMIF(куб!$B:$B,$B810,куб!T:T))))))</f>
        <v>0</v>
      </c>
      <c r="AK810" s="27" t="b">
        <f>IF($G810&lt;&gt;0,SUMIF(куб!$G:$G,$G810,куб!U:U),IF($E810&lt;&gt;0,SUMIF(куб!$E:$E,$E810,куб!U:U),IF($D810&lt;&gt;0,SUMIF(куб!$D:$D,$D810,куб!U:U),IF($C810&lt;&gt;0,SUMIF(куб!$C:$C,$C810,куб!U:U),IF($B810&lt;&gt;0,SUMIF(куб!$B:$B,$B810,куб!U:U))))))</f>
        <v>0</v>
      </c>
      <c r="AL810" s="16" t="str">
        <f t="shared" si="266"/>
        <v>-</v>
      </c>
      <c r="AM810" s="8"/>
      <c r="AN810" s="17" t="str">
        <f t="shared" si="267"/>
        <v xml:space="preserve"> </v>
      </c>
      <c r="AO810" s="17" t="str">
        <f t="shared" si="268"/>
        <v xml:space="preserve"> </v>
      </c>
      <c r="AP810" s="16" t="str">
        <f t="shared" si="269"/>
        <v>-</v>
      </c>
      <c r="AQ810" s="8"/>
      <c r="AR810" s="17" t="str">
        <f t="shared" si="270"/>
        <v>-</v>
      </c>
      <c r="AS810" s="17" t="str">
        <f t="shared" si="271"/>
        <v>-</v>
      </c>
      <c r="AT810" s="13" t="str">
        <f t="shared" si="272"/>
        <v>-</v>
      </c>
      <c r="AU810" s="8"/>
    </row>
    <row r="811" spans="1:47" x14ac:dyDescent="0.25">
      <c r="A811" s="31"/>
      <c r="B811" s="31"/>
      <c r="C811"/>
      <c r="D811" s="31"/>
      <c r="E811"/>
      <c r="F811" s="31"/>
      <c r="G811"/>
      <c r="H811" s="27">
        <f>IF($G811&lt;&gt;0,SUMIF(куб!$G:$G,$G811,куб!H:H),IF($E811&lt;&gt;0,SUMIF(куб!$E:$E,$E811,куб!H:H),IF($D811&lt;&gt;0,SUMIF(куб!$D:$D,$D811,куб!H:H),IF($C811&lt;&gt;0,SUMIF(куб!$C:$C,$C811,куб!H:H),IF($B811&lt;&gt;0,SUMIF(куб!$B:$B,$B811,куб!H:H),IF($G811&lt;&gt;0,SUMIF(куб!$A:$A,$G811,куб!H:H),SUMIF(куб!$A:$A,$G811,куб!H:H)))))))</f>
        <v>0</v>
      </c>
      <c r="I811" s="27">
        <f>IF($G811&lt;&gt;0,SUMIF(куб!$G:$G,$G811,куб!I:I),IF($E811&lt;&gt;0,SUMIF(куб!$E:$E,$E811,куб!I:I),IF($D811&lt;&gt;0,SUMIF(куб!$D:$D,$D811,куб!I:I),IF($C811&lt;&gt;0,SUMIF(куб!$C:$C,$C811,куб!I:I),IF($B811&lt;&gt;0,SUMIF(куб!$B:$B,$B811,куб!I:I),IF($G811&lt;&gt;0,SUMIF(куб!$A:$A,$G811,куб!I:I),SUMIF(куб!$A:$A,$G811,куб!I:I)))))))</f>
        <v>0</v>
      </c>
      <c r="J811" s="19" t="str">
        <f t="shared" si="255"/>
        <v>-</v>
      </c>
      <c r="K811" s="8"/>
      <c r="L811" s="17">
        <f t="shared" si="256"/>
        <v>0</v>
      </c>
      <c r="M811" s="17">
        <f t="shared" si="257"/>
        <v>0</v>
      </c>
      <c r="N811" s="12">
        <f t="shared" si="258"/>
        <v>0</v>
      </c>
      <c r="O811" s="5"/>
      <c r="P811" s="27" t="b">
        <f>IF($G811&lt;&gt;0,SUMIF(куб!$G:$G,$G811,куб!J:J),IF($E811&lt;&gt;0,SUMIF(куб!$E:$E,$E811,куб!J:J),IF($D811&lt;&gt;0,SUMIF(куб!$D:$D,$D811,куб!J:J),IF($C811&lt;&gt;0,SUMIF(куб!$C:$C,$C811,куб!J:J),IF($B811&lt;&gt;0,SUMIF(куб!$B:$B,$B811,куб!J:J))))))</f>
        <v>0</v>
      </c>
      <c r="Q811" s="27" t="b">
        <f>IF($G811&lt;&gt;0,SUMIF(куб!$G:$G,$G811,куб!K:K),IF($E811&lt;&gt;0,SUMIF(куб!$E:$E,$E811,куб!K:K),IF($D811&lt;&gt;0,SUMIF(куб!$D:$D,$D811,куб!K:K),IF($C811&lt;&gt;0,SUMIF(куб!$C:$C,$C811,куб!K:K),IF($B811&lt;&gt;0,SUMIF(куб!$B:$B,$B811,куб!K:K))))))</f>
        <v>0</v>
      </c>
      <c r="R811" s="13" t="str">
        <f t="shared" si="259"/>
        <v>-</v>
      </c>
      <c r="S811" s="5"/>
      <c r="T811" s="27" t="b">
        <f>IF($G811&lt;&gt;0,SUMIF(куб!$G:$G,$G811,куб!L:L),IF($E811&lt;&gt;0,SUMIF(куб!$E:$E,$E811,куб!L:L),IF($D811&lt;&gt;0,SUMIF(куб!$D:$D,$D811,куб!L:L),IF($C811&lt;&gt;0,SUMIF(куб!$C:$C,$C811,куб!L:L),IF($B811&lt;&gt;0,SUMIF(куб!$B:$B,$B811,куб!L:L))))))</f>
        <v>0</v>
      </c>
      <c r="U811" s="27" t="b">
        <f>IF($G811&lt;&gt;0,SUMIF(куб!$G:$G,$G811,куб!M:M),IF($E811&lt;&gt;0,SUMIF(куб!$E:$E,$E811,куб!M:M),IF($D811&lt;&gt;0,SUMIF(куб!$D:$D,$D811,куб!M:M),IF($C811&lt;&gt;0,SUMIF(куб!$C:$C,$C811,куб!M:M),IF($B811&lt;&gt;0,SUMIF(куб!$B:$B,$B811,куб!M:M))))))</f>
        <v>0</v>
      </c>
      <c r="V811" s="13" t="str">
        <f t="shared" si="260"/>
        <v>-</v>
      </c>
      <c r="W811" s="5"/>
      <c r="X811" s="27" t="b">
        <f>IF($G811&lt;&gt;0,SUMIF(куб!$G:$G,$G811,куб!N:N),IF($E811&lt;&gt;0,SUMIF(куб!$E:$E,$E811,куб!N:N),IF($D811&lt;&gt;0,SUMIF(куб!$D:$D,$D811,куб!N:N),IF($C811&lt;&gt;0,SUMIF(куб!$C:$C,$C811,куб!N:N),IF($B811&lt;&gt;0,SUMIF(куб!$B:$B,$B811,куб!N:N))))))</f>
        <v>0</v>
      </c>
      <c r="Y811" s="27" t="b">
        <f>IF($G811&lt;&gt;0,SUMIF(куб!$G:$G,$G811,куб!O:O),IF($E811&lt;&gt;0,SUMIF(куб!$E:$E,$E811,куб!O:O),IF($D811&lt;&gt;0,SUMIF(куб!$D:$D,$D811,куб!O:O),IF($C811&lt;&gt;0,SUMIF(куб!$C:$C,$C811,куб!O:O),IF($B811&lt;&gt;0,SUMIF(куб!$B:$B,$B811,куб!O:O))))))</f>
        <v>0</v>
      </c>
      <c r="Z811" s="13" t="str">
        <f t="shared" si="261"/>
        <v>-</v>
      </c>
      <c r="AA811" s="5"/>
      <c r="AB811" s="33" t="str">
        <f t="shared" si="262"/>
        <v/>
      </c>
      <c r="AC811" s="33" t="str">
        <f t="shared" si="263"/>
        <v/>
      </c>
      <c r="AD811" s="15" t="str">
        <f t="shared" si="264"/>
        <v xml:space="preserve"> </v>
      </c>
      <c r="AE811" s="5"/>
      <c r="AF811" s="27" t="b">
        <f>IF($G811&lt;&gt;0,SUMIF(куб!$G:$G,$G811,куб!R:R),IF($E811&lt;&gt;0,SUMIF(куб!$E:$E,$E811,куб!R:R),IF($D811&lt;&gt;0,SUMIF(куб!$D:$D,$D811,куб!R:R),IF($C811&lt;&gt;0,SUMIF(куб!$C:$C,$C811,куб!R:R),IF($B811&lt;&gt;0,SUMIF(куб!$B:$B,$B811,куб!R:R))))))</f>
        <v>0</v>
      </c>
      <c r="AG811" s="27" t="b">
        <f>IF($G811&lt;&gt;0,SUMIF(куб!$G:$G,$G811,куб!S:S),IF($E811&lt;&gt;0,SUMIF(куб!$E:$E,$E811,куб!S:S),IF($D811&lt;&gt;0,SUMIF(куб!$D:$D,$D811,куб!S:S),IF($C811&lt;&gt;0,SUMIF(куб!$C:$C,$C811,куб!S:S),IF($B811&lt;&gt;0,SUMIF(куб!$B:$B,$B811,куб!S:S))))))</f>
        <v>0</v>
      </c>
      <c r="AH811" s="16" t="str">
        <f t="shared" si="265"/>
        <v>-</v>
      </c>
      <c r="AI811" s="8"/>
      <c r="AJ811" s="27" t="b">
        <f>IF($G811&lt;&gt;0,SUMIF(куб!$G:$G,$G811,куб!T:T),IF($E811&lt;&gt;0,SUMIF(куб!$E:$E,$E811,куб!T:T),IF($D811&lt;&gt;0,SUMIF(куб!$D:$D,$D811,куб!T:T),IF($C811&lt;&gt;0,SUMIF(куб!$C:$C,$C811,куб!T:T),IF($B811&lt;&gt;0,SUMIF(куб!$B:$B,$B811,куб!T:T))))))</f>
        <v>0</v>
      </c>
      <c r="AK811" s="27" t="b">
        <f>IF($G811&lt;&gt;0,SUMIF(куб!$G:$G,$G811,куб!U:U),IF($E811&lt;&gt;0,SUMIF(куб!$E:$E,$E811,куб!U:U),IF($D811&lt;&gt;0,SUMIF(куб!$D:$D,$D811,куб!U:U),IF($C811&lt;&gt;0,SUMIF(куб!$C:$C,$C811,куб!U:U),IF($B811&lt;&gt;0,SUMIF(куб!$B:$B,$B811,куб!U:U))))))</f>
        <v>0</v>
      </c>
      <c r="AL811" s="16" t="str">
        <f t="shared" si="266"/>
        <v>-</v>
      </c>
      <c r="AM811" s="8"/>
      <c r="AN811" s="17" t="str">
        <f t="shared" si="267"/>
        <v xml:space="preserve"> </v>
      </c>
      <c r="AO811" s="17" t="str">
        <f t="shared" si="268"/>
        <v xml:space="preserve"> </v>
      </c>
      <c r="AP811" s="16" t="str">
        <f t="shared" si="269"/>
        <v>-</v>
      </c>
      <c r="AQ811" s="8"/>
      <c r="AR811" s="17" t="str">
        <f t="shared" si="270"/>
        <v>-</v>
      </c>
      <c r="AS811" s="17" t="str">
        <f t="shared" si="271"/>
        <v>-</v>
      </c>
      <c r="AT811" s="13" t="str">
        <f t="shared" si="272"/>
        <v>-</v>
      </c>
      <c r="AU811" s="8"/>
    </row>
    <row r="812" spans="1:47" x14ac:dyDescent="0.25">
      <c r="A812" s="31"/>
      <c r="B812" s="31"/>
      <c r="C812"/>
      <c r="D812" s="31"/>
      <c r="E812"/>
      <c r="F812" s="31"/>
      <c r="G812"/>
      <c r="H812" s="27">
        <f>IF($G812&lt;&gt;0,SUMIF(куб!$G:$G,$G812,куб!H:H),IF($E812&lt;&gt;0,SUMIF(куб!$E:$E,$E812,куб!H:H),IF($D812&lt;&gt;0,SUMIF(куб!$D:$D,$D812,куб!H:H),IF($C812&lt;&gt;0,SUMIF(куб!$C:$C,$C812,куб!H:H),IF($B812&lt;&gt;0,SUMIF(куб!$B:$B,$B812,куб!H:H),IF($G812&lt;&gt;0,SUMIF(куб!$A:$A,$G812,куб!H:H),SUMIF(куб!$A:$A,$G812,куб!H:H)))))))</f>
        <v>0</v>
      </c>
      <c r="I812" s="27">
        <f>IF($G812&lt;&gt;0,SUMIF(куб!$G:$G,$G812,куб!I:I),IF($E812&lt;&gt;0,SUMIF(куб!$E:$E,$E812,куб!I:I),IF($D812&lt;&gt;0,SUMIF(куб!$D:$D,$D812,куб!I:I),IF($C812&lt;&gt;0,SUMIF(куб!$C:$C,$C812,куб!I:I),IF($B812&lt;&gt;0,SUMIF(куб!$B:$B,$B812,куб!I:I),IF($G812&lt;&gt;0,SUMIF(куб!$A:$A,$G812,куб!I:I),SUMIF(куб!$A:$A,$G812,куб!I:I)))))))</f>
        <v>0</v>
      </c>
      <c r="J812" s="19" t="str">
        <f t="shared" si="255"/>
        <v>-</v>
      </c>
      <c r="K812" s="8"/>
      <c r="L812" s="17">
        <f t="shared" si="256"/>
        <v>0</v>
      </c>
      <c r="M812" s="17">
        <f t="shared" si="257"/>
        <v>0</v>
      </c>
      <c r="N812" s="12">
        <f t="shared" si="258"/>
        <v>0</v>
      </c>
      <c r="O812" s="5"/>
      <c r="P812" s="27" t="b">
        <f>IF($G812&lt;&gt;0,SUMIF(куб!$G:$G,$G812,куб!J:J),IF($E812&lt;&gt;0,SUMIF(куб!$E:$E,$E812,куб!J:J),IF($D812&lt;&gt;0,SUMIF(куб!$D:$D,$D812,куб!J:J),IF($C812&lt;&gt;0,SUMIF(куб!$C:$C,$C812,куб!J:J),IF($B812&lt;&gt;0,SUMIF(куб!$B:$B,$B812,куб!J:J))))))</f>
        <v>0</v>
      </c>
      <c r="Q812" s="27" t="b">
        <f>IF($G812&lt;&gt;0,SUMIF(куб!$G:$G,$G812,куб!K:K),IF($E812&lt;&gt;0,SUMIF(куб!$E:$E,$E812,куб!K:K),IF($D812&lt;&gt;0,SUMIF(куб!$D:$D,$D812,куб!K:K),IF($C812&lt;&gt;0,SUMIF(куб!$C:$C,$C812,куб!K:K),IF($B812&lt;&gt;0,SUMIF(куб!$B:$B,$B812,куб!K:K))))))</f>
        <v>0</v>
      </c>
      <c r="R812" s="13" t="str">
        <f t="shared" si="259"/>
        <v>-</v>
      </c>
      <c r="S812" s="5"/>
      <c r="T812" s="27" t="b">
        <f>IF($G812&lt;&gt;0,SUMIF(куб!$G:$G,$G812,куб!L:L),IF($E812&lt;&gt;0,SUMIF(куб!$E:$E,$E812,куб!L:L),IF($D812&lt;&gt;0,SUMIF(куб!$D:$D,$D812,куб!L:L),IF($C812&lt;&gt;0,SUMIF(куб!$C:$C,$C812,куб!L:L),IF($B812&lt;&gt;0,SUMIF(куб!$B:$B,$B812,куб!L:L))))))</f>
        <v>0</v>
      </c>
      <c r="U812" s="27" t="b">
        <f>IF($G812&lt;&gt;0,SUMIF(куб!$G:$G,$G812,куб!M:M),IF($E812&lt;&gt;0,SUMIF(куб!$E:$E,$E812,куб!M:M),IF($D812&lt;&gt;0,SUMIF(куб!$D:$D,$D812,куб!M:M),IF($C812&lt;&gt;0,SUMIF(куб!$C:$C,$C812,куб!M:M),IF($B812&lt;&gt;0,SUMIF(куб!$B:$B,$B812,куб!M:M))))))</f>
        <v>0</v>
      </c>
      <c r="V812" s="13" t="str">
        <f t="shared" si="260"/>
        <v>-</v>
      </c>
      <c r="W812" s="5"/>
      <c r="X812" s="27" t="b">
        <f>IF($G812&lt;&gt;0,SUMIF(куб!$G:$G,$G812,куб!N:N),IF($E812&lt;&gt;0,SUMIF(куб!$E:$E,$E812,куб!N:N),IF($D812&lt;&gt;0,SUMIF(куб!$D:$D,$D812,куб!N:N),IF($C812&lt;&gt;0,SUMIF(куб!$C:$C,$C812,куб!N:N),IF($B812&lt;&gt;0,SUMIF(куб!$B:$B,$B812,куб!N:N))))))</f>
        <v>0</v>
      </c>
      <c r="Y812" s="27" t="b">
        <f>IF($G812&lt;&gt;0,SUMIF(куб!$G:$G,$G812,куб!O:O),IF($E812&lt;&gt;0,SUMIF(куб!$E:$E,$E812,куб!O:O),IF($D812&lt;&gt;0,SUMIF(куб!$D:$D,$D812,куб!O:O),IF($C812&lt;&gt;0,SUMIF(куб!$C:$C,$C812,куб!O:O),IF($B812&lt;&gt;0,SUMIF(куб!$B:$B,$B812,куб!O:O))))))</f>
        <v>0</v>
      </c>
      <c r="Z812" s="13" t="str">
        <f t="shared" si="261"/>
        <v>-</v>
      </c>
      <c r="AA812" s="5"/>
      <c r="AB812" s="33" t="str">
        <f t="shared" si="262"/>
        <v/>
      </c>
      <c r="AC812" s="33" t="str">
        <f t="shared" si="263"/>
        <v/>
      </c>
      <c r="AD812" s="15" t="str">
        <f t="shared" si="264"/>
        <v xml:space="preserve"> </v>
      </c>
      <c r="AE812" s="5"/>
      <c r="AF812" s="27" t="b">
        <f>IF($G812&lt;&gt;0,SUMIF(куб!$G:$G,$G812,куб!R:R),IF($E812&lt;&gt;0,SUMIF(куб!$E:$E,$E812,куб!R:R),IF($D812&lt;&gt;0,SUMIF(куб!$D:$D,$D812,куб!R:R),IF($C812&lt;&gt;0,SUMIF(куб!$C:$C,$C812,куб!R:R),IF($B812&lt;&gt;0,SUMIF(куб!$B:$B,$B812,куб!R:R))))))</f>
        <v>0</v>
      </c>
      <c r="AG812" s="27" t="b">
        <f>IF($G812&lt;&gt;0,SUMIF(куб!$G:$G,$G812,куб!S:S),IF($E812&lt;&gt;0,SUMIF(куб!$E:$E,$E812,куб!S:S),IF($D812&lt;&gt;0,SUMIF(куб!$D:$D,$D812,куб!S:S),IF($C812&lt;&gt;0,SUMIF(куб!$C:$C,$C812,куб!S:S),IF($B812&lt;&gt;0,SUMIF(куб!$B:$B,$B812,куб!S:S))))))</f>
        <v>0</v>
      </c>
      <c r="AH812" s="16" t="str">
        <f t="shared" si="265"/>
        <v>-</v>
      </c>
      <c r="AI812" s="8"/>
      <c r="AJ812" s="27" t="b">
        <f>IF($G812&lt;&gt;0,SUMIF(куб!$G:$G,$G812,куб!T:T),IF($E812&lt;&gt;0,SUMIF(куб!$E:$E,$E812,куб!T:T),IF($D812&lt;&gt;0,SUMIF(куб!$D:$D,$D812,куб!T:T),IF($C812&lt;&gt;0,SUMIF(куб!$C:$C,$C812,куб!T:T),IF($B812&lt;&gt;0,SUMIF(куб!$B:$B,$B812,куб!T:T))))))</f>
        <v>0</v>
      </c>
      <c r="AK812" s="27" t="b">
        <f>IF($G812&lt;&gt;0,SUMIF(куб!$G:$G,$G812,куб!U:U),IF($E812&lt;&gt;0,SUMIF(куб!$E:$E,$E812,куб!U:U),IF($D812&lt;&gt;0,SUMIF(куб!$D:$D,$D812,куб!U:U),IF($C812&lt;&gt;0,SUMIF(куб!$C:$C,$C812,куб!U:U),IF($B812&lt;&gt;0,SUMIF(куб!$B:$B,$B812,куб!U:U))))))</f>
        <v>0</v>
      </c>
      <c r="AL812" s="16" t="str">
        <f t="shared" si="266"/>
        <v>-</v>
      </c>
      <c r="AM812" s="8"/>
      <c r="AN812" s="17" t="str">
        <f t="shared" si="267"/>
        <v xml:space="preserve"> </v>
      </c>
      <c r="AO812" s="17" t="str">
        <f t="shared" si="268"/>
        <v xml:space="preserve"> </v>
      </c>
      <c r="AP812" s="16" t="str">
        <f t="shared" si="269"/>
        <v>-</v>
      </c>
      <c r="AQ812" s="8"/>
      <c r="AR812" s="17" t="str">
        <f t="shared" si="270"/>
        <v>-</v>
      </c>
      <c r="AS812" s="17" t="str">
        <f t="shared" si="271"/>
        <v>-</v>
      </c>
      <c r="AT812" s="13" t="str">
        <f t="shared" si="272"/>
        <v>-</v>
      </c>
      <c r="AU812" s="8"/>
    </row>
    <row r="813" spans="1:47" x14ac:dyDescent="0.25">
      <c r="A813" s="31"/>
      <c r="B813" s="31"/>
      <c r="C813"/>
      <c r="D813" s="31"/>
      <c r="E813"/>
      <c r="F813" s="31"/>
      <c r="G813"/>
      <c r="H813" s="27">
        <f>IF($G813&lt;&gt;0,SUMIF(куб!$G:$G,$G813,куб!H:H),IF($E813&lt;&gt;0,SUMIF(куб!$E:$E,$E813,куб!H:H),IF($D813&lt;&gt;0,SUMIF(куб!$D:$D,$D813,куб!H:H),IF($C813&lt;&gt;0,SUMIF(куб!$C:$C,$C813,куб!H:H),IF($B813&lt;&gt;0,SUMIF(куб!$B:$B,$B813,куб!H:H),IF($G813&lt;&gt;0,SUMIF(куб!$A:$A,$G813,куб!H:H),SUMIF(куб!$A:$A,$G813,куб!H:H)))))))</f>
        <v>0</v>
      </c>
      <c r="I813" s="27">
        <f>IF($G813&lt;&gt;0,SUMIF(куб!$G:$G,$G813,куб!I:I),IF($E813&lt;&gt;0,SUMIF(куб!$E:$E,$E813,куб!I:I),IF($D813&lt;&gt;0,SUMIF(куб!$D:$D,$D813,куб!I:I),IF($C813&lt;&gt;0,SUMIF(куб!$C:$C,$C813,куб!I:I),IF($B813&lt;&gt;0,SUMIF(куб!$B:$B,$B813,куб!I:I),IF($G813&lt;&gt;0,SUMIF(куб!$A:$A,$G813,куб!I:I),SUMIF(куб!$A:$A,$G813,куб!I:I)))))))</f>
        <v>0</v>
      </c>
      <c r="J813" s="19" t="str">
        <f t="shared" si="255"/>
        <v>-</v>
      </c>
      <c r="K813" s="8"/>
      <c r="L813" s="17">
        <f t="shared" si="256"/>
        <v>0</v>
      </c>
      <c r="M813" s="17">
        <f t="shared" si="257"/>
        <v>0</v>
      </c>
      <c r="N813" s="12">
        <f t="shared" si="258"/>
        <v>0</v>
      </c>
      <c r="O813" s="5"/>
      <c r="P813" s="27" t="b">
        <f>IF($G813&lt;&gt;0,SUMIF(куб!$G:$G,$G813,куб!J:J),IF($E813&lt;&gt;0,SUMIF(куб!$E:$E,$E813,куб!J:J),IF($D813&lt;&gt;0,SUMIF(куб!$D:$D,$D813,куб!J:J),IF($C813&lt;&gt;0,SUMIF(куб!$C:$C,$C813,куб!J:J),IF($B813&lt;&gt;0,SUMIF(куб!$B:$B,$B813,куб!J:J))))))</f>
        <v>0</v>
      </c>
      <c r="Q813" s="27" t="b">
        <f>IF($G813&lt;&gt;0,SUMIF(куб!$G:$G,$G813,куб!K:K),IF($E813&lt;&gt;0,SUMIF(куб!$E:$E,$E813,куб!K:K),IF($D813&lt;&gt;0,SUMIF(куб!$D:$D,$D813,куб!K:K),IF($C813&lt;&gt;0,SUMIF(куб!$C:$C,$C813,куб!K:K),IF($B813&lt;&gt;0,SUMIF(куб!$B:$B,$B813,куб!K:K))))))</f>
        <v>0</v>
      </c>
      <c r="R813" s="13" t="str">
        <f t="shared" si="259"/>
        <v>-</v>
      </c>
      <c r="S813" s="5"/>
      <c r="T813" s="27" t="b">
        <f>IF($G813&lt;&gt;0,SUMIF(куб!$G:$G,$G813,куб!L:L),IF($E813&lt;&gt;0,SUMIF(куб!$E:$E,$E813,куб!L:L),IF($D813&lt;&gt;0,SUMIF(куб!$D:$D,$D813,куб!L:L),IF($C813&lt;&gt;0,SUMIF(куб!$C:$C,$C813,куб!L:L),IF($B813&lt;&gt;0,SUMIF(куб!$B:$B,$B813,куб!L:L))))))</f>
        <v>0</v>
      </c>
      <c r="U813" s="27" t="b">
        <f>IF($G813&lt;&gt;0,SUMIF(куб!$G:$G,$G813,куб!M:M),IF($E813&lt;&gt;0,SUMIF(куб!$E:$E,$E813,куб!M:M),IF($D813&lt;&gt;0,SUMIF(куб!$D:$D,$D813,куб!M:M),IF($C813&lt;&gt;0,SUMIF(куб!$C:$C,$C813,куб!M:M),IF($B813&lt;&gt;0,SUMIF(куб!$B:$B,$B813,куб!M:M))))))</f>
        <v>0</v>
      </c>
      <c r="V813" s="13" t="str">
        <f t="shared" si="260"/>
        <v>-</v>
      </c>
      <c r="W813" s="5"/>
      <c r="X813" s="27" t="b">
        <f>IF($G813&lt;&gt;0,SUMIF(куб!$G:$G,$G813,куб!N:N),IF($E813&lt;&gt;0,SUMIF(куб!$E:$E,$E813,куб!N:N),IF($D813&lt;&gt;0,SUMIF(куб!$D:$D,$D813,куб!N:N),IF($C813&lt;&gt;0,SUMIF(куб!$C:$C,$C813,куб!N:N),IF($B813&lt;&gt;0,SUMIF(куб!$B:$B,$B813,куб!N:N))))))</f>
        <v>0</v>
      </c>
      <c r="Y813" s="27" t="b">
        <f>IF($G813&lt;&gt;0,SUMIF(куб!$G:$G,$G813,куб!O:O),IF($E813&lt;&gt;0,SUMIF(куб!$E:$E,$E813,куб!O:O),IF($D813&lt;&gt;0,SUMIF(куб!$D:$D,$D813,куб!O:O),IF($C813&lt;&gt;0,SUMIF(куб!$C:$C,$C813,куб!O:O),IF($B813&lt;&gt;0,SUMIF(куб!$B:$B,$B813,куб!O:O))))))</f>
        <v>0</v>
      </c>
      <c r="Z813" s="13" t="str">
        <f t="shared" si="261"/>
        <v>-</v>
      </c>
      <c r="AA813" s="5"/>
      <c r="AB813" s="33" t="str">
        <f t="shared" si="262"/>
        <v/>
      </c>
      <c r="AC813" s="33" t="str">
        <f t="shared" si="263"/>
        <v/>
      </c>
      <c r="AD813" s="15" t="str">
        <f t="shared" si="264"/>
        <v xml:space="preserve"> </v>
      </c>
      <c r="AE813" s="5"/>
      <c r="AF813" s="27" t="b">
        <f>IF($G813&lt;&gt;0,SUMIF(куб!$G:$G,$G813,куб!R:R),IF($E813&lt;&gt;0,SUMIF(куб!$E:$E,$E813,куб!R:R),IF($D813&lt;&gt;0,SUMIF(куб!$D:$D,$D813,куб!R:R),IF($C813&lt;&gt;0,SUMIF(куб!$C:$C,$C813,куб!R:R),IF($B813&lt;&gt;0,SUMIF(куб!$B:$B,$B813,куб!R:R))))))</f>
        <v>0</v>
      </c>
      <c r="AG813" s="27" t="b">
        <f>IF($G813&lt;&gt;0,SUMIF(куб!$G:$G,$G813,куб!S:S),IF($E813&lt;&gt;0,SUMIF(куб!$E:$E,$E813,куб!S:S),IF($D813&lt;&gt;0,SUMIF(куб!$D:$D,$D813,куб!S:S),IF($C813&lt;&gt;0,SUMIF(куб!$C:$C,$C813,куб!S:S),IF($B813&lt;&gt;0,SUMIF(куб!$B:$B,$B813,куб!S:S))))))</f>
        <v>0</v>
      </c>
      <c r="AH813" s="16" t="str">
        <f t="shared" si="265"/>
        <v>-</v>
      </c>
      <c r="AI813" s="8"/>
      <c r="AJ813" s="27" t="b">
        <f>IF($G813&lt;&gt;0,SUMIF(куб!$G:$G,$G813,куб!T:T),IF($E813&lt;&gt;0,SUMIF(куб!$E:$E,$E813,куб!T:T),IF($D813&lt;&gt;0,SUMIF(куб!$D:$D,$D813,куб!T:T),IF($C813&lt;&gt;0,SUMIF(куб!$C:$C,$C813,куб!T:T),IF($B813&lt;&gt;0,SUMIF(куб!$B:$B,$B813,куб!T:T))))))</f>
        <v>0</v>
      </c>
      <c r="AK813" s="27" t="b">
        <f>IF($G813&lt;&gt;0,SUMIF(куб!$G:$G,$G813,куб!U:U),IF($E813&lt;&gt;0,SUMIF(куб!$E:$E,$E813,куб!U:U),IF($D813&lt;&gt;0,SUMIF(куб!$D:$D,$D813,куб!U:U),IF($C813&lt;&gt;0,SUMIF(куб!$C:$C,$C813,куб!U:U),IF($B813&lt;&gt;0,SUMIF(куб!$B:$B,$B813,куб!U:U))))))</f>
        <v>0</v>
      </c>
      <c r="AL813" s="16" t="str">
        <f t="shared" si="266"/>
        <v>-</v>
      </c>
      <c r="AM813" s="8"/>
      <c r="AN813" s="17" t="str">
        <f t="shared" si="267"/>
        <v xml:space="preserve"> </v>
      </c>
      <c r="AO813" s="17" t="str">
        <f t="shared" si="268"/>
        <v xml:space="preserve"> </v>
      </c>
      <c r="AP813" s="16" t="str">
        <f t="shared" si="269"/>
        <v>-</v>
      </c>
      <c r="AQ813" s="8"/>
      <c r="AR813" s="17" t="str">
        <f t="shared" si="270"/>
        <v>-</v>
      </c>
      <c r="AS813" s="17" t="str">
        <f t="shared" si="271"/>
        <v>-</v>
      </c>
      <c r="AT813" s="13" t="str">
        <f t="shared" si="272"/>
        <v>-</v>
      </c>
      <c r="AU813" s="8"/>
    </row>
    <row r="814" spans="1:47" x14ac:dyDescent="0.25">
      <c r="A814" s="31"/>
      <c r="B814" s="31"/>
      <c r="C814"/>
      <c r="D814" s="31"/>
      <c r="E814"/>
      <c r="F814" s="31"/>
      <c r="G814"/>
      <c r="H814" s="27">
        <f>IF($G814&lt;&gt;0,SUMIF(куб!$G:$G,$G814,куб!H:H),IF($E814&lt;&gt;0,SUMIF(куб!$E:$E,$E814,куб!H:H),IF($D814&lt;&gt;0,SUMIF(куб!$D:$D,$D814,куб!H:H),IF($C814&lt;&gt;0,SUMIF(куб!$C:$C,$C814,куб!H:H),IF($B814&lt;&gt;0,SUMIF(куб!$B:$B,$B814,куб!H:H),IF($G814&lt;&gt;0,SUMIF(куб!$A:$A,$G814,куб!H:H),SUMIF(куб!$A:$A,$G814,куб!H:H)))))))</f>
        <v>0</v>
      </c>
      <c r="I814" s="27">
        <f>IF($G814&lt;&gt;0,SUMIF(куб!$G:$G,$G814,куб!I:I),IF($E814&lt;&gt;0,SUMIF(куб!$E:$E,$E814,куб!I:I),IF($D814&lt;&gt;0,SUMIF(куб!$D:$D,$D814,куб!I:I),IF($C814&lt;&gt;0,SUMIF(куб!$C:$C,$C814,куб!I:I),IF($B814&lt;&gt;0,SUMIF(куб!$B:$B,$B814,куб!I:I),IF($G814&lt;&gt;0,SUMIF(куб!$A:$A,$G814,куб!I:I),SUMIF(куб!$A:$A,$G814,куб!I:I)))))))</f>
        <v>0</v>
      </c>
      <c r="J814" s="19" t="str">
        <f t="shared" si="255"/>
        <v>-</v>
      </c>
      <c r="K814" s="8"/>
      <c r="L814" s="17">
        <f t="shared" si="256"/>
        <v>0</v>
      </c>
      <c r="M814" s="17">
        <f t="shared" si="257"/>
        <v>0</v>
      </c>
      <c r="N814" s="12">
        <f t="shared" si="258"/>
        <v>0</v>
      </c>
      <c r="O814" s="5"/>
      <c r="P814" s="27" t="b">
        <f>IF($G814&lt;&gt;0,SUMIF(куб!$G:$G,$G814,куб!J:J),IF($E814&lt;&gt;0,SUMIF(куб!$E:$E,$E814,куб!J:J),IF($D814&lt;&gt;0,SUMIF(куб!$D:$D,$D814,куб!J:J),IF($C814&lt;&gt;0,SUMIF(куб!$C:$C,$C814,куб!J:J),IF($B814&lt;&gt;0,SUMIF(куб!$B:$B,$B814,куб!J:J))))))</f>
        <v>0</v>
      </c>
      <c r="Q814" s="27" t="b">
        <f>IF($G814&lt;&gt;0,SUMIF(куб!$G:$G,$G814,куб!K:K),IF($E814&lt;&gt;0,SUMIF(куб!$E:$E,$E814,куб!K:K),IF($D814&lt;&gt;0,SUMIF(куб!$D:$D,$D814,куб!K:K),IF($C814&lt;&gt;0,SUMIF(куб!$C:$C,$C814,куб!K:K),IF($B814&lt;&gt;0,SUMIF(куб!$B:$B,$B814,куб!K:K))))))</f>
        <v>0</v>
      </c>
      <c r="R814" s="13" t="str">
        <f t="shared" si="259"/>
        <v>-</v>
      </c>
      <c r="S814" s="5"/>
      <c r="T814" s="27" t="b">
        <f>IF($G814&lt;&gt;0,SUMIF(куб!$G:$G,$G814,куб!L:L),IF($E814&lt;&gt;0,SUMIF(куб!$E:$E,$E814,куб!L:L),IF($D814&lt;&gt;0,SUMIF(куб!$D:$D,$D814,куб!L:L),IF($C814&lt;&gt;0,SUMIF(куб!$C:$C,$C814,куб!L:L),IF($B814&lt;&gt;0,SUMIF(куб!$B:$B,$B814,куб!L:L))))))</f>
        <v>0</v>
      </c>
      <c r="U814" s="27" t="b">
        <f>IF($G814&lt;&gt;0,SUMIF(куб!$G:$G,$G814,куб!M:M),IF($E814&lt;&gt;0,SUMIF(куб!$E:$E,$E814,куб!M:M),IF($D814&lt;&gt;0,SUMIF(куб!$D:$D,$D814,куб!M:M),IF($C814&lt;&gt;0,SUMIF(куб!$C:$C,$C814,куб!M:M),IF($B814&lt;&gt;0,SUMIF(куб!$B:$B,$B814,куб!M:M))))))</f>
        <v>0</v>
      </c>
      <c r="V814" s="13" t="str">
        <f t="shared" si="260"/>
        <v>-</v>
      </c>
      <c r="W814" s="5"/>
      <c r="X814" s="27" t="b">
        <f>IF($G814&lt;&gt;0,SUMIF(куб!$G:$G,$G814,куб!N:N),IF($E814&lt;&gt;0,SUMIF(куб!$E:$E,$E814,куб!N:N),IF($D814&lt;&gt;0,SUMIF(куб!$D:$D,$D814,куб!N:N),IF($C814&lt;&gt;0,SUMIF(куб!$C:$C,$C814,куб!N:N),IF($B814&lt;&gt;0,SUMIF(куб!$B:$B,$B814,куб!N:N))))))</f>
        <v>0</v>
      </c>
      <c r="Y814" s="27" t="b">
        <f>IF($G814&lt;&gt;0,SUMIF(куб!$G:$G,$G814,куб!O:O),IF($E814&lt;&gt;0,SUMIF(куб!$E:$E,$E814,куб!O:O),IF($D814&lt;&gt;0,SUMIF(куб!$D:$D,$D814,куб!O:O),IF($C814&lt;&gt;0,SUMIF(куб!$C:$C,$C814,куб!O:O),IF($B814&lt;&gt;0,SUMIF(куб!$B:$B,$B814,куб!O:O))))))</f>
        <v>0</v>
      </c>
      <c r="Z814" s="13" t="str">
        <f t="shared" si="261"/>
        <v>-</v>
      </c>
      <c r="AA814" s="5"/>
      <c r="AB814" s="33" t="str">
        <f t="shared" si="262"/>
        <v/>
      </c>
      <c r="AC814" s="33" t="str">
        <f t="shared" si="263"/>
        <v/>
      </c>
      <c r="AD814" s="15" t="str">
        <f t="shared" si="264"/>
        <v xml:space="preserve"> </v>
      </c>
      <c r="AE814" s="5"/>
      <c r="AF814" s="27" t="b">
        <f>IF($G814&lt;&gt;0,SUMIF(куб!$G:$G,$G814,куб!R:R),IF($E814&lt;&gt;0,SUMIF(куб!$E:$E,$E814,куб!R:R),IF($D814&lt;&gt;0,SUMIF(куб!$D:$D,$D814,куб!R:R),IF($C814&lt;&gt;0,SUMIF(куб!$C:$C,$C814,куб!R:R),IF($B814&lt;&gt;0,SUMIF(куб!$B:$B,$B814,куб!R:R))))))</f>
        <v>0</v>
      </c>
      <c r="AG814" s="27" t="b">
        <f>IF($G814&lt;&gt;0,SUMIF(куб!$G:$G,$G814,куб!S:S),IF($E814&lt;&gt;0,SUMIF(куб!$E:$E,$E814,куб!S:S),IF($D814&lt;&gt;0,SUMIF(куб!$D:$D,$D814,куб!S:S),IF($C814&lt;&gt;0,SUMIF(куб!$C:$C,$C814,куб!S:S),IF($B814&lt;&gt;0,SUMIF(куб!$B:$B,$B814,куб!S:S))))))</f>
        <v>0</v>
      </c>
      <c r="AH814" s="16" t="str">
        <f t="shared" si="265"/>
        <v>-</v>
      </c>
      <c r="AI814" s="8"/>
      <c r="AJ814" s="27" t="b">
        <f>IF($G814&lt;&gt;0,SUMIF(куб!$G:$G,$G814,куб!T:T),IF($E814&lt;&gt;0,SUMIF(куб!$E:$E,$E814,куб!T:T),IF($D814&lt;&gt;0,SUMIF(куб!$D:$D,$D814,куб!T:T),IF($C814&lt;&gt;0,SUMIF(куб!$C:$C,$C814,куб!T:T),IF($B814&lt;&gt;0,SUMIF(куб!$B:$B,$B814,куб!T:T))))))</f>
        <v>0</v>
      </c>
      <c r="AK814" s="27" t="b">
        <f>IF($G814&lt;&gt;0,SUMIF(куб!$G:$G,$G814,куб!U:U),IF($E814&lt;&gt;0,SUMIF(куб!$E:$E,$E814,куб!U:U),IF($D814&lt;&gt;0,SUMIF(куб!$D:$D,$D814,куб!U:U),IF($C814&lt;&gt;0,SUMIF(куб!$C:$C,$C814,куб!U:U),IF($B814&lt;&gt;0,SUMIF(куб!$B:$B,$B814,куб!U:U))))))</f>
        <v>0</v>
      </c>
      <c r="AL814" s="16" t="str">
        <f t="shared" si="266"/>
        <v>-</v>
      </c>
      <c r="AM814" s="8"/>
      <c r="AN814" s="17" t="str">
        <f t="shared" si="267"/>
        <v xml:space="preserve"> </v>
      </c>
      <c r="AO814" s="17" t="str">
        <f t="shared" si="268"/>
        <v xml:space="preserve"> </v>
      </c>
      <c r="AP814" s="16" t="str">
        <f t="shared" si="269"/>
        <v>-</v>
      </c>
      <c r="AQ814" s="8"/>
      <c r="AR814" s="17" t="str">
        <f t="shared" si="270"/>
        <v>-</v>
      </c>
      <c r="AS814" s="17" t="str">
        <f t="shared" si="271"/>
        <v>-</v>
      </c>
      <c r="AT814" s="13" t="str">
        <f t="shared" si="272"/>
        <v>-</v>
      </c>
      <c r="AU814" s="8"/>
    </row>
    <row r="815" spans="1:47" x14ac:dyDescent="0.25">
      <c r="A815" s="31"/>
      <c r="B815" s="31"/>
      <c r="C815"/>
      <c r="D815" s="31"/>
      <c r="E815"/>
      <c r="F815" s="31"/>
      <c r="G815"/>
      <c r="H815" s="27">
        <f>IF($G815&lt;&gt;0,SUMIF(куб!$G:$G,$G815,куб!H:H),IF($E815&lt;&gt;0,SUMIF(куб!$E:$E,$E815,куб!H:H),IF($D815&lt;&gt;0,SUMIF(куб!$D:$D,$D815,куб!H:H),IF($C815&lt;&gt;0,SUMIF(куб!$C:$C,$C815,куб!H:H),IF($B815&lt;&gt;0,SUMIF(куб!$B:$B,$B815,куб!H:H),IF($G815&lt;&gt;0,SUMIF(куб!$A:$A,$G815,куб!H:H),SUMIF(куб!$A:$A,$G815,куб!H:H)))))))</f>
        <v>0</v>
      </c>
      <c r="I815" s="27">
        <f>IF($G815&lt;&gt;0,SUMIF(куб!$G:$G,$G815,куб!I:I),IF($E815&lt;&gt;0,SUMIF(куб!$E:$E,$E815,куб!I:I),IF($D815&lt;&gt;0,SUMIF(куб!$D:$D,$D815,куб!I:I),IF($C815&lt;&gt;0,SUMIF(куб!$C:$C,$C815,куб!I:I),IF($B815&lt;&gt;0,SUMIF(куб!$B:$B,$B815,куб!I:I),IF($G815&lt;&gt;0,SUMIF(куб!$A:$A,$G815,куб!I:I),SUMIF(куб!$A:$A,$G815,куб!I:I)))))))</f>
        <v>0</v>
      </c>
      <c r="J815" s="19" t="str">
        <f t="shared" si="255"/>
        <v>-</v>
      </c>
      <c r="K815" s="8"/>
      <c r="L815" s="17">
        <f t="shared" si="256"/>
        <v>0</v>
      </c>
      <c r="M815" s="17">
        <f t="shared" si="257"/>
        <v>0</v>
      </c>
      <c r="N815" s="12">
        <f t="shared" si="258"/>
        <v>0</v>
      </c>
      <c r="O815" s="5"/>
      <c r="P815" s="27" t="b">
        <f>IF($G815&lt;&gt;0,SUMIF(куб!$G:$G,$G815,куб!J:J),IF($E815&lt;&gt;0,SUMIF(куб!$E:$E,$E815,куб!J:J),IF($D815&lt;&gt;0,SUMIF(куб!$D:$D,$D815,куб!J:J),IF($C815&lt;&gt;0,SUMIF(куб!$C:$C,$C815,куб!J:J),IF($B815&lt;&gt;0,SUMIF(куб!$B:$B,$B815,куб!J:J))))))</f>
        <v>0</v>
      </c>
      <c r="Q815" s="27" t="b">
        <f>IF($G815&lt;&gt;0,SUMIF(куб!$G:$G,$G815,куб!K:K),IF($E815&lt;&gt;0,SUMIF(куб!$E:$E,$E815,куб!K:K),IF($D815&lt;&gt;0,SUMIF(куб!$D:$D,$D815,куб!K:K),IF($C815&lt;&gt;0,SUMIF(куб!$C:$C,$C815,куб!K:K),IF($B815&lt;&gt;0,SUMIF(куб!$B:$B,$B815,куб!K:K))))))</f>
        <v>0</v>
      </c>
      <c r="R815" s="13" t="str">
        <f t="shared" si="259"/>
        <v>-</v>
      </c>
      <c r="S815" s="5"/>
      <c r="T815" s="27" t="b">
        <f>IF($G815&lt;&gt;0,SUMIF(куб!$G:$G,$G815,куб!L:L),IF($E815&lt;&gt;0,SUMIF(куб!$E:$E,$E815,куб!L:L),IF($D815&lt;&gt;0,SUMIF(куб!$D:$D,$D815,куб!L:L),IF($C815&lt;&gt;0,SUMIF(куб!$C:$C,$C815,куб!L:L),IF($B815&lt;&gt;0,SUMIF(куб!$B:$B,$B815,куб!L:L))))))</f>
        <v>0</v>
      </c>
      <c r="U815" s="27" t="b">
        <f>IF($G815&lt;&gt;0,SUMIF(куб!$G:$G,$G815,куб!M:M),IF($E815&lt;&gt;0,SUMIF(куб!$E:$E,$E815,куб!M:M),IF($D815&lt;&gt;0,SUMIF(куб!$D:$D,$D815,куб!M:M),IF($C815&lt;&gt;0,SUMIF(куб!$C:$C,$C815,куб!M:M),IF($B815&lt;&gt;0,SUMIF(куб!$B:$B,$B815,куб!M:M))))))</f>
        <v>0</v>
      </c>
      <c r="V815" s="13" t="str">
        <f t="shared" si="260"/>
        <v>-</v>
      </c>
      <c r="W815" s="5"/>
      <c r="X815" s="27" t="b">
        <f>IF($G815&lt;&gt;0,SUMIF(куб!$G:$G,$G815,куб!N:N),IF($E815&lt;&gt;0,SUMIF(куб!$E:$E,$E815,куб!N:N),IF($D815&lt;&gt;0,SUMIF(куб!$D:$D,$D815,куб!N:N),IF($C815&lt;&gt;0,SUMIF(куб!$C:$C,$C815,куб!N:N),IF($B815&lt;&gt;0,SUMIF(куб!$B:$B,$B815,куб!N:N))))))</f>
        <v>0</v>
      </c>
      <c r="Y815" s="27" t="b">
        <f>IF($G815&lt;&gt;0,SUMIF(куб!$G:$G,$G815,куб!O:O),IF($E815&lt;&gt;0,SUMIF(куб!$E:$E,$E815,куб!O:O),IF($D815&lt;&gt;0,SUMIF(куб!$D:$D,$D815,куб!O:O),IF($C815&lt;&gt;0,SUMIF(куб!$C:$C,$C815,куб!O:O),IF($B815&lt;&gt;0,SUMIF(куб!$B:$B,$B815,куб!O:O))))))</f>
        <v>0</v>
      </c>
      <c r="Z815" s="13" t="str">
        <f t="shared" si="261"/>
        <v>-</v>
      </c>
      <c r="AA815" s="5"/>
      <c r="AB815" s="33" t="str">
        <f t="shared" si="262"/>
        <v/>
      </c>
      <c r="AC815" s="33" t="str">
        <f t="shared" si="263"/>
        <v/>
      </c>
      <c r="AD815" s="15" t="str">
        <f t="shared" si="264"/>
        <v xml:space="preserve"> </v>
      </c>
      <c r="AE815" s="5"/>
      <c r="AF815" s="27" t="b">
        <f>IF($G815&lt;&gt;0,SUMIF(куб!$G:$G,$G815,куб!R:R),IF($E815&lt;&gt;0,SUMIF(куб!$E:$E,$E815,куб!R:R),IF($D815&lt;&gt;0,SUMIF(куб!$D:$D,$D815,куб!R:R),IF($C815&lt;&gt;0,SUMIF(куб!$C:$C,$C815,куб!R:R),IF($B815&lt;&gt;0,SUMIF(куб!$B:$B,$B815,куб!R:R))))))</f>
        <v>0</v>
      </c>
      <c r="AG815" s="27" t="b">
        <f>IF($G815&lt;&gt;0,SUMIF(куб!$G:$G,$G815,куб!S:S),IF($E815&lt;&gt;0,SUMIF(куб!$E:$E,$E815,куб!S:S),IF($D815&lt;&gt;0,SUMIF(куб!$D:$D,$D815,куб!S:S),IF($C815&lt;&gt;0,SUMIF(куб!$C:$C,$C815,куб!S:S),IF($B815&lt;&gt;0,SUMIF(куб!$B:$B,$B815,куб!S:S))))))</f>
        <v>0</v>
      </c>
      <c r="AH815" s="16" t="str">
        <f t="shared" si="265"/>
        <v>-</v>
      </c>
      <c r="AI815" s="8"/>
      <c r="AJ815" s="27" t="b">
        <f>IF($G815&lt;&gt;0,SUMIF(куб!$G:$G,$G815,куб!T:T),IF($E815&lt;&gt;0,SUMIF(куб!$E:$E,$E815,куб!T:T),IF($D815&lt;&gt;0,SUMIF(куб!$D:$D,$D815,куб!T:T),IF($C815&lt;&gt;0,SUMIF(куб!$C:$C,$C815,куб!T:T),IF($B815&lt;&gt;0,SUMIF(куб!$B:$B,$B815,куб!T:T))))))</f>
        <v>0</v>
      </c>
      <c r="AK815" s="27" t="b">
        <f>IF($G815&lt;&gt;0,SUMIF(куб!$G:$G,$G815,куб!U:U),IF($E815&lt;&gt;0,SUMIF(куб!$E:$E,$E815,куб!U:U),IF($D815&lt;&gt;0,SUMIF(куб!$D:$D,$D815,куб!U:U),IF($C815&lt;&gt;0,SUMIF(куб!$C:$C,$C815,куб!U:U),IF($B815&lt;&gt;0,SUMIF(куб!$B:$B,$B815,куб!U:U))))))</f>
        <v>0</v>
      </c>
      <c r="AL815" s="16" t="str">
        <f t="shared" si="266"/>
        <v>-</v>
      </c>
      <c r="AM815" s="8"/>
      <c r="AN815" s="17" t="str">
        <f t="shared" si="267"/>
        <v xml:space="preserve"> </v>
      </c>
      <c r="AO815" s="17" t="str">
        <f t="shared" si="268"/>
        <v xml:space="preserve"> </v>
      </c>
      <c r="AP815" s="16" t="str">
        <f t="shared" si="269"/>
        <v>-</v>
      </c>
      <c r="AQ815" s="8"/>
      <c r="AR815" s="17" t="str">
        <f t="shared" si="270"/>
        <v>-</v>
      </c>
      <c r="AS815" s="17" t="str">
        <f t="shared" si="271"/>
        <v>-</v>
      </c>
      <c r="AT815" s="13" t="str">
        <f t="shared" si="272"/>
        <v>-</v>
      </c>
      <c r="AU815" s="8"/>
    </row>
    <row r="816" spans="1:47" x14ac:dyDescent="0.25">
      <c r="A816" s="31"/>
      <c r="B816" s="31"/>
      <c r="C816"/>
      <c r="D816" s="31"/>
      <c r="E816"/>
      <c r="F816" s="31"/>
      <c r="G816"/>
      <c r="H816" s="27">
        <f>IF($G816&lt;&gt;0,SUMIF(куб!$G:$G,$G816,куб!H:H),IF($E816&lt;&gt;0,SUMIF(куб!$E:$E,$E816,куб!H:H),IF($D816&lt;&gt;0,SUMIF(куб!$D:$D,$D816,куб!H:H),IF($C816&lt;&gt;0,SUMIF(куб!$C:$C,$C816,куб!H:H),IF($B816&lt;&gt;0,SUMIF(куб!$B:$B,$B816,куб!H:H),IF($G816&lt;&gt;0,SUMIF(куб!$A:$A,$G816,куб!H:H),SUMIF(куб!$A:$A,$G816,куб!H:H)))))))</f>
        <v>0</v>
      </c>
      <c r="I816" s="27">
        <f>IF($G816&lt;&gt;0,SUMIF(куб!$G:$G,$G816,куб!I:I),IF($E816&lt;&gt;0,SUMIF(куб!$E:$E,$E816,куб!I:I),IF($D816&lt;&gt;0,SUMIF(куб!$D:$D,$D816,куб!I:I),IF($C816&lt;&gt;0,SUMIF(куб!$C:$C,$C816,куб!I:I),IF($B816&lt;&gt;0,SUMIF(куб!$B:$B,$B816,куб!I:I),IF($G816&lt;&gt;0,SUMIF(куб!$A:$A,$G816,куб!I:I),SUMIF(куб!$A:$A,$G816,куб!I:I)))))))</f>
        <v>0</v>
      </c>
      <c r="J816" s="19" t="str">
        <f t="shared" si="255"/>
        <v>-</v>
      </c>
      <c r="K816" s="8"/>
      <c r="L816" s="17">
        <f t="shared" si="256"/>
        <v>0</v>
      </c>
      <c r="M816" s="17">
        <f t="shared" si="257"/>
        <v>0</v>
      </c>
      <c r="N816" s="12">
        <f t="shared" si="258"/>
        <v>0</v>
      </c>
      <c r="O816" s="5"/>
      <c r="P816" s="27" t="b">
        <f>IF($G816&lt;&gt;0,SUMIF(куб!$G:$G,$G816,куб!J:J),IF($E816&lt;&gt;0,SUMIF(куб!$E:$E,$E816,куб!J:J),IF($D816&lt;&gt;0,SUMIF(куб!$D:$D,$D816,куб!J:J),IF($C816&lt;&gt;0,SUMIF(куб!$C:$C,$C816,куб!J:J),IF($B816&lt;&gt;0,SUMIF(куб!$B:$B,$B816,куб!J:J))))))</f>
        <v>0</v>
      </c>
      <c r="Q816" s="27" t="b">
        <f>IF($G816&lt;&gt;0,SUMIF(куб!$G:$G,$G816,куб!K:K),IF($E816&lt;&gt;0,SUMIF(куб!$E:$E,$E816,куб!K:K),IF($D816&lt;&gt;0,SUMIF(куб!$D:$D,$D816,куб!K:K),IF($C816&lt;&gt;0,SUMIF(куб!$C:$C,$C816,куб!K:K),IF($B816&lt;&gt;0,SUMIF(куб!$B:$B,$B816,куб!K:K))))))</f>
        <v>0</v>
      </c>
      <c r="R816" s="13" t="str">
        <f t="shared" si="259"/>
        <v>-</v>
      </c>
      <c r="S816" s="5"/>
      <c r="T816" s="27" t="b">
        <f>IF($G816&lt;&gt;0,SUMIF(куб!$G:$G,$G816,куб!L:L),IF($E816&lt;&gt;0,SUMIF(куб!$E:$E,$E816,куб!L:L),IF($D816&lt;&gt;0,SUMIF(куб!$D:$D,$D816,куб!L:L),IF($C816&lt;&gt;0,SUMIF(куб!$C:$C,$C816,куб!L:L),IF($B816&lt;&gt;0,SUMIF(куб!$B:$B,$B816,куб!L:L))))))</f>
        <v>0</v>
      </c>
      <c r="U816" s="27" t="b">
        <f>IF($G816&lt;&gt;0,SUMIF(куб!$G:$G,$G816,куб!M:M),IF($E816&lt;&gt;0,SUMIF(куб!$E:$E,$E816,куб!M:M),IF($D816&lt;&gt;0,SUMIF(куб!$D:$D,$D816,куб!M:M),IF($C816&lt;&gt;0,SUMIF(куб!$C:$C,$C816,куб!M:M),IF($B816&lt;&gt;0,SUMIF(куб!$B:$B,$B816,куб!M:M))))))</f>
        <v>0</v>
      </c>
      <c r="V816" s="13" t="str">
        <f t="shared" si="260"/>
        <v>-</v>
      </c>
      <c r="W816" s="5"/>
      <c r="X816" s="27" t="b">
        <f>IF($G816&lt;&gt;0,SUMIF(куб!$G:$G,$G816,куб!N:N),IF($E816&lt;&gt;0,SUMIF(куб!$E:$E,$E816,куб!N:N),IF($D816&lt;&gt;0,SUMIF(куб!$D:$D,$D816,куб!N:N),IF($C816&lt;&gt;0,SUMIF(куб!$C:$C,$C816,куб!N:N),IF($B816&lt;&gt;0,SUMIF(куб!$B:$B,$B816,куб!N:N))))))</f>
        <v>0</v>
      </c>
      <c r="Y816" s="27" t="b">
        <f>IF($G816&lt;&gt;0,SUMIF(куб!$G:$G,$G816,куб!O:O),IF($E816&lt;&gt;0,SUMIF(куб!$E:$E,$E816,куб!O:O),IF($D816&lt;&gt;0,SUMIF(куб!$D:$D,$D816,куб!O:O),IF($C816&lt;&gt;0,SUMIF(куб!$C:$C,$C816,куб!O:O),IF($B816&lt;&gt;0,SUMIF(куб!$B:$B,$B816,куб!O:O))))))</f>
        <v>0</v>
      </c>
      <c r="Z816" s="13" t="str">
        <f t="shared" si="261"/>
        <v>-</v>
      </c>
      <c r="AA816" s="5"/>
      <c r="AB816" s="33" t="str">
        <f t="shared" si="262"/>
        <v/>
      </c>
      <c r="AC816" s="33" t="str">
        <f t="shared" si="263"/>
        <v/>
      </c>
      <c r="AD816" s="15" t="str">
        <f t="shared" si="264"/>
        <v xml:space="preserve"> </v>
      </c>
      <c r="AE816" s="5"/>
      <c r="AF816" s="27" t="b">
        <f>IF($G816&lt;&gt;0,SUMIF(куб!$G:$G,$G816,куб!R:R),IF($E816&lt;&gt;0,SUMIF(куб!$E:$E,$E816,куб!R:R),IF($D816&lt;&gt;0,SUMIF(куб!$D:$D,$D816,куб!R:R),IF($C816&lt;&gt;0,SUMIF(куб!$C:$C,$C816,куб!R:R),IF($B816&lt;&gt;0,SUMIF(куб!$B:$B,$B816,куб!R:R))))))</f>
        <v>0</v>
      </c>
      <c r="AG816" s="27" t="b">
        <f>IF($G816&lt;&gt;0,SUMIF(куб!$G:$G,$G816,куб!S:S),IF($E816&lt;&gt;0,SUMIF(куб!$E:$E,$E816,куб!S:S),IF($D816&lt;&gt;0,SUMIF(куб!$D:$D,$D816,куб!S:S),IF($C816&lt;&gt;0,SUMIF(куб!$C:$C,$C816,куб!S:S),IF($B816&lt;&gt;0,SUMIF(куб!$B:$B,$B816,куб!S:S))))))</f>
        <v>0</v>
      </c>
      <c r="AH816" s="16" t="str">
        <f t="shared" si="265"/>
        <v>-</v>
      </c>
      <c r="AI816" s="8"/>
      <c r="AJ816" s="27" t="b">
        <f>IF($G816&lt;&gt;0,SUMIF(куб!$G:$G,$G816,куб!T:T),IF($E816&lt;&gt;0,SUMIF(куб!$E:$E,$E816,куб!T:T),IF($D816&lt;&gt;0,SUMIF(куб!$D:$D,$D816,куб!T:T),IF($C816&lt;&gt;0,SUMIF(куб!$C:$C,$C816,куб!T:T),IF($B816&lt;&gt;0,SUMIF(куб!$B:$B,$B816,куб!T:T))))))</f>
        <v>0</v>
      </c>
      <c r="AK816" s="27" t="b">
        <f>IF($G816&lt;&gt;0,SUMIF(куб!$G:$G,$G816,куб!U:U),IF($E816&lt;&gt;0,SUMIF(куб!$E:$E,$E816,куб!U:U),IF($D816&lt;&gt;0,SUMIF(куб!$D:$D,$D816,куб!U:U),IF($C816&lt;&gt;0,SUMIF(куб!$C:$C,$C816,куб!U:U),IF($B816&lt;&gt;0,SUMIF(куб!$B:$B,$B816,куб!U:U))))))</f>
        <v>0</v>
      </c>
      <c r="AL816" s="16" t="str">
        <f t="shared" si="266"/>
        <v>-</v>
      </c>
      <c r="AM816" s="8"/>
      <c r="AN816" s="17" t="str">
        <f t="shared" si="267"/>
        <v xml:space="preserve"> </v>
      </c>
      <c r="AO816" s="17" t="str">
        <f t="shared" si="268"/>
        <v xml:space="preserve"> </v>
      </c>
      <c r="AP816" s="16" t="str">
        <f t="shared" si="269"/>
        <v>-</v>
      </c>
      <c r="AQ816" s="8"/>
      <c r="AR816" s="17" t="str">
        <f t="shared" si="270"/>
        <v>-</v>
      </c>
      <c r="AS816" s="17" t="str">
        <f t="shared" si="271"/>
        <v>-</v>
      </c>
      <c r="AT816" s="13" t="str">
        <f t="shared" si="272"/>
        <v>-</v>
      </c>
      <c r="AU816" s="8"/>
    </row>
    <row r="817" spans="1:47" x14ac:dyDescent="0.25">
      <c r="A817" s="31"/>
      <c r="B817" s="31"/>
      <c r="C817"/>
      <c r="D817" s="31"/>
      <c r="E817"/>
      <c r="F817" s="31"/>
      <c r="G817"/>
      <c r="H817" s="27">
        <f>IF($G817&lt;&gt;0,SUMIF(куб!$G:$G,$G817,куб!H:H),IF($E817&lt;&gt;0,SUMIF(куб!$E:$E,$E817,куб!H:H),IF($D817&lt;&gt;0,SUMIF(куб!$D:$D,$D817,куб!H:H),IF($C817&lt;&gt;0,SUMIF(куб!$C:$C,$C817,куб!H:H),IF($B817&lt;&gt;0,SUMIF(куб!$B:$B,$B817,куб!H:H),IF($G817&lt;&gt;0,SUMIF(куб!$A:$A,$G817,куб!H:H),SUMIF(куб!$A:$A,$G817,куб!H:H)))))))</f>
        <v>0</v>
      </c>
      <c r="I817" s="27">
        <f>IF($G817&lt;&gt;0,SUMIF(куб!$G:$G,$G817,куб!I:I),IF($E817&lt;&gt;0,SUMIF(куб!$E:$E,$E817,куб!I:I),IF($D817&lt;&gt;0,SUMIF(куб!$D:$D,$D817,куб!I:I),IF($C817&lt;&gt;0,SUMIF(куб!$C:$C,$C817,куб!I:I),IF($B817&lt;&gt;0,SUMIF(куб!$B:$B,$B817,куб!I:I),IF($G817&lt;&gt;0,SUMIF(куб!$A:$A,$G817,куб!I:I),SUMIF(куб!$A:$A,$G817,куб!I:I)))))))</f>
        <v>0</v>
      </c>
      <c r="J817" s="19" t="str">
        <f t="shared" si="255"/>
        <v>-</v>
      </c>
      <c r="K817" s="8"/>
      <c r="L817" s="17">
        <f t="shared" si="256"/>
        <v>0</v>
      </c>
      <c r="M817" s="17">
        <f t="shared" si="257"/>
        <v>0</v>
      </c>
      <c r="N817" s="12">
        <f t="shared" si="258"/>
        <v>0</v>
      </c>
      <c r="O817" s="5"/>
      <c r="P817" s="27" t="b">
        <f>IF($G817&lt;&gt;0,SUMIF(куб!$G:$G,$G817,куб!J:J),IF($E817&lt;&gt;0,SUMIF(куб!$E:$E,$E817,куб!J:J),IF($D817&lt;&gt;0,SUMIF(куб!$D:$D,$D817,куб!J:J),IF($C817&lt;&gt;0,SUMIF(куб!$C:$C,$C817,куб!J:J),IF($B817&lt;&gt;0,SUMIF(куб!$B:$B,$B817,куб!J:J))))))</f>
        <v>0</v>
      </c>
      <c r="Q817" s="27" t="b">
        <f>IF($G817&lt;&gt;0,SUMIF(куб!$G:$G,$G817,куб!K:K),IF($E817&lt;&gt;0,SUMIF(куб!$E:$E,$E817,куб!K:K),IF($D817&lt;&gt;0,SUMIF(куб!$D:$D,$D817,куб!K:K),IF($C817&lt;&gt;0,SUMIF(куб!$C:$C,$C817,куб!K:K),IF($B817&lt;&gt;0,SUMIF(куб!$B:$B,$B817,куб!K:K))))))</f>
        <v>0</v>
      </c>
      <c r="R817" s="13" t="str">
        <f t="shared" si="259"/>
        <v>-</v>
      </c>
      <c r="S817" s="5"/>
      <c r="T817" s="27" t="b">
        <f>IF($G817&lt;&gt;0,SUMIF(куб!$G:$G,$G817,куб!L:L),IF($E817&lt;&gt;0,SUMIF(куб!$E:$E,$E817,куб!L:L),IF($D817&lt;&gt;0,SUMIF(куб!$D:$D,$D817,куб!L:L),IF($C817&lt;&gt;0,SUMIF(куб!$C:$C,$C817,куб!L:L),IF($B817&lt;&gt;0,SUMIF(куб!$B:$B,$B817,куб!L:L))))))</f>
        <v>0</v>
      </c>
      <c r="U817" s="27" t="b">
        <f>IF($G817&lt;&gt;0,SUMIF(куб!$G:$G,$G817,куб!M:M),IF($E817&lt;&gt;0,SUMIF(куб!$E:$E,$E817,куб!M:M),IF($D817&lt;&gt;0,SUMIF(куб!$D:$D,$D817,куб!M:M),IF($C817&lt;&gt;0,SUMIF(куб!$C:$C,$C817,куб!M:M),IF($B817&lt;&gt;0,SUMIF(куб!$B:$B,$B817,куб!M:M))))))</f>
        <v>0</v>
      </c>
      <c r="V817" s="13" t="str">
        <f t="shared" si="260"/>
        <v>-</v>
      </c>
      <c r="W817" s="5"/>
      <c r="X817" s="27" t="b">
        <f>IF($G817&lt;&gt;0,SUMIF(куб!$G:$G,$G817,куб!N:N),IF($E817&lt;&gt;0,SUMIF(куб!$E:$E,$E817,куб!N:N),IF($D817&lt;&gt;0,SUMIF(куб!$D:$D,$D817,куб!N:N),IF($C817&lt;&gt;0,SUMIF(куб!$C:$C,$C817,куб!N:N),IF($B817&lt;&gt;0,SUMIF(куб!$B:$B,$B817,куб!N:N))))))</f>
        <v>0</v>
      </c>
      <c r="Y817" s="27" t="b">
        <f>IF($G817&lt;&gt;0,SUMIF(куб!$G:$G,$G817,куб!O:O),IF($E817&lt;&gt;0,SUMIF(куб!$E:$E,$E817,куб!O:O),IF($D817&lt;&gt;0,SUMIF(куб!$D:$D,$D817,куб!O:O),IF($C817&lt;&gt;0,SUMIF(куб!$C:$C,$C817,куб!O:O),IF($B817&lt;&gt;0,SUMIF(куб!$B:$B,$B817,куб!O:O))))))</f>
        <v>0</v>
      </c>
      <c r="Z817" s="13" t="str">
        <f t="shared" si="261"/>
        <v>-</v>
      </c>
      <c r="AA817" s="5"/>
      <c r="AB817" s="33" t="str">
        <f t="shared" si="262"/>
        <v/>
      </c>
      <c r="AC817" s="33" t="str">
        <f t="shared" si="263"/>
        <v/>
      </c>
      <c r="AD817" s="15" t="str">
        <f t="shared" si="264"/>
        <v xml:space="preserve"> </v>
      </c>
      <c r="AE817" s="5"/>
      <c r="AF817" s="27" t="b">
        <f>IF($G817&lt;&gt;0,SUMIF(куб!$G:$G,$G817,куб!R:R),IF($E817&lt;&gt;0,SUMIF(куб!$E:$E,$E817,куб!R:R),IF($D817&lt;&gt;0,SUMIF(куб!$D:$D,$D817,куб!R:R),IF($C817&lt;&gt;0,SUMIF(куб!$C:$C,$C817,куб!R:R),IF($B817&lt;&gt;0,SUMIF(куб!$B:$B,$B817,куб!R:R))))))</f>
        <v>0</v>
      </c>
      <c r="AG817" s="27" t="b">
        <f>IF($G817&lt;&gt;0,SUMIF(куб!$G:$G,$G817,куб!S:S),IF($E817&lt;&gt;0,SUMIF(куб!$E:$E,$E817,куб!S:S),IF($D817&lt;&gt;0,SUMIF(куб!$D:$D,$D817,куб!S:S),IF($C817&lt;&gt;0,SUMIF(куб!$C:$C,$C817,куб!S:S),IF($B817&lt;&gt;0,SUMIF(куб!$B:$B,$B817,куб!S:S))))))</f>
        <v>0</v>
      </c>
      <c r="AH817" s="16" t="str">
        <f t="shared" si="265"/>
        <v>-</v>
      </c>
      <c r="AI817" s="8"/>
      <c r="AJ817" s="27" t="b">
        <f>IF($G817&lt;&gt;0,SUMIF(куб!$G:$G,$G817,куб!T:T),IF($E817&lt;&gt;0,SUMIF(куб!$E:$E,$E817,куб!T:T),IF($D817&lt;&gt;0,SUMIF(куб!$D:$D,$D817,куб!T:T),IF($C817&lt;&gt;0,SUMIF(куб!$C:$C,$C817,куб!T:T),IF($B817&lt;&gt;0,SUMIF(куб!$B:$B,$B817,куб!T:T))))))</f>
        <v>0</v>
      </c>
      <c r="AK817" s="27" t="b">
        <f>IF($G817&lt;&gt;0,SUMIF(куб!$G:$G,$G817,куб!U:U),IF($E817&lt;&gt;0,SUMIF(куб!$E:$E,$E817,куб!U:U),IF($D817&lt;&gt;0,SUMIF(куб!$D:$D,$D817,куб!U:U),IF($C817&lt;&gt;0,SUMIF(куб!$C:$C,$C817,куб!U:U),IF($B817&lt;&gt;0,SUMIF(куб!$B:$B,$B817,куб!U:U))))))</f>
        <v>0</v>
      </c>
      <c r="AL817" s="16" t="str">
        <f t="shared" si="266"/>
        <v>-</v>
      </c>
      <c r="AM817" s="8"/>
      <c r="AN817" s="17" t="str">
        <f t="shared" si="267"/>
        <v xml:space="preserve"> </v>
      </c>
      <c r="AO817" s="17" t="str">
        <f t="shared" si="268"/>
        <v xml:space="preserve"> </v>
      </c>
      <c r="AP817" s="16" t="str">
        <f t="shared" si="269"/>
        <v>-</v>
      </c>
      <c r="AQ817" s="8"/>
      <c r="AR817" s="17" t="str">
        <f t="shared" si="270"/>
        <v>-</v>
      </c>
      <c r="AS817" s="17" t="str">
        <f t="shared" si="271"/>
        <v>-</v>
      </c>
      <c r="AT817" s="13" t="str">
        <f t="shared" si="272"/>
        <v>-</v>
      </c>
      <c r="AU817" s="8"/>
    </row>
    <row r="818" spans="1:47" x14ac:dyDescent="0.25">
      <c r="A818" s="31"/>
      <c r="B818" s="31"/>
      <c r="C818"/>
      <c r="D818" s="31"/>
      <c r="E818"/>
      <c r="F818" s="31"/>
      <c r="G818"/>
      <c r="H818" s="27">
        <f>IF($G818&lt;&gt;0,SUMIF(куб!$G:$G,$G818,куб!H:H),IF($E818&lt;&gt;0,SUMIF(куб!$E:$E,$E818,куб!H:H),IF($D818&lt;&gt;0,SUMIF(куб!$D:$D,$D818,куб!H:H),IF($C818&lt;&gt;0,SUMIF(куб!$C:$C,$C818,куб!H:H),IF($B818&lt;&gt;0,SUMIF(куб!$B:$B,$B818,куб!H:H),IF($G818&lt;&gt;0,SUMIF(куб!$A:$A,$G818,куб!H:H),SUMIF(куб!$A:$A,$G818,куб!H:H)))))))</f>
        <v>0</v>
      </c>
      <c r="I818" s="27">
        <f>IF($G818&lt;&gt;0,SUMIF(куб!$G:$G,$G818,куб!I:I),IF($E818&lt;&gt;0,SUMIF(куб!$E:$E,$E818,куб!I:I),IF($D818&lt;&gt;0,SUMIF(куб!$D:$D,$D818,куб!I:I),IF($C818&lt;&gt;0,SUMIF(куб!$C:$C,$C818,куб!I:I),IF($B818&lt;&gt;0,SUMIF(куб!$B:$B,$B818,куб!I:I),IF($G818&lt;&gt;0,SUMIF(куб!$A:$A,$G818,куб!I:I),SUMIF(куб!$A:$A,$G818,куб!I:I)))))))</f>
        <v>0</v>
      </c>
      <c r="J818" s="19" t="str">
        <f t="shared" si="255"/>
        <v>-</v>
      </c>
      <c r="K818" s="8"/>
      <c r="L818" s="17">
        <f t="shared" si="256"/>
        <v>0</v>
      </c>
      <c r="M818" s="17">
        <f t="shared" si="257"/>
        <v>0</v>
      </c>
      <c r="N818" s="12">
        <f t="shared" si="258"/>
        <v>0</v>
      </c>
      <c r="O818" s="5"/>
      <c r="P818" s="27" t="b">
        <f>IF($G818&lt;&gt;0,SUMIF(куб!$G:$G,$G818,куб!J:J),IF($E818&lt;&gt;0,SUMIF(куб!$E:$E,$E818,куб!J:J),IF($D818&lt;&gt;0,SUMIF(куб!$D:$D,$D818,куб!J:J),IF($C818&lt;&gt;0,SUMIF(куб!$C:$C,$C818,куб!J:J),IF($B818&lt;&gt;0,SUMIF(куб!$B:$B,$B818,куб!J:J))))))</f>
        <v>0</v>
      </c>
      <c r="Q818" s="27" t="b">
        <f>IF($G818&lt;&gt;0,SUMIF(куб!$G:$G,$G818,куб!K:K),IF($E818&lt;&gt;0,SUMIF(куб!$E:$E,$E818,куб!K:K),IF($D818&lt;&gt;0,SUMIF(куб!$D:$D,$D818,куб!K:K),IF($C818&lt;&gt;0,SUMIF(куб!$C:$C,$C818,куб!K:K),IF($B818&lt;&gt;0,SUMIF(куб!$B:$B,$B818,куб!K:K))))))</f>
        <v>0</v>
      </c>
      <c r="R818" s="13" t="str">
        <f t="shared" si="259"/>
        <v>-</v>
      </c>
      <c r="S818" s="5"/>
      <c r="T818" s="27" t="b">
        <f>IF($G818&lt;&gt;0,SUMIF(куб!$G:$G,$G818,куб!L:L),IF($E818&lt;&gt;0,SUMIF(куб!$E:$E,$E818,куб!L:L),IF($D818&lt;&gt;0,SUMIF(куб!$D:$D,$D818,куб!L:L),IF($C818&lt;&gt;0,SUMIF(куб!$C:$C,$C818,куб!L:L),IF($B818&lt;&gt;0,SUMIF(куб!$B:$B,$B818,куб!L:L))))))</f>
        <v>0</v>
      </c>
      <c r="U818" s="27" t="b">
        <f>IF($G818&lt;&gt;0,SUMIF(куб!$G:$G,$G818,куб!M:M),IF($E818&lt;&gt;0,SUMIF(куб!$E:$E,$E818,куб!M:M),IF($D818&lt;&gt;0,SUMIF(куб!$D:$D,$D818,куб!M:M),IF($C818&lt;&gt;0,SUMIF(куб!$C:$C,$C818,куб!M:M),IF($B818&lt;&gt;0,SUMIF(куб!$B:$B,$B818,куб!M:M))))))</f>
        <v>0</v>
      </c>
      <c r="V818" s="13" t="str">
        <f t="shared" si="260"/>
        <v>-</v>
      </c>
      <c r="W818" s="5"/>
      <c r="X818" s="27" t="b">
        <f>IF($G818&lt;&gt;0,SUMIF(куб!$G:$G,$G818,куб!N:N),IF($E818&lt;&gt;0,SUMIF(куб!$E:$E,$E818,куб!N:N),IF($D818&lt;&gt;0,SUMIF(куб!$D:$D,$D818,куб!N:N),IF($C818&lt;&gt;0,SUMIF(куб!$C:$C,$C818,куб!N:N),IF($B818&lt;&gt;0,SUMIF(куб!$B:$B,$B818,куб!N:N))))))</f>
        <v>0</v>
      </c>
      <c r="Y818" s="27" t="b">
        <f>IF($G818&lt;&gt;0,SUMIF(куб!$G:$G,$G818,куб!O:O),IF($E818&lt;&gt;0,SUMIF(куб!$E:$E,$E818,куб!O:O),IF($D818&lt;&gt;0,SUMIF(куб!$D:$D,$D818,куб!O:O),IF($C818&lt;&gt;0,SUMIF(куб!$C:$C,$C818,куб!O:O),IF($B818&lt;&gt;0,SUMIF(куб!$B:$B,$B818,куб!O:O))))))</f>
        <v>0</v>
      </c>
      <c r="Z818" s="13" t="str">
        <f t="shared" si="261"/>
        <v>-</v>
      </c>
      <c r="AA818" s="5"/>
      <c r="AB818" s="33" t="str">
        <f t="shared" si="262"/>
        <v/>
      </c>
      <c r="AC818" s="33" t="str">
        <f t="shared" si="263"/>
        <v/>
      </c>
      <c r="AD818" s="15" t="str">
        <f t="shared" si="264"/>
        <v xml:space="preserve"> </v>
      </c>
      <c r="AE818" s="5"/>
      <c r="AF818" s="27" t="b">
        <f>IF($G818&lt;&gt;0,SUMIF(куб!$G:$G,$G818,куб!R:R),IF($E818&lt;&gt;0,SUMIF(куб!$E:$E,$E818,куб!R:R),IF($D818&lt;&gt;0,SUMIF(куб!$D:$D,$D818,куб!R:R),IF($C818&lt;&gt;0,SUMIF(куб!$C:$C,$C818,куб!R:R),IF($B818&lt;&gt;0,SUMIF(куб!$B:$B,$B818,куб!R:R))))))</f>
        <v>0</v>
      </c>
      <c r="AG818" s="27" t="b">
        <f>IF($G818&lt;&gt;0,SUMIF(куб!$G:$G,$G818,куб!S:S),IF($E818&lt;&gt;0,SUMIF(куб!$E:$E,$E818,куб!S:S),IF($D818&lt;&gt;0,SUMIF(куб!$D:$D,$D818,куб!S:S),IF($C818&lt;&gt;0,SUMIF(куб!$C:$C,$C818,куб!S:S),IF($B818&lt;&gt;0,SUMIF(куб!$B:$B,$B818,куб!S:S))))))</f>
        <v>0</v>
      </c>
      <c r="AH818" s="16" t="str">
        <f t="shared" si="265"/>
        <v>-</v>
      </c>
      <c r="AI818" s="8"/>
      <c r="AJ818" s="27" t="b">
        <f>IF($G818&lt;&gt;0,SUMIF(куб!$G:$G,$G818,куб!T:T),IF($E818&lt;&gt;0,SUMIF(куб!$E:$E,$E818,куб!T:T),IF($D818&lt;&gt;0,SUMIF(куб!$D:$D,$D818,куб!T:T),IF($C818&lt;&gt;0,SUMIF(куб!$C:$C,$C818,куб!T:T),IF($B818&lt;&gt;0,SUMIF(куб!$B:$B,$B818,куб!T:T))))))</f>
        <v>0</v>
      </c>
      <c r="AK818" s="27" t="b">
        <f>IF($G818&lt;&gt;0,SUMIF(куб!$G:$G,$G818,куб!U:U),IF($E818&lt;&gt;0,SUMIF(куб!$E:$E,$E818,куб!U:U),IF($D818&lt;&gt;0,SUMIF(куб!$D:$D,$D818,куб!U:U),IF($C818&lt;&gt;0,SUMIF(куб!$C:$C,$C818,куб!U:U),IF($B818&lt;&gt;0,SUMIF(куб!$B:$B,$B818,куб!U:U))))))</f>
        <v>0</v>
      </c>
      <c r="AL818" s="16" t="str">
        <f t="shared" si="266"/>
        <v>-</v>
      </c>
      <c r="AM818" s="8"/>
      <c r="AN818" s="17" t="str">
        <f t="shared" si="267"/>
        <v xml:space="preserve"> </v>
      </c>
      <c r="AO818" s="17" t="str">
        <f t="shared" si="268"/>
        <v xml:space="preserve"> </v>
      </c>
      <c r="AP818" s="16" t="str">
        <f t="shared" si="269"/>
        <v>-</v>
      </c>
      <c r="AQ818" s="8"/>
      <c r="AR818" s="17" t="str">
        <f t="shared" si="270"/>
        <v>-</v>
      </c>
      <c r="AS818" s="17" t="str">
        <f t="shared" si="271"/>
        <v>-</v>
      </c>
      <c r="AT818" s="13" t="str">
        <f t="shared" si="272"/>
        <v>-</v>
      </c>
      <c r="AU818" s="8"/>
    </row>
    <row r="819" spans="1:47" x14ac:dyDescent="0.25">
      <c r="A819" s="31"/>
      <c r="B819" s="31"/>
      <c r="C819"/>
      <c r="D819" s="31"/>
      <c r="E819"/>
      <c r="F819" s="31"/>
      <c r="G819"/>
      <c r="H819" s="27">
        <f>IF($G819&lt;&gt;0,SUMIF(куб!$G:$G,$G819,куб!H:H),IF($E819&lt;&gt;0,SUMIF(куб!$E:$E,$E819,куб!H:H),IF($D819&lt;&gt;0,SUMIF(куб!$D:$D,$D819,куб!H:H),IF($C819&lt;&gt;0,SUMIF(куб!$C:$C,$C819,куб!H:H),IF($B819&lt;&gt;0,SUMIF(куб!$B:$B,$B819,куб!H:H),IF($G819&lt;&gt;0,SUMIF(куб!$A:$A,$G819,куб!H:H),SUMIF(куб!$A:$A,$G819,куб!H:H)))))))</f>
        <v>0</v>
      </c>
      <c r="I819" s="27">
        <f>IF($G819&lt;&gt;0,SUMIF(куб!$G:$G,$G819,куб!I:I),IF($E819&lt;&gt;0,SUMIF(куб!$E:$E,$E819,куб!I:I),IF($D819&lt;&gt;0,SUMIF(куб!$D:$D,$D819,куб!I:I),IF($C819&lt;&gt;0,SUMIF(куб!$C:$C,$C819,куб!I:I),IF($B819&lt;&gt;0,SUMIF(куб!$B:$B,$B819,куб!I:I),IF($G819&lt;&gt;0,SUMIF(куб!$A:$A,$G819,куб!I:I),SUMIF(куб!$A:$A,$G819,куб!I:I)))))))</f>
        <v>0</v>
      </c>
      <c r="J819" s="19" t="str">
        <f t="shared" si="255"/>
        <v>-</v>
      </c>
      <c r="K819" s="8"/>
      <c r="L819" s="17">
        <f t="shared" si="256"/>
        <v>0</v>
      </c>
      <c r="M819" s="17">
        <f t="shared" si="257"/>
        <v>0</v>
      </c>
      <c r="N819" s="12">
        <f t="shared" si="258"/>
        <v>0</v>
      </c>
      <c r="O819" s="5"/>
      <c r="P819" s="27" t="b">
        <f>IF($G819&lt;&gt;0,SUMIF(куб!$G:$G,$G819,куб!J:J),IF($E819&lt;&gt;0,SUMIF(куб!$E:$E,$E819,куб!J:J),IF($D819&lt;&gt;0,SUMIF(куб!$D:$D,$D819,куб!J:J),IF($C819&lt;&gt;0,SUMIF(куб!$C:$C,$C819,куб!J:J),IF($B819&lt;&gt;0,SUMIF(куб!$B:$B,$B819,куб!J:J))))))</f>
        <v>0</v>
      </c>
      <c r="Q819" s="27" t="b">
        <f>IF($G819&lt;&gt;0,SUMIF(куб!$G:$G,$G819,куб!K:K),IF($E819&lt;&gt;0,SUMIF(куб!$E:$E,$E819,куб!K:K),IF($D819&lt;&gt;0,SUMIF(куб!$D:$D,$D819,куб!K:K),IF($C819&lt;&gt;0,SUMIF(куб!$C:$C,$C819,куб!K:K),IF($B819&lt;&gt;0,SUMIF(куб!$B:$B,$B819,куб!K:K))))))</f>
        <v>0</v>
      </c>
      <c r="R819" s="13" t="str">
        <f t="shared" si="259"/>
        <v>-</v>
      </c>
      <c r="S819" s="5"/>
      <c r="T819" s="27" t="b">
        <f>IF($G819&lt;&gt;0,SUMIF(куб!$G:$G,$G819,куб!L:L),IF($E819&lt;&gt;0,SUMIF(куб!$E:$E,$E819,куб!L:L),IF($D819&lt;&gt;0,SUMIF(куб!$D:$D,$D819,куб!L:L),IF($C819&lt;&gt;0,SUMIF(куб!$C:$C,$C819,куб!L:L),IF($B819&lt;&gt;0,SUMIF(куб!$B:$B,$B819,куб!L:L))))))</f>
        <v>0</v>
      </c>
      <c r="U819" s="27" t="b">
        <f>IF($G819&lt;&gt;0,SUMIF(куб!$G:$G,$G819,куб!M:M),IF($E819&lt;&gt;0,SUMIF(куб!$E:$E,$E819,куб!M:M),IF($D819&lt;&gt;0,SUMIF(куб!$D:$D,$D819,куб!M:M),IF($C819&lt;&gt;0,SUMIF(куб!$C:$C,$C819,куб!M:M),IF($B819&lt;&gt;0,SUMIF(куб!$B:$B,$B819,куб!M:M))))))</f>
        <v>0</v>
      </c>
      <c r="V819" s="13" t="str">
        <f t="shared" si="260"/>
        <v>-</v>
      </c>
      <c r="W819" s="5"/>
      <c r="X819" s="27" t="b">
        <f>IF($G819&lt;&gt;0,SUMIF(куб!$G:$G,$G819,куб!N:N),IF($E819&lt;&gt;0,SUMIF(куб!$E:$E,$E819,куб!N:N),IF($D819&lt;&gt;0,SUMIF(куб!$D:$D,$D819,куб!N:N),IF($C819&lt;&gt;0,SUMIF(куб!$C:$C,$C819,куб!N:N),IF($B819&lt;&gt;0,SUMIF(куб!$B:$B,$B819,куб!N:N))))))</f>
        <v>0</v>
      </c>
      <c r="Y819" s="27" t="b">
        <f>IF($G819&lt;&gt;0,SUMIF(куб!$G:$G,$G819,куб!O:O),IF($E819&lt;&gt;0,SUMIF(куб!$E:$E,$E819,куб!O:O),IF($D819&lt;&gt;0,SUMIF(куб!$D:$D,$D819,куб!O:O),IF($C819&lt;&gt;0,SUMIF(куб!$C:$C,$C819,куб!O:O),IF($B819&lt;&gt;0,SUMIF(куб!$B:$B,$B819,куб!O:O))))))</f>
        <v>0</v>
      </c>
      <c r="Z819" s="13" t="str">
        <f t="shared" si="261"/>
        <v>-</v>
      </c>
      <c r="AA819" s="5"/>
      <c r="AB819" s="33" t="str">
        <f t="shared" si="262"/>
        <v/>
      </c>
      <c r="AC819" s="33" t="str">
        <f t="shared" si="263"/>
        <v/>
      </c>
      <c r="AD819" s="15" t="str">
        <f t="shared" si="264"/>
        <v xml:space="preserve"> </v>
      </c>
      <c r="AE819" s="5"/>
      <c r="AF819" s="27" t="b">
        <f>IF($G819&lt;&gt;0,SUMIF(куб!$G:$G,$G819,куб!R:R),IF($E819&lt;&gt;0,SUMIF(куб!$E:$E,$E819,куб!R:R),IF($D819&lt;&gt;0,SUMIF(куб!$D:$D,$D819,куб!R:R),IF($C819&lt;&gt;0,SUMIF(куб!$C:$C,$C819,куб!R:R),IF($B819&lt;&gt;0,SUMIF(куб!$B:$B,$B819,куб!R:R))))))</f>
        <v>0</v>
      </c>
      <c r="AG819" s="27" t="b">
        <f>IF($G819&lt;&gt;0,SUMIF(куб!$G:$G,$G819,куб!S:S),IF($E819&lt;&gt;0,SUMIF(куб!$E:$E,$E819,куб!S:S),IF($D819&lt;&gt;0,SUMIF(куб!$D:$D,$D819,куб!S:S),IF($C819&lt;&gt;0,SUMIF(куб!$C:$C,$C819,куб!S:S),IF($B819&lt;&gt;0,SUMIF(куб!$B:$B,$B819,куб!S:S))))))</f>
        <v>0</v>
      </c>
      <c r="AH819" s="16" t="str">
        <f t="shared" si="265"/>
        <v>-</v>
      </c>
      <c r="AI819" s="8"/>
      <c r="AJ819" s="27" t="b">
        <f>IF($G819&lt;&gt;0,SUMIF(куб!$G:$G,$G819,куб!T:T),IF($E819&lt;&gt;0,SUMIF(куб!$E:$E,$E819,куб!T:T),IF($D819&lt;&gt;0,SUMIF(куб!$D:$D,$D819,куб!T:T),IF($C819&lt;&gt;0,SUMIF(куб!$C:$C,$C819,куб!T:T),IF($B819&lt;&gt;0,SUMIF(куб!$B:$B,$B819,куб!T:T))))))</f>
        <v>0</v>
      </c>
      <c r="AK819" s="27" t="b">
        <f>IF($G819&lt;&gt;0,SUMIF(куб!$G:$G,$G819,куб!U:U),IF($E819&lt;&gt;0,SUMIF(куб!$E:$E,$E819,куб!U:U),IF($D819&lt;&gt;0,SUMIF(куб!$D:$D,$D819,куб!U:U),IF($C819&lt;&gt;0,SUMIF(куб!$C:$C,$C819,куб!U:U),IF($B819&lt;&gt;0,SUMIF(куб!$B:$B,$B819,куб!U:U))))))</f>
        <v>0</v>
      </c>
      <c r="AL819" s="16" t="str">
        <f t="shared" si="266"/>
        <v>-</v>
      </c>
      <c r="AM819" s="8"/>
      <c r="AN819" s="17" t="str">
        <f t="shared" si="267"/>
        <v xml:space="preserve"> </v>
      </c>
      <c r="AO819" s="17" t="str">
        <f t="shared" si="268"/>
        <v xml:space="preserve"> </v>
      </c>
      <c r="AP819" s="16" t="str">
        <f t="shared" si="269"/>
        <v>-</v>
      </c>
      <c r="AQ819" s="8"/>
      <c r="AR819" s="17" t="str">
        <f t="shared" si="270"/>
        <v>-</v>
      </c>
      <c r="AS819" s="17" t="str">
        <f t="shared" si="271"/>
        <v>-</v>
      </c>
      <c r="AT819" s="13" t="str">
        <f t="shared" si="272"/>
        <v>-</v>
      </c>
      <c r="AU819" s="8"/>
    </row>
    <row r="820" spans="1:47" x14ac:dyDescent="0.25">
      <c r="A820" s="31"/>
      <c r="B820" s="31"/>
      <c r="C820"/>
      <c r="D820" s="31"/>
      <c r="E820"/>
      <c r="F820"/>
      <c r="G820"/>
      <c r="H820" s="27">
        <f>IF($G820&lt;&gt;0,SUMIF(куб!$G:$G,$G820,куб!H:H),IF($E820&lt;&gt;0,SUMIF(куб!$E:$E,$E820,куб!H:H),IF($D820&lt;&gt;0,SUMIF(куб!$D:$D,$D820,куб!H:H),IF($C820&lt;&gt;0,SUMIF(куб!$C:$C,$C820,куб!H:H),IF($B820&lt;&gt;0,SUMIF(куб!$B:$B,$B820,куб!H:H),IF($G820&lt;&gt;0,SUMIF(куб!$A:$A,$G820,куб!H:H),SUMIF(куб!$A:$A,$G820,куб!H:H)))))))</f>
        <v>0</v>
      </c>
      <c r="I820" s="27">
        <f>IF($G820&lt;&gt;0,SUMIF(куб!$G:$G,$G820,куб!I:I),IF($E820&lt;&gt;0,SUMIF(куб!$E:$E,$E820,куб!I:I),IF($D820&lt;&gt;0,SUMIF(куб!$D:$D,$D820,куб!I:I),IF($C820&lt;&gt;0,SUMIF(куб!$C:$C,$C820,куб!I:I),IF($B820&lt;&gt;0,SUMIF(куб!$B:$B,$B820,куб!I:I),IF($G820&lt;&gt;0,SUMIF(куб!$A:$A,$G820,куб!I:I),SUMIF(куб!$A:$A,$G820,куб!I:I)))))))</f>
        <v>0</v>
      </c>
      <c r="J820" s="19" t="str">
        <f t="shared" si="255"/>
        <v>-</v>
      </c>
      <c r="K820" s="8"/>
      <c r="L820" s="17">
        <f t="shared" si="256"/>
        <v>0</v>
      </c>
      <c r="M820" s="17">
        <f t="shared" si="257"/>
        <v>0</v>
      </c>
      <c r="N820" s="12">
        <f t="shared" si="258"/>
        <v>0</v>
      </c>
      <c r="O820" s="5"/>
      <c r="P820" s="27" t="b">
        <f>IF($G820&lt;&gt;0,SUMIF(куб!$G:$G,$G820,куб!J:J),IF($E820&lt;&gt;0,SUMIF(куб!$E:$E,$E820,куб!J:J),IF($D820&lt;&gt;0,SUMIF(куб!$D:$D,$D820,куб!J:J),IF($C820&lt;&gt;0,SUMIF(куб!$C:$C,$C820,куб!J:J),IF($B820&lt;&gt;0,SUMIF(куб!$B:$B,$B820,куб!J:J))))))</f>
        <v>0</v>
      </c>
      <c r="Q820" s="27" t="b">
        <f>IF($G820&lt;&gt;0,SUMIF(куб!$G:$G,$G820,куб!K:K),IF($E820&lt;&gt;0,SUMIF(куб!$E:$E,$E820,куб!K:K),IF($D820&lt;&gt;0,SUMIF(куб!$D:$D,$D820,куб!K:K),IF($C820&lt;&gt;0,SUMIF(куб!$C:$C,$C820,куб!K:K),IF($B820&lt;&gt;0,SUMIF(куб!$B:$B,$B820,куб!K:K))))))</f>
        <v>0</v>
      </c>
      <c r="R820" s="13" t="str">
        <f t="shared" si="259"/>
        <v>-</v>
      </c>
      <c r="S820" s="5"/>
      <c r="T820" s="27" t="b">
        <f>IF($G820&lt;&gt;0,SUMIF(куб!$G:$G,$G820,куб!L:L),IF($E820&lt;&gt;0,SUMIF(куб!$E:$E,$E820,куб!L:L),IF($D820&lt;&gt;0,SUMIF(куб!$D:$D,$D820,куб!L:L),IF($C820&lt;&gt;0,SUMIF(куб!$C:$C,$C820,куб!L:L),IF($B820&lt;&gt;0,SUMIF(куб!$B:$B,$B820,куб!L:L))))))</f>
        <v>0</v>
      </c>
      <c r="U820" s="27" t="b">
        <f>IF($G820&lt;&gt;0,SUMIF(куб!$G:$G,$G820,куб!M:M),IF($E820&lt;&gt;0,SUMIF(куб!$E:$E,$E820,куб!M:M),IF($D820&lt;&gt;0,SUMIF(куб!$D:$D,$D820,куб!M:M),IF($C820&lt;&gt;0,SUMIF(куб!$C:$C,$C820,куб!M:M),IF($B820&lt;&gt;0,SUMIF(куб!$B:$B,$B820,куб!M:M))))))</f>
        <v>0</v>
      </c>
      <c r="V820" s="13" t="str">
        <f t="shared" si="260"/>
        <v>-</v>
      </c>
      <c r="W820" s="5"/>
      <c r="X820" s="27" t="b">
        <f>IF($G820&lt;&gt;0,SUMIF(куб!$G:$G,$G820,куб!N:N),IF($E820&lt;&gt;0,SUMIF(куб!$E:$E,$E820,куб!N:N),IF($D820&lt;&gt;0,SUMIF(куб!$D:$D,$D820,куб!N:N),IF($C820&lt;&gt;0,SUMIF(куб!$C:$C,$C820,куб!N:N),IF($B820&lt;&gt;0,SUMIF(куб!$B:$B,$B820,куб!N:N))))))</f>
        <v>0</v>
      </c>
      <c r="Y820" s="27" t="b">
        <f>IF($G820&lt;&gt;0,SUMIF(куб!$G:$G,$G820,куб!O:O),IF($E820&lt;&gt;0,SUMIF(куб!$E:$E,$E820,куб!O:O),IF($D820&lt;&gt;0,SUMIF(куб!$D:$D,$D820,куб!O:O),IF($C820&lt;&gt;0,SUMIF(куб!$C:$C,$C820,куб!O:O),IF($B820&lt;&gt;0,SUMIF(куб!$B:$B,$B820,куб!O:O))))))</f>
        <v>0</v>
      </c>
      <c r="Z820" s="13" t="str">
        <f t="shared" si="261"/>
        <v>-</v>
      </c>
      <c r="AA820" s="5"/>
      <c r="AB820" s="33" t="str">
        <f t="shared" si="262"/>
        <v/>
      </c>
      <c r="AC820" s="33" t="str">
        <f t="shared" si="263"/>
        <v/>
      </c>
      <c r="AD820" s="15" t="str">
        <f t="shared" si="264"/>
        <v xml:space="preserve"> </v>
      </c>
      <c r="AE820" s="5"/>
      <c r="AF820" s="27" t="b">
        <f>IF($G820&lt;&gt;0,SUMIF(куб!$G:$G,$G820,куб!R:R),IF($E820&lt;&gt;0,SUMIF(куб!$E:$E,$E820,куб!R:R),IF($D820&lt;&gt;0,SUMIF(куб!$D:$D,$D820,куб!R:R),IF($C820&lt;&gt;0,SUMIF(куб!$C:$C,$C820,куб!R:R),IF($B820&lt;&gt;0,SUMIF(куб!$B:$B,$B820,куб!R:R))))))</f>
        <v>0</v>
      </c>
      <c r="AG820" s="27" t="b">
        <f>IF($G820&lt;&gt;0,SUMIF(куб!$G:$G,$G820,куб!S:S),IF($E820&lt;&gt;0,SUMIF(куб!$E:$E,$E820,куб!S:S),IF($D820&lt;&gt;0,SUMIF(куб!$D:$D,$D820,куб!S:S),IF($C820&lt;&gt;0,SUMIF(куб!$C:$C,$C820,куб!S:S),IF($B820&lt;&gt;0,SUMIF(куб!$B:$B,$B820,куб!S:S))))))</f>
        <v>0</v>
      </c>
      <c r="AH820" s="16" t="str">
        <f t="shared" si="265"/>
        <v>-</v>
      </c>
      <c r="AI820" s="8"/>
      <c r="AJ820" s="27" t="b">
        <f>IF($G820&lt;&gt;0,SUMIF(куб!$G:$G,$G820,куб!T:T),IF($E820&lt;&gt;0,SUMIF(куб!$E:$E,$E820,куб!T:T),IF($D820&lt;&gt;0,SUMIF(куб!$D:$D,$D820,куб!T:T),IF($C820&lt;&gt;0,SUMIF(куб!$C:$C,$C820,куб!T:T),IF($B820&lt;&gt;0,SUMIF(куб!$B:$B,$B820,куб!T:T))))))</f>
        <v>0</v>
      </c>
      <c r="AK820" s="27" t="b">
        <f>IF($G820&lt;&gt;0,SUMIF(куб!$G:$G,$G820,куб!U:U),IF($E820&lt;&gt;0,SUMIF(куб!$E:$E,$E820,куб!U:U),IF($D820&lt;&gt;0,SUMIF(куб!$D:$D,$D820,куб!U:U),IF($C820&lt;&gt;0,SUMIF(куб!$C:$C,$C820,куб!U:U),IF($B820&lt;&gt;0,SUMIF(куб!$B:$B,$B820,куб!U:U))))))</f>
        <v>0</v>
      </c>
      <c r="AL820" s="16" t="str">
        <f t="shared" si="266"/>
        <v>-</v>
      </c>
      <c r="AM820" s="8"/>
      <c r="AN820" s="17" t="str">
        <f t="shared" si="267"/>
        <v xml:space="preserve"> </v>
      </c>
      <c r="AO820" s="17" t="str">
        <f t="shared" si="268"/>
        <v xml:space="preserve"> </v>
      </c>
      <c r="AP820" s="16" t="str">
        <f t="shared" si="269"/>
        <v>-</v>
      </c>
      <c r="AQ820" s="8"/>
      <c r="AR820" s="17" t="str">
        <f t="shared" si="270"/>
        <v>-</v>
      </c>
      <c r="AS820" s="17" t="str">
        <f t="shared" si="271"/>
        <v>-</v>
      </c>
      <c r="AT820" s="13" t="str">
        <f t="shared" si="272"/>
        <v>-</v>
      </c>
      <c r="AU820" s="8"/>
    </row>
    <row r="821" spans="1:47" x14ac:dyDescent="0.25">
      <c r="A821" s="31"/>
      <c r="B821" s="31"/>
      <c r="C821"/>
      <c r="D821" s="31"/>
      <c r="E821" s="31"/>
      <c r="F821" s="31"/>
      <c r="G821" s="31"/>
      <c r="H821" s="27">
        <f>IF($G821&lt;&gt;0,SUMIF(куб!$G:$G,$G821,куб!H:H),IF($E821&lt;&gt;0,SUMIF(куб!$E:$E,$E821,куб!H:H),IF($D821&lt;&gt;0,SUMIF(куб!$D:$D,$D821,куб!H:H),IF($C821&lt;&gt;0,SUMIF(куб!$C:$C,$C821,куб!H:H),IF($B821&lt;&gt;0,SUMIF(куб!$B:$B,$B821,куб!H:H),IF($G821&lt;&gt;0,SUMIF(куб!$A:$A,$G821,куб!H:H),SUMIF(куб!$A:$A,$G821,куб!H:H)))))))</f>
        <v>0</v>
      </c>
      <c r="I821" s="27">
        <f>IF($G821&lt;&gt;0,SUMIF(куб!$G:$G,$G821,куб!I:I),IF($E821&lt;&gt;0,SUMIF(куб!$E:$E,$E821,куб!I:I),IF($D821&lt;&gt;0,SUMIF(куб!$D:$D,$D821,куб!I:I),IF($C821&lt;&gt;0,SUMIF(куб!$C:$C,$C821,куб!I:I),IF($B821&lt;&gt;0,SUMIF(куб!$B:$B,$B821,куб!I:I),IF($G821&lt;&gt;0,SUMIF(куб!$A:$A,$G821,куб!I:I),SUMIF(куб!$A:$A,$G821,куб!I:I)))))))</f>
        <v>0</v>
      </c>
      <c r="J821" s="19" t="str">
        <f t="shared" si="255"/>
        <v>-</v>
      </c>
      <c r="K821" s="8"/>
      <c r="L821" s="17">
        <f t="shared" si="256"/>
        <v>0</v>
      </c>
      <c r="M821" s="17">
        <f t="shared" si="257"/>
        <v>0</v>
      </c>
      <c r="N821" s="12">
        <f t="shared" si="258"/>
        <v>0</v>
      </c>
      <c r="O821" s="5"/>
      <c r="P821" s="27" t="b">
        <f>IF($G821&lt;&gt;0,SUMIF(куб!$G:$G,$G821,куб!J:J),IF($E821&lt;&gt;0,SUMIF(куб!$E:$E,$E821,куб!J:J),IF($D821&lt;&gt;0,SUMIF(куб!$D:$D,$D821,куб!J:J),IF($C821&lt;&gt;0,SUMIF(куб!$C:$C,$C821,куб!J:J),IF($B821&lt;&gt;0,SUMIF(куб!$B:$B,$B821,куб!J:J))))))</f>
        <v>0</v>
      </c>
      <c r="Q821" s="27" t="b">
        <f>IF($G821&lt;&gt;0,SUMIF(куб!$G:$G,$G821,куб!K:K),IF($E821&lt;&gt;0,SUMIF(куб!$E:$E,$E821,куб!K:K),IF($D821&lt;&gt;0,SUMIF(куб!$D:$D,$D821,куб!K:K),IF($C821&lt;&gt;0,SUMIF(куб!$C:$C,$C821,куб!K:K),IF($B821&lt;&gt;0,SUMIF(куб!$B:$B,$B821,куб!K:K))))))</f>
        <v>0</v>
      </c>
      <c r="R821" s="13" t="str">
        <f t="shared" si="259"/>
        <v>-</v>
      </c>
      <c r="S821" s="5"/>
      <c r="T821" s="27" t="b">
        <f>IF($G821&lt;&gt;0,SUMIF(куб!$G:$G,$G821,куб!L:L),IF($E821&lt;&gt;0,SUMIF(куб!$E:$E,$E821,куб!L:L),IF($D821&lt;&gt;0,SUMIF(куб!$D:$D,$D821,куб!L:L),IF($C821&lt;&gt;0,SUMIF(куб!$C:$C,$C821,куб!L:L),IF($B821&lt;&gt;0,SUMIF(куб!$B:$B,$B821,куб!L:L))))))</f>
        <v>0</v>
      </c>
      <c r="U821" s="27" t="b">
        <f>IF($G821&lt;&gt;0,SUMIF(куб!$G:$G,$G821,куб!M:M),IF($E821&lt;&gt;0,SUMIF(куб!$E:$E,$E821,куб!M:M),IF($D821&lt;&gt;0,SUMIF(куб!$D:$D,$D821,куб!M:M),IF($C821&lt;&gt;0,SUMIF(куб!$C:$C,$C821,куб!M:M),IF($B821&lt;&gt;0,SUMIF(куб!$B:$B,$B821,куб!M:M))))))</f>
        <v>0</v>
      </c>
      <c r="V821" s="13" t="str">
        <f t="shared" si="260"/>
        <v>-</v>
      </c>
      <c r="W821" s="5"/>
      <c r="X821" s="27" t="b">
        <f>IF($G821&lt;&gt;0,SUMIF(куб!$G:$G,$G821,куб!N:N),IF($E821&lt;&gt;0,SUMIF(куб!$E:$E,$E821,куб!N:N),IF($D821&lt;&gt;0,SUMIF(куб!$D:$D,$D821,куб!N:N),IF($C821&lt;&gt;0,SUMIF(куб!$C:$C,$C821,куб!N:N),IF($B821&lt;&gt;0,SUMIF(куб!$B:$B,$B821,куб!N:N))))))</f>
        <v>0</v>
      </c>
      <c r="Y821" s="27" t="b">
        <f>IF($G821&lt;&gt;0,SUMIF(куб!$G:$G,$G821,куб!O:O),IF($E821&lt;&gt;0,SUMIF(куб!$E:$E,$E821,куб!O:O),IF($D821&lt;&gt;0,SUMIF(куб!$D:$D,$D821,куб!O:O),IF($C821&lt;&gt;0,SUMIF(куб!$C:$C,$C821,куб!O:O),IF($B821&lt;&gt;0,SUMIF(куб!$B:$B,$B821,куб!O:O))))))</f>
        <v>0</v>
      </c>
      <c r="Z821" s="13" t="str">
        <f t="shared" si="261"/>
        <v>-</v>
      </c>
      <c r="AA821" s="5"/>
      <c r="AB821" s="33" t="str">
        <f t="shared" si="262"/>
        <v/>
      </c>
      <c r="AC821" s="33" t="str">
        <f t="shared" si="263"/>
        <v/>
      </c>
      <c r="AD821" s="15" t="str">
        <f t="shared" si="264"/>
        <v xml:space="preserve"> </v>
      </c>
      <c r="AE821" s="5"/>
      <c r="AF821" s="27" t="b">
        <f>IF($G821&lt;&gt;0,SUMIF(куб!$G:$G,$G821,куб!R:R),IF($E821&lt;&gt;0,SUMIF(куб!$E:$E,$E821,куб!R:R),IF($D821&lt;&gt;0,SUMIF(куб!$D:$D,$D821,куб!R:R),IF($C821&lt;&gt;0,SUMIF(куб!$C:$C,$C821,куб!R:R),IF($B821&lt;&gt;0,SUMIF(куб!$B:$B,$B821,куб!R:R))))))</f>
        <v>0</v>
      </c>
      <c r="AG821" s="27" t="b">
        <f>IF($G821&lt;&gt;0,SUMIF(куб!$G:$G,$G821,куб!S:S),IF($E821&lt;&gt;0,SUMIF(куб!$E:$E,$E821,куб!S:S),IF($D821&lt;&gt;0,SUMIF(куб!$D:$D,$D821,куб!S:S),IF($C821&lt;&gt;0,SUMIF(куб!$C:$C,$C821,куб!S:S),IF($B821&lt;&gt;0,SUMIF(куб!$B:$B,$B821,куб!S:S))))))</f>
        <v>0</v>
      </c>
      <c r="AH821" s="16" t="str">
        <f t="shared" si="265"/>
        <v>-</v>
      </c>
      <c r="AI821" s="8"/>
      <c r="AJ821" s="27" t="b">
        <f>IF($G821&lt;&gt;0,SUMIF(куб!$G:$G,$G821,куб!T:T),IF($E821&lt;&gt;0,SUMIF(куб!$E:$E,$E821,куб!T:T),IF($D821&lt;&gt;0,SUMIF(куб!$D:$D,$D821,куб!T:T),IF($C821&lt;&gt;0,SUMIF(куб!$C:$C,$C821,куб!T:T),IF($B821&lt;&gt;0,SUMIF(куб!$B:$B,$B821,куб!T:T))))))</f>
        <v>0</v>
      </c>
      <c r="AK821" s="27" t="b">
        <f>IF($G821&lt;&gt;0,SUMIF(куб!$G:$G,$G821,куб!U:U),IF($E821&lt;&gt;0,SUMIF(куб!$E:$E,$E821,куб!U:U),IF($D821&lt;&gt;0,SUMIF(куб!$D:$D,$D821,куб!U:U),IF($C821&lt;&gt;0,SUMIF(куб!$C:$C,$C821,куб!U:U),IF($B821&lt;&gt;0,SUMIF(куб!$B:$B,$B821,куб!U:U))))))</f>
        <v>0</v>
      </c>
      <c r="AL821" s="16" t="str">
        <f t="shared" si="266"/>
        <v>-</v>
      </c>
      <c r="AM821" s="8"/>
      <c r="AN821" s="17" t="str">
        <f t="shared" si="267"/>
        <v xml:space="preserve"> </v>
      </c>
      <c r="AO821" s="17" t="str">
        <f t="shared" si="268"/>
        <v xml:space="preserve"> </v>
      </c>
      <c r="AP821" s="16" t="str">
        <f t="shared" si="269"/>
        <v>-</v>
      </c>
      <c r="AQ821" s="8"/>
      <c r="AR821" s="17" t="str">
        <f t="shared" si="270"/>
        <v>-</v>
      </c>
      <c r="AS821" s="17" t="str">
        <f t="shared" si="271"/>
        <v>-</v>
      </c>
      <c r="AT821" s="13" t="str">
        <f t="shared" si="272"/>
        <v>-</v>
      </c>
      <c r="AU821" s="8"/>
    </row>
    <row r="822" spans="1:47" x14ac:dyDescent="0.25">
      <c r="A822" s="31"/>
      <c r="B822" s="31"/>
      <c r="C822"/>
      <c r="D822" s="31"/>
      <c r="E822"/>
      <c r="F822" s="31"/>
      <c r="G822"/>
      <c r="H822" s="27">
        <f>IF($G822&lt;&gt;0,SUMIF(куб!$G:$G,$G822,куб!H:H),IF($E822&lt;&gt;0,SUMIF(куб!$E:$E,$E822,куб!H:H),IF($D822&lt;&gt;0,SUMIF(куб!$D:$D,$D822,куб!H:H),IF($C822&lt;&gt;0,SUMIF(куб!$C:$C,$C822,куб!H:H),IF($B822&lt;&gt;0,SUMIF(куб!$B:$B,$B822,куб!H:H),IF($G822&lt;&gt;0,SUMIF(куб!$A:$A,$G822,куб!H:H),SUMIF(куб!$A:$A,$G822,куб!H:H)))))))</f>
        <v>0</v>
      </c>
      <c r="I822" s="27">
        <f>IF($G822&lt;&gt;0,SUMIF(куб!$G:$G,$G822,куб!I:I),IF($E822&lt;&gt;0,SUMIF(куб!$E:$E,$E822,куб!I:I),IF($D822&lt;&gt;0,SUMIF(куб!$D:$D,$D822,куб!I:I),IF($C822&lt;&gt;0,SUMIF(куб!$C:$C,$C822,куб!I:I),IF($B822&lt;&gt;0,SUMIF(куб!$B:$B,$B822,куб!I:I),IF($G822&lt;&gt;0,SUMIF(куб!$A:$A,$G822,куб!I:I),SUMIF(куб!$A:$A,$G822,куб!I:I)))))))</f>
        <v>0</v>
      </c>
      <c r="J822" s="19" t="str">
        <f t="shared" si="255"/>
        <v>-</v>
      </c>
      <c r="K822" s="8"/>
      <c r="L822" s="17">
        <f t="shared" si="256"/>
        <v>0</v>
      </c>
      <c r="M822" s="17">
        <f t="shared" si="257"/>
        <v>0</v>
      </c>
      <c r="N822" s="12">
        <f t="shared" si="258"/>
        <v>0</v>
      </c>
      <c r="O822" s="5"/>
      <c r="P822" s="27" t="b">
        <f>IF($G822&lt;&gt;0,SUMIF(куб!$G:$G,$G822,куб!J:J),IF($E822&lt;&gt;0,SUMIF(куб!$E:$E,$E822,куб!J:J),IF($D822&lt;&gt;0,SUMIF(куб!$D:$D,$D822,куб!J:J),IF($C822&lt;&gt;0,SUMIF(куб!$C:$C,$C822,куб!J:J),IF($B822&lt;&gt;0,SUMIF(куб!$B:$B,$B822,куб!J:J))))))</f>
        <v>0</v>
      </c>
      <c r="Q822" s="27" t="b">
        <f>IF($G822&lt;&gt;0,SUMIF(куб!$G:$G,$G822,куб!K:K),IF($E822&lt;&gt;0,SUMIF(куб!$E:$E,$E822,куб!K:K),IF($D822&lt;&gt;0,SUMIF(куб!$D:$D,$D822,куб!K:K),IF($C822&lt;&gt;0,SUMIF(куб!$C:$C,$C822,куб!K:K),IF($B822&lt;&gt;0,SUMIF(куб!$B:$B,$B822,куб!K:K))))))</f>
        <v>0</v>
      </c>
      <c r="R822" s="13" t="str">
        <f t="shared" si="259"/>
        <v>-</v>
      </c>
      <c r="S822" s="5"/>
      <c r="T822" s="27" t="b">
        <f>IF($G822&lt;&gt;0,SUMIF(куб!$G:$G,$G822,куб!L:L),IF($E822&lt;&gt;0,SUMIF(куб!$E:$E,$E822,куб!L:L),IF($D822&lt;&gt;0,SUMIF(куб!$D:$D,$D822,куб!L:L),IF($C822&lt;&gt;0,SUMIF(куб!$C:$C,$C822,куб!L:L),IF($B822&lt;&gt;0,SUMIF(куб!$B:$B,$B822,куб!L:L))))))</f>
        <v>0</v>
      </c>
      <c r="U822" s="27" t="b">
        <f>IF($G822&lt;&gt;0,SUMIF(куб!$G:$G,$G822,куб!M:M),IF($E822&lt;&gt;0,SUMIF(куб!$E:$E,$E822,куб!M:M),IF($D822&lt;&gt;0,SUMIF(куб!$D:$D,$D822,куб!M:M),IF($C822&lt;&gt;0,SUMIF(куб!$C:$C,$C822,куб!M:M),IF($B822&lt;&gt;0,SUMIF(куб!$B:$B,$B822,куб!M:M))))))</f>
        <v>0</v>
      </c>
      <c r="V822" s="13" t="str">
        <f t="shared" si="260"/>
        <v>-</v>
      </c>
      <c r="W822" s="5"/>
      <c r="X822" s="27" t="b">
        <f>IF($G822&lt;&gt;0,SUMIF(куб!$G:$G,$G822,куб!N:N),IF($E822&lt;&gt;0,SUMIF(куб!$E:$E,$E822,куб!N:N),IF($D822&lt;&gt;0,SUMIF(куб!$D:$D,$D822,куб!N:N),IF($C822&lt;&gt;0,SUMIF(куб!$C:$C,$C822,куб!N:N),IF($B822&lt;&gt;0,SUMIF(куб!$B:$B,$B822,куб!N:N))))))</f>
        <v>0</v>
      </c>
      <c r="Y822" s="27" t="b">
        <f>IF($G822&lt;&gt;0,SUMIF(куб!$G:$G,$G822,куб!O:O),IF($E822&lt;&gt;0,SUMIF(куб!$E:$E,$E822,куб!O:O),IF($D822&lt;&gt;0,SUMIF(куб!$D:$D,$D822,куб!O:O),IF($C822&lt;&gt;0,SUMIF(куб!$C:$C,$C822,куб!O:O),IF($B822&lt;&gt;0,SUMIF(куб!$B:$B,$B822,куб!O:O))))))</f>
        <v>0</v>
      </c>
      <c r="Z822" s="13" t="str">
        <f t="shared" si="261"/>
        <v>-</v>
      </c>
      <c r="AA822" s="5"/>
      <c r="AB822" s="33" t="str">
        <f t="shared" si="262"/>
        <v/>
      </c>
      <c r="AC822" s="33" t="str">
        <f t="shared" si="263"/>
        <v/>
      </c>
      <c r="AD822" s="15" t="str">
        <f t="shared" si="264"/>
        <v xml:space="preserve"> </v>
      </c>
      <c r="AE822" s="5"/>
      <c r="AF822" s="27" t="b">
        <f>IF($G822&lt;&gt;0,SUMIF(куб!$G:$G,$G822,куб!R:R),IF($E822&lt;&gt;0,SUMIF(куб!$E:$E,$E822,куб!R:R),IF($D822&lt;&gt;0,SUMIF(куб!$D:$D,$D822,куб!R:R),IF($C822&lt;&gt;0,SUMIF(куб!$C:$C,$C822,куб!R:R),IF($B822&lt;&gt;0,SUMIF(куб!$B:$B,$B822,куб!R:R))))))</f>
        <v>0</v>
      </c>
      <c r="AG822" s="27" t="b">
        <f>IF($G822&lt;&gt;0,SUMIF(куб!$G:$G,$G822,куб!S:S),IF($E822&lt;&gt;0,SUMIF(куб!$E:$E,$E822,куб!S:S),IF($D822&lt;&gt;0,SUMIF(куб!$D:$D,$D822,куб!S:S),IF($C822&lt;&gt;0,SUMIF(куб!$C:$C,$C822,куб!S:S),IF($B822&lt;&gt;0,SUMIF(куб!$B:$B,$B822,куб!S:S))))))</f>
        <v>0</v>
      </c>
      <c r="AH822" s="16" t="str">
        <f t="shared" si="265"/>
        <v>-</v>
      </c>
      <c r="AI822" s="8"/>
      <c r="AJ822" s="27" t="b">
        <f>IF($G822&lt;&gt;0,SUMIF(куб!$G:$G,$G822,куб!T:T),IF($E822&lt;&gt;0,SUMIF(куб!$E:$E,$E822,куб!T:T),IF($D822&lt;&gt;0,SUMIF(куб!$D:$D,$D822,куб!T:T),IF($C822&lt;&gt;0,SUMIF(куб!$C:$C,$C822,куб!T:T),IF($B822&lt;&gt;0,SUMIF(куб!$B:$B,$B822,куб!T:T))))))</f>
        <v>0</v>
      </c>
      <c r="AK822" s="27" t="b">
        <f>IF($G822&lt;&gt;0,SUMIF(куб!$G:$G,$G822,куб!U:U),IF($E822&lt;&gt;0,SUMIF(куб!$E:$E,$E822,куб!U:U),IF($D822&lt;&gt;0,SUMIF(куб!$D:$D,$D822,куб!U:U),IF($C822&lt;&gt;0,SUMIF(куб!$C:$C,$C822,куб!U:U),IF($B822&lt;&gt;0,SUMIF(куб!$B:$B,$B822,куб!U:U))))))</f>
        <v>0</v>
      </c>
      <c r="AL822" s="16" t="str">
        <f t="shared" si="266"/>
        <v>-</v>
      </c>
      <c r="AM822" s="8"/>
      <c r="AN822" s="17" t="str">
        <f t="shared" si="267"/>
        <v xml:space="preserve"> </v>
      </c>
      <c r="AO822" s="17" t="str">
        <f t="shared" si="268"/>
        <v xml:space="preserve"> </v>
      </c>
      <c r="AP822" s="16" t="str">
        <f t="shared" si="269"/>
        <v>-</v>
      </c>
      <c r="AQ822" s="8"/>
      <c r="AR822" s="17" t="str">
        <f t="shared" si="270"/>
        <v>-</v>
      </c>
      <c r="AS822" s="17" t="str">
        <f t="shared" si="271"/>
        <v>-</v>
      </c>
      <c r="AT822" s="13" t="str">
        <f t="shared" si="272"/>
        <v>-</v>
      </c>
      <c r="AU822" s="8"/>
    </row>
    <row r="823" spans="1:47" x14ac:dyDescent="0.25">
      <c r="A823" s="31"/>
      <c r="B823" s="31"/>
      <c r="C823"/>
      <c r="D823" s="31"/>
      <c r="E823"/>
      <c r="F823"/>
      <c r="G823"/>
      <c r="H823" s="27">
        <f>IF($G823&lt;&gt;0,SUMIF(куб!$G:$G,$G823,куб!H:H),IF($E823&lt;&gt;0,SUMIF(куб!$E:$E,$E823,куб!H:H),IF($D823&lt;&gt;0,SUMIF(куб!$D:$D,$D823,куб!H:H),IF($C823&lt;&gt;0,SUMIF(куб!$C:$C,$C823,куб!H:H),IF($B823&lt;&gt;0,SUMIF(куб!$B:$B,$B823,куб!H:H),IF($G823&lt;&gt;0,SUMIF(куб!$A:$A,$G823,куб!H:H),SUMIF(куб!$A:$A,$G823,куб!H:H)))))))</f>
        <v>0</v>
      </c>
      <c r="I823" s="27">
        <f>IF($G823&lt;&gt;0,SUMIF(куб!$G:$G,$G823,куб!I:I),IF($E823&lt;&gt;0,SUMIF(куб!$E:$E,$E823,куб!I:I),IF($D823&lt;&gt;0,SUMIF(куб!$D:$D,$D823,куб!I:I),IF($C823&lt;&gt;0,SUMIF(куб!$C:$C,$C823,куб!I:I),IF($B823&lt;&gt;0,SUMIF(куб!$B:$B,$B823,куб!I:I),IF($G823&lt;&gt;0,SUMIF(куб!$A:$A,$G823,куб!I:I),SUMIF(куб!$A:$A,$G823,куб!I:I)))))))</f>
        <v>0</v>
      </c>
      <c r="J823" s="19" t="str">
        <f t="shared" si="255"/>
        <v>-</v>
      </c>
      <c r="K823" s="8"/>
      <c r="L823" s="17">
        <f t="shared" si="256"/>
        <v>0</v>
      </c>
      <c r="M823" s="17">
        <f t="shared" si="257"/>
        <v>0</v>
      </c>
      <c r="N823" s="12">
        <f t="shared" si="258"/>
        <v>0</v>
      </c>
      <c r="O823" s="5"/>
      <c r="P823" s="27" t="b">
        <f>IF($G823&lt;&gt;0,SUMIF(куб!$G:$G,$G823,куб!J:J),IF($E823&lt;&gt;0,SUMIF(куб!$E:$E,$E823,куб!J:J),IF($D823&lt;&gt;0,SUMIF(куб!$D:$D,$D823,куб!J:J),IF($C823&lt;&gt;0,SUMIF(куб!$C:$C,$C823,куб!J:J),IF($B823&lt;&gt;0,SUMIF(куб!$B:$B,$B823,куб!J:J))))))</f>
        <v>0</v>
      </c>
      <c r="Q823" s="27" t="b">
        <f>IF($G823&lt;&gt;0,SUMIF(куб!$G:$G,$G823,куб!K:K),IF($E823&lt;&gt;0,SUMIF(куб!$E:$E,$E823,куб!K:K),IF($D823&lt;&gt;0,SUMIF(куб!$D:$D,$D823,куб!K:K),IF($C823&lt;&gt;0,SUMIF(куб!$C:$C,$C823,куб!K:K),IF($B823&lt;&gt;0,SUMIF(куб!$B:$B,$B823,куб!K:K))))))</f>
        <v>0</v>
      </c>
      <c r="R823" s="13" t="str">
        <f t="shared" si="259"/>
        <v>-</v>
      </c>
      <c r="S823" s="5"/>
      <c r="T823" s="27" t="b">
        <f>IF($G823&lt;&gt;0,SUMIF(куб!$G:$G,$G823,куб!L:L),IF($E823&lt;&gt;0,SUMIF(куб!$E:$E,$E823,куб!L:L),IF($D823&lt;&gt;0,SUMIF(куб!$D:$D,$D823,куб!L:L),IF($C823&lt;&gt;0,SUMIF(куб!$C:$C,$C823,куб!L:L),IF($B823&lt;&gt;0,SUMIF(куб!$B:$B,$B823,куб!L:L))))))</f>
        <v>0</v>
      </c>
      <c r="U823" s="27" t="b">
        <f>IF($G823&lt;&gt;0,SUMIF(куб!$G:$G,$G823,куб!M:M),IF($E823&lt;&gt;0,SUMIF(куб!$E:$E,$E823,куб!M:M),IF($D823&lt;&gt;0,SUMIF(куб!$D:$D,$D823,куб!M:M),IF($C823&lt;&gt;0,SUMIF(куб!$C:$C,$C823,куб!M:M),IF($B823&lt;&gt;0,SUMIF(куб!$B:$B,$B823,куб!M:M))))))</f>
        <v>0</v>
      </c>
      <c r="V823" s="13" t="str">
        <f t="shared" si="260"/>
        <v>-</v>
      </c>
      <c r="W823" s="5"/>
      <c r="X823" s="27" t="b">
        <f>IF($G823&lt;&gt;0,SUMIF(куб!$G:$G,$G823,куб!N:N),IF($E823&lt;&gt;0,SUMIF(куб!$E:$E,$E823,куб!N:N),IF($D823&lt;&gt;0,SUMIF(куб!$D:$D,$D823,куб!N:N),IF($C823&lt;&gt;0,SUMIF(куб!$C:$C,$C823,куб!N:N),IF($B823&lt;&gt;0,SUMIF(куб!$B:$B,$B823,куб!N:N))))))</f>
        <v>0</v>
      </c>
      <c r="Y823" s="27" t="b">
        <f>IF($G823&lt;&gt;0,SUMIF(куб!$G:$G,$G823,куб!O:O),IF($E823&lt;&gt;0,SUMIF(куб!$E:$E,$E823,куб!O:O),IF($D823&lt;&gt;0,SUMIF(куб!$D:$D,$D823,куб!O:O),IF($C823&lt;&gt;0,SUMIF(куб!$C:$C,$C823,куб!O:O),IF($B823&lt;&gt;0,SUMIF(куб!$B:$B,$B823,куб!O:O))))))</f>
        <v>0</v>
      </c>
      <c r="Z823" s="13" t="str">
        <f t="shared" si="261"/>
        <v>-</v>
      </c>
      <c r="AA823" s="5"/>
      <c r="AB823" s="33" t="str">
        <f t="shared" si="262"/>
        <v/>
      </c>
      <c r="AC823" s="33" t="str">
        <f t="shared" si="263"/>
        <v/>
      </c>
      <c r="AD823" s="15" t="str">
        <f t="shared" si="264"/>
        <v xml:space="preserve"> </v>
      </c>
      <c r="AE823" s="5"/>
      <c r="AF823" s="27" t="b">
        <f>IF($G823&lt;&gt;0,SUMIF(куб!$G:$G,$G823,куб!R:R),IF($E823&lt;&gt;0,SUMIF(куб!$E:$E,$E823,куб!R:R),IF($D823&lt;&gt;0,SUMIF(куб!$D:$D,$D823,куб!R:R),IF($C823&lt;&gt;0,SUMIF(куб!$C:$C,$C823,куб!R:R),IF($B823&lt;&gt;0,SUMIF(куб!$B:$B,$B823,куб!R:R))))))</f>
        <v>0</v>
      </c>
      <c r="AG823" s="27" t="b">
        <f>IF($G823&lt;&gt;0,SUMIF(куб!$G:$G,$G823,куб!S:S),IF($E823&lt;&gt;0,SUMIF(куб!$E:$E,$E823,куб!S:S),IF($D823&lt;&gt;0,SUMIF(куб!$D:$D,$D823,куб!S:S),IF($C823&lt;&gt;0,SUMIF(куб!$C:$C,$C823,куб!S:S),IF($B823&lt;&gt;0,SUMIF(куб!$B:$B,$B823,куб!S:S))))))</f>
        <v>0</v>
      </c>
      <c r="AH823" s="16" t="str">
        <f t="shared" si="265"/>
        <v>-</v>
      </c>
      <c r="AI823" s="8"/>
      <c r="AJ823" s="27" t="b">
        <f>IF($G823&lt;&gt;0,SUMIF(куб!$G:$G,$G823,куб!T:T),IF($E823&lt;&gt;0,SUMIF(куб!$E:$E,$E823,куб!T:T),IF($D823&lt;&gt;0,SUMIF(куб!$D:$D,$D823,куб!T:T),IF($C823&lt;&gt;0,SUMIF(куб!$C:$C,$C823,куб!T:T),IF($B823&lt;&gt;0,SUMIF(куб!$B:$B,$B823,куб!T:T))))))</f>
        <v>0</v>
      </c>
      <c r="AK823" s="27" t="b">
        <f>IF($G823&lt;&gt;0,SUMIF(куб!$G:$G,$G823,куб!U:U),IF($E823&lt;&gt;0,SUMIF(куб!$E:$E,$E823,куб!U:U),IF($D823&lt;&gt;0,SUMIF(куб!$D:$D,$D823,куб!U:U),IF($C823&lt;&gt;0,SUMIF(куб!$C:$C,$C823,куб!U:U),IF($B823&lt;&gt;0,SUMIF(куб!$B:$B,$B823,куб!U:U))))))</f>
        <v>0</v>
      </c>
      <c r="AL823" s="16" t="str">
        <f t="shared" si="266"/>
        <v>-</v>
      </c>
      <c r="AM823" s="8"/>
      <c r="AN823" s="17" t="str">
        <f t="shared" si="267"/>
        <v xml:space="preserve"> </v>
      </c>
      <c r="AO823" s="17" t="str">
        <f t="shared" si="268"/>
        <v xml:space="preserve"> </v>
      </c>
      <c r="AP823" s="16" t="str">
        <f t="shared" si="269"/>
        <v>-</v>
      </c>
      <c r="AQ823" s="8"/>
      <c r="AR823" s="17" t="str">
        <f t="shared" si="270"/>
        <v>-</v>
      </c>
      <c r="AS823" s="17" t="str">
        <f t="shared" si="271"/>
        <v>-</v>
      </c>
      <c r="AT823" s="13" t="str">
        <f t="shared" si="272"/>
        <v>-</v>
      </c>
      <c r="AU823" s="8"/>
    </row>
    <row r="824" spans="1:47" x14ac:dyDescent="0.25">
      <c r="A824" s="31"/>
      <c r="B824" s="31"/>
      <c r="C824"/>
      <c r="D824" s="31"/>
      <c r="E824" s="31"/>
      <c r="F824" s="31"/>
      <c r="G824" s="31"/>
      <c r="H824" s="27">
        <f>IF($G824&lt;&gt;0,SUMIF(куб!$G:$G,$G824,куб!H:H),IF($E824&lt;&gt;0,SUMIF(куб!$E:$E,$E824,куб!H:H),IF($D824&lt;&gt;0,SUMIF(куб!$D:$D,$D824,куб!H:H),IF($C824&lt;&gt;0,SUMIF(куб!$C:$C,$C824,куб!H:H),IF($B824&lt;&gt;0,SUMIF(куб!$B:$B,$B824,куб!H:H),IF($G824&lt;&gt;0,SUMIF(куб!$A:$A,$G824,куб!H:H),SUMIF(куб!$A:$A,$G824,куб!H:H)))))))</f>
        <v>0</v>
      </c>
      <c r="I824" s="27">
        <f>IF($G824&lt;&gt;0,SUMIF(куб!$G:$G,$G824,куб!I:I),IF($E824&lt;&gt;0,SUMIF(куб!$E:$E,$E824,куб!I:I),IF($D824&lt;&gt;0,SUMIF(куб!$D:$D,$D824,куб!I:I),IF($C824&lt;&gt;0,SUMIF(куб!$C:$C,$C824,куб!I:I),IF($B824&lt;&gt;0,SUMIF(куб!$B:$B,$B824,куб!I:I),IF($G824&lt;&gt;0,SUMIF(куб!$A:$A,$G824,куб!I:I),SUMIF(куб!$A:$A,$G824,куб!I:I)))))))</f>
        <v>0</v>
      </c>
      <c r="J824" s="19" t="str">
        <f t="shared" ref="J824:J887" si="273">IFERROR((I824-H824)/ABS(H824),"-")</f>
        <v>-</v>
      </c>
      <c r="K824" s="8"/>
      <c r="L824" s="17">
        <f t="shared" ref="L824:L887" si="274">H824/$H$3</f>
        <v>0</v>
      </c>
      <c r="M824" s="17">
        <f t="shared" ref="M824:M887" si="275">I824/$I$3</f>
        <v>0</v>
      </c>
      <c r="N824" s="12">
        <f t="shared" ref="N824:N887" si="276">M824-L824</f>
        <v>0</v>
      </c>
      <c r="O824" s="5"/>
      <c r="P824" s="27" t="b">
        <f>IF($G824&lt;&gt;0,SUMIF(куб!$G:$G,$G824,куб!J:J),IF($E824&lt;&gt;0,SUMIF(куб!$E:$E,$E824,куб!J:J),IF($D824&lt;&gt;0,SUMIF(куб!$D:$D,$D824,куб!J:J),IF($C824&lt;&gt;0,SUMIF(куб!$C:$C,$C824,куб!J:J),IF($B824&lt;&gt;0,SUMIF(куб!$B:$B,$B824,куб!J:J))))))</f>
        <v>0</v>
      </c>
      <c r="Q824" s="27" t="b">
        <f>IF($G824&lt;&gt;0,SUMIF(куб!$G:$G,$G824,куб!K:K),IF($E824&lt;&gt;0,SUMIF(куб!$E:$E,$E824,куб!K:K),IF($D824&lt;&gt;0,SUMIF(куб!$D:$D,$D824,куб!K:K),IF($C824&lt;&gt;0,SUMIF(куб!$C:$C,$C824,куб!K:K),IF($B824&lt;&gt;0,SUMIF(куб!$B:$B,$B824,куб!K:K))))))</f>
        <v>0</v>
      </c>
      <c r="R824" s="13" t="str">
        <f t="shared" ref="R824:R887" si="277">IFERROR((Q824-P824)/ABS(P824),"-")</f>
        <v>-</v>
      </c>
      <c r="S824" s="5"/>
      <c r="T824" s="27" t="b">
        <f>IF($G824&lt;&gt;0,SUMIF(куб!$G:$G,$G824,куб!L:L),IF($E824&lt;&gt;0,SUMIF(куб!$E:$E,$E824,куб!L:L),IF($D824&lt;&gt;0,SUMIF(куб!$D:$D,$D824,куб!L:L),IF($C824&lt;&gt;0,SUMIF(куб!$C:$C,$C824,куб!L:L),IF($B824&lt;&gt;0,SUMIF(куб!$B:$B,$B824,куб!L:L))))))</f>
        <v>0</v>
      </c>
      <c r="U824" s="27" t="b">
        <f>IF($G824&lt;&gt;0,SUMIF(куб!$G:$G,$G824,куб!M:M),IF($E824&lt;&gt;0,SUMIF(куб!$E:$E,$E824,куб!M:M),IF($D824&lt;&gt;0,SUMIF(куб!$D:$D,$D824,куб!M:M),IF($C824&lt;&gt;0,SUMIF(куб!$C:$C,$C824,куб!M:M),IF($B824&lt;&gt;0,SUMIF(куб!$B:$B,$B824,куб!M:M))))))</f>
        <v>0</v>
      </c>
      <c r="V824" s="13" t="str">
        <f t="shared" ref="V824:V887" si="278">IFERROR((U824-T824)/ABS(T824),"-")</f>
        <v>-</v>
      </c>
      <c r="W824" s="5"/>
      <c r="X824" s="27" t="b">
        <f>IF($G824&lt;&gt;0,SUMIF(куб!$G:$G,$G824,куб!N:N),IF($E824&lt;&gt;0,SUMIF(куб!$E:$E,$E824,куб!N:N),IF($D824&lt;&gt;0,SUMIF(куб!$D:$D,$D824,куб!N:N),IF($C824&lt;&gt;0,SUMIF(куб!$C:$C,$C824,куб!N:N),IF($B824&lt;&gt;0,SUMIF(куб!$B:$B,$B824,куб!N:N))))))</f>
        <v>0</v>
      </c>
      <c r="Y824" s="27" t="b">
        <f>IF($G824&lt;&gt;0,SUMIF(куб!$G:$G,$G824,куб!O:O),IF($E824&lt;&gt;0,SUMIF(куб!$E:$E,$E824,куб!O:O),IF($D824&lt;&gt;0,SUMIF(куб!$D:$D,$D824,куб!O:O),IF($C824&lt;&gt;0,SUMIF(куб!$C:$C,$C824,куб!O:O),IF($B824&lt;&gt;0,SUMIF(куб!$B:$B,$B824,куб!O:O))))))</f>
        <v>0</v>
      </c>
      <c r="Z824" s="13" t="str">
        <f t="shared" ref="Z824:Z887" si="279">IFERROR((Y824-X824)/ABS(X824),"-")</f>
        <v>-</v>
      </c>
      <c r="AA824" s="5"/>
      <c r="AB824" s="33" t="str">
        <f t="shared" ref="AB824:AB887" si="280">IFERROR(X824/H824,"")</f>
        <v/>
      </c>
      <c r="AC824" s="33" t="str">
        <f t="shared" ref="AC824:AC887" si="281">IFERROR(Y824/I824,"")</f>
        <v/>
      </c>
      <c r="AD824" s="15" t="str">
        <f t="shared" ref="AD824:AD887" si="282">IFERROR(AC824-AB824," ")</f>
        <v xml:space="preserve"> </v>
      </c>
      <c r="AE824" s="5"/>
      <c r="AF824" s="27" t="b">
        <f>IF($G824&lt;&gt;0,SUMIF(куб!$G:$G,$G824,куб!R:R),IF($E824&lt;&gt;0,SUMIF(куб!$E:$E,$E824,куб!R:R),IF($D824&lt;&gt;0,SUMIF(куб!$D:$D,$D824,куб!R:R),IF($C824&lt;&gt;0,SUMIF(куб!$C:$C,$C824,куб!R:R),IF($B824&lt;&gt;0,SUMIF(куб!$B:$B,$B824,куб!R:R))))))</f>
        <v>0</v>
      </c>
      <c r="AG824" s="27" t="b">
        <f>IF($G824&lt;&gt;0,SUMIF(куб!$G:$G,$G824,куб!S:S),IF($E824&lt;&gt;0,SUMIF(куб!$E:$E,$E824,куб!S:S),IF($D824&lt;&gt;0,SUMIF(куб!$D:$D,$D824,куб!S:S),IF($C824&lt;&gt;0,SUMIF(куб!$C:$C,$C824,куб!S:S),IF($B824&lt;&gt;0,SUMIF(куб!$B:$B,$B824,куб!S:S))))))</f>
        <v>0</v>
      </c>
      <c r="AH824" s="16" t="str">
        <f t="shared" ref="AH824:AH887" si="283">IFERROR((AG824-AF824)/ABS(AF824),"-")</f>
        <v>-</v>
      </c>
      <c r="AI824" s="8"/>
      <c r="AJ824" s="27" t="b">
        <f>IF($G824&lt;&gt;0,SUMIF(куб!$G:$G,$G824,куб!T:T),IF($E824&lt;&gt;0,SUMIF(куб!$E:$E,$E824,куб!T:T),IF($D824&lt;&gt;0,SUMIF(куб!$D:$D,$D824,куб!T:T),IF($C824&lt;&gt;0,SUMIF(куб!$C:$C,$C824,куб!T:T),IF($B824&lt;&gt;0,SUMIF(куб!$B:$B,$B824,куб!T:T))))))</f>
        <v>0</v>
      </c>
      <c r="AK824" s="27" t="b">
        <f>IF($G824&lt;&gt;0,SUMIF(куб!$G:$G,$G824,куб!U:U),IF($E824&lt;&gt;0,SUMIF(куб!$E:$E,$E824,куб!U:U),IF($D824&lt;&gt;0,SUMIF(куб!$D:$D,$D824,куб!U:U),IF($C824&lt;&gt;0,SUMIF(куб!$C:$C,$C824,куб!U:U),IF($B824&lt;&gt;0,SUMIF(куб!$B:$B,$B824,куб!U:U))))))</f>
        <v>0</v>
      </c>
      <c r="AL824" s="16" t="str">
        <f t="shared" ref="AL824:AL887" si="284">IFERROR((AK824-AJ824)/ABS(AJ824),"-")</f>
        <v>-</v>
      </c>
      <c r="AM824" s="8"/>
      <c r="AN824" s="17" t="str">
        <f t="shared" ref="AN824:AN887" si="285">IFERROR(AF824/H824," ")</f>
        <v xml:space="preserve"> </v>
      </c>
      <c r="AO824" s="17" t="str">
        <f t="shared" ref="AO824:AO887" si="286">IFERROR(AG824/I824," ")</f>
        <v xml:space="preserve"> </v>
      </c>
      <c r="AP824" s="16" t="str">
        <f t="shared" ref="AP824:AP887" si="287">IFERROR(AO824-AN824,"-")</f>
        <v>-</v>
      </c>
      <c r="AQ824" s="8"/>
      <c r="AR824" s="17" t="str">
        <f t="shared" ref="AR824:AR887" si="288">IFERROR((X824-AF824)/H824,"-")</f>
        <v>-</v>
      </c>
      <c r="AS824" s="17" t="str">
        <f t="shared" ref="AS824:AS887" si="289">IFERROR((Y824-AG824)/I824,"-")</f>
        <v>-</v>
      </c>
      <c r="AT824" s="13" t="str">
        <f t="shared" ref="AT824:AT887" si="290">IFERROR(AS824-AR824,"-")</f>
        <v>-</v>
      </c>
      <c r="AU824" s="8"/>
    </row>
    <row r="825" spans="1:47" x14ac:dyDescent="0.25">
      <c r="A825" s="31"/>
      <c r="B825" s="31"/>
      <c r="C825"/>
      <c r="D825" s="31"/>
      <c r="E825"/>
      <c r="F825" s="31"/>
      <c r="G825"/>
      <c r="H825" s="27">
        <f>IF($G825&lt;&gt;0,SUMIF(куб!$G:$G,$G825,куб!H:H),IF($E825&lt;&gt;0,SUMIF(куб!$E:$E,$E825,куб!H:H),IF($D825&lt;&gt;0,SUMIF(куб!$D:$D,$D825,куб!H:H),IF($C825&lt;&gt;0,SUMIF(куб!$C:$C,$C825,куб!H:H),IF($B825&lt;&gt;0,SUMIF(куб!$B:$B,$B825,куб!H:H),IF($G825&lt;&gt;0,SUMIF(куб!$A:$A,$G825,куб!H:H),SUMIF(куб!$A:$A,$G825,куб!H:H)))))))</f>
        <v>0</v>
      </c>
      <c r="I825" s="27">
        <f>IF($G825&lt;&gt;0,SUMIF(куб!$G:$G,$G825,куб!I:I),IF($E825&lt;&gt;0,SUMIF(куб!$E:$E,$E825,куб!I:I),IF($D825&lt;&gt;0,SUMIF(куб!$D:$D,$D825,куб!I:I),IF($C825&lt;&gt;0,SUMIF(куб!$C:$C,$C825,куб!I:I),IF($B825&lt;&gt;0,SUMIF(куб!$B:$B,$B825,куб!I:I),IF($G825&lt;&gt;0,SUMIF(куб!$A:$A,$G825,куб!I:I),SUMIF(куб!$A:$A,$G825,куб!I:I)))))))</f>
        <v>0</v>
      </c>
      <c r="J825" s="19" t="str">
        <f t="shared" si="273"/>
        <v>-</v>
      </c>
      <c r="K825" s="8"/>
      <c r="L825" s="17">
        <f t="shared" si="274"/>
        <v>0</v>
      </c>
      <c r="M825" s="17">
        <f t="shared" si="275"/>
        <v>0</v>
      </c>
      <c r="N825" s="12">
        <f t="shared" si="276"/>
        <v>0</v>
      </c>
      <c r="O825" s="5"/>
      <c r="P825" s="27" t="b">
        <f>IF($G825&lt;&gt;0,SUMIF(куб!$G:$G,$G825,куб!J:J),IF($E825&lt;&gt;0,SUMIF(куб!$E:$E,$E825,куб!J:J),IF($D825&lt;&gt;0,SUMIF(куб!$D:$D,$D825,куб!J:J),IF($C825&lt;&gt;0,SUMIF(куб!$C:$C,$C825,куб!J:J),IF($B825&lt;&gt;0,SUMIF(куб!$B:$B,$B825,куб!J:J))))))</f>
        <v>0</v>
      </c>
      <c r="Q825" s="27" t="b">
        <f>IF($G825&lt;&gt;0,SUMIF(куб!$G:$G,$G825,куб!K:K),IF($E825&lt;&gt;0,SUMIF(куб!$E:$E,$E825,куб!K:K),IF($D825&lt;&gt;0,SUMIF(куб!$D:$D,$D825,куб!K:K),IF($C825&lt;&gt;0,SUMIF(куб!$C:$C,$C825,куб!K:K),IF($B825&lt;&gt;0,SUMIF(куб!$B:$B,$B825,куб!K:K))))))</f>
        <v>0</v>
      </c>
      <c r="R825" s="13" t="str">
        <f t="shared" si="277"/>
        <v>-</v>
      </c>
      <c r="S825" s="5"/>
      <c r="T825" s="27" t="b">
        <f>IF($G825&lt;&gt;0,SUMIF(куб!$G:$G,$G825,куб!L:L),IF($E825&lt;&gt;0,SUMIF(куб!$E:$E,$E825,куб!L:L),IF($D825&lt;&gt;0,SUMIF(куб!$D:$D,$D825,куб!L:L),IF($C825&lt;&gt;0,SUMIF(куб!$C:$C,$C825,куб!L:L),IF($B825&lt;&gt;0,SUMIF(куб!$B:$B,$B825,куб!L:L))))))</f>
        <v>0</v>
      </c>
      <c r="U825" s="27" t="b">
        <f>IF($G825&lt;&gt;0,SUMIF(куб!$G:$G,$G825,куб!M:M),IF($E825&lt;&gt;0,SUMIF(куб!$E:$E,$E825,куб!M:M),IF($D825&lt;&gt;0,SUMIF(куб!$D:$D,$D825,куб!M:M),IF($C825&lt;&gt;0,SUMIF(куб!$C:$C,$C825,куб!M:M),IF($B825&lt;&gt;0,SUMIF(куб!$B:$B,$B825,куб!M:M))))))</f>
        <v>0</v>
      </c>
      <c r="V825" s="13" t="str">
        <f t="shared" si="278"/>
        <v>-</v>
      </c>
      <c r="W825" s="5"/>
      <c r="X825" s="27" t="b">
        <f>IF($G825&lt;&gt;0,SUMIF(куб!$G:$G,$G825,куб!N:N),IF($E825&lt;&gt;0,SUMIF(куб!$E:$E,$E825,куб!N:N),IF($D825&lt;&gt;0,SUMIF(куб!$D:$D,$D825,куб!N:N),IF($C825&lt;&gt;0,SUMIF(куб!$C:$C,$C825,куб!N:N),IF($B825&lt;&gt;0,SUMIF(куб!$B:$B,$B825,куб!N:N))))))</f>
        <v>0</v>
      </c>
      <c r="Y825" s="27" t="b">
        <f>IF($G825&lt;&gt;0,SUMIF(куб!$G:$G,$G825,куб!O:O),IF($E825&lt;&gt;0,SUMIF(куб!$E:$E,$E825,куб!O:O),IF($D825&lt;&gt;0,SUMIF(куб!$D:$D,$D825,куб!O:O),IF($C825&lt;&gt;0,SUMIF(куб!$C:$C,$C825,куб!O:O),IF($B825&lt;&gt;0,SUMIF(куб!$B:$B,$B825,куб!O:O))))))</f>
        <v>0</v>
      </c>
      <c r="Z825" s="13" t="str">
        <f t="shared" si="279"/>
        <v>-</v>
      </c>
      <c r="AA825" s="5"/>
      <c r="AB825" s="33" t="str">
        <f t="shared" si="280"/>
        <v/>
      </c>
      <c r="AC825" s="33" t="str">
        <f t="shared" si="281"/>
        <v/>
      </c>
      <c r="AD825" s="15" t="str">
        <f t="shared" si="282"/>
        <v xml:space="preserve"> </v>
      </c>
      <c r="AE825" s="5"/>
      <c r="AF825" s="27" t="b">
        <f>IF($G825&lt;&gt;0,SUMIF(куб!$G:$G,$G825,куб!R:R),IF($E825&lt;&gt;0,SUMIF(куб!$E:$E,$E825,куб!R:R),IF($D825&lt;&gt;0,SUMIF(куб!$D:$D,$D825,куб!R:R),IF($C825&lt;&gt;0,SUMIF(куб!$C:$C,$C825,куб!R:R),IF($B825&lt;&gt;0,SUMIF(куб!$B:$B,$B825,куб!R:R))))))</f>
        <v>0</v>
      </c>
      <c r="AG825" s="27" t="b">
        <f>IF($G825&lt;&gt;0,SUMIF(куб!$G:$G,$G825,куб!S:S),IF($E825&lt;&gt;0,SUMIF(куб!$E:$E,$E825,куб!S:S),IF($D825&lt;&gt;0,SUMIF(куб!$D:$D,$D825,куб!S:S),IF($C825&lt;&gt;0,SUMIF(куб!$C:$C,$C825,куб!S:S),IF($B825&lt;&gt;0,SUMIF(куб!$B:$B,$B825,куб!S:S))))))</f>
        <v>0</v>
      </c>
      <c r="AH825" s="16" t="str">
        <f t="shared" si="283"/>
        <v>-</v>
      </c>
      <c r="AI825" s="8"/>
      <c r="AJ825" s="27" t="b">
        <f>IF($G825&lt;&gt;0,SUMIF(куб!$G:$G,$G825,куб!T:T),IF($E825&lt;&gt;0,SUMIF(куб!$E:$E,$E825,куб!T:T),IF($D825&lt;&gt;0,SUMIF(куб!$D:$D,$D825,куб!T:T),IF($C825&lt;&gt;0,SUMIF(куб!$C:$C,$C825,куб!T:T),IF($B825&lt;&gt;0,SUMIF(куб!$B:$B,$B825,куб!T:T))))))</f>
        <v>0</v>
      </c>
      <c r="AK825" s="27" t="b">
        <f>IF($G825&lt;&gt;0,SUMIF(куб!$G:$G,$G825,куб!U:U),IF($E825&lt;&gt;0,SUMIF(куб!$E:$E,$E825,куб!U:U),IF($D825&lt;&gt;0,SUMIF(куб!$D:$D,$D825,куб!U:U),IF($C825&lt;&gt;0,SUMIF(куб!$C:$C,$C825,куб!U:U),IF($B825&lt;&gt;0,SUMIF(куб!$B:$B,$B825,куб!U:U))))))</f>
        <v>0</v>
      </c>
      <c r="AL825" s="16" t="str">
        <f t="shared" si="284"/>
        <v>-</v>
      </c>
      <c r="AM825" s="8"/>
      <c r="AN825" s="17" t="str">
        <f t="shared" si="285"/>
        <v xml:space="preserve"> </v>
      </c>
      <c r="AO825" s="17" t="str">
        <f t="shared" si="286"/>
        <v xml:space="preserve"> </v>
      </c>
      <c r="AP825" s="16" t="str">
        <f t="shared" si="287"/>
        <v>-</v>
      </c>
      <c r="AQ825" s="8"/>
      <c r="AR825" s="17" t="str">
        <f t="shared" si="288"/>
        <v>-</v>
      </c>
      <c r="AS825" s="17" t="str">
        <f t="shared" si="289"/>
        <v>-</v>
      </c>
      <c r="AT825" s="13" t="str">
        <f t="shared" si="290"/>
        <v>-</v>
      </c>
      <c r="AU825" s="8"/>
    </row>
    <row r="826" spans="1:47" x14ac:dyDescent="0.25">
      <c r="A826" s="31"/>
      <c r="B826" s="31"/>
      <c r="C826"/>
      <c r="D826" s="31"/>
      <c r="E826"/>
      <c r="F826" s="31"/>
      <c r="G826"/>
      <c r="H826" s="27">
        <f>IF($G826&lt;&gt;0,SUMIF(куб!$G:$G,$G826,куб!H:H),IF($E826&lt;&gt;0,SUMIF(куб!$E:$E,$E826,куб!H:H),IF($D826&lt;&gt;0,SUMIF(куб!$D:$D,$D826,куб!H:H),IF($C826&lt;&gt;0,SUMIF(куб!$C:$C,$C826,куб!H:H),IF($B826&lt;&gt;0,SUMIF(куб!$B:$B,$B826,куб!H:H),IF($G826&lt;&gt;0,SUMIF(куб!$A:$A,$G826,куб!H:H),SUMIF(куб!$A:$A,$G826,куб!H:H)))))))</f>
        <v>0</v>
      </c>
      <c r="I826" s="27">
        <f>IF($G826&lt;&gt;0,SUMIF(куб!$G:$G,$G826,куб!I:I),IF($E826&lt;&gt;0,SUMIF(куб!$E:$E,$E826,куб!I:I),IF($D826&lt;&gt;0,SUMIF(куб!$D:$D,$D826,куб!I:I),IF($C826&lt;&gt;0,SUMIF(куб!$C:$C,$C826,куб!I:I),IF($B826&lt;&gt;0,SUMIF(куб!$B:$B,$B826,куб!I:I),IF($G826&lt;&gt;0,SUMIF(куб!$A:$A,$G826,куб!I:I),SUMIF(куб!$A:$A,$G826,куб!I:I)))))))</f>
        <v>0</v>
      </c>
      <c r="J826" s="19" t="str">
        <f t="shared" si="273"/>
        <v>-</v>
      </c>
      <c r="K826" s="8"/>
      <c r="L826" s="17">
        <f t="shared" si="274"/>
        <v>0</v>
      </c>
      <c r="M826" s="17">
        <f t="shared" si="275"/>
        <v>0</v>
      </c>
      <c r="N826" s="12">
        <f t="shared" si="276"/>
        <v>0</v>
      </c>
      <c r="O826" s="5"/>
      <c r="P826" s="27" t="b">
        <f>IF($G826&lt;&gt;0,SUMIF(куб!$G:$G,$G826,куб!J:J),IF($E826&lt;&gt;0,SUMIF(куб!$E:$E,$E826,куб!J:J),IF($D826&lt;&gt;0,SUMIF(куб!$D:$D,$D826,куб!J:J),IF($C826&lt;&gt;0,SUMIF(куб!$C:$C,$C826,куб!J:J),IF($B826&lt;&gt;0,SUMIF(куб!$B:$B,$B826,куб!J:J))))))</f>
        <v>0</v>
      </c>
      <c r="Q826" s="27" t="b">
        <f>IF($G826&lt;&gt;0,SUMIF(куб!$G:$G,$G826,куб!K:K),IF($E826&lt;&gt;0,SUMIF(куб!$E:$E,$E826,куб!K:K),IF($D826&lt;&gt;0,SUMIF(куб!$D:$D,$D826,куб!K:K),IF($C826&lt;&gt;0,SUMIF(куб!$C:$C,$C826,куб!K:K),IF($B826&lt;&gt;0,SUMIF(куб!$B:$B,$B826,куб!K:K))))))</f>
        <v>0</v>
      </c>
      <c r="R826" s="13" t="str">
        <f t="shared" si="277"/>
        <v>-</v>
      </c>
      <c r="S826" s="5"/>
      <c r="T826" s="27" t="b">
        <f>IF($G826&lt;&gt;0,SUMIF(куб!$G:$G,$G826,куб!L:L),IF($E826&lt;&gt;0,SUMIF(куб!$E:$E,$E826,куб!L:L),IF($D826&lt;&gt;0,SUMIF(куб!$D:$D,$D826,куб!L:L),IF($C826&lt;&gt;0,SUMIF(куб!$C:$C,$C826,куб!L:L),IF($B826&lt;&gt;0,SUMIF(куб!$B:$B,$B826,куб!L:L))))))</f>
        <v>0</v>
      </c>
      <c r="U826" s="27" t="b">
        <f>IF($G826&lt;&gt;0,SUMIF(куб!$G:$G,$G826,куб!M:M),IF($E826&lt;&gt;0,SUMIF(куб!$E:$E,$E826,куб!M:M),IF($D826&lt;&gt;0,SUMIF(куб!$D:$D,$D826,куб!M:M),IF($C826&lt;&gt;0,SUMIF(куб!$C:$C,$C826,куб!M:M),IF($B826&lt;&gt;0,SUMIF(куб!$B:$B,$B826,куб!M:M))))))</f>
        <v>0</v>
      </c>
      <c r="V826" s="13" t="str">
        <f t="shared" si="278"/>
        <v>-</v>
      </c>
      <c r="W826" s="5"/>
      <c r="X826" s="27" t="b">
        <f>IF($G826&lt;&gt;0,SUMIF(куб!$G:$G,$G826,куб!N:N),IF($E826&lt;&gt;0,SUMIF(куб!$E:$E,$E826,куб!N:N),IF($D826&lt;&gt;0,SUMIF(куб!$D:$D,$D826,куб!N:N),IF($C826&lt;&gt;0,SUMIF(куб!$C:$C,$C826,куб!N:N),IF($B826&lt;&gt;0,SUMIF(куб!$B:$B,$B826,куб!N:N))))))</f>
        <v>0</v>
      </c>
      <c r="Y826" s="27" t="b">
        <f>IF($G826&lt;&gt;0,SUMIF(куб!$G:$G,$G826,куб!O:O),IF($E826&lt;&gt;0,SUMIF(куб!$E:$E,$E826,куб!O:O),IF($D826&lt;&gt;0,SUMIF(куб!$D:$D,$D826,куб!O:O),IF($C826&lt;&gt;0,SUMIF(куб!$C:$C,$C826,куб!O:O),IF($B826&lt;&gt;0,SUMIF(куб!$B:$B,$B826,куб!O:O))))))</f>
        <v>0</v>
      </c>
      <c r="Z826" s="13" t="str">
        <f t="shared" si="279"/>
        <v>-</v>
      </c>
      <c r="AA826" s="5"/>
      <c r="AB826" s="33" t="str">
        <f t="shared" si="280"/>
        <v/>
      </c>
      <c r="AC826" s="33" t="str">
        <f t="shared" si="281"/>
        <v/>
      </c>
      <c r="AD826" s="15" t="str">
        <f t="shared" si="282"/>
        <v xml:space="preserve"> </v>
      </c>
      <c r="AE826" s="5"/>
      <c r="AF826" s="27" t="b">
        <f>IF($G826&lt;&gt;0,SUMIF(куб!$G:$G,$G826,куб!R:R),IF($E826&lt;&gt;0,SUMIF(куб!$E:$E,$E826,куб!R:R),IF($D826&lt;&gt;0,SUMIF(куб!$D:$D,$D826,куб!R:R),IF($C826&lt;&gt;0,SUMIF(куб!$C:$C,$C826,куб!R:R),IF($B826&lt;&gt;0,SUMIF(куб!$B:$B,$B826,куб!R:R))))))</f>
        <v>0</v>
      </c>
      <c r="AG826" s="27" t="b">
        <f>IF($G826&lt;&gt;0,SUMIF(куб!$G:$G,$G826,куб!S:S),IF($E826&lt;&gt;0,SUMIF(куб!$E:$E,$E826,куб!S:S),IF($D826&lt;&gt;0,SUMIF(куб!$D:$D,$D826,куб!S:S),IF($C826&lt;&gt;0,SUMIF(куб!$C:$C,$C826,куб!S:S),IF($B826&lt;&gt;0,SUMIF(куб!$B:$B,$B826,куб!S:S))))))</f>
        <v>0</v>
      </c>
      <c r="AH826" s="16" t="str">
        <f t="shared" si="283"/>
        <v>-</v>
      </c>
      <c r="AI826" s="8"/>
      <c r="AJ826" s="27" t="b">
        <f>IF($G826&lt;&gt;0,SUMIF(куб!$G:$G,$G826,куб!T:T),IF($E826&lt;&gt;0,SUMIF(куб!$E:$E,$E826,куб!T:T),IF($D826&lt;&gt;0,SUMIF(куб!$D:$D,$D826,куб!T:T),IF($C826&lt;&gt;0,SUMIF(куб!$C:$C,$C826,куб!T:T),IF($B826&lt;&gt;0,SUMIF(куб!$B:$B,$B826,куб!T:T))))))</f>
        <v>0</v>
      </c>
      <c r="AK826" s="27" t="b">
        <f>IF($G826&lt;&gt;0,SUMIF(куб!$G:$G,$G826,куб!U:U),IF($E826&lt;&gt;0,SUMIF(куб!$E:$E,$E826,куб!U:U),IF($D826&lt;&gt;0,SUMIF(куб!$D:$D,$D826,куб!U:U),IF($C826&lt;&gt;0,SUMIF(куб!$C:$C,$C826,куб!U:U),IF($B826&lt;&gt;0,SUMIF(куб!$B:$B,$B826,куб!U:U))))))</f>
        <v>0</v>
      </c>
      <c r="AL826" s="16" t="str">
        <f t="shared" si="284"/>
        <v>-</v>
      </c>
      <c r="AM826" s="8"/>
      <c r="AN826" s="17" t="str">
        <f t="shared" si="285"/>
        <v xml:space="preserve"> </v>
      </c>
      <c r="AO826" s="17" t="str">
        <f t="shared" si="286"/>
        <v xml:space="preserve"> </v>
      </c>
      <c r="AP826" s="16" t="str">
        <f t="shared" si="287"/>
        <v>-</v>
      </c>
      <c r="AQ826" s="8"/>
      <c r="AR826" s="17" t="str">
        <f t="shared" si="288"/>
        <v>-</v>
      </c>
      <c r="AS826" s="17" t="str">
        <f t="shared" si="289"/>
        <v>-</v>
      </c>
      <c r="AT826" s="13" t="str">
        <f t="shared" si="290"/>
        <v>-</v>
      </c>
      <c r="AU826" s="8"/>
    </row>
    <row r="827" spans="1:47" x14ac:dyDescent="0.25">
      <c r="A827" s="31"/>
      <c r="B827" s="31"/>
      <c r="C827"/>
      <c r="D827" s="31"/>
      <c r="E827"/>
      <c r="F827" s="31"/>
      <c r="G827"/>
      <c r="H827" s="27">
        <f>IF($G827&lt;&gt;0,SUMIF(куб!$G:$G,$G827,куб!H:H),IF($E827&lt;&gt;0,SUMIF(куб!$E:$E,$E827,куб!H:H),IF($D827&lt;&gt;0,SUMIF(куб!$D:$D,$D827,куб!H:H),IF($C827&lt;&gt;0,SUMIF(куб!$C:$C,$C827,куб!H:H),IF($B827&lt;&gt;0,SUMIF(куб!$B:$B,$B827,куб!H:H),IF($G827&lt;&gt;0,SUMIF(куб!$A:$A,$G827,куб!H:H),SUMIF(куб!$A:$A,$G827,куб!H:H)))))))</f>
        <v>0</v>
      </c>
      <c r="I827" s="27">
        <f>IF($G827&lt;&gt;0,SUMIF(куб!$G:$G,$G827,куб!I:I),IF($E827&lt;&gt;0,SUMIF(куб!$E:$E,$E827,куб!I:I),IF($D827&lt;&gt;0,SUMIF(куб!$D:$D,$D827,куб!I:I),IF($C827&lt;&gt;0,SUMIF(куб!$C:$C,$C827,куб!I:I),IF($B827&lt;&gt;0,SUMIF(куб!$B:$B,$B827,куб!I:I),IF($G827&lt;&gt;0,SUMIF(куб!$A:$A,$G827,куб!I:I),SUMIF(куб!$A:$A,$G827,куб!I:I)))))))</f>
        <v>0</v>
      </c>
      <c r="J827" s="19" t="str">
        <f t="shared" si="273"/>
        <v>-</v>
      </c>
      <c r="K827" s="8"/>
      <c r="L827" s="17">
        <f t="shared" si="274"/>
        <v>0</v>
      </c>
      <c r="M827" s="17">
        <f t="shared" si="275"/>
        <v>0</v>
      </c>
      <c r="N827" s="12">
        <f t="shared" si="276"/>
        <v>0</v>
      </c>
      <c r="O827" s="5"/>
      <c r="P827" s="27" t="b">
        <f>IF($G827&lt;&gt;0,SUMIF(куб!$G:$G,$G827,куб!J:J),IF($E827&lt;&gt;0,SUMIF(куб!$E:$E,$E827,куб!J:J),IF($D827&lt;&gt;0,SUMIF(куб!$D:$D,$D827,куб!J:J),IF($C827&lt;&gt;0,SUMIF(куб!$C:$C,$C827,куб!J:J),IF($B827&lt;&gt;0,SUMIF(куб!$B:$B,$B827,куб!J:J))))))</f>
        <v>0</v>
      </c>
      <c r="Q827" s="27" t="b">
        <f>IF($G827&lt;&gt;0,SUMIF(куб!$G:$G,$G827,куб!K:K),IF($E827&lt;&gt;0,SUMIF(куб!$E:$E,$E827,куб!K:K),IF($D827&lt;&gt;0,SUMIF(куб!$D:$D,$D827,куб!K:K),IF($C827&lt;&gt;0,SUMIF(куб!$C:$C,$C827,куб!K:K),IF($B827&lt;&gt;0,SUMIF(куб!$B:$B,$B827,куб!K:K))))))</f>
        <v>0</v>
      </c>
      <c r="R827" s="13" t="str">
        <f t="shared" si="277"/>
        <v>-</v>
      </c>
      <c r="S827" s="5"/>
      <c r="T827" s="27" t="b">
        <f>IF($G827&lt;&gt;0,SUMIF(куб!$G:$G,$G827,куб!L:L),IF($E827&lt;&gt;0,SUMIF(куб!$E:$E,$E827,куб!L:L),IF($D827&lt;&gt;0,SUMIF(куб!$D:$D,$D827,куб!L:L),IF($C827&lt;&gt;0,SUMIF(куб!$C:$C,$C827,куб!L:L),IF($B827&lt;&gt;0,SUMIF(куб!$B:$B,$B827,куб!L:L))))))</f>
        <v>0</v>
      </c>
      <c r="U827" s="27" t="b">
        <f>IF($G827&lt;&gt;0,SUMIF(куб!$G:$G,$G827,куб!M:M),IF($E827&lt;&gt;0,SUMIF(куб!$E:$E,$E827,куб!M:M),IF($D827&lt;&gt;0,SUMIF(куб!$D:$D,$D827,куб!M:M),IF($C827&lt;&gt;0,SUMIF(куб!$C:$C,$C827,куб!M:M),IF($B827&lt;&gt;0,SUMIF(куб!$B:$B,$B827,куб!M:M))))))</f>
        <v>0</v>
      </c>
      <c r="V827" s="13" t="str">
        <f t="shared" si="278"/>
        <v>-</v>
      </c>
      <c r="W827" s="5"/>
      <c r="X827" s="27" t="b">
        <f>IF($G827&lt;&gt;0,SUMIF(куб!$G:$G,$G827,куб!N:N),IF($E827&lt;&gt;0,SUMIF(куб!$E:$E,$E827,куб!N:N),IF($D827&lt;&gt;0,SUMIF(куб!$D:$D,$D827,куб!N:N),IF($C827&lt;&gt;0,SUMIF(куб!$C:$C,$C827,куб!N:N),IF($B827&lt;&gt;0,SUMIF(куб!$B:$B,$B827,куб!N:N))))))</f>
        <v>0</v>
      </c>
      <c r="Y827" s="27" t="b">
        <f>IF($G827&lt;&gt;0,SUMIF(куб!$G:$G,$G827,куб!O:O),IF($E827&lt;&gt;0,SUMIF(куб!$E:$E,$E827,куб!O:O),IF($D827&lt;&gt;0,SUMIF(куб!$D:$D,$D827,куб!O:O),IF($C827&lt;&gt;0,SUMIF(куб!$C:$C,$C827,куб!O:O),IF($B827&lt;&gt;0,SUMIF(куб!$B:$B,$B827,куб!O:O))))))</f>
        <v>0</v>
      </c>
      <c r="Z827" s="13" t="str">
        <f t="shared" si="279"/>
        <v>-</v>
      </c>
      <c r="AA827" s="5"/>
      <c r="AB827" s="33" t="str">
        <f t="shared" si="280"/>
        <v/>
      </c>
      <c r="AC827" s="33" t="str">
        <f t="shared" si="281"/>
        <v/>
      </c>
      <c r="AD827" s="15" t="str">
        <f t="shared" si="282"/>
        <v xml:space="preserve"> </v>
      </c>
      <c r="AE827" s="5"/>
      <c r="AF827" s="27" t="b">
        <f>IF($G827&lt;&gt;0,SUMIF(куб!$G:$G,$G827,куб!R:R),IF($E827&lt;&gt;0,SUMIF(куб!$E:$E,$E827,куб!R:R),IF($D827&lt;&gt;0,SUMIF(куб!$D:$D,$D827,куб!R:R),IF($C827&lt;&gt;0,SUMIF(куб!$C:$C,$C827,куб!R:R),IF($B827&lt;&gt;0,SUMIF(куб!$B:$B,$B827,куб!R:R))))))</f>
        <v>0</v>
      </c>
      <c r="AG827" s="27" t="b">
        <f>IF($G827&lt;&gt;0,SUMIF(куб!$G:$G,$G827,куб!S:S),IF($E827&lt;&gt;0,SUMIF(куб!$E:$E,$E827,куб!S:S),IF($D827&lt;&gt;0,SUMIF(куб!$D:$D,$D827,куб!S:S),IF($C827&lt;&gt;0,SUMIF(куб!$C:$C,$C827,куб!S:S),IF($B827&lt;&gt;0,SUMIF(куб!$B:$B,$B827,куб!S:S))))))</f>
        <v>0</v>
      </c>
      <c r="AH827" s="16" t="str">
        <f t="shared" si="283"/>
        <v>-</v>
      </c>
      <c r="AI827" s="8"/>
      <c r="AJ827" s="27" t="b">
        <f>IF($G827&lt;&gt;0,SUMIF(куб!$G:$G,$G827,куб!T:T),IF($E827&lt;&gt;0,SUMIF(куб!$E:$E,$E827,куб!T:T),IF($D827&lt;&gt;0,SUMIF(куб!$D:$D,$D827,куб!T:T),IF($C827&lt;&gt;0,SUMIF(куб!$C:$C,$C827,куб!T:T),IF($B827&lt;&gt;0,SUMIF(куб!$B:$B,$B827,куб!T:T))))))</f>
        <v>0</v>
      </c>
      <c r="AK827" s="27" t="b">
        <f>IF($G827&lt;&gt;0,SUMIF(куб!$G:$G,$G827,куб!U:U),IF($E827&lt;&gt;0,SUMIF(куб!$E:$E,$E827,куб!U:U),IF($D827&lt;&gt;0,SUMIF(куб!$D:$D,$D827,куб!U:U),IF($C827&lt;&gt;0,SUMIF(куб!$C:$C,$C827,куб!U:U),IF($B827&lt;&gt;0,SUMIF(куб!$B:$B,$B827,куб!U:U))))))</f>
        <v>0</v>
      </c>
      <c r="AL827" s="16" t="str">
        <f t="shared" si="284"/>
        <v>-</v>
      </c>
      <c r="AM827" s="8"/>
      <c r="AN827" s="17" t="str">
        <f t="shared" si="285"/>
        <v xml:space="preserve"> </v>
      </c>
      <c r="AO827" s="17" t="str">
        <f t="shared" si="286"/>
        <v xml:space="preserve"> </v>
      </c>
      <c r="AP827" s="16" t="str">
        <f t="shared" si="287"/>
        <v>-</v>
      </c>
      <c r="AQ827" s="8"/>
      <c r="AR827" s="17" t="str">
        <f t="shared" si="288"/>
        <v>-</v>
      </c>
      <c r="AS827" s="17" t="str">
        <f t="shared" si="289"/>
        <v>-</v>
      </c>
      <c r="AT827" s="13" t="str">
        <f t="shared" si="290"/>
        <v>-</v>
      </c>
      <c r="AU827" s="8"/>
    </row>
    <row r="828" spans="1:47" x14ac:dyDescent="0.25">
      <c r="A828" s="31"/>
      <c r="B828" s="31"/>
      <c r="C828"/>
      <c r="D828" s="31"/>
      <c r="E828"/>
      <c r="F828" s="31"/>
      <c r="G828"/>
      <c r="H828" s="27">
        <f>IF($G828&lt;&gt;0,SUMIF(куб!$G:$G,$G828,куб!H:H),IF($E828&lt;&gt;0,SUMIF(куб!$E:$E,$E828,куб!H:H),IF($D828&lt;&gt;0,SUMIF(куб!$D:$D,$D828,куб!H:H),IF($C828&lt;&gt;0,SUMIF(куб!$C:$C,$C828,куб!H:H),IF($B828&lt;&gt;0,SUMIF(куб!$B:$B,$B828,куб!H:H),IF($G828&lt;&gt;0,SUMIF(куб!$A:$A,$G828,куб!H:H),SUMIF(куб!$A:$A,$G828,куб!H:H)))))))</f>
        <v>0</v>
      </c>
      <c r="I828" s="27">
        <f>IF($G828&lt;&gt;0,SUMIF(куб!$G:$G,$G828,куб!I:I),IF($E828&lt;&gt;0,SUMIF(куб!$E:$E,$E828,куб!I:I),IF($D828&lt;&gt;0,SUMIF(куб!$D:$D,$D828,куб!I:I),IF($C828&lt;&gt;0,SUMIF(куб!$C:$C,$C828,куб!I:I),IF($B828&lt;&gt;0,SUMIF(куб!$B:$B,$B828,куб!I:I),IF($G828&lt;&gt;0,SUMIF(куб!$A:$A,$G828,куб!I:I),SUMIF(куб!$A:$A,$G828,куб!I:I)))))))</f>
        <v>0</v>
      </c>
      <c r="J828" s="19" t="str">
        <f t="shared" si="273"/>
        <v>-</v>
      </c>
      <c r="K828" s="8"/>
      <c r="L828" s="17">
        <f t="shared" si="274"/>
        <v>0</v>
      </c>
      <c r="M828" s="17">
        <f t="shared" si="275"/>
        <v>0</v>
      </c>
      <c r="N828" s="12">
        <f t="shared" si="276"/>
        <v>0</v>
      </c>
      <c r="O828" s="5"/>
      <c r="P828" s="27" t="b">
        <f>IF($G828&lt;&gt;0,SUMIF(куб!$G:$G,$G828,куб!J:J),IF($E828&lt;&gt;0,SUMIF(куб!$E:$E,$E828,куб!J:J),IF($D828&lt;&gt;0,SUMIF(куб!$D:$D,$D828,куб!J:J),IF($C828&lt;&gt;0,SUMIF(куб!$C:$C,$C828,куб!J:J),IF($B828&lt;&gt;0,SUMIF(куб!$B:$B,$B828,куб!J:J))))))</f>
        <v>0</v>
      </c>
      <c r="Q828" s="27" t="b">
        <f>IF($G828&lt;&gt;0,SUMIF(куб!$G:$G,$G828,куб!K:K),IF($E828&lt;&gt;0,SUMIF(куб!$E:$E,$E828,куб!K:K),IF($D828&lt;&gt;0,SUMIF(куб!$D:$D,$D828,куб!K:K),IF($C828&lt;&gt;0,SUMIF(куб!$C:$C,$C828,куб!K:K),IF($B828&lt;&gt;0,SUMIF(куб!$B:$B,$B828,куб!K:K))))))</f>
        <v>0</v>
      </c>
      <c r="R828" s="13" t="str">
        <f t="shared" si="277"/>
        <v>-</v>
      </c>
      <c r="S828" s="5"/>
      <c r="T828" s="27" t="b">
        <f>IF($G828&lt;&gt;0,SUMIF(куб!$G:$G,$G828,куб!L:L),IF($E828&lt;&gt;0,SUMIF(куб!$E:$E,$E828,куб!L:L),IF($D828&lt;&gt;0,SUMIF(куб!$D:$D,$D828,куб!L:L),IF($C828&lt;&gt;0,SUMIF(куб!$C:$C,$C828,куб!L:L),IF($B828&lt;&gt;0,SUMIF(куб!$B:$B,$B828,куб!L:L))))))</f>
        <v>0</v>
      </c>
      <c r="U828" s="27" t="b">
        <f>IF($G828&lt;&gt;0,SUMIF(куб!$G:$G,$G828,куб!M:M),IF($E828&lt;&gt;0,SUMIF(куб!$E:$E,$E828,куб!M:M),IF($D828&lt;&gt;0,SUMIF(куб!$D:$D,$D828,куб!M:M),IF($C828&lt;&gt;0,SUMIF(куб!$C:$C,$C828,куб!M:M),IF($B828&lt;&gt;0,SUMIF(куб!$B:$B,$B828,куб!M:M))))))</f>
        <v>0</v>
      </c>
      <c r="V828" s="13" t="str">
        <f t="shared" si="278"/>
        <v>-</v>
      </c>
      <c r="W828" s="5"/>
      <c r="X828" s="27" t="b">
        <f>IF($G828&lt;&gt;0,SUMIF(куб!$G:$G,$G828,куб!N:N),IF($E828&lt;&gt;0,SUMIF(куб!$E:$E,$E828,куб!N:N),IF($D828&lt;&gt;0,SUMIF(куб!$D:$D,$D828,куб!N:N),IF($C828&lt;&gt;0,SUMIF(куб!$C:$C,$C828,куб!N:N),IF($B828&lt;&gt;0,SUMIF(куб!$B:$B,$B828,куб!N:N))))))</f>
        <v>0</v>
      </c>
      <c r="Y828" s="27" t="b">
        <f>IF($G828&lt;&gt;0,SUMIF(куб!$G:$G,$G828,куб!O:O),IF($E828&lt;&gt;0,SUMIF(куб!$E:$E,$E828,куб!O:O),IF($D828&lt;&gt;0,SUMIF(куб!$D:$D,$D828,куб!O:O),IF($C828&lt;&gt;0,SUMIF(куб!$C:$C,$C828,куб!O:O),IF($B828&lt;&gt;0,SUMIF(куб!$B:$B,$B828,куб!O:O))))))</f>
        <v>0</v>
      </c>
      <c r="Z828" s="13" t="str">
        <f t="shared" si="279"/>
        <v>-</v>
      </c>
      <c r="AA828" s="5"/>
      <c r="AB828" s="33" t="str">
        <f t="shared" si="280"/>
        <v/>
      </c>
      <c r="AC828" s="33" t="str">
        <f t="shared" si="281"/>
        <v/>
      </c>
      <c r="AD828" s="15" t="str">
        <f t="shared" si="282"/>
        <v xml:space="preserve"> </v>
      </c>
      <c r="AE828" s="5"/>
      <c r="AF828" s="27" t="b">
        <f>IF($G828&lt;&gt;0,SUMIF(куб!$G:$G,$G828,куб!R:R),IF($E828&lt;&gt;0,SUMIF(куб!$E:$E,$E828,куб!R:R),IF($D828&lt;&gt;0,SUMIF(куб!$D:$D,$D828,куб!R:R),IF($C828&lt;&gt;0,SUMIF(куб!$C:$C,$C828,куб!R:R),IF($B828&lt;&gt;0,SUMIF(куб!$B:$B,$B828,куб!R:R))))))</f>
        <v>0</v>
      </c>
      <c r="AG828" s="27" t="b">
        <f>IF($G828&lt;&gt;0,SUMIF(куб!$G:$G,$G828,куб!S:S),IF($E828&lt;&gt;0,SUMIF(куб!$E:$E,$E828,куб!S:S),IF($D828&lt;&gt;0,SUMIF(куб!$D:$D,$D828,куб!S:S),IF($C828&lt;&gt;0,SUMIF(куб!$C:$C,$C828,куб!S:S),IF($B828&lt;&gt;0,SUMIF(куб!$B:$B,$B828,куб!S:S))))))</f>
        <v>0</v>
      </c>
      <c r="AH828" s="16" t="str">
        <f t="shared" si="283"/>
        <v>-</v>
      </c>
      <c r="AI828" s="8"/>
      <c r="AJ828" s="27" t="b">
        <f>IF($G828&lt;&gt;0,SUMIF(куб!$G:$G,$G828,куб!T:T),IF($E828&lt;&gt;0,SUMIF(куб!$E:$E,$E828,куб!T:T),IF($D828&lt;&gt;0,SUMIF(куб!$D:$D,$D828,куб!T:T),IF($C828&lt;&gt;0,SUMIF(куб!$C:$C,$C828,куб!T:T),IF($B828&lt;&gt;0,SUMIF(куб!$B:$B,$B828,куб!T:T))))))</f>
        <v>0</v>
      </c>
      <c r="AK828" s="27" t="b">
        <f>IF($G828&lt;&gt;0,SUMIF(куб!$G:$G,$G828,куб!U:U),IF($E828&lt;&gt;0,SUMIF(куб!$E:$E,$E828,куб!U:U),IF($D828&lt;&gt;0,SUMIF(куб!$D:$D,$D828,куб!U:U),IF($C828&lt;&gt;0,SUMIF(куб!$C:$C,$C828,куб!U:U),IF($B828&lt;&gt;0,SUMIF(куб!$B:$B,$B828,куб!U:U))))))</f>
        <v>0</v>
      </c>
      <c r="AL828" s="16" t="str">
        <f t="shared" si="284"/>
        <v>-</v>
      </c>
      <c r="AM828" s="8"/>
      <c r="AN828" s="17" t="str">
        <f t="shared" si="285"/>
        <v xml:space="preserve"> </v>
      </c>
      <c r="AO828" s="17" t="str">
        <f t="shared" si="286"/>
        <v xml:space="preserve"> </v>
      </c>
      <c r="AP828" s="16" t="str">
        <f t="shared" si="287"/>
        <v>-</v>
      </c>
      <c r="AQ828" s="8"/>
      <c r="AR828" s="17" t="str">
        <f t="shared" si="288"/>
        <v>-</v>
      </c>
      <c r="AS828" s="17" t="str">
        <f t="shared" si="289"/>
        <v>-</v>
      </c>
      <c r="AT828" s="13" t="str">
        <f t="shared" si="290"/>
        <v>-</v>
      </c>
      <c r="AU828" s="8"/>
    </row>
    <row r="829" spans="1:47" x14ac:dyDescent="0.25">
      <c r="A829" s="31"/>
      <c r="B829" s="31"/>
      <c r="C829"/>
      <c r="D829" s="31"/>
      <c r="E829"/>
      <c r="F829" s="31"/>
      <c r="G829"/>
      <c r="H829" s="27">
        <f>IF($G829&lt;&gt;0,SUMIF(куб!$G:$G,$G829,куб!H:H),IF($E829&lt;&gt;0,SUMIF(куб!$E:$E,$E829,куб!H:H),IF($D829&lt;&gt;0,SUMIF(куб!$D:$D,$D829,куб!H:H),IF($C829&lt;&gt;0,SUMIF(куб!$C:$C,$C829,куб!H:H),IF($B829&lt;&gt;0,SUMIF(куб!$B:$B,$B829,куб!H:H),IF($G829&lt;&gt;0,SUMIF(куб!$A:$A,$G829,куб!H:H),SUMIF(куб!$A:$A,$G829,куб!H:H)))))))</f>
        <v>0</v>
      </c>
      <c r="I829" s="27">
        <f>IF($G829&lt;&gt;0,SUMIF(куб!$G:$G,$G829,куб!I:I),IF($E829&lt;&gt;0,SUMIF(куб!$E:$E,$E829,куб!I:I),IF($D829&lt;&gt;0,SUMIF(куб!$D:$D,$D829,куб!I:I),IF($C829&lt;&gt;0,SUMIF(куб!$C:$C,$C829,куб!I:I),IF($B829&lt;&gt;0,SUMIF(куб!$B:$B,$B829,куб!I:I),IF($G829&lt;&gt;0,SUMIF(куб!$A:$A,$G829,куб!I:I),SUMIF(куб!$A:$A,$G829,куб!I:I)))))))</f>
        <v>0</v>
      </c>
      <c r="J829" s="19" t="str">
        <f t="shared" si="273"/>
        <v>-</v>
      </c>
      <c r="K829" s="8"/>
      <c r="L829" s="17">
        <f t="shared" si="274"/>
        <v>0</v>
      </c>
      <c r="M829" s="17">
        <f t="shared" si="275"/>
        <v>0</v>
      </c>
      <c r="N829" s="12">
        <f t="shared" si="276"/>
        <v>0</v>
      </c>
      <c r="O829" s="5"/>
      <c r="P829" s="27" t="b">
        <f>IF($G829&lt;&gt;0,SUMIF(куб!$G:$G,$G829,куб!J:J),IF($E829&lt;&gt;0,SUMIF(куб!$E:$E,$E829,куб!J:J),IF($D829&lt;&gt;0,SUMIF(куб!$D:$D,$D829,куб!J:J),IF($C829&lt;&gt;0,SUMIF(куб!$C:$C,$C829,куб!J:J),IF($B829&lt;&gt;0,SUMIF(куб!$B:$B,$B829,куб!J:J))))))</f>
        <v>0</v>
      </c>
      <c r="Q829" s="27" t="b">
        <f>IF($G829&lt;&gt;0,SUMIF(куб!$G:$G,$G829,куб!K:K),IF($E829&lt;&gt;0,SUMIF(куб!$E:$E,$E829,куб!K:K),IF($D829&lt;&gt;0,SUMIF(куб!$D:$D,$D829,куб!K:K),IF($C829&lt;&gt;0,SUMIF(куб!$C:$C,$C829,куб!K:K),IF($B829&lt;&gt;0,SUMIF(куб!$B:$B,$B829,куб!K:K))))))</f>
        <v>0</v>
      </c>
      <c r="R829" s="13" t="str">
        <f t="shared" si="277"/>
        <v>-</v>
      </c>
      <c r="S829" s="5"/>
      <c r="T829" s="27" t="b">
        <f>IF($G829&lt;&gt;0,SUMIF(куб!$G:$G,$G829,куб!L:L),IF($E829&lt;&gt;0,SUMIF(куб!$E:$E,$E829,куб!L:L),IF($D829&lt;&gt;0,SUMIF(куб!$D:$D,$D829,куб!L:L),IF($C829&lt;&gt;0,SUMIF(куб!$C:$C,$C829,куб!L:L),IF($B829&lt;&gt;0,SUMIF(куб!$B:$B,$B829,куб!L:L))))))</f>
        <v>0</v>
      </c>
      <c r="U829" s="27" t="b">
        <f>IF($G829&lt;&gt;0,SUMIF(куб!$G:$G,$G829,куб!M:M),IF($E829&lt;&gt;0,SUMIF(куб!$E:$E,$E829,куб!M:M),IF($D829&lt;&gt;0,SUMIF(куб!$D:$D,$D829,куб!M:M),IF($C829&lt;&gt;0,SUMIF(куб!$C:$C,$C829,куб!M:M),IF($B829&lt;&gt;0,SUMIF(куб!$B:$B,$B829,куб!M:M))))))</f>
        <v>0</v>
      </c>
      <c r="V829" s="13" t="str">
        <f t="shared" si="278"/>
        <v>-</v>
      </c>
      <c r="W829" s="5"/>
      <c r="X829" s="27" t="b">
        <f>IF($G829&lt;&gt;0,SUMIF(куб!$G:$G,$G829,куб!N:N),IF($E829&lt;&gt;0,SUMIF(куб!$E:$E,$E829,куб!N:N),IF($D829&lt;&gt;0,SUMIF(куб!$D:$D,$D829,куб!N:N),IF($C829&lt;&gt;0,SUMIF(куб!$C:$C,$C829,куб!N:N),IF($B829&lt;&gt;0,SUMIF(куб!$B:$B,$B829,куб!N:N))))))</f>
        <v>0</v>
      </c>
      <c r="Y829" s="27" t="b">
        <f>IF($G829&lt;&gt;0,SUMIF(куб!$G:$G,$G829,куб!O:O),IF($E829&lt;&gt;0,SUMIF(куб!$E:$E,$E829,куб!O:O),IF($D829&lt;&gt;0,SUMIF(куб!$D:$D,$D829,куб!O:O),IF($C829&lt;&gt;0,SUMIF(куб!$C:$C,$C829,куб!O:O),IF($B829&lt;&gt;0,SUMIF(куб!$B:$B,$B829,куб!O:O))))))</f>
        <v>0</v>
      </c>
      <c r="Z829" s="13" t="str">
        <f t="shared" si="279"/>
        <v>-</v>
      </c>
      <c r="AA829" s="5"/>
      <c r="AB829" s="33" t="str">
        <f t="shared" si="280"/>
        <v/>
      </c>
      <c r="AC829" s="33" t="str">
        <f t="shared" si="281"/>
        <v/>
      </c>
      <c r="AD829" s="15" t="str">
        <f t="shared" si="282"/>
        <v xml:space="preserve"> </v>
      </c>
      <c r="AE829" s="5"/>
      <c r="AF829" s="27" t="b">
        <f>IF($G829&lt;&gt;0,SUMIF(куб!$G:$G,$G829,куб!R:R),IF($E829&lt;&gt;0,SUMIF(куб!$E:$E,$E829,куб!R:R),IF($D829&lt;&gt;0,SUMIF(куб!$D:$D,$D829,куб!R:R),IF($C829&lt;&gt;0,SUMIF(куб!$C:$C,$C829,куб!R:R),IF($B829&lt;&gt;0,SUMIF(куб!$B:$B,$B829,куб!R:R))))))</f>
        <v>0</v>
      </c>
      <c r="AG829" s="27" t="b">
        <f>IF($G829&lt;&gt;0,SUMIF(куб!$G:$G,$G829,куб!S:S),IF($E829&lt;&gt;0,SUMIF(куб!$E:$E,$E829,куб!S:S),IF($D829&lt;&gt;0,SUMIF(куб!$D:$D,$D829,куб!S:S),IF($C829&lt;&gt;0,SUMIF(куб!$C:$C,$C829,куб!S:S),IF($B829&lt;&gt;0,SUMIF(куб!$B:$B,$B829,куб!S:S))))))</f>
        <v>0</v>
      </c>
      <c r="AH829" s="16" t="str">
        <f t="shared" si="283"/>
        <v>-</v>
      </c>
      <c r="AI829" s="8"/>
      <c r="AJ829" s="27" t="b">
        <f>IF($G829&lt;&gt;0,SUMIF(куб!$G:$G,$G829,куб!T:T),IF($E829&lt;&gt;0,SUMIF(куб!$E:$E,$E829,куб!T:T),IF($D829&lt;&gt;0,SUMIF(куб!$D:$D,$D829,куб!T:T),IF($C829&lt;&gt;0,SUMIF(куб!$C:$C,$C829,куб!T:T),IF($B829&lt;&gt;0,SUMIF(куб!$B:$B,$B829,куб!T:T))))))</f>
        <v>0</v>
      </c>
      <c r="AK829" s="27" t="b">
        <f>IF($G829&lt;&gt;0,SUMIF(куб!$G:$G,$G829,куб!U:U),IF($E829&lt;&gt;0,SUMIF(куб!$E:$E,$E829,куб!U:U),IF($D829&lt;&gt;0,SUMIF(куб!$D:$D,$D829,куб!U:U),IF($C829&lt;&gt;0,SUMIF(куб!$C:$C,$C829,куб!U:U),IF($B829&lt;&gt;0,SUMIF(куб!$B:$B,$B829,куб!U:U))))))</f>
        <v>0</v>
      </c>
      <c r="AL829" s="16" t="str">
        <f t="shared" si="284"/>
        <v>-</v>
      </c>
      <c r="AM829" s="8"/>
      <c r="AN829" s="17" t="str">
        <f t="shared" si="285"/>
        <v xml:space="preserve"> </v>
      </c>
      <c r="AO829" s="17" t="str">
        <f t="shared" si="286"/>
        <v xml:space="preserve"> </v>
      </c>
      <c r="AP829" s="16" t="str">
        <f t="shared" si="287"/>
        <v>-</v>
      </c>
      <c r="AQ829" s="8"/>
      <c r="AR829" s="17" t="str">
        <f t="shared" si="288"/>
        <v>-</v>
      </c>
      <c r="AS829" s="17" t="str">
        <f t="shared" si="289"/>
        <v>-</v>
      </c>
      <c r="AT829" s="13" t="str">
        <f t="shared" si="290"/>
        <v>-</v>
      </c>
      <c r="AU829" s="8"/>
    </row>
    <row r="830" spans="1:47" x14ac:dyDescent="0.25">
      <c r="A830" s="31"/>
      <c r="B830" s="31"/>
      <c r="C830"/>
      <c r="D830" s="31"/>
      <c r="E830"/>
      <c r="F830" s="31"/>
      <c r="G830"/>
      <c r="H830" s="27">
        <f>IF($G830&lt;&gt;0,SUMIF(куб!$G:$G,$G830,куб!H:H),IF($E830&lt;&gt;0,SUMIF(куб!$E:$E,$E830,куб!H:H),IF($D830&lt;&gt;0,SUMIF(куб!$D:$D,$D830,куб!H:H),IF($C830&lt;&gt;0,SUMIF(куб!$C:$C,$C830,куб!H:H),IF($B830&lt;&gt;0,SUMIF(куб!$B:$B,$B830,куб!H:H),IF($G830&lt;&gt;0,SUMIF(куб!$A:$A,$G830,куб!H:H),SUMIF(куб!$A:$A,$G830,куб!H:H)))))))</f>
        <v>0</v>
      </c>
      <c r="I830" s="27">
        <f>IF($G830&lt;&gt;0,SUMIF(куб!$G:$G,$G830,куб!I:I),IF($E830&lt;&gt;0,SUMIF(куб!$E:$E,$E830,куб!I:I),IF($D830&lt;&gt;0,SUMIF(куб!$D:$D,$D830,куб!I:I),IF($C830&lt;&gt;0,SUMIF(куб!$C:$C,$C830,куб!I:I),IF($B830&lt;&gt;0,SUMIF(куб!$B:$B,$B830,куб!I:I),IF($G830&lt;&gt;0,SUMIF(куб!$A:$A,$G830,куб!I:I),SUMIF(куб!$A:$A,$G830,куб!I:I)))))))</f>
        <v>0</v>
      </c>
      <c r="J830" s="19" t="str">
        <f t="shared" si="273"/>
        <v>-</v>
      </c>
      <c r="K830" s="8"/>
      <c r="L830" s="17">
        <f t="shared" si="274"/>
        <v>0</v>
      </c>
      <c r="M830" s="17">
        <f t="shared" si="275"/>
        <v>0</v>
      </c>
      <c r="N830" s="12">
        <f t="shared" si="276"/>
        <v>0</v>
      </c>
      <c r="O830" s="5"/>
      <c r="P830" s="27" t="b">
        <f>IF($G830&lt;&gt;0,SUMIF(куб!$G:$G,$G830,куб!J:J),IF($E830&lt;&gt;0,SUMIF(куб!$E:$E,$E830,куб!J:J),IF($D830&lt;&gt;0,SUMIF(куб!$D:$D,$D830,куб!J:J),IF($C830&lt;&gt;0,SUMIF(куб!$C:$C,$C830,куб!J:J),IF($B830&lt;&gt;0,SUMIF(куб!$B:$B,$B830,куб!J:J))))))</f>
        <v>0</v>
      </c>
      <c r="Q830" s="27" t="b">
        <f>IF($G830&lt;&gt;0,SUMIF(куб!$G:$G,$G830,куб!K:K),IF($E830&lt;&gt;0,SUMIF(куб!$E:$E,$E830,куб!K:K),IF($D830&lt;&gt;0,SUMIF(куб!$D:$D,$D830,куб!K:K),IF($C830&lt;&gt;0,SUMIF(куб!$C:$C,$C830,куб!K:K),IF($B830&lt;&gt;0,SUMIF(куб!$B:$B,$B830,куб!K:K))))))</f>
        <v>0</v>
      </c>
      <c r="R830" s="13" t="str">
        <f t="shared" si="277"/>
        <v>-</v>
      </c>
      <c r="S830" s="5"/>
      <c r="T830" s="27" t="b">
        <f>IF($G830&lt;&gt;0,SUMIF(куб!$G:$G,$G830,куб!L:L),IF($E830&lt;&gt;0,SUMIF(куб!$E:$E,$E830,куб!L:L),IF($D830&lt;&gt;0,SUMIF(куб!$D:$D,$D830,куб!L:L),IF($C830&lt;&gt;0,SUMIF(куб!$C:$C,$C830,куб!L:L),IF($B830&lt;&gt;0,SUMIF(куб!$B:$B,$B830,куб!L:L))))))</f>
        <v>0</v>
      </c>
      <c r="U830" s="27" t="b">
        <f>IF($G830&lt;&gt;0,SUMIF(куб!$G:$G,$G830,куб!M:M),IF($E830&lt;&gt;0,SUMIF(куб!$E:$E,$E830,куб!M:M),IF($D830&lt;&gt;0,SUMIF(куб!$D:$D,$D830,куб!M:M),IF($C830&lt;&gt;0,SUMIF(куб!$C:$C,$C830,куб!M:M),IF($B830&lt;&gt;0,SUMIF(куб!$B:$B,$B830,куб!M:M))))))</f>
        <v>0</v>
      </c>
      <c r="V830" s="13" t="str">
        <f t="shared" si="278"/>
        <v>-</v>
      </c>
      <c r="W830" s="5"/>
      <c r="X830" s="27" t="b">
        <f>IF($G830&lt;&gt;0,SUMIF(куб!$G:$G,$G830,куб!N:N),IF($E830&lt;&gt;0,SUMIF(куб!$E:$E,$E830,куб!N:N),IF($D830&lt;&gt;0,SUMIF(куб!$D:$D,$D830,куб!N:N),IF($C830&lt;&gt;0,SUMIF(куб!$C:$C,$C830,куб!N:N),IF($B830&lt;&gt;0,SUMIF(куб!$B:$B,$B830,куб!N:N))))))</f>
        <v>0</v>
      </c>
      <c r="Y830" s="27" t="b">
        <f>IF($G830&lt;&gt;0,SUMIF(куб!$G:$G,$G830,куб!O:O),IF($E830&lt;&gt;0,SUMIF(куб!$E:$E,$E830,куб!O:O),IF($D830&lt;&gt;0,SUMIF(куб!$D:$D,$D830,куб!O:O),IF($C830&lt;&gt;0,SUMIF(куб!$C:$C,$C830,куб!O:O),IF($B830&lt;&gt;0,SUMIF(куб!$B:$B,$B830,куб!O:O))))))</f>
        <v>0</v>
      </c>
      <c r="Z830" s="13" t="str">
        <f t="shared" si="279"/>
        <v>-</v>
      </c>
      <c r="AA830" s="5"/>
      <c r="AB830" s="33" t="str">
        <f t="shared" si="280"/>
        <v/>
      </c>
      <c r="AC830" s="33" t="str">
        <f t="shared" si="281"/>
        <v/>
      </c>
      <c r="AD830" s="15" t="str">
        <f t="shared" si="282"/>
        <v xml:space="preserve"> </v>
      </c>
      <c r="AE830" s="5"/>
      <c r="AF830" s="27" t="b">
        <f>IF($G830&lt;&gt;0,SUMIF(куб!$G:$G,$G830,куб!R:R),IF($E830&lt;&gt;0,SUMIF(куб!$E:$E,$E830,куб!R:R),IF($D830&lt;&gt;0,SUMIF(куб!$D:$D,$D830,куб!R:R),IF($C830&lt;&gt;0,SUMIF(куб!$C:$C,$C830,куб!R:R),IF($B830&lt;&gt;0,SUMIF(куб!$B:$B,$B830,куб!R:R))))))</f>
        <v>0</v>
      </c>
      <c r="AG830" s="27" t="b">
        <f>IF($G830&lt;&gt;0,SUMIF(куб!$G:$G,$G830,куб!S:S),IF($E830&lt;&gt;0,SUMIF(куб!$E:$E,$E830,куб!S:S),IF($D830&lt;&gt;0,SUMIF(куб!$D:$D,$D830,куб!S:S),IF($C830&lt;&gt;0,SUMIF(куб!$C:$C,$C830,куб!S:S),IF($B830&lt;&gt;0,SUMIF(куб!$B:$B,$B830,куб!S:S))))))</f>
        <v>0</v>
      </c>
      <c r="AH830" s="16" t="str">
        <f t="shared" si="283"/>
        <v>-</v>
      </c>
      <c r="AI830" s="8"/>
      <c r="AJ830" s="27" t="b">
        <f>IF($G830&lt;&gt;0,SUMIF(куб!$G:$G,$G830,куб!T:T),IF($E830&lt;&gt;0,SUMIF(куб!$E:$E,$E830,куб!T:T),IF($D830&lt;&gt;0,SUMIF(куб!$D:$D,$D830,куб!T:T),IF($C830&lt;&gt;0,SUMIF(куб!$C:$C,$C830,куб!T:T),IF($B830&lt;&gt;0,SUMIF(куб!$B:$B,$B830,куб!T:T))))))</f>
        <v>0</v>
      </c>
      <c r="AK830" s="27" t="b">
        <f>IF($G830&lt;&gt;0,SUMIF(куб!$G:$G,$G830,куб!U:U),IF($E830&lt;&gt;0,SUMIF(куб!$E:$E,$E830,куб!U:U),IF($D830&lt;&gt;0,SUMIF(куб!$D:$D,$D830,куб!U:U),IF($C830&lt;&gt;0,SUMIF(куб!$C:$C,$C830,куб!U:U),IF($B830&lt;&gt;0,SUMIF(куб!$B:$B,$B830,куб!U:U))))))</f>
        <v>0</v>
      </c>
      <c r="AL830" s="16" t="str">
        <f t="shared" si="284"/>
        <v>-</v>
      </c>
      <c r="AM830" s="8"/>
      <c r="AN830" s="17" t="str">
        <f t="shared" si="285"/>
        <v xml:space="preserve"> </v>
      </c>
      <c r="AO830" s="17" t="str">
        <f t="shared" si="286"/>
        <v xml:space="preserve"> </v>
      </c>
      <c r="AP830" s="16" t="str">
        <f t="shared" si="287"/>
        <v>-</v>
      </c>
      <c r="AQ830" s="8"/>
      <c r="AR830" s="17" t="str">
        <f t="shared" si="288"/>
        <v>-</v>
      </c>
      <c r="AS830" s="17" t="str">
        <f t="shared" si="289"/>
        <v>-</v>
      </c>
      <c r="AT830" s="13" t="str">
        <f t="shared" si="290"/>
        <v>-</v>
      </c>
      <c r="AU830" s="8"/>
    </row>
    <row r="831" spans="1:47" x14ac:dyDescent="0.25">
      <c r="A831" s="31"/>
      <c r="B831" s="31"/>
      <c r="C831"/>
      <c r="D831" s="31"/>
      <c r="E831"/>
      <c r="F831" s="31"/>
      <c r="G831"/>
      <c r="H831" s="27">
        <f>IF($G831&lt;&gt;0,SUMIF(куб!$G:$G,$G831,куб!H:H),IF($E831&lt;&gt;0,SUMIF(куб!$E:$E,$E831,куб!H:H),IF($D831&lt;&gt;0,SUMIF(куб!$D:$D,$D831,куб!H:H),IF($C831&lt;&gt;0,SUMIF(куб!$C:$C,$C831,куб!H:H),IF($B831&lt;&gt;0,SUMIF(куб!$B:$B,$B831,куб!H:H),IF($G831&lt;&gt;0,SUMIF(куб!$A:$A,$G831,куб!H:H),SUMIF(куб!$A:$A,$G831,куб!H:H)))))))</f>
        <v>0</v>
      </c>
      <c r="I831" s="27">
        <f>IF($G831&lt;&gt;0,SUMIF(куб!$G:$G,$G831,куб!I:I),IF($E831&lt;&gt;0,SUMIF(куб!$E:$E,$E831,куб!I:I),IF($D831&lt;&gt;0,SUMIF(куб!$D:$D,$D831,куб!I:I),IF($C831&lt;&gt;0,SUMIF(куб!$C:$C,$C831,куб!I:I),IF($B831&lt;&gt;0,SUMIF(куб!$B:$B,$B831,куб!I:I),IF($G831&lt;&gt;0,SUMIF(куб!$A:$A,$G831,куб!I:I),SUMIF(куб!$A:$A,$G831,куб!I:I)))))))</f>
        <v>0</v>
      </c>
      <c r="J831" s="19" t="str">
        <f t="shared" si="273"/>
        <v>-</v>
      </c>
      <c r="K831" s="8"/>
      <c r="L831" s="17">
        <f t="shared" si="274"/>
        <v>0</v>
      </c>
      <c r="M831" s="17">
        <f t="shared" si="275"/>
        <v>0</v>
      </c>
      <c r="N831" s="12">
        <f t="shared" si="276"/>
        <v>0</v>
      </c>
      <c r="O831" s="5"/>
      <c r="P831" s="27" t="b">
        <f>IF($G831&lt;&gt;0,SUMIF(куб!$G:$G,$G831,куб!J:J),IF($E831&lt;&gt;0,SUMIF(куб!$E:$E,$E831,куб!J:J),IF($D831&lt;&gt;0,SUMIF(куб!$D:$D,$D831,куб!J:J),IF($C831&lt;&gt;0,SUMIF(куб!$C:$C,$C831,куб!J:J),IF($B831&lt;&gt;0,SUMIF(куб!$B:$B,$B831,куб!J:J))))))</f>
        <v>0</v>
      </c>
      <c r="Q831" s="27" t="b">
        <f>IF($G831&lt;&gt;0,SUMIF(куб!$G:$G,$G831,куб!K:K),IF($E831&lt;&gt;0,SUMIF(куб!$E:$E,$E831,куб!K:K),IF($D831&lt;&gt;0,SUMIF(куб!$D:$D,$D831,куб!K:K),IF($C831&lt;&gt;0,SUMIF(куб!$C:$C,$C831,куб!K:K),IF($B831&lt;&gt;0,SUMIF(куб!$B:$B,$B831,куб!K:K))))))</f>
        <v>0</v>
      </c>
      <c r="R831" s="13" t="str">
        <f t="shared" si="277"/>
        <v>-</v>
      </c>
      <c r="S831" s="5"/>
      <c r="T831" s="27" t="b">
        <f>IF($G831&lt;&gt;0,SUMIF(куб!$G:$G,$G831,куб!L:L),IF($E831&lt;&gt;0,SUMIF(куб!$E:$E,$E831,куб!L:L),IF($D831&lt;&gt;0,SUMIF(куб!$D:$D,$D831,куб!L:L),IF($C831&lt;&gt;0,SUMIF(куб!$C:$C,$C831,куб!L:L),IF($B831&lt;&gt;0,SUMIF(куб!$B:$B,$B831,куб!L:L))))))</f>
        <v>0</v>
      </c>
      <c r="U831" s="27" t="b">
        <f>IF($G831&lt;&gt;0,SUMIF(куб!$G:$G,$G831,куб!M:M),IF($E831&lt;&gt;0,SUMIF(куб!$E:$E,$E831,куб!M:M),IF($D831&lt;&gt;0,SUMIF(куб!$D:$D,$D831,куб!M:M),IF($C831&lt;&gt;0,SUMIF(куб!$C:$C,$C831,куб!M:M),IF($B831&lt;&gt;0,SUMIF(куб!$B:$B,$B831,куб!M:M))))))</f>
        <v>0</v>
      </c>
      <c r="V831" s="13" t="str">
        <f t="shared" si="278"/>
        <v>-</v>
      </c>
      <c r="W831" s="5"/>
      <c r="X831" s="27" t="b">
        <f>IF($G831&lt;&gt;0,SUMIF(куб!$G:$G,$G831,куб!N:N),IF($E831&lt;&gt;0,SUMIF(куб!$E:$E,$E831,куб!N:N),IF($D831&lt;&gt;0,SUMIF(куб!$D:$D,$D831,куб!N:N),IF($C831&lt;&gt;0,SUMIF(куб!$C:$C,$C831,куб!N:N),IF($B831&lt;&gt;0,SUMIF(куб!$B:$B,$B831,куб!N:N))))))</f>
        <v>0</v>
      </c>
      <c r="Y831" s="27" t="b">
        <f>IF($G831&lt;&gt;0,SUMIF(куб!$G:$G,$G831,куб!O:O),IF($E831&lt;&gt;0,SUMIF(куб!$E:$E,$E831,куб!O:O),IF($D831&lt;&gt;0,SUMIF(куб!$D:$D,$D831,куб!O:O),IF($C831&lt;&gt;0,SUMIF(куб!$C:$C,$C831,куб!O:O),IF($B831&lt;&gt;0,SUMIF(куб!$B:$B,$B831,куб!O:O))))))</f>
        <v>0</v>
      </c>
      <c r="Z831" s="13" t="str">
        <f t="shared" si="279"/>
        <v>-</v>
      </c>
      <c r="AA831" s="5"/>
      <c r="AB831" s="33" t="str">
        <f t="shared" si="280"/>
        <v/>
      </c>
      <c r="AC831" s="33" t="str">
        <f t="shared" si="281"/>
        <v/>
      </c>
      <c r="AD831" s="15" t="str">
        <f t="shared" si="282"/>
        <v xml:space="preserve"> </v>
      </c>
      <c r="AE831" s="5"/>
      <c r="AF831" s="27" t="b">
        <f>IF($G831&lt;&gt;0,SUMIF(куб!$G:$G,$G831,куб!R:R),IF($E831&lt;&gt;0,SUMIF(куб!$E:$E,$E831,куб!R:R),IF($D831&lt;&gt;0,SUMIF(куб!$D:$D,$D831,куб!R:R),IF($C831&lt;&gt;0,SUMIF(куб!$C:$C,$C831,куб!R:R),IF($B831&lt;&gt;0,SUMIF(куб!$B:$B,$B831,куб!R:R))))))</f>
        <v>0</v>
      </c>
      <c r="AG831" s="27" t="b">
        <f>IF($G831&lt;&gt;0,SUMIF(куб!$G:$G,$G831,куб!S:S),IF($E831&lt;&gt;0,SUMIF(куб!$E:$E,$E831,куб!S:S),IF($D831&lt;&gt;0,SUMIF(куб!$D:$D,$D831,куб!S:S),IF($C831&lt;&gt;0,SUMIF(куб!$C:$C,$C831,куб!S:S),IF($B831&lt;&gt;0,SUMIF(куб!$B:$B,$B831,куб!S:S))))))</f>
        <v>0</v>
      </c>
      <c r="AH831" s="16" t="str">
        <f t="shared" si="283"/>
        <v>-</v>
      </c>
      <c r="AI831" s="8"/>
      <c r="AJ831" s="27" t="b">
        <f>IF($G831&lt;&gt;0,SUMIF(куб!$G:$G,$G831,куб!T:T),IF($E831&lt;&gt;0,SUMIF(куб!$E:$E,$E831,куб!T:T),IF($D831&lt;&gt;0,SUMIF(куб!$D:$D,$D831,куб!T:T),IF($C831&lt;&gt;0,SUMIF(куб!$C:$C,$C831,куб!T:T),IF($B831&lt;&gt;0,SUMIF(куб!$B:$B,$B831,куб!T:T))))))</f>
        <v>0</v>
      </c>
      <c r="AK831" s="27" t="b">
        <f>IF($G831&lt;&gt;0,SUMIF(куб!$G:$G,$G831,куб!U:U),IF($E831&lt;&gt;0,SUMIF(куб!$E:$E,$E831,куб!U:U),IF($D831&lt;&gt;0,SUMIF(куб!$D:$D,$D831,куб!U:U),IF($C831&lt;&gt;0,SUMIF(куб!$C:$C,$C831,куб!U:U),IF($B831&lt;&gt;0,SUMIF(куб!$B:$B,$B831,куб!U:U))))))</f>
        <v>0</v>
      </c>
      <c r="AL831" s="16" t="str">
        <f t="shared" si="284"/>
        <v>-</v>
      </c>
      <c r="AM831" s="8"/>
      <c r="AN831" s="17" t="str">
        <f t="shared" si="285"/>
        <v xml:space="preserve"> </v>
      </c>
      <c r="AO831" s="17" t="str">
        <f t="shared" si="286"/>
        <v xml:space="preserve"> </v>
      </c>
      <c r="AP831" s="16" t="str">
        <f t="shared" si="287"/>
        <v>-</v>
      </c>
      <c r="AQ831" s="8"/>
      <c r="AR831" s="17" t="str">
        <f t="shared" si="288"/>
        <v>-</v>
      </c>
      <c r="AS831" s="17" t="str">
        <f t="shared" si="289"/>
        <v>-</v>
      </c>
      <c r="AT831" s="13" t="str">
        <f t="shared" si="290"/>
        <v>-</v>
      </c>
      <c r="AU831" s="8"/>
    </row>
    <row r="832" spans="1:47" x14ac:dyDescent="0.25">
      <c r="A832" s="31"/>
      <c r="B832" s="31"/>
      <c r="C832"/>
      <c r="D832" s="31"/>
      <c r="E832"/>
      <c r="F832"/>
      <c r="G832"/>
      <c r="H832" s="27">
        <f>IF($G832&lt;&gt;0,SUMIF(куб!$G:$G,$G832,куб!H:H),IF($E832&lt;&gt;0,SUMIF(куб!$E:$E,$E832,куб!H:H),IF($D832&lt;&gt;0,SUMIF(куб!$D:$D,$D832,куб!H:H),IF($C832&lt;&gt;0,SUMIF(куб!$C:$C,$C832,куб!H:H),IF($B832&lt;&gt;0,SUMIF(куб!$B:$B,$B832,куб!H:H),IF($G832&lt;&gt;0,SUMIF(куб!$A:$A,$G832,куб!H:H),SUMIF(куб!$A:$A,$G832,куб!H:H)))))))</f>
        <v>0</v>
      </c>
      <c r="I832" s="27">
        <f>IF($G832&lt;&gt;0,SUMIF(куб!$G:$G,$G832,куб!I:I),IF($E832&lt;&gt;0,SUMIF(куб!$E:$E,$E832,куб!I:I),IF($D832&lt;&gt;0,SUMIF(куб!$D:$D,$D832,куб!I:I),IF($C832&lt;&gt;0,SUMIF(куб!$C:$C,$C832,куб!I:I),IF($B832&lt;&gt;0,SUMIF(куб!$B:$B,$B832,куб!I:I),IF($G832&lt;&gt;0,SUMIF(куб!$A:$A,$G832,куб!I:I),SUMIF(куб!$A:$A,$G832,куб!I:I)))))))</f>
        <v>0</v>
      </c>
      <c r="J832" s="19" t="str">
        <f t="shared" si="273"/>
        <v>-</v>
      </c>
      <c r="K832" s="8"/>
      <c r="L832" s="17">
        <f t="shared" si="274"/>
        <v>0</v>
      </c>
      <c r="M832" s="17">
        <f t="shared" si="275"/>
        <v>0</v>
      </c>
      <c r="N832" s="12">
        <f t="shared" si="276"/>
        <v>0</v>
      </c>
      <c r="O832" s="5"/>
      <c r="P832" s="27" t="b">
        <f>IF($G832&lt;&gt;0,SUMIF(куб!$G:$G,$G832,куб!J:J),IF($E832&lt;&gt;0,SUMIF(куб!$E:$E,$E832,куб!J:J),IF($D832&lt;&gt;0,SUMIF(куб!$D:$D,$D832,куб!J:J),IF($C832&lt;&gt;0,SUMIF(куб!$C:$C,$C832,куб!J:J),IF($B832&lt;&gt;0,SUMIF(куб!$B:$B,$B832,куб!J:J))))))</f>
        <v>0</v>
      </c>
      <c r="Q832" s="27" t="b">
        <f>IF($G832&lt;&gt;0,SUMIF(куб!$G:$G,$G832,куб!K:K),IF($E832&lt;&gt;0,SUMIF(куб!$E:$E,$E832,куб!K:K),IF($D832&lt;&gt;0,SUMIF(куб!$D:$D,$D832,куб!K:K),IF($C832&lt;&gt;0,SUMIF(куб!$C:$C,$C832,куб!K:K),IF($B832&lt;&gt;0,SUMIF(куб!$B:$B,$B832,куб!K:K))))))</f>
        <v>0</v>
      </c>
      <c r="R832" s="13" t="str">
        <f t="shared" si="277"/>
        <v>-</v>
      </c>
      <c r="S832" s="5"/>
      <c r="T832" s="27" t="b">
        <f>IF($G832&lt;&gt;0,SUMIF(куб!$G:$G,$G832,куб!L:L),IF($E832&lt;&gt;0,SUMIF(куб!$E:$E,$E832,куб!L:L),IF($D832&lt;&gt;0,SUMIF(куб!$D:$D,$D832,куб!L:L),IF($C832&lt;&gt;0,SUMIF(куб!$C:$C,$C832,куб!L:L),IF($B832&lt;&gt;0,SUMIF(куб!$B:$B,$B832,куб!L:L))))))</f>
        <v>0</v>
      </c>
      <c r="U832" s="27" t="b">
        <f>IF($G832&lt;&gt;0,SUMIF(куб!$G:$G,$G832,куб!M:M),IF($E832&lt;&gt;0,SUMIF(куб!$E:$E,$E832,куб!M:M),IF($D832&lt;&gt;0,SUMIF(куб!$D:$D,$D832,куб!M:M),IF($C832&lt;&gt;0,SUMIF(куб!$C:$C,$C832,куб!M:M),IF($B832&lt;&gt;0,SUMIF(куб!$B:$B,$B832,куб!M:M))))))</f>
        <v>0</v>
      </c>
      <c r="V832" s="13" t="str">
        <f t="shared" si="278"/>
        <v>-</v>
      </c>
      <c r="W832" s="5"/>
      <c r="X832" s="27" t="b">
        <f>IF($G832&lt;&gt;0,SUMIF(куб!$G:$G,$G832,куб!N:N),IF($E832&lt;&gt;0,SUMIF(куб!$E:$E,$E832,куб!N:N),IF($D832&lt;&gt;0,SUMIF(куб!$D:$D,$D832,куб!N:N),IF($C832&lt;&gt;0,SUMIF(куб!$C:$C,$C832,куб!N:N),IF($B832&lt;&gt;0,SUMIF(куб!$B:$B,$B832,куб!N:N))))))</f>
        <v>0</v>
      </c>
      <c r="Y832" s="27" t="b">
        <f>IF($G832&lt;&gt;0,SUMIF(куб!$G:$G,$G832,куб!O:O),IF($E832&lt;&gt;0,SUMIF(куб!$E:$E,$E832,куб!O:O),IF($D832&lt;&gt;0,SUMIF(куб!$D:$D,$D832,куб!O:O),IF($C832&lt;&gt;0,SUMIF(куб!$C:$C,$C832,куб!O:O),IF($B832&lt;&gt;0,SUMIF(куб!$B:$B,$B832,куб!O:O))))))</f>
        <v>0</v>
      </c>
      <c r="Z832" s="13" t="str">
        <f t="shared" si="279"/>
        <v>-</v>
      </c>
      <c r="AA832" s="5"/>
      <c r="AB832" s="33" t="str">
        <f t="shared" si="280"/>
        <v/>
      </c>
      <c r="AC832" s="33" t="str">
        <f t="shared" si="281"/>
        <v/>
      </c>
      <c r="AD832" s="15" t="str">
        <f t="shared" si="282"/>
        <v xml:space="preserve"> </v>
      </c>
      <c r="AE832" s="5"/>
      <c r="AF832" s="27" t="b">
        <f>IF($G832&lt;&gt;0,SUMIF(куб!$G:$G,$G832,куб!R:R),IF($E832&lt;&gt;0,SUMIF(куб!$E:$E,$E832,куб!R:R),IF($D832&lt;&gt;0,SUMIF(куб!$D:$D,$D832,куб!R:R),IF($C832&lt;&gt;0,SUMIF(куб!$C:$C,$C832,куб!R:R),IF($B832&lt;&gt;0,SUMIF(куб!$B:$B,$B832,куб!R:R))))))</f>
        <v>0</v>
      </c>
      <c r="AG832" s="27" t="b">
        <f>IF($G832&lt;&gt;0,SUMIF(куб!$G:$G,$G832,куб!S:S),IF($E832&lt;&gt;0,SUMIF(куб!$E:$E,$E832,куб!S:S),IF($D832&lt;&gt;0,SUMIF(куб!$D:$D,$D832,куб!S:S),IF($C832&lt;&gt;0,SUMIF(куб!$C:$C,$C832,куб!S:S),IF($B832&lt;&gt;0,SUMIF(куб!$B:$B,$B832,куб!S:S))))))</f>
        <v>0</v>
      </c>
      <c r="AH832" s="16" t="str">
        <f t="shared" si="283"/>
        <v>-</v>
      </c>
      <c r="AI832" s="8"/>
      <c r="AJ832" s="27" t="b">
        <f>IF($G832&lt;&gt;0,SUMIF(куб!$G:$G,$G832,куб!T:T),IF($E832&lt;&gt;0,SUMIF(куб!$E:$E,$E832,куб!T:T),IF($D832&lt;&gt;0,SUMIF(куб!$D:$D,$D832,куб!T:T),IF($C832&lt;&gt;0,SUMIF(куб!$C:$C,$C832,куб!T:T),IF($B832&lt;&gt;0,SUMIF(куб!$B:$B,$B832,куб!T:T))))))</f>
        <v>0</v>
      </c>
      <c r="AK832" s="27" t="b">
        <f>IF($G832&lt;&gt;0,SUMIF(куб!$G:$G,$G832,куб!U:U),IF($E832&lt;&gt;0,SUMIF(куб!$E:$E,$E832,куб!U:U),IF($D832&lt;&gt;0,SUMIF(куб!$D:$D,$D832,куб!U:U),IF($C832&lt;&gt;0,SUMIF(куб!$C:$C,$C832,куб!U:U),IF($B832&lt;&gt;0,SUMIF(куб!$B:$B,$B832,куб!U:U))))))</f>
        <v>0</v>
      </c>
      <c r="AL832" s="16" t="str">
        <f t="shared" si="284"/>
        <v>-</v>
      </c>
      <c r="AM832" s="8"/>
      <c r="AN832" s="17" t="str">
        <f t="shared" si="285"/>
        <v xml:space="preserve"> </v>
      </c>
      <c r="AO832" s="17" t="str">
        <f t="shared" si="286"/>
        <v xml:space="preserve"> </v>
      </c>
      <c r="AP832" s="16" t="str">
        <f t="shared" si="287"/>
        <v>-</v>
      </c>
      <c r="AQ832" s="8"/>
      <c r="AR832" s="17" t="str">
        <f t="shared" si="288"/>
        <v>-</v>
      </c>
      <c r="AS832" s="17" t="str">
        <f t="shared" si="289"/>
        <v>-</v>
      </c>
      <c r="AT832" s="13" t="str">
        <f t="shared" si="290"/>
        <v>-</v>
      </c>
      <c r="AU832" s="8"/>
    </row>
    <row r="833" spans="1:47" x14ac:dyDescent="0.25">
      <c r="A833" s="31"/>
      <c r="B833" s="31"/>
      <c r="C833"/>
      <c r="D833" s="31"/>
      <c r="E833" s="31"/>
      <c r="F833" s="31"/>
      <c r="G833" s="31"/>
      <c r="H833" s="27">
        <f>IF($G833&lt;&gt;0,SUMIF(куб!$G:$G,$G833,куб!H:H),IF($E833&lt;&gt;0,SUMIF(куб!$E:$E,$E833,куб!H:H),IF($D833&lt;&gt;0,SUMIF(куб!$D:$D,$D833,куб!H:H),IF($C833&lt;&gt;0,SUMIF(куб!$C:$C,$C833,куб!H:H),IF($B833&lt;&gt;0,SUMIF(куб!$B:$B,$B833,куб!H:H),IF($G833&lt;&gt;0,SUMIF(куб!$A:$A,$G833,куб!H:H),SUMIF(куб!$A:$A,$G833,куб!H:H)))))))</f>
        <v>0</v>
      </c>
      <c r="I833" s="27">
        <f>IF($G833&lt;&gt;0,SUMIF(куб!$G:$G,$G833,куб!I:I),IF($E833&lt;&gt;0,SUMIF(куб!$E:$E,$E833,куб!I:I),IF($D833&lt;&gt;0,SUMIF(куб!$D:$D,$D833,куб!I:I),IF($C833&lt;&gt;0,SUMIF(куб!$C:$C,$C833,куб!I:I),IF($B833&lt;&gt;0,SUMIF(куб!$B:$B,$B833,куб!I:I),IF($G833&lt;&gt;0,SUMIF(куб!$A:$A,$G833,куб!I:I),SUMIF(куб!$A:$A,$G833,куб!I:I)))))))</f>
        <v>0</v>
      </c>
      <c r="J833" s="19" t="str">
        <f t="shared" si="273"/>
        <v>-</v>
      </c>
      <c r="K833" s="8"/>
      <c r="L833" s="17">
        <f t="shared" si="274"/>
        <v>0</v>
      </c>
      <c r="M833" s="17">
        <f t="shared" si="275"/>
        <v>0</v>
      </c>
      <c r="N833" s="12">
        <f t="shared" si="276"/>
        <v>0</v>
      </c>
      <c r="O833" s="5"/>
      <c r="P833" s="27" t="b">
        <f>IF($G833&lt;&gt;0,SUMIF(куб!$G:$G,$G833,куб!J:J),IF($E833&lt;&gt;0,SUMIF(куб!$E:$E,$E833,куб!J:J),IF($D833&lt;&gt;0,SUMIF(куб!$D:$D,$D833,куб!J:J),IF($C833&lt;&gt;0,SUMIF(куб!$C:$C,$C833,куб!J:J),IF($B833&lt;&gt;0,SUMIF(куб!$B:$B,$B833,куб!J:J))))))</f>
        <v>0</v>
      </c>
      <c r="Q833" s="27" t="b">
        <f>IF($G833&lt;&gt;0,SUMIF(куб!$G:$G,$G833,куб!K:K),IF($E833&lt;&gt;0,SUMIF(куб!$E:$E,$E833,куб!K:K),IF($D833&lt;&gt;0,SUMIF(куб!$D:$D,$D833,куб!K:K),IF($C833&lt;&gt;0,SUMIF(куб!$C:$C,$C833,куб!K:K),IF($B833&lt;&gt;0,SUMIF(куб!$B:$B,$B833,куб!K:K))))))</f>
        <v>0</v>
      </c>
      <c r="R833" s="13" t="str">
        <f t="shared" si="277"/>
        <v>-</v>
      </c>
      <c r="S833" s="5"/>
      <c r="T833" s="27" t="b">
        <f>IF($G833&lt;&gt;0,SUMIF(куб!$G:$G,$G833,куб!L:L),IF($E833&lt;&gt;0,SUMIF(куб!$E:$E,$E833,куб!L:L),IF($D833&lt;&gt;0,SUMIF(куб!$D:$D,$D833,куб!L:L),IF($C833&lt;&gt;0,SUMIF(куб!$C:$C,$C833,куб!L:L),IF($B833&lt;&gt;0,SUMIF(куб!$B:$B,$B833,куб!L:L))))))</f>
        <v>0</v>
      </c>
      <c r="U833" s="27" t="b">
        <f>IF($G833&lt;&gt;0,SUMIF(куб!$G:$G,$G833,куб!M:M),IF($E833&lt;&gt;0,SUMIF(куб!$E:$E,$E833,куб!M:M),IF($D833&lt;&gt;0,SUMIF(куб!$D:$D,$D833,куб!M:M),IF($C833&lt;&gt;0,SUMIF(куб!$C:$C,$C833,куб!M:M),IF($B833&lt;&gt;0,SUMIF(куб!$B:$B,$B833,куб!M:M))))))</f>
        <v>0</v>
      </c>
      <c r="V833" s="13" t="str">
        <f t="shared" si="278"/>
        <v>-</v>
      </c>
      <c r="W833" s="5"/>
      <c r="X833" s="27" t="b">
        <f>IF($G833&lt;&gt;0,SUMIF(куб!$G:$G,$G833,куб!N:N),IF($E833&lt;&gt;0,SUMIF(куб!$E:$E,$E833,куб!N:N),IF($D833&lt;&gt;0,SUMIF(куб!$D:$D,$D833,куб!N:N),IF($C833&lt;&gt;0,SUMIF(куб!$C:$C,$C833,куб!N:N),IF($B833&lt;&gt;0,SUMIF(куб!$B:$B,$B833,куб!N:N))))))</f>
        <v>0</v>
      </c>
      <c r="Y833" s="27" t="b">
        <f>IF($G833&lt;&gt;0,SUMIF(куб!$G:$G,$G833,куб!O:O),IF($E833&lt;&gt;0,SUMIF(куб!$E:$E,$E833,куб!O:O),IF($D833&lt;&gt;0,SUMIF(куб!$D:$D,$D833,куб!O:O),IF($C833&lt;&gt;0,SUMIF(куб!$C:$C,$C833,куб!O:O),IF($B833&lt;&gt;0,SUMIF(куб!$B:$B,$B833,куб!O:O))))))</f>
        <v>0</v>
      </c>
      <c r="Z833" s="13" t="str">
        <f t="shared" si="279"/>
        <v>-</v>
      </c>
      <c r="AA833" s="5"/>
      <c r="AB833" s="33" t="str">
        <f t="shared" si="280"/>
        <v/>
      </c>
      <c r="AC833" s="33" t="str">
        <f t="shared" si="281"/>
        <v/>
      </c>
      <c r="AD833" s="15" t="str">
        <f t="shared" si="282"/>
        <v xml:space="preserve"> </v>
      </c>
      <c r="AE833" s="5"/>
      <c r="AF833" s="27" t="b">
        <f>IF($G833&lt;&gt;0,SUMIF(куб!$G:$G,$G833,куб!R:R),IF($E833&lt;&gt;0,SUMIF(куб!$E:$E,$E833,куб!R:R),IF($D833&lt;&gt;0,SUMIF(куб!$D:$D,$D833,куб!R:R),IF($C833&lt;&gt;0,SUMIF(куб!$C:$C,$C833,куб!R:R),IF($B833&lt;&gt;0,SUMIF(куб!$B:$B,$B833,куб!R:R))))))</f>
        <v>0</v>
      </c>
      <c r="AG833" s="27" t="b">
        <f>IF($G833&lt;&gt;0,SUMIF(куб!$G:$G,$G833,куб!S:S),IF($E833&lt;&gt;0,SUMIF(куб!$E:$E,$E833,куб!S:S),IF($D833&lt;&gt;0,SUMIF(куб!$D:$D,$D833,куб!S:S),IF($C833&lt;&gt;0,SUMIF(куб!$C:$C,$C833,куб!S:S),IF($B833&lt;&gt;0,SUMIF(куб!$B:$B,$B833,куб!S:S))))))</f>
        <v>0</v>
      </c>
      <c r="AH833" s="16" t="str">
        <f t="shared" si="283"/>
        <v>-</v>
      </c>
      <c r="AI833" s="8"/>
      <c r="AJ833" s="27" t="b">
        <f>IF($G833&lt;&gt;0,SUMIF(куб!$G:$G,$G833,куб!T:T),IF($E833&lt;&gt;0,SUMIF(куб!$E:$E,$E833,куб!T:T),IF($D833&lt;&gt;0,SUMIF(куб!$D:$D,$D833,куб!T:T),IF($C833&lt;&gt;0,SUMIF(куб!$C:$C,$C833,куб!T:T),IF($B833&lt;&gt;0,SUMIF(куб!$B:$B,$B833,куб!T:T))))))</f>
        <v>0</v>
      </c>
      <c r="AK833" s="27" t="b">
        <f>IF($G833&lt;&gt;0,SUMIF(куб!$G:$G,$G833,куб!U:U),IF($E833&lt;&gt;0,SUMIF(куб!$E:$E,$E833,куб!U:U),IF($D833&lt;&gt;0,SUMIF(куб!$D:$D,$D833,куб!U:U),IF($C833&lt;&gt;0,SUMIF(куб!$C:$C,$C833,куб!U:U),IF($B833&lt;&gt;0,SUMIF(куб!$B:$B,$B833,куб!U:U))))))</f>
        <v>0</v>
      </c>
      <c r="AL833" s="16" t="str">
        <f t="shared" si="284"/>
        <v>-</v>
      </c>
      <c r="AM833" s="8"/>
      <c r="AN833" s="17" t="str">
        <f t="shared" si="285"/>
        <v xml:space="preserve"> </v>
      </c>
      <c r="AO833" s="17" t="str">
        <f t="shared" si="286"/>
        <v xml:space="preserve"> </v>
      </c>
      <c r="AP833" s="16" t="str">
        <f t="shared" si="287"/>
        <v>-</v>
      </c>
      <c r="AQ833" s="8"/>
      <c r="AR833" s="17" t="str">
        <f t="shared" si="288"/>
        <v>-</v>
      </c>
      <c r="AS833" s="17" t="str">
        <f t="shared" si="289"/>
        <v>-</v>
      </c>
      <c r="AT833" s="13" t="str">
        <f t="shared" si="290"/>
        <v>-</v>
      </c>
      <c r="AU833" s="8"/>
    </row>
    <row r="834" spans="1:47" x14ac:dyDescent="0.25">
      <c r="A834" s="31"/>
      <c r="B834" s="31"/>
      <c r="C834"/>
      <c r="D834" s="31"/>
      <c r="E834"/>
      <c r="F834" s="31"/>
      <c r="G834"/>
      <c r="H834" s="27">
        <f>IF($G834&lt;&gt;0,SUMIF(куб!$G:$G,$G834,куб!H:H),IF($E834&lt;&gt;0,SUMIF(куб!$E:$E,$E834,куб!H:H),IF($D834&lt;&gt;0,SUMIF(куб!$D:$D,$D834,куб!H:H),IF($C834&lt;&gt;0,SUMIF(куб!$C:$C,$C834,куб!H:H),IF($B834&lt;&gt;0,SUMIF(куб!$B:$B,$B834,куб!H:H),IF($G834&lt;&gt;0,SUMIF(куб!$A:$A,$G834,куб!H:H),SUMIF(куб!$A:$A,$G834,куб!H:H)))))))</f>
        <v>0</v>
      </c>
      <c r="I834" s="27">
        <f>IF($G834&lt;&gt;0,SUMIF(куб!$G:$G,$G834,куб!I:I),IF($E834&lt;&gt;0,SUMIF(куб!$E:$E,$E834,куб!I:I),IF($D834&lt;&gt;0,SUMIF(куб!$D:$D,$D834,куб!I:I),IF($C834&lt;&gt;0,SUMIF(куб!$C:$C,$C834,куб!I:I),IF($B834&lt;&gt;0,SUMIF(куб!$B:$B,$B834,куб!I:I),IF($G834&lt;&gt;0,SUMIF(куб!$A:$A,$G834,куб!I:I),SUMIF(куб!$A:$A,$G834,куб!I:I)))))))</f>
        <v>0</v>
      </c>
      <c r="J834" s="19" t="str">
        <f t="shared" si="273"/>
        <v>-</v>
      </c>
      <c r="K834" s="8"/>
      <c r="L834" s="17">
        <f t="shared" si="274"/>
        <v>0</v>
      </c>
      <c r="M834" s="17">
        <f t="shared" si="275"/>
        <v>0</v>
      </c>
      <c r="N834" s="12">
        <f t="shared" si="276"/>
        <v>0</v>
      </c>
      <c r="O834" s="5"/>
      <c r="P834" s="27" t="b">
        <f>IF($G834&lt;&gt;0,SUMIF(куб!$G:$G,$G834,куб!J:J),IF($E834&lt;&gt;0,SUMIF(куб!$E:$E,$E834,куб!J:J),IF($D834&lt;&gt;0,SUMIF(куб!$D:$D,$D834,куб!J:J),IF($C834&lt;&gt;0,SUMIF(куб!$C:$C,$C834,куб!J:J),IF($B834&lt;&gt;0,SUMIF(куб!$B:$B,$B834,куб!J:J))))))</f>
        <v>0</v>
      </c>
      <c r="Q834" s="27" t="b">
        <f>IF($G834&lt;&gt;0,SUMIF(куб!$G:$G,$G834,куб!K:K),IF($E834&lt;&gt;0,SUMIF(куб!$E:$E,$E834,куб!K:K),IF($D834&lt;&gt;0,SUMIF(куб!$D:$D,$D834,куб!K:K),IF($C834&lt;&gt;0,SUMIF(куб!$C:$C,$C834,куб!K:K),IF($B834&lt;&gt;0,SUMIF(куб!$B:$B,$B834,куб!K:K))))))</f>
        <v>0</v>
      </c>
      <c r="R834" s="13" t="str">
        <f t="shared" si="277"/>
        <v>-</v>
      </c>
      <c r="S834" s="5"/>
      <c r="T834" s="27" t="b">
        <f>IF($G834&lt;&gt;0,SUMIF(куб!$G:$G,$G834,куб!L:L),IF($E834&lt;&gt;0,SUMIF(куб!$E:$E,$E834,куб!L:L),IF($D834&lt;&gt;0,SUMIF(куб!$D:$D,$D834,куб!L:L),IF($C834&lt;&gt;0,SUMIF(куб!$C:$C,$C834,куб!L:L),IF($B834&lt;&gt;0,SUMIF(куб!$B:$B,$B834,куб!L:L))))))</f>
        <v>0</v>
      </c>
      <c r="U834" s="27" t="b">
        <f>IF($G834&lt;&gt;0,SUMIF(куб!$G:$G,$G834,куб!M:M),IF($E834&lt;&gt;0,SUMIF(куб!$E:$E,$E834,куб!M:M),IF($D834&lt;&gt;0,SUMIF(куб!$D:$D,$D834,куб!M:M),IF($C834&lt;&gt;0,SUMIF(куб!$C:$C,$C834,куб!M:M),IF($B834&lt;&gt;0,SUMIF(куб!$B:$B,$B834,куб!M:M))))))</f>
        <v>0</v>
      </c>
      <c r="V834" s="13" t="str">
        <f t="shared" si="278"/>
        <v>-</v>
      </c>
      <c r="W834" s="5"/>
      <c r="X834" s="27" t="b">
        <f>IF($G834&lt;&gt;0,SUMIF(куб!$G:$G,$G834,куб!N:N),IF($E834&lt;&gt;0,SUMIF(куб!$E:$E,$E834,куб!N:N),IF($D834&lt;&gt;0,SUMIF(куб!$D:$D,$D834,куб!N:N),IF($C834&lt;&gt;0,SUMIF(куб!$C:$C,$C834,куб!N:N),IF($B834&lt;&gt;0,SUMIF(куб!$B:$B,$B834,куб!N:N))))))</f>
        <v>0</v>
      </c>
      <c r="Y834" s="27" t="b">
        <f>IF($G834&lt;&gt;0,SUMIF(куб!$G:$G,$G834,куб!O:O),IF($E834&lt;&gt;0,SUMIF(куб!$E:$E,$E834,куб!O:O),IF($D834&lt;&gt;0,SUMIF(куб!$D:$D,$D834,куб!O:O),IF($C834&lt;&gt;0,SUMIF(куб!$C:$C,$C834,куб!O:O),IF($B834&lt;&gt;0,SUMIF(куб!$B:$B,$B834,куб!O:O))))))</f>
        <v>0</v>
      </c>
      <c r="Z834" s="13" t="str">
        <f t="shared" si="279"/>
        <v>-</v>
      </c>
      <c r="AA834" s="5"/>
      <c r="AB834" s="33" t="str">
        <f t="shared" si="280"/>
        <v/>
      </c>
      <c r="AC834" s="33" t="str">
        <f t="shared" si="281"/>
        <v/>
      </c>
      <c r="AD834" s="15" t="str">
        <f t="shared" si="282"/>
        <v xml:space="preserve"> </v>
      </c>
      <c r="AE834" s="5"/>
      <c r="AF834" s="27" t="b">
        <f>IF($G834&lt;&gt;0,SUMIF(куб!$G:$G,$G834,куб!R:R),IF($E834&lt;&gt;0,SUMIF(куб!$E:$E,$E834,куб!R:R),IF($D834&lt;&gt;0,SUMIF(куб!$D:$D,$D834,куб!R:R),IF($C834&lt;&gt;0,SUMIF(куб!$C:$C,$C834,куб!R:R),IF($B834&lt;&gt;0,SUMIF(куб!$B:$B,$B834,куб!R:R))))))</f>
        <v>0</v>
      </c>
      <c r="AG834" s="27" t="b">
        <f>IF($G834&lt;&gt;0,SUMIF(куб!$G:$G,$G834,куб!S:S),IF($E834&lt;&gt;0,SUMIF(куб!$E:$E,$E834,куб!S:S),IF($D834&lt;&gt;0,SUMIF(куб!$D:$D,$D834,куб!S:S),IF($C834&lt;&gt;0,SUMIF(куб!$C:$C,$C834,куб!S:S),IF($B834&lt;&gt;0,SUMIF(куб!$B:$B,$B834,куб!S:S))))))</f>
        <v>0</v>
      </c>
      <c r="AH834" s="16" t="str">
        <f t="shared" si="283"/>
        <v>-</v>
      </c>
      <c r="AI834" s="8"/>
      <c r="AJ834" s="27" t="b">
        <f>IF($G834&lt;&gt;0,SUMIF(куб!$G:$G,$G834,куб!T:T),IF($E834&lt;&gt;0,SUMIF(куб!$E:$E,$E834,куб!T:T),IF($D834&lt;&gt;0,SUMIF(куб!$D:$D,$D834,куб!T:T),IF($C834&lt;&gt;0,SUMIF(куб!$C:$C,$C834,куб!T:T),IF($B834&lt;&gt;0,SUMIF(куб!$B:$B,$B834,куб!T:T))))))</f>
        <v>0</v>
      </c>
      <c r="AK834" s="27" t="b">
        <f>IF($G834&lt;&gt;0,SUMIF(куб!$G:$G,$G834,куб!U:U),IF($E834&lt;&gt;0,SUMIF(куб!$E:$E,$E834,куб!U:U),IF($D834&lt;&gt;0,SUMIF(куб!$D:$D,$D834,куб!U:U),IF($C834&lt;&gt;0,SUMIF(куб!$C:$C,$C834,куб!U:U),IF($B834&lt;&gt;0,SUMIF(куб!$B:$B,$B834,куб!U:U))))))</f>
        <v>0</v>
      </c>
      <c r="AL834" s="16" t="str">
        <f t="shared" si="284"/>
        <v>-</v>
      </c>
      <c r="AM834" s="8"/>
      <c r="AN834" s="17" t="str">
        <f t="shared" si="285"/>
        <v xml:space="preserve"> </v>
      </c>
      <c r="AO834" s="17" t="str">
        <f t="shared" si="286"/>
        <v xml:space="preserve"> </v>
      </c>
      <c r="AP834" s="16" t="str">
        <f t="shared" si="287"/>
        <v>-</v>
      </c>
      <c r="AQ834" s="8"/>
      <c r="AR834" s="17" t="str">
        <f t="shared" si="288"/>
        <v>-</v>
      </c>
      <c r="AS834" s="17" t="str">
        <f t="shared" si="289"/>
        <v>-</v>
      </c>
      <c r="AT834" s="13" t="str">
        <f t="shared" si="290"/>
        <v>-</v>
      </c>
      <c r="AU834" s="8"/>
    </row>
    <row r="835" spans="1:47" x14ac:dyDescent="0.25">
      <c r="A835" s="31"/>
      <c r="B835" s="31"/>
      <c r="C835"/>
      <c r="D835" s="31"/>
      <c r="E835"/>
      <c r="F835" s="31"/>
      <c r="G835"/>
      <c r="H835" s="27">
        <f>IF($G835&lt;&gt;0,SUMIF(куб!$G:$G,$G835,куб!H:H),IF($E835&lt;&gt;0,SUMIF(куб!$E:$E,$E835,куб!H:H),IF($D835&lt;&gt;0,SUMIF(куб!$D:$D,$D835,куб!H:H),IF($C835&lt;&gt;0,SUMIF(куб!$C:$C,$C835,куб!H:H),IF($B835&lt;&gt;0,SUMIF(куб!$B:$B,$B835,куб!H:H),IF($G835&lt;&gt;0,SUMIF(куб!$A:$A,$G835,куб!H:H),SUMIF(куб!$A:$A,$G835,куб!H:H)))))))</f>
        <v>0</v>
      </c>
      <c r="I835" s="27">
        <f>IF($G835&lt;&gt;0,SUMIF(куб!$G:$G,$G835,куб!I:I),IF($E835&lt;&gt;0,SUMIF(куб!$E:$E,$E835,куб!I:I),IF($D835&lt;&gt;0,SUMIF(куб!$D:$D,$D835,куб!I:I),IF($C835&lt;&gt;0,SUMIF(куб!$C:$C,$C835,куб!I:I),IF($B835&lt;&gt;0,SUMIF(куб!$B:$B,$B835,куб!I:I),IF($G835&lt;&gt;0,SUMIF(куб!$A:$A,$G835,куб!I:I),SUMIF(куб!$A:$A,$G835,куб!I:I)))))))</f>
        <v>0</v>
      </c>
      <c r="J835" s="19" t="str">
        <f t="shared" si="273"/>
        <v>-</v>
      </c>
      <c r="K835" s="8"/>
      <c r="L835" s="17">
        <f t="shared" si="274"/>
        <v>0</v>
      </c>
      <c r="M835" s="17">
        <f t="shared" si="275"/>
        <v>0</v>
      </c>
      <c r="N835" s="12">
        <f t="shared" si="276"/>
        <v>0</v>
      </c>
      <c r="O835" s="5"/>
      <c r="P835" s="27" t="b">
        <f>IF($G835&lt;&gt;0,SUMIF(куб!$G:$G,$G835,куб!J:J),IF($E835&lt;&gt;0,SUMIF(куб!$E:$E,$E835,куб!J:J),IF($D835&lt;&gt;0,SUMIF(куб!$D:$D,$D835,куб!J:J),IF($C835&lt;&gt;0,SUMIF(куб!$C:$C,$C835,куб!J:J),IF($B835&lt;&gt;0,SUMIF(куб!$B:$B,$B835,куб!J:J))))))</f>
        <v>0</v>
      </c>
      <c r="Q835" s="27" t="b">
        <f>IF($G835&lt;&gt;0,SUMIF(куб!$G:$G,$G835,куб!K:K),IF($E835&lt;&gt;0,SUMIF(куб!$E:$E,$E835,куб!K:K),IF($D835&lt;&gt;0,SUMIF(куб!$D:$D,$D835,куб!K:K),IF($C835&lt;&gt;0,SUMIF(куб!$C:$C,$C835,куб!K:K),IF($B835&lt;&gt;0,SUMIF(куб!$B:$B,$B835,куб!K:K))))))</f>
        <v>0</v>
      </c>
      <c r="R835" s="13" t="str">
        <f t="shared" si="277"/>
        <v>-</v>
      </c>
      <c r="S835" s="5"/>
      <c r="T835" s="27" t="b">
        <f>IF($G835&lt;&gt;0,SUMIF(куб!$G:$G,$G835,куб!L:L),IF($E835&lt;&gt;0,SUMIF(куб!$E:$E,$E835,куб!L:L),IF($D835&lt;&gt;0,SUMIF(куб!$D:$D,$D835,куб!L:L),IF($C835&lt;&gt;0,SUMIF(куб!$C:$C,$C835,куб!L:L),IF($B835&lt;&gt;0,SUMIF(куб!$B:$B,$B835,куб!L:L))))))</f>
        <v>0</v>
      </c>
      <c r="U835" s="27" t="b">
        <f>IF($G835&lt;&gt;0,SUMIF(куб!$G:$G,$G835,куб!M:M),IF($E835&lt;&gt;0,SUMIF(куб!$E:$E,$E835,куб!M:M),IF($D835&lt;&gt;0,SUMIF(куб!$D:$D,$D835,куб!M:M),IF($C835&lt;&gt;0,SUMIF(куб!$C:$C,$C835,куб!M:M),IF($B835&lt;&gt;0,SUMIF(куб!$B:$B,$B835,куб!M:M))))))</f>
        <v>0</v>
      </c>
      <c r="V835" s="13" t="str">
        <f t="shared" si="278"/>
        <v>-</v>
      </c>
      <c r="W835" s="5"/>
      <c r="X835" s="27" t="b">
        <f>IF($G835&lt;&gt;0,SUMIF(куб!$G:$G,$G835,куб!N:N),IF($E835&lt;&gt;0,SUMIF(куб!$E:$E,$E835,куб!N:N),IF($D835&lt;&gt;0,SUMIF(куб!$D:$D,$D835,куб!N:N),IF($C835&lt;&gt;0,SUMIF(куб!$C:$C,$C835,куб!N:N),IF($B835&lt;&gt;0,SUMIF(куб!$B:$B,$B835,куб!N:N))))))</f>
        <v>0</v>
      </c>
      <c r="Y835" s="27" t="b">
        <f>IF($G835&lt;&gt;0,SUMIF(куб!$G:$G,$G835,куб!O:O),IF($E835&lt;&gt;0,SUMIF(куб!$E:$E,$E835,куб!O:O),IF($D835&lt;&gt;0,SUMIF(куб!$D:$D,$D835,куб!O:O),IF($C835&lt;&gt;0,SUMIF(куб!$C:$C,$C835,куб!O:O),IF($B835&lt;&gt;0,SUMIF(куб!$B:$B,$B835,куб!O:O))))))</f>
        <v>0</v>
      </c>
      <c r="Z835" s="13" t="str">
        <f t="shared" si="279"/>
        <v>-</v>
      </c>
      <c r="AA835" s="5"/>
      <c r="AB835" s="33" t="str">
        <f t="shared" si="280"/>
        <v/>
      </c>
      <c r="AC835" s="33" t="str">
        <f t="shared" si="281"/>
        <v/>
      </c>
      <c r="AD835" s="15" t="str">
        <f t="shared" si="282"/>
        <v xml:space="preserve"> </v>
      </c>
      <c r="AE835" s="5"/>
      <c r="AF835" s="27" t="b">
        <f>IF($G835&lt;&gt;0,SUMIF(куб!$G:$G,$G835,куб!R:R),IF($E835&lt;&gt;0,SUMIF(куб!$E:$E,$E835,куб!R:R),IF($D835&lt;&gt;0,SUMIF(куб!$D:$D,$D835,куб!R:R),IF($C835&lt;&gt;0,SUMIF(куб!$C:$C,$C835,куб!R:R),IF($B835&lt;&gt;0,SUMIF(куб!$B:$B,$B835,куб!R:R))))))</f>
        <v>0</v>
      </c>
      <c r="AG835" s="27" t="b">
        <f>IF($G835&lt;&gt;0,SUMIF(куб!$G:$G,$G835,куб!S:S),IF($E835&lt;&gt;0,SUMIF(куб!$E:$E,$E835,куб!S:S),IF($D835&lt;&gt;0,SUMIF(куб!$D:$D,$D835,куб!S:S),IF($C835&lt;&gt;0,SUMIF(куб!$C:$C,$C835,куб!S:S),IF($B835&lt;&gt;0,SUMIF(куб!$B:$B,$B835,куб!S:S))))))</f>
        <v>0</v>
      </c>
      <c r="AH835" s="16" t="str">
        <f t="shared" si="283"/>
        <v>-</v>
      </c>
      <c r="AI835" s="8"/>
      <c r="AJ835" s="27" t="b">
        <f>IF($G835&lt;&gt;0,SUMIF(куб!$G:$G,$G835,куб!T:T),IF($E835&lt;&gt;0,SUMIF(куб!$E:$E,$E835,куб!T:T),IF($D835&lt;&gt;0,SUMIF(куб!$D:$D,$D835,куб!T:T),IF($C835&lt;&gt;0,SUMIF(куб!$C:$C,$C835,куб!T:T),IF($B835&lt;&gt;0,SUMIF(куб!$B:$B,$B835,куб!T:T))))))</f>
        <v>0</v>
      </c>
      <c r="AK835" s="27" t="b">
        <f>IF($G835&lt;&gt;0,SUMIF(куб!$G:$G,$G835,куб!U:U),IF($E835&lt;&gt;0,SUMIF(куб!$E:$E,$E835,куб!U:U),IF($D835&lt;&gt;0,SUMIF(куб!$D:$D,$D835,куб!U:U),IF($C835&lt;&gt;0,SUMIF(куб!$C:$C,$C835,куб!U:U),IF($B835&lt;&gt;0,SUMIF(куб!$B:$B,$B835,куб!U:U))))))</f>
        <v>0</v>
      </c>
      <c r="AL835" s="16" t="str">
        <f t="shared" si="284"/>
        <v>-</v>
      </c>
      <c r="AM835" s="8"/>
      <c r="AN835" s="17" t="str">
        <f t="shared" si="285"/>
        <v xml:space="preserve"> </v>
      </c>
      <c r="AO835" s="17" t="str">
        <f t="shared" si="286"/>
        <v xml:space="preserve"> </v>
      </c>
      <c r="AP835" s="16" t="str">
        <f t="shared" si="287"/>
        <v>-</v>
      </c>
      <c r="AQ835" s="8"/>
      <c r="AR835" s="17" t="str">
        <f t="shared" si="288"/>
        <v>-</v>
      </c>
      <c r="AS835" s="17" t="str">
        <f t="shared" si="289"/>
        <v>-</v>
      </c>
      <c r="AT835" s="13" t="str">
        <f t="shared" si="290"/>
        <v>-</v>
      </c>
      <c r="AU835" s="8"/>
    </row>
    <row r="836" spans="1:47" x14ac:dyDescent="0.25">
      <c r="A836" s="31"/>
      <c r="B836" s="31"/>
      <c r="C836"/>
      <c r="D836" s="31"/>
      <c r="E836"/>
      <c r="F836" s="31"/>
      <c r="G836"/>
      <c r="H836" s="27">
        <f>IF($G836&lt;&gt;0,SUMIF(куб!$G:$G,$G836,куб!H:H),IF($E836&lt;&gt;0,SUMIF(куб!$E:$E,$E836,куб!H:H),IF($D836&lt;&gt;0,SUMIF(куб!$D:$D,$D836,куб!H:H),IF($C836&lt;&gt;0,SUMIF(куб!$C:$C,$C836,куб!H:H),IF($B836&lt;&gt;0,SUMIF(куб!$B:$B,$B836,куб!H:H),IF($G836&lt;&gt;0,SUMIF(куб!$A:$A,$G836,куб!H:H),SUMIF(куб!$A:$A,$G836,куб!H:H)))))))</f>
        <v>0</v>
      </c>
      <c r="I836" s="27">
        <f>IF($G836&lt;&gt;0,SUMIF(куб!$G:$G,$G836,куб!I:I),IF($E836&lt;&gt;0,SUMIF(куб!$E:$E,$E836,куб!I:I),IF($D836&lt;&gt;0,SUMIF(куб!$D:$D,$D836,куб!I:I),IF($C836&lt;&gt;0,SUMIF(куб!$C:$C,$C836,куб!I:I),IF($B836&lt;&gt;0,SUMIF(куб!$B:$B,$B836,куб!I:I),IF($G836&lt;&gt;0,SUMIF(куб!$A:$A,$G836,куб!I:I),SUMIF(куб!$A:$A,$G836,куб!I:I)))))))</f>
        <v>0</v>
      </c>
      <c r="J836" s="19" t="str">
        <f t="shared" si="273"/>
        <v>-</v>
      </c>
      <c r="K836" s="8"/>
      <c r="L836" s="17">
        <f t="shared" si="274"/>
        <v>0</v>
      </c>
      <c r="M836" s="17">
        <f t="shared" si="275"/>
        <v>0</v>
      </c>
      <c r="N836" s="12">
        <f t="shared" si="276"/>
        <v>0</v>
      </c>
      <c r="O836" s="5"/>
      <c r="P836" s="27" t="b">
        <f>IF($G836&lt;&gt;0,SUMIF(куб!$G:$G,$G836,куб!J:J),IF($E836&lt;&gt;0,SUMIF(куб!$E:$E,$E836,куб!J:J),IF($D836&lt;&gt;0,SUMIF(куб!$D:$D,$D836,куб!J:J),IF($C836&lt;&gt;0,SUMIF(куб!$C:$C,$C836,куб!J:J),IF($B836&lt;&gt;0,SUMIF(куб!$B:$B,$B836,куб!J:J))))))</f>
        <v>0</v>
      </c>
      <c r="Q836" s="27" t="b">
        <f>IF($G836&lt;&gt;0,SUMIF(куб!$G:$G,$G836,куб!K:K),IF($E836&lt;&gt;0,SUMIF(куб!$E:$E,$E836,куб!K:K),IF($D836&lt;&gt;0,SUMIF(куб!$D:$D,$D836,куб!K:K),IF($C836&lt;&gt;0,SUMIF(куб!$C:$C,$C836,куб!K:K),IF($B836&lt;&gt;0,SUMIF(куб!$B:$B,$B836,куб!K:K))))))</f>
        <v>0</v>
      </c>
      <c r="R836" s="13" t="str">
        <f t="shared" si="277"/>
        <v>-</v>
      </c>
      <c r="S836" s="5"/>
      <c r="T836" s="27" t="b">
        <f>IF($G836&lt;&gt;0,SUMIF(куб!$G:$G,$G836,куб!L:L),IF($E836&lt;&gt;0,SUMIF(куб!$E:$E,$E836,куб!L:L),IF($D836&lt;&gt;0,SUMIF(куб!$D:$D,$D836,куб!L:L),IF($C836&lt;&gt;0,SUMIF(куб!$C:$C,$C836,куб!L:L),IF($B836&lt;&gt;0,SUMIF(куб!$B:$B,$B836,куб!L:L))))))</f>
        <v>0</v>
      </c>
      <c r="U836" s="27" t="b">
        <f>IF($G836&lt;&gt;0,SUMIF(куб!$G:$G,$G836,куб!M:M),IF($E836&lt;&gt;0,SUMIF(куб!$E:$E,$E836,куб!M:M),IF($D836&lt;&gt;0,SUMIF(куб!$D:$D,$D836,куб!M:M),IF($C836&lt;&gt;0,SUMIF(куб!$C:$C,$C836,куб!M:M),IF($B836&lt;&gt;0,SUMIF(куб!$B:$B,$B836,куб!M:M))))))</f>
        <v>0</v>
      </c>
      <c r="V836" s="13" t="str">
        <f t="shared" si="278"/>
        <v>-</v>
      </c>
      <c r="W836" s="5"/>
      <c r="X836" s="27" t="b">
        <f>IF($G836&lt;&gt;0,SUMIF(куб!$G:$G,$G836,куб!N:N),IF($E836&lt;&gt;0,SUMIF(куб!$E:$E,$E836,куб!N:N),IF($D836&lt;&gt;0,SUMIF(куб!$D:$D,$D836,куб!N:N),IF($C836&lt;&gt;0,SUMIF(куб!$C:$C,$C836,куб!N:N),IF($B836&lt;&gt;0,SUMIF(куб!$B:$B,$B836,куб!N:N))))))</f>
        <v>0</v>
      </c>
      <c r="Y836" s="27" t="b">
        <f>IF($G836&lt;&gt;0,SUMIF(куб!$G:$G,$G836,куб!O:O),IF($E836&lt;&gt;0,SUMIF(куб!$E:$E,$E836,куб!O:O),IF($D836&lt;&gt;0,SUMIF(куб!$D:$D,$D836,куб!O:O),IF($C836&lt;&gt;0,SUMIF(куб!$C:$C,$C836,куб!O:O),IF($B836&lt;&gt;0,SUMIF(куб!$B:$B,$B836,куб!O:O))))))</f>
        <v>0</v>
      </c>
      <c r="Z836" s="13" t="str">
        <f t="shared" si="279"/>
        <v>-</v>
      </c>
      <c r="AA836" s="5"/>
      <c r="AB836" s="33" t="str">
        <f t="shared" si="280"/>
        <v/>
      </c>
      <c r="AC836" s="33" t="str">
        <f t="shared" si="281"/>
        <v/>
      </c>
      <c r="AD836" s="15" t="str">
        <f t="shared" si="282"/>
        <v xml:space="preserve"> </v>
      </c>
      <c r="AE836" s="5"/>
      <c r="AF836" s="27" t="b">
        <f>IF($G836&lt;&gt;0,SUMIF(куб!$G:$G,$G836,куб!R:R),IF($E836&lt;&gt;0,SUMIF(куб!$E:$E,$E836,куб!R:R),IF($D836&lt;&gt;0,SUMIF(куб!$D:$D,$D836,куб!R:R),IF($C836&lt;&gt;0,SUMIF(куб!$C:$C,$C836,куб!R:R),IF($B836&lt;&gt;0,SUMIF(куб!$B:$B,$B836,куб!R:R))))))</f>
        <v>0</v>
      </c>
      <c r="AG836" s="27" t="b">
        <f>IF($G836&lt;&gt;0,SUMIF(куб!$G:$G,$G836,куб!S:S),IF($E836&lt;&gt;0,SUMIF(куб!$E:$E,$E836,куб!S:S),IF($D836&lt;&gt;0,SUMIF(куб!$D:$D,$D836,куб!S:S),IF($C836&lt;&gt;0,SUMIF(куб!$C:$C,$C836,куб!S:S),IF($B836&lt;&gt;0,SUMIF(куб!$B:$B,$B836,куб!S:S))))))</f>
        <v>0</v>
      </c>
      <c r="AH836" s="16" t="str">
        <f t="shared" si="283"/>
        <v>-</v>
      </c>
      <c r="AI836" s="8"/>
      <c r="AJ836" s="27" t="b">
        <f>IF($G836&lt;&gt;0,SUMIF(куб!$G:$G,$G836,куб!T:T),IF($E836&lt;&gt;0,SUMIF(куб!$E:$E,$E836,куб!T:T),IF($D836&lt;&gt;0,SUMIF(куб!$D:$D,$D836,куб!T:T),IF($C836&lt;&gt;0,SUMIF(куб!$C:$C,$C836,куб!T:T),IF($B836&lt;&gt;0,SUMIF(куб!$B:$B,$B836,куб!T:T))))))</f>
        <v>0</v>
      </c>
      <c r="AK836" s="27" t="b">
        <f>IF($G836&lt;&gt;0,SUMIF(куб!$G:$G,$G836,куб!U:U),IF($E836&lt;&gt;0,SUMIF(куб!$E:$E,$E836,куб!U:U),IF($D836&lt;&gt;0,SUMIF(куб!$D:$D,$D836,куб!U:U),IF($C836&lt;&gt;0,SUMIF(куб!$C:$C,$C836,куб!U:U),IF($B836&lt;&gt;0,SUMIF(куб!$B:$B,$B836,куб!U:U))))))</f>
        <v>0</v>
      </c>
      <c r="AL836" s="16" t="str">
        <f t="shared" si="284"/>
        <v>-</v>
      </c>
      <c r="AM836" s="8"/>
      <c r="AN836" s="17" t="str">
        <f t="shared" si="285"/>
        <v xml:space="preserve"> </v>
      </c>
      <c r="AO836" s="17" t="str">
        <f t="shared" si="286"/>
        <v xml:space="preserve"> </v>
      </c>
      <c r="AP836" s="16" t="str">
        <f t="shared" si="287"/>
        <v>-</v>
      </c>
      <c r="AQ836" s="8"/>
      <c r="AR836" s="17" t="str">
        <f t="shared" si="288"/>
        <v>-</v>
      </c>
      <c r="AS836" s="17" t="str">
        <f t="shared" si="289"/>
        <v>-</v>
      </c>
      <c r="AT836" s="13" t="str">
        <f t="shared" si="290"/>
        <v>-</v>
      </c>
      <c r="AU836" s="8"/>
    </row>
    <row r="837" spans="1:47" x14ac:dyDescent="0.25">
      <c r="A837" s="31"/>
      <c r="B837" s="31"/>
      <c r="C837"/>
      <c r="D837" s="31"/>
      <c r="E837"/>
      <c r="F837" s="31"/>
      <c r="G837"/>
      <c r="H837" s="27">
        <f>IF($G837&lt;&gt;0,SUMIF(куб!$G:$G,$G837,куб!H:H),IF($E837&lt;&gt;0,SUMIF(куб!$E:$E,$E837,куб!H:H),IF($D837&lt;&gt;0,SUMIF(куб!$D:$D,$D837,куб!H:H),IF($C837&lt;&gt;0,SUMIF(куб!$C:$C,$C837,куб!H:H),IF($B837&lt;&gt;0,SUMIF(куб!$B:$B,$B837,куб!H:H),IF($G837&lt;&gt;0,SUMIF(куб!$A:$A,$G837,куб!H:H),SUMIF(куб!$A:$A,$G837,куб!H:H)))))))</f>
        <v>0</v>
      </c>
      <c r="I837" s="27">
        <f>IF($G837&lt;&gt;0,SUMIF(куб!$G:$G,$G837,куб!I:I),IF($E837&lt;&gt;0,SUMIF(куб!$E:$E,$E837,куб!I:I),IF($D837&lt;&gt;0,SUMIF(куб!$D:$D,$D837,куб!I:I),IF($C837&lt;&gt;0,SUMIF(куб!$C:$C,$C837,куб!I:I),IF($B837&lt;&gt;0,SUMIF(куб!$B:$B,$B837,куб!I:I),IF($G837&lt;&gt;0,SUMIF(куб!$A:$A,$G837,куб!I:I),SUMIF(куб!$A:$A,$G837,куб!I:I)))))))</f>
        <v>0</v>
      </c>
      <c r="J837" s="19" t="str">
        <f t="shared" si="273"/>
        <v>-</v>
      </c>
      <c r="K837" s="8"/>
      <c r="L837" s="17">
        <f t="shared" si="274"/>
        <v>0</v>
      </c>
      <c r="M837" s="17">
        <f t="shared" si="275"/>
        <v>0</v>
      </c>
      <c r="N837" s="12">
        <f t="shared" si="276"/>
        <v>0</v>
      </c>
      <c r="O837" s="5"/>
      <c r="P837" s="27" t="b">
        <f>IF($G837&lt;&gt;0,SUMIF(куб!$G:$G,$G837,куб!J:J),IF($E837&lt;&gt;0,SUMIF(куб!$E:$E,$E837,куб!J:J),IF($D837&lt;&gt;0,SUMIF(куб!$D:$D,$D837,куб!J:J),IF($C837&lt;&gt;0,SUMIF(куб!$C:$C,$C837,куб!J:J),IF($B837&lt;&gt;0,SUMIF(куб!$B:$B,$B837,куб!J:J))))))</f>
        <v>0</v>
      </c>
      <c r="Q837" s="27" t="b">
        <f>IF($G837&lt;&gt;0,SUMIF(куб!$G:$G,$G837,куб!K:K),IF($E837&lt;&gt;0,SUMIF(куб!$E:$E,$E837,куб!K:K),IF($D837&lt;&gt;0,SUMIF(куб!$D:$D,$D837,куб!K:K),IF($C837&lt;&gt;0,SUMIF(куб!$C:$C,$C837,куб!K:K),IF($B837&lt;&gt;0,SUMIF(куб!$B:$B,$B837,куб!K:K))))))</f>
        <v>0</v>
      </c>
      <c r="R837" s="13" t="str">
        <f t="shared" si="277"/>
        <v>-</v>
      </c>
      <c r="S837" s="5"/>
      <c r="T837" s="27" t="b">
        <f>IF($G837&lt;&gt;0,SUMIF(куб!$G:$G,$G837,куб!L:L),IF($E837&lt;&gt;0,SUMIF(куб!$E:$E,$E837,куб!L:L),IF($D837&lt;&gt;0,SUMIF(куб!$D:$D,$D837,куб!L:L),IF($C837&lt;&gt;0,SUMIF(куб!$C:$C,$C837,куб!L:L),IF($B837&lt;&gt;0,SUMIF(куб!$B:$B,$B837,куб!L:L))))))</f>
        <v>0</v>
      </c>
      <c r="U837" s="27" t="b">
        <f>IF($G837&lt;&gt;0,SUMIF(куб!$G:$G,$G837,куб!M:M),IF($E837&lt;&gt;0,SUMIF(куб!$E:$E,$E837,куб!M:M),IF($D837&lt;&gt;0,SUMIF(куб!$D:$D,$D837,куб!M:M),IF($C837&lt;&gt;0,SUMIF(куб!$C:$C,$C837,куб!M:M),IF($B837&lt;&gt;0,SUMIF(куб!$B:$B,$B837,куб!M:M))))))</f>
        <v>0</v>
      </c>
      <c r="V837" s="13" t="str">
        <f t="shared" si="278"/>
        <v>-</v>
      </c>
      <c r="W837" s="5"/>
      <c r="X837" s="27" t="b">
        <f>IF($G837&lt;&gt;0,SUMIF(куб!$G:$G,$G837,куб!N:N),IF($E837&lt;&gt;0,SUMIF(куб!$E:$E,$E837,куб!N:N),IF($D837&lt;&gt;0,SUMIF(куб!$D:$D,$D837,куб!N:N),IF($C837&lt;&gt;0,SUMIF(куб!$C:$C,$C837,куб!N:N),IF($B837&lt;&gt;0,SUMIF(куб!$B:$B,$B837,куб!N:N))))))</f>
        <v>0</v>
      </c>
      <c r="Y837" s="27" t="b">
        <f>IF($G837&lt;&gt;0,SUMIF(куб!$G:$G,$G837,куб!O:O),IF($E837&lt;&gt;0,SUMIF(куб!$E:$E,$E837,куб!O:O),IF($D837&lt;&gt;0,SUMIF(куб!$D:$D,$D837,куб!O:O),IF($C837&lt;&gt;0,SUMIF(куб!$C:$C,$C837,куб!O:O),IF($B837&lt;&gt;0,SUMIF(куб!$B:$B,$B837,куб!O:O))))))</f>
        <v>0</v>
      </c>
      <c r="Z837" s="13" t="str">
        <f t="shared" si="279"/>
        <v>-</v>
      </c>
      <c r="AA837" s="5"/>
      <c r="AB837" s="33" t="str">
        <f t="shared" si="280"/>
        <v/>
      </c>
      <c r="AC837" s="33" t="str">
        <f t="shared" si="281"/>
        <v/>
      </c>
      <c r="AD837" s="15" t="str">
        <f t="shared" si="282"/>
        <v xml:space="preserve"> </v>
      </c>
      <c r="AE837" s="5"/>
      <c r="AF837" s="27" t="b">
        <f>IF($G837&lt;&gt;0,SUMIF(куб!$G:$G,$G837,куб!R:R),IF($E837&lt;&gt;0,SUMIF(куб!$E:$E,$E837,куб!R:R),IF($D837&lt;&gt;0,SUMIF(куб!$D:$D,$D837,куб!R:R),IF($C837&lt;&gt;0,SUMIF(куб!$C:$C,$C837,куб!R:R),IF($B837&lt;&gt;0,SUMIF(куб!$B:$B,$B837,куб!R:R))))))</f>
        <v>0</v>
      </c>
      <c r="AG837" s="27" t="b">
        <f>IF($G837&lt;&gt;0,SUMIF(куб!$G:$G,$G837,куб!S:S),IF($E837&lt;&gt;0,SUMIF(куб!$E:$E,$E837,куб!S:S),IF($D837&lt;&gt;0,SUMIF(куб!$D:$D,$D837,куб!S:S),IF($C837&lt;&gt;0,SUMIF(куб!$C:$C,$C837,куб!S:S),IF($B837&lt;&gt;0,SUMIF(куб!$B:$B,$B837,куб!S:S))))))</f>
        <v>0</v>
      </c>
      <c r="AH837" s="16" t="str">
        <f t="shared" si="283"/>
        <v>-</v>
      </c>
      <c r="AI837" s="8"/>
      <c r="AJ837" s="27" t="b">
        <f>IF($G837&lt;&gt;0,SUMIF(куб!$G:$G,$G837,куб!T:T),IF($E837&lt;&gt;0,SUMIF(куб!$E:$E,$E837,куб!T:T),IF($D837&lt;&gt;0,SUMIF(куб!$D:$D,$D837,куб!T:T),IF($C837&lt;&gt;0,SUMIF(куб!$C:$C,$C837,куб!T:T),IF($B837&lt;&gt;0,SUMIF(куб!$B:$B,$B837,куб!T:T))))))</f>
        <v>0</v>
      </c>
      <c r="AK837" s="27" t="b">
        <f>IF($G837&lt;&gt;0,SUMIF(куб!$G:$G,$G837,куб!U:U),IF($E837&lt;&gt;0,SUMIF(куб!$E:$E,$E837,куб!U:U),IF($D837&lt;&gt;0,SUMIF(куб!$D:$D,$D837,куб!U:U),IF($C837&lt;&gt;0,SUMIF(куб!$C:$C,$C837,куб!U:U),IF($B837&lt;&gt;0,SUMIF(куб!$B:$B,$B837,куб!U:U))))))</f>
        <v>0</v>
      </c>
      <c r="AL837" s="16" t="str">
        <f t="shared" si="284"/>
        <v>-</v>
      </c>
      <c r="AM837" s="8"/>
      <c r="AN837" s="17" t="str">
        <f t="shared" si="285"/>
        <v xml:space="preserve"> </v>
      </c>
      <c r="AO837" s="17" t="str">
        <f t="shared" si="286"/>
        <v xml:space="preserve"> </v>
      </c>
      <c r="AP837" s="16" t="str">
        <f t="shared" si="287"/>
        <v>-</v>
      </c>
      <c r="AQ837" s="8"/>
      <c r="AR837" s="17" t="str">
        <f t="shared" si="288"/>
        <v>-</v>
      </c>
      <c r="AS837" s="17" t="str">
        <f t="shared" si="289"/>
        <v>-</v>
      </c>
      <c r="AT837" s="13" t="str">
        <f t="shared" si="290"/>
        <v>-</v>
      </c>
      <c r="AU837" s="8"/>
    </row>
    <row r="838" spans="1:47" x14ac:dyDescent="0.25">
      <c r="A838" s="31"/>
      <c r="B838" s="31"/>
      <c r="C838"/>
      <c r="D838" s="31"/>
      <c r="E838"/>
      <c r="F838" s="31"/>
      <c r="G838"/>
      <c r="H838" s="27">
        <f>IF($G838&lt;&gt;0,SUMIF(куб!$G:$G,$G838,куб!H:H),IF($E838&lt;&gt;0,SUMIF(куб!$E:$E,$E838,куб!H:H),IF($D838&lt;&gt;0,SUMIF(куб!$D:$D,$D838,куб!H:H),IF($C838&lt;&gt;0,SUMIF(куб!$C:$C,$C838,куб!H:H),IF($B838&lt;&gt;0,SUMIF(куб!$B:$B,$B838,куб!H:H),IF($G838&lt;&gt;0,SUMIF(куб!$A:$A,$G838,куб!H:H),SUMIF(куб!$A:$A,$G838,куб!H:H)))))))</f>
        <v>0</v>
      </c>
      <c r="I838" s="27">
        <f>IF($G838&lt;&gt;0,SUMIF(куб!$G:$G,$G838,куб!I:I),IF($E838&lt;&gt;0,SUMIF(куб!$E:$E,$E838,куб!I:I),IF($D838&lt;&gt;0,SUMIF(куб!$D:$D,$D838,куб!I:I),IF($C838&lt;&gt;0,SUMIF(куб!$C:$C,$C838,куб!I:I),IF($B838&lt;&gt;0,SUMIF(куб!$B:$B,$B838,куб!I:I),IF($G838&lt;&gt;0,SUMIF(куб!$A:$A,$G838,куб!I:I),SUMIF(куб!$A:$A,$G838,куб!I:I)))))))</f>
        <v>0</v>
      </c>
      <c r="J838" s="19" t="str">
        <f t="shared" si="273"/>
        <v>-</v>
      </c>
      <c r="K838" s="8"/>
      <c r="L838" s="17">
        <f t="shared" si="274"/>
        <v>0</v>
      </c>
      <c r="M838" s="17">
        <f t="shared" si="275"/>
        <v>0</v>
      </c>
      <c r="N838" s="12">
        <f t="shared" si="276"/>
        <v>0</v>
      </c>
      <c r="O838" s="5"/>
      <c r="P838" s="27" t="b">
        <f>IF($G838&lt;&gt;0,SUMIF(куб!$G:$G,$G838,куб!J:J),IF($E838&lt;&gt;0,SUMIF(куб!$E:$E,$E838,куб!J:J),IF($D838&lt;&gt;0,SUMIF(куб!$D:$D,$D838,куб!J:J),IF($C838&lt;&gt;0,SUMIF(куб!$C:$C,$C838,куб!J:J),IF($B838&lt;&gt;0,SUMIF(куб!$B:$B,$B838,куб!J:J))))))</f>
        <v>0</v>
      </c>
      <c r="Q838" s="27" t="b">
        <f>IF($G838&lt;&gt;0,SUMIF(куб!$G:$G,$G838,куб!K:K),IF($E838&lt;&gt;0,SUMIF(куб!$E:$E,$E838,куб!K:K),IF($D838&lt;&gt;0,SUMIF(куб!$D:$D,$D838,куб!K:K),IF($C838&lt;&gt;0,SUMIF(куб!$C:$C,$C838,куб!K:K),IF($B838&lt;&gt;0,SUMIF(куб!$B:$B,$B838,куб!K:K))))))</f>
        <v>0</v>
      </c>
      <c r="R838" s="13" t="str">
        <f t="shared" si="277"/>
        <v>-</v>
      </c>
      <c r="S838" s="5"/>
      <c r="T838" s="27" t="b">
        <f>IF($G838&lt;&gt;0,SUMIF(куб!$G:$G,$G838,куб!L:L),IF($E838&lt;&gt;0,SUMIF(куб!$E:$E,$E838,куб!L:L),IF($D838&lt;&gt;0,SUMIF(куб!$D:$D,$D838,куб!L:L),IF($C838&lt;&gt;0,SUMIF(куб!$C:$C,$C838,куб!L:L),IF($B838&lt;&gt;0,SUMIF(куб!$B:$B,$B838,куб!L:L))))))</f>
        <v>0</v>
      </c>
      <c r="U838" s="27" t="b">
        <f>IF($G838&lt;&gt;0,SUMIF(куб!$G:$G,$G838,куб!M:M),IF($E838&lt;&gt;0,SUMIF(куб!$E:$E,$E838,куб!M:M),IF($D838&lt;&gt;0,SUMIF(куб!$D:$D,$D838,куб!M:M),IF($C838&lt;&gt;0,SUMIF(куб!$C:$C,$C838,куб!M:M),IF($B838&lt;&gt;0,SUMIF(куб!$B:$B,$B838,куб!M:M))))))</f>
        <v>0</v>
      </c>
      <c r="V838" s="13" t="str">
        <f t="shared" si="278"/>
        <v>-</v>
      </c>
      <c r="W838" s="5"/>
      <c r="X838" s="27" t="b">
        <f>IF($G838&lt;&gt;0,SUMIF(куб!$G:$G,$G838,куб!N:N),IF($E838&lt;&gt;0,SUMIF(куб!$E:$E,$E838,куб!N:N),IF($D838&lt;&gt;0,SUMIF(куб!$D:$D,$D838,куб!N:N),IF($C838&lt;&gt;0,SUMIF(куб!$C:$C,$C838,куб!N:N),IF($B838&lt;&gt;0,SUMIF(куб!$B:$B,$B838,куб!N:N))))))</f>
        <v>0</v>
      </c>
      <c r="Y838" s="27" t="b">
        <f>IF($G838&lt;&gt;0,SUMIF(куб!$G:$G,$G838,куб!O:O),IF($E838&lt;&gt;0,SUMIF(куб!$E:$E,$E838,куб!O:O),IF($D838&lt;&gt;0,SUMIF(куб!$D:$D,$D838,куб!O:O),IF($C838&lt;&gt;0,SUMIF(куб!$C:$C,$C838,куб!O:O),IF($B838&lt;&gt;0,SUMIF(куб!$B:$B,$B838,куб!O:O))))))</f>
        <v>0</v>
      </c>
      <c r="Z838" s="13" t="str">
        <f t="shared" si="279"/>
        <v>-</v>
      </c>
      <c r="AA838" s="5"/>
      <c r="AB838" s="33" t="str">
        <f t="shared" si="280"/>
        <v/>
      </c>
      <c r="AC838" s="33" t="str">
        <f t="shared" si="281"/>
        <v/>
      </c>
      <c r="AD838" s="15" t="str">
        <f t="shared" si="282"/>
        <v xml:space="preserve"> </v>
      </c>
      <c r="AE838" s="5"/>
      <c r="AF838" s="27" t="b">
        <f>IF($G838&lt;&gt;0,SUMIF(куб!$G:$G,$G838,куб!R:R),IF($E838&lt;&gt;0,SUMIF(куб!$E:$E,$E838,куб!R:R),IF($D838&lt;&gt;0,SUMIF(куб!$D:$D,$D838,куб!R:R),IF($C838&lt;&gt;0,SUMIF(куб!$C:$C,$C838,куб!R:R),IF($B838&lt;&gt;0,SUMIF(куб!$B:$B,$B838,куб!R:R))))))</f>
        <v>0</v>
      </c>
      <c r="AG838" s="27" t="b">
        <f>IF($G838&lt;&gt;0,SUMIF(куб!$G:$G,$G838,куб!S:S),IF($E838&lt;&gt;0,SUMIF(куб!$E:$E,$E838,куб!S:S),IF($D838&lt;&gt;0,SUMIF(куб!$D:$D,$D838,куб!S:S),IF($C838&lt;&gt;0,SUMIF(куб!$C:$C,$C838,куб!S:S),IF($B838&lt;&gt;0,SUMIF(куб!$B:$B,$B838,куб!S:S))))))</f>
        <v>0</v>
      </c>
      <c r="AH838" s="16" t="str">
        <f t="shared" si="283"/>
        <v>-</v>
      </c>
      <c r="AI838" s="8"/>
      <c r="AJ838" s="27" t="b">
        <f>IF($G838&lt;&gt;0,SUMIF(куб!$G:$G,$G838,куб!T:T),IF($E838&lt;&gt;0,SUMIF(куб!$E:$E,$E838,куб!T:T),IF($D838&lt;&gt;0,SUMIF(куб!$D:$D,$D838,куб!T:T),IF($C838&lt;&gt;0,SUMIF(куб!$C:$C,$C838,куб!T:T),IF($B838&lt;&gt;0,SUMIF(куб!$B:$B,$B838,куб!T:T))))))</f>
        <v>0</v>
      </c>
      <c r="AK838" s="27" t="b">
        <f>IF($G838&lt;&gt;0,SUMIF(куб!$G:$G,$G838,куб!U:U),IF($E838&lt;&gt;0,SUMIF(куб!$E:$E,$E838,куб!U:U),IF($D838&lt;&gt;0,SUMIF(куб!$D:$D,$D838,куб!U:U),IF($C838&lt;&gt;0,SUMIF(куб!$C:$C,$C838,куб!U:U),IF($B838&lt;&gt;0,SUMIF(куб!$B:$B,$B838,куб!U:U))))))</f>
        <v>0</v>
      </c>
      <c r="AL838" s="16" t="str">
        <f t="shared" si="284"/>
        <v>-</v>
      </c>
      <c r="AM838" s="8"/>
      <c r="AN838" s="17" t="str">
        <f t="shared" si="285"/>
        <v xml:space="preserve"> </v>
      </c>
      <c r="AO838" s="17" t="str">
        <f t="shared" si="286"/>
        <v xml:space="preserve"> </v>
      </c>
      <c r="AP838" s="16" t="str">
        <f t="shared" si="287"/>
        <v>-</v>
      </c>
      <c r="AQ838" s="8"/>
      <c r="AR838" s="17" t="str">
        <f t="shared" si="288"/>
        <v>-</v>
      </c>
      <c r="AS838" s="17" t="str">
        <f t="shared" si="289"/>
        <v>-</v>
      </c>
      <c r="AT838" s="13" t="str">
        <f t="shared" si="290"/>
        <v>-</v>
      </c>
      <c r="AU838" s="8"/>
    </row>
    <row r="839" spans="1:47" x14ac:dyDescent="0.25">
      <c r="A839" s="31"/>
      <c r="B839" s="31"/>
      <c r="C839"/>
      <c r="D839" s="31"/>
      <c r="E839"/>
      <c r="F839" s="31"/>
      <c r="G839"/>
      <c r="H839" s="27">
        <f>IF($G839&lt;&gt;0,SUMIF(куб!$G:$G,$G839,куб!H:H),IF($E839&lt;&gt;0,SUMIF(куб!$E:$E,$E839,куб!H:H),IF($D839&lt;&gt;0,SUMIF(куб!$D:$D,$D839,куб!H:H),IF($C839&lt;&gt;0,SUMIF(куб!$C:$C,$C839,куб!H:H),IF($B839&lt;&gt;0,SUMIF(куб!$B:$B,$B839,куб!H:H),IF($G839&lt;&gt;0,SUMIF(куб!$A:$A,$G839,куб!H:H),SUMIF(куб!$A:$A,$G839,куб!H:H)))))))</f>
        <v>0</v>
      </c>
      <c r="I839" s="27">
        <f>IF($G839&lt;&gt;0,SUMIF(куб!$G:$G,$G839,куб!I:I),IF($E839&lt;&gt;0,SUMIF(куб!$E:$E,$E839,куб!I:I),IF($D839&lt;&gt;0,SUMIF(куб!$D:$D,$D839,куб!I:I),IF($C839&lt;&gt;0,SUMIF(куб!$C:$C,$C839,куб!I:I),IF($B839&lt;&gt;0,SUMIF(куб!$B:$B,$B839,куб!I:I),IF($G839&lt;&gt;0,SUMIF(куб!$A:$A,$G839,куб!I:I),SUMIF(куб!$A:$A,$G839,куб!I:I)))))))</f>
        <v>0</v>
      </c>
      <c r="J839" s="19" t="str">
        <f t="shared" si="273"/>
        <v>-</v>
      </c>
      <c r="K839" s="8"/>
      <c r="L839" s="17">
        <f t="shared" si="274"/>
        <v>0</v>
      </c>
      <c r="M839" s="17">
        <f t="shared" si="275"/>
        <v>0</v>
      </c>
      <c r="N839" s="12">
        <f t="shared" si="276"/>
        <v>0</v>
      </c>
      <c r="O839" s="5"/>
      <c r="P839" s="27" t="b">
        <f>IF($G839&lt;&gt;0,SUMIF(куб!$G:$G,$G839,куб!J:J),IF($E839&lt;&gt;0,SUMIF(куб!$E:$E,$E839,куб!J:J),IF($D839&lt;&gt;0,SUMIF(куб!$D:$D,$D839,куб!J:J),IF($C839&lt;&gt;0,SUMIF(куб!$C:$C,$C839,куб!J:J),IF($B839&lt;&gt;0,SUMIF(куб!$B:$B,$B839,куб!J:J))))))</f>
        <v>0</v>
      </c>
      <c r="Q839" s="27" t="b">
        <f>IF($G839&lt;&gt;0,SUMIF(куб!$G:$G,$G839,куб!K:K),IF($E839&lt;&gt;0,SUMIF(куб!$E:$E,$E839,куб!K:K),IF($D839&lt;&gt;0,SUMIF(куб!$D:$D,$D839,куб!K:K),IF($C839&lt;&gt;0,SUMIF(куб!$C:$C,$C839,куб!K:K),IF($B839&lt;&gt;0,SUMIF(куб!$B:$B,$B839,куб!K:K))))))</f>
        <v>0</v>
      </c>
      <c r="R839" s="13" t="str">
        <f t="shared" si="277"/>
        <v>-</v>
      </c>
      <c r="S839" s="5"/>
      <c r="T839" s="27" t="b">
        <f>IF($G839&lt;&gt;0,SUMIF(куб!$G:$G,$G839,куб!L:L),IF($E839&lt;&gt;0,SUMIF(куб!$E:$E,$E839,куб!L:L),IF($D839&lt;&gt;0,SUMIF(куб!$D:$D,$D839,куб!L:L),IF($C839&lt;&gt;0,SUMIF(куб!$C:$C,$C839,куб!L:L),IF($B839&lt;&gt;0,SUMIF(куб!$B:$B,$B839,куб!L:L))))))</f>
        <v>0</v>
      </c>
      <c r="U839" s="27" t="b">
        <f>IF($G839&lt;&gt;0,SUMIF(куб!$G:$G,$G839,куб!M:M),IF($E839&lt;&gt;0,SUMIF(куб!$E:$E,$E839,куб!M:M),IF($D839&lt;&gt;0,SUMIF(куб!$D:$D,$D839,куб!M:M),IF($C839&lt;&gt;0,SUMIF(куб!$C:$C,$C839,куб!M:M),IF($B839&lt;&gt;0,SUMIF(куб!$B:$B,$B839,куб!M:M))))))</f>
        <v>0</v>
      </c>
      <c r="V839" s="13" t="str">
        <f t="shared" si="278"/>
        <v>-</v>
      </c>
      <c r="W839" s="5"/>
      <c r="X839" s="27" t="b">
        <f>IF($G839&lt;&gt;0,SUMIF(куб!$G:$G,$G839,куб!N:N),IF($E839&lt;&gt;0,SUMIF(куб!$E:$E,$E839,куб!N:N),IF($D839&lt;&gt;0,SUMIF(куб!$D:$D,$D839,куб!N:N),IF($C839&lt;&gt;0,SUMIF(куб!$C:$C,$C839,куб!N:N),IF($B839&lt;&gt;0,SUMIF(куб!$B:$B,$B839,куб!N:N))))))</f>
        <v>0</v>
      </c>
      <c r="Y839" s="27" t="b">
        <f>IF($G839&lt;&gt;0,SUMIF(куб!$G:$G,$G839,куб!O:O),IF($E839&lt;&gt;0,SUMIF(куб!$E:$E,$E839,куб!O:O),IF($D839&lt;&gt;0,SUMIF(куб!$D:$D,$D839,куб!O:O),IF($C839&lt;&gt;0,SUMIF(куб!$C:$C,$C839,куб!O:O),IF($B839&lt;&gt;0,SUMIF(куб!$B:$B,$B839,куб!O:O))))))</f>
        <v>0</v>
      </c>
      <c r="Z839" s="13" t="str">
        <f t="shared" si="279"/>
        <v>-</v>
      </c>
      <c r="AA839" s="5"/>
      <c r="AB839" s="33" t="str">
        <f t="shared" si="280"/>
        <v/>
      </c>
      <c r="AC839" s="33" t="str">
        <f t="shared" si="281"/>
        <v/>
      </c>
      <c r="AD839" s="15" t="str">
        <f t="shared" si="282"/>
        <v xml:space="preserve"> </v>
      </c>
      <c r="AE839" s="5"/>
      <c r="AF839" s="27" t="b">
        <f>IF($G839&lt;&gt;0,SUMIF(куб!$G:$G,$G839,куб!R:R),IF($E839&lt;&gt;0,SUMIF(куб!$E:$E,$E839,куб!R:R),IF($D839&lt;&gt;0,SUMIF(куб!$D:$D,$D839,куб!R:R),IF($C839&lt;&gt;0,SUMIF(куб!$C:$C,$C839,куб!R:R),IF($B839&lt;&gt;0,SUMIF(куб!$B:$B,$B839,куб!R:R))))))</f>
        <v>0</v>
      </c>
      <c r="AG839" s="27" t="b">
        <f>IF($G839&lt;&gt;0,SUMIF(куб!$G:$G,$G839,куб!S:S),IF($E839&lt;&gt;0,SUMIF(куб!$E:$E,$E839,куб!S:S),IF($D839&lt;&gt;0,SUMIF(куб!$D:$D,$D839,куб!S:S),IF($C839&lt;&gt;0,SUMIF(куб!$C:$C,$C839,куб!S:S),IF($B839&lt;&gt;0,SUMIF(куб!$B:$B,$B839,куб!S:S))))))</f>
        <v>0</v>
      </c>
      <c r="AH839" s="16" t="str">
        <f t="shared" si="283"/>
        <v>-</v>
      </c>
      <c r="AI839" s="8"/>
      <c r="AJ839" s="27" t="b">
        <f>IF($G839&lt;&gt;0,SUMIF(куб!$G:$G,$G839,куб!T:T),IF($E839&lt;&gt;0,SUMIF(куб!$E:$E,$E839,куб!T:T),IF($D839&lt;&gt;0,SUMIF(куб!$D:$D,$D839,куб!T:T),IF($C839&lt;&gt;0,SUMIF(куб!$C:$C,$C839,куб!T:T),IF($B839&lt;&gt;0,SUMIF(куб!$B:$B,$B839,куб!T:T))))))</f>
        <v>0</v>
      </c>
      <c r="AK839" s="27" t="b">
        <f>IF($G839&lt;&gt;0,SUMIF(куб!$G:$G,$G839,куб!U:U),IF($E839&lt;&gt;0,SUMIF(куб!$E:$E,$E839,куб!U:U),IF($D839&lt;&gt;0,SUMIF(куб!$D:$D,$D839,куб!U:U),IF($C839&lt;&gt;0,SUMIF(куб!$C:$C,$C839,куб!U:U),IF($B839&lt;&gt;0,SUMIF(куб!$B:$B,$B839,куб!U:U))))))</f>
        <v>0</v>
      </c>
      <c r="AL839" s="16" t="str">
        <f t="shared" si="284"/>
        <v>-</v>
      </c>
      <c r="AM839" s="8"/>
      <c r="AN839" s="17" t="str">
        <f t="shared" si="285"/>
        <v xml:space="preserve"> </v>
      </c>
      <c r="AO839" s="17" t="str">
        <f t="shared" si="286"/>
        <v xml:space="preserve"> </v>
      </c>
      <c r="AP839" s="16" t="str">
        <f t="shared" si="287"/>
        <v>-</v>
      </c>
      <c r="AQ839" s="8"/>
      <c r="AR839" s="17" t="str">
        <f t="shared" si="288"/>
        <v>-</v>
      </c>
      <c r="AS839" s="17" t="str">
        <f t="shared" si="289"/>
        <v>-</v>
      </c>
      <c r="AT839" s="13" t="str">
        <f t="shared" si="290"/>
        <v>-</v>
      </c>
      <c r="AU839" s="8"/>
    </row>
    <row r="840" spans="1:47" x14ac:dyDescent="0.25">
      <c r="A840" s="31"/>
      <c r="B840" s="31"/>
      <c r="C840"/>
      <c r="D840" s="31"/>
      <c r="E840"/>
      <c r="F840" s="31"/>
      <c r="G840"/>
      <c r="H840" s="27">
        <f>IF($G840&lt;&gt;0,SUMIF(куб!$G:$G,$G840,куб!H:H),IF($E840&lt;&gt;0,SUMIF(куб!$E:$E,$E840,куб!H:H),IF($D840&lt;&gt;0,SUMIF(куб!$D:$D,$D840,куб!H:H),IF($C840&lt;&gt;0,SUMIF(куб!$C:$C,$C840,куб!H:H),IF($B840&lt;&gt;0,SUMIF(куб!$B:$B,$B840,куб!H:H),IF($G840&lt;&gt;0,SUMIF(куб!$A:$A,$G840,куб!H:H),SUMIF(куб!$A:$A,$G840,куб!H:H)))))))</f>
        <v>0</v>
      </c>
      <c r="I840" s="27">
        <f>IF($G840&lt;&gt;0,SUMIF(куб!$G:$G,$G840,куб!I:I),IF($E840&lt;&gt;0,SUMIF(куб!$E:$E,$E840,куб!I:I),IF($D840&lt;&gt;0,SUMIF(куб!$D:$D,$D840,куб!I:I),IF($C840&lt;&gt;0,SUMIF(куб!$C:$C,$C840,куб!I:I),IF($B840&lt;&gt;0,SUMIF(куб!$B:$B,$B840,куб!I:I),IF($G840&lt;&gt;0,SUMIF(куб!$A:$A,$G840,куб!I:I),SUMIF(куб!$A:$A,$G840,куб!I:I)))))))</f>
        <v>0</v>
      </c>
      <c r="J840" s="19" t="str">
        <f t="shared" si="273"/>
        <v>-</v>
      </c>
      <c r="K840" s="8"/>
      <c r="L840" s="17">
        <f t="shared" si="274"/>
        <v>0</v>
      </c>
      <c r="M840" s="17">
        <f t="shared" si="275"/>
        <v>0</v>
      </c>
      <c r="N840" s="12">
        <f t="shared" si="276"/>
        <v>0</v>
      </c>
      <c r="O840" s="5"/>
      <c r="P840" s="27" t="b">
        <f>IF($G840&lt;&gt;0,SUMIF(куб!$G:$G,$G840,куб!J:J),IF($E840&lt;&gt;0,SUMIF(куб!$E:$E,$E840,куб!J:J),IF($D840&lt;&gt;0,SUMIF(куб!$D:$D,$D840,куб!J:J),IF($C840&lt;&gt;0,SUMIF(куб!$C:$C,$C840,куб!J:J),IF($B840&lt;&gt;0,SUMIF(куб!$B:$B,$B840,куб!J:J))))))</f>
        <v>0</v>
      </c>
      <c r="Q840" s="27" t="b">
        <f>IF($G840&lt;&gt;0,SUMIF(куб!$G:$G,$G840,куб!K:K),IF($E840&lt;&gt;0,SUMIF(куб!$E:$E,$E840,куб!K:K),IF($D840&lt;&gt;0,SUMIF(куб!$D:$D,$D840,куб!K:K),IF($C840&lt;&gt;0,SUMIF(куб!$C:$C,$C840,куб!K:K),IF($B840&lt;&gt;0,SUMIF(куб!$B:$B,$B840,куб!K:K))))))</f>
        <v>0</v>
      </c>
      <c r="R840" s="13" t="str">
        <f t="shared" si="277"/>
        <v>-</v>
      </c>
      <c r="S840" s="5"/>
      <c r="T840" s="27" t="b">
        <f>IF($G840&lt;&gt;0,SUMIF(куб!$G:$G,$G840,куб!L:L),IF($E840&lt;&gt;0,SUMIF(куб!$E:$E,$E840,куб!L:L),IF($D840&lt;&gt;0,SUMIF(куб!$D:$D,$D840,куб!L:L),IF($C840&lt;&gt;0,SUMIF(куб!$C:$C,$C840,куб!L:L),IF($B840&lt;&gt;0,SUMIF(куб!$B:$B,$B840,куб!L:L))))))</f>
        <v>0</v>
      </c>
      <c r="U840" s="27" t="b">
        <f>IF($G840&lt;&gt;0,SUMIF(куб!$G:$G,$G840,куб!M:M),IF($E840&lt;&gt;0,SUMIF(куб!$E:$E,$E840,куб!M:M),IF($D840&lt;&gt;0,SUMIF(куб!$D:$D,$D840,куб!M:M),IF($C840&lt;&gt;0,SUMIF(куб!$C:$C,$C840,куб!M:M),IF($B840&lt;&gt;0,SUMIF(куб!$B:$B,$B840,куб!M:M))))))</f>
        <v>0</v>
      </c>
      <c r="V840" s="13" t="str">
        <f t="shared" si="278"/>
        <v>-</v>
      </c>
      <c r="W840" s="5"/>
      <c r="X840" s="27" t="b">
        <f>IF($G840&lt;&gt;0,SUMIF(куб!$G:$G,$G840,куб!N:N),IF($E840&lt;&gt;0,SUMIF(куб!$E:$E,$E840,куб!N:N),IF($D840&lt;&gt;0,SUMIF(куб!$D:$D,$D840,куб!N:N),IF($C840&lt;&gt;0,SUMIF(куб!$C:$C,$C840,куб!N:N),IF($B840&lt;&gt;0,SUMIF(куб!$B:$B,$B840,куб!N:N))))))</f>
        <v>0</v>
      </c>
      <c r="Y840" s="27" t="b">
        <f>IF($G840&lt;&gt;0,SUMIF(куб!$G:$G,$G840,куб!O:O),IF($E840&lt;&gt;0,SUMIF(куб!$E:$E,$E840,куб!O:O),IF($D840&lt;&gt;0,SUMIF(куб!$D:$D,$D840,куб!O:O),IF($C840&lt;&gt;0,SUMIF(куб!$C:$C,$C840,куб!O:O),IF($B840&lt;&gt;0,SUMIF(куб!$B:$B,$B840,куб!O:O))))))</f>
        <v>0</v>
      </c>
      <c r="Z840" s="13" t="str">
        <f t="shared" si="279"/>
        <v>-</v>
      </c>
      <c r="AA840" s="5"/>
      <c r="AB840" s="33" t="str">
        <f t="shared" si="280"/>
        <v/>
      </c>
      <c r="AC840" s="33" t="str">
        <f t="shared" si="281"/>
        <v/>
      </c>
      <c r="AD840" s="15" t="str">
        <f t="shared" si="282"/>
        <v xml:space="preserve"> </v>
      </c>
      <c r="AE840" s="5"/>
      <c r="AF840" s="27" t="b">
        <f>IF($G840&lt;&gt;0,SUMIF(куб!$G:$G,$G840,куб!R:R),IF($E840&lt;&gt;0,SUMIF(куб!$E:$E,$E840,куб!R:R),IF($D840&lt;&gt;0,SUMIF(куб!$D:$D,$D840,куб!R:R),IF($C840&lt;&gt;0,SUMIF(куб!$C:$C,$C840,куб!R:R),IF($B840&lt;&gt;0,SUMIF(куб!$B:$B,$B840,куб!R:R))))))</f>
        <v>0</v>
      </c>
      <c r="AG840" s="27" t="b">
        <f>IF($G840&lt;&gt;0,SUMIF(куб!$G:$G,$G840,куб!S:S),IF($E840&lt;&gt;0,SUMIF(куб!$E:$E,$E840,куб!S:S),IF($D840&lt;&gt;0,SUMIF(куб!$D:$D,$D840,куб!S:S),IF($C840&lt;&gt;0,SUMIF(куб!$C:$C,$C840,куб!S:S),IF($B840&lt;&gt;0,SUMIF(куб!$B:$B,$B840,куб!S:S))))))</f>
        <v>0</v>
      </c>
      <c r="AH840" s="16" t="str">
        <f t="shared" si="283"/>
        <v>-</v>
      </c>
      <c r="AI840" s="8"/>
      <c r="AJ840" s="27" t="b">
        <f>IF($G840&lt;&gt;0,SUMIF(куб!$G:$G,$G840,куб!T:T),IF($E840&lt;&gt;0,SUMIF(куб!$E:$E,$E840,куб!T:T),IF($D840&lt;&gt;0,SUMIF(куб!$D:$D,$D840,куб!T:T),IF($C840&lt;&gt;0,SUMIF(куб!$C:$C,$C840,куб!T:T),IF($B840&lt;&gt;0,SUMIF(куб!$B:$B,$B840,куб!T:T))))))</f>
        <v>0</v>
      </c>
      <c r="AK840" s="27" t="b">
        <f>IF($G840&lt;&gt;0,SUMIF(куб!$G:$G,$G840,куб!U:U),IF($E840&lt;&gt;0,SUMIF(куб!$E:$E,$E840,куб!U:U),IF($D840&lt;&gt;0,SUMIF(куб!$D:$D,$D840,куб!U:U),IF($C840&lt;&gt;0,SUMIF(куб!$C:$C,$C840,куб!U:U),IF($B840&lt;&gt;0,SUMIF(куб!$B:$B,$B840,куб!U:U))))))</f>
        <v>0</v>
      </c>
      <c r="AL840" s="16" t="str">
        <f t="shared" si="284"/>
        <v>-</v>
      </c>
      <c r="AM840" s="8"/>
      <c r="AN840" s="17" t="str">
        <f t="shared" si="285"/>
        <v xml:space="preserve"> </v>
      </c>
      <c r="AO840" s="17" t="str">
        <f t="shared" si="286"/>
        <v xml:space="preserve"> </v>
      </c>
      <c r="AP840" s="16" t="str">
        <f t="shared" si="287"/>
        <v>-</v>
      </c>
      <c r="AQ840" s="8"/>
      <c r="AR840" s="17" t="str">
        <f t="shared" si="288"/>
        <v>-</v>
      </c>
      <c r="AS840" s="17" t="str">
        <f t="shared" si="289"/>
        <v>-</v>
      </c>
      <c r="AT840" s="13" t="str">
        <f t="shared" si="290"/>
        <v>-</v>
      </c>
      <c r="AU840" s="8"/>
    </row>
    <row r="841" spans="1:47" x14ac:dyDescent="0.25">
      <c r="A841" s="31"/>
      <c r="B841" s="31"/>
      <c r="C841"/>
      <c r="D841" s="31"/>
      <c r="E841"/>
      <c r="F841" s="31"/>
      <c r="G841"/>
      <c r="H841" s="27">
        <f>IF($G841&lt;&gt;0,SUMIF(куб!$G:$G,$G841,куб!H:H),IF($E841&lt;&gt;0,SUMIF(куб!$E:$E,$E841,куб!H:H),IF($D841&lt;&gt;0,SUMIF(куб!$D:$D,$D841,куб!H:H),IF($C841&lt;&gt;0,SUMIF(куб!$C:$C,$C841,куб!H:H),IF($B841&lt;&gt;0,SUMIF(куб!$B:$B,$B841,куб!H:H),IF($G841&lt;&gt;0,SUMIF(куб!$A:$A,$G841,куб!H:H),SUMIF(куб!$A:$A,$G841,куб!H:H)))))))</f>
        <v>0</v>
      </c>
      <c r="I841" s="27">
        <f>IF($G841&lt;&gt;0,SUMIF(куб!$G:$G,$G841,куб!I:I),IF($E841&lt;&gt;0,SUMIF(куб!$E:$E,$E841,куб!I:I),IF($D841&lt;&gt;0,SUMIF(куб!$D:$D,$D841,куб!I:I),IF($C841&lt;&gt;0,SUMIF(куб!$C:$C,$C841,куб!I:I),IF($B841&lt;&gt;0,SUMIF(куб!$B:$B,$B841,куб!I:I),IF($G841&lt;&gt;0,SUMIF(куб!$A:$A,$G841,куб!I:I),SUMIF(куб!$A:$A,$G841,куб!I:I)))))))</f>
        <v>0</v>
      </c>
      <c r="J841" s="19" t="str">
        <f t="shared" si="273"/>
        <v>-</v>
      </c>
      <c r="K841" s="8"/>
      <c r="L841" s="17">
        <f t="shared" si="274"/>
        <v>0</v>
      </c>
      <c r="M841" s="17">
        <f t="shared" si="275"/>
        <v>0</v>
      </c>
      <c r="N841" s="12">
        <f t="shared" si="276"/>
        <v>0</v>
      </c>
      <c r="O841" s="5"/>
      <c r="P841" s="27" t="b">
        <f>IF($G841&lt;&gt;0,SUMIF(куб!$G:$G,$G841,куб!J:J),IF($E841&lt;&gt;0,SUMIF(куб!$E:$E,$E841,куб!J:J),IF($D841&lt;&gt;0,SUMIF(куб!$D:$D,$D841,куб!J:J),IF($C841&lt;&gt;0,SUMIF(куб!$C:$C,$C841,куб!J:J),IF($B841&lt;&gt;0,SUMIF(куб!$B:$B,$B841,куб!J:J))))))</f>
        <v>0</v>
      </c>
      <c r="Q841" s="27" t="b">
        <f>IF($G841&lt;&gt;0,SUMIF(куб!$G:$G,$G841,куб!K:K),IF($E841&lt;&gt;0,SUMIF(куб!$E:$E,$E841,куб!K:K),IF($D841&lt;&gt;0,SUMIF(куб!$D:$D,$D841,куб!K:K),IF($C841&lt;&gt;0,SUMIF(куб!$C:$C,$C841,куб!K:K),IF($B841&lt;&gt;0,SUMIF(куб!$B:$B,$B841,куб!K:K))))))</f>
        <v>0</v>
      </c>
      <c r="R841" s="13" t="str">
        <f t="shared" si="277"/>
        <v>-</v>
      </c>
      <c r="S841" s="5"/>
      <c r="T841" s="27" t="b">
        <f>IF($G841&lt;&gt;0,SUMIF(куб!$G:$G,$G841,куб!L:L),IF($E841&lt;&gt;0,SUMIF(куб!$E:$E,$E841,куб!L:L),IF($D841&lt;&gt;0,SUMIF(куб!$D:$D,$D841,куб!L:L),IF($C841&lt;&gt;0,SUMIF(куб!$C:$C,$C841,куб!L:L),IF($B841&lt;&gt;0,SUMIF(куб!$B:$B,$B841,куб!L:L))))))</f>
        <v>0</v>
      </c>
      <c r="U841" s="27" t="b">
        <f>IF($G841&lt;&gt;0,SUMIF(куб!$G:$G,$G841,куб!M:M),IF($E841&lt;&gt;0,SUMIF(куб!$E:$E,$E841,куб!M:M),IF($D841&lt;&gt;0,SUMIF(куб!$D:$D,$D841,куб!M:M),IF($C841&lt;&gt;0,SUMIF(куб!$C:$C,$C841,куб!M:M),IF($B841&lt;&gt;0,SUMIF(куб!$B:$B,$B841,куб!M:M))))))</f>
        <v>0</v>
      </c>
      <c r="V841" s="13" t="str">
        <f t="shared" si="278"/>
        <v>-</v>
      </c>
      <c r="W841" s="5"/>
      <c r="X841" s="27" t="b">
        <f>IF($G841&lt;&gt;0,SUMIF(куб!$G:$G,$G841,куб!N:N),IF($E841&lt;&gt;0,SUMIF(куб!$E:$E,$E841,куб!N:N),IF($D841&lt;&gt;0,SUMIF(куб!$D:$D,$D841,куб!N:N),IF($C841&lt;&gt;0,SUMIF(куб!$C:$C,$C841,куб!N:N),IF($B841&lt;&gt;0,SUMIF(куб!$B:$B,$B841,куб!N:N))))))</f>
        <v>0</v>
      </c>
      <c r="Y841" s="27" t="b">
        <f>IF($G841&lt;&gt;0,SUMIF(куб!$G:$G,$G841,куб!O:O),IF($E841&lt;&gt;0,SUMIF(куб!$E:$E,$E841,куб!O:O),IF($D841&lt;&gt;0,SUMIF(куб!$D:$D,$D841,куб!O:O),IF($C841&lt;&gt;0,SUMIF(куб!$C:$C,$C841,куб!O:O),IF($B841&lt;&gt;0,SUMIF(куб!$B:$B,$B841,куб!O:O))))))</f>
        <v>0</v>
      </c>
      <c r="Z841" s="13" t="str">
        <f t="shared" si="279"/>
        <v>-</v>
      </c>
      <c r="AA841" s="5"/>
      <c r="AB841" s="33" t="str">
        <f t="shared" si="280"/>
        <v/>
      </c>
      <c r="AC841" s="33" t="str">
        <f t="shared" si="281"/>
        <v/>
      </c>
      <c r="AD841" s="15" t="str">
        <f t="shared" si="282"/>
        <v xml:space="preserve"> </v>
      </c>
      <c r="AE841" s="5"/>
      <c r="AF841" s="27" t="b">
        <f>IF($G841&lt;&gt;0,SUMIF(куб!$G:$G,$G841,куб!R:R),IF($E841&lt;&gt;0,SUMIF(куб!$E:$E,$E841,куб!R:R),IF($D841&lt;&gt;0,SUMIF(куб!$D:$D,$D841,куб!R:R),IF($C841&lt;&gt;0,SUMIF(куб!$C:$C,$C841,куб!R:R),IF($B841&lt;&gt;0,SUMIF(куб!$B:$B,$B841,куб!R:R))))))</f>
        <v>0</v>
      </c>
      <c r="AG841" s="27" t="b">
        <f>IF($G841&lt;&gt;0,SUMIF(куб!$G:$G,$G841,куб!S:S),IF($E841&lt;&gt;0,SUMIF(куб!$E:$E,$E841,куб!S:S),IF($D841&lt;&gt;0,SUMIF(куб!$D:$D,$D841,куб!S:S),IF($C841&lt;&gt;0,SUMIF(куб!$C:$C,$C841,куб!S:S),IF($B841&lt;&gt;0,SUMIF(куб!$B:$B,$B841,куб!S:S))))))</f>
        <v>0</v>
      </c>
      <c r="AH841" s="16" t="str">
        <f t="shared" si="283"/>
        <v>-</v>
      </c>
      <c r="AI841" s="8"/>
      <c r="AJ841" s="27" t="b">
        <f>IF($G841&lt;&gt;0,SUMIF(куб!$G:$G,$G841,куб!T:T),IF($E841&lt;&gt;0,SUMIF(куб!$E:$E,$E841,куб!T:T),IF($D841&lt;&gt;0,SUMIF(куб!$D:$D,$D841,куб!T:T),IF($C841&lt;&gt;0,SUMIF(куб!$C:$C,$C841,куб!T:T),IF($B841&lt;&gt;0,SUMIF(куб!$B:$B,$B841,куб!T:T))))))</f>
        <v>0</v>
      </c>
      <c r="AK841" s="27" t="b">
        <f>IF($G841&lt;&gt;0,SUMIF(куб!$G:$G,$G841,куб!U:U),IF($E841&lt;&gt;0,SUMIF(куб!$E:$E,$E841,куб!U:U),IF($D841&lt;&gt;0,SUMIF(куб!$D:$D,$D841,куб!U:U),IF($C841&lt;&gt;0,SUMIF(куб!$C:$C,$C841,куб!U:U),IF($B841&lt;&gt;0,SUMIF(куб!$B:$B,$B841,куб!U:U))))))</f>
        <v>0</v>
      </c>
      <c r="AL841" s="16" t="str">
        <f t="shared" si="284"/>
        <v>-</v>
      </c>
      <c r="AM841" s="8"/>
      <c r="AN841" s="17" t="str">
        <f t="shared" si="285"/>
        <v xml:space="preserve"> </v>
      </c>
      <c r="AO841" s="17" t="str">
        <f t="shared" si="286"/>
        <v xml:space="preserve"> </v>
      </c>
      <c r="AP841" s="16" t="str">
        <f t="shared" si="287"/>
        <v>-</v>
      </c>
      <c r="AQ841" s="8"/>
      <c r="AR841" s="17" t="str">
        <f t="shared" si="288"/>
        <v>-</v>
      </c>
      <c r="AS841" s="17" t="str">
        <f t="shared" si="289"/>
        <v>-</v>
      </c>
      <c r="AT841" s="13" t="str">
        <f t="shared" si="290"/>
        <v>-</v>
      </c>
      <c r="AU841" s="8"/>
    </row>
    <row r="842" spans="1:47" x14ac:dyDescent="0.25">
      <c r="A842" s="31"/>
      <c r="B842" s="31"/>
      <c r="C842"/>
      <c r="D842" s="31"/>
      <c r="E842"/>
      <c r="F842" s="31"/>
      <c r="G842"/>
      <c r="H842" s="27">
        <f>IF($G842&lt;&gt;0,SUMIF(куб!$G:$G,$G842,куб!H:H),IF($E842&lt;&gt;0,SUMIF(куб!$E:$E,$E842,куб!H:H),IF($D842&lt;&gt;0,SUMIF(куб!$D:$D,$D842,куб!H:H),IF($C842&lt;&gt;0,SUMIF(куб!$C:$C,$C842,куб!H:H),IF($B842&lt;&gt;0,SUMIF(куб!$B:$B,$B842,куб!H:H),IF($G842&lt;&gt;0,SUMIF(куб!$A:$A,$G842,куб!H:H),SUMIF(куб!$A:$A,$G842,куб!H:H)))))))</f>
        <v>0</v>
      </c>
      <c r="I842" s="27">
        <f>IF($G842&lt;&gt;0,SUMIF(куб!$G:$G,$G842,куб!I:I),IF($E842&lt;&gt;0,SUMIF(куб!$E:$E,$E842,куб!I:I),IF($D842&lt;&gt;0,SUMIF(куб!$D:$D,$D842,куб!I:I),IF($C842&lt;&gt;0,SUMIF(куб!$C:$C,$C842,куб!I:I),IF($B842&lt;&gt;0,SUMIF(куб!$B:$B,$B842,куб!I:I),IF($G842&lt;&gt;0,SUMIF(куб!$A:$A,$G842,куб!I:I),SUMIF(куб!$A:$A,$G842,куб!I:I)))))))</f>
        <v>0</v>
      </c>
      <c r="J842" s="19" t="str">
        <f t="shared" si="273"/>
        <v>-</v>
      </c>
      <c r="K842" s="8"/>
      <c r="L842" s="17">
        <f t="shared" si="274"/>
        <v>0</v>
      </c>
      <c r="M842" s="17">
        <f t="shared" si="275"/>
        <v>0</v>
      </c>
      <c r="N842" s="12">
        <f t="shared" si="276"/>
        <v>0</v>
      </c>
      <c r="O842" s="5"/>
      <c r="P842" s="27" t="b">
        <f>IF($G842&lt;&gt;0,SUMIF(куб!$G:$G,$G842,куб!J:J),IF($E842&lt;&gt;0,SUMIF(куб!$E:$E,$E842,куб!J:J),IF($D842&lt;&gt;0,SUMIF(куб!$D:$D,$D842,куб!J:J),IF($C842&lt;&gt;0,SUMIF(куб!$C:$C,$C842,куб!J:J),IF($B842&lt;&gt;0,SUMIF(куб!$B:$B,$B842,куб!J:J))))))</f>
        <v>0</v>
      </c>
      <c r="Q842" s="27" t="b">
        <f>IF($G842&lt;&gt;0,SUMIF(куб!$G:$G,$G842,куб!K:K),IF($E842&lt;&gt;0,SUMIF(куб!$E:$E,$E842,куб!K:K),IF($D842&lt;&gt;0,SUMIF(куб!$D:$D,$D842,куб!K:K),IF($C842&lt;&gt;0,SUMIF(куб!$C:$C,$C842,куб!K:K),IF($B842&lt;&gt;0,SUMIF(куб!$B:$B,$B842,куб!K:K))))))</f>
        <v>0</v>
      </c>
      <c r="R842" s="13" t="str">
        <f t="shared" si="277"/>
        <v>-</v>
      </c>
      <c r="S842" s="5"/>
      <c r="T842" s="27" t="b">
        <f>IF($G842&lt;&gt;0,SUMIF(куб!$G:$G,$G842,куб!L:L),IF($E842&lt;&gt;0,SUMIF(куб!$E:$E,$E842,куб!L:L),IF($D842&lt;&gt;0,SUMIF(куб!$D:$D,$D842,куб!L:L),IF($C842&lt;&gt;0,SUMIF(куб!$C:$C,$C842,куб!L:L),IF($B842&lt;&gt;0,SUMIF(куб!$B:$B,$B842,куб!L:L))))))</f>
        <v>0</v>
      </c>
      <c r="U842" s="27" t="b">
        <f>IF($G842&lt;&gt;0,SUMIF(куб!$G:$G,$G842,куб!M:M),IF($E842&lt;&gt;0,SUMIF(куб!$E:$E,$E842,куб!M:M),IF($D842&lt;&gt;0,SUMIF(куб!$D:$D,$D842,куб!M:M),IF($C842&lt;&gt;0,SUMIF(куб!$C:$C,$C842,куб!M:M),IF($B842&lt;&gt;0,SUMIF(куб!$B:$B,$B842,куб!M:M))))))</f>
        <v>0</v>
      </c>
      <c r="V842" s="13" t="str">
        <f t="shared" si="278"/>
        <v>-</v>
      </c>
      <c r="W842" s="5"/>
      <c r="X842" s="27" t="b">
        <f>IF($G842&lt;&gt;0,SUMIF(куб!$G:$G,$G842,куб!N:N),IF($E842&lt;&gt;0,SUMIF(куб!$E:$E,$E842,куб!N:N),IF($D842&lt;&gt;0,SUMIF(куб!$D:$D,$D842,куб!N:N),IF($C842&lt;&gt;0,SUMIF(куб!$C:$C,$C842,куб!N:N),IF($B842&lt;&gt;0,SUMIF(куб!$B:$B,$B842,куб!N:N))))))</f>
        <v>0</v>
      </c>
      <c r="Y842" s="27" t="b">
        <f>IF($G842&lt;&gt;0,SUMIF(куб!$G:$G,$G842,куб!O:O),IF($E842&lt;&gt;0,SUMIF(куб!$E:$E,$E842,куб!O:O),IF($D842&lt;&gt;0,SUMIF(куб!$D:$D,$D842,куб!O:O),IF($C842&lt;&gt;0,SUMIF(куб!$C:$C,$C842,куб!O:O),IF($B842&lt;&gt;0,SUMIF(куб!$B:$B,$B842,куб!O:O))))))</f>
        <v>0</v>
      </c>
      <c r="Z842" s="13" t="str">
        <f t="shared" si="279"/>
        <v>-</v>
      </c>
      <c r="AA842" s="5"/>
      <c r="AB842" s="33" t="str">
        <f t="shared" si="280"/>
        <v/>
      </c>
      <c r="AC842" s="33" t="str">
        <f t="shared" si="281"/>
        <v/>
      </c>
      <c r="AD842" s="15" t="str">
        <f t="shared" si="282"/>
        <v xml:space="preserve"> </v>
      </c>
      <c r="AE842" s="5"/>
      <c r="AF842" s="27" t="b">
        <f>IF($G842&lt;&gt;0,SUMIF(куб!$G:$G,$G842,куб!R:R),IF($E842&lt;&gt;0,SUMIF(куб!$E:$E,$E842,куб!R:R),IF($D842&lt;&gt;0,SUMIF(куб!$D:$D,$D842,куб!R:R),IF($C842&lt;&gt;0,SUMIF(куб!$C:$C,$C842,куб!R:R),IF($B842&lt;&gt;0,SUMIF(куб!$B:$B,$B842,куб!R:R))))))</f>
        <v>0</v>
      </c>
      <c r="AG842" s="27" t="b">
        <f>IF($G842&lt;&gt;0,SUMIF(куб!$G:$G,$G842,куб!S:S),IF($E842&lt;&gt;0,SUMIF(куб!$E:$E,$E842,куб!S:S),IF($D842&lt;&gt;0,SUMIF(куб!$D:$D,$D842,куб!S:S),IF($C842&lt;&gt;0,SUMIF(куб!$C:$C,$C842,куб!S:S),IF($B842&lt;&gt;0,SUMIF(куб!$B:$B,$B842,куб!S:S))))))</f>
        <v>0</v>
      </c>
      <c r="AH842" s="16" t="str">
        <f t="shared" si="283"/>
        <v>-</v>
      </c>
      <c r="AI842" s="8"/>
      <c r="AJ842" s="27" t="b">
        <f>IF($G842&lt;&gt;0,SUMIF(куб!$G:$G,$G842,куб!T:T),IF($E842&lt;&gt;0,SUMIF(куб!$E:$E,$E842,куб!T:T),IF($D842&lt;&gt;0,SUMIF(куб!$D:$D,$D842,куб!T:T),IF($C842&lt;&gt;0,SUMIF(куб!$C:$C,$C842,куб!T:T),IF($B842&lt;&gt;0,SUMIF(куб!$B:$B,$B842,куб!T:T))))))</f>
        <v>0</v>
      </c>
      <c r="AK842" s="27" t="b">
        <f>IF($G842&lt;&gt;0,SUMIF(куб!$G:$G,$G842,куб!U:U),IF($E842&lt;&gt;0,SUMIF(куб!$E:$E,$E842,куб!U:U),IF($D842&lt;&gt;0,SUMIF(куб!$D:$D,$D842,куб!U:U),IF($C842&lt;&gt;0,SUMIF(куб!$C:$C,$C842,куб!U:U),IF($B842&lt;&gt;0,SUMIF(куб!$B:$B,$B842,куб!U:U))))))</f>
        <v>0</v>
      </c>
      <c r="AL842" s="16" t="str">
        <f t="shared" si="284"/>
        <v>-</v>
      </c>
      <c r="AM842" s="8"/>
      <c r="AN842" s="17" t="str">
        <f t="shared" si="285"/>
        <v xml:space="preserve"> </v>
      </c>
      <c r="AO842" s="17" t="str">
        <f t="shared" si="286"/>
        <v xml:space="preserve"> </v>
      </c>
      <c r="AP842" s="16" t="str">
        <f t="shared" si="287"/>
        <v>-</v>
      </c>
      <c r="AQ842" s="8"/>
      <c r="AR842" s="17" t="str">
        <f t="shared" si="288"/>
        <v>-</v>
      </c>
      <c r="AS842" s="17" t="str">
        <f t="shared" si="289"/>
        <v>-</v>
      </c>
      <c r="AT842" s="13" t="str">
        <f t="shared" si="290"/>
        <v>-</v>
      </c>
      <c r="AU842" s="8"/>
    </row>
    <row r="843" spans="1:47" x14ac:dyDescent="0.25">
      <c r="A843" s="31"/>
      <c r="B843" s="31"/>
      <c r="C843"/>
      <c r="D843" s="31"/>
      <c r="E843"/>
      <c r="F843" s="31"/>
      <c r="G843"/>
      <c r="H843" s="27">
        <f>IF($G843&lt;&gt;0,SUMIF(куб!$G:$G,$G843,куб!H:H),IF($E843&lt;&gt;0,SUMIF(куб!$E:$E,$E843,куб!H:H),IF($D843&lt;&gt;0,SUMIF(куб!$D:$D,$D843,куб!H:H),IF($C843&lt;&gt;0,SUMIF(куб!$C:$C,$C843,куб!H:H),IF($B843&lt;&gt;0,SUMIF(куб!$B:$B,$B843,куб!H:H),IF($G843&lt;&gt;0,SUMIF(куб!$A:$A,$G843,куб!H:H),SUMIF(куб!$A:$A,$G843,куб!H:H)))))))</f>
        <v>0</v>
      </c>
      <c r="I843" s="27">
        <f>IF($G843&lt;&gt;0,SUMIF(куб!$G:$G,$G843,куб!I:I),IF($E843&lt;&gt;0,SUMIF(куб!$E:$E,$E843,куб!I:I),IF($D843&lt;&gt;0,SUMIF(куб!$D:$D,$D843,куб!I:I),IF($C843&lt;&gt;0,SUMIF(куб!$C:$C,$C843,куб!I:I),IF($B843&lt;&gt;0,SUMIF(куб!$B:$B,$B843,куб!I:I),IF($G843&lt;&gt;0,SUMIF(куб!$A:$A,$G843,куб!I:I),SUMIF(куб!$A:$A,$G843,куб!I:I)))))))</f>
        <v>0</v>
      </c>
      <c r="J843" s="19" t="str">
        <f t="shared" si="273"/>
        <v>-</v>
      </c>
      <c r="K843" s="8"/>
      <c r="L843" s="17">
        <f t="shared" si="274"/>
        <v>0</v>
      </c>
      <c r="M843" s="17">
        <f t="shared" si="275"/>
        <v>0</v>
      </c>
      <c r="N843" s="12">
        <f t="shared" si="276"/>
        <v>0</v>
      </c>
      <c r="O843" s="5"/>
      <c r="P843" s="27" t="b">
        <f>IF($G843&lt;&gt;0,SUMIF(куб!$G:$G,$G843,куб!J:J),IF($E843&lt;&gt;0,SUMIF(куб!$E:$E,$E843,куб!J:J),IF($D843&lt;&gt;0,SUMIF(куб!$D:$D,$D843,куб!J:J),IF($C843&lt;&gt;0,SUMIF(куб!$C:$C,$C843,куб!J:J),IF($B843&lt;&gt;0,SUMIF(куб!$B:$B,$B843,куб!J:J))))))</f>
        <v>0</v>
      </c>
      <c r="Q843" s="27" t="b">
        <f>IF($G843&lt;&gt;0,SUMIF(куб!$G:$G,$G843,куб!K:K),IF($E843&lt;&gt;0,SUMIF(куб!$E:$E,$E843,куб!K:K),IF($D843&lt;&gt;0,SUMIF(куб!$D:$D,$D843,куб!K:K),IF($C843&lt;&gt;0,SUMIF(куб!$C:$C,$C843,куб!K:K),IF($B843&lt;&gt;0,SUMIF(куб!$B:$B,$B843,куб!K:K))))))</f>
        <v>0</v>
      </c>
      <c r="R843" s="13" t="str">
        <f t="shared" si="277"/>
        <v>-</v>
      </c>
      <c r="S843" s="5"/>
      <c r="T843" s="27" t="b">
        <f>IF($G843&lt;&gt;0,SUMIF(куб!$G:$G,$G843,куб!L:L),IF($E843&lt;&gt;0,SUMIF(куб!$E:$E,$E843,куб!L:L),IF($D843&lt;&gt;0,SUMIF(куб!$D:$D,$D843,куб!L:L),IF($C843&lt;&gt;0,SUMIF(куб!$C:$C,$C843,куб!L:L),IF($B843&lt;&gt;0,SUMIF(куб!$B:$B,$B843,куб!L:L))))))</f>
        <v>0</v>
      </c>
      <c r="U843" s="27" t="b">
        <f>IF($G843&lt;&gt;0,SUMIF(куб!$G:$G,$G843,куб!M:M),IF($E843&lt;&gt;0,SUMIF(куб!$E:$E,$E843,куб!M:M),IF($D843&lt;&gt;0,SUMIF(куб!$D:$D,$D843,куб!M:M),IF($C843&lt;&gt;0,SUMIF(куб!$C:$C,$C843,куб!M:M),IF($B843&lt;&gt;0,SUMIF(куб!$B:$B,$B843,куб!M:M))))))</f>
        <v>0</v>
      </c>
      <c r="V843" s="13" t="str">
        <f t="shared" si="278"/>
        <v>-</v>
      </c>
      <c r="W843" s="5"/>
      <c r="X843" s="27" t="b">
        <f>IF($G843&lt;&gt;0,SUMIF(куб!$G:$G,$G843,куб!N:N),IF($E843&lt;&gt;0,SUMIF(куб!$E:$E,$E843,куб!N:N),IF($D843&lt;&gt;0,SUMIF(куб!$D:$D,$D843,куб!N:N),IF($C843&lt;&gt;0,SUMIF(куб!$C:$C,$C843,куб!N:N),IF($B843&lt;&gt;0,SUMIF(куб!$B:$B,$B843,куб!N:N))))))</f>
        <v>0</v>
      </c>
      <c r="Y843" s="27" t="b">
        <f>IF($G843&lt;&gt;0,SUMIF(куб!$G:$G,$G843,куб!O:O),IF($E843&lt;&gt;0,SUMIF(куб!$E:$E,$E843,куб!O:O),IF($D843&lt;&gt;0,SUMIF(куб!$D:$D,$D843,куб!O:O),IF($C843&lt;&gt;0,SUMIF(куб!$C:$C,$C843,куб!O:O),IF($B843&lt;&gt;0,SUMIF(куб!$B:$B,$B843,куб!O:O))))))</f>
        <v>0</v>
      </c>
      <c r="Z843" s="13" t="str">
        <f t="shared" si="279"/>
        <v>-</v>
      </c>
      <c r="AA843" s="5"/>
      <c r="AB843" s="33" t="str">
        <f t="shared" si="280"/>
        <v/>
      </c>
      <c r="AC843" s="33" t="str">
        <f t="shared" si="281"/>
        <v/>
      </c>
      <c r="AD843" s="15" t="str">
        <f t="shared" si="282"/>
        <v xml:space="preserve"> </v>
      </c>
      <c r="AE843" s="5"/>
      <c r="AF843" s="27" t="b">
        <f>IF($G843&lt;&gt;0,SUMIF(куб!$G:$G,$G843,куб!R:R),IF($E843&lt;&gt;0,SUMIF(куб!$E:$E,$E843,куб!R:R),IF($D843&lt;&gt;0,SUMIF(куб!$D:$D,$D843,куб!R:R),IF($C843&lt;&gt;0,SUMIF(куб!$C:$C,$C843,куб!R:R),IF($B843&lt;&gt;0,SUMIF(куб!$B:$B,$B843,куб!R:R))))))</f>
        <v>0</v>
      </c>
      <c r="AG843" s="27" t="b">
        <f>IF($G843&lt;&gt;0,SUMIF(куб!$G:$G,$G843,куб!S:S),IF($E843&lt;&gt;0,SUMIF(куб!$E:$E,$E843,куб!S:S),IF($D843&lt;&gt;0,SUMIF(куб!$D:$D,$D843,куб!S:S),IF($C843&lt;&gt;0,SUMIF(куб!$C:$C,$C843,куб!S:S),IF($B843&lt;&gt;0,SUMIF(куб!$B:$B,$B843,куб!S:S))))))</f>
        <v>0</v>
      </c>
      <c r="AH843" s="16" t="str">
        <f t="shared" si="283"/>
        <v>-</v>
      </c>
      <c r="AI843" s="8"/>
      <c r="AJ843" s="27" t="b">
        <f>IF($G843&lt;&gt;0,SUMIF(куб!$G:$G,$G843,куб!T:T),IF($E843&lt;&gt;0,SUMIF(куб!$E:$E,$E843,куб!T:T),IF($D843&lt;&gt;0,SUMIF(куб!$D:$D,$D843,куб!T:T),IF($C843&lt;&gt;0,SUMIF(куб!$C:$C,$C843,куб!T:T),IF($B843&lt;&gt;0,SUMIF(куб!$B:$B,$B843,куб!T:T))))))</f>
        <v>0</v>
      </c>
      <c r="AK843" s="27" t="b">
        <f>IF($G843&lt;&gt;0,SUMIF(куб!$G:$G,$G843,куб!U:U),IF($E843&lt;&gt;0,SUMIF(куб!$E:$E,$E843,куб!U:U),IF($D843&lt;&gt;0,SUMIF(куб!$D:$D,$D843,куб!U:U),IF($C843&lt;&gt;0,SUMIF(куб!$C:$C,$C843,куб!U:U),IF($B843&lt;&gt;0,SUMIF(куб!$B:$B,$B843,куб!U:U))))))</f>
        <v>0</v>
      </c>
      <c r="AL843" s="16" t="str">
        <f t="shared" si="284"/>
        <v>-</v>
      </c>
      <c r="AM843" s="8"/>
      <c r="AN843" s="17" t="str">
        <f t="shared" si="285"/>
        <v xml:space="preserve"> </v>
      </c>
      <c r="AO843" s="17" t="str">
        <f t="shared" si="286"/>
        <v xml:space="preserve"> </v>
      </c>
      <c r="AP843" s="16" t="str">
        <f t="shared" si="287"/>
        <v>-</v>
      </c>
      <c r="AQ843" s="8"/>
      <c r="AR843" s="17" t="str">
        <f t="shared" si="288"/>
        <v>-</v>
      </c>
      <c r="AS843" s="17" t="str">
        <f t="shared" si="289"/>
        <v>-</v>
      </c>
      <c r="AT843" s="13" t="str">
        <f t="shared" si="290"/>
        <v>-</v>
      </c>
      <c r="AU843" s="8"/>
    </row>
    <row r="844" spans="1:47" x14ac:dyDescent="0.25">
      <c r="A844" s="31"/>
      <c r="B844" s="31"/>
      <c r="C844"/>
      <c r="D844" s="31"/>
      <c r="E844"/>
      <c r="F844" s="31"/>
      <c r="G844"/>
      <c r="H844" s="27">
        <f>IF($G844&lt;&gt;0,SUMIF(куб!$G:$G,$G844,куб!H:H),IF($E844&lt;&gt;0,SUMIF(куб!$E:$E,$E844,куб!H:H),IF($D844&lt;&gt;0,SUMIF(куб!$D:$D,$D844,куб!H:H),IF($C844&lt;&gt;0,SUMIF(куб!$C:$C,$C844,куб!H:H),IF($B844&lt;&gt;0,SUMIF(куб!$B:$B,$B844,куб!H:H),IF($G844&lt;&gt;0,SUMIF(куб!$A:$A,$G844,куб!H:H),SUMIF(куб!$A:$A,$G844,куб!H:H)))))))</f>
        <v>0</v>
      </c>
      <c r="I844" s="27">
        <f>IF($G844&lt;&gt;0,SUMIF(куб!$G:$G,$G844,куб!I:I),IF($E844&lt;&gt;0,SUMIF(куб!$E:$E,$E844,куб!I:I),IF($D844&lt;&gt;0,SUMIF(куб!$D:$D,$D844,куб!I:I),IF($C844&lt;&gt;0,SUMIF(куб!$C:$C,$C844,куб!I:I),IF($B844&lt;&gt;0,SUMIF(куб!$B:$B,$B844,куб!I:I),IF($G844&lt;&gt;0,SUMIF(куб!$A:$A,$G844,куб!I:I),SUMIF(куб!$A:$A,$G844,куб!I:I)))))))</f>
        <v>0</v>
      </c>
      <c r="J844" s="19" t="str">
        <f t="shared" si="273"/>
        <v>-</v>
      </c>
      <c r="K844" s="8"/>
      <c r="L844" s="17">
        <f t="shared" si="274"/>
        <v>0</v>
      </c>
      <c r="M844" s="17">
        <f t="shared" si="275"/>
        <v>0</v>
      </c>
      <c r="N844" s="12">
        <f t="shared" si="276"/>
        <v>0</v>
      </c>
      <c r="O844" s="5"/>
      <c r="P844" s="27" t="b">
        <f>IF($G844&lt;&gt;0,SUMIF(куб!$G:$G,$G844,куб!J:J),IF($E844&lt;&gt;0,SUMIF(куб!$E:$E,$E844,куб!J:J),IF($D844&lt;&gt;0,SUMIF(куб!$D:$D,$D844,куб!J:J),IF($C844&lt;&gt;0,SUMIF(куб!$C:$C,$C844,куб!J:J),IF($B844&lt;&gt;0,SUMIF(куб!$B:$B,$B844,куб!J:J))))))</f>
        <v>0</v>
      </c>
      <c r="Q844" s="27" t="b">
        <f>IF($G844&lt;&gt;0,SUMIF(куб!$G:$G,$G844,куб!K:K),IF($E844&lt;&gt;0,SUMIF(куб!$E:$E,$E844,куб!K:K),IF($D844&lt;&gt;0,SUMIF(куб!$D:$D,$D844,куб!K:K),IF($C844&lt;&gt;0,SUMIF(куб!$C:$C,$C844,куб!K:K),IF($B844&lt;&gt;0,SUMIF(куб!$B:$B,$B844,куб!K:K))))))</f>
        <v>0</v>
      </c>
      <c r="R844" s="13" t="str">
        <f t="shared" si="277"/>
        <v>-</v>
      </c>
      <c r="S844" s="5"/>
      <c r="T844" s="27" t="b">
        <f>IF($G844&lt;&gt;0,SUMIF(куб!$G:$G,$G844,куб!L:L),IF($E844&lt;&gt;0,SUMIF(куб!$E:$E,$E844,куб!L:L),IF($D844&lt;&gt;0,SUMIF(куб!$D:$D,$D844,куб!L:L),IF($C844&lt;&gt;0,SUMIF(куб!$C:$C,$C844,куб!L:L),IF($B844&lt;&gt;0,SUMIF(куб!$B:$B,$B844,куб!L:L))))))</f>
        <v>0</v>
      </c>
      <c r="U844" s="27" t="b">
        <f>IF($G844&lt;&gt;0,SUMIF(куб!$G:$G,$G844,куб!M:M),IF($E844&lt;&gt;0,SUMIF(куб!$E:$E,$E844,куб!M:M),IF($D844&lt;&gt;0,SUMIF(куб!$D:$D,$D844,куб!M:M),IF($C844&lt;&gt;0,SUMIF(куб!$C:$C,$C844,куб!M:M),IF($B844&lt;&gt;0,SUMIF(куб!$B:$B,$B844,куб!M:M))))))</f>
        <v>0</v>
      </c>
      <c r="V844" s="13" t="str">
        <f t="shared" si="278"/>
        <v>-</v>
      </c>
      <c r="W844" s="5"/>
      <c r="X844" s="27" t="b">
        <f>IF($G844&lt;&gt;0,SUMIF(куб!$G:$G,$G844,куб!N:N),IF($E844&lt;&gt;0,SUMIF(куб!$E:$E,$E844,куб!N:N),IF($D844&lt;&gt;0,SUMIF(куб!$D:$D,$D844,куб!N:N),IF($C844&lt;&gt;0,SUMIF(куб!$C:$C,$C844,куб!N:N),IF($B844&lt;&gt;0,SUMIF(куб!$B:$B,$B844,куб!N:N))))))</f>
        <v>0</v>
      </c>
      <c r="Y844" s="27" t="b">
        <f>IF($G844&lt;&gt;0,SUMIF(куб!$G:$G,$G844,куб!O:O),IF($E844&lt;&gt;0,SUMIF(куб!$E:$E,$E844,куб!O:O),IF($D844&lt;&gt;0,SUMIF(куб!$D:$D,$D844,куб!O:O),IF($C844&lt;&gt;0,SUMIF(куб!$C:$C,$C844,куб!O:O),IF($B844&lt;&gt;0,SUMIF(куб!$B:$B,$B844,куб!O:O))))))</f>
        <v>0</v>
      </c>
      <c r="Z844" s="13" t="str">
        <f t="shared" si="279"/>
        <v>-</v>
      </c>
      <c r="AA844" s="5"/>
      <c r="AB844" s="33" t="str">
        <f t="shared" si="280"/>
        <v/>
      </c>
      <c r="AC844" s="33" t="str">
        <f t="shared" si="281"/>
        <v/>
      </c>
      <c r="AD844" s="15" t="str">
        <f t="shared" si="282"/>
        <v xml:space="preserve"> </v>
      </c>
      <c r="AE844" s="5"/>
      <c r="AF844" s="27" t="b">
        <f>IF($G844&lt;&gt;0,SUMIF(куб!$G:$G,$G844,куб!R:R),IF($E844&lt;&gt;0,SUMIF(куб!$E:$E,$E844,куб!R:R),IF($D844&lt;&gt;0,SUMIF(куб!$D:$D,$D844,куб!R:R),IF($C844&lt;&gt;0,SUMIF(куб!$C:$C,$C844,куб!R:R),IF($B844&lt;&gt;0,SUMIF(куб!$B:$B,$B844,куб!R:R))))))</f>
        <v>0</v>
      </c>
      <c r="AG844" s="27" t="b">
        <f>IF($G844&lt;&gt;0,SUMIF(куб!$G:$G,$G844,куб!S:S),IF($E844&lt;&gt;0,SUMIF(куб!$E:$E,$E844,куб!S:S),IF($D844&lt;&gt;0,SUMIF(куб!$D:$D,$D844,куб!S:S),IF($C844&lt;&gt;0,SUMIF(куб!$C:$C,$C844,куб!S:S),IF($B844&lt;&gt;0,SUMIF(куб!$B:$B,$B844,куб!S:S))))))</f>
        <v>0</v>
      </c>
      <c r="AH844" s="16" t="str">
        <f t="shared" si="283"/>
        <v>-</v>
      </c>
      <c r="AI844" s="8"/>
      <c r="AJ844" s="27" t="b">
        <f>IF($G844&lt;&gt;0,SUMIF(куб!$G:$G,$G844,куб!T:T),IF($E844&lt;&gt;0,SUMIF(куб!$E:$E,$E844,куб!T:T),IF($D844&lt;&gt;0,SUMIF(куб!$D:$D,$D844,куб!T:T),IF($C844&lt;&gt;0,SUMIF(куб!$C:$C,$C844,куб!T:T),IF($B844&lt;&gt;0,SUMIF(куб!$B:$B,$B844,куб!T:T))))))</f>
        <v>0</v>
      </c>
      <c r="AK844" s="27" t="b">
        <f>IF($G844&lt;&gt;0,SUMIF(куб!$G:$G,$G844,куб!U:U),IF($E844&lt;&gt;0,SUMIF(куб!$E:$E,$E844,куб!U:U),IF($D844&lt;&gt;0,SUMIF(куб!$D:$D,$D844,куб!U:U),IF($C844&lt;&gt;0,SUMIF(куб!$C:$C,$C844,куб!U:U),IF($B844&lt;&gt;0,SUMIF(куб!$B:$B,$B844,куб!U:U))))))</f>
        <v>0</v>
      </c>
      <c r="AL844" s="16" t="str">
        <f t="shared" si="284"/>
        <v>-</v>
      </c>
      <c r="AM844" s="8"/>
      <c r="AN844" s="17" t="str">
        <f t="shared" si="285"/>
        <v xml:space="preserve"> </v>
      </c>
      <c r="AO844" s="17" t="str">
        <f t="shared" si="286"/>
        <v xml:space="preserve"> </v>
      </c>
      <c r="AP844" s="16" t="str">
        <f t="shared" si="287"/>
        <v>-</v>
      </c>
      <c r="AQ844" s="8"/>
      <c r="AR844" s="17" t="str">
        <f t="shared" si="288"/>
        <v>-</v>
      </c>
      <c r="AS844" s="17" t="str">
        <f t="shared" si="289"/>
        <v>-</v>
      </c>
      <c r="AT844" s="13" t="str">
        <f t="shared" si="290"/>
        <v>-</v>
      </c>
      <c r="AU844" s="8"/>
    </row>
    <row r="845" spans="1:47" x14ac:dyDescent="0.25">
      <c r="A845" s="31"/>
      <c r="B845" s="31"/>
      <c r="C845"/>
      <c r="D845" s="31"/>
      <c r="E845"/>
      <c r="F845" s="31"/>
      <c r="G845"/>
      <c r="H845" s="27">
        <f>IF($G845&lt;&gt;0,SUMIF(куб!$G:$G,$G845,куб!H:H),IF($E845&lt;&gt;0,SUMIF(куб!$E:$E,$E845,куб!H:H),IF($D845&lt;&gt;0,SUMIF(куб!$D:$D,$D845,куб!H:H),IF($C845&lt;&gt;0,SUMIF(куб!$C:$C,$C845,куб!H:H),IF($B845&lt;&gt;0,SUMIF(куб!$B:$B,$B845,куб!H:H),IF($G845&lt;&gt;0,SUMIF(куб!$A:$A,$G845,куб!H:H),SUMIF(куб!$A:$A,$G845,куб!H:H)))))))</f>
        <v>0</v>
      </c>
      <c r="I845" s="27">
        <f>IF($G845&lt;&gt;0,SUMIF(куб!$G:$G,$G845,куб!I:I),IF($E845&lt;&gt;0,SUMIF(куб!$E:$E,$E845,куб!I:I),IF($D845&lt;&gt;0,SUMIF(куб!$D:$D,$D845,куб!I:I),IF($C845&lt;&gt;0,SUMIF(куб!$C:$C,$C845,куб!I:I),IF($B845&lt;&gt;0,SUMIF(куб!$B:$B,$B845,куб!I:I),IF($G845&lt;&gt;0,SUMIF(куб!$A:$A,$G845,куб!I:I),SUMIF(куб!$A:$A,$G845,куб!I:I)))))))</f>
        <v>0</v>
      </c>
      <c r="J845" s="19" t="str">
        <f t="shared" si="273"/>
        <v>-</v>
      </c>
      <c r="K845" s="8"/>
      <c r="L845" s="17">
        <f t="shared" si="274"/>
        <v>0</v>
      </c>
      <c r="M845" s="17">
        <f t="shared" si="275"/>
        <v>0</v>
      </c>
      <c r="N845" s="12">
        <f t="shared" si="276"/>
        <v>0</v>
      </c>
      <c r="O845" s="5"/>
      <c r="P845" s="27" t="b">
        <f>IF($G845&lt;&gt;0,SUMIF(куб!$G:$G,$G845,куб!J:J),IF($E845&lt;&gt;0,SUMIF(куб!$E:$E,$E845,куб!J:J),IF($D845&lt;&gt;0,SUMIF(куб!$D:$D,$D845,куб!J:J),IF($C845&lt;&gt;0,SUMIF(куб!$C:$C,$C845,куб!J:J),IF($B845&lt;&gt;0,SUMIF(куб!$B:$B,$B845,куб!J:J))))))</f>
        <v>0</v>
      </c>
      <c r="Q845" s="27" t="b">
        <f>IF($G845&lt;&gt;0,SUMIF(куб!$G:$G,$G845,куб!K:K),IF($E845&lt;&gt;0,SUMIF(куб!$E:$E,$E845,куб!K:K),IF($D845&lt;&gt;0,SUMIF(куб!$D:$D,$D845,куб!K:K),IF($C845&lt;&gt;0,SUMIF(куб!$C:$C,$C845,куб!K:K),IF($B845&lt;&gt;0,SUMIF(куб!$B:$B,$B845,куб!K:K))))))</f>
        <v>0</v>
      </c>
      <c r="R845" s="13" t="str">
        <f t="shared" si="277"/>
        <v>-</v>
      </c>
      <c r="S845" s="5"/>
      <c r="T845" s="27" t="b">
        <f>IF($G845&lt;&gt;0,SUMIF(куб!$G:$G,$G845,куб!L:L),IF($E845&lt;&gt;0,SUMIF(куб!$E:$E,$E845,куб!L:L),IF($D845&lt;&gt;0,SUMIF(куб!$D:$D,$D845,куб!L:L),IF($C845&lt;&gt;0,SUMIF(куб!$C:$C,$C845,куб!L:L),IF($B845&lt;&gt;0,SUMIF(куб!$B:$B,$B845,куб!L:L))))))</f>
        <v>0</v>
      </c>
      <c r="U845" s="27" t="b">
        <f>IF($G845&lt;&gt;0,SUMIF(куб!$G:$G,$G845,куб!M:M),IF($E845&lt;&gt;0,SUMIF(куб!$E:$E,$E845,куб!M:M),IF($D845&lt;&gt;0,SUMIF(куб!$D:$D,$D845,куб!M:M),IF($C845&lt;&gt;0,SUMIF(куб!$C:$C,$C845,куб!M:M),IF($B845&lt;&gt;0,SUMIF(куб!$B:$B,$B845,куб!M:M))))))</f>
        <v>0</v>
      </c>
      <c r="V845" s="13" t="str">
        <f t="shared" si="278"/>
        <v>-</v>
      </c>
      <c r="W845" s="5"/>
      <c r="X845" s="27" t="b">
        <f>IF($G845&lt;&gt;0,SUMIF(куб!$G:$G,$G845,куб!N:N),IF($E845&lt;&gt;0,SUMIF(куб!$E:$E,$E845,куб!N:N),IF($D845&lt;&gt;0,SUMIF(куб!$D:$D,$D845,куб!N:N),IF($C845&lt;&gt;0,SUMIF(куб!$C:$C,$C845,куб!N:N),IF($B845&lt;&gt;0,SUMIF(куб!$B:$B,$B845,куб!N:N))))))</f>
        <v>0</v>
      </c>
      <c r="Y845" s="27" t="b">
        <f>IF($G845&lt;&gt;0,SUMIF(куб!$G:$G,$G845,куб!O:O),IF($E845&lt;&gt;0,SUMIF(куб!$E:$E,$E845,куб!O:O),IF($D845&lt;&gt;0,SUMIF(куб!$D:$D,$D845,куб!O:O),IF($C845&lt;&gt;0,SUMIF(куб!$C:$C,$C845,куб!O:O),IF($B845&lt;&gt;0,SUMIF(куб!$B:$B,$B845,куб!O:O))))))</f>
        <v>0</v>
      </c>
      <c r="Z845" s="13" t="str">
        <f t="shared" si="279"/>
        <v>-</v>
      </c>
      <c r="AA845" s="5"/>
      <c r="AB845" s="33" t="str">
        <f t="shared" si="280"/>
        <v/>
      </c>
      <c r="AC845" s="33" t="str">
        <f t="shared" si="281"/>
        <v/>
      </c>
      <c r="AD845" s="15" t="str">
        <f t="shared" si="282"/>
        <v xml:space="preserve"> </v>
      </c>
      <c r="AE845" s="5"/>
      <c r="AF845" s="27" t="b">
        <f>IF($G845&lt;&gt;0,SUMIF(куб!$G:$G,$G845,куб!R:R),IF($E845&lt;&gt;0,SUMIF(куб!$E:$E,$E845,куб!R:R),IF($D845&lt;&gt;0,SUMIF(куб!$D:$D,$D845,куб!R:R),IF($C845&lt;&gt;0,SUMIF(куб!$C:$C,$C845,куб!R:R),IF($B845&lt;&gt;0,SUMIF(куб!$B:$B,$B845,куб!R:R))))))</f>
        <v>0</v>
      </c>
      <c r="AG845" s="27" t="b">
        <f>IF($G845&lt;&gt;0,SUMIF(куб!$G:$G,$G845,куб!S:S),IF($E845&lt;&gt;0,SUMIF(куб!$E:$E,$E845,куб!S:S),IF($D845&lt;&gt;0,SUMIF(куб!$D:$D,$D845,куб!S:S),IF($C845&lt;&gt;0,SUMIF(куб!$C:$C,$C845,куб!S:S),IF($B845&lt;&gt;0,SUMIF(куб!$B:$B,$B845,куб!S:S))))))</f>
        <v>0</v>
      </c>
      <c r="AH845" s="16" t="str">
        <f t="shared" si="283"/>
        <v>-</v>
      </c>
      <c r="AI845" s="8"/>
      <c r="AJ845" s="27" t="b">
        <f>IF($G845&lt;&gt;0,SUMIF(куб!$G:$G,$G845,куб!T:T),IF($E845&lt;&gt;0,SUMIF(куб!$E:$E,$E845,куб!T:T),IF($D845&lt;&gt;0,SUMIF(куб!$D:$D,$D845,куб!T:T),IF($C845&lt;&gt;0,SUMIF(куб!$C:$C,$C845,куб!T:T),IF($B845&lt;&gt;0,SUMIF(куб!$B:$B,$B845,куб!T:T))))))</f>
        <v>0</v>
      </c>
      <c r="AK845" s="27" t="b">
        <f>IF($G845&lt;&gt;0,SUMIF(куб!$G:$G,$G845,куб!U:U),IF($E845&lt;&gt;0,SUMIF(куб!$E:$E,$E845,куб!U:U),IF($D845&lt;&gt;0,SUMIF(куб!$D:$D,$D845,куб!U:U),IF($C845&lt;&gt;0,SUMIF(куб!$C:$C,$C845,куб!U:U),IF($B845&lt;&gt;0,SUMIF(куб!$B:$B,$B845,куб!U:U))))))</f>
        <v>0</v>
      </c>
      <c r="AL845" s="16" t="str">
        <f t="shared" si="284"/>
        <v>-</v>
      </c>
      <c r="AM845" s="8"/>
      <c r="AN845" s="17" t="str">
        <f t="shared" si="285"/>
        <v xml:space="preserve"> </v>
      </c>
      <c r="AO845" s="17" t="str">
        <f t="shared" si="286"/>
        <v xml:space="preserve"> </v>
      </c>
      <c r="AP845" s="16" t="str">
        <f t="shared" si="287"/>
        <v>-</v>
      </c>
      <c r="AQ845" s="8"/>
      <c r="AR845" s="17" t="str">
        <f t="shared" si="288"/>
        <v>-</v>
      </c>
      <c r="AS845" s="17" t="str">
        <f t="shared" si="289"/>
        <v>-</v>
      </c>
      <c r="AT845" s="13" t="str">
        <f t="shared" si="290"/>
        <v>-</v>
      </c>
      <c r="AU845" s="8"/>
    </row>
    <row r="846" spans="1:47" x14ac:dyDescent="0.25">
      <c r="A846" s="31"/>
      <c r="B846" s="31"/>
      <c r="C846"/>
      <c r="D846" s="31"/>
      <c r="E846"/>
      <c r="F846" s="31"/>
      <c r="G846"/>
      <c r="H846" s="27">
        <f>IF($G846&lt;&gt;0,SUMIF(куб!$G:$G,$G846,куб!H:H),IF($E846&lt;&gt;0,SUMIF(куб!$E:$E,$E846,куб!H:H),IF($D846&lt;&gt;0,SUMIF(куб!$D:$D,$D846,куб!H:H),IF($C846&lt;&gt;0,SUMIF(куб!$C:$C,$C846,куб!H:H),IF($B846&lt;&gt;0,SUMIF(куб!$B:$B,$B846,куб!H:H),IF($G846&lt;&gt;0,SUMIF(куб!$A:$A,$G846,куб!H:H),SUMIF(куб!$A:$A,$G846,куб!H:H)))))))</f>
        <v>0</v>
      </c>
      <c r="I846" s="27">
        <f>IF($G846&lt;&gt;0,SUMIF(куб!$G:$G,$G846,куб!I:I),IF($E846&lt;&gt;0,SUMIF(куб!$E:$E,$E846,куб!I:I),IF($D846&lt;&gt;0,SUMIF(куб!$D:$D,$D846,куб!I:I),IF($C846&lt;&gt;0,SUMIF(куб!$C:$C,$C846,куб!I:I),IF($B846&lt;&gt;0,SUMIF(куб!$B:$B,$B846,куб!I:I),IF($G846&lt;&gt;0,SUMIF(куб!$A:$A,$G846,куб!I:I),SUMIF(куб!$A:$A,$G846,куб!I:I)))))))</f>
        <v>0</v>
      </c>
      <c r="J846" s="19" t="str">
        <f t="shared" si="273"/>
        <v>-</v>
      </c>
      <c r="K846" s="8"/>
      <c r="L846" s="17">
        <f t="shared" si="274"/>
        <v>0</v>
      </c>
      <c r="M846" s="17">
        <f t="shared" si="275"/>
        <v>0</v>
      </c>
      <c r="N846" s="12">
        <f t="shared" si="276"/>
        <v>0</v>
      </c>
      <c r="O846" s="5"/>
      <c r="P846" s="27" t="b">
        <f>IF($G846&lt;&gt;0,SUMIF(куб!$G:$G,$G846,куб!J:J),IF($E846&lt;&gt;0,SUMIF(куб!$E:$E,$E846,куб!J:J),IF($D846&lt;&gt;0,SUMIF(куб!$D:$D,$D846,куб!J:J),IF($C846&lt;&gt;0,SUMIF(куб!$C:$C,$C846,куб!J:J),IF($B846&lt;&gt;0,SUMIF(куб!$B:$B,$B846,куб!J:J))))))</f>
        <v>0</v>
      </c>
      <c r="Q846" s="27" t="b">
        <f>IF($G846&lt;&gt;0,SUMIF(куб!$G:$G,$G846,куб!K:K),IF($E846&lt;&gt;0,SUMIF(куб!$E:$E,$E846,куб!K:K),IF($D846&lt;&gt;0,SUMIF(куб!$D:$D,$D846,куб!K:K),IF($C846&lt;&gt;0,SUMIF(куб!$C:$C,$C846,куб!K:K),IF($B846&lt;&gt;0,SUMIF(куб!$B:$B,$B846,куб!K:K))))))</f>
        <v>0</v>
      </c>
      <c r="R846" s="13" t="str">
        <f t="shared" si="277"/>
        <v>-</v>
      </c>
      <c r="S846" s="5"/>
      <c r="T846" s="27" t="b">
        <f>IF($G846&lt;&gt;0,SUMIF(куб!$G:$G,$G846,куб!L:L),IF($E846&lt;&gt;0,SUMIF(куб!$E:$E,$E846,куб!L:L),IF($D846&lt;&gt;0,SUMIF(куб!$D:$D,$D846,куб!L:L),IF($C846&lt;&gt;0,SUMIF(куб!$C:$C,$C846,куб!L:L),IF($B846&lt;&gt;0,SUMIF(куб!$B:$B,$B846,куб!L:L))))))</f>
        <v>0</v>
      </c>
      <c r="U846" s="27" t="b">
        <f>IF($G846&lt;&gt;0,SUMIF(куб!$G:$G,$G846,куб!M:M),IF($E846&lt;&gt;0,SUMIF(куб!$E:$E,$E846,куб!M:M),IF($D846&lt;&gt;0,SUMIF(куб!$D:$D,$D846,куб!M:M),IF($C846&lt;&gt;0,SUMIF(куб!$C:$C,$C846,куб!M:M),IF($B846&lt;&gt;0,SUMIF(куб!$B:$B,$B846,куб!M:M))))))</f>
        <v>0</v>
      </c>
      <c r="V846" s="13" t="str">
        <f t="shared" si="278"/>
        <v>-</v>
      </c>
      <c r="W846" s="5"/>
      <c r="X846" s="27" t="b">
        <f>IF($G846&lt;&gt;0,SUMIF(куб!$G:$G,$G846,куб!N:N),IF($E846&lt;&gt;0,SUMIF(куб!$E:$E,$E846,куб!N:N),IF($D846&lt;&gt;0,SUMIF(куб!$D:$D,$D846,куб!N:N),IF($C846&lt;&gt;0,SUMIF(куб!$C:$C,$C846,куб!N:N),IF($B846&lt;&gt;0,SUMIF(куб!$B:$B,$B846,куб!N:N))))))</f>
        <v>0</v>
      </c>
      <c r="Y846" s="27" t="b">
        <f>IF($G846&lt;&gt;0,SUMIF(куб!$G:$G,$G846,куб!O:O),IF($E846&lt;&gt;0,SUMIF(куб!$E:$E,$E846,куб!O:O),IF($D846&lt;&gt;0,SUMIF(куб!$D:$D,$D846,куб!O:O),IF($C846&lt;&gt;0,SUMIF(куб!$C:$C,$C846,куб!O:O),IF($B846&lt;&gt;0,SUMIF(куб!$B:$B,$B846,куб!O:O))))))</f>
        <v>0</v>
      </c>
      <c r="Z846" s="13" t="str">
        <f t="shared" si="279"/>
        <v>-</v>
      </c>
      <c r="AA846" s="5"/>
      <c r="AB846" s="33" t="str">
        <f t="shared" si="280"/>
        <v/>
      </c>
      <c r="AC846" s="33" t="str">
        <f t="shared" si="281"/>
        <v/>
      </c>
      <c r="AD846" s="15" t="str">
        <f t="shared" si="282"/>
        <v xml:space="preserve"> </v>
      </c>
      <c r="AE846" s="5"/>
      <c r="AF846" s="27" t="b">
        <f>IF($G846&lt;&gt;0,SUMIF(куб!$G:$G,$G846,куб!R:R),IF($E846&lt;&gt;0,SUMIF(куб!$E:$E,$E846,куб!R:R),IF($D846&lt;&gt;0,SUMIF(куб!$D:$D,$D846,куб!R:R),IF($C846&lt;&gt;0,SUMIF(куб!$C:$C,$C846,куб!R:R),IF($B846&lt;&gt;0,SUMIF(куб!$B:$B,$B846,куб!R:R))))))</f>
        <v>0</v>
      </c>
      <c r="AG846" s="27" t="b">
        <f>IF($G846&lt;&gt;0,SUMIF(куб!$G:$G,$G846,куб!S:S),IF($E846&lt;&gt;0,SUMIF(куб!$E:$E,$E846,куб!S:S),IF($D846&lt;&gt;0,SUMIF(куб!$D:$D,$D846,куб!S:S),IF($C846&lt;&gt;0,SUMIF(куб!$C:$C,$C846,куб!S:S),IF($B846&lt;&gt;0,SUMIF(куб!$B:$B,$B846,куб!S:S))))))</f>
        <v>0</v>
      </c>
      <c r="AH846" s="16" t="str">
        <f t="shared" si="283"/>
        <v>-</v>
      </c>
      <c r="AI846" s="8"/>
      <c r="AJ846" s="27" t="b">
        <f>IF($G846&lt;&gt;0,SUMIF(куб!$G:$G,$G846,куб!T:T),IF($E846&lt;&gt;0,SUMIF(куб!$E:$E,$E846,куб!T:T),IF($D846&lt;&gt;0,SUMIF(куб!$D:$D,$D846,куб!T:T),IF($C846&lt;&gt;0,SUMIF(куб!$C:$C,$C846,куб!T:T),IF($B846&lt;&gt;0,SUMIF(куб!$B:$B,$B846,куб!T:T))))))</f>
        <v>0</v>
      </c>
      <c r="AK846" s="27" t="b">
        <f>IF($G846&lt;&gt;0,SUMIF(куб!$G:$G,$G846,куб!U:U),IF($E846&lt;&gt;0,SUMIF(куб!$E:$E,$E846,куб!U:U),IF($D846&lt;&gt;0,SUMIF(куб!$D:$D,$D846,куб!U:U),IF($C846&lt;&gt;0,SUMIF(куб!$C:$C,$C846,куб!U:U),IF($B846&lt;&gt;0,SUMIF(куб!$B:$B,$B846,куб!U:U))))))</f>
        <v>0</v>
      </c>
      <c r="AL846" s="16" t="str">
        <f t="shared" si="284"/>
        <v>-</v>
      </c>
      <c r="AM846" s="8"/>
      <c r="AN846" s="17" t="str">
        <f t="shared" si="285"/>
        <v xml:space="preserve"> </v>
      </c>
      <c r="AO846" s="17" t="str">
        <f t="shared" si="286"/>
        <v xml:space="preserve"> </v>
      </c>
      <c r="AP846" s="16" t="str">
        <f t="shared" si="287"/>
        <v>-</v>
      </c>
      <c r="AQ846" s="8"/>
      <c r="AR846" s="17" t="str">
        <f t="shared" si="288"/>
        <v>-</v>
      </c>
      <c r="AS846" s="17" t="str">
        <f t="shared" si="289"/>
        <v>-</v>
      </c>
      <c r="AT846" s="13" t="str">
        <f t="shared" si="290"/>
        <v>-</v>
      </c>
      <c r="AU846" s="8"/>
    </row>
    <row r="847" spans="1:47" x14ac:dyDescent="0.25">
      <c r="A847" s="31"/>
      <c r="B847" s="31"/>
      <c r="C847"/>
      <c r="D847" s="31"/>
      <c r="E847"/>
      <c r="F847" s="31"/>
      <c r="G847"/>
      <c r="H847" s="27">
        <f>IF($G847&lt;&gt;0,SUMIF(куб!$G:$G,$G847,куб!H:H),IF($E847&lt;&gt;0,SUMIF(куб!$E:$E,$E847,куб!H:H),IF($D847&lt;&gt;0,SUMIF(куб!$D:$D,$D847,куб!H:H),IF($C847&lt;&gt;0,SUMIF(куб!$C:$C,$C847,куб!H:H),IF($B847&lt;&gt;0,SUMIF(куб!$B:$B,$B847,куб!H:H),IF($G847&lt;&gt;0,SUMIF(куб!$A:$A,$G847,куб!H:H),SUMIF(куб!$A:$A,$G847,куб!H:H)))))))</f>
        <v>0</v>
      </c>
      <c r="I847" s="27">
        <f>IF($G847&lt;&gt;0,SUMIF(куб!$G:$G,$G847,куб!I:I),IF($E847&lt;&gt;0,SUMIF(куб!$E:$E,$E847,куб!I:I),IF($D847&lt;&gt;0,SUMIF(куб!$D:$D,$D847,куб!I:I),IF($C847&lt;&gt;0,SUMIF(куб!$C:$C,$C847,куб!I:I),IF($B847&lt;&gt;0,SUMIF(куб!$B:$B,$B847,куб!I:I),IF($G847&lt;&gt;0,SUMIF(куб!$A:$A,$G847,куб!I:I),SUMIF(куб!$A:$A,$G847,куб!I:I)))))))</f>
        <v>0</v>
      </c>
      <c r="J847" s="19" t="str">
        <f t="shared" si="273"/>
        <v>-</v>
      </c>
      <c r="K847" s="8"/>
      <c r="L847" s="17">
        <f t="shared" si="274"/>
        <v>0</v>
      </c>
      <c r="M847" s="17">
        <f t="shared" si="275"/>
        <v>0</v>
      </c>
      <c r="N847" s="12">
        <f t="shared" si="276"/>
        <v>0</v>
      </c>
      <c r="O847" s="5"/>
      <c r="P847" s="27" t="b">
        <f>IF($G847&lt;&gt;0,SUMIF(куб!$G:$G,$G847,куб!J:J),IF($E847&lt;&gt;0,SUMIF(куб!$E:$E,$E847,куб!J:J),IF($D847&lt;&gt;0,SUMIF(куб!$D:$D,$D847,куб!J:J),IF($C847&lt;&gt;0,SUMIF(куб!$C:$C,$C847,куб!J:J),IF($B847&lt;&gt;0,SUMIF(куб!$B:$B,$B847,куб!J:J))))))</f>
        <v>0</v>
      </c>
      <c r="Q847" s="27" t="b">
        <f>IF($G847&lt;&gt;0,SUMIF(куб!$G:$G,$G847,куб!K:K),IF($E847&lt;&gt;0,SUMIF(куб!$E:$E,$E847,куб!K:K),IF($D847&lt;&gt;0,SUMIF(куб!$D:$D,$D847,куб!K:K),IF($C847&lt;&gt;0,SUMIF(куб!$C:$C,$C847,куб!K:K),IF($B847&lt;&gt;0,SUMIF(куб!$B:$B,$B847,куб!K:K))))))</f>
        <v>0</v>
      </c>
      <c r="R847" s="13" t="str">
        <f t="shared" si="277"/>
        <v>-</v>
      </c>
      <c r="S847" s="5"/>
      <c r="T847" s="27" t="b">
        <f>IF($G847&lt;&gt;0,SUMIF(куб!$G:$G,$G847,куб!L:L),IF($E847&lt;&gt;0,SUMIF(куб!$E:$E,$E847,куб!L:L),IF($D847&lt;&gt;0,SUMIF(куб!$D:$D,$D847,куб!L:L),IF($C847&lt;&gt;0,SUMIF(куб!$C:$C,$C847,куб!L:L),IF($B847&lt;&gt;0,SUMIF(куб!$B:$B,$B847,куб!L:L))))))</f>
        <v>0</v>
      </c>
      <c r="U847" s="27" t="b">
        <f>IF($G847&lt;&gt;0,SUMIF(куб!$G:$G,$G847,куб!M:M),IF($E847&lt;&gt;0,SUMIF(куб!$E:$E,$E847,куб!M:M),IF($D847&lt;&gt;0,SUMIF(куб!$D:$D,$D847,куб!M:M),IF($C847&lt;&gt;0,SUMIF(куб!$C:$C,$C847,куб!M:M),IF($B847&lt;&gt;0,SUMIF(куб!$B:$B,$B847,куб!M:M))))))</f>
        <v>0</v>
      </c>
      <c r="V847" s="13" t="str">
        <f t="shared" si="278"/>
        <v>-</v>
      </c>
      <c r="W847" s="5"/>
      <c r="X847" s="27" t="b">
        <f>IF($G847&lt;&gt;0,SUMIF(куб!$G:$G,$G847,куб!N:N),IF($E847&lt;&gt;0,SUMIF(куб!$E:$E,$E847,куб!N:N),IF($D847&lt;&gt;0,SUMIF(куб!$D:$D,$D847,куб!N:N),IF($C847&lt;&gt;0,SUMIF(куб!$C:$C,$C847,куб!N:N),IF($B847&lt;&gt;0,SUMIF(куб!$B:$B,$B847,куб!N:N))))))</f>
        <v>0</v>
      </c>
      <c r="Y847" s="27" t="b">
        <f>IF($G847&lt;&gt;0,SUMIF(куб!$G:$G,$G847,куб!O:O),IF($E847&lt;&gt;0,SUMIF(куб!$E:$E,$E847,куб!O:O),IF($D847&lt;&gt;0,SUMIF(куб!$D:$D,$D847,куб!O:O),IF($C847&lt;&gt;0,SUMIF(куб!$C:$C,$C847,куб!O:O),IF($B847&lt;&gt;0,SUMIF(куб!$B:$B,$B847,куб!O:O))))))</f>
        <v>0</v>
      </c>
      <c r="Z847" s="13" t="str">
        <f t="shared" si="279"/>
        <v>-</v>
      </c>
      <c r="AA847" s="5"/>
      <c r="AB847" s="33" t="str">
        <f t="shared" si="280"/>
        <v/>
      </c>
      <c r="AC847" s="33" t="str">
        <f t="shared" si="281"/>
        <v/>
      </c>
      <c r="AD847" s="15" t="str">
        <f t="shared" si="282"/>
        <v xml:space="preserve"> </v>
      </c>
      <c r="AE847" s="5"/>
      <c r="AF847" s="27" t="b">
        <f>IF($G847&lt;&gt;0,SUMIF(куб!$G:$G,$G847,куб!R:R),IF($E847&lt;&gt;0,SUMIF(куб!$E:$E,$E847,куб!R:R),IF($D847&lt;&gt;0,SUMIF(куб!$D:$D,$D847,куб!R:R),IF($C847&lt;&gt;0,SUMIF(куб!$C:$C,$C847,куб!R:R),IF($B847&lt;&gt;0,SUMIF(куб!$B:$B,$B847,куб!R:R))))))</f>
        <v>0</v>
      </c>
      <c r="AG847" s="27" t="b">
        <f>IF($G847&lt;&gt;0,SUMIF(куб!$G:$G,$G847,куб!S:S),IF($E847&lt;&gt;0,SUMIF(куб!$E:$E,$E847,куб!S:S),IF($D847&lt;&gt;0,SUMIF(куб!$D:$D,$D847,куб!S:S),IF($C847&lt;&gt;0,SUMIF(куб!$C:$C,$C847,куб!S:S),IF($B847&lt;&gt;0,SUMIF(куб!$B:$B,$B847,куб!S:S))))))</f>
        <v>0</v>
      </c>
      <c r="AH847" s="16" t="str">
        <f t="shared" si="283"/>
        <v>-</v>
      </c>
      <c r="AI847" s="8"/>
      <c r="AJ847" s="27" t="b">
        <f>IF($G847&lt;&gt;0,SUMIF(куб!$G:$G,$G847,куб!T:T),IF($E847&lt;&gt;0,SUMIF(куб!$E:$E,$E847,куб!T:T),IF($D847&lt;&gt;0,SUMIF(куб!$D:$D,$D847,куб!T:T),IF($C847&lt;&gt;0,SUMIF(куб!$C:$C,$C847,куб!T:T),IF($B847&lt;&gt;0,SUMIF(куб!$B:$B,$B847,куб!T:T))))))</f>
        <v>0</v>
      </c>
      <c r="AK847" s="27" t="b">
        <f>IF($G847&lt;&gt;0,SUMIF(куб!$G:$G,$G847,куб!U:U),IF($E847&lt;&gt;0,SUMIF(куб!$E:$E,$E847,куб!U:U),IF($D847&lt;&gt;0,SUMIF(куб!$D:$D,$D847,куб!U:U),IF($C847&lt;&gt;0,SUMIF(куб!$C:$C,$C847,куб!U:U),IF($B847&lt;&gt;0,SUMIF(куб!$B:$B,$B847,куб!U:U))))))</f>
        <v>0</v>
      </c>
      <c r="AL847" s="16" t="str">
        <f t="shared" si="284"/>
        <v>-</v>
      </c>
      <c r="AM847" s="8"/>
      <c r="AN847" s="17" t="str">
        <f t="shared" si="285"/>
        <v xml:space="preserve"> </v>
      </c>
      <c r="AO847" s="17" t="str">
        <f t="shared" si="286"/>
        <v xml:space="preserve"> </v>
      </c>
      <c r="AP847" s="16" t="str">
        <f t="shared" si="287"/>
        <v>-</v>
      </c>
      <c r="AQ847" s="8"/>
      <c r="AR847" s="17" t="str">
        <f t="shared" si="288"/>
        <v>-</v>
      </c>
      <c r="AS847" s="17" t="str">
        <f t="shared" si="289"/>
        <v>-</v>
      </c>
      <c r="AT847" s="13" t="str">
        <f t="shared" si="290"/>
        <v>-</v>
      </c>
      <c r="AU847" s="8"/>
    </row>
    <row r="848" spans="1:47" x14ac:dyDescent="0.25">
      <c r="A848" s="31"/>
      <c r="B848" s="31"/>
      <c r="C848"/>
      <c r="D848" s="31"/>
      <c r="E848"/>
      <c r="F848" s="31"/>
      <c r="G848"/>
      <c r="H848" s="27">
        <f>IF($G848&lt;&gt;0,SUMIF(куб!$G:$G,$G848,куб!H:H),IF($E848&lt;&gt;0,SUMIF(куб!$E:$E,$E848,куб!H:H),IF($D848&lt;&gt;0,SUMIF(куб!$D:$D,$D848,куб!H:H),IF($C848&lt;&gt;0,SUMIF(куб!$C:$C,$C848,куб!H:H),IF($B848&lt;&gt;0,SUMIF(куб!$B:$B,$B848,куб!H:H),IF($G848&lt;&gt;0,SUMIF(куб!$A:$A,$G848,куб!H:H),SUMIF(куб!$A:$A,$G848,куб!H:H)))))))</f>
        <v>0</v>
      </c>
      <c r="I848" s="27">
        <f>IF($G848&lt;&gt;0,SUMIF(куб!$G:$G,$G848,куб!I:I),IF($E848&lt;&gt;0,SUMIF(куб!$E:$E,$E848,куб!I:I),IF($D848&lt;&gt;0,SUMIF(куб!$D:$D,$D848,куб!I:I),IF($C848&lt;&gt;0,SUMIF(куб!$C:$C,$C848,куб!I:I),IF($B848&lt;&gt;0,SUMIF(куб!$B:$B,$B848,куб!I:I),IF($G848&lt;&gt;0,SUMIF(куб!$A:$A,$G848,куб!I:I),SUMIF(куб!$A:$A,$G848,куб!I:I)))))))</f>
        <v>0</v>
      </c>
      <c r="J848" s="19" t="str">
        <f t="shared" si="273"/>
        <v>-</v>
      </c>
      <c r="K848" s="8"/>
      <c r="L848" s="17">
        <f t="shared" si="274"/>
        <v>0</v>
      </c>
      <c r="M848" s="17">
        <f t="shared" si="275"/>
        <v>0</v>
      </c>
      <c r="N848" s="12">
        <f t="shared" si="276"/>
        <v>0</v>
      </c>
      <c r="O848" s="5"/>
      <c r="P848" s="27" t="b">
        <f>IF($G848&lt;&gt;0,SUMIF(куб!$G:$G,$G848,куб!J:J),IF($E848&lt;&gt;0,SUMIF(куб!$E:$E,$E848,куб!J:J),IF($D848&lt;&gt;0,SUMIF(куб!$D:$D,$D848,куб!J:J),IF($C848&lt;&gt;0,SUMIF(куб!$C:$C,$C848,куб!J:J),IF($B848&lt;&gt;0,SUMIF(куб!$B:$B,$B848,куб!J:J))))))</f>
        <v>0</v>
      </c>
      <c r="Q848" s="27" t="b">
        <f>IF($G848&lt;&gt;0,SUMIF(куб!$G:$G,$G848,куб!K:K),IF($E848&lt;&gt;0,SUMIF(куб!$E:$E,$E848,куб!K:K),IF($D848&lt;&gt;0,SUMIF(куб!$D:$D,$D848,куб!K:K),IF($C848&lt;&gt;0,SUMIF(куб!$C:$C,$C848,куб!K:K),IF($B848&lt;&gt;0,SUMIF(куб!$B:$B,$B848,куб!K:K))))))</f>
        <v>0</v>
      </c>
      <c r="R848" s="13" t="str">
        <f t="shared" si="277"/>
        <v>-</v>
      </c>
      <c r="S848" s="5"/>
      <c r="T848" s="27" t="b">
        <f>IF($G848&lt;&gt;0,SUMIF(куб!$G:$G,$G848,куб!L:L),IF($E848&lt;&gt;0,SUMIF(куб!$E:$E,$E848,куб!L:L),IF($D848&lt;&gt;0,SUMIF(куб!$D:$D,$D848,куб!L:L),IF($C848&lt;&gt;0,SUMIF(куб!$C:$C,$C848,куб!L:L),IF($B848&lt;&gt;0,SUMIF(куб!$B:$B,$B848,куб!L:L))))))</f>
        <v>0</v>
      </c>
      <c r="U848" s="27" t="b">
        <f>IF($G848&lt;&gt;0,SUMIF(куб!$G:$G,$G848,куб!M:M),IF($E848&lt;&gt;0,SUMIF(куб!$E:$E,$E848,куб!M:M),IF($D848&lt;&gt;0,SUMIF(куб!$D:$D,$D848,куб!M:M),IF($C848&lt;&gt;0,SUMIF(куб!$C:$C,$C848,куб!M:M),IF($B848&lt;&gt;0,SUMIF(куб!$B:$B,$B848,куб!M:M))))))</f>
        <v>0</v>
      </c>
      <c r="V848" s="13" t="str">
        <f t="shared" si="278"/>
        <v>-</v>
      </c>
      <c r="W848" s="5"/>
      <c r="X848" s="27" t="b">
        <f>IF($G848&lt;&gt;0,SUMIF(куб!$G:$G,$G848,куб!N:N),IF($E848&lt;&gt;0,SUMIF(куб!$E:$E,$E848,куб!N:N),IF($D848&lt;&gt;0,SUMIF(куб!$D:$D,$D848,куб!N:N),IF($C848&lt;&gt;0,SUMIF(куб!$C:$C,$C848,куб!N:N),IF($B848&lt;&gt;0,SUMIF(куб!$B:$B,$B848,куб!N:N))))))</f>
        <v>0</v>
      </c>
      <c r="Y848" s="27" t="b">
        <f>IF($G848&lt;&gt;0,SUMIF(куб!$G:$G,$G848,куб!O:O),IF($E848&lt;&gt;0,SUMIF(куб!$E:$E,$E848,куб!O:O),IF($D848&lt;&gt;0,SUMIF(куб!$D:$D,$D848,куб!O:O),IF($C848&lt;&gt;0,SUMIF(куб!$C:$C,$C848,куб!O:O),IF($B848&lt;&gt;0,SUMIF(куб!$B:$B,$B848,куб!O:O))))))</f>
        <v>0</v>
      </c>
      <c r="Z848" s="13" t="str">
        <f t="shared" si="279"/>
        <v>-</v>
      </c>
      <c r="AA848" s="5"/>
      <c r="AB848" s="33" t="str">
        <f t="shared" si="280"/>
        <v/>
      </c>
      <c r="AC848" s="33" t="str">
        <f t="shared" si="281"/>
        <v/>
      </c>
      <c r="AD848" s="15" t="str">
        <f t="shared" si="282"/>
        <v xml:space="preserve"> </v>
      </c>
      <c r="AE848" s="5"/>
      <c r="AF848" s="27" t="b">
        <f>IF($G848&lt;&gt;0,SUMIF(куб!$G:$G,$G848,куб!R:R),IF($E848&lt;&gt;0,SUMIF(куб!$E:$E,$E848,куб!R:R),IF($D848&lt;&gt;0,SUMIF(куб!$D:$D,$D848,куб!R:R),IF($C848&lt;&gt;0,SUMIF(куб!$C:$C,$C848,куб!R:R),IF($B848&lt;&gt;0,SUMIF(куб!$B:$B,$B848,куб!R:R))))))</f>
        <v>0</v>
      </c>
      <c r="AG848" s="27" t="b">
        <f>IF($G848&lt;&gt;0,SUMIF(куб!$G:$G,$G848,куб!S:S),IF($E848&lt;&gt;0,SUMIF(куб!$E:$E,$E848,куб!S:S),IF($D848&lt;&gt;0,SUMIF(куб!$D:$D,$D848,куб!S:S),IF($C848&lt;&gt;0,SUMIF(куб!$C:$C,$C848,куб!S:S),IF($B848&lt;&gt;0,SUMIF(куб!$B:$B,$B848,куб!S:S))))))</f>
        <v>0</v>
      </c>
      <c r="AH848" s="16" t="str">
        <f t="shared" si="283"/>
        <v>-</v>
      </c>
      <c r="AI848" s="8"/>
      <c r="AJ848" s="27" t="b">
        <f>IF($G848&lt;&gt;0,SUMIF(куб!$G:$G,$G848,куб!T:T),IF($E848&lt;&gt;0,SUMIF(куб!$E:$E,$E848,куб!T:T),IF($D848&lt;&gt;0,SUMIF(куб!$D:$D,$D848,куб!T:T),IF($C848&lt;&gt;0,SUMIF(куб!$C:$C,$C848,куб!T:T),IF($B848&lt;&gt;0,SUMIF(куб!$B:$B,$B848,куб!T:T))))))</f>
        <v>0</v>
      </c>
      <c r="AK848" s="27" t="b">
        <f>IF($G848&lt;&gt;0,SUMIF(куб!$G:$G,$G848,куб!U:U),IF($E848&lt;&gt;0,SUMIF(куб!$E:$E,$E848,куб!U:U),IF($D848&lt;&gt;0,SUMIF(куб!$D:$D,$D848,куб!U:U),IF($C848&lt;&gt;0,SUMIF(куб!$C:$C,$C848,куб!U:U),IF($B848&lt;&gt;0,SUMIF(куб!$B:$B,$B848,куб!U:U))))))</f>
        <v>0</v>
      </c>
      <c r="AL848" s="16" t="str">
        <f t="shared" si="284"/>
        <v>-</v>
      </c>
      <c r="AM848" s="8"/>
      <c r="AN848" s="17" t="str">
        <f t="shared" si="285"/>
        <v xml:space="preserve"> </v>
      </c>
      <c r="AO848" s="17" t="str">
        <f t="shared" si="286"/>
        <v xml:space="preserve"> </v>
      </c>
      <c r="AP848" s="16" t="str">
        <f t="shared" si="287"/>
        <v>-</v>
      </c>
      <c r="AQ848" s="8"/>
      <c r="AR848" s="17" t="str">
        <f t="shared" si="288"/>
        <v>-</v>
      </c>
      <c r="AS848" s="17" t="str">
        <f t="shared" si="289"/>
        <v>-</v>
      </c>
      <c r="AT848" s="13" t="str">
        <f t="shared" si="290"/>
        <v>-</v>
      </c>
      <c r="AU848" s="8"/>
    </row>
    <row r="849" spans="1:47" x14ac:dyDescent="0.25">
      <c r="A849" s="31"/>
      <c r="B849" s="31"/>
      <c r="C849"/>
      <c r="D849" s="31"/>
      <c r="E849"/>
      <c r="F849" s="31"/>
      <c r="G849"/>
      <c r="H849" s="27">
        <f>IF($G849&lt;&gt;0,SUMIF(куб!$G:$G,$G849,куб!H:H),IF($E849&lt;&gt;0,SUMIF(куб!$E:$E,$E849,куб!H:H),IF($D849&lt;&gt;0,SUMIF(куб!$D:$D,$D849,куб!H:H),IF($C849&lt;&gt;0,SUMIF(куб!$C:$C,$C849,куб!H:H),IF($B849&lt;&gt;0,SUMIF(куб!$B:$B,$B849,куб!H:H),IF($G849&lt;&gt;0,SUMIF(куб!$A:$A,$G849,куб!H:H),SUMIF(куб!$A:$A,$G849,куб!H:H)))))))</f>
        <v>0</v>
      </c>
      <c r="I849" s="27">
        <f>IF($G849&lt;&gt;0,SUMIF(куб!$G:$G,$G849,куб!I:I),IF($E849&lt;&gt;0,SUMIF(куб!$E:$E,$E849,куб!I:I),IF($D849&lt;&gt;0,SUMIF(куб!$D:$D,$D849,куб!I:I),IF($C849&lt;&gt;0,SUMIF(куб!$C:$C,$C849,куб!I:I),IF($B849&lt;&gt;0,SUMIF(куб!$B:$B,$B849,куб!I:I),IF($G849&lt;&gt;0,SUMIF(куб!$A:$A,$G849,куб!I:I),SUMIF(куб!$A:$A,$G849,куб!I:I)))))))</f>
        <v>0</v>
      </c>
      <c r="J849" s="19" t="str">
        <f t="shared" si="273"/>
        <v>-</v>
      </c>
      <c r="K849" s="8"/>
      <c r="L849" s="17">
        <f t="shared" si="274"/>
        <v>0</v>
      </c>
      <c r="M849" s="17">
        <f t="shared" si="275"/>
        <v>0</v>
      </c>
      <c r="N849" s="12">
        <f t="shared" si="276"/>
        <v>0</v>
      </c>
      <c r="O849" s="5"/>
      <c r="P849" s="27" t="b">
        <f>IF($G849&lt;&gt;0,SUMIF(куб!$G:$G,$G849,куб!J:J),IF($E849&lt;&gt;0,SUMIF(куб!$E:$E,$E849,куб!J:J),IF($D849&lt;&gt;0,SUMIF(куб!$D:$D,$D849,куб!J:J),IF($C849&lt;&gt;0,SUMIF(куб!$C:$C,$C849,куб!J:J),IF($B849&lt;&gt;0,SUMIF(куб!$B:$B,$B849,куб!J:J))))))</f>
        <v>0</v>
      </c>
      <c r="Q849" s="27" t="b">
        <f>IF($G849&lt;&gt;0,SUMIF(куб!$G:$G,$G849,куб!K:K),IF($E849&lt;&gt;0,SUMIF(куб!$E:$E,$E849,куб!K:K),IF($D849&lt;&gt;0,SUMIF(куб!$D:$D,$D849,куб!K:K),IF($C849&lt;&gt;0,SUMIF(куб!$C:$C,$C849,куб!K:K),IF($B849&lt;&gt;0,SUMIF(куб!$B:$B,$B849,куб!K:K))))))</f>
        <v>0</v>
      </c>
      <c r="R849" s="13" t="str">
        <f t="shared" si="277"/>
        <v>-</v>
      </c>
      <c r="S849" s="5"/>
      <c r="T849" s="27" t="b">
        <f>IF($G849&lt;&gt;0,SUMIF(куб!$G:$G,$G849,куб!L:L),IF($E849&lt;&gt;0,SUMIF(куб!$E:$E,$E849,куб!L:L),IF($D849&lt;&gt;0,SUMIF(куб!$D:$D,$D849,куб!L:L),IF($C849&lt;&gt;0,SUMIF(куб!$C:$C,$C849,куб!L:L),IF($B849&lt;&gt;0,SUMIF(куб!$B:$B,$B849,куб!L:L))))))</f>
        <v>0</v>
      </c>
      <c r="U849" s="27" t="b">
        <f>IF($G849&lt;&gt;0,SUMIF(куб!$G:$G,$G849,куб!M:M),IF($E849&lt;&gt;0,SUMIF(куб!$E:$E,$E849,куб!M:M),IF($D849&lt;&gt;0,SUMIF(куб!$D:$D,$D849,куб!M:M),IF($C849&lt;&gt;0,SUMIF(куб!$C:$C,$C849,куб!M:M),IF($B849&lt;&gt;0,SUMIF(куб!$B:$B,$B849,куб!M:M))))))</f>
        <v>0</v>
      </c>
      <c r="V849" s="13" t="str">
        <f t="shared" si="278"/>
        <v>-</v>
      </c>
      <c r="W849" s="5"/>
      <c r="X849" s="27" t="b">
        <f>IF($G849&lt;&gt;0,SUMIF(куб!$G:$G,$G849,куб!N:N),IF($E849&lt;&gt;0,SUMIF(куб!$E:$E,$E849,куб!N:N),IF($D849&lt;&gt;0,SUMIF(куб!$D:$D,$D849,куб!N:N),IF($C849&lt;&gt;0,SUMIF(куб!$C:$C,$C849,куб!N:N),IF($B849&lt;&gt;0,SUMIF(куб!$B:$B,$B849,куб!N:N))))))</f>
        <v>0</v>
      </c>
      <c r="Y849" s="27" t="b">
        <f>IF($G849&lt;&gt;0,SUMIF(куб!$G:$G,$G849,куб!O:O),IF($E849&lt;&gt;0,SUMIF(куб!$E:$E,$E849,куб!O:O),IF($D849&lt;&gt;0,SUMIF(куб!$D:$D,$D849,куб!O:O),IF($C849&lt;&gt;0,SUMIF(куб!$C:$C,$C849,куб!O:O),IF($B849&lt;&gt;0,SUMIF(куб!$B:$B,$B849,куб!O:O))))))</f>
        <v>0</v>
      </c>
      <c r="Z849" s="13" t="str">
        <f t="shared" si="279"/>
        <v>-</v>
      </c>
      <c r="AA849" s="5"/>
      <c r="AB849" s="33" t="str">
        <f t="shared" si="280"/>
        <v/>
      </c>
      <c r="AC849" s="33" t="str">
        <f t="shared" si="281"/>
        <v/>
      </c>
      <c r="AD849" s="15" t="str">
        <f t="shared" si="282"/>
        <v xml:space="preserve"> </v>
      </c>
      <c r="AE849" s="5"/>
      <c r="AF849" s="27" t="b">
        <f>IF($G849&lt;&gt;0,SUMIF(куб!$G:$G,$G849,куб!R:R),IF($E849&lt;&gt;0,SUMIF(куб!$E:$E,$E849,куб!R:R),IF($D849&lt;&gt;0,SUMIF(куб!$D:$D,$D849,куб!R:R),IF($C849&lt;&gt;0,SUMIF(куб!$C:$C,$C849,куб!R:R),IF($B849&lt;&gt;0,SUMIF(куб!$B:$B,$B849,куб!R:R))))))</f>
        <v>0</v>
      </c>
      <c r="AG849" s="27" t="b">
        <f>IF($G849&lt;&gt;0,SUMIF(куб!$G:$G,$G849,куб!S:S),IF($E849&lt;&gt;0,SUMIF(куб!$E:$E,$E849,куб!S:S),IF($D849&lt;&gt;0,SUMIF(куб!$D:$D,$D849,куб!S:S),IF($C849&lt;&gt;0,SUMIF(куб!$C:$C,$C849,куб!S:S),IF($B849&lt;&gt;0,SUMIF(куб!$B:$B,$B849,куб!S:S))))))</f>
        <v>0</v>
      </c>
      <c r="AH849" s="16" t="str">
        <f t="shared" si="283"/>
        <v>-</v>
      </c>
      <c r="AI849" s="8"/>
      <c r="AJ849" s="27" t="b">
        <f>IF($G849&lt;&gt;0,SUMIF(куб!$G:$G,$G849,куб!T:T),IF($E849&lt;&gt;0,SUMIF(куб!$E:$E,$E849,куб!T:T),IF($D849&lt;&gt;0,SUMIF(куб!$D:$D,$D849,куб!T:T),IF($C849&lt;&gt;0,SUMIF(куб!$C:$C,$C849,куб!T:T),IF($B849&lt;&gt;0,SUMIF(куб!$B:$B,$B849,куб!T:T))))))</f>
        <v>0</v>
      </c>
      <c r="AK849" s="27" t="b">
        <f>IF($G849&lt;&gt;0,SUMIF(куб!$G:$G,$G849,куб!U:U),IF($E849&lt;&gt;0,SUMIF(куб!$E:$E,$E849,куб!U:U),IF($D849&lt;&gt;0,SUMIF(куб!$D:$D,$D849,куб!U:U),IF($C849&lt;&gt;0,SUMIF(куб!$C:$C,$C849,куб!U:U),IF($B849&lt;&gt;0,SUMIF(куб!$B:$B,$B849,куб!U:U))))))</f>
        <v>0</v>
      </c>
      <c r="AL849" s="16" t="str">
        <f t="shared" si="284"/>
        <v>-</v>
      </c>
      <c r="AM849" s="8"/>
      <c r="AN849" s="17" t="str">
        <f t="shared" si="285"/>
        <v xml:space="preserve"> </v>
      </c>
      <c r="AO849" s="17" t="str">
        <f t="shared" si="286"/>
        <v xml:space="preserve"> </v>
      </c>
      <c r="AP849" s="16" t="str">
        <f t="shared" si="287"/>
        <v>-</v>
      </c>
      <c r="AQ849" s="8"/>
      <c r="AR849" s="17" t="str">
        <f t="shared" si="288"/>
        <v>-</v>
      </c>
      <c r="AS849" s="17" t="str">
        <f t="shared" si="289"/>
        <v>-</v>
      </c>
      <c r="AT849" s="13" t="str">
        <f t="shared" si="290"/>
        <v>-</v>
      </c>
      <c r="AU849" s="8"/>
    </row>
    <row r="850" spans="1:47" x14ac:dyDescent="0.25">
      <c r="A850" s="31"/>
      <c r="B850" s="31"/>
      <c r="C850"/>
      <c r="D850" s="31"/>
      <c r="E850"/>
      <c r="F850" s="31"/>
      <c r="G850"/>
      <c r="H850" s="27">
        <f>IF($G850&lt;&gt;0,SUMIF(куб!$G:$G,$G850,куб!H:H),IF($E850&lt;&gt;0,SUMIF(куб!$E:$E,$E850,куб!H:H),IF($D850&lt;&gt;0,SUMIF(куб!$D:$D,$D850,куб!H:H),IF($C850&lt;&gt;0,SUMIF(куб!$C:$C,$C850,куб!H:H),IF($B850&lt;&gt;0,SUMIF(куб!$B:$B,$B850,куб!H:H),IF($G850&lt;&gt;0,SUMIF(куб!$A:$A,$G850,куб!H:H),SUMIF(куб!$A:$A,$G850,куб!H:H)))))))</f>
        <v>0</v>
      </c>
      <c r="I850" s="27">
        <f>IF($G850&lt;&gt;0,SUMIF(куб!$G:$G,$G850,куб!I:I),IF($E850&lt;&gt;0,SUMIF(куб!$E:$E,$E850,куб!I:I),IF($D850&lt;&gt;0,SUMIF(куб!$D:$D,$D850,куб!I:I),IF($C850&lt;&gt;0,SUMIF(куб!$C:$C,$C850,куб!I:I),IF($B850&lt;&gt;0,SUMIF(куб!$B:$B,$B850,куб!I:I),IF($G850&lt;&gt;0,SUMIF(куб!$A:$A,$G850,куб!I:I),SUMIF(куб!$A:$A,$G850,куб!I:I)))))))</f>
        <v>0</v>
      </c>
      <c r="J850" s="19" t="str">
        <f t="shared" si="273"/>
        <v>-</v>
      </c>
      <c r="K850" s="8"/>
      <c r="L850" s="17">
        <f t="shared" si="274"/>
        <v>0</v>
      </c>
      <c r="M850" s="17">
        <f t="shared" si="275"/>
        <v>0</v>
      </c>
      <c r="N850" s="12">
        <f t="shared" si="276"/>
        <v>0</v>
      </c>
      <c r="O850" s="5"/>
      <c r="P850" s="27" t="b">
        <f>IF($G850&lt;&gt;0,SUMIF(куб!$G:$G,$G850,куб!J:J),IF($E850&lt;&gt;0,SUMIF(куб!$E:$E,$E850,куб!J:J),IF($D850&lt;&gt;0,SUMIF(куб!$D:$D,$D850,куб!J:J),IF($C850&lt;&gt;0,SUMIF(куб!$C:$C,$C850,куб!J:J),IF($B850&lt;&gt;0,SUMIF(куб!$B:$B,$B850,куб!J:J))))))</f>
        <v>0</v>
      </c>
      <c r="Q850" s="27" t="b">
        <f>IF($G850&lt;&gt;0,SUMIF(куб!$G:$G,$G850,куб!K:K),IF($E850&lt;&gt;0,SUMIF(куб!$E:$E,$E850,куб!K:K),IF($D850&lt;&gt;0,SUMIF(куб!$D:$D,$D850,куб!K:K),IF($C850&lt;&gt;0,SUMIF(куб!$C:$C,$C850,куб!K:K),IF($B850&lt;&gt;0,SUMIF(куб!$B:$B,$B850,куб!K:K))))))</f>
        <v>0</v>
      </c>
      <c r="R850" s="13" t="str">
        <f t="shared" si="277"/>
        <v>-</v>
      </c>
      <c r="S850" s="5"/>
      <c r="T850" s="27" t="b">
        <f>IF($G850&lt;&gt;0,SUMIF(куб!$G:$G,$G850,куб!L:L),IF($E850&lt;&gt;0,SUMIF(куб!$E:$E,$E850,куб!L:L),IF($D850&lt;&gt;0,SUMIF(куб!$D:$D,$D850,куб!L:L),IF($C850&lt;&gt;0,SUMIF(куб!$C:$C,$C850,куб!L:L),IF($B850&lt;&gt;0,SUMIF(куб!$B:$B,$B850,куб!L:L))))))</f>
        <v>0</v>
      </c>
      <c r="U850" s="27" t="b">
        <f>IF($G850&lt;&gt;0,SUMIF(куб!$G:$G,$G850,куб!M:M),IF($E850&lt;&gt;0,SUMIF(куб!$E:$E,$E850,куб!M:M),IF($D850&lt;&gt;0,SUMIF(куб!$D:$D,$D850,куб!M:M),IF($C850&lt;&gt;0,SUMIF(куб!$C:$C,$C850,куб!M:M),IF($B850&lt;&gt;0,SUMIF(куб!$B:$B,$B850,куб!M:M))))))</f>
        <v>0</v>
      </c>
      <c r="V850" s="13" t="str">
        <f t="shared" si="278"/>
        <v>-</v>
      </c>
      <c r="W850" s="5"/>
      <c r="X850" s="27" t="b">
        <f>IF($G850&lt;&gt;0,SUMIF(куб!$G:$G,$G850,куб!N:N),IF($E850&lt;&gt;0,SUMIF(куб!$E:$E,$E850,куб!N:N),IF($D850&lt;&gt;0,SUMIF(куб!$D:$D,$D850,куб!N:N),IF($C850&lt;&gt;0,SUMIF(куб!$C:$C,$C850,куб!N:N),IF($B850&lt;&gt;0,SUMIF(куб!$B:$B,$B850,куб!N:N))))))</f>
        <v>0</v>
      </c>
      <c r="Y850" s="27" t="b">
        <f>IF($G850&lt;&gt;0,SUMIF(куб!$G:$G,$G850,куб!O:O),IF($E850&lt;&gt;0,SUMIF(куб!$E:$E,$E850,куб!O:O),IF($D850&lt;&gt;0,SUMIF(куб!$D:$D,$D850,куб!O:O),IF($C850&lt;&gt;0,SUMIF(куб!$C:$C,$C850,куб!O:O),IF($B850&lt;&gt;0,SUMIF(куб!$B:$B,$B850,куб!O:O))))))</f>
        <v>0</v>
      </c>
      <c r="Z850" s="13" t="str">
        <f t="shared" si="279"/>
        <v>-</v>
      </c>
      <c r="AA850" s="5"/>
      <c r="AB850" s="33" t="str">
        <f t="shared" si="280"/>
        <v/>
      </c>
      <c r="AC850" s="33" t="str">
        <f t="shared" si="281"/>
        <v/>
      </c>
      <c r="AD850" s="15" t="str">
        <f t="shared" si="282"/>
        <v xml:space="preserve"> </v>
      </c>
      <c r="AE850" s="5"/>
      <c r="AF850" s="27" t="b">
        <f>IF($G850&lt;&gt;0,SUMIF(куб!$G:$G,$G850,куб!R:R),IF($E850&lt;&gt;0,SUMIF(куб!$E:$E,$E850,куб!R:R),IF($D850&lt;&gt;0,SUMIF(куб!$D:$D,$D850,куб!R:R),IF($C850&lt;&gt;0,SUMIF(куб!$C:$C,$C850,куб!R:R),IF($B850&lt;&gt;0,SUMIF(куб!$B:$B,$B850,куб!R:R))))))</f>
        <v>0</v>
      </c>
      <c r="AG850" s="27" t="b">
        <f>IF($G850&lt;&gt;0,SUMIF(куб!$G:$G,$G850,куб!S:S),IF($E850&lt;&gt;0,SUMIF(куб!$E:$E,$E850,куб!S:S),IF($D850&lt;&gt;0,SUMIF(куб!$D:$D,$D850,куб!S:S),IF($C850&lt;&gt;0,SUMIF(куб!$C:$C,$C850,куб!S:S),IF($B850&lt;&gt;0,SUMIF(куб!$B:$B,$B850,куб!S:S))))))</f>
        <v>0</v>
      </c>
      <c r="AH850" s="16" t="str">
        <f t="shared" si="283"/>
        <v>-</v>
      </c>
      <c r="AI850" s="8"/>
      <c r="AJ850" s="27" t="b">
        <f>IF($G850&lt;&gt;0,SUMIF(куб!$G:$G,$G850,куб!T:T),IF($E850&lt;&gt;0,SUMIF(куб!$E:$E,$E850,куб!T:T),IF($D850&lt;&gt;0,SUMIF(куб!$D:$D,$D850,куб!T:T),IF($C850&lt;&gt;0,SUMIF(куб!$C:$C,$C850,куб!T:T),IF($B850&lt;&gt;0,SUMIF(куб!$B:$B,$B850,куб!T:T))))))</f>
        <v>0</v>
      </c>
      <c r="AK850" s="27" t="b">
        <f>IF($G850&lt;&gt;0,SUMIF(куб!$G:$G,$G850,куб!U:U),IF($E850&lt;&gt;0,SUMIF(куб!$E:$E,$E850,куб!U:U),IF($D850&lt;&gt;0,SUMIF(куб!$D:$D,$D850,куб!U:U),IF($C850&lt;&gt;0,SUMIF(куб!$C:$C,$C850,куб!U:U),IF($B850&lt;&gt;0,SUMIF(куб!$B:$B,$B850,куб!U:U))))))</f>
        <v>0</v>
      </c>
      <c r="AL850" s="16" t="str">
        <f t="shared" si="284"/>
        <v>-</v>
      </c>
      <c r="AM850" s="8"/>
      <c r="AN850" s="17" t="str">
        <f t="shared" si="285"/>
        <v xml:space="preserve"> </v>
      </c>
      <c r="AO850" s="17" t="str">
        <f t="shared" si="286"/>
        <v xml:space="preserve"> </v>
      </c>
      <c r="AP850" s="16" t="str">
        <f t="shared" si="287"/>
        <v>-</v>
      </c>
      <c r="AQ850" s="8"/>
      <c r="AR850" s="17" t="str">
        <f t="shared" si="288"/>
        <v>-</v>
      </c>
      <c r="AS850" s="17" t="str">
        <f t="shared" si="289"/>
        <v>-</v>
      </c>
      <c r="AT850" s="13" t="str">
        <f t="shared" si="290"/>
        <v>-</v>
      </c>
      <c r="AU850" s="8"/>
    </row>
    <row r="851" spans="1:47" x14ac:dyDescent="0.25">
      <c r="A851" s="31"/>
      <c r="B851" s="31"/>
      <c r="C851"/>
      <c r="D851" s="31"/>
      <c r="E851"/>
      <c r="F851" s="31"/>
      <c r="G851"/>
      <c r="H851" s="27">
        <f>IF($G851&lt;&gt;0,SUMIF(куб!$G:$G,$G851,куб!H:H),IF($E851&lt;&gt;0,SUMIF(куб!$E:$E,$E851,куб!H:H),IF($D851&lt;&gt;0,SUMIF(куб!$D:$D,$D851,куб!H:H),IF($C851&lt;&gt;0,SUMIF(куб!$C:$C,$C851,куб!H:H),IF($B851&lt;&gt;0,SUMIF(куб!$B:$B,$B851,куб!H:H),IF($G851&lt;&gt;0,SUMIF(куб!$A:$A,$G851,куб!H:H),SUMIF(куб!$A:$A,$G851,куб!H:H)))))))</f>
        <v>0</v>
      </c>
      <c r="I851" s="27">
        <f>IF($G851&lt;&gt;0,SUMIF(куб!$G:$G,$G851,куб!I:I),IF($E851&lt;&gt;0,SUMIF(куб!$E:$E,$E851,куб!I:I),IF($D851&lt;&gt;0,SUMIF(куб!$D:$D,$D851,куб!I:I),IF($C851&lt;&gt;0,SUMIF(куб!$C:$C,$C851,куб!I:I),IF($B851&lt;&gt;0,SUMIF(куб!$B:$B,$B851,куб!I:I),IF($G851&lt;&gt;0,SUMIF(куб!$A:$A,$G851,куб!I:I),SUMIF(куб!$A:$A,$G851,куб!I:I)))))))</f>
        <v>0</v>
      </c>
      <c r="J851" s="19" t="str">
        <f t="shared" si="273"/>
        <v>-</v>
      </c>
      <c r="K851" s="8"/>
      <c r="L851" s="17">
        <f t="shared" si="274"/>
        <v>0</v>
      </c>
      <c r="M851" s="17">
        <f t="shared" si="275"/>
        <v>0</v>
      </c>
      <c r="N851" s="12">
        <f t="shared" si="276"/>
        <v>0</v>
      </c>
      <c r="O851" s="5"/>
      <c r="P851" s="27" t="b">
        <f>IF($G851&lt;&gt;0,SUMIF(куб!$G:$G,$G851,куб!J:J),IF($E851&lt;&gt;0,SUMIF(куб!$E:$E,$E851,куб!J:J),IF($D851&lt;&gt;0,SUMIF(куб!$D:$D,$D851,куб!J:J),IF($C851&lt;&gt;0,SUMIF(куб!$C:$C,$C851,куб!J:J),IF($B851&lt;&gt;0,SUMIF(куб!$B:$B,$B851,куб!J:J))))))</f>
        <v>0</v>
      </c>
      <c r="Q851" s="27" t="b">
        <f>IF($G851&lt;&gt;0,SUMIF(куб!$G:$G,$G851,куб!K:K),IF($E851&lt;&gt;0,SUMIF(куб!$E:$E,$E851,куб!K:K),IF($D851&lt;&gt;0,SUMIF(куб!$D:$D,$D851,куб!K:K),IF($C851&lt;&gt;0,SUMIF(куб!$C:$C,$C851,куб!K:K),IF($B851&lt;&gt;0,SUMIF(куб!$B:$B,$B851,куб!K:K))))))</f>
        <v>0</v>
      </c>
      <c r="R851" s="13" t="str">
        <f t="shared" si="277"/>
        <v>-</v>
      </c>
      <c r="S851" s="5"/>
      <c r="T851" s="27" t="b">
        <f>IF($G851&lt;&gt;0,SUMIF(куб!$G:$G,$G851,куб!L:L),IF($E851&lt;&gt;0,SUMIF(куб!$E:$E,$E851,куб!L:L),IF($D851&lt;&gt;0,SUMIF(куб!$D:$D,$D851,куб!L:L),IF($C851&lt;&gt;0,SUMIF(куб!$C:$C,$C851,куб!L:L),IF($B851&lt;&gt;0,SUMIF(куб!$B:$B,$B851,куб!L:L))))))</f>
        <v>0</v>
      </c>
      <c r="U851" s="27" t="b">
        <f>IF($G851&lt;&gt;0,SUMIF(куб!$G:$G,$G851,куб!M:M),IF($E851&lt;&gt;0,SUMIF(куб!$E:$E,$E851,куб!M:M),IF($D851&lt;&gt;0,SUMIF(куб!$D:$D,$D851,куб!M:M),IF($C851&lt;&gt;0,SUMIF(куб!$C:$C,$C851,куб!M:M),IF($B851&lt;&gt;0,SUMIF(куб!$B:$B,$B851,куб!M:M))))))</f>
        <v>0</v>
      </c>
      <c r="V851" s="13" t="str">
        <f t="shared" si="278"/>
        <v>-</v>
      </c>
      <c r="W851" s="5"/>
      <c r="X851" s="27" t="b">
        <f>IF($G851&lt;&gt;0,SUMIF(куб!$G:$G,$G851,куб!N:N),IF($E851&lt;&gt;0,SUMIF(куб!$E:$E,$E851,куб!N:N),IF($D851&lt;&gt;0,SUMIF(куб!$D:$D,$D851,куб!N:N),IF($C851&lt;&gt;0,SUMIF(куб!$C:$C,$C851,куб!N:N),IF($B851&lt;&gt;0,SUMIF(куб!$B:$B,$B851,куб!N:N))))))</f>
        <v>0</v>
      </c>
      <c r="Y851" s="27" t="b">
        <f>IF($G851&lt;&gt;0,SUMIF(куб!$G:$G,$G851,куб!O:O),IF($E851&lt;&gt;0,SUMIF(куб!$E:$E,$E851,куб!O:O),IF($D851&lt;&gt;0,SUMIF(куб!$D:$D,$D851,куб!O:O),IF($C851&lt;&gt;0,SUMIF(куб!$C:$C,$C851,куб!O:O),IF($B851&lt;&gt;0,SUMIF(куб!$B:$B,$B851,куб!O:O))))))</f>
        <v>0</v>
      </c>
      <c r="Z851" s="13" t="str">
        <f t="shared" si="279"/>
        <v>-</v>
      </c>
      <c r="AA851" s="5"/>
      <c r="AB851" s="33" t="str">
        <f t="shared" si="280"/>
        <v/>
      </c>
      <c r="AC851" s="33" t="str">
        <f t="shared" si="281"/>
        <v/>
      </c>
      <c r="AD851" s="15" t="str">
        <f t="shared" si="282"/>
        <v xml:space="preserve"> </v>
      </c>
      <c r="AE851" s="5"/>
      <c r="AF851" s="27" t="b">
        <f>IF($G851&lt;&gt;0,SUMIF(куб!$G:$G,$G851,куб!R:R),IF($E851&lt;&gt;0,SUMIF(куб!$E:$E,$E851,куб!R:R),IF($D851&lt;&gt;0,SUMIF(куб!$D:$D,$D851,куб!R:R),IF($C851&lt;&gt;0,SUMIF(куб!$C:$C,$C851,куб!R:R),IF($B851&lt;&gt;0,SUMIF(куб!$B:$B,$B851,куб!R:R))))))</f>
        <v>0</v>
      </c>
      <c r="AG851" s="27" t="b">
        <f>IF($G851&lt;&gt;0,SUMIF(куб!$G:$G,$G851,куб!S:S),IF($E851&lt;&gt;0,SUMIF(куб!$E:$E,$E851,куб!S:S),IF($D851&lt;&gt;0,SUMIF(куб!$D:$D,$D851,куб!S:S),IF($C851&lt;&gt;0,SUMIF(куб!$C:$C,$C851,куб!S:S),IF($B851&lt;&gt;0,SUMIF(куб!$B:$B,$B851,куб!S:S))))))</f>
        <v>0</v>
      </c>
      <c r="AH851" s="16" t="str">
        <f t="shared" si="283"/>
        <v>-</v>
      </c>
      <c r="AI851" s="8"/>
      <c r="AJ851" s="27" t="b">
        <f>IF($G851&lt;&gt;0,SUMIF(куб!$G:$G,$G851,куб!T:T),IF($E851&lt;&gt;0,SUMIF(куб!$E:$E,$E851,куб!T:T),IF($D851&lt;&gt;0,SUMIF(куб!$D:$D,$D851,куб!T:T),IF($C851&lt;&gt;0,SUMIF(куб!$C:$C,$C851,куб!T:T),IF($B851&lt;&gt;0,SUMIF(куб!$B:$B,$B851,куб!T:T))))))</f>
        <v>0</v>
      </c>
      <c r="AK851" s="27" t="b">
        <f>IF($G851&lt;&gt;0,SUMIF(куб!$G:$G,$G851,куб!U:U),IF($E851&lt;&gt;0,SUMIF(куб!$E:$E,$E851,куб!U:U),IF($D851&lt;&gt;0,SUMIF(куб!$D:$D,$D851,куб!U:U),IF($C851&lt;&gt;0,SUMIF(куб!$C:$C,$C851,куб!U:U),IF($B851&lt;&gt;0,SUMIF(куб!$B:$B,$B851,куб!U:U))))))</f>
        <v>0</v>
      </c>
      <c r="AL851" s="16" t="str">
        <f t="shared" si="284"/>
        <v>-</v>
      </c>
      <c r="AM851" s="8"/>
      <c r="AN851" s="17" t="str">
        <f t="shared" si="285"/>
        <v xml:space="preserve"> </v>
      </c>
      <c r="AO851" s="17" t="str">
        <f t="shared" si="286"/>
        <v xml:space="preserve"> </v>
      </c>
      <c r="AP851" s="16" t="str">
        <f t="shared" si="287"/>
        <v>-</v>
      </c>
      <c r="AQ851" s="8"/>
      <c r="AR851" s="17" t="str">
        <f t="shared" si="288"/>
        <v>-</v>
      </c>
      <c r="AS851" s="17" t="str">
        <f t="shared" si="289"/>
        <v>-</v>
      </c>
      <c r="AT851" s="13" t="str">
        <f t="shared" si="290"/>
        <v>-</v>
      </c>
      <c r="AU851" s="8"/>
    </row>
    <row r="852" spans="1:47" x14ac:dyDescent="0.25">
      <c r="A852" s="31"/>
      <c r="B852" s="31"/>
      <c r="C852"/>
      <c r="D852" s="31"/>
      <c r="E852"/>
      <c r="F852" s="31"/>
      <c r="G852"/>
      <c r="H852" s="27">
        <f>IF($G852&lt;&gt;0,SUMIF(куб!$G:$G,$G852,куб!H:H),IF($E852&lt;&gt;0,SUMIF(куб!$E:$E,$E852,куб!H:H),IF($D852&lt;&gt;0,SUMIF(куб!$D:$D,$D852,куб!H:H),IF($C852&lt;&gt;0,SUMIF(куб!$C:$C,$C852,куб!H:H),IF($B852&lt;&gt;0,SUMIF(куб!$B:$B,$B852,куб!H:H),IF($G852&lt;&gt;0,SUMIF(куб!$A:$A,$G852,куб!H:H),SUMIF(куб!$A:$A,$G852,куб!H:H)))))))</f>
        <v>0</v>
      </c>
      <c r="I852" s="27">
        <f>IF($G852&lt;&gt;0,SUMIF(куб!$G:$G,$G852,куб!I:I),IF($E852&lt;&gt;0,SUMIF(куб!$E:$E,$E852,куб!I:I),IF($D852&lt;&gt;0,SUMIF(куб!$D:$D,$D852,куб!I:I),IF($C852&lt;&gt;0,SUMIF(куб!$C:$C,$C852,куб!I:I),IF($B852&lt;&gt;0,SUMIF(куб!$B:$B,$B852,куб!I:I),IF($G852&lt;&gt;0,SUMIF(куб!$A:$A,$G852,куб!I:I),SUMIF(куб!$A:$A,$G852,куб!I:I)))))))</f>
        <v>0</v>
      </c>
      <c r="J852" s="19" t="str">
        <f t="shared" si="273"/>
        <v>-</v>
      </c>
      <c r="K852" s="8"/>
      <c r="L852" s="17">
        <f t="shared" si="274"/>
        <v>0</v>
      </c>
      <c r="M852" s="17">
        <f t="shared" si="275"/>
        <v>0</v>
      </c>
      <c r="N852" s="12">
        <f t="shared" si="276"/>
        <v>0</v>
      </c>
      <c r="O852" s="5"/>
      <c r="P852" s="27" t="b">
        <f>IF($G852&lt;&gt;0,SUMIF(куб!$G:$G,$G852,куб!J:J),IF($E852&lt;&gt;0,SUMIF(куб!$E:$E,$E852,куб!J:J),IF($D852&lt;&gt;0,SUMIF(куб!$D:$D,$D852,куб!J:J),IF($C852&lt;&gt;0,SUMIF(куб!$C:$C,$C852,куб!J:J),IF($B852&lt;&gt;0,SUMIF(куб!$B:$B,$B852,куб!J:J))))))</f>
        <v>0</v>
      </c>
      <c r="Q852" s="27" t="b">
        <f>IF($G852&lt;&gt;0,SUMIF(куб!$G:$G,$G852,куб!K:K),IF($E852&lt;&gt;0,SUMIF(куб!$E:$E,$E852,куб!K:K),IF($D852&lt;&gt;0,SUMIF(куб!$D:$D,$D852,куб!K:K),IF($C852&lt;&gt;0,SUMIF(куб!$C:$C,$C852,куб!K:K),IF($B852&lt;&gt;0,SUMIF(куб!$B:$B,$B852,куб!K:K))))))</f>
        <v>0</v>
      </c>
      <c r="R852" s="13" t="str">
        <f t="shared" si="277"/>
        <v>-</v>
      </c>
      <c r="S852" s="5"/>
      <c r="T852" s="27" t="b">
        <f>IF($G852&lt;&gt;0,SUMIF(куб!$G:$G,$G852,куб!L:L),IF($E852&lt;&gt;0,SUMIF(куб!$E:$E,$E852,куб!L:L),IF($D852&lt;&gt;0,SUMIF(куб!$D:$D,$D852,куб!L:L),IF($C852&lt;&gt;0,SUMIF(куб!$C:$C,$C852,куб!L:L),IF($B852&lt;&gt;0,SUMIF(куб!$B:$B,$B852,куб!L:L))))))</f>
        <v>0</v>
      </c>
      <c r="U852" s="27" t="b">
        <f>IF($G852&lt;&gt;0,SUMIF(куб!$G:$G,$G852,куб!M:M),IF($E852&lt;&gt;0,SUMIF(куб!$E:$E,$E852,куб!M:M),IF($D852&lt;&gt;0,SUMIF(куб!$D:$D,$D852,куб!M:M),IF($C852&lt;&gt;0,SUMIF(куб!$C:$C,$C852,куб!M:M),IF($B852&lt;&gt;0,SUMIF(куб!$B:$B,$B852,куб!M:M))))))</f>
        <v>0</v>
      </c>
      <c r="V852" s="13" t="str">
        <f t="shared" si="278"/>
        <v>-</v>
      </c>
      <c r="W852" s="5"/>
      <c r="X852" s="27" t="b">
        <f>IF($G852&lt;&gt;0,SUMIF(куб!$G:$G,$G852,куб!N:N),IF($E852&lt;&gt;0,SUMIF(куб!$E:$E,$E852,куб!N:N),IF($D852&lt;&gt;0,SUMIF(куб!$D:$D,$D852,куб!N:N),IF($C852&lt;&gt;0,SUMIF(куб!$C:$C,$C852,куб!N:N),IF($B852&lt;&gt;0,SUMIF(куб!$B:$B,$B852,куб!N:N))))))</f>
        <v>0</v>
      </c>
      <c r="Y852" s="27" t="b">
        <f>IF($G852&lt;&gt;0,SUMIF(куб!$G:$G,$G852,куб!O:O),IF($E852&lt;&gt;0,SUMIF(куб!$E:$E,$E852,куб!O:O),IF($D852&lt;&gt;0,SUMIF(куб!$D:$D,$D852,куб!O:O),IF($C852&lt;&gt;0,SUMIF(куб!$C:$C,$C852,куб!O:O),IF($B852&lt;&gt;0,SUMIF(куб!$B:$B,$B852,куб!O:O))))))</f>
        <v>0</v>
      </c>
      <c r="Z852" s="13" t="str">
        <f t="shared" si="279"/>
        <v>-</v>
      </c>
      <c r="AA852" s="5"/>
      <c r="AB852" s="33" t="str">
        <f t="shared" si="280"/>
        <v/>
      </c>
      <c r="AC852" s="33" t="str">
        <f t="shared" si="281"/>
        <v/>
      </c>
      <c r="AD852" s="15" t="str">
        <f t="shared" si="282"/>
        <v xml:space="preserve"> </v>
      </c>
      <c r="AE852" s="5"/>
      <c r="AF852" s="27" t="b">
        <f>IF($G852&lt;&gt;0,SUMIF(куб!$G:$G,$G852,куб!R:R),IF($E852&lt;&gt;0,SUMIF(куб!$E:$E,$E852,куб!R:R),IF($D852&lt;&gt;0,SUMIF(куб!$D:$D,$D852,куб!R:R),IF($C852&lt;&gt;0,SUMIF(куб!$C:$C,$C852,куб!R:R),IF($B852&lt;&gt;0,SUMIF(куб!$B:$B,$B852,куб!R:R))))))</f>
        <v>0</v>
      </c>
      <c r="AG852" s="27" t="b">
        <f>IF($G852&lt;&gt;0,SUMIF(куб!$G:$G,$G852,куб!S:S),IF($E852&lt;&gt;0,SUMIF(куб!$E:$E,$E852,куб!S:S),IF($D852&lt;&gt;0,SUMIF(куб!$D:$D,$D852,куб!S:S),IF($C852&lt;&gt;0,SUMIF(куб!$C:$C,$C852,куб!S:S),IF($B852&lt;&gt;0,SUMIF(куб!$B:$B,$B852,куб!S:S))))))</f>
        <v>0</v>
      </c>
      <c r="AH852" s="16" t="str">
        <f t="shared" si="283"/>
        <v>-</v>
      </c>
      <c r="AI852" s="8"/>
      <c r="AJ852" s="27" t="b">
        <f>IF($G852&lt;&gt;0,SUMIF(куб!$G:$G,$G852,куб!T:T),IF($E852&lt;&gt;0,SUMIF(куб!$E:$E,$E852,куб!T:T),IF($D852&lt;&gt;0,SUMIF(куб!$D:$D,$D852,куб!T:T),IF($C852&lt;&gt;0,SUMIF(куб!$C:$C,$C852,куб!T:T),IF($B852&lt;&gt;0,SUMIF(куб!$B:$B,$B852,куб!T:T))))))</f>
        <v>0</v>
      </c>
      <c r="AK852" s="27" t="b">
        <f>IF($G852&lt;&gt;0,SUMIF(куб!$G:$G,$G852,куб!U:U),IF($E852&lt;&gt;0,SUMIF(куб!$E:$E,$E852,куб!U:U),IF($D852&lt;&gt;0,SUMIF(куб!$D:$D,$D852,куб!U:U),IF($C852&lt;&gt;0,SUMIF(куб!$C:$C,$C852,куб!U:U),IF($B852&lt;&gt;0,SUMIF(куб!$B:$B,$B852,куб!U:U))))))</f>
        <v>0</v>
      </c>
      <c r="AL852" s="16" t="str">
        <f t="shared" si="284"/>
        <v>-</v>
      </c>
      <c r="AM852" s="8"/>
      <c r="AN852" s="17" t="str">
        <f t="shared" si="285"/>
        <v xml:space="preserve"> </v>
      </c>
      <c r="AO852" s="17" t="str">
        <f t="shared" si="286"/>
        <v xml:space="preserve"> </v>
      </c>
      <c r="AP852" s="16" t="str">
        <f t="shared" si="287"/>
        <v>-</v>
      </c>
      <c r="AQ852" s="8"/>
      <c r="AR852" s="17" t="str">
        <f t="shared" si="288"/>
        <v>-</v>
      </c>
      <c r="AS852" s="17" t="str">
        <f t="shared" si="289"/>
        <v>-</v>
      </c>
      <c r="AT852" s="13" t="str">
        <f t="shared" si="290"/>
        <v>-</v>
      </c>
      <c r="AU852" s="8"/>
    </row>
    <row r="853" spans="1:47" x14ac:dyDescent="0.25">
      <c r="A853" s="31"/>
      <c r="B853" s="31"/>
      <c r="C853"/>
      <c r="D853" s="31"/>
      <c r="E853"/>
      <c r="F853" s="31"/>
      <c r="G853"/>
      <c r="H853" s="27">
        <f>IF($G853&lt;&gt;0,SUMIF(куб!$G:$G,$G853,куб!H:H),IF($E853&lt;&gt;0,SUMIF(куб!$E:$E,$E853,куб!H:H),IF($D853&lt;&gt;0,SUMIF(куб!$D:$D,$D853,куб!H:H),IF($C853&lt;&gt;0,SUMIF(куб!$C:$C,$C853,куб!H:H),IF($B853&lt;&gt;0,SUMIF(куб!$B:$B,$B853,куб!H:H),IF($G853&lt;&gt;0,SUMIF(куб!$A:$A,$G853,куб!H:H),SUMIF(куб!$A:$A,$G853,куб!H:H)))))))</f>
        <v>0</v>
      </c>
      <c r="I853" s="27">
        <f>IF($G853&lt;&gt;0,SUMIF(куб!$G:$G,$G853,куб!I:I),IF($E853&lt;&gt;0,SUMIF(куб!$E:$E,$E853,куб!I:I),IF($D853&lt;&gt;0,SUMIF(куб!$D:$D,$D853,куб!I:I),IF($C853&lt;&gt;0,SUMIF(куб!$C:$C,$C853,куб!I:I),IF($B853&lt;&gt;0,SUMIF(куб!$B:$B,$B853,куб!I:I),IF($G853&lt;&gt;0,SUMIF(куб!$A:$A,$G853,куб!I:I),SUMIF(куб!$A:$A,$G853,куб!I:I)))))))</f>
        <v>0</v>
      </c>
      <c r="J853" s="19" t="str">
        <f t="shared" si="273"/>
        <v>-</v>
      </c>
      <c r="K853" s="8"/>
      <c r="L853" s="17">
        <f t="shared" si="274"/>
        <v>0</v>
      </c>
      <c r="M853" s="17">
        <f t="shared" si="275"/>
        <v>0</v>
      </c>
      <c r="N853" s="12">
        <f t="shared" si="276"/>
        <v>0</v>
      </c>
      <c r="O853" s="5"/>
      <c r="P853" s="27" t="b">
        <f>IF($G853&lt;&gt;0,SUMIF(куб!$G:$G,$G853,куб!J:J),IF($E853&lt;&gt;0,SUMIF(куб!$E:$E,$E853,куб!J:J),IF($D853&lt;&gt;0,SUMIF(куб!$D:$D,$D853,куб!J:J),IF($C853&lt;&gt;0,SUMIF(куб!$C:$C,$C853,куб!J:J),IF($B853&lt;&gt;0,SUMIF(куб!$B:$B,$B853,куб!J:J))))))</f>
        <v>0</v>
      </c>
      <c r="Q853" s="27" t="b">
        <f>IF($G853&lt;&gt;0,SUMIF(куб!$G:$G,$G853,куб!K:K),IF($E853&lt;&gt;0,SUMIF(куб!$E:$E,$E853,куб!K:K),IF($D853&lt;&gt;0,SUMIF(куб!$D:$D,$D853,куб!K:K),IF($C853&lt;&gt;0,SUMIF(куб!$C:$C,$C853,куб!K:K),IF($B853&lt;&gt;0,SUMIF(куб!$B:$B,$B853,куб!K:K))))))</f>
        <v>0</v>
      </c>
      <c r="R853" s="13" t="str">
        <f t="shared" si="277"/>
        <v>-</v>
      </c>
      <c r="S853" s="5"/>
      <c r="T853" s="27" t="b">
        <f>IF($G853&lt;&gt;0,SUMIF(куб!$G:$G,$G853,куб!L:L),IF($E853&lt;&gt;0,SUMIF(куб!$E:$E,$E853,куб!L:L),IF($D853&lt;&gt;0,SUMIF(куб!$D:$D,$D853,куб!L:L),IF($C853&lt;&gt;0,SUMIF(куб!$C:$C,$C853,куб!L:L),IF($B853&lt;&gt;0,SUMIF(куб!$B:$B,$B853,куб!L:L))))))</f>
        <v>0</v>
      </c>
      <c r="U853" s="27" t="b">
        <f>IF($G853&lt;&gt;0,SUMIF(куб!$G:$G,$G853,куб!M:M),IF($E853&lt;&gt;0,SUMIF(куб!$E:$E,$E853,куб!M:M),IF($D853&lt;&gt;0,SUMIF(куб!$D:$D,$D853,куб!M:M),IF($C853&lt;&gt;0,SUMIF(куб!$C:$C,$C853,куб!M:M),IF($B853&lt;&gt;0,SUMIF(куб!$B:$B,$B853,куб!M:M))))))</f>
        <v>0</v>
      </c>
      <c r="V853" s="13" t="str">
        <f t="shared" si="278"/>
        <v>-</v>
      </c>
      <c r="W853" s="5"/>
      <c r="X853" s="27" t="b">
        <f>IF($G853&lt;&gt;0,SUMIF(куб!$G:$G,$G853,куб!N:N),IF($E853&lt;&gt;0,SUMIF(куб!$E:$E,$E853,куб!N:N),IF($D853&lt;&gt;0,SUMIF(куб!$D:$D,$D853,куб!N:N),IF($C853&lt;&gt;0,SUMIF(куб!$C:$C,$C853,куб!N:N),IF($B853&lt;&gt;0,SUMIF(куб!$B:$B,$B853,куб!N:N))))))</f>
        <v>0</v>
      </c>
      <c r="Y853" s="27" t="b">
        <f>IF($G853&lt;&gt;0,SUMIF(куб!$G:$G,$G853,куб!O:O),IF($E853&lt;&gt;0,SUMIF(куб!$E:$E,$E853,куб!O:O),IF($D853&lt;&gt;0,SUMIF(куб!$D:$D,$D853,куб!O:O),IF($C853&lt;&gt;0,SUMIF(куб!$C:$C,$C853,куб!O:O),IF($B853&lt;&gt;0,SUMIF(куб!$B:$B,$B853,куб!O:O))))))</f>
        <v>0</v>
      </c>
      <c r="Z853" s="13" t="str">
        <f t="shared" si="279"/>
        <v>-</v>
      </c>
      <c r="AA853" s="5"/>
      <c r="AB853" s="33" t="str">
        <f t="shared" si="280"/>
        <v/>
      </c>
      <c r="AC853" s="33" t="str">
        <f t="shared" si="281"/>
        <v/>
      </c>
      <c r="AD853" s="15" t="str">
        <f t="shared" si="282"/>
        <v xml:space="preserve"> </v>
      </c>
      <c r="AE853" s="5"/>
      <c r="AF853" s="27" t="b">
        <f>IF($G853&lt;&gt;0,SUMIF(куб!$G:$G,$G853,куб!R:R),IF($E853&lt;&gt;0,SUMIF(куб!$E:$E,$E853,куб!R:R),IF($D853&lt;&gt;0,SUMIF(куб!$D:$D,$D853,куб!R:R),IF($C853&lt;&gt;0,SUMIF(куб!$C:$C,$C853,куб!R:R),IF($B853&lt;&gt;0,SUMIF(куб!$B:$B,$B853,куб!R:R))))))</f>
        <v>0</v>
      </c>
      <c r="AG853" s="27" t="b">
        <f>IF($G853&lt;&gt;0,SUMIF(куб!$G:$G,$G853,куб!S:S),IF($E853&lt;&gt;0,SUMIF(куб!$E:$E,$E853,куб!S:S),IF($D853&lt;&gt;0,SUMIF(куб!$D:$D,$D853,куб!S:S),IF($C853&lt;&gt;0,SUMIF(куб!$C:$C,$C853,куб!S:S),IF($B853&lt;&gt;0,SUMIF(куб!$B:$B,$B853,куб!S:S))))))</f>
        <v>0</v>
      </c>
      <c r="AH853" s="16" t="str">
        <f t="shared" si="283"/>
        <v>-</v>
      </c>
      <c r="AI853" s="8"/>
      <c r="AJ853" s="27" t="b">
        <f>IF($G853&lt;&gt;0,SUMIF(куб!$G:$G,$G853,куб!T:T),IF($E853&lt;&gt;0,SUMIF(куб!$E:$E,$E853,куб!T:T),IF($D853&lt;&gt;0,SUMIF(куб!$D:$D,$D853,куб!T:T),IF($C853&lt;&gt;0,SUMIF(куб!$C:$C,$C853,куб!T:T),IF($B853&lt;&gt;0,SUMIF(куб!$B:$B,$B853,куб!T:T))))))</f>
        <v>0</v>
      </c>
      <c r="AK853" s="27" t="b">
        <f>IF($G853&lt;&gt;0,SUMIF(куб!$G:$G,$G853,куб!U:U),IF($E853&lt;&gt;0,SUMIF(куб!$E:$E,$E853,куб!U:U),IF($D853&lt;&gt;0,SUMIF(куб!$D:$D,$D853,куб!U:U),IF($C853&lt;&gt;0,SUMIF(куб!$C:$C,$C853,куб!U:U),IF($B853&lt;&gt;0,SUMIF(куб!$B:$B,$B853,куб!U:U))))))</f>
        <v>0</v>
      </c>
      <c r="AL853" s="16" t="str">
        <f t="shared" si="284"/>
        <v>-</v>
      </c>
      <c r="AM853" s="8"/>
      <c r="AN853" s="17" t="str">
        <f t="shared" si="285"/>
        <v xml:space="preserve"> </v>
      </c>
      <c r="AO853" s="17" t="str">
        <f t="shared" si="286"/>
        <v xml:space="preserve"> </v>
      </c>
      <c r="AP853" s="16" t="str">
        <f t="shared" si="287"/>
        <v>-</v>
      </c>
      <c r="AQ853" s="8"/>
      <c r="AR853" s="17" t="str">
        <f t="shared" si="288"/>
        <v>-</v>
      </c>
      <c r="AS853" s="17" t="str">
        <f t="shared" si="289"/>
        <v>-</v>
      </c>
      <c r="AT853" s="13" t="str">
        <f t="shared" si="290"/>
        <v>-</v>
      </c>
      <c r="AU853" s="8"/>
    </row>
    <row r="854" spans="1:47" x14ac:dyDescent="0.25">
      <c r="A854" s="31"/>
      <c r="B854" s="31"/>
      <c r="C854"/>
      <c r="D854" s="31"/>
      <c r="E854"/>
      <c r="F854"/>
      <c r="G854"/>
      <c r="H854" s="27">
        <f>IF($G854&lt;&gt;0,SUMIF(куб!$G:$G,$G854,куб!H:H),IF($E854&lt;&gt;0,SUMIF(куб!$E:$E,$E854,куб!H:H),IF($D854&lt;&gt;0,SUMIF(куб!$D:$D,$D854,куб!H:H),IF($C854&lt;&gt;0,SUMIF(куб!$C:$C,$C854,куб!H:H),IF($B854&lt;&gt;0,SUMIF(куб!$B:$B,$B854,куб!H:H),IF($G854&lt;&gt;0,SUMIF(куб!$A:$A,$G854,куб!H:H),SUMIF(куб!$A:$A,$G854,куб!H:H)))))))</f>
        <v>0</v>
      </c>
      <c r="I854" s="27">
        <f>IF($G854&lt;&gt;0,SUMIF(куб!$G:$G,$G854,куб!I:I),IF($E854&lt;&gt;0,SUMIF(куб!$E:$E,$E854,куб!I:I),IF($D854&lt;&gt;0,SUMIF(куб!$D:$D,$D854,куб!I:I),IF($C854&lt;&gt;0,SUMIF(куб!$C:$C,$C854,куб!I:I),IF($B854&lt;&gt;0,SUMIF(куб!$B:$B,$B854,куб!I:I),IF($G854&lt;&gt;0,SUMIF(куб!$A:$A,$G854,куб!I:I),SUMIF(куб!$A:$A,$G854,куб!I:I)))))))</f>
        <v>0</v>
      </c>
      <c r="J854" s="19" t="str">
        <f t="shared" si="273"/>
        <v>-</v>
      </c>
      <c r="K854" s="8"/>
      <c r="L854" s="17">
        <f t="shared" si="274"/>
        <v>0</v>
      </c>
      <c r="M854" s="17">
        <f t="shared" si="275"/>
        <v>0</v>
      </c>
      <c r="N854" s="12">
        <f t="shared" si="276"/>
        <v>0</v>
      </c>
      <c r="O854" s="5"/>
      <c r="P854" s="27" t="b">
        <f>IF($G854&lt;&gt;0,SUMIF(куб!$G:$G,$G854,куб!J:J),IF($E854&lt;&gt;0,SUMIF(куб!$E:$E,$E854,куб!J:J),IF($D854&lt;&gt;0,SUMIF(куб!$D:$D,$D854,куб!J:J),IF($C854&lt;&gt;0,SUMIF(куб!$C:$C,$C854,куб!J:J),IF($B854&lt;&gt;0,SUMIF(куб!$B:$B,$B854,куб!J:J))))))</f>
        <v>0</v>
      </c>
      <c r="Q854" s="27" t="b">
        <f>IF($G854&lt;&gt;0,SUMIF(куб!$G:$G,$G854,куб!K:K),IF($E854&lt;&gt;0,SUMIF(куб!$E:$E,$E854,куб!K:K),IF($D854&lt;&gt;0,SUMIF(куб!$D:$D,$D854,куб!K:K),IF($C854&lt;&gt;0,SUMIF(куб!$C:$C,$C854,куб!K:K),IF($B854&lt;&gt;0,SUMIF(куб!$B:$B,$B854,куб!K:K))))))</f>
        <v>0</v>
      </c>
      <c r="R854" s="13" t="str">
        <f t="shared" si="277"/>
        <v>-</v>
      </c>
      <c r="S854" s="5"/>
      <c r="T854" s="27" t="b">
        <f>IF($G854&lt;&gt;0,SUMIF(куб!$G:$G,$G854,куб!L:L),IF($E854&lt;&gt;0,SUMIF(куб!$E:$E,$E854,куб!L:L),IF($D854&lt;&gt;0,SUMIF(куб!$D:$D,$D854,куб!L:L),IF($C854&lt;&gt;0,SUMIF(куб!$C:$C,$C854,куб!L:L),IF($B854&lt;&gt;0,SUMIF(куб!$B:$B,$B854,куб!L:L))))))</f>
        <v>0</v>
      </c>
      <c r="U854" s="27" t="b">
        <f>IF($G854&lt;&gt;0,SUMIF(куб!$G:$G,$G854,куб!M:M),IF($E854&lt;&gt;0,SUMIF(куб!$E:$E,$E854,куб!M:M),IF($D854&lt;&gt;0,SUMIF(куб!$D:$D,$D854,куб!M:M),IF($C854&lt;&gt;0,SUMIF(куб!$C:$C,$C854,куб!M:M),IF($B854&lt;&gt;0,SUMIF(куб!$B:$B,$B854,куб!M:M))))))</f>
        <v>0</v>
      </c>
      <c r="V854" s="13" t="str">
        <f t="shared" si="278"/>
        <v>-</v>
      </c>
      <c r="W854" s="5"/>
      <c r="X854" s="27" t="b">
        <f>IF($G854&lt;&gt;0,SUMIF(куб!$G:$G,$G854,куб!N:N),IF($E854&lt;&gt;0,SUMIF(куб!$E:$E,$E854,куб!N:N),IF($D854&lt;&gt;0,SUMIF(куб!$D:$D,$D854,куб!N:N),IF($C854&lt;&gt;0,SUMIF(куб!$C:$C,$C854,куб!N:N),IF($B854&lt;&gt;0,SUMIF(куб!$B:$B,$B854,куб!N:N))))))</f>
        <v>0</v>
      </c>
      <c r="Y854" s="27" t="b">
        <f>IF($G854&lt;&gt;0,SUMIF(куб!$G:$G,$G854,куб!O:O),IF($E854&lt;&gt;0,SUMIF(куб!$E:$E,$E854,куб!O:O),IF($D854&lt;&gt;0,SUMIF(куб!$D:$D,$D854,куб!O:O),IF($C854&lt;&gt;0,SUMIF(куб!$C:$C,$C854,куб!O:O),IF($B854&lt;&gt;0,SUMIF(куб!$B:$B,$B854,куб!O:O))))))</f>
        <v>0</v>
      </c>
      <c r="Z854" s="13" t="str">
        <f t="shared" si="279"/>
        <v>-</v>
      </c>
      <c r="AA854" s="5"/>
      <c r="AB854" s="33" t="str">
        <f t="shared" si="280"/>
        <v/>
      </c>
      <c r="AC854" s="33" t="str">
        <f t="shared" si="281"/>
        <v/>
      </c>
      <c r="AD854" s="15" t="str">
        <f t="shared" si="282"/>
        <v xml:space="preserve"> </v>
      </c>
      <c r="AE854" s="5"/>
      <c r="AF854" s="27" t="b">
        <f>IF($G854&lt;&gt;0,SUMIF(куб!$G:$G,$G854,куб!R:R),IF($E854&lt;&gt;0,SUMIF(куб!$E:$E,$E854,куб!R:R),IF($D854&lt;&gt;0,SUMIF(куб!$D:$D,$D854,куб!R:R),IF($C854&lt;&gt;0,SUMIF(куб!$C:$C,$C854,куб!R:R),IF($B854&lt;&gt;0,SUMIF(куб!$B:$B,$B854,куб!R:R))))))</f>
        <v>0</v>
      </c>
      <c r="AG854" s="27" t="b">
        <f>IF($G854&lt;&gt;0,SUMIF(куб!$G:$G,$G854,куб!S:S),IF($E854&lt;&gt;0,SUMIF(куб!$E:$E,$E854,куб!S:S),IF($D854&lt;&gt;0,SUMIF(куб!$D:$D,$D854,куб!S:S),IF($C854&lt;&gt;0,SUMIF(куб!$C:$C,$C854,куб!S:S),IF($B854&lt;&gt;0,SUMIF(куб!$B:$B,$B854,куб!S:S))))))</f>
        <v>0</v>
      </c>
      <c r="AH854" s="16" t="str">
        <f t="shared" si="283"/>
        <v>-</v>
      </c>
      <c r="AI854" s="8"/>
      <c r="AJ854" s="27" t="b">
        <f>IF($G854&lt;&gt;0,SUMIF(куб!$G:$G,$G854,куб!T:T),IF($E854&lt;&gt;0,SUMIF(куб!$E:$E,$E854,куб!T:T),IF($D854&lt;&gt;0,SUMIF(куб!$D:$D,$D854,куб!T:T),IF($C854&lt;&gt;0,SUMIF(куб!$C:$C,$C854,куб!T:T),IF($B854&lt;&gt;0,SUMIF(куб!$B:$B,$B854,куб!T:T))))))</f>
        <v>0</v>
      </c>
      <c r="AK854" s="27" t="b">
        <f>IF($G854&lt;&gt;0,SUMIF(куб!$G:$G,$G854,куб!U:U),IF($E854&lt;&gt;0,SUMIF(куб!$E:$E,$E854,куб!U:U),IF($D854&lt;&gt;0,SUMIF(куб!$D:$D,$D854,куб!U:U),IF($C854&lt;&gt;0,SUMIF(куб!$C:$C,$C854,куб!U:U),IF($B854&lt;&gt;0,SUMIF(куб!$B:$B,$B854,куб!U:U))))))</f>
        <v>0</v>
      </c>
      <c r="AL854" s="16" t="str">
        <f t="shared" si="284"/>
        <v>-</v>
      </c>
      <c r="AM854" s="8"/>
      <c r="AN854" s="17" t="str">
        <f t="shared" si="285"/>
        <v xml:space="preserve"> </v>
      </c>
      <c r="AO854" s="17" t="str">
        <f t="shared" si="286"/>
        <v xml:space="preserve"> </v>
      </c>
      <c r="AP854" s="16" t="str">
        <f t="shared" si="287"/>
        <v>-</v>
      </c>
      <c r="AQ854" s="8"/>
      <c r="AR854" s="17" t="str">
        <f t="shared" si="288"/>
        <v>-</v>
      </c>
      <c r="AS854" s="17" t="str">
        <f t="shared" si="289"/>
        <v>-</v>
      </c>
      <c r="AT854" s="13" t="str">
        <f t="shared" si="290"/>
        <v>-</v>
      </c>
      <c r="AU854" s="8"/>
    </row>
    <row r="855" spans="1:47" x14ac:dyDescent="0.25">
      <c r="A855" s="31"/>
      <c r="B855" s="31"/>
      <c r="C855"/>
      <c r="D855" s="31"/>
      <c r="E855" s="31"/>
      <c r="F855" s="31"/>
      <c r="G855" s="31"/>
      <c r="H855" s="27">
        <f>IF($G855&lt;&gt;0,SUMIF(куб!$G:$G,$G855,куб!H:H),IF($E855&lt;&gt;0,SUMIF(куб!$E:$E,$E855,куб!H:H),IF($D855&lt;&gt;0,SUMIF(куб!$D:$D,$D855,куб!H:H),IF($C855&lt;&gt;0,SUMIF(куб!$C:$C,$C855,куб!H:H),IF($B855&lt;&gt;0,SUMIF(куб!$B:$B,$B855,куб!H:H),IF($G855&lt;&gt;0,SUMIF(куб!$A:$A,$G855,куб!H:H),SUMIF(куб!$A:$A,$G855,куб!H:H)))))))</f>
        <v>0</v>
      </c>
      <c r="I855" s="27">
        <f>IF($G855&lt;&gt;0,SUMIF(куб!$G:$G,$G855,куб!I:I),IF($E855&lt;&gt;0,SUMIF(куб!$E:$E,$E855,куб!I:I),IF($D855&lt;&gt;0,SUMIF(куб!$D:$D,$D855,куб!I:I),IF($C855&lt;&gt;0,SUMIF(куб!$C:$C,$C855,куб!I:I),IF($B855&lt;&gt;0,SUMIF(куб!$B:$B,$B855,куб!I:I),IF($G855&lt;&gt;0,SUMIF(куб!$A:$A,$G855,куб!I:I),SUMIF(куб!$A:$A,$G855,куб!I:I)))))))</f>
        <v>0</v>
      </c>
      <c r="J855" s="19" t="str">
        <f t="shared" si="273"/>
        <v>-</v>
      </c>
      <c r="K855" s="8"/>
      <c r="L855" s="17">
        <f t="shared" si="274"/>
        <v>0</v>
      </c>
      <c r="M855" s="17">
        <f t="shared" si="275"/>
        <v>0</v>
      </c>
      <c r="N855" s="12">
        <f t="shared" si="276"/>
        <v>0</v>
      </c>
      <c r="O855" s="5"/>
      <c r="P855" s="27" t="b">
        <f>IF($G855&lt;&gt;0,SUMIF(куб!$G:$G,$G855,куб!J:J),IF($E855&lt;&gt;0,SUMIF(куб!$E:$E,$E855,куб!J:J),IF($D855&lt;&gt;0,SUMIF(куб!$D:$D,$D855,куб!J:J),IF($C855&lt;&gt;0,SUMIF(куб!$C:$C,$C855,куб!J:J),IF($B855&lt;&gt;0,SUMIF(куб!$B:$B,$B855,куб!J:J))))))</f>
        <v>0</v>
      </c>
      <c r="Q855" s="27" t="b">
        <f>IF($G855&lt;&gt;0,SUMIF(куб!$G:$G,$G855,куб!K:K),IF($E855&lt;&gt;0,SUMIF(куб!$E:$E,$E855,куб!K:K),IF($D855&lt;&gt;0,SUMIF(куб!$D:$D,$D855,куб!K:K),IF($C855&lt;&gt;0,SUMIF(куб!$C:$C,$C855,куб!K:K),IF($B855&lt;&gt;0,SUMIF(куб!$B:$B,$B855,куб!K:K))))))</f>
        <v>0</v>
      </c>
      <c r="R855" s="13" t="str">
        <f t="shared" si="277"/>
        <v>-</v>
      </c>
      <c r="S855" s="5"/>
      <c r="T855" s="27" t="b">
        <f>IF($G855&lt;&gt;0,SUMIF(куб!$G:$G,$G855,куб!L:L),IF($E855&lt;&gt;0,SUMIF(куб!$E:$E,$E855,куб!L:L),IF($D855&lt;&gt;0,SUMIF(куб!$D:$D,$D855,куб!L:L),IF($C855&lt;&gt;0,SUMIF(куб!$C:$C,$C855,куб!L:L),IF($B855&lt;&gt;0,SUMIF(куб!$B:$B,$B855,куб!L:L))))))</f>
        <v>0</v>
      </c>
      <c r="U855" s="27" t="b">
        <f>IF($G855&lt;&gt;0,SUMIF(куб!$G:$G,$G855,куб!M:M),IF($E855&lt;&gt;0,SUMIF(куб!$E:$E,$E855,куб!M:M),IF($D855&lt;&gt;0,SUMIF(куб!$D:$D,$D855,куб!M:M),IF($C855&lt;&gt;0,SUMIF(куб!$C:$C,$C855,куб!M:M),IF($B855&lt;&gt;0,SUMIF(куб!$B:$B,$B855,куб!M:M))))))</f>
        <v>0</v>
      </c>
      <c r="V855" s="13" t="str">
        <f t="shared" si="278"/>
        <v>-</v>
      </c>
      <c r="W855" s="5"/>
      <c r="X855" s="27" t="b">
        <f>IF($G855&lt;&gt;0,SUMIF(куб!$G:$G,$G855,куб!N:N),IF($E855&lt;&gt;0,SUMIF(куб!$E:$E,$E855,куб!N:N),IF($D855&lt;&gt;0,SUMIF(куб!$D:$D,$D855,куб!N:N),IF($C855&lt;&gt;0,SUMIF(куб!$C:$C,$C855,куб!N:N),IF($B855&lt;&gt;0,SUMIF(куб!$B:$B,$B855,куб!N:N))))))</f>
        <v>0</v>
      </c>
      <c r="Y855" s="27" t="b">
        <f>IF($G855&lt;&gt;0,SUMIF(куб!$G:$G,$G855,куб!O:O),IF($E855&lt;&gt;0,SUMIF(куб!$E:$E,$E855,куб!O:O),IF($D855&lt;&gt;0,SUMIF(куб!$D:$D,$D855,куб!O:O),IF($C855&lt;&gt;0,SUMIF(куб!$C:$C,$C855,куб!O:O),IF($B855&lt;&gt;0,SUMIF(куб!$B:$B,$B855,куб!O:O))))))</f>
        <v>0</v>
      </c>
      <c r="Z855" s="13" t="str">
        <f t="shared" si="279"/>
        <v>-</v>
      </c>
      <c r="AA855" s="5"/>
      <c r="AB855" s="33" t="str">
        <f t="shared" si="280"/>
        <v/>
      </c>
      <c r="AC855" s="33" t="str">
        <f t="shared" si="281"/>
        <v/>
      </c>
      <c r="AD855" s="15" t="str">
        <f t="shared" si="282"/>
        <v xml:space="preserve"> </v>
      </c>
      <c r="AE855" s="5"/>
      <c r="AF855" s="27" t="b">
        <f>IF($G855&lt;&gt;0,SUMIF(куб!$G:$G,$G855,куб!R:R),IF($E855&lt;&gt;0,SUMIF(куб!$E:$E,$E855,куб!R:R),IF($D855&lt;&gt;0,SUMIF(куб!$D:$D,$D855,куб!R:R),IF($C855&lt;&gt;0,SUMIF(куб!$C:$C,$C855,куб!R:R),IF($B855&lt;&gt;0,SUMIF(куб!$B:$B,$B855,куб!R:R))))))</f>
        <v>0</v>
      </c>
      <c r="AG855" s="27" t="b">
        <f>IF($G855&lt;&gt;0,SUMIF(куб!$G:$G,$G855,куб!S:S),IF($E855&lt;&gt;0,SUMIF(куб!$E:$E,$E855,куб!S:S),IF($D855&lt;&gt;0,SUMIF(куб!$D:$D,$D855,куб!S:S),IF($C855&lt;&gt;0,SUMIF(куб!$C:$C,$C855,куб!S:S),IF($B855&lt;&gt;0,SUMIF(куб!$B:$B,$B855,куб!S:S))))))</f>
        <v>0</v>
      </c>
      <c r="AH855" s="16" t="str">
        <f t="shared" si="283"/>
        <v>-</v>
      </c>
      <c r="AI855" s="8"/>
      <c r="AJ855" s="27" t="b">
        <f>IF($G855&lt;&gt;0,SUMIF(куб!$G:$G,$G855,куб!T:T),IF($E855&lt;&gt;0,SUMIF(куб!$E:$E,$E855,куб!T:T),IF($D855&lt;&gt;0,SUMIF(куб!$D:$D,$D855,куб!T:T),IF($C855&lt;&gt;0,SUMIF(куб!$C:$C,$C855,куб!T:T),IF($B855&lt;&gt;0,SUMIF(куб!$B:$B,$B855,куб!T:T))))))</f>
        <v>0</v>
      </c>
      <c r="AK855" s="27" t="b">
        <f>IF($G855&lt;&gt;0,SUMIF(куб!$G:$G,$G855,куб!U:U),IF($E855&lt;&gt;0,SUMIF(куб!$E:$E,$E855,куб!U:U),IF($D855&lt;&gt;0,SUMIF(куб!$D:$D,$D855,куб!U:U),IF($C855&lt;&gt;0,SUMIF(куб!$C:$C,$C855,куб!U:U),IF($B855&lt;&gt;0,SUMIF(куб!$B:$B,$B855,куб!U:U))))))</f>
        <v>0</v>
      </c>
      <c r="AL855" s="16" t="str">
        <f t="shared" si="284"/>
        <v>-</v>
      </c>
      <c r="AM855" s="8"/>
      <c r="AN855" s="17" t="str">
        <f t="shared" si="285"/>
        <v xml:space="preserve"> </v>
      </c>
      <c r="AO855" s="17" t="str">
        <f t="shared" si="286"/>
        <v xml:space="preserve"> </v>
      </c>
      <c r="AP855" s="16" t="str">
        <f t="shared" si="287"/>
        <v>-</v>
      </c>
      <c r="AQ855" s="8"/>
      <c r="AR855" s="17" t="str">
        <f t="shared" si="288"/>
        <v>-</v>
      </c>
      <c r="AS855" s="17" t="str">
        <f t="shared" si="289"/>
        <v>-</v>
      </c>
      <c r="AT855" s="13" t="str">
        <f t="shared" si="290"/>
        <v>-</v>
      </c>
      <c r="AU855" s="8"/>
    </row>
    <row r="856" spans="1:47" x14ac:dyDescent="0.25">
      <c r="A856" s="31"/>
      <c r="B856" s="31"/>
      <c r="C856"/>
      <c r="D856" s="31"/>
      <c r="E856"/>
      <c r="F856" s="31"/>
      <c r="G856"/>
      <c r="H856" s="27">
        <f>IF($G856&lt;&gt;0,SUMIF(куб!$G:$G,$G856,куб!H:H),IF($E856&lt;&gt;0,SUMIF(куб!$E:$E,$E856,куб!H:H),IF($D856&lt;&gt;0,SUMIF(куб!$D:$D,$D856,куб!H:H),IF($C856&lt;&gt;0,SUMIF(куб!$C:$C,$C856,куб!H:H),IF($B856&lt;&gt;0,SUMIF(куб!$B:$B,$B856,куб!H:H),IF($G856&lt;&gt;0,SUMIF(куб!$A:$A,$G856,куб!H:H),SUMIF(куб!$A:$A,$G856,куб!H:H)))))))</f>
        <v>0</v>
      </c>
      <c r="I856" s="27">
        <f>IF($G856&lt;&gt;0,SUMIF(куб!$G:$G,$G856,куб!I:I),IF($E856&lt;&gt;0,SUMIF(куб!$E:$E,$E856,куб!I:I),IF($D856&lt;&gt;0,SUMIF(куб!$D:$D,$D856,куб!I:I),IF($C856&lt;&gt;0,SUMIF(куб!$C:$C,$C856,куб!I:I),IF($B856&lt;&gt;0,SUMIF(куб!$B:$B,$B856,куб!I:I),IF($G856&lt;&gt;0,SUMIF(куб!$A:$A,$G856,куб!I:I),SUMIF(куб!$A:$A,$G856,куб!I:I)))))))</f>
        <v>0</v>
      </c>
      <c r="J856" s="19" t="str">
        <f t="shared" si="273"/>
        <v>-</v>
      </c>
      <c r="K856" s="8"/>
      <c r="L856" s="17">
        <f t="shared" si="274"/>
        <v>0</v>
      </c>
      <c r="M856" s="17">
        <f t="shared" si="275"/>
        <v>0</v>
      </c>
      <c r="N856" s="12">
        <f t="shared" si="276"/>
        <v>0</v>
      </c>
      <c r="O856" s="5"/>
      <c r="P856" s="27" t="b">
        <f>IF($G856&lt;&gt;0,SUMIF(куб!$G:$G,$G856,куб!J:J),IF($E856&lt;&gt;0,SUMIF(куб!$E:$E,$E856,куб!J:J),IF($D856&lt;&gt;0,SUMIF(куб!$D:$D,$D856,куб!J:J),IF($C856&lt;&gt;0,SUMIF(куб!$C:$C,$C856,куб!J:J),IF($B856&lt;&gt;0,SUMIF(куб!$B:$B,$B856,куб!J:J))))))</f>
        <v>0</v>
      </c>
      <c r="Q856" s="27" t="b">
        <f>IF($G856&lt;&gt;0,SUMIF(куб!$G:$G,$G856,куб!K:K),IF($E856&lt;&gt;0,SUMIF(куб!$E:$E,$E856,куб!K:K),IF($D856&lt;&gt;0,SUMIF(куб!$D:$D,$D856,куб!K:K),IF($C856&lt;&gt;0,SUMIF(куб!$C:$C,$C856,куб!K:K),IF($B856&lt;&gt;0,SUMIF(куб!$B:$B,$B856,куб!K:K))))))</f>
        <v>0</v>
      </c>
      <c r="R856" s="13" t="str">
        <f t="shared" si="277"/>
        <v>-</v>
      </c>
      <c r="S856" s="5"/>
      <c r="T856" s="27" t="b">
        <f>IF($G856&lt;&gt;0,SUMIF(куб!$G:$G,$G856,куб!L:L),IF($E856&lt;&gt;0,SUMIF(куб!$E:$E,$E856,куб!L:L),IF($D856&lt;&gt;0,SUMIF(куб!$D:$D,$D856,куб!L:L),IF($C856&lt;&gt;0,SUMIF(куб!$C:$C,$C856,куб!L:L),IF($B856&lt;&gt;0,SUMIF(куб!$B:$B,$B856,куб!L:L))))))</f>
        <v>0</v>
      </c>
      <c r="U856" s="27" t="b">
        <f>IF($G856&lt;&gt;0,SUMIF(куб!$G:$G,$G856,куб!M:M),IF($E856&lt;&gt;0,SUMIF(куб!$E:$E,$E856,куб!M:M),IF($D856&lt;&gt;0,SUMIF(куб!$D:$D,$D856,куб!M:M),IF($C856&lt;&gt;0,SUMIF(куб!$C:$C,$C856,куб!M:M),IF($B856&lt;&gt;0,SUMIF(куб!$B:$B,$B856,куб!M:M))))))</f>
        <v>0</v>
      </c>
      <c r="V856" s="13" t="str">
        <f t="shared" si="278"/>
        <v>-</v>
      </c>
      <c r="W856" s="5"/>
      <c r="X856" s="27" t="b">
        <f>IF($G856&lt;&gt;0,SUMIF(куб!$G:$G,$G856,куб!N:N),IF($E856&lt;&gt;0,SUMIF(куб!$E:$E,$E856,куб!N:N),IF($D856&lt;&gt;0,SUMIF(куб!$D:$D,$D856,куб!N:N),IF($C856&lt;&gt;0,SUMIF(куб!$C:$C,$C856,куб!N:N),IF($B856&lt;&gt;0,SUMIF(куб!$B:$B,$B856,куб!N:N))))))</f>
        <v>0</v>
      </c>
      <c r="Y856" s="27" t="b">
        <f>IF($G856&lt;&gt;0,SUMIF(куб!$G:$G,$G856,куб!O:O),IF($E856&lt;&gt;0,SUMIF(куб!$E:$E,$E856,куб!O:O),IF($D856&lt;&gt;0,SUMIF(куб!$D:$D,$D856,куб!O:O),IF($C856&lt;&gt;0,SUMIF(куб!$C:$C,$C856,куб!O:O),IF($B856&lt;&gt;0,SUMIF(куб!$B:$B,$B856,куб!O:O))))))</f>
        <v>0</v>
      </c>
      <c r="Z856" s="13" t="str">
        <f t="shared" si="279"/>
        <v>-</v>
      </c>
      <c r="AA856" s="5"/>
      <c r="AB856" s="33" t="str">
        <f t="shared" si="280"/>
        <v/>
      </c>
      <c r="AC856" s="33" t="str">
        <f t="shared" si="281"/>
        <v/>
      </c>
      <c r="AD856" s="15" t="str">
        <f t="shared" si="282"/>
        <v xml:space="preserve"> </v>
      </c>
      <c r="AE856" s="5"/>
      <c r="AF856" s="27" t="b">
        <f>IF($G856&lt;&gt;0,SUMIF(куб!$G:$G,$G856,куб!R:R),IF($E856&lt;&gt;0,SUMIF(куб!$E:$E,$E856,куб!R:R),IF($D856&lt;&gt;0,SUMIF(куб!$D:$D,$D856,куб!R:R),IF($C856&lt;&gt;0,SUMIF(куб!$C:$C,$C856,куб!R:R),IF($B856&lt;&gt;0,SUMIF(куб!$B:$B,$B856,куб!R:R))))))</f>
        <v>0</v>
      </c>
      <c r="AG856" s="27" t="b">
        <f>IF($G856&lt;&gt;0,SUMIF(куб!$G:$G,$G856,куб!S:S),IF($E856&lt;&gt;0,SUMIF(куб!$E:$E,$E856,куб!S:S),IF($D856&lt;&gt;0,SUMIF(куб!$D:$D,$D856,куб!S:S),IF($C856&lt;&gt;0,SUMIF(куб!$C:$C,$C856,куб!S:S),IF($B856&lt;&gt;0,SUMIF(куб!$B:$B,$B856,куб!S:S))))))</f>
        <v>0</v>
      </c>
      <c r="AH856" s="16" t="str">
        <f t="shared" si="283"/>
        <v>-</v>
      </c>
      <c r="AI856" s="8"/>
      <c r="AJ856" s="27" t="b">
        <f>IF($G856&lt;&gt;0,SUMIF(куб!$G:$G,$G856,куб!T:T),IF($E856&lt;&gt;0,SUMIF(куб!$E:$E,$E856,куб!T:T),IF($D856&lt;&gt;0,SUMIF(куб!$D:$D,$D856,куб!T:T),IF($C856&lt;&gt;0,SUMIF(куб!$C:$C,$C856,куб!T:T),IF($B856&lt;&gt;0,SUMIF(куб!$B:$B,$B856,куб!T:T))))))</f>
        <v>0</v>
      </c>
      <c r="AK856" s="27" t="b">
        <f>IF($G856&lt;&gt;0,SUMIF(куб!$G:$G,$G856,куб!U:U),IF($E856&lt;&gt;0,SUMIF(куб!$E:$E,$E856,куб!U:U),IF($D856&lt;&gt;0,SUMIF(куб!$D:$D,$D856,куб!U:U),IF($C856&lt;&gt;0,SUMIF(куб!$C:$C,$C856,куб!U:U),IF($B856&lt;&gt;0,SUMIF(куб!$B:$B,$B856,куб!U:U))))))</f>
        <v>0</v>
      </c>
      <c r="AL856" s="16" t="str">
        <f t="shared" si="284"/>
        <v>-</v>
      </c>
      <c r="AM856" s="8"/>
      <c r="AN856" s="17" t="str">
        <f t="shared" si="285"/>
        <v xml:space="preserve"> </v>
      </c>
      <c r="AO856" s="17" t="str">
        <f t="shared" si="286"/>
        <v xml:space="preserve"> </v>
      </c>
      <c r="AP856" s="16" t="str">
        <f t="shared" si="287"/>
        <v>-</v>
      </c>
      <c r="AQ856" s="8"/>
      <c r="AR856" s="17" t="str">
        <f t="shared" si="288"/>
        <v>-</v>
      </c>
      <c r="AS856" s="17" t="str">
        <f t="shared" si="289"/>
        <v>-</v>
      </c>
      <c r="AT856" s="13" t="str">
        <f t="shared" si="290"/>
        <v>-</v>
      </c>
      <c r="AU856" s="8"/>
    </row>
    <row r="857" spans="1:47" x14ac:dyDescent="0.25">
      <c r="A857" s="31"/>
      <c r="B857" s="31"/>
      <c r="C857"/>
      <c r="D857" s="31"/>
      <c r="E857"/>
      <c r="F857"/>
      <c r="G857"/>
      <c r="H857" s="27">
        <f>IF($G857&lt;&gt;0,SUMIF(куб!$G:$G,$G857,куб!H:H),IF($E857&lt;&gt;0,SUMIF(куб!$E:$E,$E857,куб!H:H),IF($D857&lt;&gt;0,SUMIF(куб!$D:$D,$D857,куб!H:H),IF($C857&lt;&gt;0,SUMIF(куб!$C:$C,$C857,куб!H:H),IF($B857&lt;&gt;0,SUMIF(куб!$B:$B,$B857,куб!H:H),IF($G857&lt;&gt;0,SUMIF(куб!$A:$A,$G857,куб!H:H),SUMIF(куб!$A:$A,$G857,куб!H:H)))))))</f>
        <v>0</v>
      </c>
      <c r="I857" s="27">
        <f>IF($G857&lt;&gt;0,SUMIF(куб!$G:$G,$G857,куб!I:I),IF($E857&lt;&gt;0,SUMIF(куб!$E:$E,$E857,куб!I:I),IF($D857&lt;&gt;0,SUMIF(куб!$D:$D,$D857,куб!I:I),IF($C857&lt;&gt;0,SUMIF(куб!$C:$C,$C857,куб!I:I),IF($B857&lt;&gt;0,SUMIF(куб!$B:$B,$B857,куб!I:I),IF($G857&lt;&gt;0,SUMIF(куб!$A:$A,$G857,куб!I:I),SUMIF(куб!$A:$A,$G857,куб!I:I)))))))</f>
        <v>0</v>
      </c>
      <c r="J857" s="19" t="str">
        <f t="shared" si="273"/>
        <v>-</v>
      </c>
      <c r="K857" s="8"/>
      <c r="L857" s="17">
        <f t="shared" si="274"/>
        <v>0</v>
      </c>
      <c r="M857" s="17">
        <f t="shared" si="275"/>
        <v>0</v>
      </c>
      <c r="N857" s="12">
        <f t="shared" si="276"/>
        <v>0</v>
      </c>
      <c r="O857" s="5"/>
      <c r="P857" s="27" t="b">
        <f>IF($G857&lt;&gt;0,SUMIF(куб!$G:$G,$G857,куб!J:J),IF($E857&lt;&gt;0,SUMIF(куб!$E:$E,$E857,куб!J:J),IF($D857&lt;&gt;0,SUMIF(куб!$D:$D,$D857,куб!J:J),IF($C857&lt;&gt;0,SUMIF(куб!$C:$C,$C857,куб!J:J),IF($B857&lt;&gt;0,SUMIF(куб!$B:$B,$B857,куб!J:J))))))</f>
        <v>0</v>
      </c>
      <c r="Q857" s="27" t="b">
        <f>IF($G857&lt;&gt;0,SUMIF(куб!$G:$G,$G857,куб!K:K),IF($E857&lt;&gt;0,SUMIF(куб!$E:$E,$E857,куб!K:K),IF($D857&lt;&gt;0,SUMIF(куб!$D:$D,$D857,куб!K:K),IF($C857&lt;&gt;0,SUMIF(куб!$C:$C,$C857,куб!K:K),IF($B857&lt;&gt;0,SUMIF(куб!$B:$B,$B857,куб!K:K))))))</f>
        <v>0</v>
      </c>
      <c r="R857" s="13" t="str">
        <f t="shared" si="277"/>
        <v>-</v>
      </c>
      <c r="S857" s="5"/>
      <c r="T857" s="27" t="b">
        <f>IF($G857&lt;&gt;0,SUMIF(куб!$G:$G,$G857,куб!L:L),IF($E857&lt;&gt;0,SUMIF(куб!$E:$E,$E857,куб!L:L),IF($D857&lt;&gt;0,SUMIF(куб!$D:$D,$D857,куб!L:L),IF($C857&lt;&gt;0,SUMIF(куб!$C:$C,$C857,куб!L:L),IF($B857&lt;&gt;0,SUMIF(куб!$B:$B,$B857,куб!L:L))))))</f>
        <v>0</v>
      </c>
      <c r="U857" s="27" t="b">
        <f>IF($G857&lt;&gt;0,SUMIF(куб!$G:$G,$G857,куб!M:M),IF($E857&lt;&gt;0,SUMIF(куб!$E:$E,$E857,куб!M:M),IF($D857&lt;&gt;0,SUMIF(куб!$D:$D,$D857,куб!M:M),IF($C857&lt;&gt;0,SUMIF(куб!$C:$C,$C857,куб!M:M),IF($B857&lt;&gt;0,SUMIF(куб!$B:$B,$B857,куб!M:M))))))</f>
        <v>0</v>
      </c>
      <c r="V857" s="13" t="str">
        <f t="shared" si="278"/>
        <v>-</v>
      </c>
      <c r="W857" s="5"/>
      <c r="X857" s="27" t="b">
        <f>IF($G857&lt;&gt;0,SUMIF(куб!$G:$G,$G857,куб!N:N),IF($E857&lt;&gt;0,SUMIF(куб!$E:$E,$E857,куб!N:N),IF($D857&lt;&gt;0,SUMIF(куб!$D:$D,$D857,куб!N:N),IF($C857&lt;&gt;0,SUMIF(куб!$C:$C,$C857,куб!N:N),IF($B857&lt;&gt;0,SUMIF(куб!$B:$B,$B857,куб!N:N))))))</f>
        <v>0</v>
      </c>
      <c r="Y857" s="27" t="b">
        <f>IF($G857&lt;&gt;0,SUMIF(куб!$G:$G,$G857,куб!O:O),IF($E857&lt;&gt;0,SUMIF(куб!$E:$E,$E857,куб!O:O),IF($D857&lt;&gt;0,SUMIF(куб!$D:$D,$D857,куб!O:O),IF($C857&lt;&gt;0,SUMIF(куб!$C:$C,$C857,куб!O:O),IF($B857&lt;&gt;0,SUMIF(куб!$B:$B,$B857,куб!O:O))))))</f>
        <v>0</v>
      </c>
      <c r="Z857" s="13" t="str">
        <f t="shared" si="279"/>
        <v>-</v>
      </c>
      <c r="AA857" s="5"/>
      <c r="AB857" s="33" t="str">
        <f t="shared" si="280"/>
        <v/>
      </c>
      <c r="AC857" s="33" t="str">
        <f t="shared" si="281"/>
        <v/>
      </c>
      <c r="AD857" s="15" t="str">
        <f t="shared" si="282"/>
        <v xml:space="preserve"> </v>
      </c>
      <c r="AE857" s="5"/>
      <c r="AF857" s="27" t="b">
        <f>IF($G857&lt;&gt;0,SUMIF(куб!$G:$G,$G857,куб!R:R),IF($E857&lt;&gt;0,SUMIF(куб!$E:$E,$E857,куб!R:R),IF($D857&lt;&gt;0,SUMIF(куб!$D:$D,$D857,куб!R:R),IF($C857&lt;&gt;0,SUMIF(куб!$C:$C,$C857,куб!R:R),IF($B857&lt;&gt;0,SUMIF(куб!$B:$B,$B857,куб!R:R))))))</f>
        <v>0</v>
      </c>
      <c r="AG857" s="27" t="b">
        <f>IF($G857&lt;&gt;0,SUMIF(куб!$G:$G,$G857,куб!S:S),IF($E857&lt;&gt;0,SUMIF(куб!$E:$E,$E857,куб!S:S),IF($D857&lt;&gt;0,SUMIF(куб!$D:$D,$D857,куб!S:S),IF($C857&lt;&gt;0,SUMIF(куб!$C:$C,$C857,куб!S:S),IF($B857&lt;&gt;0,SUMIF(куб!$B:$B,$B857,куб!S:S))))))</f>
        <v>0</v>
      </c>
      <c r="AH857" s="16" t="str">
        <f t="shared" si="283"/>
        <v>-</v>
      </c>
      <c r="AI857" s="8"/>
      <c r="AJ857" s="27" t="b">
        <f>IF($G857&lt;&gt;0,SUMIF(куб!$G:$G,$G857,куб!T:T),IF($E857&lt;&gt;0,SUMIF(куб!$E:$E,$E857,куб!T:T),IF($D857&lt;&gt;0,SUMIF(куб!$D:$D,$D857,куб!T:T),IF($C857&lt;&gt;0,SUMIF(куб!$C:$C,$C857,куб!T:T),IF($B857&lt;&gt;0,SUMIF(куб!$B:$B,$B857,куб!T:T))))))</f>
        <v>0</v>
      </c>
      <c r="AK857" s="27" t="b">
        <f>IF($G857&lt;&gt;0,SUMIF(куб!$G:$G,$G857,куб!U:U),IF($E857&lt;&gt;0,SUMIF(куб!$E:$E,$E857,куб!U:U),IF($D857&lt;&gt;0,SUMIF(куб!$D:$D,$D857,куб!U:U),IF($C857&lt;&gt;0,SUMIF(куб!$C:$C,$C857,куб!U:U),IF($B857&lt;&gt;0,SUMIF(куб!$B:$B,$B857,куб!U:U))))))</f>
        <v>0</v>
      </c>
      <c r="AL857" s="16" t="str">
        <f t="shared" si="284"/>
        <v>-</v>
      </c>
      <c r="AM857" s="8"/>
      <c r="AN857" s="17" t="str">
        <f t="shared" si="285"/>
        <v xml:space="preserve"> </v>
      </c>
      <c r="AO857" s="17" t="str">
        <f t="shared" si="286"/>
        <v xml:space="preserve"> </v>
      </c>
      <c r="AP857" s="16" t="str">
        <f t="shared" si="287"/>
        <v>-</v>
      </c>
      <c r="AQ857" s="8"/>
      <c r="AR857" s="17" t="str">
        <f t="shared" si="288"/>
        <v>-</v>
      </c>
      <c r="AS857" s="17" t="str">
        <f t="shared" si="289"/>
        <v>-</v>
      </c>
      <c r="AT857" s="13" t="str">
        <f t="shared" si="290"/>
        <v>-</v>
      </c>
      <c r="AU857" s="8"/>
    </row>
    <row r="858" spans="1:47" x14ac:dyDescent="0.25">
      <c r="A858" s="31"/>
      <c r="B858" s="31"/>
      <c r="C858"/>
      <c r="D858" s="31"/>
      <c r="E858" s="31"/>
      <c r="F858" s="31"/>
      <c r="G858" s="31"/>
      <c r="H858" s="27">
        <f>IF($G858&lt;&gt;0,SUMIF(куб!$G:$G,$G858,куб!H:H),IF($E858&lt;&gt;0,SUMIF(куб!$E:$E,$E858,куб!H:H),IF($D858&lt;&gt;0,SUMIF(куб!$D:$D,$D858,куб!H:H),IF($C858&lt;&gt;0,SUMIF(куб!$C:$C,$C858,куб!H:H),IF($B858&lt;&gt;0,SUMIF(куб!$B:$B,$B858,куб!H:H),IF($G858&lt;&gt;0,SUMIF(куб!$A:$A,$G858,куб!H:H),SUMIF(куб!$A:$A,$G858,куб!H:H)))))))</f>
        <v>0</v>
      </c>
      <c r="I858" s="27">
        <f>IF($G858&lt;&gt;0,SUMIF(куб!$G:$G,$G858,куб!I:I),IF($E858&lt;&gt;0,SUMIF(куб!$E:$E,$E858,куб!I:I),IF($D858&lt;&gt;0,SUMIF(куб!$D:$D,$D858,куб!I:I),IF($C858&lt;&gt;0,SUMIF(куб!$C:$C,$C858,куб!I:I),IF($B858&lt;&gt;0,SUMIF(куб!$B:$B,$B858,куб!I:I),IF($G858&lt;&gt;0,SUMIF(куб!$A:$A,$G858,куб!I:I),SUMIF(куб!$A:$A,$G858,куб!I:I)))))))</f>
        <v>0</v>
      </c>
      <c r="J858" s="19" t="str">
        <f t="shared" si="273"/>
        <v>-</v>
      </c>
      <c r="K858" s="8"/>
      <c r="L858" s="17">
        <f t="shared" si="274"/>
        <v>0</v>
      </c>
      <c r="M858" s="17">
        <f t="shared" si="275"/>
        <v>0</v>
      </c>
      <c r="N858" s="12">
        <f t="shared" si="276"/>
        <v>0</v>
      </c>
      <c r="O858" s="5"/>
      <c r="P858" s="27" t="b">
        <f>IF($G858&lt;&gt;0,SUMIF(куб!$G:$G,$G858,куб!J:J),IF($E858&lt;&gt;0,SUMIF(куб!$E:$E,$E858,куб!J:J),IF($D858&lt;&gt;0,SUMIF(куб!$D:$D,$D858,куб!J:J),IF($C858&lt;&gt;0,SUMIF(куб!$C:$C,$C858,куб!J:J),IF($B858&lt;&gt;0,SUMIF(куб!$B:$B,$B858,куб!J:J))))))</f>
        <v>0</v>
      </c>
      <c r="Q858" s="27" t="b">
        <f>IF($G858&lt;&gt;0,SUMIF(куб!$G:$G,$G858,куб!K:K),IF($E858&lt;&gt;0,SUMIF(куб!$E:$E,$E858,куб!K:K),IF($D858&lt;&gt;0,SUMIF(куб!$D:$D,$D858,куб!K:K),IF($C858&lt;&gt;0,SUMIF(куб!$C:$C,$C858,куб!K:K),IF($B858&lt;&gt;0,SUMIF(куб!$B:$B,$B858,куб!K:K))))))</f>
        <v>0</v>
      </c>
      <c r="R858" s="13" t="str">
        <f t="shared" si="277"/>
        <v>-</v>
      </c>
      <c r="S858" s="5"/>
      <c r="T858" s="27" t="b">
        <f>IF($G858&lt;&gt;0,SUMIF(куб!$G:$G,$G858,куб!L:L),IF($E858&lt;&gt;0,SUMIF(куб!$E:$E,$E858,куб!L:L),IF($D858&lt;&gt;0,SUMIF(куб!$D:$D,$D858,куб!L:L),IF($C858&lt;&gt;0,SUMIF(куб!$C:$C,$C858,куб!L:L),IF($B858&lt;&gt;0,SUMIF(куб!$B:$B,$B858,куб!L:L))))))</f>
        <v>0</v>
      </c>
      <c r="U858" s="27" t="b">
        <f>IF($G858&lt;&gt;0,SUMIF(куб!$G:$G,$G858,куб!M:M),IF($E858&lt;&gt;0,SUMIF(куб!$E:$E,$E858,куб!M:M),IF($D858&lt;&gt;0,SUMIF(куб!$D:$D,$D858,куб!M:M),IF($C858&lt;&gt;0,SUMIF(куб!$C:$C,$C858,куб!M:M),IF($B858&lt;&gt;0,SUMIF(куб!$B:$B,$B858,куб!M:M))))))</f>
        <v>0</v>
      </c>
      <c r="V858" s="13" t="str">
        <f t="shared" si="278"/>
        <v>-</v>
      </c>
      <c r="W858" s="5"/>
      <c r="X858" s="27" t="b">
        <f>IF($G858&lt;&gt;0,SUMIF(куб!$G:$G,$G858,куб!N:N),IF($E858&lt;&gt;0,SUMIF(куб!$E:$E,$E858,куб!N:N),IF($D858&lt;&gt;0,SUMIF(куб!$D:$D,$D858,куб!N:N),IF($C858&lt;&gt;0,SUMIF(куб!$C:$C,$C858,куб!N:N),IF($B858&lt;&gt;0,SUMIF(куб!$B:$B,$B858,куб!N:N))))))</f>
        <v>0</v>
      </c>
      <c r="Y858" s="27" t="b">
        <f>IF($G858&lt;&gt;0,SUMIF(куб!$G:$G,$G858,куб!O:O),IF($E858&lt;&gt;0,SUMIF(куб!$E:$E,$E858,куб!O:O),IF($D858&lt;&gt;0,SUMIF(куб!$D:$D,$D858,куб!O:O),IF($C858&lt;&gt;0,SUMIF(куб!$C:$C,$C858,куб!O:O),IF($B858&lt;&gt;0,SUMIF(куб!$B:$B,$B858,куб!O:O))))))</f>
        <v>0</v>
      </c>
      <c r="Z858" s="13" t="str">
        <f t="shared" si="279"/>
        <v>-</v>
      </c>
      <c r="AA858" s="5"/>
      <c r="AB858" s="33" t="str">
        <f t="shared" si="280"/>
        <v/>
      </c>
      <c r="AC858" s="33" t="str">
        <f t="shared" si="281"/>
        <v/>
      </c>
      <c r="AD858" s="15" t="str">
        <f t="shared" si="282"/>
        <v xml:space="preserve"> </v>
      </c>
      <c r="AE858" s="5"/>
      <c r="AF858" s="27" t="b">
        <f>IF($G858&lt;&gt;0,SUMIF(куб!$G:$G,$G858,куб!R:R),IF($E858&lt;&gt;0,SUMIF(куб!$E:$E,$E858,куб!R:R),IF($D858&lt;&gt;0,SUMIF(куб!$D:$D,$D858,куб!R:R),IF($C858&lt;&gt;0,SUMIF(куб!$C:$C,$C858,куб!R:R),IF($B858&lt;&gt;0,SUMIF(куб!$B:$B,$B858,куб!R:R))))))</f>
        <v>0</v>
      </c>
      <c r="AG858" s="27" t="b">
        <f>IF($G858&lt;&gt;0,SUMIF(куб!$G:$G,$G858,куб!S:S),IF($E858&lt;&gt;0,SUMIF(куб!$E:$E,$E858,куб!S:S),IF($D858&lt;&gt;0,SUMIF(куб!$D:$D,$D858,куб!S:S),IF($C858&lt;&gt;0,SUMIF(куб!$C:$C,$C858,куб!S:S),IF($B858&lt;&gt;0,SUMIF(куб!$B:$B,$B858,куб!S:S))))))</f>
        <v>0</v>
      </c>
      <c r="AH858" s="16" t="str">
        <f t="shared" si="283"/>
        <v>-</v>
      </c>
      <c r="AI858" s="8"/>
      <c r="AJ858" s="27" t="b">
        <f>IF($G858&lt;&gt;0,SUMIF(куб!$G:$G,$G858,куб!T:T),IF($E858&lt;&gt;0,SUMIF(куб!$E:$E,$E858,куб!T:T),IF($D858&lt;&gt;0,SUMIF(куб!$D:$D,$D858,куб!T:T),IF($C858&lt;&gt;0,SUMIF(куб!$C:$C,$C858,куб!T:T),IF($B858&lt;&gt;0,SUMIF(куб!$B:$B,$B858,куб!T:T))))))</f>
        <v>0</v>
      </c>
      <c r="AK858" s="27" t="b">
        <f>IF($G858&lt;&gt;0,SUMIF(куб!$G:$G,$G858,куб!U:U),IF($E858&lt;&gt;0,SUMIF(куб!$E:$E,$E858,куб!U:U),IF($D858&lt;&gt;0,SUMIF(куб!$D:$D,$D858,куб!U:U),IF($C858&lt;&gt;0,SUMIF(куб!$C:$C,$C858,куб!U:U),IF($B858&lt;&gt;0,SUMIF(куб!$B:$B,$B858,куб!U:U))))))</f>
        <v>0</v>
      </c>
      <c r="AL858" s="16" t="str">
        <f t="shared" si="284"/>
        <v>-</v>
      </c>
      <c r="AM858" s="8"/>
      <c r="AN858" s="17" t="str">
        <f t="shared" si="285"/>
        <v xml:space="preserve"> </v>
      </c>
      <c r="AO858" s="17" t="str">
        <f t="shared" si="286"/>
        <v xml:space="preserve"> </v>
      </c>
      <c r="AP858" s="16" t="str">
        <f t="shared" si="287"/>
        <v>-</v>
      </c>
      <c r="AQ858" s="8"/>
      <c r="AR858" s="17" t="str">
        <f t="shared" si="288"/>
        <v>-</v>
      </c>
      <c r="AS858" s="17" t="str">
        <f t="shared" si="289"/>
        <v>-</v>
      </c>
      <c r="AT858" s="13" t="str">
        <f t="shared" si="290"/>
        <v>-</v>
      </c>
      <c r="AU858" s="8"/>
    </row>
    <row r="859" spans="1:47" x14ac:dyDescent="0.25">
      <c r="A859" s="31"/>
      <c r="B859" s="31"/>
      <c r="C859"/>
      <c r="D859" s="31"/>
      <c r="E859"/>
      <c r="F859" s="31"/>
      <c r="G859"/>
      <c r="H859" s="27">
        <f>IF($G859&lt;&gt;0,SUMIF(куб!$G:$G,$G859,куб!H:H),IF($E859&lt;&gt;0,SUMIF(куб!$E:$E,$E859,куб!H:H),IF($D859&lt;&gt;0,SUMIF(куб!$D:$D,$D859,куб!H:H),IF($C859&lt;&gt;0,SUMIF(куб!$C:$C,$C859,куб!H:H),IF($B859&lt;&gt;0,SUMIF(куб!$B:$B,$B859,куб!H:H),IF($G859&lt;&gt;0,SUMIF(куб!$A:$A,$G859,куб!H:H),SUMIF(куб!$A:$A,$G859,куб!H:H)))))))</f>
        <v>0</v>
      </c>
      <c r="I859" s="27">
        <f>IF($G859&lt;&gt;0,SUMIF(куб!$G:$G,$G859,куб!I:I),IF($E859&lt;&gt;0,SUMIF(куб!$E:$E,$E859,куб!I:I),IF($D859&lt;&gt;0,SUMIF(куб!$D:$D,$D859,куб!I:I),IF($C859&lt;&gt;0,SUMIF(куб!$C:$C,$C859,куб!I:I),IF($B859&lt;&gt;0,SUMIF(куб!$B:$B,$B859,куб!I:I),IF($G859&lt;&gt;0,SUMIF(куб!$A:$A,$G859,куб!I:I),SUMIF(куб!$A:$A,$G859,куб!I:I)))))))</f>
        <v>0</v>
      </c>
      <c r="J859" s="19" t="str">
        <f t="shared" si="273"/>
        <v>-</v>
      </c>
      <c r="K859" s="8"/>
      <c r="L859" s="17">
        <f t="shared" si="274"/>
        <v>0</v>
      </c>
      <c r="M859" s="17">
        <f t="shared" si="275"/>
        <v>0</v>
      </c>
      <c r="N859" s="12">
        <f t="shared" si="276"/>
        <v>0</v>
      </c>
      <c r="O859" s="5"/>
      <c r="P859" s="27" t="b">
        <f>IF($G859&lt;&gt;0,SUMIF(куб!$G:$G,$G859,куб!J:J),IF($E859&lt;&gt;0,SUMIF(куб!$E:$E,$E859,куб!J:J),IF($D859&lt;&gt;0,SUMIF(куб!$D:$D,$D859,куб!J:J),IF($C859&lt;&gt;0,SUMIF(куб!$C:$C,$C859,куб!J:J),IF($B859&lt;&gt;0,SUMIF(куб!$B:$B,$B859,куб!J:J))))))</f>
        <v>0</v>
      </c>
      <c r="Q859" s="27" t="b">
        <f>IF($G859&lt;&gt;0,SUMIF(куб!$G:$G,$G859,куб!K:K),IF($E859&lt;&gt;0,SUMIF(куб!$E:$E,$E859,куб!K:K),IF($D859&lt;&gt;0,SUMIF(куб!$D:$D,$D859,куб!K:K),IF($C859&lt;&gt;0,SUMIF(куб!$C:$C,$C859,куб!K:K),IF($B859&lt;&gt;0,SUMIF(куб!$B:$B,$B859,куб!K:K))))))</f>
        <v>0</v>
      </c>
      <c r="R859" s="13" t="str">
        <f t="shared" si="277"/>
        <v>-</v>
      </c>
      <c r="S859" s="5"/>
      <c r="T859" s="27" t="b">
        <f>IF($G859&lt;&gt;0,SUMIF(куб!$G:$G,$G859,куб!L:L),IF($E859&lt;&gt;0,SUMIF(куб!$E:$E,$E859,куб!L:L),IF($D859&lt;&gt;0,SUMIF(куб!$D:$D,$D859,куб!L:L),IF($C859&lt;&gt;0,SUMIF(куб!$C:$C,$C859,куб!L:L),IF($B859&lt;&gt;0,SUMIF(куб!$B:$B,$B859,куб!L:L))))))</f>
        <v>0</v>
      </c>
      <c r="U859" s="27" t="b">
        <f>IF($G859&lt;&gt;0,SUMIF(куб!$G:$G,$G859,куб!M:M),IF($E859&lt;&gt;0,SUMIF(куб!$E:$E,$E859,куб!M:M),IF($D859&lt;&gt;0,SUMIF(куб!$D:$D,$D859,куб!M:M),IF($C859&lt;&gt;0,SUMIF(куб!$C:$C,$C859,куб!M:M),IF($B859&lt;&gt;0,SUMIF(куб!$B:$B,$B859,куб!M:M))))))</f>
        <v>0</v>
      </c>
      <c r="V859" s="13" t="str">
        <f t="shared" si="278"/>
        <v>-</v>
      </c>
      <c r="W859" s="5"/>
      <c r="X859" s="27" t="b">
        <f>IF($G859&lt;&gt;0,SUMIF(куб!$G:$G,$G859,куб!N:N),IF($E859&lt;&gt;0,SUMIF(куб!$E:$E,$E859,куб!N:N),IF($D859&lt;&gt;0,SUMIF(куб!$D:$D,$D859,куб!N:N),IF($C859&lt;&gt;0,SUMIF(куб!$C:$C,$C859,куб!N:N),IF($B859&lt;&gt;0,SUMIF(куб!$B:$B,$B859,куб!N:N))))))</f>
        <v>0</v>
      </c>
      <c r="Y859" s="27" t="b">
        <f>IF($G859&lt;&gt;0,SUMIF(куб!$G:$G,$G859,куб!O:O),IF($E859&lt;&gt;0,SUMIF(куб!$E:$E,$E859,куб!O:O),IF($D859&lt;&gt;0,SUMIF(куб!$D:$D,$D859,куб!O:O),IF($C859&lt;&gt;0,SUMIF(куб!$C:$C,$C859,куб!O:O),IF($B859&lt;&gt;0,SUMIF(куб!$B:$B,$B859,куб!O:O))))))</f>
        <v>0</v>
      </c>
      <c r="Z859" s="13" t="str">
        <f t="shared" si="279"/>
        <v>-</v>
      </c>
      <c r="AA859" s="5"/>
      <c r="AB859" s="33" t="str">
        <f t="shared" si="280"/>
        <v/>
      </c>
      <c r="AC859" s="33" t="str">
        <f t="shared" si="281"/>
        <v/>
      </c>
      <c r="AD859" s="15" t="str">
        <f t="shared" si="282"/>
        <v xml:space="preserve"> </v>
      </c>
      <c r="AE859" s="5"/>
      <c r="AF859" s="27" t="b">
        <f>IF($G859&lt;&gt;0,SUMIF(куб!$G:$G,$G859,куб!R:R),IF($E859&lt;&gt;0,SUMIF(куб!$E:$E,$E859,куб!R:R),IF($D859&lt;&gt;0,SUMIF(куб!$D:$D,$D859,куб!R:R),IF($C859&lt;&gt;0,SUMIF(куб!$C:$C,$C859,куб!R:R),IF($B859&lt;&gt;0,SUMIF(куб!$B:$B,$B859,куб!R:R))))))</f>
        <v>0</v>
      </c>
      <c r="AG859" s="27" t="b">
        <f>IF($G859&lt;&gt;0,SUMIF(куб!$G:$G,$G859,куб!S:S),IF($E859&lt;&gt;0,SUMIF(куб!$E:$E,$E859,куб!S:S),IF($D859&lt;&gt;0,SUMIF(куб!$D:$D,$D859,куб!S:S),IF($C859&lt;&gt;0,SUMIF(куб!$C:$C,$C859,куб!S:S),IF($B859&lt;&gt;0,SUMIF(куб!$B:$B,$B859,куб!S:S))))))</f>
        <v>0</v>
      </c>
      <c r="AH859" s="16" t="str">
        <f t="shared" si="283"/>
        <v>-</v>
      </c>
      <c r="AI859" s="8"/>
      <c r="AJ859" s="27" t="b">
        <f>IF($G859&lt;&gt;0,SUMIF(куб!$G:$G,$G859,куб!T:T),IF($E859&lt;&gt;0,SUMIF(куб!$E:$E,$E859,куб!T:T),IF($D859&lt;&gt;0,SUMIF(куб!$D:$D,$D859,куб!T:T),IF($C859&lt;&gt;0,SUMIF(куб!$C:$C,$C859,куб!T:T),IF($B859&lt;&gt;0,SUMIF(куб!$B:$B,$B859,куб!T:T))))))</f>
        <v>0</v>
      </c>
      <c r="AK859" s="27" t="b">
        <f>IF($G859&lt;&gt;0,SUMIF(куб!$G:$G,$G859,куб!U:U),IF($E859&lt;&gt;0,SUMIF(куб!$E:$E,$E859,куб!U:U),IF($D859&lt;&gt;0,SUMIF(куб!$D:$D,$D859,куб!U:U),IF($C859&lt;&gt;0,SUMIF(куб!$C:$C,$C859,куб!U:U),IF($B859&lt;&gt;0,SUMIF(куб!$B:$B,$B859,куб!U:U))))))</f>
        <v>0</v>
      </c>
      <c r="AL859" s="16" t="str">
        <f t="shared" si="284"/>
        <v>-</v>
      </c>
      <c r="AM859" s="8"/>
      <c r="AN859" s="17" t="str">
        <f t="shared" si="285"/>
        <v xml:space="preserve"> </v>
      </c>
      <c r="AO859" s="17" t="str">
        <f t="shared" si="286"/>
        <v xml:space="preserve"> </v>
      </c>
      <c r="AP859" s="16" t="str">
        <f t="shared" si="287"/>
        <v>-</v>
      </c>
      <c r="AQ859" s="8"/>
      <c r="AR859" s="17" t="str">
        <f t="shared" si="288"/>
        <v>-</v>
      </c>
      <c r="AS859" s="17" t="str">
        <f t="shared" si="289"/>
        <v>-</v>
      </c>
      <c r="AT859" s="13" t="str">
        <f t="shared" si="290"/>
        <v>-</v>
      </c>
      <c r="AU859" s="8"/>
    </row>
    <row r="860" spans="1:47" x14ac:dyDescent="0.25">
      <c r="A860" s="31"/>
      <c r="B860" s="31"/>
      <c r="C860"/>
      <c r="D860" s="31"/>
      <c r="E860"/>
      <c r="F860" s="31"/>
      <c r="G860"/>
      <c r="H860" s="27">
        <f>IF($G860&lt;&gt;0,SUMIF(куб!$G:$G,$G860,куб!H:H),IF($E860&lt;&gt;0,SUMIF(куб!$E:$E,$E860,куб!H:H),IF($D860&lt;&gt;0,SUMIF(куб!$D:$D,$D860,куб!H:H),IF($C860&lt;&gt;0,SUMIF(куб!$C:$C,$C860,куб!H:H),IF($B860&lt;&gt;0,SUMIF(куб!$B:$B,$B860,куб!H:H),IF($G860&lt;&gt;0,SUMIF(куб!$A:$A,$G860,куб!H:H),SUMIF(куб!$A:$A,$G860,куб!H:H)))))))</f>
        <v>0</v>
      </c>
      <c r="I860" s="27">
        <f>IF($G860&lt;&gt;0,SUMIF(куб!$G:$G,$G860,куб!I:I),IF($E860&lt;&gt;0,SUMIF(куб!$E:$E,$E860,куб!I:I),IF($D860&lt;&gt;0,SUMIF(куб!$D:$D,$D860,куб!I:I),IF($C860&lt;&gt;0,SUMIF(куб!$C:$C,$C860,куб!I:I),IF($B860&lt;&gt;0,SUMIF(куб!$B:$B,$B860,куб!I:I),IF($G860&lt;&gt;0,SUMIF(куб!$A:$A,$G860,куб!I:I),SUMIF(куб!$A:$A,$G860,куб!I:I)))))))</f>
        <v>0</v>
      </c>
      <c r="J860" s="19" t="str">
        <f t="shared" si="273"/>
        <v>-</v>
      </c>
      <c r="K860" s="8"/>
      <c r="L860" s="17">
        <f t="shared" si="274"/>
        <v>0</v>
      </c>
      <c r="M860" s="17">
        <f t="shared" si="275"/>
        <v>0</v>
      </c>
      <c r="N860" s="12">
        <f t="shared" si="276"/>
        <v>0</v>
      </c>
      <c r="O860" s="5"/>
      <c r="P860" s="27" t="b">
        <f>IF($G860&lt;&gt;0,SUMIF(куб!$G:$G,$G860,куб!J:J),IF($E860&lt;&gt;0,SUMIF(куб!$E:$E,$E860,куб!J:J),IF($D860&lt;&gt;0,SUMIF(куб!$D:$D,$D860,куб!J:J),IF($C860&lt;&gt;0,SUMIF(куб!$C:$C,$C860,куб!J:J),IF($B860&lt;&gt;0,SUMIF(куб!$B:$B,$B860,куб!J:J))))))</f>
        <v>0</v>
      </c>
      <c r="Q860" s="27" t="b">
        <f>IF($G860&lt;&gt;0,SUMIF(куб!$G:$G,$G860,куб!K:K),IF($E860&lt;&gt;0,SUMIF(куб!$E:$E,$E860,куб!K:K),IF($D860&lt;&gt;0,SUMIF(куб!$D:$D,$D860,куб!K:K),IF($C860&lt;&gt;0,SUMIF(куб!$C:$C,$C860,куб!K:K),IF($B860&lt;&gt;0,SUMIF(куб!$B:$B,$B860,куб!K:K))))))</f>
        <v>0</v>
      </c>
      <c r="R860" s="13" t="str">
        <f t="shared" si="277"/>
        <v>-</v>
      </c>
      <c r="S860" s="5"/>
      <c r="T860" s="27" t="b">
        <f>IF($G860&lt;&gt;0,SUMIF(куб!$G:$G,$G860,куб!L:L),IF($E860&lt;&gt;0,SUMIF(куб!$E:$E,$E860,куб!L:L),IF($D860&lt;&gt;0,SUMIF(куб!$D:$D,$D860,куб!L:L),IF($C860&lt;&gt;0,SUMIF(куб!$C:$C,$C860,куб!L:L),IF($B860&lt;&gt;0,SUMIF(куб!$B:$B,$B860,куб!L:L))))))</f>
        <v>0</v>
      </c>
      <c r="U860" s="27" t="b">
        <f>IF($G860&lt;&gt;0,SUMIF(куб!$G:$G,$G860,куб!M:M),IF($E860&lt;&gt;0,SUMIF(куб!$E:$E,$E860,куб!M:M),IF($D860&lt;&gt;0,SUMIF(куб!$D:$D,$D860,куб!M:M),IF($C860&lt;&gt;0,SUMIF(куб!$C:$C,$C860,куб!M:M),IF($B860&lt;&gt;0,SUMIF(куб!$B:$B,$B860,куб!M:M))))))</f>
        <v>0</v>
      </c>
      <c r="V860" s="13" t="str">
        <f t="shared" si="278"/>
        <v>-</v>
      </c>
      <c r="W860" s="5"/>
      <c r="X860" s="27" t="b">
        <f>IF($G860&lt;&gt;0,SUMIF(куб!$G:$G,$G860,куб!N:N),IF($E860&lt;&gt;0,SUMIF(куб!$E:$E,$E860,куб!N:N),IF($D860&lt;&gt;0,SUMIF(куб!$D:$D,$D860,куб!N:N),IF($C860&lt;&gt;0,SUMIF(куб!$C:$C,$C860,куб!N:N),IF($B860&lt;&gt;0,SUMIF(куб!$B:$B,$B860,куб!N:N))))))</f>
        <v>0</v>
      </c>
      <c r="Y860" s="27" t="b">
        <f>IF($G860&lt;&gt;0,SUMIF(куб!$G:$G,$G860,куб!O:O),IF($E860&lt;&gt;0,SUMIF(куб!$E:$E,$E860,куб!O:O),IF($D860&lt;&gt;0,SUMIF(куб!$D:$D,$D860,куб!O:O),IF($C860&lt;&gt;0,SUMIF(куб!$C:$C,$C860,куб!O:O),IF($B860&lt;&gt;0,SUMIF(куб!$B:$B,$B860,куб!O:O))))))</f>
        <v>0</v>
      </c>
      <c r="Z860" s="13" t="str">
        <f t="shared" si="279"/>
        <v>-</v>
      </c>
      <c r="AA860" s="5"/>
      <c r="AB860" s="33" t="str">
        <f t="shared" si="280"/>
        <v/>
      </c>
      <c r="AC860" s="33" t="str">
        <f t="shared" si="281"/>
        <v/>
      </c>
      <c r="AD860" s="15" t="str">
        <f t="shared" si="282"/>
        <v xml:space="preserve"> </v>
      </c>
      <c r="AE860" s="5"/>
      <c r="AF860" s="27" t="b">
        <f>IF($G860&lt;&gt;0,SUMIF(куб!$G:$G,$G860,куб!R:R),IF($E860&lt;&gt;0,SUMIF(куб!$E:$E,$E860,куб!R:R),IF($D860&lt;&gt;0,SUMIF(куб!$D:$D,$D860,куб!R:R),IF($C860&lt;&gt;0,SUMIF(куб!$C:$C,$C860,куб!R:R),IF($B860&lt;&gt;0,SUMIF(куб!$B:$B,$B860,куб!R:R))))))</f>
        <v>0</v>
      </c>
      <c r="AG860" s="27" t="b">
        <f>IF($G860&lt;&gt;0,SUMIF(куб!$G:$G,$G860,куб!S:S),IF($E860&lt;&gt;0,SUMIF(куб!$E:$E,$E860,куб!S:S),IF($D860&lt;&gt;0,SUMIF(куб!$D:$D,$D860,куб!S:S),IF($C860&lt;&gt;0,SUMIF(куб!$C:$C,$C860,куб!S:S),IF($B860&lt;&gt;0,SUMIF(куб!$B:$B,$B860,куб!S:S))))))</f>
        <v>0</v>
      </c>
      <c r="AH860" s="16" t="str">
        <f t="shared" si="283"/>
        <v>-</v>
      </c>
      <c r="AI860" s="8"/>
      <c r="AJ860" s="27" t="b">
        <f>IF($G860&lt;&gt;0,SUMIF(куб!$G:$G,$G860,куб!T:T),IF($E860&lt;&gt;0,SUMIF(куб!$E:$E,$E860,куб!T:T),IF($D860&lt;&gt;0,SUMIF(куб!$D:$D,$D860,куб!T:T),IF($C860&lt;&gt;0,SUMIF(куб!$C:$C,$C860,куб!T:T),IF($B860&lt;&gt;0,SUMIF(куб!$B:$B,$B860,куб!T:T))))))</f>
        <v>0</v>
      </c>
      <c r="AK860" s="27" t="b">
        <f>IF($G860&lt;&gt;0,SUMIF(куб!$G:$G,$G860,куб!U:U),IF($E860&lt;&gt;0,SUMIF(куб!$E:$E,$E860,куб!U:U),IF($D860&lt;&gt;0,SUMIF(куб!$D:$D,$D860,куб!U:U),IF($C860&lt;&gt;0,SUMIF(куб!$C:$C,$C860,куб!U:U),IF($B860&lt;&gt;0,SUMIF(куб!$B:$B,$B860,куб!U:U))))))</f>
        <v>0</v>
      </c>
      <c r="AL860" s="16" t="str">
        <f t="shared" si="284"/>
        <v>-</v>
      </c>
      <c r="AM860" s="8"/>
      <c r="AN860" s="17" t="str">
        <f t="shared" si="285"/>
        <v xml:space="preserve"> </v>
      </c>
      <c r="AO860" s="17" t="str">
        <f t="shared" si="286"/>
        <v xml:space="preserve"> </v>
      </c>
      <c r="AP860" s="16" t="str">
        <f t="shared" si="287"/>
        <v>-</v>
      </c>
      <c r="AQ860" s="8"/>
      <c r="AR860" s="17" t="str">
        <f t="shared" si="288"/>
        <v>-</v>
      </c>
      <c r="AS860" s="17" t="str">
        <f t="shared" si="289"/>
        <v>-</v>
      </c>
      <c r="AT860" s="13" t="str">
        <f t="shared" si="290"/>
        <v>-</v>
      </c>
      <c r="AU860" s="8"/>
    </row>
    <row r="861" spans="1:47" x14ac:dyDescent="0.25">
      <c r="A861" s="31"/>
      <c r="B861" s="31"/>
      <c r="C861"/>
      <c r="D861" s="31"/>
      <c r="E861"/>
      <c r="F861" s="31"/>
      <c r="G861"/>
      <c r="H861" s="27">
        <f>IF($G861&lt;&gt;0,SUMIF(куб!$G:$G,$G861,куб!H:H),IF($E861&lt;&gt;0,SUMIF(куб!$E:$E,$E861,куб!H:H),IF($D861&lt;&gt;0,SUMIF(куб!$D:$D,$D861,куб!H:H),IF($C861&lt;&gt;0,SUMIF(куб!$C:$C,$C861,куб!H:H),IF($B861&lt;&gt;0,SUMIF(куб!$B:$B,$B861,куб!H:H),IF($G861&lt;&gt;0,SUMIF(куб!$A:$A,$G861,куб!H:H),SUMIF(куб!$A:$A,$G861,куб!H:H)))))))</f>
        <v>0</v>
      </c>
      <c r="I861" s="27">
        <f>IF($G861&lt;&gt;0,SUMIF(куб!$G:$G,$G861,куб!I:I),IF($E861&lt;&gt;0,SUMIF(куб!$E:$E,$E861,куб!I:I),IF($D861&lt;&gt;0,SUMIF(куб!$D:$D,$D861,куб!I:I),IF($C861&lt;&gt;0,SUMIF(куб!$C:$C,$C861,куб!I:I),IF($B861&lt;&gt;0,SUMIF(куб!$B:$B,$B861,куб!I:I),IF($G861&lt;&gt;0,SUMIF(куб!$A:$A,$G861,куб!I:I),SUMIF(куб!$A:$A,$G861,куб!I:I)))))))</f>
        <v>0</v>
      </c>
      <c r="J861" s="19" t="str">
        <f t="shared" si="273"/>
        <v>-</v>
      </c>
      <c r="K861" s="8"/>
      <c r="L861" s="17">
        <f t="shared" si="274"/>
        <v>0</v>
      </c>
      <c r="M861" s="17">
        <f t="shared" si="275"/>
        <v>0</v>
      </c>
      <c r="N861" s="12">
        <f t="shared" si="276"/>
        <v>0</v>
      </c>
      <c r="O861" s="5"/>
      <c r="P861" s="27" t="b">
        <f>IF($G861&lt;&gt;0,SUMIF(куб!$G:$G,$G861,куб!J:J),IF($E861&lt;&gt;0,SUMIF(куб!$E:$E,$E861,куб!J:J),IF($D861&lt;&gt;0,SUMIF(куб!$D:$D,$D861,куб!J:J),IF($C861&lt;&gt;0,SUMIF(куб!$C:$C,$C861,куб!J:J),IF($B861&lt;&gt;0,SUMIF(куб!$B:$B,$B861,куб!J:J))))))</f>
        <v>0</v>
      </c>
      <c r="Q861" s="27" t="b">
        <f>IF($G861&lt;&gt;0,SUMIF(куб!$G:$G,$G861,куб!K:K),IF($E861&lt;&gt;0,SUMIF(куб!$E:$E,$E861,куб!K:K),IF($D861&lt;&gt;0,SUMIF(куб!$D:$D,$D861,куб!K:K),IF($C861&lt;&gt;0,SUMIF(куб!$C:$C,$C861,куб!K:K),IF($B861&lt;&gt;0,SUMIF(куб!$B:$B,$B861,куб!K:K))))))</f>
        <v>0</v>
      </c>
      <c r="R861" s="13" t="str">
        <f t="shared" si="277"/>
        <v>-</v>
      </c>
      <c r="S861" s="5"/>
      <c r="T861" s="27" t="b">
        <f>IF($G861&lt;&gt;0,SUMIF(куб!$G:$G,$G861,куб!L:L),IF($E861&lt;&gt;0,SUMIF(куб!$E:$E,$E861,куб!L:L),IF($D861&lt;&gt;0,SUMIF(куб!$D:$D,$D861,куб!L:L),IF($C861&lt;&gt;0,SUMIF(куб!$C:$C,$C861,куб!L:L),IF($B861&lt;&gt;0,SUMIF(куб!$B:$B,$B861,куб!L:L))))))</f>
        <v>0</v>
      </c>
      <c r="U861" s="27" t="b">
        <f>IF($G861&lt;&gt;0,SUMIF(куб!$G:$G,$G861,куб!M:M),IF($E861&lt;&gt;0,SUMIF(куб!$E:$E,$E861,куб!M:M),IF($D861&lt;&gt;0,SUMIF(куб!$D:$D,$D861,куб!M:M),IF($C861&lt;&gt;0,SUMIF(куб!$C:$C,$C861,куб!M:M),IF($B861&lt;&gt;0,SUMIF(куб!$B:$B,$B861,куб!M:M))))))</f>
        <v>0</v>
      </c>
      <c r="V861" s="13" t="str">
        <f t="shared" si="278"/>
        <v>-</v>
      </c>
      <c r="W861" s="5"/>
      <c r="X861" s="27" t="b">
        <f>IF($G861&lt;&gt;0,SUMIF(куб!$G:$G,$G861,куб!N:N),IF($E861&lt;&gt;0,SUMIF(куб!$E:$E,$E861,куб!N:N),IF($D861&lt;&gt;0,SUMIF(куб!$D:$D,$D861,куб!N:N),IF($C861&lt;&gt;0,SUMIF(куб!$C:$C,$C861,куб!N:N),IF($B861&lt;&gt;0,SUMIF(куб!$B:$B,$B861,куб!N:N))))))</f>
        <v>0</v>
      </c>
      <c r="Y861" s="27" t="b">
        <f>IF($G861&lt;&gt;0,SUMIF(куб!$G:$G,$G861,куб!O:O),IF($E861&lt;&gt;0,SUMIF(куб!$E:$E,$E861,куб!O:O),IF($D861&lt;&gt;0,SUMIF(куб!$D:$D,$D861,куб!O:O),IF($C861&lt;&gt;0,SUMIF(куб!$C:$C,$C861,куб!O:O),IF($B861&lt;&gt;0,SUMIF(куб!$B:$B,$B861,куб!O:O))))))</f>
        <v>0</v>
      </c>
      <c r="Z861" s="13" t="str">
        <f t="shared" si="279"/>
        <v>-</v>
      </c>
      <c r="AA861" s="5"/>
      <c r="AB861" s="33" t="str">
        <f t="shared" si="280"/>
        <v/>
      </c>
      <c r="AC861" s="33" t="str">
        <f t="shared" si="281"/>
        <v/>
      </c>
      <c r="AD861" s="15" t="str">
        <f t="shared" si="282"/>
        <v xml:space="preserve"> </v>
      </c>
      <c r="AE861" s="5"/>
      <c r="AF861" s="27" t="b">
        <f>IF($G861&lt;&gt;0,SUMIF(куб!$G:$G,$G861,куб!R:R),IF($E861&lt;&gt;0,SUMIF(куб!$E:$E,$E861,куб!R:R),IF($D861&lt;&gt;0,SUMIF(куб!$D:$D,$D861,куб!R:R),IF($C861&lt;&gt;0,SUMIF(куб!$C:$C,$C861,куб!R:R),IF($B861&lt;&gt;0,SUMIF(куб!$B:$B,$B861,куб!R:R))))))</f>
        <v>0</v>
      </c>
      <c r="AG861" s="27" t="b">
        <f>IF($G861&lt;&gt;0,SUMIF(куб!$G:$G,$G861,куб!S:S),IF($E861&lt;&gt;0,SUMIF(куб!$E:$E,$E861,куб!S:S),IF($D861&lt;&gt;0,SUMIF(куб!$D:$D,$D861,куб!S:S),IF($C861&lt;&gt;0,SUMIF(куб!$C:$C,$C861,куб!S:S),IF($B861&lt;&gt;0,SUMIF(куб!$B:$B,$B861,куб!S:S))))))</f>
        <v>0</v>
      </c>
      <c r="AH861" s="16" t="str">
        <f t="shared" si="283"/>
        <v>-</v>
      </c>
      <c r="AI861" s="8"/>
      <c r="AJ861" s="27" t="b">
        <f>IF($G861&lt;&gt;0,SUMIF(куб!$G:$G,$G861,куб!T:T),IF($E861&lt;&gt;0,SUMIF(куб!$E:$E,$E861,куб!T:T),IF($D861&lt;&gt;0,SUMIF(куб!$D:$D,$D861,куб!T:T),IF($C861&lt;&gt;0,SUMIF(куб!$C:$C,$C861,куб!T:T),IF($B861&lt;&gt;0,SUMIF(куб!$B:$B,$B861,куб!T:T))))))</f>
        <v>0</v>
      </c>
      <c r="AK861" s="27" t="b">
        <f>IF($G861&lt;&gt;0,SUMIF(куб!$G:$G,$G861,куб!U:U),IF($E861&lt;&gt;0,SUMIF(куб!$E:$E,$E861,куб!U:U),IF($D861&lt;&gt;0,SUMIF(куб!$D:$D,$D861,куб!U:U),IF($C861&lt;&gt;0,SUMIF(куб!$C:$C,$C861,куб!U:U),IF($B861&lt;&gt;0,SUMIF(куб!$B:$B,$B861,куб!U:U))))))</f>
        <v>0</v>
      </c>
      <c r="AL861" s="16" t="str">
        <f t="shared" si="284"/>
        <v>-</v>
      </c>
      <c r="AM861" s="8"/>
      <c r="AN861" s="17" t="str">
        <f t="shared" si="285"/>
        <v xml:space="preserve"> </v>
      </c>
      <c r="AO861" s="17" t="str">
        <f t="shared" si="286"/>
        <v xml:space="preserve"> </v>
      </c>
      <c r="AP861" s="16" t="str">
        <f t="shared" si="287"/>
        <v>-</v>
      </c>
      <c r="AQ861" s="8"/>
      <c r="AR861" s="17" t="str">
        <f t="shared" si="288"/>
        <v>-</v>
      </c>
      <c r="AS861" s="17" t="str">
        <f t="shared" si="289"/>
        <v>-</v>
      </c>
      <c r="AT861" s="13" t="str">
        <f t="shared" si="290"/>
        <v>-</v>
      </c>
      <c r="AU861" s="8"/>
    </row>
    <row r="862" spans="1:47" x14ac:dyDescent="0.25">
      <c r="A862" s="31"/>
      <c r="B862" s="31"/>
      <c r="C862"/>
      <c r="D862" s="31"/>
      <c r="E862"/>
      <c r="F862" s="31"/>
      <c r="G862"/>
      <c r="H862" s="27">
        <f>IF($G862&lt;&gt;0,SUMIF(куб!$G:$G,$G862,куб!H:H),IF($E862&lt;&gt;0,SUMIF(куб!$E:$E,$E862,куб!H:H),IF($D862&lt;&gt;0,SUMIF(куб!$D:$D,$D862,куб!H:H),IF($C862&lt;&gt;0,SUMIF(куб!$C:$C,$C862,куб!H:H),IF($B862&lt;&gt;0,SUMIF(куб!$B:$B,$B862,куб!H:H),IF($G862&lt;&gt;0,SUMIF(куб!$A:$A,$G862,куб!H:H),SUMIF(куб!$A:$A,$G862,куб!H:H)))))))</f>
        <v>0</v>
      </c>
      <c r="I862" s="27">
        <f>IF($G862&lt;&gt;0,SUMIF(куб!$G:$G,$G862,куб!I:I),IF($E862&lt;&gt;0,SUMIF(куб!$E:$E,$E862,куб!I:I),IF($D862&lt;&gt;0,SUMIF(куб!$D:$D,$D862,куб!I:I),IF($C862&lt;&gt;0,SUMIF(куб!$C:$C,$C862,куб!I:I),IF($B862&lt;&gt;0,SUMIF(куб!$B:$B,$B862,куб!I:I),IF($G862&lt;&gt;0,SUMIF(куб!$A:$A,$G862,куб!I:I),SUMIF(куб!$A:$A,$G862,куб!I:I)))))))</f>
        <v>0</v>
      </c>
      <c r="J862" s="19" t="str">
        <f t="shared" si="273"/>
        <v>-</v>
      </c>
      <c r="K862" s="8"/>
      <c r="L862" s="17">
        <f t="shared" si="274"/>
        <v>0</v>
      </c>
      <c r="M862" s="17">
        <f t="shared" si="275"/>
        <v>0</v>
      </c>
      <c r="N862" s="12">
        <f t="shared" si="276"/>
        <v>0</v>
      </c>
      <c r="O862" s="5"/>
      <c r="P862" s="27" t="b">
        <f>IF($G862&lt;&gt;0,SUMIF(куб!$G:$G,$G862,куб!J:J),IF($E862&lt;&gt;0,SUMIF(куб!$E:$E,$E862,куб!J:J),IF($D862&lt;&gt;0,SUMIF(куб!$D:$D,$D862,куб!J:J),IF($C862&lt;&gt;0,SUMIF(куб!$C:$C,$C862,куб!J:J),IF($B862&lt;&gt;0,SUMIF(куб!$B:$B,$B862,куб!J:J))))))</f>
        <v>0</v>
      </c>
      <c r="Q862" s="27" t="b">
        <f>IF($G862&lt;&gt;0,SUMIF(куб!$G:$G,$G862,куб!K:K),IF($E862&lt;&gt;0,SUMIF(куб!$E:$E,$E862,куб!K:K),IF($D862&lt;&gt;0,SUMIF(куб!$D:$D,$D862,куб!K:K),IF($C862&lt;&gt;0,SUMIF(куб!$C:$C,$C862,куб!K:K),IF($B862&lt;&gt;0,SUMIF(куб!$B:$B,$B862,куб!K:K))))))</f>
        <v>0</v>
      </c>
      <c r="R862" s="13" t="str">
        <f t="shared" si="277"/>
        <v>-</v>
      </c>
      <c r="S862" s="5"/>
      <c r="T862" s="27" t="b">
        <f>IF($G862&lt;&gt;0,SUMIF(куб!$G:$G,$G862,куб!L:L),IF($E862&lt;&gt;0,SUMIF(куб!$E:$E,$E862,куб!L:L),IF($D862&lt;&gt;0,SUMIF(куб!$D:$D,$D862,куб!L:L),IF($C862&lt;&gt;0,SUMIF(куб!$C:$C,$C862,куб!L:L),IF($B862&lt;&gt;0,SUMIF(куб!$B:$B,$B862,куб!L:L))))))</f>
        <v>0</v>
      </c>
      <c r="U862" s="27" t="b">
        <f>IF($G862&lt;&gt;0,SUMIF(куб!$G:$G,$G862,куб!M:M),IF($E862&lt;&gt;0,SUMIF(куб!$E:$E,$E862,куб!M:M),IF($D862&lt;&gt;0,SUMIF(куб!$D:$D,$D862,куб!M:M),IF($C862&lt;&gt;0,SUMIF(куб!$C:$C,$C862,куб!M:M),IF($B862&lt;&gt;0,SUMIF(куб!$B:$B,$B862,куб!M:M))))))</f>
        <v>0</v>
      </c>
      <c r="V862" s="13" t="str">
        <f t="shared" si="278"/>
        <v>-</v>
      </c>
      <c r="W862" s="5"/>
      <c r="X862" s="27" t="b">
        <f>IF($G862&lt;&gt;0,SUMIF(куб!$G:$G,$G862,куб!N:N),IF($E862&lt;&gt;0,SUMIF(куб!$E:$E,$E862,куб!N:N),IF($D862&lt;&gt;0,SUMIF(куб!$D:$D,$D862,куб!N:N),IF($C862&lt;&gt;0,SUMIF(куб!$C:$C,$C862,куб!N:N),IF($B862&lt;&gt;0,SUMIF(куб!$B:$B,$B862,куб!N:N))))))</f>
        <v>0</v>
      </c>
      <c r="Y862" s="27" t="b">
        <f>IF($G862&lt;&gt;0,SUMIF(куб!$G:$G,$G862,куб!O:O),IF($E862&lt;&gt;0,SUMIF(куб!$E:$E,$E862,куб!O:O),IF($D862&lt;&gt;0,SUMIF(куб!$D:$D,$D862,куб!O:O),IF($C862&lt;&gt;0,SUMIF(куб!$C:$C,$C862,куб!O:O),IF($B862&lt;&gt;0,SUMIF(куб!$B:$B,$B862,куб!O:O))))))</f>
        <v>0</v>
      </c>
      <c r="Z862" s="13" t="str">
        <f t="shared" si="279"/>
        <v>-</v>
      </c>
      <c r="AA862" s="5"/>
      <c r="AB862" s="33" t="str">
        <f t="shared" si="280"/>
        <v/>
      </c>
      <c r="AC862" s="33" t="str">
        <f t="shared" si="281"/>
        <v/>
      </c>
      <c r="AD862" s="15" t="str">
        <f t="shared" si="282"/>
        <v xml:space="preserve"> </v>
      </c>
      <c r="AE862" s="5"/>
      <c r="AF862" s="27" t="b">
        <f>IF($G862&lt;&gt;0,SUMIF(куб!$G:$G,$G862,куб!R:R),IF($E862&lt;&gt;0,SUMIF(куб!$E:$E,$E862,куб!R:R),IF($D862&lt;&gt;0,SUMIF(куб!$D:$D,$D862,куб!R:R),IF($C862&lt;&gt;0,SUMIF(куб!$C:$C,$C862,куб!R:R),IF($B862&lt;&gt;0,SUMIF(куб!$B:$B,$B862,куб!R:R))))))</f>
        <v>0</v>
      </c>
      <c r="AG862" s="27" t="b">
        <f>IF($G862&lt;&gt;0,SUMIF(куб!$G:$G,$G862,куб!S:S),IF($E862&lt;&gt;0,SUMIF(куб!$E:$E,$E862,куб!S:S),IF($D862&lt;&gt;0,SUMIF(куб!$D:$D,$D862,куб!S:S),IF($C862&lt;&gt;0,SUMIF(куб!$C:$C,$C862,куб!S:S),IF($B862&lt;&gt;0,SUMIF(куб!$B:$B,$B862,куб!S:S))))))</f>
        <v>0</v>
      </c>
      <c r="AH862" s="16" t="str">
        <f t="shared" si="283"/>
        <v>-</v>
      </c>
      <c r="AI862" s="8"/>
      <c r="AJ862" s="27" t="b">
        <f>IF($G862&lt;&gt;0,SUMIF(куб!$G:$G,$G862,куб!T:T),IF($E862&lt;&gt;0,SUMIF(куб!$E:$E,$E862,куб!T:T),IF($D862&lt;&gt;0,SUMIF(куб!$D:$D,$D862,куб!T:T),IF($C862&lt;&gt;0,SUMIF(куб!$C:$C,$C862,куб!T:T),IF($B862&lt;&gt;0,SUMIF(куб!$B:$B,$B862,куб!T:T))))))</f>
        <v>0</v>
      </c>
      <c r="AK862" s="27" t="b">
        <f>IF($G862&lt;&gt;0,SUMIF(куб!$G:$G,$G862,куб!U:U),IF($E862&lt;&gt;0,SUMIF(куб!$E:$E,$E862,куб!U:U),IF($D862&lt;&gt;0,SUMIF(куб!$D:$D,$D862,куб!U:U),IF($C862&lt;&gt;0,SUMIF(куб!$C:$C,$C862,куб!U:U),IF($B862&lt;&gt;0,SUMIF(куб!$B:$B,$B862,куб!U:U))))))</f>
        <v>0</v>
      </c>
      <c r="AL862" s="16" t="str">
        <f t="shared" si="284"/>
        <v>-</v>
      </c>
      <c r="AM862" s="8"/>
      <c r="AN862" s="17" t="str">
        <f t="shared" si="285"/>
        <v xml:space="preserve"> </v>
      </c>
      <c r="AO862" s="17" t="str">
        <f t="shared" si="286"/>
        <v xml:space="preserve"> </v>
      </c>
      <c r="AP862" s="16" t="str">
        <f t="shared" si="287"/>
        <v>-</v>
      </c>
      <c r="AQ862" s="8"/>
      <c r="AR862" s="17" t="str">
        <f t="shared" si="288"/>
        <v>-</v>
      </c>
      <c r="AS862" s="17" t="str">
        <f t="shared" si="289"/>
        <v>-</v>
      </c>
      <c r="AT862" s="13" t="str">
        <f t="shared" si="290"/>
        <v>-</v>
      </c>
      <c r="AU862" s="8"/>
    </row>
    <row r="863" spans="1:47" x14ac:dyDescent="0.25">
      <c r="A863" s="31"/>
      <c r="B863" s="31"/>
      <c r="C863"/>
      <c r="D863" s="31"/>
      <c r="E863"/>
      <c r="F863" s="31"/>
      <c r="G863"/>
      <c r="H863" s="27">
        <f>IF($G863&lt;&gt;0,SUMIF(куб!$G:$G,$G863,куб!H:H),IF($E863&lt;&gt;0,SUMIF(куб!$E:$E,$E863,куб!H:H),IF($D863&lt;&gt;0,SUMIF(куб!$D:$D,$D863,куб!H:H),IF($C863&lt;&gt;0,SUMIF(куб!$C:$C,$C863,куб!H:H),IF($B863&lt;&gt;0,SUMIF(куб!$B:$B,$B863,куб!H:H),IF($G863&lt;&gt;0,SUMIF(куб!$A:$A,$G863,куб!H:H),SUMIF(куб!$A:$A,$G863,куб!H:H)))))))</f>
        <v>0</v>
      </c>
      <c r="I863" s="27">
        <f>IF($G863&lt;&gt;0,SUMIF(куб!$G:$G,$G863,куб!I:I),IF($E863&lt;&gt;0,SUMIF(куб!$E:$E,$E863,куб!I:I),IF($D863&lt;&gt;0,SUMIF(куб!$D:$D,$D863,куб!I:I),IF($C863&lt;&gt;0,SUMIF(куб!$C:$C,$C863,куб!I:I),IF($B863&lt;&gt;0,SUMIF(куб!$B:$B,$B863,куб!I:I),IF($G863&lt;&gt;0,SUMIF(куб!$A:$A,$G863,куб!I:I),SUMIF(куб!$A:$A,$G863,куб!I:I)))))))</f>
        <v>0</v>
      </c>
      <c r="J863" s="19" t="str">
        <f t="shared" si="273"/>
        <v>-</v>
      </c>
      <c r="K863" s="8"/>
      <c r="L863" s="17">
        <f t="shared" si="274"/>
        <v>0</v>
      </c>
      <c r="M863" s="17">
        <f t="shared" si="275"/>
        <v>0</v>
      </c>
      <c r="N863" s="12">
        <f t="shared" si="276"/>
        <v>0</v>
      </c>
      <c r="O863" s="5"/>
      <c r="P863" s="27" t="b">
        <f>IF($G863&lt;&gt;0,SUMIF(куб!$G:$G,$G863,куб!J:J),IF($E863&lt;&gt;0,SUMIF(куб!$E:$E,$E863,куб!J:J),IF($D863&lt;&gt;0,SUMIF(куб!$D:$D,$D863,куб!J:J),IF($C863&lt;&gt;0,SUMIF(куб!$C:$C,$C863,куб!J:J),IF($B863&lt;&gt;0,SUMIF(куб!$B:$B,$B863,куб!J:J))))))</f>
        <v>0</v>
      </c>
      <c r="Q863" s="27" t="b">
        <f>IF($G863&lt;&gt;0,SUMIF(куб!$G:$G,$G863,куб!K:K),IF($E863&lt;&gt;0,SUMIF(куб!$E:$E,$E863,куб!K:K),IF($D863&lt;&gt;0,SUMIF(куб!$D:$D,$D863,куб!K:K),IF($C863&lt;&gt;0,SUMIF(куб!$C:$C,$C863,куб!K:K),IF($B863&lt;&gt;0,SUMIF(куб!$B:$B,$B863,куб!K:K))))))</f>
        <v>0</v>
      </c>
      <c r="R863" s="13" t="str">
        <f t="shared" si="277"/>
        <v>-</v>
      </c>
      <c r="S863" s="5"/>
      <c r="T863" s="27" t="b">
        <f>IF($G863&lt;&gt;0,SUMIF(куб!$G:$G,$G863,куб!L:L),IF($E863&lt;&gt;0,SUMIF(куб!$E:$E,$E863,куб!L:L),IF($D863&lt;&gt;0,SUMIF(куб!$D:$D,$D863,куб!L:L),IF($C863&lt;&gt;0,SUMIF(куб!$C:$C,$C863,куб!L:L),IF($B863&lt;&gt;0,SUMIF(куб!$B:$B,$B863,куб!L:L))))))</f>
        <v>0</v>
      </c>
      <c r="U863" s="27" t="b">
        <f>IF($G863&lt;&gt;0,SUMIF(куб!$G:$G,$G863,куб!M:M),IF($E863&lt;&gt;0,SUMIF(куб!$E:$E,$E863,куб!M:M),IF($D863&lt;&gt;0,SUMIF(куб!$D:$D,$D863,куб!M:M),IF($C863&lt;&gt;0,SUMIF(куб!$C:$C,$C863,куб!M:M),IF($B863&lt;&gt;0,SUMIF(куб!$B:$B,$B863,куб!M:M))))))</f>
        <v>0</v>
      </c>
      <c r="V863" s="13" t="str">
        <f t="shared" si="278"/>
        <v>-</v>
      </c>
      <c r="W863" s="5"/>
      <c r="X863" s="27" t="b">
        <f>IF($G863&lt;&gt;0,SUMIF(куб!$G:$G,$G863,куб!N:N),IF($E863&lt;&gt;0,SUMIF(куб!$E:$E,$E863,куб!N:N),IF($D863&lt;&gt;0,SUMIF(куб!$D:$D,$D863,куб!N:N),IF($C863&lt;&gt;0,SUMIF(куб!$C:$C,$C863,куб!N:N),IF($B863&lt;&gt;0,SUMIF(куб!$B:$B,$B863,куб!N:N))))))</f>
        <v>0</v>
      </c>
      <c r="Y863" s="27" t="b">
        <f>IF($G863&lt;&gt;0,SUMIF(куб!$G:$G,$G863,куб!O:O),IF($E863&lt;&gt;0,SUMIF(куб!$E:$E,$E863,куб!O:O),IF($D863&lt;&gt;0,SUMIF(куб!$D:$D,$D863,куб!O:O),IF($C863&lt;&gt;0,SUMIF(куб!$C:$C,$C863,куб!O:O),IF($B863&lt;&gt;0,SUMIF(куб!$B:$B,$B863,куб!O:O))))))</f>
        <v>0</v>
      </c>
      <c r="Z863" s="13" t="str">
        <f t="shared" si="279"/>
        <v>-</v>
      </c>
      <c r="AA863" s="5"/>
      <c r="AB863" s="33" t="str">
        <f t="shared" si="280"/>
        <v/>
      </c>
      <c r="AC863" s="33" t="str">
        <f t="shared" si="281"/>
        <v/>
      </c>
      <c r="AD863" s="15" t="str">
        <f t="shared" si="282"/>
        <v xml:space="preserve"> </v>
      </c>
      <c r="AE863" s="5"/>
      <c r="AF863" s="27" t="b">
        <f>IF($G863&lt;&gt;0,SUMIF(куб!$G:$G,$G863,куб!R:R),IF($E863&lt;&gt;0,SUMIF(куб!$E:$E,$E863,куб!R:R),IF($D863&lt;&gt;0,SUMIF(куб!$D:$D,$D863,куб!R:R),IF($C863&lt;&gt;0,SUMIF(куб!$C:$C,$C863,куб!R:R),IF($B863&lt;&gt;0,SUMIF(куб!$B:$B,$B863,куб!R:R))))))</f>
        <v>0</v>
      </c>
      <c r="AG863" s="27" t="b">
        <f>IF($G863&lt;&gt;0,SUMIF(куб!$G:$G,$G863,куб!S:S),IF($E863&lt;&gt;0,SUMIF(куб!$E:$E,$E863,куб!S:S),IF($D863&lt;&gt;0,SUMIF(куб!$D:$D,$D863,куб!S:S),IF($C863&lt;&gt;0,SUMIF(куб!$C:$C,$C863,куб!S:S),IF($B863&lt;&gt;0,SUMIF(куб!$B:$B,$B863,куб!S:S))))))</f>
        <v>0</v>
      </c>
      <c r="AH863" s="16" t="str">
        <f t="shared" si="283"/>
        <v>-</v>
      </c>
      <c r="AI863" s="8"/>
      <c r="AJ863" s="27" t="b">
        <f>IF($G863&lt;&gt;0,SUMIF(куб!$G:$G,$G863,куб!T:T),IF($E863&lt;&gt;0,SUMIF(куб!$E:$E,$E863,куб!T:T),IF($D863&lt;&gt;0,SUMIF(куб!$D:$D,$D863,куб!T:T),IF($C863&lt;&gt;0,SUMIF(куб!$C:$C,$C863,куб!T:T),IF($B863&lt;&gt;0,SUMIF(куб!$B:$B,$B863,куб!T:T))))))</f>
        <v>0</v>
      </c>
      <c r="AK863" s="27" t="b">
        <f>IF($G863&lt;&gt;0,SUMIF(куб!$G:$G,$G863,куб!U:U),IF($E863&lt;&gt;0,SUMIF(куб!$E:$E,$E863,куб!U:U),IF($D863&lt;&gt;0,SUMIF(куб!$D:$D,$D863,куб!U:U),IF($C863&lt;&gt;0,SUMIF(куб!$C:$C,$C863,куб!U:U),IF($B863&lt;&gt;0,SUMIF(куб!$B:$B,$B863,куб!U:U))))))</f>
        <v>0</v>
      </c>
      <c r="AL863" s="16" t="str">
        <f t="shared" si="284"/>
        <v>-</v>
      </c>
      <c r="AM863" s="8"/>
      <c r="AN863" s="17" t="str">
        <f t="shared" si="285"/>
        <v xml:space="preserve"> </v>
      </c>
      <c r="AO863" s="17" t="str">
        <f t="shared" si="286"/>
        <v xml:space="preserve"> </v>
      </c>
      <c r="AP863" s="16" t="str">
        <f t="shared" si="287"/>
        <v>-</v>
      </c>
      <c r="AQ863" s="8"/>
      <c r="AR863" s="17" t="str">
        <f t="shared" si="288"/>
        <v>-</v>
      </c>
      <c r="AS863" s="17" t="str">
        <f t="shared" si="289"/>
        <v>-</v>
      </c>
      <c r="AT863" s="13" t="str">
        <f t="shared" si="290"/>
        <v>-</v>
      </c>
      <c r="AU863" s="8"/>
    </row>
    <row r="864" spans="1:47" x14ac:dyDescent="0.25">
      <c r="A864" s="31"/>
      <c r="B864" s="31"/>
      <c r="C864"/>
      <c r="D864" s="31"/>
      <c r="E864"/>
      <c r="F864" s="31"/>
      <c r="G864"/>
      <c r="H864" s="27">
        <f>IF($G864&lt;&gt;0,SUMIF(куб!$G:$G,$G864,куб!H:H),IF($E864&lt;&gt;0,SUMIF(куб!$E:$E,$E864,куб!H:H),IF($D864&lt;&gt;0,SUMIF(куб!$D:$D,$D864,куб!H:H),IF($C864&lt;&gt;0,SUMIF(куб!$C:$C,$C864,куб!H:H),IF($B864&lt;&gt;0,SUMIF(куб!$B:$B,$B864,куб!H:H),IF($G864&lt;&gt;0,SUMIF(куб!$A:$A,$G864,куб!H:H),SUMIF(куб!$A:$A,$G864,куб!H:H)))))))</f>
        <v>0</v>
      </c>
      <c r="I864" s="27">
        <f>IF($G864&lt;&gt;0,SUMIF(куб!$G:$G,$G864,куб!I:I),IF($E864&lt;&gt;0,SUMIF(куб!$E:$E,$E864,куб!I:I),IF($D864&lt;&gt;0,SUMIF(куб!$D:$D,$D864,куб!I:I),IF($C864&lt;&gt;0,SUMIF(куб!$C:$C,$C864,куб!I:I),IF($B864&lt;&gt;0,SUMIF(куб!$B:$B,$B864,куб!I:I),IF($G864&lt;&gt;0,SUMIF(куб!$A:$A,$G864,куб!I:I),SUMIF(куб!$A:$A,$G864,куб!I:I)))))))</f>
        <v>0</v>
      </c>
      <c r="J864" s="19" t="str">
        <f t="shared" si="273"/>
        <v>-</v>
      </c>
      <c r="K864" s="8"/>
      <c r="L864" s="17">
        <f t="shared" si="274"/>
        <v>0</v>
      </c>
      <c r="M864" s="17">
        <f t="shared" si="275"/>
        <v>0</v>
      </c>
      <c r="N864" s="12">
        <f t="shared" si="276"/>
        <v>0</v>
      </c>
      <c r="O864" s="5"/>
      <c r="P864" s="27" t="b">
        <f>IF($G864&lt;&gt;0,SUMIF(куб!$G:$G,$G864,куб!J:J),IF($E864&lt;&gt;0,SUMIF(куб!$E:$E,$E864,куб!J:J),IF($D864&lt;&gt;0,SUMIF(куб!$D:$D,$D864,куб!J:J),IF($C864&lt;&gt;0,SUMIF(куб!$C:$C,$C864,куб!J:J),IF($B864&lt;&gt;0,SUMIF(куб!$B:$B,$B864,куб!J:J))))))</f>
        <v>0</v>
      </c>
      <c r="Q864" s="27" t="b">
        <f>IF($G864&lt;&gt;0,SUMIF(куб!$G:$G,$G864,куб!K:K),IF($E864&lt;&gt;0,SUMIF(куб!$E:$E,$E864,куб!K:K),IF($D864&lt;&gt;0,SUMIF(куб!$D:$D,$D864,куб!K:K),IF($C864&lt;&gt;0,SUMIF(куб!$C:$C,$C864,куб!K:K),IF($B864&lt;&gt;0,SUMIF(куб!$B:$B,$B864,куб!K:K))))))</f>
        <v>0</v>
      </c>
      <c r="R864" s="13" t="str">
        <f t="shared" si="277"/>
        <v>-</v>
      </c>
      <c r="S864" s="5"/>
      <c r="T864" s="27" t="b">
        <f>IF($G864&lt;&gt;0,SUMIF(куб!$G:$G,$G864,куб!L:L),IF($E864&lt;&gt;0,SUMIF(куб!$E:$E,$E864,куб!L:L),IF($D864&lt;&gt;0,SUMIF(куб!$D:$D,$D864,куб!L:L),IF($C864&lt;&gt;0,SUMIF(куб!$C:$C,$C864,куб!L:L),IF($B864&lt;&gt;0,SUMIF(куб!$B:$B,$B864,куб!L:L))))))</f>
        <v>0</v>
      </c>
      <c r="U864" s="27" t="b">
        <f>IF($G864&lt;&gt;0,SUMIF(куб!$G:$G,$G864,куб!M:M),IF($E864&lt;&gt;0,SUMIF(куб!$E:$E,$E864,куб!M:M),IF($D864&lt;&gt;0,SUMIF(куб!$D:$D,$D864,куб!M:M),IF($C864&lt;&gt;0,SUMIF(куб!$C:$C,$C864,куб!M:M),IF($B864&lt;&gt;0,SUMIF(куб!$B:$B,$B864,куб!M:M))))))</f>
        <v>0</v>
      </c>
      <c r="V864" s="13" t="str">
        <f t="shared" si="278"/>
        <v>-</v>
      </c>
      <c r="W864" s="5"/>
      <c r="X864" s="27" t="b">
        <f>IF($G864&lt;&gt;0,SUMIF(куб!$G:$G,$G864,куб!N:N),IF($E864&lt;&gt;0,SUMIF(куб!$E:$E,$E864,куб!N:N),IF($D864&lt;&gt;0,SUMIF(куб!$D:$D,$D864,куб!N:N),IF($C864&lt;&gt;0,SUMIF(куб!$C:$C,$C864,куб!N:N),IF($B864&lt;&gt;0,SUMIF(куб!$B:$B,$B864,куб!N:N))))))</f>
        <v>0</v>
      </c>
      <c r="Y864" s="27" t="b">
        <f>IF($G864&lt;&gt;0,SUMIF(куб!$G:$G,$G864,куб!O:O),IF($E864&lt;&gt;0,SUMIF(куб!$E:$E,$E864,куб!O:O),IF($D864&lt;&gt;0,SUMIF(куб!$D:$D,$D864,куб!O:O),IF($C864&lt;&gt;0,SUMIF(куб!$C:$C,$C864,куб!O:O),IF($B864&lt;&gt;0,SUMIF(куб!$B:$B,$B864,куб!O:O))))))</f>
        <v>0</v>
      </c>
      <c r="Z864" s="13" t="str">
        <f t="shared" si="279"/>
        <v>-</v>
      </c>
      <c r="AA864" s="5"/>
      <c r="AB864" s="33" t="str">
        <f t="shared" si="280"/>
        <v/>
      </c>
      <c r="AC864" s="33" t="str">
        <f t="shared" si="281"/>
        <v/>
      </c>
      <c r="AD864" s="15" t="str">
        <f t="shared" si="282"/>
        <v xml:space="preserve"> </v>
      </c>
      <c r="AE864" s="5"/>
      <c r="AF864" s="27" t="b">
        <f>IF($G864&lt;&gt;0,SUMIF(куб!$G:$G,$G864,куб!R:R),IF($E864&lt;&gt;0,SUMIF(куб!$E:$E,$E864,куб!R:R),IF($D864&lt;&gt;0,SUMIF(куб!$D:$D,$D864,куб!R:R),IF($C864&lt;&gt;0,SUMIF(куб!$C:$C,$C864,куб!R:R),IF($B864&lt;&gt;0,SUMIF(куб!$B:$B,$B864,куб!R:R))))))</f>
        <v>0</v>
      </c>
      <c r="AG864" s="27" t="b">
        <f>IF($G864&lt;&gt;0,SUMIF(куб!$G:$G,$G864,куб!S:S),IF($E864&lt;&gt;0,SUMIF(куб!$E:$E,$E864,куб!S:S),IF($D864&lt;&gt;0,SUMIF(куб!$D:$D,$D864,куб!S:S),IF($C864&lt;&gt;0,SUMIF(куб!$C:$C,$C864,куб!S:S),IF($B864&lt;&gt;0,SUMIF(куб!$B:$B,$B864,куб!S:S))))))</f>
        <v>0</v>
      </c>
      <c r="AH864" s="16" t="str">
        <f t="shared" si="283"/>
        <v>-</v>
      </c>
      <c r="AI864" s="8"/>
      <c r="AJ864" s="27" t="b">
        <f>IF($G864&lt;&gt;0,SUMIF(куб!$G:$G,$G864,куб!T:T),IF($E864&lt;&gt;0,SUMIF(куб!$E:$E,$E864,куб!T:T),IF($D864&lt;&gt;0,SUMIF(куб!$D:$D,$D864,куб!T:T),IF($C864&lt;&gt;0,SUMIF(куб!$C:$C,$C864,куб!T:T),IF($B864&lt;&gt;0,SUMIF(куб!$B:$B,$B864,куб!T:T))))))</f>
        <v>0</v>
      </c>
      <c r="AK864" s="27" t="b">
        <f>IF($G864&lt;&gt;0,SUMIF(куб!$G:$G,$G864,куб!U:U),IF($E864&lt;&gt;0,SUMIF(куб!$E:$E,$E864,куб!U:U),IF($D864&lt;&gt;0,SUMIF(куб!$D:$D,$D864,куб!U:U),IF($C864&lt;&gt;0,SUMIF(куб!$C:$C,$C864,куб!U:U),IF($B864&lt;&gt;0,SUMIF(куб!$B:$B,$B864,куб!U:U))))))</f>
        <v>0</v>
      </c>
      <c r="AL864" s="16" t="str">
        <f t="shared" si="284"/>
        <v>-</v>
      </c>
      <c r="AM864" s="8"/>
      <c r="AN864" s="17" t="str">
        <f t="shared" si="285"/>
        <v xml:space="preserve"> </v>
      </c>
      <c r="AO864" s="17" t="str">
        <f t="shared" si="286"/>
        <v xml:space="preserve"> </v>
      </c>
      <c r="AP864" s="16" t="str">
        <f t="shared" si="287"/>
        <v>-</v>
      </c>
      <c r="AQ864" s="8"/>
      <c r="AR864" s="17" t="str">
        <f t="shared" si="288"/>
        <v>-</v>
      </c>
      <c r="AS864" s="17" t="str">
        <f t="shared" si="289"/>
        <v>-</v>
      </c>
      <c r="AT864" s="13" t="str">
        <f t="shared" si="290"/>
        <v>-</v>
      </c>
      <c r="AU864" s="8"/>
    </row>
    <row r="865" spans="1:47" x14ac:dyDescent="0.25">
      <c r="A865" s="31"/>
      <c r="B865" s="31"/>
      <c r="C865"/>
      <c r="D865" s="31"/>
      <c r="E865"/>
      <c r="F865" s="31"/>
      <c r="G865"/>
      <c r="H865" s="27">
        <f>IF($G865&lt;&gt;0,SUMIF(куб!$G:$G,$G865,куб!H:H),IF($E865&lt;&gt;0,SUMIF(куб!$E:$E,$E865,куб!H:H),IF($D865&lt;&gt;0,SUMIF(куб!$D:$D,$D865,куб!H:H),IF($C865&lt;&gt;0,SUMIF(куб!$C:$C,$C865,куб!H:H),IF($B865&lt;&gt;0,SUMIF(куб!$B:$B,$B865,куб!H:H),IF($G865&lt;&gt;0,SUMIF(куб!$A:$A,$G865,куб!H:H),SUMIF(куб!$A:$A,$G865,куб!H:H)))))))</f>
        <v>0</v>
      </c>
      <c r="I865" s="27">
        <f>IF($G865&lt;&gt;0,SUMIF(куб!$G:$G,$G865,куб!I:I),IF($E865&lt;&gt;0,SUMIF(куб!$E:$E,$E865,куб!I:I),IF($D865&lt;&gt;0,SUMIF(куб!$D:$D,$D865,куб!I:I),IF($C865&lt;&gt;0,SUMIF(куб!$C:$C,$C865,куб!I:I),IF($B865&lt;&gt;0,SUMIF(куб!$B:$B,$B865,куб!I:I),IF($G865&lt;&gt;0,SUMIF(куб!$A:$A,$G865,куб!I:I),SUMIF(куб!$A:$A,$G865,куб!I:I)))))))</f>
        <v>0</v>
      </c>
      <c r="J865" s="19" t="str">
        <f t="shared" si="273"/>
        <v>-</v>
      </c>
      <c r="K865" s="8"/>
      <c r="L865" s="17">
        <f t="shared" si="274"/>
        <v>0</v>
      </c>
      <c r="M865" s="17">
        <f t="shared" si="275"/>
        <v>0</v>
      </c>
      <c r="N865" s="12">
        <f t="shared" si="276"/>
        <v>0</v>
      </c>
      <c r="O865" s="5"/>
      <c r="P865" s="27" t="b">
        <f>IF($G865&lt;&gt;0,SUMIF(куб!$G:$G,$G865,куб!J:J),IF($E865&lt;&gt;0,SUMIF(куб!$E:$E,$E865,куб!J:J),IF($D865&lt;&gt;0,SUMIF(куб!$D:$D,$D865,куб!J:J),IF($C865&lt;&gt;0,SUMIF(куб!$C:$C,$C865,куб!J:J),IF($B865&lt;&gt;0,SUMIF(куб!$B:$B,$B865,куб!J:J))))))</f>
        <v>0</v>
      </c>
      <c r="Q865" s="27" t="b">
        <f>IF($G865&lt;&gt;0,SUMIF(куб!$G:$G,$G865,куб!K:K),IF($E865&lt;&gt;0,SUMIF(куб!$E:$E,$E865,куб!K:K),IF($D865&lt;&gt;0,SUMIF(куб!$D:$D,$D865,куб!K:K),IF($C865&lt;&gt;0,SUMIF(куб!$C:$C,$C865,куб!K:K),IF($B865&lt;&gt;0,SUMIF(куб!$B:$B,$B865,куб!K:K))))))</f>
        <v>0</v>
      </c>
      <c r="R865" s="13" t="str">
        <f t="shared" si="277"/>
        <v>-</v>
      </c>
      <c r="S865" s="5"/>
      <c r="T865" s="27" t="b">
        <f>IF($G865&lt;&gt;0,SUMIF(куб!$G:$G,$G865,куб!L:L),IF($E865&lt;&gt;0,SUMIF(куб!$E:$E,$E865,куб!L:L),IF($D865&lt;&gt;0,SUMIF(куб!$D:$D,$D865,куб!L:L),IF($C865&lt;&gt;0,SUMIF(куб!$C:$C,$C865,куб!L:L),IF($B865&lt;&gt;0,SUMIF(куб!$B:$B,$B865,куб!L:L))))))</f>
        <v>0</v>
      </c>
      <c r="U865" s="27" t="b">
        <f>IF($G865&lt;&gt;0,SUMIF(куб!$G:$G,$G865,куб!M:M),IF($E865&lt;&gt;0,SUMIF(куб!$E:$E,$E865,куб!M:M),IF($D865&lt;&gt;0,SUMIF(куб!$D:$D,$D865,куб!M:M),IF($C865&lt;&gt;0,SUMIF(куб!$C:$C,$C865,куб!M:M),IF($B865&lt;&gt;0,SUMIF(куб!$B:$B,$B865,куб!M:M))))))</f>
        <v>0</v>
      </c>
      <c r="V865" s="13" t="str">
        <f t="shared" si="278"/>
        <v>-</v>
      </c>
      <c r="W865" s="5"/>
      <c r="X865" s="27" t="b">
        <f>IF($G865&lt;&gt;0,SUMIF(куб!$G:$G,$G865,куб!N:N),IF($E865&lt;&gt;0,SUMIF(куб!$E:$E,$E865,куб!N:N),IF($D865&lt;&gt;0,SUMIF(куб!$D:$D,$D865,куб!N:N),IF($C865&lt;&gt;0,SUMIF(куб!$C:$C,$C865,куб!N:N),IF($B865&lt;&gt;0,SUMIF(куб!$B:$B,$B865,куб!N:N))))))</f>
        <v>0</v>
      </c>
      <c r="Y865" s="27" t="b">
        <f>IF($G865&lt;&gt;0,SUMIF(куб!$G:$G,$G865,куб!O:O),IF($E865&lt;&gt;0,SUMIF(куб!$E:$E,$E865,куб!O:O),IF($D865&lt;&gt;0,SUMIF(куб!$D:$D,$D865,куб!O:O),IF($C865&lt;&gt;0,SUMIF(куб!$C:$C,$C865,куб!O:O),IF($B865&lt;&gt;0,SUMIF(куб!$B:$B,$B865,куб!O:O))))))</f>
        <v>0</v>
      </c>
      <c r="Z865" s="13" t="str">
        <f t="shared" si="279"/>
        <v>-</v>
      </c>
      <c r="AA865" s="5"/>
      <c r="AB865" s="33" t="str">
        <f t="shared" si="280"/>
        <v/>
      </c>
      <c r="AC865" s="33" t="str">
        <f t="shared" si="281"/>
        <v/>
      </c>
      <c r="AD865" s="15" t="str">
        <f t="shared" si="282"/>
        <v xml:space="preserve"> </v>
      </c>
      <c r="AE865" s="5"/>
      <c r="AF865" s="27" t="b">
        <f>IF($G865&lt;&gt;0,SUMIF(куб!$G:$G,$G865,куб!R:R),IF($E865&lt;&gt;0,SUMIF(куб!$E:$E,$E865,куб!R:R),IF($D865&lt;&gt;0,SUMIF(куб!$D:$D,$D865,куб!R:R),IF($C865&lt;&gt;0,SUMIF(куб!$C:$C,$C865,куб!R:R),IF($B865&lt;&gt;0,SUMIF(куб!$B:$B,$B865,куб!R:R))))))</f>
        <v>0</v>
      </c>
      <c r="AG865" s="27" t="b">
        <f>IF($G865&lt;&gt;0,SUMIF(куб!$G:$G,$G865,куб!S:S),IF($E865&lt;&gt;0,SUMIF(куб!$E:$E,$E865,куб!S:S),IF($D865&lt;&gt;0,SUMIF(куб!$D:$D,$D865,куб!S:S),IF($C865&lt;&gt;0,SUMIF(куб!$C:$C,$C865,куб!S:S),IF($B865&lt;&gt;0,SUMIF(куб!$B:$B,$B865,куб!S:S))))))</f>
        <v>0</v>
      </c>
      <c r="AH865" s="16" t="str">
        <f t="shared" si="283"/>
        <v>-</v>
      </c>
      <c r="AI865" s="8"/>
      <c r="AJ865" s="27" t="b">
        <f>IF($G865&lt;&gt;0,SUMIF(куб!$G:$G,$G865,куб!T:T),IF($E865&lt;&gt;0,SUMIF(куб!$E:$E,$E865,куб!T:T),IF($D865&lt;&gt;0,SUMIF(куб!$D:$D,$D865,куб!T:T),IF($C865&lt;&gt;0,SUMIF(куб!$C:$C,$C865,куб!T:T),IF($B865&lt;&gt;0,SUMIF(куб!$B:$B,$B865,куб!T:T))))))</f>
        <v>0</v>
      </c>
      <c r="AK865" s="27" t="b">
        <f>IF($G865&lt;&gt;0,SUMIF(куб!$G:$G,$G865,куб!U:U),IF($E865&lt;&gt;0,SUMIF(куб!$E:$E,$E865,куб!U:U),IF($D865&lt;&gt;0,SUMIF(куб!$D:$D,$D865,куб!U:U),IF($C865&lt;&gt;0,SUMIF(куб!$C:$C,$C865,куб!U:U),IF($B865&lt;&gt;0,SUMIF(куб!$B:$B,$B865,куб!U:U))))))</f>
        <v>0</v>
      </c>
      <c r="AL865" s="16" t="str">
        <f t="shared" si="284"/>
        <v>-</v>
      </c>
      <c r="AM865" s="8"/>
      <c r="AN865" s="17" t="str">
        <f t="shared" si="285"/>
        <v xml:space="preserve"> </v>
      </c>
      <c r="AO865" s="17" t="str">
        <f t="shared" si="286"/>
        <v xml:space="preserve"> </v>
      </c>
      <c r="AP865" s="16" t="str">
        <f t="shared" si="287"/>
        <v>-</v>
      </c>
      <c r="AQ865" s="8"/>
      <c r="AR865" s="17" t="str">
        <f t="shared" si="288"/>
        <v>-</v>
      </c>
      <c r="AS865" s="17" t="str">
        <f t="shared" si="289"/>
        <v>-</v>
      </c>
      <c r="AT865" s="13" t="str">
        <f t="shared" si="290"/>
        <v>-</v>
      </c>
      <c r="AU865" s="8"/>
    </row>
    <row r="866" spans="1:47" x14ac:dyDescent="0.25">
      <c r="A866" s="31"/>
      <c r="B866" s="31"/>
      <c r="C866"/>
      <c r="D866" s="31"/>
      <c r="E866"/>
      <c r="F866" s="31"/>
      <c r="G866"/>
      <c r="H866" s="27">
        <f>IF($G866&lt;&gt;0,SUMIF(куб!$G:$G,$G866,куб!H:H),IF($E866&lt;&gt;0,SUMIF(куб!$E:$E,$E866,куб!H:H),IF($D866&lt;&gt;0,SUMIF(куб!$D:$D,$D866,куб!H:H),IF($C866&lt;&gt;0,SUMIF(куб!$C:$C,$C866,куб!H:H),IF($B866&lt;&gt;0,SUMIF(куб!$B:$B,$B866,куб!H:H),IF($G866&lt;&gt;0,SUMIF(куб!$A:$A,$G866,куб!H:H),SUMIF(куб!$A:$A,$G866,куб!H:H)))))))</f>
        <v>0</v>
      </c>
      <c r="I866" s="27">
        <f>IF($G866&lt;&gt;0,SUMIF(куб!$G:$G,$G866,куб!I:I),IF($E866&lt;&gt;0,SUMIF(куб!$E:$E,$E866,куб!I:I),IF($D866&lt;&gt;0,SUMIF(куб!$D:$D,$D866,куб!I:I),IF($C866&lt;&gt;0,SUMIF(куб!$C:$C,$C866,куб!I:I),IF($B866&lt;&gt;0,SUMIF(куб!$B:$B,$B866,куб!I:I),IF($G866&lt;&gt;0,SUMIF(куб!$A:$A,$G866,куб!I:I),SUMIF(куб!$A:$A,$G866,куб!I:I)))))))</f>
        <v>0</v>
      </c>
      <c r="J866" s="19" t="str">
        <f t="shared" si="273"/>
        <v>-</v>
      </c>
      <c r="K866" s="8"/>
      <c r="L866" s="17">
        <f t="shared" si="274"/>
        <v>0</v>
      </c>
      <c r="M866" s="17">
        <f t="shared" si="275"/>
        <v>0</v>
      </c>
      <c r="N866" s="12">
        <f t="shared" si="276"/>
        <v>0</v>
      </c>
      <c r="O866" s="5"/>
      <c r="P866" s="27" t="b">
        <f>IF($G866&lt;&gt;0,SUMIF(куб!$G:$G,$G866,куб!J:J),IF($E866&lt;&gt;0,SUMIF(куб!$E:$E,$E866,куб!J:J),IF($D866&lt;&gt;0,SUMIF(куб!$D:$D,$D866,куб!J:J),IF($C866&lt;&gt;0,SUMIF(куб!$C:$C,$C866,куб!J:J),IF($B866&lt;&gt;0,SUMIF(куб!$B:$B,$B866,куб!J:J))))))</f>
        <v>0</v>
      </c>
      <c r="Q866" s="27" t="b">
        <f>IF($G866&lt;&gt;0,SUMIF(куб!$G:$G,$G866,куб!K:K),IF($E866&lt;&gt;0,SUMIF(куб!$E:$E,$E866,куб!K:K),IF($D866&lt;&gt;0,SUMIF(куб!$D:$D,$D866,куб!K:K),IF($C866&lt;&gt;0,SUMIF(куб!$C:$C,$C866,куб!K:K),IF($B866&lt;&gt;0,SUMIF(куб!$B:$B,$B866,куб!K:K))))))</f>
        <v>0</v>
      </c>
      <c r="R866" s="13" t="str">
        <f t="shared" si="277"/>
        <v>-</v>
      </c>
      <c r="S866" s="5"/>
      <c r="T866" s="27" t="b">
        <f>IF($G866&lt;&gt;0,SUMIF(куб!$G:$G,$G866,куб!L:L),IF($E866&lt;&gt;0,SUMIF(куб!$E:$E,$E866,куб!L:L),IF($D866&lt;&gt;0,SUMIF(куб!$D:$D,$D866,куб!L:L),IF($C866&lt;&gt;0,SUMIF(куб!$C:$C,$C866,куб!L:L),IF($B866&lt;&gt;0,SUMIF(куб!$B:$B,$B866,куб!L:L))))))</f>
        <v>0</v>
      </c>
      <c r="U866" s="27" t="b">
        <f>IF($G866&lt;&gt;0,SUMIF(куб!$G:$G,$G866,куб!M:M),IF($E866&lt;&gt;0,SUMIF(куб!$E:$E,$E866,куб!M:M),IF($D866&lt;&gt;0,SUMIF(куб!$D:$D,$D866,куб!M:M),IF($C866&lt;&gt;0,SUMIF(куб!$C:$C,$C866,куб!M:M),IF($B866&lt;&gt;0,SUMIF(куб!$B:$B,$B866,куб!M:M))))))</f>
        <v>0</v>
      </c>
      <c r="V866" s="13" t="str">
        <f t="shared" si="278"/>
        <v>-</v>
      </c>
      <c r="W866" s="5"/>
      <c r="X866" s="27" t="b">
        <f>IF($G866&lt;&gt;0,SUMIF(куб!$G:$G,$G866,куб!N:N),IF($E866&lt;&gt;0,SUMIF(куб!$E:$E,$E866,куб!N:N),IF($D866&lt;&gt;0,SUMIF(куб!$D:$D,$D866,куб!N:N),IF($C866&lt;&gt;0,SUMIF(куб!$C:$C,$C866,куб!N:N),IF($B866&lt;&gt;0,SUMIF(куб!$B:$B,$B866,куб!N:N))))))</f>
        <v>0</v>
      </c>
      <c r="Y866" s="27" t="b">
        <f>IF($G866&lt;&gt;0,SUMIF(куб!$G:$G,$G866,куб!O:O),IF($E866&lt;&gt;0,SUMIF(куб!$E:$E,$E866,куб!O:O),IF($D866&lt;&gt;0,SUMIF(куб!$D:$D,$D866,куб!O:O),IF($C866&lt;&gt;0,SUMIF(куб!$C:$C,$C866,куб!O:O),IF($B866&lt;&gt;0,SUMIF(куб!$B:$B,$B866,куб!O:O))))))</f>
        <v>0</v>
      </c>
      <c r="Z866" s="13" t="str">
        <f t="shared" si="279"/>
        <v>-</v>
      </c>
      <c r="AA866" s="5"/>
      <c r="AB866" s="33" t="str">
        <f t="shared" si="280"/>
        <v/>
      </c>
      <c r="AC866" s="33" t="str">
        <f t="shared" si="281"/>
        <v/>
      </c>
      <c r="AD866" s="15" t="str">
        <f t="shared" si="282"/>
        <v xml:space="preserve"> </v>
      </c>
      <c r="AE866" s="5"/>
      <c r="AF866" s="27" t="b">
        <f>IF($G866&lt;&gt;0,SUMIF(куб!$G:$G,$G866,куб!R:R),IF($E866&lt;&gt;0,SUMIF(куб!$E:$E,$E866,куб!R:R),IF($D866&lt;&gt;0,SUMIF(куб!$D:$D,$D866,куб!R:R),IF($C866&lt;&gt;0,SUMIF(куб!$C:$C,$C866,куб!R:R),IF($B866&lt;&gt;0,SUMIF(куб!$B:$B,$B866,куб!R:R))))))</f>
        <v>0</v>
      </c>
      <c r="AG866" s="27" t="b">
        <f>IF($G866&lt;&gt;0,SUMIF(куб!$G:$G,$G866,куб!S:S),IF($E866&lt;&gt;0,SUMIF(куб!$E:$E,$E866,куб!S:S),IF($D866&lt;&gt;0,SUMIF(куб!$D:$D,$D866,куб!S:S),IF($C866&lt;&gt;0,SUMIF(куб!$C:$C,$C866,куб!S:S),IF($B866&lt;&gt;0,SUMIF(куб!$B:$B,$B866,куб!S:S))))))</f>
        <v>0</v>
      </c>
      <c r="AH866" s="16" t="str">
        <f t="shared" si="283"/>
        <v>-</v>
      </c>
      <c r="AI866" s="8"/>
      <c r="AJ866" s="27" t="b">
        <f>IF($G866&lt;&gt;0,SUMIF(куб!$G:$G,$G866,куб!T:T),IF($E866&lt;&gt;0,SUMIF(куб!$E:$E,$E866,куб!T:T),IF($D866&lt;&gt;0,SUMIF(куб!$D:$D,$D866,куб!T:T),IF($C866&lt;&gt;0,SUMIF(куб!$C:$C,$C866,куб!T:T),IF($B866&lt;&gt;0,SUMIF(куб!$B:$B,$B866,куб!T:T))))))</f>
        <v>0</v>
      </c>
      <c r="AK866" s="27" t="b">
        <f>IF($G866&lt;&gt;0,SUMIF(куб!$G:$G,$G866,куб!U:U),IF($E866&lt;&gt;0,SUMIF(куб!$E:$E,$E866,куб!U:U),IF($D866&lt;&gt;0,SUMIF(куб!$D:$D,$D866,куб!U:U),IF($C866&lt;&gt;0,SUMIF(куб!$C:$C,$C866,куб!U:U),IF($B866&lt;&gt;0,SUMIF(куб!$B:$B,$B866,куб!U:U))))))</f>
        <v>0</v>
      </c>
      <c r="AL866" s="16" t="str">
        <f t="shared" si="284"/>
        <v>-</v>
      </c>
      <c r="AM866" s="8"/>
      <c r="AN866" s="17" t="str">
        <f t="shared" si="285"/>
        <v xml:space="preserve"> </v>
      </c>
      <c r="AO866" s="17" t="str">
        <f t="shared" si="286"/>
        <v xml:space="preserve"> </v>
      </c>
      <c r="AP866" s="16" t="str">
        <f t="shared" si="287"/>
        <v>-</v>
      </c>
      <c r="AQ866" s="8"/>
      <c r="AR866" s="17" t="str">
        <f t="shared" si="288"/>
        <v>-</v>
      </c>
      <c r="AS866" s="17" t="str">
        <f t="shared" si="289"/>
        <v>-</v>
      </c>
      <c r="AT866" s="13" t="str">
        <f t="shared" si="290"/>
        <v>-</v>
      </c>
      <c r="AU866" s="8"/>
    </row>
    <row r="867" spans="1:47" x14ac:dyDescent="0.25">
      <c r="A867" s="31"/>
      <c r="B867" s="31"/>
      <c r="C867"/>
      <c r="D867" s="31"/>
      <c r="E867"/>
      <c r="F867" s="31"/>
      <c r="G867"/>
      <c r="H867" s="27">
        <f>IF($G867&lt;&gt;0,SUMIF(куб!$G:$G,$G867,куб!H:H),IF($E867&lt;&gt;0,SUMIF(куб!$E:$E,$E867,куб!H:H),IF($D867&lt;&gt;0,SUMIF(куб!$D:$D,$D867,куб!H:H),IF($C867&lt;&gt;0,SUMIF(куб!$C:$C,$C867,куб!H:H),IF($B867&lt;&gt;0,SUMIF(куб!$B:$B,$B867,куб!H:H),IF($G867&lt;&gt;0,SUMIF(куб!$A:$A,$G867,куб!H:H),SUMIF(куб!$A:$A,$G867,куб!H:H)))))))</f>
        <v>0</v>
      </c>
      <c r="I867" s="27">
        <f>IF($G867&lt;&gt;0,SUMIF(куб!$G:$G,$G867,куб!I:I),IF($E867&lt;&gt;0,SUMIF(куб!$E:$E,$E867,куб!I:I),IF($D867&lt;&gt;0,SUMIF(куб!$D:$D,$D867,куб!I:I),IF($C867&lt;&gt;0,SUMIF(куб!$C:$C,$C867,куб!I:I),IF($B867&lt;&gt;0,SUMIF(куб!$B:$B,$B867,куб!I:I),IF($G867&lt;&gt;0,SUMIF(куб!$A:$A,$G867,куб!I:I),SUMIF(куб!$A:$A,$G867,куб!I:I)))))))</f>
        <v>0</v>
      </c>
      <c r="J867" s="19" t="str">
        <f t="shared" si="273"/>
        <v>-</v>
      </c>
      <c r="K867" s="8"/>
      <c r="L867" s="17">
        <f t="shared" si="274"/>
        <v>0</v>
      </c>
      <c r="M867" s="17">
        <f t="shared" si="275"/>
        <v>0</v>
      </c>
      <c r="N867" s="12">
        <f t="shared" si="276"/>
        <v>0</v>
      </c>
      <c r="O867" s="5"/>
      <c r="P867" s="27" t="b">
        <f>IF($G867&lt;&gt;0,SUMIF(куб!$G:$G,$G867,куб!J:J),IF($E867&lt;&gt;0,SUMIF(куб!$E:$E,$E867,куб!J:J),IF($D867&lt;&gt;0,SUMIF(куб!$D:$D,$D867,куб!J:J),IF($C867&lt;&gt;0,SUMIF(куб!$C:$C,$C867,куб!J:J),IF($B867&lt;&gt;0,SUMIF(куб!$B:$B,$B867,куб!J:J))))))</f>
        <v>0</v>
      </c>
      <c r="Q867" s="27" t="b">
        <f>IF($G867&lt;&gt;0,SUMIF(куб!$G:$G,$G867,куб!K:K),IF($E867&lt;&gt;0,SUMIF(куб!$E:$E,$E867,куб!K:K),IF($D867&lt;&gt;0,SUMIF(куб!$D:$D,$D867,куб!K:K),IF($C867&lt;&gt;0,SUMIF(куб!$C:$C,$C867,куб!K:K),IF($B867&lt;&gt;0,SUMIF(куб!$B:$B,$B867,куб!K:K))))))</f>
        <v>0</v>
      </c>
      <c r="R867" s="13" t="str">
        <f t="shared" si="277"/>
        <v>-</v>
      </c>
      <c r="S867" s="5"/>
      <c r="T867" s="27" t="b">
        <f>IF($G867&lt;&gt;0,SUMIF(куб!$G:$G,$G867,куб!L:L),IF($E867&lt;&gt;0,SUMIF(куб!$E:$E,$E867,куб!L:L),IF($D867&lt;&gt;0,SUMIF(куб!$D:$D,$D867,куб!L:L),IF($C867&lt;&gt;0,SUMIF(куб!$C:$C,$C867,куб!L:L),IF($B867&lt;&gt;0,SUMIF(куб!$B:$B,$B867,куб!L:L))))))</f>
        <v>0</v>
      </c>
      <c r="U867" s="27" t="b">
        <f>IF($G867&lt;&gt;0,SUMIF(куб!$G:$G,$G867,куб!M:M),IF($E867&lt;&gt;0,SUMIF(куб!$E:$E,$E867,куб!M:M),IF($D867&lt;&gt;0,SUMIF(куб!$D:$D,$D867,куб!M:M),IF($C867&lt;&gt;0,SUMIF(куб!$C:$C,$C867,куб!M:M),IF($B867&lt;&gt;0,SUMIF(куб!$B:$B,$B867,куб!M:M))))))</f>
        <v>0</v>
      </c>
      <c r="V867" s="13" t="str">
        <f t="shared" si="278"/>
        <v>-</v>
      </c>
      <c r="W867" s="5"/>
      <c r="X867" s="27" t="b">
        <f>IF($G867&lt;&gt;0,SUMIF(куб!$G:$G,$G867,куб!N:N),IF($E867&lt;&gt;0,SUMIF(куб!$E:$E,$E867,куб!N:N),IF($D867&lt;&gt;0,SUMIF(куб!$D:$D,$D867,куб!N:N),IF($C867&lt;&gt;0,SUMIF(куб!$C:$C,$C867,куб!N:N),IF($B867&lt;&gt;0,SUMIF(куб!$B:$B,$B867,куб!N:N))))))</f>
        <v>0</v>
      </c>
      <c r="Y867" s="27" t="b">
        <f>IF($G867&lt;&gt;0,SUMIF(куб!$G:$G,$G867,куб!O:O),IF($E867&lt;&gt;0,SUMIF(куб!$E:$E,$E867,куб!O:O),IF($D867&lt;&gt;0,SUMIF(куб!$D:$D,$D867,куб!O:O),IF($C867&lt;&gt;0,SUMIF(куб!$C:$C,$C867,куб!O:O),IF($B867&lt;&gt;0,SUMIF(куб!$B:$B,$B867,куб!O:O))))))</f>
        <v>0</v>
      </c>
      <c r="Z867" s="13" t="str">
        <f t="shared" si="279"/>
        <v>-</v>
      </c>
      <c r="AA867" s="5"/>
      <c r="AB867" s="33" t="str">
        <f t="shared" si="280"/>
        <v/>
      </c>
      <c r="AC867" s="33" t="str">
        <f t="shared" si="281"/>
        <v/>
      </c>
      <c r="AD867" s="15" t="str">
        <f t="shared" si="282"/>
        <v xml:space="preserve"> </v>
      </c>
      <c r="AE867" s="5"/>
      <c r="AF867" s="27" t="b">
        <f>IF($G867&lt;&gt;0,SUMIF(куб!$G:$G,$G867,куб!R:R),IF($E867&lt;&gt;0,SUMIF(куб!$E:$E,$E867,куб!R:R),IF($D867&lt;&gt;0,SUMIF(куб!$D:$D,$D867,куб!R:R),IF($C867&lt;&gt;0,SUMIF(куб!$C:$C,$C867,куб!R:R),IF($B867&lt;&gt;0,SUMIF(куб!$B:$B,$B867,куб!R:R))))))</f>
        <v>0</v>
      </c>
      <c r="AG867" s="27" t="b">
        <f>IF($G867&lt;&gt;0,SUMIF(куб!$G:$G,$G867,куб!S:S),IF($E867&lt;&gt;0,SUMIF(куб!$E:$E,$E867,куб!S:S),IF($D867&lt;&gt;0,SUMIF(куб!$D:$D,$D867,куб!S:S),IF($C867&lt;&gt;0,SUMIF(куб!$C:$C,$C867,куб!S:S),IF($B867&lt;&gt;0,SUMIF(куб!$B:$B,$B867,куб!S:S))))))</f>
        <v>0</v>
      </c>
      <c r="AH867" s="16" t="str">
        <f t="shared" si="283"/>
        <v>-</v>
      </c>
      <c r="AI867" s="8"/>
      <c r="AJ867" s="27" t="b">
        <f>IF($G867&lt;&gt;0,SUMIF(куб!$G:$G,$G867,куб!T:T),IF($E867&lt;&gt;0,SUMIF(куб!$E:$E,$E867,куб!T:T),IF($D867&lt;&gt;0,SUMIF(куб!$D:$D,$D867,куб!T:T),IF($C867&lt;&gt;0,SUMIF(куб!$C:$C,$C867,куб!T:T),IF($B867&lt;&gt;0,SUMIF(куб!$B:$B,$B867,куб!T:T))))))</f>
        <v>0</v>
      </c>
      <c r="AK867" s="27" t="b">
        <f>IF($G867&lt;&gt;0,SUMIF(куб!$G:$G,$G867,куб!U:U),IF($E867&lt;&gt;0,SUMIF(куб!$E:$E,$E867,куб!U:U),IF($D867&lt;&gt;0,SUMIF(куб!$D:$D,$D867,куб!U:U),IF($C867&lt;&gt;0,SUMIF(куб!$C:$C,$C867,куб!U:U),IF($B867&lt;&gt;0,SUMIF(куб!$B:$B,$B867,куб!U:U))))))</f>
        <v>0</v>
      </c>
      <c r="AL867" s="16" t="str">
        <f t="shared" si="284"/>
        <v>-</v>
      </c>
      <c r="AM867" s="8"/>
      <c r="AN867" s="17" t="str">
        <f t="shared" si="285"/>
        <v xml:space="preserve"> </v>
      </c>
      <c r="AO867" s="17" t="str">
        <f t="shared" si="286"/>
        <v xml:space="preserve"> </v>
      </c>
      <c r="AP867" s="16" t="str">
        <f t="shared" si="287"/>
        <v>-</v>
      </c>
      <c r="AQ867" s="8"/>
      <c r="AR867" s="17" t="str">
        <f t="shared" si="288"/>
        <v>-</v>
      </c>
      <c r="AS867" s="17" t="str">
        <f t="shared" si="289"/>
        <v>-</v>
      </c>
      <c r="AT867" s="13" t="str">
        <f t="shared" si="290"/>
        <v>-</v>
      </c>
      <c r="AU867" s="8"/>
    </row>
    <row r="868" spans="1:47" x14ac:dyDescent="0.25">
      <c r="A868" s="31"/>
      <c r="B868" s="31"/>
      <c r="C868"/>
      <c r="D868" s="31"/>
      <c r="E868"/>
      <c r="F868" s="31"/>
      <c r="G868"/>
      <c r="H868" s="27">
        <f>IF($G868&lt;&gt;0,SUMIF(куб!$G:$G,$G868,куб!H:H),IF($E868&lt;&gt;0,SUMIF(куб!$E:$E,$E868,куб!H:H),IF($D868&lt;&gt;0,SUMIF(куб!$D:$D,$D868,куб!H:H),IF($C868&lt;&gt;0,SUMIF(куб!$C:$C,$C868,куб!H:H),IF($B868&lt;&gt;0,SUMIF(куб!$B:$B,$B868,куб!H:H),IF($G868&lt;&gt;0,SUMIF(куб!$A:$A,$G868,куб!H:H),SUMIF(куб!$A:$A,$G868,куб!H:H)))))))</f>
        <v>0</v>
      </c>
      <c r="I868" s="27">
        <f>IF($G868&lt;&gt;0,SUMIF(куб!$G:$G,$G868,куб!I:I),IF($E868&lt;&gt;0,SUMIF(куб!$E:$E,$E868,куб!I:I),IF($D868&lt;&gt;0,SUMIF(куб!$D:$D,$D868,куб!I:I),IF($C868&lt;&gt;0,SUMIF(куб!$C:$C,$C868,куб!I:I),IF($B868&lt;&gt;0,SUMIF(куб!$B:$B,$B868,куб!I:I),IF($G868&lt;&gt;0,SUMIF(куб!$A:$A,$G868,куб!I:I),SUMIF(куб!$A:$A,$G868,куб!I:I)))))))</f>
        <v>0</v>
      </c>
      <c r="J868" s="19" t="str">
        <f t="shared" si="273"/>
        <v>-</v>
      </c>
      <c r="K868" s="8"/>
      <c r="L868" s="17">
        <f t="shared" si="274"/>
        <v>0</v>
      </c>
      <c r="M868" s="17">
        <f t="shared" si="275"/>
        <v>0</v>
      </c>
      <c r="N868" s="12">
        <f t="shared" si="276"/>
        <v>0</v>
      </c>
      <c r="O868" s="5"/>
      <c r="P868" s="27" t="b">
        <f>IF($G868&lt;&gt;0,SUMIF(куб!$G:$G,$G868,куб!J:J),IF($E868&lt;&gt;0,SUMIF(куб!$E:$E,$E868,куб!J:J),IF($D868&lt;&gt;0,SUMIF(куб!$D:$D,$D868,куб!J:J),IF($C868&lt;&gt;0,SUMIF(куб!$C:$C,$C868,куб!J:J),IF($B868&lt;&gt;0,SUMIF(куб!$B:$B,$B868,куб!J:J))))))</f>
        <v>0</v>
      </c>
      <c r="Q868" s="27" t="b">
        <f>IF($G868&lt;&gt;0,SUMIF(куб!$G:$G,$G868,куб!K:K),IF($E868&lt;&gt;0,SUMIF(куб!$E:$E,$E868,куб!K:K),IF($D868&lt;&gt;0,SUMIF(куб!$D:$D,$D868,куб!K:K),IF($C868&lt;&gt;0,SUMIF(куб!$C:$C,$C868,куб!K:K),IF($B868&lt;&gt;0,SUMIF(куб!$B:$B,$B868,куб!K:K))))))</f>
        <v>0</v>
      </c>
      <c r="R868" s="13" t="str">
        <f t="shared" si="277"/>
        <v>-</v>
      </c>
      <c r="S868" s="5"/>
      <c r="T868" s="27" t="b">
        <f>IF($G868&lt;&gt;0,SUMIF(куб!$G:$G,$G868,куб!L:L),IF($E868&lt;&gt;0,SUMIF(куб!$E:$E,$E868,куб!L:L),IF($D868&lt;&gt;0,SUMIF(куб!$D:$D,$D868,куб!L:L),IF($C868&lt;&gt;0,SUMIF(куб!$C:$C,$C868,куб!L:L),IF($B868&lt;&gt;0,SUMIF(куб!$B:$B,$B868,куб!L:L))))))</f>
        <v>0</v>
      </c>
      <c r="U868" s="27" t="b">
        <f>IF($G868&lt;&gt;0,SUMIF(куб!$G:$G,$G868,куб!M:M),IF($E868&lt;&gt;0,SUMIF(куб!$E:$E,$E868,куб!M:M),IF($D868&lt;&gt;0,SUMIF(куб!$D:$D,$D868,куб!M:M),IF($C868&lt;&gt;0,SUMIF(куб!$C:$C,$C868,куб!M:M),IF($B868&lt;&gt;0,SUMIF(куб!$B:$B,$B868,куб!M:M))))))</f>
        <v>0</v>
      </c>
      <c r="V868" s="13" t="str">
        <f t="shared" si="278"/>
        <v>-</v>
      </c>
      <c r="W868" s="5"/>
      <c r="X868" s="27" t="b">
        <f>IF($G868&lt;&gt;0,SUMIF(куб!$G:$G,$G868,куб!N:N),IF($E868&lt;&gt;0,SUMIF(куб!$E:$E,$E868,куб!N:N),IF($D868&lt;&gt;0,SUMIF(куб!$D:$D,$D868,куб!N:N),IF($C868&lt;&gt;0,SUMIF(куб!$C:$C,$C868,куб!N:N),IF($B868&lt;&gt;0,SUMIF(куб!$B:$B,$B868,куб!N:N))))))</f>
        <v>0</v>
      </c>
      <c r="Y868" s="27" t="b">
        <f>IF($G868&lt;&gt;0,SUMIF(куб!$G:$G,$G868,куб!O:O),IF($E868&lt;&gt;0,SUMIF(куб!$E:$E,$E868,куб!O:O),IF($D868&lt;&gt;0,SUMIF(куб!$D:$D,$D868,куб!O:O),IF($C868&lt;&gt;0,SUMIF(куб!$C:$C,$C868,куб!O:O),IF($B868&lt;&gt;0,SUMIF(куб!$B:$B,$B868,куб!O:O))))))</f>
        <v>0</v>
      </c>
      <c r="Z868" s="13" t="str">
        <f t="shared" si="279"/>
        <v>-</v>
      </c>
      <c r="AA868" s="5"/>
      <c r="AB868" s="33" t="str">
        <f t="shared" si="280"/>
        <v/>
      </c>
      <c r="AC868" s="33" t="str">
        <f t="shared" si="281"/>
        <v/>
      </c>
      <c r="AD868" s="15" t="str">
        <f t="shared" si="282"/>
        <v xml:space="preserve"> </v>
      </c>
      <c r="AE868" s="5"/>
      <c r="AF868" s="27" t="b">
        <f>IF($G868&lt;&gt;0,SUMIF(куб!$G:$G,$G868,куб!R:R),IF($E868&lt;&gt;0,SUMIF(куб!$E:$E,$E868,куб!R:R),IF($D868&lt;&gt;0,SUMIF(куб!$D:$D,$D868,куб!R:R),IF($C868&lt;&gt;0,SUMIF(куб!$C:$C,$C868,куб!R:R),IF($B868&lt;&gt;0,SUMIF(куб!$B:$B,$B868,куб!R:R))))))</f>
        <v>0</v>
      </c>
      <c r="AG868" s="27" t="b">
        <f>IF($G868&lt;&gt;0,SUMIF(куб!$G:$G,$G868,куб!S:S),IF($E868&lt;&gt;0,SUMIF(куб!$E:$E,$E868,куб!S:S),IF($D868&lt;&gt;0,SUMIF(куб!$D:$D,$D868,куб!S:S),IF($C868&lt;&gt;0,SUMIF(куб!$C:$C,$C868,куб!S:S),IF($B868&lt;&gt;0,SUMIF(куб!$B:$B,$B868,куб!S:S))))))</f>
        <v>0</v>
      </c>
      <c r="AH868" s="16" t="str">
        <f t="shared" si="283"/>
        <v>-</v>
      </c>
      <c r="AI868" s="8"/>
      <c r="AJ868" s="27" t="b">
        <f>IF($G868&lt;&gt;0,SUMIF(куб!$G:$G,$G868,куб!T:T),IF($E868&lt;&gt;0,SUMIF(куб!$E:$E,$E868,куб!T:T),IF($D868&lt;&gt;0,SUMIF(куб!$D:$D,$D868,куб!T:T),IF($C868&lt;&gt;0,SUMIF(куб!$C:$C,$C868,куб!T:T),IF($B868&lt;&gt;0,SUMIF(куб!$B:$B,$B868,куб!T:T))))))</f>
        <v>0</v>
      </c>
      <c r="AK868" s="27" t="b">
        <f>IF($G868&lt;&gt;0,SUMIF(куб!$G:$G,$G868,куб!U:U),IF($E868&lt;&gt;0,SUMIF(куб!$E:$E,$E868,куб!U:U),IF($D868&lt;&gt;0,SUMIF(куб!$D:$D,$D868,куб!U:U),IF($C868&lt;&gt;0,SUMIF(куб!$C:$C,$C868,куб!U:U),IF($B868&lt;&gt;0,SUMIF(куб!$B:$B,$B868,куб!U:U))))))</f>
        <v>0</v>
      </c>
      <c r="AL868" s="16" t="str">
        <f t="shared" si="284"/>
        <v>-</v>
      </c>
      <c r="AM868" s="8"/>
      <c r="AN868" s="17" t="str">
        <f t="shared" si="285"/>
        <v xml:space="preserve"> </v>
      </c>
      <c r="AO868" s="17" t="str">
        <f t="shared" si="286"/>
        <v xml:space="preserve"> </v>
      </c>
      <c r="AP868" s="16" t="str">
        <f t="shared" si="287"/>
        <v>-</v>
      </c>
      <c r="AQ868" s="8"/>
      <c r="AR868" s="17" t="str">
        <f t="shared" si="288"/>
        <v>-</v>
      </c>
      <c r="AS868" s="17" t="str">
        <f t="shared" si="289"/>
        <v>-</v>
      </c>
      <c r="AT868" s="13" t="str">
        <f t="shared" si="290"/>
        <v>-</v>
      </c>
      <c r="AU868" s="8"/>
    </row>
    <row r="869" spans="1:47" x14ac:dyDescent="0.25">
      <c r="A869" s="31"/>
      <c r="B869" s="31"/>
      <c r="C869"/>
      <c r="D869" s="31"/>
      <c r="E869"/>
      <c r="F869" s="31"/>
      <c r="G869"/>
      <c r="H869" s="27">
        <f>IF($G869&lt;&gt;0,SUMIF(куб!$G:$G,$G869,куб!H:H),IF($E869&lt;&gt;0,SUMIF(куб!$E:$E,$E869,куб!H:H),IF($D869&lt;&gt;0,SUMIF(куб!$D:$D,$D869,куб!H:H),IF($C869&lt;&gt;0,SUMIF(куб!$C:$C,$C869,куб!H:H),IF($B869&lt;&gt;0,SUMIF(куб!$B:$B,$B869,куб!H:H),IF($G869&lt;&gt;0,SUMIF(куб!$A:$A,$G869,куб!H:H),SUMIF(куб!$A:$A,$G869,куб!H:H)))))))</f>
        <v>0</v>
      </c>
      <c r="I869" s="27">
        <f>IF($G869&lt;&gt;0,SUMIF(куб!$G:$G,$G869,куб!I:I),IF($E869&lt;&gt;0,SUMIF(куб!$E:$E,$E869,куб!I:I),IF($D869&lt;&gt;0,SUMIF(куб!$D:$D,$D869,куб!I:I),IF($C869&lt;&gt;0,SUMIF(куб!$C:$C,$C869,куб!I:I),IF($B869&lt;&gt;0,SUMIF(куб!$B:$B,$B869,куб!I:I),IF($G869&lt;&gt;0,SUMIF(куб!$A:$A,$G869,куб!I:I),SUMIF(куб!$A:$A,$G869,куб!I:I)))))))</f>
        <v>0</v>
      </c>
      <c r="J869" s="19" t="str">
        <f t="shared" si="273"/>
        <v>-</v>
      </c>
      <c r="K869" s="8"/>
      <c r="L869" s="17">
        <f t="shared" si="274"/>
        <v>0</v>
      </c>
      <c r="M869" s="17">
        <f t="shared" si="275"/>
        <v>0</v>
      </c>
      <c r="N869" s="12">
        <f t="shared" si="276"/>
        <v>0</v>
      </c>
      <c r="O869" s="5"/>
      <c r="P869" s="27" t="b">
        <f>IF($G869&lt;&gt;0,SUMIF(куб!$G:$G,$G869,куб!J:J),IF($E869&lt;&gt;0,SUMIF(куб!$E:$E,$E869,куб!J:J),IF($D869&lt;&gt;0,SUMIF(куб!$D:$D,$D869,куб!J:J),IF($C869&lt;&gt;0,SUMIF(куб!$C:$C,$C869,куб!J:J),IF($B869&lt;&gt;0,SUMIF(куб!$B:$B,$B869,куб!J:J))))))</f>
        <v>0</v>
      </c>
      <c r="Q869" s="27" t="b">
        <f>IF($G869&lt;&gt;0,SUMIF(куб!$G:$G,$G869,куб!K:K),IF($E869&lt;&gt;0,SUMIF(куб!$E:$E,$E869,куб!K:K),IF($D869&lt;&gt;0,SUMIF(куб!$D:$D,$D869,куб!K:K),IF($C869&lt;&gt;0,SUMIF(куб!$C:$C,$C869,куб!K:K),IF($B869&lt;&gt;0,SUMIF(куб!$B:$B,$B869,куб!K:K))))))</f>
        <v>0</v>
      </c>
      <c r="R869" s="13" t="str">
        <f t="shared" si="277"/>
        <v>-</v>
      </c>
      <c r="S869" s="5"/>
      <c r="T869" s="27" t="b">
        <f>IF($G869&lt;&gt;0,SUMIF(куб!$G:$G,$G869,куб!L:L),IF($E869&lt;&gt;0,SUMIF(куб!$E:$E,$E869,куб!L:L),IF($D869&lt;&gt;0,SUMIF(куб!$D:$D,$D869,куб!L:L),IF($C869&lt;&gt;0,SUMIF(куб!$C:$C,$C869,куб!L:L),IF($B869&lt;&gt;0,SUMIF(куб!$B:$B,$B869,куб!L:L))))))</f>
        <v>0</v>
      </c>
      <c r="U869" s="27" t="b">
        <f>IF($G869&lt;&gt;0,SUMIF(куб!$G:$G,$G869,куб!M:M),IF($E869&lt;&gt;0,SUMIF(куб!$E:$E,$E869,куб!M:M),IF($D869&lt;&gt;0,SUMIF(куб!$D:$D,$D869,куб!M:M),IF($C869&lt;&gt;0,SUMIF(куб!$C:$C,$C869,куб!M:M),IF($B869&lt;&gt;0,SUMIF(куб!$B:$B,$B869,куб!M:M))))))</f>
        <v>0</v>
      </c>
      <c r="V869" s="13" t="str">
        <f t="shared" si="278"/>
        <v>-</v>
      </c>
      <c r="W869" s="5"/>
      <c r="X869" s="27" t="b">
        <f>IF($G869&lt;&gt;0,SUMIF(куб!$G:$G,$G869,куб!N:N),IF($E869&lt;&gt;0,SUMIF(куб!$E:$E,$E869,куб!N:N),IF($D869&lt;&gt;0,SUMIF(куб!$D:$D,$D869,куб!N:N),IF($C869&lt;&gt;0,SUMIF(куб!$C:$C,$C869,куб!N:N),IF($B869&lt;&gt;0,SUMIF(куб!$B:$B,$B869,куб!N:N))))))</f>
        <v>0</v>
      </c>
      <c r="Y869" s="27" t="b">
        <f>IF($G869&lt;&gt;0,SUMIF(куб!$G:$G,$G869,куб!O:O),IF($E869&lt;&gt;0,SUMIF(куб!$E:$E,$E869,куб!O:O),IF($D869&lt;&gt;0,SUMIF(куб!$D:$D,$D869,куб!O:O),IF($C869&lt;&gt;0,SUMIF(куб!$C:$C,$C869,куб!O:O),IF($B869&lt;&gt;0,SUMIF(куб!$B:$B,$B869,куб!O:O))))))</f>
        <v>0</v>
      </c>
      <c r="Z869" s="13" t="str">
        <f t="shared" si="279"/>
        <v>-</v>
      </c>
      <c r="AA869" s="5"/>
      <c r="AB869" s="33" t="str">
        <f t="shared" si="280"/>
        <v/>
      </c>
      <c r="AC869" s="33" t="str">
        <f t="shared" si="281"/>
        <v/>
      </c>
      <c r="AD869" s="15" t="str">
        <f t="shared" si="282"/>
        <v xml:space="preserve"> </v>
      </c>
      <c r="AE869" s="5"/>
      <c r="AF869" s="27" t="b">
        <f>IF($G869&lt;&gt;0,SUMIF(куб!$G:$G,$G869,куб!R:R),IF($E869&lt;&gt;0,SUMIF(куб!$E:$E,$E869,куб!R:R),IF($D869&lt;&gt;0,SUMIF(куб!$D:$D,$D869,куб!R:R),IF($C869&lt;&gt;0,SUMIF(куб!$C:$C,$C869,куб!R:R),IF($B869&lt;&gt;0,SUMIF(куб!$B:$B,$B869,куб!R:R))))))</f>
        <v>0</v>
      </c>
      <c r="AG869" s="27" t="b">
        <f>IF($G869&lt;&gt;0,SUMIF(куб!$G:$G,$G869,куб!S:S),IF($E869&lt;&gt;0,SUMIF(куб!$E:$E,$E869,куб!S:S),IF($D869&lt;&gt;0,SUMIF(куб!$D:$D,$D869,куб!S:S),IF($C869&lt;&gt;0,SUMIF(куб!$C:$C,$C869,куб!S:S),IF($B869&lt;&gt;0,SUMIF(куб!$B:$B,$B869,куб!S:S))))))</f>
        <v>0</v>
      </c>
      <c r="AH869" s="16" t="str">
        <f t="shared" si="283"/>
        <v>-</v>
      </c>
      <c r="AI869" s="8"/>
      <c r="AJ869" s="27" t="b">
        <f>IF($G869&lt;&gt;0,SUMIF(куб!$G:$G,$G869,куб!T:T),IF($E869&lt;&gt;0,SUMIF(куб!$E:$E,$E869,куб!T:T),IF($D869&lt;&gt;0,SUMIF(куб!$D:$D,$D869,куб!T:T),IF($C869&lt;&gt;0,SUMIF(куб!$C:$C,$C869,куб!T:T),IF($B869&lt;&gt;0,SUMIF(куб!$B:$B,$B869,куб!T:T))))))</f>
        <v>0</v>
      </c>
      <c r="AK869" s="27" t="b">
        <f>IF($G869&lt;&gt;0,SUMIF(куб!$G:$G,$G869,куб!U:U),IF($E869&lt;&gt;0,SUMIF(куб!$E:$E,$E869,куб!U:U),IF($D869&lt;&gt;0,SUMIF(куб!$D:$D,$D869,куб!U:U),IF($C869&lt;&gt;0,SUMIF(куб!$C:$C,$C869,куб!U:U),IF($B869&lt;&gt;0,SUMIF(куб!$B:$B,$B869,куб!U:U))))))</f>
        <v>0</v>
      </c>
      <c r="AL869" s="16" t="str">
        <f t="shared" si="284"/>
        <v>-</v>
      </c>
      <c r="AM869" s="8"/>
      <c r="AN869" s="17" t="str">
        <f t="shared" si="285"/>
        <v xml:space="preserve"> </v>
      </c>
      <c r="AO869" s="17" t="str">
        <f t="shared" si="286"/>
        <v xml:space="preserve"> </v>
      </c>
      <c r="AP869" s="16" t="str">
        <f t="shared" si="287"/>
        <v>-</v>
      </c>
      <c r="AQ869" s="8"/>
      <c r="AR869" s="17" t="str">
        <f t="shared" si="288"/>
        <v>-</v>
      </c>
      <c r="AS869" s="17" t="str">
        <f t="shared" si="289"/>
        <v>-</v>
      </c>
      <c r="AT869" s="13" t="str">
        <f t="shared" si="290"/>
        <v>-</v>
      </c>
      <c r="AU869" s="8"/>
    </row>
    <row r="870" spans="1:47" x14ac:dyDescent="0.25">
      <c r="A870" s="31"/>
      <c r="B870" s="31"/>
      <c r="C870"/>
      <c r="D870" s="31"/>
      <c r="E870"/>
      <c r="F870" s="31"/>
      <c r="G870"/>
      <c r="H870" s="27">
        <f>IF($G870&lt;&gt;0,SUMIF(куб!$G:$G,$G870,куб!H:H),IF($E870&lt;&gt;0,SUMIF(куб!$E:$E,$E870,куб!H:H),IF($D870&lt;&gt;0,SUMIF(куб!$D:$D,$D870,куб!H:H),IF($C870&lt;&gt;0,SUMIF(куб!$C:$C,$C870,куб!H:H),IF($B870&lt;&gt;0,SUMIF(куб!$B:$B,$B870,куб!H:H),IF($G870&lt;&gt;0,SUMIF(куб!$A:$A,$G870,куб!H:H),SUMIF(куб!$A:$A,$G870,куб!H:H)))))))</f>
        <v>0</v>
      </c>
      <c r="I870" s="27">
        <f>IF($G870&lt;&gt;0,SUMIF(куб!$G:$G,$G870,куб!I:I),IF($E870&lt;&gt;0,SUMIF(куб!$E:$E,$E870,куб!I:I),IF($D870&lt;&gt;0,SUMIF(куб!$D:$D,$D870,куб!I:I),IF($C870&lt;&gt;0,SUMIF(куб!$C:$C,$C870,куб!I:I),IF($B870&lt;&gt;0,SUMIF(куб!$B:$B,$B870,куб!I:I),IF($G870&lt;&gt;0,SUMIF(куб!$A:$A,$G870,куб!I:I),SUMIF(куб!$A:$A,$G870,куб!I:I)))))))</f>
        <v>0</v>
      </c>
      <c r="J870" s="19" t="str">
        <f t="shared" si="273"/>
        <v>-</v>
      </c>
      <c r="K870" s="8"/>
      <c r="L870" s="17">
        <f t="shared" si="274"/>
        <v>0</v>
      </c>
      <c r="M870" s="17">
        <f t="shared" si="275"/>
        <v>0</v>
      </c>
      <c r="N870" s="12">
        <f t="shared" si="276"/>
        <v>0</v>
      </c>
      <c r="O870" s="5"/>
      <c r="P870" s="27" t="b">
        <f>IF($G870&lt;&gt;0,SUMIF(куб!$G:$G,$G870,куб!J:J),IF($E870&lt;&gt;0,SUMIF(куб!$E:$E,$E870,куб!J:J),IF($D870&lt;&gt;0,SUMIF(куб!$D:$D,$D870,куб!J:J),IF($C870&lt;&gt;0,SUMIF(куб!$C:$C,$C870,куб!J:J),IF($B870&lt;&gt;0,SUMIF(куб!$B:$B,$B870,куб!J:J))))))</f>
        <v>0</v>
      </c>
      <c r="Q870" s="27" t="b">
        <f>IF($G870&lt;&gt;0,SUMIF(куб!$G:$G,$G870,куб!K:K),IF($E870&lt;&gt;0,SUMIF(куб!$E:$E,$E870,куб!K:K),IF($D870&lt;&gt;0,SUMIF(куб!$D:$D,$D870,куб!K:K),IF($C870&lt;&gt;0,SUMIF(куб!$C:$C,$C870,куб!K:K),IF($B870&lt;&gt;0,SUMIF(куб!$B:$B,$B870,куб!K:K))))))</f>
        <v>0</v>
      </c>
      <c r="R870" s="13" t="str">
        <f t="shared" si="277"/>
        <v>-</v>
      </c>
      <c r="S870" s="5"/>
      <c r="T870" s="27" t="b">
        <f>IF($G870&lt;&gt;0,SUMIF(куб!$G:$G,$G870,куб!L:L),IF($E870&lt;&gt;0,SUMIF(куб!$E:$E,$E870,куб!L:L),IF($D870&lt;&gt;0,SUMIF(куб!$D:$D,$D870,куб!L:L),IF($C870&lt;&gt;0,SUMIF(куб!$C:$C,$C870,куб!L:L),IF($B870&lt;&gt;0,SUMIF(куб!$B:$B,$B870,куб!L:L))))))</f>
        <v>0</v>
      </c>
      <c r="U870" s="27" t="b">
        <f>IF($G870&lt;&gt;0,SUMIF(куб!$G:$G,$G870,куб!M:M),IF($E870&lt;&gt;0,SUMIF(куб!$E:$E,$E870,куб!M:M),IF($D870&lt;&gt;0,SUMIF(куб!$D:$D,$D870,куб!M:M),IF($C870&lt;&gt;0,SUMIF(куб!$C:$C,$C870,куб!M:M),IF($B870&lt;&gt;0,SUMIF(куб!$B:$B,$B870,куб!M:M))))))</f>
        <v>0</v>
      </c>
      <c r="V870" s="13" t="str">
        <f t="shared" si="278"/>
        <v>-</v>
      </c>
      <c r="W870" s="5"/>
      <c r="X870" s="27" t="b">
        <f>IF($G870&lt;&gt;0,SUMIF(куб!$G:$G,$G870,куб!N:N),IF($E870&lt;&gt;0,SUMIF(куб!$E:$E,$E870,куб!N:N),IF($D870&lt;&gt;0,SUMIF(куб!$D:$D,$D870,куб!N:N),IF($C870&lt;&gt;0,SUMIF(куб!$C:$C,$C870,куб!N:N),IF($B870&lt;&gt;0,SUMIF(куб!$B:$B,$B870,куб!N:N))))))</f>
        <v>0</v>
      </c>
      <c r="Y870" s="27" t="b">
        <f>IF($G870&lt;&gt;0,SUMIF(куб!$G:$G,$G870,куб!O:O),IF($E870&lt;&gt;0,SUMIF(куб!$E:$E,$E870,куб!O:O),IF($D870&lt;&gt;0,SUMIF(куб!$D:$D,$D870,куб!O:O),IF($C870&lt;&gt;0,SUMIF(куб!$C:$C,$C870,куб!O:O),IF($B870&lt;&gt;0,SUMIF(куб!$B:$B,$B870,куб!O:O))))))</f>
        <v>0</v>
      </c>
      <c r="Z870" s="13" t="str">
        <f t="shared" si="279"/>
        <v>-</v>
      </c>
      <c r="AA870" s="5"/>
      <c r="AB870" s="33" t="str">
        <f t="shared" si="280"/>
        <v/>
      </c>
      <c r="AC870" s="33" t="str">
        <f t="shared" si="281"/>
        <v/>
      </c>
      <c r="AD870" s="15" t="str">
        <f t="shared" si="282"/>
        <v xml:space="preserve"> </v>
      </c>
      <c r="AE870" s="5"/>
      <c r="AF870" s="27" t="b">
        <f>IF($G870&lt;&gt;0,SUMIF(куб!$G:$G,$G870,куб!R:R),IF($E870&lt;&gt;0,SUMIF(куб!$E:$E,$E870,куб!R:R),IF($D870&lt;&gt;0,SUMIF(куб!$D:$D,$D870,куб!R:R),IF($C870&lt;&gt;0,SUMIF(куб!$C:$C,$C870,куб!R:R),IF($B870&lt;&gt;0,SUMIF(куб!$B:$B,$B870,куб!R:R))))))</f>
        <v>0</v>
      </c>
      <c r="AG870" s="27" t="b">
        <f>IF($G870&lt;&gt;0,SUMIF(куб!$G:$G,$G870,куб!S:S),IF($E870&lt;&gt;0,SUMIF(куб!$E:$E,$E870,куб!S:S),IF($D870&lt;&gt;0,SUMIF(куб!$D:$D,$D870,куб!S:S),IF($C870&lt;&gt;0,SUMIF(куб!$C:$C,$C870,куб!S:S),IF($B870&lt;&gt;0,SUMIF(куб!$B:$B,$B870,куб!S:S))))))</f>
        <v>0</v>
      </c>
      <c r="AH870" s="16" t="str">
        <f t="shared" si="283"/>
        <v>-</v>
      </c>
      <c r="AI870" s="8"/>
      <c r="AJ870" s="27" t="b">
        <f>IF($G870&lt;&gt;0,SUMIF(куб!$G:$G,$G870,куб!T:T),IF($E870&lt;&gt;0,SUMIF(куб!$E:$E,$E870,куб!T:T),IF($D870&lt;&gt;0,SUMIF(куб!$D:$D,$D870,куб!T:T),IF($C870&lt;&gt;0,SUMIF(куб!$C:$C,$C870,куб!T:T),IF($B870&lt;&gt;0,SUMIF(куб!$B:$B,$B870,куб!T:T))))))</f>
        <v>0</v>
      </c>
      <c r="AK870" s="27" t="b">
        <f>IF($G870&lt;&gt;0,SUMIF(куб!$G:$G,$G870,куб!U:U),IF($E870&lt;&gt;0,SUMIF(куб!$E:$E,$E870,куб!U:U),IF($D870&lt;&gt;0,SUMIF(куб!$D:$D,$D870,куб!U:U),IF($C870&lt;&gt;0,SUMIF(куб!$C:$C,$C870,куб!U:U),IF($B870&lt;&gt;0,SUMIF(куб!$B:$B,$B870,куб!U:U))))))</f>
        <v>0</v>
      </c>
      <c r="AL870" s="16" t="str">
        <f t="shared" si="284"/>
        <v>-</v>
      </c>
      <c r="AM870" s="8"/>
      <c r="AN870" s="17" t="str">
        <f t="shared" si="285"/>
        <v xml:space="preserve"> </v>
      </c>
      <c r="AO870" s="17" t="str">
        <f t="shared" si="286"/>
        <v xml:space="preserve"> </v>
      </c>
      <c r="AP870" s="16" t="str">
        <f t="shared" si="287"/>
        <v>-</v>
      </c>
      <c r="AQ870" s="8"/>
      <c r="AR870" s="17" t="str">
        <f t="shared" si="288"/>
        <v>-</v>
      </c>
      <c r="AS870" s="17" t="str">
        <f t="shared" si="289"/>
        <v>-</v>
      </c>
      <c r="AT870" s="13" t="str">
        <f t="shared" si="290"/>
        <v>-</v>
      </c>
      <c r="AU870" s="8"/>
    </row>
    <row r="871" spans="1:47" x14ac:dyDescent="0.25">
      <c r="A871" s="31"/>
      <c r="B871" s="31"/>
      <c r="C871"/>
      <c r="D871" s="31"/>
      <c r="E871"/>
      <c r="F871" s="31"/>
      <c r="G871"/>
      <c r="H871" s="27">
        <f>IF($G871&lt;&gt;0,SUMIF(куб!$G:$G,$G871,куб!H:H),IF($E871&lt;&gt;0,SUMIF(куб!$E:$E,$E871,куб!H:H),IF($D871&lt;&gt;0,SUMIF(куб!$D:$D,$D871,куб!H:H),IF($C871&lt;&gt;0,SUMIF(куб!$C:$C,$C871,куб!H:H),IF($B871&lt;&gt;0,SUMIF(куб!$B:$B,$B871,куб!H:H),IF($G871&lt;&gt;0,SUMIF(куб!$A:$A,$G871,куб!H:H),SUMIF(куб!$A:$A,$G871,куб!H:H)))))))</f>
        <v>0</v>
      </c>
      <c r="I871" s="27">
        <f>IF($G871&lt;&gt;0,SUMIF(куб!$G:$G,$G871,куб!I:I),IF($E871&lt;&gt;0,SUMIF(куб!$E:$E,$E871,куб!I:I),IF($D871&lt;&gt;0,SUMIF(куб!$D:$D,$D871,куб!I:I),IF($C871&lt;&gt;0,SUMIF(куб!$C:$C,$C871,куб!I:I),IF($B871&lt;&gt;0,SUMIF(куб!$B:$B,$B871,куб!I:I),IF($G871&lt;&gt;0,SUMIF(куб!$A:$A,$G871,куб!I:I),SUMIF(куб!$A:$A,$G871,куб!I:I)))))))</f>
        <v>0</v>
      </c>
      <c r="J871" s="19" t="str">
        <f t="shared" si="273"/>
        <v>-</v>
      </c>
      <c r="K871" s="8"/>
      <c r="L871" s="17">
        <f t="shared" si="274"/>
        <v>0</v>
      </c>
      <c r="M871" s="17">
        <f t="shared" si="275"/>
        <v>0</v>
      </c>
      <c r="N871" s="12">
        <f t="shared" si="276"/>
        <v>0</v>
      </c>
      <c r="O871" s="5"/>
      <c r="P871" s="27" t="b">
        <f>IF($G871&lt;&gt;0,SUMIF(куб!$G:$G,$G871,куб!J:J),IF($E871&lt;&gt;0,SUMIF(куб!$E:$E,$E871,куб!J:J),IF($D871&lt;&gt;0,SUMIF(куб!$D:$D,$D871,куб!J:J),IF($C871&lt;&gt;0,SUMIF(куб!$C:$C,$C871,куб!J:J),IF($B871&lt;&gt;0,SUMIF(куб!$B:$B,$B871,куб!J:J))))))</f>
        <v>0</v>
      </c>
      <c r="Q871" s="27" t="b">
        <f>IF($G871&lt;&gt;0,SUMIF(куб!$G:$G,$G871,куб!K:K),IF($E871&lt;&gt;0,SUMIF(куб!$E:$E,$E871,куб!K:K),IF($D871&lt;&gt;0,SUMIF(куб!$D:$D,$D871,куб!K:K),IF($C871&lt;&gt;0,SUMIF(куб!$C:$C,$C871,куб!K:K),IF($B871&lt;&gt;0,SUMIF(куб!$B:$B,$B871,куб!K:K))))))</f>
        <v>0</v>
      </c>
      <c r="R871" s="13" t="str">
        <f t="shared" si="277"/>
        <v>-</v>
      </c>
      <c r="S871" s="5"/>
      <c r="T871" s="27" t="b">
        <f>IF($G871&lt;&gt;0,SUMIF(куб!$G:$G,$G871,куб!L:L),IF($E871&lt;&gt;0,SUMIF(куб!$E:$E,$E871,куб!L:L),IF($D871&lt;&gt;0,SUMIF(куб!$D:$D,$D871,куб!L:L),IF($C871&lt;&gt;0,SUMIF(куб!$C:$C,$C871,куб!L:L),IF($B871&lt;&gt;0,SUMIF(куб!$B:$B,$B871,куб!L:L))))))</f>
        <v>0</v>
      </c>
      <c r="U871" s="27" t="b">
        <f>IF($G871&lt;&gt;0,SUMIF(куб!$G:$G,$G871,куб!M:M),IF($E871&lt;&gt;0,SUMIF(куб!$E:$E,$E871,куб!M:M),IF($D871&lt;&gt;0,SUMIF(куб!$D:$D,$D871,куб!M:M),IF($C871&lt;&gt;0,SUMIF(куб!$C:$C,$C871,куб!M:M),IF($B871&lt;&gt;0,SUMIF(куб!$B:$B,$B871,куб!M:M))))))</f>
        <v>0</v>
      </c>
      <c r="V871" s="13" t="str">
        <f t="shared" si="278"/>
        <v>-</v>
      </c>
      <c r="W871" s="5"/>
      <c r="X871" s="27" t="b">
        <f>IF($G871&lt;&gt;0,SUMIF(куб!$G:$G,$G871,куб!N:N),IF($E871&lt;&gt;0,SUMIF(куб!$E:$E,$E871,куб!N:N),IF($D871&lt;&gt;0,SUMIF(куб!$D:$D,$D871,куб!N:N),IF($C871&lt;&gt;0,SUMIF(куб!$C:$C,$C871,куб!N:N),IF($B871&lt;&gt;0,SUMIF(куб!$B:$B,$B871,куб!N:N))))))</f>
        <v>0</v>
      </c>
      <c r="Y871" s="27" t="b">
        <f>IF($G871&lt;&gt;0,SUMIF(куб!$G:$G,$G871,куб!O:O),IF($E871&lt;&gt;0,SUMIF(куб!$E:$E,$E871,куб!O:O),IF($D871&lt;&gt;0,SUMIF(куб!$D:$D,$D871,куб!O:O),IF($C871&lt;&gt;0,SUMIF(куб!$C:$C,$C871,куб!O:O),IF($B871&lt;&gt;0,SUMIF(куб!$B:$B,$B871,куб!O:O))))))</f>
        <v>0</v>
      </c>
      <c r="Z871" s="13" t="str">
        <f t="shared" si="279"/>
        <v>-</v>
      </c>
      <c r="AA871" s="5"/>
      <c r="AB871" s="33" t="str">
        <f t="shared" si="280"/>
        <v/>
      </c>
      <c r="AC871" s="33" t="str">
        <f t="shared" si="281"/>
        <v/>
      </c>
      <c r="AD871" s="15" t="str">
        <f t="shared" si="282"/>
        <v xml:space="preserve"> </v>
      </c>
      <c r="AE871" s="5"/>
      <c r="AF871" s="27" t="b">
        <f>IF($G871&lt;&gt;0,SUMIF(куб!$G:$G,$G871,куб!R:R),IF($E871&lt;&gt;0,SUMIF(куб!$E:$E,$E871,куб!R:R),IF($D871&lt;&gt;0,SUMIF(куб!$D:$D,$D871,куб!R:R),IF($C871&lt;&gt;0,SUMIF(куб!$C:$C,$C871,куб!R:R),IF($B871&lt;&gt;0,SUMIF(куб!$B:$B,$B871,куб!R:R))))))</f>
        <v>0</v>
      </c>
      <c r="AG871" s="27" t="b">
        <f>IF($G871&lt;&gt;0,SUMIF(куб!$G:$G,$G871,куб!S:S),IF($E871&lt;&gt;0,SUMIF(куб!$E:$E,$E871,куб!S:S),IF($D871&lt;&gt;0,SUMIF(куб!$D:$D,$D871,куб!S:S),IF($C871&lt;&gt;0,SUMIF(куб!$C:$C,$C871,куб!S:S),IF($B871&lt;&gt;0,SUMIF(куб!$B:$B,$B871,куб!S:S))))))</f>
        <v>0</v>
      </c>
      <c r="AH871" s="16" t="str">
        <f t="shared" si="283"/>
        <v>-</v>
      </c>
      <c r="AI871" s="8"/>
      <c r="AJ871" s="27" t="b">
        <f>IF($G871&lt;&gt;0,SUMIF(куб!$G:$G,$G871,куб!T:T),IF($E871&lt;&gt;0,SUMIF(куб!$E:$E,$E871,куб!T:T),IF($D871&lt;&gt;0,SUMIF(куб!$D:$D,$D871,куб!T:T),IF($C871&lt;&gt;0,SUMIF(куб!$C:$C,$C871,куб!T:T),IF($B871&lt;&gt;0,SUMIF(куб!$B:$B,$B871,куб!T:T))))))</f>
        <v>0</v>
      </c>
      <c r="AK871" s="27" t="b">
        <f>IF($G871&lt;&gt;0,SUMIF(куб!$G:$G,$G871,куб!U:U),IF($E871&lt;&gt;0,SUMIF(куб!$E:$E,$E871,куб!U:U),IF($D871&lt;&gt;0,SUMIF(куб!$D:$D,$D871,куб!U:U),IF($C871&lt;&gt;0,SUMIF(куб!$C:$C,$C871,куб!U:U),IF($B871&lt;&gt;0,SUMIF(куб!$B:$B,$B871,куб!U:U))))))</f>
        <v>0</v>
      </c>
      <c r="AL871" s="16" t="str">
        <f t="shared" si="284"/>
        <v>-</v>
      </c>
      <c r="AM871" s="8"/>
      <c r="AN871" s="17" t="str">
        <f t="shared" si="285"/>
        <v xml:space="preserve"> </v>
      </c>
      <c r="AO871" s="17" t="str">
        <f t="shared" si="286"/>
        <v xml:space="preserve"> </v>
      </c>
      <c r="AP871" s="16" t="str">
        <f t="shared" si="287"/>
        <v>-</v>
      </c>
      <c r="AQ871" s="8"/>
      <c r="AR871" s="17" t="str">
        <f t="shared" si="288"/>
        <v>-</v>
      </c>
      <c r="AS871" s="17" t="str">
        <f t="shared" si="289"/>
        <v>-</v>
      </c>
      <c r="AT871" s="13" t="str">
        <f t="shared" si="290"/>
        <v>-</v>
      </c>
      <c r="AU871" s="8"/>
    </row>
    <row r="872" spans="1:47" x14ac:dyDescent="0.25">
      <c r="A872" s="31"/>
      <c r="B872" s="31"/>
      <c r="C872"/>
      <c r="D872" s="31"/>
      <c r="E872"/>
      <c r="F872" s="31"/>
      <c r="G872"/>
      <c r="H872" s="27">
        <f>IF($G872&lt;&gt;0,SUMIF(куб!$G:$G,$G872,куб!H:H),IF($E872&lt;&gt;0,SUMIF(куб!$E:$E,$E872,куб!H:H),IF($D872&lt;&gt;0,SUMIF(куб!$D:$D,$D872,куб!H:H),IF($C872&lt;&gt;0,SUMIF(куб!$C:$C,$C872,куб!H:H),IF($B872&lt;&gt;0,SUMIF(куб!$B:$B,$B872,куб!H:H),IF($G872&lt;&gt;0,SUMIF(куб!$A:$A,$G872,куб!H:H),SUMIF(куб!$A:$A,$G872,куб!H:H)))))))</f>
        <v>0</v>
      </c>
      <c r="I872" s="27">
        <f>IF($G872&lt;&gt;0,SUMIF(куб!$G:$G,$G872,куб!I:I),IF($E872&lt;&gt;0,SUMIF(куб!$E:$E,$E872,куб!I:I),IF($D872&lt;&gt;0,SUMIF(куб!$D:$D,$D872,куб!I:I),IF($C872&lt;&gt;0,SUMIF(куб!$C:$C,$C872,куб!I:I),IF($B872&lt;&gt;0,SUMIF(куб!$B:$B,$B872,куб!I:I),IF($G872&lt;&gt;0,SUMIF(куб!$A:$A,$G872,куб!I:I),SUMIF(куб!$A:$A,$G872,куб!I:I)))))))</f>
        <v>0</v>
      </c>
      <c r="J872" s="19" t="str">
        <f t="shared" si="273"/>
        <v>-</v>
      </c>
      <c r="K872" s="8"/>
      <c r="L872" s="17">
        <f t="shared" si="274"/>
        <v>0</v>
      </c>
      <c r="M872" s="17">
        <f t="shared" si="275"/>
        <v>0</v>
      </c>
      <c r="N872" s="12">
        <f t="shared" si="276"/>
        <v>0</v>
      </c>
      <c r="O872" s="5"/>
      <c r="P872" s="27" t="b">
        <f>IF($G872&lt;&gt;0,SUMIF(куб!$G:$G,$G872,куб!J:J),IF($E872&lt;&gt;0,SUMIF(куб!$E:$E,$E872,куб!J:J),IF($D872&lt;&gt;0,SUMIF(куб!$D:$D,$D872,куб!J:J),IF($C872&lt;&gt;0,SUMIF(куб!$C:$C,$C872,куб!J:J),IF($B872&lt;&gt;0,SUMIF(куб!$B:$B,$B872,куб!J:J))))))</f>
        <v>0</v>
      </c>
      <c r="Q872" s="27" t="b">
        <f>IF($G872&lt;&gt;0,SUMIF(куб!$G:$G,$G872,куб!K:K),IF($E872&lt;&gt;0,SUMIF(куб!$E:$E,$E872,куб!K:K),IF($D872&lt;&gt;0,SUMIF(куб!$D:$D,$D872,куб!K:K),IF($C872&lt;&gt;0,SUMIF(куб!$C:$C,$C872,куб!K:K),IF($B872&lt;&gt;0,SUMIF(куб!$B:$B,$B872,куб!K:K))))))</f>
        <v>0</v>
      </c>
      <c r="R872" s="13" t="str">
        <f t="shared" si="277"/>
        <v>-</v>
      </c>
      <c r="S872" s="5"/>
      <c r="T872" s="27" t="b">
        <f>IF($G872&lt;&gt;0,SUMIF(куб!$G:$G,$G872,куб!L:L),IF($E872&lt;&gt;0,SUMIF(куб!$E:$E,$E872,куб!L:L),IF($D872&lt;&gt;0,SUMIF(куб!$D:$D,$D872,куб!L:L),IF($C872&lt;&gt;0,SUMIF(куб!$C:$C,$C872,куб!L:L),IF($B872&lt;&gt;0,SUMIF(куб!$B:$B,$B872,куб!L:L))))))</f>
        <v>0</v>
      </c>
      <c r="U872" s="27" t="b">
        <f>IF($G872&lt;&gt;0,SUMIF(куб!$G:$G,$G872,куб!M:M),IF($E872&lt;&gt;0,SUMIF(куб!$E:$E,$E872,куб!M:M),IF($D872&lt;&gt;0,SUMIF(куб!$D:$D,$D872,куб!M:M),IF($C872&lt;&gt;0,SUMIF(куб!$C:$C,$C872,куб!M:M),IF($B872&lt;&gt;0,SUMIF(куб!$B:$B,$B872,куб!M:M))))))</f>
        <v>0</v>
      </c>
      <c r="V872" s="13" t="str">
        <f t="shared" si="278"/>
        <v>-</v>
      </c>
      <c r="W872" s="5"/>
      <c r="X872" s="27" t="b">
        <f>IF($G872&lt;&gt;0,SUMIF(куб!$G:$G,$G872,куб!N:N),IF($E872&lt;&gt;0,SUMIF(куб!$E:$E,$E872,куб!N:N),IF($D872&lt;&gt;0,SUMIF(куб!$D:$D,$D872,куб!N:N),IF($C872&lt;&gt;0,SUMIF(куб!$C:$C,$C872,куб!N:N),IF($B872&lt;&gt;0,SUMIF(куб!$B:$B,$B872,куб!N:N))))))</f>
        <v>0</v>
      </c>
      <c r="Y872" s="27" t="b">
        <f>IF($G872&lt;&gt;0,SUMIF(куб!$G:$G,$G872,куб!O:O),IF($E872&lt;&gt;0,SUMIF(куб!$E:$E,$E872,куб!O:O),IF($D872&lt;&gt;0,SUMIF(куб!$D:$D,$D872,куб!O:O),IF($C872&lt;&gt;0,SUMIF(куб!$C:$C,$C872,куб!O:O),IF($B872&lt;&gt;0,SUMIF(куб!$B:$B,$B872,куб!O:O))))))</f>
        <v>0</v>
      </c>
      <c r="Z872" s="13" t="str">
        <f t="shared" si="279"/>
        <v>-</v>
      </c>
      <c r="AA872" s="5"/>
      <c r="AB872" s="33" t="str">
        <f t="shared" si="280"/>
        <v/>
      </c>
      <c r="AC872" s="33" t="str">
        <f t="shared" si="281"/>
        <v/>
      </c>
      <c r="AD872" s="15" t="str">
        <f t="shared" si="282"/>
        <v xml:space="preserve"> </v>
      </c>
      <c r="AE872" s="5"/>
      <c r="AF872" s="27" t="b">
        <f>IF($G872&lt;&gt;0,SUMIF(куб!$G:$G,$G872,куб!R:R),IF($E872&lt;&gt;0,SUMIF(куб!$E:$E,$E872,куб!R:R),IF($D872&lt;&gt;0,SUMIF(куб!$D:$D,$D872,куб!R:R),IF($C872&lt;&gt;0,SUMIF(куб!$C:$C,$C872,куб!R:R),IF($B872&lt;&gt;0,SUMIF(куб!$B:$B,$B872,куб!R:R))))))</f>
        <v>0</v>
      </c>
      <c r="AG872" s="27" t="b">
        <f>IF($G872&lt;&gt;0,SUMIF(куб!$G:$G,$G872,куб!S:S),IF($E872&lt;&gt;0,SUMIF(куб!$E:$E,$E872,куб!S:S),IF($D872&lt;&gt;0,SUMIF(куб!$D:$D,$D872,куб!S:S),IF($C872&lt;&gt;0,SUMIF(куб!$C:$C,$C872,куб!S:S),IF($B872&lt;&gt;0,SUMIF(куб!$B:$B,$B872,куб!S:S))))))</f>
        <v>0</v>
      </c>
      <c r="AH872" s="16" t="str">
        <f t="shared" si="283"/>
        <v>-</v>
      </c>
      <c r="AI872" s="8"/>
      <c r="AJ872" s="27" t="b">
        <f>IF($G872&lt;&gt;0,SUMIF(куб!$G:$G,$G872,куб!T:T),IF($E872&lt;&gt;0,SUMIF(куб!$E:$E,$E872,куб!T:T),IF($D872&lt;&gt;0,SUMIF(куб!$D:$D,$D872,куб!T:T),IF($C872&lt;&gt;0,SUMIF(куб!$C:$C,$C872,куб!T:T),IF($B872&lt;&gt;0,SUMIF(куб!$B:$B,$B872,куб!T:T))))))</f>
        <v>0</v>
      </c>
      <c r="AK872" s="27" t="b">
        <f>IF($G872&lt;&gt;0,SUMIF(куб!$G:$G,$G872,куб!U:U),IF($E872&lt;&gt;0,SUMIF(куб!$E:$E,$E872,куб!U:U),IF($D872&lt;&gt;0,SUMIF(куб!$D:$D,$D872,куб!U:U),IF($C872&lt;&gt;0,SUMIF(куб!$C:$C,$C872,куб!U:U),IF($B872&lt;&gt;0,SUMIF(куб!$B:$B,$B872,куб!U:U))))))</f>
        <v>0</v>
      </c>
      <c r="AL872" s="16" t="str">
        <f t="shared" si="284"/>
        <v>-</v>
      </c>
      <c r="AM872" s="8"/>
      <c r="AN872" s="17" t="str">
        <f t="shared" si="285"/>
        <v xml:space="preserve"> </v>
      </c>
      <c r="AO872" s="17" t="str">
        <f t="shared" si="286"/>
        <v xml:space="preserve"> </v>
      </c>
      <c r="AP872" s="16" t="str">
        <f t="shared" si="287"/>
        <v>-</v>
      </c>
      <c r="AQ872" s="8"/>
      <c r="AR872" s="17" t="str">
        <f t="shared" si="288"/>
        <v>-</v>
      </c>
      <c r="AS872" s="17" t="str">
        <f t="shared" si="289"/>
        <v>-</v>
      </c>
      <c r="AT872" s="13" t="str">
        <f t="shared" si="290"/>
        <v>-</v>
      </c>
      <c r="AU872" s="8"/>
    </row>
    <row r="873" spans="1:47" x14ac:dyDescent="0.25">
      <c r="A873" s="31"/>
      <c r="B873" s="31"/>
      <c r="C873"/>
      <c r="D873" s="31"/>
      <c r="E873"/>
      <c r="F873" s="31"/>
      <c r="G873"/>
      <c r="H873" s="27">
        <f>IF($G873&lt;&gt;0,SUMIF(куб!$G:$G,$G873,куб!H:H),IF($E873&lt;&gt;0,SUMIF(куб!$E:$E,$E873,куб!H:H),IF($D873&lt;&gt;0,SUMIF(куб!$D:$D,$D873,куб!H:H),IF($C873&lt;&gt;0,SUMIF(куб!$C:$C,$C873,куб!H:H),IF($B873&lt;&gt;0,SUMIF(куб!$B:$B,$B873,куб!H:H),IF($G873&lt;&gt;0,SUMIF(куб!$A:$A,$G873,куб!H:H),SUMIF(куб!$A:$A,$G873,куб!H:H)))))))</f>
        <v>0</v>
      </c>
      <c r="I873" s="27">
        <f>IF($G873&lt;&gt;0,SUMIF(куб!$G:$G,$G873,куб!I:I),IF($E873&lt;&gt;0,SUMIF(куб!$E:$E,$E873,куб!I:I),IF($D873&lt;&gt;0,SUMIF(куб!$D:$D,$D873,куб!I:I),IF($C873&lt;&gt;0,SUMIF(куб!$C:$C,$C873,куб!I:I),IF($B873&lt;&gt;0,SUMIF(куб!$B:$B,$B873,куб!I:I),IF($G873&lt;&gt;0,SUMIF(куб!$A:$A,$G873,куб!I:I),SUMIF(куб!$A:$A,$G873,куб!I:I)))))))</f>
        <v>0</v>
      </c>
      <c r="J873" s="19" t="str">
        <f t="shared" si="273"/>
        <v>-</v>
      </c>
      <c r="K873" s="8"/>
      <c r="L873" s="17">
        <f t="shared" si="274"/>
        <v>0</v>
      </c>
      <c r="M873" s="17">
        <f t="shared" si="275"/>
        <v>0</v>
      </c>
      <c r="N873" s="12">
        <f t="shared" si="276"/>
        <v>0</v>
      </c>
      <c r="O873" s="5"/>
      <c r="P873" s="27" t="b">
        <f>IF($G873&lt;&gt;0,SUMIF(куб!$G:$G,$G873,куб!J:J),IF($E873&lt;&gt;0,SUMIF(куб!$E:$E,$E873,куб!J:J),IF($D873&lt;&gt;0,SUMIF(куб!$D:$D,$D873,куб!J:J),IF($C873&lt;&gt;0,SUMIF(куб!$C:$C,$C873,куб!J:J),IF($B873&lt;&gt;0,SUMIF(куб!$B:$B,$B873,куб!J:J))))))</f>
        <v>0</v>
      </c>
      <c r="Q873" s="27" t="b">
        <f>IF($G873&lt;&gt;0,SUMIF(куб!$G:$G,$G873,куб!K:K),IF($E873&lt;&gt;0,SUMIF(куб!$E:$E,$E873,куб!K:K),IF($D873&lt;&gt;0,SUMIF(куб!$D:$D,$D873,куб!K:K),IF($C873&lt;&gt;0,SUMIF(куб!$C:$C,$C873,куб!K:K),IF($B873&lt;&gt;0,SUMIF(куб!$B:$B,$B873,куб!K:K))))))</f>
        <v>0</v>
      </c>
      <c r="R873" s="13" t="str">
        <f t="shared" si="277"/>
        <v>-</v>
      </c>
      <c r="S873" s="5"/>
      <c r="T873" s="27" t="b">
        <f>IF($G873&lt;&gt;0,SUMIF(куб!$G:$G,$G873,куб!L:L),IF($E873&lt;&gt;0,SUMIF(куб!$E:$E,$E873,куб!L:L),IF($D873&lt;&gt;0,SUMIF(куб!$D:$D,$D873,куб!L:L),IF($C873&lt;&gt;0,SUMIF(куб!$C:$C,$C873,куб!L:L),IF($B873&lt;&gt;0,SUMIF(куб!$B:$B,$B873,куб!L:L))))))</f>
        <v>0</v>
      </c>
      <c r="U873" s="27" t="b">
        <f>IF($G873&lt;&gt;0,SUMIF(куб!$G:$G,$G873,куб!M:M),IF($E873&lt;&gt;0,SUMIF(куб!$E:$E,$E873,куб!M:M),IF($D873&lt;&gt;0,SUMIF(куб!$D:$D,$D873,куб!M:M),IF($C873&lt;&gt;0,SUMIF(куб!$C:$C,$C873,куб!M:M),IF($B873&lt;&gt;0,SUMIF(куб!$B:$B,$B873,куб!M:M))))))</f>
        <v>0</v>
      </c>
      <c r="V873" s="13" t="str">
        <f t="shared" si="278"/>
        <v>-</v>
      </c>
      <c r="W873" s="5"/>
      <c r="X873" s="27" t="b">
        <f>IF($G873&lt;&gt;0,SUMIF(куб!$G:$G,$G873,куб!N:N),IF($E873&lt;&gt;0,SUMIF(куб!$E:$E,$E873,куб!N:N),IF($D873&lt;&gt;0,SUMIF(куб!$D:$D,$D873,куб!N:N),IF($C873&lt;&gt;0,SUMIF(куб!$C:$C,$C873,куб!N:N),IF($B873&lt;&gt;0,SUMIF(куб!$B:$B,$B873,куб!N:N))))))</f>
        <v>0</v>
      </c>
      <c r="Y873" s="27" t="b">
        <f>IF($G873&lt;&gt;0,SUMIF(куб!$G:$G,$G873,куб!O:O),IF($E873&lt;&gt;0,SUMIF(куб!$E:$E,$E873,куб!O:O),IF($D873&lt;&gt;0,SUMIF(куб!$D:$D,$D873,куб!O:O),IF($C873&lt;&gt;0,SUMIF(куб!$C:$C,$C873,куб!O:O),IF($B873&lt;&gt;0,SUMIF(куб!$B:$B,$B873,куб!O:O))))))</f>
        <v>0</v>
      </c>
      <c r="Z873" s="13" t="str">
        <f t="shared" si="279"/>
        <v>-</v>
      </c>
      <c r="AA873" s="5"/>
      <c r="AB873" s="33" t="str">
        <f t="shared" si="280"/>
        <v/>
      </c>
      <c r="AC873" s="33" t="str">
        <f t="shared" si="281"/>
        <v/>
      </c>
      <c r="AD873" s="15" t="str">
        <f t="shared" si="282"/>
        <v xml:space="preserve"> </v>
      </c>
      <c r="AE873" s="5"/>
      <c r="AF873" s="27" t="b">
        <f>IF($G873&lt;&gt;0,SUMIF(куб!$G:$G,$G873,куб!R:R),IF($E873&lt;&gt;0,SUMIF(куб!$E:$E,$E873,куб!R:R),IF($D873&lt;&gt;0,SUMIF(куб!$D:$D,$D873,куб!R:R),IF($C873&lt;&gt;0,SUMIF(куб!$C:$C,$C873,куб!R:R),IF($B873&lt;&gt;0,SUMIF(куб!$B:$B,$B873,куб!R:R))))))</f>
        <v>0</v>
      </c>
      <c r="AG873" s="27" t="b">
        <f>IF($G873&lt;&gt;0,SUMIF(куб!$G:$G,$G873,куб!S:S),IF($E873&lt;&gt;0,SUMIF(куб!$E:$E,$E873,куб!S:S),IF($D873&lt;&gt;0,SUMIF(куб!$D:$D,$D873,куб!S:S),IF($C873&lt;&gt;0,SUMIF(куб!$C:$C,$C873,куб!S:S),IF($B873&lt;&gt;0,SUMIF(куб!$B:$B,$B873,куб!S:S))))))</f>
        <v>0</v>
      </c>
      <c r="AH873" s="16" t="str">
        <f t="shared" si="283"/>
        <v>-</v>
      </c>
      <c r="AI873" s="8"/>
      <c r="AJ873" s="27" t="b">
        <f>IF($G873&lt;&gt;0,SUMIF(куб!$G:$G,$G873,куб!T:T),IF($E873&lt;&gt;0,SUMIF(куб!$E:$E,$E873,куб!T:T),IF($D873&lt;&gt;0,SUMIF(куб!$D:$D,$D873,куб!T:T),IF($C873&lt;&gt;0,SUMIF(куб!$C:$C,$C873,куб!T:T),IF($B873&lt;&gt;0,SUMIF(куб!$B:$B,$B873,куб!T:T))))))</f>
        <v>0</v>
      </c>
      <c r="AK873" s="27" t="b">
        <f>IF($G873&lt;&gt;0,SUMIF(куб!$G:$G,$G873,куб!U:U),IF($E873&lt;&gt;0,SUMIF(куб!$E:$E,$E873,куб!U:U),IF($D873&lt;&gt;0,SUMIF(куб!$D:$D,$D873,куб!U:U),IF($C873&lt;&gt;0,SUMIF(куб!$C:$C,$C873,куб!U:U),IF($B873&lt;&gt;0,SUMIF(куб!$B:$B,$B873,куб!U:U))))))</f>
        <v>0</v>
      </c>
      <c r="AL873" s="16" t="str">
        <f t="shared" si="284"/>
        <v>-</v>
      </c>
      <c r="AM873" s="8"/>
      <c r="AN873" s="17" t="str">
        <f t="shared" si="285"/>
        <v xml:space="preserve"> </v>
      </c>
      <c r="AO873" s="17" t="str">
        <f t="shared" si="286"/>
        <v xml:space="preserve"> </v>
      </c>
      <c r="AP873" s="16" t="str">
        <f t="shared" si="287"/>
        <v>-</v>
      </c>
      <c r="AQ873" s="8"/>
      <c r="AR873" s="17" t="str">
        <f t="shared" si="288"/>
        <v>-</v>
      </c>
      <c r="AS873" s="17" t="str">
        <f t="shared" si="289"/>
        <v>-</v>
      </c>
      <c r="AT873" s="13" t="str">
        <f t="shared" si="290"/>
        <v>-</v>
      </c>
      <c r="AU873" s="8"/>
    </row>
    <row r="874" spans="1:47" x14ac:dyDescent="0.25">
      <c r="A874" s="31"/>
      <c r="B874" s="31"/>
      <c r="C874"/>
      <c r="D874" s="31"/>
      <c r="E874"/>
      <c r="F874" s="31"/>
      <c r="G874"/>
      <c r="H874" s="27">
        <f>IF($G874&lt;&gt;0,SUMIF(куб!$G:$G,$G874,куб!H:H),IF($E874&lt;&gt;0,SUMIF(куб!$E:$E,$E874,куб!H:H),IF($D874&lt;&gt;0,SUMIF(куб!$D:$D,$D874,куб!H:H),IF($C874&lt;&gt;0,SUMIF(куб!$C:$C,$C874,куб!H:H),IF($B874&lt;&gt;0,SUMIF(куб!$B:$B,$B874,куб!H:H),IF($G874&lt;&gt;0,SUMIF(куб!$A:$A,$G874,куб!H:H),SUMIF(куб!$A:$A,$G874,куб!H:H)))))))</f>
        <v>0</v>
      </c>
      <c r="I874" s="27">
        <f>IF($G874&lt;&gt;0,SUMIF(куб!$G:$G,$G874,куб!I:I),IF($E874&lt;&gt;0,SUMIF(куб!$E:$E,$E874,куб!I:I),IF($D874&lt;&gt;0,SUMIF(куб!$D:$D,$D874,куб!I:I),IF($C874&lt;&gt;0,SUMIF(куб!$C:$C,$C874,куб!I:I),IF($B874&lt;&gt;0,SUMIF(куб!$B:$B,$B874,куб!I:I),IF($G874&lt;&gt;0,SUMIF(куб!$A:$A,$G874,куб!I:I),SUMIF(куб!$A:$A,$G874,куб!I:I)))))))</f>
        <v>0</v>
      </c>
      <c r="J874" s="19" t="str">
        <f t="shared" si="273"/>
        <v>-</v>
      </c>
      <c r="K874" s="8"/>
      <c r="L874" s="17">
        <f t="shared" si="274"/>
        <v>0</v>
      </c>
      <c r="M874" s="17">
        <f t="shared" si="275"/>
        <v>0</v>
      </c>
      <c r="N874" s="12">
        <f t="shared" si="276"/>
        <v>0</v>
      </c>
      <c r="O874" s="5"/>
      <c r="P874" s="27" t="b">
        <f>IF($G874&lt;&gt;0,SUMIF(куб!$G:$G,$G874,куб!J:J),IF($E874&lt;&gt;0,SUMIF(куб!$E:$E,$E874,куб!J:J),IF($D874&lt;&gt;0,SUMIF(куб!$D:$D,$D874,куб!J:J),IF($C874&lt;&gt;0,SUMIF(куб!$C:$C,$C874,куб!J:J),IF($B874&lt;&gt;0,SUMIF(куб!$B:$B,$B874,куб!J:J))))))</f>
        <v>0</v>
      </c>
      <c r="Q874" s="27" t="b">
        <f>IF($G874&lt;&gt;0,SUMIF(куб!$G:$G,$G874,куб!K:K),IF($E874&lt;&gt;0,SUMIF(куб!$E:$E,$E874,куб!K:K),IF($D874&lt;&gt;0,SUMIF(куб!$D:$D,$D874,куб!K:K),IF($C874&lt;&gt;0,SUMIF(куб!$C:$C,$C874,куб!K:K),IF($B874&lt;&gt;0,SUMIF(куб!$B:$B,$B874,куб!K:K))))))</f>
        <v>0</v>
      </c>
      <c r="R874" s="13" t="str">
        <f t="shared" si="277"/>
        <v>-</v>
      </c>
      <c r="S874" s="5"/>
      <c r="T874" s="27" t="b">
        <f>IF($G874&lt;&gt;0,SUMIF(куб!$G:$G,$G874,куб!L:L),IF($E874&lt;&gt;0,SUMIF(куб!$E:$E,$E874,куб!L:L),IF($D874&lt;&gt;0,SUMIF(куб!$D:$D,$D874,куб!L:L),IF($C874&lt;&gt;0,SUMIF(куб!$C:$C,$C874,куб!L:L),IF($B874&lt;&gt;0,SUMIF(куб!$B:$B,$B874,куб!L:L))))))</f>
        <v>0</v>
      </c>
      <c r="U874" s="27" t="b">
        <f>IF($G874&lt;&gt;0,SUMIF(куб!$G:$G,$G874,куб!M:M),IF($E874&lt;&gt;0,SUMIF(куб!$E:$E,$E874,куб!M:M),IF($D874&lt;&gt;0,SUMIF(куб!$D:$D,$D874,куб!M:M),IF($C874&lt;&gt;0,SUMIF(куб!$C:$C,$C874,куб!M:M),IF($B874&lt;&gt;0,SUMIF(куб!$B:$B,$B874,куб!M:M))))))</f>
        <v>0</v>
      </c>
      <c r="V874" s="13" t="str">
        <f t="shared" si="278"/>
        <v>-</v>
      </c>
      <c r="W874" s="5"/>
      <c r="X874" s="27" t="b">
        <f>IF($G874&lt;&gt;0,SUMIF(куб!$G:$G,$G874,куб!N:N),IF($E874&lt;&gt;0,SUMIF(куб!$E:$E,$E874,куб!N:N),IF($D874&lt;&gt;0,SUMIF(куб!$D:$D,$D874,куб!N:N),IF($C874&lt;&gt;0,SUMIF(куб!$C:$C,$C874,куб!N:N),IF($B874&lt;&gt;0,SUMIF(куб!$B:$B,$B874,куб!N:N))))))</f>
        <v>0</v>
      </c>
      <c r="Y874" s="27" t="b">
        <f>IF($G874&lt;&gt;0,SUMIF(куб!$G:$G,$G874,куб!O:O),IF($E874&lt;&gt;0,SUMIF(куб!$E:$E,$E874,куб!O:O),IF($D874&lt;&gt;0,SUMIF(куб!$D:$D,$D874,куб!O:O),IF($C874&lt;&gt;0,SUMIF(куб!$C:$C,$C874,куб!O:O),IF($B874&lt;&gt;0,SUMIF(куб!$B:$B,$B874,куб!O:O))))))</f>
        <v>0</v>
      </c>
      <c r="Z874" s="13" t="str">
        <f t="shared" si="279"/>
        <v>-</v>
      </c>
      <c r="AA874" s="5"/>
      <c r="AB874" s="33" t="str">
        <f t="shared" si="280"/>
        <v/>
      </c>
      <c r="AC874" s="33" t="str">
        <f t="shared" si="281"/>
        <v/>
      </c>
      <c r="AD874" s="15" t="str">
        <f t="shared" si="282"/>
        <v xml:space="preserve"> </v>
      </c>
      <c r="AE874" s="5"/>
      <c r="AF874" s="27" t="b">
        <f>IF($G874&lt;&gt;0,SUMIF(куб!$G:$G,$G874,куб!R:R),IF($E874&lt;&gt;0,SUMIF(куб!$E:$E,$E874,куб!R:R),IF($D874&lt;&gt;0,SUMIF(куб!$D:$D,$D874,куб!R:R),IF($C874&lt;&gt;0,SUMIF(куб!$C:$C,$C874,куб!R:R),IF($B874&lt;&gt;0,SUMIF(куб!$B:$B,$B874,куб!R:R))))))</f>
        <v>0</v>
      </c>
      <c r="AG874" s="27" t="b">
        <f>IF($G874&lt;&gt;0,SUMIF(куб!$G:$G,$G874,куб!S:S),IF($E874&lt;&gt;0,SUMIF(куб!$E:$E,$E874,куб!S:S),IF($D874&lt;&gt;0,SUMIF(куб!$D:$D,$D874,куб!S:S),IF($C874&lt;&gt;0,SUMIF(куб!$C:$C,$C874,куб!S:S),IF($B874&lt;&gt;0,SUMIF(куб!$B:$B,$B874,куб!S:S))))))</f>
        <v>0</v>
      </c>
      <c r="AH874" s="16" t="str">
        <f t="shared" si="283"/>
        <v>-</v>
      </c>
      <c r="AI874" s="8"/>
      <c r="AJ874" s="27" t="b">
        <f>IF($G874&lt;&gt;0,SUMIF(куб!$G:$G,$G874,куб!T:T),IF($E874&lt;&gt;0,SUMIF(куб!$E:$E,$E874,куб!T:T),IF($D874&lt;&gt;0,SUMIF(куб!$D:$D,$D874,куб!T:T),IF($C874&lt;&gt;0,SUMIF(куб!$C:$C,$C874,куб!T:T),IF($B874&lt;&gt;0,SUMIF(куб!$B:$B,$B874,куб!T:T))))))</f>
        <v>0</v>
      </c>
      <c r="AK874" s="27" t="b">
        <f>IF($G874&lt;&gt;0,SUMIF(куб!$G:$G,$G874,куб!U:U),IF($E874&lt;&gt;0,SUMIF(куб!$E:$E,$E874,куб!U:U),IF($D874&lt;&gt;0,SUMIF(куб!$D:$D,$D874,куб!U:U),IF($C874&lt;&gt;0,SUMIF(куб!$C:$C,$C874,куб!U:U),IF($B874&lt;&gt;0,SUMIF(куб!$B:$B,$B874,куб!U:U))))))</f>
        <v>0</v>
      </c>
      <c r="AL874" s="16" t="str">
        <f t="shared" si="284"/>
        <v>-</v>
      </c>
      <c r="AM874" s="8"/>
      <c r="AN874" s="17" t="str">
        <f t="shared" si="285"/>
        <v xml:space="preserve"> </v>
      </c>
      <c r="AO874" s="17" t="str">
        <f t="shared" si="286"/>
        <v xml:space="preserve"> </v>
      </c>
      <c r="AP874" s="16" t="str">
        <f t="shared" si="287"/>
        <v>-</v>
      </c>
      <c r="AQ874" s="8"/>
      <c r="AR874" s="17" t="str">
        <f t="shared" si="288"/>
        <v>-</v>
      </c>
      <c r="AS874" s="17" t="str">
        <f t="shared" si="289"/>
        <v>-</v>
      </c>
      <c r="AT874" s="13" t="str">
        <f t="shared" si="290"/>
        <v>-</v>
      </c>
      <c r="AU874" s="8"/>
    </row>
    <row r="875" spans="1:47" x14ac:dyDescent="0.25">
      <c r="A875" s="31"/>
      <c r="B875" s="31"/>
      <c r="C875"/>
      <c r="D875" s="31"/>
      <c r="E875"/>
      <c r="F875" s="31"/>
      <c r="G875"/>
      <c r="H875" s="27">
        <f>IF($G875&lt;&gt;0,SUMIF(куб!$G:$G,$G875,куб!H:H),IF($E875&lt;&gt;0,SUMIF(куб!$E:$E,$E875,куб!H:H),IF($D875&lt;&gt;0,SUMIF(куб!$D:$D,$D875,куб!H:H),IF($C875&lt;&gt;0,SUMIF(куб!$C:$C,$C875,куб!H:H),IF($B875&lt;&gt;0,SUMIF(куб!$B:$B,$B875,куб!H:H),IF($G875&lt;&gt;0,SUMIF(куб!$A:$A,$G875,куб!H:H),SUMIF(куб!$A:$A,$G875,куб!H:H)))))))</f>
        <v>0</v>
      </c>
      <c r="I875" s="27">
        <f>IF($G875&lt;&gt;0,SUMIF(куб!$G:$G,$G875,куб!I:I),IF($E875&lt;&gt;0,SUMIF(куб!$E:$E,$E875,куб!I:I),IF($D875&lt;&gt;0,SUMIF(куб!$D:$D,$D875,куб!I:I),IF($C875&lt;&gt;0,SUMIF(куб!$C:$C,$C875,куб!I:I),IF($B875&lt;&gt;0,SUMIF(куб!$B:$B,$B875,куб!I:I),IF($G875&lt;&gt;0,SUMIF(куб!$A:$A,$G875,куб!I:I),SUMIF(куб!$A:$A,$G875,куб!I:I)))))))</f>
        <v>0</v>
      </c>
      <c r="J875" s="19" t="str">
        <f t="shared" si="273"/>
        <v>-</v>
      </c>
      <c r="K875" s="8"/>
      <c r="L875" s="17">
        <f t="shared" si="274"/>
        <v>0</v>
      </c>
      <c r="M875" s="17">
        <f t="shared" si="275"/>
        <v>0</v>
      </c>
      <c r="N875" s="12">
        <f t="shared" si="276"/>
        <v>0</v>
      </c>
      <c r="O875" s="5"/>
      <c r="P875" s="27" t="b">
        <f>IF($G875&lt;&gt;0,SUMIF(куб!$G:$G,$G875,куб!J:J),IF($E875&lt;&gt;0,SUMIF(куб!$E:$E,$E875,куб!J:J),IF($D875&lt;&gt;0,SUMIF(куб!$D:$D,$D875,куб!J:J),IF($C875&lt;&gt;0,SUMIF(куб!$C:$C,$C875,куб!J:J),IF($B875&lt;&gt;0,SUMIF(куб!$B:$B,$B875,куб!J:J))))))</f>
        <v>0</v>
      </c>
      <c r="Q875" s="27" t="b">
        <f>IF($G875&lt;&gt;0,SUMIF(куб!$G:$G,$G875,куб!K:K),IF($E875&lt;&gt;0,SUMIF(куб!$E:$E,$E875,куб!K:K),IF($D875&lt;&gt;0,SUMIF(куб!$D:$D,$D875,куб!K:K),IF($C875&lt;&gt;0,SUMIF(куб!$C:$C,$C875,куб!K:K),IF($B875&lt;&gt;0,SUMIF(куб!$B:$B,$B875,куб!K:K))))))</f>
        <v>0</v>
      </c>
      <c r="R875" s="13" t="str">
        <f t="shared" si="277"/>
        <v>-</v>
      </c>
      <c r="S875" s="5"/>
      <c r="T875" s="27" t="b">
        <f>IF($G875&lt;&gt;0,SUMIF(куб!$G:$G,$G875,куб!L:L),IF($E875&lt;&gt;0,SUMIF(куб!$E:$E,$E875,куб!L:L),IF($D875&lt;&gt;0,SUMIF(куб!$D:$D,$D875,куб!L:L),IF($C875&lt;&gt;0,SUMIF(куб!$C:$C,$C875,куб!L:L),IF($B875&lt;&gt;0,SUMIF(куб!$B:$B,$B875,куб!L:L))))))</f>
        <v>0</v>
      </c>
      <c r="U875" s="27" t="b">
        <f>IF($G875&lt;&gt;0,SUMIF(куб!$G:$G,$G875,куб!M:M),IF($E875&lt;&gt;0,SUMIF(куб!$E:$E,$E875,куб!M:M),IF($D875&lt;&gt;0,SUMIF(куб!$D:$D,$D875,куб!M:M),IF($C875&lt;&gt;0,SUMIF(куб!$C:$C,$C875,куб!M:M),IF($B875&lt;&gt;0,SUMIF(куб!$B:$B,$B875,куб!M:M))))))</f>
        <v>0</v>
      </c>
      <c r="V875" s="13" t="str">
        <f t="shared" si="278"/>
        <v>-</v>
      </c>
      <c r="W875" s="5"/>
      <c r="X875" s="27" t="b">
        <f>IF($G875&lt;&gt;0,SUMIF(куб!$G:$G,$G875,куб!N:N),IF($E875&lt;&gt;0,SUMIF(куб!$E:$E,$E875,куб!N:N),IF($D875&lt;&gt;0,SUMIF(куб!$D:$D,$D875,куб!N:N),IF($C875&lt;&gt;0,SUMIF(куб!$C:$C,$C875,куб!N:N),IF($B875&lt;&gt;0,SUMIF(куб!$B:$B,$B875,куб!N:N))))))</f>
        <v>0</v>
      </c>
      <c r="Y875" s="27" t="b">
        <f>IF($G875&lt;&gt;0,SUMIF(куб!$G:$G,$G875,куб!O:O),IF($E875&lt;&gt;0,SUMIF(куб!$E:$E,$E875,куб!O:O),IF($D875&lt;&gt;0,SUMIF(куб!$D:$D,$D875,куб!O:O),IF($C875&lt;&gt;0,SUMIF(куб!$C:$C,$C875,куб!O:O),IF($B875&lt;&gt;0,SUMIF(куб!$B:$B,$B875,куб!O:O))))))</f>
        <v>0</v>
      </c>
      <c r="Z875" s="13" t="str">
        <f t="shared" si="279"/>
        <v>-</v>
      </c>
      <c r="AA875" s="5"/>
      <c r="AB875" s="33" t="str">
        <f t="shared" si="280"/>
        <v/>
      </c>
      <c r="AC875" s="33" t="str">
        <f t="shared" si="281"/>
        <v/>
      </c>
      <c r="AD875" s="15" t="str">
        <f t="shared" si="282"/>
        <v xml:space="preserve"> </v>
      </c>
      <c r="AE875" s="5"/>
      <c r="AF875" s="27" t="b">
        <f>IF($G875&lt;&gt;0,SUMIF(куб!$G:$G,$G875,куб!R:R),IF($E875&lt;&gt;0,SUMIF(куб!$E:$E,$E875,куб!R:R),IF($D875&lt;&gt;0,SUMIF(куб!$D:$D,$D875,куб!R:R),IF($C875&lt;&gt;0,SUMIF(куб!$C:$C,$C875,куб!R:R),IF($B875&lt;&gt;0,SUMIF(куб!$B:$B,$B875,куб!R:R))))))</f>
        <v>0</v>
      </c>
      <c r="AG875" s="27" t="b">
        <f>IF($G875&lt;&gt;0,SUMIF(куб!$G:$G,$G875,куб!S:S),IF($E875&lt;&gt;0,SUMIF(куб!$E:$E,$E875,куб!S:S),IF($D875&lt;&gt;0,SUMIF(куб!$D:$D,$D875,куб!S:S),IF($C875&lt;&gt;0,SUMIF(куб!$C:$C,$C875,куб!S:S),IF($B875&lt;&gt;0,SUMIF(куб!$B:$B,$B875,куб!S:S))))))</f>
        <v>0</v>
      </c>
      <c r="AH875" s="16" t="str">
        <f t="shared" si="283"/>
        <v>-</v>
      </c>
      <c r="AI875" s="8"/>
      <c r="AJ875" s="27" t="b">
        <f>IF($G875&lt;&gt;0,SUMIF(куб!$G:$G,$G875,куб!T:T),IF($E875&lt;&gt;0,SUMIF(куб!$E:$E,$E875,куб!T:T),IF($D875&lt;&gt;0,SUMIF(куб!$D:$D,$D875,куб!T:T),IF($C875&lt;&gt;0,SUMIF(куб!$C:$C,$C875,куб!T:T),IF($B875&lt;&gt;0,SUMIF(куб!$B:$B,$B875,куб!T:T))))))</f>
        <v>0</v>
      </c>
      <c r="AK875" s="27" t="b">
        <f>IF($G875&lt;&gt;0,SUMIF(куб!$G:$G,$G875,куб!U:U),IF($E875&lt;&gt;0,SUMIF(куб!$E:$E,$E875,куб!U:U),IF($D875&lt;&gt;0,SUMIF(куб!$D:$D,$D875,куб!U:U),IF($C875&lt;&gt;0,SUMIF(куб!$C:$C,$C875,куб!U:U),IF($B875&lt;&gt;0,SUMIF(куб!$B:$B,$B875,куб!U:U))))))</f>
        <v>0</v>
      </c>
      <c r="AL875" s="16" t="str">
        <f t="shared" si="284"/>
        <v>-</v>
      </c>
      <c r="AM875" s="8"/>
      <c r="AN875" s="17" t="str">
        <f t="shared" si="285"/>
        <v xml:space="preserve"> </v>
      </c>
      <c r="AO875" s="17" t="str">
        <f t="shared" si="286"/>
        <v xml:space="preserve"> </v>
      </c>
      <c r="AP875" s="16" t="str">
        <f t="shared" si="287"/>
        <v>-</v>
      </c>
      <c r="AQ875" s="8"/>
      <c r="AR875" s="17" t="str">
        <f t="shared" si="288"/>
        <v>-</v>
      </c>
      <c r="AS875" s="17" t="str">
        <f t="shared" si="289"/>
        <v>-</v>
      </c>
      <c r="AT875" s="13" t="str">
        <f t="shared" si="290"/>
        <v>-</v>
      </c>
      <c r="AU875" s="8"/>
    </row>
    <row r="876" spans="1:47" x14ac:dyDescent="0.25">
      <c r="A876" s="31"/>
      <c r="B876" s="31"/>
      <c r="C876"/>
      <c r="D876" s="31"/>
      <c r="E876"/>
      <c r="F876" s="31"/>
      <c r="G876"/>
      <c r="H876" s="27">
        <f>IF($G876&lt;&gt;0,SUMIF(куб!$G:$G,$G876,куб!H:H),IF($E876&lt;&gt;0,SUMIF(куб!$E:$E,$E876,куб!H:H),IF($D876&lt;&gt;0,SUMIF(куб!$D:$D,$D876,куб!H:H),IF($C876&lt;&gt;0,SUMIF(куб!$C:$C,$C876,куб!H:H),IF($B876&lt;&gt;0,SUMIF(куб!$B:$B,$B876,куб!H:H),IF($G876&lt;&gt;0,SUMIF(куб!$A:$A,$G876,куб!H:H),SUMIF(куб!$A:$A,$G876,куб!H:H)))))))</f>
        <v>0</v>
      </c>
      <c r="I876" s="27">
        <f>IF($G876&lt;&gt;0,SUMIF(куб!$G:$G,$G876,куб!I:I),IF($E876&lt;&gt;0,SUMIF(куб!$E:$E,$E876,куб!I:I),IF($D876&lt;&gt;0,SUMIF(куб!$D:$D,$D876,куб!I:I),IF($C876&lt;&gt;0,SUMIF(куб!$C:$C,$C876,куб!I:I),IF($B876&lt;&gt;0,SUMIF(куб!$B:$B,$B876,куб!I:I),IF($G876&lt;&gt;0,SUMIF(куб!$A:$A,$G876,куб!I:I),SUMIF(куб!$A:$A,$G876,куб!I:I)))))))</f>
        <v>0</v>
      </c>
      <c r="J876" s="19" t="str">
        <f t="shared" si="273"/>
        <v>-</v>
      </c>
      <c r="K876" s="8"/>
      <c r="L876" s="17">
        <f t="shared" si="274"/>
        <v>0</v>
      </c>
      <c r="M876" s="17">
        <f t="shared" si="275"/>
        <v>0</v>
      </c>
      <c r="N876" s="12">
        <f t="shared" si="276"/>
        <v>0</v>
      </c>
      <c r="O876" s="5"/>
      <c r="P876" s="27" t="b">
        <f>IF($G876&lt;&gt;0,SUMIF(куб!$G:$G,$G876,куб!J:J),IF($E876&lt;&gt;0,SUMIF(куб!$E:$E,$E876,куб!J:J),IF($D876&lt;&gt;0,SUMIF(куб!$D:$D,$D876,куб!J:J),IF($C876&lt;&gt;0,SUMIF(куб!$C:$C,$C876,куб!J:J),IF($B876&lt;&gt;0,SUMIF(куб!$B:$B,$B876,куб!J:J))))))</f>
        <v>0</v>
      </c>
      <c r="Q876" s="27" t="b">
        <f>IF($G876&lt;&gt;0,SUMIF(куб!$G:$G,$G876,куб!K:K),IF($E876&lt;&gt;0,SUMIF(куб!$E:$E,$E876,куб!K:K),IF($D876&lt;&gt;0,SUMIF(куб!$D:$D,$D876,куб!K:K),IF($C876&lt;&gt;0,SUMIF(куб!$C:$C,$C876,куб!K:K),IF($B876&lt;&gt;0,SUMIF(куб!$B:$B,$B876,куб!K:K))))))</f>
        <v>0</v>
      </c>
      <c r="R876" s="13" t="str">
        <f t="shared" si="277"/>
        <v>-</v>
      </c>
      <c r="S876" s="5"/>
      <c r="T876" s="27" t="b">
        <f>IF($G876&lt;&gt;0,SUMIF(куб!$G:$G,$G876,куб!L:L),IF($E876&lt;&gt;0,SUMIF(куб!$E:$E,$E876,куб!L:L),IF($D876&lt;&gt;0,SUMIF(куб!$D:$D,$D876,куб!L:L),IF($C876&lt;&gt;0,SUMIF(куб!$C:$C,$C876,куб!L:L),IF($B876&lt;&gt;0,SUMIF(куб!$B:$B,$B876,куб!L:L))))))</f>
        <v>0</v>
      </c>
      <c r="U876" s="27" t="b">
        <f>IF($G876&lt;&gt;0,SUMIF(куб!$G:$G,$G876,куб!M:M),IF($E876&lt;&gt;0,SUMIF(куб!$E:$E,$E876,куб!M:M),IF($D876&lt;&gt;0,SUMIF(куб!$D:$D,$D876,куб!M:M),IF($C876&lt;&gt;0,SUMIF(куб!$C:$C,$C876,куб!M:M),IF($B876&lt;&gt;0,SUMIF(куб!$B:$B,$B876,куб!M:M))))))</f>
        <v>0</v>
      </c>
      <c r="V876" s="13" t="str">
        <f t="shared" si="278"/>
        <v>-</v>
      </c>
      <c r="W876" s="5"/>
      <c r="X876" s="27" t="b">
        <f>IF($G876&lt;&gt;0,SUMIF(куб!$G:$G,$G876,куб!N:N),IF($E876&lt;&gt;0,SUMIF(куб!$E:$E,$E876,куб!N:N),IF($D876&lt;&gt;0,SUMIF(куб!$D:$D,$D876,куб!N:N),IF($C876&lt;&gt;0,SUMIF(куб!$C:$C,$C876,куб!N:N),IF($B876&lt;&gt;0,SUMIF(куб!$B:$B,$B876,куб!N:N))))))</f>
        <v>0</v>
      </c>
      <c r="Y876" s="27" t="b">
        <f>IF($G876&lt;&gt;0,SUMIF(куб!$G:$G,$G876,куб!O:O),IF($E876&lt;&gt;0,SUMIF(куб!$E:$E,$E876,куб!O:O),IF($D876&lt;&gt;0,SUMIF(куб!$D:$D,$D876,куб!O:O),IF($C876&lt;&gt;0,SUMIF(куб!$C:$C,$C876,куб!O:O),IF($B876&lt;&gt;0,SUMIF(куб!$B:$B,$B876,куб!O:O))))))</f>
        <v>0</v>
      </c>
      <c r="Z876" s="13" t="str">
        <f t="shared" si="279"/>
        <v>-</v>
      </c>
      <c r="AA876" s="5"/>
      <c r="AB876" s="33" t="str">
        <f t="shared" si="280"/>
        <v/>
      </c>
      <c r="AC876" s="33" t="str">
        <f t="shared" si="281"/>
        <v/>
      </c>
      <c r="AD876" s="15" t="str">
        <f t="shared" si="282"/>
        <v xml:space="preserve"> </v>
      </c>
      <c r="AE876" s="5"/>
      <c r="AF876" s="27" t="b">
        <f>IF($G876&lt;&gt;0,SUMIF(куб!$G:$G,$G876,куб!R:R),IF($E876&lt;&gt;0,SUMIF(куб!$E:$E,$E876,куб!R:R),IF($D876&lt;&gt;0,SUMIF(куб!$D:$D,$D876,куб!R:R),IF($C876&lt;&gt;0,SUMIF(куб!$C:$C,$C876,куб!R:R),IF($B876&lt;&gt;0,SUMIF(куб!$B:$B,$B876,куб!R:R))))))</f>
        <v>0</v>
      </c>
      <c r="AG876" s="27" t="b">
        <f>IF($G876&lt;&gt;0,SUMIF(куб!$G:$G,$G876,куб!S:S),IF($E876&lt;&gt;0,SUMIF(куб!$E:$E,$E876,куб!S:S),IF($D876&lt;&gt;0,SUMIF(куб!$D:$D,$D876,куб!S:S),IF($C876&lt;&gt;0,SUMIF(куб!$C:$C,$C876,куб!S:S),IF($B876&lt;&gt;0,SUMIF(куб!$B:$B,$B876,куб!S:S))))))</f>
        <v>0</v>
      </c>
      <c r="AH876" s="16" t="str">
        <f t="shared" si="283"/>
        <v>-</v>
      </c>
      <c r="AI876" s="8"/>
      <c r="AJ876" s="27" t="b">
        <f>IF($G876&lt;&gt;0,SUMIF(куб!$G:$G,$G876,куб!T:T),IF($E876&lt;&gt;0,SUMIF(куб!$E:$E,$E876,куб!T:T),IF($D876&lt;&gt;0,SUMIF(куб!$D:$D,$D876,куб!T:T),IF($C876&lt;&gt;0,SUMIF(куб!$C:$C,$C876,куб!T:T),IF($B876&lt;&gt;0,SUMIF(куб!$B:$B,$B876,куб!T:T))))))</f>
        <v>0</v>
      </c>
      <c r="AK876" s="27" t="b">
        <f>IF($G876&lt;&gt;0,SUMIF(куб!$G:$G,$G876,куб!U:U),IF($E876&lt;&gt;0,SUMIF(куб!$E:$E,$E876,куб!U:U),IF($D876&lt;&gt;0,SUMIF(куб!$D:$D,$D876,куб!U:U),IF($C876&lt;&gt;0,SUMIF(куб!$C:$C,$C876,куб!U:U),IF($B876&lt;&gt;0,SUMIF(куб!$B:$B,$B876,куб!U:U))))))</f>
        <v>0</v>
      </c>
      <c r="AL876" s="16" t="str">
        <f t="shared" si="284"/>
        <v>-</v>
      </c>
      <c r="AM876" s="8"/>
      <c r="AN876" s="17" t="str">
        <f t="shared" si="285"/>
        <v xml:space="preserve"> </v>
      </c>
      <c r="AO876" s="17" t="str">
        <f t="shared" si="286"/>
        <v xml:space="preserve"> </v>
      </c>
      <c r="AP876" s="16" t="str">
        <f t="shared" si="287"/>
        <v>-</v>
      </c>
      <c r="AQ876" s="8"/>
      <c r="AR876" s="17" t="str">
        <f t="shared" si="288"/>
        <v>-</v>
      </c>
      <c r="AS876" s="17" t="str">
        <f t="shared" si="289"/>
        <v>-</v>
      </c>
      <c r="AT876" s="13" t="str">
        <f t="shared" si="290"/>
        <v>-</v>
      </c>
      <c r="AU876" s="8"/>
    </row>
    <row r="877" spans="1:47" x14ac:dyDescent="0.25">
      <c r="A877" s="31"/>
      <c r="B877" s="31"/>
      <c r="C877"/>
      <c r="D877" s="31"/>
      <c r="E877"/>
      <c r="F877" s="31"/>
      <c r="G877"/>
      <c r="H877" s="27">
        <f>IF($G877&lt;&gt;0,SUMIF(куб!$G:$G,$G877,куб!H:H),IF($E877&lt;&gt;0,SUMIF(куб!$E:$E,$E877,куб!H:H),IF($D877&lt;&gt;0,SUMIF(куб!$D:$D,$D877,куб!H:H),IF($C877&lt;&gt;0,SUMIF(куб!$C:$C,$C877,куб!H:H),IF($B877&lt;&gt;0,SUMIF(куб!$B:$B,$B877,куб!H:H),IF($G877&lt;&gt;0,SUMIF(куб!$A:$A,$G877,куб!H:H),SUMIF(куб!$A:$A,$G877,куб!H:H)))))))</f>
        <v>0</v>
      </c>
      <c r="I877" s="27">
        <f>IF($G877&lt;&gt;0,SUMIF(куб!$G:$G,$G877,куб!I:I),IF($E877&lt;&gt;0,SUMIF(куб!$E:$E,$E877,куб!I:I),IF($D877&lt;&gt;0,SUMIF(куб!$D:$D,$D877,куб!I:I),IF($C877&lt;&gt;0,SUMIF(куб!$C:$C,$C877,куб!I:I),IF($B877&lt;&gt;0,SUMIF(куб!$B:$B,$B877,куб!I:I),IF($G877&lt;&gt;0,SUMIF(куб!$A:$A,$G877,куб!I:I),SUMIF(куб!$A:$A,$G877,куб!I:I)))))))</f>
        <v>0</v>
      </c>
      <c r="J877" s="19" t="str">
        <f t="shared" si="273"/>
        <v>-</v>
      </c>
      <c r="K877" s="8"/>
      <c r="L877" s="17">
        <f t="shared" si="274"/>
        <v>0</v>
      </c>
      <c r="M877" s="17">
        <f t="shared" si="275"/>
        <v>0</v>
      </c>
      <c r="N877" s="12">
        <f t="shared" si="276"/>
        <v>0</v>
      </c>
      <c r="O877" s="5"/>
      <c r="P877" s="27" t="b">
        <f>IF($G877&lt;&gt;0,SUMIF(куб!$G:$G,$G877,куб!J:J),IF($E877&lt;&gt;0,SUMIF(куб!$E:$E,$E877,куб!J:J),IF($D877&lt;&gt;0,SUMIF(куб!$D:$D,$D877,куб!J:J),IF($C877&lt;&gt;0,SUMIF(куб!$C:$C,$C877,куб!J:J),IF($B877&lt;&gt;0,SUMIF(куб!$B:$B,$B877,куб!J:J))))))</f>
        <v>0</v>
      </c>
      <c r="Q877" s="27" t="b">
        <f>IF($G877&lt;&gt;0,SUMIF(куб!$G:$G,$G877,куб!K:K),IF($E877&lt;&gt;0,SUMIF(куб!$E:$E,$E877,куб!K:K),IF($D877&lt;&gt;0,SUMIF(куб!$D:$D,$D877,куб!K:K),IF($C877&lt;&gt;0,SUMIF(куб!$C:$C,$C877,куб!K:K),IF($B877&lt;&gt;0,SUMIF(куб!$B:$B,$B877,куб!K:K))))))</f>
        <v>0</v>
      </c>
      <c r="R877" s="13" t="str">
        <f t="shared" si="277"/>
        <v>-</v>
      </c>
      <c r="S877" s="5"/>
      <c r="T877" s="27" t="b">
        <f>IF($G877&lt;&gt;0,SUMIF(куб!$G:$G,$G877,куб!L:L),IF($E877&lt;&gt;0,SUMIF(куб!$E:$E,$E877,куб!L:L),IF($D877&lt;&gt;0,SUMIF(куб!$D:$D,$D877,куб!L:L),IF($C877&lt;&gt;0,SUMIF(куб!$C:$C,$C877,куб!L:L),IF($B877&lt;&gt;0,SUMIF(куб!$B:$B,$B877,куб!L:L))))))</f>
        <v>0</v>
      </c>
      <c r="U877" s="27" t="b">
        <f>IF($G877&lt;&gt;0,SUMIF(куб!$G:$G,$G877,куб!M:M),IF($E877&lt;&gt;0,SUMIF(куб!$E:$E,$E877,куб!M:M),IF($D877&lt;&gt;0,SUMIF(куб!$D:$D,$D877,куб!M:M),IF($C877&lt;&gt;0,SUMIF(куб!$C:$C,$C877,куб!M:M),IF($B877&lt;&gt;0,SUMIF(куб!$B:$B,$B877,куб!M:M))))))</f>
        <v>0</v>
      </c>
      <c r="V877" s="13" t="str">
        <f t="shared" si="278"/>
        <v>-</v>
      </c>
      <c r="W877" s="5"/>
      <c r="X877" s="27" t="b">
        <f>IF($G877&lt;&gt;0,SUMIF(куб!$G:$G,$G877,куб!N:N),IF($E877&lt;&gt;0,SUMIF(куб!$E:$E,$E877,куб!N:N),IF($D877&lt;&gt;0,SUMIF(куб!$D:$D,$D877,куб!N:N),IF($C877&lt;&gt;0,SUMIF(куб!$C:$C,$C877,куб!N:N),IF($B877&lt;&gt;0,SUMIF(куб!$B:$B,$B877,куб!N:N))))))</f>
        <v>0</v>
      </c>
      <c r="Y877" s="27" t="b">
        <f>IF($G877&lt;&gt;0,SUMIF(куб!$G:$G,$G877,куб!O:O),IF($E877&lt;&gt;0,SUMIF(куб!$E:$E,$E877,куб!O:O),IF($D877&lt;&gt;0,SUMIF(куб!$D:$D,$D877,куб!O:O),IF($C877&lt;&gt;0,SUMIF(куб!$C:$C,$C877,куб!O:O),IF($B877&lt;&gt;0,SUMIF(куб!$B:$B,$B877,куб!O:O))))))</f>
        <v>0</v>
      </c>
      <c r="Z877" s="13" t="str">
        <f t="shared" si="279"/>
        <v>-</v>
      </c>
      <c r="AA877" s="5"/>
      <c r="AB877" s="33" t="str">
        <f t="shared" si="280"/>
        <v/>
      </c>
      <c r="AC877" s="33" t="str">
        <f t="shared" si="281"/>
        <v/>
      </c>
      <c r="AD877" s="15" t="str">
        <f t="shared" si="282"/>
        <v xml:space="preserve"> </v>
      </c>
      <c r="AE877" s="5"/>
      <c r="AF877" s="27" t="b">
        <f>IF($G877&lt;&gt;0,SUMIF(куб!$G:$G,$G877,куб!R:R),IF($E877&lt;&gt;0,SUMIF(куб!$E:$E,$E877,куб!R:R),IF($D877&lt;&gt;0,SUMIF(куб!$D:$D,$D877,куб!R:R),IF($C877&lt;&gt;0,SUMIF(куб!$C:$C,$C877,куб!R:R),IF($B877&lt;&gt;0,SUMIF(куб!$B:$B,$B877,куб!R:R))))))</f>
        <v>0</v>
      </c>
      <c r="AG877" s="27" t="b">
        <f>IF($G877&lt;&gt;0,SUMIF(куб!$G:$G,$G877,куб!S:S),IF($E877&lt;&gt;0,SUMIF(куб!$E:$E,$E877,куб!S:S),IF($D877&lt;&gt;0,SUMIF(куб!$D:$D,$D877,куб!S:S),IF($C877&lt;&gt;0,SUMIF(куб!$C:$C,$C877,куб!S:S),IF($B877&lt;&gt;0,SUMIF(куб!$B:$B,$B877,куб!S:S))))))</f>
        <v>0</v>
      </c>
      <c r="AH877" s="16" t="str">
        <f t="shared" si="283"/>
        <v>-</v>
      </c>
      <c r="AI877" s="8"/>
      <c r="AJ877" s="27" t="b">
        <f>IF($G877&lt;&gt;0,SUMIF(куб!$G:$G,$G877,куб!T:T),IF($E877&lt;&gt;0,SUMIF(куб!$E:$E,$E877,куб!T:T),IF($D877&lt;&gt;0,SUMIF(куб!$D:$D,$D877,куб!T:T),IF($C877&lt;&gt;0,SUMIF(куб!$C:$C,$C877,куб!T:T),IF($B877&lt;&gt;0,SUMIF(куб!$B:$B,$B877,куб!T:T))))))</f>
        <v>0</v>
      </c>
      <c r="AK877" s="27" t="b">
        <f>IF($G877&lt;&gt;0,SUMIF(куб!$G:$G,$G877,куб!U:U),IF($E877&lt;&gt;0,SUMIF(куб!$E:$E,$E877,куб!U:U),IF($D877&lt;&gt;0,SUMIF(куб!$D:$D,$D877,куб!U:U),IF($C877&lt;&gt;0,SUMIF(куб!$C:$C,$C877,куб!U:U),IF($B877&lt;&gt;0,SUMIF(куб!$B:$B,$B877,куб!U:U))))))</f>
        <v>0</v>
      </c>
      <c r="AL877" s="16" t="str">
        <f t="shared" si="284"/>
        <v>-</v>
      </c>
      <c r="AM877" s="8"/>
      <c r="AN877" s="17" t="str">
        <f t="shared" si="285"/>
        <v xml:space="preserve"> </v>
      </c>
      <c r="AO877" s="17" t="str">
        <f t="shared" si="286"/>
        <v xml:space="preserve"> </v>
      </c>
      <c r="AP877" s="16" t="str">
        <f t="shared" si="287"/>
        <v>-</v>
      </c>
      <c r="AQ877" s="8"/>
      <c r="AR877" s="17" t="str">
        <f t="shared" si="288"/>
        <v>-</v>
      </c>
      <c r="AS877" s="17" t="str">
        <f t="shared" si="289"/>
        <v>-</v>
      </c>
      <c r="AT877" s="13" t="str">
        <f t="shared" si="290"/>
        <v>-</v>
      </c>
      <c r="AU877" s="8"/>
    </row>
    <row r="878" spans="1:47" x14ac:dyDescent="0.25">
      <c r="A878" s="31"/>
      <c r="B878" s="31"/>
      <c r="C878"/>
      <c r="D878" s="31"/>
      <c r="E878"/>
      <c r="F878" s="31"/>
      <c r="G878"/>
      <c r="H878" s="27">
        <f>IF($G878&lt;&gt;0,SUMIF(куб!$G:$G,$G878,куб!H:H),IF($E878&lt;&gt;0,SUMIF(куб!$E:$E,$E878,куб!H:H),IF($D878&lt;&gt;0,SUMIF(куб!$D:$D,$D878,куб!H:H),IF($C878&lt;&gt;0,SUMIF(куб!$C:$C,$C878,куб!H:H),IF($B878&lt;&gt;0,SUMIF(куб!$B:$B,$B878,куб!H:H),IF($G878&lt;&gt;0,SUMIF(куб!$A:$A,$G878,куб!H:H),SUMIF(куб!$A:$A,$G878,куб!H:H)))))))</f>
        <v>0</v>
      </c>
      <c r="I878" s="27">
        <f>IF($G878&lt;&gt;0,SUMIF(куб!$G:$G,$G878,куб!I:I),IF($E878&lt;&gt;0,SUMIF(куб!$E:$E,$E878,куб!I:I),IF($D878&lt;&gt;0,SUMIF(куб!$D:$D,$D878,куб!I:I),IF($C878&lt;&gt;0,SUMIF(куб!$C:$C,$C878,куб!I:I),IF($B878&lt;&gt;0,SUMIF(куб!$B:$B,$B878,куб!I:I),IF($G878&lt;&gt;0,SUMIF(куб!$A:$A,$G878,куб!I:I),SUMIF(куб!$A:$A,$G878,куб!I:I)))))))</f>
        <v>0</v>
      </c>
      <c r="J878" s="19" t="str">
        <f t="shared" si="273"/>
        <v>-</v>
      </c>
      <c r="K878" s="8"/>
      <c r="L878" s="17">
        <f t="shared" si="274"/>
        <v>0</v>
      </c>
      <c r="M878" s="17">
        <f t="shared" si="275"/>
        <v>0</v>
      </c>
      <c r="N878" s="12">
        <f t="shared" si="276"/>
        <v>0</v>
      </c>
      <c r="O878" s="5"/>
      <c r="P878" s="27" t="b">
        <f>IF($G878&lt;&gt;0,SUMIF(куб!$G:$G,$G878,куб!J:J),IF($E878&lt;&gt;0,SUMIF(куб!$E:$E,$E878,куб!J:J),IF($D878&lt;&gt;0,SUMIF(куб!$D:$D,$D878,куб!J:J),IF($C878&lt;&gt;0,SUMIF(куб!$C:$C,$C878,куб!J:J),IF($B878&lt;&gt;0,SUMIF(куб!$B:$B,$B878,куб!J:J))))))</f>
        <v>0</v>
      </c>
      <c r="Q878" s="27" t="b">
        <f>IF($G878&lt;&gt;0,SUMIF(куб!$G:$G,$G878,куб!K:K),IF($E878&lt;&gt;0,SUMIF(куб!$E:$E,$E878,куб!K:K),IF($D878&lt;&gt;0,SUMIF(куб!$D:$D,$D878,куб!K:K),IF($C878&lt;&gt;0,SUMIF(куб!$C:$C,$C878,куб!K:K),IF($B878&lt;&gt;0,SUMIF(куб!$B:$B,$B878,куб!K:K))))))</f>
        <v>0</v>
      </c>
      <c r="R878" s="13" t="str">
        <f t="shared" si="277"/>
        <v>-</v>
      </c>
      <c r="S878" s="5"/>
      <c r="T878" s="27" t="b">
        <f>IF($G878&lt;&gt;0,SUMIF(куб!$G:$G,$G878,куб!L:L),IF($E878&lt;&gt;0,SUMIF(куб!$E:$E,$E878,куб!L:L),IF($D878&lt;&gt;0,SUMIF(куб!$D:$D,$D878,куб!L:L),IF($C878&lt;&gt;0,SUMIF(куб!$C:$C,$C878,куб!L:L),IF($B878&lt;&gt;0,SUMIF(куб!$B:$B,$B878,куб!L:L))))))</f>
        <v>0</v>
      </c>
      <c r="U878" s="27" t="b">
        <f>IF($G878&lt;&gt;0,SUMIF(куб!$G:$G,$G878,куб!M:M),IF($E878&lt;&gt;0,SUMIF(куб!$E:$E,$E878,куб!M:M),IF($D878&lt;&gt;0,SUMIF(куб!$D:$D,$D878,куб!M:M),IF($C878&lt;&gt;0,SUMIF(куб!$C:$C,$C878,куб!M:M),IF($B878&lt;&gt;0,SUMIF(куб!$B:$B,$B878,куб!M:M))))))</f>
        <v>0</v>
      </c>
      <c r="V878" s="13" t="str">
        <f t="shared" si="278"/>
        <v>-</v>
      </c>
      <c r="W878" s="5"/>
      <c r="X878" s="27" t="b">
        <f>IF($G878&lt;&gt;0,SUMIF(куб!$G:$G,$G878,куб!N:N),IF($E878&lt;&gt;0,SUMIF(куб!$E:$E,$E878,куб!N:N),IF($D878&lt;&gt;0,SUMIF(куб!$D:$D,$D878,куб!N:N),IF($C878&lt;&gt;0,SUMIF(куб!$C:$C,$C878,куб!N:N),IF($B878&lt;&gt;0,SUMIF(куб!$B:$B,$B878,куб!N:N))))))</f>
        <v>0</v>
      </c>
      <c r="Y878" s="27" t="b">
        <f>IF($G878&lt;&gt;0,SUMIF(куб!$G:$G,$G878,куб!O:O),IF($E878&lt;&gt;0,SUMIF(куб!$E:$E,$E878,куб!O:O),IF($D878&lt;&gt;0,SUMIF(куб!$D:$D,$D878,куб!O:O),IF($C878&lt;&gt;0,SUMIF(куб!$C:$C,$C878,куб!O:O),IF($B878&lt;&gt;0,SUMIF(куб!$B:$B,$B878,куб!O:O))))))</f>
        <v>0</v>
      </c>
      <c r="Z878" s="13" t="str">
        <f t="shared" si="279"/>
        <v>-</v>
      </c>
      <c r="AA878" s="5"/>
      <c r="AB878" s="33" t="str">
        <f t="shared" si="280"/>
        <v/>
      </c>
      <c r="AC878" s="33" t="str">
        <f t="shared" si="281"/>
        <v/>
      </c>
      <c r="AD878" s="15" t="str">
        <f t="shared" si="282"/>
        <v xml:space="preserve"> </v>
      </c>
      <c r="AE878" s="5"/>
      <c r="AF878" s="27" t="b">
        <f>IF($G878&lt;&gt;0,SUMIF(куб!$G:$G,$G878,куб!R:R),IF($E878&lt;&gt;0,SUMIF(куб!$E:$E,$E878,куб!R:R),IF($D878&lt;&gt;0,SUMIF(куб!$D:$D,$D878,куб!R:R),IF($C878&lt;&gt;0,SUMIF(куб!$C:$C,$C878,куб!R:R),IF($B878&lt;&gt;0,SUMIF(куб!$B:$B,$B878,куб!R:R))))))</f>
        <v>0</v>
      </c>
      <c r="AG878" s="27" t="b">
        <f>IF($G878&lt;&gt;0,SUMIF(куб!$G:$G,$G878,куб!S:S),IF($E878&lt;&gt;0,SUMIF(куб!$E:$E,$E878,куб!S:S),IF($D878&lt;&gt;0,SUMIF(куб!$D:$D,$D878,куб!S:S),IF($C878&lt;&gt;0,SUMIF(куб!$C:$C,$C878,куб!S:S),IF($B878&lt;&gt;0,SUMIF(куб!$B:$B,$B878,куб!S:S))))))</f>
        <v>0</v>
      </c>
      <c r="AH878" s="16" t="str">
        <f t="shared" si="283"/>
        <v>-</v>
      </c>
      <c r="AI878" s="8"/>
      <c r="AJ878" s="27" t="b">
        <f>IF($G878&lt;&gt;0,SUMIF(куб!$G:$G,$G878,куб!T:T),IF($E878&lt;&gt;0,SUMIF(куб!$E:$E,$E878,куб!T:T),IF($D878&lt;&gt;0,SUMIF(куб!$D:$D,$D878,куб!T:T),IF($C878&lt;&gt;0,SUMIF(куб!$C:$C,$C878,куб!T:T),IF($B878&lt;&gt;0,SUMIF(куб!$B:$B,$B878,куб!T:T))))))</f>
        <v>0</v>
      </c>
      <c r="AK878" s="27" t="b">
        <f>IF($G878&lt;&gt;0,SUMIF(куб!$G:$G,$G878,куб!U:U),IF($E878&lt;&gt;0,SUMIF(куб!$E:$E,$E878,куб!U:U),IF($D878&lt;&gt;0,SUMIF(куб!$D:$D,$D878,куб!U:U),IF($C878&lt;&gt;0,SUMIF(куб!$C:$C,$C878,куб!U:U),IF($B878&lt;&gt;0,SUMIF(куб!$B:$B,$B878,куб!U:U))))))</f>
        <v>0</v>
      </c>
      <c r="AL878" s="16" t="str">
        <f t="shared" si="284"/>
        <v>-</v>
      </c>
      <c r="AM878" s="8"/>
      <c r="AN878" s="17" t="str">
        <f t="shared" si="285"/>
        <v xml:space="preserve"> </v>
      </c>
      <c r="AO878" s="17" t="str">
        <f t="shared" si="286"/>
        <v xml:space="preserve"> </v>
      </c>
      <c r="AP878" s="16" t="str">
        <f t="shared" si="287"/>
        <v>-</v>
      </c>
      <c r="AQ878" s="8"/>
      <c r="AR878" s="17" t="str">
        <f t="shared" si="288"/>
        <v>-</v>
      </c>
      <c r="AS878" s="17" t="str">
        <f t="shared" si="289"/>
        <v>-</v>
      </c>
      <c r="AT878" s="13" t="str">
        <f t="shared" si="290"/>
        <v>-</v>
      </c>
      <c r="AU878" s="8"/>
    </row>
    <row r="879" spans="1:47" x14ac:dyDescent="0.25">
      <c r="A879" s="31"/>
      <c r="B879" s="31"/>
      <c r="C879"/>
      <c r="D879" s="31"/>
      <c r="E879"/>
      <c r="F879" s="31"/>
      <c r="G879"/>
      <c r="H879" s="27">
        <f>IF($G879&lt;&gt;0,SUMIF(куб!$G:$G,$G879,куб!H:H),IF($E879&lt;&gt;0,SUMIF(куб!$E:$E,$E879,куб!H:H),IF($D879&lt;&gt;0,SUMIF(куб!$D:$D,$D879,куб!H:H),IF($C879&lt;&gt;0,SUMIF(куб!$C:$C,$C879,куб!H:H),IF($B879&lt;&gt;0,SUMIF(куб!$B:$B,$B879,куб!H:H),IF($G879&lt;&gt;0,SUMIF(куб!$A:$A,$G879,куб!H:H),SUMIF(куб!$A:$A,$G879,куб!H:H)))))))</f>
        <v>0</v>
      </c>
      <c r="I879" s="27">
        <f>IF($G879&lt;&gt;0,SUMIF(куб!$G:$G,$G879,куб!I:I),IF($E879&lt;&gt;0,SUMIF(куб!$E:$E,$E879,куб!I:I),IF($D879&lt;&gt;0,SUMIF(куб!$D:$D,$D879,куб!I:I),IF($C879&lt;&gt;0,SUMIF(куб!$C:$C,$C879,куб!I:I),IF($B879&lt;&gt;0,SUMIF(куб!$B:$B,$B879,куб!I:I),IF($G879&lt;&gt;0,SUMIF(куб!$A:$A,$G879,куб!I:I),SUMIF(куб!$A:$A,$G879,куб!I:I)))))))</f>
        <v>0</v>
      </c>
      <c r="J879" s="19" t="str">
        <f t="shared" si="273"/>
        <v>-</v>
      </c>
      <c r="K879" s="8"/>
      <c r="L879" s="17">
        <f t="shared" si="274"/>
        <v>0</v>
      </c>
      <c r="M879" s="17">
        <f t="shared" si="275"/>
        <v>0</v>
      </c>
      <c r="N879" s="12">
        <f t="shared" si="276"/>
        <v>0</v>
      </c>
      <c r="O879" s="5"/>
      <c r="P879" s="27" t="b">
        <f>IF($G879&lt;&gt;0,SUMIF(куб!$G:$G,$G879,куб!J:J),IF($E879&lt;&gt;0,SUMIF(куб!$E:$E,$E879,куб!J:J),IF($D879&lt;&gt;0,SUMIF(куб!$D:$D,$D879,куб!J:J),IF($C879&lt;&gt;0,SUMIF(куб!$C:$C,$C879,куб!J:J),IF($B879&lt;&gt;0,SUMIF(куб!$B:$B,$B879,куб!J:J))))))</f>
        <v>0</v>
      </c>
      <c r="Q879" s="27" t="b">
        <f>IF($G879&lt;&gt;0,SUMIF(куб!$G:$G,$G879,куб!K:K),IF($E879&lt;&gt;0,SUMIF(куб!$E:$E,$E879,куб!K:K),IF($D879&lt;&gt;0,SUMIF(куб!$D:$D,$D879,куб!K:K),IF($C879&lt;&gt;0,SUMIF(куб!$C:$C,$C879,куб!K:K),IF($B879&lt;&gt;0,SUMIF(куб!$B:$B,$B879,куб!K:K))))))</f>
        <v>0</v>
      </c>
      <c r="R879" s="13" t="str">
        <f t="shared" si="277"/>
        <v>-</v>
      </c>
      <c r="S879" s="5"/>
      <c r="T879" s="27" t="b">
        <f>IF($G879&lt;&gt;0,SUMIF(куб!$G:$G,$G879,куб!L:L),IF($E879&lt;&gt;0,SUMIF(куб!$E:$E,$E879,куб!L:L),IF($D879&lt;&gt;0,SUMIF(куб!$D:$D,$D879,куб!L:L),IF($C879&lt;&gt;0,SUMIF(куб!$C:$C,$C879,куб!L:L),IF($B879&lt;&gt;0,SUMIF(куб!$B:$B,$B879,куб!L:L))))))</f>
        <v>0</v>
      </c>
      <c r="U879" s="27" t="b">
        <f>IF($G879&lt;&gt;0,SUMIF(куб!$G:$G,$G879,куб!M:M),IF($E879&lt;&gt;0,SUMIF(куб!$E:$E,$E879,куб!M:M),IF($D879&lt;&gt;0,SUMIF(куб!$D:$D,$D879,куб!M:M),IF($C879&lt;&gt;0,SUMIF(куб!$C:$C,$C879,куб!M:M),IF($B879&lt;&gt;0,SUMIF(куб!$B:$B,$B879,куб!M:M))))))</f>
        <v>0</v>
      </c>
      <c r="V879" s="13" t="str">
        <f t="shared" si="278"/>
        <v>-</v>
      </c>
      <c r="W879" s="5"/>
      <c r="X879" s="27" t="b">
        <f>IF($G879&lt;&gt;0,SUMIF(куб!$G:$G,$G879,куб!N:N),IF($E879&lt;&gt;0,SUMIF(куб!$E:$E,$E879,куб!N:N),IF($D879&lt;&gt;0,SUMIF(куб!$D:$D,$D879,куб!N:N),IF($C879&lt;&gt;0,SUMIF(куб!$C:$C,$C879,куб!N:N),IF($B879&lt;&gt;0,SUMIF(куб!$B:$B,$B879,куб!N:N))))))</f>
        <v>0</v>
      </c>
      <c r="Y879" s="27" t="b">
        <f>IF($G879&lt;&gt;0,SUMIF(куб!$G:$G,$G879,куб!O:O),IF($E879&lt;&gt;0,SUMIF(куб!$E:$E,$E879,куб!O:O),IF($D879&lt;&gt;0,SUMIF(куб!$D:$D,$D879,куб!O:O),IF($C879&lt;&gt;0,SUMIF(куб!$C:$C,$C879,куб!O:O),IF($B879&lt;&gt;0,SUMIF(куб!$B:$B,$B879,куб!O:O))))))</f>
        <v>0</v>
      </c>
      <c r="Z879" s="13" t="str">
        <f t="shared" si="279"/>
        <v>-</v>
      </c>
      <c r="AA879" s="5"/>
      <c r="AB879" s="33" t="str">
        <f t="shared" si="280"/>
        <v/>
      </c>
      <c r="AC879" s="33" t="str">
        <f t="shared" si="281"/>
        <v/>
      </c>
      <c r="AD879" s="15" t="str">
        <f t="shared" si="282"/>
        <v xml:space="preserve"> </v>
      </c>
      <c r="AE879" s="5"/>
      <c r="AF879" s="27" t="b">
        <f>IF($G879&lt;&gt;0,SUMIF(куб!$G:$G,$G879,куб!R:R),IF($E879&lt;&gt;0,SUMIF(куб!$E:$E,$E879,куб!R:R),IF($D879&lt;&gt;0,SUMIF(куб!$D:$D,$D879,куб!R:R),IF($C879&lt;&gt;0,SUMIF(куб!$C:$C,$C879,куб!R:R),IF($B879&lt;&gt;0,SUMIF(куб!$B:$B,$B879,куб!R:R))))))</f>
        <v>0</v>
      </c>
      <c r="AG879" s="27" t="b">
        <f>IF($G879&lt;&gt;0,SUMIF(куб!$G:$G,$G879,куб!S:S),IF($E879&lt;&gt;0,SUMIF(куб!$E:$E,$E879,куб!S:S),IF($D879&lt;&gt;0,SUMIF(куб!$D:$D,$D879,куб!S:S),IF($C879&lt;&gt;0,SUMIF(куб!$C:$C,$C879,куб!S:S),IF($B879&lt;&gt;0,SUMIF(куб!$B:$B,$B879,куб!S:S))))))</f>
        <v>0</v>
      </c>
      <c r="AH879" s="16" t="str">
        <f t="shared" si="283"/>
        <v>-</v>
      </c>
      <c r="AI879" s="8"/>
      <c r="AJ879" s="27" t="b">
        <f>IF($G879&lt;&gt;0,SUMIF(куб!$G:$G,$G879,куб!T:T),IF($E879&lt;&gt;0,SUMIF(куб!$E:$E,$E879,куб!T:T),IF($D879&lt;&gt;0,SUMIF(куб!$D:$D,$D879,куб!T:T),IF($C879&lt;&gt;0,SUMIF(куб!$C:$C,$C879,куб!T:T),IF($B879&lt;&gt;0,SUMIF(куб!$B:$B,$B879,куб!T:T))))))</f>
        <v>0</v>
      </c>
      <c r="AK879" s="27" t="b">
        <f>IF($G879&lt;&gt;0,SUMIF(куб!$G:$G,$G879,куб!U:U),IF($E879&lt;&gt;0,SUMIF(куб!$E:$E,$E879,куб!U:U),IF($D879&lt;&gt;0,SUMIF(куб!$D:$D,$D879,куб!U:U),IF($C879&lt;&gt;0,SUMIF(куб!$C:$C,$C879,куб!U:U),IF($B879&lt;&gt;0,SUMIF(куб!$B:$B,$B879,куб!U:U))))))</f>
        <v>0</v>
      </c>
      <c r="AL879" s="16" t="str">
        <f t="shared" si="284"/>
        <v>-</v>
      </c>
      <c r="AM879" s="8"/>
      <c r="AN879" s="17" t="str">
        <f t="shared" si="285"/>
        <v xml:space="preserve"> </v>
      </c>
      <c r="AO879" s="17" t="str">
        <f t="shared" si="286"/>
        <v xml:space="preserve"> </v>
      </c>
      <c r="AP879" s="16" t="str">
        <f t="shared" si="287"/>
        <v>-</v>
      </c>
      <c r="AQ879" s="8"/>
      <c r="AR879" s="17" t="str">
        <f t="shared" si="288"/>
        <v>-</v>
      </c>
      <c r="AS879" s="17" t="str">
        <f t="shared" si="289"/>
        <v>-</v>
      </c>
      <c r="AT879" s="13" t="str">
        <f t="shared" si="290"/>
        <v>-</v>
      </c>
      <c r="AU879" s="8"/>
    </row>
    <row r="880" spans="1:47" x14ac:dyDescent="0.25">
      <c r="A880" s="31"/>
      <c r="B880" s="31"/>
      <c r="C880"/>
      <c r="D880" s="31"/>
      <c r="E880"/>
      <c r="F880" s="31"/>
      <c r="G880"/>
      <c r="H880" s="27">
        <f>IF($G880&lt;&gt;0,SUMIF(куб!$G:$G,$G880,куб!H:H),IF($E880&lt;&gt;0,SUMIF(куб!$E:$E,$E880,куб!H:H),IF($D880&lt;&gt;0,SUMIF(куб!$D:$D,$D880,куб!H:H),IF($C880&lt;&gt;0,SUMIF(куб!$C:$C,$C880,куб!H:H),IF($B880&lt;&gt;0,SUMIF(куб!$B:$B,$B880,куб!H:H),IF($G880&lt;&gt;0,SUMIF(куб!$A:$A,$G880,куб!H:H),SUMIF(куб!$A:$A,$G880,куб!H:H)))))))</f>
        <v>0</v>
      </c>
      <c r="I880" s="27">
        <f>IF($G880&lt;&gt;0,SUMIF(куб!$G:$G,$G880,куб!I:I),IF($E880&lt;&gt;0,SUMIF(куб!$E:$E,$E880,куб!I:I),IF($D880&lt;&gt;0,SUMIF(куб!$D:$D,$D880,куб!I:I),IF($C880&lt;&gt;0,SUMIF(куб!$C:$C,$C880,куб!I:I),IF($B880&lt;&gt;0,SUMIF(куб!$B:$B,$B880,куб!I:I),IF($G880&lt;&gt;0,SUMIF(куб!$A:$A,$G880,куб!I:I),SUMIF(куб!$A:$A,$G880,куб!I:I)))))))</f>
        <v>0</v>
      </c>
      <c r="J880" s="19" t="str">
        <f t="shared" si="273"/>
        <v>-</v>
      </c>
      <c r="K880" s="8"/>
      <c r="L880" s="17">
        <f t="shared" si="274"/>
        <v>0</v>
      </c>
      <c r="M880" s="17">
        <f t="shared" si="275"/>
        <v>0</v>
      </c>
      <c r="N880" s="12">
        <f t="shared" si="276"/>
        <v>0</v>
      </c>
      <c r="O880" s="5"/>
      <c r="P880" s="27" t="b">
        <f>IF($G880&lt;&gt;0,SUMIF(куб!$G:$G,$G880,куб!J:J),IF($E880&lt;&gt;0,SUMIF(куб!$E:$E,$E880,куб!J:J),IF($D880&lt;&gt;0,SUMIF(куб!$D:$D,$D880,куб!J:J),IF($C880&lt;&gt;0,SUMIF(куб!$C:$C,$C880,куб!J:J),IF($B880&lt;&gt;0,SUMIF(куб!$B:$B,$B880,куб!J:J))))))</f>
        <v>0</v>
      </c>
      <c r="Q880" s="27" t="b">
        <f>IF($G880&lt;&gt;0,SUMIF(куб!$G:$G,$G880,куб!K:K),IF($E880&lt;&gt;0,SUMIF(куб!$E:$E,$E880,куб!K:K),IF($D880&lt;&gt;0,SUMIF(куб!$D:$D,$D880,куб!K:K),IF($C880&lt;&gt;0,SUMIF(куб!$C:$C,$C880,куб!K:K),IF($B880&lt;&gt;0,SUMIF(куб!$B:$B,$B880,куб!K:K))))))</f>
        <v>0</v>
      </c>
      <c r="R880" s="13" t="str">
        <f t="shared" si="277"/>
        <v>-</v>
      </c>
      <c r="S880" s="5"/>
      <c r="T880" s="27" t="b">
        <f>IF($G880&lt;&gt;0,SUMIF(куб!$G:$G,$G880,куб!L:L),IF($E880&lt;&gt;0,SUMIF(куб!$E:$E,$E880,куб!L:L),IF($D880&lt;&gt;0,SUMIF(куб!$D:$D,$D880,куб!L:L),IF($C880&lt;&gt;0,SUMIF(куб!$C:$C,$C880,куб!L:L),IF($B880&lt;&gt;0,SUMIF(куб!$B:$B,$B880,куб!L:L))))))</f>
        <v>0</v>
      </c>
      <c r="U880" s="27" t="b">
        <f>IF($G880&lt;&gt;0,SUMIF(куб!$G:$G,$G880,куб!M:M),IF($E880&lt;&gt;0,SUMIF(куб!$E:$E,$E880,куб!M:M),IF($D880&lt;&gt;0,SUMIF(куб!$D:$D,$D880,куб!M:M),IF($C880&lt;&gt;0,SUMIF(куб!$C:$C,$C880,куб!M:M),IF($B880&lt;&gt;0,SUMIF(куб!$B:$B,$B880,куб!M:M))))))</f>
        <v>0</v>
      </c>
      <c r="V880" s="13" t="str">
        <f t="shared" si="278"/>
        <v>-</v>
      </c>
      <c r="W880" s="5"/>
      <c r="X880" s="27" t="b">
        <f>IF($G880&lt;&gt;0,SUMIF(куб!$G:$G,$G880,куб!N:N),IF($E880&lt;&gt;0,SUMIF(куб!$E:$E,$E880,куб!N:N),IF($D880&lt;&gt;0,SUMIF(куб!$D:$D,$D880,куб!N:N),IF($C880&lt;&gt;0,SUMIF(куб!$C:$C,$C880,куб!N:N),IF($B880&lt;&gt;0,SUMIF(куб!$B:$B,$B880,куб!N:N))))))</f>
        <v>0</v>
      </c>
      <c r="Y880" s="27" t="b">
        <f>IF($G880&lt;&gt;0,SUMIF(куб!$G:$G,$G880,куб!O:O),IF($E880&lt;&gt;0,SUMIF(куб!$E:$E,$E880,куб!O:O),IF($D880&lt;&gt;0,SUMIF(куб!$D:$D,$D880,куб!O:O),IF($C880&lt;&gt;0,SUMIF(куб!$C:$C,$C880,куб!O:O),IF($B880&lt;&gt;0,SUMIF(куб!$B:$B,$B880,куб!O:O))))))</f>
        <v>0</v>
      </c>
      <c r="Z880" s="13" t="str">
        <f t="shared" si="279"/>
        <v>-</v>
      </c>
      <c r="AA880" s="5"/>
      <c r="AB880" s="33" t="str">
        <f t="shared" si="280"/>
        <v/>
      </c>
      <c r="AC880" s="33" t="str">
        <f t="shared" si="281"/>
        <v/>
      </c>
      <c r="AD880" s="15" t="str">
        <f t="shared" si="282"/>
        <v xml:space="preserve"> </v>
      </c>
      <c r="AE880" s="5"/>
      <c r="AF880" s="27" t="b">
        <f>IF($G880&lt;&gt;0,SUMIF(куб!$G:$G,$G880,куб!R:R),IF($E880&lt;&gt;0,SUMIF(куб!$E:$E,$E880,куб!R:R),IF($D880&lt;&gt;0,SUMIF(куб!$D:$D,$D880,куб!R:R),IF($C880&lt;&gt;0,SUMIF(куб!$C:$C,$C880,куб!R:R),IF($B880&lt;&gt;0,SUMIF(куб!$B:$B,$B880,куб!R:R))))))</f>
        <v>0</v>
      </c>
      <c r="AG880" s="27" t="b">
        <f>IF($G880&lt;&gt;0,SUMIF(куб!$G:$G,$G880,куб!S:S),IF($E880&lt;&gt;0,SUMIF(куб!$E:$E,$E880,куб!S:S),IF($D880&lt;&gt;0,SUMIF(куб!$D:$D,$D880,куб!S:S),IF($C880&lt;&gt;0,SUMIF(куб!$C:$C,$C880,куб!S:S),IF($B880&lt;&gt;0,SUMIF(куб!$B:$B,$B880,куб!S:S))))))</f>
        <v>0</v>
      </c>
      <c r="AH880" s="16" t="str">
        <f t="shared" si="283"/>
        <v>-</v>
      </c>
      <c r="AI880" s="8"/>
      <c r="AJ880" s="27" t="b">
        <f>IF($G880&lt;&gt;0,SUMIF(куб!$G:$G,$G880,куб!T:T),IF($E880&lt;&gt;0,SUMIF(куб!$E:$E,$E880,куб!T:T),IF($D880&lt;&gt;0,SUMIF(куб!$D:$D,$D880,куб!T:T),IF($C880&lt;&gt;0,SUMIF(куб!$C:$C,$C880,куб!T:T),IF($B880&lt;&gt;0,SUMIF(куб!$B:$B,$B880,куб!T:T))))))</f>
        <v>0</v>
      </c>
      <c r="AK880" s="27" t="b">
        <f>IF($G880&lt;&gt;0,SUMIF(куб!$G:$G,$G880,куб!U:U),IF($E880&lt;&gt;0,SUMIF(куб!$E:$E,$E880,куб!U:U),IF($D880&lt;&gt;0,SUMIF(куб!$D:$D,$D880,куб!U:U),IF($C880&lt;&gt;0,SUMIF(куб!$C:$C,$C880,куб!U:U),IF($B880&lt;&gt;0,SUMIF(куб!$B:$B,$B880,куб!U:U))))))</f>
        <v>0</v>
      </c>
      <c r="AL880" s="16" t="str">
        <f t="shared" si="284"/>
        <v>-</v>
      </c>
      <c r="AM880" s="8"/>
      <c r="AN880" s="17" t="str">
        <f t="shared" si="285"/>
        <v xml:space="preserve"> </v>
      </c>
      <c r="AO880" s="17" t="str">
        <f t="shared" si="286"/>
        <v xml:space="preserve"> </v>
      </c>
      <c r="AP880" s="16" t="str">
        <f t="shared" si="287"/>
        <v>-</v>
      </c>
      <c r="AQ880" s="8"/>
      <c r="AR880" s="17" t="str">
        <f t="shared" si="288"/>
        <v>-</v>
      </c>
      <c r="AS880" s="17" t="str">
        <f t="shared" si="289"/>
        <v>-</v>
      </c>
      <c r="AT880" s="13" t="str">
        <f t="shared" si="290"/>
        <v>-</v>
      </c>
      <c r="AU880" s="8"/>
    </row>
    <row r="881" spans="1:47" x14ac:dyDescent="0.25">
      <c r="A881" s="31"/>
      <c r="B881" s="31"/>
      <c r="C881"/>
      <c r="D881" s="31"/>
      <c r="E881"/>
      <c r="F881" s="31"/>
      <c r="G881"/>
      <c r="H881" s="27">
        <f>IF($G881&lt;&gt;0,SUMIF(куб!$G:$G,$G881,куб!H:H),IF($E881&lt;&gt;0,SUMIF(куб!$E:$E,$E881,куб!H:H),IF($D881&lt;&gt;0,SUMIF(куб!$D:$D,$D881,куб!H:H),IF($C881&lt;&gt;0,SUMIF(куб!$C:$C,$C881,куб!H:H),IF($B881&lt;&gt;0,SUMIF(куб!$B:$B,$B881,куб!H:H),IF($G881&lt;&gt;0,SUMIF(куб!$A:$A,$G881,куб!H:H),SUMIF(куб!$A:$A,$G881,куб!H:H)))))))</f>
        <v>0</v>
      </c>
      <c r="I881" s="27">
        <f>IF($G881&lt;&gt;0,SUMIF(куб!$G:$G,$G881,куб!I:I),IF($E881&lt;&gt;0,SUMIF(куб!$E:$E,$E881,куб!I:I),IF($D881&lt;&gt;0,SUMIF(куб!$D:$D,$D881,куб!I:I),IF($C881&lt;&gt;0,SUMIF(куб!$C:$C,$C881,куб!I:I),IF($B881&lt;&gt;0,SUMIF(куб!$B:$B,$B881,куб!I:I),IF($G881&lt;&gt;0,SUMIF(куб!$A:$A,$G881,куб!I:I),SUMIF(куб!$A:$A,$G881,куб!I:I)))))))</f>
        <v>0</v>
      </c>
      <c r="J881" s="19" t="str">
        <f t="shared" si="273"/>
        <v>-</v>
      </c>
      <c r="K881" s="8"/>
      <c r="L881" s="17">
        <f t="shared" si="274"/>
        <v>0</v>
      </c>
      <c r="M881" s="17">
        <f t="shared" si="275"/>
        <v>0</v>
      </c>
      <c r="N881" s="12">
        <f t="shared" si="276"/>
        <v>0</v>
      </c>
      <c r="O881" s="5"/>
      <c r="P881" s="27" t="b">
        <f>IF($G881&lt;&gt;0,SUMIF(куб!$G:$G,$G881,куб!J:J),IF($E881&lt;&gt;0,SUMIF(куб!$E:$E,$E881,куб!J:J),IF($D881&lt;&gt;0,SUMIF(куб!$D:$D,$D881,куб!J:J),IF($C881&lt;&gt;0,SUMIF(куб!$C:$C,$C881,куб!J:J),IF($B881&lt;&gt;0,SUMIF(куб!$B:$B,$B881,куб!J:J))))))</f>
        <v>0</v>
      </c>
      <c r="Q881" s="27" t="b">
        <f>IF($G881&lt;&gt;0,SUMIF(куб!$G:$G,$G881,куб!K:K),IF($E881&lt;&gt;0,SUMIF(куб!$E:$E,$E881,куб!K:K),IF($D881&lt;&gt;0,SUMIF(куб!$D:$D,$D881,куб!K:K),IF($C881&lt;&gt;0,SUMIF(куб!$C:$C,$C881,куб!K:K),IF($B881&lt;&gt;0,SUMIF(куб!$B:$B,$B881,куб!K:K))))))</f>
        <v>0</v>
      </c>
      <c r="R881" s="13" t="str">
        <f t="shared" si="277"/>
        <v>-</v>
      </c>
      <c r="S881" s="5"/>
      <c r="T881" s="27" t="b">
        <f>IF($G881&lt;&gt;0,SUMIF(куб!$G:$G,$G881,куб!L:L),IF($E881&lt;&gt;0,SUMIF(куб!$E:$E,$E881,куб!L:L),IF($D881&lt;&gt;0,SUMIF(куб!$D:$D,$D881,куб!L:L),IF($C881&lt;&gt;0,SUMIF(куб!$C:$C,$C881,куб!L:L),IF($B881&lt;&gt;0,SUMIF(куб!$B:$B,$B881,куб!L:L))))))</f>
        <v>0</v>
      </c>
      <c r="U881" s="27" t="b">
        <f>IF($G881&lt;&gt;0,SUMIF(куб!$G:$G,$G881,куб!M:M),IF($E881&lt;&gt;0,SUMIF(куб!$E:$E,$E881,куб!M:M),IF($D881&lt;&gt;0,SUMIF(куб!$D:$D,$D881,куб!M:M),IF($C881&lt;&gt;0,SUMIF(куб!$C:$C,$C881,куб!M:M),IF($B881&lt;&gt;0,SUMIF(куб!$B:$B,$B881,куб!M:M))))))</f>
        <v>0</v>
      </c>
      <c r="V881" s="13" t="str">
        <f t="shared" si="278"/>
        <v>-</v>
      </c>
      <c r="W881" s="5"/>
      <c r="X881" s="27" t="b">
        <f>IF($G881&lt;&gt;0,SUMIF(куб!$G:$G,$G881,куб!N:N),IF($E881&lt;&gt;0,SUMIF(куб!$E:$E,$E881,куб!N:N),IF($D881&lt;&gt;0,SUMIF(куб!$D:$D,$D881,куб!N:N),IF($C881&lt;&gt;0,SUMIF(куб!$C:$C,$C881,куб!N:N),IF($B881&lt;&gt;0,SUMIF(куб!$B:$B,$B881,куб!N:N))))))</f>
        <v>0</v>
      </c>
      <c r="Y881" s="27" t="b">
        <f>IF($G881&lt;&gt;0,SUMIF(куб!$G:$G,$G881,куб!O:O),IF($E881&lt;&gt;0,SUMIF(куб!$E:$E,$E881,куб!O:O),IF($D881&lt;&gt;0,SUMIF(куб!$D:$D,$D881,куб!O:O),IF($C881&lt;&gt;0,SUMIF(куб!$C:$C,$C881,куб!O:O),IF($B881&lt;&gt;0,SUMIF(куб!$B:$B,$B881,куб!O:O))))))</f>
        <v>0</v>
      </c>
      <c r="Z881" s="13" t="str">
        <f t="shared" si="279"/>
        <v>-</v>
      </c>
      <c r="AA881" s="5"/>
      <c r="AB881" s="33" t="str">
        <f t="shared" si="280"/>
        <v/>
      </c>
      <c r="AC881" s="33" t="str">
        <f t="shared" si="281"/>
        <v/>
      </c>
      <c r="AD881" s="15" t="str">
        <f t="shared" si="282"/>
        <v xml:space="preserve"> </v>
      </c>
      <c r="AE881" s="5"/>
      <c r="AF881" s="27" t="b">
        <f>IF($G881&lt;&gt;0,SUMIF(куб!$G:$G,$G881,куб!R:R),IF($E881&lt;&gt;0,SUMIF(куб!$E:$E,$E881,куб!R:R),IF($D881&lt;&gt;0,SUMIF(куб!$D:$D,$D881,куб!R:R),IF($C881&lt;&gt;0,SUMIF(куб!$C:$C,$C881,куб!R:R),IF($B881&lt;&gt;0,SUMIF(куб!$B:$B,$B881,куб!R:R))))))</f>
        <v>0</v>
      </c>
      <c r="AG881" s="27" t="b">
        <f>IF($G881&lt;&gt;0,SUMIF(куб!$G:$G,$G881,куб!S:S),IF($E881&lt;&gt;0,SUMIF(куб!$E:$E,$E881,куб!S:S),IF($D881&lt;&gt;0,SUMIF(куб!$D:$D,$D881,куб!S:S),IF($C881&lt;&gt;0,SUMIF(куб!$C:$C,$C881,куб!S:S),IF($B881&lt;&gt;0,SUMIF(куб!$B:$B,$B881,куб!S:S))))))</f>
        <v>0</v>
      </c>
      <c r="AH881" s="16" t="str">
        <f t="shared" si="283"/>
        <v>-</v>
      </c>
      <c r="AI881" s="8"/>
      <c r="AJ881" s="27" t="b">
        <f>IF($G881&lt;&gt;0,SUMIF(куб!$G:$G,$G881,куб!T:T),IF($E881&lt;&gt;0,SUMIF(куб!$E:$E,$E881,куб!T:T),IF($D881&lt;&gt;0,SUMIF(куб!$D:$D,$D881,куб!T:T),IF($C881&lt;&gt;0,SUMIF(куб!$C:$C,$C881,куб!T:T),IF($B881&lt;&gt;0,SUMIF(куб!$B:$B,$B881,куб!T:T))))))</f>
        <v>0</v>
      </c>
      <c r="AK881" s="27" t="b">
        <f>IF($G881&lt;&gt;0,SUMIF(куб!$G:$G,$G881,куб!U:U),IF($E881&lt;&gt;0,SUMIF(куб!$E:$E,$E881,куб!U:U),IF($D881&lt;&gt;0,SUMIF(куб!$D:$D,$D881,куб!U:U),IF($C881&lt;&gt;0,SUMIF(куб!$C:$C,$C881,куб!U:U),IF($B881&lt;&gt;0,SUMIF(куб!$B:$B,$B881,куб!U:U))))))</f>
        <v>0</v>
      </c>
      <c r="AL881" s="16" t="str">
        <f t="shared" si="284"/>
        <v>-</v>
      </c>
      <c r="AM881" s="8"/>
      <c r="AN881" s="17" t="str">
        <f t="shared" si="285"/>
        <v xml:space="preserve"> </v>
      </c>
      <c r="AO881" s="17" t="str">
        <f t="shared" si="286"/>
        <v xml:space="preserve"> </v>
      </c>
      <c r="AP881" s="16" t="str">
        <f t="shared" si="287"/>
        <v>-</v>
      </c>
      <c r="AQ881" s="8"/>
      <c r="AR881" s="17" t="str">
        <f t="shared" si="288"/>
        <v>-</v>
      </c>
      <c r="AS881" s="17" t="str">
        <f t="shared" si="289"/>
        <v>-</v>
      </c>
      <c r="AT881" s="13" t="str">
        <f t="shared" si="290"/>
        <v>-</v>
      </c>
      <c r="AU881" s="8"/>
    </row>
    <row r="882" spans="1:47" x14ac:dyDescent="0.25">
      <c r="A882" s="31"/>
      <c r="B882" s="31"/>
      <c r="C882"/>
      <c r="D882" s="31"/>
      <c r="E882"/>
      <c r="F882" s="31"/>
      <c r="G882"/>
      <c r="H882" s="27">
        <f>IF($G882&lt;&gt;0,SUMIF(куб!$G:$G,$G882,куб!H:H),IF($E882&lt;&gt;0,SUMIF(куб!$E:$E,$E882,куб!H:H),IF($D882&lt;&gt;0,SUMIF(куб!$D:$D,$D882,куб!H:H),IF($C882&lt;&gt;0,SUMIF(куб!$C:$C,$C882,куб!H:H),IF($B882&lt;&gt;0,SUMIF(куб!$B:$B,$B882,куб!H:H),IF($G882&lt;&gt;0,SUMIF(куб!$A:$A,$G882,куб!H:H),SUMIF(куб!$A:$A,$G882,куб!H:H)))))))</f>
        <v>0</v>
      </c>
      <c r="I882" s="27">
        <f>IF($G882&lt;&gt;0,SUMIF(куб!$G:$G,$G882,куб!I:I),IF($E882&lt;&gt;0,SUMIF(куб!$E:$E,$E882,куб!I:I),IF($D882&lt;&gt;0,SUMIF(куб!$D:$D,$D882,куб!I:I),IF($C882&lt;&gt;0,SUMIF(куб!$C:$C,$C882,куб!I:I),IF($B882&lt;&gt;0,SUMIF(куб!$B:$B,$B882,куб!I:I),IF($G882&lt;&gt;0,SUMIF(куб!$A:$A,$G882,куб!I:I),SUMIF(куб!$A:$A,$G882,куб!I:I)))))))</f>
        <v>0</v>
      </c>
      <c r="J882" s="19" t="str">
        <f t="shared" si="273"/>
        <v>-</v>
      </c>
      <c r="K882" s="8"/>
      <c r="L882" s="17">
        <f t="shared" si="274"/>
        <v>0</v>
      </c>
      <c r="M882" s="17">
        <f t="shared" si="275"/>
        <v>0</v>
      </c>
      <c r="N882" s="12">
        <f t="shared" si="276"/>
        <v>0</v>
      </c>
      <c r="O882" s="5"/>
      <c r="P882" s="27" t="b">
        <f>IF($G882&lt;&gt;0,SUMIF(куб!$G:$G,$G882,куб!J:J),IF($E882&lt;&gt;0,SUMIF(куб!$E:$E,$E882,куб!J:J),IF($D882&lt;&gt;0,SUMIF(куб!$D:$D,$D882,куб!J:J),IF($C882&lt;&gt;0,SUMIF(куб!$C:$C,$C882,куб!J:J),IF($B882&lt;&gt;0,SUMIF(куб!$B:$B,$B882,куб!J:J))))))</f>
        <v>0</v>
      </c>
      <c r="Q882" s="27" t="b">
        <f>IF($G882&lt;&gt;0,SUMIF(куб!$G:$G,$G882,куб!K:K),IF($E882&lt;&gt;0,SUMIF(куб!$E:$E,$E882,куб!K:K),IF($D882&lt;&gt;0,SUMIF(куб!$D:$D,$D882,куб!K:K),IF($C882&lt;&gt;0,SUMIF(куб!$C:$C,$C882,куб!K:K),IF($B882&lt;&gt;0,SUMIF(куб!$B:$B,$B882,куб!K:K))))))</f>
        <v>0</v>
      </c>
      <c r="R882" s="13" t="str">
        <f t="shared" si="277"/>
        <v>-</v>
      </c>
      <c r="S882" s="5"/>
      <c r="T882" s="27" t="b">
        <f>IF($G882&lt;&gt;0,SUMIF(куб!$G:$G,$G882,куб!L:L),IF($E882&lt;&gt;0,SUMIF(куб!$E:$E,$E882,куб!L:L),IF($D882&lt;&gt;0,SUMIF(куб!$D:$D,$D882,куб!L:L),IF($C882&lt;&gt;0,SUMIF(куб!$C:$C,$C882,куб!L:L),IF($B882&lt;&gt;0,SUMIF(куб!$B:$B,$B882,куб!L:L))))))</f>
        <v>0</v>
      </c>
      <c r="U882" s="27" t="b">
        <f>IF($G882&lt;&gt;0,SUMIF(куб!$G:$G,$G882,куб!M:M),IF($E882&lt;&gt;0,SUMIF(куб!$E:$E,$E882,куб!M:M),IF($D882&lt;&gt;0,SUMIF(куб!$D:$D,$D882,куб!M:M),IF($C882&lt;&gt;0,SUMIF(куб!$C:$C,$C882,куб!M:M),IF($B882&lt;&gt;0,SUMIF(куб!$B:$B,$B882,куб!M:M))))))</f>
        <v>0</v>
      </c>
      <c r="V882" s="13" t="str">
        <f t="shared" si="278"/>
        <v>-</v>
      </c>
      <c r="W882" s="5"/>
      <c r="X882" s="27" t="b">
        <f>IF($G882&lt;&gt;0,SUMIF(куб!$G:$G,$G882,куб!N:N),IF($E882&lt;&gt;0,SUMIF(куб!$E:$E,$E882,куб!N:N),IF($D882&lt;&gt;0,SUMIF(куб!$D:$D,$D882,куб!N:N),IF($C882&lt;&gt;0,SUMIF(куб!$C:$C,$C882,куб!N:N),IF($B882&lt;&gt;0,SUMIF(куб!$B:$B,$B882,куб!N:N))))))</f>
        <v>0</v>
      </c>
      <c r="Y882" s="27" t="b">
        <f>IF($G882&lt;&gt;0,SUMIF(куб!$G:$G,$G882,куб!O:O),IF($E882&lt;&gt;0,SUMIF(куб!$E:$E,$E882,куб!O:O),IF($D882&lt;&gt;0,SUMIF(куб!$D:$D,$D882,куб!O:O),IF($C882&lt;&gt;0,SUMIF(куб!$C:$C,$C882,куб!O:O),IF($B882&lt;&gt;0,SUMIF(куб!$B:$B,$B882,куб!O:O))))))</f>
        <v>0</v>
      </c>
      <c r="Z882" s="13" t="str">
        <f t="shared" si="279"/>
        <v>-</v>
      </c>
      <c r="AA882" s="5"/>
      <c r="AB882" s="33" t="str">
        <f t="shared" si="280"/>
        <v/>
      </c>
      <c r="AC882" s="33" t="str">
        <f t="shared" si="281"/>
        <v/>
      </c>
      <c r="AD882" s="15" t="str">
        <f t="shared" si="282"/>
        <v xml:space="preserve"> </v>
      </c>
      <c r="AE882" s="5"/>
      <c r="AF882" s="27" t="b">
        <f>IF($G882&lt;&gt;0,SUMIF(куб!$G:$G,$G882,куб!R:R),IF($E882&lt;&gt;0,SUMIF(куб!$E:$E,$E882,куб!R:R),IF($D882&lt;&gt;0,SUMIF(куб!$D:$D,$D882,куб!R:R),IF($C882&lt;&gt;0,SUMIF(куб!$C:$C,$C882,куб!R:R),IF($B882&lt;&gt;0,SUMIF(куб!$B:$B,$B882,куб!R:R))))))</f>
        <v>0</v>
      </c>
      <c r="AG882" s="27" t="b">
        <f>IF($G882&lt;&gt;0,SUMIF(куб!$G:$G,$G882,куб!S:S),IF($E882&lt;&gt;0,SUMIF(куб!$E:$E,$E882,куб!S:S),IF($D882&lt;&gt;0,SUMIF(куб!$D:$D,$D882,куб!S:S),IF($C882&lt;&gt;0,SUMIF(куб!$C:$C,$C882,куб!S:S),IF($B882&lt;&gt;0,SUMIF(куб!$B:$B,$B882,куб!S:S))))))</f>
        <v>0</v>
      </c>
      <c r="AH882" s="16" t="str">
        <f t="shared" si="283"/>
        <v>-</v>
      </c>
      <c r="AI882" s="8"/>
      <c r="AJ882" s="27" t="b">
        <f>IF($G882&lt;&gt;0,SUMIF(куб!$G:$G,$G882,куб!T:T),IF($E882&lt;&gt;0,SUMIF(куб!$E:$E,$E882,куб!T:T),IF($D882&lt;&gt;0,SUMIF(куб!$D:$D,$D882,куб!T:T),IF($C882&lt;&gt;0,SUMIF(куб!$C:$C,$C882,куб!T:T),IF($B882&lt;&gt;0,SUMIF(куб!$B:$B,$B882,куб!T:T))))))</f>
        <v>0</v>
      </c>
      <c r="AK882" s="27" t="b">
        <f>IF($G882&lt;&gt;0,SUMIF(куб!$G:$G,$G882,куб!U:U),IF($E882&lt;&gt;0,SUMIF(куб!$E:$E,$E882,куб!U:U),IF($D882&lt;&gt;0,SUMIF(куб!$D:$D,$D882,куб!U:U),IF($C882&lt;&gt;0,SUMIF(куб!$C:$C,$C882,куб!U:U),IF($B882&lt;&gt;0,SUMIF(куб!$B:$B,$B882,куб!U:U))))))</f>
        <v>0</v>
      </c>
      <c r="AL882" s="16" t="str">
        <f t="shared" si="284"/>
        <v>-</v>
      </c>
      <c r="AM882" s="8"/>
      <c r="AN882" s="17" t="str">
        <f t="shared" si="285"/>
        <v xml:space="preserve"> </v>
      </c>
      <c r="AO882" s="17" t="str">
        <f t="shared" si="286"/>
        <v xml:space="preserve"> </v>
      </c>
      <c r="AP882" s="16" t="str">
        <f t="shared" si="287"/>
        <v>-</v>
      </c>
      <c r="AQ882" s="8"/>
      <c r="AR882" s="17" t="str">
        <f t="shared" si="288"/>
        <v>-</v>
      </c>
      <c r="AS882" s="17" t="str">
        <f t="shared" si="289"/>
        <v>-</v>
      </c>
      <c r="AT882" s="13" t="str">
        <f t="shared" si="290"/>
        <v>-</v>
      </c>
      <c r="AU882" s="8"/>
    </row>
    <row r="883" spans="1:47" x14ac:dyDescent="0.25">
      <c r="A883" s="31"/>
      <c r="B883" s="31"/>
      <c r="C883"/>
      <c r="D883" s="31"/>
      <c r="E883"/>
      <c r="F883" s="31"/>
      <c r="G883"/>
      <c r="H883" s="27">
        <f>IF($G883&lt;&gt;0,SUMIF(куб!$G:$G,$G883,куб!H:H),IF($E883&lt;&gt;0,SUMIF(куб!$E:$E,$E883,куб!H:H),IF($D883&lt;&gt;0,SUMIF(куб!$D:$D,$D883,куб!H:H),IF($C883&lt;&gt;0,SUMIF(куб!$C:$C,$C883,куб!H:H),IF($B883&lt;&gt;0,SUMIF(куб!$B:$B,$B883,куб!H:H),IF($G883&lt;&gt;0,SUMIF(куб!$A:$A,$G883,куб!H:H),SUMIF(куб!$A:$A,$G883,куб!H:H)))))))</f>
        <v>0</v>
      </c>
      <c r="I883" s="27">
        <f>IF($G883&lt;&gt;0,SUMIF(куб!$G:$G,$G883,куб!I:I),IF($E883&lt;&gt;0,SUMIF(куб!$E:$E,$E883,куб!I:I),IF($D883&lt;&gt;0,SUMIF(куб!$D:$D,$D883,куб!I:I),IF($C883&lt;&gt;0,SUMIF(куб!$C:$C,$C883,куб!I:I),IF($B883&lt;&gt;0,SUMIF(куб!$B:$B,$B883,куб!I:I),IF($G883&lt;&gt;0,SUMIF(куб!$A:$A,$G883,куб!I:I),SUMIF(куб!$A:$A,$G883,куб!I:I)))))))</f>
        <v>0</v>
      </c>
      <c r="J883" s="19" t="str">
        <f t="shared" si="273"/>
        <v>-</v>
      </c>
      <c r="K883" s="8"/>
      <c r="L883" s="17">
        <f t="shared" si="274"/>
        <v>0</v>
      </c>
      <c r="M883" s="17">
        <f t="shared" si="275"/>
        <v>0</v>
      </c>
      <c r="N883" s="12">
        <f t="shared" si="276"/>
        <v>0</v>
      </c>
      <c r="O883" s="5"/>
      <c r="P883" s="27" t="b">
        <f>IF($G883&lt;&gt;0,SUMIF(куб!$G:$G,$G883,куб!J:J),IF($E883&lt;&gt;0,SUMIF(куб!$E:$E,$E883,куб!J:J),IF($D883&lt;&gt;0,SUMIF(куб!$D:$D,$D883,куб!J:J),IF($C883&lt;&gt;0,SUMIF(куб!$C:$C,$C883,куб!J:J),IF($B883&lt;&gt;0,SUMIF(куб!$B:$B,$B883,куб!J:J))))))</f>
        <v>0</v>
      </c>
      <c r="Q883" s="27" t="b">
        <f>IF($G883&lt;&gt;0,SUMIF(куб!$G:$G,$G883,куб!K:K),IF($E883&lt;&gt;0,SUMIF(куб!$E:$E,$E883,куб!K:K),IF($D883&lt;&gt;0,SUMIF(куб!$D:$D,$D883,куб!K:K),IF($C883&lt;&gt;0,SUMIF(куб!$C:$C,$C883,куб!K:K),IF($B883&lt;&gt;0,SUMIF(куб!$B:$B,$B883,куб!K:K))))))</f>
        <v>0</v>
      </c>
      <c r="R883" s="13" t="str">
        <f t="shared" si="277"/>
        <v>-</v>
      </c>
      <c r="S883" s="5"/>
      <c r="T883" s="27" t="b">
        <f>IF($G883&lt;&gt;0,SUMIF(куб!$G:$G,$G883,куб!L:L),IF($E883&lt;&gt;0,SUMIF(куб!$E:$E,$E883,куб!L:L),IF($D883&lt;&gt;0,SUMIF(куб!$D:$D,$D883,куб!L:L),IF($C883&lt;&gt;0,SUMIF(куб!$C:$C,$C883,куб!L:L),IF($B883&lt;&gt;0,SUMIF(куб!$B:$B,$B883,куб!L:L))))))</f>
        <v>0</v>
      </c>
      <c r="U883" s="27" t="b">
        <f>IF($G883&lt;&gt;0,SUMIF(куб!$G:$G,$G883,куб!M:M),IF($E883&lt;&gt;0,SUMIF(куб!$E:$E,$E883,куб!M:M),IF($D883&lt;&gt;0,SUMIF(куб!$D:$D,$D883,куб!M:M),IF($C883&lt;&gt;0,SUMIF(куб!$C:$C,$C883,куб!M:M),IF($B883&lt;&gt;0,SUMIF(куб!$B:$B,$B883,куб!M:M))))))</f>
        <v>0</v>
      </c>
      <c r="V883" s="13" t="str">
        <f t="shared" si="278"/>
        <v>-</v>
      </c>
      <c r="W883" s="5"/>
      <c r="X883" s="27" t="b">
        <f>IF($G883&lt;&gt;0,SUMIF(куб!$G:$G,$G883,куб!N:N),IF($E883&lt;&gt;0,SUMIF(куб!$E:$E,$E883,куб!N:N),IF($D883&lt;&gt;0,SUMIF(куб!$D:$D,$D883,куб!N:N),IF($C883&lt;&gt;0,SUMIF(куб!$C:$C,$C883,куб!N:N),IF($B883&lt;&gt;0,SUMIF(куб!$B:$B,$B883,куб!N:N))))))</f>
        <v>0</v>
      </c>
      <c r="Y883" s="27" t="b">
        <f>IF($G883&lt;&gt;0,SUMIF(куб!$G:$G,$G883,куб!O:O),IF($E883&lt;&gt;0,SUMIF(куб!$E:$E,$E883,куб!O:O),IF($D883&lt;&gt;0,SUMIF(куб!$D:$D,$D883,куб!O:O),IF($C883&lt;&gt;0,SUMIF(куб!$C:$C,$C883,куб!O:O),IF($B883&lt;&gt;0,SUMIF(куб!$B:$B,$B883,куб!O:O))))))</f>
        <v>0</v>
      </c>
      <c r="Z883" s="13" t="str">
        <f t="shared" si="279"/>
        <v>-</v>
      </c>
      <c r="AA883" s="5"/>
      <c r="AB883" s="33" t="str">
        <f t="shared" si="280"/>
        <v/>
      </c>
      <c r="AC883" s="33" t="str">
        <f t="shared" si="281"/>
        <v/>
      </c>
      <c r="AD883" s="15" t="str">
        <f t="shared" si="282"/>
        <v xml:space="preserve"> </v>
      </c>
      <c r="AE883" s="5"/>
      <c r="AF883" s="27" t="b">
        <f>IF($G883&lt;&gt;0,SUMIF(куб!$G:$G,$G883,куб!R:R),IF($E883&lt;&gt;0,SUMIF(куб!$E:$E,$E883,куб!R:R),IF($D883&lt;&gt;0,SUMIF(куб!$D:$D,$D883,куб!R:R),IF($C883&lt;&gt;0,SUMIF(куб!$C:$C,$C883,куб!R:R),IF($B883&lt;&gt;0,SUMIF(куб!$B:$B,$B883,куб!R:R))))))</f>
        <v>0</v>
      </c>
      <c r="AG883" s="27" t="b">
        <f>IF($G883&lt;&gt;0,SUMIF(куб!$G:$G,$G883,куб!S:S),IF($E883&lt;&gt;0,SUMIF(куб!$E:$E,$E883,куб!S:S),IF($D883&lt;&gt;0,SUMIF(куб!$D:$D,$D883,куб!S:S),IF($C883&lt;&gt;0,SUMIF(куб!$C:$C,$C883,куб!S:S),IF($B883&lt;&gt;0,SUMIF(куб!$B:$B,$B883,куб!S:S))))))</f>
        <v>0</v>
      </c>
      <c r="AH883" s="16" t="str">
        <f t="shared" si="283"/>
        <v>-</v>
      </c>
      <c r="AI883" s="8"/>
      <c r="AJ883" s="27" t="b">
        <f>IF($G883&lt;&gt;0,SUMIF(куб!$G:$G,$G883,куб!T:T),IF($E883&lt;&gt;0,SUMIF(куб!$E:$E,$E883,куб!T:T),IF($D883&lt;&gt;0,SUMIF(куб!$D:$D,$D883,куб!T:T),IF($C883&lt;&gt;0,SUMIF(куб!$C:$C,$C883,куб!T:T),IF($B883&lt;&gt;0,SUMIF(куб!$B:$B,$B883,куб!T:T))))))</f>
        <v>0</v>
      </c>
      <c r="AK883" s="27" t="b">
        <f>IF($G883&lt;&gt;0,SUMIF(куб!$G:$G,$G883,куб!U:U),IF($E883&lt;&gt;0,SUMIF(куб!$E:$E,$E883,куб!U:U),IF($D883&lt;&gt;0,SUMIF(куб!$D:$D,$D883,куб!U:U),IF($C883&lt;&gt;0,SUMIF(куб!$C:$C,$C883,куб!U:U),IF($B883&lt;&gt;0,SUMIF(куб!$B:$B,$B883,куб!U:U))))))</f>
        <v>0</v>
      </c>
      <c r="AL883" s="16" t="str">
        <f t="shared" si="284"/>
        <v>-</v>
      </c>
      <c r="AM883" s="8"/>
      <c r="AN883" s="17" t="str">
        <f t="shared" si="285"/>
        <v xml:space="preserve"> </v>
      </c>
      <c r="AO883" s="17" t="str">
        <f t="shared" si="286"/>
        <v xml:space="preserve"> </v>
      </c>
      <c r="AP883" s="16" t="str">
        <f t="shared" si="287"/>
        <v>-</v>
      </c>
      <c r="AQ883" s="8"/>
      <c r="AR883" s="17" t="str">
        <f t="shared" si="288"/>
        <v>-</v>
      </c>
      <c r="AS883" s="17" t="str">
        <f t="shared" si="289"/>
        <v>-</v>
      </c>
      <c r="AT883" s="13" t="str">
        <f t="shared" si="290"/>
        <v>-</v>
      </c>
      <c r="AU883" s="8"/>
    </row>
    <row r="884" spans="1:47" x14ac:dyDescent="0.25">
      <c r="A884" s="31"/>
      <c r="B884" s="31"/>
      <c r="C884"/>
      <c r="D884" s="31"/>
      <c r="E884"/>
      <c r="F884" s="31"/>
      <c r="G884"/>
      <c r="H884" s="27">
        <f>IF($G884&lt;&gt;0,SUMIF(куб!$G:$G,$G884,куб!H:H),IF($E884&lt;&gt;0,SUMIF(куб!$E:$E,$E884,куб!H:H),IF($D884&lt;&gt;0,SUMIF(куб!$D:$D,$D884,куб!H:H),IF($C884&lt;&gt;0,SUMIF(куб!$C:$C,$C884,куб!H:H),IF($B884&lt;&gt;0,SUMIF(куб!$B:$B,$B884,куб!H:H),IF($G884&lt;&gt;0,SUMIF(куб!$A:$A,$G884,куб!H:H),SUMIF(куб!$A:$A,$G884,куб!H:H)))))))</f>
        <v>0</v>
      </c>
      <c r="I884" s="27">
        <f>IF($G884&lt;&gt;0,SUMIF(куб!$G:$G,$G884,куб!I:I),IF($E884&lt;&gt;0,SUMIF(куб!$E:$E,$E884,куб!I:I),IF($D884&lt;&gt;0,SUMIF(куб!$D:$D,$D884,куб!I:I),IF($C884&lt;&gt;0,SUMIF(куб!$C:$C,$C884,куб!I:I),IF($B884&lt;&gt;0,SUMIF(куб!$B:$B,$B884,куб!I:I),IF($G884&lt;&gt;0,SUMIF(куб!$A:$A,$G884,куб!I:I),SUMIF(куб!$A:$A,$G884,куб!I:I)))))))</f>
        <v>0</v>
      </c>
      <c r="J884" s="19" t="str">
        <f t="shared" si="273"/>
        <v>-</v>
      </c>
      <c r="K884" s="8"/>
      <c r="L884" s="17">
        <f t="shared" si="274"/>
        <v>0</v>
      </c>
      <c r="M884" s="17">
        <f t="shared" si="275"/>
        <v>0</v>
      </c>
      <c r="N884" s="12">
        <f t="shared" si="276"/>
        <v>0</v>
      </c>
      <c r="O884" s="5"/>
      <c r="P884" s="27" t="b">
        <f>IF($G884&lt;&gt;0,SUMIF(куб!$G:$G,$G884,куб!J:J),IF($E884&lt;&gt;0,SUMIF(куб!$E:$E,$E884,куб!J:J),IF($D884&lt;&gt;0,SUMIF(куб!$D:$D,$D884,куб!J:J),IF($C884&lt;&gt;0,SUMIF(куб!$C:$C,$C884,куб!J:J),IF($B884&lt;&gt;0,SUMIF(куб!$B:$B,$B884,куб!J:J))))))</f>
        <v>0</v>
      </c>
      <c r="Q884" s="27" t="b">
        <f>IF($G884&lt;&gt;0,SUMIF(куб!$G:$G,$G884,куб!K:K),IF($E884&lt;&gt;0,SUMIF(куб!$E:$E,$E884,куб!K:K),IF($D884&lt;&gt;0,SUMIF(куб!$D:$D,$D884,куб!K:K),IF($C884&lt;&gt;0,SUMIF(куб!$C:$C,$C884,куб!K:K),IF($B884&lt;&gt;0,SUMIF(куб!$B:$B,$B884,куб!K:K))))))</f>
        <v>0</v>
      </c>
      <c r="R884" s="13" t="str">
        <f t="shared" si="277"/>
        <v>-</v>
      </c>
      <c r="S884" s="5"/>
      <c r="T884" s="27" t="b">
        <f>IF($G884&lt;&gt;0,SUMIF(куб!$G:$G,$G884,куб!L:L),IF($E884&lt;&gt;0,SUMIF(куб!$E:$E,$E884,куб!L:L),IF($D884&lt;&gt;0,SUMIF(куб!$D:$D,$D884,куб!L:L),IF($C884&lt;&gt;0,SUMIF(куб!$C:$C,$C884,куб!L:L),IF($B884&lt;&gt;0,SUMIF(куб!$B:$B,$B884,куб!L:L))))))</f>
        <v>0</v>
      </c>
      <c r="U884" s="27" t="b">
        <f>IF($G884&lt;&gt;0,SUMIF(куб!$G:$G,$G884,куб!M:M),IF($E884&lt;&gt;0,SUMIF(куб!$E:$E,$E884,куб!M:M),IF($D884&lt;&gt;0,SUMIF(куб!$D:$D,$D884,куб!M:M),IF($C884&lt;&gt;0,SUMIF(куб!$C:$C,$C884,куб!M:M),IF($B884&lt;&gt;0,SUMIF(куб!$B:$B,$B884,куб!M:M))))))</f>
        <v>0</v>
      </c>
      <c r="V884" s="13" t="str">
        <f t="shared" si="278"/>
        <v>-</v>
      </c>
      <c r="W884" s="5"/>
      <c r="X884" s="27" t="b">
        <f>IF($G884&lt;&gt;0,SUMIF(куб!$G:$G,$G884,куб!N:N),IF($E884&lt;&gt;0,SUMIF(куб!$E:$E,$E884,куб!N:N),IF($D884&lt;&gt;0,SUMIF(куб!$D:$D,$D884,куб!N:N),IF($C884&lt;&gt;0,SUMIF(куб!$C:$C,$C884,куб!N:N),IF($B884&lt;&gt;0,SUMIF(куб!$B:$B,$B884,куб!N:N))))))</f>
        <v>0</v>
      </c>
      <c r="Y884" s="27" t="b">
        <f>IF($G884&lt;&gt;0,SUMIF(куб!$G:$G,$G884,куб!O:O),IF($E884&lt;&gt;0,SUMIF(куб!$E:$E,$E884,куб!O:O),IF($D884&lt;&gt;0,SUMIF(куб!$D:$D,$D884,куб!O:O),IF($C884&lt;&gt;0,SUMIF(куб!$C:$C,$C884,куб!O:O),IF($B884&lt;&gt;0,SUMIF(куб!$B:$B,$B884,куб!O:O))))))</f>
        <v>0</v>
      </c>
      <c r="Z884" s="13" t="str">
        <f t="shared" si="279"/>
        <v>-</v>
      </c>
      <c r="AA884" s="5"/>
      <c r="AB884" s="33" t="str">
        <f t="shared" si="280"/>
        <v/>
      </c>
      <c r="AC884" s="33" t="str">
        <f t="shared" si="281"/>
        <v/>
      </c>
      <c r="AD884" s="15" t="str">
        <f t="shared" si="282"/>
        <v xml:space="preserve"> </v>
      </c>
      <c r="AE884" s="5"/>
      <c r="AF884" s="27" t="b">
        <f>IF($G884&lt;&gt;0,SUMIF(куб!$G:$G,$G884,куб!R:R),IF($E884&lt;&gt;0,SUMIF(куб!$E:$E,$E884,куб!R:R),IF($D884&lt;&gt;0,SUMIF(куб!$D:$D,$D884,куб!R:R),IF($C884&lt;&gt;0,SUMIF(куб!$C:$C,$C884,куб!R:R),IF($B884&lt;&gt;0,SUMIF(куб!$B:$B,$B884,куб!R:R))))))</f>
        <v>0</v>
      </c>
      <c r="AG884" s="27" t="b">
        <f>IF($G884&lt;&gt;0,SUMIF(куб!$G:$G,$G884,куб!S:S),IF($E884&lt;&gt;0,SUMIF(куб!$E:$E,$E884,куб!S:S),IF($D884&lt;&gt;0,SUMIF(куб!$D:$D,$D884,куб!S:S),IF($C884&lt;&gt;0,SUMIF(куб!$C:$C,$C884,куб!S:S),IF($B884&lt;&gt;0,SUMIF(куб!$B:$B,$B884,куб!S:S))))))</f>
        <v>0</v>
      </c>
      <c r="AH884" s="16" t="str">
        <f t="shared" si="283"/>
        <v>-</v>
      </c>
      <c r="AI884" s="8"/>
      <c r="AJ884" s="27" t="b">
        <f>IF($G884&lt;&gt;0,SUMIF(куб!$G:$G,$G884,куб!T:T),IF($E884&lt;&gt;0,SUMIF(куб!$E:$E,$E884,куб!T:T),IF($D884&lt;&gt;0,SUMIF(куб!$D:$D,$D884,куб!T:T),IF($C884&lt;&gt;0,SUMIF(куб!$C:$C,$C884,куб!T:T),IF($B884&lt;&gt;0,SUMIF(куб!$B:$B,$B884,куб!T:T))))))</f>
        <v>0</v>
      </c>
      <c r="AK884" s="27" t="b">
        <f>IF($G884&lt;&gt;0,SUMIF(куб!$G:$G,$G884,куб!U:U),IF($E884&lt;&gt;0,SUMIF(куб!$E:$E,$E884,куб!U:U),IF($D884&lt;&gt;0,SUMIF(куб!$D:$D,$D884,куб!U:U),IF($C884&lt;&gt;0,SUMIF(куб!$C:$C,$C884,куб!U:U),IF($B884&lt;&gt;0,SUMIF(куб!$B:$B,$B884,куб!U:U))))))</f>
        <v>0</v>
      </c>
      <c r="AL884" s="16" t="str">
        <f t="shared" si="284"/>
        <v>-</v>
      </c>
      <c r="AM884" s="8"/>
      <c r="AN884" s="17" t="str">
        <f t="shared" si="285"/>
        <v xml:space="preserve"> </v>
      </c>
      <c r="AO884" s="17" t="str">
        <f t="shared" si="286"/>
        <v xml:space="preserve"> </v>
      </c>
      <c r="AP884" s="16" t="str">
        <f t="shared" si="287"/>
        <v>-</v>
      </c>
      <c r="AQ884" s="8"/>
      <c r="AR884" s="17" t="str">
        <f t="shared" si="288"/>
        <v>-</v>
      </c>
      <c r="AS884" s="17" t="str">
        <f t="shared" si="289"/>
        <v>-</v>
      </c>
      <c r="AT884" s="13" t="str">
        <f t="shared" si="290"/>
        <v>-</v>
      </c>
      <c r="AU884" s="8"/>
    </row>
    <row r="885" spans="1:47" x14ac:dyDescent="0.25">
      <c r="A885" s="31"/>
      <c r="B885" s="31"/>
      <c r="C885"/>
      <c r="D885" s="31"/>
      <c r="E885"/>
      <c r="F885" s="31"/>
      <c r="G885"/>
      <c r="H885" s="27">
        <f>IF($G885&lt;&gt;0,SUMIF(куб!$G:$G,$G885,куб!H:H),IF($E885&lt;&gt;0,SUMIF(куб!$E:$E,$E885,куб!H:H),IF($D885&lt;&gt;0,SUMIF(куб!$D:$D,$D885,куб!H:H),IF($C885&lt;&gt;0,SUMIF(куб!$C:$C,$C885,куб!H:H),IF($B885&lt;&gt;0,SUMIF(куб!$B:$B,$B885,куб!H:H),IF($G885&lt;&gt;0,SUMIF(куб!$A:$A,$G885,куб!H:H),SUMIF(куб!$A:$A,$G885,куб!H:H)))))))</f>
        <v>0</v>
      </c>
      <c r="I885" s="27">
        <f>IF($G885&lt;&gt;0,SUMIF(куб!$G:$G,$G885,куб!I:I),IF($E885&lt;&gt;0,SUMIF(куб!$E:$E,$E885,куб!I:I),IF($D885&lt;&gt;0,SUMIF(куб!$D:$D,$D885,куб!I:I),IF($C885&lt;&gt;0,SUMIF(куб!$C:$C,$C885,куб!I:I),IF($B885&lt;&gt;0,SUMIF(куб!$B:$B,$B885,куб!I:I),IF($G885&lt;&gt;0,SUMIF(куб!$A:$A,$G885,куб!I:I),SUMIF(куб!$A:$A,$G885,куб!I:I)))))))</f>
        <v>0</v>
      </c>
      <c r="J885" s="19" t="str">
        <f t="shared" si="273"/>
        <v>-</v>
      </c>
      <c r="K885" s="8"/>
      <c r="L885" s="17">
        <f t="shared" si="274"/>
        <v>0</v>
      </c>
      <c r="M885" s="17">
        <f t="shared" si="275"/>
        <v>0</v>
      </c>
      <c r="N885" s="12">
        <f t="shared" si="276"/>
        <v>0</v>
      </c>
      <c r="O885" s="5"/>
      <c r="P885" s="27" t="b">
        <f>IF($G885&lt;&gt;0,SUMIF(куб!$G:$G,$G885,куб!J:J),IF($E885&lt;&gt;0,SUMIF(куб!$E:$E,$E885,куб!J:J),IF($D885&lt;&gt;0,SUMIF(куб!$D:$D,$D885,куб!J:J),IF($C885&lt;&gt;0,SUMIF(куб!$C:$C,$C885,куб!J:J),IF($B885&lt;&gt;0,SUMIF(куб!$B:$B,$B885,куб!J:J))))))</f>
        <v>0</v>
      </c>
      <c r="Q885" s="27" t="b">
        <f>IF($G885&lt;&gt;0,SUMIF(куб!$G:$G,$G885,куб!K:K),IF($E885&lt;&gt;0,SUMIF(куб!$E:$E,$E885,куб!K:K),IF($D885&lt;&gt;0,SUMIF(куб!$D:$D,$D885,куб!K:K),IF($C885&lt;&gt;0,SUMIF(куб!$C:$C,$C885,куб!K:K),IF($B885&lt;&gt;0,SUMIF(куб!$B:$B,$B885,куб!K:K))))))</f>
        <v>0</v>
      </c>
      <c r="R885" s="13" t="str">
        <f t="shared" si="277"/>
        <v>-</v>
      </c>
      <c r="S885" s="5"/>
      <c r="T885" s="27" t="b">
        <f>IF($G885&lt;&gt;0,SUMIF(куб!$G:$G,$G885,куб!L:L),IF($E885&lt;&gt;0,SUMIF(куб!$E:$E,$E885,куб!L:L),IF($D885&lt;&gt;0,SUMIF(куб!$D:$D,$D885,куб!L:L),IF($C885&lt;&gt;0,SUMIF(куб!$C:$C,$C885,куб!L:L),IF($B885&lt;&gt;0,SUMIF(куб!$B:$B,$B885,куб!L:L))))))</f>
        <v>0</v>
      </c>
      <c r="U885" s="27" t="b">
        <f>IF($G885&lt;&gt;0,SUMIF(куб!$G:$G,$G885,куб!M:M),IF($E885&lt;&gt;0,SUMIF(куб!$E:$E,$E885,куб!M:M),IF($D885&lt;&gt;0,SUMIF(куб!$D:$D,$D885,куб!M:M),IF($C885&lt;&gt;0,SUMIF(куб!$C:$C,$C885,куб!M:M),IF($B885&lt;&gt;0,SUMIF(куб!$B:$B,$B885,куб!M:M))))))</f>
        <v>0</v>
      </c>
      <c r="V885" s="13" t="str">
        <f t="shared" si="278"/>
        <v>-</v>
      </c>
      <c r="W885" s="5"/>
      <c r="X885" s="27" t="b">
        <f>IF($G885&lt;&gt;0,SUMIF(куб!$G:$G,$G885,куб!N:N),IF($E885&lt;&gt;0,SUMIF(куб!$E:$E,$E885,куб!N:N),IF($D885&lt;&gt;0,SUMIF(куб!$D:$D,$D885,куб!N:N),IF($C885&lt;&gt;0,SUMIF(куб!$C:$C,$C885,куб!N:N),IF($B885&lt;&gt;0,SUMIF(куб!$B:$B,$B885,куб!N:N))))))</f>
        <v>0</v>
      </c>
      <c r="Y885" s="27" t="b">
        <f>IF($G885&lt;&gt;0,SUMIF(куб!$G:$G,$G885,куб!O:O),IF($E885&lt;&gt;0,SUMIF(куб!$E:$E,$E885,куб!O:O),IF($D885&lt;&gt;0,SUMIF(куб!$D:$D,$D885,куб!O:O),IF($C885&lt;&gt;0,SUMIF(куб!$C:$C,$C885,куб!O:O),IF($B885&lt;&gt;0,SUMIF(куб!$B:$B,$B885,куб!O:O))))))</f>
        <v>0</v>
      </c>
      <c r="Z885" s="13" t="str">
        <f t="shared" si="279"/>
        <v>-</v>
      </c>
      <c r="AA885" s="5"/>
      <c r="AB885" s="33" t="str">
        <f t="shared" si="280"/>
        <v/>
      </c>
      <c r="AC885" s="33" t="str">
        <f t="shared" si="281"/>
        <v/>
      </c>
      <c r="AD885" s="15" t="str">
        <f t="shared" si="282"/>
        <v xml:space="preserve"> </v>
      </c>
      <c r="AE885" s="5"/>
      <c r="AF885" s="27" t="b">
        <f>IF($G885&lt;&gt;0,SUMIF(куб!$G:$G,$G885,куб!R:R),IF($E885&lt;&gt;0,SUMIF(куб!$E:$E,$E885,куб!R:R),IF($D885&lt;&gt;0,SUMIF(куб!$D:$D,$D885,куб!R:R),IF($C885&lt;&gt;0,SUMIF(куб!$C:$C,$C885,куб!R:R),IF($B885&lt;&gt;0,SUMIF(куб!$B:$B,$B885,куб!R:R))))))</f>
        <v>0</v>
      </c>
      <c r="AG885" s="27" t="b">
        <f>IF($G885&lt;&gt;0,SUMIF(куб!$G:$G,$G885,куб!S:S),IF($E885&lt;&gt;0,SUMIF(куб!$E:$E,$E885,куб!S:S),IF($D885&lt;&gt;0,SUMIF(куб!$D:$D,$D885,куб!S:S),IF($C885&lt;&gt;0,SUMIF(куб!$C:$C,$C885,куб!S:S),IF($B885&lt;&gt;0,SUMIF(куб!$B:$B,$B885,куб!S:S))))))</f>
        <v>0</v>
      </c>
      <c r="AH885" s="16" t="str">
        <f t="shared" si="283"/>
        <v>-</v>
      </c>
      <c r="AI885" s="8"/>
      <c r="AJ885" s="27" t="b">
        <f>IF($G885&lt;&gt;0,SUMIF(куб!$G:$G,$G885,куб!T:T),IF($E885&lt;&gt;0,SUMIF(куб!$E:$E,$E885,куб!T:T),IF($D885&lt;&gt;0,SUMIF(куб!$D:$D,$D885,куб!T:T),IF($C885&lt;&gt;0,SUMIF(куб!$C:$C,$C885,куб!T:T),IF($B885&lt;&gt;0,SUMIF(куб!$B:$B,$B885,куб!T:T))))))</f>
        <v>0</v>
      </c>
      <c r="AK885" s="27" t="b">
        <f>IF($G885&lt;&gt;0,SUMIF(куб!$G:$G,$G885,куб!U:U),IF($E885&lt;&gt;0,SUMIF(куб!$E:$E,$E885,куб!U:U),IF($D885&lt;&gt;0,SUMIF(куб!$D:$D,$D885,куб!U:U),IF($C885&lt;&gt;0,SUMIF(куб!$C:$C,$C885,куб!U:U),IF($B885&lt;&gt;0,SUMIF(куб!$B:$B,$B885,куб!U:U))))))</f>
        <v>0</v>
      </c>
      <c r="AL885" s="16" t="str">
        <f t="shared" si="284"/>
        <v>-</v>
      </c>
      <c r="AM885" s="8"/>
      <c r="AN885" s="17" t="str">
        <f t="shared" si="285"/>
        <v xml:space="preserve"> </v>
      </c>
      <c r="AO885" s="17" t="str">
        <f t="shared" si="286"/>
        <v xml:space="preserve"> </v>
      </c>
      <c r="AP885" s="16" t="str">
        <f t="shared" si="287"/>
        <v>-</v>
      </c>
      <c r="AQ885" s="8"/>
      <c r="AR885" s="17" t="str">
        <f t="shared" si="288"/>
        <v>-</v>
      </c>
      <c r="AS885" s="17" t="str">
        <f t="shared" si="289"/>
        <v>-</v>
      </c>
      <c r="AT885" s="13" t="str">
        <f t="shared" si="290"/>
        <v>-</v>
      </c>
      <c r="AU885" s="8"/>
    </row>
    <row r="886" spans="1:47" x14ac:dyDescent="0.25">
      <c r="A886" s="31"/>
      <c r="B886" s="31"/>
      <c r="C886"/>
      <c r="D886" s="31"/>
      <c r="E886"/>
      <c r="F886" s="31"/>
      <c r="G886"/>
      <c r="H886" s="27">
        <f>IF($G886&lt;&gt;0,SUMIF(куб!$G:$G,$G886,куб!H:H),IF($E886&lt;&gt;0,SUMIF(куб!$E:$E,$E886,куб!H:H),IF($D886&lt;&gt;0,SUMIF(куб!$D:$D,$D886,куб!H:H),IF($C886&lt;&gt;0,SUMIF(куб!$C:$C,$C886,куб!H:H),IF($B886&lt;&gt;0,SUMIF(куб!$B:$B,$B886,куб!H:H),IF($G886&lt;&gt;0,SUMIF(куб!$A:$A,$G886,куб!H:H),SUMIF(куб!$A:$A,$G886,куб!H:H)))))))</f>
        <v>0</v>
      </c>
      <c r="I886" s="27">
        <f>IF($G886&lt;&gt;0,SUMIF(куб!$G:$G,$G886,куб!I:I),IF($E886&lt;&gt;0,SUMIF(куб!$E:$E,$E886,куб!I:I),IF($D886&lt;&gt;0,SUMIF(куб!$D:$D,$D886,куб!I:I),IF($C886&lt;&gt;0,SUMIF(куб!$C:$C,$C886,куб!I:I),IF($B886&lt;&gt;0,SUMIF(куб!$B:$B,$B886,куб!I:I),IF($G886&lt;&gt;0,SUMIF(куб!$A:$A,$G886,куб!I:I),SUMIF(куб!$A:$A,$G886,куб!I:I)))))))</f>
        <v>0</v>
      </c>
      <c r="J886" s="19" t="str">
        <f t="shared" si="273"/>
        <v>-</v>
      </c>
      <c r="K886" s="8"/>
      <c r="L886" s="17">
        <f t="shared" si="274"/>
        <v>0</v>
      </c>
      <c r="M886" s="17">
        <f t="shared" si="275"/>
        <v>0</v>
      </c>
      <c r="N886" s="12">
        <f t="shared" si="276"/>
        <v>0</v>
      </c>
      <c r="O886" s="5"/>
      <c r="P886" s="27" t="b">
        <f>IF($G886&lt;&gt;0,SUMIF(куб!$G:$G,$G886,куб!J:J),IF($E886&lt;&gt;0,SUMIF(куб!$E:$E,$E886,куб!J:J),IF($D886&lt;&gt;0,SUMIF(куб!$D:$D,$D886,куб!J:J),IF($C886&lt;&gt;0,SUMIF(куб!$C:$C,$C886,куб!J:J),IF($B886&lt;&gt;0,SUMIF(куб!$B:$B,$B886,куб!J:J))))))</f>
        <v>0</v>
      </c>
      <c r="Q886" s="27" t="b">
        <f>IF($G886&lt;&gt;0,SUMIF(куб!$G:$G,$G886,куб!K:K),IF($E886&lt;&gt;0,SUMIF(куб!$E:$E,$E886,куб!K:K),IF($D886&lt;&gt;0,SUMIF(куб!$D:$D,$D886,куб!K:K),IF($C886&lt;&gt;0,SUMIF(куб!$C:$C,$C886,куб!K:K),IF($B886&lt;&gt;0,SUMIF(куб!$B:$B,$B886,куб!K:K))))))</f>
        <v>0</v>
      </c>
      <c r="R886" s="13" t="str">
        <f t="shared" si="277"/>
        <v>-</v>
      </c>
      <c r="S886" s="5"/>
      <c r="T886" s="27" t="b">
        <f>IF($G886&lt;&gt;0,SUMIF(куб!$G:$G,$G886,куб!L:L),IF($E886&lt;&gt;0,SUMIF(куб!$E:$E,$E886,куб!L:L),IF($D886&lt;&gt;0,SUMIF(куб!$D:$D,$D886,куб!L:L),IF($C886&lt;&gt;0,SUMIF(куб!$C:$C,$C886,куб!L:L),IF($B886&lt;&gt;0,SUMIF(куб!$B:$B,$B886,куб!L:L))))))</f>
        <v>0</v>
      </c>
      <c r="U886" s="27" t="b">
        <f>IF($G886&lt;&gt;0,SUMIF(куб!$G:$G,$G886,куб!M:M),IF($E886&lt;&gt;0,SUMIF(куб!$E:$E,$E886,куб!M:M),IF($D886&lt;&gt;0,SUMIF(куб!$D:$D,$D886,куб!M:M),IF($C886&lt;&gt;0,SUMIF(куб!$C:$C,$C886,куб!M:M),IF($B886&lt;&gt;0,SUMIF(куб!$B:$B,$B886,куб!M:M))))))</f>
        <v>0</v>
      </c>
      <c r="V886" s="13" t="str">
        <f t="shared" si="278"/>
        <v>-</v>
      </c>
      <c r="W886" s="5"/>
      <c r="X886" s="27" t="b">
        <f>IF($G886&lt;&gt;0,SUMIF(куб!$G:$G,$G886,куб!N:N),IF($E886&lt;&gt;0,SUMIF(куб!$E:$E,$E886,куб!N:N),IF($D886&lt;&gt;0,SUMIF(куб!$D:$D,$D886,куб!N:N),IF($C886&lt;&gt;0,SUMIF(куб!$C:$C,$C886,куб!N:N),IF($B886&lt;&gt;0,SUMIF(куб!$B:$B,$B886,куб!N:N))))))</f>
        <v>0</v>
      </c>
      <c r="Y886" s="27" t="b">
        <f>IF($G886&lt;&gt;0,SUMIF(куб!$G:$G,$G886,куб!O:O),IF($E886&lt;&gt;0,SUMIF(куб!$E:$E,$E886,куб!O:O),IF($D886&lt;&gt;0,SUMIF(куб!$D:$D,$D886,куб!O:O),IF($C886&lt;&gt;0,SUMIF(куб!$C:$C,$C886,куб!O:O),IF($B886&lt;&gt;0,SUMIF(куб!$B:$B,$B886,куб!O:O))))))</f>
        <v>0</v>
      </c>
      <c r="Z886" s="13" t="str">
        <f t="shared" si="279"/>
        <v>-</v>
      </c>
      <c r="AA886" s="5"/>
      <c r="AB886" s="33" t="str">
        <f t="shared" si="280"/>
        <v/>
      </c>
      <c r="AC886" s="33" t="str">
        <f t="shared" si="281"/>
        <v/>
      </c>
      <c r="AD886" s="15" t="str">
        <f t="shared" si="282"/>
        <v xml:space="preserve"> </v>
      </c>
      <c r="AE886" s="5"/>
      <c r="AF886" s="27" t="b">
        <f>IF($G886&lt;&gt;0,SUMIF(куб!$G:$G,$G886,куб!R:R),IF($E886&lt;&gt;0,SUMIF(куб!$E:$E,$E886,куб!R:R),IF($D886&lt;&gt;0,SUMIF(куб!$D:$D,$D886,куб!R:R),IF($C886&lt;&gt;0,SUMIF(куб!$C:$C,$C886,куб!R:R),IF($B886&lt;&gt;0,SUMIF(куб!$B:$B,$B886,куб!R:R))))))</f>
        <v>0</v>
      </c>
      <c r="AG886" s="27" t="b">
        <f>IF($G886&lt;&gt;0,SUMIF(куб!$G:$G,$G886,куб!S:S),IF($E886&lt;&gt;0,SUMIF(куб!$E:$E,$E886,куб!S:S),IF($D886&lt;&gt;0,SUMIF(куб!$D:$D,$D886,куб!S:S),IF($C886&lt;&gt;0,SUMIF(куб!$C:$C,$C886,куб!S:S),IF($B886&lt;&gt;0,SUMIF(куб!$B:$B,$B886,куб!S:S))))))</f>
        <v>0</v>
      </c>
      <c r="AH886" s="16" t="str">
        <f t="shared" si="283"/>
        <v>-</v>
      </c>
      <c r="AI886" s="8"/>
      <c r="AJ886" s="27" t="b">
        <f>IF($G886&lt;&gt;0,SUMIF(куб!$G:$G,$G886,куб!T:T),IF($E886&lt;&gt;0,SUMIF(куб!$E:$E,$E886,куб!T:T),IF($D886&lt;&gt;0,SUMIF(куб!$D:$D,$D886,куб!T:T),IF($C886&lt;&gt;0,SUMIF(куб!$C:$C,$C886,куб!T:T),IF($B886&lt;&gt;0,SUMIF(куб!$B:$B,$B886,куб!T:T))))))</f>
        <v>0</v>
      </c>
      <c r="AK886" s="27" t="b">
        <f>IF($G886&lt;&gt;0,SUMIF(куб!$G:$G,$G886,куб!U:U),IF($E886&lt;&gt;0,SUMIF(куб!$E:$E,$E886,куб!U:U),IF($D886&lt;&gt;0,SUMIF(куб!$D:$D,$D886,куб!U:U),IF($C886&lt;&gt;0,SUMIF(куб!$C:$C,$C886,куб!U:U),IF($B886&lt;&gt;0,SUMIF(куб!$B:$B,$B886,куб!U:U))))))</f>
        <v>0</v>
      </c>
      <c r="AL886" s="16" t="str">
        <f t="shared" si="284"/>
        <v>-</v>
      </c>
      <c r="AM886" s="8"/>
      <c r="AN886" s="17" t="str">
        <f t="shared" si="285"/>
        <v xml:space="preserve"> </v>
      </c>
      <c r="AO886" s="17" t="str">
        <f t="shared" si="286"/>
        <v xml:space="preserve"> </v>
      </c>
      <c r="AP886" s="16" t="str">
        <f t="shared" si="287"/>
        <v>-</v>
      </c>
      <c r="AQ886" s="8"/>
      <c r="AR886" s="17" t="str">
        <f t="shared" si="288"/>
        <v>-</v>
      </c>
      <c r="AS886" s="17" t="str">
        <f t="shared" si="289"/>
        <v>-</v>
      </c>
      <c r="AT886" s="13" t="str">
        <f t="shared" si="290"/>
        <v>-</v>
      </c>
      <c r="AU886" s="8"/>
    </row>
    <row r="887" spans="1:47" x14ac:dyDescent="0.25">
      <c r="A887" s="31"/>
      <c r="B887" s="31"/>
      <c r="C887"/>
      <c r="D887" s="31"/>
      <c r="E887"/>
      <c r="F887" s="31"/>
      <c r="G887"/>
      <c r="H887" s="27">
        <f>IF($G887&lt;&gt;0,SUMIF(куб!$G:$G,$G887,куб!H:H),IF($E887&lt;&gt;0,SUMIF(куб!$E:$E,$E887,куб!H:H),IF($D887&lt;&gt;0,SUMIF(куб!$D:$D,$D887,куб!H:H),IF($C887&lt;&gt;0,SUMIF(куб!$C:$C,$C887,куб!H:H),IF($B887&lt;&gt;0,SUMIF(куб!$B:$B,$B887,куб!H:H),IF($G887&lt;&gt;0,SUMIF(куб!$A:$A,$G887,куб!H:H),SUMIF(куб!$A:$A,$G887,куб!H:H)))))))</f>
        <v>0</v>
      </c>
      <c r="I887" s="27">
        <f>IF($G887&lt;&gt;0,SUMIF(куб!$G:$G,$G887,куб!I:I),IF($E887&lt;&gt;0,SUMIF(куб!$E:$E,$E887,куб!I:I),IF($D887&lt;&gt;0,SUMIF(куб!$D:$D,$D887,куб!I:I),IF($C887&lt;&gt;0,SUMIF(куб!$C:$C,$C887,куб!I:I),IF($B887&lt;&gt;0,SUMIF(куб!$B:$B,$B887,куб!I:I),IF($G887&lt;&gt;0,SUMIF(куб!$A:$A,$G887,куб!I:I),SUMIF(куб!$A:$A,$G887,куб!I:I)))))))</f>
        <v>0</v>
      </c>
      <c r="J887" s="19" t="str">
        <f t="shared" si="273"/>
        <v>-</v>
      </c>
      <c r="K887" s="8"/>
      <c r="L887" s="17">
        <f t="shared" si="274"/>
        <v>0</v>
      </c>
      <c r="M887" s="17">
        <f t="shared" si="275"/>
        <v>0</v>
      </c>
      <c r="N887" s="12">
        <f t="shared" si="276"/>
        <v>0</v>
      </c>
      <c r="O887" s="5"/>
      <c r="P887" s="27" t="b">
        <f>IF($G887&lt;&gt;0,SUMIF(куб!$G:$G,$G887,куб!J:J),IF($E887&lt;&gt;0,SUMIF(куб!$E:$E,$E887,куб!J:J),IF($D887&lt;&gt;0,SUMIF(куб!$D:$D,$D887,куб!J:J),IF($C887&lt;&gt;0,SUMIF(куб!$C:$C,$C887,куб!J:J),IF($B887&lt;&gt;0,SUMIF(куб!$B:$B,$B887,куб!J:J))))))</f>
        <v>0</v>
      </c>
      <c r="Q887" s="27" t="b">
        <f>IF($G887&lt;&gt;0,SUMIF(куб!$G:$G,$G887,куб!K:K),IF($E887&lt;&gt;0,SUMIF(куб!$E:$E,$E887,куб!K:K),IF($D887&lt;&gt;0,SUMIF(куб!$D:$D,$D887,куб!K:K),IF($C887&lt;&gt;0,SUMIF(куб!$C:$C,$C887,куб!K:K),IF($B887&lt;&gt;0,SUMIF(куб!$B:$B,$B887,куб!K:K))))))</f>
        <v>0</v>
      </c>
      <c r="R887" s="13" t="str">
        <f t="shared" si="277"/>
        <v>-</v>
      </c>
      <c r="S887" s="5"/>
      <c r="T887" s="27" t="b">
        <f>IF($G887&lt;&gt;0,SUMIF(куб!$G:$G,$G887,куб!L:L),IF($E887&lt;&gt;0,SUMIF(куб!$E:$E,$E887,куб!L:L),IF($D887&lt;&gt;0,SUMIF(куб!$D:$D,$D887,куб!L:L),IF($C887&lt;&gt;0,SUMIF(куб!$C:$C,$C887,куб!L:L),IF($B887&lt;&gt;0,SUMIF(куб!$B:$B,$B887,куб!L:L))))))</f>
        <v>0</v>
      </c>
      <c r="U887" s="27" t="b">
        <f>IF($G887&lt;&gt;0,SUMIF(куб!$G:$G,$G887,куб!M:M),IF($E887&lt;&gt;0,SUMIF(куб!$E:$E,$E887,куб!M:M),IF($D887&lt;&gt;0,SUMIF(куб!$D:$D,$D887,куб!M:M),IF($C887&lt;&gt;0,SUMIF(куб!$C:$C,$C887,куб!M:M),IF($B887&lt;&gt;0,SUMIF(куб!$B:$B,$B887,куб!M:M))))))</f>
        <v>0</v>
      </c>
      <c r="V887" s="13" t="str">
        <f t="shared" si="278"/>
        <v>-</v>
      </c>
      <c r="W887" s="5"/>
      <c r="X887" s="27" t="b">
        <f>IF($G887&lt;&gt;0,SUMIF(куб!$G:$G,$G887,куб!N:N),IF($E887&lt;&gt;0,SUMIF(куб!$E:$E,$E887,куб!N:N),IF($D887&lt;&gt;0,SUMIF(куб!$D:$D,$D887,куб!N:N),IF($C887&lt;&gt;0,SUMIF(куб!$C:$C,$C887,куб!N:N),IF($B887&lt;&gt;0,SUMIF(куб!$B:$B,$B887,куб!N:N))))))</f>
        <v>0</v>
      </c>
      <c r="Y887" s="27" t="b">
        <f>IF($G887&lt;&gt;0,SUMIF(куб!$G:$G,$G887,куб!O:O),IF($E887&lt;&gt;0,SUMIF(куб!$E:$E,$E887,куб!O:O),IF($D887&lt;&gt;0,SUMIF(куб!$D:$D,$D887,куб!O:O),IF($C887&lt;&gt;0,SUMIF(куб!$C:$C,$C887,куб!O:O),IF($B887&lt;&gt;0,SUMIF(куб!$B:$B,$B887,куб!O:O))))))</f>
        <v>0</v>
      </c>
      <c r="Z887" s="13" t="str">
        <f t="shared" si="279"/>
        <v>-</v>
      </c>
      <c r="AA887" s="5"/>
      <c r="AB887" s="33" t="str">
        <f t="shared" si="280"/>
        <v/>
      </c>
      <c r="AC887" s="33" t="str">
        <f t="shared" si="281"/>
        <v/>
      </c>
      <c r="AD887" s="15" t="str">
        <f t="shared" si="282"/>
        <v xml:space="preserve"> </v>
      </c>
      <c r="AE887" s="5"/>
      <c r="AF887" s="27" t="b">
        <f>IF($G887&lt;&gt;0,SUMIF(куб!$G:$G,$G887,куб!R:R),IF($E887&lt;&gt;0,SUMIF(куб!$E:$E,$E887,куб!R:R),IF($D887&lt;&gt;0,SUMIF(куб!$D:$D,$D887,куб!R:R),IF($C887&lt;&gt;0,SUMIF(куб!$C:$C,$C887,куб!R:R),IF($B887&lt;&gt;0,SUMIF(куб!$B:$B,$B887,куб!R:R))))))</f>
        <v>0</v>
      </c>
      <c r="AG887" s="27" t="b">
        <f>IF($G887&lt;&gt;0,SUMIF(куб!$G:$G,$G887,куб!S:S),IF($E887&lt;&gt;0,SUMIF(куб!$E:$E,$E887,куб!S:S),IF($D887&lt;&gt;0,SUMIF(куб!$D:$D,$D887,куб!S:S),IF($C887&lt;&gt;0,SUMIF(куб!$C:$C,$C887,куб!S:S),IF($B887&lt;&gt;0,SUMIF(куб!$B:$B,$B887,куб!S:S))))))</f>
        <v>0</v>
      </c>
      <c r="AH887" s="16" t="str">
        <f t="shared" si="283"/>
        <v>-</v>
      </c>
      <c r="AI887" s="8"/>
      <c r="AJ887" s="27" t="b">
        <f>IF($G887&lt;&gt;0,SUMIF(куб!$G:$G,$G887,куб!T:T),IF($E887&lt;&gt;0,SUMIF(куб!$E:$E,$E887,куб!T:T),IF($D887&lt;&gt;0,SUMIF(куб!$D:$D,$D887,куб!T:T),IF($C887&lt;&gt;0,SUMIF(куб!$C:$C,$C887,куб!T:T),IF($B887&lt;&gt;0,SUMIF(куб!$B:$B,$B887,куб!T:T))))))</f>
        <v>0</v>
      </c>
      <c r="AK887" s="27" t="b">
        <f>IF($G887&lt;&gt;0,SUMIF(куб!$G:$G,$G887,куб!U:U),IF($E887&lt;&gt;0,SUMIF(куб!$E:$E,$E887,куб!U:U),IF($D887&lt;&gt;0,SUMIF(куб!$D:$D,$D887,куб!U:U),IF($C887&lt;&gt;0,SUMIF(куб!$C:$C,$C887,куб!U:U),IF($B887&lt;&gt;0,SUMIF(куб!$B:$B,$B887,куб!U:U))))))</f>
        <v>0</v>
      </c>
      <c r="AL887" s="16" t="str">
        <f t="shared" si="284"/>
        <v>-</v>
      </c>
      <c r="AM887" s="8"/>
      <c r="AN887" s="17" t="str">
        <f t="shared" si="285"/>
        <v xml:space="preserve"> </v>
      </c>
      <c r="AO887" s="17" t="str">
        <f t="shared" si="286"/>
        <v xml:space="preserve"> </v>
      </c>
      <c r="AP887" s="16" t="str">
        <f t="shared" si="287"/>
        <v>-</v>
      </c>
      <c r="AQ887" s="8"/>
      <c r="AR887" s="17" t="str">
        <f t="shared" si="288"/>
        <v>-</v>
      </c>
      <c r="AS887" s="17" t="str">
        <f t="shared" si="289"/>
        <v>-</v>
      </c>
      <c r="AT887" s="13" t="str">
        <f t="shared" si="290"/>
        <v>-</v>
      </c>
      <c r="AU887" s="8"/>
    </row>
    <row r="888" spans="1:47" x14ac:dyDescent="0.25">
      <c r="A888" s="31"/>
      <c r="B888" s="31"/>
      <c r="C888"/>
      <c r="D888" s="31"/>
      <c r="E888"/>
      <c r="F888" s="31"/>
      <c r="G888"/>
      <c r="H888" s="27">
        <f>IF($G888&lt;&gt;0,SUMIF(куб!$G:$G,$G888,куб!H:H),IF($E888&lt;&gt;0,SUMIF(куб!$E:$E,$E888,куб!H:H),IF($D888&lt;&gt;0,SUMIF(куб!$D:$D,$D888,куб!H:H),IF($C888&lt;&gt;0,SUMIF(куб!$C:$C,$C888,куб!H:H),IF($B888&lt;&gt;0,SUMIF(куб!$B:$B,$B888,куб!H:H),IF($G888&lt;&gt;0,SUMIF(куб!$A:$A,$G888,куб!H:H),SUMIF(куб!$A:$A,$G888,куб!H:H)))))))</f>
        <v>0</v>
      </c>
      <c r="I888" s="27">
        <f>IF($G888&lt;&gt;0,SUMIF(куб!$G:$G,$G888,куб!I:I),IF($E888&lt;&gt;0,SUMIF(куб!$E:$E,$E888,куб!I:I),IF($D888&lt;&gt;0,SUMIF(куб!$D:$D,$D888,куб!I:I),IF($C888&lt;&gt;0,SUMIF(куб!$C:$C,$C888,куб!I:I),IF($B888&lt;&gt;0,SUMIF(куб!$B:$B,$B888,куб!I:I),IF($G888&lt;&gt;0,SUMIF(куб!$A:$A,$G888,куб!I:I),SUMIF(куб!$A:$A,$G888,куб!I:I)))))))</f>
        <v>0</v>
      </c>
      <c r="J888" s="19" t="str">
        <f t="shared" ref="J888:J951" si="291">IFERROR((I888-H888)/ABS(H888),"-")</f>
        <v>-</v>
      </c>
      <c r="K888" s="8"/>
      <c r="L888" s="17">
        <f t="shared" ref="L888:L951" si="292">H888/$H$3</f>
        <v>0</v>
      </c>
      <c r="M888" s="17">
        <f t="shared" ref="M888:M951" si="293">I888/$I$3</f>
        <v>0</v>
      </c>
      <c r="N888" s="12">
        <f t="shared" ref="N888:N951" si="294">M888-L888</f>
        <v>0</v>
      </c>
      <c r="O888" s="5"/>
      <c r="P888" s="27" t="b">
        <f>IF($G888&lt;&gt;0,SUMIF(куб!$G:$G,$G888,куб!J:J),IF($E888&lt;&gt;0,SUMIF(куб!$E:$E,$E888,куб!J:J),IF($D888&lt;&gt;0,SUMIF(куб!$D:$D,$D888,куб!J:J),IF($C888&lt;&gt;0,SUMIF(куб!$C:$C,$C888,куб!J:J),IF($B888&lt;&gt;0,SUMIF(куб!$B:$B,$B888,куб!J:J))))))</f>
        <v>0</v>
      </c>
      <c r="Q888" s="27" t="b">
        <f>IF($G888&lt;&gt;0,SUMIF(куб!$G:$G,$G888,куб!K:K),IF($E888&lt;&gt;0,SUMIF(куб!$E:$E,$E888,куб!K:K),IF($D888&lt;&gt;0,SUMIF(куб!$D:$D,$D888,куб!K:K),IF($C888&lt;&gt;0,SUMIF(куб!$C:$C,$C888,куб!K:K),IF($B888&lt;&gt;0,SUMIF(куб!$B:$B,$B888,куб!K:K))))))</f>
        <v>0</v>
      </c>
      <c r="R888" s="13" t="str">
        <f t="shared" ref="R888:R951" si="295">IFERROR((Q888-P888)/ABS(P888),"-")</f>
        <v>-</v>
      </c>
      <c r="S888" s="5"/>
      <c r="T888" s="27" t="b">
        <f>IF($G888&lt;&gt;0,SUMIF(куб!$G:$G,$G888,куб!L:L),IF($E888&lt;&gt;0,SUMIF(куб!$E:$E,$E888,куб!L:L),IF($D888&lt;&gt;0,SUMIF(куб!$D:$D,$D888,куб!L:L),IF($C888&lt;&gt;0,SUMIF(куб!$C:$C,$C888,куб!L:L),IF($B888&lt;&gt;0,SUMIF(куб!$B:$B,$B888,куб!L:L))))))</f>
        <v>0</v>
      </c>
      <c r="U888" s="27" t="b">
        <f>IF($G888&lt;&gt;0,SUMIF(куб!$G:$G,$G888,куб!M:M),IF($E888&lt;&gt;0,SUMIF(куб!$E:$E,$E888,куб!M:M),IF($D888&lt;&gt;0,SUMIF(куб!$D:$D,$D888,куб!M:M),IF($C888&lt;&gt;0,SUMIF(куб!$C:$C,$C888,куб!M:M),IF($B888&lt;&gt;0,SUMIF(куб!$B:$B,$B888,куб!M:M))))))</f>
        <v>0</v>
      </c>
      <c r="V888" s="13" t="str">
        <f t="shared" ref="V888:V951" si="296">IFERROR((U888-T888)/ABS(T888),"-")</f>
        <v>-</v>
      </c>
      <c r="W888" s="5"/>
      <c r="X888" s="27" t="b">
        <f>IF($G888&lt;&gt;0,SUMIF(куб!$G:$G,$G888,куб!N:N),IF($E888&lt;&gt;0,SUMIF(куб!$E:$E,$E888,куб!N:N),IF($D888&lt;&gt;0,SUMIF(куб!$D:$D,$D888,куб!N:N),IF($C888&lt;&gt;0,SUMIF(куб!$C:$C,$C888,куб!N:N),IF($B888&lt;&gt;0,SUMIF(куб!$B:$B,$B888,куб!N:N))))))</f>
        <v>0</v>
      </c>
      <c r="Y888" s="27" t="b">
        <f>IF($G888&lt;&gt;0,SUMIF(куб!$G:$G,$G888,куб!O:O),IF($E888&lt;&gt;0,SUMIF(куб!$E:$E,$E888,куб!O:O),IF($D888&lt;&gt;0,SUMIF(куб!$D:$D,$D888,куб!O:O),IF($C888&lt;&gt;0,SUMIF(куб!$C:$C,$C888,куб!O:O),IF($B888&lt;&gt;0,SUMIF(куб!$B:$B,$B888,куб!O:O))))))</f>
        <v>0</v>
      </c>
      <c r="Z888" s="13" t="str">
        <f t="shared" ref="Z888:Z951" si="297">IFERROR((Y888-X888)/ABS(X888),"-")</f>
        <v>-</v>
      </c>
      <c r="AA888" s="5"/>
      <c r="AB888" s="33" t="str">
        <f t="shared" ref="AB888:AB951" si="298">IFERROR(X888/H888,"")</f>
        <v/>
      </c>
      <c r="AC888" s="33" t="str">
        <f t="shared" ref="AC888:AC951" si="299">IFERROR(Y888/I888,"")</f>
        <v/>
      </c>
      <c r="AD888" s="15" t="str">
        <f t="shared" ref="AD888:AD951" si="300">IFERROR(AC888-AB888," ")</f>
        <v xml:space="preserve"> </v>
      </c>
      <c r="AE888" s="5"/>
      <c r="AF888" s="27" t="b">
        <f>IF($G888&lt;&gt;0,SUMIF(куб!$G:$G,$G888,куб!R:R),IF($E888&lt;&gt;0,SUMIF(куб!$E:$E,$E888,куб!R:R),IF($D888&lt;&gt;0,SUMIF(куб!$D:$D,$D888,куб!R:R),IF($C888&lt;&gt;0,SUMIF(куб!$C:$C,$C888,куб!R:R),IF($B888&lt;&gt;0,SUMIF(куб!$B:$B,$B888,куб!R:R))))))</f>
        <v>0</v>
      </c>
      <c r="AG888" s="27" t="b">
        <f>IF($G888&lt;&gt;0,SUMIF(куб!$G:$G,$G888,куб!S:S),IF($E888&lt;&gt;0,SUMIF(куб!$E:$E,$E888,куб!S:S),IF($D888&lt;&gt;0,SUMIF(куб!$D:$D,$D888,куб!S:S),IF($C888&lt;&gt;0,SUMIF(куб!$C:$C,$C888,куб!S:S),IF($B888&lt;&gt;0,SUMIF(куб!$B:$B,$B888,куб!S:S))))))</f>
        <v>0</v>
      </c>
      <c r="AH888" s="16" t="str">
        <f t="shared" ref="AH888:AH951" si="301">IFERROR((AG888-AF888)/ABS(AF888),"-")</f>
        <v>-</v>
      </c>
      <c r="AI888" s="8"/>
      <c r="AJ888" s="27" t="b">
        <f>IF($G888&lt;&gt;0,SUMIF(куб!$G:$G,$G888,куб!T:T),IF($E888&lt;&gt;0,SUMIF(куб!$E:$E,$E888,куб!T:T),IF($D888&lt;&gt;0,SUMIF(куб!$D:$D,$D888,куб!T:T),IF($C888&lt;&gt;0,SUMIF(куб!$C:$C,$C888,куб!T:T),IF($B888&lt;&gt;0,SUMIF(куб!$B:$B,$B888,куб!T:T))))))</f>
        <v>0</v>
      </c>
      <c r="AK888" s="27" t="b">
        <f>IF($G888&lt;&gt;0,SUMIF(куб!$G:$G,$G888,куб!U:U),IF($E888&lt;&gt;0,SUMIF(куб!$E:$E,$E888,куб!U:U),IF($D888&lt;&gt;0,SUMIF(куб!$D:$D,$D888,куб!U:U),IF($C888&lt;&gt;0,SUMIF(куб!$C:$C,$C888,куб!U:U),IF($B888&lt;&gt;0,SUMIF(куб!$B:$B,$B888,куб!U:U))))))</f>
        <v>0</v>
      </c>
      <c r="AL888" s="16" t="str">
        <f t="shared" ref="AL888:AL951" si="302">IFERROR((AK888-AJ888)/ABS(AJ888),"-")</f>
        <v>-</v>
      </c>
      <c r="AM888" s="8"/>
      <c r="AN888" s="17" t="str">
        <f t="shared" ref="AN888:AN951" si="303">IFERROR(AF888/H888," ")</f>
        <v xml:space="preserve"> </v>
      </c>
      <c r="AO888" s="17" t="str">
        <f t="shared" ref="AO888:AO951" si="304">IFERROR(AG888/I888," ")</f>
        <v xml:space="preserve"> </v>
      </c>
      <c r="AP888" s="16" t="str">
        <f t="shared" ref="AP888:AP951" si="305">IFERROR(AO888-AN888,"-")</f>
        <v>-</v>
      </c>
      <c r="AQ888" s="8"/>
      <c r="AR888" s="17" t="str">
        <f t="shared" ref="AR888:AR951" si="306">IFERROR((X888-AF888)/H888,"-")</f>
        <v>-</v>
      </c>
      <c r="AS888" s="17" t="str">
        <f t="shared" ref="AS888:AS951" si="307">IFERROR((Y888-AG888)/I888,"-")</f>
        <v>-</v>
      </c>
      <c r="AT888" s="13" t="str">
        <f t="shared" ref="AT888:AT951" si="308">IFERROR(AS888-AR888,"-")</f>
        <v>-</v>
      </c>
      <c r="AU888" s="8"/>
    </row>
    <row r="889" spans="1:47" x14ac:dyDescent="0.25">
      <c r="A889" s="31"/>
      <c r="B889" s="31"/>
      <c r="C889"/>
      <c r="D889" s="31"/>
      <c r="E889"/>
      <c r="F889" s="31"/>
      <c r="G889"/>
      <c r="H889" s="27">
        <f>IF($G889&lt;&gt;0,SUMIF(куб!$G:$G,$G889,куб!H:H),IF($E889&lt;&gt;0,SUMIF(куб!$E:$E,$E889,куб!H:H),IF($D889&lt;&gt;0,SUMIF(куб!$D:$D,$D889,куб!H:H),IF($C889&lt;&gt;0,SUMIF(куб!$C:$C,$C889,куб!H:H),IF($B889&lt;&gt;0,SUMIF(куб!$B:$B,$B889,куб!H:H),IF($G889&lt;&gt;0,SUMIF(куб!$A:$A,$G889,куб!H:H),SUMIF(куб!$A:$A,$G889,куб!H:H)))))))</f>
        <v>0</v>
      </c>
      <c r="I889" s="27">
        <f>IF($G889&lt;&gt;0,SUMIF(куб!$G:$G,$G889,куб!I:I),IF($E889&lt;&gt;0,SUMIF(куб!$E:$E,$E889,куб!I:I),IF($D889&lt;&gt;0,SUMIF(куб!$D:$D,$D889,куб!I:I),IF($C889&lt;&gt;0,SUMIF(куб!$C:$C,$C889,куб!I:I),IF($B889&lt;&gt;0,SUMIF(куб!$B:$B,$B889,куб!I:I),IF($G889&lt;&gt;0,SUMIF(куб!$A:$A,$G889,куб!I:I),SUMIF(куб!$A:$A,$G889,куб!I:I)))))))</f>
        <v>0</v>
      </c>
      <c r="J889" s="19" t="str">
        <f t="shared" si="291"/>
        <v>-</v>
      </c>
      <c r="K889" s="8"/>
      <c r="L889" s="17">
        <f t="shared" si="292"/>
        <v>0</v>
      </c>
      <c r="M889" s="17">
        <f t="shared" si="293"/>
        <v>0</v>
      </c>
      <c r="N889" s="12">
        <f t="shared" si="294"/>
        <v>0</v>
      </c>
      <c r="O889" s="5"/>
      <c r="P889" s="27" t="b">
        <f>IF($G889&lt;&gt;0,SUMIF(куб!$G:$G,$G889,куб!J:J),IF($E889&lt;&gt;0,SUMIF(куб!$E:$E,$E889,куб!J:J),IF($D889&lt;&gt;0,SUMIF(куб!$D:$D,$D889,куб!J:J),IF($C889&lt;&gt;0,SUMIF(куб!$C:$C,$C889,куб!J:J),IF($B889&lt;&gt;0,SUMIF(куб!$B:$B,$B889,куб!J:J))))))</f>
        <v>0</v>
      </c>
      <c r="Q889" s="27" t="b">
        <f>IF($G889&lt;&gt;0,SUMIF(куб!$G:$G,$G889,куб!K:K),IF($E889&lt;&gt;0,SUMIF(куб!$E:$E,$E889,куб!K:K),IF($D889&lt;&gt;0,SUMIF(куб!$D:$D,$D889,куб!K:K),IF($C889&lt;&gt;0,SUMIF(куб!$C:$C,$C889,куб!K:K),IF($B889&lt;&gt;0,SUMIF(куб!$B:$B,$B889,куб!K:K))))))</f>
        <v>0</v>
      </c>
      <c r="R889" s="13" t="str">
        <f t="shared" si="295"/>
        <v>-</v>
      </c>
      <c r="S889" s="5"/>
      <c r="T889" s="27" t="b">
        <f>IF($G889&lt;&gt;0,SUMIF(куб!$G:$G,$G889,куб!L:L),IF($E889&lt;&gt;0,SUMIF(куб!$E:$E,$E889,куб!L:L),IF($D889&lt;&gt;0,SUMIF(куб!$D:$D,$D889,куб!L:L),IF($C889&lt;&gt;0,SUMIF(куб!$C:$C,$C889,куб!L:L),IF($B889&lt;&gt;0,SUMIF(куб!$B:$B,$B889,куб!L:L))))))</f>
        <v>0</v>
      </c>
      <c r="U889" s="27" t="b">
        <f>IF($G889&lt;&gt;0,SUMIF(куб!$G:$G,$G889,куб!M:M),IF($E889&lt;&gt;0,SUMIF(куб!$E:$E,$E889,куб!M:M),IF($D889&lt;&gt;0,SUMIF(куб!$D:$D,$D889,куб!M:M),IF($C889&lt;&gt;0,SUMIF(куб!$C:$C,$C889,куб!M:M),IF($B889&lt;&gt;0,SUMIF(куб!$B:$B,$B889,куб!M:M))))))</f>
        <v>0</v>
      </c>
      <c r="V889" s="13" t="str">
        <f t="shared" si="296"/>
        <v>-</v>
      </c>
      <c r="W889" s="5"/>
      <c r="X889" s="27" t="b">
        <f>IF($G889&lt;&gt;0,SUMIF(куб!$G:$G,$G889,куб!N:N),IF($E889&lt;&gt;0,SUMIF(куб!$E:$E,$E889,куб!N:N),IF($D889&lt;&gt;0,SUMIF(куб!$D:$D,$D889,куб!N:N),IF($C889&lt;&gt;0,SUMIF(куб!$C:$C,$C889,куб!N:N),IF($B889&lt;&gt;0,SUMIF(куб!$B:$B,$B889,куб!N:N))))))</f>
        <v>0</v>
      </c>
      <c r="Y889" s="27" t="b">
        <f>IF($G889&lt;&gt;0,SUMIF(куб!$G:$G,$G889,куб!O:O),IF($E889&lt;&gt;0,SUMIF(куб!$E:$E,$E889,куб!O:O),IF($D889&lt;&gt;0,SUMIF(куб!$D:$D,$D889,куб!O:O),IF($C889&lt;&gt;0,SUMIF(куб!$C:$C,$C889,куб!O:O),IF($B889&lt;&gt;0,SUMIF(куб!$B:$B,$B889,куб!O:O))))))</f>
        <v>0</v>
      </c>
      <c r="Z889" s="13" t="str">
        <f t="shared" si="297"/>
        <v>-</v>
      </c>
      <c r="AA889" s="5"/>
      <c r="AB889" s="33" t="str">
        <f t="shared" si="298"/>
        <v/>
      </c>
      <c r="AC889" s="33" t="str">
        <f t="shared" si="299"/>
        <v/>
      </c>
      <c r="AD889" s="15" t="str">
        <f t="shared" si="300"/>
        <v xml:space="preserve"> </v>
      </c>
      <c r="AE889" s="5"/>
      <c r="AF889" s="27" t="b">
        <f>IF($G889&lt;&gt;0,SUMIF(куб!$G:$G,$G889,куб!R:R),IF($E889&lt;&gt;0,SUMIF(куб!$E:$E,$E889,куб!R:R),IF($D889&lt;&gt;0,SUMIF(куб!$D:$D,$D889,куб!R:R),IF($C889&lt;&gt;0,SUMIF(куб!$C:$C,$C889,куб!R:R),IF($B889&lt;&gt;0,SUMIF(куб!$B:$B,$B889,куб!R:R))))))</f>
        <v>0</v>
      </c>
      <c r="AG889" s="27" t="b">
        <f>IF($G889&lt;&gt;0,SUMIF(куб!$G:$G,$G889,куб!S:S),IF($E889&lt;&gt;0,SUMIF(куб!$E:$E,$E889,куб!S:S),IF($D889&lt;&gt;0,SUMIF(куб!$D:$D,$D889,куб!S:S),IF($C889&lt;&gt;0,SUMIF(куб!$C:$C,$C889,куб!S:S),IF($B889&lt;&gt;0,SUMIF(куб!$B:$B,$B889,куб!S:S))))))</f>
        <v>0</v>
      </c>
      <c r="AH889" s="16" t="str">
        <f t="shared" si="301"/>
        <v>-</v>
      </c>
      <c r="AI889" s="8"/>
      <c r="AJ889" s="27" t="b">
        <f>IF($G889&lt;&gt;0,SUMIF(куб!$G:$G,$G889,куб!T:T),IF($E889&lt;&gt;0,SUMIF(куб!$E:$E,$E889,куб!T:T),IF($D889&lt;&gt;0,SUMIF(куб!$D:$D,$D889,куб!T:T),IF($C889&lt;&gt;0,SUMIF(куб!$C:$C,$C889,куб!T:T),IF($B889&lt;&gt;0,SUMIF(куб!$B:$B,$B889,куб!T:T))))))</f>
        <v>0</v>
      </c>
      <c r="AK889" s="27" t="b">
        <f>IF($G889&lt;&gt;0,SUMIF(куб!$G:$G,$G889,куб!U:U),IF($E889&lt;&gt;0,SUMIF(куб!$E:$E,$E889,куб!U:U),IF($D889&lt;&gt;0,SUMIF(куб!$D:$D,$D889,куб!U:U),IF($C889&lt;&gt;0,SUMIF(куб!$C:$C,$C889,куб!U:U),IF($B889&lt;&gt;0,SUMIF(куб!$B:$B,$B889,куб!U:U))))))</f>
        <v>0</v>
      </c>
      <c r="AL889" s="16" t="str">
        <f t="shared" si="302"/>
        <v>-</v>
      </c>
      <c r="AM889" s="8"/>
      <c r="AN889" s="17" t="str">
        <f t="shared" si="303"/>
        <v xml:space="preserve"> </v>
      </c>
      <c r="AO889" s="17" t="str">
        <f t="shared" si="304"/>
        <v xml:space="preserve"> </v>
      </c>
      <c r="AP889" s="16" t="str">
        <f t="shared" si="305"/>
        <v>-</v>
      </c>
      <c r="AQ889" s="8"/>
      <c r="AR889" s="17" t="str">
        <f t="shared" si="306"/>
        <v>-</v>
      </c>
      <c r="AS889" s="17" t="str">
        <f t="shared" si="307"/>
        <v>-</v>
      </c>
      <c r="AT889" s="13" t="str">
        <f t="shared" si="308"/>
        <v>-</v>
      </c>
      <c r="AU889" s="8"/>
    </row>
    <row r="890" spans="1:47" x14ac:dyDescent="0.25">
      <c r="A890" s="31"/>
      <c r="B890" s="31"/>
      <c r="C890"/>
      <c r="D890" s="31"/>
      <c r="E890"/>
      <c r="F890" s="31"/>
      <c r="G890"/>
      <c r="H890" s="27">
        <f>IF($G890&lt;&gt;0,SUMIF(куб!$G:$G,$G890,куб!H:H),IF($E890&lt;&gt;0,SUMIF(куб!$E:$E,$E890,куб!H:H),IF($D890&lt;&gt;0,SUMIF(куб!$D:$D,$D890,куб!H:H),IF($C890&lt;&gt;0,SUMIF(куб!$C:$C,$C890,куб!H:H),IF($B890&lt;&gt;0,SUMIF(куб!$B:$B,$B890,куб!H:H),IF($G890&lt;&gt;0,SUMIF(куб!$A:$A,$G890,куб!H:H),SUMIF(куб!$A:$A,$G890,куб!H:H)))))))</f>
        <v>0</v>
      </c>
      <c r="I890" s="27">
        <f>IF($G890&lt;&gt;0,SUMIF(куб!$G:$G,$G890,куб!I:I),IF($E890&lt;&gt;0,SUMIF(куб!$E:$E,$E890,куб!I:I),IF($D890&lt;&gt;0,SUMIF(куб!$D:$D,$D890,куб!I:I),IF($C890&lt;&gt;0,SUMIF(куб!$C:$C,$C890,куб!I:I),IF($B890&lt;&gt;0,SUMIF(куб!$B:$B,$B890,куб!I:I),IF($G890&lt;&gt;0,SUMIF(куб!$A:$A,$G890,куб!I:I),SUMIF(куб!$A:$A,$G890,куб!I:I)))))))</f>
        <v>0</v>
      </c>
      <c r="J890" s="19" t="str">
        <f t="shared" si="291"/>
        <v>-</v>
      </c>
      <c r="K890" s="8"/>
      <c r="L890" s="17">
        <f t="shared" si="292"/>
        <v>0</v>
      </c>
      <c r="M890" s="17">
        <f t="shared" si="293"/>
        <v>0</v>
      </c>
      <c r="N890" s="12">
        <f t="shared" si="294"/>
        <v>0</v>
      </c>
      <c r="O890" s="5"/>
      <c r="P890" s="27" t="b">
        <f>IF($G890&lt;&gt;0,SUMIF(куб!$G:$G,$G890,куб!J:J),IF($E890&lt;&gt;0,SUMIF(куб!$E:$E,$E890,куб!J:J),IF($D890&lt;&gt;0,SUMIF(куб!$D:$D,$D890,куб!J:J),IF($C890&lt;&gt;0,SUMIF(куб!$C:$C,$C890,куб!J:J),IF($B890&lt;&gt;0,SUMIF(куб!$B:$B,$B890,куб!J:J))))))</f>
        <v>0</v>
      </c>
      <c r="Q890" s="27" t="b">
        <f>IF($G890&lt;&gt;0,SUMIF(куб!$G:$G,$G890,куб!K:K),IF($E890&lt;&gt;0,SUMIF(куб!$E:$E,$E890,куб!K:K),IF($D890&lt;&gt;0,SUMIF(куб!$D:$D,$D890,куб!K:K),IF($C890&lt;&gt;0,SUMIF(куб!$C:$C,$C890,куб!K:K),IF($B890&lt;&gt;0,SUMIF(куб!$B:$B,$B890,куб!K:K))))))</f>
        <v>0</v>
      </c>
      <c r="R890" s="13" t="str">
        <f t="shared" si="295"/>
        <v>-</v>
      </c>
      <c r="S890" s="5"/>
      <c r="T890" s="27" t="b">
        <f>IF($G890&lt;&gt;0,SUMIF(куб!$G:$G,$G890,куб!L:L),IF($E890&lt;&gt;0,SUMIF(куб!$E:$E,$E890,куб!L:L),IF($D890&lt;&gt;0,SUMIF(куб!$D:$D,$D890,куб!L:L),IF($C890&lt;&gt;0,SUMIF(куб!$C:$C,$C890,куб!L:L),IF($B890&lt;&gt;0,SUMIF(куб!$B:$B,$B890,куб!L:L))))))</f>
        <v>0</v>
      </c>
      <c r="U890" s="27" t="b">
        <f>IF($G890&lt;&gt;0,SUMIF(куб!$G:$G,$G890,куб!M:M),IF($E890&lt;&gt;0,SUMIF(куб!$E:$E,$E890,куб!M:M),IF($D890&lt;&gt;0,SUMIF(куб!$D:$D,$D890,куб!M:M),IF($C890&lt;&gt;0,SUMIF(куб!$C:$C,$C890,куб!M:M),IF($B890&lt;&gt;0,SUMIF(куб!$B:$B,$B890,куб!M:M))))))</f>
        <v>0</v>
      </c>
      <c r="V890" s="13" t="str">
        <f t="shared" si="296"/>
        <v>-</v>
      </c>
      <c r="W890" s="5"/>
      <c r="X890" s="27" t="b">
        <f>IF($G890&lt;&gt;0,SUMIF(куб!$G:$G,$G890,куб!N:N),IF($E890&lt;&gt;0,SUMIF(куб!$E:$E,$E890,куб!N:N),IF($D890&lt;&gt;0,SUMIF(куб!$D:$D,$D890,куб!N:N),IF($C890&lt;&gt;0,SUMIF(куб!$C:$C,$C890,куб!N:N),IF($B890&lt;&gt;0,SUMIF(куб!$B:$B,$B890,куб!N:N))))))</f>
        <v>0</v>
      </c>
      <c r="Y890" s="27" t="b">
        <f>IF($G890&lt;&gt;0,SUMIF(куб!$G:$G,$G890,куб!O:O),IF($E890&lt;&gt;0,SUMIF(куб!$E:$E,$E890,куб!O:O),IF($D890&lt;&gt;0,SUMIF(куб!$D:$D,$D890,куб!O:O),IF($C890&lt;&gt;0,SUMIF(куб!$C:$C,$C890,куб!O:O),IF($B890&lt;&gt;0,SUMIF(куб!$B:$B,$B890,куб!O:O))))))</f>
        <v>0</v>
      </c>
      <c r="Z890" s="13" t="str">
        <f t="shared" si="297"/>
        <v>-</v>
      </c>
      <c r="AA890" s="5"/>
      <c r="AB890" s="33" t="str">
        <f t="shared" si="298"/>
        <v/>
      </c>
      <c r="AC890" s="33" t="str">
        <f t="shared" si="299"/>
        <v/>
      </c>
      <c r="AD890" s="15" t="str">
        <f t="shared" si="300"/>
        <v xml:space="preserve"> </v>
      </c>
      <c r="AE890" s="5"/>
      <c r="AF890" s="27" t="b">
        <f>IF($G890&lt;&gt;0,SUMIF(куб!$G:$G,$G890,куб!R:R),IF($E890&lt;&gt;0,SUMIF(куб!$E:$E,$E890,куб!R:R),IF($D890&lt;&gt;0,SUMIF(куб!$D:$D,$D890,куб!R:R),IF($C890&lt;&gt;0,SUMIF(куб!$C:$C,$C890,куб!R:R),IF($B890&lt;&gt;0,SUMIF(куб!$B:$B,$B890,куб!R:R))))))</f>
        <v>0</v>
      </c>
      <c r="AG890" s="27" t="b">
        <f>IF($G890&lt;&gt;0,SUMIF(куб!$G:$G,$G890,куб!S:S),IF($E890&lt;&gt;0,SUMIF(куб!$E:$E,$E890,куб!S:S),IF($D890&lt;&gt;0,SUMIF(куб!$D:$D,$D890,куб!S:S),IF($C890&lt;&gt;0,SUMIF(куб!$C:$C,$C890,куб!S:S),IF($B890&lt;&gt;0,SUMIF(куб!$B:$B,$B890,куб!S:S))))))</f>
        <v>0</v>
      </c>
      <c r="AH890" s="16" t="str">
        <f t="shared" si="301"/>
        <v>-</v>
      </c>
      <c r="AI890" s="8"/>
      <c r="AJ890" s="27" t="b">
        <f>IF($G890&lt;&gt;0,SUMIF(куб!$G:$G,$G890,куб!T:T),IF($E890&lt;&gt;0,SUMIF(куб!$E:$E,$E890,куб!T:T),IF($D890&lt;&gt;0,SUMIF(куб!$D:$D,$D890,куб!T:T),IF($C890&lt;&gt;0,SUMIF(куб!$C:$C,$C890,куб!T:T),IF($B890&lt;&gt;0,SUMIF(куб!$B:$B,$B890,куб!T:T))))))</f>
        <v>0</v>
      </c>
      <c r="AK890" s="27" t="b">
        <f>IF($G890&lt;&gt;0,SUMIF(куб!$G:$G,$G890,куб!U:U),IF($E890&lt;&gt;0,SUMIF(куб!$E:$E,$E890,куб!U:U),IF($D890&lt;&gt;0,SUMIF(куб!$D:$D,$D890,куб!U:U),IF($C890&lt;&gt;0,SUMIF(куб!$C:$C,$C890,куб!U:U),IF($B890&lt;&gt;0,SUMIF(куб!$B:$B,$B890,куб!U:U))))))</f>
        <v>0</v>
      </c>
      <c r="AL890" s="16" t="str">
        <f t="shared" si="302"/>
        <v>-</v>
      </c>
      <c r="AM890" s="8"/>
      <c r="AN890" s="17" t="str">
        <f t="shared" si="303"/>
        <v xml:space="preserve"> </v>
      </c>
      <c r="AO890" s="17" t="str">
        <f t="shared" si="304"/>
        <v xml:space="preserve"> </v>
      </c>
      <c r="AP890" s="16" t="str">
        <f t="shared" si="305"/>
        <v>-</v>
      </c>
      <c r="AQ890" s="8"/>
      <c r="AR890" s="17" t="str">
        <f t="shared" si="306"/>
        <v>-</v>
      </c>
      <c r="AS890" s="17" t="str">
        <f t="shared" si="307"/>
        <v>-</v>
      </c>
      <c r="AT890" s="13" t="str">
        <f t="shared" si="308"/>
        <v>-</v>
      </c>
      <c r="AU890" s="8"/>
    </row>
    <row r="891" spans="1:47" x14ac:dyDescent="0.25">
      <c r="A891" s="31"/>
      <c r="B891" s="31"/>
      <c r="C891"/>
      <c r="D891" s="31"/>
      <c r="E891"/>
      <c r="F891" s="31"/>
      <c r="G891"/>
      <c r="H891" s="27">
        <f>IF($G891&lt;&gt;0,SUMIF(куб!$G:$G,$G891,куб!H:H),IF($E891&lt;&gt;0,SUMIF(куб!$E:$E,$E891,куб!H:H),IF($D891&lt;&gt;0,SUMIF(куб!$D:$D,$D891,куб!H:H),IF($C891&lt;&gt;0,SUMIF(куб!$C:$C,$C891,куб!H:H),IF($B891&lt;&gt;0,SUMIF(куб!$B:$B,$B891,куб!H:H),IF($G891&lt;&gt;0,SUMIF(куб!$A:$A,$G891,куб!H:H),SUMIF(куб!$A:$A,$G891,куб!H:H)))))))</f>
        <v>0</v>
      </c>
      <c r="I891" s="27">
        <f>IF($G891&lt;&gt;0,SUMIF(куб!$G:$G,$G891,куб!I:I),IF($E891&lt;&gt;0,SUMIF(куб!$E:$E,$E891,куб!I:I),IF($D891&lt;&gt;0,SUMIF(куб!$D:$D,$D891,куб!I:I),IF($C891&lt;&gt;0,SUMIF(куб!$C:$C,$C891,куб!I:I),IF($B891&lt;&gt;0,SUMIF(куб!$B:$B,$B891,куб!I:I),IF($G891&lt;&gt;0,SUMIF(куб!$A:$A,$G891,куб!I:I),SUMIF(куб!$A:$A,$G891,куб!I:I)))))))</f>
        <v>0</v>
      </c>
      <c r="J891" s="19" t="str">
        <f t="shared" si="291"/>
        <v>-</v>
      </c>
      <c r="K891" s="8"/>
      <c r="L891" s="17">
        <f t="shared" si="292"/>
        <v>0</v>
      </c>
      <c r="M891" s="17">
        <f t="shared" si="293"/>
        <v>0</v>
      </c>
      <c r="N891" s="12">
        <f t="shared" si="294"/>
        <v>0</v>
      </c>
      <c r="O891" s="5"/>
      <c r="P891" s="27" t="b">
        <f>IF($G891&lt;&gt;0,SUMIF(куб!$G:$G,$G891,куб!J:J),IF($E891&lt;&gt;0,SUMIF(куб!$E:$E,$E891,куб!J:J),IF($D891&lt;&gt;0,SUMIF(куб!$D:$D,$D891,куб!J:J),IF($C891&lt;&gt;0,SUMIF(куб!$C:$C,$C891,куб!J:J),IF($B891&lt;&gt;0,SUMIF(куб!$B:$B,$B891,куб!J:J))))))</f>
        <v>0</v>
      </c>
      <c r="Q891" s="27" t="b">
        <f>IF($G891&lt;&gt;0,SUMIF(куб!$G:$G,$G891,куб!K:K),IF($E891&lt;&gt;0,SUMIF(куб!$E:$E,$E891,куб!K:K),IF($D891&lt;&gt;0,SUMIF(куб!$D:$D,$D891,куб!K:K),IF($C891&lt;&gt;0,SUMIF(куб!$C:$C,$C891,куб!K:K),IF($B891&lt;&gt;0,SUMIF(куб!$B:$B,$B891,куб!K:K))))))</f>
        <v>0</v>
      </c>
      <c r="R891" s="13" t="str">
        <f t="shared" si="295"/>
        <v>-</v>
      </c>
      <c r="S891" s="5"/>
      <c r="T891" s="27" t="b">
        <f>IF($G891&lt;&gt;0,SUMIF(куб!$G:$G,$G891,куб!L:L),IF($E891&lt;&gt;0,SUMIF(куб!$E:$E,$E891,куб!L:L),IF($D891&lt;&gt;0,SUMIF(куб!$D:$D,$D891,куб!L:L),IF($C891&lt;&gt;0,SUMIF(куб!$C:$C,$C891,куб!L:L),IF($B891&lt;&gt;0,SUMIF(куб!$B:$B,$B891,куб!L:L))))))</f>
        <v>0</v>
      </c>
      <c r="U891" s="27" t="b">
        <f>IF($G891&lt;&gt;0,SUMIF(куб!$G:$G,$G891,куб!M:M),IF($E891&lt;&gt;0,SUMIF(куб!$E:$E,$E891,куб!M:M),IF($D891&lt;&gt;0,SUMIF(куб!$D:$D,$D891,куб!M:M),IF($C891&lt;&gt;0,SUMIF(куб!$C:$C,$C891,куб!M:M),IF($B891&lt;&gt;0,SUMIF(куб!$B:$B,$B891,куб!M:M))))))</f>
        <v>0</v>
      </c>
      <c r="V891" s="13" t="str">
        <f t="shared" si="296"/>
        <v>-</v>
      </c>
      <c r="W891" s="5"/>
      <c r="X891" s="27" t="b">
        <f>IF($G891&lt;&gt;0,SUMIF(куб!$G:$G,$G891,куб!N:N),IF($E891&lt;&gt;0,SUMIF(куб!$E:$E,$E891,куб!N:N),IF($D891&lt;&gt;0,SUMIF(куб!$D:$D,$D891,куб!N:N),IF($C891&lt;&gt;0,SUMIF(куб!$C:$C,$C891,куб!N:N),IF($B891&lt;&gt;0,SUMIF(куб!$B:$B,$B891,куб!N:N))))))</f>
        <v>0</v>
      </c>
      <c r="Y891" s="27" t="b">
        <f>IF($G891&lt;&gt;0,SUMIF(куб!$G:$G,$G891,куб!O:O),IF($E891&lt;&gt;0,SUMIF(куб!$E:$E,$E891,куб!O:O),IF($D891&lt;&gt;0,SUMIF(куб!$D:$D,$D891,куб!O:O),IF($C891&lt;&gt;0,SUMIF(куб!$C:$C,$C891,куб!O:O),IF($B891&lt;&gt;0,SUMIF(куб!$B:$B,$B891,куб!O:O))))))</f>
        <v>0</v>
      </c>
      <c r="Z891" s="13" t="str">
        <f t="shared" si="297"/>
        <v>-</v>
      </c>
      <c r="AA891" s="5"/>
      <c r="AB891" s="33" t="str">
        <f t="shared" si="298"/>
        <v/>
      </c>
      <c r="AC891" s="33" t="str">
        <f t="shared" si="299"/>
        <v/>
      </c>
      <c r="AD891" s="15" t="str">
        <f t="shared" si="300"/>
        <v xml:space="preserve"> </v>
      </c>
      <c r="AE891" s="5"/>
      <c r="AF891" s="27" t="b">
        <f>IF($G891&lt;&gt;0,SUMIF(куб!$G:$G,$G891,куб!R:R),IF($E891&lt;&gt;0,SUMIF(куб!$E:$E,$E891,куб!R:R),IF($D891&lt;&gt;0,SUMIF(куб!$D:$D,$D891,куб!R:R),IF($C891&lt;&gt;0,SUMIF(куб!$C:$C,$C891,куб!R:R),IF($B891&lt;&gt;0,SUMIF(куб!$B:$B,$B891,куб!R:R))))))</f>
        <v>0</v>
      </c>
      <c r="AG891" s="27" t="b">
        <f>IF($G891&lt;&gt;0,SUMIF(куб!$G:$G,$G891,куб!S:S),IF($E891&lt;&gt;0,SUMIF(куб!$E:$E,$E891,куб!S:S),IF($D891&lt;&gt;0,SUMIF(куб!$D:$D,$D891,куб!S:S),IF($C891&lt;&gt;0,SUMIF(куб!$C:$C,$C891,куб!S:S),IF($B891&lt;&gt;0,SUMIF(куб!$B:$B,$B891,куб!S:S))))))</f>
        <v>0</v>
      </c>
      <c r="AH891" s="16" t="str">
        <f t="shared" si="301"/>
        <v>-</v>
      </c>
      <c r="AI891" s="8"/>
      <c r="AJ891" s="27" t="b">
        <f>IF($G891&lt;&gt;0,SUMIF(куб!$G:$G,$G891,куб!T:T),IF($E891&lt;&gt;0,SUMIF(куб!$E:$E,$E891,куб!T:T),IF($D891&lt;&gt;0,SUMIF(куб!$D:$D,$D891,куб!T:T),IF($C891&lt;&gt;0,SUMIF(куб!$C:$C,$C891,куб!T:T),IF($B891&lt;&gt;0,SUMIF(куб!$B:$B,$B891,куб!T:T))))))</f>
        <v>0</v>
      </c>
      <c r="AK891" s="27" t="b">
        <f>IF($G891&lt;&gt;0,SUMIF(куб!$G:$G,$G891,куб!U:U),IF($E891&lt;&gt;0,SUMIF(куб!$E:$E,$E891,куб!U:U),IF($D891&lt;&gt;0,SUMIF(куб!$D:$D,$D891,куб!U:U),IF($C891&lt;&gt;0,SUMIF(куб!$C:$C,$C891,куб!U:U),IF($B891&lt;&gt;0,SUMIF(куб!$B:$B,$B891,куб!U:U))))))</f>
        <v>0</v>
      </c>
      <c r="AL891" s="16" t="str">
        <f t="shared" si="302"/>
        <v>-</v>
      </c>
      <c r="AM891" s="8"/>
      <c r="AN891" s="17" t="str">
        <f t="shared" si="303"/>
        <v xml:space="preserve"> </v>
      </c>
      <c r="AO891" s="17" t="str">
        <f t="shared" si="304"/>
        <v xml:space="preserve"> </v>
      </c>
      <c r="AP891" s="16" t="str">
        <f t="shared" si="305"/>
        <v>-</v>
      </c>
      <c r="AQ891" s="8"/>
      <c r="AR891" s="17" t="str">
        <f t="shared" si="306"/>
        <v>-</v>
      </c>
      <c r="AS891" s="17" t="str">
        <f t="shared" si="307"/>
        <v>-</v>
      </c>
      <c r="AT891" s="13" t="str">
        <f t="shared" si="308"/>
        <v>-</v>
      </c>
      <c r="AU891" s="8"/>
    </row>
    <row r="892" spans="1:47" x14ac:dyDescent="0.25">
      <c r="A892" s="31"/>
      <c r="B892" s="31"/>
      <c r="C892"/>
      <c r="D892" s="31"/>
      <c r="E892"/>
      <c r="F892" s="31"/>
      <c r="G892"/>
      <c r="H892" s="27">
        <f>IF($G892&lt;&gt;0,SUMIF(куб!$G:$G,$G892,куб!H:H),IF($E892&lt;&gt;0,SUMIF(куб!$E:$E,$E892,куб!H:H),IF($D892&lt;&gt;0,SUMIF(куб!$D:$D,$D892,куб!H:H),IF($C892&lt;&gt;0,SUMIF(куб!$C:$C,$C892,куб!H:H),IF($B892&lt;&gt;0,SUMIF(куб!$B:$B,$B892,куб!H:H),IF($G892&lt;&gt;0,SUMIF(куб!$A:$A,$G892,куб!H:H),SUMIF(куб!$A:$A,$G892,куб!H:H)))))))</f>
        <v>0</v>
      </c>
      <c r="I892" s="27">
        <f>IF($G892&lt;&gt;0,SUMIF(куб!$G:$G,$G892,куб!I:I),IF($E892&lt;&gt;0,SUMIF(куб!$E:$E,$E892,куб!I:I),IF($D892&lt;&gt;0,SUMIF(куб!$D:$D,$D892,куб!I:I),IF($C892&lt;&gt;0,SUMIF(куб!$C:$C,$C892,куб!I:I),IF($B892&lt;&gt;0,SUMIF(куб!$B:$B,$B892,куб!I:I),IF($G892&lt;&gt;0,SUMIF(куб!$A:$A,$G892,куб!I:I),SUMIF(куб!$A:$A,$G892,куб!I:I)))))))</f>
        <v>0</v>
      </c>
      <c r="J892" s="19" t="str">
        <f t="shared" si="291"/>
        <v>-</v>
      </c>
      <c r="K892" s="8"/>
      <c r="L892" s="17">
        <f t="shared" si="292"/>
        <v>0</v>
      </c>
      <c r="M892" s="17">
        <f t="shared" si="293"/>
        <v>0</v>
      </c>
      <c r="N892" s="12">
        <f t="shared" si="294"/>
        <v>0</v>
      </c>
      <c r="O892" s="5"/>
      <c r="P892" s="27" t="b">
        <f>IF($G892&lt;&gt;0,SUMIF(куб!$G:$G,$G892,куб!J:J),IF($E892&lt;&gt;0,SUMIF(куб!$E:$E,$E892,куб!J:J),IF($D892&lt;&gt;0,SUMIF(куб!$D:$D,$D892,куб!J:J),IF($C892&lt;&gt;0,SUMIF(куб!$C:$C,$C892,куб!J:J),IF($B892&lt;&gt;0,SUMIF(куб!$B:$B,$B892,куб!J:J))))))</f>
        <v>0</v>
      </c>
      <c r="Q892" s="27" t="b">
        <f>IF($G892&lt;&gt;0,SUMIF(куб!$G:$G,$G892,куб!K:K),IF($E892&lt;&gt;0,SUMIF(куб!$E:$E,$E892,куб!K:K),IF($D892&lt;&gt;0,SUMIF(куб!$D:$D,$D892,куб!K:K),IF($C892&lt;&gt;0,SUMIF(куб!$C:$C,$C892,куб!K:K),IF($B892&lt;&gt;0,SUMIF(куб!$B:$B,$B892,куб!K:K))))))</f>
        <v>0</v>
      </c>
      <c r="R892" s="13" t="str">
        <f t="shared" si="295"/>
        <v>-</v>
      </c>
      <c r="S892" s="5"/>
      <c r="T892" s="27" t="b">
        <f>IF($G892&lt;&gt;0,SUMIF(куб!$G:$G,$G892,куб!L:L),IF($E892&lt;&gt;0,SUMIF(куб!$E:$E,$E892,куб!L:L),IF($D892&lt;&gt;0,SUMIF(куб!$D:$D,$D892,куб!L:L),IF($C892&lt;&gt;0,SUMIF(куб!$C:$C,$C892,куб!L:L),IF($B892&lt;&gt;0,SUMIF(куб!$B:$B,$B892,куб!L:L))))))</f>
        <v>0</v>
      </c>
      <c r="U892" s="27" t="b">
        <f>IF($G892&lt;&gt;0,SUMIF(куб!$G:$G,$G892,куб!M:M),IF($E892&lt;&gt;0,SUMIF(куб!$E:$E,$E892,куб!M:M),IF($D892&lt;&gt;0,SUMIF(куб!$D:$D,$D892,куб!M:M),IF($C892&lt;&gt;0,SUMIF(куб!$C:$C,$C892,куб!M:M),IF($B892&lt;&gt;0,SUMIF(куб!$B:$B,$B892,куб!M:M))))))</f>
        <v>0</v>
      </c>
      <c r="V892" s="13" t="str">
        <f t="shared" si="296"/>
        <v>-</v>
      </c>
      <c r="W892" s="5"/>
      <c r="X892" s="27" t="b">
        <f>IF($G892&lt;&gt;0,SUMIF(куб!$G:$G,$G892,куб!N:N),IF($E892&lt;&gt;0,SUMIF(куб!$E:$E,$E892,куб!N:N),IF($D892&lt;&gt;0,SUMIF(куб!$D:$D,$D892,куб!N:N),IF($C892&lt;&gt;0,SUMIF(куб!$C:$C,$C892,куб!N:N),IF($B892&lt;&gt;0,SUMIF(куб!$B:$B,$B892,куб!N:N))))))</f>
        <v>0</v>
      </c>
      <c r="Y892" s="27" t="b">
        <f>IF($G892&lt;&gt;0,SUMIF(куб!$G:$G,$G892,куб!O:O),IF($E892&lt;&gt;0,SUMIF(куб!$E:$E,$E892,куб!O:O),IF($D892&lt;&gt;0,SUMIF(куб!$D:$D,$D892,куб!O:O),IF($C892&lt;&gt;0,SUMIF(куб!$C:$C,$C892,куб!O:O),IF($B892&lt;&gt;0,SUMIF(куб!$B:$B,$B892,куб!O:O))))))</f>
        <v>0</v>
      </c>
      <c r="Z892" s="13" t="str">
        <f t="shared" si="297"/>
        <v>-</v>
      </c>
      <c r="AA892" s="5"/>
      <c r="AB892" s="33" t="str">
        <f t="shared" si="298"/>
        <v/>
      </c>
      <c r="AC892" s="33" t="str">
        <f t="shared" si="299"/>
        <v/>
      </c>
      <c r="AD892" s="15" t="str">
        <f t="shared" si="300"/>
        <v xml:space="preserve"> </v>
      </c>
      <c r="AE892" s="5"/>
      <c r="AF892" s="27" t="b">
        <f>IF($G892&lt;&gt;0,SUMIF(куб!$G:$G,$G892,куб!R:R),IF($E892&lt;&gt;0,SUMIF(куб!$E:$E,$E892,куб!R:R),IF($D892&lt;&gt;0,SUMIF(куб!$D:$D,$D892,куб!R:R),IF($C892&lt;&gt;0,SUMIF(куб!$C:$C,$C892,куб!R:R),IF($B892&lt;&gt;0,SUMIF(куб!$B:$B,$B892,куб!R:R))))))</f>
        <v>0</v>
      </c>
      <c r="AG892" s="27" t="b">
        <f>IF($G892&lt;&gt;0,SUMIF(куб!$G:$G,$G892,куб!S:S),IF($E892&lt;&gt;0,SUMIF(куб!$E:$E,$E892,куб!S:S),IF($D892&lt;&gt;0,SUMIF(куб!$D:$D,$D892,куб!S:S),IF($C892&lt;&gt;0,SUMIF(куб!$C:$C,$C892,куб!S:S),IF($B892&lt;&gt;0,SUMIF(куб!$B:$B,$B892,куб!S:S))))))</f>
        <v>0</v>
      </c>
      <c r="AH892" s="16" t="str">
        <f t="shared" si="301"/>
        <v>-</v>
      </c>
      <c r="AI892" s="8"/>
      <c r="AJ892" s="27" t="b">
        <f>IF($G892&lt;&gt;0,SUMIF(куб!$G:$G,$G892,куб!T:T),IF($E892&lt;&gt;0,SUMIF(куб!$E:$E,$E892,куб!T:T),IF($D892&lt;&gt;0,SUMIF(куб!$D:$D,$D892,куб!T:T),IF($C892&lt;&gt;0,SUMIF(куб!$C:$C,$C892,куб!T:T),IF($B892&lt;&gt;0,SUMIF(куб!$B:$B,$B892,куб!T:T))))))</f>
        <v>0</v>
      </c>
      <c r="AK892" s="27" t="b">
        <f>IF($G892&lt;&gt;0,SUMIF(куб!$G:$G,$G892,куб!U:U),IF($E892&lt;&gt;0,SUMIF(куб!$E:$E,$E892,куб!U:U),IF($D892&lt;&gt;0,SUMIF(куб!$D:$D,$D892,куб!U:U),IF($C892&lt;&gt;0,SUMIF(куб!$C:$C,$C892,куб!U:U),IF($B892&lt;&gt;0,SUMIF(куб!$B:$B,$B892,куб!U:U))))))</f>
        <v>0</v>
      </c>
      <c r="AL892" s="16" t="str">
        <f t="shared" si="302"/>
        <v>-</v>
      </c>
      <c r="AM892" s="8"/>
      <c r="AN892" s="17" t="str">
        <f t="shared" si="303"/>
        <v xml:space="preserve"> </v>
      </c>
      <c r="AO892" s="17" t="str">
        <f t="shared" si="304"/>
        <v xml:space="preserve"> </v>
      </c>
      <c r="AP892" s="16" t="str">
        <f t="shared" si="305"/>
        <v>-</v>
      </c>
      <c r="AQ892" s="8"/>
      <c r="AR892" s="17" t="str">
        <f t="shared" si="306"/>
        <v>-</v>
      </c>
      <c r="AS892" s="17" t="str">
        <f t="shared" si="307"/>
        <v>-</v>
      </c>
      <c r="AT892" s="13" t="str">
        <f t="shared" si="308"/>
        <v>-</v>
      </c>
      <c r="AU892" s="8"/>
    </row>
    <row r="893" spans="1:47" x14ac:dyDescent="0.25">
      <c r="A893" s="31"/>
      <c r="B893" s="31"/>
      <c r="C893"/>
      <c r="D893" s="31"/>
      <c r="E893"/>
      <c r="F893" s="31"/>
      <c r="G893"/>
      <c r="H893" s="27">
        <f>IF($G893&lt;&gt;0,SUMIF(куб!$G:$G,$G893,куб!H:H),IF($E893&lt;&gt;0,SUMIF(куб!$E:$E,$E893,куб!H:H),IF($D893&lt;&gt;0,SUMIF(куб!$D:$D,$D893,куб!H:H),IF($C893&lt;&gt;0,SUMIF(куб!$C:$C,$C893,куб!H:H),IF($B893&lt;&gt;0,SUMIF(куб!$B:$B,$B893,куб!H:H),IF($G893&lt;&gt;0,SUMIF(куб!$A:$A,$G893,куб!H:H),SUMIF(куб!$A:$A,$G893,куб!H:H)))))))</f>
        <v>0</v>
      </c>
      <c r="I893" s="27">
        <f>IF($G893&lt;&gt;0,SUMIF(куб!$G:$G,$G893,куб!I:I),IF($E893&lt;&gt;0,SUMIF(куб!$E:$E,$E893,куб!I:I),IF($D893&lt;&gt;0,SUMIF(куб!$D:$D,$D893,куб!I:I),IF($C893&lt;&gt;0,SUMIF(куб!$C:$C,$C893,куб!I:I),IF($B893&lt;&gt;0,SUMIF(куб!$B:$B,$B893,куб!I:I),IF($G893&lt;&gt;0,SUMIF(куб!$A:$A,$G893,куб!I:I),SUMIF(куб!$A:$A,$G893,куб!I:I)))))))</f>
        <v>0</v>
      </c>
      <c r="J893" s="19" t="str">
        <f t="shared" si="291"/>
        <v>-</v>
      </c>
      <c r="K893" s="8"/>
      <c r="L893" s="17">
        <f t="shared" si="292"/>
        <v>0</v>
      </c>
      <c r="M893" s="17">
        <f t="shared" si="293"/>
        <v>0</v>
      </c>
      <c r="N893" s="12">
        <f t="shared" si="294"/>
        <v>0</v>
      </c>
      <c r="O893" s="5"/>
      <c r="P893" s="27" t="b">
        <f>IF($G893&lt;&gt;0,SUMIF(куб!$G:$G,$G893,куб!J:J),IF($E893&lt;&gt;0,SUMIF(куб!$E:$E,$E893,куб!J:J),IF($D893&lt;&gt;0,SUMIF(куб!$D:$D,$D893,куб!J:J),IF($C893&lt;&gt;0,SUMIF(куб!$C:$C,$C893,куб!J:J),IF($B893&lt;&gt;0,SUMIF(куб!$B:$B,$B893,куб!J:J))))))</f>
        <v>0</v>
      </c>
      <c r="Q893" s="27" t="b">
        <f>IF($G893&lt;&gt;0,SUMIF(куб!$G:$G,$G893,куб!K:K),IF($E893&lt;&gt;0,SUMIF(куб!$E:$E,$E893,куб!K:K),IF($D893&lt;&gt;0,SUMIF(куб!$D:$D,$D893,куб!K:K),IF($C893&lt;&gt;0,SUMIF(куб!$C:$C,$C893,куб!K:K),IF($B893&lt;&gt;0,SUMIF(куб!$B:$B,$B893,куб!K:K))))))</f>
        <v>0</v>
      </c>
      <c r="R893" s="13" t="str">
        <f t="shared" si="295"/>
        <v>-</v>
      </c>
      <c r="S893" s="5"/>
      <c r="T893" s="27" t="b">
        <f>IF($G893&lt;&gt;0,SUMIF(куб!$G:$G,$G893,куб!L:L),IF($E893&lt;&gt;0,SUMIF(куб!$E:$E,$E893,куб!L:L),IF($D893&lt;&gt;0,SUMIF(куб!$D:$D,$D893,куб!L:L),IF($C893&lt;&gt;0,SUMIF(куб!$C:$C,$C893,куб!L:L),IF($B893&lt;&gt;0,SUMIF(куб!$B:$B,$B893,куб!L:L))))))</f>
        <v>0</v>
      </c>
      <c r="U893" s="27" t="b">
        <f>IF($G893&lt;&gt;0,SUMIF(куб!$G:$G,$G893,куб!M:M),IF($E893&lt;&gt;0,SUMIF(куб!$E:$E,$E893,куб!M:M),IF($D893&lt;&gt;0,SUMIF(куб!$D:$D,$D893,куб!M:M),IF($C893&lt;&gt;0,SUMIF(куб!$C:$C,$C893,куб!M:M),IF($B893&lt;&gt;0,SUMIF(куб!$B:$B,$B893,куб!M:M))))))</f>
        <v>0</v>
      </c>
      <c r="V893" s="13" t="str">
        <f t="shared" si="296"/>
        <v>-</v>
      </c>
      <c r="W893" s="5"/>
      <c r="X893" s="27" t="b">
        <f>IF($G893&lt;&gt;0,SUMIF(куб!$G:$G,$G893,куб!N:N),IF($E893&lt;&gt;0,SUMIF(куб!$E:$E,$E893,куб!N:N),IF($D893&lt;&gt;0,SUMIF(куб!$D:$D,$D893,куб!N:N),IF($C893&lt;&gt;0,SUMIF(куб!$C:$C,$C893,куб!N:N),IF($B893&lt;&gt;0,SUMIF(куб!$B:$B,$B893,куб!N:N))))))</f>
        <v>0</v>
      </c>
      <c r="Y893" s="27" t="b">
        <f>IF($G893&lt;&gt;0,SUMIF(куб!$G:$G,$G893,куб!O:O),IF($E893&lt;&gt;0,SUMIF(куб!$E:$E,$E893,куб!O:O),IF($D893&lt;&gt;0,SUMIF(куб!$D:$D,$D893,куб!O:O),IF($C893&lt;&gt;0,SUMIF(куб!$C:$C,$C893,куб!O:O),IF($B893&lt;&gt;0,SUMIF(куб!$B:$B,$B893,куб!O:O))))))</f>
        <v>0</v>
      </c>
      <c r="Z893" s="13" t="str">
        <f t="shared" si="297"/>
        <v>-</v>
      </c>
      <c r="AA893" s="5"/>
      <c r="AB893" s="33" t="str">
        <f t="shared" si="298"/>
        <v/>
      </c>
      <c r="AC893" s="33" t="str">
        <f t="shared" si="299"/>
        <v/>
      </c>
      <c r="AD893" s="15" t="str">
        <f t="shared" si="300"/>
        <v xml:space="preserve"> </v>
      </c>
      <c r="AE893" s="5"/>
      <c r="AF893" s="27" t="b">
        <f>IF($G893&lt;&gt;0,SUMIF(куб!$G:$G,$G893,куб!R:R),IF($E893&lt;&gt;0,SUMIF(куб!$E:$E,$E893,куб!R:R),IF($D893&lt;&gt;0,SUMIF(куб!$D:$D,$D893,куб!R:R),IF($C893&lt;&gt;0,SUMIF(куб!$C:$C,$C893,куб!R:R),IF($B893&lt;&gt;0,SUMIF(куб!$B:$B,$B893,куб!R:R))))))</f>
        <v>0</v>
      </c>
      <c r="AG893" s="27" t="b">
        <f>IF($G893&lt;&gt;0,SUMIF(куб!$G:$G,$G893,куб!S:S),IF($E893&lt;&gt;0,SUMIF(куб!$E:$E,$E893,куб!S:S),IF($D893&lt;&gt;0,SUMIF(куб!$D:$D,$D893,куб!S:S),IF($C893&lt;&gt;0,SUMIF(куб!$C:$C,$C893,куб!S:S),IF($B893&lt;&gt;0,SUMIF(куб!$B:$B,$B893,куб!S:S))))))</f>
        <v>0</v>
      </c>
      <c r="AH893" s="16" t="str">
        <f t="shared" si="301"/>
        <v>-</v>
      </c>
      <c r="AI893" s="8"/>
      <c r="AJ893" s="27" t="b">
        <f>IF($G893&lt;&gt;0,SUMIF(куб!$G:$G,$G893,куб!T:T),IF($E893&lt;&gt;0,SUMIF(куб!$E:$E,$E893,куб!T:T),IF($D893&lt;&gt;0,SUMIF(куб!$D:$D,$D893,куб!T:T),IF($C893&lt;&gt;0,SUMIF(куб!$C:$C,$C893,куб!T:T),IF($B893&lt;&gt;0,SUMIF(куб!$B:$B,$B893,куб!T:T))))))</f>
        <v>0</v>
      </c>
      <c r="AK893" s="27" t="b">
        <f>IF($G893&lt;&gt;0,SUMIF(куб!$G:$G,$G893,куб!U:U),IF($E893&lt;&gt;0,SUMIF(куб!$E:$E,$E893,куб!U:U),IF($D893&lt;&gt;0,SUMIF(куб!$D:$D,$D893,куб!U:U),IF($C893&lt;&gt;0,SUMIF(куб!$C:$C,$C893,куб!U:U),IF($B893&lt;&gt;0,SUMIF(куб!$B:$B,$B893,куб!U:U))))))</f>
        <v>0</v>
      </c>
      <c r="AL893" s="16" t="str">
        <f t="shared" si="302"/>
        <v>-</v>
      </c>
      <c r="AM893" s="8"/>
      <c r="AN893" s="17" t="str">
        <f t="shared" si="303"/>
        <v xml:space="preserve"> </v>
      </c>
      <c r="AO893" s="17" t="str">
        <f t="shared" si="304"/>
        <v xml:space="preserve"> </v>
      </c>
      <c r="AP893" s="16" t="str">
        <f t="shared" si="305"/>
        <v>-</v>
      </c>
      <c r="AQ893" s="8"/>
      <c r="AR893" s="17" t="str">
        <f t="shared" si="306"/>
        <v>-</v>
      </c>
      <c r="AS893" s="17" t="str">
        <f t="shared" si="307"/>
        <v>-</v>
      </c>
      <c r="AT893" s="13" t="str">
        <f t="shared" si="308"/>
        <v>-</v>
      </c>
      <c r="AU893" s="8"/>
    </row>
    <row r="894" spans="1:47" x14ac:dyDescent="0.25">
      <c r="A894" s="31"/>
      <c r="B894" s="31"/>
      <c r="C894"/>
      <c r="D894" s="31"/>
      <c r="E894"/>
      <c r="F894" s="31"/>
      <c r="G894"/>
      <c r="H894" s="27">
        <f>IF($G894&lt;&gt;0,SUMIF(куб!$G:$G,$G894,куб!H:H),IF($E894&lt;&gt;0,SUMIF(куб!$E:$E,$E894,куб!H:H),IF($D894&lt;&gt;0,SUMIF(куб!$D:$D,$D894,куб!H:H),IF($C894&lt;&gt;0,SUMIF(куб!$C:$C,$C894,куб!H:H),IF($B894&lt;&gt;0,SUMIF(куб!$B:$B,$B894,куб!H:H),IF($G894&lt;&gt;0,SUMIF(куб!$A:$A,$G894,куб!H:H),SUMIF(куб!$A:$A,$G894,куб!H:H)))))))</f>
        <v>0</v>
      </c>
      <c r="I894" s="27">
        <f>IF($G894&lt;&gt;0,SUMIF(куб!$G:$G,$G894,куб!I:I),IF($E894&lt;&gt;0,SUMIF(куб!$E:$E,$E894,куб!I:I),IF($D894&lt;&gt;0,SUMIF(куб!$D:$D,$D894,куб!I:I),IF($C894&lt;&gt;0,SUMIF(куб!$C:$C,$C894,куб!I:I),IF($B894&lt;&gt;0,SUMIF(куб!$B:$B,$B894,куб!I:I),IF($G894&lt;&gt;0,SUMIF(куб!$A:$A,$G894,куб!I:I),SUMIF(куб!$A:$A,$G894,куб!I:I)))))))</f>
        <v>0</v>
      </c>
      <c r="J894" s="19" t="str">
        <f t="shared" si="291"/>
        <v>-</v>
      </c>
      <c r="K894" s="8"/>
      <c r="L894" s="17">
        <f t="shared" si="292"/>
        <v>0</v>
      </c>
      <c r="M894" s="17">
        <f t="shared" si="293"/>
        <v>0</v>
      </c>
      <c r="N894" s="12">
        <f t="shared" si="294"/>
        <v>0</v>
      </c>
      <c r="O894" s="5"/>
      <c r="P894" s="27" t="b">
        <f>IF($G894&lt;&gt;0,SUMIF(куб!$G:$G,$G894,куб!J:J),IF($E894&lt;&gt;0,SUMIF(куб!$E:$E,$E894,куб!J:J),IF($D894&lt;&gt;0,SUMIF(куб!$D:$D,$D894,куб!J:J),IF($C894&lt;&gt;0,SUMIF(куб!$C:$C,$C894,куб!J:J),IF($B894&lt;&gt;0,SUMIF(куб!$B:$B,$B894,куб!J:J))))))</f>
        <v>0</v>
      </c>
      <c r="Q894" s="27" t="b">
        <f>IF($G894&lt;&gt;0,SUMIF(куб!$G:$G,$G894,куб!K:K),IF($E894&lt;&gt;0,SUMIF(куб!$E:$E,$E894,куб!K:K),IF($D894&lt;&gt;0,SUMIF(куб!$D:$D,$D894,куб!K:K),IF($C894&lt;&gt;0,SUMIF(куб!$C:$C,$C894,куб!K:K),IF($B894&lt;&gt;0,SUMIF(куб!$B:$B,$B894,куб!K:K))))))</f>
        <v>0</v>
      </c>
      <c r="R894" s="13" t="str">
        <f t="shared" si="295"/>
        <v>-</v>
      </c>
      <c r="S894" s="5"/>
      <c r="T894" s="27" t="b">
        <f>IF($G894&lt;&gt;0,SUMIF(куб!$G:$G,$G894,куб!L:L),IF($E894&lt;&gt;0,SUMIF(куб!$E:$E,$E894,куб!L:L),IF($D894&lt;&gt;0,SUMIF(куб!$D:$D,$D894,куб!L:L),IF($C894&lt;&gt;0,SUMIF(куб!$C:$C,$C894,куб!L:L),IF($B894&lt;&gt;0,SUMIF(куб!$B:$B,$B894,куб!L:L))))))</f>
        <v>0</v>
      </c>
      <c r="U894" s="27" t="b">
        <f>IF($G894&lt;&gt;0,SUMIF(куб!$G:$G,$G894,куб!M:M),IF($E894&lt;&gt;0,SUMIF(куб!$E:$E,$E894,куб!M:M),IF($D894&lt;&gt;0,SUMIF(куб!$D:$D,$D894,куб!M:M),IF($C894&lt;&gt;0,SUMIF(куб!$C:$C,$C894,куб!M:M),IF($B894&lt;&gt;0,SUMIF(куб!$B:$B,$B894,куб!M:M))))))</f>
        <v>0</v>
      </c>
      <c r="V894" s="13" t="str">
        <f t="shared" si="296"/>
        <v>-</v>
      </c>
      <c r="W894" s="5"/>
      <c r="X894" s="27" t="b">
        <f>IF($G894&lt;&gt;0,SUMIF(куб!$G:$G,$G894,куб!N:N),IF($E894&lt;&gt;0,SUMIF(куб!$E:$E,$E894,куб!N:N),IF($D894&lt;&gt;0,SUMIF(куб!$D:$D,$D894,куб!N:N),IF($C894&lt;&gt;0,SUMIF(куб!$C:$C,$C894,куб!N:N),IF($B894&lt;&gt;0,SUMIF(куб!$B:$B,$B894,куб!N:N))))))</f>
        <v>0</v>
      </c>
      <c r="Y894" s="27" t="b">
        <f>IF($G894&lt;&gt;0,SUMIF(куб!$G:$G,$G894,куб!O:O),IF($E894&lt;&gt;0,SUMIF(куб!$E:$E,$E894,куб!O:O),IF($D894&lt;&gt;0,SUMIF(куб!$D:$D,$D894,куб!O:O),IF($C894&lt;&gt;0,SUMIF(куб!$C:$C,$C894,куб!O:O),IF($B894&lt;&gt;0,SUMIF(куб!$B:$B,$B894,куб!O:O))))))</f>
        <v>0</v>
      </c>
      <c r="Z894" s="13" t="str">
        <f t="shared" si="297"/>
        <v>-</v>
      </c>
      <c r="AA894" s="5"/>
      <c r="AB894" s="33" t="str">
        <f t="shared" si="298"/>
        <v/>
      </c>
      <c r="AC894" s="33" t="str">
        <f t="shared" si="299"/>
        <v/>
      </c>
      <c r="AD894" s="15" t="str">
        <f t="shared" si="300"/>
        <v xml:space="preserve"> </v>
      </c>
      <c r="AE894" s="5"/>
      <c r="AF894" s="27" t="b">
        <f>IF($G894&lt;&gt;0,SUMIF(куб!$G:$G,$G894,куб!R:R),IF($E894&lt;&gt;0,SUMIF(куб!$E:$E,$E894,куб!R:R),IF($D894&lt;&gt;0,SUMIF(куб!$D:$D,$D894,куб!R:R),IF($C894&lt;&gt;0,SUMIF(куб!$C:$C,$C894,куб!R:R),IF($B894&lt;&gt;0,SUMIF(куб!$B:$B,$B894,куб!R:R))))))</f>
        <v>0</v>
      </c>
      <c r="AG894" s="27" t="b">
        <f>IF($G894&lt;&gt;0,SUMIF(куб!$G:$G,$G894,куб!S:S),IF($E894&lt;&gt;0,SUMIF(куб!$E:$E,$E894,куб!S:S),IF($D894&lt;&gt;0,SUMIF(куб!$D:$D,$D894,куб!S:S),IF($C894&lt;&gt;0,SUMIF(куб!$C:$C,$C894,куб!S:S),IF($B894&lt;&gt;0,SUMIF(куб!$B:$B,$B894,куб!S:S))))))</f>
        <v>0</v>
      </c>
      <c r="AH894" s="16" t="str">
        <f t="shared" si="301"/>
        <v>-</v>
      </c>
      <c r="AI894" s="8"/>
      <c r="AJ894" s="27" t="b">
        <f>IF($G894&lt;&gt;0,SUMIF(куб!$G:$G,$G894,куб!T:T),IF($E894&lt;&gt;0,SUMIF(куб!$E:$E,$E894,куб!T:T),IF($D894&lt;&gt;0,SUMIF(куб!$D:$D,$D894,куб!T:T),IF($C894&lt;&gt;0,SUMIF(куб!$C:$C,$C894,куб!T:T),IF($B894&lt;&gt;0,SUMIF(куб!$B:$B,$B894,куб!T:T))))))</f>
        <v>0</v>
      </c>
      <c r="AK894" s="27" t="b">
        <f>IF($G894&lt;&gt;0,SUMIF(куб!$G:$G,$G894,куб!U:U),IF($E894&lt;&gt;0,SUMIF(куб!$E:$E,$E894,куб!U:U),IF($D894&lt;&gt;0,SUMIF(куб!$D:$D,$D894,куб!U:U),IF($C894&lt;&gt;0,SUMIF(куб!$C:$C,$C894,куб!U:U),IF($B894&lt;&gt;0,SUMIF(куб!$B:$B,$B894,куб!U:U))))))</f>
        <v>0</v>
      </c>
      <c r="AL894" s="16" t="str">
        <f t="shared" si="302"/>
        <v>-</v>
      </c>
      <c r="AM894" s="8"/>
      <c r="AN894" s="17" t="str">
        <f t="shared" si="303"/>
        <v xml:space="preserve"> </v>
      </c>
      <c r="AO894" s="17" t="str">
        <f t="shared" si="304"/>
        <v xml:space="preserve"> </v>
      </c>
      <c r="AP894" s="16" t="str">
        <f t="shared" si="305"/>
        <v>-</v>
      </c>
      <c r="AQ894" s="8"/>
      <c r="AR894" s="17" t="str">
        <f t="shared" si="306"/>
        <v>-</v>
      </c>
      <c r="AS894" s="17" t="str">
        <f t="shared" si="307"/>
        <v>-</v>
      </c>
      <c r="AT894" s="13" t="str">
        <f t="shared" si="308"/>
        <v>-</v>
      </c>
      <c r="AU894" s="8"/>
    </row>
    <row r="895" spans="1:47" x14ac:dyDescent="0.25">
      <c r="A895" s="31"/>
      <c r="B895" s="31"/>
      <c r="C895"/>
      <c r="D895" s="31"/>
      <c r="E895"/>
      <c r="F895" s="31"/>
      <c r="G895"/>
      <c r="H895" s="27">
        <f>IF($G895&lt;&gt;0,SUMIF(куб!$G:$G,$G895,куб!H:H),IF($E895&lt;&gt;0,SUMIF(куб!$E:$E,$E895,куб!H:H),IF($D895&lt;&gt;0,SUMIF(куб!$D:$D,$D895,куб!H:H),IF($C895&lt;&gt;0,SUMIF(куб!$C:$C,$C895,куб!H:H),IF($B895&lt;&gt;0,SUMIF(куб!$B:$B,$B895,куб!H:H),IF($G895&lt;&gt;0,SUMIF(куб!$A:$A,$G895,куб!H:H),SUMIF(куб!$A:$A,$G895,куб!H:H)))))))</f>
        <v>0</v>
      </c>
      <c r="I895" s="27">
        <f>IF($G895&lt;&gt;0,SUMIF(куб!$G:$G,$G895,куб!I:I),IF($E895&lt;&gt;0,SUMIF(куб!$E:$E,$E895,куб!I:I),IF($D895&lt;&gt;0,SUMIF(куб!$D:$D,$D895,куб!I:I),IF($C895&lt;&gt;0,SUMIF(куб!$C:$C,$C895,куб!I:I),IF($B895&lt;&gt;0,SUMIF(куб!$B:$B,$B895,куб!I:I),IF($G895&lt;&gt;0,SUMIF(куб!$A:$A,$G895,куб!I:I),SUMIF(куб!$A:$A,$G895,куб!I:I)))))))</f>
        <v>0</v>
      </c>
      <c r="J895" s="19" t="str">
        <f t="shared" si="291"/>
        <v>-</v>
      </c>
      <c r="K895" s="8"/>
      <c r="L895" s="17">
        <f t="shared" si="292"/>
        <v>0</v>
      </c>
      <c r="M895" s="17">
        <f t="shared" si="293"/>
        <v>0</v>
      </c>
      <c r="N895" s="12">
        <f t="shared" si="294"/>
        <v>0</v>
      </c>
      <c r="O895" s="5"/>
      <c r="P895" s="27" t="b">
        <f>IF($G895&lt;&gt;0,SUMIF(куб!$G:$G,$G895,куб!J:J),IF($E895&lt;&gt;0,SUMIF(куб!$E:$E,$E895,куб!J:J),IF($D895&lt;&gt;0,SUMIF(куб!$D:$D,$D895,куб!J:J),IF($C895&lt;&gt;0,SUMIF(куб!$C:$C,$C895,куб!J:J),IF($B895&lt;&gt;0,SUMIF(куб!$B:$B,$B895,куб!J:J))))))</f>
        <v>0</v>
      </c>
      <c r="Q895" s="27" t="b">
        <f>IF($G895&lt;&gt;0,SUMIF(куб!$G:$G,$G895,куб!K:K),IF($E895&lt;&gt;0,SUMIF(куб!$E:$E,$E895,куб!K:K),IF($D895&lt;&gt;0,SUMIF(куб!$D:$D,$D895,куб!K:K),IF($C895&lt;&gt;0,SUMIF(куб!$C:$C,$C895,куб!K:K),IF($B895&lt;&gt;0,SUMIF(куб!$B:$B,$B895,куб!K:K))))))</f>
        <v>0</v>
      </c>
      <c r="R895" s="13" t="str">
        <f t="shared" si="295"/>
        <v>-</v>
      </c>
      <c r="S895" s="5"/>
      <c r="T895" s="27" t="b">
        <f>IF($G895&lt;&gt;0,SUMIF(куб!$G:$G,$G895,куб!L:L),IF($E895&lt;&gt;0,SUMIF(куб!$E:$E,$E895,куб!L:L),IF($D895&lt;&gt;0,SUMIF(куб!$D:$D,$D895,куб!L:L),IF($C895&lt;&gt;0,SUMIF(куб!$C:$C,$C895,куб!L:L),IF($B895&lt;&gt;0,SUMIF(куб!$B:$B,$B895,куб!L:L))))))</f>
        <v>0</v>
      </c>
      <c r="U895" s="27" t="b">
        <f>IF($G895&lt;&gt;0,SUMIF(куб!$G:$G,$G895,куб!M:M),IF($E895&lt;&gt;0,SUMIF(куб!$E:$E,$E895,куб!M:M),IF($D895&lt;&gt;0,SUMIF(куб!$D:$D,$D895,куб!M:M),IF($C895&lt;&gt;0,SUMIF(куб!$C:$C,$C895,куб!M:M),IF($B895&lt;&gt;0,SUMIF(куб!$B:$B,$B895,куб!M:M))))))</f>
        <v>0</v>
      </c>
      <c r="V895" s="13" t="str">
        <f t="shared" si="296"/>
        <v>-</v>
      </c>
      <c r="W895" s="5"/>
      <c r="X895" s="27" t="b">
        <f>IF($G895&lt;&gt;0,SUMIF(куб!$G:$G,$G895,куб!N:N),IF($E895&lt;&gt;0,SUMIF(куб!$E:$E,$E895,куб!N:N),IF($D895&lt;&gt;0,SUMIF(куб!$D:$D,$D895,куб!N:N),IF($C895&lt;&gt;0,SUMIF(куб!$C:$C,$C895,куб!N:N),IF($B895&lt;&gt;0,SUMIF(куб!$B:$B,$B895,куб!N:N))))))</f>
        <v>0</v>
      </c>
      <c r="Y895" s="27" t="b">
        <f>IF($G895&lt;&gt;0,SUMIF(куб!$G:$G,$G895,куб!O:O),IF($E895&lt;&gt;0,SUMIF(куб!$E:$E,$E895,куб!O:O),IF($D895&lt;&gt;0,SUMIF(куб!$D:$D,$D895,куб!O:O),IF($C895&lt;&gt;0,SUMIF(куб!$C:$C,$C895,куб!O:O),IF($B895&lt;&gt;0,SUMIF(куб!$B:$B,$B895,куб!O:O))))))</f>
        <v>0</v>
      </c>
      <c r="Z895" s="13" t="str">
        <f t="shared" si="297"/>
        <v>-</v>
      </c>
      <c r="AA895" s="5"/>
      <c r="AB895" s="33" t="str">
        <f t="shared" si="298"/>
        <v/>
      </c>
      <c r="AC895" s="33" t="str">
        <f t="shared" si="299"/>
        <v/>
      </c>
      <c r="AD895" s="15" t="str">
        <f t="shared" si="300"/>
        <v xml:space="preserve"> </v>
      </c>
      <c r="AE895" s="5"/>
      <c r="AF895" s="27" t="b">
        <f>IF($G895&lt;&gt;0,SUMIF(куб!$G:$G,$G895,куб!R:R),IF($E895&lt;&gt;0,SUMIF(куб!$E:$E,$E895,куб!R:R),IF($D895&lt;&gt;0,SUMIF(куб!$D:$D,$D895,куб!R:R),IF($C895&lt;&gt;0,SUMIF(куб!$C:$C,$C895,куб!R:R),IF($B895&lt;&gt;0,SUMIF(куб!$B:$B,$B895,куб!R:R))))))</f>
        <v>0</v>
      </c>
      <c r="AG895" s="27" t="b">
        <f>IF($G895&lt;&gt;0,SUMIF(куб!$G:$G,$G895,куб!S:S),IF($E895&lt;&gt;0,SUMIF(куб!$E:$E,$E895,куб!S:S),IF($D895&lt;&gt;0,SUMIF(куб!$D:$D,$D895,куб!S:S),IF($C895&lt;&gt;0,SUMIF(куб!$C:$C,$C895,куб!S:S),IF($B895&lt;&gt;0,SUMIF(куб!$B:$B,$B895,куб!S:S))))))</f>
        <v>0</v>
      </c>
      <c r="AH895" s="16" t="str">
        <f t="shared" si="301"/>
        <v>-</v>
      </c>
      <c r="AI895" s="8"/>
      <c r="AJ895" s="27" t="b">
        <f>IF($G895&lt;&gt;0,SUMIF(куб!$G:$G,$G895,куб!T:T),IF($E895&lt;&gt;0,SUMIF(куб!$E:$E,$E895,куб!T:T),IF($D895&lt;&gt;0,SUMIF(куб!$D:$D,$D895,куб!T:T),IF($C895&lt;&gt;0,SUMIF(куб!$C:$C,$C895,куб!T:T),IF($B895&lt;&gt;0,SUMIF(куб!$B:$B,$B895,куб!T:T))))))</f>
        <v>0</v>
      </c>
      <c r="AK895" s="27" t="b">
        <f>IF($G895&lt;&gt;0,SUMIF(куб!$G:$G,$G895,куб!U:U),IF($E895&lt;&gt;0,SUMIF(куб!$E:$E,$E895,куб!U:U),IF($D895&lt;&gt;0,SUMIF(куб!$D:$D,$D895,куб!U:U),IF($C895&lt;&gt;0,SUMIF(куб!$C:$C,$C895,куб!U:U),IF($B895&lt;&gt;0,SUMIF(куб!$B:$B,$B895,куб!U:U))))))</f>
        <v>0</v>
      </c>
      <c r="AL895" s="16" t="str">
        <f t="shared" si="302"/>
        <v>-</v>
      </c>
      <c r="AM895" s="8"/>
      <c r="AN895" s="17" t="str">
        <f t="shared" si="303"/>
        <v xml:space="preserve"> </v>
      </c>
      <c r="AO895" s="17" t="str">
        <f t="shared" si="304"/>
        <v xml:space="preserve"> </v>
      </c>
      <c r="AP895" s="16" t="str">
        <f t="shared" si="305"/>
        <v>-</v>
      </c>
      <c r="AQ895" s="8"/>
      <c r="AR895" s="17" t="str">
        <f t="shared" si="306"/>
        <v>-</v>
      </c>
      <c r="AS895" s="17" t="str">
        <f t="shared" si="307"/>
        <v>-</v>
      </c>
      <c r="AT895" s="13" t="str">
        <f t="shared" si="308"/>
        <v>-</v>
      </c>
      <c r="AU895" s="8"/>
    </row>
    <row r="896" spans="1:47" x14ac:dyDescent="0.25">
      <c r="A896" s="31"/>
      <c r="B896" s="31"/>
      <c r="C896"/>
      <c r="D896" s="31"/>
      <c r="E896"/>
      <c r="F896" s="31"/>
      <c r="G896"/>
      <c r="H896" s="27">
        <f>IF($G896&lt;&gt;0,SUMIF(куб!$G:$G,$G896,куб!H:H),IF($E896&lt;&gt;0,SUMIF(куб!$E:$E,$E896,куб!H:H),IF($D896&lt;&gt;0,SUMIF(куб!$D:$D,$D896,куб!H:H),IF($C896&lt;&gt;0,SUMIF(куб!$C:$C,$C896,куб!H:H),IF($B896&lt;&gt;0,SUMIF(куб!$B:$B,$B896,куб!H:H),IF($G896&lt;&gt;0,SUMIF(куб!$A:$A,$G896,куб!H:H),SUMIF(куб!$A:$A,$G896,куб!H:H)))))))</f>
        <v>0</v>
      </c>
      <c r="I896" s="27">
        <f>IF($G896&lt;&gt;0,SUMIF(куб!$G:$G,$G896,куб!I:I),IF($E896&lt;&gt;0,SUMIF(куб!$E:$E,$E896,куб!I:I),IF($D896&lt;&gt;0,SUMIF(куб!$D:$D,$D896,куб!I:I),IF($C896&lt;&gt;0,SUMIF(куб!$C:$C,$C896,куб!I:I),IF($B896&lt;&gt;0,SUMIF(куб!$B:$B,$B896,куб!I:I),IF($G896&lt;&gt;0,SUMIF(куб!$A:$A,$G896,куб!I:I),SUMIF(куб!$A:$A,$G896,куб!I:I)))))))</f>
        <v>0</v>
      </c>
      <c r="J896" s="19" t="str">
        <f t="shared" si="291"/>
        <v>-</v>
      </c>
      <c r="K896" s="8"/>
      <c r="L896" s="17">
        <f t="shared" si="292"/>
        <v>0</v>
      </c>
      <c r="M896" s="17">
        <f t="shared" si="293"/>
        <v>0</v>
      </c>
      <c r="N896" s="12">
        <f t="shared" si="294"/>
        <v>0</v>
      </c>
      <c r="O896" s="5"/>
      <c r="P896" s="27" t="b">
        <f>IF($G896&lt;&gt;0,SUMIF(куб!$G:$G,$G896,куб!J:J),IF($E896&lt;&gt;0,SUMIF(куб!$E:$E,$E896,куб!J:J),IF($D896&lt;&gt;0,SUMIF(куб!$D:$D,$D896,куб!J:J),IF($C896&lt;&gt;0,SUMIF(куб!$C:$C,$C896,куб!J:J),IF($B896&lt;&gt;0,SUMIF(куб!$B:$B,$B896,куб!J:J))))))</f>
        <v>0</v>
      </c>
      <c r="Q896" s="27" t="b">
        <f>IF($G896&lt;&gt;0,SUMIF(куб!$G:$G,$G896,куб!K:K),IF($E896&lt;&gt;0,SUMIF(куб!$E:$E,$E896,куб!K:K),IF($D896&lt;&gt;0,SUMIF(куб!$D:$D,$D896,куб!K:K),IF($C896&lt;&gt;0,SUMIF(куб!$C:$C,$C896,куб!K:K),IF($B896&lt;&gt;0,SUMIF(куб!$B:$B,$B896,куб!K:K))))))</f>
        <v>0</v>
      </c>
      <c r="R896" s="13" t="str">
        <f t="shared" si="295"/>
        <v>-</v>
      </c>
      <c r="S896" s="5"/>
      <c r="T896" s="27" t="b">
        <f>IF($G896&lt;&gt;0,SUMIF(куб!$G:$G,$G896,куб!L:L),IF($E896&lt;&gt;0,SUMIF(куб!$E:$E,$E896,куб!L:L),IF($D896&lt;&gt;0,SUMIF(куб!$D:$D,$D896,куб!L:L),IF($C896&lt;&gt;0,SUMIF(куб!$C:$C,$C896,куб!L:L),IF($B896&lt;&gt;0,SUMIF(куб!$B:$B,$B896,куб!L:L))))))</f>
        <v>0</v>
      </c>
      <c r="U896" s="27" t="b">
        <f>IF($G896&lt;&gt;0,SUMIF(куб!$G:$G,$G896,куб!M:M),IF($E896&lt;&gt;0,SUMIF(куб!$E:$E,$E896,куб!M:M),IF($D896&lt;&gt;0,SUMIF(куб!$D:$D,$D896,куб!M:M),IF($C896&lt;&gt;0,SUMIF(куб!$C:$C,$C896,куб!M:M),IF($B896&lt;&gt;0,SUMIF(куб!$B:$B,$B896,куб!M:M))))))</f>
        <v>0</v>
      </c>
      <c r="V896" s="13" t="str">
        <f t="shared" si="296"/>
        <v>-</v>
      </c>
      <c r="W896" s="5"/>
      <c r="X896" s="27" t="b">
        <f>IF($G896&lt;&gt;0,SUMIF(куб!$G:$G,$G896,куб!N:N),IF($E896&lt;&gt;0,SUMIF(куб!$E:$E,$E896,куб!N:N),IF($D896&lt;&gt;0,SUMIF(куб!$D:$D,$D896,куб!N:N),IF($C896&lt;&gt;0,SUMIF(куб!$C:$C,$C896,куб!N:N),IF($B896&lt;&gt;0,SUMIF(куб!$B:$B,$B896,куб!N:N))))))</f>
        <v>0</v>
      </c>
      <c r="Y896" s="27" t="b">
        <f>IF($G896&lt;&gt;0,SUMIF(куб!$G:$G,$G896,куб!O:O),IF($E896&lt;&gt;0,SUMIF(куб!$E:$E,$E896,куб!O:O),IF($D896&lt;&gt;0,SUMIF(куб!$D:$D,$D896,куб!O:O),IF($C896&lt;&gt;0,SUMIF(куб!$C:$C,$C896,куб!O:O),IF($B896&lt;&gt;0,SUMIF(куб!$B:$B,$B896,куб!O:O))))))</f>
        <v>0</v>
      </c>
      <c r="Z896" s="13" t="str">
        <f t="shared" si="297"/>
        <v>-</v>
      </c>
      <c r="AA896" s="5"/>
      <c r="AB896" s="33" t="str">
        <f t="shared" si="298"/>
        <v/>
      </c>
      <c r="AC896" s="33" t="str">
        <f t="shared" si="299"/>
        <v/>
      </c>
      <c r="AD896" s="15" t="str">
        <f t="shared" si="300"/>
        <v xml:space="preserve"> </v>
      </c>
      <c r="AE896" s="5"/>
      <c r="AF896" s="27" t="b">
        <f>IF($G896&lt;&gt;0,SUMIF(куб!$G:$G,$G896,куб!R:R),IF($E896&lt;&gt;0,SUMIF(куб!$E:$E,$E896,куб!R:R),IF($D896&lt;&gt;0,SUMIF(куб!$D:$D,$D896,куб!R:R),IF($C896&lt;&gt;0,SUMIF(куб!$C:$C,$C896,куб!R:R),IF($B896&lt;&gt;0,SUMIF(куб!$B:$B,$B896,куб!R:R))))))</f>
        <v>0</v>
      </c>
      <c r="AG896" s="27" t="b">
        <f>IF($G896&lt;&gt;0,SUMIF(куб!$G:$G,$G896,куб!S:S),IF($E896&lt;&gt;0,SUMIF(куб!$E:$E,$E896,куб!S:S),IF($D896&lt;&gt;0,SUMIF(куб!$D:$D,$D896,куб!S:S),IF($C896&lt;&gt;0,SUMIF(куб!$C:$C,$C896,куб!S:S),IF($B896&lt;&gt;0,SUMIF(куб!$B:$B,$B896,куб!S:S))))))</f>
        <v>0</v>
      </c>
      <c r="AH896" s="16" t="str">
        <f t="shared" si="301"/>
        <v>-</v>
      </c>
      <c r="AI896" s="8"/>
      <c r="AJ896" s="27" t="b">
        <f>IF($G896&lt;&gt;0,SUMIF(куб!$G:$G,$G896,куб!T:T),IF($E896&lt;&gt;0,SUMIF(куб!$E:$E,$E896,куб!T:T),IF($D896&lt;&gt;0,SUMIF(куб!$D:$D,$D896,куб!T:T),IF($C896&lt;&gt;0,SUMIF(куб!$C:$C,$C896,куб!T:T),IF($B896&lt;&gt;0,SUMIF(куб!$B:$B,$B896,куб!T:T))))))</f>
        <v>0</v>
      </c>
      <c r="AK896" s="27" t="b">
        <f>IF($G896&lt;&gt;0,SUMIF(куб!$G:$G,$G896,куб!U:U),IF($E896&lt;&gt;0,SUMIF(куб!$E:$E,$E896,куб!U:U),IF($D896&lt;&gt;0,SUMIF(куб!$D:$D,$D896,куб!U:U),IF($C896&lt;&gt;0,SUMIF(куб!$C:$C,$C896,куб!U:U),IF($B896&lt;&gt;0,SUMIF(куб!$B:$B,$B896,куб!U:U))))))</f>
        <v>0</v>
      </c>
      <c r="AL896" s="16" t="str">
        <f t="shared" si="302"/>
        <v>-</v>
      </c>
      <c r="AM896" s="8"/>
      <c r="AN896" s="17" t="str">
        <f t="shared" si="303"/>
        <v xml:space="preserve"> </v>
      </c>
      <c r="AO896" s="17" t="str">
        <f t="shared" si="304"/>
        <v xml:space="preserve"> </v>
      </c>
      <c r="AP896" s="16" t="str">
        <f t="shared" si="305"/>
        <v>-</v>
      </c>
      <c r="AQ896" s="8"/>
      <c r="AR896" s="17" t="str">
        <f t="shared" si="306"/>
        <v>-</v>
      </c>
      <c r="AS896" s="17" t="str">
        <f t="shared" si="307"/>
        <v>-</v>
      </c>
      <c r="AT896" s="13" t="str">
        <f t="shared" si="308"/>
        <v>-</v>
      </c>
      <c r="AU896" s="8"/>
    </row>
    <row r="897" spans="1:47" x14ac:dyDescent="0.25">
      <c r="A897" s="31"/>
      <c r="B897" s="31"/>
      <c r="C897"/>
      <c r="D897" s="31"/>
      <c r="E897"/>
      <c r="F897" s="31"/>
      <c r="G897"/>
      <c r="H897" s="27">
        <f>IF($G897&lt;&gt;0,SUMIF(куб!$G:$G,$G897,куб!H:H),IF($E897&lt;&gt;0,SUMIF(куб!$E:$E,$E897,куб!H:H),IF($D897&lt;&gt;0,SUMIF(куб!$D:$D,$D897,куб!H:H),IF($C897&lt;&gt;0,SUMIF(куб!$C:$C,$C897,куб!H:H),IF($B897&lt;&gt;0,SUMIF(куб!$B:$B,$B897,куб!H:H),IF($G897&lt;&gt;0,SUMIF(куб!$A:$A,$G897,куб!H:H),SUMIF(куб!$A:$A,$G897,куб!H:H)))))))</f>
        <v>0</v>
      </c>
      <c r="I897" s="27">
        <f>IF($G897&lt;&gt;0,SUMIF(куб!$G:$G,$G897,куб!I:I),IF($E897&lt;&gt;0,SUMIF(куб!$E:$E,$E897,куб!I:I),IF($D897&lt;&gt;0,SUMIF(куб!$D:$D,$D897,куб!I:I),IF($C897&lt;&gt;0,SUMIF(куб!$C:$C,$C897,куб!I:I),IF($B897&lt;&gt;0,SUMIF(куб!$B:$B,$B897,куб!I:I),IF($G897&lt;&gt;0,SUMIF(куб!$A:$A,$G897,куб!I:I),SUMIF(куб!$A:$A,$G897,куб!I:I)))))))</f>
        <v>0</v>
      </c>
      <c r="J897" s="19" t="str">
        <f t="shared" si="291"/>
        <v>-</v>
      </c>
      <c r="K897" s="8"/>
      <c r="L897" s="17">
        <f t="shared" si="292"/>
        <v>0</v>
      </c>
      <c r="M897" s="17">
        <f t="shared" si="293"/>
        <v>0</v>
      </c>
      <c r="N897" s="12">
        <f t="shared" si="294"/>
        <v>0</v>
      </c>
      <c r="O897" s="5"/>
      <c r="P897" s="27" t="b">
        <f>IF($G897&lt;&gt;0,SUMIF(куб!$G:$G,$G897,куб!J:J),IF($E897&lt;&gt;0,SUMIF(куб!$E:$E,$E897,куб!J:J),IF($D897&lt;&gt;0,SUMIF(куб!$D:$D,$D897,куб!J:J),IF($C897&lt;&gt;0,SUMIF(куб!$C:$C,$C897,куб!J:J),IF($B897&lt;&gt;0,SUMIF(куб!$B:$B,$B897,куб!J:J))))))</f>
        <v>0</v>
      </c>
      <c r="Q897" s="27" t="b">
        <f>IF($G897&lt;&gt;0,SUMIF(куб!$G:$G,$G897,куб!K:K),IF($E897&lt;&gt;0,SUMIF(куб!$E:$E,$E897,куб!K:K),IF($D897&lt;&gt;0,SUMIF(куб!$D:$D,$D897,куб!K:K),IF($C897&lt;&gt;0,SUMIF(куб!$C:$C,$C897,куб!K:K),IF($B897&lt;&gt;0,SUMIF(куб!$B:$B,$B897,куб!K:K))))))</f>
        <v>0</v>
      </c>
      <c r="R897" s="13" t="str">
        <f t="shared" si="295"/>
        <v>-</v>
      </c>
      <c r="S897" s="5"/>
      <c r="T897" s="27" t="b">
        <f>IF($G897&lt;&gt;0,SUMIF(куб!$G:$G,$G897,куб!L:L),IF($E897&lt;&gt;0,SUMIF(куб!$E:$E,$E897,куб!L:L),IF($D897&lt;&gt;0,SUMIF(куб!$D:$D,$D897,куб!L:L),IF($C897&lt;&gt;0,SUMIF(куб!$C:$C,$C897,куб!L:L),IF($B897&lt;&gt;0,SUMIF(куб!$B:$B,$B897,куб!L:L))))))</f>
        <v>0</v>
      </c>
      <c r="U897" s="27" t="b">
        <f>IF($G897&lt;&gt;0,SUMIF(куб!$G:$G,$G897,куб!M:M),IF($E897&lt;&gt;0,SUMIF(куб!$E:$E,$E897,куб!M:M),IF($D897&lt;&gt;0,SUMIF(куб!$D:$D,$D897,куб!M:M),IF($C897&lt;&gt;0,SUMIF(куб!$C:$C,$C897,куб!M:M),IF($B897&lt;&gt;0,SUMIF(куб!$B:$B,$B897,куб!M:M))))))</f>
        <v>0</v>
      </c>
      <c r="V897" s="13" t="str">
        <f t="shared" si="296"/>
        <v>-</v>
      </c>
      <c r="W897" s="5"/>
      <c r="X897" s="27" t="b">
        <f>IF($G897&lt;&gt;0,SUMIF(куб!$G:$G,$G897,куб!N:N),IF($E897&lt;&gt;0,SUMIF(куб!$E:$E,$E897,куб!N:N),IF($D897&lt;&gt;0,SUMIF(куб!$D:$D,$D897,куб!N:N),IF($C897&lt;&gt;0,SUMIF(куб!$C:$C,$C897,куб!N:N),IF($B897&lt;&gt;0,SUMIF(куб!$B:$B,$B897,куб!N:N))))))</f>
        <v>0</v>
      </c>
      <c r="Y897" s="27" t="b">
        <f>IF($G897&lt;&gt;0,SUMIF(куб!$G:$G,$G897,куб!O:O),IF($E897&lt;&gt;0,SUMIF(куб!$E:$E,$E897,куб!O:O),IF($D897&lt;&gt;0,SUMIF(куб!$D:$D,$D897,куб!O:O),IF($C897&lt;&gt;0,SUMIF(куб!$C:$C,$C897,куб!O:O),IF($B897&lt;&gt;0,SUMIF(куб!$B:$B,$B897,куб!O:O))))))</f>
        <v>0</v>
      </c>
      <c r="Z897" s="13" t="str">
        <f t="shared" si="297"/>
        <v>-</v>
      </c>
      <c r="AA897" s="5"/>
      <c r="AB897" s="33" t="str">
        <f t="shared" si="298"/>
        <v/>
      </c>
      <c r="AC897" s="33" t="str">
        <f t="shared" si="299"/>
        <v/>
      </c>
      <c r="AD897" s="15" t="str">
        <f t="shared" si="300"/>
        <v xml:space="preserve"> </v>
      </c>
      <c r="AE897" s="5"/>
      <c r="AF897" s="27" t="b">
        <f>IF($G897&lt;&gt;0,SUMIF(куб!$G:$G,$G897,куб!R:R),IF($E897&lt;&gt;0,SUMIF(куб!$E:$E,$E897,куб!R:R),IF($D897&lt;&gt;0,SUMIF(куб!$D:$D,$D897,куб!R:R),IF($C897&lt;&gt;0,SUMIF(куб!$C:$C,$C897,куб!R:R),IF($B897&lt;&gt;0,SUMIF(куб!$B:$B,$B897,куб!R:R))))))</f>
        <v>0</v>
      </c>
      <c r="AG897" s="27" t="b">
        <f>IF($G897&lt;&gt;0,SUMIF(куб!$G:$G,$G897,куб!S:S),IF($E897&lt;&gt;0,SUMIF(куб!$E:$E,$E897,куб!S:S),IF($D897&lt;&gt;0,SUMIF(куб!$D:$D,$D897,куб!S:S),IF($C897&lt;&gt;0,SUMIF(куб!$C:$C,$C897,куб!S:S),IF($B897&lt;&gt;0,SUMIF(куб!$B:$B,$B897,куб!S:S))))))</f>
        <v>0</v>
      </c>
      <c r="AH897" s="16" t="str">
        <f t="shared" si="301"/>
        <v>-</v>
      </c>
      <c r="AI897" s="8"/>
      <c r="AJ897" s="27" t="b">
        <f>IF($G897&lt;&gt;0,SUMIF(куб!$G:$G,$G897,куб!T:T),IF($E897&lt;&gt;0,SUMIF(куб!$E:$E,$E897,куб!T:T),IF($D897&lt;&gt;0,SUMIF(куб!$D:$D,$D897,куб!T:T),IF($C897&lt;&gt;0,SUMIF(куб!$C:$C,$C897,куб!T:T),IF($B897&lt;&gt;0,SUMIF(куб!$B:$B,$B897,куб!T:T))))))</f>
        <v>0</v>
      </c>
      <c r="AK897" s="27" t="b">
        <f>IF($G897&lt;&gt;0,SUMIF(куб!$G:$G,$G897,куб!U:U),IF($E897&lt;&gt;0,SUMIF(куб!$E:$E,$E897,куб!U:U),IF($D897&lt;&gt;0,SUMIF(куб!$D:$D,$D897,куб!U:U),IF($C897&lt;&gt;0,SUMIF(куб!$C:$C,$C897,куб!U:U),IF($B897&lt;&gt;0,SUMIF(куб!$B:$B,$B897,куб!U:U))))))</f>
        <v>0</v>
      </c>
      <c r="AL897" s="16" t="str">
        <f t="shared" si="302"/>
        <v>-</v>
      </c>
      <c r="AM897" s="8"/>
      <c r="AN897" s="17" t="str">
        <f t="shared" si="303"/>
        <v xml:space="preserve"> </v>
      </c>
      <c r="AO897" s="17" t="str">
        <f t="shared" si="304"/>
        <v xml:space="preserve"> </v>
      </c>
      <c r="AP897" s="16" t="str">
        <f t="shared" si="305"/>
        <v>-</v>
      </c>
      <c r="AQ897" s="8"/>
      <c r="AR897" s="17" t="str">
        <f t="shared" si="306"/>
        <v>-</v>
      </c>
      <c r="AS897" s="17" t="str">
        <f t="shared" si="307"/>
        <v>-</v>
      </c>
      <c r="AT897" s="13" t="str">
        <f t="shared" si="308"/>
        <v>-</v>
      </c>
      <c r="AU897" s="8"/>
    </row>
    <row r="898" spans="1:47" x14ac:dyDescent="0.25">
      <c r="A898" s="31"/>
      <c r="B898" s="31"/>
      <c r="C898"/>
      <c r="D898" s="31"/>
      <c r="E898"/>
      <c r="F898" s="31"/>
      <c r="G898"/>
      <c r="H898" s="27">
        <f>IF($G898&lt;&gt;0,SUMIF(куб!$G:$G,$G898,куб!H:H),IF($E898&lt;&gt;0,SUMIF(куб!$E:$E,$E898,куб!H:H),IF($D898&lt;&gt;0,SUMIF(куб!$D:$D,$D898,куб!H:H),IF($C898&lt;&gt;0,SUMIF(куб!$C:$C,$C898,куб!H:H),IF($B898&lt;&gt;0,SUMIF(куб!$B:$B,$B898,куб!H:H),IF($G898&lt;&gt;0,SUMIF(куб!$A:$A,$G898,куб!H:H),SUMIF(куб!$A:$A,$G898,куб!H:H)))))))</f>
        <v>0</v>
      </c>
      <c r="I898" s="27">
        <f>IF($G898&lt;&gt;0,SUMIF(куб!$G:$G,$G898,куб!I:I),IF($E898&lt;&gt;0,SUMIF(куб!$E:$E,$E898,куб!I:I),IF($D898&lt;&gt;0,SUMIF(куб!$D:$D,$D898,куб!I:I),IF($C898&lt;&gt;0,SUMIF(куб!$C:$C,$C898,куб!I:I),IF($B898&lt;&gt;0,SUMIF(куб!$B:$B,$B898,куб!I:I),IF($G898&lt;&gt;0,SUMIF(куб!$A:$A,$G898,куб!I:I),SUMIF(куб!$A:$A,$G898,куб!I:I)))))))</f>
        <v>0</v>
      </c>
      <c r="J898" s="19" t="str">
        <f t="shared" si="291"/>
        <v>-</v>
      </c>
      <c r="K898" s="8"/>
      <c r="L898" s="17">
        <f t="shared" si="292"/>
        <v>0</v>
      </c>
      <c r="M898" s="17">
        <f t="shared" si="293"/>
        <v>0</v>
      </c>
      <c r="N898" s="12">
        <f t="shared" si="294"/>
        <v>0</v>
      </c>
      <c r="O898" s="5"/>
      <c r="P898" s="27" t="b">
        <f>IF($G898&lt;&gt;0,SUMIF(куб!$G:$G,$G898,куб!J:J),IF($E898&lt;&gt;0,SUMIF(куб!$E:$E,$E898,куб!J:J),IF($D898&lt;&gt;0,SUMIF(куб!$D:$D,$D898,куб!J:J),IF($C898&lt;&gt;0,SUMIF(куб!$C:$C,$C898,куб!J:J),IF($B898&lt;&gt;0,SUMIF(куб!$B:$B,$B898,куб!J:J))))))</f>
        <v>0</v>
      </c>
      <c r="Q898" s="27" t="b">
        <f>IF($G898&lt;&gt;0,SUMIF(куб!$G:$G,$G898,куб!K:K),IF($E898&lt;&gt;0,SUMIF(куб!$E:$E,$E898,куб!K:K),IF($D898&lt;&gt;0,SUMIF(куб!$D:$D,$D898,куб!K:K),IF($C898&lt;&gt;0,SUMIF(куб!$C:$C,$C898,куб!K:K),IF($B898&lt;&gt;0,SUMIF(куб!$B:$B,$B898,куб!K:K))))))</f>
        <v>0</v>
      </c>
      <c r="R898" s="13" t="str">
        <f t="shared" si="295"/>
        <v>-</v>
      </c>
      <c r="S898" s="5"/>
      <c r="T898" s="27" t="b">
        <f>IF($G898&lt;&gt;0,SUMIF(куб!$G:$G,$G898,куб!L:L),IF($E898&lt;&gt;0,SUMIF(куб!$E:$E,$E898,куб!L:L),IF($D898&lt;&gt;0,SUMIF(куб!$D:$D,$D898,куб!L:L),IF($C898&lt;&gt;0,SUMIF(куб!$C:$C,$C898,куб!L:L),IF($B898&lt;&gt;0,SUMIF(куб!$B:$B,$B898,куб!L:L))))))</f>
        <v>0</v>
      </c>
      <c r="U898" s="27" t="b">
        <f>IF($G898&lt;&gt;0,SUMIF(куб!$G:$G,$G898,куб!M:M),IF($E898&lt;&gt;0,SUMIF(куб!$E:$E,$E898,куб!M:M),IF($D898&lt;&gt;0,SUMIF(куб!$D:$D,$D898,куб!M:M),IF($C898&lt;&gt;0,SUMIF(куб!$C:$C,$C898,куб!M:M),IF($B898&lt;&gt;0,SUMIF(куб!$B:$B,$B898,куб!M:M))))))</f>
        <v>0</v>
      </c>
      <c r="V898" s="13" t="str">
        <f t="shared" si="296"/>
        <v>-</v>
      </c>
      <c r="W898" s="5"/>
      <c r="X898" s="27" t="b">
        <f>IF($G898&lt;&gt;0,SUMIF(куб!$G:$G,$G898,куб!N:N),IF($E898&lt;&gt;0,SUMIF(куб!$E:$E,$E898,куб!N:N),IF($D898&lt;&gt;0,SUMIF(куб!$D:$D,$D898,куб!N:N),IF($C898&lt;&gt;0,SUMIF(куб!$C:$C,$C898,куб!N:N),IF($B898&lt;&gt;0,SUMIF(куб!$B:$B,$B898,куб!N:N))))))</f>
        <v>0</v>
      </c>
      <c r="Y898" s="27" t="b">
        <f>IF($G898&lt;&gt;0,SUMIF(куб!$G:$G,$G898,куб!O:O),IF($E898&lt;&gt;0,SUMIF(куб!$E:$E,$E898,куб!O:O),IF($D898&lt;&gt;0,SUMIF(куб!$D:$D,$D898,куб!O:O),IF($C898&lt;&gt;0,SUMIF(куб!$C:$C,$C898,куб!O:O),IF($B898&lt;&gt;0,SUMIF(куб!$B:$B,$B898,куб!O:O))))))</f>
        <v>0</v>
      </c>
      <c r="Z898" s="13" t="str">
        <f t="shared" si="297"/>
        <v>-</v>
      </c>
      <c r="AA898" s="5"/>
      <c r="AB898" s="33" t="str">
        <f t="shared" si="298"/>
        <v/>
      </c>
      <c r="AC898" s="33" t="str">
        <f t="shared" si="299"/>
        <v/>
      </c>
      <c r="AD898" s="15" t="str">
        <f t="shared" si="300"/>
        <v xml:space="preserve"> </v>
      </c>
      <c r="AE898" s="5"/>
      <c r="AF898" s="27" t="b">
        <f>IF($G898&lt;&gt;0,SUMIF(куб!$G:$G,$G898,куб!R:R),IF($E898&lt;&gt;0,SUMIF(куб!$E:$E,$E898,куб!R:R),IF($D898&lt;&gt;0,SUMIF(куб!$D:$D,$D898,куб!R:R),IF($C898&lt;&gt;0,SUMIF(куб!$C:$C,$C898,куб!R:R),IF($B898&lt;&gt;0,SUMIF(куб!$B:$B,$B898,куб!R:R))))))</f>
        <v>0</v>
      </c>
      <c r="AG898" s="27" t="b">
        <f>IF($G898&lt;&gt;0,SUMIF(куб!$G:$G,$G898,куб!S:S),IF($E898&lt;&gt;0,SUMIF(куб!$E:$E,$E898,куб!S:S),IF($D898&lt;&gt;0,SUMIF(куб!$D:$D,$D898,куб!S:S),IF($C898&lt;&gt;0,SUMIF(куб!$C:$C,$C898,куб!S:S),IF($B898&lt;&gt;0,SUMIF(куб!$B:$B,$B898,куб!S:S))))))</f>
        <v>0</v>
      </c>
      <c r="AH898" s="16" t="str">
        <f t="shared" si="301"/>
        <v>-</v>
      </c>
      <c r="AI898" s="8"/>
      <c r="AJ898" s="27" t="b">
        <f>IF($G898&lt;&gt;0,SUMIF(куб!$G:$G,$G898,куб!T:T),IF($E898&lt;&gt;0,SUMIF(куб!$E:$E,$E898,куб!T:T),IF($D898&lt;&gt;0,SUMIF(куб!$D:$D,$D898,куб!T:T),IF($C898&lt;&gt;0,SUMIF(куб!$C:$C,$C898,куб!T:T),IF($B898&lt;&gt;0,SUMIF(куб!$B:$B,$B898,куб!T:T))))))</f>
        <v>0</v>
      </c>
      <c r="AK898" s="27" t="b">
        <f>IF($G898&lt;&gt;0,SUMIF(куб!$G:$G,$G898,куб!U:U),IF($E898&lt;&gt;0,SUMIF(куб!$E:$E,$E898,куб!U:U),IF($D898&lt;&gt;0,SUMIF(куб!$D:$D,$D898,куб!U:U),IF($C898&lt;&gt;0,SUMIF(куб!$C:$C,$C898,куб!U:U),IF($B898&lt;&gt;0,SUMIF(куб!$B:$B,$B898,куб!U:U))))))</f>
        <v>0</v>
      </c>
      <c r="AL898" s="16" t="str">
        <f t="shared" si="302"/>
        <v>-</v>
      </c>
      <c r="AM898" s="8"/>
      <c r="AN898" s="17" t="str">
        <f t="shared" si="303"/>
        <v xml:space="preserve"> </v>
      </c>
      <c r="AO898" s="17" t="str">
        <f t="shared" si="304"/>
        <v xml:space="preserve"> </v>
      </c>
      <c r="AP898" s="16" t="str">
        <f t="shared" si="305"/>
        <v>-</v>
      </c>
      <c r="AQ898" s="8"/>
      <c r="AR898" s="17" t="str">
        <f t="shared" si="306"/>
        <v>-</v>
      </c>
      <c r="AS898" s="17" t="str">
        <f t="shared" si="307"/>
        <v>-</v>
      </c>
      <c r="AT898" s="13" t="str">
        <f t="shared" si="308"/>
        <v>-</v>
      </c>
      <c r="AU898" s="8"/>
    </row>
    <row r="899" spans="1:47" x14ac:dyDescent="0.25">
      <c r="A899" s="31"/>
      <c r="B899" s="31"/>
      <c r="C899"/>
      <c r="D899" s="31"/>
      <c r="E899"/>
      <c r="F899" s="31"/>
      <c r="G899"/>
      <c r="H899" s="27">
        <f>IF($G899&lt;&gt;0,SUMIF(куб!$G:$G,$G899,куб!H:H),IF($E899&lt;&gt;0,SUMIF(куб!$E:$E,$E899,куб!H:H),IF($D899&lt;&gt;0,SUMIF(куб!$D:$D,$D899,куб!H:H),IF($C899&lt;&gt;0,SUMIF(куб!$C:$C,$C899,куб!H:H),IF($B899&lt;&gt;0,SUMIF(куб!$B:$B,$B899,куб!H:H),IF($G899&lt;&gt;0,SUMIF(куб!$A:$A,$G899,куб!H:H),SUMIF(куб!$A:$A,$G899,куб!H:H)))))))</f>
        <v>0</v>
      </c>
      <c r="I899" s="27">
        <f>IF($G899&lt;&gt;0,SUMIF(куб!$G:$G,$G899,куб!I:I),IF($E899&lt;&gt;0,SUMIF(куб!$E:$E,$E899,куб!I:I),IF($D899&lt;&gt;0,SUMIF(куб!$D:$D,$D899,куб!I:I),IF($C899&lt;&gt;0,SUMIF(куб!$C:$C,$C899,куб!I:I),IF($B899&lt;&gt;0,SUMIF(куб!$B:$B,$B899,куб!I:I),IF($G899&lt;&gt;0,SUMIF(куб!$A:$A,$G899,куб!I:I),SUMIF(куб!$A:$A,$G899,куб!I:I)))))))</f>
        <v>0</v>
      </c>
      <c r="J899" s="19" t="str">
        <f t="shared" si="291"/>
        <v>-</v>
      </c>
      <c r="K899" s="8"/>
      <c r="L899" s="17">
        <f t="shared" si="292"/>
        <v>0</v>
      </c>
      <c r="M899" s="17">
        <f t="shared" si="293"/>
        <v>0</v>
      </c>
      <c r="N899" s="12">
        <f t="shared" si="294"/>
        <v>0</v>
      </c>
      <c r="O899" s="5"/>
      <c r="P899" s="27" t="b">
        <f>IF($G899&lt;&gt;0,SUMIF(куб!$G:$G,$G899,куб!J:J),IF($E899&lt;&gt;0,SUMIF(куб!$E:$E,$E899,куб!J:J),IF($D899&lt;&gt;0,SUMIF(куб!$D:$D,$D899,куб!J:J),IF($C899&lt;&gt;0,SUMIF(куб!$C:$C,$C899,куб!J:J),IF($B899&lt;&gt;0,SUMIF(куб!$B:$B,$B899,куб!J:J))))))</f>
        <v>0</v>
      </c>
      <c r="Q899" s="27" t="b">
        <f>IF($G899&lt;&gt;0,SUMIF(куб!$G:$G,$G899,куб!K:K),IF($E899&lt;&gt;0,SUMIF(куб!$E:$E,$E899,куб!K:K),IF($D899&lt;&gt;0,SUMIF(куб!$D:$D,$D899,куб!K:K),IF($C899&lt;&gt;0,SUMIF(куб!$C:$C,$C899,куб!K:K),IF($B899&lt;&gt;0,SUMIF(куб!$B:$B,$B899,куб!K:K))))))</f>
        <v>0</v>
      </c>
      <c r="R899" s="13" t="str">
        <f t="shared" si="295"/>
        <v>-</v>
      </c>
      <c r="S899" s="5"/>
      <c r="T899" s="27" t="b">
        <f>IF($G899&lt;&gt;0,SUMIF(куб!$G:$G,$G899,куб!L:L),IF($E899&lt;&gt;0,SUMIF(куб!$E:$E,$E899,куб!L:L),IF($D899&lt;&gt;0,SUMIF(куб!$D:$D,$D899,куб!L:L),IF($C899&lt;&gt;0,SUMIF(куб!$C:$C,$C899,куб!L:L),IF($B899&lt;&gt;0,SUMIF(куб!$B:$B,$B899,куб!L:L))))))</f>
        <v>0</v>
      </c>
      <c r="U899" s="27" t="b">
        <f>IF($G899&lt;&gt;0,SUMIF(куб!$G:$G,$G899,куб!M:M),IF($E899&lt;&gt;0,SUMIF(куб!$E:$E,$E899,куб!M:M),IF($D899&lt;&gt;0,SUMIF(куб!$D:$D,$D899,куб!M:M),IF($C899&lt;&gt;0,SUMIF(куб!$C:$C,$C899,куб!M:M),IF($B899&lt;&gt;0,SUMIF(куб!$B:$B,$B899,куб!M:M))))))</f>
        <v>0</v>
      </c>
      <c r="V899" s="13" t="str">
        <f t="shared" si="296"/>
        <v>-</v>
      </c>
      <c r="W899" s="5"/>
      <c r="X899" s="27" t="b">
        <f>IF($G899&lt;&gt;0,SUMIF(куб!$G:$G,$G899,куб!N:N),IF($E899&lt;&gt;0,SUMIF(куб!$E:$E,$E899,куб!N:N),IF($D899&lt;&gt;0,SUMIF(куб!$D:$D,$D899,куб!N:N),IF($C899&lt;&gt;0,SUMIF(куб!$C:$C,$C899,куб!N:N),IF($B899&lt;&gt;0,SUMIF(куб!$B:$B,$B899,куб!N:N))))))</f>
        <v>0</v>
      </c>
      <c r="Y899" s="27" t="b">
        <f>IF($G899&lt;&gt;0,SUMIF(куб!$G:$G,$G899,куб!O:O),IF($E899&lt;&gt;0,SUMIF(куб!$E:$E,$E899,куб!O:O),IF($D899&lt;&gt;0,SUMIF(куб!$D:$D,$D899,куб!O:O),IF($C899&lt;&gt;0,SUMIF(куб!$C:$C,$C899,куб!O:O),IF($B899&lt;&gt;0,SUMIF(куб!$B:$B,$B899,куб!O:O))))))</f>
        <v>0</v>
      </c>
      <c r="Z899" s="13" t="str">
        <f t="shared" si="297"/>
        <v>-</v>
      </c>
      <c r="AA899" s="5"/>
      <c r="AB899" s="33" t="str">
        <f t="shared" si="298"/>
        <v/>
      </c>
      <c r="AC899" s="33" t="str">
        <f t="shared" si="299"/>
        <v/>
      </c>
      <c r="AD899" s="15" t="str">
        <f t="shared" si="300"/>
        <v xml:space="preserve"> </v>
      </c>
      <c r="AE899" s="5"/>
      <c r="AF899" s="27" t="b">
        <f>IF($G899&lt;&gt;0,SUMIF(куб!$G:$G,$G899,куб!R:R),IF($E899&lt;&gt;0,SUMIF(куб!$E:$E,$E899,куб!R:R),IF($D899&lt;&gt;0,SUMIF(куб!$D:$D,$D899,куб!R:R),IF($C899&lt;&gt;0,SUMIF(куб!$C:$C,$C899,куб!R:R),IF($B899&lt;&gt;0,SUMIF(куб!$B:$B,$B899,куб!R:R))))))</f>
        <v>0</v>
      </c>
      <c r="AG899" s="27" t="b">
        <f>IF($G899&lt;&gt;0,SUMIF(куб!$G:$G,$G899,куб!S:S),IF($E899&lt;&gt;0,SUMIF(куб!$E:$E,$E899,куб!S:S),IF($D899&lt;&gt;0,SUMIF(куб!$D:$D,$D899,куб!S:S),IF($C899&lt;&gt;0,SUMIF(куб!$C:$C,$C899,куб!S:S),IF($B899&lt;&gt;0,SUMIF(куб!$B:$B,$B899,куб!S:S))))))</f>
        <v>0</v>
      </c>
      <c r="AH899" s="16" t="str">
        <f t="shared" si="301"/>
        <v>-</v>
      </c>
      <c r="AI899" s="8"/>
      <c r="AJ899" s="27" t="b">
        <f>IF($G899&lt;&gt;0,SUMIF(куб!$G:$G,$G899,куб!T:T),IF($E899&lt;&gt;0,SUMIF(куб!$E:$E,$E899,куб!T:T),IF($D899&lt;&gt;0,SUMIF(куб!$D:$D,$D899,куб!T:T),IF($C899&lt;&gt;0,SUMIF(куб!$C:$C,$C899,куб!T:T),IF($B899&lt;&gt;0,SUMIF(куб!$B:$B,$B899,куб!T:T))))))</f>
        <v>0</v>
      </c>
      <c r="AK899" s="27" t="b">
        <f>IF($G899&lt;&gt;0,SUMIF(куб!$G:$G,$G899,куб!U:U),IF($E899&lt;&gt;0,SUMIF(куб!$E:$E,$E899,куб!U:U),IF($D899&lt;&gt;0,SUMIF(куб!$D:$D,$D899,куб!U:U),IF($C899&lt;&gt;0,SUMIF(куб!$C:$C,$C899,куб!U:U),IF($B899&lt;&gt;0,SUMIF(куб!$B:$B,$B899,куб!U:U))))))</f>
        <v>0</v>
      </c>
      <c r="AL899" s="16" t="str">
        <f t="shared" si="302"/>
        <v>-</v>
      </c>
      <c r="AM899" s="8"/>
      <c r="AN899" s="17" t="str">
        <f t="shared" si="303"/>
        <v xml:space="preserve"> </v>
      </c>
      <c r="AO899" s="17" t="str">
        <f t="shared" si="304"/>
        <v xml:space="preserve"> </v>
      </c>
      <c r="AP899" s="16" t="str">
        <f t="shared" si="305"/>
        <v>-</v>
      </c>
      <c r="AQ899" s="8"/>
      <c r="AR899" s="17" t="str">
        <f t="shared" si="306"/>
        <v>-</v>
      </c>
      <c r="AS899" s="17" t="str">
        <f t="shared" si="307"/>
        <v>-</v>
      </c>
      <c r="AT899" s="13" t="str">
        <f t="shared" si="308"/>
        <v>-</v>
      </c>
      <c r="AU899" s="8"/>
    </row>
    <row r="900" spans="1:47" x14ac:dyDescent="0.25">
      <c r="A900" s="31"/>
      <c r="B900" s="31"/>
      <c r="C900"/>
      <c r="D900" s="31"/>
      <c r="E900"/>
      <c r="F900" s="31"/>
      <c r="G900"/>
      <c r="H900" s="27">
        <f>IF($G900&lt;&gt;0,SUMIF(куб!$G:$G,$G900,куб!H:H),IF($E900&lt;&gt;0,SUMIF(куб!$E:$E,$E900,куб!H:H),IF($D900&lt;&gt;0,SUMIF(куб!$D:$D,$D900,куб!H:H),IF($C900&lt;&gt;0,SUMIF(куб!$C:$C,$C900,куб!H:H),IF($B900&lt;&gt;0,SUMIF(куб!$B:$B,$B900,куб!H:H),IF($G900&lt;&gt;0,SUMIF(куб!$A:$A,$G900,куб!H:H),SUMIF(куб!$A:$A,$G900,куб!H:H)))))))</f>
        <v>0</v>
      </c>
      <c r="I900" s="27">
        <f>IF($G900&lt;&gt;0,SUMIF(куб!$G:$G,$G900,куб!I:I),IF($E900&lt;&gt;0,SUMIF(куб!$E:$E,$E900,куб!I:I),IF($D900&lt;&gt;0,SUMIF(куб!$D:$D,$D900,куб!I:I),IF($C900&lt;&gt;0,SUMIF(куб!$C:$C,$C900,куб!I:I),IF($B900&lt;&gt;0,SUMIF(куб!$B:$B,$B900,куб!I:I),IF($G900&lt;&gt;0,SUMIF(куб!$A:$A,$G900,куб!I:I),SUMIF(куб!$A:$A,$G900,куб!I:I)))))))</f>
        <v>0</v>
      </c>
      <c r="J900" s="19" t="str">
        <f t="shared" si="291"/>
        <v>-</v>
      </c>
      <c r="K900" s="8"/>
      <c r="L900" s="17">
        <f t="shared" si="292"/>
        <v>0</v>
      </c>
      <c r="M900" s="17">
        <f t="shared" si="293"/>
        <v>0</v>
      </c>
      <c r="N900" s="12">
        <f t="shared" si="294"/>
        <v>0</v>
      </c>
      <c r="O900" s="5"/>
      <c r="P900" s="27" t="b">
        <f>IF($G900&lt;&gt;0,SUMIF(куб!$G:$G,$G900,куб!J:J),IF($E900&lt;&gt;0,SUMIF(куб!$E:$E,$E900,куб!J:J),IF($D900&lt;&gt;0,SUMIF(куб!$D:$D,$D900,куб!J:J),IF($C900&lt;&gt;0,SUMIF(куб!$C:$C,$C900,куб!J:J),IF($B900&lt;&gt;0,SUMIF(куб!$B:$B,$B900,куб!J:J))))))</f>
        <v>0</v>
      </c>
      <c r="Q900" s="27" t="b">
        <f>IF($G900&lt;&gt;0,SUMIF(куб!$G:$G,$G900,куб!K:K),IF($E900&lt;&gt;0,SUMIF(куб!$E:$E,$E900,куб!K:K),IF($D900&lt;&gt;0,SUMIF(куб!$D:$D,$D900,куб!K:K),IF($C900&lt;&gt;0,SUMIF(куб!$C:$C,$C900,куб!K:K),IF($B900&lt;&gt;0,SUMIF(куб!$B:$B,$B900,куб!K:K))))))</f>
        <v>0</v>
      </c>
      <c r="R900" s="13" t="str">
        <f t="shared" si="295"/>
        <v>-</v>
      </c>
      <c r="S900" s="5"/>
      <c r="T900" s="27" t="b">
        <f>IF($G900&lt;&gt;0,SUMIF(куб!$G:$G,$G900,куб!L:L),IF($E900&lt;&gt;0,SUMIF(куб!$E:$E,$E900,куб!L:L),IF($D900&lt;&gt;0,SUMIF(куб!$D:$D,$D900,куб!L:L),IF($C900&lt;&gt;0,SUMIF(куб!$C:$C,$C900,куб!L:L),IF($B900&lt;&gt;0,SUMIF(куб!$B:$B,$B900,куб!L:L))))))</f>
        <v>0</v>
      </c>
      <c r="U900" s="27" t="b">
        <f>IF($G900&lt;&gt;0,SUMIF(куб!$G:$G,$G900,куб!M:M),IF($E900&lt;&gt;0,SUMIF(куб!$E:$E,$E900,куб!M:M),IF($D900&lt;&gt;0,SUMIF(куб!$D:$D,$D900,куб!M:M),IF($C900&lt;&gt;0,SUMIF(куб!$C:$C,$C900,куб!M:M),IF($B900&lt;&gt;0,SUMIF(куб!$B:$B,$B900,куб!M:M))))))</f>
        <v>0</v>
      </c>
      <c r="V900" s="13" t="str">
        <f t="shared" si="296"/>
        <v>-</v>
      </c>
      <c r="W900" s="5"/>
      <c r="X900" s="27" t="b">
        <f>IF($G900&lt;&gt;0,SUMIF(куб!$G:$G,$G900,куб!N:N),IF($E900&lt;&gt;0,SUMIF(куб!$E:$E,$E900,куб!N:N),IF($D900&lt;&gt;0,SUMIF(куб!$D:$D,$D900,куб!N:N),IF($C900&lt;&gt;0,SUMIF(куб!$C:$C,$C900,куб!N:N),IF($B900&lt;&gt;0,SUMIF(куб!$B:$B,$B900,куб!N:N))))))</f>
        <v>0</v>
      </c>
      <c r="Y900" s="27" t="b">
        <f>IF($G900&lt;&gt;0,SUMIF(куб!$G:$G,$G900,куб!O:O),IF($E900&lt;&gt;0,SUMIF(куб!$E:$E,$E900,куб!O:O),IF($D900&lt;&gt;0,SUMIF(куб!$D:$D,$D900,куб!O:O),IF($C900&lt;&gt;0,SUMIF(куб!$C:$C,$C900,куб!O:O),IF($B900&lt;&gt;0,SUMIF(куб!$B:$B,$B900,куб!O:O))))))</f>
        <v>0</v>
      </c>
      <c r="Z900" s="13" t="str">
        <f t="shared" si="297"/>
        <v>-</v>
      </c>
      <c r="AA900" s="5"/>
      <c r="AB900" s="33" t="str">
        <f t="shared" si="298"/>
        <v/>
      </c>
      <c r="AC900" s="33" t="str">
        <f t="shared" si="299"/>
        <v/>
      </c>
      <c r="AD900" s="15" t="str">
        <f t="shared" si="300"/>
        <v xml:space="preserve"> </v>
      </c>
      <c r="AE900" s="5"/>
      <c r="AF900" s="27" t="b">
        <f>IF($G900&lt;&gt;0,SUMIF(куб!$G:$G,$G900,куб!R:R),IF($E900&lt;&gt;0,SUMIF(куб!$E:$E,$E900,куб!R:R),IF($D900&lt;&gt;0,SUMIF(куб!$D:$D,$D900,куб!R:R),IF($C900&lt;&gt;0,SUMIF(куб!$C:$C,$C900,куб!R:R),IF($B900&lt;&gt;0,SUMIF(куб!$B:$B,$B900,куб!R:R))))))</f>
        <v>0</v>
      </c>
      <c r="AG900" s="27" t="b">
        <f>IF($G900&lt;&gt;0,SUMIF(куб!$G:$G,$G900,куб!S:S),IF($E900&lt;&gt;0,SUMIF(куб!$E:$E,$E900,куб!S:S),IF($D900&lt;&gt;0,SUMIF(куб!$D:$D,$D900,куб!S:S),IF($C900&lt;&gt;0,SUMIF(куб!$C:$C,$C900,куб!S:S),IF($B900&lt;&gt;0,SUMIF(куб!$B:$B,$B900,куб!S:S))))))</f>
        <v>0</v>
      </c>
      <c r="AH900" s="16" t="str">
        <f t="shared" si="301"/>
        <v>-</v>
      </c>
      <c r="AI900" s="8"/>
      <c r="AJ900" s="27" t="b">
        <f>IF($G900&lt;&gt;0,SUMIF(куб!$G:$G,$G900,куб!T:T),IF($E900&lt;&gt;0,SUMIF(куб!$E:$E,$E900,куб!T:T),IF($D900&lt;&gt;0,SUMIF(куб!$D:$D,$D900,куб!T:T),IF($C900&lt;&gt;0,SUMIF(куб!$C:$C,$C900,куб!T:T),IF($B900&lt;&gt;0,SUMIF(куб!$B:$B,$B900,куб!T:T))))))</f>
        <v>0</v>
      </c>
      <c r="AK900" s="27" t="b">
        <f>IF($G900&lt;&gt;0,SUMIF(куб!$G:$G,$G900,куб!U:U),IF($E900&lt;&gt;0,SUMIF(куб!$E:$E,$E900,куб!U:U),IF($D900&lt;&gt;0,SUMIF(куб!$D:$D,$D900,куб!U:U),IF($C900&lt;&gt;0,SUMIF(куб!$C:$C,$C900,куб!U:U),IF($B900&lt;&gt;0,SUMIF(куб!$B:$B,$B900,куб!U:U))))))</f>
        <v>0</v>
      </c>
      <c r="AL900" s="16" t="str">
        <f t="shared" si="302"/>
        <v>-</v>
      </c>
      <c r="AM900" s="8"/>
      <c r="AN900" s="17" t="str">
        <f t="shared" si="303"/>
        <v xml:space="preserve"> </v>
      </c>
      <c r="AO900" s="17" t="str">
        <f t="shared" si="304"/>
        <v xml:space="preserve"> </v>
      </c>
      <c r="AP900" s="16" t="str">
        <f t="shared" si="305"/>
        <v>-</v>
      </c>
      <c r="AQ900" s="8"/>
      <c r="AR900" s="17" t="str">
        <f t="shared" si="306"/>
        <v>-</v>
      </c>
      <c r="AS900" s="17" t="str">
        <f t="shared" si="307"/>
        <v>-</v>
      </c>
      <c r="AT900" s="13" t="str">
        <f t="shared" si="308"/>
        <v>-</v>
      </c>
      <c r="AU900" s="8"/>
    </row>
    <row r="901" spans="1:47" x14ac:dyDescent="0.25">
      <c r="A901" s="31"/>
      <c r="B901" s="31"/>
      <c r="C901"/>
      <c r="D901" s="31"/>
      <c r="E901"/>
      <c r="F901" s="31"/>
      <c r="G901"/>
      <c r="H901" s="27">
        <f>IF($G901&lt;&gt;0,SUMIF(куб!$G:$G,$G901,куб!H:H),IF($E901&lt;&gt;0,SUMIF(куб!$E:$E,$E901,куб!H:H),IF($D901&lt;&gt;0,SUMIF(куб!$D:$D,$D901,куб!H:H),IF($C901&lt;&gt;0,SUMIF(куб!$C:$C,$C901,куб!H:H),IF($B901&lt;&gt;0,SUMIF(куб!$B:$B,$B901,куб!H:H),IF($G901&lt;&gt;0,SUMIF(куб!$A:$A,$G901,куб!H:H),SUMIF(куб!$A:$A,$G901,куб!H:H)))))))</f>
        <v>0</v>
      </c>
      <c r="I901" s="27">
        <f>IF($G901&lt;&gt;0,SUMIF(куб!$G:$G,$G901,куб!I:I),IF($E901&lt;&gt;0,SUMIF(куб!$E:$E,$E901,куб!I:I),IF($D901&lt;&gt;0,SUMIF(куб!$D:$D,$D901,куб!I:I),IF($C901&lt;&gt;0,SUMIF(куб!$C:$C,$C901,куб!I:I),IF($B901&lt;&gt;0,SUMIF(куб!$B:$B,$B901,куб!I:I),IF($G901&lt;&gt;0,SUMIF(куб!$A:$A,$G901,куб!I:I),SUMIF(куб!$A:$A,$G901,куб!I:I)))))))</f>
        <v>0</v>
      </c>
      <c r="J901" s="19" t="str">
        <f t="shared" si="291"/>
        <v>-</v>
      </c>
      <c r="K901" s="8"/>
      <c r="L901" s="17">
        <f t="shared" si="292"/>
        <v>0</v>
      </c>
      <c r="M901" s="17">
        <f t="shared" si="293"/>
        <v>0</v>
      </c>
      <c r="N901" s="12">
        <f t="shared" si="294"/>
        <v>0</v>
      </c>
      <c r="O901" s="5"/>
      <c r="P901" s="27" t="b">
        <f>IF($G901&lt;&gt;0,SUMIF(куб!$G:$G,$G901,куб!J:J),IF($E901&lt;&gt;0,SUMIF(куб!$E:$E,$E901,куб!J:J),IF($D901&lt;&gt;0,SUMIF(куб!$D:$D,$D901,куб!J:J),IF($C901&lt;&gt;0,SUMIF(куб!$C:$C,$C901,куб!J:J),IF($B901&lt;&gt;0,SUMIF(куб!$B:$B,$B901,куб!J:J))))))</f>
        <v>0</v>
      </c>
      <c r="Q901" s="27" t="b">
        <f>IF($G901&lt;&gt;0,SUMIF(куб!$G:$G,$G901,куб!K:K),IF($E901&lt;&gt;0,SUMIF(куб!$E:$E,$E901,куб!K:K),IF($D901&lt;&gt;0,SUMIF(куб!$D:$D,$D901,куб!K:K),IF($C901&lt;&gt;0,SUMIF(куб!$C:$C,$C901,куб!K:K),IF($B901&lt;&gt;0,SUMIF(куб!$B:$B,$B901,куб!K:K))))))</f>
        <v>0</v>
      </c>
      <c r="R901" s="13" t="str">
        <f t="shared" si="295"/>
        <v>-</v>
      </c>
      <c r="S901" s="5"/>
      <c r="T901" s="27" t="b">
        <f>IF($G901&lt;&gt;0,SUMIF(куб!$G:$G,$G901,куб!L:L),IF($E901&lt;&gt;0,SUMIF(куб!$E:$E,$E901,куб!L:L),IF($D901&lt;&gt;0,SUMIF(куб!$D:$D,$D901,куб!L:L),IF($C901&lt;&gt;0,SUMIF(куб!$C:$C,$C901,куб!L:L),IF($B901&lt;&gt;0,SUMIF(куб!$B:$B,$B901,куб!L:L))))))</f>
        <v>0</v>
      </c>
      <c r="U901" s="27" t="b">
        <f>IF($G901&lt;&gt;0,SUMIF(куб!$G:$G,$G901,куб!M:M),IF($E901&lt;&gt;0,SUMIF(куб!$E:$E,$E901,куб!M:M),IF($D901&lt;&gt;0,SUMIF(куб!$D:$D,$D901,куб!M:M),IF($C901&lt;&gt;0,SUMIF(куб!$C:$C,$C901,куб!M:M),IF($B901&lt;&gt;0,SUMIF(куб!$B:$B,$B901,куб!M:M))))))</f>
        <v>0</v>
      </c>
      <c r="V901" s="13" t="str">
        <f t="shared" si="296"/>
        <v>-</v>
      </c>
      <c r="W901" s="5"/>
      <c r="X901" s="27" t="b">
        <f>IF($G901&lt;&gt;0,SUMIF(куб!$G:$G,$G901,куб!N:N),IF($E901&lt;&gt;0,SUMIF(куб!$E:$E,$E901,куб!N:N),IF($D901&lt;&gt;0,SUMIF(куб!$D:$D,$D901,куб!N:N),IF($C901&lt;&gt;0,SUMIF(куб!$C:$C,$C901,куб!N:N),IF($B901&lt;&gt;0,SUMIF(куб!$B:$B,$B901,куб!N:N))))))</f>
        <v>0</v>
      </c>
      <c r="Y901" s="27" t="b">
        <f>IF($G901&lt;&gt;0,SUMIF(куб!$G:$G,$G901,куб!O:O),IF($E901&lt;&gt;0,SUMIF(куб!$E:$E,$E901,куб!O:O),IF($D901&lt;&gt;0,SUMIF(куб!$D:$D,$D901,куб!O:O),IF($C901&lt;&gt;0,SUMIF(куб!$C:$C,$C901,куб!O:O),IF($B901&lt;&gt;0,SUMIF(куб!$B:$B,$B901,куб!O:O))))))</f>
        <v>0</v>
      </c>
      <c r="Z901" s="13" t="str">
        <f t="shared" si="297"/>
        <v>-</v>
      </c>
      <c r="AA901" s="5"/>
      <c r="AB901" s="33" t="str">
        <f t="shared" si="298"/>
        <v/>
      </c>
      <c r="AC901" s="33" t="str">
        <f t="shared" si="299"/>
        <v/>
      </c>
      <c r="AD901" s="15" t="str">
        <f t="shared" si="300"/>
        <v xml:space="preserve"> </v>
      </c>
      <c r="AE901" s="5"/>
      <c r="AF901" s="27" t="b">
        <f>IF($G901&lt;&gt;0,SUMIF(куб!$G:$G,$G901,куб!R:R),IF($E901&lt;&gt;0,SUMIF(куб!$E:$E,$E901,куб!R:R),IF($D901&lt;&gt;0,SUMIF(куб!$D:$D,$D901,куб!R:R),IF($C901&lt;&gt;0,SUMIF(куб!$C:$C,$C901,куб!R:R),IF($B901&lt;&gt;0,SUMIF(куб!$B:$B,$B901,куб!R:R))))))</f>
        <v>0</v>
      </c>
      <c r="AG901" s="27" t="b">
        <f>IF($G901&lt;&gt;0,SUMIF(куб!$G:$G,$G901,куб!S:S),IF($E901&lt;&gt;0,SUMIF(куб!$E:$E,$E901,куб!S:S),IF($D901&lt;&gt;0,SUMIF(куб!$D:$D,$D901,куб!S:S),IF($C901&lt;&gt;0,SUMIF(куб!$C:$C,$C901,куб!S:S),IF($B901&lt;&gt;0,SUMIF(куб!$B:$B,$B901,куб!S:S))))))</f>
        <v>0</v>
      </c>
      <c r="AH901" s="16" t="str">
        <f t="shared" si="301"/>
        <v>-</v>
      </c>
      <c r="AI901" s="8"/>
      <c r="AJ901" s="27" t="b">
        <f>IF($G901&lt;&gt;0,SUMIF(куб!$G:$G,$G901,куб!T:T),IF($E901&lt;&gt;0,SUMIF(куб!$E:$E,$E901,куб!T:T),IF($D901&lt;&gt;0,SUMIF(куб!$D:$D,$D901,куб!T:T),IF($C901&lt;&gt;0,SUMIF(куб!$C:$C,$C901,куб!T:T),IF($B901&lt;&gt;0,SUMIF(куб!$B:$B,$B901,куб!T:T))))))</f>
        <v>0</v>
      </c>
      <c r="AK901" s="27" t="b">
        <f>IF($G901&lt;&gt;0,SUMIF(куб!$G:$G,$G901,куб!U:U),IF($E901&lt;&gt;0,SUMIF(куб!$E:$E,$E901,куб!U:U),IF($D901&lt;&gt;0,SUMIF(куб!$D:$D,$D901,куб!U:U),IF($C901&lt;&gt;0,SUMIF(куб!$C:$C,$C901,куб!U:U),IF($B901&lt;&gt;0,SUMIF(куб!$B:$B,$B901,куб!U:U))))))</f>
        <v>0</v>
      </c>
      <c r="AL901" s="16" t="str">
        <f t="shared" si="302"/>
        <v>-</v>
      </c>
      <c r="AM901" s="8"/>
      <c r="AN901" s="17" t="str">
        <f t="shared" si="303"/>
        <v xml:space="preserve"> </v>
      </c>
      <c r="AO901" s="17" t="str">
        <f t="shared" si="304"/>
        <v xml:space="preserve"> </v>
      </c>
      <c r="AP901" s="16" t="str">
        <f t="shared" si="305"/>
        <v>-</v>
      </c>
      <c r="AQ901" s="8"/>
      <c r="AR901" s="17" t="str">
        <f t="shared" si="306"/>
        <v>-</v>
      </c>
      <c r="AS901" s="17" t="str">
        <f t="shared" si="307"/>
        <v>-</v>
      </c>
      <c r="AT901" s="13" t="str">
        <f t="shared" si="308"/>
        <v>-</v>
      </c>
      <c r="AU901" s="8"/>
    </row>
    <row r="902" spans="1:47" x14ac:dyDescent="0.25">
      <c r="A902" s="31"/>
      <c r="B902" s="31"/>
      <c r="C902"/>
      <c r="D902" s="31"/>
      <c r="E902"/>
      <c r="F902" s="31"/>
      <c r="G902"/>
      <c r="H902" s="27">
        <f>IF($G902&lt;&gt;0,SUMIF(куб!$G:$G,$G902,куб!H:H),IF($E902&lt;&gt;0,SUMIF(куб!$E:$E,$E902,куб!H:H),IF($D902&lt;&gt;0,SUMIF(куб!$D:$D,$D902,куб!H:H),IF($C902&lt;&gt;0,SUMIF(куб!$C:$C,$C902,куб!H:H),IF($B902&lt;&gt;0,SUMIF(куб!$B:$B,$B902,куб!H:H),IF($G902&lt;&gt;0,SUMIF(куб!$A:$A,$G902,куб!H:H),SUMIF(куб!$A:$A,$G902,куб!H:H)))))))</f>
        <v>0</v>
      </c>
      <c r="I902" s="27">
        <f>IF($G902&lt;&gt;0,SUMIF(куб!$G:$G,$G902,куб!I:I),IF($E902&lt;&gt;0,SUMIF(куб!$E:$E,$E902,куб!I:I),IF($D902&lt;&gt;0,SUMIF(куб!$D:$D,$D902,куб!I:I),IF($C902&lt;&gt;0,SUMIF(куб!$C:$C,$C902,куб!I:I),IF($B902&lt;&gt;0,SUMIF(куб!$B:$B,$B902,куб!I:I),IF($G902&lt;&gt;0,SUMIF(куб!$A:$A,$G902,куб!I:I),SUMIF(куб!$A:$A,$G902,куб!I:I)))))))</f>
        <v>0</v>
      </c>
      <c r="J902" s="19" t="str">
        <f t="shared" si="291"/>
        <v>-</v>
      </c>
      <c r="K902" s="8"/>
      <c r="L902" s="17">
        <f t="shared" si="292"/>
        <v>0</v>
      </c>
      <c r="M902" s="17">
        <f t="shared" si="293"/>
        <v>0</v>
      </c>
      <c r="N902" s="12">
        <f t="shared" si="294"/>
        <v>0</v>
      </c>
      <c r="O902" s="5"/>
      <c r="P902" s="27" t="b">
        <f>IF($G902&lt;&gt;0,SUMIF(куб!$G:$G,$G902,куб!J:J),IF($E902&lt;&gt;0,SUMIF(куб!$E:$E,$E902,куб!J:J),IF($D902&lt;&gt;0,SUMIF(куб!$D:$D,$D902,куб!J:J),IF($C902&lt;&gt;0,SUMIF(куб!$C:$C,$C902,куб!J:J),IF($B902&lt;&gt;0,SUMIF(куб!$B:$B,$B902,куб!J:J))))))</f>
        <v>0</v>
      </c>
      <c r="Q902" s="27" t="b">
        <f>IF($G902&lt;&gt;0,SUMIF(куб!$G:$G,$G902,куб!K:K),IF($E902&lt;&gt;0,SUMIF(куб!$E:$E,$E902,куб!K:K),IF($D902&lt;&gt;0,SUMIF(куб!$D:$D,$D902,куб!K:K),IF($C902&lt;&gt;0,SUMIF(куб!$C:$C,$C902,куб!K:K),IF($B902&lt;&gt;0,SUMIF(куб!$B:$B,$B902,куб!K:K))))))</f>
        <v>0</v>
      </c>
      <c r="R902" s="13" t="str">
        <f t="shared" si="295"/>
        <v>-</v>
      </c>
      <c r="S902" s="5"/>
      <c r="T902" s="27" t="b">
        <f>IF($G902&lt;&gt;0,SUMIF(куб!$G:$G,$G902,куб!L:L),IF($E902&lt;&gt;0,SUMIF(куб!$E:$E,$E902,куб!L:L),IF($D902&lt;&gt;0,SUMIF(куб!$D:$D,$D902,куб!L:L),IF($C902&lt;&gt;0,SUMIF(куб!$C:$C,$C902,куб!L:L),IF($B902&lt;&gt;0,SUMIF(куб!$B:$B,$B902,куб!L:L))))))</f>
        <v>0</v>
      </c>
      <c r="U902" s="27" t="b">
        <f>IF($G902&lt;&gt;0,SUMIF(куб!$G:$G,$G902,куб!M:M),IF($E902&lt;&gt;0,SUMIF(куб!$E:$E,$E902,куб!M:M),IF($D902&lt;&gt;0,SUMIF(куб!$D:$D,$D902,куб!M:M),IF($C902&lt;&gt;0,SUMIF(куб!$C:$C,$C902,куб!M:M),IF($B902&lt;&gt;0,SUMIF(куб!$B:$B,$B902,куб!M:M))))))</f>
        <v>0</v>
      </c>
      <c r="V902" s="13" t="str">
        <f t="shared" si="296"/>
        <v>-</v>
      </c>
      <c r="W902" s="5"/>
      <c r="X902" s="27" t="b">
        <f>IF($G902&lt;&gt;0,SUMIF(куб!$G:$G,$G902,куб!N:N),IF($E902&lt;&gt;0,SUMIF(куб!$E:$E,$E902,куб!N:N),IF($D902&lt;&gt;0,SUMIF(куб!$D:$D,$D902,куб!N:N),IF($C902&lt;&gt;0,SUMIF(куб!$C:$C,$C902,куб!N:N),IF($B902&lt;&gt;0,SUMIF(куб!$B:$B,$B902,куб!N:N))))))</f>
        <v>0</v>
      </c>
      <c r="Y902" s="27" t="b">
        <f>IF($G902&lt;&gt;0,SUMIF(куб!$G:$G,$G902,куб!O:O),IF($E902&lt;&gt;0,SUMIF(куб!$E:$E,$E902,куб!O:O),IF($D902&lt;&gt;0,SUMIF(куб!$D:$D,$D902,куб!O:O),IF($C902&lt;&gt;0,SUMIF(куб!$C:$C,$C902,куб!O:O),IF($B902&lt;&gt;0,SUMIF(куб!$B:$B,$B902,куб!O:O))))))</f>
        <v>0</v>
      </c>
      <c r="Z902" s="13" t="str">
        <f t="shared" si="297"/>
        <v>-</v>
      </c>
      <c r="AA902" s="5"/>
      <c r="AB902" s="33" t="str">
        <f t="shared" si="298"/>
        <v/>
      </c>
      <c r="AC902" s="33" t="str">
        <f t="shared" si="299"/>
        <v/>
      </c>
      <c r="AD902" s="15" t="str">
        <f t="shared" si="300"/>
        <v xml:space="preserve"> </v>
      </c>
      <c r="AE902" s="5"/>
      <c r="AF902" s="27" t="b">
        <f>IF($G902&lt;&gt;0,SUMIF(куб!$G:$G,$G902,куб!R:R),IF($E902&lt;&gt;0,SUMIF(куб!$E:$E,$E902,куб!R:R),IF($D902&lt;&gt;0,SUMIF(куб!$D:$D,$D902,куб!R:R),IF($C902&lt;&gt;0,SUMIF(куб!$C:$C,$C902,куб!R:R),IF($B902&lt;&gt;0,SUMIF(куб!$B:$B,$B902,куб!R:R))))))</f>
        <v>0</v>
      </c>
      <c r="AG902" s="27" t="b">
        <f>IF($G902&lt;&gt;0,SUMIF(куб!$G:$G,$G902,куб!S:S),IF($E902&lt;&gt;0,SUMIF(куб!$E:$E,$E902,куб!S:S),IF($D902&lt;&gt;0,SUMIF(куб!$D:$D,$D902,куб!S:S),IF($C902&lt;&gt;0,SUMIF(куб!$C:$C,$C902,куб!S:S),IF($B902&lt;&gt;0,SUMIF(куб!$B:$B,$B902,куб!S:S))))))</f>
        <v>0</v>
      </c>
      <c r="AH902" s="16" t="str">
        <f t="shared" si="301"/>
        <v>-</v>
      </c>
      <c r="AI902" s="8"/>
      <c r="AJ902" s="27" t="b">
        <f>IF($G902&lt;&gt;0,SUMIF(куб!$G:$G,$G902,куб!T:T),IF($E902&lt;&gt;0,SUMIF(куб!$E:$E,$E902,куб!T:T),IF($D902&lt;&gt;0,SUMIF(куб!$D:$D,$D902,куб!T:T),IF($C902&lt;&gt;0,SUMIF(куб!$C:$C,$C902,куб!T:T),IF($B902&lt;&gt;0,SUMIF(куб!$B:$B,$B902,куб!T:T))))))</f>
        <v>0</v>
      </c>
      <c r="AK902" s="27" t="b">
        <f>IF($G902&lt;&gt;0,SUMIF(куб!$G:$G,$G902,куб!U:U),IF($E902&lt;&gt;0,SUMIF(куб!$E:$E,$E902,куб!U:U),IF($D902&lt;&gt;0,SUMIF(куб!$D:$D,$D902,куб!U:U),IF($C902&lt;&gt;0,SUMIF(куб!$C:$C,$C902,куб!U:U),IF($B902&lt;&gt;0,SUMIF(куб!$B:$B,$B902,куб!U:U))))))</f>
        <v>0</v>
      </c>
      <c r="AL902" s="16" t="str">
        <f t="shared" si="302"/>
        <v>-</v>
      </c>
      <c r="AM902" s="8"/>
      <c r="AN902" s="17" t="str">
        <f t="shared" si="303"/>
        <v xml:space="preserve"> </v>
      </c>
      <c r="AO902" s="17" t="str">
        <f t="shared" si="304"/>
        <v xml:space="preserve"> </v>
      </c>
      <c r="AP902" s="16" t="str">
        <f t="shared" si="305"/>
        <v>-</v>
      </c>
      <c r="AQ902" s="8"/>
      <c r="AR902" s="17" t="str">
        <f t="shared" si="306"/>
        <v>-</v>
      </c>
      <c r="AS902" s="17" t="str">
        <f t="shared" si="307"/>
        <v>-</v>
      </c>
      <c r="AT902" s="13" t="str">
        <f t="shared" si="308"/>
        <v>-</v>
      </c>
      <c r="AU902" s="8"/>
    </row>
    <row r="903" spans="1:47" x14ac:dyDescent="0.25">
      <c r="A903" s="31"/>
      <c r="B903" s="31"/>
      <c r="C903"/>
      <c r="D903" s="31"/>
      <c r="E903"/>
      <c r="F903" s="31"/>
      <c r="G903"/>
      <c r="H903" s="27">
        <f>IF($G903&lt;&gt;0,SUMIF(куб!$G:$G,$G903,куб!H:H),IF($E903&lt;&gt;0,SUMIF(куб!$E:$E,$E903,куб!H:H),IF($D903&lt;&gt;0,SUMIF(куб!$D:$D,$D903,куб!H:H),IF($C903&lt;&gt;0,SUMIF(куб!$C:$C,$C903,куб!H:H),IF($B903&lt;&gt;0,SUMIF(куб!$B:$B,$B903,куб!H:H),IF($G903&lt;&gt;0,SUMIF(куб!$A:$A,$G903,куб!H:H),SUMIF(куб!$A:$A,$G903,куб!H:H)))))))</f>
        <v>0</v>
      </c>
      <c r="I903" s="27">
        <f>IF($G903&lt;&gt;0,SUMIF(куб!$G:$G,$G903,куб!I:I),IF($E903&lt;&gt;0,SUMIF(куб!$E:$E,$E903,куб!I:I),IF($D903&lt;&gt;0,SUMIF(куб!$D:$D,$D903,куб!I:I),IF($C903&lt;&gt;0,SUMIF(куб!$C:$C,$C903,куб!I:I),IF($B903&lt;&gt;0,SUMIF(куб!$B:$B,$B903,куб!I:I),IF($G903&lt;&gt;0,SUMIF(куб!$A:$A,$G903,куб!I:I),SUMIF(куб!$A:$A,$G903,куб!I:I)))))))</f>
        <v>0</v>
      </c>
      <c r="J903" s="19" t="str">
        <f t="shared" si="291"/>
        <v>-</v>
      </c>
      <c r="K903" s="8"/>
      <c r="L903" s="17">
        <f t="shared" si="292"/>
        <v>0</v>
      </c>
      <c r="M903" s="17">
        <f t="shared" si="293"/>
        <v>0</v>
      </c>
      <c r="N903" s="12">
        <f t="shared" si="294"/>
        <v>0</v>
      </c>
      <c r="O903" s="5"/>
      <c r="P903" s="27" t="b">
        <f>IF($G903&lt;&gt;0,SUMIF(куб!$G:$G,$G903,куб!J:J),IF($E903&lt;&gt;0,SUMIF(куб!$E:$E,$E903,куб!J:J),IF($D903&lt;&gt;0,SUMIF(куб!$D:$D,$D903,куб!J:J),IF($C903&lt;&gt;0,SUMIF(куб!$C:$C,$C903,куб!J:J),IF($B903&lt;&gt;0,SUMIF(куб!$B:$B,$B903,куб!J:J))))))</f>
        <v>0</v>
      </c>
      <c r="Q903" s="27" t="b">
        <f>IF($G903&lt;&gt;0,SUMIF(куб!$G:$G,$G903,куб!K:K),IF($E903&lt;&gt;0,SUMIF(куб!$E:$E,$E903,куб!K:K),IF($D903&lt;&gt;0,SUMIF(куб!$D:$D,$D903,куб!K:K),IF($C903&lt;&gt;0,SUMIF(куб!$C:$C,$C903,куб!K:K),IF($B903&lt;&gt;0,SUMIF(куб!$B:$B,$B903,куб!K:K))))))</f>
        <v>0</v>
      </c>
      <c r="R903" s="13" t="str">
        <f t="shared" si="295"/>
        <v>-</v>
      </c>
      <c r="S903" s="5"/>
      <c r="T903" s="27" t="b">
        <f>IF($G903&lt;&gt;0,SUMIF(куб!$G:$G,$G903,куб!L:L),IF($E903&lt;&gt;0,SUMIF(куб!$E:$E,$E903,куб!L:L),IF($D903&lt;&gt;0,SUMIF(куб!$D:$D,$D903,куб!L:L),IF($C903&lt;&gt;0,SUMIF(куб!$C:$C,$C903,куб!L:L),IF($B903&lt;&gt;0,SUMIF(куб!$B:$B,$B903,куб!L:L))))))</f>
        <v>0</v>
      </c>
      <c r="U903" s="27" t="b">
        <f>IF($G903&lt;&gt;0,SUMIF(куб!$G:$G,$G903,куб!M:M),IF($E903&lt;&gt;0,SUMIF(куб!$E:$E,$E903,куб!M:M),IF($D903&lt;&gt;0,SUMIF(куб!$D:$D,$D903,куб!M:M),IF($C903&lt;&gt;0,SUMIF(куб!$C:$C,$C903,куб!M:M),IF($B903&lt;&gt;0,SUMIF(куб!$B:$B,$B903,куб!M:M))))))</f>
        <v>0</v>
      </c>
      <c r="V903" s="13" t="str">
        <f t="shared" si="296"/>
        <v>-</v>
      </c>
      <c r="W903" s="5"/>
      <c r="X903" s="27" t="b">
        <f>IF($G903&lt;&gt;0,SUMIF(куб!$G:$G,$G903,куб!N:N),IF($E903&lt;&gt;0,SUMIF(куб!$E:$E,$E903,куб!N:N),IF($D903&lt;&gt;0,SUMIF(куб!$D:$D,$D903,куб!N:N),IF($C903&lt;&gt;0,SUMIF(куб!$C:$C,$C903,куб!N:N),IF($B903&lt;&gt;0,SUMIF(куб!$B:$B,$B903,куб!N:N))))))</f>
        <v>0</v>
      </c>
      <c r="Y903" s="27" t="b">
        <f>IF($G903&lt;&gt;0,SUMIF(куб!$G:$G,$G903,куб!O:O),IF($E903&lt;&gt;0,SUMIF(куб!$E:$E,$E903,куб!O:O),IF($D903&lt;&gt;0,SUMIF(куб!$D:$D,$D903,куб!O:O),IF($C903&lt;&gt;0,SUMIF(куб!$C:$C,$C903,куб!O:O),IF($B903&lt;&gt;0,SUMIF(куб!$B:$B,$B903,куб!O:O))))))</f>
        <v>0</v>
      </c>
      <c r="Z903" s="13" t="str">
        <f t="shared" si="297"/>
        <v>-</v>
      </c>
      <c r="AA903" s="5"/>
      <c r="AB903" s="33" t="str">
        <f t="shared" si="298"/>
        <v/>
      </c>
      <c r="AC903" s="33" t="str">
        <f t="shared" si="299"/>
        <v/>
      </c>
      <c r="AD903" s="15" t="str">
        <f t="shared" si="300"/>
        <v xml:space="preserve"> </v>
      </c>
      <c r="AE903" s="5"/>
      <c r="AF903" s="27" t="b">
        <f>IF($G903&lt;&gt;0,SUMIF(куб!$G:$G,$G903,куб!R:R),IF($E903&lt;&gt;0,SUMIF(куб!$E:$E,$E903,куб!R:R),IF($D903&lt;&gt;0,SUMIF(куб!$D:$D,$D903,куб!R:R),IF($C903&lt;&gt;0,SUMIF(куб!$C:$C,$C903,куб!R:R),IF($B903&lt;&gt;0,SUMIF(куб!$B:$B,$B903,куб!R:R))))))</f>
        <v>0</v>
      </c>
      <c r="AG903" s="27" t="b">
        <f>IF($G903&lt;&gt;0,SUMIF(куб!$G:$G,$G903,куб!S:S),IF($E903&lt;&gt;0,SUMIF(куб!$E:$E,$E903,куб!S:S),IF($D903&lt;&gt;0,SUMIF(куб!$D:$D,$D903,куб!S:S),IF($C903&lt;&gt;0,SUMIF(куб!$C:$C,$C903,куб!S:S),IF($B903&lt;&gt;0,SUMIF(куб!$B:$B,$B903,куб!S:S))))))</f>
        <v>0</v>
      </c>
      <c r="AH903" s="16" t="str">
        <f t="shared" si="301"/>
        <v>-</v>
      </c>
      <c r="AI903" s="8"/>
      <c r="AJ903" s="27" t="b">
        <f>IF($G903&lt;&gt;0,SUMIF(куб!$G:$G,$G903,куб!T:T),IF($E903&lt;&gt;0,SUMIF(куб!$E:$E,$E903,куб!T:T),IF($D903&lt;&gt;0,SUMIF(куб!$D:$D,$D903,куб!T:T),IF($C903&lt;&gt;0,SUMIF(куб!$C:$C,$C903,куб!T:T),IF($B903&lt;&gt;0,SUMIF(куб!$B:$B,$B903,куб!T:T))))))</f>
        <v>0</v>
      </c>
      <c r="AK903" s="27" t="b">
        <f>IF($G903&lt;&gt;0,SUMIF(куб!$G:$G,$G903,куб!U:U),IF($E903&lt;&gt;0,SUMIF(куб!$E:$E,$E903,куб!U:U),IF($D903&lt;&gt;0,SUMIF(куб!$D:$D,$D903,куб!U:U),IF($C903&lt;&gt;0,SUMIF(куб!$C:$C,$C903,куб!U:U),IF($B903&lt;&gt;0,SUMIF(куб!$B:$B,$B903,куб!U:U))))))</f>
        <v>0</v>
      </c>
      <c r="AL903" s="16" t="str">
        <f t="shared" si="302"/>
        <v>-</v>
      </c>
      <c r="AM903" s="8"/>
      <c r="AN903" s="17" t="str">
        <f t="shared" si="303"/>
        <v xml:space="preserve"> </v>
      </c>
      <c r="AO903" s="17" t="str">
        <f t="shared" si="304"/>
        <v xml:space="preserve"> </v>
      </c>
      <c r="AP903" s="16" t="str">
        <f t="shared" si="305"/>
        <v>-</v>
      </c>
      <c r="AQ903" s="8"/>
      <c r="AR903" s="17" t="str">
        <f t="shared" si="306"/>
        <v>-</v>
      </c>
      <c r="AS903" s="17" t="str">
        <f t="shared" si="307"/>
        <v>-</v>
      </c>
      <c r="AT903" s="13" t="str">
        <f t="shared" si="308"/>
        <v>-</v>
      </c>
      <c r="AU903" s="8"/>
    </row>
    <row r="904" spans="1:47" x14ac:dyDescent="0.25">
      <c r="A904" s="31"/>
      <c r="B904" s="31"/>
      <c r="C904"/>
      <c r="D904" s="31"/>
      <c r="E904"/>
      <c r="F904" s="31"/>
      <c r="G904"/>
      <c r="H904" s="27">
        <f>IF($G904&lt;&gt;0,SUMIF(куб!$G:$G,$G904,куб!H:H),IF($E904&lt;&gt;0,SUMIF(куб!$E:$E,$E904,куб!H:H),IF($D904&lt;&gt;0,SUMIF(куб!$D:$D,$D904,куб!H:H),IF($C904&lt;&gt;0,SUMIF(куб!$C:$C,$C904,куб!H:H),IF($B904&lt;&gt;0,SUMIF(куб!$B:$B,$B904,куб!H:H),IF($G904&lt;&gt;0,SUMIF(куб!$A:$A,$G904,куб!H:H),SUMIF(куб!$A:$A,$G904,куб!H:H)))))))</f>
        <v>0</v>
      </c>
      <c r="I904" s="27">
        <f>IF($G904&lt;&gt;0,SUMIF(куб!$G:$G,$G904,куб!I:I),IF($E904&lt;&gt;0,SUMIF(куб!$E:$E,$E904,куб!I:I),IF($D904&lt;&gt;0,SUMIF(куб!$D:$D,$D904,куб!I:I),IF($C904&lt;&gt;0,SUMIF(куб!$C:$C,$C904,куб!I:I),IF($B904&lt;&gt;0,SUMIF(куб!$B:$B,$B904,куб!I:I),IF($G904&lt;&gt;0,SUMIF(куб!$A:$A,$G904,куб!I:I),SUMIF(куб!$A:$A,$G904,куб!I:I)))))))</f>
        <v>0</v>
      </c>
      <c r="J904" s="19" t="str">
        <f t="shared" si="291"/>
        <v>-</v>
      </c>
      <c r="K904" s="8"/>
      <c r="L904" s="17">
        <f t="shared" si="292"/>
        <v>0</v>
      </c>
      <c r="M904" s="17">
        <f t="shared" si="293"/>
        <v>0</v>
      </c>
      <c r="N904" s="12">
        <f t="shared" si="294"/>
        <v>0</v>
      </c>
      <c r="O904" s="5"/>
      <c r="P904" s="27" t="b">
        <f>IF($G904&lt;&gt;0,SUMIF(куб!$G:$G,$G904,куб!J:J),IF($E904&lt;&gt;0,SUMIF(куб!$E:$E,$E904,куб!J:J),IF($D904&lt;&gt;0,SUMIF(куб!$D:$D,$D904,куб!J:J),IF($C904&lt;&gt;0,SUMIF(куб!$C:$C,$C904,куб!J:J),IF($B904&lt;&gt;0,SUMIF(куб!$B:$B,$B904,куб!J:J))))))</f>
        <v>0</v>
      </c>
      <c r="Q904" s="27" t="b">
        <f>IF($G904&lt;&gt;0,SUMIF(куб!$G:$G,$G904,куб!K:K),IF($E904&lt;&gt;0,SUMIF(куб!$E:$E,$E904,куб!K:K),IF($D904&lt;&gt;0,SUMIF(куб!$D:$D,$D904,куб!K:K),IF($C904&lt;&gt;0,SUMIF(куб!$C:$C,$C904,куб!K:K),IF($B904&lt;&gt;0,SUMIF(куб!$B:$B,$B904,куб!K:K))))))</f>
        <v>0</v>
      </c>
      <c r="R904" s="13" t="str">
        <f t="shared" si="295"/>
        <v>-</v>
      </c>
      <c r="S904" s="5"/>
      <c r="T904" s="27" t="b">
        <f>IF($G904&lt;&gt;0,SUMIF(куб!$G:$G,$G904,куб!L:L),IF($E904&lt;&gt;0,SUMIF(куб!$E:$E,$E904,куб!L:L),IF($D904&lt;&gt;0,SUMIF(куб!$D:$D,$D904,куб!L:L),IF($C904&lt;&gt;0,SUMIF(куб!$C:$C,$C904,куб!L:L),IF($B904&lt;&gt;0,SUMIF(куб!$B:$B,$B904,куб!L:L))))))</f>
        <v>0</v>
      </c>
      <c r="U904" s="27" t="b">
        <f>IF($G904&lt;&gt;0,SUMIF(куб!$G:$G,$G904,куб!M:M),IF($E904&lt;&gt;0,SUMIF(куб!$E:$E,$E904,куб!M:M),IF($D904&lt;&gt;0,SUMIF(куб!$D:$D,$D904,куб!M:M),IF($C904&lt;&gt;0,SUMIF(куб!$C:$C,$C904,куб!M:M),IF($B904&lt;&gt;0,SUMIF(куб!$B:$B,$B904,куб!M:M))))))</f>
        <v>0</v>
      </c>
      <c r="V904" s="13" t="str">
        <f t="shared" si="296"/>
        <v>-</v>
      </c>
      <c r="W904" s="5"/>
      <c r="X904" s="27" t="b">
        <f>IF($G904&lt;&gt;0,SUMIF(куб!$G:$G,$G904,куб!N:N),IF($E904&lt;&gt;0,SUMIF(куб!$E:$E,$E904,куб!N:N),IF($D904&lt;&gt;0,SUMIF(куб!$D:$D,$D904,куб!N:N),IF($C904&lt;&gt;0,SUMIF(куб!$C:$C,$C904,куб!N:N),IF($B904&lt;&gt;0,SUMIF(куб!$B:$B,$B904,куб!N:N))))))</f>
        <v>0</v>
      </c>
      <c r="Y904" s="27" t="b">
        <f>IF($G904&lt;&gt;0,SUMIF(куб!$G:$G,$G904,куб!O:O),IF($E904&lt;&gt;0,SUMIF(куб!$E:$E,$E904,куб!O:O),IF($D904&lt;&gt;0,SUMIF(куб!$D:$D,$D904,куб!O:O),IF($C904&lt;&gt;0,SUMIF(куб!$C:$C,$C904,куб!O:O),IF($B904&lt;&gt;0,SUMIF(куб!$B:$B,$B904,куб!O:O))))))</f>
        <v>0</v>
      </c>
      <c r="Z904" s="13" t="str">
        <f t="shared" si="297"/>
        <v>-</v>
      </c>
      <c r="AA904" s="5"/>
      <c r="AB904" s="33" t="str">
        <f t="shared" si="298"/>
        <v/>
      </c>
      <c r="AC904" s="33" t="str">
        <f t="shared" si="299"/>
        <v/>
      </c>
      <c r="AD904" s="15" t="str">
        <f t="shared" si="300"/>
        <v xml:space="preserve"> </v>
      </c>
      <c r="AE904" s="5"/>
      <c r="AF904" s="27" t="b">
        <f>IF($G904&lt;&gt;0,SUMIF(куб!$G:$G,$G904,куб!R:R),IF($E904&lt;&gt;0,SUMIF(куб!$E:$E,$E904,куб!R:R),IF($D904&lt;&gt;0,SUMIF(куб!$D:$D,$D904,куб!R:R),IF($C904&lt;&gt;0,SUMIF(куб!$C:$C,$C904,куб!R:R),IF($B904&lt;&gt;0,SUMIF(куб!$B:$B,$B904,куб!R:R))))))</f>
        <v>0</v>
      </c>
      <c r="AG904" s="27" t="b">
        <f>IF($G904&lt;&gt;0,SUMIF(куб!$G:$G,$G904,куб!S:S),IF($E904&lt;&gt;0,SUMIF(куб!$E:$E,$E904,куб!S:S),IF($D904&lt;&gt;0,SUMIF(куб!$D:$D,$D904,куб!S:S),IF($C904&lt;&gt;0,SUMIF(куб!$C:$C,$C904,куб!S:S),IF($B904&lt;&gt;0,SUMIF(куб!$B:$B,$B904,куб!S:S))))))</f>
        <v>0</v>
      </c>
      <c r="AH904" s="16" t="str">
        <f t="shared" si="301"/>
        <v>-</v>
      </c>
      <c r="AI904" s="8"/>
      <c r="AJ904" s="27" t="b">
        <f>IF($G904&lt;&gt;0,SUMIF(куб!$G:$G,$G904,куб!T:T),IF($E904&lt;&gt;0,SUMIF(куб!$E:$E,$E904,куб!T:T),IF($D904&lt;&gt;0,SUMIF(куб!$D:$D,$D904,куб!T:T),IF($C904&lt;&gt;0,SUMIF(куб!$C:$C,$C904,куб!T:T),IF($B904&lt;&gt;0,SUMIF(куб!$B:$B,$B904,куб!T:T))))))</f>
        <v>0</v>
      </c>
      <c r="AK904" s="27" t="b">
        <f>IF($G904&lt;&gt;0,SUMIF(куб!$G:$G,$G904,куб!U:U),IF($E904&lt;&gt;0,SUMIF(куб!$E:$E,$E904,куб!U:U),IF($D904&lt;&gt;0,SUMIF(куб!$D:$D,$D904,куб!U:U),IF($C904&lt;&gt;0,SUMIF(куб!$C:$C,$C904,куб!U:U),IF($B904&lt;&gt;0,SUMIF(куб!$B:$B,$B904,куб!U:U))))))</f>
        <v>0</v>
      </c>
      <c r="AL904" s="16" t="str">
        <f t="shared" si="302"/>
        <v>-</v>
      </c>
      <c r="AM904" s="8"/>
      <c r="AN904" s="17" t="str">
        <f t="shared" si="303"/>
        <v xml:space="preserve"> </v>
      </c>
      <c r="AO904" s="17" t="str">
        <f t="shared" si="304"/>
        <v xml:space="preserve"> </v>
      </c>
      <c r="AP904" s="16" t="str">
        <f t="shared" si="305"/>
        <v>-</v>
      </c>
      <c r="AQ904" s="8"/>
      <c r="AR904" s="17" t="str">
        <f t="shared" si="306"/>
        <v>-</v>
      </c>
      <c r="AS904" s="17" t="str">
        <f t="shared" si="307"/>
        <v>-</v>
      </c>
      <c r="AT904" s="13" t="str">
        <f t="shared" si="308"/>
        <v>-</v>
      </c>
      <c r="AU904" s="8"/>
    </row>
    <row r="905" spans="1:47" x14ac:dyDescent="0.25">
      <c r="A905" s="31"/>
      <c r="B905" s="31"/>
      <c r="C905"/>
      <c r="D905" s="31"/>
      <c r="E905"/>
      <c r="F905" s="31"/>
      <c r="G905"/>
      <c r="H905" s="27">
        <f>IF($G905&lt;&gt;0,SUMIF(куб!$G:$G,$G905,куб!H:H),IF($E905&lt;&gt;0,SUMIF(куб!$E:$E,$E905,куб!H:H),IF($D905&lt;&gt;0,SUMIF(куб!$D:$D,$D905,куб!H:H),IF($C905&lt;&gt;0,SUMIF(куб!$C:$C,$C905,куб!H:H),IF($B905&lt;&gt;0,SUMIF(куб!$B:$B,$B905,куб!H:H),IF($G905&lt;&gt;0,SUMIF(куб!$A:$A,$G905,куб!H:H),SUMIF(куб!$A:$A,$G905,куб!H:H)))))))</f>
        <v>0</v>
      </c>
      <c r="I905" s="27">
        <f>IF($G905&lt;&gt;0,SUMIF(куб!$G:$G,$G905,куб!I:I),IF($E905&lt;&gt;0,SUMIF(куб!$E:$E,$E905,куб!I:I),IF($D905&lt;&gt;0,SUMIF(куб!$D:$D,$D905,куб!I:I),IF($C905&lt;&gt;0,SUMIF(куб!$C:$C,$C905,куб!I:I),IF($B905&lt;&gt;0,SUMIF(куб!$B:$B,$B905,куб!I:I),IF($G905&lt;&gt;0,SUMIF(куб!$A:$A,$G905,куб!I:I),SUMIF(куб!$A:$A,$G905,куб!I:I)))))))</f>
        <v>0</v>
      </c>
      <c r="J905" s="19" t="str">
        <f t="shared" si="291"/>
        <v>-</v>
      </c>
      <c r="K905" s="8"/>
      <c r="L905" s="17">
        <f t="shared" si="292"/>
        <v>0</v>
      </c>
      <c r="M905" s="17">
        <f t="shared" si="293"/>
        <v>0</v>
      </c>
      <c r="N905" s="12">
        <f t="shared" si="294"/>
        <v>0</v>
      </c>
      <c r="O905" s="5"/>
      <c r="P905" s="27" t="b">
        <f>IF($G905&lt;&gt;0,SUMIF(куб!$G:$G,$G905,куб!J:J),IF($E905&lt;&gt;0,SUMIF(куб!$E:$E,$E905,куб!J:J),IF($D905&lt;&gt;0,SUMIF(куб!$D:$D,$D905,куб!J:J),IF($C905&lt;&gt;0,SUMIF(куб!$C:$C,$C905,куб!J:J),IF($B905&lt;&gt;0,SUMIF(куб!$B:$B,$B905,куб!J:J))))))</f>
        <v>0</v>
      </c>
      <c r="Q905" s="27" t="b">
        <f>IF($G905&lt;&gt;0,SUMIF(куб!$G:$G,$G905,куб!K:K),IF($E905&lt;&gt;0,SUMIF(куб!$E:$E,$E905,куб!K:K),IF($D905&lt;&gt;0,SUMIF(куб!$D:$D,$D905,куб!K:K),IF($C905&lt;&gt;0,SUMIF(куб!$C:$C,$C905,куб!K:K),IF($B905&lt;&gt;0,SUMIF(куб!$B:$B,$B905,куб!K:K))))))</f>
        <v>0</v>
      </c>
      <c r="R905" s="13" t="str">
        <f t="shared" si="295"/>
        <v>-</v>
      </c>
      <c r="S905" s="5"/>
      <c r="T905" s="27" t="b">
        <f>IF($G905&lt;&gt;0,SUMIF(куб!$G:$G,$G905,куб!L:L),IF($E905&lt;&gt;0,SUMIF(куб!$E:$E,$E905,куб!L:L),IF($D905&lt;&gt;0,SUMIF(куб!$D:$D,$D905,куб!L:L),IF($C905&lt;&gt;0,SUMIF(куб!$C:$C,$C905,куб!L:L),IF($B905&lt;&gt;0,SUMIF(куб!$B:$B,$B905,куб!L:L))))))</f>
        <v>0</v>
      </c>
      <c r="U905" s="27" t="b">
        <f>IF($G905&lt;&gt;0,SUMIF(куб!$G:$G,$G905,куб!M:M),IF($E905&lt;&gt;0,SUMIF(куб!$E:$E,$E905,куб!M:M),IF($D905&lt;&gt;0,SUMIF(куб!$D:$D,$D905,куб!M:M),IF($C905&lt;&gt;0,SUMIF(куб!$C:$C,$C905,куб!M:M),IF($B905&lt;&gt;0,SUMIF(куб!$B:$B,$B905,куб!M:M))))))</f>
        <v>0</v>
      </c>
      <c r="V905" s="13" t="str">
        <f t="shared" si="296"/>
        <v>-</v>
      </c>
      <c r="W905" s="5"/>
      <c r="X905" s="27" t="b">
        <f>IF($G905&lt;&gt;0,SUMIF(куб!$G:$G,$G905,куб!N:N),IF($E905&lt;&gt;0,SUMIF(куб!$E:$E,$E905,куб!N:N),IF($D905&lt;&gt;0,SUMIF(куб!$D:$D,$D905,куб!N:N),IF($C905&lt;&gt;0,SUMIF(куб!$C:$C,$C905,куб!N:N),IF($B905&lt;&gt;0,SUMIF(куб!$B:$B,$B905,куб!N:N))))))</f>
        <v>0</v>
      </c>
      <c r="Y905" s="27" t="b">
        <f>IF($G905&lt;&gt;0,SUMIF(куб!$G:$G,$G905,куб!O:O),IF($E905&lt;&gt;0,SUMIF(куб!$E:$E,$E905,куб!O:O),IF($D905&lt;&gt;0,SUMIF(куб!$D:$D,$D905,куб!O:O),IF($C905&lt;&gt;0,SUMIF(куб!$C:$C,$C905,куб!O:O),IF($B905&lt;&gt;0,SUMIF(куб!$B:$B,$B905,куб!O:O))))))</f>
        <v>0</v>
      </c>
      <c r="Z905" s="13" t="str">
        <f t="shared" si="297"/>
        <v>-</v>
      </c>
      <c r="AA905" s="5"/>
      <c r="AB905" s="33" t="str">
        <f t="shared" si="298"/>
        <v/>
      </c>
      <c r="AC905" s="33" t="str">
        <f t="shared" si="299"/>
        <v/>
      </c>
      <c r="AD905" s="15" t="str">
        <f t="shared" si="300"/>
        <v xml:space="preserve"> </v>
      </c>
      <c r="AE905" s="5"/>
      <c r="AF905" s="27" t="b">
        <f>IF($G905&lt;&gt;0,SUMIF(куб!$G:$G,$G905,куб!R:R),IF($E905&lt;&gt;0,SUMIF(куб!$E:$E,$E905,куб!R:R),IF($D905&lt;&gt;0,SUMIF(куб!$D:$D,$D905,куб!R:R),IF($C905&lt;&gt;0,SUMIF(куб!$C:$C,$C905,куб!R:R),IF($B905&lt;&gt;0,SUMIF(куб!$B:$B,$B905,куб!R:R))))))</f>
        <v>0</v>
      </c>
      <c r="AG905" s="27" t="b">
        <f>IF($G905&lt;&gt;0,SUMIF(куб!$G:$G,$G905,куб!S:S),IF($E905&lt;&gt;0,SUMIF(куб!$E:$E,$E905,куб!S:S),IF($D905&lt;&gt;0,SUMIF(куб!$D:$D,$D905,куб!S:S),IF($C905&lt;&gt;0,SUMIF(куб!$C:$C,$C905,куб!S:S),IF($B905&lt;&gt;0,SUMIF(куб!$B:$B,$B905,куб!S:S))))))</f>
        <v>0</v>
      </c>
      <c r="AH905" s="16" t="str">
        <f t="shared" si="301"/>
        <v>-</v>
      </c>
      <c r="AI905" s="8"/>
      <c r="AJ905" s="27" t="b">
        <f>IF($G905&lt;&gt;0,SUMIF(куб!$G:$G,$G905,куб!T:T),IF($E905&lt;&gt;0,SUMIF(куб!$E:$E,$E905,куб!T:T),IF($D905&lt;&gt;0,SUMIF(куб!$D:$D,$D905,куб!T:T),IF($C905&lt;&gt;0,SUMIF(куб!$C:$C,$C905,куб!T:T),IF($B905&lt;&gt;0,SUMIF(куб!$B:$B,$B905,куб!T:T))))))</f>
        <v>0</v>
      </c>
      <c r="AK905" s="27" t="b">
        <f>IF($G905&lt;&gt;0,SUMIF(куб!$G:$G,$G905,куб!U:U),IF($E905&lt;&gt;0,SUMIF(куб!$E:$E,$E905,куб!U:U),IF($D905&lt;&gt;0,SUMIF(куб!$D:$D,$D905,куб!U:U),IF($C905&lt;&gt;0,SUMIF(куб!$C:$C,$C905,куб!U:U),IF($B905&lt;&gt;0,SUMIF(куб!$B:$B,$B905,куб!U:U))))))</f>
        <v>0</v>
      </c>
      <c r="AL905" s="16" t="str">
        <f t="shared" si="302"/>
        <v>-</v>
      </c>
      <c r="AM905" s="8"/>
      <c r="AN905" s="17" t="str">
        <f t="shared" si="303"/>
        <v xml:space="preserve"> </v>
      </c>
      <c r="AO905" s="17" t="str">
        <f t="shared" si="304"/>
        <v xml:space="preserve"> </v>
      </c>
      <c r="AP905" s="16" t="str">
        <f t="shared" si="305"/>
        <v>-</v>
      </c>
      <c r="AQ905" s="8"/>
      <c r="AR905" s="17" t="str">
        <f t="shared" si="306"/>
        <v>-</v>
      </c>
      <c r="AS905" s="17" t="str">
        <f t="shared" si="307"/>
        <v>-</v>
      </c>
      <c r="AT905" s="13" t="str">
        <f t="shared" si="308"/>
        <v>-</v>
      </c>
      <c r="AU905" s="8"/>
    </row>
    <row r="906" spans="1:47" x14ac:dyDescent="0.25">
      <c r="A906" s="31"/>
      <c r="B906" s="31"/>
      <c r="C906"/>
      <c r="D906" s="31"/>
      <c r="E906"/>
      <c r="F906" s="31"/>
      <c r="G906"/>
      <c r="H906" s="27">
        <f>IF($G906&lt;&gt;0,SUMIF(куб!$G:$G,$G906,куб!H:H),IF($E906&lt;&gt;0,SUMIF(куб!$E:$E,$E906,куб!H:H),IF($D906&lt;&gt;0,SUMIF(куб!$D:$D,$D906,куб!H:H),IF($C906&lt;&gt;0,SUMIF(куб!$C:$C,$C906,куб!H:H),IF($B906&lt;&gt;0,SUMIF(куб!$B:$B,$B906,куб!H:H),IF($G906&lt;&gt;0,SUMIF(куб!$A:$A,$G906,куб!H:H),SUMIF(куб!$A:$A,$G906,куб!H:H)))))))</f>
        <v>0</v>
      </c>
      <c r="I906" s="27">
        <f>IF($G906&lt;&gt;0,SUMIF(куб!$G:$G,$G906,куб!I:I),IF($E906&lt;&gt;0,SUMIF(куб!$E:$E,$E906,куб!I:I),IF($D906&lt;&gt;0,SUMIF(куб!$D:$D,$D906,куб!I:I),IF($C906&lt;&gt;0,SUMIF(куб!$C:$C,$C906,куб!I:I),IF($B906&lt;&gt;0,SUMIF(куб!$B:$B,$B906,куб!I:I),IF($G906&lt;&gt;0,SUMIF(куб!$A:$A,$G906,куб!I:I),SUMIF(куб!$A:$A,$G906,куб!I:I)))))))</f>
        <v>0</v>
      </c>
      <c r="J906" s="19" t="str">
        <f t="shared" si="291"/>
        <v>-</v>
      </c>
      <c r="K906" s="8"/>
      <c r="L906" s="17">
        <f t="shared" si="292"/>
        <v>0</v>
      </c>
      <c r="M906" s="17">
        <f t="shared" si="293"/>
        <v>0</v>
      </c>
      <c r="N906" s="12">
        <f t="shared" si="294"/>
        <v>0</v>
      </c>
      <c r="O906" s="5"/>
      <c r="P906" s="27" t="b">
        <f>IF($G906&lt;&gt;0,SUMIF(куб!$G:$G,$G906,куб!J:J),IF($E906&lt;&gt;0,SUMIF(куб!$E:$E,$E906,куб!J:J),IF($D906&lt;&gt;0,SUMIF(куб!$D:$D,$D906,куб!J:J),IF($C906&lt;&gt;0,SUMIF(куб!$C:$C,$C906,куб!J:J),IF($B906&lt;&gt;0,SUMIF(куб!$B:$B,$B906,куб!J:J))))))</f>
        <v>0</v>
      </c>
      <c r="Q906" s="27" t="b">
        <f>IF($G906&lt;&gt;0,SUMIF(куб!$G:$G,$G906,куб!K:K),IF($E906&lt;&gt;0,SUMIF(куб!$E:$E,$E906,куб!K:K),IF($D906&lt;&gt;0,SUMIF(куб!$D:$D,$D906,куб!K:K),IF($C906&lt;&gt;0,SUMIF(куб!$C:$C,$C906,куб!K:K),IF($B906&lt;&gt;0,SUMIF(куб!$B:$B,$B906,куб!K:K))))))</f>
        <v>0</v>
      </c>
      <c r="R906" s="13" t="str">
        <f t="shared" si="295"/>
        <v>-</v>
      </c>
      <c r="S906" s="5"/>
      <c r="T906" s="27" t="b">
        <f>IF($G906&lt;&gt;0,SUMIF(куб!$G:$G,$G906,куб!L:L),IF($E906&lt;&gt;0,SUMIF(куб!$E:$E,$E906,куб!L:L),IF($D906&lt;&gt;0,SUMIF(куб!$D:$D,$D906,куб!L:L),IF($C906&lt;&gt;0,SUMIF(куб!$C:$C,$C906,куб!L:L),IF($B906&lt;&gt;0,SUMIF(куб!$B:$B,$B906,куб!L:L))))))</f>
        <v>0</v>
      </c>
      <c r="U906" s="27" t="b">
        <f>IF($G906&lt;&gt;0,SUMIF(куб!$G:$G,$G906,куб!M:M),IF($E906&lt;&gt;0,SUMIF(куб!$E:$E,$E906,куб!M:M),IF($D906&lt;&gt;0,SUMIF(куб!$D:$D,$D906,куб!M:M),IF($C906&lt;&gt;0,SUMIF(куб!$C:$C,$C906,куб!M:M),IF($B906&lt;&gt;0,SUMIF(куб!$B:$B,$B906,куб!M:M))))))</f>
        <v>0</v>
      </c>
      <c r="V906" s="13" t="str">
        <f t="shared" si="296"/>
        <v>-</v>
      </c>
      <c r="W906" s="5"/>
      <c r="X906" s="27" t="b">
        <f>IF($G906&lt;&gt;0,SUMIF(куб!$G:$G,$G906,куб!N:N),IF($E906&lt;&gt;0,SUMIF(куб!$E:$E,$E906,куб!N:N),IF($D906&lt;&gt;0,SUMIF(куб!$D:$D,$D906,куб!N:N),IF($C906&lt;&gt;0,SUMIF(куб!$C:$C,$C906,куб!N:N),IF($B906&lt;&gt;0,SUMIF(куб!$B:$B,$B906,куб!N:N))))))</f>
        <v>0</v>
      </c>
      <c r="Y906" s="27" t="b">
        <f>IF($G906&lt;&gt;0,SUMIF(куб!$G:$G,$G906,куб!O:O),IF($E906&lt;&gt;0,SUMIF(куб!$E:$E,$E906,куб!O:O),IF($D906&lt;&gt;0,SUMIF(куб!$D:$D,$D906,куб!O:O),IF($C906&lt;&gt;0,SUMIF(куб!$C:$C,$C906,куб!O:O),IF($B906&lt;&gt;0,SUMIF(куб!$B:$B,$B906,куб!O:O))))))</f>
        <v>0</v>
      </c>
      <c r="Z906" s="13" t="str">
        <f t="shared" si="297"/>
        <v>-</v>
      </c>
      <c r="AA906" s="5"/>
      <c r="AB906" s="33" t="str">
        <f t="shared" si="298"/>
        <v/>
      </c>
      <c r="AC906" s="33" t="str">
        <f t="shared" si="299"/>
        <v/>
      </c>
      <c r="AD906" s="15" t="str">
        <f t="shared" si="300"/>
        <v xml:space="preserve"> </v>
      </c>
      <c r="AE906" s="5"/>
      <c r="AF906" s="27" t="b">
        <f>IF($G906&lt;&gt;0,SUMIF(куб!$G:$G,$G906,куб!R:R),IF($E906&lt;&gt;0,SUMIF(куб!$E:$E,$E906,куб!R:R),IF($D906&lt;&gt;0,SUMIF(куб!$D:$D,$D906,куб!R:R),IF($C906&lt;&gt;0,SUMIF(куб!$C:$C,$C906,куб!R:R),IF($B906&lt;&gt;0,SUMIF(куб!$B:$B,$B906,куб!R:R))))))</f>
        <v>0</v>
      </c>
      <c r="AG906" s="27" t="b">
        <f>IF($G906&lt;&gt;0,SUMIF(куб!$G:$G,$G906,куб!S:S),IF($E906&lt;&gt;0,SUMIF(куб!$E:$E,$E906,куб!S:S),IF($D906&lt;&gt;0,SUMIF(куб!$D:$D,$D906,куб!S:S),IF($C906&lt;&gt;0,SUMIF(куб!$C:$C,$C906,куб!S:S),IF($B906&lt;&gt;0,SUMIF(куб!$B:$B,$B906,куб!S:S))))))</f>
        <v>0</v>
      </c>
      <c r="AH906" s="16" t="str">
        <f t="shared" si="301"/>
        <v>-</v>
      </c>
      <c r="AI906" s="8"/>
      <c r="AJ906" s="27" t="b">
        <f>IF($G906&lt;&gt;0,SUMIF(куб!$G:$G,$G906,куб!T:T),IF($E906&lt;&gt;0,SUMIF(куб!$E:$E,$E906,куб!T:T),IF($D906&lt;&gt;0,SUMIF(куб!$D:$D,$D906,куб!T:T),IF($C906&lt;&gt;0,SUMIF(куб!$C:$C,$C906,куб!T:T),IF($B906&lt;&gt;0,SUMIF(куб!$B:$B,$B906,куб!T:T))))))</f>
        <v>0</v>
      </c>
      <c r="AK906" s="27" t="b">
        <f>IF($G906&lt;&gt;0,SUMIF(куб!$G:$G,$G906,куб!U:U),IF($E906&lt;&gt;0,SUMIF(куб!$E:$E,$E906,куб!U:U),IF($D906&lt;&gt;0,SUMIF(куб!$D:$D,$D906,куб!U:U),IF($C906&lt;&gt;0,SUMIF(куб!$C:$C,$C906,куб!U:U),IF($B906&lt;&gt;0,SUMIF(куб!$B:$B,$B906,куб!U:U))))))</f>
        <v>0</v>
      </c>
      <c r="AL906" s="16" t="str">
        <f t="shared" si="302"/>
        <v>-</v>
      </c>
      <c r="AM906" s="8"/>
      <c r="AN906" s="17" t="str">
        <f t="shared" si="303"/>
        <v xml:space="preserve"> </v>
      </c>
      <c r="AO906" s="17" t="str">
        <f t="shared" si="304"/>
        <v xml:space="preserve"> </v>
      </c>
      <c r="AP906" s="16" t="str">
        <f t="shared" si="305"/>
        <v>-</v>
      </c>
      <c r="AQ906" s="8"/>
      <c r="AR906" s="17" t="str">
        <f t="shared" si="306"/>
        <v>-</v>
      </c>
      <c r="AS906" s="17" t="str">
        <f t="shared" si="307"/>
        <v>-</v>
      </c>
      <c r="AT906" s="13" t="str">
        <f t="shared" si="308"/>
        <v>-</v>
      </c>
      <c r="AU906" s="8"/>
    </row>
    <row r="907" spans="1:47" x14ac:dyDescent="0.25">
      <c r="A907" s="31"/>
      <c r="B907" s="31"/>
      <c r="C907"/>
      <c r="D907" s="31"/>
      <c r="E907"/>
      <c r="F907"/>
      <c r="G907"/>
      <c r="H907" s="27">
        <f>IF($G907&lt;&gt;0,SUMIF(куб!$G:$G,$G907,куб!H:H),IF($E907&lt;&gt;0,SUMIF(куб!$E:$E,$E907,куб!H:H),IF($D907&lt;&gt;0,SUMIF(куб!$D:$D,$D907,куб!H:H),IF($C907&lt;&gt;0,SUMIF(куб!$C:$C,$C907,куб!H:H),IF($B907&lt;&gt;0,SUMIF(куб!$B:$B,$B907,куб!H:H),IF($G907&lt;&gt;0,SUMIF(куб!$A:$A,$G907,куб!H:H),SUMIF(куб!$A:$A,$G907,куб!H:H)))))))</f>
        <v>0</v>
      </c>
      <c r="I907" s="27">
        <f>IF($G907&lt;&gt;0,SUMIF(куб!$G:$G,$G907,куб!I:I),IF($E907&lt;&gt;0,SUMIF(куб!$E:$E,$E907,куб!I:I),IF($D907&lt;&gt;0,SUMIF(куб!$D:$D,$D907,куб!I:I),IF($C907&lt;&gt;0,SUMIF(куб!$C:$C,$C907,куб!I:I),IF($B907&lt;&gt;0,SUMIF(куб!$B:$B,$B907,куб!I:I),IF($G907&lt;&gt;0,SUMIF(куб!$A:$A,$G907,куб!I:I),SUMIF(куб!$A:$A,$G907,куб!I:I)))))))</f>
        <v>0</v>
      </c>
      <c r="J907" s="19" t="str">
        <f t="shared" si="291"/>
        <v>-</v>
      </c>
      <c r="K907" s="8"/>
      <c r="L907" s="17">
        <f t="shared" si="292"/>
        <v>0</v>
      </c>
      <c r="M907" s="17">
        <f t="shared" si="293"/>
        <v>0</v>
      </c>
      <c r="N907" s="12">
        <f t="shared" si="294"/>
        <v>0</v>
      </c>
      <c r="O907" s="5"/>
      <c r="P907" s="27" t="b">
        <f>IF($G907&lt;&gt;0,SUMIF(куб!$G:$G,$G907,куб!J:J),IF($E907&lt;&gt;0,SUMIF(куб!$E:$E,$E907,куб!J:J),IF($D907&lt;&gt;0,SUMIF(куб!$D:$D,$D907,куб!J:J),IF($C907&lt;&gt;0,SUMIF(куб!$C:$C,$C907,куб!J:J),IF($B907&lt;&gt;0,SUMIF(куб!$B:$B,$B907,куб!J:J))))))</f>
        <v>0</v>
      </c>
      <c r="Q907" s="27" t="b">
        <f>IF($G907&lt;&gt;0,SUMIF(куб!$G:$G,$G907,куб!K:K),IF($E907&lt;&gt;0,SUMIF(куб!$E:$E,$E907,куб!K:K),IF($D907&lt;&gt;0,SUMIF(куб!$D:$D,$D907,куб!K:K),IF($C907&lt;&gt;0,SUMIF(куб!$C:$C,$C907,куб!K:K),IF($B907&lt;&gt;0,SUMIF(куб!$B:$B,$B907,куб!K:K))))))</f>
        <v>0</v>
      </c>
      <c r="R907" s="13" t="str">
        <f t="shared" si="295"/>
        <v>-</v>
      </c>
      <c r="S907" s="5"/>
      <c r="T907" s="27" t="b">
        <f>IF($G907&lt;&gt;0,SUMIF(куб!$G:$G,$G907,куб!L:L),IF($E907&lt;&gt;0,SUMIF(куб!$E:$E,$E907,куб!L:L),IF($D907&lt;&gt;0,SUMIF(куб!$D:$D,$D907,куб!L:L),IF($C907&lt;&gt;0,SUMIF(куб!$C:$C,$C907,куб!L:L),IF($B907&lt;&gt;0,SUMIF(куб!$B:$B,$B907,куб!L:L))))))</f>
        <v>0</v>
      </c>
      <c r="U907" s="27" t="b">
        <f>IF($G907&lt;&gt;0,SUMIF(куб!$G:$G,$G907,куб!M:M),IF($E907&lt;&gt;0,SUMIF(куб!$E:$E,$E907,куб!M:M),IF($D907&lt;&gt;0,SUMIF(куб!$D:$D,$D907,куб!M:M),IF($C907&lt;&gt;0,SUMIF(куб!$C:$C,$C907,куб!M:M),IF($B907&lt;&gt;0,SUMIF(куб!$B:$B,$B907,куб!M:M))))))</f>
        <v>0</v>
      </c>
      <c r="V907" s="13" t="str">
        <f t="shared" si="296"/>
        <v>-</v>
      </c>
      <c r="W907" s="5"/>
      <c r="X907" s="27" t="b">
        <f>IF($G907&lt;&gt;0,SUMIF(куб!$G:$G,$G907,куб!N:N),IF($E907&lt;&gt;0,SUMIF(куб!$E:$E,$E907,куб!N:N),IF($D907&lt;&gt;0,SUMIF(куб!$D:$D,$D907,куб!N:N),IF($C907&lt;&gt;0,SUMIF(куб!$C:$C,$C907,куб!N:N),IF($B907&lt;&gt;0,SUMIF(куб!$B:$B,$B907,куб!N:N))))))</f>
        <v>0</v>
      </c>
      <c r="Y907" s="27" t="b">
        <f>IF($G907&lt;&gt;0,SUMIF(куб!$G:$G,$G907,куб!O:O),IF($E907&lt;&gt;0,SUMIF(куб!$E:$E,$E907,куб!O:O),IF($D907&lt;&gt;0,SUMIF(куб!$D:$D,$D907,куб!O:O),IF($C907&lt;&gt;0,SUMIF(куб!$C:$C,$C907,куб!O:O),IF($B907&lt;&gt;0,SUMIF(куб!$B:$B,$B907,куб!O:O))))))</f>
        <v>0</v>
      </c>
      <c r="Z907" s="13" t="str">
        <f t="shared" si="297"/>
        <v>-</v>
      </c>
      <c r="AA907" s="5"/>
      <c r="AB907" s="33" t="str">
        <f t="shared" si="298"/>
        <v/>
      </c>
      <c r="AC907" s="33" t="str">
        <f t="shared" si="299"/>
        <v/>
      </c>
      <c r="AD907" s="15" t="str">
        <f t="shared" si="300"/>
        <v xml:space="preserve"> </v>
      </c>
      <c r="AE907" s="5"/>
      <c r="AF907" s="27" t="b">
        <f>IF($G907&lt;&gt;0,SUMIF(куб!$G:$G,$G907,куб!R:R),IF($E907&lt;&gt;0,SUMIF(куб!$E:$E,$E907,куб!R:R),IF($D907&lt;&gt;0,SUMIF(куб!$D:$D,$D907,куб!R:R),IF($C907&lt;&gt;0,SUMIF(куб!$C:$C,$C907,куб!R:R),IF($B907&lt;&gt;0,SUMIF(куб!$B:$B,$B907,куб!R:R))))))</f>
        <v>0</v>
      </c>
      <c r="AG907" s="27" t="b">
        <f>IF($G907&lt;&gt;0,SUMIF(куб!$G:$G,$G907,куб!S:S),IF($E907&lt;&gt;0,SUMIF(куб!$E:$E,$E907,куб!S:S),IF($D907&lt;&gt;0,SUMIF(куб!$D:$D,$D907,куб!S:S),IF($C907&lt;&gt;0,SUMIF(куб!$C:$C,$C907,куб!S:S),IF($B907&lt;&gt;0,SUMIF(куб!$B:$B,$B907,куб!S:S))))))</f>
        <v>0</v>
      </c>
      <c r="AH907" s="16" t="str">
        <f t="shared" si="301"/>
        <v>-</v>
      </c>
      <c r="AI907" s="8"/>
      <c r="AJ907" s="27" t="b">
        <f>IF($G907&lt;&gt;0,SUMIF(куб!$G:$G,$G907,куб!T:T),IF($E907&lt;&gt;0,SUMIF(куб!$E:$E,$E907,куб!T:T),IF($D907&lt;&gt;0,SUMIF(куб!$D:$D,$D907,куб!T:T),IF($C907&lt;&gt;0,SUMIF(куб!$C:$C,$C907,куб!T:T),IF($B907&lt;&gt;0,SUMIF(куб!$B:$B,$B907,куб!T:T))))))</f>
        <v>0</v>
      </c>
      <c r="AK907" s="27" t="b">
        <f>IF($G907&lt;&gt;0,SUMIF(куб!$G:$G,$G907,куб!U:U),IF($E907&lt;&gt;0,SUMIF(куб!$E:$E,$E907,куб!U:U),IF($D907&lt;&gt;0,SUMIF(куб!$D:$D,$D907,куб!U:U),IF($C907&lt;&gt;0,SUMIF(куб!$C:$C,$C907,куб!U:U),IF($B907&lt;&gt;0,SUMIF(куб!$B:$B,$B907,куб!U:U))))))</f>
        <v>0</v>
      </c>
      <c r="AL907" s="16" t="str">
        <f t="shared" si="302"/>
        <v>-</v>
      </c>
      <c r="AM907" s="8"/>
      <c r="AN907" s="17" t="str">
        <f t="shared" si="303"/>
        <v xml:space="preserve"> </v>
      </c>
      <c r="AO907" s="17" t="str">
        <f t="shared" si="304"/>
        <v xml:space="preserve"> </v>
      </c>
      <c r="AP907" s="16" t="str">
        <f t="shared" si="305"/>
        <v>-</v>
      </c>
      <c r="AQ907" s="8"/>
      <c r="AR907" s="17" t="str">
        <f t="shared" si="306"/>
        <v>-</v>
      </c>
      <c r="AS907" s="17" t="str">
        <f t="shared" si="307"/>
        <v>-</v>
      </c>
      <c r="AT907" s="13" t="str">
        <f t="shared" si="308"/>
        <v>-</v>
      </c>
      <c r="AU907" s="8"/>
    </row>
    <row r="908" spans="1:47" x14ac:dyDescent="0.25">
      <c r="A908" s="31"/>
      <c r="B908" s="31"/>
      <c r="C908"/>
      <c r="D908" s="31"/>
      <c r="E908" s="31"/>
      <c r="F908" s="31"/>
      <c r="G908" s="31"/>
      <c r="H908" s="27">
        <f>IF($G908&lt;&gt;0,SUMIF(куб!$G:$G,$G908,куб!H:H),IF($E908&lt;&gt;0,SUMIF(куб!$E:$E,$E908,куб!H:H),IF($D908&lt;&gt;0,SUMIF(куб!$D:$D,$D908,куб!H:H),IF($C908&lt;&gt;0,SUMIF(куб!$C:$C,$C908,куб!H:H),IF($B908&lt;&gt;0,SUMIF(куб!$B:$B,$B908,куб!H:H),IF($G908&lt;&gt;0,SUMIF(куб!$A:$A,$G908,куб!H:H),SUMIF(куб!$A:$A,$G908,куб!H:H)))))))</f>
        <v>0</v>
      </c>
      <c r="I908" s="27">
        <f>IF($G908&lt;&gt;0,SUMIF(куб!$G:$G,$G908,куб!I:I),IF($E908&lt;&gt;0,SUMIF(куб!$E:$E,$E908,куб!I:I),IF($D908&lt;&gt;0,SUMIF(куб!$D:$D,$D908,куб!I:I),IF($C908&lt;&gt;0,SUMIF(куб!$C:$C,$C908,куб!I:I),IF($B908&lt;&gt;0,SUMIF(куб!$B:$B,$B908,куб!I:I),IF($G908&lt;&gt;0,SUMIF(куб!$A:$A,$G908,куб!I:I),SUMIF(куб!$A:$A,$G908,куб!I:I)))))))</f>
        <v>0</v>
      </c>
      <c r="J908" s="19" t="str">
        <f t="shared" si="291"/>
        <v>-</v>
      </c>
      <c r="K908" s="8"/>
      <c r="L908" s="17">
        <f t="shared" si="292"/>
        <v>0</v>
      </c>
      <c r="M908" s="17">
        <f t="shared" si="293"/>
        <v>0</v>
      </c>
      <c r="N908" s="12">
        <f t="shared" si="294"/>
        <v>0</v>
      </c>
      <c r="O908" s="5"/>
      <c r="P908" s="27" t="b">
        <f>IF($G908&lt;&gt;0,SUMIF(куб!$G:$G,$G908,куб!J:J),IF($E908&lt;&gt;0,SUMIF(куб!$E:$E,$E908,куб!J:J),IF($D908&lt;&gt;0,SUMIF(куб!$D:$D,$D908,куб!J:J),IF($C908&lt;&gt;0,SUMIF(куб!$C:$C,$C908,куб!J:J),IF($B908&lt;&gt;0,SUMIF(куб!$B:$B,$B908,куб!J:J))))))</f>
        <v>0</v>
      </c>
      <c r="Q908" s="27" t="b">
        <f>IF($G908&lt;&gt;0,SUMIF(куб!$G:$G,$G908,куб!K:K),IF($E908&lt;&gt;0,SUMIF(куб!$E:$E,$E908,куб!K:K),IF($D908&lt;&gt;0,SUMIF(куб!$D:$D,$D908,куб!K:K),IF($C908&lt;&gt;0,SUMIF(куб!$C:$C,$C908,куб!K:K),IF($B908&lt;&gt;0,SUMIF(куб!$B:$B,$B908,куб!K:K))))))</f>
        <v>0</v>
      </c>
      <c r="R908" s="13" t="str">
        <f t="shared" si="295"/>
        <v>-</v>
      </c>
      <c r="S908" s="5"/>
      <c r="T908" s="27" t="b">
        <f>IF($G908&lt;&gt;0,SUMIF(куб!$G:$G,$G908,куб!L:L),IF($E908&lt;&gt;0,SUMIF(куб!$E:$E,$E908,куб!L:L),IF($D908&lt;&gt;0,SUMIF(куб!$D:$D,$D908,куб!L:L),IF($C908&lt;&gt;0,SUMIF(куб!$C:$C,$C908,куб!L:L),IF($B908&lt;&gt;0,SUMIF(куб!$B:$B,$B908,куб!L:L))))))</f>
        <v>0</v>
      </c>
      <c r="U908" s="27" t="b">
        <f>IF($G908&lt;&gt;0,SUMIF(куб!$G:$G,$G908,куб!M:M),IF($E908&lt;&gt;0,SUMIF(куб!$E:$E,$E908,куб!M:M),IF($D908&lt;&gt;0,SUMIF(куб!$D:$D,$D908,куб!M:M),IF($C908&lt;&gt;0,SUMIF(куб!$C:$C,$C908,куб!M:M),IF($B908&lt;&gt;0,SUMIF(куб!$B:$B,$B908,куб!M:M))))))</f>
        <v>0</v>
      </c>
      <c r="V908" s="13" t="str">
        <f t="shared" si="296"/>
        <v>-</v>
      </c>
      <c r="W908" s="5"/>
      <c r="X908" s="27" t="b">
        <f>IF($G908&lt;&gt;0,SUMIF(куб!$G:$G,$G908,куб!N:N),IF($E908&lt;&gt;0,SUMIF(куб!$E:$E,$E908,куб!N:N),IF($D908&lt;&gt;0,SUMIF(куб!$D:$D,$D908,куб!N:N),IF($C908&lt;&gt;0,SUMIF(куб!$C:$C,$C908,куб!N:N),IF($B908&lt;&gt;0,SUMIF(куб!$B:$B,$B908,куб!N:N))))))</f>
        <v>0</v>
      </c>
      <c r="Y908" s="27" t="b">
        <f>IF($G908&lt;&gt;0,SUMIF(куб!$G:$G,$G908,куб!O:O),IF($E908&lt;&gt;0,SUMIF(куб!$E:$E,$E908,куб!O:O),IF($D908&lt;&gt;0,SUMIF(куб!$D:$D,$D908,куб!O:O),IF($C908&lt;&gt;0,SUMIF(куб!$C:$C,$C908,куб!O:O),IF($B908&lt;&gt;0,SUMIF(куб!$B:$B,$B908,куб!O:O))))))</f>
        <v>0</v>
      </c>
      <c r="Z908" s="13" t="str">
        <f t="shared" si="297"/>
        <v>-</v>
      </c>
      <c r="AA908" s="5"/>
      <c r="AB908" s="33" t="str">
        <f t="shared" si="298"/>
        <v/>
      </c>
      <c r="AC908" s="33" t="str">
        <f t="shared" si="299"/>
        <v/>
      </c>
      <c r="AD908" s="15" t="str">
        <f t="shared" si="300"/>
        <v xml:space="preserve"> </v>
      </c>
      <c r="AE908" s="5"/>
      <c r="AF908" s="27" t="b">
        <f>IF($G908&lt;&gt;0,SUMIF(куб!$G:$G,$G908,куб!R:R),IF($E908&lt;&gt;0,SUMIF(куб!$E:$E,$E908,куб!R:R),IF($D908&lt;&gt;0,SUMIF(куб!$D:$D,$D908,куб!R:R),IF($C908&lt;&gt;0,SUMIF(куб!$C:$C,$C908,куб!R:R),IF($B908&lt;&gt;0,SUMIF(куб!$B:$B,$B908,куб!R:R))))))</f>
        <v>0</v>
      </c>
      <c r="AG908" s="27" t="b">
        <f>IF($G908&lt;&gt;0,SUMIF(куб!$G:$G,$G908,куб!S:S),IF($E908&lt;&gt;0,SUMIF(куб!$E:$E,$E908,куб!S:S),IF($D908&lt;&gt;0,SUMIF(куб!$D:$D,$D908,куб!S:S),IF($C908&lt;&gt;0,SUMIF(куб!$C:$C,$C908,куб!S:S),IF($B908&lt;&gt;0,SUMIF(куб!$B:$B,$B908,куб!S:S))))))</f>
        <v>0</v>
      </c>
      <c r="AH908" s="16" t="str">
        <f t="shared" si="301"/>
        <v>-</v>
      </c>
      <c r="AI908" s="8"/>
      <c r="AJ908" s="27" t="b">
        <f>IF($G908&lt;&gt;0,SUMIF(куб!$G:$G,$G908,куб!T:T),IF($E908&lt;&gt;0,SUMIF(куб!$E:$E,$E908,куб!T:T),IF($D908&lt;&gt;0,SUMIF(куб!$D:$D,$D908,куб!T:T),IF($C908&lt;&gt;0,SUMIF(куб!$C:$C,$C908,куб!T:T),IF($B908&lt;&gt;0,SUMIF(куб!$B:$B,$B908,куб!T:T))))))</f>
        <v>0</v>
      </c>
      <c r="AK908" s="27" t="b">
        <f>IF($G908&lt;&gt;0,SUMIF(куб!$G:$G,$G908,куб!U:U),IF($E908&lt;&gt;0,SUMIF(куб!$E:$E,$E908,куб!U:U),IF($D908&lt;&gt;0,SUMIF(куб!$D:$D,$D908,куб!U:U),IF($C908&lt;&gt;0,SUMIF(куб!$C:$C,$C908,куб!U:U),IF($B908&lt;&gt;0,SUMIF(куб!$B:$B,$B908,куб!U:U))))))</f>
        <v>0</v>
      </c>
      <c r="AL908" s="16" t="str">
        <f t="shared" si="302"/>
        <v>-</v>
      </c>
      <c r="AM908" s="8"/>
      <c r="AN908" s="17" t="str">
        <f t="shared" si="303"/>
        <v xml:space="preserve"> </v>
      </c>
      <c r="AO908" s="17" t="str">
        <f t="shared" si="304"/>
        <v xml:space="preserve"> </v>
      </c>
      <c r="AP908" s="16" t="str">
        <f t="shared" si="305"/>
        <v>-</v>
      </c>
      <c r="AQ908" s="8"/>
      <c r="AR908" s="17" t="str">
        <f t="shared" si="306"/>
        <v>-</v>
      </c>
      <c r="AS908" s="17" t="str">
        <f t="shared" si="307"/>
        <v>-</v>
      </c>
      <c r="AT908" s="13" t="str">
        <f t="shared" si="308"/>
        <v>-</v>
      </c>
      <c r="AU908" s="8"/>
    </row>
    <row r="909" spans="1:47" x14ac:dyDescent="0.25">
      <c r="A909" s="31"/>
      <c r="B909" s="31"/>
      <c r="C909"/>
      <c r="D909" s="31"/>
      <c r="E909"/>
      <c r="F909" s="31"/>
      <c r="G909"/>
      <c r="H909" s="27">
        <f>IF($G909&lt;&gt;0,SUMIF(куб!$G:$G,$G909,куб!H:H),IF($E909&lt;&gt;0,SUMIF(куб!$E:$E,$E909,куб!H:H),IF($D909&lt;&gt;0,SUMIF(куб!$D:$D,$D909,куб!H:H),IF($C909&lt;&gt;0,SUMIF(куб!$C:$C,$C909,куб!H:H),IF($B909&lt;&gt;0,SUMIF(куб!$B:$B,$B909,куб!H:H),IF($G909&lt;&gt;0,SUMIF(куб!$A:$A,$G909,куб!H:H),SUMIF(куб!$A:$A,$G909,куб!H:H)))))))</f>
        <v>0</v>
      </c>
      <c r="I909" s="27">
        <f>IF($G909&lt;&gt;0,SUMIF(куб!$G:$G,$G909,куб!I:I),IF($E909&lt;&gt;0,SUMIF(куб!$E:$E,$E909,куб!I:I),IF($D909&lt;&gt;0,SUMIF(куб!$D:$D,$D909,куб!I:I),IF($C909&lt;&gt;0,SUMIF(куб!$C:$C,$C909,куб!I:I),IF($B909&lt;&gt;0,SUMIF(куб!$B:$B,$B909,куб!I:I),IF($G909&lt;&gt;0,SUMIF(куб!$A:$A,$G909,куб!I:I),SUMIF(куб!$A:$A,$G909,куб!I:I)))))))</f>
        <v>0</v>
      </c>
      <c r="J909" s="19" t="str">
        <f t="shared" si="291"/>
        <v>-</v>
      </c>
      <c r="K909" s="8"/>
      <c r="L909" s="17">
        <f t="shared" si="292"/>
        <v>0</v>
      </c>
      <c r="M909" s="17">
        <f t="shared" si="293"/>
        <v>0</v>
      </c>
      <c r="N909" s="12">
        <f t="shared" si="294"/>
        <v>0</v>
      </c>
      <c r="O909" s="5"/>
      <c r="P909" s="27" t="b">
        <f>IF($G909&lt;&gt;0,SUMIF(куб!$G:$G,$G909,куб!J:J),IF($E909&lt;&gt;0,SUMIF(куб!$E:$E,$E909,куб!J:J),IF($D909&lt;&gt;0,SUMIF(куб!$D:$D,$D909,куб!J:J),IF($C909&lt;&gt;0,SUMIF(куб!$C:$C,$C909,куб!J:J),IF($B909&lt;&gt;0,SUMIF(куб!$B:$B,$B909,куб!J:J))))))</f>
        <v>0</v>
      </c>
      <c r="Q909" s="27" t="b">
        <f>IF($G909&lt;&gt;0,SUMIF(куб!$G:$G,$G909,куб!K:K),IF($E909&lt;&gt;0,SUMIF(куб!$E:$E,$E909,куб!K:K),IF($D909&lt;&gt;0,SUMIF(куб!$D:$D,$D909,куб!K:K),IF($C909&lt;&gt;0,SUMIF(куб!$C:$C,$C909,куб!K:K),IF($B909&lt;&gt;0,SUMIF(куб!$B:$B,$B909,куб!K:K))))))</f>
        <v>0</v>
      </c>
      <c r="R909" s="13" t="str">
        <f t="shared" si="295"/>
        <v>-</v>
      </c>
      <c r="S909" s="5"/>
      <c r="T909" s="27" t="b">
        <f>IF($G909&lt;&gt;0,SUMIF(куб!$G:$G,$G909,куб!L:L),IF($E909&lt;&gt;0,SUMIF(куб!$E:$E,$E909,куб!L:L),IF($D909&lt;&gt;0,SUMIF(куб!$D:$D,$D909,куб!L:L),IF($C909&lt;&gt;0,SUMIF(куб!$C:$C,$C909,куб!L:L),IF($B909&lt;&gt;0,SUMIF(куб!$B:$B,$B909,куб!L:L))))))</f>
        <v>0</v>
      </c>
      <c r="U909" s="27" t="b">
        <f>IF($G909&lt;&gt;0,SUMIF(куб!$G:$G,$G909,куб!M:M),IF($E909&lt;&gt;0,SUMIF(куб!$E:$E,$E909,куб!M:M),IF($D909&lt;&gt;0,SUMIF(куб!$D:$D,$D909,куб!M:M),IF($C909&lt;&gt;0,SUMIF(куб!$C:$C,$C909,куб!M:M),IF($B909&lt;&gt;0,SUMIF(куб!$B:$B,$B909,куб!M:M))))))</f>
        <v>0</v>
      </c>
      <c r="V909" s="13" t="str">
        <f t="shared" si="296"/>
        <v>-</v>
      </c>
      <c r="W909" s="5"/>
      <c r="X909" s="27" t="b">
        <f>IF($G909&lt;&gt;0,SUMIF(куб!$G:$G,$G909,куб!N:N),IF($E909&lt;&gt;0,SUMIF(куб!$E:$E,$E909,куб!N:N),IF($D909&lt;&gt;0,SUMIF(куб!$D:$D,$D909,куб!N:N),IF($C909&lt;&gt;0,SUMIF(куб!$C:$C,$C909,куб!N:N),IF($B909&lt;&gt;0,SUMIF(куб!$B:$B,$B909,куб!N:N))))))</f>
        <v>0</v>
      </c>
      <c r="Y909" s="27" t="b">
        <f>IF($G909&lt;&gt;0,SUMIF(куб!$G:$G,$G909,куб!O:O),IF($E909&lt;&gt;0,SUMIF(куб!$E:$E,$E909,куб!O:O),IF($D909&lt;&gt;0,SUMIF(куб!$D:$D,$D909,куб!O:O),IF($C909&lt;&gt;0,SUMIF(куб!$C:$C,$C909,куб!O:O),IF($B909&lt;&gt;0,SUMIF(куб!$B:$B,$B909,куб!O:O))))))</f>
        <v>0</v>
      </c>
      <c r="Z909" s="13" t="str">
        <f t="shared" si="297"/>
        <v>-</v>
      </c>
      <c r="AA909" s="5"/>
      <c r="AB909" s="33" t="str">
        <f t="shared" si="298"/>
        <v/>
      </c>
      <c r="AC909" s="33" t="str">
        <f t="shared" si="299"/>
        <v/>
      </c>
      <c r="AD909" s="15" t="str">
        <f t="shared" si="300"/>
        <v xml:space="preserve"> </v>
      </c>
      <c r="AE909" s="5"/>
      <c r="AF909" s="27" t="b">
        <f>IF($G909&lt;&gt;0,SUMIF(куб!$G:$G,$G909,куб!R:R),IF($E909&lt;&gt;0,SUMIF(куб!$E:$E,$E909,куб!R:R),IF($D909&lt;&gt;0,SUMIF(куб!$D:$D,$D909,куб!R:R),IF($C909&lt;&gt;0,SUMIF(куб!$C:$C,$C909,куб!R:R),IF($B909&lt;&gt;0,SUMIF(куб!$B:$B,$B909,куб!R:R))))))</f>
        <v>0</v>
      </c>
      <c r="AG909" s="27" t="b">
        <f>IF($G909&lt;&gt;0,SUMIF(куб!$G:$G,$G909,куб!S:S),IF($E909&lt;&gt;0,SUMIF(куб!$E:$E,$E909,куб!S:S),IF($D909&lt;&gt;0,SUMIF(куб!$D:$D,$D909,куб!S:S),IF($C909&lt;&gt;0,SUMIF(куб!$C:$C,$C909,куб!S:S),IF($B909&lt;&gt;0,SUMIF(куб!$B:$B,$B909,куб!S:S))))))</f>
        <v>0</v>
      </c>
      <c r="AH909" s="16" t="str">
        <f t="shared" si="301"/>
        <v>-</v>
      </c>
      <c r="AI909" s="8"/>
      <c r="AJ909" s="27" t="b">
        <f>IF($G909&lt;&gt;0,SUMIF(куб!$G:$G,$G909,куб!T:T),IF($E909&lt;&gt;0,SUMIF(куб!$E:$E,$E909,куб!T:T),IF($D909&lt;&gt;0,SUMIF(куб!$D:$D,$D909,куб!T:T),IF($C909&lt;&gt;0,SUMIF(куб!$C:$C,$C909,куб!T:T),IF($B909&lt;&gt;0,SUMIF(куб!$B:$B,$B909,куб!T:T))))))</f>
        <v>0</v>
      </c>
      <c r="AK909" s="27" t="b">
        <f>IF($G909&lt;&gt;0,SUMIF(куб!$G:$G,$G909,куб!U:U),IF($E909&lt;&gt;0,SUMIF(куб!$E:$E,$E909,куб!U:U),IF($D909&lt;&gt;0,SUMIF(куб!$D:$D,$D909,куб!U:U),IF($C909&lt;&gt;0,SUMIF(куб!$C:$C,$C909,куб!U:U),IF($B909&lt;&gt;0,SUMIF(куб!$B:$B,$B909,куб!U:U))))))</f>
        <v>0</v>
      </c>
      <c r="AL909" s="16" t="str">
        <f t="shared" si="302"/>
        <v>-</v>
      </c>
      <c r="AM909" s="8"/>
      <c r="AN909" s="17" t="str">
        <f t="shared" si="303"/>
        <v xml:space="preserve"> </v>
      </c>
      <c r="AO909" s="17" t="str">
        <f t="shared" si="304"/>
        <v xml:space="preserve"> </v>
      </c>
      <c r="AP909" s="16" t="str">
        <f t="shared" si="305"/>
        <v>-</v>
      </c>
      <c r="AQ909" s="8"/>
      <c r="AR909" s="17" t="str">
        <f t="shared" si="306"/>
        <v>-</v>
      </c>
      <c r="AS909" s="17" t="str">
        <f t="shared" si="307"/>
        <v>-</v>
      </c>
      <c r="AT909" s="13" t="str">
        <f t="shared" si="308"/>
        <v>-</v>
      </c>
      <c r="AU909" s="8"/>
    </row>
    <row r="910" spans="1:47" x14ac:dyDescent="0.25">
      <c r="A910" s="31"/>
      <c r="B910" s="31"/>
      <c r="C910"/>
      <c r="D910" s="31"/>
      <c r="E910"/>
      <c r="F910" s="31"/>
      <c r="G910"/>
      <c r="H910" s="27">
        <f>IF($G910&lt;&gt;0,SUMIF(куб!$G:$G,$G910,куб!H:H),IF($E910&lt;&gt;0,SUMIF(куб!$E:$E,$E910,куб!H:H),IF($D910&lt;&gt;0,SUMIF(куб!$D:$D,$D910,куб!H:H),IF($C910&lt;&gt;0,SUMIF(куб!$C:$C,$C910,куб!H:H),IF($B910&lt;&gt;0,SUMIF(куб!$B:$B,$B910,куб!H:H),IF($G910&lt;&gt;0,SUMIF(куб!$A:$A,$G910,куб!H:H),SUMIF(куб!$A:$A,$G910,куб!H:H)))))))</f>
        <v>0</v>
      </c>
      <c r="I910" s="27">
        <f>IF($G910&lt;&gt;0,SUMIF(куб!$G:$G,$G910,куб!I:I),IF($E910&lt;&gt;0,SUMIF(куб!$E:$E,$E910,куб!I:I),IF($D910&lt;&gt;0,SUMIF(куб!$D:$D,$D910,куб!I:I),IF($C910&lt;&gt;0,SUMIF(куб!$C:$C,$C910,куб!I:I),IF($B910&lt;&gt;0,SUMIF(куб!$B:$B,$B910,куб!I:I),IF($G910&lt;&gt;0,SUMIF(куб!$A:$A,$G910,куб!I:I),SUMIF(куб!$A:$A,$G910,куб!I:I)))))))</f>
        <v>0</v>
      </c>
      <c r="J910" s="19" t="str">
        <f t="shared" si="291"/>
        <v>-</v>
      </c>
      <c r="K910" s="8"/>
      <c r="L910" s="17">
        <f t="shared" si="292"/>
        <v>0</v>
      </c>
      <c r="M910" s="17">
        <f t="shared" si="293"/>
        <v>0</v>
      </c>
      <c r="N910" s="12">
        <f t="shared" si="294"/>
        <v>0</v>
      </c>
      <c r="O910" s="5"/>
      <c r="P910" s="27" t="b">
        <f>IF($G910&lt;&gt;0,SUMIF(куб!$G:$G,$G910,куб!J:J),IF($E910&lt;&gt;0,SUMIF(куб!$E:$E,$E910,куб!J:J),IF($D910&lt;&gt;0,SUMIF(куб!$D:$D,$D910,куб!J:J),IF($C910&lt;&gt;0,SUMIF(куб!$C:$C,$C910,куб!J:J),IF($B910&lt;&gt;0,SUMIF(куб!$B:$B,$B910,куб!J:J))))))</f>
        <v>0</v>
      </c>
      <c r="Q910" s="27" t="b">
        <f>IF($G910&lt;&gt;0,SUMIF(куб!$G:$G,$G910,куб!K:K),IF($E910&lt;&gt;0,SUMIF(куб!$E:$E,$E910,куб!K:K),IF($D910&lt;&gt;0,SUMIF(куб!$D:$D,$D910,куб!K:K),IF($C910&lt;&gt;0,SUMIF(куб!$C:$C,$C910,куб!K:K),IF($B910&lt;&gt;0,SUMIF(куб!$B:$B,$B910,куб!K:K))))))</f>
        <v>0</v>
      </c>
      <c r="R910" s="13" t="str">
        <f t="shared" si="295"/>
        <v>-</v>
      </c>
      <c r="S910" s="5"/>
      <c r="T910" s="27" t="b">
        <f>IF($G910&lt;&gt;0,SUMIF(куб!$G:$G,$G910,куб!L:L),IF($E910&lt;&gt;0,SUMIF(куб!$E:$E,$E910,куб!L:L),IF($D910&lt;&gt;0,SUMIF(куб!$D:$D,$D910,куб!L:L),IF($C910&lt;&gt;0,SUMIF(куб!$C:$C,$C910,куб!L:L),IF($B910&lt;&gt;0,SUMIF(куб!$B:$B,$B910,куб!L:L))))))</f>
        <v>0</v>
      </c>
      <c r="U910" s="27" t="b">
        <f>IF($G910&lt;&gt;0,SUMIF(куб!$G:$G,$G910,куб!M:M),IF($E910&lt;&gt;0,SUMIF(куб!$E:$E,$E910,куб!M:M),IF($D910&lt;&gt;0,SUMIF(куб!$D:$D,$D910,куб!M:M),IF($C910&lt;&gt;0,SUMIF(куб!$C:$C,$C910,куб!M:M),IF($B910&lt;&gt;0,SUMIF(куб!$B:$B,$B910,куб!M:M))))))</f>
        <v>0</v>
      </c>
      <c r="V910" s="13" t="str">
        <f t="shared" si="296"/>
        <v>-</v>
      </c>
      <c r="W910" s="5"/>
      <c r="X910" s="27" t="b">
        <f>IF($G910&lt;&gt;0,SUMIF(куб!$G:$G,$G910,куб!N:N),IF($E910&lt;&gt;0,SUMIF(куб!$E:$E,$E910,куб!N:N),IF($D910&lt;&gt;0,SUMIF(куб!$D:$D,$D910,куб!N:N),IF($C910&lt;&gt;0,SUMIF(куб!$C:$C,$C910,куб!N:N),IF($B910&lt;&gt;0,SUMIF(куб!$B:$B,$B910,куб!N:N))))))</f>
        <v>0</v>
      </c>
      <c r="Y910" s="27" t="b">
        <f>IF($G910&lt;&gt;0,SUMIF(куб!$G:$G,$G910,куб!O:O),IF($E910&lt;&gt;0,SUMIF(куб!$E:$E,$E910,куб!O:O),IF($D910&lt;&gt;0,SUMIF(куб!$D:$D,$D910,куб!O:O),IF($C910&lt;&gt;0,SUMIF(куб!$C:$C,$C910,куб!O:O),IF($B910&lt;&gt;0,SUMIF(куб!$B:$B,$B910,куб!O:O))))))</f>
        <v>0</v>
      </c>
      <c r="Z910" s="13" t="str">
        <f t="shared" si="297"/>
        <v>-</v>
      </c>
      <c r="AA910" s="5"/>
      <c r="AB910" s="33" t="str">
        <f t="shared" si="298"/>
        <v/>
      </c>
      <c r="AC910" s="33" t="str">
        <f t="shared" si="299"/>
        <v/>
      </c>
      <c r="AD910" s="15" t="str">
        <f t="shared" si="300"/>
        <v xml:space="preserve"> </v>
      </c>
      <c r="AE910" s="5"/>
      <c r="AF910" s="27" t="b">
        <f>IF($G910&lt;&gt;0,SUMIF(куб!$G:$G,$G910,куб!R:R),IF($E910&lt;&gt;0,SUMIF(куб!$E:$E,$E910,куб!R:R),IF($D910&lt;&gt;0,SUMIF(куб!$D:$D,$D910,куб!R:R),IF($C910&lt;&gt;0,SUMIF(куб!$C:$C,$C910,куб!R:R),IF($B910&lt;&gt;0,SUMIF(куб!$B:$B,$B910,куб!R:R))))))</f>
        <v>0</v>
      </c>
      <c r="AG910" s="27" t="b">
        <f>IF($G910&lt;&gt;0,SUMIF(куб!$G:$G,$G910,куб!S:S),IF($E910&lt;&gt;0,SUMIF(куб!$E:$E,$E910,куб!S:S),IF($D910&lt;&gt;0,SUMIF(куб!$D:$D,$D910,куб!S:S),IF($C910&lt;&gt;0,SUMIF(куб!$C:$C,$C910,куб!S:S),IF($B910&lt;&gt;0,SUMIF(куб!$B:$B,$B910,куб!S:S))))))</f>
        <v>0</v>
      </c>
      <c r="AH910" s="16" t="str">
        <f t="shared" si="301"/>
        <v>-</v>
      </c>
      <c r="AI910" s="8"/>
      <c r="AJ910" s="27" t="b">
        <f>IF($G910&lt;&gt;0,SUMIF(куб!$G:$G,$G910,куб!T:T),IF($E910&lt;&gt;0,SUMIF(куб!$E:$E,$E910,куб!T:T),IF($D910&lt;&gt;0,SUMIF(куб!$D:$D,$D910,куб!T:T),IF($C910&lt;&gt;0,SUMIF(куб!$C:$C,$C910,куб!T:T),IF($B910&lt;&gt;0,SUMIF(куб!$B:$B,$B910,куб!T:T))))))</f>
        <v>0</v>
      </c>
      <c r="AK910" s="27" t="b">
        <f>IF($G910&lt;&gt;0,SUMIF(куб!$G:$G,$G910,куб!U:U),IF($E910&lt;&gt;0,SUMIF(куб!$E:$E,$E910,куб!U:U),IF($D910&lt;&gt;0,SUMIF(куб!$D:$D,$D910,куб!U:U),IF($C910&lt;&gt;0,SUMIF(куб!$C:$C,$C910,куб!U:U),IF($B910&lt;&gt;0,SUMIF(куб!$B:$B,$B910,куб!U:U))))))</f>
        <v>0</v>
      </c>
      <c r="AL910" s="16" t="str">
        <f t="shared" si="302"/>
        <v>-</v>
      </c>
      <c r="AM910" s="8"/>
      <c r="AN910" s="17" t="str">
        <f t="shared" si="303"/>
        <v xml:space="preserve"> </v>
      </c>
      <c r="AO910" s="17" t="str">
        <f t="shared" si="304"/>
        <v xml:space="preserve"> </v>
      </c>
      <c r="AP910" s="16" t="str">
        <f t="shared" si="305"/>
        <v>-</v>
      </c>
      <c r="AQ910" s="8"/>
      <c r="AR910" s="17" t="str">
        <f t="shared" si="306"/>
        <v>-</v>
      </c>
      <c r="AS910" s="17" t="str">
        <f t="shared" si="307"/>
        <v>-</v>
      </c>
      <c r="AT910" s="13" t="str">
        <f t="shared" si="308"/>
        <v>-</v>
      </c>
      <c r="AU910" s="8"/>
    </row>
    <row r="911" spans="1:47" x14ac:dyDescent="0.25">
      <c r="A911" s="31"/>
      <c r="B911" s="31"/>
      <c r="C911"/>
      <c r="D911" s="31"/>
      <c r="E911"/>
      <c r="F911"/>
      <c r="G911"/>
      <c r="H911" s="27">
        <f>IF($G911&lt;&gt;0,SUMIF(куб!$G:$G,$G911,куб!H:H),IF($E911&lt;&gt;0,SUMIF(куб!$E:$E,$E911,куб!H:H),IF($D911&lt;&gt;0,SUMIF(куб!$D:$D,$D911,куб!H:H),IF($C911&lt;&gt;0,SUMIF(куб!$C:$C,$C911,куб!H:H),IF($B911&lt;&gt;0,SUMIF(куб!$B:$B,$B911,куб!H:H),IF($G911&lt;&gt;0,SUMIF(куб!$A:$A,$G911,куб!H:H),SUMIF(куб!$A:$A,$G911,куб!H:H)))))))</f>
        <v>0</v>
      </c>
      <c r="I911" s="27">
        <f>IF($G911&lt;&gt;0,SUMIF(куб!$G:$G,$G911,куб!I:I),IF($E911&lt;&gt;0,SUMIF(куб!$E:$E,$E911,куб!I:I),IF($D911&lt;&gt;0,SUMIF(куб!$D:$D,$D911,куб!I:I),IF($C911&lt;&gt;0,SUMIF(куб!$C:$C,$C911,куб!I:I),IF($B911&lt;&gt;0,SUMIF(куб!$B:$B,$B911,куб!I:I),IF($G911&lt;&gt;0,SUMIF(куб!$A:$A,$G911,куб!I:I),SUMIF(куб!$A:$A,$G911,куб!I:I)))))))</f>
        <v>0</v>
      </c>
      <c r="J911" s="19" t="str">
        <f t="shared" si="291"/>
        <v>-</v>
      </c>
      <c r="K911" s="8"/>
      <c r="L911" s="17">
        <f t="shared" si="292"/>
        <v>0</v>
      </c>
      <c r="M911" s="17">
        <f t="shared" si="293"/>
        <v>0</v>
      </c>
      <c r="N911" s="12">
        <f t="shared" si="294"/>
        <v>0</v>
      </c>
      <c r="O911" s="5"/>
      <c r="P911" s="27" t="b">
        <f>IF($G911&lt;&gt;0,SUMIF(куб!$G:$G,$G911,куб!J:J),IF($E911&lt;&gt;0,SUMIF(куб!$E:$E,$E911,куб!J:J),IF($D911&lt;&gt;0,SUMIF(куб!$D:$D,$D911,куб!J:J),IF($C911&lt;&gt;0,SUMIF(куб!$C:$C,$C911,куб!J:J),IF($B911&lt;&gt;0,SUMIF(куб!$B:$B,$B911,куб!J:J))))))</f>
        <v>0</v>
      </c>
      <c r="Q911" s="27" t="b">
        <f>IF($G911&lt;&gt;0,SUMIF(куб!$G:$G,$G911,куб!K:K),IF($E911&lt;&gt;0,SUMIF(куб!$E:$E,$E911,куб!K:K),IF($D911&lt;&gt;0,SUMIF(куб!$D:$D,$D911,куб!K:K),IF($C911&lt;&gt;0,SUMIF(куб!$C:$C,$C911,куб!K:K),IF($B911&lt;&gt;0,SUMIF(куб!$B:$B,$B911,куб!K:K))))))</f>
        <v>0</v>
      </c>
      <c r="R911" s="13" t="str">
        <f t="shared" si="295"/>
        <v>-</v>
      </c>
      <c r="S911" s="5"/>
      <c r="T911" s="27" t="b">
        <f>IF($G911&lt;&gt;0,SUMIF(куб!$G:$G,$G911,куб!L:L),IF($E911&lt;&gt;0,SUMIF(куб!$E:$E,$E911,куб!L:L),IF($D911&lt;&gt;0,SUMIF(куб!$D:$D,$D911,куб!L:L),IF($C911&lt;&gt;0,SUMIF(куб!$C:$C,$C911,куб!L:L),IF($B911&lt;&gt;0,SUMIF(куб!$B:$B,$B911,куб!L:L))))))</f>
        <v>0</v>
      </c>
      <c r="U911" s="27" t="b">
        <f>IF($G911&lt;&gt;0,SUMIF(куб!$G:$G,$G911,куб!M:M),IF($E911&lt;&gt;0,SUMIF(куб!$E:$E,$E911,куб!M:M),IF($D911&lt;&gt;0,SUMIF(куб!$D:$D,$D911,куб!M:M),IF($C911&lt;&gt;0,SUMIF(куб!$C:$C,$C911,куб!M:M),IF($B911&lt;&gt;0,SUMIF(куб!$B:$B,$B911,куб!M:M))))))</f>
        <v>0</v>
      </c>
      <c r="V911" s="13" t="str">
        <f t="shared" si="296"/>
        <v>-</v>
      </c>
      <c r="W911" s="5"/>
      <c r="X911" s="27" t="b">
        <f>IF($G911&lt;&gt;0,SUMIF(куб!$G:$G,$G911,куб!N:N),IF($E911&lt;&gt;0,SUMIF(куб!$E:$E,$E911,куб!N:N),IF($D911&lt;&gt;0,SUMIF(куб!$D:$D,$D911,куб!N:N),IF($C911&lt;&gt;0,SUMIF(куб!$C:$C,$C911,куб!N:N),IF($B911&lt;&gt;0,SUMIF(куб!$B:$B,$B911,куб!N:N))))))</f>
        <v>0</v>
      </c>
      <c r="Y911" s="27" t="b">
        <f>IF($G911&lt;&gt;0,SUMIF(куб!$G:$G,$G911,куб!O:O),IF($E911&lt;&gt;0,SUMIF(куб!$E:$E,$E911,куб!O:O),IF($D911&lt;&gt;0,SUMIF(куб!$D:$D,$D911,куб!O:O),IF($C911&lt;&gt;0,SUMIF(куб!$C:$C,$C911,куб!O:O),IF($B911&lt;&gt;0,SUMIF(куб!$B:$B,$B911,куб!O:O))))))</f>
        <v>0</v>
      </c>
      <c r="Z911" s="13" t="str">
        <f t="shared" si="297"/>
        <v>-</v>
      </c>
      <c r="AA911" s="5"/>
      <c r="AB911" s="33" t="str">
        <f t="shared" si="298"/>
        <v/>
      </c>
      <c r="AC911" s="33" t="str">
        <f t="shared" si="299"/>
        <v/>
      </c>
      <c r="AD911" s="15" t="str">
        <f t="shared" si="300"/>
        <v xml:space="preserve"> </v>
      </c>
      <c r="AE911" s="5"/>
      <c r="AF911" s="27" t="b">
        <f>IF($G911&lt;&gt;0,SUMIF(куб!$G:$G,$G911,куб!R:R),IF($E911&lt;&gt;0,SUMIF(куб!$E:$E,$E911,куб!R:R),IF($D911&lt;&gt;0,SUMIF(куб!$D:$D,$D911,куб!R:R),IF($C911&lt;&gt;0,SUMIF(куб!$C:$C,$C911,куб!R:R),IF($B911&lt;&gt;0,SUMIF(куб!$B:$B,$B911,куб!R:R))))))</f>
        <v>0</v>
      </c>
      <c r="AG911" s="27" t="b">
        <f>IF($G911&lt;&gt;0,SUMIF(куб!$G:$G,$G911,куб!S:S),IF($E911&lt;&gt;0,SUMIF(куб!$E:$E,$E911,куб!S:S),IF($D911&lt;&gt;0,SUMIF(куб!$D:$D,$D911,куб!S:S),IF($C911&lt;&gt;0,SUMIF(куб!$C:$C,$C911,куб!S:S),IF($B911&lt;&gt;0,SUMIF(куб!$B:$B,$B911,куб!S:S))))))</f>
        <v>0</v>
      </c>
      <c r="AH911" s="16" t="str">
        <f t="shared" si="301"/>
        <v>-</v>
      </c>
      <c r="AI911" s="8"/>
      <c r="AJ911" s="27" t="b">
        <f>IF($G911&lt;&gt;0,SUMIF(куб!$G:$G,$G911,куб!T:T),IF($E911&lt;&gt;0,SUMIF(куб!$E:$E,$E911,куб!T:T),IF($D911&lt;&gt;0,SUMIF(куб!$D:$D,$D911,куб!T:T),IF($C911&lt;&gt;0,SUMIF(куб!$C:$C,$C911,куб!T:T),IF($B911&lt;&gt;0,SUMIF(куб!$B:$B,$B911,куб!T:T))))))</f>
        <v>0</v>
      </c>
      <c r="AK911" s="27" t="b">
        <f>IF($G911&lt;&gt;0,SUMIF(куб!$G:$G,$G911,куб!U:U),IF($E911&lt;&gt;0,SUMIF(куб!$E:$E,$E911,куб!U:U),IF($D911&lt;&gt;0,SUMIF(куб!$D:$D,$D911,куб!U:U),IF($C911&lt;&gt;0,SUMIF(куб!$C:$C,$C911,куб!U:U),IF($B911&lt;&gt;0,SUMIF(куб!$B:$B,$B911,куб!U:U))))))</f>
        <v>0</v>
      </c>
      <c r="AL911" s="16" t="str">
        <f t="shared" si="302"/>
        <v>-</v>
      </c>
      <c r="AM911" s="8"/>
      <c r="AN911" s="17" t="str">
        <f t="shared" si="303"/>
        <v xml:space="preserve"> </v>
      </c>
      <c r="AO911" s="17" t="str">
        <f t="shared" si="304"/>
        <v xml:space="preserve"> </v>
      </c>
      <c r="AP911" s="16" t="str">
        <f t="shared" si="305"/>
        <v>-</v>
      </c>
      <c r="AQ911" s="8"/>
      <c r="AR911" s="17" t="str">
        <f t="shared" si="306"/>
        <v>-</v>
      </c>
      <c r="AS911" s="17" t="str">
        <f t="shared" si="307"/>
        <v>-</v>
      </c>
      <c r="AT911" s="13" t="str">
        <f t="shared" si="308"/>
        <v>-</v>
      </c>
      <c r="AU911" s="8"/>
    </row>
    <row r="912" spans="1:47" x14ac:dyDescent="0.25">
      <c r="A912" s="31"/>
      <c r="B912" s="31"/>
      <c r="C912"/>
      <c r="D912" s="31"/>
      <c r="E912" s="31"/>
      <c r="F912" s="31"/>
      <c r="G912" s="31"/>
      <c r="H912" s="27">
        <f>IF($G912&lt;&gt;0,SUMIF(куб!$G:$G,$G912,куб!H:H),IF($E912&lt;&gt;0,SUMIF(куб!$E:$E,$E912,куб!H:H),IF($D912&lt;&gt;0,SUMIF(куб!$D:$D,$D912,куб!H:H),IF($C912&lt;&gt;0,SUMIF(куб!$C:$C,$C912,куб!H:H),IF($B912&lt;&gt;0,SUMIF(куб!$B:$B,$B912,куб!H:H),IF($G912&lt;&gt;0,SUMIF(куб!$A:$A,$G912,куб!H:H),SUMIF(куб!$A:$A,$G912,куб!H:H)))))))</f>
        <v>0</v>
      </c>
      <c r="I912" s="27">
        <f>IF($G912&lt;&gt;0,SUMIF(куб!$G:$G,$G912,куб!I:I),IF($E912&lt;&gt;0,SUMIF(куб!$E:$E,$E912,куб!I:I),IF($D912&lt;&gt;0,SUMIF(куб!$D:$D,$D912,куб!I:I),IF($C912&lt;&gt;0,SUMIF(куб!$C:$C,$C912,куб!I:I),IF($B912&lt;&gt;0,SUMIF(куб!$B:$B,$B912,куб!I:I),IF($G912&lt;&gt;0,SUMIF(куб!$A:$A,$G912,куб!I:I),SUMIF(куб!$A:$A,$G912,куб!I:I)))))))</f>
        <v>0</v>
      </c>
      <c r="J912" s="19" t="str">
        <f t="shared" si="291"/>
        <v>-</v>
      </c>
      <c r="K912" s="8"/>
      <c r="L912" s="17">
        <f t="shared" si="292"/>
        <v>0</v>
      </c>
      <c r="M912" s="17">
        <f t="shared" si="293"/>
        <v>0</v>
      </c>
      <c r="N912" s="12">
        <f t="shared" si="294"/>
        <v>0</v>
      </c>
      <c r="O912" s="5"/>
      <c r="P912" s="27" t="b">
        <f>IF($G912&lt;&gt;0,SUMIF(куб!$G:$G,$G912,куб!J:J),IF($E912&lt;&gt;0,SUMIF(куб!$E:$E,$E912,куб!J:J),IF($D912&lt;&gt;0,SUMIF(куб!$D:$D,$D912,куб!J:J),IF($C912&lt;&gt;0,SUMIF(куб!$C:$C,$C912,куб!J:J),IF($B912&lt;&gt;0,SUMIF(куб!$B:$B,$B912,куб!J:J))))))</f>
        <v>0</v>
      </c>
      <c r="Q912" s="27" t="b">
        <f>IF($G912&lt;&gt;0,SUMIF(куб!$G:$G,$G912,куб!K:K),IF($E912&lt;&gt;0,SUMIF(куб!$E:$E,$E912,куб!K:K),IF($D912&lt;&gt;0,SUMIF(куб!$D:$D,$D912,куб!K:K),IF($C912&lt;&gt;0,SUMIF(куб!$C:$C,$C912,куб!K:K),IF($B912&lt;&gt;0,SUMIF(куб!$B:$B,$B912,куб!K:K))))))</f>
        <v>0</v>
      </c>
      <c r="R912" s="13" t="str">
        <f t="shared" si="295"/>
        <v>-</v>
      </c>
      <c r="S912" s="5"/>
      <c r="T912" s="27" t="b">
        <f>IF($G912&lt;&gt;0,SUMIF(куб!$G:$G,$G912,куб!L:L),IF($E912&lt;&gt;0,SUMIF(куб!$E:$E,$E912,куб!L:L),IF($D912&lt;&gt;0,SUMIF(куб!$D:$D,$D912,куб!L:L),IF($C912&lt;&gt;0,SUMIF(куб!$C:$C,$C912,куб!L:L),IF($B912&lt;&gt;0,SUMIF(куб!$B:$B,$B912,куб!L:L))))))</f>
        <v>0</v>
      </c>
      <c r="U912" s="27" t="b">
        <f>IF($G912&lt;&gt;0,SUMIF(куб!$G:$G,$G912,куб!M:M),IF($E912&lt;&gt;0,SUMIF(куб!$E:$E,$E912,куб!M:M),IF($D912&lt;&gt;0,SUMIF(куб!$D:$D,$D912,куб!M:M),IF($C912&lt;&gt;0,SUMIF(куб!$C:$C,$C912,куб!M:M),IF($B912&lt;&gt;0,SUMIF(куб!$B:$B,$B912,куб!M:M))))))</f>
        <v>0</v>
      </c>
      <c r="V912" s="13" t="str">
        <f t="shared" si="296"/>
        <v>-</v>
      </c>
      <c r="W912" s="5"/>
      <c r="X912" s="27" t="b">
        <f>IF($G912&lt;&gt;0,SUMIF(куб!$G:$G,$G912,куб!N:N),IF($E912&lt;&gt;0,SUMIF(куб!$E:$E,$E912,куб!N:N),IF($D912&lt;&gt;0,SUMIF(куб!$D:$D,$D912,куб!N:N),IF($C912&lt;&gt;0,SUMIF(куб!$C:$C,$C912,куб!N:N),IF($B912&lt;&gt;0,SUMIF(куб!$B:$B,$B912,куб!N:N))))))</f>
        <v>0</v>
      </c>
      <c r="Y912" s="27" t="b">
        <f>IF($G912&lt;&gt;0,SUMIF(куб!$G:$G,$G912,куб!O:O),IF($E912&lt;&gt;0,SUMIF(куб!$E:$E,$E912,куб!O:O),IF($D912&lt;&gt;0,SUMIF(куб!$D:$D,$D912,куб!O:O),IF($C912&lt;&gt;0,SUMIF(куб!$C:$C,$C912,куб!O:O),IF($B912&lt;&gt;0,SUMIF(куб!$B:$B,$B912,куб!O:O))))))</f>
        <v>0</v>
      </c>
      <c r="Z912" s="13" t="str">
        <f t="shared" si="297"/>
        <v>-</v>
      </c>
      <c r="AA912" s="5"/>
      <c r="AB912" s="33" t="str">
        <f t="shared" si="298"/>
        <v/>
      </c>
      <c r="AC912" s="33" t="str">
        <f t="shared" si="299"/>
        <v/>
      </c>
      <c r="AD912" s="15" t="str">
        <f t="shared" si="300"/>
        <v xml:space="preserve"> </v>
      </c>
      <c r="AE912" s="5"/>
      <c r="AF912" s="27" t="b">
        <f>IF($G912&lt;&gt;0,SUMIF(куб!$G:$G,$G912,куб!R:R),IF($E912&lt;&gt;0,SUMIF(куб!$E:$E,$E912,куб!R:R),IF($D912&lt;&gt;0,SUMIF(куб!$D:$D,$D912,куб!R:R),IF($C912&lt;&gt;0,SUMIF(куб!$C:$C,$C912,куб!R:R),IF($B912&lt;&gt;0,SUMIF(куб!$B:$B,$B912,куб!R:R))))))</f>
        <v>0</v>
      </c>
      <c r="AG912" s="27" t="b">
        <f>IF($G912&lt;&gt;0,SUMIF(куб!$G:$G,$G912,куб!S:S),IF($E912&lt;&gt;0,SUMIF(куб!$E:$E,$E912,куб!S:S),IF($D912&lt;&gt;0,SUMIF(куб!$D:$D,$D912,куб!S:S),IF($C912&lt;&gt;0,SUMIF(куб!$C:$C,$C912,куб!S:S),IF($B912&lt;&gt;0,SUMIF(куб!$B:$B,$B912,куб!S:S))))))</f>
        <v>0</v>
      </c>
      <c r="AH912" s="16" t="str">
        <f t="shared" si="301"/>
        <v>-</v>
      </c>
      <c r="AI912" s="8"/>
      <c r="AJ912" s="27" t="b">
        <f>IF($G912&lt;&gt;0,SUMIF(куб!$G:$G,$G912,куб!T:T),IF($E912&lt;&gt;0,SUMIF(куб!$E:$E,$E912,куб!T:T),IF($D912&lt;&gt;0,SUMIF(куб!$D:$D,$D912,куб!T:T),IF($C912&lt;&gt;0,SUMIF(куб!$C:$C,$C912,куб!T:T),IF($B912&lt;&gt;0,SUMIF(куб!$B:$B,$B912,куб!T:T))))))</f>
        <v>0</v>
      </c>
      <c r="AK912" s="27" t="b">
        <f>IF($G912&lt;&gt;0,SUMIF(куб!$G:$G,$G912,куб!U:U),IF($E912&lt;&gt;0,SUMIF(куб!$E:$E,$E912,куб!U:U),IF($D912&lt;&gt;0,SUMIF(куб!$D:$D,$D912,куб!U:U),IF($C912&lt;&gt;0,SUMIF(куб!$C:$C,$C912,куб!U:U),IF($B912&lt;&gt;0,SUMIF(куб!$B:$B,$B912,куб!U:U))))))</f>
        <v>0</v>
      </c>
      <c r="AL912" s="16" t="str">
        <f t="shared" si="302"/>
        <v>-</v>
      </c>
      <c r="AM912" s="8"/>
      <c r="AN912" s="17" t="str">
        <f t="shared" si="303"/>
        <v xml:space="preserve"> </v>
      </c>
      <c r="AO912" s="17" t="str">
        <f t="shared" si="304"/>
        <v xml:space="preserve"> </v>
      </c>
      <c r="AP912" s="16" t="str">
        <f t="shared" si="305"/>
        <v>-</v>
      </c>
      <c r="AQ912" s="8"/>
      <c r="AR912" s="17" t="str">
        <f t="shared" si="306"/>
        <v>-</v>
      </c>
      <c r="AS912" s="17" t="str">
        <f t="shared" si="307"/>
        <v>-</v>
      </c>
      <c r="AT912" s="13" t="str">
        <f t="shared" si="308"/>
        <v>-</v>
      </c>
      <c r="AU912" s="8"/>
    </row>
    <row r="913" spans="1:47" x14ac:dyDescent="0.25">
      <c r="A913" s="31"/>
      <c r="B913" s="31"/>
      <c r="C913"/>
      <c r="D913"/>
      <c r="E913"/>
      <c r="F913"/>
      <c r="G913"/>
      <c r="H913" s="27">
        <f>IF($G913&lt;&gt;0,SUMIF(куб!$G:$G,$G913,куб!H:H),IF($E913&lt;&gt;0,SUMIF(куб!$E:$E,$E913,куб!H:H),IF($D913&lt;&gt;0,SUMIF(куб!$D:$D,$D913,куб!H:H),IF($C913&lt;&gt;0,SUMIF(куб!$C:$C,$C913,куб!H:H),IF($B913&lt;&gt;0,SUMIF(куб!$B:$B,$B913,куб!H:H),IF($G913&lt;&gt;0,SUMIF(куб!$A:$A,$G913,куб!H:H),SUMIF(куб!$A:$A,$G913,куб!H:H)))))))</f>
        <v>0</v>
      </c>
      <c r="I913" s="27">
        <f>IF($G913&lt;&gt;0,SUMIF(куб!$G:$G,$G913,куб!I:I),IF($E913&lt;&gt;0,SUMIF(куб!$E:$E,$E913,куб!I:I),IF($D913&lt;&gt;0,SUMIF(куб!$D:$D,$D913,куб!I:I),IF($C913&lt;&gt;0,SUMIF(куб!$C:$C,$C913,куб!I:I),IF($B913&lt;&gt;0,SUMIF(куб!$B:$B,$B913,куб!I:I),IF($G913&lt;&gt;0,SUMIF(куб!$A:$A,$G913,куб!I:I),SUMIF(куб!$A:$A,$G913,куб!I:I)))))))</f>
        <v>0</v>
      </c>
      <c r="J913" s="19" t="str">
        <f t="shared" si="291"/>
        <v>-</v>
      </c>
      <c r="K913" s="8"/>
      <c r="L913" s="17">
        <f t="shared" si="292"/>
        <v>0</v>
      </c>
      <c r="M913" s="17">
        <f t="shared" si="293"/>
        <v>0</v>
      </c>
      <c r="N913" s="12">
        <f t="shared" si="294"/>
        <v>0</v>
      </c>
      <c r="O913" s="5"/>
      <c r="P913" s="27" t="b">
        <f>IF($G913&lt;&gt;0,SUMIF(куб!$G:$G,$G913,куб!J:J),IF($E913&lt;&gt;0,SUMIF(куб!$E:$E,$E913,куб!J:J),IF($D913&lt;&gt;0,SUMIF(куб!$D:$D,$D913,куб!J:J),IF($C913&lt;&gt;0,SUMIF(куб!$C:$C,$C913,куб!J:J),IF($B913&lt;&gt;0,SUMIF(куб!$B:$B,$B913,куб!J:J))))))</f>
        <v>0</v>
      </c>
      <c r="Q913" s="27" t="b">
        <f>IF($G913&lt;&gt;0,SUMIF(куб!$G:$G,$G913,куб!K:K),IF($E913&lt;&gt;0,SUMIF(куб!$E:$E,$E913,куб!K:K),IF($D913&lt;&gt;0,SUMIF(куб!$D:$D,$D913,куб!K:K),IF($C913&lt;&gt;0,SUMIF(куб!$C:$C,$C913,куб!K:K),IF($B913&lt;&gt;0,SUMIF(куб!$B:$B,$B913,куб!K:K))))))</f>
        <v>0</v>
      </c>
      <c r="R913" s="13" t="str">
        <f t="shared" si="295"/>
        <v>-</v>
      </c>
      <c r="S913" s="5"/>
      <c r="T913" s="27" t="b">
        <f>IF($G913&lt;&gt;0,SUMIF(куб!$G:$G,$G913,куб!L:L),IF($E913&lt;&gt;0,SUMIF(куб!$E:$E,$E913,куб!L:L),IF($D913&lt;&gt;0,SUMIF(куб!$D:$D,$D913,куб!L:L),IF($C913&lt;&gt;0,SUMIF(куб!$C:$C,$C913,куб!L:L),IF($B913&lt;&gt;0,SUMIF(куб!$B:$B,$B913,куб!L:L))))))</f>
        <v>0</v>
      </c>
      <c r="U913" s="27" t="b">
        <f>IF($G913&lt;&gt;0,SUMIF(куб!$G:$G,$G913,куб!M:M),IF($E913&lt;&gt;0,SUMIF(куб!$E:$E,$E913,куб!M:M),IF($D913&lt;&gt;0,SUMIF(куб!$D:$D,$D913,куб!M:M),IF($C913&lt;&gt;0,SUMIF(куб!$C:$C,$C913,куб!M:M),IF($B913&lt;&gt;0,SUMIF(куб!$B:$B,$B913,куб!M:M))))))</f>
        <v>0</v>
      </c>
      <c r="V913" s="13" t="str">
        <f t="shared" si="296"/>
        <v>-</v>
      </c>
      <c r="W913" s="5"/>
      <c r="X913" s="27" t="b">
        <f>IF($G913&lt;&gt;0,SUMIF(куб!$G:$G,$G913,куб!N:N),IF($E913&lt;&gt;0,SUMIF(куб!$E:$E,$E913,куб!N:N),IF($D913&lt;&gt;0,SUMIF(куб!$D:$D,$D913,куб!N:N),IF($C913&lt;&gt;0,SUMIF(куб!$C:$C,$C913,куб!N:N),IF($B913&lt;&gt;0,SUMIF(куб!$B:$B,$B913,куб!N:N))))))</f>
        <v>0</v>
      </c>
      <c r="Y913" s="27" t="b">
        <f>IF($G913&lt;&gt;0,SUMIF(куб!$G:$G,$G913,куб!O:O),IF($E913&lt;&gt;0,SUMIF(куб!$E:$E,$E913,куб!O:O),IF($D913&lt;&gt;0,SUMIF(куб!$D:$D,$D913,куб!O:O),IF($C913&lt;&gt;0,SUMIF(куб!$C:$C,$C913,куб!O:O),IF($B913&lt;&gt;0,SUMIF(куб!$B:$B,$B913,куб!O:O))))))</f>
        <v>0</v>
      </c>
      <c r="Z913" s="13" t="str">
        <f t="shared" si="297"/>
        <v>-</v>
      </c>
      <c r="AA913" s="5"/>
      <c r="AB913" s="33" t="str">
        <f t="shared" si="298"/>
        <v/>
      </c>
      <c r="AC913" s="33" t="str">
        <f t="shared" si="299"/>
        <v/>
      </c>
      <c r="AD913" s="15" t="str">
        <f t="shared" si="300"/>
        <v xml:space="preserve"> </v>
      </c>
      <c r="AE913" s="5"/>
      <c r="AF913" s="27" t="b">
        <f>IF($G913&lt;&gt;0,SUMIF(куб!$G:$G,$G913,куб!R:R),IF($E913&lt;&gt;0,SUMIF(куб!$E:$E,$E913,куб!R:R),IF($D913&lt;&gt;0,SUMIF(куб!$D:$D,$D913,куб!R:R),IF($C913&lt;&gt;0,SUMIF(куб!$C:$C,$C913,куб!R:R),IF($B913&lt;&gt;0,SUMIF(куб!$B:$B,$B913,куб!R:R))))))</f>
        <v>0</v>
      </c>
      <c r="AG913" s="27" t="b">
        <f>IF($G913&lt;&gt;0,SUMIF(куб!$G:$G,$G913,куб!S:S),IF($E913&lt;&gt;0,SUMIF(куб!$E:$E,$E913,куб!S:S),IF($D913&lt;&gt;0,SUMIF(куб!$D:$D,$D913,куб!S:S),IF($C913&lt;&gt;0,SUMIF(куб!$C:$C,$C913,куб!S:S),IF($B913&lt;&gt;0,SUMIF(куб!$B:$B,$B913,куб!S:S))))))</f>
        <v>0</v>
      </c>
      <c r="AH913" s="16" t="str">
        <f t="shared" si="301"/>
        <v>-</v>
      </c>
      <c r="AI913" s="8"/>
      <c r="AJ913" s="27" t="b">
        <f>IF($G913&lt;&gt;0,SUMIF(куб!$G:$G,$G913,куб!T:T),IF($E913&lt;&gt;0,SUMIF(куб!$E:$E,$E913,куб!T:T),IF($D913&lt;&gt;0,SUMIF(куб!$D:$D,$D913,куб!T:T),IF($C913&lt;&gt;0,SUMIF(куб!$C:$C,$C913,куб!T:T),IF($B913&lt;&gt;0,SUMIF(куб!$B:$B,$B913,куб!T:T))))))</f>
        <v>0</v>
      </c>
      <c r="AK913" s="27" t="b">
        <f>IF($G913&lt;&gt;0,SUMIF(куб!$G:$G,$G913,куб!U:U),IF($E913&lt;&gt;0,SUMIF(куб!$E:$E,$E913,куб!U:U),IF($D913&lt;&gt;0,SUMIF(куб!$D:$D,$D913,куб!U:U),IF($C913&lt;&gt;0,SUMIF(куб!$C:$C,$C913,куб!U:U),IF($B913&lt;&gt;0,SUMIF(куб!$B:$B,$B913,куб!U:U))))))</f>
        <v>0</v>
      </c>
      <c r="AL913" s="16" t="str">
        <f t="shared" si="302"/>
        <v>-</v>
      </c>
      <c r="AM913" s="8"/>
      <c r="AN913" s="17" t="str">
        <f t="shared" si="303"/>
        <v xml:space="preserve"> </v>
      </c>
      <c r="AO913" s="17" t="str">
        <f t="shared" si="304"/>
        <v xml:space="preserve"> </v>
      </c>
      <c r="AP913" s="16" t="str">
        <f t="shared" si="305"/>
        <v>-</v>
      </c>
      <c r="AQ913" s="8"/>
      <c r="AR913" s="17" t="str">
        <f t="shared" si="306"/>
        <v>-</v>
      </c>
      <c r="AS913" s="17" t="str">
        <f t="shared" si="307"/>
        <v>-</v>
      </c>
      <c r="AT913" s="13" t="str">
        <f t="shared" si="308"/>
        <v>-</v>
      </c>
      <c r="AU913" s="8"/>
    </row>
    <row r="914" spans="1:47" x14ac:dyDescent="0.25">
      <c r="A914" s="31"/>
      <c r="B914" s="31"/>
      <c r="C914"/>
      <c r="D914" s="31"/>
      <c r="E914"/>
      <c r="F914" s="31"/>
      <c r="G914"/>
      <c r="H914" s="27">
        <f>IF($G914&lt;&gt;0,SUMIF(куб!$G:$G,$G914,куб!H:H),IF($E914&lt;&gt;0,SUMIF(куб!$E:$E,$E914,куб!H:H),IF($D914&lt;&gt;0,SUMIF(куб!$D:$D,$D914,куб!H:H),IF($C914&lt;&gt;0,SUMIF(куб!$C:$C,$C914,куб!H:H),IF($B914&lt;&gt;0,SUMIF(куб!$B:$B,$B914,куб!H:H),IF($G914&lt;&gt;0,SUMIF(куб!$A:$A,$G914,куб!H:H),SUMIF(куб!$A:$A,$G914,куб!H:H)))))))</f>
        <v>0</v>
      </c>
      <c r="I914" s="27">
        <f>IF($G914&lt;&gt;0,SUMIF(куб!$G:$G,$G914,куб!I:I),IF($E914&lt;&gt;0,SUMIF(куб!$E:$E,$E914,куб!I:I),IF($D914&lt;&gt;0,SUMIF(куб!$D:$D,$D914,куб!I:I),IF($C914&lt;&gt;0,SUMIF(куб!$C:$C,$C914,куб!I:I),IF($B914&lt;&gt;0,SUMIF(куб!$B:$B,$B914,куб!I:I),IF($G914&lt;&gt;0,SUMIF(куб!$A:$A,$G914,куб!I:I),SUMIF(куб!$A:$A,$G914,куб!I:I)))))))</f>
        <v>0</v>
      </c>
      <c r="J914" s="19" t="str">
        <f t="shared" si="291"/>
        <v>-</v>
      </c>
      <c r="K914" s="8"/>
      <c r="L914" s="17">
        <f t="shared" si="292"/>
        <v>0</v>
      </c>
      <c r="M914" s="17">
        <f t="shared" si="293"/>
        <v>0</v>
      </c>
      <c r="N914" s="12">
        <f t="shared" si="294"/>
        <v>0</v>
      </c>
      <c r="O914" s="5"/>
      <c r="P914" s="27" t="b">
        <f>IF($G914&lt;&gt;0,SUMIF(куб!$G:$G,$G914,куб!J:J),IF($E914&lt;&gt;0,SUMIF(куб!$E:$E,$E914,куб!J:J),IF($D914&lt;&gt;0,SUMIF(куб!$D:$D,$D914,куб!J:J),IF($C914&lt;&gt;0,SUMIF(куб!$C:$C,$C914,куб!J:J),IF($B914&lt;&gt;0,SUMIF(куб!$B:$B,$B914,куб!J:J))))))</f>
        <v>0</v>
      </c>
      <c r="Q914" s="27" t="b">
        <f>IF($G914&lt;&gt;0,SUMIF(куб!$G:$G,$G914,куб!K:K),IF($E914&lt;&gt;0,SUMIF(куб!$E:$E,$E914,куб!K:K),IF($D914&lt;&gt;0,SUMIF(куб!$D:$D,$D914,куб!K:K),IF($C914&lt;&gt;0,SUMIF(куб!$C:$C,$C914,куб!K:K),IF($B914&lt;&gt;0,SUMIF(куб!$B:$B,$B914,куб!K:K))))))</f>
        <v>0</v>
      </c>
      <c r="R914" s="13" t="str">
        <f t="shared" si="295"/>
        <v>-</v>
      </c>
      <c r="S914" s="5"/>
      <c r="T914" s="27" t="b">
        <f>IF($G914&lt;&gt;0,SUMIF(куб!$G:$G,$G914,куб!L:L),IF($E914&lt;&gt;0,SUMIF(куб!$E:$E,$E914,куб!L:L),IF($D914&lt;&gt;0,SUMIF(куб!$D:$D,$D914,куб!L:L),IF($C914&lt;&gt;0,SUMIF(куб!$C:$C,$C914,куб!L:L),IF($B914&lt;&gt;0,SUMIF(куб!$B:$B,$B914,куб!L:L))))))</f>
        <v>0</v>
      </c>
      <c r="U914" s="27" t="b">
        <f>IF($G914&lt;&gt;0,SUMIF(куб!$G:$G,$G914,куб!M:M),IF($E914&lt;&gt;0,SUMIF(куб!$E:$E,$E914,куб!M:M),IF($D914&lt;&gt;0,SUMIF(куб!$D:$D,$D914,куб!M:M),IF($C914&lt;&gt;0,SUMIF(куб!$C:$C,$C914,куб!M:M),IF($B914&lt;&gt;0,SUMIF(куб!$B:$B,$B914,куб!M:M))))))</f>
        <v>0</v>
      </c>
      <c r="V914" s="13" t="str">
        <f t="shared" si="296"/>
        <v>-</v>
      </c>
      <c r="W914" s="5"/>
      <c r="X914" s="27" t="b">
        <f>IF($G914&lt;&gt;0,SUMIF(куб!$G:$G,$G914,куб!N:N),IF($E914&lt;&gt;0,SUMIF(куб!$E:$E,$E914,куб!N:N),IF($D914&lt;&gt;0,SUMIF(куб!$D:$D,$D914,куб!N:N),IF($C914&lt;&gt;0,SUMIF(куб!$C:$C,$C914,куб!N:N),IF($B914&lt;&gt;0,SUMIF(куб!$B:$B,$B914,куб!N:N))))))</f>
        <v>0</v>
      </c>
      <c r="Y914" s="27" t="b">
        <f>IF($G914&lt;&gt;0,SUMIF(куб!$G:$G,$G914,куб!O:O),IF($E914&lt;&gt;0,SUMIF(куб!$E:$E,$E914,куб!O:O),IF($D914&lt;&gt;0,SUMIF(куб!$D:$D,$D914,куб!O:O),IF($C914&lt;&gt;0,SUMIF(куб!$C:$C,$C914,куб!O:O),IF($B914&lt;&gt;0,SUMIF(куб!$B:$B,$B914,куб!O:O))))))</f>
        <v>0</v>
      </c>
      <c r="Z914" s="13" t="str">
        <f t="shared" si="297"/>
        <v>-</v>
      </c>
      <c r="AA914" s="5"/>
      <c r="AB914" s="33" t="str">
        <f t="shared" si="298"/>
        <v/>
      </c>
      <c r="AC914" s="33" t="str">
        <f t="shared" si="299"/>
        <v/>
      </c>
      <c r="AD914" s="15" t="str">
        <f t="shared" si="300"/>
        <v xml:space="preserve"> </v>
      </c>
      <c r="AE914" s="5"/>
      <c r="AF914" s="27" t="b">
        <f>IF($G914&lt;&gt;0,SUMIF(куб!$G:$G,$G914,куб!R:R),IF($E914&lt;&gt;0,SUMIF(куб!$E:$E,$E914,куб!R:R),IF($D914&lt;&gt;0,SUMIF(куб!$D:$D,$D914,куб!R:R),IF($C914&lt;&gt;0,SUMIF(куб!$C:$C,$C914,куб!R:R),IF($B914&lt;&gt;0,SUMIF(куб!$B:$B,$B914,куб!R:R))))))</f>
        <v>0</v>
      </c>
      <c r="AG914" s="27" t="b">
        <f>IF($G914&lt;&gt;0,SUMIF(куб!$G:$G,$G914,куб!S:S),IF($E914&lt;&gt;0,SUMIF(куб!$E:$E,$E914,куб!S:S),IF($D914&lt;&gt;0,SUMIF(куб!$D:$D,$D914,куб!S:S),IF($C914&lt;&gt;0,SUMIF(куб!$C:$C,$C914,куб!S:S),IF($B914&lt;&gt;0,SUMIF(куб!$B:$B,$B914,куб!S:S))))))</f>
        <v>0</v>
      </c>
      <c r="AH914" s="16" t="str">
        <f t="shared" si="301"/>
        <v>-</v>
      </c>
      <c r="AI914" s="8"/>
      <c r="AJ914" s="27" t="b">
        <f>IF($G914&lt;&gt;0,SUMIF(куб!$G:$G,$G914,куб!T:T),IF($E914&lt;&gt;0,SUMIF(куб!$E:$E,$E914,куб!T:T),IF($D914&lt;&gt;0,SUMIF(куб!$D:$D,$D914,куб!T:T),IF($C914&lt;&gt;0,SUMIF(куб!$C:$C,$C914,куб!T:T),IF($B914&lt;&gt;0,SUMIF(куб!$B:$B,$B914,куб!T:T))))))</f>
        <v>0</v>
      </c>
      <c r="AK914" s="27" t="b">
        <f>IF($G914&lt;&gt;0,SUMIF(куб!$G:$G,$G914,куб!U:U),IF($E914&lt;&gt;0,SUMIF(куб!$E:$E,$E914,куб!U:U),IF($D914&lt;&gt;0,SUMIF(куб!$D:$D,$D914,куб!U:U),IF($C914&lt;&gt;0,SUMIF(куб!$C:$C,$C914,куб!U:U),IF($B914&lt;&gt;0,SUMIF(куб!$B:$B,$B914,куб!U:U))))))</f>
        <v>0</v>
      </c>
      <c r="AL914" s="16" t="str">
        <f t="shared" si="302"/>
        <v>-</v>
      </c>
      <c r="AM914" s="8"/>
      <c r="AN914" s="17" t="str">
        <f t="shared" si="303"/>
        <v xml:space="preserve"> </v>
      </c>
      <c r="AO914" s="17" t="str">
        <f t="shared" si="304"/>
        <v xml:space="preserve"> </v>
      </c>
      <c r="AP914" s="16" t="str">
        <f t="shared" si="305"/>
        <v>-</v>
      </c>
      <c r="AQ914" s="8"/>
      <c r="AR914" s="17" t="str">
        <f t="shared" si="306"/>
        <v>-</v>
      </c>
      <c r="AS914" s="17" t="str">
        <f t="shared" si="307"/>
        <v>-</v>
      </c>
      <c r="AT914" s="13" t="str">
        <f t="shared" si="308"/>
        <v>-</v>
      </c>
      <c r="AU914" s="8"/>
    </row>
    <row r="915" spans="1:47" x14ac:dyDescent="0.25">
      <c r="A915" s="31"/>
      <c r="B915" s="31"/>
      <c r="C915"/>
      <c r="D915" s="31"/>
      <c r="E915"/>
      <c r="F915" s="31"/>
      <c r="G915"/>
      <c r="H915" s="27">
        <f>IF($G915&lt;&gt;0,SUMIF(куб!$G:$G,$G915,куб!H:H),IF($E915&lt;&gt;0,SUMIF(куб!$E:$E,$E915,куб!H:H),IF($D915&lt;&gt;0,SUMIF(куб!$D:$D,$D915,куб!H:H),IF($C915&lt;&gt;0,SUMIF(куб!$C:$C,$C915,куб!H:H),IF($B915&lt;&gt;0,SUMIF(куб!$B:$B,$B915,куб!H:H),IF($G915&lt;&gt;0,SUMIF(куб!$A:$A,$G915,куб!H:H),SUMIF(куб!$A:$A,$G915,куб!H:H)))))))</f>
        <v>0</v>
      </c>
      <c r="I915" s="27">
        <f>IF($G915&lt;&gt;0,SUMIF(куб!$G:$G,$G915,куб!I:I),IF($E915&lt;&gt;0,SUMIF(куб!$E:$E,$E915,куб!I:I),IF($D915&lt;&gt;0,SUMIF(куб!$D:$D,$D915,куб!I:I),IF($C915&lt;&gt;0,SUMIF(куб!$C:$C,$C915,куб!I:I),IF($B915&lt;&gt;0,SUMIF(куб!$B:$B,$B915,куб!I:I),IF($G915&lt;&gt;0,SUMIF(куб!$A:$A,$G915,куб!I:I),SUMIF(куб!$A:$A,$G915,куб!I:I)))))))</f>
        <v>0</v>
      </c>
      <c r="J915" s="19" t="str">
        <f t="shared" si="291"/>
        <v>-</v>
      </c>
      <c r="K915" s="8"/>
      <c r="L915" s="17">
        <f t="shared" si="292"/>
        <v>0</v>
      </c>
      <c r="M915" s="17">
        <f t="shared" si="293"/>
        <v>0</v>
      </c>
      <c r="N915" s="12">
        <f t="shared" si="294"/>
        <v>0</v>
      </c>
      <c r="O915" s="5"/>
      <c r="P915" s="27" t="b">
        <f>IF($G915&lt;&gt;0,SUMIF(куб!$G:$G,$G915,куб!J:J),IF($E915&lt;&gt;0,SUMIF(куб!$E:$E,$E915,куб!J:J),IF($D915&lt;&gt;0,SUMIF(куб!$D:$D,$D915,куб!J:J),IF($C915&lt;&gt;0,SUMIF(куб!$C:$C,$C915,куб!J:J),IF($B915&lt;&gt;0,SUMIF(куб!$B:$B,$B915,куб!J:J))))))</f>
        <v>0</v>
      </c>
      <c r="Q915" s="27" t="b">
        <f>IF($G915&lt;&gt;0,SUMIF(куб!$G:$G,$G915,куб!K:K),IF($E915&lt;&gt;0,SUMIF(куб!$E:$E,$E915,куб!K:K),IF($D915&lt;&gt;0,SUMIF(куб!$D:$D,$D915,куб!K:K),IF($C915&lt;&gt;0,SUMIF(куб!$C:$C,$C915,куб!K:K),IF($B915&lt;&gt;0,SUMIF(куб!$B:$B,$B915,куб!K:K))))))</f>
        <v>0</v>
      </c>
      <c r="R915" s="13" t="str">
        <f t="shared" si="295"/>
        <v>-</v>
      </c>
      <c r="S915" s="5"/>
      <c r="T915" s="27" t="b">
        <f>IF($G915&lt;&gt;0,SUMIF(куб!$G:$G,$G915,куб!L:L),IF($E915&lt;&gt;0,SUMIF(куб!$E:$E,$E915,куб!L:L),IF($D915&lt;&gt;0,SUMIF(куб!$D:$D,$D915,куб!L:L),IF($C915&lt;&gt;0,SUMIF(куб!$C:$C,$C915,куб!L:L),IF($B915&lt;&gt;0,SUMIF(куб!$B:$B,$B915,куб!L:L))))))</f>
        <v>0</v>
      </c>
      <c r="U915" s="27" t="b">
        <f>IF($G915&lt;&gt;0,SUMIF(куб!$G:$G,$G915,куб!M:M),IF($E915&lt;&gt;0,SUMIF(куб!$E:$E,$E915,куб!M:M),IF($D915&lt;&gt;0,SUMIF(куб!$D:$D,$D915,куб!M:M),IF($C915&lt;&gt;0,SUMIF(куб!$C:$C,$C915,куб!M:M),IF($B915&lt;&gt;0,SUMIF(куб!$B:$B,$B915,куб!M:M))))))</f>
        <v>0</v>
      </c>
      <c r="V915" s="13" t="str">
        <f t="shared" si="296"/>
        <v>-</v>
      </c>
      <c r="W915" s="5"/>
      <c r="X915" s="27" t="b">
        <f>IF($G915&lt;&gt;0,SUMIF(куб!$G:$G,$G915,куб!N:N),IF($E915&lt;&gt;0,SUMIF(куб!$E:$E,$E915,куб!N:N),IF($D915&lt;&gt;0,SUMIF(куб!$D:$D,$D915,куб!N:N),IF($C915&lt;&gt;0,SUMIF(куб!$C:$C,$C915,куб!N:N),IF($B915&lt;&gt;0,SUMIF(куб!$B:$B,$B915,куб!N:N))))))</f>
        <v>0</v>
      </c>
      <c r="Y915" s="27" t="b">
        <f>IF($G915&lt;&gt;0,SUMIF(куб!$G:$G,$G915,куб!O:O),IF($E915&lt;&gt;0,SUMIF(куб!$E:$E,$E915,куб!O:O),IF($D915&lt;&gt;0,SUMIF(куб!$D:$D,$D915,куб!O:O),IF($C915&lt;&gt;0,SUMIF(куб!$C:$C,$C915,куб!O:O),IF($B915&lt;&gt;0,SUMIF(куб!$B:$B,$B915,куб!O:O))))))</f>
        <v>0</v>
      </c>
      <c r="Z915" s="13" t="str">
        <f t="shared" si="297"/>
        <v>-</v>
      </c>
      <c r="AA915" s="5"/>
      <c r="AB915" s="33" t="str">
        <f t="shared" si="298"/>
        <v/>
      </c>
      <c r="AC915" s="33" t="str">
        <f t="shared" si="299"/>
        <v/>
      </c>
      <c r="AD915" s="15" t="str">
        <f t="shared" si="300"/>
        <v xml:space="preserve"> </v>
      </c>
      <c r="AE915" s="5"/>
      <c r="AF915" s="27" t="b">
        <f>IF($G915&lt;&gt;0,SUMIF(куб!$G:$G,$G915,куб!R:R),IF($E915&lt;&gt;0,SUMIF(куб!$E:$E,$E915,куб!R:R),IF($D915&lt;&gt;0,SUMIF(куб!$D:$D,$D915,куб!R:R),IF($C915&lt;&gt;0,SUMIF(куб!$C:$C,$C915,куб!R:R),IF($B915&lt;&gt;0,SUMIF(куб!$B:$B,$B915,куб!R:R))))))</f>
        <v>0</v>
      </c>
      <c r="AG915" s="27" t="b">
        <f>IF($G915&lt;&gt;0,SUMIF(куб!$G:$G,$G915,куб!S:S),IF($E915&lt;&gt;0,SUMIF(куб!$E:$E,$E915,куб!S:S),IF($D915&lt;&gt;0,SUMIF(куб!$D:$D,$D915,куб!S:S),IF($C915&lt;&gt;0,SUMIF(куб!$C:$C,$C915,куб!S:S),IF($B915&lt;&gt;0,SUMIF(куб!$B:$B,$B915,куб!S:S))))))</f>
        <v>0</v>
      </c>
      <c r="AH915" s="16" t="str">
        <f t="shared" si="301"/>
        <v>-</v>
      </c>
      <c r="AI915" s="8"/>
      <c r="AJ915" s="27" t="b">
        <f>IF($G915&lt;&gt;0,SUMIF(куб!$G:$G,$G915,куб!T:T),IF($E915&lt;&gt;0,SUMIF(куб!$E:$E,$E915,куб!T:T),IF($D915&lt;&gt;0,SUMIF(куб!$D:$D,$D915,куб!T:T),IF($C915&lt;&gt;0,SUMIF(куб!$C:$C,$C915,куб!T:T),IF($B915&lt;&gt;0,SUMIF(куб!$B:$B,$B915,куб!T:T))))))</f>
        <v>0</v>
      </c>
      <c r="AK915" s="27" t="b">
        <f>IF($G915&lt;&gt;0,SUMIF(куб!$G:$G,$G915,куб!U:U),IF($E915&lt;&gt;0,SUMIF(куб!$E:$E,$E915,куб!U:U),IF($D915&lt;&gt;0,SUMIF(куб!$D:$D,$D915,куб!U:U),IF($C915&lt;&gt;0,SUMIF(куб!$C:$C,$C915,куб!U:U),IF($B915&lt;&gt;0,SUMIF(куб!$B:$B,$B915,куб!U:U))))))</f>
        <v>0</v>
      </c>
      <c r="AL915" s="16" t="str">
        <f t="shared" si="302"/>
        <v>-</v>
      </c>
      <c r="AM915" s="8"/>
      <c r="AN915" s="17" t="str">
        <f t="shared" si="303"/>
        <v xml:space="preserve"> </v>
      </c>
      <c r="AO915" s="17" t="str">
        <f t="shared" si="304"/>
        <v xml:space="preserve"> </v>
      </c>
      <c r="AP915" s="16" t="str">
        <f t="shared" si="305"/>
        <v>-</v>
      </c>
      <c r="AQ915" s="8"/>
      <c r="AR915" s="17" t="str">
        <f t="shared" si="306"/>
        <v>-</v>
      </c>
      <c r="AS915" s="17" t="str">
        <f t="shared" si="307"/>
        <v>-</v>
      </c>
      <c r="AT915" s="13" t="str">
        <f t="shared" si="308"/>
        <v>-</v>
      </c>
      <c r="AU915" s="8"/>
    </row>
    <row r="916" spans="1:47" x14ac:dyDescent="0.25">
      <c r="A916" s="31"/>
      <c r="B916" s="31"/>
      <c r="C916"/>
      <c r="D916" s="31"/>
      <c r="E916"/>
      <c r="F916" s="31"/>
      <c r="G916"/>
      <c r="H916" s="27">
        <f>IF($G916&lt;&gt;0,SUMIF(куб!$G:$G,$G916,куб!H:H),IF($E916&lt;&gt;0,SUMIF(куб!$E:$E,$E916,куб!H:H),IF($D916&lt;&gt;0,SUMIF(куб!$D:$D,$D916,куб!H:H),IF($C916&lt;&gt;0,SUMIF(куб!$C:$C,$C916,куб!H:H),IF($B916&lt;&gt;0,SUMIF(куб!$B:$B,$B916,куб!H:H),IF($G916&lt;&gt;0,SUMIF(куб!$A:$A,$G916,куб!H:H),SUMIF(куб!$A:$A,$G916,куб!H:H)))))))</f>
        <v>0</v>
      </c>
      <c r="I916" s="27">
        <f>IF($G916&lt;&gt;0,SUMIF(куб!$G:$G,$G916,куб!I:I),IF($E916&lt;&gt;0,SUMIF(куб!$E:$E,$E916,куб!I:I),IF($D916&lt;&gt;0,SUMIF(куб!$D:$D,$D916,куб!I:I),IF($C916&lt;&gt;0,SUMIF(куб!$C:$C,$C916,куб!I:I),IF($B916&lt;&gt;0,SUMIF(куб!$B:$B,$B916,куб!I:I),IF($G916&lt;&gt;0,SUMIF(куб!$A:$A,$G916,куб!I:I),SUMIF(куб!$A:$A,$G916,куб!I:I)))))))</f>
        <v>0</v>
      </c>
      <c r="J916" s="19" t="str">
        <f t="shared" si="291"/>
        <v>-</v>
      </c>
      <c r="K916" s="8"/>
      <c r="L916" s="17">
        <f t="shared" si="292"/>
        <v>0</v>
      </c>
      <c r="M916" s="17">
        <f t="shared" si="293"/>
        <v>0</v>
      </c>
      <c r="N916" s="12">
        <f t="shared" si="294"/>
        <v>0</v>
      </c>
      <c r="O916" s="5"/>
      <c r="P916" s="27" t="b">
        <f>IF($G916&lt;&gt;0,SUMIF(куб!$G:$G,$G916,куб!J:J),IF($E916&lt;&gt;0,SUMIF(куб!$E:$E,$E916,куб!J:J),IF($D916&lt;&gt;0,SUMIF(куб!$D:$D,$D916,куб!J:J),IF($C916&lt;&gt;0,SUMIF(куб!$C:$C,$C916,куб!J:J),IF($B916&lt;&gt;0,SUMIF(куб!$B:$B,$B916,куб!J:J))))))</f>
        <v>0</v>
      </c>
      <c r="Q916" s="27" t="b">
        <f>IF($G916&lt;&gt;0,SUMIF(куб!$G:$G,$G916,куб!K:K),IF($E916&lt;&gt;0,SUMIF(куб!$E:$E,$E916,куб!K:K),IF($D916&lt;&gt;0,SUMIF(куб!$D:$D,$D916,куб!K:K),IF($C916&lt;&gt;0,SUMIF(куб!$C:$C,$C916,куб!K:K),IF($B916&lt;&gt;0,SUMIF(куб!$B:$B,$B916,куб!K:K))))))</f>
        <v>0</v>
      </c>
      <c r="R916" s="13" t="str">
        <f t="shared" si="295"/>
        <v>-</v>
      </c>
      <c r="S916" s="5"/>
      <c r="T916" s="27" t="b">
        <f>IF($G916&lt;&gt;0,SUMIF(куб!$G:$G,$G916,куб!L:L),IF($E916&lt;&gt;0,SUMIF(куб!$E:$E,$E916,куб!L:L),IF($D916&lt;&gt;0,SUMIF(куб!$D:$D,$D916,куб!L:L),IF($C916&lt;&gt;0,SUMIF(куб!$C:$C,$C916,куб!L:L),IF($B916&lt;&gt;0,SUMIF(куб!$B:$B,$B916,куб!L:L))))))</f>
        <v>0</v>
      </c>
      <c r="U916" s="27" t="b">
        <f>IF($G916&lt;&gt;0,SUMIF(куб!$G:$G,$G916,куб!M:M),IF($E916&lt;&gt;0,SUMIF(куб!$E:$E,$E916,куб!M:M),IF($D916&lt;&gt;0,SUMIF(куб!$D:$D,$D916,куб!M:M),IF($C916&lt;&gt;0,SUMIF(куб!$C:$C,$C916,куб!M:M),IF($B916&lt;&gt;0,SUMIF(куб!$B:$B,$B916,куб!M:M))))))</f>
        <v>0</v>
      </c>
      <c r="V916" s="13" t="str">
        <f t="shared" si="296"/>
        <v>-</v>
      </c>
      <c r="W916" s="5"/>
      <c r="X916" s="27" t="b">
        <f>IF($G916&lt;&gt;0,SUMIF(куб!$G:$G,$G916,куб!N:N),IF($E916&lt;&gt;0,SUMIF(куб!$E:$E,$E916,куб!N:N),IF($D916&lt;&gt;0,SUMIF(куб!$D:$D,$D916,куб!N:N),IF($C916&lt;&gt;0,SUMIF(куб!$C:$C,$C916,куб!N:N),IF($B916&lt;&gt;0,SUMIF(куб!$B:$B,$B916,куб!N:N))))))</f>
        <v>0</v>
      </c>
      <c r="Y916" s="27" t="b">
        <f>IF($G916&lt;&gt;0,SUMIF(куб!$G:$G,$G916,куб!O:O),IF($E916&lt;&gt;0,SUMIF(куб!$E:$E,$E916,куб!O:O),IF($D916&lt;&gt;0,SUMIF(куб!$D:$D,$D916,куб!O:O),IF($C916&lt;&gt;0,SUMIF(куб!$C:$C,$C916,куб!O:O),IF($B916&lt;&gt;0,SUMIF(куб!$B:$B,$B916,куб!O:O))))))</f>
        <v>0</v>
      </c>
      <c r="Z916" s="13" t="str">
        <f t="shared" si="297"/>
        <v>-</v>
      </c>
      <c r="AA916" s="5"/>
      <c r="AB916" s="33" t="str">
        <f t="shared" si="298"/>
        <v/>
      </c>
      <c r="AC916" s="33" t="str">
        <f t="shared" si="299"/>
        <v/>
      </c>
      <c r="AD916" s="15" t="str">
        <f t="shared" si="300"/>
        <v xml:space="preserve"> </v>
      </c>
      <c r="AE916" s="5"/>
      <c r="AF916" s="27" t="b">
        <f>IF($G916&lt;&gt;0,SUMIF(куб!$G:$G,$G916,куб!R:R),IF($E916&lt;&gt;0,SUMIF(куб!$E:$E,$E916,куб!R:R),IF($D916&lt;&gt;0,SUMIF(куб!$D:$D,$D916,куб!R:R),IF($C916&lt;&gt;0,SUMIF(куб!$C:$C,$C916,куб!R:R),IF($B916&lt;&gt;0,SUMIF(куб!$B:$B,$B916,куб!R:R))))))</f>
        <v>0</v>
      </c>
      <c r="AG916" s="27" t="b">
        <f>IF($G916&lt;&gt;0,SUMIF(куб!$G:$G,$G916,куб!S:S),IF($E916&lt;&gt;0,SUMIF(куб!$E:$E,$E916,куб!S:S),IF($D916&lt;&gt;0,SUMIF(куб!$D:$D,$D916,куб!S:S),IF($C916&lt;&gt;0,SUMIF(куб!$C:$C,$C916,куб!S:S),IF($B916&lt;&gt;0,SUMIF(куб!$B:$B,$B916,куб!S:S))))))</f>
        <v>0</v>
      </c>
      <c r="AH916" s="16" t="str">
        <f t="shared" si="301"/>
        <v>-</v>
      </c>
      <c r="AI916" s="8"/>
      <c r="AJ916" s="27" t="b">
        <f>IF($G916&lt;&gt;0,SUMIF(куб!$G:$G,$G916,куб!T:T),IF($E916&lt;&gt;0,SUMIF(куб!$E:$E,$E916,куб!T:T),IF($D916&lt;&gt;0,SUMIF(куб!$D:$D,$D916,куб!T:T),IF($C916&lt;&gt;0,SUMIF(куб!$C:$C,$C916,куб!T:T),IF($B916&lt;&gt;0,SUMIF(куб!$B:$B,$B916,куб!T:T))))))</f>
        <v>0</v>
      </c>
      <c r="AK916" s="27" t="b">
        <f>IF($G916&lt;&gt;0,SUMIF(куб!$G:$G,$G916,куб!U:U),IF($E916&lt;&gt;0,SUMIF(куб!$E:$E,$E916,куб!U:U),IF($D916&lt;&gt;0,SUMIF(куб!$D:$D,$D916,куб!U:U),IF($C916&lt;&gt;0,SUMIF(куб!$C:$C,$C916,куб!U:U),IF($B916&lt;&gt;0,SUMIF(куб!$B:$B,$B916,куб!U:U))))))</f>
        <v>0</v>
      </c>
      <c r="AL916" s="16" t="str">
        <f t="shared" si="302"/>
        <v>-</v>
      </c>
      <c r="AM916" s="8"/>
      <c r="AN916" s="17" t="str">
        <f t="shared" si="303"/>
        <v xml:space="preserve"> </v>
      </c>
      <c r="AO916" s="17" t="str">
        <f t="shared" si="304"/>
        <v xml:space="preserve"> </v>
      </c>
      <c r="AP916" s="16" t="str">
        <f t="shared" si="305"/>
        <v>-</v>
      </c>
      <c r="AQ916" s="8"/>
      <c r="AR916" s="17" t="str">
        <f t="shared" si="306"/>
        <v>-</v>
      </c>
      <c r="AS916" s="17" t="str">
        <f t="shared" si="307"/>
        <v>-</v>
      </c>
      <c r="AT916" s="13" t="str">
        <f t="shared" si="308"/>
        <v>-</v>
      </c>
      <c r="AU916" s="8"/>
    </row>
    <row r="917" spans="1:47" x14ac:dyDescent="0.25">
      <c r="A917" s="31"/>
      <c r="B917" s="31"/>
      <c r="C917"/>
      <c r="D917" s="31"/>
      <c r="E917"/>
      <c r="F917" s="31"/>
      <c r="G917"/>
      <c r="H917" s="27">
        <f>IF($G917&lt;&gt;0,SUMIF(куб!$G:$G,$G917,куб!H:H),IF($E917&lt;&gt;0,SUMIF(куб!$E:$E,$E917,куб!H:H),IF($D917&lt;&gt;0,SUMIF(куб!$D:$D,$D917,куб!H:H),IF($C917&lt;&gt;0,SUMIF(куб!$C:$C,$C917,куб!H:H),IF($B917&lt;&gt;0,SUMIF(куб!$B:$B,$B917,куб!H:H),IF($G917&lt;&gt;0,SUMIF(куб!$A:$A,$G917,куб!H:H),SUMIF(куб!$A:$A,$G917,куб!H:H)))))))</f>
        <v>0</v>
      </c>
      <c r="I917" s="27">
        <f>IF($G917&lt;&gt;0,SUMIF(куб!$G:$G,$G917,куб!I:I),IF($E917&lt;&gt;0,SUMIF(куб!$E:$E,$E917,куб!I:I),IF($D917&lt;&gt;0,SUMIF(куб!$D:$D,$D917,куб!I:I),IF($C917&lt;&gt;0,SUMIF(куб!$C:$C,$C917,куб!I:I),IF($B917&lt;&gt;0,SUMIF(куб!$B:$B,$B917,куб!I:I),IF($G917&lt;&gt;0,SUMIF(куб!$A:$A,$G917,куб!I:I),SUMIF(куб!$A:$A,$G917,куб!I:I)))))))</f>
        <v>0</v>
      </c>
      <c r="J917" s="19" t="str">
        <f t="shared" si="291"/>
        <v>-</v>
      </c>
      <c r="K917" s="8"/>
      <c r="L917" s="17">
        <f t="shared" si="292"/>
        <v>0</v>
      </c>
      <c r="M917" s="17">
        <f t="shared" si="293"/>
        <v>0</v>
      </c>
      <c r="N917" s="12">
        <f t="shared" si="294"/>
        <v>0</v>
      </c>
      <c r="O917" s="5"/>
      <c r="P917" s="27" t="b">
        <f>IF($G917&lt;&gt;0,SUMIF(куб!$G:$G,$G917,куб!J:J),IF($E917&lt;&gt;0,SUMIF(куб!$E:$E,$E917,куб!J:J),IF($D917&lt;&gt;0,SUMIF(куб!$D:$D,$D917,куб!J:J),IF($C917&lt;&gt;0,SUMIF(куб!$C:$C,$C917,куб!J:J),IF($B917&lt;&gt;0,SUMIF(куб!$B:$B,$B917,куб!J:J))))))</f>
        <v>0</v>
      </c>
      <c r="Q917" s="27" t="b">
        <f>IF($G917&lt;&gt;0,SUMIF(куб!$G:$G,$G917,куб!K:K),IF($E917&lt;&gt;0,SUMIF(куб!$E:$E,$E917,куб!K:K),IF($D917&lt;&gt;0,SUMIF(куб!$D:$D,$D917,куб!K:K),IF($C917&lt;&gt;0,SUMIF(куб!$C:$C,$C917,куб!K:K),IF($B917&lt;&gt;0,SUMIF(куб!$B:$B,$B917,куб!K:K))))))</f>
        <v>0</v>
      </c>
      <c r="R917" s="13" t="str">
        <f t="shared" si="295"/>
        <v>-</v>
      </c>
      <c r="S917" s="5"/>
      <c r="T917" s="27" t="b">
        <f>IF($G917&lt;&gt;0,SUMIF(куб!$G:$G,$G917,куб!L:L),IF($E917&lt;&gt;0,SUMIF(куб!$E:$E,$E917,куб!L:L),IF($D917&lt;&gt;0,SUMIF(куб!$D:$D,$D917,куб!L:L),IF($C917&lt;&gt;0,SUMIF(куб!$C:$C,$C917,куб!L:L),IF($B917&lt;&gt;0,SUMIF(куб!$B:$B,$B917,куб!L:L))))))</f>
        <v>0</v>
      </c>
      <c r="U917" s="27" t="b">
        <f>IF($G917&lt;&gt;0,SUMIF(куб!$G:$G,$G917,куб!M:M),IF($E917&lt;&gt;0,SUMIF(куб!$E:$E,$E917,куб!M:M),IF($D917&lt;&gt;0,SUMIF(куб!$D:$D,$D917,куб!M:M),IF($C917&lt;&gt;0,SUMIF(куб!$C:$C,$C917,куб!M:M),IF($B917&lt;&gt;0,SUMIF(куб!$B:$B,$B917,куб!M:M))))))</f>
        <v>0</v>
      </c>
      <c r="V917" s="13" t="str">
        <f t="shared" si="296"/>
        <v>-</v>
      </c>
      <c r="W917" s="5"/>
      <c r="X917" s="27" t="b">
        <f>IF($G917&lt;&gt;0,SUMIF(куб!$G:$G,$G917,куб!N:N),IF($E917&lt;&gt;0,SUMIF(куб!$E:$E,$E917,куб!N:N),IF($D917&lt;&gt;0,SUMIF(куб!$D:$D,$D917,куб!N:N),IF($C917&lt;&gt;0,SUMIF(куб!$C:$C,$C917,куб!N:N),IF($B917&lt;&gt;0,SUMIF(куб!$B:$B,$B917,куб!N:N))))))</f>
        <v>0</v>
      </c>
      <c r="Y917" s="27" t="b">
        <f>IF($G917&lt;&gt;0,SUMIF(куб!$G:$G,$G917,куб!O:O),IF($E917&lt;&gt;0,SUMIF(куб!$E:$E,$E917,куб!O:O),IF($D917&lt;&gt;0,SUMIF(куб!$D:$D,$D917,куб!O:O),IF($C917&lt;&gt;0,SUMIF(куб!$C:$C,$C917,куб!O:O),IF($B917&lt;&gt;0,SUMIF(куб!$B:$B,$B917,куб!O:O))))))</f>
        <v>0</v>
      </c>
      <c r="Z917" s="13" t="str">
        <f t="shared" si="297"/>
        <v>-</v>
      </c>
      <c r="AA917" s="5"/>
      <c r="AB917" s="33" t="str">
        <f t="shared" si="298"/>
        <v/>
      </c>
      <c r="AC917" s="33" t="str">
        <f t="shared" si="299"/>
        <v/>
      </c>
      <c r="AD917" s="15" t="str">
        <f t="shared" si="300"/>
        <v xml:space="preserve"> </v>
      </c>
      <c r="AE917" s="5"/>
      <c r="AF917" s="27" t="b">
        <f>IF($G917&lt;&gt;0,SUMIF(куб!$G:$G,$G917,куб!R:R),IF($E917&lt;&gt;0,SUMIF(куб!$E:$E,$E917,куб!R:R),IF($D917&lt;&gt;0,SUMIF(куб!$D:$D,$D917,куб!R:R),IF($C917&lt;&gt;0,SUMIF(куб!$C:$C,$C917,куб!R:R),IF($B917&lt;&gt;0,SUMIF(куб!$B:$B,$B917,куб!R:R))))))</f>
        <v>0</v>
      </c>
      <c r="AG917" s="27" t="b">
        <f>IF($G917&lt;&gt;0,SUMIF(куб!$G:$G,$G917,куб!S:S),IF($E917&lt;&gt;0,SUMIF(куб!$E:$E,$E917,куб!S:S),IF($D917&lt;&gt;0,SUMIF(куб!$D:$D,$D917,куб!S:S),IF($C917&lt;&gt;0,SUMIF(куб!$C:$C,$C917,куб!S:S),IF($B917&lt;&gt;0,SUMIF(куб!$B:$B,$B917,куб!S:S))))))</f>
        <v>0</v>
      </c>
      <c r="AH917" s="16" t="str">
        <f t="shared" si="301"/>
        <v>-</v>
      </c>
      <c r="AI917" s="8"/>
      <c r="AJ917" s="27" t="b">
        <f>IF($G917&lt;&gt;0,SUMIF(куб!$G:$G,$G917,куб!T:T),IF($E917&lt;&gt;0,SUMIF(куб!$E:$E,$E917,куб!T:T),IF($D917&lt;&gt;0,SUMIF(куб!$D:$D,$D917,куб!T:T),IF($C917&lt;&gt;0,SUMIF(куб!$C:$C,$C917,куб!T:T),IF($B917&lt;&gt;0,SUMIF(куб!$B:$B,$B917,куб!T:T))))))</f>
        <v>0</v>
      </c>
      <c r="AK917" s="27" t="b">
        <f>IF($G917&lt;&gt;0,SUMIF(куб!$G:$G,$G917,куб!U:U),IF($E917&lt;&gt;0,SUMIF(куб!$E:$E,$E917,куб!U:U),IF($D917&lt;&gt;0,SUMIF(куб!$D:$D,$D917,куб!U:U),IF($C917&lt;&gt;0,SUMIF(куб!$C:$C,$C917,куб!U:U),IF($B917&lt;&gt;0,SUMIF(куб!$B:$B,$B917,куб!U:U))))))</f>
        <v>0</v>
      </c>
      <c r="AL917" s="16" t="str">
        <f t="shared" si="302"/>
        <v>-</v>
      </c>
      <c r="AM917" s="8"/>
      <c r="AN917" s="17" t="str">
        <f t="shared" si="303"/>
        <v xml:space="preserve"> </v>
      </c>
      <c r="AO917" s="17" t="str">
        <f t="shared" si="304"/>
        <v xml:space="preserve"> </v>
      </c>
      <c r="AP917" s="16" t="str">
        <f t="shared" si="305"/>
        <v>-</v>
      </c>
      <c r="AQ917" s="8"/>
      <c r="AR917" s="17" t="str">
        <f t="shared" si="306"/>
        <v>-</v>
      </c>
      <c r="AS917" s="17" t="str">
        <f t="shared" si="307"/>
        <v>-</v>
      </c>
      <c r="AT917" s="13" t="str">
        <f t="shared" si="308"/>
        <v>-</v>
      </c>
      <c r="AU917" s="8"/>
    </row>
    <row r="918" spans="1:47" x14ac:dyDescent="0.25">
      <c r="A918" s="31"/>
      <c r="B918" s="31"/>
      <c r="C918"/>
      <c r="D918" s="31"/>
      <c r="E918"/>
      <c r="F918" s="31"/>
      <c r="G918"/>
      <c r="H918" s="27">
        <f>IF($G918&lt;&gt;0,SUMIF(куб!$G:$G,$G918,куб!H:H),IF($E918&lt;&gt;0,SUMIF(куб!$E:$E,$E918,куб!H:H),IF($D918&lt;&gt;0,SUMIF(куб!$D:$D,$D918,куб!H:H),IF($C918&lt;&gt;0,SUMIF(куб!$C:$C,$C918,куб!H:H),IF($B918&lt;&gt;0,SUMIF(куб!$B:$B,$B918,куб!H:H),IF($G918&lt;&gt;0,SUMIF(куб!$A:$A,$G918,куб!H:H),SUMIF(куб!$A:$A,$G918,куб!H:H)))))))</f>
        <v>0</v>
      </c>
      <c r="I918" s="27">
        <f>IF($G918&lt;&gt;0,SUMIF(куб!$G:$G,$G918,куб!I:I),IF($E918&lt;&gt;0,SUMIF(куб!$E:$E,$E918,куб!I:I),IF($D918&lt;&gt;0,SUMIF(куб!$D:$D,$D918,куб!I:I),IF($C918&lt;&gt;0,SUMIF(куб!$C:$C,$C918,куб!I:I),IF($B918&lt;&gt;0,SUMIF(куб!$B:$B,$B918,куб!I:I),IF($G918&lt;&gt;0,SUMIF(куб!$A:$A,$G918,куб!I:I),SUMIF(куб!$A:$A,$G918,куб!I:I)))))))</f>
        <v>0</v>
      </c>
      <c r="J918" s="19" t="str">
        <f t="shared" si="291"/>
        <v>-</v>
      </c>
      <c r="K918" s="8"/>
      <c r="L918" s="17">
        <f t="shared" si="292"/>
        <v>0</v>
      </c>
      <c r="M918" s="17">
        <f t="shared" si="293"/>
        <v>0</v>
      </c>
      <c r="N918" s="12">
        <f t="shared" si="294"/>
        <v>0</v>
      </c>
      <c r="O918" s="5"/>
      <c r="P918" s="27" t="b">
        <f>IF($G918&lt;&gt;0,SUMIF(куб!$G:$G,$G918,куб!J:J),IF($E918&lt;&gt;0,SUMIF(куб!$E:$E,$E918,куб!J:J),IF($D918&lt;&gt;0,SUMIF(куб!$D:$D,$D918,куб!J:J),IF($C918&lt;&gt;0,SUMIF(куб!$C:$C,$C918,куб!J:J),IF($B918&lt;&gt;0,SUMIF(куб!$B:$B,$B918,куб!J:J))))))</f>
        <v>0</v>
      </c>
      <c r="Q918" s="27" t="b">
        <f>IF($G918&lt;&gt;0,SUMIF(куб!$G:$G,$G918,куб!K:K),IF($E918&lt;&gt;0,SUMIF(куб!$E:$E,$E918,куб!K:K),IF($D918&lt;&gt;0,SUMIF(куб!$D:$D,$D918,куб!K:K),IF($C918&lt;&gt;0,SUMIF(куб!$C:$C,$C918,куб!K:K),IF($B918&lt;&gt;0,SUMIF(куб!$B:$B,$B918,куб!K:K))))))</f>
        <v>0</v>
      </c>
      <c r="R918" s="13" t="str">
        <f t="shared" si="295"/>
        <v>-</v>
      </c>
      <c r="S918" s="5"/>
      <c r="T918" s="27" t="b">
        <f>IF($G918&lt;&gt;0,SUMIF(куб!$G:$G,$G918,куб!L:L),IF($E918&lt;&gt;0,SUMIF(куб!$E:$E,$E918,куб!L:L),IF($D918&lt;&gt;0,SUMIF(куб!$D:$D,$D918,куб!L:L),IF($C918&lt;&gt;0,SUMIF(куб!$C:$C,$C918,куб!L:L),IF($B918&lt;&gt;0,SUMIF(куб!$B:$B,$B918,куб!L:L))))))</f>
        <v>0</v>
      </c>
      <c r="U918" s="27" t="b">
        <f>IF($G918&lt;&gt;0,SUMIF(куб!$G:$G,$G918,куб!M:M),IF($E918&lt;&gt;0,SUMIF(куб!$E:$E,$E918,куб!M:M),IF($D918&lt;&gt;0,SUMIF(куб!$D:$D,$D918,куб!M:M),IF($C918&lt;&gt;0,SUMIF(куб!$C:$C,$C918,куб!M:M),IF($B918&lt;&gt;0,SUMIF(куб!$B:$B,$B918,куб!M:M))))))</f>
        <v>0</v>
      </c>
      <c r="V918" s="13" t="str">
        <f t="shared" si="296"/>
        <v>-</v>
      </c>
      <c r="W918" s="5"/>
      <c r="X918" s="27" t="b">
        <f>IF($G918&lt;&gt;0,SUMIF(куб!$G:$G,$G918,куб!N:N),IF($E918&lt;&gt;0,SUMIF(куб!$E:$E,$E918,куб!N:N),IF($D918&lt;&gt;0,SUMIF(куб!$D:$D,$D918,куб!N:N),IF($C918&lt;&gt;0,SUMIF(куб!$C:$C,$C918,куб!N:N),IF($B918&lt;&gt;0,SUMIF(куб!$B:$B,$B918,куб!N:N))))))</f>
        <v>0</v>
      </c>
      <c r="Y918" s="27" t="b">
        <f>IF($G918&lt;&gt;0,SUMIF(куб!$G:$G,$G918,куб!O:O),IF($E918&lt;&gt;0,SUMIF(куб!$E:$E,$E918,куб!O:O),IF($D918&lt;&gt;0,SUMIF(куб!$D:$D,$D918,куб!O:O),IF($C918&lt;&gt;0,SUMIF(куб!$C:$C,$C918,куб!O:O),IF($B918&lt;&gt;0,SUMIF(куб!$B:$B,$B918,куб!O:O))))))</f>
        <v>0</v>
      </c>
      <c r="Z918" s="13" t="str">
        <f t="shared" si="297"/>
        <v>-</v>
      </c>
      <c r="AA918" s="5"/>
      <c r="AB918" s="33" t="str">
        <f t="shared" si="298"/>
        <v/>
      </c>
      <c r="AC918" s="33" t="str">
        <f t="shared" si="299"/>
        <v/>
      </c>
      <c r="AD918" s="15" t="str">
        <f t="shared" si="300"/>
        <v xml:space="preserve"> </v>
      </c>
      <c r="AE918" s="5"/>
      <c r="AF918" s="27" t="b">
        <f>IF($G918&lt;&gt;0,SUMIF(куб!$G:$G,$G918,куб!R:R),IF($E918&lt;&gt;0,SUMIF(куб!$E:$E,$E918,куб!R:R),IF($D918&lt;&gt;0,SUMIF(куб!$D:$D,$D918,куб!R:R),IF($C918&lt;&gt;0,SUMIF(куб!$C:$C,$C918,куб!R:R),IF($B918&lt;&gt;0,SUMIF(куб!$B:$B,$B918,куб!R:R))))))</f>
        <v>0</v>
      </c>
      <c r="AG918" s="27" t="b">
        <f>IF($G918&lt;&gt;0,SUMIF(куб!$G:$G,$G918,куб!S:S),IF($E918&lt;&gt;0,SUMIF(куб!$E:$E,$E918,куб!S:S),IF($D918&lt;&gt;0,SUMIF(куб!$D:$D,$D918,куб!S:S),IF($C918&lt;&gt;0,SUMIF(куб!$C:$C,$C918,куб!S:S),IF($B918&lt;&gt;0,SUMIF(куб!$B:$B,$B918,куб!S:S))))))</f>
        <v>0</v>
      </c>
      <c r="AH918" s="16" t="str">
        <f t="shared" si="301"/>
        <v>-</v>
      </c>
      <c r="AI918" s="8"/>
      <c r="AJ918" s="27" t="b">
        <f>IF($G918&lt;&gt;0,SUMIF(куб!$G:$G,$G918,куб!T:T),IF($E918&lt;&gt;0,SUMIF(куб!$E:$E,$E918,куб!T:T),IF($D918&lt;&gt;0,SUMIF(куб!$D:$D,$D918,куб!T:T),IF($C918&lt;&gt;0,SUMIF(куб!$C:$C,$C918,куб!T:T),IF($B918&lt;&gt;0,SUMIF(куб!$B:$B,$B918,куб!T:T))))))</f>
        <v>0</v>
      </c>
      <c r="AK918" s="27" t="b">
        <f>IF($G918&lt;&gt;0,SUMIF(куб!$G:$G,$G918,куб!U:U),IF($E918&lt;&gt;0,SUMIF(куб!$E:$E,$E918,куб!U:U),IF($D918&lt;&gt;0,SUMIF(куб!$D:$D,$D918,куб!U:U),IF($C918&lt;&gt;0,SUMIF(куб!$C:$C,$C918,куб!U:U),IF($B918&lt;&gt;0,SUMIF(куб!$B:$B,$B918,куб!U:U))))))</f>
        <v>0</v>
      </c>
      <c r="AL918" s="16" t="str">
        <f t="shared" si="302"/>
        <v>-</v>
      </c>
      <c r="AM918" s="8"/>
      <c r="AN918" s="17" t="str">
        <f t="shared" si="303"/>
        <v xml:space="preserve"> </v>
      </c>
      <c r="AO918" s="17" t="str">
        <f t="shared" si="304"/>
        <v xml:space="preserve"> </v>
      </c>
      <c r="AP918" s="16" t="str">
        <f t="shared" si="305"/>
        <v>-</v>
      </c>
      <c r="AQ918" s="8"/>
      <c r="AR918" s="17" t="str">
        <f t="shared" si="306"/>
        <v>-</v>
      </c>
      <c r="AS918" s="17" t="str">
        <f t="shared" si="307"/>
        <v>-</v>
      </c>
      <c r="AT918" s="13" t="str">
        <f t="shared" si="308"/>
        <v>-</v>
      </c>
      <c r="AU918" s="8"/>
    </row>
    <row r="919" spans="1:47" x14ac:dyDescent="0.25">
      <c r="A919" s="31"/>
      <c r="B919" s="31"/>
      <c r="C919"/>
      <c r="D919" s="31"/>
      <c r="E919"/>
      <c r="F919" s="31"/>
      <c r="G919"/>
      <c r="H919" s="27">
        <f>IF($G919&lt;&gt;0,SUMIF(куб!$G:$G,$G919,куб!H:H),IF($E919&lt;&gt;0,SUMIF(куб!$E:$E,$E919,куб!H:H),IF($D919&lt;&gt;0,SUMIF(куб!$D:$D,$D919,куб!H:H),IF($C919&lt;&gt;0,SUMIF(куб!$C:$C,$C919,куб!H:H),IF($B919&lt;&gt;0,SUMIF(куб!$B:$B,$B919,куб!H:H),IF($G919&lt;&gt;0,SUMIF(куб!$A:$A,$G919,куб!H:H),SUMIF(куб!$A:$A,$G919,куб!H:H)))))))</f>
        <v>0</v>
      </c>
      <c r="I919" s="27">
        <f>IF($G919&lt;&gt;0,SUMIF(куб!$G:$G,$G919,куб!I:I),IF($E919&lt;&gt;0,SUMIF(куб!$E:$E,$E919,куб!I:I),IF($D919&lt;&gt;0,SUMIF(куб!$D:$D,$D919,куб!I:I),IF($C919&lt;&gt;0,SUMIF(куб!$C:$C,$C919,куб!I:I),IF($B919&lt;&gt;0,SUMIF(куб!$B:$B,$B919,куб!I:I),IF($G919&lt;&gt;0,SUMIF(куб!$A:$A,$G919,куб!I:I),SUMIF(куб!$A:$A,$G919,куб!I:I)))))))</f>
        <v>0</v>
      </c>
      <c r="J919" s="19" t="str">
        <f t="shared" si="291"/>
        <v>-</v>
      </c>
      <c r="K919" s="8"/>
      <c r="L919" s="17">
        <f t="shared" si="292"/>
        <v>0</v>
      </c>
      <c r="M919" s="17">
        <f t="shared" si="293"/>
        <v>0</v>
      </c>
      <c r="N919" s="12">
        <f t="shared" si="294"/>
        <v>0</v>
      </c>
      <c r="O919" s="5"/>
      <c r="P919" s="27" t="b">
        <f>IF($G919&lt;&gt;0,SUMIF(куб!$G:$G,$G919,куб!J:J),IF($E919&lt;&gt;0,SUMIF(куб!$E:$E,$E919,куб!J:J),IF($D919&lt;&gt;0,SUMIF(куб!$D:$D,$D919,куб!J:J),IF($C919&lt;&gt;0,SUMIF(куб!$C:$C,$C919,куб!J:J),IF($B919&lt;&gt;0,SUMIF(куб!$B:$B,$B919,куб!J:J))))))</f>
        <v>0</v>
      </c>
      <c r="Q919" s="27" t="b">
        <f>IF($G919&lt;&gt;0,SUMIF(куб!$G:$G,$G919,куб!K:K),IF($E919&lt;&gt;0,SUMIF(куб!$E:$E,$E919,куб!K:K),IF($D919&lt;&gt;0,SUMIF(куб!$D:$D,$D919,куб!K:K),IF($C919&lt;&gt;0,SUMIF(куб!$C:$C,$C919,куб!K:K),IF($B919&lt;&gt;0,SUMIF(куб!$B:$B,$B919,куб!K:K))))))</f>
        <v>0</v>
      </c>
      <c r="R919" s="13" t="str">
        <f t="shared" si="295"/>
        <v>-</v>
      </c>
      <c r="S919" s="5"/>
      <c r="T919" s="27" t="b">
        <f>IF($G919&lt;&gt;0,SUMIF(куб!$G:$G,$G919,куб!L:L),IF($E919&lt;&gt;0,SUMIF(куб!$E:$E,$E919,куб!L:L),IF($D919&lt;&gt;0,SUMIF(куб!$D:$D,$D919,куб!L:L),IF($C919&lt;&gt;0,SUMIF(куб!$C:$C,$C919,куб!L:L),IF($B919&lt;&gt;0,SUMIF(куб!$B:$B,$B919,куб!L:L))))))</f>
        <v>0</v>
      </c>
      <c r="U919" s="27" t="b">
        <f>IF($G919&lt;&gt;0,SUMIF(куб!$G:$G,$G919,куб!M:M),IF($E919&lt;&gt;0,SUMIF(куб!$E:$E,$E919,куб!M:M),IF($D919&lt;&gt;0,SUMIF(куб!$D:$D,$D919,куб!M:M),IF($C919&lt;&gt;0,SUMIF(куб!$C:$C,$C919,куб!M:M),IF($B919&lt;&gt;0,SUMIF(куб!$B:$B,$B919,куб!M:M))))))</f>
        <v>0</v>
      </c>
      <c r="V919" s="13" t="str">
        <f t="shared" si="296"/>
        <v>-</v>
      </c>
      <c r="W919" s="5"/>
      <c r="X919" s="27" t="b">
        <f>IF($G919&lt;&gt;0,SUMIF(куб!$G:$G,$G919,куб!N:N),IF($E919&lt;&gt;0,SUMIF(куб!$E:$E,$E919,куб!N:N),IF($D919&lt;&gt;0,SUMIF(куб!$D:$D,$D919,куб!N:N),IF($C919&lt;&gt;0,SUMIF(куб!$C:$C,$C919,куб!N:N),IF($B919&lt;&gt;0,SUMIF(куб!$B:$B,$B919,куб!N:N))))))</f>
        <v>0</v>
      </c>
      <c r="Y919" s="27" t="b">
        <f>IF($G919&lt;&gt;0,SUMIF(куб!$G:$G,$G919,куб!O:O),IF($E919&lt;&gt;0,SUMIF(куб!$E:$E,$E919,куб!O:O),IF($D919&lt;&gt;0,SUMIF(куб!$D:$D,$D919,куб!O:O),IF($C919&lt;&gt;0,SUMIF(куб!$C:$C,$C919,куб!O:O),IF($B919&lt;&gt;0,SUMIF(куб!$B:$B,$B919,куб!O:O))))))</f>
        <v>0</v>
      </c>
      <c r="Z919" s="13" t="str">
        <f t="shared" si="297"/>
        <v>-</v>
      </c>
      <c r="AA919" s="5"/>
      <c r="AB919" s="33" t="str">
        <f t="shared" si="298"/>
        <v/>
      </c>
      <c r="AC919" s="33" t="str">
        <f t="shared" si="299"/>
        <v/>
      </c>
      <c r="AD919" s="15" t="str">
        <f t="shared" si="300"/>
        <v xml:space="preserve"> </v>
      </c>
      <c r="AE919" s="5"/>
      <c r="AF919" s="27" t="b">
        <f>IF($G919&lt;&gt;0,SUMIF(куб!$G:$G,$G919,куб!R:R),IF($E919&lt;&gt;0,SUMIF(куб!$E:$E,$E919,куб!R:R),IF($D919&lt;&gt;0,SUMIF(куб!$D:$D,$D919,куб!R:R),IF($C919&lt;&gt;0,SUMIF(куб!$C:$C,$C919,куб!R:R),IF($B919&lt;&gt;0,SUMIF(куб!$B:$B,$B919,куб!R:R))))))</f>
        <v>0</v>
      </c>
      <c r="AG919" s="27" t="b">
        <f>IF($G919&lt;&gt;0,SUMIF(куб!$G:$G,$G919,куб!S:S),IF($E919&lt;&gt;0,SUMIF(куб!$E:$E,$E919,куб!S:S),IF($D919&lt;&gt;0,SUMIF(куб!$D:$D,$D919,куб!S:S),IF($C919&lt;&gt;0,SUMIF(куб!$C:$C,$C919,куб!S:S),IF($B919&lt;&gt;0,SUMIF(куб!$B:$B,$B919,куб!S:S))))))</f>
        <v>0</v>
      </c>
      <c r="AH919" s="16" t="str">
        <f t="shared" si="301"/>
        <v>-</v>
      </c>
      <c r="AI919" s="8"/>
      <c r="AJ919" s="27" t="b">
        <f>IF($G919&lt;&gt;0,SUMIF(куб!$G:$G,$G919,куб!T:T),IF($E919&lt;&gt;0,SUMIF(куб!$E:$E,$E919,куб!T:T),IF($D919&lt;&gt;0,SUMIF(куб!$D:$D,$D919,куб!T:T),IF($C919&lt;&gt;0,SUMIF(куб!$C:$C,$C919,куб!T:T),IF($B919&lt;&gt;0,SUMIF(куб!$B:$B,$B919,куб!T:T))))))</f>
        <v>0</v>
      </c>
      <c r="AK919" s="27" t="b">
        <f>IF($G919&lt;&gt;0,SUMIF(куб!$G:$G,$G919,куб!U:U),IF($E919&lt;&gt;0,SUMIF(куб!$E:$E,$E919,куб!U:U),IF($D919&lt;&gt;0,SUMIF(куб!$D:$D,$D919,куб!U:U),IF($C919&lt;&gt;0,SUMIF(куб!$C:$C,$C919,куб!U:U),IF($B919&lt;&gt;0,SUMIF(куб!$B:$B,$B919,куб!U:U))))))</f>
        <v>0</v>
      </c>
      <c r="AL919" s="16" t="str">
        <f t="shared" si="302"/>
        <v>-</v>
      </c>
      <c r="AM919" s="8"/>
      <c r="AN919" s="17" t="str">
        <f t="shared" si="303"/>
        <v xml:space="preserve"> </v>
      </c>
      <c r="AO919" s="17" t="str">
        <f t="shared" si="304"/>
        <v xml:space="preserve"> </v>
      </c>
      <c r="AP919" s="16" t="str">
        <f t="shared" si="305"/>
        <v>-</v>
      </c>
      <c r="AQ919" s="8"/>
      <c r="AR919" s="17" t="str">
        <f t="shared" si="306"/>
        <v>-</v>
      </c>
      <c r="AS919" s="17" t="str">
        <f t="shared" si="307"/>
        <v>-</v>
      </c>
      <c r="AT919" s="13" t="str">
        <f t="shared" si="308"/>
        <v>-</v>
      </c>
      <c r="AU919" s="8"/>
    </row>
    <row r="920" spans="1:47" x14ac:dyDescent="0.25">
      <c r="A920" s="31"/>
      <c r="B920" s="31"/>
      <c r="C920"/>
      <c r="D920" s="31"/>
      <c r="E920"/>
      <c r="F920" s="31"/>
      <c r="G920"/>
      <c r="H920" s="27">
        <f>IF($G920&lt;&gt;0,SUMIF(куб!$G:$G,$G920,куб!H:H),IF($E920&lt;&gt;0,SUMIF(куб!$E:$E,$E920,куб!H:H),IF($D920&lt;&gt;0,SUMIF(куб!$D:$D,$D920,куб!H:H),IF($C920&lt;&gt;0,SUMIF(куб!$C:$C,$C920,куб!H:H),IF($B920&lt;&gt;0,SUMIF(куб!$B:$B,$B920,куб!H:H),IF($G920&lt;&gt;0,SUMIF(куб!$A:$A,$G920,куб!H:H),SUMIF(куб!$A:$A,$G920,куб!H:H)))))))</f>
        <v>0</v>
      </c>
      <c r="I920" s="27">
        <f>IF($G920&lt;&gt;0,SUMIF(куб!$G:$G,$G920,куб!I:I),IF($E920&lt;&gt;0,SUMIF(куб!$E:$E,$E920,куб!I:I),IF($D920&lt;&gt;0,SUMIF(куб!$D:$D,$D920,куб!I:I),IF($C920&lt;&gt;0,SUMIF(куб!$C:$C,$C920,куб!I:I),IF($B920&lt;&gt;0,SUMIF(куб!$B:$B,$B920,куб!I:I),IF($G920&lt;&gt;0,SUMIF(куб!$A:$A,$G920,куб!I:I),SUMIF(куб!$A:$A,$G920,куб!I:I)))))))</f>
        <v>0</v>
      </c>
      <c r="J920" s="19" t="str">
        <f t="shared" si="291"/>
        <v>-</v>
      </c>
      <c r="K920" s="8"/>
      <c r="L920" s="17">
        <f t="shared" si="292"/>
        <v>0</v>
      </c>
      <c r="M920" s="17">
        <f t="shared" si="293"/>
        <v>0</v>
      </c>
      <c r="N920" s="12">
        <f t="shared" si="294"/>
        <v>0</v>
      </c>
      <c r="O920" s="5"/>
      <c r="P920" s="27" t="b">
        <f>IF($G920&lt;&gt;0,SUMIF(куб!$G:$G,$G920,куб!J:J),IF($E920&lt;&gt;0,SUMIF(куб!$E:$E,$E920,куб!J:J),IF($D920&lt;&gt;0,SUMIF(куб!$D:$D,$D920,куб!J:J),IF($C920&lt;&gt;0,SUMIF(куб!$C:$C,$C920,куб!J:J),IF($B920&lt;&gt;0,SUMIF(куб!$B:$B,$B920,куб!J:J))))))</f>
        <v>0</v>
      </c>
      <c r="Q920" s="27" t="b">
        <f>IF($G920&lt;&gt;0,SUMIF(куб!$G:$G,$G920,куб!K:K),IF($E920&lt;&gt;0,SUMIF(куб!$E:$E,$E920,куб!K:K),IF($D920&lt;&gt;0,SUMIF(куб!$D:$D,$D920,куб!K:K),IF($C920&lt;&gt;0,SUMIF(куб!$C:$C,$C920,куб!K:K),IF($B920&lt;&gt;0,SUMIF(куб!$B:$B,$B920,куб!K:K))))))</f>
        <v>0</v>
      </c>
      <c r="R920" s="13" t="str">
        <f t="shared" si="295"/>
        <v>-</v>
      </c>
      <c r="S920" s="5"/>
      <c r="T920" s="27" t="b">
        <f>IF($G920&lt;&gt;0,SUMIF(куб!$G:$G,$G920,куб!L:L),IF($E920&lt;&gt;0,SUMIF(куб!$E:$E,$E920,куб!L:L),IF($D920&lt;&gt;0,SUMIF(куб!$D:$D,$D920,куб!L:L),IF($C920&lt;&gt;0,SUMIF(куб!$C:$C,$C920,куб!L:L),IF($B920&lt;&gt;0,SUMIF(куб!$B:$B,$B920,куб!L:L))))))</f>
        <v>0</v>
      </c>
      <c r="U920" s="27" t="b">
        <f>IF($G920&lt;&gt;0,SUMIF(куб!$G:$G,$G920,куб!M:M),IF($E920&lt;&gt;0,SUMIF(куб!$E:$E,$E920,куб!M:M),IF($D920&lt;&gt;0,SUMIF(куб!$D:$D,$D920,куб!M:M),IF($C920&lt;&gt;0,SUMIF(куб!$C:$C,$C920,куб!M:M),IF($B920&lt;&gt;0,SUMIF(куб!$B:$B,$B920,куб!M:M))))))</f>
        <v>0</v>
      </c>
      <c r="V920" s="13" t="str">
        <f t="shared" si="296"/>
        <v>-</v>
      </c>
      <c r="W920" s="5"/>
      <c r="X920" s="27" t="b">
        <f>IF($G920&lt;&gt;0,SUMIF(куб!$G:$G,$G920,куб!N:N),IF($E920&lt;&gt;0,SUMIF(куб!$E:$E,$E920,куб!N:N),IF($D920&lt;&gt;0,SUMIF(куб!$D:$D,$D920,куб!N:N),IF($C920&lt;&gt;0,SUMIF(куб!$C:$C,$C920,куб!N:N),IF($B920&lt;&gt;0,SUMIF(куб!$B:$B,$B920,куб!N:N))))))</f>
        <v>0</v>
      </c>
      <c r="Y920" s="27" t="b">
        <f>IF($G920&lt;&gt;0,SUMIF(куб!$G:$G,$G920,куб!O:O),IF($E920&lt;&gt;0,SUMIF(куб!$E:$E,$E920,куб!O:O),IF($D920&lt;&gt;0,SUMIF(куб!$D:$D,$D920,куб!O:O),IF($C920&lt;&gt;0,SUMIF(куб!$C:$C,$C920,куб!O:O),IF($B920&lt;&gt;0,SUMIF(куб!$B:$B,$B920,куб!O:O))))))</f>
        <v>0</v>
      </c>
      <c r="Z920" s="13" t="str">
        <f t="shared" si="297"/>
        <v>-</v>
      </c>
      <c r="AA920" s="5"/>
      <c r="AB920" s="33" t="str">
        <f t="shared" si="298"/>
        <v/>
      </c>
      <c r="AC920" s="33" t="str">
        <f t="shared" si="299"/>
        <v/>
      </c>
      <c r="AD920" s="15" t="str">
        <f t="shared" si="300"/>
        <v xml:space="preserve"> </v>
      </c>
      <c r="AE920" s="5"/>
      <c r="AF920" s="27" t="b">
        <f>IF($G920&lt;&gt;0,SUMIF(куб!$G:$G,$G920,куб!R:R),IF($E920&lt;&gt;0,SUMIF(куб!$E:$E,$E920,куб!R:R),IF($D920&lt;&gt;0,SUMIF(куб!$D:$D,$D920,куб!R:R),IF($C920&lt;&gt;0,SUMIF(куб!$C:$C,$C920,куб!R:R),IF($B920&lt;&gt;0,SUMIF(куб!$B:$B,$B920,куб!R:R))))))</f>
        <v>0</v>
      </c>
      <c r="AG920" s="27" t="b">
        <f>IF($G920&lt;&gt;0,SUMIF(куб!$G:$G,$G920,куб!S:S),IF($E920&lt;&gt;0,SUMIF(куб!$E:$E,$E920,куб!S:S),IF($D920&lt;&gt;0,SUMIF(куб!$D:$D,$D920,куб!S:S),IF($C920&lt;&gt;0,SUMIF(куб!$C:$C,$C920,куб!S:S),IF($B920&lt;&gt;0,SUMIF(куб!$B:$B,$B920,куб!S:S))))))</f>
        <v>0</v>
      </c>
      <c r="AH920" s="16" t="str">
        <f t="shared" si="301"/>
        <v>-</v>
      </c>
      <c r="AI920" s="8"/>
      <c r="AJ920" s="27" t="b">
        <f>IF($G920&lt;&gt;0,SUMIF(куб!$G:$G,$G920,куб!T:T),IF($E920&lt;&gt;0,SUMIF(куб!$E:$E,$E920,куб!T:T),IF($D920&lt;&gt;0,SUMIF(куб!$D:$D,$D920,куб!T:T),IF($C920&lt;&gt;0,SUMIF(куб!$C:$C,$C920,куб!T:T),IF($B920&lt;&gt;0,SUMIF(куб!$B:$B,$B920,куб!T:T))))))</f>
        <v>0</v>
      </c>
      <c r="AK920" s="27" t="b">
        <f>IF($G920&lt;&gt;0,SUMIF(куб!$G:$G,$G920,куб!U:U),IF($E920&lt;&gt;0,SUMIF(куб!$E:$E,$E920,куб!U:U),IF($D920&lt;&gt;0,SUMIF(куб!$D:$D,$D920,куб!U:U),IF($C920&lt;&gt;0,SUMIF(куб!$C:$C,$C920,куб!U:U),IF($B920&lt;&gt;0,SUMIF(куб!$B:$B,$B920,куб!U:U))))))</f>
        <v>0</v>
      </c>
      <c r="AL920" s="16" t="str">
        <f t="shared" si="302"/>
        <v>-</v>
      </c>
      <c r="AM920" s="8"/>
      <c r="AN920" s="17" t="str">
        <f t="shared" si="303"/>
        <v xml:space="preserve"> </v>
      </c>
      <c r="AO920" s="17" t="str">
        <f t="shared" si="304"/>
        <v xml:space="preserve"> </v>
      </c>
      <c r="AP920" s="16" t="str">
        <f t="shared" si="305"/>
        <v>-</v>
      </c>
      <c r="AQ920" s="8"/>
      <c r="AR920" s="17" t="str">
        <f t="shared" si="306"/>
        <v>-</v>
      </c>
      <c r="AS920" s="17" t="str">
        <f t="shared" si="307"/>
        <v>-</v>
      </c>
      <c r="AT920" s="13" t="str">
        <f t="shared" si="308"/>
        <v>-</v>
      </c>
      <c r="AU920" s="8"/>
    </row>
    <row r="921" spans="1:47" x14ac:dyDescent="0.25">
      <c r="A921" s="31"/>
      <c r="B921" s="31"/>
      <c r="C921"/>
      <c r="D921" s="31"/>
      <c r="E921"/>
      <c r="F921" s="31"/>
      <c r="G921"/>
      <c r="H921" s="27">
        <f>IF($G921&lt;&gt;0,SUMIF(куб!$G:$G,$G921,куб!H:H),IF($E921&lt;&gt;0,SUMIF(куб!$E:$E,$E921,куб!H:H),IF($D921&lt;&gt;0,SUMIF(куб!$D:$D,$D921,куб!H:H),IF($C921&lt;&gt;0,SUMIF(куб!$C:$C,$C921,куб!H:H),IF($B921&lt;&gt;0,SUMIF(куб!$B:$B,$B921,куб!H:H),IF($G921&lt;&gt;0,SUMIF(куб!$A:$A,$G921,куб!H:H),SUMIF(куб!$A:$A,$G921,куб!H:H)))))))</f>
        <v>0</v>
      </c>
      <c r="I921" s="27">
        <f>IF($G921&lt;&gt;0,SUMIF(куб!$G:$G,$G921,куб!I:I),IF($E921&lt;&gt;0,SUMIF(куб!$E:$E,$E921,куб!I:I),IF($D921&lt;&gt;0,SUMIF(куб!$D:$D,$D921,куб!I:I),IF($C921&lt;&gt;0,SUMIF(куб!$C:$C,$C921,куб!I:I),IF($B921&lt;&gt;0,SUMIF(куб!$B:$B,$B921,куб!I:I),IF($G921&lt;&gt;0,SUMIF(куб!$A:$A,$G921,куб!I:I),SUMIF(куб!$A:$A,$G921,куб!I:I)))))))</f>
        <v>0</v>
      </c>
      <c r="J921" s="19" t="str">
        <f t="shared" si="291"/>
        <v>-</v>
      </c>
      <c r="K921" s="8"/>
      <c r="L921" s="17">
        <f t="shared" si="292"/>
        <v>0</v>
      </c>
      <c r="M921" s="17">
        <f t="shared" si="293"/>
        <v>0</v>
      </c>
      <c r="N921" s="12">
        <f t="shared" si="294"/>
        <v>0</v>
      </c>
      <c r="O921" s="5"/>
      <c r="P921" s="27" t="b">
        <f>IF($G921&lt;&gt;0,SUMIF(куб!$G:$G,$G921,куб!J:J),IF($E921&lt;&gt;0,SUMIF(куб!$E:$E,$E921,куб!J:J),IF($D921&lt;&gt;0,SUMIF(куб!$D:$D,$D921,куб!J:J),IF($C921&lt;&gt;0,SUMIF(куб!$C:$C,$C921,куб!J:J),IF($B921&lt;&gt;0,SUMIF(куб!$B:$B,$B921,куб!J:J))))))</f>
        <v>0</v>
      </c>
      <c r="Q921" s="27" t="b">
        <f>IF($G921&lt;&gt;0,SUMIF(куб!$G:$G,$G921,куб!K:K),IF($E921&lt;&gt;0,SUMIF(куб!$E:$E,$E921,куб!K:K),IF($D921&lt;&gt;0,SUMIF(куб!$D:$D,$D921,куб!K:K),IF($C921&lt;&gt;0,SUMIF(куб!$C:$C,$C921,куб!K:K),IF($B921&lt;&gt;0,SUMIF(куб!$B:$B,$B921,куб!K:K))))))</f>
        <v>0</v>
      </c>
      <c r="R921" s="13" t="str">
        <f t="shared" si="295"/>
        <v>-</v>
      </c>
      <c r="S921" s="5"/>
      <c r="T921" s="27" t="b">
        <f>IF($G921&lt;&gt;0,SUMIF(куб!$G:$G,$G921,куб!L:L),IF($E921&lt;&gt;0,SUMIF(куб!$E:$E,$E921,куб!L:L),IF($D921&lt;&gt;0,SUMIF(куб!$D:$D,$D921,куб!L:L),IF($C921&lt;&gt;0,SUMIF(куб!$C:$C,$C921,куб!L:L),IF($B921&lt;&gt;0,SUMIF(куб!$B:$B,$B921,куб!L:L))))))</f>
        <v>0</v>
      </c>
      <c r="U921" s="27" t="b">
        <f>IF($G921&lt;&gt;0,SUMIF(куб!$G:$G,$G921,куб!M:M),IF($E921&lt;&gt;0,SUMIF(куб!$E:$E,$E921,куб!M:M),IF($D921&lt;&gt;0,SUMIF(куб!$D:$D,$D921,куб!M:M),IF($C921&lt;&gt;0,SUMIF(куб!$C:$C,$C921,куб!M:M),IF($B921&lt;&gt;0,SUMIF(куб!$B:$B,$B921,куб!M:M))))))</f>
        <v>0</v>
      </c>
      <c r="V921" s="13" t="str">
        <f t="shared" si="296"/>
        <v>-</v>
      </c>
      <c r="W921" s="5"/>
      <c r="X921" s="27" t="b">
        <f>IF($G921&lt;&gt;0,SUMIF(куб!$G:$G,$G921,куб!N:N),IF($E921&lt;&gt;0,SUMIF(куб!$E:$E,$E921,куб!N:N),IF($D921&lt;&gt;0,SUMIF(куб!$D:$D,$D921,куб!N:N),IF($C921&lt;&gt;0,SUMIF(куб!$C:$C,$C921,куб!N:N),IF($B921&lt;&gt;0,SUMIF(куб!$B:$B,$B921,куб!N:N))))))</f>
        <v>0</v>
      </c>
      <c r="Y921" s="27" t="b">
        <f>IF($G921&lt;&gt;0,SUMIF(куб!$G:$G,$G921,куб!O:O),IF($E921&lt;&gt;0,SUMIF(куб!$E:$E,$E921,куб!O:O),IF($D921&lt;&gt;0,SUMIF(куб!$D:$D,$D921,куб!O:O),IF($C921&lt;&gt;0,SUMIF(куб!$C:$C,$C921,куб!O:O),IF($B921&lt;&gt;0,SUMIF(куб!$B:$B,$B921,куб!O:O))))))</f>
        <v>0</v>
      </c>
      <c r="Z921" s="13" t="str">
        <f t="shared" si="297"/>
        <v>-</v>
      </c>
      <c r="AA921" s="5"/>
      <c r="AB921" s="33" t="str">
        <f t="shared" si="298"/>
        <v/>
      </c>
      <c r="AC921" s="33" t="str">
        <f t="shared" si="299"/>
        <v/>
      </c>
      <c r="AD921" s="15" t="str">
        <f t="shared" si="300"/>
        <v xml:space="preserve"> </v>
      </c>
      <c r="AE921" s="5"/>
      <c r="AF921" s="27" t="b">
        <f>IF($G921&lt;&gt;0,SUMIF(куб!$G:$G,$G921,куб!R:R),IF($E921&lt;&gt;0,SUMIF(куб!$E:$E,$E921,куб!R:R),IF($D921&lt;&gt;0,SUMIF(куб!$D:$D,$D921,куб!R:R),IF($C921&lt;&gt;0,SUMIF(куб!$C:$C,$C921,куб!R:R),IF($B921&lt;&gt;0,SUMIF(куб!$B:$B,$B921,куб!R:R))))))</f>
        <v>0</v>
      </c>
      <c r="AG921" s="27" t="b">
        <f>IF($G921&lt;&gt;0,SUMIF(куб!$G:$G,$G921,куб!S:S),IF($E921&lt;&gt;0,SUMIF(куб!$E:$E,$E921,куб!S:S),IF($D921&lt;&gt;0,SUMIF(куб!$D:$D,$D921,куб!S:S),IF($C921&lt;&gt;0,SUMIF(куб!$C:$C,$C921,куб!S:S),IF($B921&lt;&gt;0,SUMIF(куб!$B:$B,$B921,куб!S:S))))))</f>
        <v>0</v>
      </c>
      <c r="AH921" s="16" t="str">
        <f t="shared" si="301"/>
        <v>-</v>
      </c>
      <c r="AI921" s="8"/>
      <c r="AJ921" s="27" t="b">
        <f>IF($G921&lt;&gt;0,SUMIF(куб!$G:$G,$G921,куб!T:T),IF($E921&lt;&gt;0,SUMIF(куб!$E:$E,$E921,куб!T:T),IF($D921&lt;&gt;0,SUMIF(куб!$D:$D,$D921,куб!T:T),IF($C921&lt;&gt;0,SUMIF(куб!$C:$C,$C921,куб!T:T),IF($B921&lt;&gt;0,SUMIF(куб!$B:$B,$B921,куб!T:T))))))</f>
        <v>0</v>
      </c>
      <c r="AK921" s="27" t="b">
        <f>IF($G921&lt;&gt;0,SUMIF(куб!$G:$G,$G921,куб!U:U),IF($E921&lt;&gt;0,SUMIF(куб!$E:$E,$E921,куб!U:U),IF($D921&lt;&gt;0,SUMIF(куб!$D:$D,$D921,куб!U:U),IF($C921&lt;&gt;0,SUMIF(куб!$C:$C,$C921,куб!U:U),IF($B921&lt;&gt;0,SUMIF(куб!$B:$B,$B921,куб!U:U))))))</f>
        <v>0</v>
      </c>
      <c r="AL921" s="16" t="str">
        <f t="shared" si="302"/>
        <v>-</v>
      </c>
      <c r="AM921" s="8"/>
      <c r="AN921" s="17" t="str">
        <f t="shared" si="303"/>
        <v xml:space="preserve"> </v>
      </c>
      <c r="AO921" s="17" t="str">
        <f t="shared" si="304"/>
        <v xml:space="preserve"> </v>
      </c>
      <c r="AP921" s="16" t="str">
        <f t="shared" si="305"/>
        <v>-</v>
      </c>
      <c r="AQ921" s="8"/>
      <c r="AR921" s="17" t="str">
        <f t="shared" si="306"/>
        <v>-</v>
      </c>
      <c r="AS921" s="17" t="str">
        <f t="shared" si="307"/>
        <v>-</v>
      </c>
      <c r="AT921" s="13" t="str">
        <f t="shared" si="308"/>
        <v>-</v>
      </c>
      <c r="AU921" s="8"/>
    </row>
    <row r="922" spans="1:47" x14ac:dyDescent="0.25">
      <c r="A922" s="31"/>
      <c r="B922" s="31"/>
      <c r="C922"/>
      <c r="D922" s="31"/>
      <c r="E922"/>
      <c r="F922" s="31"/>
      <c r="G922"/>
      <c r="H922" s="27">
        <f>IF($G922&lt;&gt;0,SUMIF(куб!$G:$G,$G922,куб!H:H),IF($E922&lt;&gt;0,SUMIF(куб!$E:$E,$E922,куб!H:H),IF($D922&lt;&gt;0,SUMIF(куб!$D:$D,$D922,куб!H:H),IF($C922&lt;&gt;0,SUMIF(куб!$C:$C,$C922,куб!H:H),IF($B922&lt;&gt;0,SUMIF(куб!$B:$B,$B922,куб!H:H),IF($G922&lt;&gt;0,SUMIF(куб!$A:$A,$G922,куб!H:H),SUMIF(куб!$A:$A,$G922,куб!H:H)))))))</f>
        <v>0</v>
      </c>
      <c r="I922" s="27">
        <f>IF($G922&lt;&gt;0,SUMIF(куб!$G:$G,$G922,куб!I:I),IF($E922&lt;&gt;0,SUMIF(куб!$E:$E,$E922,куб!I:I),IF($D922&lt;&gt;0,SUMIF(куб!$D:$D,$D922,куб!I:I),IF($C922&lt;&gt;0,SUMIF(куб!$C:$C,$C922,куб!I:I),IF($B922&lt;&gt;0,SUMIF(куб!$B:$B,$B922,куб!I:I),IF($G922&lt;&gt;0,SUMIF(куб!$A:$A,$G922,куб!I:I),SUMIF(куб!$A:$A,$G922,куб!I:I)))))))</f>
        <v>0</v>
      </c>
      <c r="J922" s="19" t="str">
        <f t="shared" si="291"/>
        <v>-</v>
      </c>
      <c r="K922" s="8"/>
      <c r="L922" s="17">
        <f t="shared" si="292"/>
        <v>0</v>
      </c>
      <c r="M922" s="17">
        <f t="shared" si="293"/>
        <v>0</v>
      </c>
      <c r="N922" s="12">
        <f t="shared" si="294"/>
        <v>0</v>
      </c>
      <c r="O922" s="5"/>
      <c r="P922" s="27" t="b">
        <f>IF($G922&lt;&gt;0,SUMIF(куб!$G:$G,$G922,куб!J:J),IF($E922&lt;&gt;0,SUMIF(куб!$E:$E,$E922,куб!J:J),IF($D922&lt;&gt;0,SUMIF(куб!$D:$D,$D922,куб!J:J),IF($C922&lt;&gt;0,SUMIF(куб!$C:$C,$C922,куб!J:J),IF($B922&lt;&gt;0,SUMIF(куб!$B:$B,$B922,куб!J:J))))))</f>
        <v>0</v>
      </c>
      <c r="Q922" s="27" t="b">
        <f>IF($G922&lt;&gt;0,SUMIF(куб!$G:$G,$G922,куб!K:K),IF($E922&lt;&gt;0,SUMIF(куб!$E:$E,$E922,куб!K:K),IF($D922&lt;&gt;0,SUMIF(куб!$D:$D,$D922,куб!K:K),IF($C922&lt;&gt;0,SUMIF(куб!$C:$C,$C922,куб!K:K),IF($B922&lt;&gt;0,SUMIF(куб!$B:$B,$B922,куб!K:K))))))</f>
        <v>0</v>
      </c>
      <c r="R922" s="13" t="str">
        <f t="shared" si="295"/>
        <v>-</v>
      </c>
      <c r="S922" s="5"/>
      <c r="T922" s="27" t="b">
        <f>IF($G922&lt;&gt;0,SUMIF(куб!$G:$G,$G922,куб!L:L),IF($E922&lt;&gt;0,SUMIF(куб!$E:$E,$E922,куб!L:L),IF($D922&lt;&gt;0,SUMIF(куб!$D:$D,$D922,куб!L:L),IF($C922&lt;&gt;0,SUMIF(куб!$C:$C,$C922,куб!L:L),IF($B922&lt;&gt;0,SUMIF(куб!$B:$B,$B922,куб!L:L))))))</f>
        <v>0</v>
      </c>
      <c r="U922" s="27" t="b">
        <f>IF($G922&lt;&gt;0,SUMIF(куб!$G:$G,$G922,куб!M:M),IF($E922&lt;&gt;0,SUMIF(куб!$E:$E,$E922,куб!M:M),IF($D922&lt;&gt;0,SUMIF(куб!$D:$D,$D922,куб!M:M),IF($C922&lt;&gt;0,SUMIF(куб!$C:$C,$C922,куб!M:M),IF($B922&lt;&gt;0,SUMIF(куб!$B:$B,$B922,куб!M:M))))))</f>
        <v>0</v>
      </c>
      <c r="V922" s="13" t="str">
        <f t="shared" si="296"/>
        <v>-</v>
      </c>
      <c r="W922" s="5"/>
      <c r="X922" s="27" t="b">
        <f>IF($G922&lt;&gt;0,SUMIF(куб!$G:$G,$G922,куб!N:N),IF($E922&lt;&gt;0,SUMIF(куб!$E:$E,$E922,куб!N:N),IF($D922&lt;&gt;0,SUMIF(куб!$D:$D,$D922,куб!N:N),IF($C922&lt;&gt;0,SUMIF(куб!$C:$C,$C922,куб!N:N),IF($B922&lt;&gt;0,SUMIF(куб!$B:$B,$B922,куб!N:N))))))</f>
        <v>0</v>
      </c>
      <c r="Y922" s="27" t="b">
        <f>IF($G922&lt;&gt;0,SUMIF(куб!$G:$G,$G922,куб!O:O),IF($E922&lt;&gt;0,SUMIF(куб!$E:$E,$E922,куб!O:O),IF($D922&lt;&gt;0,SUMIF(куб!$D:$D,$D922,куб!O:O),IF($C922&lt;&gt;0,SUMIF(куб!$C:$C,$C922,куб!O:O),IF($B922&lt;&gt;0,SUMIF(куб!$B:$B,$B922,куб!O:O))))))</f>
        <v>0</v>
      </c>
      <c r="Z922" s="13" t="str">
        <f t="shared" si="297"/>
        <v>-</v>
      </c>
      <c r="AA922" s="5"/>
      <c r="AB922" s="33" t="str">
        <f t="shared" si="298"/>
        <v/>
      </c>
      <c r="AC922" s="33" t="str">
        <f t="shared" si="299"/>
        <v/>
      </c>
      <c r="AD922" s="15" t="str">
        <f t="shared" si="300"/>
        <v xml:space="preserve"> </v>
      </c>
      <c r="AE922" s="5"/>
      <c r="AF922" s="27" t="b">
        <f>IF($G922&lt;&gt;0,SUMIF(куб!$G:$G,$G922,куб!R:R),IF($E922&lt;&gt;0,SUMIF(куб!$E:$E,$E922,куб!R:R),IF($D922&lt;&gt;0,SUMIF(куб!$D:$D,$D922,куб!R:R),IF($C922&lt;&gt;0,SUMIF(куб!$C:$C,$C922,куб!R:R),IF($B922&lt;&gt;0,SUMIF(куб!$B:$B,$B922,куб!R:R))))))</f>
        <v>0</v>
      </c>
      <c r="AG922" s="27" t="b">
        <f>IF($G922&lt;&gt;0,SUMIF(куб!$G:$G,$G922,куб!S:S),IF($E922&lt;&gt;0,SUMIF(куб!$E:$E,$E922,куб!S:S),IF($D922&lt;&gt;0,SUMIF(куб!$D:$D,$D922,куб!S:S),IF($C922&lt;&gt;0,SUMIF(куб!$C:$C,$C922,куб!S:S),IF($B922&lt;&gt;0,SUMIF(куб!$B:$B,$B922,куб!S:S))))))</f>
        <v>0</v>
      </c>
      <c r="AH922" s="16" t="str">
        <f t="shared" si="301"/>
        <v>-</v>
      </c>
      <c r="AI922" s="8"/>
      <c r="AJ922" s="27" t="b">
        <f>IF($G922&lt;&gt;0,SUMIF(куб!$G:$G,$G922,куб!T:T),IF($E922&lt;&gt;0,SUMIF(куб!$E:$E,$E922,куб!T:T),IF($D922&lt;&gt;0,SUMIF(куб!$D:$D,$D922,куб!T:T),IF($C922&lt;&gt;0,SUMIF(куб!$C:$C,$C922,куб!T:T),IF($B922&lt;&gt;0,SUMIF(куб!$B:$B,$B922,куб!T:T))))))</f>
        <v>0</v>
      </c>
      <c r="AK922" s="27" t="b">
        <f>IF($G922&lt;&gt;0,SUMIF(куб!$G:$G,$G922,куб!U:U),IF($E922&lt;&gt;0,SUMIF(куб!$E:$E,$E922,куб!U:U),IF($D922&lt;&gt;0,SUMIF(куб!$D:$D,$D922,куб!U:U),IF($C922&lt;&gt;0,SUMIF(куб!$C:$C,$C922,куб!U:U),IF($B922&lt;&gt;0,SUMIF(куб!$B:$B,$B922,куб!U:U))))))</f>
        <v>0</v>
      </c>
      <c r="AL922" s="16" t="str">
        <f t="shared" si="302"/>
        <v>-</v>
      </c>
      <c r="AM922" s="8"/>
      <c r="AN922" s="17" t="str">
        <f t="shared" si="303"/>
        <v xml:space="preserve"> </v>
      </c>
      <c r="AO922" s="17" t="str">
        <f t="shared" si="304"/>
        <v xml:space="preserve"> </v>
      </c>
      <c r="AP922" s="16" t="str">
        <f t="shared" si="305"/>
        <v>-</v>
      </c>
      <c r="AQ922" s="8"/>
      <c r="AR922" s="17" t="str">
        <f t="shared" si="306"/>
        <v>-</v>
      </c>
      <c r="AS922" s="17" t="str">
        <f t="shared" si="307"/>
        <v>-</v>
      </c>
      <c r="AT922" s="13" t="str">
        <f t="shared" si="308"/>
        <v>-</v>
      </c>
      <c r="AU922" s="8"/>
    </row>
    <row r="923" spans="1:47" x14ac:dyDescent="0.25">
      <c r="A923" s="31"/>
      <c r="B923" s="31"/>
      <c r="C923"/>
      <c r="D923" s="31"/>
      <c r="E923"/>
      <c r="F923" s="31"/>
      <c r="G923"/>
      <c r="H923" s="27">
        <f>IF($G923&lt;&gt;0,SUMIF(куб!$G:$G,$G923,куб!H:H),IF($E923&lt;&gt;0,SUMIF(куб!$E:$E,$E923,куб!H:H),IF($D923&lt;&gt;0,SUMIF(куб!$D:$D,$D923,куб!H:H),IF($C923&lt;&gt;0,SUMIF(куб!$C:$C,$C923,куб!H:H),IF($B923&lt;&gt;0,SUMIF(куб!$B:$B,$B923,куб!H:H),IF($G923&lt;&gt;0,SUMIF(куб!$A:$A,$G923,куб!H:H),SUMIF(куб!$A:$A,$G923,куб!H:H)))))))</f>
        <v>0</v>
      </c>
      <c r="I923" s="27">
        <f>IF($G923&lt;&gt;0,SUMIF(куб!$G:$G,$G923,куб!I:I),IF($E923&lt;&gt;0,SUMIF(куб!$E:$E,$E923,куб!I:I),IF($D923&lt;&gt;0,SUMIF(куб!$D:$D,$D923,куб!I:I),IF($C923&lt;&gt;0,SUMIF(куб!$C:$C,$C923,куб!I:I),IF($B923&lt;&gt;0,SUMIF(куб!$B:$B,$B923,куб!I:I),IF($G923&lt;&gt;0,SUMIF(куб!$A:$A,$G923,куб!I:I),SUMIF(куб!$A:$A,$G923,куб!I:I)))))))</f>
        <v>0</v>
      </c>
      <c r="J923" s="19" t="str">
        <f t="shared" si="291"/>
        <v>-</v>
      </c>
      <c r="K923" s="8"/>
      <c r="L923" s="17">
        <f t="shared" si="292"/>
        <v>0</v>
      </c>
      <c r="M923" s="17">
        <f t="shared" si="293"/>
        <v>0</v>
      </c>
      <c r="N923" s="12">
        <f t="shared" si="294"/>
        <v>0</v>
      </c>
      <c r="O923" s="5"/>
      <c r="P923" s="27" t="b">
        <f>IF($G923&lt;&gt;0,SUMIF(куб!$G:$G,$G923,куб!J:J),IF($E923&lt;&gt;0,SUMIF(куб!$E:$E,$E923,куб!J:J),IF($D923&lt;&gt;0,SUMIF(куб!$D:$D,$D923,куб!J:J),IF($C923&lt;&gt;0,SUMIF(куб!$C:$C,$C923,куб!J:J),IF($B923&lt;&gt;0,SUMIF(куб!$B:$B,$B923,куб!J:J))))))</f>
        <v>0</v>
      </c>
      <c r="Q923" s="27" t="b">
        <f>IF($G923&lt;&gt;0,SUMIF(куб!$G:$G,$G923,куб!K:K),IF($E923&lt;&gt;0,SUMIF(куб!$E:$E,$E923,куб!K:K),IF($D923&lt;&gt;0,SUMIF(куб!$D:$D,$D923,куб!K:K),IF($C923&lt;&gt;0,SUMIF(куб!$C:$C,$C923,куб!K:K),IF($B923&lt;&gt;0,SUMIF(куб!$B:$B,$B923,куб!K:K))))))</f>
        <v>0</v>
      </c>
      <c r="R923" s="13" t="str">
        <f t="shared" si="295"/>
        <v>-</v>
      </c>
      <c r="S923" s="5"/>
      <c r="T923" s="27" t="b">
        <f>IF($G923&lt;&gt;0,SUMIF(куб!$G:$G,$G923,куб!L:L),IF($E923&lt;&gt;0,SUMIF(куб!$E:$E,$E923,куб!L:L),IF($D923&lt;&gt;0,SUMIF(куб!$D:$D,$D923,куб!L:L),IF($C923&lt;&gt;0,SUMIF(куб!$C:$C,$C923,куб!L:L),IF($B923&lt;&gt;0,SUMIF(куб!$B:$B,$B923,куб!L:L))))))</f>
        <v>0</v>
      </c>
      <c r="U923" s="27" t="b">
        <f>IF($G923&lt;&gt;0,SUMIF(куб!$G:$G,$G923,куб!M:M),IF($E923&lt;&gt;0,SUMIF(куб!$E:$E,$E923,куб!M:M),IF($D923&lt;&gt;0,SUMIF(куб!$D:$D,$D923,куб!M:M),IF($C923&lt;&gt;0,SUMIF(куб!$C:$C,$C923,куб!M:M),IF($B923&lt;&gt;0,SUMIF(куб!$B:$B,$B923,куб!M:M))))))</f>
        <v>0</v>
      </c>
      <c r="V923" s="13" t="str">
        <f t="shared" si="296"/>
        <v>-</v>
      </c>
      <c r="W923" s="5"/>
      <c r="X923" s="27" t="b">
        <f>IF($G923&lt;&gt;0,SUMIF(куб!$G:$G,$G923,куб!N:N),IF($E923&lt;&gt;0,SUMIF(куб!$E:$E,$E923,куб!N:N),IF($D923&lt;&gt;0,SUMIF(куб!$D:$D,$D923,куб!N:N),IF($C923&lt;&gt;0,SUMIF(куб!$C:$C,$C923,куб!N:N),IF($B923&lt;&gt;0,SUMIF(куб!$B:$B,$B923,куб!N:N))))))</f>
        <v>0</v>
      </c>
      <c r="Y923" s="27" t="b">
        <f>IF($G923&lt;&gt;0,SUMIF(куб!$G:$G,$G923,куб!O:O),IF($E923&lt;&gt;0,SUMIF(куб!$E:$E,$E923,куб!O:O),IF($D923&lt;&gt;0,SUMIF(куб!$D:$D,$D923,куб!O:O),IF($C923&lt;&gt;0,SUMIF(куб!$C:$C,$C923,куб!O:O),IF($B923&lt;&gt;0,SUMIF(куб!$B:$B,$B923,куб!O:O))))))</f>
        <v>0</v>
      </c>
      <c r="Z923" s="13" t="str">
        <f t="shared" si="297"/>
        <v>-</v>
      </c>
      <c r="AA923" s="5"/>
      <c r="AB923" s="33" t="str">
        <f t="shared" si="298"/>
        <v/>
      </c>
      <c r="AC923" s="33" t="str">
        <f t="shared" si="299"/>
        <v/>
      </c>
      <c r="AD923" s="15" t="str">
        <f t="shared" si="300"/>
        <v xml:space="preserve"> </v>
      </c>
      <c r="AE923" s="5"/>
      <c r="AF923" s="27" t="b">
        <f>IF($G923&lt;&gt;0,SUMIF(куб!$G:$G,$G923,куб!R:R),IF($E923&lt;&gt;0,SUMIF(куб!$E:$E,$E923,куб!R:R),IF($D923&lt;&gt;0,SUMIF(куб!$D:$D,$D923,куб!R:R),IF($C923&lt;&gt;0,SUMIF(куб!$C:$C,$C923,куб!R:R),IF($B923&lt;&gt;0,SUMIF(куб!$B:$B,$B923,куб!R:R))))))</f>
        <v>0</v>
      </c>
      <c r="AG923" s="27" t="b">
        <f>IF($G923&lt;&gt;0,SUMIF(куб!$G:$G,$G923,куб!S:S),IF($E923&lt;&gt;0,SUMIF(куб!$E:$E,$E923,куб!S:S),IF($D923&lt;&gt;0,SUMIF(куб!$D:$D,$D923,куб!S:S),IF($C923&lt;&gt;0,SUMIF(куб!$C:$C,$C923,куб!S:S),IF($B923&lt;&gt;0,SUMIF(куб!$B:$B,$B923,куб!S:S))))))</f>
        <v>0</v>
      </c>
      <c r="AH923" s="16" t="str">
        <f t="shared" si="301"/>
        <v>-</v>
      </c>
      <c r="AI923" s="8"/>
      <c r="AJ923" s="27" t="b">
        <f>IF($G923&lt;&gt;0,SUMIF(куб!$G:$G,$G923,куб!T:T),IF($E923&lt;&gt;0,SUMIF(куб!$E:$E,$E923,куб!T:T),IF($D923&lt;&gt;0,SUMIF(куб!$D:$D,$D923,куб!T:T),IF($C923&lt;&gt;0,SUMIF(куб!$C:$C,$C923,куб!T:T),IF($B923&lt;&gt;0,SUMIF(куб!$B:$B,$B923,куб!T:T))))))</f>
        <v>0</v>
      </c>
      <c r="AK923" s="27" t="b">
        <f>IF($G923&lt;&gt;0,SUMIF(куб!$G:$G,$G923,куб!U:U),IF($E923&lt;&gt;0,SUMIF(куб!$E:$E,$E923,куб!U:U),IF($D923&lt;&gt;0,SUMIF(куб!$D:$D,$D923,куб!U:U),IF($C923&lt;&gt;0,SUMIF(куб!$C:$C,$C923,куб!U:U),IF($B923&lt;&gt;0,SUMIF(куб!$B:$B,$B923,куб!U:U))))))</f>
        <v>0</v>
      </c>
      <c r="AL923" s="16" t="str">
        <f t="shared" si="302"/>
        <v>-</v>
      </c>
      <c r="AM923" s="8"/>
      <c r="AN923" s="17" t="str">
        <f t="shared" si="303"/>
        <v xml:space="preserve"> </v>
      </c>
      <c r="AO923" s="17" t="str">
        <f t="shared" si="304"/>
        <v xml:space="preserve"> </v>
      </c>
      <c r="AP923" s="16" t="str">
        <f t="shared" si="305"/>
        <v>-</v>
      </c>
      <c r="AQ923" s="8"/>
      <c r="AR923" s="17" t="str">
        <f t="shared" si="306"/>
        <v>-</v>
      </c>
      <c r="AS923" s="17" t="str">
        <f t="shared" si="307"/>
        <v>-</v>
      </c>
      <c r="AT923" s="13" t="str">
        <f t="shared" si="308"/>
        <v>-</v>
      </c>
      <c r="AU923" s="8"/>
    </row>
    <row r="924" spans="1:47" x14ac:dyDescent="0.25">
      <c r="A924" s="31"/>
      <c r="B924" s="31"/>
      <c r="C924"/>
      <c r="D924" s="31"/>
      <c r="E924"/>
      <c r="F924" s="31"/>
      <c r="G924"/>
      <c r="H924" s="27">
        <f>IF($G924&lt;&gt;0,SUMIF(куб!$G:$G,$G924,куб!H:H),IF($E924&lt;&gt;0,SUMIF(куб!$E:$E,$E924,куб!H:H),IF($D924&lt;&gt;0,SUMIF(куб!$D:$D,$D924,куб!H:H),IF($C924&lt;&gt;0,SUMIF(куб!$C:$C,$C924,куб!H:H),IF($B924&lt;&gt;0,SUMIF(куб!$B:$B,$B924,куб!H:H),IF($G924&lt;&gt;0,SUMIF(куб!$A:$A,$G924,куб!H:H),SUMIF(куб!$A:$A,$G924,куб!H:H)))))))</f>
        <v>0</v>
      </c>
      <c r="I924" s="27">
        <f>IF($G924&lt;&gt;0,SUMIF(куб!$G:$G,$G924,куб!I:I),IF($E924&lt;&gt;0,SUMIF(куб!$E:$E,$E924,куб!I:I),IF($D924&lt;&gt;0,SUMIF(куб!$D:$D,$D924,куб!I:I),IF($C924&lt;&gt;0,SUMIF(куб!$C:$C,$C924,куб!I:I),IF($B924&lt;&gt;0,SUMIF(куб!$B:$B,$B924,куб!I:I),IF($G924&lt;&gt;0,SUMIF(куб!$A:$A,$G924,куб!I:I),SUMIF(куб!$A:$A,$G924,куб!I:I)))))))</f>
        <v>0</v>
      </c>
      <c r="J924" s="19" t="str">
        <f t="shared" si="291"/>
        <v>-</v>
      </c>
      <c r="K924" s="8"/>
      <c r="L924" s="17">
        <f t="shared" si="292"/>
        <v>0</v>
      </c>
      <c r="M924" s="17">
        <f t="shared" si="293"/>
        <v>0</v>
      </c>
      <c r="N924" s="12">
        <f t="shared" si="294"/>
        <v>0</v>
      </c>
      <c r="O924" s="5"/>
      <c r="P924" s="27" t="b">
        <f>IF($G924&lt;&gt;0,SUMIF(куб!$G:$G,$G924,куб!J:J),IF($E924&lt;&gt;0,SUMIF(куб!$E:$E,$E924,куб!J:J),IF($D924&lt;&gt;0,SUMIF(куб!$D:$D,$D924,куб!J:J),IF($C924&lt;&gt;0,SUMIF(куб!$C:$C,$C924,куб!J:J),IF($B924&lt;&gt;0,SUMIF(куб!$B:$B,$B924,куб!J:J))))))</f>
        <v>0</v>
      </c>
      <c r="Q924" s="27" t="b">
        <f>IF($G924&lt;&gt;0,SUMIF(куб!$G:$G,$G924,куб!K:K),IF($E924&lt;&gt;0,SUMIF(куб!$E:$E,$E924,куб!K:K),IF($D924&lt;&gt;0,SUMIF(куб!$D:$D,$D924,куб!K:K),IF($C924&lt;&gt;0,SUMIF(куб!$C:$C,$C924,куб!K:K),IF($B924&lt;&gt;0,SUMIF(куб!$B:$B,$B924,куб!K:K))))))</f>
        <v>0</v>
      </c>
      <c r="R924" s="13" t="str">
        <f t="shared" si="295"/>
        <v>-</v>
      </c>
      <c r="S924" s="5"/>
      <c r="T924" s="27" t="b">
        <f>IF($G924&lt;&gt;0,SUMIF(куб!$G:$G,$G924,куб!L:L),IF($E924&lt;&gt;0,SUMIF(куб!$E:$E,$E924,куб!L:L),IF($D924&lt;&gt;0,SUMIF(куб!$D:$D,$D924,куб!L:L),IF($C924&lt;&gt;0,SUMIF(куб!$C:$C,$C924,куб!L:L),IF($B924&lt;&gt;0,SUMIF(куб!$B:$B,$B924,куб!L:L))))))</f>
        <v>0</v>
      </c>
      <c r="U924" s="27" t="b">
        <f>IF($G924&lt;&gt;0,SUMIF(куб!$G:$G,$G924,куб!M:M),IF($E924&lt;&gt;0,SUMIF(куб!$E:$E,$E924,куб!M:M),IF($D924&lt;&gt;0,SUMIF(куб!$D:$D,$D924,куб!M:M),IF($C924&lt;&gt;0,SUMIF(куб!$C:$C,$C924,куб!M:M),IF($B924&lt;&gt;0,SUMIF(куб!$B:$B,$B924,куб!M:M))))))</f>
        <v>0</v>
      </c>
      <c r="V924" s="13" t="str">
        <f t="shared" si="296"/>
        <v>-</v>
      </c>
      <c r="W924" s="5"/>
      <c r="X924" s="27" t="b">
        <f>IF($G924&lt;&gt;0,SUMIF(куб!$G:$G,$G924,куб!N:N),IF($E924&lt;&gt;0,SUMIF(куб!$E:$E,$E924,куб!N:N),IF($D924&lt;&gt;0,SUMIF(куб!$D:$D,$D924,куб!N:N),IF($C924&lt;&gt;0,SUMIF(куб!$C:$C,$C924,куб!N:N),IF($B924&lt;&gt;0,SUMIF(куб!$B:$B,$B924,куб!N:N))))))</f>
        <v>0</v>
      </c>
      <c r="Y924" s="27" t="b">
        <f>IF($G924&lt;&gt;0,SUMIF(куб!$G:$G,$G924,куб!O:O),IF($E924&lt;&gt;0,SUMIF(куб!$E:$E,$E924,куб!O:O),IF($D924&lt;&gt;0,SUMIF(куб!$D:$D,$D924,куб!O:O),IF($C924&lt;&gt;0,SUMIF(куб!$C:$C,$C924,куб!O:O),IF($B924&lt;&gt;0,SUMIF(куб!$B:$B,$B924,куб!O:O))))))</f>
        <v>0</v>
      </c>
      <c r="Z924" s="13" t="str">
        <f t="shared" si="297"/>
        <v>-</v>
      </c>
      <c r="AA924" s="5"/>
      <c r="AB924" s="33" t="str">
        <f t="shared" si="298"/>
        <v/>
      </c>
      <c r="AC924" s="33" t="str">
        <f t="shared" si="299"/>
        <v/>
      </c>
      <c r="AD924" s="15" t="str">
        <f t="shared" si="300"/>
        <v xml:space="preserve"> </v>
      </c>
      <c r="AE924" s="5"/>
      <c r="AF924" s="27" t="b">
        <f>IF($G924&lt;&gt;0,SUMIF(куб!$G:$G,$G924,куб!R:R),IF($E924&lt;&gt;0,SUMIF(куб!$E:$E,$E924,куб!R:R),IF($D924&lt;&gt;0,SUMIF(куб!$D:$D,$D924,куб!R:R),IF($C924&lt;&gt;0,SUMIF(куб!$C:$C,$C924,куб!R:R),IF($B924&lt;&gt;0,SUMIF(куб!$B:$B,$B924,куб!R:R))))))</f>
        <v>0</v>
      </c>
      <c r="AG924" s="27" t="b">
        <f>IF($G924&lt;&gt;0,SUMIF(куб!$G:$G,$G924,куб!S:S),IF($E924&lt;&gt;0,SUMIF(куб!$E:$E,$E924,куб!S:S),IF($D924&lt;&gt;0,SUMIF(куб!$D:$D,$D924,куб!S:S),IF($C924&lt;&gt;0,SUMIF(куб!$C:$C,$C924,куб!S:S),IF($B924&lt;&gt;0,SUMIF(куб!$B:$B,$B924,куб!S:S))))))</f>
        <v>0</v>
      </c>
      <c r="AH924" s="16" t="str">
        <f t="shared" si="301"/>
        <v>-</v>
      </c>
      <c r="AI924" s="8"/>
      <c r="AJ924" s="27" t="b">
        <f>IF($G924&lt;&gt;0,SUMIF(куб!$G:$G,$G924,куб!T:T),IF($E924&lt;&gt;0,SUMIF(куб!$E:$E,$E924,куб!T:T),IF($D924&lt;&gt;0,SUMIF(куб!$D:$D,$D924,куб!T:T),IF($C924&lt;&gt;0,SUMIF(куб!$C:$C,$C924,куб!T:T),IF($B924&lt;&gt;0,SUMIF(куб!$B:$B,$B924,куб!T:T))))))</f>
        <v>0</v>
      </c>
      <c r="AK924" s="27" t="b">
        <f>IF($G924&lt;&gt;0,SUMIF(куб!$G:$G,$G924,куб!U:U),IF($E924&lt;&gt;0,SUMIF(куб!$E:$E,$E924,куб!U:U),IF($D924&lt;&gt;0,SUMIF(куб!$D:$D,$D924,куб!U:U),IF($C924&lt;&gt;0,SUMIF(куб!$C:$C,$C924,куб!U:U),IF($B924&lt;&gt;0,SUMIF(куб!$B:$B,$B924,куб!U:U))))))</f>
        <v>0</v>
      </c>
      <c r="AL924" s="16" t="str">
        <f t="shared" si="302"/>
        <v>-</v>
      </c>
      <c r="AM924" s="8"/>
      <c r="AN924" s="17" t="str">
        <f t="shared" si="303"/>
        <v xml:space="preserve"> </v>
      </c>
      <c r="AO924" s="17" t="str">
        <f t="shared" si="304"/>
        <v xml:space="preserve"> </v>
      </c>
      <c r="AP924" s="16" t="str">
        <f t="shared" si="305"/>
        <v>-</v>
      </c>
      <c r="AQ924" s="8"/>
      <c r="AR924" s="17" t="str">
        <f t="shared" si="306"/>
        <v>-</v>
      </c>
      <c r="AS924" s="17" t="str">
        <f t="shared" si="307"/>
        <v>-</v>
      </c>
      <c r="AT924" s="13" t="str">
        <f t="shared" si="308"/>
        <v>-</v>
      </c>
      <c r="AU924" s="8"/>
    </row>
    <row r="925" spans="1:47" x14ac:dyDescent="0.25">
      <c r="A925" s="31"/>
      <c r="B925" s="31"/>
      <c r="C925"/>
      <c r="D925" s="31"/>
      <c r="E925"/>
      <c r="F925" s="31"/>
      <c r="G925"/>
      <c r="H925" s="27">
        <f>IF($G925&lt;&gt;0,SUMIF(куб!$G:$G,$G925,куб!H:H),IF($E925&lt;&gt;0,SUMIF(куб!$E:$E,$E925,куб!H:H),IF($D925&lt;&gt;0,SUMIF(куб!$D:$D,$D925,куб!H:H),IF($C925&lt;&gt;0,SUMIF(куб!$C:$C,$C925,куб!H:H),IF($B925&lt;&gt;0,SUMIF(куб!$B:$B,$B925,куб!H:H),IF($G925&lt;&gt;0,SUMIF(куб!$A:$A,$G925,куб!H:H),SUMIF(куб!$A:$A,$G925,куб!H:H)))))))</f>
        <v>0</v>
      </c>
      <c r="I925" s="27">
        <f>IF($G925&lt;&gt;0,SUMIF(куб!$G:$G,$G925,куб!I:I),IF($E925&lt;&gt;0,SUMIF(куб!$E:$E,$E925,куб!I:I),IF($D925&lt;&gt;0,SUMIF(куб!$D:$D,$D925,куб!I:I),IF($C925&lt;&gt;0,SUMIF(куб!$C:$C,$C925,куб!I:I),IF($B925&lt;&gt;0,SUMIF(куб!$B:$B,$B925,куб!I:I),IF($G925&lt;&gt;0,SUMIF(куб!$A:$A,$G925,куб!I:I),SUMIF(куб!$A:$A,$G925,куб!I:I)))))))</f>
        <v>0</v>
      </c>
      <c r="J925" s="19" t="str">
        <f t="shared" si="291"/>
        <v>-</v>
      </c>
      <c r="K925" s="8"/>
      <c r="L925" s="17">
        <f t="shared" si="292"/>
        <v>0</v>
      </c>
      <c r="M925" s="17">
        <f t="shared" si="293"/>
        <v>0</v>
      </c>
      <c r="N925" s="12">
        <f t="shared" si="294"/>
        <v>0</v>
      </c>
      <c r="O925" s="5"/>
      <c r="P925" s="27" t="b">
        <f>IF($G925&lt;&gt;0,SUMIF(куб!$G:$G,$G925,куб!J:J),IF($E925&lt;&gt;0,SUMIF(куб!$E:$E,$E925,куб!J:J),IF($D925&lt;&gt;0,SUMIF(куб!$D:$D,$D925,куб!J:J),IF($C925&lt;&gt;0,SUMIF(куб!$C:$C,$C925,куб!J:J),IF($B925&lt;&gt;0,SUMIF(куб!$B:$B,$B925,куб!J:J))))))</f>
        <v>0</v>
      </c>
      <c r="Q925" s="27" t="b">
        <f>IF($G925&lt;&gt;0,SUMIF(куб!$G:$G,$G925,куб!K:K),IF($E925&lt;&gt;0,SUMIF(куб!$E:$E,$E925,куб!K:K),IF($D925&lt;&gt;0,SUMIF(куб!$D:$D,$D925,куб!K:K),IF($C925&lt;&gt;0,SUMIF(куб!$C:$C,$C925,куб!K:K),IF($B925&lt;&gt;0,SUMIF(куб!$B:$B,$B925,куб!K:K))))))</f>
        <v>0</v>
      </c>
      <c r="R925" s="13" t="str">
        <f t="shared" si="295"/>
        <v>-</v>
      </c>
      <c r="S925" s="5"/>
      <c r="T925" s="27" t="b">
        <f>IF($G925&lt;&gt;0,SUMIF(куб!$G:$G,$G925,куб!L:L),IF($E925&lt;&gt;0,SUMIF(куб!$E:$E,$E925,куб!L:L),IF($D925&lt;&gt;0,SUMIF(куб!$D:$D,$D925,куб!L:L),IF($C925&lt;&gt;0,SUMIF(куб!$C:$C,$C925,куб!L:L),IF($B925&lt;&gt;0,SUMIF(куб!$B:$B,$B925,куб!L:L))))))</f>
        <v>0</v>
      </c>
      <c r="U925" s="27" t="b">
        <f>IF($G925&lt;&gt;0,SUMIF(куб!$G:$G,$G925,куб!M:M),IF($E925&lt;&gt;0,SUMIF(куб!$E:$E,$E925,куб!M:M),IF($D925&lt;&gt;0,SUMIF(куб!$D:$D,$D925,куб!M:M),IF($C925&lt;&gt;0,SUMIF(куб!$C:$C,$C925,куб!M:M),IF($B925&lt;&gt;0,SUMIF(куб!$B:$B,$B925,куб!M:M))))))</f>
        <v>0</v>
      </c>
      <c r="V925" s="13" t="str">
        <f t="shared" si="296"/>
        <v>-</v>
      </c>
      <c r="W925" s="5"/>
      <c r="X925" s="27" t="b">
        <f>IF($G925&lt;&gt;0,SUMIF(куб!$G:$G,$G925,куб!N:N),IF($E925&lt;&gt;0,SUMIF(куб!$E:$E,$E925,куб!N:N),IF($D925&lt;&gt;0,SUMIF(куб!$D:$D,$D925,куб!N:N),IF($C925&lt;&gt;0,SUMIF(куб!$C:$C,$C925,куб!N:N),IF($B925&lt;&gt;0,SUMIF(куб!$B:$B,$B925,куб!N:N))))))</f>
        <v>0</v>
      </c>
      <c r="Y925" s="27" t="b">
        <f>IF($G925&lt;&gt;0,SUMIF(куб!$G:$G,$G925,куб!O:O),IF($E925&lt;&gt;0,SUMIF(куб!$E:$E,$E925,куб!O:O),IF($D925&lt;&gt;0,SUMIF(куб!$D:$D,$D925,куб!O:O),IF($C925&lt;&gt;0,SUMIF(куб!$C:$C,$C925,куб!O:O),IF($B925&lt;&gt;0,SUMIF(куб!$B:$B,$B925,куб!O:O))))))</f>
        <v>0</v>
      </c>
      <c r="Z925" s="13" t="str">
        <f t="shared" si="297"/>
        <v>-</v>
      </c>
      <c r="AA925" s="5"/>
      <c r="AB925" s="33" t="str">
        <f t="shared" si="298"/>
        <v/>
      </c>
      <c r="AC925" s="33" t="str">
        <f t="shared" si="299"/>
        <v/>
      </c>
      <c r="AD925" s="15" t="str">
        <f t="shared" si="300"/>
        <v xml:space="preserve"> </v>
      </c>
      <c r="AE925" s="5"/>
      <c r="AF925" s="27" t="b">
        <f>IF($G925&lt;&gt;0,SUMIF(куб!$G:$G,$G925,куб!R:R),IF($E925&lt;&gt;0,SUMIF(куб!$E:$E,$E925,куб!R:R),IF($D925&lt;&gt;0,SUMIF(куб!$D:$D,$D925,куб!R:R),IF($C925&lt;&gt;0,SUMIF(куб!$C:$C,$C925,куб!R:R),IF($B925&lt;&gt;0,SUMIF(куб!$B:$B,$B925,куб!R:R))))))</f>
        <v>0</v>
      </c>
      <c r="AG925" s="27" t="b">
        <f>IF($G925&lt;&gt;0,SUMIF(куб!$G:$G,$G925,куб!S:S),IF($E925&lt;&gt;0,SUMIF(куб!$E:$E,$E925,куб!S:S),IF($D925&lt;&gt;0,SUMIF(куб!$D:$D,$D925,куб!S:S),IF($C925&lt;&gt;0,SUMIF(куб!$C:$C,$C925,куб!S:S),IF($B925&lt;&gt;0,SUMIF(куб!$B:$B,$B925,куб!S:S))))))</f>
        <v>0</v>
      </c>
      <c r="AH925" s="16" t="str">
        <f t="shared" si="301"/>
        <v>-</v>
      </c>
      <c r="AI925" s="8"/>
      <c r="AJ925" s="27" t="b">
        <f>IF($G925&lt;&gt;0,SUMIF(куб!$G:$G,$G925,куб!T:T),IF($E925&lt;&gt;0,SUMIF(куб!$E:$E,$E925,куб!T:T),IF($D925&lt;&gt;0,SUMIF(куб!$D:$D,$D925,куб!T:T),IF($C925&lt;&gt;0,SUMIF(куб!$C:$C,$C925,куб!T:T),IF($B925&lt;&gt;0,SUMIF(куб!$B:$B,$B925,куб!T:T))))))</f>
        <v>0</v>
      </c>
      <c r="AK925" s="27" t="b">
        <f>IF($G925&lt;&gt;0,SUMIF(куб!$G:$G,$G925,куб!U:U),IF($E925&lt;&gt;0,SUMIF(куб!$E:$E,$E925,куб!U:U),IF($D925&lt;&gt;0,SUMIF(куб!$D:$D,$D925,куб!U:U),IF($C925&lt;&gt;0,SUMIF(куб!$C:$C,$C925,куб!U:U),IF($B925&lt;&gt;0,SUMIF(куб!$B:$B,$B925,куб!U:U))))))</f>
        <v>0</v>
      </c>
      <c r="AL925" s="16" t="str">
        <f t="shared" si="302"/>
        <v>-</v>
      </c>
      <c r="AM925" s="8"/>
      <c r="AN925" s="17" t="str">
        <f t="shared" si="303"/>
        <v xml:space="preserve"> </v>
      </c>
      <c r="AO925" s="17" t="str">
        <f t="shared" si="304"/>
        <v xml:space="preserve"> </v>
      </c>
      <c r="AP925" s="16" t="str">
        <f t="shared" si="305"/>
        <v>-</v>
      </c>
      <c r="AQ925" s="8"/>
      <c r="AR925" s="17" t="str">
        <f t="shared" si="306"/>
        <v>-</v>
      </c>
      <c r="AS925" s="17" t="str">
        <f t="shared" si="307"/>
        <v>-</v>
      </c>
      <c r="AT925" s="13" t="str">
        <f t="shared" si="308"/>
        <v>-</v>
      </c>
      <c r="AU925" s="8"/>
    </row>
    <row r="926" spans="1:47" x14ac:dyDescent="0.25">
      <c r="A926" s="31"/>
      <c r="B926" s="31"/>
      <c r="C926"/>
      <c r="D926" s="31"/>
      <c r="E926"/>
      <c r="F926" s="31"/>
      <c r="G926"/>
      <c r="H926" s="27">
        <f>IF($G926&lt;&gt;0,SUMIF(куб!$G:$G,$G926,куб!H:H),IF($E926&lt;&gt;0,SUMIF(куб!$E:$E,$E926,куб!H:H),IF($D926&lt;&gt;0,SUMIF(куб!$D:$D,$D926,куб!H:H),IF($C926&lt;&gt;0,SUMIF(куб!$C:$C,$C926,куб!H:H),IF($B926&lt;&gt;0,SUMIF(куб!$B:$B,$B926,куб!H:H),IF($G926&lt;&gt;0,SUMIF(куб!$A:$A,$G926,куб!H:H),SUMIF(куб!$A:$A,$G926,куб!H:H)))))))</f>
        <v>0</v>
      </c>
      <c r="I926" s="27">
        <f>IF($G926&lt;&gt;0,SUMIF(куб!$G:$G,$G926,куб!I:I),IF($E926&lt;&gt;0,SUMIF(куб!$E:$E,$E926,куб!I:I),IF($D926&lt;&gt;0,SUMIF(куб!$D:$D,$D926,куб!I:I),IF($C926&lt;&gt;0,SUMIF(куб!$C:$C,$C926,куб!I:I),IF($B926&lt;&gt;0,SUMIF(куб!$B:$B,$B926,куб!I:I),IF($G926&lt;&gt;0,SUMIF(куб!$A:$A,$G926,куб!I:I),SUMIF(куб!$A:$A,$G926,куб!I:I)))))))</f>
        <v>0</v>
      </c>
      <c r="J926" s="19" t="str">
        <f t="shared" si="291"/>
        <v>-</v>
      </c>
      <c r="K926" s="8"/>
      <c r="L926" s="17">
        <f t="shared" si="292"/>
        <v>0</v>
      </c>
      <c r="M926" s="17">
        <f t="shared" si="293"/>
        <v>0</v>
      </c>
      <c r="N926" s="12">
        <f t="shared" si="294"/>
        <v>0</v>
      </c>
      <c r="O926" s="5"/>
      <c r="P926" s="27" t="b">
        <f>IF($G926&lt;&gt;0,SUMIF(куб!$G:$G,$G926,куб!J:J),IF($E926&lt;&gt;0,SUMIF(куб!$E:$E,$E926,куб!J:J),IF($D926&lt;&gt;0,SUMIF(куб!$D:$D,$D926,куб!J:J),IF($C926&lt;&gt;0,SUMIF(куб!$C:$C,$C926,куб!J:J),IF($B926&lt;&gt;0,SUMIF(куб!$B:$B,$B926,куб!J:J))))))</f>
        <v>0</v>
      </c>
      <c r="Q926" s="27" t="b">
        <f>IF($G926&lt;&gt;0,SUMIF(куб!$G:$G,$G926,куб!K:K),IF($E926&lt;&gt;0,SUMIF(куб!$E:$E,$E926,куб!K:K),IF($D926&lt;&gt;0,SUMIF(куб!$D:$D,$D926,куб!K:K),IF($C926&lt;&gt;0,SUMIF(куб!$C:$C,$C926,куб!K:K),IF($B926&lt;&gt;0,SUMIF(куб!$B:$B,$B926,куб!K:K))))))</f>
        <v>0</v>
      </c>
      <c r="R926" s="13" t="str">
        <f t="shared" si="295"/>
        <v>-</v>
      </c>
      <c r="S926" s="5"/>
      <c r="T926" s="27" t="b">
        <f>IF($G926&lt;&gt;0,SUMIF(куб!$G:$G,$G926,куб!L:L),IF($E926&lt;&gt;0,SUMIF(куб!$E:$E,$E926,куб!L:L),IF($D926&lt;&gt;0,SUMIF(куб!$D:$D,$D926,куб!L:L),IF($C926&lt;&gt;0,SUMIF(куб!$C:$C,$C926,куб!L:L),IF($B926&lt;&gt;0,SUMIF(куб!$B:$B,$B926,куб!L:L))))))</f>
        <v>0</v>
      </c>
      <c r="U926" s="27" t="b">
        <f>IF($G926&lt;&gt;0,SUMIF(куб!$G:$G,$G926,куб!M:M),IF($E926&lt;&gt;0,SUMIF(куб!$E:$E,$E926,куб!M:M),IF($D926&lt;&gt;0,SUMIF(куб!$D:$D,$D926,куб!M:M),IF($C926&lt;&gt;0,SUMIF(куб!$C:$C,$C926,куб!M:M),IF($B926&lt;&gt;0,SUMIF(куб!$B:$B,$B926,куб!M:M))))))</f>
        <v>0</v>
      </c>
      <c r="V926" s="13" t="str">
        <f t="shared" si="296"/>
        <v>-</v>
      </c>
      <c r="W926" s="5"/>
      <c r="X926" s="27" t="b">
        <f>IF($G926&lt;&gt;0,SUMIF(куб!$G:$G,$G926,куб!N:N),IF($E926&lt;&gt;0,SUMIF(куб!$E:$E,$E926,куб!N:N),IF($D926&lt;&gt;0,SUMIF(куб!$D:$D,$D926,куб!N:N),IF($C926&lt;&gt;0,SUMIF(куб!$C:$C,$C926,куб!N:N),IF($B926&lt;&gt;0,SUMIF(куб!$B:$B,$B926,куб!N:N))))))</f>
        <v>0</v>
      </c>
      <c r="Y926" s="27" t="b">
        <f>IF($G926&lt;&gt;0,SUMIF(куб!$G:$G,$G926,куб!O:O),IF($E926&lt;&gt;0,SUMIF(куб!$E:$E,$E926,куб!O:O),IF($D926&lt;&gt;0,SUMIF(куб!$D:$D,$D926,куб!O:O),IF($C926&lt;&gt;0,SUMIF(куб!$C:$C,$C926,куб!O:O),IF($B926&lt;&gt;0,SUMIF(куб!$B:$B,$B926,куб!O:O))))))</f>
        <v>0</v>
      </c>
      <c r="Z926" s="13" t="str">
        <f t="shared" si="297"/>
        <v>-</v>
      </c>
      <c r="AA926" s="5"/>
      <c r="AB926" s="33" t="str">
        <f t="shared" si="298"/>
        <v/>
      </c>
      <c r="AC926" s="33" t="str">
        <f t="shared" si="299"/>
        <v/>
      </c>
      <c r="AD926" s="15" t="str">
        <f t="shared" si="300"/>
        <v xml:space="preserve"> </v>
      </c>
      <c r="AE926" s="5"/>
      <c r="AF926" s="27" t="b">
        <f>IF($G926&lt;&gt;0,SUMIF(куб!$G:$G,$G926,куб!R:R),IF($E926&lt;&gt;0,SUMIF(куб!$E:$E,$E926,куб!R:R),IF($D926&lt;&gt;0,SUMIF(куб!$D:$D,$D926,куб!R:R),IF($C926&lt;&gt;0,SUMIF(куб!$C:$C,$C926,куб!R:R),IF($B926&lt;&gt;0,SUMIF(куб!$B:$B,$B926,куб!R:R))))))</f>
        <v>0</v>
      </c>
      <c r="AG926" s="27" t="b">
        <f>IF($G926&lt;&gt;0,SUMIF(куб!$G:$G,$G926,куб!S:S),IF($E926&lt;&gt;0,SUMIF(куб!$E:$E,$E926,куб!S:S),IF($D926&lt;&gt;0,SUMIF(куб!$D:$D,$D926,куб!S:S),IF($C926&lt;&gt;0,SUMIF(куб!$C:$C,$C926,куб!S:S),IF($B926&lt;&gt;0,SUMIF(куб!$B:$B,$B926,куб!S:S))))))</f>
        <v>0</v>
      </c>
      <c r="AH926" s="16" t="str">
        <f t="shared" si="301"/>
        <v>-</v>
      </c>
      <c r="AI926" s="8"/>
      <c r="AJ926" s="27" t="b">
        <f>IF($G926&lt;&gt;0,SUMIF(куб!$G:$G,$G926,куб!T:T),IF($E926&lt;&gt;0,SUMIF(куб!$E:$E,$E926,куб!T:T),IF($D926&lt;&gt;0,SUMIF(куб!$D:$D,$D926,куб!T:T),IF($C926&lt;&gt;0,SUMIF(куб!$C:$C,$C926,куб!T:T),IF($B926&lt;&gt;0,SUMIF(куб!$B:$B,$B926,куб!T:T))))))</f>
        <v>0</v>
      </c>
      <c r="AK926" s="27" t="b">
        <f>IF($G926&lt;&gt;0,SUMIF(куб!$G:$G,$G926,куб!U:U),IF($E926&lt;&gt;0,SUMIF(куб!$E:$E,$E926,куб!U:U),IF($D926&lt;&gt;0,SUMIF(куб!$D:$D,$D926,куб!U:U),IF($C926&lt;&gt;0,SUMIF(куб!$C:$C,$C926,куб!U:U),IF($B926&lt;&gt;0,SUMIF(куб!$B:$B,$B926,куб!U:U))))))</f>
        <v>0</v>
      </c>
      <c r="AL926" s="16" t="str">
        <f t="shared" si="302"/>
        <v>-</v>
      </c>
      <c r="AM926" s="8"/>
      <c r="AN926" s="17" t="str">
        <f t="shared" si="303"/>
        <v xml:space="preserve"> </v>
      </c>
      <c r="AO926" s="17" t="str">
        <f t="shared" si="304"/>
        <v xml:space="preserve"> </v>
      </c>
      <c r="AP926" s="16" t="str">
        <f t="shared" si="305"/>
        <v>-</v>
      </c>
      <c r="AQ926" s="8"/>
      <c r="AR926" s="17" t="str">
        <f t="shared" si="306"/>
        <v>-</v>
      </c>
      <c r="AS926" s="17" t="str">
        <f t="shared" si="307"/>
        <v>-</v>
      </c>
      <c r="AT926" s="13" t="str">
        <f t="shared" si="308"/>
        <v>-</v>
      </c>
      <c r="AU926" s="8"/>
    </row>
    <row r="927" spans="1:47" x14ac:dyDescent="0.25">
      <c r="A927" s="31"/>
      <c r="B927" s="31"/>
      <c r="C927"/>
      <c r="D927" s="31"/>
      <c r="E927"/>
      <c r="F927" s="31"/>
      <c r="G927"/>
      <c r="H927" s="27">
        <f>IF($G927&lt;&gt;0,SUMIF(куб!$G:$G,$G927,куб!H:H),IF($E927&lt;&gt;0,SUMIF(куб!$E:$E,$E927,куб!H:H),IF($D927&lt;&gt;0,SUMIF(куб!$D:$D,$D927,куб!H:H),IF($C927&lt;&gt;0,SUMIF(куб!$C:$C,$C927,куб!H:H),IF($B927&lt;&gt;0,SUMIF(куб!$B:$B,$B927,куб!H:H),IF($G927&lt;&gt;0,SUMIF(куб!$A:$A,$G927,куб!H:H),SUMIF(куб!$A:$A,$G927,куб!H:H)))))))</f>
        <v>0</v>
      </c>
      <c r="I927" s="27">
        <f>IF($G927&lt;&gt;0,SUMIF(куб!$G:$G,$G927,куб!I:I),IF($E927&lt;&gt;0,SUMIF(куб!$E:$E,$E927,куб!I:I),IF($D927&lt;&gt;0,SUMIF(куб!$D:$D,$D927,куб!I:I),IF($C927&lt;&gt;0,SUMIF(куб!$C:$C,$C927,куб!I:I),IF($B927&lt;&gt;0,SUMIF(куб!$B:$B,$B927,куб!I:I),IF($G927&lt;&gt;0,SUMIF(куб!$A:$A,$G927,куб!I:I),SUMIF(куб!$A:$A,$G927,куб!I:I)))))))</f>
        <v>0</v>
      </c>
      <c r="J927" s="19" t="str">
        <f t="shared" si="291"/>
        <v>-</v>
      </c>
      <c r="K927" s="8"/>
      <c r="L927" s="17">
        <f t="shared" si="292"/>
        <v>0</v>
      </c>
      <c r="M927" s="17">
        <f t="shared" si="293"/>
        <v>0</v>
      </c>
      <c r="N927" s="12">
        <f t="shared" si="294"/>
        <v>0</v>
      </c>
      <c r="O927" s="5"/>
      <c r="P927" s="27" t="b">
        <f>IF($G927&lt;&gt;0,SUMIF(куб!$G:$G,$G927,куб!J:J),IF($E927&lt;&gt;0,SUMIF(куб!$E:$E,$E927,куб!J:J),IF($D927&lt;&gt;0,SUMIF(куб!$D:$D,$D927,куб!J:J),IF($C927&lt;&gt;0,SUMIF(куб!$C:$C,$C927,куб!J:J),IF($B927&lt;&gt;0,SUMIF(куб!$B:$B,$B927,куб!J:J))))))</f>
        <v>0</v>
      </c>
      <c r="Q927" s="27" t="b">
        <f>IF($G927&lt;&gt;0,SUMIF(куб!$G:$G,$G927,куб!K:K),IF($E927&lt;&gt;0,SUMIF(куб!$E:$E,$E927,куб!K:K),IF($D927&lt;&gt;0,SUMIF(куб!$D:$D,$D927,куб!K:K),IF($C927&lt;&gt;0,SUMIF(куб!$C:$C,$C927,куб!K:K),IF($B927&lt;&gt;0,SUMIF(куб!$B:$B,$B927,куб!K:K))))))</f>
        <v>0</v>
      </c>
      <c r="R927" s="13" t="str">
        <f t="shared" si="295"/>
        <v>-</v>
      </c>
      <c r="S927" s="5"/>
      <c r="T927" s="27" t="b">
        <f>IF($G927&lt;&gt;0,SUMIF(куб!$G:$G,$G927,куб!L:L),IF($E927&lt;&gt;0,SUMIF(куб!$E:$E,$E927,куб!L:L),IF($D927&lt;&gt;0,SUMIF(куб!$D:$D,$D927,куб!L:L),IF($C927&lt;&gt;0,SUMIF(куб!$C:$C,$C927,куб!L:L),IF($B927&lt;&gt;0,SUMIF(куб!$B:$B,$B927,куб!L:L))))))</f>
        <v>0</v>
      </c>
      <c r="U927" s="27" t="b">
        <f>IF($G927&lt;&gt;0,SUMIF(куб!$G:$G,$G927,куб!M:M),IF($E927&lt;&gt;0,SUMIF(куб!$E:$E,$E927,куб!M:M),IF($D927&lt;&gt;0,SUMIF(куб!$D:$D,$D927,куб!M:M),IF($C927&lt;&gt;0,SUMIF(куб!$C:$C,$C927,куб!M:M),IF($B927&lt;&gt;0,SUMIF(куб!$B:$B,$B927,куб!M:M))))))</f>
        <v>0</v>
      </c>
      <c r="V927" s="13" t="str">
        <f t="shared" si="296"/>
        <v>-</v>
      </c>
      <c r="W927" s="5"/>
      <c r="X927" s="27" t="b">
        <f>IF($G927&lt;&gt;0,SUMIF(куб!$G:$G,$G927,куб!N:N),IF($E927&lt;&gt;0,SUMIF(куб!$E:$E,$E927,куб!N:N),IF($D927&lt;&gt;0,SUMIF(куб!$D:$D,$D927,куб!N:N),IF($C927&lt;&gt;0,SUMIF(куб!$C:$C,$C927,куб!N:N),IF($B927&lt;&gt;0,SUMIF(куб!$B:$B,$B927,куб!N:N))))))</f>
        <v>0</v>
      </c>
      <c r="Y927" s="27" t="b">
        <f>IF($G927&lt;&gt;0,SUMIF(куб!$G:$G,$G927,куб!O:O),IF($E927&lt;&gt;0,SUMIF(куб!$E:$E,$E927,куб!O:O),IF($D927&lt;&gt;0,SUMIF(куб!$D:$D,$D927,куб!O:O),IF($C927&lt;&gt;0,SUMIF(куб!$C:$C,$C927,куб!O:O),IF($B927&lt;&gt;0,SUMIF(куб!$B:$B,$B927,куб!O:O))))))</f>
        <v>0</v>
      </c>
      <c r="Z927" s="13" t="str">
        <f t="shared" si="297"/>
        <v>-</v>
      </c>
      <c r="AA927" s="5"/>
      <c r="AB927" s="33" t="str">
        <f t="shared" si="298"/>
        <v/>
      </c>
      <c r="AC927" s="33" t="str">
        <f t="shared" si="299"/>
        <v/>
      </c>
      <c r="AD927" s="15" t="str">
        <f t="shared" si="300"/>
        <v xml:space="preserve"> </v>
      </c>
      <c r="AE927" s="5"/>
      <c r="AF927" s="27" t="b">
        <f>IF($G927&lt;&gt;0,SUMIF(куб!$G:$G,$G927,куб!R:R),IF($E927&lt;&gt;0,SUMIF(куб!$E:$E,$E927,куб!R:R),IF($D927&lt;&gt;0,SUMIF(куб!$D:$D,$D927,куб!R:R),IF($C927&lt;&gt;0,SUMIF(куб!$C:$C,$C927,куб!R:R),IF($B927&lt;&gt;0,SUMIF(куб!$B:$B,$B927,куб!R:R))))))</f>
        <v>0</v>
      </c>
      <c r="AG927" s="27" t="b">
        <f>IF($G927&lt;&gt;0,SUMIF(куб!$G:$G,$G927,куб!S:S),IF($E927&lt;&gt;0,SUMIF(куб!$E:$E,$E927,куб!S:S),IF($D927&lt;&gt;0,SUMIF(куб!$D:$D,$D927,куб!S:S),IF($C927&lt;&gt;0,SUMIF(куб!$C:$C,$C927,куб!S:S),IF($B927&lt;&gt;0,SUMIF(куб!$B:$B,$B927,куб!S:S))))))</f>
        <v>0</v>
      </c>
      <c r="AH927" s="16" t="str">
        <f t="shared" si="301"/>
        <v>-</v>
      </c>
      <c r="AI927" s="8"/>
      <c r="AJ927" s="27" t="b">
        <f>IF($G927&lt;&gt;0,SUMIF(куб!$G:$G,$G927,куб!T:T),IF($E927&lt;&gt;0,SUMIF(куб!$E:$E,$E927,куб!T:T),IF($D927&lt;&gt;0,SUMIF(куб!$D:$D,$D927,куб!T:T),IF($C927&lt;&gt;0,SUMIF(куб!$C:$C,$C927,куб!T:T),IF($B927&lt;&gt;0,SUMIF(куб!$B:$B,$B927,куб!T:T))))))</f>
        <v>0</v>
      </c>
      <c r="AK927" s="27" t="b">
        <f>IF($G927&lt;&gt;0,SUMIF(куб!$G:$G,$G927,куб!U:U),IF($E927&lt;&gt;0,SUMIF(куб!$E:$E,$E927,куб!U:U),IF($D927&lt;&gt;0,SUMIF(куб!$D:$D,$D927,куб!U:U),IF($C927&lt;&gt;0,SUMIF(куб!$C:$C,$C927,куб!U:U),IF($B927&lt;&gt;0,SUMIF(куб!$B:$B,$B927,куб!U:U))))))</f>
        <v>0</v>
      </c>
      <c r="AL927" s="16" t="str">
        <f t="shared" si="302"/>
        <v>-</v>
      </c>
      <c r="AM927" s="8"/>
      <c r="AN927" s="17" t="str">
        <f t="shared" si="303"/>
        <v xml:space="preserve"> </v>
      </c>
      <c r="AO927" s="17" t="str">
        <f t="shared" si="304"/>
        <v xml:space="preserve"> </v>
      </c>
      <c r="AP927" s="16" t="str">
        <f t="shared" si="305"/>
        <v>-</v>
      </c>
      <c r="AQ927" s="8"/>
      <c r="AR927" s="17" t="str">
        <f t="shared" si="306"/>
        <v>-</v>
      </c>
      <c r="AS927" s="17" t="str">
        <f t="shared" si="307"/>
        <v>-</v>
      </c>
      <c r="AT927" s="13" t="str">
        <f t="shared" si="308"/>
        <v>-</v>
      </c>
      <c r="AU927" s="8"/>
    </row>
    <row r="928" spans="1:47" x14ac:dyDescent="0.25">
      <c r="A928" s="31"/>
      <c r="B928" s="31"/>
      <c r="C928"/>
      <c r="D928" s="31"/>
      <c r="E928"/>
      <c r="F928" s="31"/>
      <c r="G928"/>
      <c r="H928" s="27">
        <f>IF($G928&lt;&gt;0,SUMIF(куб!$G:$G,$G928,куб!H:H),IF($E928&lt;&gt;0,SUMIF(куб!$E:$E,$E928,куб!H:H),IF($D928&lt;&gt;0,SUMIF(куб!$D:$D,$D928,куб!H:H),IF($C928&lt;&gt;0,SUMIF(куб!$C:$C,$C928,куб!H:H),IF($B928&lt;&gt;0,SUMIF(куб!$B:$B,$B928,куб!H:H),IF($G928&lt;&gt;0,SUMIF(куб!$A:$A,$G928,куб!H:H),SUMIF(куб!$A:$A,$G928,куб!H:H)))))))</f>
        <v>0</v>
      </c>
      <c r="I928" s="27">
        <f>IF($G928&lt;&gt;0,SUMIF(куб!$G:$G,$G928,куб!I:I),IF($E928&lt;&gt;0,SUMIF(куб!$E:$E,$E928,куб!I:I),IF($D928&lt;&gt;0,SUMIF(куб!$D:$D,$D928,куб!I:I),IF($C928&lt;&gt;0,SUMIF(куб!$C:$C,$C928,куб!I:I),IF($B928&lt;&gt;0,SUMIF(куб!$B:$B,$B928,куб!I:I),IF($G928&lt;&gt;0,SUMIF(куб!$A:$A,$G928,куб!I:I),SUMIF(куб!$A:$A,$G928,куб!I:I)))))))</f>
        <v>0</v>
      </c>
      <c r="J928" s="19" t="str">
        <f t="shared" si="291"/>
        <v>-</v>
      </c>
      <c r="K928" s="8"/>
      <c r="L928" s="17">
        <f t="shared" si="292"/>
        <v>0</v>
      </c>
      <c r="M928" s="17">
        <f t="shared" si="293"/>
        <v>0</v>
      </c>
      <c r="N928" s="12">
        <f t="shared" si="294"/>
        <v>0</v>
      </c>
      <c r="O928" s="5"/>
      <c r="P928" s="27" t="b">
        <f>IF($G928&lt;&gt;0,SUMIF(куб!$G:$G,$G928,куб!J:J),IF($E928&lt;&gt;0,SUMIF(куб!$E:$E,$E928,куб!J:J),IF($D928&lt;&gt;0,SUMIF(куб!$D:$D,$D928,куб!J:J),IF($C928&lt;&gt;0,SUMIF(куб!$C:$C,$C928,куб!J:J),IF($B928&lt;&gt;0,SUMIF(куб!$B:$B,$B928,куб!J:J))))))</f>
        <v>0</v>
      </c>
      <c r="Q928" s="27" t="b">
        <f>IF($G928&lt;&gt;0,SUMIF(куб!$G:$G,$G928,куб!K:K),IF($E928&lt;&gt;0,SUMIF(куб!$E:$E,$E928,куб!K:K),IF($D928&lt;&gt;0,SUMIF(куб!$D:$D,$D928,куб!K:K),IF($C928&lt;&gt;0,SUMIF(куб!$C:$C,$C928,куб!K:K),IF($B928&lt;&gt;0,SUMIF(куб!$B:$B,$B928,куб!K:K))))))</f>
        <v>0</v>
      </c>
      <c r="R928" s="13" t="str">
        <f t="shared" si="295"/>
        <v>-</v>
      </c>
      <c r="S928" s="5"/>
      <c r="T928" s="27" t="b">
        <f>IF($G928&lt;&gt;0,SUMIF(куб!$G:$G,$G928,куб!L:L),IF($E928&lt;&gt;0,SUMIF(куб!$E:$E,$E928,куб!L:L),IF($D928&lt;&gt;0,SUMIF(куб!$D:$D,$D928,куб!L:L),IF($C928&lt;&gt;0,SUMIF(куб!$C:$C,$C928,куб!L:L),IF($B928&lt;&gt;0,SUMIF(куб!$B:$B,$B928,куб!L:L))))))</f>
        <v>0</v>
      </c>
      <c r="U928" s="27" t="b">
        <f>IF($G928&lt;&gt;0,SUMIF(куб!$G:$G,$G928,куб!M:M),IF($E928&lt;&gt;0,SUMIF(куб!$E:$E,$E928,куб!M:M),IF($D928&lt;&gt;0,SUMIF(куб!$D:$D,$D928,куб!M:M),IF($C928&lt;&gt;0,SUMIF(куб!$C:$C,$C928,куб!M:M),IF($B928&lt;&gt;0,SUMIF(куб!$B:$B,$B928,куб!M:M))))))</f>
        <v>0</v>
      </c>
      <c r="V928" s="13" t="str">
        <f t="shared" si="296"/>
        <v>-</v>
      </c>
      <c r="W928" s="5"/>
      <c r="X928" s="27" t="b">
        <f>IF($G928&lt;&gt;0,SUMIF(куб!$G:$G,$G928,куб!N:N),IF($E928&lt;&gt;0,SUMIF(куб!$E:$E,$E928,куб!N:N),IF($D928&lt;&gt;0,SUMIF(куб!$D:$D,$D928,куб!N:N),IF($C928&lt;&gt;0,SUMIF(куб!$C:$C,$C928,куб!N:N),IF($B928&lt;&gt;0,SUMIF(куб!$B:$B,$B928,куб!N:N))))))</f>
        <v>0</v>
      </c>
      <c r="Y928" s="27" t="b">
        <f>IF($G928&lt;&gt;0,SUMIF(куб!$G:$G,$G928,куб!O:O),IF($E928&lt;&gt;0,SUMIF(куб!$E:$E,$E928,куб!O:O),IF($D928&lt;&gt;0,SUMIF(куб!$D:$D,$D928,куб!O:O),IF($C928&lt;&gt;0,SUMIF(куб!$C:$C,$C928,куб!O:O),IF($B928&lt;&gt;0,SUMIF(куб!$B:$B,$B928,куб!O:O))))))</f>
        <v>0</v>
      </c>
      <c r="Z928" s="13" t="str">
        <f t="shared" si="297"/>
        <v>-</v>
      </c>
      <c r="AA928" s="5"/>
      <c r="AB928" s="33" t="str">
        <f t="shared" si="298"/>
        <v/>
      </c>
      <c r="AC928" s="33" t="str">
        <f t="shared" si="299"/>
        <v/>
      </c>
      <c r="AD928" s="15" t="str">
        <f t="shared" si="300"/>
        <v xml:space="preserve"> </v>
      </c>
      <c r="AE928" s="5"/>
      <c r="AF928" s="27" t="b">
        <f>IF($G928&lt;&gt;0,SUMIF(куб!$G:$G,$G928,куб!R:R),IF($E928&lt;&gt;0,SUMIF(куб!$E:$E,$E928,куб!R:R),IF($D928&lt;&gt;0,SUMIF(куб!$D:$D,$D928,куб!R:R),IF($C928&lt;&gt;0,SUMIF(куб!$C:$C,$C928,куб!R:R),IF($B928&lt;&gt;0,SUMIF(куб!$B:$B,$B928,куб!R:R))))))</f>
        <v>0</v>
      </c>
      <c r="AG928" s="27" t="b">
        <f>IF($G928&lt;&gt;0,SUMIF(куб!$G:$G,$G928,куб!S:S),IF($E928&lt;&gt;0,SUMIF(куб!$E:$E,$E928,куб!S:S),IF($D928&lt;&gt;0,SUMIF(куб!$D:$D,$D928,куб!S:S),IF($C928&lt;&gt;0,SUMIF(куб!$C:$C,$C928,куб!S:S),IF($B928&lt;&gt;0,SUMIF(куб!$B:$B,$B928,куб!S:S))))))</f>
        <v>0</v>
      </c>
      <c r="AH928" s="16" t="str">
        <f t="shared" si="301"/>
        <v>-</v>
      </c>
      <c r="AI928" s="8"/>
      <c r="AJ928" s="27" t="b">
        <f>IF($G928&lt;&gt;0,SUMIF(куб!$G:$G,$G928,куб!T:T),IF($E928&lt;&gt;0,SUMIF(куб!$E:$E,$E928,куб!T:T),IF($D928&lt;&gt;0,SUMIF(куб!$D:$D,$D928,куб!T:T),IF($C928&lt;&gt;0,SUMIF(куб!$C:$C,$C928,куб!T:T),IF($B928&lt;&gt;0,SUMIF(куб!$B:$B,$B928,куб!T:T))))))</f>
        <v>0</v>
      </c>
      <c r="AK928" s="27" t="b">
        <f>IF($G928&lt;&gt;0,SUMIF(куб!$G:$G,$G928,куб!U:U),IF($E928&lt;&gt;0,SUMIF(куб!$E:$E,$E928,куб!U:U),IF($D928&lt;&gt;0,SUMIF(куб!$D:$D,$D928,куб!U:U),IF($C928&lt;&gt;0,SUMIF(куб!$C:$C,$C928,куб!U:U),IF($B928&lt;&gt;0,SUMIF(куб!$B:$B,$B928,куб!U:U))))))</f>
        <v>0</v>
      </c>
      <c r="AL928" s="16" t="str">
        <f t="shared" si="302"/>
        <v>-</v>
      </c>
      <c r="AM928" s="8"/>
      <c r="AN928" s="17" t="str">
        <f t="shared" si="303"/>
        <v xml:space="preserve"> </v>
      </c>
      <c r="AO928" s="17" t="str">
        <f t="shared" si="304"/>
        <v xml:space="preserve"> </v>
      </c>
      <c r="AP928" s="16" t="str">
        <f t="shared" si="305"/>
        <v>-</v>
      </c>
      <c r="AQ928" s="8"/>
      <c r="AR928" s="17" t="str">
        <f t="shared" si="306"/>
        <v>-</v>
      </c>
      <c r="AS928" s="17" t="str">
        <f t="shared" si="307"/>
        <v>-</v>
      </c>
      <c r="AT928" s="13" t="str">
        <f t="shared" si="308"/>
        <v>-</v>
      </c>
      <c r="AU928" s="8"/>
    </row>
    <row r="929" spans="1:47" x14ac:dyDescent="0.25">
      <c r="A929" s="31"/>
      <c r="B929" s="31"/>
      <c r="C929"/>
      <c r="D929" s="31"/>
      <c r="E929"/>
      <c r="F929" s="31"/>
      <c r="G929"/>
      <c r="H929" s="27">
        <f>IF($G929&lt;&gt;0,SUMIF(куб!$G:$G,$G929,куб!H:H),IF($E929&lt;&gt;0,SUMIF(куб!$E:$E,$E929,куб!H:H),IF($D929&lt;&gt;0,SUMIF(куб!$D:$D,$D929,куб!H:H),IF($C929&lt;&gt;0,SUMIF(куб!$C:$C,$C929,куб!H:H),IF($B929&lt;&gt;0,SUMIF(куб!$B:$B,$B929,куб!H:H),IF($G929&lt;&gt;0,SUMIF(куб!$A:$A,$G929,куб!H:H),SUMIF(куб!$A:$A,$G929,куб!H:H)))))))</f>
        <v>0</v>
      </c>
      <c r="I929" s="27">
        <f>IF($G929&lt;&gt;0,SUMIF(куб!$G:$G,$G929,куб!I:I),IF($E929&lt;&gt;0,SUMIF(куб!$E:$E,$E929,куб!I:I),IF($D929&lt;&gt;0,SUMIF(куб!$D:$D,$D929,куб!I:I),IF($C929&lt;&gt;0,SUMIF(куб!$C:$C,$C929,куб!I:I),IF($B929&lt;&gt;0,SUMIF(куб!$B:$B,$B929,куб!I:I),IF($G929&lt;&gt;0,SUMIF(куб!$A:$A,$G929,куб!I:I),SUMIF(куб!$A:$A,$G929,куб!I:I)))))))</f>
        <v>0</v>
      </c>
      <c r="J929" s="19" t="str">
        <f t="shared" si="291"/>
        <v>-</v>
      </c>
      <c r="K929" s="8"/>
      <c r="L929" s="17">
        <f t="shared" si="292"/>
        <v>0</v>
      </c>
      <c r="M929" s="17">
        <f t="shared" si="293"/>
        <v>0</v>
      </c>
      <c r="N929" s="12">
        <f t="shared" si="294"/>
        <v>0</v>
      </c>
      <c r="O929" s="5"/>
      <c r="P929" s="27" t="b">
        <f>IF($G929&lt;&gt;0,SUMIF(куб!$G:$G,$G929,куб!J:J),IF($E929&lt;&gt;0,SUMIF(куб!$E:$E,$E929,куб!J:J),IF($D929&lt;&gt;0,SUMIF(куб!$D:$D,$D929,куб!J:J),IF($C929&lt;&gt;0,SUMIF(куб!$C:$C,$C929,куб!J:J),IF($B929&lt;&gt;0,SUMIF(куб!$B:$B,$B929,куб!J:J))))))</f>
        <v>0</v>
      </c>
      <c r="Q929" s="27" t="b">
        <f>IF($G929&lt;&gt;0,SUMIF(куб!$G:$G,$G929,куб!K:K),IF($E929&lt;&gt;0,SUMIF(куб!$E:$E,$E929,куб!K:K),IF($D929&lt;&gt;0,SUMIF(куб!$D:$D,$D929,куб!K:K),IF($C929&lt;&gt;0,SUMIF(куб!$C:$C,$C929,куб!K:K),IF($B929&lt;&gt;0,SUMIF(куб!$B:$B,$B929,куб!K:K))))))</f>
        <v>0</v>
      </c>
      <c r="R929" s="13" t="str">
        <f t="shared" si="295"/>
        <v>-</v>
      </c>
      <c r="S929" s="5"/>
      <c r="T929" s="27" t="b">
        <f>IF($G929&lt;&gt;0,SUMIF(куб!$G:$G,$G929,куб!L:L),IF($E929&lt;&gt;0,SUMIF(куб!$E:$E,$E929,куб!L:L),IF($D929&lt;&gt;0,SUMIF(куб!$D:$D,$D929,куб!L:L),IF($C929&lt;&gt;0,SUMIF(куб!$C:$C,$C929,куб!L:L),IF($B929&lt;&gt;0,SUMIF(куб!$B:$B,$B929,куб!L:L))))))</f>
        <v>0</v>
      </c>
      <c r="U929" s="27" t="b">
        <f>IF($G929&lt;&gt;0,SUMIF(куб!$G:$G,$G929,куб!M:M),IF($E929&lt;&gt;0,SUMIF(куб!$E:$E,$E929,куб!M:M),IF($D929&lt;&gt;0,SUMIF(куб!$D:$D,$D929,куб!M:M),IF($C929&lt;&gt;0,SUMIF(куб!$C:$C,$C929,куб!M:M),IF($B929&lt;&gt;0,SUMIF(куб!$B:$B,$B929,куб!M:M))))))</f>
        <v>0</v>
      </c>
      <c r="V929" s="13" t="str">
        <f t="shared" si="296"/>
        <v>-</v>
      </c>
      <c r="W929" s="5"/>
      <c r="X929" s="27" t="b">
        <f>IF($G929&lt;&gt;0,SUMIF(куб!$G:$G,$G929,куб!N:N),IF($E929&lt;&gt;0,SUMIF(куб!$E:$E,$E929,куб!N:N),IF($D929&lt;&gt;0,SUMIF(куб!$D:$D,$D929,куб!N:N),IF($C929&lt;&gt;0,SUMIF(куб!$C:$C,$C929,куб!N:N),IF($B929&lt;&gt;0,SUMIF(куб!$B:$B,$B929,куб!N:N))))))</f>
        <v>0</v>
      </c>
      <c r="Y929" s="27" t="b">
        <f>IF($G929&lt;&gt;0,SUMIF(куб!$G:$G,$G929,куб!O:O),IF($E929&lt;&gt;0,SUMIF(куб!$E:$E,$E929,куб!O:O),IF($D929&lt;&gt;0,SUMIF(куб!$D:$D,$D929,куб!O:O),IF($C929&lt;&gt;0,SUMIF(куб!$C:$C,$C929,куб!O:O),IF($B929&lt;&gt;0,SUMIF(куб!$B:$B,$B929,куб!O:O))))))</f>
        <v>0</v>
      </c>
      <c r="Z929" s="13" t="str">
        <f t="shared" si="297"/>
        <v>-</v>
      </c>
      <c r="AA929" s="5"/>
      <c r="AB929" s="33" t="str">
        <f t="shared" si="298"/>
        <v/>
      </c>
      <c r="AC929" s="33" t="str">
        <f t="shared" si="299"/>
        <v/>
      </c>
      <c r="AD929" s="15" t="str">
        <f t="shared" si="300"/>
        <v xml:space="preserve"> </v>
      </c>
      <c r="AE929" s="5"/>
      <c r="AF929" s="27" t="b">
        <f>IF($G929&lt;&gt;0,SUMIF(куб!$G:$G,$G929,куб!R:R),IF($E929&lt;&gt;0,SUMIF(куб!$E:$E,$E929,куб!R:R),IF($D929&lt;&gt;0,SUMIF(куб!$D:$D,$D929,куб!R:R),IF($C929&lt;&gt;0,SUMIF(куб!$C:$C,$C929,куб!R:R),IF($B929&lt;&gt;0,SUMIF(куб!$B:$B,$B929,куб!R:R))))))</f>
        <v>0</v>
      </c>
      <c r="AG929" s="27" t="b">
        <f>IF($G929&lt;&gt;0,SUMIF(куб!$G:$G,$G929,куб!S:S),IF($E929&lt;&gt;0,SUMIF(куб!$E:$E,$E929,куб!S:S),IF($D929&lt;&gt;0,SUMIF(куб!$D:$D,$D929,куб!S:S),IF($C929&lt;&gt;0,SUMIF(куб!$C:$C,$C929,куб!S:S),IF($B929&lt;&gt;0,SUMIF(куб!$B:$B,$B929,куб!S:S))))))</f>
        <v>0</v>
      </c>
      <c r="AH929" s="16" t="str">
        <f t="shared" si="301"/>
        <v>-</v>
      </c>
      <c r="AI929" s="8"/>
      <c r="AJ929" s="27" t="b">
        <f>IF($G929&lt;&gt;0,SUMIF(куб!$G:$G,$G929,куб!T:T),IF($E929&lt;&gt;0,SUMIF(куб!$E:$E,$E929,куб!T:T),IF($D929&lt;&gt;0,SUMIF(куб!$D:$D,$D929,куб!T:T),IF($C929&lt;&gt;0,SUMIF(куб!$C:$C,$C929,куб!T:T),IF($B929&lt;&gt;0,SUMIF(куб!$B:$B,$B929,куб!T:T))))))</f>
        <v>0</v>
      </c>
      <c r="AK929" s="27" t="b">
        <f>IF($G929&lt;&gt;0,SUMIF(куб!$G:$G,$G929,куб!U:U),IF($E929&lt;&gt;0,SUMIF(куб!$E:$E,$E929,куб!U:U),IF($D929&lt;&gt;0,SUMIF(куб!$D:$D,$D929,куб!U:U),IF($C929&lt;&gt;0,SUMIF(куб!$C:$C,$C929,куб!U:U),IF($B929&lt;&gt;0,SUMIF(куб!$B:$B,$B929,куб!U:U))))))</f>
        <v>0</v>
      </c>
      <c r="AL929" s="16" t="str">
        <f t="shared" si="302"/>
        <v>-</v>
      </c>
      <c r="AM929" s="8"/>
      <c r="AN929" s="17" t="str">
        <f t="shared" si="303"/>
        <v xml:space="preserve"> </v>
      </c>
      <c r="AO929" s="17" t="str">
        <f t="shared" si="304"/>
        <v xml:space="preserve"> </v>
      </c>
      <c r="AP929" s="16" t="str">
        <f t="shared" si="305"/>
        <v>-</v>
      </c>
      <c r="AQ929" s="8"/>
      <c r="AR929" s="17" t="str">
        <f t="shared" si="306"/>
        <v>-</v>
      </c>
      <c r="AS929" s="17" t="str">
        <f t="shared" si="307"/>
        <v>-</v>
      </c>
      <c r="AT929" s="13" t="str">
        <f t="shared" si="308"/>
        <v>-</v>
      </c>
      <c r="AU929" s="8"/>
    </row>
    <row r="930" spans="1:47" x14ac:dyDescent="0.25">
      <c r="A930" s="31"/>
      <c r="B930" s="31"/>
      <c r="C930"/>
      <c r="D930" s="31"/>
      <c r="E930"/>
      <c r="F930" s="31"/>
      <c r="G930"/>
      <c r="H930" s="27">
        <f>IF($G930&lt;&gt;0,SUMIF(куб!$G:$G,$G930,куб!H:H),IF($E930&lt;&gt;0,SUMIF(куб!$E:$E,$E930,куб!H:H),IF($D930&lt;&gt;0,SUMIF(куб!$D:$D,$D930,куб!H:H),IF($C930&lt;&gt;0,SUMIF(куб!$C:$C,$C930,куб!H:H),IF($B930&lt;&gt;0,SUMIF(куб!$B:$B,$B930,куб!H:H),IF($G930&lt;&gt;0,SUMIF(куб!$A:$A,$G930,куб!H:H),SUMIF(куб!$A:$A,$G930,куб!H:H)))))))</f>
        <v>0</v>
      </c>
      <c r="I930" s="27">
        <f>IF($G930&lt;&gt;0,SUMIF(куб!$G:$G,$G930,куб!I:I),IF($E930&lt;&gt;0,SUMIF(куб!$E:$E,$E930,куб!I:I),IF($D930&lt;&gt;0,SUMIF(куб!$D:$D,$D930,куб!I:I),IF($C930&lt;&gt;0,SUMIF(куб!$C:$C,$C930,куб!I:I),IF($B930&lt;&gt;0,SUMIF(куб!$B:$B,$B930,куб!I:I),IF($G930&lt;&gt;0,SUMIF(куб!$A:$A,$G930,куб!I:I),SUMIF(куб!$A:$A,$G930,куб!I:I)))))))</f>
        <v>0</v>
      </c>
      <c r="J930" s="19" t="str">
        <f t="shared" si="291"/>
        <v>-</v>
      </c>
      <c r="K930" s="8"/>
      <c r="L930" s="17">
        <f t="shared" si="292"/>
        <v>0</v>
      </c>
      <c r="M930" s="17">
        <f t="shared" si="293"/>
        <v>0</v>
      </c>
      <c r="N930" s="12">
        <f t="shared" si="294"/>
        <v>0</v>
      </c>
      <c r="O930" s="5"/>
      <c r="P930" s="27" t="b">
        <f>IF($G930&lt;&gt;0,SUMIF(куб!$G:$G,$G930,куб!J:J),IF($E930&lt;&gt;0,SUMIF(куб!$E:$E,$E930,куб!J:J),IF($D930&lt;&gt;0,SUMIF(куб!$D:$D,$D930,куб!J:J),IF($C930&lt;&gt;0,SUMIF(куб!$C:$C,$C930,куб!J:J),IF($B930&lt;&gt;0,SUMIF(куб!$B:$B,$B930,куб!J:J))))))</f>
        <v>0</v>
      </c>
      <c r="Q930" s="27" t="b">
        <f>IF($G930&lt;&gt;0,SUMIF(куб!$G:$G,$G930,куб!K:K),IF($E930&lt;&gt;0,SUMIF(куб!$E:$E,$E930,куб!K:K),IF($D930&lt;&gt;0,SUMIF(куб!$D:$D,$D930,куб!K:K),IF($C930&lt;&gt;0,SUMIF(куб!$C:$C,$C930,куб!K:K),IF($B930&lt;&gt;0,SUMIF(куб!$B:$B,$B930,куб!K:K))))))</f>
        <v>0</v>
      </c>
      <c r="R930" s="13" t="str">
        <f t="shared" si="295"/>
        <v>-</v>
      </c>
      <c r="S930" s="5"/>
      <c r="T930" s="27" t="b">
        <f>IF($G930&lt;&gt;0,SUMIF(куб!$G:$G,$G930,куб!L:L),IF($E930&lt;&gt;0,SUMIF(куб!$E:$E,$E930,куб!L:L),IF($D930&lt;&gt;0,SUMIF(куб!$D:$D,$D930,куб!L:L),IF($C930&lt;&gt;0,SUMIF(куб!$C:$C,$C930,куб!L:L),IF($B930&lt;&gt;0,SUMIF(куб!$B:$B,$B930,куб!L:L))))))</f>
        <v>0</v>
      </c>
      <c r="U930" s="27" t="b">
        <f>IF($G930&lt;&gt;0,SUMIF(куб!$G:$G,$G930,куб!M:M),IF($E930&lt;&gt;0,SUMIF(куб!$E:$E,$E930,куб!M:M),IF($D930&lt;&gt;0,SUMIF(куб!$D:$D,$D930,куб!M:M),IF($C930&lt;&gt;0,SUMIF(куб!$C:$C,$C930,куб!M:M),IF($B930&lt;&gt;0,SUMIF(куб!$B:$B,$B930,куб!M:M))))))</f>
        <v>0</v>
      </c>
      <c r="V930" s="13" t="str">
        <f t="shared" si="296"/>
        <v>-</v>
      </c>
      <c r="W930" s="5"/>
      <c r="X930" s="27" t="b">
        <f>IF($G930&lt;&gt;0,SUMIF(куб!$G:$G,$G930,куб!N:N),IF($E930&lt;&gt;0,SUMIF(куб!$E:$E,$E930,куб!N:N),IF($D930&lt;&gt;0,SUMIF(куб!$D:$D,$D930,куб!N:N),IF($C930&lt;&gt;0,SUMIF(куб!$C:$C,$C930,куб!N:N),IF($B930&lt;&gt;0,SUMIF(куб!$B:$B,$B930,куб!N:N))))))</f>
        <v>0</v>
      </c>
      <c r="Y930" s="27" t="b">
        <f>IF($G930&lt;&gt;0,SUMIF(куб!$G:$G,$G930,куб!O:O),IF($E930&lt;&gt;0,SUMIF(куб!$E:$E,$E930,куб!O:O),IF($D930&lt;&gt;0,SUMIF(куб!$D:$D,$D930,куб!O:O),IF($C930&lt;&gt;0,SUMIF(куб!$C:$C,$C930,куб!O:O),IF($B930&lt;&gt;0,SUMIF(куб!$B:$B,$B930,куб!O:O))))))</f>
        <v>0</v>
      </c>
      <c r="Z930" s="13" t="str">
        <f t="shared" si="297"/>
        <v>-</v>
      </c>
      <c r="AA930" s="5"/>
      <c r="AB930" s="33" t="str">
        <f t="shared" si="298"/>
        <v/>
      </c>
      <c r="AC930" s="33" t="str">
        <f t="shared" si="299"/>
        <v/>
      </c>
      <c r="AD930" s="15" t="str">
        <f t="shared" si="300"/>
        <v xml:space="preserve"> </v>
      </c>
      <c r="AE930" s="5"/>
      <c r="AF930" s="27" t="b">
        <f>IF($G930&lt;&gt;0,SUMIF(куб!$G:$G,$G930,куб!R:R),IF($E930&lt;&gt;0,SUMIF(куб!$E:$E,$E930,куб!R:R),IF($D930&lt;&gt;0,SUMIF(куб!$D:$D,$D930,куб!R:R),IF($C930&lt;&gt;0,SUMIF(куб!$C:$C,$C930,куб!R:R),IF($B930&lt;&gt;0,SUMIF(куб!$B:$B,$B930,куб!R:R))))))</f>
        <v>0</v>
      </c>
      <c r="AG930" s="27" t="b">
        <f>IF($G930&lt;&gt;0,SUMIF(куб!$G:$G,$G930,куб!S:S),IF($E930&lt;&gt;0,SUMIF(куб!$E:$E,$E930,куб!S:S),IF($D930&lt;&gt;0,SUMIF(куб!$D:$D,$D930,куб!S:S),IF($C930&lt;&gt;0,SUMIF(куб!$C:$C,$C930,куб!S:S),IF($B930&lt;&gt;0,SUMIF(куб!$B:$B,$B930,куб!S:S))))))</f>
        <v>0</v>
      </c>
      <c r="AH930" s="16" t="str">
        <f t="shared" si="301"/>
        <v>-</v>
      </c>
      <c r="AI930" s="8"/>
      <c r="AJ930" s="27" t="b">
        <f>IF($G930&lt;&gt;0,SUMIF(куб!$G:$G,$G930,куб!T:T),IF($E930&lt;&gt;0,SUMIF(куб!$E:$E,$E930,куб!T:T),IF($D930&lt;&gt;0,SUMIF(куб!$D:$D,$D930,куб!T:T),IF($C930&lt;&gt;0,SUMIF(куб!$C:$C,$C930,куб!T:T),IF($B930&lt;&gt;0,SUMIF(куб!$B:$B,$B930,куб!T:T))))))</f>
        <v>0</v>
      </c>
      <c r="AK930" s="27" t="b">
        <f>IF($G930&lt;&gt;0,SUMIF(куб!$G:$G,$G930,куб!U:U),IF($E930&lt;&gt;0,SUMIF(куб!$E:$E,$E930,куб!U:U),IF($D930&lt;&gt;0,SUMIF(куб!$D:$D,$D930,куб!U:U),IF($C930&lt;&gt;0,SUMIF(куб!$C:$C,$C930,куб!U:U),IF($B930&lt;&gt;0,SUMIF(куб!$B:$B,$B930,куб!U:U))))))</f>
        <v>0</v>
      </c>
      <c r="AL930" s="16" t="str">
        <f t="shared" si="302"/>
        <v>-</v>
      </c>
      <c r="AM930" s="8"/>
      <c r="AN930" s="17" t="str">
        <f t="shared" si="303"/>
        <v xml:space="preserve"> </v>
      </c>
      <c r="AO930" s="17" t="str">
        <f t="shared" si="304"/>
        <v xml:space="preserve"> </v>
      </c>
      <c r="AP930" s="16" t="str">
        <f t="shared" si="305"/>
        <v>-</v>
      </c>
      <c r="AQ930" s="8"/>
      <c r="AR930" s="17" t="str">
        <f t="shared" si="306"/>
        <v>-</v>
      </c>
      <c r="AS930" s="17" t="str">
        <f t="shared" si="307"/>
        <v>-</v>
      </c>
      <c r="AT930" s="13" t="str">
        <f t="shared" si="308"/>
        <v>-</v>
      </c>
      <c r="AU930" s="8"/>
    </row>
    <row r="931" spans="1:47" x14ac:dyDescent="0.25">
      <c r="A931" s="31"/>
      <c r="B931" s="31"/>
      <c r="C931"/>
      <c r="D931" s="31"/>
      <c r="E931"/>
      <c r="F931" s="31"/>
      <c r="G931"/>
      <c r="H931" s="27">
        <f>IF($G931&lt;&gt;0,SUMIF(куб!$G:$G,$G931,куб!H:H),IF($E931&lt;&gt;0,SUMIF(куб!$E:$E,$E931,куб!H:H),IF($D931&lt;&gt;0,SUMIF(куб!$D:$D,$D931,куб!H:H),IF($C931&lt;&gt;0,SUMIF(куб!$C:$C,$C931,куб!H:H),IF($B931&lt;&gt;0,SUMIF(куб!$B:$B,$B931,куб!H:H),IF($G931&lt;&gt;0,SUMIF(куб!$A:$A,$G931,куб!H:H),SUMIF(куб!$A:$A,$G931,куб!H:H)))))))</f>
        <v>0</v>
      </c>
      <c r="I931" s="27">
        <f>IF($G931&lt;&gt;0,SUMIF(куб!$G:$G,$G931,куб!I:I),IF($E931&lt;&gt;0,SUMIF(куб!$E:$E,$E931,куб!I:I),IF($D931&lt;&gt;0,SUMIF(куб!$D:$D,$D931,куб!I:I),IF($C931&lt;&gt;0,SUMIF(куб!$C:$C,$C931,куб!I:I),IF($B931&lt;&gt;0,SUMIF(куб!$B:$B,$B931,куб!I:I),IF($G931&lt;&gt;0,SUMIF(куб!$A:$A,$G931,куб!I:I),SUMIF(куб!$A:$A,$G931,куб!I:I)))))))</f>
        <v>0</v>
      </c>
      <c r="J931" s="19" t="str">
        <f t="shared" si="291"/>
        <v>-</v>
      </c>
      <c r="K931" s="8"/>
      <c r="L931" s="17">
        <f t="shared" si="292"/>
        <v>0</v>
      </c>
      <c r="M931" s="17">
        <f t="shared" si="293"/>
        <v>0</v>
      </c>
      <c r="N931" s="12">
        <f t="shared" si="294"/>
        <v>0</v>
      </c>
      <c r="O931" s="5"/>
      <c r="P931" s="27" t="b">
        <f>IF($G931&lt;&gt;0,SUMIF(куб!$G:$G,$G931,куб!J:J),IF($E931&lt;&gt;0,SUMIF(куб!$E:$E,$E931,куб!J:J),IF($D931&lt;&gt;0,SUMIF(куб!$D:$D,$D931,куб!J:J),IF($C931&lt;&gt;0,SUMIF(куб!$C:$C,$C931,куб!J:J),IF($B931&lt;&gt;0,SUMIF(куб!$B:$B,$B931,куб!J:J))))))</f>
        <v>0</v>
      </c>
      <c r="Q931" s="27" t="b">
        <f>IF($G931&lt;&gt;0,SUMIF(куб!$G:$G,$G931,куб!K:K),IF($E931&lt;&gt;0,SUMIF(куб!$E:$E,$E931,куб!K:K),IF($D931&lt;&gt;0,SUMIF(куб!$D:$D,$D931,куб!K:K),IF($C931&lt;&gt;0,SUMIF(куб!$C:$C,$C931,куб!K:K),IF($B931&lt;&gt;0,SUMIF(куб!$B:$B,$B931,куб!K:K))))))</f>
        <v>0</v>
      </c>
      <c r="R931" s="13" t="str">
        <f t="shared" si="295"/>
        <v>-</v>
      </c>
      <c r="S931" s="5"/>
      <c r="T931" s="27" t="b">
        <f>IF($G931&lt;&gt;0,SUMIF(куб!$G:$G,$G931,куб!L:L),IF($E931&lt;&gt;0,SUMIF(куб!$E:$E,$E931,куб!L:L),IF($D931&lt;&gt;0,SUMIF(куб!$D:$D,$D931,куб!L:L),IF($C931&lt;&gt;0,SUMIF(куб!$C:$C,$C931,куб!L:L),IF($B931&lt;&gt;0,SUMIF(куб!$B:$B,$B931,куб!L:L))))))</f>
        <v>0</v>
      </c>
      <c r="U931" s="27" t="b">
        <f>IF($G931&lt;&gt;0,SUMIF(куб!$G:$G,$G931,куб!M:M),IF($E931&lt;&gt;0,SUMIF(куб!$E:$E,$E931,куб!M:M),IF($D931&lt;&gt;0,SUMIF(куб!$D:$D,$D931,куб!M:M),IF($C931&lt;&gt;0,SUMIF(куб!$C:$C,$C931,куб!M:M),IF($B931&lt;&gt;0,SUMIF(куб!$B:$B,$B931,куб!M:M))))))</f>
        <v>0</v>
      </c>
      <c r="V931" s="13" t="str">
        <f t="shared" si="296"/>
        <v>-</v>
      </c>
      <c r="W931" s="5"/>
      <c r="X931" s="27" t="b">
        <f>IF($G931&lt;&gt;0,SUMIF(куб!$G:$G,$G931,куб!N:N),IF($E931&lt;&gt;0,SUMIF(куб!$E:$E,$E931,куб!N:N),IF($D931&lt;&gt;0,SUMIF(куб!$D:$D,$D931,куб!N:N),IF($C931&lt;&gt;0,SUMIF(куб!$C:$C,$C931,куб!N:N),IF($B931&lt;&gt;0,SUMIF(куб!$B:$B,$B931,куб!N:N))))))</f>
        <v>0</v>
      </c>
      <c r="Y931" s="27" t="b">
        <f>IF($G931&lt;&gt;0,SUMIF(куб!$G:$G,$G931,куб!O:O),IF($E931&lt;&gt;0,SUMIF(куб!$E:$E,$E931,куб!O:O),IF($D931&lt;&gt;0,SUMIF(куб!$D:$D,$D931,куб!O:O),IF($C931&lt;&gt;0,SUMIF(куб!$C:$C,$C931,куб!O:O),IF($B931&lt;&gt;0,SUMIF(куб!$B:$B,$B931,куб!O:O))))))</f>
        <v>0</v>
      </c>
      <c r="Z931" s="13" t="str">
        <f t="shared" si="297"/>
        <v>-</v>
      </c>
      <c r="AA931" s="5"/>
      <c r="AB931" s="33" t="str">
        <f t="shared" si="298"/>
        <v/>
      </c>
      <c r="AC931" s="33" t="str">
        <f t="shared" si="299"/>
        <v/>
      </c>
      <c r="AD931" s="15" t="str">
        <f t="shared" si="300"/>
        <v xml:space="preserve"> </v>
      </c>
      <c r="AE931" s="5"/>
      <c r="AF931" s="27" t="b">
        <f>IF($G931&lt;&gt;0,SUMIF(куб!$G:$G,$G931,куб!R:R),IF($E931&lt;&gt;0,SUMIF(куб!$E:$E,$E931,куб!R:R),IF($D931&lt;&gt;0,SUMIF(куб!$D:$D,$D931,куб!R:R),IF($C931&lt;&gt;0,SUMIF(куб!$C:$C,$C931,куб!R:R),IF($B931&lt;&gt;0,SUMIF(куб!$B:$B,$B931,куб!R:R))))))</f>
        <v>0</v>
      </c>
      <c r="AG931" s="27" t="b">
        <f>IF($G931&lt;&gt;0,SUMIF(куб!$G:$G,$G931,куб!S:S),IF($E931&lt;&gt;0,SUMIF(куб!$E:$E,$E931,куб!S:S),IF($D931&lt;&gt;0,SUMIF(куб!$D:$D,$D931,куб!S:S),IF($C931&lt;&gt;0,SUMIF(куб!$C:$C,$C931,куб!S:S),IF($B931&lt;&gt;0,SUMIF(куб!$B:$B,$B931,куб!S:S))))))</f>
        <v>0</v>
      </c>
      <c r="AH931" s="16" t="str">
        <f t="shared" si="301"/>
        <v>-</v>
      </c>
      <c r="AI931" s="8"/>
      <c r="AJ931" s="27" t="b">
        <f>IF($G931&lt;&gt;0,SUMIF(куб!$G:$G,$G931,куб!T:T),IF($E931&lt;&gt;0,SUMIF(куб!$E:$E,$E931,куб!T:T),IF($D931&lt;&gt;0,SUMIF(куб!$D:$D,$D931,куб!T:T),IF($C931&lt;&gt;0,SUMIF(куб!$C:$C,$C931,куб!T:T),IF($B931&lt;&gt;0,SUMIF(куб!$B:$B,$B931,куб!T:T))))))</f>
        <v>0</v>
      </c>
      <c r="AK931" s="27" t="b">
        <f>IF($G931&lt;&gt;0,SUMIF(куб!$G:$G,$G931,куб!U:U),IF($E931&lt;&gt;0,SUMIF(куб!$E:$E,$E931,куб!U:U),IF($D931&lt;&gt;0,SUMIF(куб!$D:$D,$D931,куб!U:U),IF($C931&lt;&gt;0,SUMIF(куб!$C:$C,$C931,куб!U:U),IF($B931&lt;&gt;0,SUMIF(куб!$B:$B,$B931,куб!U:U))))))</f>
        <v>0</v>
      </c>
      <c r="AL931" s="16" t="str">
        <f t="shared" si="302"/>
        <v>-</v>
      </c>
      <c r="AM931" s="8"/>
      <c r="AN931" s="17" t="str">
        <f t="shared" si="303"/>
        <v xml:space="preserve"> </v>
      </c>
      <c r="AO931" s="17" t="str">
        <f t="shared" si="304"/>
        <v xml:space="preserve"> </v>
      </c>
      <c r="AP931" s="16" t="str">
        <f t="shared" si="305"/>
        <v>-</v>
      </c>
      <c r="AQ931" s="8"/>
      <c r="AR931" s="17" t="str">
        <f t="shared" si="306"/>
        <v>-</v>
      </c>
      <c r="AS931" s="17" t="str">
        <f t="shared" si="307"/>
        <v>-</v>
      </c>
      <c r="AT931" s="13" t="str">
        <f t="shared" si="308"/>
        <v>-</v>
      </c>
      <c r="AU931" s="8"/>
    </row>
    <row r="932" spans="1:47" x14ac:dyDescent="0.25">
      <c r="A932" s="31"/>
      <c r="B932" s="31"/>
      <c r="C932"/>
      <c r="D932" s="31"/>
      <c r="E932"/>
      <c r="F932" s="31"/>
      <c r="G932"/>
      <c r="H932" s="27">
        <f>IF($G932&lt;&gt;0,SUMIF(куб!$G:$G,$G932,куб!H:H),IF($E932&lt;&gt;0,SUMIF(куб!$E:$E,$E932,куб!H:H),IF($D932&lt;&gt;0,SUMIF(куб!$D:$D,$D932,куб!H:H),IF($C932&lt;&gt;0,SUMIF(куб!$C:$C,$C932,куб!H:H),IF($B932&lt;&gt;0,SUMIF(куб!$B:$B,$B932,куб!H:H),IF($G932&lt;&gt;0,SUMIF(куб!$A:$A,$G932,куб!H:H),SUMIF(куб!$A:$A,$G932,куб!H:H)))))))</f>
        <v>0</v>
      </c>
      <c r="I932" s="27">
        <f>IF($G932&lt;&gt;0,SUMIF(куб!$G:$G,$G932,куб!I:I),IF($E932&lt;&gt;0,SUMIF(куб!$E:$E,$E932,куб!I:I),IF($D932&lt;&gt;0,SUMIF(куб!$D:$D,$D932,куб!I:I),IF($C932&lt;&gt;0,SUMIF(куб!$C:$C,$C932,куб!I:I),IF($B932&lt;&gt;0,SUMIF(куб!$B:$B,$B932,куб!I:I),IF($G932&lt;&gt;0,SUMIF(куб!$A:$A,$G932,куб!I:I),SUMIF(куб!$A:$A,$G932,куб!I:I)))))))</f>
        <v>0</v>
      </c>
      <c r="J932" s="19" t="str">
        <f t="shared" si="291"/>
        <v>-</v>
      </c>
      <c r="K932" s="8"/>
      <c r="L932" s="17">
        <f t="shared" si="292"/>
        <v>0</v>
      </c>
      <c r="M932" s="17">
        <f t="shared" si="293"/>
        <v>0</v>
      </c>
      <c r="N932" s="12">
        <f t="shared" si="294"/>
        <v>0</v>
      </c>
      <c r="O932" s="5"/>
      <c r="P932" s="27" t="b">
        <f>IF($G932&lt;&gt;0,SUMIF(куб!$G:$G,$G932,куб!J:J),IF($E932&lt;&gt;0,SUMIF(куб!$E:$E,$E932,куб!J:J),IF($D932&lt;&gt;0,SUMIF(куб!$D:$D,$D932,куб!J:J),IF($C932&lt;&gt;0,SUMIF(куб!$C:$C,$C932,куб!J:J),IF($B932&lt;&gt;0,SUMIF(куб!$B:$B,$B932,куб!J:J))))))</f>
        <v>0</v>
      </c>
      <c r="Q932" s="27" t="b">
        <f>IF($G932&lt;&gt;0,SUMIF(куб!$G:$G,$G932,куб!K:K),IF($E932&lt;&gt;0,SUMIF(куб!$E:$E,$E932,куб!K:K),IF($D932&lt;&gt;0,SUMIF(куб!$D:$D,$D932,куб!K:K),IF($C932&lt;&gt;0,SUMIF(куб!$C:$C,$C932,куб!K:K),IF($B932&lt;&gt;0,SUMIF(куб!$B:$B,$B932,куб!K:K))))))</f>
        <v>0</v>
      </c>
      <c r="R932" s="13" t="str">
        <f t="shared" si="295"/>
        <v>-</v>
      </c>
      <c r="S932" s="5"/>
      <c r="T932" s="27" t="b">
        <f>IF($G932&lt;&gt;0,SUMIF(куб!$G:$G,$G932,куб!L:L),IF($E932&lt;&gt;0,SUMIF(куб!$E:$E,$E932,куб!L:L),IF($D932&lt;&gt;0,SUMIF(куб!$D:$D,$D932,куб!L:L),IF($C932&lt;&gt;0,SUMIF(куб!$C:$C,$C932,куб!L:L),IF($B932&lt;&gt;0,SUMIF(куб!$B:$B,$B932,куб!L:L))))))</f>
        <v>0</v>
      </c>
      <c r="U932" s="27" t="b">
        <f>IF($G932&lt;&gt;0,SUMIF(куб!$G:$G,$G932,куб!M:M),IF($E932&lt;&gt;0,SUMIF(куб!$E:$E,$E932,куб!M:M),IF($D932&lt;&gt;0,SUMIF(куб!$D:$D,$D932,куб!M:M),IF($C932&lt;&gt;0,SUMIF(куб!$C:$C,$C932,куб!M:M),IF($B932&lt;&gt;0,SUMIF(куб!$B:$B,$B932,куб!M:M))))))</f>
        <v>0</v>
      </c>
      <c r="V932" s="13" t="str">
        <f t="shared" si="296"/>
        <v>-</v>
      </c>
      <c r="W932" s="5"/>
      <c r="X932" s="27" t="b">
        <f>IF($G932&lt;&gt;0,SUMIF(куб!$G:$G,$G932,куб!N:N),IF($E932&lt;&gt;0,SUMIF(куб!$E:$E,$E932,куб!N:N),IF($D932&lt;&gt;0,SUMIF(куб!$D:$D,$D932,куб!N:N),IF($C932&lt;&gt;0,SUMIF(куб!$C:$C,$C932,куб!N:N),IF($B932&lt;&gt;0,SUMIF(куб!$B:$B,$B932,куб!N:N))))))</f>
        <v>0</v>
      </c>
      <c r="Y932" s="27" t="b">
        <f>IF($G932&lt;&gt;0,SUMIF(куб!$G:$G,$G932,куб!O:O),IF($E932&lt;&gt;0,SUMIF(куб!$E:$E,$E932,куб!O:O),IF($D932&lt;&gt;0,SUMIF(куб!$D:$D,$D932,куб!O:O),IF($C932&lt;&gt;0,SUMIF(куб!$C:$C,$C932,куб!O:O),IF($B932&lt;&gt;0,SUMIF(куб!$B:$B,$B932,куб!O:O))))))</f>
        <v>0</v>
      </c>
      <c r="Z932" s="13" t="str">
        <f t="shared" si="297"/>
        <v>-</v>
      </c>
      <c r="AA932" s="5"/>
      <c r="AB932" s="33" t="str">
        <f t="shared" si="298"/>
        <v/>
      </c>
      <c r="AC932" s="33" t="str">
        <f t="shared" si="299"/>
        <v/>
      </c>
      <c r="AD932" s="15" t="str">
        <f t="shared" si="300"/>
        <v xml:space="preserve"> </v>
      </c>
      <c r="AE932" s="5"/>
      <c r="AF932" s="27" t="b">
        <f>IF($G932&lt;&gt;0,SUMIF(куб!$G:$G,$G932,куб!R:R),IF($E932&lt;&gt;0,SUMIF(куб!$E:$E,$E932,куб!R:R),IF($D932&lt;&gt;0,SUMIF(куб!$D:$D,$D932,куб!R:R),IF($C932&lt;&gt;0,SUMIF(куб!$C:$C,$C932,куб!R:R),IF($B932&lt;&gt;0,SUMIF(куб!$B:$B,$B932,куб!R:R))))))</f>
        <v>0</v>
      </c>
      <c r="AG932" s="27" t="b">
        <f>IF($G932&lt;&gt;0,SUMIF(куб!$G:$G,$G932,куб!S:S),IF($E932&lt;&gt;0,SUMIF(куб!$E:$E,$E932,куб!S:S),IF($D932&lt;&gt;0,SUMIF(куб!$D:$D,$D932,куб!S:S),IF($C932&lt;&gt;0,SUMIF(куб!$C:$C,$C932,куб!S:S),IF($B932&lt;&gt;0,SUMIF(куб!$B:$B,$B932,куб!S:S))))))</f>
        <v>0</v>
      </c>
      <c r="AH932" s="16" t="str">
        <f t="shared" si="301"/>
        <v>-</v>
      </c>
      <c r="AI932" s="8"/>
      <c r="AJ932" s="27" t="b">
        <f>IF($G932&lt;&gt;0,SUMIF(куб!$G:$G,$G932,куб!T:T),IF($E932&lt;&gt;0,SUMIF(куб!$E:$E,$E932,куб!T:T),IF($D932&lt;&gt;0,SUMIF(куб!$D:$D,$D932,куб!T:T),IF($C932&lt;&gt;0,SUMIF(куб!$C:$C,$C932,куб!T:T),IF($B932&lt;&gt;0,SUMIF(куб!$B:$B,$B932,куб!T:T))))))</f>
        <v>0</v>
      </c>
      <c r="AK932" s="27" t="b">
        <f>IF($G932&lt;&gt;0,SUMIF(куб!$G:$G,$G932,куб!U:U),IF($E932&lt;&gt;0,SUMIF(куб!$E:$E,$E932,куб!U:U),IF($D932&lt;&gt;0,SUMIF(куб!$D:$D,$D932,куб!U:U),IF($C932&lt;&gt;0,SUMIF(куб!$C:$C,$C932,куб!U:U),IF($B932&lt;&gt;0,SUMIF(куб!$B:$B,$B932,куб!U:U))))))</f>
        <v>0</v>
      </c>
      <c r="AL932" s="16" t="str">
        <f t="shared" si="302"/>
        <v>-</v>
      </c>
      <c r="AM932" s="8"/>
      <c r="AN932" s="17" t="str">
        <f t="shared" si="303"/>
        <v xml:space="preserve"> </v>
      </c>
      <c r="AO932" s="17" t="str">
        <f t="shared" si="304"/>
        <v xml:space="preserve"> </v>
      </c>
      <c r="AP932" s="16" t="str">
        <f t="shared" si="305"/>
        <v>-</v>
      </c>
      <c r="AQ932" s="8"/>
      <c r="AR932" s="17" t="str">
        <f t="shared" si="306"/>
        <v>-</v>
      </c>
      <c r="AS932" s="17" t="str">
        <f t="shared" si="307"/>
        <v>-</v>
      </c>
      <c r="AT932" s="13" t="str">
        <f t="shared" si="308"/>
        <v>-</v>
      </c>
      <c r="AU932" s="8"/>
    </row>
    <row r="933" spans="1:47" x14ac:dyDescent="0.25">
      <c r="A933" s="31"/>
      <c r="B933" s="31"/>
      <c r="C933"/>
      <c r="D933" s="31"/>
      <c r="E933"/>
      <c r="F933" s="31"/>
      <c r="G933"/>
      <c r="H933" s="27">
        <f>IF($G933&lt;&gt;0,SUMIF(куб!$G:$G,$G933,куб!H:H),IF($E933&lt;&gt;0,SUMIF(куб!$E:$E,$E933,куб!H:H),IF($D933&lt;&gt;0,SUMIF(куб!$D:$D,$D933,куб!H:H),IF($C933&lt;&gt;0,SUMIF(куб!$C:$C,$C933,куб!H:H),IF($B933&lt;&gt;0,SUMIF(куб!$B:$B,$B933,куб!H:H),IF($G933&lt;&gt;0,SUMIF(куб!$A:$A,$G933,куб!H:H),SUMIF(куб!$A:$A,$G933,куб!H:H)))))))</f>
        <v>0</v>
      </c>
      <c r="I933" s="27">
        <f>IF($G933&lt;&gt;0,SUMIF(куб!$G:$G,$G933,куб!I:I),IF($E933&lt;&gt;0,SUMIF(куб!$E:$E,$E933,куб!I:I),IF($D933&lt;&gt;0,SUMIF(куб!$D:$D,$D933,куб!I:I),IF($C933&lt;&gt;0,SUMIF(куб!$C:$C,$C933,куб!I:I),IF($B933&lt;&gt;0,SUMIF(куб!$B:$B,$B933,куб!I:I),IF($G933&lt;&gt;0,SUMIF(куб!$A:$A,$G933,куб!I:I),SUMIF(куб!$A:$A,$G933,куб!I:I)))))))</f>
        <v>0</v>
      </c>
      <c r="J933" s="19" t="str">
        <f t="shared" si="291"/>
        <v>-</v>
      </c>
      <c r="K933" s="8"/>
      <c r="L933" s="17">
        <f t="shared" si="292"/>
        <v>0</v>
      </c>
      <c r="M933" s="17">
        <f t="shared" si="293"/>
        <v>0</v>
      </c>
      <c r="N933" s="12">
        <f t="shared" si="294"/>
        <v>0</v>
      </c>
      <c r="O933" s="5"/>
      <c r="P933" s="27" t="b">
        <f>IF($G933&lt;&gt;0,SUMIF(куб!$G:$G,$G933,куб!J:J),IF($E933&lt;&gt;0,SUMIF(куб!$E:$E,$E933,куб!J:J),IF($D933&lt;&gt;0,SUMIF(куб!$D:$D,$D933,куб!J:J),IF($C933&lt;&gt;0,SUMIF(куб!$C:$C,$C933,куб!J:J),IF($B933&lt;&gt;0,SUMIF(куб!$B:$B,$B933,куб!J:J))))))</f>
        <v>0</v>
      </c>
      <c r="Q933" s="27" t="b">
        <f>IF($G933&lt;&gt;0,SUMIF(куб!$G:$G,$G933,куб!K:K),IF($E933&lt;&gt;0,SUMIF(куб!$E:$E,$E933,куб!K:K),IF($D933&lt;&gt;0,SUMIF(куб!$D:$D,$D933,куб!K:K),IF($C933&lt;&gt;0,SUMIF(куб!$C:$C,$C933,куб!K:K),IF($B933&lt;&gt;0,SUMIF(куб!$B:$B,$B933,куб!K:K))))))</f>
        <v>0</v>
      </c>
      <c r="R933" s="13" t="str">
        <f t="shared" si="295"/>
        <v>-</v>
      </c>
      <c r="S933" s="5"/>
      <c r="T933" s="27" t="b">
        <f>IF($G933&lt;&gt;0,SUMIF(куб!$G:$G,$G933,куб!L:L),IF($E933&lt;&gt;0,SUMIF(куб!$E:$E,$E933,куб!L:L),IF($D933&lt;&gt;0,SUMIF(куб!$D:$D,$D933,куб!L:L),IF($C933&lt;&gt;0,SUMIF(куб!$C:$C,$C933,куб!L:L),IF($B933&lt;&gt;0,SUMIF(куб!$B:$B,$B933,куб!L:L))))))</f>
        <v>0</v>
      </c>
      <c r="U933" s="27" t="b">
        <f>IF($G933&lt;&gt;0,SUMIF(куб!$G:$G,$G933,куб!M:M),IF($E933&lt;&gt;0,SUMIF(куб!$E:$E,$E933,куб!M:M),IF($D933&lt;&gt;0,SUMIF(куб!$D:$D,$D933,куб!M:M),IF($C933&lt;&gt;0,SUMIF(куб!$C:$C,$C933,куб!M:M),IF($B933&lt;&gt;0,SUMIF(куб!$B:$B,$B933,куб!M:M))))))</f>
        <v>0</v>
      </c>
      <c r="V933" s="13" t="str">
        <f t="shared" si="296"/>
        <v>-</v>
      </c>
      <c r="W933" s="5"/>
      <c r="X933" s="27" t="b">
        <f>IF($G933&lt;&gt;0,SUMIF(куб!$G:$G,$G933,куб!N:N),IF($E933&lt;&gt;0,SUMIF(куб!$E:$E,$E933,куб!N:N),IF($D933&lt;&gt;0,SUMIF(куб!$D:$D,$D933,куб!N:N),IF($C933&lt;&gt;0,SUMIF(куб!$C:$C,$C933,куб!N:N),IF($B933&lt;&gt;0,SUMIF(куб!$B:$B,$B933,куб!N:N))))))</f>
        <v>0</v>
      </c>
      <c r="Y933" s="27" t="b">
        <f>IF($G933&lt;&gt;0,SUMIF(куб!$G:$G,$G933,куб!O:O),IF($E933&lt;&gt;0,SUMIF(куб!$E:$E,$E933,куб!O:O),IF($D933&lt;&gt;0,SUMIF(куб!$D:$D,$D933,куб!O:O),IF($C933&lt;&gt;0,SUMIF(куб!$C:$C,$C933,куб!O:O),IF($B933&lt;&gt;0,SUMIF(куб!$B:$B,$B933,куб!O:O))))))</f>
        <v>0</v>
      </c>
      <c r="Z933" s="13" t="str">
        <f t="shared" si="297"/>
        <v>-</v>
      </c>
      <c r="AA933" s="5"/>
      <c r="AB933" s="33" t="str">
        <f t="shared" si="298"/>
        <v/>
      </c>
      <c r="AC933" s="33" t="str">
        <f t="shared" si="299"/>
        <v/>
      </c>
      <c r="AD933" s="15" t="str">
        <f t="shared" si="300"/>
        <v xml:space="preserve"> </v>
      </c>
      <c r="AE933" s="5"/>
      <c r="AF933" s="27" t="b">
        <f>IF($G933&lt;&gt;0,SUMIF(куб!$G:$G,$G933,куб!R:R),IF($E933&lt;&gt;0,SUMIF(куб!$E:$E,$E933,куб!R:R),IF($D933&lt;&gt;0,SUMIF(куб!$D:$D,$D933,куб!R:R),IF($C933&lt;&gt;0,SUMIF(куб!$C:$C,$C933,куб!R:R),IF($B933&lt;&gt;0,SUMIF(куб!$B:$B,$B933,куб!R:R))))))</f>
        <v>0</v>
      </c>
      <c r="AG933" s="27" t="b">
        <f>IF($G933&lt;&gt;0,SUMIF(куб!$G:$G,$G933,куб!S:S),IF($E933&lt;&gt;0,SUMIF(куб!$E:$E,$E933,куб!S:S),IF($D933&lt;&gt;0,SUMIF(куб!$D:$D,$D933,куб!S:S),IF($C933&lt;&gt;0,SUMIF(куб!$C:$C,$C933,куб!S:S),IF($B933&lt;&gt;0,SUMIF(куб!$B:$B,$B933,куб!S:S))))))</f>
        <v>0</v>
      </c>
      <c r="AH933" s="16" t="str">
        <f t="shared" si="301"/>
        <v>-</v>
      </c>
      <c r="AI933" s="8"/>
      <c r="AJ933" s="27" t="b">
        <f>IF($G933&lt;&gt;0,SUMIF(куб!$G:$G,$G933,куб!T:T),IF($E933&lt;&gt;0,SUMIF(куб!$E:$E,$E933,куб!T:T),IF($D933&lt;&gt;0,SUMIF(куб!$D:$D,$D933,куб!T:T),IF($C933&lt;&gt;0,SUMIF(куб!$C:$C,$C933,куб!T:T),IF($B933&lt;&gt;0,SUMIF(куб!$B:$B,$B933,куб!T:T))))))</f>
        <v>0</v>
      </c>
      <c r="AK933" s="27" t="b">
        <f>IF($G933&lt;&gt;0,SUMIF(куб!$G:$G,$G933,куб!U:U),IF($E933&lt;&gt;0,SUMIF(куб!$E:$E,$E933,куб!U:U),IF($D933&lt;&gt;0,SUMIF(куб!$D:$D,$D933,куб!U:U),IF($C933&lt;&gt;0,SUMIF(куб!$C:$C,$C933,куб!U:U),IF($B933&lt;&gt;0,SUMIF(куб!$B:$B,$B933,куб!U:U))))))</f>
        <v>0</v>
      </c>
      <c r="AL933" s="16" t="str">
        <f t="shared" si="302"/>
        <v>-</v>
      </c>
      <c r="AM933" s="8"/>
      <c r="AN933" s="17" t="str">
        <f t="shared" si="303"/>
        <v xml:space="preserve"> </v>
      </c>
      <c r="AO933" s="17" t="str">
        <f t="shared" si="304"/>
        <v xml:space="preserve"> </v>
      </c>
      <c r="AP933" s="16" t="str">
        <f t="shared" si="305"/>
        <v>-</v>
      </c>
      <c r="AQ933" s="8"/>
      <c r="AR933" s="17" t="str">
        <f t="shared" si="306"/>
        <v>-</v>
      </c>
      <c r="AS933" s="17" t="str">
        <f t="shared" si="307"/>
        <v>-</v>
      </c>
      <c r="AT933" s="13" t="str">
        <f t="shared" si="308"/>
        <v>-</v>
      </c>
      <c r="AU933" s="8"/>
    </row>
    <row r="934" spans="1:47" x14ac:dyDescent="0.25">
      <c r="A934" s="31"/>
      <c r="B934" s="31"/>
      <c r="C934"/>
      <c r="D934" s="31"/>
      <c r="E934"/>
      <c r="F934" s="31"/>
      <c r="G934"/>
      <c r="H934" s="27">
        <f>IF($G934&lt;&gt;0,SUMIF(куб!$G:$G,$G934,куб!H:H),IF($E934&lt;&gt;0,SUMIF(куб!$E:$E,$E934,куб!H:H),IF($D934&lt;&gt;0,SUMIF(куб!$D:$D,$D934,куб!H:H),IF($C934&lt;&gt;0,SUMIF(куб!$C:$C,$C934,куб!H:H),IF($B934&lt;&gt;0,SUMIF(куб!$B:$B,$B934,куб!H:H),IF($G934&lt;&gt;0,SUMIF(куб!$A:$A,$G934,куб!H:H),SUMIF(куб!$A:$A,$G934,куб!H:H)))))))</f>
        <v>0</v>
      </c>
      <c r="I934" s="27">
        <f>IF($G934&lt;&gt;0,SUMIF(куб!$G:$G,$G934,куб!I:I),IF($E934&lt;&gt;0,SUMIF(куб!$E:$E,$E934,куб!I:I),IF($D934&lt;&gt;0,SUMIF(куб!$D:$D,$D934,куб!I:I),IF($C934&lt;&gt;0,SUMIF(куб!$C:$C,$C934,куб!I:I),IF($B934&lt;&gt;0,SUMIF(куб!$B:$B,$B934,куб!I:I),IF($G934&lt;&gt;0,SUMIF(куб!$A:$A,$G934,куб!I:I),SUMIF(куб!$A:$A,$G934,куб!I:I)))))))</f>
        <v>0</v>
      </c>
      <c r="J934" s="19" t="str">
        <f t="shared" si="291"/>
        <v>-</v>
      </c>
      <c r="K934" s="8"/>
      <c r="L934" s="17">
        <f t="shared" si="292"/>
        <v>0</v>
      </c>
      <c r="M934" s="17">
        <f t="shared" si="293"/>
        <v>0</v>
      </c>
      <c r="N934" s="12">
        <f t="shared" si="294"/>
        <v>0</v>
      </c>
      <c r="O934" s="5"/>
      <c r="P934" s="27" t="b">
        <f>IF($G934&lt;&gt;0,SUMIF(куб!$G:$G,$G934,куб!J:J),IF($E934&lt;&gt;0,SUMIF(куб!$E:$E,$E934,куб!J:J),IF($D934&lt;&gt;0,SUMIF(куб!$D:$D,$D934,куб!J:J),IF($C934&lt;&gt;0,SUMIF(куб!$C:$C,$C934,куб!J:J),IF($B934&lt;&gt;0,SUMIF(куб!$B:$B,$B934,куб!J:J))))))</f>
        <v>0</v>
      </c>
      <c r="Q934" s="27" t="b">
        <f>IF($G934&lt;&gt;0,SUMIF(куб!$G:$G,$G934,куб!K:K),IF($E934&lt;&gt;0,SUMIF(куб!$E:$E,$E934,куб!K:K),IF($D934&lt;&gt;0,SUMIF(куб!$D:$D,$D934,куб!K:K),IF($C934&lt;&gt;0,SUMIF(куб!$C:$C,$C934,куб!K:K),IF($B934&lt;&gt;0,SUMIF(куб!$B:$B,$B934,куб!K:K))))))</f>
        <v>0</v>
      </c>
      <c r="R934" s="13" t="str">
        <f t="shared" si="295"/>
        <v>-</v>
      </c>
      <c r="S934" s="5"/>
      <c r="T934" s="27" t="b">
        <f>IF($G934&lt;&gt;0,SUMIF(куб!$G:$G,$G934,куб!L:L),IF($E934&lt;&gt;0,SUMIF(куб!$E:$E,$E934,куб!L:L),IF($D934&lt;&gt;0,SUMIF(куб!$D:$D,$D934,куб!L:L),IF($C934&lt;&gt;0,SUMIF(куб!$C:$C,$C934,куб!L:L),IF($B934&lt;&gt;0,SUMIF(куб!$B:$B,$B934,куб!L:L))))))</f>
        <v>0</v>
      </c>
      <c r="U934" s="27" t="b">
        <f>IF($G934&lt;&gt;0,SUMIF(куб!$G:$G,$G934,куб!M:M),IF($E934&lt;&gt;0,SUMIF(куб!$E:$E,$E934,куб!M:M),IF($D934&lt;&gt;0,SUMIF(куб!$D:$D,$D934,куб!M:M),IF($C934&lt;&gt;0,SUMIF(куб!$C:$C,$C934,куб!M:M),IF($B934&lt;&gt;0,SUMIF(куб!$B:$B,$B934,куб!M:M))))))</f>
        <v>0</v>
      </c>
      <c r="V934" s="13" t="str">
        <f t="shared" si="296"/>
        <v>-</v>
      </c>
      <c r="W934" s="5"/>
      <c r="X934" s="27" t="b">
        <f>IF($G934&lt;&gt;0,SUMIF(куб!$G:$G,$G934,куб!N:N),IF($E934&lt;&gt;0,SUMIF(куб!$E:$E,$E934,куб!N:N),IF($D934&lt;&gt;0,SUMIF(куб!$D:$D,$D934,куб!N:N),IF($C934&lt;&gt;0,SUMIF(куб!$C:$C,$C934,куб!N:N),IF($B934&lt;&gt;0,SUMIF(куб!$B:$B,$B934,куб!N:N))))))</f>
        <v>0</v>
      </c>
      <c r="Y934" s="27" t="b">
        <f>IF($G934&lt;&gt;0,SUMIF(куб!$G:$G,$G934,куб!O:O),IF($E934&lt;&gt;0,SUMIF(куб!$E:$E,$E934,куб!O:O),IF($D934&lt;&gt;0,SUMIF(куб!$D:$D,$D934,куб!O:O),IF($C934&lt;&gt;0,SUMIF(куб!$C:$C,$C934,куб!O:O),IF($B934&lt;&gt;0,SUMIF(куб!$B:$B,$B934,куб!O:O))))))</f>
        <v>0</v>
      </c>
      <c r="Z934" s="13" t="str">
        <f t="shared" si="297"/>
        <v>-</v>
      </c>
      <c r="AA934" s="5"/>
      <c r="AB934" s="33" t="str">
        <f t="shared" si="298"/>
        <v/>
      </c>
      <c r="AC934" s="33" t="str">
        <f t="shared" si="299"/>
        <v/>
      </c>
      <c r="AD934" s="15" t="str">
        <f t="shared" si="300"/>
        <v xml:space="preserve"> </v>
      </c>
      <c r="AE934" s="5"/>
      <c r="AF934" s="27" t="b">
        <f>IF($G934&lt;&gt;0,SUMIF(куб!$G:$G,$G934,куб!R:R),IF($E934&lt;&gt;0,SUMIF(куб!$E:$E,$E934,куб!R:R),IF($D934&lt;&gt;0,SUMIF(куб!$D:$D,$D934,куб!R:R),IF($C934&lt;&gt;0,SUMIF(куб!$C:$C,$C934,куб!R:R),IF($B934&lt;&gt;0,SUMIF(куб!$B:$B,$B934,куб!R:R))))))</f>
        <v>0</v>
      </c>
      <c r="AG934" s="27" t="b">
        <f>IF($G934&lt;&gt;0,SUMIF(куб!$G:$G,$G934,куб!S:S),IF($E934&lt;&gt;0,SUMIF(куб!$E:$E,$E934,куб!S:S),IF($D934&lt;&gt;0,SUMIF(куб!$D:$D,$D934,куб!S:S),IF($C934&lt;&gt;0,SUMIF(куб!$C:$C,$C934,куб!S:S),IF($B934&lt;&gt;0,SUMIF(куб!$B:$B,$B934,куб!S:S))))))</f>
        <v>0</v>
      </c>
      <c r="AH934" s="16" t="str">
        <f t="shared" si="301"/>
        <v>-</v>
      </c>
      <c r="AI934" s="8"/>
      <c r="AJ934" s="27" t="b">
        <f>IF($G934&lt;&gt;0,SUMIF(куб!$G:$G,$G934,куб!T:T),IF($E934&lt;&gt;0,SUMIF(куб!$E:$E,$E934,куб!T:T),IF($D934&lt;&gt;0,SUMIF(куб!$D:$D,$D934,куб!T:T),IF($C934&lt;&gt;0,SUMIF(куб!$C:$C,$C934,куб!T:T),IF($B934&lt;&gt;0,SUMIF(куб!$B:$B,$B934,куб!T:T))))))</f>
        <v>0</v>
      </c>
      <c r="AK934" s="27" t="b">
        <f>IF($G934&lt;&gt;0,SUMIF(куб!$G:$G,$G934,куб!U:U),IF($E934&lt;&gt;0,SUMIF(куб!$E:$E,$E934,куб!U:U),IF($D934&lt;&gt;0,SUMIF(куб!$D:$D,$D934,куб!U:U),IF($C934&lt;&gt;0,SUMIF(куб!$C:$C,$C934,куб!U:U),IF($B934&lt;&gt;0,SUMIF(куб!$B:$B,$B934,куб!U:U))))))</f>
        <v>0</v>
      </c>
      <c r="AL934" s="16" t="str">
        <f t="shared" si="302"/>
        <v>-</v>
      </c>
      <c r="AM934" s="8"/>
      <c r="AN934" s="17" t="str">
        <f t="shared" si="303"/>
        <v xml:space="preserve"> </v>
      </c>
      <c r="AO934" s="17" t="str">
        <f t="shared" si="304"/>
        <v xml:space="preserve"> </v>
      </c>
      <c r="AP934" s="16" t="str">
        <f t="shared" si="305"/>
        <v>-</v>
      </c>
      <c r="AQ934" s="8"/>
      <c r="AR934" s="17" t="str">
        <f t="shared" si="306"/>
        <v>-</v>
      </c>
      <c r="AS934" s="17" t="str">
        <f t="shared" si="307"/>
        <v>-</v>
      </c>
      <c r="AT934" s="13" t="str">
        <f t="shared" si="308"/>
        <v>-</v>
      </c>
      <c r="AU934" s="8"/>
    </row>
    <row r="935" spans="1:47" x14ac:dyDescent="0.25">
      <c r="A935" s="31"/>
      <c r="B935" s="31"/>
      <c r="C935"/>
      <c r="D935" s="31"/>
      <c r="E935"/>
      <c r="F935" s="31"/>
      <c r="G935"/>
      <c r="H935" s="27">
        <f>IF($G935&lt;&gt;0,SUMIF(куб!$G:$G,$G935,куб!H:H),IF($E935&lt;&gt;0,SUMIF(куб!$E:$E,$E935,куб!H:H),IF($D935&lt;&gt;0,SUMIF(куб!$D:$D,$D935,куб!H:H),IF($C935&lt;&gt;0,SUMIF(куб!$C:$C,$C935,куб!H:H),IF($B935&lt;&gt;0,SUMIF(куб!$B:$B,$B935,куб!H:H),IF($G935&lt;&gt;0,SUMIF(куб!$A:$A,$G935,куб!H:H),SUMIF(куб!$A:$A,$G935,куб!H:H)))))))</f>
        <v>0</v>
      </c>
      <c r="I935" s="27">
        <f>IF($G935&lt;&gt;0,SUMIF(куб!$G:$G,$G935,куб!I:I),IF($E935&lt;&gt;0,SUMIF(куб!$E:$E,$E935,куб!I:I),IF($D935&lt;&gt;0,SUMIF(куб!$D:$D,$D935,куб!I:I),IF($C935&lt;&gt;0,SUMIF(куб!$C:$C,$C935,куб!I:I),IF($B935&lt;&gt;0,SUMIF(куб!$B:$B,$B935,куб!I:I),IF($G935&lt;&gt;0,SUMIF(куб!$A:$A,$G935,куб!I:I),SUMIF(куб!$A:$A,$G935,куб!I:I)))))))</f>
        <v>0</v>
      </c>
      <c r="J935" s="19" t="str">
        <f t="shared" si="291"/>
        <v>-</v>
      </c>
      <c r="K935" s="8"/>
      <c r="L935" s="17">
        <f t="shared" si="292"/>
        <v>0</v>
      </c>
      <c r="M935" s="17">
        <f t="shared" si="293"/>
        <v>0</v>
      </c>
      <c r="N935" s="12">
        <f t="shared" si="294"/>
        <v>0</v>
      </c>
      <c r="O935" s="5"/>
      <c r="P935" s="27" t="b">
        <f>IF($G935&lt;&gt;0,SUMIF(куб!$G:$G,$G935,куб!J:J),IF($E935&lt;&gt;0,SUMIF(куб!$E:$E,$E935,куб!J:J),IF($D935&lt;&gt;0,SUMIF(куб!$D:$D,$D935,куб!J:J),IF($C935&lt;&gt;0,SUMIF(куб!$C:$C,$C935,куб!J:J),IF($B935&lt;&gt;0,SUMIF(куб!$B:$B,$B935,куб!J:J))))))</f>
        <v>0</v>
      </c>
      <c r="Q935" s="27" t="b">
        <f>IF($G935&lt;&gt;0,SUMIF(куб!$G:$G,$G935,куб!K:K),IF($E935&lt;&gt;0,SUMIF(куб!$E:$E,$E935,куб!K:K),IF($D935&lt;&gt;0,SUMIF(куб!$D:$D,$D935,куб!K:K),IF($C935&lt;&gt;0,SUMIF(куб!$C:$C,$C935,куб!K:K),IF($B935&lt;&gt;0,SUMIF(куб!$B:$B,$B935,куб!K:K))))))</f>
        <v>0</v>
      </c>
      <c r="R935" s="13" t="str">
        <f t="shared" si="295"/>
        <v>-</v>
      </c>
      <c r="S935" s="5"/>
      <c r="T935" s="27" t="b">
        <f>IF($G935&lt;&gt;0,SUMIF(куб!$G:$G,$G935,куб!L:L),IF($E935&lt;&gt;0,SUMIF(куб!$E:$E,$E935,куб!L:L),IF($D935&lt;&gt;0,SUMIF(куб!$D:$D,$D935,куб!L:L),IF($C935&lt;&gt;0,SUMIF(куб!$C:$C,$C935,куб!L:L),IF($B935&lt;&gt;0,SUMIF(куб!$B:$B,$B935,куб!L:L))))))</f>
        <v>0</v>
      </c>
      <c r="U935" s="27" t="b">
        <f>IF($G935&lt;&gt;0,SUMIF(куб!$G:$G,$G935,куб!M:M),IF($E935&lt;&gt;0,SUMIF(куб!$E:$E,$E935,куб!M:M),IF($D935&lt;&gt;0,SUMIF(куб!$D:$D,$D935,куб!M:M),IF($C935&lt;&gt;0,SUMIF(куб!$C:$C,$C935,куб!M:M),IF($B935&lt;&gt;0,SUMIF(куб!$B:$B,$B935,куб!M:M))))))</f>
        <v>0</v>
      </c>
      <c r="V935" s="13" t="str">
        <f t="shared" si="296"/>
        <v>-</v>
      </c>
      <c r="W935" s="5"/>
      <c r="X935" s="27" t="b">
        <f>IF($G935&lt;&gt;0,SUMIF(куб!$G:$G,$G935,куб!N:N),IF($E935&lt;&gt;0,SUMIF(куб!$E:$E,$E935,куб!N:N),IF($D935&lt;&gt;0,SUMIF(куб!$D:$D,$D935,куб!N:N),IF($C935&lt;&gt;0,SUMIF(куб!$C:$C,$C935,куб!N:N),IF($B935&lt;&gt;0,SUMIF(куб!$B:$B,$B935,куб!N:N))))))</f>
        <v>0</v>
      </c>
      <c r="Y935" s="27" t="b">
        <f>IF($G935&lt;&gt;0,SUMIF(куб!$G:$G,$G935,куб!O:O),IF($E935&lt;&gt;0,SUMIF(куб!$E:$E,$E935,куб!O:O),IF($D935&lt;&gt;0,SUMIF(куб!$D:$D,$D935,куб!O:O),IF($C935&lt;&gt;0,SUMIF(куб!$C:$C,$C935,куб!O:O),IF($B935&lt;&gt;0,SUMIF(куб!$B:$B,$B935,куб!O:O))))))</f>
        <v>0</v>
      </c>
      <c r="Z935" s="13" t="str">
        <f t="shared" si="297"/>
        <v>-</v>
      </c>
      <c r="AA935" s="5"/>
      <c r="AB935" s="33" t="str">
        <f t="shared" si="298"/>
        <v/>
      </c>
      <c r="AC935" s="33" t="str">
        <f t="shared" si="299"/>
        <v/>
      </c>
      <c r="AD935" s="15" t="str">
        <f t="shared" si="300"/>
        <v xml:space="preserve"> </v>
      </c>
      <c r="AE935" s="5"/>
      <c r="AF935" s="27" t="b">
        <f>IF($G935&lt;&gt;0,SUMIF(куб!$G:$G,$G935,куб!R:R),IF($E935&lt;&gt;0,SUMIF(куб!$E:$E,$E935,куб!R:R),IF($D935&lt;&gt;0,SUMIF(куб!$D:$D,$D935,куб!R:R),IF($C935&lt;&gt;0,SUMIF(куб!$C:$C,$C935,куб!R:R),IF($B935&lt;&gt;0,SUMIF(куб!$B:$B,$B935,куб!R:R))))))</f>
        <v>0</v>
      </c>
      <c r="AG935" s="27" t="b">
        <f>IF($G935&lt;&gt;0,SUMIF(куб!$G:$G,$G935,куб!S:S),IF($E935&lt;&gt;0,SUMIF(куб!$E:$E,$E935,куб!S:S),IF($D935&lt;&gt;0,SUMIF(куб!$D:$D,$D935,куб!S:S),IF($C935&lt;&gt;0,SUMIF(куб!$C:$C,$C935,куб!S:S),IF($B935&lt;&gt;0,SUMIF(куб!$B:$B,$B935,куб!S:S))))))</f>
        <v>0</v>
      </c>
      <c r="AH935" s="16" t="str">
        <f t="shared" si="301"/>
        <v>-</v>
      </c>
      <c r="AI935" s="8"/>
      <c r="AJ935" s="27" t="b">
        <f>IF($G935&lt;&gt;0,SUMIF(куб!$G:$G,$G935,куб!T:T),IF($E935&lt;&gt;0,SUMIF(куб!$E:$E,$E935,куб!T:T),IF($D935&lt;&gt;0,SUMIF(куб!$D:$D,$D935,куб!T:T),IF($C935&lt;&gt;0,SUMIF(куб!$C:$C,$C935,куб!T:T),IF($B935&lt;&gt;0,SUMIF(куб!$B:$B,$B935,куб!T:T))))))</f>
        <v>0</v>
      </c>
      <c r="AK935" s="27" t="b">
        <f>IF($G935&lt;&gt;0,SUMIF(куб!$G:$G,$G935,куб!U:U),IF($E935&lt;&gt;0,SUMIF(куб!$E:$E,$E935,куб!U:U),IF($D935&lt;&gt;0,SUMIF(куб!$D:$D,$D935,куб!U:U),IF($C935&lt;&gt;0,SUMIF(куб!$C:$C,$C935,куб!U:U),IF($B935&lt;&gt;0,SUMIF(куб!$B:$B,$B935,куб!U:U))))))</f>
        <v>0</v>
      </c>
      <c r="AL935" s="16" t="str">
        <f t="shared" si="302"/>
        <v>-</v>
      </c>
      <c r="AM935" s="8"/>
      <c r="AN935" s="17" t="str">
        <f t="shared" si="303"/>
        <v xml:space="preserve"> </v>
      </c>
      <c r="AO935" s="17" t="str">
        <f t="shared" si="304"/>
        <v xml:space="preserve"> </v>
      </c>
      <c r="AP935" s="16" t="str">
        <f t="shared" si="305"/>
        <v>-</v>
      </c>
      <c r="AQ935" s="8"/>
      <c r="AR935" s="17" t="str">
        <f t="shared" si="306"/>
        <v>-</v>
      </c>
      <c r="AS935" s="17" t="str">
        <f t="shared" si="307"/>
        <v>-</v>
      </c>
      <c r="AT935" s="13" t="str">
        <f t="shared" si="308"/>
        <v>-</v>
      </c>
      <c r="AU935" s="8"/>
    </row>
    <row r="936" spans="1:47" x14ac:dyDescent="0.25">
      <c r="A936" s="31"/>
      <c r="B936" s="31"/>
      <c r="C936"/>
      <c r="D936" s="31"/>
      <c r="E936"/>
      <c r="F936" s="31"/>
      <c r="G936"/>
      <c r="H936" s="27">
        <f>IF($G936&lt;&gt;0,SUMIF(куб!$G:$G,$G936,куб!H:H),IF($E936&lt;&gt;0,SUMIF(куб!$E:$E,$E936,куб!H:H),IF($D936&lt;&gt;0,SUMIF(куб!$D:$D,$D936,куб!H:H),IF($C936&lt;&gt;0,SUMIF(куб!$C:$C,$C936,куб!H:H),IF($B936&lt;&gt;0,SUMIF(куб!$B:$B,$B936,куб!H:H),IF($G936&lt;&gt;0,SUMIF(куб!$A:$A,$G936,куб!H:H),SUMIF(куб!$A:$A,$G936,куб!H:H)))))))</f>
        <v>0</v>
      </c>
      <c r="I936" s="27">
        <f>IF($G936&lt;&gt;0,SUMIF(куб!$G:$G,$G936,куб!I:I),IF($E936&lt;&gt;0,SUMIF(куб!$E:$E,$E936,куб!I:I),IF($D936&lt;&gt;0,SUMIF(куб!$D:$D,$D936,куб!I:I),IF($C936&lt;&gt;0,SUMIF(куб!$C:$C,$C936,куб!I:I),IF($B936&lt;&gt;0,SUMIF(куб!$B:$B,$B936,куб!I:I),IF($G936&lt;&gt;0,SUMIF(куб!$A:$A,$G936,куб!I:I),SUMIF(куб!$A:$A,$G936,куб!I:I)))))))</f>
        <v>0</v>
      </c>
      <c r="J936" s="19" t="str">
        <f t="shared" si="291"/>
        <v>-</v>
      </c>
      <c r="K936" s="8"/>
      <c r="L936" s="17">
        <f t="shared" si="292"/>
        <v>0</v>
      </c>
      <c r="M936" s="17">
        <f t="shared" si="293"/>
        <v>0</v>
      </c>
      <c r="N936" s="12">
        <f t="shared" si="294"/>
        <v>0</v>
      </c>
      <c r="O936" s="5"/>
      <c r="P936" s="27" t="b">
        <f>IF($G936&lt;&gt;0,SUMIF(куб!$G:$G,$G936,куб!J:J),IF($E936&lt;&gt;0,SUMIF(куб!$E:$E,$E936,куб!J:J),IF($D936&lt;&gt;0,SUMIF(куб!$D:$D,$D936,куб!J:J),IF($C936&lt;&gt;0,SUMIF(куб!$C:$C,$C936,куб!J:J),IF($B936&lt;&gt;0,SUMIF(куб!$B:$B,$B936,куб!J:J))))))</f>
        <v>0</v>
      </c>
      <c r="Q936" s="27" t="b">
        <f>IF($G936&lt;&gt;0,SUMIF(куб!$G:$G,$G936,куб!K:K),IF($E936&lt;&gt;0,SUMIF(куб!$E:$E,$E936,куб!K:K),IF($D936&lt;&gt;0,SUMIF(куб!$D:$D,$D936,куб!K:K),IF($C936&lt;&gt;0,SUMIF(куб!$C:$C,$C936,куб!K:K),IF($B936&lt;&gt;0,SUMIF(куб!$B:$B,$B936,куб!K:K))))))</f>
        <v>0</v>
      </c>
      <c r="R936" s="13" t="str">
        <f t="shared" si="295"/>
        <v>-</v>
      </c>
      <c r="S936" s="5"/>
      <c r="T936" s="27" t="b">
        <f>IF($G936&lt;&gt;0,SUMIF(куб!$G:$G,$G936,куб!L:L),IF($E936&lt;&gt;0,SUMIF(куб!$E:$E,$E936,куб!L:L),IF($D936&lt;&gt;0,SUMIF(куб!$D:$D,$D936,куб!L:L),IF($C936&lt;&gt;0,SUMIF(куб!$C:$C,$C936,куб!L:L),IF($B936&lt;&gt;0,SUMIF(куб!$B:$B,$B936,куб!L:L))))))</f>
        <v>0</v>
      </c>
      <c r="U936" s="27" t="b">
        <f>IF($G936&lt;&gt;0,SUMIF(куб!$G:$G,$G936,куб!M:M),IF($E936&lt;&gt;0,SUMIF(куб!$E:$E,$E936,куб!M:M),IF($D936&lt;&gt;0,SUMIF(куб!$D:$D,$D936,куб!M:M),IF($C936&lt;&gt;0,SUMIF(куб!$C:$C,$C936,куб!M:M),IF($B936&lt;&gt;0,SUMIF(куб!$B:$B,$B936,куб!M:M))))))</f>
        <v>0</v>
      </c>
      <c r="V936" s="13" t="str">
        <f t="shared" si="296"/>
        <v>-</v>
      </c>
      <c r="W936" s="5"/>
      <c r="X936" s="27" t="b">
        <f>IF($G936&lt;&gt;0,SUMIF(куб!$G:$G,$G936,куб!N:N),IF($E936&lt;&gt;0,SUMIF(куб!$E:$E,$E936,куб!N:N),IF($D936&lt;&gt;0,SUMIF(куб!$D:$D,$D936,куб!N:N),IF($C936&lt;&gt;0,SUMIF(куб!$C:$C,$C936,куб!N:N),IF($B936&lt;&gt;0,SUMIF(куб!$B:$B,$B936,куб!N:N))))))</f>
        <v>0</v>
      </c>
      <c r="Y936" s="27" t="b">
        <f>IF($G936&lt;&gt;0,SUMIF(куб!$G:$G,$G936,куб!O:O),IF($E936&lt;&gt;0,SUMIF(куб!$E:$E,$E936,куб!O:O),IF($D936&lt;&gt;0,SUMIF(куб!$D:$D,$D936,куб!O:O),IF($C936&lt;&gt;0,SUMIF(куб!$C:$C,$C936,куб!O:O),IF($B936&lt;&gt;0,SUMIF(куб!$B:$B,$B936,куб!O:O))))))</f>
        <v>0</v>
      </c>
      <c r="Z936" s="13" t="str">
        <f t="shared" si="297"/>
        <v>-</v>
      </c>
      <c r="AA936" s="5"/>
      <c r="AB936" s="33" t="str">
        <f t="shared" si="298"/>
        <v/>
      </c>
      <c r="AC936" s="33" t="str">
        <f t="shared" si="299"/>
        <v/>
      </c>
      <c r="AD936" s="15" t="str">
        <f t="shared" si="300"/>
        <v xml:space="preserve"> </v>
      </c>
      <c r="AE936" s="5"/>
      <c r="AF936" s="27" t="b">
        <f>IF($G936&lt;&gt;0,SUMIF(куб!$G:$G,$G936,куб!R:R),IF($E936&lt;&gt;0,SUMIF(куб!$E:$E,$E936,куб!R:R),IF($D936&lt;&gt;0,SUMIF(куб!$D:$D,$D936,куб!R:R),IF($C936&lt;&gt;0,SUMIF(куб!$C:$C,$C936,куб!R:R),IF($B936&lt;&gt;0,SUMIF(куб!$B:$B,$B936,куб!R:R))))))</f>
        <v>0</v>
      </c>
      <c r="AG936" s="27" t="b">
        <f>IF($G936&lt;&gt;0,SUMIF(куб!$G:$G,$G936,куб!S:S),IF($E936&lt;&gt;0,SUMIF(куб!$E:$E,$E936,куб!S:S),IF($D936&lt;&gt;0,SUMIF(куб!$D:$D,$D936,куб!S:S),IF($C936&lt;&gt;0,SUMIF(куб!$C:$C,$C936,куб!S:S),IF($B936&lt;&gt;0,SUMIF(куб!$B:$B,$B936,куб!S:S))))))</f>
        <v>0</v>
      </c>
      <c r="AH936" s="16" t="str">
        <f t="shared" si="301"/>
        <v>-</v>
      </c>
      <c r="AI936" s="8"/>
      <c r="AJ936" s="27" t="b">
        <f>IF($G936&lt;&gt;0,SUMIF(куб!$G:$G,$G936,куб!T:T),IF($E936&lt;&gt;0,SUMIF(куб!$E:$E,$E936,куб!T:T),IF($D936&lt;&gt;0,SUMIF(куб!$D:$D,$D936,куб!T:T),IF($C936&lt;&gt;0,SUMIF(куб!$C:$C,$C936,куб!T:T),IF($B936&lt;&gt;0,SUMIF(куб!$B:$B,$B936,куб!T:T))))))</f>
        <v>0</v>
      </c>
      <c r="AK936" s="27" t="b">
        <f>IF($G936&lt;&gt;0,SUMIF(куб!$G:$G,$G936,куб!U:U),IF($E936&lt;&gt;0,SUMIF(куб!$E:$E,$E936,куб!U:U),IF($D936&lt;&gt;0,SUMIF(куб!$D:$D,$D936,куб!U:U),IF($C936&lt;&gt;0,SUMIF(куб!$C:$C,$C936,куб!U:U),IF($B936&lt;&gt;0,SUMIF(куб!$B:$B,$B936,куб!U:U))))))</f>
        <v>0</v>
      </c>
      <c r="AL936" s="16" t="str">
        <f t="shared" si="302"/>
        <v>-</v>
      </c>
      <c r="AM936" s="8"/>
      <c r="AN936" s="17" t="str">
        <f t="shared" si="303"/>
        <v xml:space="preserve"> </v>
      </c>
      <c r="AO936" s="17" t="str">
        <f t="shared" si="304"/>
        <v xml:space="preserve"> </v>
      </c>
      <c r="AP936" s="16" t="str">
        <f t="shared" si="305"/>
        <v>-</v>
      </c>
      <c r="AQ936" s="8"/>
      <c r="AR936" s="17" t="str">
        <f t="shared" si="306"/>
        <v>-</v>
      </c>
      <c r="AS936" s="17" t="str">
        <f t="shared" si="307"/>
        <v>-</v>
      </c>
      <c r="AT936" s="13" t="str">
        <f t="shared" si="308"/>
        <v>-</v>
      </c>
      <c r="AU936" s="8"/>
    </row>
    <row r="937" spans="1:47" x14ac:dyDescent="0.25">
      <c r="A937" s="31"/>
      <c r="B937" s="31"/>
      <c r="C937"/>
      <c r="D937" s="31"/>
      <c r="E937"/>
      <c r="F937" s="31"/>
      <c r="G937"/>
      <c r="H937" s="27">
        <f>IF($G937&lt;&gt;0,SUMIF(куб!$G:$G,$G937,куб!H:H),IF($E937&lt;&gt;0,SUMIF(куб!$E:$E,$E937,куб!H:H),IF($D937&lt;&gt;0,SUMIF(куб!$D:$D,$D937,куб!H:H),IF($C937&lt;&gt;0,SUMIF(куб!$C:$C,$C937,куб!H:H),IF($B937&lt;&gt;0,SUMIF(куб!$B:$B,$B937,куб!H:H),IF($G937&lt;&gt;0,SUMIF(куб!$A:$A,$G937,куб!H:H),SUMIF(куб!$A:$A,$G937,куб!H:H)))))))</f>
        <v>0</v>
      </c>
      <c r="I937" s="27">
        <f>IF($G937&lt;&gt;0,SUMIF(куб!$G:$G,$G937,куб!I:I),IF($E937&lt;&gt;0,SUMIF(куб!$E:$E,$E937,куб!I:I),IF($D937&lt;&gt;0,SUMIF(куб!$D:$D,$D937,куб!I:I),IF($C937&lt;&gt;0,SUMIF(куб!$C:$C,$C937,куб!I:I),IF($B937&lt;&gt;0,SUMIF(куб!$B:$B,$B937,куб!I:I),IF($G937&lt;&gt;0,SUMIF(куб!$A:$A,$G937,куб!I:I),SUMIF(куб!$A:$A,$G937,куб!I:I)))))))</f>
        <v>0</v>
      </c>
      <c r="J937" s="19" t="str">
        <f t="shared" si="291"/>
        <v>-</v>
      </c>
      <c r="K937" s="8"/>
      <c r="L937" s="17">
        <f t="shared" si="292"/>
        <v>0</v>
      </c>
      <c r="M937" s="17">
        <f t="shared" si="293"/>
        <v>0</v>
      </c>
      <c r="N937" s="12">
        <f t="shared" si="294"/>
        <v>0</v>
      </c>
      <c r="O937" s="5"/>
      <c r="P937" s="27" t="b">
        <f>IF($G937&lt;&gt;0,SUMIF(куб!$G:$G,$G937,куб!J:J),IF($E937&lt;&gt;0,SUMIF(куб!$E:$E,$E937,куб!J:J),IF($D937&lt;&gt;0,SUMIF(куб!$D:$D,$D937,куб!J:J),IF($C937&lt;&gt;0,SUMIF(куб!$C:$C,$C937,куб!J:J),IF($B937&lt;&gt;0,SUMIF(куб!$B:$B,$B937,куб!J:J))))))</f>
        <v>0</v>
      </c>
      <c r="Q937" s="27" t="b">
        <f>IF($G937&lt;&gt;0,SUMIF(куб!$G:$G,$G937,куб!K:K),IF($E937&lt;&gt;0,SUMIF(куб!$E:$E,$E937,куб!K:K),IF($D937&lt;&gt;0,SUMIF(куб!$D:$D,$D937,куб!K:K),IF($C937&lt;&gt;0,SUMIF(куб!$C:$C,$C937,куб!K:K),IF($B937&lt;&gt;0,SUMIF(куб!$B:$B,$B937,куб!K:K))))))</f>
        <v>0</v>
      </c>
      <c r="R937" s="13" t="str">
        <f t="shared" si="295"/>
        <v>-</v>
      </c>
      <c r="S937" s="5"/>
      <c r="T937" s="27" t="b">
        <f>IF($G937&lt;&gt;0,SUMIF(куб!$G:$G,$G937,куб!L:L),IF($E937&lt;&gt;0,SUMIF(куб!$E:$E,$E937,куб!L:L),IF($D937&lt;&gt;0,SUMIF(куб!$D:$D,$D937,куб!L:L),IF($C937&lt;&gt;0,SUMIF(куб!$C:$C,$C937,куб!L:L),IF($B937&lt;&gt;0,SUMIF(куб!$B:$B,$B937,куб!L:L))))))</f>
        <v>0</v>
      </c>
      <c r="U937" s="27" t="b">
        <f>IF($G937&lt;&gt;0,SUMIF(куб!$G:$G,$G937,куб!M:M),IF($E937&lt;&gt;0,SUMIF(куб!$E:$E,$E937,куб!M:M),IF($D937&lt;&gt;0,SUMIF(куб!$D:$D,$D937,куб!M:M),IF($C937&lt;&gt;0,SUMIF(куб!$C:$C,$C937,куб!M:M),IF($B937&lt;&gt;0,SUMIF(куб!$B:$B,$B937,куб!M:M))))))</f>
        <v>0</v>
      </c>
      <c r="V937" s="13" t="str">
        <f t="shared" si="296"/>
        <v>-</v>
      </c>
      <c r="W937" s="5"/>
      <c r="X937" s="27" t="b">
        <f>IF($G937&lt;&gt;0,SUMIF(куб!$G:$G,$G937,куб!N:N),IF($E937&lt;&gt;0,SUMIF(куб!$E:$E,$E937,куб!N:N),IF($D937&lt;&gt;0,SUMIF(куб!$D:$D,$D937,куб!N:N),IF($C937&lt;&gt;0,SUMIF(куб!$C:$C,$C937,куб!N:N),IF($B937&lt;&gt;0,SUMIF(куб!$B:$B,$B937,куб!N:N))))))</f>
        <v>0</v>
      </c>
      <c r="Y937" s="27" t="b">
        <f>IF($G937&lt;&gt;0,SUMIF(куб!$G:$G,$G937,куб!O:O),IF($E937&lt;&gt;0,SUMIF(куб!$E:$E,$E937,куб!O:O),IF($D937&lt;&gt;0,SUMIF(куб!$D:$D,$D937,куб!O:O),IF($C937&lt;&gt;0,SUMIF(куб!$C:$C,$C937,куб!O:O),IF($B937&lt;&gt;0,SUMIF(куб!$B:$B,$B937,куб!O:O))))))</f>
        <v>0</v>
      </c>
      <c r="Z937" s="13" t="str">
        <f t="shared" si="297"/>
        <v>-</v>
      </c>
      <c r="AA937" s="5"/>
      <c r="AB937" s="33" t="str">
        <f t="shared" si="298"/>
        <v/>
      </c>
      <c r="AC937" s="33" t="str">
        <f t="shared" si="299"/>
        <v/>
      </c>
      <c r="AD937" s="15" t="str">
        <f t="shared" si="300"/>
        <v xml:space="preserve"> </v>
      </c>
      <c r="AE937" s="5"/>
      <c r="AF937" s="27" t="b">
        <f>IF($G937&lt;&gt;0,SUMIF(куб!$G:$G,$G937,куб!R:R),IF($E937&lt;&gt;0,SUMIF(куб!$E:$E,$E937,куб!R:R),IF($D937&lt;&gt;0,SUMIF(куб!$D:$D,$D937,куб!R:R),IF($C937&lt;&gt;0,SUMIF(куб!$C:$C,$C937,куб!R:R),IF($B937&lt;&gt;0,SUMIF(куб!$B:$B,$B937,куб!R:R))))))</f>
        <v>0</v>
      </c>
      <c r="AG937" s="27" t="b">
        <f>IF($G937&lt;&gt;0,SUMIF(куб!$G:$G,$G937,куб!S:S),IF($E937&lt;&gt;0,SUMIF(куб!$E:$E,$E937,куб!S:S),IF($D937&lt;&gt;0,SUMIF(куб!$D:$D,$D937,куб!S:S),IF($C937&lt;&gt;0,SUMIF(куб!$C:$C,$C937,куб!S:S),IF($B937&lt;&gt;0,SUMIF(куб!$B:$B,$B937,куб!S:S))))))</f>
        <v>0</v>
      </c>
      <c r="AH937" s="16" t="str">
        <f t="shared" si="301"/>
        <v>-</v>
      </c>
      <c r="AI937" s="8"/>
      <c r="AJ937" s="27" t="b">
        <f>IF($G937&lt;&gt;0,SUMIF(куб!$G:$G,$G937,куб!T:T),IF($E937&lt;&gt;0,SUMIF(куб!$E:$E,$E937,куб!T:T),IF($D937&lt;&gt;0,SUMIF(куб!$D:$D,$D937,куб!T:T),IF($C937&lt;&gt;0,SUMIF(куб!$C:$C,$C937,куб!T:T),IF($B937&lt;&gt;0,SUMIF(куб!$B:$B,$B937,куб!T:T))))))</f>
        <v>0</v>
      </c>
      <c r="AK937" s="27" t="b">
        <f>IF($G937&lt;&gt;0,SUMIF(куб!$G:$G,$G937,куб!U:U),IF($E937&lt;&gt;0,SUMIF(куб!$E:$E,$E937,куб!U:U),IF($D937&lt;&gt;0,SUMIF(куб!$D:$D,$D937,куб!U:U),IF($C937&lt;&gt;0,SUMIF(куб!$C:$C,$C937,куб!U:U),IF($B937&lt;&gt;0,SUMIF(куб!$B:$B,$B937,куб!U:U))))))</f>
        <v>0</v>
      </c>
      <c r="AL937" s="16" t="str">
        <f t="shared" si="302"/>
        <v>-</v>
      </c>
      <c r="AM937" s="8"/>
      <c r="AN937" s="17" t="str">
        <f t="shared" si="303"/>
        <v xml:space="preserve"> </v>
      </c>
      <c r="AO937" s="17" t="str">
        <f t="shared" si="304"/>
        <v xml:space="preserve"> </v>
      </c>
      <c r="AP937" s="16" t="str">
        <f t="shared" si="305"/>
        <v>-</v>
      </c>
      <c r="AQ937" s="8"/>
      <c r="AR937" s="17" t="str">
        <f t="shared" si="306"/>
        <v>-</v>
      </c>
      <c r="AS937" s="17" t="str">
        <f t="shared" si="307"/>
        <v>-</v>
      </c>
      <c r="AT937" s="13" t="str">
        <f t="shared" si="308"/>
        <v>-</v>
      </c>
      <c r="AU937" s="8"/>
    </row>
    <row r="938" spans="1:47" x14ac:dyDescent="0.25">
      <c r="A938" s="31"/>
      <c r="B938" s="31"/>
      <c r="C938"/>
      <c r="D938" s="31"/>
      <c r="E938"/>
      <c r="F938" s="31"/>
      <c r="G938"/>
      <c r="H938" s="27">
        <f>IF($G938&lt;&gt;0,SUMIF(куб!$G:$G,$G938,куб!H:H),IF($E938&lt;&gt;0,SUMIF(куб!$E:$E,$E938,куб!H:H),IF($D938&lt;&gt;0,SUMIF(куб!$D:$D,$D938,куб!H:H),IF($C938&lt;&gt;0,SUMIF(куб!$C:$C,$C938,куб!H:H),IF($B938&lt;&gt;0,SUMIF(куб!$B:$B,$B938,куб!H:H),IF($G938&lt;&gt;0,SUMIF(куб!$A:$A,$G938,куб!H:H),SUMIF(куб!$A:$A,$G938,куб!H:H)))))))</f>
        <v>0</v>
      </c>
      <c r="I938" s="27">
        <f>IF($G938&lt;&gt;0,SUMIF(куб!$G:$G,$G938,куб!I:I),IF($E938&lt;&gt;0,SUMIF(куб!$E:$E,$E938,куб!I:I),IF($D938&lt;&gt;0,SUMIF(куб!$D:$D,$D938,куб!I:I),IF($C938&lt;&gt;0,SUMIF(куб!$C:$C,$C938,куб!I:I),IF($B938&lt;&gt;0,SUMIF(куб!$B:$B,$B938,куб!I:I),IF($G938&lt;&gt;0,SUMIF(куб!$A:$A,$G938,куб!I:I),SUMIF(куб!$A:$A,$G938,куб!I:I)))))))</f>
        <v>0</v>
      </c>
      <c r="J938" s="19" t="str">
        <f t="shared" si="291"/>
        <v>-</v>
      </c>
      <c r="K938" s="8"/>
      <c r="L938" s="17">
        <f t="shared" si="292"/>
        <v>0</v>
      </c>
      <c r="M938" s="17">
        <f t="shared" si="293"/>
        <v>0</v>
      </c>
      <c r="N938" s="12">
        <f t="shared" si="294"/>
        <v>0</v>
      </c>
      <c r="O938" s="5"/>
      <c r="P938" s="27" t="b">
        <f>IF($G938&lt;&gt;0,SUMIF(куб!$G:$G,$G938,куб!J:J),IF($E938&lt;&gt;0,SUMIF(куб!$E:$E,$E938,куб!J:J),IF($D938&lt;&gt;0,SUMIF(куб!$D:$D,$D938,куб!J:J),IF($C938&lt;&gt;0,SUMIF(куб!$C:$C,$C938,куб!J:J),IF($B938&lt;&gt;0,SUMIF(куб!$B:$B,$B938,куб!J:J))))))</f>
        <v>0</v>
      </c>
      <c r="Q938" s="27" t="b">
        <f>IF($G938&lt;&gt;0,SUMIF(куб!$G:$G,$G938,куб!K:K),IF($E938&lt;&gt;0,SUMIF(куб!$E:$E,$E938,куб!K:K),IF($D938&lt;&gt;0,SUMIF(куб!$D:$D,$D938,куб!K:K),IF($C938&lt;&gt;0,SUMIF(куб!$C:$C,$C938,куб!K:K),IF($B938&lt;&gt;0,SUMIF(куб!$B:$B,$B938,куб!K:K))))))</f>
        <v>0</v>
      </c>
      <c r="R938" s="13" t="str">
        <f t="shared" si="295"/>
        <v>-</v>
      </c>
      <c r="S938" s="5"/>
      <c r="T938" s="27" t="b">
        <f>IF($G938&lt;&gt;0,SUMIF(куб!$G:$G,$G938,куб!L:L),IF($E938&lt;&gt;0,SUMIF(куб!$E:$E,$E938,куб!L:L),IF($D938&lt;&gt;0,SUMIF(куб!$D:$D,$D938,куб!L:L),IF($C938&lt;&gt;0,SUMIF(куб!$C:$C,$C938,куб!L:L),IF($B938&lt;&gt;0,SUMIF(куб!$B:$B,$B938,куб!L:L))))))</f>
        <v>0</v>
      </c>
      <c r="U938" s="27" t="b">
        <f>IF($G938&lt;&gt;0,SUMIF(куб!$G:$G,$G938,куб!M:M),IF($E938&lt;&gt;0,SUMIF(куб!$E:$E,$E938,куб!M:M),IF($D938&lt;&gt;0,SUMIF(куб!$D:$D,$D938,куб!M:M),IF($C938&lt;&gt;0,SUMIF(куб!$C:$C,$C938,куб!M:M),IF($B938&lt;&gt;0,SUMIF(куб!$B:$B,$B938,куб!M:M))))))</f>
        <v>0</v>
      </c>
      <c r="V938" s="13" t="str">
        <f t="shared" si="296"/>
        <v>-</v>
      </c>
      <c r="W938" s="5"/>
      <c r="X938" s="27" t="b">
        <f>IF($G938&lt;&gt;0,SUMIF(куб!$G:$G,$G938,куб!N:N),IF($E938&lt;&gt;0,SUMIF(куб!$E:$E,$E938,куб!N:N),IF($D938&lt;&gt;0,SUMIF(куб!$D:$D,$D938,куб!N:N),IF($C938&lt;&gt;0,SUMIF(куб!$C:$C,$C938,куб!N:N),IF($B938&lt;&gt;0,SUMIF(куб!$B:$B,$B938,куб!N:N))))))</f>
        <v>0</v>
      </c>
      <c r="Y938" s="27" t="b">
        <f>IF($G938&lt;&gt;0,SUMIF(куб!$G:$G,$G938,куб!O:O),IF($E938&lt;&gt;0,SUMIF(куб!$E:$E,$E938,куб!O:O),IF($D938&lt;&gt;0,SUMIF(куб!$D:$D,$D938,куб!O:O),IF($C938&lt;&gt;0,SUMIF(куб!$C:$C,$C938,куб!O:O),IF($B938&lt;&gt;0,SUMIF(куб!$B:$B,$B938,куб!O:O))))))</f>
        <v>0</v>
      </c>
      <c r="Z938" s="13" t="str">
        <f t="shared" si="297"/>
        <v>-</v>
      </c>
      <c r="AA938" s="5"/>
      <c r="AB938" s="33" t="str">
        <f t="shared" si="298"/>
        <v/>
      </c>
      <c r="AC938" s="33" t="str">
        <f t="shared" si="299"/>
        <v/>
      </c>
      <c r="AD938" s="15" t="str">
        <f t="shared" si="300"/>
        <v xml:space="preserve"> </v>
      </c>
      <c r="AE938" s="5"/>
      <c r="AF938" s="27" t="b">
        <f>IF($G938&lt;&gt;0,SUMIF(куб!$G:$G,$G938,куб!R:R),IF($E938&lt;&gt;0,SUMIF(куб!$E:$E,$E938,куб!R:R),IF($D938&lt;&gt;0,SUMIF(куб!$D:$D,$D938,куб!R:R),IF($C938&lt;&gt;0,SUMIF(куб!$C:$C,$C938,куб!R:R),IF($B938&lt;&gt;0,SUMIF(куб!$B:$B,$B938,куб!R:R))))))</f>
        <v>0</v>
      </c>
      <c r="AG938" s="27" t="b">
        <f>IF($G938&lt;&gt;0,SUMIF(куб!$G:$G,$G938,куб!S:S),IF($E938&lt;&gt;0,SUMIF(куб!$E:$E,$E938,куб!S:S),IF($D938&lt;&gt;0,SUMIF(куб!$D:$D,$D938,куб!S:S),IF($C938&lt;&gt;0,SUMIF(куб!$C:$C,$C938,куб!S:S),IF($B938&lt;&gt;0,SUMIF(куб!$B:$B,$B938,куб!S:S))))))</f>
        <v>0</v>
      </c>
      <c r="AH938" s="16" t="str">
        <f t="shared" si="301"/>
        <v>-</v>
      </c>
      <c r="AI938" s="8"/>
      <c r="AJ938" s="27" t="b">
        <f>IF($G938&lt;&gt;0,SUMIF(куб!$G:$G,$G938,куб!T:T),IF($E938&lt;&gt;0,SUMIF(куб!$E:$E,$E938,куб!T:T),IF($D938&lt;&gt;0,SUMIF(куб!$D:$D,$D938,куб!T:T),IF($C938&lt;&gt;0,SUMIF(куб!$C:$C,$C938,куб!T:T),IF($B938&lt;&gt;0,SUMIF(куб!$B:$B,$B938,куб!T:T))))))</f>
        <v>0</v>
      </c>
      <c r="AK938" s="27" t="b">
        <f>IF($G938&lt;&gt;0,SUMIF(куб!$G:$G,$G938,куб!U:U),IF($E938&lt;&gt;0,SUMIF(куб!$E:$E,$E938,куб!U:U),IF($D938&lt;&gt;0,SUMIF(куб!$D:$D,$D938,куб!U:U),IF($C938&lt;&gt;0,SUMIF(куб!$C:$C,$C938,куб!U:U),IF($B938&lt;&gt;0,SUMIF(куб!$B:$B,$B938,куб!U:U))))))</f>
        <v>0</v>
      </c>
      <c r="AL938" s="16" t="str">
        <f t="shared" si="302"/>
        <v>-</v>
      </c>
      <c r="AM938" s="8"/>
      <c r="AN938" s="17" t="str">
        <f t="shared" si="303"/>
        <v xml:space="preserve"> </v>
      </c>
      <c r="AO938" s="17" t="str">
        <f t="shared" si="304"/>
        <v xml:space="preserve"> </v>
      </c>
      <c r="AP938" s="16" t="str">
        <f t="shared" si="305"/>
        <v>-</v>
      </c>
      <c r="AQ938" s="8"/>
      <c r="AR938" s="17" t="str">
        <f t="shared" si="306"/>
        <v>-</v>
      </c>
      <c r="AS938" s="17" t="str">
        <f t="shared" si="307"/>
        <v>-</v>
      </c>
      <c r="AT938" s="13" t="str">
        <f t="shared" si="308"/>
        <v>-</v>
      </c>
      <c r="AU938" s="8"/>
    </row>
    <row r="939" spans="1:47" x14ac:dyDescent="0.25">
      <c r="A939" s="31"/>
      <c r="B939" s="31"/>
      <c r="C939"/>
      <c r="D939" s="31"/>
      <c r="E939"/>
      <c r="F939" s="31"/>
      <c r="G939"/>
      <c r="H939" s="27">
        <f>IF($G939&lt;&gt;0,SUMIF(куб!$G:$G,$G939,куб!H:H),IF($E939&lt;&gt;0,SUMIF(куб!$E:$E,$E939,куб!H:H),IF($D939&lt;&gt;0,SUMIF(куб!$D:$D,$D939,куб!H:H),IF($C939&lt;&gt;0,SUMIF(куб!$C:$C,$C939,куб!H:H),IF($B939&lt;&gt;0,SUMIF(куб!$B:$B,$B939,куб!H:H),IF($G939&lt;&gt;0,SUMIF(куб!$A:$A,$G939,куб!H:H),SUMIF(куб!$A:$A,$G939,куб!H:H)))))))</f>
        <v>0</v>
      </c>
      <c r="I939" s="27">
        <f>IF($G939&lt;&gt;0,SUMIF(куб!$G:$G,$G939,куб!I:I),IF($E939&lt;&gt;0,SUMIF(куб!$E:$E,$E939,куб!I:I),IF($D939&lt;&gt;0,SUMIF(куб!$D:$D,$D939,куб!I:I),IF($C939&lt;&gt;0,SUMIF(куб!$C:$C,$C939,куб!I:I),IF($B939&lt;&gt;0,SUMIF(куб!$B:$B,$B939,куб!I:I),IF($G939&lt;&gt;0,SUMIF(куб!$A:$A,$G939,куб!I:I),SUMIF(куб!$A:$A,$G939,куб!I:I)))))))</f>
        <v>0</v>
      </c>
      <c r="J939" s="19" t="str">
        <f t="shared" si="291"/>
        <v>-</v>
      </c>
      <c r="K939" s="8"/>
      <c r="L939" s="17">
        <f t="shared" si="292"/>
        <v>0</v>
      </c>
      <c r="M939" s="17">
        <f t="shared" si="293"/>
        <v>0</v>
      </c>
      <c r="N939" s="12">
        <f t="shared" si="294"/>
        <v>0</v>
      </c>
      <c r="O939" s="5"/>
      <c r="P939" s="27" t="b">
        <f>IF($G939&lt;&gt;0,SUMIF(куб!$G:$G,$G939,куб!J:J),IF($E939&lt;&gt;0,SUMIF(куб!$E:$E,$E939,куб!J:J),IF($D939&lt;&gt;0,SUMIF(куб!$D:$D,$D939,куб!J:J),IF($C939&lt;&gt;0,SUMIF(куб!$C:$C,$C939,куб!J:J),IF($B939&lt;&gt;0,SUMIF(куб!$B:$B,$B939,куб!J:J))))))</f>
        <v>0</v>
      </c>
      <c r="Q939" s="27" t="b">
        <f>IF($G939&lt;&gt;0,SUMIF(куб!$G:$G,$G939,куб!K:K),IF($E939&lt;&gt;0,SUMIF(куб!$E:$E,$E939,куб!K:K),IF($D939&lt;&gt;0,SUMIF(куб!$D:$D,$D939,куб!K:K),IF($C939&lt;&gt;0,SUMIF(куб!$C:$C,$C939,куб!K:K),IF($B939&lt;&gt;0,SUMIF(куб!$B:$B,$B939,куб!K:K))))))</f>
        <v>0</v>
      </c>
      <c r="R939" s="13" t="str">
        <f t="shared" si="295"/>
        <v>-</v>
      </c>
      <c r="S939" s="5"/>
      <c r="T939" s="27" t="b">
        <f>IF($G939&lt;&gt;0,SUMIF(куб!$G:$G,$G939,куб!L:L),IF($E939&lt;&gt;0,SUMIF(куб!$E:$E,$E939,куб!L:L),IF($D939&lt;&gt;0,SUMIF(куб!$D:$D,$D939,куб!L:L),IF($C939&lt;&gt;0,SUMIF(куб!$C:$C,$C939,куб!L:L),IF($B939&lt;&gt;0,SUMIF(куб!$B:$B,$B939,куб!L:L))))))</f>
        <v>0</v>
      </c>
      <c r="U939" s="27" t="b">
        <f>IF($G939&lt;&gt;0,SUMIF(куб!$G:$G,$G939,куб!M:M),IF($E939&lt;&gt;0,SUMIF(куб!$E:$E,$E939,куб!M:M),IF($D939&lt;&gt;0,SUMIF(куб!$D:$D,$D939,куб!M:M),IF($C939&lt;&gt;0,SUMIF(куб!$C:$C,$C939,куб!M:M),IF($B939&lt;&gt;0,SUMIF(куб!$B:$B,$B939,куб!M:M))))))</f>
        <v>0</v>
      </c>
      <c r="V939" s="13" t="str">
        <f t="shared" si="296"/>
        <v>-</v>
      </c>
      <c r="W939" s="5"/>
      <c r="X939" s="27" t="b">
        <f>IF($G939&lt;&gt;0,SUMIF(куб!$G:$G,$G939,куб!N:N),IF($E939&lt;&gt;0,SUMIF(куб!$E:$E,$E939,куб!N:N),IF($D939&lt;&gt;0,SUMIF(куб!$D:$D,$D939,куб!N:N),IF($C939&lt;&gt;0,SUMIF(куб!$C:$C,$C939,куб!N:N),IF($B939&lt;&gt;0,SUMIF(куб!$B:$B,$B939,куб!N:N))))))</f>
        <v>0</v>
      </c>
      <c r="Y939" s="27" t="b">
        <f>IF($G939&lt;&gt;0,SUMIF(куб!$G:$G,$G939,куб!O:O),IF($E939&lt;&gt;0,SUMIF(куб!$E:$E,$E939,куб!O:O),IF($D939&lt;&gt;0,SUMIF(куб!$D:$D,$D939,куб!O:O),IF($C939&lt;&gt;0,SUMIF(куб!$C:$C,$C939,куб!O:O),IF($B939&lt;&gt;0,SUMIF(куб!$B:$B,$B939,куб!O:O))))))</f>
        <v>0</v>
      </c>
      <c r="Z939" s="13" t="str">
        <f t="shared" si="297"/>
        <v>-</v>
      </c>
      <c r="AA939" s="5"/>
      <c r="AB939" s="33" t="str">
        <f t="shared" si="298"/>
        <v/>
      </c>
      <c r="AC939" s="33" t="str">
        <f t="shared" si="299"/>
        <v/>
      </c>
      <c r="AD939" s="15" t="str">
        <f t="shared" si="300"/>
        <v xml:space="preserve"> </v>
      </c>
      <c r="AE939" s="5"/>
      <c r="AF939" s="27" t="b">
        <f>IF($G939&lt;&gt;0,SUMIF(куб!$G:$G,$G939,куб!R:R),IF($E939&lt;&gt;0,SUMIF(куб!$E:$E,$E939,куб!R:R),IF($D939&lt;&gt;0,SUMIF(куб!$D:$D,$D939,куб!R:R),IF($C939&lt;&gt;0,SUMIF(куб!$C:$C,$C939,куб!R:R),IF($B939&lt;&gt;0,SUMIF(куб!$B:$B,$B939,куб!R:R))))))</f>
        <v>0</v>
      </c>
      <c r="AG939" s="27" t="b">
        <f>IF($G939&lt;&gt;0,SUMIF(куб!$G:$G,$G939,куб!S:S),IF($E939&lt;&gt;0,SUMIF(куб!$E:$E,$E939,куб!S:S),IF($D939&lt;&gt;0,SUMIF(куб!$D:$D,$D939,куб!S:S),IF($C939&lt;&gt;0,SUMIF(куб!$C:$C,$C939,куб!S:S),IF($B939&lt;&gt;0,SUMIF(куб!$B:$B,$B939,куб!S:S))))))</f>
        <v>0</v>
      </c>
      <c r="AH939" s="16" t="str">
        <f t="shared" si="301"/>
        <v>-</v>
      </c>
      <c r="AI939" s="8"/>
      <c r="AJ939" s="27" t="b">
        <f>IF($G939&lt;&gt;0,SUMIF(куб!$G:$G,$G939,куб!T:T),IF($E939&lt;&gt;0,SUMIF(куб!$E:$E,$E939,куб!T:T),IF($D939&lt;&gt;0,SUMIF(куб!$D:$D,$D939,куб!T:T),IF($C939&lt;&gt;0,SUMIF(куб!$C:$C,$C939,куб!T:T),IF($B939&lt;&gt;0,SUMIF(куб!$B:$B,$B939,куб!T:T))))))</f>
        <v>0</v>
      </c>
      <c r="AK939" s="27" t="b">
        <f>IF($G939&lt;&gt;0,SUMIF(куб!$G:$G,$G939,куб!U:U),IF($E939&lt;&gt;0,SUMIF(куб!$E:$E,$E939,куб!U:U),IF($D939&lt;&gt;0,SUMIF(куб!$D:$D,$D939,куб!U:U),IF($C939&lt;&gt;0,SUMIF(куб!$C:$C,$C939,куб!U:U),IF($B939&lt;&gt;0,SUMIF(куб!$B:$B,$B939,куб!U:U))))))</f>
        <v>0</v>
      </c>
      <c r="AL939" s="16" t="str">
        <f t="shared" si="302"/>
        <v>-</v>
      </c>
      <c r="AM939" s="8"/>
      <c r="AN939" s="17" t="str">
        <f t="shared" si="303"/>
        <v xml:space="preserve"> </v>
      </c>
      <c r="AO939" s="17" t="str">
        <f t="shared" si="304"/>
        <v xml:space="preserve"> </v>
      </c>
      <c r="AP939" s="16" t="str">
        <f t="shared" si="305"/>
        <v>-</v>
      </c>
      <c r="AQ939" s="8"/>
      <c r="AR939" s="17" t="str">
        <f t="shared" si="306"/>
        <v>-</v>
      </c>
      <c r="AS939" s="17" t="str">
        <f t="shared" si="307"/>
        <v>-</v>
      </c>
      <c r="AT939" s="13" t="str">
        <f t="shared" si="308"/>
        <v>-</v>
      </c>
      <c r="AU939" s="8"/>
    </row>
    <row r="940" spans="1:47" x14ac:dyDescent="0.25">
      <c r="A940" s="31"/>
      <c r="B940" s="31"/>
      <c r="C940"/>
      <c r="D940" s="31"/>
      <c r="E940"/>
      <c r="F940" s="31"/>
      <c r="G940"/>
      <c r="H940" s="27">
        <f>IF($G940&lt;&gt;0,SUMIF(куб!$G:$G,$G940,куб!H:H),IF($E940&lt;&gt;0,SUMIF(куб!$E:$E,$E940,куб!H:H),IF($D940&lt;&gt;0,SUMIF(куб!$D:$D,$D940,куб!H:H),IF($C940&lt;&gt;0,SUMIF(куб!$C:$C,$C940,куб!H:H),IF($B940&lt;&gt;0,SUMIF(куб!$B:$B,$B940,куб!H:H),IF($G940&lt;&gt;0,SUMIF(куб!$A:$A,$G940,куб!H:H),SUMIF(куб!$A:$A,$G940,куб!H:H)))))))</f>
        <v>0</v>
      </c>
      <c r="I940" s="27">
        <f>IF($G940&lt;&gt;0,SUMIF(куб!$G:$G,$G940,куб!I:I),IF($E940&lt;&gt;0,SUMIF(куб!$E:$E,$E940,куб!I:I),IF($D940&lt;&gt;0,SUMIF(куб!$D:$D,$D940,куб!I:I),IF($C940&lt;&gt;0,SUMIF(куб!$C:$C,$C940,куб!I:I),IF($B940&lt;&gt;0,SUMIF(куб!$B:$B,$B940,куб!I:I),IF($G940&lt;&gt;0,SUMIF(куб!$A:$A,$G940,куб!I:I),SUMIF(куб!$A:$A,$G940,куб!I:I)))))))</f>
        <v>0</v>
      </c>
      <c r="J940" s="19" t="str">
        <f t="shared" si="291"/>
        <v>-</v>
      </c>
      <c r="K940" s="8"/>
      <c r="L940" s="17">
        <f t="shared" si="292"/>
        <v>0</v>
      </c>
      <c r="M940" s="17">
        <f t="shared" si="293"/>
        <v>0</v>
      </c>
      <c r="N940" s="12">
        <f t="shared" si="294"/>
        <v>0</v>
      </c>
      <c r="O940" s="5"/>
      <c r="P940" s="27" t="b">
        <f>IF($G940&lt;&gt;0,SUMIF(куб!$G:$G,$G940,куб!J:J),IF($E940&lt;&gt;0,SUMIF(куб!$E:$E,$E940,куб!J:J),IF($D940&lt;&gt;0,SUMIF(куб!$D:$D,$D940,куб!J:J),IF($C940&lt;&gt;0,SUMIF(куб!$C:$C,$C940,куб!J:J),IF($B940&lt;&gt;0,SUMIF(куб!$B:$B,$B940,куб!J:J))))))</f>
        <v>0</v>
      </c>
      <c r="Q940" s="27" t="b">
        <f>IF($G940&lt;&gt;0,SUMIF(куб!$G:$G,$G940,куб!K:K),IF($E940&lt;&gt;0,SUMIF(куб!$E:$E,$E940,куб!K:K),IF($D940&lt;&gt;0,SUMIF(куб!$D:$D,$D940,куб!K:K),IF($C940&lt;&gt;0,SUMIF(куб!$C:$C,$C940,куб!K:K),IF($B940&lt;&gt;0,SUMIF(куб!$B:$B,$B940,куб!K:K))))))</f>
        <v>0</v>
      </c>
      <c r="R940" s="13" t="str">
        <f t="shared" si="295"/>
        <v>-</v>
      </c>
      <c r="S940" s="5"/>
      <c r="T940" s="27" t="b">
        <f>IF($G940&lt;&gt;0,SUMIF(куб!$G:$G,$G940,куб!L:L),IF($E940&lt;&gt;0,SUMIF(куб!$E:$E,$E940,куб!L:L),IF($D940&lt;&gt;0,SUMIF(куб!$D:$D,$D940,куб!L:L),IF($C940&lt;&gt;0,SUMIF(куб!$C:$C,$C940,куб!L:L),IF($B940&lt;&gt;0,SUMIF(куб!$B:$B,$B940,куб!L:L))))))</f>
        <v>0</v>
      </c>
      <c r="U940" s="27" t="b">
        <f>IF($G940&lt;&gt;0,SUMIF(куб!$G:$G,$G940,куб!M:M),IF($E940&lt;&gt;0,SUMIF(куб!$E:$E,$E940,куб!M:M),IF($D940&lt;&gt;0,SUMIF(куб!$D:$D,$D940,куб!M:M),IF($C940&lt;&gt;0,SUMIF(куб!$C:$C,$C940,куб!M:M),IF($B940&lt;&gt;0,SUMIF(куб!$B:$B,$B940,куб!M:M))))))</f>
        <v>0</v>
      </c>
      <c r="V940" s="13" t="str">
        <f t="shared" si="296"/>
        <v>-</v>
      </c>
      <c r="W940" s="5"/>
      <c r="X940" s="27" t="b">
        <f>IF($G940&lt;&gt;0,SUMIF(куб!$G:$G,$G940,куб!N:N),IF($E940&lt;&gt;0,SUMIF(куб!$E:$E,$E940,куб!N:N),IF($D940&lt;&gt;0,SUMIF(куб!$D:$D,$D940,куб!N:N),IF($C940&lt;&gt;0,SUMIF(куб!$C:$C,$C940,куб!N:N),IF($B940&lt;&gt;0,SUMIF(куб!$B:$B,$B940,куб!N:N))))))</f>
        <v>0</v>
      </c>
      <c r="Y940" s="27" t="b">
        <f>IF($G940&lt;&gt;0,SUMIF(куб!$G:$G,$G940,куб!O:O),IF($E940&lt;&gt;0,SUMIF(куб!$E:$E,$E940,куб!O:O),IF($D940&lt;&gt;0,SUMIF(куб!$D:$D,$D940,куб!O:O),IF($C940&lt;&gt;0,SUMIF(куб!$C:$C,$C940,куб!O:O),IF($B940&lt;&gt;0,SUMIF(куб!$B:$B,$B940,куб!O:O))))))</f>
        <v>0</v>
      </c>
      <c r="Z940" s="13" t="str">
        <f t="shared" si="297"/>
        <v>-</v>
      </c>
      <c r="AA940" s="5"/>
      <c r="AB940" s="33" t="str">
        <f t="shared" si="298"/>
        <v/>
      </c>
      <c r="AC940" s="33" t="str">
        <f t="shared" si="299"/>
        <v/>
      </c>
      <c r="AD940" s="15" t="str">
        <f t="shared" si="300"/>
        <v xml:space="preserve"> </v>
      </c>
      <c r="AE940" s="5"/>
      <c r="AF940" s="27" t="b">
        <f>IF($G940&lt;&gt;0,SUMIF(куб!$G:$G,$G940,куб!R:R),IF($E940&lt;&gt;0,SUMIF(куб!$E:$E,$E940,куб!R:R),IF($D940&lt;&gt;0,SUMIF(куб!$D:$D,$D940,куб!R:R),IF($C940&lt;&gt;0,SUMIF(куб!$C:$C,$C940,куб!R:R),IF($B940&lt;&gt;0,SUMIF(куб!$B:$B,$B940,куб!R:R))))))</f>
        <v>0</v>
      </c>
      <c r="AG940" s="27" t="b">
        <f>IF($G940&lt;&gt;0,SUMIF(куб!$G:$G,$G940,куб!S:S),IF($E940&lt;&gt;0,SUMIF(куб!$E:$E,$E940,куб!S:S),IF($D940&lt;&gt;0,SUMIF(куб!$D:$D,$D940,куб!S:S),IF($C940&lt;&gt;0,SUMIF(куб!$C:$C,$C940,куб!S:S),IF($B940&lt;&gt;0,SUMIF(куб!$B:$B,$B940,куб!S:S))))))</f>
        <v>0</v>
      </c>
      <c r="AH940" s="16" t="str">
        <f t="shared" si="301"/>
        <v>-</v>
      </c>
      <c r="AI940" s="8"/>
      <c r="AJ940" s="27" t="b">
        <f>IF($G940&lt;&gt;0,SUMIF(куб!$G:$G,$G940,куб!T:T),IF($E940&lt;&gt;0,SUMIF(куб!$E:$E,$E940,куб!T:T),IF($D940&lt;&gt;0,SUMIF(куб!$D:$D,$D940,куб!T:T),IF($C940&lt;&gt;0,SUMIF(куб!$C:$C,$C940,куб!T:T),IF($B940&lt;&gt;0,SUMIF(куб!$B:$B,$B940,куб!T:T))))))</f>
        <v>0</v>
      </c>
      <c r="AK940" s="27" t="b">
        <f>IF($G940&lt;&gt;0,SUMIF(куб!$G:$G,$G940,куб!U:U),IF($E940&lt;&gt;0,SUMIF(куб!$E:$E,$E940,куб!U:U),IF($D940&lt;&gt;0,SUMIF(куб!$D:$D,$D940,куб!U:U),IF($C940&lt;&gt;0,SUMIF(куб!$C:$C,$C940,куб!U:U),IF($B940&lt;&gt;0,SUMIF(куб!$B:$B,$B940,куб!U:U))))))</f>
        <v>0</v>
      </c>
      <c r="AL940" s="16" t="str">
        <f t="shared" si="302"/>
        <v>-</v>
      </c>
      <c r="AM940" s="8"/>
      <c r="AN940" s="17" t="str">
        <f t="shared" si="303"/>
        <v xml:space="preserve"> </v>
      </c>
      <c r="AO940" s="17" t="str">
        <f t="shared" si="304"/>
        <v xml:space="preserve"> </v>
      </c>
      <c r="AP940" s="16" t="str">
        <f t="shared" si="305"/>
        <v>-</v>
      </c>
      <c r="AQ940" s="8"/>
      <c r="AR940" s="17" t="str">
        <f t="shared" si="306"/>
        <v>-</v>
      </c>
      <c r="AS940" s="17" t="str">
        <f t="shared" si="307"/>
        <v>-</v>
      </c>
      <c r="AT940" s="13" t="str">
        <f t="shared" si="308"/>
        <v>-</v>
      </c>
      <c r="AU940" s="8"/>
    </row>
    <row r="941" spans="1:47" x14ac:dyDescent="0.25">
      <c r="A941" s="31"/>
      <c r="B941" s="31"/>
      <c r="C941"/>
      <c r="D941" s="31"/>
      <c r="E941"/>
      <c r="F941" s="31"/>
      <c r="G941"/>
      <c r="H941" s="27">
        <f>IF($G941&lt;&gt;0,SUMIF(куб!$G:$G,$G941,куб!H:H),IF($E941&lt;&gt;0,SUMIF(куб!$E:$E,$E941,куб!H:H),IF($D941&lt;&gt;0,SUMIF(куб!$D:$D,$D941,куб!H:H),IF($C941&lt;&gt;0,SUMIF(куб!$C:$C,$C941,куб!H:H),IF($B941&lt;&gt;0,SUMIF(куб!$B:$B,$B941,куб!H:H),IF($G941&lt;&gt;0,SUMIF(куб!$A:$A,$G941,куб!H:H),SUMIF(куб!$A:$A,$G941,куб!H:H)))))))</f>
        <v>0</v>
      </c>
      <c r="I941" s="27">
        <f>IF($G941&lt;&gt;0,SUMIF(куб!$G:$G,$G941,куб!I:I),IF($E941&lt;&gt;0,SUMIF(куб!$E:$E,$E941,куб!I:I),IF($D941&lt;&gt;0,SUMIF(куб!$D:$D,$D941,куб!I:I),IF($C941&lt;&gt;0,SUMIF(куб!$C:$C,$C941,куб!I:I),IF($B941&lt;&gt;0,SUMIF(куб!$B:$B,$B941,куб!I:I),IF($G941&lt;&gt;0,SUMIF(куб!$A:$A,$G941,куб!I:I),SUMIF(куб!$A:$A,$G941,куб!I:I)))))))</f>
        <v>0</v>
      </c>
      <c r="J941" s="19" t="str">
        <f t="shared" si="291"/>
        <v>-</v>
      </c>
      <c r="K941" s="8"/>
      <c r="L941" s="17">
        <f t="shared" si="292"/>
        <v>0</v>
      </c>
      <c r="M941" s="17">
        <f t="shared" si="293"/>
        <v>0</v>
      </c>
      <c r="N941" s="12">
        <f t="shared" si="294"/>
        <v>0</v>
      </c>
      <c r="O941" s="5"/>
      <c r="P941" s="27" t="b">
        <f>IF($G941&lt;&gt;0,SUMIF(куб!$G:$G,$G941,куб!J:J),IF($E941&lt;&gt;0,SUMIF(куб!$E:$E,$E941,куб!J:J),IF($D941&lt;&gt;0,SUMIF(куб!$D:$D,$D941,куб!J:J),IF($C941&lt;&gt;0,SUMIF(куб!$C:$C,$C941,куб!J:J),IF($B941&lt;&gt;0,SUMIF(куб!$B:$B,$B941,куб!J:J))))))</f>
        <v>0</v>
      </c>
      <c r="Q941" s="27" t="b">
        <f>IF($G941&lt;&gt;0,SUMIF(куб!$G:$G,$G941,куб!K:K),IF($E941&lt;&gt;0,SUMIF(куб!$E:$E,$E941,куб!K:K),IF($D941&lt;&gt;0,SUMIF(куб!$D:$D,$D941,куб!K:K),IF($C941&lt;&gt;0,SUMIF(куб!$C:$C,$C941,куб!K:K),IF($B941&lt;&gt;0,SUMIF(куб!$B:$B,$B941,куб!K:K))))))</f>
        <v>0</v>
      </c>
      <c r="R941" s="13" t="str">
        <f t="shared" si="295"/>
        <v>-</v>
      </c>
      <c r="S941" s="5"/>
      <c r="T941" s="27" t="b">
        <f>IF($G941&lt;&gt;0,SUMIF(куб!$G:$G,$G941,куб!L:L),IF($E941&lt;&gt;0,SUMIF(куб!$E:$E,$E941,куб!L:L),IF($D941&lt;&gt;0,SUMIF(куб!$D:$D,$D941,куб!L:L),IF($C941&lt;&gt;0,SUMIF(куб!$C:$C,$C941,куб!L:L),IF($B941&lt;&gt;0,SUMIF(куб!$B:$B,$B941,куб!L:L))))))</f>
        <v>0</v>
      </c>
      <c r="U941" s="27" t="b">
        <f>IF($G941&lt;&gt;0,SUMIF(куб!$G:$G,$G941,куб!M:M),IF($E941&lt;&gt;0,SUMIF(куб!$E:$E,$E941,куб!M:M),IF($D941&lt;&gt;0,SUMIF(куб!$D:$D,$D941,куб!M:M),IF($C941&lt;&gt;0,SUMIF(куб!$C:$C,$C941,куб!M:M),IF($B941&lt;&gt;0,SUMIF(куб!$B:$B,$B941,куб!M:M))))))</f>
        <v>0</v>
      </c>
      <c r="V941" s="13" t="str">
        <f t="shared" si="296"/>
        <v>-</v>
      </c>
      <c r="W941" s="5"/>
      <c r="X941" s="27" t="b">
        <f>IF($G941&lt;&gt;0,SUMIF(куб!$G:$G,$G941,куб!N:N),IF($E941&lt;&gt;0,SUMIF(куб!$E:$E,$E941,куб!N:N),IF($D941&lt;&gt;0,SUMIF(куб!$D:$D,$D941,куб!N:N),IF($C941&lt;&gt;0,SUMIF(куб!$C:$C,$C941,куб!N:N),IF($B941&lt;&gt;0,SUMIF(куб!$B:$B,$B941,куб!N:N))))))</f>
        <v>0</v>
      </c>
      <c r="Y941" s="27" t="b">
        <f>IF($G941&lt;&gt;0,SUMIF(куб!$G:$G,$G941,куб!O:O),IF($E941&lt;&gt;0,SUMIF(куб!$E:$E,$E941,куб!O:O),IF($D941&lt;&gt;0,SUMIF(куб!$D:$D,$D941,куб!O:O),IF($C941&lt;&gt;0,SUMIF(куб!$C:$C,$C941,куб!O:O),IF($B941&lt;&gt;0,SUMIF(куб!$B:$B,$B941,куб!O:O))))))</f>
        <v>0</v>
      </c>
      <c r="Z941" s="13" t="str">
        <f t="shared" si="297"/>
        <v>-</v>
      </c>
      <c r="AA941" s="5"/>
      <c r="AB941" s="33" t="str">
        <f t="shared" si="298"/>
        <v/>
      </c>
      <c r="AC941" s="33" t="str">
        <f t="shared" si="299"/>
        <v/>
      </c>
      <c r="AD941" s="15" t="str">
        <f t="shared" si="300"/>
        <v xml:space="preserve"> </v>
      </c>
      <c r="AE941" s="5"/>
      <c r="AF941" s="27" t="b">
        <f>IF($G941&lt;&gt;0,SUMIF(куб!$G:$G,$G941,куб!R:R),IF($E941&lt;&gt;0,SUMIF(куб!$E:$E,$E941,куб!R:R),IF($D941&lt;&gt;0,SUMIF(куб!$D:$D,$D941,куб!R:R),IF($C941&lt;&gt;0,SUMIF(куб!$C:$C,$C941,куб!R:R),IF($B941&lt;&gt;0,SUMIF(куб!$B:$B,$B941,куб!R:R))))))</f>
        <v>0</v>
      </c>
      <c r="AG941" s="27" t="b">
        <f>IF($G941&lt;&gt;0,SUMIF(куб!$G:$G,$G941,куб!S:S),IF($E941&lt;&gt;0,SUMIF(куб!$E:$E,$E941,куб!S:S),IF($D941&lt;&gt;0,SUMIF(куб!$D:$D,$D941,куб!S:S),IF($C941&lt;&gt;0,SUMIF(куб!$C:$C,$C941,куб!S:S),IF($B941&lt;&gt;0,SUMIF(куб!$B:$B,$B941,куб!S:S))))))</f>
        <v>0</v>
      </c>
      <c r="AH941" s="16" t="str">
        <f t="shared" si="301"/>
        <v>-</v>
      </c>
      <c r="AI941" s="8"/>
      <c r="AJ941" s="27" t="b">
        <f>IF($G941&lt;&gt;0,SUMIF(куб!$G:$G,$G941,куб!T:T),IF($E941&lt;&gt;0,SUMIF(куб!$E:$E,$E941,куб!T:T),IF($D941&lt;&gt;0,SUMIF(куб!$D:$D,$D941,куб!T:T),IF($C941&lt;&gt;0,SUMIF(куб!$C:$C,$C941,куб!T:T),IF($B941&lt;&gt;0,SUMIF(куб!$B:$B,$B941,куб!T:T))))))</f>
        <v>0</v>
      </c>
      <c r="AK941" s="27" t="b">
        <f>IF($G941&lt;&gt;0,SUMIF(куб!$G:$G,$G941,куб!U:U),IF($E941&lt;&gt;0,SUMIF(куб!$E:$E,$E941,куб!U:U),IF($D941&lt;&gt;0,SUMIF(куб!$D:$D,$D941,куб!U:U),IF($C941&lt;&gt;0,SUMIF(куб!$C:$C,$C941,куб!U:U),IF($B941&lt;&gt;0,SUMIF(куб!$B:$B,$B941,куб!U:U))))))</f>
        <v>0</v>
      </c>
      <c r="AL941" s="16" t="str">
        <f t="shared" si="302"/>
        <v>-</v>
      </c>
      <c r="AM941" s="8"/>
      <c r="AN941" s="17" t="str">
        <f t="shared" si="303"/>
        <v xml:space="preserve"> </v>
      </c>
      <c r="AO941" s="17" t="str">
        <f t="shared" si="304"/>
        <v xml:space="preserve"> </v>
      </c>
      <c r="AP941" s="16" t="str">
        <f t="shared" si="305"/>
        <v>-</v>
      </c>
      <c r="AQ941" s="8"/>
      <c r="AR941" s="17" t="str">
        <f t="shared" si="306"/>
        <v>-</v>
      </c>
      <c r="AS941" s="17" t="str">
        <f t="shared" si="307"/>
        <v>-</v>
      </c>
      <c r="AT941" s="13" t="str">
        <f t="shared" si="308"/>
        <v>-</v>
      </c>
      <c r="AU941" s="8"/>
    </row>
    <row r="942" spans="1:47" x14ac:dyDescent="0.25">
      <c r="A942" s="31"/>
      <c r="B942" s="31"/>
      <c r="C942"/>
      <c r="D942" s="31"/>
      <c r="E942"/>
      <c r="F942" s="31"/>
      <c r="G942"/>
      <c r="H942" s="27">
        <f>IF($G942&lt;&gt;0,SUMIF(куб!$G:$G,$G942,куб!H:H),IF($E942&lt;&gt;0,SUMIF(куб!$E:$E,$E942,куб!H:H),IF($D942&lt;&gt;0,SUMIF(куб!$D:$D,$D942,куб!H:H),IF($C942&lt;&gt;0,SUMIF(куб!$C:$C,$C942,куб!H:H),IF($B942&lt;&gt;0,SUMIF(куб!$B:$B,$B942,куб!H:H),IF($G942&lt;&gt;0,SUMIF(куб!$A:$A,$G942,куб!H:H),SUMIF(куб!$A:$A,$G942,куб!H:H)))))))</f>
        <v>0</v>
      </c>
      <c r="I942" s="27">
        <f>IF($G942&lt;&gt;0,SUMIF(куб!$G:$G,$G942,куб!I:I),IF($E942&lt;&gt;0,SUMIF(куб!$E:$E,$E942,куб!I:I),IF($D942&lt;&gt;0,SUMIF(куб!$D:$D,$D942,куб!I:I),IF($C942&lt;&gt;0,SUMIF(куб!$C:$C,$C942,куб!I:I),IF($B942&lt;&gt;0,SUMIF(куб!$B:$B,$B942,куб!I:I),IF($G942&lt;&gt;0,SUMIF(куб!$A:$A,$G942,куб!I:I),SUMIF(куб!$A:$A,$G942,куб!I:I)))))))</f>
        <v>0</v>
      </c>
      <c r="J942" s="19" t="str">
        <f t="shared" si="291"/>
        <v>-</v>
      </c>
      <c r="K942" s="8"/>
      <c r="L942" s="17">
        <f t="shared" si="292"/>
        <v>0</v>
      </c>
      <c r="M942" s="17">
        <f t="shared" si="293"/>
        <v>0</v>
      </c>
      <c r="N942" s="12">
        <f t="shared" si="294"/>
        <v>0</v>
      </c>
      <c r="O942" s="5"/>
      <c r="P942" s="27" t="b">
        <f>IF($G942&lt;&gt;0,SUMIF(куб!$G:$G,$G942,куб!J:J),IF($E942&lt;&gt;0,SUMIF(куб!$E:$E,$E942,куб!J:J),IF($D942&lt;&gt;0,SUMIF(куб!$D:$D,$D942,куб!J:J),IF($C942&lt;&gt;0,SUMIF(куб!$C:$C,$C942,куб!J:J),IF($B942&lt;&gt;0,SUMIF(куб!$B:$B,$B942,куб!J:J))))))</f>
        <v>0</v>
      </c>
      <c r="Q942" s="27" t="b">
        <f>IF($G942&lt;&gt;0,SUMIF(куб!$G:$G,$G942,куб!K:K),IF($E942&lt;&gt;0,SUMIF(куб!$E:$E,$E942,куб!K:K),IF($D942&lt;&gt;0,SUMIF(куб!$D:$D,$D942,куб!K:K),IF($C942&lt;&gt;0,SUMIF(куб!$C:$C,$C942,куб!K:K),IF($B942&lt;&gt;0,SUMIF(куб!$B:$B,$B942,куб!K:K))))))</f>
        <v>0</v>
      </c>
      <c r="R942" s="13" t="str">
        <f t="shared" si="295"/>
        <v>-</v>
      </c>
      <c r="S942" s="5"/>
      <c r="T942" s="27" t="b">
        <f>IF($G942&lt;&gt;0,SUMIF(куб!$G:$G,$G942,куб!L:L),IF($E942&lt;&gt;0,SUMIF(куб!$E:$E,$E942,куб!L:L),IF($D942&lt;&gt;0,SUMIF(куб!$D:$D,$D942,куб!L:L),IF($C942&lt;&gt;0,SUMIF(куб!$C:$C,$C942,куб!L:L),IF($B942&lt;&gt;0,SUMIF(куб!$B:$B,$B942,куб!L:L))))))</f>
        <v>0</v>
      </c>
      <c r="U942" s="27" t="b">
        <f>IF($G942&lt;&gt;0,SUMIF(куб!$G:$G,$G942,куб!M:M),IF($E942&lt;&gt;0,SUMIF(куб!$E:$E,$E942,куб!M:M),IF($D942&lt;&gt;0,SUMIF(куб!$D:$D,$D942,куб!M:M),IF($C942&lt;&gt;0,SUMIF(куб!$C:$C,$C942,куб!M:M),IF($B942&lt;&gt;0,SUMIF(куб!$B:$B,$B942,куб!M:M))))))</f>
        <v>0</v>
      </c>
      <c r="V942" s="13" t="str">
        <f t="shared" si="296"/>
        <v>-</v>
      </c>
      <c r="W942" s="5"/>
      <c r="X942" s="27" t="b">
        <f>IF($G942&lt;&gt;0,SUMIF(куб!$G:$G,$G942,куб!N:N),IF($E942&lt;&gt;0,SUMIF(куб!$E:$E,$E942,куб!N:N),IF($D942&lt;&gt;0,SUMIF(куб!$D:$D,$D942,куб!N:N),IF($C942&lt;&gt;0,SUMIF(куб!$C:$C,$C942,куб!N:N),IF($B942&lt;&gt;0,SUMIF(куб!$B:$B,$B942,куб!N:N))))))</f>
        <v>0</v>
      </c>
      <c r="Y942" s="27" t="b">
        <f>IF($G942&lt;&gt;0,SUMIF(куб!$G:$G,$G942,куб!O:O),IF($E942&lt;&gt;0,SUMIF(куб!$E:$E,$E942,куб!O:O),IF($D942&lt;&gt;0,SUMIF(куб!$D:$D,$D942,куб!O:O),IF($C942&lt;&gt;0,SUMIF(куб!$C:$C,$C942,куб!O:O),IF($B942&lt;&gt;0,SUMIF(куб!$B:$B,$B942,куб!O:O))))))</f>
        <v>0</v>
      </c>
      <c r="Z942" s="13" t="str">
        <f t="shared" si="297"/>
        <v>-</v>
      </c>
      <c r="AA942" s="5"/>
      <c r="AB942" s="33" t="str">
        <f t="shared" si="298"/>
        <v/>
      </c>
      <c r="AC942" s="33" t="str">
        <f t="shared" si="299"/>
        <v/>
      </c>
      <c r="AD942" s="15" t="str">
        <f t="shared" si="300"/>
        <v xml:space="preserve"> </v>
      </c>
      <c r="AE942" s="5"/>
      <c r="AF942" s="27" t="b">
        <f>IF($G942&lt;&gt;0,SUMIF(куб!$G:$G,$G942,куб!R:R),IF($E942&lt;&gt;0,SUMIF(куб!$E:$E,$E942,куб!R:R),IF($D942&lt;&gt;0,SUMIF(куб!$D:$D,$D942,куб!R:R),IF($C942&lt;&gt;0,SUMIF(куб!$C:$C,$C942,куб!R:R),IF($B942&lt;&gt;0,SUMIF(куб!$B:$B,$B942,куб!R:R))))))</f>
        <v>0</v>
      </c>
      <c r="AG942" s="27" t="b">
        <f>IF($G942&lt;&gt;0,SUMIF(куб!$G:$G,$G942,куб!S:S),IF($E942&lt;&gt;0,SUMIF(куб!$E:$E,$E942,куб!S:S),IF($D942&lt;&gt;0,SUMIF(куб!$D:$D,$D942,куб!S:S),IF($C942&lt;&gt;0,SUMIF(куб!$C:$C,$C942,куб!S:S),IF($B942&lt;&gt;0,SUMIF(куб!$B:$B,$B942,куб!S:S))))))</f>
        <v>0</v>
      </c>
      <c r="AH942" s="16" t="str">
        <f t="shared" si="301"/>
        <v>-</v>
      </c>
      <c r="AI942" s="8"/>
      <c r="AJ942" s="27" t="b">
        <f>IF($G942&lt;&gt;0,SUMIF(куб!$G:$G,$G942,куб!T:T),IF($E942&lt;&gt;0,SUMIF(куб!$E:$E,$E942,куб!T:T),IF($D942&lt;&gt;0,SUMIF(куб!$D:$D,$D942,куб!T:T),IF($C942&lt;&gt;0,SUMIF(куб!$C:$C,$C942,куб!T:T),IF($B942&lt;&gt;0,SUMIF(куб!$B:$B,$B942,куб!T:T))))))</f>
        <v>0</v>
      </c>
      <c r="AK942" s="27" t="b">
        <f>IF($G942&lt;&gt;0,SUMIF(куб!$G:$G,$G942,куб!U:U),IF($E942&lt;&gt;0,SUMIF(куб!$E:$E,$E942,куб!U:U),IF($D942&lt;&gt;0,SUMIF(куб!$D:$D,$D942,куб!U:U),IF($C942&lt;&gt;0,SUMIF(куб!$C:$C,$C942,куб!U:U),IF($B942&lt;&gt;0,SUMIF(куб!$B:$B,$B942,куб!U:U))))))</f>
        <v>0</v>
      </c>
      <c r="AL942" s="16" t="str">
        <f t="shared" si="302"/>
        <v>-</v>
      </c>
      <c r="AM942" s="8"/>
      <c r="AN942" s="17" t="str">
        <f t="shared" si="303"/>
        <v xml:space="preserve"> </v>
      </c>
      <c r="AO942" s="17" t="str">
        <f t="shared" si="304"/>
        <v xml:space="preserve"> </v>
      </c>
      <c r="AP942" s="16" t="str">
        <f t="shared" si="305"/>
        <v>-</v>
      </c>
      <c r="AQ942" s="8"/>
      <c r="AR942" s="17" t="str">
        <f t="shared" si="306"/>
        <v>-</v>
      </c>
      <c r="AS942" s="17" t="str">
        <f t="shared" si="307"/>
        <v>-</v>
      </c>
      <c r="AT942" s="13" t="str">
        <f t="shared" si="308"/>
        <v>-</v>
      </c>
      <c r="AU942" s="8"/>
    </row>
    <row r="943" spans="1:47" x14ac:dyDescent="0.25">
      <c r="A943" s="31"/>
      <c r="B943" s="31"/>
      <c r="C943"/>
      <c r="D943" s="31"/>
      <c r="E943"/>
      <c r="F943" s="31"/>
      <c r="G943"/>
      <c r="H943" s="27">
        <f>IF($G943&lt;&gt;0,SUMIF(куб!$G:$G,$G943,куб!H:H),IF($E943&lt;&gt;0,SUMIF(куб!$E:$E,$E943,куб!H:H),IF($D943&lt;&gt;0,SUMIF(куб!$D:$D,$D943,куб!H:H),IF($C943&lt;&gt;0,SUMIF(куб!$C:$C,$C943,куб!H:H),IF($B943&lt;&gt;0,SUMIF(куб!$B:$B,$B943,куб!H:H),IF($G943&lt;&gt;0,SUMIF(куб!$A:$A,$G943,куб!H:H),SUMIF(куб!$A:$A,$G943,куб!H:H)))))))</f>
        <v>0</v>
      </c>
      <c r="I943" s="27">
        <f>IF($G943&lt;&gt;0,SUMIF(куб!$G:$G,$G943,куб!I:I),IF($E943&lt;&gt;0,SUMIF(куб!$E:$E,$E943,куб!I:I),IF($D943&lt;&gt;0,SUMIF(куб!$D:$D,$D943,куб!I:I),IF($C943&lt;&gt;0,SUMIF(куб!$C:$C,$C943,куб!I:I),IF($B943&lt;&gt;0,SUMIF(куб!$B:$B,$B943,куб!I:I),IF($G943&lt;&gt;0,SUMIF(куб!$A:$A,$G943,куб!I:I),SUMIF(куб!$A:$A,$G943,куб!I:I)))))))</f>
        <v>0</v>
      </c>
      <c r="J943" s="19" t="str">
        <f t="shared" si="291"/>
        <v>-</v>
      </c>
      <c r="K943" s="8"/>
      <c r="L943" s="17">
        <f t="shared" si="292"/>
        <v>0</v>
      </c>
      <c r="M943" s="17">
        <f t="shared" si="293"/>
        <v>0</v>
      </c>
      <c r="N943" s="12">
        <f t="shared" si="294"/>
        <v>0</v>
      </c>
      <c r="O943" s="5"/>
      <c r="P943" s="27" t="b">
        <f>IF($G943&lt;&gt;0,SUMIF(куб!$G:$G,$G943,куб!J:J),IF($E943&lt;&gt;0,SUMIF(куб!$E:$E,$E943,куб!J:J),IF($D943&lt;&gt;0,SUMIF(куб!$D:$D,$D943,куб!J:J),IF($C943&lt;&gt;0,SUMIF(куб!$C:$C,$C943,куб!J:J),IF($B943&lt;&gt;0,SUMIF(куб!$B:$B,$B943,куб!J:J))))))</f>
        <v>0</v>
      </c>
      <c r="Q943" s="27" t="b">
        <f>IF($G943&lt;&gt;0,SUMIF(куб!$G:$G,$G943,куб!K:K),IF($E943&lt;&gt;0,SUMIF(куб!$E:$E,$E943,куб!K:K),IF($D943&lt;&gt;0,SUMIF(куб!$D:$D,$D943,куб!K:K),IF($C943&lt;&gt;0,SUMIF(куб!$C:$C,$C943,куб!K:K),IF($B943&lt;&gt;0,SUMIF(куб!$B:$B,$B943,куб!K:K))))))</f>
        <v>0</v>
      </c>
      <c r="R943" s="13" t="str">
        <f t="shared" si="295"/>
        <v>-</v>
      </c>
      <c r="S943" s="5"/>
      <c r="T943" s="27" t="b">
        <f>IF($G943&lt;&gt;0,SUMIF(куб!$G:$G,$G943,куб!L:L),IF($E943&lt;&gt;0,SUMIF(куб!$E:$E,$E943,куб!L:L),IF($D943&lt;&gt;0,SUMIF(куб!$D:$D,$D943,куб!L:L),IF($C943&lt;&gt;0,SUMIF(куб!$C:$C,$C943,куб!L:L),IF($B943&lt;&gt;0,SUMIF(куб!$B:$B,$B943,куб!L:L))))))</f>
        <v>0</v>
      </c>
      <c r="U943" s="27" t="b">
        <f>IF($G943&lt;&gt;0,SUMIF(куб!$G:$G,$G943,куб!M:M),IF($E943&lt;&gt;0,SUMIF(куб!$E:$E,$E943,куб!M:M),IF($D943&lt;&gt;0,SUMIF(куб!$D:$D,$D943,куб!M:M),IF($C943&lt;&gt;0,SUMIF(куб!$C:$C,$C943,куб!M:M),IF($B943&lt;&gt;0,SUMIF(куб!$B:$B,$B943,куб!M:M))))))</f>
        <v>0</v>
      </c>
      <c r="V943" s="13" t="str">
        <f t="shared" si="296"/>
        <v>-</v>
      </c>
      <c r="W943" s="5"/>
      <c r="X943" s="27" t="b">
        <f>IF($G943&lt;&gt;0,SUMIF(куб!$G:$G,$G943,куб!N:N),IF($E943&lt;&gt;0,SUMIF(куб!$E:$E,$E943,куб!N:N),IF($D943&lt;&gt;0,SUMIF(куб!$D:$D,$D943,куб!N:N),IF($C943&lt;&gt;0,SUMIF(куб!$C:$C,$C943,куб!N:N),IF($B943&lt;&gt;0,SUMIF(куб!$B:$B,$B943,куб!N:N))))))</f>
        <v>0</v>
      </c>
      <c r="Y943" s="27" t="b">
        <f>IF($G943&lt;&gt;0,SUMIF(куб!$G:$G,$G943,куб!O:O),IF($E943&lt;&gt;0,SUMIF(куб!$E:$E,$E943,куб!O:O),IF($D943&lt;&gt;0,SUMIF(куб!$D:$D,$D943,куб!O:O),IF($C943&lt;&gt;0,SUMIF(куб!$C:$C,$C943,куб!O:O),IF($B943&lt;&gt;0,SUMIF(куб!$B:$B,$B943,куб!O:O))))))</f>
        <v>0</v>
      </c>
      <c r="Z943" s="13" t="str">
        <f t="shared" si="297"/>
        <v>-</v>
      </c>
      <c r="AA943" s="5"/>
      <c r="AB943" s="33" t="str">
        <f t="shared" si="298"/>
        <v/>
      </c>
      <c r="AC943" s="33" t="str">
        <f t="shared" si="299"/>
        <v/>
      </c>
      <c r="AD943" s="15" t="str">
        <f t="shared" si="300"/>
        <v xml:space="preserve"> </v>
      </c>
      <c r="AE943" s="5"/>
      <c r="AF943" s="27" t="b">
        <f>IF($G943&lt;&gt;0,SUMIF(куб!$G:$G,$G943,куб!R:R),IF($E943&lt;&gt;0,SUMIF(куб!$E:$E,$E943,куб!R:R),IF($D943&lt;&gt;0,SUMIF(куб!$D:$D,$D943,куб!R:R),IF($C943&lt;&gt;0,SUMIF(куб!$C:$C,$C943,куб!R:R),IF($B943&lt;&gt;0,SUMIF(куб!$B:$B,$B943,куб!R:R))))))</f>
        <v>0</v>
      </c>
      <c r="AG943" s="27" t="b">
        <f>IF($G943&lt;&gt;0,SUMIF(куб!$G:$G,$G943,куб!S:S),IF($E943&lt;&gt;0,SUMIF(куб!$E:$E,$E943,куб!S:S),IF($D943&lt;&gt;0,SUMIF(куб!$D:$D,$D943,куб!S:S),IF($C943&lt;&gt;0,SUMIF(куб!$C:$C,$C943,куб!S:S),IF($B943&lt;&gt;0,SUMIF(куб!$B:$B,$B943,куб!S:S))))))</f>
        <v>0</v>
      </c>
      <c r="AH943" s="16" t="str">
        <f t="shared" si="301"/>
        <v>-</v>
      </c>
      <c r="AI943" s="8"/>
      <c r="AJ943" s="27" t="b">
        <f>IF($G943&lt;&gt;0,SUMIF(куб!$G:$G,$G943,куб!T:T),IF($E943&lt;&gt;0,SUMIF(куб!$E:$E,$E943,куб!T:T),IF($D943&lt;&gt;0,SUMIF(куб!$D:$D,$D943,куб!T:T),IF($C943&lt;&gt;0,SUMIF(куб!$C:$C,$C943,куб!T:T),IF($B943&lt;&gt;0,SUMIF(куб!$B:$B,$B943,куб!T:T))))))</f>
        <v>0</v>
      </c>
      <c r="AK943" s="27" t="b">
        <f>IF($G943&lt;&gt;0,SUMIF(куб!$G:$G,$G943,куб!U:U),IF($E943&lt;&gt;0,SUMIF(куб!$E:$E,$E943,куб!U:U),IF($D943&lt;&gt;0,SUMIF(куб!$D:$D,$D943,куб!U:U),IF($C943&lt;&gt;0,SUMIF(куб!$C:$C,$C943,куб!U:U),IF($B943&lt;&gt;0,SUMIF(куб!$B:$B,$B943,куб!U:U))))))</f>
        <v>0</v>
      </c>
      <c r="AL943" s="16" t="str">
        <f t="shared" si="302"/>
        <v>-</v>
      </c>
      <c r="AM943" s="8"/>
      <c r="AN943" s="17" t="str">
        <f t="shared" si="303"/>
        <v xml:space="preserve"> </v>
      </c>
      <c r="AO943" s="17" t="str">
        <f t="shared" si="304"/>
        <v xml:space="preserve"> </v>
      </c>
      <c r="AP943" s="16" t="str">
        <f t="shared" si="305"/>
        <v>-</v>
      </c>
      <c r="AQ943" s="8"/>
      <c r="AR943" s="17" t="str">
        <f t="shared" si="306"/>
        <v>-</v>
      </c>
      <c r="AS943" s="17" t="str">
        <f t="shared" si="307"/>
        <v>-</v>
      </c>
      <c r="AT943" s="13" t="str">
        <f t="shared" si="308"/>
        <v>-</v>
      </c>
      <c r="AU943" s="8"/>
    </row>
    <row r="944" spans="1:47" x14ac:dyDescent="0.25">
      <c r="A944" s="31"/>
      <c r="B944" s="31"/>
      <c r="C944"/>
      <c r="D944" s="31"/>
      <c r="E944"/>
      <c r="F944" s="31"/>
      <c r="G944"/>
      <c r="H944" s="27">
        <f>IF($G944&lt;&gt;0,SUMIF(куб!$G:$G,$G944,куб!H:H),IF($E944&lt;&gt;0,SUMIF(куб!$E:$E,$E944,куб!H:H),IF($D944&lt;&gt;0,SUMIF(куб!$D:$D,$D944,куб!H:H),IF($C944&lt;&gt;0,SUMIF(куб!$C:$C,$C944,куб!H:H),IF($B944&lt;&gt;0,SUMIF(куб!$B:$B,$B944,куб!H:H),IF($G944&lt;&gt;0,SUMIF(куб!$A:$A,$G944,куб!H:H),SUMIF(куб!$A:$A,$G944,куб!H:H)))))))</f>
        <v>0</v>
      </c>
      <c r="I944" s="27">
        <f>IF($G944&lt;&gt;0,SUMIF(куб!$G:$G,$G944,куб!I:I),IF($E944&lt;&gt;0,SUMIF(куб!$E:$E,$E944,куб!I:I),IF($D944&lt;&gt;0,SUMIF(куб!$D:$D,$D944,куб!I:I),IF($C944&lt;&gt;0,SUMIF(куб!$C:$C,$C944,куб!I:I),IF($B944&lt;&gt;0,SUMIF(куб!$B:$B,$B944,куб!I:I),IF($G944&lt;&gt;0,SUMIF(куб!$A:$A,$G944,куб!I:I),SUMIF(куб!$A:$A,$G944,куб!I:I)))))))</f>
        <v>0</v>
      </c>
      <c r="J944" s="19" t="str">
        <f t="shared" si="291"/>
        <v>-</v>
      </c>
      <c r="K944" s="8"/>
      <c r="L944" s="17">
        <f t="shared" si="292"/>
        <v>0</v>
      </c>
      <c r="M944" s="17">
        <f t="shared" si="293"/>
        <v>0</v>
      </c>
      <c r="N944" s="12">
        <f t="shared" si="294"/>
        <v>0</v>
      </c>
      <c r="O944" s="5"/>
      <c r="P944" s="27" t="b">
        <f>IF($G944&lt;&gt;0,SUMIF(куб!$G:$G,$G944,куб!J:J),IF($E944&lt;&gt;0,SUMIF(куб!$E:$E,$E944,куб!J:J),IF($D944&lt;&gt;0,SUMIF(куб!$D:$D,$D944,куб!J:J),IF($C944&lt;&gt;0,SUMIF(куб!$C:$C,$C944,куб!J:J),IF($B944&lt;&gt;0,SUMIF(куб!$B:$B,$B944,куб!J:J))))))</f>
        <v>0</v>
      </c>
      <c r="Q944" s="27" t="b">
        <f>IF($G944&lt;&gt;0,SUMIF(куб!$G:$G,$G944,куб!K:K),IF($E944&lt;&gt;0,SUMIF(куб!$E:$E,$E944,куб!K:K),IF($D944&lt;&gt;0,SUMIF(куб!$D:$D,$D944,куб!K:K),IF($C944&lt;&gt;0,SUMIF(куб!$C:$C,$C944,куб!K:K),IF($B944&lt;&gt;0,SUMIF(куб!$B:$B,$B944,куб!K:K))))))</f>
        <v>0</v>
      </c>
      <c r="R944" s="13" t="str">
        <f t="shared" si="295"/>
        <v>-</v>
      </c>
      <c r="S944" s="5"/>
      <c r="T944" s="27" t="b">
        <f>IF($G944&lt;&gt;0,SUMIF(куб!$G:$G,$G944,куб!L:L),IF($E944&lt;&gt;0,SUMIF(куб!$E:$E,$E944,куб!L:L),IF($D944&lt;&gt;0,SUMIF(куб!$D:$D,$D944,куб!L:L),IF($C944&lt;&gt;0,SUMIF(куб!$C:$C,$C944,куб!L:L),IF($B944&lt;&gt;0,SUMIF(куб!$B:$B,$B944,куб!L:L))))))</f>
        <v>0</v>
      </c>
      <c r="U944" s="27" t="b">
        <f>IF($G944&lt;&gt;0,SUMIF(куб!$G:$G,$G944,куб!M:M),IF($E944&lt;&gt;0,SUMIF(куб!$E:$E,$E944,куб!M:M),IF($D944&lt;&gt;0,SUMIF(куб!$D:$D,$D944,куб!M:M),IF($C944&lt;&gt;0,SUMIF(куб!$C:$C,$C944,куб!M:M),IF($B944&lt;&gt;0,SUMIF(куб!$B:$B,$B944,куб!M:M))))))</f>
        <v>0</v>
      </c>
      <c r="V944" s="13" t="str">
        <f t="shared" si="296"/>
        <v>-</v>
      </c>
      <c r="W944" s="5"/>
      <c r="X944" s="27" t="b">
        <f>IF($G944&lt;&gt;0,SUMIF(куб!$G:$G,$G944,куб!N:N),IF($E944&lt;&gt;0,SUMIF(куб!$E:$E,$E944,куб!N:N),IF($D944&lt;&gt;0,SUMIF(куб!$D:$D,$D944,куб!N:N),IF($C944&lt;&gt;0,SUMIF(куб!$C:$C,$C944,куб!N:N),IF($B944&lt;&gt;0,SUMIF(куб!$B:$B,$B944,куб!N:N))))))</f>
        <v>0</v>
      </c>
      <c r="Y944" s="27" t="b">
        <f>IF($G944&lt;&gt;0,SUMIF(куб!$G:$G,$G944,куб!O:O),IF($E944&lt;&gt;0,SUMIF(куб!$E:$E,$E944,куб!O:O),IF($D944&lt;&gt;0,SUMIF(куб!$D:$D,$D944,куб!O:O),IF($C944&lt;&gt;0,SUMIF(куб!$C:$C,$C944,куб!O:O),IF($B944&lt;&gt;0,SUMIF(куб!$B:$B,$B944,куб!O:O))))))</f>
        <v>0</v>
      </c>
      <c r="Z944" s="13" t="str">
        <f t="shared" si="297"/>
        <v>-</v>
      </c>
      <c r="AA944" s="5"/>
      <c r="AB944" s="33" t="str">
        <f t="shared" si="298"/>
        <v/>
      </c>
      <c r="AC944" s="33" t="str">
        <f t="shared" si="299"/>
        <v/>
      </c>
      <c r="AD944" s="15" t="str">
        <f t="shared" si="300"/>
        <v xml:space="preserve"> </v>
      </c>
      <c r="AE944" s="5"/>
      <c r="AF944" s="27" t="b">
        <f>IF($G944&lt;&gt;0,SUMIF(куб!$G:$G,$G944,куб!R:R),IF($E944&lt;&gt;0,SUMIF(куб!$E:$E,$E944,куб!R:R),IF($D944&lt;&gt;0,SUMIF(куб!$D:$D,$D944,куб!R:R),IF($C944&lt;&gt;0,SUMIF(куб!$C:$C,$C944,куб!R:R),IF($B944&lt;&gt;0,SUMIF(куб!$B:$B,$B944,куб!R:R))))))</f>
        <v>0</v>
      </c>
      <c r="AG944" s="27" t="b">
        <f>IF($G944&lt;&gt;0,SUMIF(куб!$G:$G,$G944,куб!S:S),IF($E944&lt;&gt;0,SUMIF(куб!$E:$E,$E944,куб!S:S),IF($D944&lt;&gt;0,SUMIF(куб!$D:$D,$D944,куб!S:S),IF($C944&lt;&gt;0,SUMIF(куб!$C:$C,$C944,куб!S:S),IF($B944&lt;&gt;0,SUMIF(куб!$B:$B,$B944,куб!S:S))))))</f>
        <v>0</v>
      </c>
      <c r="AH944" s="16" t="str">
        <f t="shared" si="301"/>
        <v>-</v>
      </c>
      <c r="AI944" s="8"/>
      <c r="AJ944" s="27" t="b">
        <f>IF($G944&lt;&gt;0,SUMIF(куб!$G:$G,$G944,куб!T:T),IF($E944&lt;&gt;0,SUMIF(куб!$E:$E,$E944,куб!T:T),IF($D944&lt;&gt;0,SUMIF(куб!$D:$D,$D944,куб!T:T),IF($C944&lt;&gt;0,SUMIF(куб!$C:$C,$C944,куб!T:T),IF($B944&lt;&gt;0,SUMIF(куб!$B:$B,$B944,куб!T:T))))))</f>
        <v>0</v>
      </c>
      <c r="AK944" s="27" t="b">
        <f>IF($G944&lt;&gt;0,SUMIF(куб!$G:$G,$G944,куб!U:U),IF($E944&lt;&gt;0,SUMIF(куб!$E:$E,$E944,куб!U:U),IF($D944&lt;&gt;0,SUMIF(куб!$D:$D,$D944,куб!U:U),IF($C944&lt;&gt;0,SUMIF(куб!$C:$C,$C944,куб!U:U),IF($B944&lt;&gt;0,SUMIF(куб!$B:$B,$B944,куб!U:U))))))</f>
        <v>0</v>
      </c>
      <c r="AL944" s="16" t="str">
        <f t="shared" si="302"/>
        <v>-</v>
      </c>
      <c r="AM944" s="8"/>
      <c r="AN944" s="17" t="str">
        <f t="shared" si="303"/>
        <v xml:space="preserve"> </v>
      </c>
      <c r="AO944" s="17" t="str">
        <f t="shared" si="304"/>
        <v xml:space="preserve"> </v>
      </c>
      <c r="AP944" s="16" t="str">
        <f t="shared" si="305"/>
        <v>-</v>
      </c>
      <c r="AQ944" s="8"/>
      <c r="AR944" s="17" t="str">
        <f t="shared" si="306"/>
        <v>-</v>
      </c>
      <c r="AS944" s="17" t="str">
        <f t="shared" si="307"/>
        <v>-</v>
      </c>
      <c r="AT944" s="13" t="str">
        <f t="shared" si="308"/>
        <v>-</v>
      </c>
      <c r="AU944" s="8"/>
    </row>
    <row r="945" spans="1:47" x14ac:dyDescent="0.25">
      <c r="A945" s="31"/>
      <c r="B945" s="31"/>
      <c r="C945"/>
      <c r="D945" s="31"/>
      <c r="E945"/>
      <c r="F945" s="31"/>
      <c r="G945"/>
      <c r="H945" s="27">
        <f>IF($G945&lt;&gt;0,SUMIF(куб!$G:$G,$G945,куб!H:H),IF($E945&lt;&gt;0,SUMIF(куб!$E:$E,$E945,куб!H:H),IF($D945&lt;&gt;0,SUMIF(куб!$D:$D,$D945,куб!H:H),IF($C945&lt;&gt;0,SUMIF(куб!$C:$C,$C945,куб!H:H),IF($B945&lt;&gt;0,SUMIF(куб!$B:$B,$B945,куб!H:H),IF($G945&lt;&gt;0,SUMIF(куб!$A:$A,$G945,куб!H:H),SUMIF(куб!$A:$A,$G945,куб!H:H)))))))</f>
        <v>0</v>
      </c>
      <c r="I945" s="27">
        <f>IF($G945&lt;&gt;0,SUMIF(куб!$G:$G,$G945,куб!I:I),IF($E945&lt;&gt;0,SUMIF(куб!$E:$E,$E945,куб!I:I),IF($D945&lt;&gt;0,SUMIF(куб!$D:$D,$D945,куб!I:I),IF($C945&lt;&gt;0,SUMIF(куб!$C:$C,$C945,куб!I:I),IF($B945&lt;&gt;0,SUMIF(куб!$B:$B,$B945,куб!I:I),IF($G945&lt;&gt;0,SUMIF(куб!$A:$A,$G945,куб!I:I),SUMIF(куб!$A:$A,$G945,куб!I:I)))))))</f>
        <v>0</v>
      </c>
      <c r="J945" s="19" t="str">
        <f t="shared" si="291"/>
        <v>-</v>
      </c>
      <c r="K945" s="8"/>
      <c r="L945" s="17">
        <f t="shared" si="292"/>
        <v>0</v>
      </c>
      <c r="M945" s="17">
        <f t="shared" si="293"/>
        <v>0</v>
      </c>
      <c r="N945" s="12">
        <f t="shared" si="294"/>
        <v>0</v>
      </c>
      <c r="O945" s="5"/>
      <c r="P945" s="27" t="b">
        <f>IF($G945&lt;&gt;0,SUMIF(куб!$G:$G,$G945,куб!J:J),IF($E945&lt;&gt;0,SUMIF(куб!$E:$E,$E945,куб!J:J),IF($D945&lt;&gt;0,SUMIF(куб!$D:$D,$D945,куб!J:J),IF($C945&lt;&gt;0,SUMIF(куб!$C:$C,$C945,куб!J:J),IF($B945&lt;&gt;0,SUMIF(куб!$B:$B,$B945,куб!J:J))))))</f>
        <v>0</v>
      </c>
      <c r="Q945" s="27" t="b">
        <f>IF($G945&lt;&gt;0,SUMIF(куб!$G:$G,$G945,куб!K:K),IF($E945&lt;&gt;0,SUMIF(куб!$E:$E,$E945,куб!K:K),IF($D945&lt;&gt;0,SUMIF(куб!$D:$D,$D945,куб!K:K),IF($C945&lt;&gt;0,SUMIF(куб!$C:$C,$C945,куб!K:K),IF($B945&lt;&gt;0,SUMIF(куб!$B:$B,$B945,куб!K:K))))))</f>
        <v>0</v>
      </c>
      <c r="R945" s="13" t="str">
        <f t="shared" si="295"/>
        <v>-</v>
      </c>
      <c r="S945" s="5"/>
      <c r="T945" s="27" t="b">
        <f>IF($G945&lt;&gt;0,SUMIF(куб!$G:$G,$G945,куб!L:L),IF($E945&lt;&gt;0,SUMIF(куб!$E:$E,$E945,куб!L:L),IF($D945&lt;&gt;0,SUMIF(куб!$D:$D,$D945,куб!L:L),IF($C945&lt;&gt;0,SUMIF(куб!$C:$C,$C945,куб!L:L),IF($B945&lt;&gt;0,SUMIF(куб!$B:$B,$B945,куб!L:L))))))</f>
        <v>0</v>
      </c>
      <c r="U945" s="27" t="b">
        <f>IF($G945&lt;&gt;0,SUMIF(куб!$G:$G,$G945,куб!M:M),IF($E945&lt;&gt;0,SUMIF(куб!$E:$E,$E945,куб!M:M),IF($D945&lt;&gt;0,SUMIF(куб!$D:$D,$D945,куб!M:M),IF($C945&lt;&gt;0,SUMIF(куб!$C:$C,$C945,куб!M:M),IF($B945&lt;&gt;0,SUMIF(куб!$B:$B,$B945,куб!M:M))))))</f>
        <v>0</v>
      </c>
      <c r="V945" s="13" t="str">
        <f t="shared" si="296"/>
        <v>-</v>
      </c>
      <c r="W945" s="5"/>
      <c r="X945" s="27" t="b">
        <f>IF($G945&lt;&gt;0,SUMIF(куб!$G:$G,$G945,куб!N:N),IF($E945&lt;&gt;0,SUMIF(куб!$E:$E,$E945,куб!N:N),IF($D945&lt;&gt;0,SUMIF(куб!$D:$D,$D945,куб!N:N),IF($C945&lt;&gt;0,SUMIF(куб!$C:$C,$C945,куб!N:N),IF($B945&lt;&gt;0,SUMIF(куб!$B:$B,$B945,куб!N:N))))))</f>
        <v>0</v>
      </c>
      <c r="Y945" s="27" t="b">
        <f>IF($G945&lt;&gt;0,SUMIF(куб!$G:$G,$G945,куб!O:O),IF($E945&lt;&gt;0,SUMIF(куб!$E:$E,$E945,куб!O:O),IF($D945&lt;&gt;0,SUMIF(куб!$D:$D,$D945,куб!O:O),IF($C945&lt;&gt;0,SUMIF(куб!$C:$C,$C945,куб!O:O),IF($B945&lt;&gt;0,SUMIF(куб!$B:$B,$B945,куб!O:O))))))</f>
        <v>0</v>
      </c>
      <c r="Z945" s="13" t="str">
        <f t="shared" si="297"/>
        <v>-</v>
      </c>
      <c r="AA945" s="5"/>
      <c r="AB945" s="33" t="str">
        <f t="shared" si="298"/>
        <v/>
      </c>
      <c r="AC945" s="33" t="str">
        <f t="shared" si="299"/>
        <v/>
      </c>
      <c r="AD945" s="15" t="str">
        <f t="shared" si="300"/>
        <v xml:space="preserve"> </v>
      </c>
      <c r="AE945" s="5"/>
      <c r="AF945" s="27" t="b">
        <f>IF($G945&lt;&gt;0,SUMIF(куб!$G:$G,$G945,куб!R:R),IF($E945&lt;&gt;0,SUMIF(куб!$E:$E,$E945,куб!R:R),IF($D945&lt;&gt;0,SUMIF(куб!$D:$D,$D945,куб!R:R),IF($C945&lt;&gt;0,SUMIF(куб!$C:$C,$C945,куб!R:R),IF($B945&lt;&gt;0,SUMIF(куб!$B:$B,$B945,куб!R:R))))))</f>
        <v>0</v>
      </c>
      <c r="AG945" s="27" t="b">
        <f>IF($G945&lt;&gt;0,SUMIF(куб!$G:$G,$G945,куб!S:S),IF($E945&lt;&gt;0,SUMIF(куб!$E:$E,$E945,куб!S:S),IF($D945&lt;&gt;0,SUMIF(куб!$D:$D,$D945,куб!S:S),IF($C945&lt;&gt;0,SUMIF(куб!$C:$C,$C945,куб!S:S),IF($B945&lt;&gt;0,SUMIF(куб!$B:$B,$B945,куб!S:S))))))</f>
        <v>0</v>
      </c>
      <c r="AH945" s="16" t="str">
        <f t="shared" si="301"/>
        <v>-</v>
      </c>
      <c r="AI945" s="8"/>
      <c r="AJ945" s="27" t="b">
        <f>IF($G945&lt;&gt;0,SUMIF(куб!$G:$G,$G945,куб!T:T),IF($E945&lt;&gt;0,SUMIF(куб!$E:$E,$E945,куб!T:T),IF($D945&lt;&gt;0,SUMIF(куб!$D:$D,$D945,куб!T:T),IF($C945&lt;&gt;0,SUMIF(куб!$C:$C,$C945,куб!T:T),IF($B945&lt;&gt;0,SUMIF(куб!$B:$B,$B945,куб!T:T))))))</f>
        <v>0</v>
      </c>
      <c r="AK945" s="27" t="b">
        <f>IF($G945&lt;&gt;0,SUMIF(куб!$G:$G,$G945,куб!U:U),IF($E945&lt;&gt;0,SUMIF(куб!$E:$E,$E945,куб!U:U),IF($D945&lt;&gt;0,SUMIF(куб!$D:$D,$D945,куб!U:U),IF($C945&lt;&gt;0,SUMIF(куб!$C:$C,$C945,куб!U:U),IF($B945&lt;&gt;0,SUMIF(куб!$B:$B,$B945,куб!U:U))))))</f>
        <v>0</v>
      </c>
      <c r="AL945" s="16" t="str">
        <f t="shared" si="302"/>
        <v>-</v>
      </c>
      <c r="AM945" s="8"/>
      <c r="AN945" s="17" t="str">
        <f t="shared" si="303"/>
        <v xml:space="preserve"> </v>
      </c>
      <c r="AO945" s="17" t="str">
        <f t="shared" si="304"/>
        <v xml:space="preserve"> </v>
      </c>
      <c r="AP945" s="16" t="str">
        <f t="shared" si="305"/>
        <v>-</v>
      </c>
      <c r="AQ945" s="8"/>
      <c r="AR945" s="17" t="str">
        <f t="shared" si="306"/>
        <v>-</v>
      </c>
      <c r="AS945" s="17" t="str">
        <f t="shared" si="307"/>
        <v>-</v>
      </c>
      <c r="AT945" s="13" t="str">
        <f t="shared" si="308"/>
        <v>-</v>
      </c>
      <c r="AU945" s="8"/>
    </row>
    <row r="946" spans="1:47" x14ac:dyDescent="0.25">
      <c r="A946" s="31"/>
      <c r="B946" s="31"/>
      <c r="C946"/>
      <c r="D946" s="31"/>
      <c r="E946"/>
      <c r="F946" s="31"/>
      <c r="G946"/>
      <c r="H946" s="27">
        <f>IF($G946&lt;&gt;0,SUMIF(куб!$G:$G,$G946,куб!H:H),IF($E946&lt;&gt;0,SUMIF(куб!$E:$E,$E946,куб!H:H),IF($D946&lt;&gt;0,SUMIF(куб!$D:$D,$D946,куб!H:H),IF($C946&lt;&gt;0,SUMIF(куб!$C:$C,$C946,куб!H:H),IF($B946&lt;&gt;0,SUMIF(куб!$B:$B,$B946,куб!H:H),IF($G946&lt;&gt;0,SUMIF(куб!$A:$A,$G946,куб!H:H),SUMIF(куб!$A:$A,$G946,куб!H:H)))))))</f>
        <v>0</v>
      </c>
      <c r="I946" s="27">
        <f>IF($G946&lt;&gt;0,SUMIF(куб!$G:$G,$G946,куб!I:I),IF($E946&lt;&gt;0,SUMIF(куб!$E:$E,$E946,куб!I:I),IF($D946&lt;&gt;0,SUMIF(куб!$D:$D,$D946,куб!I:I),IF($C946&lt;&gt;0,SUMIF(куб!$C:$C,$C946,куб!I:I),IF($B946&lt;&gt;0,SUMIF(куб!$B:$B,$B946,куб!I:I),IF($G946&lt;&gt;0,SUMIF(куб!$A:$A,$G946,куб!I:I),SUMIF(куб!$A:$A,$G946,куб!I:I)))))))</f>
        <v>0</v>
      </c>
      <c r="J946" s="19" t="str">
        <f t="shared" si="291"/>
        <v>-</v>
      </c>
      <c r="K946" s="8"/>
      <c r="L946" s="17">
        <f t="shared" si="292"/>
        <v>0</v>
      </c>
      <c r="M946" s="17">
        <f t="shared" si="293"/>
        <v>0</v>
      </c>
      <c r="N946" s="12">
        <f t="shared" si="294"/>
        <v>0</v>
      </c>
      <c r="O946" s="5"/>
      <c r="P946" s="27" t="b">
        <f>IF($G946&lt;&gt;0,SUMIF(куб!$G:$G,$G946,куб!J:J),IF($E946&lt;&gt;0,SUMIF(куб!$E:$E,$E946,куб!J:J),IF($D946&lt;&gt;0,SUMIF(куб!$D:$D,$D946,куб!J:J),IF($C946&lt;&gt;0,SUMIF(куб!$C:$C,$C946,куб!J:J),IF($B946&lt;&gt;0,SUMIF(куб!$B:$B,$B946,куб!J:J))))))</f>
        <v>0</v>
      </c>
      <c r="Q946" s="27" t="b">
        <f>IF($G946&lt;&gt;0,SUMIF(куб!$G:$G,$G946,куб!K:K),IF($E946&lt;&gt;0,SUMIF(куб!$E:$E,$E946,куб!K:K),IF($D946&lt;&gt;0,SUMIF(куб!$D:$D,$D946,куб!K:K),IF($C946&lt;&gt;0,SUMIF(куб!$C:$C,$C946,куб!K:K),IF($B946&lt;&gt;0,SUMIF(куб!$B:$B,$B946,куб!K:K))))))</f>
        <v>0</v>
      </c>
      <c r="R946" s="13" t="str">
        <f t="shared" si="295"/>
        <v>-</v>
      </c>
      <c r="S946" s="5"/>
      <c r="T946" s="27" t="b">
        <f>IF($G946&lt;&gt;0,SUMIF(куб!$G:$G,$G946,куб!L:L),IF($E946&lt;&gt;0,SUMIF(куб!$E:$E,$E946,куб!L:L),IF($D946&lt;&gt;0,SUMIF(куб!$D:$D,$D946,куб!L:L),IF($C946&lt;&gt;0,SUMIF(куб!$C:$C,$C946,куб!L:L),IF($B946&lt;&gt;0,SUMIF(куб!$B:$B,$B946,куб!L:L))))))</f>
        <v>0</v>
      </c>
      <c r="U946" s="27" t="b">
        <f>IF($G946&lt;&gt;0,SUMIF(куб!$G:$G,$G946,куб!M:M),IF($E946&lt;&gt;0,SUMIF(куб!$E:$E,$E946,куб!M:M),IF($D946&lt;&gt;0,SUMIF(куб!$D:$D,$D946,куб!M:M),IF($C946&lt;&gt;0,SUMIF(куб!$C:$C,$C946,куб!M:M),IF($B946&lt;&gt;0,SUMIF(куб!$B:$B,$B946,куб!M:M))))))</f>
        <v>0</v>
      </c>
      <c r="V946" s="13" t="str">
        <f t="shared" si="296"/>
        <v>-</v>
      </c>
      <c r="W946" s="5"/>
      <c r="X946" s="27" t="b">
        <f>IF($G946&lt;&gt;0,SUMIF(куб!$G:$G,$G946,куб!N:N),IF($E946&lt;&gt;0,SUMIF(куб!$E:$E,$E946,куб!N:N),IF($D946&lt;&gt;0,SUMIF(куб!$D:$D,$D946,куб!N:N),IF($C946&lt;&gt;0,SUMIF(куб!$C:$C,$C946,куб!N:N),IF($B946&lt;&gt;0,SUMIF(куб!$B:$B,$B946,куб!N:N))))))</f>
        <v>0</v>
      </c>
      <c r="Y946" s="27" t="b">
        <f>IF($G946&lt;&gt;0,SUMIF(куб!$G:$G,$G946,куб!O:O),IF($E946&lt;&gt;0,SUMIF(куб!$E:$E,$E946,куб!O:O),IF($D946&lt;&gt;0,SUMIF(куб!$D:$D,$D946,куб!O:O),IF($C946&lt;&gt;0,SUMIF(куб!$C:$C,$C946,куб!O:O),IF($B946&lt;&gt;0,SUMIF(куб!$B:$B,$B946,куб!O:O))))))</f>
        <v>0</v>
      </c>
      <c r="Z946" s="13" t="str">
        <f t="shared" si="297"/>
        <v>-</v>
      </c>
      <c r="AA946" s="5"/>
      <c r="AB946" s="33" t="str">
        <f t="shared" si="298"/>
        <v/>
      </c>
      <c r="AC946" s="33" t="str">
        <f t="shared" si="299"/>
        <v/>
      </c>
      <c r="AD946" s="15" t="str">
        <f t="shared" si="300"/>
        <v xml:space="preserve"> </v>
      </c>
      <c r="AE946" s="5"/>
      <c r="AF946" s="27" t="b">
        <f>IF($G946&lt;&gt;0,SUMIF(куб!$G:$G,$G946,куб!R:R),IF($E946&lt;&gt;0,SUMIF(куб!$E:$E,$E946,куб!R:R),IF($D946&lt;&gt;0,SUMIF(куб!$D:$D,$D946,куб!R:R),IF($C946&lt;&gt;0,SUMIF(куб!$C:$C,$C946,куб!R:R),IF($B946&lt;&gt;0,SUMIF(куб!$B:$B,$B946,куб!R:R))))))</f>
        <v>0</v>
      </c>
      <c r="AG946" s="27" t="b">
        <f>IF($G946&lt;&gt;0,SUMIF(куб!$G:$G,$G946,куб!S:S),IF($E946&lt;&gt;0,SUMIF(куб!$E:$E,$E946,куб!S:S),IF($D946&lt;&gt;0,SUMIF(куб!$D:$D,$D946,куб!S:S),IF($C946&lt;&gt;0,SUMIF(куб!$C:$C,$C946,куб!S:S),IF($B946&lt;&gt;0,SUMIF(куб!$B:$B,$B946,куб!S:S))))))</f>
        <v>0</v>
      </c>
      <c r="AH946" s="16" t="str">
        <f t="shared" si="301"/>
        <v>-</v>
      </c>
      <c r="AI946" s="8"/>
      <c r="AJ946" s="27" t="b">
        <f>IF($G946&lt;&gt;0,SUMIF(куб!$G:$G,$G946,куб!T:T),IF($E946&lt;&gt;0,SUMIF(куб!$E:$E,$E946,куб!T:T),IF($D946&lt;&gt;0,SUMIF(куб!$D:$D,$D946,куб!T:T),IF($C946&lt;&gt;0,SUMIF(куб!$C:$C,$C946,куб!T:T),IF($B946&lt;&gt;0,SUMIF(куб!$B:$B,$B946,куб!T:T))))))</f>
        <v>0</v>
      </c>
      <c r="AK946" s="27" t="b">
        <f>IF($G946&lt;&gt;0,SUMIF(куб!$G:$G,$G946,куб!U:U),IF($E946&lt;&gt;0,SUMIF(куб!$E:$E,$E946,куб!U:U),IF($D946&lt;&gt;0,SUMIF(куб!$D:$D,$D946,куб!U:U),IF($C946&lt;&gt;0,SUMIF(куб!$C:$C,$C946,куб!U:U),IF($B946&lt;&gt;0,SUMIF(куб!$B:$B,$B946,куб!U:U))))))</f>
        <v>0</v>
      </c>
      <c r="AL946" s="16" t="str">
        <f t="shared" si="302"/>
        <v>-</v>
      </c>
      <c r="AM946" s="8"/>
      <c r="AN946" s="17" t="str">
        <f t="shared" si="303"/>
        <v xml:space="preserve"> </v>
      </c>
      <c r="AO946" s="17" t="str">
        <f t="shared" si="304"/>
        <v xml:space="preserve"> </v>
      </c>
      <c r="AP946" s="16" t="str">
        <f t="shared" si="305"/>
        <v>-</v>
      </c>
      <c r="AQ946" s="8"/>
      <c r="AR946" s="17" t="str">
        <f t="shared" si="306"/>
        <v>-</v>
      </c>
      <c r="AS946" s="17" t="str">
        <f t="shared" si="307"/>
        <v>-</v>
      </c>
      <c r="AT946" s="13" t="str">
        <f t="shared" si="308"/>
        <v>-</v>
      </c>
      <c r="AU946" s="8"/>
    </row>
    <row r="947" spans="1:47" x14ac:dyDescent="0.25">
      <c r="A947" s="31"/>
      <c r="B947" s="31"/>
      <c r="C947"/>
      <c r="D947" s="31"/>
      <c r="E947"/>
      <c r="F947" s="31"/>
      <c r="G947"/>
      <c r="H947" s="27">
        <f>IF($G947&lt;&gt;0,SUMIF(куб!$G:$G,$G947,куб!H:H),IF($E947&lt;&gt;0,SUMIF(куб!$E:$E,$E947,куб!H:H),IF($D947&lt;&gt;0,SUMIF(куб!$D:$D,$D947,куб!H:H),IF($C947&lt;&gt;0,SUMIF(куб!$C:$C,$C947,куб!H:H),IF($B947&lt;&gt;0,SUMIF(куб!$B:$B,$B947,куб!H:H),IF($G947&lt;&gt;0,SUMIF(куб!$A:$A,$G947,куб!H:H),SUMIF(куб!$A:$A,$G947,куб!H:H)))))))</f>
        <v>0</v>
      </c>
      <c r="I947" s="27">
        <f>IF($G947&lt;&gt;0,SUMIF(куб!$G:$G,$G947,куб!I:I),IF($E947&lt;&gt;0,SUMIF(куб!$E:$E,$E947,куб!I:I),IF($D947&lt;&gt;0,SUMIF(куб!$D:$D,$D947,куб!I:I),IF($C947&lt;&gt;0,SUMIF(куб!$C:$C,$C947,куб!I:I),IF($B947&lt;&gt;0,SUMIF(куб!$B:$B,$B947,куб!I:I),IF($G947&lt;&gt;0,SUMIF(куб!$A:$A,$G947,куб!I:I),SUMIF(куб!$A:$A,$G947,куб!I:I)))))))</f>
        <v>0</v>
      </c>
      <c r="J947" s="19" t="str">
        <f t="shared" si="291"/>
        <v>-</v>
      </c>
      <c r="K947" s="8"/>
      <c r="L947" s="17">
        <f t="shared" si="292"/>
        <v>0</v>
      </c>
      <c r="M947" s="17">
        <f t="shared" si="293"/>
        <v>0</v>
      </c>
      <c r="N947" s="12">
        <f t="shared" si="294"/>
        <v>0</v>
      </c>
      <c r="O947" s="5"/>
      <c r="P947" s="27" t="b">
        <f>IF($G947&lt;&gt;0,SUMIF(куб!$G:$G,$G947,куб!J:J),IF($E947&lt;&gt;0,SUMIF(куб!$E:$E,$E947,куб!J:J),IF($D947&lt;&gt;0,SUMIF(куб!$D:$D,$D947,куб!J:J),IF($C947&lt;&gt;0,SUMIF(куб!$C:$C,$C947,куб!J:J),IF($B947&lt;&gt;0,SUMIF(куб!$B:$B,$B947,куб!J:J))))))</f>
        <v>0</v>
      </c>
      <c r="Q947" s="27" t="b">
        <f>IF($G947&lt;&gt;0,SUMIF(куб!$G:$G,$G947,куб!K:K),IF($E947&lt;&gt;0,SUMIF(куб!$E:$E,$E947,куб!K:K),IF($D947&lt;&gt;0,SUMIF(куб!$D:$D,$D947,куб!K:K),IF($C947&lt;&gt;0,SUMIF(куб!$C:$C,$C947,куб!K:K),IF($B947&lt;&gt;0,SUMIF(куб!$B:$B,$B947,куб!K:K))))))</f>
        <v>0</v>
      </c>
      <c r="R947" s="13" t="str">
        <f t="shared" si="295"/>
        <v>-</v>
      </c>
      <c r="S947" s="5"/>
      <c r="T947" s="27" t="b">
        <f>IF($G947&lt;&gt;0,SUMIF(куб!$G:$G,$G947,куб!L:L),IF($E947&lt;&gt;0,SUMIF(куб!$E:$E,$E947,куб!L:L),IF($D947&lt;&gt;0,SUMIF(куб!$D:$D,$D947,куб!L:L),IF($C947&lt;&gt;0,SUMIF(куб!$C:$C,$C947,куб!L:L),IF($B947&lt;&gt;0,SUMIF(куб!$B:$B,$B947,куб!L:L))))))</f>
        <v>0</v>
      </c>
      <c r="U947" s="27" t="b">
        <f>IF($G947&lt;&gt;0,SUMIF(куб!$G:$G,$G947,куб!M:M),IF($E947&lt;&gt;0,SUMIF(куб!$E:$E,$E947,куб!M:M),IF($D947&lt;&gt;0,SUMIF(куб!$D:$D,$D947,куб!M:M),IF($C947&lt;&gt;0,SUMIF(куб!$C:$C,$C947,куб!M:M),IF($B947&lt;&gt;0,SUMIF(куб!$B:$B,$B947,куб!M:M))))))</f>
        <v>0</v>
      </c>
      <c r="V947" s="13" t="str">
        <f t="shared" si="296"/>
        <v>-</v>
      </c>
      <c r="W947" s="5"/>
      <c r="X947" s="27" t="b">
        <f>IF($G947&lt;&gt;0,SUMIF(куб!$G:$G,$G947,куб!N:N),IF($E947&lt;&gt;0,SUMIF(куб!$E:$E,$E947,куб!N:N),IF($D947&lt;&gt;0,SUMIF(куб!$D:$D,$D947,куб!N:N),IF($C947&lt;&gt;0,SUMIF(куб!$C:$C,$C947,куб!N:N),IF($B947&lt;&gt;0,SUMIF(куб!$B:$B,$B947,куб!N:N))))))</f>
        <v>0</v>
      </c>
      <c r="Y947" s="27" t="b">
        <f>IF($G947&lt;&gt;0,SUMIF(куб!$G:$G,$G947,куб!O:O),IF($E947&lt;&gt;0,SUMIF(куб!$E:$E,$E947,куб!O:O),IF($D947&lt;&gt;0,SUMIF(куб!$D:$D,$D947,куб!O:O),IF($C947&lt;&gt;0,SUMIF(куб!$C:$C,$C947,куб!O:O),IF($B947&lt;&gt;0,SUMIF(куб!$B:$B,$B947,куб!O:O))))))</f>
        <v>0</v>
      </c>
      <c r="Z947" s="13" t="str">
        <f t="shared" si="297"/>
        <v>-</v>
      </c>
      <c r="AA947" s="5"/>
      <c r="AB947" s="33" t="str">
        <f t="shared" si="298"/>
        <v/>
      </c>
      <c r="AC947" s="33" t="str">
        <f t="shared" si="299"/>
        <v/>
      </c>
      <c r="AD947" s="15" t="str">
        <f t="shared" si="300"/>
        <v xml:space="preserve"> </v>
      </c>
      <c r="AE947" s="5"/>
      <c r="AF947" s="27" t="b">
        <f>IF($G947&lt;&gt;0,SUMIF(куб!$G:$G,$G947,куб!R:R),IF($E947&lt;&gt;0,SUMIF(куб!$E:$E,$E947,куб!R:R),IF($D947&lt;&gt;0,SUMIF(куб!$D:$D,$D947,куб!R:R),IF($C947&lt;&gt;0,SUMIF(куб!$C:$C,$C947,куб!R:R),IF($B947&lt;&gt;0,SUMIF(куб!$B:$B,$B947,куб!R:R))))))</f>
        <v>0</v>
      </c>
      <c r="AG947" s="27" t="b">
        <f>IF($G947&lt;&gt;0,SUMIF(куб!$G:$G,$G947,куб!S:S),IF($E947&lt;&gt;0,SUMIF(куб!$E:$E,$E947,куб!S:S),IF($D947&lt;&gt;0,SUMIF(куб!$D:$D,$D947,куб!S:S),IF($C947&lt;&gt;0,SUMIF(куб!$C:$C,$C947,куб!S:S),IF($B947&lt;&gt;0,SUMIF(куб!$B:$B,$B947,куб!S:S))))))</f>
        <v>0</v>
      </c>
      <c r="AH947" s="16" t="str">
        <f t="shared" si="301"/>
        <v>-</v>
      </c>
      <c r="AI947" s="8"/>
      <c r="AJ947" s="27" t="b">
        <f>IF($G947&lt;&gt;0,SUMIF(куб!$G:$G,$G947,куб!T:T),IF($E947&lt;&gt;0,SUMIF(куб!$E:$E,$E947,куб!T:T),IF($D947&lt;&gt;0,SUMIF(куб!$D:$D,$D947,куб!T:T),IF($C947&lt;&gt;0,SUMIF(куб!$C:$C,$C947,куб!T:T),IF($B947&lt;&gt;0,SUMIF(куб!$B:$B,$B947,куб!T:T))))))</f>
        <v>0</v>
      </c>
      <c r="AK947" s="27" t="b">
        <f>IF($G947&lt;&gt;0,SUMIF(куб!$G:$G,$G947,куб!U:U),IF($E947&lt;&gt;0,SUMIF(куб!$E:$E,$E947,куб!U:U),IF($D947&lt;&gt;0,SUMIF(куб!$D:$D,$D947,куб!U:U),IF($C947&lt;&gt;0,SUMIF(куб!$C:$C,$C947,куб!U:U),IF($B947&lt;&gt;0,SUMIF(куб!$B:$B,$B947,куб!U:U))))))</f>
        <v>0</v>
      </c>
      <c r="AL947" s="16" t="str">
        <f t="shared" si="302"/>
        <v>-</v>
      </c>
      <c r="AM947" s="8"/>
      <c r="AN947" s="17" t="str">
        <f t="shared" si="303"/>
        <v xml:space="preserve"> </v>
      </c>
      <c r="AO947" s="17" t="str">
        <f t="shared" si="304"/>
        <v xml:space="preserve"> </v>
      </c>
      <c r="AP947" s="16" t="str">
        <f t="shared" si="305"/>
        <v>-</v>
      </c>
      <c r="AQ947" s="8"/>
      <c r="AR947" s="17" t="str">
        <f t="shared" si="306"/>
        <v>-</v>
      </c>
      <c r="AS947" s="17" t="str">
        <f t="shared" si="307"/>
        <v>-</v>
      </c>
      <c r="AT947" s="13" t="str">
        <f t="shared" si="308"/>
        <v>-</v>
      </c>
      <c r="AU947" s="8"/>
    </row>
    <row r="948" spans="1:47" x14ac:dyDescent="0.25">
      <c r="A948" s="31"/>
      <c r="B948" s="31"/>
      <c r="C948"/>
      <c r="D948" s="31"/>
      <c r="E948"/>
      <c r="F948" s="31"/>
      <c r="G948"/>
      <c r="H948" s="27">
        <f>IF($G948&lt;&gt;0,SUMIF(куб!$G:$G,$G948,куб!H:H),IF($E948&lt;&gt;0,SUMIF(куб!$E:$E,$E948,куб!H:H),IF($D948&lt;&gt;0,SUMIF(куб!$D:$D,$D948,куб!H:H),IF($C948&lt;&gt;0,SUMIF(куб!$C:$C,$C948,куб!H:H),IF($B948&lt;&gt;0,SUMIF(куб!$B:$B,$B948,куб!H:H),IF($G948&lt;&gt;0,SUMIF(куб!$A:$A,$G948,куб!H:H),SUMIF(куб!$A:$A,$G948,куб!H:H)))))))</f>
        <v>0</v>
      </c>
      <c r="I948" s="27">
        <f>IF($G948&lt;&gt;0,SUMIF(куб!$G:$G,$G948,куб!I:I),IF($E948&lt;&gt;0,SUMIF(куб!$E:$E,$E948,куб!I:I),IF($D948&lt;&gt;0,SUMIF(куб!$D:$D,$D948,куб!I:I),IF($C948&lt;&gt;0,SUMIF(куб!$C:$C,$C948,куб!I:I),IF($B948&lt;&gt;0,SUMIF(куб!$B:$B,$B948,куб!I:I),IF($G948&lt;&gt;0,SUMIF(куб!$A:$A,$G948,куб!I:I),SUMIF(куб!$A:$A,$G948,куб!I:I)))))))</f>
        <v>0</v>
      </c>
      <c r="J948" s="19" t="str">
        <f t="shared" si="291"/>
        <v>-</v>
      </c>
      <c r="K948" s="8"/>
      <c r="L948" s="17">
        <f t="shared" si="292"/>
        <v>0</v>
      </c>
      <c r="M948" s="17">
        <f t="shared" si="293"/>
        <v>0</v>
      </c>
      <c r="N948" s="12">
        <f t="shared" si="294"/>
        <v>0</v>
      </c>
      <c r="O948" s="5"/>
      <c r="P948" s="27" t="b">
        <f>IF($G948&lt;&gt;0,SUMIF(куб!$G:$G,$G948,куб!J:J),IF($E948&lt;&gt;0,SUMIF(куб!$E:$E,$E948,куб!J:J),IF($D948&lt;&gt;0,SUMIF(куб!$D:$D,$D948,куб!J:J),IF($C948&lt;&gt;0,SUMIF(куб!$C:$C,$C948,куб!J:J),IF($B948&lt;&gt;0,SUMIF(куб!$B:$B,$B948,куб!J:J))))))</f>
        <v>0</v>
      </c>
      <c r="Q948" s="27" t="b">
        <f>IF($G948&lt;&gt;0,SUMIF(куб!$G:$G,$G948,куб!K:K),IF($E948&lt;&gt;0,SUMIF(куб!$E:$E,$E948,куб!K:K),IF($D948&lt;&gt;0,SUMIF(куб!$D:$D,$D948,куб!K:K),IF($C948&lt;&gt;0,SUMIF(куб!$C:$C,$C948,куб!K:K),IF($B948&lt;&gt;0,SUMIF(куб!$B:$B,$B948,куб!K:K))))))</f>
        <v>0</v>
      </c>
      <c r="R948" s="13" t="str">
        <f t="shared" si="295"/>
        <v>-</v>
      </c>
      <c r="S948" s="5"/>
      <c r="T948" s="27" t="b">
        <f>IF($G948&lt;&gt;0,SUMIF(куб!$G:$G,$G948,куб!L:L),IF($E948&lt;&gt;0,SUMIF(куб!$E:$E,$E948,куб!L:L),IF($D948&lt;&gt;0,SUMIF(куб!$D:$D,$D948,куб!L:L),IF($C948&lt;&gt;0,SUMIF(куб!$C:$C,$C948,куб!L:L),IF($B948&lt;&gt;0,SUMIF(куб!$B:$B,$B948,куб!L:L))))))</f>
        <v>0</v>
      </c>
      <c r="U948" s="27" t="b">
        <f>IF($G948&lt;&gt;0,SUMIF(куб!$G:$G,$G948,куб!M:M),IF($E948&lt;&gt;0,SUMIF(куб!$E:$E,$E948,куб!M:M),IF($D948&lt;&gt;0,SUMIF(куб!$D:$D,$D948,куб!M:M),IF($C948&lt;&gt;0,SUMIF(куб!$C:$C,$C948,куб!M:M),IF($B948&lt;&gt;0,SUMIF(куб!$B:$B,$B948,куб!M:M))))))</f>
        <v>0</v>
      </c>
      <c r="V948" s="13" t="str">
        <f t="shared" si="296"/>
        <v>-</v>
      </c>
      <c r="W948" s="5"/>
      <c r="X948" s="27" t="b">
        <f>IF($G948&lt;&gt;0,SUMIF(куб!$G:$G,$G948,куб!N:N),IF($E948&lt;&gt;0,SUMIF(куб!$E:$E,$E948,куб!N:N),IF($D948&lt;&gt;0,SUMIF(куб!$D:$D,$D948,куб!N:N),IF($C948&lt;&gt;0,SUMIF(куб!$C:$C,$C948,куб!N:N),IF($B948&lt;&gt;0,SUMIF(куб!$B:$B,$B948,куб!N:N))))))</f>
        <v>0</v>
      </c>
      <c r="Y948" s="27" t="b">
        <f>IF($G948&lt;&gt;0,SUMIF(куб!$G:$G,$G948,куб!O:O),IF($E948&lt;&gt;0,SUMIF(куб!$E:$E,$E948,куб!O:O),IF($D948&lt;&gt;0,SUMIF(куб!$D:$D,$D948,куб!O:O),IF($C948&lt;&gt;0,SUMIF(куб!$C:$C,$C948,куб!O:O),IF($B948&lt;&gt;0,SUMIF(куб!$B:$B,$B948,куб!O:O))))))</f>
        <v>0</v>
      </c>
      <c r="Z948" s="13" t="str">
        <f t="shared" si="297"/>
        <v>-</v>
      </c>
      <c r="AA948" s="5"/>
      <c r="AB948" s="33" t="str">
        <f t="shared" si="298"/>
        <v/>
      </c>
      <c r="AC948" s="33" t="str">
        <f t="shared" si="299"/>
        <v/>
      </c>
      <c r="AD948" s="15" t="str">
        <f t="shared" si="300"/>
        <v xml:space="preserve"> </v>
      </c>
      <c r="AE948" s="5"/>
      <c r="AF948" s="27" t="b">
        <f>IF($G948&lt;&gt;0,SUMIF(куб!$G:$G,$G948,куб!R:R),IF($E948&lt;&gt;0,SUMIF(куб!$E:$E,$E948,куб!R:R),IF($D948&lt;&gt;0,SUMIF(куб!$D:$D,$D948,куб!R:R),IF($C948&lt;&gt;0,SUMIF(куб!$C:$C,$C948,куб!R:R),IF($B948&lt;&gt;0,SUMIF(куб!$B:$B,$B948,куб!R:R))))))</f>
        <v>0</v>
      </c>
      <c r="AG948" s="27" t="b">
        <f>IF($G948&lt;&gt;0,SUMIF(куб!$G:$G,$G948,куб!S:S),IF($E948&lt;&gt;0,SUMIF(куб!$E:$E,$E948,куб!S:S),IF($D948&lt;&gt;0,SUMIF(куб!$D:$D,$D948,куб!S:S),IF($C948&lt;&gt;0,SUMIF(куб!$C:$C,$C948,куб!S:S),IF($B948&lt;&gt;0,SUMIF(куб!$B:$B,$B948,куб!S:S))))))</f>
        <v>0</v>
      </c>
      <c r="AH948" s="16" t="str">
        <f t="shared" si="301"/>
        <v>-</v>
      </c>
      <c r="AI948" s="8"/>
      <c r="AJ948" s="27" t="b">
        <f>IF($G948&lt;&gt;0,SUMIF(куб!$G:$G,$G948,куб!T:T),IF($E948&lt;&gt;0,SUMIF(куб!$E:$E,$E948,куб!T:T),IF($D948&lt;&gt;0,SUMIF(куб!$D:$D,$D948,куб!T:T),IF($C948&lt;&gt;0,SUMIF(куб!$C:$C,$C948,куб!T:T),IF($B948&lt;&gt;0,SUMIF(куб!$B:$B,$B948,куб!T:T))))))</f>
        <v>0</v>
      </c>
      <c r="AK948" s="27" t="b">
        <f>IF($G948&lt;&gt;0,SUMIF(куб!$G:$G,$G948,куб!U:U),IF($E948&lt;&gt;0,SUMIF(куб!$E:$E,$E948,куб!U:U),IF($D948&lt;&gt;0,SUMIF(куб!$D:$D,$D948,куб!U:U),IF($C948&lt;&gt;0,SUMIF(куб!$C:$C,$C948,куб!U:U),IF($B948&lt;&gt;0,SUMIF(куб!$B:$B,$B948,куб!U:U))))))</f>
        <v>0</v>
      </c>
      <c r="AL948" s="16" t="str">
        <f t="shared" si="302"/>
        <v>-</v>
      </c>
      <c r="AM948" s="8"/>
      <c r="AN948" s="17" t="str">
        <f t="shared" si="303"/>
        <v xml:space="preserve"> </v>
      </c>
      <c r="AO948" s="17" t="str">
        <f t="shared" si="304"/>
        <v xml:space="preserve"> </v>
      </c>
      <c r="AP948" s="16" t="str">
        <f t="shared" si="305"/>
        <v>-</v>
      </c>
      <c r="AQ948" s="8"/>
      <c r="AR948" s="17" t="str">
        <f t="shared" si="306"/>
        <v>-</v>
      </c>
      <c r="AS948" s="17" t="str">
        <f t="shared" si="307"/>
        <v>-</v>
      </c>
      <c r="AT948" s="13" t="str">
        <f t="shared" si="308"/>
        <v>-</v>
      </c>
      <c r="AU948" s="8"/>
    </row>
    <row r="949" spans="1:47" x14ac:dyDescent="0.25">
      <c r="A949" s="31"/>
      <c r="B949" s="31"/>
      <c r="C949"/>
      <c r="D949" s="31"/>
      <c r="E949"/>
      <c r="F949" s="31"/>
      <c r="G949"/>
      <c r="H949" s="27">
        <f>IF($G949&lt;&gt;0,SUMIF(куб!$G:$G,$G949,куб!H:H),IF($E949&lt;&gt;0,SUMIF(куб!$E:$E,$E949,куб!H:H),IF($D949&lt;&gt;0,SUMIF(куб!$D:$D,$D949,куб!H:H),IF($C949&lt;&gt;0,SUMIF(куб!$C:$C,$C949,куб!H:H),IF($B949&lt;&gt;0,SUMIF(куб!$B:$B,$B949,куб!H:H),IF($G949&lt;&gt;0,SUMIF(куб!$A:$A,$G949,куб!H:H),SUMIF(куб!$A:$A,$G949,куб!H:H)))))))</f>
        <v>0</v>
      </c>
      <c r="I949" s="27">
        <f>IF($G949&lt;&gt;0,SUMIF(куб!$G:$G,$G949,куб!I:I),IF($E949&lt;&gt;0,SUMIF(куб!$E:$E,$E949,куб!I:I),IF($D949&lt;&gt;0,SUMIF(куб!$D:$D,$D949,куб!I:I),IF($C949&lt;&gt;0,SUMIF(куб!$C:$C,$C949,куб!I:I),IF($B949&lt;&gt;0,SUMIF(куб!$B:$B,$B949,куб!I:I),IF($G949&lt;&gt;0,SUMIF(куб!$A:$A,$G949,куб!I:I),SUMIF(куб!$A:$A,$G949,куб!I:I)))))))</f>
        <v>0</v>
      </c>
      <c r="J949" s="19" t="str">
        <f t="shared" si="291"/>
        <v>-</v>
      </c>
      <c r="K949" s="8"/>
      <c r="L949" s="17">
        <f t="shared" si="292"/>
        <v>0</v>
      </c>
      <c r="M949" s="17">
        <f t="shared" si="293"/>
        <v>0</v>
      </c>
      <c r="N949" s="12">
        <f t="shared" si="294"/>
        <v>0</v>
      </c>
      <c r="O949" s="5"/>
      <c r="P949" s="27" t="b">
        <f>IF($G949&lt;&gt;0,SUMIF(куб!$G:$G,$G949,куб!J:J),IF($E949&lt;&gt;0,SUMIF(куб!$E:$E,$E949,куб!J:J),IF($D949&lt;&gt;0,SUMIF(куб!$D:$D,$D949,куб!J:J),IF($C949&lt;&gt;0,SUMIF(куб!$C:$C,$C949,куб!J:J),IF($B949&lt;&gt;0,SUMIF(куб!$B:$B,$B949,куб!J:J))))))</f>
        <v>0</v>
      </c>
      <c r="Q949" s="27" t="b">
        <f>IF($G949&lt;&gt;0,SUMIF(куб!$G:$G,$G949,куб!K:K),IF($E949&lt;&gt;0,SUMIF(куб!$E:$E,$E949,куб!K:K),IF($D949&lt;&gt;0,SUMIF(куб!$D:$D,$D949,куб!K:K),IF($C949&lt;&gt;0,SUMIF(куб!$C:$C,$C949,куб!K:K),IF($B949&lt;&gt;0,SUMIF(куб!$B:$B,$B949,куб!K:K))))))</f>
        <v>0</v>
      </c>
      <c r="R949" s="13" t="str">
        <f t="shared" si="295"/>
        <v>-</v>
      </c>
      <c r="S949" s="5"/>
      <c r="T949" s="27" t="b">
        <f>IF($G949&lt;&gt;0,SUMIF(куб!$G:$G,$G949,куб!L:L),IF($E949&lt;&gt;0,SUMIF(куб!$E:$E,$E949,куб!L:L),IF($D949&lt;&gt;0,SUMIF(куб!$D:$D,$D949,куб!L:L),IF($C949&lt;&gt;0,SUMIF(куб!$C:$C,$C949,куб!L:L),IF($B949&lt;&gt;0,SUMIF(куб!$B:$B,$B949,куб!L:L))))))</f>
        <v>0</v>
      </c>
      <c r="U949" s="27" t="b">
        <f>IF($G949&lt;&gt;0,SUMIF(куб!$G:$G,$G949,куб!M:M),IF($E949&lt;&gt;0,SUMIF(куб!$E:$E,$E949,куб!M:M),IF($D949&lt;&gt;0,SUMIF(куб!$D:$D,$D949,куб!M:M),IF($C949&lt;&gt;0,SUMIF(куб!$C:$C,$C949,куб!M:M),IF($B949&lt;&gt;0,SUMIF(куб!$B:$B,$B949,куб!M:M))))))</f>
        <v>0</v>
      </c>
      <c r="V949" s="13" t="str">
        <f t="shared" si="296"/>
        <v>-</v>
      </c>
      <c r="W949" s="5"/>
      <c r="X949" s="27" t="b">
        <f>IF($G949&lt;&gt;0,SUMIF(куб!$G:$G,$G949,куб!N:N),IF($E949&lt;&gt;0,SUMIF(куб!$E:$E,$E949,куб!N:N),IF($D949&lt;&gt;0,SUMIF(куб!$D:$D,$D949,куб!N:N),IF($C949&lt;&gt;0,SUMIF(куб!$C:$C,$C949,куб!N:N),IF($B949&lt;&gt;0,SUMIF(куб!$B:$B,$B949,куб!N:N))))))</f>
        <v>0</v>
      </c>
      <c r="Y949" s="27" t="b">
        <f>IF($G949&lt;&gt;0,SUMIF(куб!$G:$G,$G949,куб!O:O),IF($E949&lt;&gt;0,SUMIF(куб!$E:$E,$E949,куб!O:O),IF($D949&lt;&gt;0,SUMIF(куб!$D:$D,$D949,куб!O:O),IF($C949&lt;&gt;0,SUMIF(куб!$C:$C,$C949,куб!O:O),IF($B949&lt;&gt;0,SUMIF(куб!$B:$B,$B949,куб!O:O))))))</f>
        <v>0</v>
      </c>
      <c r="Z949" s="13" t="str">
        <f t="shared" si="297"/>
        <v>-</v>
      </c>
      <c r="AA949" s="5"/>
      <c r="AB949" s="33" t="str">
        <f t="shared" si="298"/>
        <v/>
      </c>
      <c r="AC949" s="33" t="str">
        <f t="shared" si="299"/>
        <v/>
      </c>
      <c r="AD949" s="15" t="str">
        <f t="shared" si="300"/>
        <v xml:space="preserve"> </v>
      </c>
      <c r="AE949" s="5"/>
      <c r="AF949" s="27" t="b">
        <f>IF($G949&lt;&gt;0,SUMIF(куб!$G:$G,$G949,куб!R:R),IF($E949&lt;&gt;0,SUMIF(куб!$E:$E,$E949,куб!R:R),IF($D949&lt;&gt;0,SUMIF(куб!$D:$D,$D949,куб!R:R),IF($C949&lt;&gt;0,SUMIF(куб!$C:$C,$C949,куб!R:R),IF($B949&lt;&gt;0,SUMIF(куб!$B:$B,$B949,куб!R:R))))))</f>
        <v>0</v>
      </c>
      <c r="AG949" s="27" t="b">
        <f>IF($G949&lt;&gt;0,SUMIF(куб!$G:$G,$G949,куб!S:S),IF($E949&lt;&gt;0,SUMIF(куб!$E:$E,$E949,куб!S:S),IF($D949&lt;&gt;0,SUMIF(куб!$D:$D,$D949,куб!S:S),IF($C949&lt;&gt;0,SUMIF(куб!$C:$C,$C949,куб!S:S),IF($B949&lt;&gt;0,SUMIF(куб!$B:$B,$B949,куб!S:S))))))</f>
        <v>0</v>
      </c>
      <c r="AH949" s="16" t="str">
        <f t="shared" si="301"/>
        <v>-</v>
      </c>
      <c r="AI949" s="8"/>
      <c r="AJ949" s="27" t="b">
        <f>IF($G949&lt;&gt;0,SUMIF(куб!$G:$G,$G949,куб!T:T),IF($E949&lt;&gt;0,SUMIF(куб!$E:$E,$E949,куб!T:T),IF($D949&lt;&gt;0,SUMIF(куб!$D:$D,$D949,куб!T:T),IF($C949&lt;&gt;0,SUMIF(куб!$C:$C,$C949,куб!T:T),IF($B949&lt;&gt;0,SUMIF(куб!$B:$B,$B949,куб!T:T))))))</f>
        <v>0</v>
      </c>
      <c r="AK949" s="27" t="b">
        <f>IF($G949&lt;&gt;0,SUMIF(куб!$G:$G,$G949,куб!U:U),IF($E949&lt;&gt;0,SUMIF(куб!$E:$E,$E949,куб!U:U),IF($D949&lt;&gt;0,SUMIF(куб!$D:$D,$D949,куб!U:U),IF($C949&lt;&gt;0,SUMIF(куб!$C:$C,$C949,куб!U:U),IF($B949&lt;&gt;0,SUMIF(куб!$B:$B,$B949,куб!U:U))))))</f>
        <v>0</v>
      </c>
      <c r="AL949" s="16" t="str">
        <f t="shared" si="302"/>
        <v>-</v>
      </c>
      <c r="AM949" s="8"/>
      <c r="AN949" s="17" t="str">
        <f t="shared" si="303"/>
        <v xml:space="preserve"> </v>
      </c>
      <c r="AO949" s="17" t="str">
        <f t="shared" si="304"/>
        <v xml:space="preserve"> </v>
      </c>
      <c r="AP949" s="16" t="str">
        <f t="shared" si="305"/>
        <v>-</v>
      </c>
      <c r="AQ949" s="8"/>
      <c r="AR949" s="17" t="str">
        <f t="shared" si="306"/>
        <v>-</v>
      </c>
      <c r="AS949" s="17" t="str">
        <f t="shared" si="307"/>
        <v>-</v>
      </c>
      <c r="AT949" s="13" t="str">
        <f t="shared" si="308"/>
        <v>-</v>
      </c>
      <c r="AU949" s="8"/>
    </row>
    <row r="950" spans="1:47" x14ac:dyDescent="0.25">
      <c r="A950" s="31"/>
      <c r="B950" s="31"/>
      <c r="C950"/>
      <c r="D950" s="31"/>
      <c r="E950"/>
      <c r="F950" s="31"/>
      <c r="G950"/>
      <c r="H950" s="27">
        <f>IF($G950&lt;&gt;0,SUMIF(куб!$G:$G,$G950,куб!H:H),IF($E950&lt;&gt;0,SUMIF(куб!$E:$E,$E950,куб!H:H),IF($D950&lt;&gt;0,SUMIF(куб!$D:$D,$D950,куб!H:H),IF($C950&lt;&gt;0,SUMIF(куб!$C:$C,$C950,куб!H:H),IF($B950&lt;&gt;0,SUMIF(куб!$B:$B,$B950,куб!H:H),IF($G950&lt;&gt;0,SUMIF(куб!$A:$A,$G950,куб!H:H),SUMIF(куб!$A:$A,$G950,куб!H:H)))))))</f>
        <v>0</v>
      </c>
      <c r="I950" s="27">
        <f>IF($G950&lt;&gt;0,SUMIF(куб!$G:$G,$G950,куб!I:I),IF($E950&lt;&gt;0,SUMIF(куб!$E:$E,$E950,куб!I:I),IF($D950&lt;&gt;0,SUMIF(куб!$D:$D,$D950,куб!I:I),IF($C950&lt;&gt;0,SUMIF(куб!$C:$C,$C950,куб!I:I),IF($B950&lt;&gt;0,SUMIF(куб!$B:$B,$B950,куб!I:I),IF($G950&lt;&gt;0,SUMIF(куб!$A:$A,$G950,куб!I:I),SUMIF(куб!$A:$A,$G950,куб!I:I)))))))</f>
        <v>0</v>
      </c>
      <c r="J950" s="19" t="str">
        <f t="shared" si="291"/>
        <v>-</v>
      </c>
      <c r="K950" s="8"/>
      <c r="L950" s="17">
        <f t="shared" si="292"/>
        <v>0</v>
      </c>
      <c r="M950" s="17">
        <f t="shared" si="293"/>
        <v>0</v>
      </c>
      <c r="N950" s="12">
        <f t="shared" si="294"/>
        <v>0</v>
      </c>
      <c r="O950" s="5"/>
      <c r="P950" s="27" t="b">
        <f>IF($G950&lt;&gt;0,SUMIF(куб!$G:$G,$G950,куб!J:J),IF($E950&lt;&gt;0,SUMIF(куб!$E:$E,$E950,куб!J:J),IF($D950&lt;&gt;0,SUMIF(куб!$D:$D,$D950,куб!J:J),IF($C950&lt;&gt;0,SUMIF(куб!$C:$C,$C950,куб!J:J),IF($B950&lt;&gt;0,SUMIF(куб!$B:$B,$B950,куб!J:J))))))</f>
        <v>0</v>
      </c>
      <c r="Q950" s="27" t="b">
        <f>IF($G950&lt;&gt;0,SUMIF(куб!$G:$G,$G950,куб!K:K),IF($E950&lt;&gt;0,SUMIF(куб!$E:$E,$E950,куб!K:K),IF($D950&lt;&gt;0,SUMIF(куб!$D:$D,$D950,куб!K:K),IF($C950&lt;&gt;0,SUMIF(куб!$C:$C,$C950,куб!K:K),IF($B950&lt;&gt;0,SUMIF(куб!$B:$B,$B950,куб!K:K))))))</f>
        <v>0</v>
      </c>
      <c r="R950" s="13" t="str">
        <f t="shared" si="295"/>
        <v>-</v>
      </c>
      <c r="S950" s="5"/>
      <c r="T950" s="27" t="b">
        <f>IF($G950&lt;&gt;0,SUMIF(куб!$G:$G,$G950,куб!L:L),IF($E950&lt;&gt;0,SUMIF(куб!$E:$E,$E950,куб!L:L),IF($D950&lt;&gt;0,SUMIF(куб!$D:$D,$D950,куб!L:L),IF($C950&lt;&gt;0,SUMIF(куб!$C:$C,$C950,куб!L:L),IF($B950&lt;&gt;0,SUMIF(куб!$B:$B,$B950,куб!L:L))))))</f>
        <v>0</v>
      </c>
      <c r="U950" s="27" t="b">
        <f>IF($G950&lt;&gt;0,SUMIF(куб!$G:$G,$G950,куб!M:M),IF($E950&lt;&gt;0,SUMIF(куб!$E:$E,$E950,куб!M:M),IF($D950&lt;&gt;0,SUMIF(куб!$D:$D,$D950,куб!M:M),IF($C950&lt;&gt;0,SUMIF(куб!$C:$C,$C950,куб!M:M),IF($B950&lt;&gt;0,SUMIF(куб!$B:$B,$B950,куб!M:M))))))</f>
        <v>0</v>
      </c>
      <c r="V950" s="13" t="str">
        <f t="shared" si="296"/>
        <v>-</v>
      </c>
      <c r="W950" s="5"/>
      <c r="X950" s="27" t="b">
        <f>IF($G950&lt;&gt;0,SUMIF(куб!$G:$G,$G950,куб!N:N),IF($E950&lt;&gt;0,SUMIF(куб!$E:$E,$E950,куб!N:N),IF($D950&lt;&gt;0,SUMIF(куб!$D:$D,$D950,куб!N:N),IF($C950&lt;&gt;0,SUMIF(куб!$C:$C,$C950,куб!N:N),IF($B950&lt;&gt;0,SUMIF(куб!$B:$B,$B950,куб!N:N))))))</f>
        <v>0</v>
      </c>
      <c r="Y950" s="27" t="b">
        <f>IF($G950&lt;&gt;0,SUMIF(куб!$G:$G,$G950,куб!O:O),IF($E950&lt;&gt;0,SUMIF(куб!$E:$E,$E950,куб!O:O),IF($D950&lt;&gt;0,SUMIF(куб!$D:$D,$D950,куб!O:O),IF($C950&lt;&gt;0,SUMIF(куб!$C:$C,$C950,куб!O:O),IF($B950&lt;&gt;0,SUMIF(куб!$B:$B,$B950,куб!O:O))))))</f>
        <v>0</v>
      </c>
      <c r="Z950" s="13" t="str">
        <f t="shared" si="297"/>
        <v>-</v>
      </c>
      <c r="AA950" s="5"/>
      <c r="AB950" s="33" t="str">
        <f t="shared" si="298"/>
        <v/>
      </c>
      <c r="AC950" s="33" t="str">
        <f t="shared" si="299"/>
        <v/>
      </c>
      <c r="AD950" s="15" t="str">
        <f t="shared" si="300"/>
        <v xml:space="preserve"> </v>
      </c>
      <c r="AE950" s="5"/>
      <c r="AF950" s="27" t="b">
        <f>IF($G950&lt;&gt;0,SUMIF(куб!$G:$G,$G950,куб!R:R),IF($E950&lt;&gt;0,SUMIF(куб!$E:$E,$E950,куб!R:R),IF($D950&lt;&gt;0,SUMIF(куб!$D:$D,$D950,куб!R:R),IF($C950&lt;&gt;0,SUMIF(куб!$C:$C,$C950,куб!R:R),IF($B950&lt;&gt;0,SUMIF(куб!$B:$B,$B950,куб!R:R))))))</f>
        <v>0</v>
      </c>
      <c r="AG950" s="27" t="b">
        <f>IF($G950&lt;&gt;0,SUMIF(куб!$G:$G,$G950,куб!S:S),IF($E950&lt;&gt;0,SUMIF(куб!$E:$E,$E950,куб!S:S),IF($D950&lt;&gt;0,SUMIF(куб!$D:$D,$D950,куб!S:S),IF($C950&lt;&gt;0,SUMIF(куб!$C:$C,$C950,куб!S:S),IF($B950&lt;&gt;0,SUMIF(куб!$B:$B,$B950,куб!S:S))))))</f>
        <v>0</v>
      </c>
      <c r="AH950" s="16" t="str">
        <f t="shared" si="301"/>
        <v>-</v>
      </c>
      <c r="AI950" s="8"/>
      <c r="AJ950" s="27" t="b">
        <f>IF($G950&lt;&gt;0,SUMIF(куб!$G:$G,$G950,куб!T:T),IF($E950&lt;&gt;0,SUMIF(куб!$E:$E,$E950,куб!T:T),IF($D950&lt;&gt;0,SUMIF(куб!$D:$D,$D950,куб!T:T),IF($C950&lt;&gt;0,SUMIF(куб!$C:$C,$C950,куб!T:T),IF($B950&lt;&gt;0,SUMIF(куб!$B:$B,$B950,куб!T:T))))))</f>
        <v>0</v>
      </c>
      <c r="AK950" s="27" t="b">
        <f>IF($G950&lt;&gt;0,SUMIF(куб!$G:$G,$G950,куб!U:U),IF($E950&lt;&gt;0,SUMIF(куб!$E:$E,$E950,куб!U:U),IF($D950&lt;&gt;0,SUMIF(куб!$D:$D,$D950,куб!U:U),IF($C950&lt;&gt;0,SUMIF(куб!$C:$C,$C950,куб!U:U),IF($B950&lt;&gt;0,SUMIF(куб!$B:$B,$B950,куб!U:U))))))</f>
        <v>0</v>
      </c>
      <c r="AL950" s="16" t="str">
        <f t="shared" si="302"/>
        <v>-</v>
      </c>
      <c r="AM950" s="8"/>
      <c r="AN950" s="17" t="str">
        <f t="shared" si="303"/>
        <v xml:space="preserve"> </v>
      </c>
      <c r="AO950" s="17" t="str">
        <f t="shared" si="304"/>
        <v xml:space="preserve"> </v>
      </c>
      <c r="AP950" s="16" t="str">
        <f t="shared" si="305"/>
        <v>-</v>
      </c>
      <c r="AQ950" s="8"/>
      <c r="AR950" s="17" t="str">
        <f t="shared" si="306"/>
        <v>-</v>
      </c>
      <c r="AS950" s="17" t="str">
        <f t="shared" si="307"/>
        <v>-</v>
      </c>
      <c r="AT950" s="13" t="str">
        <f t="shared" si="308"/>
        <v>-</v>
      </c>
      <c r="AU950" s="8"/>
    </row>
    <row r="951" spans="1:47" x14ac:dyDescent="0.25">
      <c r="A951" s="31"/>
      <c r="B951" s="31"/>
      <c r="C951"/>
      <c r="D951" s="31"/>
      <c r="E951"/>
      <c r="F951" s="31"/>
      <c r="G951"/>
      <c r="H951" s="27">
        <f>IF($G951&lt;&gt;0,SUMIF(куб!$G:$G,$G951,куб!H:H),IF($E951&lt;&gt;0,SUMIF(куб!$E:$E,$E951,куб!H:H),IF($D951&lt;&gt;0,SUMIF(куб!$D:$D,$D951,куб!H:H),IF($C951&lt;&gt;0,SUMIF(куб!$C:$C,$C951,куб!H:H),IF($B951&lt;&gt;0,SUMIF(куб!$B:$B,$B951,куб!H:H),IF($G951&lt;&gt;0,SUMIF(куб!$A:$A,$G951,куб!H:H),SUMIF(куб!$A:$A,$G951,куб!H:H)))))))</f>
        <v>0</v>
      </c>
      <c r="I951" s="27">
        <f>IF($G951&lt;&gt;0,SUMIF(куб!$G:$G,$G951,куб!I:I),IF($E951&lt;&gt;0,SUMIF(куб!$E:$E,$E951,куб!I:I),IF($D951&lt;&gt;0,SUMIF(куб!$D:$D,$D951,куб!I:I),IF($C951&lt;&gt;0,SUMIF(куб!$C:$C,$C951,куб!I:I),IF($B951&lt;&gt;0,SUMIF(куб!$B:$B,$B951,куб!I:I),IF($G951&lt;&gt;0,SUMIF(куб!$A:$A,$G951,куб!I:I),SUMIF(куб!$A:$A,$G951,куб!I:I)))))))</f>
        <v>0</v>
      </c>
      <c r="J951" s="19" t="str">
        <f t="shared" si="291"/>
        <v>-</v>
      </c>
      <c r="K951" s="8"/>
      <c r="L951" s="17">
        <f t="shared" si="292"/>
        <v>0</v>
      </c>
      <c r="M951" s="17">
        <f t="shared" si="293"/>
        <v>0</v>
      </c>
      <c r="N951" s="12">
        <f t="shared" si="294"/>
        <v>0</v>
      </c>
      <c r="O951" s="5"/>
      <c r="P951" s="27" t="b">
        <f>IF($G951&lt;&gt;0,SUMIF(куб!$G:$G,$G951,куб!J:J),IF($E951&lt;&gt;0,SUMIF(куб!$E:$E,$E951,куб!J:J),IF($D951&lt;&gt;0,SUMIF(куб!$D:$D,$D951,куб!J:J),IF($C951&lt;&gt;0,SUMIF(куб!$C:$C,$C951,куб!J:J),IF($B951&lt;&gt;0,SUMIF(куб!$B:$B,$B951,куб!J:J))))))</f>
        <v>0</v>
      </c>
      <c r="Q951" s="27" t="b">
        <f>IF($G951&lt;&gt;0,SUMIF(куб!$G:$G,$G951,куб!K:K),IF($E951&lt;&gt;0,SUMIF(куб!$E:$E,$E951,куб!K:K),IF($D951&lt;&gt;0,SUMIF(куб!$D:$D,$D951,куб!K:K),IF($C951&lt;&gt;0,SUMIF(куб!$C:$C,$C951,куб!K:K),IF($B951&lt;&gt;0,SUMIF(куб!$B:$B,$B951,куб!K:K))))))</f>
        <v>0</v>
      </c>
      <c r="R951" s="13" t="str">
        <f t="shared" si="295"/>
        <v>-</v>
      </c>
      <c r="S951" s="5"/>
      <c r="T951" s="27" t="b">
        <f>IF($G951&lt;&gt;0,SUMIF(куб!$G:$G,$G951,куб!L:L),IF($E951&lt;&gt;0,SUMIF(куб!$E:$E,$E951,куб!L:L),IF($D951&lt;&gt;0,SUMIF(куб!$D:$D,$D951,куб!L:L),IF($C951&lt;&gt;0,SUMIF(куб!$C:$C,$C951,куб!L:L),IF($B951&lt;&gt;0,SUMIF(куб!$B:$B,$B951,куб!L:L))))))</f>
        <v>0</v>
      </c>
      <c r="U951" s="27" t="b">
        <f>IF($G951&lt;&gt;0,SUMIF(куб!$G:$G,$G951,куб!M:M),IF($E951&lt;&gt;0,SUMIF(куб!$E:$E,$E951,куб!M:M),IF($D951&lt;&gt;0,SUMIF(куб!$D:$D,$D951,куб!M:M),IF($C951&lt;&gt;0,SUMIF(куб!$C:$C,$C951,куб!M:M),IF($B951&lt;&gt;0,SUMIF(куб!$B:$B,$B951,куб!M:M))))))</f>
        <v>0</v>
      </c>
      <c r="V951" s="13" t="str">
        <f t="shared" si="296"/>
        <v>-</v>
      </c>
      <c r="W951" s="5"/>
      <c r="X951" s="27" t="b">
        <f>IF($G951&lt;&gt;0,SUMIF(куб!$G:$G,$G951,куб!N:N),IF($E951&lt;&gt;0,SUMIF(куб!$E:$E,$E951,куб!N:N),IF($D951&lt;&gt;0,SUMIF(куб!$D:$D,$D951,куб!N:N),IF($C951&lt;&gt;0,SUMIF(куб!$C:$C,$C951,куб!N:N),IF($B951&lt;&gt;0,SUMIF(куб!$B:$B,$B951,куб!N:N))))))</f>
        <v>0</v>
      </c>
      <c r="Y951" s="27" t="b">
        <f>IF($G951&lt;&gt;0,SUMIF(куб!$G:$G,$G951,куб!O:O),IF($E951&lt;&gt;0,SUMIF(куб!$E:$E,$E951,куб!O:O),IF($D951&lt;&gt;0,SUMIF(куб!$D:$D,$D951,куб!O:O),IF($C951&lt;&gt;0,SUMIF(куб!$C:$C,$C951,куб!O:O),IF($B951&lt;&gt;0,SUMIF(куб!$B:$B,$B951,куб!O:O))))))</f>
        <v>0</v>
      </c>
      <c r="Z951" s="13" t="str">
        <f t="shared" si="297"/>
        <v>-</v>
      </c>
      <c r="AA951" s="5"/>
      <c r="AB951" s="33" t="str">
        <f t="shared" si="298"/>
        <v/>
      </c>
      <c r="AC951" s="33" t="str">
        <f t="shared" si="299"/>
        <v/>
      </c>
      <c r="AD951" s="15" t="str">
        <f t="shared" si="300"/>
        <v xml:space="preserve"> </v>
      </c>
      <c r="AE951" s="5"/>
      <c r="AF951" s="27" t="b">
        <f>IF($G951&lt;&gt;0,SUMIF(куб!$G:$G,$G951,куб!R:R),IF($E951&lt;&gt;0,SUMIF(куб!$E:$E,$E951,куб!R:R),IF($D951&lt;&gt;0,SUMIF(куб!$D:$D,$D951,куб!R:R),IF($C951&lt;&gt;0,SUMIF(куб!$C:$C,$C951,куб!R:R),IF($B951&lt;&gt;0,SUMIF(куб!$B:$B,$B951,куб!R:R))))))</f>
        <v>0</v>
      </c>
      <c r="AG951" s="27" t="b">
        <f>IF($G951&lt;&gt;0,SUMIF(куб!$G:$G,$G951,куб!S:S),IF($E951&lt;&gt;0,SUMIF(куб!$E:$E,$E951,куб!S:S),IF($D951&lt;&gt;0,SUMIF(куб!$D:$D,$D951,куб!S:S),IF($C951&lt;&gt;0,SUMIF(куб!$C:$C,$C951,куб!S:S),IF($B951&lt;&gt;0,SUMIF(куб!$B:$B,$B951,куб!S:S))))))</f>
        <v>0</v>
      </c>
      <c r="AH951" s="16" t="str">
        <f t="shared" si="301"/>
        <v>-</v>
      </c>
      <c r="AI951" s="8"/>
      <c r="AJ951" s="27" t="b">
        <f>IF($G951&lt;&gt;0,SUMIF(куб!$G:$G,$G951,куб!T:T),IF($E951&lt;&gt;0,SUMIF(куб!$E:$E,$E951,куб!T:T),IF($D951&lt;&gt;0,SUMIF(куб!$D:$D,$D951,куб!T:T),IF($C951&lt;&gt;0,SUMIF(куб!$C:$C,$C951,куб!T:T),IF($B951&lt;&gt;0,SUMIF(куб!$B:$B,$B951,куб!T:T))))))</f>
        <v>0</v>
      </c>
      <c r="AK951" s="27" t="b">
        <f>IF($G951&lt;&gt;0,SUMIF(куб!$G:$G,$G951,куб!U:U),IF($E951&lt;&gt;0,SUMIF(куб!$E:$E,$E951,куб!U:U),IF($D951&lt;&gt;0,SUMIF(куб!$D:$D,$D951,куб!U:U),IF($C951&lt;&gt;0,SUMIF(куб!$C:$C,$C951,куб!U:U),IF($B951&lt;&gt;0,SUMIF(куб!$B:$B,$B951,куб!U:U))))))</f>
        <v>0</v>
      </c>
      <c r="AL951" s="16" t="str">
        <f t="shared" si="302"/>
        <v>-</v>
      </c>
      <c r="AM951" s="8"/>
      <c r="AN951" s="17" t="str">
        <f t="shared" si="303"/>
        <v xml:space="preserve"> </v>
      </c>
      <c r="AO951" s="17" t="str">
        <f t="shared" si="304"/>
        <v xml:space="preserve"> </v>
      </c>
      <c r="AP951" s="16" t="str">
        <f t="shared" si="305"/>
        <v>-</v>
      </c>
      <c r="AQ951" s="8"/>
      <c r="AR951" s="17" t="str">
        <f t="shared" si="306"/>
        <v>-</v>
      </c>
      <c r="AS951" s="17" t="str">
        <f t="shared" si="307"/>
        <v>-</v>
      </c>
      <c r="AT951" s="13" t="str">
        <f t="shared" si="308"/>
        <v>-</v>
      </c>
      <c r="AU951" s="8"/>
    </row>
    <row r="952" spans="1:47" x14ac:dyDescent="0.25">
      <c r="A952" s="31"/>
      <c r="B952" s="31"/>
      <c r="C952"/>
      <c r="D952" s="31"/>
      <c r="E952"/>
      <c r="F952" s="31"/>
      <c r="G952"/>
      <c r="H952" s="27">
        <f>IF($G952&lt;&gt;0,SUMIF(куб!$G:$G,$G952,куб!H:H),IF($E952&lt;&gt;0,SUMIF(куб!$E:$E,$E952,куб!H:H),IF($D952&lt;&gt;0,SUMIF(куб!$D:$D,$D952,куб!H:H),IF($C952&lt;&gt;0,SUMIF(куб!$C:$C,$C952,куб!H:H),IF($B952&lt;&gt;0,SUMIF(куб!$B:$B,$B952,куб!H:H),IF($G952&lt;&gt;0,SUMIF(куб!$A:$A,$G952,куб!H:H),SUMIF(куб!$A:$A,$G952,куб!H:H)))))))</f>
        <v>0</v>
      </c>
      <c r="I952" s="27">
        <f>IF($G952&lt;&gt;0,SUMIF(куб!$G:$G,$G952,куб!I:I),IF($E952&lt;&gt;0,SUMIF(куб!$E:$E,$E952,куб!I:I),IF($D952&lt;&gt;0,SUMIF(куб!$D:$D,$D952,куб!I:I),IF($C952&lt;&gt;0,SUMIF(куб!$C:$C,$C952,куб!I:I),IF($B952&lt;&gt;0,SUMIF(куб!$B:$B,$B952,куб!I:I),IF($G952&lt;&gt;0,SUMIF(куб!$A:$A,$G952,куб!I:I),SUMIF(куб!$A:$A,$G952,куб!I:I)))))))</f>
        <v>0</v>
      </c>
      <c r="J952" s="19" t="str">
        <f t="shared" ref="J952:J1015" si="309">IFERROR((I952-H952)/ABS(H952),"-")</f>
        <v>-</v>
      </c>
      <c r="K952" s="8"/>
      <c r="L952" s="17">
        <f t="shared" ref="L952:L1015" si="310">H952/$H$3</f>
        <v>0</v>
      </c>
      <c r="M952" s="17">
        <f t="shared" ref="M952:M1015" si="311">I952/$I$3</f>
        <v>0</v>
      </c>
      <c r="N952" s="12">
        <f t="shared" ref="N952:N1015" si="312">M952-L952</f>
        <v>0</v>
      </c>
      <c r="O952" s="5"/>
      <c r="P952" s="27" t="b">
        <f>IF($G952&lt;&gt;0,SUMIF(куб!$G:$G,$G952,куб!J:J),IF($E952&lt;&gt;0,SUMIF(куб!$E:$E,$E952,куб!J:J),IF($D952&lt;&gt;0,SUMIF(куб!$D:$D,$D952,куб!J:J),IF($C952&lt;&gt;0,SUMIF(куб!$C:$C,$C952,куб!J:J),IF($B952&lt;&gt;0,SUMIF(куб!$B:$B,$B952,куб!J:J))))))</f>
        <v>0</v>
      </c>
      <c r="Q952" s="27" t="b">
        <f>IF($G952&lt;&gt;0,SUMIF(куб!$G:$G,$G952,куб!K:K),IF($E952&lt;&gt;0,SUMIF(куб!$E:$E,$E952,куб!K:K),IF($D952&lt;&gt;0,SUMIF(куб!$D:$D,$D952,куб!K:K),IF($C952&lt;&gt;0,SUMIF(куб!$C:$C,$C952,куб!K:K),IF($B952&lt;&gt;0,SUMIF(куб!$B:$B,$B952,куб!K:K))))))</f>
        <v>0</v>
      </c>
      <c r="R952" s="13" t="str">
        <f t="shared" ref="R952:R1015" si="313">IFERROR((Q952-P952)/ABS(P952),"-")</f>
        <v>-</v>
      </c>
      <c r="S952" s="5"/>
      <c r="T952" s="27" t="b">
        <f>IF($G952&lt;&gt;0,SUMIF(куб!$G:$G,$G952,куб!L:L),IF($E952&lt;&gt;0,SUMIF(куб!$E:$E,$E952,куб!L:L),IF($D952&lt;&gt;0,SUMIF(куб!$D:$D,$D952,куб!L:L),IF($C952&lt;&gt;0,SUMIF(куб!$C:$C,$C952,куб!L:L),IF($B952&lt;&gt;0,SUMIF(куб!$B:$B,$B952,куб!L:L))))))</f>
        <v>0</v>
      </c>
      <c r="U952" s="27" t="b">
        <f>IF($G952&lt;&gt;0,SUMIF(куб!$G:$G,$G952,куб!M:M),IF($E952&lt;&gt;0,SUMIF(куб!$E:$E,$E952,куб!M:M),IF($D952&lt;&gt;0,SUMIF(куб!$D:$D,$D952,куб!M:M),IF($C952&lt;&gt;0,SUMIF(куб!$C:$C,$C952,куб!M:M),IF($B952&lt;&gt;0,SUMIF(куб!$B:$B,$B952,куб!M:M))))))</f>
        <v>0</v>
      </c>
      <c r="V952" s="13" t="str">
        <f t="shared" ref="V952:V1015" si="314">IFERROR((U952-T952)/ABS(T952),"-")</f>
        <v>-</v>
      </c>
      <c r="W952" s="5"/>
      <c r="X952" s="27" t="b">
        <f>IF($G952&lt;&gt;0,SUMIF(куб!$G:$G,$G952,куб!N:N),IF($E952&lt;&gt;0,SUMIF(куб!$E:$E,$E952,куб!N:N),IF($D952&lt;&gt;0,SUMIF(куб!$D:$D,$D952,куб!N:N),IF($C952&lt;&gt;0,SUMIF(куб!$C:$C,$C952,куб!N:N),IF($B952&lt;&gt;0,SUMIF(куб!$B:$B,$B952,куб!N:N))))))</f>
        <v>0</v>
      </c>
      <c r="Y952" s="27" t="b">
        <f>IF($G952&lt;&gt;0,SUMIF(куб!$G:$G,$G952,куб!O:O),IF($E952&lt;&gt;0,SUMIF(куб!$E:$E,$E952,куб!O:O),IF($D952&lt;&gt;0,SUMIF(куб!$D:$D,$D952,куб!O:O),IF($C952&lt;&gt;0,SUMIF(куб!$C:$C,$C952,куб!O:O),IF($B952&lt;&gt;0,SUMIF(куб!$B:$B,$B952,куб!O:O))))))</f>
        <v>0</v>
      </c>
      <c r="Z952" s="13" t="str">
        <f t="shared" ref="Z952:Z1015" si="315">IFERROR((Y952-X952)/ABS(X952),"-")</f>
        <v>-</v>
      </c>
      <c r="AA952" s="5"/>
      <c r="AB952" s="33" t="str">
        <f t="shared" ref="AB952:AB1015" si="316">IFERROR(X952/H952,"")</f>
        <v/>
      </c>
      <c r="AC952" s="33" t="str">
        <f t="shared" ref="AC952:AC1015" si="317">IFERROR(Y952/I952,"")</f>
        <v/>
      </c>
      <c r="AD952" s="15" t="str">
        <f t="shared" ref="AD952:AD1015" si="318">IFERROR(AC952-AB952," ")</f>
        <v xml:space="preserve"> </v>
      </c>
      <c r="AE952" s="5"/>
      <c r="AF952" s="27" t="b">
        <f>IF($G952&lt;&gt;0,SUMIF(куб!$G:$G,$G952,куб!R:R),IF($E952&lt;&gt;0,SUMIF(куб!$E:$E,$E952,куб!R:R),IF($D952&lt;&gt;0,SUMIF(куб!$D:$D,$D952,куб!R:R),IF($C952&lt;&gt;0,SUMIF(куб!$C:$C,$C952,куб!R:R),IF($B952&lt;&gt;0,SUMIF(куб!$B:$B,$B952,куб!R:R))))))</f>
        <v>0</v>
      </c>
      <c r="AG952" s="27" t="b">
        <f>IF($G952&lt;&gt;0,SUMIF(куб!$G:$G,$G952,куб!S:S),IF($E952&lt;&gt;0,SUMIF(куб!$E:$E,$E952,куб!S:S),IF($D952&lt;&gt;0,SUMIF(куб!$D:$D,$D952,куб!S:S),IF($C952&lt;&gt;0,SUMIF(куб!$C:$C,$C952,куб!S:S),IF($B952&lt;&gt;0,SUMIF(куб!$B:$B,$B952,куб!S:S))))))</f>
        <v>0</v>
      </c>
      <c r="AH952" s="16" t="str">
        <f t="shared" ref="AH952:AH1015" si="319">IFERROR((AG952-AF952)/ABS(AF952),"-")</f>
        <v>-</v>
      </c>
      <c r="AI952" s="8"/>
      <c r="AJ952" s="27" t="b">
        <f>IF($G952&lt;&gt;0,SUMIF(куб!$G:$G,$G952,куб!T:T),IF($E952&lt;&gt;0,SUMIF(куб!$E:$E,$E952,куб!T:T),IF($D952&lt;&gt;0,SUMIF(куб!$D:$D,$D952,куб!T:T),IF($C952&lt;&gt;0,SUMIF(куб!$C:$C,$C952,куб!T:T),IF($B952&lt;&gt;0,SUMIF(куб!$B:$B,$B952,куб!T:T))))))</f>
        <v>0</v>
      </c>
      <c r="AK952" s="27" t="b">
        <f>IF($G952&lt;&gt;0,SUMIF(куб!$G:$G,$G952,куб!U:U),IF($E952&lt;&gt;0,SUMIF(куб!$E:$E,$E952,куб!U:U),IF($D952&lt;&gt;0,SUMIF(куб!$D:$D,$D952,куб!U:U),IF($C952&lt;&gt;0,SUMIF(куб!$C:$C,$C952,куб!U:U),IF($B952&lt;&gt;0,SUMIF(куб!$B:$B,$B952,куб!U:U))))))</f>
        <v>0</v>
      </c>
      <c r="AL952" s="16" t="str">
        <f t="shared" ref="AL952:AL1015" si="320">IFERROR((AK952-AJ952)/ABS(AJ952),"-")</f>
        <v>-</v>
      </c>
      <c r="AM952" s="8"/>
      <c r="AN952" s="17" t="str">
        <f t="shared" ref="AN952:AN1015" si="321">IFERROR(AF952/H952," ")</f>
        <v xml:space="preserve"> </v>
      </c>
      <c r="AO952" s="17" t="str">
        <f t="shared" ref="AO952:AO1015" si="322">IFERROR(AG952/I952," ")</f>
        <v xml:space="preserve"> </v>
      </c>
      <c r="AP952" s="16" t="str">
        <f t="shared" ref="AP952:AP1015" si="323">IFERROR(AO952-AN952,"-")</f>
        <v>-</v>
      </c>
      <c r="AQ952" s="8"/>
      <c r="AR952" s="17" t="str">
        <f t="shared" ref="AR952:AR1015" si="324">IFERROR((X952-AF952)/H952,"-")</f>
        <v>-</v>
      </c>
      <c r="AS952" s="17" t="str">
        <f t="shared" ref="AS952:AS1015" si="325">IFERROR((Y952-AG952)/I952,"-")</f>
        <v>-</v>
      </c>
      <c r="AT952" s="13" t="str">
        <f t="shared" ref="AT952:AT1015" si="326">IFERROR(AS952-AR952,"-")</f>
        <v>-</v>
      </c>
      <c r="AU952" s="8"/>
    </row>
    <row r="953" spans="1:47" x14ac:dyDescent="0.25">
      <c r="A953" s="31"/>
      <c r="B953" s="31"/>
      <c r="C953"/>
      <c r="D953" s="31"/>
      <c r="E953"/>
      <c r="F953" s="31"/>
      <c r="G953"/>
      <c r="H953" s="27">
        <f>IF($G953&lt;&gt;0,SUMIF(куб!$G:$G,$G953,куб!H:H),IF($E953&lt;&gt;0,SUMIF(куб!$E:$E,$E953,куб!H:H),IF($D953&lt;&gt;0,SUMIF(куб!$D:$D,$D953,куб!H:H),IF($C953&lt;&gt;0,SUMIF(куб!$C:$C,$C953,куб!H:H),IF($B953&lt;&gt;0,SUMIF(куб!$B:$B,$B953,куб!H:H),IF($G953&lt;&gt;0,SUMIF(куб!$A:$A,$G953,куб!H:H),SUMIF(куб!$A:$A,$G953,куб!H:H)))))))</f>
        <v>0</v>
      </c>
      <c r="I953" s="27">
        <f>IF($G953&lt;&gt;0,SUMIF(куб!$G:$G,$G953,куб!I:I),IF($E953&lt;&gt;0,SUMIF(куб!$E:$E,$E953,куб!I:I),IF($D953&lt;&gt;0,SUMIF(куб!$D:$D,$D953,куб!I:I),IF($C953&lt;&gt;0,SUMIF(куб!$C:$C,$C953,куб!I:I),IF($B953&lt;&gt;0,SUMIF(куб!$B:$B,$B953,куб!I:I),IF($G953&lt;&gt;0,SUMIF(куб!$A:$A,$G953,куб!I:I),SUMIF(куб!$A:$A,$G953,куб!I:I)))))))</f>
        <v>0</v>
      </c>
      <c r="J953" s="19" t="str">
        <f t="shared" si="309"/>
        <v>-</v>
      </c>
      <c r="K953" s="8"/>
      <c r="L953" s="17">
        <f t="shared" si="310"/>
        <v>0</v>
      </c>
      <c r="M953" s="17">
        <f t="shared" si="311"/>
        <v>0</v>
      </c>
      <c r="N953" s="12">
        <f t="shared" si="312"/>
        <v>0</v>
      </c>
      <c r="O953" s="5"/>
      <c r="P953" s="27" t="b">
        <f>IF($G953&lt;&gt;0,SUMIF(куб!$G:$G,$G953,куб!J:J),IF($E953&lt;&gt;0,SUMIF(куб!$E:$E,$E953,куб!J:J),IF($D953&lt;&gt;0,SUMIF(куб!$D:$D,$D953,куб!J:J),IF($C953&lt;&gt;0,SUMIF(куб!$C:$C,$C953,куб!J:J),IF($B953&lt;&gt;0,SUMIF(куб!$B:$B,$B953,куб!J:J))))))</f>
        <v>0</v>
      </c>
      <c r="Q953" s="27" t="b">
        <f>IF($G953&lt;&gt;0,SUMIF(куб!$G:$G,$G953,куб!K:K),IF($E953&lt;&gt;0,SUMIF(куб!$E:$E,$E953,куб!K:K),IF($D953&lt;&gt;0,SUMIF(куб!$D:$D,$D953,куб!K:K),IF($C953&lt;&gt;0,SUMIF(куб!$C:$C,$C953,куб!K:K),IF($B953&lt;&gt;0,SUMIF(куб!$B:$B,$B953,куб!K:K))))))</f>
        <v>0</v>
      </c>
      <c r="R953" s="13" t="str">
        <f t="shared" si="313"/>
        <v>-</v>
      </c>
      <c r="S953" s="5"/>
      <c r="T953" s="27" t="b">
        <f>IF($G953&lt;&gt;0,SUMIF(куб!$G:$G,$G953,куб!L:L),IF($E953&lt;&gt;0,SUMIF(куб!$E:$E,$E953,куб!L:L),IF($D953&lt;&gt;0,SUMIF(куб!$D:$D,$D953,куб!L:L),IF($C953&lt;&gt;0,SUMIF(куб!$C:$C,$C953,куб!L:L),IF($B953&lt;&gt;0,SUMIF(куб!$B:$B,$B953,куб!L:L))))))</f>
        <v>0</v>
      </c>
      <c r="U953" s="27" t="b">
        <f>IF($G953&lt;&gt;0,SUMIF(куб!$G:$G,$G953,куб!M:M),IF($E953&lt;&gt;0,SUMIF(куб!$E:$E,$E953,куб!M:M),IF($D953&lt;&gt;0,SUMIF(куб!$D:$D,$D953,куб!M:M),IF($C953&lt;&gt;0,SUMIF(куб!$C:$C,$C953,куб!M:M),IF($B953&lt;&gt;0,SUMIF(куб!$B:$B,$B953,куб!M:M))))))</f>
        <v>0</v>
      </c>
      <c r="V953" s="13" t="str">
        <f t="shared" si="314"/>
        <v>-</v>
      </c>
      <c r="W953" s="5"/>
      <c r="X953" s="27" t="b">
        <f>IF($G953&lt;&gt;0,SUMIF(куб!$G:$G,$G953,куб!N:N),IF($E953&lt;&gt;0,SUMIF(куб!$E:$E,$E953,куб!N:N),IF($D953&lt;&gt;0,SUMIF(куб!$D:$D,$D953,куб!N:N),IF($C953&lt;&gt;0,SUMIF(куб!$C:$C,$C953,куб!N:N),IF($B953&lt;&gt;0,SUMIF(куб!$B:$B,$B953,куб!N:N))))))</f>
        <v>0</v>
      </c>
      <c r="Y953" s="27" t="b">
        <f>IF($G953&lt;&gt;0,SUMIF(куб!$G:$G,$G953,куб!O:O),IF($E953&lt;&gt;0,SUMIF(куб!$E:$E,$E953,куб!O:O),IF($D953&lt;&gt;0,SUMIF(куб!$D:$D,$D953,куб!O:O),IF($C953&lt;&gt;0,SUMIF(куб!$C:$C,$C953,куб!O:O),IF($B953&lt;&gt;0,SUMIF(куб!$B:$B,$B953,куб!O:O))))))</f>
        <v>0</v>
      </c>
      <c r="Z953" s="13" t="str">
        <f t="shared" si="315"/>
        <v>-</v>
      </c>
      <c r="AA953" s="5"/>
      <c r="AB953" s="33" t="str">
        <f t="shared" si="316"/>
        <v/>
      </c>
      <c r="AC953" s="33" t="str">
        <f t="shared" si="317"/>
        <v/>
      </c>
      <c r="AD953" s="15" t="str">
        <f t="shared" si="318"/>
        <v xml:space="preserve"> </v>
      </c>
      <c r="AE953" s="5"/>
      <c r="AF953" s="27" t="b">
        <f>IF($G953&lt;&gt;0,SUMIF(куб!$G:$G,$G953,куб!R:R),IF($E953&lt;&gt;0,SUMIF(куб!$E:$E,$E953,куб!R:R),IF($D953&lt;&gt;0,SUMIF(куб!$D:$D,$D953,куб!R:R),IF($C953&lt;&gt;0,SUMIF(куб!$C:$C,$C953,куб!R:R),IF($B953&lt;&gt;0,SUMIF(куб!$B:$B,$B953,куб!R:R))))))</f>
        <v>0</v>
      </c>
      <c r="AG953" s="27" t="b">
        <f>IF($G953&lt;&gt;0,SUMIF(куб!$G:$G,$G953,куб!S:S),IF($E953&lt;&gt;0,SUMIF(куб!$E:$E,$E953,куб!S:S),IF($D953&lt;&gt;0,SUMIF(куб!$D:$D,$D953,куб!S:S),IF($C953&lt;&gt;0,SUMIF(куб!$C:$C,$C953,куб!S:S),IF($B953&lt;&gt;0,SUMIF(куб!$B:$B,$B953,куб!S:S))))))</f>
        <v>0</v>
      </c>
      <c r="AH953" s="16" t="str">
        <f t="shared" si="319"/>
        <v>-</v>
      </c>
      <c r="AI953" s="8"/>
      <c r="AJ953" s="27" t="b">
        <f>IF($G953&lt;&gt;0,SUMIF(куб!$G:$G,$G953,куб!T:T),IF($E953&lt;&gt;0,SUMIF(куб!$E:$E,$E953,куб!T:T),IF($D953&lt;&gt;0,SUMIF(куб!$D:$D,$D953,куб!T:T),IF($C953&lt;&gt;0,SUMIF(куб!$C:$C,$C953,куб!T:T),IF($B953&lt;&gt;0,SUMIF(куб!$B:$B,$B953,куб!T:T))))))</f>
        <v>0</v>
      </c>
      <c r="AK953" s="27" t="b">
        <f>IF($G953&lt;&gt;0,SUMIF(куб!$G:$G,$G953,куб!U:U),IF($E953&lt;&gt;0,SUMIF(куб!$E:$E,$E953,куб!U:U),IF($D953&lt;&gt;0,SUMIF(куб!$D:$D,$D953,куб!U:U),IF($C953&lt;&gt;0,SUMIF(куб!$C:$C,$C953,куб!U:U),IF($B953&lt;&gt;0,SUMIF(куб!$B:$B,$B953,куб!U:U))))))</f>
        <v>0</v>
      </c>
      <c r="AL953" s="16" t="str">
        <f t="shared" si="320"/>
        <v>-</v>
      </c>
      <c r="AM953" s="8"/>
      <c r="AN953" s="17" t="str">
        <f t="shared" si="321"/>
        <v xml:space="preserve"> </v>
      </c>
      <c r="AO953" s="17" t="str">
        <f t="shared" si="322"/>
        <v xml:space="preserve"> </v>
      </c>
      <c r="AP953" s="16" t="str">
        <f t="shared" si="323"/>
        <v>-</v>
      </c>
      <c r="AQ953" s="8"/>
      <c r="AR953" s="17" t="str">
        <f t="shared" si="324"/>
        <v>-</v>
      </c>
      <c r="AS953" s="17" t="str">
        <f t="shared" si="325"/>
        <v>-</v>
      </c>
      <c r="AT953" s="13" t="str">
        <f t="shared" si="326"/>
        <v>-</v>
      </c>
      <c r="AU953" s="8"/>
    </row>
    <row r="954" spans="1:47" x14ac:dyDescent="0.25">
      <c r="A954" s="31"/>
      <c r="B954" s="31"/>
      <c r="C954"/>
      <c r="D954" s="31"/>
      <c r="E954"/>
      <c r="F954" s="31"/>
      <c r="G954"/>
      <c r="H954" s="27">
        <f>IF($G954&lt;&gt;0,SUMIF(куб!$G:$G,$G954,куб!H:H),IF($E954&lt;&gt;0,SUMIF(куб!$E:$E,$E954,куб!H:H),IF($D954&lt;&gt;0,SUMIF(куб!$D:$D,$D954,куб!H:H),IF($C954&lt;&gt;0,SUMIF(куб!$C:$C,$C954,куб!H:H),IF($B954&lt;&gt;0,SUMIF(куб!$B:$B,$B954,куб!H:H),IF($G954&lt;&gt;0,SUMIF(куб!$A:$A,$G954,куб!H:H),SUMIF(куб!$A:$A,$G954,куб!H:H)))))))</f>
        <v>0</v>
      </c>
      <c r="I954" s="27">
        <f>IF($G954&lt;&gt;0,SUMIF(куб!$G:$G,$G954,куб!I:I),IF($E954&lt;&gt;0,SUMIF(куб!$E:$E,$E954,куб!I:I),IF($D954&lt;&gt;0,SUMIF(куб!$D:$D,$D954,куб!I:I),IF($C954&lt;&gt;0,SUMIF(куб!$C:$C,$C954,куб!I:I),IF($B954&lt;&gt;0,SUMIF(куб!$B:$B,$B954,куб!I:I),IF($G954&lt;&gt;0,SUMIF(куб!$A:$A,$G954,куб!I:I),SUMIF(куб!$A:$A,$G954,куб!I:I)))))))</f>
        <v>0</v>
      </c>
      <c r="J954" s="19" t="str">
        <f t="shared" si="309"/>
        <v>-</v>
      </c>
      <c r="K954" s="8"/>
      <c r="L954" s="17">
        <f t="shared" si="310"/>
        <v>0</v>
      </c>
      <c r="M954" s="17">
        <f t="shared" si="311"/>
        <v>0</v>
      </c>
      <c r="N954" s="12">
        <f t="shared" si="312"/>
        <v>0</v>
      </c>
      <c r="O954" s="5"/>
      <c r="P954" s="27" t="b">
        <f>IF($G954&lt;&gt;0,SUMIF(куб!$G:$G,$G954,куб!J:J),IF($E954&lt;&gt;0,SUMIF(куб!$E:$E,$E954,куб!J:J),IF($D954&lt;&gt;0,SUMIF(куб!$D:$D,$D954,куб!J:J),IF($C954&lt;&gt;0,SUMIF(куб!$C:$C,$C954,куб!J:J),IF($B954&lt;&gt;0,SUMIF(куб!$B:$B,$B954,куб!J:J))))))</f>
        <v>0</v>
      </c>
      <c r="Q954" s="27" t="b">
        <f>IF($G954&lt;&gt;0,SUMIF(куб!$G:$G,$G954,куб!K:K),IF($E954&lt;&gt;0,SUMIF(куб!$E:$E,$E954,куб!K:K),IF($D954&lt;&gt;0,SUMIF(куб!$D:$D,$D954,куб!K:K),IF($C954&lt;&gt;0,SUMIF(куб!$C:$C,$C954,куб!K:K),IF($B954&lt;&gt;0,SUMIF(куб!$B:$B,$B954,куб!K:K))))))</f>
        <v>0</v>
      </c>
      <c r="R954" s="13" t="str">
        <f t="shared" si="313"/>
        <v>-</v>
      </c>
      <c r="S954" s="5"/>
      <c r="T954" s="27" t="b">
        <f>IF($G954&lt;&gt;0,SUMIF(куб!$G:$G,$G954,куб!L:L),IF($E954&lt;&gt;0,SUMIF(куб!$E:$E,$E954,куб!L:L),IF($D954&lt;&gt;0,SUMIF(куб!$D:$D,$D954,куб!L:L),IF($C954&lt;&gt;0,SUMIF(куб!$C:$C,$C954,куб!L:L),IF($B954&lt;&gt;0,SUMIF(куб!$B:$B,$B954,куб!L:L))))))</f>
        <v>0</v>
      </c>
      <c r="U954" s="27" t="b">
        <f>IF($G954&lt;&gt;0,SUMIF(куб!$G:$G,$G954,куб!M:M),IF($E954&lt;&gt;0,SUMIF(куб!$E:$E,$E954,куб!M:M),IF($D954&lt;&gt;0,SUMIF(куб!$D:$D,$D954,куб!M:M),IF($C954&lt;&gt;0,SUMIF(куб!$C:$C,$C954,куб!M:M),IF($B954&lt;&gt;0,SUMIF(куб!$B:$B,$B954,куб!M:M))))))</f>
        <v>0</v>
      </c>
      <c r="V954" s="13" t="str">
        <f t="shared" si="314"/>
        <v>-</v>
      </c>
      <c r="W954" s="5"/>
      <c r="X954" s="27" t="b">
        <f>IF($G954&lt;&gt;0,SUMIF(куб!$G:$G,$G954,куб!N:N),IF($E954&lt;&gt;0,SUMIF(куб!$E:$E,$E954,куб!N:N),IF($D954&lt;&gt;0,SUMIF(куб!$D:$D,$D954,куб!N:N),IF($C954&lt;&gt;0,SUMIF(куб!$C:$C,$C954,куб!N:N),IF($B954&lt;&gt;0,SUMIF(куб!$B:$B,$B954,куб!N:N))))))</f>
        <v>0</v>
      </c>
      <c r="Y954" s="27" t="b">
        <f>IF($G954&lt;&gt;0,SUMIF(куб!$G:$G,$G954,куб!O:O),IF($E954&lt;&gt;0,SUMIF(куб!$E:$E,$E954,куб!O:O),IF($D954&lt;&gt;0,SUMIF(куб!$D:$D,$D954,куб!O:O),IF($C954&lt;&gt;0,SUMIF(куб!$C:$C,$C954,куб!O:O),IF($B954&lt;&gt;0,SUMIF(куб!$B:$B,$B954,куб!O:O))))))</f>
        <v>0</v>
      </c>
      <c r="Z954" s="13" t="str">
        <f t="shared" si="315"/>
        <v>-</v>
      </c>
      <c r="AA954" s="5"/>
      <c r="AB954" s="33" t="str">
        <f t="shared" si="316"/>
        <v/>
      </c>
      <c r="AC954" s="33" t="str">
        <f t="shared" si="317"/>
        <v/>
      </c>
      <c r="AD954" s="15" t="str">
        <f t="shared" si="318"/>
        <v xml:space="preserve"> </v>
      </c>
      <c r="AE954" s="5"/>
      <c r="AF954" s="27" t="b">
        <f>IF($G954&lt;&gt;0,SUMIF(куб!$G:$G,$G954,куб!R:R),IF($E954&lt;&gt;0,SUMIF(куб!$E:$E,$E954,куб!R:R),IF($D954&lt;&gt;0,SUMIF(куб!$D:$D,$D954,куб!R:R),IF($C954&lt;&gt;0,SUMIF(куб!$C:$C,$C954,куб!R:R),IF($B954&lt;&gt;0,SUMIF(куб!$B:$B,$B954,куб!R:R))))))</f>
        <v>0</v>
      </c>
      <c r="AG954" s="27" t="b">
        <f>IF($G954&lt;&gt;0,SUMIF(куб!$G:$G,$G954,куб!S:S),IF($E954&lt;&gt;0,SUMIF(куб!$E:$E,$E954,куб!S:S),IF($D954&lt;&gt;0,SUMIF(куб!$D:$D,$D954,куб!S:S),IF($C954&lt;&gt;0,SUMIF(куб!$C:$C,$C954,куб!S:S),IF($B954&lt;&gt;0,SUMIF(куб!$B:$B,$B954,куб!S:S))))))</f>
        <v>0</v>
      </c>
      <c r="AH954" s="16" t="str">
        <f t="shared" si="319"/>
        <v>-</v>
      </c>
      <c r="AI954" s="8"/>
      <c r="AJ954" s="27" t="b">
        <f>IF($G954&lt;&gt;0,SUMIF(куб!$G:$G,$G954,куб!T:T),IF($E954&lt;&gt;0,SUMIF(куб!$E:$E,$E954,куб!T:T),IF($D954&lt;&gt;0,SUMIF(куб!$D:$D,$D954,куб!T:T),IF($C954&lt;&gt;0,SUMIF(куб!$C:$C,$C954,куб!T:T),IF($B954&lt;&gt;0,SUMIF(куб!$B:$B,$B954,куб!T:T))))))</f>
        <v>0</v>
      </c>
      <c r="AK954" s="27" t="b">
        <f>IF($G954&lt;&gt;0,SUMIF(куб!$G:$G,$G954,куб!U:U),IF($E954&lt;&gt;0,SUMIF(куб!$E:$E,$E954,куб!U:U),IF($D954&lt;&gt;0,SUMIF(куб!$D:$D,$D954,куб!U:U),IF($C954&lt;&gt;0,SUMIF(куб!$C:$C,$C954,куб!U:U),IF($B954&lt;&gt;0,SUMIF(куб!$B:$B,$B954,куб!U:U))))))</f>
        <v>0</v>
      </c>
      <c r="AL954" s="16" t="str">
        <f t="shared" si="320"/>
        <v>-</v>
      </c>
      <c r="AM954" s="8"/>
      <c r="AN954" s="17" t="str">
        <f t="shared" si="321"/>
        <v xml:space="preserve"> </v>
      </c>
      <c r="AO954" s="17" t="str">
        <f t="shared" si="322"/>
        <v xml:space="preserve"> </v>
      </c>
      <c r="AP954" s="16" t="str">
        <f t="shared" si="323"/>
        <v>-</v>
      </c>
      <c r="AQ954" s="8"/>
      <c r="AR954" s="17" t="str">
        <f t="shared" si="324"/>
        <v>-</v>
      </c>
      <c r="AS954" s="17" t="str">
        <f t="shared" si="325"/>
        <v>-</v>
      </c>
      <c r="AT954" s="13" t="str">
        <f t="shared" si="326"/>
        <v>-</v>
      </c>
      <c r="AU954" s="8"/>
    </row>
    <row r="955" spans="1:47" x14ac:dyDescent="0.25">
      <c r="A955" s="31"/>
      <c r="B955" s="31"/>
      <c r="C955"/>
      <c r="D955" s="31"/>
      <c r="E955"/>
      <c r="F955" s="31"/>
      <c r="G955"/>
      <c r="H955" s="27">
        <f>IF($G955&lt;&gt;0,SUMIF(куб!$G:$G,$G955,куб!H:H),IF($E955&lt;&gt;0,SUMIF(куб!$E:$E,$E955,куб!H:H),IF($D955&lt;&gt;0,SUMIF(куб!$D:$D,$D955,куб!H:H),IF($C955&lt;&gt;0,SUMIF(куб!$C:$C,$C955,куб!H:H),IF($B955&lt;&gt;0,SUMIF(куб!$B:$B,$B955,куб!H:H),IF($G955&lt;&gt;0,SUMIF(куб!$A:$A,$G955,куб!H:H),SUMIF(куб!$A:$A,$G955,куб!H:H)))))))</f>
        <v>0</v>
      </c>
      <c r="I955" s="27">
        <f>IF($G955&lt;&gt;0,SUMIF(куб!$G:$G,$G955,куб!I:I),IF($E955&lt;&gt;0,SUMIF(куб!$E:$E,$E955,куб!I:I),IF($D955&lt;&gt;0,SUMIF(куб!$D:$D,$D955,куб!I:I),IF($C955&lt;&gt;0,SUMIF(куб!$C:$C,$C955,куб!I:I),IF($B955&lt;&gt;0,SUMIF(куб!$B:$B,$B955,куб!I:I),IF($G955&lt;&gt;0,SUMIF(куб!$A:$A,$G955,куб!I:I),SUMIF(куб!$A:$A,$G955,куб!I:I)))))))</f>
        <v>0</v>
      </c>
      <c r="J955" s="19" t="str">
        <f t="shared" si="309"/>
        <v>-</v>
      </c>
      <c r="K955" s="8"/>
      <c r="L955" s="17">
        <f t="shared" si="310"/>
        <v>0</v>
      </c>
      <c r="M955" s="17">
        <f t="shared" si="311"/>
        <v>0</v>
      </c>
      <c r="N955" s="12">
        <f t="shared" si="312"/>
        <v>0</v>
      </c>
      <c r="O955" s="5"/>
      <c r="P955" s="27" t="b">
        <f>IF($G955&lt;&gt;0,SUMIF(куб!$G:$G,$G955,куб!J:J),IF($E955&lt;&gt;0,SUMIF(куб!$E:$E,$E955,куб!J:J),IF($D955&lt;&gt;0,SUMIF(куб!$D:$D,$D955,куб!J:J),IF($C955&lt;&gt;0,SUMIF(куб!$C:$C,$C955,куб!J:J),IF($B955&lt;&gt;0,SUMIF(куб!$B:$B,$B955,куб!J:J))))))</f>
        <v>0</v>
      </c>
      <c r="Q955" s="27" t="b">
        <f>IF($G955&lt;&gt;0,SUMIF(куб!$G:$G,$G955,куб!K:K),IF($E955&lt;&gt;0,SUMIF(куб!$E:$E,$E955,куб!K:K),IF($D955&lt;&gt;0,SUMIF(куб!$D:$D,$D955,куб!K:K),IF($C955&lt;&gt;0,SUMIF(куб!$C:$C,$C955,куб!K:K),IF($B955&lt;&gt;0,SUMIF(куб!$B:$B,$B955,куб!K:K))))))</f>
        <v>0</v>
      </c>
      <c r="R955" s="13" t="str">
        <f t="shared" si="313"/>
        <v>-</v>
      </c>
      <c r="S955" s="5"/>
      <c r="T955" s="27" t="b">
        <f>IF($G955&lt;&gt;0,SUMIF(куб!$G:$G,$G955,куб!L:L),IF($E955&lt;&gt;0,SUMIF(куб!$E:$E,$E955,куб!L:L),IF($D955&lt;&gt;0,SUMIF(куб!$D:$D,$D955,куб!L:L),IF($C955&lt;&gt;0,SUMIF(куб!$C:$C,$C955,куб!L:L),IF($B955&lt;&gt;0,SUMIF(куб!$B:$B,$B955,куб!L:L))))))</f>
        <v>0</v>
      </c>
      <c r="U955" s="27" t="b">
        <f>IF($G955&lt;&gt;0,SUMIF(куб!$G:$G,$G955,куб!M:M),IF($E955&lt;&gt;0,SUMIF(куб!$E:$E,$E955,куб!M:M),IF($D955&lt;&gt;0,SUMIF(куб!$D:$D,$D955,куб!M:M),IF($C955&lt;&gt;0,SUMIF(куб!$C:$C,$C955,куб!M:M),IF($B955&lt;&gt;0,SUMIF(куб!$B:$B,$B955,куб!M:M))))))</f>
        <v>0</v>
      </c>
      <c r="V955" s="13" t="str">
        <f t="shared" si="314"/>
        <v>-</v>
      </c>
      <c r="W955" s="5"/>
      <c r="X955" s="27" t="b">
        <f>IF($G955&lt;&gt;0,SUMIF(куб!$G:$G,$G955,куб!N:N),IF($E955&lt;&gt;0,SUMIF(куб!$E:$E,$E955,куб!N:N),IF($D955&lt;&gt;0,SUMIF(куб!$D:$D,$D955,куб!N:N),IF($C955&lt;&gt;0,SUMIF(куб!$C:$C,$C955,куб!N:N),IF($B955&lt;&gt;0,SUMIF(куб!$B:$B,$B955,куб!N:N))))))</f>
        <v>0</v>
      </c>
      <c r="Y955" s="27" t="b">
        <f>IF($G955&lt;&gt;0,SUMIF(куб!$G:$G,$G955,куб!O:O),IF($E955&lt;&gt;0,SUMIF(куб!$E:$E,$E955,куб!O:O),IF($D955&lt;&gt;0,SUMIF(куб!$D:$D,$D955,куб!O:O),IF($C955&lt;&gt;0,SUMIF(куб!$C:$C,$C955,куб!O:O),IF($B955&lt;&gt;0,SUMIF(куб!$B:$B,$B955,куб!O:O))))))</f>
        <v>0</v>
      </c>
      <c r="Z955" s="13" t="str">
        <f t="shared" si="315"/>
        <v>-</v>
      </c>
      <c r="AA955" s="5"/>
      <c r="AB955" s="33" t="str">
        <f t="shared" si="316"/>
        <v/>
      </c>
      <c r="AC955" s="33" t="str">
        <f t="shared" si="317"/>
        <v/>
      </c>
      <c r="AD955" s="15" t="str">
        <f t="shared" si="318"/>
        <v xml:space="preserve"> </v>
      </c>
      <c r="AE955" s="5"/>
      <c r="AF955" s="27" t="b">
        <f>IF($G955&lt;&gt;0,SUMIF(куб!$G:$G,$G955,куб!R:R),IF($E955&lt;&gt;0,SUMIF(куб!$E:$E,$E955,куб!R:R),IF($D955&lt;&gt;0,SUMIF(куб!$D:$D,$D955,куб!R:R),IF($C955&lt;&gt;0,SUMIF(куб!$C:$C,$C955,куб!R:R),IF($B955&lt;&gt;0,SUMIF(куб!$B:$B,$B955,куб!R:R))))))</f>
        <v>0</v>
      </c>
      <c r="AG955" s="27" t="b">
        <f>IF($G955&lt;&gt;0,SUMIF(куб!$G:$G,$G955,куб!S:S),IF($E955&lt;&gt;0,SUMIF(куб!$E:$E,$E955,куб!S:S),IF($D955&lt;&gt;0,SUMIF(куб!$D:$D,$D955,куб!S:S),IF($C955&lt;&gt;0,SUMIF(куб!$C:$C,$C955,куб!S:S),IF($B955&lt;&gt;0,SUMIF(куб!$B:$B,$B955,куб!S:S))))))</f>
        <v>0</v>
      </c>
      <c r="AH955" s="16" t="str">
        <f t="shared" si="319"/>
        <v>-</v>
      </c>
      <c r="AI955" s="8"/>
      <c r="AJ955" s="27" t="b">
        <f>IF($G955&lt;&gt;0,SUMIF(куб!$G:$G,$G955,куб!T:T),IF($E955&lt;&gt;0,SUMIF(куб!$E:$E,$E955,куб!T:T),IF($D955&lt;&gt;0,SUMIF(куб!$D:$D,$D955,куб!T:T),IF($C955&lt;&gt;0,SUMIF(куб!$C:$C,$C955,куб!T:T),IF($B955&lt;&gt;0,SUMIF(куб!$B:$B,$B955,куб!T:T))))))</f>
        <v>0</v>
      </c>
      <c r="AK955" s="27" t="b">
        <f>IF($G955&lt;&gt;0,SUMIF(куб!$G:$G,$G955,куб!U:U),IF($E955&lt;&gt;0,SUMIF(куб!$E:$E,$E955,куб!U:U),IF($D955&lt;&gt;0,SUMIF(куб!$D:$D,$D955,куб!U:U),IF($C955&lt;&gt;0,SUMIF(куб!$C:$C,$C955,куб!U:U),IF($B955&lt;&gt;0,SUMIF(куб!$B:$B,$B955,куб!U:U))))))</f>
        <v>0</v>
      </c>
      <c r="AL955" s="16" t="str">
        <f t="shared" si="320"/>
        <v>-</v>
      </c>
      <c r="AM955" s="8"/>
      <c r="AN955" s="17" t="str">
        <f t="shared" si="321"/>
        <v xml:space="preserve"> </v>
      </c>
      <c r="AO955" s="17" t="str">
        <f t="shared" si="322"/>
        <v xml:space="preserve"> </v>
      </c>
      <c r="AP955" s="16" t="str">
        <f t="shared" si="323"/>
        <v>-</v>
      </c>
      <c r="AQ955" s="8"/>
      <c r="AR955" s="17" t="str">
        <f t="shared" si="324"/>
        <v>-</v>
      </c>
      <c r="AS955" s="17" t="str">
        <f t="shared" si="325"/>
        <v>-</v>
      </c>
      <c r="AT955" s="13" t="str">
        <f t="shared" si="326"/>
        <v>-</v>
      </c>
      <c r="AU955" s="8"/>
    </row>
    <row r="956" spans="1:47" x14ac:dyDescent="0.25">
      <c r="A956" s="31"/>
      <c r="B956" s="31"/>
      <c r="C956"/>
      <c r="D956" s="31"/>
      <c r="E956"/>
      <c r="F956" s="31"/>
      <c r="G956"/>
      <c r="H956" s="27">
        <f>IF($G956&lt;&gt;0,SUMIF(куб!$G:$G,$G956,куб!H:H),IF($E956&lt;&gt;0,SUMIF(куб!$E:$E,$E956,куб!H:H),IF($D956&lt;&gt;0,SUMIF(куб!$D:$D,$D956,куб!H:H),IF($C956&lt;&gt;0,SUMIF(куб!$C:$C,$C956,куб!H:H),IF($B956&lt;&gt;0,SUMIF(куб!$B:$B,$B956,куб!H:H),IF($G956&lt;&gt;0,SUMIF(куб!$A:$A,$G956,куб!H:H),SUMIF(куб!$A:$A,$G956,куб!H:H)))))))</f>
        <v>0</v>
      </c>
      <c r="I956" s="27">
        <f>IF($G956&lt;&gt;0,SUMIF(куб!$G:$G,$G956,куб!I:I),IF($E956&lt;&gt;0,SUMIF(куб!$E:$E,$E956,куб!I:I),IF($D956&lt;&gt;0,SUMIF(куб!$D:$D,$D956,куб!I:I),IF($C956&lt;&gt;0,SUMIF(куб!$C:$C,$C956,куб!I:I),IF($B956&lt;&gt;0,SUMIF(куб!$B:$B,$B956,куб!I:I),IF($G956&lt;&gt;0,SUMIF(куб!$A:$A,$G956,куб!I:I),SUMIF(куб!$A:$A,$G956,куб!I:I)))))))</f>
        <v>0</v>
      </c>
      <c r="J956" s="19" t="str">
        <f t="shared" si="309"/>
        <v>-</v>
      </c>
      <c r="K956" s="8"/>
      <c r="L956" s="17">
        <f t="shared" si="310"/>
        <v>0</v>
      </c>
      <c r="M956" s="17">
        <f t="shared" si="311"/>
        <v>0</v>
      </c>
      <c r="N956" s="12">
        <f t="shared" si="312"/>
        <v>0</v>
      </c>
      <c r="O956" s="5"/>
      <c r="P956" s="27" t="b">
        <f>IF($G956&lt;&gt;0,SUMIF(куб!$G:$G,$G956,куб!J:J),IF($E956&lt;&gt;0,SUMIF(куб!$E:$E,$E956,куб!J:J),IF($D956&lt;&gt;0,SUMIF(куб!$D:$D,$D956,куб!J:J),IF($C956&lt;&gt;0,SUMIF(куб!$C:$C,$C956,куб!J:J),IF($B956&lt;&gt;0,SUMIF(куб!$B:$B,$B956,куб!J:J))))))</f>
        <v>0</v>
      </c>
      <c r="Q956" s="27" t="b">
        <f>IF($G956&lt;&gt;0,SUMIF(куб!$G:$G,$G956,куб!K:K),IF($E956&lt;&gt;0,SUMIF(куб!$E:$E,$E956,куб!K:K),IF($D956&lt;&gt;0,SUMIF(куб!$D:$D,$D956,куб!K:K),IF($C956&lt;&gt;0,SUMIF(куб!$C:$C,$C956,куб!K:K),IF($B956&lt;&gt;0,SUMIF(куб!$B:$B,$B956,куб!K:K))))))</f>
        <v>0</v>
      </c>
      <c r="R956" s="13" t="str">
        <f t="shared" si="313"/>
        <v>-</v>
      </c>
      <c r="S956" s="5"/>
      <c r="T956" s="27" t="b">
        <f>IF($G956&lt;&gt;0,SUMIF(куб!$G:$G,$G956,куб!L:L),IF($E956&lt;&gt;0,SUMIF(куб!$E:$E,$E956,куб!L:L),IF($D956&lt;&gt;0,SUMIF(куб!$D:$D,$D956,куб!L:L),IF($C956&lt;&gt;0,SUMIF(куб!$C:$C,$C956,куб!L:L),IF($B956&lt;&gt;0,SUMIF(куб!$B:$B,$B956,куб!L:L))))))</f>
        <v>0</v>
      </c>
      <c r="U956" s="27" t="b">
        <f>IF($G956&lt;&gt;0,SUMIF(куб!$G:$G,$G956,куб!M:M),IF($E956&lt;&gt;0,SUMIF(куб!$E:$E,$E956,куб!M:M),IF($D956&lt;&gt;0,SUMIF(куб!$D:$D,$D956,куб!M:M),IF($C956&lt;&gt;0,SUMIF(куб!$C:$C,$C956,куб!M:M),IF($B956&lt;&gt;0,SUMIF(куб!$B:$B,$B956,куб!M:M))))))</f>
        <v>0</v>
      </c>
      <c r="V956" s="13" t="str">
        <f t="shared" si="314"/>
        <v>-</v>
      </c>
      <c r="W956" s="5"/>
      <c r="X956" s="27" t="b">
        <f>IF($G956&lt;&gt;0,SUMIF(куб!$G:$G,$G956,куб!N:N),IF($E956&lt;&gt;0,SUMIF(куб!$E:$E,$E956,куб!N:N),IF($D956&lt;&gt;0,SUMIF(куб!$D:$D,$D956,куб!N:N),IF($C956&lt;&gt;0,SUMIF(куб!$C:$C,$C956,куб!N:N),IF($B956&lt;&gt;0,SUMIF(куб!$B:$B,$B956,куб!N:N))))))</f>
        <v>0</v>
      </c>
      <c r="Y956" s="27" t="b">
        <f>IF($G956&lt;&gt;0,SUMIF(куб!$G:$G,$G956,куб!O:O),IF($E956&lt;&gt;0,SUMIF(куб!$E:$E,$E956,куб!O:O),IF($D956&lt;&gt;0,SUMIF(куб!$D:$D,$D956,куб!O:O),IF($C956&lt;&gt;0,SUMIF(куб!$C:$C,$C956,куб!O:O),IF($B956&lt;&gt;0,SUMIF(куб!$B:$B,$B956,куб!O:O))))))</f>
        <v>0</v>
      </c>
      <c r="Z956" s="13" t="str">
        <f t="shared" si="315"/>
        <v>-</v>
      </c>
      <c r="AA956" s="5"/>
      <c r="AB956" s="33" t="str">
        <f t="shared" si="316"/>
        <v/>
      </c>
      <c r="AC956" s="33" t="str">
        <f t="shared" si="317"/>
        <v/>
      </c>
      <c r="AD956" s="15" t="str">
        <f t="shared" si="318"/>
        <v xml:space="preserve"> </v>
      </c>
      <c r="AE956" s="5"/>
      <c r="AF956" s="27" t="b">
        <f>IF($G956&lt;&gt;0,SUMIF(куб!$G:$G,$G956,куб!R:R),IF($E956&lt;&gt;0,SUMIF(куб!$E:$E,$E956,куб!R:R),IF($D956&lt;&gt;0,SUMIF(куб!$D:$D,$D956,куб!R:R),IF($C956&lt;&gt;0,SUMIF(куб!$C:$C,$C956,куб!R:R),IF($B956&lt;&gt;0,SUMIF(куб!$B:$B,$B956,куб!R:R))))))</f>
        <v>0</v>
      </c>
      <c r="AG956" s="27" t="b">
        <f>IF($G956&lt;&gt;0,SUMIF(куб!$G:$G,$G956,куб!S:S),IF($E956&lt;&gt;0,SUMIF(куб!$E:$E,$E956,куб!S:S),IF($D956&lt;&gt;0,SUMIF(куб!$D:$D,$D956,куб!S:S),IF($C956&lt;&gt;0,SUMIF(куб!$C:$C,$C956,куб!S:S),IF($B956&lt;&gt;0,SUMIF(куб!$B:$B,$B956,куб!S:S))))))</f>
        <v>0</v>
      </c>
      <c r="AH956" s="16" t="str">
        <f t="shared" si="319"/>
        <v>-</v>
      </c>
      <c r="AI956" s="8"/>
      <c r="AJ956" s="27" t="b">
        <f>IF($G956&lt;&gt;0,SUMIF(куб!$G:$G,$G956,куб!T:T),IF($E956&lt;&gt;0,SUMIF(куб!$E:$E,$E956,куб!T:T),IF($D956&lt;&gt;0,SUMIF(куб!$D:$D,$D956,куб!T:T),IF($C956&lt;&gt;0,SUMIF(куб!$C:$C,$C956,куб!T:T),IF($B956&lt;&gt;0,SUMIF(куб!$B:$B,$B956,куб!T:T))))))</f>
        <v>0</v>
      </c>
      <c r="AK956" s="27" t="b">
        <f>IF($G956&lt;&gt;0,SUMIF(куб!$G:$G,$G956,куб!U:U),IF($E956&lt;&gt;0,SUMIF(куб!$E:$E,$E956,куб!U:U),IF($D956&lt;&gt;0,SUMIF(куб!$D:$D,$D956,куб!U:U),IF($C956&lt;&gt;0,SUMIF(куб!$C:$C,$C956,куб!U:U),IF($B956&lt;&gt;0,SUMIF(куб!$B:$B,$B956,куб!U:U))))))</f>
        <v>0</v>
      </c>
      <c r="AL956" s="16" t="str">
        <f t="shared" si="320"/>
        <v>-</v>
      </c>
      <c r="AM956" s="8"/>
      <c r="AN956" s="17" t="str">
        <f t="shared" si="321"/>
        <v xml:space="preserve"> </v>
      </c>
      <c r="AO956" s="17" t="str">
        <f t="shared" si="322"/>
        <v xml:space="preserve"> </v>
      </c>
      <c r="AP956" s="16" t="str">
        <f t="shared" si="323"/>
        <v>-</v>
      </c>
      <c r="AQ956" s="8"/>
      <c r="AR956" s="17" t="str">
        <f t="shared" si="324"/>
        <v>-</v>
      </c>
      <c r="AS956" s="17" t="str">
        <f t="shared" si="325"/>
        <v>-</v>
      </c>
      <c r="AT956" s="13" t="str">
        <f t="shared" si="326"/>
        <v>-</v>
      </c>
      <c r="AU956" s="8"/>
    </row>
    <row r="957" spans="1:47" x14ac:dyDescent="0.25">
      <c r="A957" s="31"/>
      <c r="B957" s="31"/>
      <c r="C957"/>
      <c r="D957" s="31"/>
      <c r="E957"/>
      <c r="F957" s="31"/>
      <c r="G957"/>
      <c r="H957" s="27">
        <f>IF($G957&lt;&gt;0,SUMIF(куб!$G:$G,$G957,куб!H:H),IF($E957&lt;&gt;0,SUMIF(куб!$E:$E,$E957,куб!H:H),IF($D957&lt;&gt;0,SUMIF(куб!$D:$D,$D957,куб!H:H),IF($C957&lt;&gt;0,SUMIF(куб!$C:$C,$C957,куб!H:H),IF($B957&lt;&gt;0,SUMIF(куб!$B:$B,$B957,куб!H:H),IF($G957&lt;&gt;0,SUMIF(куб!$A:$A,$G957,куб!H:H),SUMIF(куб!$A:$A,$G957,куб!H:H)))))))</f>
        <v>0</v>
      </c>
      <c r="I957" s="27">
        <f>IF($G957&lt;&gt;0,SUMIF(куб!$G:$G,$G957,куб!I:I),IF($E957&lt;&gt;0,SUMIF(куб!$E:$E,$E957,куб!I:I),IF($D957&lt;&gt;0,SUMIF(куб!$D:$D,$D957,куб!I:I),IF($C957&lt;&gt;0,SUMIF(куб!$C:$C,$C957,куб!I:I),IF($B957&lt;&gt;0,SUMIF(куб!$B:$B,$B957,куб!I:I),IF($G957&lt;&gt;0,SUMIF(куб!$A:$A,$G957,куб!I:I),SUMIF(куб!$A:$A,$G957,куб!I:I)))))))</f>
        <v>0</v>
      </c>
      <c r="J957" s="19" t="str">
        <f t="shared" si="309"/>
        <v>-</v>
      </c>
      <c r="K957" s="8"/>
      <c r="L957" s="17">
        <f t="shared" si="310"/>
        <v>0</v>
      </c>
      <c r="M957" s="17">
        <f t="shared" si="311"/>
        <v>0</v>
      </c>
      <c r="N957" s="12">
        <f t="shared" si="312"/>
        <v>0</v>
      </c>
      <c r="O957" s="5"/>
      <c r="P957" s="27" t="b">
        <f>IF($G957&lt;&gt;0,SUMIF(куб!$G:$G,$G957,куб!J:J),IF($E957&lt;&gt;0,SUMIF(куб!$E:$E,$E957,куб!J:J),IF($D957&lt;&gt;0,SUMIF(куб!$D:$D,$D957,куб!J:J),IF($C957&lt;&gt;0,SUMIF(куб!$C:$C,$C957,куб!J:J),IF($B957&lt;&gt;0,SUMIF(куб!$B:$B,$B957,куб!J:J))))))</f>
        <v>0</v>
      </c>
      <c r="Q957" s="27" t="b">
        <f>IF($G957&lt;&gt;0,SUMIF(куб!$G:$G,$G957,куб!K:K),IF($E957&lt;&gt;0,SUMIF(куб!$E:$E,$E957,куб!K:K),IF($D957&lt;&gt;0,SUMIF(куб!$D:$D,$D957,куб!K:K),IF($C957&lt;&gt;0,SUMIF(куб!$C:$C,$C957,куб!K:K),IF($B957&lt;&gt;0,SUMIF(куб!$B:$B,$B957,куб!K:K))))))</f>
        <v>0</v>
      </c>
      <c r="R957" s="13" t="str">
        <f t="shared" si="313"/>
        <v>-</v>
      </c>
      <c r="S957" s="5"/>
      <c r="T957" s="27" t="b">
        <f>IF($G957&lt;&gt;0,SUMIF(куб!$G:$G,$G957,куб!L:L),IF($E957&lt;&gt;0,SUMIF(куб!$E:$E,$E957,куб!L:L),IF($D957&lt;&gt;0,SUMIF(куб!$D:$D,$D957,куб!L:L),IF($C957&lt;&gt;0,SUMIF(куб!$C:$C,$C957,куб!L:L),IF($B957&lt;&gt;0,SUMIF(куб!$B:$B,$B957,куб!L:L))))))</f>
        <v>0</v>
      </c>
      <c r="U957" s="27" t="b">
        <f>IF($G957&lt;&gt;0,SUMIF(куб!$G:$G,$G957,куб!M:M),IF($E957&lt;&gt;0,SUMIF(куб!$E:$E,$E957,куб!M:M),IF($D957&lt;&gt;0,SUMIF(куб!$D:$D,$D957,куб!M:M),IF($C957&lt;&gt;0,SUMIF(куб!$C:$C,$C957,куб!M:M),IF($B957&lt;&gt;0,SUMIF(куб!$B:$B,$B957,куб!M:M))))))</f>
        <v>0</v>
      </c>
      <c r="V957" s="13" t="str">
        <f t="shared" si="314"/>
        <v>-</v>
      </c>
      <c r="W957" s="5"/>
      <c r="X957" s="27" t="b">
        <f>IF($G957&lt;&gt;0,SUMIF(куб!$G:$G,$G957,куб!N:N),IF($E957&lt;&gt;0,SUMIF(куб!$E:$E,$E957,куб!N:N),IF($D957&lt;&gt;0,SUMIF(куб!$D:$D,$D957,куб!N:N),IF($C957&lt;&gt;0,SUMIF(куб!$C:$C,$C957,куб!N:N),IF($B957&lt;&gt;0,SUMIF(куб!$B:$B,$B957,куб!N:N))))))</f>
        <v>0</v>
      </c>
      <c r="Y957" s="27" t="b">
        <f>IF($G957&lt;&gt;0,SUMIF(куб!$G:$G,$G957,куб!O:O),IF($E957&lt;&gt;0,SUMIF(куб!$E:$E,$E957,куб!O:O),IF($D957&lt;&gt;0,SUMIF(куб!$D:$D,$D957,куб!O:O),IF($C957&lt;&gt;0,SUMIF(куб!$C:$C,$C957,куб!O:O),IF($B957&lt;&gt;0,SUMIF(куб!$B:$B,$B957,куб!O:O))))))</f>
        <v>0</v>
      </c>
      <c r="Z957" s="13" t="str">
        <f t="shared" si="315"/>
        <v>-</v>
      </c>
      <c r="AA957" s="5"/>
      <c r="AB957" s="33" t="str">
        <f t="shared" si="316"/>
        <v/>
      </c>
      <c r="AC957" s="33" t="str">
        <f t="shared" si="317"/>
        <v/>
      </c>
      <c r="AD957" s="15" t="str">
        <f t="shared" si="318"/>
        <v xml:space="preserve"> </v>
      </c>
      <c r="AE957" s="5"/>
      <c r="AF957" s="27" t="b">
        <f>IF($G957&lt;&gt;0,SUMIF(куб!$G:$G,$G957,куб!R:R),IF($E957&lt;&gt;0,SUMIF(куб!$E:$E,$E957,куб!R:R),IF($D957&lt;&gt;0,SUMIF(куб!$D:$D,$D957,куб!R:R),IF($C957&lt;&gt;0,SUMIF(куб!$C:$C,$C957,куб!R:R),IF($B957&lt;&gt;0,SUMIF(куб!$B:$B,$B957,куб!R:R))))))</f>
        <v>0</v>
      </c>
      <c r="AG957" s="27" t="b">
        <f>IF($G957&lt;&gt;0,SUMIF(куб!$G:$G,$G957,куб!S:S),IF($E957&lt;&gt;0,SUMIF(куб!$E:$E,$E957,куб!S:S),IF($D957&lt;&gt;0,SUMIF(куб!$D:$D,$D957,куб!S:S),IF($C957&lt;&gt;0,SUMIF(куб!$C:$C,$C957,куб!S:S),IF($B957&lt;&gt;0,SUMIF(куб!$B:$B,$B957,куб!S:S))))))</f>
        <v>0</v>
      </c>
      <c r="AH957" s="16" t="str">
        <f t="shared" si="319"/>
        <v>-</v>
      </c>
      <c r="AI957" s="8"/>
      <c r="AJ957" s="27" t="b">
        <f>IF($G957&lt;&gt;0,SUMIF(куб!$G:$G,$G957,куб!T:T),IF($E957&lt;&gt;0,SUMIF(куб!$E:$E,$E957,куб!T:T),IF($D957&lt;&gt;0,SUMIF(куб!$D:$D,$D957,куб!T:T),IF($C957&lt;&gt;0,SUMIF(куб!$C:$C,$C957,куб!T:T),IF($B957&lt;&gt;0,SUMIF(куб!$B:$B,$B957,куб!T:T))))))</f>
        <v>0</v>
      </c>
      <c r="AK957" s="27" t="b">
        <f>IF($G957&lt;&gt;0,SUMIF(куб!$G:$G,$G957,куб!U:U),IF($E957&lt;&gt;0,SUMIF(куб!$E:$E,$E957,куб!U:U),IF($D957&lt;&gt;0,SUMIF(куб!$D:$D,$D957,куб!U:U),IF($C957&lt;&gt;0,SUMIF(куб!$C:$C,$C957,куб!U:U),IF($B957&lt;&gt;0,SUMIF(куб!$B:$B,$B957,куб!U:U))))))</f>
        <v>0</v>
      </c>
      <c r="AL957" s="16" t="str">
        <f t="shared" si="320"/>
        <v>-</v>
      </c>
      <c r="AM957" s="8"/>
      <c r="AN957" s="17" t="str">
        <f t="shared" si="321"/>
        <v xml:space="preserve"> </v>
      </c>
      <c r="AO957" s="17" t="str">
        <f t="shared" si="322"/>
        <v xml:space="preserve"> </v>
      </c>
      <c r="AP957" s="16" t="str">
        <f t="shared" si="323"/>
        <v>-</v>
      </c>
      <c r="AQ957" s="8"/>
      <c r="AR957" s="17" t="str">
        <f t="shared" si="324"/>
        <v>-</v>
      </c>
      <c r="AS957" s="17" t="str">
        <f t="shared" si="325"/>
        <v>-</v>
      </c>
      <c r="AT957" s="13" t="str">
        <f t="shared" si="326"/>
        <v>-</v>
      </c>
      <c r="AU957" s="8"/>
    </row>
    <row r="958" spans="1:47" x14ac:dyDescent="0.25">
      <c r="A958" s="31"/>
      <c r="B958" s="31"/>
      <c r="C958"/>
      <c r="D958" s="31"/>
      <c r="E958"/>
      <c r="F958" s="31"/>
      <c r="G958"/>
      <c r="H958" s="27">
        <f>IF($G958&lt;&gt;0,SUMIF(куб!$G:$G,$G958,куб!H:H),IF($E958&lt;&gt;0,SUMIF(куб!$E:$E,$E958,куб!H:H),IF($D958&lt;&gt;0,SUMIF(куб!$D:$D,$D958,куб!H:H),IF($C958&lt;&gt;0,SUMIF(куб!$C:$C,$C958,куб!H:H),IF($B958&lt;&gt;0,SUMIF(куб!$B:$B,$B958,куб!H:H),IF($G958&lt;&gt;0,SUMIF(куб!$A:$A,$G958,куб!H:H),SUMIF(куб!$A:$A,$G958,куб!H:H)))))))</f>
        <v>0</v>
      </c>
      <c r="I958" s="27">
        <f>IF($G958&lt;&gt;0,SUMIF(куб!$G:$G,$G958,куб!I:I),IF($E958&lt;&gt;0,SUMIF(куб!$E:$E,$E958,куб!I:I),IF($D958&lt;&gt;0,SUMIF(куб!$D:$D,$D958,куб!I:I),IF($C958&lt;&gt;0,SUMIF(куб!$C:$C,$C958,куб!I:I),IF($B958&lt;&gt;0,SUMIF(куб!$B:$B,$B958,куб!I:I),IF($G958&lt;&gt;0,SUMIF(куб!$A:$A,$G958,куб!I:I),SUMIF(куб!$A:$A,$G958,куб!I:I)))))))</f>
        <v>0</v>
      </c>
      <c r="J958" s="19" t="str">
        <f t="shared" si="309"/>
        <v>-</v>
      </c>
      <c r="K958" s="8"/>
      <c r="L958" s="17">
        <f t="shared" si="310"/>
        <v>0</v>
      </c>
      <c r="M958" s="17">
        <f t="shared" si="311"/>
        <v>0</v>
      </c>
      <c r="N958" s="12">
        <f t="shared" si="312"/>
        <v>0</v>
      </c>
      <c r="O958" s="5"/>
      <c r="P958" s="27" t="b">
        <f>IF($G958&lt;&gt;0,SUMIF(куб!$G:$G,$G958,куб!J:J),IF($E958&lt;&gt;0,SUMIF(куб!$E:$E,$E958,куб!J:J),IF($D958&lt;&gt;0,SUMIF(куб!$D:$D,$D958,куб!J:J),IF($C958&lt;&gt;0,SUMIF(куб!$C:$C,$C958,куб!J:J),IF($B958&lt;&gt;0,SUMIF(куб!$B:$B,$B958,куб!J:J))))))</f>
        <v>0</v>
      </c>
      <c r="Q958" s="27" t="b">
        <f>IF($G958&lt;&gt;0,SUMIF(куб!$G:$G,$G958,куб!K:K),IF($E958&lt;&gt;0,SUMIF(куб!$E:$E,$E958,куб!K:K),IF($D958&lt;&gt;0,SUMIF(куб!$D:$D,$D958,куб!K:K),IF($C958&lt;&gt;0,SUMIF(куб!$C:$C,$C958,куб!K:K),IF($B958&lt;&gt;0,SUMIF(куб!$B:$B,$B958,куб!K:K))))))</f>
        <v>0</v>
      </c>
      <c r="R958" s="13" t="str">
        <f t="shared" si="313"/>
        <v>-</v>
      </c>
      <c r="S958" s="5"/>
      <c r="T958" s="27" t="b">
        <f>IF($G958&lt;&gt;0,SUMIF(куб!$G:$G,$G958,куб!L:L),IF($E958&lt;&gt;0,SUMIF(куб!$E:$E,$E958,куб!L:L),IF($D958&lt;&gt;0,SUMIF(куб!$D:$D,$D958,куб!L:L),IF($C958&lt;&gt;0,SUMIF(куб!$C:$C,$C958,куб!L:L),IF($B958&lt;&gt;0,SUMIF(куб!$B:$B,$B958,куб!L:L))))))</f>
        <v>0</v>
      </c>
      <c r="U958" s="27" t="b">
        <f>IF($G958&lt;&gt;0,SUMIF(куб!$G:$G,$G958,куб!M:M),IF($E958&lt;&gt;0,SUMIF(куб!$E:$E,$E958,куб!M:M),IF($D958&lt;&gt;0,SUMIF(куб!$D:$D,$D958,куб!M:M),IF($C958&lt;&gt;0,SUMIF(куб!$C:$C,$C958,куб!M:M),IF($B958&lt;&gt;0,SUMIF(куб!$B:$B,$B958,куб!M:M))))))</f>
        <v>0</v>
      </c>
      <c r="V958" s="13" t="str">
        <f t="shared" si="314"/>
        <v>-</v>
      </c>
      <c r="W958" s="5"/>
      <c r="X958" s="27" t="b">
        <f>IF($G958&lt;&gt;0,SUMIF(куб!$G:$G,$G958,куб!N:N),IF($E958&lt;&gt;0,SUMIF(куб!$E:$E,$E958,куб!N:N),IF($D958&lt;&gt;0,SUMIF(куб!$D:$D,$D958,куб!N:N),IF($C958&lt;&gt;0,SUMIF(куб!$C:$C,$C958,куб!N:N),IF($B958&lt;&gt;0,SUMIF(куб!$B:$B,$B958,куб!N:N))))))</f>
        <v>0</v>
      </c>
      <c r="Y958" s="27" t="b">
        <f>IF($G958&lt;&gt;0,SUMIF(куб!$G:$G,$G958,куб!O:O),IF($E958&lt;&gt;0,SUMIF(куб!$E:$E,$E958,куб!O:O),IF($D958&lt;&gt;0,SUMIF(куб!$D:$D,$D958,куб!O:O),IF($C958&lt;&gt;0,SUMIF(куб!$C:$C,$C958,куб!O:O),IF($B958&lt;&gt;0,SUMIF(куб!$B:$B,$B958,куб!O:O))))))</f>
        <v>0</v>
      </c>
      <c r="Z958" s="13" t="str">
        <f t="shared" si="315"/>
        <v>-</v>
      </c>
      <c r="AA958" s="5"/>
      <c r="AB958" s="33" t="str">
        <f t="shared" si="316"/>
        <v/>
      </c>
      <c r="AC958" s="33" t="str">
        <f t="shared" si="317"/>
        <v/>
      </c>
      <c r="AD958" s="15" t="str">
        <f t="shared" si="318"/>
        <v xml:space="preserve"> </v>
      </c>
      <c r="AE958" s="5"/>
      <c r="AF958" s="27" t="b">
        <f>IF($G958&lt;&gt;0,SUMIF(куб!$G:$G,$G958,куб!R:R),IF($E958&lt;&gt;0,SUMIF(куб!$E:$E,$E958,куб!R:R),IF($D958&lt;&gt;0,SUMIF(куб!$D:$D,$D958,куб!R:R),IF($C958&lt;&gt;0,SUMIF(куб!$C:$C,$C958,куб!R:R),IF($B958&lt;&gt;0,SUMIF(куб!$B:$B,$B958,куб!R:R))))))</f>
        <v>0</v>
      </c>
      <c r="AG958" s="27" t="b">
        <f>IF($G958&lt;&gt;0,SUMIF(куб!$G:$G,$G958,куб!S:S),IF($E958&lt;&gt;0,SUMIF(куб!$E:$E,$E958,куб!S:S),IF($D958&lt;&gt;0,SUMIF(куб!$D:$D,$D958,куб!S:S),IF($C958&lt;&gt;0,SUMIF(куб!$C:$C,$C958,куб!S:S),IF($B958&lt;&gt;0,SUMIF(куб!$B:$B,$B958,куб!S:S))))))</f>
        <v>0</v>
      </c>
      <c r="AH958" s="16" t="str">
        <f t="shared" si="319"/>
        <v>-</v>
      </c>
      <c r="AI958" s="8"/>
      <c r="AJ958" s="27" t="b">
        <f>IF($G958&lt;&gt;0,SUMIF(куб!$G:$G,$G958,куб!T:T),IF($E958&lt;&gt;0,SUMIF(куб!$E:$E,$E958,куб!T:T),IF($D958&lt;&gt;0,SUMIF(куб!$D:$D,$D958,куб!T:T),IF($C958&lt;&gt;0,SUMIF(куб!$C:$C,$C958,куб!T:T),IF($B958&lt;&gt;0,SUMIF(куб!$B:$B,$B958,куб!T:T))))))</f>
        <v>0</v>
      </c>
      <c r="AK958" s="27" t="b">
        <f>IF($G958&lt;&gt;0,SUMIF(куб!$G:$G,$G958,куб!U:U),IF($E958&lt;&gt;0,SUMIF(куб!$E:$E,$E958,куб!U:U),IF($D958&lt;&gt;0,SUMIF(куб!$D:$D,$D958,куб!U:U),IF($C958&lt;&gt;0,SUMIF(куб!$C:$C,$C958,куб!U:U),IF($B958&lt;&gt;0,SUMIF(куб!$B:$B,$B958,куб!U:U))))))</f>
        <v>0</v>
      </c>
      <c r="AL958" s="16" t="str">
        <f t="shared" si="320"/>
        <v>-</v>
      </c>
      <c r="AM958" s="8"/>
      <c r="AN958" s="17" t="str">
        <f t="shared" si="321"/>
        <v xml:space="preserve"> </v>
      </c>
      <c r="AO958" s="17" t="str">
        <f t="shared" si="322"/>
        <v xml:space="preserve"> </v>
      </c>
      <c r="AP958" s="16" t="str">
        <f t="shared" si="323"/>
        <v>-</v>
      </c>
      <c r="AQ958" s="8"/>
      <c r="AR958" s="17" t="str">
        <f t="shared" si="324"/>
        <v>-</v>
      </c>
      <c r="AS958" s="17" t="str">
        <f t="shared" si="325"/>
        <v>-</v>
      </c>
      <c r="AT958" s="13" t="str">
        <f t="shared" si="326"/>
        <v>-</v>
      </c>
      <c r="AU958" s="8"/>
    </row>
    <row r="959" spans="1:47" x14ac:dyDescent="0.25">
      <c r="A959" s="31"/>
      <c r="B959" s="31"/>
      <c r="C959"/>
      <c r="D959" s="31"/>
      <c r="E959"/>
      <c r="F959" s="31"/>
      <c r="G959"/>
      <c r="H959" s="27">
        <f>IF($G959&lt;&gt;0,SUMIF(куб!$G:$G,$G959,куб!H:H),IF($E959&lt;&gt;0,SUMIF(куб!$E:$E,$E959,куб!H:H),IF($D959&lt;&gt;0,SUMIF(куб!$D:$D,$D959,куб!H:H),IF($C959&lt;&gt;0,SUMIF(куб!$C:$C,$C959,куб!H:H),IF($B959&lt;&gt;0,SUMIF(куб!$B:$B,$B959,куб!H:H),IF($G959&lt;&gt;0,SUMIF(куб!$A:$A,$G959,куб!H:H),SUMIF(куб!$A:$A,$G959,куб!H:H)))))))</f>
        <v>0</v>
      </c>
      <c r="I959" s="27">
        <f>IF($G959&lt;&gt;0,SUMIF(куб!$G:$G,$G959,куб!I:I),IF($E959&lt;&gt;0,SUMIF(куб!$E:$E,$E959,куб!I:I),IF($D959&lt;&gt;0,SUMIF(куб!$D:$D,$D959,куб!I:I),IF($C959&lt;&gt;0,SUMIF(куб!$C:$C,$C959,куб!I:I),IF($B959&lt;&gt;0,SUMIF(куб!$B:$B,$B959,куб!I:I),IF($G959&lt;&gt;0,SUMIF(куб!$A:$A,$G959,куб!I:I),SUMIF(куб!$A:$A,$G959,куб!I:I)))))))</f>
        <v>0</v>
      </c>
      <c r="J959" s="19" t="str">
        <f t="shared" si="309"/>
        <v>-</v>
      </c>
      <c r="K959" s="8"/>
      <c r="L959" s="17">
        <f t="shared" si="310"/>
        <v>0</v>
      </c>
      <c r="M959" s="17">
        <f t="shared" si="311"/>
        <v>0</v>
      </c>
      <c r="N959" s="12">
        <f t="shared" si="312"/>
        <v>0</v>
      </c>
      <c r="O959" s="5"/>
      <c r="P959" s="27" t="b">
        <f>IF($G959&lt;&gt;0,SUMIF(куб!$G:$G,$G959,куб!J:J),IF($E959&lt;&gt;0,SUMIF(куб!$E:$E,$E959,куб!J:J),IF($D959&lt;&gt;0,SUMIF(куб!$D:$D,$D959,куб!J:J),IF($C959&lt;&gt;0,SUMIF(куб!$C:$C,$C959,куб!J:J),IF($B959&lt;&gt;0,SUMIF(куб!$B:$B,$B959,куб!J:J))))))</f>
        <v>0</v>
      </c>
      <c r="Q959" s="27" t="b">
        <f>IF($G959&lt;&gt;0,SUMIF(куб!$G:$G,$G959,куб!K:K),IF($E959&lt;&gt;0,SUMIF(куб!$E:$E,$E959,куб!K:K),IF($D959&lt;&gt;0,SUMIF(куб!$D:$D,$D959,куб!K:K),IF($C959&lt;&gt;0,SUMIF(куб!$C:$C,$C959,куб!K:K),IF($B959&lt;&gt;0,SUMIF(куб!$B:$B,$B959,куб!K:K))))))</f>
        <v>0</v>
      </c>
      <c r="R959" s="13" t="str">
        <f t="shared" si="313"/>
        <v>-</v>
      </c>
      <c r="S959" s="5"/>
      <c r="T959" s="27" t="b">
        <f>IF($G959&lt;&gt;0,SUMIF(куб!$G:$G,$G959,куб!L:L),IF($E959&lt;&gt;0,SUMIF(куб!$E:$E,$E959,куб!L:L),IF($D959&lt;&gt;0,SUMIF(куб!$D:$D,$D959,куб!L:L),IF($C959&lt;&gt;0,SUMIF(куб!$C:$C,$C959,куб!L:L),IF($B959&lt;&gt;0,SUMIF(куб!$B:$B,$B959,куб!L:L))))))</f>
        <v>0</v>
      </c>
      <c r="U959" s="27" t="b">
        <f>IF($G959&lt;&gt;0,SUMIF(куб!$G:$G,$G959,куб!M:M),IF($E959&lt;&gt;0,SUMIF(куб!$E:$E,$E959,куб!M:M),IF($D959&lt;&gt;0,SUMIF(куб!$D:$D,$D959,куб!M:M),IF($C959&lt;&gt;0,SUMIF(куб!$C:$C,$C959,куб!M:M),IF($B959&lt;&gt;0,SUMIF(куб!$B:$B,$B959,куб!M:M))))))</f>
        <v>0</v>
      </c>
      <c r="V959" s="13" t="str">
        <f t="shared" si="314"/>
        <v>-</v>
      </c>
      <c r="W959" s="5"/>
      <c r="X959" s="27" t="b">
        <f>IF($G959&lt;&gt;0,SUMIF(куб!$G:$G,$G959,куб!N:N),IF($E959&lt;&gt;0,SUMIF(куб!$E:$E,$E959,куб!N:N),IF($D959&lt;&gt;0,SUMIF(куб!$D:$D,$D959,куб!N:N),IF($C959&lt;&gt;0,SUMIF(куб!$C:$C,$C959,куб!N:N),IF($B959&lt;&gt;0,SUMIF(куб!$B:$B,$B959,куб!N:N))))))</f>
        <v>0</v>
      </c>
      <c r="Y959" s="27" t="b">
        <f>IF($G959&lt;&gt;0,SUMIF(куб!$G:$G,$G959,куб!O:O),IF($E959&lt;&gt;0,SUMIF(куб!$E:$E,$E959,куб!O:O),IF($D959&lt;&gt;0,SUMIF(куб!$D:$D,$D959,куб!O:O),IF($C959&lt;&gt;0,SUMIF(куб!$C:$C,$C959,куб!O:O),IF($B959&lt;&gt;0,SUMIF(куб!$B:$B,$B959,куб!O:O))))))</f>
        <v>0</v>
      </c>
      <c r="Z959" s="13" t="str">
        <f t="shared" si="315"/>
        <v>-</v>
      </c>
      <c r="AA959" s="5"/>
      <c r="AB959" s="33" t="str">
        <f t="shared" si="316"/>
        <v/>
      </c>
      <c r="AC959" s="33" t="str">
        <f t="shared" si="317"/>
        <v/>
      </c>
      <c r="AD959" s="15" t="str">
        <f t="shared" si="318"/>
        <v xml:space="preserve"> </v>
      </c>
      <c r="AE959" s="5"/>
      <c r="AF959" s="27" t="b">
        <f>IF($G959&lt;&gt;0,SUMIF(куб!$G:$G,$G959,куб!R:R),IF($E959&lt;&gt;0,SUMIF(куб!$E:$E,$E959,куб!R:R),IF($D959&lt;&gt;0,SUMIF(куб!$D:$D,$D959,куб!R:R),IF($C959&lt;&gt;0,SUMIF(куб!$C:$C,$C959,куб!R:R),IF($B959&lt;&gt;0,SUMIF(куб!$B:$B,$B959,куб!R:R))))))</f>
        <v>0</v>
      </c>
      <c r="AG959" s="27" t="b">
        <f>IF($G959&lt;&gt;0,SUMIF(куб!$G:$G,$G959,куб!S:S),IF($E959&lt;&gt;0,SUMIF(куб!$E:$E,$E959,куб!S:S),IF($D959&lt;&gt;0,SUMIF(куб!$D:$D,$D959,куб!S:S),IF($C959&lt;&gt;0,SUMIF(куб!$C:$C,$C959,куб!S:S),IF($B959&lt;&gt;0,SUMIF(куб!$B:$B,$B959,куб!S:S))))))</f>
        <v>0</v>
      </c>
      <c r="AH959" s="16" t="str">
        <f t="shared" si="319"/>
        <v>-</v>
      </c>
      <c r="AI959" s="8"/>
      <c r="AJ959" s="27" t="b">
        <f>IF($G959&lt;&gt;0,SUMIF(куб!$G:$G,$G959,куб!T:T),IF($E959&lt;&gt;0,SUMIF(куб!$E:$E,$E959,куб!T:T),IF($D959&lt;&gt;0,SUMIF(куб!$D:$D,$D959,куб!T:T),IF($C959&lt;&gt;0,SUMIF(куб!$C:$C,$C959,куб!T:T),IF($B959&lt;&gt;0,SUMIF(куб!$B:$B,$B959,куб!T:T))))))</f>
        <v>0</v>
      </c>
      <c r="AK959" s="27" t="b">
        <f>IF($G959&lt;&gt;0,SUMIF(куб!$G:$G,$G959,куб!U:U),IF($E959&lt;&gt;0,SUMIF(куб!$E:$E,$E959,куб!U:U),IF($D959&lt;&gt;0,SUMIF(куб!$D:$D,$D959,куб!U:U),IF($C959&lt;&gt;0,SUMIF(куб!$C:$C,$C959,куб!U:U),IF($B959&lt;&gt;0,SUMIF(куб!$B:$B,$B959,куб!U:U))))))</f>
        <v>0</v>
      </c>
      <c r="AL959" s="16" t="str">
        <f t="shared" si="320"/>
        <v>-</v>
      </c>
      <c r="AM959" s="8"/>
      <c r="AN959" s="17" t="str">
        <f t="shared" si="321"/>
        <v xml:space="preserve"> </v>
      </c>
      <c r="AO959" s="17" t="str">
        <f t="shared" si="322"/>
        <v xml:space="preserve"> </v>
      </c>
      <c r="AP959" s="16" t="str">
        <f t="shared" si="323"/>
        <v>-</v>
      </c>
      <c r="AQ959" s="8"/>
      <c r="AR959" s="17" t="str">
        <f t="shared" si="324"/>
        <v>-</v>
      </c>
      <c r="AS959" s="17" t="str">
        <f t="shared" si="325"/>
        <v>-</v>
      </c>
      <c r="AT959" s="13" t="str">
        <f t="shared" si="326"/>
        <v>-</v>
      </c>
      <c r="AU959" s="8"/>
    </row>
    <row r="960" spans="1:47" x14ac:dyDescent="0.25">
      <c r="A960" s="31"/>
      <c r="B960" s="31"/>
      <c r="C960"/>
      <c r="D960" s="31"/>
      <c r="E960"/>
      <c r="F960"/>
      <c r="G960"/>
      <c r="H960" s="27">
        <f>IF($G960&lt;&gt;0,SUMIF(куб!$G:$G,$G960,куб!H:H),IF($E960&lt;&gt;0,SUMIF(куб!$E:$E,$E960,куб!H:H),IF($D960&lt;&gt;0,SUMIF(куб!$D:$D,$D960,куб!H:H),IF($C960&lt;&gt;0,SUMIF(куб!$C:$C,$C960,куб!H:H),IF($B960&lt;&gt;0,SUMIF(куб!$B:$B,$B960,куб!H:H),IF($G960&lt;&gt;0,SUMIF(куб!$A:$A,$G960,куб!H:H),SUMIF(куб!$A:$A,$G960,куб!H:H)))))))</f>
        <v>0</v>
      </c>
      <c r="I960" s="27">
        <f>IF($G960&lt;&gt;0,SUMIF(куб!$G:$G,$G960,куб!I:I),IF($E960&lt;&gt;0,SUMIF(куб!$E:$E,$E960,куб!I:I),IF($D960&lt;&gt;0,SUMIF(куб!$D:$D,$D960,куб!I:I),IF($C960&lt;&gt;0,SUMIF(куб!$C:$C,$C960,куб!I:I),IF($B960&lt;&gt;0,SUMIF(куб!$B:$B,$B960,куб!I:I),IF($G960&lt;&gt;0,SUMIF(куб!$A:$A,$G960,куб!I:I),SUMIF(куб!$A:$A,$G960,куб!I:I)))))))</f>
        <v>0</v>
      </c>
      <c r="J960" s="19" t="str">
        <f t="shared" si="309"/>
        <v>-</v>
      </c>
      <c r="K960" s="8"/>
      <c r="L960" s="17">
        <f t="shared" si="310"/>
        <v>0</v>
      </c>
      <c r="M960" s="17">
        <f t="shared" si="311"/>
        <v>0</v>
      </c>
      <c r="N960" s="12">
        <f t="shared" si="312"/>
        <v>0</v>
      </c>
      <c r="O960" s="5"/>
      <c r="P960" s="27" t="b">
        <f>IF($G960&lt;&gt;0,SUMIF(куб!$G:$G,$G960,куб!J:J),IF($E960&lt;&gt;0,SUMIF(куб!$E:$E,$E960,куб!J:J),IF($D960&lt;&gt;0,SUMIF(куб!$D:$D,$D960,куб!J:J),IF($C960&lt;&gt;0,SUMIF(куб!$C:$C,$C960,куб!J:J),IF($B960&lt;&gt;0,SUMIF(куб!$B:$B,$B960,куб!J:J))))))</f>
        <v>0</v>
      </c>
      <c r="Q960" s="27" t="b">
        <f>IF($G960&lt;&gt;0,SUMIF(куб!$G:$G,$G960,куб!K:K),IF($E960&lt;&gt;0,SUMIF(куб!$E:$E,$E960,куб!K:K),IF($D960&lt;&gt;0,SUMIF(куб!$D:$D,$D960,куб!K:K),IF($C960&lt;&gt;0,SUMIF(куб!$C:$C,$C960,куб!K:K),IF($B960&lt;&gt;0,SUMIF(куб!$B:$B,$B960,куб!K:K))))))</f>
        <v>0</v>
      </c>
      <c r="R960" s="13" t="str">
        <f t="shared" si="313"/>
        <v>-</v>
      </c>
      <c r="S960" s="5"/>
      <c r="T960" s="27" t="b">
        <f>IF($G960&lt;&gt;0,SUMIF(куб!$G:$G,$G960,куб!L:L),IF($E960&lt;&gt;0,SUMIF(куб!$E:$E,$E960,куб!L:L),IF($D960&lt;&gt;0,SUMIF(куб!$D:$D,$D960,куб!L:L),IF($C960&lt;&gt;0,SUMIF(куб!$C:$C,$C960,куб!L:L),IF($B960&lt;&gt;0,SUMIF(куб!$B:$B,$B960,куб!L:L))))))</f>
        <v>0</v>
      </c>
      <c r="U960" s="27" t="b">
        <f>IF($G960&lt;&gt;0,SUMIF(куб!$G:$G,$G960,куб!M:M),IF($E960&lt;&gt;0,SUMIF(куб!$E:$E,$E960,куб!M:M),IF($D960&lt;&gt;0,SUMIF(куб!$D:$D,$D960,куб!M:M),IF($C960&lt;&gt;0,SUMIF(куб!$C:$C,$C960,куб!M:M),IF($B960&lt;&gt;0,SUMIF(куб!$B:$B,$B960,куб!M:M))))))</f>
        <v>0</v>
      </c>
      <c r="V960" s="13" t="str">
        <f t="shared" si="314"/>
        <v>-</v>
      </c>
      <c r="W960" s="5"/>
      <c r="X960" s="27" t="b">
        <f>IF($G960&lt;&gt;0,SUMIF(куб!$G:$G,$G960,куб!N:N),IF($E960&lt;&gt;0,SUMIF(куб!$E:$E,$E960,куб!N:N),IF($D960&lt;&gt;0,SUMIF(куб!$D:$D,$D960,куб!N:N),IF($C960&lt;&gt;0,SUMIF(куб!$C:$C,$C960,куб!N:N),IF($B960&lt;&gt;0,SUMIF(куб!$B:$B,$B960,куб!N:N))))))</f>
        <v>0</v>
      </c>
      <c r="Y960" s="27" t="b">
        <f>IF($G960&lt;&gt;0,SUMIF(куб!$G:$G,$G960,куб!O:O),IF($E960&lt;&gt;0,SUMIF(куб!$E:$E,$E960,куб!O:O),IF($D960&lt;&gt;0,SUMIF(куб!$D:$D,$D960,куб!O:O),IF($C960&lt;&gt;0,SUMIF(куб!$C:$C,$C960,куб!O:O),IF($B960&lt;&gt;0,SUMIF(куб!$B:$B,$B960,куб!O:O))))))</f>
        <v>0</v>
      </c>
      <c r="Z960" s="13" t="str">
        <f t="shared" si="315"/>
        <v>-</v>
      </c>
      <c r="AA960" s="5"/>
      <c r="AB960" s="33" t="str">
        <f t="shared" si="316"/>
        <v/>
      </c>
      <c r="AC960" s="33" t="str">
        <f t="shared" si="317"/>
        <v/>
      </c>
      <c r="AD960" s="15" t="str">
        <f t="shared" si="318"/>
        <v xml:space="preserve"> </v>
      </c>
      <c r="AE960" s="5"/>
      <c r="AF960" s="27" t="b">
        <f>IF($G960&lt;&gt;0,SUMIF(куб!$G:$G,$G960,куб!R:R),IF($E960&lt;&gt;0,SUMIF(куб!$E:$E,$E960,куб!R:R),IF($D960&lt;&gt;0,SUMIF(куб!$D:$D,$D960,куб!R:R),IF($C960&lt;&gt;0,SUMIF(куб!$C:$C,$C960,куб!R:R),IF($B960&lt;&gt;0,SUMIF(куб!$B:$B,$B960,куб!R:R))))))</f>
        <v>0</v>
      </c>
      <c r="AG960" s="27" t="b">
        <f>IF($G960&lt;&gt;0,SUMIF(куб!$G:$G,$G960,куб!S:S),IF($E960&lt;&gt;0,SUMIF(куб!$E:$E,$E960,куб!S:S),IF($D960&lt;&gt;0,SUMIF(куб!$D:$D,$D960,куб!S:S),IF($C960&lt;&gt;0,SUMIF(куб!$C:$C,$C960,куб!S:S),IF($B960&lt;&gt;0,SUMIF(куб!$B:$B,$B960,куб!S:S))))))</f>
        <v>0</v>
      </c>
      <c r="AH960" s="16" t="str">
        <f t="shared" si="319"/>
        <v>-</v>
      </c>
      <c r="AI960" s="8"/>
      <c r="AJ960" s="27" t="b">
        <f>IF($G960&lt;&gt;0,SUMIF(куб!$G:$G,$G960,куб!T:T),IF($E960&lt;&gt;0,SUMIF(куб!$E:$E,$E960,куб!T:T),IF($D960&lt;&gt;0,SUMIF(куб!$D:$D,$D960,куб!T:T),IF($C960&lt;&gt;0,SUMIF(куб!$C:$C,$C960,куб!T:T),IF($B960&lt;&gt;0,SUMIF(куб!$B:$B,$B960,куб!T:T))))))</f>
        <v>0</v>
      </c>
      <c r="AK960" s="27" t="b">
        <f>IF($G960&lt;&gt;0,SUMIF(куб!$G:$G,$G960,куб!U:U),IF($E960&lt;&gt;0,SUMIF(куб!$E:$E,$E960,куб!U:U),IF($D960&lt;&gt;0,SUMIF(куб!$D:$D,$D960,куб!U:U),IF($C960&lt;&gt;0,SUMIF(куб!$C:$C,$C960,куб!U:U),IF($B960&lt;&gt;0,SUMIF(куб!$B:$B,$B960,куб!U:U))))))</f>
        <v>0</v>
      </c>
      <c r="AL960" s="16" t="str">
        <f t="shared" si="320"/>
        <v>-</v>
      </c>
      <c r="AM960" s="8"/>
      <c r="AN960" s="17" t="str">
        <f t="shared" si="321"/>
        <v xml:space="preserve"> </v>
      </c>
      <c r="AO960" s="17" t="str">
        <f t="shared" si="322"/>
        <v xml:space="preserve"> </v>
      </c>
      <c r="AP960" s="16" t="str">
        <f t="shared" si="323"/>
        <v>-</v>
      </c>
      <c r="AQ960" s="8"/>
      <c r="AR960" s="17" t="str">
        <f t="shared" si="324"/>
        <v>-</v>
      </c>
      <c r="AS960" s="17" t="str">
        <f t="shared" si="325"/>
        <v>-</v>
      </c>
      <c r="AT960" s="13" t="str">
        <f t="shared" si="326"/>
        <v>-</v>
      </c>
      <c r="AU960" s="8"/>
    </row>
    <row r="961" spans="1:47" x14ac:dyDescent="0.25">
      <c r="A961" s="31"/>
      <c r="B961" s="31"/>
      <c r="C961"/>
      <c r="D961" s="31"/>
      <c r="E961" s="31"/>
      <c r="F961" s="31"/>
      <c r="G961" s="31"/>
      <c r="H961" s="27">
        <f>IF($G961&lt;&gt;0,SUMIF(куб!$G:$G,$G961,куб!H:H),IF($E961&lt;&gt;0,SUMIF(куб!$E:$E,$E961,куб!H:H),IF($D961&lt;&gt;0,SUMIF(куб!$D:$D,$D961,куб!H:H),IF($C961&lt;&gt;0,SUMIF(куб!$C:$C,$C961,куб!H:H),IF($B961&lt;&gt;0,SUMIF(куб!$B:$B,$B961,куб!H:H),IF($G961&lt;&gt;0,SUMIF(куб!$A:$A,$G961,куб!H:H),SUMIF(куб!$A:$A,$G961,куб!H:H)))))))</f>
        <v>0</v>
      </c>
      <c r="I961" s="27">
        <f>IF($G961&lt;&gt;0,SUMIF(куб!$G:$G,$G961,куб!I:I),IF($E961&lt;&gt;0,SUMIF(куб!$E:$E,$E961,куб!I:I),IF($D961&lt;&gt;0,SUMIF(куб!$D:$D,$D961,куб!I:I),IF($C961&lt;&gt;0,SUMIF(куб!$C:$C,$C961,куб!I:I),IF($B961&lt;&gt;0,SUMIF(куб!$B:$B,$B961,куб!I:I),IF($G961&lt;&gt;0,SUMIF(куб!$A:$A,$G961,куб!I:I),SUMIF(куб!$A:$A,$G961,куб!I:I)))))))</f>
        <v>0</v>
      </c>
      <c r="J961" s="19" t="str">
        <f t="shared" si="309"/>
        <v>-</v>
      </c>
      <c r="K961" s="8"/>
      <c r="L961" s="17">
        <f t="shared" si="310"/>
        <v>0</v>
      </c>
      <c r="M961" s="17">
        <f t="shared" si="311"/>
        <v>0</v>
      </c>
      <c r="N961" s="12">
        <f t="shared" si="312"/>
        <v>0</v>
      </c>
      <c r="O961" s="5"/>
      <c r="P961" s="27" t="b">
        <f>IF($G961&lt;&gt;0,SUMIF(куб!$G:$G,$G961,куб!J:J),IF($E961&lt;&gt;0,SUMIF(куб!$E:$E,$E961,куб!J:J),IF($D961&lt;&gt;0,SUMIF(куб!$D:$D,$D961,куб!J:J),IF($C961&lt;&gt;0,SUMIF(куб!$C:$C,$C961,куб!J:J),IF($B961&lt;&gt;0,SUMIF(куб!$B:$B,$B961,куб!J:J))))))</f>
        <v>0</v>
      </c>
      <c r="Q961" s="27" t="b">
        <f>IF($G961&lt;&gt;0,SUMIF(куб!$G:$G,$G961,куб!K:K),IF($E961&lt;&gt;0,SUMIF(куб!$E:$E,$E961,куб!K:K),IF($D961&lt;&gt;0,SUMIF(куб!$D:$D,$D961,куб!K:K),IF($C961&lt;&gt;0,SUMIF(куб!$C:$C,$C961,куб!K:K),IF($B961&lt;&gt;0,SUMIF(куб!$B:$B,$B961,куб!K:K))))))</f>
        <v>0</v>
      </c>
      <c r="R961" s="13" t="str">
        <f t="shared" si="313"/>
        <v>-</v>
      </c>
      <c r="S961" s="5"/>
      <c r="T961" s="27" t="b">
        <f>IF($G961&lt;&gt;0,SUMIF(куб!$G:$G,$G961,куб!L:L),IF($E961&lt;&gt;0,SUMIF(куб!$E:$E,$E961,куб!L:L),IF($D961&lt;&gt;0,SUMIF(куб!$D:$D,$D961,куб!L:L),IF($C961&lt;&gt;0,SUMIF(куб!$C:$C,$C961,куб!L:L),IF($B961&lt;&gt;0,SUMIF(куб!$B:$B,$B961,куб!L:L))))))</f>
        <v>0</v>
      </c>
      <c r="U961" s="27" t="b">
        <f>IF($G961&lt;&gt;0,SUMIF(куб!$G:$G,$G961,куб!M:M),IF($E961&lt;&gt;0,SUMIF(куб!$E:$E,$E961,куб!M:M),IF($D961&lt;&gt;0,SUMIF(куб!$D:$D,$D961,куб!M:M),IF($C961&lt;&gt;0,SUMIF(куб!$C:$C,$C961,куб!M:M),IF($B961&lt;&gt;0,SUMIF(куб!$B:$B,$B961,куб!M:M))))))</f>
        <v>0</v>
      </c>
      <c r="V961" s="13" t="str">
        <f t="shared" si="314"/>
        <v>-</v>
      </c>
      <c r="W961" s="5"/>
      <c r="X961" s="27" t="b">
        <f>IF($G961&lt;&gt;0,SUMIF(куб!$G:$G,$G961,куб!N:N),IF($E961&lt;&gt;0,SUMIF(куб!$E:$E,$E961,куб!N:N),IF($D961&lt;&gt;0,SUMIF(куб!$D:$D,$D961,куб!N:N),IF($C961&lt;&gt;0,SUMIF(куб!$C:$C,$C961,куб!N:N),IF($B961&lt;&gt;0,SUMIF(куб!$B:$B,$B961,куб!N:N))))))</f>
        <v>0</v>
      </c>
      <c r="Y961" s="27" t="b">
        <f>IF($G961&lt;&gt;0,SUMIF(куб!$G:$G,$G961,куб!O:O),IF($E961&lt;&gt;0,SUMIF(куб!$E:$E,$E961,куб!O:O),IF($D961&lt;&gt;0,SUMIF(куб!$D:$D,$D961,куб!O:O),IF($C961&lt;&gt;0,SUMIF(куб!$C:$C,$C961,куб!O:O),IF($B961&lt;&gt;0,SUMIF(куб!$B:$B,$B961,куб!O:O))))))</f>
        <v>0</v>
      </c>
      <c r="Z961" s="13" t="str">
        <f t="shared" si="315"/>
        <v>-</v>
      </c>
      <c r="AA961" s="5"/>
      <c r="AB961" s="33" t="str">
        <f t="shared" si="316"/>
        <v/>
      </c>
      <c r="AC961" s="33" t="str">
        <f t="shared" si="317"/>
        <v/>
      </c>
      <c r="AD961" s="15" t="str">
        <f t="shared" si="318"/>
        <v xml:space="preserve"> </v>
      </c>
      <c r="AE961" s="5"/>
      <c r="AF961" s="27" t="b">
        <f>IF($G961&lt;&gt;0,SUMIF(куб!$G:$G,$G961,куб!R:R),IF($E961&lt;&gt;0,SUMIF(куб!$E:$E,$E961,куб!R:R),IF($D961&lt;&gt;0,SUMIF(куб!$D:$D,$D961,куб!R:R),IF($C961&lt;&gt;0,SUMIF(куб!$C:$C,$C961,куб!R:R),IF($B961&lt;&gt;0,SUMIF(куб!$B:$B,$B961,куб!R:R))))))</f>
        <v>0</v>
      </c>
      <c r="AG961" s="27" t="b">
        <f>IF($G961&lt;&gt;0,SUMIF(куб!$G:$G,$G961,куб!S:S),IF($E961&lt;&gt;0,SUMIF(куб!$E:$E,$E961,куб!S:S),IF($D961&lt;&gt;0,SUMIF(куб!$D:$D,$D961,куб!S:S),IF($C961&lt;&gt;0,SUMIF(куб!$C:$C,$C961,куб!S:S),IF($B961&lt;&gt;0,SUMIF(куб!$B:$B,$B961,куб!S:S))))))</f>
        <v>0</v>
      </c>
      <c r="AH961" s="16" t="str">
        <f t="shared" si="319"/>
        <v>-</v>
      </c>
      <c r="AI961" s="8"/>
      <c r="AJ961" s="27" t="b">
        <f>IF($G961&lt;&gt;0,SUMIF(куб!$G:$G,$G961,куб!T:T),IF($E961&lt;&gt;0,SUMIF(куб!$E:$E,$E961,куб!T:T),IF($D961&lt;&gt;0,SUMIF(куб!$D:$D,$D961,куб!T:T),IF($C961&lt;&gt;0,SUMIF(куб!$C:$C,$C961,куб!T:T),IF($B961&lt;&gt;0,SUMIF(куб!$B:$B,$B961,куб!T:T))))))</f>
        <v>0</v>
      </c>
      <c r="AK961" s="27" t="b">
        <f>IF($G961&lt;&gt;0,SUMIF(куб!$G:$G,$G961,куб!U:U),IF($E961&lt;&gt;0,SUMIF(куб!$E:$E,$E961,куб!U:U),IF($D961&lt;&gt;0,SUMIF(куб!$D:$D,$D961,куб!U:U),IF($C961&lt;&gt;0,SUMIF(куб!$C:$C,$C961,куб!U:U),IF($B961&lt;&gt;0,SUMIF(куб!$B:$B,$B961,куб!U:U))))))</f>
        <v>0</v>
      </c>
      <c r="AL961" s="16" t="str">
        <f t="shared" si="320"/>
        <v>-</v>
      </c>
      <c r="AM961" s="8"/>
      <c r="AN961" s="17" t="str">
        <f t="shared" si="321"/>
        <v xml:space="preserve"> </v>
      </c>
      <c r="AO961" s="17" t="str">
        <f t="shared" si="322"/>
        <v xml:space="preserve"> </v>
      </c>
      <c r="AP961" s="16" t="str">
        <f t="shared" si="323"/>
        <v>-</v>
      </c>
      <c r="AQ961" s="8"/>
      <c r="AR961" s="17" t="str">
        <f t="shared" si="324"/>
        <v>-</v>
      </c>
      <c r="AS961" s="17" t="str">
        <f t="shared" si="325"/>
        <v>-</v>
      </c>
      <c r="AT961" s="13" t="str">
        <f t="shared" si="326"/>
        <v>-</v>
      </c>
      <c r="AU961" s="8"/>
    </row>
    <row r="962" spans="1:47" x14ac:dyDescent="0.25">
      <c r="A962" s="31"/>
      <c r="B962" s="31"/>
      <c r="C962"/>
      <c r="D962" s="31"/>
      <c r="E962"/>
      <c r="F962" s="31"/>
      <c r="G962"/>
      <c r="H962" s="27">
        <f>IF($G962&lt;&gt;0,SUMIF(куб!$G:$G,$G962,куб!H:H),IF($E962&lt;&gt;0,SUMIF(куб!$E:$E,$E962,куб!H:H),IF($D962&lt;&gt;0,SUMIF(куб!$D:$D,$D962,куб!H:H),IF($C962&lt;&gt;0,SUMIF(куб!$C:$C,$C962,куб!H:H),IF($B962&lt;&gt;0,SUMIF(куб!$B:$B,$B962,куб!H:H),IF($G962&lt;&gt;0,SUMIF(куб!$A:$A,$G962,куб!H:H),SUMIF(куб!$A:$A,$G962,куб!H:H)))))))</f>
        <v>0</v>
      </c>
      <c r="I962" s="27">
        <f>IF($G962&lt;&gt;0,SUMIF(куб!$G:$G,$G962,куб!I:I),IF($E962&lt;&gt;0,SUMIF(куб!$E:$E,$E962,куб!I:I),IF($D962&lt;&gt;0,SUMIF(куб!$D:$D,$D962,куб!I:I),IF($C962&lt;&gt;0,SUMIF(куб!$C:$C,$C962,куб!I:I),IF($B962&lt;&gt;0,SUMIF(куб!$B:$B,$B962,куб!I:I),IF($G962&lt;&gt;0,SUMIF(куб!$A:$A,$G962,куб!I:I),SUMIF(куб!$A:$A,$G962,куб!I:I)))))))</f>
        <v>0</v>
      </c>
      <c r="J962" s="19" t="str">
        <f t="shared" si="309"/>
        <v>-</v>
      </c>
      <c r="K962" s="8"/>
      <c r="L962" s="17">
        <f t="shared" si="310"/>
        <v>0</v>
      </c>
      <c r="M962" s="17">
        <f t="shared" si="311"/>
        <v>0</v>
      </c>
      <c r="N962" s="12">
        <f t="shared" si="312"/>
        <v>0</v>
      </c>
      <c r="O962" s="5"/>
      <c r="P962" s="27" t="b">
        <f>IF($G962&lt;&gt;0,SUMIF(куб!$G:$G,$G962,куб!J:J),IF($E962&lt;&gt;0,SUMIF(куб!$E:$E,$E962,куб!J:J),IF($D962&lt;&gt;0,SUMIF(куб!$D:$D,$D962,куб!J:J),IF($C962&lt;&gt;0,SUMIF(куб!$C:$C,$C962,куб!J:J),IF($B962&lt;&gt;0,SUMIF(куб!$B:$B,$B962,куб!J:J))))))</f>
        <v>0</v>
      </c>
      <c r="Q962" s="27" t="b">
        <f>IF($G962&lt;&gt;0,SUMIF(куб!$G:$G,$G962,куб!K:K),IF($E962&lt;&gt;0,SUMIF(куб!$E:$E,$E962,куб!K:K),IF($D962&lt;&gt;0,SUMIF(куб!$D:$D,$D962,куб!K:K),IF($C962&lt;&gt;0,SUMIF(куб!$C:$C,$C962,куб!K:K),IF($B962&lt;&gt;0,SUMIF(куб!$B:$B,$B962,куб!K:K))))))</f>
        <v>0</v>
      </c>
      <c r="R962" s="13" t="str">
        <f t="shared" si="313"/>
        <v>-</v>
      </c>
      <c r="S962" s="5"/>
      <c r="T962" s="27" t="b">
        <f>IF($G962&lt;&gt;0,SUMIF(куб!$G:$G,$G962,куб!L:L),IF($E962&lt;&gt;0,SUMIF(куб!$E:$E,$E962,куб!L:L),IF($D962&lt;&gt;0,SUMIF(куб!$D:$D,$D962,куб!L:L),IF($C962&lt;&gt;0,SUMIF(куб!$C:$C,$C962,куб!L:L),IF($B962&lt;&gt;0,SUMIF(куб!$B:$B,$B962,куб!L:L))))))</f>
        <v>0</v>
      </c>
      <c r="U962" s="27" t="b">
        <f>IF($G962&lt;&gt;0,SUMIF(куб!$G:$G,$G962,куб!M:M),IF($E962&lt;&gt;0,SUMIF(куб!$E:$E,$E962,куб!M:M),IF($D962&lt;&gt;0,SUMIF(куб!$D:$D,$D962,куб!M:M),IF($C962&lt;&gt;0,SUMIF(куб!$C:$C,$C962,куб!M:M),IF($B962&lt;&gt;0,SUMIF(куб!$B:$B,$B962,куб!M:M))))))</f>
        <v>0</v>
      </c>
      <c r="V962" s="13" t="str">
        <f t="shared" si="314"/>
        <v>-</v>
      </c>
      <c r="W962" s="5"/>
      <c r="X962" s="27" t="b">
        <f>IF($G962&lt;&gt;0,SUMIF(куб!$G:$G,$G962,куб!N:N),IF($E962&lt;&gt;0,SUMIF(куб!$E:$E,$E962,куб!N:N),IF($D962&lt;&gt;0,SUMIF(куб!$D:$D,$D962,куб!N:N),IF($C962&lt;&gt;0,SUMIF(куб!$C:$C,$C962,куб!N:N),IF($B962&lt;&gt;0,SUMIF(куб!$B:$B,$B962,куб!N:N))))))</f>
        <v>0</v>
      </c>
      <c r="Y962" s="27" t="b">
        <f>IF($G962&lt;&gt;0,SUMIF(куб!$G:$G,$G962,куб!O:O),IF($E962&lt;&gt;0,SUMIF(куб!$E:$E,$E962,куб!O:O),IF($D962&lt;&gt;0,SUMIF(куб!$D:$D,$D962,куб!O:O),IF($C962&lt;&gt;0,SUMIF(куб!$C:$C,$C962,куб!O:O),IF($B962&lt;&gt;0,SUMIF(куб!$B:$B,$B962,куб!O:O))))))</f>
        <v>0</v>
      </c>
      <c r="Z962" s="13" t="str">
        <f t="shared" si="315"/>
        <v>-</v>
      </c>
      <c r="AA962" s="5"/>
      <c r="AB962" s="33" t="str">
        <f t="shared" si="316"/>
        <v/>
      </c>
      <c r="AC962" s="33" t="str">
        <f t="shared" si="317"/>
        <v/>
      </c>
      <c r="AD962" s="15" t="str">
        <f t="shared" si="318"/>
        <v xml:space="preserve"> </v>
      </c>
      <c r="AE962" s="5"/>
      <c r="AF962" s="27" t="b">
        <f>IF($G962&lt;&gt;0,SUMIF(куб!$G:$G,$G962,куб!R:R),IF($E962&lt;&gt;0,SUMIF(куб!$E:$E,$E962,куб!R:R),IF($D962&lt;&gt;0,SUMIF(куб!$D:$D,$D962,куб!R:R),IF($C962&lt;&gt;0,SUMIF(куб!$C:$C,$C962,куб!R:R),IF($B962&lt;&gt;0,SUMIF(куб!$B:$B,$B962,куб!R:R))))))</f>
        <v>0</v>
      </c>
      <c r="AG962" s="27" t="b">
        <f>IF($G962&lt;&gt;0,SUMIF(куб!$G:$G,$G962,куб!S:S),IF($E962&lt;&gt;0,SUMIF(куб!$E:$E,$E962,куб!S:S),IF($D962&lt;&gt;0,SUMIF(куб!$D:$D,$D962,куб!S:S),IF($C962&lt;&gt;0,SUMIF(куб!$C:$C,$C962,куб!S:S),IF($B962&lt;&gt;0,SUMIF(куб!$B:$B,$B962,куб!S:S))))))</f>
        <v>0</v>
      </c>
      <c r="AH962" s="16" t="str">
        <f t="shared" si="319"/>
        <v>-</v>
      </c>
      <c r="AI962" s="8"/>
      <c r="AJ962" s="27" t="b">
        <f>IF($G962&lt;&gt;0,SUMIF(куб!$G:$G,$G962,куб!T:T),IF($E962&lt;&gt;0,SUMIF(куб!$E:$E,$E962,куб!T:T),IF($D962&lt;&gt;0,SUMIF(куб!$D:$D,$D962,куб!T:T),IF($C962&lt;&gt;0,SUMIF(куб!$C:$C,$C962,куб!T:T),IF($B962&lt;&gt;0,SUMIF(куб!$B:$B,$B962,куб!T:T))))))</f>
        <v>0</v>
      </c>
      <c r="AK962" s="27" t="b">
        <f>IF($G962&lt;&gt;0,SUMIF(куб!$G:$G,$G962,куб!U:U),IF($E962&lt;&gt;0,SUMIF(куб!$E:$E,$E962,куб!U:U),IF($D962&lt;&gt;0,SUMIF(куб!$D:$D,$D962,куб!U:U),IF($C962&lt;&gt;0,SUMIF(куб!$C:$C,$C962,куб!U:U),IF($B962&lt;&gt;0,SUMIF(куб!$B:$B,$B962,куб!U:U))))))</f>
        <v>0</v>
      </c>
      <c r="AL962" s="16" t="str">
        <f t="shared" si="320"/>
        <v>-</v>
      </c>
      <c r="AM962" s="8"/>
      <c r="AN962" s="17" t="str">
        <f t="shared" si="321"/>
        <v xml:space="preserve"> </v>
      </c>
      <c r="AO962" s="17" t="str">
        <f t="shared" si="322"/>
        <v xml:space="preserve"> </v>
      </c>
      <c r="AP962" s="16" t="str">
        <f t="shared" si="323"/>
        <v>-</v>
      </c>
      <c r="AQ962" s="8"/>
      <c r="AR962" s="17" t="str">
        <f t="shared" si="324"/>
        <v>-</v>
      </c>
      <c r="AS962" s="17" t="str">
        <f t="shared" si="325"/>
        <v>-</v>
      </c>
      <c r="AT962" s="13" t="str">
        <f t="shared" si="326"/>
        <v>-</v>
      </c>
      <c r="AU962" s="8"/>
    </row>
    <row r="963" spans="1:47" x14ac:dyDescent="0.25">
      <c r="A963" s="31"/>
      <c r="B963" s="31"/>
      <c r="C963"/>
      <c r="D963" s="31"/>
      <c r="E963"/>
      <c r="F963" s="31"/>
      <c r="G963"/>
      <c r="H963" s="27">
        <f>IF($G963&lt;&gt;0,SUMIF(куб!$G:$G,$G963,куб!H:H),IF($E963&lt;&gt;0,SUMIF(куб!$E:$E,$E963,куб!H:H),IF($D963&lt;&gt;0,SUMIF(куб!$D:$D,$D963,куб!H:H),IF($C963&lt;&gt;0,SUMIF(куб!$C:$C,$C963,куб!H:H),IF($B963&lt;&gt;0,SUMIF(куб!$B:$B,$B963,куб!H:H),IF($G963&lt;&gt;0,SUMIF(куб!$A:$A,$G963,куб!H:H),SUMIF(куб!$A:$A,$G963,куб!H:H)))))))</f>
        <v>0</v>
      </c>
      <c r="I963" s="27">
        <f>IF($G963&lt;&gt;0,SUMIF(куб!$G:$G,$G963,куб!I:I),IF($E963&lt;&gt;0,SUMIF(куб!$E:$E,$E963,куб!I:I),IF($D963&lt;&gt;0,SUMIF(куб!$D:$D,$D963,куб!I:I),IF($C963&lt;&gt;0,SUMIF(куб!$C:$C,$C963,куб!I:I),IF($B963&lt;&gt;0,SUMIF(куб!$B:$B,$B963,куб!I:I),IF($G963&lt;&gt;0,SUMIF(куб!$A:$A,$G963,куб!I:I),SUMIF(куб!$A:$A,$G963,куб!I:I)))))))</f>
        <v>0</v>
      </c>
      <c r="J963" s="19" t="str">
        <f t="shared" si="309"/>
        <v>-</v>
      </c>
      <c r="K963" s="8"/>
      <c r="L963" s="17">
        <f t="shared" si="310"/>
        <v>0</v>
      </c>
      <c r="M963" s="17">
        <f t="shared" si="311"/>
        <v>0</v>
      </c>
      <c r="N963" s="12">
        <f t="shared" si="312"/>
        <v>0</v>
      </c>
      <c r="O963" s="5"/>
      <c r="P963" s="27" t="b">
        <f>IF($G963&lt;&gt;0,SUMIF(куб!$G:$G,$G963,куб!J:J),IF($E963&lt;&gt;0,SUMIF(куб!$E:$E,$E963,куб!J:J),IF($D963&lt;&gt;0,SUMIF(куб!$D:$D,$D963,куб!J:J),IF($C963&lt;&gt;0,SUMIF(куб!$C:$C,$C963,куб!J:J),IF($B963&lt;&gt;0,SUMIF(куб!$B:$B,$B963,куб!J:J))))))</f>
        <v>0</v>
      </c>
      <c r="Q963" s="27" t="b">
        <f>IF($G963&lt;&gt;0,SUMIF(куб!$G:$G,$G963,куб!K:K),IF($E963&lt;&gt;0,SUMIF(куб!$E:$E,$E963,куб!K:K),IF($D963&lt;&gt;0,SUMIF(куб!$D:$D,$D963,куб!K:K),IF($C963&lt;&gt;0,SUMIF(куб!$C:$C,$C963,куб!K:K),IF($B963&lt;&gt;0,SUMIF(куб!$B:$B,$B963,куб!K:K))))))</f>
        <v>0</v>
      </c>
      <c r="R963" s="13" t="str">
        <f t="shared" si="313"/>
        <v>-</v>
      </c>
      <c r="S963" s="5"/>
      <c r="T963" s="27" t="b">
        <f>IF($G963&lt;&gt;0,SUMIF(куб!$G:$G,$G963,куб!L:L),IF($E963&lt;&gt;0,SUMIF(куб!$E:$E,$E963,куб!L:L),IF($D963&lt;&gt;0,SUMIF(куб!$D:$D,$D963,куб!L:L),IF($C963&lt;&gt;0,SUMIF(куб!$C:$C,$C963,куб!L:L),IF($B963&lt;&gt;0,SUMIF(куб!$B:$B,$B963,куб!L:L))))))</f>
        <v>0</v>
      </c>
      <c r="U963" s="27" t="b">
        <f>IF($G963&lt;&gt;0,SUMIF(куб!$G:$G,$G963,куб!M:M),IF($E963&lt;&gt;0,SUMIF(куб!$E:$E,$E963,куб!M:M),IF($D963&lt;&gt;0,SUMIF(куб!$D:$D,$D963,куб!M:M),IF($C963&lt;&gt;0,SUMIF(куб!$C:$C,$C963,куб!M:M),IF($B963&lt;&gt;0,SUMIF(куб!$B:$B,$B963,куб!M:M))))))</f>
        <v>0</v>
      </c>
      <c r="V963" s="13" t="str">
        <f t="shared" si="314"/>
        <v>-</v>
      </c>
      <c r="W963" s="5"/>
      <c r="X963" s="27" t="b">
        <f>IF($G963&lt;&gt;0,SUMIF(куб!$G:$G,$G963,куб!N:N),IF($E963&lt;&gt;0,SUMIF(куб!$E:$E,$E963,куб!N:N),IF($D963&lt;&gt;0,SUMIF(куб!$D:$D,$D963,куб!N:N),IF($C963&lt;&gt;0,SUMIF(куб!$C:$C,$C963,куб!N:N),IF($B963&lt;&gt;0,SUMIF(куб!$B:$B,$B963,куб!N:N))))))</f>
        <v>0</v>
      </c>
      <c r="Y963" s="27" t="b">
        <f>IF($G963&lt;&gt;0,SUMIF(куб!$G:$G,$G963,куб!O:O),IF($E963&lt;&gt;0,SUMIF(куб!$E:$E,$E963,куб!O:O),IF($D963&lt;&gt;0,SUMIF(куб!$D:$D,$D963,куб!O:O),IF($C963&lt;&gt;0,SUMIF(куб!$C:$C,$C963,куб!O:O),IF($B963&lt;&gt;0,SUMIF(куб!$B:$B,$B963,куб!O:O))))))</f>
        <v>0</v>
      </c>
      <c r="Z963" s="13" t="str">
        <f t="shared" si="315"/>
        <v>-</v>
      </c>
      <c r="AA963" s="5"/>
      <c r="AB963" s="33" t="str">
        <f t="shared" si="316"/>
        <v/>
      </c>
      <c r="AC963" s="33" t="str">
        <f t="shared" si="317"/>
        <v/>
      </c>
      <c r="AD963" s="15" t="str">
        <f t="shared" si="318"/>
        <v xml:space="preserve"> </v>
      </c>
      <c r="AE963" s="5"/>
      <c r="AF963" s="27" t="b">
        <f>IF($G963&lt;&gt;0,SUMIF(куб!$G:$G,$G963,куб!R:R),IF($E963&lt;&gt;0,SUMIF(куб!$E:$E,$E963,куб!R:R),IF($D963&lt;&gt;0,SUMIF(куб!$D:$D,$D963,куб!R:R),IF($C963&lt;&gt;0,SUMIF(куб!$C:$C,$C963,куб!R:R),IF($B963&lt;&gt;0,SUMIF(куб!$B:$B,$B963,куб!R:R))))))</f>
        <v>0</v>
      </c>
      <c r="AG963" s="27" t="b">
        <f>IF($G963&lt;&gt;0,SUMIF(куб!$G:$G,$G963,куб!S:S),IF($E963&lt;&gt;0,SUMIF(куб!$E:$E,$E963,куб!S:S),IF($D963&lt;&gt;0,SUMIF(куб!$D:$D,$D963,куб!S:S),IF($C963&lt;&gt;0,SUMIF(куб!$C:$C,$C963,куб!S:S),IF($B963&lt;&gt;0,SUMIF(куб!$B:$B,$B963,куб!S:S))))))</f>
        <v>0</v>
      </c>
      <c r="AH963" s="16" t="str">
        <f t="shared" si="319"/>
        <v>-</v>
      </c>
      <c r="AI963" s="8"/>
      <c r="AJ963" s="27" t="b">
        <f>IF($G963&lt;&gt;0,SUMIF(куб!$G:$G,$G963,куб!T:T),IF($E963&lt;&gt;0,SUMIF(куб!$E:$E,$E963,куб!T:T),IF($D963&lt;&gt;0,SUMIF(куб!$D:$D,$D963,куб!T:T),IF($C963&lt;&gt;0,SUMIF(куб!$C:$C,$C963,куб!T:T),IF($B963&lt;&gt;0,SUMIF(куб!$B:$B,$B963,куб!T:T))))))</f>
        <v>0</v>
      </c>
      <c r="AK963" s="27" t="b">
        <f>IF($G963&lt;&gt;0,SUMIF(куб!$G:$G,$G963,куб!U:U),IF($E963&lt;&gt;0,SUMIF(куб!$E:$E,$E963,куб!U:U),IF($D963&lt;&gt;0,SUMIF(куб!$D:$D,$D963,куб!U:U),IF($C963&lt;&gt;0,SUMIF(куб!$C:$C,$C963,куб!U:U),IF($B963&lt;&gt;0,SUMIF(куб!$B:$B,$B963,куб!U:U))))))</f>
        <v>0</v>
      </c>
      <c r="AL963" s="16" t="str">
        <f t="shared" si="320"/>
        <v>-</v>
      </c>
      <c r="AM963" s="8"/>
      <c r="AN963" s="17" t="str">
        <f t="shared" si="321"/>
        <v xml:space="preserve"> </v>
      </c>
      <c r="AO963" s="17" t="str">
        <f t="shared" si="322"/>
        <v xml:space="preserve"> </v>
      </c>
      <c r="AP963" s="16" t="str">
        <f t="shared" si="323"/>
        <v>-</v>
      </c>
      <c r="AQ963" s="8"/>
      <c r="AR963" s="17" t="str">
        <f t="shared" si="324"/>
        <v>-</v>
      </c>
      <c r="AS963" s="17" t="str">
        <f t="shared" si="325"/>
        <v>-</v>
      </c>
      <c r="AT963" s="13" t="str">
        <f t="shared" si="326"/>
        <v>-</v>
      </c>
      <c r="AU963" s="8"/>
    </row>
    <row r="964" spans="1:47" x14ac:dyDescent="0.25">
      <c r="A964" s="31"/>
      <c r="B964" s="31"/>
      <c r="C964"/>
      <c r="D964" s="31"/>
      <c r="E964"/>
      <c r="F964"/>
      <c r="G964"/>
      <c r="H964" s="27">
        <f>IF($G964&lt;&gt;0,SUMIF(куб!$G:$G,$G964,куб!H:H),IF($E964&lt;&gt;0,SUMIF(куб!$E:$E,$E964,куб!H:H),IF($D964&lt;&gt;0,SUMIF(куб!$D:$D,$D964,куб!H:H),IF($C964&lt;&gt;0,SUMIF(куб!$C:$C,$C964,куб!H:H),IF($B964&lt;&gt;0,SUMIF(куб!$B:$B,$B964,куб!H:H),IF($G964&lt;&gt;0,SUMIF(куб!$A:$A,$G964,куб!H:H),SUMIF(куб!$A:$A,$G964,куб!H:H)))))))</f>
        <v>0</v>
      </c>
      <c r="I964" s="27">
        <f>IF($G964&lt;&gt;0,SUMIF(куб!$G:$G,$G964,куб!I:I),IF($E964&lt;&gt;0,SUMIF(куб!$E:$E,$E964,куб!I:I),IF($D964&lt;&gt;0,SUMIF(куб!$D:$D,$D964,куб!I:I),IF($C964&lt;&gt;0,SUMIF(куб!$C:$C,$C964,куб!I:I),IF($B964&lt;&gt;0,SUMIF(куб!$B:$B,$B964,куб!I:I),IF($G964&lt;&gt;0,SUMIF(куб!$A:$A,$G964,куб!I:I),SUMIF(куб!$A:$A,$G964,куб!I:I)))))))</f>
        <v>0</v>
      </c>
      <c r="J964" s="19" t="str">
        <f t="shared" si="309"/>
        <v>-</v>
      </c>
      <c r="K964" s="8"/>
      <c r="L964" s="17">
        <f t="shared" si="310"/>
        <v>0</v>
      </c>
      <c r="M964" s="17">
        <f t="shared" si="311"/>
        <v>0</v>
      </c>
      <c r="N964" s="12">
        <f t="shared" si="312"/>
        <v>0</v>
      </c>
      <c r="O964" s="5"/>
      <c r="P964" s="27" t="b">
        <f>IF($G964&lt;&gt;0,SUMIF(куб!$G:$G,$G964,куб!J:J),IF($E964&lt;&gt;0,SUMIF(куб!$E:$E,$E964,куб!J:J),IF($D964&lt;&gt;0,SUMIF(куб!$D:$D,$D964,куб!J:J),IF($C964&lt;&gt;0,SUMIF(куб!$C:$C,$C964,куб!J:J),IF($B964&lt;&gt;0,SUMIF(куб!$B:$B,$B964,куб!J:J))))))</f>
        <v>0</v>
      </c>
      <c r="Q964" s="27" t="b">
        <f>IF($G964&lt;&gt;0,SUMIF(куб!$G:$G,$G964,куб!K:K),IF($E964&lt;&gt;0,SUMIF(куб!$E:$E,$E964,куб!K:K),IF($D964&lt;&gt;0,SUMIF(куб!$D:$D,$D964,куб!K:K),IF($C964&lt;&gt;0,SUMIF(куб!$C:$C,$C964,куб!K:K),IF($B964&lt;&gt;0,SUMIF(куб!$B:$B,$B964,куб!K:K))))))</f>
        <v>0</v>
      </c>
      <c r="R964" s="13" t="str">
        <f t="shared" si="313"/>
        <v>-</v>
      </c>
      <c r="S964" s="5"/>
      <c r="T964" s="27" t="b">
        <f>IF($G964&lt;&gt;0,SUMIF(куб!$G:$G,$G964,куб!L:L),IF($E964&lt;&gt;0,SUMIF(куб!$E:$E,$E964,куб!L:L),IF($D964&lt;&gt;0,SUMIF(куб!$D:$D,$D964,куб!L:L),IF($C964&lt;&gt;0,SUMIF(куб!$C:$C,$C964,куб!L:L),IF($B964&lt;&gt;0,SUMIF(куб!$B:$B,$B964,куб!L:L))))))</f>
        <v>0</v>
      </c>
      <c r="U964" s="27" t="b">
        <f>IF($G964&lt;&gt;0,SUMIF(куб!$G:$G,$G964,куб!M:M),IF($E964&lt;&gt;0,SUMIF(куб!$E:$E,$E964,куб!M:M),IF($D964&lt;&gt;0,SUMIF(куб!$D:$D,$D964,куб!M:M),IF($C964&lt;&gt;0,SUMIF(куб!$C:$C,$C964,куб!M:M),IF($B964&lt;&gt;0,SUMIF(куб!$B:$B,$B964,куб!M:M))))))</f>
        <v>0</v>
      </c>
      <c r="V964" s="13" t="str">
        <f t="shared" si="314"/>
        <v>-</v>
      </c>
      <c r="W964" s="5"/>
      <c r="X964" s="27" t="b">
        <f>IF($G964&lt;&gt;0,SUMIF(куб!$G:$G,$G964,куб!N:N),IF($E964&lt;&gt;0,SUMIF(куб!$E:$E,$E964,куб!N:N),IF($D964&lt;&gt;0,SUMIF(куб!$D:$D,$D964,куб!N:N),IF($C964&lt;&gt;0,SUMIF(куб!$C:$C,$C964,куб!N:N),IF($B964&lt;&gt;0,SUMIF(куб!$B:$B,$B964,куб!N:N))))))</f>
        <v>0</v>
      </c>
      <c r="Y964" s="27" t="b">
        <f>IF($G964&lt;&gt;0,SUMIF(куб!$G:$G,$G964,куб!O:O),IF($E964&lt;&gt;0,SUMIF(куб!$E:$E,$E964,куб!O:O),IF($D964&lt;&gt;0,SUMIF(куб!$D:$D,$D964,куб!O:O),IF($C964&lt;&gt;0,SUMIF(куб!$C:$C,$C964,куб!O:O),IF($B964&lt;&gt;0,SUMIF(куб!$B:$B,$B964,куб!O:O))))))</f>
        <v>0</v>
      </c>
      <c r="Z964" s="13" t="str">
        <f t="shared" si="315"/>
        <v>-</v>
      </c>
      <c r="AA964" s="5"/>
      <c r="AB964" s="33" t="str">
        <f t="shared" si="316"/>
        <v/>
      </c>
      <c r="AC964" s="33" t="str">
        <f t="shared" si="317"/>
        <v/>
      </c>
      <c r="AD964" s="15" t="str">
        <f t="shared" si="318"/>
        <v xml:space="preserve"> </v>
      </c>
      <c r="AE964" s="5"/>
      <c r="AF964" s="27" t="b">
        <f>IF($G964&lt;&gt;0,SUMIF(куб!$G:$G,$G964,куб!R:R),IF($E964&lt;&gt;0,SUMIF(куб!$E:$E,$E964,куб!R:R),IF($D964&lt;&gt;0,SUMIF(куб!$D:$D,$D964,куб!R:R),IF($C964&lt;&gt;0,SUMIF(куб!$C:$C,$C964,куб!R:R),IF($B964&lt;&gt;0,SUMIF(куб!$B:$B,$B964,куб!R:R))))))</f>
        <v>0</v>
      </c>
      <c r="AG964" s="27" t="b">
        <f>IF($G964&lt;&gt;0,SUMIF(куб!$G:$G,$G964,куб!S:S),IF($E964&lt;&gt;0,SUMIF(куб!$E:$E,$E964,куб!S:S),IF($D964&lt;&gt;0,SUMIF(куб!$D:$D,$D964,куб!S:S),IF($C964&lt;&gt;0,SUMIF(куб!$C:$C,$C964,куб!S:S),IF($B964&lt;&gt;0,SUMIF(куб!$B:$B,$B964,куб!S:S))))))</f>
        <v>0</v>
      </c>
      <c r="AH964" s="16" t="str">
        <f t="shared" si="319"/>
        <v>-</v>
      </c>
      <c r="AI964" s="8"/>
      <c r="AJ964" s="27" t="b">
        <f>IF($G964&lt;&gt;0,SUMIF(куб!$G:$G,$G964,куб!T:T),IF($E964&lt;&gt;0,SUMIF(куб!$E:$E,$E964,куб!T:T),IF($D964&lt;&gt;0,SUMIF(куб!$D:$D,$D964,куб!T:T),IF($C964&lt;&gt;0,SUMIF(куб!$C:$C,$C964,куб!T:T),IF($B964&lt;&gt;0,SUMIF(куб!$B:$B,$B964,куб!T:T))))))</f>
        <v>0</v>
      </c>
      <c r="AK964" s="27" t="b">
        <f>IF($G964&lt;&gt;0,SUMIF(куб!$G:$G,$G964,куб!U:U),IF($E964&lt;&gt;0,SUMIF(куб!$E:$E,$E964,куб!U:U),IF($D964&lt;&gt;0,SUMIF(куб!$D:$D,$D964,куб!U:U),IF($C964&lt;&gt;0,SUMIF(куб!$C:$C,$C964,куб!U:U),IF($B964&lt;&gt;0,SUMIF(куб!$B:$B,$B964,куб!U:U))))))</f>
        <v>0</v>
      </c>
      <c r="AL964" s="16" t="str">
        <f t="shared" si="320"/>
        <v>-</v>
      </c>
      <c r="AM964" s="8"/>
      <c r="AN964" s="17" t="str">
        <f t="shared" si="321"/>
        <v xml:space="preserve"> </v>
      </c>
      <c r="AO964" s="17" t="str">
        <f t="shared" si="322"/>
        <v xml:space="preserve"> </v>
      </c>
      <c r="AP964" s="16" t="str">
        <f t="shared" si="323"/>
        <v>-</v>
      </c>
      <c r="AQ964" s="8"/>
      <c r="AR964" s="17" t="str">
        <f t="shared" si="324"/>
        <v>-</v>
      </c>
      <c r="AS964" s="17" t="str">
        <f t="shared" si="325"/>
        <v>-</v>
      </c>
      <c r="AT964" s="13" t="str">
        <f t="shared" si="326"/>
        <v>-</v>
      </c>
      <c r="AU964" s="8"/>
    </row>
    <row r="965" spans="1:47" x14ac:dyDescent="0.25">
      <c r="A965" s="31"/>
      <c r="B965" s="31"/>
      <c r="C965"/>
      <c r="D965" s="31"/>
      <c r="E965" s="31"/>
      <c r="F965" s="31"/>
      <c r="G965" s="31"/>
      <c r="H965" s="27">
        <f>IF($G965&lt;&gt;0,SUMIF(куб!$G:$G,$G965,куб!H:H),IF($E965&lt;&gt;0,SUMIF(куб!$E:$E,$E965,куб!H:H),IF($D965&lt;&gt;0,SUMIF(куб!$D:$D,$D965,куб!H:H),IF($C965&lt;&gt;0,SUMIF(куб!$C:$C,$C965,куб!H:H),IF($B965&lt;&gt;0,SUMIF(куб!$B:$B,$B965,куб!H:H),IF($G965&lt;&gt;0,SUMIF(куб!$A:$A,$G965,куб!H:H),SUMIF(куб!$A:$A,$G965,куб!H:H)))))))</f>
        <v>0</v>
      </c>
      <c r="I965" s="27">
        <f>IF($G965&lt;&gt;0,SUMIF(куб!$G:$G,$G965,куб!I:I),IF($E965&lt;&gt;0,SUMIF(куб!$E:$E,$E965,куб!I:I),IF($D965&lt;&gt;0,SUMIF(куб!$D:$D,$D965,куб!I:I),IF($C965&lt;&gt;0,SUMIF(куб!$C:$C,$C965,куб!I:I),IF($B965&lt;&gt;0,SUMIF(куб!$B:$B,$B965,куб!I:I),IF($G965&lt;&gt;0,SUMIF(куб!$A:$A,$G965,куб!I:I),SUMIF(куб!$A:$A,$G965,куб!I:I)))))))</f>
        <v>0</v>
      </c>
      <c r="J965" s="19" t="str">
        <f t="shared" si="309"/>
        <v>-</v>
      </c>
      <c r="K965" s="8"/>
      <c r="L965" s="17">
        <f t="shared" si="310"/>
        <v>0</v>
      </c>
      <c r="M965" s="17">
        <f t="shared" si="311"/>
        <v>0</v>
      </c>
      <c r="N965" s="12">
        <f t="shared" si="312"/>
        <v>0</v>
      </c>
      <c r="O965" s="5"/>
      <c r="P965" s="27" t="b">
        <f>IF($G965&lt;&gt;0,SUMIF(куб!$G:$G,$G965,куб!J:J),IF($E965&lt;&gt;0,SUMIF(куб!$E:$E,$E965,куб!J:J),IF($D965&lt;&gt;0,SUMIF(куб!$D:$D,$D965,куб!J:J),IF($C965&lt;&gt;0,SUMIF(куб!$C:$C,$C965,куб!J:J),IF($B965&lt;&gt;0,SUMIF(куб!$B:$B,$B965,куб!J:J))))))</f>
        <v>0</v>
      </c>
      <c r="Q965" s="27" t="b">
        <f>IF($G965&lt;&gt;0,SUMIF(куб!$G:$G,$G965,куб!K:K),IF($E965&lt;&gt;0,SUMIF(куб!$E:$E,$E965,куб!K:K),IF($D965&lt;&gt;0,SUMIF(куб!$D:$D,$D965,куб!K:K),IF($C965&lt;&gt;0,SUMIF(куб!$C:$C,$C965,куб!K:K),IF($B965&lt;&gt;0,SUMIF(куб!$B:$B,$B965,куб!K:K))))))</f>
        <v>0</v>
      </c>
      <c r="R965" s="13" t="str">
        <f t="shared" si="313"/>
        <v>-</v>
      </c>
      <c r="S965" s="5"/>
      <c r="T965" s="27" t="b">
        <f>IF($G965&lt;&gt;0,SUMIF(куб!$G:$G,$G965,куб!L:L),IF($E965&lt;&gt;0,SUMIF(куб!$E:$E,$E965,куб!L:L),IF($D965&lt;&gt;0,SUMIF(куб!$D:$D,$D965,куб!L:L),IF($C965&lt;&gt;0,SUMIF(куб!$C:$C,$C965,куб!L:L),IF($B965&lt;&gt;0,SUMIF(куб!$B:$B,$B965,куб!L:L))))))</f>
        <v>0</v>
      </c>
      <c r="U965" s="27" t="b">
        <f>IF($G965&lt;&gt;0,SUMIF(куб!$G:$G,$G965,куб!M:M),IF($E965&lt;&gt;0,SUMIF(куб!$E:$E,$E965,куб!M:M),IF($D965&lt;&gt;0,SUMIF(куб!$D:$D,$D965,куб!M:M),IF($C965&lt;&gt;0,SUMIF(куб!$C:$C,$C965,куб!M:M),IF($B965&lt;&gt;0,SUMIF(куб!$B:$B,$B965,куб!M:M))))))</f>
        <v>0</v>
      </c>
      <c r="V965" s="13" t="str">
        <f t="shared" si="314"/>
        <v>-</v>
      </c>
      <c r="W965" s="5"/>
      <c r="X965" s="27" t="b">
        <f>IF($G965&lt;&gt;0,SUMIF(куб!$G:$G,$G965,куб!N:N),IF($E965&lt;&gt;0,SUMIF(куб!$E:$E,$E965,куб!N:N),IF($D965&lt;&gt;0,SUMIF(куб!$D:$D,$D965,куб!N:N),IF($C965&lt;&gt;0,SUMIF(куб!$C:$C,$C965,куб!N:N),IF($B965&lt;&gt;0,SUMIF(куб!$B:$B,$B965,куб!N:N))))))</f>
        <v>0</v>
      </c>
      <c r="Y965" s="27" t="b">
        <f>IF($G965&lt;&gt;0,SUMIF(куб!$G:$G,$G965,куб!O:O),IF($E965&lt;&gt;0,SUMIF(куб!$E:$E,$E965,куб!O:O),IF($D965&lt;&gt;0,SUMIF(куб!$D:$D,$D965,куб!O:O),IF($C965&lt;&gt;0,SUMIF(куб!$C:$C,$C965,куб!O:O),IF($B965&lt;&gt;0,SUMIF(куб!$B:$B,$B965,куб!O:O))))))</f>
        <v>0</v>
      </c>
      <c r="Z965" s="13" t="str">
        <f t="shared" si="315"/>
        <v>-</v>
      </c>
      <c r="AA965" s="5"/>
      <c r="AB965" s="33" t="str">
        <f t="shared" si="316"/>
        <v/>
      </c>
      <c r="AC965" s="33" t="str">
        <f t="shared" si="317"/>
        <v/>
      </c>
      <c r="AD965" s="15" t="str">
        <f t="shared" si="318"/>
        <v xml:space="preserve"> </v>
      </c>
      <c r="AE965" s="5"/>
      <c r="AF965" s="27" t="b">
        <f>IF($G965&lt;&gt;0,SUMIF(куб!$G:$G,$G965,куб!R:R),IF($E965&lt;&gt;0,SUMIF(куб!$E:$E,$E965,куб!R:R),IF($D965&lt;&gt;0,SUMIF(куб!$D:$D,$D965,куб!R:R),IF($C965&lt;&gt;0,SUMIF(куб!$C:$C,$C965,куб!R:R),IF($B965&lt;&gt;0,SUMIF(куб!$B:$B,$B965,куб!R:R))))))</f>
        <v>0</v>
      </c>
      <c r="AG965" s="27" t="b">
        <f>IF($G965&lt;&gt;0,SUMIF(куб!$G:$G,$G965,куб!S:S),IF($E965&lt;&gt;0,SUMIF(куб!$E:$E,$E965,куб!S:S),IF($D965&lt;&gt;0,SUMIF(куб!$D:$D,$D965,куб!S:S),IF($C965&lt;&gt;0,SUMIF(куб!$C:$C,$C965,куб!S:S),IF($B965&lt;&gt;0,SUMIF(куб!$B:$B,$B965,куб!S:S))))))</f>
        <v>0</v>
      </c>
      <c r="AH965" s="16" t="str">
        <f t="shared" si="319"/>
        <v>-</v>
      </c>
      <c r="AI965" s="8"/>
      <c r="AJ965" s="27" t="b">
        <f>IF($G965&lt;&gt;0,SUMIF(куб!$G:$G,$G965,куб!T:T),IF($E965&lt;&gt;0,SUMIF(куб!$E:$E,$E965,куб!T:T),IF($D965&lt;&gt;0,SUMIF(куб!$D:$D,$D965,куб!T:T),IF($C965&lt;&gt;0,SUMIF(куб!$C:$C,$C965,куб!T:T),IF($B965&lt;&gt;0,SUMIF(куб!$B:$B,$B965,куб!T:T))))))</f>
        <v>0</v>
      </c>
      <c r="AK965" s="27" t="b">
        <f>IF($G965&lt;&gt;0,SUMIF(куб!$G:$G,$G965,куб!U:U),IF($E965&lt;&gt;0,SUMIF(куб!$E:$E,$E965,куб!U:U),IF($D965&lt;&gt;0,SUMIF(куб!$D:$D,$D965,куб!U:U),IF($C965&lt;&gt;0,SUMIF(куб!$C:$C,$C965,куб!U:U),IF($B965&lt;&gt;0,SUMIF(куб!$B:$B,$B965,куб!U:U))))))</f>
        <v>0</v>
      </c>
      <c r="AL965" s="16" t="str">
        <f t="shared" si="320"/>
        <v>-</v>
      </c>
      <c r="AM965" s="8"/>
      <c r="AN965" s="17" t="str">
        <f t="shared" si="321"/>
        <v xml:space="preserve"> </v>
      </c>
      <c r="AO965" s="17" t="str">
        <f t="shared" si="322"/>
        <v xml:space="preserve"> </v>
      </c>
      <c r="AP965" s="16" t="str">
        <f t="shared" si="323"/>
        <v>-</v>
      </c>
      <c r="AQ965" s="8"/>
      <c r="AR965" s="17" t="str">
        <f t="shared" si="324"/>
        <v>-</v>
      </c>
      <c r="AS965" s="17" t="str">
        <f t="shared" si="325"/>
        <v>-</v>
      </c>
      <c r="AT965" s="13" t="str">
        <f t="shared" si="326"/>
        <v>-</v>
      </c>
      <c r="AU965" s="8"/>
    </row>
    <row r="966" spans="1:47" x14ac:dyDescent="0.25">
      <c r="A966" s="31"/>
      <c r="B966" s="31"/>
      <c r="C966"/>
      <c r="D966" s="31"/>
      <c r="E966"/>
      <c r="F966" s="31"/>
      <c r="G966"/>
      <c r="H966" s="27">
        <f>IF($G966&lt;&gt;0,SUMIF(куб!$G:$G,$G966,куб!H:H),IF($E966&lt;&gt;0,SUMIF(куб!$E:$E,$E966,куб!H:H),IF($D966&lt;&gt;0,SUMIF(куб!$D:$D,$D966,куб!H:H),IF($C966&lt;&gt;0,SUMIF(куб!$C:$C,$C966,куб!H:H),IF($B966&lt;&gt;0,SUMIF(куб!$B:$B,$B966,куб!H:H),IF($G966&lt;&gt;0,SUMIF(куб!$A:$A,$G966,куб!H:H),SUMIF(куб!$A:$A,$G966,куб!H:H)))))))</f>
        <v>0</v>
      </c>
      <c r="I966" s="27">
        <f>IF($G966&lt;&gt;0,SUMIF(куб!$G:$G,$G966,куб!I:I),IF($E966&lt;&gt;0,SUMIF(куб!$E:$E,$E966,куб!I:I),IF($D966&lt;&gt;0,SUMIF(куб!$D:$D,$D966,куб!I:I),IF($C966&lt;&gt;0,SUMIF(куб!$C:$C,$C966,куб!I:I),IF($B966&lt;&gt;0,SUMIF(куб!$B:$B,$B966,куб!I:I),IF($G966&lt;&gt;0,SUMIF(куб!$A:$A,$G966,куб!I:I),SUMIF(куб!$A:$A,$G966,куб!I:I)))))))</f>
        <v>0</v>
      </c>
      <c r="J966" s="19" t="str">
        <f t="shared" si="309"/>
        <v>-</v>
      </c>
      <c r="K966" s="8"/>
      <c r="L966" s="17">
        <f t="shared" si="310"/>
        <v>0</v>
      </c>
      <c r="M966" s="17">
        <f t="shared" si="311"/>
        <v>0</v>
      </c>
      <c r="N966" s="12">
        <f t="shared" si="312"/>
        <v>0</v>
      </c>
      <c r="O966" s="5"/>
      <c r="P966" s="27" t="b">
        <f>IF($G966&lt;&gt;0,SUMIF(куб!$G:$G,$G966,куб!J:J),IF($E966&lt;&gt;0,SUMIF(куб!$E:$E,$E966,куб!J:J),IF($D966&lt;&gt;0,SUMIF(куб!$D:$D,$D966,куб!J:J),IF($C966&lt;&gt;0,SUMIF(куб!$C:$C,$C966,куб!J:J),IF($B966&lt;&gt;0,SUMIF(куб!$B:$B,$B966,куб!J:J))))))</f>
        <v>0</v>
      </c>
      <c r="Q966" s="27" t="b">
        <f>IF($G966&lt;&gt;0,SUMIF(куб!$G:$G,$G966,куб!K:K),IF($E966&lt;&gt;0,SUMIF(куб!$E:$E,$E966,куб!K:K),IF($D966&lt;&gt;0,SUMIF(куб!$D:$D,$D966,куб!K:K),IF($C966&lt;&gt;0,SUMIF(куб!$C:$C,$C966,куб!K:K),IF($B966&lt;&gt;0,SUMIF(куб!$B:$B,$B966,куб!K:K))))))</f>
        <v>0</v>
      </c>
      <c r="R966" s="13" t="str">
        <f t="shared" si="313"/>
        <v>-</v>
      </c>
      <c r="S966" s="5"/>
      <c r="T966" s="27" t="b">
        <f>IF($G966&lt;&gt;0,SUMIF(куб!$G:$G,$G966,куб!L:L),IF($E966&lt;&gt;0,SUMIF(куб!$E:$E,$E966,куб!L:L),IF($D966&lt;&gt;0,SUMIF(куб!$D:$D,$D966,куб!L:L),IF($C966&lt;&gt;0,SUMIF(куб!$C:$C,$C966,куб!L:L),IF($B966&lt;&gt;0,SUMIF(куб!$B:$B,$B966,куб!L:L))))))</f>
        <v>0</v>
      </c>
      <c r="U966" s="27" t="b">
        <f>IF($G966&lt;&gt;0,SUMIF(куб!$G:$G,$G966,куб!M:M),IF($E966&lt;&gt;0,SUMIF(куб!$E:$E,$E966,куб!M:M),IF($D966&lt;&gt;0,SUMIF(куб!$D:$D,$D966,куб!M:M),IF($C966&lt;&gt;0,SUMIF(куб!$C:$C,$C966,куб!M:M),IF($B966&lt;&gt;0,SUMIF(куб!$B:$B,$B966,куб!M:M))))))</f>
        <v>0</v>
      </c>
      <c r="V966" s="13" t="str">
        <f t="shared" si="314"/>
        <v>-</v>
      </c>
      <c r="W966" s="5"/>
      <c r="X966" s="27" t="b">
        <f>IF($G966&lt;&gt;0,SUMIF(куб!$G:$G,$G966,куб!N:N),IF($E966&lt;&gt;0,SUMIF(куб!$E:$E,$E966,куб!N:N),IF($D966&lt;&gt;0,SUMIF(куб!$D:$D,$D966,куб!N:N),IF($C966&lt;&gt;0,SUMIF(куб!$C:$C,$C966,куб!N:N),IF($B966&lt;&gt;0,SUMIF(куб!$B:$B,$B966,куб!N:N))))))</f>
        <v>0</v>
      </c>
      <c r="Y966" s="27" t="b">
        <f>IF($G966&lt;&gt;0,SUMIF(куб!$G:$G,$G966,куб!O:O),IF($E966&lt;&gt;0,SUMIF(куб!$E:$E,$E966,куб!O:O),IF($D966&lt;&gt;0,SUMIF(куб!$D:$D,$D966,куб!O:O),IF($C966&lt;&gt;0,SUMIF(куб!$C:$C,$C966,куб!O:O),IF($B966&lt;&gt;0,SUMIF(куб!$B:$B,$B966,куб!O:O))))))</f>
        <v>0</v>
      </c>
      <c r="Z966" s="13" t="str">
        <f t="shared" si="315"/>
        <v>-</v>
      </c>
      <c r="AA966" s="5"/>
      <c r="AB966" s="33" t="str">
        <f t="shared" si="316"/>
        <v/>
      </c>
      <c r="AC966" s="33" t="str">
        <f t="shared" si="317"/>
        <v/>
      </c>
      <c r="AD966" s="15" t="str">
        <f t="shared" si="318"/>
        <v xml:space="preserve"> </v>
      </c>
      <c r="AE966" s="5"/>
      <c r="AF966" s="27" t="b">
        <f>IF($G966&lt;&gt;0,SUMIF(куб!$G:$G,$G966,куб!R:R),IF($E966&lt;&gt;0,SUMIF(куб!$E:$E,$E966,куб!R:R),IF($D966&lt;&gt;0,SUMIF(куб!$D:$D,$D966,куб!R:R),IF($C966&lt;&gt;0,SUMIF(куб!$C:$C,$C966,куб!R:R),IF($B966&lt;&gt;0,SUMIF(куб!$B:$B,$B966,куб!R:R))))))</f>
        <v>0</v>
      </c>
      <c r="AG966" s="27" t="b">
        <f>IF($G966&lt;&gt;0,SUMIF(куб!$G:$G,$G966,куб!S:S),IF($E966&lt;&gt;0,SUMIF(куб!$E:$E,$E966,куб!S:S),IF($D966&lt;&gt;0,SUMIF(куб!$D:$D,$D966,куб!S:S),IF($C966&lt;&gt;0,SUMIF(куб!$C:$C,$C966,куб!S:S),IF($B966&lt;&gt;0,SUMIF(куб!$B:$B,$B966,куб!S:S))))))</f>
        <v>0</v>
      </c>
      <c r="AH966" s="16" t="str">
        <f t="shared" si="319"/>
        <v>-</v>
      </c>
      <c r="AI966" s="8"/>
      <c r="AJ966" s="27" t="b">
        <f>IF($G966&lt;&gt;0,SUMIF(куб!$G:$G,$G966,куб!T:T),IF($E966&lt;&gt;0,SUMIF(куб!$E:$E,$E966,куб!T:T),IF($D966&lt;&gt;0,SUMIF(куб!$D:$D,$D966,куб!T:T),IF($C966&lt;&gt;0,SUMIF(куб!$C:$C,$C966,куб!T:T),IF($B966&lt;&gt;0,SUMIF(куб!$B:$B,$B966,куб!T:T))))))</f>
        <v>0</v>
      </c>
      <c r="AK966" s="27" t="b">
        <f>IF($G966&lt;&gt;0,SUMIF(куб!$G:$G,$G966,куб!U:U),IF($E966&lt;&gt;0,SUMIF(куб!$E:$E,$E966,куб!U:U),IF($D966&lt;&gt;0,SUMIF(куб!$D:$D,$D966,куб!U:U),IF($C966&lt;&gt;0,SUMIF(куб!$C:$C,$C966,куб!U:U),IF($B966&lt;&gt;0,SUMIF(куб!$B:$B,$B966,куб!U:U))))))</f>
        <v>0</v>
      </c>
      <c r="AL966" s="16" t="str">
        <f t="shared" si="320"/>
        <v>-</v>
      </c>
      <c r="AM966" s="8"/>
      <c r="AN966" s="17" t="str">
        <f t="shared" si="321"/>
        <v xml:space="preserve"> </v>
      </c>
      <c r="AO966" s="17" t="str">
        <f t="shared" si="322"/>
        <v xml:space="preserve"> </v>
      </c>
      <c r="AP966" s="16" t="str">
        <f t="shared" si="323"/>
        <v>-</v>
      </c>
      <c r="AQ966" s="8"/>
      <c r="AR966" s="17" t="str">
        <f t="shared" si="324"/>
        <v>-</v>
      </c>
      <c r="AS966" s="17" t="str">
        <f t="shared" si="325"/>
        <v>-</v>
      </c>
      <c r="AT966" s="13" t="str">
        <f t="shared" si="326"/>
        <v>-</v>
      </c>
      <c r="AU966" s="8"/>
    </row>
    <row r="967" spans="1:47" x14ac:dyDescent="0.25">
      <c r="A967" s="31"/>
      <c r="B967" s="31"/>
      <c r="C967"/>
      <c r="D967" s="31"/>
      <c r="E967"/>
      <c r="F967" s="31"/>
      <c r="G967"/>
      <c r="H967" s="27">
        <f>IF($G967&lt;&gt;0,SUMIF(куб!$G:$G,$G967,куб!H:H),IF($E967&lt;&gt;0,SUMIF(куб!$E:$E,$E967,куб!H:H),IF($D967&lt;&gt;0,SUMIF(куб!$D:$D,$D967,куб!H:H),IF($C967&lt;&gt;0,SUMIF(куб!$C:$C,$C967,куб!H:H),IF($B967&lt;&gt;0,SUMIF(куб!$B:$B,$B967,куб!H:H),IF($G967&lt;&gt;0,SUMIF(куб!$A:$A,$G967,куб!H:H),SUMIF(куб!$A:$A,$G967,куб!H:H)))))))</f>
        <v>0</v>
      </c>
      <c r="I967" s="27">
        <f>IF($G967&lt;&gt;0,SUMIF(куб!$G:$G,$G967,куб!I:I),IF($E967&lt;&gt;0,SUMIF(куб!$E:$E,$E967,куб!I:I),IF($D967&lt;&gt;0,SUMIF(куб!$D:$D,$D967,куб!I:I),IF($C967&lt;&gt;0,SUMIF(куб!$C:$C,$C967,куб!I:I),IF($B967&lt;&gt;0,SUMIF(куб!$B:$B,$B967,куб!I:I),IF($G967&lt;&gt;0,SUMIF(куб!$A:$A,$G967,куб!I:I),SUMIF(куб!$A:$A,$G967,куб!I:I)))))))</f>
        <v>0</v>
      </c>
      <c r="J967" s="19" t="str">
        <f t="shared" si="309"/>
        <v>-</v>
      </c>
      <c r="K967" s="8"/>
      <c r="L967" s="17">
        <f t="shared" si="310"/>
        <v>0</v>
      </c>
      <c r="M967" s="17">
        <f t="shared" si="311"/>
        <v>0</v>
      </c>
      <c r="N967" s="12">
        <f t="shared" si="312"/>
        <v>0</v>
      </c>
      <c r="O967" s="5"/>
      <c r="P967" s="27" t="b">
        <f>IF($G967&lt;&gt;0,SUMIF(куб!$G:$G,$G967,куб!J:J),IF($E967&lt;&gt;0,SUMIF(куб!$E:$E,$E967,куб!J:J),IF($D967&lt;&gt;0,SUMIF(куб!$D:$D,$D967,куб!J:J),IF($C967&lt;&gt;0,SUMIF(куб!$C:$C,$C967,куб!J:J),IF($B967&lt;&gt;0,SUMIF(куб!$B:$B,$B967,куб!J:J))))))</f>
        <v>0</v>
      </c>
      <c r="Q967" s="27" t="b">
        <f>IF($G967&lt;&gt;0,SUMIF(куб!$G:$G,$G967,куб!K:K),IF($E967&lt;&gt;0,SUMIF(куб!$E:$E,$E967,куб!K:K),IF($D967&lt;&gt;0,SUMIF(куб!$D:$D,$D967,куб!K:K),IF($C967&lt;&gt;0,SUMIF(куб!$C:$C,$C967,куб!K:K),IF($B967&lt;&gt;0,SUMIF(куб!$B:$B,$B967,куб!K:K))))))</f>
        <v>0</v>
      </c>
      <c r="R967" s="13" t="str">
        <f t="shared" si="313"/>
        <v>-</v>
      </c>
      <c r="S967" s="5"/>
      <c r="T967" s="27" t="b">
        <f>IF($G967&lt;&gt;0,SUMIF(куб!$G:$G,$G967,куб!L:L),IF($E967&lt;&gt;0,SUMIF(куб!$E:$E,$E967,куб!L:L),IF($D967&lt;&gt;0,SUMIF(куб!$D:$D,$D967,куб!L:L),IF($C967&lt;&gt;0,SUMIF(куб!$C:$C,$C967,куб!L:L),IF($B967&lt;&gt;0,SUMIF(куб!$B:$B,$B967,куб!L:L))))))</f>
        <v>0</v>
      </c>
      <c r="U967" s="27" t="b">
        <f>IF($G967&lt;&gt;0,SUMIF(куб!$G:$G,$G967,куб!M:M),IF($E967&lt;&gt;0,SUMIF(куб!$E:$E,$E967,куб!M:M),IF($D967&lt;&gt;0,SUMIF(куб!$D:$D,$D967,куб!M:M),IF($C967&lt;&gt;0,SUMIF(куб!$C:$C,$C967,куб!M:M),IF($B967&lt;&gt;0,SUMIF(куб!$B:$B,$B967,куб!M:M))))))</f>
        <v>0</v>
      </c>
      <c r="V967" s="13" t="str">
        <f t="shared" si="314"/>
        <v>-</v>
      </c>
      <c r="W967" s="5"/>
      <c r="X967" s="27" t="b">
        <f>IF($G967&lt;&gt;0,SUMIF(куб!$G:$G,$G967,куб!N:N),IF($E967&lt;&gt;0,SUMIF(куб!$E:$E,$E967,куб!N:N),IF($D967&lt;&gt;0,SUMIF(куб!$D:$D,$D967,куб!N:N),IF($C967&lt;&gt;0,SUMIF(куб!$C:$C,$C967,куб!N:N),IF($B967&lt;&gt;0,SUMIF(куб!$B:$B,$B967,куб!N:N))))))</f>
        <v>0</v>
      </c>
      <c r="Y967" s="27" t="b">
        <f>IF($G967&lt;&gt;0,SUMIF(куб!$G:$G,$G967,куб!O:O),IF($E967&lt;&gt;0,SUMIF(куб!$E:$E,$E967,куб!O:O),IF($D967&lt;&gt;0,SUMIF(куб!$D:$D,$D967,куб!O:O),IF($C967&lt;&gt;0,SUMIF(куб!$C:$C,$C967,куб!O:O),IF($B967&lt;&gt;0,SUMIF(куб!$B:$B,$B967,куб!O:O))))))</f>
        <v>0</v>
      </c>
      <c r="Z967" s="13" t="str">
        <f t="shared" si="315"/>
        <v>-</v>
      </c>
      <c r="AA967" s="5"/>
      <c r="AB967" s="33" t="str">
        <f t="shared" si="316"/>
        <v/>
      </c>
      <c r="AC967" s="33" t="str">
        <f t="shared" si="317"/>
        <v/>
      </c>
      <c r="AD967" s="15" t="str">
        <f t="shared" si="318"/>
        <v xml:space="preserve"> </v>
      </c>
      <c r="AE967" s="5"/>
      <c r="AF967" s="27" t="b">
        <f>IF($G967&lt;&gt;0,SUMIF(куб!$G:$G,$G967,куб!R:R),IF($E967&lt;&gt;0,SUMIF(куб!$E:$E,$E967,куб!R:R),IF($D967&lt;&gt;0,SUMIF(куб!$D:$D,$D967,куб!R:R),IF($C967&lt;&gt;0,SUMIF(куб!$C:$C,$C967,куб!R:R),IF($B967&lt;&gt;0,SUMIF(куб!$B:$B,$B967,куб!R:R))))))</f>
        <v>0</v>
      </c>
      <c r="AG967" s="27" t="b">
        <f>IF($G967&lt;&gt;0,SUMIF(куб!$G:$G,$G967,куб!S:S),IF($E967&lt;&gt;0,SUMIF(куб!$E:$E,$E967,куб!S:S),IF($D967&lt;&gt;0,SUMIF(куб!$D:$D,$D967,куб!S:S),IF($C967&lt;&gt;0,SUMIF(куб!$C:$C,$C967,куб!S:S),IF($B967&lt;&gt;0,SUMIF(куб!$B:$B,$B967,куб!S:S))))))</f>
        <v>0</v>
      </c>
      <c r="AH967" s="16" t="str">
        <f t="shared" si="319"/>
        <v>-</v>
      </c>
      <c r="AI967" s="8"/>
      <c r="AJ967" s="27" t="b">
        <f>IF($G967&lt;&gt;0,SUMIF(куб!$G:$G,$G967,куб!T:T),IF($E967&lt;&gt;0,SUMIF(куб!$E:$E,$E967,куб!T:T),IF($D967&lt;&gt;0,SUMIF(куб!$D:$D,$D967,куб!T:T),IF($C967&lt;&gt;0,SUMIF(куб!$C:$C,$C967,куб!T:T),IF($B967&lt;&gt;0,SUMIF(куб!$B:$B,$B967,куб!T:T))))))</f>
        <v>0</v>
      </c>
      <c r="AK967" s="27" t="b">
        <f>IF($G967&lt;&gt;0,SUMIF(куб!$G:$G,$G967,куб!U:U),IF($E967&lt;&gt;0,SUMIF(куб!$E:$E,$E967,куб!U:U),IF($D967&lt;&gt;0,SUMIF(куб!$D:$D,$D967,куб!U:U),IF($C967&lt;&gt;0,SUMIF(куб!$C:$C,$C967,куб!U:U),IF($B967&lt;&gt;0,SUMIF(куб!$B:$B,$B967,куб!U:U))))))</f>
        <v>0</v>
      </c>
      <c r="AL967" s="16" t="str">
        <f t="shared" si="320"/>
        <v>-</v>
      </c>
      <c r="AM967" s="8"/>
      <c r="AN967" s="17" t="str">
        <f t="shared" si="321"/>
        <v xml:space="preserve"> </v>
      </c>
      <c r="AO967" s="17" t="str">
        <f t="shared" si="322"/>
        <v xml:space="preserve"> </v>
      </c>
      <c r="AP967" s="16" t="str">
        <f t="shared" si="323"/>
        <v>-</v>
      </c>
      <c r="AQ967" s="8"/>
      <c r="AR967" s="17" t="str">
        <f t="shared" si="324"/>
        <v>-</v>
      </c>
      <c r="AS967" s="17" t="str">
        <f t="shared" si="325"/>
        <v>-</v>
      </c>
      <c r="AT967" s="13" t="str">
        <f t="shared" si="326"/>
        <v>-</v>
      </c>
      <c r="AU967" s="8"/>
    </row>
    <row r="968" spans="1:47" x14ac:dyDescent="0.25">
      <c r="A968" s="31"/>
      <c r="B968" s="31"/>
      <c r="C968"/>
      <c r="D968" s="31"/>
      <c r="E968"/>
      <c r="F968" s="31"/>
      <c r="G968"/>
      <c r="H968" s="27">
        <f>IF($G968&lt;&gt;0,SUMIF(куб!$G:$G,$G968,куб!H:H),IF($E968&lt;&gt;0,SUMIF(куб!$E:$E,$E968,куб!H:H),IF($D968&lt;&gt;0,SUMIF(куб!$D:$D,$D968,куб!H:H),IF($C968&lt;&gt;0,SUMIF(куб!$C:$C,$C968,куб!H:H),IF($B968&lt;&gt;0,SUMIF(куб!$B:$B,$B968,куб!H:H),IF($G968&lt;&gt;0,SUMIF(куб!$A:$A,$G968,куб!H:H),SUMIF(куб!$A:$A,$G968,куб!H:H)))))))</f>
        <v>0</v>
      </c>
      <c r="I968" s="27">
        <f>IF($G968&lt;&gt;0,SUMIF(куб!$G:$G,$G968,куб!I:I),IF($E968&lt;&gt;0,SUMIF(куб!$E:$E,$E968,куб!I:I),IF($D968&lt;&gt;0,SUMIF(куб!$D:$D,$D968,куб!I:I),IF($C968&lt;&gt;0,SUMIF(куб!$C:$C,$C968,куб!I:I),IF($B968&lt;&gt;0,SUMIF(куб!$B:$B,$B968,куб!I:I),IF($G968&lt;&gt;0,SUMIF(куб!$A:$A,$G968,куб!I:I),SUMIF(куб!$A:$A,$G968,куб!I:I)))))))</f>
        <v>0</v>
      </c>
      <c r="J968" s="19" t="str">
        <f t="shared" si="309"/>
        <v>-</v>
      </c>
      <c r="K968" s="8"/>
      <c r="L968" s="17">
        <f t="shared" si="310"/>
        <v>0</v>
      </c>
      <c r="M968" s="17">
        <f t="shared" si="311"/>
        <v>0</v>
      </c>
      <c r="N968" s="12">
        <f t="shared" si="312"/>
        <v>0</v>
      </c>
      <c r="O968" s="5"/>
      <c r="P968" s="27" t="b">
        <f>IF($G968&lt;&gt;0,SUMIF(куб!$G:$G,$G968,куб!J:J),IF($E968&lt;&gt;0,SUMIF(куб!$E:$E,$E968,куб!J:J),IF($D968&lt;&gt;0,SUMIF(куб!$D:$D,$D968,куб!J:J),IF($C968&lt;&gt;0,SUMIF(куб!$C:$C,$C968,куб!J:J),IF($B968&lt;&gt;0,SUMIF(куб!$B:$B,$B968,куб!J:J))))))</f>
        <v>0</v>
      </c>
      <c r="Q968" s="27" t="b">
        <f>IF($G968&lt;&gt;0,SUMIF(куб!$G:$G,$G968,куб!K:K),IF($E968&lt;&gt;0,SUMIF(куб!$E:$E,$E968,куб!K:K),IF($D968&lt;&gt;0,SUMIF(куб!$D:$D,$D968,куб!K:K),IF($C968&lt;&gt;0,SUMIF(куб!$C:$C,$C968,куб!K:K),IF($B968&lt;&gt;0,SUMIF(куб!$B:$B,$B968,куб!K:K))))))</f>
        <v>0</v>
      </c>
      <c r="R968" s="13" t="str">
        <f t="shared" si="313"/>
        <v>-</v>
      </c>
      <c r="S968" s="5"/>
      <c r="T968" s="27" t="b">
        <f>IF($G968&lt;&gt;0,SUMIF(куб!$G:$G,$G968,куб!L:L),IF($E968&lt;&gt;0,SUMIF(куб!$E:$E,$E968,куб!L:L),IF($D968&lt;&gt;0,SUMIF(куб!$D:$D,$D968,куб!L:L),IF($C968&lt;&gt;0,SUMIF(куб!$C:$C,$C968,куб!L:L),IF($B968&lt;&gt;0,SUMIF(куб!$B:$B,$B968,куб!L:L))))))</f>
        <v>0</v>
      </c>
      <c r="U968" s="27" t="b">
        <f>IF($G968&lt;&gt;0,SUMIF(куб!$G:$G,$G968,куб!M:M),IF($E968&lt;&gt;0,SUMIF(куб!$E:$E,$E968,куб!M:M),IF($D968&lt;&gt;0,SUMIF(куб!$D:$D,$D968,куб!M:M),IF($C968&lt;&gt;0,SUMIF(куб!$C:$C,$C968,куб!M:M),IF($B968&lt;&gt;0,SUMIF(куб!$B:$B,$B968,куб!M:M))))))</f>
        <v>0</v>
      </c>
      <c r="V968" s="13" t="str">
        <f t="shared" si="314"/>
        <v>-</v>
      </c>
      <c r="W968" s="5"/>
      <c r="X968" s="27" t="b">
        <f>IF($G968&lt;&gt;0,SUMIF(куб!$G:$G,$G968,куб!N:N),IF($E968&lt;&gt;0,SUMIF(куб!$E:$E,$E968,куб!N:N),IF($D968&lt;&gt;0,SUMIF(куб!$D:$D,$D968,куб!N:N),IF($C968&lt;&gt;0,SUMIF(куб!$C:$C,$C968,куб!N:N),IF($B968&lt;&gt;0,SUMIF(куб!$B:$B,$B968,куб!N:N))))))</f>
        <v>0</v>
      </c>
      <c r="Y968" s="27" t="b">
        <f>IF($G968&lt;&gt;0,SUMIF(куб!$G:$G,$G968,куб!O:O),IF($E968&lt;&gt;0,SUMIF(куб!$E:$E,$E968,куб!O:O),IF($D968&lt;&gt;0,SUMIF(куб!$D:$D,$D968,куб!O:O),IF($C968&lt;&gt;0,SUMIF(куб!$C:$C,$C968,куб!O:O),IF($B968&lt;&gt;0,SUMIF(куб!$B:$B,$B968,куб!O:O))))))</f>
        <v>0</v>
      </c>
      <c r="Z968" s="13" t="str">
        <f t="shared" si="315"/>
        <v>-</v>
      </c>
      <c r="AA968" s="5"/>
      <c r="AB968" s="33" t="str">
        <f t="shared" si="316"/>
        <v/>
      </c>
      <c r="AC968" s="33" t="str">
        <f t="shared" si="317"/>
        <v/>
      </c>
      <c r="AD968" s="15" t="str">
        <f t="shared" si="318"/>
        <v xml:space="preserve"> </v>
      </c>
      <c r="AE968" s="5"/>
      <c r="AF968" s="27" t="b">
        <f>IF($G968&lt;&gt;0,SUMIF(куб!$G:$G,$G968,куб!R:R),IF($E968&lt;&gt;0,SUMIF(куб!$E:$E,$E968,куб!R:R),IF($D968&lt;&gt;0,SUMIF(куб!$D:$D,$D968,куб!R:R),IF($C968&lt;&gt;0,SUMIF(куб!$C:$C,$C968,куб!R:R),IF($B968&lt;&gt;0,SUMIF(куб!$B:$B,$B968,куб!R:R))))))</f>
        <v>0</v>
      </c>
      <c r="AG968" s="27" t="b">
        <f>IF($G968&lt;&gt;0,SUMIF(куб!$G:$G,$G968,куб!S:S),IF($E968&lt;&gt;0,SUMIF(куб!$E:$E,$E968,куб!S:S),IF($D968&lt;&gt;0,SUMIF(куб!$D:$D,$D968,куб!S:S),IF($C968&lt;&gt;0,SUMIF(куб!$C:$C,$C968,куб!S:S),IF($B968&lt;&gt;0,SUMIF(куб!$B:$B,$B968,куб!S:S))))))</f>
        <v>0</v>
      </c>
      <c r="AH968" s="16" t="str">
        <f t="shared" si="319"/>
        <v>-</v>
      </c>
      <c r="AI968" s="8"/>
      <c r="AJ968" s="27" t="b">
        <f>IF($G968&lt;&gt;0,SUMIF(куб!$G:$G,$G968,куб!T:T),IF($E968&lt;&gt;0,SUMIF(куб!$E:$E,$E968,куб!T:T),IF($D968&lt;&gt;0,SUMIF(куб!$D:$D,$D968,куб!T:T),IF($C968&lt;&gt;0,SUMIF(куб!$C:$C,$C968,куб!T:T),IF($B968&lt;&gt;0,SUMIF(куб!$B:$B,$B968,куб!T:T))))))</f>
        <v>0</v>
      </c>
      <c r="AK968" s="27" t="b">
        <f>IF($G968&lt;&gt;0,SUMIF(куб!$G:$G,$G968,куб!U:U),IF($E968&lt;&gt;0,SUMIF(куб!$E:$E,$E968,куб!U:U),IF($D968&lt;&gt;0,SUMIF(куб!$D:$D,$D968,куб!U:U),IF($C968&lt;&gt;0,SUMIF(куб!$C:$C,$C968,куб!U:U),IF($B968&lt;&gt;0,SUMIF(куб!$B:$B,$B968,куб!U:U))))))</f>
        <v>0</v>
      </c>
      <c r="AL968" s="16" t="str">
        <f t="shared" si="320"/>
        <v>-</v>
      </c>
      <c r="AM968" s="8"/>
      <c r="AN968" s="17" t="str">
        <f t="shared" si="321"/>
        <v xml:space="preserve"> </v>
      </c>
      <c r="AO968" s="17" t="str">
        <f t="shared" si="322"/>
        <v xml:space="preserve"> </v>
      </c>
      <c r="AP968" s="16" t="str">
        <f t="shared" si="323"/>
        <v>-</v>
      </c>
      <c r="AQ968" s="8"/>
      <c r="AR968" s="17" t="str">
        <f t="shared" si="324"/>
        <v>-</v>
      </c>
      <c r="AS968" s="17" t="str">
        <f t="shared" si="325"/>
        <v>-</v>
      </c>
      <c r="AT968" s="13" t="str">
        <f t="shared" si="326"/>
        <v>-</v>
      </c>
      <c r="AU968" s="8"/>
    </row>
    <row r="969" spans="1:47" x14ac:dyDescent="0.25">
      <c r="A969" s="31"/>
      <c r="B969" s="31"/>
      <c r="C969"/>
      <c r="D969" s="31"/>
      <c r="E969"/>
      <c r="F969"/>
      <c r="G969"/>
      <c r="H969" s="27">
        <f>IF($G969&lt;&gt;0,SUMIF(куб!$G:$G,$G969,куб!H:H),IF($E969&lt;&gt;0,SUMIF(куб!$E:$E,$E969,куб!H:H),IF($D969&lt;&gt;0,SUMIF(куб!$D:$D,$D969,куб!H:H),IF($C969&lt;&gt;0,SUMIF(куб!$C:$C,$C969,куб!H:H),IF($B969&lt;&gt;0,SUMIF(куб!$B:$B,$B969,куб!H:H),IF($G969&lt;&gt;0,SUMIF(куб!$A:$A,$G969,куб!H:H),SUMIF(куб!$A:$A,$G969,куб!H:H)))))))</f>
        <v>0</v>
      </c>
      <c r="I969" s="27">
        <f>IF($G969&lt;&gt;0,SUMIF(куб!$G:$G,$G969,куб!I:I),IF($E969&lt;&gt;0,SUMIF(куб!$E:$E,$E969,куб!I:I),IF($D969&lt;&gt;0,SUMIF(куб!$D:$D,$D969,куб!I:I),IF($C969&lt;&gt;0,SUMIF(куб!$C:$C,$C969,куб!I:I),IF($B969&lt;&gt;0,SUMIF(куб!$B:$B,$B969,куб!I:I),IF($G969&lt;&gt;0,SUMIF(куб!$A:$A,$G969,куб!I:I),SUMIF(куб!$A:$A,$G969,куб!I:I)))))))</f>
        <v>0</v>
      </c>
      <c r="J969" s="19" t="str">
        <f t="shared" si="309"/>
        <v>-</v>
      </c>
      <c r="K969" s="8"/>
      <c r="L969" s="17">
        <f t="shared" si="310"/>
        <v>0</v>
      </c>
      <c r="M969" s="17">
        <f t="shared" si="311"/>
        <v>0</v>
      </c>
      <c r="N969" s="12">
        <f t="shared" si="312"/>
        <v>0</v>
      </c>
      <c r="O969" s="5"/>
      <c r="P969" s="27" t="b">
        <f>IF($G969&lt;&gt;0,SUMIF(куб!$G:$G,$G969,куб!J:J),IF($E969&lt;&gt;0,SUMIF(куб!$E:$E,$E969,куб!J:J),IF($D969&lt;&gt;0,SUMIF(куб!$D:$D,$D969,куб!J:J),IF($C969&lt;&gt;0,SUMIF(куб!$C:$C,$C969,куб!J:J),IF($B969&lt;&gt;0,SUMIF(куб!$B:$B,$B969,куб!J:J))))))</f>
        <v>0</v>
      </c>
      <c r="Q969" s="27" t="b">
        <f>IF($G969&lt;&gt;0,SUMIF(куб!$G:$G,$G969,куб!K:K),IF($E969&lt;&gt;0,SUMIF(куб!$E:$E,$E969,куб!K:K),IF($D969&lt;&gt;0,SUMIF(куб!$D:$D,$D969,куб!K:K),IF($C969&lt;&gt;0,SUMIF(куб!$C:$C,$C969,куб!K:K),IF($B969&lt;&gt;0,SUMIF(куб!$B:$B,$B969,куб!K:K))))))</f>
        <v>0</v>
      </c>
      <c r="R969" s="13" t="str">
        <f t="shared" si="313"/>
        <v>-</v>
      </c>
      <c r="S969" s="5"/>
      <c r="T969" s="27" t="b">
        <f>IF($G969&lt;&gt;0,SUMIF(куб!$G:$G,$G969,куб!L:L),IF($E969&lt;&gt;0,SUMIF(куб!$E:$E,$E969,куб!L:L),IF($D969&lt;&gt;0,SUMIF(куб!$D:$D,$D969,куб!L:L),IF($C969&lt;&gt;0,SUMIF(куб!$C:$C,$C969,куб!L:L),IF($B969&lt;&gt;0,SUMIF(куб!$B:$B,$B969,куб!L:L))))))</f>
        <v>0</v>
      </c>
      <c r="U969" s="27" t="b">
        <f>IF($G969&lt;&gt;0,SUMIF(куб!$G:$G,$G969,куб!M:M),IF($E969&lt;&gt;0,SUMIF(куб!$E:$E,$E969,куб!M:M),IF($D969&lt;&gt;0,SUMIF(куб!$D:$D,$D969,куб!M:M),IF($C969&lt;&gt;0,SUMIF(куб!$C:$C,$C969,куб!M:M),IF($B969&lt;&gt;0,SUMIF(куб!$B:$B,$B969,куб!M:M))))))</f>
        <v>0</v>
      </c>
      <c r="V969" s="13" t="str">
        <f t="shared" si="314"/>
        <v>-</v>
      </c>
      <c r="W969" s="5"/>
      <c r="X969" s="27" t="b">
        <f>IF($G969&lt;&gt;0,SUMIF(куб!$G:$G,$G969,куб!N:N),IF($E969&lt;&gt;0,SUMIF(куб!$E:$E,$E969,куб!N:N),IF($D969&lt;&gt;0,SUMIF(куб!$D:$D,$D969,куб!N:N),IF($C969&lt;&gt;0,SUMIF(куб!$C:$C,$C969,куб!N:N),IF($B969&lt;&gt;0,SUMIF(куб!$B:$B,$B969,куб!N:N))))))</f>
        <v>0</v>
      </c>
      <c r="Y969" s="27" t="b">
        <f>IF($G969&lt;&gt;0,SUMIF(куб!$G:$G,$G969,куб!O:O),IF($E969&lt;&gt;0,SUMIF(куб!$E:$E,$E969,куб!O:O),IF($D969&lt;&gt;0,SUMIF(куб!$D:$D,$D969,куб!O:O),IF($C969&lt;&gt;0,SUMIF(куб!$C:$C,$C969,куб!O:O),IF($B969&lt;&gt;0,SUMIF(куб!$B:$B,$B969,куб!O:O))))))</f>
        <v>0</v>
      </c>
      <c r="Z969" s="13" t="str">
        <f t="shared" si="315"/>
        <v>-</v>
      </c>
      <c r="AA969" s="5"/>
      <c r="AB969" s="33" t="str">
        <f t="shared" si="316"/>
        <v/>
      </c>
      <c r="AC969" s="33" t="str">
        <f t="shared" si="317"/>
        <v/>
      </c>
      <c r="AD969" s="15" t="str">
        <f t="shared" si="318"/>
        <v xml:space="preserve"> </v>
      </c>
      <c r="AE969" s="5"/>
      <c r="AF969" s="27" t="b">
        <f>IF($G969&lt;&gt;0,SUMIF(куб!$G:$G,$G969,куб!R:R),IF($E969&lt;&gt;0,SUMIF(куб!$E:$E,$E969,куб!R:R),IF($D969&lt;&gt;0,SUMIF(куб!$D:$D,$D969,куб!R:R),IF($C969&lt;&gt;0,SUMIF(куб!$C:$C,$C969,куб!R:R),IF($B969&lt;&gt;0,SUMIF(куб!$B:$B,$B969,куб!R:R))))))</f>
        <v>0</v>
      </c>
      <c r="AG969" s="27" t="b">
        <f>IF($G969&lt;&gt;0,SUMIF(куб!$G:$G,$G969,куб!S:S),IF($E969&lt;&gt;0,SUMIF(куб!$E:$E,$E969,куб!S:S),IF($D969&lt;&gt;0,SUMIF(куб!$D:$D,$D969,куб!S:S),IF($C969&lt;&gt;0,SUMIF(куб!$C:$C,$C969,куб!S:S),IF($B969&lt;&gt;0,SUMIF(куб!$B:$B,$B969,куб!S:S))))))</f>
        <v>0</v>
      </c>
      <c r="AH969" s="16" t="str">
        <f t="shared" si="319"/>
        <v>-</v>
      </c>
      <c r="AI969" s="8"/>
      <c r="AJ969" s="27" t="b">
        <f>IF($G969&lt;&gt;0,SUMIF(куб!$G:$G,$G969,куб!T:T),IF($E969&lt;&gt;0,SUMIF(куб!$E:$E,$E969,куб!T:T),IF($D969&lt;&gt;0,SUMIF(куб!$D:$D,$D969,куб!T:T),IF($C969&lt;&gt;0,SUMIF(куб!$C:$C,$C969,куб!T:T),IF($B969&lt;&gt;0,SUMIF(куб!$B:$B,$B969,куб!T:T))))))</f>
        <v>0</v>
      </c>
      <c r="AK969" s="27" t="b">
        <f>IF($G969&lt;&gt;0,SUMIF(куб!$G:$G,$G969,куб!U:U),IF($E969&lt;&gt;0,SUMIF(куб!$E:$E,$E969,куб!U:U),IF($D969&lt;&gt;0,SUMIF(куб!$D:$D,$D969,куб!U:U),IF($C969&lt;&gt;0,SUMIF(куб!$C:$C,$C969,куб!U:U),IF($B969&lt;&gt;0,SUMIF(куб!$B:$B,$B969,куб!U:U))))))</f>
        <v>0</v>
      </c>
      <c r="AL969" s="16" t="str">
        <f t="shared" si="320"/>
        <v>-</v>
      </c>
      <c r="AM969" s="8"/>
      <c r="AN969" s="17" t="str">
        <f t="shared" si="321"/>
        <v xml:space="preserve"> </v>
      </c>
      <c r="AO969" s="17" t="str">
        <f t="shared" si="322"/>
        <v xml:space="preserve"> </v>
      </c>
      <c r="AP969" s="16" t="str">
        <f t="shared" si="323"/>
        <v>-</v>
      </c>
      <c r="AQ969" s="8"/>
      <c r="AR969" s="17" t="str">
        <f t="shared" si="324"/>
        <v>-</v>
      </c>
      <c r="AS969" s="17" t="str">
        <f t="shared" si="325"/>
        <v>-</v>
      </c>
      <c r="AT969" s="13" t="str">
        <f t="shared" si="326"/>
        <v>-</v>
      </c>
      <c r="AU969" s="8"/>
    </row>
    <row r="970" spans="1:47" x14ac:dyDescent="0.25">
      <c r="A970" s="31"/>
      <c r="B970" s="31"/>
      <c r="C970"/>
      <c r="D970" s="31"/>
      <c r="E970" s="31"/>
      <c r="F970" s="31"/>
      <c r="G970" s="31"/>
      <c r="H970" s="27">
        <f>IF($G970&lt;&gt;0,SUMIF(куб!$G:$G,$G970,куб!H:H),IF($E970&lt;&gt;0,SUMIF(куб!$E:$E,$E970,куб!H:H),IF($D970&lt;&gt;0,SUMIF(куб!$D:$D,$D970,куб!H:H),IF($C970&lt;&gt;0,SUMIF(куб!$C:$C,$C970,куб!H:H),IF($B970&lt;&gt;0,SUMIF(куб!$B:$B,$B970,куб!H:H),IF($G970&lt;&gt;0,SUMIF(куб!$A:$A,$G970,куб!H:H),SUMIF(куб!$A:$A,$G970,куб!H:H)))))))</f>
        <v>0</v>
      </c>
      <c r="I970" s="27">
        <f>IF($G970&lt;&gt;0,SUMIF(куб!$G:$G,$G970,куб!I:I),IF($E970&lt;&gt;0,SUMIF(куб!$E:$E,$E970,куб!I:I),IF($D970&lt;&gt;0,SUMIF(куб!$D:$D,$D970,куб!I:I),IF($C970&lt;&gt;0,SUMIF(куб!$C:$C,$C970,куб!I:I),IF($B970&lt;&gt;0,SUMIF(куб!$B:$B,$B970,куб!I:I),IF($G970&lt;&gt;0,SUMIF(куб!$A:$A,$G970,куб!I:I),SUMIF(куб!$A:$A,$G970,куб!I:I)))))))</f>
        <v>0</v>
      </c>
      <c r="J970" s="19" t="str">
        <f t="shared" si="309"/>
        <v>-</v>
      </c>
      <c r="K970" s="8"/>
      <c r="L970" s="17">
        <f t="shared" si="310"/>
        <v>0</v>
      </c>
      <c r="M970" s="17">
        <f t="shared" si="311"/>
        <v>0</v>
      </c>
      <c r="N970" s="12">
        <f t="shared" si="312"/>
        <v>0</v>
      </c>
      <c r="O970" s="5"/>
      <c r="P970" s="27" t="b">
        <f>IF($G970&lt;&gt;0,SUMIF(куб!$G:$G,$G970,куб!J:J),IF($E970&lt;&gt;0,SUMIF(куб!$E:$E,$E970,куб!J:J),IF($D970&lt;&gt;0,SUMIF(куб!$D:$D,$D970,куб!J:J),IF($C970&lt;&gt;0,SUMIF(куб!$C:$C,$C970,куб!J:J),IF($B970&lt;&gt;0,SUMIF(куб!$B:$B,$B970,куб!J:J))))))</f>
        <v>0</v>
      </c>
      <c r="Q970" s="27" t="b">
        <f>IF($G970&lt;&gt;0,SUMIF(куб!$G:$G,$G970,куб!K:K),IF($E970&lt;&gt;0,SUMIF(куб!$E:$E,$E970,куб!K:K),IF($D970&lt;&gt;0,SUMIF(куб!$D:$D,$D970,куб!K:K),IF($C970&lt;&gt;0,SUMIF(куб!$C:$C,$C970,куб!K:K),IF($B970&lt;&gt;0,SUMIF(куб!$B:$B,$B970,куб!K:K))))))</f>
        <v>0</v>
      </c>
      <c r="R970" s="13" t="str">
        <f t="shared" si="313"/>
        <v>-</v>
      </c>
      <c r="S970" s="5"/>
      <c r="T970" s="27" t="b">
        <f>IF($G970&lt;&gt;0,SUMIF(куб!$G:$G,$G970,куб!L:L),IF($E970&lt;&gt;0,SUMIF(куб!$E:$E,$E970,куб!L:L),IF($D970&lt;&gt;0,SUMIF(куб!$D:$D,$D970,куб!L:L),IF($C970&lt;&gt;0,SUMIF(куб!$C:$C,$C970,куб!L:L),IF($B970&lt;&gt;0,SUMIF(куб!$B:$B,$B970,куб!L:L))))))</f>
        <v>0</v>
      </c>
      <c r="U970" s="27" t="b">
        <f>IF($G970&lt;&gt;0,SUMIF(куб!$G:$G,$G970,куб!M:M),IF($E970&lt;&gt;0,SUMIF(куб!$E:$E,$E970,куб!M:M),IF($D970&lt;&gt;0,SUMIF(куб!$D:$D,$D970,куб!M:M),IF($C970&lt;&gt;0,SUMIF(куб!$C:$C,$C970,куб!M:M),IF($B970&lt;&gt;0,SUMIF(куб!$B:$B,$B970,куб!M:M))))))</f>
        <v>0</v>
      </c>
      <c r="V970" s="13" t="str">
        <f t="shared" si="314"/>
        <v>-</v>
      </c>
      <c r="W970" s="5"/>
      <c r="X970" s="27" t="b">
        <f>IF($G970&lt;&gt;0,SUMIF(куб!$G:$G,$G970,куб!N:N),IF($E970&lt;&gt;0,SUMIF(куб!$E:$E,$E970,куб!N:N),IF($D970&lt;&gt;0,SUMIF(куб!$D:$D,$D970,куб!N:N),IF($C970&lt;&gt;0,SUMIF(куб!$C:$C,$C970,куб!N:N),IF($B970&lt;&gt;0,SUMIF(куб!$B:$B,$B970,куб!N:N))))))</f>
        <v>0</v>
      </c>
      <c r="Y970" s="27" t="b">
        <f>IF($G970&lt;&gt;0,SUMIF(куб!$G:$G,$G970,куб!O:O),IF($E970&lt;&gt;0,SUMIF(куб!$E:$E,$E970,куб!O:O),IF($D970&lt;&gt;0,SUMIF(куб!$D:$D,$D970,куб!O:O),IF($C970&lt;&gt;0,SUMIF(куб!$C:$C,$C970,куб!O:O),IF($B970&lt;&gt;0,SUMIF(куб!$B:$B,$B970,куб!O:O))))))</f>
        <v>0</v>
      </c>
      <c r="Z970" s="13" t="str">
        <f t="shared" si="315"/>
        <v>-</v>
      </c>
      <c r="AA970" s="5"/>
      <c r="AB970" s="33" t="str">
        <f t="shared" si="316"/>
        <v/>
      </c>
      <c r="AC970" s="33" t="str">
        <f t="shared" si="317"/>
        <v/>
      </c>
      <c r="AD970" s="15" t="str">
        <f t="shared" si="318"/>
        <v xml:space="preserve"> </v>
      </c>
      <c r="AE970" s="5"/>
      <c r="AF970" s="27" t="b">
        <f>IF($G970&lt;&gt;0,SUMIF(куб!$G:$G,$G970,куб!R:R),IF($E970&lt;&gt;0,SUMIF(куб!$E:$E,$E970,куб!R:R),IF($D970&lt;&gt;0,SUMIF(куб!$D:$D,$D970,куб!R:R),IF($C970&lt;&gt;0,SUMIF(куб!$C:$C,$C970,куб!R:R),IF($B970&lt;&gt;0,SUMIF(куб!$B:$B,$B970,куб!R:R))))))</f>
        <v>0</v>
      </c>
      <c r="AG970" s="27" t="b">
        <f>IF($G970&lt;&gt;0,SUMIF(куб!$G:$G,$G970,куб!S:S),IF($E970&lt;&gt;0,SUMIF(куб!$E:$E,$E970,куб!S:S),IF($D970&lt;&gt;0,SUMIF(куб!$D:$D,$D970,куб!S:S),IF($C970&lt;&gt;0,SUMIF(куб!$C:$C,$C970,куб!S:S),IF($B970&lt;&gt;0,SUMIF(куб!$B:$B,$B970,куб!S:S))))))</f>
        <v>0</v>
      </c>
      <c r="AH970" s="16" t="str">
        <f t="shared" si="319"/>
        <v>-</v>
      </c>
      <c r="AI970" s="8"/>
      <c r="AJ970" s="27" t="b">
        <f>IF($G970&lt;&gt;0,SUMIF(куб!$G:$G,$G970,куб!T:T),IF($E970&lt;&gt;0,SUMIF(куб!$E:$E,$E970,куб!T:T),IF($D970&lt;&gt;0,SUMIF(куб!$D:$D,$D970,куб!T:T),IF($C970&lt;&gt;0,SUMIF(куб!$C:$C,$C970,куб!T:T),IF($B970&lt;&gt;0,SUMIF(куб!$B:$B,$B970,куб!T:T))))))</f>
        <v>0</v>
      </c>
      <c r="AK970" s="27" t="b">
        <f>IF($G970&lt;&gt;0,SUMIF(куб!$G:$G,$G970,куб!U:U),IF($E970&lt;&gt;0,SUMIF(куб!$E:$E,$E970,куб!U:U),IF($D970&lt;&gt;0,SUMIF(куб!$D:$D,$D970,куб!U:U),IF($C970&lt;&gt;0,SUMIF(куб!$C:$C,$C970,куб!U:U),IF($B970&lt;&gt;0,SUMIF(куб!$B:$B,$B970,куб!U:U))))))</f>
        <v>0</v>
      </c>
      <c r="AL970" s="16" t="str">
        <f t="shared" si="320"/>
        <v>-</v>
      </c>
      <c r="AM970" s="8"/>
      <c r="AN970" s="17" t="str">
        <f t="shared" si="321"/>
        <v xml:space="preserve"> </v>
      </c>
      <c r="AO970" s="17" t="str">
        <f t="shared" si="322"/>
        <v xml:space="preserve"> </v>
      </c>
      <c r="AP970" s="16" t="str">
        <f t="shared" si="323"/>
        <v>-</v>
      </c>
      <c r="AQ970" s="8"/>
      <c r="AR970" s="17" t="str">
        <f t="shared" si="324"/>
        <v>-</v>
      </c>
      <c r="AS970" s="17" t="str">
        <f t="shared" si="325"/>
        <v>-</v>
      </c>
      <c r="AT970" s="13" t="str">
        <f t="shared" si="326"/>
        <v>-</v>
      </c>
      <c r="AU970" s="8"/>
    </row>
    <row r="971" spans="1:47" x14ac:dyDescent="0.25">
      <c r="A971" s="31"/>
      <c r="B971" s="31"/>
      <c r="C971"/>
      <c r="D971" s="31"/>
      <c r="E971"/>
      <c r="F971" s="31"/>
      <c r="G971"/>
      <c r="H971" s="27">
        <f>IF($G971&lt;&gt;0,SUMIF(куб!$G:$G,$G971,куб!H:H),IF($E971&lt;&gt;0,SUMIF(куб!$E:$E,$E971,куб!H:H),IF($D971&lt;&gt;0,SUMIF(куб!$D:$D,$D971,куб!H:H),IF($C971&lt;&gt;0,SUMIF(куб!$C:$C,$C971,куб!H:H),IF($B971&lt;&gt;0,SUMIF(куб!$B:$B,$B971,куб!H:H),IF($G971&lt;&gt;0,SUMIF(куб!$A:$A,$G971,куб!H:H),SUMIF(куб!$A:$A,$G971,куб!H:H)))))))</f>
        <v>0</v>
      </c>
      <c r="I971" s="27">
        <f>IF($G971&lt;&gt;0,SUMIF(куб!$G:$G,$G971,куб!I:I),IF($E971&lt;&gt;0,SUMIF(куб!$E:$E,$E971,куб!I:I),IF($D971&lt;&gt;0,SUMIF(куб!$D:$D,$D971,куб!I:I),IF($C971&lt;&gt;0,SUMIF(куб!$C:$C,$C971,куб!I:I),IF($B971&lt;&gt;0,SUMIF(куб!$B:$B,$B971,куб!I:I),IF($G971&lt;&gt;0,SUMIF(куб!$A:$A,$G971,куб!I:I),SUMIF(куб!$A:$A,$G971,куб!I:I)))))))</f>
        <v>0</v>
      </c>
      <c r="J971" s="19" t="str">
        <f t="shared" si="309"/>
        <v>-</v>
      </c>
      <c r="K971" s="8"/>
      <c r="L971" s="17">
        <f t="shared" si="310"/>
        <v>0</v>
      </c>
      <c r="M971" s="17">
        <f t="shared" si="311"/>
        <v>0</v>
      </c>
      <c r="N971" s="12">
        <f t="shared" si="312"/>
        <v>0</v>
      </c>
      <c r="O971" s="5"/>
      <c r="P971" s="27" t="b">
        <f>IF($G971&lt;&gt;0,SUMIF(куб!$G:$G,$G971,куб!J:J),IF($E971&lt;&gt;0,SUMIF(куб!$E:$E,$E971,куб!J:J),IF($D971&lt;&gt;0,SUMIF(куб!$D:$D,$D971,куб!J:J),IF($C971&lt;&gt;0,SUMIF(куб!$C:$C,$C971,куб!J:J),IF($B971&lt;&gt;0,SUMIF(куб!$B:$B,$B971,куб!J:J))))))</f>
        <v>0</v>
      </c>
      <c r="Q971" s="27" t="b">
        <f>IF($G971&lt;&gt;0,SUMIF(куб!$G:$G,$G971,куб!K:K),IF($E971&lt;&gt;0,SUMIF(куб!$E:$E,$E971,куб!K:K),IF($D971&lt;&gt;0,SUMIF(куб!$D:$D,$D971,куб!K:K),IF($C971&lt;&gt;0,SUMIF(куб!$C:$C,$C971,куб!K:K),IF($B971&lt;&gt;0,SUMIF(куб!$B:$B,$B971,куб!K:K))))))</f>
        <v>0</v>
      </c>
      <c r="R971" s="13" t="str">
        <f t="shared" si="313"/>
        <v>-</v>
      </c>
      <c r="S971" s="5"/>
      <c r="T971" s="27" t="b">
        <f>IF($G971&lt;&gt;0,SUMIF(куб!$G:$G,$G971,куб!L:L),IF($E971&lt;&gt;0,SUMIF(куб!$E:$E,$E971,куб!L:L),IF($D971&lt;&gt;0,SUMIF(куб!$D:$D,$D971,куб!L:L),IF($C971&lt;&gt;0,SUMIF(куб!$C:$C,$C971,куб!L:L),IF($B971&lt;&gt;0,SUMIF(куб!$B:$B,$B971,куб!L:L))))))</f>
        <v>0</v>
      </c>
      <c r="U971" s="27" t="b">
        <f>IF($G971&lt;&gt;0,SUMIF(куб!$G:$G,$G971,куб!M:M),IF($E971&lt;&gt;0,SUMIF(куб!$E:$E,$E971,куб!M:M),IF($D971&lt;&gt;0,SUMIF(куб!$D:$D,$D971,куб!M:M),IF($C971&lt;&gt;0,SUMIF(куб!$C:$C,$C971,куб!M:M),IF($B971&lt;&gt;0,SUMIF(куб!$B:$B,$B971,куб!M:M))))))</f>
        <v>0</v>
      </c>
      <c r="V971" s="13" t="str">
        <f t="shared" si="314"/>
        <v>-</v>
      </c>
      <c r="W971" s="5"/>
      <c r="X971" s="27" t="b">
        <f>IF($G971&lt;&gt;0,SUMIF(куб!$G:$G,$G971,куб!N:N),IF($E971&lt;&gt;0,SUMIF(куб!$E:$E,$E971,куб!N:N),IF($D971&lt;&gt;0,SUMIF(куб!$D:$D,$D971,куб!N:N),IF($C971&lt;&gt;0,SUMIF(куб!$C:$C,$C971,куб!N:N),IF($B971&lt;&gt;0,SUMIF(куб!$B:$B,$B971,куб!N:N))))))</f>
        <v>0</v>
      </c>
      <c r="Y971" s="27" t="b">
        <f>IF($G971&lt;&gt;0,SUMIF(куб!$G:$G,$G971,куб!O:O),IF($E971&lt;&gt;0,SUMIF(куб!$E:$E,$E971,куб!O:O),IF($D971&lt;&gt;0,SUMIF(куб!$D:$D,$D971,куб!O:O),IF($C971&lt;&gt;0,SUMIF(куб!$C:$C,$C971,куб!O:O),IF($B971&lt;&gt;0,SUMIF(куб!$B:$B,$B971,куб!O:O))))))</f>
        <v>0</v>
      </c>
      <c r="Z971" s="13" t="str">
        <f t="shared" si="315"/>
        <v>-</v>
      </c>
      <c r="AA971" s="5"/>
      <c r="AB971" s="33" t="str">
        <f t="shared" si="316"/>
        <v/>
      </c>
      <c r="AC971" s="33" t="str">
        <f t="shared" si="317"/>
        <v/>
      </c>
      <c r="AD971" s="15" t="str">
        <f t="shared" si="318"/>
        <v xml:space="preserve"> </v>
      </c>
      <c r="AE971" s="5"/>
      <c r="AF971" s="27" t="b">
        <f>IF($G971&lt;&gt;0,SUMIF(куб!$G:$G,$G971,куб!R:R),IF($E971&lt;&gt;0,SUMIF(куб!$E:$E,$E971,куб!R:R),IF($D971&lt;&gt;0,SUMIF(куб!$D:$D,$D971,куб!R:R),IF($C971&lt;&gt;0,SUMIF(куб!$C:$C,$C971,куб!R:R),IF($B971&lt;&gt;0,SUMIF(куб!$B:$B,$B971,куб!R:R))))))</f>
        <v>0</v>
      </c>
      <c r="AG971" s="27" t="b">
        <f>IF($G971&lt;&gt;0,SUMIF(куб!$G:$G,$G971,куб!S:S),IF($E971&lt;&gt;0,SUMIF(куб!$E:$E,$E971,куб!S:S),IF($D971&lt;&gt;0,SUMIF(куб!$D:$D,$D971,куб!S:S),IF($C971&lt;&gt;0,SUMIF(куб!$C:$C,$C971,куб!S:S),IF($B971&lt;&gt;0,SUMIF(куб!$B:$B,$B971,куб!S:S))))))</f>
        <v>0</v>
      </c>
      <c r="AH971" s="16" t="str">
        <f t="shared" si="319"/>
        <v>-</v>
      </c>
      <c r="AI971" s="8"/>
      <c r="AJ971" s="27" t="b">
        <f>IF($G971&lt;&gt;0,SUMIF(куб!$G:$G,$G971,куб!T:T),IF($E971&lt;&gt;0,SUMIF(куб!$E:$E,$E971,куб!T:T),IF($D971&lt;&gt;0,SUMIF(куб!$D:$D,$D971,куб!T:T),IF($C971&lt;&gt;0,SUMIF(куб!$C:$C,$C971,куб!T:T),IF($B971&lt;&gt;0,SUMIF(куб!$B:$B,$B971,куб!T:T))))))</f>
        <v>0</v>
      </c>
      <c r="AK971" s="27" t="b">
        <f>IF($G971&lt;&gt;0,SUMIF(куб!$G:$G,$G971,куб!U:U),IF($E971&lt;&gt;0,SUMIF(куб!$E:$E,$E971,куб!U:U),IF($D971&lt;&gt;0,SUMIF(куб!$D:$D,$D971,куб!U:U),IF($C971&lt;&gt;0,SUMIF(куб!$C:$C,$C971,куб!U:U),IF($B971&lt;&gt;0,SUMIF(куб!$B:$B,$B971,куб!U:U))))))</f>
        <v>0</v>
      </c>
      <c r="AL971" s="16" t="str">
        <f t="shared" si="320"/>
        <v>-</v>
      </c>
      <c r="AM971" s="8"/>
      <c r="AN971" s="17" t="str">
        <f t="shared" si="321"/>
        <v xml:space="preserve"> </v>
      </c>
      <c r="AO971" s="17" t="str">
        <f t="shared" si="322"/>
        <v xml:space="preserve"> </v>
      </c>
      <c r="AP971" s="16" t="str">
        <f t="shared" si="323"/>
        <v>-</v>
      </c>
      <c r="AQ971" s="8"/>
      <c r="AR971" s="17" t="str">
        <f t="shared" si="324"/>
        <v>-</v>
      </c>
      <c r="AS971" s="17" t="str">
        <f t="shared" si="325"/>
        <v>-</v>
      </c>
      <c r="AT971" s="13" t="str">
        <f t="shared" si="326"/>
        <v>-</v>
      </c>
      <c r="AU971" s="8"/>
    </row>
    <row r="972" spans="1:47" x14ac:dyDescent="0.25">
      <c r="A972" s="31"/>
      <c r="B972" s="31"/>
      <c r="C972"/>
      <c r="D972" s="31"/>
      <c r="E972"/>
      <c r="F972" s="31"/>
      <c r="G972"/>
      <c r="H972" s="27">
        <f>IF($G972&lt;&gt;0,SUMIF(куб!$G:$G,$G972,куб!H:H),IF($E972&lt;&gt;0,SUMIF(куб!$E:$E,$E972,куб!H:H),IF($D972&lt;&gt;0,SUMIF(куб!$D:$D,$D972,куб!H:H),IF($C972&lt;&gt;0,SUMIF(куб!$C:$C,$C972,куб!H:H),IF($B972&lt;&gt;0,SUMIF(куб!$B:$B,$B972,куб!H:H),IF($G972&lt;&gt;0,SUMIF(куб!$A:$A,$G972,куб!H:H),SUMIF(куб!$A:$A,$G972,куб!H:H)))))))</f>
        <v>0</v>
      </c>
      <c r="I972" s="27">
        <f>IF($G972&lt;&gt;0,SUMIF(куб!$G:$G,$G972,куб!I:I),IF($E972&lt;&gt;0,SUMIF(куб!$E:$E,$E972,куб!I:I),IF($D972&lt;&gt;0,SUMIF(куб!$D:$D,$D972,куб!I:I),IF($C972&lt;&gt;0,SUMIF(куб!$C:$C,$C972,куб!I:I),IF($B972&lt;&gt;0,SUMIF(куб!$B:$B,$B972,куб!I:I),IF($G972&lt;&gt;0,SUMIF(куб!$A:$A,$G972,куб!I:I),SUMIF(куб!$A:$A,$G972,куб!I:I)))))))</f>
        <v>0</v>
      </c>
      <c r="J972" s="19" t="str">
        <f t="shared" si="309"/>
        <v>-</v>
      </c>
      <c r="K972" s="8"/>
      <c r="L972" s="17">
        <f t="shared" si="310"/>
        <v>0</v>
      </c>
      <c r="M972" s="17">
        <f t="shared" si="311"/>
        <v>0</v>
      </c>
      <c r="N972" s="12">
        <f t="shared" si="312"/>
        <v>0</v>
      </c>
      <c r="O972" s="5"/>
      <c r="P972" s="27" t="b">
        <f>IF($G972&lt;&gt;0,SUMIF(куб!$G:$G,$G972,куб!J:J),IF($E972&lt;&gt;0,SUMIF(куб!$E:$E,$E972,куб!J:J),IF($D972&lt;&gt;0,SUMIF(куб!$D:$D,$D972,куб!J:J),IF($C972&lt;&gt;0,SUMIF(куб!$C:$C,$C972,куб!J:J),IF($B972&lt;&gt;0,SUMIF(куб!$B:$B,$B972,куб!J:J))))))</f>
        <v>0</v>
      </c>
      <c r="Q972" s="27" t="b">
        <f>IF($G972&lt;&gt;0,SUMIF(куб!$G:$G,$G972,куб!K:K),IF($E972&lt;&gt;0,SUMIF(куб!$E:$E,$E972,куб!K:K),IF($D972&lt;&gt;0,SUMIF(куб!$D:$D,$D972,куб!K:K),IF($C972&lt;&gt;0,SUMIF(куб!$C:$C,$C972,куб!K:K),IF($B972&lt;&gt;0,SUMIF(куб!$B:$B,$B972,куб!K:K))))))</f>
        <v>0</v>
      </c>
      <c r="R972" s="13" t="str">
        <f t="shared" si="313"/>
        <v>-</v>
      </c>
      <c r="S972" s="5"/>
      <c r="T972" s="27" t="b">
        <f>IF($G972&lt;&gt;0,SUMIF(куб!$G:$G,$G972,куб!L:L),IF($E972&lt;&gt;0,SUMIF(куб!$E:$E,$E972,куб!L:L),IF($D972&lt;&gt;0,SUMIF(куб!$D:$D,$D972,куб!L:L),IF($C972&lt;&gt;0,SUMIF(куб!$C:$C,$C972,куб!L:L),IF($B972&lt;&gt;0,SUMIF(куб!$B:$B,$B972,куб!L:L))))))</f>
        <v>0</v>
      </c>
      <c r="U972" s="27" t="b">
        <f>IF($G972&lt;&gt;0,SUMIF(куб!$G:$G,$G972,куб!M:M),IF($E972&lt;&gt;0,SUMIF(куб!$E:$E,$E972,куб!M:M),IF($D972&lt;&gt;0,SUMIF(куб!$D:$D,$D972,куб!M:M),IF($C972&lt;&gt;0,SUMIF(куб!$C:$C,$C972,куб!M:M),IF($B972&lt;&gt;0,SUMIF(куб!$B:$B,$B972,куб!M:M))))))</f>
        <v>0</v>
      </c>
      <c r="V972" s="13" t="str">
        <f t="shared" si="314"/>
        <v>-</v>
      </c>
      <c r="W972" s="5"/>
      <c r="X972" s="27" t="b">
        <f>IF($G972&lt;&gt;0,SUMIF(куб!$G:$G,$G972,куб!N:N),IF($E972&lt;&gt;0,SUMIF(куб!$E:$E,$E972,куб!N:N),IF($D972&lt;&gt;0,SUMIF(куб!$D:$D,$D972,куб!N:N),IF($C972&lt;&gt;0,SUMIF(куб!$C:$C,$C972,куб!N:N),IF($B972&lt;&gt;0,SUMIF(куб!$B:$B,$B972,куб!N:N))))))</f>
        <v>0</v>
      </c>
      <c r="Y972" s="27" t="b">
        <f>IF($G972&lt;&gt;0,SUMIF(куб!$G:$G,$G972,куб!O:O),IF($E972&lt;&gt;0,SUMIF(куб!$E:$E,$E972,куб!O:O),IF($D972&lt;&gt;0,SUMIF(куб!$D:$D,$D972,куб!O:O),IF($C972&lt;&gt;0,SUMIF(куб!$C:$C,$C972,куб!O:O),IF($B972&lt;&gt;0,SUMIF(куб!$B:$B,$B972,куб!O:O))))))</f>
        <v>0</v>
      </c>
      <c r="Z972" s="13" t="str">
        <f t="shared" si="315"/>
        <v>-</v>
      </c>
      <c r="AA972" s="5"/>
      <c r="AB972" s="33" t="str">
        <f t="shared" si="316"/>
        <v/>
      </c>
      <c r="AC972" s="33" t="str">
        <f t="shared" si="317"/>
        <v/>
      </c>
      <c r="AD972" s="15" t="str">
        <f t="shared" si="318"/>
        <v xml:space="preserve"> </v>
      </c>
      <c r="AE972" s="5"/>
      <c r="AF972" s="27" t="b">
        <f>IF($G972&lt;&gt;0,SUMIF(куб!$G:$G,$G972,куб!R:R),IF($E972&lt;&gt;0,SUMIF(куб!$E:$E,$E972,куб!R:R),IF($D972&lt;&gt;0,SUMIF(куб!$D:$D,$D972,куб!R:R),IF($C972&lt;&gt;0,SUMIF(куб!$C:$C,$C972,куб!R:R),IF($B972&lt;&gt;0,SUMIF(куб!$B:$B,$B972,куб!R:R))))))</f>
        <v>0</v>
      </c>
      <c r="AG972" s="27" t="b">
        <f>IF($G972&lt;&gt;0,SUMIF(куб!$G:$G,$G972,куб!S:S),IF($E972&lt;&gt;0,SUMIF(куб!$E:$E,$E972,куб!S:S),IF($D972&lt;&gt;0,SUMIF(куб!$D:$D,$D972,куб!S:S),IF($C972&lt;&gt;0,SUMIF(куб!$C:$C,$C972,куб!S:S),IF($B972&lt;&gt;0,SUMIF(куб!$B:$B,$B972,куб!S:S))))))</f>
        <v>0</v>
      </c>
      <c r="AH972" s="16" t="str">
        <f t="shared" si="319"/>
        <v>-</v>
      </c>
      <c r="AI972" s="8"/>
      <c r="AJ972" s="27" t="b">
        <f>IF($G972&lt;&gt;0,SUMIF(куб!$G:$G,$G972,куб!T:T),IF($E972&lt;&gt;0,SUMIF(куб!$E:$E,$E972,куб!T:T),IF($D972&lt;&gt;0,SUMIF(куб!$D:$D,$D972,куб!T:T),IF($C972&lt;&gt;0,SUMIF(куб!$C:$C,$C972,куб!T:T),IF($B972&lt;&gt;0,SUMIF(куб!$B:$B,$B972,куб!T:T))))))</f>
        <v>0</v>
      </c>
      <c r="AK972" s="27" t="b">
        <f>IF($G972&lt;&gt;0,SUMIF(куб!$G:$G,$G972,куб!U:U),IF($E972&lt;&gt;0,SUMIF(куб!$E:$E,$E972,куб!U:U),IF($D972&lt;&gt;0,SUMIF(куб!$D:$D,$D972,куб!U:U),IF($C972&lt;&gt;0,SUMIF(куб!$C:$C,$C972,куб!U:U),IF($B972&lt;&gt;0,SUMIF(куб!$B:$B,$B972,куб!U:U))))))</f>
        <v>0</v>
      </c>
      <c r="AL972" s="16" t="str">
        <f t="shared" si="320"/>
        <v>-</v>
      </c>
      <c r="AM972" s="8"/>
      <c r="AN972" s="17" t="str">
        <f t="shared" si="321"/>
        <v xml:space="preserve"> </v>
      </c>
      <c r="AO972" s="17" t="str">
        <f t="shared" si="322"/>
        <v xml:space="preserve"> </v>
      </c>
      <c r="AP972" s="16" t="str">
        <f t="shared" si="323"/>
        <v>-</v>
      </c>
      <c r="AQ972" s="8"/>
      <c r="AR972" s="17" t="str">
        <f t="shared" si="324"/>
        <v>-</v>
      </c>
      <c r="AS972" s="17" t="str">
        <f t="shared" si="325"/>
        <v>-</v>
      </c>
      <c r="AT972" s="13" t="str">
        <f t="shared" si="326"/>
        <v>-</v>
      </c>
      <c r="AU972" s="8"/>
    </row>
    <row r="973" spans="1:47" x14ac:dyDescent="0.25">
      <c r="A973" s="31"/>
      <c r="B973" s="31"/>
      <c r="C973"/>
      <c r="D973" s="31"/>
      <c r="E973"/>
      <c r="F973" s="31"/>
      <c r="G973"/>
      <c r="H973" s="27">
        <f>IF($G973&lt;&gt;0,SUMIF(куб!$G:$G,$G973,куб!H:H),IF($E973&lt;&gt;0,SUMIF(куб!$E:$E,$E973,куб!H:H),IF($D973&lt;&gt;0,SUMIF(куб!$D:$D,$D973,куб!H:H),IF($C973&lt;&gt;0,SUMIF(куб!$C:$C,$C973,куб!H:H),IF($B973&lt;&gt;0,SUMIF(куб!$B:$B,$B973,куб!H:H),IF($G973&lt;&gt;0,SUMIF(куб!$A:$A,$G973,куб!H:H),SUMIF(куб!$A:$A,$G973,куб!H:H)))))))</f>
        <v>0</v>
      </c>
      <c r="I973" s="27">
        <f>IF($G973&lt;&gt;0,SUMIF(куб!$G:$G,$G973,куб!I:I),IF($E973&lt;&gt;0,SUMIF(куб!$E:$E,$E973,куб!I:I),IF($D973&lt;&gt;0,SUMIF(куб!$D:$D,$D973,куб!I:I),IF($C973&lt;&gt;0,SUMIF(куб!$C:$C,$C973,куб!I:I),IF($B973&lt;&gt;0,SUMIF(куб!$B:$B,$B973,куб!I:I),IF($G973&lt;&gt;0,SUMIF(куб!$A:$A,$G973,куб!I:I),SUMIF(куб!$A:$A,$G973,куб!I:I)))))))</f>
        <v>0</v>
      </c>
      <c r="J973" s="19" t="str">
        <f t="shared" si="309"/>
        <v>-</v>
      </c>
      <c r="K973" s="8"/>
      <c r="L973" s="17">
        <f t="shared" si="310"/>
        <v>0</v>
      </c>
      <c r="M973" s="17">
        <f t="shared" si="311"/>
        <v>0</v>
      </c>
      <c r="N973" s="12">
        <f t="shared" si="312"/>
        <v>0</v>
      </c>
      <c r="O973" s="5"/>
      <c r="P973" s="27" t="b">
        <f>IF($G973&lt;&gt;0,SUMIF(куб!$G:$G,$G973,куб!J:J),IF($E973&lt;&gt;0,SUMIF(куб!$E:$E,$E973,куб!J:J),IF($D973&lt;&gt;0,SUMIF(куб!$D:$D,$D973,куб!J:J),IF($C973&lt;&gt;0,SUMIF(куб!$C:$C,$C973,куб!J:J),IF($B973&lt;&gt;0,SUMIF(куб!$B:$B,$B973,куб!J:J))))))</f>
        <v>0</v>
      </c>
      <c r="Q973" s="27" t="b">
        <f>IF($G973&lt;&gt;0,SUMIF(куб!$G:$G,$G973,куб!K:K),IF($E973&lt;&gt;0,SUMIF(куб!$E:$E,$E973,куб!K:K),IF($D973&lt;&gt;0,SUMIF(куб!$D:$D,$D973,куб!K:K),IF($C973&lt;&gt;0,SUMIF(куб!$C:$C,$C973,куб!K:K),IF($B973&lt;&gt;0,SUMIF(куб!$B:$B,$B973,куб!K:K))))))</f>
        <v>0</v>
      </c>
      <c r="R973" s="13" t="str">
        <f t="shared" si="313"/>
        <v>-</v>
      </c>
      <c r="S973" s="5"/>
      <c r="T973" s="27" t="b">
        <f>IF($G973&lt;&gt;0,SUMIF(куб!$G:$G,$G973,куб!L:L),IF($E973&lt;&gt;0,SUMIF(куб!$E:$E,$E973,куб!L:L),IF($D973&lt;&gt;0,SUMIF(куб!$D:$D,$D973,куб!L:L),IF($C973&lt;&gt;0,SUMIF(куб!$C:$C,$C973,куб!L:L),IF($B973&lt;&gt;0,SUMIF(куб!$B:$B,$B973,куб!L:L))))))</f>
        <v>0</v>
      </c>
      <c r="U973" s="27" t="b">
        <f>IF($G973&lt;&gt;0,SUMIF(куб!$G:$G,$G973,куб!M:M),IF($E973&lt;&gt;0,SUMIF(куб!$E:$E,$E973,куб!M:M),IF($D973&lt;&gt;0,SUMIF(куб!$D:$D,$D973,куб!M:M),IF($C973&lt;&gt;0,SUMIF(куб!$C:$C,$C973,куб!M:M),IF($B973&lt;&gt;0,SUMIF(куб!$B:$B,$B973,куб!M:M))))))</f>
        <v>0</v>
      </c>
      <c r="V973" s="13" t="str">
        <f t="shared" si="314"/>
        <v>-</v>
      </c>
      <c r="W973" s="5"/>
      <c r="X973" s="27" t="b">
        <f>IF($G973&lt;&gt;0,SUMIF(куб!$G:$G,$G973,куб!N:N),IF($E973&lt;&gt;0,SUMIF(куб!$E:$E,$E973,куб!N:N),IF($D973&lt;&gt;0,SUMIF(куб!$D:$D,$D973,куб!N:N),IF($C973&lt;&gt;0,SUMIF(куб!$C:$C,$C973,куб!N:N),IF($B973&lt;&gt;0,SUMIF(куб!$B:$B,$B973,куб!N:N))))))</f>
        <v>0</v>
      </c>
      <c r="Y973" s="27" t="b">
        <f>IF($G973&lt;&gt;0,SUMIF(куб!$G:$G,$G973,куб!O:O),IF($E973&lt;&gt;0,SUMIF(куб!$E:$E,$E973,куб!O:O),IF($D973&lt;&gt;0,SUMIF(куб!$D:$D,$D973,куб!O:O),IF($C973&lt;&gt;0,SUMIF(куб!$C:$C,$C973,куб!O:O),IF($B973&lt;&gt;0,SUMIF(куб!$B:$B,$B973,куб!O:O))))))</f>
        <v>0</v>
      </c>
      <c r="Z973" s="13" t="str">
        <f t="shared" si="315"/>
        <v>-</v>
      </c>
      <c r="AA973" s="5"/>
      <c r="AB973" s="33" t="str">
        <f t="shared" si="316"/>
        <v/>
      </c>
      <c r="AC973" s="33" t="str">
        <f t="shared" si="317"/>
        <v/>
      </c>
      <c r="AD973" s="15" t="str">
        <f t="shared" si="318"/>
        <v xml:space="preserve"> </v>
      </c>
      <c r="AE973" s="5"/>
      <c r="AF973" s="27" t="b">
        <f>IF($G973&lt;&gt;0,SUMIF(куб!$G:$G,$G973,куб!R:R),IF($E973&lt;&gt;0,SUMIF(куб!$E:$E,$E973,куб!R:R),IF($D973&lt;&gt;0,SUMIF(куб!$D:$D,$D973,куб!R:R),IF($C973&lt;&gt;0,SUMIF(куб!$C:$C,$C973,куб!R:R),IF($B973&lt;&gt;0,SUMIF(куб!$B:$B,$B973,куб!R:R))))))</f>
        <v>0</v>
      </c>
      <c r="AG973" s="27" t="b">
        <f>IF($G973&lt;&gt;0,SUMIF(куб!$G:$G,$G973,куб!S:S),IF($E973&lt;&gt;0,SUMIF(куб!$E:$E,$E973,куб!S:S),IF($D973&lt;&gt;0,SUMIF(куб!$D:$D,$D973,куб!S:S),IF($C973&lt;&gt;0,SUMIF(куб!$C:$C,$C973,куб!S:S),IF($B973&lt;&gt;0,SUMIF(куб!$B:$B,$B973,куб!S:S))))))</f>
        <v>0</v>
      </c>
      <c r="AH973" s="16" t="str">
        <f t="shared" si="319"/>
        <v>-</v>
      </c>
      <c r="AI973" s="8"/>
      <c r="AJ973" s="27" t="b">
        <f>IF($G973&lt;&gt;0,SUMIF(куб!$G:$G,$G973,куб!T:T),IF($E973&lt;&gt;0,SUMIF(куб!$E:$E,$E973,куб!T:T),IF($D973&lt;&gt;0,SUMIF(куб!$D:$D,$D973,куб!T:T),IF($C973&lt;&gt;0,SUMIF(куб!$C:$C,$C973,куб!T:T),IF($B973&lt;&gt;0,SUMIF(куб!$B:$B,$B973,куб!T:T))))))</f>
        <v>0</v>
      </c>
      <c r="AK973" s="27" t="b">
        <f>IF($G973&lt;&gt;0,SUMIF(куб!$G:$G,$G973,куб!U:U),IF($E973&lt;&gt;0,SUMIF(куб!$E:$E,$E973,куб!U:U),IF($D973&lt;&gt;0,SUMIF(куб!$D:$D,$D973,куб!U:U),IF($C973&lt;&gt;0,SUMIF(куб!$C:$C,$C973,куб!U:U),IF($B973&lt;&gt;0,SUMIF(куб!$B:$B,$B973,куб!U:U))))))</f>
        <v>0</v>
      </c>
      <c r="AL973" s="16" t="str">
        <f t="shared" si="320"/>
        <v>-</v>
      </c>
      <c r="AM973" s="8"/>
      <c r="AN973" s="17" t="str">
        <f t="shared" si="321"/>
        <v xml:space="preserve"> </v>
      </c>
      <c r="AO973" s="17" t="str">
        <f t="shared" si="322"/>
        <v xml:space="preserve"> </v>
      </c>
      <c r="AP973" s="16" t="str">
        <f t="shared" si="323"/>
        <v>-</v>
      </c>
      <c r="AQ973" s="8"/>
      <c r="AR973" s="17" t="str">
        <f t="shared" si="324"/>
        <v>-</v>
      </c>
      <c r="AS973" s="17" t="str">
        <f t="shared" si="325"/>
        <v>-</v>
      </c>
      <c r="AT973" s="13" t="str">
        <f t="shared" si="326"/>
        <v>-</v>
      </c>
      <c r="AU973" s="8"/>
    </row>
    <row r="974" spans="1:47" x14ac:dyDescent="0.25">
      <c r="A974" s="31"/>
      <c r="B974" s="31"/>
      <c r="C974"/>
      <c r="D974" s="31"/>
      <c r="E974"/>
      <c r="F974" s="31"/>
      <c r="G974"/>
      <c r="H974" s="27">
        <f>IF($G974&lt;&gt;0,SUMIF(куб!$G:$G,$G974,куб!H:H),IF($E974&lt;&gt;0,SUMIF(куб!$E:$E,$E974,куб!H:H),IF($D974&lt;&gt;0,SUMIF(куб!$D:$D,$D974,куб!H:H),IF($C974&lt;&gt;0,SUMIF(куб!$C:$C,$C974,куб!H:H),IF($B974&lt;&gt;0,SUMIF(куб!$B:$B,$B974,куб!H:H),IF($G974&lt;&gt;0,SUMIF(куб!$A:$A,$G974,куб!H:H),SUMIF(куб!$A:$A,$G974,куб!H:H)))))))</f>
        <v>0</v>
      </c>
      <c r="I974" s="27">
        <f>IF($G974&lt;&gt;0,SUMIF(куб!$G:$G,$G974,куб!I:I),IF($E974&lt;&gt;0,SUMIF(куб!$E:$E,$E974,куб!I:I),IF($D974&lt;&gt;0,SUMIF(куб!$D:$D,$D974,куб!I:I),IF($C974&lt;&gt;0,SUMIF(куб!$C:$C,$C974,куб!I:I),IF($B974&lt;&gt;0,SUMIF(куб!$B:$B,$B974,куб!I:I),IF($G974&lt;&gt;0,SUMIF(куб!$A:$A,$G974,куб!I:I),SUMIF(куб!$A:$A,$G974,куб!I:I)))))))</f>
        <v>0</v>
      </c>
      <c r="J974" s="19" t="str">
        <f t="shared" si="309"/>
        <v>-</v>
      </c>
      <c r="K974" s="8"/>
      <c r="L974" s="17">
        <f t="shared" si="310"/>
        <v>0</v>
      </c>
      <c r="M974" s="17">
        <f t="shared" si="311"/>
        <v>0</v>
      </c>
      <c r="N974" s="12">
        <f t="shared" si="312"/>
        <v>0</v>
      </c>
      <c r="O974" s="5"/>
      <c r="P974" s="27" t="b">
        <f>IF($G974&lt;&gt;0,SUMIF(куб!$G:$G,$G974,куб!J:J),IF($E974&lt;&gt;0,SUMIF(куб!$E:$E,$E974,куб!J:J),IF($D974&lt;&gt;0,SUMIF(куб!$D:$D,$D974,куб!J:J),IF($C974&lt;&gt;0,SUMIF(куб!$C:$C,$C974,куб!J:J),IF($B974&lt;&gt;0,SUMIF(куб!$B:$B,$B974,куб!J:J))))))</f>
        <v>0</v>
      </c>
      <c r="Q974" s="27" t="b">
        <f>IF($G974&lt;&gt;0,SUMIF(куб!$G:$G,$G974,куб!K:K),IF($E974&lt;&gt;0,SUMIF(куб!$E:$E,$E974,куб!K:K),IF($D974&lt;&gt;0,SUMIF(куб!$D:$D,$D974,куб!K:K),IF($C974&lt;&gt;0,SUMIF(куб!$C:$C,$C974,куб!K:K),IF($B974&lt;&gt;0,SUMIF(куб!$B:$B,$B974,куб!K:K))))))</f>
        <v>0</v>
      </c>
      <c r="R974" s="13" t="str">
        <f t="shared" si="313"/>
        <v>-</v>
      </c>
      <c r="S974" s="5"/>
      <c r="T974" s="27" t="b">
        <f>IF($G974&lt;&gt;0,SUMIF(куб!$G:$G,$G974,куб!L:L),IF($E974&lt;&gt;0,SUMIF(куб!$E:$E,$E974,куб!L:L),IF($D974&lt;&gt;0,SUMIF(куб!$D:$D,$D974,куб!L:L),IF($C974&lt;&gt;0,SUMIF(куб!$C:$C,$C974,куб!L:L),IF($B974&lt;&gt;0,SUMIF(куб!$B:$B,$B974,куб!L:L))))))</f>
        <v>0</v>
      </c>
      <c r="U974" s="27" t="b">
        <f>IF($G974&lt;&gt;0,SUMIF(куб!$G:$G,$G974,куб!M:M),IF($E974&lt;&gt;0,SUMIF(куб!$E:$E,$E974,куб!M:M),IF($D974&lt;&gt;0,SUMIF(куб!$D:$D,$D974,куб!M:M),IF($C974&lt;&gt;0,SUMIF(куб!$C:$C,$C974,куб!M:M),IF($B974&lt;&gt;0,SUMIF(куб!$B:$B,$B974,куб!M:M))))))</f>
        <v>0</v>
      </c>
      <c r="V974" s="13" t="str">
        <f t="shared" si="314"/>
        <v>-</v>
      </c>
      <c r="W974" s="5"/>
      <c r="X974" s="27" t="b">
        <f>IF($G974&lt;&gt;0,SUMIF(куб!$G:$G,$G974,куб!N:N),IF($E974&lt;&gt;0,SUMIF(куб!$E:$E,$E974,куб!N:N),IF($D974&lt;&gt;0,SUMIF(куб!$D:$D,$D974,куб!N:N),IF($C974&lt;&gt;0,SUMIF(куб!$C:$C,$C974,куб!N:N),IF($B974&lt;&gt;0,SUMIF(куб!$B:$B,$B974,куб!N:N))))))</f>
        <v>0</v>
      </c>
      <c r="Y974" s="27" t="b">
        <f>IF($G974&lt;&gt;0,SUMIF(куб!$G:$G,$G974,куб!O:O),IF($E974&lt;&gt;0,SUMIF(куб!$E:$E,$E974,куб!O:O),IF($D974&lt;&gt;0,SUMIF(куб!$D:$D,$D974,куб!O:O),IF($C974&lt;&gt;0,SUMIF(куб!$C:$C,$C974,куб!O:O),IF($B974&lt;&gt;0,SUMIF(куб!$B:$B,$B974,куб!O:O))))))</f>
        <v>0</v>
      </c>
      <c r="Z974" s="13" t="str">
        <f t="shared" si="315"/>
        <v>-</v>
      </c>
      <c r="AA974" s="5"/>
      <c r="AB974" s="33" t="str">
        <f t="shared" si="316"/>
        <v/>
      </c>
      <c r="AC974" s="33" t="str">
        <f t="shared" si="317"/>
        <v/>
      </c>
      <c r="AD974" s="15" t="str">
        <f t="shared" si="318"/>
        <v xml:space="preserve"> </v>
      </c>
      <c r="AE974" s="5"/>
      <c r="AF974" s="27" t="b">
        <f>IF($G974&lt;&gt;0,SUMIF(куб!$G:$G,$G974,куб!R:R),IF($E974&lt;&gt;0,SUMIF(куб!$E:$E,$E974,куб!R:R),IF($D974&lt;&gt;0,SUMIF(куб!$D:$D,$D974,куб!R:R),IF($C974&lt;&gt;0,SUMIF(куб!$C:$C,$C974,куб!R:R),IF($B974&lt;&gt;0,SUMIF(куб!$B:$B,$B974,куб!R:R))))))</f>
        <v>0</v>
      </c>
      <c r="AG974" s="27" t="b">
        <f>IF($G974&lt;&gt;0,SUMIF(куб!$G:$G,$G974,куб!S:S),IF($E974&lt;&gt;0,SUMIF(куб!$E:$E,$E974,куб!S:S),IF($D974&lt;&gt;0,SUMIF(куб!$D:$D,$D974,куб!S:S),IF($C974&lt;&gt;0,SUMIF(куб!$C:$C,$C974,куб!S:S),IF($B974&lt;&gt;0,SUMIF(куб!$B:$B,$B974,куб!S:S))))))</f>
        <v>0</v>
      </c>
      <c r="AH974" s="16" t="str">
        <f t="shared" si="319"/>
        <v>-</v>
      </c>
      <c r="AI974" s="8"/>
      <c r="AJ974" s="27" t="b">
        <f>IF($G974&lt;&gt;0,SUMIF(куб!$G:$G,$G974,куб!T:T),IF($E974&lt;&gt;0,SUMIF(куб!$E:$E,$E974,куб!T:T),IF($D974&lt;&gt;0,SUMIF(куб!$D:$D,$D974,куб!T:T),IF($C974&lt;&gt;0,SUMIF(куб!$C:$C,$C974,куб!T:T),IF($B974&lt;&gt;0,SUMIF(куб!$B:$B,$B974,куб!T:T))))))</f>
        <v>0</v>
      </c>
      <c r="AK974" s="27" t="b">
        <f>IF($G974&lt;&gt;0,SUMIF(куб!$G:$G,$G974,куб!U:U),IF($E974&lt;&gt;0,SUMIF(куб!$E:$E,$E974,куб!U:U),IF($D974&lt;&gt;0,SUMIF(куб!$D:$D,$D974,куб!U:U),IF($C974&lt;&gt;0,SUMIF(куб!$C:$C,$C974,куб!U:U),IF($B974&lt;&gt;0,SUMIF(куб!$B:$B,$B974,куб!U:U))))))</f>
        <v>0</v>
      </c>
      <c r="AL974" s="16" t="str">
        <f t="shared" si="320"/>
        <v>-</v>
      </c>
      <c r="AM974" s="8"/>
      <c r="AN974" s="17" t="str">
        <f t="shared" si="321"/>
        <v xml:space="preserve"> </v>
      </c>
      <c r="AO974" s="17" t="str">
        <f t="shared" si="322"/>
        <v xml:space="preserve"> </v>
      </c>
      <c r="AP974" s="16" t="str">
        <f t="shared" si="323"/>
        <v>-</v>
      </c>
      <c r="AQ974" s="8"/>
      <c r="AR974" s="17" t="str">
        <f t="shared" si="324"/>
        <v>-</v>
      </c>
      <c r="AS974" s="17" t="str">
        <f t="shared" si="325"/>
        <v>-</v>
      </c>
      <c r="AT974" s="13" t="str">
        <f t="shared" si="326"/>
        <v>-</v>
      </c>
      <c r="AU974" s="8"/>
    </row>
    <row r="975" spans="1:47" x14ac:dyDescent="0.25">
      <c r="A975" s="31"/>
      <c r="B975" s="31"/>
      <c r="C975"/>
      <c r="D975" s="31"/>
      <c r="E975"/>
      <c r="F975" s="31"/>
      <c r="G975"/>
      <c r="H975" s="27">
        <f>IF($G975&lt;&gt;0,SUMIF(куб!$G:$G,$G975,куб!H:H),IF($E975&lt;&gt;0,SUMIF(куб!$E:$E,$E975,куб!H:H),IF($D975&lt;&gt;0,SUMIF(куб!$D:$D,$D975,куб!H:H),IF($C975&lt;&gt;0,SUMIF(куб!$C:$C,$C975,куб!H:H),IF($B975&lt;&gt;0,SUMIF(куб!$B:$B,$B975,куб!H:H),IF($G975&lt;&gt;0,SUMIF(куб!$A:$A,$G975,куб!H:H),SUMIF(куб!$A:$A,$G975,куб!H:H)))))))</f>
        <v>0</v>
      </c>
      <c r="I975" s="27">
        <f>IF($G975&lt;&gt;0,SUMIF(куб!$G:$G,$G975,куб!I:I),IF($E975&lt;&gt;0,SUMIF(куб!$E:$E,$E975,куб!I:I),IF($D975&lt;&gt;0,SUMIF(куб!$D:$D,$D975,куб!I:I),IF($C975&lt;&gt;0,SUMIF(куб!$C:$C,$C975,куб!I:I),IF($B975&lt;&gt;0,SUMIF(куб!$B:$B,$B975,куб!I:I),IF($G975&lt;&gt;0,SUMIF(куб!$A:$A,$G975,куб!I:I),SUMIF(куб!$A:$A,$G975,куб!I:I)))))))</f>
        <v>0</v>
      </c>
      <c r="J975" s="19" t="str">
        <f t="shared" si="309"/>
        <v>-</v>
      </c>
      <c r="K975" s="8"/>
      <c r="L975" s="17">
        <f t="shared" si="310"/>
        <v>0</v>
      </c>
      <c r="M975" s="17">
        <f t="shared" si="311"/>
        <v>0</v>
      </c>
      <c r="N975" s="12">
        <f t="shared" si="312"/>
        <v>0</v>
      </c>
      <c r="O975" s="5"/>
      <c r="P975" s="27" t="b">
        <f>IF($G975&lt;&gt;0,SUMIF(куб!$G:$G,$G975,куб!J:J),IF($E975&lt;&gt;0,SUMIF(куб!$E:$E,$E975,куб!J:J),IF($D975&lt;&gt;0,SUMIF(куб!$D:$D,$D975,куб!J:J),IF($C975&lt;&gt;0,SUMIF(куб!$C:$C,$C975,куб!J:J),IF($B975&lt;&gt;0,SUMIF(куб!$B:$B,$B975,куб!J:J))))))</f>
        <v>0</v>
      </c>
      <c r="Q975" s="27" t="b">
        <f>IF($G975&lt;&gt;0,SUMIF(куб!$G:$G,$G975,куб!K:K),IF($E975&lt;&gt;0,SUMIF(куб!$E:$E,$E975,куб!K:K),IF($D975&lt;&gt;0,SUMIF(куб!$D:$D,$D975,куб!K:K),IF($C975&lt;&gt;0,SUMIF(куб!$C:$C,$C975,куб!K:K),IF($B975&lt;&gt;0,SUMIF(куб!$B:$B,$B975,куб!K:K))))))</f>
        <v>0</v>
      </c>
      <c r="R975" s="13" t="str">
        <f t="shared" si="313"/>
        <v>-</v>
      </c>
      <c r="S975" s="5"/>
      <c r="T975" s="27" t="b">
        <f>IF($G975&lt;&gt;0,SUMIF(куб!$G:$G,$G975,куб!L:L),IF($E975&lt;&gt;0,SUMIF(куб!$E:$E,$E975,куб!L:L),IF($D975&lt;&gt;0,SUMIF(куб!$D:$D,$D975,куб!L:L),IF($C975&lt;&gt;0,SUMIF(куб!$C:$C,$C975,куб!L:L),IF($B975&lt;&gt;0,SUMIF(куб!$B:$B,$B975,куб!L:L))))))</f>
        <v>0</v>
      </c>
      <c r="U975" s="27" t="b">
        <f>IF($G975&lt;&gt;0,SUMIF(куб!$G:$G,$G975,куб!M:M),IF($E975&lt;&gt;0,SUMIF(куб!$E:$E,$E975,куб!M:M),IF($D975&lt;&gt;0,SUMIF(куб!$D:$D,$D975,куб!M:M),IF($C975&lt;&gt;0,SUMIF(куб!$C:$C,$C975,куб!M:M),IF($B975&lt;&gt;0,SUMIF(куб!$B:$B,$B975,куб!M:M))))))</f>
        <v>0</v>
      </c>
      <c r="V975" s="13" t="str">
        <f t="shared" si="314"/>
        <v>-</v>
      </c>
      <c r="W975" s="5"/>
      <c r="X975" s="27" t="b">
        <f>IF($G975&lt;&gt;0,SUMIF(куб!$G:$G,$G975,куб!N:N),IF($E975&lt;&gt;0,SUMIF(куб!$E:$E,$E975,куб!N:N),IF($D975&lt;&gt;0,SUMIF(куб!$D:$D,$D975,куб!N:N),IF($C975&lt;&gt;0,SUMIF(куб!$C:$C,$C975,куб!N:N),IF($B975&lt;&gt;0,SUMIF(куб!$B:$B,$B975,куб!N:N))))))</f>
        <v>0</v>
      </c>
      <c r="Y975" s="27" t="b">
        <f>IF($G975&lt;&gt;0,SUMIF(куб!$G:$G,$G975,куб!O:O),IF($E975&lt;&gt;0,SUMIF(куб!$E:$E,$E975,куб!O:O),IF($D975&lt;&gt;0,SUMIF(куб!$D:$D,$D975,куб!O:O),IF($C975&lt;&gt;0,SUMIF(куб!$C:$C,$C975,куб!O:O),IF($B975&lt;&gt;0,SUMIF(куб!$B:$B,$B975,куб!O:O))))))</f>
        <v>0</v>
      </c>
      <c r="Z975" s="13" t="str">
        <f t="shared" si="315"/>
        <v>-</v>
      </c>
      <c r="AA975" s="5"/>
      <c r="AB975" s="33" t="str">
        <f t="shared" si="316"/>
        <v/>
      </c>
      <c r="AC975" s="33" t="str">
        <f t="shared" si="317"/>
        <v/>
      </c>
      <c r="AD975" s="15" t="str">
        <f t="shared" si="318"/>
        <v xml:space="preserve"> </v>
      </c>
      <c r="AE975" s="5"/>
      <c r="AF975" s="27" t="b">
        <f>IF($G975&lt;&gt;0,SUMIF(куб!$G:$G,$G975,куб!R:R),IF($E975&lt;&gt;0,SUMIF(куб!$E:$E,$E975,куб!R:R),IF($D975&lt;&gt;0,SUMIF(куб!$D:$D,$D975,куб!R:R),IF($C975&lt;&gt;0,SUMIF(куб!$C:$C,$C975,куб!R:R),IF($B975&lt;&gt;0,SUMIF(куб!$B:$B,$B975,куб!R:R))))))</f>
        <v>0</v>
      </c>
      <c r="AG975" s="27" t="b">
        <f>IF($G975&lt;&gt;0,SUMIF(куб!$G:$G,$G975,куб!S:S),IF($E975&lt;&gt;0,SUMIF(куб!$E:$E,$E975,куб!S:S),IF($D975&lt;&gt;0,SUMIF(куб!$D:$D,$D975,куб!S:S),IF($C975&lt;&gt;0,SUMIF(куб!$C:$C,$C975,куб!S:S),IF($B975&lt;&gt;0,SUMIF(куб!$B:$B,$B975,куб!S:S))))))</f>
        <v>0</v>
      </c>
      <c r="AH975" s="16" t="str">
        <f t="shared" si="319"/>
        <v>-</v>
      </c>
      <c r="AI975" s="8"/>
      <c r="AJ975" s="27" t="b">
        <f>IF($G975&lt;&gt;0,SUMIF(куб!$G:$G,$G975,куб!T:T),IF($E975&lt;&gt;0,SUMIF(куб!$E:$E,$E975,куб!T:T),IF($D975&lt;&gt;0,SUMIF(куб!$D:$D,$D975,куб!T:T),IF($C975&lt;&gt;0,SUMIF(куб!$C:$C,$C975,куб!T:T),IF($B975&lt;&gt;0,SUMIF(куб!$B:$B,$B975,куб!T:T))))))</f>
        <v>0</v>
      </c>
      <c r="AK975" s="27" t="b">
        <f>IF($G975&lt;&gt;0,SUMIF(куб!$G:$G,$G975,куб!U:U),IF($E975&lt;&gt;0,SUMIF(куб!$E:$E,$E975,куб!U:U),IF($D975&lt;&gt;0,SUMIF(куб!$D:$D,$D975,куб!U:U),IF($C975&lt;&gt;0,SUMIF(куб!$C:$C,$C975,куб!U:U),IF($B975&lt;&gt;0,SUMIF(куб!$B:$B,$B975,куб!U:U))))))</f>
        <v>0</v>
      </c>
      <c r="AL975" s="16" t="str">
        <f t="shared" si="320"/>
        <v>-</v>
      </c>
      <c r="AM975" s="8"/>
      <c r="AN975" s="17" t="str">
        <f t="shared" si="321"/>
        <v xml:space="preserve"> </v>
      </c>
      <c r="AO975" s="17" t="str">
        <f t="shared" si="322"/>
        <v xml:space="preserve"> </v>
      </c>
      <c r="AP975" s="16" t="str">
        <f t="shared" si="323"/>
        <v>-</v>
      </c>
      <c r="AQ975" s="8"/>
      <c r="AR975" s="17" t="str">
        <f t="shared" si="324"/>
        <v>-</v>
      </c>
      <c r="AS975" s="17" t="str">
        <f t="shared" si="325"/>
        <v>-</v>
      </c>
      <c r="AT975" s="13" t="str">
        <f t="shared" si="326"/>
        <v>-</v>
      </c>
      <c r="AU975" s="8"/>
    </row>
    <row r="976" spans="1:47" x14ac:dyDescent="0.25">
      <c r="A976" s="31"/>
      <c r="B976" s="31"/>
      <c r="C976"/>
      <c r="D976" s="31"/>
      <c r="E976"/>
      <c r="F976" s="31"/>
      <c r="G976"/>
      <c r="H976" s="27">
        <f>IF($G976&lt;&gt;0,SUMIF(куб!$G:$G,$G976,куб!H:H),IF($E976&lt;&gt;0,SUMIF(куб!$E:$E,$E976,куб!H:H),IF($D976&lt;&gt;0,SUMIF(куб!$D:$D,$D976,куб!H:H),IF($C976&lt;&gt;0,SUMIF(куб!$C:$C,$C976,куб!H:H),IF($B976&lt;&gt;0,SUMIF(куб!$B:$B,$B976,куб!H:H),IF($G976&lt;&gt;0,SUMIF(куб!$A:$A,$G976,куб!H:H),SUMIF(куб!$A:$A,$G976,куб!H:H)))))))</f>
        <v>0</v>
      </c>
      <c r="I976" s="27">
        <f>IF($G976&lt;&gt;0,SUMIF(куб!$G:$G,$G976,куб!I:I),IF($E976&lt;&gt;0,SUMIF(куб!$E:$E,$E976,куб!I:I),IF($D976&lt;&gt;0,SUMIF(куб!$D:$D,$D976,куб!I:I),IF($C976&lt;&gt;0,SUMIF(куб!$C:$C,$C976,куб!I:I),IF($B976&lt;&gt;0,SUMIF(куб!$B:$B,$B976,куб!I:I),IF($G976&lt;&gt;0,SUMIF(куб!$A:$A,$G976,куб!I:I),SUMIF(куб!$A:$A,$G976,куб!I:I)))))))</f>
        <v>0</v>
      </c>
      <c r="J976" s="19" t="str">
        <f t="shared" si="309"/>
        <v>-</v>
      </c>
      <c r="K976" s="8"/>
      <c r="L976" s="17">
        <f t="shared" si="310"/>
        <v>0</v>
      </c>
      <c r="M976" s="17">
        <f t="shared" si="311"/>
        <v>0</v>
      </c>
      <c r="N976" s="12">
        <f t="shared" si="312"/>
        <v>0</v>
      </c>
      <c r="O976" s="5"/>
      <c r="P976" s="27" t="b">
        <f>IF($G976&lt;&gt;0,SUMIF(куб!$G:$G,$G976,куб!J:J),IF($E976&lt;&gt;0,SUMIF(куб!$E:$E,$E976,куб!J:J),IF($D976&lt;&gt;0,SUMIF(куб!$D:$D,$D976,куб!J:J),IF($C976&lt;&gt;0,SUMIF(куб!$C:$C,$C976,куб!J:J),IF($B976&lt;&gt;0,SUMIF(куб!$B:$B,$B976,куб!J:J))))))</f>
        <v>0</v>
      </c>
      <c r="Q976" s="27" t="b">
        <f>IF($G976&lt;&gt;0,SUMIF(куб!$G:$G,$G976,куб!K:K),IF($E976&lt;&gt;0,SUMIF(куб!$E:$E,$E976,куб!K:K),IF($D976&lt;&gt;0,SUMIF(куб!$D:$D,$D976,куб!K:K),IF($C976&lt;&gt;0,SUMIF(куб!$C:$C,$C976,куб!K:K),IF($B976&lt;&gt;0,SUMIF(куб!$B:$B,$B976,куб!K:K))))))</f>
        <v>0</v>
      </c>
      <c r="R976" s="13" t="str">
        <f t="shared" si="313"/>
        <v>-</v>
      </c>
      <c r="S976" s="5"/>
      <c r="T976" s="27" t="b">
        <f>IF($G976&lt;&gt;0,SUMIF(куб!$G:$G,$G976,куб!L:L),IF($E976&lt;&gt;0,SUMIF(куб!$E:$E,$E976,куб!L:L),IF($D976&lt;&gt;0,SUMIF(куб!$D:$D,$D976,куб!L:L),IF($C976&lt;&gt;0,SUMIF(куб!$C:$C,$C976,куб!L:L),IF($B976&lt;&gt;0,SUMIF(куб!$B:$B,$B976,куб!L:L))))))</f>
        <v>0</v>
      </c>
      <c r="U976" s="27" t="b">
        <f>IF($G976&lt;&gt;0,SUMIF(куб!$G:$G,$G976,куб!M:M),IF($E976&lt;&gt;0,SUMIF(куб!$E:$E,$E976,куб!M:M),IF($D976&lt;&gt;0,SUMIF(куб!$D:$D,$D976,куб!M:M),IF($C976&lt;&gt;0,SUMIF(куб!$C:$C,$C976,куб!M:M),IF($B976&lt;&gt;0,SUMIF(куб!$B:$B,$B976,куб!M:M))))))</f>
        <v>0</v>
      </c>
      <c r="V976" s="13" t="str">
        <f t="shared" si="314"/>
        <v>-</v>
      </c>
      <c r="W976" s="5"/>
      <c r="X976" s="27" t="b">
        <f>IF($G976&lt;&gt;0,SUMIF(куб!$G:$G,$G976,куб!N:N),IF($E976&lt;&gt;0,SUMIF(куб!$E:$E,$E976,куб!N:N),IF($D976&lt;&gt;0,SUMIF(куб!$D:$D,$D976,куб!N:N),IF($C976&lt;&gt;0,SUMIF(куб!$C:$C,$C976,куб!N:N),IF($B976&lt;&gt;0,SUMIF(куб!$B:$B,$B976,куб!N:N))))))</f>
        <v>0</v>
      </c>
      <c r="Y976" s="27" t="b">
        <f>IF($G976&lt;&gt;0,SUMIF(куб!$G:$G,$G976,куб!O:O),IF($E976&lt;&gt;0,SUMIF(куб!$E:$E,$E976,куб!O:O),IF($D976&lt;&gt;0,SUMIF(куб!$D:$D,$D976,куб!O:O),IF($C976&lt;&gt;0,SUMIF(куб!$C:$C,$C976,куб!O:O),IF($B976&lt;&gt;0,SUMIF(куб!$B:$B,$B976,куб!O:O))))))</f>
        <v>0</v>
      </c>
      <c r="Z976" s="13" t="str">
        <f t="shared" si="315"/>
        <v>-</v>
      </c>
      <c r="AA976" s="5"/>
      <c r="AB976" s="33" t="str">
        <f t="shared" si="316"/>
        <v/>
      </c>
      <c r="AC976" s="33" t="str">
        <f t="shared" si="317"/>
        <v/>
      </c>
      <c r="AD976" s="15" t="str">
        <f t="shared" si="318"/>
        <v xml:space="preserve"> </v>
      </c>
      <c r="AE976" s="5"/>
      <c r="AF976" s="27" t="b">
        <f>IF($G976&lt;&gt;0,SUMIF(куб!$G:$G,$G976,куб!R:R),IF($E976&lt;&gt;0,SUMIF(куб!$E:$E,$E976,куб!R:R),IF($D976&lt;&gt;0,SUMIF(куб!$D:$D,$D976,куб!R:R),IF($C976&lt;&gt;0,SUMIF(куб!$C:$C,$C976,куб!R:R),IF($B976&lt;&gt;0,SUMIF(куб!$B:$B,$B976,куб!R:R))))))</f>
        <v>0</v>
      </c>
      <c r="AG976" s="27" t="b">
        <f>IF($G976&lt;&gt;0,SUMIF(куб!$G:$G,$G976,куб!S:S),IF($E976&lt;&gt;0,SUMIF(куб!$E:$E,$E976,куб!S:S),IF($D976&lt;&gt;0,SUMIF(куб!$D:$D,$D976,куб!S:S),IF($C976&lt;&gt;0,SUMIF(куб!$C:$C,$C976,куб!S:S),IF($B976&lt;&gt;0,SUMIF(куб!$B:$B,$B976,куб!S:S))))))</f>
        <v>0</v>
      </c>
      <c r="AH976" s="16" t="str">
        <f t="shared" si="319"/>
        <v>-</v>
      </c>
      <c r="AI976" s="8"/>
      <c r="AJ976" s="27" t="b">
        <f>IF($G976&lt;&gt;0,SUMIF(куб!$G:$G,$G976,куб!T:T),IF($E976&lt;&gt;0,SUMIF(куб!$E:$E,$E976,куб!T:T),IF($D976&lt;&gt;0,SUMIF(куб!$D:$D,$D976,куб!T:T),IF($C976&lt;&gt;0,SUMIF(куб!$C:$C,$C976,куб!T:T),IF($B976&lt;&gt;0,SUMIF(куб!$B:$B,$B976,куб!T:T))))))</f>
        <v>0</v>
      </c>
      <c r="AK976" s="27" t="b">
        <f>IF($G976&lt;&gt;0,SUMIF(куб!$G:$G,$G976,куб!U:U),IF($E976&lt;&gt;0,SUMIF(куб!$E:$E,$E976,куб!U:U),IF($D976&lt;&gt;0,SUMIF(куб!$D:$D,$D976,куб!U:U),IF($C976&lt;&gt;0,SUMIF(куб!$C:$C,$C976,куб!U:U),IF($B976&lt;&gt;0,SUMIF(куб!$B:$B,$B976,куб!U:U))))))</f>
        <v>0</v>
      </c>
      <c r="AL976" s="16" t="str">
        <f t="shared" si="320"/>
        <v>-</v>
      </c>
      <c r="AM976" s="8"/>
      <c r="AN976" s="17" t="str">
        <f t="shared" si="321"/>
        <v xml:space="preserve"> </v>
      </c>
      <c r="AO976" s="17" t="str">
        <f t="shared" si="322"/>
        <v xml:space="preserve"> </v>
      </c>
      <c r="AP976" s="16" t="str">
        <f t="shared" si="323"/>
        <v>-</v>
      </c>
      <c r="AQ976" s="8"/>
      <c r="AR976" s="17" t="str">
        <f t="shared" si="324"/>
        <v>-</v>
      </c>
      <c r="AS976" s="17" t="str">
        <f t="shared" si="325"/>
        <v>-</v>
      </c>
      <c r="AT976" s="13" t="str">
        <f t="shared" si="326"/>
        <v>-</v>
      </c>
      <c r="AU976" s="8"/>
    </row>
    <row r="977" spans="1:47" x14ac:dyDescent="0.25">
      <c r="A977" s="31"/>
      <c r="B977" s="31"/>
      <c r="C977"/>
      <c r="D977" s="31"/>
      <c r="E977"/>
      <c r="F977" s="31"/>
      <c r="G977"/>
      <c r="H977" s="27">
        <f>IF($G977&lt;&gt;0,SUMIF(куб!$G:$G,$G977,куб!H:H),IF($E977&lt;&gt;0,SUMIF(куб!$E:$E,$E977,куб!H:H),IF($D977&lt;&gt;0,SUMIF(куб!$D:$D,$D977,куб!H:H),IF($C977&lt;&gt;0,SUMIF(куб!$C:$C,$C977,куб!H:H),IF($B977&lt;&gt;0,SUMIF(куб!$B:$B,$B977,куб!H:H),IF($G977&lt;&gt;0,SUMIF(куб!$A:$A,$G977,куб!H:H),SUMIF(куб!$A:$A,$G977,куб!H:H)))))))</f>
        <v>0</v>
      </c>
      <c r="I977" s="27">
        <f>IF($G977&lt;&gt;0,SUMIF(куб!$G:$G,$G977,куб!I:I),IF($E977&lt;&gt;0,SUMIF(куб!$E:$E,$E977,куб!I:I),IF($D977&lt;&gt;0,SUMIF(куб!$D:$D,$D977,куб!I:I),IF($C977&lt;&gt;0,SUMIF(куб!$C:$C,$C977,куб!I:I),IF($B977&lt;&gt;0,SUMIF(куб!$B:$B,$B977,куб!I:I),IF($G977&lt;&gt;0,SUMIF(куб!$A:$A,$G977,куб!I:I),SUMIF(куб!$A:$A,$G977,куб!I:I)))))))</f>
        <v>0</v>
      </c>
      <c r="J977" s="19" t="str">
        <f t="shared" si="309"/>
        <v>-</v>
      </c>
      <c r="K977" s="8"/>
      <c r="L977" s="17">
        <f t="shared" si="310"/>
        <v>0</v>
      </c>
      <c r="M977" s="17">
        <f t="shared" si="311"/>
        <v>0</v>
      </c>
      <c r="N977" s="12">
        <f t="shared" si="312"/>
        <v>0</v>
      </c>
      <c r="O977" s="5"/>
      <c r="P977" s="27" t="b">
        <f>IF($G977&lt;&gt;0,SUMIF(куб!$G:$G,$G977,куб!J:J),IF($E977&lt;&gt;0,SUMIF(куб!$E:$E,$E977,куб!J:J),IF($D977&lt;&gt;0,SUMIF(куб!$D:$D,$D977,куб!J:J),IF($C977&lt;&gt;0,SUMIF(куб!$C:$C,$C977,куб!J:J),IF($B977&lt;&gt;0,SUMIF(куб!$B:$B,$B977,куб!J:J))))))</f>
        <v>0</v>
      </c>
      <c r="Q977" s="27" t="b">
        <f>IF($G977&lt;&gt;0,SUMIF(куб!$G:$G,$G977,куб!K:K),IF($E977&lt;&gt;0,SUMIF(куб!$E:$E,$E977,куб!K:K),IF($D977&lt;&gt;0,SUMIF(куб!$D:$D,$D977,куб!K:K),IF($C977&lt;&gt;0,SUMIF(куб!$C:$C,$C977,куб!K:K),IF($B977&lt;&gt;0,SUMIF(куб!$B:$B,$B977,куб!K:K))))))</f>
        <v>0</v>
      </c>
      <c r="R977" s="13" t="str">
        <f t="shared" si="313"/>
        <v>-</v>
      </c>
      <c r="S977" s="5"/>
      <c r="T977" s="27" t="b">
        <f>IF($G977&lt;&gt;0,SUMIF(куб!$G:$G,$G977,куб!L:L),IF($E977&lt;&gt;0,SUMIF(куб!$E:$E,$E977,куб!L:L),IF($D977&lt;&gt;0,SUMIF(куб!$D:$D,$D977,куб!L:L),IF($C977&lt;&gt;0,SUMIF(куб!$C:$C,$C977,куб!L:L),IF($B977&lt;&gt;0,SUMIF(куб!$B:$B,$B977,куб!L:L))))))</f>
        <v>0</v>
      </c>
      <c r="U977" s="27" t="b">
        <f>IF($G977&lt;&gt;0,SUMIF(куб!$G:$G,$G977,куб!M:M),IF($E977&lt;&gt;0,SUMIF(куб!$E:$E,$E977,куб!M:M),IF($D977&lt;&gt;0,SUMIF(куб!$D:$D,$D977,куб!M:M),IF($C977&lt;&gt;0,SUMIF(куб!$C:$C,$C977,куб!M:M),IF($B977&lt;&gt;0,SUMIF(куб!$B:$B,$B977,куб!M:M))))))</f>
        <v>0</v>
      </c>
      <c r="V977" s="13" t="str">
        <f t="shared" si="314"/>
        <v>-</v>
      </c>
      <c r="W977" s="5"/>
      <c r="X977" s="27" t="b">
        <f>IF($G977&lt;&gt;0,SUMIF(куб!$G:$G,$G977,куб!N:N),IF($E977&lt;&gt;0,SUMIF(куб!$E:$E,$E977,куб!N:N),IF($D977&lt;&gt;0,SUMIF(куб!$D:$D,$D977,куб!N:N),IF($C977&lt;&gt;0,SUMIF(куб!$C:$C,$C977,куб!N:N),IF($B977&lt;&gt;0,SUMIF(куб!$B:$B,$B977,куб!N:N))))))</f>
        <v>0</v>
      </c>
      <c r="Y977" s="27" t="b">
        <f>IF($G977&lt;&gt;0,SUMIF(куб!$G:$G,$G977,куб!O:O),IF($E977&lt;&gt;0,SUMIF(куб!$E:$E,$E977,куб!O:O),IF($D977&lt;&gt;0,SUMIF(куб!$D:$D,$D977,куб!O:O),IF($C977&lt;&gt;0,SUMIF(куб!$C:$C,$C977,куб!O:O),IF($B977&lt;&gt;0,SUMIF(куб!$B:$B,$B977,куб!O:O))))))</f>
        <v>0</v>
      </c>
      <c r="Z977" s="13" t="str">
        <f t="shared" si="315"/>
        <v>-</v>
      </c>
      <c r="AA977" s="5"/>
      <c r="AB977" s="33" t="str">
        <f t="shared" si="316"/>
        <v/>
      </c>
      <c r="AC977" s="33" t="str">
        <f t="shared" si="317"/>
        <v/>
      </c>
      <c r="AD977" s="15" t="str">
        <f t="shared" si="318"/>
        <v xml:space="preserve"> </v>
      </c>
      <c r="AE977" s="5"/>
      <c r="AF977" s="27" t="b">
        <f>IF($G977&lt;&gt;0,SUMIF(куб!$G:$G,$G977,куб!R:R),IF($E977&lt;&gt;0,SUMIF(куб!$E:$E,$E977,куб!R:R),IF($D977&lt;&gt;0,SUMIF(куб!$D:$D,$D977,куб!R:R),IF($C977&lt;&gt;0,SUMIF(куб!$C:$C,$C977,куб!R:R),IF($B977&lt;&gt;0,SUMIF(куб!$B:$B,$B977,куб!R:R))))))</f>
        <v>0</v>
      </c>
      <c r="AG977" s="27" t="b">
        <f>IF($G977&lt;&gt;0,SUMIF(куб!$G:$G,$G977,куб!S:S),IF($E977&lt;&gt;0,SUMIF(куб!$E:$E,$E977,куб!S:S),IF($D977&lt;&gt;0,SUMIF(куб!$D:$D,$D977,куб!S:S),IF($C977&lt;&gt;0,SUMIF(куб!$C:$C,$C977,куб!S:S),IF($B977&lt;&gt;0,SUMIF(куб!$B:$B,$B977,куб!S:S))))))</f>
        <v>0</v>
      </c>
      <c r="AH977" s="16" t="str">
        <f t="shared" si="319"/>
        <v>-</v>
      </c>
      <c r="AI977" s="8"/>
      <c r="AJ977" s="27" t="b">
        <f>IF($G977&lt;&gt;0,SUMIF(куб!$G:$G,$G977,куб!T:T),IF($E977&lt;&gt;0,SUMIF(куб!$E:$E,$E977,куб!T:T),IF($D977&lt;&gt;0,SUMIF(куб!$D:$D,$D977,куб!T:T),IF($C977&lt;&gt;0,SUMIF(куб!$C:$C,$C977,куб!T:T),IF($B977&lt;&gt;0,SUMIF(куб!$B:$B,$B977,куб!T:T))))))</f>
        <v>0</v>
      </c>
      <c r="AK977" s="27" t="b">
        <f>IF($G977&lt;&gt;0,SUMIF(куб!$G:$G,$G977,куб!U:U),IF($E977&lt;&gt;0,SUMIF(куб!$E:$E,$E977,куб!U:U),IF($D977&lt;&gt;0,SUMIF(куб!$D:$D,$D977,куб!U:U),IF($C977&lt;&gt;0,SUMIF(куб!$C:$C,$C977,куб!U:U),IF($B977&lt;&gt;0,SUMIF(куб!$B:$B,$B977,куб!U:U))))))</f>
        <v>0</v>
      </c>
      <c r="AL977" s="16" t="str">
        <f t="shared" si="320"/>
        <v>-</v>
      </c>
      <c r="AM977" s="8"/>
      <c r="AN977" s="17" t="str">
        <f t="shared" si="321"/>
        <v xml:space="preserve"> </v>
      </c>
      <c r="AO977" s="17" t="str">
        <f t="shared" si="322"/>
        <v xml:space="preserve"> </v>
      </c>
      <c r="AP977" s="16" t="str">
        <f t="shared" si="323"/>
        <v>-</v>
      </c>
      <c r="AQ977" s="8"/>
      <c r="AR977" s="17" t="str">
        <f t="shared" si="324"/>
        <v>-</v>
      </c>
      <c r="AS977" s="17" t="str">
        <f t="shared" si="325"/>
        <v>-</v>
      </c>
      <c r="AT977" s="13" t="str">
        <f t="shared" si="326"/>
        <v>-</v>
      </c>
      <c r="AU977" s="8"/>
    </row>
    <row r="978" spans="1:47" x14ac:dyDescent="0.25">
      <c r="A978" s="31"/>
      <c r="B978" s="31"/>
      <c r="C978"/>
      <c r="D978" s="31"/>
      <c r="E978"/>
      <c r="F978" s="31"/>
      <c r="G978"/>
      <c r="H978" s="27">
        <f>IF($G978&lt;&gt;0,SUMIF(куб!$G:$G,$G978,куб!H:H),IF($E978&lt;&gt;0,SUMIF(куб!$E:$E,$E978,куб!H:H),IF($D978&lt;&gt;0,SUMIF(куб!$D:$D,$D978,куб!H:H),IF($C978&lt;&gt;0,SUMIF(куб!$C:$C,$C978,куб!H:H),IF($B978&lt;&gt;0,SUMIF(куб!$B:$B,$B978,куб!H:H),IF($G978&lt;&gt;0,SUMIF(куб!$A:$A,$G978,куб!H:H),SUMIF(куб!$A:$A,$G978,куб!H:H)))))))</f>
        <v>0</v>
      </c>
      <c r="I978" s="27">
        <f>IF($G978&lt;&gt;0,SUMIF(куб!$G:$G,$G978,куб!I:I),IF($E978&lt;&gt;0,SUMIF(куб!$E:$E,$E978,куб!I:I),IF($D978&lt;&gt;0,SUMIF(куб!$D:$D,$D978,куб!I:I),IF($C978&lt;&gt;0,SUMIF(куб!$C:$C,$C978,куб!I:I),IF($B978&lt;&gt;0,SUMIF(куб!$B:$B,$B978,куб!I:I),IF($G978&lt;&gt;0,SUMIF(куб!$A:$A,$G978,куб!I:I),SUMIF(куб!$A:$A,$G978,куб!I:I)))))))</f>
        <v>0</v>
      </c>
      <c r="J978" s="19" t="str">
        <f t="shared" si="309"/>
        <v>-</v>
      </c>
      <c r="K978" s="8"/>
      <c r="L978" s="17">
        <f t="shared" si="310"/>
        <v>0</v>
      </c>
      <c r="M978" s="17">
        <f t="shared" si="311"/>
        <v>0</v>
      </c>
      <c r="N978" s="12">
        <f t="shared" si="312"/>
        <v>0</v>
      </c>
      <c r="O978" s="5"/>
      <c r="P978" s="27" t="b">
        <f>IF($G978&lt;&gt;0,SUMIF(куб!$G:$G,$G978,куб!J:J),IF($E978&lt;&gt;0,SUMIF(куб!$E:$E,$E978,куб!J:J),IF($D978&lt;&gt;0,SUMIF(куб!$D:$D,$D978,куб!J:J),IF($C978&lt;&gt;0,SUMIF(куб!$C:$C,$C978,куб!J:J),IF($B978&lt;&gt;0,SUMIF(куб!$B:$B,$B978,куб!J:J))))))</f>
        <v>0</v>
      </c>
      <c r="Q978" s="27" t="b">
        <f>IF($G978&lt;&gt;0,SUMIF(куб!$G:$G,$G978,куб!K:K),IF($E978&lt;&gt;0,SUMIF(куб!$E:$E,$E978,куб!K:K),IF($D978&lt;&gt;0,SUMIF(куб!$D:$D,$D978,куб!K:K),IF($C978&lt;&gt;0,SUMIF(куб!$C:$C,$C978,куб!K:K),IF($B978&lt;&gt;0,SUMIF(куб!$B:$B,$B978,куб!K:K))))))</f>
        <v>0</v>
      </c>
      <c r="R978" s="13" t="str">
        <f t="shared" si="313"/>
        <v>-</v>
      </c>
      <c r="S978" s="5"/>
      <c r="T978" s="27" t="b">
        <f>IF($G978&lt;&gt;0,SUMIF(куб!$G:$G,$G978,куб!L:L),IF($E978&lt;&gt;0,SUMIF(куб!$E:$E,$E978,куб!L:L),IF($D978&lt;&gt;0,SUMIF(куб!$D:$D,$D978,куб!L:L),IF($C978&lt;&gt;0,SUMIF(куб!$C:$C,$C978,куб!L:L),IF($B978&lt;&gt;0,SUMIF(куб!$B:$B,$B978,куб!L:L))))))</f>
        <v>0</v>
      </c>
      <c r="U978" s="27" t="b">
        <f>IF($G978&lt;&gt;0,SUMIF(куб!$G:$G,$G978,куб!M:M),IF($E978&lt;&gt;0,SUMIF(куб!$E:$E,$E978,куб!M:M),IF($D978&lt;&gt;0,SUMIF(куб!$D:$D,$D978,куб!M:M),IF($C978&lt;&gt;0,SUMIF(куб!$C:$C,$C978,куб!M:M),IF($B978&lt;&gt;0,SUMIF(куб!$B:$B,$B978,куб!M:M))))))</f>
        <v>0</v>
      </c>
      <c r="V978" s="13" t="str">
        <f t="shared" si="314"/>
        <v>-</v>
      </c>
      <c r="W978" s="5"/>
      <c r="X978" s="27" t="b">
        <f>IF($G978&lt;&gt;0,SUMIF(куб!$G:$G,$G978,куб!N:N),IF($E978&lt;&gt;0,SUMIF(куб!$E:$E,$E978,куб!N:N),IF($D978&lt;&gt;0,SUMIF(куб!$D:$D,$D978,куб!N:N),IF($C978&lt;&gt;0,SUMIF(куб!$C:$C,$C978,куб!N:N),IF($B978&lt;&gt;0,SUMIF(куб!$B:$B,$B978,куб!N:N))))))</f>
        <v>0</v>
      </c>
      <c r="Y978" s="27" t="b">
        <f>IF($G978&lt;&gt;0,SUMIF(куб!$G:$G,$G978,куб!O:O),IF($E978&lt;&gt;0,SUMIF(куб!$E:$E,$E978,куб!O:O),IF($D978&lt;&gt;0,SUMIF(куб!$D:$D,$D978,куб!O:O),IF($C978&lt;&gt;0,SUMIF(куб!$C:$C,$C978,куб!O:O),IF($B978&lt;&gt;0,SUMIF(куб!$B:$B,$B978,куб!O:O))))))</f>
        <v>0</v>
      </c>
      <c r="Z978" s="13" t="str">
        <f t="shared" si="315"/>
        <v>-</v>
      </c>
      <c r="AA978" s="5"/>
      <c r="AB978" s="33" t="str">
        <f t="shared" si="316"/>
        <v/>
      </c>
      <c r="AC978" s="33" t="str">
        <f t="shared" si="317"/>
        <v/>
      </c>
      <c r="AD978" s="15" t="str">
        <f t="shared" si="318"/>
        <v xml:space="preserve"> </v>
      </c>
      <c r="AE978" s="5"/>
      <c r="AF978" s="27" t="b">
        <f>IF($G978&lt;&gt;0,SUMIF(куб!$G:$G,$G978,куб!R:R),IF($E978&lt;&gt;0,SUMIF(куб!$E:$E,$E978,куб!R:R),IF($D978&lt;&gt;0,SUMIF(куб!$D:$D,$D978,куб!R:R),IF($C978&lt;&gt;0,SUMIF(куб!$C:$C,$C978,куб!R:R),IF($B978&lt;&gt;0,SUMIF(куб!$B:$B,$B978,куб!R:R))))))</f>
        <v>0</v>
      </c>
      <c r="AG978" s="27" t="b">
        <f>IF($G978&lt;&gt;0,SUMIF(куб!$G:$G,$G978,куб!S:S),IF($E978&lt;&gt;0,SUMIF(куб!$E:$E,$E978,куб!S:S),IF($D978&lt;&gt;0,SUMIF(куб!$D:$D,$D978,куб!S:S),IF($C978&lt;&gt;0,SUMIF(куб!$C:$C,$C978,куб!S:S),IF($B978&lt;&gt;0,SUMIF(куб!$B:$B,$B978,куб!S:S))))))</f>
        <v>0</v>
      </c>
      <c r="AH978" s="16" t="str">
        <f t="shared" si="319"/>
        <v>-</v>
      </c>
      <c r="AI978" s="8"/>
      <c r="AJ978" s="27" t="b">
        <f>IF($G978&lt;&gt;0,SUMIF(куб!$G:$G,$G978,куб!T:T),IF($E978&lt;&gt;0,SUMIF(куб!$E:$E,$E978,куб!T:T),IF($D978&lt;&gt;0,SUMIF(куб!$D:$D,$D978,куб!T:T),IF($C978&lt;&gt;0,SUMIF(куб!$C:$C,$C978,куб!T:T),IF($B978&lt;&gt;0,SUMIF(куб!$B:$B,$B978,куб!T:T))))))</f>
        <v>0</v>
      </c>
      <c r="AK978" s="27" t="b">
        <f>IF($G978&lt;&gt;0,SUMIF(куб!$G:$G,$G978,куб!U:U),IF($E978&lt;&gt;0,SUMIF(куб!$E:$E,$E978,куб!U:U),IF($D978&lt;&gt;0,SUMIF(куб!$D:$D,$D978,куб!U:U),IF($C978&lt;&gt;0,SUMIF(куб!$C:$C,$C978,куб!U:U),IF($B978&lt;&gt;0,SUMIF(куб!$B:$B,$B978,куб!U:U))))))</f>
        <v>0</v>
      </c>
      <c r="AL978" s="16" t="str">
        <f t="shared" si="320"/>
        <v>-</v>
      </c>
      <c r="AM978" s="8"/>
      <c r="AN978" s="17" t="str">
        <f t="shared" si="321"/>
        <v xml:space="preserve"> </v>
      </c>
      <c r="AO978" s="17" t="str">
        <f t="shared" si="322"/>
        <v xml:space="preserve"> </v>
      </c>
      <c r="AP978" s="16" t="str">
        <f t="shared" si="323"/>
        <v>-</v>
      </c>
      <c r="AQ978" s="8"/>
      <c r="AR978" s="17" t="str">
        <f t="shared" si="324"/>
        <v>-</v>
      </c>
      <c r="AS978" s="17" t="str">
        <f t="shared" si="325"/>
        <v>-</v>
      </c>
      <c r="AT978" s="13" t="str">
        <f t="shared" si="326"/>
        <v>-</v>
      </c>
      <c r="AU978" s="8"/>
    </row>
    <row r="979" spans="1:47" x14ac:dyDescent="0.25">
      <c r="A979" s="31"/>
      <c r="B979" s="31"/>
      <c r="C979"/>
      <c r="D979" s="31"/>
      <c r="E979"/>
      <c r="F979" s="31"/>
      <c r="G979"/>
      <c r="H979" s="27">
        <f>IF($G979&lt;&gt;0,SUMIF(куб!$G:$G,$G979,куб!H:H),IF($E979&lt;&gt;0,SUMIF(куб!$E:$E,$E979,куб!H:H),IF($D979&lt;&gt;0,SUMIF(куб!$D:$D,$D979,куб!H:H),IF($C979&lt;&gt;0,SUMIF(куб!$C:$C,$C979,куб!H:H),IF($B979&lt;&gt;0,SUMIF(куб!$B:$B,$B979,куб!H:H),IF($G979&lt;&gt;0,SUMIF(куб!$A:$A,$G979,куб!H:H),SUMIF(куб!$A:$A,$G979,куб!H:H)))))))</f>
        <v>0</v>
      </c>
      <c r="I979" s="27">
        <f>IF($G979&lt;&gt;0,SUMIF(куб!$G:$G,$G979,куб!I:I),IF($E979&lt;&gt;0,SUMIF(куб!$E:$E,$E979,куб!I:I),IF($D979&lt;&gt;0,SUMIF(куб!$D:$D,$D979,куб!I:I),IF($C979&lt;&gt;0,SUMIF(куб!$C:$C,$C979,куб!I:I),IF($B979&lt;&gt;0,SUMIF(куб!$B:$B,$B979,куб!I:I),IF($G979&lt;&gt;0,SUMIF(куб!$A:$A,$G979,куб!I:I),SUMIF(куб!$A:$A,$G979,куб!I:I)))))))</f>
        <v>0</v>
      </c>
      <c r="J979" s="19" t="str">
        <f t="shared" si="309"/>
        <v>-</v>
      </c>
      <c r="K979" s="8"/>
      <c r="L979" s="17">
        <f t="shared" si="310"/>
        <v>0</v>
      </c>
      <c r="M979" s="17">
        <f t="shared" si="311"/>
        <v>0</v>
      </c>
      <c r="N979" s="12">
        <f t="shared" si="312"/>
        <v>0</v>
      </c>
      <c r="O979" s="5"/>
      <c r="P979" s="27" t="b">
        <f>IF($G979&lt;&gt;0,SUMIF(куб!$G:$G,$G979,куб!J:J),IF($E979&lt;&gt;0,SUMIF(куб!$E:$E,$E979,куб!J:J),IF($D979&lt;&gt;0,SUMIF(куб!$D:$D,$D979,куб!J:J),IF($C979&lt;&gt;0,SUMIF(куб!$C:$C,$C979,куб!J:J),IF($B979&lt;&gt;0,SUMIF(куб!$B:$B,$B979,куб!J:J))))))</f>
        <v>0</v>
      </c>
      <c r="Q979" s="27" t="b">
        <f>IF($G979&lt;&gt;0,SUMIF(куб!$G:$G,$G979,куб!K:K),IF($E979&lt;&gt;0,SUMIF(куб!$E:$E,$E979,куб!K:K),IF($D979&lt;&gt;0,SUMIF(куб!$D:$D,$D979,куб!K:K),IF($C979&lt;&gt;0,SUMIF(куб!$C:$C,$C979,куб!K:K),IF($B979&lt;&gt;0,SUMIF(куб!$B:$B,$B979,куб!K:K))))))</f>
        <v>0</v>
      </c>
      <c r="R979" s="13" t="str">
        <f t="shared" si="313"/>
        <v>-</v>
      </c>
      <c r="S979" s="5"/>
      <c r="T979" s="27" t="b">
        <f>IF($G979&lt;&gt;0,SUMIF(куб!$G:$G,$G979,куб!L:L),IF($E979&lt;&gt;0,SUMIF(куб!$E:$E,$E979,куб!L:L),IF($D979&lt;&gt;0,SUMIF(куб!$D:$D,$D979,куб!L:L),IF($C979&lt;&gt;0,SUMIF(куб!$C:$C,$C979,куб!L:L),IF($B979&lt;&gt;0,SUMIF(куб!$B:$B,$B979,куб!L:L))))))</f>
        <v>0</v>
      </c>
      <c r="U979" s="27" t="b">
        <f>IF($G979&lt;&gt;0,SUMIF(куб!$G:$G,$G979,куб!M:M),IF($E979&lt;&gt;0,SUMIF(куб!$E:$E,$E979,куб!M:M),IF($D979&lt;&gt;0,SUMIF(куб!$D:$D,$D979,куб!M:M),IF($C979&lt;&gt;0,SUMIF(куб!$C:$C,$C979,куб!M:M),IF($B979&lt;&gt;0,SUMIF(куб!$B:$B,$B979,куб!M:M))))))</f>
        <v>0</v>
      </c>
      <c r="V979" s="13" t="str">
        <f t="shared" si="314"/>
        <v>-</v>
      </c>
      <c r="W979" s="5"/>
      <c r="X979" s="27" t="b">
        <f>IF($G979&lt;&gt;0,SUMIF(куб!$G:$G,$G979,куб!N:N),IF($E979&lt;&gt;0,SUMIF(куб!$E:$E,$E979,куб!N:N),IF($D979&lt;&gt;0,SUMIF(куб!$D:$D,$D979,куб!N:N),IF($C979&lt;&gt;0,SUMIF(куб!$C:$C,$C979,куб!N:N),IF($B979&lt;&gt;0,SUMIF(куб!$B:$B,$B979,куб!N:N))))))</f>
        <v>0</v>
      </c>
      <c r="Y979" s="27" t="b">
        <f>IF($G979&lt;&gt;0,SUMIF(куб!$G:$G,$G979,куб!O:O),IF($E979&lt;&gt;0,SUMIF(куб!$E:$E,$E979,куб!O:O),IF($D979&lt;&gt;0,SUMIF(куб!$D:$D,$D979,куб!O:O),IF($C979&lt;&gt;0,SUMIF(куб!$C:$C,$C979,куб!O:O),IF($B979&lt;&gt;0,SUMIF(куб!$B:$B,$B979,куб!O:O))))))</f>
        <v>0</v>
      </c>
      <c r="Z979" s="13" t="str">
        <f t="shared" si="315"/>
        <v>-</v>
      </c>
      <c r="AA979" s="5"/>
      <c r="AB979" s="33" t="str">
        <f t="shared" si="316"/>
        <v/>
      </c>
      <c r="AC979" s="33" t="str">
        <f t="shared" si="317"/>
        <v/>
      </c>
      <c r="AD979" s="15" t="str">
        <f t="shared" si="318"/>
        <v xml:space="preserve"> </v>
      </c>
      <c r="AE979" s="5"/>
      <c r="AF979" s="27" t="b">
        <f>IF($G979&lt;&gt;0,SUMIF(куб!$G:$G,$G979,куб!R:R),IF($E979&lt;&gt;0,SUMIF(куб!$E:$E,$E979,куб!R:R),IF($D979&lt;&gt;0,SUMIF(куб!$D:$D,$D979,куб!R:R),IF($C979&lt;&gt;0,SUMIF(куб!$C:$C,$C979,куб!R:R),IF($B979&lt;&gt;0,SUMIF(куб!$B:$B,$B979,куб!R:R))))))</f>
        <v>0</v>
      </c>
      <c r="AG979" s="27" t="b">
        <f>IF($G979&lt;&gt;0,SUMIF(куб!$G:$G,$G979,куб!S:S),IF($E979&lt;&gt;0,SUMIF(куб!$E:$E,$E979,куб!S:S),IF($D979&lt;&gt;0,SUMIF(куб!$D:$D,$D979,куб!S:S),IF($C979&lt;&gt;0,SUMIF(куб!$C:$C,$C979,куб!S:S),IF($B979&lt;&gt;0,SUMIF(куб!$B:$B,$B979,куб!S:S))))))</f>
        <v>0</v>
      </c>
      <c r="AH979" s="16" t="str">
        <f t="shared" si="319"/>
        <v>-</v>
      </c>
      <c r="AI979" s="8"/>
      <c r="AJ979" s="27" t="b">
        <f>IF($G979&lt;&gt;0,SUMIF(куб!$G:$G,$G979,куб!T:T),IF($E979&lt;&gt;0,SUMIF(куб!$E:$E,$E979,куб!T:T),IF($D979&lt;&gt;0,SUMIF(куб!$D:$D,$D979,куб!T:T),IF($C979&lt;&gt;0,SUMIF(куб!$C:$C,$C979,куб!T:T),IF($B979&lt;&gt;0,SUMIF(куб!$B:$B,$B979,куб!T:T))))))</f>
        <v>0</v>
      </c>
      <c r="AK979" s="27" t="b">
        <f>IF($G979&lt;&gt;0,SUMIF(куб!$G:$G,$G979,куб!U:U),IF($E979&lt;&gt;0,SUMIF(куб!$E:$E,$E979,куб!U:U),IF($D979&lt;&gt;0,SUMIF(куб!$D:$D,$D979,куб!U:U),IF($C979&lt;&gt;0,SUMIF(куб!$C:$C,$C979,куб!U:U),IF($B979&lt;&gt;0,SUMIF(куб!$B:$B,$B979,куб!U:U))))))</f>
        <v>0</v>
      </c>
      <c r="AL979" s="16" t="str">
        <f t="shared" si="320"/>
        <v>-</v>
      </c>
      <c r="AM979" s="8"/>
      <c r="AN979" s="17" t="str">
        <f t="shared" si="321"/>
        <v xml:space="preserve"> </v>
      </c>
      <c r="AO979" s="17" t="str">
        <f t="shared" si="322"/>
        <v xml:space="preserve"> </v>
      </c>
      <c r="AP979" s="16" t="str">
        <f t="shared" si="323"/>
        <v>-</v>
      </c>
      <c r="AQ979" s="8"/>
      <c r="AR979" s="17" t="str">
        <f t="shared" si="324"/>
        <v>-</v>
      </c>
      <c r="AS979" s="17" t="str">
        <f t="shared" si="325"/>
        <v>-</v>
      </c>
      <c r="AT979" s="13" t="str">
        <f t="shared" si="326"/>
        <v>-</v>
      </c>
      <c r="AU979" s="8"/>
    </row>
    <row r="980" spans="1:47" x14ac:dyDescent="0.25">
      <c r="A980" s="31"/>
      <c r="B980" s="31"/>
      <c r="C980"/>
      <c r="D980" s="31"/>
      <c r="E980"/>
      <c r="F980" s="31"/>
      <c r="G980"/>
      <c r="H980" s="27">
        <f>IF($G980&lt;&gt;0,SUMIF(куб!$G:$G,$G980,куб!H:H),IF($E980&lt;&gt;0,SUMIF(куб!$E:$E,$E980,куб!H:H),IF($D980&lt;&gt;0,SUMIF(куб!$D:$D,$D980,куб!H:H),IF($C980&lt;&gt;0,SUMIF(куб!$C:$C,$C980,куб!H:H),IF($B980&lt;&gt;0,SUMIF(куб!$B:$B,$B980,куб!H:H),IF($G980&lt;&gt;0,SUMIF(куб!$A:$A,$G980,куб!H:H),SUMIF(куб!$A:$A,$G980,куб!H:H)))))))</f>
        <v>0</v>
      </c>
      <c r="I980" s="27">
        <f>IF($G980&lt;&gt;0,SUMIF(куб!$G:$G,$G980,куб!I:I),IF($E980&lt;&gt;0,SUMIF(куб!$E:$E,$E980,куб!I:I),IF($D980&lt;&gt;0,SUMIF(куб!$D:$D,$D980,куб!I:I),IF($C980&lt;&gt;0,SUMIF(куб!$C:$C,$C980,куб!I:I),IF($B980&lt;&gt;0,SUMIF(куб!$B:$B,$B980,куб!I:I),IF($G980&lt;&gt;0,SUMIF(куб!$A:$A,$G980,куб!I:I),SUMIF(куб!$A:$A,$G980,куб!I:I)))))))</f>
        <v>0</v>
      </c>
      <c r="J980" s="19" t="str">
        <f t="shared" si="309"/>
        <v>-</v>
      </c>
      <c r="K980" s="8"/>
      <c r="L980" s="17">
        <f t="shared" si="310"/>
        <v>0</v>
      </c>
      <c r="M980" s="17">
        <f t="shared" si="311"/>
        <v>0</v>
      </c>
      <c r="N980" s="12">
        <f t="shared" si="312"/>
        <v>0</v>
      </c>
      <c r="O980" s="5"/>
      <c r="P980" s="27" t="b">
        <f>IF($G980&lt;&gt;0,SUMIF(куб!$G:$G,$G980,куб!J:J),IF($E980&lt;&gt;0,SUMIF(куб!$E:$E,$E980,куб!J:J),IF($D980&lt;&gt;0,SUMIF(куб!$D:$D,$D980,куб!J:J),IF($C980&lt;&gt;0,SUMIF(куб!$C:$C,$C980,куб!J:J),IF($B980&lt;&gt;0,SUMIF(куб!$B:$B,$B980,куб!J:J))))))</f>
        <v>0</v>
      </c>
      <c r="Q980" s="27" t="b">
        <f>IF($G980&lt;&gt;0,SUMIF(куб!$G:$G,$G980,куб!K:K),IF($E980&lt;&gt;0,SUMIF(куб!$E:$E,$E980,куб!K:K),IF($D980&lt;&gt;0,SUMIF(куб!$D:$D,$D980,куб!K:K),IF($C980&lt;&gt;0,SUMIF(куб!$C:$C,$C980,куб!K:K),IF($B980&lt;&gt;0,SUMIF(куб!$B:$B,$B980,куб!K:K))))))</f>
        <v>0</v>
      </c>
      <c r="R980" s="13" t="str">
        <f t="shared" si="313"/>
        <v>-</v>
      </c>
      <c r="S980" s="5"/>
      <c r="T980" s="27" t="b">
        <f>IF($G980&lt;&gt;0,SUMIF(куб!$G:$G,$G980,куб!L:L),IF($E980&lt;&gt;0,SUMIF(куб!$E:$E,$E980,куб!L:L),IF($D980&lt;&gt;0,SUMIF(куб!$D:$D,$D980,куб!L:L),IF($C980&lt;&gt;0,SUMIF(куб!$C:$C,$C980,куб!L:L),IF($B980&lt;&gt;0,SUMIF(куб!$B:$B,$B980,куб!L:L))))))</f>
        <v>0</v>
      </c>
      <c r="U980" s="27" t="b">
        <f>IF($G980&lt;&gt;0,SUMIF(куб!$G:$G,$G980,куб!M:M),IF($E980&lt;&gt;0,SUMIF(куб!$E:$E,$E980,куб!M:M),IF($D980&lt;&gt;0,SUMIF(куб!$D:$D,$D980,куб!M:M),IF($C980&lt;&gt;0,SUMIF(куб!$C:$C,$C980,куб!M:M),IF($B980&lt;&gt;0,SUMIF(куб!$B:$B,$B980,куб!M:M))))))</f>
        <v>0</v>
      </c>
      <c r="V980" s="13" t="str">
        <f t="shared" si="314"/>
        <v>-</v>
      </c>
      <c r="W980" s="5"/>
      <c r="X980" s="27" t="b">
        <f>IF($G980&lt;&gt;0,SUMIF(куб!$G:$G,$G980,куб!N:N),IF($E980&lt;&gt;0,SUMIF(куб!$E:$E,$E980,куб!N:N),IF($D980&lt;&gt;0,SUMIF(куб!$D:$D,$D980,куб!N:N),IF($C980&lt;&gt;0,SUMIF(куб!$C:$C,$C980,куб!N:N),IF($B980&lt;&gt;0,SUMIF(куб!$B:$B,$B980,куб!N:N))))))</f>
        <v>0</v>
      </c>
      <c r="Y980" s="27" t="b">
        <f>IF($G980&lt;&gt;0,SUMIF(куб!$G:$G,$G980,куб!O:O),IF($E980&lt;&gt;0,SUMIF(куб!$E:$E,$E980,куб!O:O),IF($D980&lt;&gt;0,SUMIF(куб!$D:$D,$D980,куб!O:O),IF($C980&lt;&gt;0,SUMIF(куб!$C:$C,$C980,куб!O:O),IF($B980&lt;&gt;0,SUMIF(куб!$B:$B,$B980,куб!O:O))))))</f>
        <v>0</v>
      </c>
      <c r="Z980" s="13" t="str">
        <f t="shared" si="315"/>
        <v>-</v>
      </c>
      <c r="AA980" s="5"/>
      <c r="AB980" s="33" t="str">
        <f t="shared" si="316"/>
        <v/>
      </c>
      <c r="AC980" s="33" t="str">
        <f t="shared" si="317"/>
        <v/>
      </c>
      <c r="AD980" s="15" t="str">
        <f t="shared" si="318"/>
        <v xml:space="preserve"> </v>
      </c>
      <c r="AE980" s="5"/>
      <c r="AF980" s="27" t="b">
        <f>IF($G980&lt;&gt;0,SUMIF(куб!$G:$G,$G980,куб!R:R),IF($E980&lt;&gt;0,SUMIF(куб!$E:$E,$E980,куб!R:R),IF($D980&lt;&gt;0,SUMIF(куб!$D:$D,$D980,куб!R:R),IF($C980&lt;&gt;0,SUMIF(куб!$C:$C,$C980,куб!R:R),IF($B980&lt;&gt;0,SUMIF(куб!$B:$B,$B980,куб!R:R))))))</f>
        <v>0</v>
      </c>
      <c r="AG980" s="27" t="b">
        <f>IF($G980&lt;&gt;0,SUMIF(куб!$G:$G,$G980,куб!S:S),IF($E980&lt;&gt;0,SUMIF(куб!$E:$E,$E980,куб!S:S),IF($D980&lt;&gt;0,SUMIF(куб!$D:$D,$D980,куб!S:S),IF($C980&lt;&gt;0,SUMIF(куб!$C:$C,$C980,куб!S:S),IF($B980&lt;&gt;0,SUMIF(куб!$B:$B,$B980,куб!S:S))))))</f>
        <v>0</v>
      </c>
      <c r="AH980" s="16" t="str">
        <f t="shared" si="319"/>
        <v>-</v>
      </c>
      <c r="AI980" s="8"/>
      <c r="AJ980" s="27" t="b">
        <f>IF($G980&lt;&gt;0,SUMIF(куб!$G:$G,$G980,куб!T:T),IF($E980&lt;&gt;0,SUMIF(куб!$E:$E,$E980,куб!T:T),IF($D980&lt;&gt;0,SUMIF(куб!$D:$D,$D980,куб!T:T),IF($C980&lt;&gt;0,SUMIF(куб!$C:$C,$C980,куб!T:T),IF($B980&lt;&gt;0,SUMIF(куб!$B:$B,$B980,куб!T:T))))))</f>
        <v>0</v>
      </c>
      <c r="AK980" s="27" t="b">
        <f>IF($G980&lt;&gt;0,SUMIF(куб!$G:$G,$G980,куб!U:U),IF($E980&lt;&gt;0,SUMIF(куб!$E:$E,$E980,куб!U:U),IF($D980&lt;&gt;0,SUMIF(куб!$D:$D,$D980,куб!U:U),IF($C980&lt;&gt;0,SUMIF(куб!$C:$C,$C980,куб!U:U),IF($B980&lt;&gt;0,SUMIF(куб!$B:$B,$B980,куб!U:U))))))</f>
        <v>0</v>
      </c>
      <c r="AL980" s="16" t="str">
        <f t="shared" si="320"/>
        <v>-</v>
      </c>
      <c r="AM980" s="8"/>
      <c r="AN980" s="17" t="str">
        <f t="shared" si="321"/>
        <v xml:space="preserve"> </v>
      </c>
      <c r="AO980" s="17" t="str">
        <f t="shared" si="322"/>
        <v xml:space="preserve"> </v>
      </c>
      <c r="AP980" s="16" t="str">
        <f t="shared" si="323"/>
        <v>-</v>
      </c>
      <c r="AQ980" s="8"/>
      <c r="AR980" s="17" t="str">
        <f t="shared" si="324"/>
        <v>-</v>
      </c>
      <c r="AS980" s="17" t="str">
        <f t="shared" si="325"/>
        <v>-</v>
      </c>
      <c r="AT980" s="13" t="str">
        <f t="shared" si="326"/>
        <v>-</v>
      </c>
      <c r="AU980" s="8"/>
    </row>
    <row r="981" spans="1:47" x14ac:dyDescent="0.25">
      <c r="A981" s="31"/>
      <c r="B981" s="31"/>
      <c r="C981"/>
      <c r="D981" s="31"/>
      <c r="E981"/>
      <c r="F981" s="31"/>
      <c r="G981"/>
      <c r="H981" s="27">
        <f>IF($G981&lt;&gt;0,SUMIF(куб!$G:$G,$G981,куб!H:H),IF($E981&lt;&gt;0,SUMIF(куб!$E:$E,$E981,куб!H:H),IF($D981&lt;&gt;0,SUMIF(куб!$D:$D,$D981,куб!H:H),IF($C981&lt;&gt;0,SUMIF(куб!$C:$C,$C981,куб!H:H),IF($B981&lt;&gt;0,SUMIF(куб!$B:$B,$B981,куб!H:H),IF($G981&lt;&gt;0,SUMIF(куб!$A:$A,$G981,куб!H:H),SUMIF(куб!$A:$A,$G981,куб!H:H)))))))</f>
        <v>0</v>
      </c>
      <c r="I981" s="27">
        <f>IF($G981&lt;&gt;0,SUMIF(куб!$G:$G,$G981,куб!I:I),IF($E981&lt;&gt;0,SUMIF(куб!$E:$E,$E981,куб!I:I),IF($D981&lt;&gt;0,SUMIF(куб!$D:$D,$D981,куб!I:I),IF($C981&lt;&gt;0,SUMIF(куб!$C:$C,$C981,куб!I:I),IF($B981&lt;&gt;0,SUMIF(куб!$B:$B,$B981,куб!I:I),IF($G981&lt;&gt;0,SUMIF(куб!$A:$A,$G981,куб!I:I),SUMIF(куб!$A:$A,$G981,куб!I:I)))))))</f>
        <v>0</v>
      </c>
      <c r="J981" s="19" t="str">
        <f t="shared" si="309"/>
        <v>-</v>
      </c>
      <c r="K981" s="8"/>
      <c r="L981" s="17">
        <f t="shared" si="310"/>
        <v>0</v>
      </c>
      <c r="M981" s="17">
        <f t="shared" si="311"/>
        <v>0</v>
      </c>
      <c r="N981" s="12">
        <f t="shared" si="312"/>
        <v>0</v>
      </c>
      <c r="O981" s="5"/>
      <c r="P981" s="27" t="b">
        <f>IF($G981&lt;&gt;0,SUMIF(куб!$G:$G,$G981,куб!J:J),IF($E981&lt;&gt;0,SUMIF(куб!$E:$E,$E981,куб!J:J),IF($D981&lt;&gt;0,SUMIF(куб!$D:$D,$D981,куб!J:J),IF($C981&lt;&gt;0,SUMIF(куб!$C:$C,$C981,куб!J:J),IF($B981&lt;&gt;0,SUMIF(куб!$B:$B,$B981,куб!J:J))))))</f>
        <v>0</v>
      </c>
      <c r="Q981" s="27" t="b">
        <f>IF($G981&lt;&gt;0,SUMIF(куб!$G:$G,$G981,куб!K:K),IF($E981&lt;&gt;0,SUMIF(куб!$E:$E,$E981,куб!K:K),IF($D981&lt;&gt;0,SUMIF(куб!$D:$D,$D981,куб!K:K),IF($C981&lt;&gt;0,SUMIF(куб!$C:$C,$C981,куб!K:K),IF($B981&lt;&gt;0,SUMIF(куб!$B:$B,$B981,куб!K:K))))))</f>
        <v>0</v>
      </c>
      <c r="R981" s="13" t="str">
        <f t="shared" si="313"/>
        <v>-</v>
      </c>
      <c r="S981" s="5"/>
      <c r="T981" s="27" t="b">
        <f>IF($G981&lt;&gt;0,SUMIF(куб!$G:$G,$G981,куб!L:L),IF($E981&lt;&gt;0,SUMIF(куб!$E:$E,$E981,куб!L:L),IF($D981&lt;&gt;0,SUMIF(куб!$D:$D,$D981,куб!L:L),IF($C981&lt;&gt;0,SUMIF(куб!$C:$C,$C981,куб!L:L),IF($B981&lt;&gt;0,SUMIF(куб!$B:$B,$B981,куб!L:L))))))</f>
        <v>0</v>
      </c>
      <c r="U981" s="27" t="b">
        <f>IF($G981&lt;&gt;0,SUMIF(куб!$G:$G,$G981,куб!M:M),IF($E981&lt;&gt;0,SUMIF(куб!$E:$E,$E981,куб!M:M),IF($D981&lt;&gt;0,SUMIF(куб!$D:$D,$D981,куб!M:M),IF($C981&lt;&gt;0,SUMIF(куб!$C:$C,$C981,куб!M:M),IF($B981&lt;&gt;0,SUMIF(куб!$B:$B,$B981,куб!M:M))))))</f>
        <v>0</v>
      </c>
      <c r="V981" s="13" t="str">
        <f t="shared" si="314"/>
        <v>-</v>
      </c>
      <c r="W981" s="5"/>
      <c r="X981" s="27" t="b">
        <f>IF($G981&lt;&gt;0,SUMIF(куб!$G:$G,$G981,куб!N:N),IF($E981&lt;&gt;0,SUMIF(куб!$E:$E,$E981,куб!N:N),IF($D981&lt;&gt;0,SUMIF(куб!$D:$D,$D981,куб!N:N),IF($C981&lt;&gt;0,SUMIF(куб!$C:$C,$C981,куб!N:N),IF($B981&lt;&gt;0,SUMIF(куб!$B:$B,$B981,куб!N:N))))))</f>
        <v>0</v>
      </c>
      <c r="Y981" s="27" t="b">
        <f>IF($G981&lt;&gt;0,SUMIF(куб!$G:$G,$G981,куб!O:O),IF($E981&lt;&gt;0,SUMIF(куб!$E:$E,$E981,куб!O:O),IF($D981&lt;&gt;0,SUMIF(куб!$D:$D,$D981,куб!O:O),IF($C981&lt;&gt;0,SUMIF(куб!$C:$C,$C981,куб!O:O),IF($B981&lt;&gt;0,SUMIF(куб!$B:$B,$B981,куб!O:O))))))</f>
        <v>0</v>
      </c>
      <c r="Z981" s="13" t="str">
        <f t="shared" si="315"/>
        <v>-</v>
      </c>
      <c r="AA981" s="5"/>
      <c r="AB981" s="33" t="str">
        <f t="shared" si="316"/>
        <v/>
      </c>
      <c r="AC981" s="33" t="str">
        <f t="shared" si="317"/>
        <v/>
      </c>
      <c r="AD981" s="15" t="str">
        <f t="shared" si="318"/>
        <v xml:space="preserve"> </v>
      </c>
      <c r="AE981" s="5"/>
      <c r="AF981" s="27" t="b">
        <f>IF($G981&lt;&gt;0,SUMIF(куб!$G:$G,$G981,куб!R:R),IF($E981&lt;&gt;0,SUMIF(куб!$E:$E,$E981,куб!R:R),IF($D981&lt;&gt;0,SUMIF(куб!$D:$D,$D981,куб!R:R),IF($C981&lt;&gt;0,SUMIF(куб!$C:$C,$C981,куб!R:R),IF($B981&lt;&gt;0,SUMIF(куб!$B:$B,$B981,куб!R:R))))))</f>
        <v>0</v>
      </c>
      <c r="AG981" s="27" t="b">
        <f>IF($G981&lt;&gt;0,SUMIF(куб!$G:$G,$G981,куб!S:S),IF($E981&lt;&gt;0,SUMIF(куб!$E:$E,$E981,куб!S:S),IF($D981&lt;&gt;0,SUMIF(куб!$D:$D,$D981,куб!S:S),IF($C981&lt;&gt;0,SUMIF(куб!$C:$C,$C981,куб!S:S),IF($B981&lt;&gt;0,SUMIF(куб!$B:$B,$B981,куб!S:S))))))</f>
        <v>0</v>
      </c>
      <c r="AH981" s="16" t="str">
        <f t="shared" si="319"/>
        <v>-</v>
      </c>
      <c r="AI981" s="8"/>
      <c r="AJ981" s="27" t="b">
        <f>IF($G981&lt;&gt;0,SUMIF(куб!$G:$G,$G981,куб!T:T),IF($E981&lt;&gt;0,SUMIF(куб!$E:$E,$E981,куб!T:T),IF($D981&lt;&gt;0,SUMIF(куб!$D:$D,$D981,куб!T:T),IF($C981&lt;&gt;0,SUMIF(куб!$C:$C,$C981,куб!T:T),IF($B981&lt;&gt;0,SUMIF(куб!$B:$B,$B981,куб!T:T))))))</f>
        <v>0</v>
      </c>
      <c r="AK981" s="27" t="b">
        <f>IF($G981&lt;&gt;0,SUMIF(куб!$G:$G,$G981,куб!U:U),IF($E981&lt;&gt;0,SUMIF(куб!$E:$E,$E981,куб!U:U),IF($D981&lt;&gt;0,SUMIF(куб!$D:$D,$D981,куб!U:U),IF($C981&lt;&gt;0,SUMIF(куб!$C:$C,$C981,куб!U:U),IF($B981&lt;&gt;0,SUMIF(куб!$B:$B,$B981,куб!U:U))))))</f>
        <v>0</v>
      </c>
      <c r="AL981" s="16" t="str">
        <f t="shared" si="320"/>
        <v>-</v>
      </c>
      <c r="AM981" s="8"/>
      <c r="AN981" s="17" t="str">
        <f t="shared" si="321"/>
        <v xml:space="preserve"> </v>
      </c>
      <c r="AO981" s="17" t="str">
        <f t="shared" si="322"/>
        <v xml:space="preserve"> </v>
      </c>
      <c r="AP981" s="16" t="str">
        <f t="shared" si="323"/>
        <v>-</v>
      </c>
      <c r="AQ981" s="8"/>
      <c r="AR981" s="17" t="str">
        <f t="shared" si="324"/>
        <v>-</v>
      </c>
      <c r="AS981" s="17" t="str">
        <f t="shared" si="325"/>
        <v>-</v>
      </c>
      <c r="AT981" s="13" t="str">
        <f t="shared" si="326"/>
        <v>-</v>
      </c>
      <c r="AU981" s="8"/>
    </row>
    <row r="982" spans="1:47" x14ac:dyDescent="0.25">
      <c r="A982" s="31"/>
      <c r="B982" s="31"/>
      <c r="C982"/>
      <c r="D982" s="31"/>
      <c r="E982"/>
      <c r="F982" s="31"/>
      <c r="G982"/>
      <c r="H982" s="27">
        <f>IF($G982&lt;&gt;0,SUMIF(куб!$G:$G,$G982,куб!H:H),IF($E982&lt;&gt;0,SUMIF(куб!$E:$E,$E982,куб!H:H),IF($D982&lt;&gt;0,SUMIF(куб!$D:$D,$D982,куб!H:H),IF($C982&lt;&gt;0,SUMIF(куб!$C:$C,$C982,куб!H:H),IF($B982&lt;&gt;0,SUMIF(куб!$B:$B,$B982,куб!H:H),IF($G982&lt;&gt;0,SUMIF(куб!$A:$A,$G982,куб!H:H),SUMIF(куб!$A:$A,$G982,куб!H:H)))))))</f>
        <v>0</v>
      </c>
      <c r="I982" s="27">
        <f>IF($G982&lt;&gt;0,SUMIF(куб!$G:$G,$G982,куб!I:I),IF($E982&lt;&gt;0,SUMIF(куб!$E:$E,$E982,куб!I:I),IF($D982&lt;&gt;0,SUMIF(куб!$D:$D,$D982,куб!I:I),IF($C982&lt;&gt;0,SUMIF(куб!$C:$C,$C982,куб!I:I),IF($B982&lt;&gt;0,SUMIF(куб!$B:$B,$B982,куб!I:I),IF($G982&lt;&gt;0,SUMIF(куб!$A:$A,$G982,куб!I:I),SUMIF(куб!$A:$A,$G982,куб!I:I)))))))</f>
        <v>0</v>
      </c>
      <c r="J982" s="19" t="str">
        <f t="shared" si="309"/>
        <v>-</v>
      </c>
      <c r="K982" s="8"/>
      <c r="L982" s="17">
        <f t="shared" si="310"/>
        <v>0</v>
      </c>
      <c r="M982" s="17">
        <f t="shared" si="311"/>
        <v>0</v>
      </c>
      <c r="N982" s="12">
        <f t="shared" si="312"/>
        <v>0</v>
      </c>
      <c r="O982" s="5"/>
      <c r="P982" s="27" t="b">
        <f>IF($G982&lt;&gt;0,SUMIF(куб!$G:$G,$G982,куб!J:J),IF($E982&lt;&gt;0,SUMIF(куб!$E:$E,$E982,куб!J:J),IF($D982&lt;&gt;0,SUMIF(куб!$D:$D,$D982,куб!J:J),IF($C982&lt;&gt;0,SUMIF(куб!$C:$C,$C982,куб!J:J),IF($B982&lt;&gt;0,SUMIF(куб!$B:$B,$B982,куб!J:J))))))</f>
        <v>0</v>
      </c>
      <c r="Q982" s="27" t="b">
        <f>IF($G982&lt;&gt;0,SUMIF(куб!$G:$G,$G982,куб!K:K),IF($E982&lt;&gt;0,SUMIF(куб!$E:$E,$E982,куб!K:K),IF($D982&lt;&gt;0,SUMIF(куб!$D:$D,$D982,куб!K:K),IF($C982&lt;&gt;0,SUMIF(куб!$C:$C,$C982,куб!K:K),IF($B982&lt;&gt;0,SUMIF(куб!$B:$B,$B982,куб!K:K))))))</f>
        <v>0</v>
      </c>
      <c r="R982" s="13" t="str">
        <f t="shared" si="313"/>
        <v>-</v>
      </c>
      <c r="S982" s="5"/>
      <c r="T982" s="27" t="b">
        <f>IF($G982&lt;&gt;0,SUMIF(куб!$G:$G,$G982,куб!L:L),IF($E982&lt;&gt;0,SUMIF(куб!$E:$E,$E982,куб!L:L),IF($D982&lt;&gt;0,SUMIF(куб!$D:$D,$D982,куб!L:L),IF($C982&lt;&gt;0,SUMIF(куб!$C:$C,$C982,куб!L:L),IF($B982&lt;&gt;0,SUMIF(куб!$B:$B,$B982,куб!L:L))))))</f>
        <v>0</v>
      </c>
      <c r="U982" s="27" t="b">
        <f>IF($G982&lt;&gt;0,SUMIF(куб!$G:$G,$G982,куб!M:M),IF($E982&lt;&gt;0,SUMIF(куб!$E:$E,$E982,куб!M:M),IF($D982&lt;&gt;0,SUMIF(куб!$D:$D,$D982,куб!M:M),IF($C982&lt;&gt;0,SUMIF(куб!$C:$C,$C982,куб!M:M),IF($B982&lt;&gt;0,SUMIF(куб!$B:$B,$B982,куб!M:M))))))</f>
        <v>0</v>
      </c>
      <c r="V982" s="13" t="str">
        <f t="shared" si="314"/>
        <v>-</v>
      </c>
      <c r="W982" s="5"/>
      <c r="X982" s="27" t="b">
        <f>IF($G982&lt;&gt;0,SUMIF(куб!$G:$G,$G982,куб!N:N),IF($E982&lt;&gt;0,SUMIF(куб!$E:$E,$E982,куб!N:N),IF($D982&lt;&gt;0,SUMIF(куб!$D:$D,$D982,куб!N:N),IF($C982&lt;&gt;0,SUMIF(куб!$C:$C,$C982,куб!N:N),IF($B982&lt;&gt;0,SUMIF(куб!$B:$B,$B982,куб!N:N))))))</f>
        <v>0</v>
      </c>
      <c r="Y982" s="27" t="b">
        <f>IF($G982&lt;&gt;0,SUMIF(куб!$G:$G,$G982,куб!O:O),IF($E982&lt;&gt;0,SUMIF(куб!$E:$E,$E982,куб!O:O),IF($D982&lt;&gt;0,SUMIF(куб!$D:$D,$D982,куб!O:O),IF($C982&lt;&gt;0,SUMIF(куб!$C:$C,$C982,куб!O:O),IF($B982&lt;&gt;0,SUMIF(куб!$B:$B,$B982,куб!O:O))))))</f>
        <v>0</v>
      </c>
      <c r="Z982" s="13" t="str">
        <f t="shared" si="315"/>
        <v>-</v>
      </c>
      <c r="AA982" s="5"/>
      <c r="AB982" s="33" t="str">
        <f t="shared" si="316"/>
        <v/>
      </c>
      <c r="AC982" s="33" t="str">
        <f t="shared" si="317"/>
        <v/>
      </c>
      <c r="AD982" s="15" t="str">
        <f t="shared" si="318"/>
        <v xml:space="preserve"> </v>
      </c>
      <c r="AE982" s="5"/>
      <c r="AF982" s="27" t="b">
        <f>IF($G982&lt;&gt;0,SUMIF(куб!$G:$G,$G982,куб!R:R),IF($E982&lt;&gt;0,SUMIF(куб!$E:$E,$E982,куб!R:R),IF($D982&lt;&gt;0,SUMIF(куб!$D:$D,$D982,куб!R:R),IF($C982&lt;&gt;0,SUMIF(куб!$C:$C,$C982,куб!R:R),IF($B982&lt;&gt;0,SUMIF(куб!$B:$B,$B982,куб!R:R))))))</f>
        <v>0</v>
      </c>
      <c r="AG982" s="27" t="b">
        <f>IF($G982&lt;&gt;0,SUMIF(куб!$G:$G,$G982,куб!S:S),IF($E982&lt;&gt;0,SUMIF(куб!$E:$E,$E982,куб!S:S),IF($D982&lt;&gt;0,SUMIF(куб!$D:$D,$D982,куб!S:S),IF($C982&lt;&gt;0,SUMIF(куб!$C:$C,$C982,куб!S:S),IF($B982&lt;&gt;0,SUMIF(куб!$B:$B,$B982,куб!S:S))))))</f>
        <v>0</v>
      </c>
      <c r="AH982" s="16" t="str">
        <f t="shared" si="319"/>
        <v>-</v>
      </c>
      <c r="AI982" s="8"/>
      <c r="AJ982" s="27" t="b">
        <f>IF($G982&lt;&gt;0,SUMIF(куб!$G:$G,$G982,куб!T:T),IF($E982&lt;&gt;0,SUMIF(куб!$E:$E,$E982,куб!T:T),IF($D982&lt;&gt;0,SUMIF(куб!$D:$D,$D982,куб!T:T),IF($C982&lt;&gt;0,SUMIF(куб!$C:$C,$C982,куб!T:T),IF($B982&lt;&gt;0,SUMIF(куб!$B:$B,$B982,куб!T:T))))))</f>
        <v>0</v>
      </c>
      <c r="AK982" s="27" t="b">
        <f>IF($G982&lt;&gt;0,SUMIF(куб!$G:$G,$G982,куб!U:U),IF($E982&lt;&gt;0,SUMIF(куб!$E:$E,$E982,куб!U:U),IF($D982&lt;&gt;0,SUMIF(куб!$D:$D,$D982,куб!U:U),IF($C982&lt;&gt;0,SUMIF(куб!$C:$C,$C982,куб!U:U),IF($B982&lt;&gt;0,SUMIF(куб!$B:$B,$B982,куб!U:U))))))</f>
        <v>0</v>
      </c>
      <c r="AL982" s="16" t="str">
        <f t="shared" si="320"/>
        <v>-</v>
      </c>
      <c r="AM982" s="8"/>
      <c r="AN982" s="17" t="str">
        <f t="shared" si="321"/>
        <v xml:space="preserve"> </v>
      </c>
      <c r="AO982" s="17" t="str">
        <f t="shared" si="322"/>
        <v xml:space="preserve"> </v>
      </c>
      <c r="AP982" s="16" t="str">
        <f t="shared" si="323"/>
        <v>-</v>
      </c>
      <c r="AQ982" s="8"/>
      <c r="AR982" s="17" t="str">
        <f t="shared" si="324"/>
        <v>-</v>
      </c>
      <c r="AS982" s="17" t="str">
        <f t="shared" si="325"/>
        <v>-</v>
      </c>
      <c r="AT982" s="13" t="str">
        <f t="shared" si="326"/>
        <v>-</v>
      </c>
      <c r="AU982" s="8"/>
    </row>
    <row r="983" spans="1:47" x14ac:dyDescent="0.25">
      <c r="A983" s="31"/>
      <c r="B983" s="31"/>
      <c r="C983"/>
      <c r="D983" s="31"/>
      <c r="E983"/>
      <c r="F983" s="31"/>
      <c r="G983"/>
      <c r="H983" s="27">
        <f>IF($G983&lt;&gt;0,SUMIF(куб!$G:$G,$G983,куб!H:H),IF($E983&lt;&gt;0,SUMIF(куб!$E:$E,$E983,куб!H:H),IF($D983&lt;&gt;0,SUMIF(куб!$D:$D,$D983,куб!H:H),IF($C983&lt;&gt;0,SUMIF(куб!$C:$C,$C983,куб!H:H),IF($B983&lt;&gt;0,SUMIF(куб!$B:$B,$B983,куб!H:H),IF($G983&lt;&gt;0,SUMIF(куб!$A:$A,$G983,куб!H:H),SUMIF(куб!$A:$A,$G983,куб!H:H)))))))</f>
        <v>0</v>
      </c>
      <c r="I983" s="27">
        <f>IF($G983&lt;&gt;0,SUMIF(куб!$G:$G,$G983,куб!I:I),IF($E983&lt;&gt;0,SUMIF(куб!$E:$E,$E983,куб!I:I),IF($D983&lt;&gt;0,SUMIF(куб!$D:$D,$D983,куб!I:I),IF($C983&lt;&gt;0,SUMIF(куб!$C:$C,$C983,куб!I:I),IF($B983&lt;&gt;0,SUMIF(куб!$B:$B,$B983,куб!I:I),IF($G983&lt;&gt;0,SUMIF(куб!$A:$A,$G983,куб!I:I),SUMIF(куб!$A:$A,$G983,куб!I:I)))))))</f>
        <v>0</v>
      </c>
      <c r="J983" s="19" t="str">
        <f t="shared" si="309"/>
        <v>-</v>
      </c>
      <c r="K983" s="8"/>
      <c r="L983" s="17">
        <f t="shared" si="310"/>
        <v>0</v>
      </c>
      <c r="M983" s="17">
        <f t="shared" si="311"/>
        <v>0</v>
      </c>
      <c r="N983" s="12">
        <f t="shared" si="312"/>
        <v>0</v>
      </c>
      <c r="O983" s="5"/>
      <c r="P983" s="27" t="b">
        <f>IF($G983&lt;&gt;0,SUMIF(куб!$G:$G,$G983,куб!J:J),IF($E983&lt;&gt;0,SUMIF(куб!$E:$E,$E983,куб!J:J),IF($D983&lt;&gt;0,SUMIF(куб!$D:$D,$D983,куб!J:J),IF($C983&lt;&gt;0,SUMIF(куб!$C:$C,$C983,куб!J:J),IF($B983&lt;&gt;0,SUMIF(куб!$B:$B,$B983,куб!J:J))))))</f>
        <v>0</v>
      </c>
      <c r="Q983" s="27" t="b">
        <f>IF($G983&lt;&gt;0,SUMIF(куб!$G:$G,$G983,куб!K:K),IF($E983&lt;&gt;0,SUMIF(куб!$E:$E,$E983,куб!K:K),IF($D983&lt;&gt;0,SUMIF(куб!$D:$D,$D983,куб!K:K),IF($C983&lt;&gt;0,SUMIF(куб!$C:$C,$C983,куб!K:K),IF($B983&lt;&gt;0,SUMIF(куб!$B:$B,$B983,куб!K:K))))))</f>
        <v>0</v>
      </c>
      <c r="R983" s="13" t="str">
        <f t="shared" si="313"/>
        <v>-</v>
      </c>
      <c r="S983" s="5"/>
      <c r="T983" s="27" t="b">
        <f>IF($G983&lt;&gt;0,SUMIF(куб!$G:$G,$G983,куб!L:L),IF($E983&lt;&gt;0,SUMIF(куб!$E:$E,$E983,куб!L:L),IF($D983&lt;&gt;0,SUMIF(куб!$D:$D,$D983,куб!L:L),IF($C983&lt;&gt;0,SUMIF(куб!$C:$C,$C983,куб!L:L),IF($B983&lt;&gt;0,SUMIF(куб!$B:$B,$B983,куб!L:L))))))</f>
        <v>0</v>
      </c>
      <c r="U983" s="27" t="b">
        <f>IF($G983&lt;&gt;0,SUMIF(куб!$G:$G,$G983,куб!M:M),IF($E983&lt;&gt;0,SUMIF(куб!$E:$E,$E983,куб!M:M),IF($D983&lt;&gt;0,SUMIF(куб!$D:$D,$D983,куб!M:M),IF($C983&lt;&gt;0,SUMIF(куб!$C:$C,$C983,куб!M:M),IF($B983&lt;&gt;0,SUMIF(куб!$B:$B,$B983,куб!M:M))))))</f>
        <v>0</v>
      </c>
      <c r="V983" s="13" t="str">
        <f t="shared" si="314"/>
        <v>-</v>
      </c>
      <c r="W983" s="5"/>
      <c r="X983" s="27" t="b">
        <f>IF($G983&lt;&gt;0,SUMIF(куб!$G:$G,$G983,куб!N:N),IF($E983&lt;&gt;0,SUMIF(куб!$E:$E,$E983,куб!N:N),IF($D983&lt;&gt;0,SUMIF(куб!$D:$D,$D983,куб!N:N),IF($C983&lt;&gt;0,SUMIF(куб!$C:$C,$C983,куб!N:N),IF($B983&lt;&gt;0,SUMIF(куб!$B:$B,$B983,куб!N:N))))))</f>
        <v>0</v>
      </c>
      <c r="Y983" s="27" t="b">
        <f>IF($G983&lt;&gt;0,SUMIF(куб!$G:$G,$G983,куб!O:O),IF($E983&lt;&gt;0,SUMIF(куб!$E:$E,$E983,куб!O:O),IF($D983&lt;&gt;0,SUMIF(куб!$D:$D,$D983,куб!O:O),IF($C983&lt;&gt;0,SUMIF(куб!$C:$C,$C983,куб!O:O),IF($B983&lt;&gt;0,SUMIF(куб!$B:$B,$B983,куб!O:O))))))</f>
        <v>0</v>
      </c>
      <c r="Z983" s="13" t="str">
        <f t="shared" si="315"/>
        <v>-</v>
      </c>
      <c r="AA983" s="5"/>
      <c r="AB983" s="33" t="str">
        <f t="shared" si="316"/>
        <v/>
      </c>
      <c r="AC983" s="33" t="str">
        <f t="shared" si="317"/>
        <v/>
      </c>
      <c r="AD983" s="15" t="str">
        <f t="shared" si="318"/>
        <v xml:space="preserve"> </v>
      </c>
      <c r="AE983" s="5"/>
      <c r="AF983" s="27" t="b">
        <f>IF($G983&lt;&gt;0,SUMIF(куб!$G:$G,$G983,куб!R:R),IF($E983&lt;&gt;0,SUMIF(куб!$E:$E,$E983,куб!R:R),IF($D983&lt;&gt;0,SUMIF(куб!$D:$D,$D983,куб!R:R),IF($C983&lt;&gt;0,SUMIF(куб!$C:$C,$C983,куб!R:R),IF($B983&lt;&gt;0,SUMIF(куб!$B:$B,$B983,куб!R:R))))))</f>
        <v>0</v>
      </c>
      <c r="AG983" s="27" t="b">
        <f>IF($G983&lt;&gt;0,SUMIF(куб!$G:$G,$G983,куб!S:S),IF($E983&lt;&gt;0,SUMIF(куб!$E:$E,$E983,куб!S:S),IF($D983&lt;&gt;0,SUMIF(куб!$D:$D,$D983,куб!S:S),IF($C983&lt;&gt;0,SUMIF(куб!$C:$C,$C983,куб!S:S),IF($B983&lt;&gt;0,SUMIF(куб!$B:$B,$B983,куб!S:S))))))</f>
        <v>0</v>
      </c>
      <c r="AH983" s="16" t="str">
        <f t="shared" si="319"/>
        <v>-</v>
      </c>
      <c r="AI983" s="8"/>
      <c r="AJ983" s="27" t="b">
        <f>IF($G983&lt;&gt;0,SUMIF(куб!$G:$G,$G983,куб!T:T),IF($E983&lt;&gt;0,SUMIF(куб!$E:$E,$E983,куб!T:T),IF($D983&lt;&gt;0,SUMIF(куб!$D:$D,$D983,куб!T:T),IF($C983&lt;&gt;0,SUMIF(куб!$C:$C,$C983,куб!T:T),IF($B983&lt;&gt;0,SUMIF(куб!$B:$B,$B983,куб!T:T))))))</f>
        <v>0</v>
      </c>
      <c r="AK983" s="27" t="b">
        <f>IF($G983&lt;&gt;0,SUMIF(куб!$G:$G,$G983,куб!U:U),IF($E983&lt;&gt;0,SUMIF(куб!$E:$E,$E983,куб!U:U),IF($D983&lt;&gt;0,SUMIF(куб!$D:$D,$D983,куб!U:U),IF($C983&lt;&gt;0,SUMIF(куб!$C:$C,$C983,куб!U:U),IF($B983&lt;&gt;0,SUMIF(куб!$B:$B,$B983,куб!U:U))))))</f>
        <v>0</v>
      </c>
      <c r="AL983" s="16" t="str">
        <f t="shared" si="320"/>
        <v>-</v>
      </c>
      <c r="AM983" s="8"/>
      <c r="AN983" s="17" t="str">
        <f t="shared" si="321"/>
        <v xml:space="preserve"> </v>
      </c>
      <c r="AO983" s="17" t="str">
        <f t="shared" si="322"/>
        <v xml:space="preserve"> </v>
      </c>
      <c r="AP983" s="16" t="str">
        <f t="shared" si="323"/>
        <v>-</v>
      </c>
      <c r="AQ983" s="8"/>
      <c r="AR983" s="17" t="str">
        <f t="shared" si="324"/>
        <v>-</v>
      </c>
      <c r="AS983" s="17" t="str">
        <f t="shared" si="325"/>
        <v>-</v>
      </c>
      <c r="AT983" s="13" t="str">
        <f t="shared" si="326"/>
        <v>-</v>
      </c>
      <c r="AU983" s="8"/>
    </row>
    <row r="984" spans="1:47" x14ac:dyDescent="0.25">
      <c r="A984" s="31"/>
      <c r="B984" s="31"/>
      <c r="C984"/>
      <c r="D984" s="31"/>
      <c r="E984"/>
      <c r="F984" s="31"/>
      <c r="G984"/>
      <c r="H984" s="27">
        <f>IF($G984&lt;&gt;0,SUMIF(куб!$G:$G,$G984,куб!H:H),IF($E984&lt;&gt;0,SUMIF(куб!$E:$E,$E984,куб!H:H),IF($D984&lt;&gt;0,SUMIF(куб!$D:$D,$D984,куб!H:H),IF($C984&lt;&gt;0,SUMIF(куб!$C:$C,$C984,куб!H:H),IF($B984&lt;&gt;0,SUMIF(куб!$B:$B,$B984,куб!H:H),IF($G984&lt;&gt;0,SUMIF(куб!$A:$A,$G984,куб!H:H),SUMIF(куб!$A:$A,$G984,куб!H:H)))))))</f>
        <v>0</v>
      </c>
      <c r="I984" s="27">
        <f>IF($G984&lt;&gt;0,SUMIF(куб!$G:$G,$G984,куб!I:I),IF($E984&lt;&gt;0,SUMIF(куб!$E:$E,$E984,куб!I:I),IF($D984&lt;&gt;0,SUMIF(куб!$D:$D,$D984,куб!I:I),IF($C984&lt;&gt;0,SUMIF(куб!$C:$C,$C984,куб!I:I),IF($B984&lt;&gt;0,SUMIF(куб!$B:$B,$B984,куб!I:I),IF($G984&lt;&gt;0,SUMIF(куб!$A:$A,$G984,куб!I:I),SUMIF(куб!$A:$A,$G984,куб!I:I)))))))</f>
        <v>0</v>
      </c>
      <c r="J984" s="19" t="str">
        <f t="shared" si="309"/>
        <v>-</v>
      </c>
      <c r="K984" s="8"/>
      <c r="L984" s="17">
        <f t="shared" si="310"/>
        <v>0</v>
      </c>
      <c r="M984" s="17">
        <f t="shared" si="311"/>
        <v>0</v>
      </c>
      <c r="N984" s="12">
        <f t="shared" si="312"/>
        <v>0</v>
      </c>
      <c r="O984" s="5"/>
      <c r="P984" s="27" t="b">
        <f>IF($G984&lt;&gt;0,SUMIF(куб!$G:$G,$G984,куб!J:J),IF($E984&lt;&gt;0,SUMIF(куб!$E:$E,$E984,куб!J:J),IF($D984&lt;&gt;0,SUMIF(куб!$D:$D,$D984,куб!J:J),IF($C984&lt;&gt;0,SUMIF(куб!$C:$C,$C984,куб!J:J),IF($B984&lt;&gt;0,SUMIF(куб!$B:$B,$B984,куб!J:J))))))</f>
        <v>0</v>
      </c>
      <c r="Q984" s="27" t="b">
        <f>IF($G984&lt;&gt;0,SUMIF(куб!$G:$G,$G984,куб!K:K),IF($E984&lt;&gt;0,SUMIF(куб!$E:$E,$E984,куб!K:K),IF($D984&lt;&gt;0,SUMIF(куб!$D:$D,$D984,куб!K:K),IF($C984&lt;&gt;0,SUMIF(куб!$C:$C,$C984,куб!K:K),IF($B984&lt;&gt;0,SUMIF(куб!$B:$B,$B984,куб!K:K))))))</f>
        <v>0</v>
      </c>
      <c r="R984" s="13" t="str">
        <f t="shared" si="313"/>
        <v>-</v>
      </c>
      <c r="S984" s="5"/>
      <c r="T984" s="27" t="b">
        <f>IF($G984&lt;&gt;0,SUMIF(куб!$G:$G,$G984,куб!L:L),IF($E984&lt;&gt;0,SUMIF(куб!$E:$E,$E984,куб!L:L),IF($D984&lt;&gt;0,SUMIF(куб!$D:$D,$D984,куб!L:L),IF($C984&lt;&gt;0,SUMIF(куб!$C:$C,$C984,куб!L:L),IF($B984&lt;&gt;0,SUMIF(куб!$B:$B,$B984,куб!L:L))))))</f>
        <v>0</v>
      </c>
      <c r="U984" s="27" t="b">
        <f>IF($G984&lt;&gt;0,SUMIF(куб!$G:$G,$G984,куб!M:M),IF($E984&lt;&gt;0,SUMIF(куб!$E:$E,$E984,куб!M:M),IF($D984&lt;&gt;0,SUMIF(куб!$D:$D,$D984,куб!M:M),IF($C984&lt;&gt;0,SUMIF(куб!$C:$C,$C984,куб!M:M),IF($B984&lt;&gt;0,SUMIF(куб!$B:$B,$B984,куб!M:M))))))</f>
        <v>0</v>
      </c>
      <c r="V984" s="13" t="str">
        <f t="shared" si="314"/>
        <v>-</v>
      </c>
      <c r="W984" s="5"/>
      <c r="X984" s="27" t="b">
        <f>IF($G984&lt;&gt;0,SUMIF(куб!$G:$G,$G984,куб!N:N),IF($E984&lt;&gt;0,SUMIF(куб!$E:$E,$E984,куб!N:N),IF($D984&lt;&gt;0,SUMIF(куб!$D:$D,$D984,куб!N:N),IF($C984&lt;&gt;0,SUMIF(куб!$C:$C,$C984,куб!N:N),IF($B984&lt;&gt;0,SUMIF(куб!$B:$B,$B984,куб!N:N))))))</f>
        <v>0</v>
      </c>
      <c r="Y984" s="27" t="b">
        <f>IF($G984&lt;&gt;0,SUMIF(куб!$G:$G,$G984,куб!O:O),IF($E984&lt;&gt;0,SUMIF(куб!$E:$E,$E984,куб!O:O),IF($D984&lt;&gt;0,SUMIF(куб!$D:$D,$D984,куб!O:O),IF($C984&lt;&gt;0,SUMIF(куб!$C:$C,$C984,куб!O:O),IF($B984&lt;&gt;0,SUMIF(куб!$B:$B,$B984,куб!O:O))))))</f>
        <v>0</v>
      </c>
      <c r="Z984" s="13" t="str">
        <f t="shared" si="315"/>
        <v>-</v>
      </c>
      <c r="AA984" s="5"/>
      <c r="AB984" s="33" t="str">
        <f t="shared" si="316"/>
        <v/>
      </c>
      <c r="AC984" s="33" t="str">
        <f t="shared" si="317"/>
        <v/>
      </c>
      <c r="AD984" s="15" t="str">
        <f t="shared" si="318"/>
        <v xml:space="preserve"> </v>
      </c>
      <c r="AE984" s="5"/>
      <c r="AF984" s="27" t="b">
        <f>IF($G984&lt;&gt;0,SUMIF(куб!$G:$G,$G984,куб!R:R),IF($E984&lt;&gt;0,SUMIF(куб!$E:$E,$E984,куб!R:R),IF($D984&lt;&gt;0,SUMIF(куб!$D:$D,$D984,куб!R:R),IF($C984&lt;&gt;0,SUMIF(куб!$C:$C,$C984,куб!R:R),IF($B984&lt;&gt;0,SUMIF(куб!$B:$B,$B984,куб!R:R))))))</f>
        <v>0</v>
      </c>
      <c r="AG984" s="27" t="b">
        <f>IF($G984&lt;&gt;0,SUMIF(куб!$G:$G,$G984,куб!S:S),IF($E984&lt;&gt;0,SUMIF(куб!$E:$E,$E984,куб!S:S),IF($D984&lt;&gt;0,SUMIF(куб!$D:$D,$D984,куб!S:S),IF($C984&lt;&gt;0,SUMIF(куб!$C:$C,$C984,куб!S:S),IF($B984&lt;&gt;0,SUMIF(куб!$B:$B,$B984,куб!S:S))))))</f>
        <v>0</v>
      </c>
      <c r="AH984" s="16" t="str">
        <f t="shared" si="319"/>
        <v>-</v>
      </c>
      <c r="AI984" s="8"/>
      <c r="AJ984" s="27" t="b">
        <f>IF($G984&lt;&gt;0,SUMIF(куб!$G:$G,$G984,куб!T:T),IF($E984&lt;&gt;0,SUMIF(куб!$E:$E,$E984,куб!T:T),IF($D984&lt;&gt;0,SUMIF(куб!$D:$D,$D984,куб!T:T),IF($C984&lt;&gt;0,SUMIF(куб!$C:$C,$C984,куб!T:T),IF($B984&lt;&gt;0,SUMIF(куб!$B:$B,$B984,куб!T:T))))))</f>
        <v>0</v>
      </c>
      <c r="AK984" s="27" t="b">
        <f>IF($G984&lt;&gt;0,SUMIF(куб!$G:$G,$G984,куб!U:U),IF($E984&lt;&gt;0,SUMIF(куб!$E:$E,$E984,куб!U:U),IF($D984&lt;&gt;0,SUMIF(куб!$D:$D,$D984,куб!U:U),IF($C984&lt;&gt;0,SUMIF(куб!$C:$C,$C984,куб!U:U),IF($B984&lt;&gt;0,SUMIF(куб!$B:$B,$B984,куб!U:U))))))</f>
        <v>0</v>
      </c>
      <c r="AL984" s="16" t="str">
        <f t="shared" si="320"/>
        <v>-</v>
      </c>
      <c r="AM984" s="8"/>
      <c r="AN984" s="17" t="str">
        <f t="shared" si="321"/>
        <v xml:space="preserve"> </v>
      </c>
      <c r="AO984" s="17" t="str">
        <f t="shared" si="322"/>
        <v xml:space="preserve"> </v>
      </c>
      <c r="AP984" s="16" t="str">
        <f t="shared" si="323"/>
        <v>-</v>
      </c>
      <c r="AQ984" s="8"/>
      <c r="AR984" s="17" t="str">
        <f t="shared" si="324"/>
        <v>-</v>
      </c>
      <c r="AS984" s="17" t="str">
        <f t="shared" si="325"/>
        <v>-</v>
      </c>
      <c r="AT984" s="13" t="str">
        <f t="shared" si="326"/>
        <v>-</v>
      </c>
      <c r="AU984" s="8"/>
    </row>
    <row r="985" spans="1:47" x14ac:dyDescent="0.25">
      <c r="A985" s="31"/>
      <c r="B985" s="31"/>
      <c r="C985"/>
      <c r="D985" s="31"/>
      <c r="E985"/>
      <c r="F985" s="31"/>
      <c r="G985"/>
      <c r="H985" s="27">
        <f>IF($G985&lt;&gt;0,SUMIF(куб!$G:$G,$G985,куб!H:H),IF($E985&lt;&gt;0,SUMIF(куб!$E:$E,$E985,куб!H:H),IF($D985&lt;&gt;0,SUMIF(куб!$D:$D,$D985,куб!H:H),IF($C985&lt;&gt;0,SUMIF(куб!$C:$C,$C985,куб!H:H),IF($B985&lt;&gt;0,SUMIF(куб!$B:$B,$B985,куб!H:H),IF($G985&lt;&gt;0,SUMIF(куб!$A:$A,$G985,куб!H:H),SUMIF(куб!$A:$A,$G985,куб!H:H)))))))</f>
        <v>0</v>
      </c>
      <c r="I985" s="27">
        <f>IF($G985&lt;&gt;0,SUMIF(куб!$G:$G,$G985,куб!I:I),IF($E985&lt;&gt;0,SUMIF(куб!$E:$E,$E985,куб!I:I),IF($D985&lt;&gt;0,SUMIF(куб!$D:$D,$D985,куб!I:I),IF($C985&lt;&gt;0,SUMIF(куб!$C:$C,$C985,куб!I:I),IF($B985&lt;&gt;0,SUMIF(куб!$B:$B,$B985,куб!I:I),IF($G985&lt;&gt;0,SUMIF(куб!$A:$A,$G985,куб!I:I),SUMIF(куб!$A:$A,$G985,куб!I:I)))))))</f>
        <v>0</v>
      </c>
      <c r="J985" s="19" t="str">
        <f t="shared" si="309"/>
        <v>-</v>
      </c>
      <c r="K985" s="8"/>
      <c r="L985" s="17">
        <f t="shared" si="310"/>
        <v>0</v>
      </c>
      <c r="M985" s="17">
        <f t="shared" si="311"/>
        <v>0</v>
      </c>
      <c r="N985" s="12">
        <f t="shared" si="312"/>
        <v>0</v>
      </c>
      <c r="O985" s="5"/>
      <c r="P985" s="27" t="b">
        <f>IF($G985&lt;&gt;0,SUMIF(куб!$G:$G,$G985,куб!J:J),IF($E985&lt;&gt;0,SUMIF(куб!$E:$E,$E985,куб!J:J),IF($D985&lt;&gt;0,SUMIF(куб!$D:$D,$D985,куб!J:J),IF($C985&lt;&gt;0,SUMIF(куб!$C:$C,$C985,куб!J:J),IF($B985&lt;&gt;0,SUMIF(куб!$B:$B,$B985,куб!J:J))))))</f>
        <v>0</v>
      </c>
      <c r="Q985" s="27" t="b">
        <f>IF($G985&lt;&gt;0,SUMIF(куб!$G:$G,$G985,куб!K:K),IF($E985&lt;&gt;0,SUMIF(куб!$E:$E,$E985,куб!K:K),IF($D985&lt;&gt;0,SUMIF(куб!$D:$D,$D985,куб!K:K),IF($C985&lt;&gt;0,SUMIF(куб!$C:$C,$C985,куб!K:K),IF($B985&lt;&gt;0,SUMIF(куб!$B:$B,$B985,куб!K:K))))))</f>
        <v>0</v>
      </c>
      <c r="R985" s="13" t="str">
        <f t="shared" si="313"/>
        <v>-</v>
      </c>
      <c r="S985" s="5"/>
      <c r="T985" s="27" t="b">
        <f>IF($G985&lt;&gt;0,SUMIF(куб!$G:$G,$G985,куб!L:L),IF($E985&lt;&gt;0,SUMIF(куб!$E:$E,$E985,куб!L:L),IF($D985&lt;&gt;0,SUMIF(куб!$D:$D,$D985,куб!L:L),IF($C985&lt;&gt;0,SUMIF(куб!$C:$C,$C985,куб!L:L),IF($B985&lt;&gt;0,SUMIF(куб!$B:$B,$B985,куб!L:L))))))</f>
        <v>0</v>
      </c>
      <c r="U985" s="27" t="b">
        <f>IF($G985&lt;&gt;0,SUMIF(куб!$G:$G,$G985,куб!M:M),IF($E985&lt;&gt;0,SUMIF(куб!$E:$E,$E985,куб!M:M),IF($D985&lt;&gt;0,SUMIF(куб!$D:$D,$D985,куб!M:M),IF($C985&lt;&gt;0,SUMIF(куб!$C:$C,$C985,куб!M:M),IF($B985&lt;&gt;0,SUMIF(куб!$B:$B,$B985,куб!M:M))))))</f>
        <v>0</v>
      </c>
      <c r="V985" s="13" t="str">
        <f t="shared" si="314"/>
        <v>-</v>
      </c>
      <c r="W985" s="5"/>
      <c r="X985" s="27" t="b">
        <f>IF($G985&lt;&gt;0,SUMIF(куб!$G:$G,$G985,куб!N:N),IF($E985&lt;&gt;0,SUMIF(куб!$E:$E,$E985,куб!N:N),IF($D985&lt;&gt;0,SUMIF(куб!$D:$D,$D985,куб!N:N),IF($C985&lt;&gt;0,SUMIF(куб!$C:$C,$C985,куб!N:N),IF($B985&lt;&gt;0,SUMIF(куб!$B:$B,$B985,куб!N:N))))))</f>
        <v>0</v>
      </c>
      <c r="Y985" s="27" t="b">
        <f>IF($G985&lt;&gt;0,SUMIF(куб!$G:$G,$G985,куб!O:O),IF($E985&lt;&gt;0,SUMIF(куб!$E:$E,$E985,куб!O:O),IF($D985&lt;&gt;0,SUMIF(куб!$D:$D,$D985,куб!O:O),IF($C985&lt;&gt;0,SUMIF(куб!$C:$C,$C985,куб!O:O),IF($B985&lt;&gt;0,SUMIF(куб!$B:$B,$B985,куб!O:O))))))</f>
        <v>0</v>
      </c>
      <c r="Z985" s="13" t="str">
        <f t="shared" si="315"/>
        <v>-</v>
      </c>
      <c r="AA985" s="5"/>
      <c r="AB985" s="33" t="str">
        <f t="shared" si="316"/>
        <v/>
      </c>
      <c r="AC985" s="33" t="str">
        <f t="shared" si="317"/>
        <v/>
      </c>
      <c r="AD985" s="15" t="str">
        <f t="shared" si="318"/>
        <v xml:space="preserve"> </v>
      </c>
      <c r="AE985" s="5"/>
      <c r="AF985" s="27" t="b">
        <f>IF($G985&lt;&gt;0,SUMIF(куб!$G:$G,$G985,куб!R:R),IF($E985&lt;&gt;0,SUMIF(куб!$E:$E,$E985,куб!R:R),IF($D985&lt;&gt;0,SUMIF(куб!$D:$D,$D985,куб!R:R),IF($C985&lt;&gt;0,SUMIF(куб!$C:$C,$C985,куб!R:R),IF($B985&lt;&gt;0,SUMIF(куб!$B:$B,$B985,куб!R:R))))))</f>
        <v>0</v>
      </c>
      <c r="AG985" s="27" t="b">
        <f>IF($G985&lt;&gt;0,SUMIF(куб!$G:$G,$G985,куб!S:S),IF($E985&lt;&gt;0,SUMIF(куб!$E:$E,$E985,куб!S:S),IF($D985&lt;&gt;0,SUMIF(куб!$D:$D,$D985,куб!S:S),IF($C985&lt;&gt;0,SUMIF(куб!$C:$C,$C985,куб!S:S),IF($B985&lt;&gt;0,SUMIF(куб!$B:$B,$B985,куб!S:S))))))</f>
        <v>0</v>
      </c>
      <c r="AH985" s="16" t="str">
        <f t="shared" si="319"/>
        <v>-</v>
      </c>
      <c r="AI985" s="8"/>
      <c r="AJ985" s="27" t="b">
        <f>IF($G985&lt;&gt;0,SUMIF(куб!$G:$G,$G985,куб!T:T),IF($E985&lt;&gt;0,SUMIF(куб!$E:$E,$E985,куб!T:T),IF($D985&lt;&gt;0,SUMIF(куб!$D:$D,$D985,куб!T:T),IF($C985&lt;&gt;0,SUMIF(куб!$C:$C,$C985,куб!T:T),IF($B985&lt;&gt;0,SUMIF(куб!$B:$B,$B985,куб!T:T))))))</f>
        <v>0</v>
      </c>
      <c r="AK985" s="27" t="b">
        <f>IF($G985&lt;&gt;0,SUMIF(куб!$G:$G,$G985,куб!U:U),IF($E985&lt;&gt;0,SUMIF(куб!$E:$E,$E985,куб!U:U),IF($D985&lt;&gt;0,SUMIF(куб!$D:$D,$D985,куб!U:U),IF($C985&lt;&gt;0,SUMIF(куб!$C:$C,$C985,куб!U:U),IF($B985&lt;&gt;0,SUMIF(куб!$B:$B,$B985,куб!U:U))))))</f>
        <v>0</v>
      </c>
      <c r="AL985" s="16" t="str">
        <f t="shared" si="320"/>
        <v>-</v>
      </c>
      <c r="AM985" s="8"/>
      <c r="AN985" s="17" t="str">
        <f t="shared" si="321"/>
        <v xml:space="preserve"> </v>
      </c>
      <c r="AO985" s="17" t="str">
        <f t="shared" si="322"/>
        <v xml:space="preserve"> </v>
      </c>
      <c r="AP985" s="16" t="str">
        <f t="shared" si="323"/>
        <v>-</v>
      </c>
      <c r="AQ985" s="8"/>
      <c r="AR985" s="17" t="str">
        <f t="shared" si="324"/>
        <v>-</v>
      </c>
      <c r="AS985" s="17" t="str">
        <f t="shared" si="325"/>
        <v>-</v>
      </c>
      <c r="AT985" s="13" t="str">
        <f t="shared" si="326"/>
        <v>-</v>
      </c>
      <c r="AU985" s="8"/>
    </row>
    <row r="986" spans="1:47" x14ac:dyDescent="0.25">
      <c r="A986" s="31"/>
      <c r="B986" s="31"/>
      <c r="C986"/>
      <c r="D986" s="31"/>
      <c r="E986"/>
      <c r="F986" s="31"/>
      <c r="G986"/>
      <c r="H986" s="27">
        <f>IF($G986&lt;&gt;0,SUMIF(куб!$G:$G,$G986,куб!H:H),IF($E986&lt;&gt;0,SUMIF(куб!$E:$E,$E986,куб!H:H),IF($D986&lt;&gt;0,SUMIF(куб!$D:$D,$D986,куб!H:H),IF($C986&lt;&gt;0,SUMIF(куб!$C:$C,$C986,куб!H:H),IF($B986&lt;&gt;0,SUMIF(куб!$B:$B,$B986,куб!H:H),IF($G986&lt;&gt;0,SUMIF(куб!$A:$A,$G986,куб!H:H),SUMIF(куб!$A:$A,$G986,куб!H:H)))))))</f>
        <v>0</v>
      </c>
      <c r="I986" s="27">
        <f>IF($G986&lt;&gt;0,SUMIF(куб!$G:$G,$G986,куб!I:I),IF($E986&lt;&gt;0,SUMIF(куб!$E:$E,$E986,куб!I:I),IF($D986&lt;&gt;0,SUMIF(куб!$D:$D,$D986,куб!I:I),IF($C986&lt;&gt;0,SUMIF(куб!$C:$C,$C986,куб!I:I),IF($B986&lt;&gt;0,SUMIF(куб!$B:$B,$B986,куб!I:I),IF($G986&lt;&gt;0,SUMIF(куб!$A:$A,$G986,куб!I:I),SUMIF(куб!$A:$A,$G986,куб!I:I)))))))</f>
        <v>0</v>
      </c>
      <c r="J986" s="19" t="str">
        <f t="shared" si="309"/>
        <v>-</v>
      </c>
      <c r="K986" s="8"/>
      <c r="L986" s="17">
        <f t="shared" si="310"/>
        <v>0</v>
      </c>
      <c r="M986" s="17">
        <f t="shared" si="311"/>
        <v>0</v>
      </c>
      <c r="N986" s="12">
        <f t="shared" si="312"/>
        <v>0</v>
      </c>
      <c r="O986" s="5"/>
      <c r="P986" s="27" t="b">
        <f>IF($G986&lt;&gt;0,SUMIF(куб!$G:$G,$G986,куб!J:J),IF($E986&lt;&gt;0,SUMIF(куб!$E:$E,$E986,куб!J:J),IF($D986&lt;&gt;0,SUMIF(куб!$D:$D,$D986,куб!J:J),IF($C986&lt;&gt;0,SUMIF(куб!$C:$C,$C986,куб!J:J),IF($B986&lt;&gt;0,SUMIF(куб!$B:$B,$B986,куб!J:J))))))</f>
        <v>0</v>
      </c>
      <c r="Q986" s="27" t="b">
        <f>IF($G986&lt;&gt;0,SUMIF(куб!$G:$G,$G986,куб!K:K),IF($E986&lt;&gt;0,SUMIF(куб!$E:$E,$E986,куб!K:K),IF($D986&lt;&gt;0,SUMIF(куб!$D:$D,$D986,куб!K:K),IF($C986&lt;&gt;0,SUMIF(куб!$C:$C,$C986,куб!K:K),IF($B986&lt;&gt;0,SUMIF(куб!$B:$B,$B986,куб!K:K))))))</f>
        <v>0</v>
      </c>
      <c r="R986" s="13" t="str">
        <f t="shared" si="313"/>
        <v>-</v>
      </c>
      <c r="S986" s="5"/>
      <c r="T986" s="27" t="b">
        <f>IF($G986&lt;&gt;0,SUMIF(куб!$G:$G,$G986,куб!L:L),IF($E986&lt;&gt;0,SUMIF(куб!$E:$E,$E986,куб!L:L),IF($D986&lt;&gt;0,SUMIF(куб!$D:$D,$D986,куб!L:L),IF($C986&lt;&gt;0,SUMIF(куб!$C:$C,$C986,куб!L:L),IF($B986&lt;&gt;0,SUMIF(куб!$B:$B,$B986,куб!L:L))))))</f>
        <v>0</v>
      </c>
      <c r="U986" s="27" t="b">
        <f>IF($G986&lt;&gt;0,SUMIF(куб!$G:$G,$G986,куб!M:M),IF($E986&lt;&gt;0,SUMIF(куб!$E:$E,$E986,куб!M:M),IF($D986&lt;&gt;0,SUMIF(куб!$D:$D,$D986,куб!M:M),IF($C986&lt;&gt;0,SUMIF(куб!$C:$C,$C986,куб!M:M),IF($B986&lt;&gt;0,SUMIF(куб!$B:$B,$B986,куб!M:M))))))</f>
        <v>0</v>
      </c>
      <c r="V986" s="13" t="str">
        <f t="shared" si="314"/>
        <v>-</v>
      </c>
      <c r="W986" s="5"/>
      <c r="X986" s="27" t="b">
        <f>IF($G986&lt;&gt;0,SUMIF(куб!$G:$G,$G986,куб!N:N),IF($E986&lt;&gt;0,SUMIF(куб!$E:$E,$E986,куб!N:N),IF($D986&lt;&gt;0,SUMIF(куб!$D:$D,$D986,куб!N:N),IF($C986&lt;&gt;0,SUMIF(куб!$C:$C,$C986,куб!N:N),IF($B986&lt;&gt;0,SUMIF(куб!$B:$B,$B986,куб!N:N))))))</f>
        <v>0</v>
      </c>
      <c r="Y986" s="27" t="b">
        <f>IF($G986&lt;&gt;0,SUMIF(куб!$G:$G,$G986,куб!O:O),IF($E986&lt;&gt;0,SUMIF(куб!$E:$E,$E986,куб!O:O),IF($D986&lt;&gt;0,SUMIF(куб!$D:$D,$D986,куб!O:O),IF($C986&lt;&gt;0,SUMIF(куб!$C:$C,$C986,куб!O:O),IF($B986&lt;&gt;0,SUMIF(куб!$B:$B,$B986,куб!O:O))))))</f>
        <v>0</v>
      </c>
      <c r="Z986" s="13" t="str">
        <f t="shared" si="315"/>
        <v>-</v>
      </c>
      <c r="AA986" s="5"/>
      <c r="AB986" s="33" t="str">
        <f t="shared" si="316"/>
        <v/>
      </c>
      <c r="AC986" s="33" t="str">
        <f t="shared" si="317"/>
        <v/>
      </c>
      <c r="AD986" s="15" t="str">
        <f t="shared" si="318"/>
        <v xml:space="preserve"> </v>
      </c>
      <c r="AE986" s="5"/>
      <c r="AF986" s="27" t="b">
        <f>IF($G986&lt;&gt;0,SUMIF(куб!$G:$G,$G986,куб!R:R),IF($E986&lt;&gt;0,SUMIF(куб!$E:$E,$E986,куб!R:R),IF($D986&lt;&gt;0,SUMIF(куб!$D:$D,$D986,куб!R:R),IF($C986&lt;&gt;0,SUMIF(куб!$C:$C,$C986,куб!R:R),IF($B986&lt;&gt;0,SUMIF(куб!$B:$B,$B986,куб!R:R))))))</f>
        <v>0</v>
      </c>
      <c r="AG986" s="27" t="b">
        <f>IF($G986&lt;&gt;0,SUMIF(куб!$G:$G,$G986,куб!S:S),IF($E986&lt;&gt;0,SUMIF(куб!$E:$E,$E986,куб!S:S),IF($D986&lt;&gt;0,SUMIF(куб!$D:$D,$D986,куб!S:S),IF($C986&lt;&gt;0,SUMIF(куб!$C:$C,$C986,куб!S:S),IF($B986&lt;&gt;0,SUMIF(куб!$B:$B,$B986,куб!S:S))))))</f>
        <v>0</v>
      </c>
      <c r="AH986" s="16" t="str">
        <f t="shared" si="319"/>
        <v>-</v>
      </c>
      <c r="AI986" s="8"/>
      <c r="AJ986" s="27" t="b">
        <f>IF($G986&lt;&gt;0,SUMIF(куб!$G:$G,$G986,куб!T:T),IF($E986&lt;&gt;0,SUMIF(куб!$E:$E,$E986,куб!T:T),IF($D986&lt;&gt;0,SUMIF(куб!$D:$D,$D986,куб!T:T),IF($C986&lt;&gt;0,SUMIF(куб!$C:$C,$C986,куб!T:T),IF($B986&lt;&gt;0,SUMIF(куб!$B:$B,$B986,куб!T:T))))))</f>
        <v>0</v>
      </c>
      <c r="AK986" s="27" t="b">
        <f>IF($G986&lt;&gt;0,SUMIF(куб!$G:$G,$G986,куб!U:U),IF($E986&lt;&gt;0,SUMIF(куб!$E:$E,$E986,куб!U:U),IF($D986&lt;&gt;0,SUMIF(куб!$D:$D,$D986,куб!U:U),IF($C986&lt;&gt;0,SUMIF(куб!$C:$C,$C986,куб!U:U),IF($B986&lt;&gt;0,SUMIF(куб!$B:$B,$B986,куб!U:U))))))</f>
        <v>0</v>
      </c>
      <c r="AL986" s="16" t="str">
        <f t="shared" si="320"/>
        <v>-</v>
      </c>
      <c r="AM986" s="8"/>
      <c r="AN986" s="17" t="str">
        <f t="shared" si="321"/>
        <v xml:space="preserve"> </v>
      </c>
      <c r="AO986" s="17" t="str">
        <f t="shared" si="322"/>
        <v xml:space="preserve"> </v>
      </c>
      <c r="AP986" s="16" t="str">
        <f t="shared" si="323"/>
        <v>-</v>
      </c>
      <c r="AQ986" s="8"/>
      <c r="AR986" s="17" t="str">
        <f t="shared" si="324"/>
        <v>-</v>
      </c>
      <c r="AS986" s="17" t="str">
        <f t="shared" si="325"/>
        <v>-</v>
      </c>
      <c r="AT986" s="13" t="str">
        <f t="shared" si="326"/>
        <v>-</v>
      </c>
      <c r="AU986" s="8"/>
    </row>
    <row r="987" spans="1:47" x14ac:dyDescent="0.25">
      <c r="A987" s="31"/>
      <c r="B987" s="31"/>
      <c r="C987"/>
      <c r="D987" s="31"/>
      <c r="E987"/>
      <c r="F987" s="31"/>
      <c r="G987"/>
      <c r="H987" s="27">
        <f>IF($G987&lt;&gt;0,SUMIF(куб!$G:$G,$G987,куб!H:H),IF($E987&lt;&gt;0,SUMIF(куб!$E:$E,$E987,куб!H:H),IF($D987&lt;&gt;0,SUMIF(куб!$D:$D,$D987,куб!H:H),IF($C987&lt;&gt;0,SUMIF(куб!$C:$C,$C987,куб!H:H),IF($B987&lt;&gt;0,SUMIF(куб!$B:$B,$B987,куб!H:H),IF($G987&lt;&gt;0,SUMIF(куб!$A:$A,$G987,куб!H:H),SUMIF(куб!$A:$A,$G987,куб!H:H)))))))</f>
        <v>0</v>
      </c>
      <c r="I987" s="27">
        <f>IF($G987&lt;&gt;0,SUMIF(куб!$G:$G,$G987,куб!I:I),IF($E987&lt;&gt;0,SUMIF(куб!$E:$E,$E987,куб!I:I),IF($D987&lt;&gt;0,SUMIF(куб!$D:$D,$D987,куб!I:I),IF($C987&lt;&gt;0,SUMIF(куб!$C:$C,$C987,куб!I:I),IF($B987&lt;&gt;0,SUMIF(куб!$B:$B,$B987,куб!I:I),IF($G987&lt;&gt;0,SUMIF(куб!$A:$A,$G987,куб!I:I),SUMIF(куб!$A:$A,$G987,куб!I:I)))))))</f>
        <v>0</v>
      </c>
      <c r="J987" s="19" t="str">
        <f t="shared" si="309"/>
        <v>-</v>
      </c>
      <c r="K987" s="8"/>
      <c r="L987" s="17">
        <f t="shared" si="310"/>
        <v>0</v>
      </c>
      <c r="M987" s="17">
        <f t="shared" si="311"/>
        <v>0</v>
      </c>
      <c r="N987" s="12">
        <f t="shared" si="312"/>
        <v>0</v>
      </c>
      <c r="O987" s="5"/>
      <c r="P987" s="27" t="b">
        <f>IF($G987&lt;&gt;0,SUMIF(куб!$G:$G,$G987,куб!J:J),IF($E987&lt;&gt;0,SUMIF(куб!$E:$E,$E987,куб!J:J),IF($D987&lt;&gt;0,SUMIF(куб!$D:$D,$D987,куб!J:J),IF($C987&lt;&gt;0,SUMIF(куб!$C:$C,$C987,куб!J:J),IF($B987&lt;&gt;0,SUMIF(куб!$B:$B,$B987,куб!J:J))))))</f>
        <v>0</v>
      </c>
      <c r="Q987" s="27" t="b">
        <f>IF($G987&lt;&gt;0,SUMIF(куб!$G:$G,$G987,куб!K:K),IF($E987&lt;&gt;0,SUMIF(куб!$E:$E,$E987,куб!K:K),IF($D987&lt;&gt;0,SUMIF(куб!$D:$D,$D987,куб!K:K),IF($C987&lt;&gt;0,SUMIF(куб!$C:$C,$C987,куб!K:K),IF($B987&lt;&gt;0,SUMIF(куб!$B:$B,$B987,куб!K:K))))))</f>
        <v>0</v>
      </c>
      <c r="R987" s="13" t="str">
        <f t="shared" si="313"/>
        <v>-</v>
      </c>
      <c r="S987" s="5"/>
      <c r="T987" s="27" t="b">
        <f>IF($G987&lt;&gt;0,SUMIF(куб!$G:$G,$G987,куб!L:L),IF($E987&lt;&gt;0,SUMIF(куб!$E:$E,$E987,куб!L:L),IF($D987&lt;&gt;0,SUMIF(куб!$D:$D,$D987,куб!L:L),IF($C987&lt;&gt;0,SUMIF(куб!$C:$C,$C987,куб!L:L),IF($B987&lt;&gt;0,SUMIF(куб!$B:$B,$B987,куб!L:L))))))</f>
        <v>0</v>
      </c>
      <c r="U987" s="27" t="b">
        <f>IF($G987&lt;&gt;0,SUMIF(куб!$G:$G,$G987,куб!M:M),IF($E987&lt;&gt;0,SUMIF(куб!$E:$E,$E987,куб!M:M),IF($D987&lt;&gt;0,SUMIF(куб!$D:$D,$D987,куб!M:M),IF($C987&lt;&gt;0,SUMIF(куб!$C:$C,$C987,куб!M:M),IF($B987&lt;&gt;0,SUMIF(куб!$B:$B,$B987,куб!M:M))))))</f>
        <v>0</v>
      </c>
      <c r="V987" s="13" t="str">
        <f t="shared" si="314"/>
        <v>-</v>
      </c>
      <c r="W987" s="5"/>
      <c r="X987" s="27" t="b">
        <f>IF($G987&lt;&gt;0,SUMIF(куб!$G:$G,$G987,куб!N:N),IF($E987&lt;&gt;0,SUMIF(куб!$E:$E,$E987,куб!N:N),IF($D987&lt;&gt;0,SUMIF(куб!$D:$D,$D987,куб!N:N),IF($C987&lt;&gt;0,SUMIF(куб!$C:$C,$C987,куб!N:N),IF($B987&lt;&gt;0,SUMIF(куб!$B:$B,$B987,куб!N:N))))))</f>
        <v>0</v>
      </c>
      <c r="Y987" s="27" t="b">
        <f>IF($G987&lt;&gt;0,SUMIF(куб!$G:$G,$G987,куб!O:O),IF($E987&lt;&gt;0,SUMIF(куб!$E:$E,$E987,куб!O:O),IF($D987&lt;&gt;0,SUMIF(куб!$D:$D,$D987,куб!O:O),IF($C987&lt;&gt;0,SUMIF(куб!$C:$C,$C987,куб!O:O),IF($B987&lt;&gt;0,SUMIF(куб!$B:$B,$B987,куб!O:O))))))</f>
        <v>0</v>
      </c>
      <c r="Z987" s="13" t="str">
        <f t="shared" si="315"/>
        <v>-</v>
      </c>
      <c r="AA987" s="5"/>
      <c r="AB987" s="33" t="str">
        <f t="shared" si="316"/>
        <v/>
      </c>
      <c r="AC987" s="33" t="str">
        <f t="shared" si="317"/>
        <v/>
      </c>
      <c r="AD987" s="15" t="str">
        <f t="shared" si="318"/>
        <v xml:space="preserve"> </v>
      </c>
      <c r="AE987" s="5"/>
      <c r="AF987" s="27" t="b">
        <f>IF($G987&lt;&gt;0,SUMIF(куб!$G:$G,$G987,куб!R:R),IF($E987&lt;&gt;0,SUMIF(куб!$E:$E,$E987,куб!R:R),IF($D987&lt;&gt;0,SUMIF(куб!$D:$D,$D987,куб!R:R),IF($C987&lt;&gt;0,SUMIF(куб!$C:$C,$C987,куб!R:R),IF($B987&lt;&gt;0,SUMIF(куб!$B:$B,$B987,куб!R:R))))))</f>
        <v>0</v>
      </c>
      <c r="AG987" s="27" t="b">
        <f>IF($G987&lt;&gt;0,SUMIF(куб!$G:$G,$G987,куб!S:S),IF($E987&lt;&gt;0,SUMIF(куб!$E:$E,$E987,куб!S:S),IF($D987&lt;&gt;0,SUMIF(куб!$D:$D,$D987,куб!S:S),IF($C987&lt;&gt;0,SUMIF(куб!$C:$C,$C987,куб!S:S),IF($B987&lt;&gt;0,SUMIF(куб!$B:$B,$B987,куб!S:S))))))</f>
        <v>0</v>
      </c>
      <c r="AH987" s="16" t="str">
        <f t="shared" si="319"/>
        <v>-</v>
      </c>
      <c r="AI987" s="8"/>
      <c r="AJ987" s="27" t="b">
        <f>IF($G987&lt;&gt;0,SUMIF(куб!$G:$G,$G987,куб!T:T),IF($E987&lt;&gt;0,SUMIF(куб!$E:$E,$E987,куб!T:T),IF($D987&lt;&gt;0,SUMIF(куб!$D:$D,$D987,куб!T:T),IF($C987&lt;&gt;0,SUMIF(куб!$C:$C,$C987,куб!T:T),IF($B987&lt;&gt;0,SUMIF(куб!$B:$B,$B987,куб!T:T))))))</f>
        <v>0</v>
      </c>
      <c r="AK987" s="27" t="b">
        <f>IF($G987&lt;&gt;0,SUMIF(куб!$G:$G,$G987,куб!U:U),IF($E987&lt;&gt;0,SUMIF(куб!$E:$E,$E987,куб!U:U),IF($D987&lt;&gt;0,SUMIF(куб!$D:$D,$D987,куб!U:U),IF($C987&lt;&gt;0,SUMIF(куб!$C:$C,$C987,куб!U:U),IF($B987&lt;&gt;0,SUMIF(куб!$B:$B,$B987,куб!U:U))))))</f>
        <v>0</v>
      </c>
      <c r="AL987" s="16" t="str">
        <f t="shared" si="320"/>
        <v>-</v>
      </c>
      <c r="AM987" s="8"/>
      <c r="AN987" s="17" t="str">
        <f t="shared" si="321"/>
        <v xml:space="preserve"> </v>
      </c>
      <c r="AO987" s="17" t="str">
        <f t="shared" si="322"/>
        <v xml:space="preserve"> </v>
      </c>
      <c r="AP987" s="16" t="str">
        <f t="shared" si="323"/>
        <v>-</v>
      </c>
      <c r="AQ987" s="8"/>
      <c r="AR987" s="17" t="str">
        <f t="shared" si="324"/>
        <v>-</v>
      </c>
      <c r="AS987" s="17" t="str">
        <f t="shared" si="325"/>
        <v>-</v>
      </c>
      <c r="AT987" s="13" t="str">
        <f t="shared" si="326"/>
        <v>-</v>
      </c>
      <c r="AU987" s="8"/>
    </row>
    <row r="988" spans="1:47" x14ac:dyDescent="0.25">
      <c r="A988" s="31"/>
      <c r="B988" s="31"/>
      <c r="C988"/>
      <c r="D988" s="31"/>
      <c r="E988"/>
      <c r="F988" s="31"/>
      <c r="G988"/>
      <c r="H988" s="27">
        <f>IF($G988&lt;&gt;0,SUMIF(куб!$G:$G,$G988,куб!H:H),IF($E988&lt;&gt;0,SUMIF(куб!$E:$E,$E988,куб!H:H),IF($D988&lt;&gt;0,SUMIF(куб!$D:$D,$D988,куб!H:H),IF($C988&lt;&gt;0,SUMIF(куб!$C:$C,$C988,куб!H:H),IF($B988&lt;&gt;0,SUMIF(куб!$B:$B,$B988,куб!H:H),IF($G988&lt;&gt;0,SUMIF(куб!$A:$A,$G988,куб!H:H),SUMIF(куб!$A:$A,$G988,куб!H:H)))))))</f>
        <v>0</v>
      </c>
      <c r="I988" s="27">
        <f>IF($G988&lt;&gt;0,SUMIF(куб!$G:$G,$G988,куб!I:I),IF($E988&lt;&gt;0,SUMIF(куб!$E:$E,$E988,куб!I:I),IF($D988&lt;&gt;0,SUMIF(куб!$D:$D,$D988,куб!I:I),IF($C988&lt;&gt;0,SUMIF(куб!$C:$C,$C988,куб!I:I),IF($B988&lt;&gt;0,SUMIF(куб!$B:$B,$B988,куб!I:I),IF($G988&lt;&gt;0,SUMIF(куб!$A:$A,$G988,куб!I:I),SUMIF(куб!$A:$A,$G988,куб!I:I)))))))</f>
        <v>0</v>
      </c>
      <c r="J988" s="19" t="str">
        <f t="shared" si="309"/>
        <v>-</v>
      </c>
      <c r="K988" s="8"/>
      <c r="L988" s="17">
        <f t="shared" si="310"/>
        <v>0</v>
      </c>
      <c r="M988" s="17">
        <f t="shared" si="311"/>
        <v>0</v>
      </c>
      <c r="N988" s="12">
        <f t="shared" si="312"/>
        <v>0</v>
      </c>
      <c r="O988" s="5"/>
      <c r="P988" s="27" t="b">
        <f>IF($G988&lt;&gt;0,SUMIF(куб!$G:$G,$G988,куб!J:J),IF($E988&lt;&gt;0,SUMIF(куб!$E:$E,$E988,куб!J:J),IF($D988&lt;&gt;0,SUMIF(куб!$D:$D,$D988,куб!J:J),IF($C988&lt;&gt;0,SUMIF(куб!$C:$C,$C988,куб!J:J),IF($B988&lt;&gt;0,SUMIF(куб!$B:$B,$B988,куб!J:J))))))</f>
        <v>0</v>
      </c>
      <c r="Q988" s="27" t="b">
        <f>IF($G988&lt;&gt;0,SUMIF(куб!$G:$G,$G988,куб!K:K),IF($E988&lt;&gt;0,SUMIF(куб!$E:$E,$E988,куб!K:K),IF($D988&lt;&gt;0,SUMIF(куб!$D:$D,$D988,куб!K:K),IF($C988&lt;&gt;0,SUMIF(куб!$C:$C,$C988,куб!K:K),IF($B988&lt;&gt;0,SUMIF(куб!$B:$B,$B988,куб!K:K))))))</f>
        <v>0</v>
      </c>
      <c r="R988" s="13" t="str">
        <f t="shared" si="313"/>
        <v>-</v>
      </c>
      <c r="S988" s="5"/>
      <c r="T988" s="27" t="b">
        <f>IF($G988&lt;&gt;0,SUMIF(куб!$G:$G,$G988,куб!L:L),IF($E988&lt;&gt;0,SUMIF(куб!$E:$E,$E988,куб!L:L),IF($D988&lt;&gt;0,SUMIF(куб!$D:$D,$D988,куб!L:L),IF($C988&lt;&gt;0,SUMIF(куб!$C:$C,$C988,куб!L:L),IF($B988&lt;&gt;0,SUMIF(куб!$B:$B,$B988,куб!L:L))))))</f>
        <v>0</v>
      </c>
      <c r="U988" s="27" t="b">
        <f>IF($G988&lt;&gt;0,SUMIF(куб!$G:$G,$G988,куб!M:M),IF($E988&lt;&gt;0,SUMIF(куб!$E:$E,$E988,куб!M:M),IF($D988&lt;&gt;0,SUMIF(куб!$D:$D,$D988,куб!M:M),IF($C988&lt;&gt;0,SUMIF(куб!$C:$C,$C988,куб!M:M),IF($B988&lt;&gt;0,SUMIF(куб!$B:$B,$B988,куб!M:M))))))</f>
        <v>0</v>
      </c>
      <c r="V988" s="13" t="str">
        <f t="shared" si="314"/>
        <v>-</v>
      </c>
      <c r="W988" s="5"/>
      <c r="X988" s="27" t="b">
        <f>IF($G988&lt;&gt;0,SUMIF(куб!$G:$G,$G988,куб!N:N),IF($E988&lt;&gt;0,SUMIF(куб!$E:$E,$E988,куб!N:N),IF($D988&lt;&gt;0,SUMIF(куб!$D:$D,$D988,куб!N:N),IF($C988&lt;&gt;0,SUMIF(куб!$C:$C,$C988,куб!N:N),IF($B988&lt;&gt;0,SUMIF(куб!$B:$B,$B988,куб!N:N))))))</f>
        <v>0</v>
      </c>
      <c r="Y988" s="27" t="b">
        <f>IF($G988&lt;&gt;0,SUMIF(куб!$G:$G,$G988,куб!O:O),IF($E988&lt;&gt;0,SUMIF(куб!$E:$E,$E988,куб!O:O),IF($D988&lt;&gt;0,SUMIF(куб!$D:$D,$D988,куб!O:O),IF($C988&lt;&gt;0,SUMIF(куб!$C:$C,$C988,куб!O:O),IF($B988&lt;&gt;0,SUMIF(куб!$B:$B,$B988,куб!O:O))))))</f>
        <v>0</v>
      </c>
      <c r="Z988" s="13" t="str">
        <f t="shared" si="315"/>
        <v>-</v>
      </c>
      <c r="AA988" s="5"/>
      <c r="AB988" s="33" t="str">
        <f t="shared" si="316"/>
        <v/>
      </c>
      <c r="AC988" s="33" t="str">
        <f t="shared" si="317"/>
        <v/>
      </c>
      <c r="AD988" s="15" t="str">
        <f t="shared" si="318"/>
        <v xml:space="preserve"> </v>
      </c>
      <c r="AE988" s="5"/>
      <c r="AF988" s="27" t="b">
        <f>IF($G988&lt;&gt;0,SUMIF(куб!$G:$G,$G988,куб!R:R),IF($E988&lt;&gt;0,SUMIF(куб!$E:$E,$E988,куб!R:R),IF($D988&lt;&gt;0,SUMIF(куб!$D:$D,$D988,куб!R:R),IF($C988&lt;&gt;0,SUMIF(куб!$C:$C,$C988,куб!R:R),IF($B988&lt;&gt;0,SUMIF(куб!$B:$B,$B988,куб!R:R))))))</f>
        <v>0</v>
      </c>
      <c r="AG988" s="27" t="b">
        <f>IF($G988&lt;&gt;0,SUMIF(куб!$G:$G,$G988,куб!S:S),IF($E988&lt;&gt;0,SUMIF(куб!$E:$E,$E988,куб!S:S),IF($D988&lt;&gt;0,SUMIF(куб!$D:$D,$D988,куб!S:S),IF($C988&lt;&gt;0,SUMIF(куб!$C:$C,$C988,куб!S:S),IF($B988&lt;&gt;0,SUMIF(куб!$B:$B,$B988,куб!S:S))))))</f>
        <v>0</v>
      </c>
      <c r="AH988" s="16" t="str">
        <f t="shared" si="319"/>
        <v>-</v>
      </c>
      <c r="AI988" s="8"/>
      <c r="AJ988" s="27" t="b">
        <f>IF($G988&lt;&gt;0,SUMIF(куб!$G:$G,$G988,куб!T:T),IF($E988&lt;&gt;0,SUMIF(куб!$E:$E,$E988,куб!T:T),IF($D988&lt;&gt;0,SUMIF(куб!$D:$D,$D988,куб!T:T),IF($C988&lt;&gt;0,SUMIF(куб!$C:$C,$C988,куб!T:T),IF($B988&lt;&gt;0,SUMIF(куб!$B:$B,$B988,куб!T:T))))))</f>
        <v>0</v>
      </c>
      <c r="AK988" s="27" t="b">
        <f>IF($G988&lt;&gt;0,SUMIF(куб!$G:$G,$G988,куб!U:U),IF($E988&lt;&gt;0,SUMIF(куб!$E:$E,$E988,куб!U:U),IF($D988&lt;&gt;0,SUMIF(куб!$D:$D,$D988,куб!U:U),IF($C988&lt;&gt;0,SUMIF(куб!$C:$C,$C988,куб!U:U),IF($B988&lt;&gt;0,SUMIF(куб!$B:$B,$B988,куб!U:U))))))</f>
        <v>0</v>
      </c>
      <c r="AL988" s="16" t="str">
        <f t="shared" si="320"/>
        <v>-</v>
      </c>
      <c r="AM988" s="8"/>
      <c r="AN988" s="17" t="str">
        <f t="shared" si="321"/>
        <v xml:space="preserve"> </v>
      </c>
      <c r="AO988" s="17" t="str">
        <f t="shared" si="322"/>
        <v xml:space="preserve"> </v>
      </c>
      <c r="AP988" s="16" t="str">
        <f t="shared" si="323"/>
        <v>-</v>
      </c>
      <c r="AQ988" s="8"/>
      <c r="AR988" s="17" t="str">
        <f t="shared" si="324"/>
        <v>-</v>
      </c>
      <c r="AS988" s="17" t="str">
        <f t="shared" si="325"/>
        <v>-</v>
      </c>
      <c r="AT988" s="13" t="str">
        <f t="shared" si="326"/>
        <v>-</v>
      </c>
      <c r="AU988" s="8"/>
    </row>
    <row r="989" spans="1:47" x14ac:dyDescent="0.25">
      <c r="A989" s="31"/>
      <c r="B989" s="31"/>
      <c r="C989"/>
      <c r="D989" s="31"/>
      <c r="E989"/>
      <c r="F989" s="31"/>
      <c r="G989"/>
      <c r="H989" s="27">
        <f>IF($G989&lt;&gt;0,SUMIF(куб!$G:$G,$G989,куб!H:H),IF($E989&lt;&gt;0,SUMIF(куб!$E:$E,$E989,куб!H:H),IF($D989&lt;&gt;0,SUMIF(куб!$D:$D,$D989,куб!H:H),IF($C989&lt;&gt;0,SUMIF(куб!$C:$C,$C989,куб!H:H),IF($B989&lt;&gt;0,SUMIF(куб!$B:$B,$B989,куб!H:H),IF($G989&lt;&gt;0,SUMIF(куб!$A:$A,$G989,куб!H:H),SUMIF(куб!$A:$A,$G989,куб!H:H)))))))</f>
        <v>0</v>
      </c>
      <c r="I989" s="27">
        <f>IF($G989&lt;&gt;0,SUMIF(куб!$G:$G,$G989,куб!I:I),IF($E989&lt;&gt;0,SUMIF(куб!$E:$E,$E989,куб!I:I),IF($D989&lt;&gt;0,SUMIF(куб!$D:$D,$D989,куб!I:I),IF($C989&lt;&gt;0,SUMIF(куб!$C:$C,$C989,куб!I:I),IF($B989&lt;&gt;0,SUMIF(куб!$B:$B,$B989,куб!I:I),IF($G989&lt;&gt;0,SUMIF(куб!$A:$A,$G989,куб!I:I),SUMIF(куб!$A:$A,$G989,куб!I:I)))))))</f>
        <v>0</v>
      </c>
      <c r="J989" s="19" t="str">
        <f t="shared" si="309"/>
        <v>-</v>
      </c>
      <c r="K989" s="8"/>
      <c r="L989" s="17">
        <f t="shared" si="310"/>
        <v>0</v>
      </c>
      <c r="M989" s="17">
        <f t="shared" si="311"/>
        <v>0</v>
      </c>
      <c r="N989" s="12">
        <f t="shared" si="312"/>
        <v>0</v>
      </c>
      <c r="O989" s="5"/>
      <c r="P989" s="27" t="b">
        <f>IF($G989&lt;&gt;0,SUMIF(куб!$G:$G,$G989,куб!J:J),IF($E989&lt;&gt;0,SUMIF(куб!$E:$E,$E989,куб!J:J),IF($D989&lt;&gt;0,SUMIF(куб!$D:$D,$D989,куб!J:J),IF($C989&lt;&gt;0,SUMIF(куб!$C:$C,$C989,куб!J:J),IF($B989&lt;&gt;0,SUMIF(куб!$B:$B,$B989,куб!J:J))))))</f>
        <v>0</v>
      </c>
      <c r="Q989" s="27" t="b">
        <f>IF($G989&lt;&gt;0,SUMIF(куб!$G:$G,$G989,куб!K:K),IF($E989&lt;&gt;0,SUMIF(куб!$E:$E,$E989,куб!K:K),IF($D989&lt;&gt;0,SUMIF(куб!$D:$D,$D989,куб!K:K),IF($C989&lt;&gt;0,SUMIF(куб!$C:$C,$C989,куб!K:K),IF($B989&lt;&gt;0,SUMIF(куб!$B:$B,$B989,куб!K:K))))))</f>
        <v>0</v>
      </c>
      <c r="R989" s="13" t="str">
        <f t="shared" si="313"/>
        <v>-</v>
      </c>
      <c r="S989" s="5"/>
      <c r="T989" s="27" t="b">
        <f>IF($G989&lt;&gt;0,SUMIF(куб!$G:$G,$G989,куб!L:L),IF($E989&lt;&gt;0,SUMIF(куб!$E:$E,$E989,куб!L:L),IF($D989&lt;&gt;0,SUMIF(куб!$D:$D,$D989,куб!L:L),IF($C989&lt;&gt;0,SUMIF(куб!$C:$C,$C989,куб!L:L),IF($B989&lt;&gt;0,SUMIF(куб!$B:$B,$B989,куб!L:L))))))</f>
        <v>0</v>
      </c>
      <c r="U989" s="27" t="b">
        <f>IF($G989&lt;&gt;0,SUMIF(куб!$G:$G,$G989,куб!M:M),IF($E989&lt;&gt;0,SUMIF(куб!$E:$E,$E989,куб!M:M),IF($D989&lt;&gt;0,SUMIF(куб!$D:$D,$D989,куб!M:M),IF($C989&lt;&gt;0,SUMIF(куб!$C:$C,$C989,куб!M:M),IF($B989&lt;&gt;0,SUMIF(куб!$B:$B,$B989,куб!M:M))))))</f>
        <v>0</v>
      </c>
      <c r="V989" s="13" t="str">
        <f t="shared" si="314"/>
        <v>-</v>
      </c>
      <c r="W989" s="5"/>
      <c r="X989" s="27" t="b">
        <f>IF($G989&lt;&gt;0,SUMIF(куб!$G:$G,$G989,куб!N:N),IF($E989&lt;&gt;0,SUMIF(куб!$E:$E,$E989,куб!N:N),IF($D989&lt;&gt;0,SUMIF(куб!$D:$D,$D989,куб!N:N),IF($C989&lt;&gt;0,SUMIF(куб!$C:$C,$C989,куб!N:N),IF($B989&lt;&gt;0,SUMIF(куб!$B:$B,$B989,куб!N:N))))))</f>
        <v>0</v>
      </c>
      <c r="Y989" s="27" t="b">
        <f>IF($G989&lt;&gt;0,SUMIF(куб!$G:$G,$G989,куб!O:O),IF($E989&lt;&gt;0,SUMIF(куб!$E:$E,$E989,куб!O:O),IF($D989&lt;&gt;0,SUMIF(куб!$D:$D,$D989,куб!O:O),IF($C989&lt;&gt;0,SUMIF(куб!$C:$C,$C989,куб!O:O),IF($B989&lt;&gt;0,SUMIF(куб!$B:$B,$B989,куб!O:O))))))</f>
        <v>0</v>
      </c>
      <c r="Z989" s="13" t="str">
        <f t="shared" si="315"/>
        <v>-</v>
      </c>
      <c r="AA989" s="5"/>
      <c r="AB989" s="33" t="str">
        <f t="shared" si="316"/>
        <v/>
      </c>
      <c r="AC989" s="33" t="str">
        <f t="shared" si="317"/>
        <v/>
      </c>
      <c r="AD989" s="15" t="str">
        <f t="shared" si="318"/>
        <v xml:space="preserve"> </v>
      </c>
      <c r="AE989" s="5"/>
      <c r="AF989" s="27" t="b">
        <f>IF($G989&lt;&gt;0,SUMIF(куб!$G:$G,$G989,куб!R:R),IF($E989&lt;&gt;0,SUMIF(куб!$E:$E,$E989,куб!R:R),IF($D989&lt;&gt;0,SUMIF(куб!$D:$D,$D989,куб!R:R),IF($C989&lt;&gt;0,SUMIF(куб!$C:$C,$C989,куб!R:R),IF($B989&lt;&gt;0,SUMIF(куб!$B:$B,$B989,куб!R:R))))))</f>
        <v>0</v>
      </c>
      <c r="AG989" s="27" t="b">
        <f>IF($G989&lt;&gt;0,SUMIF(куб!$G:$G,$G989,куб!S:S),IF($E989&lt;&gt;0,SUMIF(куб!$E:$E,$E989,куб!S:S),IF($D989&lt;&gt;0,SUMIF(куб!$D:$D,$D989,куб!S:S),IF($C989&lt;&gt;0,SUMIF(куб!$C:$C,$C989,куб!S:S),IF($B989&lt;&gt;0,SUMIF(куб!$B:$B,$B989,куб!S:S))))))</f>
        <v>0</v>
      </c>
      <c r="AH989" s="16" t="str">
        <f t="shared" si="319"/>
        <v>-</v>
      </c>
      <c r="AI989" s="8"/>
      <c r="AJ989" s="27" t="b">
        <f>IF($G989&lt;&gt;0,SUMIF(куб!$G:$G,$G989,куб!T:T),IF($E989&lt;&gt;0,SUMIF(куб!$E:$E,$E989,куб!T:T),IF($D989&lt;&gt;0,SUMIF(куб!$D:$D,$D989,куб!T:T),IF($C989&lt;&gt;0,SUMIF(куб!$C:$C,$C989,куб!T:T),IF($B989&lt;&gt;0,SUMIF(куб!$B:$B,$B989,куб!T:T))))))</f>
        <v>0</v>
      </c>
      <c r="AK989" s="27" t="b">
        <f>IF($G989&lt;&gt;0,SUMIF(куб!$G:$G,$G989,куб!U:U),IF($E989&lt;&gt;0,SUMIF(куб!$E:$E,$E989,куб!U:U),IF($D989&lt;&gt;0,SUMIF(куб!$D:$D,$D989,куб!U:U),IF($C989&lt;&gt;0,SUMIF(куб!$C:$C,$C989,куб!U:U),IF($B989&lt;&gt;0,SUMIF(куб!$B:$B,$B989,куб!U:U))))))</f>
        <v>0</v>
      </c>
      <c r="AL989" s="16" t="str">
        <f t="shared" si="320"/>
        <v>-</v>
      </c>
      <c r="AM989" s="8"/>
      <c r="AN989" s="17" t="str">
        <f t="shared" si="321"/>
        <v xml:space="preserve"> </v>
      </c>
      <c r="AO989" s="17" t="str">
        <f t="shared" si="322"/>
        <v xml:space="preserve"> </v>
      </c>
      <c r="AP989" s="16" t="str">
        <f t="shared" si="323"/>
        <v>-</v>
      </c>
      <c r="AQ989" s="8"/>
      <c r="AR989" s="17" t="str">
        <f t="shared" si="324"/>
        <v>-</v>
      </c>
      <c r="AS989" s="17" t="str">
        <f t="shared" si="325"/>
        <v>-</v>
      </c>
      <c r="AT989" s="13" t="str">
        <f t="shared" si="326"/>
        <v>-</v>
      </c>
      <c r="AU989" s="8"/>
    </row>
    <row r="990" spans="1:47" x14ac:dyDescent="0.25">
      <c r="A990" s="31"/>
      <c r="B990" s="31"/>
      <c r="C990"/>
      <c r="D990" s="31"/>
      <c r="E990"/>
      <c r="F990" s="31"/>
      <c r="G990"/>
      <c r="H990" s="27">
        <f>IF($G990&lt;&gt;0,SUMIF(куб!$G:$G,$G990,куб!H:H),IF($E990&lt;&gt;0,SUMIF(куб!$E:$E,$E990,куб!H:H),IF($D990&lt;&gt;0,SUMIF(куб!$D:$D,$D990,куб!H:H),IF($C990&lt;&gt;0,SUMIF(куб!$C:$C,$C990,куб!H:H),IF($B990&lt;&gt;0,SUMIF(куб!$B:$B,$B990,куб!H:H),IF($G990&lt;&gt;0,SUMIF(куб!$A:$A,$G990,куб!H:H),SUMIF(куб!$A:$A,$G990,куб!H:H)))))))</f>
        <v>0</v>
      </c>
      <c r="I990" s="27">
        <f>IF($G990&lt;&gt;0,SUMIF(куб!$G:$G,$G990,куб!I:I),IF($E990&lt;&gt;0,SUMIF(куб!$E:$E,$E990,куб!I:I),IF($D990&lt;&gt;0,SUMIF(куб!$D:$D,$D990,куб!I:I),IF($C990&lt;&gt;0,SUMIF(куб!$C:$C,$C990,куб!I:I),IF($B990&lt;&gt;0,SUMIF(куб!$B:$B,$B990,куб!I:I),IF($G990&lt;&gt;0,SUMIF(куб!$A:$A,$G990,куб!I:I),SUMIF(куб!$A:$A,$G990,куб!I:I)))))))</f>
        <v>0</v>
      </c>
      <c r="J990" s="19" t="str">
        <f t="shared" si="309"/>
        <v>-</v>
      </c>
      <c r="K990" s="8"/>
      <c r="L990" s="17">
        <f t="shared" si="310"/>
        <v>0</v>
      </c>
      <c r="M990" s="17">
        <f t="shared" si="311"/>
        <v>0</v>
      </c>
      <c r="N990" s="12">
        <f t="shared" si="312"/>
        <v>0</v>
      </c>
      <c r="O990" s="5"/>
      <c r="P990" s="27" t="b">
        <f>IF($G990&lt;&gt;0,SUMIF(куб!$G:$G,$G990,куб!J:J),IF($E990&lt;&gt;0,SUMIF(куб!$E:$E,$E990,куб!J:J),IF($D990&lt;&gt;0,SUMIF(куб!$D:$D,$D990,куб!J:J),IF($C990&lt;&gt;0,SUMIF(куб!$C:$C,$C990,куб!J:J),IF($B990&lt;&gt;0,SUMIF(куб!$B:$B,$B990,куб!J:J))))))</f>
        <v>0</v>
      </c>
      <c r="Q990" s="27" t="b">
        <f>IF($G990&lt;&gt;0,SUMIF(куб!$G:$G,$G990,куб!K:K),IF($E990&lt;&gt;0,SUMIF(куб!$E:$E,$E990,куб!K:K),IF($D990&lt;&gt;0,SUMIF(куб!$D:$D,$D990,куб!K:K),IF($C990&lt;&gt;0,SUMIF(куб!$C:$C,$C990,куб!K:K),IF($B990&lt;&gt;0,SUMIF(куб!$B:$B,$B990,куб!K:K))))))</f>
        <v>0</v>
      </c>
      <c r="R990" s="13" t="str">
        <f t="shared" si="313"/>
        <v>-</v>
      </c>
      <c r="S990" s="5"/>
      <c r="T990" s="27" t="b">
        <f>IF($G990&lt;&gt;0,SUMIF(куб!$G:$G,$G990,куб!L:L),IF($E990&lt;&gt;0,SUMIF(куб!$E:$E,$E990,куб!L:L),IF($D990&lt;&gt;0,SUMIF(куб!$D:$D,$D990,куб!L:L),IF($C990&lt;&gt;0,SUMIF(куб!$C:$C,$C990,куб!L:L),IF($B990&lt;&gt;0,SUMIF(куб!$B:$B,$B990,куб!L:L))))))</f>
        <v>0</v>
      </c>
      <c r="U990" s="27" t="b">
        <f>IF($G990&lt;&gt;0,SUMIF(куб!$G:$G,$G990,куб!M:M),IF($E990&lt;&gt;0,SUMIF(куб!$E:$E,$E990,куб!M:M),IF($D990&lt;&gt;0,SUMIF(куб!$D:$D,$D990,куб!M:M),IF($C990&lt;&gt;0,SUMIF(куб!$C:$C,$C990,куб!M:M),IF($B990&lt;&gt;0,SUMIF(куб!$B:$B,$B990,куб!M:M))))))</f>
        <v>0</v>
      </c>
      <c r="V990" s="13" t="str">
        <f t="shared" si="314"/>
        <v>-</v>
      </c>
      <c r="W990" s="5"/>
      <c r="X990" s="27" t="b">
        <f>IF($G990&lt;&gt;0,SUMIF(куб!$G:$G,$G990,куб!N:N),IF($E990&lt;&gt;0,SUMIF(куб!$E:$E,$E990,куб!N:N),IF($D990&lt;&gt;0,SUMIF(куб!$D:$D,$D990,куб!N:N),IF($C990&lt;&gt;0,SUMIF(куб!$C:$C,$C990,куб!N:N),IF($B990&lt;&gt;0,SUMIF(куб!$B:$B,$B990,куб!N:N))))))</f>
        <v>0</v>
      </c>
      <c r="Y990" s="27" t="b">
        <f>IF($G990&lt;&gt;0,SUMIF(куб!$G:$G,$G990,куб!O:O),IF($E990&lt;&gt;0,SUMIF(куб!$E:$E,$E990,куб!O:O),IF($D990&lt;&gt;0,SUMIF(куб!$D:$D,$D990,куб!O:O),IF($C990&lt;&gt;0,SUMIF(куб!$C:$C,$C990,куб!O:O),IF($B990&lt;&gt;0,SUMIF(куб!$B:$B,$B990,куб!O:O))))))</f>
        <v>0</v>
      </c>
      <c r="Z990" s="13" t="str">
        <f t="shared" si="315"/>
        <v>-</v>
      </c>
      <c r="AA990" s="5"/>
      <c r="AB990" s="33" t="str">
        <f t="shared" si="316"/>
        <v/>
      </c>
      <c r="AC990" s="33" t="str">
        <f t="shared" si="317"/>
        <v/>
      </c>
      <c r="AD990" s="15" t="str">
        <f t="shared" si="318"/>
        <v xml:space="preserve"> </v>
      </c>
      <c r="AE990" s="5"/>
      <c r="AF990" s="27" t="b">
        <f>IF($G990&lt;&gt;0,SUMIF(куб!$G:$G,$G990,куб!R:R),IF($E990&lt;&gt;0,SUMIF(куб!$E:$E,$E990,куб!R:R),IF($D990&lt;&gt;0,SUMIF(куб!$D:$D,$D990,куб!R:R),IF($C990&lt;&gt;0,SUMIF(куб!$C:$C,$C990,куб!R:R),IF($B990&lt;&gt;0,SUMIF(куб!$B:$B,$B990,куб!R:R))))))</f>
        <v>0</v>
      </c>
      <c r="AG990" s="27" t="b">
        <f>IF($G990&lt;&gt;0,SUMIF(куб!$G:$G,$G990,куб!S:S),IF($E990&lt;&gt;0,SUMIF(куб!$E:$E,$E990,куб!S:S),IF($D990&lt;&gt;0,SUMIF(куб!$D:$D,$D990,куб!S:S),IF($C990&lt;&gt;0,SUMIF(куб!$C:$C,$C990,куб!S:S),IF($B990&lt;&gt;0,SUMIF(куб!$B:$B,$B990,куб!S:S))))))</f>
        <v>0</v>
      </c>
      <c r="AH990" s="16" t="str">
        <f t="shared" si="319"/>
        <v>-</v>
      </c>
      <c r="AI990" s="8"/>
      <c r="AJ990" s="27" t="b">
        <f>IF($G990&lt;&gt;0,SUMIF(куб!$G:$G,$G990,куб!T:T),IF($E990&lt;&gt;0,SUMIF(куб!$E:$E,$E990,куб!T:T),IF($D990&lt;&gt;0,SUMIF(куб!$D:$D,$D990,куб!T:T),IF($C990&lt;&gt;0,SUMIF(куб!$C:$C,$C990,куб!T:T),IF($B990&lt;&gt;0,SUMIF(куб!$B:$B,$B990,куб!T:T))))))</f>
        <v>0</v>
      </c>
      <c r="AK990" s="27" t="b">
        <f>IF($G990&lt;&gt;0,SUMIF(куб!$G:$G,$G990,куб!U:U),IF($E990&lt;&gt;0,SUMIF(куб!$E:$E,$E990,куб!U:U),IF($D990&lt;&gt;0,SUMIF(куб!$D:$D,$D990,куб!U:U),IF($C990&lt;&gt;0,SUMIF(куб!$C:$C,$C990,куб!U:U),IF($B990&lt;&gt;0,SUMIF(куб!$B:$B,$B990,куб!U:U))))))</f>
        <v>0</v>
      </c>
      <c r="AL990" s="16" t="str">
        <f t="shared" si="320"/>
        <v>-</v>
      </c>
      <c r="AM990" s="8"/>
      <c r="AN990" s="17" t="str">
        <f t="shared" si="321"/>
        <v xml:space="preserve"> </v>
      </c>
      <c r="AO990" s="17" t="str">
        <f t="shared" si="322"/>
        <v xml:space="preserve"> </v>
      </c>
      <c r="AP990" s="16" t="str">
        <f t="shared" si="323"/>
        <v>-</v>
      </c>
      <c r="AQ990" s="8"/>
      <c r="AR990" s="17" t="str">
        <f t="shared" si="324"/>
        <v>-</v>
      </c>
      <c r="AS990" s="17" t="str">
        <f t="shared" si="325"/>
        <v>-</v>
      </c>
      <c r="AT990" s="13" t="str">
        <f t="shared" si="326"/>
        <v>-</v>
      </c>
      <c r="AU990" s="8"/>
    </row>
    <row r="991" spans="1:47" x14ac:dyDescent="0.25">
      <c r="A991" s="31"/>
      <c r="B991" s="31"/>
      <c r="C991"/>
      <c r="D991" s="31"/>
      <c r="E991"/>
      <c r="F991" s="31"/>
      <c r="G991"/>
      <c r="H991" s="27">
        <f>IF($G991&lt;&gt;0,SUMIF(куб!$G:$G,$G991,куб!H:H),IF($E991&lt;&gt;0,SUMIF(куб!$E:$E,$E991,куб!H:H),IF($D991&lt;&gt;0,SUMIF(куб!$D:$D,$D991,куб!H:H),IF($C991&lt;&gt;0,SUMIF(куб!$C:$C,$C991,куб!H:H),IF($B991&lt;&gt;0,SUMIF(куб!$B:$B,$B991,куб!H:H),IF($G991&lt;&gt;0,SUMIF(куб!$A:$A,$G991,куб!H:H),SUMIF(куб!$A:$A,$G991,куб!H:H)))))))</f>
        <v>0</v>
      </c>
      <c r="I991" s="27">
        <f>IF($G991&lt;&gt;0,SUMIF(куб!$G:$G,$G991,куб!I:I),IF($E991&lt;&gt;0,SUMIF(куб!$E:$E,$E991,куб!I:I),IF($D991&lt;&gt;0,SUMIF(куб!$D:$D,$D991,куб!I:I),IF($C991&lt;&gt;0,SUMIF(куб!$C:$C,$C991,куб!I:I),IF($B991&lt;&gt;0,SUMIF(куб!$B:$B,$B991,куб!I:I),IF($G991&lt;&gt;0,SUMIF(куб!$A:$A,$G991,куб!I:I),SUMIF(куб!$A:$A,$G991,куб!I:I)))))))</f>
        <v>0</v>
      </c>
      <c r="J991" s="19" t="str">
        <f t="shared" si="309"/>
        <v>-</v>
      </c>
      <c r="K991" s="8"/>
      <c r="L991" s="17">
        <f t="shared" si="310"/>
        <v>0</v>
      </c>
      <c r="M991" s="17">
        <f t="shared" si="311"/>
        <v>0</v>
      </c>
      <c r="N991" s="12">
        <f t="shared" si="312"/>
        <v>0</v>
      </c>
      <c r="O991" s="5"/>
      <c r="P991" s="27" t="b">
        <f>IF($G991&lt;&gt;0,SUMIF(куб!$G:$G,$G991,куб!J:J),IF($E991&lt;&gt;0,SUMIF(куб!$E:$E,$E991,куб!J:J),IF($D991&lt;&gt;0,SUMIF(куб!$D:$D,$D991,куб!J:J),IF($C991&lt;&gt;0,SUMIF(куб!$C:$C,$C991,куб!J:J),IF($B991&lt;&gt;0,SUMIF(куб!$B:$B,$B991,куб!J:J))))))</f>
        <v>0</v>
      </c>
      <c r="Q991" s="27" t="b">
        <f>IF($G991&lt;&gt;0,SUMIF(куб!$G:$G,$G991,куб!K:K),IF($E991&lt;&gt;0,SUMIF(куб!$E:$E,$E991,куб!K:K),IF($D991&lt;&gt;0,SUMIF(куб!$D:$D,$D991,куб!K:K),IF($C991&lt;&gt;0,SUMIF(куб!$C:$C,$C991,куб!K:K),IF($B991&lt;&gt;0,SUMIF(куб!$B:$B,$B991,куб!K:K))))))</f>
        <v>0</v>
      </c>
      <c r="R991" s="13" t="str">
        <f t="shared" si="313"/>
        <v>-</v>
      </c>
      <c r="S991" s="5"/>
      <c r="T991" s="27" t="b">
        <f>IF($G991&lt;&gt;0,SUMIF(куб!$G:$G,$G991,куб!L:L),IF($E991&lt;&gt;0,SUMIF(куб!$E:$E,$E991,куб!L:L),IF($D991&lt;&gt;0,SUMIF(куб!$D:$D,$D991,куб!L:L),IF($C991&lt;&gt;0,SUMIF(куб!$C:$C,$C991,куб!L:L),IF($B991&lt;&gt;0,SUMIF(куб!$B:$B,$B991,куб!L:L))))))</f>
        <v>0</v>
      </c>
      <c r="U991" s="27" t="b">
        <f>IF($G991&lt;&gt;0,SUMIF(куб!$G:$G,$G991,куб!M:M),IF($E991&lt;&gt;0,SUMIF(куб!$E:$E,$E991,куб!M:M),IF($D991&lt;&gt;0,SUMIF(куб!$D:$D,$D991,куб!M:M),IF($C991&lt;&gt;0,SUMIF(куб!$C:$C,$C991,куб!M:M),IF($B991&lt;&gt;0,SUMIF(куб!$B:$B,$B991,куб!M:M))))))</f>
        <v>0</v>
      </c>
      <c r="V991" s="13" t="str">
        <f t="shared" si="314"/>
        <v>-</v>
      </c>
      <c r="W991" s="5"/>
      <c r="X991" s="27" t="b">
        <f>IF($G991&lt;&gt;0,SUMIF(куб!$G:$G,$G991,куб!N:N),IF($E991&lt;&gt;0,SUMIF(куб!$E:$E,$E991,куб!N:N),IF($D991&lt;&gt;0,SUMIF(куб!$D:$D,$D991,куб!N:N),IF($C991&lt;&gt;0,SUMIF(куб!$C:$C,$C991,куб!N:N),IF($B991&lt;&gt;0,SUMIF(куб!$B:$B,$B991,куб!N:N))))))</f>
        <v>0</v>
      </c>
      <c r="Y991" s="27" t="b">
        <f>IF($G991&lt;&gt;0,SUMIF(куб!$G:$G,$G991,куб!O:O),IF($E991&lt;&gt;0,SUMIF(куб!$E:$E,$E991,куб!O:O),IF($D991&lt;&gt;0,SUMIF(куб!$D:$D,$D991,куб!O:O),IF($C991&lt;&gt;0,SUMIF(куб!$C:$C,$C991,куб!O:O),IF($B991&lt;&gt;0,SUMIF(куб!$B:$B,$B991,куб!O:O))))))</f>
        <v>0</v>
      </c>
      <c r="Z991" s="13" t="str">
        <f t="shared" si="315"/>
        <v>-</v>
      </c>
      <c r="AA991" s="5"/>
      <c r="AB991" s="33" t="str">
        <f t="shared" si="316"/>
        <v/>
      </c>
      <c r="AC991" s="33" t="str">
        <f t="shared" si="317"/>
        <v/>
      </c>
      <c r="AD991" s="15" t="str">
        <f t="shared" si="318"/>
        <v xml:space="preserve"> </v>
      </c>
      <c r="AE991" s="5"/>
      <c r="AF991" s="27" t="b">
        <f>IF($G991&lt;&gt;0,SUMIF(куб!$G:$G,$G991,куб!R:R),IF($E991&lt;&gt;0,SUMIF(куб!$E:$E,$E991,куб!R:R),IF($D991&lt;&gt;0,SUMIF(куб!$D:$D,$D991,куб!R:R),IF($C991&lt;&gt;0,SUMIF(куб!$C:$C,$C991,куб!R:R),IF($B991&lt;&gt;0,SUMIF(куб!$B:$B,$B991,куб!R:R))))))</f>
        <v>0</v>
      </c>
      <c r="AG991" s="27" t="b">
        <f>IF($G991&lt;&gt;0,SUMIF(куб!$G:$G,$G991,куб!S:S),IF($E991&lt;&gt;0,SUMIF(куб!$E:$E,$E991,куб!S:S),IF($D991&lt;&gt;0,SUMIF(куб!$D:$D,$D991,куб!S:S),IF($C991&lt;&gt;0,SUMIF(куб!$C:$C,$C991,куб!S:S),IF($B991&lt;&gt;0,SUMIF(куб!$B:$B,$B991,куб!S:S))))))</f>
        <v>0</v>
      </c>
      <c r="AH991" s="16" t="str">
        <f t="shared" si="319"/>
        <v>-</v>
      </c>
      <c r="AI991" s="8"/>
      <c r="AJ991" s="27" t="b">
        <f>IF($G991&lt;&gt;0,SUMIF(куб!$G:$G,$G991,куб!T:T),IF($E991&lt;&gt;0,SUMIF(куб!$E:$E,$E991,куб!T:T),IF($D991&lt;&gt;0,SUMIF(куб!$D:$D,$D991,куб!T:T),IF($C991&lt;&gt;0,SUMIF(куб!$C:$C,$C991,куб!T:T),IF($B991&lt;&gt;0,SUMIF(куб!$B:$B,$B991,куб!T:T))))))</f>
        <v>0</v>
      </c>
      <c r="AK991" s="27" t="b">
        <f>IF($G991&lt;&gt;0,SUMIF(куб!$G:$G,$G991,куб!U:U),IF($E991&lt;&gt;0,SUMIF(куб!$E:$E,$E991,куб!U:U),IF($D991&lt;&gt;0,SUMIF(куб!$D:$D,$D991,куб!U:U),IF($C991&lt;&gt;0,SUMIF(куб!$C:$C,$C991,куб!U:U),IF($B991&lt;&gt;0,SUMIF(куб!$B:$B,$B991,куб!U:U))))))</f>
        <v>0</v>
      </c>
      <c r="AL991" s="16" t="str">
        <f t="shared" si="320"/>
        <v>-</v>
      </c>
      <c r="AM991" s="8"/>
      <c r="AN991" s="17" t="str">
        <f t="shared" si="321"/>
        <v xml:space="preserve"> </v>
      </c>
      <c r="AO991" s="17" t="str">
        <f t="shared" si="322"/>
        <v xml:space="preserve"> </v>
      </c>
      <c r="AP991" s="16" t="str">
        <f t="shared" si="323"/>
        <v>-</v>
      </c>
      <c r="AQ991" s="8"/>
      <c r="AR991" s="17" t="str">
        <f t="shared" si="324"/>
        <v>-</v>
      </c>
      <c r="AS991" s="17" t="str">
        <f t="shared" si="325"/>
        <v>-</v>
      </c>
      <c r="AT991" s="13" t="str">
        <f t="shared" si="326"/>
        <v>-</v>
      </c>
      <c r="AU991" s="8"/>
    </row>
    <row r="992" spans="1:47" x14ac:dyDescent="0.25">
      <c r="A992" s="31"/>
      <c r="B992" s="31"/>
      <c r="C992"/>
      <c r="D992" s="31"/>
      <c r="E992"/>
      <c r="F992" s="31"/>
      <c r="G992"/>
      <c r="H992" s="27">
        <f>IF($G992&lt;&gt;0,SUMIF(куб!$G:$G,$G992,куб!H:H),IF($E992&lt;&gt;0,SUMIF(куб!$E:$E,$E992,куб!H:H),IF($D992&lt;&gt;0,SUMIF(куб!$D:$D,$D992,куб!H:H),IF($C992&lt;&gt;0,SUMIF(куб!$C:$C,$C992,куб!H:H),IF($B992&lt;&gt;0,SUMIF(куб!$B:$B,$B992,куб!H:H),IF($G992&lt;&gt;0,SUMIF(куб!$A:$A,$G992,куб!H:H),SUMIF(куб!$A:$A,$G992,куб!H:H)))))))</f>
        <v>0</v>
      </c>
      <c r="I992" s="27">
        <f>IF($G992&lt;&gt;0,SUMIF(куб!$G:$G,$G992,куб!I:I),IF($E992&lt;&gt;0,SUMIF(куб!$E:$E,$E992,куб!I:I),IF($D992&lt;&gt;0,SUMIF(куб!$D:$D,$D992,куб!I:I),IF($C992&lt;&gt;0,SUMIF(куб!$C:$C,$C992,куб!I:I),IF($B992&lt;&gt;0,SUMIF(куб!$B:$B,$B992,куб!I:I),IF($G992&lt;&gt;0,SUMIF(куб!$A:$A,$G992,куб!I:I),SUMIF(куб!$A:$A,$G992,куб!I:I)))))))</f>
        <v>0</v>
      </c>
      <c r="J992" s="19" t="str">
        <f t="shared" si="309"/>
        <v>-</v>
      </c>
      <c r="K992" s="8"/>
      <c r="L992" s="17">
        <f t="shared" si="310"/>
        <v>0</v>
      </c>
      <c r="M992" s="17">
        <f t="shared" si="311"/>
        <v>0</v>
      </c>
      <c r="N992" s="12">
        <f t="shared" si="312"/>
        <v>0</v>
      </c>
      <c r="O992" s="5"/>
      <c r="P992" s="27" t="b">
        <f>IF($G992&lt;&gt;0,SUMIF(куб!$G:$G,$G992,куб!J:J),IF($E992&lt;&gt;0,SUMIF(куб!$E:$E,$E992,куб!J:J),IF($D992&lt;&gt;0,SUMIF(куб!$D:$D,$D992,куб!J:J),IF($C992&lt;&gt;0,SUMIF(куб!$C:$C,$C992,куб!J:J),IF($B992&lt;&gt;0,SUMIF(куб!$B:$B,$B992,куб!J:J))))))</f>
        <v>0</v>
      </c>
      <c r="Q992" s="27" t="b">
        <f>IF($G992&lt;&gt;0,SUMIF(куб!$G:$G,$G992,куб!K:K),IF($E992&lt;&gt;0,SUMIF(куб!$E:$E,$E992,куб!K:K),IF($D992&lt;&gt;0,SUMIF(куб!$D:$D,$D992,куб!K:K),IF($C992&lt;&gt;0,SUMIF(куб!$C:$C,$C992,куб!K:K),IF($B992&lt;&gt;0,SUMIF(куб!$B:$B,$B992,куб!K:K))))))</f>
        <v>0</v>
      </c>
      <c r="R992" s="13" t="str">
        <f t="shared" si="313"/>
        <v>-</v>
      </c>
      <c r="S992" s="5"/>
      <c r="T992" s="27" t="b">
        <f>IF($G992&lt;&gt;0,SUMIF(куб!$G:$G,$G992,куб!L:L),IF($E992&lt;&gt;0,SUMIF(куб!$E:$E,$E992,куб!L:L),IF($D992&lt;&gt;0,SUMIF(куб!$D:$D,$D992,куб!L:L),IF($C992&lt;&gt;0,SUMIF(куб!$C:$C,$C992,куб!L:L),IF($B992&lt;&gt;0,SUMIF(куб!$B:$B,$B992,куб!L:L))))))</f>
        <v>0</v>
      </c>
      <c r="U992" s="27" t="b">
        <f>IF($G992&lt;&gt;0,SUMIF(куб!$G:$G,$G992,куб!M:M),IF($E992&lt;&gt;0,SUMIF(куб!$E:$E,$E992,куб!M:M),IF($D992&lt;&gt;0,SUMIF(куб!$D:$D,$D992,куб!M:M),IF($C992&lt;&gt;0,SUMIF(куб!$C:$C,$C992,куб!M:M),IF($B992&lt;&gt;0,SUMIF(куб!$B:$B,$B992,куб!M:M))))))</f>
        <v>0</v>
      </c>
      <c r="V992" s="13" t="str">
        <f t="shared" si="314"/>
        <v>-</v>
      </c>
      <c r="W992" s="5"/>
      <c r="X992" s="27" t="b">
        <f>IF($G992&lt;&gt;0,SUMIF(куб!$G:$G,$G992,куб!N:N),IF($E992&lt;&gt;0,SUMIF(куб!$E:$E,$E992,куб!N:N),IF($D992&lt;&gt;0,SUMIF(куб!$D:$D,$D992,куб!N:N),IF($C992&lt;&gt;0,SUMIF(куб!$C:$C,$C992,куб!N:N),IF($B992&lt;&gt;0,SUMIF(куб!$B:$B,$B992,куб!N:N))))))</f>
        <v>0</v>
      </c>
      <c r="Y992" s="27" t="b">
        <f>IF($G992&lt;&gt;0,SUMIF(куб!$G:$G,$G992,куб!O:O),IF($E992&lt;&gt;0,SUMIF(куб!$E:$E,$E992,куб!O:O),IF($D992&lt;&gt;0,SUMIF(куб!$D:$D,$D992,куб!O:O),IF($C992&lt;&gt;0,SUMIF(куб!$C:$C,$C992,куб!O:O),IF($B992&lt;&gt;0,SUMIF(куб!$B:$B,$B992,куб!O:O))))))</f>
        <v>0</v>
      </c>
      <c r="Z992" s="13" t="str">
        <f t="shared" si="315"/>
        <v>-</v>
      </c>
      <c r="AA992" s="5"/>
      <c r="AB992" s="33" t="str">
        <f t="shared" si="316"/>
        <v/>
      </c>
      <c r="AC992" s="33" t="str">
        <f t="shared" si="317"/>
        <v/>
      </c>
      <c r="AD992" s="15" t="str">
        <f t="shared" si="318"/>
        <v xml:space="preserve"> </v>
      </c>
      <c r="AE992" s="5"/>
      <c r="AF992" s="27" t="b">
        <f>IF($G992&lt;&gt;0,SUMIF(куб!$G:$G,$G992,куб!R:R),IF($E992&lt;&gt;0,SUMIF(куб!$E:$E,$E992,куб!R:R),IF($D992&lt;&gt;0,SUMIF(куб!$D:$D,$D992,куб!R:R),IF($C992&lt;&gt;0,SUMIF(куб!$C:$C,$C992,куб!R:R),IF($B992&lt;&gt;0,SUMIF(куб!$B:$B,$B992,куб!R:R))))))</f>
        <v>0</v>
      </c>
      <c r="AG992" s="27" t="b">
        <f>IF($G992&lt;&gt;0,SUMIF(куб!$G:$G,$G992,куб!S:S),IF($E992&lt;&gt;0,SUMIF(куб!$E:$E,$E992,куб!S:S),IF($D992&lt;&gt;0,SUMIF(куб!$D:$D,$D992,куб!S:S),IF($C992&lt;&gt;0,SUMIF(куб!$C:$C,$C992,куб!S:S),IF($B992&lt;&gt;0,SUMIF(куб!$B:$B,$B992,куб!S:S))))))</f>
        <v>0</v>
      </c>
      <c r="AH992" s="16" t="str">
        <f t="shared" si="319"/>
        <v>-</v>
      </c>
      <c r="AI992" s="8"/>
      <c r="AJ992" s="27" t="b">
        <f>IF($G992&lt;&gt;0,SUMIF(куб!$G:$G,$G992,куб!T:T),IF($E992&lt;&gt;0,SUMIF(куб!$E:$E,$E992,куб!T:T),IF($D992&lt;&gt;0,SUMIF(куб!$D:$D,$D992,куб!T:T),IF($C992&lt;&gt;0,SUMIF(куб!$C:$C,$C992,куб!T:T),IF($B992&lt;&gt;0,SUMIF(куб!$B:$B,$B992,куб!T:T))))))</f>
        <v>0</v>
      </c>
      <c r="AK992" s="27" t="b">
        <f>IF($G992&lt;&gt;0,SUMIF(куб!$G:$G,$G992,куб!U:U),IF($E992&lt;&gt;0,SUMIF(куб!$E:$E,$E992,куб!U:U),IF($D992&lt;&gt;0,SUMIF(куб!$D:$D,$D992,куб!U:U),IF($C992&lt;&gt;0,SUMIF(куб!$C:$C,$C992,куб!U:U),IF($B992&lt;&gt;0,SUMIF(куб!$B:$B,$B992,куб!U:U))))))</f>
        <v>0</v>
      </c>
      <c r="AL992" s="16" t="str">
        <f t="shared" si="320"/>
        <v>-</v>
      </c>
      <c r="AM992" s="8"/>
      <c r="AN992" s="17" t="str">
        <f t="shared" si="321"/>
        <v xml:space="preserve"> </v>
      </c>
      <c r="AO992" s="17" t="str">
        <f t="shared" si="322"/>
        <v xml:space="preserve"> </v>
      </c>
      <c r="AP992" s="16" t="str">
        <f t="shared" si="323"/>
        <v>-</v>
      </c>
      <c r="AQ992" s="8"/>
      <c r="AR992" s="17" t="str">
        <f t="shared" si="324"/>
        <v>-</v>
      </c>
      <c r="AS992" s="17" t="str">
        <f t="shared" si="325"/>
        <v>-</v>
      </c>
      <c r="AT992" s="13" t="str">
        <f t="shared" si="326"/>
        <v>-</v>
      </c>
      <c r="AU992" s="8"/>
    </row>
    <row r="993" spans="1:47" x14ac:dyDescent="0.25">
      <c r="A993" s="31"/>
      <c r="B993" s="31"/>
      <c r="C993"/>
      <c r="D993" s="31"/>
      <c r="E993"/>
      <c r="F993" s="31"/>
      <c r="G993"/>
      <c r="H993" s="27">
        <f>IF($G993&lt;&gt;0,SUMIF(куб!$G:$G,$G993,куб!H:H),IF($E993&lt;&gt;0,SUMIF(куб!$E:$E,$E993,куб!H:H),IF($D993&lt;&gt;0,SUMIF(куб!$D:$D,$D993,куб!H:H),IF($C993&lt;&gt;0,SUMIF(куб!$C:$C,$C993,куб!H:H),IF($B993&lt;&gt;0,SUMIF(куб!$B:$B,$B993,куб!H:H),IF($G993&lt;&gt;0,SUMIF(куб!$A:$A,$G993,куб!H:H),SUMIF(куб!$A:$A,$G993,куб!H:H)))))))</f>
        <v>0</v>
      </c>
      <c r="I993" s="27">
        <f>IF($G993&lt;&gt;0,SUMIF(куб!$G:$G,$G993,куб!I:I),IF($E993&lt;&gt;0,SUMIF(куб!$E:$E,$E993,куб!I:I),IF($D993&lt;&gt;0,SUMIF(куб!$D:$D,$D993,куб!I:I),IF($C993&lt;&gt;0,SUMIF(куб!$C:$C,$C993,куб!I:I),IF($B993&lt;&gt;0,SUMIF(куб!$B:$B,$B993,куб!I:I),IF($G993&lt;&gt;0,SUMIF(куб!$A:$A,$G993,куб!I:I),SUMIF(куб!$A:$A,$G993,куб!I:I)))))))</f>
        <v>0</v>
      </c>
      <c r="J993" s="19" t="str">
        <f t="shared" si="309"/>
        <v>-</v>
      </c>
      <c r="K993" s="8"/>
      <c r="L993" s="17">
        <f t="shared" si="310"/>
        <v>0</v>
      </c>
      <c r="M993" s="17">
        <f t="shared" si="311"/>
        <v>0</v>
      </c>
      <c r="N993" s="12">
        <f t="shared" si="312"/>
        <v>0</v>
      </c>
      <c r="O993" s="5"/>
      <c r="P993" s="27" t="b">
        <f>IF($G993&lt;&gt;0,SUMIF(куб!$G:$G,$G993,куб!J:J),IF($E993&lt;&gt;0,SUMIF(куб!$E:$E,$E993,куб!J:J),IF($D993&lt;&gt;0,SUMIF(куб!$D:$D,$D993,куб!J:J),IF($C993&lt;&gt;0,SUMIF(куб!$C:$C,$C993,куб!J:J),IF($B993&lt;&gt;0,SUMIF(куб!$B:$B,$B993,куб!J:J))))))</f>
        <v>0</v>
      </c>
      <c r="Q993" s="27" t="b">
        <f>IF($G993&lt;&gt;0,SUMIF(куб!$G:$G,$G993,куб!K:K),IF($E993&lt;&gt;0,SUMIF(куб!$E:$E,$E993,куб!K:K),IF($D993&lt;&gt;0,SUMIF(куб!$D:$D,$D993,куб!K:K),IF($C993&lt;&gt;0,SUMIF(куб!$C:$C,$C993,куб!K:K),IF($B993&lt;&gt;0,SUMIF(куб!$B:$B,$B993,куб!K:K))))))</f>
        <v>0</v>
      </c>
      <c r="R993" s="13" t="str">
        <f t="shared" si="313"/>
        <v>-</v>
      </c>
      <c r="S993" s="5"/>
      <c r="T993" s="27" t="b">
        <f>IF($G993&lt;&gt;0,SUMIF(куб!$G:$G,$G993,куб!L:L),IF($E993&lt;&gt;0,SUMIF(куб!$E:$E,$E993,куб!L:L),IF($D993&lt;&gt;0,SUMIF(куб!$D:$D,$D993,куб!L:L),IF($C993&lt;&gt;0,SUMIF(куб!$C:$C,$C993,куб!L:L),IF($B993&lt;&gt;0,SUMIF(куб!$B:$B,$B993,куб!L:L))))))</f>
        <v>0</v>
      </c>
      <c r="U993" s="27" t="b">
        <f>IF($G993&lt;&gt;0,SUMIF(куб!$G:$G,$G993,куб!M:M),IF($E993&lt;&gt;0,SUMIF(куб!$E:$E,$E993,куб!M:M),IF($D993&lt;&gt;0,SUMIF(куб!$D:$D,$D993,куб!M:M),IF($C993&lt;&gt;0,SUMIF(куб!$C:$C,$C993,куб!M:M),IF($B993&lt;&gt;0,SUMIF(куб!$B:$B,$B993,куб!M:M))))))</f>
        <v>0</v>
      </c>
      <c r="V993" s="13" t="str">
        <f t="shared" si="314"/>
        <v>-</v>
      </c>
      <c r="W993" s="5"/>
      <c r="X993" s="27" t="b">
        <f>IF($G993&lt;&gt;0,SUMIF(куб!$G:$G,$G993,куб!N:N),IF($E993&lt;&gt;0,SUMIF(куб!$E:$E,$E993,куб!N:N),IF($D993&lt;&gt;0,SUMIF(куб!$D:$D,$D993,куб!N:N),IF($C993&lt;&gt;0,SUMIF(куб!$C:$C,$C993,куб!N:N),IF($B993&lt;&gt;0,SUMIF(куб!$B:$B,$B993,куб!N:N))))))</f>
        <v>0</v>
      </c>
      <c r="Y993" s="27" t="b">
        <f>IF($G993&lt;&gt;0,SUMIF(куб!$G:$G,$G993,куб!O:O),IF($E993&lt;&gt;0,SUMIF(куб!$E:$E,$E993,куб!O:O),IF($D993&lt;&gt;0,SUMIF(куб!$D:$D,$D993,куб!O:O),IF($C993&lt;&gt;0,SUMIF(куб!$C:$C,$C993,куб!O:O),IF($B993&lt;&gt;0,SUMIF(куб!$B:$B,$B993,куб!O:O))))))</f>
        <v>0</v>
      </c>
      <c r="Z993" s="13" t="str">
        <f t="shared" si="315"/>
        <v>-</v>
      </c>
      <c r="AA993" s="5"/>
      <c r="AB993" s="33" t="str">
        <f t="shared" si="316"/>
        <v/>
      </c>
      <c r="AC993" s="33" t="str">
        <f t="shared" si="317"/>
        <v/>
      </c>
      <c r="AD993" s="15" t="str">
        <f t="shared" si="318"/>
        <v xml:space="preserve"> </v>
      </c>
      <c r="AE993" s="5"/>
      <c r="AF993" s="27" t="b">
        <f>IF($G993&lt;&gt;0,SUMIF(куб!$G:$G,$G993,куб!R:R),IF($E993&lt;&gt;0,SUMIF(куб!$E:$E,$E993,куб!R:R),IF($D993&lt;&gt;0,SUMIF(куб!$D:$D,$D993,куб!R:R),IF($C993&lt;&gt;0,SUMIF(куб!$C:$C,$C993,куб!R:R),IF($B993&lt;&gt;0,SUMIF(куб!$B:$B,$B993,куб!R:R))))))</f>
        <v>0</v>
      </c>
      <c r="AG993" s="27" t="b">
        <f>IF($G993&lt;&gt;0,SUMIF(куб!$G:$G,$G993,куб!S:S),IF($E993&lt;&gt;0,SUMIF(куб!$E:$E,$E993,куб!S:S),IF($D993&lt;&gt;0,SUMIF(куб!$D:$D,$D993,куб!S:S),IF($C993&lt;&gt;0,SUMIF(куб!$C:$C,$C993,куб!S:S),IF($B993&lt;&gt;0,SUMIF(куб!$B:$B,$B993,куб!S:S))))))</f>
        <v>0</v>
      </c>
      <c r="AH993" s="16" t="str">
        <f t="shared" si="319"/>
        <v>-</v>
      </c>
      <c r="AI993" s="8"/>
      <c r="AJ993" s="27" t="b">
        <f>IF($G993&lt;&gt;0,SUMIF(куб!$G:$G,$G993,куб!T:T),IF($E993&lt;&gt;0,SUMIF(куб!$E:$E,$E993,куб!T:T),IF($D993&lt;&gt;0,SUMIF(куб!$D:$D,$D993,куб!T:T),IF($C993&lt;&gt;0,SUMIF(куб!$C:$C,$C993,куб!T:T),IF($B993&lt;&gt;0,SUMIF(куб!$B:$B,$B993,куб!T:T))))))</f>
        <v>0</v>
      </c>
      <c r="AK993" s="27" t="b">
        <f>IF($G993&lt;&gt;0,SUMIF(куб!$G:$G,$G993,куб!U:U),IF($E993&lt;&gt;0,SUMIF(куб!$E:$E,$E993,куб!U:U),IF($D993&lt;&gt;0,SUMIF(куб!$D:$D,$D993,куб!U:U),IF($C993&lt;&gt;0,SUMIF(куб!$C:$C,$C993,куб!U:U),IF($B993&lt;&gt;0,SUMIF(куб!$B:$B,$B993,куб!U:U))))))</f>
        <v>0</v>
      </c>
      <c r="AL993" s="16" t="str">
        <f t="shared" si="320"/>
        <v>-</v>
      </c>
      <c r="AM993" s="8"/>
      <c r="AN993" s="17" t="str">
        <f t="shared" si="321"/>
        <v xml:space="preserve"> </v>
      </c>
      <c r="AO993" s="17" t="str">
        <f t="shared" si="322"/>
        <v xml:space="preserve"> </v>
      </c>
      <c r="AP993" s="16" t="str">
        <f t="shared" si="323"/>
        <v>-</v>
      </c>
      <c r="AQ993" s="8"/>
      <c r="AR993" s="17" t="str">
        <f t="shared" si="324"/>
        <v>-</v>
      </c>
      <c r="AS993" s="17" t="str">
        <f t="shared" si="325"/>
        <v>-</v>
      </c>
      <c r="AT993" s="13" t="str">
        <f t="shared" si="326"/>
        <v>-</v>
      </c>
      <c r="AU993" s="8"/>
    </row>
    <row r="994" spans="1:47" x14ac:dyDescent="0.25">
      <c r="A994" s="31"/>
      <c r="B994" s="31"/>
      <c r="C994"/>
      <c r="D994" s="31"/>
      <c r="E994"/>
      <c r="F994" s="31"/>
      <c r="G994"/>
      <c r="H994" s="27">
        <f>IF($G994&lt;&gt;0,SUMIF(куб!$G:$G,$G994,куб!H:H),IF($E994&lt;&gt;0,SUMIF(куб!$E:$E,$E994,куб!H:H),IF($D994&lt;&gt;0,SUMIF(куб!$D:$D,$D994,куб!H:H),IF($C994&lt;&gt;0,SUMIF(куб!$C:$C,$C994,куб!H:H),IF($B994&lt;&gt;0,SUMIF(куб!$B:$B,$B994,куб!H:H),IF($G994&lt;&gt;0,SUMIF(куб!$A:$A,$G994,куб!H:H),SUMIF(куб!$A:$A,$G994,куб!H:H)))))))</f>
        <v>0</v>
      </c>
      <c r="I994" s="27">
        <f>IF($G994&lt;&gt;0,SUMIF(куб!$G:$G,$G994,куб!I:I),IF($E994&lt;&gt;0,SUMIF(куб!$E:$E,$E994,куб!I:I),IF($D994&lt;&gt;0,SUMIF(куб!$D:$D,$D994,куб!I:I),IF($C994&lt;&gt;0,SUMIF(куб!$C:$C,$C994,куб!I:I),IF($B994&lt;&gt;0,SUMIF(куб!$B:$B,$B994,куб!I:I),IF($G994&lt;&gt;0,SUMIF(куб!$A:$A,$G994,куб!I:I),SUMIF(куб!$A:$A,$G994,куб!I:I)))))))</f>
        <v>0</v>
      </c>
      <c r="J994" s="19" t="str">
        <f t="shared" si="309"/>
        <v>-</v>
      </c>
      <c r="K994" s="8"/>
      <c r="L994" s="17">
        <f t="shared" si="310"/>
        <v>0</v>
      </c>
      <c r="M994" s="17">
        <f t="shared" si="311"/>
        <v>0</v>
      </c>
      <c r="N994" s="12">
        <f t="shared" si="312"/>
        <v>0</v>
      </c>
      <c r="O994" s="5"/>
      <c r="P994" s="27" t="b">
        <f>IF($G994&lt;&gt;0,SUMIF(куб!$G:$G,$G994,куб!J:J),IF($E994&lt;&gt;0,SUMIF(куб!$E:$E,$E994,куб!J:J),IF($D994&lt;&gt;0,SUMIF(куб!$D:$D,$D994,куб!J:J),IF($C994&lt;&gt;0,SUMIF(куб!$C:$C,$C994,куб!J:J),IF($B994&lt;&gt;0,SUMIF(куб!$B:$B,$B994,куб!J:J))))))</f>
        <v>0</v>
      </c>
      <c r="Q994" s="27" t="b">
        <f>IF($G994&lt;&gt;0,SUMIF(куб!$G:$G,$G994,куб!K:K),IF($E994&lt;&gt;0,SUMIF(куб!$E:$E,$E994,куб!K:K),IF($D994&lt;&gt;0,SUMIF(куб!$D:$D,$D994,куб!K:K),IF($C994&lt;&gt;0,SUMIF(куб!$C:$C,$C994,куб!K:K),IF($B994&lt;&gt;0,SUMIF(куб!$B:$B,$B994,куб!K:K))))))</f>
        <v>0</v>
      </c>
      <c r="R994" s="13" t="str">
        <f t="shared" si="313"/>
        <v>-</v>
      </c>
      <c r="S994" s="5"/>
      <c r="T994" s="27" t="b">
        <f>IF($G994&lt;&gt;0,SUMIF(куб!$G:$G,$G994,куб!L:L),IF($E994&lt;&gt;0,SUMIF(куб!$E:$E,$E994,куб!L:L),IF($D994&lt;&gt;0,SUMIF(куб!$D:$D,$D994,куб!L:L),IF($C994&lt;&gt;0,SUMIF(куб!$C:$C,$C994,куб!L:L),IF($B994&lt;&gt;0,SUMIF(куб!$B:$B,$B994,куб!L:L))))))</f>
        <v>0</v>
      </c>
      <c r="U994" s="27" t="b">
        <f>IF($G994&lt;&gt;0,SUMIF(куб!$G:$G,$G994,куб!M:M),IF($E994&lt;&gt;0,SUMIF(куб!$E:$E,$E994,куб!M:M),IF($D994&lt;&gt;0,SUMIF(куб!$D:$D,$D994,куб!M:M),IF($C994&lt;&gt;0,SUMIF(куб!$C:$C,$C994,куб!M:M),IF($B994&lt;&gt;0,SUMIF(куб!$B:$B,$B994,куб!M:M))))))</f>
        <v>0</v>
      </c>
      <c r="V994" s="13" t="str">
        <f t="shared" si="314"/>
        <v>-</v>
      </c>
      <c r="W994" s="5"/>
      <c r="X994" s="27" t="b">
        <f>IF($G994&lt;&gt;0,SUMIF(куб!$G:$G,$G994,куб!N:N),IF($E994&lt;&gt;0,SUMIF(куб!$E:$E,$E994,куб!N:N),IF($D994&lt;&gt;0,SUMIF(куб!$D:$D,$D994,куб!N:N),IF($C994&lt;&gt;0,SUMIF(куб!$C:$C,$C994,куб!N:N),IF($B994&lt;&gt;0,SUMIF(куб!$B:$B,$B994,куб!N:N))))))</f>
        <v>0</v>
      </c>
      <c r="Y994" s="27" t="b">
        <f>IF($G994&lt;&gt;0,SUMIF(куб!$G:$G,$G994,куб!O:O),IF($E994&lt;&gt;0,SUMIF(куб!$E:$E,$E994,куб!O:O),IF($D994&lt;&gt;0,SUMIF(куб!$D:$D,$D994,куб!O:O),IF($C994&lt;&gt;0,SUMIF(куб!$C:$C,$C994,куб!O:O),IF($B994&lt;&gt;0,SUMIF(куб!$B:$B,$B994,куб!O:O))))))</f>
        <v>0</v>
      </c>
      <c r="Z994" s="13" t="str">
        <f t="shared" si="315"/>
        <v>-</v>
      </c>
      <c r="AA994" s="5"/>
      <c r="AB994" s="33" t="str">
        <f t="shared" si="316"/>
        <v/>
      </c>
      <c r="AC994" s="33" t="str">
        <f t="shared" si="317"/>
        <v/>
      </c>
      <c r="AD994" s="15" t="str">
        <f t="shared" si="318"/>
        <v xml:space="preserve"> </v>
      </c>
      <c r="AE994" s="5"/>
      <c r="AF994" s="27" t="b">
        <f>IF($G994&lt;&gt;0,SUMIF(куб!$G:$G,$G994,куб!R:R),IF($E994&lt;&gt;0,SUMIF(куб!$E:$E,$E994,куб!R:R),IF($D994&lt;&gt;0,SUMIF(куб!$D:$D,$D994,куб!R:R),IF($C994&lt;&gt;0,SUMIF(куб!$C:$C,$C994,куб!R:R),IF($B994&lt;&gt;0,SUMIF(куб!$B:$B,$B994,куб!R:R))))))</f>
        <v>0</v>
      </c>
      <c r="AG994" s="27" t="b">
        <f>IF($G994&lt;&gt;0,SUMIF(куб!$G:$G,$G994,куб!S:S),IF($E994&lt;&gt;0,SUMIF(куб!$E:$E,$E994,куб!S:S),IF($D994&lt;&gt;0,SUMIF(куб!$D:$D,$D994,куб!S:S),IF($C994&lt;&gt;0,SUMIF(куб!$C:$C,$C994,куб!S:S),IF($B994&lt;&gt;0,SUMIF(куб!$B:$B,$B994,куб!S:S))))))</f>
        <v>0</v>
      </c>
      <c r="AH994" s="16" t="str">
        <f t="shared" si="319"/>
        <v>-</v>
      </c>
      <c r="AI994" s="8"/>
      <c r="AJ994" s="27" t="b">
        <f>IF($G994&lt;&gt;0,SUMIF(куб!$G:$G,$G994,куб!T:T),IF($E994&lt;&gt;0,SUMIF(куб!$E:$E,$E994,куб!T:T),IF($D994&lt;&gt;0,SUMIF(куб!$D:$D,$D994,куб!T:T),IF($C994&lt;&gt;0,SUMIF(куб!$C:$C,$C994,куб!T:T),IF($B994&lt;&gt;0,SUMIF(куб!$B:$B,$B994,куб!T:T))))))</f>
        <v>0</v>
      </c>
      <c r="AK994" s="27" t="b">
        <f>IF($G994&lt;&gt;0,SUMIF(куб!$G:$G,$G994,куб!U:U),IF($E994&lt;&gt;0,SUMIF(куб!$E:$E,$E994,куб!U:U),IF($D994&lt;&gt;0,SUMIF(куб!$D:$D,$D994,куб!U:U),IF($C994&lt;&gt;0,SUMIF(куб!$C:$C,$C994,куб!U:U),IF($B994&lt;&gt;0,SUMIF(куб!$B:$B,$B994,куб!U:U))))))</f>
        <v>0</v>
      </c>
      <c r="AL994" s="16" t="str">
        <f t="shared" si="320"/>
        <v>-</v>
      </c>
      <c r="AM994" s="8"/>
      <c r="AN994" s="17" t="str">
        <f t="shared" si="321"/>
        <v xml:space="preserve"> </v>
      </c>
      <c r="AO994" s="17" t="str">
        <f t="shared" si="322"/>
        <v xml:space="preserve"> </v>
      </c>
      <c r="AP994" s="16" t="str">
        <f t="shared" si="323"/>
        <v>-</v>
      </c>
      <c r="AQ994" s="8"/>
      <c r="AR994" s="17" t="str">
        <f t="shared" si="324"/>
        <v>-</v>
      </c>
      <c r="AS994" s="17" t="str">
        <f t="shared" si="325"/>
        <v>-</v>
      </c>
      <c r="AT994" s="13" t="str">
        <f t="shared" si="326"/>
        <v>-</v>
      </c>
      <c r="AU994" s="8"/>
    </row>
    <row r="995" spans="1:47" x14ac:dyDescent="0.25">
      <c r="A995" s="31"/>
      <c r="B995" s="31"/>
      <c r="C995"/>
      <c r="D995" s="31"/>
      <c r="E995"/>
      <c r="F995" s="31"/>
      <c r="G995"/>
      <c r="H995" s="27">
        <f>IF($G995&lt;&gt;0,SUMIF(куб!$G:$G,$G995,куб!H:H),IF($E995&lt;&gt;0,SUMIF(куб!$E:$E,$E995,куб!H:H),IF($D995&lt;&gt;0,SUMIF(куб!$D:$D,$D995,куб!H:H),IF($C995&lt;&gt;0,SUMIF(куб!$C:$C,$C995,куб!H:H),IF($B995&lt;&gt;0,SUMIF(куб!$B:$B,$B995,куб!H:H),IF($G995&lt;&gt;0,SUMIF(куб!$A:$A,$G995,куб!H:H),SUMIF(куб!$A:$A,$G995,куб!H:H)))))))</f>
        <v>0</v>
      </c>
      <c r="I995" s="27">
        <f>IF($G995&lt;&gt;0,SUMIF(куб!$G:$G,$G995,куб!I:I),IF($E995&lt;&gt;0,SUMIF(куб!$E:$E,$E995,куб!I:I),IF($D995&lt;&gt;0,SUMIF(куб!$D:$D,$D995,куб!I:I),IF($C995&lt;&gt;0,SUMIF(куб!$C:$C,$C995,куб!I:I),IF($B995&lt;&gt;0,SUMIF(куб!$B:$B,$B995,куб!I:I),IF($G995&lt;&gt;0,SUMIF(куб!$A:$A,$G995,куб!I:I),SUMIF(куб!$A:$A,$G995,куб!I:I)))))))</f>
        <v>0</v>
      </c>
      <c r="J995" s="19" t="str">
        <f t="shared" si="309"/>
        <v>-</v>
      </c>
      <c r="K995" s="8"/>
      <c r="L995" s="17">
        <f t="shared" si="310"/>
        <v>0</v>
      </c>
      <c r="M995" s="17">
        <f t="shared" si="311"/>
        <v>0</v>
      </c>
      <c r="N995" s="12">
        <f t="shared" si="312"/>
        <v>0</v>
      </c>
      <c r="O995" s="5"/>
      <c r="P995" s="27" t="b">
        <f>IF($G995&lt;&gt;0,SUMIF(куб!$G:$G,$G995,куб!J:J),IF($E995&lt;&gt;0,SUMIF(куб!$E:$E,$E995,куб!J:J),IF($D995&lt;&gt;0,SUMIF(куб!$D:$D,$D995,куб!J:J),IF($C995&lt;&gt;0,SUMIF(куб!$C:$C,$C995,куб!J:J),IF($B995&lt;&gt;0,SUMIF(куб!$B:$B,$B995,куб!J:J))))))</f>
        <v>0</v>
      </c>
      <c r="Q995" s="27" t="b">
        <f>IF($G995&lt;&gt;0,SUMIF(куб!$G:$G,$G995,куб!K:K),IF($E995&lt;&gt;0,SUMIF(куб!$E:$E,$E995,куб!K:K),IF($D995&lt;&gt;0,SUMIF(куб!$D:$D,$D995,куб!K:K),IF($C995&lt;&gt;0,SUMIF(куб!$C:$C,$C995,куб!K:K),IF($B995&lt;&gt;0,SUMIF(куб!$B:$B,$B995,куб!K:K))))))</f>
        <v>0</v>
      </c>
      <c r="R995" s="13" t="str">
        <f t="shared" si="313"/>
        <v>-</v>
      </c>
      <c r="S995" s="5"/>
      <c r="T995" s="27" t="b">
        <f>IF($G995&lt;&gt;0,SUMIF(куб!$G:$G,$G995,куб!L:L),IF($E995&lt;&gt;0,SUMIF(куб!$E:$E,$E995,куб!L:L),IF($D995&lt;&gt;0,SUMIF(куб!$D:$D,$D995,куб!L:L),IF($C995&lt;&gt;0,SUMIF(куб!$C:$C,$C995,куб!L:L),IF($B995&lt;&gt;0,SUMIF(куб!$B:$B,$B995,куб!L:L))))))</f>
        <v>0</v>
      </c>
      <c r="U995" s="27" t="b">
        <f>IF($G995&lt;&gt;0,SUMIF(куб!$G:$G,$G995,куб!M:M),IF($E995&lt;&gt;0,SUMIF(куб!$E:$E,$E995,куб!M:M),IF($D995&lt;&gt;0,SUMIF(куб!$D:$D,$D995,куб!M:M),IF($C995&lt;&gt;0,SUMIF(куб!$C:$C,$C995,куб!M:M),IF($B995&lt;&gt;0,SUMIF(куб!$B:$B,$B995,куб!M:M))))))</f>
        <v>0</v>
      </c>
      <c r="V995" s="13" t="str">
        <f t="shared" si="314"/>
        <v>-</v>
      </c>
      <c r="W995" s="5"/>
      <c r="X995" s="27" t="b">
        <f>IF($G995&lt;&gt;0,SUMIF(куб!$G:$G,$G995,куб!N:N),IF($E995&lt;&gt;0,SUMIF(куб!$E:$E,$E995,куб!N:N),IF($D995&lt;&gt;0,SUMIF(куб!$D:$D,$D995,куб!N:N),IF($C995&lt;&gt;0,SUMIF(куб!$C:$C,$C995,куб!N:N),IF($B995&lt;&gt;0,SUMIF(куб!$B:$B,$B995,куб!N:N))))))</f>
        <v>0</v>
      </c>
      <c r="Y995" s="27" t="b">
        <f>IF($G995&lt;&gt;0,SUMIF(куб!$G:$G,$G995,куб!O:O),IF($E995&lt;&gt;0,SUMIF(куб!$E:$E,$E995,куб!O:O),IF($D995&lt;&gt;0,SUMIF(куб!$D:$D,$D995,куб!O:O),IF($C995&lt;&gt;0,SUMIF(куб!$C:$C,$C995,куб!O:O),IF($B995&lt;&gt;0,SUMIF(куб!$B:$B,$B995,куб!O:O))))))</f>
        <v>0</v>
      </c>
      <c r="Z995" s="13" t="str">
        <f t="shared" si="315"/>
        <v>-</v>
      </c>
      <c r="AA995" s="5"/>
      <c r="AB995" s="33" t="str">
        <f t="shared" si="316"/>
        <v/>
      </c>
      <c r="AC995" s="33" t="str">
        <f t="shared" si="317"/>
        <v/>
      </c>
      <c r="AD995" s="15" t="str">
        <f t="shared" si="318"/>
        <v xml:space="preserve"> </v>
      </c>
      <c r="AE995" s="5"/>
      <c r="AF995" s="27" t="b">
        <f>IF($G995&lt;&gt;0,SUMIF(куб!$G:$G,$G995,куб!R:R),IF($E995&lt;&gt;0,SUMIF(куб!$E:$E,$E995,куб!R:R),IF($D995&lt;&gt;0,SUMIF(куб!$D:$D,$D995,куб!R:R),IF($C995&lt;&gt;0,SUMIF(куб!$C:$C,$C995,куб!R:R),IF($B995&lt;&gt;0,SUMIF(куб!$B:$B,$B995,куб!R:R))))))</f>
        <v>0</v>
      </c>
      <c r="AG995" s="27" t="b">
        <f>IF($G995&lt;&gt;0,SUMIF(куб!$G:$G,$G995,куб!S:S),IF($E995&lt;&gt;0,SUMIF(куб!$E:$E,$E995,куб!S:S),IF($D995&lt;&gt;0,SUMIF(куб!$D:$D,$D995,куб!S:S),IF($C995&lt;&gt;0,SUMIF(куб!$C:$C,$C995,куб!S:S),IF($B995&lt;&gt;0,SUMIF(куб!$B:$B,$B995,куб!S:S))))))</f>
        <v>0</v>
      </c>
      <c r="AH995" s="16" t="str">
        <f t="shared" si="319"/>
        <v>-</v>
      </c>
      <c r="AI995" s="8"/>
      <c r="AJ995" s="27" t="b">
        <f>IF($G995&lt;&gt;0,SUMIF(куб!$G:$G,$G995,куб!T:T),IF($E995&lt;&gt;0,SUMIF(куб!$E:$E,$E995,куб!T:T),IF($D995&lt;&gt;0,SUMIF(куб!$D:$D,$D995,куб!T:T),IF($C995&lt;&gt;0,SUMIF(куб!$C:$C,$C995,куб!T:T),IF($B995&lt;&gt;0,SUMIF(куб!$B:$B,$B995,куб!T:T))))))</f>
        <v>0</v>
      </c>
      <c r="AK995" s="27" t="b">
        <f>IF($G995&lt;&gt;0,SUMIF(куб!$G:$G,$G995,куб!U:U),IF($E995&lt;&gt;0,SUMIF(куб!$E:$E,$E995,куб!U:U),IF($D995&lt;&gt;0,SUMIF(куб!$D:$D,$D995,куб!U:U),IF($C995&lt;&gt;0,SUMIF(куб!$C:$C,$C995,куб!U:U),IF($B995&lt;&gt;0,SUMIF(куб!$B:$B,$B995,куб!U:U))))))</f>
        <v>0</v>
      </c>
      <c r="AL995" s="16" t="str">
        <f t="shared" si="320"/>
        <v>-</v>
      </c>
      <c r="AM995" s="8"/>
      <c r="AN995" s="17" t="str">
        <f t="shared" si="321"/>
        <v xml:space="preserve"> </v>
      </c>
      <c r="AO995" s="17" t="str">
        <f t="shared" si="322"/>
        <v xml:space="preserve"> </v>
      </c>
      <c r="AP995" s="16" t="str">
        <f t="shared" si="323"/>
        <v>-</v>
      </c>
      <c r="AQ995" s="8"/>
      <c r="AR995" s="17" t="str">
        <f t="shared" si="324"/>
        <v>-</v>
      </c>
      <c r="AS995" s="17" t="str">
        <f t="shared" si="325"/>
        <v>-</v>
      </c>
      <c r="AT995" s="13" t="str">
        <f t="shared" si="326"/>
        <v>-</v>
      </c>
      <c r="AU995" s="8"/>
    </row>
    <row r="996" spans="1:47" x14ac:dyDescent="0.25">
      <c r="A996" s="31"/>
      <c r="B996" s="31"/>
      <c r="C996"/>
      <c r="D996" s="31"/>
      <c r="E996"/>
      <c r="F996" s="31"/>
      <c r="G996"/>
      <c r="H996" s="27">
        <f>IF($G996&lt;&gt;0,SUMIF(куб!$G:$G,$G996,куб!H:H),IF($E996&lt;&gt;0,SUMIF(куб!$E:$E,$E996,куб!H:H),IF($D996&lt;&gt;0,SUMIF(куб!$D:$D,$D996,куб!H:H),IF($C996&lt;&gt;0,SUMIF(куб!$C:$C,$C996,куб!H:H),IF($B996&lt;&gt;0,SUMIF(куб!$B:$B,$B996,куб!H:H),IF($G996&lt;&gt;0,SUMIF(куб!$A:$A,$G996,куб!H:H),SUMIF(куб!$A:$A,$G996,куб!H:H)))))))</f>
        <v>0</v>
      </c>
      <c r="I996" s="27">
        <f>IF($G996&lt;&gt;0,SUMIF(куб!$G:$G,$G996,куб!I:I),IF($E996&lt;&gt;0,SUMIF(куб!$E:$E,$E996,куб!I:I),IF($D996&lt;&gt;0,SUMIF(куб!$D:$D,$D996,куб!I:I),IF($C996&lt;&gt;0,SUMIF(куб!$C:$C,$C996,куб!I:I),IF($B996&lt;&gt;0,SUMIF(куб!$B:$B,$B996,куб!I:I),IF($G996&lt;&gt;0,SUMIF(куб!$A:$A,$G996,куб!I:I),SUMIF(куб!$A:$A,$G996,куб!I:I)))))))</f>
        <v>0</v>
      </c>
      <c r="J996" s="19" t="str">
        <f t="shared" si="309"/>
        <v>-</v>
      </c>
      <c r="K996" s="8"/>
      <c r="L996" s="17">
        <f t="shared" si="310"/>
        <v>0</v>
      </c>
      <c r="M996" s="17">
        <f t="shared" si="311"/>
        <v>0</v>
      </c>
      <c r="N996" s="12">
        <f t="shared" si="312"/>
        <v>0</v>
      </c>
      <c r="O996" s="5"/>
      <c r="P996" s="27" t="b">
        <f>IF($G996&lt;&gt;0,SUMIF(куб!$G:$G,$G996,куб!J:J),IF($E996&lt;&gt;0,SUMIF(куб!$E:$E,$E996,куб!J:J),IF($D996&lt;&gt;0,SUMIF(куб!$D:$D,$D996,куб!J:J),IF($C996&lt;&gt;0,SUMIF(куб!$C:$C,$C996,куб!J:J),IF($B996&lt;&gt;0,SUMIF(куб!$B:$B,$B996,куб!J:J))))))</f>
        <v>0</v>
      </c>
      <c r="Q996" s="27" t="b">
        <f>IF($G996&lt;&gt;0,SUMIF(куб!$G:$G,$G996,куб!K:K),IF($E996&lt;&gt;0,SUMIF(куб!$E:$E,$E996,куб!K:K),IF($D996&lt;&gt;0,SUMIF(куб!$D:$D,$D996,куб!K:K),IF($C996&lt;&gt;0,SUMIF(куб!$C:$C,$C996,куб!K:K),IF($B996&lt;&gt;0,SUMIF(куб!$B:$B,$B996,куб!K:K))))))</f>
        <v>0</v>
      </c>
      <c r="R996" s="13" t="str">
        <f t="shared" si="313"/>
        <v>-</v>
      </c>
      <c r="S996" s="5"/>
      <c r="T996" s="27" t="b">
        <f>IF($G996&lt;&gt;0,SUMIF(куб!$G:$G,$G996,куб!L:L),IF($E996&lt;&gt;0,SUMIF(куб!$E:$E,$E996,куб!L:L),IF($D996&lt;&gt;0,SUMIF(куб!$D:$D,$D996,куб!L:L),IF($C996&lt;&gt;0,SUMIF(куб!$C:$C,$C996,куб!L:L),IF($B996&lt;&gt;0,SUMIF(куб!$B:$B,$B996,куб!L:L))))))</f>
        <v>0</v>
      </c>
      <c r="U996" s="27" t="b">
        <f>IF($G996&lt;&gt;0,SUMIF(куб!$G:$G,$G996,куб!M:M),IF($E996&lt;&gt;0,SUMIF(куб!$E:$E,$E996,куб!M:M),IF($D996&lt;&gt;0,SUMIF(куб!$D:$D,$D996,куб!M:M),IF($C996&lt;&gt;0,SUMIF(куб!$C:$C,$C996,куб!M:M),IF($B996&lt;&gt;0,SUMIF(куб!$B:$B,$B996,куб!M:M))))))</f>
        <v>0</v>
      </c>
      <c r="V996" s="13" t="str">
        <f t="shared" si="314"/>
        <v>-</v>
      </c>
      <c r="W996" s="5"/>
      <c r="X996" s="27" t="b">
        <f>IF($G996&lt;&gt;0,SUMIF(куб!$G:$G,$G996,куб!N:N),IF($E996&lt;&gt;0,SUMIF(куб!$E:$E,$E996,куб!N:N),IF($D996&lt;&gt;0,SUMIF(куб!$D:$D,$D996,куб!N:N),IF($C996&lt;&gt;0,SUMIF(куб!$C:$C,$C996,куб!N:N),IF($B996&lt;&gt;0,SUMIF(куб!$B:$B,$B996,куб!N:N))))))</f>
        <v>0</v>
      </c>
      <c r="Y996" s="27" t="b">
        <f>IF($G996&lt;&gt;0,SUMIF(куб!$G:$G,$G996,куб!O:O),IF($E996&lt;&gt;0,SUMIF(куб!$E:$E,$E996,куб!O:O),IF($D996&lt;&gt;0,SUMIF(куб!$D:$D,$D996,куб!O:O),IF($C996&lt;&gt;0,SUMIF(куб!$C:$C,$C996,куб!O:O),IF($B996&lt;&gt;0,SUMIF(куб!$B:$B,$B996,куб!O:O))))))</f>
        <v>0</v>
      </c>
      <c r="Z996" s="13" t="str">
        <f t="shared" si="315"/>
        <v>-</v>
      </c>
      <c r="AA996" s="5"/>
      <c r="AB996" s="33" t="str">
        <f t="shared" si="316"/>
        <v/>
      </c>
      <c r="AC996" s="33" t="str">
        <f t="shared" si="317"/>
        <v/>
      </c>
      <c r="AD996" s="15" t="str">
        <f t="shared" si="318"/>
        <v xml:space="preserve"> </v>
      </c>
      <c r="AE996" s="5"/>
      <c r="AF996" s="27" t="b">
        <f>IF($G996&lt;&gt;0,SUMIF(куб!$G:$G,$G996,куб!R:R),IF($E996&lt;&gt;0,SUMIF(куб!$E:$E,$E996,куб!R:R),IF($D996&lt;&gt;0,SUMIF(куб!$D:$D,$D996,куб!R:R),IF($C996&lt;&gt;0,SUMIF(куб!$C:$C,$C996,куб!R:R),IF($B996&lt;&gt;0,SUMIF(куб!$B:$B,$B996,куб!R:R))))))</f>
        <v>0</v>
      </c>
      <c r="AG996" s="27" t="b">
        <f>IF($G996&lt;&gt;0,SUMIF(куб!$G:$G,$G996,куб!S:S),IF($E996&lt;&gt;0,SUMIF(куб!$E:$E,$E996,куб!S:S),IF($D996&lt;&gt;0,SUMIF(куб!$D:$D,$D996,куб!S:S),IF($C996&lt;&gt;0,SUMIF(куб!$C:$C,$C996,куб!S:S),IF($B996&lt;&gt;0,SUMIF(куб!$B:$B,$B996,куб!S:S))))))</f>
        <v>0</v>
      </c>
      <c r="AH996" s="16" t="str">
        <f t="shared" si="319"/>
        <v>-</v>
      </c>
      <c r="AI996" s="8"/>
      <c r="AJ996" s="27" t="b">
        <f>IF($G996&lt;&gt;0,SUMIF(куб!$G:$G,$G996,куб!T:T),IF($E996&lt;&gt;0,SUMIF(куб!$E:$E,$E996,куб!T:T),IF($D996&lt;&gt;0,SUMIF(куб!$D:$D,$D996,куб!T:T),IF($C996&lt;&gt;0,SUMIF(куб!$C:$C,$C996,куб!T:T),IF($B996&lt;&gt;0,SUMIF(куб!$B:$B,$B996,куб!T:T))))))</f>
        <v>0</v>
      </c>
      <c r="AK996" s="27" t="b">
        <f>IF($G996&lt;&gt;0,SUMIF(куб!$G:$G,$G996,куб!U:U),IF($E996&lt;&gt;0,SUMIF(куб!$E:$E,$E996,куб!U:U),IF($D996&lt;&gt;0,SUMIF(куб!$D:$D,$D996,куб!U:U),IF($C996&lt;&gt;0,SUMIF(куб!$C:$C,$C996,куб!U:U),IF($B996&lt;&gt;0,SUMIF(куб!$B:$B,$B996,куб!U:U))))))</f>
        <v>0</v>
      </c>
      <c r="AL996" s="16" t="str">
        <f t="shared" si="320"/>
        <v>-</v>
      </c>
      <c r="AM996" s="8"/>
      <c r="AN996" s="17" t="str">
        <f t="shared" si="321"/>
        <v xml:space="preserve"> </v>
      </c>
      <c r="AO996" s="17" t="str">
        <f t="shared" si="322"/>
        <v xml:space="preserve"> </v>
      </c>
      <c r="AP996" s="16" t="str">
        <f t="shared" si="323"/>
        <v>-</v>
      </c>
      <c r="AQ996" s="8"/>
      <c r="AR996" s="17" t="str">
        <f t="shared" si="324"/>
        <v>-</v>
      </c>
      <c r="AS996" s="17" t="str">
        <f t="shared" si="325"/>
        <v>-</v>
      </c>
      <c r="AT996" s="13" t="str">
        <f t="shared" si="326"/>
        <v>-</v>
      </c>
      <c r="AU996" s="8"/>
    </row>
    <row r="997" spans="1:47" x14ac:dyDescent="0.25">
      <c r="A997" s="31"/>
      <c r="B997" s="31"/>
      <c r="C997"/>
      <c r="D997" s="31"/>
      <c r="E997"/>
      <c r="F997" s="31"/>
      <c r="G997"/>
      <c r="H997" s="27">
        <f>IF($G997&lt;&gt;0,SUMIF(куб!$G:$G,$G997,куб!H:H),IF($E997&lt;&gt;0,SUMIF(куб!$E:$E,$E997,куб!H:H),IF($D997&lt;&gt;0,SUMIF(куб!$D:$D,$D997,куб!H:H),IF($C997&lt;&gt;0,SUMIF(куб!$C:$C,$C997,куб!H:H),IF($B997&lt;&gt;0,SUMIF(куб!$B:$B,$B997,куб!H:H),IF($G997&lt;&gt;0,SUMIF(куб!$A:$A,$G997,куб!H:H),SUMIF(куб!$A:$A,$G997,куб!H:H)))))))</f>
        <v>0</v>
      </c>
      <c r="I997" s="27">
        <f>IF($G997&lt;&gt;0,SUMIF(куб!$G:$G,$G997,куб!I:I),IF($E997&lt;&gt;0,SUMIF(куб!$E:$E,$E997,куб!I:I),IF($D997&lt;&gt;0,SUMIF(куб!$D:$D,$D997,куб!I:I),IF($C997&lt;&gt;0,SUMIF(куб!$C:$C,$C997,куб!I:I),IF($B997&lt;&gt;0,SUMIF(куб!$B:$B,$B997,куб!I:I),IF($G997&lt;&gt;0,SUMIF(куб!$A:$A,$G997,куб!I:I),SUMIF(куб!$A:$A,$G997,куб!I:I)))))))</f>
        <v>0</v>
      </c>
      <c r="J997" s="19" t="str">
        <f t="shared" si="309"/>
        <v>-</v>
      </c>
      <c r="K997" s="8"/>
      <c r="L997" s="17">
        <f t="shared" si="310"/>
        <v>0</v>
      </c>
      <c r="M997" s="17">
        <f t="shared" si="311"/>
        <v>0</v>
      </c>
      <c r="N997" s="12">
        <f t="shared" si="312"/>
        <v>0</v>
      </c>
      <c r="O997" s="5"/>
      <c r="P997" s="27" t="b">
        <f>IF($G997&lt;&gt;0,SUMIF(куб!$G:$G,$G997,куб!J:J),IF($E997&lt;&gt;0,SUMIF(куб!$E:$E,$E997,куб!J:J),IF($D997&lt;&gt;0,SUMIF(куб!$D:$D,$D997,куб!J:J),IF($C997&lt;&gt;0,SUMIF(куб!$C:$C,$C997,куб!J:J),IF($B997&lt;&gt;0,SUMIF(куб!$B:$B,$B997,куб!J:J))))))</f>
        <v>0</v>
      </c>
      <c r="Q997" s="27" t="b">
        <f>IF($G997&lt;&gt;0,SUMIF(куб!$G:$G,$G997,куб!K:K),IF($E997&lt;&gt;0,SUMIF(куб!$E:$E,$E997,куб!K:K),IF($D997&lt;&gt;0,SUMIF(куб!$D:$D,$D997,куб!K:K),IF($C997&lt;&gt;0,SUMIF(куб!$C:$C,$C997,куб!K:K),IF($B997&lt;&gt;0,SUMIF(куб!$B:$B,$B997,куб!K:K))))))</f>
        <v>0</v>
      </c>
      <c r="R997" s="13" t="str">
        <f t="shared" si="313"/>
        <v>-</v>
      </c>
      <c r="S997" s="5"/>
      <c r="T997" s="27" t="b">
        <f>IF($G997&lt;&gt;0,SUMIF(куб!$G:$G,$G997,куб!L:L),IF($E997&lt;&gt;0,SUMIF(куб!$E:$E,$E997,куб!L:L),IF($D997&lt;&gt;0,SUMIF(куб!$D:$D,$D997,куб!L:L),IF($C997&lt;&gt;0,SUMIF(куб!$C:$C,$C997,куб!L:L),IF($B997&lt;&gt;0,SUMIF(куб!$B:$B,$B997,куб!L:L))))))</f>
        <v>0</v>
      </c>
      <c r="U997" s="27" t="b">
        <f>IF($G997&lt;&gt;0,SUMIF(куб!$G:$G,$G997,куб!M:M),IF($E997&lt;&gt;0,SUMIF(куб!$E:$E,$E997,куб!M:M),IF($D997&lt;&gt;0,SUMIF(куб!$D:$D,$D997,куб!M:M),IF($C997&lt;&gt;0,SUMIF(куб!$C:$C,$C997,куб!M:M),IF($B997&lt;&gt;0,SUMIF(куб!$B:$B,$B997,куб!M:M))))))</f>
        <v>0</v>
      </c>
      <c r="V997" s="13" t="str">
        <f t="shared" si="314"/>
        <v>-</v>
      </c>
      <c r="W997" s="5"/>
      <c r="X997" s="27" t="b">
        <f>IF($G997&lt;&gt;0,SUMIF(куб!$G:$G,$G997,куб!N:N),IF($E997&lt;&gt;0,SUMIF(куб!$E:$E,$E997,куб!N:N),IF($D997&lt;&gt;0,SUMIF(куб!$D:$D,$D997,куб!N:N),IF($C997&lt;&gt;0,SUMIF(куб!$C:$C,$C997,куб!N:N),IF($B997&lt;&gt;0,SUMIF(куб!$B:$B,$B997,куб!N:N))))))</f>
        <v>0</v>
      </c>
      <c r="Y997" s="27" t="b">
        <f>IF($G997&lt;&gt;0,SUMIF(куб!$G:$G,$G997,куб!O:O),IF($E997&lt;&gt;0,SUMIF(куб!$E:$E,$E997,куб!O:O),IF($D997&lt;&gt;0,SUMIF(куб!$D:$D,$D997,куб!O:O),IF($C997&lt;&gt;0,SUMIF(куб!$C:$C,$C997,куб!O:O),IF($B997&lt;&gt;0,SUMIF(куб!$B:$B,$B997,куб!O:O))))))</f>
        <v>0</v>
      </c>
      <c r="Z997" s="13" t="str">
        <f t="shared" si="315"/>
        <v>-</v>
      </c>
      <c r="AA997" s="5"/>
      <c r="AB997" s="33" t="str">
        <f t="shared" si="316"/>
        <v/>
      </c>
      <c r="AC997" s="33" t="str">
        <f t="shared" si="317"/>
        <v/>
      </c>
      <c r="AD997" s="15" t="str">
        <f t="shared" si="318"/>
        <v xml:space="preserve"> </v>
      </c>
      <c r="AE997" s="5"/>
      <c r="AF997" s="27" t="b">
        <f>IF($G997&lt;&gt;0,SUMIF(куб!$G:$G,$G997,куб!R:R),IF($E997&lt;&gt;0,SUMIF(куб!$E:$E,$E997,куб!R:R),IF($D997&lt;&gt;0,SUMIF(куб!$D:$D,$D997,куб!R:R),IF($C997&lt;&gt;0,SUMIF(куб!$C:$C,$C997,куб!R:R),IF($B997&lt;&gt;0,SUMIF(куб!$B:$B,$B997,куб!R:R))))))</f>
        <v>0</v>
      </c>
      <c r="AG997" s="27" t="b">
        <f>IF($G997&lt;&gt;0,SUMIF(куб!$G:$G,$G997,куб!S:S),IF($E997&lt;&gt;0,SUMIF(куб!$E:$E,$E997,куб!S:S),IF($D997&lt;&gt;0,SUMIF(куб!$D:$D,$D997,куб!S:S),IF($C997&lt;&gt;0,SUMIF(куб!$C:$C,$C997,куб!S:S),IF($B997&lt;&gt;0,SUMIF(куб!$B:$B,$B997,куб!S:S))))))</f>
        <v>0</v>
      </c>
      <c r="AH997" s="16" t="str">
        <f t="shared" si="319"/>
        <v>-</v>
      </c>
      <c r="AI997" s="8"/>
      <c r="AJ997" s="27" t="b">
        <f>IF($G997&lt;&gt;0,SUMIF(куб!$G:$G,$G997,куб!T:T),IF($E997&lt;&gt;0,SUMIF(куб!$E:$E,$E997,куб!T:T),IF($D997&lt;&gt;0,SUMIF(куб!$D:$D,$D997,куб!T:T),IF($C997&lt;&gt;0,SUMIF(куб!$C:$C,$C997,куб!T:T),IF($B997&lt;&gt;0,SUMIF(куб!$B:$B,$B997,куб!T:T))))))</f>
        <v>0</v>
      </c>
      <c r="AK997" s="27" t="b">
        <f>IF($G997&lt;&gt;0,SUMIF(куб!$G:$G,$G997,куб!U:U),IF($E997&lt;&gt;0,SUMIF(куб!$E:$E,$E997,куб!U:U),IF($D997&lt;&gt;0,SUMIF(куб!$D:$D,$D997,куб!U:U),IF($C997&lt;&gt;0,SUMIF(куб!$C:$C,$C997,куб!U:U),IF($B997&lt;&gt;0,SUMIF(куб!$B:$B,$B997,куб!U:U))))))</f>
        <v>0</v>
      </c>
      <c r="AL997" s="16" t="str">
        <f t="shared" si="320"/>
        <v>-</v>
      </c>
      <c r="AM997" s="8"/>
      <c r="AN997" s="17" t="str">
        <f t="shared" si="321"/>
        <v xml:space="preserve"> </v>
      </c>
      <c r="AO997" s="17" t="str">
        <f t="shared" si="322"/>
        <v xml:space="preserve"> </v>
      </c>
      <c r="AP997" s="16" t="str">
        <f t="shared" si="323"/>
        <v>-</v>
      </c>
      <c r="AQ997" s="8"/>
      <c r="AR997" s="17" t="str">
        <f t="shared" si="324"/>
        <v>-</v>
      </c>
      <c r="AS997" s="17" t="str">
        <f t="shared" si="325"/>
        <v>-</v>
      </c>
      <c r="AT997" s="13" t="str">
        <f t="shared" si="326"/>
        <v>-</v>
      </c>
      <c r="AU997" s="8"/>
    </row>
    <row r="998" spans="1:47" x14ac:dyDescent="0.25">
      <c r="A998" s="31"/>
      <c r="B998" s="31"/>
      <c r="C998"/>
      <c r="D998" s="31"/>
      <c r="E998"/>
      <c r="F998" s="31"/>
      <c r="G998"/>
      <c r="H998" s="27">
        <f>IF($G998&lt;&gt;0,SUMIF(куб!$G:$G,$G998,куб!H:H),IF($E998&lt;&gt;0,SUMIF(куб!$E:$E,$E998,куб!H:H),IF($D998&lt;&gt;0,SUMIF(куб!$D:$D,$D998,куб!H:H),IF($C998&lt;&gt;0,SUMIF(куб!$C:$C,$C998,куб!H:H),IF($B998&lt;&gt;0,SUMIF(куб!$B:$B,$B998,куб!H:H),IF($G998&lt;&gt;0,SUMIF(куб!$A:$A,$G998,куб!H:H),SUMIF(куб!$A:$A,$G998,куб!H:H)))))))</f>
        <v>0</v>
      </c>
      <c r="I998" s="27">
        <f>IF($G998&lt;&gt;0,SUMIF(куб!$G:$G,$G998,куб!I:I),IF($E998&lt;&gt;0,SUMIF(куб!$E:$E,$E998,куб!I:I),IF($D998&lt;&gt;0,SUMIF(куб!$D:$D,$D998,куб!I:I),IF($C998&lt;&gt;0,SUMIF(куб!$C:$C,$C998,куб!I:I),IF($B998&lt;&gt;0,SUMIF(куб!$B:$B,$B998,куб!I:I),IF($G998&lt;&gt;0,SUMIF(куб!$A:$A,$G998,куб!I:I),SUMIF(куб!$A:$A,$G998,куб!I:I)))))))</f>
        <v>0</v>
      </c>
      <c r="J998" s="19" t="str">
        <f t="shared" si="309"/>
        <v>-</v>
      </c>
      <c r="K998" s="8"/>
      <c r="L998" s="17">
        <f t="shared" si="310"/>
        <v>0</v>
      </c>
      <c r="M998" s="17">
        <f t="shared" si="311"/>
        <v>0</v>
      </c>
      <c r="N998" s="12">
        <f t="shared" si="312"/>
        <v>0</v>
      </c>
      <c r="O998" s="5"/>
      <c r="P998" s="27" t="b">
        <f>IF($G998&lt;&gt;0,SUMIF(куб!$G:$G,$G998,куб!J:J),IF($E998&lt;&gt;0,SUMIF(куб!$E:$E,$E998,куб!J:J),IF($D998&lt;&gt;0,SUMIF(куб!$D:$D,$D998,куб!J:J),IF($C998&lt;&gt;0,SUMIF(куб!$C:$C,$C998,куб!J:J),IF($B998&lt;&gt;0,SUMIF(куб!$B:$B,$B998,куб!J:J))))))</f>
        <v>0</v>
      </c>
      <c r="Q998" s="27" t="b">
        <f>IF($G998&lt;&gt;0,SUMIF(куб!$G:$G,$G998,куб!K:K),IF($E998&lt;&gt;0,SUMIF(куб!$E:$E,$E998,куб!K:K),IF($D998&lt;&gt;0,SUMIF(куб!$D:$D,$D998,куб!K:K),IF($C998&lt;&gt;0,SUMIF(куб!$C:$C,$C998,куб!K:K),IF($B998&lt;&gt;0,SUMIF(куб!$B:$B,$B998,куб!K:K))))))</f>
        <v>0</v>
      </c>
      <c r="R998" s="13" t="str">
        <f t="shared" si="313"/>
        <v>-</v>
      </c>
      <c r="S998" s="5"/>
      <c r="T998" s="27" t="b">
        <f>IF($G998&lt;&gt;0,SUMIF(куб!$G:$G,$G998,куб!L:L),IF($E998&lt;&gt;0,SUMIF(куб!$E:$E,$E998,куб!L:L),IF($D998&lt;&gt;0,SUMIF(куб!$D:$D,$D998,куб!L:L),IF($C998&lt;&gt;0,SUMIF(куб!$C:$C,$C998,куб!L:L),IF($B998&lt;&gt;0,SUMIF(куб!$B:$B,$B998,куб!L:L))))))</f>
        <v>0</v>
      </c>
      <c r="U998" s="27" t="b">
        <f>IF($G998&lt;&gt;0,SUMIF(куб!$G:$G,$G998,куб!M:M),IF($E998&lt;&gt;0,SUMIF(куб!$E:$E,$E998,куб!M:M),IF($D998&lt;&gt;0,SUMIF(куб!$D:$D,$D998,куб!M:M),IF($C998&lt;&gt;0,SUMIF(куб!$C:$C,$C998,куб!M:M),IF($B998&lt;&gt;0,SUMIF(куб!$B:$B,$B998,куб!M:M))))))</f>
        <v>0</v>
      </c>
      <c r="V998" s="13" t="str">
        <f t="shared" si="314"/>
        <v>-</v>
      </c>
      <c r="W998" s="5"/>
      <c r="X998" s="27" t="b">
        <f>IF($G998&lt;&gt;0,SUMIF(куб!$G:$G,$G998,куб!N:N),IF($E998&lt;&gt;0,SUMIF(куб!$E:$E,$E998,куб!N:N),IF($D998&lt;&gt;0,SUMIF(куб!$D:$D,$D998,куб!N:N),IF($C998&lt;&gt;0,SUMIF(куб!$C:$C,$C998,куб!N:N),IF($B998&lt;&gt;0,SUMIF(куб!$B:$B,$B998,куб!N:N))))))</f>
        <v>0</v>
      </c>
      <c r="Y998" s="27" t="b">
        <f>IF($G998&lt;&gt;0,SUMIF(куб!$G:$G,$G998,куб!O:O),IF($E998&lt;&gt;0,SUMIF(куб!$E:$E,$E998,куб!O:O),IF($D998&lt;&gt;0,SUMIF(куб!$D:$D,$D998,куб!O:O),IF($C998&lt;&gt;0,SUMIF(куб!$C:$C,$C998,куб!O:O),IF($B998&lt;&gt;0,SUMIF(куб!$B:$B,$B998,куб!O:O))))))</f>
        <v>0</v>
      </c>
      <c r="Z998" s="13" t="str">
        <f t="shared" si="315"/>
        <v>-</v>
      </c>
      <c r="AA998" s="5"/>
      <c r="AB998" s="33" t="str">
        <f t="shared" si="316"/>
        <v/>
      </c>
      <c r="AC998" s="33" t="str">
        <f t="shared" si="317"/>
        <v/>
      </c>
      <c r="AD998" s="15" t="str">
        <f t="shared" si="318"/>
        <v xml:space="preserve"> </v>
      </c>
      <c r="AE998" s="5"/>
      <c r="AF998" s="27" t="b">
        <f>IF($G998&lt;&gt;0,SUMIF(куб!$G:$G,$G998,куб!R:R),IF($E998&lt;&gt;0,SUMIF(куб!$E:$E,$E998,куб!R:R),IF($D998&lt;&gt;0,SUMIF(куб!$D:$D,$D998,куб!R:R),IF($C998&lt;&gt;0,SUMIF(куб!$C:$C,$C998,куб!R:R),IF($B998&lt;&gt;0,SUMIF(куб!$B:$B,$B998,куб!R:R))))))</f>
        <v>0</v>
      </c>
      <c r="AG998" s="27" t="b">
        <f>IF($G998&lt;&gt;0,SUMIF(куб!$G:$G,$G998,куб!S:S),IF($E998&lt;&gt;0,SUMIF(куб!$E:$E,$E998,куб!S:S),IF($D998&lt;&gt;0,SUMIF(куб!$D:$D,$D998,куб!S:S),IF($C998&lt;&gt;0,SUMIF(куб!$C:$C,$C998,куб!S:S),IF($B998&lt;&gt;0,SUMIF(куб!$B:$B,$B998,куб!S:S))))))</f>
        <v>0</v>
      </c>
      <c r="AH998" s="16" t="str">
        <f t="shared" si="319"/>
        <v>-</v>
      </c>
      <c r="AI998" s="8"/>
      <c r="AJ998" s="27" t="b">
        <f>IF($G998&lt;&gt;0,SUMIF(куб!$G:$G,$G998,куб!T:T),IF($E998&lt;&gt;0,SUMIF(куб!$E:$E,$E998,куб!T:T),IF($D998&lt;&gt;0,SUMIF(куб!$D:$D,$D998,куб!T:T),IF($C998&lt;&gt;0,SUMIF(куб!$C:$C,$C998,куб!T:T),IF($B998&lt;&gt;0,SUMIF(куб!$B:$B,$B998,куб!T:T))))))</f>
        <v>0</v>
      </c>
      <c r="AK998" s="27" t="b">
        <f>IF($G998&lt;&gt;0,SUMIF(куб!$G:$G,$G998,куб!U:U),IF($E998&lt;&gt;0,SUMIF(куб!$E:$E,$E998,куб!U:U),IF($D998&lt;&gt;0,SUMIF(куб!$D:$D,$D998,куб!U:U),IF($C998&lt;&gt;0,SUMIF(куб!$C:$C,$C998,куб!U:U),IF($B998&lt;&gt;0,SUMIF(куб!$B:$B,$B998,куб!U:U))))))</f>
        <v>0</v>
      </c>
      <c r="AL998" s="16" t="str">
        <f t="shared" si="320"/>
        <v>-</v>
      </c>
      <c r="AM998" s="8"/>
      <c r="AN998" s="17" t="str">
        <f t="shared" si="321"/>
        <v xml:space="preserve"> </v>
      </c>
      <c r="AO998" s="17" t="str">
        <f t="shared" si="322"/>
        <v xml:space="preserve"> </v>
      </c>
      <c r="AP998" s="16" t="str">
        <f t="shared" si="323"/>
        <v>-</v>
      </c>
      <c r="AQ998" s="8"/>
      <c r="AR998" s="17" t="str">
        <f t="shared" si="324"/>
        <v>-</v>
      </c>
      <c r="AS998" s="17" t="str">
        <f t="shared" si="325"/>
        <v>-</v>
      </c>
      <c r="AT998" s="13" t="str">
        <f t="shared" si="326"/>
        <v>-</v>
      </c>
      <c r="AU998" s="8"/>
    </row>
    <row r="999" spans="1:47" x14ac:dyDescent="0.25">
      <c r="A999" s="31"/>
      <c r="B999" s="31"/>
      <c r="C999"/>
      <c r="D999" s="31"/>
      <c r="E999"/>
      <c r="F999" s="31"/>
      <c r="G999"/>
      <c r="H999" s="27">
        <f>IF($G999&lt;&gt;0,SUMIF(куб!$G:$G,$G999,куб!H:H),IF($E999&lt;&gt;0,SUMIF(куб!$E:$E,$E999,куб!H:H),IF($D999&lt;&gt;0,SUMIF(куб!$D:$D,$D999,куб!H:H),IF($C999&lt;&gt;0,SUMIF(куб!$C:$C,$C999,куб!H:H),IF($B999&lt;&gt;0,SUMIF(куб!$B:$B,$B999,куб!H:H),IF($G999&lt;&gt;0,SUMIF(куб!$A:$A,$G999,куб!H:H),SUMIF(куб!$A:$A,$G999,куб!H:H)))))))</f>
        <v>0</v>
      </c>
      <c r="I999" s="27">
        <f>IF($G999&lt;&gt;0,SUMIF(куб!$G:$G,$G999,куб!I:I),IF($E999&lt;&gt;0,SUMIF(куб!$E:$E,$E999,куб!I:I),IF($D999&lt;&gt;0,SUMIF(куб!$D:$D,$D999,куб!I:I),IF($C999&lt;&gt;0,SUMIF(куб!$C:$C,$C999,куб!I:I),IF($B999&lt;&gt;0,SUMIF(куб!$B:$B,$B999,куб!I:I),IF($G999&lt;&gt;0,SUMIF(куб!$A:$A,$G999,куб!I:I),SUMIF(куб!$A:$A,$G999,куб!I:I)))))))</f>
        <v>0</v>
      </c>
      <c r="J999" s="19" t="str">
        <f t="shared" si="309"/>
        <v>-</v>
      </c>
      <c r="K999" s="8"/>
      <c r="L999" s="17">
        <f t="shared" si="310"/>
        <v>0</v>
      </c>
      <c r="M999" s="17">
        <f t="shared" si="311"/>
        <v>0</v>
      </c>
      <c r="N999" s="12">
        <f t="shared" si="312"/>
        <v>0</v>
      </c>
      <c r="O999" s="5"/>
      <c r="P999" s="27" t="b">
        <f>IF($G999&lt;&gt;0,SUMIF(куб!$G:$G,$G999,куб!J:J),IF($E999&lt;&gt;0,SUMIF(куб!$E:$E,$E999,куб!J:J),IF($D999&lt;&gt;0,SUMIF(куб!$D:$D,$D999,куб!J:J),IF($C999&lt;&gt;0,SUMIF(куб!$C:$C,$C999,куб!J:J),IF($B999&lt;&gt;0,SUMIF(куб!$B:$B,$B999,куб!J:J))))))</f>
        <v>0</v>
      </c>
      <c r="Q999" s="27" t="b">
        <f>IF($G999&lt;&gt;0,SUMIF(куб!$G:$G,$G999,куб!K:K),IF($E999&lt;&gt;0,SUMIF(куб!$E:$E,$E999,куб!K:K),IF($D999&lt;&gt;0,SUMIF(куб!$D:$D,$D999,куб!K:K),IF($C999&lt;&gt;0,SUMIF(куб!$C:$C,$C999,куб!K:K),IF($B999&lt;&gt;0,SUMIF(куб!$B:$B,$B999,куб!K:K))))))</f>
        <v>0</v>
      </c>
      <c r="R999" s="13" t="str">
        <f t="shared" si="313"/>
        <v>-</v>
      </c>
      <c r="S999" s="5"/>
      <c r="T999" s="27" t="b">
        <f>IF($G999&lt;&gt;0,SUMIF(куб!$G:$G,$G999,куб!L:L),IF($E999&lt;&gt;0,SUMIF(куб!$E:$E,$E999,куб!L:L),IF($D999&lt;&gt;0,SUMIF(куб!$D:$D,$D999,куб!L:L),IF($C999&lt;&gt;0,SUMIF(куб!$C:$C,$C999,куб!L:L),IF($B999&lt;&gt;0,SUMIF(куб!$B:$B,$B999,куб!L:L))))))</f>
        <v>0</v>
      </c>
      <c r="U999" s="27" t="b">
        <f>IF($G999&lt;&gt;0,SUMIF(куб!$G:$G,$G999,куб!M:M),IF($E999&lt;&gt;0,SUMIF(куб!$E:$E,$E999,куб!M:M),IF($D999&lt;&gt;0,SUMIF(куб!$D:$D,$D999,куб!M:M),IF($C999&lt;&gt;0,SUMIF(куб!$C:$C,$C999,куб!M:M),IF($B999&lt;&gt;0,SUMIF(куб!$B:$B,$B999,куб!M:M))))))</f>
        <v>0</v>
      </c>
      <c r="V999" s="13" t="str">
        <f t="shared" si="314"/>
        <v>-</v>
      </c>
      <c r="W999" s="5"/>
      <c r="X999" s="27" t="b">
        <f>IF($G999&lt;&gt;0,SUMIF(куб!$G:$G,$G999,куб!N:N),IF($E999&lt;&gt;0,SUMIF(куб!$E:$E,$E999,куб!N:N),IF($D999&lt;&gt;0,SUMIF(куб!$D:$D,$D999,куб!N:N),IF($C999&lt;&gt;0,SUMIF(куб!$C:$C,$C999,куб!N:N),IF($B999&lt;&gt;0,SUMIF(куб!$B:$B,$B999,куб!N:N))))))</f>
        <v>0</v>
      </c>
      <c r="Y999" s="27" t="b">
        <f>IF($G999&lt;&gt;0,SUMIF(куб!$G:$G,$G999,куб!O:O),IF($E999&lt;&gt;0,SUMIF(куб!$E:$E,$E999,куб!O:O),IF($D999&lt;&gt;0,SUMIF(куб!$D:$D,$D999,куб!O:O),IF($C999&lt;&gt;0,SUMIF(куб!$C:$C,$C999,куб!O:O),IF($B999&lt;&gt;0,SUMIF(куб!$B:$B,$B999,куб!O:O))))))</f>
        <v>0</v>
      </c>
      <c r="Z999" s="13" t="str">
        <f t="shared" si="315"/>
        <v>-</v>
      </c>
      <c r="AA999" s="5"/>
      <c r="AB999" s="33" t="str">
        <f t="shared" si="316"/>
        <v/>
      </c>
      <c r="AC999" s="33" t="str">
        <f t="shared" si="317"/>
        <v/>
      </c>
      <c r="AD999" s="15" t="str">
        <f t="shared" si="318"/>
        <v xml:space="preserve"> </v>
      </c>
      <c r="AE999" s="5"/>
      <c r="AF999" s="27" t="b">
        <f>IF($G999&lt;&gt;0,SUMIF(куб!$G:$G,$G999,куб!R:R),IF($E999&lt;&gt;0,SUMIF(куб!$E:$E,$E999,куб!R:R),IF($D999&lt;&gt;0,SUMIF(куб!$D:$D,$D999,куб!R:R),IF($C999&lt;&gt;0,SUMIF(куб!$C:$C,$C999,куб!R:R),IF($B999&lt;&gt;0,SUMIF(куб!$B:$B,$B999,куб!R:R))))))</f>
        <v>0</v>
      </c>
      <c r="AG999" s="27" t="b">
        <f>IF($G999&lt;&gt;0,SUMIF(куб!$G:$G,$G999,куб!S:S),IF($E999&lt;&gt;0,SUMIF(куб!$E:$E,$E999,куб!S:S),IF($D999&lt;&gt;0,SUMIF(куб!$D:$D,$D999,куб!S:S),IF($C999&lt;&gt;0,SUMIF(куб!$C:$C,$C999,куб!S:S),IF($B999&lt;&gt;0,SUMIF(куб!$B:$B,$B999,куб!S:S))))))</f>
        <v>0</v>
      </c>
      <c r="AH999" s="16" t="str">
        <f t="shared" si="319"/>
        <v>-</v>
      </c>
      <c r="AI999" s="8"/>
      <c r="AJ999" s="27" t="b">
        <f>IF($G999&lt;&gt;0,SUMIF(куб!$G:$G,$G999,куб!T:T),IF($E999&lt;&gt;0,SUMIF(куб!$E:$E,$E999,куб!T:T),IF($D999&lt;&gt;0,SUMIF(куб!$D:$D,$D999,куб!T:T),IF($C999&lt;&gt;0,SUMIF(куб!$C:$C,$C999,куб!T:T),IF($B999&lt;&gt;0,SUMIF(куб!$B:$B,$B999,куб!T:T))))))</f>
        <v>0</v>
      </c>
      <c r="AK999" s="27" t="b">
        <f>IF($G999&lt;&gt;0,SUMIF(куб!$G:$G,$G999,куб!U:U),IF($E999&lt;&gt;0,SUMIF(куб!$E:$E,$E999,куб!U:U),IF($D999&lt;&gt;0,SUMIF(куб!$D:$D,$D999,куб!U:U),IF($C999&lt;&gt;0,SUMIF(куб!$C:$C,$C999,куб!U:U),IF($B999&lt;&gt;0,SUMIF(куб!$B:$B,$B999,куб!U:U))))))</f>
        <v>0</v>
      </c>
      <c r="AL999" s="16" t="str">
        <f t="shared" si="320"/>
        <v>-</v>
      </c>
      <c r="AM999" s="8"/>
      <c r="AN999" s="17" t="str">
        <f t="shared" si="321"/>
        <v xml:space="preserve"> </v>
      </c>
      <c r="AO999" s="17" t="str">
        <f t="shared" si="322"/>
        <v xml:space="preserve"> </v>
      </c>
      <c r="AP999" s="16" t="str">
        <f t="shared" si="323"/>
        <v>-</v>
      </c>
      <c r="AQ999" s="8"/>
      <c r="AR999" s="17" t="str">
        <f t="shared" si="324"/>
        <v>-</v>
      </c>
      <c r="AS999" s="17" t="str">
        <f t="shared" si="325"/>
        <v>-</v>
      </c>
      <c r="AT999" s="13" t="str">
        <f t="shared" si="326"/>
        <v>-</v>
      </c>
      <c r="AU999" s="8"/>
    </row>
    <row r="1000" spans="1:47" x14ac:dyDescent="0.25">
      <c r="A1000" s="31"/>
      <c r="B1000" s="31"/>
      <c r="C1000"/>
      <c r="D1000" s="31"/>
      <c r="E1000"/>
      <c r="F1000" s="31"/>
      <c r="G1000"/>
      <c r="H1000" s="27">
        <f>IF($G1000&lt;&gt;0,SUMIF(куб!$G:$G,$G1000,куб!H:H),IF($E1000&lt;&gt;0,SUMIF(куб!$E:$E,$E1000,куб!H:H),IF($D1000&lt;&gt;0,SUMIF(куб!$D:$D,$D1000,куб!H:H),IF($C1000&lt;&gt;0,SUMIF(куб!$C:$C,$C1000,куб!H:H),IF($B1000&lt;&gt;0,SUMIF(куб!$B:$B,$B1000,куб!H:H),IF($G1000&lt;&gt;0,SUMIF(куб!$A:$A,$G1000,куб!H:H),SUMIF(куб!$A:$A,$G1000,куб!H:H)))))))</f>
        <v>0</v>
      </c>
      <c r="I1000" s="27">
        <f>IF($G1000&lt;&gt;0,SUMIF(куб!$G:$G,$G1000,куб!I:I),IF($E1000&lt;&gt;0,SUMIF(куб!$E:$E,$E1000,куб!I:I),IF($D1000&lt;&gt;0,SUMIF(куб!$D:$D,$D1000,куб!I:I),IF($C1000&lt;&gt;0,SUMIF(куб!$C:$C,$C1000,куб!I:I),IF($B1000&lt;&gt;0,SUMIF(куб!$B:$B,$B1000,куб!I:I),IF($G1000&lt;&gt;0,SUMIF(куб!$A:$A,$G1000,куб!I:I),SUMIF(куб!$A:$A,$G1000,куб!I:I)))))))</f>
        <v>0</v>
      </c>
      <c r="J1000" s="19" t="str">
        <f t="shared" si="309"/>
        <v>-</v>
      </c>
      <c r="K1000" s="8"/>
      <c r="L1000" s="17">
        <f t="shared" si="310"/>
        <v>0</v>
      </c>
      <c r="M1000" s="17">
        <f t="shared" si="311"/>
        <v>0</v>
      </c>
      <c r="N1000" s="12">
        <f t="shared" si="312"/>
        <v>0</v>
      </c>
      <c r="O1000" s="5"/>
      <c r="P1000" s="27" t="b">
        <f>IF($G1000&lt;&gt;0,SUMIF(куб!$G:$G,$G1000,куб!J:J),IF($E1000&lt;&gt;0,SUMIF(куб!$E:$E,$E1000,куб!J:J),IF($D1000&lt;&gt;0,SUMIF(куб!$D:$D,$D1000,куб!J:J),IF($C1000&lt;&gt;0,SUMIF(куб!$C:$C,$C1000,куб!J:J),IF($B1000&lt;&gt;0,SUMIF(куб!$B:$B,$B1000,куб!J:J))))))</f>
        <v>0</v>
      </c>
      <c r="Q1000" s="27" t="b">
        <f>IF($G1000&lt;&gt;0,SUMIF(куб!$G:$G,$G1000,куб!K:K),IF($E1000&lt;&gt;0,SUMIF(куб!$E:$E,$E1000,куб!K:K),IF($D1000&lt;&gt;0,SUMIF(куб!$D:$D,$D1000,куб!K:K),IF($C1000&lt;&gt;0,SUMIF(куб!$C:$C,$C1000,куб!K:K),IF($B1000&lt;&gt;0,SUMIF(куб!$B:$B,$B1000,куб!K:K))))))</f>
        <v>0</v>
      </c>
      <c r="R1000" s="13" t="str">
        <f t="shared" si="313"/>
        <v>-</v>
      </c>
      <c r="S1000" s="5"/>
      <c r="T1000" s="27" t="b">
        <f>IF($G1000&lt;&gt;0,SUMIF(куб!$G:$G,$G1000,куб!L:L),IF($E1000&lt;&gt;0,SUMIF(куб!$E:$E,$E1000,куб!L:L),IF($D1000&lt;&gt;0,SUMIF(куб!$D:$D,$D1000,куб!L:L),IF($C1000&lt;&gt;0,SUMIF(куб!$C:$C,$C1000,куб!L:L),IF($B1000&lt;&gt;0,SUMIF(куб!$B:$B,$B1000,куб!L:L))))))</f>
        <v>0</v>
      </c>
      <c r="U1000" s="27" t="b">
        <f>IF($G1000&lt;&gt;0,SUMIF(куб!$G:$G,$G1000,куб!M:M),IF($E1000&lt;&gt;0,SUMIF(куб!$E:$E,$E1000,куб!M:M),IF($D1000&lt;&gt;0,SUMIF(куб!$D:$D,$D1000,куб!M:M),IF($C1000&lt;&gt;0,SUMIF(куб!$C:$C,$C1000,куб!M:M),IF($B1000&lt;&gt;0,SUMIF(куб!$B:$B,$B1000,куб!M:M))))))</f>
        <v>0</v>
      </c>
      <c r="V1000" s="13" t="str">
        <f t="shared" si="314"/>
        <v>-</v>
      </c>
      <c r="W1000" s="5"/>
      <c r="X1000" s="27" t="b">
        <f>IF($G1000&lt;&gt;0,SUMIF(куб!$G:$G,$G1000,куб!N:N),IF($E1000&lt;&gt;0,SUMIF(куб!$E:$E,$E1000,куб!N:N),IF($D1000&lt;&gt;0,SUMIF(куб!$D:$D,$D1000,куб!N:N),IF($C1000&lt;&gt;0,SUMIF(куб!$C:$C,$C1000,куб!N:N),IF($B1000&lt;&gt;0,SUMIF(куб!$B:$B,$B1000,куб!N:N))))))</f>
        <v>0</v>
      </c>
      <c r="Y1000" s="27" t="b">
        <f>IF($G1000&lt;&gt;0,SUMIF(куб!$G:$G,$G1000,куб!O:O),IF($E1000&lt;&gt;0,SUMIF(куб!$E:$E,$E1000,куб!O:O),IF($D1000&lt;&gt;0,SUMIF(куб!$D:$D,$D1000,куб!O:O),IF($C1000&lt;&gt;0,SUMIF(куб!$C:$C,$C1000,куб!O:O),IF($B1000&lt;&gt;0,SUMIF(куб!$B:$B,$B1000,куб!O:O))))))</f>
        <v>0</v>
      </c>
      <c r="Z1000" s="13" t="str">
        <f t="shared" si="315"/>
        <v>-</v>
      </c>
      <c r="AA1000" s="5"/>
      <c r="AB1000" s="33" t="str">
        <f t="shared" si="316"/>
        <v/>
      </c>
      <c r="AC1000" s="33" t="str">
        <f t="shared" si="317"/>
        <v/>
      </c>
      <c r="AD1000" s="15" t="str">
        <f t="shared" si="318"/>
        <v xml:space="preserve"> </v>
      </c>
      <c r="AE1000" s="5"/>
      <c r="AF1000" s="27" t="b">
        <f>IF($G1000&lt;&gt;0,SUMIF(куб!$G:$G,$G1000,куб!R:R),IF($E1000&lt;&gt;0,SUMIF(куб!$E:$E,$E1000,куб!R:R),IF($D1000&lt;&gt;0,SUMIF(куб!$D:$D,$D1000,куб!R:R),IF($C1000&lt;&gt;0,SUMIF(куб!$C:$C,$C1000,куб!R:R),IF($B1000&lt;&gt;0,SUMIF(куб!$B:$B,$B1000,куб!R:R))))))</f>
        <v>0</v>
      </c>
      <c r="AG1000" s="27" t="b">
        <f>IF($G1000&lt;&gt;0,SUMIF(куб!$G:$G,$G1000,куб!S:S),IF($E1000&lt;&gt;0,SUMIF(куб!$E:$E,$E1000,куб!S:S),IF($D1000&lt;&gt;0,SUMIF(куб!$D:$D,$D1000,куб!S:S),IF($C1000&lt;&gt;0,SUMIF(куб!$C:$C,$C1000,куб!S:S),IF($B1000&lt;&gt;0,SUMIF(куб!$B:$B,$B1000,куб!S:S))))))</f>
        <v>0</v>
      </c>
      <c r="AH1000" s="16" t="str">
        <f t="shared" si="319"/>
        <v>-</v>
      </c>
      <c r="AI1000" s="8"/>
      <c r="AJ1000" s="27" t="b">
        <f>IF($G1000&lt;&gt;0,SUMIF(куб!$G:$G,$G1000,куб!T:T),IF($E1000&lt;&gt;0,SUMIF(куб!$E:$E,$E1000,куб!T:T),IF($D1000&lt;&gt;0,SUMIF(куб!$D:$D,$D1000,куб!T:T),IF($C1000&lt;&gt;0,SUMIF(куб!$C:$C,$C1000,куб!T:T),IF($B1000&lt;&gt;0,SUMIF(куб!$B:$B,$B1000,куб!T:T))))))</f>
        <v>0</v>
      </c>
      <c r="AK1000" s="27" t="b">
        <f>IF($G1000&lt;&gt;0,SUMIF(куб!$G:$G,$G1000,куб!U:U),IF($E1000&lt;&gt;0,SUMIF(куб!$E:$E,$E1000,куб!U:U),IF($D1000&lt;&gt;0,SUMIF(куб!$D:$D,$D1000,куб!U:U),IF($C1000&lt;&gt;0,SUMIF(куб!$C:$C,$C1000,куб!U:U),IF($B1000&lt;&gt;0,SUMIF(куб!$B:$B,$B1000,куб!U:U))))))</f>
        <v>0</v>
      </c>
      <c r="AL1000" s="16" t="str">
        <f t="shared" si="320"/>
        <v>-</v>
      </c>
      <c r="AM1000" s="8"/>
      <c r="AN1000" s="17" t="str">
        <f t="shared" si="321"/>
        <v xml:space="preserve"> </v>
      </c>
      <c r="AO1000" s="17" t="str">
        <f t="shared" si="322"/>
        <v xml:space="preserve"> </v>
      </c>
      <c r="AP1000" s="16" t="str">
        <f t="shared" si="323"/>
        <v>-</v>
      </c>
      <c r="AQ1000" s="8"/>
      <c r="AR1000" s="17" t="str">
        <f t="shared" si="324"/>
        <v>-</v>
      </c>
      <c r="AS1000" s="17" t="str">
        <f t="shared" si="325"/>
        <v>-</v>
      </c>
      <c r="AT1000" s="13" t="str">
        <f t="shared" si="326"/>
        <v>-</v>
      </c>
      <c r="AU1000" s="8"/>
    </row>
    <row r="1001" spans="1:47" x14ac:dyDescent="0.25">
      <c r="A1001" s="31"/>
      <c r="B1001" s="31"/>
      <c r="C1001"/>
      <c r="D1001" s="31"/>
      <c r="E1001"/>
      <c r="F1001" s="31"/>
      <c r="G1001"/>
      <c r="H1001" s="27">
        <f>IF($G1001&lt;&gt;0,SUMIF(куб!$G:$G,$G1001,куб!H:H),IF($E1001&lt;&gt;0,SUMIF(куб!$E:$E,$E1001,куб!H:H),IF($D1001&lt;&gt;0,SUMIF(куб!$D:$D,$D1001,куб!H:H),IF($C1001&lt;&gt;0,SUMIF(куб!$C:$C,$C1001,куб!H:H),IF($B1001&lt;&gt;0,SUMIF(куб!$B:$B,$B1001,куб!H:H),IF($G1001&lt;&gt;0,SUMIF(куб!$A:$A,$G1001,куб!H:H),SUMIF(куб!$A:$A,$G1001,куб!H:H)))))))</f>
        <v>0</v>
      </c>
      <c r="I1001" s="27">
        <f>IF($G1001&lt;&gt;0,SUMIF(куб!$G:$G,$G1001,куб!I:I),IF($E1001&lt;&gt;0,SUMIF(куб!$E:$E,$E1001,куб!I:I),IF($D1001&lt;&gt;0,SUMIF(куб!$D:$D,$D1001,куб!I:I),IF($C1001&lt;&gt;0,SUMIF(куб!$C:$C,$C1001,куб!I:I),IF($B1001&lt;&gt;0,SUMIF(куб!$B:$B,$B1001,куб!I:I),IF($G1001&lt;&gt;0,SUMIF(куб!$A:$A,$G1001,куб!I:I),SUMIF(куб!$A:$A,$G1001,куб!I:I)))))))</f>
        <v>0</v>
      </c>
      <c r="J1001" s="19" t="str">
        <f t="shared" si="309"/>
        <v>-</v>
      </c>
      <c r="K1001" s="8"/>
      <c r="L1001" s="17">
        <f t="shared" si="310"/>
        <v>0</v>
      </c>
      <c r="M1001" s="17">
        <f t="shared" si="311"/>
        <v>0</v>
      </c>
      <c r="N1001" s="12">
        <f t="shared" si="312"/>
        <v>0</v>
      </c>
      <c r="O1001" s="5"/>
      <c r="P1001" s="27" t="b">
        <f>IF($G1001&lt;&gt;0,SUMIF(куб!$G:$G,$G1001,куб!J:J),IF($E1001&lt;&gt;0,SUMIF(куб!$E:$E,$E1001,куб!J:J),IF($D1001&lt;&gt;0,SUMIF(куб!$D:$D,$D1001,куб!J:J),IF($C1001&lt;&gt;0,SUMIF(куб!$C:$C,$C1001,куб!J:J),IF($B1001&lt;&gt;0,SUMIF(куб!$B:$B,$B1001,куб!J:J))))))</f>
        <v>0</v>
      </c>
      <c r="Q1001" s="27" t="b">
        <f>IF($G1001&lt;&gt;0,SUMIF(куб!$G:$G,$G1001,куб!K:K),IF($E1001&lt;&gt;0,SUMIF(куб!$E:$E,$E1001,куб!K:K),IF($D1001&lt;&gt;0,SUMIF(куб!$D:$D,$D1001,куб!K:K),IF($C1001&lt;&gt;0,SUMIF(куб!$C:$C,$C1001,куб!K:K),IF($B1001&lt;&gt;0,SUMIF(куб!$B:$B,$B1001,куб!K:K))))))</f>
        <v>0</v>
      </c>
      <c r="R1001" s="13" t="str">
        <f t="shared" si="313"/>
        <v>-</v>
      </c>
      <c r="S1001" s="5"/>
      <c r="T1001" s="27" t="b">
        <f>IF($G1001&lt;&gt;0,SUMIF(куб!$G:$G,$G1001,куб!L:L),IF($E1001&lt;&gt;0,SUMIF(куб!$E:$E,$E1001,куб!L:L),IF($D1001&lt;&gt;0,SUMIF(куб!$D:$D,$D1001,куб!L:L),IF($C1001&lt;&gt;0,SUMIF(куб!$C:$C,$C1001,куб!L:L),IF($B1001&lt;&gt;0,SUMIF(куб!$B:$B,$B1001,куб!L:L))))))</f>
        <v>0</v>
      </c>
      <c r="U1001" s="27" t="b">
        <f>IF($G1001&lt;&gt;0,SUMIF(куб!$G:$G,$G1001,куб!M:M),IF($E1001&lt;&gt;0,SUMIF(куб!$E:$E,$E1001,куб!M:M),IF($D1001&lt;&gt;0,SUMIF(куб!$D:$D,$D1001,куб!M:M),IF($C1001&lt;&gt;0,SUMIF(куб!$C:$C,$C1001,куб!M:M),IF($B1001&lt;&gt;0,SUMIF(куб!$B:$B,$B1001,куб!M:M))))))</f>
        <v>0</v>
      </c>
      <c r="V1001" s="13" t="str">
        <f t="shared" si="314"/>
        <v>-</v>
      </c>
      <c r="W1001" s="5"/>
      <c r="X1001" s="27" t="b">
        <f>IF($G1001&lt;&gt;0,SUMIF(куб!$G:$G,$G1001,куб!N:N),IF($E1001&lt;&gt;0,SUMIF(куб!$E:$E,$E1001,куб!N:N),IF($D1001&lt;&gt;0,SUMIF(куб!$D:$D,$D1001,куб!N:N),IF($C1001&lt;&gt;0,SUMIF(куб!$C:$C,$C1001,куб!N:N),IF($B1001&lt;&gt;0,SUMIF(куб!$B:$B,$B1001,куб!N:N))))))</f>
        <v>0</v>
      </c>
      <c r="Y1001" s="27" t="b">
        <f>IF($G1001&lt;&gt;0,SUMIF(куб!$G:$G,$G1001,куб!O:O),IF($E1001&lt;&gt;0,SUMIF(куб!$E:$E,$E1001,куб!O:O),IF($D1001&lt;&gt;0,SUMIF(куб!$D:$D,$D1001,куб!O:O),IF($C1001&lt;&gt;0,SUMIF(куб!$C:$C,$C1001,куб!O:O),IF($B1001&lt;&gt;0,SUMIF(куб!$B:$B,$B1001,куб!O:O))))))</f>
        <v>0</v>
      </c>
      <c r="Z1001" s="13" t="str">
        <f t="shared" si="315"/>
        <v>-</v>
      </c>
      <c r="AA1001" s="5"/>
      <c r="AB1001" s="33" t="str">
        <f t="shared" si="316"/>
        <v/>
      </c>
      <c r="AC1001" s="33" t="str">
        <f t="shared" si="317"/>
        <v/>
      </c>
      <c r="AD1001" s="15" t="str">
        <f t="shared" si="318"/>
        <v xml:space="preserve"> </v>
      </c>
      <c r="AE1001" s="5"/>
      <c r="AF1001" s="27" t="b">
        <f>IF($G1001&lt;&gt;0,SUMIF(куб!$G:$G,$G1001,куб!R:R),IF($E1001&lt;&gt;0,SUMIF(куб!$E:$E,$E1001,куб!R:R),IF($D1001&lt;&gt;0,SUMIF(куб!$D:$D,$D1001,куб!R:R),IF($C1001&lt;&gt;0,SUMIF(куб!$C:$C,$C1001,куб!R:R),IF($B1001&lt;&gt;0,SUMIF(куб!$B:$B,$B1001,куб!R:R))))))</f>
        <v>0</v>
      </c>
      <c r="AG1001" s="27" t="b">
        <f>IF($G1001&lt;&gt;0,SUMIF(куб!$G:$G,$G1001,куб!S:S),IF($E1001&lt;&gt;0,SUMIF(куб!$E:$E,$E1001,куб!S:S),IF($D1001&lt;&gt;0,SUMIF(куб!$D:$D,$D1001,куб!S:S),IF($C1001&lt;&gt;0,SUMIF(куб!$C:$C,$C1001,куб!S:S),IF($B1001&lt;&gt;0,SUMIF(куб!$B:$B,$B1001,куб!S:S))))))</f>
        <v>0</v>
      </c>
      <c r="AH1001" s="16" t="str">
        <f t="shared" si="319"/>
        <v>-</v>
      </c>
      <c r="AI1001" s="8"/>
      <c r="AJ1001" s="27" t="b">
        <f>IF($G1001&lt;&gt;0,SUMIF(куб!$G:$G,$G1001,куб!T:T),IF($E1001&lt;&gt;0,SUMIF(куб!$E:$E,$E1001,куб!T:T),IF($D1001&lt;&gt;0,SUMIF(куб!$D:$D,$D1001,куб!T:T),IF($C1001&lt;&gt;0,SUMIF(куб!$C:$C,$C1001,куб!T:T),IF($B1001&lt;&gt;0,SUMIF(куб!$B:$B,$B1001,куб!T:T))))))</f>
        <v>0</v>
      </c>
      <c r="AK1001" s="27" t="b">
        <f>IF($G1001&lt;&gt;0,SUMIF(куб!$G:$G,$G1001,куб!U:U),IF($E1001&lt;&gt;0,SUMIF(куб!$E:$E,$E1001,куб!U:U),IF($D1001&lt;&gt;0,SUMIF(куб!$D:$D,$D1001,куб!U:U),IF($C1001&lt;&gt;0,SUMIF(куб!$C:$C,$C1001,куб!U:U),IF($B1001&lt;&gt;0,SUMIF(куб!$B:$B,$B1001,куб!U:U))))))</f>
        <v>0</v>
      </c>
      <c r="AL1001" s="16" t="str">
        <f t="shared" si="320"/>
        <v>-</v>
      </c>
      <c r="AM1001" s="8"/>
      <c r="AN1001" s="17" t="str">
        <f t="shared" si="321"/>
        <v xml:space="preserve"> </v>
      </c>
      <c r="AO1001" s="17" t="str">
        <f t="shared" si="322"/>
        <v xml:space="preserve"> </v>
      </c>
      <c r="AP1001" s="16" t="str">
        <f t="shared" si="323"/>
        <v>-</v>
      </c>
      <c r="AQ1001" s="8"/>
      <c r="AR1001" s="17" t="str">
        <f t="shared" si="324"/>
        <v>-</v>
      </c>
      <c r="AS1001" s="17" t="str">
        <f t="shared" si="325"/>
        <v>-</v>
      </c>
      <c r="AT1001" s="13" t="str">
        <f t="shared" si="326"/>
        <v>-</v>
      </c>
      <c r="AU1001" s="8"/>
    </row>
    <row r="1002" spans="1:47" x14ac:dyDescent="0.25">
      <c r="A1002" s="31"/>
      <c r="B1002" s="31"/>
      <c r="C1002"/>
      <c r="D1002" s="31"/>
      <c r="E1002"/>
      <c r="F1002" s="31"/>
      <c r="G1002"/>
      <c r="H1002" s="27">
        <f>IF($G1002&lt;&gt;0,SUMIF(куб!$G:$G,$G1002,куб!H:H),IF($E1002&lt;&gt;0,SUMIF(куб!$E:$E,$E1002,куб!H:H),IF($D1002&lt;&gt;0,SUMIF(куб!$D:$D,$D1002,куб!H:H),IF($C1002&lt;&gt;0,SUMIF(куб!$C:$C,$C1002,куб!H:H),IF($B1002&lt;&gt;0,SUMIF(куб!$B:$B,$B1002,куб!H:H),IF($G1002&lt;&gt;0,SUMIF(куб!$A:$A,$G1002,куб!H:H),SUMIF(куб!$A:$A,$G1002,куб!H:H)))))))</f>
        <v>0</v>
      </c>
      <c r="I1002" s="27">
        <f>IF($G1002&lt;&gt;0,SUMIF(куб!$G:$G,$G1002,куб!I:I),IF($E1002&lt;&gt;0,SUMIF(куб!$E:$E,$E1002,куб!I:I),IF($D1002&lt;&gt;0,SUMIF(куб!$D:$D,$D1002,куб!I:I),IF($C1002&lt;&gt;0,SUMIF(куб!$C:$C,$C1002,куб!I:I),IF($B1002&lt;&gt;0,SUMIF(куб!$B:$B,$B1002,куб!I:I),IF($G1002&lt;&gt;0,SUMIF(куб!$A:$A,$G1002,куб!I:I),SUMIF(куб!$A:$A,$G1002,куб!I:I)))))))</f>
        <v>0</v>
      </c>
      <c r="J1002" s="19" t="str">
        <f t="shared" si="309"/>
        <v>-</v>
      </c>
      <c r="K1002" s="8"/>
      <c r="L1002" s="17">
        <f t="shared" si="310"/>
        <v>0</v>
      </c>
      <c r="M1002" s="17">
        <f t="shared" si="311"/>
        <v>0</v>
      </c>
      <c r="N1002" s="12">
        <f t="shared" si="312"/>
        <v>0</v>
      </c>
      <c r="O1002" s="5"/>
      <c r="P1002" s="27" t="b">
        <f>IF($G1002&lt;&gt;0,SUMIF(куб!$G:$G,$G1002,куб!J:J),IF($E1002&lt;&gt;0,SUMIF(куб!$E:$E,$E1002,куб!J:J),IF($D1002&lt;&gt;0,SUMIF(куб!$D:$D,$D1002,куб!J:J),IF($C1002&lt;&gt;0,SUMIF(куб!$C:$C,$C1002,куб!J:J),IF($B1002&lt;&gt;0,SUMIF(куб!$B:$B,$B1002,куб!J:J))))))</f>
        <v>0</v>
      </c>
      <c r="Q1002" s="27" t="b">
        <f>IF($G1002&lt;&gt;0,SUMIF(куб!$G:$G,$G1002,куб!K:K),IF($E1002&lt;&gt;0,SUMIF(куб!$E:$E,$E1002,куб!K:K),IF($D1002&lt;&gt;0,SUMIF(куб!$D:$D,$D1002,куб!K:K),IF($C1002&lt;&gt;0,SUMIF(куб!$C:$C,$C1002,куб!K:K),IF($B1002&lt;&gt;0,SUMIF(куб!$B:$B,$B1002,куб!K:K))))))</f>
        <v>0</v>
      </c>
      <c r="R1002" s="13" t="str">
        <f t="shared" si="313"/>
        <v>-</v>
      </c>
      <c r="S1002" s="5"/>
      <c r="T1002" s="27" t="b">
        <f>IF($G1002&lt;&gt;0,SUMIF(куб!$G:$G,$G1002,куб!L:L),IF($E1002&lt;&gt;0,SUMIF(куб!$E:$E,$E1002,куб!L:L),IF($D1002&lt;&gt;0,SUMIF(куб!$D:$D,$D1002,куб!L:L),IF($C1002&lt;&gt;0,SUMIF(куб!$C:$C,$C1002,куб!L:L),IF($B1002&lt;&gt;0,SUMIF(куб!$B:$B,$B1002,куб!L:L))))))</f>
        <v>0</v>
      </c>
      <c r="U1002" s="27" t="b">
        <f>IF($G1002&lt;&gt;0,SUMIF(куб!$G:$G,$G1002,куб!M:M),IF($E1002&lt;&gt;0,SUMIF(куб!$E:$E,$E1002,куб!M:M),IF($D1002&lt;&gt;0,SUMIF(куб!$D:$D,$D1002,куб!M:M),IF($C1002&lt;&gt;0,SUMIF(куб!$C:$C,$C1002,куб!M:M),IF($B1002&lt;&gt;0,SUMIF(куб!$B:$B,$B1002,куб!M:M))))))</f>
        <v>0</v>
      </c>
      <c r="V1002" s="13" t="str">
        <f t="shared" si="314"/>
        <v>-</v>
      </c>
      <c r="W1002" s="5"/>
      <c r="X1002" s="27" t="b">
        <f>IF($G1002&lt;&gt;0,SUMIF(куб!$G:$G,$G1002,куб!N:N),IF($E1002&lt;&gt;0,SUMIF(куб!$E:$E,$E1002,куб!N:N),IF($D1002&lt;&gt;0,SUMIF(куб!$D:$D,$D1002,куб!N:N),IF($C1002&lt;&gt;0,SUMIF(куб!$C:$C,$C1002,куб!N:N),IF($B1002&lt;&gt;0,SUMIF(куб!$B:$B,$B1002,куб!N:N))))))</f>
        <v>0</v>
      </c>
      <c r="Y1002" s="27" t="b">
        <f>IF($G1002&lt;&gt;0,SUMIF(куб!$G:$G,$G1002,куб!O:O),IF($E1002&lt;&gt;0,SUMIF(куб!$E:$E,$E1002,куб!O:O),IF($D1002&lt;&gt;0,SUMIF(куб!$D:$D,$D1002,куб!O:O),IF($C1002&lt;&gt;0,SUMIF(куб!$C:$C,$C1002,куб!O:O),IF($B1002&lt;&gt;0,SUMIF(куб!$B:$B,$B1002,куб!O:O))))))</f>
        <v>0</v>
      </c>
      <c r="Z1002" s="13" t="str">
        <f t="shared" si="315"/>
        <v>-</v>
      </c>
      <c r="AA1002" s="5"/>
      <c r="AB1002" s="33" t="str">
        <f t="shared" si="316"/>
        <v/>
      </c>
      <c r="AC1002" s="33" t="str">
        <f t="shared" si="317"/>
        <v/>
      </c>
      <c r="AD1002" s="15" t="str">
        <f t="shared" si="318"/>
        <v xml:space="preserve"> </v>
      </c>
      <c r="AE1002" s="5"/>
      <c r="AF1002" s="27" t="b">
        <f>IF($G1002&lt;&gt;0,SUMIF(куб!$G:$G,$G1002,куб!R:R),IF($E1002&lt;&gt;0,SUMIF(куб!$E:$E,$E1002,куб!R:R),IF($D1002&lt;&gt;0,SUMIF(куб!$D:$D,$D1002,куб!R:R),IF($C1002&lt;&gt;0,SUMIF(куб!$C:$C,$C1002,куб!R:R),IF($B1002&lt;&gt;0,SUMIF(куб!$B:$B,$B1002,куб!R:R))))))</f>
        <v>0</v>
      </c>
      <c r="AG1002" s="27" t="b">
        <f>IF($G1002&lt;&gt;0,SUMIF(куб!$G:$G,$G1002,куб!S:S),IF($E1002&lt;&gt;0,SUMIF(куб!$E:$E,$E1002,куб!S:S),IF($D1002&lt;&gt;0,SUMIF(куб!$D:$D,$D1002,куб!S:S),IF($C1002&lt;&gt;0,SUMIF(куб!$C:$C,$C1002,куб!S:S),IF($B1002&lt;&gt;0,SUMIF(куб!$B:$B,$B1002,куб!S:S))))))</f>
        <v>0</v>
      </c>
      <c r="AH1002" s="16" t="str">
        <f t="shared" si="319"/>
        <v>-</v>
      </c>
      <c r="AI1002" s="8"/>
      <c r="AJ1002" s="27" t="b">
        <f>IF($G1002&lt;&gt;0,SUMIF(куб!$G:$G,$G1002,куб!T:T),IF($E1002&lt;&gt;0,SUMIF(куб!$E:$E,$E1002,куб!T:T),IF($D1002&lt;&gt;0,SUMIF(куб!$D:$D,$D1002,куб!T:T),IF($C1002&lt;&gt;0,SUMIF(куб!$C:$C,$C1002,куб!T:T),IF($B1002&lt;&gt;0,SUMIF(куб!$B:$B,$B1002,куб!T:T))))))</f>
        <v>0</v>
      </c>
      <c r="AK1002" s="27" t="b">
        <f>IF($G1002&lt;&gt;0,SUMIF(куб!$G:$G,$G1002,куб!U:U),IF($E1002&lt;&gt;0,SUMIF(куб!$E:$E,$E1002,куб!U:U),IF($D1002&lt;&gt;0,SUMIF(куб!$D:$D,$D1002,куб!U:U),IF($C1002&lt;&gt;0,SUMIF(куб!$C:$C,$C1002,куб!U:U),IF($B1002&lt;&gt;0,SUMIF(куб!$B:$B,$B1002,куб!U:U))))))</f>
        <v>0</v>
      </c>
      <c r="AL1002" s="16" t="str">
        <f t="shared" si="320"/>
        <v>-</v>
      </c>
      <c r="AM1002" s="8"/>
      <c r="AN1002" s="17" t="str">
        <f t="shared" si="321"/>
        <v xml:space="preserve"> </v>
      </c>
      <c r="AO1002" s="17" t="str">
        <f t="shared" si="322"/>
        <v xml:space="preserve"> </v>
      </c>
      <c r="AP1002" s="16" t="str">
        <f t="shared" si="323"/>
        <v>-</v>
      </c>
      <c r="AQ1002" s="8"/>
      <c r="AR1002" s="17" t="str">
        <f t="shared" si="324"/>
        <v>-</v>
      </c>
      <c r="AS1002" s="17" t="str">
        <f t="shared" si="325"/>
        <v>-</v>
      </c>
      <c r="AT1002" s="13" t="str">
        <f t="shared" si="326"/>
        <v>-</v>
      </c>
      <c r="AU1002" s="8"/>
    </row>
    <row r="1003" spans="1:47" x14ac:dyDescent="0.25">
      <c r="A1003" s="31"/>
      <c r="B1003" s="31"/>
      <c r="C1003"/>
      <c r="D1003" s="31"/>
      <c r="E1003"/>
      <c r="F1003" s="31"/>
      <c r="G1003"/>
      <c r="H1003" s="27">
        <f>IF($G1003&lt;&gt;0,SUMIF(куб!$G:$G,$G1003,куб!H:H),IF($E1003&lt;&gt;0,SUMIF(куб!$E:$E,$E1003,куб!H:H),IF($D1003&lt;&gt;0,SUMIF(куб!$D:$D,$D1003,куб!H:H),IF($C1003&lt;&gt;0,SUMIF(куб!$C:$C,$C1003,куб!H:H),IF($B1003&lt;&gt;0,SUMIF(куб!$B:$B,$B1003,куб!H:H),IF($G1003&lt;&gt;0,SUMIF(куб!$A:$A,$G1003,куб!H:H),SUMIF(куб!$A:$A,$G1003,куб!H:H)))))))</f>
        <v>0</v>
      </c>
      <c r="I1003" s="27">
        <f>IF($G1003&lt;&gt;0,SUMIF(куб!$G:$G,$G1003,куб!I:I),IF($E1003&lt;&gt;0,SUMIF(куб!$E:$E,$E1003,куб!I:I),IF($D1003&lt;&gt;0,SUMIF(куб!$D:$D,$D1003,куб!I:I),IF($C1003&lt;&gt;0,SUMIF(куб!$C:$C,$C1003,куб!I:I),IF($B1003&lt;&gt;0,SUMIF(куб!$B:$B,$B1003,куб!I:I),IF($G1003&lt;&gt;0,SUMIF(куб!$A:$A,$G1003,куб!I:I),SUMIF(куб!$A:$A,$G1003,куб!I:I)))))))</f>
        <v>0</v>
      </c>
      <c r="J1003" s="19" t="str">
        <f t="shared" si="309"/>
        <v>-</v>
      </c>
      <c r="K1003" s="8"/>
      <c r="L1003" s="17">
        <f t="shared" si="310"/>
        <v>0</v>
      </c>
      <c r="M1003" s="17">
        <f t="shared" si="311"/>
        <v>0</v>
      </c>
      <c r="N1003" s="12">
        <f t="shared" si="312"/>
        <v>0</v>
      </c>
      <c r="O1003" s="5"/>
      <c r="P1003" s="27" t="b">
        <f>IF($G1003&lt;&gt;0,SUMIF(куб!$G:$G,$G1003,куб!J:J),IF($E1003&lt;&gt;0,SUMIF(куб!$E:$E,$E1003,куб!J:J),IF($D1003&lt;&gt;0,SUMIF(куб!$D:$D,$D1003,куб!J:J),IF($C1003&lt;&gt;0,SUMIF(куб!$C:$C,$C1003,куб!J:J),IF($B1003&lt;&gt;0,SUMIF(куб!$B:$B,$B1003,куб!J:J))))))</f>
        <v>0</v>
      </c>
      <c r="Q1003" s="27" t="b">
        <f>IF($G1003&lt;&gt;0,SUMIF(куб!$G:$G,$G1003,куб!K:K),IF($E1003&lt;&gt;0,SUMIF(куб!$E:$E,$E1003,куб!K:K),IF($D1003&lt;&gt;0,SUMIF(куб!$D:$D,$D1003,куб!K:K),IF($C1003&lt;&gt;0,SUMIF(куб!$C:$C,$C1003,куб!K:K),IF($B1003&lt;&gt;0,SUMIF(куб!$B:$B,$B1003,куб!K:K))))))</f>
        <v>0</v>
      </c>
      <c r="R1003" s="13" t="str">
        <f t="shared" si="313"/>
        <v>-</v>
      </c>
      <c r="S1003" s="5"/>
      <c r="T1003" s="27" t="b">
        <f>IF($G1003&lt;&gt;0,SUMIF(куб!$G:$G,$G1003,куб!L:L),IF($E1003&lt;&gt;0,SUMIF(куб!$E:$E,$E1003,куб!L:L),IF($D1003&lt;&gt;0,SUMIF(куб!$D:$D,$D1003,куб!L:L),IF($C1003&lt;&gt;0,SUMIF(куб!$C:$C,$C1003,куб!L:L),IF($B1003&lt;&gt;0,SUMIF(куб!$B:$B,$B1003,куб!L:L))))))</f>
        <v>0</v>
      </c>
      <c r="U1003" s="27" t="b">
        <f>IF($G1003&lt;&gt;0,SUMIF(куб!$G:$G,$G1003,куб!M:M),IF($E1003&lt;&gt;0,SUMIF(куб!$E:$E,$E1003,куб!M:M),IF($D1003&lt;&gt;0,SUMIF(куб!$D:$D,$D1003,куб!M:M),IF($C1003&lt;&gt;0,SUMIF(куб!$C:$C,$C1003,куб!M:M),IF($B1003&lt;&gt;0,SUMIF(куб!$B:$B,$B1003,куб!M:M))))))</f>
        <v>0</v>
      </c>
      <c r="V1003" s="13" t="str">
        <f t="shared" si="314"/>
        <v>-</v>
      </c>
      <c r="W1003" s="5"/>
      <c r="X1003" s="27" t="b">
        <f>IF($G1003&lt;&gt;0,SUMIF(куб!$G:$G,$G1003,куб!N:N),IF($E1003&lt;&gt;0,SUMIF(куб!$E:$E,$E1003,куб!N:N),IF($D1003&lt;&gt;0,SUMIF(куб!$D:$D,$D1003,куб!N:N),IF($C1003&lt;&gt;0,SUMIF(куб!$C:$C,$C1003,куб!N:N),IF($B1003&lt;&gt;0,SUMIF(куб!$B:$B,$B1003,куб!N:N))))))</f>
        <v>0</v>
      </c>
      <c r="Y1003" s="27" t="b">
        <f>IF($G1003&lt;&gt;0,SUMIF(куб!$G:$G,$G1003,куб!O:O),IF($E1003&lt;&gt;0,SUMIF(куб!$E:$E,$E1003,куб!O:O),IF($D1003&lt;&gt;0,SUMIF(куб!$D:$D,$D1003,куб!O:O),IF($C1003&lt;&gt;0,SUMIF(куб!$C:$C,$C1003,куб!O:O),IF($B1003&lt;&gt;0,SUMIF(куб!$B:$B,$B1003,куб!O:O))))))</f>
        <v>0</v>
      </c>
      <c r="Z1003" s="13" t="str">
        <f t="shared" si="315"/>
        <v>-</v>
      </c>
      <c r="AA1003" s="5"/>
      <c r="AB1003" s="33" t="str">
        <f t="shared" si="316"/>
        <v/>
      </c>
      <c r="AC1003" s="33" t="str">
        <f t="shared" si="317"/>
        <v/>
      </c>
      <c r="AD1003" s="15" t="str">
        <f t="shared" si="318"/>
        <v xml:space="preserve"> </v>
      </c>
      <c r="AE1003" s="5"/>
      <c r="AF1003" s="27" t="b">
        <f>IF($G1003&lt;&gt;0,SUMIF(куб!$G:$G,$G1003,куб!R:R),IF($E1003&lt;&gt;0,SUMIF(куб!$E:$E,$E1003,куб!R:R),IF($D1003&lt;&gt;0,SUMIF(куб!$D:$D,$D1003,куб!R:R),IF($C1003&lt;&gt;0,SUMIF(куб!$C:$C,$C1003,куб!R:R),IF($B1003&lt;&gt;0,SUMIF(куб!$B:$B,$B1003,куб!R:R))))))</f>
        <v>0</v>
      </c>
      <c r="AG1003" s="27" t="b">
        <f>IF($G1003&lt;&gt;0,SUMIF(куб!$G:$G,$G1003,куб!S:S),IF($E1003&lt;&gt;0,SUMIF(куб!$E:$E,$E1003,куб!S:S),IF($D1003&lt;&gt;0,SUMIF(куб!$D:$D,$D1003,куб!S:S),IF($C1003&lt;&gt;0,SUMIF(куб!$C:$C,$C1003,куб!S:S),IF($B1003&lt;&gt;0,SUMIF(куб!$B:$B,$B1003,куб!S:S))))))</f>
        <v>0</v>
      </c>
      <c r="AH1003" s="16" t="str">
        <f t="shared" si="319"/>
        <v>-</v>
      </c>
      <c r="AI1003" s="8"/>
      <c r="AJ1003" s="27" t="b">
        <f>IF($G1003&lt;&gt;0,SUMIF(куб!$G:$G,$G1003,куб!T:T),IF($E1003&lt;&gt;0,SUMIF(куб!$E:$E,$E1003,куб!T:T),IF($D1003&lt;&gt;0,SUMIF(куб!$D:$D,$D1003,куб!T:T),IF($C1003&lt;&gt;0,SUMIF(куб!$C:$C,$C1003,куб!T:T),IF($B1003&lt;&gt;0,SUMIF(куб!$B:$B,$B1003,куб!T:T))))))</f>
        <v>0</v>
      </c>
      <c r="AK1003" s="27" t="b">
        <f>IF($G1003&lt;&gt;0,SUMIF(куб!$G:$G,$G1003,куб!U:U),IF($E1003&lt;&gt;0,SUMIF(куб!$E:$E,$E1003,куб!U:U),IF($D1003&lt;&gt;0,SUMIF(куб!$D:$D,$D1003,куб!U:U),IF($C1003&lt;&gt;0,SUMIF(куб!$C:$C,$C1003,куб!U:U),IF($B1003&lt;&gt;0,SUMIF(куб!$B:$B,$B1003,куб!U:U))))))</f>
        <v>0</v>
      </c>
      <c r="AL1003" s="16" t="str">
        <f t="shared" si="320"/>
        <v>-</v>
      </c>
      <c r="AM1003" s="8"/>
      <c r="AN1003" s="17" t="str">
        <f t="shared" si="321"/>
        <v xml:space="preserve"> </v>
      </c>
      <c r="AO1003" s="17" t="str">
        <f t="shared" si="322"/>
        <v xml:space="preserve"> </v>
      </c>
      <c r="AP1003" s="16" t="str">
        <f t="shared" si="323"/>
        <v>-</v>
      </c>
      <c r="AQ1003" s="8"/>
      <c r="AR1003" s="17" t="str">
        <f t="shared" si="324"/>
        <v>-</v>
      </c>
      <c r="AS1003" s="17" t="str">
        <f t="shared" si="325"/>
        <v>-</v>
      </c>
      <c r="AT1003" s="13" t="str">
        <f t="shared" si="326"/>
        <v>-</v>
      </c>
      <c r="AU1003" s="8"/>
    </row>
    <row r="1004" spans="1:47" x14ac:dyDescent="0.25">
      <c r="A1004" s="31"/>
      <c r="B1004" s="31"/>
      <c r="C1004"/>
      <c r="D1004" s="31"/>
      <c r="E1004"/>
      <c r="F1004" s="31"/>
      <c r="G1004"/>
      <c r="H1004" s="27">
        <f>IF($G1004&lt;&gt;0,SUMIF(куб!$G:$G,$G1004,куб!H:H),IF($E1004&lt;&gt;0,SUMIF(куб!$E:$E,$E1004,куб!H:H),IF($D1004&lt;&gt;0,SUMIF(куб!$D:$D,$D1004,куб!H:H),IF($C1004&lt;&gt;0,SUMIF(куб!$C:$C,$C1004,куб!H:H),IF($B1004&lt;&gt;0,SUMIF(куб!$B:$B,$B1004,куб!H:H),IF($G1004&lt;&gt;0,SUMIF(куб!$A:$A,$G1004,куб!H:H),SUMIF(куб!$A:$A,$G1004,куб!H:H)))))))</f>
        <v>0</v>
      </c>
      <c r="I1004" s="27">
        <f>IF($G1004&lt;&gt;0,SUMIF(куб!$G:$G,$G1004,куб!I:I),IF($E1004&lt;&gt;0,SUMIF(куб!$E:$E,$E1004,куб!I:I),IF($D1004&lt;&gt;0,SUMIF(куб!$D:$D,$D1004,куб!I:I),IF($C1004&lt;&gt;0,SUMIF(куб!$C:$C,$C1004,куб!I:I),IF($B1004&lt;&gt;0,SUMIF(куб!$B:$B,$B1004,куб!I:I),IF($G1004&lt;&gt;0,SUMIF(куб!$A:$A,$G1004,куб!I:I),SUMIF(куб!$A:$A,$G1004,куб!I:I)))))))</f>
        <v>0</v>
      </c>
      <c r="J1004" s="19" t="str">
        <f t="shared" si="309"/>
        <v>-</v>
      </c>
      <c r="K1004" s="8"/>
      <c r="L1004" s="17">
        <f t="shared" si="310"/>
        <v>0</v>
      </c>
      <c r="M1004" s="17">
        <f t="shared" si="311"/>
        <v>0</v>
      </c>
      <c r="N1004" s="12">
        <f t="shared" si="312"/>
        <v>0</v>
      </c>
      <c r="O1004" s="5"/>
      <c r="P1004" s="27" t="b">
        <f>IF($G1004&lt;&gt;0,SUMIF(куб!$G:$G,$G1004,куб!J:J),IF($E1004&lt;&gt;0,SUMIF(куб!$E:$E,$E1004,куб!J:J),IF($D1004&lt;&gt;0,SUMIF(куб!$D:$D,$D1004,куб!J:J),IF($C1004&lt;&gt;0,SUMIF(куб!$C:$C,$C1004,куб!J:J),IF($B1004&lt;&gt;0,SUMIF(куб!$B:$B,$B1004,куб!J:J))))))</f>
        <v>0</v>
      </c>
      <c r="Q1004" s="27" t="b">
        <f>IF($G1004&lt;&gt;0,SUMIF(куб!$G:$G,$G1004,куб!K:K),IF($E1004&lt;&gt;0,SUMIF(куб!$E:$E,$E1004,куб!K:K),IF($D1004&lt;&gt;0,SUMIF(куб!$D:$D,$D1004,куб!K:K),IF($C1004&lt;&gt;0,SUMIF(куб!$C:$C,$C1004,куб!K:K),IF($B1004&lt;&gt;0,SUMIF(куб!$B:$B,$B1004,куб!K:K))))))</f>
        <v>0</v>
      </c>
      <c r="R1004" s="13" t="str">
        <f t="shared" si="313"/>
        <v>-</v>
      </c>
      <c r="S1004" s="5"/>
      <c r="T1004" s="27" t="b">
        <f>IF($G1004&lt;&gt;0,SUMIF(куб!$G:$G,$G1004,куб!L:L),IF($E1004&lt;&gt;0,SUMIF(куб!$E:$E,$E1004,куб!L:L),IF($D1004&lt;&gt;0,SUMIF(куб!$D:$D,$D1004,куб!L:L),IF($C1004&lt;&gt;0,SUMIF(куб!$C:$C,$C1004,куб!L:L),IF($B1004&lt;&gt;0,SUMIF(куб!$B:$B,$B1004,куб!L:L))))))</f>
        <v>0</v>
      </c>
      <c r="U1004" s="27" t="b">
        <f>IF($G1004&lt;&gt;0,SUMIF(куб!$G:$G,$G1004,куб!M:M),IF($E1004&lt;&gt;0,SUMIF(куб!$E:$E,$E1004,куб!M:M),IF($D1004&lt;&gt;0,SUMIF(куб!$D:$D,$D1004,куб!M:M),IF($C1004&lt;&gt;0,SUMIF(куб!$C:$C,$C1004,куб!M:M),IF($B1004&lt;&gt;0,SUMIF(куб!$B:$B,$B1004,куб!M:M))))))</f>
        <v>0</v>
      </c>
      <c r="V1004" s="13" t="str">
        <f t="shared" si="314"/>
        <v>-</v>
      </c>
      <c r="W1004" s="5"/>
      <c r="X1004" s="27" t="b">
        <f>IF($G1004&lt;&gt;0,SUMIF(куб!$G:$G,$G1004,куб!N:N),IF($E1004&lt;&gt;0,SUMIF(куб!$E:$E,$E1004,куб!N:N),IF($D1004&lt;&gt;0,SUMIF(куб!$D:$D,$D1004,куб!N:N),IF($C1004&lt;&gt;0,SUMIF(куб!$C:$C,$C1004,куб!N:N),IF($B1004&lt;&gt;0,SUMIF(куб!$B:$B,$B1004,куб!N:N))))))</f>
        <v>0</v>
      </c>
      <c r="Y1004" s="27" t="b">
        <f>IF($G1004&lt;&gt;0,SUMIF(куб!$G:$G,$G1004,куб!O:O),IF($E1004&lt;&gt;0,SUMIF(куб!$E:$E,$E1004,куб!O:O),IF($D1004&lt;&gt;0,SUMIF(куб!$D:$D,$D1004,куб!O:O),IF($C1004&lt;&gt;0,SUMIF(куб!$C:$C,$C1004,куб!O:O),IF($B1004&lt;&gt;0,SUMIF(куб!$B:$B,$B1004,куб!O:O))))))</f>
        <v>0</v>
      </c>
      <c r="Z1004" s="13" t="str">
        <f t="shared" si="315"/>
        <v>-</v>
      </c>
      <c r="AA1004" s="5"/>
      <c r="AB1004" s="33" t="str">
        <f t="shared" si="316"/>
        <v/>
      </c>
      <c r="AC1004" s="33" t="str">
        <f t="shared" si="317"/>
        <v/>
      </c>
      <c r="AD1004" s="15" t="str">
        <f t="shared" si="318"/>
        <v xml:space="preserve"> </v>
      </c>
      <c r="AE1004" s="5"/>
      <c r="AF1004" s="27" t="b">
        <f>IF($G1004&lt;&gt;0,SUMIF(куб!$G:$G,$G1004,куб!R:R),IF($E1004&lt;&gt;0,SUMIF(куб!$E:$E,$E1004,куб!R:R),IF($D1004&lt;&gt;0,SUMIF(куб!$D:$D,$D1004,куб!R:R),IF($C1004&lt;&gt;0,SUMIF(куб!$C:$C,$C1004,куб!R:R),IF($B1004&lt;&gt;0,SUMIF(куб!$B:$B,$B1004,куб!R:R))))))</f>
        <v>0</v>
      </c>
      <c r="AG1004" s="27" t="b">
        <f>IF($G1004&lt;&gt;0,SUMIF(куб!$G:$G,$G1004,куб!S:S),IF($E1004&lt;&gt;0,SUMIF(куб!$E:$E,$E1004,куб!S:S),IF($D1004&lt;&gt;0,SUMIF(куб!$D:$D,$D1004,куб!S:S),IF($C1004&lt;&gt;0,SUMIF(куб!$C:$C,$C1004,куб!S:S),IF($B1004&lt;&gt;0,SUMIF(куб!$B:$B,$B1004,куб!S:S))))))</f>
        <v>0</v>
      </c>
      <c r="AH1004" s="16" t="str">
        <f t="shared" si="319"/>
        <v>-</v>
      </c>
      <c r="AI1004" s="8"/>
      <c r="AJ1004" s="27" t="b">
        <f>IF($G1004&lt;&gt;0,SUMIF(куб!$G:$G,$G1004,куб!T:T),IF($E1004&lt;&gt;0,SUMIF(куб!$E:$E,$E1004,куб!T:T),IF($D1004&lt;&gt;0,SUMIF(куб!$D:$D,$D1004,куб!T:T),IF($C1004&lt;&gt;0,SUMIF(куб!$C:$C,$C1004,куб!T:T),IF($B1004&lt;&gt;0,SUMIF(куб!$B:$B,$B1004,куб!T:T))))))</f>
        <v>0</v>
      </c>
      <c r="AK1004" s="27" t="b">
        <f>IF($G1004&lt;&gt;0,SUMIF(куб!$G:$G,$G1004,куб!U:U),IF($E1004&lt;&gt;0,SUMIF(куб!$E:$E,$E1004,куб!U:U),IF($D1004&lt;&gt;0,SUMIF(куб!$D:$D,$D1004,куб!U:U),IF($C1004&lt;&gt;0,SUMIF(куб!$C:$C,$C1004,куб!U:U),IF($B1004&lt;&gt;0,SUMIF(куб!$B:$B,$B1004,куб!U:U))))))</f>
        <v>0</v>
      </c>
      <c r="AL1004" s="16" t="str">
        <f t="shared" si="320"/>
        <v>-</v>
      </c>
      <c r="AM1004" s="8"/>
      <c r="AN1004" s="17" t="str">
        <f t="shared" si="321"/>
        <v xml:space="preserve"> </v>
      </c>
      <c r="AO1004" s="17" t="str">
        <f t="shared" si="322"/>
        <v xml:space="preserve"> </v>
      </c>
      <c r="AP1004" s="16" t="str">
        <f t="shared" si="323"/>
        <v>-</v>
      </c>
      <c r="AQ1004" s="8"/>
      <c r="AR1004" s="17" t="str">
        <f t="shared" si="324"/>
        <v>-</v>
      </c>
      <c r="AS1004" s="17" t="str">
        <f t="shared" si="325"/>
        <v>-</v>
      </c>
      <c r="AT1004" s="13" t="str">
        <f t="shared" si="326"/>
        <v>-</v>
      </c>
      <c r="AU1004" s="8"/>
    </row>
    <row r="1005" spans="1:47" x14ac:dyDescent="0.25">
      <c r="A1005" s="31"/>
      <c r="B1005" s="31"/>
      <c r="C1005"/>
      <c r="D1005" s="31"/>
      <c r="E1005"/>
      <c r="F1005" s="31"/>
      <c r="G1005"/>
      <c r="H1005" s="27">
        <f>IF($G1005&lt;&gt;0,SUMIF(куб!$G:$G,$G1005,куб!H:H),IF($E1005&lt;&gt;0,SUMIF(куб!$E:$E,$E1005,куб!H:H),IF($D1005&lt;&gt;0,SUMIF(куб!$D:$D,$D1005,куб!H:H),IF($C1005&lt;&gt;0,SUMIF(куб!$C:$C,$C1005,куб!H:H),IF($B1005&lt;&gt;0,SUMIF(куб!$B:$B,$B1005,куб!H:H),IF($G1005&lt;&gt;0,SUMIF(куб!$A:$A,$G1005,куб!H:H),SUMIF(куб!$A:$A,$G1005,куб!H:H)))))))</f>
        <v>0</v>
      </c>
      <c r="I1005" s="27">
        <f>IF($G1005&lt;&gt;0,SUMIF(куб!$G:$G,$G1005,куб!I:I),IF($E1005&lt;&gt;0,SUMIF(куб!$E:$E,$E1005,куб!I:I),IF($D1005&lt;&gt;0,SUMIF(куб!$D:$D,$D1005,куб!I:I),IF($C1005&lt;&gt;0,SUMIF(куб!$C:$C,$C1005,куб!I:I),IF($B1005&lt;&gt;0,SUMIF(куб!$B:$B,$B1005,куб!I:I),IF($G1005&lt;&gt;0,SUMIF(куб!$A:$A,$G1005,куб!I:I),SUMIF(куб!$A:$A,$G1005,куб!I:I)))))))</f>
        <v>0</v>
      </c>
      <c r="J1005" s="19" t="str">
        <f t="shared" si="309"/>
        <v>-</v>
      </c>
      <c r="K1005" s="8"/>
      <c r="L1005" s="17">
        <f t="shared" si="310"/>
        <v>0</v>
      </c>
      <c r="M1005" s="17">
        <f t="shared" si="311"/>
        <v>0</v>
      </c>
      <c r="N1005" s="12">
        <f t="shared" si="312"/>
        <v>0</v>
      </c>
      <c r="O1005" s="5"/>
      <c r="P1005" s="27" t="b">
        <f>IF($G1005&lt;&gt;0,SUMIF(куб!$G:$G,$G1005,куб!J:J),IF($E1005&lt;&gt;0,SUMIF(куб!$E:$E,$E1005,куб!J:J),IF($D1005&lt;&gt;0,SUMIF(куб!$D:$D,$D1005,куб!J:J),IF($C1005&lt;&gt;0,SUMIF(куб!$C:$C,$C1005,куб!J:J),IF($B1005&lt;&gt;0,SUMIF(куб!$B:$B,$B1005,куб!J:J))))))</f>
        <v>0</v>
      </c>
      <c r="Q1005" s="27" t="b">
        <f>IF($G1005&lt;&gt;0,SUMIF(куб!$G:$G,$G1005,куб!K:K),IF($E1005&lt;&gt;0,SUMIF(куб!$E:$E,$E1005,куб!K:K),IF($D1005&lt;&gt;0,SUMIF(куб!$D:$D,$D1005,куб!K:K),IF($C1005&lt;&gt;0,SUMIF(куб!$C:$C,$C1005,куб!K:K),IF($B1005&lt;&gt;0,SUMIF(куб!$B:$B,$B1005,куб!K:K))))))</f>
        <v>0</v>
      </c>
      <c r="R1005" s="13" t="str">
        <f t="shared" si="313"/>
        <v>-</v>
      </c>
      <c r="S1005" s="5"/>
      <c r="T1005" s="27" t="b">
        <f>IF($G1005&lt;&gt;0,SUMIF(куб!$G:$G,$G1005,куб!L:L),IF($E1005&lt;&gt;0,SUMIF(куб!$E:$E,$E1005,куб!L:L),IF($D1005&lt;&gt;0,SUMIF(куб!$D:$D,$D1005,куб!L:L),IF($C1005&lt;&gt;0,SUMIF(куб!$C:$C,$C1005,куб!L:L),IF($B1005&lt;&gt;0,SUMIF(куб!$B:$B,$B1005,куб!L:L))))))</f>
        <v>0</v>
      </c>
      <c r="U1005" s="27" t="b">
        <f>IF($G1005&lt;&gt;0,SUMIF(куб!$G:$G,$G1005,куб!M:M),IF($E1005&lt;&gt;0,SUMIF(куб!$E:$E,$E1005,куб!M:M),IF($D1005&lt;&gt;0,SUMIF(куб!$D:$D,$D1005,куб!M:M),IF($C1005&lt;&gt;0,SUMIF(куб!$C:$C,$C1005,куб!M:M),IF($B1005&lt;&gt;0,SUMIF(куб!$B:$B,$B1005,куб!M:M))))))</f>
        <v>0</v>
      </c>
      <c r="V1005" s="13" t="str">
        <f t="shared" si="314"/>
        <v>-</v>
      </c>
      <c r="W1005" s="5"/>
      <c r="X1005" s="27" t="b">
        <f>IF($G1005&lt;&gt;0,SUMIF(куб!$G:$G,$G1005,куб!N:N),IF($E1005&lt;&gt;0,SUMIF(куб!$E:$E,$E1005,куб!N:N),IF($D1005&lt;&gt;0,SUMIF(куб!$D:$D,$D1005,куб!N:N),IF($C1005&lt;&gt;0,SUMIF(куб!$C:$C,$C1005,куб!N:N),IF($B1005&lt;&gt;0,SUMIF(куб!$B:$B,$B1005,куб!N:N))))))</f>
        <v>0</v>
      </c>
      <c r="Y1005" s="27" t="b">
        <f>IF($G1005&lt;&gt;0,SUMIF(куб!$G:$G,$G1005,куб!O:O),IF($E1005&lt;&gt;0,SUMIF(куб!$E:$E,$E1005,куб!O:O),IF($D1005&lt;&gt;0,SUMIF(куб!$D:$D,$D1005,куб!O:O),IF($C1005&lt;&gt;0,SUMIF(куб!$C:$C,$C1005,куб!O:O),IF($B1005&lt;&gt;0,SUMIF(куб!$B:$B,$B1005,куб!O:O))))))</f>
        <v>0</v>
      </c>
      <c r="Z1005" s="13" t="str">
        <f t="shared" si="315"/>
        <v>-</v>
      </c>
      <c r="AA1005" s="5"/>
      <c r="AB1005" s="33" t="str">
        <f t="shared" si="316"/>
        <v/>
      </c>
      <c r="AC1005" s="33" t="str">
        <f t="shared" si="317"/>
        <v/>
      </c>
      <c r="AD1005" s="15" t="str">
        <f t="shared" si="318"/>
        <v xml:space="preserve"> </v>
      </c>
      <c r="AE1005" s="5"/>
      <c r="AF1005" s="27" t="b">
        <f>IF($G1005&lt;&gt;0,SUMIF(куб!$G:$G,$G1005,куб!R:R),IF($E1005&lt;&gt;0,SUMIF(куб!$E:$E,$E1005,куб!R:R),IF($D1005&lt;&gt;0,SUMIF(куб!$D:$D,$D1005,куб!R:R),IF($C1005&lt;&gt;0,SUMIF(куб!$C:$C,$C1005,куб!R:R),IF($B1005&lt;&gt;0,SUMIF(куб!$B:$B,$B1005,куб!R:R))))))</f>
        <v>0</v>
      </c>
      <c r="AG1005" s="27" t="b">
        <f>IF($G1005&lt;&gt;0,SUMIF(куб!$G:$G,$G1005,куб!S:S),IF($E1005&lt;&gt;0,SUMIF(куб!$E:$E,$E1005,куб!S:S),IF($D1005&lt;&gt;0,SUMIF(куб!$D:$D,$D1005,куб!S:S),IF($C1005&lt;&gt;0,SUMIF(куб!$C:$C,$C1005,куб!S:S),IF($B1005&lt;&gt;0,SUMIF(куб!$B:$B,$B1005,куб!S:S))))))</f>
        <v>0</v>
      </c>
      <c r="AH1005" s="16" t="str">
        <f t="shared" si="319"/>
        <v>-</v>
      </c>
      <c r="AI1005" s="8"/>
      <c r="AJ1005" s="27" t="b">
        <f>IF($G1005&lt;&gt;0,SUMIF(куб!$G:$G,$G1005,куб!T:T),IF($E1005&lt;&gt;0,SUMIF(куб!$E:$E,$E1005,куб!T:T),IF($D1005&lt;&gt;0,SUMIF(куб!$D:$D,$D1005,куб!T:T),IF($C1005&lt;&gt;0,SUMIF(куб!$C:$C,$C1005,куб!T:T),IF($B1005&lt;&gt;0,SUMIF(куб!$B:$B,$B1005,куб!T:T))))))</f>
        <v>0</v>
      </c>
      <c r="AK1005" s="27" t="b">
        <f>IF($G1005&lt;&gt;0,SUMIF(куб!$G:$G,$G1005,куб!U:U),IF($E1005&lt;&gt;0,SUMIF(куб!$E:$E,$E1005,куб!U:U),IF($D1005&lt;&gt;0,SUMIF(куб!$D:$D,$D1005,куб!U:U),IF($C1005&lt;&gt;0,SUMIF(куб!$C:$C,$C1005,куб!U:U),IF($B1005&lt;&gt;0,SUMIF(куб!$B:$B,$B1005,куб!U:U))))))</f>
        <v>0</v>
      </c>
      <c r="AL1005" s="16" t="str">
        <f t="shared" si="320"/>
        <v>-</v>
      </c>
      <c r="AM1005" s="8"/>
      <c r="AN1005" s="17" t="str">
        <f t="shared" si="321"/>
        <v xml:space="preserve"> </v>
      </c>
      <c r="AO1005" s="17" t="str">
        <f t="shared" si="322"/>
        <v xml:space="preserve"> </v>
      </c>
      <c r="AP1005" s="16" t="str">
        <f t="shared" si="323"/>
        <v>-</v>
      </c>
      <c r="AQ1005" s="8"/>
      <c r="AR1005" s="17" t="str">
        <f t="shared" si="324"/>
        <v>-</v>
      </c>
      <c r="AS1005" s="17" t="str">
        <f t="shared" si="325"/>
        <v>-</v>
      </c>
      <c r="AT1005" s="13" t="str">
        <f t="shared" si="326"/>
        <v>-</v>
      </c>
      <c r="AU1005" s="8"/>
    </row>
    <row r="1006" spans="1:47" x14ac:dyDescent="0.25">
      <c r="A1006" s="31"/>
      <c r="B1006" s="31"/>
      <c r="C1006"/>
      <c r="D1006" s="31"/>
      <c r="E1006"/>
      <c r="F1006" s="31"/>
      <c r="G1006"/>
      <c r="H1006" s="27">
        <f>IF($G1006&lt;&gt;0,SUMIF(куб!$G:$G,$G1006,куб!H:H),IF($E1006&lt;&gt;0,SUMIF(куб!$E:$E,$E1006,куб!H:H),IF($D1006&lt;&gt;0,SUMIF(куб!$D:$D,$D1006,куб!H:H),IF($C1006&lt;&gt;0,SUMIF(куб!$C:$C,$C1006,куб!H:H),IF($B1006&lt;&gt;0,SUMIF(куб!$B:$B,$B1006,куб!H:H),IF($G1006&lt;&gt;0,SUMIF(куб!$A:$A,$G1006,куб!H:H),SUMIF(куб!$A:$A,$G1006,куб!H:H)))))))</f>
        <v>0</v>
      </c>
      <c r="I1006" s="27">
        <f>IF($G1006&lt;&gt;0,SUMIF(куб!$G:$G,$G1006,куб!I:I),IF($E1006&lt;&gt;0,SUMIF(куб!$E:$E,$E1006,куб!I:I),IF($D1006&lt;&gt;0,SUMIF(куб!$D:$D,$D1006,куб!I:I),IF($C1006&lt;&gt;0,SUMIF(куб!$C:$C,$C1006,куб!I:I),IF($B1006&lt;&gt;0,SUMIF(куб!$B:$B,$B1006,куб!I:I),IF($G1006&lt;&gt;0,SUMIF(куб!$A:$A,$G1006,куб!I:I),SUMIF(куб!$A:$A,$G1006,куб!I:I)))))))</f>
        <v>0</v>
      </c>
      <c r="J1006" s="19" t="str">
        <f t="shared" si="309"/>
        <v>-</v>
      </c>
      <c r="K1006" s="8"/>
      <c r="L1006" s="17">
        <f t="shared" si="310"/>
        <v>0</v>
      </c>
      <c r="M1006" s="17">
        <f t="shared" si="311"/>
        <v>0</v>
      </c>
      <c r="N1006" s="12">
        <f t="shared" si="312"/>
        <v>0</v>
      </c>
      <c r="O1006" s="5"/>
      <c r="P1006" s="27" t="b">
        <f>IF($G1006&lt;&gt;0,SUMIF(куб!$G:$G,$G1006,куб!J:J),IF($E1006&lt;&gt;0,SUMIF(куб!$E:$E,$E1006,куб!J:J),IF($D1006&lt;&gt;0,SUMIF(куб!$D:$D,$D1006,куб!J:J),IF($C1006&lt;&gt;0,SUMIF(куб!$C:$C,$C1006,куб!J:J),IF($B1006&lt;&gt;0,SUMIF(куб!$B:$B,$B1006,куб!J:J))))))</f>
        <v>0</v>
      </c>
      <c r="Q1006" s="27" t="b">
        <f>IF($G1006&lt;&gt;0,SUMIF(куб!$G:$G,$G1006,куб!K:K),IF($E1006&lt;&gt;0,SUMIF(куб!$E:$E,$E1006,куб!K:K),IF($D1006&lt;&gt;0,SUMIF(куб!$D:$D,$D1006,куб!K:K),IF($C1006&lt;&gt;0,SUMIF(куб!$C:$C,$C1006,куб!K:K),IF($B1006&lt;&gt;0,SUMIF(куб!$B:$B,$B1006,куб!K:K))))))</f>
        <v>0</v>
      </c>
      <c r="R1006" s="13" t="str">
        <f t="shared" si="313"/>
        <v>-</v>
      </c>
      <c r="S1006" s="5"/>
      <c r="T1006" s="27" t="b">
        <f>IF($G1006&lt;&gt;0,SUMIF(куб!$G:$G,$G1006,куб!L:L),IF($E1006&lt;&gt;0,SUMIF(куб!$E:$E,$E1006,куб!L:L),IF($D1006&lt;&gt;0,SUMIF(куб!$D:$D,$D1006,куб!L:L),IF($C1006&lt;&gt;0,SUMIF(куб!$C:$C,$C1006,куб!L:L),IF($B1006&lt;&gt;0,SUMIF(куб!$B:$B,$B1006,куб!L:L))))))</f>
        <v>0</v>
      </c>
      <c r="U1006" s="27" t="b">
        <f>IF($G1006&lt;&gt;0,SUMIF(куб!$G:$G,$G1006,куб!M:M),IF($E1006&lt;&gt;0,SUMIF(куб!$E:$E,$E1006,куб!M:M),IF($D1006&lt;&gt;0,SUMIF(куб!$D:$D,$D1006,куб!M:M),IF($C1006&lt;&gt;0,SUMIF(куб!$C:$C,$C1006,куб!M:M),IF($B1006&lt;&gt;0,SUMIF(куб!$B:$B,$B1006,куб!M:M))))))</f>
        <v>0</v>
      </c>
      <c r="V1006" s="13" t="str">
        <f t="shared" si="314"/>
        <v>-</v>
      </c>
      <c r="W1006" s="5"/>
      <c r="X1006" s="27" t="b">
        <f>IF($G1006&lt;&gt;0,SUMIF(куб!$G:$G,$G1006,куб!N:N),IF($E1006&lt;&gt;0,SUMIF(куб!$E:$E,$E1006,куб!N:N),IF($D1006&lt;&gt;0,SUMIF(куб!$D:$D,$D1006,куб!N:N),IF($C1006&lt;&gt;0,SUMIF(куб!$C:$C,$C1006,куб!N:N),IF($B1006&lt;&gt;0,SUMIF(куб!$B:$B,$B1006,куб!N:N))))))</f>
        <v>0</v>
      </c>
      <c r="Y1006" s="27" t="b">
        <f>IF($G1006&lt;&gt;0,SUMIF(куб!$G:$G,$G1006,куб!O:O),IF($E1006&lt;&gt;0,SUMIF(куб!$E:$E,$E1006,куб!O:O),IF($D1006&lt;&gt;0,SUMIF(куб!$D:$D,$D1006,куб!O:O),IF($C1006&lt;&gt;0,SUMIF(куб!$C:$C,$C1006,куб!O:O),IF($B1006&lt;&gt;0,SUMIF(куб!$B:$B,$B1006,куб!O:O))))))</f>
        <v>0</v>
      </c>
      <c r="Z1006" s="13" t="str">
        <f t="shared" si="315"/>
        <v>-</v>
      </c>
      <c r="AA1006" s="5"/>
      <c r="AB1006" s="33" t="str">
        <f t="shared" si="316"/>
        <v/>
      </c>
      <c r="AC1006" s="33" t="str">
        <f t="shared" si="317"/>
        <v/>
      </c>
      <c r="AD1006" s="15" t="str">
        <f t="shared" si="318"/>
        <v xml:space="preserve"> </v>
      </c>
      <c r="AE1006" s="5"/>
      <c r="AF1006" s="27" t="b">
        <f>IF($G1006&lt;&gt;0,SUMIF(куб!$G:$G,$G1006,куб!R:R),IF($E1006&lt;&gt;0,SUMIF(куб!$E:$E,$E1006,куб!R:R),IF($D1006&lt;&gt;0,SUMIF(куб!$D:$D,$D1006,куб!R:R),IF($C1006&lt;&gt;0,SUMIF(куб!$C:$C,$C1006,куб!R:R),IF($B1006&lt;&gt;0,SUMIF(куб!$B:$B,$B1006,куб!R:R))))))</f>
        <v>0</v>
      </c>
      <c r="AG1006" s="27" t="b">
        <f>IF($G1006&lt;&gt;0,SUMIF(куб!$G:$G,$G1006,куб!S:S),IF($E1006&lt;&gt;0,SUMIF(куб!$E:$E,$E1006,куб!S:S),IF($D1006&lt;&gt;0,SUMIF(куб!$D:$D,$D1006,куб!S:S),IF($C1006&lt;&gt;0,SUMIF(куб!$C:$C,$C1006,куб!S:S),IF($B1006&lt;&gt;0,SUMIF(куб!$B:$B,$B1006,куб!S:S))))))</f>
        <v>0</v>
      </c>
      <c r="AH1006" s="16" t="str">
        <f t="shared" si="319"/>
        <v>-</v>
      </c>
      <c r="AI1006" s="8"/>
      <c r="AJ1006" s="27" t="b">
        <f>IF($G1006&lt;&gt;0,SUMIF(куб!$G:$G,$G1006,куб!T:T),IF($E1006&lt;&gt;0,SUMIF(куб!$E:$E,$E1006,куб!T:T),IF($D1006&lt;&gt;0,SUMIF(куб!$D:$D,$D1006,куб!T:T),IF($C1006&lt;&gt;0,SUMIF(куб!$C:$C,$C1006,куб!T:T),IF($B1006&lt;&gt;0,SUMIF(куб!$B:$B,$B1006,куб!T:T))))))</f>
        <v>0</v>
      </c>
      <c r="AK1006" s="27" t="b">
        <f>IF($G1006&lt;&gt;0,SUMIF(куб!$G:$G,$G1006,куб!U:U),IF($E1006&lt;&gt;0,SUMIF(куб!$E:$E,$E1006,куб!U:U),IF($D1006&lt;&gt;0,SUMIF(куб!$D:$D,$D1006,куб!U:U),IF($C1006&lt;&gt;0,SUMIF(куб!$C:$C,$C1006,куб!U:U),IF($B1006&lt;&gt;0,SUMIF(куб!$B:$B,$B1006,куб!U:U))))))</f>
        <v>0</v>
      </c>
      <c r="AL1006" s="16" t="str">
        <f t="shared" si="320"/>
        <v>-</v>
      </c>
      <c r="AM1006" s="8"/>
      <c r="AN1006" s="17" t="str">
        <f t="shared" si="321"/>
        <v xml:space="preserve"> </v>
      </c>
      <c r="AO1006" s="17" t="str">
        <f t="shared" si="322"/>
        <v xml:space="preserve"> </v>
      </c>
      <c r="AP1006" s="16" t="str">
        <f t="shared" si="323"/>
        <v>-</v>
      </c>
      <c r="AQ1006" s="8"/>
      <c r="AR1006" s="17" t="str">
        <f t="shared" si="324"/>
        <v>-</v>
      </c>
      <c r="AS1006" s="17" t="str">
        <f t="shared" si="325"/>
        <v>-</v>
      </c>
      <c r="AT1006" s="13" t="str">
        <f t="shared" si="326"/>
        <v>-</v>
      </c>
      <c r="AU1006" s="8"/>
    </row>
    <row r="1007" spans="1:47" x14ac:dyDescent="0.25">
      <c r="A1007" s="31"/>
      <c r="B1007" s="31"/>
      <c r="C1007"/>
      <c r="D1007" s="31"/>
      <c r="E1007"/>
      <c r="F1007" s="31"/>
      <c r="G1007"/>
      <c r="H1007" s="27">
        <f>IF($G1007&lt;&gt;0,SUMIF(куб!$G:$G,$G1007,куб!H:H),IF($E1007&lt;&gt;0,SUMIF(куб!$E:$E,$E1007,куб!H:H),IF($D1007&lt;&gt;0,SUMIF(куб!$D:$D,$D1007,куб!H:H),IF($C1007&lt;&gt;0,SUMIF(куб!$C:$C,$C1007,куб!H:H),IF($B1007&lt;&gt;0,SUMIF(куб!$B:$B,$B1007,куб!H:H),IF($G1007&lt;&gt;0,SUMIF(куб!$A:$A,$G1007,куб!H:H),SUMIF(куб!$A:$A,$G1007,куб!H:H)))))))</f>
        <v>0</v>
      </c>
      <c r="I1007" s="27">
        <f>IF($G1007&lt;&gt;0,SUMIF(куб!$G:$G,$G1007,куб!I:I),IF($E1007&lt;&gt;0,SUMIF(куб!$E:$E,$E1007,куб!I:I),IF($D1007&lt;&gt;0,SUMIF(куб!$D:$D,$D1007,куб!I:I),IF($C1007&lt;&gt;0,SUMIF(куб!$C:$C,$C1007,куб!I:I),IF($B1007&lt;&gt;0,SUMIF(куб!$B:$B,$B1007,куб!I:I),IF($G1007&lt;&gt;0,SUMIF(куб!$A:$A,$G1007,куб!I:I),SUMIF(куб!$A:$A,$G1007,куб!I:I)))))))</f>
        <v>0</v>
      </c>
      <c r="J1007" s="19" t="str">
        <f t="shared" si="309"/>
        <v>-</v>
      </c>
      <c r="K1007" s="8"/>
      <c r="L1007" s="17">
        <f t="shared" si="310"/>
        <v>0</v>
      </c>
      <c r="M1007" s="17">
        <f t="shared" si="311"/>
        <v>0</v>
      </c>
      <c r="N1007" s="12">
        <f t="shared" si="312"/>
        <v>0</v>
      </c>
      <c r="O1007" s="5"/>
      <c r="P1007" s="27" t="b">
        <f>IF($G1007&lt;&gt;0,SUMIF(куб!$G:$G,$G1007,куб!J:J),IF($E1007&lt;&gt;0,SUMIF(куб!$E:$E,$E1007,куб!J:J),IF($D1007&lt;&gt;0,SUMIF(куб!$D:$D,$D1007,куб!J:J),IF($C1007&lt;&gt;0,SUMIF(куб!$C:$C,$C1007,куб!J:J),IF($B1007&lt;&gt;0,SUMIF(куб!$B:$B,$B1007,куб!J:J))))))</f>
        <v>0</v>
      </c>
      <c r="Q1007" s="27" t="b">
        <f>IF($G1007&lt;&gt;0,SUMIF(куб!$G:$G,$G1007,куб!K:K),IF($E1007&lt;&gt;0,SUMIF(куб!$E:$E,$E1007,куб!K:K),IF($D1007&lt;&gt;0,SUMIF(куб!$D:$D,$D1007,куб!K:K),IF($C1007&lt;&gt;0,SUMIF(куб!$C:$C,$C1007,куб!K:K),IF($B1007&lt;&gt;0,SUMIF(куб!$B:$B,$B1007,куб!K:K))))))</f>
        <v>0</v>
      </c>
      <c r="R1007" s="13" t="str">
        <f t="shared" si="313"/>
        <v>-</v>
      </c>
      <c r="S1007" s="5"/>
      <c r="T1007" s="27" t="b">
        <f>IF($G1007&lt;&gt;0,SUMIF(куб!$G:$G,$G1007,куб!L:L),IF($E1007&lt;&gt;0,SUMIF(куб!$E:$E,$E1007,куб!L:L),IF($D1007&lt;&gt;0,SUMIF(куб!$D:$D,$D1007,куб!L:L),IF($C1007&lt;&gt;0,SUMIF(куб!$C:$C,$C1007,куб!L:L),IF($B1007&lt;&gt;0,SUMIF(куб!$B:$B,$B1007,куб!L:L))))))</f>
        <v>0</v>
      </c>
      <c r="U1007" s="27" t="b">
        <f>IF($G1007&lt;&gt;0,SUMIF(куб!$G:$G,$G1007,куб!M:M),IF($E1007&lt;&gt;0,SUMIF(куб!$E:$E,$E1007,куб!M:M),IF($D1007&lt;&gt;0,SUMIF(куб!$D:$D,$D1007,куб!M:M),IF($C1007&lt;&gt;0,SUMIF(куб!$C:$C,$C1007,куб!M:M),IF($B1007&lt;&gt;0,SUMIF(куб!$B:$B,$B1007,куб!M:M))))))</f>
        <v>0</v>
      </c>
      <c r="V1007" s="13" t="str">
        <f t="shared" si="314"/>
        <v>-</v>
      </c>
      <c r="W1007" s="5"/>
      <c r="X1007" s="27" t="b">
        <f>IF($G1007&lt;&gt;0,SUMIF(куб!$G:$G,$G1007,куб!N:N),IF($E1007&lt;&gt;0,SUMIF(куб!$E:$E,$E1007,куб!N:N),IF($D1007&lt;&gt;0,SUMIF(куб!$D:$D,$D1007,куб!N:N),IF($C1007&lt;&gt;0,SUMIF(куб!$C:$C,$C1007,куб!N:N),IF($B1007&lt;&gt;0,SUMIF(куб!$B:$B,$B1007,куб!N:N))))))</f>
        <v>0</v>
      </c>
      <c r="Y1007" s="27" t="b">
        <f>IF($G1007&lt;&gt;0,SUMIF(куб!$G:$G,$G1007,куб!O:O),IF($E1007&lt;&gt;0,SUMIF(куб!$E:$E,$E1007,куб!O:O),IF($D1007&lt;&gt;0,SUMIF(куб!$D:$D,$D1007,куб!O:O),IF($C1007&lt;&gt;0,SUMIF(куб!$C:$C,$C1007,куб!O:O),IF($B1007&lt;&gt;0,SUMIF(куб!$B:$B,$B1007,куб!O:O))))))</f>
        <v>0</v>
      </c>
      <c r="Z1007" s="13" t="str">
        <f t="shared" si="315"/>
        <v>-</v>
      </c>
      <c r="AA1007" s="5"/>
      <c r="AB1007" s="33" t="str">
        <f t="shared" si="316"/>
        <v/>
      </c>
      <c r="AC1007" s="33" t="str">
        <f t="shared" si="317"/>
        <v/>
      </c>
      <c r="AD1007" s="15" t="str">
        <f t="shared" si="318"/>
        <v xml:space="preserve"> </v>
      </c>
      <c r="AE1007" s="5"/>
      <c r="AF1007" s="27" t="b">
        <f>IF($G1007&lt;&gt;0,SUMIF(куб!$G:$G,$G1007,куб!R:R),IF($E1007&lt;&gt;0,SUMIF(куб!$E:$E,$E1007,куб!R:R),IF($D1007&lt;&gt;0,SUMIF(куб!$D:$D,$D1007,куб!R:R),IF($C1007&lt;&gt;0,SUMIF(куб!$C:$C,$C1007,куб!R:R),IF($B1007&lt;&gt;0,SUMIF(куб!$B:$B,$B1007,куб!R:R))))))</f>
        <v>0</v>
      </c>
      <c r="AG1007" s="27" t="b">
        <f>IF($G1007&lt;&gt;0,SUMIF(куб!$G:$G,$G1007,куб!S:S),IF($E1007&lt;&gt;0,SUMIF(куб!$E:$E,$E1007,куб!S:S),IF($D1007&lt;&gt;0,SUMIF(куб!$D:$D,$D1007,куб!S:S),IF($C1007&lt;&gt;0,SUMIF(куб!$C:$C,$C1007,куб!S:S),IF($B1007&lt;&gt;0,SUMIF(куб!$B:$B,$B1007,куб!S:S))))))</f>
        <v>0</v>
      </c>
      <c r="AH1007" s="16" t="str">
        <f t="shared" si="319"/>
        <v>-</v>
      </c>
      <c r="AI1007" s="8"/>
      <c r="AJ1007" s="27" t="b">
        <f>IF($G1007&lt;&gt;0,SUMIF(куб!$G:$G,$G1007,куб!T:T),IF($E1007&lt;&gt;0,SUMIF(куб!$E:$E,$E1007,куб!T:T),IF($D1007&lt;&gt;0,SUMIF(куб!$D:$D,$D1007,куб!T:T),IF($C1007&lt;&gt;0,SUMIF(куб!$C:$C,$C1007,куб!T:T),IF($B1007&lt;&gt;0,SUMIF(куб!$B:$B,$B1007,куб!T:T))))))</f>
        <v>0</v>
      </c>
      <c r="AK1007" s="27" t="b">
        <f>IF($G1007&lt;&gt;0,SUMIF(куб!$G:$G,$G1007,куб!U:U),IF($E1007&lt;&gt;0,SUMIF(куб!$E:$E,$E1007,куб!U:U),IF($D1007&lt;&gt;0,SUMIF(куб!$D:$D,$D1007,куб!U:U),IF($C1007&lt;&gt;0,SUMIF(куб!$C:$C,$C1007,куб!U:U),IF($B1007&lt;&gt;0,SUMIF(куб!$B:$B,$B1007,куб!U:U))))))</f>
        <v>0</v>
      </c>
      <c r="AL1007" s="16" t="str">
        <f t="shared" si="320"/>
        <v>-</v>
      </c>
      <c r="AM1007" s="8"/>
      <c r="AN1007" s="17" t="str">
        <f t="shared" si="321"/>
        <v xml:space="preserve"> </v>
      </c>
      <c r="AO1007" s="17" t="str">
        <f t="shared" si="322"/>
        <v xml:space="preserve"> </v>
      </c>
      <c r="AP1007" s="16" t="str">
        <f t="shared" si="323"/>
        <v>-</v>
      </c>
      <c r="AQ1007" s="8"/>
      <c r="AR1007" s="17" t="str">
        <f t="shared" si="324"/>
        <v>-</v>
      </c>
      <c r="AS1007" s="17" t="str">
        <f t="shared" si="325"/>
        <v>-</v>
      </c>
      <c r="AT1007" s="13" t="str">
        <f t="shared" si="326"/>
        <v>-</v>
      </c>
      <c r="AU1007" s="8"/>
    </row>
    <row r="1008" spans="1:47" x14ac:dyDescent="0.25">
      <c r="A1008" s="31"/>
      <c r="B1008" s="31"/>
      <c r="C1008"/>
      <c r="D1008" s="31"/>
      <c r="E1008"/>
      <c r="F1008" s="31"/>
      <c r="G1008"/>
      <c r="H1008" s="27">
        <f>IF($G1008&lt;&gt;0,SUMIF(куб!$G:$G,$G1008,куб!H:H),IF($E1008&lt;&gt;0,SUMIF(куб!$E:$E,$E1008,куб!H:H),IF($D1008&lt;&gt;0,SUMIF(куб!$D:$D,$D1008,куб!H:H),IF($C1008&lt;&gt;0,SUMIF(куб!$C:$C,$C1008,куб!H:H),IF($B1008&lt;&gt;0,SUMIF(куб!$B:$B,$B1008,куб!H:H),IF($G1008&lt;&gt;0,SUMIF(куб!$A:$A,$G1008,куб!H:H),SUMIF(куб!$A:$A,$G1008,куб!H:H)))))))</f>
        <v>0</v>
      </c>
      <c r="I1008" s="27">
        <f>IF($G1008&lt;&gt;0,SUMIF(куб!$G:$G,$G1008,куб!I:I),IF($E1008&lt;&gt;0,SUMIF(куб!$E:$E,$E1008,куб!I:I),IF($D1008&lt;&gt;0,SUMIF(куб!$D:$D,$D1008,куб!I:I),IF($C1008&lt;&gt;0,SUMIF(куб!$C:$C,$C1008,куб!I:I),IF($B1008&lt;&gt;0,SUMIF(куб!$B:$B,$B1008,куб!I:I),IF($G1008&lt;&gt;0,SUMIF(куб!$A:$A,$G1008,куб!I:I),SUMIF(куб!$A:$A,$G1008,куб!I:I)))))))</f>
        <v>0</v>
      </c>
      <c r="J1008" s="19" t="str">
        <f t="shared" si="309"/>
        <v>-</v>
      </c>
      <c r="K1008" s="8"/>
      <c r="L1008" s="17">
        <f t="shared" si="310"/>
        <v>0</v>
      </c>
      <c r="M1008" s="17">
        <f t="shared" si="311"/>
        <v>0</v>
      </c>
      <c r="N1008" s="12">
        <f t="shared" si="312"/>
        <v>0</v>
      </c>
      <c r="O1008" s="5"/>
      <c r="P1008" s="27" t="b">
        <f>IF($G1008&lt;&gt;0,SUMIF(куб!$G:$G,$G1008,куб!J:J),IF($E1008&lt;&gt;0,SUMIF(куб!$E:$E,$E1008,куб!J:J),IF($D1008&lt;&gt;0,SUMIF(куб!$D:$D,$D1008,куб!J:J),IF($C1008&lt;&gt;0,SUMIF(куб!$C:$C,$C1008,куб!J:J),IF($B1008&lt;&gt;0,SUMIF(куб!$B:$B,$B1008,куб!J:J))))))</f>
        <v>0</v>
      </c>
      <c r="Q1008" s="27" t="b">
        <f>IF($G1008&lt;&gt;0,SUMIF(куб!$G:$G,$G1008,куб!K:K),IF($E1008&lt;&gt;0,SUMIF(куб!$E:$E,$E1008,куб!K:K),IF($D1008&lt;&gt;0,SUMIF(куб!$D:$D,$D1008,куб!K:K),IF($C1008&lt;&gt;0,SUMIF(куб!$C:$C,$C1008,куб!K:K),IF($B1008&lt;&gt;0,SUMIF(куб!$B:$B,$B1008,куб!K:K))))))</f>
        <v>0</v>
      </c>
      <c r="R1008" s="13" t="str">
        <f t="shared" si="313"/>
        <v>-</v>
      </c>
      <c r="S1008" s="5"/>
      <c r="T1008" s="27" t="b">
        <f>IF($G1008&lt;&gt;0,SUMIF(куб!$G:$G,$G1008,куб!L:L),IF($E1008&lt;&gt;0,SUMIF(куб!$E:$E,$E1008,куб!L:L),IF($D1008&lt;&gt;0,SUMIF(куб!$D:$D,$D1008,куб!L:L),IF($C1008&lt;&gt;0,SUMIF(куб!$C:$C,$C1008,куб!L:L),IF($B1008&lt;&gt;0,SUMIF(куб!$B:$B,$B1008,куб!L:L))))))</f>
        <v>0</v>
      </c>
      <c r="U1008" s="27" t="b">
        <f>IF($G1008&lt;&gt;0,SUMIF(куб!$G:$G,$G1008,куб!M:M),IF($E1008&lt;&gt;0,SUMIF(куб!$E:$E,$E1008,куб!M:M),IF($D1008&lt;&gt;0,SUMIF(куб!$D:$D,$D1008,куб!M:M),IF($C1008&lt;&gt;0,SUMIF(куб!$C:$C,$C1008,куб!M:M),IF($B1008&lt;&gt;0,SUMIF(куб!$B:$B,$B1008,куб!M:M))))))</f>
        <v>0</v>
      </c>
      <c r="V1008" s="13" t="str">
        <f t="shared" si="314"/>
        <v>-</v>
      </c>
      <c r="W1008" s="5"/>
      <c r="X1008" s="27" t="b">
        <f>IF($G1008&lt;&gt;0,SUMIF(куб!$G:$G,$G1008,куб!N:N),IF($E1008&lt;&gt;0,SUMIF(куб!$E:$E,$E1008,куб!N:N),IF($D1008&lt;&gt;0,SUMIF(куб!$D:$D,$D1008,куб!N:N),IF($C1008&lt;&gt;0,SUMIF(куб!$C:$C,$C1008,куб!N:N),IF($B1008&lt;&gt;0,SUMIF(куб!$B:$B,$B1008,куб!N:N))))))</f>
        <v>0</v>
      </c>
      <c r="Y1008" s="27" t="b">
        <f>IF($G1008&lt;&gt;0,SUMIF(куб!$G:$G,$G1008,куб!O:O),IF($E1008&lt;&gt;0,SUMIF(куб!$E:$E,$E1008,куб!O:O),IF($D1008&lt;&gt;0,SUMIF(куб!$D:$D,$D1008,куб!O:O),IF($C1008&lt;&gt;0,SUMIF(куб!$C:$C,$C1008,куб!O:O),IF($B1008&lt;&gt;0,SUMIF(куб!$B:$B,$B1008,куб!O:O))))))</f>
        <v>0</v>
      </c>
      <c r="Z1008" s="13" t="str">
        <f t="shared" si="315"/>
        <v>-</v>
      </c>
      <c r="AA1008" s="5"/>
      <c r="AB1008" s="33" t="str">
        <f t="shared" si="316"/>
        <v/>
      </c>
      <c r="AC1008" s="33" t="str">
        <f t="shared" si="317"/>
        <v/>
      </c>
      <c r="AD1008" s="15" t="str">
        <f t="shared" si="318"/>
        <v xml:space="preserve"> </v>
      </c>
      <c r="AE1008" s="5"/>
      <c r="AF1008" s="27" t="b">
        <f>IF($G1008&lt;&gt;0,SUMIF(куб!$G:$G,$G1008,куб!R:R),IF($E1008&lt;&gt;0,SUMIF(куб!$E:$E,$E1008,куб!R:R),IF($D1008&lt;&gt;0,SUMIF(куб!$D:$D,$D1008,куб!R:R),IF($C1008&lt;&gt;0,SUMIF(куб!$C:$C,$C1008,куб!R:R),IF($B1008&lt;&gt;0,SUMIF(куб!$B:$B,$B1008,куб!R:R))))))</f>
        <v>0</v>
      </c>
      <c r="AG1008" s="27" t="b">
        <f>IF($G1008&lt;&gt;0,SUMIF(куб!$G:$G,$G1008,куб!S:S),IF($E1008&lt;&gt;0,SUMIF(куб!$E:$E,$E1008,куб!S:S),IF($D1008&lt;&gt;0,SUMIF(куб!$D:$D,$D1008,куб!S:S),IF($C1008&lt;&gt;0,SUMIF(куб!$C:$C,$C1008,куб!S:S),IF($B1008&lt;&gt;0,SUMIF(куб!$B:$B,$B1008,куб!S:S))))))</f>
        <v>0</v>
      </c>
      <c r="AH1008" s="16" t="str">
        <f t="shared" si="319"/>
        <v>-</v>
      </c>
      <c r="AI1008" s="8"/>
      <c r="AJ1008" s="27" t="b">
        <f>IF($G1008&lt;&gt;0,SUMIF(куб!$G:$G,$G1008,куб!T:T),IF($E1008&lt;&gt;0,SUMIF(куб!$E:$E,$E1008,куб!T:T),IF($D1008&lt;&gt;0,SUMIF(куб!$D:$D,$D1008,куб!T:T),IF($C1008&lt;&gt;0,SUMIF(куб!$C:$C,$C1008,куб!T:T),IF($B1008&lt;&gt;0,SUMIF(куб!$B:$B,$B1008,куб!T:T))))))</f>
        <v>0</v>
      </c>
      <c r="AK1008" s="27" t="b">
        <f>IF($G1008&lt;&gt;0,SUMIF(куб!$G:$G,$G1008,куб!U:U),IF($E1008&lt;&gt;0,SUMIF(куб!$E:$E,$E1008,куб!U:U),IF($D1008&lt;&gt;0,SUMIF(куб!$D:$D,$D1008,куб!U:U),IF($C1008&lt;&gt;0,SUMIF(куб!$C:$C,$C1008,куб!U:U),IF($B1008&lt;&gt;0,SUMIF(куб!$B:$B,$B1008,куб!U:U))))))</f>
        <v>0</v>
      </c>
      <c r="AL1008" s="16" t="str">
        <f t="shared" si="320"/>
        <v>-</v>
      </c>
      <c r="AM1008" s="8"/>
      <c r="AN1008" s="17" t="str">
        <f t="shared" si="321"/>
        <v xml:space="preserve"> </v>
      </c>
      <c r="AO1008" s="17" t="str">
        <f t="shared" si="322"/>
        <v xml:space="preserve"> </v>
      </c>
      <c r="AP1008" s="16" t="str">
        <f t="shared" si="323"/>
        <v>-</v>
      </c>
      <c r="AQ1008" s="8"/>
      <c r="AR1008" s="17" t="str">
        <f t="shared" si="324"/>
        <v>-</v>
      </c>
      <c r="AS1008" s="17" t="str">
        <f t="shared" si="325"/>
        <v>-</v>
      </c>
      <c r="AT1008" s="13" t="str">
        <f t="shared" si="326"/>
        <v>-</v>
      </c>
      <c r="AU1008" s="8"/>
    </row>
    <row r="1009" spans="1:47" x14ac:dyDescent="0.25">
      <c r="A1009" s="31"/>
      <c r="B1009" s="31"/>
      <c r="C1009"/>
      <c r="D1009" s="31"/>
      <c r="E1009"/>
      <c r="F1009" s="31"/>
      <c r="G1009"/>
      <c r="H1009" s="27">
        <f>IF($G1009&lt;&gt;0,SUMIF(куб!$G:$G,$G1009,куб!H:H),IF($E1009&lt;&gt;0,SUMIF(куб!$E:$E,$E1009,куб!H:H),IF($D1009&lt;&gt;0,SUMIF(куб!$D:$D,$D1009,куб!H:H),IF($C1009&lt;&gt;0,SUMIF(куб!$C:$C,$C1009,куб!H:H),IF($B1009&lt;&gt;0,SUMIF(куб!$B:$B,$B1009,куб!H:H),IF($G1009&lt;&gt;0,SUMIF(куб!$A:$A,$G1009,куб!H:H),SUMIF(куб!$A:$A,$G1009,куб!H:H)))))))</f>
        <v>0</v>
      </c>
      <c r="I1009" s="27">
        <f>IF($G1009&lt;&gt;0,SUMIF(куб!$G:$G,$G1009,куб!I:I),IF($E1009&lt;&gt;0,SUMIF(куб!$E:$E,$E1009,куб!I:I),IF($D1009&lt;&gt;0,SUMIF(куб!$D:$D,$D1009,куб!I:I),IF($C1009&lt;&gt;0,SUMIF(куб!$C:$C,$C1009,куб!I:I),IF($B1009&lt;&gt;0,SUMIF(куб!$B:$B,$B1009,куб!I:I),IF($G1009&lt;&gt;0,SUMIF(куб!$A:$A,$G1009,куб!I:I),SUMIF(куб!$A:$A,$G1009,куб!I:I)))))))</f>
        <v>0</v>
      </c>
      <c r="J1009" s="19" t="str">
        <f t="shared" si="309"/>
        <v>-</v>
      </c>
      <c r="K1009" s="8"/>
      <c r="L1009" s="17">
        <f t="shared" si="310"/>
        <v>0</v>
      </c>
      <c r="M1009" s="17">
        <f t="shared" si="311"/>
        <v>0</v>
      </c>
      <c r="N1009" s="12">
        <f t="shared" si="312"/>
        <v>0</v>
      </c>
      <c r="O1009" s="5"/>
      <c r="P1009" s="27" t="b">
        <f>IF($G1009&lt;&gt;0,SUMIF(куб!$G:$G,$G1009,куб!J:J),IF($E1009&lt;&gt;0,SUMIF(куб!$E:$E,$E1009,куб!J:J),IF($D1009&lt;&gt;0,SUMIF(куб!$D:$D,$D1009,куб!J:J),IF($C1009&lt;&gt;0,SUMIF(куб!$C:$C,$C1009,куб!J:J),IF($B1009&lt;&gt;0,SUMIF(куб!$B:$B,$B1009,куб!J:J))))))</f>
        <v>0</v>
      </c>
      <c r="Q1009" s="27" t="b">
        <f>IF($G1009&lt;&gt;0,SUMIF(куб!$G:$G,$G1009,куб!K:K),IF($E1009&lt;&gt;0,SUMIF(куб!$E:$E,$E1009,куб!K:K),IF($D1009&lt;&gt;0,SUMIF(куб!$D:$D,$D1009,куб!K:K),IF($C1009&lt;&gt;0,SUMIF(куб!$C:$C,$C1009,куб!K:K),IF($B1009&lt;&gt;0,SUMIF(куб!$B:$B,$B1009,куб!K:K))))))</f>
        <v>0</v>
      </c>
      <c r="R1009" s="13" t="str">
        <f t="shared" si="313"/>
        <v>-</v>
      </c>
      <c r="S1009" s="5"/>
      <c r="T1009" s="27" t="b">
        <f>IF($G1009&lt;&gt;0,SUMIF(куб!$G:$G,$G1009,куб!L:L),IF($E1009&lt;&gt;0,SUMIF(куб!$E:$E,$E1009,куб!L:L),IF($D1009&lt;&gt;0,SUMIF(куб!$D:$D,$D1009,куб!L:L),IF($C1009&lt;&gt;0,SUMIF(куб!$C:$C,$C1009,куб!L:L),IF($B1009&lt;&gt;0,SUMIF(куб!$B:$B,$B1009,куб!L:L))))))</f>
        <v>0</v>
      </c>
      <c r="U1009" s="27" t="b">
        <f>IF($G1009&lt;&gt;0,SUMIF(куб!$G:$G,$G1009,куб!M:M),IF($E1009&lt;&gt;0,SUMIF(куб!$E:$E,$E1009,куб!M:M),IF($D1009&lt;&gt;0,SUMIF(куб!$D:$D,$D1009,куб!M:M),IF($C1009&lt;&gt;0,SUMIF(куб!$C:$C,$C1009,куб!M:M),IF($B1009&lt;&gt;0,SUMIF(куб!$B:$B,$B1009,куб!M:M))))))</f>
        <v>0</v>
      </c>
      <c r="V1009" s="13" t="str">
        <f t="shared" si="314"/>
        <v>-</v>
      </c>
      <c r="W1009" s="5"/>
      <c r="X1009" s="27" t="b">
        <f>IF($G1009&lt;&gt;0,SUMIF(куб!$G:$G,$G1009,куб!N:N),IF($E1009&lt;&gt;0,SUMIF(куб!$E:$E,$E1009,куб!N:N),IF($D1009&lt;&gt;0,SUMIF(куб!$D:$D,$D1009,куб!N:N),IF($C1009&lt;&gt;0,SUMIF(куб!$C:$C,$C1009,куб!N:N),IF($B1009&lt;&gt;0,SUMIF(куб!$B:$B,$B1009,куб!N:N))))))</f>
        <v>0</v>
      </c>
      <c r="Y1009" s="27" t="b">
        <f>IF($G1009&lt;&gt;0,SUMIF(куб!$G:$G,$G1009,куб!O:O),IF($E1009&lt;&gt;0,SUMIF(куб!$E:$E,$E1009,куб!O:O),IF($D1009&lt;&gt;0,SUMIF(куб!$D:$D,$D1009,куб!O:O),IF($C1009&lt;&gt;0,SUMIF(куб!$C:$C,$C1009,куб!O:O),IF($B1009&lt;&gt;0,SUMIF(куб!$B:$B,$B1009,куб!O:O))))))</f>
        <v>0</v>
      </c>
      <c r="Z1009" s="13" t="str">
        <f t="shared" si="315"/>
        <v>-</v>
      </c>
      <c r="AA1009" s="5"/>
      <c r="AB1009" s="33" t="str">
        <f t="shared" si="316"/>
        <v/>
      </c>
      <c r="AC1009" s="33" t="str">
        <f t="shared" si="317"/>
        <v/>
      </c>
      <c r="AD1009" s="15" t="str">
        <f t="shared" si="318"/>
        <v xml:space="preserve"> </v>
      </c>
      <c r="AE1009" s="5"/>
      <c r="AF1009" s="27" t="b">
        <f>IF($G1009&lt;&gt;0,SUMIF(куб!$G:$G,$G1009,куб!R:R),IF($E1009&lt;&gt;0,SUMIF(куб!$E:$E,$E1009,куб!R:R),IF($D1009&lt;&gt;0,SUMIF(куб!$D:$D,$D1009,куб!R:R),IF($C1009&lt;&gt;0,SUMIF(куб!$C:$C,$C1009,куб!R:R),IF($B1009&lt;&gt;0,SUMIF(куб!$B:$B,$B1009,куб!R:R))))))</f>
        <v>0</v>
      </c>
      <c r="AG1009" s="27" t="b">
        <f>IF($G1009&lt;&gt;0,SUMIF(куб!$G:$G,$G1009,куб!S:S),IF($E1009&lt;&gt;0,SUMIF(куб!$E:$E,$E1009,куб!S:S),IF($D1009&lt;&gt;0,SUMIF(куб!$D:$D,$D1009,куб!S:S),IF($C1009&lt;&gt;0,SUMIF(куб!$C:$C,$C1009,куб!S:S),IF($B1009&lt;&gt;0,SUMIF(куб!$B:$B,$B1009,куб!S:S))))))</f>
        <v>0</v>
      </c>
      <c r="AH1009" s="16" t="str">
        <f t="shared" si="319"/>
        <v>-</v>
      </c>
      <c r="AI1009" s="8"/>
      <c r="AJ1009" s="27" t="b">
        <f>IF($G1009&lt;&gt;0,SUMIF(куб!$G:$G,$G1009,куб!T:T),IF($E1009&lt;&gt;0,SUMIF(куб!$E:$E,$E1009,куб!T:T),IF($D1009&lt;&gt;0,SUMIF(куб!$D:$D,$D1009,куб!T:T),IF($C1009&lt;&gt;0,SUMIF(куб!$C:$C,$C1009,куб!T:T),IF($B1009&lt;&gt;0,SUMIF(куб!$B:$B,$B1009,куб!T:T))))))</f>
        <v>0</v>
      </c>
      <c r="AK1009" s="27" t="b">
        <f>IF($G1009&lt;&gt;0,SUMIF(куб!$G:$G,$G1009,куб!U:U),IF($E1009&lt;&gt;0,SUMIF(куб!$E:$E,$E1009,куб!U:U),IF($D1009&lt;&gt;0,SUMIF(куб!$D:$D,$D1009,куб!U:U),IF($C1009&lt;&gt;0,SUMIF(куб!$C:$C,$C1009,куб!U:U),IF($B1009&lt;&gt;0,SUMIF(куб!$B:$B,$B1009,куб!U:U))))))</f>
        <v>0</v>
      </c>
      <c r="AL1009" s="16" t="str">
        <f t="shared" si="320"/>
        <v>-</v>
      </c>
      <c r="AM1009" s="8"/>
      <c r="AN1009" s="17" t="str">
        <f t="shared" si="321"/>
        <v xml:space="preserve"> </v>
      </c>
      <c r="AO1009" s="17" t="str">
        <f t="shared" si="322"/>
        <v xml:space="preserve"> </v>
      </c>
      <c r="AP1009" s="16" t="str">
        <f t="shared" si="323"/>
        <v>-</v>
      </c>
      <c r="AQ1009" s="8"/>
      <c r="AR1009" s="17" t="str">
        <f t="shared" si="324"/>
        <v>-</v>
      </c>
      <c r="AS1009" s="17" t="str">
        <f t="shared" si="325"/>
        <v>-</v>
      </c>
      <c r="AT1009" s="13" t="str">
        <f t="shared" si="326"/>
        <v>-</v>
      </c>
      <c r="AU1009" s="8"/>
    </row>
    <row r="1010" spans="1:47" x14ac:dyDescent="0.25">
      <c r="A1010" s="31"/>
      <c r="B1010" s="31"/>
      <c r="C1010"/>
      <c r="D1010" s="31"/>
      <c r="E1010"/>
      <c r="F1010"/>
      <c r="G1010"/>
      <c r="H1010" s="27">
        <f>IF($G1010&lt;&gt;0,SUMIF(куб!$G:$G,$G1010,куб!H:H),IF($E1010&lt;&gt;0,SUMIF(куб!$E:$E,$E1010,куб!H:H),IF($D1010&lt;&gt;0,SUMIF(куб!$D:$D,$D1010,куб!H:H),IF($C1010&lt;&gt;0,SUMIF(куб!$C:$C,$C1010,куб!H:H),IF($B1010&lt;&gt;0,SUMIF(куб!$B:$B,$B1010,куб!H:H),IF($G1010&lt;&gt;0,SUMIF(куб!$A:$A,$G1010,куб!H:H),SUMIF(куб!$A:$A,$G1010,куб!H:H)))))))</f>
        <v>0</v>
      </c>
      <c r="I1010" s="27">
        <f>IF($G1010&lt;&gt;0,SUMIF(куб!$G:$G,$G1010,куб!I:I),IF($E1010&lt;&gt;0,SUMIF(куб!$E:$E,$E1010,куб!I:I),IF($D1010&lt;&gt;0,SUMIF(куб!$D:$D,$D1010,куб!I:I),IF($C1010&lt;&gt;0,SUMIF(куб!$C:$C,$C1010,куб!I:I),IF($B1010&lt;&gt;0,SUMIF(куб!$B:$B,$B1010,куб!I:I),IF($G1010&lt;&gt;0,SUMIF(куб!$A:$A,$G1010,куб!I:I),SUMIF(куб!$A:$A,$G1010,куб!I:I)))))))</f>
        <v>0</v>
      </c>
      <c r="J1010" s="19" t="str">
        <f t="shared" si="309"/>
        <v>-</v>
      </c>
      <c r="K1010" s="8"/>
      <c r="L1010" s="17">
        <f t="shared" si="310"/>
        <v>0</v>
      </c>
      <c r="M1010" s="17">
        <f t="shared" si="311"/>
        <v>0</v>
      </c>
      <c r="N1010" s="12">
        <f t="shared" si="312"/>
        <v>0</v>
      </c>
      <c r="O1010" s="5"/>
      <c r="P1010" s="27" t="b">
        <f>IF($G1010&lt;&gt;0,SUMIF(куб!$G:$G,$G1010,куб!J:J),IF($E1010&lt;&gt;0,SUMIF(куб!$E:$E,$E1010,куб!J:J),IF($D1010&lt;&gt;0,SUMIF(куб!$D:$D,$D1010,куб!J:J),IF($C1010&lt;&gt;0,SUMIF(куб!$C:$C,$C1010,куб!J:J),IF($B1010&lt;&gt;0,SUMIF(куб!$B:$B,$B1010,куб!J:J))))))</f>
        <v>0</v>
      </c>
      <c r="Q1010" s="27" t="b">
        <f>IF($G1010&lt;&gt;0,SUMIF(куб!$G:$G,$G1010,куб!K:K),IF($E1010&lt;&gt;0,SUMIF(куб!$E:$E,$E1010,куб!K:K),IF($D1010&lt;&gt;0,SUMIF(куб!$D:$D,$D1010,куб!K:K),IF($C1010&lt;&gt;0,SUMIF(куб!$C:$C,$C1010,куб!K:K),IF($B1010&lt;&gt;0,SUMIF(куб!$B:$B,$B1010,куб!K:K))))))</f>
        <v>0</v>
      </c>
      <c r="R1010" s="13" t="str">
        <f t="shared" si="313"/>
        <v>-</v>
      </c>
      <c r="S1010" s="5"/>
      <c r="T1010" s="27" t="b">
        <f>IF($G1010&lt;&gt;0,SUMIF(куб!$G:$G,$G1010,куб!L:L),IF($E1010&lt;&gt;0,SUMIF(куб!$E:$E,$E1010,куб!L:L),IF($D1010&lt;&gt;0,SUMIF(куб!$D:$D,$D1010,куб!L:L),IF($C1010&lt;&gt;0,SUMIF(куб!$C:$C,$C1010,куб!L:L),IF($B1010&lt;&gt;0,SUMIF(куб!$B:$B,$B1010,куб!L:L))))))</f>
        <v>0</v>
      </c>
      <c r="U1010" s="27" t="b">
        <f>IF($G1010&lt;&gt;0,SUMIF(куб!$G:$G,$G1010,куб!M:M),IF($E1010&lt;&gt;0,SUMIF(куб!$E:$E,$E1010,куб!M:M),IF($D1010&lt;&gt;0,SUMIF(куб!$D:$D,$D1010,куб!M:M),IF($C1010&lt;&gt;0,SUMIF(куб!$C:$C,$C1010,куб!M:M),IF($B1010&lt;&gt;0,SUMIF(куб!$B:$B,$B1010,куб!M:M))))))</f>
        <v>0</v>
      </c>
      <c r="V1010" s="13" t="str">
        <f t="shared" si="314"/>
        <v>-</v>
      </c>
      <c r="W1010" s="5"/>
      <c r="X1010" s="27" t="b">
        <f>IF($G1010&lt;&gt;0,SUMIF(куб!$G:$G,$G1010,куб!N:N),IF($E1010&lt;&gt;0,SUMIF(куб!$E:$E,$E1010,куб!N:N),IF($D1010&lt;&gt;0,SUMIF(куб!$D:$D,$D1010,куб!N:N),IF($C1010&lt;&gt;0,SUMIF(куб!$C:$C,$C1010,куб!N:N),IF($B1010&lt;&gt;0,SUMIF(куб!$B:$B,$B1010,куб!N:N))))))</f>
        <v>0</v>
      </c>
      <c r="Y1010" s="27" t="b">
        <f>IF($G1010&lt;&gt;0,SUMIF(куб!$G:$G,$G1010,куб!O:O),IF($E1010&lt;&gt;0,SUMIF(куб!$E:$E,$E1010,куб!O:O),IF($D1010&lt;&gt;0,SUMIF(куб!$D:$D,$D1010,куб!O:O),IF($C1010&lt;&gt;0,SUMIF(куб!$C:$C,$C1010,куб!O:O),IF($B1010&lt;&gt;0,SUMIF(куб!$B:$B,$B1010,куб!O:O))))))</f>
        <v>0</v>
      </c>
      <c r="Z1010" s="13" t="str">
        <f t="shared" si="315"/>
        <v>-</v>
      </c>
      <c r="AA1010" s="5"/>
      <c r="AB1010" s="33" t="str">
        <f t="shared" si="316"/>
        <v/>
      </c>
      <c r="AC1010" s="33" t="str">
        <f t="shared" si="317"/>
        <v/>
      </c>
      <c r="AD1010" s="15" t="str">
        <f t="shared" si="318"/>
        <v xml:space="preserve"> </v>
      </c>
      <c r="AE1010" s="5"/>
      <c r="AF1010" s="27" t="b">
        <f>IF($G1010&lt;&gt;0,SUMIF(куб!$G:$G,$G1010,куб!R:R),IF($E1010&lt;&gt;0,SUMIF(куб!$E:$E,$E1010,куб!R:R),IF($D1010&lt;&gt;0,SUMIF(куб!$D:$D,$D1010,куб!R:R),IF($C1010&lt;&gt;0,SUMIF(куб!$C:$C,$C1010,куб!R:R),IF($B1010&lt;&gt;0,SUMIF(куб!$B:$B,$B1010,куб!R:R))))))</f>
        <v>0</v>
      </c>
      <c r="AG1010" s="27" t="b">
        <f>IF($G1010&lt;&gt;0,SUMIF(куб!$G:$G,$G1010,куб!S:S),IF($E1010&lt;&gt;0,SUMIF(куб!$E:$E,$E1010,куб!S:S),IF($D1010&lt;&gt;0,SUMIF(куб!$D:$D,$D1010,куб!S:S),IF($C1010&lt;&gt;0,SUMIF(куб!$C:$C,$C1010,куб!S:S),IF($B1010&lt;&gt;0,SUMIF(куб!$B:$B,$B1010,куб!S:S))))))</f>
        <v>0</v>
      </c>
      <c r="AH1010" s="16" t="str">
        <f t="shared" si="319"/>
        <v>-</v>
      </c>
      <c r="AI1010" s="8"/>
      <c r="AJ1010" s="27" t="b">
        <f>IF($G1010&lt;&gt;0,SUMIF(куб!$G:$G,$G1010,куб!T:T),IF($E1010&lt;&gt;0,SUMIF(куб!$E:$E,$E1010,куб!T:T),IF($D1010&lt;&gt;0,SUMIF(куб!$D:$D,$D1010,куб!T:T),IF($C1010&lt;&gt;0,SUMIF(куб!$C:$C,$C1010,куб!T:T),IF($B1010&lt;&gt;0,SUMIF(куб!$B:$B,$B1010,куб!T:T))))))</f>
        <v>0</v>
      </c>
      <c r="AK1010" s="27" t="b">
        <f>IF($G1010&lt;&gt;0,SUMIF(куб!$G:$G,$G1010,куб!U:U),IF($E1010&lt;&gt;0,SUMIF(куб!$E:$E,$E1010,куб!U:U),IF($D1010&lt;&gt;0,SUMIF(куб!$D:$D,$D1010,куб!U:U),IF($C1010&lt;&gt;0,SUMIF(куб!$C:$C,$C1010,куб!U:U),IF($B1010&lt;&gt;0,SUMIF(куб!$B:$B,$B1010,куб!U:U))))))</f>
        <v>0</v>
      </c>
      <c r="AL1010" s="16" t="str">
        <f t="shared" si="320"/>
        <v>-</v>
      </c>
      <c r="AM1010" s="8"/>
      <c r="AN1010" s="17" t="str">
        <f t="shared" si="321"/>
        <v xml:space="preserve"> </v>
      </c>
      <c r="AO1010" s="17" t="str">
        <f t="shared" si="322"/>
        <v xml:space="preserve"> </v>
      </c>
      <c r="AP1010" s="16" t="str">
        <f t="shared" si="323"/>
        <v>-</v>
      </c>
      <c r="AQ1010" s="8"/>
      <c r="AR1010" s="17" t="str">
        <f t="shared" si="324"/>
        <v>-</v>
      </c>
      <c r="AS1010" s="17" t="str">
        <f t="shared" si="325"/>
        <v>-</v>
      </c>
      <c r="AT1010" s="13" t="str">
        <f t="shared" si="326"/>
        <v>-</v>
      </c>
      <c r="AU1010" s="8"/>
    </row>
    <row r="1011" spans="1:47" x14ac:dyDescent="0.25">
      <c r="A1011" s="31"/>
      <c r="B1011" s="31"/>
      <c r="C1011"/>
      <c r="D1011" s="31"/>
      <c r="E1011" s="31"/>
      <c r="F1011" s="31"/>
      <c r="G1011" s="31"/>
      <c r="H1011" s="27">
        <f>IF($G1011&lt;&gt;0,SUMIF(куб!$G:$G,$G1011,куб!H:H),IF($E1011&lt;&gt;0,SUMIF(куб!$E:$E,$E1011,куб!H:H),IF($D1011&lt;&gt;0,SUMIF(куб!$D:$D,$D1011,куб!H:H),IF($C1011&lt;&gt;0,SUMIF(куб!$C:$C,$C1011,куб!H:H),IF($B1011&lt;&gt;0,SUMIF(куб!$B:$B,$B1011,куб!H:H),IF($G1011&lt;&gt;0,SUMIF(куб!$A:$A,$G1011,куб!H:H),SUMIF(куб!$A:$A,$G1011,куб!H:H)))))))</f>
        <v>0</v>
      </c>
      <c r="I1011" s="27">
        <f>IF($G1011&lt;&gt;0,SUMIF(куб!$G:$G,$G1011,куб!I:I),IF($E1011&lt;&gt;0,SUMIF(куб!$E:$E,$E1011,куб!I:I),IF($D1011&lt;&gt;0,SUMIF(куб!$D:$D,$D1011,куб!I:I),IF($C1011&lt;&gt;0,SUMIF(куб!$C:$C,$C1011,куб!I:I),IF($B1011&lt;&gt;0,SUMIF(куб!$B:$B,$B1011,куб!I:I),IF($G1011&lt;&gt;0,SUMIF(куб!$A:$A,$G1011,куб!I:I),SUMIF(куб!$A:$A,$G1011,куб!I:I)))))))</f>
        <v>0</v>
      </c>
      <c r="J1011" s="19" t="str">
        <f t="shared" si="309"/>
        <v>-</v>
      </c>
      <c r="K1011" s="8"/>
      <c r="L1011" s="17">
        <f t="shared" si="310"/>
        <v>0</v>
      </c>
      <c r="M1011" s="17">
        <f t="shared" si="311"/>
        <v>0</v>
      </c>
      <c r="N1011" s="12">
        <f t="shared" si="312"/>
        <v>0</v>
      </c>
      <c r="O1011" s="5"/>
      <c r="P1011" s="27" t="b">
        <f>IF($G1011&lt;&gt;0,SUMIF(куб!$G:$G,$G1011,куб!J:J),IF($E1011&lt;&gt;0,SUMIF(куб!$E:$E,$E1011,куб!J:J),IF($D1011&lt;&gt;0,SUMIF(куб!$D:$D,$D1011,куб!J:J),IF($C1011&lt;&gt;0,SUMIF(куб!$C:$C,$C1011,куб!J:J),IF($B1011&lt;&gt;0,SUMIF(куб!$B:$B,$B1011,куб!J:J))))))</f>
        <v>0</v>
      </c>
      <c r="Q1011" s="27" t="b">
        <f>IF($G1011&lt;&gt;0,SUMIF(куб!$G:$G,$G1011,куб!K:K),IF($E1011&lt;&gt;0,SUMIF(куб!$E:$E,$E1011,куб!K:K),IF($D1011&lt;&gt;0,SUMIF(куб!$D:$D,$D1011,куб!K:K),IF($C1011&lt;&gt;0,SUMIF(куб!$C:$C,$C1011,куб!K:K),IF($B1011&lt;&gt;0,SUMIF(куб!$B:$B,$B1011,куб!K:K))))))</f>
        <v>0</v>
      </c>
      <c r="R1011" s="13" t="str">
        <f t="shared" si="313"/>
        <v>-</v>
      </c>
      <c r="S1011" s="5"/>
      <c r="T1011" s="27" t="b">
        <f>IF($G1011&lt;&gt;0,SUMIF(куб!$G:$G,$G1011,куб!L:L),IF($E1011&lt;&gt;0,SUMIF(куб!$E:$E,$E1011,куб!L:L),IF($D1011&lt;&gt;0,SUMIF(куб!$D:$D,$D1011,куб!L:L),IF($C1011&lt;&gt;0,SUMIF(куб!$C:$C,$C1011,куб!L:L),IF($B1011&lt;&gt;0,SUMIF(куб!$B:$B,$B1011,куб!L:L))))))</f>
        <v>0</v>
      </c>
      <c r="U1011" s="27" t="b">
        <f>IF($G1011&lt;&gt;0,SUMIF(куб!$G:$G,$G1011,куб!M:M),IF($E1011&lt;&gt;0,SUMIF(куб!$E:$E,$E1011,куб!M:M),IF($D1011&lt;&gt;0,SUMIF(куб!$D:$D,$D1011,куб!M:M),IF($C1011&lt;&gt;0,SUMIF(куб!$C:$C,$C1011,куб!M:M),IF($B1011&lt;&gt;0,SUMIF(куб!$B:$B,$B1011,куб!M:M))))))</f>
        <v>0</v>
      </c>
      <c r="V1011" s="13" t="str">
        <f t="shared" si="314"/>
        <v>-</v>
      </c>
      <c r="W1011" s="5"/>
      <c r="X1011" s="27" t="b">
        <f>IF($G1011&lt;&gt;0,SUMIF(куб!$G:$G,$G1011,куб!N:N),IF($E1011&lt;&gt;0,SUMIF(куб!$E:$E,$E1011,куб!N:N),IF($D1011&lt;&gt;0,SUMIF(куб!$D:$D,$D1011,куб!N:N),IF($C1011&lt;&gt;0,SUMIF(куб!$C:$C,$C1011,куб!N:N),IF($B1011&lt;&gt;0,SUMIF(куб!$B:$B,$B1011,куб!N:N))))))</f>
        <v>0</v>
      </c>
      <c r="Y1011" s="27" t="b">
        <f>IF($G1011&lt;&gt;0,SUMIF(куб!$G:$G,$G1011,куб!O:O),IF($E1011&lt;&gt;0,SUMIF(куб!$E:$E,$E1011,куб!O:O),IF($D1011&lt;&gt;0,SUMIF(куб!$D:$D,$D1011,куб!O:O),IF($C1011&lt;&gt;0,SUMIF(куб!$C:$C,$C1011,куб!O:O),IF($B1011&lt;&gt;0,SUMIF(куб!$B:$B,$B1011,куб!O:O))))))</f>
        <v>0</v>
      </c>
      <c r="Z1011" s="13" t="str">
        <f t="shared" si="315"/>
        <v>-</v>
      </c>
      <c r="AA1011" s="5"/>
      <c r="AB1011" s="33" t="str">
        <f t="shared" si="316"/>
        <v/>
      </c>
      <c r="AC1011" s="33" t="str">
        <f t="shared" si="317"/>
        <v/>
      </c>
      <c r="AD1011" s="15" t="str">
        <f t="shared" si="318"/>
        <v xml:space="preserve"> </v>
      </c>
      <c r="AE1011" s="5"/>
      <c r="AF1011" s="27" t="b">
        <f>IF($G1011&lt;&gt;0,SUMIF(куб!$G:$G,$G1011,куб!R:R),IF($E1011&lt;&gt;0,SUMIF(куб!$E:$E,$E1011,куб!R:R),IF($D1011&lt;&gt;0,SUMIF(куб!$D:$D,$D1011,куб!R:R),IF($C1011&lt;&gt;0,SUMIF(куб!$C:$C,$C1011,куб!R:R),IF($B1011&lt;&gt;0,SUMIF(куб!$B:$B,$B1011,куб!R:R))))))</f>
        <v>0</v>
      </c>
      <c r="AG1011" s="27" t="b">
        <f>IF($G1011&lt;&gt;0,SUMIF(куб!$G:$G,$G1011,куб!S:S),IF($E1011&lt;&gt;0,SUMIF(куб!$E:$E,$E1011,куб!S:S),IF($D1011&lt;&gt;0,SUMIF(куб!$D:$D,$D1011,куб!S:S),IF($C1011&lt;&gt;0,SUMIF(куб!$C:$C,$C1011,куб!S:S),IF($B1011&lt;&gt;0,SUMIF(куб!$B:$B,$B1011,куб!S:S))))))</f>
        <v>0</v>
      </c>
      <c r="AH1011" s="16" t="str">
        <f t="shared" si="319"/>
        <v>-</v>
      </c>
      <c r="AI1011" s="8"/>
      <c r="AJ1011" s="27" t="b">
        <f>IF($G1011&lt;&gt;0,SUMIF(куб!$G:$G,$G1011,куб!T:T),IF($E1011&lt;&gt;0,SUMIF(куб!$E:$E,$E1011,куб!T:T),IF($D1011&lt;&gt;0,SUMIF(куб!$D:$D,$D1011,куб!T:T),IF($C1011&lt;&gt;0,SUMIF(куб!$C:$C,$C1011,куб!T:T),IF($B1011&lt;&gt;0,SUMIF(куб!$B:$B,$B1011,куб!T:T))))))</f>
        <v>0</v>
      </c>
      <c r="AK1011" s="27" t="b">
        <f>IF($G1011&lt;&gt;0,SUMIF(куб!$G:$G,$G1011,куб!U:U),IF($E1011&lt;&gt;0,SUMIF(куб!$E:$E,$E1011,куб!U:U),IF($D1011&lt;&gt;0,SUMIF(куб!$D:$D,$D1011,куб!U:U),IF($C1011&lt;&gt;0,SUMIF(куб!$C:$C,$C1011,куб!U:U),IF($B1011&lt;&gt;0,SUMIF(куб!$B:$B,$B1011,куб!U:U))))))</f>
        <v>0</v>
      </c>
      <c r="AL1011" s="16" t="str">
        <f t="shared" si="320"/>
        <v>-</v>
      </c>
      <c r="AM1011" s="8"/>
      <c r="AN1011" s="17" t="str">
        <f t="shared" si="321"/>
        <v xml:space="preserve"> </v>
      </c>
      <c r="AO1011" s="17" t="str">
        <f t="shared" si="322"/>
        <v xml:space="preserve"> </v>
      </c>
      <c r="AP1011" s="16" t="str">
        <f t="shared" si="323"/>
        <v>-</v>
      </c>
      <c r="AQ1011" s="8"/>
      <c r="AR1011" s="17" t="str">
        <f t="shared" si="324"/>
        <v>-</v>
      </c>
      <c r="AS1011" s="17" t="str">
        <f t="shared" si="325"/>
        <v>-</v>
      </c>
      <c r="AT1011" s="13" t="str">
        <f t="shared" si="326"/>
        <v>-</v>
      </c>
      <c r="AU1011" s="8"/>
    </row>
    <row r="1012" spans="1:47" x14ac:dyDescent="0.25">
      <c r="A1012" s="31"/>
      <c r="B1012" s="31"/>
      <c r="C1012"/>
      <c r="D1012" s="31"/>
      <c r="E1012"/>
      <c r="F1012" s="31"/>
      <c r="G1012"/>
      <c r="H1012" s="27">
        <f>IF($G1012&lt;&gt;0,SUMIF(куб!$G:$G,$G1012,куб!H:H),IF($E1012&lt;&gt;0,SUMIF(куб!$E:$E,$E1012,куб!H:H),IF($D1012&lt;&gt;0,SUMIF(куб!$D:$D,$D1012,куб!H:H),IF($C1012&lt;&gt;0,SUMIF(куб!$C:$C,$C1012,куб!H:H),IF($B1012&lt;&gt;0,SUMIF(куб!$B:$B,$B1012,куб!H:H),IF($G1012&lt;&gt;0,SUMIF(куб!$A:$A,$G1012,куб!H:H),SUMIF(куб!$A:$A,$G1012,куб!H:H)))))))</f>
        <v>0</v>
      </c>
      <c r="I1012" s="27">
        <f>IF($G1012&lt;&gt;0,SUMIF(куб!$G:$G,$G1012,куб!I:I),IF($E1012&lt;&gt;0,SUMIF(куб!$E:$E,$E1012,куб!I:I),IF($D1012&lt;&gt;0,SUMIF(куб!$D:$D,$D1012,куб!I:I),IF($C1012&lt;&gt;0,SUMIF(куб!$C:$C,$C1012,куб!I:I),IF($B1012&lt;&gt;0,SUMIF(куб!$B:$B,$B1012,куб!I:I),IF($G1012&lt;&gt;0,SUMIF(куб!$A:$A,$G1012,куб!I:I),SUMIF(куб!$A:$A,$G1012,куб!I:I)))))))</f>
        <v>0</v>
      </c>
      <c r="J1012" s="19" t="str">
        <f t="shared" si="309"/>
        <v>-</v>
      </c>
      <c r="K1012" s="8"/>
      <c r="L1012" s="17">
        <f t="shared" si="310"/>
        <v>0</v>
      </c>
      <c r="M1012" s="17">
        <f t="shared" si="311"/>
        <v>0</v>
      </c>
      <c r="N1012" s="12">
        <f t="shared" si="312"/>
        <v>0</v>
      </c>
      <c r="O1012" s="5"/>
      <c r="P1012" s="27" t="b">
        <f>IF($G1012&lt;&gt;0,SUMIF(куб!$G:$G,$G1012,куб!J:J),IF($E1012&lt;&gt;0,SUMIF(куб!$E:$E,$E1012,куб!J:J),IF($D1012&lt;&gt;0,SUMIF(куб!$D:$D,$D1012,куб!J:J),IF($C1012&lt;&gt;0,SUMIF(куб!$C:$C,$C1012,куб!J:J),IF($B1012&lt;&gt;0,SUMIF(куб!$B:$B,$B1012,куб!J:J))))))</f>
        <v>0</v>
      </c>
      <c r="Q1012" s="27" t="b">
        <f>IF($G1012&lt;&gt;0,SUMIF(куб!$G:$G,$G1012,куб!K:K),IF($E1012&lt;&gt;0,SUMIF(куб!$E:$E,$E1012,куб!K:K),IF($D1012&lt;&gt;0,SUMIF(куб!$D:$D,$D1012,куб!K:K),IF($C1012&lt;&gt;0,SUMIF(куб!$C:$C,$C1012,куб!K:K),IF($B1012&lt;&gt;0,SUMIF(куб!$B:$B,$B1012,куб!K:K))))))</f>
        <v>0</v>
      </c>
      <c r="R1012" s="13" t="str">
        <f t="shared" si="313"/>
        <v>-</v>
      </c>
      <c r="S1012" s="5"/>
      <c r="T1012" s="27" t="b">
        <f>IF($G1012&lt;&gt;0,SUMIF(куб!$G:$G,$G1012,куб!L:L),IF($E1012&lt;&gt;0,SUMIF(куб!$E:$E,$E1012,куб!L:L),IF($D1012&lt;&gt;0,SUMIF(куб!$D:$D,$D1012,куб!L:L),IF($C1012&lt;&gt;0,SUMIF(куб!$C:$C,$C1012,куб!L:L),IF($B1012&lt;&gt;0,SUMIF(куб!$B:$B,$B1012,куб!L:L))))))</f>
        <v>0</v>
      </c>
      <c r="U1012" s="27" t="b">
        <f>IF($G1012&lt;&gt;0,SUMIF(куб!$G:$G,$G1012,куб!M:M),IF($E1012&lt;&gt;0,SUMIF(куб!$E:$E,$E1012,куб!M:M),IF($D1012&lt;&gt;0,SUMIF(куб!$D:$D,$D1012,куб!M:M),IF($C1012&lt;&gt;0,SUMIF(куб!$C:$C,$C1012,куб!M:M),IF($B1012&lt;&gt;0,SUMIF(куб!$B:$B,$B1012,куб!M:M))))))</f>
        <v>0</v>
      </c>
      <c r="V1012" s="13" t="str">
        <f t="shared" si="314"/>
        <v>-</v>
      </c>
      <c r="W1012" s="5"/>
      <c r="X1012" s="27" t="b">
        <f>IF($G1012&lt;&gt;0,SUMIF(куб!$G:$G,$G1012,куб!N:N),IF($E1012&lt;&gt;0,SUMIF(куб!$E:$E,$E1012,куб!N:N),IF($D1012&lt;&gt;0,SUMIF(куб!$D:$D,$D1012,куб!N:N),IF($C1012&lt;&gt;0,SUMIF(куб!$C:$C,$C1012,куб!N:N),IF($B1012&lt;&gt;0,SUMIF(куб!$B:$B,$B1012,куб!N:N))))))</f>
        <v>0</v>
      </c>
      <c r="Y1012" s="27" t="b">
        <f>IF($G1012&lt;&gt;0,SUMIF(куб!$G:$G,$G1012,куб!O:O),IF($E1012&lt;&gt;0,SUMIF(куб!$E:$E,$E1012,куб!O:O),IF($D1012&lt;&gt;0,SUMIF(куб!$D:$D,$D1012,куб!O:O),IF($C1012&lt;&gt;0,SUMIF(куб!$C:$C,$C1012,куб!O:O),IF($B1012&lt;&gt;0,SUMIF(куб!$B:$B,$B1012,куб!O:O))))))</f>
        <v>0</v>
      </c>
      <c r="Z1012" s="13" t="str">
        <f t="shared" si="315"/>
        <v>-</v>
      </c>
      <c r="AA1012" s="5"/>
      <c r="AB1012" s="33" t="str">
        <f t="shared" si="316"/>
        <v/>
      </c>
      <c r="AC1012" s="33" t="str">
        <f t="shared" si="317"/>
        <v/>
      </c>
      <c r="AD1012" s="15" t="str">
        <f t="shared" si="318"/>
        <v xml:space="preserve"> </v>
      </c>
      <c r="AE1012" s="5"/>
      <c r="AF1012" s="27" t="b">
        <f>IF($G1012&lt;&gt;0,SUMIF(куб!$G:$G,$G1012,куб!R:R),IF($E1012&lt;&gt;0,SUMIF(куб!$E:$E,$E1012,куб!R:R),IF($D1012&lt;&gt;0,SUMIF(куб!$D:$D,$D1012,куб!R:R),IF($C1012&lt;&gt;0,SUMIF(куб!$C:$C,$C1012,куб!R:R),IF($B1012&lt;&gt;0,SUMIF(куб!$B:$B,$B1012,куб!R:R))))))</f>
        <v>0</v>
      </c>
      <c r="AG1012" s="27" t="b">
        <f>IF($G1012&lt;&gt;0,SUMIF(куб!$G:$G,$G1012,куб!S:S),IF($E1012&lt;&gt;0,SUMIF(куб!$E:$E,$E1012,куб!S:S),IF($D1012&lt;&gt;0,SUMIF(куб!$D:$D,$D1012,куб!S:S),IF($C1012&lt;&gt;0,SUMIF(куб!$C:$C,$C1012,куб!S:S),IF($B1012&lt;&gt;0,SUMIF(куб!$B:$B,$B1012,куб!S:S))))))</f>
        <v>0</v>
      </c>
      <c r="AH1012" s="16" t="str">
        <f t="shared" si="319"/>
        <v>-</v>
      </c>
      <c r="AI1012" s="8"/>
      <c r="AJ1012" s="27" t="b">
        <f>IF($G1012&lt;&gt;0,SUMIF(куб!$G:$G,$G1012,куб!T:T),IF($E1012&lt;&gt;0,SUMIF(куб!$E:$E,$E1012,куб!T:T),IF($D1012&lt;&gt;0,SUMIF(куб!$D:$D,$D1012,куб!T:T),IF($C1012&lt;&gt;0,SUMIF(куб!$C:$C,$C1012,куб!T:T),IF($B1012&lt;&gt;0,SUMIF(куб!$B:$B,$B1012,куб!T:T))))))</f>
        <v>0</v>
      </c>
      <c r="AK1012" s="27" t="b">
        <f>IF($G1012&lt;&gt;0,SUMIF(куб!$G:$G,$G1012,куб!U:U),IF($E1012&lt;&gt;0,SUMIF(куб!$E:$E,$E1012,куб!U:U),IF($D1012&lt;&gt;0,SUMIF(куб!$D:$D,$D1012,куб!U:U),IF($C1012&lt;&gt;0,SUMIF(куб!$C:$C,$C1012,куб!U:U),IF($B1012&lt;&gt;0,SUMIF(куб!$B:$B,$B1012,куб!U:U))))))</f>
        <v>0</v>
      </c>
      <c r="AL1012" s="16" t="str">
        <f t="shared" si="320"/>
        <v>-</v>
      </c>
      <c r="AM1012" s="8"/>
      <c r="AN1012" s="17" t="str">
        <f t="shared" si="321"/>
        <v xml:space="preserve"> </v>
      </c>
      <c r="AO1012" s="17" t="str">
        <f t="shared" si="322"/>
        <v xml:space="preserve"> </v>
      </c>
      <c r="AP1012" s="16" t="str">
        <f t="shared" si="323"/>
        <v>-</v>
      </c>
      <c r="AQ1012" s="8"/>
      <c r="AR1012" s="17" t="str">
        <f t="shared" si="324"/>
        <v>-</v>
      </c>
      <c r="AS1012" s="17" t="str">
        <f t="shared" si="325"/>
        <v>-</v>
      </c>
      <c r="AT1012" s="13" t="str">
        <f t="shared" si="326"/>
        <v>-</v>
      </c>
      <c r="AU1012" s="8"/>
    </row>
    <row r="1013" spans="1:47" x14ac:dyDescent="0.25">
      <c r="A1013" s="31"/>
      <c r="B1013" s="31"/>
      <c r="C1013"/>
      <c r="D1013" s="31"/>
      <c r="E1013"/>
      <c r="F1013" s="31"/>
      <c r="G1013"/>
      <c r="H1013" s="27">
        <f>IF($G1013&lt;&gt;0,SUMIF(куб!$G:$G,$G1013,куб!H:H),IF($E1013&lt;&gt;0,SUMIF(куб!$E:$E,$E1013,куб!H:H),IF($D1013&lt;&gt;0,SUMIF(куб!$D:$D,$D1013,куб!H:H),IF($C1013&lt;&gt;0,SUMIF(куб!$C:$C,$C1013,куб!H:H),IF($B1013&lt;&gt;0,SUMIF(куб!$B:$B,$B1013,куб!H:H),IF($G1013&lt;&gt;0,SUMIF(куб!$A:$A,$G1013,куб!H:H),SUMIF(куб!$A:$A,$G1013,куб!H:H)))))))</f>
        <v>0</v>
      </c>
      <c r="I1013" s="27">
        <f>IF($G1013&lt;&gt;0,SUMIF(куб!$G:$G,$G1013,куб!I:I),IF($E1013&lt;&gt;0,SUMIF(куб!$E:$E,$E1013,куб!I:I),IF($D1013&lt;&gt;0,SUMIF(куб!$D:$D,$D1013,куб!I:I),IF($C1013&lt;&gt;0,SUMIF(куб!$C:$C,$C1013,куб!I:I),IF($B1013&lt;&gt;0,SUMIF(куб!$B:$B,$B1013,куб!I:I),IF($G1013&lt;&gt;0,SUMIF(куб!$A:$A,$G1013,куб!I:I),SUMIF(куб!$A:$A,$G1013,куб!I:I)))))))</f>
        <v>0</v>
      </c>
      <c r="J1013" s="19" t="str">
        <f t="shared" si="309"/>
        <v>-</v>
      </c>
      <c r="K1013" s="8"/>
      <c r="L1013" s="17">
        <f t="shared" si="310"/>
        <v>0</v>
      </c>
      <c r="M1013" s="17">
        <f t="shared" si="311"/>
        <v>0</v>
      </c>
      <c r="N1013" s="12">
        <f t="shared" si="312"/>
        <v>0</v>
      </c>
      <c r="O1013" s="5"/>
      <c r="P1013" s="27" t="b">
        <f>IF($G1013&lt;&gt;0,SUMIF(куб!$G:$G,$G1013,куб!J:J),IF($E1013&lt;&gt;0,SUMIF(куб!$E:$E,$E1013,куб!J:J),IF($D1013&lt;&gt;0,SUMIF(куб!$D:$D,$D1013,куб!J:J),IF($C1013&lt;&gt;0,SUMIF(куб!$C:$C,$C1013,куб!J:J),IF($B1013&lt;&gt;0,SUMIF(куб!$B:$B,$B1013,куб!J:J))))))</f>
        <v>0</v>
      </c>
      <c r="Q1013" s="27" t="b">
        <f>IF($G1013&lt;&gt;0,SUMIF(куб!$G:$G,$G1013,куб!K:K),IF($E1013&lt;&gt;0,SUMIF(куб!$E:$E,$E1013,куб!K:K),IF($D1013&lt;&gt;0,SUMIF(куб!$D:$D,$D1013,куб!K:K),IF($C1013&lt;&gt;0,SUMIF(куб!$C:$C,$C1013,куб!K:K),IF($B1013&lt;&gt;0,SUMIF(куб!$B:$B,$B1013,куб!K:K))))))</f>
        <v>0</v>
      </c>
      <c r="R1013" s="13" t="str">
        <f t="shared" si="313"/>
        <v>-</v>
      </c>
      <c r="S1013" s="5"/>
      <c r="T1013" s="27" t="b">
        <f>IF($G1013&lt;&gt;0,SUMIF(куб!$G:$G,$G1013,куб!L:L),IF($E1013&lt;&gt;0,SUMIF(куб!$E:$E,$E1013,куб!L:L),IF($D1013&lt;&gt;0,SUMIF(куб!$D:$D,$D1013,куб!L:L),IF($C1013&lt;&gt;0,SUMIF(куб!$C:$C,$C1013,куб!L:L),IF($B1013&lt;&gt;0,SUMIF(куб!$B:$B,$B1013,куб!L:L))))))</f>
        <v>0</v>
      </c>
      <c r="U1013" s="27" t="b">
        <f>IF($G1013&lt;&gt;0,SUMIF(куб!$G:$G,$G1013,куб!M:M),IF($E1013&lt;&gt;0,SUMIF(куб!$E:$E,$E1013,куб!M:M),IF($D1013&lt;&gt;0,SUMIF(куб!$D:$D,$D1013,куб!M:M),IF($C1013&lt;&gt;0,SUMIF(куб!$C:$C,$C1013,куб!M:M),IF($B1013&lt;&gt;0,SUMIF(куб!$B:$B,$B1013,куб!M:M))))))</f>
        <v>0</v>
      </c>
      <c r="V1013" s="13" t="str">
        <f t="shared" si="314"/>
        <v>-</v>
      </c>
      <c r="W1013" s="5"/>
      <c r="X1013" s="27" t="b">
        <f>IF($G1013&lt;&gt;0,SUMIF(куб!$G:$G,$G1013,куб!N:N),IF($E1013&lt;&gt;0,SUMIF(куб!$E:$E,$E1013,куб!N:N),IF($D1013&lt;&gt;0,SUMIF(куб!$D:$D,$D1013,куб!N:N),IF($C1013&lt;&gt;0,SUMIF(куб!$C:$C,$C1013,куб!N:N),IF($B1013&lt;&gt;0,SUMIF(куб!$B:$B,$B1013,куб!N:N))))))</f>
        <v>0</v>
      </c>
      <c r="Y1013" s="27" t="b">
        <f>IF($G1013&lt;&gt;0,SUMIF(куб!$G:$G,$G1013,куб!O:O),IF($E1013&lt;&gt;0,SUMIF(куб!$E:$E,$E1013,куб!O:O),IF($D1013&lt;&gt;0,SUMIF(куб!$D:$D,$D1013,куб!O:O),IF($C1013&lt;&gt;0,SUMIF(куб!$C:$C,$C1013,куб!O:O),IF($B1013&lt;&gt;0,SUMIF(куб!$B:$B,$B1013,куб!O:O))))))</f>
        <v>0</v>
      </c>
      <c r="Z1013" s="13" t="str">
        <f t="shared" si="315"/>
        <v>-</v>
      </c>
      <c r="AA1013" s="5"/>
      <c r="AB1013" s="33" t="str">
        <f t="shared" si="316"/>
        <v/>
      </c>
      <c r="AC1013" s="33" t="str">
        <f t="shared" si="317"/>
        <v/>
      </c>
      <c r="AD1013" s="15" t="str">
        <f t="shared" si="318"/>
        <v xml:space="preserve"> </v>
      </c>
      <c r="AE1013" s="5"/>
      <c r="AF1013" s="27" t="b">
        <f>IF($G1013&lt;&gt;0,SUMIF(куб!$G:$G,$G1013,куб!R:R),IF($E1013&lt;&gt;0,SUMIF(куб!$E:$E,$E1013,куб!R:R),IF($D1013&lt;&gt;0,SUMIF(куб!$D:$D,$D1013,куб!R:R),IF($C1013&lt;&gt;0,SUMIF(куб!$C:$C,$C1013,куб!R:R),IF($B1013&lt;&gt;0,SUMIF(куб!$B:$B,$B1013,куб!R:R))))))</f>
        <v>0</v>
      </c>
      <c r="AG1013" s="27" t="b">
        <f>IF($G1013&lt;&gt;0,SUMIF(куб!$G:$G,$G1013,куб!S:S),IF($E1013&lt;&gt;0,SUMIF(куб!$E:$E,$E1013,куб!S:S),IF($D1013&lt;&gt;0,SUMIF(куб!$D:$D,$D1013,куб!S:S),IF($C1013&lt;&gt;0,SUMIF(куб!$C:$C,$C1013,куб!S:S),IF($B1013&lt;&gt;0,SUMIF(куб!$B:$B,$B1013,куб!S:S))))))</f>
        <v>0</v>
      </c>
      <c r="AH1013" s="16" t="str">
        <f t="shared" si="319"/>
        <v>-</v>
      </c>
      <c r="AI1013" s="8"/>
      <c r="AJ1013" s="27" t="b">
        <f>IF($G1013&lt;&gt;0,SUMIF(куб!$G:$G,$G1013,куб!T:T),IF($E1013&lt;&gt;0,SUMIF(куб!$E:$E,$E1013,куб!T:T),IF($D1013&lt;&gt;0,SUMIF(куб!$D:$D,$D1013,куб!T:T),IF($C1013&lt;&gt;0,SUMIF(куб!$C:$C,$C1013,куб!T:T),IF($B1013&lt;&gt;0,SUMIF(куб!$B:$B,$B1013,куб!T:T))))))</f>
        <v>0</v>
      </c>
      <c r="AK1013" s="27" t="b">
        <f>IF($G1013&lt;&gt;0,SUMIF(куб!$G:$G,$G1013,куб!U:U),IF($E1013&lt;&gt;0,SUMIF(куб!$E:$E,$E1013,куб!U:U),IF($D1013&lt;&gt;0,SUMIF(куб!$D:$D,$D1013,куб!U:U),IF($C1013&lt;&gt;0,SUMIF(куб!$C:$C,$C1013,куб!U:U),IF($B1013&lt;&gt;0,SUMIF(куб!$B:$B,$B1013,куб!U:U))))))</f>
        <v>0</v>
      </c>
      <c r="AL1013" s="16" t="str">
        <f t="shared" si="320"/>
        <v>-</v>
      </c>
      <c r="AM1013" s="8"/>
      <c r="AN1013" s="17" t="str">
        <f t="shared" si="321"/>
        <v xml:space="preserve"> </v>
      </c>
      <c r="AO1013" s="17" t="str">
        <f t="shared" si="322"/>
        <v xml:space="preserve"> </v>
      </c>
      <c r="AP1013" s="16" t="str">
        <f t="shared" si="323"/>
        <v>-</v>
      </c>
      <c r="AQ1013" s="8"/>
      <c r="AR1013" s="17" t="str">
        <f t="shared" si="324"/>
        <v>-</v>
      </c>
      <c r="AS1013" s="17" t="str">
        <f t="shared" si="325"/>
        <v>-</v>
      </c>
      <c r="AT1013" s="13" t="str">
        <f t="shared" si="326"/>
        <v>-</v>
      </c>
      <c r="AU1013" s="8"/>
    </row>
    <row r="1014" spans="1:47" x14ac:dyDescent="0.25">
      <c r="A1014" s="31"/>
      <c r="B1014" s="31"/>
      <c r="C1014"/>
      <c r="D1014" s="31"/>
      <c r="E1014"/>
      <c r="F1014" s="31"/>
      <c r="G1014"/>
      <c r="H1014" s="27">
        <f>IF($G1014&lt;&gt;0,SUMIF(куб!$G:$G,$G1014,куб!H:H),IF($E1014&lt;&gt;0,SUMIF(куб!$E:$E,$E1014,куб!H:H),IF($D1014&lt;&gt;0,SUMIF(куб!$D:$D,$D1014,куб!H:H),IF($C1014&lt;&gt;0,SUMIF(куб!$C:$C,$C1014,куб!H:H),IF($B1014&lt;&gt;0,SUMIF(куб!$B:$B,$B1014,куб!H:H),IF($G1014&lt;&gt;0,SUMIF(куб!$A:$A,$G1014,куб!H:H),SUMIF(куб!$A:$A,$G1014,куб!H:H)))))))</f>
        <v>0</v>
      </c>
      <c r="I1014" s="27">
        <f>IF($G1014&lt;&gt;0,SUMIF(куб!$G:$G,$G1014,куб!I:I),IF($E1014&lt;&gt;0,SUMIF(куб!$E:$E,$E1014,куб!I:I),IF($D1014&lt;&gt;0,SUMIF(куб!$D:$D,$D1014,куб!I:I),IF($C1014&lt;&gt;0,SUMIF(куб!$C:$C,$C1014,куб!I:I),IF($B1014&lt;&gt;0,SUMIF(куб!$B:$B,$B1014,куб!I:I),IF($G1014&lt;&gt;0,SUMIF(куб!$A:$A,$G1014,куб!I:I),SUMIF(куб!$A:$A,$G1014,куб!I:I)))))))</f>
        <v>0</v>
      </c>
      <c r="J1014" s="19" t="str">
        <f t="shared" si="309"/>
        <v>-</v>
      </c>
      <c r="K1014" s="8"/>
      <c r="L1014" s="17">
        <f t="shared" si="310"/>
        <v>0</v>
      </c>
      <c r="M1014" s="17">
        <f t="shared" si="311"/>
        <v>0</v>
      </c>
      <c r="N1014" s="12">
        <f t="shared" si="312"/>
        <v>0</v>
      </c>
      <c r="O1014" s="5"/>
      <c r="P1014" s="27" t="b">
        <f>IF($G1014&lt;&gt;0,SUMIF(куб!$G:$G,$G1014,куб!J:J),IF($E1014&lt;&gt;0,SUMIF(куб!$E:$E,$E1014,куб!J:J),IF($D1014&lt;&gt;0,SUMIF(куб!$D:$D,$D1014,куб!J:J),IF($C1014&lt;&gt;0,SUMIF(куб!$C:$C,$C1014,куб!J:J),IF($B1014&lt;&gt;0,SUMIF(куб!$B:$B,$B1014,куб!J:J))))))</f>
        <v>0</v>
      </c>
      <c r="Q1014" s="27" t="b">
        <f>IF($G1014&lt;&gt;0,SUMIF(куб!$G:$G,$G1014,куб!K:K),IF($E1014&lt;&gt;0,SUMIF(куб!$E:$E,$E1014,куб!K:K),IF($D1014&lt;&gt;0,SUMIF(куб!$D:$D,$D1014,куб!K:K),IF($C1014&lt;&gt;0,SUMIF(куб!$C:$C,$C1014,куб!K:K),IF($B1014&lt;&gt;0,SUMIF(куб!$B:$B,$B1014,куб!K:K))))))</f>
        <v>0</v>
      </c>
      <c r="R1014" s="13" t="str">
        <f t="shared" si="313"/>
        <v>-</v>
      </c>
      <c r="S1014" s="5"/>
      <c r="T1014" s="27" t="b">
        <f>IF($G1014&lt;&gt;0,SUMIF(куб!$G:$G,$G1014,куб!L:L),IF($E1014&lt;&gt;0,SUMIF(куб!$E:$E,$E1014,куб!L:L),IF($D1014&lt;&gt;0,SUMIF(куб!$D:$D,$D1014,куб!L:L),IF($C1014&lt;&gt;0,SUMIF(куб!$C:$C,$C1014,куб!L:L),IF($B1014&lt;&gt;0,SUMIF(куб!$B:$B,$B1014,куб!L:L))))))</f>
        <v>0</v>
      </c>
      <c r="U1014" s="27" t="b">
        <f>IF($G1014&lt;&gt;0,SUMIF(куб!$G:$G,$G1014,куб!M:M),IF($E1014&lt;&gt;0,SUMIF(куб!$E:$E,$E1014,куб!M:M),IF($D1014&lt;&gt;0,SUMIF(куб!$D:$D,$D1014,куб!M:M),IF($C1014&lt;&gt;0,SUMIF(куб!$C:$C,$C1014,куб!M:M),IF($B1014&lt;&gt;0,SUMIF(куб!$B:$B,$B1014,куб!M:M))))))</f>
        <v>0</v>
      </c>
      <c r="V1014" s="13" t="str">
        <f t="shared" si="314"/>
        <v>-</v>
      </c>
      <c r="W1014" s="5"/>
      <c r="X1014" s="27" t="b">
        <f>IF($G1014&lt;&gt;0,SUMIF(куб!$G:$G,$G1014,куб!N:N),IF($E1014&lt;&gt;0,SUMIF(куб!$E:$E,$E1014,куб!N:N),IF($D1014&lt;&gt;0,SUMIF(куб!$D:$D,$D1014,куб!N:N),IF($C1014&lt;&gt;0,SUMIF(куб!$C:$C,$C1014,куб!N:N),IF($B1014&lt;&gt;0,SUMIF(куб!$B:$B,$B1014,куб!N:N))))))</f>
        <v>0</v>
      </c>
      <c r="Y1014" s="27" t="b">
        <f>IF($G1014&lt;&gt;0,SUMIF(куб!$G:$G,$G1014,куб!O:O),IF($E1014&lt;&gt;0,SUMIF(куб!$E:$E,$E1014,куб!O:O),IF($D1014&lt;&gt;0,SUMIF(куб!$D:$D,$D1014,куб!O:O),IF($C1014&lt;&gt;0,SUMIF(куб!$C:$C,$C1014,куб!O:O),IF($B1014&lt;&gt;0,SUMIF(куб!$B:$B,$B1014,куб!O:O))))))</f>
        <v>0</v>
      </c>
      <c r="Z1014" s="13" t="str">
        <f t="shared" si="315"/>
        <v>-</v>
      </c>
      <c r="AA1014" s="5"/>
      <c r="AB1014" s="33" t="str">
        <f t="shared" si="316"/>
        <v/>
      </c>
      <c r="AC1014" s="33" t="str">
        <f t="shared" si="317"/>
        <v/>
      </c>
      <c r="AD1014" s="15" t="str">
        <f t="shared" si="318"/>
        <v xml:space="preserve"> </v>
      </c>
      <c r="AE1014" s="5"/>
      <c r="AF1014" s="27" t="b">
        <f>IF($G1014&lt;&gt;0,SUMIF(куб!$G:$G,$G1014,куб!R:R),IF($E1014&lt;&gt;0,SUMIF(куб!$E:$E,$E1014,куб!R:R),IF($D1014&lt;&gt;0,SUMIF(куб!$D:$D,$D1014,куб!R:R),IF($C1014&lt;&gt;0,SUMIF(куб!$C:$C,$C1014,куб!R:R),IF($B1014&lt;&gt;0,SUMIF(куб!$B:$B,$B1014,куб!R:R))))))</f>
        <v>0</v>
      </c>
      <c r="AG1014" s="27" t="b">
        <f>IF($G1014&lt;&gt;0,SUMIF(куб!$G:$G,$G1014,куб!S:S),IF($E1014&lt;&gt;0,SUMIF(куб!$E:$E,$E1014,куб!S:S),IF($D1014&lt;&gt;0,SUMIF(куб!$D:$D,$D1014,куб!S:S),IF($C1014&lt;&gt;0,SUMIF(куб!$C:$C,$C1014,куб!S:S),IF($B1014&lt;&gt;0,SUMIF(куб!$B:$B,$B1014,куб!S:S))))))</f>
        <v>0</v>
      </c>
      <c r="AH1014" s="16" t="str">
        <f t="shared" si="319"/>
        <v>-</v>
      </c>
      <c r="AI1014" s="8"/>
      <c r="AJ1014" s="27" t="b">
        <f>IF($G1014&lt;&gt;0,SUMIF(куб!$G:$G,$G1014,куб!T:T),IF($E1014&lt;&gt;0,SUMIF(куб!$E:$E,$E1014,куб!T:T),IF($D1014&lt;&gt;0,SUMIF(куб!$D:$D,$D1014,куб!T:T),IF($C1014&lt;&gt;0,SUMIF(куб!$C:$C,$C1014,куб!T:T),IF($B1014&lt;&gt;0,SUMIF(куб!$B:$B,$B1014,куб!T:T))))))</f>
        <v>0</v>
      </c>
      <c r="AK1014" s="27" t="b">
        <f>IF($G1014&lt;&gt;0,SUMIF(куб!$G:$G,$G1014,куб!U:U),IF($E1014&lt;&gt;0,SUMIF(куб!$E:$E,$E1014,куб!U:U),IF($D1014&lt;&gt;0,SUMIF(куб!$D:$D,$D1014,куб!U:U),IF($C1014&lt;&gt;0,SUMIF(куб!$C:$C,$C1014,куб!U:U),IF($B1014&lt;&gt;0,SUMIF(куб!$B:$B,$B1014,куб!U:U))))))</f>
        <v>0</v>
      </c>
      <c r="AL1014" s="16" t="str">
        <f t="shared" si="320"/>
        <v>-</v>
      </c>
      <c r="AM1014" s="8"/>
      <c r="AN1014" s="17" t="str">
        <f t="shared" si="321"/>
        <v xml:space="preserve"> </v>
      </c>
      <c r="AO1014" s="17" t="str">
        <f t="shared" si="322"/>
        <v xml:space="preserve"> </v>
      </c>
      <c r="AP1014" s="16" t="str">
        <f t="shared" si="323"/>
        <v>-</v>
      </c>
      <c r="AQ1014" s="8"/>
      <c r="AR1014" s="17" t="str">
        <f t="shared" si="324"/>
        <v>-</v>
      </c>
      <c r="AS1014" s="17" t="str">
        <f t="shared" si="325"/>
        <v>-</v>
      </c>
      <c r="AT1014" s="13" t="str">
        <f t="shared" si="326"/>
        <v>-</v>
      </c>
      <c r="AU1014" s="8"/>
    </row>
    <row r="1015" spans="1:47" x14ac:dyDescent="0.25">
      <c r="A1015" s="31"/>
      <c r="B1015" s="31"/>
      <c r="C1015"/>
      <c r="D1015" s="31"/>
      <c r="E1015"/>
      <c r="F1015" s="31"/>
      <c r="G1015"/>
      <c r="H1015" s="27">
        <f>IF($G1015&lt;&gt;0,SUMIF(куб!$G:$G,$G1015,куб!H:H),IF($E1015&lt;&gt;0,SUMIF(куб!$E:$E,$E1015,куб!H:H),IF($D1015&lt;&gt;0,SUMIF(куб!$D:$D,$D1015,куб!H:H),IF($C1015&lt;&gt;0,SUMIF(куб!$C:$C,$C1015,куб!H:H),IF($B1015&lt;&gt;0,SUMIF(куб!$B:$B,$B1015,куб!H:H),IF($G1015&lt;&gt;0,SUMIF(куб!$A:$A,$G1015,куб!H:H),SUMIF(куб!$A:$A,$G1015,куб!H:H)))))))</f>
        <v>0</v>
      </c>
      <c r="I1015" s="27">
        <f>IF($G1015&lt;&gt;0,SUMIF(куб!$G:$G,$G1015,куб!I:I),IF($E1015&lt;&gt;0,SUMIF(куб!$E:$E,$E1015,куб!I:I),IF($D1015&lt;&gt;0,SUMIF(куб!$D:$D,$D1015,куб!I:I),IF($C1015&lt;&gt;0,SUMIF(куб!$C:$C,$C1015,куб!I:I),IF($B1015&lt;&gt;0,SUMIF(куб!$B:$B,$B1015,куб!I:I),IF($G1015&lt;&gt;0,SUMIF(куб!$A:$A,$G1015,куб!I:I),SUMIF(куб!$A:$A,$G1015,куб!I:I)))))))</f>
        <v>0</v>
      </c>
      <c r="J1015" s="19" t="str">
        <f t="shared" si="309"/>
        <v>-</v>
      </c>
      <c r="K1015" s="8"/>
      <c r="L1015" s="17">
        <f t="shared" si="310"/>
        <v>0</v>
      </c>
      <c r="M1015" s="17">
        <f t="shared" si="311"/>
        <v>0</v>
      </c>
      <c r="N1015" s="12">
        <f t="shared" si="312"/>
        <v>0</v>
      </c>
      <c r="O1015" s="5"/>
      <c r="P1015" s="27" t="b">
        <f>IF($G1015&lt;&gt;0,SUMIF(куб!$G:$G,$G1015,куб!J:J),IF($E1015&lt;&gt;0,SUMIF(куб!$E:$E,$E1015,куб!J:J),IF($D1015&lt;&gt;0,SUMIF(куб!$D:$D,$D1015,куб!J:J),IF($C1015&lt;&gt;0,SUMIF(куб!$C:$C,$C1015,куб!J:J),IF($B1015&lt;&gt;0,SUMIF(куб!$B:$B,$B1015,куб!J:J))))))</f>
        <v>0</v>
      </c>
      <c r="Q1015" s="27" t="b">
        <f>IF($G1015&lt;&gt;0,SUMIF(куб!$G:$G,$G1015,куб!K:K),IF($E1015&lt;&gt;0,SUMIF(куб!$E:$E,$E1015,куб!K:K),IF($D1015&lt;&gt;0,SUMIF(куб!$D:$D,$D1015,куб!K:K),IF($C1015&lt;&gt;0,SUMIF(куб!$C:$C,$C1015,куб!K:K),IF($B1015&lt;&gt;0,SUMIF(куб!$B:$B,$B1015,куб!K:K))))))</f>
        <v>0</v>
      </c>
      <c r="R1015" s="13" t="str">
        <f t="shared" si="313"/>
        <v>-</v>
      </c>
      <c r="S1015" s="5"/>
      <c r="T1015" s="27" t="b">
        <f>IF($G1015&lt;&gt;0,SUMIF(куб!$G:$G,$G1015,куб!L:L),IF($E1015&lt;&gt;0,SUMIF(куб!$E:$E,$E1015,куб!L:L),IF($D1015&lt;&gt;0,SUMIF(куб!$D:$D,$D1015,куб!L:L),IF($C1015&lt;&gt;0,SUMIF(куб!$C:$C,$C1015,куб!L:L),IF($B1015&lt;&gt;0,SUMIF(куб!$B:$B,$B1015,куб!L:L))))))</f>
        <v>0</v>
      </c>
      <c r="U1015" s="27" t="b">
        <f>IF($G1015&lt;&gt;0,SUMIF(куб!$G:$G,$G1015,куб!M:M),IF($E1015&lt;&gt;0,SUMIF(куб!$E:$E,$E1015,куб!M:M),IF($D1015&lt;&gt;0,SUMIF(куб!$D:$D,$D1015,куб!M:M),IF($C1015&lt;&gt;0,SUMIF(куб!$C:$C,$C1015,куб!M:M),IF($B1015&lt;&gt;0,SUMIF(куб!$B:$B,$B1015,куб!M:M))))))</f>
        <v>0</v>
      </c>
      <c r="V1015" s="13" t="str">
        <f t="shared" si="314"/>
        <v>-</v>
      </c>
      <c r="W1015" s="5"/>
      <c r="X1015" s="27" t="b">
        <f>IF($G1015&lt;&gt;0,SUMIF(куб!$G:$G,$G1015,куб!N:N),IF($E1015&lt;&gt;0,SUMIF(куб!$E:$E,$E1015,куб!N:N),IF($D1015&lt;&gt;0,SUMIF(куб!$D:$D,$D1015,куб!N:N),IF($C1015&lt;&gt;0,SUMIF(куб!$C:$C,$C1015,куб!N:N),IF($B1015&lt;&gt;0,SUMIF(куб!$B:$B,$B1015,куб!N:N))))))</f>
        <v>0</v>
      </c>
      <c r="Y1015" s="27" t="b">
        <f>IF($G1015&lt;&gt;0,SUMIF(куб!$G:$G,$G1015,куб!O:O),IF($E1015&lt;&gt;0,SUMIF(куб!$E:$E,$E1015,куб!O:O),IF($D1015&lt;&gt;0,SUMIF(куб!$D:$D,$D1015,куб!O:O),IF($C1015&lt;&gt;0,SUMIF(куб!$C:$C,$C1015,куб!O:O),IF($B1015&lt;&gt;0,SUMIF(куб!$B:$B,$B1015,куб!O:O))))))</f>
        <v>0</v>
      </c>
      <c r="Z1015" s="13" t="str">
        <f t="shared" si="315"/>
        <v>-</v>
      </c>
      <c r="AA1015" s="5"/>
      <c r="AB1015" s="33" t="str">
        <f t="shared" si="316"/>
        <v/>
      </c>
      <c r="AC1015" s="33" t="str">
        <f t="shared" si="317"/>
        <v/>
      </c>
      <c r="AD1015" s="15" t="str">
        <f t="shared" si="318"/>
        <v xml:space="preserve"> </v>
      </c>
      <c r="AE1015" s="5"/>
      <c r="AF1015" s="27" t="b">
        <f>IF($G1015&lt;&gt;0,SUMIF(куб!$G:$G,$G1015,куб!R:R),IF($E1015&lt;&gt;0,SUMIF(куб!$E:$E,$E1015,куб!R:R),IF($D1015&lt;&gt;0,SUMIF(куб!$D:$D,$D1015,куб!R:R),IF($C1015&lt;&gt;0,SUMIF(куб!$C:$C,$C1015,куб!R:R),IF($B1015&lt;&gt;0,SUMIF(куб!$B:$B,$B1015,куб!R:R))))))</f>
        <v>0</v>
      </c>
      <c r="AG1015" s="27" t="b">
        <f>IF($G1015&lt;&gt;0,SUMIF(куб!$G:$G,$G1015,куб!S:S),IF($E1015&lt;&gt;0,SUMIF(куб!$E:$E,$E1015,куб!S:S),IF($D1015&lt;&gt;0,SUMIF(куб!$D:$D,$D1015,куб!S:S),IF($C1015&lt;&gt;0,SUMIF(куб!$C:$C,$C1015,куб!S:S),IF($B1015&lt;&gt;0,SUMIF(куб!$B:$B,$B1015,куб!S:S))))))</f>
        <v>0</v>
      </c>
      <c r="AH1015" s="16" t="str">
        <f t="shared" si="319"/>
        <v>-</v>
      </c>
      <c r="AI1015" s="8"/>
      <c r="AJ1015" s="27" t="b">
        <f>IF($G1015&lt;&gt;0,SUMIF(куб!$G:$G,$G1015,куб!T:T),IF($E1015&lt;&gt;0,SUMIF(куб!$E:$E,$E1015,куб!T:T),IF($D1015&lt;&gt;0,SUMIF(куб!$D:$D,$D1015,куб!T:T),IF($C1015&lt;&gt;0,SUMIF(куб!$C:$C,$C1015,куб!T:T),IF($B1015&lt;&gt;0,SUMIF(куб!$B:$B,$B1015,куб!T:T))))))</f>
        <v>0</v>
      </c>
      <c r="AK1015" s="27" t="b">
        <f>IF($G1015&lt;&gt;0,SUMIF(куб!$G:$G,$G1015,куб!U:U),IF($E1015&lt;&gt;0,SUMIF(куб!$E:$E,$E1015,куб!U:U),IF($D1015&lt;&gt;0,SUMIF(куб!$D:$D,$D1015,куб!U:U),IF($C1015&lt;&gt;0,SUMIF(куб!$C:$C,$C1015,куб!U:U),IF($B1015&lt;&gt;0,SUMIF(куб!$B:$B,$B1015,куб!U:U))))))</f>
        <v>0</v>
      </c>
      <c r="AL1015" s="16" t="str">
        <f t="shared" si="320"/>
        <v>-</v>
      </c>
      <c r="AM1015" s="8"/>
      <c r="AN1015" s="17" t="str">
        <f t="shared" si="321"/>
        <v xml:space="preserve"> </v>
      </c>
      <c r="AO1015" s="17" t="str">
        <f t="shared" si="322"/>
        <v xml:space="preserve"> </v>
      </c>
      <c r="AP1015" s="16" t="str">
        <f t="shared" si="323"/>
        <v>-</v>
      </c>
      <c r="AQ1015" s="8"/>
      <c r="AR1015" s="17" t="str">
        <f t="shared" si="324"/>
        <v>-</v>
      </c>
      <c r="AS1015" s="17" t="str">
        <f t="shared" si="325"/>
        <v>-</v>
      </c>
      <c r="AT1015" s="13" t="str">
        <f t="shared" si="326"/>
        <v>-</v>
      </c>
      <c r="AU1015" s="8"/>
    </row>
    <row r="1016" spans="1:47" x14ac:dyDescent="0.25">
      <c r="A1016" s="31"/>
      <c r="B1016" s="31"/>
      <c r="C1016"/>
      <c r="D1016" s="31"/>
      <c r="E1016"/>
      <c r="F1016" s="31"/>
      <c r="G1016"/>
      <c r="H1016" s="27">
        <f>IF($G1016&lt;&gt;0,SUMIF(куб!$G:$G,$G1016,куб!H:H),IF($E1016&lt;&gt;0,SUMIF(куб!$E:$E,$E1016,куб!H:H),IF($D1016&lt;&gt;0,SUMIF(куб!$D:$D,$D1016,куб!H:H),IF($C1016&lt;&gt;0,SUMIF(куб!$C:$C,$C1016,куб!H:H),IF($B1016&lt;&gt;0,SUMIF(куб!$B:$B,$B1016,куб!H:H),IF($G1016&lt;&gt;0,SUMIF(куб!$A:$A,$G1016,куб!H:H),SUMIF(куб!$A:$A,$G1016,куб!H:H)))))))</f>
        <v>0</v>
      </c>
      <c r="I1016" s="27">
        <f>IF($G1016&lt;&gt;0,SUMIF(куб!$G:$G,$G1016,куб!I:I),IF($E1016&lt;&gt;0,SUMIF(куб!$E:$E,$E1016,куб!I:I),IF($D1016&lt;&gt;0,SUMIF(куб!$D:$D,$D1016,куб!I:I),IF($C1016&lt;&gt;0,SUMIF(куб!$C:$C,$C1016,куб!I:I),IF($B1016&lt;&gt;0,SUMIF(куб!$B:$B,$B1016,куб!I:I),IF($G1016&lt;&gt;0,SUMIF(куб!$A:$A,$G1016,куб!I:I),SUMIF(куб!$A:$A,$G1016,куб!I:I)))))))</f>
        <v>0</v>
      </c>
      <c r="J1016" s="19" t="str">
        <f t="shared" ref="J1016:J1079" si="327">IFERROR((I1016-H1016)/ABS(H1016),"-")</f>
        <v>-</v>
      </c>
      <c r="K1016" s="8"/>
      <c r="L1016" s="17">
        <f t="shared" ref="L1016:L1079" si="328">H1016/$H$3</f>
        <v>0</v>
      </c>
      <c r="M1016" s="17">
        <f t="shared" ref="M1016:M1079" si="329">I1016/$I$3</f>
        <v>0</v>
      </c>
      <c r="N1016" s="12">
        <f t="shared" ref="N1016:N1079" si="330">M1016-L1016</f>
        <v>0</v>
      </c>
      <c r="O1016" s="5"/>
      <c r="P1016" s="27" t="b">
        <f>IF($G1016&lt;&gt;0,SUMIF(куб!$G:$G,$G1016,куб!J:J),IF($E1016&lt;&gt;0,SUMIF(куб!$E:$E,$E1016,куб!J:J),IF($D1016&lt;&gt;0,SUMIF(куб!$D:$D,$D1016,куб!J:J),IF($C1016&lt;&gt;0,SUMIF(куб!$C:$C,$C1016,куб!J:J),IF($B1016&lt;&gt;0,SUMIF(куб!$B:$B,$B1016,куб!J:J))))))</f>
        <v>0</v>
      </c>
      <c r="Q1016" s="27" t="b">
        <f>IF($G1016&lt;&gt;0,SUMIF(куб!$G:$G,$G1016,куб!K:K),IF($E1016&lt;&gt;0,SUMIF(куб!$E:$E,$E1016,куб!K:K),IF($D1016&lt;&gt;0,SUMIF(куб!$D:$D,$D1016,куб!K:K),IF($C1016&lt;&gt;0,SUMIF(куб!$C:$C,$C1016,куб!K:K),IF($B1016&lt;&gt;0,SUMIF(куб!$B:$B,$B1016,куб!K:K))))))</f>
        <v>0</v>
      </c>
      <c r="R1016" s="13" t="str">
        <f t="shared" ref="R1016:R1079" si="331">IFERROR((Q1016-P1016)/ABS(P1016),"-")</f>
        <v>-</v>
      </c>
      <c r="S1016" s="5"/>
      <c r="T1016" s="27" t="b">
        <f>IF($G1016&lt;&gt;0,SUMIF(куб!$G:$G,$G1016,куб!L:L),IF($E1016&lt;&gt;0,SUMIF(куб!$E:$E,$E1016,куб!L:L),IF($D1016&lt;&gt;0,SUMIF(куб!$D:$D,$D1016,куб!L:L),IF($C1016&lt;&gt;0,SUMIF(куб!$C:$C,$C1016,куб!L:L),IF($B1016&lt;&gt;0,SUMIF(куб!$B:$B,$B1016,куб!L:L))))))</f>
        <v>0</v>
      </c>
      <c r="U1016" s="27" t="b">
        <f>IF($G1016&lt;&gt;0,SUMIF(куб!$G:$G,$G1016,куб!M:M),IF($E1016&lt;&gt;0,SUMIF(куб!$E:$E,$E1016,куб!M:M),IF($D1016&lt;&gt;0,SUMIF(куб!$D:$D,$D1016,куб!M:M),IF($C1016&lt;&gt;0,SUMIF(куб!$C:$C,$C1016,куб!M:M),IF($B1016&lt;&gt;0,SUMIF(куб!$B:$B,$B1016,куб!M:M))))))</f>
        <v>0</v>
      </c>
      <c r="V1016" s="13" t="str">
        <f t="shared" ref="V1016:V1079" si="332">IFERROR((U1016-T1016)/ABS(T1016),"-")</f>
        <v>-</v>
      </c>
      <c r="W1016" s="5"/>
      <c r="X1016" s="27" t="b">
        <f>IF($G1016&lt;&gt;0,SUMIF(куб!$G:$G,$G1016,куб!N:N),IF($E1016&lt;&gt;0,SUMIF(куб!$E:$E,$E1016,куб!N:N),IF($D1016&lt;&gt;0,SUMIF(куб!$D:$D,$D1016,куб!N:N),IF($C1016&lt;&gt;0,SUMIF(куб!$C:$C,$C1016,куб!N:N),IF($B1016&lt;&gt;0,SUMIF(куб!$B:$B,$B1016,куб!N:N))))))</f>
        <v>0</v>
      </c>
      <c r="Y1016" s="27" t="b">
        <f>IF($G1016&lt;&gt;0,SUMIF(куб!$G:$G,$G1016,куб!O:O),IF($E1016&lt;&gt;0,SUMIF(куб!$E:$E,$E1016,куб!O:O),IF($D1016&lt;&gt;0,SUMIF(куб!$D:$D,$D1016,куб!O:O),IF($C1016&lt;&gt;0,SUMIF(куб!$C:$C,$C1016,куб!O:O),IF($B1016&lt;&gt;0,SUMIF(куб!$B:$B,$B1016,куб!O:O))))))</f>
        <v>0</v>
      </c>
      <c r="Z1016" s="13" t="str">
        <f t="shared" ref="Z1016:Z1079" si="333">IFERROR((Y1016-X1016)/ABS(X1016),"-")</f>
        <v>-</v>
      </c>
      <c r="AA1016" s="5"/>
      <c r="AB1016" s="33" t="str">
        <f t="shared" ref="AB1016:AB1079" si="334">IFERROR(X1016/H1016,"")</f>
        <v/>
      </c>
      <c r="AC1016" s="33" t="str">
        <f t="shared" ref="AC1016:AC1079" si="335">IFERROR(Y1016/I1016,"")</f>
        <v/>
      </c>
      <c r="AD1016" s="15" t="str">
        <f t="shared" ref="AD1016:AD1079" si="336">IFERROR(AC1016-AB1016," ")</f>
        <v xml:space="preserve"> </v>
      </c>
      <c r="AE1016" s="5"/>
      <c r="AF1016" s="27" t="b">
        <f>IF($G1016&lt;&gt;0,SUMIF(куб!$G:$G,$G1016,куб!R:R),IF($E1016&lt;&gt;0,SUMIF(куб!$E:$E,$E1016,куб!R:R),IF($D1016&lt;&gt;0,SUMIF(куб!$D:$D,$D1016,куб!R:R),IF($C1016&lt;&gt;0,SUMIF(куб!$C:$C,$C1016,куб!R:R),IF($B1016&lt;&gt;0,SUMIF(куб!$B:$B,$B1016,куб!R:R))))))</f>
        <v>0</v>
      </c>
      <c r="AG1016" s="27" t="b">
        <f>IF($G1016&lt;&gt;0,SUMIF(куб!$G:$G,$G1016,куб!S:S),IF($E1016&lt;&gt;0,SUMIF(куб!$E:$E,$E1016,куб!S:S),IF($D1016&lt;&gt;0,SUMIF(куб!$D:$D,$D1016,куб!S:S),IF($C1016&lt;&gt;0,SUMIF(куб!$C:$C,$C1016,куб!S:S),IF($B1016&lt;&gt;0,SUMIF(куб!$B:$B,$B1016,куб!S:S))))))</f>
        <v>0</v>
      </c>
      <c r="AH1016" s="16" t="str">
        <f t="shared" ref="AH1016:AH1079" si="337">IFERROR((AG1016-AF1016)/ABS(AF1016),"-")</f>
        <v>-</v>
      </c>
      <c r="AI1016" s="8"/>
      <c r="AJ1016" s="27" t="b">
        <f>IF($G1016&lt;&gt;0,SUMIF(куб!$G:$G,$G1016,куб!T:T),IF($E1016&lt;&gt;0,SUMIF(куб!$E:$E,$E1016,куб!T:T),IF($D1016&lt;&gt;0,SUMIF(куб!$D:$D,$D1016,куб!T:T),IF($C1016&lt;&gt;0,SUMIF(куб!$C:$C,$C1016,куб!T:T),IF($B1016&lt;&gt;0,SUMIF(куб!$B:$B,$B1016,куб!T:T))))))</f>
        <v>0</v>
      </c>
      <c r="AK1016" s="27" t="b">
        <f>IF($G1016&lt;&gt;0,SUMIF(куб!$G:$G,$G1016,куб!U:U),IF($E1016&lt;&gt;0,SUMIF(куб!$E:$E,$E1016,куб!U:U),IF($D1016&lt;&gt;0,SUMIF(куб!$D:$D,$D1016,куб!U:U),IF($C1016&lt;&gt;0,SUMIF(куб!$C:$C,$C1016,куб!U:U),IF($B1016&lt;&gt;0,SUMIF(куб!$B:$B,$B1016,куб!U:U))))))</f>
        <v>0</v>
      </c>
      <c r="AL1016" s="16" t="str">
        <f t="shared" ref="AL1016:AL1079" si="338">IFERROR((AK1016-AJ1016)/ABS(AJ1016),"-")</f>
        <v>-</v>
      </c>
      <c r="AM1016" s="8"/>
      <c r="AN1016" s="17" t="str">
        <f t="shared" ref="AN1016:AN1079" si="339">IFERROR(AF1016/H1016," ")</f>
        <v xml:space="preserve"> </v>
      </c>
      <c r="AO1016" s="17" t="str">
        <f t="shared" ref="AO1016:AO1079" si="340">IFERROR(AG1016/I1016," ")</f>
        <v xml:space="preserve"> </v>
      </c>
      <c r="AP1016" s="16" t="str">
        <f t="shared" ref="AP1016:AP1079" si="341">IFERROR(AO1016-AN1016,"-")</f>
        <v>-</v>
      </c>
      <c r="AQ1016" s="8"/>
      <c r="AR1016" s="17" t="str">
        <f t="shared" ref="AR1016:AR1079" si="342">IFERROR((X1016-AF1016)/H1016,"-")</f>
        <v>-</v>
      </c>
      <c r="AS1016" s="17" t="str">
        <f t="shared" ref="AS1016:AS1079" si="343">IFERROR((Y1016-AG1016)/I1016,"-")</f>
        <v>-</v>
      </c>
      <c r="AT1016" s="13" t="str">
        <f t="shared" ref="AT1016:AT1079" si="344">IFERROR(AS1016-AR1016,"-")</f>
        <v>-</v>
      </c>
      <c r="AU1016" s="8"/>
    </row>
    <row r="1017" spans="1:47" x14ac:dyDescent="0.25">
      <c r="A1017" s="31"/>
      <c r="B1017" s="31"/>
      <c r="C1017"/>
      <c r="D1017" s="31"/>
      <c r="E1017"/>
      <c r="F1017" s="31"/>
      <c r="G1017"/>
      <c r="H1017" s="27">
        <f>IF($G1017&lt;&gt;0,SUMIF(куб!$G:$G,$G1017,куб!H:H),IF($E1017&lt;&gt;0,SUMIF(куб!$E:$E,$E1017,куб!H:H),IF($D1017&lt;&gt;0,SUMIF(куб!$D:$D,$D1017,куб!H:H),IF($C1017&lt;&gt;0,SUMIF(куб!$C:$C,$C1017,куб!H:H),IF($B1017&lt;&gt;0,SUMIF(куб!$B:$B,$B1017,куб!H:H),IF($G1017&lt;&gt;0,SUMIF(куб!$A:$A,$G1017,куб!H:H),SUMIF(куб!$A:$A,$G1017,куб!H:H)))))))</f>
        <v>0</v>
      </c>
      <c r="I1017" s="27">
        <f>IF($G1017&lt;&gt;0,SUMIF(куб!$G:$G,$G1017,куб!I:I),IF($E1017&lt;&gt;0,SUMIF(куб!$E:$E,$E1017,куб!I:I),IF($D1017&lt;&gt;0,SUMIF(куб!$D:$D,$D1017,куб!I:I),IF($C1017&lt;&gt;0,SUMIF(куб!$C:$C,$C1017,куб!I:I),IF($B1017&lt;&gt;0,SUMIF(куб!$B:$B,$B1017,куб!I:I),IF($G1017&lt;&gt;0,SUMIF(куб!$A:$A,$G1017,куб!I:I),SUMIF(куб!$A:$A,$G1017,куб!I:I)))))))</f>
        <v>0</v>
      </c>
      <c r="J1017" s="19" t="str">
        <f t="shared" si="327"/>
        <v>-</v>
      </c>
      <c r="K1017" s="8"/>
      <c r="L1017" s="17">
        <f t="shared" si="328"/>
        <v>0</v>
      </c>
      <c r="M1017" s="17">
        <f t="shared" si="329"/>
        <v>0</v>
      </c>
      <c r="N1017" s="12">
        <f t="shared" si="330"/>
        <v>0</v>
      </c>
      <c r="O1017" s="5"/>
      <c r="P1017" s="27" t="b">
        <f>IF($G1017&lt;&gt;0,SUMIF(куб!$G:$G,$G1017,куб!J:J),IF($E1017&lt;&gt;0,SUMIF(куб!$E:$E,$E1017,куб!J:J),IF($D1017&lt;&gt;0,SUMIF(куб!$D:$D,$D1017,куб!J:J),IF($C1017&lt;&gt;0,SUMIF(куб!$C:$C,$C1017,куб!J:J),IF($B1017&lt;&gt;0,SUMIF(куб!$B:$B,$B1017,куб!J:J))))))</f>
        <v>0</v>
      </c>
      <c r="Q1017" s="27" t="b">
        <f>IF($G1017&lt;&gt;0,SUMIF(куб!$G:$G,$G1017,куб!K:K),IF($E1017&lt;&gt;0,SUMIF(куб!$E:$E,$E1017,куб!K:K),IF($D1017&lt;&gt;0,SUMIF(куб!$D:$D,$D1017,куб!K:K),IF($C1017&lt;&gt;0,SUMIF(куб!$C:$C,$C1017,куб!K:K),IF($B1017&lt;&gt;0,SUMIF(куб!$B:$B,$B1017,куб!K:K))))))</f>
        <v>0</v>
      </c>
      <c r="R1017" s="13" t="str">
        <f t="shared" si="331"/>
        <v>-</v>
      </c>
      <c r="S1017" s="5"/>
      <c r="T1017" s="27" t="b">
        <f>IF($G1017&lt;&gt;0,SUMIF(куб!$G:$G,$G1017,куб!L:L),IF($E1017&lt;&gt;0,SUMIF(куб!$E:$E,$E1017,куб!L:L),IF($D1017&lt;&gt;0,SUMIF(куб!$D:$D,$D1017,куб!L:L),IF($C1017&lt;&gt;0,SUMIF(куб!$C:$C,$C1017,куб!L:L),IF($B1017&lt;&gt;0,SUMIF(куб!$B:$B,$B1017,куб!L:L))))))</f>
        <v>0</v>
      </c>
      <c r="U1017" s="27" t="b">
        <f>IF($G1017&lt;&gt;0,SUMIF(куб!$G:$G,$G1017,куб!M:M),IF($E1017&lt;&gt;0,SUMIF(куб!$E:$E,$E1017,куб!M:M),IF($D1017&lt;&gt;0,SUMIF(куб!$D:$D,$D1017,куб!M:M),IF($C1017&lt;&gt;0,SUMIF(куб!$C:$C,$C1017,куб!M:M),IF($B1017&lt;&gt;0,SUMIF(куб!$B:$B,$B1017,куб!M:M))))))</f>
        <v>0</v>
      </c>
      <c r="V1017" s="13" t="str">
        <f t="shared" si="332"/>
        <v>-</v>
      </c>
      <c r="W1017" s="5"/>
      <c r="X1017" s="27" t="b">
        <f>IF($G1017&lt;&gt;0,SUMIF(куб!$G:$G,$G1017,куб!N:N),IF($E1017&lt;&gt;0,SUMIF(куб!$E:$E,$E1017,куб!N:N),IF($D1017&lt;&gt;0,SUMIF(куб!$D:$D,$D1017,куб!N:N),IF($C1017&lt;&gt;0,SUMIF(куб!$C:$C,$C1017,куб!N:N),IF($B1017&lt;&gt;0,SUMIF(куб!$B:$B,$B1017,куб!N:N))))))</f>
        <v>0</v>
      </c>
      <c r="Y1017" s="27" t="b">
        <f>IF($G1017&lt;&gt;0,SUMIF(куб!$G:$G,$G1017,куб!O:O),IF($E1017&lt;&gt;0,SUMIF(куб!$E:$E,$E1017,куб!O:O),IF($D1017&lt;&gt;0,SUMIF(куб!$D:$D,$D1017,куб!O:O),IF($C1017&lt;&gt;0,SUMIF(куб!$C:$C,$C1017,куб!O:O),IF($B1017&lt;&gt;0,SUMIF(куб!$B:$B,$B1017,куб!O:O))))))</f>
        <v>0</v>
      </c>
      <c r="Z1017" s="13" t="str">
        <f t="shared" si="333"/>
        <v>-</v>
      </c>
      <c r="AA1017" s="5"/>
      <c r="AB1017" s="33" t="str">
        <f t="shared" si="334"/>
        <v/>
      </c>
      <c r="AC1017" s="33" t="str">
        <f t="shared" si="335"/>
        <v/>
      </c>
      <c r="AD1017" s="15" t="str">
        <f t="shared" si="336"/>
        <v xml:space="preserve"> </v>
      </c>
      <c r="AE1017" s="5"/>
      <c r="AF1017" s="27" t="b">
        <f>IF($G1017&lt;&gt;0,SUMIF(куб!$G:$G,$G1017,куб!R:R),IF($E1017&lt;&gt;0,SUMIF(куб!$E:$E,$E1017,куб!R:R),IF($D1017&lt;&gt;0,SUMIF(куб!$D:$D,$D1017,куб!R:R),IF($C1017&lt;&gt;0,SUMIF(куб!$C:$C,$C1017,куб!R:R),IF($B1017&lt;&gt;0,SUMIF(куб!$B:$B,$B1017,куб!R:R))))))</f>
        <v>0</v>
      </c>
      <c r="AG1017" s="27" t="b">
        <f>IF($G1017&lt;&gt;0,SUMIF(куб!$G:$G,$G1017,куб!S:S),IF($E1017&lt;&gt;0,SUMIF(куб!$E:$E,$E1017,куб!S:S),IF($D1017&lt;&gt;0,SUMIF(куб!$D:$D,$D1017,куб!S:S),IF($C1017&lt;&gt;0,SUMIF(куб!$C:$C,$C1017,куб!S:S),IF($B1017&lt;&gt;0,SUMIF(куб!$B:$B,$B1017,куб!S:S))))))</f>
        <v>0</v>
      </c>
      <c r="AH1017" s="16" t="str">
        <f t="shared" si="337"/>
        <v>-</v>
      </c>
      <c r="AI1017" s="8"/>
      <c r="AJ1017" s="27" t="b">
        <f>IF($G1017&lt;&gt;0,SUMIF(куб!$G:$G,$G1017,куб!T:T),IF($E1017&lt;&gt;0,SUMIF(куб!$E:$E,$E1017,куб!T:T),IF($D1017&lt;&gt;0,SUMIF(куб!$D:$D,$D1017,куб!T:T),IF($C1017&lt;&gt;0,SUMIF(куб!$C:$C,$C1017,куб!T:T),IF($B1017&lt;&gt;0,SUMIF(куб!$B:$B,$B1017,куб!T:T))))))</f>
        <v>0</v>
      </c>
      <c r="AK1017" s="27" t="b">
        <f>IF($G1017&lt;&gt;0,SUMIF(куб!$G:$G,$G1017,куб!U:U),IF($E1017&lt;&gt;0,SUMIF(куб!$E:$E,$E1017,куб!U:U),IF($D1017&lt;&gt;0,SUMIF(куб!$D:$D,$D1017,куб!U:U),IF($C1017&lt;&gt;0,SUMIF(куб!$C:$C,$C1017,куб!U:U),IF($B1017&lt;&gt;0,SUMIF(куб!$B:$B,$B1017,куб!U:U))))))</f>
        <v>0</v>
      </c>
      <c r="AL1017" s="16" t="str">
        <f t="shared" si="338"/>
        <v>-</v>
      </c>
      <c r="AM1017" s="8"/>
      <c r="AN1017" s="17" t="str">
        <f t="shared" si="339"/>
        <v xml:space="preserve"> </v>
      </c>
      <c r="AO1017" s="17" t="str">
        <f t="shared" si="340"/>
        <v xml:space="preserve"> </v>
      </c>
      <c r="AP1017" s="16" t="str">
        <f t="shared" si="341"/>
        <v>-</v>
      </c>
      <c r="AQ1017" s="8"/>
      <c r="AR1017" s="17" t="str">
        <f t="shared" si="342"/>
        <v>-</v>
      </c>
      <c r="AS1017" s="17" t="str">
        <f t="shared" si="343"/>
        <v>-</v>
      </c>
      <c r="AT1017" s="13" t="str">
        <f t="shared" si="344"/>
        <v>-</v>
      </c>
      <c r="AU1017" s="8"/>
    </row>
    <row r="1018" spans="1:47" x14ac:dyDescent="0.25">
      <c r="A1018" s="31"/>
      <c r="B1018" s="31"/>
      <c r="C1018"/>
      <c r="D1018" s="31"/>
      <c r="E1018"/>
      <c r="F1018"/>
      <c r="G1018"/>
      <c r="H1018" s="27">
        <f>IF($G1018&lt;&gt;0,SUMIF(куб!$G:$G,$G1018,куб!H:H),IF($E1018&lt;&gt;0,SUMIF(куб!$E:$E,$E1018,куб!H:H),IF($D1018&lt;&gt;0,SUMIF(куб!$D:$D,$D1018,куб!H:H),IF($C1018&lt;&gt;0,SUMIF(куб!$C:$C,$C1018,куб!H:H),IF($B1018&lt;&gt;0,SUMIF(куб!$B:$B,$B1018,куб!H:H),IF($G1018&lt;&gt;0,SUMIF(куб!$A:$A,$G1018,куб!H:H),SUMIF(куб!$A:$A,$G1018,куб!H:H)))))))</f>
        <v>0</v>
      </c>
      <c r="I1018" s="27">
        <f>IF($G1018&lt;&gt;0,SUMIF(куб!$G:$G,$G1018,куб!I:I),IF($E1018&lt;&gt;0,SUMIF(куб!$E:$E,$E1018,куб!I:I),IF($D1018&lt;&gt;0,SUMIF(куб!$D:$D,$D1018,куб!I:I),IF($C1018&lt;&gt;0,SUMIF(куб!$C:$C,$C1018,куб!I:I),IF($B1018&lt;&gt;0,SUMIF(куб!$B:$B,$B1018,куб!I:I),IF($G1018&lt;&gt;0,SUMIF(куб!$A:$A,$G1018,куб!I:I),SUMIF(куб!$A:$A,$G1018,куб!I:I)))))))</f>
        <v>0</v>
      </c>
      <c r="J1018" s="19" t="str">
        <f t="shared" si="327"/>
        <v>-</v>
      </c>
      <c r="K1018" s="8"/>
      <c r="L1018" s="17">
        <f t="shared" si="328"/>
        <v>0</v>
      </c>
      <c r="M1018" s="17">
        <f t="shared" si="329"/>
        <v>0</v>
      </c>
      <c r="N1018" s="12">
        <f t="shared" si="330"/>
        <v>0</v>
      </c>
      <c r="O1018" s="5"/>
      <c r="P1018" s="27" t="b">
        <f>IF($G1018&lt;&gt;0,SUMIF(куб!$G:$G,$G1018,куб!J:J),IF($E1018&lt;&gt;0,SUMIF(куб!$E:$E,$E1018,куб!J:J),IF($D1018&lt;&gt;0,SUMIF(куб!$D:$D,$D1018,куб!J:J),IF($C1018&lt;&gt;0,SUMIF(куб!$C:$C,$C1018,куб!J:J),IF($B1018&lt;&gt;0,SUMIF(куб!$B:$B,$B1018,куб!J:J))))))</f>
        <v>0</v>
      </c>
      <c r="Q1018" s="27" t="b">
        <f>IF($G1018&lt;&gt;0,SUMIF(куб!$G:$G,$G1018,куб!K:K),IF($E1018&lt;&gt;0,SUMIF(куб!$E:$E,$E1018,куб!K:K),IF($D1018&lt;&gt;0,SUMIF(куб!$D:$D,$D1018,куб!K:K),IF($C1018&lt;&gt;0,SUMIF(куб!$C:$C,$C1018,куб!K:K),IF($B1018&lt;&gt;0,SUMIF(куб!$B:$B,$B1018,куб!K:K))))))</f>
        <v>0</v>
      </c>
      <c r="R1018" s="13" t="str">
        <f t="shared" si="331"/>
        <v>-</v>
      </c>
      <c r="S1018" s="5"/>
      <c r="T1018" s="27" t="b">
        <f>IF($G1018&lt;&gt;0,SUMIF(куб!$G:$G,$G1018,куб!L:L),IF($E1018&lt;&gt;0,SUMIF(куб!$E:$E,$E1018,куб!L:L),IF($D1018&lt;&gt;0,SUMIF(куб!$D:$D,$D1018,куб!L:L),IF($C1018&lt;&gt;0,SUMIF(куб!$C:$C,$C1018,куб!L:L),IF($B1018&lt;&gt;0,SUMIF(куб!$B:$B,$B1018,куб!L:L))))))</f>
        <v>0</v>
      </c>
      <c r="U1018" s="27" t="b">
        <f>IF($G1018&lt;&gt;0,SUMIF(куб!$G:$G,$G1018,куб!M:M),IF($E1018&lt;&gt;0,SUMIF(куб!$E:$E,$E1018,куб!M:M),IF($D1018&lt;&gt;0,SUMIF(куб!$D:$D,$D1018,куб!M:M),IF($C1018&lt;&gt;0,SUMIF(куб!$C:$C,$C1018,куб!M:M),IF($B1018&lt;&gt;0,SUMIF(куб!$B:$B,$B1018,куб!M:M))))))</f>
        <v>0</v>
      </c>
      <c r="V1018" s="13" t="str">
        <f t="shared" si="332"/>
        <v>-</v>
      </c>
      <c r="W1018" s="5"/>
      <c r="X1018" s="27" t="b">
        <f>IF($G1018&lt;&gt;0,SUMIF(куб!$G:$G,$G1018,куб!N:N),IF($E1018&lt;&gt;0,SUMIF(куб!$E:$E,$E1018,куб!N:N),IF($D1018&lt;&gt;0,SUMIF(куб!$D:$D,$D1018,куб!N:N),IF($C1018&lt;&gt;0,SUMIF(куб!$C:$C,$C1018,куб!N:N),IF($B1018&lt;&gt;0,SUMIF(куб!$B:$B,$B1018,куб!N:N))))))</f>
        <v>0</v>
      </c>
      <c r="Y1018" s="27" t="b">
        <f>IF($G1018&lt;&gt;0,SUMIF(куб!$G:$G,$G1018,куб!O:O),IF($E1018&lt;&gt;0,SUMIF(куб!$E:$E,$E1018,куб!O:O),IF($D1018&lt;&gt;0,SUMIF(куб!$D:$D,$D1018,куб!O:O),IF($C1018&lt;&gt;0,SUMIF(куб!$C:$C,$C1018,куб!O:O),IF($B1018&lt;&gt;0,SUMIF(куб!$B:$B,$B1018,куб!O:O))))))</f>
        <v>0</v>
      </c>
      <c r="Z1018" s="13" t="str">
        <f t="shared" si="333"/>
        <v>-</v>
      </c>
      <c r="AA1018" s="5"/>
      <c r="AB1018" s="33" t="str">
        <f t="shared" si="334"/>
        <v/>
      </c>
      <c r="AC1018" s="33" t="str">
        <f t="shared" si="335"/>
        <v/>
      </c>
      <c r="AD1018" s="15" t="str">
        <f t="shared" si="336"/>
        <v xml:space="preserve"> </v>
      </c>
      <c r="AE1018" s="5"/>
      <c r="AF1018" s="27" t="b">
        <f>IF($G1018&lt;&gt;0,SUMIF(куб!$G:$G,$G1018,куб!R:R),IF($E1018&lt;&gt;0,SUMIF(куб!$E:$E,$E1018,куб!R:R),IF($D1018&lt;&gt;0,SUMIF(куб!$D:$D,$D1018,куб!R:R),IF($C1018&lt;&gt;0,SUMIF(куб!$C:$C,$C1018,куб!R:R),IF($B1018&lt;&gt;0,SUMIF(куб!$B:$B,$B1018,куб!R:R))))))</f>
        <v>0</v>
      </c>
      <c r="AG1018" s="27" t="b">
        <f>IF($G1018&lt;&gt;0,SUMIF(куб!$G:$G,$G1018,куб!S:S),IF($E1018&lt;&gt;0,SUMIF(куб!$E:$E,$E1018,куб!S:S),IF($D1018&lt;&gt;0,SUMIF(куб!$D:$D,$D1018,куб!S:S),IF($C1018&lt;&gt;0,SUMIF(куб!$C:$C,$C1018,куб!S:S),IF($B1018&lt;&gt;0,SUMIF(куб!$B:$B,$B1018,куб!S:S))))))</f>
        <v>0</v>
      </c>
      <c r="AH1018" s="16" t="str">
        <f t="shared" si="337"/>
        <v>-</v>
      </c>
      <c r="AI1018" s="8"/>
      <c r="AJ1018" s="27" t="b">
        <f>IF($G1018&lt;&gt;0,SUMIF(куб!$G:$G,$G1018,куб!T:T),IF($E1018&lt;&gt;0,SUMIF(куб!$E:$E,$E1018,куб!T:T),IF($D1018&lt;&gt;0,SUMIF(куб!$D:$D,$D1018,куб!T:T),IF($C1018&lt;&gt;0,SUMIF(куб!$C:$C,$C1018,куб!T:T),IF($B1018&lt;&gt;0,SUMIF(куб!$B:$B,$B1018,куб!T:T))))))</f>
        <v>0</v>
      </c>
      <c r="AK1018" s="27" t="b">
        <f>IF($G1018&lt;&gt;0,SUMIF(куб!$G:$G,$G1018,куб!U:U),IF($E1018&lt;&gt;0,SUMIF(куб!$E:$E,$E1018,куб!U:U),IF($D1018&lt;&gt;0,SUMIF(куб!$D:$D,$D1018,куб!U:U),IF($C1018&lt;&gt;0,SUMIF(куб!$C:$C,$C1018,куб!U:U),IF($B1018&lt;&gt;0,SUMIF(куб!$B:$B,$B1018,куб!U:U))))))</f>
        <v>0</v>
      </c>
      <c r="AL1018" s="16" t="str">
        <f t="shared" si="338"/>
        <v>-</v>
      </c>
      <c r="AM1018" s="8"/>
      <c r="AN1018" s="17" t="str">
        <f t="shared" si="339"/>
        <v xml:space="preserve"> </v>
      </c>
      <c r="AO1018" s="17" t="str">
        <f t="shared" si="340"/>
        <v xml:space="preserve"> </v>
      </c>
      <c r="AP1018" s="16" t="str">
        <f t="shared" si="341"/>
        <v>-</v>
      </c>
      <c r="AQ1018" s="8"/>
      <c r="AR1018" s="17" t="str">
        <f t="shared" si="342"/>
        <v>-</v>
      </c>
      <c r="AS1018" s="17" t="str">
        <f t="shared" si="343"/>
        <v>-</v>
      </c>
      <c r="AT1018" s="13" t="str">
        <f t="shared" si="344"/>
        <v>-</v>
      </c>
      <c r="AU1018" s="8"/>
    </row>
    <row r="1019" spans="1:47" x14ac:dyDescent="0.25">
      <c r="A1019" s="31"/>
      <c r="B1019" s="31"/>
      <c r="C1019"/>
      <c r="D1019" s="31"/>
      <c r="E1019" s="31"/>
      <c r="F1019" s="31"/>
      <c r="G1019" s="31"/>
      <c r="H1019" s="27">
        <f>IF($G1019&lt;&gt;0,SUMIF(куб!$G:$G,$G1019,куб!H:H),IF($E1019&lt;&gt;0,SUMIF(куб!$E:$E,$E1019,куб!H:H),IF($D1019&lt;&gt;0,SUMIF(куб!$D:$D,$D1019,куб!H:H),IF($C1019&lt;&gt;0,SUMIF(куб!$C:$C,$C1019,куб!H:H),IF($B1019&lt;&gt;0,SUMIF(куб!$B:$B,$B1019,куб!H:H),IF($G1019&lt;&gt;0,SUMIF(куб!$A:$A,$G1019,куб!H:H),SUMIF(куб!$A:$A,$G1019,куб!H:H)))))))</f>
        <v>0</v>
      </c>
      <c r="I1019" s="27">
        <f>IF($G1019&lt;&gt;0,SUMIF(куб!$G:$G,$G1019,куб!I:I),IF($E1019&lt;&gt;0,SUMIF(куб!$E:$E,$E1019,куб!I:I),IF($D1019&lt;&gt;0,SUMIF(куб!$D:$D,$D1019,куб!I:I),IF($C1019&lt;&gt;0,SUMIF(куб!$C:$C,$C1019,куб!I:I),IF($B1019&lt;&gt;0,SUMIF(куб!$B:$B,$B1019,куб!I:I),IF($G1019&lt;&gt;0,SUMIF(куб!$A:$A,$G1019,куб!I:I),SUMIF(куб!$A:$A,$G1019,куб!I:I)))))))</f>
        <v>0</v>
      </c>
      <c r="J1019" s="19" t="str">
        <f t="shared" si="327"/>
        <v>-</v>
      </c>
      <c r="K1019" s="8"/>
      <c r="L1019" s="17">
        <f t="shared" si="328"/>
        <v>0</v>
      </c>
      <c r="M1019" s="17">
        <f t="shared" si="329"/>
        <v>0</v>
      </c>
      <c r="N1019" s="12">
        <f t="shared" si="330"/>
        <v>0</v>
      </c>
      <c r="O1019" s="5"/>
      <c r="P1019" s="27" t="b">
        <f>IF($G1019&lt;&gt;0,SUMIF(куб!$G:$G,$G1019,куб!J:J),IF($E1019&lt;&gt;0,SUMIF(куб!$E:$E,$E1019,куб!J:J),IF($D1019&lt;&gt;0,SUMIF(куб!$D:$D,$D1019,куб!J:J),IF($C1019&lt;&gt;0,SUMIF(куб!$C:$C,$C1019,куб!J:J),IF($B1019&lt;&gt;0,SUMIF(куб!$B:$B,$B1019,куб!J:J))))))</f>
        <v>0</v>
      </c>
      <c r="Q1019" s="27" t="b">
        <f>IF($G1019&lt;&gt;0,SUMIF(куб!$G:$G,$G1019,куб!K:K),IF($E1019&lt;&gt;0,SUMIF(куб!$E:$E,$E1019,куб!K:K),IF($D1019&lt;&gt;0,SUMIF(куб!$D:$D,$D1019,куб!K:K),IF($C1019&lt;&gt;0,SUMIF(куб!$C:$C,$C1019,куб!K:K),IF($B1019&lt;&gt;0,SUMIF(куб!$B:$B,$B1019,куб!K:K))))))</f>
        <v>0</v>
      </c>
      <c r="R1019" s="13" t="str">
        <f t="shared" si="331"/>
        <v>-</v>
      </c>
      <c r="S1019" s="5"/>
      <c r="T1019" s="27" t="b">
        <f>IF($G1019&lt;&gt;0,SUMIF(куб!$G:$G,$G1019,куб!L:L),IF($E1019&lt;&gt;0,SUMIF(куб!$E:$E,$E1019,куб!L:L),IF($D1019&lt;&gt;0,SUMIF(куб!$D:$D,$D1019,куб!L:L),IF($C1019&lt;&gt;0,SUMIF(куб!$C:$C,$C1019,куб!L:L),IF($B1019&lt;&gt;0,SUMIF(куб!$B:$B,$B1019,куб!L:L))))))</f>
        <v>0</v>
      </c>
      <c r="U1019" s="27" t="b">
        <f>IF($G1019&lt;&gt;0,SUMIF(куб!$G:$G,$G1019,куб!M:M),IF($E1019&lt;&gt;0,SUMIF(куб!$E:$E,$E1019,куб!M:M),IF($D1019&lt;&gt;0,SUMIF(куб!$D:$D,$D1019,куб!M:M),IF($C1019&lt;&gt;0,SUMIF(куб!$C:$C,$C1019,куб!M:M),IF($B1019&lt;&gt;0,SUMIF(куб!$B:$B,$B1019,куб!M:M))))))</f>
        <v>0</v>
      </c>
      <c r="V1019" s="13" t="str">
        <f t="shared" si="332"/>
        <v>-</v>
      </c>
      <c r="W1019" s="5"/>
      <c r="X1019" s="27" t="b">
        <f>IF($G1019&lt;&gt;0,SUMIF(куб!$G:$G,$G1019,куб!N:N),IF($E1019&lt;&gt;0,SUMIF(куб!$E:$E,$E1019,куб!N:N),IF($D1019&lt;&gt;0,SUMIF(куб!$D:$D,$D1019,куб!N:N),IF($C1019&lt;&gt;0,SUMIF(куб!$C:$C,$C1019,куб!N:N),IF($B1019&lt;&gt;0,SUMIF(куб!$B:$B,$B1019,куб!N:N))))))</f>
        <v>0</v>
      </c>
      <c r="Y1019" s="27" t="b">
        <f>IF($G1019&lt;&gt;0,SUMIF(куб!$G:$G,$G1019,куб!O:O),IF($E1019&lt;&gt;0,SUMIF(куб!$E:$E,$E1019,куб!O:O),IF($D1019&lt;&gt;0,SUMIF(куб!$D:$D,$D1019,куб!O:O),IF($C1019&lt;&gt;0,SUMIF(куб!$C:$C,$C1019,куб!O:O),IF($B1019&lt;&gt;0,SUMIF(куб!$B:$B,$B1019,куб!O:O))))))</f>
        <v>0</v>
      </c>
      <c r="Z1019" s="13" t="str">
        <f t="shared" si="333"/>
        <v>-</v>
      </c>
      <c r="AA1019" s="5"/>
      <c r="AB1019" s="33" t="str">
        <f t="shared" si="334"/>
        <v/>
      </c>
      <c r="AC1019" s="33" t="str">
        <f t="shared" si="335"/>
        <v/>
      </c>
      <c r="AD1019" s="15" t="str">
        <f t="shared" si="336"/>
        <v xml:space="preserve"> </v>
      </c>
      <c r="AE1019" s="5"/>
      <c r="AF1019" s="27" t="b">
        <f>IF($G1019&lt;&gt;0,SUMIF(куб!$G:$G,$G1019,куб!R:R),IF($E1019&lt;&gt;0,SUMIF(куб!$E:$E,$E1019,куб!R:R),IF($D1019&lt;&gt;0,SUMIF(куб!$D:$D,$D1019,куб!R:R),IF($C1019&lt;&gt;0,SUMIF(куб!$C:$C,$C1019,куб!R:R),IF($B1019&lt;&gt;0,SUMIF(куб!$B:$B,$B1019,куб!R:R))))))</f>
        <v>0</v>
      </c>
      <c r="AG1019" s="27" t="b">
        <f>IF($G1019&lt;&gt;0,SUMIF(куб!$G:$G,$G1019,куб!S:S),IF($E1019&lt;&gt;0,SUMIF(куб!$E:$E,$E1019,куб!S:S),IF($D1019&lt;&gt;0,SUMIF(куб!$D:$D,$D1019,куб!S:S),IF($C1019&lt;&gt;0,SUMIF(куб!$C:$C,$C1019,куб!S:S),IF($B1019&lt;&gt;0,SUMIF(куб!$B:$B,$B1019,куб!S:S))))))</f>
        <v>0</v>
      </c>
      <c r="AH1019" s="16" t="str">
        <f t="shared" si="337"/>
        <v>-</v>
      </c>
      <c r="AI1019" s="8"/>
      <c r="AJ1019" s="27" t="b">
        <f>IF($G1019&lt;&gt;0,SUMIF(куб!$G:$G,$G1019,куб!T:T),IF($E1019&lt;&gt;0,SUMIF(куб!$E:$E,$E1019,куб!T:T),IF($D1019&lt;&gt;0,SUMIF(куб!$D:$D,$D1019,куб!T:T),IF($C1019&lt;&gt;0,SUMIF(куб!$C:$C,$C1019,куб!T:T),IF($B1019&lt;&gt;0,SUMIF(куб!$B:$B,$B1019,куб!T:T))))))</f>
        <v>0</v>
      </c>
      <c r="AK1019" s="27" t="b">
        <f>IF($G1019&lt;&gt;0,SUMIF(куб!$G:$G,$G1019,куб!U:U),IF($E1019&lt;&gt;0,SUMIF(куб!$E:$E,$E1019,куб!U:U),IF($D1019&lt;&gt;0,SUMIF(куб!$D:$D,$D1019,куб!U:U),IF($C1019&lt;&gt;0,SUMIF(куб!$C:$C,$C1019,куб!U:U),IF($B1019&lt;&gt;0,SUMIF(куб!$B:$B,$B1019,куб!U:U))))))</f>
        <v>0</v>
      </c>
      <c r="AL1019" s="16" t="str">
        <f t="shared" si="338"/>
        <v>-</v>
      </c>
      <c r="AM1019" s="8"/>
      <c r="AN1019" s="17" t="str">
        <f t="shared" si="339"/>
        <v xml:space="preserve"> </v>
      </c>
      <c r="AO1019" s="17" t="str">
        <f t="shared" si="340"/>
        <v xml:space="preserve"> </v>
      </c>
      <c r="AP1019" s="16" t="str">
        <f t="shared" si="341"/>
        <v>-</v>
      </c>
      <c r="AQ1019" s="8"/>
      <c r="AR1019" s="17" t="str">
        <f t="shared" si="342"/>
        <v>-</v>
      </c>
      <c r="AS1019" s="17" t="str">
        <f t="shared" si="343"/>
        <v>-</v>
      </c>
      <c r="AT1019" s="13" t="str">
        <f t="shared" si="344"/>
        <v>-</v>
      </c>
      <c r="AU1019" s="8"/>
    </row>
    <row r="1020" spans="1:47" x14ac:dyDescent="0.25">
      <c r="A1020" s="31"/>
      <c r="B1020" s="31"/>
      <c r="C1020"/>
      <c r="D1020" s="31"/>
      <c r="E1020"/>
      <c r="F1020" s="31"/>
      <c r="G1020"/>
      <c r="H1020" s="27">
        <f>IF($G1020&lt;&gt;0,SUMIF(куб!$G:$G,$G1020,куб!H:H),IF($E1020&lt;&gt;0,SUMIF(куб!$E:$E,$E1020,куб!H:H),IF($D1020&lt;&gt;0,SUMIF(куб!$D:$D,$D1020,куб!H:H),IF($C1020&lt;&gt;0,SUMIF(куб!$C:$C,$C1020,куб!H:H),IF($B1020&lt;&gt;0,SUMIF(куб!$B:$B,$B1020,куб!H:H),IF($G1020&lt;&gt;0,SUMIF(куб!$A:$A,$G1020,куб!H:H),SUMIF(куб!$A:$A,$G1020,куб!H:H)))))))</f>
        <v>0</v>
      </c>
      <c r="I1020" s="27">
        <f>IF($G1020&lt;&gt;0,SUMIF(куб!$G:$G,$G1020,куб!I:I),IF($E1020&lt;&gt;0,SUMIF(куб!$E:$E,$E1020,куб!I:I),IF($D1020&lt;&gt;0,SUMIF(куб!$D:$D,$D1020,куб!I:I),IF($C1020&lt;&gt;0,SUMIF(куб!$C:$C,$C1020,куб!I:I),IF($B1020&lt;&gt;0,SUMIF(куб!$B:$B,$B1020,куб!I:I),IF($G1020&lt;&gt;0,SUMIF(куб!$A:$A,$G1020,куб!I:I),SUMIF(куб!$A:$A,$G1020,куб!I:I)))))))</f>
        <v>0</v>
      </c>
      <c r="J1020" s="19" t="str">
        <f t="shared" si="327"/>
        <v>-</v>
      </c>
      <c r="K1020" s="8"/>
      <c r="L1020" s="17">
        <f t="shared" si="328"/>
        <v>0</v>
      </c>
      <c r="M1020" s="17">
        <f t="shared" si="329"/>
        <v>0</v>
      </c>
      <c r="N1020" s="12">
        <f t="shared" si="330"/>
        <v>0</v>
      </c>
      <c r="O1020" s="5"/>
      <c r="P1020" s="27" t="b">
        <f>IF($G1020&lt;&gt;0,SUMIF(куб!$G:$G,$G1020,куб!J:J),IF($E1020&lt;&gt;0,SUMIF(куб!$E:$E,$E1020,куб!J:J),IF($D1020&lt;&gt;0,SUMIF(куб!$D:$D,$D1020,куб!J:J),IF($C1020&lt;&gt;0,SUMIF(куб!$C:$C,$C1020,куб!J:J),IF($B1020&lt;&gt;0,SUMIF(куб!$B:$B,$B1020,куб!J:J))))))</f>
        <v>0</v>
      </c>
      <c r="Q1020" s="27" t="b">
        <f>IF($G1020&lt;&gt;0,SUMIF(куб!$G:$G,$G1020,куб!K:K),IF($E1020&lt;&gt;0,SUMIF(куб!$E:$E,$E1020,куб!K:K),IF($D1020&lt;&gt;0,SUMIF(куб!$D:$D,$D1020,куб!K:K),IF($C1020&lt;&gt;0,SUMIF(куб!$C:$C,$C1020,куб!K:K),IF($B1020&lt;&gt;0,SUMIF(куб!$B:$B,$B1020,куб!K:K))))))</f>
        <v>0</v>
      </c>
      <c r="R1020" s="13" t="str">
        <f t="shared" si="331"/>
        <v>-</v>
      </c>
      <c r="S1020" s="5"/>
      <c r="T1020" s="27" t="b">
        <f>IF($G1020&lt;&gt;0,SUMIF(куб!$G:$G,$G1020,куб!L:L),IF($E1020&lt;&gt;0,SUMIF(куб!$E:$E,$E1020,куб!L:L),IF($D1020&lt;&gt;0,SUMIF(куб!$D:$D,$D1020,куб!L:L),IF($C1020&lt;&gt;0,SUMIF(куб!$C:$C,$C1020,куб!L:L),IF($B1020&lt;&gt;0,SUMIF(куб!$B:$B,$B1020,куб!L:L))))))</f>
        <v>0</v>
      </c>
      <c r="U1020" s="27" t="b">
        <f>IF($G1020&lt;&gt;0,SUMIF(куб!$G:$G,$G1020,куб!M:M),IF($E1020&lt;&gt;0,SUMIF(куб!$E:$E,$E1020,куб!M:M),IF($D1020&lt;&gt;0,SUMIF(куб!$D:$D,$D1020,куб!M:M),IF($C1020&lt;&gt;0,SUMIF(куб!$C:$C,$C1020,куб!M:M),IF($B1020&lt;&gt;0,SUMIF(куб!$B:$B,$B1020,куб!M:M))))))</f>
        <v>0</v>
      </c>
      <c r="V1020" s="13" t="str">
        <f t="shared" si="332"/>
        <v>-</v>
      </c>
      <c r="W1020" s="5"/>
      <c r="X1020" s="27" t="b">
        <f>IF($G1020&lt;&gt;0,SUMIF(куб!$G:$G,$G1020,куб!N:N),IF($E1020&lt;&gt;0,SUMIF(куб!$E:$E,$E1020,куб!N:N),IF($D1020&lt;&gt;0,SUMIF(куб!$D:$D,$D1020,куб!N:N),IF($C1020&lt;&gt;0,SUMIF(куб!$C:$C,$C1020,куб!N:N),IF($B1020&lt;&gt;0,SUMIF(куб!$B:$B,$B1020,куб!N:N))))))</f>
        <v>0</v>
      </c>
      <c r="Y1020" s="27" t="b">
        <f>IF($G1020&lt;&gt;0,SUMIF(куб!$G:$G,$G1020,куб!O:O),IF($E1020&lt;&gt;0,SUMIF(куб!$E:$E,$E1020,куб!O:O),IF($D1020&lt;&gt;0,SUMIF(куб!$D:$D,$D1020,куб!O:O),IF($C1020&lt;&gt;0,SUMIF(куб!$C:$C,$C1020,куб!O:O),IF($B1020&lt;&gt;0,SUMIF(куб!$B:$B,$B1020,куб!O:O))))))</f>
        <v>0</v>
      </c>
      <c r="Z1020" s="13" t="str">
        <f t="shared" si="333"/>
        <v>-</v>
      </c>
      <c r="AA1020" s="5"/>
      <c r="AB1020" s="33" t="str">
        <f t="shared" si="334"/>
        <v/>
      </c>
      <c r="AC1020" s="33" t="str">
        <f t="shared" si="335"/>
        <v/>
      </c>
      <c r="AD1020" s="15" t="str">
        <f t="shared" si="336"/>
        <v xml:space="preserve"> </v>
      </c>
      <c r="AE1020" s="5"/>
      <c r="AF1020" s="27" t="b">
        <f>IF($G1020&lt;&gt;0,SUMIF(куб!$G:$G,$G1020,куб!R:R),IF($E1020&lt;&gt;0,SUMIF(куб!$E:$E,$E1020,куб!R:R),IF($D1020&lt;&gt;0,SUMIF(куб!$D:$D,$D1020,куб!R:R),IF($C1020&lt;&gt;0,SUMIF(куб!$C:$C,$C1020,куб!R:R),IF($B1020&lt;&gt;0,SUMIF(куб!$B:$B,$B1020,куб!R:R))))))</f>
        <v>0</v>
      </c>
      <c r="AG1020" s="27" t="b">
        <f>IF($G1020&lt;&gt;0,SUMIF(куб!$G:$G,$G1020,куб!S:S),IF($E1020&lt;&gt;0,SUMIF(куб!$E:$E,$E1020,куб!S:S),IF($D1020&lt;&gt;0,SUMIF(куб!$D:$D,$D1020,куб!S:S),IF($C1020&lt;&gt;0,SUMIF(куб!$C:$C,$C1020,куб!S:S),IF($B1020&lt;&gt;0,SUMIF(куб!$B:$B,$B1020,куб!S:S))))))</f>
        <v>0</v>
      </c>
      <c r="AH1020" s="16" t="str">
        <f t="shared" si="337"/>
        <v>-</v>
      </c>
      <c r="AI1020" s="8"/>
      <c r="AJ1020" s="27" t="b">
        <f>IF($G1020&lt;&gt;0,SUMIF(куб!$G:$G,$G1020,куб!T:T),IF($E1020&lt;&gt;0,SUMIF(куб!$E:$E,$E1020,куб!T:T),IF($D1020&lt;&gt;0,SUMIF(куб!$D:$D,$D1020,куб!T:T),IF($C1020&lt;&gt;0,SUMIF(куб!$C:$C,$C1020,куб!T:T),IF($B1020&lt;&gt;0,SUMIF(куб!$B:$B,$B1020,куб!T:T))))))</f>
        <v>0</v>
      </c>
      <c r="AK1020" s="27" t="b">
        <f>IF($G1020&lt;&gt;0,SUMIF(куб!$G:$G,$G1020,куб!U:U),IF($E1020&lt;&gt;0,SUMIF(куб!$E:$E,$E1020,куб!U:U),IF($D1020&lt;&gt;0,SUMIF(куб!$D:$D,$D1020,куб!U:U),IF($C1020&lt;&gt;0,SUMIF(куб!$C:$C,$C1020,куб!U:U),IF($B1020&lt;&gt;0,SUMIF(куб!$B:$B,$B1020,куб!U:U))))))</f>
        <v>0</v>
      </c>
      <c r="AL1020" s="16" t="str">
        <f t="shared" si="338"/>
        <v>-</v>
      </c>
      <c r="AM1020" s="8"/>
      <c r="AN1020" s="17" t="str">
        <f t="shared" si="339"/>
        <v xml:space="preserve"> </v>
      </c>
      <c r="AO1020" s="17" t="str">
        <f t="shared" si="340"/>
        <v xml:space="preserve"> </v>
      </c>
      <c r="AP1020" s="16" t="str">
        <f t="shared" si="341"/>
        <v>-</v>
      </c>
      <c r="AQ1020" s="8"/>
      <c r="AR1020" s="17" t="str">
        <f t="shared" si="342"/>
        <v>-</v>
      </c>
      <c r="AS1020" s="17" t="str">
        <f t="shared" si="343"/>
        <v>-</v>
      </c>
      <c r="AT1020" s="13" t="str">
        <f t="shared" si="344"/>
        <v>-</v>
      </c>
      <c r="AU1020" s="8"/>
    </row>
    <row r="1021" spans="1:47" x14ac:dyDescent="0.25">
      <c r="A1021" s="31"/>
      <c r="B1021" s="31"/>
      <c r="C1021"/>
      <c r="D1021" s="31"/>
      <c r="E1021"/>
      <c r="F1021" s="31"/>
      <c r="G1021"/>
      <c r="H1021" s="27">
        <f>IF($G1021&lt;&gt;0,SUMIF(куб!$G:$G,$G1021,куб!H:H),IF($E1021&lt;&gt;0,SUMIF(куб!$E:$E,$E1021,куб!H:H),IF($D1021&lt;&gt;0,SUMIF(куб!$D:$D,$D1021,куб!H:H),IF($C1021&lt;&gt;0,SUMIF(куб!$C:$C,$C1021,куб!H:H),IF($B1021&lt;&gt;0,SUMIF(куб!$B:$B,$B1021,куб!H:H),IF($G1021&lt;&gt;0,SUMIF(куб!$A:$A,$G1021,куб!H:H),SUMIF(куб!$A:$A,$G1021,куб!H:H)))))))</f>
        <v>0</v>
      </c>
      <c r="I1021" s="27">
        <f>IF($G1021&lt;&gt;0,SUMIF(куб!$G:$G,$G1021,куб!I:I),IF($E1021&lt;&gt;0,SUMIF(куб!$E:$E,$E1021,куб!I:I),IF($D1021&lt;&gt;0,SUMIF(куб!$D:$D,$D1021,куб!I:I),IF($C1021&lt;&gt;0,SUMIF(куб!$C:$C,$C1021,куб!I:I),IF($B1021&lt;&gt;0,SUMIF(куб!$B:$B,$B1021,куб!I:I),IF($G1021&lt;&gt;0,SUMIF(куб!$A:$A,$G1021,куб!I:I),SUMIF(куб!$A:$A,$G1021,куб!I:I)))))))</f>
        <v>0</v>
      </c>
      <c r="J1021" s="19" t="str">
        <f t="shared" si="327"/>
        <v>-</v>
      </c>
      <c r="K1021" s="8"/>
      <c r="L1021" s="17">
        <f t="shared" si="328"/>
        <v>0</v>
      </c>
      <c r="M1021" s="17">
        <f t="shared" si="329"/>
        <v>0</v>
      </c>
      <c r="N1021" s="12">
        <f t="shared" si="330"/>
        <v>0</v>
      </c>
      <c r="O1021" s="5"/>
      <c r="P1021" s="27" t="b">
        <f>IF($G1021&lt;&gt;0,SUMIF(куб!$G:$G,$G1021,куб!J:J),IF($E1021&lt;&gt;0,SUMIF(куб!$E:$E,$E1021,куб!J:J),IF($D1021&lt;&gt;0,SUMIF(куб!$D:$D,$D1021,куб!J:J),IF($C1021&lt;&gt;0,SUMIF(куб!$C:$C,$C1021,куб!J:J),IF($B1021&lt;&gt;0,SUMIF(куб!$B:$B,$B1021,куб!J:J))))))</f>
        <v>0</v>
      </c>
      <c r="Q1021" s="27" t="b">
        <f>IF($G1021&lt;&gt;0,SUMIF(куб!$G:$G,$G1021,куб!K:K),IF($E1021&lt;&gt;0,SUMIF(куб!$E:$E,$E1021,куб!K:K),IF($D1021&lt;&gt;0,SUMIF(куб!$D:$D,$D1021,куб!K:K),IF($C1021&lt;&gt;0,SUMIF(куб!$C:$C,$C1021,куб!K:K),IF($B1021&lt;&gt;0,SUMIF(куб!$B:$B,$B1021,куб!K:K))))))</f>
        <v>0</v>
      </c>
      <c r="R1021" s="13" t="str">
        <f t="shared" si="331"/>
        <v>-</v>
      </c>
      <c r="S1021" s="5"/>
      <c r="T1021" s="27" t="b">
        <f>IF($G1021&lt;&gt;0,SUMIF(куб!$G:$G,$G1021,куб!L:L),IF($E1021&lt;&gt;0,SUMIF(куб!$E:$E,$E1021,куб!L:L),IF($D1021&lt;&gt;0,SUMIF(куб!$D:$D,$D1021,куб!L:L),IF($C1021&lt;&gt;0,SUMIF(куб!$C:$C,$C1021,куб!L:L),IF($B1021&lt;&gt;0,SUMIF(куб!$B:$B,$B1021,куб!L:L))))))</f>
        <v>0</v>
      </c>
      <c r="U1021" s="27" t="b">
        <f>IF($G1021&lt;&gt;0,SUMIF(куб!$G:$G,$G1021,куб!M:M),IF($E1021&lt;&gt;0,SUMIF(куб!$E:$E,$E1021,куб!M:M),IF($D1021&lt;&gt;0,SUMIF(куб!$D:$D,$D1021,куб!M:M),IF($C1021&lt;&gt;0,SUMIF(куб!$C:$C,$C1021,куб!M:M),IF($B1021&lt;&gt;0,SUMIF(куб!$B:$B,$B1021,куб!M:M))))))</f>
        <v>0</v>
      </c>
      <c r="V1021" s="13" t="str">
        <f t="shared" si="332"/>
        <v>-</v>
      </c>
      <c r="W1021" s="5"/>
      <c r="X1021" s="27" t="b">
        <f>IF($G1021&lt;&gt;0,SUMIF(куб!$G:$G,$G1021,куб!N:N),IF($E1021&lt;&gt;0,SUMIF(куб!$E:$E,$E1021,куб!N:N),IF($D1021&lt;&gt;0,SUMIF(куб!$D:$D,$D1021,куб!N:N),IF($C1021&lt;&gt;0,SUMIF(куб!$C:$C,$C1021,куб!N:N),IF($B1021&lt;&gt;0,SUMIF(куб!$B:$B,$B1021,куб!N:N))))))</f>
        <v>0</v>
      </c>
      <c r="Y1021" s="27" t="b">
        <f>IF($G1021&lt;&gt;0,SUMIF(куб!$G:$G,$G1021,куб!O:O),IF($E1021&lt;&gt;0,SUMIF(куб!$E:$E,$E1021,куб!O:O),IF($D1021&lt;&gt;0,SUMIF(куб!$D:$D,$D1021,куб!O:O),IF($C1021&lt;&gt;0,SUMIF(куб!$C:$C,$C1021,куб!O:O),IF($B1021&lt;&gt;0,SUMIF(куб!$B:$B,$B1021,куб!O:O))))))</f>
        <v>0</v>
      </c>
      <c r="Z1021" s="13" t="str">
        <f t="shared" si="333"/>
        <v>-</v>
      </c>
      <c r="AA1021" s="5"/>
      <c r="AB1021" s="33" t="str">
        <f t="shared" si="334"/>
        <v/>
      </c>
      <c r="AC1021" s="33" t="str">
        <f t="shared" si="335"/>
        <v/>
      </c>
      <c r="AD1021" s="15" t="str">
        <f t="shared" si="336"/>
        <v xml:space="preserve"> </v>
      </c>
      <c r="AE1021" s="5"/>
      <c r="AF1021" s="27" t="b">
        <f>IF($G1021&lt;&gt;0,SUMIF(куб!$G:$G,$G1021,куб!R:R),IF($E1021&lt;&gt;0,SUMIF(куб!$E:$E,$E1021,куб!R:R),IF($D1021&lt;&gt;0,SUMIF(куб!$D:$D,$D1021,куб!R:R),IF($C1021&lt;&gt;0,SUMIF(куб!$C:$C,$C1021,куб!R:R),IF($B1021&lt;&gt;0,SUMIF(куб!$B:$B,$B1021,куб!R:R))))))</f>
        <v>0</v>
      </c>
      <c r="AG1021" s="27" t="b">
        <f>IF($G1021&lt;&gt;0,SUMIF(куб!$G:$G,$G1021,куб!S:S),IF($E1021&lt;&gt;0,SUMIF(куб!$E:$E,$E1021,куб!S:S),IF($D1021&lt;&gt;0,SUMIF(куб!$D:$D,$D1021,куб!S:S),IF($C1021&lt;&gt;0,SUMIF(куб!$C:$C,$C1021,куб!S:S),IF($B1021&lt;&gt;0,SUMIF(куб!$B:$B,$B1021,куб!S:S))))))</f>
        <v>0</v>
      </c>
      <c r="AH1021" s="16" t="str">
        <f t="shared" si="337"/>
        <v>-</v>
      </c>
      <c r="AI1021" s="8"/>
      <c r="AJ1021" s="27" t="b">
        <f>IF($G1021&lt;&gt;0,SUMIF(куб!$G:$G,$G1021,куб!T:T),IF($E1021&lt;&gt;0,SUMIF(куб!$E:$E,$E1021,куб!T:T),IF($D1021&lt;&gt;0,SUMIF(куб!$D:$D,$D1021,куб!T:T),IF($C1021&lt;&gt;0,SUMIF(куб!$C:$C,$C1021,куб!T:T),IF($B1021&lt;&gt;0,SUMIF(куб!$B:$B,$B1021,куб!T:T))))))</f>
        <v>0</v>
      </c>
      <c r="AK1021" s="27" t="b">
        <f>IF($G1021&lt;&gt;0,SUMIF(куб!$G:$G,$G1021,куб!U:U),IF($E1021&lt;&gt;0,SUMIF(куб!$E:$E,$E1021,куб!U:U),IF($D1021&lt;&gt;0,SUMIF(куб!$D:$D,$D1021,куб!U:U),IF($C1021&lt;&gt;0,SUMIF(куб!$C:$C,$C1021,куб!U:U),IF($B1021&lt;&gt;0,SUMIF(куб!$B:$B,$B1021,куб!U:U))))))</f>
        <v>0</v>
      </c>
      <c r="AL1021" s="16" t="str">
        <f t="shared" si="338"/>
        <v>-</v>
      </c>
      <c r="AM1021" s="8"/>
      <c r="AN1021" s="17" t="str">
        <f t="shared" si="339"/>
        <v xml:space="preserve"> </v>
      </c>
      <c r="AO1021" s="17" t="str">
        <f t="shared" si="340"/>
        <v xml:space="preserve"> </v>
      </c>
      <c r="AP1021" s="16" t="str">
        <f t="shared" si="341"/>
        <v>-</v>
      </c>
      <c r="AQ1021" s="8"/>
      <c r="AR1021" s="17" t="str">
        <f t="shared" si="342"/>
        <v>-</v>
      </c>
      <c r="AS1021" s="17" t="str">
        <f t="shared" si="343"/>
        <v>-</v>
      </c>
      <c r="AT1021" s="13" t="str">
        <f t="shared" si="344"/>
        <v>-</v>
      </c>
      <c r="AU1021" s="8"/>
    </row>
    <row r="1022" spans="1:47" x14ac:dyDescent="0.25">
      <c r="A1022" s="31"/>
      <c r="B1022" s="31"/>
      <c r="C1022"/>
      <c r="D1022" s="31"/>
      <c r="E1022"/>
      <c r="F1022" s="31"/>
      <c r="G1022"/>
      <c r="H1022" s="27">
        <f>IF($G1022&lt;&gt;0,SUMIF(куб!$G:$G,$G1022,куб!H:H),IF($E1022&lt;&gt;0,SUMIF(куб!$E:$E,$E1022,куб!H:H),IF($D1022&lt;&gt;0,SUMIF(куб!$D:$D,$D1022,куб!H:H),IF($C1022&lt;&gt;0,SUMIF(куб!$C:$C,$C1022,куб!H:H),IF($B1022&lt;&gt;0,SUMIF(куб!$B:$B,$B1022,куб!H:H),IF($G1022&lt;&gt;0,SUMIF(куб!$A:$A,$G1022,куб!H:H),SUMIF(куб!$A:$A,$G1022,куб!H:H)))))))</f>
        <v>0</v>
      </c>
      <c r="I1022" s="27">
        <f>IF($G1022&lt;&gt;0,SUMIF(куб!$G:$G,$G1022,куб!I:I),IF($E1022&lt;&gt;0,SUMIF(куб!$E:$E,$E1022,куб!I:I),IF($D1022&lt;&gt;0,SUMIF(куб!$D:$D,$D1022,куб!I:I),IF($C1022&lt;&gt;0,SUMIF(куб!$C:$C,$C1022,куб!I:I),IF($B1022&lt;&gt;0,SUMIF(куб!$B:$B,$B1022,куб!I:I),IF($G1022&lt;&gt;0,SUMIF(куб!$A:$A,$G1022,куб!I:I),SUMIF(куб!$A:$A,$G1022,куб!I:I)))))))</f>
        <v>0</v>
      </c>
      <c r="J1022" s="19" t="str">
        <f t="shared" si="327"/>
        <v>-</v>
      </c>
      <c r="K1022" s="8"/>
      <c r="L1022" s="17">
        <f t="shared" si="328"/>
        <v>0</v>
      </c>
      <c r="M1022" s="17">
        <f t="shared" si="329"/>
        <v>0</v>
      </c>
      <c r="N1022" s="12">
        <f t="shared" si="330"/>
        <v>0</v>
      </c>
      <c r="O1022" s="5"/>
      <c r="P1022" s="27" t="b">
        <f>IF($G1022&lt;&gt;0,SUMIF(куб!$G:$G,$G1022,куб!J:J),IF($E1022&lt;&gt;0,SUMIF(куб!$E:$E,$E1022,куб!J:J),IF($D1022&lt;&gt;0,SUMIF(куб!$D:$D,$D1022,куб!J:J),IF($C1022&lt;&gt;0,SUMIF(куб!$C:$C,$C1022,куб!J:J),IF($B1022&lt;&gt;0,SUMIF(куб!$B:$B,$B1022,куб!J:J))))))</f>
        <v>0</v>
      </c>
      <c r="Q1022" s="27" t="b">
        <f>IF($G1022&lt;&gt;0,SUMIF(куб!$G:$G,$G1022,куб!K:K),IF($E1022&lt;&gt;0,SUMIF(куб!$E:$E,$E1022,куб!K:K),IF($D1022&lt;&gt;0,SUMIF(куб!$D:$D,$D1022,куб!K:K),IF($C1022&lt;&gt;0,SUMIF(куб!$C:$C,$C1022,куб!K:K),IF($B1022&lt;&gt;0,SUMIF(куб!$B:$B,$B1022,куб!K:K))))))</f>
        <v>0</v>
      </c>
      <c r="R1022" s="13" t="str">
        <f t="shared" si="331"/>
        <v>-</v>
      </c>
      <c r="S1022" s="5"/>
      <c r="T1022" s="27" t="b">
        <f>IF($G1022&lt;&gt;0,SUMIF(куб!$G:$G,$G1022,куб!L:L),IF($E1022&lt;&gt;0,SUMIF(куб!$E:$E,$E1022,куб!L:L),IF($D1022&lt;&gt;0,SUMIF(куб!$D:$D,$D1022,куб!L:L),IF($C1022&lt;&gt;0,SUMIF(куб!$C:$C,$C1022,куб!L:L),IF($B1022&lt;&gt;0,SUMIF(куб!$B:$B,$B1022,куб!L:L))))))</f>
        <v>0</v>
      </c>
      <c r="U1022" s="27" t="b">
        <f>IF($G1022&lt;&gt;0,SUMIF(куб!$G:$G,$G1022,куб!M:M),IF($E1022&lt;&gt;0,SUMIF(куб!$E:$E,$E1022,куб!M:M),IF($D1022&lt;&gt;0,SUMIF(куб!$D:$D,$D1022,куб!M:M),IF($C1022&lt;&gt;0,SUMIF(куб!$C:$C,$C1022,куб!M:M),IF($B1022&lt;&gt;0,SUMIF(куб!$B:$B,$B1022,куб!M:M))))))</f>
        <v>0</v>
      </c>
      <c r="V1022" s="13" t="str">
        <f t="shared" si="332"/>
        <v>-</v>
      </c>
      <c r="W1022" s="5"/>
      <c r="X1022" s="27" t="b">
        <f>IF($G1022&lt;&gt;0,SUMIF(куб!$G:$G,$G1022,куб!N:N),IF($E1022&lt;&gt;0,SUMIF(куб!$E:$E,$E1022,куб!N:N),IF($D1022&lt;&gt;0,SUMIF(куб!$D:$D,$D1022,куб!N:N),IF($C1022&lt;&gt;0,SUMIF(куб!$C:$C,$C1022,куб!N:N),IF($B1022&lt;&gt;0,SUMIF(куб!$B:$B,$B1022,куб!N:N))))))</f>
        <v>0</v>
      </c>
      <c r="Y1022" s="27" t="b">
        <f>IF($G1022&lt;&gt;0,SUMIF(куб!$G:$G,$G1022,куб!O:O),IF($E1022&lt;&gt;0,SUMIF(куб!$E:$E,$E1022,куб!O:O),IF($D1022&lt;&gt;0,SUMIF(куб!$D:$D,$D1022,куб!O:O),IF($C1022&lt;&gt;0,SUMIF(куб!$C:$C,$C1022,куб!O:O),IF($B1022&lt;&gt;0,SUMIF(куб!$B:$B,$B1022,куб!O:O))))))</f>
        <v>0</v>
      </c>
      <c r="Z1022" s="13" t="str">
        <f t="shared" si="333"/>
        <v>-</v>
      </c>
      <c r="AA1022" s="5"/>
      <c r="AB1022" s="33" t="str">
        <f t="shared" si="334"/>
        <v/>
      </c>
      <c r="AC1022" s="33" t="str">
        <f t="shared" si="335"/>
        <v/>
      </c>
      <c r="AD1022" s="15" t="str">
        <f t="shared" si="336"/>
        <v xml:space="preserve"> </v>
      </c>
      <c r="AE1022" s="5"/>
      <c r="AF1022" s="27" t="b">
        <f>IF($G1022&lt;&gt;0,SUMIF(куб!$G:$G,$G1022,куб!R:R),IF($E1022&lt;&gt;0,SUMIF(куб!$E:$E,$E1022,куб!R:R),IF($D1022&lt;&gt;0,SUMIF(куб!$D:$D,$D1022,куб!R:R),IF($C1022&lt;&gt;0,SUMIF(куб!$C:$C,$C1022,куб!R:R),IF($B1022&lt;&gt;0,SUMIF(куб!$B:$B,$B1022,куб!R:R))))))</f>
        <v>0</v>
      </c>
      <c r="AG1022" s="27" t="b">
        <f>IF($G1022&lt;&gt;0,SUMIF(куб!$G:$G,$G1022,куб!S:S),IF($E1022&lt;&gt;0,SUMIF(куб!$E:$E,$E1022,куб!S:S),IF($D1022&lt;&gt;0,SUMIF(куб!$D:$D,$D1022,куб!S:S),IF($C1022&lt;&gt;0,SUMIF(куб!$C:$C,$C1022,куб!S:S),IF($B1022&lt;&gt;0,SUMIF(куб!$B:$B,$B1022,куб!S:S))))))</f>
        <v>0</v>
      </c>
      <c r="AH1022" s="16" t="str">
        <f t="shared" si="337"/>
        <v>-</v>
      </c>
      <c r="AI1022" s="8"/>
      <c r="AJ1022" s="27" t="b">
        <f>IF($G1022&lt;&gt;0,SUMIF(куб!$G:$G,$G1022,куб!T:T),IF($E1022&lt;&gt;0,SUMIF(куб!$E:$E,$E1022,куб!T:T),IF($D1022&lt;&gt;0,SUMIF(куб!$D:$D,$D1022,куб!T:T),IF($C1022&lt;&gt;0,SUMIF(куб!$C:$C,$C1022,куб!T:T),IF($B1022&lt;&gt;0,SUMIF(куб!$B:$B,$B1022,куб!T:T))))))</f>
        <v>0</v>
      </c>
      <c r="AK1022" s="27" t="b">
        <f>IF($G1022&lt;&gt;0,SUMIF(куб!$G:$G,$G1022,куб!U:U),IF($E1022&lt;&gt;0,SUMIF(куб!$E:$E,$E1022,куб!U:U),IF($D1022&lt;&gt;0,SUMIF(куб!$D:$D,$D1022,куб!U:U),IF($C1022&lt;&gt;0,SUMIF(куб!$C:$C,$C1022,куб!U:U),IF($B1022&lt;&gt;0,SUMIF(куб!$B:$B,$B1022,куб!U:U))))))</f>
        <v>0</v>
      </c>
      <c r="AL1022" s="16" t="str">
        <f t="shared" si="338"/>
        <v>-</v>
      </c>
      <c r="AM1022" s="8"/>
      <c r="AN1022" s="17" t="str">
        <f t="shared" si="339"/>
        <v xml:space="preserve"> </v>
      </c>
      <c r="AO1022" s="17" t="str">
        <f t="shared" si="340"/>
        <v xml:space="preserve"> </v>
      </c>
      <c r="AP1022" s="16" t="str">
        <f t="shared" si="341"/>
        <v>-</v>
      </c>
      <c r="AQ1022" s="8"/>
      <c r="AR1022" s="17" t="str">
        <f t="shared" si="342"/>
        <v>-</v>
      </c>
      <c r="AS1022" s="17" t="str">
        <f t="shared" si="343"/>
        <v>-</v>
      </c>
      <c r="AT1022" s="13" t="str">
        <f t="shared" si="344"/>
        <v>-</v>
      </c>
      <c r="AU1022" s="8"/>
    </row>
    <row r="1023" spans="1:47" x14ac:dyDescent="0.25">
      <c r="A1023" s="31"/>
      <c r="B1023" s="31"/>
      <c r="C1023"/>
      <c r="D1023" s="31"/>
      <c r="E1023"/>
      <c r="F1023" s="31"/>
      <c r="G1023"/>
      <c r="H1023" s="27">
        <f>IF($G1023&lt;&gt;0,SUMIF(куб!$G:$G,$G1023,куб!H:H),IF($E1023&lt;&gt;0,SUMIF(куб!$E:$E,$E1023,куб!H:H),IF($D1023&lt;&gt;0,SUMIF(куб!$D:$D,$D1023,куб!H:H),IF($C1023&lt;&gt;0,SUMIF(куб!$C:$C,$C1023,куб!H:H),IF($B1023&lt;&gt;0,SUMIF(куб!$B:$B,$B1023,куб!H:H),IF($G1023&lt;&gt;0,SUMIF(куб!$A:$A,$G1023,куб!H:H),SUMIF(куб!$A:$A,$G1023,куб!H:H)))))))</f>
        <v>0</v>
      </c>
      <c r="I1023" s="27">
        <f>IF($G1023&lt;&gt;0,SUMIF(куб!$G:$G,$G1023,куб!I:I),IF($E1023&lt;&gt;0,SUMIF(куб!$E:$E,$E1023,куб!I:I),IF($D1023&lt;&gt;0,SUMIF(куб!$D:$D,$D1023,куб!I:I),IF($C1023&lt;&gt;0,SUMIF(куб!$C:$C,$C1023,куб!I:I),IF($B1023&lt;&gt;0,SUMIF(куб!$B:$B,$B1023,куб!I:I),IF($G1023&lt;&gt;0,SUMIF(куб!$A:$A,$G1023,куб!I:I),SUMIF(куб!$A:$A,$G1023,куб!I:I)))))))</f>
        <v>0</v>
      </c>
      <c r="J1023" s="19" t="str">
        <f t="shared" si="327"/>
        <v>-</v>
      </c>
      <c r="K1023" s="8"/>
      <c r="L1023" s="17">
        <f t="shared" si="328"/>
        <v>0</v>
      </c>
      <c r="M1023" s="17">
        <f t="shared" si="329"/>
        <v>0</v>
      </c>
      <c r="N1023" s="12">
        <f t="shared" si="330"/>
        <v>0</v>
      </c>
      <c r="O1023" s="5"/>
      <c r="P1023" s="27" t="b">
        <f>IF($G1023&lt;&gt;0,SUMIF(куб!$G:$G,$G1023,куб!J:J),IF($E1023&lt;&gt;0,SUMIF(куб!$E:$E,$E1023,куб!J:J),IF($D1023&lt;&gt;0,SUMIF(куб!$D:$D,$D1023,куб!J:J),IF($C1023&lt;&gt;0,SUMIF(куб!$C:$C,$C1023,куб!J:J),IF($B1023&lt;&gt;0,SUMIF(куб!$B:$B,$B1023,куб!J:J))))))</f>
        <v>0</v>
      </c>
      <c r="Q1023" s="27" t="b">
        <f>IF($G1023&lt;&gt;0,SUMIF(куб!$G:$G,$G1023,куб!K:K),IF($E1023&lt;&gt;0,SUMIF(куб!$E:$E,$E1023,куб!K:K),IF($D1023&lt;&gt;0,SUMIF(куб!$D:$D,$D1023,куб!K:K),IF($C1023&lt;&gt;0,SUMIF(куб!$C:$C,$C1023,куб!K:K),IF($B1023&lt;&gt;0,SUMIF(куб!$B:$B,$B1023,куб!K:K))))))</f>
        <v>0</v>
      </c>
      <c r="R1023" s="13" t="str">
        <f t="shared" si="331"/>
        <v>-</v>
      </c>
      <c r="S1023" s="5"/>
      <c r="T1023" s="27" t="b">
        <f>IF($G1023&lt;&gt;0,SUMIF(куб!$G:$G,$G1023,куб!L:L),IF($E1023&lt;&gt;0,SUMIF(куб!$E:$E,$E1023,куб!L:L),IF($D1023&lt;&gt;0,SUMIF(куб!$D:$D,$D1023,куб!L:L),IF($C1023&lt;&gt;0,SUMIF(куб!$C:$C,$C1023,куб!L:L),IF($B1023&lt;&gt;0,SUMIF(куб!$B:$B,$B1023,куб!L:L))))))</f>
        <v>0</v>
      </c>
      <c r="U1023" s="27" t="b">
        <f>IF($G1023&lt;&gt;0,SUMIF(куб!$G:$G,$G1023,куб!M:M),IF($E1023&lt;&gt;0,SUMIF(куб!$E:$E,$E1023,куб!M:M),IF($D1023&lt;&gt;0,SUMIF(куб!$D:$D,$D1023,куб!M:M),IF($C1023&lt;&gt;0,SUMIF(куб!$C:$C,$C1023,куб!M:M),IF($B1023&lt;&gt;0,SUMIF(куб!$B:$B,$B1023,куб!M:M))))))</f>
        <v>0</v>
      </c>
      <c r="V1023" s="13" t="str">
        <f t="shared" si="332"/>
        <v>-</v>
      </c>
      <c r="W1023" s="5"/>
      <c r="X1023" s="27" t="b">
        <f>IF($G1023&lt;&gt;0,SUMIF(куб!$G:$G,$G1023,куб!N:N),IF($E1023&lt;&gt;0,SUMIF(куб!$E:$E,$E1023,куб!N:N),IF($D1023&lt;&gt;0,SUMIF(куб!$D:$D,$D1023,куб!N:N),IF($C1023&lt;&gt;0,SUMIF(куб!$C:$C,$C1023,куб!N:N),IF($B1023&lt;&gt;0,SUMIF(куб!$B:$B,$B1023,куб!N:N))))))</f>
        <v>0</v>
      </c>
      <c r="Y1023" s="27" t="b">
        <f>IF($G1023&lt;&gt;0,SUMIF(куб!$G:$G,$G1023,куб!O:O),IF($E1023&lt;&gt;0,SUMIF(куб!$E:$E,$E1023,куб!O:O),IF($D1023&lt;&gt;0,SUMIF(куб!$D:$D,$D1023,куб!O:O),IF($C1023&lt;&gt;0,SUMIF(куб!$C:$C,$C1023,куб!O:O),IF($B1023&lt;&gt;0,SUMIF(куб!$B:$B,$B1023,куб!O:O))))))</f>
        <v>0</v>
      </c>
      <c r="Z1023" s="13" t="str">
        <f t="shared" si="333"/>
        <v>-</v>
      </c>
      <c r="AA1023" s="5"/>
      <c r="AB1023" s="33" t="str">
        <f t="shared" si="334"/>
        <v/>
      </c>
      <c r="AC1023" s="33" t="str">
        <f t="shared" si="335"/>
        <v/>
      </c>
      <c r="AD1023" s="15" t="str">
        <f t="shared" si="336"/>
        <v xml:space="preserve"> </v>
      </c>
      <c r="AE1023" s="5"/>
      <c r="AF1023" s="27" t="b">
        <f>IF($G1023&lt;&gt;0,SUMIF(куб!$G:$G,$G1023,куб!R:R),IF($E1023&lt;&gt;0,SUMIF(куб!$E:$E,$E1023,куб!R:R),IF($D1023&lt;&gt;0,SUMIF(куб!$D:$D,$D1023,куб!R:R),IF($C1023&lt;&gt;0,SUMIF(куб!$C:$C,$C1023,куб!R:R),IF($B1023&lt;&gt;0,SUMIF(куб!$B:$B,$B1023,куб!R:R))))))</f>
        <v>0</v>
      </c>
      <c r="AG1023" s="27" t="b">
        <f>IF($G1023&lt;&gt;0,SUMIF(куб!$G:$G,$G1023,куб!S:S),IF($E1023&lt;&gt;0,SUMIF(куб!$E:$E,$E1023,куб!S:S),IF($D1023&lt;&gt;0,SUMIF(куб!$D:$D,$D1023,куб!S:S),IF($C1023&lt;&gt;0,SUMIF(куб!$C:$C,$C1023,куб!S:S),IF($B1023&lt;&gt;0,SUMIF(куб!$B:$B,$B1023,куб!S:S))))))</f>
        <v>0</v>
      </c>
      <c r="AH1023" s="16" t="str">
        <f t="shared" si="337"/>
        <v>-</v>
      </c>
      <c r="AI1023" s="8"/>
      <c r="AJ1023" s="27" t="b">
        <f>IF($G1023&lt;&gt;0,SUMIF(куб!$G:$G,$G1023,куб!T:T),IF($E1023&lt;&gt;0,SUMIF(куб!$E:$E,$E1023,куб!T:T),IF($D1023&lt;&gt;0,SUMIF(куб!$D:$D,$D1023,куб!T:T),IF($C1023&lt;&gt;0,SUMIF(куб!$C:$C,$C1023,куб!T:T),IF($B1023&lt;&gt;0,SUMIF(куб!$B:$B,$B1023,куб!T:T))))))</f>
        <v>0</v>
      </c>
      <c r="AK1023" s="27" t="b">
        <f>IF($G1023&lt;&gt;0,SUMIF(куб!$G:$G,$G1023,куб!U:U),IF($E1023&lt;&gt;0,SUMIF(куб!$E:$E,$E1023,куб!U:U),IF($D1023&lt;&gt;0,SUMIF(куб!$D:$D,$D1023,куб!U:U),IF($C1023&lt;&gt;0,SUMIF(куб!$C:$C,$C1023,куб!U:U),IF($B1023&lt;&gt;0,SUMIF(куб!$B:$B,$B1023,куб!U:U))))))</f>
        <v>0</v>
      </c>
      <c r="AL1023" s="16" t="str">
        <f t="shared" si="338"/>
        <v>-</v>
      </c>
      <c r="AM1023" s="8"/>
      <c r="AN1023" s="17" t="str">
        <f t="shared" si="339"/>
        <v xml:space="preserve"> </v>
      </c>
      <c r="AO1023" s="17" t="str">
        <f t="shared" si="340"/>
        <v xml:space="preserve"> </v>
      </c>
      <c r="AP1023" s="16" t="str">
        <f t="shared" si="341"/>
        <v>-</v>
      </c>
      <c r="AQ1023" s="8"/>
      <c r="AR1023" s="17" t="str">
        <f t="shared" si="342"/>
        <v>-</v>
      </c>
      <c r="AS1023" s="17" t="str">
        <f t="shared" si="343"/>
        <v>-</v>
      </c>
      <c r="AT1023" s="13" t="str">
        <f t="shared" si="344"/>
        <v>-</v>
      </c>
      <c r="AU1023" s="8"/>
    </row>
    <row r="1024" spans="1:47" x14ac:dyDescent="0.25">
      <c r="A1024" s="31"/>
      <c r="B1024" s="31"/>
      <c r="C1024"/>
      <c r="D1024" s="31"/>
      <c r="E1024"/>
      <c r="F1024" s="31"/>
      <c r="G1024"/>
      <c r="H1024" s="27">
        <f>IF($G1024&lt;&gt;0,SUMIF(куб!$G:$G,$G1024,куб!H:H),IF($E1024&lt;&gt;0,SUMIF(куб!$E:$E,$E1024,куб!H:H),IF($D1024&lt;&gt;0,SUMIF(куб!$D:$D,$D1024,куб!H:H),IF($C1024&lt;&gt;0,SUMIF(куб!$C:$C,$C1024,куб!H:H),IF($B1024&lt;&gt;0,SUMIF(куб!$B:$B,$B1024,куб!H:H),IF($G1024&lt;&gt;0,SUMIF(куб!$A:$A,$G1024,куб!H:H),SUMIF(куб!$A:$A,$G1024,куб!H:H)))))))</f>
        <v>0</v>
      </c>
      <c r="I1024" s="27">
        <f>IF($G1024&lt;&gt;0,SUMIF(куб!$G:$G,$G1024,куб!I:I),IF($E1024&lt;&gt;0,SUMIF(куб!$E:$E,$E1024,куб!I:I),IF($D1024&lt;&gt;0,SUMIF(куб!$D:$D,$D1024,куб!I:I),IF($C1024&lt;&gt;0,SUMIF(куб!$C:$C,$C1024,куб!I:I),IF($B1024&lt;&gt;0,SUMIF(куб!$B:$B,$B1024,куб!I:I),IF($G1024&lt;&gt;0,SUMIF(куб!$A:$A,$G1024,куб!I:I),SUMIF(куб!$A:$A,$G1024,куб!I:I)))))))</f>
        <v>0</v>
      </c>
      <c r="J1024" s="19" t="str">
        <f t="shared" si="327"/>
        <v>-</v>
      </c>
      <c r="K1024" s="8"/>
      <c r="L1024" s="17">
        <f t="shared" si="328"/>
        <v>0</v>
      </c>
      <c r="M1024" s="17">
        <f t="shared" si="329"/>
        <v>0</v>
      </c>
      <c r="N1024" s="12">
        <f t="shared" si="330"/>
        <v>0</v>
      </c>
      <c r="O1024" s="5"/>
      <c r="P1024" s="27" t="b">
        <f>IF($G1024&lt;&gt;0,SUMIF(куб!$G:$G,$G1024,куб!J:J),IF($E1024&lt;&gt;0,SUMIF(куб!$E:$E,$E1024,куб!J:J),IF($D1024&lt;&gt;0,SUMIF(куб!$D:$D,$D1024,куб!J:J),IF($C1024&lt;&gt;0,SUMIF(куб!$C:$C,$C1024,куб!J:J),IF($B1024&lt;&gt;0,SUMIF(куб!$B:$B,$B1024,куб!J:J))))))</f>
        <v>0</v>
      </c>
      <c r="Q1024" s="27" t="b">
        <f>IF($G1024&lt;&gt;0,SUMIF(куб!$G:$G,$G1024,куб!K:K),IF($E1024&lt;&gt;0,SUMIF(куб!$E:$E,$E1024,куб!K:K),IF($D1024&lt;&gt;0,SUMIF(куб!$D:$D,$D1024,куб!K:K),IF($C1024&lt;&gt;0,SUMIF(куб!$C:$C,$C1024,куб!K:K),IF($B1024&lt;&gt;0,SUMIF(куб!$B:$B,$B1024,куб!K:K))))))</f>
        <v>0</v>
      </c>
      <c r="R1024" s="13" t="str">
        <f t="shared" si="331"/>
        <v>-</v>
      </c>
      <c r="S1024" s="5"/>
      <c r="T1024" s="27" t="b">
        <f>IF($G1024&lt;&gt;0,SUMIF(куб!$G:$G,$G1024,куб!L:L),IF($E1024&lt;&gt;0,SUMIF(куб!$E:$E,$E1024,куб!L:L),IF($D1024&lt;&gt;0,SUMIF(куб!$D:$D,$D1024,куб!L:L),IF($C1024&lt;&gt;0,SUMIF(куб!$C:$C,$C1024,куб!L:L),IF($B1024&lt;&gt;0,SUMIF(куб!$B:$B,$B1024,куб!L:L))))))</f>
        <v>0</v>
      </c>
      <c r="U1024" s="27" t="b">
        <f>IF($G1024&lt;&gt;0,SUMIF(куб!$G:$G,$G1024,куб!M:M),IF($E1024&lt;&gt;0,SUMIF(куб!$E:$E,$E1024,куб!M:M),IF($D1024&lt;&gt;0,SUMIF(куб!$D:$D,$D1024,куб!M:M),IF($C1024&lt;&gt;0,SUMIF(куб!$C:$C,$C1024,куб!M:M),IF($B1024&lt;&gt;0,SUMIF(куб!$B:$B,$B1024,куб!M:M))))))</f>
        <v>0</v>
      </c>
      <c r="V1024" s="13" t="str">
        <f t="shared" si="332"/>
        <v>-</v>
      </c>
      <c r="W1024" s="5"/>
      <c r="X1024" s="27" t="b">
        <f>IF($G1024&lt;&gt;0,SUMIF(куб!$G:$G,$G1024,куб!N:N),IF($E1024&lt;&gt;0,SUMIF(куб!$E:$E,$E1024,куб!N:N),IF($D1024&lt;&gt;0,SUMIF(куб!$D:$D,$D1024,куб!N:N),IF($C1024&lt;&gt;0,SUMIF(куб!$C:$C,$C1024,куб!N:N),IF($B1024&lt;&gt;0,SUMIF(куб!$B:$B,$B1024,куб!N:N))))))</f>
        <v>0</v>
      </c>
      <c r="Y1024" s="27" t="b">
        <f>IF($G1024&lt;&gt;0,SUMIF(куб!$G:$G,$G1024,куб!O:O),IF($E1024&lt;&gt;0,SUMIF(куб!$E:$E,$E1024,куб!O:O),IF($D1024&lt;&gt;0,SUMIF(куб!$D:$D,$D1024,куб!O:O),IF($C1024&lt;&gt;0,SUMIF(куб!$C:$C,$C1024,куб!O:O),IF($B1024&lt;&gt;0,SUMIF(куб!$B:$B,$B1024,куб!O:O))))))</f>
        <v>0</v>
      </c>
      <c r="Z1024" s="13" t="str">
        <f t="shared" si="333"/>
        <v>-</v>
      </c>
      <c r="AA1024" s="5"/>
      <c r="AB1024" s="33" t="str">
        <f t="shared" si="334"/>
        <v/>
      </c>
      <c r="AC1024" s="33" t="str">
        <f t="shared" si="335"/>
        <v/>
      </c>
      <c r="AD1024" s="15" t="str">
        <f t="shared" si="336"/>
        <v xml:space="preserve"> </v>
      </c>
      <c r="AE1024" s="5"/>
      <c r="AF1024" s="27" t="b">
        <f>IF($G1024&lt;&gt;0,SUMIF(куб!$G:$G,$G1024,куб!R:R),IF($E1024&lt;&gt;0,SUMIF(куб!$E:$E,$E1024,куб!R:R),IF($D1024&lt;&gt;0,SUMIF(куб!$D:$D,$D1024,куб!R:R),IF($C1024&lt;&gt;0,SUMIF(куб!$C:$C,$C1024,куб!R:R),IF($B1024&lt;&gt;0,SUMIF(куб!$B:$B,$B1024,куб!R:R))))))</f>
        <v>0</v>
      </c>
      <c r="AG1024" s="27" t="b">
        <f>IF($G1024&lt;&gt;0,SUMIF(куб!$G:$G,$G1024,куб!S:S),IF($E1024&lt;&gt;0,SUMIF(куб!$E:$E,$E1024,куб!S:S),IF($D1024&lt;&gt;0,SUMIF(куб!$D:$D,$D1024,куб!S:S),IF($C1024&lt;&gt;0,SUMIF(куб!$C:$C,$C1024,куб!S:S),IF($B1024&lt;&gt;0,SUMIF(куб!$B:$B,$B1024,куб!S:S))))))</f>
        <v>0</v>
      </c>
      <c r="AH1024" s="16" t="str">
        <f t="shared" si="337"/>
        <v>-</v>
      </c>
      <c r="AI1024" s="8"/>
      <c r="AJ1024" s="27" t="b">
        <f>IF($G1024&lt;&gt;0,SUMIF(куб!$G:$G,$G1024,куб!T:T),IF($E1024&lt;&gt;0,SUMIF(куб!$E:$E,$E1024,куб!T:T),IF($D1024&lt;&gt;0,SUMIF(куб!$D:$D,$D1024,куб!T:T),IF($C1024&lt;&gt;0,SUMIF(куб!$C:$C,$C1024,куб!T:T),IF($B1024&lt;&gt;0,SUMIF(куб!$B:$B,$B1024,куб!T:T))))))</f>
        <v>0</v>
      </c>
      <c r="AK1024" s="27" t="b">
        <f>IF($G1024&lt;&gt;0,SUMIF(куб!$G:$G,$G1024,куб!U:U),IF($E1024&lt;&gt;0,SUMIF(куб!$E:$E,$E1024,куб!U:U),IF($D1024&lt;&gt;0,SUMIF(куб!$D:$D,$D1024,куб!U:U),IF($C1024&lt;&gt;0,SUMIF(куб!$C:$C,$C1024,куб!U:U),IF($B1024&lt;&gt;0,SUMIF(куб!$B:$B,$B1024,куб!U:U))))))</f>
        <v>0</v>
      </c>
      <c r="AL1024" s="16" t="str">
        <f t="shared" si="338"/>
        <v>-</v>
      </c>
      <c r="AM1024" s="8"/>
      <c r="AN1024" s="17" t="str">
        <f t="shared" si="339"/>
        <v xml:space="preserve"> </v>
      </c>
      <c r="AO1024" s="17" t="str">
        <f t="shared" si="340"/>
        <v xml:space="preserve"> </v>
      </c>
      <c r="AP1024" s="16" t="str">
        <f t="shared" si="341"/>
        <v>-</v>
      </c>
      <c r="AQ1024" s="8"/>
      <c r="AR1024" s="17" t="str">
        <f t="shared" si="342"/>
        <v>-</v>
      </c>
      <c r="AS1024" s="17" t="str">
        <f t="shared" si="343"/>
        <v>-</v>
      </c>
      <c r="AT1024" s="13" t="str">
        <f t="shared" si="344"/>
        <v>-</v>
      </c>
      <c r="AU1024" s="8"/>
    </row>
    <row r="1025" spans="1:47" x14ac:dyDescent="0.25">
      <c r="A1025" s="31"/>
      <c r="B1025" s="31"/>
      <c r="C1025"/>
      <c r="D1025" s="31"/>
      <c r="E1025"/>
      <c r="F1025" s="31"/>
      <c r="G1025"/>
      <c r="H1025" s="27">
        <f>IF($G1025&lt;&gt;0,SUMIF(куб!$G:$G,$G1025,куб!H:H),IF($E1025&lt;&gt;0,SUMIF(куб!$E:$E,$E1025,куб!H:H),IF($D1025&lt;&gt;0,SUMIF(куб!$D:$D,$D1025,куб!H:H),IF($C1025&lt;&gt;0,SUMIF(куб!$C:$C,$C1025,куб!H:H),IF($B1025&lt;&gt;0,SUMIF(куб!$B:$B,$B1025,куб!H:H),IF($G1025&lt;&gt;0,SUMIF(куб!$A:$A,$G1025,куб!H:H),SUMIF(куб!$A:$A,$G1025,куб!H:H)))))))</f>
        <v>0</v>
      </c>
      <c r="I1025" s="27">
        <f>IF($G1025&lt;&gt;0,SUMIF(куб!$G:$G,$G1025,куб!I:I),IF($E1025&lt;&gt;0,SUMIF(куб!$E:$E,$E1025,куб!I:I),IF($D1025&lt;&gt;0,SUMIF(куб!$D:$D,$D1025,куб!I:I),IF($C1025&lt;&gt;0,SUMIF(куб!$C:$C,$C1025,куб!I:I),IF($B1025&lt;&gt;0,SUMIF(куб!$B:$B,$B1025,куб!I:I),IF($G1025&lt;&gt;0,SUMIF(куб!$A:$A,$G1025,куб!I:I),SUMIF(куб!$A:$A,$G1025,куб!I:I)))))))</f>
        <v>0</v>
      </c>
      <c r="J1025" s="19" t="str">
        <f t="shared" si="327"/>
        <v>-</v>
      </c>
      <c r="K1025" s="8"/>
      <c r="L1025" s="17">
        <f t="shared" si="328"/>
        <v>0</v>
      </c>
      <c r="M1025" s="17">
        <f t="shared" si="329"/>
        <v>0</v>
      </c>
      <c r="N1025" s="12">
        <f t="shared" si="330"/>
        <v>0</v>
      </c>
      <c r="O1025" s="5"/>
      <c r="P1025" s="27" t="b">
        <f>IF($G1025&lt;&gt;0,SUMIF(куб!$G:$G,$G1025,куб!J:J),IF($E1025&lt;&gt;0,SUMIF(куб!$E:$E,$E1025,куб!J:J),IF($D1025&lt;&gt;0,SUMIF(куб!$D:$D,$D1025,куб!J:J),IF($C1025&lt;&gt;0,SUMIF(куб!$C:$C,$C1025,куб!J:J),IF($B1025&lt;&gt;0,SUMIF(куб!$B:$B,$B1025,куб!J:J))))))</f>
        <v>0</v>
      </c>
      <c r="Q1025" s="27" t="b">
        <f>IF($G1025&lt;&gt;0,SUMIF(куб!$G:$G,$G1025,куб!K:K),IF($E1025&lt;&gt;0,SUMIF(куб!$E:$E,$E1025,куб!K:K),IF($D1025&lt;&gt;0,SUMIF(куб!$D:$D,$D1025,куб!K:K),IF($C1025&lt;&gt;0,SUMIF(куб!$C:$C,$C1025,куб!K:K),IF($B1025&lt;&gt;0,SUMIF(куб!$B:$B,$B1025,куб!K:K))))))</f>
        <v>0</v>
      </c>
      <c r="R1025" s="13" t="str">
        <f t="shared" si="331"/>
        <v>-</v>
      </c>
      <c r="S1025" s="5"/>
      <c r="T1025" s="27" t="b">
        <f>IF($G1025&lt;&gt;0,SUMIF(куб!$G:$G,$G1025,куб!L:L),IF($E1025&lt;&gt;0,SUMIF(куб!$E:$E,$E1025,куб!L:L),IF($D1025&lt;&gt;0,SUMIF(куб!$D:$D,$D1025,куб!L:L),IF($C1025&lt;&gt;0,SUMIF(куб!$C:$C,$C1025,куб!L:L),IF($B1025&lt;&gt;0,SUMIF(куб!$B:$B,$B1025,куб!L:L))))))</f>
        <v>0</v>
      </c>
      <c r="U1025" s="27" t="b">
        <f>IF($G1025&lt;&gt;0,SUMIF(куб!$G:$G,$G1025,куб!M:M),IF($E1025&lt;&gt;0,SUMIF(куб!$E:$E,$E1025,куб!M:M),IF($D1025&lt;&gt;0,SUMIF(куб!$D:$D,$D1025,куб!M:M),IF($C1025&lt;&gt;0,SUMIF(куб!$C:$C,$C1025,куб!M:M),IF($B1025&lt;&gt;0,SUMIF(куб!$B:$B,$B1025,куб!M:M))))))</f>
        <v>0</v>
      </c>
      <c r="V1025" s="13" t="str">
        <f t="shared" si="332"/>
        <v>-</v>
      </c>
      <c r="W1025" s="5"/>
      <c r="X1025" s="27" t="b">
        <f>IF($G1025&lt;&gt;0,SUMIF(куб!$G:$G,$G1025,куб!N:N),IF($E1025&lt;&gt;0,SUMIF(куб!$E:$E,$E1025,куб!N:N),IF($D1025&lt;&gt;0,SUMIF(куб!$D:$D,$D1025,куб!N:N),IF($C1025&lt;&gt;0,SUMIF(куб!$C:$C,$C1025,куб!N:N),IF($B1025&lt;&gt;0,SUMIF(куб!$B:$B,$B1025,куб!N:N))))))</f>
        <v>0</v>
      </c>
      <c r="Y1025" s="27" t="b">
        <f>IF($G1025&lt;&gt;0,SUMIF(куб!$G:$G,$G1025,куб!O:O),IF($E1025&lt;&gt;0,SUMIF(куб!$E:$E,$E1025,куб!O:O),IF($D1025&lt;&gt;0,SUMIF(куб!$D:$D,$D1025,куб!O:O),IF($C1025&lt;&gt;0,SUMIF(куб!$C:$C,$C1025,куб!O:O),IF($B1025&lt;&gt;0,SUMIF(куб!$B:$B,$B1025,куб!O:O))))))</f>
        <v>0</v>
      </c>
      <c r="Z1025" s="13" t="str">
        <f t="shared" si="333"/>
        <v>-</v>
      </c>
      <c r="AA1025" s="5"/>
      <c r="AB1025" s="33" t="str">
        <f t="shared" si="334"/>
        <v/>
      </c>
      <c r="AC1025" s="33" t="str">
        <f t="shared" si="335"/>
        <v/>
      </c>
      <c r="AD1025" s="15" t="str">
        <f t="shared" si="336"/>
        <v xml:space="preserve"> </v>
      </c>
      <c r="AE1025" s="5"/>
      <c r="AF1025" s="27" t="b">
        <f>IF($G1025&lt;&gt;0,SUMIF(куб!$G:$G,$G1025,куб!R:R),IF($E1025&lt;&gt;0,SUMIF(куб!$E:$E,$E1025,куб!R:R),IF($D1025&lt;&gt;0,SUMIF(куб!$D:$D,$D1025,куб!R:R),IF($C1025&lt;&gt;0,SUMIF(куб!$C:$C,$C1025,куб!R:R),IF($B1025&lt;&gt;0,SUMIF(куб!$B:$B,$B1025,куб!R:R))))))</f>
        <v>0</v>
      </c>
      <c r="AG1025" s="27" t="b">
        <f>IF($G1025&lt;&gt;0,SUMIF(куб!$G:$G,$G1025,куб!S:S),IF($E1025&lt;&gt;0,SUMIF(куб!$E:$E,$E1025,куб!S:S),IF($D1025&lt;&gt;0,SUMIF(куб!$D:$D,$D1025,куб!S:S),IF($C1025&lt;&gt;0,SUMIF(куб!$C:$C,$C1025,куб!S:S),IF($B1025&lt;&gt;0,SUMIF(куб!$B:$B,$B1025,куб!S:S))))))</f>
        <v>0</v>
      </c>
      <c r="AH1025" s="16" t="str">
        <f t="shared" si="337"/>
        <v>-</v>
      </c>
      <c r="AI1025" s="8"/>
      <c r="AJ1025" s="27" t="b">
        <f>IF($G1025&lt;&gt;0,SUMIF(куб!$G:$G,$G1025,куб!T:T),IF($E1025&lt;&gt;0,SUMIF(куб!$E:$E,$E1025,куб!T:T),IF($D1025&lt;&gt;0,SUMIF(куб!$D:$D,$D1025,куб!T:T),IF($C1025&lt;&gt;0,SUMIF(куб!$C:$C,$C1025,куб!T:T),IF($B1025&lt;&gt;0,SUMIF(куб!$B:$B,$B1025,куб!T:T))))))</f>
        <v>0</v>
      </c>
      <c r="AK1025" s="27" t="b">
        <f>IF($G1025&lt;&gt;0,SUMIF(куб!$G:$G,$G1025,куб!U:U),IF($E1025&lt;&gt;0,SUMIF(куб!$E:$E,$E1025,куб!U:U),IF($D1025&lt;&gt;0,SUMIF(куб!$D:$D,$D1025,куб!U:U),IF($C1025&lt;&gt;0,SUMIF(куб!$C:$C,$C1025,куб!U:U),IF($B1025&lt;&gt;0,SUMIF(куб!$B:$B,$B1025,куб!U:U))))))</f>
        <v>0</v>
      </c>
      <c r="AL1025" s="16" t="str">
        <f t="shared" si="338"/>
        <v>-</v>
      </c>
      <c r="AM1025" s="8"/>
      <c r="AN1025" s="17" t="str">
        <f t="shared" si="339"/>
        <v xml:space="preserve"> </v>
      </c>
      <c r="AO1025" s="17" t="str">
        <f t="shared" si="340"/>
        <v xml:space="preserve"> </v>
      </c>
      <c r="AP1025" s="16" t="str">
        <f t="shared" si="341"/>
        <v>-</v>
      </c>
      <c r="AQ1025" s="8"/>
      <c r="AR1025" s="17" t="str">
        <f t="shared" si="342"/>
        <v>-</v>
      </c>
      <c r="AS1025" s="17" t="str">
        <f t="shared" si="343"/>
        <v>-</v>
      </c>
      <c r="AT1025" s="13" t="str">
        <f t="shared" si="344"/>
        <v>-</v>
      </c>
      <c r="AU1025" s="8"/>
    </row>
    <row r="1026" spans="1:47" x14ac:dyDescent="0.25">
      <c r="A1026" s="31"/>
      <c r="B1026" s="31"/>
      <c r="C1026"/>
      <c r="D1026" s="31"/>
      <c r="E1026"/>
      <c r="F1026" s="31"/>
      <c r="G1026"/>
      <c r="H1026" s="27">
        <f>IF($G1026&lt;&gt;0,SUMIF(куб!$G:$G,$G1026,куб!H:H),IF($E1026&lt;&gt;0,SUMIF(куб!$E:$E,$E1026,куб!H:H),IF($D1026&lt;&gt;0,SUMIF(куб!$D:$D,$D1026,куб!H:H),IF($C1026&lt;&gt;0,SUMIF(куб!$C:$C,$C1026,куб!H:H),IF($B1026&lt;&gt;0,SUMIF(куб!$B:$B,$B1026,куб!H:H),IF($G1026&lt;&gt;0,SUMIF(куб!$A:$A,$G1026,куб!H:H),SUMIF(куб!$A:$A,$G1026,куб!H:H)))))))</f>
        <v>0</v>
      </c>
      <c r="I1026" s="27">
        <f>IF($G1026&lt;&gt;0,SUMIF(куб!$G:$G,$G1026,куб!I:I),IF($E1026&lt;&gt;0,SUMIF(куб!$E:$E,$E1026,куб!I:I),IF($D1026&lt;&gt;0,SUMIF(куб!$D:$D,$D1026,куб!I:I),IF($C1026&lt;&gt;0,SUMIF(куб!$C:$C,$C1026,куб!I:I),IF($B1026&lt;&gt;0,SUMIF(куб!$B:$B,$B1026,куб!I:I),IF($G1026&lt;&gt;0,SUMIF(куб!$A:$A,$G1026,куб!I:I),SUMIF(куб!$A:$A,$G1026,куб!I:I)))))))</f>
        <v>0</v>
      </c>
      <c r="J1026" s="19" t="str">
        <f t="shared" si="327"/>
        <v>-</v>
      </c>
      <c r="K1026" s="8"/>
      <c r="L1026" s="17">
        <f t="shared" si="328"/>
        <v>0</v>
      </c>
      <c r="M1026" s="17">
        <f t="shared" si="329"/>
        <v>0</v>
      </c>
      <c r="N1026" s="12">
        <f t="shared" si="330"/>
        <v>0</v>
      </c>
      <c r="O1026" s="5"/>
      <c r="P1026" s="27" t="b">
        <f>IF($G1026&lt;&gt;0,SUMIF(куб!$G:$G,$G1026,куб!J:J),IF($E1026&lt;&gt;0,SUMIF(куб!$E:$E,$E1026,куб!J:J),IF($D1026&lt;&gt;0,SUMIF(куб!$D:$D,$D1026,куб!J:J),IF($C1026&lt;&gt;0,SUMIF(куб!$C:$C,$C1026,куб!J:J),IF($B1026&lt;&gt;0,SUMIF(куб!$B:$B,$B1026,куб!J:J))))))</f>
        <v>0</v>
      </c>
      <c r="Q1026" s="27" t="b">
        <f>IF($G1026&lt;&gt;0,SUMIF(куб!$G:$G,$G1026,куб!K:K),IF($E1026&lt;&gt;0,SUMIF(куб!$E:$E,$E1026,куб!K:K),IF($D1026&lt;&gt;0,SUMIF(куб!$D:$D,$D1026,куб!K:K),IF($C1026&lt;&gt;0,SUMIF(куб!$C:$C,$C1026,куб!K:K),IF($B1026&lt;&gt;0,SUMIF(куб!$B:$B,$B1026,куб!K:K))))))</f>
        <v>0</v>
      </c>
      <c r="R1026" s="13" t="str">
        <f t="shared" si="331"/>
        <v>-</v>
      </c>
      <c r="S1026" s="5"/>
      <c r="T1026" s="27" t="b">
        <f>IF($G1026&lt;&gt;0,SUMIF(куб!$G:$G,$G1026,куб!L:L),IF($E1026&lt;&gt;0,SUMIF(куб!$E:$E,$E1026,куб!L:L),IF($D1026&lt;&gt;0,SUMIF(куб!$D:$D,$D1026,куб!L:L),IF($C1026&lt;&gt;0,SUMIF(куб!$C:$C,$C1026,куб!L:L),IF($B1026&lt;&gt;0,SUMIF(куб!$B:$B,$B1026,куб!L:L))))))</f>
        <v>0</v>
      </c>
      <c r="U1026" s="27" t="b">
        <f>IF($G1026&lt;&gt;0,SUMIF(куб!$G:$G,$G1026,куб!M:M),IF($E1026&lt;&gt;0,SUMIF(куб!$E:$E,$E1026,куб!M:M),IF($D1026&lt;&gt;0,SUMIF(куб!$D:$D,$D1026,куб!M:M),IF($C1026&lt;&gt;0,SUMIF(куб!$C:$C,$C1026,куб!M:M),IF($B1026&lt;&gt;0,SUMIF(куб!$B:$B,$B1026,куб!M:M))))))</f>
        <v>0</v>
      </c>
      <c r="V1026" s="13" t="str">
        <f t="shared" si="332"/>
        <v>-</v>
      </c>
      <c r="W1026" s="5"/>
      <c r="X1026" s="27" t="b">
        <f>IF($G1026&lt;&gt;0,SUMIF(куб!$G:$G,$G1026,куб!N:N),IF($E1026&lt;&gt;0,SUMIF(куб!$E:$E,$E1026,куб!N:N),IF($D1026&lt;&gt;0,SUMIF(куб!$D:$D,$D1026,куб!N:N),IF($C1026&lt;&gt;0,SUMIF(куб!$C:$C,$C1026,куб!N:N),IF($B1026&lt;&gt;0,SUMIF(куб!$B:$B,$B1026,куб!N:N))))))</f>
        <v>0</v>
      </c>
      <c r="Y1026" s="27" t="b">
        <f>IF($G1026&lt;&gt;0,SUMIF(куб!$G:$G,$G1026,куб!O:O),IF($E1026&lt;&gt;0,SUMIF(куб!$E:$E,$E1026,куб!O:O),IF($D1026&lt;&gt;0,SUMIF(куб!$D:$D,$D1026,куб!O:O),IF($C1026&lt;&gt;0,SUMIF(куб!$C:$C,$C1026,куб!O:O),IF($B1026&lt;&gt;0,SUMIF(куб!$B:$B,$B1026,куб!O:O))))))</f>
        <v>0</v>
      </c>
      <c r="Z1026" s="13" t="str">
        <f t="shared" si="333"/>
        <v>-</v>
      </c>
      <c r="AA1026" s="5"/>
      <c r="AB1026" s="33" t="str">
        <f t="shared" si="334"/>
        <v/>
      </c>
      <c r="AC1026" s="33" t="str">
        <f t="shared" si="335"/>
        <v/>
      </c>
      <c r="AD1026" s="15" t="str">
        <f t="shared" si="336"/>
        <v xml:space="preserve"> </v>
      </c>
      <c r="AE1026" s="5"/>
      <c r="AF1026" s="27" t="b">
        <f>IF($G1026&lt;&gt;0,SUMIF(куб!$G:$G,$G1026,куб!R:R),IF($E1026&lt;&gt;0,SUMIF(куб!$E:$E,$E1026,куб!R:R),IF($D1026&lt;&gt;0,SUMIF(куб!$D:$D,$D1026,куб!R:R),IF($C1026&lt;&gt;0,SUMIF(куб!$C:$C,$C1026,куб!R:R),IF($B1026&lt;&gt;0,SUMIF(куб!$B:$B,$B1026,куб!R:R))))))</f>
        <v>0</v>
      </c>
      <c r="AG1026" s="27" t="b">
        <f>IF($G1026&lt;&gt;0,SUMIF(куб!$G:$G,$G1026,куб!S:S),IF($E1026&lt;&gt;0,SUMIF(куб!$E:$E,$E1026,куб!S:S),IF($D1026&lt;&gt;0,SUMIF(куб!$D:$D,$D1026,куб!S:S),IF($C1026&lt;&gt;0,SUMIF(куб!$C:$C,$C1026,куб!S:S),IF($B1026&lt;&gt;0,SUMIF(куб!$B:$B,$B1026,куб!S:S))))))</f>
        <v>0</v>
      </c>
      <c r="AH1026" s="16" t="str">
        <f t="shared" si="337"/>
        <v>-</v>
      </c>
      <c r="AI1026" s="8"/>
      <c r="AJ1026" s="27" t="b">
        <f>IF($G1026&lt;&gt;0,SUMIF(куб!$G:$G,$G1026,куб!T:T),IF($E1026&lt;&gt;0,SUMIF(куб!$E:$E,$E1026,куб!T:T),IF($D1026&lt;&gt;0,SUMIF(куб!$D:$D,$D1026,куб!T:T),IF($C1026&lt;&gt;0,SUMIF(куб!$C:$C,$C1026,куб!T:T),IF($B1026&lt;&gt;0,SUMIF(куб!$B:$B,$B1026,куб!T:T))))))</f>
        <v>0</v>
      </c>
      <c r="AK1026" s="27" t="b">
        <f>IF($G1026&lt;&gt;0,SUMIF(куб!$G:$G,$G1026,куб!U:U),IF($E1026&lt;&gt;0,SUMIF(куб!$E:$E,$E1026,куб!U:U),IF($D1026&lt;&gt;0,SUMIF(куб!$D:$D,$D1026,куб!U:U),IF($C1026&lt;&gt;0,SUMIF(куб!$C:$C,$C1026,куб!U:U),IF($B1026&lt;&gt;0,SUMIF(куб!$B:$B,$B1026,куб!U:U))))))</f>
        <v>0</v>
      </c>
      <c r="AL1026" s="16" t="str">
        <f t="shared" si="338"/>
        <v>-</v>
      </c>
      <c r="AM1026" s="8"/>
      <c r="AN1026" s="17" t="str">
        <f t="shared" si="339"/>
        <v xml:space="preserve"> </v>
      </c>
      <c r="AO1026" s="17" t="str">
        <f t="shared" si="340"/>
        <v xml:space="preserve"> </v>
      </c>
      <c r="AP1026" s="16" t="str">
        <f t="shared" si="341"/>
        <v>-</v>
      </c>
      <c r="AQ1026" s="8"/>
      <c r="AR1026" s="17" t="str">
        <f t="shared" si="342"/>
        <v>-</v>
      </c>
      <c r="AS1026" s="17" t="str">
        <f t="shared" si="343"/>
        <v>-</v>
      </c>
      <c r="AT1026" s="13" t="str">
        <f t="shared" si="344"/>
        <v>-</v>
      </c>
      <c r="AU1026" s="8"/>
    </row>
    <row r="1027" spans="1:47" x14ac:dyDescent="0.25">
      <c r="A1027" s="31"/>
      <c r="B1027" s="31"/>
      <c r="C1027"/>
      <c r="D1027" s="31"/>
      <c r="E1027"/>
      <c r="F1027" s="31"/>
      <c r="G1027"/>
      <c r="H1027" s="27">
        <f>IF($G1027&lt;&gt;0,SUMIF(куб!$G:$G,$G1027,куб!H:H),IF($E1027&lt;&gt;0,SUMIF(куб!$E:$E,$E1027,куб!H:H),IF($D1027&lt;&gt;0,SUMIF(куб!$D:$D,$D1027,куб!H:H),IF($C1027&lt;&gt;0,SUMIF(куб!$C:$C,$C1027,куб!H:H),IF($B1027&lt;&gt;0,SUMIF(куб!$B:$B,$B1027,куб!H:H),IF($G1027&lt;&gt;0,SUMIF(куб!$A:$A,$G1027,куб!H:H),SUMIF(куб!$A:$A,$G1027,куб!H:H)))))))</f>
        <v>0</v>
      </c>
      <c r="I1027" s="27">
        <f>IF($G1027&lt;&gt;0,SUMIF(куб!$G:$G,$G1027,куб!I:I),IF($E1027&lt;&gt;0,SUMIF(куб!$E:$E,$E1027,куб!I:I),IF($D1027&lt;&gt;0,SUMIF(куб!$D:$D,$D1027,куб!I:I),IF($C1027&lt;&gt;0,SUMIF(куб!$C:$C,$C1027,куб!I:I),IF($B1027&lt;&gt;0,SUMIF(куб!$B:$B,$B1027,куб!I:I),IF($G1027&lt;&gt;0,SUMIF(куб!$A:$A,$G1027,куб!I:I),SUMIF(куб!$A:$A,$G1027,куб!I:I)))))))</f>
        <v>0</v>
      </c>
      <c r="J1027" s="19" t="str">
        <f t="shared" si="327"/>
        <v>-</v>
      </c>
      <c r="K1027" s="8"/>
      <c r="L1027" s="17">
        <f t="shared" si="328"/>
        <v>0</v>
      </c>
      <c r="M1027" s="17">
        <f t="shared" si="329"/>
        <v>0</v>
      </c>
      <c r="N1027" s="12">
        <f t="shared" si="330"/>
        <v>0</v>
      </c>
      <c r="O1027" s="5"/>
      <c r="P1027" s="27" t="b">
        <f>IF($G1027&lt;&gt;0,SUMIF(куб!$G:$G,$G1027,куб!J:J),IF($E1027&lt;&gt;0,SUMIF(куб!$E:$E,$E1027,куб!J:J),IF($D1027&lt;&gt;0,SUMIF(куб!$D:$D,$D1027,куб!J:J),IF($C1027&lt;&gt;0,SUMIF(куб!$C:$C,$C1027,куб!J:J),IF($B1027&lt;&gt;0,SUMIF(куб!$B:$B,$B1027,куб!J:J))))))</f>
        <v>0</v>
      </c>
      <c r="Q1027" s="27" t="b">
        <f>IF($G1027&lt;&gt;0,SUMIF(куб!$G:$G,$G1027,куб!K:K),IF($E1027&lt;&gt;0,SUMIF(куб!$E:$E,$E1027,куб!K:K),IF($D1027&lt;&gt;0,SUMIF(куб!$D:$D,$D1027,куб!K:K),IF($C1027&lt;&gt;0,SUMIF(куб!$C:$C,$C1027,куб!K:K),IF($B1027&lt;&gt;0,SUMIF(куб!$B:$B,$B1027,куб!K:K))))))</f>
        <v>0</v>
      </c>
      <c r="R1027" s="13" t="str">
        <f t="shared" si="331"/>
        <v>-</v>
      </c>
      <c r="S1027" s="5"/>
      <c r="T1027" s="27" t="b">
        <f>IF($G1027&lt;&gt;0,SUMIF(куб!$G:$G,$G1027,куб!L:L),IF($E1027&lt;&gt;0,SUMIF(куб!$E:$E,$E1027,куб!L:L),IF($D1027&lt;&gt;0,SUMIF(куб!$D:$D,$D1027,куб!L:L),IF($C1027&lt;&gt;0,SUMIF(куб!$C:$C,$C1027,куб!L:L),IF($B1027&lt;&gt;0,SUMIF(куб!$B:$B,$B1027,куб!L:L))))))</f>
        <v>0</v>
      </c>
      <c r="U1027" s="27" t="b">
        <f>IF($G1027&lt;&gt;0,SUMIF(куб!$G:$G,$G1027,куб!M:M),IF($E1027&lt;&gt;0,SUMIF(куб!$E:$E,$E1027,куб!M:M),IF($D1027&lt;&gt;0,SUMIF(куб!$D:$D,$D1027,куб!M:M),IF($C1027&lt;&gt;0,SUMIF(куб!$C:$C,$C1027,куб!M:M),IF($B1027&lt;&gt;0,SUMIF(куб!$B:$B,$B1027,куб!M:M))))))</f>
        <v>0</v>
      </c>
      <c r="V1027" s="13" t="str">
        <f t="shared" si="332"/>
        <v>-</v>
      </c>
      <c r="W1027" s="5"/>
      <c r="X1027" s="27" t="b">
        <f>IF($G1027&lt;&gt;0,SUMIF(куб!$G:$G,$G1027,куб!N:N),IF($E1027&lt;&gt;0,SUMIF(куб!$E:$E,$E1027,куб!N:N),IF($D1027&lt;&gt;0,SUMIF(куб!$D:$D,$D1027,куб!N:N),IF($C1027&lt;&gt;0,SUMIF(куб!$C:$C,$C1027,куб!N:N),IF($B1027&lt;&gt;0,SUMIF(куб!$B:$B,$B1027,куб!N:N))))))</f>
        <v>0</v>
      </c>
      <c r="Y1027" s="27" t="b">
        <f>IF($G1027&lt;&gt;0,SUMIF(куб!$G:$G,$G1027,куб!O:O),IF($E1027&lt;&gt;0,SUMIF(куб!$E:$E,$E1027,куб!O:O),IF($D1027&lt;&gt;0,SUMIF(куб!$D:$D,$D1027,куб!O:O),IF($C1027&lt;&gt;0,SUMIF(куб!$C:$C,$C1027,куб!O:O),IF($B1027&lt;&gt;0,SUMIF(куб!$B:$B,$B1027,куб!O:O))))))</f>
        <v>0</v>
      </c>
      <c r="Z1027" s="13" t="str">
        <f t="shared" si="333"/>
        <v>-</v>
      </c>
      <c r="AA1027" s="5"/>
      <c r="AB1027" s="33" t="str">
        <f t="shared" si="334"/>
        <v/>
      </c>
      <c r="AC1027" s="33" t="str">
        <f t="shared" si="335"/>
        <v/>
      </c>
      <c r="AD1027" s="15" t="str">
        <f t="shared" si="336"/>
        <v xml:space="preserve"> </v>
      </c>
      <c r="AE1027" s="5"/>
      <c r="AF1027" s="27" t="b">
        <f>IF($G1027&lt;&gt;0,SUMIF(куб!$G:$G,$G1027,куб!R:R),IF($E1027&lt;&gt;0,SUMIF(куб!$E:$E,$E1027,куб!R:R),IF($D1027&lt;&gt;0,SUMIF(куб!$D:$D,$D1027,куб!R:R),IF($C1027&lt;&gt;0,SUMIF(куб!$C:$C,$C1027,куб!R:R),IF($B1027&lt;&gt;0,SUMIF(куб!$B:$B,$B1027,куб!R:R))))))</f>
        <v>0</v>
      </c>
      <c r="AG1027" s="27" t="b">
        <f>IF($G1027&lt;&gt;0,SUMIF(куб!$G:$G,$G1027,куб!S:S),IF($E1027&lt;&gt;0,SUMIF(куб!$E:$E,$E1027,куб!S:S),IF($D1027&lt;&gt;0,SUMIF(куб!$D:$D,$D1027,куб!S:S),IF($C1027&lt;&gt;0,SUMIF(куб!$C:$C,$C1027,куб!S:S),IF($B1027&lt;&gt;0,SUMIF(куб!$B:$B,$B1027,куб!S:S))))))</f>
        <v>0</v>
      </c>
      <c r="AH1027" s="16" t="str">
        <f t="shared" si="337"/>
        <v>-</v>
      </c>
      <c r="AI1027" s="8"/>
      <c r="AJ1027" s="27" t="b">
        <f>IF($G1027&lt;&gt;0,SUMIF(куб!$G:$G,$G1027,куб!T:T),IF($E1027&lt;&gt;0,SUMIF(куб!$E:$E,$E1027,куб!T:T),IF($D1027&lt;&gt;0,SUMIF(куб!$D:$D,$D1027,куб!T:T),IF($C1027&lt;&gt;0,SUMIF(куб!$C:$C,$C1027,куб!T:T),IF($B1027&lt;&gt;0,SUMIF(куб!$B:$B,$B1027,куб!T:T))))))</f>
        <v>0</v>
      </c>
      <c r="AK1027" s="27" t="b">
        <f>IF($G1027&lt;&gt;0,SUMIF(куб!$G:$G,$G1027,куб!U:U),IF($E1027&lt;&gt;0,SUMIF(куб!$E:$E,$E1027,куб!U:U),IF($D1027&lt;&gt;0,SUMIF(куб!$D:$D,$D1027,куб!U:U),IF($C1027&lt;&gt;0,SUMIF(куб!$C:$C,$C1027,куб!U:U),IF($B1027&lt;&gt;0,SUMIF(куб!$B:$B,$B1027,куб!U:U))))))</f>
        <v>0</v>
      </c>
      <c r="AL1027" s="16" t="str">
        <f t="shared" si="338"/>
        <v>-</v>
      </c>
      <c r="AM1027" s="8"/>
      <c r="AN1027" s="17" t="str">
        <f t="shared" si="339"/>
        <v xml:space="preserve"> </v>
      </c>
      <c r="AO1027" s="17" t="str">
        <f t="shared" si="340"/>
        <v xml:space="preserve"> </v>
      </c>
      <c r="AP1027" s="16" t="str">
        <f t="shared" si="341"/>
        <v>-</v>
      </c>
      <c r="AQ1027" s="8"/>
      <c r="AR1027" s="17" t="str">
        <f t="shared" si="342"/>
        <v>-</v>
      </c>
      <c r="AS1027" s="17" t="str">
        <f t="shared" si="343"/>
        <v>-</v>
      </c>
      <c r="AT1027" s="13" t="str">
        <f t="shared" si="344"/>
        <v>-</v>
      </c>
      <c r="AU1027" s="8"/>
    </row>
    <row r="1028" spans="1:47" x14ac:dyDescent="0.25">
      <c r="A1028" s="31"/>
      <c r="B1028" s="31"/>
      <c r="C1028"/>
      <c r="D1028" s="31"/>
      <c r="E1028"/>
      <c r="F1028" s="31"/>
      <c r="G1028"/>
      <c r="H1028" s="27">
        <f>IF($G1028&lt;&gt;0,SUMIF(куб!$G:$G,$G1028,куб!H:H),IF($E1028&lt;&gt;0,SUMIF(куб!$E:$E,$E1028,куб!H:H),IF($D1028&lt;&gt;0,SUMIF(куб!$D:$D,$D1028,куб!H:H),IF($C1028&lt;&gt;0,SUMIF(куб!$C:$C,$C1028,куб!H:H),IF($B1028&lt;&gt;0,SUMIF(куб!$B:$B,$B1028,куб!H:H),IF($G1028&lt;&gt;0,SUMIF(куб!$A:$A,$G1028,куб!H:H),SUMIF(куб!$A:$A,$G1028,куб!H:H)))))))</f>
        <v>0</v>
      </c>
      <c r="I1028" s="27">
        <f>IF($G1028&lt;&gt;0,SUMIF(куб!$G:$G,$G1028,куб!I:I),IF($E1028&lt;&gt;0,SUMIF(куб!$E:$E,$E1028,куб!I:I),IF($D1028&lt;&gt;0,SUMIF(куб!$D:$D,$D1028,куб!I:I),IF($C1028&lt;&gt;0,SUMIF(куб!$C:$C,$C1028,куб!I:I),IF($B1028&lt;&gt;0,SUMIF(куб!$B:$B,$B1028,куб!I:I),IF($G1028&lt;&gt;0,SUMIF(куб!$A:$A,$G1028,куб!I:I),SUMIF(куб!$A:$A,$G1028,куб!I:I)))))))</f>
        <v>0</v>
      </c>
      <c r="J1028" s="19" t="str">
        <f t="shared" si="327"/>
        <v>-</v>
      </c>
      <c r="K1028" s="8"/>
      <c r="L1028" s="17">
        <f t="shared" si="328"/>
        <v>0</v>
      </c>
      <c r="M1028" s="17">
        <f t="shared" si="329"/>
        <v>0</v>
      </c>
      <c r="N1028" s="12">
        <f t="shared" si="330"/>
        <v>0</v>
      </c>
      <c r="O1028" s="5"/>
      <c r="P1028" s="27" t="b">
        <f>IF($G1028&lt;&gt;0,SUMIF(куб!$G:$G,$G1028,куб!J:J),IF($E1028&lt;&gt;0,SUMIF(куб!$E:$E,$E1028,куб!J:J),IF($D1028&lt;&gt;0,SUMIF(куб!$D:$D,$D1028,куб!J:J),IF($C1028&lt;&gt;0,SUMIF(куб!$C:$C,$C1028,куб!J:J),IF($B1028&lt;&gt;0,SUMIF(куб!$B:$B,$B1028,куб!J:J))))))</f>
        <v>0</v>
      </c>
      <c r="Q1028" s="27" t="b">
        <f>IF($G1028&lt;&gt;0,SUMIF(куб!$G:$G,$G1028,куб!K:K),IF($E1028&lt;&gt;0,SUMIF(куб!$E:$E,$E1028,куб!K:K),IF($D1028&lt;&gt;0,SUMIF(куб!$D:$D,$D1028,куб!K:K),IF($C1028&lt;&gt;0,SUMIF(куб!$C:$C,$C1028,куб!K:K),IF($B1028&lt;&gt;0,SUMIF(куб!$B:$B,$B1028,куб!K:K))))))</f>
        <v>0</v>
      </c>
      <c r="R1028" s="13" t="str">
        <f t="shared" si="331"/>
        <v>-</v>
      </c>
      <c r="S1028" s="5"/>
      <c r="T1028" s="27" t="b">
        <f>IF($G1028&lt;&gt;0,SUMIF(куб!$G:$G,$G1028,куб!L:L),IF($E1028&lt;&gt;0,SUMIF(куб!$E:$E,$E1028,куб!L:L),IF($D1028&lt;&gt;0,SUMIF(куб!$D:$D,$D1028,куб!L:L),IF($C1028&lt;&gt;0,SUMIF(куб!$C:$C,$C1028,куб!L:L),IF($B1028&lt;&gt;0,SUMIF(куб!$B:$B,$B1028,куб!L:L))))))</f>
        <v>0</v>
      </c>
      <c r="U1028" s="27" t="b">
        <f>IF($G1028&lt;&gt;0,SUMIF(куб!$G:$G,$G1028,куб!M:M),IF($E1028&lt;&gt;0,SUMIF(куб!$E:$E,$E1028,куб!M:M),IF($D1028&lt;&gt;0,SUMIF(куб!$D:$D,$D1028,куб!M:M),IF($C1028&lt;&gt;0,SUMIF(куб!$C:$C,$C1028,куб!M:M),IF($B1028&lt;&gt;0,SUMIF(куб!$B:$B,$B1028,куб!M:M))))))</f>
        <v>0</v>
      </c>
      <c r="V1028" s="13" t="str">
        <f t="shared" si="332"/>
        <v>-</v>
      </c>
      <c r="W1028" s="5"/>
      <c r="X1028" s="27" t="b">
        <f>IF($G1028&lt;&gt;0,SUMIF(куб!$G:$G,$G1028,куб!N:N),IF($E1028&lt;&gt;0,SUMIF(куб!$E:$E,$E1028,куб!N:N),IF($D1028&lt;&gt;0,SUMIF(куб!$D:$D,$D1028,куб!N:N),IF($C1028&lt;&gt;0,SUMIF(куб!$C:$C,$C1028,куб!N:N),IF($B1028&lt;&gt;0,SUMIF(куб!$B:$B,$B1028,куб!N:N))))))</f>
        <v>0</v>
      </c>
      <c r="Y1028" s="27" t="b">
        <f>IF($G1028&lt;&gt;0,SUMIF(куб!$G:$G,$G1028,куб!O:O),IF($E1028&lt;&gt;0,SUMIF(куб!$E:$E,$E1028,куб!O:O),IF($D1028&lt;&gt;0,SUMIF(куб!$D:$D,$D1028,куб!O:O),IF($C1028&lt;&gt;0,SUMIF(куб!$C:$C,$C1028,куб!O:O),IF($B1028&lt;&gt;0,SUMIF(куб!$B:$B,$B1028,куб!O:O))))))</f>
        <v>0</v>
      </c>
      <c r="Z1028" s="13" t="str">
        <f t="shared" si="333"/>
        <v>-</v>
      </c>
      <c r="AA1028" s="5"/>
      <c r="AB1028" s="33" t="str">
        <f t="shared" si="334"/>
        <v/>
      </c>
      <c r="AC1028" s="33" t="str">
        <f t="shared" si="335"/>
        <v/>
      </c>
      <c r="AD1028" s="15" t="str">
        <f t="shared" si="336"/>
        <v xml:space="preserve"> </v>
      </c>
      <c r="AE1028" s="5"/>
      <c r="AF1028" s="27" t="b">
        <f>IF($G1028&lt;&gt;0,SUMIF(куб!$G:$G,$G1028,куб!R:R),IF($E1028&lt;&gt;0,SUMIF(куб!$E:$E,$E1028,куб!R:R),IF($D1028&lt;&gt;0,SUMIF(куб!$D:$D,$D1028,куб!R:R),IF($C1028&lt;&gt;0,SUMIF(куб!$C:$C,$C1028,куб!R:R),IF($B1028&lt;&gt;0,SUMIF(куб!$B:$B,$B1028,куб!R:R))))))</f>
        <v>0</v>
      </c>
      <c r="AG1028" s="27" t="b">
        <f>IF($G1028&lt;&gt;0,SUMIF(куб!$G:$G,$G1028,куб!S:S),IF($E1028&lt;&gt;0,SUMIF(куб!$E:$E,$E1028,куб!S:S),IF($D1028&lt;&gt;0,SUMIF(куб!$D:$D,$D1028,куб!S:S),IF($C1028&lt;&gt;0,SUMIF(куб!$C:$C,$C1028,куб!S:S),IF($B1028&lt;&gt;0,SUMIF(куб!$B:$B,$B1028,куб!S:S))))))</f>
        <v>0</v>
      </c>
      <c r="AH1028" s="16" t="str">
        <f t="shared" si="337"/>
        <v>-</v>
      </c>
      <c r="AI1028" s="8"/>
      <c r="AJ1028" s="27" t="b">
        <f>IF($G1028&lt;&gt;0,SUMIF(куб!$G:$G,$G1028,куб!T:T),IF($E1028&lt;&gt;0,SUMIF(куб!$E:$E,$E1028,куб!T:T),IF($D1028&lt;&gt;0,SUMIF(куб!$D:$D,$D1028,куб!T:T),IF($C1028&lt;&gt;0,SUMIF(куб!$C:$C,$C1028,куб!T:T),IF($B1028&lt;&gt;0,SUMIF(куб!$B:$B,$B1028,куб!T:T))))))</f>
        <v>0</v>
      </c>
      <c r="AK1028" s="27" t="b">
        <f>IF($G1028&lt;&gt;0,SUMIF(куб!$G:$G,$G1028,куб!U:U),IF($E1028&lt;&gt;0,SUMIF(куб!$E:$E,$E1028,куб!U:U),IF($D1028&lt;&gt;0,SUMIF(куб!$D:$D,$D1028,куб!U:U),IF($C1028&lt;&gt;0,SUMIF(куб!$C:$C,$C1028,куб!U:U),IF($B1028&lt;&gt;0,SUMIF(куб!$B:$B,$B1028,куб!U:U))))))</f>
        <v>0</v>
      </c>
      <c r="AL1028" s="16" t="str">
        <f t="shared" si="338"/>
        <v>-</v>
      </c>
      <c r="AM1028" s="8"/>
      <c r="AN1028" s="17" t="str">
        <f t="shared" si="339"/>
        <v xml:space="preserve"> </v>
      </c>
      <c r="AO1028" s="17" t="str">
        <f t="shared" si="340"/>
        <v xml:space="preserve"> </v>
      </c>
      <c r="AP1028" s="16" t="str">
        <f t="shared" si="341"/>
        <v>-</v>
      </c>
      <c r="AQ1028" s="8"/>
      <c r="AR1028" s="17" t="str">
        <f t="shared" si="342"/>
        <v>-</v>
      </c>
      <c r="AS1028" s="17" t="str">
        <f t="shared" si="343"/>
        <v>-</v>
      </c>
      <c r="AT1028" s="13" t="str">
        <f t="shared" si="344"/>
        <v>-</v>
      </c>
      <c r="AU1028" s="8"/>
    </row>
    <row r="1029" spans="1:47" x14ac:dyDescent="0.25">
      <c r="A1029" s="31"/>
      <c r="B1029" s="31"/>
      <c r="C1029"/>
      <c r="D1029" s="31"/>
      <c r="E1029"/>
      <c r="F1029" s="31"/>
      <c r="G1029"/>
      <c r="H1029" s="27">
        <f>IF($G1029&lt;&gt;0,SUMIF(куб!$G:$G,$G1029,куб!H:H),IF($E1029&lt;&gt;0,SUMIF(куб!$E:$E,$E1029,куб!H:H),IF($D1029&lt;&gt;0,SUMIF(куб!$D:$D,$D1029,куб!H:H),IF($C1029&lt;&gt;0,SUMIF(куб!$C:$C,$C1029,куб!H:H),IF($B1029&lt;&gt;0,SUMIF(куб!$B:$B,$B1029,куб!H:H),IF($G1029&lt;&gt;0,SUMIF(куб!$A:$A,$G1029,куб!H:H),SUMIF(куб!$A:$A,$G1029,куб!H:H)))))))</f>
        <v>0</v>
      </c>
      <c r="I1029" s="27">
        <f>IF($G1029&lt;&gt;0,SUMIF(куб!$G:$G,$G1029,куб!I:I),IF($E1029&lt;&gt;0,SUMIF(куб!$E:$E,$E1029,куб!I:I),IF($D1029&lt;&gt;0,SUMIF(куб!$D:$D,$D1029,куб!I:I),IF($C1029&lt;&gt;0,SUMIF(куб!$C:$C,$C1029,куб!I:I),IF($B1029&lt;&gt;0,SUMIF(куб!$B:$B,$B1029,куб!I:I),IF($G1029&lt;&gt;0,SUMIF(куб!$A:$A,$G1029,куб!I:I),SUMIF(куб!$A:$A,$G1029,куб!I:I)))))))</f>
        <v>0</v>
      </c>
      <c r="J1029" s="19" t="str">
        <f t="shared" si="327"/>
        <v>-</v>
      </c>
      <c r="K1029" s="8"/>
      <c r="L1029" s="17">
        <f t="shared" si="328"/>
        <v>0</v>
      </c>
      <c r="M1029" s="17">
        <f t="shared" si="329"/>
        <v>0</v>
      </c>
      <c r="N1029" s="12">
        <f t="shared" si="330"/>
        <v>0</v>
      </c>
      <c r="O1029" s="5"/>
      <c r="P1029" s="27" t="b">
        <f>IF($G1029&lt;&gt;0,SUMIF(куб!$G:$G,$G1029,куб!J:J),IF($E1029&lt;&gt;0,SUMIF(куб!$E:$E,$E1029,куб!J:J),IF($D1029&lt;&gt;0,SUMIF(куб!$D:$D,$D1029,куб!J:J),IF($C1029&lt;&gt;0,SUMIF(куб!$C:$C,$C1029,куб!J:J),IF($B1029&lt;&gt;0,SUMIF(куб!$B:$B,$B1029,куб!J:J))))))</f>
        <v>0</v>
      </c>
      <c r="Q1029" s="27" t="b">
        <f>IF($G1029&lt;&gt;0,SUMIF(куб!$G:$G,$G1029,куб!K:K),IF($E1029&lt;&gt;0,SUMIF(куб!$E:$E,$E1029,куб!K:K),IF($D1029&lt;&gt;0,SUMIF(куб!$D:$D,$D1029,куб!K:K),IF($C1029&lt;&gt;0,SUMIF(куб!$C:$C,$C1029,куб!K:K),IF($B1029&lt;&gt;0,SUMIF(куб!$B:$B,$B1029,куб!K:K))))))</f>
        <v>0</v>
      </c>
      <c r="R1029" s="13" t="str">
        <f t="shared" si="331"/>
        <v>-</v>
      </c>
      <c r="S1029" s="5"/>
      <c r="T1029" s="27" t="b">
        <f>IF($G1029&lt;&gt;0,SUMIF(куб!$G:$G,$G1029,куб!L:L),IF($E1029&lt;&gt;0,SUMIF(куб!$E:$E,$E1029,куб!L:L),IF($D1029&lt;&gt;0,SUMIF(куб!$D:$D,$D1029,куб!L:L),IF($C1029&lt;&gt;0,SUMIF(куб!$C:$C,$C1029,куб!L:L),IF($B1029&lt;&gt;0,SUMIF(куб!$B:$B,$B1029,куб!L:L))))))</f>
        <v>0</v>
      </c>
      <c r="U1029" s="27" t="b">
        <f>IF($G1029&lt;&gt;0,SUMIF(куб!$G:$G,$G1029,куб!M:M),IF($E1029&lt;&gt;0,SUMIF(куб!$E:$E,$E1029,куб!M:M),IF($D1029&lt;&gt;0,SUMIF(куб!$D:$D,$D1029,куб!M:M),IF($C1029&lt;&gt;0,SUMIF(куб!$C:$C,$C1029,куб!M:M),IF($B1029&lt;&gt;0,SUMIF(куб!$B:$B,$B1029,куб!M:M))))))</f>
        <v>0</v>
      </c>
      <c r="V1029" s="13" t="str">
        <f t="shared" si="332"/>
        <v>-</v>
      </c>
      <c r="W1029" s="5"/>
      <c r="X1029" s="27" t="b">
        <f>IF($G1029&lt;&gt;0,SUMIF(куб!$G:$G,$G1029,куб!N:N),IF($E1029&lt;&gt;0,SUMIF(куб!$E:$E,$E1029,куб!N:N),IF($D1029&lt;&gt;0,SUMIF(куб!$D:$D,$D1029,куб!N:N),IF($C1029&lt;&gt;0,SUMIF(куб!$C:$C,$C1029,куб!N:N),IF($B1029&lt;&gt;0,SUMIF(куб!$B:$B,$B1029,куб!N:N))))))</f>
        <v>0</v>
      </c>
      <c r="Y1029" s="27" t="b">
        <f>IF($G1029&lt;&gt;0,SUMIF(куб!$G:$G,$G1029,куб!O:O),IF($E1029&lt;&gt;0,SUMIF(куб!$E:$E,$E1029,куб!O:O),IF($D1029&lt;&gt;0,SUMIF(куб!$D:$D,$D1029,куб!O:O),IF($C1029&lt;&gt;0,SUMIF(куб!$C:$C,$C1029,куб!O:O),IF($B1029&lt;&gt;0,SUMIF(куб!$B:$B,$B1029,куб!O:O))))))</f>
        <v>0</v>
      </c>
      <c r="Z1029" s="13" t="str">
        <f t="shared" si="333"/>
        <v>-</v>
      </c>
      <c r="AA1029" s="5"/>
      <c r="AB1029" s="33" t="str">
        <f t="shared" si="334"/>
        <v/>
      </c>
      <c r="AC1029" s="33" t="str">
        <f t="shared" si="335"/>
        <v/>
      </c>
      <c r="AD1029" s="15" t="str">
        <f t="shared" si="336"/>
        <v xml:space="preserve"> </v>
      </c>
      <c r="AE1029" s="5"/>
      <c r="AF1029" s="27" t="b">
        <f>IF($G1029&lt;&gt;0,SUMIF(куб!$G:$G,$G1029,куб!R:R),IF($E1029&lt;&gt;0,SUMIF(куб!$E:$E,$E1029,куб!R:R),IF($D1029&lt;&gt;0,SUMIF(куб!$D:$D,$D1029,куб!R:R),IF($C1029&lt;&gt;0,SUMIF(куб!$C:$C,$C1029,куб!R:R),IF($B1029&lt;&gt;0,SUMIF(куб!$B:$B,$B1029,куб!R:R))))))</f>
        <v>0</v>
      </c>
      <c r="AG1029" s="27" t="b">
        <f>IF($G1029&lt;&gt;0,SUMIF(куб!$G:$G,$G1029,куб!S:S),IF($E1029&lt;&gt;0,SUMIF(куб!$E:$E,$E1029,куб!S:S),IF($D1029&lt;&gt;0,SUMIF(куб!$D:$D,$D1029,куб!S:S),IF($C1029&lt;&gt;0,SUMIF(куб!$C:$C,$C1029,куб!S:S),IF($B1029&lt;&gt;0,SUMIF(куб!$B:$B,$B1029,куб!S:S))))))</f>
        <v>0</v>
      </c>
      <c r="AH1029" s="16" t="str">
        <f t="shared" si="337"/>
        <v>-</v>
      </c>
      <c r="AI1029" s="8"/>
      <c r="AJ1029" s="27" t="b">
        <f>IF($G1029&lt;&gt;0,SUMIF(куб!$G:$G,$G1029,куб!T:T),IF($E1029&lt;&gt;0,SUMIF(куб!$E:$E,$E1029,куб!T:T),IF($D1029&lt;&gt;0,SUMIF(куб!$D:$D,$D1029,куб!T:T),IF($C1029&lt;&gt;0,SUMIF(куб!$C:$C,$C1029,куб!T:T),IF($B1029&lt;&gt;0,SUMIF(куб!$B:$B,$B1029,куб!T:T))))))</f>
        <v>0</v>
      </c>
      <c r="AK1029" s="27" t="b">
        <f>IF($G1029&lt;&gt;0,SUMIF(куб!$G:$G,$G1029,куб!U:U),IF($E1029&lt;&gt;0,SUMIF(куб!$E:$E,$E1029,куб!U:U),IF($D1029&lt;&gt;0,SUMIF(куб!$D:$D,$D1029,куб!U:U),IF($C1029&lt;&gt;0,SUMIF(куб!$C:$C,$C1029,куб!U:U),IF($B1029&lt;&gt;0,SUMIF(куб!$B:$B,$B1029,куб!U:U))))))</f>
        <v>0</v>
      </c>
      <c r="AL1029" s="16" t="str">
        <f t="shared" si="338"/>
        <v>-</v>
      </c>
      <c r="AM1029" s="8"/>
      <c r="AN1029" s="17" t="str">
        <f t="shared" si="339"/>
        <v xml:space="preserve"> </v>
      </c>
      <c r="AO1029" s="17" t="str">
        <f t="shared" si="340"/>
        <v xml:space="preserve"> </v>
      </c>
      <c r="AP1029" s="16" t="str">
        <f t="shared" si="341"/>
        <v>-</v>
      </c>
      <c r="AQ1029" s="8"/>
      <c r="AR1029" s="17" t="str">
        <f t="shared" si="342"/>
        <v>-</v>
      </c>
      <c r="AS1029" s="17" t="str">
        <f t="shared" si="343"/>
        <v>-</v>
      </c>
      <c r="AT1029" s="13" t="str">
        <f t="shared" si="344"/>
        <v>-</v>
      </c>
      <c r="AU1029" s="8"/>
    </row>
    <row r="1030" spans="1:47" x14ac:dyDescent="0.25">
      <c r="A1030" s="31"/>
      <c r="B1030" s="31"/>
      <c r="C1030"/>
      <c r="D1030" s="31"/>
      <c r="E1030"/>
      <c r="F1030" s="31"/>
      <c r="G1030"/>
      <c r="H1030" s="27">
        <f>IF($G1030&lt;&gt;0,SUMIF(куб!$G:$G,$G1030,куб!H:H),IF($E1030&lt;&gt;0,SUMIF(куб!$E:$E,$E1030,куб!H:H),IF($D1030&lt;&gt;0,SUMIF(куб!$D:$D,$D1030,куб!H:H),IF($C1030&lt;&gt;0,SUMIF(куб!$C:$C,$C1030,куб!H:H),IF($B1030&lt;&gt;0,SUMIF(куб!$B:$B,$B1030,куб!H:H),IF($G1030&lt;&gt;0,SUMIF(куб!$A:$A,$G1030,куб!H:H),SUMIF(куб!$A:$A,$G1030,куб!H:H)))))))</f>
        <v>0</v>
      </c>
      <c r="I1030" s="27">
        <f>IF($G1030&lt;&gt;0,SUMIF(куб!$G:$G,$G1030,куб!I:I),IF($E1030&lt;&gt;0,SUMIF(куб!$E:$E,$E1030,куб!I:I),IF($D1030&lt;&gt;0,SUMIF(куб!$D:$D,$D1030,куб!I:I),IF($C1030&lt;&gt;0,SUMIF(куб!$C:$C,$C1030,куб!I:I),IF($B1030&lt;&gt;0,SUMIF(куб!$B:$B,$B1030,куб!I:I),IF($G1030&lt;&gt;0,SUMIF(куб!$A:$A,$G1030,куб!I:I),SUMIF(куб!$A:$A,$G1030,куб!I:I)))))))</f>
        <v>0</v>
      </c>
      <c r="J1030" s="19" t="str">
        <f t="shared" si="327"/>
        <v>-</v>
      </c>
      <c r="K1030" s="8"/>
      <c r="L1030" s="17">
        <f t="shared" si="328"/>
        <v>0</v>
      </c>
      <c r="M1030" s="17">
        <f t="shared" si="329"/>
        <v>0</v>
      </c>
      <c r="N1030" s="12">
        <f t="shared" si="330"/>
        <v>0</v>
      </c>
      <c r="O1030" s="5"/>
      <c r="P1030" s="27" t="b">
        <f>IF($G1030&lt;&gt;0,SUMIF(куб!$G:$G,$G1030,куб!J:J),IF($E1030&lt;&gt;0,SUMIF(куб!$E:$E,$E1030,куб!J:J),IF($D1030&lt;&gt;0,SUMIF(куб!$D:$D,$D1030,куб!J:J),IF($C1030&lt;&gt;0,SUMIF(куб!$C:$C,$C1030,куб!J:J),IF($B1030&lt;&gt;0,SUMIF(куб!$B:$B,$B1030,куб!J:J))))))</f>
        <v>0</v>
      </c>
      <c r="Q1030" s="27" t="b">
        <f>IF($G1030&lt;&gt;0,SUMIF(куб!$G:$G,$G1030,куб!K:K),IF($E1030&lt;&gt;0,SUMIF(куб!$E:$E,$E1030,куб!K:K),IF($D1030&lt;&gt;0,SUMIF(куб!$D:$D,$D1030,куб!K:K),IF($C1030&lt;&gt;0,SUMIF(куб!$C:$C,$C1030,куб!K:K),IF($B1030&lt;&gt;0,SUMIF(куб!$B:$B,$B1030,куб!K:K))))))</f>
        <v>0</v>
      </c>
      <c r="R1030" s="13" t="str">
        <f t="shared" si="331"/>
        <v>-</v>
      </c>
      <c r="S1030" s="5"/>
      <c r="T1030" s="27" t="b">
        <f>IF($G1030&lt;&gt;0,SUMIF(куб!$G:$G,$G1030,куб!L:L),IF($E1030&lt;&gt;0,SUMIF(куб!$E:$E,$E1030,куб!L:L),IF($D1030&lt;&gt;0,SUMIF(куб!$D:$D,$D1030,куб!L:L),IF($C1030&lt;&gt;0,SUMIF(куб!$C:$C,$C1030,куб!L:L),IF($B1030&lt;&gt;0,SUMIF(куб!$B:$B,$B1030,куб!L:L))))))</f>
        <v>0</v>
      </c>
      <c r="U1030" s="27" t="b">
        <f>IF($G1030&lt;&gt;0,SUMIF(куб!$G:$G,$G1030,куб!M:M),IF($E1030&lt;&gt;0,SUMIF(куб!$E:$E,$E1030,куб!M:M),IF($D1030&lt;&gt;0,SUMIF(куб!$D:$D,$D1030,куб!M:M),IF($C1030&lt;&gt;0,SUMIF(куб!$C:$C,$C1030,куб!M:M),IF($B1030&lt;&gt;0,SUMIF(куб!$B:$B,$B1030,куб!M:M))))))</f>
        <v>0</v>
      </c>
      <c r="V1030" s="13" t="str">
        <f t="shared" si="332"/>
        <v>-</v>
      </c>
      <c r="W1030" s="5"/>
      <c r="X1030" s="27" t="b">
        <f>IF($G1030&lt;&gt;0,SUMIF(куб!$G:$G,$G1030,куб!N:N),IF($E1030&lt;&gt;0,SUMIF(куб!$E:$E,$E1030,куб!N:N),IF($D1030&lt;&gt;0,SUMIF(куб!$D:$D,$D1030,куб!N:N),IF($C1030&lt;&gt;0,SUMIF(куб!$C:$C,$C1030,куб!N:N),IF($B1030&lt;&gt;0,SUMIF(куб!$B:$B,$B1030,куб!N:N))))))</f>
        <v>0</v>
      </c>
      <c r="Y1030" s="27" t="b">
        <f>IF($G1030&lt;&gt;0,SUMIF(куб!$G:$G,$G1030,куб!O:O),IF($E1030&lt;&gt;0,SUMIF(куб!$E:$E,$E1030,куб!O:O),IF($D1030&lt;&gt;0,SUMIF(куб!$D:$D,$D1030,куб!O:O),IF($C1030&lt;&gt;0,SUMIF(куб!$C:$C,$C1030,куб!O:O),IF($B1030&lt;&gt;0,SUMIF(куб!$B:$B,$B1030,куб!O:O))))))</f>
        <v>0</v>
      </c>
      <c r="Z1030" s="13" t="str">
        <f t="shared" si="333"/>
        <v>-</v>
      </c>
      <c r="AA1030" s="5"/>
      <c r="AB1030" s="33" t="str">
        <f t="shared" si="334"/>
        <v/>
      </c>
      <c r="AC1030" s="33" t="str">
        <f t="shared" si="335"/>
        <v/>
      </c>
      <c r="AD1030" s="15" t="str">
        <f t="shared" si="336"/>
        <v xml:space="preserve"> </v>
      </c>
      <c r="AE1030" s="5"/>
      <c r="AF1030" s="27" t="b">
        <f>IF($G1030&lt;&gt;0,SUMIF(куб!$G:$G,$G1030,куб!R:R),IF($E1030&lt;&gt;0,SUMIF(куб!$E:$E,$E1030,куб!R:R),IF($D1030&lt;&gt;0,SUMIF(куб!$D:$D,$D1030,куб!R:R),IF($C1030&lt;&gt;0,SUMIF(куб!$C:$C,$C1030,куб!R:R),IF($B1030&lt;&gt;0,SUMIF(куб!$B:$B,$B1030,куб!R:R))))))</f>
        <v>0</v>
      </c>
      <c r="AG1030" s="27" t="b">
        <f>IF($G1030&lt;&gt;0,SUMIF(куб!$G:$G,$G1030,куб!S:S),IF($E1030&lt;&gt;0,SUMIF(куб!$E:$E,$E1030,куб!S:S),IF($D1030&lt;&gt;0,SUMIF(куб!$D:$D,$D1030,куб!S:S),IF($C1030&lt;&gt;0,SUMIF(куб!$C:$C,$C1030,куб!S:S),IF($B1030&lt;&gt;0,SUMIF(куб!$B:$B,$B1030,куб!S:S))))))</f>
        <v>0</v>
      </c>
      <c r="AH1030" s="16" t="str">
        <f t="shared" si="337"/>
        <v>-</v>
      </c>
      <c r="AI1030" s="8"/>
      <c r="AJ1030" s="27" t="b">
        <f>IF($G1030&lt;&gt;0,SUMIF(куб!$G:$G,$G1030,куб!T:T),IF($E1030&lt;&gt;0,SUMIF(куб!$E:$E,$E1030,куб!T:T),IF($D1030&lt;&gt;0,SUMIF(куб!$D:$D,$D1030,куб!T:T),IF($C1030&lt;&gt;0,SUMIF(куб!$C:$C,$C1030,куб!T:T),IF($B1030&lt;&gt;0,SUMIF(куб!$B:$B,$B1030,куб!T:T))))))</f>
        <v>0</v>
      </c>
      <c r="AK1030" s="27" t="b">
        <f>IF($G1030&lt;&gt;0,SUMIF(куб!$G:$G,$G1030,куб!U:U),IF($E1030&lt;&gt;0,SUMIF(куб!$E:$E,$E1030,куб!U:U),IF($D1030&lt;&gt;0,SUMIF(куб!$D:$D,$D1030,куб!U:U),IF($C1030&lt;&gt;0,SUMIF(куб!$C:$C,$C1030,куб!U:U),IF($B1030&lt;&gt;0,SUMIF(куб!$B:$B,$B1030,куб!U:U))))))</f>
        <v>0</v>
      </c>
      <c r="AL1030" s="16" t="str">
        <f t="shared" si="338"/>
        <v>-</v>
      </c>
      <c r="AM1030" s="8"/>
      <c r="AN1030" s="17" t="str">
        <f t="shared" si="339"/>
        <v xml:space="preserve"> </v>
      </c>
      <c r="AO1030" s="17" t="str">
        <f t="shared" si="340"/>
        <v xml:space="preserve"> </v>
      </c>
      <c r="AP1030" s="16" t="str">
        <f t="shared" si="341"/>
        <v>-</v>
      </c>
      <c r="AQ1030" s="8"/>
      <c r="AR1030" s="17" t="str">
        <f t="shared" si="342"/>
        <v>-</v>
      </c>
      <c r="AS1030" s="17" t="str">
        <f t="shared" si="343"/>
        <v>-</v>
      </c>
      <c r="AT1030" s="13" t="str">
        <f t="shared" si="344"/>
        <v>-</v>
      </c>
      <c r="AU1030" s="8"/>
    </row>
    <row r="1031" spans="1:47" x14ac:dyDescent="0.25">
      <c r="A1031" s="31"/>
      <c r="B1031" s="31"/>
      <c r="C1031"/>
      <c r="D1031" s="31"/>
      <c r="E1031"/>
      <c r="F1031" s="31"/>
      <c r="G1031"/>
      <c r="H1031" s="27">
        <f>IF($G1031&lt;&gt;0,SUMIF(куб!$G:$G,$G1031,куб!H:H),IF($E1031&lt;&gt;0,SUMIF(куб!$E:$E,$E1031,куб!H:H),IF($D1031&lt;&gt;0,SUMIF(куб!$D:$D,$D1031,куб!H:H),IF($C1031&lt;&gt;0,SUMIF(куб!$C:$C,$C1031,куб!H:H),IF($B1031&lt;&gt;0,SUMIF(куб!$B:$B,$B1031,куб!H:H),IF($G1031&lt;&gt;0,SUMIF(куб!$A:$A,$G1031,куб!H:H),SUMIF(куб!$A:$A,$G1031,куб!H:H)))))))</f>
        <v>0</v>
      </c>
      <c r="I1031" s="27">
        <f>IF($G1031&lt;&gt;0,SUMIF(куб!$G:$G,$G1031,куб!I:I),IF($E1031&lt;&gt;0,SUMIF(куб!$E:$E,$E1031,куб!I:I),IF($D1031&lt;&gt;0,SUMIF(куб!$D:$D,$D1031,куб!I:I),IF($C1031&lt;&gt;0,SUMIF(куб!$C:$C,$C1031,куб!I:I),IF($B1031&lt;&gt;0,SUMIF(куб!$B:$B,$B1031,куб!I:I),IF($G1031&lt;&gt;0,SUMIF(куб!$A:$A,$G1031,куб!I:I),SUMIF(куб!$A:$A,$G1031,куб!I:I)))))))</f>
        <v>0</v>
      </c>
      <c r="J1031" s="19" t="str">
        <f t="shared" si="327"/>
        <v>-</v>
      </c>
      <c r="K1031" s="8"/>
      <c r="L1031" s="17">
        <f t="shared" si="328"/>
        <v>0</v>
      </c>
      <c r="M1031" s="17">
        <f t="shared" si="329"/>
        <v>0</v>
      </c>
      <c r="N1031" s="12">
        <f t="shared" si="330"/>
        <v>0</v>
      </c>
      <c r="O1031" s="5"/>
      <c r="P1031" s="27" t="b">
        <f>IF($G1031&lt;&gt;0,SUMIF(куб!$G:$G,$G1031,куб!J:J),IF($E1031&lt;&gt;0,SUMIF(куб!$E:$E,$E1031,куб!J:J),IF($D1031&lt;&gt;0,SUMIF(куб!$D:$D,$D1031,куб!J:J),IF($C1031&lt;&gt;0,SUMIF(куб!$C:$C,$C1031,куб!J:J),IF($B1031&lt;&gt;0,SUMIF(куб!$B:$B,$B1031,куб!J:J))))))</f>
        <v>0</v>
      </c>
      <c r="Q1031" s="27" t="b">
        <f>IF($G1031&lt;&gt;0,SUMIF(куб!$G:$G,$G1031,куб!K:K),IF($E1031&lt;&gt;0,SUMIF(куб!$E:$E,$E1031,куб!K:K),IF($D1031&lt;&gt;0,SUMIF(куб!$D:$D,$D1031,куб!K:K),IF($C1031&lt;&gt;0,SUMIF(куб!$C:$C,$C1031,куб!K:K),IF($B1031&lt;&gt;0,SUMIF(куб!$B:$B,$B1031,куб!K:K))))))</f>
        <v>0</v>
      </c>
      <c r="R1031" s="13" t="str">
        <f t="shared" si="331"/>
        <v>-</v>
      </c>
      <c r="S1031" s="5"/>
      <c r="T1031" s="27" t="b">
        <f>IF($G1031&lt;&gt;0,SUMIF(куб!$G:$G,$G1031,куб!L:L),IF($E1031&lt;&gt;0,SUMIF(куб!$E:$E,$E1031,куб!L:L),IF($D1031&lt;&gt;0,SUMIF(куб!$D:$D,$D1031,куб!L:L),IF($C1031&lt;&gt;0,SUMIF(куб!$C:$C,$C1031,куб!L:L),IF($B1031&lt;&gt;0,SUMIF(куб!$B:$B,$B1031,куб!L:L))))))</f>
        <v>0</v>
      </c>
      <c r="U1031" s="27" t="b">
        <f>IF($G1031&lt;&gt;0,SUMIF(куб!$G:$G,$G1031,куб!M:M),IF($E1031&lt;&gt;0,SUMIF(куб!$E:$E,$E1031,куб!M:M),IF($D1031&lt;&gt;0,SUMIF(куб!$D:$D,$D1031,куб!M:M),IF($C1031&lt;&gt;0,SUMIF(куб!$C:$C,$C1031,куб!M:M),IF($B1031&lt;&gt;0,SUMIF(куб!$B:$B,$B1031,куб!M:M))))))</f>
        <v>0</v>
      </c>
      <c r="V1031" s="13" t="str">
        <f t="shared" si="332"/>
        <v>-</v>
      </c>
      <c r="W1031" s="5"/>
      <c r="X1031" s="27" t="b">
        <f>IF($G1031&lt;&gt;0,SUMIF(куб!$G:$G,$G1031,куб!N:N),IF($E1031&lt;&gt;0,SUMIF(куб!$E:$E,$E1031,куб!N:N),IF($D1031&lt;&gt;0,SUMIF(куб!$D:$D,$D1031,куб!N:N),IF($C1031&lt;&gt;0,SUMIF(куб!$C:$C,$C1031,куб!N:N),IF($B1031&lt;&gt;0,SUMIF(куб!$B:$B,$B1031,куб!N:N))))))</f>
        <v>0</v>
      </c>
      <c r="Y1031" s="27" t="b">
        <f>IF($G1031&lt;&gt;0,SUMIF(куб!$G:$G,$G1031,куб!O:O),IF($E1031&lt;&gt;0,SUMIF(куб!$E:$E,$E1031,куб!O:O),IF($D1031&lt;&gt;0,SUMIF(куб!$D:$D,$D1031,куб!O:O),IF($C1031&lt;&gt;0,SUMIF(куб!$C:$C,$C1031,куб!O:O),IF($B1031&lt;&gt;0,SUMIF(куб!$B:$B,$B1031,куб!O:O))))))</f>
        <v>0</v>
      </c>
      <c r="Z1031" s="13" t="str">
        <f t="shared" si="333"/>
        <v>-</v>
      </c>
      <c r="AA1031" s="5"/>
      <c r="AB1031" s="33" t="str">
        <f t="shared" si="334"/>
        <v/>
      </c>
      <c r="AC1031" s="33" t="str">
        <f t="shared" si="335"/>
        <v/>
      </c>
      <c r="AD1031" s="15" t="str">
        <f t="shared" si="336"/>
        <v xml:space="preserve"> </v>
      </c>
      <c r="AE1031" s="5"/>
      <c r="AF1031" s="27" t="b">
        <f>IF($G1031&lt;&gt;0,SUMIF(куб!$G:$G,$G1031,куб!R:R),IF($E1031&lt;&gt;0,SUMIF(куб!$E:$E,$E1031,куб!R:R),IF($D1031&lt;&gt;0,SUMIF(куб!$D:$D,$D1031,куб!R:R),IF($C1031&lt;&gt;0,SUMIF(куб!$C:$C,$C1031,куб!R:R),IF($B1031&lt;&gt;0,SUMIF(куб!$B:$B,$B1031,куб!R:R))))))</f>
        <v>0</v>
      </c>
      <c r="AG1031" s="27" t="b">
        <f>IF($G1031&lt;&gt;0,SUMIF(куб!$G:$G,$G1031,куб!S:S),IF($E1031&lt;&gt;0,SUMIF(куб!$E:$E,$E1031,куб!S:S),IF($D1031&lt;&gt;0,SUMIF(куб!$D:$D,$D1031,куб!S:S),IF($C1031&lt;&gt;0,SUMIF(куб!$C:$C,$C1031,куб!S:S),IF($B1031&lt;&gt;0,SUMIF(куб!$B:$B,$B1031,куб!S:S))))))</f>
        <v>0</v>
      </c>
      <c r="AH1031" s="16" t="str">
        <f t="shared" si="337"/>
        <v>-</v>
      </c>
      <c r="AI1031" s="8"/>
      <c r="AJ1031" s="27" t="b">
        <f>IF($G1031&lt;&gt;0,SUMIF(куб!$G:$G,$G1031,куб!T:T),IF($E1031&lt;&gt;0,SUMIF(куб!$E:$E,$E1031,куб!T:T),IF($D1031&lt;&gt;0,SUMIF(куб!$D:$D,$D1031,куб!T:T),IF($C1031&lt;&gt;0,SUMIF(куб!$C:$C,$C1031,куб!T:T),IF($B1031&lt;&gt;0,SUMIF(куб!$B:$B,$B1031,куб!T:T))))))</f>
        <v>0</v>
      </c>
      <c r="AK1031" s="27" t="b">
        <f>IF($G1031&lt;&gt;0,SUMIF(куб!$G:$G,$G1031,куб!U:U),IF($E1031&lt;&gt;0,SUMIF(куб!$E:$E,$E1031,куб!U:U),IF($D1031&lt;&gt;0,SUMIF(куб!$D:$D,$D1031,куб!U:U),IF($C1031&lt;&gt;0,SUMIF(куб!$C:$C,$C1031,куб!U:U),IF($B1031&lt;&gt;0,SUMIF(куб!$B:$B,$B1031,куб!U:U))))))</f>
        <v>0</v>
      </c>
      <c r="AL1031" s="16" t="str">
        <f t="shared" si="338"/>
        <v>-</v>
      </c>
      <c r="AM1031" s="8"/>
      <c r="AN1031" s="17" t="str">
        <f t="shared" si="339"/>
        <v xml:space="preserve"> </v>
      </c>
      <c r="AO1031" s="17" t="str">
        <f t="shared" si="340"/>
        <v xml:space="preserve"> </v>
      </c>
      <c r="AP1031" s="16" t="str">
        <f t="shared" si="341"/>
        <v>-</v>
      </c>
      <c r="AQ1031" s="8"/>
      <c r="AR1031" s="17" t="str">
        <f t="shared" si="342"/>
        <v>-</v>
      </c>
      <c r="AS1031" s="17" t="str">
        <f t="shared" si="343"/>
        <v>-</v>
      </c>
      <c r="AT1031" s="13" t="str">
        <f t="shared" si="344"/>
        <v>-</v>
      </c>
      <c r="AU1031" s="8"/>
    </row>
    <row r="1032" spans="1:47" x14ac:dyDescent="0.25">
      <c r="A1032" s="31"/>
      <c r="B1032" s="31"/>
      <c r="C1032"/>
      <c r="D1032" s="31"/>
      <c r="E1032"/>
      <c r="F1032" s="31"/>
      <c r="G1032"/>
      <c r="H1032" s="27">
        <f>IF($G1032&lt;&gt;0,SUMIF(куб!$G:$G,$G1032,куб!H:H),IF($E1032&lt;&gt;0,SUMIF(куб!$E:$E,$E1032,куб!H:H),IF($D1032&lt;&gt;0,SUMIF(куб!$D:$D,$D1032,куб!H:H),IF($C1032&lt;&gt;0,SUMIF(куб!$C:$C,$C1032,куб!H:H),IF($B1032&lt;&gt;0,SUMIF(куб!$B:$B,$B1032,куб!H:H),IF($G1032&lt;&gt;0,SUMIF(куб!$A:$A,$G1032,куб!H:H),SUMIF(куб!$A:$A,$G1032,куб!H:H)))))))</f>
        <v>0</v>
      </c>
      <c r="I1032" s="27">
        <f>IF($G1032&lt;&gt;0,SUMIF(куб!$G:$G,$G1032,куб!I:I),IF($E1032&lt;&gt;0,SUMIF(куб!$E:$E,$E1032,куб!I:I),IF($D1032&lt;&gt;0,SUMIF(куб!$D:$D,$D1032,куб!I:I),IF($C1032&lt;&gt;0,SUMIF(куб!$C:$C,$C1032,куб!I:I),IF($B1032&lt;&gt;0,SUMIF(куб!$B:$B,$B1032,куб!I:I),IF($G1032&lt;&gt;0,SUMIF(куб!$A:$A,$G1032,куб!I:I),SUMIF(куб!$A:$A,$G1032,куб!I:I)))))))</f>
        <v>0</v>
      </c>
      <c r="J1032" s="19" t="str">
        <f t="shared" si="327"/>
        <v>-</v>
      </c>
      <c r="K1032" s="8"/>
      <c r="L1032" s="17">
        <f t="shared" si="328"/>
        <v>0</v>
      </c>
      <c r="M1032" s="17">
        <f t="shared" si="329"/>
        <v>0</v>
      </c>
      <c r="N1032" s="12">
        <f t="shared" si="330"/>
        <v>0</v>
      </c>
      <c r="O1032" s="5"/>
      <c r="P1032" s="27" t="b">
        <f>IF($G1032&lt;&gt;0,SUMIF(куб!$G:$G,$G1032,куб!J:J),IF($E1032&lt;&gt;0,SUMIF(куб!$E:$E,$E1032,куб!J:J),IF($D1032&lt;&gt;0,SUMIF(куб!$D:$D,$D1032,куб!J:J),IF($C1032&lt;&gt;0,SUMIF(куб!$C:$C,$C1032,куб!J:J),IF($B1032&lt;&gt;0,SUMIF(куб!$B:$B,$B1032,куб!J:J))))))</f>
        <v>0</v>
      </c>
      <c r="Q1032" s="27" t="b">
        <f>IF($G1032&lt;&gt;0,SUMIF(куб!$G:$G,$G1032,куб!K:K),IF($E1032&lt;&gt;0,SUMIF(куб!$E:$E,$E1032,куб!K:K),IF($D1032&lt;&gt;0,SUMIF(куб!$D:$D,$D1032,куб!K:K),IF($C1032&lt;&gt;0,SUMIF(куб!$C:$C,$C1032,куб!K:K),IF($B1032&lt;&gt;0,SUMIF(куб!$B:$B,$B1032,куб!K:K))))))</f>
        <v>0</v>
      </c>
      <c r="R1032" s="13" t="str">
        <f t="shared" si="331"/>
        <v>-</v>
      </c>
      <c r="S1032" s="5"/>
      <c r="T1032" s="27" t="b">
        <f>IF($G1032&lt;&gt;0,SUMIF(куб!$G:$G,$G1032,куб!L:L),IF($E1032&lt;&gt;0,SUMIF(куб!$E:$E,$E1032,куб!L:L),IF($D1032&lt;&gt;0,SUMIF(куб!$D:$D,$D1032,куб!L:L),IF($C1032&lt;&gt;0,SUMIF(куб!$C:$C,$C1032,куб!L:L),IF($B1032&lt;&gt;0,SUMIF(куб!$B:$B,$B1032,куб!L:L))))))</f>
        <v>0</v>
      </c>
      <c r="U1032" s="27" t="b">
        <f>IF($G1032&lt;&gt;0,SUMIF(куб!$G:$G,$G1032,куб!M:M),IF($E1032&lt;&gt;0,SUMIF(куб!$E:$E,$E1032,куб!M:M),IF($D1032&lt;&gt;0,SUMIF(куб!$D:$D,$D1032,куб!M:M),IF($C1032&lt;&gt;0,SUMIF(куб!$C:$C,$C1032,куб!M:M),IF($B1032&lt;&gt;0,SUMIF(куб!$B:$B,$B1032,куб!M:M))))))</f>
        <v>0</v>
      </c>
      <c r="V1032" s="13" t="str">
        <f t="shared" si="332"/>
        <v>-</v>
      </c>
      <c r="W1032" s="5"/>
      <c r="X1032" s="27" t="b">
        <f>IF($G1032&lt;&gt;0,SUMIF(куб!$G:$G,$G1032,куб!N:N),IF($E1032&lt;&gt;0,SUMIF(куб!$E:$E,$E1032,куб!N:N),IF($D1032&lt;&gt;0,SUMIF(куб!$D:$D,$D1032,куб!N:N),IF($C1032&lt;&gt;0,SUMIF(куб!$C:$C,$C1032,куб!N:N),IF($B1032&lt;&gt;0,SUMIF(куб!$B:$B,$B1032,куб!N:N))))))</f>
        <v>0</v>
      </c>
      <c r="Y1032" s="27" t="b">
        <f>IF($G1032&lt;&gt;0,SUMIF(куб!$G:$G,$G1032,куб!O:O),IF($E1032&lt;&gt;0,SUMIF(куб!$E:$E,$E1032,куб!O:O),IF($D1032&lt;&gt;0,SUMIF(куб!$D:$D,$D1032,куб!O:O),IF($C1032&lt;&gt;0,SUMIF(куб!$C:$C,$C1032,куб!O:O),IF($B1032&lt;&gt;0,SUMIF(куб!$B:$B,$B1032,куб!O:O))))))</f>
        <v>0</v>
      </c>
      <c r="Z1032" s="13" t="str">
        <f t="shared" si="333"/>
        <v>-</v>
      </c>
      <c r="AA1032" s="5"/>
      <c r="AB1032" s="33" t="str">
        <f t="shared" si="334"/>
        <v/>
      </c>
      <c r="AC1032" s="33" t="str">
        <f t="shared" si="335"/>
        <v/>
      </c>
      <c r="AD1032" s="15" t="str">
        <f t="shared" si="336"/>
        <v xml:space="preserve"> </v>
      </c>
      <c r="AE1032" s="5"/>
      <c r="AF1032" s="27" t="b">
        <f>IF($G1032&lt;&gt;0,SUMIF(куб!$G:$G,$G1032,куб!R:R),IF($E1032&lt;&gt;0,SUMIF(куб!$E:$E,$E1032,куб!R:R),IF($D1032&lt;&gt;0,SUMIF(куб!$D:$D,$D1032,куб!R:R),IF($C1032&lt;&gt;0,SUMIF(куб!$C:$C,$C1032,куб!R:R),IF($B1032&lt;&gt;0,SUMIF(куб!$B:$B,$B1032,куб!R:R))))))</f>
        <v>0</v>
      </c>
      <c r="AG1032" s="27" t="b">
        <f>IF($G1032&lt;&gt;0,SUMIF(куб!$G:$G,$G1032,куб!S:S),IF($E1032&lt;&gt;0,SUMIF(куб!$E:$E,$E1032,куб!S:S),IF($D1032&lt;&gt;0,SUMIF(куб!$D:$D,$D1032,куб!S:S),IF($C1032&lt;&gt;0,SUMIF(куб!$C:$C,$C1032,куб!S:S),IF($B1032&lt;&gt;0,SUMIF(куб!$B:$B,$B1032,куб!S:S))))))</f>
        <v>0</v>
      </c>
      <c r="AH1032" s="16" t="str">
        <f t="shared" si="337"/>
        <v>-</v>
      </c>
      <c r="AI1032" s="8"/>
      <c r="AJ1032" s="27" t="b">
        <f>IF($G1032&lt;&gt;0,SUMIF(куб!$G:$G,$G1032,куб!T:T),IF($E1032&lt;&gt;0,SUMIF(куб!$E:$E,$E1032,куб!T:T),IF($D1032&lt;&gt;0,SUMIF(куб!$D:$D,$D1032,куб!T:T),IF($C1032&lt;&gt;0,SUMIF(куб!$C:$C,$C1032,куб!T:T),IF($B1032&lt;&gt;0,SUMIF(куб!$B:$B,$B1032,куб!T:T))))))</f>
        <v>0</v>
      </c>
      <c r="AK1032" s="27" t="b">
        <f>IF($G1032&lt;&gt;0,SUMIF(куб!$G:$G,$G1032,куб!U:U),IF($E1032&lt;&gt;0,SUMIF(куб!$E:$E,$E1032,куб!U:U),IF($D1032&lt;&gt;0,SUMIF(куб!$D:$D,$D1032,куб!U:U),IF($C1032&lt;&gt;0,SUMIF(куб!$C:$C,$C1032,куб!U:U),IF($B1032&lt;&gt;0,SUMIF(куб!$B:$B,$B1032,куб!U:U))))))</f>
        <v>0</v>
      </c>
      <c r="AL1032" s="16" t="str">
        <f t="shared" si="338"/>
        <v>-</v>
      </c>
      <c r="AM1032" s="8"/>
      <c r="AN1032" s="17" t="str">
        <f t="shared" si="339"/>
        <v xml:space="preserve"> </v>
      </c>
      <c r="AO1032" s="17" t="str">
        <f t="shared" si="340"/>
        <v xml:space="preserve"> </v>
      </c>
      <c r="AP1032" s="16" t="str">
        <f t="shared" si="341"/>
        <v>-</v>
      </c>
      <c r="AQ1032" s="8"/>
      <c r="AR1032" s="17" t="str">
        <f t="shared" si="342"/>
        <v>-</v>
      </c>
      <c r="AS1032" s="17" t="str">
        <f t="shared" si="343"/>
        <v>-</v>
      </c>
      <c r="AT1032" s="13" t="str">
        <f t="shared" si="344"/>
        <v>-</v>
      </c>
      <c r="AU1032" s="8"/>
    </row>
    <row r="1033" spans="1:47" x14ac:dyDescent="0.25">
      <c r="A1033" s="31"/>
      <c r="B1033" s="31"/>
      <c r="C1033"/>
      <c r="D1033" s="31"/>
      <c r="E1033"/>
      <c r="F1033"/>
      <c r="G1033"/>
      <c r="H1033" s="27">
        <f>IF($G1033&lt;&gt;0,SUMIF(куб!$G:$G,$G1033,куб!H:H),IF($E1033&lt;&gt;0,SUMIF(куб!$E:$E,$E1033,куб!H:H),IF($D1033&lt;&gt;0,SUMIF(куб!$D:$D,$D1033,куб!H:H),IF($C1033&lt;&gt;0,SUMIF(куб!$C:$C,$C1033,куб!H:H),IF($B1033&lt;&gt;0,SUMIF(куб!$B:$B,$B1033,куб!H:H),IF($G1033&lt;&gt;0,SUMIF(куб!$A:$A,$G1033,куб!H:H),SUMIF(куб!$A:$A,$G1033,куб!H:H)))))))</f>
        <v>0</v>
      </c>
      <c r="I1033" s="27">
        <f>IF($G1033&lt;&gt;0,SUMIF(куб!$G:$G,$G1033,куб!I:I),IF($E1033&lt;&gt;0,SUMIF(куб!$E:$E,$E1033,куб!I:I),IF($D1033&lt;&gt;0,SUMIF(куб!$D:$D,$D1033,куб!I:I),IF($C1033&lt;&gt;0,SUMIF(куб!$C:$C,$C1033,куб!I:I),IF($B1033&lt;&gt;0,SUMIF(куб!$B:$B,$B1033,куб!I:I),IF($G1033&lt;&gt;0,SUMIF(куб!$A:$A,$G1033,куб!I:I),SUMIF(куб!$A:$A,$G1033,куб!I:I)))))))</f>
        <v>0</v>
      </c>
      <c r="J1033" s="19" t="str">
        <f t="shared" si="327"/>
        <v>-</v>
      </c>
      <c r="K1033" s="8"/>
      <c r="L1033" s="17">
        <f t="shared" si="328"/>
        <v>0</v>
      </c>
      <c r="M1033" s="17">
        <f t="shared" si="329"/>
        <v>0</v>
      </c>
      <c r="N1033" s="12">
        <f t="shared" si="330"/>
        <v>0</v>
      </c>
      <c r="O1033" s="5"/>
      <c r="P1033" s="27" t="b">
        <f>IF($G1033&lt;&gt;0,SUMIF(куб!$G:$G,$G1033,куб!J:J),IF($E1033&lt;&gt;0,SUMIF(куб!$E:$E,$E1033,куб!J:J),IF($D1033&lt;&gt;0,SUMIF(куб!$D:$D,$D1033,куб!J:J),IF($C1033&lt;&gt;0,SUMIF(куб!$C:$C,$C1033,куб!J:J),IF($B1033&lt;&gt;0,SUMIF(куб!$B:$B,$B1033,куб!J:J))))))</f>
        <v>0</v>
      </c>
      <c r="Q1033" s="27" t="b">
        <f>IF($G1033&lt;&gt;0,SUMIF(куб!$G:$G,$G1033,куб!K:K),IF($E1033&lt;&gt;0,SUMIF(куб!$E:$E,$E1033,куб!K:K),IF($D1033&lt;&gt;0,SUMIF(куб!$D:$D,$D1033,куб!K:K),IF($C1033&lt;&gt;0,SUMIF(куб!$C:$C,$C1033,куб!K:K),IF($B1033&lt;&gt;0,SUMIF(куб!$B:$B,$B1033,куб!K:K))))))</f>
        <v>0</v>
      </c>
      <c r="R1033" s="13" t="str">
        <f t="shared" si="331"/>
        <v>-</v>
      </c>
      <c r="S1033" s="5"/>
      <c r="T1033" s="27" t="b">
        <f>IF($G1033&lt;&gt;0,SUMIF(куб!$G:$G,$G1033,куб!L:L),IF($E1033&lt;&gt;0,SUMIF(куб!$E:$E,$E1033,куб!L:L),IF($D1033&lt;&gt;0,SUMIF(куб!$D:$D,$D1033,куб!L:L),IF($C1033&lt;&gt;0,SUMIF(куб!$C:$C,$C1033,куб!L:L),IF($B1033&lt;&gt;0,SUMIF(куб!$B:$B,$B1033,куб!L:L))))))</f>
        <v>0</v>
      </c>
      <c r="U1033" s="27" t="b">
        <f>IF($G1033&lt;&gt;0,SUMIF(куб!$G:$G,$G1033,куб!M:M),IF($E1033&lt;&gt;0,SUMIF(куб!$E:$E,$E1033,куб!M:M),IF($D1033&lt;&gt;0,SUMIF(куб!$D:$D,$D1033,куб!M:M),IF($C1033&lt;&gt;0,SUMIF(куб!$C:$C,$C1033,куб!M:M),IF($B1033&lt;&gt;0,SUMIF(куб!$B:$B,$B1033,куб!M:M))))))</f>
        <v>0</v>
      </c>
      <c r="V1033" s="13" t="str">
        <f t="shared" si="332"/>
        <v>-</v>
      </c>
      <c r="W1033" s="5"/>
      <c r="X1033" s="27" t="b">
        <f>IF($G1033&lt;&gt;0,SUMIF(куб!$G:$G,$G1033,куб!N:N),IF($E1033&lt;&gt;0,SUMIF(куб!$E:$E,$E1033,куб!N:N),IF($D1033&lt;&gt;0,SUMIF(куб!$D:$D,$D1033,куб!N:N),IF($C1033&lt;&gt;0,SUMIF(куб!$C:$C,$C1033,куб!N:N),IF($B1033&lt;&gt;0,SUMIF(куб!$B:$B,$B1033,куб!N:N))))))</f>
        <v>0</v>
      </c>
      <c r="Y1033" s="27" t="b">
        <f>IF($G1033&lt;&gt;0,SUMIF(куб!$G:$G,$G1033,куб!O:O),IF($E1033&lt;&gt;0,SUMIF(куб!$E:$E,$E1033,куб!O:O),IF($D1033&lt;&gt;0,SUMIF(куб!$D:$D,$D1033,куб!O:O),IF($C1033&lt;&gt;0,SUMIF(куб!$C:$C,$C1033,куб!O:O),IF($B1033&lt;&gt;0,SUMIF(куб!$B:$B,$B1033,куб!O:O))))))</f>
        <v>0</v>
      </c>
      <c r="Z1033" s="13" t="str">
        <f t="shared" si="333"/>
        <v>-</v>
      </c>
      <c r="AA1033" s="5"/>
      <c r="AB1033" s="33" t="str">
        <f t="shared" si="334"/>
        <v/>
      </c>
      <c r="AC1033" s="33" t="str">
        <f t="shared" si="335"/>
        <v/>
      </c>
      <c r="AD1033" s="15" t="str">
        <f t="shared" si="336"/>
        <v xml:space="preserve"> </v>
      </c>
      <c r="AE1033" s="5"/>
      <c r="AF1033" s="27" t="b">
        <f>IF($G1033&lt;&gt;0,SUMIF(куб!$G:$G,$G1033,куб!R:R),IF($E1033&lt;&gt;0,SUMIF(куб!$E:$E,$E1033,куб!R:R),IF($D1033&lt;&gt;0,SUMIF(куб!$D:$D,$D1033,куб!R:R),IF($C1033&lt;&gt;0,SUMIF(куб!$C:$C,$C1033,куб!R:R),IF($B1033&lt;&gt;0,SUMIF(куб!$B:$B,$B1033,куб!R:R))))))</f>
        <v>0</v>
      </c>
      <c r="AG1033" s="27" t="b">
        <f>IF($G1033&lt;&gt;0,SUMIF(куб!$G:$G,$G1033,куб!S:S),IF($E1033&lt;&gt;0,SUMIF(куб!$E:$E,$E1033,куб!S:S),IF($D1033&lt;&gt;0,SUMIF(куб!$D:$D,$D1033,куб!S:S),IF($C1033&lt;&gt;0,SUMIF(куб!$C:$C,$C1033,куб!S:S),IF($B1033&lt;&gt;0,SUMIF(куб!$B:$B,$B1033,куб!S:S))))))</f>
        <v>0</v>
      </c>
      <c r="AH1033" s="16" t="str">
        <f t="shared" si="337"/>
        <v>-</v>
      </c>
      <c r="AI1033" s="8"/>
      <c r="AJ1033" s="27" t="b">
        <f>IF($G1033&lt;&gt;0,SUMIF(куб!$G:$G,$G1033,куб!T:T),IF($E1033&lt;&gt;0,SUMIF(куб!$E:$E,$E1033,куб!T:T),IF($D1033&lt;&gt;0,SUMIF(куб!$D:$D,$D1033,куб!T:T),IF($C1033&lt;&gt;0,SUMIF(куб!$C:$C,$C1033,куб!T:T),IF($B1033&lt;&gt;0,SUMIF(куб!$B:$B,$B1033,куб!T:T))))))</f>
        <v>0</v>
      </c>
      <c r="AK1033" s="27" t="b">
        <f>IF($G1033&lt;&gt;0,SUMIF(куб!$G:$G,$G1033,куб!U:U),IF($E1033&lt;&gt;0,SUMIF(куб!$E:$E,$E1033,куб!U:U),IF($D1033&lt;&gt;0,SUMIF(куб!$D:$D,$D1033,куб!U:U),IF($C1033&lt;&gt;0,SUMIF(куб!$C:$C,$C1033,куб!U:U),IF($B1033&lt;&gt;0,SUMIF(куб!$B:$B,$B1033,куб!U:U))))))</f>
        <v>0</v>
      </c>
      <c r="AL1033" s="16" t="str">
        <f t="shared" si="338"/>
        <v>-</v>
      </c>
      <c r="AM1033" s="8"/>
      <c r="AN1033" s="17" t="str">
        <f t="shared" si="339"/>
        <v xml:space="preserve"> </v>
      </c>
      <c r="AO1033" s="17" t="str">
        <f t="shared" si="340"/>
        <v xml:space="preserve"> </v>
      </c>
      <c r="AP1033" s="16" t="str">
        <f t="shared" si="341"/>
        <v>-</v>
      </c>
      <c r="AQ1033" s="8"/>
      <c r="AR1033" s="17" t="str">
        <f t="shared" si="342"/>
        <v>-</v>
      </c>
      <c r="AS1033" s="17" t="str">
        <f t="shared" si="343"/>
        <v>-</v>
      </c>
      <c r="AT1033" s="13" t="str">
        <f t="shared" si="344"/>
        <v>-</v>
      </c>
      <c r="AU1033" s="8"/>
    </row>
    <row r="1034" spans="1:47" x14ac:dyDescent="0.25">
      <c r="A1034" s="31"/>
      <c r="B1034" s="31"/>
      <c r="C1034"/>
      <c r="D1034" s="31"/>
      <c r="E1034" s="31"/>
      <c r="F1034" s="31"/>
      <c r="G1034" s="31"/>
      <c r="H1034" s="27">
        <f>IF($G1034&lt;&gt;0,SUMIF(куб!$G:$G,$G1034,куб!H:H),IF($E1034&lt;&gt;0,SUMIF(куб!$E:$E,$E1034,куб!H:H),IF($D1034&lt;&gt;0,SUMIF(куб!$D:$D,$D1034,куб!H:H),IF($C1034&lt;&gt;0,SUMIF(куб!$C:$C,$C1034,куб!H:H),IF($B1034&lt;&gt;0,SUMIF(куб!$B:$B,$B1034,куб!H:H),IF($G1034&lt;&gt;0,SUMIF(куб!$A:$A,$G1034,куб!H:H),SUMIF(куб!$A:$A,$G1034,куб!H:H)))))))</f>
        <v>0</v>
      </c>
      <c r="I1034" s="27">
        <f>IF($G1034&lt;&gt;0,SUMIF(куб!$G:$G,$G1034,куб!I:I),IF($E1034&lt;&gt;0,SUMIF(куб!$E:$E,$E1034,куб!I:I),IF($D1034&lt;&gt;0,SUMIF(куб!$D:$D,$D1034,куб!I:I),IF($C1034&lt;&gt;0,SUMIF(куб!$C:$C,$C1034,куб!I:I),IF($B1034&lt;&gt;0,SUMIF(куб!$B:$B,$B1034,куб!I:I),IF($G1034&lt;&gt;0,SUMIF(куб!$A:$A,$G1034,куб!I:I),SUMIF(куб!$A:$A,$G1034,куб!I:I)))))))</f>
        <v>0</v>
      </c>
      <c r="J1034" s="19" t="str">
        <f t="shared" si="327"/>
        <v>-</v>
      </c>
      <c r="K1034" s="8"/>
      <c r="L1034" s="17">
        <f t="shared" si="328"/>
        <v>0</v>
      </c>
      <c r="M1034" s="17">
        <f t="shared" si="329"/>
        <v>0</v>
      </c>
      <c r="N1034" s="12">
        <f t="shared" si="330"/>
        <v>0</v>
      </c>
      <c r="O1034" s="5"/>
      <c r="P1034" s="27" t="b">
        <f>IF($G1034&lt;&gt;0,SUMIF(куб!$G:$G,$G1034,куб!J:J),IF($E1034&lt;&gt;0,SUMIF(куб!$E:$E,$E1034,куб!J:J),IF($D1034&lt;&gt;0,SUMIF(куб!$D:$D,$D1034,куб!J:J),IF($C1034&lt;&gt;0,SUMIF(куб!$C:$C,$C1034,куб!J:J),IF($B1034&lt;&gt;0,SUMIF(куб!$B:$B,$B1034,куб!J:J))))))</f>
        <v>0</v>
      </c>
      <c r="Q1034" s="27" t="b">
        <f>IF($G1034&lt;&gt;0,SUMIF(куб!$G:$G,$G1034,куб!K:K),IF($E1034&lt;&gt;0,SUMIF(куб!$E:$E,$E1034,куб!K:K),IF($D1034&lt;&gt;0,SUMIF(куб!$D:$D,$D1034,куб!K:K),IF($C1034&lt;&gt;0,SUMIF(куб!$C:$C,$C1034,куб!K:K),IF($B1034&lt;&gt;0,SUMIF(куб!$B:$B,$B1034,куб!K:K))))))</f>
        <v>0</v>
      </c>
      <c r="R1034" s="13" t="str">
        <f t="shared" si="331"/>
        <v>-</v>
      </c>
      <c r="S1034" s="5"/>
      <c r="T1034" s="27" t="b">
        <f>IF($G1034&lt;&gt;0,SUMIF(куб!$G:$G,$G1034,куб!L:L),IF($E1034&lt;&gt;0,SUMIF(куб!$E:$E,$E1034,куб!L:L),IF($D1034&lt;&gt;0,SUMIF(куб!$D:$D,$D1034,куб!L:L),IF($C1034&lt;&gt;0,SUMIF(куб!$C:$C,$C1034,куб!L:L),IF($B1034&lt;&gt;0,SUMIF(куб!$B:$B,$B1034,куб!L:L))))))</f>
        <v>0</v>
      </c>
      <c r="U1034" s="27" t="b">
        <f>IF($G1034&lt;&gt;0,SUMIF(куб!$G:$G,$G1034,куб!M:M),IF($E1034&lt;&gt;0,SUMIF(куб!$E:$E,$E1034,куб!M:M),IF($D1034&lt;&gt;0,SUMIF(куб!$D:$D,$D1034,куб!M:M),IF($C1034&lt;&gt;0,SUMIF(куб!$C:$C,$C1034,куб!M:M),IF($B1034&lt;&gt;0,SUMIF(куб!$B:$B,$B1034,куб!M:M))))))</f>
        <v>0</v>
      </c>
      <c r="V1034" s="13" t="str">
        <f t="shared" si="332"/>
        <v>-</v>
      </c>
      <c r="W1034" s="5"/>
      <c r="X1034" s="27" t="b">
        <f>IF($G1034&lt;&gt;0,SUMIF(куб!$G:$G,$G1034,куб!N:N),IF($E1034&lt;&gt;0,SUMIF(куб!$E:$E,$E1034,куб!N:N),IF($D1034&lt;&gt;0,SUMIF(куб!$D:$D,$D1034,куб!N:N),IF($C1034&lt;&gt;0,SUMIF(куб!$C:$C,$C1034,куб!N:N),IF($B1034&lt;&gt;0,SUMIF(куб!$B:$B,$B1034,куб!N:N))))))</f>
        <v>0</v>
      </c>
      <c r="Y1034" s="27" t="b">
        <f>IF($G1034&lt;&gt;0,SUMIF(куб!$G:$G,$G1034,куб!O:O),IF($E1034&lt;&gt;0,SUMIF(куб!$E:$E,$E1034,куб!O:O),IF($D1034&lt;&gt;0,SUMIF(куб!$D:$D,$D1034,куб!O:O),IF($C1034&lt;&gt;0,SUMIF(куб!$C:$C,$C1034,куб!O:O),IF($B1034&lt;&gt;0,SUMIF(куб!$B:$B,$B1034,куб!O:O))))))</f>
        <v>0</v>
      </c>
      <c r="Z1034" s="13" t="str">
        <f t="shared" si="333"/>
        <v>-</v>
      </c>
      <c r="AA1034" s="5"/>
      <c r="AB1034" s="33" t="str">
        <f t="shared" si="334"/>
        <v/>
      </c>
      <c r="AC1034" s="33" t="str">
        <f t="shared" si="335"/>
        <v/>
      </c>
      <c r="AD1034" s="15" t="str">
        <f t="shared" si="336"/>
        <v xml:space="preserve"> </v>
      </c>
      <c r="AE1034" s="5"/>
      <c r="AF1034" s="27" t="b">
        <f>IF($G1034&lt;&gt;0,SUMIF(куб!$G:$G,$G1034,куб!R:R),IF($E1034&lt;&gt;0,SUMIF(куб!$E:$E,$E1034,куб!R:R),IF($D1034&lt;&gt;0,SUMIF(куб!$D:$D,$D1034,куб!R:R),IF($C1034&lt;&gt;0,SUMIF(куб!$C:$C,$C1034,куб!R:R),IF($B1034&lt;&gt;0,SUMIF(куб!$B:$B,$B1034,куб!R:R))))))</f>
        <v>0</v>
      </c>
      <c r="AG1034" s="27" t="b">
        <f>IF($G1034&lt;&gt;0,SUMIF(куб!$G:$G,$G1034,куб!S:S),IF($E1034&lt;&gt;0,SUMIF(куб!$E:$E,$E1034,куб!S:S),IF($D1034&lt;&gt;0,SUMIF(куб!$D:$D,$D1034,куб!S:S),IF($C1034&lt;&gt;0,SUMIF(куб!$C:$C,$C1034,куб!S:S),IF($B1034&lt;&gt;0,SUMIF(куб!$B:$B,$B1034,куб!S:S))))))</f>
        <v>0</v>
      </c>
      <c r="AH1034" s="16" t="str">
        <f t="shared" si="337"/>
        <v>-</v>
      </c>
      <c r="AI1034" s="8"/>
      <c r="AJ1034" s="27" t="b">
        <f>IF($G1034&lt;&gt;0,SUMIF(куб!$G:$G,$G1034,куб!T:T),IF($E1034&lt;&gt;0,SUMIF(куб!$E:$E,$E1034,куб!T:T),IF($D1034&lt;&gt;0,SUMIF(куб!$D:$D,$D1034,куб!T:T),IF($C1034&lt;&gt;0,SUMIF(куб!$C:$C,$C1034,куб!T:T),IF($B1034&lt;&gt;0,SUMIF(куб!$B:$B,$B1034,куб!T:T))))))</f>
        <v>0</v>
      </c>
      <c r="AK1034" s="27" t="b">
        <f>IF($G1034&lt;&gt;0,SUMIF(куб!$G:$G,$G1034,куб!U:U),IF($E1034&lt;&gt;0,SUMIF(куб!$E:$E,$E1034,куб!U:U),IF($D1034&lt;&gt;0,SUMIF(куб!$D:$D,$D1034,куб!U:U),IF($C1034&lt;&gt;0,SUMIF(куб!$C:$C,$C1034,куб!U:U),IF($B1034&lt;&gt;0,SUMIF(куб!$B:$B,$B1034,куб!U:U))))))</f>
        <v>0</v>
      </c>
      <c r="AL1034" s="16" t="str">
        <f t="shared" si="338"/>
        <v>-</v>
      </c>
      <c r="AM1034" s="8"/>
      <c r="AN1034" s="17" t="str">
        <f t="shared" si="339"/>
        <v xml:space="preserve"> </v>
      </c>
      <c r="AO1034" s="17" t="str">
        <f t="shared" si="340"/>
        <v xml:space="preserve"> </v>
      </c>
      <c r="AP1034" s="16" t="str">
        <f t="shared" si="341"/>
        <v>-</v>
      </c>
      <c r="AQ1034" s="8"/>
      <c r="AR1034" s="17" t="str">
        <f t="shared" si="342"/>
        <v>-</v>
      </c>
      <c r="AS1034" s="17" t="str">
        <f t="shared" si="343"/>
        <v>-</v>
      </c>
      <c r="AT1034" s="13" t="str">
        <f t="shared" si="344"/>
        <v>-</v>
      </c>
      <c r="AU1034" s="8"/>
    </row>
    <row r="1035" spans="1:47" x14ac:dyDescent="0.25">
      <c r="A1035" s="31"/>
      <c r="B1035" s="31"/>
      <c r="C1035"/>
      <c r="D1035"/>
      <c r="E1035"/>
      <c r="F1035"/>
      <c r="G1035"/>
      <c r="H1035" s="27">
        <f>IF($G1035&lt;&gt;0,SUMIF(куб!$G:$G,$G1035,куб!H:H),IF($E1035&lt;&gt;0,SUMIF(куб!$E:$E,$E1035,куб!H:H),IF($D1035&lt;&gt;0,SUMIF(куб!$D:$D,$D1035,куб!H:H),IF($C1035&lt;&gt;0,SUMIF(куб!$C:$C,$C1035,куб!H:H),IF($B1035&lt;&gt;0,SUMIF(куб!$B:$B,$B1035,куб!H:H),IF($G1035&lt;&gt;0,SUMIF(куб!$A:$A,$G1035,куб!H:H),SUMIF(куб!$A:$A,$G1035,куб!H:H)))))))</f>
        <v>0</v>
      </c>
      <c r="I1035" s="27">
        <f>IF($G1035&lt;&gt;0,SUMIF(куб!$G:$G,$G1035,куб!I:I),IF($E1035&lt;&gt;0,SUMIF(куб!$E:$E,$E1035,куб!I:I),IF($D1035&lt;&gt;0,SUMIF(куб!$D:$D,$D1035,куб!I:I),IF($C1035&lt;&gt;0,SUMIF(куб!$C:$C,$C1035,куб!I:I),IF($B1035&lt;&gt;0,SUMIF(куб!$B:$B,$B1035,куб!I:I),IF($G1035&lt;&gt;0,SUMIF(куб!$A:$A,$G1035,куб!I:I),SUMIF(куб!$A:$A,$G1035,куб!I:I)))))))</f>
        <v>0</v>
      </c>
      <c r="J1035" s="19" t="str">
        <f t="shared" si="327"/>
        <v>-</v>
      </c>
      <c r="K1035" s="8"/>
      <c r="L1035" s="17">
        <f t="shared" si="328"/>
        <v>0</v>
      </c>
      <c r="M1035" s="17">
        <f t="shared" si="329"/>
        <v>0</v>
      </c>
      <c r="N1035" s="12">
        <f t="shared" si="330"/>
        <v>0</v>
      </c>
      <c r="O1035" s="5"/>
      <c r="P1035" s="27" t="b">
        <f>IF($G1035&lt;&gt;0,SUMIF(куб!$G:$G,$G1035,куб!J:J),IF($E1035&lt;&gt;0,SUMIF(куб!$E:$E,$E1035,куб!J:J),IF($D1035&lt;&gt;0,SUMIF(куб!$D:$D,$D1035,куб!J:J),IF($C1035&lt;&gt;0,SUMIF(куб!$C:$C,$C1035,куб!J:J),IF($B1035&lt;&gt;0,SUMIF(куб!$B:$B,$B1035,куб!J:J))))))</f>
        <v>0</v>
      </c>
      <c r="Q1035" s="27" t="b">
        <f>IF($G1035&lt;&gt;0,SUMIF(куб!$G:$G,$G1035,куб!K:K),IF($E1035&lt;&gt;0,SUMIF(куб!$E:$E,$E1035,куб!K:K),IF($D1035&lt;&gt;0,SUMIF(куб!$D:$D,$D1035,куб!K:K),IF($C1035&lt;&gt;0,SUMIF(куб!$C:$C,$C1035,куб!K:K),IF($B1035&lt;&gt;0,SUMIF(куб!$B:$B,$B1035,куб!K:K))))))</f>
        <v>0</v>
      </c>
      <c r="R1035" s="13" t="str">
        <f t="shared" si="331"/>
        <v>-</v>
      </c>
      <c r="S1035" s="5"/>
      <c r="T1035" s="27" t="b">
        <f>IF($G1035&lt;&gt;0,SUMIF(куб!$G:$G,$G1035,куб!L:L),IF($E1035&lt;&gt;0,SUMIF(куб!$E:$E,$E1035,куб!L:L),IF($D1035&lt;&gt;0,SUMIF(куб!$D:$D,$D1035,куб!L:L),IF($C1035&lt;&gt;0,SUMIF(куб!$C:$C,$C1035,куб!L:L),IF($B1035&lt;&gt;0,SUMIF(куб!$B:$B,$B1035,куб!L:L))))))</f>
        <v>0</v>
      </c>
      <c r="U1035" s="27" t="b">
        <f>IF($G1035&lt;&gt;0,SUMIF(куб!$G:$G,$G1035,куб!M:M),IF($E1035&lt;&gt;0,SUMIF(куб!$E:$E,$E1035,куб!M:M),IF($D1035&lt;&gt;0,SUMIF(куб!$D:$D,$D1035,куб!M:M),IF($C1035&lt;&gt;0,SUMIF(куб!$C:$C,$C1035,куб!M:M),IF($B1035&lt;&gt;0,SUMIF(куб!$B:$B,$B1035,куб!M:M))))))</f>
        <v>0</v>
      </c>
      <c r="V1035" s="13" t="str">
        <f t="shared" si="332"/>
        <v>-</v>
      </c>
      <c r="W1035" s="5"/>
      <c r="X1035" s="27" t="b">
        <f>IF($G1035&lt;&gt;0,SUMIF(куб!$G:$G,$G1035,куб!N:N),IF($E1035&lt;&gt;0,SUMIF(куб!$E:$E,$E1035,куб!N:N),IF($D1035&lt;&gt;0,SUMIF(куб!$D:$D,$D1035,куб!N:N),IF($C1035&lt;&gt;0,SUMIF(куб!$C:$C,$C1035,куб!N:N),IF($B1035&lt;&gt;0,SUMIF(куб!$B:$B,$B1035,куб!N:N))))))</f>
        <v>0</v>
      </c>
      <c r="Y1035" s="27" t="b">
        <f>IF($G1035&lt;&gt;0,SUMIF(куб!$G:$G,$G1035,куб!O:O),IF($E1035&lt;&gt;0,SUMIF(куб!$E:$E,$E1035,куб!O:O),IF($D1035&lt;&gt;0,SUMIF(куб!$D:$D,$D1035,куб!O:O),IF($C1035&lt;&gt;0,SUMIF(куб!$C:$C,$C1035,куб!O:O),IF($B1035&lt;&gt;0,SUMIF(куб!$B:$B,$B1035,куб!O:O))))))</f>
        <v>0</v>
      </c>
      <c r="Z1035" s="13" t="str">
        <f t="shared" si="333"/>
        <v>-</v>
      </c>
      <c r="AA1035" s="5"/>
      <c r="AB1035" s="33" t="str">
        <f t="shared" si="334"/>
        <v/>
      </c>
      <c r="AC1035" s="33" t="str">
        <f t="shared" si="335"/>
        <v/>
      </c>
      <c r="AD1035" s="15" t="str">
        <f t="shared" si="336"/>
        <v xml:space="preserve"> </v>
      </c>
      <c r="AE1035" s="5"/>
      <c r="AF1035" s="27" t="b">
        <f>IF($G1035&lt;&gt;0,SUMIF(куб!$G:$G,$G1035,куб!R:R),IF($E1035&lt;&gt;0,SUMIF(куб!$E:$E,$E1035,куб!R:R),IF($D1035&lt;&gt;0,SUMIF(куб!$D:$D,$D1035,куб!R:R),IF($C1035&lt;&gt;0,SUMIF(куб!$C:$C,$C1035,куб!R:R),IF($B1035&lt;&gt;0,SUMIF(куб!$B:$B,$B1035,куб!R:R))))))</f>
        <v>0</v>
      </c>
      <c r="AG1035" s="27" t="b">
        <f>IF($G1035&lt;&gt;0,SUMIF(куб!$G:$G,$G1035,куб!S:S),IF($E1035&lt;&gt;0,SUMIF(куб!$E:$E,$E1035,куб!S:S),IF($D1035&lt;&gt;0,SUMIF(куб!$D:$D,$D1035,куб!S:S),IF($C1035&lt;&gt;0,SUMIF(куб!$C:$C,$C1035,куб!S:S),IF($B1035&lt;&gt;0,SUMIF(куб!$B:$B,$B1035,куб!S:S))))))</f>
        <v>0</v>
      </c>
      <c r="AH1035" s="16" t="str">
        <f t="shared" si="337"/>
        <v>-</v>
      </c>
      <c r="AI1035" s="8"/>
      <c r="AJ1035" s="27" t="b">
        <f>IF($G1035&lt;&gt;0,SUMIF(куб!$G:$G,$G1035,куб!T:T),IF($E1035&lt;&gt;0,SUMIF(куб!$E:$E,$E1035,куб!T:T),IF($D1035&lt;&gt;0,SUMIF(куб!$D:$D,$D1035,куб!T:T),IF($C1035&lt;&gt;0,SUMIF(куб!$C:$C,$C1035,куб!T:T),IF($B1035&lt;&gt;0,SUMIF(куб!$B:$B,$B1035,куб!T:T))))))</f>
        <v>0</v>
      </c>
      <c r="AK1035" s="27" t="b">
        <f>IF($G1035&lt;&gt;0,SUMIF(куб!$G:$G,$G1035,куб!U:U),IF($E1035&lt;&gt;0,SUMIF(куб!$E:$E,$E1035,куб!U:U),IF($D1035&lt;&gt;0,SUMIF(куб!$D:$D,$D1035,куб!U:U),IF($C1035&lt;&gt;0,SUMIF(куб!$C:$C,$C1035,куб!U:U),IF($B1035&lt;&gt;0,SUMIF(куб!$B:$B,$B1035,куб!U:U))))))</f>
        <v>0</v>
      </c>
      <c r="AL1035" s="16" t="str">
        <f t="shared" si="338"/>
        <v>-</v>
      </c>
      <c r="AM1035" s="8"/>
      <c r="AN1035" s="17" t="str">
        <f t="shared" si="339"/>
        <v xml:space="preserve"> </v>
      </c>
      <c r="AO1035" s="17" t="str">
        <f t="shared" si="340"/>
        <v xml:space="preserve"> </v>
      </c>
      <c r="AP1035" s="16" t="str">
        <f t="shared" si="341"/>
        <v>-</v>
      </c>
      <c r="AQ1035" s="8"/>
      <c r="AR1035" s="17" t="str">
        <f t="shared" si="342"/>
        <v>-</v>
      </c>
      <c r="AS1035" s="17" t="str">
        <f t="shared" si="343"/>
        <v>-</v>
      </c>
      <c r="AT1035" s="13" t="str">
        <f t="shared" si="344"/>
        <v>-</v>
      </c>
      <c r="AU1035" s="8"/>
    </row>
    <row r="1036" spans="1:47" x14ac:dyDescent="0.25">
      <c r="A1036" s="32"/>
      <c r="B1036" s="31"/>
      <c r="C1036" s="31"/>
      <c r="D1036" s="31"/>
      <c r="E1036" s="31"/>
      <c r="F1036" s="31"/>
      <c r="G1036" s="31"/>
      <c r="H1036" s="27">
        <f>IF($G1036&lt;&gt;0,SUMIF(куб!$G:$G,$G1036,куб!H:H),IF($E1036&lt;&gt;0,SUMIF(куб!$E:$E,$E1036,куб!H:H),IF($D1036&lt;&gt;0,SUMIF(куб!$D:$D,$D1036,куб!H:H),IF($C1036&lt;&gt;0,SUMIF(куб!$C:$C,$C1036,куб!H:H),IF($B1036&lt;&gt;0,SUMIF(куб!$B:$B,$B1036,куб!H:H),IF($G1036&lt;&gt;0,SUMIF(куб!$A:$A,$G1036,куб!H:H),SUMIF(куб!$A:$A,$G1036,куб!H:H)))))))</f>
        <v>0</v>
      </c>
      <c r="I1036" s="27">
        <f>IF($G1036&lt;&gt;0,SUMIF(куб!$G:$G,$G1036,куб!I:I),IF($E1036&lt;&gt;0,SUMIF(куб!$E:$E,$E1036,куб!I:I),IF($D1036&lt;&gt;0,SUMIF(куб!$D:$D,$D1036,куб!I:I),IF($C1036&lt;&gt;0,SUMIF(куб!$C:$C,$C1036,куб!I:I),IF($B1036&lt;&gt;0,SUMIF(куб!$B:$B,$B1036,куб!I:I),IF($G1036&lt;&gt;0,SUMIF(куб!$A:$A,$G1036,куб!I:I),SUMIF(куб!$A:$A,$G1036,куб!I:I)))))))</f>
        <v>0</v>
      </c>
      <c r="J1036" s="19" t="str">
        <f t="shared" si="327"/>
        <v>-</v>
      </c>
      <c r="K1036" s="8"/>
      <c r="L1036" s="17">
        <f t="shared" si="328"/>
        <v>0</v>
      </c>
      <c r="M1036" s="17">
        <f t="shared" si="329"/>
        <v>0</v>
      </c>
      <c r="N1036" s="12">
        <f t="shared" si="330"/>
        <v>0</v>
      </c>
      <c r="O1036" s="5"/>
      <c r="P1036" s="27" t="b">
        <f>IF($G1036&lt;&gt;0,SUMIF(куб!$G:$G,$G1036,куб!J:J),IF($E1036&lt;&gt;0,SUMIF(куб!$E:$E,$E1036,куб!J:J),IF($D1036&lt;&gt;0,SUMIF(куб!$D:$D,$D1036,куб!J:J),IF($C1036&lt;&gt;0,SUMIF(куб!$C:$C,$C1036,куб!J:J),IF($B1036&lt;&gt;0,SUMIF(куб!$B:$B,$B1036,куб!J:J))))))</f>
        <v>0</v>
      </c>
      <c r="Q1036" s="27" t="b">
        <f>IF($G1036&lt;&gt;0,SUMIF(куб!$G:$G,$G1036,куб!K:K),IF($E1036&lt;&gt;0,SUMIF(куб!$E:$E,$E1036,куб!K:K),IF($D1036&lt;&gt;0,SUMIF(куб!$D:$D,$D1036,куб!K:K),IF($C1036&lt;&gt;0,SUMIF(куб!$C:$C,$C1036,куб!K:K),IF($B1036&lt;&gt;0,SUMIF(куб!$B:$B,$B1036,куб!K:K))))))</f>
        <v>0</v>
      </c>
      <c r="R1036" s="13" t="str">
        <f t="shared" si="331"/>
        <v>-</v>
      </c>
      <c r="S1036" s="5"/>
      <c r="T1036" s="27" t="b">
        <f>IF($G1036&lt;&gt;0,SUMIF(куб!$G:$G,$G1036,куб!L:L),IF($E1036&lt;&gt;0,SUMIF(куб!$E:$E,$E1036,куб!L:L),IF($D1036&lt;&gt;0,SUMIF(куб!$D:$D,$D1036,куб!L:L),IF($C1036&lt;&gt;0,SUMIF(куб!$C:$C,$C1036,куб!L:L),IF($B1036&lt;&gt;0,SUMIF(куб!$B:$B,$B1036,куб!L:L))))))</f>
        <v>0</v>
      </c>
      <c r="U1036" s="27" t="b">
        <f>IF($G1036&lt;&gt;0,SUMIF(куб!$G:$G,$G1036,куб!M:M),IF($E1036&lt;&gt;0,SUMIF(куб!$E:$E,$E1036,куб!M:M),IF($D1036&lt;&gt;0,SUMIF(куб!$D:$D,$D1036,куб!M:M),IF($C1036&lt;&gt;0,SUMIF(куб!$C:$C,$C1036,куб!M:M),IF($B1036&lt;&gt;0,SUMIF(куб!$B:$B,$B1036,куб!M:M))))))</f>
        <v>0</v>
      </c>
      <c r="V1036" s="13" t="str">
        <f t="shared" si="332"/>
        <v>-</v>
      </c>
      <c r="W1036" s="5"/>
      <c r="X1036" s="27" t="b">
        <f>IF($G1036&lt;&gt;0,SUMIF(куб!$G:$G,$G1036,куб!N:N),IF($E1036&lt;&gt;0,SUMIF(куб!$E:$E,$E1036,куб!N:N),IF($D1036&lt;&gt;0,SUMIF(куб!$D:$D,$D1036,куб!N:N),IF($C1036&lt;&gt;0,SUMIF(куб!$C:$C,$C1036,куб!N:N),IF($B1036&lt;&gt;0,SUMIF(куб!$B:$B,$B1036,куб!N:N))))))</f>
        <v>0</v>
      </c>
      <c r="Y1036" s="27" t="b">
        <f>IF($G1036&lt;&gt;0,SUMIF(куб!$G:$G,$G1036,куб!O:O),IF($E1036&lt;&gt;0,SUMIF(куб!$E:$E,$E1036,куб!O:O),IF($D1036&lt;&gt;0,SUMIF(куб!$D:$D,$D1036,куб!O:O),IF($C1036&lt;&gt;0,SUMIF(куб!$C:$C,$C1036,куб!O:O),IF($B1036&lt;&gt;0,SUMIF(куб!$B:$B,$B1036,куб!O:O))))))</f>
        <v>0</v>
      </c>
      <c r="Z1036" s="13" t="str">
        <f t="shared" si="333"/>
        <v>-</v>
      </c>
      <c r="AA1036" s="5"/>
      <c r="AB1036" s="33" t="str">
        <f t="shared" si="334"/>
        <v/>
      </c>
      <c r="AC1036" s="33" t="str">
        <f t="shared" si="335"/>
        <v/>
      </c>
      <c r="AD1036" s="15" t="str">
        <f t="shared" si="336"/>
        <v xml:space="preserve"> </v>
      </c>
      <c r="AE1036" s="5"/>
      <c r="AF1036" s="27" t="b">
        <f>IF($G1036&lt;&gt;0,SUMIF(куб!$G:$G,$G1036,куб!R:R),IF($E1036&lt;&gt;0,SUMIF(куб!$E:$E,$E1036,куб!R:R),IF($D1036&lt;&gt;0,SUMIF(куб!$D:$D,$D1036,куб!R:R),IF($C1036&lt;&gt;0,SUMIF(куб!$C:$C,$C1036,куб!R:R),IF($B1036&lt;&gt;0,SUMIF(куб!$B:$B,$B1036,куб!R:R))))))</f>
        <v>0</v>
      </c>
      <c r="AG1036" s="27" t="b">
        <f>IF($G1036&lt;&gt;0,SUMIF(куб!$G:$G,$G1036,куб!S:S),IF($E1036&lt;&gt;0,SUMIF(куб!$E:$E,$E1036,куб!S:S),IF($D1036&lt;&gt;0,SUMIF(куб!$D:$D,$D1036,куб!S:S),IF($C1036&lt;&gt;0,SUMIF(куб!$C:$C,$C1036,куб!S:S),IF($B1036&lt;&gt;0,SUMIF(куб!$B:$B,$B1036,куб!S:S))))))</f>
        <v>0</v>
      </c>
      <c r="AH1036" s="16" t="str">
        <f t="shared" si="337"/>
        <v>-</v>
      </c>
      <c r="AI1036" s="8"/>
      <c r="AJ1036" s="27" t="b">
        <f>IF($G1036&lt;&gt;0,SUMIF(куб!$G:$G,$G1036,куб!T:T),IF($E1036&lt;&gt;0,SUMIF(куб!$E:$E,$E1036,куб!T:T),IF($D1036&lt;&gt;0,SUMIF(куб!$D:$D,$D1036,куб!T:T),IF($C1036&lt;&gt;0,SUMIF(куб!$C:$C,$C1036,куб!T:T),IF($B1036&lt;&gt;0,SUMIF(куб!$B:$B,$B1036,куб!T:T))))))</f>
        <v>0</v>
      </c>
      <c r="AK1036" s="27" t="b">
        <f>IF($G1036&lt;&gt;0,SUMIF(куб!$G:$G,$G1036,куб!U:U),IF($E1036&lt;&gt;0,SUMIF(куб!$E:$E,$E1036,куб!U:U),IF($D1036&lt;&gt;0,SUMIF(куб!$D:$D,$D1036,куб!U:U),IF($C1036&lt;&gt;0,SUMIF(куб!$C:$C,$C1036,куб!U:U),IF($B1036&lt;&gt;0,SUMIF(куб!$B:$B,$B1036,куб!U:U))))))</f>
        <v>0</v>
      </c>
      <c r="AL1036" s="16" t="str">
        <f t="shared" si="338"/>
        <v>-</v>
      </c>
      <c r="AM1036" s="8"/>
      <c r="AN1036" s="17" t="str">
        <f t="shared" si="339"/>
        <v xml:space="preserve"> </v>
      </c>
      <c r="AO1036" s="17" t="str">
        <f t="shared" si="340"/>
        <v xml:space="preserve"> </v>
      </c>
      <c r="AP1036" s="16" t="str">
        <f t="shared" si="341"/>
        <v>-</v>
      </c>
      <c r="AQ1036" s="8"/>
      <c r="AR1036" s="17" t="str">
        <f t="shared" si="342"/>
        <v>-</v>
      </c>
      <c r="AS1036" s="17" t="str">
        <f t="shared" si="343"/>
        <v>-</v>
      </c>
      <c r="AT1036" s="13" t="str">
        <f t="shared" si="344"/>
        <v>-</v>
      </c>
      <c r="AU1036" s="8"/>
    </row>
    <row r="1037" spans="1:47" x14ac:dyDescent="0.25">
      <c r="A1037" s="38"/>
      <c r="B1037" s="38"/>
      <c r="C1037" s="38"/>
      <c r="D1037" s="38"/>
      <c r="E1037" s="38"/>
      <c r="F1037" s="38"/>
      <c r="G1037" s="38"/>
      <c r="H1037" s="27">
        <f>IF($G1037&lt;&gt;0,SUMIF(куб!$G:$G,$G1037,куб!H:H),IF($E1037&lt;&gt;0,SUMIF(куб!$E:$E,$E1037,куб!H:H),IF($D1037&lt;&gt;0,SUMIF(куб!$D:$D,$D1037,куб!H:H),IF($C1037&lt;&gt;0,SUMIF(куб!$C:$C,$C1037,куб!H:H),IF($B1037&lt;&gt;0,SUMIF(куб!$B:$B,$B1037,куб!H:H),IF($G1037&lt;&gt;0,SUMIF(куб!$A:$A,$G1037,куб!H:H),SUMIF(куб!$A:$A,$G1037,куб!H:H)))))))</f>
        <v>0</v>
      </c>
      <c r="I1037" s="27">
        <f>IF($G1037&lt;&gt;0,SUMIF(куб!$G:$G,$G1037,куб!I:I),IF($E1037&lt;&gt;0,SUMIF(куб!$E:$E,$E1037,куб!I:I),IF($D1037&lt;&gt;0,SUMIF(куб!$D:$D,$D1037,куб!I:I),IF($C1037&lt;&gt;0,SUMIF(куб!$C:$C,$C1037,куб!I:I),IF($B1037&lt;&gt;0,SUMIF(куб!$B:$B,$B1037,куб!I:I),IF($G1037&lt;&gt;0,SUMIF(куб!$A:$A,$G1037,куб!I:I),SUMIF(куб!$A:$A,$G1037,куб!I:I)))))))</f>
        <v>0</v>
      </c>
      <c r="J1037" s="19" t="str">
        <f t="shared" si="327"/>
        <v>-</v>
      </c>
      <c r="K1037" s="8"/>
      <c r="L1037" s="17">
        <f t="shared" si="328"/>
        <v>0</v>
      </c>
      <c r="M1037" s="17">
        <f t="shared" si="329"/>
        <v>0</v>
      </c>
      <c r="N1037" s="12">
        <f t="shared" si="330"/>
        <v>0</v>
      </c>
      <c r="O1037" s="5"/>
      <c r="P1037" s="27" t="b">
        <f>IF($G1037&lt;&gt;0,SUMIF(куб!$G:$G,$G1037,куб!J:J),IF($E1037&lt;&gt;0,SUMIF(куб!$E:$E,$E1037,куб!J:J),IF($D1037&lt;&gt;0,SUMIF(куб!$D:$D,$D1037,куб!J:J),IF($C1037&lt;&gt;0,SUMIF(куб!$C:$C,$C1037,куб!J:J),IF($B1037&lt;&gt;0,SUMIF(куб!$B:$B,$B1037,куб!J:J))))))</f>
        <v>0</v>
      </c>
      <c r="Q1037" s="27" t="b">
        <f>IF($G1037&lt;&gt;0,SUMIF(куб!$G:$G,$G1037,куб!K:K),IF($E1037&lt;&gt;0,SUMIF(куб!$E:$E,$E1037,куб!K:K),IF($D1037&lt;&gt;0,SUMIF(куб!$D:$D,$D1037,куб!K:K),IF($C1037&lt;&gt;0,SUMIF(куб!$C:$C,$C1037,куб!K:K),IF($B1037&lt;&gt;0,SUMIF(куб!$B:$B,$B1037,куб!K:K))))))</f>
        <v>0</v>
      </c>
      <c r="R1037" s="13" t="str">
        <f t="shared" si="331"/>
        <v>-</v>
      </c>
      <c r="S1037" s="5"/>
      <c r="T1037" s="27" t="b">
        <f>IF($G1037&lt;&gt;0,SUMIF(куб!$G:$G,$G1037,куб!L:L),IF($E1037&lt;&gt;0,SUMIF(куб!$E:$E,$E1037,куб!L:L),IF($D1037&lt;&gt;0,SUMIF(куб!$D:$D,$D1037,куб!L:L),IF($C1037&lt;&gt;0,SUMIF(куб!$C:$C,$C1037,куб!L:L),IF($B1037&lt;&gt;0,SUMIF(куб!$B:$B,$B1037,куб!L:L))))))</f>
        <v>0</v>
      </c>
      <c r="U1037" s="27" t="b">
        <f>IF($G1037&lt;&gt;0,SUMIF(куб!$G:$G,$G1037,куб!M:M),IF($E1037&lt;&gt;0,SUMIF(куб!$E:$E,$E1037,куб!M:M),IF($D1037&lt;&gt;0,SUMIF(куб!$D:$D,$D1037,куб!M:M),IF($C1037&lt;&gt;0,SUMIF(куб!$C:$C,$C1037,куб!M:M),IF($B1037&lt;&gt;0,SUMIF(куб!$B:$B,$B1037,куб!M:M))))))</f>
        <v>0</v>
      </c>
      <c r="V1037" s="13" t="str">
        <f t="shared" si="332"/>
        <v>-</v>
      </c>
      <c r="W1037" s="5"/>
      <c r="X1037" s="27" t="b">
        <f>IF($G1037&lt;&gt;0,SUMIF(куб!$G:$G,$G1037,куб!N:N),IF($E1037&lt;&gt;0,SUMIF(куб!$E:$E,$E1037,куб!N:N),IF($D1037&lt;&gt;0,SUMIF(куб!$D:$D,$D1037,куб!N:N),IF($C1037&lt;&gt;0,SUMIF(куб!$C:$C,$C1037,куб!N:N),IF($B1037&lt;&gt;0,SUMIF(куб!$B:$B,$B1037,куб!N:N))))))</f>
        <v>0</v>
      </c>
      <c r="Y1037" s="27" t="b">
        <f>IF($G1037&lt;&gt;0,SUMIF(куб!$G:$G,$G1037,куб!O:O),IF($E1037&lt;&gt;0,SUMIF(куб!$E:$E,$E1037,куб!O:O),IF($D1037&lt;&gt;0,SUMIF(куб!$D:$D,$D1037,куб!O:O),IF($C1037&lt;&gt;0,SUMIF(куб!$C:$C,$C1037,куб!O:O),IF($B1037&lt;&gt;0,SUMIF(куб!$B:$B,$B1037,куб!O:O))))))</f>
        <v>0</v>
      </c>
      <c r="Z1037" s="13" t="str">
        <f t="shared" si="333"/>
        <v>-</v>
      </c>
      <c r="AA1037" s="5"/>
      <c r="AB1037" s="33" t="str">
        <f t="shared" si="334"/>
        <v/>
      </c>
      <c r="AC1037" s="33" t="str">
        <f t="shared" si="335"/>
        <v/>
      </c>
      <c r="AD1037" s="15" t="str">
        <f t="shared" si="336"/>
        <v xml:space="preserve"> </v>
      </c>
      <c r="AE1037" s="5"/>
      <c r="AF1037" s="27" t="b">
        <f>IF($G1037&lt;&gt;0,SUMIF(куб!$G:$G,$G1037,куб!R:R),IF($E1037&lt;&gt;0,SUMIF(куб!$E:$E,$E1037,куб!R:R),IF($D1037&lt;&gt;0,SUMIF(куб!$D:$D,$D1037,куб!R:R),IF($C1037&lt;&gt;0,SUMIF(куб!$C:$C,$C1037,куб!R:R),IF($B1037&lt;&gt;0,SUMIF(куб!$B:$B,$B1037,куб!R:R))))))</f>
        <v>0</v>
      </c>
      <c r="AG1037" s="27" t="b">
        <f>IF($G1037&lt;&gt;0,SUMIF(куб!$G:$G,$G1037,куб!S:S),IF($E1037&lt;&gt;0,SUMIF(куб!$E:$E,$E1037,куб!S:S),IF($D1037&lt;&gt;0,SUMIF(куб!$D:$D,$D1037,куб!S:S),IF($C1037&lt;&gt;0,SUMIF(куб!$C:$C,$C1037,куб!S:S),IF($B1037&lt;&gt;0,SUMIF(куб!$B:$B,$B1037,куб!S:S))))))</f>
        <v>0</v>
      </c>
      <c r="AH1037" s="16" t="str">
        <f t="shared" si="337"/>
        <v>-</v>
      </c>
      <c r="AI1037" s="8"/>
      <c r="AJ1037" s="27" t="b">
        <f>IF($G1037&lt;&gt;0,SUMIF(куб!$G:$G,$G1037,куб!T:T),IF($E1037&lt;&gt;0,SUMIF(куб!$E:$E,$E1037,куб!T:T),IF($D1037&lt;&gt;0,SUMIF(куб!$D:$D,$D1037,куб!T:T),IF($C1037&lt;&gt;0,SUMIF(куб!$C:$C,$C1037,куб!T:T),IF($B1037&lt;&gt;0,SUMIF(куб!$B:$B,$B1037,куб!T:T))))))</f>
        <v>0</v>
      </c>
      <c r="AK1037" s="27" t="b">
        <f>IF($G1037&lt;&gt;0,SUMIF(куб!$G:$G,$G1037,куб!U:U),IF($E1037&lt;&gt;0,SUMIF(куб!$E:$E,$E1037,куб!U:U),IF($D1037&lt;&gt;0,SUMIF(куб!$D:$D,$D1037,куб!U:U),IF($C1037&lt;&gt;0,SUMIF(куб!$C:$C,$C1037,куб!U:U),IF($B1037&lt;&gt;0,SUMIF(куб!$B:$B,$B1037,куб!U:U))))))</f>
        <v>0</v>
      </c>
      <c r="AL1037" s="16" t="str">
        <f t="shared" si="338"/>
        <v>-</v>
      </c>
      <c r="AM1037" s="8"/>
      <c r="AN1037" s="17" t="str">
        <f t="shared" si="339"/>
        <v xml:space="preserve"> </v>
      </c>
      <c r="AO1037" s="17" t="str">
        <f t="shared" si="340"/>
        <v xml:space="preserve"> </v>
      </c>
      <c r="AP1037" s="16" t="str">
        <f t="shared" si="341"/>
        <v>-</v>
      </c>
      <c r="AQ1037" s="8"/>
      <c r="AR1037" s="17" t="str">
        <f t="shared" si="342"/>
        <v>-</v>
      </c>
      <c r="AS1037" s="17" t="str">
        <f t="shared" si="343"/>
        <v>-</v>
      </c>
      <c r="AT1037" s="13" t="str">
        <f t="shared" si="344"/>
        <v>-</v>
      </c>
      <c r="AU1037" s="8"/>
    </row>
    <row r="1038" spans="1:47" x14ac:dyDescent="0.25">
      <c r="A1038" s="39"/>
      <c r="B1038" s="39"/>
      <c r="C1038" s="39"/>
      <c r="D1038" s="39"/>
      <c r="E1038" s="39"/>
      <c r="F1038" s="39"/>
      <c r="G1038" s="39"/>
      <c r="H1038" s="27">
        <f>IF($G1038&lt;&gt;0,SUMIF(куб!$G:$G,$G1038,куб!H:H),IF($E1038&lt;&gt;0,SUMIF(куб!$E:$E,$E1038,куб!H:H),IF($D1038&lt;&gt;0,SUMIF(куб!$D:$D,$D1038,куб!H:H),IF($C1038&lt;&gt;0,SUMIF(куб!$C:$C,$C1038,куб!H:H),IF($B1038&lt;&gt;0,SUMIF(куб!$B:$B,$B1038,куб!H:H),IF($G1038&lt;&gt;0,SUMIF(куб!$A:$A,$G1038,куб!H:H),SUMIF(куб!$A:$A,$G1038,куб!H:H)))))))</f>
        <v>0</v>
      </c>
      <c r="I1038" s="27">
        <f>IF($G1038&lt;&gt;0,SUMIF(куб!$G:$G,$G1038,куб!I:I),IF($E1038&lt;&gt;0,SUMIF(куб!$E:$E,$E1038,куб!I:I),IF($D1038&lt;&gt;0,SUMIF(куб!$D:$D,$D1038,куб!I:I),IF($C1038&lt;&gt;0,SUMIF(куб!$C:$C,$C1038,куб!I:I),IF($B1038&lt;&gt;0,SUMIF(куб!$B:$B,$B1038,куб!I:I),IF($G1038&lt;&gt;0,SUMIF(куб!$A:$A,$G1038,куб!I:I),SUMIF(куб!$A:$A,$G1038,куб!I:I)))))))</f>
        <v>0</v>
      </c>
      <c r="J1038" s="19" t="str">
        <f t="shared" si="327"/>
        <v>-</v>
      </c>
      <c r="K1038" s="8"/>
      <c r="L1038" s="17">
        <f t="shared" si="328"/>
        <v>0</v>
      </c>
      <c r="M1038" s="17">
        <f t="shared" si="329"/>
        <v>0</v>
      </c>
      <c r="N1038" s="12">
        <f t="shared" si="330"/>
        <v>0</v>
      </c>
      <c r="O1038" s="5"/>
      <c r="P1038" s="27" t="b">
        <f>IF($G1038&lt;&gt;0,SUMIF(куб!$G:$G,$G1038,куб!J:J),IF($E1038&lt;&gt;0,SUMIF(куб!$E:$E,$E1038,куб!J:J),IF($D1038&lt;&gt;0,SUMIF(куб!$D:$D,$D1038,куб!J:J),IF($C1038&lt;&gt;0,SUMIF(куб!$C:$C,$C1038,куб!J:J),IF($B1038&lt;&gt;0,SUMIF(куб!$B:$B,$B1038,куб!J:J))))))</f>
        <v>0</v>
      </c>
      <c r="Q1038" s="27" t="b">
        <f>IF($G1038&lt;&gt;0,SUMIF(куб!$G:$G,$G1038,куб!K:K),IF($E1038&lt;&gt;0,SUMIF(куб!$E:$E,$E1038,куб!K:K),IF($D1038&lt;&gt;0,SUMIF(куб!$D:$D,$D1038,куб!K:K),IF($C1038&lt;&gt;0,SUMIF(куб!$C:$C,$C1038,куб!K:K),IF($B1038&lt;&gt;0,SUMIF(куб!$B:$B,$B1038,куб!K:K))))))</f>
        <v>0</v>
      </c>
      <c r="R1038" s="13" t="str">
        <f t="shared" si="331"/>
        <v>-</v>
      </c>
      <c r="S1038" s="5"/>
      <c r="T1038" s="27" t="b">
        <f>IF($G1038&lt;&gt;0,SUMIF(куб!$G:$G,$G1038,куб!L:L),IF($E1038&lt;&gt;0,SUMIF(куб!$E:$E,$E1038,куб!L:L),IF($D1038&lt;&gt;0,SUMIF(куб!$D:$D,$D1038,куб!L:L),IF($C1038&lt;&gt;0,SUMIF(куб!$C:$C,$C1038,куб!L:L),IF($B1038&lt;&gt;0,SUMIF(куб!$B:$B,$B1038,куб!L:L))))))</f>
        <v>0</v>
      </c>
      <c r="U1038" s="27" t="b">
        <f>IF($G1038&lt;&gt;0,SUMIF(куб!$G:$G,$G1038,куб!M:M),IF($E1038&lt;&gt;0,SUMIF(куб!$E:$E,$E1038,куб!M:M),IF($D1038&lt;&gt;0,SUMIF(куб!$D:$D,$D1038,куб!M:M),IF($C1038&lt;&gt;0,SUMIF(куб!$C:$C,$C1038,куб!M:M),IF($B1038&lt;&gt;0,SUMIF(куб!$B:$B,$B1038,куб!M:M))))))</f>
        <v>0</v>
      </c>
      <c r="V1038" s="13" t="str">
        <f t="shared" si="332"/>
        <v>-</v>
      </c>
      <c r="W1038" s="5"/>
      <c r="X1038" s="27" t="b">
        <f>IF($G1038&lt;&gt;0,SUMIF(куб!$G:$G,$G1038,куб!N:N),IF($E1038&lt;&gt;0,SUMIF(куб!$E:$E,$E1038,куб!N:N),IF($D1038&lt;&gt;0,SUMIF(куб!$D:$D,$D1038,куб!N:N),IF($C1038&lt;&gt;0,SUMIF(куб!$C:$C,$C1038,куб!N:N),IF($B1038&lt;&gt;0,SUMIF(куб!$B:$B,$B1038,куб!N:N))))))</f>
        <v>0</v>
      </c>
      <c r="Y1038" s="27" t="b">
        <f>IF($G1038&lt;&gt;0,SUMIF(куб!$G:$G,$G1038,куб!O:O),IF($E1038&lt;&gt;0,SUMIF(куб!$E:$E,$E1038,куб!O:O),IF($D1038&lt;&gt;0,SUMIF(куб!$D:$D,$D1038,куб!O:O),IF($C1038&lt;&gt;0,SUMIF(куб!$C:$C,$C1038,куб!O:O),IF($B1038&lt;&gt;0,SUMIF(куб!$B:$B,$B1038,куб!O:O))))))</f>
        <v>0</v>
      </c>
      <c r="Z1038" s="13" t="str">
        <f t="shared" si="333"/>
        <v>-</v>
      </c>
      <c r="AA1038" s="5"/>
      <c r="AB1038" s="33" t="str">
        <f t="shared" si="334"/>
        <v/>
      </c>
      <c r="AC1038" s="33" t="str">
        <f t="shared" si="335"/>
        <v/>
      </c>
      <c r="AD1038" s="15" t="str">
        <f t="shared" si="336"/>
        <v xml:space="preserve"> </v>
      </c>
      <c r="AE1038" s="5"/>
      <c r="AF1038" s="27" t="b">
        <f>IF($G1038&lt;&gt;0,SUMIF(куб!$G:$G,$G1038,куб!R:R),IF($E1038&lt;&gt;0,SUMIF(куб!$E:$E,$E1038,куб!R:R),IF($D1038&lt;&gt;0,SUMIF(куб!$D:$D,$D1038,куб!R:R),IF($C1038&lt;&gt;0,SUMIF(куб!$C:$C,$C1038,куб!R:R),IF($B1038&lt;&gt;0,SUMIF(куб!$B:$B,$B1038,куб!R:R))))))</f>
        <v>0</v>
      </c>
      <c r="AG1038" s="27" t="b">
        <f>IF($G1038&lt;&gt;0,SUMIF(куб!$G:$G,$G1038,куб!S:S),IF($E1038&lt;&gt;0,SUMIF(куб!$E:$E,$E1038,куб!S:S),IF($D1038&lt;&gt;0,SUMIF(куб!$D:$D,$D1038,куб!S:S),IF($C1038&lt;&gt;0,SUMIF(куб!$C:$C,$C1038,куб!S:S),IF($B1038&lt;&gt;0,SUMIF(куб!$B:$B,$B1038,куб!S:S))))))</f>
        <v>0</v>
      </c>
      <c r="AH1038" s="16" t="str">
        <f t="shared" si="337"/>
        <v>-</v>
      </c>
      <c r="AI1038" s="8"/>
      <c r="AJ1038" s="27" t="b">
        <f>IF($G1038&lt;&gt;0,SUMIF(куб!$G:$G,$G1038,куб!T:T),IF($E1038&lt;&gt;0,SUMIF(куб!$E:$E,$E1038,куб!T:T),IF($D1038&lt;&gt;0,SUMIF(куб!$D:$D,$D1038,куб!T:T),IF($C1038&lt;&gt;0,SUMIF(куб!$C:$C,$C1038,куб!T:T),IF($B1038&lt;&gt;0,SUMIF(куб!$B:$B,$B1038,куб!T:T))))))</f>
        <v>0</v>
      </c>
      <c r="AK1038" s="27" t="b">
        <f>IF($G1038&lt;&gt;0,SUMIF(куб!$G:$G,$G1038,куб!U:U),IF($E1038&lt;&gt;0,SUMIF(куб!$E:$E,$E1038,куб!U:U),IF($D1038&lt;&gt;0,SUMIF(куб!$D:$D,$D1038,куб!U:U),IF($C1038&lt;&gt;0,SUMIF(куб!$C:$C,$C1038,куб!U:U),IF($B1038&lt;&gt;0,SUMIF(куб!$B:$B,$B1038,куб!U:U))))))</f>
        <v>0</v>
      </c>
      <c r="AL1038" s="16" t="str">
        <f t="shared" si="338"/>
        <v>-</v>
      </c>
      <c r="AM1038" s="8"/>
      <c r="AN1038" s="17" t="str">
        <f t="shared" si="339"/>
        <v xml:space="preserve"> </v>
      </c>
      <c r="AO1038" s="17" t="str">
        <f t="shared" si="340"/>
        <v xml:space="preserve"> </v>
      </c>
      <c r="AP1038" s="16" t="str">
        <f t="shared" si="341"/>
        <v>-</v>
      </c>
      <c r="AQ1038" s="8"/>
      <c r="AR1038" s="17" t="str">
        <f t="shared" si="342"/>
        <v>-</v>
      </c>
      <c r="AS1038" s="17" t="str">
        <f t="shared" si="343"/>
        <v>-</v>
      </c>
      <c r="AT1038" s="13" t="str">
        <f t="shared" si="344"/>
        <v>-</v>
      </c>
      <c r="AU1038" s="8"/>
    </row>
    <row r="1039" spans="1:47" x14ac:dyDescent="0.25">
      <c r="H1039" s="27">
        <f>IF($G1039&lt;&gt;0,SUMIF(куб!$G:$G,$G1039,куб!H:H),IF($E1039&lt;&gt;0,SUMIF(куб!$E:$E,$E1039,куб!H:H),IF($D1039&lt;&gt;0,SUMIF(куб!$D:$D,$D1039,куб!H:H),IF($C1039&lt;&gt;0,SUMIF(куб!$C:$C,$C1039,куб!H:H),IF($B1039&lt;&gt;0,SUMIF(куб!$B:$B,$B1039,куб!H:H),IF($G1039&lt;&gt;0,SUMIF(куб!$A:$A,$G1039,куб!H:H),SUMIF(куб!$A:$A,$G1039,куб!H:H)))))))</f>
        <v>0</v>
      </c>
      <c r="I1039" s="27">
        <f>IF($G1039&lt;&gt;0,SUMIF(куб!$G:$G,$G1039,куб!I:I),IF($E1039&lt;&gt;0,SUMIF(куб!$E:$E,$E1039,куб!I:I),IF($D1039&lt;&gt;0,SUMIF(куб!$D:$D,$D1039,куб!I:I),IF($C1039&lt;&gt;0,SUMIF(куб!$C:$C,$C1039,куб!I:I),IF($B1039&lt;&gt;0,SUMIF(куб!$B:$B,$B1039,куб!I:I),IF($G1039&lt;&gt;0,SUMIF(куб!$A:$A,$G1039,куб!I:I),SUMIF(куб!$A:$A,$G1039,куб!I:I)))))))</f>
        <v>0</v>
      </c>
      <c r="J1039" s="19" t="str">
        <f t="shared" si="327"/>
        <v>-</v>
      </c>
      <c r="K1039" s="8"/>
      <c r="L1039" s="17">
        <f t="shared" si="328"/>
        <v>0</v>
      </c>
      <c r="M1039" s="17">
        <f t="shared" si="329"/>
        <v>0</v>
      </c>
      <c r="N1039" s="12">
        <f t="shared" si="330"/>
        <v>0</v>
      </c>
      <c r="O1039" s="5"/>
      <c r="P1039" s="27" t="b">
        <f>IF($G1039&lt;&gt;0,SUMIF(куб!$G:$G,$G1039,куб!J:J),IF($E1039&lt;&gt;0,SUMIF(куб!$E:$E,$E1039,куб!J:J),IF($D1039&lt;&gt;0,SUMIF(куб!$D:$D,$D1039,куб!J:J),IF($C1039&lt;&gt;0,SUMIF(куб!$C:$C,$C1039,куб!J:J),IF($B1039&lt;&gt;0,SUMIF(куб!$B:$B,$B1039,куб!J:J))))))</f>
        <v>0</v>
      </c>
      <c r="Q1039" s="27" t="b">
        <f>IF($G1039&lt;&gt;0,SUMIF(куб!$G:$G,$G1039,куб!K:K),IF($E1039&lt;&gt;0,SUMIF(куб!$E:$E,$E1039,куб!K:K),IF($D1039&lt;&gt;0,SUMIF(куб!$D:$D,$D1039,куб!K:K),IF($C1039&lt;&gt;0,SUMIF(куб!$C:$C,$C1039,куб!K:K),IF($B1039&lt;&gt;0,SUMIF(куб!$B:$B,$B1039,куб!K:K))))))</f>
        <v>0</v>
      </c>
      <c r="R1039" s="13" t="str">
        <f t="shared" si="331"/>
        <v>-</v>
      </c>
      <c r="S1039" s="5"/>
      <c r="T1039" s="27" t="b">
        <f>IF($G1039&lt;&gt;0,SUMIF(куб!$G:$G,$G1039,куб!L:L),IF($E1039&lt;&gt;0,SUMIF(куб!$E:$E,$E1039,куб!L:L),IF($D1039&lt;&gt;0,SUMIF(куб!$D:$D,$D1039,куб!L:L),IF($C1039&lt;&gt;0,SUMIF(куб!$C:$C,$C1039,куб!L:L),IF($B1039&lt;&gt;0,SUMIF(куб!$B:$B,$B1039,куб!L:L))))))</f>
        <v>0</v>
      </c>
      <c r="U1039" s="27" t="b">
        <f>IF($G1039&lt;&gt;0,SUMIF(куб!$G:$G,$G1039,куб!M:M),IF($E1039&lt;&gt;0,SUMIF(куб!$E:$E,$E1039,куб!M:M),IF($D1039&lt;&gt;0,SUMIF(куб!$D:$D,$D1039,куб!M:M),IF($C1039&lt;&gt;0,SUMIF(куб!$C:$C,$C1039,куб!M:M),IF($B1039&lt;&gt;0,SUMIF(куб!$B:$B,$B1039,куб!M:M))))))</f>
        <v>0</v>
      </c>
      <c r="V1039" s="13" t="str">
        <f t="shared" si="332"/>
        <v>-</v>
      </c>
      <c r="W1039" s="5"/>
      <c r="X1039" s="27" t="b">
        <f>IF($G1039&lt;&gt;0,SUMIF(куб!$G:$G,$G1039,куб!N:N),IF($E1039&lt;&gt;0,SUMIF(куб!$E:$E,$E1039,куб!N:N),IF($D1039&lt;&gt;0,SUMIF(куб!$D:$D,$D1039,куб!N:N),IF($C1039&lt;&gt;0,SUMIF(куб!$C:$C,$C1039,куб!N:N),IF($B1039&lt;&gt;0,SUMIF(куб!$B:$B,$B1039,куб!N:N))))))</f>
        <v>0</v>
      </c>
      <c r="Y1039" s="27" t="b">
        <f>IF($G1039&lt;&gt;0,SUMIF(куб!$G:$G,$G1039,куб!O:O),IF($E1039&lt;&gt;0,SUMIF(куб!$E:$E,$E1039,куб!O:O),IF($D1039&lt;&gt;0,SUMIF(куб!$D:$D,$D1039,куб!O:O),IF($C1039&lt;&gt;0,SUMIF(куб!$C:$C,$C1039,куб!O:O),IF($B1039&lt;&gt;0,SUMIF(куб!$B:$B,$B1039,куб!O:O))))))</f>
        <v>0</v>
      </c>
      <c r="Z1039" s="13" t="str">
        <f t="shared" si="333"/>
        <v>-</v>
      </c>
      <c r="AA1039" s="5"/>
      <c r="AB1039" s="33" t="str">
        <f t="shared" si="334"/>
        <v/>
      </c>
      <c r="AC1039" s="33" t="str">
        <f t="shared" si="335"/>
        <v/>
      </c>
      <c r="AD1039" s="15" t="str">
        <f t="shared" si="336"/>
        <v xml:space="preserve"> </v>
      </c>
      <c r="AE1039" s="5"/>
      <c r="AF1039" s="27" t="b">
        <f>IF($G1039&lt;&gt;0,SUMIF(куб!$G:$G,$G1039,куб!R:R),IF($E1039&lt;&gt;0,SUMIF(куб!$E:$E,$E1039,куб!R:R),IF($D1039&lt;&gt;0,SUMIF(куб!$D:$D,$D1039,куб!R:R),IF($C1039&lt;&gt;0,SUMIF(куб!$C:$C,$C1039,куб!R:R),IF($B1039&lt;&gt;0,SUMIF(куб!$B:$B,$B1039,куб!R:R))))))</f>
        <v>0</v>
      </c>
      <c r="AG1039" s="27" t="b">
        <f>IF($G1039&lt;&gt;0,SUMIF(куб!$G:$G,$G1039,куб!S:S),IF($E1039&lt;&gt;0,SUMIF(куб!$E:$E,$E1039,куб!S:S),IF($D1039&lt;&gt;0,SUMIF(куб!$D:$D,$D1039,куб!S:S),IF($C1039&lt;&gt;0,SUMIF(куб!$C:$C,$C1039,куб!S:S),IF($B1039&lt;&gt;0,SUMIF(куб!$B:$B,$B1039,куб!S:S))))))</f>
        <v>0</v>
      </c>
      <c r="AH1039" s="16" t="str">
        <f t="shared" si="337"/>
        <v>-</v>
      </c>
      <c r="AI1039" s="8"/>
      <c r="AJ1039" s="27" t="b">
        <f>IF($G1039&lt;&gt;0,SUMIF(куб!$G:$G,$G1039,куб!T:T),IF($E1039&lt;&gt;0,SUMIF(куб!$E:$E,$E1039,куб!T:T),IF($D1039&lt;&gt;0,SUMIF(куб!$D:$D,$D1039,куб!T:T),IF($C1039&lt;&gt;0,SUMIF(куб!$C:$C,$C1039,куб!T:T),IF($B1039&lt;&gt;0,SUMIF(куб!$B:$B,$B1039,куб!T:T))))))</f>
        <v>0</v>
      </c>
      <c r="AK1039" s="27" t="b">
        <f>IF($G1039&lt;&gt;0,SUMIF(куб!$G:$G,$G1039,куб!U:U),IF($E1039&lt;&gt;0,SUMIF(куб!$E:$E,$E1039,куб!U:U),IF($D1039&lt;&gt;0,SUMIF(куб!$D:$D,$D1039,куб!U:U),IF($C1039&lt;&gt;0,SUMIF(куб!$C:$C,$C1039,куб!U:U),IF($B1039&lt;&gt;0,SUMIF(куб!$B:$B,$B1039,куб!U:U))))))</f>
        <v>0</v>
      </c>
      <c r="AL1039" s="16" t="str">
        <f t="shared" si="338"/>
        <v>-</v>
      </c>
      <c r="AM1039" s="8"/>
      <c r="AN1039" s="17" t="str">
        <f t="shared" si="339"/>
        <v xml:space="preserve"> </v>
      </c>
      <c r="AO1039" s="17" t="str">
        <f t="shared" si="340"/>
        <v xml:space="preserve"> </v>
      </c>
      <c r="AP1039" s="16" t="str">
        <f t="shared" si="341"/>
        <v>-</v>
      </c>
      <c r="AQ1039" s="8"/>
      <c r="AR1039" s="17" t="str">
        <f t="shared" si="342"/>
        <v>-</v>
      </c>
      <c r="AS1039" s="17" t="str">
        <f t="shared" si="343"/>
        <v>-</v>
      </c>
      <c r="AT1039" s="13" t="str">
        <f t="shared" si="344"/>
        <v>-</v>
      </c>
      <c r="AU1039" s="8"/>
    </row>
    <row r="1040" spans="1:47" x14ac:dyDescent="0.25">
      <c r="H1040" s="27">
        <f>IF($G1040&lt;&gt;0,SUMIF(куб!$G:$G,$G1040,куб!H:H),IF($E1040&lt;&gt;0,SUMIF(куб!$E:$E,$E1040,куб!H:H),IF($D1040&lt;&gt;0,SUMIF(куб!$D:$D,$D1040,куб!H:H),IF($C1040&lt;&gt;0,SUMIF(куб!$C:$C,$C1040,куб!H:H),IF($B1040&lt;&gt;0,SUMIF(куб!$B:$B,$B1040,куб!H:H),IF($G1040&lt;&gt;0,SUMIF(куб!$A:$A,$G1040,куб!H:H),SUMIF(куб!$A:$A,$G1040,куб!H:H)))))))</f>
        <v>0</v>
      </c>
      <c r="I1040" s="27">
        <f>IF($G1040&lt;&gt;0,SUMIF(куб!$G:$G,$G1040,куб!I:I),IF($E1040&lt;&gt;0,SUMIF(куб!$E:$E,$E1040,куб!I:I),IF($D1040&lt;&gt;0,SUMIF(куб!$D:$D,$D1040,куб!I:I),IF($C1040&lt;&gt;0,SUMIF(куб!$C:$C,$C1040,куб!I:I),IF($B1040&lt;&gt;0,SUMIF(куб!$B:$B,$B1040,куб!I:I),IF($G1040&lt;&gt;0,SUMIF(куб!$A:$A,$G1040,куб!I:I),SUMIF(куб!$A:$A,$G1040,куб!I:I)))))))</f>
        <v>0</v>
      </c>
      <c r="J1040" s="19" t="str">
        <f t="shared" si="327"/>
        <v>-</v>
      </c>
      <c r="K1040" s="8"/>
      <c r="L1040" s="17">
        <f t="shared" si="328"/>
        <v>0</v>
      </c>
      <c r="M1040" s="17">
        <f t="shared" si="329"/>
        <v>0</v>
      </c>
      <c r="N1040" s="12">
        <f t="shared" si="330"/>
        <v>0</v>
      </c>
      <c r="O1040" s="5"/>
      <c r="P1040" s="27" t="b">
        <f>IF($G1040&lt;&gt;0,SUMIF(куб!$G:$G,$G1040,куб!J:J),IF($E1040&lt;&gt;0,SUMIF(куб!$E:$E,$E1040,куб!J:J),IF($D1040&lt;&gt;0,SUMIF(куб!$D:$D,$D1040,куб!J:J),IF($C1040&lt;&gt;0,SUMIF(куб!$C:$C,$C1040,куб!J:J),IF($B1040&lt;&gt;0,SUMIF(куб!$B:$B,$B1040,куб!J:J))))))</f>
        <v>0</v>
      </c>
      <c r="Q1040" s="27" t="b">
        <f>IF($G1040&lt;&gt;0,SUMIF(куб!$G:$G,$G1040,куб!K:K),IF($E1040&lt;&gt;0,SUMIF(куб!$E:$E,$E1040,куб!K:K),IF($D1040&lt;&gt;0,SUMIF(куб!$D:$D,$D1040,куб!K:K),IF($C1040&lt;&gt;0,SUMIF(куб!$C:$C,$C1040,куб!K:K),IF($B1040&lt;&gt;0,SUMIF(куб!$B:$B,$B1040,куб!K:K))))))</f>
        <v>0</v>
      </c>
      <c r="R1040" s="13" t="str">
        <f t="shared" si="331"/>
        <v>-</v>
      </c>
      <c r="S1040" s="5"/>
      <c r="T1040" s="27" t="b">
        <f>IF($G1040&lt;&gt;0,SUMIF(куб!$G:$G,$G1040,куб!L:L),IF($E1040&lt;&gt;0,SUMIF(куб!$E:$E,$E1040,куб!L:L),IF($D1040&lt;&gt;0,SUMIF(куб!$D:$D,$D1040,куб!L:L),IF($C1040&lt;&gt;0,SUMIF(куб!$C:$C,$C1040,куб!L:L),IF($B1040&lt;&gt;0,SUMIF(куб!$B:$B,$B1040,куб!L:L))))))</f>
        <v>0</v>
      </c>
      <c r="U1040" s="27" t="b">
        <f>IF($G1040&lt;&gt;0,SUMIF(куб!$G:$G,$G1040,куб!M:M),IF($E1040&lt;&gt;0,SUMIF(куб!$E:$E,$E1040,куб!M:M),IF($D1040&lt;&gt;0,SUMIF(куб!$D:$D,$D1040,куб!M:M),IF($C1040&lt;&gt;0,SUMIF(куб!$C:$C,$C1040,куб!M:M),IF($B1040&lt;&gt;0,SUMIF(куб!$B:$B,$B1040,куб!M:M))))))</f>
        <v>0</v>
      </c>
      <c r="V1040" s="13" t="str">
        <f t="shared" si="332"/>
        <v>-</v>
      </c>
      <c r="W1040" s="5"/>
      <c r="X1040" s="27" t="b">
        <f>IF($G1040&lt;&gt;0,SUMIF(куб!$G:$G,$G1040,куб!N:N),IF($E1040&lt;&gt;0,SUMIF(куб!$E:$E,$E1040,куб!N:N),IF($D1040&lt;&gt;0,SUMIF(куб!$D:$D,$D1040,куб!N:N),IF($C1040&lt;&gt;0,SUMIF(куб!$C:$C,$C1040,куб!N:N),IF($B1040&lt;&gt;0,SUMIF(куб!$B:$B,$B1040,куб!N:N))))))</f>
        <v>0</v>
      </c>
      <c r="Y1040" s="27" t="b">
        <f>IF($G1040&lt;&gt;0,SUMIF(куб!$G:$G,$G1040,куб!O:O),IF($E1040&lt;&gt;0,SUMIF(куб!$E:$E,$E1040,куб!O:O),IF($D1040&lt;&gt;0,SUMIF(куб!$D:$D,$D1040,куб!O:O),IF($C1040&lt;&gt;0,SUMIF(куб!$C:$C,$C1040,куб!O:O),IF($B1040&lt;&gt;0,SUMIF(куб!$B:$B,$B1040,куб!O:O))))))</f>
        <v>0</v>
      </c>
      <c r="Z1040" s="13" t="str">
        <f t="shared" si="333"/>
        <v>-</v>
      </c>
      <c r="AA1040" s="5"/>
      <c r="AB1040" s="33" t="str">
        <f t="shared" si="334"/>
        <v/>
      </c>
      <c r="AC1040" s="33" t="str">
        <f t="shared" si="335"/>
        <v/>
      </c>
      <c r="AD1040" s="15" t="str">
        <f t="shared" si="336"/>
        <v xml:space="preserve"> </v>
      </c>
      <c r="AE1040" s="5"/>
      <c r="AF1040" s="27" t="b">
        <f>IF($G1040&lt;&gt;0,SUMIF(куб!$G:$G,$G1040,куб!R:R),IF($E1040&lt;&gt;0,SUMIF(куб!$E:$E,$E1040,куб!R:R),IF($D1040&lt;&gt;0,SUMIF(куб!$D:$D,$D1040,куб!R:R),IF($C1040&lt;&gt;0,SUMIF(куб!$C:$C,$C1040,куб!R:R),IF($B1040&lt;&gt;0,SUMIF(куб!$B:$B,$B1040,куб!R:R))))))</f>
        <v>0</v>
      </c>
      <c r="AG1040" s="27" t="b">
        <f>IF($G1040&lt;&gt;0,SUMIF(куб!$G:$G,$G1040,куб!S:S),IF($E1040&lt;&gt;0,SUMIF(куб!$E:$E,$E1040,куб!S:S),IF($D1040&lt;&gt;0,SUMIF(куб!$D:$D,$D1040,куб!S:S),IF($C1040&lt;&gt;0,SUMIF(куб!$C:$C,$C1040,куб!S:S),IF($B1040&lt;&gt;0,SUMIF(куб!$B:$B,$B1040,куб!S:S))))))</f>
        <v>0</v>
      </c>
      <c r="AH1040" s="16" t="str">
        <f t="shared" si="337"/>
        <v>-</v>
      </c>
      <c r="AI1040" s="8"/>
      <c r="AJ1040" s="27" t="b">
        <f>IF($G1040&lt;&gt;0,SUMIF(куб!$G:$G,$G1040,куб!T:T),IF($E1040&lt;&gt;0,SUMIF(куб!$E:$E,$E1040,куб!T:T),IF($D1040&lt;&gt;0,SUMIF(куб!$D:$D,$D1040,куб!T:T),IF($C1040&lt;&gt;0,SUMIF(куб!$C:$C,$C1040,куб!T:T),IF($B1040&lt;&gt;0,SUMIF(куб!$B:$B,$B1040,куб!T:T))))))</f>
        <v>0</v>
      </c>
      <c r="AK1040" s="27" t="b">
        <f>IF($G1040&lt;&gt;0,SUMIF(куб!$G:$G,$G1040,куб!U:U),IF($E1040&lt;&gt;0,SUMIF(куб!$E:$E,$E1040,куб!U:U),IF($D1040&lt;&gt;0,SUMIF(куб!$D:$D,$D1040,куб!U:U),IF($C1040&lt;&gt;0,SUMIF(куб!$C:$C,$C1040,куб!U:U),IF($B1040&lt;&gt;0,SUMIF(куб!$B:$B,$B1040,куб!U:U))))))</f>
        <v>0</v>
      </c>
      <c r="AL1040" s="16" t="str">
        <f t="shared" si="338"/>
        <v>-</v>
      </c>
      <c r="AM1040" s="8"/>
      <c r="AN1040" s="17" t="str">
        <f t="shared" si="339"/>
        <v xml:space="preserve"> </v>
      </c>
      <c r="AO1040" s="17" t="str">
        <f t="shared" si="340"/>
        <v xml:space="preserve"> </v>
      </c>
      <c r="AP1040" s="16" t="str">
        <f t="shared" si="341"/>
        <v>-</v>
      </c>
      <c r="AQ1040" s="8"/>
      <c r="AR1040" s="17" t="str">
        <f t="shared" si="342"/>
        <v>-</v>
      </c>
      <c r="AS1040" s="17" t="str">
        <f t="shared" si="343"/>
        <v>-</v>
      </c>
      <c r="AT1040" s="13" t="str">
        <f t="shared" si="344"/>
        <v>-</v>
      </c>
      <c r="AU1040" s="8"/>
    </row>
    <row r="1041" spans="8:47" x14ac:dyDescent="0.25">
      <c r="H1041" s="27">
        <f>IF($G1041&lt;&gt;0,SUMIF(куб!$G:$G,$G1041,куб!H:H),IF($E1041&lt;&gt;0,SUMIF(куб!$E:$E,$E1041,куб!H:H),IF($D1041&lt;&gt;0,SUMIF(куб!$D:$D,$D1041,куб!H:H),IF($C1041&lt;&gt;0,SUMIF(куб!$C:$C,$C1041,куб!H:H),IF($B1041&lt;&gt;0,SUMIF(куб!$B:$B,$B1041,куб!H:H),IF($G1041&lt;&gt;0,SUMIF(куб!$A:$A,$G1041,куб!H:H),SUMIF(куб!$A:$A,$G1041,куб!H:H)))))))</f>
        <v>0</v>
      </c>
      <c r="I1041" s="27">
        <f>IF($G1041&lt;&gt;0,SUMIF(куб!$G:$G,$G1041,куб!I:I),IF($E1041&lt;&gt;0,SUMIF(куб!$E:$E,$E1041,куб!I:I),IF($D1041&lt;&gt;0,SUMIF(куб!$D:$D,$D1041,куб!I:I),IF($C1041&lt;&gt;0,SUMIF(куб!$C:$C,$C1041,куб!I:I),IF($B1041&lt;&gt;0,SUMIF(куб!$B:$B,$B1041,куб!I:I),IF($G1041&lt;&gt;0,SUMIF(куб!$A:$A,$G1041,куб!I:I),SUMIF(куб!$A:$A,$G1041,куб!I:I)))))))</f>
        <v>0</v>
      </c>
      <c r="J1041" s="19" t="str">
        <f t="shared" si="327"/>
        <v>-</v>
      </c>
      <c r="K1041" s="8"/>
      <c r="L1041" s="17">
        <f t="shared" si="328"/>
        <v>0</v>
      </c>
      <c r="M1041" s="17">
        <f t="shared" si="329"/>
        <v>0</v>
      </c>
      <c r="N1041" s="12">
        <f t="shared" si="330"/>
        <v>0</v>
      </c>
      <c r="O1041" s="5"/>
      <c r="P1041" s="27" t="b">
        <f>IF($G1041&lt;&gt;0,SUMIF(куб!$G:$G,$G1041,куб!J:J),IF($E1041&lt;&gt;0,SUMIF(куб!$E:$E,$E1041,куб!J:J),IF($D1041&lt;&gt;0,SUMIF(куб!$D:$D,$D1041,куб!J:J),IF($C1041&lt;&gt;0,SUMIF(куб!$C:$C,$C1041,куб!J:J),IF($B1041&lt;&gt;0,SUMIF(куб!$B:$B,$B1041,куб!J:J))))))</f>
        <v>0</v>
      </c>
      <c r="Q1041" s="27" t="b">
        <f>IF($G1041&lt;&gt;0,SUMIF(куб!$G:$G,$G1041,куб!K:K),IF($E1041&lt;&gt;0,SUMIF(куб!$E:$E,$E1041,куб!K:K),IF($D1041&lt;&gt;0,SUMIF(куб!$D:$D,$D1041,куб!K:K),IF($C1041&lt;&gt;0,SUMIF(куб!$C:$C,$C1041,куб!K:K),IF($B1041&lt;&gt;0,SUMIF(куб!$B:$B,$B1041,куб!K:K))))))</f>
        <v>0</v>
      </c>
      <c r="R1041" s="13" t="str">
        <f t="shared" si="331"/>
        <v>-</v>
      </c>
      <c r="S1041" s="5"/>
      <c r="T1041" s="27" t="b">
        <f>IF($G1041&lt;&gt;0,SUMIF(куб!$G:$G,$G1041,куб!L:L),IF($E1041&lt;&gt;0,SUMIF(куб!$E:$E,$E1041,куб!L:L),IF($D1041&lt;&gt;0,SUMIF(куб!$D:$D,$D1041,куб!L:L),IF($C1041&lt;&gt;0,SUMIF(куб!$C:$C,$C1041,куб!L:L),IF($B1041&lt;&gt;0,SUMIF(куб!$B:$B,$B1041,куб!L:L))))))</f>
        <v>0</v>
      </c>
      <c r="U1041" s="27" t="b">
        <f>IF($G1041&lt;&gt;0,SUMIF(куб!$G:$G,$G1041,куб!M:M),IF($E1041&lt;&gt;0,SUMIF(куб!$E:$E,$E1041,куб!M:M),IF($D1041&lt;&gt;0,SUMIF(куб!$D:$D,$D1041,куб!M:M),IF($C1041&lt;&gt;0,SUMIF(куб!$C:$C,$C1041,куб!M:M),IF($B1041&lt;&gt;0,SUMIF(куб!$B:$B,$B1041,куб!M:M))))))</f>
        <v>0</v>
      </c>
      <c r="V1041" s="13" t="str">
        <f t="shared" si="332"/>
        <v>-</v>
      </c>
      <c r="W1041" s="5"/>
      <c r="X1041" s="27" t="b">
        <f>IF($G1041&lt;&gt;0,SUMIF(куб!$G:$G,$G1041,куб!N:N),IF($E1041&lt;&gt;0,SUMIF(куб!$E:$E,$E1041,куб!N:N),IF($D1041&lt;&gt;0,SUMIF(куб!$D:$D,$D1041,куб!N:N),IF($C1041&lt;&gt;0,SUMIF(куб!$C:$C,$C1041,куб!N:N),IF($B1041&lt;&gt;0,SUMIF(куб!$B:$B,$B1041,куб!N:N))))))</f>
        <v>0</v>
      </c>
      <c r="Y1041" s="27" t="b">
        <f>IF($G1041&lt;&gt;0,SUMIF(куб!$G:$G,$G1041,куб!O:O),IF($E1041&lt;&gt;0,SUMIF(куб!$E:$E,$E1041,куб!O:O),IF($D1041&lt;&gt;0,SUMIF(куб!$D:$D,$D1041,куб!O:O),IF($C1041&lt;&gt;0,SUMIF(куб!$C:$C,$C1041,куб!O:O),IF($B1041&lt;&gt;0,SUMIF(куб!$B:$B,$B1041,куб!O:O))))))</f>
        <v>0</v>
      </c>
      <c r="Z1041" s="13" t="str">
        <f t="shared" si="333"/>
        <v>-</v>
      </c>
      <c r="AA1041" s="5"/>
      <c r="AB1041" s="33" t="str">
        <f t="shared" si="334"/>
        <v/>
      </c>
      <c r="AC1041" s="33" t="str">
        <f t="shared" si="335"/>
        <v/>
      </c>
      <c r="AD1041" s="15" t="str">
        <f t="shared" si="336"/>
        <v xml:space="preserve"> </v>
      </c>
      <c r="AE1041" s="5"/>
      <c r="AF1041" s="27" t="b">
        <f>IF($G1041&lt;&gt;0,SUMIF(куб!$G:$G,$G1041,куб!R:R),IF($E1041&lt;&gt;0,SUMIF(куб!$E:$E,$E1041,куб!R:R),IF($D1041&lt;&gt;0,SUMIF(куб!$D:$D,$D1041,куб!R:R),IF($C1041&lt;&gt;0,SUMIF(куб!$C:$C,$C1041,куб!R:R),IF($B1041&lt;&gt;0,SUMIF(куб!$B:$B,$B1041,куб!R:R))))))</f>
        <v>0</v>
      </c>
      <c r="AG1041" s="27" t="b">
        <f>IF($G1041&lt;&gt;0,SUMIF(куб!$G:$G,$G1041,куб!S:S),IF($E1041&lt;&gt;0,SUMIF(куб!$E:$E,$E1041,куб!S:S),IF($D1041&lt;&gt;0,SUMIF(куб!$D:$D,$D1041,куб!S:S),IF($C1041&lt;&gt;0,SUMIF(куб!$C:$C,$C1041,куб!S:S),IF($B1041&lt;&gt;0,SUMIF(куб!$B:$B,$B1041,куб!S:S))))))</f>
        <v>0</v>
      </c>
      <c r="AH1041" s="16" t="str">
        <f t="shared" si="337"/>
        <v>-</v>
      </c>
      <c r="AI1041" s="8"/>
      <c r="AJ1041" s="27" t="b">
        <f>IF($G1041&lt;&gt;0,SUMIF(куб!$G:$G,$G1041,куб!T:T),IF($E1041&lt;&gt;0,SUMIF(куб!$E:$E,$E1041,куб!T:T),IF($D1041&lt;&gt;0,SUMIF(куб!$D:$D,$D1041,куб!T:T),IF($C1041&lt;&gt;0,SUMIF(куб!$C:$C,$C1041,куб!T:T),IF($B1041&lt;&gt;0,SUMIF(куб!$B:$B,$B1041,куб!T:T))))))</f>
        <v>0</v>
      </c>
      <c r="AK1041" s="27" t="b">
        <f>IF($G1041&lt;&gt;0,SUMIF(куб!$G:$G,$G1041,куб!U:U),IF($E1041&lt;&gt;0,SUMIF(куб!$E:$E,$E1041,куб!U:U),IF($D1041&lt;&gt;0,SUMIF(куб!$D:$D,$D1041,куб!U:U),IF($C1041&lt;&gt;0,SUMIF(куб!$C:$C,$C1041,куб!U:U),IF($B1041&lt;&gt;0,SUMIF(куб!$B:$B,$B1041,куб!U:U))))))</f>
        <v>0</v>
      </c>
      <c r="AL1041" s="16" t="str">
        <f t="shared" si="338"/>
        <v>-</v>
      </c>
      <c r="AM1041" s="8"/>
      <c r="AN1041" s="17" t="str">
        <f t="shared" si="339"/>
        <v xml:space="preserve"> </v>
      </c>
      <c r="AO1041" s="17" t="str">
        <f t="shared" si="340"/>
        <v xml:space="preserve"> </v>
      </c>
      <c r="AP1041" s="16" t="str">
        <f t="shared" si="341"/>
        <v>-</v>
      </c>
      <c r="AQ1041" s="8"/>
      <c r="AR1041" s="17" t="str">
        <f t="shared" si="342"/>
        <v>-</v>
      </c>
      <c r="AS1041" s="17" t="str">
        <f t="shared" si="343"/>
        <v>-</v>
      </c>
      <c r="AT1041" s="13" t="str">
        <f t="shared" si="344"/>
        <v>-</v>
      </c>
      <c r="AU1041" s="8"/>
    </row>
    <row r="1042" spans="8:47" x14ac:dyDescent="0.25">
      <c r="H1042" s="27">
        <f>IF($G1042&lt;&gt;0,SUMIF(куб!$G:$G,$G1042,куб!H:H),IF($E1042&lt;&gt;0,SUMIF(куб!$E:$E,$E1042,куб!H:H),IF($D1042&lt;&gt;0,SUMIF(куб!$D:$D,$D1042,куб!H:H),IF($C1042&lt;&gt;0,SUMIF(куб!$C:$C,$C1042,куб!H:H),IF($B1042&lt;&gt;0,SUMIF(куб!$B:$B,$B1042,куб!H:H),IF($G1042&lt;&gt;0,SUMIF(куб!$A:$A,$G1042,куб!H:H),SUMIF(куб!$A:$A,$G1042,куб!H:H)))))))</f>
        <v>0</v>
      </c>
      <c r="I1042" s="27">
        <f>IF($G1042&lt;&gt;0,SUMIF(куб!$G:$G,$G1042,куб!I:I),IF($E1042&lt;&gt;0,SUMIF(куб!$E:$E,$E1042,куб!I:I),IF($D1042&lt;&gt;0,SUMIF(куб!$D:$D,$D1042,куб!I:I),IF($C1042&lt;&gt;0,SUMIF(куб!$C:$C,$C1042,куб!I:I),IF($B1042&lt;&gt;0,SUMIF(куб!$B:$B,$B1042,куб!I:I),IF($G1042&lt;&gt;0,SUMIF(куб!$A:$A,$G1042,куб!I:I),SUMIF(куб!$A:$A,$G1042,куб!I:I)))))))</f>
        <v>0</v>
      </c>
      <c r="J1042" s="19" t="str">
        <f t="shared" si="327"/>
        <v>-</v>
      </c>
      <c r="K1042" s="8"/>
      <c r="L1042" s="17">
        <f t="shared" si="328"/>
        <v>0</v>
      </c>
      <c r="M1042" s="17">
        <f t="shared" si="329"/>
        <v>0</v>
      </c>
      <c r="N1042" s="12">
        <f t="shared" si="330"/>
        <v>0</v>
      </c>
      <c r="O1042" s="5"/>
      <c r="P1042" s="27" t="b">
        <f>IF($G1042&lt;&gt;0,SUMIF(куб!$G:$G,$G1042,куб!J:J),IF($E1042&lt;&gt;0,SUMIF(куб!$E:$E,$E1042,куб!J:J),IF($D1042&lt;&gt;0,SUMIF(куб!$D:$D,$D1042,куб!J:J),IF($C1042&lt;&gt;0,SUMIF(куб!$C:$C,$C1042,куб!J:J),IF($B1042&lt;&gt;0,SUMIF(куб!$B:$B,$B1042,куб!J:J))))))</f>
        <v>0</v>
      </c>
      <c r="Q1042" s="27" t="b">
        <f>IF($G1042&lt;&gt;0,SUMIF(куб!$G:$G,$G1042,куб!K:K),IF($E1042&lt;&gt;0,SUMIF(куб!$E:$E,$E1042,куб!K:K),IF($D1042&lt;&gt;0,SUMIF(куб!$D:$D,$D1042,куб!K:K),IF($C1042&lt;&gt;0,SUMIF(куб!$C:$C,$C1042,куб!K:K),IF($B1042&lt;&gt;0,SUMIF(куб!$B:$B,$B1042,куб!K:K))))))</f>
        <v>0</v>
      </c>
      <c r="R1042" s="13" t="str">
        <f t="shared" si="331"/>
        <v>-</v>
      </c>
      <c r="S1042" s="5"/>
      <c r="T1042" s="27" t="b">
        <f>IF($G1042&lt;&gt;0,SUMIF(куб!$G:$G,$G1042,куб!L:L),IF($E1042&lt;&gt;0,SUMIF(куб!$E:$E,$E1042,куб!L:L),IF($D1042&lt;&gt;0,SUMIF(куб!$D:$D,$D1042,куб!L:L),IF($C1042&lt;&gt;0,SUMIF(куб!$C:$C,$C1042,куб!L:L),IF($B1042&lt;&gt;0,SUMIF(куб!$B:$B,$B1042,куб!L:L))))))</f>
        <v>0</v>
      </c>
      <c r="U1042" s="27" t="b">
        <f>IF($G1042&lt;&gt;0,SUMIF(куб!$G:$G,$G1042,куб!M:M),IF($E1042&lt;&gt;0,SUMIF(куб!$E:$E,$E1042,куб!M:M),IF($D1042&lt;&gt;0,SUMIF(куб!$D:$D,$D1042,куб!M:M),IF($C1042&lt;&gt;0,SUMIF(куб!$C:$C,$C1042,куб!M:M),IF($B1042&lt;&gt;0,SUMIF(куб!$B:$B,$B1042,куб!M:M))))))</f>
        <v>0</v>
      </c>
      <c r="V1042" s="13" t="str">
        <f t="shared" si="332"/>
        <v>-</v>
      </c>
      <c r="W1042" s="5"/>
      <c r="X1042" s="27" t="b">
        <f>IF($G1042&lt;&gt;0,SUMIF(куб!$G:$G,$G1042,куб!N:N),IF($E1042&lt;&gt;0,SUMIF(куб!$E:$E,$E1042,куб!N:N),IF($D1042&lt;&gt;0,SUMIF(куб!$D:$D,$D1042,куб!N:N),IF($C1042&lt;&gt;0,SUMIF(куб!$C:$C,$C1042,куб!N:N),IF($B1042&lt;&gt;0,SUMIF(куб!$B:$B,$B1042,куб!N:N))))))</f>
        <v>0</v>
      </c>
      <c r="Y1042" s="27" t="b">
        <f>IF($G1042&lt;&gt;0,SUMIF(куб!$G:$G,$G1042,куб!O:O),IF($E1042&lt;&gt;0,SUMIF(куб!$E:$E,$E1042,куб!O:O),IF($D1042&lt;&gt;0,SUMIF(куб!$D:$D,$D1042,куб!O:O),IF($C1042&lt;&gt;0,SUMIF(куб!$C:$C,$C1042,куб!O:O),IF($B1042&lt;&gt;0,SUMIF(куб!$B:$B,$B1042,куб!O:O))))))</f>
        <v>0</v>
      </c>
      <c r="Z1042" s="13" t="str">
        <f t="shared" si="333"/>
        <v>-</v>
      </c>
      <c r="AA1042" s="5"/>
      <c r="AB1042" s="33" t="str">
        <f t="shared" si="334"/>
        <v/>
      </c>
      <c r="AC1042" s="33" t="str">
        <f t="shared" si="335"/>
        <v/>
      </c>
      <c r="AD1042" s="15" t="str">
        <f t="shared" si="336"/>
        <v xml:space="preserve"> </v>
      </c>
      <c r="AE1042" s="5"/>
      <c r="AF1042" s="27" t="b">
        <f>IF($G1042&lt;&gt;0,SUMIF(куб!$G:$G,$G1042,куб!R:R),IF($E1042&lt;&gt;0,SUMIF(куб!$E:$E,$E1042,куб!R:R),IF($D1042&lt;&gt;0,SUMIF(куб!$D:$D,$D1042,куб!R:R),IF($C1042&lt;&gt;0,SUMIF(куб!$C:$C,$C1042,куб!R:R),IF($B1042&lt;&gt;0,SUMIF(куб!$B:$B,$B1042,куб!R:R))))))</f>
        <v>0</v>
      </c>
      <c r="AG1042" s="27" t="b">
        <f>IF($G1042&lt;&gt;0,SUMIF(куб!$G:$G,$G1042,куб!S:S),IF($E1042&lt;&gt;0,SUMIF(куб!$E:$E,$E1042,куб!S:S),IF($D1042&lt;&gt;0,SUMIF(куб!$D:$D,$D1042,куб!S:S),IF($C1042&lt;&gt;0,SUMIF(куб!$C:$C,$C1042,куб!S:S),IF($B1042&lt;&gt;0,SUMIF(куб!$B:$B,$B1042,куб!S:S))))))</f>
        <v>0</v>
      </c>
      <c r="AH1042" s="16" t="str">
        <f t="shared" si="337"/>
        <v>-</v>
      </c>
      <c r="AI1042" s="8"/>
      <c r="AJ1042" s="27" t="b">
        <f>IF($G1042&lt;&gt;0,SUMIF(куб!$G:$G,$G1042,куб!T:T),IF($E1042&lt;&gt;0,SUMIF(куб!$E:$E,$E1042,куб!T:T),IF($D1042&lt;&gt;0,SUMIF(куб!$D:$D,$D1042,куб!T:T),IF($C1042&lt;&gt;0,SUMIF(куб!$C:$C,$C1042,куб!T:T),IF($B1042&lt;&gt;0,SUMIF(куб!$B:$B,$B1042,куб!T:T))))))</f>
        <v>0</v>
      </c>
      <c r="AK1042" s="27" t="b">
        <f>IF($G1042&lt;&gt;0,SUMIF(куб!$G:$G,$G1042,куб!U:U),IF($E1042&lt;&gt;0,SUMIF(куб!$E:$E,$E1042,куб!U:U),IF($D1042&lt;&gt;0,SUMIF(куб!$D:$D,$D1042,куб!U:U),IF($C1042&lt;&gt;0,SUMIF(куб!$C:$C,$C1042,куб!U:U),IF($B1042&lt;&gt;0,SUMIF(куб!$B:$B,$B1042,куб!U:U))))))</f>
        <v>0</v>
      </c>
      <c r="AL1042" s="16" t="str">
        <f t="shared" si="338"/>
        <v>-</v>
      </c>
      <c r="AM1042" s="8"/>
      <c r="AN1042" s="17" t="str">
        <f t="shared" si="339"/>
        <v xml:space="preserve"> </v>
      </c>
      <c r="AO1042" s="17" t="str">
        <f t="shared" si="340"/>
        <v xml:space="preserve"> </v>
      </c>
      <c r="AP1042" s="16" t="str">
        <f t="shared" si="341"/>
        <v>-</v>
      </c>
      <c r="AQ1042" s="8"/>
      <c r="AR1042" s="17" t="str">
        <f t="shared" si="342"/>
        <v>-</v>
      </c>
      <c r="AS1042" s="17" t="str">
        <f t="shared" si="343"/>
        <v>-</v>
      </c>
      <c r="AT1042" s="13" t="str">
        <f t="shared" si="344"/>
        <v>-</v>
      </c>
      <c r="AU1042" s="8"/>
    </row>
    <row r="1043" spans="8:47" x14ac:dyDescent="0.25">
      <c r="H1043" s="27">
        <f>IF($G1043&lt;&gt;0,SUMIF(куб!$G:$G,$G1043,куб!H:H),IF($E1043&lt;&gt;0,SUMIF(куб!$E:$E,$E1043,куб!H:H),IF($D1043&lt;&gt;0,SUMIF(куб!$D:$D,$D1043,куб!H:H),IF($C1043&lt;&gt;0,SUMIF(куб!$C:$C,$C1043,куб!H:H),IF($B1043&lt;&gt;0,SUMIF(куб!$B:$B,$B1043,куб!H:H),IF($G1043&lt;&gt;0,SUMIF(куб!$A:$A,$G1043,куб!H:H),SUMIF(куб!$A:$A,$G1043,куб!H:H)))))))</f>
        <v>0</v>
      </c>
      <c r="I1043" s="27">
        <f>IF($G1043&lt;&gt;0,SUMIF(куб!$G:$G,$G1043,куб!I:I),IF($E1043&lt;&gt;0,SUMIF(куб!$E:$E,$E1043,куб!I:I),IF($D1043&lt;&gt;0,SUMIF(куб!$D:$D,$D1043,куб!I:I),IF($C1043&lt;&gt;0,SUMIF(куб!$C:$C,$C1043,куб!I:I),IF($B1043&lt;&gt;0,SUMIF(куб!$B:$B,$B1043,куб!I:I),IF($G1043&lt;&gt;0,SUMIF(куб!$A:$A,$G1043,куб!I:I),SUMIF(куб!$A:$A,$G1043,куб!I:I)))))))</f>
        <v>0</v>
      </c>
      <c r="J1043" s="19" t="str">
        <f t="shared" si="327"/>
        <v>-</v>
      </c>
      <c r="K1043" s="8"/>
      <c r="L1043" s="17">
        <f t="shared" si="328"/>
        <v>0</v>
      </c>
      <c r="M1043" s="17">
        <f t="shared" si="329"/>
        <v>0</v>
      </c>
      <c r="N1043" s="12">
        <f t="shared" si="330"/>
        <v>0</v>
      </c>
      <c r="O1043" s="5"/>
      <c r="P1043" s="27" t="b">
        <f>IF($G1043&lt;&gt;0,SUMIF(куб!$G:$G,$G1043,куб!J:J),IF($E1043&lt;&gt;0,SUMIF(куб!$E:$E,$E1043,куб!J:J),IF($D1043&lt;&gt;0,SUMIF(куб!$D:$D,$D1043,куб!J:J),IF($C1043&lt;&gt;0,SUMIF(куб!$C:$C,$C1043,куб!J:J),IF($B1043&lt;&gt;0,SUMIF(куб!$B:$B,$B1043,куб!J:J))))))</f>
        <v>0</v>
      </c>
      <c r="Q1043" s="27" t="b">
        <f>IF($G1043&lt;&gt;0,SUMIF(куб!$G:$G,$G1043,куб!K:K),IF($E1043&lt;&gt;0,SUMIF(куб!$E:$E,$E1043,куб!K:K),IF($D1043&lt;&gt;0,SUMIF(куб!$D:$D,$D1043,куб!K:K),IF($C1043&lt;&gt;0,SUMIF(куб!$C:$C,$C1043,куб!K:K),IF($B1043&lt;&gt;0,SUMIF(куб!$B:$B,$B1043,куб!K:K))))))</f>
        <v>0</v>
      </c>
      <c r="R1043" s="13" t="str">
        <f t="shared" si="331"/>
        <v>-</v>
      </c>
      <c r="S1043" s="5"/>
      <c r="T1043" s="27" t="b">
        <f>IF($G1043&lt;&gt;0,SUMIF(куб!$G:$G,$G1043,куб!L:L),IF($E1043&lt;&gt;0,SUMIF(куб!$E:$E,$E1043,куб!L:L),IF($D1043&lt;&gt;0,SUMIF(куб!$D:$D,$D1043,куб!L:L),IF($C1043&lt;&gt;0,SUMIF(куб!$C:$C,$C1043,куб!L:L),IF($B1043&lt;&gt;0,SUMIF(куб!$B:$B,$B1043,куб!L:L))))))</f>
        <v>0</v>
      </c>
      <c r="U1043" s="27" t="b">
        <f>IF($G1043&lt;&gt;0,SUMIF(куб!$G:$G,$G1043,куб!M:M),IF($E1043&lt;&gt;0,SUMIF(куб!$E:$E,$E1043,куб!M:M),IF($D1043&lt;&gt;0,SUMIF(куб!$D:$D,$D1043,куб!M:M),IF($C1043&lt;&gt;0,SUMIF(куб!$C:$C,$C1043,куб!M:M),IF($B1043&lt;&gt;0,SUMIF(куб!$B:$B,$B1043,куб!M:M))))))</f>
        <v>0</v>
      </c>
      <c r="V1043" s="13" t="str">
        <f t="shared" si="332"/>
        <v>-</v>
      </c>
      <c r="W1043" s="5"/>
      <c r="X1043" s="27" t="b">
        <f>IF($G1043&lt;&gt;0,SUMIF(куб!$G:$G,$G1043,куб!N:N),IF($E1043&lt;&gt;0,SUMIF(куб!$E:$E,$E1043,куб!N:N),IF($D1043&lt;&gt;0,SUMIF(куб!$D:$D,$D1043,куб!N:N),IF($C1043&lt;&gt;0,SUMIF(куб!$C:$C,$C1043,куб!N:N),IF($B1043&lt;&gt;0,SUMIF(куб!$B:$B,$B1043,куб!N:N))))))</f>
        <v>0</v>
      </c>
      <c r="Y1043" s="27" t="b">
        <f>IF($G1043&lt;&gt;0,SUMIF(куб!$G:$G,$G1043,куб!O:O),IF($E1043&lt;&gt;0,SUMIF(куб!$E:$E,$E1043,куб!O:O),IF($D1043&lt;&gt;0,SUMIF(куб!$D:$D,$D1043,куб!O:O),IF($C1043&lt;&gt;0,SUMIF(куб!$C:$C,$C1043,куб!O:O),IF($B1043&lt;&gt;0,SUMIF(куб!$B:$B,$B1043,куб!O:O))))))</f>
        <v>0</v>
      </c>
      <c r="Z1043" s="13" t="str">
        <f t="shared" si="333"/>
        <v>-</v>
      </c>
      <c r="AA1043" s="5"/>
      <c r="AB1043" s="33" t="str">
        <f t="shared" si="334"/>
        <v/>
      </c>
      <c r="AC1043" s="33" t="str">
        <f t="shared" si="335"/>
        <v/>
      </c>
      <c r="AD1043" s="15" t="str">
        <f t="shared" si="336"/>
        <v xml:space="preserve"> </v>
      </c>
      <c r="AE1043" s="5"/>
      <c r="AF1043" s="27" t="b">
        <f>IF($G1043&lt;&gt;0,SUMIF(куб!$G:$G,$G1043,куб!R:R),IF($E1043&lt;&gt;0,SUMIF(куб!$E:$E,$E1043,куб!R:R),IF($D1043&lt;&gt;0,SUMIF(куб!$D:$D,$D1043,куб!R:R),IF($C1043&lt;&gt;0,SUMIF(куб!$C:$C,$C1043,куб!R:R),IF($B1043&lt;&gt;0,SUMIF(куб!$B:$B,$B1043,куб!R:R))))))</f>
        <v>0</v>
      </c>
      <c r="AG1043" s="27" t="b">
        <f>IF($G1043&lt;&gt;0,SUMIF(куб!$G:$G,$G1043,куб!S:S),IF($E1043&lt;&gt;0,SUMIF(куб!$E:$E,$E1043,куб!S:S),IF($D1043&lt;&gt;0,SUMIF(куб!$D:$D,$D1043,куб!S:S),IF($C1043&lt;&gt;0,SUMIF(куб!$C:$C,$C1043,куб!S:S),IF($B1043&lt;&gt;0,SUMIF(куб!$B:$B,$B1043,куб!S:S))))))</f>
        <v>0</v>
      </c>
      <c r="AH1043" s="16" t="str">
        <f t="shared" si="337"/>
        <v>-</v>
      </c>
      <c r="AI1043" s="8"/>
      <c r="AJ1043" s="27" t="b">
        <f>IF($G1043&lt;&gt;0,SUMIF(куб!$G:$G,$G1043,куб!T:T),IF($E1043&lt;&gt;0,SUMIF(куб!$E:$E,$E1043,куб!T:T),IF($D1043&lt;&gt;0,SUMIF(куб!$D:$D,$D1043,куб!T:T),IF($C1043&lt;&gt;0,SUMIF(куб!$C:$C,$C1043,куб!T:T),IF($B1043&lt;&gt;0,SUMIF(куб!$B:$B,$B1043,куб!T:T))))))</f>
        <v>0</v>
      </c>
      <c r="AK1043" s="27" t="b">
        <f>IF($G1043&lt;&gt;0,SUMIF(куб!$G:$G,$G1043,куб!U:U),IF($E1043&lt;&gt;0,SUMIF(куб!$E:$E,$E1043,куб!U:U),IF($D1043&lt;&gt;0,SUMIF(куб!$D:$D,$D1043,куб!U:U),IF($C1043&lt;&gt;0,SUMIF(куб!$C:$C,$C1043,куб!U:U),IF($B1043&lt;&gt;0,SUMIF(куб!$B:$B,$B1043,куб!U:U))))))</f>
        <v>0</v>
      </c>
      <c r="AL1043" s="16" t="str">
        <f t="shared" si="338"/>
        <v>-</v>
      </c>
      <c r="AM1043" s="8"/>
      <c r="AN1043" s="17" t="str">
        <f t="shared" si="339"/>
        <v xml:space="preserve"> </v>
      </c>
      <c r="AO1043" s="17" t="str">
        <f t="shared" si="340"/>
        <v xml:space="preserve"> </v>
      </c>
      <c r="AP1043" s="16" t="str">
        <f t="shared" si="341"/>
        <v>-</v>
      </c>
      <c r="AQ1043" s="8"/>
      <c r="AR1043" s="17" t="str">
        <f t="shared" si="342"/>
        <v>-</v>
      </c>
      <c r="AS1043" s="17" t="str">
        <f t="shared" si="343"/>
        <v>-</v>
      </c>
      <c r="AT1043" s="13" t="str">
        <f t="shared" si="344"/>
        <v>-</v>
      </c>
      <c r="AU1043" s="8"/>
    </row>
    <row r="1044" spans="8:47" x14ac:dyDescent="0.25">
      <c r="H1044" s="27">
        <f>IF($G1044&lt;&gt;0,SUMIF(куб!$G:$G,$G1044,куб!H:H),IF($E1044&lt;&gt;0,SUMIF(куб!$E:$E,$E1044,куб!H:H),IF($D1044&lt;&gt;0,SUMIF(куб!$D:$D,$D1044,куб!H:H),IF($C1044&lt;&gt;0,SUMIF(куб!$C:$C,$C1044,куб!H:H),IF($B1044&lt;&gt;0,SUMIF(куб!$B:$B,$B1044,куб!H:H),IF($G1044&lt;&gt;0,SUMIF(куб!$A:$A,$G1044,куб!H:H),SUMIF(куб!$A:$A,$G1044,куб!H:H)))))))</f>
        <v>0</v>
      </c>
      <c r="I1044" s="27">
        <f>IF($G1044&lt;&gt;0,SUMIF(куб!$G:$G,$G1044,куб!I:I),IF($E1044&lt;&gt;0,SUMIF(куб!$E:$E,$E1044,куб!I:I),IF($D1044&lt;&gt;0,SUMIF(куб!$D:$D,$D1044,куб!I:I),IF($C1044&lt;&gt;0,SUMIF(куб!$C:$C,$C1044,куб!I:I),IF($B1044&lt;&gt;0,SUMIF(куб!$B:$B,$B1044,куб!I:I),IF($G1044&lt;&gt;0,SUMIF(куб!$A:$A,$G1044,куб!I:I),SUMIF(куб!$A:$A,$G1044,куб!I:I)))))))</f>
        <v>0</v>
      </c>
      <c r="J1044" s="19" t="str">
        <f t="shared" si="327"/>
        <v>-</v>
      </c>
      <c r="K1044" s="8"/>
      <c r="L1044" s="17">
        <f t="shared" si="328"/>
        <v>0</v>
      </c>
      <c r="M1044" s="17">
        <f t="shared" si="329"/>
        <v>0</v>
      </c>
      <c r="N1044" s="12">
        <f t="shared" si="330"/>
        <v>0</v>
      </c>
      <c r="O1044" s="5"/>
      <c r="P1044" s="27" t="b">
        <f>IF($G1044&lt;&gt;0,SUMIF(куб!$G:$G,$G1044,куб!J:J),IF($E1044&lt;&gt;0,SUMIF(куб!$E:$E,$E1044,куб!J:J),IF($D1044&lt;&gt;0,SUMIF(куб!$D:$D,$D1044,куб!J:J),IF($C1044&lt;&gt;0,SUMIF(куб!$C:$C,$C1044,куб!J:J),IF($B1044&lt;&gt;0,SUMIF(куб!$B:$B,$B1044,куб!J:J))))))</f>
        <v>0</v>
      </c>
      <c r="Q1044" s="27" t="b">
        <f>IF($G1044&lt;&gt;0,SUMIF(куб!$G:$G,$G1044,куб!K:K),IF($E1044&lt;&gt;0,SUMIF(куб!$E:$E,$E1044,куб!K:K),IF($D1044&lt;&gt;0,SUMIF(куб!$D:$D,$D1044,куб!K:K),IF($C1044&lt;&gt;0,SUMIF(куб!$C:$C,$C1044,куб!K:K),IF($B1044&lt;&gt;0,SUMIF(куб!$B:$B,$B1044,куб!K:K))))))</f>
        <v>0</v>
      </c>
      <c r="R1044" s="13" t="str">
        <f t="shared" si="331"/>
        <v>-</v>
      </c>
      <c r="S1044" s="5"/>
      <c r="T1044" s="27" t="b">
        <f>IF($G1044&lt;&gt;0,SUMIF(куб!$G:$G,$G1044,куб!L:L),IF($E1044&lt;&gt;0,SUMIF(куб!$E:$E,$E1044,куб!L:L),IF($D1044&lt;&gt;0,SUMIF(куб!$D:$D,$D1044,куб!L:L),IF($C1044&lt;&gt;0,SUMIF(куб!$C:$C,$C1044,куб!L:L),IF($B1044&lt;&gt;0,SUMIF(куб!$B:$B,$B1044,куб!L:L))))))</f>
        <v>0</v>
      </c>
      <c r="U1044" s="27" t="b">
        <f>IF($G1044&lt;&gt;0,SUMIF(куб!$G:$G,$G1044,куб!M:M),IF($E1044&lt;&gt;0,SUMIF(куб!$E:$E,$E1044,куб!M:M),IF($D1044&lt;&gt;0,SUMIF(куб!$D:$D,$D1044,куб!M:M),IF($C1044&lt;&gt;0,SUMIF(куб!$C:$C,$C1044,куб!M:M),IF($B1044&lt;&gt;0,SUMIF(куб!$B:$B,$B1044,куб!M:M))))))</f>
        <v>0</v>
      </c>
      <c r="V1044" s="13" t="str">
        <f t="shared" si="332"/>
        <v>-</v>
      </c>
      <c r="W1044" s="5"/>
      <c r="X1044" s="27" t="b">
        <f>IF($G1044&lt;&gt;0,SUMIF(куб!$G:$G,$G1044,куб!N:N),IF($E1044&lt;&gt;0,SUMIF(куб!$E:$E,$E1044,куб!N:N),IF($D1044&lt;&gt;0,SUMIF(куб!$D:$D,$D1044,куб!N:N),IF($C1044&lt;&gt;0,SUMIF(куб!$C:$C,$C1044,куб!N:N),IF($B1044&lt;&gt;0,SUMIF(куб!$B:$B,$B1044,куб!N:N))))))</f>
        <v>0</v>
      </c>
      <c r="Y1044" s="27" t="b">
        <f>IF($G1044&lt;&gt;0,SUMIF(куб!$G:$G,$G1044,куб!O:O),IF($E1044&lt;&gt;0,SUMIF(куб!$E:$E,$E1044,куб!O:O),IF($D1044&lt;&gt;0,SUMIF(куб!$D:$D,$D1044,куб!O:O),IF($C1044&lt;&gt;0,SUMIF(куб!$C:$C,$C1044,куб!O:O),IF($B1044&lt;&gt;0,SUMIF(куб!$B:$B,$B1044,куб!O:O))))))</f>
        <v>0</v>
      </c>
      <c r="Z1044" s="13" t="str">
        <f t="shared" si="333"/>
        <v>-</v>
      </c>
      <c r="AA1044" s="5"/>
      <c r="AB1044" s="33" t="str">
        <f t="shared" si="334"/>
        <v/>
      </c>
      <c r="AC1044" s="33" t="str">
        <f t="shared" si="335"/>
        <v/>
      </c>
      <c r="AD1044" s="15" t="str">
        <f t="shared" si="336"/>
        <v xml:space="preserve"> </v>
      </c>
      <c r="AE1044" s="5"/>
      <c r="AF1044" s="27" t="b">
        <f>IF($G1044&lt;&gt;0,SUMIF(куб!$G:$G,$G1044,куб!R:R),IF($E1044&lt;&gt;0,SUMIF(куб!$E:$E,$E1044,куб!R:R),IF($D1044&lt;&gt;0,SUMIF(куб!$D:$D,$D1044,куб!R:R),IF($C1044&lt;&gt;0,SUMIF(куб!$C:$C,$C1044,куб!R:R),IF($B1044&lt;&gt;0,SUMIF(куб!$B:$B,$B1044,куб!R:R))))))</f>
        <v>0</v>
      </c>
      <c r="AG1044" s="27" t="b">
        <f>IF($G1044&lt;&gt;0,SUMIF(куб!$G:$G,$G1044,куб!S:S),IF($E1044&lt;&gt;0,SUMIF(куб!$E:$E,$E1044,куб!S:S),IF($D1044&lt;&gt;0,SUMIF(куб!$D:$D,$D1044,куб!S:S),IF($C1044&lt;&gt;0,SUMIF(куб!$C:$C,$C1044,куб!S:S),IF($B1044&lt;&gt;0,SUMIF(куб!$B:$B,$B1044,куб!S:S))))))</f>
        <v>0</v>
      </c>
      <c r="AH1044" s="16" t="str">
        <f t="shared" si="337"/>
        <v>-</v>
      </c>
      <c r="AI1044" s="8"/>
      <c r="AJ1044" s="27" t="b">
        <f>IF($G1044&lt;&gt;0,SUMIF(куб!$G:$G,$G1044,куб!T:T),IF($E1044&lt;&gt;0,SUMIF(куб!$E:$E,$E1044,куб!T:T),IF($D1044&lt;&gt;0,SUMIF(куб!$D:$D,$D1044,куб!T:T),IF($C1044&lt;&gt;0,SUMIF(куб!$C:$C,$C1044,куб!T:T),IF($B1044&lt;&gt;0,SUMIF(куб!$B:$B,$B1044,куб!T:T))))))</f>
        <v>0</v>
      </c>
      <c r="AK1044" s="27" t="b">
        <f>IF($G1044&lt;&gt;0,SUMIF(куб!$G:$G,$G1044,куб!U:U),IF($E1044&lt;&gt;0,SUMIF(куб!$E:$E,$E1044,куб!U:U),IF($D1044&lt;&gt;0,SUMIF(куб!$D:$D,$D1044,куб!U:U),IF($C1044&lt;&gt;0,SUMIF(куб!$C:$C,$C1044,куб!U:U),IF($B1044&lt;&gt;0,SUMIF(куб!$B:$B,$B1044,куб!U:U))))))</f>
        <v>0</v>
      </c>
      <c r="AL1044" s="16" t="str">
        <f t="shared" si="338"/>
        <v>-</v>
      </c>
      <c r="AM1044" s="8"/>
      <c r="AN1044" s="17" t="str">
        <f t="shared" si="339"/>
        <v xml:space="preserve"> </v>
      </c>
      <c r="AO1044" s="17" t="str">
        <f t="shared" si="340"/>
        <v xml:space="preserve"> </v>
      </c>
      <c r="AP1044" s="16" t="str">
        <f t="shared" si="341"/>
        <v>-</v>
      </c>
      <c r="AQ1044" s="8"/>
      <c r="AR1044" s="17" t="str">
        <f t="shared" si="342"/>
        <v>-</v>
      </c>
      <c r="AS1044" s="17" t="str">
        <f t="shared" si="343"/>
        <v>-</v>
      </c>
      <c r="AT1044" s="13" t="str">
        <f t="shared" si="344"/>
        <v>-</v>
      </c>
      <c r="AU1044" s="8"/>
    </row>
    <row r="1045" spans="8:47" x14ac:dyDescent="0.25">
      <c r="H1045" s="27">
        <f>IF($G1045&lt;&gt;0,SUMIF(куб!$G:$G,$G1045,куб!H:H),IF($E1045&lt;&gt;0,SUMIF(куб!$E:$E,$E1045,куб!H:H),IF($D1045&lt;&gt;0,SUMIF(куб!$D:$D,$D1045,куб!H:H),IF($C1045&lt;&gt;0,SUMIF(куб!$C:$C,$C1045,куб!H:H),IF($B1045&lt;&gt;0,SUMIF(куб!$B:$B,$B1045,куб!H:H),IF($G1045&lt;&gt;0,SUMIF(куб!$A:$A,$G1045,куб!H:H),SUMIF(куб!$A:$A,$G1045,куб!H:H)))))))</f>
        <v>0</v>
      </c>
      <c r="I1045" s="27">
        <f>IF($G1045&lt;&gt;0,SUMIF(куб!$G:$G,$G1045,куб!I:I),IF($E1045&lt;&gt;0,SUMIF(куб!$E:$E,$E1045,куб!I:I),IF($D1045&lt;&gt;0,SUMIF(куб!$D:$D,$D1045,куб!I:I),IF($C1045&lt;&gt;0,SUMIF(куб!$C:$C,$C1045,куб!I:I),IF($B1045&lt;&gt;0,SUMIF(куб!$B:$B,$B1045,куб!I:I),IF($G1045&lt;&gt;0,SUMIF(куб!$A:$A,$G1045,куб!I:I),SUMIF(куб!$A:$A,$G1045,куб!I:I)))))))</f>
        <v>0</v>
      </c>
      <c r="J1045" s="19" t="str">
        <f t="shared" si="327"/>
        <v>-</v>
      </c>
      <c r="K1045" s="8"/>
      <c r="L1045" s="17">
        <f t="shared" si="328"/>
        <v>0</v>
      </c>
      <c r="M1045" s="17">
        <f t="shared" si="329"/>
        <v>0</v>
      </c>
      <c r="N1045" s="12">
        <f t="shared" si="330"/>
        <v>0</v>
      </c>
      <c r="O1045" s="5"/>
      <c r="P1045" s="27" t="b">
        <f>IF($G1045&lt;&gt;0,SUMIF(куб!$G:$G,$G1045,куб!J:J),IF($E1045&lt;&gt;0,SUMIF(куб!$E:$E,$E1045,куб!J:J),IF($D1045&lt;&gt;0,SUMIF(куб!$D:$D,$D1045,куб!J:J),IF($C1045&lt;&gt;0,SUMIF(куб!$C:$C,$C1045,куб!J:J),IF($B1045&lt;&gt;0,SUMIF(куб!$B:$B,$B1045,куб!J:J))))))</f>
        <v>0</v>
      </c>
      <c r="Q1045" s="27" t="b">
        <f>IF($G1045&lt;&gt;0,SUMIF(куб!$G:$G,$G1045,куб!K:K),IF($E1045&lt;&gt;0,SUMIF(куб!$E:$E,$E1045,куб!K:K),IF($D1045&lt;&gt;0,SUMIF(куб!$D:$D,$D1045,куб!K:K),IF($C1045&lt;&gt;0,SUMIF(куб!$C:$C,$C1045,куб!K:K),IF($B1045&lt;&gt;0,SUMIF(куб!$B:$B,$B1045,куб!K:K))))))</f>
        <v>0</v>
      </c>
      <c r="R1045" s="13" t="str">
        <f t="shared" si="331"/>
        <v>-</v>
      </c>
      <c r="S1045" s="5"/>
      <c r="T1045" s="27" t="b">
        <f>IF($G1045&lt;&gt;0,SUMIF(куб!$G:$G,$G1045,куб!L:L),IF($E1045&lt;&gt;0,SUMIF(куб!$E:$E,$E1045,куб!L:L),IF($D1045&lt;&gt;0,SUMIF(куб!$D:$D,$D1045,куб!L:L),IF($C1045&lt;&gt;0,SUMIF(куб!$C:$C,$C1045,куб!L:L),IF($B1045&lt;&gt;0,SUMIF(куб!$B:$B,$B1045,куб!L:L))))))</f>
        <v>0</v>
      </c>
      <c r="U1045" s="27" t="b">
        <f>IF($G1045&lt;&gt;0,SUMIF(куб!$G:$G,$G1045,куб!M:M),IF($E1045&lt;&gt;0,SUMIF(куб!$E:$E,$E1045,куб!M:M),IF($D1045&lt;&gt;0,SUMIF(куб!$D:$D,$D1045,куб!M:M),IF($C1045&lt;&gt;0,SUMIF(куб!$C:$C,$C1045,куб!M:M),IF($B1045&lt;&gt;0,SUMIF(куб!$B:$B,$B1045,куб!M:M))))))</f>
        <v>0</v>
      </c>
      <c r="V1045" s="13" t="str">
        <f t="shared" si="332"/>
        <v>-</v>
      </c>
      <c r="W1045" s="5"/>
      <c r="X1045" s="27" t="b">
        <f>IF($G1045&lt;&gt;0,SUMIF(куб!$G:$G,$G1045,куб!N:N),IF($E1045&lt;&gt;0,SUMIF(куб!$E:$E,$E1045,куб!N:N),IF($D1045&lt;&gt;0,SUMIF(куб!$D:$D,$D1045,куб!N:N),IF($C1045&lt;&gt;0,SUMIF(куб!$C:$C,$C1045,куб!N:N),IF($B1045&lt;&gt;0,SUMIF(куб!$B:$B,$B1045,куб!N:N))))))</f>
        <v>0</v>
      </c>
      <c r="Y1045" s="27" t="b">
        <f>IF($G1045&lt;&gt;0,SUMIF(куб!$G:$G,$G1045,куб!O:O),IF($E1045&lt;&gt;0,SUMIF(куб!$E:$E,$E1045,куб!O:O),IF($D1045&lt;&gt;0,SUMIF(куб!$D:$D,$D1045,куб!O:O),IF($C1045&lt;&gt;0,SUMIF(куб!$C:$C,$C1045,куб!O:O),IF($B1045&lt;&gt;0,SUMIF(куб!$B:$B,$B1045,куб!O:O))))))</f>
        <v>0</v>
      </c>
      <c r="Z1045" s="13" t="str">
        <f t="shared" si="333"/>
        <v>-</v>
      </c>
      <c r="AA1045" s="5"/>
      <c r="AB1045" s="33" t="str">
        <f t="shared" si="334"/>
        <v/>
      </c>
      <c r="AC1045" s="33" t="str">
        <f t="shared" si="335"/>
        <v/>
      </c>
      <c r="AD1045" s="15" t="str">
        <f t="shared" si="336"/>
        <v xml:space="preserve"> </v>
      </c>
      <c r="AE1045" s="5"/>
      <c r="AF1045" s="27" t="b">
        <f>IF($G1045&lt;&gt;0,SUMIF(куб!$G:$G,$G1045,куб!R:R),IF($E1045&lt;&gt;0,SUMIF(куб!$E:$E,$E1045,куб!R:R),IF($D1045&lt;&gt;0,SUMIF(куб!$D:$D,$D1045,куб!R:R),IF($C1045&lt;&gt;0,SUMIF(куб!$C:$C,$C1045,куб!R:R),IF($B1045&lt;&gt;0,SUMIF(куб!$B:$B,$B1045,куб!R:R))))))</f>
        <v>0</v>
      </c>
      <c r="AG1045" s="27" t="b">
        <f>IF($G1045&lt;&gt;0,SUMIF(куб!$G:$G,$G1045,куб!S:S),IF($E1045&lt;&gt;0,SUMIF(куб!$E:$E,$E1045,куб!S:S),IF($D1045&lt;&gt;0,SUMIF(куб!$D:$D,$D1045,куб!S:S),IF($C1045&lt;&gt;0,SUMIF(куб!$C:$C,$C1045,куб!S:S),IF($B1045&lt;&gt;0,SUMIF(куб!$B:$B,$B1045,куб!S:S))))))</f>
        <v>0</v>
      </c>
      <c r="AH1045" s="16" t="str">
        <f t="shared" si="337"/>
        <v>-</v>
      </c>
      <c r="AI1045" s="8"/>
      <c r="AJ1045" s="27" t="b">
        <f>IF($G1045&lt;&gt;0,SUMIF(куб!$G:$G,$G1045,куб!T:T),IF($E1045&lt;&gt;0,SUMIF(куб!$E:$E,$E1045,куб!T:T),IF($D1045&lt;&gt;0,SUMIF(куб!$D:$D,$D1045,куб!T:T),IF($C1045&lt;&gt;0,SUMIF(куб!$C:$C,$C1045,куб!T:T),IF($B1045&lt;&gt;0,SUMIF(куб!$B:$B,$B1045,куб!T:T))))))</f>
        <v>0</v>
      </c>
      <c r="AK1045" s="27" t="b">
        <f>IF($G1045&lt;&gt;0,SUMIF(куб!$G:$G,$G1045,куб!U:U),IF($E1045&lt;&gt;0,SUMIF(куб!$E:$E,$E1045,куб!U:U),IF($D1045&lt;&gt;0,SUMIF(куб!$D:$D,$D1045,куб!U:U),IF($C1045&lt;&gt;0,SUMIF(куб!$C:$C,$C1045,куб!U:U),IF($B1045&lt;&gt;0,SUMIF(куб!$B:$B,$B1045,куб!U:U))))))</f>
        <v>0</v>
      </c>
      <c r="AL1045" s="16" t="str">
        <f t="shared" si="338"/>
        <v>-</v>
      </c>
      <c r="AM1045" s="8"/>
      <c r="AN1045" s="17" t="str">
        <f t="shared" si="339"/>
        <v xml:space="preserve"> </v>
      </c>
      <c r="AO1045" s="17" t="str">
        <f t="shared" si="340"/>
        <v xml:space="preserve"> </v>
      </c>
      <c r="AP1045" s="16" t="str">
        <f t="shared" si="341"/>
        <v>-</v>
      </c>
      <c r="AQ1045" s="8"/>
      <c r="AR1045" s="17" t="str">
        <f t="shared" si="342"/>
        <v>-</v>
      </c>
      <c r="AS1045" s="17" t="str">
        <f t="shared" si="343"/>
        <v>-</v>
      </c>
      <c r="AT1045" s="13" t="str">
        <f t="shared" si="344"/>
        <v>-</v>
      </c>
      <c r="AU1045" s="8"/>
    </row>
    <row r="1046" spans="8:47" x14ac:dyDescent="0.25">
      <c r="H1046" s="27">
        <f>IF($G1046&lt;&gt;0,SUMIF(куб!$G:$G,$G1046,куб!H:H),IF($E1046&lt;&gt;0,SUMIF(куб!$E:$E,$E1046,куб!H:H),IF($D1046&lt;&gt;0,SUMIF(куб!$D:$D,$D1046,куб!H:H),IF($C1046&lt;&gt;0,SUMIF(куб!$C:$C,$C1046,куб!H:H),IF($B1046&lt;&gt;0,SUMIF(куб!$B:$B,$B1046,куб!H:H),IF($G1046&lt;&gt;0,SUMIF(куб!$A:$A,$G1046,куб!H:H),SUMIF(куб!$A:$A,$G1046,куб!H:H)))))))</f>
        <v>0</v>
      </c>
      <c r="I1046" s="27">
        <f>IF($G1046&lt;&gt;0,SUMIF(куб!$G:$G,$G1046,куб!I:I),IF($E1046&lt;&gt;0,SUMIF(куб!$E:$E,$E1046,куб!I:I),IF($D1046&lt;&gt;0,SUMIF(куб!$D:$D,$D1046,куб!I:I),IF($C1046&lt;&gt;0,SUMIF(куб!$C:$C,$C1046,куб!I:I),IF($B1046&lt;&gt;0,SUMIF(куб!$B:$B,$B1046,куб!I:I),IF($G1046&lt;&gt;0,SUMIF(куб!$A:$A,$G1046,куб!I:I),SUMIF(куб!$A:$A,$G1046,куб!I:I)))))))</f>
        <v>0</v>
      </c>
      <c r="J1046" s="19" t="str">
        <f t="shared" si="327"/>
        <v>-</v>
      </c>
      <c r="K1046" s="8"/>
      <c r="L1046" s="17">
        <f t="shared" si="328"/>
        <v>0</v>
      </c>
      <c r="M1046" s="17">
        <f t="shared" si="329"/>
        <v>0</v>
      </c>
      <c r="N1046" s="12">
        <f t="shared" si="330"/>
        <v>0</v>
      </c>
      <c r="O1046" s="5"/>
      <c r="P1046" s="27" t="b">
        <f>IF($G1046&lt;&gt;0,SUMIF(куб!$G:$G,$G1046,куб!J:J),IF($E1046&lt;&gt;0,SUMIF(куб!$E:$E,$E1046,куб!J:J),IF($D1046&lt;&gt;0,SUMIF(куб!$D:$D,$D1046,куб!J:J),IF($C1046&lt;&gt;0,SUMIF(куб!$C:$C,$C1046,куб!J:J),IF($B1046&lt;&gt;0,SUMIF(куб!$B:$B,$B1046,куб!J:J))))))</f>
        <v>0</v>
      </c>
      <c r="Q1046" s="27" t="b">
        <f>IF($G1046&lt;&gt;0,SUMIF(куб!$G:$G,$G1046,куб!K:K),IF($E1046&lt;&gt;0,SUMIF(куб!$E:$E,$E1046,куб!K:K),IF($D1046&lt;&gt;0,SUMIF(куб!$D:$D,$D1046,куб!K:K),IF($C1046&lt;&gt;0,SUMIF(куб!$C:$C,$C1046,куб!K:K),IF($B1046&lt;&gt;0,SUMIF(куб!$B:$B,$B1046,куб!K:K))))))</f>
        <v>0</v>
      </c>
      <c r="R1046" s="13" t="str">
        <f t="shared" si="331"/>
        <v>-</v>
      </c>
      <c r="S1046" s="5"/>
      <c r="T1046" s="27" t="b">
        <f>IF($G1046&lt;&gt;0,SUMIF(куб!$G:$G,$G1046,куб!L:L),IF($E1046&lt;&gt;0,SUMIF(куб!$E:$E,$E1046,куб!L:L),IF($D1046&lt;&gt;0,SUMIF(куб!$D:$D,$D1046,куб!L:L),IF($C1046&lt;&gt;0,SUMIF(куб!$C:$C,$C1046,куб!L:L),IF($B1046&lt;&gt;0,SUMIF(куб!$B:$B,$B1046,куб!L:L))))))</f>
        <v>0</v>
      </c>
      <c r="U1046" s="27" t="b">
        <f>IF($G1046&lt;&gt;0,SUMIF(куб!$G:$G,$G1046,куб!M:M),IF($E1046&lt;&gt;0,SUMIF(куб!$E:$E,$E1046,куб!M:M),IF($D1046&lt;&gt;0,SUMIF(куб!$D:$D,$D1046,куб!M:M),IF($C1046&lt;&gt;0,SUMIF(куб!$C:$C,$C1046,куб!M:M),IF($B1046&lt;&gt;0,SUMIF(куб!$B:$B,$B1046,куб!M:M))))))</f>
        <v>0</v>
      </c>
      <c r="V1046" s="13" t="str">
        <f t="shared" si="332"/>
        <v>-</v>
      </c>
      <c r="W1046" s="5"/>
      <c r="X1046" s="27" t="b">
        <f>IF($G1046&lt;&gt;0,SUMIF(куб!$G:$G,$G1046,куб!N:N),IF($E1046&lt;&gt;0,SUMIF(куб!$E:$E,$E1046,куб!N:N),IF($D1046&lt;&gt;0,SUMIF(куб!$D:$D,$D1046,куб!N:N),IF($C1046&lt;&gt;0,SUMIF(куб!$C:$C,$C1046,куб!N:N),IF($B1046&lt;&gt;0,SUMIF(куб!$B:$B,$B1046,куб!N:N))))))</f>
        <v>0</v>
      </c>
      <c r="Y1046" s="27" t="b">
        <f>IF($G1046&lt;&gt;0,SUMIF(куб!$G:$G,$G1046,куб!O:O),IF($E1046&lt;&gt;0,SUMIF(куб!$E:$E,$E1046,куб!O:O),IF($D1046&lt;&gt;0,SUMIF(куб!$D:$D,$D1046,куб!O:O),IF($C1046&lt;&gt;0,SUMIF(куб!$C:$C,$C1046,куб!O:O),IF($B1046&lt;&gt;0,SUMIF(куб!$B:$B,$B1046,куб!O:O))))))</f>
        <v>0</v>
      </c>
      <c r="Z1046" s="13" t="str">
        <f t="shared" si="333"/>
        <v>-</v>
      </c>
      <c r="AA1046" s="5"/>
      <c r="AB1046" s="33" t="str">
        <f t="shared" si="334"/>
        <v/>
      </c>
      <c r="AC1046" s="33" t="str">
        <f t="shared" si="335"/>
        <v/>
      </c>
      <c r="AD1046" s="15" t="str">
        <f t="shared" si="336"/>
        <v xml:space="preserve"> </v>
      </c>
      <c r="AE1046" s="5"/>
      <c r="AF1046" s="27" t="b">
        <f>IF($G1046&lt;&gt;0,SUMIF(куб!$G:$G,$G1046,куб!R:R),IF($E1046&lt;&gt;0,SUMIF(куб!$E:$E,$E1046,куб!R:R),IF($D1046&lt;&gt;0,SUMIF(куб!$D:$D,$D1046,куб!R:R),IF($C1046&lt;&gt;0,SUMIF(куб!$C:$C,$C1046,куб!R:R),IF($B1046&lt;&gt;0,SUMIF(куб!$B:$B,$B1046,куб!R:R))))))</f>
        <v>0</v>
      </c>
      <c r="AG1046" s="27" t="b">
        <f>IF($G1046&lt;&gt;0,SUMIF(куб!$G:$G,$G1046,куб!S:S),IF($E1046&lt;&gt;0,SUMIF(куб!$E:$E,$E1046,куб!S:S),IF($D1046&lt;&gt;0,SUMIF(куб!$D:$D,$D1046,куб!S:S),IF($C1046&lt;&gt;0,SUMIF(куб!$C:$C,$C1046,куб!S:S),IF($B1046&lt;&gt;0,SUMIF(куб!$B:$B,$B1046,куб!S:S))))))</f>
        <v>0</v>
      </c>
      <c r="AH1046" s="16" t="str">
        <f t="shared" si="337"/>
        <v>-</v>
      </c>
      <c r="AI1046" s="8"/>
      <c r="AJ1046" s="27" t="b">
        <f>IF($G1046&lt;&gt;0,SUMIF(куб!$G:$G,$G1046,куб!T:T),IF($E1046&lt;&gt;0,SUMIF(куб!$E:$E,$E1046,куб!T:T),IF($D1046&lt;&gt;0,SUMIF(куб!$D:$D,$D1046,куб!T:T),IF($C1046&lt;&gt;0,SUMIF(куб!$C:$C,$C1046,куб!T:T),IF($B1046&lt;&gt;0,SUMIF(куб!$B:$B,$B1046,куб!T:T))))))</f>
        <v>0</v>
      </c>
      <c r="AK1046" s="27" t="b">
        <f>IF($G1046&lt;&gt;0,SUMIF(куб!$G:$G,$G1046,куб!U:U),IF($E1046&lt;&gt;0,SUMIF(куб!$E:$E,$E1046,куб!U:U),IF($D1046&lt;&gt;0,SUMIF(куб!$D:$D,$D1046,куб!U:U),IF($C1046&lt;&gt;0,SUMIF(куб!$C:$C,$C1046,куб!U:U),IF($B1046&lt;&gt;0,SUMIF(куб!$B:$B,$B1046,куб!U:U))))))</f>
        <v>0</v>
      </c>
      <c r="AL1046" s="16" t="str">
        <f t="shared" si="338"/>
        <v>-</v>
      </c>
      <c r="AM1046" s="8"/>
      <c r="AN1046" s="17" t="str">
        <f t="shared" si="339"/>
        <v xml:space="preserve"> </v>
      </c>
      <c r="AO1046" s="17" t="str">
        <f t="shared" si="340"/>
        <v xml:space="preserve"> </v>
      </c>
      <c r="AP1046" s="16" t="str">
        <f t="shared" si="341"/>
        <v>-</v>
      </c>
      <c r="AQ1046" s="8"/>
      <c r="AR1046" s="17" t="str">
        <f t="shared" si="342"/>
        <v>-</v>
      </c>
      <c r="AS1046" s="17" t="str">
        <f t="shared" si="343"/>
        <v>-</v>
      </c>
      <c r="AT1046" s="13" t="str">
        <f t="shared" si="344"/>
        <v>-</v>
      </c>
      <c r="AU1046" s="8"/>
    </row>
    <row r="1047" spans="8:47" x14ac:dyDescent="0.25">
      <c r="H1047" s="27">
        <f>IF($G1047&lt;&gt;0,SUMIF(куб!$G:$G,$G1047,куб!H:H),IF($E1047&lt;&gt;0,SUMIF(куб!$E:$E,$E1047,куб!H:H),IF($D1047&lt;&gt;0,SUMIF(куб!$D:$D,$D1047,куб!H:H),IF($C1047&lt;&gt;0,SUMIF(куб!$C:$C,$C1047,куб!H:H),IF($B1047&lt;&gt;0,SUMIF(куб!$B:$B,$B1047,куб!H:H),IF($G1047&lt;&gt;0,SUMIF(куб!$A:$A,$G1047,куб!H:H),SUMIF(куб!$A:$A,$G1047,куб!H:H)))))))</f>
        <v>0</v>
      </c>
      <c r="I1047" s="27">
        <f>IF($G1047&lt;&gt;0,SUMIF(куб!$G:$G,$G1047,куб!I:I),IF($E1047&lt;&gt;0,SUMIF(куб!$E:$E,$E1047,куб!I:I),IF($D1047&lt;&gt;0,SUMIF(куб!$D:$D,$D1047,куб!I:I),IF($C1047&lt;&gt;0,SUMIF(куб!$C:$C,$C1047,куб!I:I),IF($B1047&lt;&gt;0,SUMIF(куб!$B:$B,$B1047,куб!I:I),IF($G1047&lt;&gt;0,SUMIF(куб!$A:$A,$G1047,куб!I:I),SUMIF(куб!$A:$A,$G1047,куб!I:I)))))))</f>
        <v>0</v>
      </c>
      <c r="J1047" s="19" t="str">
        <f t="shared" si="327"/>
        <v>-</v>
      </c>
      <c r="K1047" s="8"/>
      <c r="L1047" s="17">
        <f t="shared" si="328"/>
        <v>0</v>
      </c>
      <c r="M1047" s="17">
        <f t="shared" si="329"/>
        <v>0</v>
      </c>
      <c r="N1047" s="12">
        <f t="shared" si="330"/>
        <v>0</v>
      </c>
      <c r="O1047" s="5"/>
      <c r="P1047" s="27" t="b">
        <f>IF($G1047&lt;&gt;0,SUMIF(куб!$G:$G,$G1047,куб!J:J),IF($E1047&lt;&gt;0,SUMIF(куб!$E:$E,$E1047,куб!J:J),IF($D1047&lt;&gt;0,SUMIF(куб!$D:$D,$D1047,куб!J:J),IF($C1047&lt;&gt;0,SUMIF(куб!$C:$C,$C1047,куб!J:J),IF($B1047&lt;&gt;0,SUMIF(куб!$B:$B,$B1047,куб!J:J))))))</f>
        <v>0</v>
      </c>
      <c r="Q1047" s="27" t="b">
        <f>IF($G1047&lt;&gt;0,SUMIF(куб!$G:$G,$G1047,куб!K:K),IF($E1047&lt;&gt;0,SUMIF(куб!$E:$E,$E1047,куб!K:K),IF($D1047&lt;&gt;0,SUMIF(куб!$D:$D,$D1047,куб!K:K),IF($C1047&lt;&gt;0,SUMIF(куб!$C:$C,$C1047,куб!K:K),IF($B1047&lt;&gt;0,SUMIF(куб!$B:$B,$B1047,куб!K:K))))))</f>
        <v>0</v>
      </c>
      <c r="R1047" s="13" t="str">
        <f t="shared" si="331"/>
        <v>-</v>
      </c>
      <c r="S1047" s="5"/>
      <c r="T1047" s="27" t="b">
        <f>IF($G1047&lt;&gt;0,SUMIF(куб!$G:$G,$G1047,куб!L:L),IF($E1047&lt;&gt;0,SUMIF(куб!$E:$E,$E1047,куб!L:L),IF($D1047&lt;&gt;0,SUMIF(куб!$D:$D,$D1047,куб!L:L),IF($C1047&lt;&gt;0,SUMIF(куб!$C:$C,$C1047,куб!L:L),IF($B1047&lt;&gt;0,SUMIF(куб!$B:$B,$B1047,куб!L:L))))))</f>
        <v>0</v>
      </c>
      <c r="U1047" s="27" t="b">
        <f>IF($G1047&lt;&gt;0,SUMIF(куб!$G:$G,$G1047,куб!M:M),IF($E1047&lt;&gt;0,SUMIF(куб!$E:$E,$E1047,куб!M:M),IF($D1047&lt;&gt;0,SUMIF(куб!$D:$D,$D1047,куб!M:M),IF($C1047&lt;&gt;0,SUMIF(куб!$C:$C,$C1047,куб!M:M),IF($B1047&lt;&gt;0,SUMIF(куб!$B:$B,$B1047,куб!M:M))))))</f>
        <v>0</v>
      </c>
      <c r="V1047" s="13" t="str">
        <f t="shared" si="332"/>
        <v>-</v>
      </c>
      <c r="W1047" s="5"/>
      <c r="X1047" s="27" t="b">
        <f>IF($G1047&lt;&gt;0,SUMIF(куб!$G:$G,$G1047,куб!N:N),IF($E1047&lt;&gt;0,SUMIF(куб!$E:$E,$E1047,куб!N:N),IF($D1047&lt;&gt;0,SUMIF(куб!$D:$D,$D1047,куб!N:N),IF($C1047&lt;&gt;0,SUMIF(куб!$C:$C,$C1047,куб!N:N),IF($B1047&lt;&gt;0,SUMIF(куб!$B:$B,$B1047,куб!N:N))))))</f>
        <v>0</v>
      </c>
      <c r="Y1047" s="27" t="b">
        <f>IF($G1047&lt;&gt;0,SUMIF(куб!$G:$G,$G1047,куб!O:O),IF($E1047&lt;&gt;0,SUMIF(куб!$E:$E,$E1047,куб!O:O),IF($D1047&lt;&gt;0,SUMIF(куб!$D:$D,$D1047,куб!O:O),IF($C1047&lt;&gt;0,SUMIF(куб!$C:$C,$C1047,куб!O:O),IF($B1047&lt;&gt;0,SUMIF(куб!$B:$B,$B1047,куб!O:O))))))</f>
        <v>0</v>
      </c>
      <c r="Z1047" s="13" t="str">
        <f t="shared" si="333"/>
        <v>-</v>
      </c>
      <c r="AA1047" s="5"/>
      <c r="AB1047" s="33" t="str">
        <f t="shared" si="334"/>
        <v/>
      </c>
      <c r="AC1047" s="33" t="str">
        <f t="shared" si="335"/>
        <v/>
      </c>
      <c r="AD1047" s="15" t="str">
        <f t="shared" si="336"/>
        <v xml:space="preserve"> </v>
      </c>
      <c r="AE1047" s="5"/>
      <c r="AF1047" s="27" t="b">
        <f>IF($G1047&lt;&gt;0,SUMIF(куб!$G:$G,$G1047,куб!R:R),IF($E1047&lt;&gt;0,SUMIF(куб!$E:$E,$E1047,куб!R:R),IF($D1047&lt;&gt;0,SUMIF(куб!$D:$D,$D1047,куб!R:R),IF($C1047&lt;&gt;0,SUMIF(куб!$C:$C,$C1047,куб!R:R),IF($B1047&lt;&gt;0,SUMIF(куб!$B:$B,$B1047,куб!R:R))))))</f>
        <v>0</v>
      </c>
      <c r="AG1047" s="27" t="b">
        <f>IF($G1047&lt;&gt;0,SUMIF(куб!$G:$G,$G1047,куб!S:S),IF($E1047&lt;&gt;0,SUMIF(куб!$E:$E,$E1047,куб!S:S),IF($D1047&lt;&gt;0,SUMIF(куб!$D:$D,$D1047,куб!S:S),IF($C1047&lt;&gt;0,SUMIF(куб!$C:$C,$C1047,куб!S:S),IF($B1047&lt;&gt;0,SUMIF(куб!$B:$B,$B1047,куб!S:S))))))</f>
        <v>0</v>
      </c>
      <c r="AH1047" s="16" t="str">
        <f t="shared" si="337"/>
        <v>-</v>
      </c>
      <c r="AI1047" s="8"/>
      <c r="AJ1047" s="27" t="b">
        <f>IF($G1047&lt;&gt;0,SUMIF(куб!$G:$G,$G1047,куб!T:T),IF($E1047&lt;&gt;0,SUMIF(куб!$E:$E,$E1047,куб!T:T),IF($D1047&lt;&gt;0,SUMIF(куб!$D:$D,$D1047,куб!T:T),IF($C1047&lt;&gt;0,SUMIF(куб!$C:$C,$C1047,куб!T:T),IF($B1047&lt;&gt;0,SUMIF(куб!$B:$B,$B1047,куб!T:T))))))</f>
        <v>0</v>
      </c>
      <c r="AK1047" s="27" t="b">
        <f>IF($G1047&lt;&gt;0,SUMIF(куб!$G:$G,$G1047,куб!U:U),IF($E1047&lt;&gt;0,SUMIF(куб!$E:$E,$E1047,куб!U:U),IF($D1047&lt;&gt;0,SUMIF(куб!$D:$D,$D1047,куб!U:U),IF($C1047&lt;&gt;0,SUMIF(куб!$C:$C,$C1047,куб!U:U),IF($B1047&lt;&gt;0,SUMIF(куб!$B:$B,$B1047,куб!U:U))))))</f>
        <v>0</v>
      </c>
      <c r="AL1047" s="16" t="str">
        <f t="shared" si="338"/>
        <v>-</v>
      </c>
      <c r="AM1047" s="8"/>
      <c r="AN1047" s="17" t="str">
        <f t="shared" si="339"/>
        <v xml:space="preserve"> </v>
      </c>
      <c r="AO1047" s="17" t="str">
        <f t="shared" si="340"/>
        <v xml:space="preserve"> </v>
      </c>
      <c r="AP1047" s="16" t="str">
        <f t="shared" si="341"/>
        <v>-</v>
      </c>
      <c r="AQ1047" s="8"/>
      <c r="AR1047" s="17" t="str">
        <f t="shared" si="342"/>
        <v>-</v>
      </c>
      <c r="AS1047" s="17" t="str">
        <f t="shared" si="343"/>
        <v>-</v>
      </c>
      <c r="AT1047" s="13" t="str">
        <f t="shared" si="344"/>
        <v>-</v>
      </c>
      <c r="AU1047" s="8"/>
    </row>
    <row r="1048" spans="8:47" x14ac:dyDescent="0.25">
      <c r="H1048" s="27">
        <f>IF($G1048&lt;&gt;0,SUMIF(куб!$G:$G,$G1048,куб!H:H),IF($E1048&lt;&gt;0,SUMIF(куб!$E:$E,$E1048,куб!H:H),IF($D1048&lt;&gt;0,SUMIF(куб!$D:$D,$D1048,куб!H:H),IF($C1048&lt;&gt;0,SUMIF(куб!$C:$C,$C1048,куб!H:H),IF($B1048&lt;&gt;0,SUMIF(куб!$B:$B,$B1048,куб!H:H),IF($G1048&lt;&gt;0,SUMIF(куб!$A:$A,$G1048,куб!H:H),SUMIF(куб!$A:$A,$G1048,куб!H:H)))))))</f>
        <v>0</v>
      </c>
      <c r="I1048" s="27">
        <f>IF($G1048&lt;&gt;0,SUMIF(куб!$G:$G,$G1048,куб!I:I),IF($E1048&lt;&gt;0,SUMIF(куб!$E:$E,$E1048,куб!I:I),IF($D1048&lt;&gt;0,SUMIF(куб!$D:$D,$D1048,куб!I:I),IF($C1048&lt;&gt;0,SUMIF(куб!$C:$C,$C1048,куб!I:I),IF($B1048&lt;&gt;0,SUMIF(куб!$B:$B,$B1048,куб!I:I),IF($G1048&lt;&gt;0,SUMIF(куб!$A:$A,$G1048,куб!I:I),SUMIF(куб!$A:$A,$G1048,куб!I:I)))))))</f>
        <v>0</v>
      </c>
      <c r="J1048" s="19" t="str">
        <f t="shared" si="327"/>
        <v>-</v>
      </c>
      <c r="K1048" s="8"/>
      <c r="L1048" s="17">
        <f t="shared" si="328"/>
        <v>0</v>
      </c>
      <c r="M1048" s="17">
        <f t="shared" si="329"/>
        <v>0</v>
      </c>
      <c r="N1048" s="12">
        <f t="shared" si="330"/>
        <v>0</v>
      </c>
      <c r="O1048" s="5"/>
      <c r="P1048" s="27" t="b">
        <f>IF($G1048&lt;&gt;0,SUMIF(куб!$G:$G,$G1048,куб!J:J),IF($E1048&lt;&gt;0,SUMIF(куб!$E:$E,$E1048,куб!J:J),IF($D1048&lt;&gt;0,SUMIF(куб!$D:$D,$D1048,куб!J:J),IF($C1048&lt;&gt;0,SUMIF(куб!$C:$C,$C1048,куб!J:J),IF($B1048&lt;&gt;0,SUMIF(куб!$B:$B,$B1048,куб!J:J))))))</f>
        <v>0</v>
      </c>
      <c r="Q1048" s="27" t="b">
        <f>IF($G1048&lt;&gt;0,SUMIF(куб!$G:$G,$G1048,куб!K:K),IF($E1048&lt;&gt;0,SUMIF(куб!$E:$E,$E1048,куб!K:K),IF($D1048&lt;&gt;0,SUMIF(куб!$D:$D,$D1048,куб!K:K),IF($C1048&lt;&gt;0,SUMIF(куб!$C:$C,$C1048,куб!K:K),IF($B1048&lt;&gt;0,SUMIF(куб!$B:$B,$B1048,куб!K:K))))))</f>
        <v>0</v>
      </c>
      <c r="R1048" s="13" t="str">
        <f t="shared" si="331"/>
        <v>-</v>
      </c>
      <c r="S1048" s="5"/>
      <c r="T1048" s="27" t="b">
        <f>IF($G1048&lt;&gt;0,SUMIF(куб!$G:$G,$G1048,куб!L:L),IF($E1048&lt;&gt;0,SUMIF(куб!$E:$E,$E1048,куб!L:L),IF($D1048&lt;&gt;0,SUMIF(куб!$D:$D,$D1048,куб!L:L),IF($C1048&lt;&gt;0,SUMIF(куб!$C:$C,$C1048,куб!L:L),IF($B1048&lt;&gt;0,SUMIF(куб!$B:$B,$B1048,куб!L:L))))))</f>
        <v>0</v>
      </c>
      <c r="U1048" s="27" t="b">
        <f>IF($G1048&lt;&gt;0,SUMIF(куб!$G:$G,$G1048,куб!M:M),IF($E1048&lt;&gt;0,SUMIF(куб!$E:$E,$E1048,куб!M:M),IF($D1048&lt;&gt;0,SUMIF(куб!$D:$D,$D1048,куб!M:M),IF($C1048&lt;&gt;0,SUMIF(куб!$C:$C,$C1048,куб!M:M),IF($B1048&lt;&gt;0,SUMIF(куб!$B:$B,$B1048,куб!M:M))))))</f>
        <v>0</v>
      </c>
      <c r="V1048" s="13" t="str">
        <f t="shared" si="332"/>
        <v>-</v>
      </c>
      <c r="W1048" s="5"/>
      <c r="X1048" s="27" t="b">
        <f>IF($G1048&lt;&gt;0,SUMIF(куб!$G:$G,$G1048,куб!N:N),IF($E1048&lt;&gt;0,SUMIF(куб!$E:$E,$E1048,куб!N:N),IF($D1048&lt;&gt;0,SUMIF(куб!$D:$D,$D1048,куб!N:N),IF($C1048&lt;&gt;0,SUMIF(куб!$C:$C,$C1048,куб!N:N),IF($B1048&lt;&gt;0,SUMIF(куб!$B:$B,$B1048,куб!N:N))))))</f>
        <v>0</v>
      </c>
      <c r="Y1048" s="27" t="b">
        <f>IF($G1048&lt;&gt;0,SUMIF(куб!$G:$G,$G1048,куб!O:O),IF($E1048&lt;&gt;0,SUMIF(куб!$E:$E,$E1048,куб!O:O),IF($D1048&lt;&gt;0,SUMIF(куб!$D:$D,$D1048,куб!O:O),IF($C1048&lt;&gt;0,SUMIF(куб!$C:$C,$C1048,куб!O:O),IF($B1048&lt;&gt;0,SUMIF(куб!$B:$B,$B1048,куб!O:O))))))</f>
        <v>0</v>
      </c>
      <c r="Z1048" s="13" t="str">
        <f t="shared" si="333"/>
        <v>-</v>
      </c>
      <c r="AA1048" s="5"/>
      <c r="AB1048" s="33" t="str">
        <f t="shared" si="334"/>
        <v/>
      </c>
      <c r="AC1048" s="33" t="str">
        <f t="shared" si="335"/>
        <v/>
      </c>
      <c r="AD1048" s="15" t="str">
        <f t="shared" si="336"/>
        <v xml:space="preserve"> </v>
      </c>
      <c r="AE1048" s="5"/>
      <c r="AF1048" s="27" t="b">
        <f>IF($G1048&lt;&gt;0,SUMIF(куб!$G:$G,$G1048,куб!R:R),IF($E1048&lt;&gt;0,SUMIF(куб!$E:$E,$E1048,куб!R:R),IF($D1048&lt;&gt;0,SUMIF(куб!$D:$D,$D1048,куб!R:R),IF($C1048&lt;&gt;0,SUMIF(куб!$C:$C,$C1048,куб!R:R),IF($B1048&lt;&gt;0,SUMIF(куб!$B:$B,$B1048,куб!R:R))))))</f>
        <v>0</v>
      </c>
      <c r="AG1048" s="27" t="b">
        <f>IF($G1048&lt;&gt;0,SUMIF(куб!$G:$G,$G1048,куб!S:S),IF($E1048&lt;&gt;0,SUMIF(куб!$E:$E,$E1048,куб!S:S),IF($D1048&lt;&gt;0,SUMIF(куб!$D:$D,$D1048,куб!S:S),IF($C1048&lt;&gt;0,SUMIF(куб!$C:$C,$C1048,куб!S:S),IF($B1048&lt;&gt;0,SUMIF(куб!$B:$B,$B1048,куб!S:S))))))</f>
        <v>0</v>
      </c>
      <c r="AH1048" s="16" t="str">
        <f t="shared" si="337"/>
        <v>-</v>
      </c>
      <c r="AI1048" s="8"/>
      <c r="AJ1048" s="27" t="b">
        <f>IF($G1048&lt;&gt;0,SUMIF(куб!$G:$G,$G1048,куб!T:T),IF($E1048&lt;&gt;0,SUMIF(куб!$E:$E,$E1048,куб!T:T),IF($D1048&lt;&gt;0,SUMIF(куб!$D:$D,$D1048,куб!T:T),IF($C1048&lt;&gt;0,SUMIF(куб!$C:$C,$C1048,куб!T:T),IF($B1048&lt;&gt;0,SUMIF(куб!$B:$B,$B1048,куб!T:T))))))</f>
        <v>0</v>
      </c>
      <c r="AK1048" s="27" t="b">
        <f>IF($G1048&lt;&gt;0,SUMIF(куб!$G:$G,$G1048,куб!U:U),IF($E1048&lt;&gt;0,SUMIF(куб!$E:$E,$E1048,куб!U:U),IF($D1048&lt;&gt;0,SUMIF(куб!$D:$D,$D1048,куб!U:U),IF($C1048&lt;&gt;0,SUMIF(куб!$C:$C,$C1048,куб!U:U),IF($B1048&lt;&gt;0,SUMIF(куб!$B:$B,$B1048,куб!U:U))))))</f>
        <v>0</v>
      </c>
      <c r="AL1048" s="16" t="str">
        <f t="shared" si="338"/>
        <v>-</v>
      </c>
      <c r="AM1048" s="8"/>
      <c r="AN1048" s="17" t="str">
        <f t="shared" si="339"/>
        <v xml:space="preserve"> </v>
      </c>
      <c r="AO1048" s="17" t="str">
        <f t="shared" si="340"/>
        <v xml:space="preserve"> </v>
      </c>
      <c r="AP1048" s="16" t="str">
        <f t="shared" si="341"/>
        <v>-</v>
      </c>
      <c r="AQ1048" s="8"/>
      <c r="AR1048" s="17" t="str">
        <f t="shared" si="342"/>
        <v>-</v>
      </c>
      <c r="AS1048" s="17" t="str">
        <f t="shared" si="343"/>
        <v>-</v>
      </c>
      <c r="AT1048" s="13" t="str">
        <f t="shared" si="344"/>
        <v>-</v>
      </c>
      <c r="AU1048" s="8"/>
    </row>
    <row r="1049" spans="8:47" x14ac:dyDescent="0.25">
      <c r="H1049" s="27">
        <f>IF($G1049&lt;&gt;0,SUMIF(куб!$G:$G,$G1049,куб!H:H),IF($E1049&lt;&gt;0,SUMIF(куб!$E:$E,$E1049,куб!H:H),IF($D1049&lt;&gt;0,SUMIF(куб!$D:$D,$D1049,куб!H:H),IF($C1049&lt;&gt;0,SUMIF(куб!$C:$C,$C1049,куб!H:H),IF($B1049&lt;&gt;0,SUMIF(куб!$B:$B,$B1049,куб!H:H),IF($G1049&lt;&gt;0,SUMIF(куб!$A:$A,$G1049,куб!H:H),SUMIF(куб!$A:$A,$G1049,куб!H:H)))))))</f>
        <v>0</v>
      </c>
      <c r="I1049" s="27">
        <f>IF($G1049&lt;&gt;0,SUMIF(куб!$G:$G,$G1049,куб!I:I),IF($E1049&lt;&gt;0,SUMIF(куб!$E:$E,$E1049,куб!I:I),IF($D1049&lt;&gt;0,SUMIF(куб!$D:$D,$D1049,куб!I:I),IF($C1049&lt;&gt;0,SUMIF(куб!$C:$C,$C1049,куб!I:I),IF($B1049&lt;&gt;0,SUMIF(куб!$B:$B,$B1049,куб!I:I),IF($G1049&lt;&gt;0,SUMIF(куб!$A:$A,$G1049,куб!I:I),SUMIF(куб!$A:$A,$G1049,куб!I:I)))))))</f>
        <v>0</v>
      </c>
      <c r="J1049" s="19" t="str">
        <f t="shared" si="327"/>
        <v>-</v>
      </c>
      <c r="K1049" s="8"/>
      <c r="L1049" s="17">
        <f t="shared" si="328"/>
        <v>0</v>
      </c>
      <c r="M1049" s="17">
        <f t="shared" si="329"/>
        <v>0</v>
      </c>
      <c r="N1049" s="12">
        <f t="shared" si="330"/>
        <v>0</v>
      </c>
      <c r="O1049" s="5"/>
      <c r="P1049" s="27" t="b">
        <f>IF($G1049&lt;&gt;0,SUMIF(куб!$G:$G,$G1049,куб!J:J),IF($E1049&lt;&gt;0,SUMIF(куб!$E:$E,$E1049,куб!J:J),IF($D1049&lt;&gt;0,SUMIF(куб!$D:$D,$D1049,куб!J:J),IF($C1049&lt;&gt;0,SUMIF(куб!$C:$C,$C1049,куб!J:J),IF($B1049&lt;&gt;0,SUMIF(куб!$B:$B,$B1049,куб!J:J))))))</f>
        <v>0</v>
      </c>
      <c r="Q1049" s="27" t="b">
        <f>IF($G1049&lt;&gt;0,SUMIF(куб!$G:$G,$G1049,куб!K:K),IF($E1049&lt;&gt;0,SUMIF(куб!$E:$E,$E1049,куб!K:K),IF($D1049&lt;&gt;0,SUMIF(куб!$D:$D,$D1049,куб!K:K),IF($C1049&lt;&gt;0,SUMIF(куб!$C:$C,$C1049,куб!K:K),IF($B1049&lt;&gt;0,SUMIF(куб!$B:$B,$B1049,куб!K:K))))))</f>
        <v>0</v>
      </c>
      <c r="R1049" s="13" t="str">
        <f t="shared" si="331"/>
        <v>-</v>
      </c>
      <c r="S1049" s="5"/>
      <c r="T1049" s="27" t="b">
        <f>IF($G1049&lt;&gt;0,SUMIF(куб!$G:$G,$G1049,куб!L:L),IF($E1049&lt;&gt;0,SUMIF(куб!$E:$E,$E1049,куб!L:L),IF($D1049&lt;&gt;0,SUMIF(куб!$D:$D,$D1049,куб!L:L),IF($C1049&lt;&gt;0,SUMIF(куб!$C:$C,$C1049,куб!L:L),IF($B1049&lt;&gt;0,SUMIF(куб!$B:$B,$B1049,куб!L:L))))))</f>
        <v>0</v>
      </c>
      <c r="U1049" s="27" t="b">
        <f>IF($G1049&lt;&gt;0,SUMIF(куб!$G:$G,$G1049,куб!M:M),IF($E1049&lt;&gt;0,SUMIF(куб!$E:$E,$E1049,куб!M:M),IF($D1049&lt;&gt;0,SUMIF(куб!$D:$D,$D1049,куб!M:M),IF($C1049&lt;&gt;0,SUMIF(куб!$C:$C,$C1049,куб!M:M),IF($B1049&lt;&gt;0,SUMIF(куб!$B:$B,$B1049,куб!M:M))))))</f>
        <v>0</v>
      </c>
      <c r="V1049" s="13" t="str">
        <f t="shared" si="332"/>
        <v>-</v>
      </c>
      <c r="W1049" s="5"/>
      <c r="X1049" s="27" t="b">
        <f>IF($G1049&lt;&gt;0,SUMIF(куб!$G:$G,$G1049,куб!N:N),IF($E1049&lt;&gt;0,SUMIF(куб!$E:$E,$E1049,куб!N:N),IF($D1049&lt;&gt;0,SUMIF(куб!$D:$D,$D1049,куб!N:N),IF($C1049&lt;&gt;0,SUMIF(куб!$C:$C,$C1049,куб!N:N),IF($B1049&lt;&gt;0,SUMIF(куб!$B:$B,$B1049,куб!N:N))))))</f>
        <v>0</v>
      </c>
      <c r="Y1049" s="27" t="b">
        <f>IF($G1049&lt;&gt;0,SUMIF(куб!$G:$G,$G1049,куб!O:O),IF($E1049&lt;&gt;0,SUMIF(куб!$E:$E,$E1049,куб!O:O),IF($D1049&lt;&gt;0,SUMIF(куб!$D:$D,$D1049,куб!O:O),IF($C1049&lt;&gt;0,SUMIF(куб!$C:$C,$C1049,куб!O:O),IF($B1049&lt;&gt;0,SUMIF(куб!$B:$B,$B1049,куб!O:O))))))</f>
        <v>0</v>
      </c>
      <c r="Z1049" s="13" t="str">
        <f t="shared" si="333"/>
        <v>-</v>
      </c>
      <c r="AA1049" s="5"/>
      <c r="AB1049" s="33" t="str">
        <f t="shared" si="334"/>
        <v/>
      </c>
      <c r="AC1049" s="33" t="str">
        <f t="shared" si="335"/>
        <v/>
      </c>
      <c r="AD1049" s="15" t="str">
        <f t="shared" si="336"/>
        <v xml:space="preserve"> </v>
      </c>
      <c r="AE1049" s="5"/>
      <c r="AF1049" s="27" t="b">
        <f>IF($G1049&lt;&gt;0,SUMIF(куб!$G:$G,$G1049,куб!R:R),IF($E1049&lt;&gt;0,SUMIF(куб!$E:$E,$E1049,куб!R:R),IF($D1049&lt;&gt;0,SUMIF(куб!$D:$D,$D1049,куб!R:R),IF($C1049&lt;&gt;0,SUMIF(куб!$C:$C,$C1049,куб!R:R),IF($B1049&lt;&gt;0,SUMIF(куб!$B:$B,$B1049,куб!R:R))))))</f>
        <v>0</v>
      </c>
      <c r="AG1049" s="27" t="b">
        <f>IF($G1049&lt;&gt;0,SUMIF(куб!$G:$G,$G1049,куб!S:S),IF($E1049&lt;&gt;0,SUMIF(куб!$E:$E,$E1049,куб!S:S),IF($D1049&lt;&gt;0,SUMIF(куб!$D:$D,$D1049,куб!S:S),IF($C1049&lt;&gt;0,SUMIF(куб!$C:$C,$C1049,куб!S:S),IF($B1049&lt;&gt;0,SUMIF(куб!$B:$B,$B1049,куб!S:S))))))</f>
        <v>0</v>
      </c>
      <c r="AH1049" s="16" t="str">
        <f t="shared" si="337"/>
        <v>-</v>
      </c>
      <c r="AI1049" s="8"/>
      <c r="AJ1049" s="27" t="b">
        <f>IF($G1049&lt;&gt;0,SUMIF(куб!$G:$G,$G1049,куб!T:T),IF($E1049&lt;&gt;0,SUMIF(куб!$E:$E,$E1049,куб!T:T),IF($D1049&lt;&gt;0,SUMIF(куб!$D:$D,$D1049,куб!T:T),IF($C1049&lt;&gt;0,SUMIF(куб!$C:$C,$C1049,куб!T:T),IF($B1049&lt;&gt;0,SUMIF(куб!$B:$B,$B1049,куб!T:T))))))</f>
        <v>0</v>
      </c>
      <c r="AK1049" s="27" t="b">
        <f>IF($G1049&lt;&gt;0,SUMIF(куб!$G:$G,$G1049,куб!U:U),IF($E1049&lt;&gt;0,SUMIF(куб!$E:$E,$E1049,куб!U:U),IF($D1049&lt;&gt;0,SUMIF(куб!$D:$D,$D1049,куб!U:U),IF($C1049&lt;&gt;0,SUMIF(куб!$C:$C,$C1049,куб!U:U),IF($B1049&lt;&gt;0,SUMIF(куб!$B:$B,$B1049,куб!U:U))))))</f>
        <v>0</v>
      </c>
      <c r="AL1049" s="16" t="str">
        <f t="shared" si="338"/>
        <v>-</v>
      </c>
      <c r="AM1049" s="8"/>
      <c r="AN1049" s="17" t="str">
        <f t="shared" si="339"/>
        <v xml:space="preserve"> </v>
      </c>
      <c r="AO1049" s="17" t="str">
        <f t="shared" si="340"/>
        <v xml:space="preserve"> </v>
      </c>
      <c r="AP1049" s="16" t="str">
        <f t="shared" si="341"/>
        <v>-</v>
      </c>
      <c r="AQ1049" s="8"/>
      <c r="AR1049" s="17" t="str">
        <f t="shared" si="342"/>
        <v>-</v>
      </c>
      <c r="AS1049" s="17" t="str">
        <f t="shared" si="343"/>
        <v>-</v>
      </c>
      <c r="AT1049" s="13" t="str">
        <f t="shared" si="344"/>
        <v>-</v>
      </c>
      <c r="AU1049" s="8"/>
    </row>
    <row r="1050" spans="8:47" x14ac:dyDescent="0.25">
      <c r="H1050" s="27">
        <f>IF($G1050&lt;&gt;0,SUMIF(куб!$G:$G,$G1050,куб!H:H),IF($E1050&lt;&gt;0,SUMIF(куб!$E:$E,$E1050,куб!H:H),IF($D1050&lt;&gt;0,SUMIF(куб!$D:$D,$D1050,куб!H:H),IF($C1050&lt;&gt;0,SUMIF(куб!$C:$C,$C1050,куб!H:H),IF($B1050&lt;&gt;0,SUMIF(куб!$B:$B,$B1050,куб!H:H),IF($G1050&lt;&gt;0,SUMIF(куб!$A:$A,$G1050,куб!H:H),SUMIF(куб!$A:$A,$G1050,куб!H:H)))))))</f>
        <v>0</v>
      </c>
      <c r="I1050" s="27">
        <f>IF($G1050&lt;&gt;0,SUMIF(куб!$G:$G,$G1050,куб!I:I),IF($E1050&lt;&gt;0,SUMIF(куб!$E:$E,$E1050,куб!I:I),IF($D1050&lt;&gt;0,SUMIF(куб!$D:$D,$D1050,куб!I:I),IF($C1050&lt;&gt;0,SUMIF(куб!$C:$C,$C1050,куб!I:I),IF($B1050&lt;&gt;0,SUMIF(куб!$B:$B,$B1050,куб!I:I),IF($G1050&lt;&gt;0,SUMIF(куб!$A:$A,$G1050,куб!I:I),SUMIF(куб!$A:$A,$G1050,куб!I:I)))))))</f>
        <v>0</v>
      </c>
      <c r="J1050" s="19" t="str">
        <f t="shared" si="327"/>
        <v>-</v>
      </c>
      <c r="K1050" s="8"/>
      <c r="L1050" s="17">
        <f t="shared" si="328"/>
        <v>0</v>
      </c>
      <c r="M1050" s="17">
        <f t="shared" si="329"/>
        <v>0</v>
      </c>
      <c r="N1050" s="12">
        <f t="shared" si="330"/>
        <v>0</v>
      </c>
      <c r="O1050" s="5"/>
      <c r="P1050" s="27" t="b">
        <f>IF($G1050&lt;&gt;0,SUMIF(куб!$G:$G,$G1050,куб!J:J),IF($E1050&lt;&gt;0,SUMIF(куб!$E:$E,$E1050,куб!J:J),IF($D1050&lt;&gt;0,SUMIF(куб!$D:$D,$D1050,куб!J:J),IF($C1050&lt;&gt;0,SUMIF(куб!$C:$C,$C1050,куб!J:J),IF($B1050&lt;&gt;0,SUMIF(куб!$B:$B,$B1050,куб!J:J))))))</f>
        <v>0</v>
      </c>
      <c r="Q1050" s="27" t="b">
        <f>IF($G1050&lt;&gt;0,SUMIF(куб!$G:$G,$G1050,куб!K:K),IF($E1050&lt;&gt;0,SUMIF(куб!$E:$E,$E1050,куб!K:K),IF($D1050&lt;&gt;0,SUMIF(куб!$D:$D,$D1050,куб!K:K),IF($C1050&lt;&gt;0,SUMIF(куб!$C:$C,$C1050,куб!K:K),IF($B1050&lt;&gt;0,SUMIF(куб!$B:$B,$B1050,куб!K:K))))))</f>
        <v>0</v>
      </c>
      <c r="R1050" s="13" t="str">
        <f t="shared" si="331"/>
        <v>-</v>
      </c>
      <c r="S1050" s="5"/>
      <c r="T1050" s="27" t="b">
        <f>IF($G1050&lt;&gt;0,SUMIF(куб!$G:$G,$G1050,куб!L:L),IF($E1050&lt;&gt;0,SUMIF(куб!$E:$E,$E1050,куб!L:L),IF($D1050&lt;&gt;0,SUMIF(куб!$D:$D,$D1050,куб!L:L),IF($C1050&lt;&gt;0,SUMIF(куб!$C:$C,$C1050,куб!L:L),IF($B1050&lt;&gt;0,SUMIF(куб!$B:$B,$B1050,куб!L:L))))))</f>
        <v>0</v>
      </c>
      <c r="U1050" s="27" t="b">
        <f>IF($G1050&lt;&gt;0,SUMIF(куб!$G:$G,$G1050,куб!M:M),IF($E1050&lt;&gt;0,SUMIF(куб!$E:$E,$E1050,куб!M:M),IF($D1050&lt;&gt;0,SUMIF(куб!$D:$D,$D1050,куб!M:M),IF($C1050&lt;&gt;0,SUMIF(куб!$C:$C,$C1050,куб!M:M),IF($B1050&lt;&gt;0,SUMIF(куб!$B:$B,$B1050,куб!M:M))))))</f>
        <v>0</v>
      </c>
      <c r="V1050" s="13" t="str">
        <f t="shared" si="332"/>
        <v>-</v>
      </c>
      <c r="W1050" s="5"/>
      <c r="X1050" s="27" t="b">
        <f>IF($G1050&lt;&gt;0,SUMIF(куб!$G:$G,$G1050,куб!N:N),IF($E1050&lt;&gt;0,SUMIF(куб!$E:$E,$E1050,куб!N:N),IF($D1050&lt;&gt;0,SUMIF(куб!$D:$D,$D1050,куб!N:N),IF($C1050&lt;&gt;0,SUMIF(куб!$C:$C,$C1050,куб!N:N),IF($B1050&lt;&gt;0,SUMIF(куб!$B:$B,$B1050,куб!N:N))))))</f>
        <v>0</v>
      </c>
      <c r="Y1050" s="27" t="b">
        <f>IF($G1050&lt;&gt;0,SUMIF(куб!$G:$G,$G1050,куб!O:O),IF($E1050&lt;&gt;0,SUMIF(куб!$E:$E,$E1050,куб!O:O),IF($D1050&lt;&gt;0,SUMIF(куб!$D:$D,$D1050,куб!O:O),IF($C1050&lt;&gt;0,SUMIF(куб!$C:$C,$C1050,куб!O:O),IF($B1050&lt;&gt;0,SUMIF(куб!$B:$B,$B1050,куб!O:O))))))</f>
        <v>0</v>
      </c>
      <c r="Z1050" s="13" t="str">
        <f t="shared" si="333"/>
        <v>-</v>
      </c>
      <c r="AA1050" s="5"/>
      <c r="AB1050" s="33" t="str">
        <f t="shared" si="334"/>
        <v/>
      </c>
      <c r="AC1050" s="33" t="str">
        <f t="shared" si="335"/>
        <v/>
      </c>
      <c r="AD1050" s="15" t="str">
        <f t="shared" si="336"/>
        <v xml:space="preserve"> </v>
      </c>
      <c r="AE1050" s="5"/>
      <c r="AF1050" s="27" t="b">
        <f>IF($G1050&lt;&gt;0,SUMIF(куб!$G:$G,$G1050,куб!R:R),IF($E1050&lt;&gt;0,SUMIF(куб!$E:$E,$E1050,куб!R:R),IF($D1050&lt;&gt;0,SUMIF(куб!$D:$D,$D1050,куб!R:R),IF($C1050&lt;&gt;0,SUMIF(куб!$C:$C,$C1050,куб!R:R),IF($B1050&lt;&gt;0,SUMIF(куб!$B:$B,$B1050,куб!R:R))))))</f>
        <v>0</v>
      </c>
      <c r="AG1050" s="27" t="b">
        <f>IF($G1050&lt;&gt;0,SUMIF(куб!$G:$G,$G1050,куб!S:S),IF($E1050&lt;&gt;0,SUMIF(куб!$E:$E,$E1050,куб!S:S),IF($D1050&lt;&gt;0,SUMIF(куб!$D:$D,$D1050,куб!S:S),IF($C1050&lt;&gt;0,SUMIF(куб!$C:$C,$C1050,куб!S:S),IF($B1050&lt;&gt;0,SUMIF(куб!$B:$B,$B1050,куб!S:S))))))</f>
        <v>0</v>
      </c>
      <c r="AH1050" s="16" t="str">
        <f t="shared" si="337"/>
        <v>-</v>
      </c>
      <c r="AI1050" s="8"/>
      <c r="AJ1050" s="27" t="b">
        <f>IF($G1050&lt;&gt;0,SUMIF(куб!$G:$G,$G1050,куб!T:T),IF($E1050&lt;&gt;0,SUMIF(куб!$E:$E,$E1050,куб!T:T),IF($D1050&lt;&gt;0,SUMIF(куб!$D:$D,$D1050,куб!T:T),IF($C1050&lt;&gt;0,SUMIF(куб!$C:$C,$C1050,куб!T:T),IF($B1050&lt;&gt;0,SUMIF(куб!$B:$B,$B1050,куб!T:T))))))</f>
        <v>0</v>
      </c>
      <c r="AK1050" s="27" t="b">
        <f>IF($G1050&lt;&gt;0,SUMIF(куб!$G:$G,$G1050,куб!U:U),IF($E1050&lt;&gt;0,SUMIF(куб!$E:$E,$E1050,куб!U:U),IF($D1050&lt;&gt;0,SUMIF(куб!$D:$D,$D1050,куб!U:U),IF($C1050&lt;&gt;0,SUMIF(куб!$C:$C,$C1050,куб!U:U),IF($B1050&lt;&gt;0,SUMIF(куб!$B:$B,$B1050,куб!U:U))))))</f>
        <v>0</v>
      </c>
      <c r="AL1050" s="16" t="str">
        <f t="shared" si="338"/>
        <v>-</v>
      </c>
      <c r="AM1050" s="8"/>
      <c r="AN1050" s="17" t="str">
        <f t="shared" si="339"/>
        <v xml:space="preserve"> </v>
      </c>
      <c r="AO1050" s="17" t="str">
        <f t="shared" si="340"/>
        <v xml:space="preserve"> </v>
      </c>
      <c r="AP1050" s="16" t="str">
        <f t="shared" si="341"/>
        <v>-</v>
      </c>
      <c r="AQ1050" s="8"/>
      <c r="AR1050" s="17" t="str">
        <f t="shared" si="342"/>
        <v>-</v>
      </c>
      <c r="AS1050" s="17" t="str">
        <f t="shared" si="343"/>
        <v>-</v>
      </c>
      <c r="AT1050" s="13" t="str">
        <f t="shared" si="344"/>
        <v>-</v>
      </c>
      <c r="AU1050" s="8"/>
    </row>
    <row r="1051" spans="8:47" x14ac:dyDescent="0.25">
      <c r="H1051" s="27">
        <f>IF($G1051&lt;&gt;0,SUMIF(куб!$G:$G,$G1051,куб!H:H),IF($E1051&lt;&gt;0,SUMIF(куб!$E:$E,$E1051,куб!H:H),IF($D1051&lt;&gt;0,SUMIF(куб!$D:$D,$D1051,куб!H:H),IF($C1051&lt;&gt;0,SUMIF(куб!$C:$C,$C1051,куб!H:H),IF($B1051&lt;&gt;0,SUMIF(куб!$B:$B,$B1051,куб!H:H),IF($G1051&lt;&gt;0,SUMIF(куб!$A:$A,$G1051,куб!H:H),SUMIF(куб!$A:$A,$G1051,куб!H:H)))))))</f>
        <v>0</v>
      </c>
      <c r="I1051" s="27">
        <f>IF($G1051&lt;&gt;0,SUMIF(куб!$G:$G,$G1051,куб!I:I),IF($E1051&lt;&gt;0,SUMIF(куб!$E:$E,$E1051,куб!I:I),IF($D1051&lt;&gt;0,SUMIF(куб!$D:$D,$D1051,куб!I:I),IF($C1051&lt;&gt;0,SUMIF(куб!$C:$C,$C1051,куб!I:I),IF($B1051&lt;&gt;0,SUMIF(куб!$B:$B,$B1051,куб!I:I),IF($G1051&lt;&gt;0,SUMIF(куб!$A:$A,$G1051,куб!I:I),SUMIF(куб!$A:$A,$G1051,куб!I:I)))))))</f>
        <v>0</v>
      </c>
      <c r="J1051" s="19" t="str">
        <f t="shared" si="327"/>
        <v>-</v>
      </c>
      <c r="K1051" s="8"/>
      <c r="L1051" s="17">
        <f t="shared" si="328"/>
        <v>0</v>
      </c>
      <c r="M1051" s="17">
        <f t="shared" si="329"/>
        <v>0</v>
      </c>
      <c r="N1051" s="12">
        <f t="shared" si="330"/>
        <v>0</v>
      </c>
      <c r="O1051" s="5"/>
      <c r="P1051" s="27" t="b">
        <f>IF($G1051&lt;&gt;0,SUMIF(куб!$G:$G,$G1051,куб!J:J),IF($E1051&lt;&gt;0,SUMIF(куб!$E:$E,$E1051,куб!J:J),IF($D1051&lt;&gt;0,SUMIF(куб!$D:$D,$D1051,куб!J:J),IF($C1051&lt;&gt;0,SUMIF(куб!$C:$C,$C1051,куб!J:J),IF($B1051&lt;&gt;0,SUMIF(куб!$B:$B,$B1051,куб!J:J))))))</f>
        <v>0</v>
      </c>
      <c r="Q1051" s="27" t="b">
        <f>IF($G1051&lt;&gt;0,SUMIF(куб!$G:$G,$G1051,куб!K:K),IF($E1051&lt;&gt;0,SUMIF(куб!$E:$E,$E1051,куб!K:K),IF($D1051&lt;&gt;0,SUMIF(куб!$D:$D,$D1051,куб!K:K),IF($C1051&lt;&gt;0,SUMIF(куб!$C:$C,$C1051,куб!K:K),IF($B1051&lt;&gt;0,SUMIF(куб!$B:$B,$B1051,куб!K:K))))))</f>
        <v>0</v>
      </c>
      <c r="R1051" s="13" t="str">
        <f t="shared" si="331"/>
        <v>-</v>
      </c>
      <c r="S1051" s="5"/>
      <c r="T1051" s="27" t="b">
        <f>IF($G1051&lt;&gt;0,SUMIF(куб!$G:$G,$G1051,куб!L:L),IF($E1051&lt;&gt;0,SUMIF(куб!$E:$E,$E1051,куб!L:L),IF($D1051&lt;&gt;0,SUMIF(куб!$D:$D,$D1051,куб!L:L),IF($C1051&lt;&gt;0,SUMIF(куб!$C:$C,$C1051,куб!L:L),IF($B1051&lt;&gt;0,SUMIF(куб!$B:$B,$B1051,куб!L:L))))))</f>
        <v>0</v>
      </c>
      <c r="U1051" s="27" t="b">
        <f>IF($G1051&lt;&gt;0,SUMIF(куб!$G:$G,$G1051,куб!M:M),IF($E1051&lt;&gt;0,SUMIF(куб!$E:$E,$E1051,куб!M:M),IF($D1051&lt;&gt;0,SUMIF(куб!$D:$D,$D1051,куб!M:M),IF($C1051&lt;&gt;0,SUMIF(куб!$C:$C,$C1051,куб!M:M),IF($B1051&lt;&gt;0,SUMIF(куб!$B:$B,$B1051,куб!M:M))))))</f>
        <v>0</v>
      </c>
      <c r="V1051" s="13" t="str">
        <f t="shared" si="332"/>
        <v>-</v>
      </c>
      <c r="W1051" s="5"/>
      <c r="X1051" s="27" t="b">
        <f>IF($G1051&lt;&gt;0,SUMIF(куб!$G:$G,$G1051,куб!N:N),IF($E1051&lt;&gt;0,SUMIF(куб!$E:$E,$E1051,куб!N:N),IF($D1051&lt;&gt;0,SUMIF(куб!$D:$D,$D1051,куб!N:N),IF($C1051&lt;&gt;0,SUMIF(куб!$C:$C,$C1051,куб!N:N),IF($B1051&lt;&gt;0,SUMIF(куб!$B:$B,$B1051,куб!N:N))))))</f>
        <v>0</v>
      </c>
      <c r="Y1051" s="27" t="b">
        <f>IF($G1051&lt;&gt;0,SUMIF(куб!$G:$G,$G1051,куб!O:O),IF($E1051&lt;&gt;0,SUMIF(куб!$E:$E,$E1051,куб!O:O),IF($D1051&lt;&gt;0,SUMIF(куб!$D:$D,$D1051,куб!O:O),IF($C1051&lt;&gt;0,SUMIF(куб!$C:$C,$C1051,куб!O:O),IF($B1051&lt;&gt;0,SUMIF(куб!$B:$B,$B1051,куб!O:O))))))</f>
        <v>0</v>
      </c>
      <c r="Z1051" s="13" t="str">
        <f t="shared" si="333"/>
        <v>-</v>
      </c>
      <c r="AA1051" s="5"/>
      <c r="AB1051" s="33" t="str">
        <f t="shared" si="334"/>
        <v/>
      </c>
      <c r="AC1051" s="33" t="str">
        <f t="shared" si="335"/>
        <v/>
      </c>
      <c r="AD1051" s="15" t="str">
        <f t="shared" si="336"/>
        <v xml:space="preserve"> </v>
      </c>
      <c r="AE1051" s="5"/>
      <c r="AF1051" s="27" t="b">
        <f>IF($G1051&lt;&gt;0,SUMIF(куб!$G:$G,$G1051,куб!R:R),IF($E1051&lt;&gt;0,SUMIF(куб!$E:$E,$E1051,куб!R:R),IF($D1051&lt;&gt;0,SUMIF(куб!$D:$D,$D1051,куб!R:R),IF($C1051&lt;&gt;0,SUMIF(куб!$C:$C,$C1051,куб!R:R),IF($B1051&lt;&gt;0,SUMIF(куб!$B:$B,$B1051,куб!R:R))))))</f>
        <v>0</v>
      </c>
      <c r="AG1051" s="27" t="b">
        <f>IF($G1051&lt;&gt;0,SUMIF(куб!$G:$G,$G1051,куб!S:S),IF($E1051&lt;&gt;0,SUMIF(куб!$E:$E,$E1051,куб!S:S),IF($D1051&lt;&gt;0,SUMIF(куб!$D:$D,$D1051,куб!S:S),IF($C1051&lt;&gt;0,SUMIF(куб!$C:$C,$C1051,куб!S:S),IF($B1051&lt;&gt;0,SUMIF(куб!$B:$B,$B1051,куб!S:S))))))</f>
        <v>0</v>
      </c>
      <c r="AH1051" s="16" t="str">
        <f t="shared" si="337"/>
        <v>-</v>
      </c>
      <c r="AI1051" s="8"/>
      <c r="AJ1051" s="27" t="b">
        <f>IF($G1051&lt;&gt;0,SUMIF(куб!$G:$G,$G1051,куб!T:T),IF($E1051&lt;&gt;0,SUMIF(куб!$E:$E,$E1051,куб!T:T),IF($D1051&lt;&gt;0,SUMIF(куб!$D:$D,$D1051,куб!T:T),IF($C1051&lt;&gt;0,SUMIF(куб!$C:$C,$C1051,куб!T:T),IF($B1051&lt;&gt;0,SUMIF(куб!$B:$B,$B1051,куб!T:T))))))</f>
        <v>0</v>
      </c>
      <c r="AK1051" s="27" t="b">
        <f>IF($G1051&lt;&gt;0,SUMIF(куб!$G:$G,$G1051,куб!U:U),IF($E1051&lt;&gt;0,SUMIF(куб!$E:$E,$E1051,куб!U:U),IF($D1051&lt;&gt;0,SUMIF(куб!$D:$D,$D1051,куб!U:U),IF($C1051&lt;&gt;0,SUMIF(куб!$C:$C,$C1051,куб!U:U),IF($B1051&lt;&gt;0,SUMIF(куб!$B:$B,$B1051,куб!U:U))))))</f>
        <v>0</v>
      </c>
      <c r="AL1051" s="16" t="str">
        <f t="shared" si="338"/>
        <v>-</v>
      </c>
      <c r="AM1051" s="8"/>
      <c r="AN1051" s="17" t="str">
        <f t="shared" si="339"/>
        <v xml:space="preserve"> </v>
      </c>
      <c r="AO1051" s="17" t="str">
        <f t="shared" si="340"/>
        <v xml:space="preserve"> </v>
      </c>
      <c r="AP1051" s="16" t="str">
        <f t="shared" si="341"/>
        <v>-</v>
      </c>
      <c r="AQ1051" s="8"/>
      <c r="AR1051" s="17" t="str">
        <f t="shared" si="342"/>
        <v>-</v>
      </c>
      <c r="AS1051" s="17" t="str">
        <f t="shared" si="343"/>
        <v>-</v>
      </c>
      <c r="AT1051" s="13" t="str">
        <f t="shared" si="344"/>
        <v>-</v>
      </c>
      <c r="AU1051" s="8"/>
    </row>
    <row r="1052" spans="8:47" x14ac:dyDescent="0.25">
      <c r="H1052" s="27">
        <f>IF($G1052&lt;&gt;0,SUMIF(куб!$G:$G,$G1052,куб!H:H),IF($E1052&lt;&gt;0,SUMIF(куб!$E:$E,$E1052,куб!H:H),IF($D1052&lt;&gt;0,SUMIF(куб!$D:$D,$D1052,куб!H:H),IF($C1052&lt;&gt;0,SUMIF(куб!$C:$C,$C1052,куб!H:H),IF($B1052&lt;&gt;0,SUMIF(куб!$B:$B,$B1052,куб!H:H),IF($G1052&lt;&gt;0,SUMIF(куб!$A:$A,$G1052,куб!H:H),SUMIF(куб!$A:$A,$G1052,куб!H:H)))))))</f>
        <v>0</v>
      </c>
      <c r="I1052" s="27">
        <f>IF($G1052&lt;&gt;0,SUMIF(куб!$G:$G,$G1052,куб!I:I),IF($E1052&lt;&gt;0,SUMIF(куб!$E:$E,$E1052,куб!I:I),IF($D1052&lt;&gt;0,SUMIF(куб!$D:$D,$D1052,куб!I:I),IF($C1052&lt;&gt;0,SUMIF(куб!$C:$C,$C1052,куб!I:I),IF($B1052&lt;&gt;0,SUMIF(куб!$B:$B,$B1052,куб!I:I),IF($G1052&lt;&gt;0,SUMIF(куб!$A:$A,$G1052,куб!I:I),SUMIF(куб!$A:$A,$G1052,куб!I:I)))))))</f>
        <v>0</v>
      </c>
      <c r="J1052" s="19" t="str">
        <f t="shared" si="327"/>
        <v>-</v>
      </c>
      <c r="K1052" s="8"/>
      <c r="L1052" s="17">
        <f t="shared" si="328"/>
        <v>0</v>
      </c>
      <c r="M1052" s="17">
        <f t="shared" si="329"/>
        <v>0</v>
      </c>
      <c r="N1052" s="12">
        <f t="shared" si="330"/>
        <v>0</v>
      </c>
      <c r="O1052" s="5"/>
      <c r="P1052" s="27" t="b">
        <f>IF($G1052&lt;&gt;0,SUMIF(куб!$G:$G,$G1052,куб!J:J),IF($E1052&lt;&gt;0,SUMIF(куб!$E:$E,$E1052,куб!J:J),IF($D1052&lt;&gt;0,SUMIF(куб!$D:$D,$D1052,куб!J:J),IF($C1052&lt;&gt;0,SUMIF(куб!$C:$C,$C1052,куб!J:J),IF($B1052&lt;&gt;0,SUMIF(куб!$B:$B,$B1052,куб!J:J))))))</f>
        <v>0</v>
      </c>
      <c r="Q1052" s="27" t="b">
        <f>IF($G1052&lt;&gt;0,SUMIF(куб!$G:$G,$G1052,куб!K:K),IF($E1052&lt;&gt;0,SUMIF(куб!$E:$E,$E1052,куб!K:K),IF($D1052&lt;&gt;0,SUMIF(куб!$D:$D,$D1052,куб!K:K),IF($C1052&lt;&gt;0,SUMIF(куб!$C:$C,$C1052,куб!K:K),IF($B1052&lt;&gt;0,SUMIF(куб!$B:$B,$B1052,куб!K:K))))))</f>
        <v>0</v>
      </c>
      <c r="R1052" s="13" t="str">
        <f t="shared" si="331"/>
        <v>-</v>
      </c>
      <c r="S1052" s="5"/>
      <c r="T1052" s="27" t="b">
        <f>IF($G1052&lt;&gt;0,SUMIF(куб!$G:$G,$G1052,куб!L:L),IF($E1052&lt;&gt;0,SUMIF(куб!$E:$E,$E1052,куб!L:L),IF($D1052&lt;&gt;0,SUMIF(куб!$D:$D,$D1052,куб!L:L),IF($C1052&lt;&gt;0,SUMIF(куб!$C:$C,$C1052,куб!L:L),IF($B1052&lt;&gt;0,SUMIF(куб!$B:$B,$B1052,куб!L:L))))))</f>
        <v>0</v>
      </c>
      <c r="U1052" s="27" t="b">
        <f>IF($G1052&lt;&gt;0,SUMIF(куб!$G:$G,$G1052,куб!M:M),IF($E1052&lt;&gt;0,SUMIF(куб!$E:$E,$E1052,куб!M:M),IF($D1052&lt;&gt;0,SUMIF(куб!$D:$D,$D1052,куб!M:M),IF($C1052&lt;&gt;0,SUMIF(куб!$C:$C,$C1052,куб!M:M),IF($B1052&lt;&gt;0,SUMIF(куб!$B:$B,$B1052,куб!M:M))))))</f>
        <v>0</v>
      </c>
      <c r="V1052" s="13" t="str">
        <f t="shared" si="332"/>
        <v>-</v>
      </c>
      <c r="W1052" s="5"/>
      <c r="X1052" s="27" t="b">
        <f>IF($G1052&lt;&gt;0,SUMIF(куб!$G:$G,$G1052,куб!N:N),IF($E1052&lt;&gt;0,SUMIF(куб!$E:$E,$E1052,куб!N:N),IF($D1052&lt;&gt;0,SUMIF(куб!$D:$D,$D1052,куб!N:N),IF($C1052&lt;&gt;0,SUMIF(куб!$C:$C,$C1052,куб!N:N),IF($B1052&lt;&gt;0,SUMIF(куб!$B:$B,$B1052,куб!N:N))))))</f>
        <v>0</v>
      </c>
      <c r="Y1052" s="27" t="b">
        <f>IF($G1052&lt;&gt;0,SUMIF(куб!$G:$G,$G1052,куб!O:O),IF($E1052&lt;&gt;0,SUMIF(куб!$E:$E,$E1052,куб!O:O),IF($D1052&lt;&gt;0,SUMIF(куб!$D:$D,$D1052,куб!O:O),IF($C1052&lt;&gt;0,SUMIF(куб!$C:$C,$C1052,куб!O:O),IF($B1052&lt;&gt;0,SUMIF(куб!$B:$B,$B1052,куб!O:O))))))</f>
        <v>0</v>
      </c>
      <c r="Z1052" s="13" t="str">
        <f t="shared" si="333"/>
        <v>-</v>
      </c>
      <c r="AA1052" s="5"/>
      <c r="AB1052" s="33" t="str">
        <f t="shared" si="334"/>
        <v/>
      </c>
      <c r="AC1052" s="33" t="str">
        <f t="shared" si="335"/>
        <v/>
      </c>
      <c r="AD1052" s="15" t="str">
        <f t="shared" si="336"/>
        <v xml:space="preserve"> </v>
      </c>
      <c r="AE1052" s="5"/>
      <c r="AF1052" s="27" t="b">
        <f>IF($G1052&lt;&gt;0,SUMIF(куб!$G:$G,$G1052,куб!R:R),IF($E1052&lt;&gt;0,SUMIF(куб!$E:$E,$E1052,куб!R:R),IF($D1052&lt;&gt;0,SUMIF(куб!$D:$D,$D1052,куб!R:R),IF($C1052&lt;&gt;0,SUMIF(куб!$C:$C,$C1052,куб!R:R),IF($B1052&lt;&gt;0,SUMIF(куб!$B:$B,$B1052,куб!R:R))))))</f>
        <v>0</v>
      </c>
      <c r="AG1052" s="27" t="b">
        <f>IF($G1052&lt;&gt;0,SUMIF(куб!$G:$G,$G1052,куб!S:S),IF($E1052&lt;&gt;0,SUMIF(куб!$E:$E,$E1052,куб!S:S),IF($D1052&lt;&gt;0,SUMIF(куб!$D:$D,$D1052,куб!S:S),IF($C1052&lt;&gt;0,SUMIF(куб!$C:$C,$C1052,куб!S:S),IF($B1052&lt;&gt;0,SUMIF(куб!$B:$B,$B1052,куб!S:S))))))</f>
        <v>0</v>
      </c>
      <c r="AH1052" s="16" t="str">
        <f t="shared" si="337"/>
        <v>-</v>
      </c>
      <c r="AI1052" s="8"/>
      <c r="AJ1052" s="27" t="b">
        <f>IF($G1052&lt;&gt;0,SUMIF(куб!$G:$G,$G1052,куб!T:T),IF($E1052&lt;&gt;0,SUMIF(куб!$E:$E,$E1052,куб!T:T),IF($D1052&lt;&gt;0,SUMIF(куб!$D:$D,$D1052,куб!T:T),IF($C1052&lt;&gt;0,SUMIF(куб!$C:$C,$C1052,куб!T:T),IF($B1052&lt;&gt;0,SUMIF(куб!$B:$B,$B1052,куб!T:T))))))</f>
        <v>0</v>
      </c>
      <c r="AK1052" s="27" t="b">
        <f>IF($G1052&lt;&gt;0,SUMIF(куб!$G:$G,$G1052,куб!U:U),IF($E1052&lt;&gt;0,SUMIF(куб!$E:$E,$E1052,куб!U:U),IF($D1052&lt;&gt;0,SUMIF(куб!$D:$D,$D1052,куб!U:U),IF($C1052&lt;&gt;0,SUMIF(куб!$C:$C,$C1052,куб!U:U),IF($B1052&lt;&gt;0,SUMIF(куб!$B:$B,$B1052,куб!U:U))))))</f>
        <v>0</v>
      </c>
      <c r="AL1052" s="16" t="str">
        <f t="shared" si="338"/>
        <v>-</v>
      </c>
      <c r="AM1052" s="8"/>
      <c r="AN1052" s="17" t="str">
        <f t="shared" si="339"/>
        <v xml:space="preserve"> </v>
      </c>
      <c r="AO1052" s="17" t="str">
        <f t="shared" si="340"/>
        <v xml:space="preserve"> </v>
      </c>
      <c r="AP1052" s="16" t="str">
        <f t="shared" si="341"/>
        <v>-</v>
      </c>
      <c r="AQ1052" s="8"/>
      <c r="AR1052" s="17" t="str">
        <f t="shared" si="342"/>
        <v>-</v>
      </c>
      <c r="AS1052" s="17" t="str">
        <f t="shared" si="343"/>
        <v>-</v>
      </c>
      <c r="AT1052" s="13" t="str">
        <f t="shared" si="344"/>
        <v>-</v>
      </c>
      <c r="AU1052" s="8"/>
    </row>
    <row r="1053" spans="8:47" x14ac:dyDescent="0.25">
      <c r="H1053" s="27">
        <f>IF($G1053&lt;&gt;0,SUMIF(куб!$G:$G,$G1053,куб!H:H),IF($E1053&lt;&gt;0,SUMIF(куб!$E:$E,$E1053,куб!H:H),IF($D1053&lt;&gt;0,SUMIF(куб!$D:$D,$D1053,куб!H:H),IF($C1053&lt;&gt;0,SUMIF(куб!$C:$C,$C1053,куб!H:H),IF($B1053&lt;&gt;0,SUMIF(куб!$B:$B,$B1053,куб!H:H),IF($G1053&lt;&gt;0,SUMIF(куб!$A:$A,$G1053,куб!H:H),SUMIF(куб!$A:$A,$G1053,куб!H:H)))))))</f>
        <v>0</v>
      </c>
      <c r="I1053" s="27">
        <f>IF($G1053&lt;&gt;0,SUMIF(куб!$G:$G,$G1053,куб!I:I),IF($E1053&lt;&gt;0,SUMIF(куб!$E:$E,$E1053,куб!I:I),IF($D1053&lt;&gt;0,SUMIF(куб!$D:$D,$D1053,куб!I:I),IF($C1053&lt;&gt;0,SUMIF(куб!$C:$C,$C1053,куб!I:I),IF($B1053&lt;&gt;0,SUMIF(куб!$B:$B,$B1053,куб!I:I),IF($G1053&lt;&gt;0,SUMIF(куб!$A:$A,$G1053,куб!I:I),SUMIF(куб!$A:$A,$G1053,куб!I:I)))))))</f>
        <v>0</v>
      </c>
      <c r="J1053" s="19" t="str">
        <f t="shared" si="327"/>
        <v>-</v>
      </c>
      <c r="K1053" s="8"/>
      <c r="L1053" s="17">
        <f t="shared" si="328"/>
        <v>0</v>
      </c>
      <c r="M1053" s="17">
        <f t="shared" si="329"/>
        <v>0</v>
      </c>
      <c r="N1053" s="12">
        <f t="shared" si="330"/>
        <v>0</v>
      </c>
      <c r="O1053" s="5"/>
      <c r="P1053" s="27" t="b">
        <f>IF($G1053&lt;&gt;0,SUMIF(куб!$G:$G,$G1053,куб!J:J),IF($E1053&lt;&gt;0,SUMIF(куб!$E:$E,$E1053,куб!J:J),IF($D1053&lt;&gt;0,SUMIF(куб!$D:$D,$D1053,куб!J:J),IF($C1053&lt;&gt;0,SUMIF(куб!$C:$C,$C1053,куб!J:J),IF($B1053&lt;&gt;0,SUMIF(куб!$B:$B,$B1053,куб!J:J))))))</f>
        <v>0</v>
      </c>
      <c r="Q1053" s="27" t="b">
        <f>IF($G1053&lt;&gt;0,SUMIF(куб!$G:$G,$G1053,куб!K:K),IF($E1053&lt;&gt;0,SUMIF(куб!$E:$E,$E1053,куб!K:K),IF($D1053&lt;&gt;0,SUMIF(куб!$D:$D,$D1053,куб!K:K),IF($C1053&lt;&gt;0,SUMIF(куб!$C:$C,$C1053,куб!K:K),IF($B1053&lt;&gt;0,SUMIF(куб!$B:$B,$B1053,куб!K:K))))))</f>
        <v>0</v>
      </c>
      <c r="R1053" s="13" t="str">
        <f t="shared" si="331"/>
        <v>-</v>
      </c>
      <c r="S1053" s="5"/>
      <c r="T1053" s="27" t="b">
        <f>IF($G1053&lt;&gt;0,SUMIF(куб!$G:$G,$G1053,куб!L:L),IF($E1053&lt;&gt;0,SUMIF(куб!$E:$E,$E1053,куб!L:L),IF($D1053&lt;&gt;0,SUMIF(куб!$D:$D,$D1053,куб!L:L),IF($C1053&lt;&gt;0,SUMIF(куб!$C:$C,$C1053,куб!L:L),IF($B1053&lt;&gt;0,SUMIF(куб!$B:$B,$B1053,куб!L:L))))))</f>
        <v>0</v>
      </c>
      <c r="U1053" s="27" t="b">
        <f>IF($G1053&lt;&gt;0,SUMIF(куб!$G:$G,$G1053,куб!M:M),IF($E1053&lt;&gt;0,SUMIF(куб!$E:$E,$E1053,куб!M:M),IF($D1053&lt;&gt;0,SUMIF(куб!$D:$D,$D1053,куб!M:M),IF($C1053&lt;&gt;0,SUMIF(куб!$C:$C,$C1053,куб!M:M),IF($B1053&lt;&gt;0,SUMIF(куб!$B:$B,$B1053,куб!M:M))))))</f>
        <v>0</v>
      </c>
      <c r="V1053" s="13" t="str">
        <f t="shared" si="332"/>
        <v>-</v>
      </c>
      <c r="W1053" s="5"/>
      <c r="X1053" s="27" t="b">
        <f>IF($G1053&lt;&gt;0,SUMIF(куб!$G:$G,$G1053,куб!N:N),IF($E1053&lt;&gt;0,SUMIF(куб!$E:$E,$E1053,куб!N:N),IF($D1053&lt;&gt;0,SUMIF(куб!$D:$D,$D1053,куб!N:N),IF($C1053&lt;&gt;0,SUMIF(куб!$C:$C,$C1053,куб!N:N),IF($B1053&lt;&gt;0,SUMIF(куб!$B:$B,$B1053,куб!N:N))))))</f>
        <v>0</v>
      </c>
      <c r="Y1053" s="27" t="b">
        <f>IF($G1053&lt;&gt;0,SUMIF(куб!$G:$G,$G1053,куб!O:O),IF($E1053&lt;&gt;0,SUMIF(куб!$E:$E,$E1053,куб!O:O),IF($D1053&lt;&gt;0,SUMIF(куб!$D:$D,$D1053,куб!O:O),IF($C1053&lt;&gt;0,SUMIF(куб!$C:$C,$C1053,куб!O:O),IF($B1053&lt;&gt;0,SUMIF(куб!$B:$B,$B1053,куб!O:O))))))</f>
        <v>0</v>
      </c>
      <c r="Z1053" s="13" t="str">
        <f t="shared" si="333"/>
        <v>-</v>
      </c>
      <c r="AA1053" s="5"/>
      <c r="AB1053" s="33" t="str">
        <f t="shared" si="334"/>
        <v/>
      </c>
      <c r="AC1053" s="33" t="str">
        <f t="shared" si="335"/>
        <v/>
      </c>
      <c r="AD1053" s="15" t="str">
        <f t="shared" si="336"/>
        <v xml:space="preserve"> </v>
      </c>
      <c r="AE1053" s="5"/>
      <c r="AF1053" s="27" t="b">
        <f>IF($G1053&lt;&gt;0,SUMIF(куб!$G:$G,$G1053,куб!R:R),IF($E1053&lt;&gt;0,SUMIF(куб!$E:$E,$E1053,куб!R:R),IF($D1053&lt;&gt;0,SUMIF(куб!$D:$D,$D1053,куб!R:R),IF($C1053&lt;&gt;0,SUMIF(куб!$C:$C,$C1053,куб!R:R),IF($B1053&lt;&gt;0,SUMIF(куб!$B:$B,$B1053,куб!R:R))))))</f>
        <v>0</v>
      </c>
      <c r="AG1053" s="27" t="b">
        <f>IF($G1053&lt;&gt;0,SUMIF(куб!$G:$G,$G1053,куб!S:S),IF($E1053&lt;&gt;0,SUMIF(куб!$E:$E,$E1053,куб!S:S),IF($D1053&lt;&gt;0,SUMIF(куб!$D:$D,$D1053,куб!S:S),IF($C1053&lt;&gt;0,SUMIF(куб!$C:$C,$C1053,куб!S:S),IF($B1053&lt;&gt;0,SUMIF(куб!$B:$B,$B1053,куб!S:S))))))</f>
        <v>0</v>
      </c>
      <c r="AH1053" s="16" t="str">
        <f t="shared" si="337"/>
        <v>-</v>
      </c>
      <c r="AI1053" s="8"/>
      <c r="AJ1053" s="27" t="b">
        <f>IF($G1053&lt;&gt;0,SUMIF(куб!$G:$G,$G1053,куб!T:T),IF($E1053&lt;&gt;0,SUMIF(куб!$E:$E,$E1053,куб!T:T),IF($D1053&lt;&gt;0,SUMIF(куб!$D:$D,$D1053,куб!T:T),IF($C1053&lt;&gt;0,SUMIF(куб!$C:$C,$C1053,куб!T:T),IF($B1053&lt;&gt;0,SUMIF(куб!$B:$B,$B1053,куб!T:T))))))</f>
        <v>0</v>
      </c>
      <c r="AK1053" s="27" t="b">
        <f>IF($G1053&lt;&gt;0,SUMIF(куб!$G:$G,$G1053,куб!U:U),IF($E1053&lt;&gt;0,SUMIF(куб!$E:$E,$E1053,куб!U:U),IF($D1053&lt;&gt;0,SUMIF(куб!$D:$D,$D1053,куб!U:U),IF($C1053&lt;&gt;0,SUMIF(куб!$C:$C,$C1053,куб!U:U),IF($B1053&lt;&gt;0,SUMIF(куб!$B:$B,$B1053,куб!U:U))))))</f>
        <v>0</v>
      </c>
      <c r="AL1053" s="16" t="str">
        <f t="shared" si="338"/>
        <v>-</v>
      </c>
      <c r="AM1053" s="8"/>
      <c r="AN1053" s="17" t="str">
        <f t="shared" si="339"/>
        <v xml:space="preserve"> </v>
      </c>
      <c r="AO1053" s="17" t="str">
        <f t="shared" si="340"/>
        <v xml:space="preserve"> </v>
      </c>
      <c r="AP1053" s="16" t="str">
        <f t="shared" si="341"/>
        <v>-</v>
      </c>
      <c r="AQ1053" s="8"/>
      <c r="AR1053" s="17" t="str">
        <f t="shared" si="342"/>
        <v>-</v>
      </c>
      <c r="AS1053" s="17" t="str">
        <f t="shared" si="343"/>
        <v>-</v>
      </c>
      <c r="AT1053" s="13" t="str">
        <f t="shared" si="344"/>
        <v>-</v>
      </c>
      <c r="AU1053" s="8"/>
    </row>
    <row r="1054" spans="8:47" x14ac:dyDescent="0.25">
      <c r="H1054" s="27">
        <f>IF($G1054&lt;&gt;0,SUMIF(куб!$G:$G,$G1054,куб!H:H),IF($E1054&lt;&gt;0,SUMIF(куб!$E:$E,$E1054,куб!H:H),IF($D1054&lt;&gt;0,SUMIF(куб!$D:$D,$D1054,куб!H:H),IF($C1054&lt;&gt;0,SUMIF(куб!$C:$C,$C1054,куб!H:H),IF($B1054&lt;&gt;0,SUMIF(куб!$B:$B,$B1054,куб!H:H),IF($G1054&lt;&gt;0,SUMIF(куб!$A:$A,$G1054,куб!H:H),SUMIF(куб!$A:$A,$G1054,куб!H:H)))))))</f>
        <v>0</v>
      </c>
      <c r="I1054" s="27">
        <f>IF($G1054&lt;&gt;0,SUMIF(куб!$G:$G,$G1054,куб!I:I),IF($E1054&lt;&gt;0,SUMIF(куб!$E:$E,$E1054,куб!I:I),IF($D1054&lt;&gt;0,SUMIF(куб!$D:$D,$D1054,куб!I:I),IF($C1054&lt;&gt;0,SUMIF(куб!$C:$C,$C1054,куб!I:I),IF($B1054&lt;&gt;0,SUMIF(куб!$B:$B,$B1054,куб!I:I),IF($G1054&lt;&gt;0,SUMIF(куб!$A:$A,$G1054,куб!I:I),SUMIF(куб!$A:$A,$G1054,куб!I:I)))))))</f>
        <v>0</v>
      </c>
      <c r="J1054" s="19" t="str">
        <f t="shared" si="327"/>
        <v>-</v>
      </c>
      <c r="K1054" s="8"/>
      <c r="L1054" s="17">
        <f t="shared" si="328"/>
        <v>0</v>
      </c>
      <c r="M1054" s="17">
        <f t="shared" si="329"/>
        <v>0</v>
      </c>
      <c r="N1054" s="12">
        <f t="shared" si="330"/>
        <v>0</v>
      </c>
      <c r="O1054" s="5"/>
      <c r="P1054" s="27" t="b">
        <f>IF($G1054&lt;&gt;0,SUMIF(куб!$G:$G,$G1054,куб!J:J),IF($E1054&lt;&gt;0,SUMIF(куб!$E:$E,$E1054,куб!J:J),IF($D1054&lt;&gt;0,SUMIF(куб!$D:$D,$D1054,куб!J:J),IF($C1054&lt;&gt;0,SUMIF(куб!$C:$C,$C1054,куб!J:J),IF($B1054&lt;&gt;0,SUMIF(куб!$B:$B,$B1054,куб!J:J))))))</f>
        <v>0</v>
      </c>
      <c r="Q1054" s="27" t="b">
        <f>IF($G1054&lt;&gt;0,SUMIF(куб!$G:$G,$G1054,куб!K:K),IF($E1054&lt;&gt;0,SUMIF(куб!$E:$E,$E1054,куб!K:K),IF($D1054&lt;&gt;0,SUMIF(куб!$D:$D,$D1054,куб!K:K),IF($C1054&lt;&gt;0,SUMIF(куб!$C:$C,$C1054,куб!K:K),IF($B1054&lt;&gt;0,SUMIF(куб!$B:$B,$B1054,куб!K:K))))))</f>
        <v>0</v>
      </c>
      <c r="R1054" s="13" t="str">
        <f t="shared" si="331"/>
        <v>-</v>
      </c>
      <c r="S1054" s="5"/>
      <c r="T1054" s="27" t="b">
        <f>IF($G1054&lt;&gt;0,SUMIF(куб!$G:$G,$G1054,куб!L:L),IF($E1054&lt;&gt;0,SUMIF(куб!$E:$E,$E1054,куб!L:L),IF($D1054&lt;&gt;0,SUMIF(куб!$D:$D,$D1054,куб!L:L),IF($C1054&lt;&gt;0,SUMIF(куб!$C:$C,$C1054,куб!L:L),IF($B1054&lt;&gt;0,SUMIF(куб!$B:$B,$B1054,куб!L:L))))))</f>
        <v>0</v>
      </c>
      <c r="U1054" s="27" t="b">
        <f>IF($G1054&lt;&gt;0,SUMIF(куб!$G:$G,$G1054,куб!M:M),IF($E1054&lt;&gt;0,SUMIF(куб!$E:$E,$E1054,куб!M:M),IF($D1054&lt;&gt;0,SUMIF(куб!$D:$D,$D1054,куб!M:M),IF($C1054&lt;&gt;0,SUMIF(куб!$C:$C,$C1054,куб!M:M),IF($B1054&lt;&gt;0,SUMIF(куб!$B:$B,$B1054,куб!M:M))))))</f>
        <v>0</v>
      </c>
      <c r="V1054" s="13" t="str">
        <f t="shared" si="332"/>
        <v>-</v>
      </c>
      <c r="W1054" s="5"/>
      <c r="X1054" s="27" t="b">
        <f>IF($G1054&lt;&gt;0,SUMIF(куб!$G:$G,$G1054,куб!N:N),IF($E1054&lt;&gt;0,SUMIF(куб!$E:$E,$E1054,куб!N:N),IF($D1054&lt;&gt;0,SUMIF(куб!$D:$D,$D1054,куб!N:N),IF($C1054&lt;&gt;0,SUMIF(куб!$C:$C,$C1054,куб!N:N),IF($B1054&lt;&gt;0,SUMIF(куб!$B:$B,$B1054,куб!N:N))))))</f>
        <v>0</v>
      </c>
      <c r="Y1054" s="27" t="b">
        <f>IF($G1054&lt;&gt;0,SUMIF(куб!$G:$G,$G1054,куб!O:O),IF($E1054&lt;&gt;0,SUMIF(куб!$E:$E,$E1054,куб!O:O),IF($D1054&lt;&gt;0,SUMIF(куб!$D:$D,$D1054,куб!O:O),IF($C1054&lt;&gt;0,SUMIF(куб!$C:$C,$C1054,куб!O:O),IF($B1054&lt;&gt;0,SUMIF(куб!$B:$B,$B1054,куб!O:O))))))</f>
        <v>0</v>
      </c>
      <c r="Z1054" s="13" t="str">
        <f t="shared" si="333"/>
        <v>-</v>
      </c>
      <c r="AA1054" s="5"/>
      <c r="AB1054" s="33" t="str">
        <f t="shared" si="334"/>
        <v/>
      </c>
      <c r="AC1054" s="33" t="str">
        <f t="shared" si="335"/>
        <v/>
      </c>
      <c r="AD1054" s="15" t="str">
        <f t="shared" si="336"/>
        <v xml:space="preserve"> </v>
      </c>
      <c r="AE1054" s="5"/>
      <c r="AF1054" s="27" t="b">
        <f>IF($G1054&lt;&gt;0,SUMIF(куб!$G:$G,$G1054,куб!R:R),IF($E1054&lt;&gt;0,SUMIF(куб!$E:$E,$E1054,куб!R:R),IF($D1054&lt;&gt;0,SUMIF(куб!$D:$D,$D1054,куб!R:R),IF($C1054&lt;&gt;0,SUMIF(куб!$C:$C,$C1054,куб!R:R),IF($B1054&lt;&gt;0,SUMIF(куб!$B:$B,$B1054,куб!R:R))))))</f>
        <v>0</v>
      </c>
      <c r="AG1054" s="27" t="b">
        <f>IF($G1054&lt;&gt;0,SUMIF(куб!$G:$G,$G1054,куб!S:S),IF($E1054&lt;&gt;0,SUMIF(куб!$E:$E,$E1054,куб!S:S),IF($D1054&lt;&gt;0,SUMIF(куб!$D:$D,$D1054,куб!S:S),IF($C1054&lt;&gt;0,SUMIF(куб!$C:$C,$C1054,куб!S:S),IF($B1054&lt;&gt;0,SUMIF(куб!$B:$B,$B1054,куб!S:S))))))</f>
        <v>0</v>
      </c>
      <c r="AH1054" s="16" t="str">
        <f t="shared" si="337"/>
        <v>-</v>
      </c>
      <c r="AI1054" s="8"/>
      <c r="AJ1054" s="27" t="b">
        <f>IF($G1054&lt;&gt;0,SUMIF(куб!$G:$G,$G1054,куб!T:T),IF($E1054&lt;&gt;0,SUMIF(куб!$E:$E,$E1054,куб!T:T),IF($D1054&lt;&gt;0,SUMIF(куб!$D:$D,$D1054,куб!T:T),IF($C1054&lt;&gt;0,SUMIF(куб!$C:$C,$C1054,куб!T:T),IF($B1054&lt;&gt;0,SUMIF(куб!$B:$B,$B1054,куб!T:T))))))</f>
        <v>0</v>
      </c>
      <c r="AK1054" s="27" t="b">
        <f>IF($G1054&lt;&gt;0,SUMIF(куб!$G:$G,$G1054,куб!U:U),IF($E1054&lt;&gt;0,SUMIF(куб!$E:$E,$E1054,куб!U:U),IF($D1054&lt;&gt;0,SUMIF(куб!$D:$D,$D1054,куб!U:U),IF($C1054&lt;&gt;0,SUMIF(куб!$C:$C,$C1054,куб!U:U),IF($B1054&lt;&gt;0,SUMIF(куб!$B:$B,$B1054,куб!U:U))))))</f>
        <v>0</v>
      </c>
      <c r="AL1054" s="16" t="str">
        <f t="shared" si="338"/>
        <v>-</v>
      </c>
      <c r="AM1054" s="8"/>
      <c r="AN1054" s="17" t="str">
        <f t="shared" si="339"/>
        <v xml:space="preserve"> </v>
      </c>
      <c r="AO1054" s="17" t="str">
        <f t="shared" si="340"/>
        <v xml:space="preserve"> </v>
      </c>
      <c r="AP1054" s="16" t="str">
        <f t="shared" si="341"/>
        <v>-</v>
      </c>
      <c r="AQ1054" s="8"/>
      <c r="AR1054" s="17" t="str">
        <f t="shared" si="342"/>
        <v>-</v>
      </c>
      <c r="AS1054" s="17" t="str">
        <f t="shared" si="343"/>
        <v>-</v>
      </c>
      <c r="AT1054" s="13" t="str">
        <f t="shared" si="344"/>
        <v>-</v>
      </c>
      <c r="AU1054" s="8"/>
    </row>
    <row r="1055" spans="8:47" x14ac:dyDescent="0.25">
      <c r="H1055" s="27">
        <f>IF($G1055&lt;&gt;0,SUMIF(куб!$G:$G,$G1055,куб!H:H),IF($E1055&lt;&gt;0,SUMIF(куб!$E:$E,$E1055,куб!H:H),IF($D1055&lt;&gt;0,SUMIF(куб!$D:$D,$D1055,куб!H:H),IF($C1055&lt;&gt;0,SUMIF(куб!$C:$C,$C1055,куб!H:H),IF($B1055&lt;&gt;0,SUMIF(куб!$B:$B,$B1055,куб!H:H),IF($G1055&lt;&gt;0,SUMIF(куб!$A:$A,$G1055,куб!H:H),SUMIF(куб!$A:$A,$G1055,куб!H:H)))))))</f>
        <v>0</v>
      </c>
      <c r="I1055" s="27">
        <f>IF($G1055&lt;&gt;0,SUMIF(куб!$G:$G,$G1055,куб!I:I),IF($E1055&lt;&gt;0,SUMIF(куб!$E:$E,$E1055,куб!I:I),IF($D1055&lt;&gt;0,SUMIF(куб!$D:$D,$D1055,куб!I:I),IF($C1055&lt;&gt;0,SUMIF(куб!$C:$C,$C1055,куб!I:I),IF($B1055&lt;&gt;0,SUMIF(куб!$B:$B,$B1055,куб!I:I),IF($G1055&lt;&gt;0,SUMIF(куб!$A:$A,$G1055,куб!I:I),SUMIF(куб!$A:$A,$G1055,куб!I:I)))))))</f>
        <v>0</v>
      </c>
      <c r="J1055" s="19" t="str">
        <f t="shared" si="327"/>
        <v>-</v>
      </c>
      <c r="K1055" s="8"/>
      <c r="L1055" s="17">
        <f t="shared" si="328"/>
        <v>0</v>
      </c>
      <c r="M1055" s="17">
        <f t="shared" si="329"/>
        <v>0</v>
      </c>
      <c r="N1055" s="12">
        <f t="shared" si="330"/>
        <v>0</v>
      </c>
      <c r="O1055" s="5"/>
      <c r="P1055" s="27" t="b">
        <f>IF($G1055&lt;&gt;0,SUMIF(куб!$G:$G,$G1055,куб!J:J),IF($E1055&lt;&gt;0,SUMIF(куб!$E:$E,$E1055,куб!J:J),IF($D1055&lt;&gt;0,SUMIF(куб!$D:$D,$D1055,куб!J:J),IF($C1055&lt;&gt;0,SUMIF(куб!$C:$C,$C1055,куб!J:J),IF($B1055&lt;&gt;0,SUMIF(куб!$B:$B,$B1055,куб!J:J))))))</f>
        <v>0</v>
      </c>
      <c r="Q1055" s="27" t="b">
        <f>IF($G1055&lt;&gt;0,SUMIF(куб!$G:$G,$G1055,куб!K:K),IF($E1055&lt;&gt;0,SUMIF(куб!$E:$E,$E1055,куб!K:K),IF($D1055&lt;&gt;0,SUMIF(куб!$D:$D,$D1055,куб!K:K),IF($C1055&lt;&gt;0,SUMIF(куб!$C:$C,$C1055,куб!K:K),IF($B1055&lt;&gt;0,SUMIF(куб!$B:$B,$B1055,куб!K:K))))))</f>
        <v>0</v>
      </c>
      <c r="R1055" s="13" t="str">
        <f t="shared" si="331"/>
        <v>-</v>
      </c>
      <c r="S1055" s="5"/>
      <c r="T1055" s="27" t="b">
        <f>IF($G1055&lt;&gt;0,SUMIF(куб!$G:$G,$G1055,куб!L:L),IF($E1055&lt;&gt;0,SUMIF(куб!$E:$E,$E1055,куб!L:L),IF($D1055&lt;&gt;0,SUMIF(куб!$D:$D,$D1055,куб!L:L),IF($C1055&lt;&gt;0,SUMIF(куб!$C:$C,$C1055,куб!L:L),IF($B1055&lt;&gt;0,SUMIF(куб!$B:$B,$B1055,куб!L:L))))))</f>
        <v>0</v>
      </c>
      <c r="U1055" s="27" t="b">
        <f>IF($G1055&lt;&gt;0,SUMIF(куб!$G:$G,$G1055,куб!M:M),IF($E1055&lt;&gt;0,SUMIF(куб!$E:$E,$E1055,куб!M:M),IF($D1055&lt;&gt;0,SUMIF(куб!$D:$D,$D1055,куб!M:M),IF($C1055&lt;&gt;0,SUMIF(куб!$C:$C,$C1055,куб!M:M),IF($B1055&lt;&gt;0,SUMIF(куб!$B:$B,$B1055,куб!M:M))))))</f>
        <v>0</v>
      </c>
      <c r="V1055" s="13" t="str">
        <f t="shared" si="332"/>
        <v>-</v>
      </c>
      <c r="W1055" s="5"/>
      <c r="X1055" s="27" t="b">
        <f>IF($G1055&lt;&gt;0,SUMIF(куб!$G:$G,$G1055,куб!N:N),IF($E1055&lt;&gt;0,SUMIF(куб!$E:$E,$E1055,куб!N:N),IF($D1055&lt;&gt;0,SUMIF(куб!$D:$D,$D1055,куб!N:N),IF($C1055&lt;&gt;0,SUMIF(куб!$C:$C,$C1055,куб!N:N),IF($B1055&lt;&gt;0,SUMIF(куб!$B:$B,$B1055,куб!N:N))))))</f>
        <v>0</v>
      </c>
      <c r="Y1055" s="27" t="b">
        <f>IF($G1055&lt;&gt;0,SUMIF(куб!$G:$G,$G1055,куб!O:O),IF($E1055&lt;&gt;0,SUMIF(куб!$E:$E,$E1055,куб!O:O),IF($D1055&lt;&gt;0,SUMIF(куб!$D:$D,$D1055,куб!O:O),IF($C1055&lt;&gt;0,SUMIF(куб!$C:$C,$C1055,куб!O:O),IF($B1055&lt;&gt;0,SUMIF(куб!$B:$B,$B1055,куб!O:O))))))</f>
        <v>0</v>
      </c>
      <c r="Z1055" s="13" t="str">
        <f t="shared" si="333"/>
        <v>-</v>
      </c>
      <c r="AA1055" s="5"/>
      <c r="AB1055" s="33" t="str">
        <f t="shared" si="334"/>
        <v/>
      </c>
      <c r="AC1055" s="33" t="str">
        <f t="shared" si="335"/>
        <v/>
      </c>
      <c r="AD1055" s="15" t="str">
        <f t="shared" si="336"/>
        <v xml:space="preserve"> </v>
      </c>
      <c r="AE1055" s="5"/>
      <c r="AF1055" s="27" t="b">
        <f>IF($G1055&lt;&gt;0,SUMIF(куб!$G:$G,$G1055,куб!R:R),IF($E1055&lt;&gt;0,SUMIF(куб!$E:$E,$E1055,куб!R:R),IF($D1055&lt;&gt;0,SUMIF(куб!$D:$D,$D1055,куб!R:R),IF($C1055&lt;&gt;0,SUMIF(куб!$C:$C,$C1055,куб!R:R),IF($B1055&lt;&gt;0,SUMIF(куб!$B:$B,$B1055,куб!R:R))))))</f>
        <v>0</v>
      </c>
      <c r="AG1055" s="27" t="b">
        <f>IF($G1055&lt;&gt;0,SUMIF(куб!$G:$G,$G1055,куб!S:S),IF($E1055&lt;&gt;0,SUMIF(куб!$E:$E,$E1055,куб!S:S),IF($D1055&lt;&gt;0,SUMIF(куб!$D:$D,$D1055,куб!S:S),IF($C1055&lt;&gt;0,SUMIF(куб!$C:$C,$C1055,куб!S:S),IF($B1055&lt;&gt;0,SUMIF(куб!$B:$B,$B1055,куб!S:S))))))</f>
        <v>0</v>
      </c>
      <c r="AH1055" s="16" t="str">
        <f t="shared" si="337"/>
        <v>-</v>
      </c>
      <c r="AI1055" s="8"/>
      <c r="AJ1055" s="27" t="b">
        <f>IF($G1055&lt;&gt;0,SUMIF(куб!$G:$G,$G1055,куб!T:T),IF($E1055&lt;&gt;0,SUMIF(куб!$E:$E,$E1055,куб!T:T),IF($D1055&lt;&gt;0,SUMIF(куб!$D:$D,$D1055,куб!T:T),IF($C1055&lt;&gt;0,SUMIF(куб!$C:$C,$C1055,куб!T:T),IF($B1055&lt;&gt;0,SUMIF(куб!$B:$B,$B1055,куб!T:T))))))</f>
        <v>0</v>
      </c>
      <c r="AK1055" s="27" t="b">
        <f>IF($G1055&lt;&gt;0,SUMIF(куб!$G:$G,$G1055,куб!U:U),IF($E1055&lt;&gt;0,SUMIF(куб!$E:$E,$E1055,куб!U:U),IF($D1055&lt;&gt;0,SUMIF(куб!$D:$D,$D1055,куб!U:U),IF($C1055&lt;&gt;0,SUMIF(куб!$C:$C,$C1055,куб!U:U),IF($B1055&lt;&gt;0,SUMIF(куб!$B:$B,$B1055,куб!U:U))))))</f>
        <v>0</v>
      </c>
      <c r="AL1055" s="16" t="str">
        <f t="shared" si="338"/>
        <v>-</v>
      </c>
      <c r="AM1055" s="8"/>
      <c r="AN1055" s="17" t="str">
        <f t="shared" si="339"/>
        <v xml:space="preserve"> </v>
      </c>
      <c r="AO1055" s="17" t="str">
        <f t="shared" si="340"/>
        <v xml:space="preserve"> </v>
      </c>
      <c r="AP1055" s="16" t="str">
        <f t="shared" si="341"/>
        <v>-</v>
      </c>
      <c r="AQ1055" s="8"/>
      <c r="AR1055" s="17" t="str">
        <f t="shared" si="342"/>
        <v>-</v>
      </c>
      <c r="AS1055" s="17" t="str">
        <f t="shared" si="343"/>
        <v>-</v>
      </c>
      <c r="AT1055" s="13" t="str">
        <f t="shared" si="344"/>
        <v>-</v>
      </c>
      <c r="AU1055" s="8"/>
    </row>
    <row r="1056" spans="8:47" x14ac:dyDescent="0.25">
      <c r="H1056" s="27">
        <f>IF($G1056&lt;&gt;0,SUMIF(куб!$G:$G,$G1056,куб!H:H),IF($E1056&lt;&gt;0,SUMIF(куб!$E:$E,$E1056,куб!H:H),IF($D1056&lt;&gt;0,SUMIF(куб!$D:$D,$D1056,куб!H:H),IF($C1056&lt;&gt;0,SUMIF(куб!$C:$C,$C1056,куб!H:H),IF($B1056&lt;&gt;0,SUMIF(куб!$B:$B,$B1056,куб!H:H),IF($G1056&lt;&gt;0,SUMIF(куб!$A:$A,$G1056,куб!H:H),SUMIF(куб!$A:$A,$G1056,куб!H:H)))))))</f>
        <v>0</v>
      </c>
      <c r="I1056" s="27">
        <f>IF($G1056&lt;&gt;0,SUMIF(куб!$G:$G,$G1056,куб!I:I),IF($E1056&lt;&gt;0,SUMIF(куб!$E:$E,$E1056,куб!I:I),IF($D1056&lt;&gt;0,SUMIF(куб!$D:$D,$D1056,куб!I:I),IF($C1056&lt;&gt;0,SUMIF(куб!$C:$C,$C1056,куб!I:I),IF($B1056&lt;&gt;0,SUMIF(куб!$B:$B,$B1056,куб!I:I),IF($G1056&lt;&gt;0,SUMIF(куб!$A:$A,$G1056,куб!I:I),SUMIF(куб!$A:$A,$G1056,куб!I:I)))))))</f>
        <v>0</v>
      </c>
      <c r="J1056" s="19" t="str">
        <f t="shared" si="327"/>
        <v>-</v>
      </c>
      <c r="K1056" s="8"/>
      <c r="L1056" s="17">
        <f t="shared" si="328"/>
        <v>0</v>
      </c>
      <c r="M1056" s="17">
        <f t="shared" si="329"/>
        <v>0</v>
      </c>
      <c r="N1056" s="12">
        <f t="shared" si="330"/>
        <v>0</v>
      </c>
      <c r="O1056" s="5"/>
      <c r="P1056" s="27" t="b">
        <f>IF($G1056&lt;&gt;0,SUMIF(куб!$G:$G,$G1056,куб!J:J),IF($E1056&lt;&gt;0,SUMIF(куб!$E:$E,$E1056,куб!J:J),IF($D1056&lt;&gt;0,SUMIF(куб!$D:$D,$D1056,куб!J:J),IF($C1056&lt;&gt;0,SUMIF(куб!$C:$C,$C1056,куб!J:J),IF($B1056&lt;&gt;0,SUMIF(куб!$B:$B,$B1056,куб!J:J))))))</f>
        <v>0</v>
      </c>
      <c r="Q1056" s="27" t="b">
        <f>IF($G1056&lt;&gt;0,SUMIF(куб!$G:$G,$G1056,куб!K:K),IF($E1056&lt;&gt;0,SUMIF(куб!$E:$E,$E1056,куб!K:K),IF($D1056&lt;&gt;0,SUMIF(куб!$D:$D,$D1056,куб!K:K),IF($C1056&lt;&gt;0,SUMIF(куб!$C:$C,$C1056,куб!K:K),IF($B1056&lt;&gt;0,SUMIF(куб!$B:$B,$B1056,куб!K:K))))))</f>
        <v>0</v>
      </c>
      <c r="R1056" s="13" t="str">
        <f t="shared" si="331"/>
        <v>-</v>
      </c>
      <c r="S1056" s="5"/>
      <c r="T1056" s="27" t="b">
        <f>IF($G1056&lt;&gt;0,SUMIF(куб!$G:$G,$G1056,куб!L:L),IF($E1056&lt;&gt;0,SUMIF(куб!$E:$E,$E1056,куб!L:L),IF($D1056&lt;&gt;0,SUMIF(куб!$D:$D,$D1056,куб!L:L),IF($C1056&lt;&gt;0,SUMIF(куб!$C:$C,$C1056,куб!L:L),IF($B1056&lt;&gt;0,SUMIF(куб!$B:$B,$B1056,куб!L:L))))))</f>
        <v>0</v>
      </c>
      <c r="U1056" s="27" t="b">
        <f>IF($G1056&lt;&gt;0,SUMIF(куб!$G:$G,$G1056,куб!M:M),IF($E1056&lt;&gt;0,SUMIF(куб!$E:$E,$E1056,куб!M:M),IF($D1056&lt;&gt;0,SUMIF(куб!$D:$D,$D1056,куб!M:M),IF($C1056&lt;&gt;0,SUMIF(куб!$C:$C,$C1056,куб!M:M),IF($B1056&lt;&gt;0,SUMIF(куб!$B:$B,$B1056,куб!M:M))))))</f>
        <v>0</v>
      </c>
      <c r="V1056" s="13" t="str">
        <f t="shared" si="332"/>
        <v>-</v>
      </c>
      <c r="W1056" s="5"/>
      <c r="X1056" s="27" t="b">
        <f>IF($G1056&lt;&gt;0,SUMIF(куб!$G:$G,$G1056,куб!N:N),IF($E1056&lt;&gt;0,SUMIF(куб!$E:$E,$E1056,куб!N:N),IF($D1056&lt;&gt;0,SUMIF(куб!$D:$D,$D1056,куб!N:N),IF($C1056&lt;&gt;0,SUMIF(куб!$C:$C,$C1056,куб!N:N),IF($B1056&lt;&gt;0,SUMIF(куб!$B:$B,$B1056,куб!N:N))))))</f>
        <v>0</v>
      </c>
      <c r="Y1056" s="27" t="b">
        <f>IF($G1056&lt;&gt;0,SUMIF(куб!$G:$G,$G1056,куб!O:O),IF($E1056&lt;&gt;0,SUMIF(куб!$E:$E,$E1056,куб!O:O),IF($D1056&lt;&gt;0,SUMIF(куб!$D:$D,$D1056,куб!O:O),IF($C1056&lt;&gt;0,SUMIF(куб!$C:$C,$C1056,куб!O:O),IF($B1056&lt;&gt;0,SUMIF(куб!$B:$B,$B1056,куб!O:O))))))</f>
        <v>0</v>
      </c>
      <c r="Z1056" s="13" t="str">
        <f t="shared" si="333"/>
        <v>-</v>
      </c>
      <c r="AA1056" s="5"/>
      <c r="AB1056" s="33" t="str">
        <f t="shared" si="334"/>
        <v/>
      </c>
      <c r="AC1056" s="33" t="str">
        <f t="shared" si="335"/>
        <v/>
      </c>
      <c r="AD1056" s="15" t="str">
        <f t="shared" si="336"/>
        <v xml:space="preserve"> </v>
      </c>
      <c r="AE1056" s="5"/>
      <c r="AF1056" s="27" t="b">
        <f>IF($G1056&lt;&gt;0,SUMIF(куб!$G:$G,$G1056,куб!R:R),IF($E1056&lt;&gt;0,SUMIF(куб!$E:$E,$E1056,куб!R:R),IF($D1056&lt;&gt;0,SUMIF(куб!$D:$D,$D1056,куб!R:R),IF($C1056&lt;&gt;0,SUMIF(куб!$C:$C,$C1056,куб!R:R),IF($B1056&lt;&gt;0,SUMIF(куб!$B:$B,$B1056,куб!R:R))))))</f>
        <v>0</v>
      </c>
      <c r="AG1056" s="27" t="b">
        <f>IF($G1056&lt;&gt;0,SUMIF(куб!$G:$G,$G1056,куб!S:S),IF($E1056&lt;&gt;0,SUMIF(куб!$E:$E,$E1056,куб!S:S),IF($D1056&lt;&gt;0,SUMIF(куб!$D:$D,$D1056,куб!S:S),IF($C1056&lt;&gt;0,SUMIF(куб!$C:$C,$C1056,куб!S:S),IF($B1056&lt;&gt;0,SUMIF(куб!$B:$B,$B1056,куб!S:S))))))</f>
        <v>0</v>
      </c>
      <c r="AH1056" s="16" t="str">
        <f t="shared" si="337"/>
        <v>-</v>
      </c>
      <c r="AI1056" s="8"/>
      <c r="AJ1056" s="27" t="b">
        <f>IF($G1056&lt;&gt;0,SUMIF(куб!$G:$G,$G1056,куб!T:T),IF($E1056&lt;&gt;0,SUMIF(куб!$E:$E,$E1056,куб!T:T),IF($D1056&lt;&gt;0,SUMIF(куб!$D:$D,$D1056,куб!T:T),IF($C1056&lt;&gt;0,SUMIF(куб!$C:$C,$C1056,куб!T:T),IF($B1056&lt;&gt;0,SUMIF(куб!$B:$B,$B1056,куб!T:T))))))</f>
        <v>0</v>
      </c>
      <c r="AK1056" s="27" t="b">
        <f>IF($G1056&lt;&gt;0,SUMIF(куб!$G:$G,$G1056,куб!U:U),IF($E1056&lt;&gt;0,SUMIF(куб!$E:$E,$E1056,куб!U:U),IF($D1056&lt;&gt;0,SUMIF(куб!$D:$D,$D1056,куб!U:U),IF($C1056&lt;&gt;0,SUMIF(куб!$C:$C,$C1056,куб!U:U),IF($B1056&lt;&gt;0,SUMIF(куб!$B:$B,$B1056,куб!U:U))))))</f>
        <v>0</v>
      </c>
      <c r="AL1056" s="16" t="str">
        <f t="shared" si="338"/>
        <v>-</v>
      </c>
      <c r="AM1056" s="8"/>
      <c r="AN1056" s="17" t="str">
        <f t="shared" si="339"/>
        <v xml:space="preserve"> </v>
      </c>
      <c r="AO1056" s="17" t="str">
        <f t="shared" si="340"/>
        <v xml:space="preserve"> </v>
      </c>
      <c r="AP1056" s="16" t="str">
        <f t="shared" si="341"/>
        <v>-</v>
      </c>
      <c r="AQ1056" s="8"/>
      <c r="AR1056" s="17" t="str">
        <f t="shared" si="342"/>
        <v>-</v>
      </c>
      <c r="AS1056" s="17" t="str">
        <f t="shared" si="343"/>
        <v>-</v>
      </c>
      <c r="AT1056" s="13" t="str">
        <f t="shared" si="344"/>
        <v>-</v>
      </c>
      <c r="AU1056" s="8"/>
    </row>
    <row r="1057" spans="8:47" x14ac:dyDescent="0.25">
      <c r="H1057" s="27">
        <f>IF($G1057&lt;&gt;0,SUMIF(куб!$G:$G,$G1057,куб!H:H),IF($E1057&lt;&gt;0,SUMIF(куб!$E:$E,$E1057,куб!H:H),IF($D1057&lt;&gt;0,SUMIF(куб!$D:$D,$D1057,куб!H:H),IF($C1057&lt;&gt;0,SUMIF(куб!$C:$C,$C1057,куб!H:H),IF($B1057&lt;&gt;0,SUMIF(куб!$B:$B,$B1057,куб!H:H),IF($G1057&lt;&gt;0,SUMIF(куб!$A:$A,$G1057,куб!H:H),SUMIF(куб!$A:$A,$G1057,куб!H:H)))))))</f>
        <v>0</v>
      </c>
      <c r="I1057" s="27">
        <f>IF($G1057&lt;&gt;0,SUMIF(куб!$G:$G,$G1057,куб!I:I),IF($E1057&lt;&gt;0,SUMIF(куб!$E:$E,$E1057,куб!I:I),IF($D1057&lt;&gt;0,SUMIF(куб!$D:$D,$D1057,куб!I:I),IF($C1057&lt;&gt;0,SUMIF(куб!$C:$C,$C1057,куб!I:I),IF($B1057&lt;&gt;0,SUMIF(куб!$B:$B,$B1057,куб!I:I),IF($G1057&lt;&gt;0,SUMIF(куб!$A:$A,$G1057,куб!I:I),SUMIF(куб!$A:$A,$G1057,куб!I:I)))))))</f>
        <v>0</v>
      </c>
      <c r="J1057" s="19" t="str">
        <f t="shared" si="327"/>
        <v>-</v>
      </c>
      <c r="K1057" s="8"/>
      <c r="L1057" s="17">
        <f t="shared" si="328"/>
        <v>0</v>
      </c>
      <c r="M1057" s="17">
        <f t="shared" si="329"/>
        <v>0</v>
      </c>
      <c r="N1057" s="12">
        <f t="shared" si="330"/>
        <v>0</v>
      </c>
      <c r="O1057" s="5"/>
      <c r="P1057" s="27" t="b">
        <f>IF($G1057&lt;&gt;0,SUMIF(куб!$G:$G,$G1057,куб!J:J),IF($E1057&lt;&gt;0,SUMIF(куб!$E:$E,$E1057,куб!J:J),IF($D1057&lt;&gt;0,SUMIF(куб!$D:$D,$D1057,куб!J:J),IF($C1057&lt;&gt;0,SUMIF(куб!$C:$C,$C1057,куб!J:J),IF($B1057&lt;&gt;0,SUMIF(куб!$B:$B,$B1057,куб!J:J))))))</f>
        <v>0</v>
      </c>
      <c r="Q1057" s="27" t="b">
        <f>IF($G1057&lt;&gt;0,SUMIF(куб!$G:$G,$G1057,куб!K:K),IF($E1057&lt;&gt;0,SUMIF(куб!$E:$E,$E1057,куб!K:K),IF($D1057&lt;&gt;0,SUMIF(куб!$D:$D,$D1057,куб!K:K),IF($C1057&lt;&gt;0,SUMIF(куб!$C:$C,$C1057,куб!K:K),IF($B1057&lt;&gt;0,SUMIF(куб!$B:$B,$B1057,куб!K:K))))))</f>
        <v>0</v>
      </c>
      <c r="R1057" s="13" t="str">
        <f t="shared" si="331"/>
        <v>-</v>
      </c>
      <c r="S1057" s="5"/>
      <c r="T1057" s="27" t="b">
        <f>IF($G1057&lt;&gt;0,SUMIF(куб!$G:$G,$G1057,куб!L:L),IF($E1057&lt;&gt;0,SUMIF(куб!$E:$E,$E1057,куб!L:L),IF($D1057&lt;&gt;0,SUMIF(куб!$D:$D,$D1057,куб!L:L),IF($C1057&lt;&gt;0,SUMIF(куб!$C:$C,$C1057,куб!L:L),IF($B1057&lt;&gt;0,SUMIF(куб!$B:$B,$B1057,куб!L:L))))))</f>
        <v>0</v>
      </c>
      <c r="U1057" s="27" t="b">
        <f>IF($G1057&lt;&gt;0,SUMIF(куб!$G:$G,$G1057,куб!M:M),IF($E1057&lt;&gt;0,SUMIF(куб!$E:$E,$E1057,куб!M:M),IF($D1057&lt;&gt;0,SUMIF(куб!$D:$D,$D1057,куб!M:M),IF($C1057&lt;&gt;0,SUMIF(куб!$C:$C,$C1057,куб!M:M),IF($B1057&lt;&gt;0,SUMIF(куб!$B:$B,$B1057,куб!M:M))))))</f>
        <v>0</v>
      </c>
      <c r="V1057" s="13" t="str">
        <f t="shared" si="332"/>
        <v>-</v>
      </c>
      <c r="W1057" s="5"/>
      <c r="X1057" s="27" t="b">
        <f>IF($G1057&lt;&gt;0,SUMIF(куб!$G:$G,$G1057,куб!N:N),IF($E1057&lt;&gt;0,SUMIF(куб!$E:$E,$E1057,куб!N:N),IF($D1057&lt;&gt;0,SUMIF(куб!$D:$D,$D1057,куб!N:N),IF($C1057&lt;&gt;0,SUMIF(куб!$C:$C,$C1057,куб!N:N),IF($B1057&lt;&gt;0,SUMIF(куб!$B:$B,$B1057,куб!N:N))))))</f>
        <v>0</v>
      </c>
      <c r="Y1057" s="27" t="b">
        <f>IF($G1057&lt;&gt;0,SUMIF(куб!$G:$G,$G1057,куб!O:O),IF($E1057&lt;&gt;0,SUMIF(куб!$E:$E,$E1057,куб!O:O),IF($D1057&lt;&gt;0,SUMIF(куб!$D:$D,$D1057,куб!O:O),IF($C1057&lt;&gt;0,SUMIF(куб!$C:$C,$C1057,куб!O:O),IF($B1057&lt;&gt;0,SUMIF(куб!$B:$B,$B1057,куб!O:O))))))</f>
        <v>0</v>
      </c>
      <c r="Z1057" s="13" t="str">
        <f t="shared" si="333"/>
        <v>-</v>
      </c>
      <c r="AA1057" s="5"/>
      <c r="AB1057" s="33" t="str">
        <f t="shared" si="334"/>
        <v/>
      </c>
      <c r="AC1057" s="33" t="str">
        <f t="shared" si="335"/>
        <v/>
      </c>
      <c r="AD1057" s="15" t="str">
        <f t="shared" si="336"/>
        <v xml:space="preserve"> </v>
      </c>
      <c r="AE1057" s="5"/>
      <c r="AF1057" s="27" t="b">
        <f>IF($G1057&lt;&gt;0,SUMIF(куб!$G:$G,$G1057,куб!R:R),IF($E1057&lt;&gt;0,SUMIF(куб!$E:$E,$E1057,куб!R:R),IF($D1057&lt;&gt;0,SUMIF(куб!$D:$D,$D1057,куб!R:R),IF($C1057&lt;&gt;0,SUMIF(куб!$C:$C,$C1057,куб!R:R),IF($B1057&lt;&gt;0,SUMIF(куб!$B:$B,$B1057,куб!R:R))))))</f>
        <v>0</v>
      </c>
      <c r="AG1057" s="27" t="b">
        <f>IF($G1057&lt;&gt;0,SUMIF(куб!$G:$G,$G1057,куб!S:S),IF($E1057&lt;&gt;0,SUMIF(куб!$E:$E,$E1057,куб!S:S),IF($D1057&lt;&gt;0,SUMIF(куб!$D:$D,$D1057,куб!S:S),IF($C1057&lt;&gt;0,SUMIF(куб!$C:$C,$C1057,куб!S:S),IF($B1057&lt;&gt;0,SUMIF(куб!$B:$B,$B1057,куб!S:S))))))</f>
        <v>0</v>
      </c>
      <c r="AH1057" s="16" t="str">
        <f t="shared" si="337"/>
        <v>-</v>
      </c>
      <c r="AI1057" s="8"/>
      <c r="AJ1057" s="27" t="b">
        <f>IF($G1057&lt;&gt;0,SUMIF(куб!$G:$G,$G1057,куб!T:T),IF($E1057&lt;&gt;0,SUMIF(куб!$E:$E,$E1057,куб!T:T),IF($D1057&lt;&gt;0,SUMIF(куб!$D:$D,$D1057,куб!T:T),IF($C1057&lt;&gt;0,SUMIF(куб!$C:$C,$C1057,куб!T:T),IF($B1057&lt;&gt;0,SUMIF(куб!$B:$B,$B1057,куб!T:T))))))</f>
        <v>0</v>
      </c>
      <c r="AK1057" s="27" t="b">
        <f>IF($G1057&lt;&gt;0,SUMIF(куб!$G:$G,$G1057,куб!U:U),IF($E1057&lt;&gt;0,SUMIF(куб!$E:$E,$E1057,куб!U:U),IF($D1057&lt;&gt;0,SUMIF(куб!$D:$D,$D1057,куб!U:U),IF($C1057&lt;&gt;0,SUMIF(куб!$C:$C,$C1057,куб!U:U),IF($B1057&lt;&gt;0,SUMIF(куб!$B:$B,$B1057,куб!U:U))))))</f>
        <v>0</v>
      </c>
      <c r="AL1057" s="16" t="str">
        <f t="shared" si="338"/>
        <v>-</v>
      </c>
      <c r="AM1057" s="8"/>
      <c r="AN1057" s="17" t="str">
        <f t="shared" si="339"/>
        <v xml:space="preserve"> </v>
      </c>
      <c r="AO1057" s="17" t="str">
        <f t="shared" si="340"/>
        <v xml:space="preserve"> </v>
      </c>
      <c r="AP1057" s="16" t="str">
        <f t="shared" si="341"/>
        <v>-</v>
      </c>
      <c r="AQ1057" s="8"/>
      <c r="AR1057" s="17" t="str">
        <f t="shared" si="342"/>
        <v>-</v>
      </c>
      <c r="AS1057" s="17" t="str">
        <f t="shared" si="343"/>
        <v>-</v>
      </c>
      <c r="AT1057" s="13" t="str">
        <f t="shared" si="344"/>
        <v>-</v>
      </c>
      <c r="AU1057" s="8"/>
    </row>
    <row r="1058" spans="8:47" x14ac:dyDescent="0.25">
      <c r="H1058" s="27">
        <f>IF($G1058&lt;&gt;0,SUMIF(куб!$G:$G,$G1058,куб!H:H),IF($E1058&lt;&gt;0,SUMIF(куб!$E:$E,$E1058,куб!H:H),IF($D1058&lt;&gt;0,SUMIF(куб!$D:$D,$D1058,куб!H:H),IF($C1058&lt;&gt;0,SUMIF(куб!$C:$C,$C1058,куб!H:H),IF($B1058&lt;&gt;0,SUMIF(куб!$B:$B,$B1058,куб!H:H),IF($G1058&lt;&gt;0,SUMIF(куб!$A:$A,$G1058,куб!H:H),SUMIF(куб!$A:$A,$G1058,куб!H:H)))))))</f>
        <v>0</v>
      </c>
      <c r="I1058" s="27">
        <f>IF($G1058&lt;&gt;0,SUMIF(куб!$G:$G,$G1058,куб!I:I),IF($E1058&lt;&gt;0,SUMIF(куб!$E:$E,$E1058,куб!I:I),IF($D1058&lt;&gt;0,SUMIF(куб!$D:$D,$D1058,куб!I:I),IF($C1058&lt;&gt;0,SUMIF(куб!$C:$C,$C1058,куб!I:I),IF($B1058&lt;&gt;0,SUMIF(куб!$B:$B,$B1058,куб!I:I),IF($G1058&lt;&gt;0,SUMIF(куб!$A:$A,$G1058,куб!I:I),SUMIF(куб!$A:$A,$G1058,куб!I:I)))))))</f>
        <v>0</v>
      </c>
      <c r="J1058" s="19" t="str">
        <f t="shared" si="327"/>
        <v>-</v>
      </c>
      <c r="K1058" s="8"/>
      <c r="L1058" s="17">
        <f t="shared" si="328"/>
        <v>0</v>
      </c>
      <c r="M1058" s="17">
        <f t="shared" si="329"/>
        <v>0</v>
      </c>
      <c r="N1058" s="12">
        <f t="shared" si="330"/>
        <v>0</v>
      </c>
      <c r="O1058" s="5"/>
      <c r="P1058" s="27" t="b">
        <f>IF($G1058&lt;&gt;0,SUMIF(куб!$G:$G,$G1058,куб!J:J),IF($E1058&lt;&gt;0,SUMIF(куб!$E:$E,$E1058,куб!J:J),IF($D1058&lt;&gt;0,SUMIF(куб!$D:$D,$D1058,куб!J:J),IF($C1058&lt;&gt;0,SUMIF(куб!$C:$C,$C1058,куб!J:J),IF($B1058&lt;&gt;0,SUMIF(куб!$B:$B,$B1058,куб!J:J))))))</f>
        <v>0</v>
      </c>
      <c r="Q1058" s="27" t="b">
        <f>IF($G1058&lt;&gt;0,SUMIF(куб!$G:$G,$G1058,куб!K:K),IF($E1058&lt;&gt;0,SUMIF(куб!$E:$E,$E1058,куб!K:K),IF($D1058&lt;&gt;0,SUMIF(куб!$D:$D,$D1058,куб!K:K),IF($C1058&lt;&gt;0,SUMIF(куб!$C:$C,$C1058,куб!K:K),IF($B1058&lt;&gt;0,SUMIF(куб!$B:$B,$B1058,куб!K:K))))))</f>
        <v>0</v>
      </c>
      <c r="R1058" s="13" t="str">
        <f t="shared" si="331"/>
        <v>-</v>
      </c>
      <c r="S1058" s="5"/>
      <c r="T1058" s="27" t="b">
        <f>IF($G1058&lt;&gt;0,SUMIF(куб!$G:$G,$G1058,куб!L:L),IF($E1058&lt;&gt;0,SUMIF(куб!$E:$E,$E1058,куб!L:L),IF($D1058&lt;&gt;0,SUMIF(куб!$D:$D,$D1058,куб!L:L),IF($C1058&lt;&gt;0,SUMIF(куб!$C:$C,$C1058,куб!L:L),IF($B1058&lt;&gt;0,SUMIF(куб!$B:$B,$B1058,куб!L:L))))))</f>
        <v>0</v>
      </c>
      <c r="U1058" s="27" t="b">
        <f>IF($G1058&lt;&gt;0,SUMIF(куб!$G:$G,$G1058,куб!M:M),IF($E1058&lt;&gt;0,SUMIF(куб!$E:$E,$E1058,куб!M:M),IF($D1058&lt;&gt;0,SUMIF(куб!$D:$D,$D1058,куб!M:M),IF($C1058&lt;&gt;0,SUMIF(куб!$C:$C,$C1058,куб!M:M),IF($B1058&lt;&gt;0,SUMIF(куб!$B:$B,$B1058,куб!M:M))))))</f>
        <v>0</v>
      </c>
      <c r="V1058" s="13" t="str">
        <f t="shared" si="332"/>
        <v>-</v>
      </c>
      <c r="W1058" s="5"/>
      <c r="X1058" s="27" t="b">
        <f>IF($G1058&lt;&gt;0,SUMIF(куб!$G:$G,$G1058,куб!N:N),IF($E1058&lt;&gt;0,SUMIF(куб!$E:$E,$E1058,куб!N:N),IF($D1058&lt;&gt;0,SUMIF(куб!$D:$D,$D1058,куб!N:N),IF($C1058&lt;&gt;0,SUMIF(куб!$C:$C,$C1058,куб!N:N),IF($B1058&lt;&gt;0,SUMIF(куб!$B:$B,$B1058,куб!N:N))))))</f>
        <v>0</v>
      </c>
      <c r="Y1058" s="27" t="b">
        <f>IF($G1058&lt;&gt;0,SUMIF(куб!$G:$G,$G1058,куб!O:O),IF($E1058&lt;&gt;0,SUMIF(куб!$E:$E,$E1058,куб!O:O),IF($D1058&lt;&gt;0,SUMIF(куб!$D:$D,$D1058,куб!O:O),IF($C1058&lt;&gt;0,SUMIF(куб!$C:$C,$C1058,куб!O:O),IF($B1058&lt;&gt;0,SUMIF(куб!$B:$B,$B1058,куб!O:O))))))</f>
        <v>0</v>
      </c>
      <c r="Z1058" s="13" t="str">
        <f t="shared" si="333"/>
        <v>-</v>
      </c>
      <c r="AA1058" s="5"/>
      <c r="AB1058" s="33" t="str">
        <f t="shared" si="334"/>
        <v/>
      </c>
      <c r="AC1058" s="33" t="str">
        <f t="shared" si="335"/>
        <v/>
      </c>
      <c r="AD1058" s="15" t="str">
        <f t="shared" si="336"/>
        <v xml:space="preserve"> </v>
      </c>
      <c r="AE1058" s="5"/>
      <c r="AF1058" s="27" t="b">
        <f>IF($G1058&lt;&gt;0,SUMIF(куб!$G:$G,$G1058,куб!R:R),IF($E1058&lt;&gt;0,SUMIF(куб!$E:$E,$E1058,куб!R:R),IF($D1058&lt;&gt;0,SUMIF(куб!$D:$D,$D1058,куб!R:R),IF($C1058&lt;&gt;0,SUMIF(куб!$C:$C,$C1058,куб!R:R),IF($B1058&lt;&gt;0,SUMIF(куб!$B:$B,$B1058,куб!R:R))))))</f>
        <v>0</v>
      </c>
      <c r="AG1058" s="27" t="b">
        <f>IF($G1058&lt;&gt;0,SUMIF(куб!$G:$G,$G1058,куб!S:S),IF($E1058&lt;&gt;0,SUMIF(куб!$E:$E,$E1058,куб!S:S),IF($D1058&lt;&gt;0,SUMIF(куб!$D:$D,$D1058,куб!S:S),IF($C1058&lt;&gt;0,SUMIF(куб!$C:$C,$C1058,куб!S:S),IF($B1058&lt;&gt;0,SUMIF(куб!$B:$B,$B1058,куб!S:S))))))</f>
        <v>0</v>
      </c>
      <c r="AH1058" s="16" t="str">
        <f t="shared" si="337"/>
        <v>-</v>
      </c>
      <c r="AI1058" s="8"/>
      <c r="AJ1058" s="27" t="b">
        <f>IF($G1058&lt;&gt;0,SUMIF(куб!$G:$G,$G1058,куб!T:T),IF($E1058&lt;&gt;0,SUMIF(куб!$E:$E,$E1058,куб!T:T),IF($D1058&lt;&gt;0,SUMIF(куб!$D:$D,$D1058,куб!T:T),IF($C1058&lt;&gt;0,SUMIF(куб!$C:$C,$C1058,куб!T:T),IF($B1058&lt;&gt;0,SUMIF(куб!$B:$B,$B1058,куб!T:T))))))</f>
        <v>0</v>
      </c>
      <c r="AK1058" s="27" t="b">
        <f>IF($G1058&lt;&gt;0,SUMIF(куб!$G:$G,$G1058,куб!U:U),IF($E1058&lt;&gt;0,SUMIF(куб!$E:$E,$E1058,куб!U:U),IF($D1058&lt;&gt;0,SUMIF(куб!$D:$D,$D1058,куб!U:U),IF($C1058&lt;&gt;0,SUMIF(куб!$C:$C,$C1058,куб!U:U),IF($B1058&lt;&gt;0,SUMIF(куб!$B:$B,$B1058,куб!U:U))))))</f>
        <v>0</v>
      </c>
      <c r="AL1058" s="16" t="str">
        <f t="shared" si="338"/>
        <v>-</v>
      </c>
      <c r="AM1058" s="8"/>
      <c r="AN1058" s="17" t="str">
        <f t="shared" si="339"/>
        <v xml:space="preserve"> </v>
      </c>
      <c r="AO1058" s="17" t="str">
        <f t="shared" si="340"/>
        <v xml:space="preserve"> </v>
      </c>
      <c r="AP1058" s="16" t="str">
        <f t="shared" si="341"/>
        <v>-</v>
      </c>
      <c r="AQ1058" s="8"/>
      <c r="AR1058" s="17" t="str">
        <f t="shared" si="342"/>
        <v>-</v>
      </c>
      <c r="AS1058" s="17" t="str">
        <f t="shared" si="343"/>
        <v>-</v>
      </c>
      <c r="AT1058" s="13" t="str">
        <f t="shared" si="344"/>
        <v>-</v>
      </c>
      <c r="AU1058" s="8"/>
    </row>
    <row r="1059" spans="8:47" x14ac:dyDescent="0.25">
      <c r="H1059" s="27">
        <f>IF($G1059&lt;&gt;0,SUMIF(куб!$G:$G,$G1059,куб!H:H),IF($E1059&lt;&gt;0,SUMIF(куб!$E:$E,$E1059,куб!H:H),IF($D1059&lt;&gt;0,SUMIF(куб!$D:$D,$D1059,куб!H:H),IF($C1059&lt;&gt;0,SUMIF(куб!$C:$C,$C1059,куб!H:H),IF($B1059&lt;&gt;0,SUMIF(куб!$B:$B,$B1059,куб!H:H),IF($G1059&lt;&gt;0,SUMIF(куб!$A:$A,$G1059,куб!H:H),SUMIF(куб!$A:$A,$G1059,куб!H:H)))))))</f>
        <v>0</v>
      </c>
      <c r="I1059" s="27">
        <f>IF($G1059&lt;&gt;0,SUMIF(куб!$G:$G,$G1059,куб!I:I),IF($E1059&lt;&gt;0,SUMIF(куб!$E:$E,$E1059,куб!I:I),IF($D1059&lt;&gt;0,SUMIF(куб!$D:$D,$D1059,куб!I:I),IF($C1059&lt;&gt;0,SUMIF(куб!$C:$C,$C1059,куб!I:I),IF($B1059&lt;&gt;0,SUMIF(куб!$B:$B,$B1059,куб!I:I),IF($G1059&lt;&gt;0,SUMIF(куб!$A:$A,$G1059,куб!I:I),SUMIF(куб!$A:$A,$G1059,куб!I:I)))))))</f>
        <v>0</v>
      </c>
      <c r="J1059" s="19" t="str">
        <f t="shared" si="327"/>
        <v>-</v>
      </c>
      <c r="K1059" s="8"/>
      <c r="L1059" s="17">
        <f t="shared" si="328"/>
        <v>0</v>
      </c>
      <c r="M1059" s="17">
        <f t="shared" si="329"/>
        <v>0</v>
      </c>
      <c r="N1059" s="12">
        <f t="shared" si="330"/>
        <v>0</v>
      </c>
      <c r="O1059" s="5"/>
      <c r="P1059" s="27" t="b">
        <f>IF($G1059&lt;&gt;0,SUMIF(куб!$G:$G,$G1059,куб!J:J),IF($E1059&lt;&gt;0,SUMIF(куб!$E:$E,$E1059,куб!J:J),IF($D1059&lt;&gt;0,SUMIF(куб!$D:$D,$D1059,куб!J:J),IF($C1059&lt;&gt;0,SUMIF(куб!$C:$C,$C1059,куб!J:J),IF($B1059&lt;&gt;0,SUMIF(куб!$B:$B,$B1059,куб!J:J))))))</f>
        <v>0</v>
      </c>
      <c r="Q1059" s="27" t="b">
        <f>IF($G1059&lt;&gt;0,SUMIF(куб!$G:$G,$G1059,куб!K:K),IF($E1059&lt;&gt;0,SUMIF(куб!$E:$E,$E1059,куб!K:K),IF($D1059&lt;&gt;0,SUMIF(куб!$D:$D,$D1059,куб!K:K),IF($C1059&lt;&gt;0,SUMIF(куб!$C:$C,$C1059,куб!K:K),IF($B1059&lt;&gt;0,SUMIF(куб!$B:$B,$B1059,куб!K:K))))))</f>
        <v>0</v>
      </c>
      <c r="R1059" s="13" t="str">
        <f t="shared" si="331"/>
        <v>-</v>
      </c>
      <c r="S1059" s="5"/>
      <c r="T1059" s="27" t="b">
        <f>IF($G1059&lt;&gt;0,SUMIF(куб!$G:$G,$G1059,куб!L:L),IF($E1059&lt;&gt;0,SUMIF(куб!$E:$E,$E1059,куб!L:L),IF($D1059&lt;&gt;0,SUMIF(куб!$D:$D,$D1059,куб!L:L),IF($C1059&lt;&gt;0,SUMIF(куб!$C:$C,$C1059,куб!L:L),IF($B1059&lt;&gt;0,SUMIF(куб!$B:$B,$B1059,куб!L:L))))))</f>
        <v>0</v>
      </c>
      <c r="U1059" s="27" t="b">
        <f>IF($G1059&lt;&gt;0,SUMIF(куб!$G:$G,$G1059,куб!M:M),IF($E1059&lt;&gt;0,SUMIF(куб!$E:$E,$E1059,куб!M:M),IF($D1059&lt;&gt;0,SUMIF(куб!$D:$D,$D1059,куб!M:M),IF($C1059&lt;&gt;0,SUMIF(куб!$C:$C,$C1059,куб!M:M),IF($B1059&lt;&gt;0,SUMIF(куб!$B:$B,$B1059,куб!M:M))))))</f>
        <v>0</v>
      </c>
      <c r="V1059" s="13" t="str">
        <f t="shared" si="332"/>
        <v>-</v>
      </c>
      <c r="W1059" s="5"/>
      <c r="X1059" s="27" t="b">
        <f>IF($G1059&lt;&gt;0,SUMIF(куб!$G:$G,$G1059,куб!N:N),IF($E1059&lt;&gt;0,SUMIF(куб!$E:$E,$E1059,куб!N:N),IF($D1059&lt;&gt;0,SUMIF(куб!$D:$D,$D1059,куб!N:N),IF($C1059&lt;&gt;0,SUMIF(куб!$C:$C,$C1059,куб!N:N),IF($B1059&lt;&gt;0,SUMIF(куб!$B:$B,$B1059,куб!N:N))))))</f>
        <v>0</v>
      </c>
      <c r="Y1059" s="27" t="b">
        <f>IF($G1059&lt;&gt;0,SUMIF(куб!$G:$G,$G1059,куб!O:O),IF($E1059&lt;&gt;0,SUMIF(куб!$E:$E,$E1059,куб!O:O),IF($D1059&lt;&gt;0,SUMIF(куб!$D:$D,$D1059,куб!O:O),IF($C1059&lt;&gt;0,SUMIF(куб!$C:$C,$C1059,куб!O:O),IF($B1059&lt;&gt;0,SUMIF(куб!$B:$B,$B1059,куб!O:O))))))</f>
        <v>0</v>
      </c>
      <c r="Z1059" s="13" t="str">
        <f t="shared" si="333"/>
        <v>-</v>
      </c>
      <c r="AA1059" s="5"/>
      <c r="AB1059" s="33" t="str">
        <f t="shared" si="334"/>
        <v/>
      </c>
      <c r="AC1059" s="33" t="str">
        <f t="shared" si="335"/>
        <v/>
      </c>
      <c r="AD1059" s="15" t="str">
        <f t="shared" si="336"/>
        <v xml:space="preserve"> </v>
      </c>
      <c r="AE1059" s="5"/>
      <c r="AF1059" s="27" t="b">
        <f>IF($G1059&lt;&gt;0,SUMIF(куб!$G:$G,$G1059,куб!R:R),IF($E1059&lt;&gt;0,SUMIF(куб!$E:$E,$E1059,куб!R:R),IF($D1059&lt;&gt;0,SUMIF(куб!$D:$D,$D1059,куб!R:R),IF($C1059&lt;&gt;0,SUMIF(куб!$C:$C,$C1059,куб!R:R),IF($B1059&lt;&gt;0,SUMIF(куб!$B:$B,$B1059,куб!R:R))))))</f>
        <v>0</v>
      </c>
      <c r="AG1059" s="27" t="b">
        <f>IF($G1059&lt;&gt;0,SUMIF(куб!$G:$G,$G1059,куб!S:S),IF($E1059&lt;&gt;0,SUMIF(куб!$E:$E,$E1059,куб!S:S),IF($D1059&lt;&gt;0,SUMIF(куб!$D:$D,$D1059,куб!S:S),IF($C1059&lt;&gt;0,SUMIF(куб!$C:$C,$C1059,куб!S:S),IF($B1059&lt;&gt;0,SUMIF(куб!$B:$B,$B1059,куб!S:S))))))</f>
        <v>0</v>
      </c>
      <c r="AH1059" s="16" t="str">
        <f t="shared" si="337"/>
        <v>-</v>
      </c>
      <c r="AI1059" s="8"/>
      <c r="AJ1059" s="27" t="b">
        <f>IF($G1059&lt;&gt;0,SUMIF(куб!$G:$G,$G1059,куб!T:T),IF($E1059&lt;&gt;0,SUMIF(куб!$E:$E,$E1059,куб!T:T),IF($D1059&lt;&gt;0,SUMIF(куб!$D:$D,$D1059,куб!T:T),IF($C1059&lt;&gt;0,SUMIF(куб!$C:$C,$C1059,куб!T:T),IF($B1059&lt;&gt;0,SUMIF(куб!$B:$B,$B1059,куб!T:T))))))</f>
        <v>0</v>
      </c>
      <c r="AK1059" s="27" t="b">
        <f>IF($G1059&lt;&gt;0,SUMIF(куб!$G:$G,$G1059,куб!U:U),IF($E1059&lt;&gt;0,SUMIF(куб!$E:$E,$E1059,куб!U:U),IF($D1059&lt;&gt;0,SUMIF(куб!$D:$D,$D1059,куб!U:U),IF($C1059&lt;&gt;0,SUMIF(куб!$C:$C,$C1059,куб!U:U),IF($B1059&lt;&gt;0,SUMIF(куб!$B:$B,$B1059,куб!U:U))))))</f>
        <v>0</v>
      </c>
      <c r="AL1059" s="16" t="str">
        <f t="shared" si="338"/>
        <v>-</v>
      </c>
      <c r="AM1059" s="8"/>
      <c r="AN1059" s="17" t="str">
        <f t="shared" si="339"/>
        <v xml:space="preserve"> </v>
      </c>
      <c r="AO1059" s="17" t="str">
        <f t="shared" si="340"/>
        <v xml:space="preserve"> </v>
      </c>
      <c r="AP1059" s="16" t="str">
        <f t="shared" si="341"/>
        <v>-</v>
      </c>
      <c r="AQ1059" s="8"/>
      <c r="AR1059" s="17" t="str">
        <f t="shared" si="342"/>
        <v>-</v>
      </c>
      <c r="AS1059" s="17" t="str">
        <f t="shared" si="343"/>
        <v>-</v>
      </c>
      <c r="AT1059" s="13" t="str">
        <f t="shared" si="344"/>
        <v>-</v>
      </c>
      <c r="AU1059" s="8"/>
    </row>
    <row r="1060" spans="8:47" x14ac:dyDescent="0.25">
      <c r="H1060" s="27">
        <f>IF($G1060&lt;&gt;0,SUMIF(куб!$G:$G,$G1060,куб!H:H),IF($E1060&lt;&gt;0,SUMIF(куб!$E:$E,$E1060,куб!H:H),IF($D1060&lt;&gt;0,SUMIF(куб!$D:$D,$D1060,куб!H:H),IF($C1060&lt;&gt;0,SUMIF(куб!$C:$C,$C1060,куб!H:H),IF($B1060&lt;&gt;0,SUMIF(куб!$B:$B,$B1060,куб!H:H),IF($G1060&lt;&gt;0,SUMIF(куб!$A:$A,$G1060,куб!H:H),SUMIF(куб!$A:$A,$G1060,куб!H:H)))))))</f>
        <v>0</v>
      </c>
      <c r="I1060" s="27">
        <f>IF($G1060&lt;&gt;0,SUMIF(куб!$G:$G,$G1060,куб!I:I),IF($E1060&lt;&gt;0,SUMIF(куб!$E:$E,$E1060,куб!I:I),IF($D1060&lt;&gt;0,SUMIF(куб!$D:$D,$D1060,куб!I:I),IF($C1060&lt;&gt;0,SUMIF(куб!$C:$C,$C1060,куб!I:I),IF($B1060&lt;&gt;0,SUMIF(куб!$B:$B,$B1060,куб!I:I),IF($G1060&lt;&gt;0,SUMIF(куб!$A:$A,$G1060,куб!I:I),SUMIF(куб!$A:$A,$G1060,куб!I:I)))))))</f>
        <v>0</v>
      </c>
      <c r="J1060" s="19" t="str">
        <f t="shared" si="327"/>
        <v>-</v>
      </c>
      <c r="K1060" s="8"/>
      <c r="L1060" s="17">
        <f t="shared" si="328"/>
        <v>0</v>
      </c>
      <c r="M1060" s="17">
        <f t="shared" si="329"/>
        <v>0</v>
      </c>
      <c r="N1060" s="12">
        <f t="shared" si="330"/>
        <v>0</v>
      </c>
      <c r="O1060" s="5"/>
      <c r="P1060" s="27" t="b">
        <f>IF($G1060&lt;&gt;0,SUMIF(куб!$G:$G,$G1060,куб!J:J),IF($E1060&lt;&gt;0,SUMIF(куб!$E:$E,$E1060,куб!J:J),IF($D1060&lt;&gt;0,SUMIF(куб!$D:$D,$D1060,куб!J:J),IF($C1060&lt;&gt;0,SUMIF(куб!$C:$C,$C1060,куб!J:J),IF($B1060&lt;&gt;0,SUMIF(куб!$B:$B,$B1060,куб!J:J))))))</f>
        <v>0</v>
      </c>
      <c r="Q1060" s="27" t="b">
        <f>IF($G1060&lt;&gt;0,SUMIF(куб!$G:$G,$G1060,куб!K:K),IF($E1060&lt;&gt;0,SUMIF(куб!$E:$E,$E1060,куб!K:K),IF($D1060&lt;&gt;0,SUMIF(куб!$D:$D,$D1060,куб!K:K),IF($C1060&lt;&gt;0,SUMIF(куб!$C:$C,$C1060,куб!K:K),IF($B1060&lt;&gt;0,SUMIF(куб!$B:$B,$B1060,куб!K:K))))))</f>
        <v>0</v>
      </c>
      <c r="R1060" s="13" t="str">
        <f t="shared" si="331"/>
        <v>-</v>
      </c>
      <c r="S1060" s="5"/>
      <c r="T1060" s="27" t="b">
        <f>IF($G1060&lt;&gt;0,SUMIF(куб!$G:$G,$G1060,куб!L:L),IF($E1060&lt;&gt;0,SUMIF(куб!$E:$E,$E1060,куб!L:L),IF($D1060&lt;&gt;0,SUMIF(куб!$D:$D,$D1060,куб!L:L),IF($C1060&lt;&gt;0,SUMIF(куб!$C:$C,$C1060,куб!L:L),IF($B1060&lt;&gt;0,SUMIF(куб!$B:$B,$B1060,куб!L:L))))))</f>
        <v>0</v>
      </c>
      <c r="U1060" s="27" t="b">
        <f>IF($G1060&lt;&gt;0,SUMIF(куб!$G:$G,$G1060,куб!M:M),IF($E1060&lt;&gt;0,SUMIF(куб!$E:$E,$E1060,куб!M:M),IF($D1060&lt;&gt;0,SUMIF(куб!$D:$D,$D1060,куб!M:M),IF($C1060&lt;&gt;0,SUMIF(куб!$C:$C,$C1060,куб!M:M),IF($B1060&lt;&gt;0,SUMIF(куб!$B:$B,$B1060,куб!M:M))))))</f>
        <v>0</v>
      </c>
      <c r="V1060" s="13" t="str">
        <f t="shared" si="332"/>
        <v>-</v>
      </c>
      <c r="W1060" s="5"/>
      <c r="X1060" s="27" t="b">
        <f>IF($G1060&lt;&gt;0,SUMIF(куб!$G:$G,$G1060,куб!N:N),IF($E1060&lt;&gt;0,SUMIF(куб!$E:$E,$E1060,куб!N:N),IF($D1060&lt;&gt;0,SUMIF(куб!$D:$D,$D1060,куб!N:N),IF($C1060&lt;&gt;0,SUMIF(куб!$C:$C,$C1060,куб!N:N),IF($B1060&lt;&gt;0,SUMIF(куб!$B:$B,$B1060,куб!N:N))))))</f>
        <v>0</v>
      </c>
      <c r="Y1060" s="27" t="b">
        <f>IF($G1060&lt;&gt;0,SUMIF(куб!$G:$G,$G1060,куб!O:O),IF($E1060&lt;&gt;0,SUMIF(куб!$E:$E,$E1060,куб!O:O),IF($D1060&lt;&gt;0,SUMIF(куб!$D:$D,$D1060,куб!O:O),IF($C1060&lt;&gt;0,SUMIF(куб!$C:$C,$C1060,куб!O:O),IF($B1060&lt;&gt;0,SUMIF(куб!$B:$B,$B1060,куб!O:O))))))</f>
        <v>0</v>
      </c>
      <c r="Z1060" s="13" t="str">
        <f t="shared" si="333"/>
        <v>-</v>
      </c>
      <c r="AA1060" s="5"/>
      <c r="AB1060" s="33" t="str">
        <f t="shared" si="334"/>
        <v/>
      </c>
      <c r="AC1060" s="33" t="str">
        <f t="shared" si="335"/>
        <v/>
      </c>
      <c r="AD1060" s="15" t="str">
        <f t="shared" si="336"/>
        <v xml:space="preserve"> </v>
      </c>
      <c r="AE1060" s="5"/>
      <c r="AF1060" s="27" t="b">
        <f>IF($G1060&lt;&gt;0,SUMIF(куб!$G:$G,$G1060,куб!R:R),IF($E1060&lt;&gt;0,SUMIF(куб!$E:$E,$E1060,куб!R:R),IF($D1060&lt;&gt;0,SUMIF(куб!$D:$D,$D1060,куб!R:R),IF($C1060&lt;&gt;0,SUMIF(куб!$C:$C,$C1060,куб!R:R),IF($B1060&lt;&gt;0,SUMIF(куб!$B:$B,$B1060,куб!R:R))))))</f>
        <v>0</v>
      </c>
      <c r="AG1060" s="27" t="b">
        <f>IF($G1060&lt;&gt;0,SUMIF(куб!$G:$G,$G1060,куб!S:S),IF($E1060&lt;&gt;0,SUMIF(куб!$E:$E,$E1060,куб!S:S),IF($D1060&lt;&gt;0,SUMIF(куб!$D:$D,$D1060,куб!S:S),IF($C1060&lt;&gt;0,SUMIF(куб!$C:$C,$C1060,куб!S:S),IF($B1060&lt;&gt;0,SUMIF(куб!$B:$B,$B1060,куб!S:S))))))</f>
        <v>0</v>
      </c>
      <c r="AH1060" s="16" t="str">
        <f t="shared" si="337"/>
        <v>-</v>
      </c>
      <c r="AI1060" s="8"/>
      <c r="AJ1060" s="27" t="b">
        <f>IF($G1060&lt;&gt;0,SUMIF(куб!$G:$G,$G1060,куб!T:T),IF($E1060&lt;&gt;0,SUMIF(куб!$E:$E,$E1060,куб!T:T),IF($D1060&lt;&gt;0,SUMIF(куб!$D:$D,$D1060,куб!T:T),IF($C1060&lt;&gt;0,SUMIF(куб!$C:$C,$C1060,куб!T:T),IF($B1060&lt;&gt;0,SUMIF(куб!$B:$B,$B1060,куб!T:T))))))</f>
        <v>0</v>
      </c>
      <c r="AK1060" s="27" t="b">
        <f>IF($G1060&lt;&gt;0,SUMIF(куб!$G:$G,$G1060,куб!U:U),IF($E1060&lt;&gt;0,SUMIF(куб!$E:$E,$E1060,куб!U:U),IF($D1060&lt;&gt;0,SUMIF(куб!$D:$D,$D1060,куб!U:U),IF($C1060&lt;&gt;0,SUMIF(куб!$C:$C,$C1060,куб!U:U),IF($B1060&lt;&gt;0,SUMIF(куб!$B:$B,$B1060,куб!U:U))))))</f>
        <v>0</v>
      </c>
      <c r="AL1060" s="16" t="str">
        <f t="shared" si="338"/>
        <v>-</v>
      </c>
      <c r="AM1060" s="8"/>
      <c r="AN1060" s="17" t="str">
        <f t="shared" si="339"/>
        <v xml:space="preserve"> </v>
      </c>
      <c r="AO1060" s="17" t="str">
        <f t="shared" si="340"/>
        <v xml:space="preserve"> </v>
      </c>
      <c r="AP1060" s="16" t="str">
        <f t="shared" si="341"/>
        <v>-</v>
      </c>
      <c r="AQ1060" s="8"/>
      <c r="AR1060" s="17" t="str">
        <f t="shared" si="342"/>
        <v>-</v>
      </c>
      <c r="AS1060" s="17" t="str">
        <f t="shared" si="343"/>
        <v>-</v>
      </c>
      <c r="AT1060" s="13" t="str">
        <f t="shared" si="344"/>
        <v>-</v>
      </c>
      <c r="AU1060" s="8"/>
    </row>
    <row r="1061" spans="8:47" x14ac:dyDescent="0.25">
      <c r="H1061" s="27">
        <f>IF($G1061&lt;&gt;0,SUMIF(куб!$G:$G,$G1061,куб!H:H),IF($E1061&lt;&gt;0,SUMIF(куб!$E:$E,$E1061,куб!H:H),IF($D1061&lt;&gt;0,SUMIF(куб!$D:$D,$D1061,куб!H:H),IF($C1061&lt;&gt;0,SUMIF(куб!$C:$C,$C1061,куб!H:H),IF($B1061&lt;&gt;0,SUMIF(куб!$B:$B,$B1061,куб!H:H),IF($G1061&lt;&gt;0,SUMIF(куб!$A:$A,$G1061,куб!H:H),SUMIF(куб!$A:$A,$G1061,куб!H:H)))))))</f>
        <v>0</v>
      </c>
      <c r="I1061" s="27">
        <f>IF($G1061&lt;&gt;0,SUMIF(куб!$G:$G,$G1061,куб!I:I),IF($E1061&lt;&gt;0,SUMIF(куб!$E:$E,$E1061,куб!I:I),IF($D1061&lt;&gt;0,SUMIF(куб!$D:$D,$D1061,куб!I:I),IF($C1061&lt;&gt;0,SUMIF(куб!$C:$C,$C1061,куб!I:I),IF($B1061&lt;&gt;0,SUMIF(куб!$B:$B,$B1061,куб!I:I),IF($G1061&lt;&gt;0,SUMIF(куб!$A:$A,$G1061,куб!I:I),SUMIF(куб!$A:$A,$G1061,куб!I:I)))))))</f>
        <v>0</v>
      </c>
      <c r="J1061" s="19" t="str">
        <f t="shared" si="327"/>
        <v>-</v>
      </c>
      <c r="K1061" s="8"/>
      <c r="L1061" s="17">
        <f t="shared" si="328"/>
        <v>0</v>
      </c>
      <c r="M1061" s="17">
        <f t="shared" si="329"/>
        <v>0</v>
      </c>
      <c r="N1061" s="12">
        <f t="shared" si="330"/>
        <v>0</v>
      </c>
      <c r="O1061" s="5"/>
      <c r="P1061" s="27" t="b">
        <f>IF($G1061&lt;&gt;0,SUMIF(куб!$G:$G,$G1061,куб!J:J),IF($E1061&lt;&gt;0,SUMIF(куб!$E:$E,$E1061,куб!J:J),IF($D1061&lt;&gt;0,SUMIF(куб!$D:$D,$D1061,куб!J:J),IF($C1061&lt;&gt;0,SUMIF(куб!$C:$C,$C1061,куб!J:J),IF($B1061&lt;&gt;0,SUMIF(куб!$B:$B,$B1061,куб!J:J))))))</f>
        <v>0</v>
      </c>
      <c r="Q1061" s="27" t="b">
        <f>IF($G1061&lt;&gt;0,SUMIF(куб!$G:$G,$G1061,куб!K:K),IF($E1061&lt;&gt;0,SUMIF(куб!$E:$E,$E1061,куб!K:K),IF($D1061&lt;&gt;0,SUMIF(куб!$D:$D,$D1061,куб!K:K),IF($C1061&lt;&gt;0,SUMIF(куб!$C:$C,$C1061,куб!K:K),IF($B1061&lt;&gt;0,SUMIF(куб!$B:$B,$B1061,куб!K:K))))))</f>
        <v>0</v>
      </c>
      <c r="R1061" s="13" t="str">
        <f t="shared" si="331"/>
        <v>-</v>
      </c>
      <c r="S1061" s="5"/>
      <c r="T1061" s="27" t="b">
        <f>IF($G1061&lt;&gt;0,SUMIF(куб!$G:$G,$G1061,куб!L:L),IF($E1061&lt;&gt;0,SUMIF(куб!$E:$E,$E1061,куб!L:L),IF($D1061&lt;&gt;0,SUMIF(куб!$D:$D,$D1061,куб!L:L),IF($C1061&lt;&gt;0,SUMIF(куб!$C:$C,$C1061,куб!L:L),IF($B1061&lt;&gt;0,SUMIF(куб!$B:$B,$B1061,куб!L:L))))))</f>
        <v>0</v>
      </c>
      <c r="U1061" s="27" t="b">
        <f>IF($G1061&lt;&gt;0,SUMIF(куб!$G:$G,$G1061,куб!M:M),IF($E1061&lt;&gt;0,SUMIF(куб!$E:$E,$E1061,куб!M:M),IF($D1061&lt;&gt;0,SUMIF(куб!$D:$D,$D1061,куб!M:M),IF($C1061&lt;&gt;0,SUMIF(куб!$C:$C,$C1061,куб!M:M),IF($B1061&lt;&gt;0,SUMIF(куб!$B:$B,$B1061,куб!M:M))))))</f>
        <v>0</v>
      </c>
      <c r="V1061" s="13" t="str">
        <f t="shared" si="332"/>
        <v>-</v>
      </c>
      <c r="W1061" s="5"/>
      <c r="X1061" s="27" t="b">
        <f>IF($G1061&lt;&gt;0,SUMIF(куб!$G:$G,$G1061,куб!N:N),IF($E1061&lt;&gt;0,SUMIF(куб!$E:$E,$E1061,куб!N:N),IF($D1061&lt;&gt;0,SUMIF(куб!$D:$D,$D1061,куб!N:N),IF($C1061&lt;&gt;0,SUMIF(куб!$C:$C,$C1061,куб!N:N),IF($B1061&lt;&gt;0,SUMIF(куб!$B:$B,$B1061,куб!N:N))))))</f>
        <v>0</v>
      </c>
      <c r="Y1061" s="27" t="b">
        <f>IF($G1061&lt;&gt;0,SUMIF(куб!$G:$G,$G1061,куб!O:O),IF($E1061&lt;&gt;0,SUMIF(куб!$E:$E,$E1061,куб!O:O),IF($D1061&lt;&gt;0,SUMIF(куб!$D:$D,$D1061,куб!O:O),IF($C1061&lt;&gt;0,SUMIF(куб!$C:$C,$C1061,куб!O:O),IF($B1061&lt;&gt;0,SUMIF(куб!$B:$B,$B1061,куб!O:O))))))</f>
        <v>0</v>
      </c>
      <c r="Z1061" s="13" t="str">
        <f t="shared" si="333"/>
        <v>-</v>
      </c>
      <c r="AA1061" s="5"/>
      <c r="AB1061" s="33" t="str">
        <f t="shared" si="334"/>
        <v/>
      </c>
      <c r="AC1061" s="33" t="str">
        <f t="shared" si="335"/>
        <v/>
      </c>
      <c r="AD1061" s="15" t="str">
        <f t="shared" si="336"/>
        <v xml:space="preserve"> </v>
      </c>
      <c r="AE1061" s="5"/>
      <c r="AF1061" s="27" t="b">
        <f>IF($G1061&lt;&gt;0,SUMIF(куб!$G:$G,$G1061,куб!R:R),IF($E1061&lt;&gt;0,SUMIF(куб!$E:$E,$E1061,куб!R:R),IF($D1061&lt;&gt;0,SUMIF(куб!$D:$D,$D1061,куб!R:R),IF($C1061&lt;&gt;0,SUMIF(куб!$C:$C,$C1061,куб!R:R),IF($B1061&lt;&gt;0,SUMIF(куб!$B:$B,$B1061,куб!R:R))))))</f>
        <v>0</v>
      </c>
      <c r="AG1061" s="27" t="b">
        <f>IF($G1061&lt;&gt;0,SUMIF(куб!$G:$G,$G1061,куб!S:S),IF($E1061&lt;&gt;0,SUMIF(куб!$E:$E,$E1061,куб!S:S),IF($D1061&lt;&gt;0,SUMIF(куб!$D:$D,$D1061,куб!S:S),IF($C1061&lt;&gt;0,SUMIF(куб!$C:$C,$C1061,куб!S:S),IF($B1061&lt;&gt;0,SUMIF(куб!$B:$B,$B1061,куб!S:S))))))</f>
        <v>0</v>
      </c>
      <c r="AH1061" s="16" t="str">
        <f t="shared" si="337"/>
        <v>-</v>
      </c>
      <c r="AI1061" s="8"/>
      <c r="AJ1061" s="27" t="b">
        <f>IF($G1061&lt;&gt;0,SUMIF(куб!$G:$G,$G1061,куб!T:T),IF($E1061&lt;&gt;0,SUMIF(куб!$E:$E,$E1061,куб!T:T),IF($D1061&lt;&gt;0,SUMIF(куб!$D:$D,$D1061,куб!T:T),IF($C1061&lt;&gt;0,SUMIF(куб!$C:$C,$C1061,куб!T:T),IF($B1061&lt;&gt;0,SUMIF(куб!$B:$B,$B1061,куб!T:T))))))</f>
        <v>0</v>
      </c>
      <c r="AK1061" s="27" t="b">
        <f>IF($G1061&lt;&gt;0,SUMIF(куб!$G:$G,$G1061,куб!U:U),IF($E1061&lt;&gt;0,SUMIF(куб!$E:$E,$E1061,куб!U:U),IF($D1061&lt;&gt;0,SUMIF(куб!$D:$D,$D1061,куб!U:U),IF($C1061&lt;&gt;0,SUMIF(куб!$C:$C,$C1061,куб!U:U),IF($B1061&lt;&gt;0,SUMIF(куб!$B:$B,$B1061,куб!U:U))))))</f>
        <v>0</v>
      </c>
      <c r="AL1061" s="16" t="str">
        <f t="shared" si="338"/>
        <v>-</v>
      </c>
      <c r="AM1061" s="8"/>
      <c r="AN1061" s="17" t="str">
        <f t="shared" si="339"/>
        <v xml:space="preserve"> </v>
      </c>
      <c r="AO1061" s="17" t="str">
        <f t="shared" si="340"/>
        <v xml:space="preserve"> </v>
      </c>
      <c r="AP1061" s="16" t="str">
        <f t="shared" si="341"/>
        <v>-</v>
      </c>
      <c r="AQ1061" s="8"/>
      <c r="AR1061" s="17" t="str">
        <f t="shared" si="342"/>
        <v>-</v>
      </c>
      <c r="AS1061" s="17" t="str">
        <f t="shared" si="343"/>
        <v>-</v>
      </c>
      <c r="AT1061" s="13" t="str">
        <f t="shared" si="344"/>
        <v>-</v>
      </c>
      <c r="AU1061" s="8"/>
    </row>
    <row r="1062" spans="8:47" x14ac:dyDescent="0.25">
      <c r="H1062" s="27">
        <f>IF($G1062&lt;&gt;0,SUMIF(куб!$G:$G,$G1062,куб!H:H),IF($E1062&lt;&gt;0,SUMIF(куб!$E:$E,$E1062,куб!H:H),IF($D1062&lt;&gt;0,SUMIF(куб!$D:$D,$D1062,куб!H:H),IF($C1062&lt;&gt;0,SUMIF(куб!$C:$C,$C1062,куб!H:H),IF($B1062&lt;&gt;0,SUMIF(куб!$B:$B,$B1062,куб!H:H),IF($G1062&lt;&gt;0,SUMIF(куб!$A:$A,$G1062,куб!H:H),SUMIF(куб!$A:$A,$G1062,куб!H:H)))))))</f>
        <v>0</v>
      </c>
      <c r="I1062" s="27">
        <f>IF($G1062&lt;&gt;0,SUMIF(куб!$G:$G,$G1062,куб!I:I),IF($E1062&lt;&gt;0,SUMIF(куб!$E:$E,$E1062,куб!I:I),IF($D1062&lt;&gt;0,SUMIF(куб!$D:$D,$D1062,куб!I:I),IF($C1062&lt;&gt;0,SUMIF(куб!$C:$C,$C1062,куб!I:I),IF($B1062&lt;&gt;0,SUMIF(куб!$B:$B,$B1062,куб!I:I),IF($G1062&lt;&gt;0,SUMIF(куб!$A:$A,$G1062,куб!I:I),SUMIF(куб!$A:$A,$G1062,куб!I:I)))))))</f>
        <v>0</v>
      </c>
      <c r="J1062" s="19" t="str">
        <f t="shared" si="327"/>
        <v>-</v>
      </c>
      <c r="K1062" s="8"/>
      <c r="L1062" s="17">
        <f t="shared" si="328"/>
        <v>0</v>
      </c>
      <c r="M1062" s="17">
        <f t="shared" si="329"/>
        <v>0</v>
      </c>
      <c r="N1062" s="12">
        <f t="shared" si="330"/>
        <v>0</v>
      </c>
      <c r="O1062" s="5"/>
      <c r="P1062" s="27" t="b">
        <f>IF($G1062&lt;&gt;0,SUMIF(куб!$G:$G,$G1062,куб!J:J),IF($E1062&lt;&gt;0,SUMIF(куб!$E:$E,$E1062,куб!J:J),IF($D1062&lt;&gt;0,SUMIF(куб!$D:$D,$D1062,куб!J:J),IF($C1062&lt;&gt;0,SUMIF(куб!$C:$C,$C1062,куб!J:J),IF($B1062&lt;&gt;0,SUMIF(куб!$B:$B,$B1062,куб!J:J))))))</f>
        <v>0</v>
      </c>
      <c r="Q1062" s="27" t="b">
        <f>IF($G1062&lt;&gt;0,SUMIF(куб!$G:$G,$G1062,куб!K:K),IF($E1062&lt;&gt;0,SUMIF(куб!$E:$E,$E1062,куб!K:K),IF($D1062&lt;&gt;0,SUMIF(куб!$D:$D,$D1062,куб!K:K),IF($C1062&lt;&gt;0,SUMIF(куб!$C:$C,$C1062,куб!K:K),IF($B1062&lt;&gt;0,SUMIF(куб!$B:$B,$B1062,куб!K:K))))))</f>
        <v>0</v>
      </c>
      <c r="R1062" s="13" t="str">
        <f t="shared" si="331"/>
        <v>-</v>
      </c>
      <c r="S1062" s="5"/>
      <c r="T1062" s="27" t="b">
        <f>IF($G1062&lt;&gt;0,SUMIF(куб!$G:$G,$G1062,куб!L:L),IF($E1062&lt;&gt;0,SUMIF(куб!$E:$E,$E1062,куб!L:L),IF($D1062&lt;&gt;0,SUMIF(куб!$D:$D,$D1062,куб!L:L),IF($C1062&lt;&gt;0,SUMIF(куб!$C:$C,$C1062,куб!L:L),IF($B1062&lt;&gt;0,SUMIF(куб!$B:$B,$B1062,куб!L:L))))))</f>
        <v>0</v>
      </c>
      <c r="U1062" s="27" t="b">
        <f>IF($G1062&lt;&gt;0,SUMIF(куб!$G:$G,$G1062,куб!M:M),IF($E1062&lt;&gt;0,SUMIF(куб!$E:$E,$E1062,куб!M:M),IF($D1062&lt;&gt;0,SUMIF(куб!$D:$D,$D1062,куб!M:M),IF($C1062&lt;&gt;0,SUMIF(куб!$C:$C,$C1062,куб!M:M),IF($B1062&lt;&gt;0,SUMIF(куб!$B:$B,$B1062,куб!M:M))))))</f>
        <v>0</v>
      </c>
      <c r="V1062" s="13" t="str">
        <f t="shared" si="332"/>
        <v>-</v>
      </c>
      <c r="W1062" s="5"/>
      <c r="X1062" s="27" t="b">
        <f>IF($G1062&lt;&gt;0,SUMIF(куб!$G:$G,$G1062,куб!N:N),IF($E1062&lt;&gt;0,SUMIF(куб!$E:$E,$E1062,куб!N:N),IF($D1062&lt;&gt;0,SUMIF(куб!$D:$D,$D1062,куб!N:N),IF($C1062&lt;&gt;0,SUMIF(куб!$C:$C,$C1062,куб!N:N),IF($B1062&lt;&gt;0,SUMIF(куб!$B:$B,$B1062,куб!N:N))))))</f>
        <v>0</v>
      </c>
      <c r="Y1062" s="27" t="b">
        <f>IF($G1062&lt;&gt;0,SUMIF(куб!$G:$G,$G1062,куб!O:O),IF($E1062&lt;&gt;0,SUMIF(куб!$E:$E,$E1062,куб!O:O),IF($D1062&lt;&gt;0,SUMIF(куб!$D:$D,$D1062,куб!O:O),IF($C1062&lt;&gt;0,SUMIF(куб!$C:$C,$C1062,куб!O:O),IF($B1062&lt;&gt;0,SUMIF(куб!$B:$B,$B1062,куб!O:O))))))</f>
        <v>0</v>
      </c>
      <c r="Z1062" s="13" t="str">
        <f t="shared" si="333"/>
        <v>-</v>
      </c>
      <c r="AA1062" s="5"/>
      <c r="AB1062" s="33" t="str">
        <f t="shared" si="334"/>
        <v/>
      </c>
      <c r="AC1062" s="33" t="str">
        <f t="shared" si="335"/>
        <v/>
      </c>
      <c r="AD1062" s="15" t="str">
        <f t="shared" si="336"/>
        <v xml:space="preserve"> </v>
      </c>
      <c r="AE1062" s="5"/>
      <c r="AF1062" s="27" t="b">
        <f>IF($G1062&lt;&gt;0,SUMIF(куб!$G:$G,$G1062,куб!R:R),IF($E1062&lt;&gt;0,SUMIF(куб!$E:$E,$E1062,куб!R:R),IF($D1062&lt;&gt;0,SUMIF(куб!$D:$D,$D1062,куб!R:R),IF($C1062&lt;&gt;0,SUMIF(куб!$C:$C,$C1062,куб!R:R),IF($B1062&lt;&gt;0,SUMIF(куб!$B:$B,$B1062,куб!R:R))))))</f>
        <v>0</v>
      </c>
      <c r="AG1062" s="27" t="b">
        <f>IF($G1062&lt;&gt;0,SUMIF(куб!$G:$G,$G1062,куб!S:S),IF($E1062&lt;&gt;0,SUMIF(куб!$E:$E,$E1062,куб!S:S),IF($D1062&lt;&gt;0,SUMIF(куб!$D:$D,$D1062,куб!S:S),IF($C1062&lt;&gt;0,SUMIF(куб!$C:$C,$C1062,куб!S:S),IF($B1062&lt;&gt;0,SUMIF(куб!$B:$B,$B1062,куб!S:S))))))</f>
        <v>0</v>
      </c>
      <c r="AH1062" s="16" t="str">
        <f t="shared" si="337"/>
        <v>-</v>
      </c>
      <c r="AI1062" s="8"/>
      <c r="AJ1062" s="27" t="b">
        <f>IF($G1062&lt;&gt;0,SUMIF(куб!$G:$G,$G1062,куб!T:T),IF($E1062&lt;&gt;0,SUMIF(куб!$E:$E,$E1062,куб!T:T),IF($D1062&lt;&gt;0,SUMIF(куб!$D:$D,$D1062,куб!T:T),IF($C1062&lt;&gt;0,SUMIF(куб!$C:$C,$C1062,куб!T:T),IF($B1062&lt;&gt;0,SUMIF(куб!$B:$B,$B1062,куб!T:T))))))</f>
        <v>0</v>
      </c>
      <c r="AK1062" s="27" t="b">
        <f>IF($G1062&lt;&gt;0,SUMIF(куб!$G:$G,$G1062,куб!U:U),IF($E1062&lt;&gt;0,SUMIF(куб!$E:$E,$E1062,куб!U:U),IF($D1062&lt;&gt;0,SUMIF(куб!$D:$D,$D1062,куб!U:U),IF($C1062&lt;&gt;0,SUMIF(куб!$C:$C,$C1062,куб!U:U),IF($B1062&lt;&gt;0,SUMIF(куб!$B:$B,$B1062,куб!U:U))))))</f>
        <v>0</v>
      </c>
      <c r="AL1062" s="16" t="str">
        <f t="shared" si="338"/>
        <v>-</v>
      </c>
      <c r="AM1062" s="8"/>
      <c r="AN1062" s="17" t="str">
        <f t="shared" si="339"/>
        <v xml:space="preserve"> </v>
      </c>
      <c r="AO1062" s="17" t="str">
        <f t="shared" si="340"/>
        <v xml:space="preserve"> </v>
      </c>
      <c r="AP1062" s="16" t="str">
        <f t="shared" si="341"/>
        <v>-</v>
      </c>
      <c r="AQ1062" s="8"/>
      <c r="AR1062" s="17" t="str">
        <f t="shared" si="342"/>
        <v>-</v>
      </c>
      <c r="AS1062" s="17" t="str">
        <f t="shared" si="343"/>
        <v>-</v>
      </c>
      <c r="AT1062" s="13" t="str">
        <f t="shared" si="344"/>
        <v>-</v>
      </c>
      <c r="AU1062" s="8"/>
    </row>
    <row r="1063" spans="8:47" x14ac:dyDescent="0.25">
      <c r="H1063" s="27">
        <f>IF($G1063&lt;&gt;0,SUMIF(куб!$G:$G,$G1063,куб!H:H),IF($E1063&lt;&gt;0,SUMIF(куб!$E:$E,$E1063,куб!H:H),IF($D1063&lt;&gt;0,SUMIF(куб!$D:$D,$D1063,куб!H:H),IF($C1063&lt;&gt;0,SUMIF(куб!$C:$C,$C1063,куб!H:H),IF($B1063&lt;&gt;0,SUMIF(куб!$B:$B,$B1063,куб!H:H),IF($G1063&lt;&gt;0,SUMIF(куб!$A:$A,$G1063,куб!H:H),SUMIF(куб!$A:$A,$G1063,куб!H:H)))))))</f>
        <v>0</v>
      </c>
      <c r="I1063" s="27">
        <f>IF($G1063&lt;&gt;0,SUMIF(куб!$G:$G,$G1063,куб!I:I),IF($E1063&lt;&gt;0,SUMIF(куб!$E:$E,$E1063,куб!I:I),IF($D1063&lt;&gt;0,SUMIF(куб!$D:$D,$D1063,куб!I:I),IF($C1063&lt;&gt;0,SUMIF(куб!$C:$C,$C1063,куб!I:I),IF($B1063&lt;&gt;0,SUMIF(куб!$B:$B,$B1063,куб!I:I),IF($G1063&lt;&gt;0,SUMIF(куб!$A:$A,$G1063,куб!I:I),SUMIF(куб!$A:$A,$G1063,куб!I:I)))))))</f>
        <v>0</v>
      </c>
      <c r="J1063" s="19" t="str">
        <f t="shared" si="327"/>
        <v>-</v>
      </c>
      <c r="K1063" s="8"/>
      <c r="L1063" s="17">
        <f t="shared" si="328"/>
        <v>0</v>
      </c>
      <c r="M1063" s="17">
        <f t="shared" si="329"/>
        <v>0</v>
      </c>
      <c r="N1063" s="12">
        <f t="shared" si="330"/>
        <v>0</v>
      </c>
      <c r="O1063" s="5"/>
      <c r="P1063" s="27" t="b">
        <f>IF($G1063&lt;&gt;0,SUMIF(куб!$G:$G,$G1063,куб!J:J),IF($E1063&lt;&gt;0,SUMIF(куб!$E:$E,$E1063,куб!J:J),IF($D1063&lt;&gt;0,SUMIF(куб!$D:$D,$D1063,куб!J:J),IF($C1063&lt;&gt;0,SUMIF(куб!$C:$C,$C1063,куб!J:J),IF($B1063&lt;&gt;0,SUMIF(куб!$B:$B,$B1063,куб!J:J))))))</f>
        <v>0</v>
      </c>
      <c r="Q1063" s="27" t="b">
        <f>IF($G1063&lt;&gt;0,SUMIF(куб!$G:$G,$G1063,куб!K:K),IF($E1063&lt;&gt;0,SUMIF(куб!$E:$E,$E1063,куб!K:K),IF($D1063&lt;&gt;0,SUMIF(куб!$D:$D,$D1063,куб!K:K),IF($C1063&lt;&gt;0,SUMIF(куб!$C:$C,$C1063,куб!K:K),IF($B1063&lt;&gt;0,SUMIF(куб!$B:$B,$B1063,куб!K:K))))))</f>
        <v>0</v>
      </c>
      <c r="R1063" s="13" t="str">
        <f t="shared" si="331"/>
        <v>-</v>
      </c>
      <c r="S1063" s="5"/>
      <c r="T1063" s="27" t="b">
        <f>IF($G1063&lt;&gt;0,SUMIF(куб!$G:$G,$G1063,куб!L:L),IF($E1063&lt;&gt;0,SUMIF(куб!$E:$E,$E1063,куб!L:L),IF($D1063&lt;&gt;0,SUMIF(куб!$D:$D,$D1063,куб!L:L),IF($C1063&lt;&gt;0,SUMIF(куб!$C:$C,$C1063,куб!L:L),IF($B1063&lt;&gt;0,SUMIF(куб!$B:$B,$B1063,куб!L:L))))))</f>
        <v>0</v>
      </c>
      <c r="U1063" s="27" t="b">
        <f>IF($G1063&lt;&gt;0,SUMIF(куб!$G:$G,$G1063,куб!M:M),IF($E1063&lt;&gt;0,SUMIF(куб!$E:$E,$E1063,куб!M:M),IF($D1063&lt;&gt;0,SUMIF(куб!$D:$D,$D1063,куб!M:M),IF($C1063&lt;&gt;0,SUMIF(куб!$C:$C,$C1063,куб!M:M),IF($B1063&lt;&gt;0,SUMIF(куб!$B:$B,$B1063,куб!M:M))))))</f>
        <v>0</v>
      </c>
      <c r="V1063" s="13" t="str">
        <f t="shared" si="332"/>
        <v>-</v>
      </c>
      <c r="W1063" s="5"/>
      <c r="X1063" s="27" t="b">
        <f>IF($G1063&lt;&gt;0,SUMIF(куб!$G:$G,$G1063,куб!N:N),IF($E1063&lt;&gt;0,SUMIF(куб!$E:$E,$E1063,куб!N:N),IF($D1063&lt;&gt;0,SUMIF(куб!$D:$D,$D1063,куб!N:N),IF($C1063&lt;&gt;0,SUMIF(куб!$C:$C,$C1063,куб!N:N),IF($B1063&lt;&gt;0,SUMIF(куб!$B:$B,$B1063,куб!N:N))))))</f>
        <v>0</v>
      </c>
      <c r="Y1063" s="27" t="b">
        <f>IF($G1063&lt;&gt;0,SUMIF(куб!$G:$G,$G1063,куб!O:O),IF($E1063&lt;&gt;0,SUMIF(куб!$E:$E,$E1063,куб!O:O),IF($D1063&lt;&gt;0,SUMIF(куб!$D:$D,$D1063,куб!O:O),IF($C1063&lt;&gt;0,SUMIF(куб!$C:$C,$C1063,куб!O:O),IF($B1063&lt;&gt;0,SUMIF(куб!$B:$B,$B1063,куб!O:O))))))</f>
        <v>0</v>
      </c>
      <c r="Z1063" s="13" t="str">
        <f t="shared" si="333"/>
        <v>-</v>
      </c>
      <c r="AA1063" s="5"/>
      <c r="AB1063" s="33" t="str">
        <f t="shared" si="334"/>
        <v/>
      </c>
      <c r="AC1063" s="33" t="str">
        <f t="shared" si="335"/>
        <v/>
      </c>
      <c r="AD1063" s="15" t="str">
        <f t="shared" si="336"/>
        <v xml:space="preserve"> </v>
      </c>
      <c r="AE1063" s="5"/>
      <c r="AF1063" s="27" t="b">
        <f>IF($G1063&lt;&gt;0,SUMIF(куб!$G:$G,$G1063,куб!R:R),IF($E1063&lt;&gt;0,SUMIF(куб!$E:$E,$E1063,куб!R:R),IF($D1063&lt;&gt;0,SUMIF(куб!$D:$D,$D1063,куб!R:R),IF($C1063&lt;&gt;0,SUMIF(куб!$C:$C,$C1063,куб!R:R),IF($B1063&lt;&gt;0,SUMIF(куб!$B:$B,$B1063,куб!R:R))))))</f>
        <v>0</v>
      </c>
      <c r="AG1063" s="27" t="b">
        <f>IF($G1063&lt;&gt;0,SUMIF(куб!$G:$G,$G1063,куб!S:S),IF($E1063&lt;&gt;0,SUMIF(куб!$E:$E,$E1063,куб!S:S),IF($D1063&lt;&gt;0,SUMIF(куб!$D:$D,$D1063,куб!S:S),IF($C1063&lt;&gt;0,SUMIF(куб!$C:$C,$C1063,куб!S:S),IF($B1063&lt;&gt;0,SUMIF(куб!$B:$B,$B1063,куб!S:S))))))</f>
        <v>0</v>
      </c>
      <c r="AH1063" s="16" t="str">
        <f t="shared" si="337"/>
        <v>-</v>
      </c>
      <c r="AI1063" s="8"/>
      <c r="AJ1063" s="27" t="b">
        <f>IF($G1063&lt;&gt;0,SUMIF(куб!$G:$G,$G1063,куб!T:T),IF($E1063&lt;&gt;0,SUMIF(куб!$E:$E,$E1063,куб!T:T),IF($D1063&lt;&gt;0,SUMIF(куб!$D:$D,$D1063,куб!T:T),IF($C1063&lt;&gt;0,SUMIF(куб!$C:$C,$C1063,куб!T:T),IF($B1063&lt;&gt;0,SUMIF(куб!$B:$B,$B1063,куб!T:T))))))</f>
        <v>0</v>
      </c>
      <c r="AK1063" s="27" t="b">
        <f>IF($G1063&lt;&gt;0,SUMIF(куб!$G:$G,$G1063,куб!U:U),IF($E1063&lt;&gt;0,SUMIF(куб!$E:$E,$E1063,куб!U:U),IF($D1063&lt;&gt;0,SUMIF(куб!$D:$D,$D1063,куб!U:U),IF($C1063&lt;&gt;0,SUMIF(куб!$C:$C,$C1063,куб!U:U),IF($B1063&lt;&gt;0,SUMIF(куб!$B:$B,$B1063,куб!U:U))))))</f>
        <v>0</v>
      </c>
      <c r="AL1063" s="16" t="str">
        <f t="shared" si="338"/>
        <v>-</v>
      </c>
      <c r="AM1063" s="8"/>
      <c r="AN1063" s="17" t="str">
        <f t="shared" si="339"/>
        <v xml:space="preserve"> </v>
      </c>
      <c r="AO1063" s="17" t="str">
        <f t="shared" si="340"/>
        <v xml:space="preserve"> </v>
      </c>
      <c r="AP1063" s="16" t="str">
        <f t="shared" si="341"/>
        <v>-</v>
      </c>
      <c r="AQ1063" s="8"/>
      <c r="AR1063" s="17" t="str">
        <f t="shared" si="342"/>
        <v>-</v>
      </c>
      <c r="AS1063" s="17" t="str">
        <f t="shared" si="343"/>
        <v>-</v>
      </c>
      <c r="AT1063" s="13" t="str">
        <f t="shared" si="344"/>
        <v>-</v>
      </c>
      <c r="AU1063" s="8"/>
    </row>
    <row r="1064" spans="8:47" x14ac:dyDescent="0.25">
      <c r="H1064" s="27">
        <f>IF($G1064&lt;&gt;0,SUMIF(куб!$G:$G,$G1064,куб!H:H),IF($E1064&lt;&gt;0,SUMIF(куб!$E:$E,$E1064,куб!H:H),IF($D1064&lt;&gt;0,SUMIF(куб!$D:$D,$D1064,куб!H:H),IF($C1064&lt;&gt;0,SUMIF(куб!$C:$C,$C1064,куб!H:H),IF($B1064&lt;&gt;0,SUMIF(куб!$B:$B,$B1064,куб!H:H),IF($G1064&lt;&gt;0,SUMIF(куб!$A:$A,$G1064,куб!H:H),SUMIF(куб!$A:$A,$G1064,куб!H:H)))))))</f>
        <v>0</v>
      </c>
      <c r="I1064" s="27">
        <f>IF($G1064&lt;&gt;0,SUMIF(куб!$G:$G,$G1064,куб!I:I),IF($E1064&lt;&gt;0,SUMIF(куб!$E:$E,$E1064,куб!I:I),IF($D1064&lt;&gt;0,SUMIF(куб!$D:$D,$D1064,куб!I:I),IF($C1064&lt;&gt;0,SUMIF(куб!$C:$C,$C1064,куб!I:I),IF($B1064&lt;&gt;0,SUMIF(куб!$B:$B,$B1064,куб!I:I),IF($G1064&lt;&gt;0,SUMIF(куб!$A:$A,$G1064,куб!I:I),SUMIF(куб!$A:$A,$G1064,куб!I:I)))))))</f>
        <v>0</v>
      </c>
      <c r="J1064" s="19" t="str">
        <f t="shared" si="327"/>
        <v>-</v>
      </c>
      <c r="K1064" s="8"/>
      <c r="L1064" s="17">
        <f t="shared" si="328"/>
        <v>0</v>
      </c>
      <c r="M1064" s="17">
        <f t="shared" si="329"/>
        <v>0</v>
      </c>
      <c r="N1064" s="12">
        <f t="shared" si="330"/>
        <v>0</v>
      </c>
      <c r="O1064" s="5"/>
      <c r="P1064" s="27" t="b">
        <f>IF($G1064&lt;&gt;0,SUMIF(куб!$G:$G,$G1064,куб!J:J),IF($E1064&lt;&gt;0,SUMIF(куб!$E:$E,$E1064,куб!J:J),IF($D1064&lt;&gt;0,SUMIF(куб!$D:$D,$D1064,куб!J:J),IF($C1064&lt;&gt;0,SUMIF(куб!$C:$C,$C1064,куб!J:J),IF($B1064&lt;&gt;0,SUMIF(куб!$B:$B,$B1064,куб!J:J))))))</f>
        <v>0</v>
      </c>
      <c r="Q1064" s="27" t="b">
        <f>IF($G1064&lt;&gt;0,SUMIF(куб!$G:$G,$G1064,куб!K:K),IF($E1064&lt;&gt;0,SUMIF(куб!$E:$E,$E1064,куб!K:K),IF($D1064&lt;&gt;0,SUMIF(куб!$D:$D,$D1064,куб!K:K),IF($C1064&lt;&gt;0,SUMIF(куб!$C:$C,$C1064,куб!K:K),IF($B1064&lt;&gt;0,SUMIF(куб!$B:$B,$B1064,куб!K:K))))))</f>
        <v>0</v>
      </c>
      <c r="R1064" s="13" t="str">
        <f t="shared" si="331"/>
        <v>-</v>
      </c>
      <c r="S1064" s="5"/>
      <c r="T1064" s="27" t="b">
        <f>IF($G1064&lt;&gt;0,SUMIF(куб!$G:$G,$G1064,куб!L:L),IF($E1064&lt;&gt;0,SUMIF(куб!$E:$E,$E1064,куб!L:L),IF($D1064&lt;&gt;0,SUMIF(куб!$D:$D,$D1064,куб!L:L),IF($C1064&lt;&gt;0,SUMIF(куб!$C:$C,$C1064,куб!L:L),IF($B1064&lt;&gt;0,SUMIF(куб!$B:$B,$B1064,куб!L:L))))))</f>
        <v>0</v>
      </c>
      <c r="U1064" s="27" t="b">
        <f>IF($G1064&lt;&gt;0,SUMIF(куб!$G:$G,$G1064,куб!M:M),IF($E1064&lt;&gt;0,SUMIF(куб!$E:$E,$E1064,куб!M:M),IF($D1064&lt;&gt;0,SUMIF(куб!$D:$D,$D1064,куб!M:M),IF($C1064&lt;&gt;0,SUMIF(куб!$C:$C,$C1064,куб!M:M),IF($B1064&lt;&gt;0,SUMIF(куб!$B:$B,$B1064,куб!M:M))))))</f>
        <v>0</v>
      </c>
      <c r="V1064" s="13" t="str">
        <f t="shared" si="332"/>
        <v>-</v>
      </c>
      <c r="W1064" s="5"/>
      <c r="X1064" s="27" t="b">
        <f>IF($G1064&lt;&gt;0,SUMIF(куб!$G:$G,$G1064,куб!N:N),IF($E1064&lt;&gt;0,SUMIF(куб!$E:$E,$E1064,куб!N:N),IF($D1064&lt;&gt;0,SUMIF(куб!$D:$D,$D1064,куб!N:N),IF($C1064&lt;&gt;0,SUMIF(куб!$C:$C,$C1064,куб!N:N),IF($B1064&lt;&gt;0,SUMIF(куб!$B:$B,$B1064,куб!N:N))))))</f>
        <v>0</v>
      </c>
      <c r="Y1064" s="27" t="b">
        <f>IF($G1064&lt;&gt;0,SUMIF(куб!$G:$G,$G1064,куб!O:O),IF($E1064&lt;&gt;0,SUMIF(куб!$E:$E,$E1064,куб!O:O),IF($D1064&lt;&gt;0,SUMIF(куб!$D:$D,$D1064,куб!O:O),IF($C1064&lt;&gt;0,SUMIF(куб!$C:$C,$C1064,куб!O:O),IF($B1064&lt;&gt;0,SUMIF(куб!$B:$B,$B1064,куб!O:O))))))</f>
        <v>0</v>
      </c>
      <c r="Z1064" s="13" t="str">
        <f t="shared" si="333"/>
        <v>-</v>
      </c>
      <c r="AA1064" s="5"/>
      <c r="AB1064" s="33" t="str">
        <f t="shared" si="334"/>
        <v/>
      </c>
      <c r="AC1064" s="33" t="str">
        <f t="shared" si="335"/>
        <v/>
      </c>
      <c r="AD1064" s="15" t="str">
        <f t="shared" si="336"/>
        <v xml:space="preserve"> </v>
      </c>
      <c r="AE1064" s="5"/>
      <c r="AF1064" s="27" t="b">
        <f>IF($G1064&lt;&gt;0,SUMIF(куб!$G:$G,$G1064,куб!R:R),IF($E1064&lt;&gt;0,SUMIF(куб!$E:$E,$E1064,куб!R:R),IF($D1064&lt;&gt;0,SUMIF(куб!$D:$D,$D1064,куб!R:R),IF($C1064&lt;&gt;0,SUMIF(куб!$C:$C,$C1064,куб!R:R),IF($B1064&lt;&gt;0,SUMIF(куб!$B:$B,$B1064,куб!R:R))))))</f>
        <v>0</v>
      </c>
      <c r="AG1064" s="27" t="b">
        <f>IF($G1064&lt;&gt;0,SUMIF(куб!$G:$G,$G1064,куб!S:S),IF($E1064&lt;&gt;0,SUMIF(куб!$E:$E,$E1064,куб!S:S),IF($D1064&lt;&gt;0,SUMIF(куб!$D:$D,$D1064,куб!S:S),IF($C1064&lt;&gt;0,SUMIF(куб!$C:$C,$C1064,куб!S:S),IF($B1064&lt;&gt;0,SUMIF(куб!$B:$B,$B1064,куб!S:S))))))</f>
        <v>0</v>
      </c>
      <c r="AH1064" s="16" t="str">
        <f t="shared" si="337"/>
        <v>-</v>
      </c>
      <c r="AI1064" s="8"/>
      <c r="AJ1064" s="27" t="b">
        <f>IF($G1064&lt;&gt;0,SUMIF(куб!$G:$G,$G1064,куб!T:T),IF($E1064&lt;&gt;0,SUMIF(куб!$E:$E,$E1064,куб!T:T),IF($D1064&lt;&gt;0,SUMIF(куб!$D:$D,$D1064,куб!T:T),IF($C1064&lt;&gt;0,SUMIF(куб!$C:$C,$C1064,куб!T:T),IF($B1064&lt;&gt;0,SUMIF(куб!$B:$B,$B1064,куб!T:T))))))</f>
        <v>0</v>
      </c>
      <c r="AK1064" s="27" t="b">
        <f>IF($G1064&lt;&gt;0,SUMIF(куб!$G:$G,$G1064,куб!U:U),IF($E1064&lt;&gt;0,SUMIF(куб!$E:$E,$E1064,куб!U:U),IF($D1064&lt;&gt;0,SUMIF(куб!$D:$D,$D1064,куб!U:U),IF($C1064&lt;&gt;0,SUMIF(куб!$C:$C,$C1064,куб!U:U),IF($B1064&lt;&gt;0,SUMIF(куб!$B:$B,$B1064,куб!U:U))))))</f>
        <v>0</v>
      </c>
      <c r="AL1064" s="16" t="str">
        <f t="shared" si="338"/>
        <v>-</v>
      </c>
      <c r="AM1064" s="8"/>
      <c r="AN1064" s="17" t="str">
        <f t="shared" si="339"/>
        <v xml:space="preserve"> </v>
      </c>
      <c r="AO1064" s="17" t="str">
        <f t="shared" si="340"/>
        <v xml:space="preserve"> </v>
      </c>
      <c r="AP1064" s="16" t="str">
        <f t="shared" si="341"/>
        <v>-</v>
      </c>
      <c r="AQ1064" s="8"/>
      <c r="AR1064" s="17" t="str">
        <f t="shared" si="342"/>
        <v>-</v>
      </c>
      <c r="AS1064" s="17" t="str">
        <f t="shared" si="343"/>
        <v>-</v>
      </c>
      <c r="AT1064" s="13" t="str">
        <f t="shared" si="344"/>
        <v>-</v>
      </c>
      <c r="AU1064" s="8"/>
    </row>
    <row r="1065" spans="8:47" x14ac:dyDescent="0.25">
      <c r="H1065" s="27">
        <f>IF($G1065&lt;&gt;0,SUMIF(куб!$G:$G,$G1065,куб!H:H),IF($E1065&lt;&gt;0,SUMIF(куб!$E:$E,$E1065,куб!H:H),IF($D1065&lt;&gt;0,SUMIF(куб!$D:$D,$D1065,куб!H:H),IF($C1065&lt;&gt;0,SUMIF(куб!$C:$C,$C1065,куб!H:H),IF($B1065&lt;&gt;0,SUMIF(куб!$B:$B,$B1065,куб!H:H),IF($G1065&lt;&gt;0,SUMIF(куб!$A:$A,$G1065,куб!H:H),SUMIF(куб!$A:$A,$G1065,куб!H:H)))))))</f>
        <v>0</v>
      </c>
      <c r="I1065" s="27">
        <f>IF($G1065&lt;&gt;0,SUMIF(куб!$G:$G,$G1065,куб!I:I),IF($E1065&lt;&gt;0,SUMIF(куб!$E:$E,$E1065,куб!I:I),IF($D1065&lt;&gt;0,SUMIF(куб!$D:$D,$D1065,куб!I:I),IF($C1065&lt;&gt;0,SUMIF(куб!$C:$C,$C1065,куб!I:I),IF($B1065&lt;&gt;0,SUMIF(куб!$B:$B,$B1065,куб!I:I),IF($G1065&lt;&gt;0,SUMIF(куб!$A:$A,$G1065,куб!I:I),SUMIF(куб!$A:$A,$G1065,куб!I:I)))))))</f>
        <v>0</v>
      </c>
      <c r="J1065" s="19" t="str">
        <f t="shared" si="327"/>
        <v>-</v>
      </c>
      <c r="K1065" s="8"/>
      <c r="L1065" s="17">
        <f t="shared" si="328"/>
        <v>0</v>
      </c>
      <c r="M1065" s="17">
        <f t="shared" si="329"/>
        <v>0</v>
      </c>
      <c r="N1065" s="12">
        <f t="shared" si="330"/>
        <v>0</v>
      </c>
      <c r="O1065" s="5"/>
      <c r="P1065" s="27" t="b">
        <f>IF($G1065&lt;&gt;0,SUMIF(куб!$G:$G,$G1065,куб!J:J),IF($E1065&lt;&gt;0,SUMIF(куб!$E:$E,$E1065,куб!J:J),IF($D1065&lt;&gt;0,SUMIF(куб!$D:$D,$D1065,куб!J:J),IF($C1065&lt;&gt;0,SUMIF(куб!$C:$C,$C1065,куб!J:J),IF($B1065&lt;&gt;0,SUMIF(куб!$B:$B,$B1065,куб!J:J))))))</f>
        <v>0</v>
      </c>
      <c r="Q1065" s="27" t="b">
        <f>IF($G1065&lt;&gt;0,SUMIF(куб!$G:$G,$G1065,куб!K:K),IF($E1065&lt;&gt;0,SUMIF(куб!$E:$E,$E1065,куб!K:K),IF($D1065&lt;&gt;0,SUMIF(куб!$D:$D,$D1065,куб!K:K),IF($C1065&lt;&gt;0,SUMIF(куб!$C:$C,$C1065,куб!K:K),IF($B1065&lt;&gt;0,SUMIF(куб!$B:$B,$B1065,куб!K:K))))))</f>
        <v>0</v>
      </c>
      <c r="R1065" s="13" t="str">
        <f t="shared" si="331"/>
        <v>-</v>
      </c>
      <c r="S1065" s="5"/>
      <c r="T1065" s="27" t="b">
        <f>IF($G1065&lt;&gt;0,SUMIF(куб!$G:$G,$G1065,куб!L:L),IF($E1065&lt;&gt;0,SUMIF(куб!$E:$E,$E1065,куб!L:L),IF($D1065&lt;&gt;0,SUMIF(куб!$D:$D,$D1065,куб!L:L),IF($C1065&lt;&gt;0,SUMIF(куб!$C:$C,$C1065,куб!L:L),IF($B1065&lt;&gt;0,SUMIF(куб!$B:$B,$B1065,куб!L:L))))))</f>
        <v>0</v>
      </c>
      <c r="U1065" s="27" t="b">
        <f>IF($G1065&lt;&gt;0,SUMIF(куб!$G:$G,$G1065,куб!M:M),IF($E1065&lt;&gt;0,SUMIF(куб!$E:$E,$E1065,куб!M:M),IF($D1065&lt;&gt;0,SUMIF(куб!$D:$D,$D1065,куб!M:M),IF($C1065&lt;&gt;0,SUMIF(куб!$C:$C,$C1065,куб!M:M),IF($B1065&lt;&gt;0,SUMIF(куб!$B:$B,$B1065,куб!M:M))))))</f>
        <v>0</v>
      </c>
      <c r="V1065" s="13" t="str">
        <f t="shared" si="332"/>
        <v>-</v>
      </c>
      <c r="W1065" s="5"/>
      <c r="X1065" s="27" t="b">
        <f>IF($G1065&lt;&gt;0,SUMIF(куб!$G:$G,$G1065,куб!N:N),IF($E1065&lt;&gt;0,SUMIF(куб!$E:$E,$E1065,куб!N:N),IF($D1065&lt;&gt;0,SUMIF(куб!$D:$D,$D1065,куб!N:N),IF($C1065&lt;&gt;0,SUMIF(куб!$C:$C,$C1065,куб!N:N),IF($B1065&lt;&gt;0,SUMIF(куб!$B:$B,$B1065,куб!N:N))))))</f>
        <v>0</v>
      </c>
      <c r="Y1065" s="27" t="b">
        <f>IF($G1065&lt;&gt;0,SUMIF(куб!$G:$G,$G1065,куб!O:O),IF($E1065&lt;&gt;0,SUMIF(куб!$E:$E,$E1065,куб!O:O),IF($D1065&lt;&gt;0,SUMIF(куб!$D:$D,$D1065,куб!O:O),IF($C1065&lt;&gt;0,SUMIF(куб!$C:$C,$C1065,куб!O:O),IF($B1065&lt;&gt;0,SUMIF(куб!$B:$B,$B1065,куб!O:O))))))</f>
        <v>0</v>
      </c>
      <c r="Z1065" s="13" t="str">
        <f t="shared" si="333"/>
        <v>-</v>
      </c>
      <c r="AA1065" s="5"/>
      <c r="AB1065" s="33" t="str">
        <f t="shared" si="334"/>
        <v/>
      </c>
      <c r="AC1065" s="33" t="str">
        <f t="shared" si="335"/>
        <v/>
      </c>
      <c r="AD1065" s="15" t="str">
        <f t="shared" si="336"/>
        <v xml:space="preserve"> </v>
      </c>
      <c r="AE1065" s="5"/>
      <c r="AF1065" s="27" t="b">
        <f>IF($G1065&lt;&gt;0,SUMIF(куб!$G:$G,$G1065,куб!R:R),IF($E1065&lt;&gt;0,SUMIF(куб!$E:$E,$E1065,куб!R:R),IF($D1065&lt;&gt;0,SUMIF(куб!$D:$D,$D1065,куб!R:R),IF($C1065&lt;&gt;0,SUMIF(куб!$C:$C,$C1065,куб!R:R),IF($B1065&lt;&gt;0,SUMIF(куб!$B:$B,$B1065,куб!R:R))))))</f>
        <v>0</v>
      </c>
      <c r="AG1065" s="27" t="b">
        <f>IF($G1065&lt;&gt;0,SUMIF(куб!$G:$G,$G1065,куб!S:S),IF($E1065&lt;&gt;0,SUMIF(куб!$E:$E,$E1065,куб!S:S),IF($D1065&lt;&gt;0,SUMIF(куб!$D:$D,$D1065,куб!S:S),IF($C1065&lt;&gt;0,SUMIF(куб!$C:$C,$C1065,куб!S:S),IF($B1065&lt;&gt;0,SUMIF(куб!$B:$B,$B1065,куб!S:S))))))</f>
        <v>0</v>
      </c>
      <c r="AH1065" s="16" t="str">
        <f t="shared" si="337"/>
        <v>-</v>
      </c>
      <c r="AI1065" s="8"/>
      <c r="AJ1065" s="27" t="b">
        <f>IF($G1065&lt;&gt;0,SUMIF(куб!$G:$G,$G1065,куб!T:T),IF($E1065&lt;&gt;0,SUMIF(куб!$E:$E,$E1065,куб!T:T),IF($D1065&lt;&gt;0,SUMIF(куб!$D:$D,$D1065,куб!T:T),IF($C1065&lt;&gt;0,SUMIF(куб!$C:$C,$C1065,куб!T:T),IF($B1065&lt;&gt;0,SUMIF(куб!$B:$B,$B1065,куб!T:T))))))</f>
        <v>0</v>
      </c>
      <c r="AK1065" s="27" t="b">
        <f>IF($G1065&lt;&gt;0,SUMIF(куб!$G:$G,$G1065,куб!U:U),IF($E1065&lt;&gt;0,SUMIF(куб!$E:$E,$E1065,куб!U:U),IF($D1065&lt;&gt;0,SUMIF(куб!$D:$D,$D1065,куб!U:U),IF($C1065&lt;&gt;0,SUMIF(куб!$C:$C,$C1065,куб!U:U),IF($B1065&lt;&gt;0,SUMIF(куб!$B:$B,$B1065,куб!U:U))))))</f>
        <v>0</v>
      </c>
      <c r="AL1065" s="16" t="str">
        <f t="shared" si="338"/>
        <v>-</v>
      </c>
      <c r="AM1065" s="8"/>
      <c r="AN1065" s="17" t="str">
        <f t="shared" si="339"/>
        <v xml:space="preserve"> </v>
      </c>
      <c r="AO1065" s="17" t="str">
        <f t="shared" si="340"/>
        <v xml:space="preserve"> </v>
      </c>
      <c r="AP1065" s="16" t="str">
        <f t="shared" si="341"/>
        <v>-</v>
      </c>
      <c r="AQ1065" s="8"/>
      <c r="AR1065" s="17" t="str">
        <f t="shared" si="342"/>
        <v>-</v>
      </c>
      <c r="AS1065" s="17" t="str">
        <f t="shared" si="343"/>
        <v>-</v>
      </c>
      <c r="AT1065" s="13" t="str">
        <f t="shared" si="344"/>
        <v>-</v>
      </c>
      <c r="AU1065" s="8"/>
    </row>
    <row r="1066" spans="8:47" x14ac:dyDescent="0.25">
      <c r="H1066" s="27">
        <f>IF($G1066&lt;&gt;0,SUMIF(куб!$G:$G,$G1066,куб!H:H),IF($E1066&lt;&gt;0,SUMIF(куб!$E:$E,$E1066,куб!H:H),IF($D1066&lt;&gt;0,SUMIF(куб!$D:$D,$D1066,куб!H:H),IF($C1066&lt;&gt;0,SUMIF(куб!$C:$C,$C1066,куб!H:H),IF($B1066&lt;&gt;0,SUMIF(куб!$B:$B,$B1066,куб!H:H),IF($G1066&lt;&gt;0,SUMIF(куб!$A:$A,$G1066,куб!H:H),SUMIF(куб!$A:$A,$G1066,куб!H:H)))))))</f>
        <v>0</v>
      </c>
      <c r="I1066" s="27">
        <f>IF($G1066&lt;&gt;0,SUMIF(куб!$G:$G,$G1066,куб!I:I),IF($E1066&lt;&gt;0,SUMIF(куб!$E:$E,$E1066,куб!I:I),IF($D1066&lt;&gt;0,SUMIF(куб!$D:$D,$D1066,куб!I:I),IF($C1066&lt;&gt;0,SUMIF(куб!$C:$C,$C1066,куб!I:I),IF($B1066&lt;&gt;0,SUMIF(куб!$B:$B,$B1066,куб!I:I),IF($G1066&lt;&gt;0,SUMIF(куб!$A:$A,$G1066,куб!I:I),SUMIF(куб!$A:$A,$G1066,куб!I:I)))))))</f>
        <v>0</v>
      </c>
      <c r="J1066" s="19" t="str">
        <f t="shared" si="327"/>
        <v>-</v>
      </c>
      <c r="K1066" s="8"/>
      <c r="L1066" s="17">
        <f t="shared" si="328"/>
        <v>0</v>
      </c>
      <c r="M1066" s="17">
        <f t="shared" si="329"/>
        <v>0</v>
      </c>
      <c r="N1066" s="12">
        <f t="shared" si="330"/>
        <v>0</v>
      </c>
      <c r="O1066" s="5"/>
      <c r="P1066" s="27" t="b">
        <f>IF($G1066&lt;&gt;0,SUMIF(куб!$G:$G,$G1066,куб!J:J),IF($E1066&lt;&gt;0,SUMIF(куб!$E:$E,$E1066,куб!J:J),IF($D1066&lt;&gt;0,SUMIF(куб!$D:$D,$D1066,куб!J:J),IF($C1066&lt;&gt;0,SUMIF(куб!$C:$C,$C1066,куб!J:J),IF($B1066&lt;&gt;0,SUMIF(куб!$B:$B,$B1066,куб!J:J))))))</f>
        <v>0</v>
      </c>
      <c r="Q1066" s="27" t="b">
        <f>IF($G1066&lt;&gt;0,SUMIF(куб!$G:$G,$G1066,куб!K:K),IF($E1066&lt;&gt;0,SUMIF(куб!$E:$E,$E1066,куб!K:K),IF($D1066&lt;&gt;0,SUMIF(куб!$D:$D,$D1066,куб!K:K),IF($C1066&lt;&gt;0,SUMIF(куб!$C:$C,$C1066,куб!K:K),IF($B1066&lt;&gt;0,SUMIF(куб!$B:$B,$B1066,куб!K:K))))))</f>
        <v>0</v>
      </c>
      <c r="R1066" s="13" t="str">
        <f t="shared" si="331"/>
        <v>-</v>
      </c>
      <c r="S1066" s="5"/>
      <c r="T1066" s="27" t="b">
        <f>IF($G1066&lt;&gt;0,SUMIF(куб!$G:$G,$G1066,куб!L:L),IF($E1066&lt;&gt;0,SUMIF(куб!$E:$E,$E1066,куб!L:L),IF($D1066&lt;&gt;0,SUMIF(куб!$D:$D,$D1066,куб!L:L),IF($C1066&lt;&gt;0,SUMIF(куб!$C:$C,$C1066,куб!L:L),IF($B1066&lt;&gt;0,SUMIF(куб!$B:$B,$B1066,куб!L:L))))))</f>
        <v>0</v>
      </c>
      <c r="U1066" s="27" t="b">
        <f>IF($G1066&lt;&gt;0,SUMIF(куб!$G:$G,$G1066,куб!M:M),IF($E1066&lt;&gt;0,SUMIF(куб!$E:$E,$E1066,куб!M:M),IF($D1066&lt;&gt;0,SUMIF(куб!$D:$D,$D1066,куб!M:M),IF($C1066&lt;&gt;0,SUMIF(куб!$C:$C,$C1066,куб!M:M),IF($B1066&lt;&gt;0,SUMIF(куб!$B:$B,$B1066,куб!M:M))))))</f>
        <v>0</v>
      </c>
      <c r="V1066" s="13" t="str">
        <f t="shared" si="332"/>
        <v>-</v>
      </c>
      <c r="W1066" s="5"/>
      <c r="X1066" s="27" t="b">
        <f>IF($G1066&lt;&gt;0,SUMIF(куб!$G:$G,$G1066,куб!N:N),IF($E1066&lt;&gt;0,SUMIF(куб!$E:$E,$E1066,куб!N:N),IF($D1066&lt;&gt;0,SUMIF(куб!$D:$D,$D1066,куб!N:N),IF($C1066&lt;&gt;0,SUMIF(куб!$C:$C,$C1066,куб!N:N),IF($B1066&lt;&gt;0,SUMIF(куб!$B:$B,$B1066,куб!N:N))))))</f>
        <v>0</v>
      </c>
      <c r="Y1066" s="27" t="b">
        <f>IF($G1066&lt;&gt;0,SUMIF(куб!$G:$G,$G1066,куб!O:O),IF($E1066&lt;&gt;0,SUMIF(куб!$E:$E,$E1066,куб!O:O),IF($D1066&lt;&gt;0,SUMIF(куб!$D:$D,$D1066,куб!O:O),IF($C1066&lt;&gt;0,SUMIF(куб!$C:$C,$C1066,куб!O:O),IF($B1066&lt;&gt;0,SUMIF(куб!$B:$B,$B1066,куб!O:O))))))</f>
        <v>0</v>
      </c>
      <c r="Z1066" s="13" t="str">
        <f t="shared" si="333"/>
        <v>-</v>
      </c>
      <c r="AA1066" s="5"/>
      <c r="AB1066" s="33" t="str">
        <f t="shared" si="334"/>
        <v/>
      </c>
      <c r="AC1066" s="33" t="str">
        <f t="shared" si="335"/>
        <v/>
      </c>
      <c r="AD1066" s="15" t="str">
        <f t="shared" si="336"/>
        <v xml:space="preserve"> </v>
      </c>
      <c r="AE1066" s="5"/>
      <c r="AF1066" s="27" t="b">
        <f>IF($G1066&lt;&gt;0,SUMIF(куб!$G:$G,$G1066,куб!R:R),IF($E1066&lt;&gt;0,SUMIF(куб!$E:$E,$E1066,куб!R:R),IF($D1066&lt;&gt;0,SUMIF(куб!$D:$D,$D1066,куб!R:R),IF($C1066&lt;&gt;0,SUMIF(куб!$C:$C,$C1066,куб!R:R),IF($B1066&lt;&gt;0,SUMIF(куб!$B:$B,$B1066,куб!R:R))))))</f>
        <v>0</v>
      </c>
      <c r="AG1066" s="27" t="b">
        <f>IF($G1066&lt;&gt;0,SUMIF(куб!$G:$G,$G1066,куб!S:S),IF($E1066&lt;&gt;0,SUMIF(куб!$E:$E,$E1066,куб!S:S),IF($D1066&lt;&gt;0,SUMIF(куб!$D:$D,$D1066,куб!S:S),IF($C1066&lt;&gt;0,SUMIF(куб!$C:$C,$C1066,куб!S:S),IF($B1066&lt;&gt;0,SUMIF(куб!$B:$B,$B1066,куб!S:S))))))</f>
        <v>0</v>
      </c>
      <c r="AH1066" s="16" t="str">
        <f t="shared" si="337"/>
        <v>-</v>
      </c>
      <c r="AI1066" s="8"/>
      <c r="AJ1066" s="27" t="b">
        <f>IF($G1066&lt;&gt;0,SUMIF(куб!$G:$G,$G1066,куб!T:T),IF($E1066&lt;&gt;0,SUMIF(куб!$E:$E,$E1066,куб!T:T),IF($D1066&lt;&gt;0,SUMIF(куб!$D:$D,$D1066,куб!T:T),IF($C1066&lt;&gt;0,SUMIF(куб!$C:$C,$C1066,куб!T:T),IF($B1066&lt;&gt;0,SUMIF(куб!$B:$B,$B1066,куб!T:T))))))</f>
        <v>0</v>
      </c>
      <c r="AK1066" s="27" t="b">
        <f>IF($G1066&lt;&gt;0,SUMIF(куб!$G:$G,$G1066,куб!U:U),IF($E1066&lt;&gt;0,SUMIF(куб!$E:$E,$E1066,куб!U:U),IF($D1066&lt;&gt;0,SUMIF(куб!$D:$D,$D1066,куб!U:U),IF($C1066&lt;&gt;0,SUMIF(куб!$C:$C,$C1066,куб!U:U),IF($B1066&lt;&gt;0,SUMIF(куб!$B:$B,$B1066,куб!U:U))))))</f>
        <v>0</v>
      </c>
      <c r="AL1066" s="16" t="str">
        <f t="shared" si="338"/>
        <v>-</v>
      </c>
      <c r="AM1066" s="8"/>
      <c r="AN1066" s="17" t="str">
        <f t="shared" si="339"/>
        <v xml:space="preserve"> </v>
      </c>
      <c r="AO1066" s="17" t="str">
        <f t="shared" si="340"/>
        <v xml:space="preserve"> </v>
      </c>
      <c r="AP1066" s="16" t="str">
        <f t="shared" si="341"/>
        <v>-</v>
      </c>
      <c r="AQ1066" s="8"/>
      <c r="AR1066" s="17" t="str">
        <f t="shared" si="342"/>
        <v>-</v>
      </c>
      <c r="AS1066" s="17" t="str">
        <f t="shared" si="343"/>
        <v>-</v>
      </c>
      <c r="AT1066" s="13" t="str">
        <f t="shared" si="344"/>
        <v>-</v>
      </c>
      <c r="AU1066" s="8"/>
    </row>
    <row r="1067" spans="8:47" x14ac:dyDescent="0.25">
      <c r="H1067" s="27">
        <f>IF($G1067&lt;&gt;0,SUMIF(куб!$G:$G,$G1067,куб!H:H),IF($E1067&lt;&gt;0,SUMIF(куб!$E:$E,$E1067,куб!H:H),IF($D1067&lt;&gt;0,SUMIF(куб!$D:$D,$D1067,куб!H:H),IF($C1067&lt;&gt;0,SUMIF(куб!$C:$C,$C1067,куб!H:H),IF($B1067&lt;&gt;0,SUMIF(куб!$B:$B,$B1067,куб!H:H),IF($G1067&lt;&gt;0,SUMIF(куб!$A:$A,$G1067,куб!H:H),SUMIF(куб!$A:$A,$G1067,куб!H:H)))))))</f>
        <v>0</v>
      </c>
      <c r="I1067" s="27">
        <f>IF($G1067&lt;&gt;0,SUMIF(куб!$G:$G,$G1067,куб!I:I),IF($E1067&lt;&gt;0,SUMIF(куб!$E:$E,$E1067,куб!I:I),IF($D1067&lt;&gt;0,SUMIF(куб!$D:$D,$D1067,куб!I:I),IF($C1067&lt;&gt;0,SUMIF(куб!$C:$C,$C1067,куб!I:I),IF($B1067&lt;&gt;0,SUMIF(куб!$B:$B,$B1067,куб!I:I),IF($G1067&lt;&gt;0,SUMIF(куб!$A:$A,$G1067,куб!I:I),SUMIF(куб!$A:$A,$G1067,куб!I:I)))))))</f>
        <v>0</v>
      </c>
      <c r="J1067" s="19" t="str">
        <f t="shared" si="327"/>
        <v>-</v>
      </c>
      <c r="K1067" s="8"/>
      <c r="L1067" s="17">
        <f t="shared" si="328"/>
        <v>0</v>
      </c>
      <c r="M1067" s="17">
        <f t="shared" si="329"/>
        <v>0</v>
      </c>
      <c r="N1067" s="12">
        <f t="shared" si="330"/>
        <v>0</v>
      </c>
      <c r="O1067" s="5"/>
      <c r="P1067" s="27" t="b">
        <f>IF($G1067&lt;&gt;0,SUMIF(куб!$G:$G,$G1067,куб!J:J),IF($E1067&lt;&gt;0,SUMIF(куб!$E:$E,$E1067,куб!J:J),IF($D1067&lt;&gt;0,SUMIF(куб!$D:$D,$D1067,куб!J:J),IF($C1067&lt;&gt;0,SUMIF(куб!$C:$C,$C1067,куб!J:J),IF($B1067&lt;&gt;0,SUMIF(куб!$B:$B,$B1067,куб!J:J))))))</f>
        <v>0</v>
      </c>
      <c r="Q1067" s="27" t="b">
        <f>IF($G1067&lt;&gt;0,SUMIF(куб!$G:$G,$G1067,куб!K:K),IF($E1067&lt;&gt;0,SUMIF(куб!$E:$E,$E1067,куб!K:K),IF($D1067&lt;&gt;0,SUMIF(куб!$D:$D,$D1067,куб!K:K),IF($C1067&lt;&gt;0,SUMIF(куб!$C:$C,$C1067,куб!K:K),IF($B1067&lt;&gt;0,SUMIF(куб!$B:$B,$B1067,куб!K:K))))))</f>
        <v>0</v>
      </c>
      <c r="R1067" s="13" t="str">
        <f t="shared" si="331"/>
        <v>-</v>
      </c>
      <c r="S1067" s="5"/>
      <c r="T1067" s="27" t="b">
        <f>IF($G1067&lt;&gt;0,SUMIF(куб!$G:$G,$G1067,куб!L:L),IF($E1067&lt;&gt;0,SUMIF(куб!$E:$E,$E1067,куб!L:L),IF($D1067&lt;&gt;0,SUMIF(куб!$D:$D,$D1067,куб!L:L),IF($C1067&lt;&gt;0,SUMIF(куб!$C:$C,$C1067,куб!L:L),IF($B1067&lt;&gt;0,SUMIF(куб!$B:$B,$B1067,куб!L:L))))))</f>
        <v>0</v>
      </c>
      <c r="U1067" s="27" t="b">
        <f>IF($G1067&lt;&gt;0,SUMIF(куб!$G:$G,$G1067,куб!M:M),IF($E1067&lt;&gt;0,SUMIF(куб!$E:$E,$E1067,куб!M:M),IF($D1067&lt;&gt;0,SUMIF(куб!$D:$D,$D1067,куб!M:M),IF($C1067&lt;&gt;0,SUMIF(куб!$C:$C,$C1067,куб!M:M),IF($B1067&lt;&gt;0,SUMIF(куб!$B:$B,$B1067,куб!M:M))))))</f>
        <v>0</v>
      </c>
      <c r="V1067" s="13" t="str">
        <f t="shared" si="332"/>
        <v>-</v>
      </c>
      <c r="W1067" s="5"/>
      <c r="X1067" s="27" t="b">
        <f>IF($G1067&lt;&gt;0,SUMIF(куб!$G:$G,$G1067,куб!N:N),IF($E1067&lt;&gt;0,SUMIF(куб!$E:$E,$E1067,куб!N:N),IF($D1067&lt;&gt;0,SUMIF(куб!$D:$D,$D1067,куб!N:N),IF($C1067&lt;&gt;0,SUMIF(куб!$C:$C,$C1067,куб!N:N),IF($B1067&lt;&gt;0,SUMIF(куб!$B:$B,$B1067,куб!N:N))))))</f>
        <v>0</v>
      </c>
      <c r="Y1067" s="27" t="b">
        <f>IF($G1067&lt;&gt;0,SUMIF(куб!$G:$G,$G1067,куб!O:O),IF($E1067&lt;&gt;0,SUMIF(куб!$E:$E,$E1067,куб!O:O),IF($D1067&lt;&gt;0,SUMIF(куб!$D:$D,$D1067,куб!O:O),IF($C1067&lt;&gt;0,SUMIF(куб!$C:$C,$C1067,куб!O:O),IF($B1067&lt;&gt;0,SUMIF(куб!$B:$B,$B1067,куб!O:O))))))</f>
        <v>0</v>
      </c>
      <c r="Z1067" s="13" t="str">
        <f t="shared" si="333"/>
        <v>-</v>
      </c>
      <c r="AA1067" s="5"/>
      <c r="AB1067" s="33" t="str">
        <f t="shared" si="334"/>
        <v/>
      </c>
      <c r="AC1067" s="33" t="str">
        <f t="shared" si="335"/>
        <v/>
      </c>
      <c r="AD1067" s="15" t="str">
        <f t="shared" si="336"/>
        <v xml:space="preserve"> </v>
      </c>
      <c r="AE1067" s="5"/>
      <c r="AF1067" s="27" t="b">
        <f>IF($G1067&lt;&gt;0,SUMIF(куб!$G:$G,$G1067,куб!R:R),IF($E1067&lt;&gt;0,SUMIF(куб!$E:$E,$E1067,куб!R:R),IF($D1067&lt;&gt;0,SUMIF(куб!$D:$D,$D1067,куб!R:R),IF($C1067&lt;&gt;0,SUMIF(куб!$C:$C,$C1067,куб!R:R),IF($B1067&lt;&gt;0,SUMIF(куб!$B:$B,$B1067,куб!R:R))))))</f>
        <v>0</v>
      </c>
      <c r="AG1067" s="27" t="b">
        <f>IF($G1067&lt;&gt;0,SUMIF(куб!$G:$G,$G1067,куб!S:S),IF($E1067&lt;&gt;0,SUMIF(куб!$E:$E,$E1067,куб!S:S),IF($D1067&lt;&gt;0,SUMIF(куб!$D:$D,$D1067,куб!S:S),IF($C1067&lt;&gt;0,SUMIF(куб!$C:$C,$C1067,куб!S:S),IF($B1067&lt;&gt;0,SUMIF(куб!$B:$B,$B1067,куб!S:S))))))</f>
        <v>0</v>
      </c>
      <c r="AH1067" s="16" t="str">
        <f t="shared" si="337"/>
        <v>-</v>
      </c>
      <c r="AI1067" s="8"/>
      <c r="AJ1067" s="27" t="b">
        <f>IF($G1067&lt;&gt;0,SUMIF(куб!$G:$G,$G1067,куб!T:T),IF($E1067&lt;&gt;0,SUMIF(куб!$E:$E,$E1067,куб!T:T),IF($D1067&lt;&gt;0,SUMIF(куб!$D:$D,$D1067,куб!T:T),IF($C1067&lt;&gt;0,SUMIF(куб!$C:$C,$C1067,куб!T:T),IF($B1067&lt;&gt;0,SUMIF(куб!$B:$B,$B1067,куб!T:T))))))</f>
        <v>0</v>
      </c>
      <c r="AK1067" s="27" t="b">
        <f>IF($G1067&lt;&gt;0,SUMIF(куб!$G:$G,$G1067,куб!U:U),IF($E1067&lt;&gt;0,SUMIF(куб!$E:$E,$E1067,куб!U:U),IF($D1067&lt;&gt;0,SUMIF(куб!$D:$D,$D1067,куб!U:U),IF($C1067&lt;&gt;0,SUMIF(куб!$C:$C,$C1067,куб!U:U),IF($B1067&lt;&gt;0,SUMIF(куб!$B:$B,$B1067,куб!U:U))))))</f>
        <v>0</v>
      </c>
      <c r="AL1067" s="16" t="str">
        <f t="shared" si="338"/>
        <v>-</v>
      </c>
      <c r="AM1067" s="8"/>
      <c r="AN1067" s="17" t="str">
        <f t="shared" si="339"/>
        <v xml:space="preserve"> </v>
      </c>
      <c r="AO1067" s="17" t="str">
        <f t="shared" si="340"/>
        <v xml:space="preserve"> </v>
      </c>
      <c r="AP1067" s="16" t="str">
        <f t="shared" si="341"/>
        <v>-</v>
      </c>
      <c r="AQ1067" s="8"/>
      <c r="AR1067" s="17" t="str">
        <f t="shared" si="342"/>
        <v>-</v>
      </c>
      <c r="AS1067" s="17" t="str">
        <f t="shared" si="343"/>
        <v>-</v>
      </c>
      <c r="AT1067" s="13" t="str">
        <f t="shared" si="344"/>
        <v>-</v>
      </c>
      <c r="AU1067" s="8"/>
    </row>
    <row r="1068" spans="8:47" x14ac:dyDescent="0.25">
      <c r="H1068" s="27">
        <f>IF($G1068&lt;&gt;0,SUMIF(куб!$G:$G,$G1068,куб!H:H),IF($E1068&lt;&gt;0,SUMIF(куб!$E:$E,$E1068,куб!H:H),IF($D1068&lt;&gt;0,SUMIF(куб!$D:$D,$D1068,куб!H:H),IF($C1068&lt;&gt;0,SUMIF(куб!$C:$C,$C1068,куб!H:H),IF($B1068&lt;&gt;0,SUMIF(куб!$B:$B,$B1068,куб!H:H),IF($G1068&lt;&gt;0,SUMIF(куб!$A:$A,$G1068,куб!H:H),SUMIF(куб!$A:$A,$G1068,куб!H:H)))))))</f>
        <v>0</v>
      </c>
      <c r="I1068" s="27">
        <f>IF($G1068&lt;&gt;0,SUMIF(куб!$G:$G,$G1068,куб!I:I),IF($E1068&lt;&gt;0,SUMIF(куб!$E:$E,$E1068,куб!I:I),IF($D1068&lt;&gt;0,SUMIF(куб!$D:$D,$D1068,куб!I:I),IF($C1068&lt;&gt;0,SUMIF(куб!$C:$C,$C1068,куб!I:I),IF($B1068&lt;&gt;0,SUMIF(куб!$B:$B,$B1068,куб!I:I),IF($G1068&lt;&gt;0,SUMIF(куб!$A:$A,$G1068,куб!I:I),SUMIF(куб!$A:$A,$G1068,куб!I:I)))))))</f>
        <v>0</v>
      </c>
      <c r="J1068" s="19" t="str">
        <f t="shared" si="327"/>
        <v>-</v>
      </c>
      <c r="K1068" s="8"/>
      <c r="L1068" s="17">
        <f t="shared" si="328"/>
        <v>0</v>
      </c>
      <c r="M1068" s="17">
        <f t="shared" si="329"/>
        <v>0</v>
      </c>
      <c r="N1068" s="12">
        <f t="shared" si="330"/>
        <v>0</v>
      </c>
      <c r="O1068" s="5"/>
      <c r="P1068" s="27" t="b">
        <f>IF($G1068&lt;&gt;0,SUMIF(куб!$G:$G,$G1068,куб!J:J),IF($E1068&lt;&gt;0,SUMIF(куб!$E:$E,$E1068,куб!J:J),IF($D1068&lt;&gt;0,SUMIF(куб!$D:$D,$D1068,куб!J:J),IF($C1068&lt;&gt;0,SUMIF(куб!$C:$C,$C1068,куб!J:J),IF($B1068&lt;&gt;0,SUMIF(куб!$B:$B,$B1068,куб!J:J))))))</f>
        <v>0</v>
      </c>
      <c r="Q1068" s="27" t="b">
        <f>IF($G1068&lt;&gt;0,SUMIF(куб!$G:$G,$G1068,куб!K:K),IF($E1068&lt;&gt;0,SUMIF(куб!$E:$E,$E1068,куб!K:K),IF($D1068&lt;&gt;0,SUMIF(куб!$D:$D,$D1068,куб!K:K),IF($C1068&lt;&gt;0,SUMIF(куб!$C:$C,$C1068,куб!K:K),IF($B1068&lt;&gt;0,SUMIF(куб!$B:$B,$B1068,куб!K:K))))))</f>
        <v>0</v>
      </c>
      <c r="R1068" s="13" t="str">
        <f t="shared" si="331"/>
        <v>-</v>
      </c>
      <c r="S1068" s="5"/>
      <c r="T1068" s="27" t="b">
        <f>IF($G1068&lt;&gt;0,SUMIF(куб!$G:$G,$G1068,куб!L:L),IF($E1068&lt;&gt;0,SUMIF(куб!$E:$E,$E1068,куб!L:L),IF($D1068&lt;&gt;0,SUMIF(куб!$D:$D,$D1068,куб!L:L),IF($C1068&lt;&gt;0,SUMIF(куб!$C:$C,$C1068,куб!L:L),IF($B1068&lt;&gt;0,SUMIF(куб!$B:$B,$B1068,куб!L:L))))))</f>
        <v>0</v>
      </c>
      <c r="U1068" s="27" t="b">
        <f>IF($G1068&lt;&gt;0,SUMIF(куб!$G:$G,$G1068,куб!M:M),IF($E1068&lt;&gt;0,SUMIF(куб!$E:$E,$E1068,куб!M:M),IF($D1068&lt;&gt;0,SUMIF(куб!$D:$D,$D1068,куб!M:M),IF($C1068&lt;&gt;0,SUMIF(куб!$C:$C,$C1068,куб!M:M),IF($B1068&lt;&gt;0,SUMIF(куб!$B:$B,$B1068,куб!M:M))))))</f>
        <v>0</v>
      </c>
      <c r="V1068" s="13" t="str">
        <f t="shared" si="332"/>
        <v>-</v>
      </c>
      <c r="W1068" s="5"/>
      <c r="X1068" s="27" t="b">
        <f>IF($G1068&lt;&gt;0,SUMIF(куб!$G:$G,$G1068,куб!N:N),IF($E1068&lt;&gt;0,SUMIF(куб!$E:$E,$E1068,куб!N:N),IF($D1068&lt;&gt;0,SUMIF(куб!$D:$D,$D1068,куб!N:N),IF($C1068&lt;&gt;0,SUMIF(куб!$C:$C,$C1068,куб!N:N),IF($B1068&lt;&gt;0,SUMIF(куб!$B:$B,$B1068,куб!N:N))))))</f>
        <v>0</v>
      </c>
      <c r="Y1068" s="27" t="b">
        <f>IF($G1068&lt;&gt;0,SUMIF(куб!$G:$G,$G1068,куб!O:O),IF($E1068&lt;&gt;0,SUMIF(куб!$E:$E,$E1068,куб!O:O),IF($D1068&lt;&gt;0,SUMIF(куб!$D:$D,$D1068,куб!O:O),IF($C1068&lt;&gt;0,SUMIF(куб!$C:$C,$C1068,куб!O:O),IF($B1068&lt;&gt;0,SUMIF(куб!$B:$B,$B1068,куб!O:O))))))</f>
        <v>0</v>
      </c>
      <c r="Z1068" s="13" t="str">
        <f t="shared" si="333"/>
        <v>-</v>
      </c>
      <c r="AA1068" s="5"/>
      <c r="AB1068" s="33" t="str">
        <f t="shared" si="334"/>
        <v/>
      </c>
      <c r="AC1068" s="33" t="str">
        <f t="shared" si="335"/>
        <v/>
      </c>
      <c r="AD1068" s="15" t="str">
        <f t="shared" si="336"/>
        <v xml:space="preserve"> </v>
      </c>
      <c r="AE1068" s="5"/>
      <c r="AF1068" s="27" t="b">
        <f>IF($G1068&lt;&gt;0,SUMIF(куб!$G:$G,$G1068,куб!R:R),IF($E1068&lt;&gt;0,SUMIF(куб!$E:$E,$E1068,куб!R:R),IF($D1068&lt;&gt;0,SUMIF(куб!$D:$D,$D1068,куб!R:R),IF($C1068&lt;&gt;0,SUMIF(куб!$C:$C,$C1068,куб!R:R),IF($B1068&lt;&gt;0,SUMIF(куб!$B:$B,$B1068,куб!R:R))))))</f>
        <v>0</v>
      </c>
      <c r="AG1068" s="27" t="b">
        <f>IF($G1068&lt;&gt;0,SUMIF(куб!$G:$G,$G1068,куб!S:S),IF($E1068&lt;&gt;0,SUMIF(куб!$E:$E,$E1068,куб!S:S),IF($D1068&lt;&gt;0,SUMIF(куб!$D:$D,$D1068,куб!S:S),IF($C1068&lt;&gt;0,SUMIF(куб!$C:$C,$C1068,куб!S:S),IF($B1068&lt;&gt;0,SUMIF(куб!$B:$B,$B1068,куб!S:S))))))</f>
        <v>0</v>
      </c>
      <c r="AH1068" s="16" t="str">
        <f t="shared" si="337"/>
        <v>-</v>
      </c>
      <c r="AI1068" s="8"/>
      <c r="AJ1068" s="27" t="b">
        <f>IF($G1068&lt;&gt;0,SUMIF(куб!$G:$G,$G1068,куб!T:T),IF($E1068&lt;&gt;0,SUMIF(куб!$E:$E,$E1068,куб!T:T),IF($D1068&lt;&gt;0,SUMIF(куб!$D:$D,$D1068,куб!T:T),IF($C1068&lt;&gt;0,SUMIF(куб!$C:$C,$C1068,куб!T:T),IF($B1068&lt;&gt;0,SUMIF(куб!$B:$B,$B1068,куб!T:T))))))</f>
        <v>0</v>
      </c>
      <c r="AK1068" s="27" t="b">
        <f>IF($G1068&lt;&gt;0,SUMIF(куб!$G:$G,$G1068,куб!U:U),IF($E1068&lt;&gt;0,SUMIF(куб!$E:$E,$E1068,куб!U:U),IF($D1068&lt;&gt;0,SUMIF(куб!$D:$D,$D1068,куб!U:U),IF($C1068&lt;&gt;0,SUMIF(куб!$C:$C,$C1068,куб!U:U),IF($B1068&lt;&gt;0,SUMIF(куб!$B:$B,$B1068,куб!U:U))))))</f>
        <v>0</v>
      </c>
      <c r="AL1068" s="16" t="str">
        <f t="shared" si="338"/>
        <v>-</v>
      </c>
      <c r="AM1068" s="8"/>
      <c r="AN1068" s="17" t="str">
        <f t="shared" si="339"/>
        <v xml:space="preserve"> </v>
      </c>
      <c r="AO1068" s="17" t="str">
        <f t="shared" si="340"/>
        <v xml:space="preserve"> </v>
      </c>
      <c r="AP1068" s="16" t="str">
        <f t="shared" si="341"/>
        <v>-</v>
      </c>
      <c r="AQ1068" s="8"/>
      <c r="AR1068" s="17" t="str">
        <f t="shared" si="342"/>
        <v>-</v>
      </c>
      <c r="AS1068" s="17" t="str">
        <f t="shared" si="343"/>
        <v>-</v>
      </c>
      <c r="AT1068" s="13" t="str">
        <f t="shared" si="344"/>
        <v>-</v>
      </c>
      <c r="AU1068" s="8"/>
    </row>
    <row r="1069" spans="8:47" x14ac:dyDescent="0.25">
      <c r="H1069" s="27">
        <f>IF($G1069&lt;&gt;0,SUMIF(куб!$G:$G,$G1069,куб!H:H),IF($E1069&lt;&gt;0,SUMIF(куб!$E:$E,$E1069,куб!H:H),IF($D1069&lt;&gt;0,SUMIF(куб!$D:$D,$D1069,куб!H:H),IF($C1069&lt;&gt;0,SUMIF(куб!$C:$C,$C1069,куб!H:H),IF($B1069&lt;&gt;0,SUMIF(куб!$B:$B,$B1069,куб!H:H),IF($G1069&lt;&gt;0,SUMIF(куб!$A:$A,$G1069,куб!H:H),SUMIF(куб!$A:$A,$G1069,куб!H:H)))))))</f>
        <v>0</v>
      </c>
      <c r="I1069" s="27">
        <f>IF($G1069&lt;&gt;0,SUMIF(куб!$G:$G,$G1069,куб!I:I),IF($E1069&lt;&gt;0,SUMIF(куб!$E:$E,$E1069,куб!I:I),IF($D1069&lt;&gt;0,SUMIF(куб!$D:$D,$D1069,куб!I:I),IF($C1069&lt;&gt;0,SUMIF(куб!$C:$C,$C1069,куб!I:I),IF($B1069&lt;&gt;0,SUMIF(куб!$B:$B,$B1069,куб!I:I),IF($G1069&lt;&gt;0,SUMIF(куб!$A:$A,$G1069,куб!I:I),SUMIF(куб!$A:$A,$G1069,куб!I:I)))))))</f>
        <v>0</v>
      </c>
      <c r="J1069" s="19" t="str">
        <f t="shared" si="327"/>
        <v>-</v>
      </c>
      <c r="K1069" s="8"/>
      <c r="L1069" s="17">
        <f t="shared" si="328"/>
        <v>0</v>
      </c>
      <c r="M1069" s="17">
        <f t="shared" si="329"/>
        <v>0</v>
      </c>
      <c r="N1069" s="12">
        <f t="shared" si="330"/>
        <v>0</v>
      </c>
      <c r="O1069" s="5"/>
      <c r="P1069" s="27" t="b">
        <f>IF($G1069&lt;&gt;0,SUMIF(куб!$G:$G,$G1069,куб!J:J),IF($E1069&lt;&gt;0,SUMIF(куб!$E:$E,$E1069,куб!J:J),IF($D1069&lt;&gt;0,SUMIF(куб!$D:$D,$D1069,куб!J:J),IF($C1069&lt;&gt;0,SUMIF(куб!$C:$C,$C1069,куб!J:J),IF($B1069&lt;&gt;0,SUMIF(куб!$B:$B,$B1069,куб!J:J))))))</f>
        <v>0</v>
      </c>
      <c r="Q1069" s="27" t="b">
        <f>IF($G1069&lt;&gt;0,SUMIF(куб!$G:$G,$G1069,куб!K:K),IF($E1069&lt;&gt;0,SUMIF(куб!$E:$E,$E1069,куб!K:K),IF($D1069&lt;&gt;0,SUMIF(куб!$D:$D,$D1069,куб!K:K),IF($C1069&lt;&gt;0,SUMIF(куб!$C:$C,$C1069,куб!K:K),IF($B1069&lt;&gt;0,SUMIF(куб!$B:$B,$B1069,куб!K:K))))))</f>
        <v>0</v>
      </c>
      <c r="R1069" s="13" t="str">
        <f t="shared" si="331"/>
        <v>-</v>
      </c>
      <c r="S1069" s="5"/>
      <c r="T1069" s="27" t="b">
        <f>IF($G1069&lt;&gt;0,SUMIF(куб!$G:$G,$G1069,куб!L:L),IF($E1069&lt;&gt;0,SUMIF(куб!$E:$E,$E1069,куб!L:L),IF($D1069&lt;&gt;0,SUMIF(куб!$D:$D,$D1069,куб!L:L),IF($C1069&lt;&gt;0,SUMIF(куб!$C:$C,$C1069,куб!L:L),IF($B1069&lt;&gt;0,SUMIF(куб!$B:$B,$B1069,куб!L:L))))))</f>
        <v>0</v>
      </c>
      <c r="U1069" s="27" t="b">
        <f>IF($G1069&lt;&gt;0,SUMIF(куб!$G:$G,$G1069,куб!M:M),IF($E1069&lt;&gt;0,SUMIF(куб!$E:$E,$E1069,куб!M:M),IF($D1069&lt;&gt;0,SUMIF(куб!$D:$D,$D1069,куб!M:M),IF($C1069&lt;&gt;0,SUMIF(куб!$C:$C,$C1069,куб!M:M),IF($B1069&lt;&gt;0,SUMIF(куб!$B:$B,$B1069,куб!M:M))))))</f>
        <v>0</v>
      </c>
      <c r="V1069" s="13" t="str">
        <f t="shared" si="332"/>
        <v>-</v>
      </c>
      <c r="W1069" s="5"/>
      <c r="X1069" s="27" t="b">
        <f>IF($G1069&lt;&gt;0,SUMIF(куб!$G:$G,$G1069,куб!N:N),IF($E1069&lt;&gt;0,SUMIF(куб!$E:$E,$E1069,куб!N:N),IF($D1069&lt;&gt;0,SUMIF(куб!$D:$D,$D1069,куб!N:N),IF($C1069&lt;&gt;0,SUMIF(куб!$C:$C,$C1069,куб!N:N),IF($B1069&lt;&gt;0,SUMIF(куб!$B:$B,$B1069,куб!N:N))))))</f>
        <v>0</v>
      </c>
      <c r="Y1069" s="27" t="b">
        <f>IF($G1069&lt;&gt;0,SUMIF(куб!$G:$G,$G1069,куб!O:O),IF($E1069&lt;&gt;0,SUMIF(куб!$E:$E,$E1069,куб!O:O),IF($D1069&lt;&gt;0,SUMIF(куб!$D:$D,$D1069,куб!O:O),IF($C1069&lt;&gt;0,SUMIF(куб!$C:$C,$C1069,куб!O:O),IF($B1069&lt;&gt;0,SUMIF(куб!$B:$B,$B1069,куб!O:O))))))</f>
        <v>0</v>
      </c>
      <c r="Z1069" s="13" t="str">
        <f t="shared" si="333"/>
        <v>-</v>
      </c>
      <c r="AA1069" s="5"/>
      <c r="AB1069" s="33" t="str">
        <f t="shared" si="334"/>
        <v/>
      </c>
      <c r="AC1069" s="33" t="str">
        <f t="shared" si="335"/>
        <v/>
      </c>
      <c r="AD1069" s="15" t="str">
        <f t="shared" si="336"/>
        <v xml:space="preserve"> </v>
      </c>
      <c r="AE1069" s="5"/>
      <c r="AF1069" s="27" t="b">
        <f>IF($G1069&lt;&gt;0,SUMIF(куб!$G:$G,$G1069,куб!R:R),IF($E1069&lt;&gt;0,SUMIF(куб!$E:$E,$E1069,куб!R:R),IF($D1069&lt;&gt;0,SUMIF(куб!$D:$D,$D1069,куб!R:R),IF($C1069&lt;&gt;0,SUMIF(куб!$C:$C,$C1069,куб!R:R),IF($B1069&lt;&gt;0,SUMIF(куб!$B:$B,$B1069,куб!R:R))))))</f>
        <v>0</v>
      </c>
      <c r="AG1069" s="27" t="b">
        <f>IF($G1069&lt;&gt;0,SUMIF(куб!$G:$G,$G1069,куб!S:S),IF($E1069&lt;&gt;0,SUMIF(куб!$E:$E,$E1069,куб!S:S),IF($D1069&lt;&gt;0,SUMIF(куб!$D:$D,$D1069,куб!S:S),IF($C1069&lt;&gt;0,SUMIF(куб!$C:$C,$C1069,куб!S:S),IF($B1069&lt;&gt;0,SUMIF(куб!$B:$B,$B1069,куб!S:S))))))</f>
        <v>0</v>
      </c>
      <c r="AH1069" s="16" t="str">
        <f t="shared" si="337"/>
        <v>-</v>
      </c>
      <c r="AI1069" s="8"/>
      <c r="AJ1069" s="27" t="b">
        <f>IF($G1069&lt;&gt;0,SUMIF(куб!$G:$G,$G1069,куб!T:T),IF($E1069&lt;&gt;0,SUMIF(куб!$E:$E,$E1069,куб!T:T),IF($D1069&lt;&gt;0,SUMIF(куб!$D:$D,$D1069,куб!T:T),IF($C1069&lt;&gt;0,SUMIF(куб!$C:$C,$C1069,куб!T:T),IF($B1069&lt;&gt;0,SUMIF(куб!$B:$B,$B1069,куб!T:T))))))</f>
        <v>0</v>
      </c>
      <c r="AK1069" s="27" t="b">
        <f>IF($G1069&lt;&gt;0,SUMIF(куб!$G:$G,$G1069,куб!U:U),IF($E1069&lt;&gt;0,SUMIF(куб!$E:$E,$E1069,куб!U:U),IF($D1069&lt;&gt;0,SUMIF(куб!$D:$D,$D1069,куб!U:U),IF($C1069&lt;&gt;0,SUMIF(куб!$C:$C,$C1069,куб!U:U),IF($B1069&lt;&gt;0,SUMIF(куб!$B:$B,$B1069,куб!U:U))))))</f>
        <v>0</v>
      </c>
      <c r="AL1069" s="16" t="str">
        <f t="shared" si="338"/>
        <v>-</v>
      </c>
      <c r="AM1069" s="8"/>
      <c r="AN1069" s="17" t="str">
        <f t="shared" si="339"/>
        <v xml:space="preserve"> </v>
      </c>
      <c r="AO1069" s="17" t="str">
        <f t="shared" si="340"/>
        <v xml:space="preserve"> </v>
      </c>
      <c r="AP1069" s="16" t="str">
        <f t="shared" si="341"/>
        <v>-</v>
      </c>
      <c r="AQ1069" s="8"/>
      <c r="AR1069" s="17" t="str">
        <f t="shared" si="342"/>
        <v>-</v>
      </c>
      <c r="AS1069" s="17" t="str">
        <f t="shared" si="343"/>
        <v>-</v>
      </c>
      <c r="AT1069" s="13" t="str">
        <f t="shared" si="344"/>
        <v>-</v>
      </c>
      <c r="AU1069" s="8"/>
    </row>
    <row r="1070" spans="8:47" x14ac:dyDescent="0.25">
      <c r="H1070" s="27">
        <f>IF($G1070&lt;&gt;0,SUMIF(куб!$G:$G,$G1070,куб!H:H),IF($E1070&lt;&gt;0,SUMIF(куб!$E:$E,$E1070,куб!H:H),IF($D1070&lt;&gt;0,SUMIF(куб!$D:$D,$D1070,куб!H:H),IF($C1070&lt;&gt;0,SUMIF(куб!$C:$C,$C1070,куб!H:H),IF($B1070&lt;&gt;0,SUMIF(куб!$B:$B,$B1070,куб!H:H),IF($G1070&lt;&gt;0,SUMIF(куб!$A:$A,$G1070,куб!H:H),SUMIF(куб!$A:$A,$G1070,куб!H:H)))))))</f>
        <v>0</v>
      </c>
      <c r="I1070" s="27">
        <f>IF($G1070&lt;&gt;0,SUMIF(куб!$G:$G,$G1070,куб!I:I),IF($E1070&lt;&gt;0,SUMIF(куб!$E:$E,$E1070,куб!I:I),IF($D1070&lt;&gt;0,SUMIF(куб!$D:$D,$D1070,куб!I:I),IF($C1070&lt;&gt;0,SUMIF(куб!$C:$C,$C1070,куб!I:I),IF($B1070&lt;&gt;0,SUMIF(куб!$B:$B,$B1070,куб!I:I),IF($G1070&lt;&gt;0,SUMIF(куб!$A:$A,$G1070,куб!I:I),SUMIF(куб!$A:$A,$G1070,куб!I:I)))))))</f>
        <v>0</v>
      </c>
      <c r="J1070" s="19" t="str">
        <f t="shared" si="327"/>
        <v>-</v>
      </c>
      <c r="K1070" s="8"/>
      <c r="L1070" s="17">
        <f t="shared" si="328"/>
        <v>0</v>
      </c>
      <c r="M1070" s="17">
        <f t="shared" si="329"/>
        <v>0</v>
      </c>
      <c r="N1070" s="12">
        <f t="shared" si="330"/>
        <v>0</v>
      </c>
      <c r="O1070" s="5"/>
      <c r="P1070" s="27" t="b">
        <f>IF($G1070&lt;&gt;0,SUMIF(куб!$G:$G,$G1070,куб!J:J),IF($E1070&lt;&gt;0,SUMIF(куб!$E:$E,$E1070,куб!J:J),IF($D1070&lt;&gt;0,SUMIF(куб!$D:$D,$D1070,куб!J:J),IF($C1070&lt;&gt;0,SUMIF(куб!$C:$C,$C1070,куб!J:J),IF($B1070&lt;&gt;0,SUMIF(куб!$B:$B,$B1070,куб!J:J))))))</f>
        <v>0</v>
      </c>
      <c r="Q1070" s="27" t="b">
        <f>IF($G1070&lt;&gt;0,SUMIF(куб!$G:$G,$G1070,куб!K:K),IF($E1070&lt;&gt;0,SUMIF(куб!$E:$E,$E1070,куб!K:K),IF($D1070&lt;&gt;0,SUMIF(куб!$D:$D,$D1070,куб!K:K),IF($C1070&lt;&gt;0,SUMIF(куб!$C:$C,$C1070,куб!K:K),IF($B1070&lt;&gt;0,SUMIF(куб!$B:$B,$B1070,куб!K:K))))))</f>
        <v>0</v>
      </c>
      <c r="R1070" s="13" t="str">
        <f t="shared" si="331"/>
        <v>-</v>
      </c>
      <c r="S1070" s="5"/>
      <c r="T1070" s="27" t="b">
        <f>IF($G1070&lt;&gt;0,SUMIF(куб!$G:$G,$G1070,куб!L:L),IF($E1070&lt;&gt;0,SUMIF(куб!$E:$E,$E1070,куб!L:L),IF($D1070&lt;&gt;0,SUMIF(куб!$D:$D,$D1070,куб!L:L),IF($C1070&lt;&gt;0,SUMIF(куб!$C:$C,$C1070,куб!L:L),IF($B1070&lt;&gt;0,SUMIF(куб!$B:$B,$B1070,куб!L:L))))))</f>
        <v>0</v>
      </c>
      <c r="U1070" s="27" t="b">
        <f>IF($G1070&lt;&gt;0,SUMIF(куб!$G:$G,$G1070,куб!M:M),IF($E1070&lt;&gt;0,SUMIF(куб!$E:$E,$E1070,куб!M:M),IF($D1070&lt;&gt;0,SUMIF(куб!$D:$D,$D1070,куб!M:M),IF($C1070&lt;&gt;0,SUMIF(куб!$C:$C,$C1070,куб!M:M),IF($B1070&lt;&gt;0,SUMIF(куб!$B:$B,$B1070,куб!M:M))))))</f>
        <v>0</v>
      </c>
      <c r="V1070" s="13" t="str">
        <f t="shared" si="332"/>
        <v>-</v>
      </c>
      <c r="W1070" s="5"/>
      <c r="X1070" s="27" t="b">
        <f>IF($G1070&lt;&gt;0,SUMIF(куб!$G:$G,$G1070,куб!N:N),IF($E1070&lt;&gt;0,SUMIF(куб!$E:$E,$E1070,куб!N:N),IF($D1070&lt;&gt;0,SUMIF(куб!$D:$D,$D1070,куб!N:N),IF($C1070&lt;&gt;0,SUMIF(куб!$C:$C,$C1070,куб!N:N),IF($B1070&lt;&gt;0,SUMIF(куб!$B:$B,$B1070,куб!N:N))))))</f>
        <v>0</v>
      </c>
      <c r="Y1070" s="27" t="b">
        <f>IF($G1070&lt;&gt;0,SUMIF(куб!$G:$G,$G1070,куб!O:O),IF($E1070&lt;&gt;0,SUMIF(куб!$E:$E,$E1070,куб!O:O),IF($D1070&lt;&gt;0,SUMIF(куб!$D:$D,$D1070,куб!O:O),IF($C1070&lt;&gt;0,SUMIF(куб!$C:$C,$C1070,куб!O:O),IF($B1070&lt;&gt;0,SUMIF(куб!$B:$B,$B1070,куб!O:O))))))</f>
        <v>0</v>
      </c>
      <c r="Z1070" s="13" t="str">
        <f t="shared" si="333"/>
        <v>-</v>
      </c>
      <c r="AA1070" s="5"/>
      <c r="AB1070" s="33" t="str">
        <f t="shared" si="334"/>
        <v/>
      </c>
      <c r="AC1070" s="33" t="str">
        <f t="shared" si="335"/>
        <v/>
      </c>
      <c r="AD1070" s="15" t="str">
        <f t="shared" si="336"/>
        <v xml:space="preserve"> </v>
      </c>
      <c r="AE1070" s="5"/>
      <c r="AF1070" s="27" t="b">
        <f>IF($G1070&lt;&gt;0,SUMIF(куб!$G:$G,$G1070,куб!R:R),IF($E1070&lt;&gt;0,SUMIF(куб!$E:$E,$E1070,куб!R:R),IF($D1070&lt;&gt;0,SUMIF(куб!$D:$D,$D1070,куб!R:R),IF($C1070&lt;&gt;0,SUMIF(куб!$C:$C,$C1070,куб!R:R),IF($B1070&lt;&gt;0,SUMIF(куб!$B:$B,$B1070,куб!R:R))))))</f>
        <v>0</v>
      </c>
      <c r="AG1070" s="27" t="b">
        <f>IF($G1070&lt;&gt;0,SUMIF(куб!$G:$G,$G1070,куб!S:S),IF($E1070&lt;&gt;0,SUMIF(куб!$E:$E,$E1070,куб!S:S),IF($D1070&lt;&gt;0,SUMIF(куб!$D:$D,$D1070,куб!S:S),IF($C1070&lt;&gt;0,SUMIF(куб!$C:$C,$C1070,куб!S:S),IF($B1070&lt;&gt;0,SUMIF(куб!$B:$B,$B1070,куб!S:S))))))</f>
        <v>0</v>
      </c>
      <c r="AH1070" s="16" t="str">
        <f t="shared" si="337"/>
        <v>-</v>
      </c>
      <c r="AI1070" s="8"/>
      <c r="AJ1070" s="27" t="b">
        <f>IF($G1070&lt;&gt;0,SUMIF(куб!$G:$G,$G1070,куб!T:T),IF($E1070&lt;&gt;0,SUMIF(куб!$E:$E,$E1070,куб!T:T),IF($D1070&lt;&gt;0,SUMIF(куб!$D:$D,$D1070,куб!T:T),IF($C1070&lt;&gt;0,SUMIF(куб!$C:$C,$C1070,куб!T:T),IF($B1070&lt;&gt;0,SUMIF(куб!$B:$B,$B1070,куб!T:T))))))</f>
        <v>0</v>
      </c>
      <c r="AK1070" s="27" t="b">
        <f>IF($G1070&lt;&gt;0,SUMIF(куб!$G:$G,$G1070,куб!U:U),IF($E1070&lt;&gt;0,SUMIF(куб!$E:$E,$E1070,куб!U:U),IF($D1070&lt;&gt;0,SUMIF(куб!$D:$D,$D1070,куб!U:U),IF($C1070&lt;&gt;0,SUMIF(куб!$C:$C,$C1070,куб!U:U),IF($B1070&lt;&gt;0,SUMIF(куб!$B:$B,$B1070,куб!U:U))))))</f>
        <v>0</v>
      </c>
      <c r="AL1070" s="16" t="str">
        <f t="shared" si="338"/>
        <v>-</v>
      </c>
      <c r="AM1070" s="8"/>
      <c r="AN1070" s="17" t="str">
        <f t="shared" si="339"/>
        <v xml:space="preserve"> </v>
      </c>
      <c r="AO1070" s="17" t="str">
        <f t="shared" si="340"/>
        <v xml:space="preserve"> </v>
      </c>
      <c r="AP1070" s="16" t="str">
        <f t="shared" si="341"/>
        <v>-</v>
      </c>
      <c r="AQ1070" s="8"/>
      <c r="AR1070" s="17" t="str">
        <f t="shared" si="342"/>
        <v>-</v>
      </c>
      <c r="AS1070" s="17" t="str">
        <f t="shared" si="343"/>
        <v>-</v>
      </c>
      <c r="AT1070" s="13" t="str">
        <f t="shared" si="344"/>
        <v>-</v>
      </c>
      <c r="AU1070" s="8"/>
    </row>
    <row r="1071" spans="8:47" x14ac:dyDescent="0.25">
      <c r="H1071" s="27">
        <f>IF($G1071&lt;&gt;0,SUMIF(куб!$G:$G,$G1071,куб!H:H),IF($E1071&lt;&gt;0,SUMIF(куб!$E:$E,$E1071,куб!H:H),IF($D1071&lt;&gt;0,SUMIF(куб!$D:$D,$D1071,куб!H:H),IF($C1071&lt;&gt;0,SUMIF(куб!$C:$C,$C1071,куб!H:H),IF($B1071&lt;&gt;0,SUMIF(куб!$B:$B,$B1071,куб!H:H),IF($G1071&lt;&gt;0,SUMIF(куб!$A:$A,$G1071,куб!H:H),SUMIF(куб!$A:$A,$G1071,куб!H:H)))))))</f>
        <v>0</v>
      </c>
      <c r="I1071" s="27">
        <f>IF($G1071&lt;&gt;0,SUMIF(куб!$G:$G,$G1071,куб!I:I),IF($E1071&lt;&gt;0,SUMIF(куб!$E:$E,$E1071,куб!I:I),IF($D1071&lt;&gt;0,SUMIF(куб!$D:$D,$D1071,куб!I:I),IF($C1071&lt;&gt;0,SUMIF(куб!$C:$C,$C1071,куб!I:I),IF($B1071&lt;&gt;0,SUMIF(куб!$B:$B,$B1071,куб!I:I),IF($G1071&lt;&gt;0,SUMIF(куб!$A:$A,$G1071,куб!I:I),SUMIF(куб!$A:$A,$G1071,куб!I:I)))))))</f>
        <v>0</v>
      </c>
      <c r="J1071" s="19" t="str">
        <f t="shared" si="327"/>
        <v>-</v>
      </c>
      <c r="K1071" s="8"/>
      <c r="L1071" s="17">
        <f t="shared" si="328"/>
        <v>0</v>
      </c>
      <c r="M1071" s="17">
        <f t="shared" si="329"/>
        <v>0</v>
      </c>
      <c r="N1071" s="12">
        <f t="shared" si="330"/>
        <v>0</v>
      </c>
      <c r="O1071" s="5"/>
      <c r="P1071" s="27" t="b">
        <f>IF($G1071&lt;&gt;0,SUMIF(куб!$G:$G,$G1071,куб!J:J),IF($E1071&lt;&gt;0,SUMIF(куб!$E:$E,$E1071,куб!J:J),IF($D1071&lt;&gt;0,SUMIF(куб!$D:$D,$D1071,куб!J:J),IF($C1071&lt;&gt;0,SUMIF(куб!$C:$C,$C1071,куб!J:J),IF($B1071&lt;&gt;0,SUMIF(куб!$B:$B,$B1071,куб!J:J))))))</f>
        <v>0</v>
      </c>
      <c r="Q1071" s="27" t="b">
        <f>IF($G1071&lt;&gt;0,SUMIF(куб!$G:$G,$G1071,куб!K:K),IF($E1071&lt;&gt;0,SUMIF(куб!$E:$E,$E1071,куб!K:K),IF($D1071&lt;&gt;0,SUMIF(куб!$D:$D,$D1071,куб!K:K),IF($C1071&lt;&gt;0,SUMIF(куб!$C:$C,$C1071,куб!K:K),IF($B1071&lt;&gt;0,SUMIF(куб!$B:$B,$B1071,куб!K:K))))))</f>
        <v>0</v>
      </c>
      <c r="R1071" s="13" t="str">
        <f t="shared" si="331"/>
        <v>-</v>
      </c>
      <c r="S1071" s="5"/>
      <c r="T1071" s="27" t="b">
        <f>IF($G1071&lt;&gt;0,SUMIF(куб!$G:$G,$G1071,куб!L:L),IF($E1071&lt;&gt;0,SUMIF(куб!$E:$E,$E1071,куб!L:L),IF($D1071&lt;&gt;0,SUMIF(куб!$D:$D,$D1071,куб!L:L),IF($C1071&lt;&gt;0,SUMIF(куб!$C:$C,$C1071,куб!L:L),IF($B1071&lt;&gt;0,SUMIF(куб!$B:$B,$B1071,куб!L:L))))))</f>
        <v>0</v>
      </c>
      <c r="U1071" s="27" t="b">
        <f>IF($G1071&lt;&gt;0,SUMIF(куб!$G:$G,$G1071,куб!M:M),IF($E1071&lt;&gt;0,SUMIF(куб!$E:$E,$E1071,куб!M:M),IF($D1071&lt;&gt;0,SUMIF(куб!$D:$D,$D1071,куб!M:M),IF($C1071&lt;&gt;0,SUMIF(куб!$C:$C,$C1071,куб!M:M),IF($B1071&lt;&gt;0,SUMIF(куб!$B:$B,$B1071,куб!M:M))))))</f>
        <v>0</v>
      </c>
      <c r="V1071" s="13" t="str">
        <f t="shared" si="332"/>
        <v>-</v>
      </c>
      <c r="W1071" s="5"/>
      <c r="X1071" s="27" t="b">
        <f>IF($G1071&lt;&gt;0,SUMIF(куб!$G:$G,$G1071,куб!N:N),IF($E1071&lt;&gt;0,SUMIF(куб!$E:$E,$E1071,куб!N:N),IF($D1071&lt;&gt;0,SUMIF(куб!$D:$D,$D1071,куб!N:N),IF($C1071&lt;&gt;0,SUMIF(куб!$C:$C,$C1071,куб!N:N),IF($B1071&lt;&gt;0,SUMIF(куб!$B:$B,$B1071,куб!N:N))))))</f>
        <v>0</v>
      </c>
      <c r="Y1071" s="27" t="b">
        <f>IF($G1071&lt;&gt;0,SUMIF(куб!$G:$G,$G1071,куб!O:O),IF($E1071&lt;&gt;0,SUMIF(куб!$E:$E,$E1071,куб!O:O),IF($D1071&lt;&gt;0,SUMIF(куб!$D:$D,$D1071,куб!O:O),IF($C1071&lt;&gt;0,SUMIF(куб!$C:$C,$C1071,куб!O:O),IF($B1071&lt;&gt;0,SUMIF(куб!$B:$B,$B1071,куб!O:O))))))</f>
        <v>0</v>
      </c>
      <c r="Z1071" s="13" t="str">
        <f t="shared" si="333"/>
        <v>-</v>
      </c>
      <c r="AA1071" s="5"/>
      <c r="AB1071" s="33" t="str">
        <f t="shared" si="334"/>
        <v/>
      </c>
      <c r="AC1071" s="33" t="str">
        <f t="shared" si="335"/>
        <v/>
      </c>
      <c r="AD1071" s="15" t="str">
        <f t="shared" si="336"/>
        <v xml:space="preserve"> </v>
      </c>
      <c r="AE1071" s="5"/>
      <c r="AF1071" s="27" t="b">
        <f>IF($G1071&lt;&gt;0,SUMIF(куб!$G:$G,$G1071,куб!R:R),IF($E1071&lt;&gt;0,SUMIF(куб!$E:$E,$E1071,куб!R:R),IF($D1071&lt;&gt;0,SUMIF(куб!$D:$D,$D1071,куб!R:R),IF($C1071&lt;&gt;0,SUMIF(куб!$C:$C,$C1071,куб!R:R),IF($B1071&lt;&gt;0,SUMIF(куб!$B:$B,$B1071,куб!R:R))))))</f>
        <v>0</v>
      </c>
      <c r="AG1071" s="27" t="b">
        <f>IF($G1071&lt;&gt;0,SUMIF(куб!$G:$G,$G1071,куб!S:S),IF($E1071&lt;&gt;0,SUMIF(куб!$E:$E,$E1071,куб!S:S),IF($D1071&lt;&gt;0,SUMIF(куб!$D:$D,$D1071,куб!S:S),IF($C1071&lt;&gt;0,SUMIF(куб!$C:$C,$C1071,куб!S:S),IF($B1071&lt;&gt;0,SUMIF(куб!$B:$B,$B1071,куб!S:S))))))</f>
        <v>0</v>
      </c>
      <c r="AH1071" s="16" t="str">
        <f t="shared" si="337"/>
        <v>-</v>
      </c>
      <c r="AI1071" s="8"/>
      <c r="AJ1071" s="27" t="b">
        <f>IF($G1071&lt;&gt;0,SUMIF(куб!$G:$G,$G1071,куб!T:T),IF($E1071&lt;&gt;0,SUMIF(куб!$E:$E,$E1071,куб!T:T),IF($D1071&lt;&gt;0,SUMIF(куб!$D:$D,$D1071,куб!T:T),IF($C1071&lt;&gt;0,SUMIF(куб!$C:$C,$C1071,куб!T:T),IF($B1071&lt;&gt;0,SUMIF(куб!$B:$B,$B1071,куб!T:T))))))</f>
        <v>0</v>
      </c>
      <c r="AK1071" s="27" t="b">
        <f>IF($G1071&lt;&gt;0,SUMIF(куб!$G:$G,$G1071,куб!U:U),IF($E1071&lt;&gt;0,SUMIF(куб!$E:$E,$E1071,куб!U:U),IF($D1071&lt;&gt;0,SUMIF(куб!$D:$D,$D1071,куб!U:U),IF($C1071&lt;&gt;0,SUMIF(куб!$C:$C,$C1071,куб!U:U),IF($B1071&lt;&gt;0,SUMIF(куб!$B:$B,$B1071,куб!U:U))))))</f>
        <v>0</v>
      </c>
      <c r="AL1071" s="16" t="str">
        <f t="shared" si="338"/>
        <v>-</v>
      </c>
      <c r="AM1071" s="8"/>
      <c r="AN1071" s="17" t="str">
        <f t="shared" si="339"/>
        <v xml:space="preserve"> </v>
      </c>
      <c r="AO1071" s="17" t="str">
        <f t="shared" si="340"/>
        <v xml:space="preserve"> </v>
      </c>
      <c r="AP1071" s="16" t="str">
        <f t="shared" si="341"/>
        <v>-</v>
      </c>
      <c r="AQ1071" s="8"/>
      <c r="AR1071" s="17" t="str">
        <f t="shared" si="342"/>
        <v>-</v>
      </c>
      <c r="AS1071" s="17" t="str">
        <f t="shared" si="343"/>
        <v>-</v>
      </c>
      <c r="AT1071" s="13" t="str">
        <f t="shared" si="344"/>
        <v>-</v>
      </c>
      <c r="AU1071" s="8"/>
    </row>
    <row r="1072" spans="8:47" x14ac:dyDescent="0.25">
      <c r="H1072" s="27">
        <f>IF($G1072&lt;&gt;0,SUMIF(куб!$G:$G,$G1072,куб!H:H),IF($E1072&lt;&gt;0,SUMIF(куб!$E:$E,$E1072,куб!H:H),IF($D1072&lt;&gt;0,SUMIF(куб!$D:$D,$D1072,куб!H:H),IF($C1072&lt;&gt;0,SUMIF(куб!$C:$C,$C1072,куб!H:H),IF($B1072&lt;&gt;0,SUMIF(куб!$B:$B,$B1072,куб!H:H),IF($G1072&lt;&gt;0,SUMIF(куб!$A:$A,$G1072,куб!H:H),SUMIF(куб!$A:$A,$G1072,куб!H:H)))))))</f>
        <v>0</v>
      </c>
      <c r="I1072" s="27">
        <f>IF($G1072&lt;&gt;0,SUMIF(куб!$G:$G,$G1072,куб!I:I),IF($E1072&lt;&gt;0,SUMIF(куб!$E:$E,$E1072,куб!I:I),IF($D1072&lt;&gt;0,SUMIF(куб!$D:$D,$D1072,куб!I:I),IF($C1072&lt;&gt;0,SUMIF(куб!$C:$C,$C1072,куб!I:I),IF($B1072&lt;&gt;0,SUMIF(куб!$B:$B,$B1072,куб!I:I),IF($G1072&lt;&gt;0,SUMIF(куб!$A:$A,$G1072,куб!I:I),SUMIF(куб!$A:$A,$G1072,куб!I:I)))))))</f>
        <v>0</v>
      </c>
      <c r="J1072" s="19" t="str">
        <f t="shared" si="327"/>
        <v>-</v>
      </c>
      <c r="K1072" s="8"/>
      <c r="L1072" s="17">
        <f t="shared" si="328"/>
        <v>0</v>
      </c>
      <c r="M1072" s="17">
        <f t="shared" si="329"/>
        <v>0</v>
      </c>
      <c r="N1072" s="12">
        <f t="shared" si="330"/>
        <v>0</v>
      </c>
      <c r="O1072" s="5"/>
      <c r="P1072" s="27" t="b">
        <f>IF($G1072&lt;&gt;0,SUMIF(куб!$G:$G,$G1072,куб!J:J),IF($E1072&lt;&gt;0,SUMIF(куб!$E:$E,$E1072,куб!J:J),IF($D1072&lt;&gt;0,SUMIF(куб!$D:$D,$D1072,куб!J:J),IF($C1072&lt;&gt;0,SUMIF(куб!$C:$C,$C1072,куб!J:J),IF($B1072&lt;&gt;0,SUMIF(куб!$B:$B,$B1072,куб!J:J))))))</f>
        <v>0</v>
      </c>
      <c r="Q1072" s="27" t="b">
        <f>IF($G1072&lt;&gt;0,SUMIF(куб!$G:$G,$G1072,куб!K:K),IF($E1072&lt;&gt;0,SUMIF(куб!$E:$E,$E1072,куб!K:K),IF($D1072&lt;&gt;0,SUMIF(куб!$D:$D,$D1072,куб!K:K),IF($C1072&lt;&gt;0,SUMIF(куб!$C:$C,$C1072,куб!K:K),IF($B1072&lt;&gt;0,SUMIF(куб!$B:$B,$B1072,куб!K:K))))))</f>
        <v>0</v>
      </c>
      <c r="R1072" s="13" t="str">
        <f t="shared" si="331"/>
        <v>-</v>
      </c>
      <c r="S1072" s="5"/>
      <c r="T1072" s="27" t="b">
        <f>IF($G1072&lt;&gt;0,SUMIF(куб!$G:$G,$G1072,куб!L:L),IF($E1072&lt;&gt;0,SUMIF(куб!$E:$E,$E1072,куб!L:L),IF($D1072&lt;&gt;0,SUMIF(куб!$D:$D,$D1072,куб!L:L),IF($C1072&lt;&gt;0,SUMIF(куб!$C:$C,$C1072,куб!L:L),IF($B1072&lt;&gt;0,SUMIF(куб!$B:$B,$B1072,куб!L:L))))))</f>
        <v>0</v>
      </c>
      <c r="U1072" s="27" t="b">
        <f>IF($G1072&lt;&gt;0,SUMIF(куб!$G:$G,$G1072,куб!M:M),IF($E1072&lt;&gt;0,SUMIF(куб!$E:$E,$E1072,куб!M:M),IF($D1072&lt;&gt;0,SUMIF(куб!$D:$D,$D1072,куб!M:M),IF($C1072&lt;&gt;0,SUMIF(куб!$C:$C,$C1072,куб!M:M),IF($B1072&lt;&gt;0,SUMIF(куб!$B:$B,$B1072,куб!M:M))))))</f>
        <v>0</v>
      </c>
      <c r="V1072" s="13" t="str">
        <f t="shared" si="332"/>
        <v>-</v>
      </c>
      <c r="W1072" s="5"/>
      <c r="X1072" s="27" t="b">
        <f>IF($G1072&lt;&gt;0,SUMIF(куб!$G:$G,$G1072,куб!N:N),IF($E1072&lt;&gt;0,SUMIF(куб!$E:$E,$E1072,куб!N:N),IF($D1072&lt;&gt;0,SUMIF(куб!$D:$D,$D1072,куб!N:N),IF($C1072&lt;&gt;0,SUMIF(куб!$C:$C,$C1072,куб!N:N),IF($B1072&lt;&gt;0,SUMIF(куб!$B:$B,$B1072,куб!N:N))))))</f>
        <v>0</v>
      </c>
      <c r="Y1072" s="27" t="b">
        <f>IF($G1072&lt;&gt;0,SUMIF(куб!$G:$G,$G1072,куб!O:O),IF($E1072&lt;&gt;0,SUMIF(куб!$E:$E,$E1072,куб!O:O),IF($D1072&lt;&gt;0,SUMIF(куб!$D:$D,$D1072,куб!O:O),IF($C1072&lt;&gt;0,SUMIF(куб!$C:$C,$C1072,куб!O:O),IF($B1072&lt;&gt;0,SUMIF(куб!$B:$B,$B1072,куб!O:O))))))</f>
        <v>0</v>
      </c>
      <c r="Z1072" s="13" t="str">
        <f t="shared" si="333"/>
        <v>-</v>
      </c>
      <c r="AA1072" s="5"/>
      <c r="AB1072" s="33" t="str">
        <f t="shared" si="334"/>
        <v/>
      </c>
      <c r="AC1072" s="33" t="str">
        <f t="shared" si="335"/>
        <v/>
      </c>
      <c r="AD1072" s="15" t="str">
        <f t="shared" si="336"/>
        <v xml:space="preserve"> </v>
      </c>
      <c r="AE1072" s="5"/>
      <c r="AF1072" s="27" t="b">
        <f>IF($G1072&lt;&gt;0,SUMIF(куб!$G:$G,$G1072,куб!R:R),IF($E1072&lt;&gt;0,SUMIF(куб!$E:$E,$E1072,куб!R:R),IF($D1072&lt;&gt;0,SUMIF(куб!$D:$D,$D1072,куб!R:R),IF($C1072&lt;&gt;0,SUMIF(куб!$C:$C,$C1072,куб!R:R),IF($B1072&lt;&gt;0,SUMIF(куб!$B:$B,$B1072,куб!R:R))))))</f>
        <v>0</v>
      </c>
      <c r="AG1072" s="27" t="b">
        <f>IF($G1072&lt;&gt;0,SUMIF(куб!$G:$G,$G1072,куб!S:S),IF($E1072&lt;&gt;0,SUMIF(куб!$E:$E,$E1072,куб!S:S),IF($D1072&lt;&gt;0,SUMIF(куб!$D:$D,$D1072,куб!S:S),IF($C1072&lt;&gt;0,SUMIF(куб!$C:$C,$C1072,куб!S:S),IF($B1072&lt;&gt;0,SUMIF(куб!$B:$B,$B1072,куб!S:S))))))</f>
        <v>0</v>
      </c>
      <c r="AH1072" s="16" t="str">
        <f t="shared" si="337"/>
        <v>-</v>
      </c>
      <c r="AI1072" s="8"/>
      <c r="AJ1072" s="27" t="b">
        <f>IF($G1072&lt;&gt;0,SUMIF(куб!$G:$G,$G1072,куб!T:T),IF($E1072&lt;&gt;0,SUMIF(куб!$E:$E,$E1072,куб!T:T),IF($D1072&lt;&gt;0,SUMIF(куб!$D:$D,$D1072,куб!T:T),IF($C1072&lt;&gt;0,SUMIF(куб!$C:$C,$C1072,куб!T:T),IF($B1072&lt;&gt;0,SUMIF(куб!$B:$B,$B1072,куб!T:T))))))</f>
        <v>0</v>
      </c>
      <c r="AK1072" s="27" t="b">
        <f>IF($G1072&lt;&gt;0,SUMIF(куб!$G:$G,$G1072,куб!U:U),IF($E1072&lt;&gt;0,SUMIF(куб!$E:$E,$E1072,куб!U:U),IF($D1072&lt;&gt;0,SUMIF(куб!$D:$D,$D1072,куб!U:U),IF($C1072&lt;&gt;0,SUMIF(куб!$C:$C,$C1072,куб!U:U),IF($B1072&lt;&gt;0,SUMIF(куб!$B:$B,$B1072,куб!U:U))))))</f>
        <v>0</v>
      </c>
      <c r="AL1072" s="16" t="str">
        <f t="shared" si="338"/>
        <v>-</v>
      </c>
      <c r="AM1072" s="8"/>
      <c r="AN1072" s="17" t="str">
        <f t="shared" si="339"/>
        <v xml:space="preserve"> </v>
      </c>
      <c r="AO1072" s="17" t="str">
        <f t="shared" si="340"/>
        <v xml:space="preserve"> </v>
      </c>
      <c r="AP1072" s="16" t="str">
        <f t="shared" si="341"/>
        <v>-</v>
      </c>
      <c r="AQ1072" s="8"/>
      <c r="AR1072" s="17" t="str">
        <f t="shared" si="342"/>
        <v>-</v>
      </c>
      <c r="AS1072" s="17" t="str">
        <f t="shared" si="343"/>
        <v>-</v>
      </c>
      <c r="AT1072" s="13" t="str">
        <f t="shared" si="344"/>
        <v>-</v>
      </c>
      <c r="AU1072" s="8"/>
    </row>
    <row r="1073" spans="8:47" x14ac:dyDescent="0.25">
      <c r="H1073" s="27">
        <f>IF($G1073&lt;&gt;0,SUMIF(куб!$G:$G,$G1073,куб!H:H),IF($E1073&lt;&gt;0,SUMIF(куб!$E:$E,$E1073,куб!H:H),IF($D1073&lt;&gt;0,SUMIF(куб!$D:$D,$D1073,куб!H:H),IF($C1073&lt;&gt;0,SUMIF(куб!$C:$C,$C1073,куб!H:H),IF($B1073&lt;&gt;0,SUMIF(куб!$B:$B,$B1073,куб!H:H),IF($G1073&lt;&gt;0,SUMIF(куб!$A:$A,$G1073,куб!H:H),SUMIF(куб!$A:$A,$G1073,куб!H:H)))))))</f>
        <v>0</v>
      </c>
      <c r="I1073" s="27">
        <f>IF($G1073&lt;&gt;0,SUMIF(куб!$G:$G,$G1073,куб!I:I),IF($E1073&lt;&gt;0,SUMIF(куб!$E:$E,$E1073,куб!I:I),IF($D1073&lt;&gt;0,SUMIF(куб!$D:$D,$D1073,куб!I:I),IF($C1073&lt;&gt;0,SUMIF(куб!$C:$C,$C1073,куб!I:I),IF($B1073&lt;&gt;0,SUMIF(куб!$B:$B,$B1073,куб!I:I),IF($G1073&lt;&gt;0,SUMIF(куб!$A:$A,$G1073,куб!I:I),SUMIF(куб!$A:$A,$G1073,куб!I:I)))))))</f>
        <v>0</v>
      </c>
      <c r="J1073" s="19" t="str">
        <f t="shared" si="327"/>
        <v>-</v>
      </c>
      <c r="K1073" s="8"/>
      <c r="L1073" s="17">
        <f t="shared" si="328"/>
        <v>0</v>
      </c>
      <c r="M1073" s="17">
        <f t="shared" si="329"/>
        <v>0</v>
      </c>
      <c r="N1073" s="12">
        <f t="shared" si="330"/>
        <v>0</v>
      </c>
      <c r="O1073" s="5"/>
      <c r="P1073" s="27" t="b">
        <f>IF($G1073&lt;&gt;0,SUMIF(куб!$G:$G,$G1073,куб!J:J),IF($E1073&lt;&gt;0,SUMIF(куб!$E:$E,$E1073,куб!J:J),IF($D1073&lt;&gt;0,SUMIF(куб!$D:$D,$D1073,куб!J:J),IF($C1073&lt;&gt;0,SUMIF(куб!$C:$C,$C1073,куб!J:J),IF($B1073&lt;&gt;0,SUMIF(куб!$B:$B,$B1073,куб!J:J))))))</f>
        <v>0</v>
      </c>
      <c r="Q1073" s="27" t="b">
        <f>IF($G1073&lt;&gt;0,SUMIF(куб!$G:$G,$G1073,куб!K:K),IF($E1073&lt;&gt;0,SUMIF(куб!$E:$E,$E1073,куб!K:K),IF($D1073&lt;&gt;0,SUMIF(куб!$D:$D,$D1073,куб!K:K),IF($C1073&lt;&gt;0,SUMIF(куб!$C:$C,$C1073,куб!K:K),IF($B1073&lt;&gt;0,SUMIF(куб!$B:$B,$B1073,куб!K:K))))))</f>
        <v>0</v>
      </c>
      <c r="R1073" s="13" t="str">
        <f t="shared" si="331"/>
        <v>-</v>
      </c>
      <c r="S1073" s="5"/>
      <c r="T1073" s="27" t="b">
        <f>IF($G1073&lt;&gt;0,SUMIF(куб!$G:$G,$G1073,куб!L:L),IF($E1073&lt;&gt;0,SUMIF(куб!$E:$E,$E1073,куб!L:L),IF($D1073&lt;&gt;0,SUMIF(куб!$D:$D,$D1073,куб!L:L),IF($C1073&lt;&gt;0,SUMIF(куб!$C:$C,$C1073,куб!L:L),IF($B1073&lt;&gt;0,SUMIF(куб!$B:$B,$B1073,куб!L:L))))))</f>
        <v>0</v>
      </c>
      <c r="U1073" s="27" t="b">
        <f>IF($G1073&lt;&gt;0,SUMIF(куб!$G:$G,$G1073,куб!M:M),IF($E1073&lt;&gt;0,SUMIF(куб!$E:$E,$E1073,куб!M:M),IF($D1073&lt;&gt;0,SUMIF(куб!$D:$D,$D1073,куб!M:M),IF($C1073&lt;&gt;0,SUMIF(куб!$C:$C,$C1073,куб!M:M),IF($B1073&lt;&gt;0,SUMIF(куб!$B:$B,$B1073,куб!M:M))))))</f>
        <v>0</v>
      </c>
      <c r="V1073" s="13" t="str">
        <f t="shared" si="332"/>
        <v>-</v>
      </c>
      <c r="W1073" s="5"/>
      <c r="X1073" s="27" t="b">
        <f>IF($G1073&lt;&gt;0,SUMIF(куб!$G:$G,$G1073,куб!N:N),IF($E1073&lt;&gt;0,SUMIF(куб!$E:$E,$E1073,куб!N:N),IF($D1073&lt;&gt;0,SUMIF(куб!$D:$D,$D1073,куб!N:N),IF($C1073&lt;&gt;0,SUMIF(куб!$C:$C,$C1073,куб!N:N),IF($B1073&lt;&gt;0,SUMIF(куб!$B:$B,$B1073,куб!N:N))))))</f>
        <v>0</v>
      </c>
      <c r="Y1073" s="27" t="b">
        <f>IF($G1073&lt;&gt;0,SUMIF(куб!$G:$G,$G1073,куб!O:O),IF($E1073&lt;&gt;0,SUMIF(куб!$E:$E,$E1073,куб!O:O),IF($D1073&lt;&gt;0,SUMIF(куб!$D:$D,$D1073,куб!O:O),IF($C1073&lt;&gt;0,SUMIF(куб!$C:$C,$C1073,куб!O:O),IF($B1073&lt;&gt;0,SUMIF(куб!$B:$B,$B1073,куб!O:O))))))</f>
        <v>0</v>
      </c>
      <c r="Z1073" s="13" t="str">
        <f t="shared" si="333"/>
        <v>-</v>
      </c>
      <c r="AA1073" s="5"/>
      <c r="AB1073" s="33" t="str">
        <f t="shared" si="334"/>
        <v/>
      </c>
      <c r="AC1073" s="33" t="str">
        <f t="shared" si="335"/>
        <v/>
      </c>
      <c r="AD1073" s="15" t="str">
        <f t="shared" si="336"/>
        <v xml:space="preserve"> </v>
      </c>
      <c r="AE1073" s="5"/>
      <c r="AF1073" s="27" t="b">
        <f>IF($G1073&lt;&gt;0,SUMIF(куб!$G:$G,$G1073,куб!R:R),IF($E1073&lt;&gt;0,SUMIF(куб!$E:$E,$E1073,куб!R:R),IF($D1073&lt;&gt;0,SUMIF(куб!$D:$D,$D1073,куб!R:R),IF($C1073&lt;&gt;0,SUMIF(куб!$C:$C,$C1073,куб!R:R),IF($B1073&lt;&gt;0,SUMIF(куб!$B:$B,$B1073,куб!R:R))))))</f>
        <v>0</v>
      </c>
      <c r="AG1073" s="27" t="b">
        <f>IF($G1073&lt;&gt;0,SUMIF(куб!$G:$G,$G1073,куб!S:S),IF($E1073&lt;&gt;0,SUMIF(куб!$E:$E,$E1073,куб!S:S),IF($D1073&lt;&gt;0,SUMIF(куб!$D:$D,$D1073,куб!S:S),IF($C1073&lt;&gt;0,SUMIF(куб!$C:$C,$C1073,куб!S:S),IF($B1073&lt;&gt;0,SUMIF(куб!$B:$B,$B1073,куб!S:S))))))</f>
        <v>0</v>
      </c>
      <c r="AH1073" s="16" t="str">
        <f t="shared" si="337"/>
        <v>-</v>
      </c>
      <c r="AI1073" s="8"/>
      <c r="AJ1073" s="27" t="b">
        <f>IF($G1073&lt;&gt;0,SUMIF(куб!$G:$G,$G1073,куб!T:T),IF($E1073&lt;&gt;0,SUMIF(куб!$E:$E,$E1073,куб!T:T),IF($D1073&lt;&gt;0,SUMIF(куб!$D:$D,$D1073,куб!T:T),IF($C1073&lt;&gt;0,SUMIF(куб!$C:$C,$C1073,куб!T:T),IF($B1073&lt;&gt;0,SUMIF(куб!$B:$B,$B1073,куб!T:T))))))</f>
        <v>0</v>
      </c>
      <c r="AK1073" s="27" t="b">
        <f>IF($G1073&lt;&gt;0,SUMIF(куб!$G:$G,$G1073,куб!U:U),IF($E1073&lt;&gt;0,SUMIF(куб!$E:$E,$E1073,куб!U:U),IF($D1073&lt;&gt;0,SUMIF(куб!$D:$D,$D1073,куб!U:U),IF($C1073&lt;&gt;0,SUMIF(куб!$C:$C,$C1073,куб!U:U),IF($B1073&lt;&gt;0,SUMIF(куб!$B:$B,$B1073,куб!U:U))))))</f>
        <v>0</v>
      </c>
      <c r="AL1073" s="16" t="str">
        <f t="shared" si="338"/>
        <v>-</v>
      </c>
      <c r="AM1073" s="8"/>
      <c r="AN1073" s="17" t="str">
        <f t="shared" si="339"/>
        <v xml:space="preserve"> </v>
      </c>
      <c r="AO1073" s="17" t="str">
        <f t="shared" si="340"/>
        <v xml:space="preserve"> </v>
      </c>
      <c r="AP1073" s="16" t="str">
        <f t="shared" si="341"/>
        <v>-</v>
      </c>
      <c r="AQ1073" s="8"/>
      <c r="AR1073" s="17" t="str">
        <f t="shared" si="342"/>
        <v>-</v>
      </c>
      <c r="AS1073" s="17" t="str">
        <f t="shared" si="343"/>
        <v>-</v>
      </c>
      <c r="AT1073" s="13" t="str">
        <f t="shared" si="344"/>
        <v>-</v>
      </c>
      <c r="AU1073" s="8"/>
    </row>
    <row r="1074" spans="8:47" x14ac:dyDescent="0.25">
      <c r="H1074" s="27">
        <f>IF($G1074&lt;&gt;0,SUMIF(куб!$G:$G,$G1074,куб!H:H),IF($E1074&lt;&gt;0,SUMIF(куб!$E:$E,$E1074,куб!H:H),IF($D1074&lt;&gt;0,SUMIF(куб!$D:$D,$D1074,куб!H:H),IF($C1074&lt;&gt;0,SUMIF(куб!$C:$C,$C1074,куб!H:H),IF($B1074&lt;&gt;0,SUMIF(куб!$B:$B,$B1074,куб!H:H),IF($G1074&lt;&gt;0,SUMIF(куб!$A:$A,$G1074,куб!H:H),SUMIF(куб!$A:$A,$G1074,куб!H:H)))))))</f>
        <v>0</v>
      </c>
      <c r="I1074" s="27">
        <f>IF($G1074&lt;&gt;0,SUMIF(куб!$G:$G,$G1074,куб!I:I),IF($E1074&lt;&gt;0,SUMIF(куб!$E:$E,$E1074,куб!I:I),IF($D1074&lt;&gt;0,SUMIF(куб!$D:$D,$D1074,куб!I:I),IF($C1074&lt;&gt;0,SUMIF(куб!$C:$C,$C1074,куб!I:I),IF($B1074&lt;&gt;0,SUMIF(куб!$B:$B,$B1074,куб!I:I),IF($G1074&lt;&gt;0,SUMIF(куб!$A:$A,$G1074,куб!I:I),SUMIF(куб!$A:$A,$G1074,куб!I:I)))))))</f>
        <v>0</v>
      </c>
      <c r="J1074" s="19" t="str">
        <f t="shared" si="327"/>
        <v>-</v>
      </c>
      <c r="K1074" s="8"/>
      <c r="L1074" s="17">
        <f t="shared" si="328"/>
        <v>0</v>
      </c>
      <c r="M1074" s="17">
        <f t="shared" si="329"/>
        <v>0</v>
      </c>
      <c r="N1074" s="12">
        <f t="shared" si="330"/>
        <v>0</v>
      </c>
      <c r="O1074" s="5"/>
      <c r="P1074" s="27" t="b">
        <f>IF($G1074&lt;&gt;0,SUMIF(куб!$G:$G,$G1074,куб!J:J),IF($E1074&lt;&gt;0,SUMIF(куб!$E:$E,$E1074,куб!J:J),IF($D1074&lt;&gt;0,SUMIF(куб!$D:$D,$D1074,куб!J:J),IF($C1074&lt;&gt;0,SUMIF(куб!$C:$C,$C1074,куб!J:J),IF($B1074&lt;&gt;0,SUMIF(куб!$B:$B,$B1074,куб!J:J))))))</f>
        <v>0</v>
      </c>
      <c r="Q1074" s="27" t="b">
        <f>IF($G1074&lt;&gt;0,SUMIF(куб!$G:$G,$G1074,куб!K:K),IF($E1074&lt;&gt;0,SUMIF(куб!$E:$E,$E1074,куб!K:K),IF($D1074&lt;&gt;0,SUMIF(куб!$D:$D,$D1074,куб!K:K),IF($C1074&lt;&gt;0,SUMIF(куб!$C:$C,$C1074,куб!K:K),IF($B1074&lt;&gt;0,SUMIF(куб!$B:$B,$B1074,куб!K:K))))))</f>
        <v>0</v>
      </c>
      <c r="R1074" s="13" t="str">
        <f t="shared" si="331"/>
        <v>-</v>
      </c>
      <c r="S1074" s="5"/>
      <c r="T1074" s="27" t="b">
        <f>IF($G1074&lt;&gt;0,SUMIF(куб!$G:$G,$G1074,куб!L:L),IF($E1074&lt;&gt;0,SUMIF(куб!$E:$E,$E1074,куб!L:L),IF($D1074&lt;&gt;0,SUMIF(куб!$D:$D,$D1074,куб!L:L),IF($C1074&lt;&gt;0,SUMIF(куб!$C:$C,$C1074,куб!L:L),IF($B1074&lt;&gt;0,SUMIF(куб!$B:$B,$B1074,куб!L:L))))))</f>
        <v>0</v>
      </c>
      <c r="U1074" s="27" t="b">
        <f>IF($G1074&lt;&gt;0,SUMIF(куб!$G:$G,$G1074,куб!M:M),IF($E1074&lt;&gt;0,SUMIF(куб!$E:$E,$E1074,куб!M:M),IF($D1074&lt;&gt;0,SUMIF(куб!$D:$D,$D1074,куб!M:M),IF($C1074&lt;&gt;0,SUMIF(куб!$C:$C,$C1074,куб!M:M),IF($B1074&lt;&gt;0,SUMIF(куб!$B:$B,$B1074,куб!M:M))))))</f>
        <v>0</v>
      </c>
      <c r="V1074" s="13" t="str">
        <f t="shared" si="332"/>
        <v>-</v>
      </c>
      <c r="W1074" s="5"/>
      <c r="X1074" s="27" t="b">
        <f>IF($G1074&lt;&gt;0,SUMIF(куб!$G:$G,$G1074,куб!N:N),IF($E1074&lt;&gt;0,SUMIF(куб!$E:$E,$E1074,куб!N:N),IF($D1074&lt;&gt;0,SUMIF(куб!$D:$D,$D1074,куб!N:N),IF($C1074&lt;&gt;0,SUMIF(куб!$C:$C,$C1074,куб!N:N),IF($B1074&lt;&gt;0,SUMIF(куб!$B:$B,$B1074,куб!N:N))))))</f>
        <v>0</v>
      </c>
      <c r="Y1074" s="27" t="b">
        <f>IF($G1074&lt;&gt;0,SUMIF(куб!$G:$G,$G1074,куб!O:O),IF($E1074&lt;&gt;0,SUMIF(куб!$E:$E,$E1074,куб!O:O),IF($D1074&lt;&gt;0,SUMIF(куб!$D:$D,$D1074,куб!O:O),IF($C1074&lt;&gt;0,SUMIF(куб!$C:$C,$C1074,куб!O:O),IF($B1074&lt;&gt;0,SUMIF(куб!$B:$B,$B1074,куб!O:O))))))</f>
        <v>0</v>
      </c>
      <c r="Z1074" s="13" t="str">
        <f t="shared" si="333"/>
        <v>-</v>
      </c>
      <c r="AA1074" s="5"/>
      <c r="AB1074" s="33" t="str">
        <f t="shared" si="334"/>
        <v/>
      </c>
      <c r="AC1074" s="33" t="str">
        <f t="shared" si="335"/>
        <v/>
      </c>
      <c r="AD1074" s="15" t="str">
        <f t="shared" si="336"/>
        <v xml:space="preserve"> </v>
      </c>
      <c r="AE1074" s="5"/>
      <c r="AF1074" s="27" t="b">
        <f>IF($G1074&lt;&gt;0,SUMIF(куб!$G:$G,$G1074,куб!R:R),IF($E1074&lt;&gt;0,SUMIF(куб!$E:$E,$E1074,куб!R:R),IF($D1074&lt;&gt;0,SUMIF(куб!$D:$D,$D1074,куб!R:R),IF($C1074&lt;&gt;0,SUMIF(куб!$C:$C,$C1074,куб!R:R),IF($B1074&lt;&gt;0,SUMIF(куб!$B:$B,$B1074,куб!R:R))))))</f>
        <v>0</v>
      </c>
      <c r="AG1074" s="27" t="b">
        <f>IF($G1074&lt;&gt;0,SUMIF(куб!$G:$G,$G1074,куб!S:S),IF($E1074&lt;&gt;0,SUMIF(куб!$E:$E,$E1074,куб!S:S),IF($D1074&lt;&gt;0,SUMIF(куб!$D:$D,$D1074,куб!S:S),IF($C1074&lt;&gt;0,SUMIF(куб!$C:$C,$C1074,куб!S:S),IF($B1074&lt;&gt;0,SUMIF(куб!$B:$B,$B1074,куб!S:S))))))</f>
        <v>0</v>
      </c>
      <c r="AH1074" s="16" t="str">
        <f t="shared" si="337"/>
        <v>-</v>
      </c>
      <c r="AI1074" s="8"/>
      <c r="AJ1074" s="27" t="b">
        <f>IF($G1074&lt;&gt;0,SUMIF(куб!$G:$G,$G1074,куб!T:T),IF($E1074&lt;&gt;0,SUMIF(куб!$E:$E,$E1074,куб!T:T),IF($D1074&lt;&gt;0,SUMIF(куб!$D:$D,$D1074,куб!T:T),IF($C1074&lt;&gt;0,SUMIF(куб!$C:$C,$C1074,куб!T:T),IF($B1074&lt;&gt;0,SUMIF(куб!$B:$B,$B1074,куб!T:T))))))</f>
        <v>0</v>
      </c>
      <c r="AK1074" s="27" t="b">
        <f>IF($G1074&lt;&gt;0,SUMIF(куб!$G:$G,$G1074,куб!U:U),IF($E1074&lt;&gt;0,SUMIF(куб!$E:$E,$E1074,куб!U:U),IF($D1074&lt;&gt;0,SUMIF(куб!$D:$D,$D1074,куб!U:U),IF($C1074&lt;&gt;0,SUMIF(куб!$C:$C,$C1074,куб!U:U),IF($B1074&lt;&gt;0,SUMIF(куб!$B:$B,$B1074,куб!U:U))))))</f>
        <v>0</v>
      </c>
      <c r="AL1074" s="16" t="str">
        <f t="shared" si="338"/>
        <v>-</v>
      </c>
      <c r="AM1074" s="8"/>
      <c r="AN1074" s="17" t="str">
        <f t="shared" si="339"/>
        <v xml:space="preserve"> </v>
      </c>
      <c r="AO1074" s="17" t="str">
        <f t="shared" si="340"/>
        <v xml:space="preserve"> </v>
      </c>
      <c r="AP1074" s="16" t="str">
        <f t="shared" si="341"/>
        <v>-</v>
      </c>
      <c r="AQ1074" s="8"/>
      <c r="AR1074" s="17" t="str">
        <f t="shared" si="342"/>
        <v>-</v>
      </c>
      <c r="AS1074" s="17" t="str">
        <f t="shared" si="343"/>
        <v>-</v>
      </c>
      <c r="AT1074" s="13" t="str">
        <f t="shared" si="344"/>
        <v>-</v>
      </c>
      <c r="AU1074" s="8"/>
    </row>
    <row r="1075" spans="8:47" x14ac:dyDescent="0.25">
      <c r="H1075" s="27">
        <f>IF($G1075&lt;&gt;0,SUMIF(куб!$G:$G,$G1075,куб!H:H),IF($E1075&lt;&gt;0,SUMIF(куб!$E:$E,$E1075,куб!H:H),IF($D1075&lt;&gt;0,SUMIF(куб!$D:$D,$D1075,куб!H:H),IF($C1075&lt;&gt;0,SUMIF(куб!$C:$C,$C1075,куб!H:H),IF($B1075&lt;&gt;0,SUMIF(куб!$B:$B,$B1075,куб!H:H),IF($G1075&lt;&gt;0,SUMIF(куб!$A:$A,$G1075,куб!H:H),SUMIF(куб!$A:$A,$G1075,куб!H:H)))))))</f>
        <v>0</v>
      </c>
      <c r="I1075" s="27">
        <f>IF($G1075&lt;&gt;0,SUMIF(куб!$G:$G,$G1075,куб!I:I),IF($E1075&lt;&gt;0,SUMIF(куб!$E:$E,$E1075,куб!I:I),IF($D1075&lt;&gt;0,SUMIF(куб!$D:$D,$D1075,куб!I:I),IF($C1075&lt;&gt;0,SUMIF(куб!$C:$C,$C1075,куб!I:I),IF($B1075&lt;&gt;0,SUMIF(куб!$B:$B,$B1075,куб!I:I),IF($G1075&lt;&gt;0,SUMIF(куб!$A:$A,$G1075,куб!I:I),SUMIF(куб!$A:$A,$G1075,куб!I:I)))))))</f>
        <v>0</v>
      </c>
      <c r="J1075" s="19" t="str">
        <f t="shared" si="327"/>
        <v>-</v>
      </c>
      <c r="K1075" s="8"/>
      <c r="L1075" s="17">
        <f t="shared" si="328"/>
        <v>0</v>
      </c>
      <c r="M1075" s="17">
        <f t="shared" si="329"/>
        <v>0</v>
      </c>
      <c r="N1075" s="12">
        <f t="shared" si="330"/>
        <v>0</v>
      </c>
      <c r="O1075" s="5"/>
      <c r="P1075" s="27" t="b">
        <f>IF($G1075&lt;&gt;0,SUMIF(куб!$G:$G,$G1075,куб!J:J),IF($E1075&lt;&gt;0,SUMIF(куб!$E:$E,$E1075,куб!J:J),IF($D1075&lt;&gt;0,SUMIF(куб!$D:$D,$D1075,куб!J:J),IF($C1075&lt;&gt;0,SUMIF(куб!$C:$C,$C1075,куб!J:J),IF($B1075&lt;&gt;0,SUMIF(куб!$B:$B,$B1075,куб!J:J))))))</f>
        <v>0</v>
      </c>
      <c r="Q1075" s="27" t="b">
        <f>IF($G1075&lt;&gt;0,SUMIF(куб!$G:$G,$G1075,куб!K:K),IF($E1075&lt;&gt;0,SUMIF(куб!$E:$E,$E1075,куб!K:K),IF($D1075&lt;&gt;0,SUMIF(куб!$D:$D,$D1075,куб!K:K),IF($C1075&lt;&gt;0,SUMIF(куб!$C:$C,$C1075,куб!K:K),IF($B1075&lt;&gt;0,SUMIF(куб!$B:$B,$B1075,куб!K:K))))))</f>
        <v>0</v>
      </c>
      <c r="R1075" s="13" t="str">
        <f t="shared" si="331"/>
        <v>-</v>
      </c>
      <c r="S1075" s="5"/>
      <c r="T1075" s="27" t="b">
        <f>IF($G1075&lt;&gt;0,SUMIF(куб!$G:$G,$G1075,куб!L:L),IF($E1075&lt;&gt;0,SUMIF(куб!$E:$E,$E1075,куб!L:L),IF($D1075&lt;&gt;0,SUMIF(куб!$D:$D,$D1075,куб!L:L),IF($C1075&lt;&gt;0,SUMIF(куб!$C:$C,$C1075,куб!L:L),IF($B1075&lt;&gt;0,SUMIF(куб!$B:$B,$B1075,куб!L:L))))))</f>
        <v>0</v>
      </c>
      <c r="U1075" s="27" t="b">
        <f>IF($G1075&lt;&gt;0,SUMIF(куб!$G:$G,$G1075,куб!M:M),IF($E1075&lt;&gt;0,SUMIF(куб!$E:$E,$E1075,куб!M:M),IF($D1075&lt;&gt;0,SUMIF(куб!$D:$D,$D1075,куб!M:M),IF($C1075&lt;&gt;0,SUMIF(куб!$C:$C,$C1075,куб!M:M),IF($B1075&lt;&gt;0,SUMIF(куб!$B:$B,$B1075,куб!M:M))))))</f>
        <v>0</v>
      </c>
      <c r="V1075" s="13" t="str">
        <f t="shared" si="332"/>
        <v>-</v>
      </c>
      <c r="W1075" s="5"/>
      <c r="X1075" s="27" t="b">
        <f>IF($G1075&lt;&gt;0,SUMIF(куб!$G:$G,$G1075,куб!N:N),IF($E1075&lt;&gt;0,SUMIF(куб!$E:$E,$E1075,куб!N:N),IF($D1075&lt;&gt;0,SUMIF(куб!$D:$D,$D1075,куб!N:N),IF($C1075&lt;&gt;0,SUMIF(куб!$C:$C,$C1075,куб!N:N),IF($B1075&lt;&gt;0,SUMIF(куб!$B:$B,$B1075,куб!N:N))))))</f>
        <v>0</v>
      </c>
      <c r="Y1075" s="27" t="b">
        <f>IF($G1075&lt;&gt;0,SUMIF(куб!$G:$G,$G1075,куб!O:O),IF($E1075&lt;&gt;0,SUMIF(куб!$E:$E,$E1075,куб!O:O),IF($D1075&lt;&gt;0,SUMIF(куб!$D:$D,$D1075,куб!O:O),IF($C1075&lt;&gt;0,SUMIF(куб!$C:$C,$C1075,куб!O:O),IF($B1075&lt;&gt;0,SUMIF(куб!$B:$B,$B1075,куб!O:O))))))</f>
        <v>0</v>
      </c>
      <c r="Z1075" s="13" t="str">
        <f t="shared" si="333"/>
        <v>-</v>
      </c>
      <c r="AA1075" s="5"/>
      <c r="AB1075" s="33" t="str">
        <f t="shared" si="334"/>
        <v/>
      </c>
      <c r="AC1075" s="33" t="str">
        <f t="shared" si="335"/>
        <v/>
      </c>
      <c r="AD1075" s="15" t="str">
        <f t="shared" si="336"/>
        <v xml:space="preserve"> </v>
      </c>
      <c r="AE1075" s="5"/>
      <c r="AF1075" s="27" t="b">
        <f>IF($G1075&lt;&gt;0,SUMIF(куб!$G:$G,$G1075,куб!R:R),IF($E1075&lt;&gt;0,SUMIF(куб!$E:$E,$E1075,куб!R:R),IF($D1075&lt;&gt;0,SUMIF(куб!$D:$D,$D1075,куб!R:R),IF($C1075&lt;&gt;0,SUMIF(куб!$C:$C,$C1075,куб!R:R),IF($B1075&lt;&gt;0,SUMIF(куб!$B:$B,$B1075,куб!R:R))))))</f>
        <v>0</v>
      </c>
      <c r="AG1075" s="27" t="b">
        <f>IF($G1075&lt;&gt;0,SUMIF(куб!$G:$G,$G1075,куб!S:S),IF($E1075&lt;&gt;0,SUMIF(куб!$E:$E,$E1075,куб!S:S),IF($D1075&lt;&gt;0,SUMIF(куб!$D:$D,$D1075,куб!S:S),IF($C1075&lt;&gt;0,SUMIF(куб!$C:$C,$C1075,куб!S:S),IF($B1075&lt;&gt;0,SUMIF(куб!$B:$B,$B1075,куб!S:S))))))</f>
        <v>0</v>
      </c>
      <c r="AH1075" s="16" t="str">
        <f t="shared" si="337"/>
        <v>-</v>
      </c>
      <c r="AI1075" s="8"/>
      <c r="AJ1075" s="27" t="b">
        <f>IF($G1075&lt;&gt;0,SUMIF(куб!$G:$G,$G1075,куб!T:T),IF($E1075&lt;&gt;0,SUMIF(куб!$E:$E,$E1075,куб!T:T),IF($D1075&lt;&gt;0,SUMIF(куб!$D:$D,$D1075,куб!T:T),IF($C1075&lt;&gt;0,SUMIF(куб!$C:$C,$C1075,куб!T:T),IF($B1075&lt;&gt;0,SUMIF(куб!$B:$B,$B1075,куб!T:T))))))</f>
        <v>0</v>
      </c>
      <c r="AK1075" s="27" t="b">
        <f>IF($G1075&lt;&gt;0,SUMIF(куб!$G:$G,$G1075,куб!U:U),IF($E1075&lt;&gt;0,SUMIF(куб!$E:$E,$E1075,куб!U:U),IF($D1075&lt;&gt;0,SUMIF(куб!$D:$D,$D1075,куб!U:U),IF($C1075&lt;&gt;0,SUMIF(куб!$C:$C,$C1075,куб!U:U),IF($B1075&lt;&gt;0,SUMIF(куб!$B:$B,$B1075,куб!U:U))))))</f>
        <v>0</v>
      </c>
      <c r="AL1075" s="16" t="str">
        <f t="shared" si="338"/>
        <v>-</v>
      </c>
      <c r="AM1075" s="8"/>
      <c r="AN1075" s="17" t="str">
        <f t="shared" si="339"/>
        <v xml:space="preserve"> </v>
      </c>
      <c r="AO1075" s="17" t="str">
        <f t="shared" si="340"/>
        <v xml:space="preserve"> </v>
      </c>
      <c r="AP1075" s="16" t="str">
        <f t="shared" si="341"/>
        <v>-</v>
      </c>
      <c r="AQ1075" s="8"/>
      <c r="AR1075" s="17" t="str">
        <f t="shared" si="342"/>
        <v>-</v>
      </c>
      <c r="AS1075" s="17" t="str">
        <f t="shared" si="343"/>
        <v>-</v>
      </c>
      <c r="AT1075" s="13" t="str">
        <f t="shared" si="344"/>
        <v>-</v>
      </c>
      <c r="AU1075" s="8"/>
    </row>
    <row r="1076" spans="8:47" x14ac:dyDescent="0.25">
      <c r="H1076" s="27">
        <f>IF($G1076&lt;&gt;0,SUMIF(куб!$G:$G,$G1076,куб!H:H),IF($E1076&lt;&gt;0,SUMIF(куб!$E:$E,$E1076,куб!H:H),IF($D1076&lt;&gt;0,SUMIF(куб!$D:$D,$D1076,куб!H:H),IF($C1076&lt;&gt;0,SUMIF(куб!$C:$C,$C1076,куб!H:H),IF($B1076&lt;&gt;0,SUMIF(куб!$B:$B,$B1076,куб!H:H),IF($G1076&lt;&gt;0,SUMIF(куб!$A:$A,$G1076,куб!H:H),SUMIF(куб!$A:$A,$G1076,куб!H:H)))))))</f>
        <v>0</v>
      </c>
      <c r="I1076" s="27">
        <f>IF($G1076&lt;&gt;0,SUMIF(куб!$G:$G,$G1076,куб!I:I),IF($E1076&lt;&gt;0,SUMIF(куб!$E:$E,$E1076,куб!I:I),IF($D1076&lt;&gt;0,SUMIF(куб!$D:$D,$D1076,куб!I:I),IF($C1076&lt;&gt;0,SUMIF(куб!$C:$C,$C1076,куб!I:I),IF($B1076&lt;&gt;0,SUMIF(куб!$B:$B,$B1076,куб!I:I),IF($G1076&lt;&gt;0,SUMIF(куб!$A:$A,$G1076,куб!I:I),SUMIF(куб!$A:$A,$G1076,куб!I:I)))))))</f>
        <v>0</v>
      </c>
      <c r="J1076" s="19" t="str">
        <f t="shared" si="327"/>
        <v>-</v>
      </c>
      <c r="K1076" s="8"/>
      <c r="L1076" s="17">
        <f t="shared" si="328"/>
        <v>0</v>
      </c>
      <c r="M1076" s="17">
        <f t="shared" si="329"/>
        <v>0</v>
      </c>
      <c r="N1076" s="12">
        <f t="shared" si="330"/>
        <v>0</v>
      </c>
      <c r="O1076" s="5"/>
      <c r="P1076" s="27" t="b">
        <f>IF($G1076&lt;&gt;0,SUMIF(куб!$G:$G,$G1076,куб!J:J),IF($E1076&lt;&gt;0,SUMIF(куб!$E:$E,$E1076,куб!J:J),IF($D1076&lt;&gt;0,SUMIF(куб!$D:$D,$D1076,куб!J:J),IF($C1076&lt;&gt;0,SUMIF(куб!$C:$C,$C1076,куб!J:J),IF($B1076&lt;&gt;0,SUMIF(куб!$B:$B,$B1076,куб!J:J))))))</f>
        <v>0</v>
      </c>
      <c r="Q1076" s="27" t="b">
        <f>IF($G1076&lt;&gt;0,SUMIF(куб!$G:$G,$G1076,куб!K:K),IF($E1076&lt;&gt;0,SUMIF(куб!$E:$E,$E1076,куб!K:K),IF($D1076&lt;&gt;0,SUMIF(куб!$D:$D,$D1076,куб!K:K),IF($C1076&lt;&gt;0,SUMIF(куб!$C:$C,$C1076,куб!K:K),IF($B1076&lt;&gt;0,SUMIF(куб!$B:$B,$B1076,куб!K:K))))))</f>
        <v>0</v>
      </c>
      <c r="R1076" s="13" t="str">
        <f t="shared" si="331"/>
        <v>-</v>
      </c>
      <c r="S1076" s="5"/>
      <c r="T1076" s="27" t="b">
        <f>IF($G1076&lt;&gt;0,SUMIF(куб!$G:$G,$G1076,куб!L:L),IF($E1076&lt;&gt;0,SUMIF(куб!$E:$E,$E1076,куб!L:L),IF($D1076&lt;&gt;0,SUMIF(куб!$D:$D,$D1076,куб!L:L),IF($C1076&lt;&gt;0,SUMIF(куб!$C:$C,$C1076,куб!L:L),IF($B1076&lt;&gt;0,SUMIF(куб!$B:$B,$B1076,куб!L:L))))))</f>
        <v>0</v>
      </c>
      <c r="U1076" s="27" t="b">
        <f>IF($G1076&lt;&gt;0,SUMIF(куб!$G:$G,$G1076,куб!M:M),IF($E1076&lt;&gt;0,SUMIF(куб!$E:$E,$E1076,куб!M:M),IF($D1076&lt;&gt;0,SUMIF(куб!$D:$D,$D1076,куб!M:M),IF($C1076&lt;&gt;0,SUMIF(куб!$C:$C,$C1076,куб!M:M),IF($B1076&lt;&gt;0,SUMIF(куб!$B:$B,$B1076,куб!M:M))))))</f>
        <v>0</v>
      </c>
      <c r="V1076" s="13" t="str">
        <f t="shared" si="332"/>
        <v>-</v>
      </c>
      <c r="W1076" s="5"/>
      <c r="X1076" s="27" t="b">
        <f>IF($G1076&lt;&gt;0,SUMIF(куб!$G:$G,$G1076,куб!N:N),IF($E1076&lt;&gt;0,SUMIF(куб!$E:$E,$E1076,куб!N:N),IF($D1076&lt;&gt;0,SUMIF(куб!$D:$D,$D1076,куб!N:N),IF($C1076&lt;&gt;0,SUMIF(куб!$C:$C,$C1076,куб!N:N),IF($B1076&lt;&gt;0,SUMIF(куб!$B:$B,$B1076,куб!N:N))))))</f>
        <v>0</v>
      </c>
      <c r="Y1076" s="27" t="b">
        <f>IF($G1076&lt;&gt;0,SUMIF(куб!$G:$G,$G1076,куб!O:O),IF($E1076&lt;&gt;0,SUMIF(куб!$E:$E,$E1076,куб!O:O),IF($D1076&lt;&gt;0,SUMIF(куб!$D:$D,$D1076,куб!O:O),IF($C1076&lt;&gt;0,SUMIF(куб!$C:$C,$C1076,куб!O:O),IF($B1076&lt;&gt;0,SUMIF(куб!$B:$B,$B1076,куб!O:O))))))</f>
        <v>0</v>
      </c>
      <c r="Z1076" s="13" t="str">
        <f t="shared" si="333"/>
        <v>-</v>
      </c>
      <c r="AA1076" s="5"/>
      <c r="AB1076" s="33" t="str">
        <f t="shared" si="334"/>
        <v/>
      </c>
      <c r="AC1076" s="33" t="str">
        <f t="shared" si="335"/>
        <v/>
      </c>
      <c r="AD1076" s="15" t="str">
        <f t="shared" si="336"/>
        <v xml:space="preserve"> </v>
      </c>
      <c r="AE1076" s="5"/>
      <c r="AF1076" s="27" t="b">
        <f>IF($G1076&lt;&gt;0,SUMIF(куб!$G:$G,$G1076,куб!R:R),IF($E1076&lt;&gt;0,SUMIF(куб!$E:$E,$E1076,куб!R:R),IF($D1076&lt;&gt;0,SUMIF(куб!$D:$D,$D1076,куб!R:R),IF($C1076&lt;&gt;0,SUMIF(куб!$C:$C,$C1076,куб!R:R),IF($B1076&lt;&gt;0,SUMIF(куб!$B:$B,$B1076,куб!R:R))))))</f>
        <v>0</v>
      </c>
      <c r="AG1076" s="27" t="b">
        <f>IF($G1076&lt;&gt;0,SUMIF(куб!$G:$G,$G1076,куб!S:S),IF($E1076&lt;&gt;0,SUMIF(куб!$E:$E,$E1076,куб!S:S),IF($D1076&lt;&gt;0,SUMIF(куб!$D:$D,$D1076,куб!S:S),IF($C1076&lt;&gt;0,SUMIF(куб!$C:$C,$C1076,куб!S:S),IF($B1076&lt;&gt;0,SUMIF(куб!$B:$B,$B1076,куб!S:S))))))</f>
        <v>0</v>
      </c>
      <c r="AH1076" s="16" t="str">
        <f t="shared" si="337"/>
        <v>-</v>
      </c>
      <c r="AI1076" s="8"/>
      <c r="AJ1076" s="27" t="b">
        <f>IF($G1076&lt;&gt;0,SUMIF(куб!$G:$G,$G1076,куб!T:T),IF($E1076&lt;&gt;0,SUMIF(куб!$E:$E,$E1076,куб!T:T),IF($D1076&lt;&gt;0,SUMIF(куб!$D:$D,$D1076,куб!T:T),IF($C1076&lt;&gt;0,SUMIF(куб!$C:$C,$C1076,куб!T:T),IF($B1076&lt;&gt;0,SUMIF(куб!$B:$B,$B1076,куб!T:T))))))</f>
        <v>0</v>
      </c>
      <c r="AK1076" s="27" t="b">
        <f>IF($G1076&lt;&gt;0,SUMIF(куб!$G:$G,$G1076,куб!U:U),IF($E1076&lt;&gt;0,SUMIF(куб!$E:$E,$E1076,куб!U:U),IF($D1076&lt;&gt;0,SUMIF(куб!$D:$D,$D1076,куб!U:U),IF($C1076&lt;&gt;0,SUMIF(куб!$C:$C,$C1076,куб!U:U),IF($B1076&lt;&gt;0,SUMIF(куб!$B:$B,$B1076,куб!U:U))))))</f>
        <v>0</v>
      </c>
      <c r="AL1076" s="16" t="str">
        <f t="shared" si="338"/>
        <v>-</v>
      </c>
      <c r="AM1076" s="8"/>
      <c r="AN1076" s="17" t="str">
        <f t="shared" si="339"/>
        <v xml:space="preserve"> </v>
      </c>
      <c r="AO1076" s="17" t="str">
        <f t="shared" si="340"/>
        <v xml:space="preserve"> </v>
      </c>
      <c r="AP1076" s="16" t="str">
        <f t="shared" si="341"/>
        <v>-</v>
      </c>
      <c r="AQ1076" s="8"/>
      <c r="AR1076" s="17" t="str">
        <f t="shared" si="342"/>
        <v>-</v>
      </c>
      <c r="AS1076" s="17" t="str">
        <f t="shared" si="343"/>
        <v>-</v>
      </c>
      <c r="AT1076" s="13" t="str">
        <f t="shared" si="344"/>
        <v>-</v>
      </c>
      <c r="AU1076" s="8"/>
    </row>
    <row r="1077" spans="8:47" x14ac:dyDescent="0.25">
      <c r="H1077" s="27">
        <f>IF($G1077&lt;&gt;0,SUMIF(куб!$G:$G,$G1077,куб!H:H),IF($E1077&lt;&gt;0,SUMIF(куб!$E:$E,$E1077,куб!H:H),IF($D1077&lt;&gt;0,SUMIF(куб!$D:$D,$D1077,куб!H:H),IF($C1077&lt;&gt;0,SUMIF(куб!$C:$C,$C1077,куб!H:H),IF($B1077&lt;&gt;0,SUMIF(куб!$B:$B,$B1077,куб!H:H),IF($G1077&lt;&gt;0,SUMIF(куб!$A:$A,$G1077,куб!H:H),SUMIF(куб!$A:$A,$G1077,куб!H:H)))))))</f>
        <v>0</v>
      </c>
      <c r="I1077" s="27">
        <f>IF($G1077&lt;&gt;0,SUMIF(куб!$G:$G,$G1077,куб!I:I),IF($E1077&lt;&gt;0,SUMIF(куб!$E:$E,$E1077,куб!I:I),IF($D1077&lt;&gt;0,SUMIF(куб!$D:$D,$D1077,куб!I:I),IF($C1077&lt;&gt;0,SUMIF(куб!$C:$C,$C1077,куб!I:I),IF($B1077&lt;&gt;0,SUMIF(куб!$B:$B,$B1077,куб!I:I),IF($G1077&lt;&gt;0,SUMIF(куб!$A:$A,$G1077,куб!I:I),SUMIF(куб!$A:$A,$G1077,куб!I:I)))))))</f>
        <v>0</v>
      </c>
      <c r="J1077" s="19" t="str">
        <f t="shared" si="327"/>
        <v>-</v>
      </c>
      <c r="K1077" s="8"/>
      <c r="L1077" s="17">
        <f t="shared" si="328"/>
        <v>0</v>
      </c>
      <c r="M1077" s="17">
        <f t="shared" si="329"/>
        <v>0</v>
      </c>
      <c r="N1077" s="12">
        <f t="shared" si="330"/>
        <v>0</v>
      </c>
      <c r="O1077" s="5"/>
      <c r="P1077" s="27" t="b">
        <f>IF($G1077&lt;&gt;0,SUMIF(куб!$G:$G,$G1077,куб!J:J),IF($E1077&lt;&gt;0,SUMIF(куб!$E:$E,$E1077,куб!J:J),IF($D1077&lt;&gt;0,SUMIF(куб!$D:$D,$D1077,куб!J:J),IF($C1077&lt;&gt;0,SUMIF(куб!$C:$C,$C1077,куб!J:J),IF($B1077&lt;&gt;0,SUMIF(куб!$B:$B,$B1077,куб!J:J))))))</f>
        <v>0</v>
      </c>
      <c r="Q1077" s="27" t="b">
        <f>IF($G1077&lt;&gt;0,SUMIF(куб!$G:$G,$G1077,куб!K:K),IF($E1077&lt;&gt;0,SUMIF(куб!$E:$E,$E1077,куб!K:K),IF($D1077&lt;&gt;0,SUMIF(куб!$D:$D,$D1077,куб!K:K),IF($C1077&lt;&gt;0,SUMIF(куб!$C:$C,$C1077,куб!K:K),IF($B1077&lt;&gt;0,SUMIF(куб!$B:$B,$B1077,куб!K:K))))))</f>
        <v>0</v>
      </c>
      <c r="R1077" s="13" t="str">
        <f t="shared" si="331"/>
        <v>-</v>
      </c>
      <c r="S1077" s="5"/>
      <c r="T1077" s="27" t="b">
        <f>IF($G1077&lt;&gt;0,SUMIF(куб!$G:$G,$G1077,куб!L:L),IF($E1077&lt;&gt;0,SUMIF(куб!$E:$E,$E1077,куб!L:L),IF($D1077&lt;&gt;0,SUMIF(куб!$D:$D,$D1077,куб!L:L),IF($C1077&lt;&gt;0,SUMIF(куб!$C:$C,$C1077,куб!L:L),IF($B1077&lt;&gt;0,SUMIF(куб!$B:$B,$B1077,куб!L:L))))))</f>
        <v>0</v>
      </c>
      <c r="U1077" s="27" t="b">
        <f>IF($G1077&lt;&gt;0,SUMIF(куб!$G:$G,$G1077,куб!M:M),IF($E1077&lt;&gt;0,SUMIF(куб!$E:$E,$E1077,куб!M:M),IF($D1077&lt;&gt;0,SUMIF(куб!$D:$D,$D1077,куб!M:M),IF($C1077&lt;&gt;0,SUMIF(куб!$C:$C,$C1077,куб!M:M),IF($B1077&lt;&gt;0,SUMIF(куб!$B:$B,$B1077,куб!M:M))))))</f>
        <v>0</v>
      </c>
      <c r="V1077" s="13" t="str">
        <f t="shared" si="332"/>
        <v>-</v>
      </c>
      <c r="W1077" s="5"/>
      <c r="X1077" s="27" t="b">
        <f>IF($G1077&lt;&gt;0,SUMIF(куб!$G:$G,$G1077,куб!N:N),IF($E1077&lt;&gt;0,SUMIF(куб!$E:$E,$E1077,куб!N:N),IF($D1077&lt;&gt;0,SUMIF(куб!$D:$D,$D1077,куб!N:N),IF($C1077&lt;&gt;0,SUMIF(куб!$C:$C,$C1077,куб!N:N),IF($B1077&lt;&gt;0,SUMIF(куб!$B:$B,$B1077,куб!N:N))))))</f>
        <v>0</v>
      </c>
      <c r="Y1077" s="27" t="b">
        <f>IF($G1077&lt;&gt;0,SUMIF(куб!$G:$G,$G1077,куб!O:O),IF($E1077&lt;&gt;0,SUMIF(куб!$E:$E,$E1077,куб!O:O),IF($D1077&lt;&gt;0,SUMIF(куб!$D:$D,$D1077,куб!O:O),IF($C1077&lt;&gt;0,SUMIF(куб!$C:$C,$C1077,куб!O:O),IF($B1077&lt;&gt;0,SUMIF(куб!$B:$B,$B1077,куб!O:O))))))</f>
        <v>0</v>
      </c>
      <c r="Z1077" s="13" t="str">
        <f t="shared" si="333"/>
        <v>-</v>
      </c>
      <c r="AA1077" s="5"/>
      <c r="AB1077" s="33" t="str">
        <f t="shared" si="334"/>
        <v/>
      </c>
      <c r="AC1077" s="33" t="str">
        <f t="shared" si="335"/>
        <v/>
      </c>
      <c r="AD1077" s="15" t="str">
        <f t="shared" si="336"/>
        <v xml:space="preserve"> </v>
      </c>
      <c r="AE1077" s="5"/>
      <c r="AF1077" s="27" t="b">
        <f>IF($G1077&lt;&gt;0,SUMIF(куб!$G:$G,$G1077,куб!R:R),IF($E1077&lt;&gt;0,SUMIF(куб!$E:$E,$E1077,куб!R:R),IF($D1077&lt;&gt;0,SUMIF(куб!$D:$D,$D1077,куб!R:R),IF($C1077&lt;&gt;0,SUMIF(куб!$C:$C,$C1077,куб!R:R),IF($B1077&lt;&gt;0,SUMIF(куб!$B:$B,$B1077,куб!R:R))))))</f>
        <v>0</v>
      </c>
      <c r="AG1077" s="27" t="b">
        <f>IF($G1077&lt;&gt;0,SUMIF(куб!$G:$G,$G1077,куб!S:S),IF($E1077&lt;&gt;0,SUMIF(куб!$E:$E,$E1077,куб!S:S),IF($D1077&lt;&gt;0,SUMIF(куб!$D:$D,$D1077,куб!S:S),IF($C1077&lt;&gt;0,SUMIF(куб!$C:$C,$C1077,куб!S:S),IF($B1077&lt;&gt;0,SUMIF(куб!$B:$B,$B1077,куб!S:S))))))</f>
        <v>0</v>
      </c>
      <c r="AH1077" s="16" t="str">
        <f t="shared" si="337"/>
        <v>-</v>
      </c>
      <c r="AI1077" s="8"/>
      <c r="AJ1077" s="27" t="b">
        <f>IF($G1077&lt;&gt;0,SUMIF(куб!$G:$G,$G1077,куб!T:T),IF($E1077&lt;&gt;0,SUMIF(куб!$E:$E,$E1077,куб!T:T),IF($D1077&lt;&gt;0,SUMIF(куб!$D:$D,$D1077,куб!T:T),IF($C1077&lt;&gt;0,SUMIF(куб!$C:$C,$C1077,куб!T:T),IF($B1077&lt;&gt;0,SUMIF(куб!$B:$B,$B1077,куб!T:T))))))</f>
        <v>0</v>
      </c>
      <c r="AK1077" s="27" t="b">
        <f>IF($G1077&lt;&gt;0,SUMIF(куб!$G:$G,$G1077,куб!U:U),IF($E1077&lt;&gt;0,SUMIF(куб!$E:$E,$E1077,куб!U:U),IF($D1077&lt;&gt;0,SUMIF(куб!$D:$D,$D1077,куб!U:U),IF($C1077&lt;&gt;0,SUMIF(куб!$C:$C,$C1077,куб!U:U),IF($B1077&lt;&gt;0,SUMIF(куб!$B:$B,$B1077,куб!U:U))))))</f>
        <v>0</v>
      </c>
      <c r="AL1077" s="16" t="str">
        <f t="shared" si="338"/>
        <v>-</v>
      </c>
      <c r="AM1077" s="8"/>
      <c r="AN1077" s="17" t="str">
        <f t="shared" si="339"/>
        <v xml:space="preserve"> </v>
      </c>
      <c r="AO1077" s="17" t="str">
        <f t="shared" si="340"/>
        <v xml:space="preserve"> </v>
      </c>
      <c r="AP1077" s="16" t="str">
        <f t="shared" si="341"/>
        <v>-</v>
      </c>
      <c r="AQ1077" s="8"/>
      <c r="AR1077" s="17" t="str">
        <f t="shared" si="342"/>
        <v>-</v>
      </c>
      <c r="AS1077" s="17" t="str">
        <f t="shared" si="343"/>
        <v>-</v>
      </c>
      <c r="AT1077" s="13" t="str">
        <f t="shared" si="344"/>
        <v>-</v>
      </c>
      <c r="AU1077" s="8"/>
    </row>
    <row r="1078" spans="8:47" x14ac:dyDescent="0.25">
      <c r="H1078" s="27">
        <f>IF($G1078&lt;&gt;0,SUMIF(куб!$G:$G,$G1078,куб!H:H),IF($E1078&lt;&gt;0,SUMIF(куб!$E:$E,$E1078,куб!H:H),IF($D1078&lt;&gt;0,SUMIF(куб!$D:$D,$D1078,куб!H:H),IF($C1078&lt;&gt;0,SUMIF(куб!$C:$C,$C1078,куб!H:H),IF($B1078&lt;&gt;0,SUMIF(куб!$B:$B,$B1078,куб!H:H),IF($G1078&lt;&gt;0,SUMIF(куб!$A:$A,$G1078,куб!H:H),SUMIF(куб!$A:$A,$G1078,куб!H:H)))))))</f>
        <v>0</v>
      </c>
      <c r="I1078" s="27">
        <f>IF($G1078&lt;&gt;0,SUMIF(куб!$G:$G,$G1078,куб!I:I),IF($E1078&lt;&gt;0,SUMIF(куб!$E:$E,$E1078,куб!I:I),IF($D1078&lt;&gt;0,SUMIF(куб!$D:$D,$D1078,куб!I:I),IF($C1078&lt;&gt;0,SUMIF(куб!$C:$C,$C1078,куб!I:I),IF($B1078&lt;&gt;0,SUMIF(куб!$B:$B,$B1078,куб!I:I),IF($G1078&lt;&gt;0,SUMIF(куб!$A:$A,$G1078,куб!I:I),SUMIF(куб!$A:$A,$G1078,куб!I:I)))))))</f>
        <v>0</v>
      </c>
      <c r="J1078" s="19" t="str">
        <f t="shared" si="327"/>
        <v>-</v>
      </c>
      <c r="K1078" s="8"/>
      <c r="L1078" s="17">
        <f t="shared" si="328"/>
        <v>0</v>
      </c>
      <c r="M1078" s="17">
        <f t="shared" si="329"/>
        <v>0</v>
      </c>
      <c r="N1078" s="12">
        <f t="shared" si="330"/>
        <v>0</v>
      </c>
      <c r="O1078" s="5"/>
      <c r="P1078" s="27" t="b">
        <f>IF($G1078&lt;&gt;0,SUMIF(куб!$G:$G,$G1078,куб!J:J),IF($E1078&lt;&gt;0,SUMIF(куб!$E:$E,$E1078,куб!J:J),IF($D1078&lt;&gt;0,SUMIF(куб!$D:$D,$D1078,куб!J:J),IF($C1078&lt;&gt;0,SUMIF(куб!$C:$C,$C1078,куб!J:J),IF($B1078&lt;&gt;0,SUMIF(куб!$B:$B,$B1078,куб!J:J))))))</f>
        <v>0</v>
      </c>
      <c r="Q1078" s="27" t="b">
        <f>IF($G1078&lt;&gt;0,SUMIF(куб!$G:$G,$G1078,куб!K:K),IF($E1078&lt;&gt;0,SUMIF(куб!$E:$E,$E1078,куб!K:K),IF($D1078&lt;&gt;0,SUMIF(куб!$D:$D,$D1078,куб!K:K),IF($C1078&lt;&gt;0,SUMIF(куб!$C:$C,$C1078,куб!K:K),IF($B1078&lt;&gt;0,SUMIF(куб!$B:$B,$B1078,куб!K:K))))))</f>
        <v>0</v>
      </c>
      <c r="R1078" s="13" t="str">
        <f t="shared" si="331"/>
        <v>-</v>
      </c>
      <c r="S1078" s="5"/>
      <c r="T1078" s="27" t="b">
        <f>IF($G1078&lt;&gt;0,SUMIF(куб!$G:$G,$G1078,куб!L:L),IF($E1078&lt;&gt;0,SUMIF(куб!$E:$E,$E1078,куб!L:L),IF($D1078&lt;&gt;0,SUMIF(куб!$D:$D,$D1078,куб!L:L),IF($C1078&lt;&gt;0,SUMIF(куб!$C:$C,$C1078,куб!L:L),IF($B1078&lt;&gt;0,SUMIF(куб!$B:$B,$B1078,куб!L:L))))))</f>
        <v>0</v>
      </c>
      <c r="U1078" s="27" t="b">
        <f>IF($G1078&lt;&gt;0,SUMIF(куб!$G:$G,$G1078,куб!M:M),IF($E1078&lt;&gt;0,SUMIF(куб!$E:$E,$E1078,куб!M:M),IF($D1078&lt;&gt;0,SUMIF(куб!$D:$D,$D1078,куб!M:M),IF($C1078&lt;&gt;0,SUMIF(куб!$C:$C,$C1078,куб!M:M),IF($B1078&lt;&gt;0,SUMIF(куб!$B:$B,$B1078,куб!M:M))))))</f>
        <v>0</v>
      </c>
      <c r="V1078" s="13" t="str">
        <f t="shared" si="332"/>
        <v>-</v>
      </c>
      <c r="W1078" s="5"/>
      <c r="X1078" s="27" t="b">
        <f>IF($G1078&lt;&gt;0,SUMIF(куб!$G:$G,$G1078,куб!N:N),IF($E1078&lt;&gt;0,SUMIF(куб!$E:$E,$E1078,куб!N:N),IF($D1078&lt;&gt;0,SUMIF(куб!$D:$D,$D1078,куб!N:N),IF($C1078&lt;&gt;0,SUMIF(куб!$C:$C,$C1078,куб!N:N),IF($B1078&lt;&gt;0,SUMIF(куб!$B:$B,$B1078,куб!N:N))))))</f>
        <v>0</v>
      </c>
      <c r="Y1078" s="27" t="b">
        <f>IF($G1078&lt;&gt;0,SUMIF(куб!$G:$G,$G1078,куб!O:O),IF($E1078&lt;&gt;0,SUMIF(куб!$E:$E,$E1078,куб!O:O),IF($D1078&lt;&gt;0,SUMIF(куб!$D:$D,$D1078,куб!O:O),IF($C1078&lt;&gt;0,SUMIF(куб!$C:$C,$C1078,куб!O:O),IF($B1078&lt;&gt;0,SUMIF(куб!$B:$B,$B1078,куб!O:O))))))</f>
        <v>0</v>
      </c>
      <c r="Z1078" s="13" t="str">
        <f t="shared" si="333"/>
        <v>-</v>
      </c>
      <c r="AA1078" s="5"/>
      <c r="AB1078" s="33" t="str">
        <f t="shared" si="334"/>
        <v/>
      </c>
      <c r="AC1078" s="33" t="str">
        <f t="shared" si="335"/>
        <v/>
      </c>
      <c r="AD1078" s="15" t="str">
        <f t="shared" si="336"/>
        <v xml:space="preserve"> </v>
      </c>
      <c r="AE1078" s="5"/>
      <c r="AF1078" s="27" t="b">
        <f>IF($G1078&lt;&gt;0,SUMIF(куб!$G:$G,$G1078,куб!R:R),IF($E1078&lt;&gt;0,SUMIF(куб!$E:$E,$E1078,куб!R:R),IF($D1078&lt;&gt;0,SUMIF(куб!$D:$D,$D1078,куб!R:R),IF($C1078&lt;&gt;0,SUMIF(куб!$C:$C,$C1078,куб!R:R),IF($B1078&lt;&gt;0,SUMIF(куб!$B:$B,$B1078,куб!R:R))))))</f>
        <v>0</v>
      </c>
      <c r="AG1078" s="27" t="b">
        <f>IF($G1078&lt;&gt;0,SUMIF(куб!$G:$G,$G1078,куб!S:S),IF($E1078&lt;&gt;0,SUMIF(куб!$E:$E,$E1078,куб!S:S),IF($D1078&lt;&gt;0,SUMIF(куб!$D:$D,$D1078,куб!S:S),IF($C1078&lt;&gt;0,SUMIF(куб!$C:$C,$C1078,куб!S:S),IF($B1078&lt;&gt;0,SUMIF(куб!$B:$B,$B1078,куб!S:S))))))</f>
        <v>0</v>
      </c>
      <c r="AH1078" s="16" t="str">
        <f t="shared" si="337"/>
        <v>-</v>
      </c>
      <c r="AI1078" s="8"/>
      <c r="AJ1078" s="27" t="b">
        <f>IF($G1078&lt;&gt;0,SUMIF(куб!$G:$G,$G1078,куб!T:T),IF($E1078&lt;&gt;0,SUMIF(куб!$E:$E,$E1078,куб!T:T),IF($D1078&lt;&gt;0,SUMIF(куб!$D:$D,$D1078,куб!T:T),IF($C1078&lt;&gt;0,SUMIF(куб!$C:$C,$C1078,куб!T:T),IF($B1078&lt;&gt;0,SUMIF(куб!$B:$B,$B1078,куб!T:T))))))</f>
        <v>0</v>
      </c>
      <c r="AK1078" s="27" t="b">
        <f>IF($G1078&lt;&gt;0,SUMIF(куб!$G:$G,$G1078,куб!U:U),IF($E1078&lt;&gt;0,SUMIF(куб!$E:$E,$E1078,куб!U:U),IF($D1078&lt;&gt;0,SUMIF(куб!$D:$D,$D1078,куб!U:U),IF($C1078&lt;&gt;0,SUMIF(куб!$C:$C,$C1078,куб!U:U),IF($B1078&lt;&gt;0,SUMIF(куб!$B:$B,$B1078,куб!U:U))))))</f>
        <v>0</v>
      </c>
      <c r="AL1078" s="16" t="str">
        <f t="shared" si="338"/>
        <v>-</v>
      </c>
      <c r="AM1078" s="8"/>
      <c r="AN1078" s="17" t="str">
        <f t="shared" si="339"/>
        <v xml:space="preserve"> </v>
      </c>
      <c r="AO1078" s="17" t="str">
        <f t="shared" si="340"/>
        <v xml:space="preserve"> </v>
      </c>
      <c r="AP1078" s="16" t="str">
        <f t="shared" si="341"/>
        <v>-</v>
      </c>
      <c r="AQ1078" s="8"/>
      <c r="AR1078" s="17" t="str">
        <f t="shared" si="342"/>
        <v>-</v>
      </c>
      <c r="AS1078" s="17" t="str">
        <f t="shared" si="343"/>
        <v>-</v>
      </c>
      <c r="AT1078" s="13" t="str">
        <f t="shared" si="344"/>
        <v>-</v>
      </c>
      <c r="AU1078" s="8"/>
    </row>
    <row r="1079" spans="8:47" x14ac:dyDescent="0.25">
      <c r="H1079" s="27">
        <f>IF($G1079&lt;&gt;0,SUMIF(куб!$G:$G,$G1079,куб!H:H),IF($E1079&lt;&gt;0,SUMIF(куб!$E:$E,$E1079,куб!H:H),IF($D1079&lt;&gt;0,SUMIF(куб!$D:$D,$D1079,куб!H:H),IF($C1079&lt;&gt;0,SUMIF(куб!$C:$C,$C1079,куб!H:H),IF($B1079&lt;&gt;0,SUMIF(куб!$B:$B,$B1079,куб!H:H),IF($G1079&lt;&gt;0,SUMIF(куб!$A:$A,$G1079,куб!H:H),SUMIF(куб!$A:$A,$G1079,куб!H:H)))))))</f>
        <v>0</v>
      </c>
      <c r="I1079" s="27">
        <f>IF($G1079&lt;&gt;0,SUMIF(куб!$G:$G,$G1079,куб!I:I),IF($E1079&lt;&gt;0,SUMIF(куб!$E:$E,$E1079,куб!I:I),IF($D1079&lt;&gt;0,SUMIF(куб!$D:$D,$D1079,куб!I:I),IF($C1079&lt;&gt;0,SUMIF(куб!$C:$C,$C1079,куб!I:I),IF($B1079&lt;&gt;0,SUMIF(куб!$B:$B,$B1079,куб!I:I),IF($G1079&lt;&gt;0,SUMIF(куб!$A:$A,$G1079,куб!I:I),SUMIF(куб!$A:$A,$G1079,куб!I:I)))))))</f>
        <v>0</v>
      </c>
      <c r="J1079" s="19" t="str">
        <f t="shared" si="327"/>
        <v>-</v>
      </c>
      <c r="K1079" s="8"/>
      <c r="L1079" s="17">
        <f t="shared" si="328"/>
        <v>0</v>
      </c>
      <c r="M1079" s="17">
        <f t="shared" si="329"/>
        <v>0</v>
      </c>
      <c r="N1079" s="12">
        <f t="shared" si="330"/>
        <v>0</v>
      </c>
      <c r="O1079" s="5"/>
      <c r="P1079" s="27" t="b">
        <f>IF($G1079&lt;&gt;0,SUMIF(куб!$G:$G,$G1079,куб!J:J),IF($E1079&lt;&gt;0,SUMIF(куб!$E:$E,$E1079,куб!J:J),IF($D1079&lt;&gt;0,SUMIF(куб!$D:$D,$D1079,куб!J:J),IF($C1079&lt;&gt;0,SUMIF(куб!$C:$C,$C1079,куб!J:J),IF($B1079&lt;&gt;0,SUMIF(куб!$B:$B,$B1079,куб!J:J))))))</f>
        <v>0</v>
      </c>
      <c r="Q1079" s="27" t="b">
        <f>IF($G1079&lt;&gt;0,SUMIF(куб!$G:$G,$G1079,куб!K:K),IF($E1079&lt;&gt;0,SUMIF(куб!$E:$E,$E1079,куб!K:K),IF($D1079&lt;&gt;0,SUMIF(куб!$D:$D,$D1079,куб!K:K),IF($C1079&lt;&gt;0,SUMIF(куб!$C:$C,$C1079,куб!K:K),IF($B1079&lt;&gt;0,SUMIF(куб!$B:$B,$B1079,куб!K:K))))))</f>
        <v>0</v>
      </c>
      <c r="R1079" s="13" t="str">
        <f t="shared" si="331"/>
        <v>-</v>
      </c>
      <c r="S1079" s="5"/>
      <c r="T1079" s="27" t="b">
        <f>IF($G1079&lt;&gt;0,SUMIF(куб!$G:$G,$G1079,куб!L:L),IF($E1079&lt;&gt;0,SUMIF(куб!$E:$E,$E1079,куб!L:L),IF($D1079&lt;&gt;0,SUMIF(куб!$D:$D,$D1079,куб!L:L),IF($C1079&lt;&gt;0,SUMIF(куб!$C:$C,$C1079,куб!L:L),IF($B1079&lt;&gt;0,SUMIF(куб!$B:$B,$B1079,куб!L:L))))))</f>
        <v>0</v>
      </c>
      <c r="U1079" s="27" t="b">
        <f>IF($G1079&lt;&gt;0,SUMIF(куб!$G:$G,$G1079,куб!M:M),IF($E1079&lt;&gt;0,SUMIF(куб!$E:$E,$E1079,куб!M:M),IF($D1079&lt;&gt;0,SUMIF(куб!$D:$D,$D1079,куб!M:M),IF($C1079&lt;&gt;0,SUMIF(куб!$C:$C,$C1079,куб!M:M),IF($B1079&lt;&gt;0,SUMIF(куб!$B:$B,$B1079,куб!M:M))))))</f>
        <v>0</v>
      </c>
      <c r="V1079" s="13" t="str">
        <f t="shared" si="332"/>
        <v>-</v>
      </c>
      <c r="W1079" s="5"/>
      <c r="X1079" s="27" t="b">
        <f>IF($G1079&lt;&gt;0,SUMIF(куб!$G:$G,$G1079,куб!N:N),IF($E1079&lt;&gt;0,SUMIF(куб!$E:$E,$E1079,куб!N:N),IF($D1079&lt;&gt;0,SUMIF(куб!$D:$D,$D1079,куб!N:N),IF($C1079&lt;&gt;0,SUMIF(куб!$C:$C,$C1079,куб!N:N),IF($B1079&lt;&gt;0,SUMIF(куб!$B:$B,$B1079,куб!N:N))))))</f>
        <v>0</v>
      </c>
      <c r="Y1079" s="27" t="b">
        <f>IF($G1079&lt;&gt;0,SUMIF(куб!$G:$G,$G1079,куб!O:O),IF($E1079&lt;&gt;0,SUMIF(куб!$E:$E,$E1079,куб!O:O),IF($D1079&lt;&gt;0,SUMIF(куб!$D:$D,$D1079,куб!O:O),IF($C1079&lt;&gt;0,SUMIF(куб!$C:$C,$C1079,куб!O:O),IF($B1079&lt;&gt;0,SUMIF(куб!$B:$B,$B1079,куб!O:O))))))</f>
        <v>0</v>
      </c>
      <c r="Z1079" s="13" t="str">
        <f t="shared" si="333"/>
        <v>-</v>
      </c>
      <c r="AA1079" s="5"/>
      <c r="AB1079" s="33" t="str">
        <f t="shared" si="334"/>
        <v/>
      </c>
      <c r="AC1079" s="33" t="str">
        <f t="shared" si="335"/>
        <v/>
      </c>
      <c r="AD1079" s="15" t="str">
        <f t="shared" si="336"/>
        <v xml:space="preserve"> </v>
      </c>
      <c r="AE1079" s="5"/>
      <c r="AF1079" s="27" t="b">
        <f>IF($G1079&lt;&gt;0,SUMIF(куб!$G:$G,$G1079,куб!R:R),IF($E1079&lt;&gt;0,SUMIF(куб!$E:$E,$E1079,куб!R:R),IF($D1079&lt;&gt;0,SUMIF(куб!$D:$D,$D1079,куб!R:R),IF($C1079&lt;&gt;0,SUMIF(куб!$C:$C,$C1079,куб!R:R),IF($B1079&lt;&gt;0,SUMIF(куб!$B:$B,$B1079,куб!R:R))))))</f>
        <v>0</v>
      </c>
      <c r="AG1079" s="27" t="b">
        <f>IF($G1079&lt;&gt;0,SUMIF(куб!$G:$G,$G1079,куб!S:S),IF($E1079&lt;&gt;0,SUMIF(куб!$E:$E,$E1079,куб!S:S),IF($D1079&lt;&gt;0,SUMIF(куб!$D:$D,$D1079,куб!S:S),IF($C1079&lt;&gt;0,SUMIF(куб!$C:$C,$C1079,куб!S:S),IF($B1079&lt;&gt;0,SUMIF(куб!$B:$B,$B1079,куб!S:S))))))</f>
        <v>0</v>
      </c>
      <c r="AH1079" s="16" t="str">
        <f t="shared" si="337"/>
        <v>-</v>
      </c>
      <c r="AI1079" s="8"/>
      <c r="AJ1079" s="27" t="b">
        <f>IF($G1079&lt;&gt;0,SUMIF(куб!$G:$G,$G1079,куб!T:T),IF($E1079&lt;&gt;0,SUMIF(куб!$E:$E,$E1079,куб!T:T),IF($D1079&lt;&gt;0,SUMIF(куб!$D:$D,$D1079,куб!T:T),IF($C1079&lt;&gt;0,SUMIF(куб!$C:$C,$C1079,куб!T:T),IF($B1079&lt;&gt;0,SUMIF(куб!$B:$B,$B1079,куб!T:T))))))</f>
        <v>0</v>
      </c>
      <c r="AK1079" s="27" t="b">
        <f>IF($G1079&lt;&gt;0,SUMIF(куб!$G:$G,$G1079,куб!U:U),IF($E1079&lt;&gt;0,SUMIF(куб!$E:$E,$E1079,куб!U:U),IF($D1079&lt;&gt;0,SUMIF(куб!$D:$D,$D1079,куб!U:U),IF($C1079&lt;&gt;0,SUMIF(куб!$C:$C,$C1079,куб!U:U),IF($B1079&lt;&gt;0,SUMIF(куб!$B:$B,$B1079,куб!U:U))))))</f>
        <v>0</v>
      </c>
      <c r="AL1079" s="16" t="str">
        <f t="shared" si="338"/>
        <v>-</v>
      </c>
      <c r="AM1079" s="8"/>
      <c r="AN1079" s="17" t="str">
        <f t="shared" si="339"/>
        <v xml:space="preserve"> </v>
      </c>
      <c r="AO1079" s="17" t="str">
        <f t="shared" si="340"/>
        <v xml:space="preserve"> </v>
      </c>
      <c r="AP1079" s="16" t="str">
        <f t="shared" si="341"/>
        <v>-</v>
      </c>
      <c r="AQ1079" s="8"/>
      <c r="AR1079" s="17" t="str">
        <f t="shared" si="342"/>
        <v>-</v>
      </c>
      <c r="AS1079" s="17" t="str">
        <f t="shared" si="343"/>
        <v>-</v>
      </c>
      <c r="AT1079" s="13" t="str">
        <f t="shared" si="344"/>
        <v>-</v>
      </c>
      <c r="AU1079" s="8"/>
    </row>
    <row r="1080" spans="8:47" x14ac:dyDescent="0.25">
      <c r="H1080" s="27">
        <f>IF($G1080&lt;&gt;0,SUMIF(куб!$G:$G,$G1080,куб!H:H),IF($E1080&lt;&gt;0,SUMIF(куб!$E:$E,$E1080,куб!H:H),IF($D1080&lt;&gt;0,SUMIF(куб!$D:$D,$D1080,куб!H:H),IF($C1080&lt;&gt;0,SUMIF(куб!$C:$C,$C1080,куб!H:H),IF($B1080&lt;&gt;0,SUMIF(куб!$B:$B,$B1080,куб!H:H),IF($G1080&lt;&gt;0,SUMIF(куб!$A:$A,$G1080,куб!H:H),SUMIF(куб!$A:$A,$G1080,куб!H:H)))))))</f>
        <v>0</v>
      </c>
      <c r="I1080" s="27">
        <f>IF($G1080&lt;&gt;0,SUMIF(куб!$G:$G,$G1080,куб!I:I),IF($E1080&lt;&gt;0,SUMIF(куб!$E:$E,$E1080,куб!I:I),IF($D1080&lt;&gt;0,SUMIF(куб!$D:$D,$D1080,куб!I:I),IF($C1080&lt;&gt;0,SUMIF(куб!$C:$C,$C1080,куб!I:I),IF($B1080&lt;&gt;0,SUMIF(куб!$B:$B,$B1080,куб!I:I),IF($G1080&lt;&gt;0,SUMIF(куб!$A:$A,$G1080,куб!I:I),SUMIF(куб!$A:$A,$G1080,куб!I:I)))))))</f>
        <v>0</v>
      </c>
      <c r="J1080" s="19" t="str">
        <f t="shared" ref="J1080:J1143" si="345">IFERROR((I1080-H1080)/ABS(H1080),"-")</f>
        <v>-</v>
      </c>
      <c r="K1080" s="8"/>
      <c r="L1080" s="17">
        <f t="shared" ref="L1080:L1143" si="346">H1080/$H$3</f>
        <v>0</v>
      </c>
      <c r="M1080" s="17">
        <f t="shared" ref="M1080:M1143" si="347">I1080/$I$3</f>
        <v>0</v>
      </c>
      <c r="N1080" s="12">
        <f t="shared" ref="N1080:N1143" si="348">M1080-L1080</f>
        <v>0</v>
      </c>
      <c r="O1080" s="5"/>
      <c r="P1080" s="27" t="b">
        <f>IF($G1080&lt;&gt;0,SUMIF(куб!$G:$G,$G1080,куб!J:J),IF($E1080&lt;&gt;0,SUMIF(куб!$E:$E,$E1080,куб!J:J),IF($D1080&lt;&gt;0,SUMIF(куб!$D:$D,$D1080,куб!J:J),IF($C1080&lt;&gt;0,SUMIF(куб!$C:$C,$C1080,куб!J:J),IF($B1080&lt;&gt;0,SUMIF(куб!$B:$B,$B1080,куб!J:J))))))</f>
        <v>0</v>
      </c>
      <c r="Q1080" s="27" t="b">
        <f>IF($G1080&lt;&gt;0,SUMIF(куб!$G:$G,$G1080,куб!K:K),IF($E1080&lt;&gt;0,SUMIF(куб!$E:$E,$E1080,куб!K:K),IF($D1080&lt;&gt;0,SUMIF(куб!$D:$D,$D1080,куб!K:K),IF($C1080&lt;&gt;0,SUMIF(куб!$C:$C,$C1080,куб!K:K),IF($B1080&lt;&gt;0,SUMIF(куб!$B:$B,$B1080,куб!K:K))))))</f>
        <v>0</v>
      </c>
      <c r="R1080" s="13" t="str">
        <f t="shared" ref="R1080:R1143" si="349">IFERROR((Q1080-P1080)/ABS(P1080),"-")</f>
        <v>-</v>
      </c>
      <c r="S1080" s="5"/>
      <c r="T1080" s="27" t="b">
        <f>IF($G1080&lt;&gt;0,SUMIF(куб!$G:$G,$G1080,куб!L:L),IF($E1080&lt;&gt;0,SUMIF(куб!$E:$E,$E1080,куб!L:L),IF($D1080&lt;&gt;0,SUMIF(куб!$D:$D,$D1080,куб!L:L),IF($C1080&lt;&gt;0,SUMIF(куб!$C:$C,$C1080,куб!L:L),IF($B1080&lt;&gt;0,SUMIF(куб!$B:$B,$B1080,куб!L:L))))))</f>
        <v>0</v>
      </c>
      <c r="U1080" s="27" t="b">
        <f>IF($G1080&lt;&gt;0,SUMIF(куб!$G:$G,$G1080,куб!M:M),IF($E1080&lt;&gt;0,SUMIF(куб!$E:$E,$E1080,куб!M:M),IF($D1080&lt;&gt;0,SUMIF(куб!$D:$D,$D1080,куб!M:M),IF($C1080&lt;&gt;0,SUMIF(куб!$C:$C,$C1080,куб!M:M),IF($B1080&lt;&gt;0,SUMIF(куб!$B:$B,$B1080,куб!M:M))))))</f>
        <v>0</v>
      </c>
      <c r="V1080" s="13" t="str">
        <f t="shared" ref="V1080:V1143" si="350">IFERROR((U1080-T1080)/ABS(T1080),"-")</f>
        <v>-</v>
      </c>
      <c r="W1080" s="5"/>
      <c r="X1080" s="27" t="b">
        <f>IF($G1080&lt;&gt;0,SUMIF(куб!$G:$G,$G1080,куб!N:N),IF($E1080&lt;&gt;0,SUMIF(куб!$E:$E,$E1080,куб!N:N),IF($D1080&lt;&gt;0,SUMIF(куб!$D:$D,$D1080,куб!N:N),IF($C1080&lt;&gt;0,SUMIF(куб!$C:$C,$C1080,куб!N:N),IF($B1080&lt;&gt;0,SUMIF(куб!$B:$B,$B1080,куб!N:N))))))</f>
        <v>0</v>
      </c>
      <c r="Y1080" s="27" t="b">
        <f>IF($G1080&lt;&gt;0,SUMIF(куб!$G:$G,$G1080,куб!O:O),IF($E1080&lt;&gt;0,SUMIF(куб!$E:$E,$E1080,куб!O:O),IF($D1080&lt;&gt;0,SUMIF(куб!$D:$D,$D1080,куб!O:O),IF($C1080&lt;&gt;0,SUMIF(куб!$C:$C,$C1080,куб!O:O),IF($B1080&lt;&gt;0,SUMIF(куб!$B:$B,$B1080,куб!O:O))))))</f>
        <v>0</v>
      </c>
      <c r="Z1080" s="13" t="str">
        <f t="shared" ref="Z1080:Z1143" si="351">IFERROR((Y1080-X1080)/ABS(X1080),"-")</f>
        <v>-</v>
      </c>
      <c r="AA1080" s="5"/>
      <c r="AB1080" s="33" t="str">
        <f t="shared" ref="AB1080:AB1143" si="352">IFERROR(X1080/H1080,"")</f>
        <v/>
      </c>
      <c r="AC1080" s="33" t="str">
        <f t="shared" ref="AC1080:AC1143" si="353">IFERROR(Y1080/I1080,"")</f>
        <v/>
      </c>
      <c r="AD1080" s="15" t="str">
        <f t="shared" ref="AD1080:AD1143" si="354">IFERROR(AC1080-AB1080," ")</f>
        <v xml:space="preserve"> </v>
      </c>
      <c r="AE1080" s="5"/>
      <c r="AF1080" s="27" t="b">
        <f>IF($G1080&lt;&gt;0,SUMIF(куб!$G:$G,$G1080,куб!R:R),IF($E1080&lt;&gt;0,SUMIF(куб!$E:$E,$E1080,куб!R:R),IF($D1080&lt;&gt;0,SUMIF(куб!$D:$D,$D1080,куб!R:R),IF($C1080&lt;&gt;0,SUMIF(куб!$C:$C,$C1080,куб!R:R),IF($B1080&lt;&gt;0,SUMIF(куб!$B:$B,$B1080,куб!R:R))))))</f>
        <v>0</v>
      </c>
      <c r="AG1080" s="27" t="b">
        <f>IF($G1080&lt;&gt;0,SUMIF(куб!$G:$G,$G1080,куб!S:S),IF($E1080&lt;&gt;0,SUMIF(куб!$E:$E,$E1080,куб!S:S),IF($D1080&lt;&gt;0,SUMIF(куб!$D:$D,$D1080,куб!S:S),IF($C1080&lt;&gt;0,SUMIF(куб!$C:$C,$C1080,куб!S:S),IF($B1080&lt;&gt;0,SUMIF(куб!$B:$B,$B1080,куб!S:S))))))</f>
        <v>0</v>
      </c>
      <c r="AH1080" s="16" t="str">
        <f t="shared" ref="AH1080:AH1143" si="355">IFERROR((AG1080-AF1080)/ABS(AF1080),"-")</f>
        <v>-</v>
      </c>
      <c r="AI1080" s="8"/>
      <c r="AJ1080" s="27" t="b">
        <f>IF($G1080&lt;&gt;0,SUMIF(куб!$G:$G,$G1080,куб!T:T),IF($E1080&lt;&gt;0,SUMIF(куб!$E:$E,$E1080,куб!T:T),IF($D1080&lt;&gt;0,SUMIF(куб!$D:$D,$D1080,куб!T:T),IF($C1080&lt;&gt;0,SUMIF(куб!$C:$C,$C1080,куб!T:T),IF($B1080&lt;&gt;0,SUMIF(куб!$B:$B,$B1080,куб!T:T))))))</f>
        <v>0</v>
      </c>
      <c r="AK1080" s="27" t="b">
        <f>IF($G1080&lt;&gt;0,SUMIF(куб!$G:$G,$G1080,куб!U:U),IF($E1080&lt;&gt;0,SUMIF(куб!$E:$E,$E1080,куб!U:U),IF($D1080&lt;&gt;0,SUMIF(куб!$D:$D,$D1080,куб!U:U),IF($C1080&lt;&gt;0,SUMIF(куб!$C:$C,$C1080,куб!U:U),IF($B1080&lt;&gt;0,SUMIF(куб!$B:$B,$B1080,куб!U:U))))))</f>
        <v>0</v>
      </c>
      <c r="AL1080" s="16" t="str">
        <f t="shared" ref="AL1080:AL1143" si="356">IFERROR((AK1080-AJ1080)/ABS(AJ1080),"-")</f>
        <v>-</v>
      </c>
      <c r="AM1080" s="8"/>
      <c r="AN1080" s="17" t="str">
        <f t="shared" ref="AN1080:AN1143" si="357">IFERROR(AF1080/H1080," ")</f>
        <v xml:space="preserve"> </v>
      </c>
      <c r="AO1080" s="17" t="str">
        <f t="shared" ref="AO1080:AO1143" si="358">IFERROR(AG1080/I1080," ")</f>
        <v xml:space="preserve"> </v>
      </c>
      <c r="AP1080" s="16" t="str">
        <f t="shared" ref="AP1080:AP1143" si="359">IFERROR(AO1080-AN1080,"-")</f>
        <v>-</v>
      </c>
      <c r="AQ1080" s="8"/>
      <c r="AR1080" s="17" t="str">
        <f t="shared" ref="AR1080:AR1143" si="360">IFERROR((X1080-AF1080)/H1080,"-")</f>
        <v>-</v>
      </c>
      <c r="AS1080" s="17" t="str">
        <f t="shared" ref="AS1080:AS1143" si="361">IFERROR((Y1080-AG1080)/I1080,"-")</f>
        <v>-</v>
      </c>
      <c r="AT1080" s="13" t="str">
        <f t="shared" ref="AT1080:AT1143" si="362">IFERROR(AS1080-AR1080,"-")</f>
        <v>-</v>
      </c>
      <c r="AU1080" s="8"/>
    </row>
    <row r="1081" spans="8:47" x14ac:dyDescent="0.25">
      <c r="H1081" s="27">
        <f>IF($G1081&lt;&gt;0,SUMIF(куб!$G:$G,$G1081,куб!H:H),IF($E1081&lt;&gt;0,SUMIF(куб!$E:$E,$E1081,куб!H:H),IF($D1081&lt;&gt;0,SUMIF(куб!$D:$D,$D1081,куб!H:H),IF($C1081&lt;&gt;0,SUMIF(куб!$C:$C,$C1081,куб!H:H),IF($B1081&lt;&gt;0,SUMIF(куб!$B:$B,$B1081,куб!H:H),IF($G1081&lt;&gt;0,SUMIF(куб!$A:$A,$G1081,куб!H:H),SUMIF(куб!$A:$A,$G1081,куб!H:H)))))))</f>
        <v>0</v>
      </c>
      <c r="I1081" s="27">
        <f>IF($G1081&lt;&gt;0,SUMIF(куб!$G:$G,$G1081,куб!I:I),IF($E1081&lt;&gt;0,SUMIF(куб!$E:$E,$E1081,куб!I:I),IF($D1081&lt;&gt;0,SUMIF(куб!$D:$D,$D1081,куб!I:I),IF($C1081&lt;&gt;0,SUMIF(куб!$C:$C,$C1081,куб!I:I),IF($B1081&lt;&gt;0,SUMIF(куб!$B:$B,$B1081,куб!I:I),IF($G1081&lt;&gt;0,SUMIF(куб!$A:$A,$G1081,куб!I:I),SUMIF(куб!$A:$A,$G1081,куб!I:I)))))))</f>
        <v>0</v>
      </c>
      <c r="J1081" s="19" t="str">
        <f t="shared" si="345"/>
        <v>-</v>
      </c>
      <c r="K1081" s="8"/>
      <c r="L1081" s="17">
        <f t="shared" si="346"/>
        <v>0</v>
      </c>
      <c r="M1081" s="17">
        <f t="shared" si="347"/>
        <v>0</v>
      </c>
      <c r="N1081" s="12">
        <f t="shared" si="348"/>
        <v>0</v>
      </c>
      <c r="O1081" s="5"/>
      <c r="P1081" s="27" t="b">
        <f>IF($G1081&lt;&gt;0,SUMIF(куб!$G:$G,$G1081,куб!J:J),IF($E1081&lt;&gt;0,SUMIF(куб!$E:$E,$E1081,куб!J:J),IF($D1081&lt;&gt;0,SUMIF(куб!$D:$D,$D1081,куб!J:J),IF($C1081&lt;&gt;0,SUMIF(куб!$C:$C,$C1081,куб!J:J),IF($B1081&lt;&gt;0,SUMIF(куб!$B:$B,$B1081,куб!J:J))))))</f>
        <v>0</v>
      </c>
      <c r="Q1081" s="27" t="b">
        <f>IF($G1081&lt;&gt;0,SUMIF(куб!$G:$G,$G1081,куб!K:K),IF($E1081&lt;&gt;0,SUMIF(куб!$E:$E,$E1081,куб!K:K),IF($D1081&lt;&gt;0,SUMIF(куб!$D:$D,$D1081,куб!K:K),IF($C1081&lt;&gt;0,SUMIF(куб!$C:$C,$C1081,куб!K:K),IF($B1081&lt;&gt;0,SUMIF(куб!$B:$B,$B1081,куб!K:K))))))</f>
        <v>0</v>
      </c>
      <c r="R1081" s="13" t="str">
        <f t="shared" si="349"/>
        <v>-</v>
      </c>
      <c r="S1081" s="5"/>
      <c r="T1081" s="27" t="b">
        <f>IF($G1081&lt;&gt;0,SUMIF(куб!$G:$G,$G1081,куб!L:L),IF($E1081&lt;&gt;0,SUMIF(куб!$E:$E,$E1081,куб!L:L),IF($D1081&lt;&gt;0,SUMIF(куб!$D:$D,$D1081,куб!L:L),IF($C1081&lt;&gt;0,SUMIF(куб!$C:$C,$C1081,куб!L:L),IF($B1081&lt;&gt;0,SUMIF(куб!$B:$B,$B1081,куб!L:L))))))</f>
        <v>0</v>
      </c>
      <c r="U1081" s="27" t="b">
        <f>IF($G1081&lt;&gt;0,SUMIF(куб!$G:$G,$G1081,куб!M:M),IF($E1081&lt;&gt;0,SUMIF(куб!$E:$E,$E1081,куб!M:M),IF($D1081&lt;&gt;0,SUMIF(куб!$D:$D,$D1081,куб!M:M),IF($C1081&lt;&gt;0,SUMIF(куб!$C:$C,$C1081,куб!M:M),IF($B1081&lt;&gt;0,SUMIF(куб!$B:$B,$B1081,куб!M:M))))))</f>
        <v>0</v>
      </c>
      <c r="V1081" s="13" t="str">
        <f t="shared" si="350"/>
        <v>-</v>
      </c>
      <c r="W1081" s="5"/>
      <c r="X1081" s="27" t="b">
        <f>IF($G1081&lt;&gt;0,SUMIF(куб!$G:$G,$G1081,куб!N:N),IF($E1081&lt;&gt;0,SUMIF(куб!$E:$E,$E1081,куб!N:N),IF($D1081&lt;&gt;0,SUMIF(куб!$D:$D,$D1081,куб!N:N),IF($C1081&lt;&gt;0,SUMIF(куб!$C:$C,$C1081,куб!N:N),IF($B1081&lt;&gt;0,SUMIF(куб!$B:$B,$B1081,куб!N:N))))))</f>
        <v>0</v>
      </c>
      <c r="Y1081" s="27" t="b">
        <f>IF($G1081&lt;&gt;0,SUMIF(куб!$G:$G,$G1081,куб!O:O),IF($E1081&lt;&gt;0,SUMIF(куб!$E:$E,$E1081,куб!O:O),IF($D1081&lt;&gt;0,SUMIF(куб!$D:$D,$D1081,куб!O:O),IF($C1081&lt;&gt;0,SUMIF(куб!$C:$C,$C1081,куб!O:O),IF($B1081&lt;&gt;0,SUMIF(куб!$B:$B,$B1081,куб!O:O))))))</f>
        <v>0</v>
      </c>
      <c r="Z1081" s="13" t="str">
        <f t="shared" si="351"/>
        <v>-</v>
      </c>
      <c r="AA1081" s="5"/>
      <c r="AB1081" s="33" t="str">
        <f t="shared" si="352"/>
        <v/>
      </c>
      <c r="AC1081" s="33" t="str">
        <f t="shared" si="353"/>
        <v/>
      </c>
      <c r="AD1081" s="15" t="str">
        <f t="shared" si="354"/>
        <v xml:space="preserve"> </v>
      </c>
      <c r="AE1081" s="5"/>
      <c r="AF1081" s="27" t="b">
        <f>IF($G1081&lt;&gt;0,SUMIF(куб!$G:$G,$G1081,куб!R:R),IF($E1081&lt;&gt;0,SUMIF(куб!$E:$E,$E1081,куб!R:R),IF($D1081&lt;&gt;0,SUMIF(куб!$D:$D,$D1081,куб!R:R),IF($C1081&lt;&gt;0,SUMIF(куб!$C:$C,$C1081,куб!R:R),IF($B1081&lt;&gt;0,SUMIF(куб!$B:$B,$B1081,куб!R:R))))))</f>
        <v>0</v>
      </c>
      <c r="AG1081" s="27" t="b">
        <f>IF($G1081&lt;&gt;0,SUMIF(куб!$G:$G,$G1081,куб!S:S),IF($E1081&lt;&gt;0,SUMIF(куб!$E:$E,$E1081,куб!S:S),IF($D1081&lt;&gt;0,SUMIF(куб!$D:$D,$D1081,куб!S:S),IF($C1081&lt;&gt;0,SUMIF(куб!$C:$C,$C1081,куб!S:S),IF($B1081&lt;&gt;0,SUMIF(куб!$B:$B,$B1081,куб!S:S))))))</f>
        <v>0</v>
      </c>
      <c r="AH1081" s="16" t="str">
        <f t="shared" si="355"/>
        <v>-</v>
      </c>
      <c r="AI1081" s="8"/>
      <c r="AJ1081" s="27" t="b">
        <f>IF($G1081&lt;&gt;0,SUMIF(куб!$G:$G,$G1081,куб!T:T),IF($E1081&lt;&gt;0,SUMIF(куб!$E:$E,$E1081,куб!T:T),IF($D1081&lt;&gt;0,SUMIF(куб!$D:$D,$D1081,куб!T:T),IF($C1081&lt;&gt;0,SUMIF(куб!$C:$C,$C1081,куб!T:T),IF($B1081&lt;&gt;0,SUMIF(куб!$B:$B,$B1081,куб!T:T))))))</f>
        <v>0</v>
      </c>
      <c r="AK1081" s="27" t="b">
        <f>IF($G1081&lt;&gt;0,SUMIF(куб!$G:$G,$G1081,куб!U:U),IF($E1081&lt;&gt;0,SUMIF(куб!$E:$E,$E1081,куб!U:U),IF($D1081&lt;&gt;0,SUMIF(куб!$D:$D,$D1081,куб!U:U),IF($C1081&lt;&gt;0,SUMIF(куб!$C:$C,$C1081,куб!U:U),IF($B1081&lt;&gt;0,SUMIF(куб!$B:$B,$B1081,куб!U:U))))))</f>
        <v>0</v>
      </c>
      <c r="AL1081" s="16" t="str">
        <f t="shared" si="356"/>
        <v>-</v>
      </c>
      <c r="AM1081" s="8"/>
      <c r="AN1081" s="17" t="str">
        <f t="shared" si="357"/>
        <v xml:space="preserve"> </v>
      </c>
      <c r="AO1081" s="17" t="str">
        <f t="shared" si="358"/>
        <v xml:space="preserve"> </v>
      </c>
      <c r="AP1081" s="16" t="str">
        <f t="shared" si="359"/>
        <v>-</v>
      </c>
      <c r="AQ1081" s="8"/>
      <c r="AR1081" s="17" t="str">
        <f t="shared" si="360"/>
        <v>-</v>
      </c>
      <c r="AS1081" s="17" t="str">
        <f t="shared" si="361"/>
        <v>-</v>
      </c>
      <c r="AT1081" s="13" t="str">
        <f t="shared" si="362"/>
        <v>-</v>
      </c>
      <c r="AU1081" s="8"/>
    </row>
    <row r="1082" spans="8:47" x14ac:dyDescent="0.25">
      <c r="H1082" s="27">
        <f>IF($G1082&lt;&gt;0,SUMIF(куб!$G:$G,$G1082,куб!H:H),IF($E1082&lt;&gt;0,SUMIF(куб!$E:$E,$E1082,куб!H:H),IF($D1082&lt;&gt;0,SUMIF(куб!$D:$D,$D1082,куб!H:H),IF($C1082&lt;&gt;0,SUMIF(куб!$C:$C,$C1082,куб!H:H),IF($B1082&lt;&gt;0,SUMIF(куб!$B:$B,$B1082,куб!H:H),IF($G1082&lt;&gt;0,SUMIF(куб!$A:$A,$G1082,куб!H:H),SUMIF(куб!$A:$A,$G1082,куб!H:H)))))))</f>
        <v>0</v>
      </c>
      <c r="I1082" s="27">
        <f>IF($G1082&lt;&gt;0,SUMIF(куб!$G:$G,$G1082,куб!I:I),IF($E1082&lt;&gt;0,SUMIF(куб!$E:$E,$E1082,куб!I:I),IF($D1082&lt;&gt;0,SUMIF(куб!$D:$D,$D1082,куб!I:I),IF($C1082&lt;&gt;0,SUMIF(куб!$C:$C,$C1082,куб!I:I),IF($B1082&lt;&gt;0,SUMIF(куб!$B:$B,$B1082,куб!I:I),IF($G1082&lt;&gt;0,SUMIF(куб!$A:$A,$G1082,куб!I:I),SUMIF(куб!$A:$A,$G1082,куб!I:I)))))))</f>
        <v>0</v>
      </c>
      <c r="J1082" s="19" t="str">
        <f t="shared" si="345"/>
        <v>-</v>
      </c>
      <c r="K1082" s="8"/>
      <c r="L1082" s="17">
        <f t="shared" si="346"/>
        <v>0</v>
      </c>
      <c r="M1082" s="17">
        <f t="shared" si="347"/>
        <v>0</v>
      </c>
      <c r="N1082" s="12">
        <f t="shared" si="348"/>
        <v>0</v>
      </c>
      <c r="O1082" s="5"/>
      <c r="P1082" s="27" t="b">
        <f>IF($G1082&lt;&gt;0,SUMIF(куб!$G:$G,$G1082,куб!J:J),IF($E1082&lt;&gt;0,SUMIF(куб!$E:$E,$E1082,куб!J:J),IF($D1082&lt;&gt;0,SUMIF(куб!$D:$D,$D1082,куб!J:J),IF($C1082&lt;&gt;0,SUMIF(куб!$C:$C,$C1082,куб!J:J),IF($B1082&lt;&gt;0,SUMIF(куб!$B:$B,$B1082,куб!J:J))))))</f>
        <v>0</v>
      </c>
      <c r="Q1082" s="27" t="b">
        <f>IF($G1082&lt;&gt;0,SUMIF(куб!$G:$G,$G1082,куб!K:K),IF($E1082&lt;&gt;0,SUMIF(куб!$E:$E,$E1082,куб!K:K),IF($D1082&lt;&gt;0,SUMIF(куб!$D:$D,$D1082,куб!K:K),IF($C1082&lt;&gt;0,SUMIF(куб!$C:$C,$C1082,куб!K:K),IF($B1082&lt;&gt;0,SUMIF(куб!$B:$B,$B1082,куб!K:K))))))</f>
        <v>0</v>
      </c>
      <c r="R1082" s="13" t="str">
        <f t="shared" si="349"/>
        <v>-</v>
      </c>
      <c r="S1082" s="5"/>
      <c r="T1082" s="27" t="b">
        <f>IF($G1082&lt;&gt;0,SUMIF(куб!$G:$G,$G1082,куб!L:L),IF($E1082&lt;&gt;0,SUMIF(куб!$E:$E,$E1082,куб!L:L),IF($D1082&lt;&gt;0,SUMIF(куб!$D:$D,$D1082,куб!L:L),IF($C1082&lt;&gt;0,SUMIF(куб!$C:$C,$C1082,куб!L:L),IF($B1082&lt;&gt;0,SUMIF(куб!$B:$B,$B1082,куб!L:L))))))</f>
        <v>0</v>
      </c>
      <c r="U1082" s="27" t="b">
        <f>IF($G1082&lt;&gt;0,SUMIF(куб!$G:$G,$G1082,куб!M:M),IF($E1082&lt;&gt;0,SUMIF(куб!$E:$E,$E1082,куб!M:M),IF($D1082&lt;&gt;0,SUMIF(куб!$D:$D,$D1082,куб!M:M),IF($C1082&lt;&gt;0,SUMIF(куб!$C:$C,$C1082,куб!M:M),IF($B1082&lt;&gt;0,SUMIF(куб!$B:$B,$B1082,куб!M:M))))))</f>
        <v>0</v>
      </c>
      <c r="V1082" s="13" t="str">
        <f t="shared" si="350"/>
        <v>-</v>
      </c>
      <c r="W1082" s="5"/>
      <c r="X1082" s="27" t="b">
        <f>IF($G1082&lt;&gt;0,SUMIF(куб!$G:$G,$G1082,куб!N:N),IF($E1082&lt;&gt;0,SUMIF(куб!$E:$E,$E1082,куб!N:N),IF($D1082&lt;&gt;0,SUMIF(куб!$D:$D,$D1082,куб!N:N),IF($C1082&lt;&gt;0,SUMIF(куб!$C:$C,$C1082,куб!N:N),IF($B1082&lt;&gt;0,SUMIF(куб!$B:$B,$B1082,куб!N:N))))))</f>
        <v>0</v>
      </c>
      <c r="Y1082" s="27" t="b">
        <f>IF($G1082&lt;&gt;0,SUMIF(куб!$G:$G,$G1082,куб!O:O),IF($E1082&lt;&gt;0,SUMIF(куб!$E:$E,$E1082,куб!O:O),IF($D1082&lt;&gt;0,SUMIF(куб!$D:$D,$D1082,куб!O:O),IF($C1082&lt;&gt;0,SUMIF(куб!$C:$C,$C1082,куб!O:O),IF($B1082&lt;&gt;0,SUMIF(куб!$B:$B,$B1082,куб!O:O))))))</f>
        <v>0</v>
      </c>
      <c r="Z1082" s="13" t="str">
        <f t="shared" si="351"/>
        <v>-</v>
      </c>
      <c r="AA1082" s="5"/>
      <c r="AB1082" s="33" t="str">
        <f t="shared" si="352"/>
        <v/>
      </c>
      <c r="AC1082" s="33" t="str">
        <f t="shared" si="353"/>
        <v/>
      </c>
      <c r="AD1082" s="15" t="str">
        <f t="shared" si="354"/>
        <v xml:space="preserve"> </v>
      </c>
      <c r="AE1082" s="5"/>
      <c r="AF1082" s="27" t="b">
        <f>IF($G1082&lt;&gt;0,SUMIF(куб!$G:$G,$G1082,куб!R:R),IF($E1082&lt;&gt;0,SUMIF(куб!$E:$E,$E1082,куб!R:R),IF($D1082&lt;&gt;0,SUMIF(куб!$D:$D,$D1082,куб!R:R),IF($C1082&lt;&gt;0,SUMIF(куб!$C:$C,$C1082,куб!R:R),IF($B1082&lt;&gt;0,SUMIF(куб!$B:$B,$B1082,куб!R:R))))))</f>
        <v>0</v>
      </c>
      <c r="AG1082" s="27" t="b">
        <f>IF($G1082&lt;&gt;0,SUMIF(куб!$G:$G,$G1082,куб!S:S),IF($E1082&lt;&gt;0,SUMIF(куб!$E:$E,$E1082,куб!S:S),IF($D1082&lt;&gt;0,SUMIF(куб!$D:$D,$D1082,куб!S:S),IF($C1082&lt;&gt;0,SUMIF(куб!$C:$C,$C1082,куб!S:S),IF($B1082&lt;&gt;0,SUMIF(куб!$B:$B,$B1082,куб!S:S))))))</f>
        <v>0</v>
      </c>
      <c r="AH1082" s="16" t="str">
        <f t="shared" si="355"/>
        <v>-</v>
      </c>
      <c r="AI1082" s="8"/>
      <c r="AJ1082" s="27" t="b">
        <f>IF($G1082&lt;&gt;0,SUMIF(куб!$G:$G,$G1082,куб!T:T),IF($E1082&lt;&gt;0,SUMIF(куб!$E:$E,$E1082,куб!T:T),IF($D1082&lt;&gt;0,SUMIF(куб!$D:$D,$D1082,куб!T:T),IF($C1082&lt;&gt;0,SUMIF(куб!$C:$C,$C1082,куб!T:T),IF($B1082&lt;&gt;0,SUMIF(куб!$B:$B,$B1082,куб!T:T))))))</f>
        <v>0</v>
      </c>
      <c r="AK1082" s="27" t="b">
        <f>IF($G1082&lt;&gt;0,SUMIF(куб!$G:$G,$G1082,куб!U:U),IF($E1082&lt;&gt;0,SUMIF(куб!$E:$E,$E1082,куб!U:U),IF($D1082&lt;&gt;0,SUMIF(куб!$D:$D,$D1082,куб!U:U),IF($C1082&lt;&gt;0,SUMIF(куб!$C:$C,$C1082,куб!U:U),IF($B1082&lt;&gt;0,SUMIF(куб!$B:$B,$B1082,куб!U:U))))))</f>
        <v>0</v>
      </c>
      <c r="AL1082" s="16" t="str">
        <f t="shared" si="356"/>
        <v>-</v>
      </c>
      <c r="AM1082" s="8"/>
      <c r="AN1082" s="17" t="str">
        <f t="shared" si="357"/>
        <v xml:space="preserve"> </v>
      </c>
      <c r="AO1082" s="17" t="str">
        <f t="shared" si="358"/>
        <v xml:space="preserve"> </v>
      </c>
      <c r="AP1082" s="16" t="str">
        <f t="shared" si="359"/>
        <v>-</v>
      </c>
      <c r="AQ1082" s="8"/>
      <c r="AR1082" s="17" t="str">
        <f t="shared" si="360"/>
        <v>-</v>
      </c>
      <c r="AS1082" s="17" t="str">
        <f t="shared" si="361"/>
        <v>-</v>
      </c>
      <c r="AT1082" s="13" t="str">
        <f t="shared" si="362"/>
        <v>-</v>
      </c>
      <c r="AU1082" s="8"/>
    </row>
    <row r="1083" spans="8:47" x14ac:dyDescent="0.25">
      <c r="H1083" s="27">
        <f>IF($G1083&lt;&gt;0,SUMIF(куб!$G:$G,$G1083,куб!H:H),IF($E1083&lt;&gt;0,SUMIF(куб!$E:$E,$E1083,куб!H:H),IF($D1083&lt;&gt;0,SUMIF(куб!$D:$D,$D1083,куб!H:H),IF($C1083&lt;&gt;0,SUMIF(куб!$C:$C,$C1083,куб!H:H),IF($B1083&lt;&gt;0,SUMIF(куб!$B:$B,$B1083,куб!H:H),IF($G1083&lt;&gt;0,SUMIF(куб!$A:$A,$G1083,куб!H:H),SUMIF(куб!$A:$A,$G1083,куб!H:H)))))))</f>
        <v>0</v>
      </c>
      <c r="I1083" s="27">
        <f>IF($G1083&lt;&gt;0,SUMIF(куб!$G:$G,$G1083,куб!I:I),IF($E1083&lt;&gt;0,SUMIF(куб!$E:$E,$E1083,куб!I:I),IF($D1083&lt;&gt;0,SUMIF(куб!$D:$D,$D1083,куб!I:I),IF($C1083&lt;&gt;0,SUMIF(куб!$C:$C,$C1083,куб!I:I),IF($B1083&lt;&gt;0,SUMIF(куб!$B:$B,$B1083,куб!I:I),IF($G1083&lt;&gt;0,SUMIF(куб!$A:$A,$G1083,куб!I:I),SUMIF(куб!$A:$A,$G1083,куб!I:I)))))))</f>
        <v>0</v>
      </c>
      <c r="J1083" s="19" t="str">
        <f t="shared" si="345"/>
        <v>-</v>
      </c>
      <c r="K1083" s="8"/>
      <c r="L1083" s="17">
        <f t="shared" si="346"/>
        <v>0</v>
      </c>
      <c r="M1083" s="17">
        <f t="shared" si="347"/>
        <v>0</v>
      </c>
      <c r="N1083" s="12">
        <f t="shared" si="348"/>
        <v>0</v>
      </c>
      <c r="O1083" s="5"/>
      <c r="P1083" s="27" t="b">
        <f>IF($G1083&lt;&gt;0,SUMIF(куб!$G:$G,$G1083,куб!J:J),IF($E1083&lt;&gt;0,SUMIF(куб!$E:$E,$E1083,куб!J:J),IF($D1083&lt;&gt;0,SUMIF(куб!$D:$D,$D1083,куб!J:J),IF($C1083&lt;&gt;0,SUMIF(куб!$C:$C,$C1083,куб!J:J),IF($B1083&lt;&gt;0,SUMIF(куб!$B:$B,$B1083,куб!J:J))))))</f>
        <v>0</v>
      </c>
      <c r="Q1083" s="27" t="b">
        <f>IF($G1083&lt;&gt;0,SUMIF(куб!$G:$G,$G1083,куб!K:K),IF($E1083&lt;&gt;0,SUMIF(куб!$E:$E,$E1083,куб!K:K),IF($D1083&lt;&gt;0,SUMIF(куб!$D:$D,$D1083,куб!K:K),IF($C1083&lt;&gt;0,SUMIF(куб!$C:$C,$C1083,куб!K:K),IF($B1083&lt;&gt;0,SUMIF(куб!$B:$B,$B1083,куб!K:K))))))</f>
        <v>0</v>
      </c>
      <c r="R1083" s="13" t="str">
        <f t="shared" si="349"/>
        <v>-</v>
      </c>
      <c r="S1083" s="5"/>
      <c r="T1083" s="27" t="b">
        <f>IF($G1083&lt;&gt;0,SUMIF(куб!$G:$G,$G1083,куб!L:L),IF($E1083&lt;&gt;0,SUMIF(куб!$E:$E,$E1083,куб!L:L),IF($D1083&lt;&gt;0,SUMIF(куб!$D:$D,$D1083,куб!L:L),IF($C1083&lt;&gt;0,SUMIF(куб!$C:$C,$C1083,куб!L:L),IF($B1083&lt;&gt;0,SUMIF(куб!$B:$B,$B1083,куб!L:L))))))</f>
        <v>0</v>
      </c>
      <c r="U1083" s="27" t="b">
        <f>IF($G1083&lt;&gt;0,SUMIF(куб!$G:$G,$G1083,куб!M:M),IF($E1083&lt;&gt;0,SUMIF(куб!$E:$E,$E1083,куб!M:M),IF($D1083&lt;&gt;0,SUMIF(куб!$D:$D,$D1083,куб!M:M),IF($C1083&lt;&gt;0,SUMIF(куб!$C:$C,$C1083,куб!M:M),IF($B1083&lt;&gt;0,SUMIF(куб!$B:$B,$B1083,куб!M:M))))))</f>
        <v>0</v>
      </c>
      <c r="V1083" s="13" t="str">
        <f t="shared" si="350"/>
        <v>-</v>
      </c>
      <c r="W1083" s="5"/>
      <c r="X1083" s="27" t="b">
        <f>IF($G1083&lt;&gt;0,SUMIF(куб!$G:$G,$G1083,куб!N:N),IF($E1083&lt;&gt;0,SUMIF(куб!$E:$E,$E1083,куб!N:N),IF($D1083&lt;&gt;0,SUMIF(куб!$D:$D,$D1083,куб!N:N),IF($C1083&lt;&gt;0,SUMIF(куб!$C:$C,$C1083,куб!N:N),IF($B1083&lt;&gt;0,SUMIF(куб!$B:$B,$B1083,куб!N:N))))))</f>
        <v>0</v>
      </c>
      <c r="Y1083" s="27" t="b">
        <f>IF($G1083&lt;&gt;0,SUMIF(куб!$G:$G,$G1083,куб!O:O),IF($E1083&lt;&gt;0,SUMIF(куб!$E:$E,$E1083,куб!O:O),IF($D1083&lt;&gt;0,SUMIF(куб!$D:$D,$D1083,куб!O:O),IF($C1083&lt;&gt;0,SUMIF(куб!$C:$C,$C1083,куб!O:O),IF($B1083&lt;&gt;0,SUMIF(куб!$B:$B,$B1083,куб!O:O))))))</f>
        <v>0</v>
      </c>
      <c r="Z1083" s="13" t="str">
        <f t="shared" si="351"/>
        <v>-</v>
      </c>
      <c r="AA1083" s="5"/>
      <c r="AB1083" s="33" t="str">
        <f t="shared" si="352"/>
        <v/>
      </c>
      <c r="AC1083" s="33" t="str">
        <f t="shared" si="353"/>
        <v/>
      </c>
      <c r="AD1083" s="15" t="str">
        <f t="shared" si="354"/>
        <v xml:space="preserve"> </v>
      </c>
      <c r="AE1083" s="5"/>
      <c r="AF1083" s="27" t="b">
        <f>IF($G1083&lt;&gt;0,SUMIF(куб!$G:$G,$G1083,куб!R:R),IF($E1083&lt;&gt;0,SUMIF(куб!$E:$E,$E1083,куб!R:R),IF($D1083&lt;&gt;0,SUMIF(куб!$D:$D,$D1083,куб!R:R),IF($C1083&lt;&gt;0,SUMIF(куб!$C:$C,$C1083,куб!R:R),IF($B1083&lt;&gt;0,SUMIF(куб!$B:$B,$B1083,куб!R:R))))))</f>
        <v>0</v>
      </c>
      <c r="AG1083" s="27" t="b">
        <f>IF($G1083&lt;&gt;0,SUMIF(куб!$G:$G,$G1083,куб!S:S),IF($E1083&lt;&gt;0,SUMIF(куб!$E:$E,$E1083,куб!S:S),IF($D1083&lt;&gt;0,SUMIF(куб!$D:$D,$D1083,куб!S:S),IF($C1083&lt;&gt;0,SUMIF(куб!$C:$C,$C1083,куб!S:S),IF($B1083&lt;&gt;0,SUMIF(куб!$B:$B,$B1083,куб!S:S))))))</f>
        <v>0</v>
      </c>
      <c r="AH1083" s="16" t="str">
        <f t="shared" si="355"/>
        <v>-</v>
      </c>
      <c r="AI1083" s="8"/>
      <c r="AJ1083" s="27" t="b">
        <f>IF($G1083&lt;&gt;0,SUMIF(куб!$G:$G,$G1083,куб!T:T),IF($E1083&lt;&gt;0,SUMIF(куб!$E:$E,$E1083,куб!T:T),IF($D1083&lt;&gt;0,SUMIF(куб!$D:$D,$D1083,куб!T:T),IF($C1083&lt;&gt;0,SUMIF(куб!$C:$C,$C1083,куб!T:T),IF($B1083&lt;&gt;0,SUMIF(куб!$B:$B,$B1083,куб!T:T))))))</f>
        <v>0</v>
      </c>
      <c r="AK1083" s="27" t="b">
        <f>IF($G1083&lt;&gt;0,SUMIF(куб!$G:$G,$G1083,куб!U:U),IF($E1083&lt;&gt;0,SUMIF(куб!$E:$E,$E1083,куб!U:U),IF($D1083&lt;&gt;0,SUMIF(куб!$D:$D,$D1083,куб!U:U),IF($C1083&lt;&gt;0,SUMIF(куб!$C:$C,$C1083,куб!U:U),IF($B1083&lt;&gt;0,SUMIF(куб!$B:$B,$B1083,куб!U:U))))))</f>
        <v>0</v>
      </c>
      <c r="AL1083" s="16" t="str">
        <f t="shared" si="356"/>
        <v>-</v>
      </c>
      <c r="AM1083" s="8"/>
      <c r="AN1083" s="17" t="str">
        <f t="shared" si="357"/>
        <v xml:space="preserve"> </v>
      </c>
      <c r="AO1083" s="17" t="str">
        <f t="shared" si="358"/>
        <v xml:space="preserve"> </v>
      </c>
      <c r="AP1083" s="16" t="str">
        <f t="shared" si="359"/>
        <v>-</v>
      </c>
      <c r="AQ1083" s="8"/>
      <c r="AR1083" s="17" t="str">
        <f t="shared" si="360"/>
        <v>-</v>
      </c>
      <c r="AS1083" s="17" t="str">
        <f t="shared" si="361"/>
        <v>-</v>
      </c>
      <c r="AT1083" s="13" t="str">
        <f t="shared" si="362"/>
        <v>-</v>
      </c>
      <c r="AU1083" s="8"/>
    </row>
    <row r="1084" spans="8:47" x14ac:dyDescent="0.25">
      <c r="H1084" s="27">
        <f>IF($G1084&lt;&gt;0,SUMIF(куб!$G:$G,$G1084,куб!H:H),IF($E1084&lt;&gt;0,SUMIF(куб!$E:$E,$E1084,куб!H:H),IF($D1084&lt;&gt;0,SUMIF(куб!$D:$D,$D1084,куб!H:H),IF($C1084&lt;&gt;0,SUMIF(куб!$C:$C,$C1084,куб!H:H),IF($B1084&lt;&gt;0,SUMIF(куб!$B:$B,$B1084,куб!H:H),IF($G1084&lt;&gt;0,SUMIF(куб!$A:$A,$G1084,куб!H:H),SUMIF(куб!$A:$A,$G1084,куб!H:H)))))))</f>
        <v>0</v>
      </c>
      <c r="I1084" s="27">
        <f>IF($G1084&lt;&gt;0,SUMIF(куб!$G:$G,$G1084,куб!I:I),IF($E1084&lt;&gt;0,SUMIF(куб!$E:$E,$E1084,куб!I:I),IF($D1084&lt;&gt;0,SUMIF(куб!$D:$D,$D1084,куб!I:I),IF($C1084&lt;&gt;0,SUMIF(куб!$C:$C,$C1084,куб!I:I),IF($B1084&lt;&gt;0,SUMIF(куб!$B:$B,$B1084,куб!I:I),IF($G1084&lt;&gt;0,SUMIF(куб!$A:$A,$G1084,куб!I:I),SUMIF(куб!$A:$A,$G1084,куб!I:I)))))))</f>
        <v>0</v>
      </c>
      <c r="J1084" s="19" t="str">
        <f t="shared" si="345"/>
        <v>-</v>
      </c>
      <c r="K1084" s="8"/>
      <c r="L1084" s="17">
        <f t="shared" si="346"/>
        <v>0</v>
      </c>
      <c r="M1084" s="17">
        <f t="shared" si="347"/>
        <v>0</v>
      </c>
      <c r="N1084" s="12">
        <f t="shared" si="348"/>
        <v>0</v>
      </c>
      <c r="O1084" s="5"/>
      <c r="P1084" s="27" t="b">
        <f>IF($G1084&lt;&gt;0,SUMIF(куб!$G:$G,$G1084,куб!J:J),IF($E1084&lt;&gt;0,SUMIF(куб!$E:$E,$E1084,куб!J:J),IF($D1084&lt;&gt;0,SUMIF(куб!$D:$D,$D1084,куб!J:J),IF($C1084&lt;&gt;0,SUMIF(куб!$C:$C,$C1084,куб!J:J),IF($B1084&lt;&gt;0,SUMIF(куб!$B:$B,$B1084,куб!J:J))))))</f>
        <v>0</v>
      </c>
      <c r="Q1084" s="27" t="b">
        <f>IF($G1084&lt;&gt;0,SUMIF(куб!$G:$G,$G1084,куб!K:K),IF($E1084&lt;&gt;0,SUMIF(куб!$E:$E,$E1084,куб!K:K),IF($D1084&lt;&gt;0,SUMIF(куб!$D:$D,$D1084,куб!K:K),IF($C1084&lt;&gt;0,SUMIF(куб!$C:$C,$C1084,куб!K:K),IF($B1084&lt;&gt;0,SUMIF(куб!$B:$B,$B1084,куб!K:K))))))</f>
        <v>0</v>
      </c>
      <c r="R1084" s="13" t="str">
        <f t="shared" si="349"/>
        <v>-</v>
      </c>
      <c r="S1084" s="5"/>
      <c r="T1084" s="27" t="b">
        <f>IF($G1084&lt;&gt;0,SUMIF(куб!$G:$G,$G1084,куб!L:L),IF($E1084&lt;&gt;0,SUMIF(куб!$E:$E,$E1084,куб!L:L),IF($D1084&lt;&gt;0,SUMIF(куб!$D:$D,$D1084,куб!L:L),IF($C1084&lt;&gt;0,SUMIF(куб!$C:$C,$C1084,куб!L:L),IF($B1084&lt;&gt;0,SUMIF(куб!$B:$B,$B1084,куб!L:L))))))</f>
        <v>0</v>
      </c>
      <c r="U1084" s="27" t="b">
        <f>IF($G1084&lt;&gt;0,SUMIF(куб!$G:$G,$G1084,куб!M:M),IF($E1084&lt;&gt;0,SUMIF(куб!$E:$E,$E1084,куб!M:M),IF($D1084&lt;&gt;0,SUMIF(куб!$D:$D,$D1084,куб!M:M),IF($C1084&lt;&gt;0,SUMIF(куб!$C:$C,$C1084,куб!M:M),IF($B1084&lt;&gt;0,SUMIF(куб!$B:$B,$B1084,куб!M:M))))))</f>
        <v>0</v>
      </c>
      <c r="V1084" s="13" t="str">
        <f t="shared" si="350"/>
        <v>-</v>
      </c>
      <c r="W1084" s="5"/>
      <c r="X1084" s="27" t="b">
        <f>IF($G1084&lt;&gt;0,SUMIF(куб!$G:$G,$G1084,куб!N:N),IF($E1084&lt;&gt;0,SUMIF(куб!$E:$E,$E1084,куб!N:N),IF($D1084&lt;&gt;0,SUMIF(куб!$D:$D,$D1084,куб!N:N),IF($C1084&lt;&gt;0,SUMIF(куб!$C:$C,$C1084,куб!N:N),IF($B1084&lt;&gt;0,SUMIF(куб!$B:$B,$B1084,куб!N:N))))))</f>
        <v>0</v>
      </c>
      <c r="Y1084" s="27" t="b">
        <f>IF($G1084&lt;&gt;0,SUMIF(куб!$G:$G,$G1084,куб!O:O),IF($E1084&lt;&gt;0,SUMIF(куб!$E:$E,$E1084,куб!O:O),IF($D1084&lt;&gt;0,SUMIF(куб!$D:$D,$D1084,куб!O:O),IF($C1084&lt;&gt;0,SUMIF(куб!$C:$C,$C1084,куб!O:O),IF($B1084&lt;&gt;0,SUMIF(куб!$B:$B,$B1084,куб!O:O))))))</f>
        <v>0</v>
      </c>
      <c r="Z1084" s="13" t="str">
        <f t="shared" si="351"/>
        <v>-</v>
      </c>
      <c r="AA1084" s="5"/>
      <c r="AB1084" s="33" t="str">
        <f t="shared" si="352"/>
        <v/>
      </c>
      <c r="AC1084" s="33" t="str">
        <f t="shared" si="353"/>
        <v/>
      </c>
      <c r="AD1084" s="15" t="str">
        <f t="shared" si="354"/>
        <v xml:space="preserve"> </v>
      </c>
      <c r="AE1084" s="5"/>
      <c r="AF1084" s="27" t="b">
        <f>IF($G1084&lt;&gt;0,SUMIF(куб!$G:$G,$G1084,куб!R:R),IF($E1084&lt;&gt;0,SUMIF(куб!$E:$E,$E1084,куб!R:R),IF($D1084&lt;&gt;0,SUMIF(куб!$D:$D,$D1084,куб!R:R),IF($C1084&lt;&gt;0,SUMIF(куб!$C:$C,$C1084,куб!R:R),IF($B1084&lt;&gt;0,SUMIF(куб!$B:$B,$B1084,куб!R:R))))))</f>
        <v>0</v>
      </c>
      <c r="AG1084" s="27" t="b">
        <f>IF($G1084&lt;&gt;0,SUMIF(куб!$G:$G,$G1084,куб!S:S),IF($E1084&lt;&gt;0,SUMIF(куб!$E:$E,$E1084,куб!S:S),IF($D1084&lt;&gt;0,SUMIF(куб!$D:$D,$D1084,куб!S:S),IF($C1084&lt;&gt;0,SUMIF(куб!$C:$C,$C1084,куб!S:S),IF($B1084&lt;&gt;0,SUMIF(куб!$B:$B,$B1084,куб!S:S))))))</f>
        <v>0</v>
      </c>
      <c r="AH1084" s="16" t="str">
        <f t="shared" si="355"/>
        <v>-</v>
      </c>
      <c r="AI1084" s="8"/>
      <c r="AJ1084" s="27" t="b">
        <f>IF($G1084&lt;&gt;0,SUMIF(куб!$G:$G,$G1084,куб!T:T),IF($E1084&lt;&gt;0,SUMIF(куб!$E:$E,$E1084,куб!T:T),IF($D1084&lt;&gt;0,SUMIF(куб!$D:$D,$D1084,куб!T:T),IF($C1084&lt;&gt;0,SUMIF(куб!$C:$C,$C1084,куб!T:T),IF($B1084&lt;&gt;0,SUMIF(куб!$B:$B,$B1084,куб!T:T))))))</f>
        <v>0</v>
      </c>
      <c r="AK1084" s="27" t="b">
        <f>IF($G1084&lt;&gt;0,SUMIF(куб!$G:$G,$G1084,куб!U:U),IF($E1084&lt;&gt;0,SUMIF(куб!$E:$E,$E1084,куб!U:U),IF($D1084&lt;&gt;0,SUMIF(куб!$D:$D,$D1084,куб!U:U),IF($C1084&lt;&gt;0,SUMIF(куб!$C:$C,$C1084,куб!U:U),IF($B1084&lt;&gt;0,SUMIF(куб!$B:$B,$B1084,куб!U:U))))))</f>
        <v>0</v>
      </c>
      <c r="AL1084" s="16" t="str">
        <f t="shared" si="356"/>
        <v>-</v>
      </c>
      <c r="AM1084" s="8"/>
      <c r="AN1084" s="17" t="str">
        <f t="shared" si="357"/>
        <v xml:space="preserve"> </v>
      </c>
      <c r="AO1084" s="17" t="str">
        <f t="shared" si="358"/>
        <v xml:space="preserve"> </v>
      </c>
      <c r="AP1084" s="16" t="str">
        <f t="shared" si="359"/>
        <v>-</v>
      </c>
      <c r="AQ1084" s="8"/>
      <c r="AR1084" s="17" t="str">
        <f t="shared" si="360"/>
        <v>-</v>
      </c>
      <c r="AS1084" s="17" t="str">
        <f t="shared" si="361"/>
        <v>-</v>
      </c>
      <c r="AT1084" s="13" t="str">
        <f t="shared" si="362"/>
        <v>-</v>
      </c>
      <c r="AU1084" s="8"/>
    </row>
    <row r="1085" spans="8:47" x14ac:dyDescent="0.25">
      <c r="H1085" s="27">
        <f>IF($G1085&lt;&gt;0,SUMIF(куб!$G:$G,$G1085,куб!H:H),IF($E1085&lt;&gt;0,SUMIF(куб!$E:$E,$E1085,куб!H:H),IF($D1085&lt;&gt;0,SUMIF(куб!$D:$D,$D1085,куб!H:H),IF($C1085&lt;&gt;0,SUMIF(куб!$C:$C,$C1085,куб!H:H),IF($B1085&lt;&gt;0,SUMIF(куб!$B:$B,$B1085,куб!H:H),IF($G1085&lt;&gt;0,SUMIF(куб!$A:$A,$G1085,куб!H:H),SUMIF(куб!$A:$A,$G1085,куб!H:H)))))))</f>
        <v>0</v>
      </c>
      <c r="I1085" s="27">
        <f>IF($G1085&lt;&gt;0,SUMIF(куб!$G:$G,$G1085,куб!I:I),IF($E1085&lt;&gt;0,SUMIF(куб!$E:$E,$E1085,куб!I:I),IF($D1085&lt;&gt;0,SUMIF(куб!$D:$D,$D1085,куб!I:I),IF($C1085&lt;&gt;0,SUMIF(куб!$C:$C,$C1085,куб!I:I),IF($B1085&lt;&gt;0,SUMIF(куб!$B:$B,$B1085,куб!I:I),IF($G1085&lt;&gt;0,SUMIF(куб!$A:$A,$G1085,куб!I:I),SUMIF(куб!$A:$A,$G1085,куб!I:I)))))))</f>
        <v>0</v>
      </c>
      <c r="J1085" s="19" t="str">
        <f t="shared" si="345"/>
        <v>-</v>
      </c>
      <c r="K1085" s="8"/>
      <c r="L1085" s="17">
        <f t="shared" si="346"/>
        <v>0</v>
      </c>
      <c r="M1085" s="17">
        <f t="shared" si="347"/>
        <v>0</v>
      </c>
      <c r="N1085" s="12">
        <f t="shared" si="348"/>
        <v>0</v>
      </c>
      <c r="O1085" s="5"/>
      <c r="P1085" s="27" t="b">
        <f>IF($G1085&lt;&gt;0,SUMIF(куб!$G:$G,$G1085,куб!J:J),IF($E1085&lt;&gt;0,SUMIF(куб!$E:$E,$E1085,куб!J:J),IF($D1085&lt;&gt;0,SUMIF(куб!$D:$D,$D1085,куб!J:J),IF($C1085&lt;&gt;0,SUMIF(куб!$C:$C,$C1085,куб!J:J),IF($B1085&lt;&gt;0,SUMIF(куб!$B:$B,$B1085,куб!J:J))))))</f>
        <v>0</v>
      </c>
      <c r="Q1085" s="27" t="b">
        <f>IF($G1085&lt;&gt;0,SUMIF(куб!$G:$G,$G1085,куб!K:K),IF($E1085&lt;&gt;0,SUMIF(куб!$E:$E,$E1085,куб!K:K),IF($D1085&lt;&gt;0,SUMIF(куб!$D:$D,$D1085,куб!K:K),IF($C1085&lt;&gt;0,SUMIF(куб!$C:$C,$C1085,куб!K:K),IF($B1085&lt;&gt;0,SUMIF(куб!$B:$B,$B1085,куб!K:K))))))</f>
        <v>0</v>
      </c>
      <c r="R1085" s="13" t="str">
        <f t="shared" si="349"/>
        <v>-</v>
      </c>
      <c r="S1085" s="5"/>
      <c r="T1085" s="27" t="b">
        <f>IF($G1085&lt;&gt;0,SUMIF(куб!$G:$G,$G1085,куб!L:L),IF($E1085&lt;&gt;0,SUMIF(куб!$E:$E,$E1085,куб!L:L),IF($D1085&lt;&gt;0,SUMIF(куб!$D:$D,$D1085,куб!L:L),IF($C1085&lt;&gt;0,SUMIF(куб!$C:$C,$C1085,куб!L:L),IF($B1085&lt;&gt;0,SUMIF(куб!$B:$B,$B1085,куб!L:L))))))</f>
        <v>0</v>
      </c>
      <c r="U1085" s="27" t="b">
        <f>IF($G1085&lt;&gt;0,SUMIF(куб!$G:$G,$G1085,куб!M:M),IF($E1085&lt;&gt;0,SUMIF(куб!$E:$E,$E1085,куб!M:M),IF($D1085&lt;&gt;0,SUMIF(куб!$D:$D,$D1085,куб!M:M),IF($C1085&lt;&gt;0,SUMIF(куб!$C:$C,$C1085,куб!M:M),IF($B1085&lt;&gt;0,SUMIF(куб!$B:$B,$B1085,куб!M:M))))))</f>
        <v>0</v>
      </c>
      <c r="V1085" s="13" t="str">
        <f t="shared" si="350"/>
        <v>-</v>
      </c>
      <c r="W1085" s="5"/>
      <c r="X1085" s="27" t="b">
        <f>IF($G1085&lt;&gt;0,SUMIF(куб!$G:$G,$G1085,куб!N:N),IF($E1085&lt;&gt;0,SUMIF(куб!$E:$E,$E1085,куб!N:N),IF($D1085&lt;&gt;0,SUMIF(куб!$D:$D,$D1085,куб!N:N),IF($C1085&lt;&gt;0,SUMIF(куб!$C:$C,$C1085,куб!N:N),IF($B1085&lt;&gt;0,SUMIF(куб!$B:$B,$B1085,куб!N:N))))))</f>
        <v>0</v>
      </c>
      <c r="Y1085" s="27" t="b">
        <f>IF($G1085&lt;&gt;0,SUMIF(куб!$G:$G,$G1085,куб!O:O),IF($E1085&lt;&gt;0,SUMIF(куб!$E:$E,$E1085,куб!O:O),IF($D1085&lt;&gt;0,SUMIF(куб!$D:$D,$D1085,куб!O:O),IF($C1085&lt;&gt;0,SUMIF(куб!$C:$C,$C1085,куб!O:O),IF($B1085&lt;&gt;0,SUMIF(куб!$B:$B,$B1085,куб!O:O))))))</f>
        <v>0</v>
      </c>
      <c r="Z1085" s="13" t="str">
        <f t="shared" si="351"/>
        <v>-</v>
      </c>
      <c r="AA1085" s="5"/>
      <c r="AB1085" s="33" t="str">
        <f t="shared" si="352"/>
        <v/>
      </c>
      <c r="AC1085" s="33" t="str">
        <f t="shared" si="353"/>
        <v/>
      </c>
      <c r="AD1085" s="15" t="str">
        <f t="shared" si="354"/>
        <v xml:space="preserve"> </v>
      </c>
      <c r="AE1085" s="5"/>
      <c r="AF1085" s="27" t="b">
        <f>IF($G1085&lt;&gt;0,SUMIF(куб!$G:$G,$G1085,куб!R:R),IF($E1085&lt;&gt;0,SUMIF(куб!$E:$E,$E1085,куб!R:R),IF($D1085&lt;&gt;0,SUMIF(куб!$D:$D,$D1085,куб!R:R),IF($C1085&lt;&gt;0,SUMIF(куб!$C:$C,$C1085,куб!R:R),IF($B1085&lt;&gt;0,SUMIF(куб!$B:$B,$B1085,куб!R:R))))))</f>
        <v>0</v>
      </c>
      <c r="AG1085" s="27" t="b">
        <f>IF($G1085&lt;&gt;0,SUMIF(куб!$G:$G,$G1085,куб!S:S),IF($E1085&lt;&gt;0,SUMIF(куб!$E:$E,$E1085,куб!S:S),IF($D1085&lt;&gt;0,SUMIF(куб!$D:$D,$D1085,куб!S:S),IF($C1085&lt;&gt;0,SUMIF(куб!$C:$C,$C1085,куб!S:S),IF($B1085&lt;&gt;0,SUMIF(куб!$B:$B,$B1085,куб!S:S))))))</f>
        <v>0</v>
      </c>
      <c r="AH1085" s="16" t="str">
        <f t="shared" si="355"/>
        <v>-</v>
      </c>
      <c r="AI1085" s="8"/>
      <c r="AJ1085" s="27" t="b">
        <f>IF($G1085&lt;&gt;0,SUMIF(куб!$G:$G,$G1085,куб!T:T),IF($E1085&lt;&gt;0,SUMIF(куб!$E:$E,$E1085,куб!T:T),IF($D1085&lt;&gt;0,SUMIF(куб!$D:$D,$D1085,куб!T:T),IF($C1085&lt;&gt;0,SUMIF(куб!$C:$C,$C1085,куб!T:T),IF($B1085&lt;&gt;0,SUMIF(куб!$B:$B,$B1085,куб!T:T))))))</f>
        <v>0</v>
      </c>
      <c r="AK1085" s="27" t="b">
        <f>IF($G1085&lt;&gt;0,SUMIF(куб!$G:$G,$G1085,куб!U:U),IF($E1085&lt;&gt;0,SUMIF(куб!$E:$E,$E1085,куб!U:U),IF($D1085&lt;&gt;0,SUMIF(куб!$D:$D,$D1085,куб!U:U),IF($C1085&lt;&gt;0,SUMIF(куб!$C:$C,$C1085,куб!U:U),IF($B1085&lt;&gt;0,SUMIF(куб!$B:$B,$B1085,куб!U:U))))))</f>
        <v>0</v>
      </c>
      <c r="AL1085" s="16" t="str">
        <f t="shared" si="356"/>
        <v>-</v>
      </c>
      <c r="AM1085" s="8"/>
      <c r="AN1085" s="17" t="str">
        <f t="shared" si="357"/>
        <v xml:space="preserve"> </v>
      </c>
      <c r="AO1085" s="17" t="str">
        <f t="shared" si="358"/>
        <v xml:space="preserve"> </v>
      </c>
      <c r="AP1085" s="16" t="str">
        <f t="shared" si="359"/>
        <v>-</v>
      </c>
      <c r="AQ1085" s="8"/>
      <c r="AR1085" s="17" t="str">
        <f t="shared" si="360"/>
        <v>-</v>
      </c>
      <c r="AS1085" s="17" t="str">
        <f t="shared" si="361"/>
        <v>-</v>
      </c>
      <c r="AT1085" s="13" t="str">
        <f t="shared" si="362"/>
        <v>-</v>
      </c>
      <c r="AU1085" s="8"/>
    </row>
    <row r="1086" spans="8:47" x14ac:dyDescent="0.25">
      <c r="H1086" s="27">
        <f>IF($G1086&lt;&gt;0,SUMIF(куб!$G:$G,$G1086,куб!H:H),IF($E1086&lt;&gt;0,SUMIF(куб!$E:$E,$E1086,куб!H:H),IF($D1086&lt;&gt;0,SUMIF(куб!$D:$D,$D1086,куб!H:H),IF($C1086&lt;&gt;0,SUMIF(куб!$C:$C,$C1086,куб!H:H),IF($B1086&lt;&gt;0,SUMIF(куб!$B:$B,$B1086,куб!H:H),IF($G1086&lt;&gt;0,SUMIF(куб!$A:$A,$G1086,куб!H:H),SUMIF(куб!$A:$A,$G1086,куб!H:H)))))))</f>
        <v>0</v>
      </c>
      <c r="I1086" s="27">
        <f>IF($G1086&lt;&gt;0,SUMIF(куб!$G:$G,$G1086,куб!I:I),IF($E1086&lt;&gt;0,SUMIF(куб!$E:$E,$E1086,куб!I:I),IF($D1086&lt;&gt;0,SUMIF(куб!$D:$D,$D1086,куб!I:I),IF($C1086&lt;&gt;0,SUMIF(куб!$C:$C,$C1086,куб!I:I),IF($B1086&lt;&gt;0,SUMIF(куб!$B:$B,$B1086,куб!I:I),IF($G1086&lt;&gt;0,SUMIF(куб!$A:$A,$G1086,куб!I:I),SUMIF(куб!$A:$A,$G1086,куб!I:I)))))))</f>
        <v>0</v>
      </c>
      <c r="J1086" s="19" t="str">
        <f t="shared" si="345"/>
        <v>-</v>
      </c>
      <c r="K1086" s="8"/>
      <c r="L1086" s="17">
        <f t="shared" si="346"/>
        <v>0</v>
      </c>
      <c r="M1086" s="17">
        <f t="shared" si="347"/>
        <v>0</v>
      </c>
      <c r="N1086" s="12">
        <f t="shared" si="348"/>
        <v>0</v>
      </c>
      <c r="O1086" s="5"/>
      <c r="P1086" s="27" t="b">
        <f>IF($G1086&lt;&gt;0,SUMIF(куб!$G:$G,$G1086,куб!J:J),IF($E1086&lt;&gt;0,SUMIF(куб!$E:$E,$E1086,куб!J:J),IF($D1086&lt;&gt;0,SUMIF(куб!$D:$D,$D1086,куб!J:J),IF($C1086&lt;&gt;0,SUMIF(куб!$C:$C,$C1086,куб!J:J),IF($B1086&lt;&gt;0,SUMIF(куб!$B:$B,$B1086,куб!J:J))))))</f>
        <v>0</v>
      </c>
      <c r="Q1086" s="27" t="b">
        <f>IF($G1086&lt;&gt;0,SUMIF(куб!$G:$G,$G1086,куб!K:K),IF($E1086&lt;&gt;0,SUMIF(куб!$E:$E,$E1086,куб!K:K),IF($D1086&lt;&gt;0,SUMIF(куб!$D:$D,$D1086,куб!K:K),IF($C1086&lt;&gt;0,SUMIF(куб!$C:$C,$C1086,куб!K:K),IF($B1086&lt;&gt;0,SUMIF(куб!$B:$B,$B1086,куб!K:K))))))</f>
        <v>0</v>
      </c>
      <c r="R1086" s="13" t="str">
        <f t="shared" si="349"/>
        <v>-</v>
      </c>
      <c r="S1086" s="5"/>
      <c r="T1086" s="27" t="b">
        <f>IF($G1086&lt;&gt;0,SUMIF(куб!$G:$G,$G1086,куб!L:L),IF($E1086&lt;&gt;0,SUMIF(куб!$E:$E,$E1086,куб!L:L),IF($D1086&lt;&gt;0,SUMIF(куб!$D:$D,$D1086,куб!L:L),IF($C1086&lt;&gt;0,SUMIF(куб!$C:$C,$C1086,куб!L:L),IF($B1086&lt;&gt;0,SUMIF(куб!$B:$B,$B1086,куб!L:L))))))</f>
        <v>0</v>
      </c>
      <c r="U1086" s="27" t="b">
        <f>IF($G1086&lt;&gt;0,SUMIF(куб!$G:$G,$G1086,куб!M:M),IF($E1086&lt;&gt;0,SUMIF(куб!$E:$E,$E1086,куб!M:M),IF($D1086&lt;&gt;0,SUMIF(куб!$D:$D,$D1086,куб!M:M),IF($C1086&lt;&gt;0,SUMIF(куб!$C:$C,$C1086,куб!M:M),IF($B1086&lt;&gt;0,SUMIF(куб!$B:$B,$B1086,куб!M:M))))))</f>
        <v>0</v>
      </c>
      <c r="V1086" s="13" t="str">
        <f t="shared" si="350"/>
        <v>-</v>
      </c>
      <c r="W1086" s="5"/>
      <c r="X1086" s="27" t="b">
        <f>IF($G1086&lt;&gt;0,SUMIF(куб!$G:$G,$G1086,куб!N:N),IF($E1086&lt;&gt;0,SUMIF(куб!$E:$E,$E1086,куб!N:N),IF($D1086&lt;&gt;0,SUMIF(куб!$D:$D,$D1086,куб!N:N),IF($C1086&lt;&gt;0,SUMIF(куб!$C:$C,$C1086,куб!N:N),IF($B1086&lt;&gt;0,SUMIF(куб!$B:$B,$B1086,куб!N:N))))))</f>
        <v>0</v>
      </c>
      <c r="Y1086" s="27" t="b">
        <f>IF($G1086&lt;&gt;0,SUMIF(куб!$G:$G,$G1086,куб!O:O),IF($E1086&lt;&gt;0,SUMIF(куб!$E:$E,$E1086,куб!O:O),IF($D1086&lt;&gt;0,SUMIF(куб!$D:$D,$D1086,куб!O:O),IF($C1086&lt;&gt;0,SUMIF(куб!$C:$C,$C1086,куб!O:O),IF($B1086&lt;&gt;0,SUMIF(куб!$B:$B,$B1086,куб!O:O))))))</f>
        <v>0</v>
      </c>
      <c r="Z1086" s="13" t="str">
        <f t="shared" si="351"/>
        <v>-</v>
      </c>
      <c r="AA1086" s="5"/>
      <c r="AB1086" s="33" t="str">
        <f t="shared" si="352"/>
        <v/>
      </c>
      <c r="AC1086" s="33" t="str">
        <f t="shared" si="353"/>
        <v/>
      </c>
      <c r="AD1086" s="15" t="str">
        <f t="shared" si="354"/>
        <v xml:space="preserve"> </v>
      </c>
      <c r="AE1086" s="5"/>
      <c r="AF1086" s="27" t="b">
        <f>IF($G1086&lt;&gt;0,SUMIF(куб!$G:$G,$G1086,куб!R:R),IF($E1086&lt;&gt;0,SUMIF(куб!$E:$E,$E1086,куб!R:R),IF($D1086&lt;&gt;0,SUMIF(куб!$D:$D,$D1086,куб!R:R),IF($C1086&lt;&gt;0,SUMIF(куб!$C:$C,$C1086,куб!R:R),IF($B1086&lt;&gt;0,SUMIF(куб!$B:$B,$B1086,куб!R:R))))))</f>
        <v>0</v>
      </c>
      <c r="AG1086" s="27" t="b">
        <f>IF($G1086&lt;&gt;0,SUMIF(куб!$G:$G,$G1086,куб!S:S),IF($E1086&lt;&gt;0,SUMIF(куб!$E:$E,$E1086,куб!S:S),IF($D1086&lt;&gt;0,SUMIF(куб!$D:$D,$D1086,куб!S:S),IF($C1086&lt;&gt;0,SUMIF(куб!$C:$C,$C1086,куб!S:S),IF($B1086&lt;&gt;0,SUMIF(куб!$B:$B,$B1086,куб!S:S))))))</f>
        <v>0</v>
      </c>
      <c r="AH1086" s="16" t="str">
        <f t="shared" si="355"/>
        <v>-</v>
      </c>
      <c r="AI1086" s="8"/>
      <c r="AJ1086" s="27" t="b">
        <f>IF($G1086&lt;&gt;0,SUMIF(куб!$G:$G,$G1086,куб!T:T),IF($E1086&lt;&gt;0,SUMIF(куб!$E:$E,$E1086,куб!T:T),IF($D1086&lt;&gt;0,SUMIF(куб!$D:$D,$D1086,куб!T:T),IF($C1086&lt;&gt;0,SUMIF(куб!$C:$C,$C1086,куб!T:T),IF($B1086&lt;&gt;0,SUMIF(куб!$B:$B,$B1086,куб!T:T))))))</f>
        <v>0</v>
      </c>
      <c r="AK1086" s="27" t="b">
        <f>IF($G1086&lt;&gt;0,SUMIF(куб!$G:$G,$G1086,куб!U:U),IF($E1086&lt;&gt;0,SUMIF(куб!$E:$E,$E1086,куб!U:U),IF($D1086&lt;&gt;0,SUMIF(куб!$D:$D,$D1086,куб!U:U),IF($C1086&lt;&gt;0,SUMIF(куб!$C:$C,$C1086,куб!U:U),IF($B1086&lt;&gt;0,SUMIF(куб!$B:$B,$B1086,куб!U:U))))))</f>
        <v>0</v>
      </c>
      <c r="AL1086" s="16" t="str">
        <f t="shared" si="356"/>
        <v>-</v>
      </c>
      <c r="AM1086" s="8"/>
      <c r="AN1086" s="17" t="str">
        <f t="shared" si="357"/>
        <v xml:space="preserve"> </v>
      </c>
      <c r="AO1086" s="17" t="str">
        <f t="shared" si="358"/>
        <v xml:space="preserve"> </v>
      </c>
      <c r="AP1086" s="16" t="str">
        <f t="shared" si="359"/>
        <v>-</v>
      </c>
      <c r="AQ1086" s="8"/>
      <c r="AR1086" s="17" t="str">
        <f t="shared" si="360"/>
        <v>-</v>
      </c>
      <c r="AS1086" s="17" t="str">
        <f t="shared" si="361"/>
        <v>-</v>
      </c>
      <c r="AT1086" s="13" t="str">
        <f t="shared" si="362"/>
        <v>-</v>
      </c>
      <c r="AU1086" s="8"/>
    </row>
    <row r="1087" spans="8:47" x14ac:dyDescent="0.25">
      <c r="H1087" s="27">
        <f>IF($G1087&lt;&gt;0,SUMIF(куб!$G:$G,$G1087,куб!H:H),IF($E1087&lt;&gt;0,SUMIF(куб!$E:$E,$E1087,куб!H:H),IF($D1087&lt;&gt;0,SUMIF(куб!$D:$D,$D1087,куб!H:H),IF($C1087&lt;&gt;0,SUMIF(куб!$C:$C,$C1087,куб!H:H),IF($B1087&lt;&gt;0,SUMIF(куб!$B:$B,$B1087,куб!H:H),IF($G1087&lt;&gt;0,SUMIF(куб!$A:$A,$G1087,куб!H:H),SUMIF(куб!$A:$A,$G1087,куб!H:H)))))))</f>
        <v>0</v>
      </c>
      <c r="I1087" s="27">
        <f>IF($G1087&lt;&gt;0,SUMIF(куб!$G:$G,$G1087,куб!I:I),IF($E1087&lt;&gt;0,SUMIF(куб!$E:$E,$E1087,куб!I:I),IF($D1087&lt;&gt;0,SUMIF(куб!$D:$D,$D1087,куб!I:I),IF($C1087&lt;&gt;0,SUMIF(куб!$C:$C,$C1087,куб!I:I),IF($B1087&lt;&gt;0,SUMIF(куб!$B:$B,$B1087,куб!I:I),IF($G1087&lt;&gt;0,SUMIF(куб!$A:$A,$G1087,куб!I:I),SUMIF(куб!$A:$A,$G1087,куб!I:I)))))))</f>
        <v>0</v>
      </c>
      <c r="J1087" s="19" t="str">
        <f t="shared" si="345"/>
        <v>-</v>
      </c>
      <c r="K1087" s="8"/>
      <c r="L1087" s="17">
        <f t="shared" si="346"/>
        <v>0</v>
      </c>
      <c r="M1087" s="17">
        <f t="shared" si="347"/>
        <v>0</v>
      </c>
      <c r="N1087" s="12">
        <f t="shared" si="348"/>
        <v>0</v>
      </c>
      <c r="O1087" s="5"/>
      <c r="P1087" s="27" t="b">
        <f>IF($G1087&lt;&gt;0,SUMIF(куб!$G:$G,$G1087,куб!J:J),IF($E1087&lt;&gt;0,SUMIF(куб!$E:$E,$E1087,куб!J:J),IF($D1087&lt;&gt;0,SUMIF(куб!$D:$D,$D1087,куб!J:J),IF($C1087&lt;&gt;0,SUMIF(куб!$C:$C,$C1087,куб!J:J),IF($B1087&lt;&gt;0,SUMIF(куб!$B:$B,$B1087,куб!J:J))))))</f>
        <v>0</v>
      </c>
      <c r="Q1087" s="27" t="b">
        <f>IF($G1087&lt;&gt;0,SUMIF(куб!$G:$G,$G1087,куб!K:K),IF($E1087&lt;&gt;0,SUMIF(куб!$E:$E,$E1087,куб!K:K),IF($D1087&lt;&gt;0,SUMIF(куб!$D:$D,$D1087,куб!K:K),IF($C1087&lt;&gt;0,SUMIF(куб!$C:$C,$C1087,куб!K:K),IF($B1087&lt;&gt;0,SUMIF(куб!$B:$B,$B1087,куб!K:K))))))</f>
        <v>0</v>
      </c>
      <c r="R1087" s="13" t="str">
        <f t="shared" si="349"/>
        <v>-</v>
      </c>
      <c r="S1087" s="5"/>
      <c r="T1087" s="27" t="b">
        <f>IF($G1087&lt;&gt;0,SUMIF(куб!$G:$G,$G1087,куб!L:L),IF($E1087&lt;&gt;0,SUMIF(куб!$E:$E,$E1087,куб!L:L),IF($D1087&lt;&gt;0,SUMIF(куб!$D:$D,$D1087,куб!L:L),IF($C1087&lt;&gt;0,SUMIF(куб!$C:$C,$C1087,куб!L:L),IF($B1087&lt;&gt;0,SUMIF(куб!$B:$B,$B1087,куб!L:L))))))</f>
        <v>0</v>
      </c>
      <c r="U1087" s="27" t="b">
        <f>IF($G1087&lt;&gt;0,SUMIF(куб!$G:$G,$G1087,куб!M:M),IF($E1087&lt;&gt;0,SUMIF(куб!$E:$E,$E1087,куб!M:M),IF($D1087&lt;&gt;0,SUMIF(куб!$D:$D,$D1087,куб!M:M),IF($C1087&lt;&gt;0,SUMIF(куб!$C:$C,$C1087,куб!M:M),IF($B1087&lt;&gt;0,SUMIF(куб!$B:$B,$B1087,куб!M:M))))))</f>
        <v>0</v>
      </c>
      <c r="V1087" s="13" t="str">
        <f t="shared" si="350"/>
        <v>-</v>
      </c>
      <c r="W1087" s="5"/>
      <c r="X1087" s="27" t="b">
        <f>IF($G1087&lt;&gt;0,SUMIF(куб!$G:$G,$G1087,куб!N:N),IF($E1087&lt;&gt;0,SUMIF(куб!$E:$E,$E1087,куб!N:N),IF($D1087&lt;&gt;0,SUMIF(куб!$D:$D,$D1087,куб!N:N),IF($C1087&lt;&gt;0,SUMIF(куб!$C:$C,$C1087,куб!N:N),IF($B1087&lt;&gt;0,SUMIF(куб!$B:$B,$B1087,куб!N:N))))))</f>
        <v>0</v>
      </c>
      <c r="Y1087" s="27" t="b">
        <f>IF($G1087&lt;&gt;0,SUMIF(куб!$G:$G,$G1087,куб!O:O),IF($E1087&lt;&gt;0,SUMIF(куб!$E:$E,$E1087,куб!O:O),IF($D1087&lt;&gt;0,SUMIF(куб!$D:$D,$D1087,куб!O:O),IF($C1087&lt;&gt;0,SUMIF(куб!$C:$C,$C1087,куб!O:O),IF($B1087&lt;&gt;0,SUMIF(куб!$B:$B,$B1087,куб!O:O))))))</f>
        <v>0</v>
      </c>
      <c r="Z1087" s="13" t="str">
        <f t="shared" si="351"/>
        <v>-</v>
      </c>
      <c r="AA1087" s="5"/>
      <c r="AB1087" s="33" t="str">
        <f t="shared" si="352"/>
        <v/>
      </c>
      <c r="AC1087" s="33" t="str">
        <f t="shared" si="353"/>
        <v/>
      </c>
      <c r="AD1087" s="15" t="str">
        <f t="shared" si="354"/>
        <v xml:space="preserve"> </v>
      </c>
      <c r="AE1087" s="5"/>
      <c r="AF1087" s="27" t="b">
        <f>IF($G1087&lt;&gt;0,SUMIF(куб!$G:$G,$G1087,куб!R:R),IF($E1087&lt;&gt;0,SUMIF(куб!$E:$E,$E1087,куб!R:R),IF($D1087&lt;&gt;0,SUMIF(куб!$D:$D,$D1087,куб!R:R),IF($C1087&lt;&gt;0,SUMIF(куб!$C:$C,$C1087,куб!R:R),IF($B1087&lt;&gt;0,SUMIF(куб!$B:$B,$B1087,куб!R:R))))))</f>
        <v>0</v>
      </c>
      <c r="AG1087" s="27" t="b">
        <f>IF($G1087&lt;&gt;0,SUMIF(куб!$G:$G,$G1087,куб!S:S),IF($E1087&lt;&gt;0,SUMIF(куб!$E:$E,$E1087,куб!S:S),IF($D1087&lt;&gt;0,SUMIF(куб!$D:$D,$D1087,куб!S:S),IF($C1087&lt;&gt;0,SUMIF(куб!$C:$C,$C1087,куб!S:S),IF($B1087&lt;&gt;0,SUMIF(куб!$B:$B,$B1087,куб!S:S))))))</f>
        <v>0</v>
      </c>
      <c r="AH1087" s="16" t="str">
        <f t="shared" si="355"/>
        <v>-</v>
      </c>
      <c r="AI1087" s="8"/>
      <c r="AJ1087" s="27" t="b">
        <f>IF($G1087&lt;&gt;0,SUMIF(куб!$G:$G,$G1087,куб!T:T),IF($E1087&lt;&gt;0,SUMIF(куб!$E:$E,$E1087,куб!T:T),IF($D1087&lt;&gt;0,SUMIF(куб!$D:$D,$D1087,куб!T:T),IF($C1087&lt;&gt;0,SUMIF(куб!$C:$C,$C1087,куб!T:T),IF($B1087&lt;&gt;0,SUMIF(куб!$B:$B,$B1087,куб!T:T))))))</f>
        <v>0</v>
      </c>
      <c r="AK1087" s="27" t="b">
        <f>IF($G1087&lt;&gt;0,SUMIF(куб!$G:$G,$G1087,куб!U:U),IF($E1087&lt;&gt;0,SUMIF(куб!$E:$E,$E1087,куб!U:U),IF($D1087&lt;&gt;0,SUMIF(куб!$D:$D,$D1087,куб!U:U),IF($C1087&lt;&gt;0,SUMIF(куб!$C:$C,$C1087,куб!U:U),IF($B1087&lt;&gt;0,SUMIF(куб!$B:$B,$B1087,куб!U:U))))))</f>
        <v>0</v>
      </c>
      <c r="AL1087" s="16" t="str">
        <f t="shared" si="356"/>
        <v>-</v>
      </c>
      <c r="AM1087" s="8"/>
      <c r="AN1087" s="17" t="str">
        <f t="shared" si="357"/>
        <v xml:space="preserve"> </v>
      </c>
      <c r="AO1087" s="17" t="str">
        <f t="shared" si="358"/>
        <v xml:space="preserve"> </v>
      </c>
      <c r="AP1087" s="16" t="str">
        <f t="shared" si="359"/>
        <v>-</v>
      </c>
      <c r="AQ1087" s="8"/>
      <c r="AR1087" s="17" t="str">
        <f t="shared" si="360"/>
        <v>-</v>
      </c>
      <c r="AS1087" s="17" t="str">
        <f t="shared" si="361"/>
        <v>-</v>
      </c>
      <c r="AT1087" s="13" t="str">
        <f t="shared" si="362"/>
        <v>-</v>
      </c>
      <c r="AU1087" s="8"/>
    </row>
    <row r="1088" spans="8:47" x14ac:dyDescent="0.25">
      <c r="H1088" s="27">
        <f>IF($G1088&lt;&gt;0,SUMIF(куб!$G:$G,$G1088,куб!H:H),IF($E1088&lt;&gt;0,SUMIF(куб!$E:$E,$E1088,куб!H:H),IF($D1088&lt;&gt;0,SUMIF(куб!$D:$D,$D1088,куб!H:H),IF($C1088&lt;&gt;0,SUMIF(куб!$C:$C,$C1088,куб!H:H),IF($B1088&lt;&gt;0,SUMIF(куб!$B:$B,$B1088,куб!H:H),IF($G1088&lt;&gt;0,SUMIF(куб!$A:$A,$G1088,куб!H:H),SUMIF(куб!$A:$A,$G1088,куб!H:H)))))))</f>
        <v>0</v>
      </c>
      <c r="I1088" s="27">
        <f>IF($G1088&lt;&gt;0,SUMIF(куб!$G:$G,$G1088,куб!I:I),IF($E1088&lt;&gt;0,SUMIF(куб!$E:$E,$E1088,куб!I:I),IF($D1088&lt;&gt;0,SUMIF(куб!$D:$D,$D1088,куб!I:I),IF($C1088&lt;&gt;0,SUMIF(куб!$C:$C,$C1088,куб!I:I),IF($B1088&lt;&gt;0,SUMIF(куб!$B:$B,$B1088,куб!I:I),IF($G1088&lt;&gt;0,SUMIF(куб!$A:$A,$G1088,куб!I:I),SUMIF(куб!$A:$A,$G1088,куб!I:I)))))))</f>
        <v>0</v>
      </c>
      <c r="J1088" s="19" t="str">
        <f t="shared" si="345"/>
        <v>-</v>
      </c>
      <c r="K1088" s="8"/>
      <c r="L1088" s="17">
        <f t="shared" si="346"/>
        <v>0</v>
      </c>
      <c r="M1088" s="17">
        <f t="shared" si="347"/>
        <v>0</v>
      </c>
      <c r="N1088" s="12">
        <f t="shared" si="348"/>
        <v>0</v>
      </c>
      <c r="O1088" s="5"/>
      <c r="P1088" s="27" t="b">
        <f>IF($G1088&lt;&gt;0,SUMIF(куб!$G:$G,$G1088,куб!J:J),IF($E1088&lt;&gt;0,SUMIF(куб!$E:$E,$E1088,куб!J:J),IF($D1088&lt;&gt;0,SUMIF(куб!$D:$D,$D1088,куб!J:J),IF($C1088&lt;&gt;0,SUMIF(куб!$C:$C,$C1088,куб!J:J),IF($B1088&lt;&gt;0,SUMIF(куб!$B:$B,$B1088,куб!J:J))))))</f>
        <v>0</v>
      </c>
      <c r="Q1088" s="27" t="b">
        <f>IF($G1088&lt;&gt;0,SUMIF(куб!$G:$G,$G1088,куб!K:K),IF($E1088&lt;&gt;0,SUMIF(куб!$E:$E,$E1088,куб!K:K),IF($D1088&lt;&gt;0,SUMIF(куб!$D:$D,$D1088,куб!K:K),IF($C1088&lt;&gt;0,SUMIF(куб!$C:$C,$C1088,куб!K:K),IF($B1088&lt;&gt;0,SUMIF(куб!$B:$B,$B1088,куб!K:K))))))</f>
        <v>0</v>
      </c>
      <c r="R1088" s="13" t="str">
        <f t="shared" si="349"/>
        <v>-</v>
      </c>
      <c r="S1088" s="5"/>
      <c r="T1088" s="27" t="b">
        <f>IF($G1088&lt;&gt;0,SUMIF(куб!$G:$G,$G1088,куб!L:L),IF($E1088&lt;&gt;0,SUMIF(куб!$E:$E,$E1088,куб!L:L),IF($D1088&lt;&gt;0,SUMIF(куб!$D:$D,$D1088,куб!L:L),IF($C1088&lt;&gt;0,SUMIF(куб!$C:$C,$C1088,куб!L:L),IF($B1088&lt;&gt;0,SUMIF(куб!$B:$B,$B1088,куб!L:L))))))</f>
        <v>0</v>
      </c>
      <c r="U1088" s="27" t="b">
        <f>IF($G1088&lt;&gt;0,SUMIF(куб!$G:$G,$G1088,куб!M:M),IF($E1088&lt;&gt;0,SUMIF(куб!$E:$E,$E1088,куб!M:M),IF($D1088&lt;&gt;0,SUMIF(куб!$D:$D,$D1088,куб!M:M),IF($C1088&lt;&gt;0,SUMIF(куб!$C:$C,$C1088,куб!M:M),IF($B1088&lt;&gt;0,SUMIF(куб!$B:$B,$B1088,куб!M:M))))))</f>
        <v>0</v>
      </c>
      <c r="V1088" s="13" t="str">
        <f t="shared" si="350"/>
        <v>-</v>
      </c>
      <c r="W1088" s="5"/>
      <c r="X1088" s="27" t="b">
        <f>IF($G1088&lt;&gt;0,SUMIF(куб!$G:$G,$G1088,куб!N:N),IF($E1088&lt;&gt;0,SUMIF(куб!$E:$E,$E1088,куб!N:N),IF($D1088&lt;&gt;0,SUMIF(куб!$D:$D,$D1088,куб!N:N),IF($C1088&lt;&gt;0,SUMIF(куб!$C:$C,$C1088,куб!N:N),IF($B1088&lt;&gt;0,SUMIF(куб!$B:$B,$B1088,куб!N:N))))))</f>
        <v>0</v>
      </c>
      <c r="Y1088" s="27" t="b">
        <f>IF($G1088&lt;&gt;0,SUMIF(куб!$G:$G,$G1088,куб!O:O),IF($E1088&lt;&gt;0,SUMIF(куб!$E:$E,$E1088,куб!O:O),IF($D1088&lt;&gt;0,SUMIF(куб!$D:$D,$D1088,куб!O:O),IF($C1088&lt;&gt;0,SUMIF(куб!$C:$C,$C1088,куб!O:O),IF($B1088&lt;&gt;0,SUMIF(куб!$B:$B,$B1088,куб!O:O))))))</f>
        <v>0</v>
      </c>
      <c r="Z1088" s="13" t="str">
        <f t="shared" si="351"/>
        <v>-</v>
      </c>
      <c r="AA1088" s="5"/>
      <c r="AB1088" s="33" t="str">
        <f t="shared" si="352"/>
        <v/>
      </c>
      <c r="AC1088" s="33" t="str">
        <f t="shared" si="353"/>
        <v/>
      </c>
      <c r="AD1088" s="15" t="str">
        <f t="shared" si="354"/>
        <v xml:space="preserve"> </v>
      </c>
      <c r="AE1088" s="5"/>
      <c r="AF1088" s="27" t="b">
        <f>IF($G1088&lt;&gt;0,SUMIF(куб!$G:$G,$G1088,куб!R:R),IF($E1088&lt;&gt;0,SUMIF(куб!$E:$E,$E1088,куб!R:R),IF($D1088&lt;&gt;0,SUMIF(куб!$D:$D,$D1088,куб!R:R),IF($C1088&lt;&gt;0,SUMIF(куб!$C:$C,$C1088,куб!R:R),IF($B1088&lt;&gt;0,SUMIF(куб!$B:$B,$B1088,куб!R:R))))))</f>
        <v>0</v>
      </c>
      <c r="AG1088" s="27" t="b">
        <f>IF($G1088&lt;&gt;0,SUMIF(куб!$G:$G,$G1088,куб!S:S),IF($E1088&lt;&gt;0,SUMIF(куб!$E:$E,$E1088,куб!S:S),IF($D1088&lt;&gt;0,SUMIF(куб!$D:$D,$D1088,куб!S:S),IF($C1088&lt;&gt;0,SUMIF(куб!$C:$C,$C1088,куб!S:S),IF($B1088&lt;&gt;0,SUMIF(куб!$B:$B,$B1088,куб!S:S))))))</f>
        <v>0</v>
      </c>
      <c r="AH1088" s="16" t="str">
        <f t="shared" si="355"/>
        <v>-</v>
      </c>
      <c r="AI1088" s="8"/>
      <c r="AJ1088" s="27" t="b">
        <f>IF($G1088&lt;&gt;0,SUMIF(куб!$G:$G,$G1088,куб!T:T),IF($E1088&lt;&gt;0,SUMIF(куб!$E:$E,$E1088,куб!T:T),IF($D1088&lt;&gt;0,SUMIF(куб!$D:$D,$D1088,куб!T:T),IF($C1088&lt;&gt;0,SUMIF(куб!$C:$C,$C1088,куб!T:T),IF($B1088&lt;&gt;0,SUMIF(куб!$B:$B,$B1088,куб!T:T))))))</f>
        <v>0</v>
      </c>
      <c r="AK1088" s="27" t="b">
        <f>IF($G1088&lt;&gt;0,SUMIF(куб!$G:$G,$G1088,куб!U:U),IF($E1088&lt;&gt;0,SUMIF(куб!$E:$E,$E1088,куб!U:U),IF($D1088&lt;&gt;0,SUMIF(куб!$D:$D,$D1088,куб!U:U),IF($C1088&lt;&gt;0,SUMIF(куб!$C:$C,$C1088,куб!U:U),IF($B1088&lt;&gt;0,SUMIF(куб!$B:$B,$B1088,куб!U:U))))))</f>
        <v>0</v>
      </c>
      <c r="AL1088" s="16" t="str">
        <f t="shared" si="356"/>
        <v>-</v>
      </c>
      <c r="AM1088" s="8"/>
      <c r="AN1088" s="17" t="str">
        <f t="shared" si="357"/>
        <v xml:space="preserve"> </v>
      </c>
      <c r="AO1088" s="17" t="str">
        <f t="shared" si="358"/>
        <v xml:space="preserve"> </v>
      </c>
      <c r="AP1088" s="16" t="str">
        <f t="shared" si="359"/>
        <v>-</v>
      </c>
      <c r="AQ1088" s="8"/>
      <c r="AR1088" s="17" t="str">
        <f t="shared" si="360"/>
        <v>-</v>
      </c>
      <c r="AS1088" s="17" t="str">
        <f t="shared" si="361"/>
        <v>-</v>
      </c>
      <c r="AT1088" s="13" t="str">
        <f t="shared" si="362"/>
        <v>-</v>
      </c>
      <c r="AU1088" s="8"/>
    </row>
    <row r="1089" spans="8:47" x14ac:dyDescent="0.25">
      <c r="H1089" s="27">
        <f>IF($G1089&lt;&gt;0,SUMIF(куб!$G:$G,$G1089,куб!H:H),IF($E1089&lt;&gt;0,SUMIF(куб!$E:$E,$E1089,куб!H:H),IF($D1089&lt;&gt;0,SUMIF(куб!$D:$D,$D1089,куб!H:H),IF($C1089&lt;&gt;0,SUMIF(куб!$C:$C,$C1089,куб!H:H),IF($B1089&lt;&gt;0,SUMIF(куб!$B:$B,$B1089,куб!H:H),IF($G1089&lt;&gt;0,SUMIF(куб!$A:$A,$G1089,куб!H:H),SUMIF(куб!$A:$A,$G1089,куб!H:H)))))))</f>
        <v>0</v>
      </c>
      <c r="I1089" s="27">
        <f>IF($G1089&lt;&gt;0,SUMIF(куб!$G:$G,$G1089,куб!I:I),IF($E1089&lt;&gt;0,SUMIF(куб!$E:$E,$E1089,куб!I:I),IF($D1089&lt;&gt;0,SUMIF(куб!$D:$D,$D1089,куб!I:I),IF($C1089&lt;&gt;0,SUMIF(куб!$C:$C,$C1089,куб!I:I),IF($B1089&lt;&gt;0,SUMIF(куб!$B:$B,$B1089,куб!I:I),IF($G1089&lt;&gt;0,SUMIF(куб!$A:$A,$G1089,куб!I:I),SUMIF(куб!$A:$A,$G1089,куб!I:I)))))))</f>
        <v>0</v>
      </c>
      <c r="J1089" s="19" t="str">
        <f t="shared" si="345"/>
        <v>-</v>
      </c>
      <c r="K1089" s="8"/>
      <c r="L1089" s="17">
        <f t="shared" si="346"/>
        <v>0</v>
      </c>
      <c r="M1089" s="17">
        <f t="shared" si="347"/>
        <v>0</v>
      </c>
      <c r="N1089" s="12">
        <f t="shared" si="348"/>
        <v>0</v>
      </c>
      <c r="O1089" s="5"/>
      <c r="P1089" s="27" t="b">
        <f>IF($G1089&lt;&gt;0,SUMIF(куб!$G:$G,$G1089,куб!J:J),IF($E1089&lt;&gt;0,SUMIF(куб!$E:$E,$E1089,куб!J:J),IF($D1089&lt;&gt;0,SUMIF(куб!$D:$D,$D1089,куб!J:J),IF($C1089&lt;&gt;0,SUMIF(куб!$C:$C,$C1089,куб!J:J),IF($B1089&lt;&gt;0,SUMIF(куб!$B:$B,$B1089,куб!J:J))))))</f>
        <v>0</v>
      </c>
      <c r="Q1089" s="27" t="b">
        <f>IF($G1089&lt;&gt;0,SUMIF(куб!$G:$G,$G1089,куб!K:K),IF($E1089&lt;&gt;0,SUMIF(куб!$E:$E,$E1089,куб!K:K),IF($D1089&lt;&gt;0,SUMIF(куб!$D:$D,$D1089,куб!K:K),IF($C1089&lt;&gt;0,SUMIF(куб!$C:$C,$C1089,куб!K:K),IF($B1089&lt;&gt;0,SUMIF(куб!$B:$B,$B1089,куб!K:K))))))</f>
        <v>0</v>
      </c>
      <c r="R1089" s="13" t="str">
        <f t="shared" si="349"/>
        <v>-</v>
      </c>
      <c r="S1089" s="5"/>
      <c r="T1089" s="27" t="b">
        <f>IF($G1089&lt;&gt;0,SUMIF(куб!$G:$G,$G1089,куб!L:L),IF($E1089&lt;&gt;0,SUMIF(куб!$E:$E,$E1089,куб!L:L),IF($D1089&lt;&gt;0,SUMIF(куб!$D:$D,$D1089,куб!L:L),IF($C1089&lt;&gt;0,SUMIF(куб!$C:$C,$C1089,куб!L:L),IF($B1089&lt;&gt;0,SUMIF(куб!$B:$B,$B1089,куб!L:L))))))</f>
        <v>0</v>
      </c>
      <c r="U1089" s="27" t="b">
        <f>IF($G1089&lt;&gt;0,SUMIF(куб!$G:$G,$G1089,куб!M:M),IF($E1089&lt;&gt;0,SUMIF(куб!$E:$E,$E1089,куб!M:M),IF($D1089&lt;&gt;0,SUMIF(куб!$D:$D,$D1089,куб!M:M),IF($C1089&lt;&gt;0,SUMIF(куб!$C:$C,$C1089,куб!M:M),IF($B1089&lt;&gt;0,SUMIF(куб!$B:$B,$B1089,куб!M:M))))))</f>
        <v>0</v>
      </c>
      <c r="V1089" s="13" t="str">
        <f t="shared" si="350"/>
        <v>-</v>
      </c>
      <c r="W1089" s="5"/>
      <c r="X1089" s="27" t="b">
        <f>IF($G1089&lt;&gt;0,SUMIF(куб!$G:$G,$G1089,куб!N:N),IF($E1089&lt;&gt;0,SUMIF(куб!$E:$E,$E1089,куб!N:N),IF($D1089&lt;&gt;0,SUMIF(куб!$D:$D,$D1089,куб!N:N),IF($C1089&lt;&gt;0,SUMIF(куб!$C:$C,$C1089,куб!N:N),IF($B1089&lt;&gt;0,SUMIF(куб!$B:$B,$B1089,куб!N:N))))))</f>
        <v>0</v>
      </c>
      <c r="Y1089" s="27" t="b">
        <f>IF($G1089&lt;&gt;0,SUMIF(куб!$G:$G,$G1089,куб!O:O),IF($E1089&lt;&gt;0,SUMIF(куб!$E:$E,$E1089,куб!O:O),IF($D1089&lt;&gt;0,SUMIF(куб!$D:$D,$D1089,куб!O:O),IF($C1089&lt;&gt;0,SUMIF(куб!$C:$C,$C1089,куб!O:O),IF($B1089&lt;&gt;0,SUMIF(куб!$B:$B,$B1089,куб!O:O))))))</f>
        <v>0</v>
      </c>
      <c r="Z1089" s="13" t="str">
        <f t="shared" si="351"/>
        <v>-</v>
      </c>
      <c r="AA1089" s="5"/>
      <c r="AB1089" s="33" t="str">
        <f t="shared" si="352"/>
        <v/>
      </c>
      <c r="AC1089" s="33" t="str">
        <f t="shared" si="353"/>
        <v/>
      </c>
      <c r="AD1089" s="15" t="str">
        <f t="shared" si="354"/>
        <v xml:space="preserve"> </v>
      </c>
      <c r="AE1089" s="5"/>
      <c r="AF1089" s="27" t="b">
        <f>IF($G1089&lt;&gt;0,SUMIF(куб!$G:$G,$G1089,куб!R:R),IF($E1089&lt;&gt;0,SUMIF(куб!$E:$E,$E1089,куб!R:R),IF($D1089&lt;&gt;0,SUMIF(куб!$D:$D,$D1089,куб!R:R),IF($C1089&lt;&gt;0,SUMIF(куб!$C:$C,$C1089,куб!R:R),IF($B1089&lt;&gt;0,SUMIF(куб!$B:$B,$B1089,куб!R:R))))))</f>
        <v>0</v>
      </c>
      <c r="AG1089" s="27" t="b">
        <f>IF($G1089&lt;&gt;0,SUMIF(куб!$G:$G,$G1089,куб!S:S),IF($E1089&lt;&gt;0,SUMIF(куб!$E:$E,$E1089,куб!S:S),IF($D1089&lt;&gt;0,SUMIF(куб!$D:$D,$D1089,куб!S:S),IF($C1089&lt;&gt;0,SUMIF(куб!$C:$C,$C1089,куб!S:S),IF($B1089&lt;&gt;0,SUMIF(куб!$B:$B,$B1089,куб!S:S))))))</f>
        <v>0</v>
      </c>
      <c r="AH1089" s="16" t="str">
        <f t="shared" si="355"/>
        <v>-</v>
      </c>
      <c r="AI1089" s="8"/>
      <c r="AJ1089" s="27" t="b">
        <f>IF($G1089&lt;&gt;0,SUMIF(куб!$G:$G,$G1089,куб!T:T),IF($E1089&lt;&gt;0,SUMIF(куб!$E:$E,$E1089,куб!T:T),IF($D1089&lt;&gt;0,SUMIF(куб!$D:$D,$D1089,куб!T:T),IF($C1089&lt;&gt;0,SUMIF(куб!$C:$C,$C1089,куб!T:T),IF($B1089&lt;&gt;0,SUMIF(куб!$B:$B,$B1089,куб!T:T))))))</f>
        <v>0</v>
      </c>
      <c r="AK1089" s="27" t="b">
        <f>IF($G1089&lt;&gt;0,SUMIF(куб!$G:$G,$G1089,куб!U:U),IF($E1089&lt;&gt;0,SUMIF(куб!$E:$E,$E1089,куб!U:U),IF($D1089&lt;&gt;0,SUMIF(куб!$D:$D,$D1089,куб!U:U),IF($C1089&lt;&gt;0,SUMIF(куб!$C:$C,$C1089,куб!U:U),IF($B1089&lt;&gt;0,SUMIF(куб!$B:$B,$B1089,куб!U:U))))))</f>
        <v>0</v>
      </c>
      <c r="AL1089" s="16" t="str">
        <f t="shared" si="356"/>
        <v>-</v>
      </c>
      <c r="AM1089" s="8"/>
      <c r="AN1089" s="17" t="str">
        <f t="shared" si="357"/>
        <v xml:space="preserve"> </v>
      </c>
      <c r="AO1089" s="17" t="str">
        <f t="shared" si="358"/>
        <v xml:space="preserve"> </v>
      </c>
      <c r="AP1089" s="16" t="str">
        <f t="shared" si="359"/>
        <v>-</v>
      </c>
      <c r="AQ1089" s="8"/>
      <c r="AR1089" s="17" t="str">
        <f t="shared" si="360"/>
        <v>-</v>
      </c>
      <c r="AS1089" s="17" t="str">
        <f t="shared" si="361"/>
        <v>-</v>
      </c>
      <c r="AT1089" s="13" t="str">
        <f t="shared" si="362"/>
        <v>-</v>
      </c>
      <c r="AU1089" s="8"/>
    </row>
    <row r="1090" spans="8:47" x14ac:dyDescent="0.25">
      <c r="H1090" s="27">
        <f>IF($G1090&lt;&gt;0,SUMIF(куб!$G:$G,$G1090,куб!H:H),IF($E1090&lt;&gt;0,SUMIF(куб!$E:$E,$E1090,куб!H:H),IF($D1090&lt;&gt;0,SUMIF(куб!$D:$D,$D1090,куб!H:H),IF($C1090&lt;&gt;0,SUMIF(куб!$C:$C,$C1090,куб!H:H),IF($B1090&lt;&gt;0,SUMIF(куб!$B:$B,$B1090,куб!H:H),IF($G1090&lt;&gt;0,SUMIF(куб!$A:$A,$G1090,куб!H:H),SUMIF(куб!$A:$A,$G1090,куб!H:H)))))))</f>
        <v>0</v>
      </c>
      <c r="I1090" s="27">
        <f>IF($G1090&lt;&gt;0,SUMIF(куб!$G:$G,$G1090,куб!I:I),IF($E1090&lt;&gt;0,SUMIF(куб!$E:$E,$E1090,куб!I:I),IF($D1090&lt;&gt;0,SUMIF(куб!$D:$D,$D1090,куб!I:I),IF($C1090&lt;&gt;0,SUMIF(куб!$C:$C,$C1090,куб!I:I),IF($B1090&lt;&gt;0,SUMIF(куб!$B:$B,$B1090,куб!I:I),IF($G1090&lt;&gt;0,SUMIF(куб!$A:$A,$G1090,куб!I:I),SUMIF(куб!$A:$A,$G1090,куб!I:I)))))))</f>
        <v>0</v>
      </c>
      <c r="J1090" s="19" t="str">
        <f t="shared" si="345"/>
        <v>-</v>
      </c>
      <c r="K1090" s="8"/>
      <c r="L1090" s="17">
        <f t="shared" si="346"/>
        <v>0</v>
      </c>
      <c r="M1090" s="17">
        <f t="shared" si="347"/>
        <v>0</v>
      </c>
      <c r="N1090" s="12">
        <f t="shared" si="348"/>
        <v>0</v>
      </c>
      <c r="O1090" s="5"/>
      <c r="P1090" s="27" t="b">
        <f>IF($G1090&lt;&gt;0,SUMIF(куб!$G:$G,$G1090,куб!J:J),IF($E1090&lt;&gt;0,SUMIF(куб!$E:$E,$E1090,куб!J:J),IF($D1090&lt;&gt;0,SUMIF(куб!$D:$D,$D1090,куб!J:J),IF($C1090&lt;&gt;0,SUMIF(куб!$C:$C,$C1090,куб!J:J),IF($B1090&lt;&gt;0,SUMIF(куб!$B:$B,$B1090,куб!J:J))))))</f>
        <v>0</v>
      </c>
      <c r="Q1090" s="27" t="b">
        <f>IF($G1090&lt;&gt;0,SUMIF(куб!$G:$G,$G1090,куб!K:K),IF($E1090&lt;&gt;0,SUMIF(куб!$E:$E,$E1090,куб!K:K),IF($D1090&lt;&gt;0,SUMIF(куб!$D:$D,$D1090,куб!K:K),IF($C1090&lt;&gt;0,SUMIF(куб!$C:$C,$C1090,куб!K:K),IF($B1090&lt;&gt;0,SUMIF(куб!$B:$B,$B1090,куб!K:K))))))</f>
        <v>0</v>
      </c>
      <c r="R1090" s="13" t="str">
        <f t="shared" si="349"/>
        <v>-</v>
      </c>
      <c r="S1090" s="5"/>
      <c r="T1090" s="27" t="b">
        <f>IF($G1090&lt;&gt;0,SUMIF(куб!$G:$G,$G1090,куб!L:L),IF($E1090&lt;&gt;0,SUMIF(куб!$E:$E,$E1090,куб!L:L),IF($D1090&lt;&gt;0,SUMIF(куб!$D:$D,$D1090,куб!L:L),IF($C1090&lt;&gt;0,SUMIF(куб!$C:$C,$C1090,куб!L:L),IF($B1090&lt;&gt;0,SUMIF(куб!$B:$B,$B1090,куб!L:L))))))</f>
        <v>0</v>
      </c>
      <c r="U1090" s="27" t="b">
        <f>IF($G1090&lt;&gt;0,SUMIF(куб!$G:$G,$G1090,куб!M:M),IF($E1090&lt;&gt;0,SUMIF(куб!$E:$E,$E1090,куб!M:M),IF($D1090&lt;&gt;0,SUMIF(куб!$D:$D,$D1090,куб!M:M),IF($C1090&lt;&gt;0,SUMIF(куб!$C:$C,$C1090,куб!M:M),IF($B1090&lt;&gt;0,SUMIF(куб!$B:$B,$B1090,куб!M:M))))))</f>
        <v>0</v>
      </c>
      <c r="V1090" s="13" t="str">
        <f t="shared" si="350"/>
        <v>-</v>
      </c>
      <c r="W1090" s="5"/>
      <c r="X1090" s="27" t="b">
        <f>IF($G1090&lt;&gt;0,SUMIF(куб!$G:$G,$G1090,куб!N:N),IF($E1090&lt;&gt;0,SUMIF(куб!$E:$E,$E1090,куб!N:N),IF($D1090&lt;&gt;0,SUMIF(куб!$D:$D,$D1090,куб!N:N),IF($C1090&lt;&gt;0,SUMIF(куб!$C:$C,$C1090,куб!N:N),IF($B1090&lt;&gt;0,SUMIF(куб!$B:$B,$B1090,куб!N:N))))))</f>
        <v>0</v>
      </c>
      <c r="Y1090" s="27" t="b">
        <f>IF($G1090&lt;&gt;0,SUMIF(куб!$G:$G,$G1090,куб!O:O),IF($E1090&lt;&gt;0,SUMIF(куб!$E:$E,$E1090,куб!O:O),IF($D1090&lt;&gt;0,SUMIF(куб!$D:$D,$D1090,куб!O:O),IF($C1090&lt;&gt;0,SUMIF(куб!$C:$C,$C1090,куб!O:O),IF($B1090&lt;&gt;0,SUMIF(куб!$B:$B,$B1090,куб!O:O))))))</f>
        <v>0</v>
      </c>
      <c r="Z1090" s="13" t="str">
        <f t="shared" si="351"/>
        <v>-</v>
      </c>
      <c r="AA1090" s="5"/>
      <c r="AB1090" s="33" t="str">
        <f t="shared" si="352"/>
        <v/>
      </c>
      <c r="AC1090" s="33" t="str">
        <f t="shared" si="353"/>
        <v/>
      </c>
      <c r="AD1090" s="15" t="str">
        <f t="shared" si="354"/>
        <v xml:space="preserve"> </v>
      </c>
      <c r="AE1090" s="5"/>
      <c r="AF1090" s="27" t="b">
        <f>IF($G1090&lt;&gt;0,SUMIF(куб!$G:$G,$G1090,куб!R:R),IF($E1090&lt;&gt;0,SUMIF(куб!$E:$E,$E1090,куб!R:R),IF($D1090&lt;&gt;0,SUMIF(куб!$D:$D,$D1090,куб!R:R),IF($C1090&lt;&gt;0,SUMIF(куб!$C:$C,$C1090,куб!R:R),IF($B1090&lt;&gt;0,SUMIF(куб!$B:$B,$B1090,куб!R:R))))))</f>
        <v>0</v>
      </c>
      <c r="AG1090" s="27" t="b">
        <f>IF($G1090&lt;&gt;0,SUMIF(куб!$G:$G,$G1090,куб!S:S),IF($E1090&lt;&gt;0,SUMIF(куб!$E:$E,$E1090,куб!S:S),IF($D1090&lt;&gt;0,SUMIF(куб!$D:$D,$D1090,куб!S:S),IF($C1090&lt;&gt;0,SUMIF(куб!$C:$C,$C1090,куб!S:S),IF($B1090&lt;&gt;0,SUMIF(куб!$B:$B,$B1090,куб!S:S))))))</f>
        <v>0</v>
      </c>
      <c r="AH1090" s="16" t="str">
        <f t="shared" si="355"/>
        <v>-</v>
      </c>
      <c r="AI1090" s="8"/>
      <c r="AJ1090" s="27" t="b">
        <f>IF($G1090&lt;&gt;0,SUMIF(куб!$G:$G,$G1090,куб!T:T),IF($E1090&lt;&gt;0,SUMIF(куб!$E:$E,$E1090,куб!T:T),IF($D1090&lt;&gt;0,SUMIF(куб!$D:$D,$D1090,куб!T:T),IF($C1090&lt;&gt;0,SUMIF(куб!$C:$C,$C1090,куб!T:T),IF($B1090&lt;&gt;0,SUMIF(куб!$B:$B,$B1090,куб!T:T))))))</f>
        <v>0</v>
      </c>
      <c r="AK1090" s="27" t="b">
        <f>IF($G1090&lt;&gt;0,SUMIF(куб!$G:$G,$G1090,куб!U:U),IF($E1090&lt;&gt;0,SUMIF(куб!$E:$E,$E1090,куб!U:U),IF($D1090&lt;&gt;0,SUMIF(куб!$D:$D,$D1090,куб!U:U),IF($C1090&lt;&gt;0,SUMIF(куб!$C:$C,$C1090,куб!U:U),IF($B1090&lt;&gt;0,SUMIF(куб!$B:$B,$B1090,куб!U:U))))))</f>
        <v>0</v>
      </c>
      <c r="AL1090" s="16" t="str">
        <f t="shared" si="356"/>
        <v>-</v>
      </c>
      <c r="AM1090" s="8"/>
      <c r="AN1090" s="17" t="str">
        <f t="shared" si="357"/>
        <v xml:space="preserve"> </v>
      </c>
      <c r="AO1090" s="17" t="str">
        <f t="shared" si="358"/>
        <v xml:space="preserve"> </v>
      </c>
      <c r="AP1090" s="16" t="str">
        <f t="shared" si="359"/>
        <v>-</v>
      </c>
      <c r="AQ1090" s="8"/>
      <c r="AR1090" s="17" t="str">
        <f t="shared" si="360"/>
        <v>-</v>
      </c>
      <c r="AS1090" s="17" t="str">
        <f t="shared" si="361"/>
        <v>-</v>
      </c>
      <c r="AT1090" s="13" t="str">
        <f t="shared" si="362"/>
        <v>-</v>
      </c>
      <c r="AU1090" s="8"/>
    </row>
    <row r="1091" spans="8:47" x14ac:dyDescent="0.25">
      <c r="H1091" s="27">
        <f>IF($G1091&lt;&gt;0,SUMIF(куб!$G:$G,$G1091,куб!H:H),IF($E1091&lt;&gt;0,SUMIF(куб!$E:$E,$E1091,куб!H:H),IF($D1091&lt;&gt;0,SUMIF(куб!$D:$D,$D1091,куб!H:H),IF($C1091&lt;&gt;0,SUMIF(куб!$C:$C,$C1091,куб!H:H),IF($B1091&lt;&gt;0,SUMIF(куб!$B:$B,$B1091,куб!H:H),IF($G1091&lt;&gt;0,SUMIF(куб!$A:$A,$G1091,куб!H:H),SUMIF(куб!$A:$A,$G1091,куб!H:H)))))))</f>
        <v>0</v>
      </c>
      <c r="I1091" s="27">
        <f>IF($G1091&lt;&gt;0,SUMIF(куб!$G:$G,$G1091,куб!I:I),IF($E1091&lt;&gt;0,SUMIF(куб!$E:$E,$E1091,куб!I:I),IF($D1091&lt;&gt;0,SUMIF(куб!$D:$D,$D1091,куб!I:I),IF($C1091&lt;&gt;0,SUMIF(куб!$C:$C,$C1091,куб!I:I),IF($B1091&lt;&gt;0,SUMIF(куб!$B:$B,$B1091,куб!I:I),IF($G1091&lt;&gt;0,SUMIF(куб!$A:$A,$G1091,куб!I:I),SUMIF(куб!$A:$A,$G1091,куб!I:I)))))))</f>
        <v>0</v>
      </c>
      <c r="J1091" s="19" t="str">
        <f t="shared" si="345"/>
        <v>-</v>
      </c>
      <c r="K1091" s="8"/>
      <c r="L1091" s="17">
        <f t="shared" si="346"/>
        <v>0</v>
      </c>
      <c r="M1091" s="17">
        <f t="shared" si="347"/>
        <v>0</v>
      </c>
      <c r="N1091" s="12">
        <f t="shared" si="348"/>
        <v>0</v>
      </c>
      <c r="O1091" s="5"/>
      <c r="P1091" s="27" t="b">
        <f>IF($G1091&lt;&gt;0,SUMIF(куб!$G:$G,$G1091,куб!J:J),IF($E1091&lt;&gt;0,SUMIF(куб!$E:$E,$E1091,куб!J:J),IF($D1091&lt;&gt;0,SUMIF(куб!$D:$D,$D1091,куб!J:J),IF($C1091&lt;&gt;0,SUMIF(куб!$C:$C,$C1091,куб!J:J),IF($B1091&lt;&gt;0,SUMIF(куб!$B:$B,$B1091,куб!J:J))))))</f>
        <v>0</v>
      </c>
      <c r="Q1091" s="27" t="b">
        <f>IF($G1091&lt;&gt;0,SUMIF(куб!$G:$G,$G1091,куб!K:K),IF($E1091&lt;&gt;0,SUMIF(куб!$E:$E,$E1091,куб!K:K),IF($D1091&lt;&gt;0,SUMIF(куб!$D:$D,$D1091,куб!K:K),IF($C1091&lt;&gt;0,SUMIF(куб!$C:$C,$C1091,куб!K:K),IF($B1091&lt;&gt;0,SUMIF(куб!$B:$B,$B1091,куб!K:K))))))</f>
        <v>0</v>
      </c>
      <c r="R1091" s="13" t="str">
        <f t="shared" si="349"/>
        <v>-</v>
      </c>
      <c r="S1091" s="5"/>
      <c r="T1091" s="27" t="b">
        <f>IF($G1091&lt;&gt;0,SUMIF(куб!$G:$G,$G1091,куб!L:L),IF($E1091&lt;&gt;0,SUMIF(куб!$E:$E,$E1091,куб!L:L),IF($D1091&lt;&gt;0,SUMIF(куб!$D:$D,$D1091,куб!L:L),IF($C1091&lt;&gt;0,SUMIF(куб!$C:$C,$C1091,куб!L:L),IF($B1091&lt;&gt;0,SUMIF(куб!$B:$B,$B1091,куб!L:L))))))</f>
        <v>0</v>
      </c>
      <c r="U1091" s="27" t="b">
        <f>IF($G1091&lt;&gt;0,SUMIF(куб!$G:$G,$G1091,куб!M:M),IF($E1091&lt;&gt;0,SUMIF(куб!$E:$E,$E1091,куб!M:M),IF($D1091&lt;&gt;0,SUMIF(куб!$D:$D,$D1091,куб!M:M),IF($C1091&lt;&gt;0,SUMIF(куб!$C:$C,$C1091,куб!M:M),IF($B1091&lt;&gt;0,SUMIF(куб!$B:$B,$B1091,куб!M:M))))))</f>
        <v>0</v>
      </c>
      <c r="V1091" s="13" t="str">
        <f t="shared" si="350"/>
        <v>-</v>
      </c>
      <c r="W1091" s="5"/>
      <c r="X1091" s="27" t="b">
        <f>IF($G1091&lt;&gt;0,SUMIF(куб!$G:$G,$G1091,куб!N:N),IF($E1091&lt;&gt;0,SUMIF(куб!$E:$E,$E1091,куб!N:N),IF($D1091&lt;&gt;0,SUMIF(куб!$D:$D,$D1091,куб!N:N),IF($C1091&lt;&gt;0,SUMIF(куб!$C:$C,$C1091,куб!N:N),IF($B1091&lt;&gt;0,SUMIF(куб!$B:$B,$B1091,куб!N:N))))))</f>
        <v>0</v>
      </c>
      <c r="Y1091" s="27" t="b">
        <f>IF($G1091&lt;&gt;0,SUMIF(куб!$G:$G,$G1091,куб!O:O),IF($E1091&lt;&gt;0,SUMIF(куб!$E:$E,$E1091,куб!O:O),IF($D1091&lt;&gt;0,SUMIF(куб!$D:$D,$D1091,куб!O:O),IF($C1091&lt;&gt;0,SUMIF(куб!$C:$C,$C1091,куб!O:O),IF($B1091&lt;&gt;0,SUMIF(куб!$B:$B,$B1091,куб!O:O))))))</f>
        <v>0</v>
      </c>
      <c r="Z1091" s="13" t="str">
        <f t="shared" si="351"/>
        <v>-</v>
      </c>
      <c r="AA1091" s="5"/>
      <c r="AB1091" s="33" t="str">
        <f t="shared" si="352"/>
        <v/>
      </c>
      <c r="AC1091" s="33" t="str">
        <f t="shared" si="353"/>
        <v/>
      </c>
      <c r="AD1091" s="15" t="str">
        <f t="shared" si="354"/>
        <v xml:space="preserve"> </v>
      </c>
      <c r="AE1091" s="5"/>
      <c r="AF1091" s="27" t="b">
        <f>IF($G1091&lt;&gt;0,SUMIF(куб!$G:$G,$G1091,куб!R:R),IF($E1091&lt;&gt;0,SUMIF(куб!$E:$E,$E1091,куб!R:R),IF($D1091&lt;&gt;0,SUMIF(куб!$D:$D,$D1091,куб!R:R),IF($C1091&lt;&gt;0,SUMIF(куб!$C:$C,$C1091,куб!R:R),IF($B1091&lt;&gt;0,SUMIF(куб!$B:$B,$B1091,куб!R:R))))))</f>
        <v>0</v>
      </c>
      <c r="AG1091" s="27" t="b">
        <f>IF($G1091&lt;&gt;0,SUMIF(куб!$G:$G,$G1091,куб!S:S),IF($E1091&lt;&gt;0,SUMIF(куб!$E:$E,$E1091,куб!S:S),IF($D1091&lt;&gt;0,SUMIF(куб!$D:$D,$D1091,куб!S:S),IF($C1091&lt;&gt;0,SUMIF(куб!$C:$C,$C1091,куб!S:S),IF($B1091&lt;&gt;0,SUMIF(куб!$B:$B,$B1091,куб!S:S))))))</f>
        <v>0</v>
      </c>
      <c r="AH1091" s="16" t="str">
        <f t="shared" si="355"/>
        <v>-</v>
      </c>
      <c r="AI1091" s="8"/>
      <c r="AJ1091" s="27" t="b">
        <f>IF($G1091&lt;&gt;0,SUMIF(куб!$G:$G,$G1091,куб!T:T),IF($E1091&lt;&gt;0,SUMIF(куб!$E:$E,$E1091,куб!T:T),IF($D1091&lt;&gt;0,SUMIF(куб!$D:$D,$D1091,куб!T:T),IF($C1091&lt;&gt;0,SUMIF(куб!$C:$C,$C1091,куб!T:T),IF($B1091&lt;&gt;0,SUMIF(куб!$B:$B,$B1091,куб!T:T))))))</f>
        <v>0</v>
      </c>
      <c r="AK1091" s="27" t="b">
        <f>IF($G1091&lt;&gt;0,SUMIF(куб!$G:$G,$G1091,куб!U:U),IF($E1091&lt;&gt;0,SUMIF(куб!$E:$E,$E1091,куб!U:U),IF($D1091&lt;&gt;0,SUMIF(куб!$D:$D,$D1091,куб!U:U),IF($C1091&lt;&gt;0,SUMIF(куб!$C:$C,$C1091,куб!U:U),IF($B1091&lt;&gt;0,SUMIF(куб!$B:$B,$B1091,куб!U:U))))))</f>
        <v>0</v>
      </c>
      <c r="AL1091" s="16" t="str">
        <f t="shared" si="356"/>
        <v>-</v>
      </c>
      <c r="AM1091" s="8"/>
      <c r="AN1091" s="17" t="str">
        <f t="shared" si="357"/>
        <v xml:space="preserve"> </v>
      </c>
      <c r="AO1091" s="17" t="str">
        <f t="shared" si="358"/>
        <v xml:space="preserve"> </v>
      </c>
      <c r="AP1091" s="16" t="str">
        <f t="shared" si="359"/>
        <v>-</v>
      </c>
      <c r="AQ1091" s="8"/>
      <c r="AR1091" s="17" t="str">
        <f t="shared" si="360"/>
        <v>-</v>
      </c>
      <c r="AS1091" s="17" t="str">
        <f t="shared" si="361"/>
        <v>-</v>
      </c>
      <c r="AT1091" s="13" t="str">
        <f t="shared" si="362"/>
        <v>-</v>
      </c>
      <c r="AU1091" s="8"/>
    </row>
    <row r="1092" spans="8:47" x14ac:dyDescent="0.25">
      <c r="H1092" s="27">
        <f>IF($G1092&lt;&gt;0,SUMIF(куб!$G:$G,$G1092,куб!H:H),IF($E1092&lt;&gt;0,SUMIF(куб!$E:$E,$E1092,куб!H:H),IF($D1092&lt;&gt;0,SUMIF(куб!$D:$D,$D1092,куб!H:H),IF($C1092&lt;&gt;0,SUMIF(куб!$C:$C,$C1092,куб!H:H),IF($B1092&lt;&gt;0,SUMIF(куб!$B:$B,$B1092,куб!H:H),IF($G1092&lt;&gt;0,SUMIF(куб!$A:$A,$G1092,куб!H:H),SUMIF(куб!$A:$A,$G1092,куб!H:H)))))))</f>
        <v>0</v>
      </c>
      <c r="I1092" s="27">
        <f>IF($G1092&lt;&gt;0,SUMIF(куб!$G:$G,$G1092,куб!I:I),IF($E1092&lt;&gt;0,SUMIF(куб!$E:$E,$E1092,куб!I:I),IF($D1092&lt;&gt;0,SUMIF(куб!$D:$D,$D1092,куб!I:I),IF($C1092&lt;&gt;0,SUMIF(куб!$C:$C,$C1092,куб!I:I),IF($B1092&lt;&gt;0,SUMIF(куб!$B:$B,$B1092,куб!I:I),IF($G1092&lt;&gt;0,SUMIF(куб!$A:$A,$G1092,куб!I:I),SUMIF(куб!$A:$A,$G1092,куб!I:I)))))))</f>
        <v>0</v>
      </c>
      <c r="J1092" s="19" t="str">
        <f t="shared" si="345"/>
        <v>-</v>
      </c>
      <c r="K1092" s="8"/>
      <c r="L1092" s="17">
        <f t="shared" si="346"/>
        <v>0</v>
      </c>
      <c r="M1092" s="17">
        <f t="shared" si="347"/>
        <v>0</v>
      </c>
      <c r="N1092" s="12">
        <f t="shared" si="348"/>
        <v>0</v>
      </c>
      <c r="O1092" s="5"/>
      <c r="P1092" s="27" t="b">
        <f>IF($G1092&lt;&gt;0,SUMIF(куб!$G:$G,$G1092,куб!J:J),IF($E1092&lt;&gt;0,SUMIF(куб!$E:$E,$E1092,куб!J:J),IF($D1092&lt;&gt;0,SUMIF(куб!$D:$D,$D1092,куб!J:J),IF($C1092&lt;&gt;0,SUMIF(куб!$C:$C,$C1092,куб!J:J),IF($B1092&lt;&gt;0,SUMIF(куб!$B:$B,$B1092,куб!J:J))))))</f>
        <v>0</v>
      </c>
      <c r="Q1092" s="27" t="b">
        <f>IF($G1092&lt;&gt;0,SUMIF(куб!$G:$G,$G1092,куб!K:K),IF($E1092&lt;&gt;0,SUMIF(куб!$E:$E,$E1092,куб!K:K),IF($D1092&lt;&gt;0,SUMIF(куб!$D:$D,$D1092,куб!K:K),IF($C1092&lt;&gt;0,SUMIF(куб!$C:$C,$C1092,куб!K:K),IF($B1092&lt;&gt;0,SUMIF(куб!$B:$B,$B1092,куб!K:K))))))</f>
        <v>0</v>
      </c>
      <c r="R1092" s="13" t="str">
        <f t="shared" si="349"/>
        <v>-</v>
      </c>
      <c r="S1092" s="5"/>
      <c r="T1092" s="27" t="b">
        <f>IF($G1092&lt;&gt;0,SUMIF(куб!$G:$G,$G1092,куб!L:L),IF($E1092&lt;&gt;0,SUMIF(куб!$E:$E,$E1092,куб!L:L),IF($D1092&lt;&gt;0,SUMIF(куб!$D:$D,$D1092,куб!L:L),IF($C1092&lt;&gt;0,SUMIF(куб!$C:$C,$C1092,куб!L:L),IF($B1092&lt;&gt;0,SUMIF(куб!$B:$B,$B1092,куб!L:L))))))</f>
        <v>0</v>
      </c>
      <c r="U1092" s="27" t="b">
        <f>IF($G1092&lt;&gt;0,SUMIF(куб!$G:$G,$G1092,куб!M:M),IF($E1092&lt;&gt;0,SUMIF(куб!$E:$E,$E1092,куб!M:M),IF($D1092&lt;&gt;0,SUMIF(куб!$D:$D,$D1092,куб!M:M),IF($C1092&lt;&gt;0,SUMIF(куб!$C:$C,$C1092,куб!M:M),IF($B1092&lt;&gt;0,SUMIF(куб!$B:$B,$B1092,куб!M:M))))))</f>
        <v>0</v>
      </c>
      <c r="V1092" s="13" t="str">
        <f t="shared" si="350"/>
        <v>-</v>
      </c>
      <c r="W1092" s="5"/>
      <c r="X1092" s="27" t="b">
        <f>IF($G1092&lt;&gt;0,SUMIF(куб!$G:$G,$G1092,куб!N:N),IF($E1092&lt;&gt;0,SUMIF(куб!$E:$E,$E1092,куб!N:N),IF($D1092&lt;&gt;0,SUMIF(куб!$D:$D,$D1092,куб!N:N),IF($C1092&lt;&gt;0,SUMIF(куб!$C:$C,$C1092,куб!N:N),IF($B1092&lt;&gt;0,SUMIF(куб!$B:$B,$B1092,куб!N:N))))))</f>
        <v>0</v>
      </c>
      <c r="Y1092" s="27" t="b">
        <f>IF($G1092&lt;&gt;0,SUMIF(куб!$G:$G,$G1092,куб!O:O),IF($E1092&lt;&gt;0,SUMIF(куб!$E:$E,$E1092,куб!O:O),IF($D1092&lt;&gt;0,SUMIF(куб!$D:$D,$D1092,куб!O:O),IF($C1092&lt;&gt;0,SUMIF(куб!$C:$C,$C1092,куб!O:O),IF($B1092&lt;&gt;0,SUMIF(куб!$B:$B,$B1092,куб!O:O))))))</f>
        <v>0</v>
      </c>
      <c r="Z1092" s="13" t="str">
        <f t="shared" si="351"/>
        <v>-</v>
      </c>
      <c r="AA1092" s="5"/>
      <c r="AB1092" s="33" t="str">
        <f t="shared" si="352"/>
        <v/>
      </c>
      <c r="AC1092" s="33" t="str">
        <f t="shared" si="353"/>
        <v/>
      </c>
      <c r="AD1092" s="15" t="str">
        <f t="shared" si="354"/>
        <v xml:space="preserve"> </v>
      </c>
      <c r="AE1092" s="5"/>
      <c r="AF1092" s="27" t="b">
        <f>IF($G1092&lt;&gt;0,SUMIF(куб!$G:$G,$G1092,куб!R:R),IF($E1092&lt;&gt;0,SUMIF(куб!$E:$E,$E1092,куб!R:R),IF($D1092&lt;&gt;0,SUMIF(куб!$D:$D,$D1092,куб!R:R),IF($C1092&lt;&gt;0,SUMIF(куб!$C:$C,$C1092,куб!R:R),IF($B1092&lt;&gt;0,SUMIF(куб!$B:$B,$B1092,куб!R:R))))))</f>
        <v>0</v>
      </c>
      <c r="AG1092" s="27" t="b">
        <f>IF($G1092&lt;&gt;0,SUMIF(куб!$G:$G,$G1092,куб!S:S),IF($E1092&lt;&gt;0,SUMIF(куб!$E:$E,$E1092,куб!S:S),IF($D1092&lt;&gt;0,SUMIF(куб!$D:$D,$D1092,куб!S:S),IF($C1092&lt;&gt;0,SUMIF(куб!$C:$C,$C1092,куб!S:S),IF($B1092&lt;&gt;0,SUMIF(куб!$B:$B,$B1092,куб!S:S))))))</f>
        <v>0</v>
      </c>
      <c r="AH1092" s="16" t="str">
        <f t="shared" si="355"/>
        <v>-</v>
      </c>
      <c r="AI1092" s="8"/>
      <c r="AJ1092" s="27" t="b">
        <f>IF($G1092&lt;&gt;0,SUMIF(куб!$G:$G,$G1092,куб!T:T),IF($E1092&lt;&gt;0,SUMIF(куб!$E:$E,$E1092,куб!T:T),IF($D1092&lt;&gt;0,SUMIF(куб!$D:$D,$D1092,куб!T:T),IF($C1092&lt;&gt;0,SUMIF(куб!$C:$C,$C1092,куб!T:T),IF($B1092&lt;&gt;0,SUMIF(куб!$B:$B,$B1092,куб!T:T))))))</f>
        <v>0</v>
      </c>
      <c r="AK1092" s="27" t="b">
        <f>IF($G1092&lt;&gt;0,SUMIF(куб!$G:$G,$G1092,куб!U:U),IF($E1092&lt;&gt;0,SUMIF(куб!$E:$E,$E1092,куб!U:U),IF($D1092&lt;&gt;0,SUMIF(куб!$D:$D,$D1092,куб!U:U),IF($C1092&lt;&gt;0,SUMIF(куб!$C:$C,$C1092,куб!U:U),IF($B1092&lt;&gt;0,SUMIF(куб!$B:$B,$B1092,куб!U:U))))))</f>
        <v>0</v>
      </c>
      <c r="AL1092" s="16" t="str">
        <f t="shared" si="356"/>
        <v>-</v>
      </c>
      <c r="AM1092" s="8"/>
      <c r="AN1092" s="17" t="str">
        <f t="shared" si="357"/>
        <v xml:space="preserve"> </v>
      </c>
      <c r="AO1092" s="17" t="str">
        <f t="shared" si="358"/>
        <v xml:space="preserve"> </v>
      </c>
      <c r="AP1092" s="16" t="str">
        <f t="shared" si="359"/>
        <v>-</v>
      </c>
      <c r="AQ1092" s="8"/>
      <c r="AR1092" s="17" t="str">
        <f t="shared" si="360"/>
        <v>-</v>
      </c>
      <c r="AS1092" s="17" t="str">
        <f t="shared" si="361"/>
        <v>-</v>
      </c>
      <c r="AT1092" s="13" t="str">
        <f t="shared" si="362"/>
        <v>-</v>
      </c>
      <c r="AU1092" s="8"/>
    </row>
    <row r="1093" spans="8:47" x14ac:dyDescent="0.25">
      <c r="H1093" s="27">
        <f>IF($G1093&lt;&gt;0,SUMIF(куб!$G:$G,$G1093,куб!H:H),IF($E1093&lt;&gt;0,SUMIF(куб!$E:$E,$E1093,куб!H:H),IF($D1093&lt;&gt;0,SUMIF(куб!$D:$D,$D1093,куб!H:H),IF($C1093&lt;&gt;0,SUMIF(куб!$C:$C,$C1093,куб!H:H),IF($B1093&lt;&gt;0,SUMIF(куб!$B:$B,$B1093,куб!H:H),IF($G1093&lt;&gt;0,SUMIF(куб!$A:$A,$G1093,куб!H:H),SUMIF(куб!$A:$A,$G1093,куб!H:H)))))))</f>
        <v>0</v>
      </c>
      <c r="I1093" s="27">
        <f>IF($G1093&lt;&gt;0,SUMIF(куб!$G:$G,$G1093,куб!I:I),IF($E1093&lt;&gt;0,SUMIF(куб!$E:$E,$E1093,куб!I:I),IF($D1093&lt;&gt;0,SUMIF(куб!$D:$D,$D1093,куб!I:I),IF($C1093&lt;&gt;0,SUMIF(куб!$C:$C,$C1093,куб!I:I),IF($B1093&lt;&gt;0,SUMIF(куб!$B:$B,$B1093,куб!I:I),IF($G1093&lt;&gt;0,SUMIF(куб!$A:$A,$G1093,куб!I:I),SUMIF(куб!$A:$A,$G1093,куб!I:I)))))))</f>
        <v>0</v>
      </c>
      <c r="J1093" s="19" t="str">
        <f t="shared" si="345"/>
        <v>-</v>
      </c>
      <c r="K1093" s="8"/>
      <c r="L1093" s="17">
        <f t="shared" si="346"/>
        <v>0</v>
      </c>
      <c r="M1093" s="17">
        <f t="shared" si="347"/>
        <v>0</v>
      </c>
      <c r="N1093" s="12">
        <f t="shared" si="348"/>
        <v>0</v>
      </c>
      <c r="O1093" s="5"/>
      <c r="P1093" s="27" t="b">
        <f>IF($G1093&lt;&gt;0,SUMIF(куб!$G:$G,$G1093,куб!J:J),IF($E1093&lt;&gt;0,SUMIF(куб!$E:$E,$E1093,куб!J:J),IF($D1093&lt;&gt;0,SUMIF(куб!$D:$D,$D1093,куб!J:J),IF($C1093&lt;&gt;0,SUMIF(куб!$C:$C,$C1093,куб!J:J),IF($B1093&lt;&gt;0,SUMIF(куб!$B:$B,$B1093,куб!J:J))))))</f>
        <v>0</v>
      </c>
      <c r="Q1093" s="27" t="b">
        <f>IF($G1093&lt;&gt;0,SUMIF(куб!$G:$G,$G1093,куб!K:K),IF($E1093&lt;&gt;0,SUMIF(куб!$E:$E,$E1093,куб!K:K),IF($D1093&lt;&gt;0,SUMIF(куб!$D:$D,$D1093,куб!K:K),IF($C1093&lt;&gt;0,SUMIF(куб!$C:$C,$C1093,куб!K:K),IF($B1093&lt;&gt;0,SUMIF(куб!$B:$B,$B1093,куб!K:K))))))</f>
        <v>0</v>
      </c>
      <c r="R1093" s="13" t="str">
        <f t="shared" si="349"/>
        <v>-</v>
      </c>
      <c r="S1093" s="5"/>
      <c r="T1093" s="27" t="b">
        <f>IF($G1093&lt;&gt;0,SUMIF(куб!$G:$G,$G1093,куб!L:L),IF($E1093&lt;&gt;0,SUMIF(куб!$E:$E,$E1093,куб!L:L),IF($D1093&lt;&gt;0,SUMIF(куб!$D:$D,$D1093,куб!L:L),IF($C1093&lt;&gt;0,SUMIF(куб!$C:$C,$C1093,куб!L:L),IF($B1093&lt;&gt;0,SUMIF(куб!$B:$B,$B1093,куб!L:L))))))</f>
        <v>0</v>
      </c>
      <c r="U1093" s="27" t="b">
        <f>IF($G1093&lt;&gt;0,SUMIF(куб!$G:$G,$G1093,куб!M:M),IF($E1093&lt;&gt;0,SUMIF(куб!$E:$E,$E1093,куб!M:M),IF($D1093&lt;&gt;0,SUMIF(куб!$D:$D,$D1093,куб!M:M),IF($C1093&lt;&gt;0,SUMIF(куб!$C:$C,$C1093,куб!M:M),IF($B1093&lt;&gt;0,SUMIF(куб!$B:$B,$B1093,куб!M:M))))))</f>
        <v>0</v>
      </c>
      <c r="V1093" s="13" t="str">
        <f t="shared" si="350"/>
        <v>-</v>
      </c>
      <c r="W1093" s="5"/>
      <c r="X1093" s="27" t="b">
        <f>IF($G1093&lt;&gt;0,SUMIF(куб!$G:$G,$G1093,куб!N:N),IF($E1093&lt;&gt;0,SUMIF(куб!$E:$E,$E1093,куб!N:N),IF($D1093&lt;&gt;0,SUMIF(куб!$D:$D,$D1093,куб!N:N),IF($C1093&lt;&gt;0,SUMIF(куб!$C:$C,$C1093,куб!N:N),IF($B1093&lt;&gt;0,SUMIF(куб!$B:$B,$B1093,куб!N:N))))))</f>
        <v>0</v>
      </c>
      <c r="Y1093" s="27" t="b">
        <f>IF($G1093&lt;&gt;0,SUMIF(куб!$G:$G,$G1093,куб!O:O),IF($E1093&lt;&gt;0,SUMIF(куб!$E:$E,$E1093,куб!O:O),IF($D1093&lt;&gt;0,SUMIF(куб!$D:$D,$D1093,куб!O:O),IF($C1093&lt;&gt;0,SUMIF(куб!$C:$C,$C1093,куб!O:O),IF($B1093&lt;&gt;0,SUMIF(куб!$B:$B,$B1093,куб!O:O))))))</f>
        <v>0</v>
      </c>
      <c r="Z1093" s="13" t="str">
        <f t="shared" si="351"/>
        <v>-</v>
      </c>
      <c r="AA1093" s="5"/>
      <c r="AB1093" s="33" t="str">
        <f t="shared" si="352"/>
        <v/>
      </c>
      <c r="AC1093" s="33" t="str">
        <f t="shared" si="353"/>
        <v/>
      </c>
      <c r="AD1093" s="15" t="str">
        <f t="shared" si="354"/>
        <v xml:space="preserve"> </v>
      </c>
      <c r="AE1093" s="5"/>
      <c r="AF1093" s="27" t="b">
        <f>IF($G1093&lt;&gt;0,SUMIF(куб!$G:$G,$G1093,куб!R:R),IF($E1093&lt;&gt;0,SUMIF(куб!$E:$E,$E1093,куб!R:R),IF($D1093&lt;&gt;0,SUMIF(куб!$D:$D,$D1093,куб!R:R),IF($C1093&lt;&gt;0,SUMIF(куб!$C:$C,$C1093,куб!R:R),IF($B1093&lt;&gt;0,SUMIF(куб!$B:$B,$B1093,куб!R:R))))))</f>
        <v>0</v>
      </c>
      <c r="AG1093" s="27" t="b">
        <f>IF($G1093&lt;&gt;0,SUMIF(куб!$G:$G,$G1093,куб!S:S),IF($E1093&lt;&gt;0,SUMIF(куб!$E:$E,$E1093,куб!S:S),IF($D1093&lt;&gt;0,SUMIF(куб!$D:$D,$D1093,куб!S:S),IF($C1093&lt;&gt;0,SUMIF(куб!$C:$C,$C1093,куб!S:S),IF($B1093&lt;&gt;0,SUMIF(куб!$B:$B,$B1093,куб!S:S))))))</f>
        <v>0</v>
      </c>
      <c r="AH1093" s="16" t="str">
        <f t="shared" si="355"/>
        <v>-</v>
      </c>
      <c r="AI1093" s="8"/>
      <c r="AJ1093" s="27" t="b">
        <f>IF($G1093&lt;&gt;0,SUMIF(куб!$G:$G,$G1093,куб!T:T),IF($E1093&lt;&gt;0,SUMIF(куб!$E:$E,$E1093,куб!T:T),IF($D1093&lt;&gt;0,SUMIF(куб!$D:$D,$D1093,куб!T:T),IF($C1093&lt;&gt;0,SUMIF(куб!$C:$C,$C1093,куб!T:T),IF($B1093&lt;&gt;0,SUMIF(куб!$B:$B,$B1093,куб!T:T))))))</f>
        <v>0</v>
      </c>
      <c r="AK1093" s="27" t="b">
        <f>IF($G1093&lt;&gt;0,SUMIF(куб!$G:$G,$G1093,куб!U:U),IF($E1093&lt;&gt;0,SUMIF(куб!$E:$E,$E1093,куб!U:U),IF($D1093&lt;&gt;0,SUMIF(куб!$D:$D,$D1093,куб!U:U),IF($C1093&lt;&gt;0,SUMIF(куб!$C:$C,$C1093,куб!U:U),IF($B1093&lt;&gt;0,SUMIF(куб!$B:$B,$B1093,куб!U:U))))))</f>
        <v>0</v>
      </c>
      <c r="AL1093" s="16" t="str">
        <f t="shared" si="356"/>
        <v>-</v>
      </c>
      <c r="AM1093" s="8"/>
      <c r="AN1093" s="17" t="str">
        <f t="shared" si="357"/>
        <v xml:space="preserve"> </v>
      </c>
      <c r="AO1093" s="17" t="str">
        <f t="shared" si="358"/>
        <v xml:space="preserve"> </v>
      </c>
      <c r="AP1093" s="16" t="str">
        <f t="shared" si="359"/>
        <v>-</v>
      </c>
      <c r="AQ1093" s="8"/>
      <c r="AR1093" s="17" t="str">
        <f t="shared" si="360"/>
        <v>-</v>
      </c>
      <c r="AS1093" s="17" t="str">
        <f t="shared" si="361"/>
        <v>-</v>
      </c>
      <c r="AT1093" s="13" t="str">
        <f t="shared" si="362"/>
        <v>-</v>
      </c>
      <c r="AU1093" s="8"/>
    </row>
    <row r="1094" spans="8:47" x14ac:dyDescent="0.25">
      <c r="H1094" s="27">
        <f>IF($G1094&lt;&gt;0,SUMIF(куб!$G:$G,$G1094,куб!H:H),IF($E1094&lt;&gt;0,SUMIF(куб!$E:$E,$E1094,куб!H:H),IF($D1094&lt;&gt;0,SUMIF(куб!$D:$D,$D1094,куб!H:H),IF($C1094&lt;&gt;0,SUMIF(куб!$C:$C,$C1094,куб!H:H),IF($B1094&lt;&gt;0,SUMIF(куб!$B:$B,$B1094,куб!H:H),IF($G1094&lt;&gt;0,SUMIF(куб!$A:$A,$G1094,куб!H:H),SUMIF(куб!$A:$A,$G1094,куб!H:H)))))))</f>
        <v>0</v>
      </c>
      <c r="I1094" s="27">
        <f>IF($G1094&lt;&gt;0,SUMIF(куб!$G:$G,$G1094,куб!I:I),IF($E1094&lt;&gt;0,SUMIF(куб!$E:$E,$E1094,куб!I:I),IF($D1094&lt;&gt;0,SUMIF(куб!$D:$D,$D1094,куб!I:I),IF($C1094&lt;&gt;0,SUMIF(куб!$C:$C,$C1094,куб!I:I),IF($B1094&lt;&gt;0,SUMIF(куб!$B:$B,$B1094,куб!I:I),IF($G1094&lt;&gt;0,SUMIF(куб!$A:$A,$G1094,куб!I:I),SUMIF(куб!$A:$A,$G1094,куб!I:I)))))))</f>
        <v>0</v>
      </c>
      <c r="J1094" s="19" t="str">
        <f t="shared" si="345"/>
        <v>-</v>
      </c>
      <c r="K1094" s="8"/>
      <c r="L1094" s="17">
        <f t="shared" si="346"/>
        <v>0</v>
      </c>
      <c r="M1094" s="17">
        <f t="shared" si="347"/>
        <v>0</v>
      </c>
      <c r="N1094" s="12">
        <f t="shared" si="348"/>
        <v>0</v>
      </c>
      <c r="O1094" s="5"/>
      <c r="P1094" s="27" t="b">
        <f>IF($G1094&lt;&gt;0,SUMIF(куб!$G:$G,$G1094,куб!J:J),IF($E1094&lt;&gt;0,SUMIF(куб!$E:$E,$E1094,куб!J:J),IF($D1094&lt;&gt;0,SUMIF(куб!$D:$D,$D1094,куб!J:J),IF($C1094&lt;&gt;0,SUMIF(куб!$C:$C,$C1094,куб!J:J),IF($B1094&lt;&gt;0,SUMIF(куб!$B:$B,$B1094,куб!J:J))))))</f>
        <v>0</v>
      </c>
      <c r="Q1094" s="27" t="b">
        <f>IF($G1094&lt;&gt;0,SUMIF(куб!$G:$G,$G1094,куб!K:K),IF($E1094&lt;&gt;0,SUMIF(куб!$E:$E,$E1094,куб!K:K),IF($D1094&lt;&gt;0,SUMIF(куб!$D:$D,$D1094,куб!K:K),IF($C1094&lt;&gt;0,SUMIF(куб!$C:$C,$C1094,куб!K:K),IF($B1094&lt;&gt;0,SUMIF(куб!$B:$B,$B1094,куб!K:K))))))</f>
        <v>0</v>
      </c>
      <c r="R1094" s="13" t="str">
        <f t="shared" si="349"/>
        <v>-</v>
      </c>
      <c r="S1094" s="5"/>
      <c r="T1094" s="27" t="b">
        <f>IF($G1094&lt;&gt;0,SUMIF(куб!$G:$G,$G1094,куб!L:L),IF($E1094&lt;&gt;0,SUMIF(куб!$E:$E,$E1094,куб!L:L),IF($D1094&lt;&gt;0,SUMIF(куб!$D:$D,$D1094,куб!L:L),IF($C1094&lt;&gt;0,SUMIF(куб!$C:$C,$C1094,куб!L:L),IF($B1094&lt;&gt;0,SUMIF(куб!$B:$B,$B1094,куб!L:L))))))</f>
        <v>0</v>
      </c>
      <c r="U1094" s="27" t="b">
        <f>IF($G1094&lt;&gt;0,SUMIF(куб!$G:$G,$G1094,куб!M:M),IF($E1094&lt;&gt;0,SUMIF(куб!$E:$E,$E1094,куб!M:M),IF($D1094&lt;&gt;0,SUMIF(куб!$D:$D,$D1094,куб!M:M),IF($C1094&lt;&gt;0,SUMIF(куб!$C:$C,$C1094,куб!M:M),IF($B1094&lt;&gt;0,SUMIF(куб!$B:$B,$B1094,куб!M:M))))))</f>
        <v>0</v>
      </c>
      <c r="V1094" s="13" t="str">
        <f t="shared" si="350"/>
        <v>-</v>
      </c>
      <c r="W1094" s="5"/>
      <c r="X1094" s="27" t="b">
        <f>IF($G1094&lt;&gt;0,SUMIF(куб!$G:$G,$G1094,куб!N:N),IF($E1094&lt;&gt;0,SUMIF(куб!$E:$E,$E1094,куб!N:N),IF($D1094&lt;&gt;0,SUMIF(куб!$D:$D,$D1094,куб!N:N),IF($C1094&lt;&gt;0,SUMIF(куб!$C:$C,$C1094,куб!N:N),IF($B1094&lt;&gt;0,SUMIF(куб!$B:$B,$B1094,куб!N:N))))))</f>
        <v>0</v>
      </c>
      <c r="Y1094" s="27" t="b">
        <f>IF($G1094&lt;&gt;0,SUMIF(куб!$G:$G,$G1094,куб!O:O),IF($E1094&lt;&gt;0,SUMIF(куб!$E:$E,$E1094,куб!O:O),IF($D1094&lt;&gt;0,SUMIF(куб!$D:$D,$D1094,куб!O:O),IF($C1094&lt;&gt;0,SUMIF(куб!$C:$C,$C1094,куб!O:O),IF($B1094&lt;&gt;0,SUMIF(куб!$B:$B,$B1094,куб!O:O))))))</f>
        <v>0</v>
      </c>
      <c r="Z1094" s="13" t="str">
        <f t="shared" si="351"/>
        <v>-</v>
      </c>
      <c r="AA1094" s="5"/>
      <c r="AB1094" s="33" t="str">
        <f t="shared" si="352"/>
        <v/>
      </c>
      <c r="AC1094" s="33" t="str">
        <f t="shared" si="353"/>
        <v/>
      </c>
      <c r="AD1094" s="15" t="str">
        <f t="shared" si="354"/>
        <v xml:space="preserve"> </v>
      </c>
      <c r="AE1094" s="5"/>
      <c r="AF1094" s="27" t="b">
        <f>IF($G1094&lt;&gt;0,SUMIF(куб!$G:$G,$G1094,куб!R:R),IF($E1094&lt;&gt;0,SUMIF(куб!$E:$E,$E1094,куб!R:R),IF($D1094&lt;&gt;0,SUMIF(куб!$D:$D,$D1094,куб!R:R),IF($C1094&lt;&gt;0,SUMIF(куб!$C:$C,$C1094,куб!R:R),IF($B1094&lt;&gt;0,SUMIF(куб!$B:$B,$B1094,куб!R:R))))))</f>
        <v>0</v>
      </c>
      <c r="AG1094" s="27" t="b">
        <f>IF($G1094&lt;&gt;0,SUMIF(куб!$G:$G,$G1094,куб!S:S),IF($E1094&lt;&gt;0,SUMIF(куб!$E:$E,$E1094,куб!S:S),IF($D1094&lt;&gt;0,SUMIF(куб!$D:$D,$D1094,куб!S:S),IF($C1094&lt;&gt;0,SUMIF(куб!$C:$C,$C1094,куб!S:S),IF($B1094&lt;&gt;0,SUMIF(куб!$B:$B,$B1094,куб!S:S))))))</f>
        <v>0</v>
      </c>
      <c r="AH1094" s="16" t="str">
        <f t="shared" si="355"/>
        <v>-</v>
      </c>
      <c r="AI1094" s="8"/>
      <c r="AJ1094" s="27" t="b">
        <f>IF($G1094&lt;&gt;0,SUMIF(куб!$G:$G,$G1094,куб!T:T),IF($E1094&lt;&gt;0,SUMIF(куб!$E:$E,$E1094,куб!T:T),IF($D1094&lt;&gt;0,SUMIF(куб!$D:$D,$D1094,куб!T:T),IF($C1094&lt;&gt;0,SUMIF(куб!$C:$C,$C1094,куб!T:T),IF($B1094&lt;&gt;0,SUMIF(куб!$B:$B,$B1094,куб!T:T))))))</f>
        <v>0</v>
      </c>
      <c r="AK1094" s="27" t="b">
        <f>IF($G1094&lt;&gt;0,SUMIF(куб!$G:$G,$G1094,куб!U:U),IF($E1094&lt;&gt;0,SUMIF(куб!$E:$E,$E1094,куб!U:U),IF($D1094&lt;&gt;0,SUMIF(куб!$D:$D,$D1094,куб!U:U),IF($C1094&lt;&gt;0,SUMIF(куб!$C:$C,$C1094,куб!U:U),IF($B1094&lt;&gt;0,SUMIF(куб!$B:$B,$B1094,куб!U:U))))))</f>
        <v>0</v>
      </c>
      <c r="AL1094" s="16" t="str">
        <f t="shared" si="356"/>
        <v>-</v>
      </c>
      <c r="AM1094" s="8"/>
      <c r="AN1094" s="17" t="str">
        <f t="shared" si="357"/>
        <v xml:space="preserve"> </v>
      </c>
      <c r="AO1094" s="17" t="str">
        <f t="shared" si="358"/>
        <v xml:space="preserve"> </v>
      </c>
      <c r="AP1094" s="16" t="str">
        <f t="shared" si="359"/>
        <v>-</v>
      </c>
      <c r="AQ1094" s="8"/>
      <c r="AR1094" s="17" t="str">
        <f t="shared" si="360"/>
        <v>-</v>
      </c>
      <c r="AS1094" s="17" t="str">
        <f t="shared" si="361"/>
        <v>-</v>
      </c>
      <c r="AT1094" s="13" t="str">
        <f t="shared" si="362"/>
        <v>-</v>
      </c>
      <c r="AU1094" s="8"/>
    </row>
    <row r="1095" spans="8:47" x14ac:dyDescent="0.25">
      <c r="H1095" s="27">
        <f>IF($G1095&lt;&gt;0,SUMIF(куб!$G:$G,$G1095,куб!H:H),IF($E1095&lt;&gt;0,SUMIF(куб!$E:$E,$E1095,куб!H:H),IF($D1095&lt;&gt;0,SUMIF(куб!$D:$D,$D1095,куб!H:H),IF($C1095&lt;&gt;0,SUMIF(куб!$C:$C,$C1095,куб!H:H),IF($B1095&lt;&gt;0,SUMIF(куб!$B:$B,$B1095,куб!H:H),IF($G1095&lt;&gt;0,SUMIF(куб!$A:$A,$G1095,куб!H:H),SUMIF(куб!$A:$A,$G1095,куб!H:H)))))))</f>
        <v>0</v>
      </c>
      <c r="I1095" s="27">
        <f>IF($G1095&lt;&gt;0,SUMIF(куб!$G:$G,$G1095,куб!I:I),IF($E1095&lt;&gt;0,SUMIF(куб!$E:$E,$E1095,куб!I:I),IF($D1095&lt;&gt;0,SUMIF(куб!$D:$D,$D1095,куб!I:I),IF($C1095&lt;&gt;0,SUMIF(куб!$C:$C,$C1095,куб!I:I),IF($B1095&lt;&gt;0,SUMIF(куб!$B:$B,$B1095,куб!I:I),IF($G1095&lt;&gt;0,SUMIF(куб!$A:$A,$G1095,куб!I:I),SUMIF(куб!$A:$A,$G1095,куб!I:I)))))))</f>
        <v>0</v>
      </c>
      <c r="J1095" s="19" t="str">
        <f t="shared" si="345"/>
        <v>-</v>
      </c>
      <c r="K1095" s="8"/>
      <c r="L1095" s="17">
        <f t="shared" si="346"/>
        <v>0</v>
      </c>
      <c r="M1095" s="17">
        <f t="shared" si="347"/>
        <v>0</v>
      </c>
      <c r="N1095" s="12">
        <f t="shared" si="348"/>
        <v>0</v>
      </c>
      <c r="O1095" s="5"/>
      <c r="P1095" s="27" t="b">
        <f>IF($G1095&lt;&gt;0,SUMIF(куб!$G:$G,$G1095,куб!J:J),IF($E1095&lt;&gt;0,SUMIF(куб!$E:$E,$E1095,куб!J:J),IF($D1095&lt;&gt;0,SUMIF(куб!$D:$D,$D1095,куб!J:J),IF($C1095&lt;&gt;0,SUMIF(куб!$C:$C,$C1095,куб!J:J),IF($B1095&lt;&gt;0,SUMIF(куб!$B:$B,$B1095,куб!J:J))))))</f>
        <v>0</v>
      </c>
      <c r="Q1095" s="27" t="b">
        <f>IF($G1095&lt;&gt;0,SUMIF(куб!$G:$G,$G1095,куб!K:K),IF($E1095&lt;&gt;0,SUMIF(куб!$E:$E,$E1095,куб!K:K),IF($D1095&lt;&gt;0,SUMIF(куб!$D:$D,$D1095,куб!K:K),IF($C1095&lt;&gt;0,SUMIF(куб!$C:$C,$C1095,куб!K:K),IF($B1095&lt;&gt;0,SUMIF(куб!$B:$B,$B1095,куб!K:K))))))</f>
        <v>0</v>
      </c>
      <c r="R1095" s="13" t="str">
        <f t="shared" si="349"/>
        <v>-</v>
      </c>
      <c r="S1095" s="5"/>
      <c r="T1095" s="27" t="b">
        <f>IF($G1095&lt;&gt;0,SUMIF(куб!$G:$G,$G1095,куб!L:L),IF($E1095&lt;&gt;0,SUMIF(куб!$E:$E,$E1095,куб!L:L),IF($D1095&lt;&gt;0,SUMIF(куб!$D:$D,$D1095,куб!L:L),IF($C1095&lt;&gt;0,SUMIF(куб!$C:$C,$C1095,куб!L:L),IF($B1095&lt;&gt;0,SUMIF(куб!$B:$B,$B1095,куб!L:L))))))</f>
        <v>0</v>
      </c>
      <c r="U1095" s="27" t="b">
        <f>IF($G1095&lt;&gt;0,SUMIF(куб!$G:$G,$G1095,куб!M:M),IF($E1095&lt;&gt;0,SUMIF(куб!$E:$E,$E1095,куб!M:M),IF($D1095&lt;&gt;0,SUMIF(куб!$D:$D,$D1095,куб!M:M),IF($C1095&lt;&gt;0,SUMIF(куб!$C:$C,$C1095,куб!M:M),IF($B1095&lt;&gt;0,SUMIF(куб!$B:$B,$B1095,куб!M:M))))))</f>
        <v>0</v>
      </c>
      <c r="V1095" s="13" t="str">
        <f t="shared" si="350"/>
        <v>-</v>
      </c>
      <c r="W1095" s="5"/>
      <c r="X1095" s="27" t="b">
        <f>IF($G1095&lt;&gt;0,SUMIF(куб!$G:$G,$G1095,куб!N:N),IF($E1095&lt;&gt;0,SUMIF(куб!$E:$E,$E1095,куб!N:N),IF($D1095&lt;&gt;0,SUMIF(куб!$D:$D,$D1095,куб!N:N),IF($C1095&lt;&gt;0,SUMIF(куб!$C:$C,$C1095,куб!N:N),IF($B1095&lt;&gt;0,SUMIF(куб!$B:$B,$B1095,куб!N:N))))))</f>
        <v>0</v>
      </c>
      <c r="Y1095" s="27" t="b">
        <f>IF($G1095&lt;&gt;0,SUMIF(куб!$G:$G,$G1095,куб!O:O),IF($E1095&lt;&gt;0,SUMIF(куб!$E:$E,$E1095,куб!O:O),IF($D1095&lt;&gt;0,SUMIF(куб!$D:$D,$D1095,куб!O:O),IF($C1095&lt;&gt;0,SUMIF(куб!$C:$C,$C1095,куб!O:O),IF($B1095&lt;&gt;0,SUMIF(куб!$B:$B,$B1095,куб!O:O))))))</f>
        <v>0</v>
      </c>
      <c r="Z1095" s="13" t="str">
        <f t="shared" si="351"/>
        <v>-</v>
      </c>
      <c r="AA1095" s="5"/>
      <c r="AB1095" s="33" t="str">
        <f t="shared" si="352"/>
        <v/>
      </c>
      <c r="AC1095" s="33" t="str">
        <f t="shared" si="353"/>
        <v/>
      </c>
      <c r="AD1095" s="15" t="str">
        <f t="shared" si="354"/>
        <v xml:space="preserve"> </v>
      </c>
      <c r="AE1095" s="5"/>
      <c r="AF1095" s="27" t="b">
        <f>IF($G1095&lt;&gt;0,SUMIF(куб!$G:$G,$G1095,куб!R:R),IF($E1095&lt;&gt;0,SUMIF(куб!$E:$E,$E1095,куб!R:R),IF($D1095&lt;&gt;0,SUMIF(куб!$D:$D,$D1095,куб!R:R),IF($C1095&lt;&gt;0,SUMIF(куб!$C:$C,$C1095,куб!R:R),IF($B1095&lt;&gt;0,SUMIF(куб!$B:$B,$B1095,куб!R:R))))))</f>
        <v>0</v>
      </c>
      <c r="AG1095" s="27" t="b">
        <f>IF($G1095&lt;&gt;0,SUMIF(куб!$G:$G,$G1095,куб!S:S),IF($E1095&lt;&gt;0,SUMIF(куб!$E:$E,$E1095,куб!S:S),IF($D1095&lt;&gt;0,SUMIF(куб!$D:$D,$D1095,куб!S:S),IF($C1095&lt;&gt;0,SUMIF(куб!$C:$C,$C1095,куб!S:S),IF($B1095&lt;&gt;0,SUMIF(куб!$B:$B,$B1095,куб!S:S))))))</f>
        <v>0</v>
      </c>
      <c r="AH1095" s="16" t="str">
        <f t="shared" si="355"/>
        <v>-</v>
      </c>
      <c r="AI1095" s="8"/>
      <c r="AJ1095" s="27" t="b">
        <f>IF($G1095&lt;&gt;0,SUMIF(куб!$G:$G,$G1095,куб!T:T),IF($E1095&lt;&gt;0,SUMIF(куб!$E:$E,$E1095,куб!T:T),IF($D1095&lt;&gt;0,SUMIF(куб!$D:$D,$D1095,куб!T:T),IF($C1095&lt;&gt;0,SUMIF(куб!$C:$C,$C1095,куб!T:T),IF($B1095&lt;&gt;0,SUMIF(куб!$B:$B,$B1095,куб!T:T))))))</f>
        <v>0</v>
      </c>
      <c r="AK1095" s="27" t="b">
        <f>IF($G1095&lt;&gt;0,SUMIF(куб!$G:$G,$G1095,куб!U:U),IF($E1095&lt;&gt;0,SUMIF(куб!$E:$E,$E1095,куб!U:U),IF($D1095&lt;&gt;0,SUMIF(куб!$D:$D,$D1095,куб!U:U),IF($C1095&lt;&gt;0,SUMIF(куб!$C:$C,$C1095,куб!U:U),IF($B1095&lt;&gt;0,SUMIF(куб!$B:$B,$B1095,куб!U:U))))))</f>
        <v>0</v>
      </c>
      <c r="AL1095" s="16" t="str">
        <f t="shared" si="356"/>
        <v>-</v>
      </c>
      <c r="AM1095" s="8"/>
      <c r="AN1095" s="17" t="str">
        <f t="shared" si="357"/>
        <v xml:space="preserve"> </v>
      </c>
      <c r="AO1095" s="17" t="str">
        <f t="shared" si="358"/>
        <v xml:space="preserve"> </v>
      </c>
      <c r="AP1095" s="16" t="str">
        <f t="shared" si="359"/>
        <v>-</v>
      </c>
      <c r="AQ1095" s="8"/>
      <c r="AR1095" s="17" t="str">
        <f t="shared" si="360"/>
        <v>-</v>
      </c>
      <c r="AS1095" s="17" t="str">
        <f t="shared" si="361"/>
        <v>-</v>
      </c>
      <c r="AT1095" s="13" t="str">
        <f t="shared" si="362"/>
        <v>-</v>
      </c>
      <c r="AU1095" s="8"/>
    </row>
    <row r="1096" spans="8:47" x14ac:dyDescent="0.25">
      <c r="H1096" s="27">
        <f>IF($G1096&lt;&gt;0,SUMIF(куб!$G:$G,$G1096,куб!H:H),IF($E1096&lt;&gt;0,SUMIF(куб!$E:$E,$E1096,куб!H:H),IF($D1096&lt;&gt;0,SUMIF(куб!$D:$D,$D1096,куб!H:H),IF($C1096&lt;&gt;0,SUMIF(куб!$C:$C,$C1096,куб!H:H),IF($B1096&lt;&gt;0,SUMIF(куб!$B:$B,$B1096,куб!H:H),IF($G1096&lt;&gt;0,SUMIF(куб!$A:$A,$G1096,куб!H:H),SUMIF(куб!$A:$A,$G1096,куб!H:H)))))))</f>
        <v>0</v>
      </c>
      <c r="I1096" s="27">
        <f>IF($G1096&lt;&gt;0,SUMIF(куб!$G:$G,$G1096,куб!I:I),IF($E1096&lt;&gt;0,SUMIF(куб!$E:$E,$E1096,куб!I:I),IF($D1096&lt;&gt;0,SUMIF(куб!$D:$D,$D1096,куб!I:I),IF($C1096&lt;&gt;0,SUMIF(куб!$C:$C,$C1096,куб!I:I),IF($B1096&lt;&gt;0,SUMIF(куб!$B:$B,$B1096,куб!I:I),IF($G1096&lt;&gt;0,SUMIF(куб!$A:$A,$G1096,куб!I:I),SUMIF(куб!$A:$A,$G1096,куб!I:I)))))))</f>
        <v>0</v>
      </c>
      <c r="J1096" s="19" t="str">
        <f t="shared" si="345"/>
        <v>-</v>
      </c>
      <c r="K1096" s="8"/>
      <c r="L1096" s="17">
        <f t="shared" si="346"/>
        <v>0</v>
      </c>
      <c r="M1096" s="17">
        <f t="shared" si="347"/>
        <v>0</v>
      </c>
      <c r="N1096" s="12">
        <f t="shared" si="348"/>
        <v>0</v>
      </c>
      <c r="O1096" s="5"/>
      <c r="P1096" s="27" t="b">
        <f>IF($G1096&lt;&gt;0,SUMIF(куб!$G:$G,$G1096,куб!J:J),IF($E1096&lt;&gt;0,SUMIF(куб!$E:$E,$E1096,куб!J:J),IF($D1096&lt;&gt;0,SUMIF(куб!$D:$D,$D1096,куб!J:J),IF($C1096&lt;&gt;0,SUMIF(куб!$C:$C,$C1096,куб!J:J),IF($B1096&lt;&gt;0,SUMIF(куб!$B:$B,$B1096,куб!J:J))))))</f>
        <v>0</v>
      </c>
      <c r="Q1096" s="27" t="b">
        <f>IF($G1096&lt;&gt;0,SUMIF(куб!$G:$G,$G1096,куб!K:K),IF($E1096&lt;&gt;0,SUMIF(куб!$E:$E,$E1096,куб!K:K),IF($D1096&lt;&gt;0,SUMIF(куб!$D:$D,$D1096,куб!K:K),IF($C1096&lt;&gt;0,SUMIF(куб!$C:$C,$C1096,куб!K:K),IF($B1096&lt;&gt;0,SUMIF(куб!$B:$B,$B1096,куб!K:K))))))</f>
        <v>0</v>
      </c>
      <c r="R1096" s="13" t="str">
        <f t="shared" si="349"/>
        <v>-</v>
      </c>
      <c r="S1096" s="5"/>
      <c r="T1096" s="27" t="b">
        <f>IF($G1096&lt;&gt;0,SUMIF(куб!$G:$G,$G1096,куб!L:L),IF($E1096&lt;&gt;0,SUMIF(куб!$E:$E,$E1096,куб!L:L),IF($D1096&lt;&gt;0,SUMIF(куб!$D:$D,$D1096,куб!L:L),IF($C1096&lt;&gt;0,SUMIF(куб!$C:$C,$C1096,куб!L:L),IF($B1096&lt;&gt;0,SUMIF(куб!$B:$B,$B1096,куб!L:L))))))</f>
        <v>0</v>
      </c>
      <c r="U1096" s="27" t="b">
        <f>IF($G1096&lt;&gt;0,SUMIF(куб!$G:$G,$G1096,куб!M:M),IF($E1096&lt;&gt;0,SUMIF(куб!$E:$E,$E1096,куб!M:M),IF($D1096&lt;&gt;0,SUMIF(куб!$D:$D,$D1096,куб!M:M),IF($C1096&lt;&gt;0,SUMIF(куб!$C:$C,$C1096,куб!M:M),IF($B1096&lt;&gt;0,SUMIF(куб!$B:$B,$B1096,куб!M:M))))))</f>
        <v>0</v>
      </c>
      <c r="V1096" s="13" t="str">
        <f t="shared" si="350"/>
        <v>-</v>
      </c>
      <c r="W1096" s="5"/>
      <c r="X1096" s="27" t="b">
        <f>IF($G1096&lt;&gt;0,SUMIF(куб!$G:$G,$G1096,куб!N:N),IF($E1096&lt;&gt;0,SUMIF(куб!$E:$E,$E1096,куб!N:N),IF($D1096&lt;&gt;0,SUMIF(куб!$D:$D,$D1096,куб!N:N),IF($C1096&lt;&gt;0,SUMIF(куб!$C:$C,$C1096,куб!N:N),IF($B1096&lt;&gt;0,SUMIF(куб!$B:$B,$B1096,куб!N:N))))))</f>
        <v>0</v>
      </c>
      <c r="Y1096" s="27" t="b">
        <f>IF($G1096&lt;&gt;0,SUMIF(куб!$G:$G,$G1096,куб!O:O),IF($E1096&lt;&gt;0,SUMIF(куб!$E:$E,$E1096,куб!O:O),IF($D1096&lt;&gt;0,SUMIF(куб!$D:$D,$D1096,куб!O:O),IF($C1096&lt;&gt;0,SUMIF(куб!$C:$C,$C1096,куб!O:O),IF($B1096&lt;&gt;0,SUMIF(куб!$B:$B,$B1096,куб!O:O))))))</f>
        <v>0</v>
      </c>
      <c r="Z1096" s="13" t="str">
        <f t="shared" si="351"/>
        <v>-</v>
      </c>
      <c r="AA1096" s="5"/>
      <c r="AB1096" s="33" t="str">
        <f t="shared" si="352"/>
        <v/>
      </c>
      <c r="AC1096" s="33" t="str">
        <f t="shared" si="353"/>
        <v/>
      </c>
      <c r="AD1096" s="15" t="str">
        <f t="shared" si="354"/>
        <v xml:space="preserve"> </v>
      </c>
      <c r="AE1096" s="5"/>
      <c r="AF1096" s="27" t="b">
        <f>IF($G1096&lt;&gt;0,SUMIF(куб!$G:$G,$G1096,куб!R:R),IF($E1096&lt;&gt;0,SUMIF(куб!$E:$E,$E1096,куб!R:R),IF($D1096&lt;&gt;0,SUMIF(куб!$D:$D,$D1096,куб!R:R),IF($C1096&lt;&gt;0,SUMIF(куб!$C:$C,$C1096,куб!R:R),IF($B1096&lt;&gt;0,SUMIF(куб!$B:$B,$B1096,куб!R:R))))))</f>
        <v>0</v>
      </c>
      <c r="AG1096" s="27" t="b">
        <f>IF($G1096&lt;&gt;0,SUMIF(куб!$G:$G,$G1096,куб!S:S),IF($E1096&lt;&gt;0,SUMIF(куб!$E:$E,$E1096,куб!S:S),IF($D1096&lt;&gt;0,SUMIF(куб!$D:$D,$D1096,куб!S:S),IF($C1096&lt;&gt;0,SUMIF(куб!$C:$C,$C1096,куб!S:S),IF($B1096&lt;&gt;0,SUMIF(куб!$B:$B,$B1096,куб!S:S))))))</f>
        <v>0</v>
      </c>
      <c r="AH1096" s="16" t="str">
        <f t="shared" si="355"/>
        <v>-</v>
      </c>
      <c r="AI1096" s="8"/>
      <c r="AJ1096" s="27" t="b">
        <f>IF($G1096&lt;&gt;0,SUMIF(куб!$G:$G,$G1096,куб!T:T),IF($E1096&lt;&gt;0,SUMIF(куб!$E:$E,$E1096,куб!T:T),IF($D1096&lt;&gt;0,SUMIF(куб!$D:$D,$D1096,куб!T:T),IF($C1096&lt;&gt;0,SUMIF(куб!$C:$C,$C1096,куб!T:T),IF($B1096&lt;&gt;0,SUMIF(куб!$B:$B,$B1096,куб!T:T))))))</f>
        <v>0</v>
      </c>
      <c r="AK1096" s="27" t="b">
        <f>IF($G1096&lt;&gt;0,SUMIF(куб!$G:$G,$G1096,куб!U:U),IF($E1096&lt;&gt;0,SUMIF(куб!$E:$E,$E1096,куб!U:U),IF($D1096&lt;&gt;0,SUMIF(куб!$D:$D,$D1096,куб!U:U),IF($C1096&lt;&gt;0,SUMIF(куб!$C:$C,$C1096,куб!U:U),IF($B1096&lt;&gt;0,SUMIF(куб!$B:$B,$B1096,куб!U:U))))))</f>
        <v>0</v>
      </c>
      <c r="AL1096" s="16" t="str">
        <f t="shared" si="356"/>
        <v>-</v>
      </c>
      <c r="AM1096" s="8"/>
      <c r="AN1096" s="17" t="str">
        <f t="shared" si="357"/>
        <v xml:space="preserve"> </v>
      </c>
      <c r="AO1096" s="17" t="str">
        <f t="shared" si="358"/>
        <v xml:space="preserve"> </v>
      </c>
      <c r="AP1096" s="16" t="str">
        <f t="shared" si="359"/>
        <v>-</v>
      </c>
      <c r="AQ1096" s="8"/>
      <c r="AR1096" s="17" t="str">
        <f t="shared" si="360"/>
        <v>-</v>
      </c>
      <c r="AS1096" s="17" t="str">
        <f t="shared" si="361"/>
        <v>-</v>
      </c>
      <c r="AT1096" s="13" t="str">
        <f t="shared" si="362"/>
        <v>-</v>
      </c>
      <c r="AU1096" s="8"/>
    </row>
    <row r="1097" spans="8:47" x14ac:dyDescent="0.25">
      <c r="H1097" s="27">
        <f>IF($G1097&lt;&gt;0,SUMIF(куб!$G:$G,$G1097,куб!H:H),IF($E1097&lt;&gt;0,SUMIF(куб!$E:$E,$E1097,куб!H:H),IF($D1097&lt;&gt;0,SUMIF(куб!$D:$D,$D1097,куб!H:H),IF($C1097&lt;&gt;0,SUMIF(куб!$C:$C,$C1097,куб!H:H),IF($B1097&lt;&gt;0,SUMIF(куб!$B:$B,$B1097,куб!H:H),IF($G1097&lt;&gt;0,SUMIF(куб!$A:$A,$G1097,куб!H:H),SUMIF(куб!$A:$A,$G1097,куб!H:H)))))))</f>
        <v>0</v>
      </c>
      <c r="I1097" s="27">
        <f>IF($G1097&lt;&gt;0,SUMIF(куб!$G:$G,$G1097,куб!I:I),IF($E1097&lt;&gt;0,SUMIF(куб!$E:$E,$E1097,куб!I:I),IF($D1097&lt;&gt;0,SUMIF(куб!$D:$D,$D1097,куб!I:I),IF($C1097&lt;&gt;0,SUMIF(куб!$C:$C,$C1097,куб!I:I),IF($B1097&lt;&gt;0,SUMIF(куб!$B:$B,$B1097,куб!I:I),IF($G1097&lt;&gt;0,SUMIF(куб!$A:$A,$G1097,куб!I:I),SUMIF(куб!$A:$A,$G1097,куб!I:I)))))))</f>
        <v>0</v>
      </c>
      <c r="J1097" s="19" t="str">
        <f t="shared" si="345"/>
        <v>-</v>
      </c>
      <c r="K1097" s="8"/>
      <c r="L1097" s="17">
        <f t="shared" si="346"/>
        <v>0</v>
      </c>
      <c r="M1097" s="17">
        <f t="shared" si="347"/>
        <v>0</v>
      </c>
      <c r="N1097" s="12">
        <f t="shared" si="348"/>
        <v>0</v>
      </c>
      <c r="O1097" s="5"/>
      <c r="P1097" s="27" t="b">
        <f>IF($G1097&lt;&gt;0,SUMIF(куб!$G:$G,$G1097,куб!J:J),IF($E1097&lt;&gt;0,SUMIF(куб!$E:$E,$E1097,куб!J:J),IF($D1097&lt;&gt;0,SUMIF(куб!$D:$D,$D1097,куб!J:J),IF($C1097&lt;&gt;0,SUMIF(куб!$C:$C,$C1097,куб!J:J),IF($B1097&lt;&gt;0,SUMIF(куб!$B:$B,$B1097,куб!J:J))))))</f>
        <v>0</v>
      </c>
      <c r="Q1097" s="27" t="b">
        <f>IF($G1097&lt;&gt;0,SUMIF(куб!$G:$G,$G1097,куб!K:K),IF($E1097&lt;&gt;0,SUMIF(куб!$E:$E,$E1097,куб!K:K),IF($D1097&lt;&gt;0,SUMIF(куб!$D:$D,$D1097,куб!K:K),IF($C1097&lt;&gt;0,SUMIF(куб!$C:$C,$C1097,куб!K:K),IF($B1097&lt;&gt;0,SUMIF(куб!$B:$B,$B1097,куб!K:K))))))</f>
        <v>0</v>
      </c>
      <c r="R1097" s="13" t="str">
        <f t="shared" si="349"/>
        <v>-</v>
      </c>
      <c r="S1097" s="5"/>
      <c r="T1097" s="27" t="b">
        <f>IF($G1097&lt;&gt;0,SUMIF(куб!$G:$G,$G1097,куб!L:L),IF($E1097&lt;&gt;0,SUMIF(куб!$E:$E,$E1097,куб!L:L),IF($D1097&lt;&gt;0,SUMIF(куб!$D:$D,$D1097,куб!L:L),IF($C1097&lt;&gt;0,SUMIF(куб!$C:$C,$C1097,куб!L:L),IF($B1097&lt;&gt;0,SUMIF(куб!$B:$B,$B1097,куб!L:L))))))</f>
        <v>0</v>
      </c>
      <c r="U1097" s="27" t="b">
        <f>IF($G1097&lt;&gt;0,SUMIF(куб!$G:$G,$G1097,куб!M:M),IF($E1097&lt;&gt;0,SUMIF(куб!$E:$E,$E1097,куб!M:M),IF($D1097&lt;&gt;0,SUMIF(куб!$D:$D,$D1097,куб!M:M),IF($C1097&lt;&gt;0,SUMIF(куб!$C:$C,$C1097,куб!M:M),IF($B1097&lt;&gt;0,SUMIF(куб!$B:$B,$B1097,куб!M:M))))))</f>
        <v>0</v>
      </c>
      <c r="V1097" s="13" t="str">
        <f t="shared" si="350"/>
        <v>-</v>
      </c>
      <c r="W1097" s="5"/>
      <c r="X1097" s="27" t="b">
        <f>IF($G1097&lt;&gt;0,SUMIF(куб!$G:$G,$G1097,куб!N:N),IF($E1097&lt;&gt;0,SUMIF(куб!$E:$E,$E1097,куб!N:N),IF($D1097&lt;&gt;0,SUMIF(куб!$D:$D,$D1097,куб!N:N),IF($C1097&lt;&gt;0,SUMIF(куб!$C:$C,$C1097,куб!N:N),IF($B1097&lt;&gt;0,SUMIF(куб!$B:$B,$B1097,куб!N:N))))))</f>
        <v>0</v>
      </c>
      <c r="Y1097" s="27" t="b">
        <f>IF($G1097&lt;&gt;0,SUMIF(куб!$G:$G,$G1097,куб!O:O),IF($E1097&lt;&gt;0,SUMIF(куб!$E:$E,$E1097,куб!O:O),IF($D1097&lt;&gt;0,SUMIF(куб!$D:$D,$D1097,куб!O:O),IF($C1097&lt;&gt;0,SUMIF(куб!$C:$C,$C1097,куб!O:O),IF($B1097&lt;&gt;0,SUMIF(куб!$B:$B,$B1097,куб!O:O))))))</f>
        <v>0</v>
      </c>
      <c r="Z1097" s="13" t="str">
        <f t="shared" si="351"/>
        <v>-</v>
      </c>
      <c r="AA1097" s="5"/>
      <c r="AB1097" s="33" t="str">
        <f t="shared" si="352"/>
        <v/>
      </c>
      <c r="AC1097" s="33" t="str">
        <f t="shared" si="353"/>
        <v/>
      </c>
      <c r="AD1097" s="15" t="str">
        <f t="shared" si="354"/>
        <v xml:space="preserve"> </v>
      </c>
      <c r="AE1097" s="5"/>
      <c r="AF1097" s="27" t="b">
        <f>IF($G1097&lt;&gt;0,SUMIF(куб!$G:$G,$G1097,куб!R:R),IF($E1097&lt;&gt;0,SUMIF(куб!$E:$E,$E1097,куб!R:R),IF($D1097&lt;&gt;0,SUMIF(куб!$D:$D,$D1097,куб!R:R),IF($C1097&lt;&gt;0,SUMIF(куб!$C:$C,$C1097,куб!R:R),IF($B1097&lt;&gt;0,SUMIF(куб!$B:$B,$B1097,куб!R:R))))))</f>
        <v>0</v>
      </c>
      <c r="AG1097" s="27" t="b">
        <f>IF($G1097&lt;&gt;0,SUMIF(куб!$G:$G,$G1097,куб!S:S),IF($E1097&lt;&gt;0,SUMIF(куб!$E:$E,$E1097,куб!S:S),IF($D1097&lt;&gt;0,SUMIF(куб!$D:$D,$D1097,куб!S:S),IF($C1097&lt;&gt;0,SUMIF(куб!$C:$C,$C1097,куб!S:S),IF($B1097&lt;&gt;0,SUMIF(куб!$B:$B,$B1097,куб!S:S))))))</f>
        <v>0</v>
      </c>
      <c r="AH1097" s="16" t="str">
        <f t="shared" si="355"/>
        <v>-</v>
      </c>
      <c r="AI1097" s="8"/>
      <c r="AJ1097" s="27" t="b">
        <f>IF($G1097&lt;&gt;0,SUMIF(куб!$G:$G,$G1097,куб!T:T),IF($E1097&lt;&gt;0,SUMIF(куб!$E:$E,$E1097,куб!T:T),IF($D1097&lt;&gt;0,SUMIF(куб!$D:$D,$D1097,куб!T:T),IF($C1097&lt;&gt;0,SUMIF(куб!$C:$C,$C1097,куб!T:T),IF($B1097&lt;&gt;0,SUMIF(куб!$B:$B,$B1097,куб!T:T))))))</f>
        <v>0</v>
      </c>
      <c r="AK1097" s="27" t="b">
        <f>IF($G1097&lt;&gt;0,SUMIF(куб!$G:$G,$G1097,куб!U:U),IF($E1097&lt;&gt;0,SUMIF(куб!$E:$E,$E1097,куб!U:U),IF($D1097&lt;&gt;0,SUMIF(куб!$D:$D,$D1097,куб!U:U),IF($C1097&lt;&gt;0,SUMIF(куб!$C:$C,$C1097,куб!U:U),IF($B1097&lt;&gt;0,SUMIF(куб!$B:$B,$B1097,куб!U:U))))))</f>
        <v>0</v>
      </c>
      <c r="AL1097" s="16" t="str">
        <f t="shared" si="356"/>
        <v>-</v>
      </c>
      <c r="AM1097" s="8"/>
      <c r="AN1097" s="17" t="str">
        <f t="shared" si="357"/>
        <v xml:space="preserve"> </v>
      </c>
      <c r="AO1097" s="17" t="str">
        <f t="shared" si="358"/>
        <v xml:space="preserve"> </v>
      </c>
      <c r="AP1097" s="16" t="str">
        <f t="shared" si="359"/>
        <v>-</v>
      </c>
      <c r="AQ1097" s="8"/>
      <c r="AR1097" s="17" t="str">
        <f t="shared" si="360"/>
        <v>-</v>
      </c>
      <c r="AS1097" s="17" t="str">
        <f t="shared" si="361"/>
        <v>-</v>
      </c>
      <c r="AT1097" s="13" t="str">
        <f t="shared" si="362"/>
        <v>-</v>
      </c>
      <c r="AU1097" s="8"/>
    </row>
    <row r="1098" spans="8:47" x14ac:dyDescent="0.25">
      <c r="H1098" s="27">
        <f>IF($G1098&lt;&gt;0,SUMIF(куб!$G:$G,$G1098,куб!H:H),IF($E1098&lt;&gt;0,SUMIF(куб!$E:$E,$E1098,куб!H:H),IF($D1098&lt;&gt;0,SUMIF(куб!$D:$D,$D1098,куб!H:H),IF($C1098&lt;&gt;0,SUMIF(куб!$C:$C,$C1098,куб!H:H),IF($B1098&lt;&gt;0,SUMIF(куб!$B:$B,$B1098,куб!H:H),IF($G1098&lt;&gt;0,SUMIF(куб!$A:$A,$G1098,куб!H:H),SUMIF(куб!$A:$A,$G1098,куб!H:H)))))))</f>
        <v>0</v>
      </c>
      <c r="I1098" s="27">
        <f>IF($G1098&lt;&gt;0,SUMIF(куб!$G:$G,$G1098,куб!I:I),IF($E1098&lt;&gt;0,SUMIF(куб!$E:$E,$E1098,куб!I:I),IF($D1098&lt;&gt;0,SUMIF(куб!$D:$D,$D1098,куб!I:I),IF($C1098&lt;&gt;0,SUMIF(куб!$C:$C,$C1098,куб!I:I),IF($B1098&lt;&gt;0,SUMIF(куб!$B:$B,$B1098,куб!I:I),IF($G1098&lt;&gt;0,SUMIF(куб!$A:$A,$G1098,куб!I:I),SUMIF(куб!$A:$A,$G1098,куб!I:I)))))))</f>
        <v>0</v>
      </c>
      <c r="J1098" s="19" t="str">
        <f t="shared" si="345"/>
        <v>-</v>
      </c>
      <c r="K1098" s="8"/>
      <c r="L1098" s="17">
        <f t="shared" si="346"/>
        <v>0</v>
      </c>
      <c r="M1098" s="17">
        <f t="shared" si="347"/>
        <v>0</v>
      </c>
      <c r="N1098" s="12">
        <f t="shared" si="348"/>
        <v>0</v>
      </c>
      <c r="O1098" s="5"/>
      <c r="P1098" s="27" t="b">
        <f>IF($G1098&lt;&gt;0,SUMIF(куб!$G:$G,$G1098,куб!J:J),IF($E1098&lt;&gt;0,SUMIF(куб!$E:$E,$E1098,куб!J:J),IF($D1098&lt;&gt;0,SUMIF(куб!$D:$D,$D1098,куб!J:J),IF($C1098&lt;&gt;0,SUMIF(куб!$C:$C,$C1098,куб!J:J),IF($B1098&lt;&gt;0,SUMIF(куб!$B:$B,$B1098,куб!J:J))))))</f>
        <v>0</v>
      </c>
      <c r="Q1098" s="27" t="b">
        <f>IF($G1098&lt;&gt;0,SUMIF(куб!$G:$G,$G1098,куб!K:K),IF($E1098&lt;&gt;0,SUMIF(куб!$E:$E,$E1098,куб!K:K),IF($D1098&lt;&gt;0,SUMIF(куб!$D:$D,$D1098,куб!K:K),IF($C1098&lt;&gt;0,SUMIF(куб!$C:$C,$C1098,куб!K:K),IF($B1098&lt;&gt;0,SUMIF(куб!$B:$B,$B1098,куб!K:K))))))</f>
        <v>0</v>
      </c>
      <c r="R1098" s="13" t="str">
        <f t="shared" si="349"/>
        <v>-</v>
      </c>
      <c r="S1098" s="5"/>
      <c r="T1098" s="27" t="b">
        <f>IF($G1098&lt;&gt;0,SUMIF(куб!$G:$G,$G1098,куб!L:L),IF($E1098&lt;&gt;0,SUMIF(куб!$E:$E,$E1098,куб!L:L),IF($D1098&lt;&gt;0,SUMIF(куб!$D:$D,$D1098,куб!L:L),IF($C1098&lt;&gt;0,SUMIF(куб!$C:$C,$C1098,куб!L:L),IF($B1098&lt;&gt;0,SUMIF(куб!$B:$B,$B1098,куб!L:L))))))</f>
        <v>0</v>
      </c>
      <c r="U1098" s="27" t="b">
        <f>IF($G1098&lt;&gt;0,SUMIF(куб!$G:$G,$G1098,куб!M:M),IF($E1098&lt;&gt;0,SUMIF(куб!$E:$E,$E1098,куб!M:M),IF($D1098&lt;&gt;0,SUMIF(куб!$D:$D,$D1098,куб!M:M),IF($C1098&lt;&gt;0,SUMIF(куб!$C:$C,$C1098,куб!M:M),IF($B1098&lt;&gt;0,SUMIF(куб!$B:$B,$B1098,куб!M:M))))))</f>
        <v>0</v>
      </c>
      <c r="V1098" s="13" t="str">
        <f t="shared" si="350"/>
        <v>-</v>
      </c>
      <c r="W1098" s="5"/>
      <c r="X1098" s="27" t="b">
        <f>IF($G1098&lt;&gt;0,SUMIF(куб!$G:$G,$G1098,куб!N:N),IF($E1098&lt;&gt;0,SUMIF(куб!$E:$E,$E1098,куб!N:N),IF($D1098&lt;&gt;0,SUMIF(куб!$D:$D,$D1098,куб!N:N),IF($C1098&lt;&gt;0,SUMIF(куб!$C:$C,$C1098,куб!N:N),IF($B1098&lt;&gt;0,SUMIF(куб!$B:$B,$B1098,куб!N:N))))))</f>
        <v>0</v>
      </c>
      <c r="Y1098" s="27" t="b">
        <f>IF($G1098&lt;&gt;0,SUMIF(куб!$G:$G,$G1098,куб!O:O),IF($E1098&lt;&gt;0,SUMIF(куб!$E:$E,$E1098,куб!O:O),IF($D1098&lt;&gt;0,SUMIF(куб!$D:$D,$D1098,куб!O:O),IF($C1098&lt;&gt;0,SUMIF(куб!$C:$C,$C1098,куб!O:O),IF($B1098&lt;&gt;0,SUMIF(куб!$B:$B,$B1098,куб!O:O))))))</f>
        <v>0</v>
      </c>
      <c r="Z1098" s="13" t="str">
        <f t="shared" si="351"/>
        <v>-</v>
      </c>
      <c r="AA1098" s="5"/>
      <c r="AB1098" s="33" t="str">
        <f t="shared" si="352"/>
        <v/>
      </c>
      <c r="AC1098" s="33" t="str">
        <f t="shared" si="353"/>
        <v/>
      </c>
      <c r="AD1098" s="15" t="str">
        <f t="shared" si="354"/>
        <v xml:space="preserve"> </v>
      </c>
      <c r="AE1098" s="5"/>
      <c r="AF1098" s="27" t="b">
        <f>IF($G1098&lt;&gt;0,SUMIF(куб!$G:$G,$G1098,куб!R:R),IF($E1098&lt;&gt;0,SUMIF(куб!$E:$E,$E1098,куб!R:R),IF($D1098&lt;&gt;0,SUMIF(куб!$D:$D,$D1098,куб!R:R),IF($C1098&lt;&gt;0,SUMIF(куб!$C:$C,$C1098,куб!R:R),IF($B1098&lt;&gt;0,SUMIF(куб!$B:$B,$B1098,куб!R:R))))))</f>
        <v>0</v>
      </c>
      <c r="AG1098" s="27" t="b">
        <f>IF($G1098&lt;&gt;0,SUMIF(куб!$G:$G,$G1098,куб!S:S),IF($E1098&lt;&gt;0,SUMIF(куб!$E:$E,$E1098,куб!S:S),IF($D1098&lt;&gt;0,SUMIF(куб!$D:$D,$D1098,куб!S:S),IF($C1098&lt;&gt;0,SUMIF(куб!$C:$C,$C1098,куб!S:S),IF($B1098&lt;&gt;0,SUMIF(куб!$B:$B,$B1098,куб!S:S))))))</f>
        <v>0</v>
      </c>
      <c r="AH1098" s="16" t="str">
        <f t="shared" si="355"/>
        <v>-</v>
      </c>
      <c r="AI1098" s="8"/>
      <c r="AJ1098" s="27" t="b">
        <f>IF($G1098&lt;&gt;0,SUMIF(куб!$G:$G,$G1098,куб!T:T),IF($E1098&lt;&gt;0,SUMIF(куб!$E:$E,$E1098,куб!T:T),IF($D1098&lt;&gt;0,SUMIF(куб!$D:$D,$D1098,куб!T:T),IF($C1098&lt;&gt;0,SUMIF(куб!$C:$C,$C1098,куб!T:T),IF($B1098&lt;&gt;0,SUMIF(куб!$B:$B,$B1098,куб!T:T))))))</f>
        <v>0</v>
      </c>
      <c r="AK1098" s="27" t="b">
        <f>IF($G1098&lt;&gt;0,SUMIF(куб!$G:$G,$G1098,куб!U:U),IF($E1098&lt;&gt;0,SUMIF(куб!$E:$E,$E1098,куб!U:U),IF($D1098&lt;&gt;0,SUMIF(куб!$D:$D,$D1098,куб!U:U),IF($C1098&lt;&gt;0,SUMIF(куб!$C:$C,$C1098,куб!U:U),IF($B1098&lt;&gt;0,SUMIF(куб!$B:$B,$B1098,куб!U:U))))))</f>
        <v>0</v>
      </c>
      <c r="AL1098" s="16" t="str">
        <f t="shared" si="356"/>
        <v>-</v>
      </c>
      <c r="AM1098" s="8"/>
      <c r="AN1098" s="17" t="str">
        <f t="shared" si="357"/>
        <v xml:space="preserve"> </v>
      </c>
      <c r="AO1098" s="17" t="str">
        <f t="shared" si="358"/>
        <v xml:space="preserve"> </v>
      </c>
      <c r="AP1098" s="16" t="str">
        <f t="shared" si="359"/>
        <v>-</v>
      </c>
      <c r="AQ1098" s="8"/>
      <c r="AR1098" s="17" t="str">
        <f t="shared" si="360"/>
        <v>-</v>
      </c>
      <c r="AS1098" s="17" t="str">
        <f t="shared" si="361"/>
        <v>-</v>
      </c>
      <c r="AT1098" s="13" t="str">
        <f t="shared" si="362"/>
        <v>-</v>
      </c>
      <c r="AU1098" s="8"/>
    </row>
    <row r="1099" spans="8:47" x14ac:dyDescent="0.25">
      <c r="H1099" s="27">
        <f>IF($G1099&lt;&gt;0,SUMIF(куб!$G:$G,$G1099,куб!H:H),IF($E1099&lt;&gt;0,SUMIF(куб!$E:$E,$E1099,куб!H:H),IF($D1099&lt;&gt;0,SUMIF(куб!$D:$D,$D1099,куб!H:H),IF($C1099&lt;&gt;0,SUMIF(куб!$C:$C,$C1099,куб!H:H),IF($B1099&lt;&gt;0,SUMIF(куб!$B:$B,$B1099,куб!H:H),IF($G1099&lt;&gt;0,SUMIF(куб!$A:$A,$G1099,куб!H:H),SUMIF(куб!$A:$A,$G1099,куб!H:H)))))))</f>
        <v>0</v>
      </c>
      <c r="I1099" s="27">
        <f>IF($G1099&lt;&gt;0,SUMIF(куб!$G:$G,$G1099,куб!I:I),IF($E1099&lt;&gt;0,SUMIF(куб!$E:$E,$E1099,куб!I:I),IF($D1099&lt;&gt;0,SUMIF(куб!$D:$D,$D1099,куб!I:I),IF($C1099&lt;&gt;0,SUMIF(куб!$C:$C,$C1099,куб!I:I),IF($B1099&lt;&gt;0,SUMIF(куб!$B:$B,$B1099,куб!I:I),IF($G1099&lt;&gt;0,SUMIF(куб!$A:$A,$G1099,куб!I:I),SUMIF(куб!$A:$A,$G1099,куб!I:I)))))))</f>
        <v>0</v>
      </c>
      <c r="J1099" s="19" t="str">
        <f t="shared" si="345"/>
        <v>-</v>
      </c>
      <c r="K1099" s="8"/>
      <c r="L1099" s="17">
        <f t="shared" si="346"/>
        <v>0</v>
      </c>
      <c r="M1099" s="17">
        <f t="shared" si="347"/>
        <v>0</v>
      </c>
      <c r="N1099" s="12">
        <f t="shared" si="348"/>
        <v>0</v>
      </c>
      <c r="O1099" s="5"/>
      <c r="P1099" s="27" t="b">
        <f>IF($G1099&lt;&gt;0,SUMIF(куб!$G:$G,$G1099,куб!J:J),IF($E1099&lt;&gt;0,SUMIF(куб!$E:$E,$E1099,куб!J:J),IF($D1099&lt;&gt;0,SUMIF(куб!$D:$D,$D1099,куб!J:J),IF($C1099&lt;&gt;0,SUMIF(куб!$C:$C,$C1099,куб!J:J),IF($B1099&lt;&gt;0,SUMIF(куб!$B:$B,$B1099,куб!J:J))))))</f>
        <v>0</v>
      </c>
      <c r="Q1099" s="27" t="b">
        <f>IF($G1099&lt;&gt;0,SUMIF(куб!$G:$G,$G1099,куб!K:K),IF($E1099&lt;&gt;0,SUMIF(куб!$E:$E,$E1099,куб!K:K),IF($D1099&lt;&gt;0,SUMIF(куб!$D:$D,$D1099,куб!K:K),IF($C1099&lt;&gt;0,SUMIF(куб!$C:$C,$C1099,куб!K:K),IF($B1099&lt;&gt;0,SUMIF(куб!$B:$B,$B1099,куб!K:K))))))</f>
        <v>0</v>
      </c>
      <c r="R1099" s="13" t="str">
        <f t="shared" si="349"/>
        <v>-</v>
      </c>
      <c r="S1099" s="5"/>
      <c r="T1099" s="27" t="b">
        <f>IF($G1099&lt;&gt;0,SUMIF(куб!$G:$G,$G1099,куб!L:L),IF($E1099&lt;&gt;0,SUMIF(куб!$E:$E,$E1099,куб!L:L),IF($D1099&lt;&gt;0,SUMIF(куб!$D:$D,$D1099,куб!L:L),IF($C1099&lt;&gt;0,SUMIF(куб!$C:$C,$C1099,куб!L:L),IF($B1099&lt;&gt;0,SUMIF(куб!$B:$B,$B1099,куб!L:L))))))</f>
        <v>0</v>
      </c>
      <c r="U1099" s="27" t="b">
        <f>IF($G1099&lt;&gt;0,SUMIF(куб!$G:$G,$G1099,куб!M:M),IF($E1099&lt;&gt;0,SUMIF(куб!$E:$E,$E1099,куб!M:M),IF($D1099&lt;&gt;0,SUMIF(куб!$D:$D,$D1099,куб!M:M),IF($C1099&lt;&gt;0,SUMIF(куб!$C:$C,$C1099,куб!M:M),IF($B1099&lt;&gt;0,SUMIF(куб!$B:$B,$B1099,куб!M:M))))))</f>
        <v>0</v>
      </c>
      <c r="V1099" s="13" t="str">
        <f t="shared" si="350"/>
        <v>-</v>
      </c>
      <c r="W1099" s="5"/>
      <c r="X1099" s="27" t="b">
        <f>IF($G1099&lt;&gt;0,SUMIF(куб!$G:$G,$G1099,куб!N:N),IF($E1099&lt;&gt;0,SUMIF(куб!$E:$E,$E1099,куб!N:N),IF($D1099&lt;&gt;0,SUMIF(куб!$D:$D,$D1099,куб!N:N),IF($C1099&lt;&gt;0,SUMIF(куб!$C:$C,$C1099,куб!N:N),IF($B1099&lt;&gt;0,SUMIF(куб!$B:$B,$B1099,куб!N:N))))))</f>
        <v>0</v>
      </c>
      <c r="Y1099" s="27" t="b">
        <f>IF($G1099&lt;&gt;0,SUMIF(куб!$G:$G,$G1099,куб!O:O),IF($E1099&lt;&gt;0,SUMIF(куб!$E:$E,$E1099,куб!O:O),IF($D1099&lt;&gt;0,SUMIF(куб!$D:$D,$D1099,куб!O:O),IF($C1099&lt;&gt;0,SUMIF(куб!$C:$C,$C1099,куб!O:O),IF($B1099&lt;&gt;0,SUMIF(куб!$B:$B,$B1099,куб!O:O))))))</f>
        <v>0</v>
      </c>
      <c r="Z1099" s="13" t="str">
        <f t="shared" si="351"/>
        <v>-</v>
      </c>
      <c r="AA1099" s="5"/>
      <c r="AB1099" s="33" t="str">
        <f t="shared" si="352"/>
        <v/>
      </c>
      <c r="AC1099" s="33" t="str">
        <f t="shared" si="353"/>
        <v/>
      </c>
      <c r="AD1099" s="15" t="str">
        <f t="shared" si="354"/>
        <v xml:space="preserve"> </v>
      </c>
      <c r="AE1099" s="5"/>
      <c r="AF1099" s="27" t="b">
        <f>IF($G1099&lt;&gt;0,SUMIF(куб!$G:$G,$G1099,куб!R:R),IF($E1099&lt;&gt;0,SUMIF(куб!$E:$E,$E1099,куб!R:R),IF($D1099&lt;&gt;0,SUMIF(куб!$D:$D,$D1099,куб!R:R),IF($C1099&lt;&gt;0,SUMIF(куб!$C:$C,$C1099,куб!R:R),IF($B1099&lt;&gt;0,SUMIF(куб!$B:$B,$B1099,куб!R:R))))))</f>
        <v>0</v>
      </c>
      <c r="AG1099" s="27" t="b">
        <f>IF($G1099&lt;&gt;0,SUMIF(куб!$G:$G,$G1099,куб!S:S),IF($E1099&lt;&gt;0,SUMIF(куб!$E:$E,$E1099,куб!S:S),IF($D1099&lt;&gt;0,SUMIF(куб!$D:$D,$D1099,куб!S:S),IF($C1099&lt;&gt;0,SUMIF(куб!$C:$C,$C1099,куб!S:S),IF($B1099&lt;&gt;0,SUMIF(куб!$B:$B,$B1099,куб!S:S))))))</f>
        <v>0</v>
      </c>
      <c r="AH1099" s="16" t="str">
        <f t="shared" si="355"/>
        <v>-</v>
      </c>
      <c r="AI1099" s="8"/>
      <c r="AJ1099" s="27" t="b">
        <f>IF($G1099&lt;&gt;0,SUMIF(куб!$G:$G,$G1099,куб!T:T),IF($E1099&lt;&gt;0,SUMIF(куб!$E:$E,$E1099,куб!T:T),IF($D1099&lt;&gt;0,SUMIF(куб!$D:$D,$D1099,куб!T:T),IF($C1099&lt;&gt;0,SUMIF(куб!$C:$C,$C1099,куб!T:T),IF($B1099&lt;&gt;0,SUMIF(куб!$B:$B,$B1099,куб!T:T))))))</f>
        <v>0</v>
      </c>
      <c r="AK1099" s="27" t="b">
        <f>IF($G1099&lt;&gt;0,SUMIF(куб!$G:$G,$G1099,куб!U:U),IF($E1099&lt;&gt;0,SUMIF(куб!$E:$E,$E1099,куб!U:U),IF($D1099&lt;&gt;0,SUMIF(куб!$D:$D,$D1099,куб!U:U),IF($C1099&lt;&gt;0,SUMIF(куб!$C:$C,$C1099,куб!U:U),IF($B1099&lt;&gt;0,SUMIF(куб!$B:$B,$B1099,куб!U:U))))))</f>
        <v>0</v>
      </c>
      <c r="AL1099" s="16" t="str">
        <f t="shared" si="356"/>
        <v>-</v>
      </c>
      <c r="AM1099" s="8"/>
      <c r="AN1099" s="17" t="str">
        <f t="shared" si="357"/>
        <v xml:space="preserve"> </v>
      </c>
      <c r="AO1099" s="17" t="str">
        <f t="shared" si="358"/>
        <v xml:space="preserve"> </v>
      </c>
      <c r="AP1099" s="16" t="str">
        <f t="shared" si="359"/>
        <v>-</v>
      </c>
      <c r="AQ1099" s="8"/>
      <c r="AR1099" s="17" t="str">
        <f t="shared" si="360"/>
        <v>-</v>
      </c>
      <c r="AS1099" s="17" t="str">
        <f t="shared" si="361"/>
        <v>-</v>
      </c>
      <c r="AT1099" s="13" t="str">
        <f t="shared" si="362"/>
        <v>-</v>
      </c>
      <c r="AU1099" s="8"/>
    </row>
    <row r="1100" spans="8:47" x14ac:dyDescent="0.25">
      <c r="H1100" s="27">
        <f>IF($G1100&lt;&gt;0,SUMIF(куб!$G:$G,$G1100,куб!H:H),IF($E1100&lt;&gt;0,SUMIF(куб!$E:$E,$E1100,куб!H:H),IF($D1100&lt;&gt;0,SUMIF(куб!$D:$D,$D1100,куб!H:H),IF($C1100&lt;&gt;0,SUMIF(куб!$C:$C,$C1100,куб!H:H),IF($B1100&lt;&gt;0,SUMIF(куб!$B:$B,$B1100,куб!H:H),IF($G1100&lt;&gt;0,SUMIF(куб!$A:$A,$G1100,куб!H:H),SUMIF(куб!$A:$A,$G1100,куб!H:H)))))))</f>
        <v>0</v>
      </c>
      <c r="I1100" s="27">
        <f>IF($G1100&lt;&gt;0,SUMIF(куб!$G:$G,$G1100,куб!I:I),IF($E1100&lt;&gt;0,SUMIF(куб!$E:$E,$E1100,куб!I:I),IF($D1100&lt;&gt;0,SUMIF(куб!$D:$D,$D1100,куб!I:I),IF($C1100&lt;&gt;0,SUMIF(куб!$C:$C,$C1100,куб!I:I),IF($B1100&lt;&gt;0,SUMIF(куб!$B:$B,$B1100,куб!I:I),IF($G1100&lt;&gt;0,SUMIF(куб!$A:$A,$G1100,куб!I:I),SUMIF(куб!$A:$A,$G1100,куб!I:I)))))))</f>
        <v>0</v>
      </c>
      <c r="J1100" s="19" t="str">
        <f t="shared" si="345"/>
        <v>-</v>
      </c>
      <c r="K1100" s="8"/>
      <c r="L1100" s="17">
        <f t="shared" si="346"/>
        <v>0</v>
      </c>
      <c r="M1100" s="17">
        <f t="shared" si="347"/>
        <v>0</v>
      </c>
      <c r="N1100" s="12">
        <f t="shared" si="348"/>
        <v>0</v>
      </c>
      <c r="O1100" s="5"/>
      <c r="P1100" s="27" t="b">
        <f>IF($G1100&lt;&gt;0,SUMIF(куб!$G:$G,$G1100,куб!J:J),IF($E1100&lt;&gt;0,SUMIF(куб!$E:$E,$E1100,куб!J:J),IF($D1100&lt;&gt;0,SUMIF(куб!$D:$D,$D1100,куб!J:J),IF($C1100&lt;&gt;0,SUMIF(куб!$C:$C,$C1100,куб!J:J),IF($B1100&lt;&gt;0,SUMIF(куб!$B:$B,$B1100,куб!J:J))))))</f>
        <v>0</v>
      </c>
      <c r="Q1100" s="27" t="b">
        <f>IF($G1100&lt;&gt;0,SUMIF(куб!$G:$G,$G1100,куб!K:K),IF($E1100&lt;&gt;0,SUMIF(куб!$E:$E,$E1100,куб!K:K),IF($D1100&lt;&gt;0,SUMIF(куб!$D:$D,$D1100,куб!K:K),IF($C1100&lt;&gt;0,SUMIF(куб!$C:$C,$C1100,куб!K:K),IF($B1100&lt;&gt;0,SUMIF(куб!$B:$B,$B1100,куб!K:K))))))</f>
        <v>0</v>
      </c>
      <c r="R1100" s="13" t="str">
        <f t="shared" si="349"/>
        <v>-</v>
      </c>
      <c r="S1100" s="5"/>
      <c r="T1100" s="27" t="b">
        <f>IF($G1100&lt;&gt;0,SUMIF(куб!$G:$G,$G1100,куб!L:L),IF($E1100&lt;&gt;0,SUMIF(куб!$E:$E,$E1100,куб!L:L),IF($D1100&lt;&gt;0,SUMIF(куб!$D:$D,$D1100,куб!L:L),IF($C1100&lt;&gt;0,SUMIF(куб!$C:$C,$C1100,куб!L:L),IF($B1100&lt;&gt;0,SUMIF(куб!$B:$B,$B1100,куб!L:L))))))</f>
        <v>0</v>
      </c>
      <c r="U1100" s="27" t="b">
        <f>IF($G1100&lt;&gt;0,SUMIF(куб!$G:$G,$G1100,куб!M:M),IF($E1100&lt;&gt;0,SUMIF(куб!$E:$E,$E1100,куб!M:M),IF($D1100&lt;&gt;0,SUMIF(куб!$D:$D,$D1100,куб!M:M),IF($C1100&lt;&gt;0,SUMIF(куб!$C:$C,$C1100,куб!M:M),IF($B1100&lt;&gt;0,SUMIF(куб!$B:$B,$B1100,куб!M:M))))))</f>
        <v>0</v>
      </c>
      <c r="V1100" s="13" t="str">
        <f t="shared" si="350"/>
        <v>-</v>
      </c>
      <c r="W1100" s="5"/>
      <c r="X1100" s="27" t="b">
        <f>IF($G1100&lt;&gt;0,SUMIF(куб!$G:$G,$G1100,куб!N:N),IF($E1100&lt;&gt;0,SUMIF(куб!$E:$E,$E1100,куб!N:N),IF($D1100&lt;&gt;0,SUMIF(куб!$D:$D,$D1100,куб!N:N),IF($C1100&lt;&gt;0,SUMIF(куб!$C:$C,$C1100,куб!N:N),IF($B1100&lt;&gt;0,SUMIF(куб!$B:$B,$B1100,куб!N:N))))))</f>
        <v>0</v>
      </c>
      <c r="Y1100" s="27" t="b">
        <f>IF($G1100&lt;&gt;0,SUMIF(куб!$G:$G,$G1100,куб!O:O),IF($E1100&lt;&gt;0,SUMIF(куб!$E:$E,$E1100,куб!O:O),IF($D1100&lt;&gt;0,SUMIF(куб!$D:$D,$D1100,куб!O:O),IF($C1100&lt;&gt;0,SUMIF(куб!$C:$C,$C1100,куб!O:O),IF($B1100&lt;&gt;0,SUMIF(куб!$B:$B,$B1100,куб!O:O))))))</f>
        <v>0</v>
      </c>
      <c r="Z1100" s="13" t="str">
        <f t="shared" si="351"/>
        <v>-</v>
      </c>
      <c r="AA1100" s="5"/>
      <c r="AB1100" s="33" t="str">
        <f t="shared" si="352"/>
        <v/>
      </c>
      <c r="AC1100" s="33" t="str">
        <f t="shared" si="353"/>
        <v/>
      </c>
      <c r="AD1100" s="15" t="str">
        <f t="shared" si="354"/>
        <v xml:space="preserve"> </v>
      </c>
      <c r="AE1100" s="5"/>
      <c r="AF1100" s="27" t="b">
        <f>IF($G1100&lt;&gt;0,SUMIF(куб!$G:$G,$G1100,куб!R:R),IF($E1100&lt;&gt;0,SUMIF(куб!$E:$E,$E1100,куб!R:R),IF($D1100&lt;&gt;0,SUMIF(куб!$D:$D,$D1100,куб!R:R),IF($C1100&lt;&gt;0,SUMIF(куб!$C:$C,$C1100,куб!R:R),IF($B1100&lt;&gt;0,SUMIF(куб!$B:$B,$B1100,куб!R:R))))))</f>
        <v>0</v>
      </c>
      <c r="AG1100" s="27" t="b">
        <f>IF($G1100&lt;&gt;0,SUMIF(куб!$G:$G,$G1100,куб!S:S),IF($E1100&lt;&gt;0,SUMIF(куб!$E:$E,$E1100,куб!S:S),IF($D1100&lt;&gt;0,SUMIF(куб!$D:$D,$D1100,куб!S:S),IF($C1100&lt;&gt;0,SUMIF(куб!$C:$C,$C1100,куб!S:S),IF($B1100&lt;&gt;0,SUMIF(куб!$B:$B,$B1100,куб!S:S))))))</f>
        <v>0</v>
      </c>
      <c r="AH1100" s="16" t="str">
        <f t="shared" si="355"/>
        <v>-</v>
      </c>
      <c r="AI1100" s="8"/>
      <c r="AJ1100" s="27" t="b">
        <f>IF($G1100&lt;&gt;0,SUMIF(куб!$G:$G,$G1100,куб!T:T),IF($E1100&lt;&gt;0,SUMIF(куб!$E:$E,$E1100,куб!T:T),IF($D1100&lt;&gt;0,SUMIF(куб!$D:$D,$D1100,куб!T:T),IF($C1100&lt;&gt;0,SUMIF(куб!$C:$C,$C1100,куб!T:T),IF($B1100&lt;&gt;0,SUMIF(куб!$B:$B,$B1100,куб!T:T))))))</f>
        <v>0</v>
      </c>
      <c r="AK1100" s="27" t="b">
        <f>IF($G1100&lt;&gt;0,SUMIF(куб!$G:$G,$G1100,куб!U:U),IF($E1100&lt;&gt;0,SUMIF(куб!$E:$E,$E1100,куб!U:U),IF($D1100&lt;&gt;0,SUMIF(куб!$D:$D,$D1100,куб!U:U),IF($C1100&lt;&gt;0,SUMIF(куб!$C:$C,$C1100,куб!U:U),IF($B1100&lt;&gt;0,SUMIF(куб!$B:$B,$B1100,куб!U:U))))))</f>
        <v>0</v>
      </c>
      <c r="AL1100" s="16" t="str">
        <f t="shared" si="356"/>
        <v>-</v>
      </c>
      <c r="AM1100" s="8"/>
      <c r="AN1100" s="17" t="str">
        <f t="shared" si="357"/>
        <v xml:space="preserve"> </v>
      </c>
      <c r="AO1100" s="17" t="str">
        <f t="shared" si="358"/>
        <v xml:space="preserve"> </v>
      </c>
      <c r="AP1100" s="16" t="str">
        <f t="shared" si="359"/>
        <v>-</v>
      </c>
      <c r="AQ1100" s="8"/>
      <c r="AR1100" s="17" t="str">
        <f t="shared" si="360"/>
        <v>-</v>
      </c>
      <c r="AS1100" s="17" t="str">
        <f t="shared" si="361"/>
        <v>-</v>
      </c>
      <c r="AT1100" s="13" t="str">
        <f t="shared" si="362"/>
        <v>-</v>
      </c>
      <c r="AU1100" s="8"/>
    </row>
    <row r="1101" spans="8:47" x14ac:dyDescent="0.25">
      <c r="H1101" s="27">
        <f>IF($G1101&lt;&gt;0,SUMIF(куб!$G:$G,$G1101,куб!H:H),IF($E1101&lt;&gt;0,SUMIF(куб!$E:$E,$E1101,куб!H:H),IF($D1101&lt;&gt;0,SUMIF(куб!$D:$D,$D1101,куб!H:H),IF($C1101&lt;&gt;0,SUMIF(куб!$C:$C,$C1101,куб!H:H),IF($B1101&lt;&gt;0,SUMIF(куб!$B:$B,$B1101,куб!H:H),IF($G1101&lt;&gt;0,SUMIF(куб!$A:$A,$G1101,куб!H:H),SUMIF(куб!$A:$A,$G1101,куб!H:H)))))))</f>
        <v>0</v>
      </c>
      <c r="I1101" s="27">
        <f>IF($G1101&lt;&gt;0,SUMIF(куб!$G:$G,$G1101,куб!I:I),IF($E1101&lt;&gt;0,SUMIF(куб!$E:$E,$E1101,куб!I:I),IF($D1101&lt;&gt;0,SUMIF(куб!$D:$D,$D1101,куб!I:I),IF($C1101&lt;&gt;0,SUMIF(куб!$C:$C,$C1101,куб!I:I),IF($B1101&lt;&gt;0,SUMIF(куб!$B:$B,$B1101,куб!I:I),IF($G1101&lt;&gt;0,SUMIF(куб!$A:$A,$G1101,куб!I:I),SUMIF(куб!$A:$A,$G1101,куб!I:I)))))))</f>
        <v>0</v>
      </c>
      <c r="J1101" s="19" t="str">
        <f t="shared" si="345"/>
        <v>-</v>
      </c>
      <c r="K1101" s="8"/>
      <c r="L1101" s="17">
        <f t="shared" si="346"/>
        <v>0</v>
      </c>
      <c r="M1101" s="17">
        <f t="shared" si="347"/>
        <v>0</v>
      </c>
      <c r="N1101" s="12">
        <f t="shared" si="348"/>
        <v>0</v>
      </c>
      <c r="O1101" s="5"/>
      <c r="P1101" s="27" t="b">
        <f>IF($G1101&lt;&gt;0,SUMIF(куб!$G:$G,$G1101,куб!J:J),IF($E1101&lt;&gt;0,SUMIF(куб!$E:$E,$E1101,куб!J:J),IF($D1101&lt;&gt;0,SUMIF(куб!$D:$D,$D1101,куб!J:J),IF($C1101&lt;&gt;0,SUMIF(куб!$C:$C,$C1101,куб!J:J),IF($B1101&lt;&gt;0,SUMIF(куб!$B:$B,$B1101,куб!J:J))))))</f>
        <v>0</v>
      </c>
      <c r="Q1101" s="27" t="b">
        <f>IF($G1101&lt;&gt;0,SUMIF(куб!$G:$G,$G1101,куб!K:K),IF($E1101&lt;&gt;0,SUMIF(куб!$E:$E,$E1101,куб!K:K),IF($D1101&lt;&gt;0,SUMIF(куб!$D:$D,$D1101,куб!K:K),IF($C1101&lt;&gt;0,SUMIF(куб!$C:$C,$C1101,куб!K:K),IF($B1101&lt;&gt;0,SUMIF(куб!$B:$B,$B1101,куб!K:K))))))</f>
        <v>0</v>
      </c>
      <c r="R1101" s="13" t="str">
        <f t="shared" si="349"/>
        <v>-</v>
      </c>
      <c r="S1101" s="5"/>
      <c r="T1101" s="27" t="b">
        <f>IF($G1101&lt;&gt;0,SUMIF(куб!$G:$G,$G1101,куб!L:L),IF($E1101&lt;&gt;0,SUMIF(куб!$E:$E,$E1101,куб!L:L),IF($D1101&lt;&gt;0,SUMIF(куб!$D:$D,$D1101,куб!L:L),IF($C1101&lt;&gt;0,SUMIF(куб!$C:$C,$C1101,куб!L:L),IF($B1101&lt;&gt;0,SUMIF(куб!$B:$B,$B1101,куб!L:L))))))</f>
        <v>0</v>
      </c>
      <c r="U1101" s="27" t="b">
        <f>IF($G1101&lt;&gt;0,SUMIF(куб!$G:$G,$G1101,куб!M:M),IF($E1101&lt;&gt;0,SUMIF(куб!$E:$E,$E1101,куб!M:M),IF($D1101&lt;&gt;0,SUMIF(куб!$D:$D,$D1101,куб!M:M),IF($C1101&lt;&gt;0,SUMIF(куб!$C:$C,$C1101,куб!M:M),IF($B1101&lt;&gt;0,SUMIF(куб!$B:$B,$B1101,куб!M:M))))))</f>
        <v>0</v>
      </c>
      <c r="V1101" s="13" t="str">
        <f t="shared" si="350"/>
        <v>-</v>
      </c>
      <c r="W1101" s="5"/>
      <c r="X1101" s="27" t="b">
        <f>IF($G1101&lt;&gt;0,SUMIF(куб!$G:$G,$G1101,куб!N:N),IF($E1101&lt;&gt;0,SUMIF(куб!$E:$E,$E1101,куб!N:N),IF($D1101&lt;&gt;0,SUMIF(куб!$D:$D,$D1101,куб!N:N),IF($C1101&lt;&gt;0,SUMIF(куб!$C:$C,$C1101,куб!N:N),IF($B1101&lt;&gt;0,SUMIF(куб!$B:$B,$B1101,куб!N:N))))))</f>
        <v>0</v>
      </c>
      <c r="Y1101" s="27" t="b">
        <f>IF($G1101&lt;&gt;0,SUMIF(куб!$G:$G,$G1101,куб!O:O),IF($E1101&lt;&gt;0,SUMIF(куб!$E:$E,$E1101,куб!O:O),IF($D1101&lt;&gt;0,SUMIF(куб!$D:$D,$D1101,куб!O:O),IF($C1101&lt;&gt;0,SUMIF(куб!$C:$C,$C1101,куб!O:O),IF($B1101&lt;&gt;0,SUMIF(куб!$B:$B,$B1101,куб!O:O))))))</f>
        <v>0</v>
      </c>
      <c r="Z1101" s="13" t="str">
        <f t="shared" si="351"/>
        <v>-</v>
      </c>
      <c r="AA1101" s="5"/>
      <c r="AB1101" s="33" t="str">
        <f t="shared" si="352"/>
        <v/>
      </c>
      <c r="AC1101" s="33" t="str">
        <f t="shared" si="353"/>
        <v/>
      </c>
      <c r="AD1101" s="15" t="str">
        <f t="shared" si="354"/>
        <v xml:space="preserve"> </v>
      </c>
      <c r="AE1101" s="5"/>
      <c r="AF1101" s="27" t="b">
        <f>IF($G1101&lt;&gt;0,SUMIF(куб!$G:$G,$G1101,куб!R:R),IF($E1101&lt;&gt;0,SUMIF(куб!$E:$E,$E1101,куб!R:R),IF($D1101&lt;&gt;0,SUMIF(куб!$D:$D,$D1101,куб!R:R),IF($C1101&lt;&gt;0,SUMIF(куб!$C:$C,$C1101,куб!R:R),IF($B1101&lt;&gt;0,SUMIF(куб!$B:$B,$B1101,куб!R:R))))))</f>
        <v>0</v>
      </c>
      <c r="AG1101" s="27" t="b">
        <f>IF($G1101&lt;&gt;0,SUMIF(куб!$G:$G,$G1101,куб!S:S),IF($E1101&lt;&gt;0,SUMIF(куб!$E:$E,$E1101,куб!S:S),IF($D1101&lt;&gt;0,SUMIF(куб!$D:$D,$D1101,куб!S:S),IF($C1101&lt;&gt;0,SUMIF(куб!$C:$C,$C1101,куб!S:S),IF($B1101&lt;&gt;0,SUMIF(куб!$B:$B,$B1101,куб!S:S))))))</f>
        <v>0</v>
      </c>
      <c r="AH1101" s="16" t="str">
        <f t="shared" si="355"/>
        <v>-</v>
      </c>
      <c r="AI1101" s="8"/>
      <c r="AJ1101" s="27" t="b">
        <f>IF($G1101&lt;&gt;0,SUMIF(куб!$G:$G,$G1101,куб!T:T),IF($E1101&lt;&gt;0,SUMIF(куб!$E:$E,$E1101,куб!T:T),IF($D1101&lt;&gt;0,SUMIF(куб!$D:$D,$D1101,куб!T:T),IF($C1101&lt;&gt;0,SUMIF(куб!$C:$C,$C1101,куб!T:T),IF($B1101&lt;&gt;0,SUMIF(куб!$B:$B,$B1101,куб!T:T))))))</f>
        <v>0</v>
      </c>
      <c r="AK1101" s="27" t="b">
        <f>IF($G1101&lt;&gt;0,SUMIF(куб!$G:$G,$G1101,куб!U:U),IF($E1101&lt;&gt;0,SUMIF(куб!$E:$E,$E1101,куб!U:U),IF($D1101&lt;&gt;0,SUMIF(куб!$D:$D,$D1101,куб!U:U),IF($C1101&lt;&gt;0,SUMIF(куб!$C:$C,$C1101,куб!U:U),IF($B1101&lt;&gt;0,SUMIF(куб!$B:$B,$B1101,куб!U:U))))))</f>
        <v>0</v>
      </c>
      <c r="AL1101" s="16" t="str">
        <f t="shared" si="356"/>
        <v>-</v>
      </c>
      <c r="AM1101" s="8"/>
      <c r="AN1101" s="17" t="str">
        <f t="shared" si="357"/>
        <v xml:space="preserve"> </v>
      </c>
      <c r="AO1101" s="17" t="str">
        <f t="shared" si="358"/>
        <v xml:space="preserve"> </v>
      </c>
      <c r="AP1101" s="16" t="str">
        <f t="shared" si="359"/>
        <v>-</v>
      </c>
      <c r="AQ1101" s="8"/>
      <c r="AR1101" s="17" t="str">
        <f t="shared" si="360"/>
        <v>-</v>
      </c>
      <c r="AS1101" s="17" t="str">
        <f t="shared" si="361"/>
        <v>-</v>
      </c>
      <c r="AT1101" s="13" t="str">
        <f t="shared" si="362"/>
        <v>-</v>
      </c>
      <c r="AU1101" s="8"/>
    </row>
    <row r="1102" spans="8:47" x14ac:dyDescent="0.25">
      <c r="H1102" s="27">
        <f>IF($G1102&lt;&gt;0,SUMIF(куб!$G:$G,$G1102,куб!H:H),IF($E1102&lt;&gt;0,SUMIF(куб!$E:$E,$E1102,куб!H:H),IF($D1102&lt;&gt;0,SUMIF(куб!$D:$D,$D1102,куб!H:H),IF($C1102&lt;&gt;0,SUMIF(куб!$C:$C,$C1102,куб!H:H),IF($B1102&lt;&gt;0,SUMIF(куб!$B:$B,$B1102,куб!H:H),IF($G1102&lt;&gt;0,SUMIF(куб!$A:$A,$G1102,куб!H:H),SUMIF(куб!$A:$A,$G1102,куб!H:H)))))))</f>
        <v>0</v>
      </c>
      <c r="I1102" s="27">
        <f>IF($G1102&lt;&gt;0,SUMIF(куб!$G:$G,$G1102,куб!I:I),IF($E1102&lt;&gt;0,SUMIF(куб!$E:$E,$E1102,куб!I:I),IF($D1102&lt;&gt;0,SUMIF(куб!$D:$D,$D1102,куб!I:I),IF($C1102&lt;&gt;0,SUMIF(куб!$C:$C,$C1102,куб!I:I),IF($B1102&lt;&gt;0,SUMIF(куб!$B:$B,$B1102,куб!I:I),IF($G1102&lt;&gt;0,SUMIF(куб!$A:$A,$G1102,куб!I:I),SUMIF(куб!$A:$A,$G1102,куб!I:I)))))))</f>
        <v>0</v>
      </c>
      <c r="J1102" s="19" t="str">
        <f t="shared" si="345"/>
        <v>-</v>
      </c>
      <c r="K1102" s="8"/>
      <c r="L1102" s="17">
        <f t="shared" si="346"/>
        <v>0</v>
      </c>
      <c r="M1102" s="17">
        <f t="shared" si="347"/>
        <v>0</v>
      </c>
      <c r="N1102" s="12">
        <f t="shared" si="348"/>
        <v>0</v>
      </c>
      <c r="O1102" s="5"/>
      <c r="P1102" s="27" t="b">
        <f>IF($G1102&lt;&gt;0,SUMIF(куб!$G:$G,$G1102,куб!J:J),IF($E1102&lt;&gt;0,SUMIF(куб!$E:$E,$E1102,куб!J:J),IF($D1102&lt;&gt;0,SUMIF(куб!$D:$D,$D1102,куб!J:J),IF($C1102&lt;&gt;0,SUMIF(куб!$C:$C,$C1102,куб!J:J),IF($B1102&lt;&gt;0,SUMIF(куб!$B:$B,$B1102,куб!J:J))))))</f>
        <v>0</v>
      </c>
      <c r="Q1102" s="27" t="b">
        <f>IF($G1102&lt;&gt;0,SUMIF(куб!$G:$G,$G1102,куб!K:K),IF($E1102&lt;&gt;0,SUMIF(куб!$E:$E,$E1102,куб!K:K),IF($D1102&lt;&gt;0,SUMIF(куб!$D:$D,$D1102,куб!K:K),IF($C1102&lt;&gt;0,SUMIF(куб!$C:$C,$C1102,куб!K:K),IF($B1102&lt;&gt;0,SUMIF(куб!$B:$B,$B1102,куб!K:K))))))</f>
        <v>0</v>
      </c>
      <c r="R1102" s="13" t="str">
        <f t="shared" si="349"/>
        <v>-</v>
      </c>
      <c r="S1102" s="5"/>
      <c r="T1102" s="27" t="b">
        <f>IF($G1102&lt;&gt;0,SUMIF(куб!$G:$G,$G1102,куб!L:L),IF($E1102&lt;&gt;0,SUMIF(куб!$E:$E,$E1102,куб!L:L),IF($D1102&lt;&gt;0,SUMIF(куб!$D:$D,$D1102,куб!L:L),IF($C1102&lt;&gt;0,SUMIF(куб!$C:$C,$C1102,куб!L:L),IF($B1102&lt;&gt;0,SUMIF(куб!$B:$B,$B1102,куб!L:L))))))</f>
        <v>0</v>
      </c>
      <c r="U1102" s="27" t="b">
        <f>IF($G1102&lt;&gt;0,SUMIF(куб!$G:$G,$G1102,куб!M:M),IF($E1102&lt;&gt;0,SUMIF(куб!$E:$E,$E1102,куб!M:M),IF($D1102&lt;&gt;0,SUMIF(куб!$D:$D,$D1102,куб!M:M),IF($C1102&lt;&gt;0,SUMIF(куб!$C:$C,$C1102,куб!M:M),IF($B1102&lt;&gt;0,SUMIF(куб!$B:$B,$B1102,куб!M:M))))))</f>
        <v>0</v>
      </c>
      <c r="V1102" s="13" t="str">
        <f t="shared" si="350"/>
        <v>-</v>
      </c>
      <c r="W1102" s="5"/>
      <c r="X1102" s="27" t="b">
        <f>IF($G1102&lt;&gt;0,SUMIF(куб!$G:$G,$G1102,куб!N:N),IF($E1102&lt;&gt;0,SUMIF(куб!$E:$E,$E1102,куб!N:N),IF($D1102&lt;&gt;0,SUMIF(куб!$D:$D,$D1102,куб!N:N),IF($C1102&lt;&gt;0,SUMIF(куб!$C:$C,$C1102,куб!N:N),IF($B1102&lt;&gt;0,SUMIF(куб!$B:$B,$B1102,куб!N:N))))))</f>
        <v>0</v>
      </c>
      <c r="Y1102" s="27" t="b">
        <f>IF($G1102&lt;&gt;0,SUMIF(куб!$G:$G,$G1102,куб!O:O),IF($E1102&lt;&gt;0,SUMIF(куб!$E:$E,$E1102,куб!O:O),IF($D1102&lt;&gt;0,SUMIF(куб!$D:$D,$D1102,куб!O:O),IF($C1102&lt;&gt;0,SUMIF(куб!$C:$C,$C1102,куб!O:O),IF($B1102&lt;&gt;0,SUMIF(куб!$B:$B,$B1102,куб!O:O))))))</f>
        <v>0</v>
      </c>
      <c r="Z1102" s="13" t="str">
        <f t="shared" si="351"/>
        <v>-</v>
      </c>
      <c r="AA1102" s="5"/>
      <c r="AB1102" s="33" t="str">
        <f t="shared" si="352"/>
        <v/>
      </c>
      <c r="AC1102" s="33" t="str">
        <f t="shared" si="353"/>
        <v/>
      </c>
      <c r="AD1102" s="15" t="str">
        <f t="shared" si="354"/>
        <v xml:space="preserve"> </v>
      </c>
      <c r="AE1102" s="5"/>
      <c r="AF1102" s="27" t="b">
        <f>IF($G1102&lt;&gt;0,SUMIF(куб!$G:$G,$G1102,куб!R:R),IF($E1102&lt;&gt;0,SUMIF(куб!$E:$E,$E1102,куб!R:R),IF($D1102&lt;&gt;0,SUMIF(куб!$D:$D,$D1102,куб!R:R),IF($C1102&lt;&gt;0,SUMIF(куб!$C:$C,$C1102,куб!R:R),IF($B1102&lt;&gt;0,SUMIF(куб!$B:$B,$B1102,куб!R:R))))))</f>
        <v>0</v>
      </c>
      <c r="AG1102" s="27" t="b">
        <f>IF($G1102&lt;&gt;0,SUMIF(куб!$G:$G,$G1102,куб!S:S),IF($E1102&lt;&gt;0,SUMIF(куб!$E:$E,$E1102,куб!S:S),IF($D1102&lt;&gt;0,SUMIF(куб!$D:$D,$D1102,куб!S:S),IF($C1102&lt;&gt;0,SUMIF(куб!$C:$C,$C1102,куб!S:S),IF($B1102&lt;&gt;0,SUMIF(куб!$B:$B,$B1102,куб!S:S))))))</f>
        <v>0</v>
      </c>
      <c r="AH1102" s="16" t="str">
        <f t="shared" si="355"/>
        <v>-</v>
      </c>
      <c r="AI1102" s="8"/>
      <c r="AJ1102" s="27" t="b">
        <f>IF($G1102&lt;&gt;0,SUMIF(куб!$G:$G,$G1102,куб!T:T),IF($E1102&lt;&gt;0,SUMIF(куб!$E:$E,$E1102,куб!T:T),IF($D1102&lt;&gt;0,SUMIF(куб!$D:$D,$D1102,куб!T:T),IF($C1102&lt;&gt;0,SUMIF(куб!$C:$C,$C1102,куб!T:T),IF($B1102&lt;&gt;0,SUMIF(куб!$B:$B,$B1102,куб!T:T))))))</f>
        <v>0</v>
      </c>
      <c r="AK1102" s="27" t="b">
        <f>IF($G1102&lt;&gt;0,SUMIF(куб!$G:$G,$G1102,куб!U:U),IF($E1102&lt;&gt;0,SUMIF(куб!$E:$E,$E1102,куб!U:U),IF($D1102&lt;&gt;0,SUMIF(куб!$D:$D,$D1102,куб!U:U),IF($C1102&lt;&gt;0,SUMIF(куб!$C:$C,$C1102,куб!U:U),IF($B1102&lt;&gt;0,SUMIF(куб!$B:$B,$B1102,куб!U:U))))))</f>
        <v>0</v>
      </c>
      <c r="AL1102" s="16" t="str">
        <f t="shared" si="356"/>
        <v>-</v>
      </c>
      <c r="AM1102" s="8"/>
      <c r="AN1102" s="17" t="str">
        <f t="shared" si="357"/>
        <v xml:space="preserve"> </v>
      </c>
      <c r="AO1102" s="17" t="str">
        <f t="shared" si="358"/>
        <v xml:space="preserve"> </v>
      </c>
      <c r="AP1102" s="16" t="str">
        <f t="shared" si="359"/>
        <v>-</v>
      </c>
      <c r="AQ1102" s="8"/>
      <c r="AR1102" s="17" t="str">
        <f t="shared" si="360"/>
        <v>-</v>
      </c>
      <c r="AS1102" s="17" t="str">
        <f t="shared" si="361"/>
        <v>-</v>
      </c>
      <c r="AT1102" s="13" t="str">
        <f t="shared" si="362"/>
        <v>-</v>
      </c>
      <c r="AU1102" s="8"/>
    </row>
    <row r="1103" spans="8:47" x14ac:dyDescent="0.25">
      <c r="H1103" s="27">
        <f>IF($G1103&lt;&gt;0,SUMIF(куб!$G:$G,$G1103,куб!H:H),IF($E1103&lt;&gt;0,SUMIF(куб!$E:$E,$E1103,куб!H:H),IF($D1103&lt;&gt;0,SUMIF(куб!$D:$D,$D1103,куб!H:H),IF($C1103&lt;&gt;0,SUMIF(куб!$C:$C,$C1103,куб!H:H),IF($B1103&lt;&gt;0,SUMIF(куб!$B:$B,$B1103,куб!H:H),IF($G1103&lt;&gt;0,SUMIF(куб!$A:$A,$G1103,куб!H:H),SUMIF(куб!$A:$A,$G1103,куб!H:H)))))))</f>
        <v>0</v>
      </c>
      <c r="I1103" s="27">
        <f>IF($G1103&lt;&gt;0,SUMIF(куб!$G:$G,$G1103,куб!I:I),IF($E1103&lt;&gt;0,SUMIF(куб!$E:$E,$E1103,куб!I:I),IF($D1103&lt;&gt;0,SUMIF(куб!$D:$D,$D1103,куб!I:I),IF($C1103&lt;&gt;0,SUMIF(куб!$C:$C,$C1103,куб!I:I),IF($B1103&lt;&gt;0,SUMIF(куб!$B:$B,$B1103,куб!I:I),IF($G1103&lt;&gt;0,SUMIF(куб!$A:$A,$G1103,куб!I:I),SUMIF(куб!$A:$A,$G1103,куб!I:I)))))))</f>
        <v>0</v>
      </c>
      <c r="J1103" s="19" t="str">
        <f t="shared" si="345"/>
        <v>-</v>
      </c>
      <c r="K1103" s="8"/>
      <c r="L1103" s="17">
        <f t="shared" si="346"/>
        <v>0</v>
      </c>
      <c r="M1103" s="17">
        <f t="shared" si="347"/>
        <v>0</v>
      </c>
      <c r="N1103" s="12">
        <f t="shared" si="348"/>
        <v>0</v>
      </c>
      <c r="O1103" s="5"/>
      <c r="P1103" s="27" t="b">
        <f>IF($G1103&lt;&gt;0,SUMIF(куб!$G:$G,$G1103,куб!J:J),IF($E1103&lt;&gt;0,SUMIF(куб!$E:$E,$E1103,куб!J:J),IF($D1103&lt;&gt;0,SUMIF(куб!$D:$D,$D1103,куб!J:J),IF($C1103&lt;&gt;0,SUMIF(куб!$C:$C,$C1103,куб!J:J),IF($B1103&lt;&gt;0,SUMIF(куб!$B:$B,$B1103,куб!J:J))))))</f>
        <v>0</v>
      </c>
      <c r="Q1103" s="27" t="b">
        <f>IF($G1103&lt;&gt;0,SUMIF(куб!$G:$G,$G1103,куб!K:K),IF($E1103&lt;&gt;0,SUMIF(куб!$E:$E,$E1103,куб!K:K),IF($D1103&lt;&gt;0,SUMIF(куб!$D:$D,$D1103,куб!K:K),IF($C1103&lt;&gt;0,SUMIF(куб!$C:$C,$C1103,куб!K:K),IF($B1103&lt;&gt;0,SUMIF(куб!$B:$B,$B1103,куб!K:K))))))</f>
        <v>0</v>
      </c>
      <c r="R1103" s="13" t="str">
        <f t="shared" si="349"/>
        <v>-</v>
      </c>
      <c r="S1103" s="5"/>
      <c r="T1103" s="27" t="b">
        <f>IF($G1103&lt;&gt;0,SUMIF(куб!$G:$G,$G1103,куб!L:L),IF($E1103&lt;&gt;0,SUMIF(куб!$E:$E,$E1103,куб!L:L),IF($D1103&lt;&gt;0,SUMIF(куб!$D:$D,$D1103,куб!L:L),IF($C1103&lt;&gt;0,SUMIF(куб!$C:$C,$C1103,куб!L:L),IF($B1103&lt;&gt;0,SUMIF(куб!$B:$B,$B1103,куб!L:L))))))</f>
        <v>0</v>
      </c>
      <c r="U1103" s="27" t="b">
        <f>IF($G1103&lt;&gt;0,SUMIF(куб!$G:$G,$G1103,куб!M:M),IF($E1103&lt;&gt;0,SUMIF(куб!$E:$E,$E1103,куб!M:M),IF($D1103&lt;&gt;0,SUMIF(куб!$D:$D,$D1103,куб!M:M),IF($C1103&lt;&gt;0,SUMIF(куб!$C:$C,$C1103,куб!M:M),IF($B1103&lt;&gt;0,SUMIF(куб!$B:$B,$B1103,куб!M:M))))))</f>
        <v>0</v>
      </c>
      <c r="V1103" s="13" t="str">
        <f t="shared" si="350"/>
        <v>-</v>
      </c>
      <c r="W1103" s="5"/>
      <c r="X1103" s="27" t="b">
        <f>IF($G1103&lt;&gt;0,SUMIF(куб!$G:$G,$G1103,куб!N:N),IF($E1103&lt;&gt;0,SUMIF(куб!$E:$E,$E1103,куб!N:N),IF($D1103&lt;&gt;0,SUMIF(куб!$D:$D,$D1103,куб!N:N),IF($C1103&lt;&gt;0,SUMIF(куб!$C:$C,$C1103,куб!N:N),IF($B1103&lt;&gt;0,SUMIF(куб!$B:$B,$B1103,куб!N:N))))))</f>
        <v>0</v>
      </c>
      <c r="Y1103" s="27" t="b">
        <f>IF($G1103&lt;&gt;0,SUMIF(куб!$G:$G,$G1103,куб!O:O),IF($E1103&lt;&gt;0,SUMIF(куб!$E:$E,$E1103,куб!O:O),IF($D1103&lt;&gt;0,SUMIF(куб!$D:$D,$D1103,куб!O:O),IF($C1103&lt;&gt;0,SUMIF(куб!$C:$C,$C1103,куб!O:O),IF($B1103&lt;&gt;0,SUMIF(куб!$B:$B,$B1103,куб!O:O))))))</f>
        <v>0</v>
      </c>
      <c r="Z1103" s="13" t="str">
        <f t="shared" si="351"/>
        <v>-</v>
      </c>
      <c r="AA1103" s="5"/>
      <c r="AB1103" s="33" t="str">
        <f t="shared" si="352"/>
        <v/>
      </c>
      <c r="AC1103" s="33" t="str">
        <f t="shared" si="353"/>
        <v/>
      </c>
      <c r="AD1103" s="15" t="str">
        <f t="shared" si="354"/>
        <v xml:space="preserve"> </v>
      </c>
      <c r="AE1103" s="5"/>
      <c r="AF1103" s="27" t="b">
        <f>IF($G1103&lt;&gt;0,SUMIF(куб!$G:$G,$G1103,куб!R:R),IF($E1103&lt;&gt;0,SUMIF(куб!$E:$E,$E1103,куб!R:R),IF($D1103&lt;&gt;0,SUMIF(куб!$D:$D,$D1103,куб!R:R),IF($C1103&lt;&gt;0,SUMIF(куб!$C:$C,$C1103,куб!R:R),IF($B1103&lt;&gt;0,SUMIF(куб!$B:$B,$B1103,куб!R:R))))))</f>
        <v>0</v>
      </c>
      <c r="AG1103" s="27" t="b">
        <f>IF($G1103&lt;&gt;0,SUMIF(куб!$G:$G,$G1103,куб!S:S),IF($E1103&lt;&gt;0,SUMIF(куб!$E:$E,$E1103,куб!S:S),IF($D1103&lt;&gt;0,SUMIF(куб!$D:$D,$D1103,куб!S:S),IF($C1103&lt;&gt;0,SUMIF(куб!$C:$C,$C1103,куб!S:S),IF($B1103&lt;&gt;0,SUMIF(куб!$B:$B,$B1103,куб!S:S))))))</f>
        <v>0</v>
      </c>
      <c r="AH1103" s="16" t="str">
        <f t="shared" si="355"/>
        <v>-</v>
      </c>
      <c r="AI1103" s="8"/>
      <c r="AJ1103" s="27" t="b">
        <f>IF($G1103&lt;&gt;0,SUMIF(куб!$G:$G,$G1103,куб!T:T),IF($E1103&lt;&gt;0,SUMIF(куб!$E:$E,$E1103,куб!T:T),IF($D1103&lt;&gt;0,SUMIF(куб!$D:$D,$D1103,куб!T:T),IF($C1103&lt;&gt;0,SUMIF(куб!$C:$C,$C1103,куб!T:T),IF($B1103&lt;&gt;0,SUMIF(куб!$B:$B,$B1103,куб!T:T))))))</f>
        <v>0</v>
      </c>
      <c r="AK1103" s="27" t="b">
        <f>IF($G1103&lt;&gt;0,SUMIF(куб!$G:$G,$G1103,куб!U:U),IF($E1103&lt;&gt;0,SUMIF(куб!$E:$E,$E1103,куб!U:U),IF($D1103&lt;&gt;0,SUMIF(куб!$D:$D,$D1103,куб!U:U),IF($C1103&lt;&gt;0,SUMIF(куб!$C:$C,$C1103,куб!U:U),IF($B1103&lt;&gt;0,SUMIF(куб!$B:$B,$B1103,куб!U:U))))))</f>
        <v>0</v>
      </c>
      <c r="AL1103" s="16" t="str">
        <f t="shared" si="356"/>
        <v>-</v>
      </c>
      <c r="AM1103" s="8"/>
      <c r="AN1103" s="17" t="str">
        <f t="shared" si="357"/>
        <v xml:space="preserve"> </v>
      </c>
      <c r="AO1103" s="17" t="str">
        <f t="shared" si="358"/>
        <v xml:space="preserve"> </v>
      </c>
      <c r="AP1103" s="16" t="str">
        <f t="shared" si="359"/>
        <v>-</v>
      </c>
      <c r="AQ1103" s="8"/>
      <c r="AR1103" s="17" t="str">
        <f t="shared" si="360"/>
        <v>-</v>
      </c>
      <c r="AS1103" s="17" t="str">
        <f t="shared" si="361"/>
        <v>-</v>
      </c>
      <c r="AT1103" s="13" t="str">
        <f t="shared" si="362"/>
        <v>-</v>
      </c>
      <c r="AU1103" s="8"/>
    </row>
    <row r="1104" spans="8:47" x14ac:dyDescent="0.25">
      <c r="H1104" s="27">
        <f>IF($G1104&lt;&gt;0,SUMIF(куб!$G:$G,$G1104,куб!H:H),IF($E1104&lt;&gt;0,SUMIF(куб!$E:$E,$E1104,куб!H:H),IF($D1104&lt;&gt;0,SUMIF(куб!$D:$D,$D1104,куб!H:H),IF($C1104&lt;&gt;0,SUMIF(куб!$C:$C,$C1104,куб!H:H),IF($B1104&lt;&gt;0,SUMIF(куб!$B:$B,$B1104,куб!H:H),IF($G1104&lt;&gt;0,SUMIF(куб!$A:$A,$G1104,куб!H:H),SUMIF(куб!$A:$A,$G1104,куб!H:H)))))))</f>
        <v>0</v>
      </c>
      <c r="I1104" s="27">
        <f>IF($G1104&lt;&gt;0,SUMIF(куб!$G:$G,$G1104,куб!I:I),IF($E1104&lt;&gt;0,SUMIF(куб!$E:$E,$E1104,куб!I:I),IF($D1104&lt;&gt;0,SUMIF(куб!$D:$D,$D1104,куб!I:I),IF($C1104&lt;&gt;0,SUMIF(куб!$C:$C,$C1104,куб!I:I),IF($B1104&lt;&gt;0,SUMIF(куб!$B:$B,$B1104,куб!I:I),IF($G1104&lt;&gt;0,SUMIF(куб!$A:$A,$G1104,куб!I:I),SUMIF(куб!$A:$A,$G1104,куб!I:I)))))))</f>
        <v>0</v>
      </c>
      <c r="J1104" s="19" t="str">
        <f t="shared" si="345"/>
        <v>-</v>
      </c>
      <c r="K1104" s="8"/>
      <c r="L1104" s="17">
        <f t="shared" si="346"/>
        <v>0</v>
      </c>
      <c r="M1104" s="17">
        <f t="shared" si="347"/>
        <v>0</v>
      </c>
      <c r="N1104" s="12">
        <f t="shared" si="348"/>
        <v>0</v>
      </c>
      <c r="O1104" s="5"/>
      <c r="P1104" s="27" t="b">
        <f>IF($G1104&lt;&gt;0,SUMIF(куб!$G:$G,$G1104,куб!J:J),IF($E1104&lt;&gt;0,SUMIF(куб!$E:$E,$E1104,куб!J:J),IF($D1104&lt;&gt;0,SUMIF(куб!$D:$D,$D1104,куб!J:J),IF($C1104&lt;&gt;0,SUMIF(куб!$C:$C,$C1104,куб!J:J),IF($B1104&lt;&gt;0,SUMIF(куб!$B:$B,$B1104,куб!J:J))))))</f>
        <v>0</v>
      </c>
      <c r="Q1104" s="27" t="b">
        <f>IF($G1104&lt;&gt;0,SUMIF(куб!$G:$G,$G1104,куб!K:K),IF($E1104&lt;&gt;0,SUMIF(куб!$E:$E,$E1104,куб!K:K),IF($D1104&lt;&gt;0,SUMIF(куб!$D:$D,$D1104,куб!K:K),IF($C1104&lt;&gt;0,SUMIF(куб!$C:$C,$C1104,куб!K:K),IF($B1104&lt;&gt;0,SUMIF(куб!$B:$B,$B1104,куб!K:K))))))</f>
        <v>0</v>
      </c>
      <c r="R1104" s="13" t="str">
        <f t="shared" si="349"/>
        <v>-</v>
      </c>
      <c r="S1104" s="5"/>
      <c r="T1104" s="27" t="b">
        <f>IF($G1104&lt;&gt;0,SUMIF(куб!$G:$G,$G1104,куб!L:L),IF($E1104&lt;&gt;0,SUMIF(куб!$E:$E,$E1104,куб!L:L),IF($D1104&lt;&gt;0,SUMIF(куб!$D:$D,$D1104,куб!L:L),IF($C1104&lt;&gt;0,SUMIF(куб!$C:$C,$C1104,куб!L:L),IF($B1104&lt;&gt;0,SUMIF(куб!$B:$B,$B1104,куб!L:L))))))</f>
        <v>0</v>
      </c>
      <c r="U1104" s="27" t="b">
        <f>IF($G1104&lt;&gt;0,SUMIF(куб!$G:$G,$G1104,куб!M:M),IF($E1104&lt;&gt;0,SUMIF(куб!$E:$E,$E1104,куб!M:M),IF($D1104&lt;&gt;0,SUMIF(куб!$D:$D,$D1104,куб!M:M),IF($C1104&lt;&gt;0,SUMIF(куб!$C:$C,$C1104,куб!M:M),IF($B1104&lt;&gt;0,SUMIF(куб!$B:$B,$B1104,куб!M:M))))))</f>
        <v>0</v>
      </c>
      <c r="V1104" s="13" t="str">
        <f t="shared" si="350"/>
        <v>-</v>
      </c>
      <c r="W1104" s="5"/>
      <c r="X1104" s="27" t="b">
        <f>IF($G1104&lt;&gt;0,SUMIF(куб!$G:$G,$G1104,куб!N:N),IF($E1104&lt;&gt;0,SUMIF(куб!$E:$E,$E1104,куб!N:N),IF($D1104&lt;&gt;0,SUMIF(куб!$D:$D,$D1104,куб!N:N),IF($C1104&lt;&gt;0,SUMIF(куб!$C:$C,$C1104,куб!N:N),IF($B1104&lt;&gt;0,SUMIF(куб!$B:$B,$B1104,куб!N:N))))))</f>
        <v>0</v>
      </c>
      <c r="Y1104" s="27" t="b">
        <f>IF($G1104&lt;&gt;0,SUMIF(куб!$G:$G,$G1104,куб!O:O),IF($E1104&lt;&gt;0,SUMIF(куб!$E:$E,$E1104,куб!O:O),IF($D1104&lt;&gt;0,SUMIF(куб!$D:$D,$D1104,куб!O:O),IF($C1104&lt;&gt;0,SUMIF(куб!$C:$C,$C1104,куб!O:O),IF($B1104&lt;&gt;0,SUMIF(куб!$B:$B,$B1104,куб!O:O))))))</f>
        <v>0</v>
      </c>
      <c r="Z1104" s="13" t="str">
        <f t="shared" si="351"/>
        <v>-</v>
      </c>
      <c r="AA1104" s="5"/>
      <c r="AB1104" s="33" t="str">
        <f t="shared" si="352"/>
        <v/>
      </c>
      <c r="AC1104" s="33" t="str">
        <f t="shared" si="353"/>
        <v/>
      </c>
      <c r="AD1104" s="15" t="str">
        <f t="shared" si="354"/>
        <v xml:space="preserve"> </v>
      </c>
      <c r="AE1104" s="5"/>
      <c r="AF1104" s="27" t="b">
        <f>IF($G1104&lt;&gt;0,SUMIF(куб!$G:$G,$G1104,куб!R:R),IF($E1104&lt;&gt;0,SUMIF(куб!$E:$E,$E1104,куб!R:R),IF($D1104&lt;&gt;0,SUMIF(куб!$D:$D,$D1104,куб!R:R),IF($C1104&lt;&gt;0,SUMIF(куб!$C:$C,$C1104,куб!R:R),IF($B1104&lt;&gt;0,SUMIF(куб!$B:$B,$B1104,куб!R:R))))))</f>
        <v>0</v>
      </c>
      <c r="AG1104" s="27" t="b">
        <f>IF($G1104&lt;&gt;0,SUMIF(куб!$G:$G,$G1104,куб!S:S),IF($E1104&lt;&gt;0,SUMIF(куб!$E:$E,$E1104,куб!S:S),IF($D1104&lt;&gt;0,SUMIF(куб!$D:$D,$D1104,куб!S:S),IF($C1104&lt;&gt;0,SUMIF(куб!$C:$C,$C1104,куб!S:S),IF($B1104&lt;&gt;0,SUMIF(куб!$B:$B,$B1104,куб!S:S))))))</f>
        <v>0</v>
      </c>
      <c r="AH1104" s="16" t="str">
        <f t="shared" si="355"/>
        <v>-</v>
      </c>
      <c r="AI1104" s="8"/>
      <c r="AJ1104" s="27" t="b">
        <f>IF($G1104&lt;&gt;0,SUMIF(куб!$G:$G,$G1104,куб!T:T),IF($E1104&lt;&gt;0,SUMIF(куб!$E:$E,$E1104,куб!T:T),IF($D1104&lt;&gt;0,SUMIF(куб!$D:$D,$D1104,куб!T:T),IF($C1104&lt;&gt;0,SUMIF(куб!$C:$C,$C1104,куб!T:T),IF($B1104&lt;&gt;0,SUMIF(куб!$B:$B,$B1104,куб!T:T))))))</f>
        <v>0</v>
      </c>
      <c r="AK1104" s="27" t="b">
        <f>IF($G1104&lt;&gt;0,SUMIF(куб!$G:$G,$G1104,куб!U:U),IF($E1104&lt;&gt;0,SUMIF(куб!$E:$E,$E1104,куб!U:U),IF($D1104&lt;&gt;0,SUMIF(куб!$D:$D,$D1104,куб!U:U),IF($C1104&lt;&gt;0,SUMIF(куб!$C:$C,$C1104,куб!U:U),IF($B1104&lt;&gt;0,SUMIF(куб!$B:$B,$B1104,куб!U:U))))))</f>
        <v>0</v>
      </c>
      <c r="AL1104" s="16" t="str">
        <f t="shared" si="356"/>
        <v>-</v>
      </c>
      <c r="AM1104" s="8"/>
      <c r="AN1104" s="17" t="str">
        <f t="shared" si="357"/>
        <v xml:space="preserve"> </v>
      </c>
      <c r="AO1104" s="17" t="str">
        <f t="shared" si="358"/>
        <v xml:space="preserve"> </v>
      </c>
      <c r="AP1104" s="16" t="str">
        <f t="shared" si="359"/>
        <v>-</v>
      </c>
      <c r="AQ1104" s="8"/>
      <c r="AR1104" s="17" t="str">
        <f t="shared" si="360"/>
        <v>-</v>
      </c>
      <c r="AS1104" s="17" t="str">
        <f t="shared" si="361"/>
        <v>-</v>
      </c>
      <c r="AT1104" s="13" t="str">
        <f t="shared" si="362"/>
        <v>-</v>
      </c>
      <c r="AU1104" s="8"/>
    </row>
    <row r="1105" spans="8:47" x14ac:dyDescent="0.25">
      <c r="H1105" s="27">
        <f>IF($G1105&lt;&gt;0,SUMIF(куб!$G:$G,$G1105,куб!H:H),IF($E1105&lt;&gt;0,SUMIF(куб!$E:$E,$E1105,куб!H:H),IF($D1105&lt;&gt;0,SUMIF(куб!$D:$D,$D1105,куб!H:H),IF($C1105&lt;&gt;0,SUMIF(куб!$C:$C,$C1105,куб!H:H),IF($B1105&lt;&gt;0,SUMIF(куб!$B:$B,$B1105,куб!H:H),IF($G1105&lt;&gt;0,SUMIF(куб!$A:$A,$G1105,куб!H:H),SUMIF(куб!$A:$A,$G1105,куб!H:H)))))))</f>
        <v>0</v>
      </c>
      <c r="I1105" s="27">
        <f>IF($G1105&lt;&gt;0,SUMIF(куб!$G:$G,$G1105,куб!I:I),IF($E1105&lt;&gt;0,SUMIF(куб!$E:$E,$E1105,куб!I:I),IF($D1105&lt;&gt;0,SUMIF(куб!$D:$D,$D1105,куб!I:I),IF($C1105&lt;&gt;0,SUMIF(куб!$C:$C,$C1105,куб!I:I),IF($B1105&lt;&gt;0,SUMIF(куб!$B:$B,$B1105,куб!I:I),IF($G1105&lt;&gt;0,SUMIF(куб!$A:$A,$G1105,куб!I:I),SUMIF(куб!$A:$A,$G1105,куб!I:I)))))))</f>
        <v>0</v>
      </c>
      <c r="J1105" s="19" t="str">
        <f t="shared" si="345"/>
        <v>-</v>
      </c>
      <c r="K1105" s="8"/>
      <c r="L1105" s="17">
        <f t="shared" si="346"/>
        <v>0</v>
      </c>
      <c r="M1105" s="17">
        <f t="shared" si="347"/>
        <v>0</v>
      </c>
      <c r="N1105" s="12">
        <f t="shared" si="348"/>
        <v>0</v>
      </c>
      <c r="O1105" s="5"/>
      <c r="P1105" s="27" t="b">
        <f>IF($G1105&lt;&gt;0,SUMIF(куб!$G:$G,$G1105,куб!J:J),IF($E1105&lt;&gt;0,SUMIF(куб!$E:$E,$E1105,куб!J:J),IF($D1105&lt;&gt;0,SUMIF(куб!$D:$D,$D1105,куб!J:J),IF($C1105&lt;&gt;0,SUMIF(куб!$C:$C,$C1105,куб!J:J),IF($B1105&lt;&gt;0,SUMIF(куб!$B:$B,$B1105,куб!J:J))))))</f>
        <v>0</v>
      </c>
      <c r="Q1105" s="27" t="b">
        <f>IF($G1105&lt;&gt;0,SUMIF(куб!$G:$G,$G1105,куб!K:K),IF($E1105&lt;&gt;0,SUMIF(куб!$E:$E,$E1105,куб!K:K),IF($D1105&lt;&gt;0,SUMIF(куб!$D:$D,$D1105,куб!K:K),IF($C1105&lt;&gt;0,SUMIF(куб!$C:$C,$C1105,куб!K:K),IF($B1105&lt;&gt;0,SUMIF(куб!$B:$B,$B1105,куб!K:K))))))</f>
        <v>0</v>
      </c>
      <c r="R1105" s="13" t="str">
        <f t="shared" si="349"/>
        <v>-</v>
      </c>
      <c r="S1105" s="5"/>
      <c r="T1105" s="27" t="b">
        <f>IF($G1105&lt;&gt;0,SUMIF(куб!$G:$G,$G1105,куб!L:L),IF($E1105&lt;&gt;0,SUMIF(куб!$E:$E,$E1105,куб!L:L),IF($D1105&lt;&gt;0,SUMIF(куб!$D:$D,$D1105,куб!L:L),IF($C1105&lt;&gt;0,SUMIF(куб!$C:$C,$C1105,куб!L:L),IF($B1105&lt;&gt;0,SUMIF(куб!$B:$B,$B1105,куб!L:L))))))</f>
        <v>0</v>
      </c>
      <c r="U1105" s="27" t="b">
        <f>IF($G1105&lt;&gt;0,SUMIF(куб!$G:$G,$G1105,куб!M:M),IF($E1105&lt;&gt;0,SUMIF(куб!$E:$E,$E1105,куб!M:M),IF($D1105&lt;&gt;0,SUMIF(куб!$D:$D,$D1105,куб!M:M),IF($C1105&lt;&gt;0,SUMIF(куб!$C:$C,$C1105,куб!M:M),IF($B1105&lt;&gt;0,SUMIF(куб!$B:$B,$B1105,куб!M:M))))))</f>
        <v>0</v>
      </c>
      <c r="V1105" s="13" t="str">
        <f t="shared" si="350"/>
        <v>-</v>
      </c>
      <c r="W1105" s="5"/>
      <c r="X1105" s="27" t="b">
        <f>IF($G1105&lt;&gt;0,SUMIF(куб!$G:$G,$G1105,куб!N:N),IF($E1105&lt;&gt;0,SUMIF(куб!$E:$E,$E1105,куб!N:N),IF($D1105&lt;&gt;0,SUMIF(куб!$D:$D,$D1105,куб!N:N),IF($C1105&lt;&gt;0,SUMIF(куб!$C:$C,$C1105,куб!N:N),IF($B1105&lt;&gt;0,SUMIF(куб!$B:$B,$B1105,куб!N:N))))))</f>
        <v>0</v>
      </c>
      <c r="Y1105" s="27" t="b">
        <f>IF($G1105&lt;&gt;0,SUMIF(куб!$G:$G,$G1105,куб!O:O),IF($E1105&lt;&gt;0,SUMIF(куб!$E:$E,$E1105,куб!O:O),IF($D1105&lt;&gt;0,SUMIF(куб!$D:$D,$D1105,куб!O:O),IF($C1105&lt;&gt;0,SUMIF(куб!$C:$C,$C1105,куб!O:O),IF($B1105&lt;&gt;0,SUMIF(куб!$B:$B,$B1105,куб!O:O))))))</f>
        <v>0</v>
      </c>
      <c r="Z1105" s="13" t="str">
        <f t="shared" si="351"/>
        <v>-</v>
      </c>
      <c r="AA1105" s="5"/>
      <c r="AB1105" s="33" t="str">
        <f t="shared" si="352"/>
        <v/>
      </c>
      <c r="AC1105" s="33" t="str">
        <f t="shared" si="353"/>
        <v/>
      </c>
      <c r="AD1105" s="15" t="str">
        <f t="shared" si="354"/>
        <v xml:space="preserve"> </v>
      </c>
      <c r="AE1105" s="5"/>
      <c r="AF1105" s="27" t="b">
        <f>IF($G1105&lt;&gt;0,SUMIF(куб!$G:$G,$G1105,куб!R:R),IF($E1105&lt;&gt;0,SUMIF(куб!$E:$E,$E1105,куб!R:R),IF($D1105&lt;&gt;0,SUMIF(куб!$D:$D,$D1105,куб!R:R),IF($C1105&lt;&gt;0,SUMIF(куб!$C:$C,$C1105,куб!R:R),IF($B1105&lt;&gt;0,SUMIF(куб!$B:$B,$B1105,куб!R:R))))))</f>
        <v>0</v>
      </c>
      <c r="AG1105" s="27" t="b">
        <f>IF($G1105&lt;&gt;0,SUMIF(куб!$G:$G,$G1105,куб!S:S),IF($E1105&lt;&gt;0,SUMIF(куб!$E:$E,$E1105,куб!S:S),IF($D1105&lt;&gt;0,SUMIF(куб!$D:$D,$D1105,куб!S:S),IF($C1105&lt;&gt;0,SUMIF(куб!$C:$C,$C1105,куб!S:S),IF($B1105&lt;&gt;0,SUMIF(куб!$B:$B,$B1105,куб!S:S))))))</f>
        <v>0</v>
      </c>
      <c r="AH1105" s="16" t="str">
        <f t="shared" si="355"/>
        <v>-</v>
      </c>
      <c r="AI1105" s="8"/>
      <c r="AJ1105" s="27" t="b">
        <f>IF($G1105&lt;&gt;0,SUMIF(куб!$G:$G,$G1105,куб!T:T),IF($E1105&lt;&gt;0,SUMIF(куб!$E:$E,$E1105,куб!T:T),IF($D1105&lt;&gt;0,SUMIF(куб!$D:$D,$D1105,куб!T:T),IF($C1105&lt;&gt;0,SUMIF(куб!$C:$C,$C1105,куб!T:T),IF($B1105&lt;&gt;0,SUMIF(куб!$B:$B,$B1105,куб!T:T))))))</f>
        <v>0</v>
      </c>
      <c r="AK1105" s="27" t="b">
        <f>IF($G1105&lt;&gt;0,SUMIF(куб!$G:$G,$G1105,куб!U:U),IF($E1105&lt;&gt;0,SUMIF(куб!$E:$E,$E1105,куб!U:U),IF($D1105&lt;&gt;0,SUMIF(куб!$D:$D,$D1105,куб!U:U),IF($C1105&lt;&gt;0,SUMIF(куб!$C:$C,$C1105,куб!U:U),IF($B1105&lt;&gt;0,SUMIF(куб!$B:$B,$B1105,куб!U:U))))))</f>
        <v>0</v>
      </c>
      <c r="AL1105" s="16" t="str">
        <f t="shared" si="356"/>
        <v>-</v>
      </c>
      <c r="AM1105" s="8"/>
      <c r="AN1105" s="17" t="str">
        <f t="shared" si="357"/>
        <v xml:space="preserve"> </v>
      </c>
      <c r="AO1105" s="17" t="str">
        <f t="shared" si="358"/>
        <v xml:space="preserve"> </v>
      </c>
      <c r="AP1105" s="16" t="str">
        <f t="shared" si="359"/>
        <v>-</v>
      </c>
      <c r="AQ1105" s="8"/>
      <c r="AR1105" s="17" t="str">
        <f t="shared" si="360"/>
        <v>-</v>
      </c>
      <c r="AS1105" s="17" t="str">
        <f t="shared" si="361"/>
        <v>-</v>
      </c>
      <c r="AT1105" s="13" t="str">
        <f t="shared" si="362"/>
        <v>-</v>
      </c>
      <c r="AU1105" s="8"/>
    </row>
    <row r="1106" spans="8:47" x14ac:dyDescent="0.25">
      <c r="H1106" s="27">
        <f>IF($G1106&lt;&gt;0,SUMIF(куб!$G:$G,$G1106,куб!H:H),IF($E1106&lt;&gt;0,SUMIF(куб!$E:$E,$E1106,куб!H:H),IF($D1106&lt;&gt;0,SUMIF(куб!$D:$D,$D1106,куб!H:H),IF($C1106&lt;&gt;0,SUMIF(куб!$C:$C,$C1106,куб!H:H),IF($B1106&lt;&gt;0,SUMIF(куб!$B:$B,$B1106,куб!H:H),IF($G1106&lt;&gt;0,SUMIF(куб!$A:$A,$G1106,куб!H:H),SUMIF(куб!$A:$A,$G1106,куб!H:H)))))))</f>
        <v>0</v>
      </c>
      <c r="I1106" s="27">
        <f>IF($G1106&lt;&gt;0,SUMIF(куб!$G:$G,$G1106,куб!I:I),IF($E1106&lt;&gt;0,SUMIF(куб!$E:$E,$E1106,куб!I:I),IF($D1106&lt;&gt;0,SUMIF(куб!$D:$D,$D1106,куб!I:I),IF($C1106&lt;&gt;0,SUMIF(куб!$C:$C,$C1106,куб!I:I),IF($B1106&lt;&gt;0,SUMIF(куб!$B:$B,$B1106,куб!I:I),IF($G1106&lt;&gt;0,SUMIF(куб!$A:$A,$G1106,куб!I:I),SUMIF(куб!$A:$A,$G1106,куб!I:I)))))))</f>
        <v>0</v>
      </c>
      <c r="J1106" s="19" t="str">
        <f t="shared" si="345"/>
        <v>-</v>
      </c>
      <c r="K1106" s="8"/>
      <c r="L1106" s="17">
        <f t="shared" si="346"/>
        <v>0</v>
      </c>
      <c r="M1106" s="17">
        <f t="shared" si="347"/>
        <v>0</v>
      </c>
      <c r="N1106" s="12">
        <f t="shared" si="348"/>
        <v>0</v>
      </c>
      <c r="O1106" s="5"/>
      <c r="P1106" s="27" t="b">
        <f>IF($G1106&lt;&gt;0,SUMIF(куб!$G:$G,$G1106,куб!J:J),IF($E1106&lt;&gt;0,SUMIF(куб!$E:$E,$E1106,куб!J:J),IF($D1106&lt;&gt;0,SUMIF(куб!$D:$D,$D1106,куб!J:J),IF($C1106&lt;&gt;0,SUMIF(куб!$C:$C,$C1106,куб!J:J),IF($B1106&lt;&gt;0,SUMIF(куб!$B:$B,$B1106,куб!J:J))))))</f>
        <v>0</v>
      </c>
      <c r="Q1106" s="27" t="b">
        <f>IF($G1106&lt;&gt;0,SUMIF(куб!$G:$G,$G1106,куб!K:K),IF($E1106&lt;&gt;0,SUMIF(куб!$E:$E,$E1106,куб!K:K),IF($D1106&lt;&gt;0,SUMIF(куб!$D:$D,$D1106,куб!K:K),IF($C1106&lt;&gt;0,SUMIF(куб!$C:$C,$C1106,куб!K:K),IF($B1106&lt;&gt;0,SUMIF(куб!$B:$B,$B1106,куб!K:K))))))</f>
        <v>0</v>
      </c>
      <c r="R1106" s="13" t="str">
        <f t="shared" si="349"/>
        <v>-</v>
      </c>
      <c r="S1106" s="5"/>
      <c r="T1106" s="27" t="b">
        <f>IF($G1106&lt;&gt;0,SUMIF(куб!$G:$G,$G1106,куб!L:L),IF($E1106&lt;&gt;0,SUMIF(куб!$E:$E,$E1106,куб!L:L),IF($D1106&lt;&gt;0,SUMIF(куб!$D:$D,$D1106,куб!L:L),IF($C1106&lt;&gt;0,SUMIF(куб!$C:$C,$C1106,куб!L:L),IF($B1106&lt;&gt;0,SUMIF(куб!$B:$B,$B1106,куб!L:L))))))</f>
        <v>0</v>
      </c>
      <c r="U1106" s="27" t="b">
        <f>IF($G1106&lt;&gt;0,SUMIF(куб!$G:$G,$G1106,куб!M:M),IF($E1106&lt;&gt;0,SUMIF(куб!$E:$E,$E1106,куб!M:M),IF($D1106&lt;&gt;0,SUMIF(куб!$D:$D,$D1106,куб!M:M),IF($C1106&lt;&gt;0,SUMIF(куб!$C:$C,$C1106,куб!M:M),IF($B1106&lt;&gt;0,SUMIF(куб!$B:$B,$B1106,куб!M:M))))))</f>
        <v>0</v>
      </c>
      <c r="V1106" s="13" t="str">
        <f t="shared" si="350"/>
        <v>-</v>
      </c>
      <c r="W1106" s="5"/>
      <c r="X1106" s="27" t="b">
        <f>IF($G1106&lt;&gt;0,SUMIF(куб!$G:$G,$G1106,куб!N:N),IF($E1106&lt;&gt;0,SUMIF(куб!$E:$E,$E1106,куб!N:N),IF($D1106&lt;&gt;0,SUMIF(куб!$D:$D,$D1106,куб!N:N),IF($C1106&lt;&gt;0,SUMIF(куб!$C:$C,$C1106,куб!N:N),IF($B1106&lt;&gt;0,SUMIF(куб!$B:$B,$B1106,куб!N:N))))))</f>
        <v>0</v>
      </c>
      <c r="Y1106" s="27" t="b">
        <f>IF($G1106&lt;&gt;0,SUMIF(куб!$G:$G,$G1106,куб!O:O),IF($E1106&lt;&gt;0,SUMIF(куб!$E:$E,$E1106,куб!O:O),IF($D1106&lt;&gt;0,SUMIF(куб!$D:$D,$D1106,куб!O:O),IF($C1106&lt;&gt;0,SUMIF(куб!$C:$C,$C1106,куб!O:O),IF($B1106&lt;&gt;0,SUMIF(куб!$B:$B,$B1106,куб!O:O))))))</f>
        <v>0</v>
      </c>
      <c r="Z1106" s="13" t="str">
        <f t="shared" si="351"/>
        <v>-</v>
      </c>
      <c r="AA1106" s="5"/>
      <c r="AB1106" s="33" t="str">
        <f t="shared" si="352"/>
        <v/>
      </c>
      <c r="AC1106" s="33" t="str">
        <f t="shared" si="353"/>
        <v/>
      </c>
      <c r="AD1106" s="15" t="str">
        <f t="shared" si="354"/>
        <v xml:space="preserve"> </v>
      </c>
      <c r="AE1106" s="5"/>
      <c r="AF1106" s="27" t="b">
        <f>IF($G1106&lt;&gt;0,SUMIF(куб!$G:$G,$G1106,куб!R:R),IF($E1106&lt;&gt;0,SUMIF(куб!$E:$E,$E1106,куб!R:R),IF($D1106&lt;&gt;0,SUMIF(куб!$D:$D,$D1106,куб!R:R),IF($C1106&lt;&gt;0,SUMIF(куб!$C:$C,$C1106,куб!R:R),IF($B1106&lt;&gt;0,SUMIF(куб!$B:$B,$B1106,куб!R:R))))))</f>
        <v>0</v>
      </c>
      <c r="AG1106" s="27" t="b">
        <f>IF($G1106&lt;&gt;0,SUMIF(куб!$G:$G,$G1106,куб!S:S),IF($E1106&lt;&gt;0,SUMIF(куб!$E:$E,$E1106,куб!S:S),IF($D1106&lt;&gt;0,SUMIF(куб!$D:$D,$D1106,куб!S:S),IF($C1106&lt;&gt;0,SUMIF(куб!$C:$C,$C1106,куб!S:S),IF($B1106&lt;&gt;0,SUMIF(куб!$B:$B,$B1106,куб!S:S))))))</f>
        <v>0</v>
      </c>
      <c r="AH1106" s="16" t="str">
        <f t="shared" si="355"/>
        <v>-</v>
      </c>
      <c r="AI1106" s="8"/>
      <c r="AJ1106" s="27" t="b">
        <f>IF($G1106&lt;&gt;0,SUMIF(куб!$G:$G,$G1106,куб!T:T),IF($E1106&lt;&gt;0,SUMIF(куб!$E:$E,$E1106,куб!T:T),IF($D1106&lt;&gt;0,SUMIF(куб!$D:$D,$D1106,куб!T:T),IF($C1106&lt;&gt;0,SUMIF(куб!$C:$C,$C1106,куб!T:T),IF($B1106&lt;&gt;0,SUMIF(куб!$B:$B,$B1106,куб!T:T))))))</f>
        <v>0</v>
      </c>
      <c r="AK1106" s="27" t="b">
        <f>IF($G1106&lt;&gt;0,SUMIF(куб!$G:$G,$G1106,куб!U:U),IF($E1106&lt;&gt;0,SUMIF(куб!$E:$E,$E1106,куб!U:U),IF($D1106&lt;&gt;0,SUMIF(куб!$D:$D,$D1106,куб!U:U),IF($C1106&lt;&gt;0,SUMIF(куб!$C:$C,$C1106,куб!U:U),IF($B1106&lt;&gt;0,SUMIF(куб!$B:$B,$B1106,куб!U:U))))))</f>
        <v>0</v>
      </c>
      <c r="AL1106" s="16" t="str">
        <f t="shared" si="356"/>
        <v>-</v>
      </c>
      <c r="AM1106" s="8"/>
      <c r="AN1106" s="17" t="str">
        <f t="shared" si="357"/>
        <v xml:space="preserve"> </v>
      </c>
      <c r="AO1106" s="17" t="str">
        <f t="shared" si="358"/>
        <v xml:space="preserve"> </v>
      </c>
      <c r="AP1106" s="16" t="str">
        <f t="shared" si="359"/>
        <v>-</v>
      </c>
      <c r="AQ1106" s="8"/>
      <c r="AR1106" s="17" t="str">
        <f t="shared" si="360"/>
        <v>-</v>
      </c>
      <c r="AS1106" s="17" t="str">
        <f t="shared" si="361"/>
        <v>-</v>
      </c>
      <c r="AT1106" s="13" t="str">
        <f t="shared" si="362"/>
        <v>-</v>
      </c>
      <c r="AU1106" s="8"/>
    </row>
    <row r="1107" spans="8:47" x14ac:dyDescent="0.25">
      <c r="H1107" s="27">
        <f>IF($G1107&lt;&gt;0,SUMIF(куб!$G:$G,$G1107,куб!H:H),IF($E1107&lt;&gt;0,SUMIF(куб!$E:$E,$E1107,куб!H:H),IF($D1107&lt;&gt;0,SUMIF(куб!$D:$D,$D1107,куб!H:H),IF($C1107&lt;&gt;0,SUMIF(куб!$C:$C,$C1107,куб!H:H),IF($B1107&lt;&gt;0,SUMIF(куб!$B:$B,$B1107,куб!H:H),IF($G1107&lt;&gt;0,SUMIF(куб!$A:$A,$G1107,куб!H:H),SUMIF(куб!$A:$A,$G1107,куб!H:H)))))))</f>
        <v>0</v>
      </c>
      <c r="I1107" s="27">
        <f>IF($G1107&lt;&gt;0,SUMIF(куб!$G:$G,$G1107,куб!I:I),IF($E1107&lt;&gt;0,SUMIF(куб!$E:$E,$E1107,куб!I:I),IF($D1107&lt;&gt;0,SUMIF(куб!$D:$D,$D1107,куб!I:I),IF($C1107&lt;&gt;0,SUMIF(куб!$C:$C,$C1107,куб!I:I),IF($B1107&lt;&gt;0,SUMIF(куб!$B:$B,$B1107,куб!I:I),IF($G1107&lt;&gt;0,SUMIF(куб!$A:$A,$G1107,куб!I:I),SUMIF(куб!$A:$A,$G1107,куб!I:I)))))))</f>
        <v>0</v>
      </c>
      <c r="J1107" s="19" t="str">
        <f t="shared" si="345"/>
        <v>-</v>
      </c>
      <c r="K1107" s="8"/>
      <c r="L1107" s="17">
        <f t="shared" si="346"/>
        <v>0</v>
      </c>
      <c r="M1107" s="17">
        <f t="shared" si="347"/>
        <v>0</v>
      </c>
      <c r="N1107" s="12">
        <f t="shared" si="348"/>
        <v>0</v>
      </c>
      <c r="O1107" s="5"/>
      <c r="P1107" s="27" t="b">
        <f>IF($G1107&lt;&gt;0,SUMIF(куб!$G:$G,$G1107,куб!J:J),IF($E1107&lt;&gt;0,SUMIF(куб!$E:$E,$E1107,куб!J:J),IF($D1107&lt;&gt;0,SUMIF(куб!$D:$D,$D1107,куб!J:J),IF($C1107&lt;&gt;0,SUMIF(куб!$C:$C,$C1107,куб!J:J),IF($B1107&lt;&gt;0,SUMIF(куб!$B:$B,$B1107,куб!J:J))))))</f>
        <v>0</v>
      </c>
      <c r="Q1107" s="27" t="b">
        <f>IF($G1107&lt;&gt;0,SUMIF(куб!$G:$G,$G1107,куб!K:K),IF($E1107&lt;&gt;0,SUMIF(куб!$E:$E,$E1107,куб!K:K),IF($D1107&lt;&gt;0,SUMIF(куб!$D:$D,$D1107,куб!K:K),IF($C1107&lt;&gt;0,SUMIF(куб!$C:$C,$C1107,куб!K:K),IF($B1107&lt;&gt;0,SUMIF(куб!$B:$B,$B1107,куб!K:K))))))</f>
        <v>0</v>
      </c>
      <c r="R1107" s="13" t="str">
        <f t="shared" si="349"/>
        <v>-</v>
      </c>
      <c r="S1107" s="5"/>
      <c r="T1107" s="27" t="b">
        <f>IF($G1107&lt;&gt;0,SUMIF(куб!$G:$G,$G1107,куб!L:L),IF($E1107&lt;&gt;0,SUMIF(куб!$E:$E,$E1107,куб!L:L),IF($D1107&lt;&gt;0,SUMIF(куб!$D:$D,$D1107,куб!L:L),IF($C1107&lt;&gt;0,SUMIF(куб!$C:$C,$C1107,куб!L:L),IF($B1107&lt;&gt;0,SUMIF(куб!$B:$B,$B1107,куб!L:L))))))</f>
        <v>0</v>
      </c>
      <c r="U1107" s="27" t="b">
        <f>IF($G1107&lt;&gt;0,SUMIF(куб!$G:$G,$G1107,куб!M:M),IF($E1107&lt;&gt;0,SUMIF(куб!$E:$E,$E1107,куб!M:M),IF($D1107&lt;&gt;0,SUMIF(куб!$D:$D,$D1107,куб!M:M),IF($C1107&lt;&gt;0,SUMIF(куб!$C:$C,$C1107,куб!M:M),IF($B1107&lt;&gt;0,SUMIF(куб!$B:$B,$B1107,куб!M:M))))))</f>
        <v>0</v>
      </c>
      <c r="V1107" s="13" t="str">
        <f t="shared" si="350"/>
        <v>-</v>
      </c>
      <c r="W1107" s="5"/>
      <c r="X1107" s="27" t="b">
        <f>IF($G1107&lt;&gt;0,SUMIF(куб!$G:$G,$G1107,куб!N:N),IF($E1107&lt;&gt;0,SUMIF(куб!$E:$E,$E1107,куб!N:N),IF($D1107&lt;&gt;0,SUMIF(куб!$D:$D,$D1107,куб!N:N),IF($C1107&lt;&gt;0,SUMIF(куб!$C:$C,$C1107,куб!N:N),IF($B1107&lt;&gt;0,SUMIF(куб!$B:$B,$B1107,куб!N:N))))))</f>
        <v>0</v>
      </c>
      <c r="Y1107" s="27" t="b">
        <f>IF($G1107&lt;&gt;0,SUMIF(куб!$G:$G,$G1107,куб!O:O),IF($E1107&lt;&gt;0,SUMIF(куб!$E:$E,$E1107,куб!O:O),IF($D1107&lt;&gt;0,SUMIF(куб!$D:$D,$D1107,куб!O:O),IF($C1107&lt;&gt;0,SUMIF(куб!$C:$C,$C1107,куб!O:O),IF($B1107&lt;&gt;0,SUMIF(куб!$B:$B,$B1107,куб!O:O))))))</f>
        <v>0</v>
      </c>
      <c r="Z1107" s="13" t="str">
        <f t="shared" si="351"/>
        <v>-</v>
      </c>
      <c r="AA1107" s="5"/>
      <c r="AB1107" s="33" t="str">
        <f t="shared" si="352"/>
        <v/>
      </c>
      <c r="AC1107" s="33" t="str">
        <f t="shared" si="353"/>
        <v/>
      </c>
      <c r="AD1107" s="15" t="str">
        <f t="shared" si="354"/>
        <v xml:space="preserve"> </v>
      </c>
      <c r="AE1107" s="5"/>
      <c r="AF1107" s="27" t="b">
        <f>IF($G1107&lt;&gt;0,SUMIF(куб!$G:$G,$G1107,куб!R:R),IF($E1107&lt;&gt;0,SUMIF(куб!$E:$E,$E1107,куб!R:R),IF($D1107&lt;&gt;0,SUMIF(куб!$D:$D,$D1107,куб!R:R),IF($C1107&lt;&gt;0,SUMIF(куб!$C:$C,$C1107,куб!R:R),IF($B1107&lt;&gt;0,SUMIF(куб!$B:$B,$B1107,куб!R:R))))))</f>
        <v>0</v>
      </c>
      <c r="AG1107" s="27" t="b">
        <f>IF($G1107&lt;&gt;0,SUMIF(куб!$G:$G,$G1107,куб!S:S),IF($E1107&lt;&gt;0,SUMIF(куб!$E:$E,$E1107,куб!S:S),IF($D1107&lt;&gt;0,SUMIF(куб!$D:$D,$D1107,куб!S:S),IF($C1107&lt;&gt;0,SUMIF(куб!$C:$C,$C1107,куб!S:S),IF($B1107&lt;&gt;0,SUMIF(куб!$B:$B,$B1107,куб!S:S))))))</f>
        <v>0</v>
      </c>
      <c r="AH1107" s="16" t="str">
        <f t="shared" si="355"/>
        <v>-</v>
      </c>
      <c r="AI1107" s="8"/>
      <c r="AJ1107" s="27" t="b">
        <f>IF($G1107&lt;&gt;0,SUMIF(куб!$G:$G,$G1107,куб!T:T),IF($E1107&lt;&gt;0,SUMIF(куб!$E:$E,$E1107,куб!T:T),IF($D1107&lt;&gt;0,SUMIF(куб!$D:$D,$D1107,куб!T:T),IF($C1107&lt;&gt;0,SUMIF(куб!$C:$C,$C1107,куб!T:T),IF($B1107&lt;&gt;0,SUMIF(куб!$B:$B,$B1107,куб!T:T))))))</f>
        <v>0</v>
      </c>
      <c r="AK1107" s="27" t="b">
        <f>IF($G1107&lt;&gt;0,SUMIF(куб!$G:$G,$G1107,куб!U:U),IF($E1107&lt;&gt;0,SUMIF(куб!$E:$E,$E1107,куб!U:U),IF($D1107&lt;&gt;0,SUMIF(куб!$D:$D,$D1107,куб!U:U),IF($C1107&lt;&gt;0,SUMIF(куб!$C:$C,$C1107,куб!U:U),IF($B1107&lt;&gt;0,SUMIF(куб!$B:$B,$B1107,куб!U:U))))))</f>
        <v>0</v>
      </c>
      <c r="AL1107" s="16" t="str">
        <f t="shared" si="356"/>
        <v>-</v>
      </c>
      <c r="AM1107" s="8"/>
      <c r="AN1107" s="17" t="str">
        <f t="shared" si="357"/>
        <v xml:space="preserve"> </v>
      </c>
      <c r="AO1107" s="17" t="str">
        <f t="shared" si="358"/>
        <v xml:space="preserve"> </v>
      </c>
      <c r="AP1107" s="16" t="str">
        <f t="shared" si="359"/>
        <v>-</v>
      </c>
      <c r="AQ1107" s="8"/>
      <c r="AR1107" s="17" t="str">
        <f t="shared" si="360"/>
        <v>-</v>
      </c>
      <c r="AS1107" s="17" t="str">
        <f t="shared" si="361"/>
        <v>-</v>
      </c>
      <c r="AT1107" s="13" t="str">
        <f t="shared" si="362"/>
        <v>-</v>
      </c>
      <c r="AU1107" s="8"/>
    </row>
    <row r="1108" spans="8:47" x14ac:dyDescent="0.25">
      <c r="H1108" s="27">
        <f>IF($G1108&lt;&gt;0,SUMIF(куб!$G:$G,$G1108,куб!H:H),IF($E1108&lt;&gt;0,SUMIF(куб!$E:$E,$E1108,куб!H:H),IF($D1108&lt;&gt;0,SUMIF(куб!$D:$D,$D1108,куб!H:H),IF($C1108&lt;&gt;0,SUMIF(куб!$C:$C,$C1108,куб!H:H),IF($B1108&lt;&gt;0,SUMIF(куб!$B:$B,$B1108,куб!H:H),IF($G1108&lt;&gt;0,SUMIF(куб!$A:$A,$G1108,куб!H:H),SUMIF(куб!$A:$A,$G1108,куб!H:H)))))))</f>
        <v>0</v>
      </c>
      <c r="I1108" s="27">
        <f>IF($G1108&lt;&gt;0,SUMIF(куб!$G:$G,$G1108,куб!I:I),IF($E1108&lt;&gt;0,SUMIF(куб!$E:$E,$E1108,куб!I:I),IF($D1108&lt;&gt;0,SUMIF(куб!$D:$D,$D1108,куб!I:I),IF($C1108&lt;&gt;0,SUMIF(куб!$C:$C,$C1108,куб!I:I),IF($B1108&lt;&gt;0,SUMIF(куб!$B:$B,$B1108,куб!I:I),IF($G1108&lt;&gt;0,SUMIF(куб!$A:$A,$G1108,куб!I:I),SUMIF(куб!$A:$A,$G1108,куб!I:I)))))))</f>
        <v>0</v>
      </c>
      <c r="J1108" s="19" t="str">
        <f t="shared" si="345"/>
        <v>-</v>
      </c>
      <c r="K1108" s="8"/>
      <c r="L1108" s="17">
        <f t="shared" si="346"/>
        <v>0</v>
      </c>
      <c r="M1108" s="17">
        <f t="shared" si="347"/>
        <v>0</v>
      </c>
      <c r="N1108" s="12">
        <f t="shared" si="348"/>
        <v>0</v>
      </c>
      <c r="O1108" s="5"/>
      <c r="P1108" s="27" t="b">
        <f>IF($G1108&lt;&gt;0,SUMIF(куб!$G:$G,$G1108,куб!J:J),IF($E1108&lt;&gt;0,SUMIF(куб!$E:$E,$E1108,куб!J:J),IF($D1108&lt;&gt;0,SUMIF(куб!$D:$D,$D1108,куб!J:J),IF($C1108&lt;&gt;0,SUMIF(куб!$C:$C,$C1108,куб!J:J),IF($B1108&lt;&gt;0,SUMIF(куб!$B:$B,$B1108,куб!J:J))))))</f>
        <v>0</v>
      </c>
      <c r="Q1108" s="27" t="b">
        <f>IF($G1108&lt;&gt;0,SUMIF(куб!$G:$G,$G1108,куб!K:K),IF($E1108&lt;&gt;0,SUMIF(куб!$E:$E,$E1108,куб!K:K),IF($D1108&lt;&gt;0,SUMIF(куб!$D:$D,$D1108,куб!K:K),IF($C1108&lt;&gt;0,SUMIF(куб!$C:$C,$C1108,куб!K:K),IF($B1108&lt;&gt;0,SUMIF(куб!$B:$B,$B1108,куб!K:K))))))</f>
        <v>0</v>
      </c>
      <c r="R1108" s="13" t="str">
        <f t="shared" si="349"/>
        <v>-</v>
      </c>
      <c r="S1108" s="5"/>
      <c r="T1108" s="27" t="b">
        <f>IF($G1108&lt;&gt;0,SUMIF(куб!$G:$G,$G1108,куб!L:L),IF($E1108&lt;&gt;0,SUMIF(куб!$E:$E,$E1108,куб!L:L),IF($D1108&lt;&gt;0,SUMIF(куб!$D:$D,$D1108,куб!L:L),IF($C1108&lt;&gt;0,SUMIF(куб!$C:$C,$C1108,куб!L:L),IF($B1108&lt;&gt;0,SUMIF(куб!$B:$B,$B1108,куб!L:L))))))</f>
        <v>0</v>
      </c>
      <c r="U1108" s="27" t="b">
        <f>IF($G1108&lt;&gt;0,SUMIF(куб!$G:$G,$G1108,куб!M:M),IF($E1108&lt;&gt;0,SUMIF(куб!$E:$E,$E1108,куб!M:M),IF($D1108&lt;&gt;0,SUMIF(куб!$D:$D,$D1108,куб!M:M),IF($C1108&lt;&gt;0,SUMIF(куб!$C:$C,$C1108,куб!M:M),IF($B1108&lt;&gt;0,SUMIF(куб!$B:$B,$B1108,куб!M:M))))))</f>
        <v>0</v>
      </c>
      <c r="V1108" s="13" t="str">
        <f t="shared" si="350"/>
        <v>-</v>
      </c>
      <c r="W1108" s="5"/>
      <c r="X1108" s="27" t="b">
        <f>IF($G1108&lt;&gt;0,SUMIF(куб!$G:$G,$G1108,куб!N:N),IF($E1108&lt;&gt;0,SUMIF(куб!$E:$E,$E1108,куб!N:N),IF($D1108&lt;&gt;0,SUMIF(куб!$D:$D,$D1108,куб!N:N),IF($C1108&lt;&gt;0,SUMIF(куб!$C:$C,$C1108,куб!N:N),IF($B1108&lt;&gt;0,SUMIF(куб!$B:$B,$B1108,куб!N:N))))))</f>
        <v>0</v>
      </c>
      <c r="Y1108" s="27" t="b">
        <f>IF($G1108&lt;&gt;0,SUMIF(куб!$G:$G,$G1108,куб!O:O),IF($E1108&lt;&gt;0,SUMIF(куб!$E:$E,$E1108,куб!O:O),IF($D1108&lt;&gt;0,SUMIF(куб!$D:$D,$D1108,куб!O:O),IF($C1108&lt;&gt;0,SUMIF(куб!$C:$C,$C1108,куб!O:O),IF($B1108&lt;&gt;0,SUMIF(куб!$B:$B,$B1108,куб!O:O))))))</f>
        <v>0</v>
      </c>
      <c r="Z1108" s="13" t="str">
        <f t="shared" si="351"/>
        <v>-</v>
      </c>
      <c r="AA1108" s="5"/>
      <c r="AB1108" s="33" t="str">
        <f t="shared" si="352"/>
        <v/>
      </c>
      <c r="AC1108" s="33" t="str">
        <f t="shared" si="353"/>
        <v/>
      </c>
      <c r="AD1108" s="15" t="str">
        <f t="shared" si="354"/>
        <v xml:space="preserve"> </v>
      </c>
      <c r="AE1108" s="5"/>
      <c r="AF1108" s="27" t="b">
        <f>IF($G1108&lt;&gt;0,SUMIF(куб!$G:$G,$G1108,куб!R:R),IF($E1108&lt;&gt;0,SUMIF(куб!$E:$E,$E1108,куб!R:R),IF($D1108&lt;&gt;0,SUMIF(куб!$D:$D,$D1108,куб!R:R),IF($C1108&lt;&gt;0,SUMIF(куб!$C:$C,$C1108,куб!R:R),IF($B1108&lt;&gt;0,SUMIF(куб!$B:$B,$B1108,куб!R:R))))))</f>
        <v>0</v>
      </c>
      <c r="AG1108" s="27" t="b">
        <f>IF($G1108&lt;&gt;0,SUMIF(куб!$G:$G,$G1108,куб!S:S),IF($E1108&lt;&gt;0,SUMIF(куб!$E:$E,$E1108,куб!S:S),IF($D1108&lt;&gt;0,SUMIF(куб!$D:$D,$D1108,куб!S:S),IF($C1108&lt;&gt;0,SUMIF(куб!$C:$C,$C1108,куб!S:S),IF($B1108&lt;&gt;0,SUMIF(куб!$B:$B,$B1108,куб!S:S))))))</f>
        <v>0</v>
      </c>
      <c r="AH1108" s="16" t="str">
        <f t="shared" si="355"/>
        <v>-</v>
      </c>
      <c r="AI1108" s="8"/>
      <c r="AJ1108" s="27" t="b">
        <f>IF($G1108&lt;&gt;0,SUMIF(куб!$G:$G,$G1108,куб!T:T),IF($E1108&lt;&gt;0,SUMIF(куб!$E:$E,$E1108,куб!T:T),IF($D1108&lt;&gt;0,SUMIF(куб!$D:$D,$D1108,куб!T:T),IF($C1108&lt;&gt;0,SUMIF(куб!$C:$C,$C1108,куб!T:T),IF($B1108&lt;&gt;0,SUMIF(куб!$B:$B,$B1108,куб!T:T))))))</f>
        <v>0</v>
      </c>
      <c r="AK1108" s="27" t="b">
        <f>IF($G1108&lt;&gt;0,SUMIF(куб!$G:$G,$G1108,куб!U:U),IF($E1108&lt;&gt;0,SUMIF(куб!$E:$E,$E1108,куб!U:U),IF($D1108&lt;&gt;0,SUMIF(куб!$D:$D,$D1108,куб!U:U),IF($C1108&lt;&gt;0,SUMIF(куб!$C:$C,$C1108,куб!U:U),IF($B1108&lt;&gt;0,SUMIF(куб!$B:$B,$B1108,куб!U:U))))))</f>
        <v>0</v>
      </c>
      <c r="AL1108" s="16" t="str">
        <f t="shared" si="356"/>
        <v>-</v>
      </c>
      <c r="AM1108" s="8"/>
      <c r="AN1108" s="17" t="str">
        <f t="shared" si="357"/>
        <v xml:space="preserve"> </v>
      </c>
      <c r="AO1108" s="17" t="str">
        <f t="shared" si="358"/>
        <v xml:space="preserve"> </v>
      </c>
      <c r="AP1108" s="16" t="str">
        <f t="shared" si="359"/>
        <v>-</v>
      </c>
      <c r="AQ1108" s="8"/>
      <c r="AR1108" s="17" t="str">
        <f t="shared" si="360"/>
        <v>-</v>
      </c>
      <c r="AS1108" s="17" t="str">
        <f t="shared" si="361"/>
        <v>-</v>
      </c>
      <c r="AT1108" s="13" t="str">
        <f t="shared" si="362"/>
        <v>-</v>
      </c>
      <c r="AU1108" s="8"/>
    </row>
    <row r="1109" spans="8:47" x14ac:dyDescent="0.25">
      <c r="H1109" s="27">
        <f>IF($G1109&lt;&gt;0,SUMIF(куб!$G:$G,$G1109,куб!H:H),IF($E1109&lt;&gt;0,SUMIF(куб!$E:$E,$E1109,куб!H:H),IF($D1109&lt;&gt;0,SUMIF(куб!$D:$D,$D1109,куб!H:H),IF($C1109&lt;&gt;0,SUMIF(куб!$C:$C,$C1109,куб!H:H),IF($B1109&lt;&gt;0,SUMIF(куб!$B:$B,$B1109,куб!H:H),IF($G1109&lt;&gt;0,SUMIF(куб!$A:$A,$G1109,куб!H:H),SUMIF(куб!$A:$A,$G1109,куб!H:H)))))))</f>
        <v>0</v>
      </c>
      <c r="I1109" s="27">
        <f>IF($G1109&lt;&gt;0,SUMIF(куб!$G:$G,$G1109,куб!I:I),IF($E1109&lt;&gt;0,SUMIF(куб!$E:$E,$E1109,куб!I:I),IF($D1109&lt;&gt;0,SUMIF(куб!$D:$D,$D1109,куб!I:I),IF($C1109&lt;&gt;0,SUMIF(куб!$C:$C,$C1109,куб!I:I),IF($B1109&lt;&gt;0,SUMIF(куб!$B:$B,$B1109,куб!I:I),IF($G1109&lt;&gt;0,SUMIF(куб!$A:$A,$G1109,куб!I:I),SUMIF(куб!$A:$A,$G1109,куб!I:I)))))))</f>
        <v>0</v>
      </c>
      <c r="J1109" s="19" t="str">
        <f t="shared" si="345"/>
        <v>-</v>
      </c>
      <c r="K1109" s="8"/>
      <c r="L1109" s="17">
        <f t="shared" si="346"/>
        <v>0</v>
      </c>
      <c r="M1109" s="17">
        <f t="shared" si="347"/>
        <v>0</v>
      </c>
      <c r="N1109" s="12">
        <f t="shared" si="348"/>
        <v>0</v>
      </c>
      <c r="O1109" s="5"/>
      <c r="P1109" s="27" t="b">
        <f>IF($G1109&lt;&gt;0,SUMIF(куб!$G:$G,$G1109,куб!J:J),IF($E1109&lt;&gt;0,SUMIF(куб!$E:$E,$E1109,куб!J:J),IF($D1109&lt;&gt;0,SUMIF(куб!$D:$D,$D1109,куб!J:J),IF($C1109&lt;&gt;0,SUMIF(куб!$C:$C,$C1109,куб!J:J),IF($B1109&lt;&gt;0,SUMIF(куб!$B:$B,$B1109,куб!J:J))))))</f>
        <v>0</v>
      </c>
      <c r="Q1109" s="27" t="b">
        <f>IF($G1109&lt;&gt;0,SUMIF(куб!$G:$G,$G1109,куб!K:K),IF($E1109&lt;&gt;0,SUMIF(куб!$E:$E,$E1109,куб!K:K),IF($D1109&lt;&gt;0,SUMIF(куб!$D:$D,$D1109,куб!K:K),IF($C1109&lt;&gt;0,SUMIF(куб!$C:$C,$C1109,куб!K:K),IF($B1109&lt;&gt;0,SUMIF(куб!$B:$B,$B1109,куб!K:K))))))</f>
        <v>0</v>
      </c>
      <c r="R1109" s="13" t="str">
        <f t="shared" si="349"/>
        <v>-</v>
      </c>
      <c r="S1109" s="5"/>
      <c r="T1109" s="27" t="b">
        <f>IF($G1109&lt;&gt;0,SUMIF(куб!$G:$G,$G1109,куб!L:L),IF($E1109&lt;&gt;0,SUMIF(куб!$E:$E,$E1109,куб!L:L),IF($D1109&lt;&gt;0,SUMIF(куб!$D:$D,$D1109,куб!L:L),IF($C1109&lt;&gt;0,SUMIF(куб!$C:$C,$C1109,куб!L:L),IF($B1109&lt;&gt;0,SUMIF(куб!$B:$B,$B1109,куб!L:L))))))</f>
        <v>0</v>
      </c>
      <c r="U1109" s="27" t="b">
        <f>IF($G1109&lt;&gt;0,SUMIF(куб!$G:$G,$G1109,куб!M:M),IF($E1109&lt;&gt;0,SUMIF(куб!$E:$E,$E1109,куб!M:M),IF($D1109&lt;&gt;0,SUMIF(куб!$D:$D,$D1109,куб!M:M),IF($C1109&lt;&gt;0,SUMIF(куб!$C:$C,$C1109,куб!M:M),IF($B1109&lt;&gt;0,SUMIF(куб!$B:$B,$B1109,куб!M:M))))))</f>
        <v>0</v>
      </c>
      <c r="V1109" s="13" t="str">
        <f t="shared" si="350"/>
        <v>-</v>
      </c>
      <c r="W1109" s="5"/>
      <c r="X1109" s="27" t="b">
        <f>IF($G1109&lt;&gt;0,SUMIF(куб!$G:$G,$G1109,куб!N:N),IF($E1109&lt;&gt;0,SUMIF(куб!$E:$E,$E1109,куб!N:N),IF($D1109&lt;&gt;0,SUMIF(куб!$D:$D,$D1109,куб!N:N),IF($C1109&lt;&gt;0,SUMIF(куб!$C:$C,$C1109,куб!N:N),IF($B1109&lt;&gt;0,SUMIF(куб!$B:$B,$B1109,куб!N:N))))))</f>
        <v>0</v>
      </c>
      <c r="Y1109" s="27" t="b">
        <f>IF($G1109&lt;&gt;0,SUMIF(куб!$G:$G,$G1109,куб!O:O),IF($E1109&lt;&gt;0,SUMIF(куб!$E:$E,$E1109,куб!O:O),IF($D1109&lt;&gt;0,SUMIF(куб!$D:$D,$D1109,куб!O:O),IF($C1109&lt;&gt;0,SUMIF(куб!$C:$C,$C1109,куб!O:O),IF($B1109&lt;&gt;0,SUMIF(куб!$B:$B,$B1109,куб!O:O))))))</f>
        <v>0</v>
      </c>
      <c r="Z1109" s="13" t="str">
        <f t="shared" si="351"/>
        <v>-</v>
      </c>
      <c r="AA1109" s="5"/>
      <c r="AB1109" s="33" t="str">
        <f t="shared" si="352"/>
        <v/>
      </c>
      <c r="AC1109" s="33" t="str">
        <f t="shared" si="353"/>
        <v/>
      </c>
      <c r="AD1109" s="15" t="str">
        <f t="shared" si="354"/>
        <v xml:space="preserve"> </v>
      </c>
      <c r="AE1109" s="5"/>
      <c r="AF1109" s="27" t="b">
        <f>IF($G1109&lt;&gt;0,SUMIF(куб!$G:$G,$G1109,куб!R:R),IF($E1109&lt;&gt;0,SUMIF(куб!$E:$E,$E1109,куб!R:R),IF($D1109&lt;&gt;0,SUMIF(куб!$D:$D,$D1109,куб!R:R),IF($C1109&lt;&gt;0,SUMIF(куб!$C:$C,$C1109,куб!R:R),IF($B1109&lt;&gt;0,SUMIF(куб!$B:$B,$B1109,куб!R:R))))))</f>
        <v>0</v>
      </c>
      <c r="AG1109" s="27" t="b">
        <f>IF($G1109&lt;&gt;0,SUMIF(куб!$G:$G,$G1109,куб!S:S),IF($E1109&lt;&gt;0,SUMIF(куб!$E:$E,$E1109,куб!S:S),IF($D1109&lt;&gt;0,SUMIF(куб!$D:$D,$D1109,куб!S:S),IF($C1109&lt;&gt;0,SUMIF(куб!$C:$C,$C1109,куб!S:S),IF($B1109&lt;&gt;0,SUMIF(куб!$B:$B,$B1109,куб!S:S))))))</f>
        <v>0</v>
      </c>
      <c r="AH1109" s="16" t="str">
        <f t="shared" si="355"/>
        <v>-</v>
      </c>
      <c r="AI1109" s="8"/>
      <c r="AJ1109" s="27" t="b">
        <f>IF($G1109&lt;&gt;0,SUMIF(куб!$G:$G,$G1109,куб!T:T),IF($E1109&lt;&gt;0,SUMIF(куб!$E:$E,$E1109,куб!T:T),IF($D1109&lt;&gt;0,SUMIF(куб!$D:$D,$D1109,куб!T:T),IF($C1109&lt;&gt;0,SUMIF(куб!$C:$C,$C1109,куб!T:T),IF($B1109&lt;&gt;0,SUMIF(куб!$B:$B,$B1109,куб!T:T))))))</f>
        <v>0</v>
      </c>
      <c r="AK1109" s="27" t="b">
        <f>IF($G1109&lt;&gt;0,SUMIF(куб!$G:$G,$G1109,куб!U:U),IF($E1109&lt;&gt;0,SUMIF(куб!$E:$E,$E1109,куб!U:U),IF($D1109&lt;&gt;0,SUMIF(куб!$D:$D,$D1109,куб!U:U),IF($C1109&lt;&gt;0,SUMIF(куб!$C:$C,$C1109,куб!U:U),IF($B1109&lt;&gt;0,SUMIF(куб!$B:$B,$B1109,куб!U:U))))))</f>
        <v>0</v>
      </c>
      <c r="AL1109" s="16" t="str">
        <f t="shared" si="356"/>
        <v>-</v>
      </c>
      <c r="AM1109" s="8"/>
      <c r="AN1109" s="17" t="str">
        <f t="shared" si="357"/>
        <v xml:space="preserve"> </v>
      </c>
      <c r="AO1109" s="17" t="str">
        <f t="shared" si="358"/>
        <v xml:space="preserve"> </v>
      </c>
      <c r="AP1109" s="16" t="str">
        <f t="shared" si="359"/>
        <v>-</v>
      </c>
      <c r="AQ1109" s="8"/>
      <c r="AR1109" s="17" t="str">
        <f t="shared" si="360"/>
        <v>-</v>
      </c>
      <c r="AS1109" s="17" t="str">
        <f t="shared" si="361"/>
        <v>-</v>
      </c>
      <c r="AT1109" s="13" t="str">
        <f t="shared" si="362"/>
        <v>-</v>
      </c>
      <c r="AU1109" s="8"/>
    </row>
    <row r="1110" spans="8:47" x14ac:dyDescent="0.25">
      <c r="H1110" s="27">
        <f>IF($G1110&lt;&gt;0,SUMIF(куб!$G:$G,$G1110,куб!H:H),IF($E1110&lt;&gt;0,SUMIF(куб!$E:$E,$E1110,куб!H:H),IF($D1110&lt;&gt;0,SUMIF(куб!$D:$D,$D1110,куб!H:H),IF($C1110&lt;&gt;0,SUMIF(куб!$C:$C,$C1110,куб!H:H),IF($B1110&lt;&gt;0,SUMIF(куб!$B:$B,$B1110,куб!H:H),IF($G1110&lt;&gt;0,SUMIF(куб!$A:$A,$G1110,куб!H:H),SUMIF(куб!$A:$A,$G1110,куб!H:H)))))))</f>
        <v>0</v>
      </c>
      <c r="I1110" s="27">
        <f>IF($G1110&lt;&gt;0,SUMIF(куб!$G:$G,$G1110,куб!I:I),IF($E1110&lt;&gt;0,SUMIF(куб!$E:$E,$E1110,куб!I:I),IF($D1110&lt;&gt;0,SUMIF(куб!$D:$D,$D1110,куб!I:I),IF($C1110&lt;&gt;0,SUMIF(куб!$C:$C,$C1110,куб!I:I),IF($B1110&lt;&gt;0,SUMIF(куб!$B:$B,$B1110,куб!I:I),IF($G1110&lt;&gt;0,SUMIF(куб!$A:$A,$G1110,куб!I:I),SUMIF(куб!$A:$A,$G1110,куб!I:I)))))))</f>
        <v>0</v>
      </c>
      <c r="J1110" s="19" t="str">
        <f t="shared" si="345"/>
        <v>-</v>
      </c>
      <c r="K1110" s="8"/>
      <c r="L1110" s="17">
        <f t="shared" si="346"/>
        <v>0</v>
      </c>
      <c r="M1110" s="17">
        <f t="shared" si="347"/>
        <v>0</v>
      </c>
      <c r="N1110" s="12">
        <f t="shared" si="348"/>
        <v>0</v>
      </c>
      <c r="O1110" s="5"/>
      <c r="P1110" s="27" t="b">
        <f>IF($G1110&lt;&gt;0,SUMIF(куб!$G:$G,$G1110,куб!J:J),IF($E1110&lt;&gt;0,SUMIF(куб!$E:$E,$E1110,куб!J:J),IF($D1110&lt;&gt;0,SUMIF(куб!$D:$D,$D1110,куб!J:J),IF($C1110&lt;&gt;0,SUMIF(куб!$C:$C,$C1110,куб!J:J),IF($B1110&lt;&gt;0,SUMIF(куб!$B:$B,$B1110,куб!J:J))))))</f>
        <v>0</v>
      </c>
      <c r="Q1110" s="27" t="b">
        <f>IF($G1110&lt;&gt;0,SUMIF(куб!$G:$G,$G1110,куб!K:K),IF($E1110&lt;&gt;0,SUMIF(куб!$E:$E,$E1110,куб!K:K),IF($D1110&lt;&gt;0,SUMIF(куб!$D:$D,$D1110,куб!K:K),IF($C1110&lt;&gt;0,SUMIF(куб!$C:$C,$C1110,куб!K:K),IF($B1110&lt;&gt;0,SUMIF(куб!$B:$B,$B1110,куб!K:K))))))</f>
        <v>0</v>
      </c>
      <c r="R1110" s="13" t="str">
        <f t="shared" si="349"/>
        <v>-</v>
      </c>
      <c r="S1110" s="5"/>
      <c r="T1110" s="27" t="b">
        <f>IF($G1110&lt;&gt;0,SUMIF(куб!$G:$G,$G1110,куб!L:L),IF($E1110&lt;&gt;0,SUMIF(куб!$E:$E,$E1110,куб!L:L),IF($D1110&lt;&gt;0,SUMIF(куб!$D:$D,$D1110,куб!L:L),IF($C1110&lt;&gt;0,SUMIF(куб!$C:$C,$C1110,куб!L:L),IF($B1110&lt;&gt;0,SUMIF(куб!$B:$B,$B1110,куб!L:L))))))</f>
        <v>0</v>
      </c>
      <c r="U1110" s="27" t="b">
        <f>IF($G1110&lt;&gt;0,SUMIF(куб!$G:$G,$G1110,куб!M:M),IF($E1110&lt;&gt;0,SUMIF(куб!$E:$E,$E1110,куб!M:M),IF($D1110&lt;&gt;0,SUMIF(куб!$D:$D,$D1110,куб!M:M),IF($C1110&lt;&gt;0,SUMIF(куб!$C:$C,$C1110,куб!M:M),IF($B1110&lt;&gt;0,SUMIF(куб!$B:$B,$B1110,куб!M:M))))))</f>
        <v>0</v>
      </c>
      <c r="V1110" s="13" t="str">
        <f t="shared" si="350"/>
        <v>-</v>
      </c>
      <c r="W1110" s="5"/>
      <c r="X1110" s="27" t="b">
        <f>IF($G1110&lt;&gt;0,SUMIF(куб!$G:$G,$G1110,куб!N:N),IF($E1110&lt;&gt;0,SUMIF(куб!$E:$E,$E1110,куб!N:N),IF($D1110&lt;&gt;0,SUMIF(куб!$D:$D,$D1110,куб!N:N),IF($C1110&lt;&gt;0,SUMIF(куб!$C:$C,$C1110,куб!N:N),IF($B1110&lt;&gt;0,SUMIF(куб!$B:$B,$B1110,куб!N:N))))))</f>
        <v>0</v>
      </c>
      <c r="Y1110" s="27" t="b">
        <f>IF($G1110&lt;&gt;0,SUMIF(куб!$G:$G,$G1110,куб!O:O),IF($E1110&lt;&gt;0,SUMIF(куб!$E:$E,$E1110,куб!O:O),IF($D1110&lt;&gt;0,SUMIF(куб!$D:$D,$D1110,куб!O:O),IF($C1110&lt;&gt;0,SUMIF(куб!$C:$C,$C1110,куб!O:O),IF($B1110&lt;&gt;0,SUMIF(куб!$B:$B,$B1110,куб!O:O))))))</f>
        <v>0</v>
      </c>
      <c r="Z1110" s="13" t="str">
        <f t="shared" si="351"/>
        <v>-</v>
      </c>
      <c r="AA1110" s="5"/>
      <c r="AB1110" s="33" t="str">
        <f t="shared" si="352"/>
        <v/>
      </c>
      <c r="AC1110" s="33" t="str">
        <f t="shared" si="353"/>
        <v/>
      </c>
      <c r="AD1110" s="15" t="str">
        <f t="shared" si="354"/>
        <v xml:space="preserve"> </v>
      </c>
      <c r="AE1110" s="5"/>
      <c r="AF1110" s="27" t="b">
        <f>IF($G1110&lt;&gt;0,SUMIF(куб!$G:$G,$G1110,куб!R:R),IF($E1110&lt;&gt;0,SUMIF(куб!$E:$E,$E1110,куб!R:R),IF($D1110&lt;&gt;0,SUMIF(куб!$D:$D,$D1110,куб!R:R),IF($C1110&lt;&gt;0,SUMIF(куб!$C:$C,$C1110,куб!R:R),IF($B1110&lt;&gt;0,SUMIF(куб!$B:$B,$B1110,куб!R:R))))))</f>
        <v>0</v>
      </c>
      <c r="AG1110" s="27" t="b">
        <f>IF($G1110&lt;&gt;0,SUMIF(куб!$G:$G,$G1110,куб!S:S),IF($E1110&lt;&gt;0,SUMIF(куб!$E:$E,$E1110,куб!S:S),IF($D1110&lt;&gt;0,SUMIF(куб!$D:$D,$D1110,куб!S:S),IF($C1110&lt;&gt;0,SUMIF(куб!$C:$C,$C1110,куб!S:S),IF($B1110&lt;&gt;0,SUMIF(куб!$B:$B,$B1110,куб!S:S))))))</f>
        <v>0</v>
      </c>
      <c r="AH1110" s="16" t="str">
        <f t="shared" si="355"/>
        <v>-</v>
      </c>
      <c r="AI1110" s="8"/>
      <c r="AJ1110" s="27" t="b">
        <f>IF($G1110&lt;&gt;0,SUMIF(куб!$G:$G,$G1110,куб!T:T),IF($E1110&lt;&gt;0,SUMIF(куб!$E:$E,$E1110,куб!T:T),IF($D1110&lt;&gt;0,SUMIF(куб!$D:$D,$D1110,куб!T:T),IF($C1110&lt;&gt;0,SUMIF(куб!$C:$C,$C1110,куб!T:T),IF($B1110&lt;&gt;0,SUMIF(куб!$B:$B,$B1110,куб!T:T))))))</f>
        <v>0</v>
      </c>
      <c r="AK1110" s="27" t="b">
        <f>IF($G1110&lt;&gt;0,SUMIF(куб!$G:$G,$G1110,куб!U:U),IF($E1110&lt;&gt;0,SUMIF(куб!$E:$E,$E1110,куб!U:U),IF($D1110&lt;&gt;0,SUMIF(куб!$D:$D,$D1110,куб!U:U),IF($C1110&lt;&gt;0,SUMIF(куб!$C:$C,$C1110,куб!U:U),IF($B1110&lt;&gt;0,SUMIF(куб!$B:$B,$B1110,куб!U:U))))))</f>
        <v>0</v>
      </c>
      <c r="AL1110" s="16" t="str">
        <f t="shared" si="356"/>
        <v>-</v>
      </c>
      <c r="AM1110" s="8"/>
      <c r="AN1110" s="17" t="str">
        <f t="shared" si="357"/>
        <v xml:space="preserve"> </v>
      </c>
      <c r="AO1110" s="17" t="str">
        <f t="shared" si="358"/>
        <v xml:space="preserve"> </v>
      </c>
      <c r="AP1110" s="16" t="str">
        <f t="shared" si="359"/>
        <v>-</v>
      </c>
      <c r="AQ1110" s="8"/>
      <c r="AR1110" s="17" t="str">
        <f t="shared" si="360"/>
        <v>-</v>
      </c>
      <c r="AS1110" s="17" t="str">
        <f t="shared" si="361"/>
        <v>-</v>
      </c>
      <c r="AT1110" s="13" t="str">
        <f t="shared" si="362"/>
        <v>-</v>
      </c>
      <c r="AU1110" s="8"/>
    </row>
    <row r="1111" spans="8:47" x14ac:dyDescent="0.25">
      <c r="H1111" s="27">
        <f>IF($G1111&lt;&gt;0,SUMIF(куб!$G:$G,$G1111,куб!H:H),IF($E1111&lt;&gt;0,SUMIF(куб!$E:$E,$E1111,куб!H:H),IF($D1111&lt;&gt;0,SUMIF(куб!$D:$D,$D1111,куб!H:H),IF($C1111&lt;&gt;0,SUMIF(куб!$C:$C,$C1111,куб!H:H),IF($B1111&lt;&gt;0,SUMIF(куб!$B:$B,$B1111,куб!H:H),IF($G1111&lt;&gt;0,SUMIF(куб!$A:$A,$G1111,куб!H:H),SUMIF(куб!$A:$A,$G1111,куб!H:H)))))))</f>
        <v>0</v>
      </c>
      <c r="I1111" s="27">
        <f>IF($G1111&lt;&gt;0,SUMIF(куб!$G:$G,$G1111,куб!I:I),IF($E1111&lt;&gt;0,SUMIF(куб!$E:$E,$E1111,куб!I:I),IF($D1111&lt;&gt;0,SUMIF(куб!$D:$D,$D1111,куб!I:I),IF($C1111&lt;&gt;0,SUMIF(куб!$C:$C,$C1111,куб!I:I),IF($B1111&lt;&gt;0,SUMIF(куб!$B:$B,$B1111,куб!I:I),IF($G1111&lt;&gt;0,SUMIF(куб!$A:$A,$G1111,куб!I:I),SUMIF(куб!$A:$A,$G1111,куб!I:I)))))))</f>
        <v>0</v>
      </c>
      <c r="J1111" s="19" t="str">
        <f t="shared" si="345"/>
        <v>-</v>
      </c>
      <c r="K1111" s="8"/>
      <c r="L1111" s="17">
        <f t="shared" si="346"/>
        <v>0</v>
      </c>
      <c r="M1111" s="17">
        <f t="shared" si="347"/>
        <v>0</v>
      </c>
      <c r="N1111" s="12">
        <f t="shared" si="348"/>
        <v>0</v>
      </c>
      <c r="O1111" s="5"/>
      <c r="P1111" s="27" t="b">
        <f>IF($G1111&lt;&gt;0,SUMIF(куб!$G:$G,$G1111,куб!J:J),IF($E1111&lt;&gt;0,SUMIF(куб!$E:$E,$E1111,куб!J:J),IF($D1111&lt;&gt;0,SUMIF(куб!$D:$D,$D1111,куб!J:J),IF($C1111&lt;&gt;0,SUMIF(куб!$C:$C,$C1111,куб!J:J),IF($B1111&lt;&gt;0,SUMIF(куб!$B:$B,$B1111,куб!J:J))))))</f>
        <v>0</v>
      </c>
      <c r="Q1111" s="27" t="b">
        <f>IF($G1111&lt;&gt;0,SUMIF(куб!$G:$G,$G1111,куб!K:K),IF($E1111&lt;&gt;0,SUMIF(куб!$E:$E,$E1111,куб!K:K),IF($D1111&lt;&gt;0,SUMIF(куб!$D:$D,$D1111,куб!K:K),IF($C1111&lt;&gt;0,SUMIF(куб!$C:$C,$C1111,куб!K:K),IF($B1111&lt;&gt;0,SUMIF(куб!$B:$B,$B1111,куб!K:K))))))</f>
        <v>0</v>
      </c>
      <c r="R1111" s="13" t="str">
        <f t="shared" si="349"/>
        <v>-</v>
      </c>
      <c r="S1111" s="5"/>
      <c r="T1111" s="27" t="b">
        <f>IF($G1111&lt;&gt;0,SUMIF(куб!$G:$G,$G1111,куб!L:L),IF($E1111&lt;&gt;0,SUMIF(куб!$E:$E,$E1111,куб!L:L),IF($D1111&lt;&gt;0,SUMIF(куб!$D:$D,$D1111,куб!L:L),IF($C1111&lt;&gt;0,SUMIF(куб!$C:$C,$C1111,куб!L:L),IF($B1111&lt;&gt;0,SUMIF(куб!$B:$B,$B1111,куб!L:L))))))</f>
        <v>0</v>
      </c>
      <c r="U1111" s="27" t="b">
        <f>IF($G1111&lt;&gt;0,SUMIF(куб!$G:$G,$G1111,куб!M:M),IF($E1111&lt;&gt;0,SUMIF(куб!$E:$E,$E1111,куб!M:M),IF($D1111&lt;&gt;0,SUMIF(куб!$D:$D,$D1111,куб!M:M),IF($C1111&lt;&gt;0,SUMIF(куб!$C:$C,$C1111,куб!M:M),IF($B1111&lt;&gt;0,SUMIF(куб!$B:$B,$B1111,куб!M:M))))))</f>
        <v>0</v>
      </c>
      <c r="V1111" s="13" t="str">
        <f t="shared" si="350"/>
        <v>-</v>
      </c>
      <c r="W1111" s="5"/>
      <c r="X1111" s="27" t="b">
        <f>IF($G1111&lt;&gt;0,SUMIF(куб!$G:$G,$G1111,куб!N:N),IF($E1111&lt;&gt;0,SUMIF(куб!$E:$E,$E1111,куб!N:N),IF($D1111&lt;&gt;0,SUMIF(куб!$D:$D,$D1111,куб!N:N),IF($C1111&lt;&gt;0,SUMIF(куб!$C:$C,$C1111,куб!N:N),IF($B1111&lt;&gt;0,SUMIF(куб!$B:$B,$B1111,куб!N:N))))))</f>
        <v>0</v>
      </c>
      <c r="Y1111" s="27" t="b">
        <f>IF($G1111&lt;&gt;0,SUMIF(куб!$G:$G,$G1111,куб!O:O),IF($E1111&lt;&gt;0,SUMIF(куб!$E:$E,$E1111,куб!O:O),IF($D1111&lt;&gt;0,SUMIF(куб!$D:$D,$D1111,куб!O:O),IF($C1111&lt;&gt;0,SUMIF(куб!$C:$C,$C1111,куб!O:O),IF($B1111&lt;&gt;0,SUMIF(куб!$B:$B,$B1111,куб!O:O))))))</f>
        <v>0</v>
      </c>
      <c r="Z1111" s="13" t="str">
        <f t="shared" si="351"/>
        <v>-</v>
      </c>
      <c r="AA1111" s="5"/>
      <c r="AB1111" s="33" t="str">
        <f t="shared" si="352"/>
        <v/>
      </c>
      <c r="AC1111" s="33" t="str">
        <f t="shared" si="353"/>
        <v/>
      </c>
      <c r="AD1111" s="15" t="str">
        <f t="shared" si="354"/>
        <v xml:space="preserve"> </v>
      </c>
      <c r="AE1111" s="5"/>
      <c r="AF1111" s="27" t="b">
        <f>IF($G1111&lt;&gt;0,SUMIF(куб!$G:$G,$G1111,куб!R:R),IF($E1111&lt;&gt;0,SUMIF(куб!$E:$E,$E1111,куб!R:R),IF($D1111&lt;&gt;0,SUMIF(куб!$D:$D,$D1111,куб!R:R),IF($C1111&lt;&gt;0,SUMIF(куб!$C:$C,$C1111,куб!R:R),IF($B1111&lt;&gt;0,SUMIF(куб!$B:$B,$B1111,куб!R:R))))))</f>
        <v>0</v>
      </c>
      <c r="AG1111" s="27" t="b">
        <f>IF($G1111&lt;&gt;0,SUMIF(куб!$G:$G,$G1111,куб!S:S),IF($E1111&lt;&gt;0,SUMIF(куб!$E:$E,$E1111,куб!S:S),IF($D1111&lt;&gt;0,SUMIF(куб!$D:$D,$D1111,куб!S:S),IF($C1111&lt;&gt;0,SUMIF(куб!$C:$C,$C1111,куб!S:S),IF($B1111&lt;&gt;0,SUMIF(куб!$B:$B,$B1111,куб!S:S))))))</f>
        <v>0</v>
      </c>
      <c r="AH1111" s="16" t="str">
        <f t="shared" si="355"/>
        <v>-</v>
      </c>
      <c r="AI1111" s="8"/>
      <c r="AJ1111" s="27" t="b">
        <f>IF($G1111&lt;&gt;0,SUMIF(куб!$G:$G,$G1111,куб!T:T),IF($E1111&lt;&gt;0,SUMIF(куб!$E:$E,$E1111,куб!T:T),IF($D1111&lt;&gt;0,SUMIF(куб!$D:$D,$D1111,куб!T:T),IF($C1111&lt;&gt;0,SUMIF(куб!$C:$C,$C1111,куб!T:T),IF($B1111&lt;&gt;0,SUMIF(куб!$B:$B,$B1111,куб!T:T))))))</f>
        <v>0</v>
      </c>
      <c r="AK1111" s="27" t="b">
        <f>IF($G1111&lt;&gt;0,SUMIF(куб!$G:$G,$G1111,куб!U:U),IF($E1111&lt;&gt;0,SUMIF(куб!$E:$E,$E1111,куб!U:U),IF($D1111&lt;&gt;0,SUMIF(куб!$D:$D,$D1111,куб!U:U),IF($C1111&lt;&gt;0,SUMIF(куб!$C:$C,$C1111,куб!U:U),IF($B1111&lt;&gt;0,SUMIF(куб!$B:$B,$B1111,куб!U:U))))))</f>
        <v>0</v>
      </c>
      <c r="AL1111" s="16" t="str">
        <f t="shared" si="356"/>
        <v>-</v>
      </c>
      <c r="AM1111" s="8"/>
      <c r="AN1111" s="17" t="str">
        <f t="shared" si="357"/>
        <v xml:space="preserve"> </v>
      </c>
      <c r="AO1111" s="17" t="str">
        <f t="shared" si="358"/>
        <v xml:space="preserve"> </v>
      </c>
      <c r="AP1111" s="16" t="str">
        <f t="shared" si="359"/>
        <v>-</v>
      </c>
      <c r="AQ1111" s="8"/>
      <c r="AR1111" s="17" t="str">
        <f t="shared" si="360"/>
        <v>-</v>
      </c>
      <c r="AS1111" s="17" t="str">
        <f t="shared" si="361"/>
        <v>-</v>
      </c>
      <c r="AT1111" s="13" t="str">
        <f t="shared" si="362"/>
        <v>-</v>
      </c>
      <c r="AU1111" s="8"/>
    </row>
    <row r="1112" spans="8:47" x14ac:dyDescent="0.25">
      <c r="H1112" s="27">
        <f>IF($G1112&lt;&gt;0,SUMIF(куб!$G:$G,$G1112,куб!H:H),IF($E1112&lt;&gt;0,SUMIF(куб!$E:$E,$E1112,куб!H:H),IF($D1112&lt;&gt;0,SUMIF(куб!$D:$D,$D1112,куб!H:H),IF($C1112&lt;&gt;0,SUMIF(куб!$C:$C,$C1112,куб!H:H),IF($B1112&lt;&gt;0,SUMIF(куб!$B:$B,$B1112,куб!H:H),IF($G1112&lt;&gt;0,SUMIF(куб!$A:$A,$G1112,куб!H:H),SUMIF(куб!$A:$A,$G1112,куб!H:H)))))))</f>
        <v>0</v>
      </c>
      <c r="I1112" s="27">
        <f>IF($G1112&lt;&gt;0,SUMIF(куб!$G:$G,$G1112,куб!I:I),IF($E1112&lt;&gt;0,SUMIF(куб!$E:$E,$E1112,куб!I:I),IF($D1112&lt;&gt;0,SUMIF(куб!$D:$D,$D1112,куб!I:I),IF($C1112&lt;&gt;0,SUMIF(куб!$C:$C,$C1112,куб!I:I),IF($B1112&lt;&gt;0,SUMIF(куб!$B:$B,$B1112,куб!I:I),IF($G1112&lt;&gt;0,SUMIF(куб!$A:$A,$G1112,куб!I:I),SUMIF(куб!$A:$A,$G1112,куб!I:I)))))))</f>
        <v>0</v>
      </c>
      <c r="J1112" s="19" t="str">
        <f t="shared" si="345"/>
        <v>-</v>
      </c>
      <c r="K1112" s="8"/>
      <c r="L1112" s="17">
        <f t="shared" si="346"/>
        <v>0</v>
      </c>
      <c r="M1112" s="17">
        <f t="shared" si="347"/>
        <v>0</v>
      </c>
      <c r="N1112" s="12">
        <f t="shared" si="348"/>
        <v>0</v>
      </c>
      <c r="O1112" s="5"/>
      <c r="P1112" s="27" t="b">
        <f>IF($G1112&lt;&gt;0,SUMIF(куб!$G:$G,$G1112,куб!J:J),IF($E1112&lt;&gt;0,SUMIF(куб!$E:$E,$E1112,куб!J:J),IF($D1112&lt;&gt;0,SUMIF(куб!$D:$D,$D1112,куб!J:J),IF($C1112&lt;&gt;0,SUMIF(куб!$C:$C,$C1112,куб!J:J),IF($B1112&lt;&gt;0,SUMIF(куб!$B:$B,$B1112,куб!J:J))))))</f>
        <v>0</v>
      </c>
      <c r="Q1112" s="27" t="b">
        <f>IF($G1112&lt;&gt;0,SUMIF(куб!$G:$G,$G1112,куб!K:K),IF($E1112&lt;&gt;0,SUMIF(куб!$E:$E,$E1112,куб!K:K),IF($D1112&lt;&gt;0,SUMIF(куб!$D:$D,$D1112,куб!K:K),IF($C1112&lt;&gt;0,SUMIF(куб!$C:$C,$C1112,куб!K:K),IF($B1112&lt;&gt;0,SUMIF(куб!$B:$B,$B1112,куб!K:K))))))</f>
        <v>0</v>
      </c>
      <c r="R1112" s="13" t="str">
        <f t="shared" si="349"/>
        <v>-</v>
      </c>
      <c r="S1112" s="5"/>
      <c r="T1112" s="27" t="b">
        <f>IF($G1112&lt;&gt;0,SUMIF(куб!$G:$G,$G1112,куб!L:L),IF($E1112&lt;&gt;0,SUMIF(куб!$E:$E,$E1112,куб!L:L),IF($D1112&lt;&gt;0,SUMIF(куб!$D:$D,$D1112,куб!L:L),IF($C1112&lt;&gt;0,SUMIF(куб!$C:$C,$C1112,куб!L:L),IF($B1112&lt;&gt;0,SUMIF(куб!$B:$B,$B1112,куб!L:L))))))</f>
        <v>0</v>
      </c>
      <c r="U1112" s="27" t="b">
        <f>IF($G1112&lt;&gt;0,SUMIF(куб!$G:$G,$G1112,куб!M:M),IF($E1112&lt;&gt;0,SUMIF(куб!$E:$E,$E1112,куб!M:M),IF($D1112&lt;&gt;0,SUMIF(куб!$D:$D,$D1112,куб!M:M),IF($C1112&lt;&gt;0,SUMIF(куб!$C:$C,$C1112,куб!M:M),IF($B1112&lt;&gt;0,SUMIF(куб!$B:$B,$B1112,куб!M:M))))))</f>
        <v>0</v>
      </c>
      <c r="V1112" s="13" t="str">
        <f t="shared" si="350"/>
        <v>-</v>
      </c>
      <c r="W1112" s="5"/>
      <c r="X1112" s="27" t="b">
        <f>IF($G1112&lt;&gt;0,SUMIF(куб!$G:$G,$G1112,куб!N:N),IF($E1112&lt;&gt;0,SUMIF(куб!$E:$E,$E1112,куб!N:N),IF($D1112&lt;&gt;0,SUMIF(куб!$D:$D,$D1112,куб!N:N),IF($C1112&lt;&gt;0,SUMIF(куб!$C:$C,$C1112,куб!N:N),IF($B1112&lt;&gt;0,SUMIF(куб!$B:$B,$B1112,куб!N:N))))))</f>
        <v>0</v>
      </c>
      <c r="Y1112" s="27" t="b">
        <f>IF($G1112&lt;&gt;0,SUMIF(куб!$G:$G,$G1112,куб!O:O),IF($E1112&lt;&gt;0,SUMIF(куб!$E:$E,$E1112,куб!O:O),IF($D1112&lt;&gt;0,SUMIF(куб!$D:$D,$D1112,куб!O:O),IF($C1112&lt;&gt;0,SUMIF(куб!$C:$C,$C1112,куб!O:O),IF($B1112&lt;&gt;0,SUMIF(куб!$B:$B,$B1112,куб!O:O))))))</f>
        <v>0</v>
      </c>
      <c r="Z1112" s="13" t="str">
        <f t="shared" si="351"/>
        <v>-</v>
      </c>
      <c r="AA1112" s="5"/>
      <c r="AB1112" s="33" t="str">
        <f t="shared" si="352"/>
        <v/>
      </c>
      <c r="AC1112" s="33" t="str">
        <f t="shared" si="353"/>
        <v/>
      </c>
      <c r="AD1112" s="15" t="str">
        <f t="shared" si="354"/>
        <v xml:space="preserve"> </v>
      </c>
      <c r="AE1112" s="5"/>
      <c r="AF1112" s="27" t="b">
        <f>IF($G1112&lt;&gt;0,SUMIF(куб!$G:$G,$G1112,куб!R:R),IF($E1112&lt;&gt;0,SUMIF(куб!$E:$E,$E1112,куб!R:R),IF($D1112&lt;&gt;0,SUMIF(куб!$D:$D,$D1112,куб!R:R),IF($C1112&lt;&gt;0,SUMIF(куб!$C:$C,$C1112,куб!R:R),IF($B1112&lt;&gt;0,SUMIF(куб!$B:$B,$B1112,куб!R:R))))))</f>
        <v>0</v>
      </c>
      <c r="AG1112" s="27" t="b">
        <f>IF($G1112&lt;&gt;0,SUMIF(куб!$G:$G,$G1112,куб!S:S),IF($E1112&lt;&gt;0,SUMIF(куб!$E:$E,$E1112,куб!S:S),IF($D1112&lt;&gt;0,SUMIF(куб!$D:$D,$D1112,куб!S:S),IF($C1112&lt;&gt;0,SUMIF(куб!$C:$C,$C1112,куб!S:S),IF($B1112&lt;&gt;0,SUMIF(куб!$B:$B,$B1112,куб!S:S))))))</f>
        <v>0</v>
      </c>
      <c r="AH1112" s="16" t="str">
        <f t="shared" si="355"/>
        <v>-</v>
      </c>
      <c r="AI1112" s="8"/>
      <c r="AJ1112" s="27" t="b">
        <f>IF($G1112&lt;&gt;0,SUMIF(куб!$G:$G,$G1112,куб!T:T),IF($E1112&lt;&gt;0,SUMIF(куб!$E:$E,$E1112,куб!T:T),IF($D1112&lt;&gt;0,SUMIF(куб!$D:$D,$D1112,куб!T:T),IF($C1112&lt;&gt;0,SUMIF(куб!$C:$C,$C1112,куб!T:T),IF($B1112&lt;&gt;0,SUMIF(куб!$B:$B,$B1112,куб!T:T))))))</f>
        <v>0</v>
      </c>
      <c r="AK1112" s="27" t="b">
        <f>IF($G1112&lt;&gt;0,SUMIF(куб!$G:$G,$G1112,куб!U:U),IF($E1112&lt;&gt;0,SUMIF(куб!$E:$E,$E1112,куб!U:U),IF($D1112&lt;&gt;0,SUMIF(куб!$D:$D,$D1112,куб!U:U),IF($C1112&lt;&gt;0,SUMIF(куб!$C:$C,$C1112,куб!U:U),IF($B1112&lt;&gt;0,SUMIF(куб!$B:$B,$B1112,куб!U:U))))))</f>
        <v>0</v>
      </c>
      <c r="AL1112" s="16" t="str">
        <f t="shared" si="356"/>
        <v>-</v>
      </c>
      <c r="AM1112" s="8"/>
      <c r="AN1112" s="17" t="str">
        <f t="shared" si="357"/>
        <v xml:space="preserve"> </v>
      </c>
      <c r="AO1112" s="17" t="str">
        <f t="shared" si="358"/>
        <v xml:space="preserve"> </v>
      </c>
      <c r="AP1112" s="16" t="str">
        <f t="shared" si="359"/>
        <v>-</v>
      </c>
      <c r="AQ1112" s="8"/>
      <c r="AR1112" s="17" t="str">
        <f t="shared" si="360"/>
        <v>-</v>
      </c>
      <c r="AS1112" s="17" t="str">
        <f t="shared" si="361"/>
        <v>-</v>
      </c>
      <c r="AT1112" s="13" t="str">
        <f t="shared" si="362"/>
        <v>-</v>
      </c>
      <c r="AU1112" s="8"/>
    </row>
    <row r="1113" spans="8:47" x14ac:dyDescent="0.25">
      <c r="H1113" s="27">
        <f>IF($G1113&lt;&gt;0,SUMIF(куб!$G:$G,$G1113,куб!H:H),IF($E1113&lt;&gt;0,SUMIF(куб!$E:$E,$E1113,куб!H:H),IF($D1113&lt;&gt;0,SUMIF(куб!$D:$D,$D1113,куб!H:H),IF($C1113&lt;&gt;0,SUMIF(куб!$C:$C,$C1113,куб!H:H),IF($B1113&lt;&gt;0,SUMIF(куб!$B:$B,$B1113,куб!H:H),IF($G1113&lt;&gt;0,SUMIF(куб!$A:$A,$G1113,куб!H:H),SUMIF(куб!$A:$A,$G1113,куб!H:H)))))))</f>
        <v>0</v>
      </c>
      <c r="I1113" s="27">
        <f>IF($G1113&lt;&gt;0,SUMIF(куб!$G:$G,$G1113,куб!I:I),IF($E1113&lt;&gt;0,SUMIF(куб!$E:$E,$E1113,куб!I:I),IF($D1113&lt;&gt;0,SUMIF(куб!$D:$D,$D1113,куб!I:I),IF($C1113&lt;&gt;0,SUMIF(куб!$C:$C,$C1113,куб!I:I),IF($B1113&lt;&gt;0,SUMIF(куб!$B:$B,$B1113,куб!I:I),IF($G1113&lt;&gt;0,SUMIF(куб!$A:$A,$G1113,куб!I:I),SUMIF(куб!$A:$A,$G1113,куб!I:I)))))))</f>
        <v>0</v>
      </c>
      <c r="J1113" s="19" t="str">
        <f t="shared" si="345"/>
        <v>-</v>
      </c>
      <c r="K1113" s="8"/>
      <c r="L1113" s="17">
        <f t="shared" si="346"/>
        <v>0</v>
      </c>
      <c r="M1113" s="17">
        <f t="shared" si="347"/>
        <v>0</v>
      </c>
      <c r="N1113" s="12">
        <f t="shared" si="348"/>
        <v>0</v>
      </c>
      <c r="O1113" s="5"/>
      <c r="P1113" s="27" t="b">
        <f>IF($G1113&lt;&gt;0,SUMIF(куб!$G:$G,$G1113,куб!J:J),IF($E1113&lt;&gt;0,SUMIF(куб!$E:$E,$E1113,куб!J:J),IF($D1113&lt;&gt;0,SUMIF(куб!$D:$D,$D1113,куб!J:J),IF($C1113&lt;&gt;0,SUMIF(куб!$C:$C,$C1113,куб!J:J),IF($B1113&lt;&gt;0,SUMIF(куб!$B:$B,$B1113,куб!J:J))))))</f>
        <v>0</v>
      </c>
      <c r="Q1113" s="27" t="b">
        <f>IF($G1113&lt;&gt;0,SUMIF(куб!$G:$G,$G1113,куб!K:K),IF($E1113&lt;&gt;0,SUMIF(куб!$E:$E,$E1113,куб!K:K),IF($D1113&lt;&gt;0,SUMIF(куб!$D:$D,$D1113,куб!K:K),IF($C1113&lt;&gt;0,SUMIF(куб!$C:$C,$C1113,куб!K:K),IF($B1113&lt;&gt;0,SUMIF(куб!$B:$B,$B1113,куб!K:K))))))</f>
        <v>0</v>
      </c>
      <c r="R1113" s="13" t="str">
        <f t="shared" si="349"/>
        <v>-</v>
      </c>
      <c r="S1113" s="5"/>
      <c r="T1113" s="27" t="b">
        <f>IF($G1113&lt;&gt;0,SUMIF(куб!$G:$G,$G1113,куб!L:L),IF($E1113&lt;&gt;0,SUMIF(куб!$E:$E,$E1113,куб!L:L),IF($D1113&lt;&gt;0,SUMIF(куб!$D:$D,$D1113,куб!L:L),IF($C1113&lt;&gt;0,SUMIF(куб!$C:$C,$C1113,куб!L:L),IF($B1113&lt;&gt;0,SUMIF(куб!$B:$B,$B1113,куб!L:L))))))</f>
        <v>0</v>
      </c>
      <c r="U1113" s="27" t="b">
        <f>IF($G1113&lt;&gt;0,SUMIF(куб!$G:$G,$G1113,куб!M:M),IF($E1113&lt;&gt;0,SUMIF(куб!$E:$E,$E1113,куб!M:M),IF($D1113&lt;&gt;0,SUMIF(куб!$D:$D,$D1113,куб!M:M),IF($C1113&lt;&gt;0,SUMIF(куб!$C:$C,$C1113,куб!M:M),IF($B1113&lt;&gt;0,SUMIF(куб!$B:$B,$B1113,куб!M:M))))))</f>
        <v>0</v>
      </c>
      <c r="V1113" s="13" t="str">
        <f t="shared" si="350"/>
        <v>-</v>
      </c>
      <c r="W1113" s="5"/>
      <c r="X1113" s="27" t="b">
        <f>IF($G1113&lt;&gt;0,SUMIF(куб!$G:$G,$G1113,куб!N:N),IF($E1113&lt;&gt;0,SUMIF(куб!$E:$E,$E1113,куб!N:N),IF($D1113&lt;&gt;0,SUMIF(куб!$D:$D,$D1113,куб!N:N),IF($C1113&lt;&gt;0,SUMIF(куб!$C:$C,$C1113,куб!N:N),IF($B1113&lt;&gt;0,SUMIF(куб!$B:$B,$B1113,куб!N:N))))))</f>
        <v>0</v>
      </c>
      <c r="Y1113" s="27" t="b">
        <f>IF($G1113&lt;&gt;0,SUMIF(куб!$G:$G,$G1113,куб!O:O),IF($E1113&lt;&gt;0,SUMIF(куб!$E:$E,$E1113,куб!O:O),IF($D1113&lt;&gt;0,SUMIF(куб!$D:$D,$D1113,куб!O:O),IF($C1113&lt;&gt;0,SUMIF(куб!$C:$C,$C1113,куб!O:O),IF($B1113&lt;&gt;0,SUMIF(куб!$B:$B,$B1113,куб!O:O))))))</f>
        <v>0</v>
      </c>
      <c r="Z1113" s="13" t="str">
        <f t="shared" si="351"/>
        <v>-</v>
      </c>
      <c r="AA1113" s="5"/>
      <c r="AB1113" s="33" t="str">
        <f t="shared" si="352"/>
        <v/>
      </c>
      <c r="AC1113" s="33" t="str">
        <f t="shared" si="353"/>
        <v/>
      </c>
      <c r="AD1113" s="15" t="str">
        <f t="shared" si="354"/>
        <v xml:space="preserve"> </v>
      </c>
      <c r="AE1113" s="5"/>
      <c r="AF1113" s="27" t="b">
        <f>IF($G1113&lt;&gt;0,SUMIF(куб!$G:$G,$G1113,куб!R:R),IF($E1113&lt;&gt;0,SUMIF(куб!$E:$E,$E1113,куб!R:R),IF($D1113&lt;&gt;0,SUMIF(куб!$D:$D,$D1113,куб!R:R),IF($C1113&lt;&gt;0,SUMIF(куб!$C:$C,$C1113,куб!R:R),IF($B1113&lt;&gt;0,SUMIF(куб!$B:$B,$B1113,куб!R:R))))))</f>
        <v>0</v>
      </c>
      <c r="AG1113" s="27" t="b">
        <f>IF($G1113&lt;&gt;0,SUMIF(куб!$G:$G,$G1113,куб!S:S),IF($E1113&lt;&gt;0,SUMIF(куб!$E:$E,$E1113,куб!S:S),IF($D1113&lt;&gt;0,SUMIF(куб!$D:$D,$D1113,куб!S:S),IF($C1113&lt;&gt;0,SUMIF(куб!$C:$C,$C1113,куб!S:S),IF($B1113&lt;&gt;0,SUMIF(куб!$B:$B,$B1113,куб!S:S))))))</f>
        <v>0</v>
      </c>
      <c r="AH1113" s="16" t="str">
        <f t="shared" si="355"/>
        <v>-</v>
      </c>
      <c r="AI1113" s="8"/>
      <c r="AJ1113" s="27" t="b">
        <f>IF($G1113&lt;&gt;0,SUMIF(куб!$G:$G,$G1113,куб!T:T),IF($E1113&lt;&gt;0,SUMIF(куб!$E:$E,$E1113,куб!T:T),IF($D1113&lt;&gt;0,SUMIF(куб!$D:$D,$D1113,куб!T:T),IF($C1113&lt;&gt;0,SUMIF(куб!$C:$C,$C1113,куб!T:T),IF($B1113&lt;&gt;0,SUMIF(куб!$B:$B,$B1113,куб!T:T))))))</f>
        <v>0</v>
      </c>
      <c r="AK1113" s="27" t="b">
        <f>IF($G1113&lt;&gt;0,SUMIF(куб!$G:$G,$G1113,куб!U:U),IF($E1113&lt;&gt;0,SUMIF(куб!$E:$E,$E1113,куб!U:U),IF($D1113&lt;&gt;0,SUMIF(куб!$D:$D,$D1113,куб!U:U),IF($C1113&lt;&gt;0,SUMIF(куб!$C:$C,$C1113,куб!U:U),IF($B1113&lt;&gt;0,SUMIF(куб!$B:$B,$B1113,куб!U:U))))))</f>
        <v>0</v>
      </c>
      <c r="AL1113" s="16" t="str">
        <f t="shared" si="356"/>
        <v>-</v>
      </c>
      <c r="AM1113" s="8"/>
      <c r="AN1113" s="17" t="str">
        <f t="shared" si="357"/>
        <v xml:space="preserve"> </v>
      </c>
      <c r="AO1113" s="17" t="str">
        <f t="shared" si="358"/>
        <v xml:space="preserve"> </v>
      </c>
      <c r="AP1113" s="16" t="str">
        <f t="shared" si="359"/>
        <v>-</v>
      </c>
      <c r="AQ1113" s="8"/>
      <c r="AR1113" s="17" t="str">
        <f t="shared" si="360"/>
        <v>-</v>
      </c>
      <c r="AS1113" s="17" t="str">
        <f t="shared" si="361"/>
        <v>-</v>
      </c>
      <c r="AT1113" s="13" t="str">
        <f t="shared" si="362"/>
        <v>-</v>
      </c>
      <c r="AU1113" s="8"/>
    </row>
    <row r="1114" spans="8:47" x14ac:dyDescent="0.25">
      <c r="H1114" s="27">
        <f>IF($G1114&lt;&gt;0,SUMIF(куб!$G:$G,$G1114,куб!H:H),IF($E1114&lt;&gt;0,SUMIF(куб!$E:$E,$E1114,куб!H:H),IF($D1114&lt;&gt;0,SUMIF(куб!$D:$D,$D1114,куб!H:H),IF($C1114&lt;&gt;0,SUMIF(куб!$C:$C,$C1114,куб!H:H),IF($B1114&lt;&gt;0,SUMIF(куб!$B:$B,$B1114,куб!H:H),IF($G1114&lt;&gt;0,SUMIF(куб!$A:$A,$G1114,куб!H:H),SUMIF(куб!$A:$A,$G1114,куб!H:H)))))))</f>
        <v>0</v>
      </c>
      <c r="I1114" s="27">
        <f>IF($G1114&lt;&gt;0,SUMIF(куб!$G:$G,$G1114,куб!I:I),IF($E1114&lt;&gt;0,SUMIF(куб!$E:$E,$E1114,куб!I:I),IF($D1114&lt;&gt;0,SUMIF(куб!$D:$D,$D1114,куб!I:I),IF($C1114&lt;&gt;0,SUMIF(куб!$C:$C,$C1114,куб!I:I),IF($B1114&lt;&gt;0,SUMIF(куб!$B:$B,$B1114,куб!I:I),IF($G1114&lt;&gt;0,SUMIF(куб!$A:$A,$G1114,куб!I:I),SUMIF(куб!$A:$A,$G1114,куб!I:I)))))))</f>
        <v>0</v>
      </c>
      <c r="J1114" s="19" t="str">
        <f t="shared" si="345"/>
        <v>-</v>
      </c>
      <c r="K1114" s="8"/>
      <c r="L1114" s="17">
        <f t="shared" si="346"/>
        <v>0</v>
      </c>
      <c r="M1114" s="17">
        <f t="shared" si="347"/>
        <v>0</v>
      </c>
      <c r="N1114" s="12">
        <f t="shared" si="348"/>
        <v>0</v>
      </c>
      <c r="O1114" s="5"/>
      <c r="P1114" s="27" t="b">
        <f>IF($G1114&lt;&gt;0,SUMIF(куб!$G:$G,$G1114,куб!J:J),IF($E1114&lt;&gt;0,SUMIF(куб!$E:$E,$E1114,куб!J:J),IF($D1114&lt;&gt;0,SUMIF(куб!$D:$D,$D1114,куб!J:J),IF($C1114&lt;&gt;0,SUMIF(куб!$C:$C,$C1114,куб!J:J),IF($B1114&lt;&gt;0,SUMIF(куб!$B:$B,$B1114,куб!J:J))))))</f>
        <v>0</v>
      </c>
      <c r="Q1114" s="27" t="b">
        <f>IF($G1114&lt;&gt;0,SUMIF(куб!$G:$G,$G1114,куб!K:K),IF($E1114&lt;&gt;0,SUMIF(куб!$E:$E,$E1114,куб!K:K),IF($D1114&lt;&gt;0,SUMIF(куб!$D:$D,$D1114,куб!K:K),IF($C1114&lt;&gt;0,SUMIF(куб!$C:$C,$C1114,куб!K:K),IF($B1114&lt;&gt;0,SUMIF(куб!$B:$B,$B1114,куб!K:K))))))</f>
        <v>0</v>
      </c>
      <c r="R1114" s="13" t="str">
        <f t="shared" si="349"/>
        <v>-</v>
      </c>
      <c r="S1114" s="5"/>
      <c r="T1114" s="27" t="b">
        <f>IF($G1114&lt;&gt;0,SUMIF(куб!$G:$G,$G1114,куб!L:L),IF($E1114&lt;&gt;0,SUMIF(куб!$E:$E,$E1114,куб!L:L),IF($D1114&lt;&gt;0,SUMIF(куб!$D:$D,$D1114,куб!L:L),IF($C1114&lt;&gt;0,SUMIF(куб!$C:$C,$C1114,куб!L:L),IF($B1114&lt;&gt;0,SUMIF(куб!$B:$B,$B1114,куб!L:L))))))</f>
        <v>0</v>
      </c>
      <c r="U1114" s="27" t="b">
        <f>IF($G1114&lt;&gt;0,SUMIF(куб!$G:$G,$G1114,куб!M:M),IF($E1114&lt;&gt;0,SUMIF(куб!$E:$E,$E1114,куб!M:M),IF($D1114&lt;&gt;0,SUMIF(куб!$D:$D,$D1114,куб!M:M),IF($C1114&lt;&gt;0,SUMIF(куб!$C:$C,$C1114,куб!M:M),IF($B1114&lt;&gt;0,SUMIF(куб!$B:$B,$B1114,куб!M:M))))))</f>
        <v>0</v>
      </c>
      <c r="V1114" s="13" t="str">
        <f t="shared" si="350"/>
        <v>-</v>
      </c>
      <c r="W1114" s="5"/>
      <c r="X1114" s="27" t="b">
        <f>IF($G1114&lt;&gt;0,SUMIF(куб!$G:$G,$G1114,куб!N:N),IF($E1114&lt;&gt;0,SUMIF(куб!$E:$E,$E1114,куб!N:N),IF($D1114&lt;&gt;0,SUMIF(куб!$D:$D,$D1114,куб!N:N),IF($C1114&lt;&gt;0,SUMIF(куб!$C:$C,$C1114,куб!N:N),IF($B1114&lt;&gt;0,SUMIF(куб!$B:$B,$B1114,куб!N:N))))))</f>
        <v>0</v>
      </c>
      <c r="Y1114" s="27" t="b">
        <f>IF($G1114&lt;&gt;0,SUMIF(куб!$G:$G,$G1114,куб!O:O),IF($E1114&lt;&gt;0,SUMIF(куб!$E:$E,$E1114,куб!O:O),IF($D1114&lt;&gt;0,SUMIF(куб!$D:$D,$D1114,куб!O:O),IF($C1114&lt;&gt;0,SUMIF(куб!$C:$C,$C1114,куб!O:O),IF($B1114&lt;&gt;0,SUMIF(куб!$B:$B,$B1114,куб!O:O))))))</f>
        <v>0</v>
      </c>
      <c r="Z1114" s="13" t="str">
        <f t="shared" si="351"/>
        <v>-</v>
      </c>
      <c r="AA1114" s="5"/>
      <c r="AB1114" s="33" t="str">
        <f t="shared" si="352"/>
        <v/>
      </c>
      <c r="AC1114" s="33" t="str">
        <f t="shared" si="353"/>
        <v/>
      </c>
      <c r="AD1114" s="15" t="str">
        <f t="shared" si="354"/>
        <v xml:space="preserve"> </v>
      </c>
      <c r="AE1114" s="5"/>
      <c r="AF1114" s="27" t="b">
        <f>IF($G1114&lt;&gt;0,SUMIF(куб!$G:$G,$G1114,куб!R:R),IF($E1114&lt;&gt;0,SUMIF(куб!$E:$E,$E1114,куб!R:R),IF($D1114&lt;&gt;0,SUMIF(куб!$D:$D,$D1114,куб!R:R),IF($C1114&lt;&gt;0,SUMIF(куб!$C:$C,$C1114,куб!R:R),IF($B1114&lt;&gt;0,SUMIF(куб!$B:$B,$B1114,куб!R:R))))))</f>
        <v>0</v>
      </c>
      <c r="AG1114" s="27" t="b">
        <f>IF($G1114&lt;&gt;0,SUMIF(куб!$G:$G,$G1114,куб!S:S),IF($E1114&lt;&gt;0,SUMIF(куб!$E:$E,$E1114,куб!S:S),IF($D1114&lt;&gt;0,SUMIF(куб!$D:$D,$D1114,куб!S:S),IF($C1114&lt;&gt;0,SUMIF(куб!$C:$C,$C1114,куб!S:S),IF($B1114&lt;&gt;0,SUMIF(куб!$B:$B,$B1114,куб!S:S))))))</f>
        <v>0</v>
      </c>
      <c r="AH1114" s="16" t="str">
        <f t="shared" si="355"/>
        <v>-</v>
      </c>
      <c r="AI1114" s="8"/>
      <c r="AJ1114" s="27" t="b">
        <f>IF($G1114&lt;&gt;0,SUMIF(куб!$G:$G,$G1114,куб!T:T),IF($E1114&lt;&gt;0,SUMIF(куб!$E:$E,$E1114,куб!T:T),IF($D1114&lt;&gt;0,SUMIF(куб!$D:$D,$D1114,куб!T:T),IF($C1114&lt;&gt;0,SUMIF(куб!$C:$C,$C1114,куб!T:T),IF($B1114&lt;&gt;0,SUMIF(куб!$B:$B,$B1114,куб!T:T))))))</f>
        <v>0</v>
      </c>
      <c r="AK1114" s="27" t="b">
        <f>IF($G1114&lt;&gt;0,SUMIF(куб!$G:$G,$G1114,куб!U:U),IF($E1114&lt;&gt;0,SUMIF(куб!$E:$E,$E1114,куб!U:U),IF($D1114&lt;&gt;0,SUMIF(куб!$D:$D,$D1114,куб!U:U),IF($C1114&lt;&gt;0,SUMIF(куб!$C:$C,$C1114,куб!U:U),IF($B1114&lt;&gt;0,SUMIF(куб!$B:$B,$B1114,куб!U:U))))))</f>
        <v>0</v>
      </c>
      <c r="AL1114" s="16" t="str">
        <f t="shared" si="356"/>
        <v>-</v>
      </c>
      <c r="AM1114" s="8"/>
      <c r="AN1114" s="17" t="str">
        <f t="shared" si="357"/>
        <v xml:space="preserve"> </v>
      </c>
      <c r="AO1114" s="17" t="str">
        <f t="shared" si="358"/>
        <v xml:space="preserve"> </v>
      </c>
      <c r="AP1114" s="16" t="str">
        <f t="shared" si="359"/>
        <v>-</v>
      </c>
      <c r="AQ1114" s="8"/>
      <c r="AR1114" s="17" t="str">
        <f t="shared" si="360"/>
        <v>-</v>
      </c>
      <c r="AS1114" s="17" t="str">
        <f t="shared" si="361"/>
        <v>-</v>
      </c>
      <c r="AT1114" s="13" t="str">
        <f t="shared" si="362"/>
        <v>-</v>
      </c>
      <c r="AU1114" s="8"/>
    </row>
    <row r="1115" spans="8:47" x14ac:dyDescent="0.25">
      <c r="H1115" s="27">
        <f>IF($G1115&lt;&gt;0,SUMIF(куб!$G:$G,$G1115,куб!H:H),IF($E1115&lt;&gt;0,SUMIF(куб!$E:$E,$E1115,куб!H:H),IF($D1115&lt;&gt;0,SUMIF(куб!$D:$D,$D1115,куб!H:H),IF($C1115&lt;&gt;0,SUMIF(куб!$C:$C,$C1115,куб!H:H),IF($B1115&lt;&gt;0,SUMIF(куб!$B:$B,$B1115,куб!H:H),IF($G1115&lt;&gt;0,SUMIF(куб!$A:$A,$G1115,куб!H:H),SUMIF(куб!$A:$A,$G1115,куб!H:H)))))))</f>
        <v>0</v>
      </c>
      <c r="I1115" s="27">
        <f>IF($G1115&lt;&gt;0,SUMIF(куб!$G:$G,$G1115,куб!I:I),IF($E1115&lt;&gt;0,SUMIF(куб!$E:$E,$E1115,куб!I:I),IF($D1115&lt;&gt;0,SUMIF(куб!$D:$D,$D1115,куб!I:I),IF($C1115&lt;&gt;0,SUMIF(куб!$C:$C,$C1115,куб!I:I),IF($B1115&lt;&gt;0,SUMIF(куб!$B:$B,$B1115,куб!I:I),IF($G1115&lt;&gt;0,SUMIF(куб!$A:$A,$G1115,куб!I:I),SUMIF(куб!$A:$A,$G1115,куб!I:I)))))))</f>
        <v>0</v>
      </c>
      <c r="J1115" s="19" t="str">
        <f t="shared" si="345"/>
        <v>-</v>
      </c>
      <c r="K1115" s="8"/>
      <c r="L1115" s="17">
        <f t="shared" si="346"/>
        <v>0</v>
      </c>
      <c r="M1115" s="17">
        <f t="shared" si="347"/>
        <v>0</v>
      </c>
      <c r="N1115" s="12">
        <f t="shared" si="348"/>
        <v>0</v>
      </c>
      <c r="O1115" s="5"/>
      <c r="P1115" s="27" t="b">
        <f>IF($G1115&lt;&gt;0,SUMIF(куб!$G:$G,$G1115,куб!J:J),IF($E1115&lt;&gt;0,SUMIF(куб!$E:$E,$E1115,куб!J:J),IF($D1115&lt;&gt;0,SUMIF(куб!$D:$D,$D1115,куб!J:J),IF($C1115&lt;&gt;0,SUMIF(куб!$C:$C,$C1115,куб!J:J),IF($B1115&lt;&gt;0,SUMIF(куб!$B:$B,$B1115,куб!J:J))))))</f>
        <v>0</v>
      </c>
      <c r="Q1115" s="27" t="b">
        <f>IF($G1115&lt;&gt;0,SUMIF(куб!$G:$G,$G1115,куб!K:K),IF($E1115&lt;&gt;0,SUMIF(куб!$E:$E,$E1115,куб!K:K),IF($D1115&lt;&gt;0,SUMIF(куб!$D:$D,$D1115,куб!K:K),IF($C1115&lt;&gt;0,SUMIF(куб!$C:$C,$C1115,куб!K:K),IF($B1115&lt;&gt;0,SUMIF(куб!$B:$B,$B1115,куб!K:K))))))</f>
        <v>0</v>
      </c>
      <c r="R1115" s="13" t="str">
        <f t="shared" si="349"/>
        <v>-</v>
      </c>
      <c r="S1115" s="5"/>
      <c r="T1115" s="27" t="b">
        <f>IF($G1115&lt;&gt;0,SUMIF(куб!$G:$G,$G1115,куб!L:L),IF($E1115&lt;&gt;0,SUMIF(куб!$E:$E,$E1115,куб!L:L),IF($D1115&lt;&gt;0,SUMIF(куб!$D:$D,$D1115,куб!L:L),IF($C1115&lt;&gt;0,SUMIF(куб!$C:$C,$C1115,куб!L:L),IF($B1115&lt;&gt;0,SUMIF(куб!$B:$B,$B1115,куб!L:L))))))</f>
        <v>0</v>
      </c>
      <c r="U1115" s="27" t="b">
        <f>IF($G1115&lt;&gt;0,SUMIF(куб!$G:$G,$G1115,куб!M:M),IF($E1115&lt;&gt;0,SUMIF(куб!$E:$E,$E1115,куб!M:M),IF($D1115&lt;&gt;0,SUMIF(куб!$D:$D,$D1115,куб!M:M),IF($C1115&lt;&gt;0,SUMIF(куб!$C:$C,$C1115,куб!M:M),IF($B1115&lt;&gt;0,SUMIF(куб!$B:$B,$B1115,куб!M:M))))))</f>
        <v>0</v>
      </c>
      <c r="V1115" s="13" t="str">
        <f t="shared" si="350"/>
        <v>-</v>
      </c>
      <c r="W1115" s="5"/>
      <c r="X1115" s="27" t="b">
        <f>IF($G1115&lt;&gt;0,SUMIF(куб!$G:$G,$G1115,куб!N:N),IF($E1115&lt;&gt;0,SUMIF(куб!$E:$E,$E1115,куб!N:N),IF($D1115&lt;&gt;0,SUMIF(куб!$D:$D,$D1115,куб!N:N),IF($C1115&lt;&gt;0,SUMIF(куб!$C:$C,$C1115,куб!N:N),IF($B1115&lt;&gt;0,SUMIF(куб!$B:$B,$B1115,куб!N:N))))))</f>
        <v>0</v>
      </c>
      <c r="Y1115" s="27" t="b">
        <f>IF($G1115&lt;&gt;0,SUMIF(куб!$G:$G,$G1115,куб!O:O),IF($E1115&lt;&gt;0,SUMIF(куб!$E:$E,$E1115,куб!O:O),IF($D1115&lt;&gt;0,SUMIF(куб!$D:$D,$D1115,куб!O:O),IF($C1115&lt;&gt;0,SUMIF(куб!$C:$C,$C1115,куб!O:O),IF($B1115&lt;&gt;0,SUMIF(куб!$B:$B,$B1115,куб!O:O))))))</f>
        <v>0</v>
      </c>
      <c r="Z1115" s="13" t="str">
        <f t="shared" si="351"/>
        <v>-</v>
      </c>
      <c r="AA1115" s="5"/>
      <c r="AB1115" s="33" t="str">
        <f t="shared" si="352"/>
        <v/>
      </c>
      <c r="AC1115" s="33" t="str">
        <f t="shared" si="353"/>
        <v/>
      </c>
      <c r="AD1115" s="15" t="str">
        <f t="shared" si="354"/>
        <v xml:space="preserve"> </v>
      </c>
      <c r="AE1115" s="5"/>
      <c r="AF1115" s="27" t="b">
        <f>IF($G1115&lt;&gt;0,SUMIF(куб!$G:$G,$G1115,куб!R:R),IF($E1115&lt;&gt;0,SUMIF(куб!$E:$E,$E1115,куб!R:R),IF($D1115&lt;&gt;0,SUMIF(куб!$D:$D,$D1115,куб!R:R),IF($C1115&lt;&gt;0,SUMIF(куб!$C:$C,$C1115,куб!R:R),IF($B1115&lt;&gt;0,SUMIF(куб!$B:$B,$B1115,куб!R:R))))))</f>
        <v>0</v>
      </c>
      <c r="AG1115" s="27" t="b">
        <f>IF($G1115&lt;&gt;0,SUMIF(куб!$G:$G,$G1115,куб!S:S),IF($E1115&lt;&gt;0,SUMIF(куб!$E:$E,$E1115,куб!S:S),IF($D1115&lt;&gt;0,SUMIF(куб!$D:$D,$D1115,куб!S:S),IF($C1115&lt;&gt;0,SUMIF(куб!$C:$C,$C1115,куб!S:S),IF($B1115&lt;&gt;0,SUMIF(куб!$B:$B,$B1115,куб!S:S))))))</f>
        <v>0</v>
      </c>
      <c r="AH1115" s="16" t="str">
        <f t="shared" si="355"/>
        <v>-</v>
      </c>
      <c r="AI1115" s="8"/>
      <c r="AJ1115" s="27" t="b">
        <f>IF($G1115&lt;&gt;0,SUMIF(куб!$G:$G,$G1115,куб!T:T),IF($E1115&lt;&gt;0,SUMIF(куб!$E:$E,$E1115,куб!T:T),IF($D1115&lt;&gt;0,SUMIF(куб!$D:$D,$D1115,куб!T:T),IF($C1115&lt;&gt;0,SUMIF(куб!$C:$C,$C1115,куб!T:T),IF($B1115&lt;&gt;0,SUMIF(куб!$B:$B,$B1115,куб!T:T))))))</f>
        <v>0</v>
      </c>
      <c r="AK1115" s="27" t="b">
        <f>IF($G1115&lt;&gt;0,SUMIF(куб!$G:$G,$G1115,куб!U:U),IF($E1115&lt;&gt;0,SUMIF(куб!$E:$E,$E1115,куб!U:U),IF($D1115&lt;&gt;0,SUMIF(куб!$D:$D,$D1115,куб!U:U),IF($C1115&lt;&gt;0,SUMIF(куб!$C:$C,$C1115,куб!U:U),IF($B1115&lt;&gt;0,SUMIF(куб!$B:$B,$B1115,куб!U:U))))))</f>
        <v>0</v>
      </c>
      <c r="AL1115" s="16" t="str">
        <f t="shared" si="356"/>
        <v>-</v>
      </c>
      <c r="AM1115" s="8"/>
      <c r="AN1115" s="17" t="str">
        <f t="shared" si="357"/>
        <v xml:space="preserve"> </v>
      </c>
      <c r="AO1115" s="17" t="str">
        <f t="shared" si="358"/>
        <v xml:space="preserve"> </v>
      </c>
      <c r="AP1115" s="16" t="str">
        <f t="shared" si="359"/>
        <v>-</v>
      </c>
      <c r="AQ1115" s="8"/>
      <c r="AR1115" s="17" t="str">
        <f t="shared" si="360"/>
        <v>-</v>
      </c>
      <c r="AS1115" s="17" t="str">
        <f t="shared" si="361"/>
        <v>-</v>
      </c>
      <c r="AT1115" s="13" t="str">
        <f t="shared" si="362"/>
        <v>-</v>
      </c>
      <c r="AU1115" s="8"/>
    </row>
    <row r="1116" spans="8:47" x14ac:dyDescent="0.25">
      <c r="H1116" s="27">
        <f>IF($G1116&lt;&gt;0,SUMIF(куб!$G:$G,$G1116,куб!H:H),IF($E1116&lt;&gt;0,SUMIF(куб!$E:$E,$E1116,куб!H:H),IF($D1116&lt;&gt;0,SUMIF(куб!$D:$D,$D1116,куб!H:H),IF($C1116&lt;&gt;0,SUMIF(куб!$C:$C,$C1116,куб!H:H),IF($B1116&lt;&gt;0,SUMIF(куб!$B:$B,$B1116,куб!H:H),IF($G1116&lt;&gt;0,SUMIF(куб!$A:$A,$G1116,куб!H:H),SUMIF(куб!$A:$A,$G1116,куб!H:H)))))))</f>
        <v>0</v>
      </c>
      <c r="I1116" s="27">
        <f>IF($G1116&lt;&gt;0,SUMIF(куб!$G:$G,$G1116,куб!I:I),IF($E1116&lt;&gt;0,SUMIF(куб!$E:$E,$E1116,куб!I:I),IF($D1116&lt;&gt;0,SUMIF(куб!$D:$D,$D1116,куб!I:I),IF($C1116&lt;&gt;0,SUMIF(куб!$C:$C,$C1116,куб!I:I),IF($B1116&lt;&gt;0,SUMIF(куб!$B:$B,$B1116,куб!I:I),IF($G1116&lt;&gt;0,SUMIF(куб!$A:$A,$G1116,куб!I:I),SUMIF(куб!$A:$A,$G1116,куб!I:I)))))))</f>
        <v>0</v>
      </c>
      <c r="J1116" s="19" t="str">
        <f t="shared" si="345"/>
        <v>-</v>
      </c>
      <c r="K1116" s="8"/>
      <c r="L1116" s="17">
        <f t="shared" si="346"/>
        <v>0</v>
      </c>
      <c r="M1116" s="17">
        <f t="shared" si="347"/>
        <v>0</v>
      </c>
      <c r="N1116" s="12">
        <f t="shared" si="348"/>
        <v>0</v>
      </c>
      <c r="O1116" s="5"/>
      <c r="P1116" s="27" t="b">
        <f>IF($G1116&lt;&gt;0,SUMIF(куб!$G:$G,$G1116,куб!J:J),IF($E1116&lt;&gt;0,SUMIF(куб!$E:$E,$E1116,куб!J:J),IF($D1116&lt;&gt;0,SUMIF(куб!$D:$D,$D1116,куб!J:J),IF($C1116&lt;&gt;0,SUMIF(куб!$C:$C,$C1116,куб!J:J),IF($B1116&lt;&gt;0,SUMIF(куб!$B:$B,$B1116,куб!J:J))))))</f>
        <v>0</v>
      </c>
      <c r="Q1116" s="27" t="b">
        <f>IF($G1116&lt;&gt;0,SUMIF(куб!$G:$G,$G1116,куб!K:K),IF($E1116&lt;&gt;0,SUMIF(куб!$E:$E,$E1116,куб!K:K),IF($D1116&lt;&gt;0,SUMIF(куб!$D:$D,$D1116,куб!K:K),IF($C1116&lt;&gt;0,SUMIF(куб!$C:$C,$C1116,куб!K:K),IF($B1116&lt;&gt;0,SUMIF(куб!$B:$B,$B1116,куб!K:K))))))</f>
        <v>0</v>
      </c>
      <c r="R1116" s="13" t="str">
        <f t="shared" si="349"/>
        <v>-</v>
      </c>
      <c r="S1116" s="5"/>
      <c r="T1116" s="27" t="b">
        <f>IF($G1116&lt;&gt;0,SUMIF(куб!$G:$G,$G1116,куб!L:L),IF($E1116&lt;&gt;0,SUMIF(куб!$E:$E,$E1116,куб!L:L),IF($D1116&lt;&gt;0,SUMIF(куб!$D:$D,$D1116,куб!L:L),IF($C1116&lt;&gt;0,SUMIF(куб!$C:$C,$C1116,куб!L:L),IF($B1116&lt;&gt;0,SUMIF(куб!$B:$B,$B1116,куб!L:L))))))</f>
        <v>0</v>
      </c>
      <c r="U1116" s="27" t="b">
        <f>IF($G1116&lt;&gt;0,SUMIF(куб!$G:$G,$G1116,куб!M:M),IF($E1116&lt;&gt;0,SUMIF(куб!$E:$E,$E1116,куб!M:M),IF($D1116&lt;&gt;0,SUMIF(куб!$D:$D,$D1116,куб!M:M),IF($C1116&lt;&gt;0,SUMIF(куб!$C:$C,$C1116,куб!M:M),IF($B1116&lt;&gt;0,SUMIF(куб!$B:$B,$B1116,куб!M:M))))))</f>
        <v>0</v>
      </c>
      <c r="V1116" s="13" t="str">
        <f t="shared" si="350"/>
        <v>-</v>
      </c>
      <c r="W1116" s="5"/>
      <c r="X1116" s="27" t="b">
        <f>IF($G1116&lt;&gt;0,SUMIF(куб!$G:$G,$G1116,куб!N:N),IF($E1116&lt;&gt;0,SUMIF(куб!$E:$E,$E1116,куб!N:N),IF($D1116&lt;&gt;0,SUMIF(куб!$D:$D,$D1116,куб!N:N),IF($C1116&lt;&gt;0,SUMIF(куб!$C:$C,$C1116,куб!N:N),IF($B1116&lt;&gt;0,SUMIF(куб!$B:$B,$B1116,куб!N:N))))))</f>
        <v>0</v>
      </c>
      <c r="Y1116" s="27" t="b">
        <f>IF($G1116&lt;&gt;0,SUMIF(куб!$G:$G,$G1116,куб!O:O),IF($E1116&lt;&gt;0,SUMIF(куб!$E:$E,$E1116,куб!O:O),IF($D1116&lt;&gt;0,SUMIF(куб!$D:$D,$D1116,куб!O:O),IF($C1116&lt;&gt;0,SUMIF(куб!$C:$C,$C1116,куб!O:O),IF($B1116&lt;&gt;0,SUMIF(куб!$B:$B,$B1116,куб!O:O))))))</f>
        <v>0</v>
      </c>
      <c r="Z1116" s="13" t="str">
        <f t="shared" si="351"/>
        <v>-</v>
      </c>
      <c r="AA1116" s="5"/>
      <c r="AB1116" s="33" t="str">
        <f t="shared" si="352"/>
        <v/>
      </c>
      <c r="AC1116" s="33" t="str">
        <f t="shared" si="353"/>
        <v/>
      </c>
      <c r="AD1116" s="15" t="str">
        <f t="shared" si="354"/>
        <v xml:space="preserve"> </v>
      </c>
      <c r="AE1116" s="5"/>
      <c r="AF1116" s="27" t="b">
        <f>IF($G1116&lt;&gt;0,SUMIF(куб!$G:$G,$G1116,куб!R:R),IF($E1116&lt;&gt;0,SUMIF(куб!$E:$E,$E1116,куб!R:R),IF($D1116&lt;&gt;0,SUMIF(куб!$D:$D,$D1116,куб!R:R),IF($C1116&lt;&gt;0,SUMIF(куб!$C:$C,$C1116,куб!R:R),IF($B1116&lt;&gt;0,SUMIF(куб!$B:$B,$B1116,куб!R:R))))))</f>
        <v>0</v>
      </c>
      <c r="AG1116" s="27" t="b">
        <f>IF($G1116&lt;&gt;0,SUMIF(куб!$G:$G,$G1116,куб!S:S),IF($E1116&lt;&gt;0,SUMIF(куб!$E:$E,$E1116,куб!S:S),IF($D1116&lt;&gt;0,SUMIF(куб!$D:$D,$D1116,куб!S:S),IF($C1116&lt;&gt;0,SUMIF(куб!$C:$C,$C1116,куб!S:S),IF($B1116&lt;&gt;0,SUMIF(куб!$B:$B,$B1116,куб!S:S))))))</f>
        <v>0</v>
      </c>
      <c r="AH1116" s="16" t="str">
        <f t="shared" si="355"/>
        <v>-</v>
      </c>
      <c r="AI1116" s="8"/>
      <c r="AJ1116" s="27" t="b">
        <f>IF($G1116&lt;&gt;0,SUMIF(куб!$G:$G,$G1116,куб!T:T),IF($E1116&lt;&gt;0,SUMIF(куб!$E:$E,$E1116,куб!T:T),IF($D1116&lt;&gt;0,SUMIF(куб!$D:$D,$D1116,куб!T:T),IF($C1116&lt;&gt;0,SUMIF(куб!$C:$C,$C1116,куб!T:T),IF($B1116&lt;&gt;0,SUMIF(куб!$B:$B,$B1116,куб!T:T))))))</f>
        <v>0</v>
      </c>
      <c r="AK1116" s="27" t="b">
        <f>IF($G1116&lt;&gt;0,SUMIF(куб!$G:$G,$G1116,куб!U:U),IF($E1116&lt;&gt;0,SUMIF(куб!$E:$E,$E1116,куб!U:U),IF($D1116&lt;&gt;0,SUMIF(куб!$D:$D,$D1116,куб!U:U),IF($C1116&lt;&gt;0,SUMIF(куб!$C:$C,$C1116,куб!U:U),IF($B1116&lt;&gt;0,SUMIF(куб!$B:$B,$B1116,куб!U:U))))))</f>
        <v>0</v>
      </c>
      <c r="AL1116" s="16" t="str">
        <f t="shared" si="356"/>
        <v>-</v>
      </c>
      <c r="AM1116" s="8"/>
      <c r="AN1116" s="17" t="str">
        <f t="shared" si="357"/>
        <v xml:space="preserve"> </v>
      </c>
      <c r="AO1116" s="17" t="str">
        <f t="shared" si="358"/>
        <v xml:space="preserve"> </v>
      </c>
      <c r="AP1116" s="16" t="str">
        <f t="shared" si="359"/>
        <v>-</v>
      </c>
      <c r="AQ1116" s="8"/>
      <c r="AR1116" s="17" t="str">
        <f t="shared" si="360"/>
        <v>-</v>
      </c>
      <c r="AS1116" s="17" t="str">
        <f t="shared" si="361"/>
        <v>-</v>
      </c>
      <c r="AT1116" s="13" t="str">
        <f t="shared" si="362"/>
        <v>-</v>
      </c>
      <c r="AU1116" s="8"/>
    </row>
    <row r="1117" spans="8:47" x14ac:dyDescent="0.25">
      <c r="H1117" s="27">
        <f>IF($G1117&lt;&gt;0,SUMIF(куб!$G:$G,$G1117,куб!H:H),IF($E1117&lt;&gt;0,SUMIF(куб!$E:$E,$E1117,куб!H:H),IF($D1117&lt;&gt;0,SUMIF(куб!$D:$D,$D1117,куб!H:H),IF($C1117&lt;&gt;0,SUMIF(куб!$C:$C,$C1117,куб!H:H),IF($B1117&lt;&gt;0,SUMIF(куб!$B:$B,$B1117,куб!H:H),IF($G1117&lt;&gt;0,SUMIF(куб!$A:$A,$G1117,куб!H:H),SUMIF(куб!$A:$A,$G1117,куб!H:H)))))))</f>
        <v>0</v>
      </c>
      <c r="I1117" s="27">
        <f>IF($G1117&lt;&gt;0,SUMIF(куб!$G:$G,$G1117,куб!I:I),IF($E1117&lt;&gt;0,SUMIF(куб!$E:$E,$E1117,куб!I:I),IF($D1117&lt;&gt;0,SUMIF(куб!$D:$D,$D1117,куб!I:I),IF($C1117&lt;&gt;0,SUMIF(куб!$C:$C,$C1117,куб!I:I),IF($B1117&lt;&gt;0,SUMIF(куб!$B:$B,$B1117,куб!I:I),IF($G1117&lt;&gt;0,SUMIF(куб!$A:$A,$G1117,куб!I:I),SUMIF(куб!$A:$A,$G1117,куб!I:I)))))))</f>
        <v>0</v>
      </c>
      <c r="J1117" s="19" t="str">
        <f t="shared" si="345"/>
        <v>-</v>
      </c>
      <c r="K1117" s="8"/>
      <c r="L1117" s="17">
        <f t="shared" si="346"/>
        <v>0</v>
      </c>
      <c r="M1117" s="17">
        <f t="shared" si="347"/>
        <v>0</v>
      </c>
      <c r="N1117" s="12">
        <f t="shared" si="348"/>
        <v>0</v>
      </c>
      <c r="O1117" s="5"/>
      <c r="P1117" s="27" t="b">
        <f>IF($G1117&lt;&gt;0,SUMIF(куб!$G:$G,$G1117,куб!J:J),IF($E1117&lt;&gt;0,SUMIF(куб!$E:$E,$E1117,куб!J:J),IF($D1117&lt;&gt;0,SUMIF(куб!$D:$D,$D1117,куб!J:J),IF($C1117&lt;&gt;0,SUMIF(куб!$C:$C,$C1117,куб!J:J),IF($B1117&lt;&gt;0,SUMIF(куб!$B:$B,$B1117,куб!J:J))))))</f>
        <v>0</v>
      </c>
      <c r="Q1117" s="27" t="b">
        <f>IF($G1117&lt;&gt;0,SUMIF(куб!$G:$G,$G1117,куб!K:K),IF($E1117&lt;&gt;0,SUMIF(куб!$E:$E,$E1117,куб!K:K),IF($D1117&lt;&gt;0,SUMIF(куб!$D:$D,$D1117,куб!K:K),IF($C1117&lt;&gt;0,SUMIF(куб!$C:$C,$C1117,куб!K:K),IF($B1117&lt;&gt;0,SUMIF(куб!$B:$B,$B1117,куб!K:K))))))</f>
        <v>0</v>
      </c>
      <c r="R1117" s="13" t="str">
        <f t="shared" si="349"/>
        <v>-</v>
      </c>
      <c r="S1117" s="5"/>
      <c r="T1117" s="27" t="b">
        <f>IF($G1117&lt;&gt;0,SUMIF(куб!$G:$G,$G1117,куб!L:L),IF($E1117&lt;&gt;0,SUMIF(куб!$E:$E,$E1117,куб!L:L),IF($D1117&lt;&gt;0,SUMIF(куб!$D:$D,$D1117,куб!L:L),IF($C1117&lt;&gt;0,SUMIF(куб!$C:$C,$C1117,куб!L:L),IF($B1117&lt;&gt;0,SUMIF(куб!$B:$B,$B1117,куб!L:L))))))</f>
        <v>0</v>
      </c>
      <c r="U1117" s="27" t="b">
        <f>IF($G1117&lt;&gt;0,SUMIF(куб!$G:$G,$G1117,куб!M:M),IF($E1117&lt;&gt;0,SUMIF(куб!$E:$E,$E1117,куб!M:M),IF($D1117&lt;&gt;0,SUMIF(куб!$D:$D,$D1117,куб!M:M),IF($C1117&lt;&gt;0,SUMIF(куб!$C:$C,$C1117,куб!M:M),IF($B1117&lt;&gt;0,SUMIF(куб!$B:$B,$B1117,куб!M:M))))))</f>
        <v>0</v>
      </c>
      <c r="V1117" s="13" t="str">
        <f t="shared" si="350"/>
        <v>-</v>
      </c>
      <c r="W1117" s="5"/>
      <c r="X1117" s="27" t="b">
        <f>IF($G1117&lt;&gt;0,SUMIF(куб!$G:$G,$G1117,куб!N:N),IF($E1117&lt;&gt;0,SUMIF(куб!$E:$E,$E1117,куб!N:N),IF($D1117&lt;&gt;0,SUMIF(куб!$D:$D,$D1117,куб!N:N),IF($C1117&lt;&gt;0,SUMIF(куб!$C:$C,$C1117,куб!N:N),IF($B1117&lt;&gt;0,SUMIF(куб!$B:$B,$B1117,куб!N:N))))))</f>
        <v>0</v>
      </c>
      <c r="Y1117" s="27" t="b">
        <f>IF($G1117&lt;&gt;0,SUMIF(куб!$G:$G,$G1117,куб!O:O),IF($E1117&lt;&gt;0,SUMIF(куб!$E:$E,$E1117,куб!O:O),IF($D1117&lt;&gt;0,SUMIF(куб!$D:$D,$D1117,куб!O:O),IF($C1117&lt;&gt;0,SUMIF(куб!$C:$C,$C1117,куб!O:O),IF($B1117&lt;&gt;0,SUMIF(куб!$B:$B,$B1117,куб!O:O))))))</f>
        <v>0</v>
      </c>
      <c r="Z1117" s="13" t="str">
        <f t="shared" si="351"/>
        <v>-</v>
      </c>
      <c r="AA1117" s="5"/>
      <c r="AB1117" s="33" t="str">
        <f t="shared" si="352"/>
        <v/>
      </c>
      <c r="AC1117" s="33" t="str">
        <f t="shared" si="353"/>
        <v/>
      </c>
      <c r="AD1117" s="15" t="str">
        <f t="shared" si="354"/>
        <v xml:space="preserve"> </v>
      </c>
      <c r="AE1117" s="5"/>
      <c r="AF1117" s="27" t="b">
        <f>IF($G1117&lt;&gt;0,SUMIF(куб!$G:$G,$G1117,куб!R:R),IF($E1117&lt;&gt;0,SUMIF(куб!$E:$E,$E1117,куб!R:R),IF($D1117&lt;&gt;0,SUMIF(куб!$D:$D,$D1117,куб!R:R),IF($C1117&lt;&gt;0,SUMIF(куб!$C:$C,$C1117,куб!R:R),IF($B1117&lt;&gt;0,SUMIF(куб!$B:$B,$B1117,куб!R:R))))))</f>
        <v>0</v>
      </c>
      <c r="AG1117" s="27" t="b">
        <f>IF($G1117&lt;&gt;0,SUMIF(куб!$G:$G,$G1117,куб!S:S),IF($E1117&lt;&gt;0,SUMIF(куб!$E:$E,$E1117,куб!S:S),IF($D1117&lt;&gt;0,SUMIF(куб!$D:$D,$D1117,куб!S:S),IF($C1117&lt;&gt;0,SUMIF(куб!$C:$C,$C1117,куб!S:S),IF($B1117&lt;&gt;0,SUMIF(куб!$B:$B,$B1117,куб!S:S))))))</f>
        <v>0</v>
      </c>
      <c r="AH1117" s="16" t="str">
        <f t="shared" si="355"/>
        <v>-</v>
      </c>
      <c r="AI1117" s="8"/>
      <c r="AJ1117" s="27" t="b">
        <f>IF($G1117&lt;&gt;0,SUMIF(куб!$G:$G,$G1117,куб!T:T),IF($E1117&lt;&gt;0,SUMIF(куб!$E:$E,$E1117,куб!T:T),IF($D1117&lt;&gt;0,SUMIF(куб!$D:$D,$D1117,куб!T:T),IF($C1117&lt;&gt;0,SUMIF(куб!$C:$C,$C1117,куб!T:T),IF($B1117&lt;&gt;0,SUMIF(куб!$B:$B,$B1117,куб!T:T))))))</f>
        <v>0</v>
      </c>
      <c r="AK1117" s="27" t="b">
        <f>IF($G1117&lt;&gt;0,SUMIF(куб!$G:$G,$G1117,куб!U:U),IF($E1117&lt;&gt;0,SUMIF(куб!$E:$E,$E1117,куб!U:U),IF($D1117&lt;&gt;0,SUMIF(куб!$D:$D,$D1117,куб!U:U),IF($C1117&lt;&gt;0,SUMIF(куб!$C:$C,$C1117,куб!U:U),IF($B1117&lt;&gt;0,SUMIF(куб!$B:$B,$B1117,куб!U:U))))))</f>
        <v>0</v>
      </c>
      <c r="AL1117" s="16" t="str">
        <f t="shared" si="356"/>
        <v>-</v>
      </c>
      <c r="AM1117" s="8"/>
      <c r="AN1117" s="17" t="str">
        <f t="shared" si="357"/>
        <v xml:space="preserve"> </v>
      </c>
      <c r="AO1117" s="17" t="str">
        <f t="shared" si="358"/>
        <v xml:space="preserve"> </v>
      </c>
      <c r="AP1117" s="16" t="str">
        <f t="shared" si="359"/>
        <v>-</v>
      </c>
      <c r="AQ1117" s="8"/>
      <c r="AR1117" s="17" t="str">
        <f t="shared" si="360"/>
        <v>-</v>
      </c>
      <c r="AS1117" s="17" t="str">
        <f t="shared" si="361"/>
        <v>-</v>
      </c>
      <c r="AT1117" s="13" t="str">
        <f t="shared" si="362"/>
        <v>-</v>
      </c>
      <c r="AU1117" s="8"/>
    </row>
    <row r="1118" spans="8:47" x14ac:dyDescent="0.25">
      <c r="H1118" s="27">
        <f>IF($G1118&lt;&gt;0,SUMIF(куб!$G:$G,$G1118,куб!H:H),IF($E1118&lt;&gt;0,SUMIF(куб!$E:$E,$E1118,куб!H:H),IF($D1118&lt;&gt;0,SUMIF(куб!$D:$D,$D1118,куб!H:H),IF($C1118&lt;&gt;0,SUMIF(куб!$C:$C,$C1118,куб!H:H),IF($B1118&lt;&gt;0,SUMIF(куб!$B:$B,$B1118,куб!H:H),IF($G1118&lt;&gt;0,SUMIF(куб!$A:$A,$G1118,куб!H:H),SUMIF(куб!$A:$A,$G1118,куб!H:H)))))))</f>
        <v>0</v>
      </c>
      <c r="I1118" s="27">
        <f>IF($G1118&lt;&gt;0,SUMIF(куб!$G:$G,$G1118,куб!I:I),IF($E1118&lt;&gt;0,SUMIF(куб!$E:$E,$E1118,куб!I:I),IF($D1118&lt;&gt;0,SUMIF(куб!$D:$D,$D1118,куб!I:I),IF($C1118&lt;&gt;0,SUMIF(куб!$C:$C,$C1118,куб!I:I),IF($B1118&lt;&gt;0,SUMIF(куб!$B:$B,$B1118,куб!I:I),IF($G1118&lt;&gt;0,SUMIF(куб!$A:$A,$G1118,куб!I:I),SUMIF(куб!$A:$A,$G1118,куб!I:I)))))))</f>
        <v>0</v>
      </c>
      <c r="J1118" s="19" t="str">
        <f t="shared" si="345"/>
        <v>-</v>
      </c>
      <c r="K1118" s="8"/>
      <c r="L1118" s="17">
        <f t="shared" si="346"/>
        <v>0</v>
      </c>
      <c r="M1118" s="17">
        <f t="shared" si="347"/>
        <v>0</v>
      </c>
      <c r="N1118" s="12">
        <f t="shared" si="348"/>
        <v>0</v>
      </c>
      <c r="O1118" s="5"/>
      <c r="P1118" s="27" t="b">
        <f>IF($G1118&lt;&gt;0,SUMIF(куб!$G:$G,$G1118,куб!J:J),IF($E1118&lt;&gt;0,SUMIF(куб!$E:$E,$E1118,куб!J:J),IF($D1118&lt;&gt;0,SUMIF(куб!$D:$D,$D1118,куб!J:J),IF($C1118&lt;&gt;0,SUMIF(куб!$C:$C,$C1118,куб!J:J),IF($B1118&lt;&gt;0,SUMIF(куб!$B:$B,$B1118,куб!J:J))))))</f>
        <v>0</v>
      </c>
      <c r="Q1118" s="27" t="b">
        <f>IF($G1118&lt;&gt;0,SUMIF(куб!$G:$G,$G1118,куб!K:K),IF($E1118&lt;&gt;0,SUMIF(куб!$E:$E,$E1118,куб!K:K),IF($D1118&lt;&gt;0,SUMIF(куб!$D:$D,$D1118,куб!K:K),IF($C1118&lt;&gt;0,SUMIF(куб!$C:$C,$C1118,куб!K:K),IF($B1118&lt;&gt;0,SUMIF(куб!$B:$B,$B1118,куб!K:K))))))</f>
        <v>0</v>
      </c>
      <c r="R1118" s="13" t="str">
        <f t="shared" si="349"/>
        <v>-</v>
      </c>
      <c r="S1118" s="5"/>
      <c r="T1118" s="27" t="b">
        <f>IF($G1118&lt;&gt;0,SUMIF(куб!$G:$G,$G1118,куб!L:L),IF($E1118&lt;&gt;0,SUMIF(куб!$E:$E,$E1118,куб!L:L),IF($D1118&lt;&gt;0,SUMIF(куб!$D:$D,$D1118,куб!L:L),IF($C1118&lt;&gt;0,SUMIF(куб!$C:$C,$C1118,куб!L:L),IF($B1118&lt;&gt;0,SUMIF(куб!$B:$B,$B1118,куб!L:L))))))</f>
        <v>0</v>
      </c>
      <c r="U1118" s="27" t="b">
        <f>IF($G1118&lt;&gt;0,SUMIF(куб!$G:$G,$G1118,куб!M:M),IF($E1118&lt;&gt;0,SUMIF(куб!$E:$E,$E1118,куб!M:M),IF($D1118&lt;&gt;0,SUMIF(куб!$D:$D,$D1118,куб!M:M),IF($C1118&lt;&gt;0,SUMIF(куб!$C:$C,$C1118,куб!M:M),IF($B1118&lt;&gt;0,SUMIF(куб!$B:$B,$B1118,куб!M:M))))))</f>
        <v>0</v>
      </c>
      <c r="V1118" s="13" t="str">
        <f t="shared" si="350"/>
        <v>-</v>
      </c>
      <c r="W1118" s="5"/>
      <c r="X1118" s="27" t="b">
        <f>IF($G1118&lt;&gt;0,SUMIF(куб!$G:$G,$G1118,куб!N:N),IF($E1118&lt;&gt;0,SUMIF(куб!$E:$E,$E1118,куб!N:N),IF($D1118&lt;&gt;0,SUMIF(куб!$D:$D,$D1118,куб!N:N),IF($C1118&lt;&gt;0,SUMIF(куб!$C:$C,$C1118,куб!N:N),IF($B1118&lt;&gt;0,SUMIF(куб!$B:$B,$B1118,куб!N:N))))))</f>
        <v>0</v>
      </c>
      <c r="Y1118" s="27" t="b">
        <f>IF($G1118&lt;&gt;0,SUMIF(куб!$G:$G,$G1118,куб!O:O),IF($E1118&lt;&gt;0,SUMIF(куб!$E:$E,$E1118,куб!O:O),IF($D1118&lt;&gt;0,SUMIF(куб!$D:$D,$D1118,куб!O:O),IF($C1118&lt;&gt;0,SUMIF(куб!$C:$C,$C1118,куб!O:O),IF($B1118&lt;&gt;0,SUMIF(куб!$B:$B,$B1118,куб!O:O))))))</f>
        <v>0</v>
      </c>
      <c r="Z1118" s="13" t="str">
        <f t="shared" si="351"/>
        <v>-</v>
      </c>
      <c r="AA1118" s="5"/>
      <c r="AB1118" s="33" t="str">
        <f t="shared" si="352"/>
        <v/>
      </c>
      <c r="AC1118" s="33" t="str">
        <f t="shared" si="353"/>
        <v/>
      </c>
      <c r="AD1118" s="15" t="str">
        <f t="shared" si="354"/>
        <v xml:space="preserve"> </v>
      </c>
      <c r="AE1118" s="5"/>
      <c r="AF1118" s="27" t="b">
        <f>IF($G1118&lt;&gt;0,SUMIF(куб!$G:$G,$G1118,куб!R:R),IF($E1118&lt;&gt;0,SUMIF(куб!$E:$E,$E1118,куб!R:R),IF($D1118&lt;&gt;0,SUMIF(куб!$D:$D,$D1118,куб!R:R),IF($C1118&lt;&gt;0,SUMIF(куб!$C:$C,$C1118,куб!R:R),IF($B1118&lt;&gt;0,SUMIF(куб!$B:$B,$B1118,куб!R:R))))))</f>
        <v>0</v>
      </c>
      <c r="AG1118" s="27" t="b">
        <f>IF($G1118&lt;&gt;0,SUMIF(куб!$G:$G,$G1118,куб!S:S),IF($E1118&lt;&gt;0,SUMIF(куб!$E:$E,$E1118,куб!S:S),IF($D1118&lt;&gt;0,SUMIF(куб!$D:$D,$D1118,куб!S:S),IF($C1118&lt;&gt;0,SUMIF(куб!$C:$C,$C1118,куб!S:S),IF($B1118&lt;&gt;0,SUMIF(куб!$B:$B,$B1118,куб!S:S))))))</f>
        <v>0</v>
      </c>
      <c r="AH1118" s="16" t="str">
        <f t="shared" si="355"/>
        <v>-</v>
      </c>
      <c r="AI1118" s="8"/>
      <c r="AJ1118" s="27" t="b">
        <f>IF($G1118&lt;&gt;0,SUMIF(куб!$G:$G,$G1118,куб!T:T),IF($E1118&lt;&gt;0,SUMIF(куб!$E:$E,$E1118,куб!T:T),IF($D1118&lt;&gt;0,SUMIF(куб!$D:$D,$D1118,куб!T:T),IF($C1118&lt;&gt;0,SUMIF(куб!$C:$C,$C1118,куб!T:T),IF($B1118&lt;&gt;0,SUMIF(куб!$B:$B,$B1118,куб!T:T))))))</f>
        <v>0</v>
      </c>
      <c r="AK1118" s="27" t="b">
        <f>IF($G1118&lt;&gt;0,SUMIF(куб!$G:$G,$G1118,куб!U:U),IF($E1118&lt;&gt;0,SUMIF(куб!$E:$E,$E1118,куб!U:U),IF($D1118&lt;&gt;0,SUMIF(куб!$D:$D,$D1118,куб!U:U),IF($C1118&lt;&gt;0,SUMIF(куб!$C:$C,$C1118,куб!U:U),IF($B1118&lt;&gt;0,SUMIF(куб!$B:$B,$B1118,куб!U:U))))))</f>
        <v>0</v>
      </c>
      <c r="AL1118" s="16" t="str">
        <f t="shared" si="356"/>
        <v>-</v>
      </c>
      <c r="AM1118" s="8"/>
      <c r="AN1118" s="17" t="str">
        <f t="shared" si="357"/>
        <v xml:space="preserve"> </v>
      </c>
      <c r="AO1118" s="17" t="str">
        <f t="shared" si="358"/>
        <v xml:space="preserve"> </v>
      </c>
      <c r="AP1118" s="16" t="str">
        <f t="shared" si="359"/>
        <v>-</v>
      </c>
      <c r="AQ1118" s="8"/>
      <c r="AR1118" s="17" t="str">
        <f t="shared" si="360"/>
        <v>-</v>
      </c>
      <c r="AS1118" s="17" t="str">
        <f t="shared" si="361"/>
        <v>-</v>
      </c>
      <c r="AT1118" s="13" t="str">
        <f t="shared" si="362"/>
        <v>-</v>
      </c>
      <c r="AU1118" s="8"/>
    </row>
    <row r="1119" spans="8:47" x14ac:dyDescent="0.25">
      <c r="H1119" s="27">
        <f>IF($G1119&lt;&gt;0,SUMIF(куб!$G:$G,$G1119,куб!H:H),IF($E1119&lt;&gt;0,SUMIF(куб!$E:$E,$E1119,куб!H:H),IF($D1119&lt;&gt;0,SUMIF(куб!$D:$D,$D1119,куб!H:H),IF($C1119&lt;&gt;0,SUMIF(куб!$C:$C,$C1119,куб!H:H),IF($B1119&lt;&gt;0,SUMIF(куб!$B:$B,$B1119,куб!H:H),IF($G1119&lt;&gt;0,SUMIF(куб!$A:$A,$G1119,куб!H:H),SUMIF(куб!$A:$A,$G1119,куб!H:H)))))))</f>
        <v>0</v>
      </c>
      <c r="I1119" s="27">
        <f>IF($G1119&lt;&gt;0,SUMIF(куб!$G:$G,$G1119,куб!I:I),IF($E1119&lt;&gt;0,SUMIF(куб!$E:$E,$E1119,куб!I:I),IF($D1119&lt;&gt;0,SUMIF(куб!$D:$D,$D1119,куб!I:I),IF($C1119&lt;&gt;0,SUMIF(куб!$C:$C,$C1119,куб!I:I),IF($B1119&lt;&gt;0,SUMIF(куб!$B:$B,$B1119,куб!I:I),IF($G1119&lt;&gt;0,SUMIF(куб!$A:$A,$G1119,куб!I:I),SUMIF(куб!$A:$A,$G1119,куб!I:I)))))))</f>
        <v>0</v>
      </c>
      <c r="J1119" s="19" t="str">
        <f t="shared" si="345"/>
        <v>-</v>
      </c>
      <c r="K1119" s="8"/>
      <c r="L1119" s="17">
        <f t="shared" si="346"/>
        <v>0</v>
      </c>
      <c r="M1119" s="17">
        <f t="shared" si="347"/>
        <v>0</v>
      </c>
      <c r="N1119" s="12">
        <f t="shared" si="348"/>
        <v>0</v>
      </c>
      <c r="O1119" s="5"/>
      <c r="P1119" s="27" t="b">
        <f>IF($G1119&lt;&gt;0,SUMIF(куб!$G:$G,$G1119,куб!J:J),IF($E1119&lt;&gt;0,SUMIF(куб!$E:$E,$E1119,куб!J:J),IF($D1119&lt;&gt;0,SUMIF(куб!$D:$D,$D1119,куб!J:J),IF($C1119&lt;&gt;0,SUMIF(куб!$C:$C,$C1119,куб!J:J),IF($B1119&lt;&gt;0,SUMIF(куб!$B:$B,$B1119,куб!J:J))))))</f>
        <v>0</v>
      </c>
      <c r="Q1119" s="27" t="b">
        <f>IF($G1119&lt;&gt;0,SUMIF(куб!$G:$G,$G1119,куб!K:K),IF($E1119&lt;&gt;0,SUMIF(куб!$E:$E,$E1119,куб!K:K),IF($D1119&lt;&gt;0,SUMIF(куб!$D:$D,$D1119,куб!K:K),IF($C1119&lt;&gt;0,SUMIF(куб!$C:$C,$C1119,куб!K:K),IF($B1119&lt;&gt;0,SUMIF(куб!$B:$B,$B1119,куб!K:K))))))</f>
        <v>0</v>
      </c>
      <c r="R1119" s="13" t="str">
        <f t="shared" si="349"/>
        <v>-</v>
      </c>
      <c r="S1119" s="5"/>
      <c r="T1119" s="27" t="b">
        <f>IF($G1119&lt;&gt;0,SUMIF(куб!$G:$G,$G1119,куб!L:L),IF($E1119&lt;&gt;0,SUMIF(куб!$E:$E,$E1119,куб!L:L),IF($D1119&lt;&gt;0,SUMIF(куб!$D:$D,$D1119,куб!L:L),IF($C1119&lt;&gt;0,SUMIF(куб!$C:$C,$C1119,куб!L:L),IF($B1119&lt;&gt;0,SUMIF(куб!$B:$B,$B1119,куб!L:L))))))</f>
        <v>0</v>
      </c>
      <c r="U1119" s="27" t="b">
        <f>IF($G1119&lt;&gt;0,SUMIF(куб!$G:$G,$G1119,куб!M:M),IF($E1119&lt;&gt;0,SUMIF(куб!$E:$E,$E1119,куб!M:M),IF($D1119&lt;&gt;0,SUMIF(куб!$D:$D,$D1119,куб!M:M),IF($C1119&lt;&gt;0,SUMIF(куб!$C:$C,$C1119,куб!M:M),IF($B1119&lt;&gt;0,SUMIF(куб!$B:$B,$B1119,куб!M:M))))))</f>
        <v>0</v>
      </c>
      <c r="V1119" s="13" t="str">
        <f t="shared" si="350"/>
        <v>-</v>
      </c>
      <c r="W1119" s="5"/>
      <c r="X1119" s="27" t="b">
        <f>IF($G1119&lt;&gt;0,SUMIF(куб!$G:$G,$G1119,куб!N:N),IF($E1119&lt;&gt;0,SUMIF(куб!$E:$E,$E1119,куб!N:N),IF($D1119&lt;&gt;0,SUMIF(куб!$D:$D,$D1119,куб!N:N),IF($C1119&lt;&gt;0,SUMIF(куб!$C:$C,$C1119,куб!N:N),IF($B1119&lt;&gt;0,SUMIF(куб!$B:$B,$B1119,куб!N:N))))))</f>
        <v>0</v>
      </c>
      <c r="Y1119" s="27" t="b">
        <f>IF($G1119&lt;&gt;0,SUMIF(куб!$G:$G,$G1119,куб!O:O),IF($E1119&lt;&gt;0,SUMIF(куб!$E:$E,$E1119,куб!O:O),IF($D1119&lt;&gt;0,SUMIF(куб!$D:$D,$D1119,куб!O:O),IF($C1119&lt;&gt;0,SUMIF(куб!$C:$C,$C1119,куб!O:O),IF($B1119&lt;&gt;0,SUMIF(куб!$B:$B,$B1119,куб!O:O))))))</f>
        <v>0</v>
      </c>
      <c r="Z1119" s="13" t="str">
        <f t="shared" si="351"/>
        <v>-</v>
      </c>
      <c r="AA1119" s="5"/>
      <c r="AB1119" s="33" t="str">
        <f t="shared" si="352"/>
        <v/>
      </c>
      <c r="AC1119" s="33" t="str">
        <f t="shared" si="353"/>
        <v/>
      </c>
      <c r="AD1119" s="15" t="str">
        <f t="shared" si="354"/>
        <v xml:space="preserve"> </v>
      </c>
      <c r="AE1119" s="5"/>
      <c r="AF1119" s="27" t="b">
        <f>IF($G1119&lt;&gt;0,SUMIF(куб!$G:$G,$G1119,куб!R:R),IF($E1119&lt;&gt;0,SUMIF(куб!$E:$E,$E1119,куб!R:R),IF($D1119&lt;&gt;0,SUMIF(куб!$D:$D,$D1119,куб!R:R),IF($C1119&lt;&gt;0,SUMIF(куб!$C:$C,$C1119,куб!R:R),IF($B1119&lt;&gt;0,SUMIF(куб!$B:$B,$B1119,куб!R:R))))))</f>
        <v>0</v>
      </c>
      <c r="AG1119" s="27" t="b">
        <f>IF($G1119&lt;&gt;0,SUMIF(куб!$G:$G,$G1119,куб!S:S),IF($E1119&lt;&gt;0,SUMIF(куб!$E:$E,$E1119,куб!S:S),IF($D1119&lt;&gt;0,SUMIF(куб!$D:$D,$D1119,куб!S:S),IF($C1119&lt;&gt;0,SUMIF(куб!$C:$C,$C1119,куб!S:S),IF($B1119&lt;&gt;0,SUMIF(куб!$B:$B,$B1119,куб!S:S))))))</f>
        <v>0</v>
      </c>
      <c r="AH1119" s="16" t="str">
        <f t="shared" si="355"/>
        <v>-</v>
      </c>
      <c r="AI1119" s="8"/>
      <c r="AJ1119" s="27" t="b">
        <f>IF($G1119&lt;&gt;0,SUMIF(куб!$G:$G,$G1119,куб!T:T),IF($E1119&lt;&gt;0,SUMIF(куб!$E:$E,$E1119,куб!T:T),IF($D1119&lt;&gt;0,SUMIF(куб!$D:$D,$D1119,куб!T:T),IF($C1119&lt;&gt;0,SUMIF(куб!$C:$C,$C1119,куб!T:T),IF($B1119&lt;&gt;0,SUMIF(куб!$B:$B,$B1119,куб!T:T))))))</f>
        <v>0</v>
      </c>
      <c r="AK1119" s="27" t="b">
        <f>IF($G1119&lt;&gt;0,SUMIF(куб!$G:$G,$G1119,куб!U:U),IF($E1119&lt;&gt;0,SUMIF(куб!$E:$E,$E1119,куб!U:U),IF($D1119&lt;&gt;0,SUMIF(куб!$D:$D,$D1119,куб!U:U),IF($C1119&lt;&gt;0,SUMIF(куб!$C:$C,$C1119,куб!U:U),IF($B1119&lt;&gt;0,SUMIF(куб!$B:$B,$B1119,куб!U:U))))))</f>
        <v>0</v>
      </c>
      <c r="AL1119" s="16" t="str">
        <f t="shared" si="356"/>
        <v>-</v>
      </c>
      <c r="AM1119" s="8"/>
      <c r="AN1119" s="17" t="str">
        <f t="shared" si="357"/>
        <v xml:space="preserve"> </v>
      </c>
      <c r="AO1119" s="17" t="str">
        <f t="shared" si="358"/>
        <v xml:space="preserve"> </v>
      </c>
      <c r="AP1119" s="16" t="str">
        <f t="shared" si="359"/>
        <v>-</v>
      </c>
      <c r="AQ1119" s="8"/>
      <c r="AR1119" s="17" t="str">
        <f t="shared" si="360"/>
        <v>-</v>
      </c>
      <c r="AS1119" s="17" t="str">
        <f t="shared" si="361"/>
        <v>-</v>
      </c>
      <c r="AT1119" s="13" t="str">
        <f t="shared" si="362"/>
        <v>-</v>
      </c>
      <c r="AU1119" s="8"/>
    </row>
    <row r="1120" spans="8:47" x14ac:dyDescent="0.25">
      <c r="H1120" s="27">
        <f>IF($G1120&lt;&gt;0,SUMIF(куб!$G:$G,$G1120,куб!H:H),IF($E1120&lt;&gt;0,SUMIF(куб!$E:$E,$E1120,куб!H:H),IF($D1120&lt;&gt;0,SUMIF(куб!$D:$D,$D1120,куб!H:H),IF($C1120&lt;&gt;0,SUMIF(куб!$C:$C,$C1120,куб!H:H),IF($B1120&lt;&gt;0,SUMIF(куб!$B:$B,$B1120,куб!H:H),IF($G1120&lt;&gt;0,SUMIF(куб!$A:$A,$G1120,куб!H:H),SUMIF(куб!$A:$A,$G1120,куб!H:H)))))))</f>
        <v>0</v>
      </c>
      <c r="I1120" s="27">
        <f>IF($G1120&lt;&gt;0,SUMIF(куб!$G:$G,$G1120,куб!I:I),IF($E1120&lt;&gt;0,SUMIF(куб!$E:$E,$E1120,куб!I:I),IF($D1120&lt;&gt;0,SUMIF(куб!$D:$D,$D1120,куб!I:I),IF($C1120&lt;&gt;0,SUMIF(куб!$C:$C,$C1120,куб!I:I),IF($B1120&lt;&gt;0,SUMIF(куб!$B:$B,$B1120,куб!I:I),IF($G1120&lt;&gt;0,SUMIF(куб!$A:$A,$G1120,куб!I:I),SUMIF(куб!$A:$A,$G1120,куб!I:I)))))))</f>
        <v>0</v>
      </c>
      <c r="J1120" s="19" t="str">
        <f t="shared" si="345"/>
        <v>-</v>
      </c>
      <c r="K1120" s="8"/>
      <c r="L1120" s="17">
        <f t="shared" si="346"/>
        <v>0</v>
      </c>
      <c r="M1120" s="17">
        <f t="shared" si="347"/>
        <v>0</v>
      </c>
      <c r="N1120" s="12">
        <f t="shared" si="348"/>
        <v>0</v>
      </c>
      <c r="O1120" s="5"/>
      <c r="P1120" s="27" t="b">
        <f>IF($G1120&lt;&gt;0,SUMIF(куб!$G:$G,$G1120,куб!J:J),IF($E1120&lt;&gt;0,SUMIF(куб!$E:$E,$E1120,куб!J:J),IF($D1120&lt;&gt;0,SUMIF(куб!$D:$D,$D1120,куб!J:J),IF($C1120&lt;&gt;0,SUMIF(куб!$C:$C,$C1120,куб!J:J),IF($B1120&lt;&gt;0,SUMIF(куб!$B:$B,$B1120,куб!J:J))))))</f>
        <v>0</v>
      </c>
      <c r="Q1120" s="27" t="b">
        <f>IF($G1120&lt;&gt;0,SUMIF(куб!$G:$G,$G1120,куб!K:K),IF($E1120&lt;&gt;0,SUMIF(куб!$E:$E,$E1120,куб!K:K),IF($D1120&lt;&gt;0,SUMIF(куб!$D:$D,$D1120,куб!K:K),IF($C1120&lt;&gt;0,SUMIF(куб!$C:$C,$C1120,куб!K:K),IF($B1120&lt;&gt;0,SUMIF(куб!$B:$B,$B1120,куб!K:K))))))</f>
        <v>0</v>
      </c>
      <c r="R1120" s="13" t="str">
        <f t="shared" si="349"/>
        <v>-</v>
      </c>
      <c r="S1120" s="5"/>
      <c r="T1120" s="27" t="b">
        <f>IF($G1120&lt;&gt;0,SUMIF(куб!$G:$G,$G1120,куб!L:L),IF($E1120&lt;&gt;0,SUMIF(куб!$E:$E,$E1120,куб!L:L),IF($D1120&lt;&gt;0,SUMIF(куб!$D:$D,$D1120,куб!L:L),IF($C1120&lt;&gt;0,SUMIF(куб!$C:$C,$C1120,куб!L:L),IF($B1120&lt;&gt;0,SUMIF(куб!$B:$B,$B1120,куб!L:L))))))</f>
        <v>0</v>
      </c>
      <c r="U1120" s="27" t="b">
        <f>IF($G1120&lt;&gt;0,SUMIF(куб!$G:$G,$G1120,куб!M:M),IF($E1120&lt;&gt;0,SUMIF(куб!$E:$E,$E1120,куб!M:M),IF($D1120&lt;&gt;0,SUMIF(куб!$D:$D,$D1120,куб!M:M),IF($C1120&lt;&gt;0,SUMIF(куб!$C:$C,$C1120,куб!M:M),IF($B1120&lt;&gt;0,SUMIF(куб!$B:$B,$B1120,куб!M:M))))))</f>
        <v>0</v>
      </c>
      <c r="V1120" s="13" t="str">
        <f t="shared" si="350"/>
        <v>-</v>
      </c>
      <c r="W1120" s="5"/>
      <c r="X1120" s="27" t="b">
        <f>IF($G1120&lt;&gt;0,SUMIF(куб!$G:$G,$G1120,куб!N:N),IF($E1120&lt;&gt;0,SUMIF(куб!$E:$E,$E1120,куб!N:N),IF($D1120&lt;&gt;0,SUMIF(куб!$D:$D,$D1120,куб!N:N),IF($C1120&lt;&gt;0,SUMIF(куб!$C:$C,$C1120,куб!N:N),IF($B1120&lt;&gt;0,SUMIF(куб!$B:$B,$B1120,куб!N:N))))))</f>
        <v>0</v>
      </c>
      <c r="Y1120" s="27" t="b">
        <f>IF($G1120&lt;&gt;0,SUMIF(куб!$G:$G,$G1120,куб!O:O),IF($E1120&lt;&gt;0,SUMIF(куб!$E:$E,$E1120,куб!O:O),IF($D1120&lt;&gt;0,SUMIF(куб!$D:$D,$D1120,куб!O:O),IF($C1120&lt;&gt;0,SUMIF(куб!$C:$C,$C1120,куб!O:O),IF($B1120&lt;&gt;0,SUMIF(куб!$B:$B,$B1120,куб!O:O))))))</f>
        <v>0</v>
      </c>
      <c r="Z1120" s="13" t="str">
        <f t="shared" si="351"/>
        <v>-</v>
      </c>
      <c r="AA1120" s="5"/>
      <c r="AB1120" s="33" t="str">
        <f t="shared" si="352"/>
        <v/>
      </c>
      <c r="AC1120" s="33" t="str">
        <f t="shared" si="353"/>
        <v/>
      </c>
      <c r="AD1120" s="15" t="str">
        <f t="shared" si="354"/>
        <v xml:space="preserve"> </v>
      </c>
      <c r="AE1120" s="5"/>
      <c r="AF1120" s="27" t="b">
        <f>IF($G1120&lt;&gt;0,SUMIF(куб!$G:$G,$G1120,куб!R:R),IF($E1120&lt;&gt;0,SUMIF(куб!$E:$E,$E1120,куб!R:R),IF($D1120&lt;&gt;0,SUMIF(куб!$D:$D,$D1120,куб!R:R),IF($C1120&lt;&gt;0,SUMIF(куб!$C:$C,$C1120,куб!R:R),IF($B1120&lt;&gt;0,SUMIF(куб!$B:$B,$B1120,куб!R:R))))))</f>
        <v>0</v>
      </c>
      <c r="AG1120" s="27" t="b">
        <f>IF($G1120&lt;&gt;0,SUMIF(куб!$G:$G,$G1120,куб!S:S),IF($E1120&lt;&gt;0,SUMIF(куб!$E:$E,$E1120,куб!S:S),IF($D1120&lt;&gt;0,SUMIF(куб!$D:$D,$D1120,куб!S:S),IF($C1120&lt;&gt;0,SUMIF(куб!$C:$C,$C1120,куб!S:S),IF($B1120&lt;&gt;0,SUMIF(куб!$B:$B,$B1120,куб!S:S))))))</f>
        <v>0</v>
      </c>
      <c r="AH1120" s="16" t="str">
        <f t="shared" si="355"/>
        <v>-</v>
      </c>
      <c r="AI1120" s="8"/>
      <c r="AJ1120" s="27" t="b">
        <f>IF($G1120&lt;&gt;0,SUMIF(куб!$G:$G,$G1120,куб!T:T),IF($E1120&lt;&gt;0,SUMIF(куб!$E:$E,$E1120,куб!T:T),IF($D1120&lt;&gt;0,SUMIF(куб!$D:$D,$D1120,куб!T:T),IF($C1120&lt;&gt;0,SUMIF(куб!$C:$C,$C1120,куб!T:T),IF($B1120&lt;&gt;0,SUMIF(куб!$B:$B,$B1120,куб!T:T))))))</f>
        <v>0</v>
      </c>
      <c r="AK1120" s="27" t="b">
        <f>IF($G1120&lt;&gt;0,SUMIF(куб!$G:$G,$G1120,куб!U:U),IF($E1120&lt;&gt;0,SUMIF(куб!$E:$E,$E1120,куб!U:U),IF($D1120&lt;&gt;0,SUMIF(куб!$D:$D,$D1120,куб!U:U),IF($C1120&lt;&gt;0,SUMIF(куб!$C:$C,$C1120,куб!U:U),IF($B1120&lt;&gt;0,SUMIF(куб!$B:$B,$B1120,куб!U:U))))))</f>
        <v>0</v>
      </c>
      <c r="AL1120" s="16" t="str">
        <f t="shared" si="356"/>
        <v>-</v>
      </c>
      <c r="AM1120" s="8"/>
      <c r="AN1120" s="17" t="str">
        <f t="shared" si="357"/>
        <v xml:space="preserve"> </v>
      </c>
      <c r="AO1120" s="17" t="str">
        <f t="shared" si="358"/>
        <v xml:space="preserve"> </v>
      </c>
      <c r="AP1120" s="16" t="str">
        <f t="shared" si="359"/>
        <v>-</v>
      </c>
      <c r="AQ1120" s="8"/>
      <c r="AR1120" s="17" t="str">
        <f t="shared" si="360"/>
        <v>-</v>
      </c>
      <c r="AS1120" s="17" t="str">
        <f t="shared" si="361"/>
        <v>-</v>
      </c>
      <c r="AT1120" s="13" t="str">
        <f t="shared" si="362"/>
        <v>-</v>
      </c>
      <c r="AU1120" s="8"/>
    </row>
    <row r="1121" spans="8:47" x14ac:dyDescent="0.25">
      <c r="H1121" s="27">
        <f>IF($G1121&lt;&gt;0,SUMIF(куб!$G:$G,$G1121,куб!H:H),IF($E1121&lt;&gt;0,SUMIF(куб!$E:$E,$E1121,куб!H:H),IF($D1121&lt;&gt;0,SUMIF(куб!$D:$D,$D1121,куб!H:H),IF($C1121&lt;&gt;0,SUMIF(куб!$C:$C,$C1121,куб!H:H),IF($B1121&lt;&gt;0,SUMIF(куб!$B:$B,$B1121,куб!H:H),IF($G1121&lt;&gt;0,SUMIF(куб!$A:$A,$G1121,куб!H:H),SUMIF(куб!$A:$A,$G1121,куб!H:H)))))))</f>
        <v>0</v>
      </c>
      <c r="I1121" s="27">
        <f>IF($G1121&lt;&gt;0,SUMIF(куб!$G:$G,$G1121,куб!I:I),IF($E1121&lt;&gt;0,SUMIF(куб!$E:$E,$E1121,куб!I:I),IF($D1121&lt;&gt;0,SUMIF(куб!$D:$D,$D1121,куб!I:I),IF($C1121&lt;&gt;0,SUMIF(куб!$C:$C,$C1121,куб!I:I),IF($B1121&lt;&gt;0,SUMIF(куб!$B:$B,$B1121,куб!I:I),IF($G1121&lt;&gt;0,SUMIF(куб!$A:$A,$G1121,куб!I:I),SUMIF(куб!$A:$A,$G1121,куб!I:I)))))))</f>
        <v>0</v>
      </c>
      <c r="J1121" s="19" t="str">
        <f t="shared" si="345"/>
        <v>-</v>
      </c>
      <c r="K1121" s="8"/>
      <c r="L1121" s="17">
        <f t="shared" si="346"/>
        <v>0</v>
      </c>
      <c r="M1121" s="17">
        <f t="shared" si="347"/>
        <v>0</v>
      </c>
      <c r="N1121" s="12">
        <f t="shared" si="348"/>
        <v>0</v>
      </c>
      <c r="O1121" s="5"/>
      <c r="P1121" s="27" t="b">
        <f>IF($G1121&lt;&gt;0,SUMIF(куб!$G:$G,$G1121,куб!J:J),IF($E1121&lt;&gt;0,SUMIF(куб!$E:$E,$E1121,куб!J:J),IF($D1121&lt;&gt;0,SUMIF(куб!$D:$D,$D1121,куб!J:J),IF($C1121&lt;&gt;0,SUMIF(куб!$C:$C,$C1121,куб!J:J),IF($B1121&lt;&gt;0,SUMIF(куб!$B:$B,$B1121,куб!J:J))))))</f>
        <v>0</v>
      </c>
      <c r="Q1121" s="27" t="b">
        <f>IF($G1121&lt;&gt;0,SUMIF(куб!$G:$G,$G1121,куб!K:K),IF($E1121&lt;&gt;0,SUMIF(куб!$E:$E,$E1121,куб!K:K),IF($D1121&lt;&gt;0,SUMIF(куб!$D:$D,$D1121,куб!K:K),IF($C1121&lt;&gt;0,SUMIF(куб!$C:$C,$C1121,куб!K:K),IF($B1121&lt;&gt;0,SUMIF(куб!$B:$B,$B1121,куб!K:K))))))</f>
        <v>0</v>
      </c>
      <c r="R1121" s="13" t="str">
        <f t="shared" si="349"/>
        <v>-</v>
      </c>
      <c r="S1121" s="5"/>
      <c r="T1121" s="27" t="b">
        <f>IF($G1121&lt;&gt;0,SUMIF(куб!$G:$G,$G1121,куб!L:L),IF($E1121&lt;&gt;0,SUMIF(куб!$E:$E,$E1121,куб!L:L),IF($D1121&lt;&gt;0,SUMIF(куб!$D:$D,$D1121,куб!L:L),IF($C1121&lt;&gt;0,SUMIF(куб!$C:$C,$C1121,куб!L:L),IF($B1121&lt;&gt;0,SUMIF(куб!$B:$B,$B1121,куб!L:L))))))</f>
        <v>0</v>
      </c>
      <c r="U1121" s="27" t="b">
        <f>IF($G1121&lt;&gt;0,SUMIF(куб!$G:$G,$G1121,куб!M:M),IF($E1121&lt;&gt;0,SUMIF(куб!$E:$E,$E1121,куб!M:M),IF($D1121&lt;&gt;0,SUMIF(куб!$D:$D,$D1121,куб!M:M),IF($C1121&lt;&gt;0,SUMIF(куб!$C:$C,$C1121,куб!M:M),IF($B1121&lt;&gt;0,SUMIF(куб!$B:$B,$B1121,куб!M:M))))))</f>
        <v>0</v>
      </c>
      <c r="V1121" s="13" t="str">
        <f t="shared" si="350"/>
        <v>-</v>
      </c>
      <c r="W1121" s="5"/>
      <c r="X1121" s="27" t="b">
        <f>IF($G1121&lt;&gt;0,SUMIF(куб!$G:$G,$G1121,куб!N:N),IF($E1121&lt;&gt;0,SUMIF(куб!$E:$E,$E1121,куб!N:N),IF($D1121&lt;&gt;0,SUMIF(куб!$D:$D,$D1121,куб!N:N),IF($C1121&lt;&gt;0,SUMIF(куб!$C:$C,$C1121,куб!N:N),IF($B1121&lt;&gt;0,SUMIF(куб!$B:$B,$B1121,куб!N:N))))))</f>
        <v>0</v>
      </c>
      <c r="Y1121" s="27" t="b">
        <f>IF($G1121&lt;&gt;0,SUMIF(куб!$G:$G,$G1121,куб!O:O),IF($E1121&lt;&gt;0,SUMIF(куб!$E:$E,$E1121,куб!O:O),IF($D1121&lt;&gt;0,SUMIF(куб!$D:$D,$D1121,куб!O:O),IF($C1121&lt;&gt;0,SUMIF(куб!$C:$C,$C1121,куб!O:O),IF($B1121&lt;&gt;0,SUMIF(куб!$B:$B,$B1121,куб!O:O))))))</f>
        <v>0</v>
      </c>
      <c r="Z1121" s="13" t="str">
        <f t="shared" si="351"/>
        <v>-</v>
      </c>
      <c r="AA1121" s="5"/>
      <c r="AB1121" s="33" t="str">
        <f t="shared" si="352"/>
        <v/>
      </c>
      <c r="AC1121" s="33" t="str">
        <f t="shared" si="353"/>
        <v/>
      </c>
      <c r="AD1121" s="15" t="str">
        <f t="shared" si="354"/>
        <v xml:space="preserve"> </v>
      </c>
      <c r="AE1121" s="5"/>
      <c r="AF1121" s="27" t="b">
        <f>IF($G1121&lt;&gt;0,SUMIF(куб!$G:$G,$G1121,куб!R:R),IF($E1121&lt;&gt;0,SUMIF(куб!$E:$E,$E1121,куб!R:R),IF($D1121&lt;&gt;0,SUMIF(куб!$D:$D,$D1121,куб!R:R),IF($C1121&lt;&gt;0,SUMIF(куб!$C:$C,$C1121,куб!R:R),IF($B1121&lt;&gt;0,SUMIF(куб!$B:$B,$B1121,куб!R:R))))))</f>
        <v>0</v>
      </c>
      <c r="AG1121" s="27" t="b">
        <f>IF($G1121&lt;&gt;0,SUMIF(куб!$G:$G,$G1121,куб!S:S),IF($E1121&lt;&gt;0,SUMIF(куб!$E:$E,$E1121,куб!S:S),IF($D1121&lt;&gt;0,SUMIF(куб!$D:$D,$D1121,куб!S:S),IF($C1121&lt;&gt;0,SUMIF(куб!$C:$C,$C1121,куб!S:S),IF($B1121&lt;&gt;0,SUMIF(куб!$B:$B,$B1121,куб!S:S))))))</f>
        <v>0</v>
      </c>
      <c r="AH1121" s="16" t="str">
        <f t="shared" si="355"/>
        <v>-</v>
      </c>
      <c r="AI1121" s="8"/>
      <c r="AJ1121" s="27" t="b">
        <f>IF($G1121&lt;&gt;0,SUMIF(куб!$G:$G,$G1121,куб!T:T),IF($E1121&lt;&gt;0,SUMIF(куб!$E:$E,$E1121,куб!T:T),IF($D1121&lt;&gt;0,SUMIF(куб!$D:$D,$D1121,куб!T:T),IF($C1121&lt;&gt;0,SUMIF(куб!$C:$C,$C1121,куб!T:T),IF($B1121&lt;&gt;0,SUMIF(куб!$B:$B,$B1121,куб!T:T))))))</f>
        <v>0</v>
      </c>
      <c r="AK1121" s="27" t="b">
        <f>IF($G1121&lt;&gt;0,SUMIF(куб!$G:$G,$G1121,куб!U:U),IF($E1121&lt;&gt;0,SUMIF(куб!$E:$E,$E1121,куб!U:U),IF($D1121&lt;&gt;0,SUMIF(куб!$D:$D,$D1121,куб!U:U),IF($C1121&lt;&gt;0,SUMIF(куб!$C:$C,$C1121,куб!U:U),IF($B1121&lt;&gt;0,SUMIF(куб!$B:$B,$B1121,куб!U:U))))))</f>
        <v>0</v>
      </c>
      <c r="AL1121" s="16" t="str">
        <f t="shared" si="356"/>
        <v>-</v>
      </c>
      <c r="AM1121" s="8"/>
      <c r="AN1121" s="17" t="str">
        <f t="shared" si="357"/>
        <v xml:space="preserve"> </v>
      </c>
      <c r="AO1121" s="17" t="str">
        <f t="shared" si="358"/>
        <v xml:space="preserve"> </v>
      </c>
      <c r="AP1121" s="16" t="str">
        <f t="shared" si="359"/>
        <v>-</v>
      </c>
      <c r="AQ1121" s="8"/>
      <c r="AR1121" s="17" t="str">
        <f t="shared" si="360"/>
        <v>-</v>
      </c>
      <c r="AS1121" s="17" t="str">
        <f t="shared" si="361"/>
        <v>-</v>
      </c>
      <c r="AT1121" s="13" t="str">
        <f t="shared" si="362"/>
        <v>-</v>
      </c>
      <c r="AU1121" s="8"/>
    </row>
    <row r="1122" spans="8:47" x14ac:dyDescent="0.25">
      <c r="H1122" s="27">
        <f>IF($G1122&lt;&gt;0,SUMIF(куб!$G:$G,$G1122,куб!H:H),IF($E1122&lt;&gt;0,SUMIF(куб!$E:$E,$E1122,куб!H:H),IF($D1122&lt;&gt;0,SUMIF(куб!$D:$D,$D1122,куб!H:H),IF($C1122&lt;&gt;0,SUMIF(куб!$C:$C,$C1122,куб!H:H),IF($B1122&lt;&gt;0,SUMIF(куб!$B:$B,$B1122,куб!H:H),IF($G1122&lt;&gt;0,SUMIF(куб!$A:$A,$G1122,куб!H:H),SUMIF(куб!$A:$A,$G1122,куб!H:H)))))))</f>
        <v>0</v>
      </c>
      <c r="I1122" s="27">
        <f>IF($G1122&lt;&gt;0,SUMIF(куб!$G:$G,$G1122,куб!I:I),IF($E1122&lt;&gt;0,SUMIF(куб!$E:$E,$E1122,куб!I:I),IF($D1122&lt;&gt;0,SUMIF(куб!$D:$D,$D1122,куб!I:I),IF($C1122&lt;&gt;0,SUMIF(куб!$C:$C,$C1122,куб!I:I),IF($B1122&lt;&gt;0,SUMIF(куб!$B:$B,$B1122,куб!I:I),IF($G1122&lt;&gt;0,SUMIF(куб!$A:$A,$G1122,куб!I:I),SUMIF(куб!$A:$A,$G1122,куб!I:I)))))))</f>
        <v>0</v>
      </c>
      <c r="J1122" s="19" t="str">
        <f t="shared" si="345"/>
        <v>-</v>
      </c>
      <c r="K1122" s="8"/>
      <c r="L1122" s="17">
        <f t="shared" si="346"/>
        <v>0</v>
      </c>
      <c r="M1122" s="17">
        <f t="shared" si="347"/>
        <v>0</v>
      </c>
      <c r="N1122" s="12">
        <f t="shared" si="348"/>
        <v>0</v>
      </c>
      <c r="O1122" s="5"/>
      <c r="P1122" s="27" t="b">
        <f>IF($G1122&lt;&gt;0,SUMIF(куб!$G:$G,$G1122,куб!J:J),IF($E1122&lt;&gt;0,SUMIF(куб!$E:$E,$E1122,куб!J:J),IF($D1122&lt;&gt;0,SUMIF(куб!$D:$D,$D1122,куб!J:J),IF($C1122&lt;&gt;0,SUMIF(куб!$C:$C,$C1122,куб!J:J),IF($B1122&lt;&gt;0,SUMIF(куб!$B:$B,$B1122,куб!J:J))))))</f>
        <v>0</v>
      </c>
      <c r="Q1122" s="27" t="b">
        <f>IF($G1122&lt;&gt;0,SUMIF(куб!$G:$G,$G1122,куб!K:K),IF($E1122&lt;&gt;0,SUMIF(куб!$E:$E,$E1122,куб!K:K),IF($D1122&lt;&gt;0,SUMIF(куб!$D:$D,$D1122,куб!K:K),IF($C1122&lt;&gt;0,SUMIF(куб!$C:$C,$C1122,куб!K:K),IF($B1122&lt;&gt;0,SUMIF(куб!$B:$B,$B1122,куб!K:K))))))</f>
        <v>0</v>
      </c>
      <c r="R1122" s="13" t="str">
        <f t="shared" si="349"/>
        <v>-</v>
      </c>
      <c r="S1122" s="5"/>
      <c r="T1122" s="27" t="b">
        <f>IF($G1122&lt;&gt;0,SUMIF(куб!$G:$G,$G1122,куб!L:L),IF($E1122&lt;&gt;0,SUMIF(куб!$E:$E,$E1122,куб!L:L),IF($D1122&lt;&gt;0,SUMIF(куб!$D:$D,$D1122,куб!L:L),IF($C1122&lt;&gt;0,SUMIF(куб!$C:$C,$C1122,куб!L:L),IF($B1122&lt;&gt;0,SUMIF(куб!$B:$B,$B1122,куб!L:L))))))</f>
        <v>0</v>
      </c>
      <c r="U1122" s="27" t="b">
        <f>IF($G1122&lt;&gt;0,SUMIF(куб!$G:$G,$G1122,куб!M:M),IF($E1122&lt;&gt;0,SUMIF(куб!$E:$E,$E1122,куб!M:M),IF($D1122&lt;&gt;0,SUMIF(куб!$D:$D,$D1122,куб!M:M),IF($C1122&lt;&gt;0,SUMIF(куб!$C:$C,$C1122,куб!M:M),IF($B1122&lt;&gt;0,SUMIF(куб!$B:$B,$B1122,куб!M:M))))))</f>
        <v>0</v>
      </c>
      <c r="V1122" s="13" t="str">
        <f t="shared" si="350"/>
        <v>-</v>
      </c>
      <c r="W1122" s="5"/>
      <c r="X1122" s="27" t="b">
        <f>IF($G1122&lt;&gt;0,SUMIF(куб!$G:$G,$G1122,куб!N:N),IF($E1122&lt;&gt;0,SUMIF(куб!$E:$E,$E1122,куб!N:N),IF($D1122&lt;&gt;0,SUMIF(куб!$D:$D,$D1122,куб!N:N),IF($C1122&lt;&gt;0,SUMIF(куб!$C:$C,$C1122,куб!N:N),IF($B1122&lt;&gt;0,SUMIF(куб!$B:$B,$B1122,куб!N:N))))))</f>
        <v>0</v>
      </c>
      <c r="Y1122" s="27" t="b">
        <f>IF($G1122&lt;&gt;0,SUMIF(куб!$G:$G,$G1122,куб!O:O),IF($E1122&lt;&gt;0,SUMIF(куб!$E:$E,$E1122,куб!O:O),IF($D1122&lt;&gt;0,SUMIF(куб!$D:$D,$D1122,куб!O:O),IF($C1122&lt;&gt;0,SUMIF(куб!$C:$C,$C1122,куб!O:O),IF($B1122&lt;&gt;0,SUMIF(куб!$B:$B,$B1122,куб!O:O))))))</f>
        <v>0</v>
      </c>
      <c r="Z1122" s="13" t="str">
        <f t="shared" si="351"/>
        <v>-</v>
      </c>
      <c r="AA1122" s="5"/>
      <c r="AB1122" s="33" t="str">
        <f t="shared" si="352"/>
        <v/>
      </c>
      <c r="AC1122" s="33" t="str">
        <f t="shared" si="353"/>
        <v/>
      </c>
      <c r="AD1122" s="15" t="str">
        <f t="shared" si="354"/>
        <v xml:space="preserve"> </v>
      </c>
      <c r="AE1122" s="5"/>
      <c r="AF1122" s="27" t="b">
        <f>IF($G1122&lt;&gt;0,SUMIF(куб!$G:$G,$G1122,куб!R:R),IF($E1122&lt;&gt;0,SUMIF(куб!$E:$E,$E1122,куб!R:R),IF($D1122&lt;&gt;0,SUMIF(куб!$D:$D,$D1122,куб!R:R),IF($C1122&lt;&gt;0,SUMIF(куб!$C:$C,$C1122,куб!R:R),IF($B1122&lt;&gt;0,SUMIF(куб!$B:$B,$B1122,куб!R:R))))))</f>
        <v>0</v>
      </c>
      <c r="AG1122" s="27" t="b">
        <f>IF($G1122&lt;&gt;0,SUMIF(куб!$G:$G,$G1122,куб!S:S),IF($E1122&lt;&gt;0,SUMIF(куб!$E:$E,$E1122,куб!S:S),IF($D1122&lt;&gt;0,SUMIF(куб!$D:$D,$D1122,куб!S:S),IF($C1122&lt;&gt;0,SUMIF(куб!$C:$C,$C1122,куб!S:S),IF($B1122&lt;&gt;0,SUMIF(куб!$B:$B,$B1122,куб!S:S))))))</f>
        <v>0</v>
      </c>
      <c r="AH1122" s="16" t="str">
        <f t="shared" si="355"/>
        <v>-</v>
      </c>
      <c r="AI1122" s="8"/>
      <c r="AJ1122" s="27" t="b">
        <f>IF($G1122&lt;&gt;0,SUMIF(куб!$G:$G,$G1122,куб!T:T),IF($E1122&lt;&gt;0,SUMIF(куб!$E:$E,$E1122,куб!T:T),IF($D1122&lt;&gt;0,SUMIF(куб!$D:$D,$D1122,куб!T:T),IF($C1122&lt;&gt;0,SUMIF(куб!$C:$C,$C1122,куб!T:T),IF($B1122&lt;&gt;0,SUMIF(куб!$B:$B,$B1122,куб!T:T))))))</f>
        <v>0</v>
      </c>
      <c r="AK1122" s="27" t="b">
        <f>IF($G1122&lt;&gt;0,SUMIF(куб!$G:$G,$G1122,куб!U:U),IF($E1122&lt;&gt;0,SUMIF(куб!$E:$E,$E1122,куб!U:U),IF($D1122&lt;&gt;0,SUMIF(куб!$D:$D,$D1122,куб!U:U),IF($C1122&lt;&gt;0,SUMIF(куб!$C:$C,$C1122,куб!U:U),IF($B1122&lt;&gt;0,SUMIF(куб!$B:$B,$B1122,куб!U:U))))))</f>
        <v>0</v>
      </c>
      <c r="AL1122" s="16" t="str">
        <f t="shared" si="356"/>
        <v>-</v>
      </c>
      <c r="AM1122" s="8"/>
      <c r="AN1122" s="17" t="str">
        <f t="shared" si="357"/>
        <v xml:space="preserve"> </v>
      </c>
      <c r="AO1122" s="17" t="str">
        <f t="shared" si="358"/>
        <v xml:space="preserve"> </v>
      </c>
      <c r="AP1122" s="16" t="str">
        <f t="shared" si="359"/>
        <v>-</v>
      </c>
      <c r="AQ1122" s="8"/>
      <c r="AR1122" s="17" t="str">
        <f t="shared" si="360"/>
        <v>-</v>
      </c>
      <c r="AS1122" s="17" t="str">
        <f t="shared" si="361"/>
        <v>-</v>
      </c>
      <c r="AT1122" s="13" t="str">
        <f t="shared" si="362"/>
        <v>-</v>
      </c>
      <c r="AU1122" s="8"/>
    </row>
    <row r="1123" spans="8:47" x14ac:dyDescent="0.25">
      <c r="H1123" s="27">
        <f>IF($G1123&lt;&gt;0,SUMIF(куб!$G:$G,$G1123,куб!H:H),IF($E1123&lt;&gt;0,SUMIF(куб!$E:$E,$E1123,куб!H:H),IF($D1123&lt;&gt;0,SUMIF(куб!$D:$D,$D1123,куб!H:H),IF($C1123&lt;&gt;0,SUMIF(куб!$C:$C,$C1123,куб!H:H),IF($B1123&lt;&gt;0,SUMIF(куб!$B:$B,$B1123,куб!H:H),IF($G1123&lt;&gt;0,SUMIF(куб!$A:$A,$G1123,куб!H:H),SUMIF(куб!$A:$A,$G1123,куб!H:H)))))))</f>
        <v>0</v>
      </c>
      <c r="I1123" s="27">
        <f>IF($G1123&lt;&gt;0,SUMIF(куб!$G:$G,$G1123,куб!I:I),IF($E1123&lt;&gt;0,SUMIF(куб!$E:$E,$E1123,куб!I:I),IF($D1123&lt;&gt;0,SUMIF(куб!$D:$D,$D1123,куб!I:I),IF($C1123&lt;&gt;0,SUMIF(куб!$C:$C,$C1123,куб!I:I),IF($B1123&lt;&gt;0,SUMIF(куб!$B:$B,$B1123,куб!I:I),IF($G1123&lt;&gt;0,SUMIF(куб!$A:$A,$G1123,куб!I:I),SUMIF(куб!$A:$A,$G1123,куб!I:I)))))))</f>
        <v>0</v>
      </c>
      <c r="J1123" s="19" t="str">
        <f t="shared" si="345"/>
        <v>-</v>
      </c>
      <c r="K1123" s="8"/>
      <c r="L1123" s="17">
        <f t="shared" si="346"/>
        <v>0</v>
      </c>
      <c r="M1123" s="17">
        <f t="shared" si="347"/>
        <v>0</v>
      </c>
      <c r="N1123" s="12">
        <f t="shared" si="348"/>
        <v>0</v>
      </c>
      <c r="O1123" s="5"/>
      <c r="P1123" s="27" t="b">
        <f>IF($G1123&lt;&gt;0,SUMIF(куб!$G:$G,$G1123,куб!J:J),IF($E1123&lt;&gt;0,SUMIF(куб!$E:$E,$E1123,куб!J:J),IF($D1123&lt;&gt;0,SUMIF(куб!$D:$D,$D1123,куб!J:J),IF($C1123&lt;&gt;0,SUMIF(куб!$C:$C,$C1123,куб!J:J),IF($B1123&lt;&gt;0,SUMIF(куб!$B:$B,$B1123,куб!J:J))))))</f>
        <v>0</v>
      </c>
      <c r="Q1123" s="27" t="b">
        <f>IF($G1123&lt;&gt;0,SUMIF(куб!$G:$G,$G1123,куб!K:K),IF($E1123&lt;&gt;0,SUMIF(куб!$E:$E,$E1123,куб!K:K),IF($D1123&lt;&gt;0,SUMIF(куб!$D:$D,$D1123,куб!K:K),IF($C1123&lt;&gt;0,SUMIF(куб!$C:$C,$C1123,куб!K:K),IF($B1123&lt;&gt;0,SUMIF(куб!$B:$B,$B1123,куб!K:K))))))</f>
        <v>0</v>
      </c>
      <c r="R1123" s="13" t="str">
        <f t="shared" si="349"/>
        <v>-</v>
      </c>
      <c r="S1123" s="5"/>
      <c r="T1123" s="27" t="b">
        <f>IF($G1123&lt;&gt;0,SUMIF(куб!$G:$G,$G1123,куб!L:L),IF($E1123&lt;&gt;0,SUMIF(куб!$E:$E,$E1123,куб!L:L),IF($D1123&lt;&gt;0,SUMIF(куб!$D:$D,$D1123,куб!L:L),IF($C1123&lt;&gt;0,SUMIF(куб!$C:$C,$C1123,куб!L:L),IF($B1123&lt;&gt;0,SUMIF(куб!$B:$B,$B1123,куб!L:L))))))</f>
        <v>0</v>
      </c>
      <c r="U1123" s="27" t="b">
        <f>IF($G1123&lt;&gt;0,SUMIF(куб!$G:$G,$G1123,куб!M:M),IF($E1123&lt;&gt;0,SUMIF(куб!$E:$E,$E1123,куб!M:M),IF($D1123&lt;&gt;0,SUMIF(куб!$D:$D,$D1123,куб!M:M),IF($C1123&lt;&gt;0,SUMIF(куб!$C:$C,$C1123,куб!M:M),IF($B1123&lt;&gt;0,SUMIF(куб!$B:$B,$B1123,куб!M:M))))))</f>
        <v>0</v>
      </c>
      <c r="V1123" s="13" t="str">
        <f t="shared" si="350"/>
        <v>-</v>
      </c>
      <c r="W1123" s="5"/>
      <c r="X1123" s="27" t="b">
        <f>IF($G1123&lt;&gt;0,SUMIF(куб!$G:$G,$G1123,куб!N:N),IF($E1123&lt;&gt;0,SUMIF(куб!$E:$E,$E1123,куб!N:N),IF($D1123&lt;&gt;0,SUMIF(куб!$D:$D,$D1123,куб!N:N),IF($C1123&lt;&gt;0,SUMIF(куб!$C:$C,$C1123,куб!N:N),IF($B1123&lt;&gt;0,SUMIF(куб!$B:$B,$B1123,куб!N:N))))))</f>
        <v>0</v>
      </c>
      <c r="Y1123" s="27" t="b">
        <f>IF($G1123&lt;&gt;0,SUMIF(куб!$G:$G,$G1123,куб!O:O),IF($E1123&lt;&gt;0,SUMIF(куб!$E:$E,$E1123,куб!O:O),IF($D1123&lt;&gt;0,SUMIF(куб!$D:$D,$D1123,куб!O:O),IF($C1123&lt;&gt;0,SUMIF(куб!$C:$C,$C1123,куб!O:O),IF($B1123&lt;&gt;0,SUMIF(куб!$B:$B,$B1123,куб!O:O))))))</f>
        <v>0</v>
      </c>
      <c r="Z1123" s="13" t="str">
        <f t="shared" si="351"/>
        <v>-</v>
      </c>
      <c r="AA1123" s="5"/>
      <c r="AB1123" s="33" t="str">
        <f t="shared" si="352"/>
        <v/>
      </c>
      <c r="AC1123" s="33" t="str">
        <f t="shared" si="353"/>
        <v/>
      </c>
      <c r="AD1123" s="15" t="str">
        <f t="shared" si="354"/>
        <v xml:space="preserve"> </v>
      </c>
      <c r="AE1123" s="5"/>
      <c r="AF1123" s="27" t="b">
        <f>IF($G1123&lt;&gt;0,SUMIF(куб!$G:$G,$G1123,куб!R:R),IF($E1123&lt;&gt;0,SUMIF(куб!$E:$E,$E1123,куб!R:R),IF($D1123&lt;&gt;0,SUMIF(куб!$D:$D,$D1123,куб!R:R),IF($C1123&lt;&gt;0,SUMIF(куб!$C:$C,$C1123,куб!R:R),IF($B1123&lt;&gt;0,SUMIF(куб!$B:$B,$B1123,куб!R:R))))))</f>
        <v>0</v>
      </c>
      <c r="AG1123" s="27" t="b">
        <f>IF($G1123&lt;&gt;0,SUMIF(куб!$G:$G,$G1123,куб!S:S),IF($E1123&lt;&gt;0,SUMIF(куб!$E:$E,$E1123,куб!S:S),IF($D1123&lt;&gt;0,SUMIF(куб!$D:$D,$D1123,куб!S:S),IF($C1123&lt;&gt;0,SUMIF(куб!$C:$C,$C1123,куб!S:S),IF($B1123&lt;&gt;0,SUMIF(куб!$B:$B,$B1123,куб!S:S))))))</f>
        <v>0</v>
      </c>
      <c r="AH1123" s="16" t="str">
        <f t="shared" si="355"/>
        <v>-</v>
      </c>
      <c r="AI1123" s="8"/>
      <c r="AJ1123" s="27" t="b">
        <f>IF($G1123&lt;&gt;0,SUMIF(куб!$G:$G,$G1123,куб!T:T),IF($E1123&lt;&gt;0,SUMIF(куб!$E:$E,$E1123,куб!T:T),IF($D1123&lt;&gt;0,SUMIF(куб!$D:$D,$D1123,куб!T:T),IF($C1123&lt;&gt;0,SUMIF(куб!$C:$C,$C1123,куб!T:T),IF($B1123&lt;&gt;0,SUMIF(куб!$B:$B,$B1123,куб!T:T))))))</f>
        <v>0</v>
      </c>
      <c r="AK1123" s="27" t="b">
        <f>IF($G1123&lt;&gt;0,SUMIF(куб!$G:$G,$G1123,куб!U:U),IF($E1123&lt;&gt;0,SUMIF(куб!$E:$E,$E1123,куб!U:U),IF($D1123&lt;&gt;0,SUMIF(куб!$D:$D,$D1123,куб!U:U),IF($C1123&lt;&gt;0,SUMIF(куб!$C:$C,$C1123,куб!U:U),IF($B1123&lt;&gt;0,SUMIF(куб!$B:$B,$B1123,куб!U:U))))))</f>
        <v>0</v>
      </c>
      <c r="AL1123" s="16" t="str">
        <f t="shared" si="356"/>
        <v>-</v>
      </c>
      <c r="AM1123" s="8"/>
      <c r="AN1123" s="17" t="str">
        <f t="shared" si="357"/>
        <v xml:space="preserve"> </v>
      </c>
      <c r="AO1123" s="17" t="str">
        <f t="shared" si="358"/>
        <v xml:space="preserve"> </v>
      </c>
      <c r="AP1123" s="16" t="str">
        <f t="shared" si="359"/>
        <v>-</v>
      </c>
      <c r="AQ1123" s="8"/>
      <c r="AR1123" s="17" t="str">
        <f t="shared" si="360"/>
        <v>-</v>
      </c>
      <c r="AS1123" s="17" t="str">
        <f t="shared" si="361"/>
        <v>-</v>
      </c>
      <c r="AT1123" s="13" t="str">
        <f t="shared" si="362"/>
        <v>-</v>
      </c>
      <c r="AU1123" s="8"/>
    </row>
    <row r="1124" spans="8:47" x14ac:dyDescent="0.25">
      <c r="H1124" s="27">
        <f>IF($G1124&lt;&gt;0,SUMIF(куб!$G:$G,$G1124,куб!H:H),IF($E1124&lt;&gt;0,SUMIF(куб!$E:$E,$E1124,куб!H:H),IF($D1124&lt;&gt;0,SUMIF(куб!$D:$D,$D1124,куб!H:H),IF($C1124&lt;&gt;0,SUMIF(куб!$C:$C,$C1124,куб!H:H),IF($B1124&lt;&gt;0,SUMIF(куб!$B:$B,$B1124,куб!H:H),IF($G1124&lt;&gt;0,SUMIF(куб!$A:$A,$G1124,куб!H:H),SUMIF(куб!$A:$A,$G1124,куб!H:H)))))))</f>
        <v>0</v>
      </c>
      <c r="I1124" s="27">
        <f>IF($G1124&lt;&gt;0,SUMIF(куб!$G:$G,$G1124,куб!I:I),IF($E1124&lt;&gt;0,SUMIF(куб!$E:$E,$E1124,куб!I:I),IF($D1124&lt;&gt;0,SUMIF(куб!$D:$D,$D1124,куб!I:I),IF($C1124&lt;&gt;0,SUMIF(куб!$C:$C,$C1124,куб!I:I),IF($B1124&lt;&gt;0,SUMIF(куб!$B:$B,$B1124,куб!I:I),IF($G1124&lt;&gt;0,SUMIF(куб!$A:$A,$G1124,куб!I:I),SUMIF(куб!$A:$A,$G1124,куб!I:I)))))))</f>
        <v>0</v>
      </c>
      <c r="J1124" s="19" t="str">
        <f t="shared" si="345"/>
        <v>-</v>
      </c>
      <c r="K1124" s="8"/>
      <c r="L1124" s="17">
        <f t="shared" si="346"/>
        <v>0</v>
      </c>
      <c r="M1124" s="17">
        <f t="shared" si="347"/>
        <v>0</v>
      </c>
      <c r="N1124" s="12">
        <f t="shared" si="348"/>
        <v>0</v>
      </c>
      <c r="O1124" s="5"/>
      <c r="P1124" s="27" t="b">
        <f>IF($G1124&lt;&gt;0,SUMIF(куб!$G:$G,$G1124,куб!J:J),IF($E1124&lt;&gt;0,SUMIF(куб!$E:$E,$E1124,куб!J:J),IF($D1124&lt;&gt;0,SUMIF(куб!$D:$D,$D1124,куб!J:J),IF($C1124&lt;&gt;0,SUMIF(куб!$C:$C,$C1124,куб!J:J),IF($B1124&lt;&gt;0,SUMIF(куб!$B:$B,$B1124,куб!J:J))))))</f>
        <v>0</v>
      </c>
      <c r="Q1124" s="27" t="b">
        <f>IF($G1124&lt;&gt;0,SUMIF(куб!$G:$G,$G1124,куб!K:K),IF($E1124&lt;&gt;0,SUMIF(куб!$E:$E,$E1124,куб!K:K),IF($D1124&lt;&gt;0,SUMIF(куб!$D:$D,$D1124,куб!K:K),IF($C1124&lt;&gt;0,SUMIF(куб!$C:$C,$C1124,куб!K:K),IF($B1124&lt;&gt;0,SUMIF(куб!$B:$B,$B1124,куб!K:K))))))</f>
        <v>0</v>
      </c>
      <c r="R1124" s="13" t="str">
        <f t="shared" si="349"/>
        <v>-</v>
      </c>
      <c r="S1124" s="5"/>
      <c r="T1124" s="27" t="b">
        <f>IF($G1124&lt;&gt;0,SUMIF(куб!$G:$G,$G1124,куб!L:L),IF($E1124&lt;&gt;0,SUMIF(куб!$E:$E,$E1124,куб!L:L),IF($D1124&lt;&gt;0,SUMIF(куб!$D:$D,$D1124,куб!L:L),IF($C1124&lt;&gt;0,SUMIF(куб!$C:$C,$C1124,куб!L:L),IF($B1124&lt;&gt;0,SUMIF(куб!$B:$B,$B1124,куб!L:L))))))</f>
        <v>0</v>
      </c>
      <c r="U1124" s="27" t="b">
        <f>IF($G1124&lt;&gt;0,SUMIF(куб!$G:$G,$G1124,куб!M:M),IF($E1124&lt;&gt;0,SUMIF(куб!$E:$E,$E1124,куб!M:M),IF($D1124&lt;&gt;0,SUMIF(куб!$D:$D,$D1124,куб!M:M),IF($C1124&lt;&gt;0,SUMIF(куб!$C:$C,$C1124,куб!M:M),IF($B1124&lt;&gt;0,SUMIF(куб!$B:$B,$B1124,куб!M:M))))))</f>
        <v>0</v>
      </c>
      <c r="V1124" s="13" t="str">
        <f t="shared" si="350"/>
        <v>-</v>
      </c>
      <c r="W1124" s="5"/>
      <c r="X1124" s="27" t="b">
        <f>IF($G1124&lt;&gt;0,SUMIF(куб!$G:$G,$G1124,куб!N:N),IF($E1124&lt;&gt;0,SUMIF(куб!$E:$E,$E1124,куб!N:N),IF($D1124&lt;&gt;0,SUMIF(куб!$D:$D,$D1124,куб!N:N),IF($C1124&lt;&gt;0,SUMIF(куб!$C:$C,$C1124,куб!N:N),IF($B1124&lt;&gt;0,SUMIF(куб!$B:$B,$B1124,куб!N:N))))))</f>
        <v>0</v>
      </c>
      <c r="Y1124" s="27" t="b">
        <f>IF($G1124&lt;&gt;0,SUMIF(куб!$G:$G,$G1124,куб!O:O),IF($E1124&lt;&gt;0,SUMIF(куб!$E:$E,$E1124,куб!O:O),IF($D1124&lt;&gt;0,SUMIF(куб!$D:$D,$D1124,куб!O:O),IF($C1124&lt;&gt;0,SUMIF(куб!$C:$C,$C1124,куб!O:O),IF($B1124&lt;&gt;0,SUMIF(куб!$B:$B,$B1124,куб!O:O))))))</f>
        <v>0</v>
      </c>
      <c r="Z1124" s="13" t="str">
        <f t="shared" si="351"/>
        <v>-</v>
      </c>
      <c r="AA1124" s="5"/>
      <c r="AB1124" s="33" t="str">
        <f t="shared" si="352"/>
        <v/>
      </c>
      <c r="AC1124" s="33" t="str">
        <f t="shared" si="353"/>
        <v/>
      </c>
      <c r="AD1124" s="15" t="str">
        <f t="shared" si="354"/>
        <v xml:space="preserve"> </v>
      </c>
      <c r="AE1124" s="5"/>
      <c r="AF1124" s="27" t="b">
        <f>IF($G1124&lt;&gt;0,SUMIF(куб!$G:$G,$G1124,куб!R:R),IF($E1124&lt;&gt;0,SUMIF(куб!$E:$E,$E1124,куб!R:R),IF($D1124&lt;&gt;0,SUMIF(куб!$D:$D,$D1124,куб!R:R),IF($C1124&lt;&gt;0,SUMIF(куб!$C:$C,$C1124,куб!R:R),IF($B1124&lt;&gt;0,SUMIF(куб!$B:$B,$B1124,куб!R:R))))))</f>
        <v>0</v>
      </c>
      <c r="AG1124" s="27" t="b">
        <f>IF($G1124&lt;&gt;0,SUMIF(куб!$G:$G,$G1124,куб!S:S),IF($E1124&lt;&gt;0,SUMIF(куб!$E:$E,$E1124,куб!S:S),IF($D1124&lt;&gt;0,SUMIF(куб!$D:$D,$D1124,куб!S:S),IF($C1124&lt;&gt;0,SUMIF(куб!$C:$C,$C1124,куб!S:S),IF($B1124&lt;&gt;0,SUMIF(куб!$B:$B,$B1124,куб!S:S))))))</f>
        <v>0</v>
      </c>
      <c r="AH1124" s="16" t="str">
        <f t="shared" si="355"/>
        <v>-</v>
      </c>
      <c r="AI1124" s="8"/>
      <c r="AJ1124" s="27" t="b">
        <f>IF($G1124&lt;&gt;0,SUMIF(куб!$G:$G,$G1124,куб!T:T),IF($E1124&lt;&gt;0,SUMIF(куб!$E:$E,$E1124,куб!T:T),IF($D1124&lt;&gt;0,SUMIF(куб!$D:$D,$D1124,куб!T:T),IF($C1124&lt;&gt;0,SUMIF(куб!$C:$C,$C1124,куб!T:T),IF($B1124&lt;&gt;0,SUMIF(куб!$B:$B,$B1124,куб!T:T))))))</f>
        <v>0</v>
      </c>
      <c r="AK1124" s="27" t="b">
        <f>IF($G1124&lt;&gt;0,SUMIF(куб!$G:$G,$G1124,куб!U:U),IF($E1124&lt;&gt;0,SUMIF(куб!$E:$E,$E1124,куб!U:U),IF($D1124&lt;&gt;0,SUMIF(куб!$D:$D,$D1124,куб!U:U),IF($C1124&lt;&gt;0,SUMIF(куб!$C:$C,$C1124,куб!U:U),IF($B1124&lt;&gt;0,SUMIF(куб!$B:$B,$B1124,куб!U:U))))))</f>
        <v>0</v>
      </c>
      <c r="AL1124" s="16" t="str">
        <f t="shared" si="356"/>
        <v>-</v>
      </c>
      <c r="AM1124" s="8"/>
      <c r="AN1124" s="17" t="str">
        <f t="shared" si="357"/>
        <v xml:space="preserve"> </v>
      </c>
      <c r="AO1124" s="17" t="str">
        <f t="shared" si="358"/>
        <v xml:space="preserve"> </v>
      </c>
      <c r="AP1124" s="16" t="str">
        <f t="shared" si="359"/>
        <v>-</v>
      </c>
      <c r="AQ1124" s="8"/>
      <c r="AR1124" s="17" t="str">
        <f t="shared" si="360"/>
        <v>-</v>
      </c>
      <c r="AS1124" s="17" t="str">
        <f t="shared" si="361"/>
        <v>-</v>
      </c>
      <c r="AT1124" s="13" t="str">
        <f t="shared" si="362"/>
        <v>-</v>
      </c>
      <c r="AU1124" s="8"/>
    </row>
    <row r="1125" spans="8:47" x14ac:dyDescent="0.25">
      <c r="H1125" s="27">
        <f>IF($G1125&lt;&gt;0,SUMIF(куб!$G:$G,$G1125,куб!H:H),IF($E1125&lt;&gt;0,SUMIF(куб!$E:$E,$E1125,куб!H:H),IF($D1125&lt;&gt;0,SUMIF(куб!$D:$D,$D1125,куб!H:H),IF($C1125&lt;&gt;0,SUMIF(куб!$C:$C,$C1125,куб!H:H),IF($B1125&lt;&gt;0,SUMIF(куб!$B:$B,$B1125,куб!H:H),IF($G1125&lt;&gt;0,SUMIF(куб!$A:$A,$G1125,куб!H:H),SUMIF(куб!$A:$A,$G1125,куб!H:H)))))))</f>
        <v>0</v>
      </c>
      <c r="I1125" s="27">
        <f>IF($G1125&lt;&gt;0,SUMIF(куб!$G:$G,$G1125,куб!I:I),IF($E1125&lt;&gt;0,SUMIF(куб!$E:$E,$E1125,куб!I:I),IF($D1125&lt;&gt;0,SUMIF(куб!$D:$D,$D1125,куб!I:I),IF($C1125&lt;&gt;0,SUMIF(куб!$C:$C,$C1125,куб!I:I),IF($B1125&lt;&gt;0,SUMIF(куб!$B:$B,$B1125,куб!I:I),IF($G1125&lt;&gt;0,SUMIF(куб!$A:$A,$G1125,куб!I:I),SUMIF(куб!$A:$A,$G1125,куб!I:I)))))))</f>
        <v>0</v>
      </c>
      <c r="J1125" s="19" t="str">
        <f t="shared" si="345"/>
        <v>-</v>
      </c>
      <c r="K1125" s="8"/>
      <c r="L1125" s="17">
        <f t="shared" si="346"/>
        <v>0</v>
      </c>
      <c r="M1125" s="17">
        <f t="shared" si="347"/>
        <v>0</v>
      </c>
      <c r="N1125" s="12">
        <f t="shared" si="348"/>
        <v>0</v>
      </c>
      <c r="O1125" s="5"/>
      <c r="P1125" s="27" t="b">
        <f>IF($G1125&lt;&gt;0,SUMIF(куб!$G:$G,$G1125,куб!J:J),IF($E1125&lt;&gt;0,SUMIF(куб!$E:$E,$E1125,куб!J:J),IF($D1125&lt;&gt;0,SUMIF(куб!$D:$D,$D1125,куб!J:J),IF($C1125&lt;&gt;0,SUMIF(куб!$C:$C,$C1125,куб!J:J),IF($B1125&lt;&gt;0,SUMIF(куб!$B:$B,$B1125,куб!J:J))))))</f>
        <v>0</v>
      </c>
      <c r="Q1125" s="27" t="b">
        <f>IF($G1125&lt;&gt;0,SUMIF(куб!$G:$G,$G1125,куб!K:K),IF($E1125&lt;&gt;0,SUMIF(куб!$E:$E,$E1125,куб!K:K),IF($D1125&lt;&gt;0,SUMIF(куб!$D:$D,$D1125,куб!K:K),IF($C1125&lt;&gt;0,SUMIF(куб!$C:$C,$C1125,куб!K:K),IF($B1125&lt;&gt;0,SUMIF(куб!$B:$B,$B1125,куб!K:K))))))</f>
        <v>0</v>
      </c>
      <c r="R1125" s="13" t="str">
        <f t="shared" si="349"/>
        <v>-</v>
      </c>
      <c r="S1125" s="5"/>
      <c r="T1125" s="27" t="b">
        <f>IF($G1125&lt;&gt;0,SUMIF(куб!$G:$G,$G1125,куб!L:L),IF($E1125&lt;&gt;0,SUMIF(куб!$E:$E,$E1125,куб!L:L),IF($D1125&lt;&gt;0,SUMIF(куб!$D:$D,$D1125,куб!L:L),IF($C1125&lt;&gt;0,SUMIF(куб!$C:$C,$C1125,куб!L:L),IF($B1125&lt;&gt;0,SUMIF(куб!$B:$B,$B1125,куб!L:L))))))</f>
        <v>0</v>
      </c>
      <c r="U1125" s="27" t="b">
        <f>IF($G1125&lt;&gt;0,SUMIF(куб!$G:$G,$G1125,куб!M:M),IF($E1125&lt;&gt;0,SUMIF(куб!$E:$E,$E1125,куб!M:M),IF($D1125&lt;&gt;0,SUMIF(куб!$D:$D,$D1125,куб!M:M),IF($C1125&lt;&gt;0,SUMIF(куб!$C:$C,$C1125,куб!M:M),IF($B1125&lt;&gt;0,SUMIF(куб!$B:$B,$B1125,куб!M:M))))))</f>
        <v>0</v>
      </c>
      <c r="V1125" s="13" t="str">
        <f t="shared" si="350"/>
        <v>-</v>
      </c>
      <c r="W1125" s="5"/>
      <c r="X1125" s="27" t="b">
        <f>IF($G1125&lt;&gt;0,SUMIF(куб!$G:$G,$G1125,куб!N:N),IF($E1125&lt;&gt;0,SUMIF(куб!$E:$E,$E1125,куб!N:N),IF($D1125&lt;&gt;0,SUMIF(куб!$D:$D,$D1125,куб!N:N),IF($C1125&lt;&gt;0,SUMIF(куб!$C:$C,$C1125,куб!N:N),IF($B1125&lt;&gt;0,SUMIF(куб!$B:$B,$B1125,куб!N:N))))))</f>
        <v>0</v>
      </c>
      <c r="Y1125" s="27" t="b">
        <f>IF($G1125&lt;&gt;0,SUMIF(куб!$G:$G,$G1125,куб!O:O),IF($E1125&lt;&gt;0,SUMIF(куб!$E:$E,$E1125,куб!O:O),IF($D1125&lt;&gt;0,SUMIF(куб!$D:$D,$D1125,куб!O:O),IF($C1125&lt;&gt;0,SUMIF(куб!$C:$C,$C1125,куб!O:O),IF($B1125&lt;&gt;0,SUMIF(куб!$B:$B,$B1125,куб!O:O))))))</f>
        <v>0</v>
      </c>
      <c r="Z1125" s="13" t="str">
        <f t="shared" si="351"/>
        <v>-</v>
      </c>
      <c r="AA1125" s="5"/>
      <c r="AB1125" s="33" t="str">
        <f t="shared" si="352"/>
        <v/>
      </c>
      <c r="AC1125" s="33" t="str">
        <f t="shared" si="353"/>
        <v/>
      </c>
      <c r="AD1125" s="15" t="str">
        <f t="shared" si="354"/>
        <v xml:space="preserve"> </v>
      </c>
      <c r="AE1125" s="5"/>
      <c r="AF1125" s="27" t="b">
        <f>IF($G1125&lt;&gt;0,SUMIF(куб!$G:$G,$G1125,куб!R:R),IF($E1125&lt;&gt;0,SUMIF(куб!$E:$E,$E1125,куб!R:R),IF($D1125&lt;&gt;0,SUMIF(куб!$D:$D,$D1125,куб!R:R),IF($C1125&lt;&gt;0,SUMIF(куб!$C:$C,$C1125,куб!R:R),IF($B1125&lt;&gt;0,SUMIF(куб!$B:$B,$B1125,куб!R:R))))))</f>
        <v>0</v>
      </c>
      <c r="AG1125" s="27" t="b">
        <f>IF($G1125&lt;&gt;0,SUMIF(куб!$G:$G,$G1125,куб!S:S),IF($E1125&lt;&gt;0,SUMIF(куб!$E:$E,$E1125,куб!S:S),IF($D1125&lt;&gt;0,SUMIF(куб!$D:$D,$D1125,куб!S:S),IF($C1125&lt;&gt;0,SUMIF(куб!$C:$C,$C1125,куб!S:S),IF($B1125&lt;&gt;0,SUMIF(куб!$B:$B,$B1125,куб!S:S))))))</f>
        <v>0</v>
      </c>
      <c r="AH1125" s="16" t="str">
        <f t="shared" si="355"/>
        <v>-</v>
      </c>
      <c r="AI1125" s="8"/>
      <c r="AJ1125" s="27" t="b">
        <f>IF($G1125&lt;&gt;0,SUMIF(куб!$G:$G,$G1125,куб!T:T),IF($E1125&lt;&gt;0,SUMIF(куб!$E:$E,$E1125,куб!T:T),IF($D1125&lt;&gt;0,SUMIF(куб!$D:$D,$D1125,куб!T:T),IF($C1125&lt;&gt;0,SUMIF(куб!$C:$C,$C1125,куб!T:T),IF($B1125&lt;&gt;0,SUMIF(куб!$B:$B,$B1125,куб!T:T))))))</f>
        <v>0</v>
      </c>
      <c r="AK1125" s="27" t="b">
        <f>IF($G1125&lt;&gt;0,SUMIF(куб!$G:$G,$G1125,куб!U:U),IF($E1125&lt;&gt;0,SUMIF(куб!$E:$E,$E1125,куб!U:U),IF($D1125&lt;&gt;0,SUMIF(куб!$D:$D,$D1125,куб!U:U),IF($C1125&lt;&gt;0,SUMIF(куб!$C:$C,$C1125,куб!U:U),IF($B1125&lt;&gt;0,SUMIF(куб!$B:$B,$B1125,куб!U:U))))))</f>
        <v>0</v>
      </c>
      <c r="AL1125" s="16" t="str">
        <f t="shared" si="356"/>
        <v>-</v>
      </c>
      <c r="AM1125" s="8"/>
      <c r="AN1125" s="17" t="str">
        <f t="shared" si="357"/>
        <v xml:space="preserve"> </v>
      </c>
      <c r="AO1125" s="17" t="str">
        <f t="shared" si="358"/>
        <v xml:space="preserve"> </v>
      </c>
      <c r="AP1125" s="16" t="str">
        <f t="shared" si="359"/>
        <v>-</v>
      </c>
      <c r="AQ1125" s="8"/>
      <c r="AR1125" s="17" t="str">
        <f t="shared" si="360"/>
        <v>-</v>
      </c>
      <c r="AS1125" s="17" t="str">
        <f t="shared" si="361"/>
        <v>-</v>
      </c>
      <c r="AT1125" s="13" t="str">
        <f t="shared" si="362"/>
        <v>-</v>
      </c>
      <c r="AU1125" s="8"/>
    </row>
    <row r="1126" spans="8:47" x14ac:dyDescent="0.25">
      <c r="H1126" s="27">
        <f>IF($G1126&lt;&gt;0,SUMIF(куб!$G:$G,$G1126,куб!H:H),IF($E1126&lt;&gt;0,SUMIF(куб!$E:$E,$E1126,куб!H:H),IF($D1126&lt;&gt;0,SUMIF(куб!$D:$D,$D1126,куб!H:H),IF($C1126&lt;&gt;0,SUMIF(куб!$C:$C,$C1126,куб!H:H),IF($B1126&lt;&gt;0,SUMIF(куб!$B:$B,$B1126,куб!H:H),IF($G1126&lt;&gt;0,SUMIF(куб!$A:$A,$G1126,куб!H:H),SUMIF(куб!$A:$A,$G1126,куб!H:H)))))))</f>
        <v>0</v>
      </c>
      <c r="I1126" s="27">
        <f>IF($G1126&lt;&gt;0,SUMIF(куб!$G:$G,$G1126,куб!I:I),IF($E1126&lt;&gt;0,SUMIF(куб!$E:$E,$E1126,куб!I:I),IF($D1126&lt;&gt;0,SUMIF(куб!$D:$D,$D1126,куб!I:I),IF($C1126&lt;&gt;0,SUMIF(куб!$C:$C,$C1126,куб!I:I),IF($B1126&lt;&gt;0,SUMIF(куб!$B:$B,$B1126,куб!I:I),IF($G1126&lt;&gt;0,SUMIF(куб!$A:$A,$G1126,куб!I:I),SUMIF(куб!$A:$A,$G1126,куб!I:I)))))))</f>
        <v>0</v>
      </c>
      <c r="J1126" s="19" t="str">
        <f t="shared" si="345"/>
        <v>-</v>
      </c>
      <c r="K1126" s="8"/>
      <c r="L1126" s="17">
        <f t="shared" si="346"/>
        <v>0</v>
      </c>
      <c r="M1126" s="17">
        <f t="shared" si="347"/>
        <v>0</v>
      </c>
      <c r="N1126" s="12">
        <f t="shared" si="348"/>
        <v>0</v>
      </c>
      <c r="O1126" s="5"/>
      <c r="P1126" s="27" t="b">
        <f>IF($G1126&lt;&gt;0,SUMIF(куб!$G:$G,$G1126,куб!J:J),IF($E1126&lt;&gt;0,SUMIF(куб!$E:$E,$E1126,куб!J:J),IF($D1126&lt;&gt;0,SUMIF(куб!$D:$D,$D1126,куб!J:J),IF($C1126&lt;&gt;0,SUMIF(куб!$C:$C,$C1126,куб!J:J),IF($B1126&lt;&gt;0,SUMIF(куб!$B:$B,$B1126,куб!J:J))))))</f>
        <v>0</v>
      </c>
      <c r="Q1126" s="27" t="b">
        <f>IF($G1126&lt;&gt;0,SUMIF(куб!$G:$G,$G1126,куб!K:K),IF($E1126&lt;&gt;0,SUMIF(куб!$E:$E,$E1126,куб!K:K),IF($D1126&lt;&gt;0,SUMIF(куб!$D:$D,$D1126,куб!K:K),IF($C1126&lt;&gt;0,SUMIF(куб!$C:$C,$C1126,куб!K:K),IF($B1126&lt;&gt;0,SUMIF(куб!$B:$B,$B1126,куб!K:K))))))</f>
        <v>0</v>
      </c>
      <c r="R1126" s="13" t="str">
        <f t="shared" si="349"/>
        <v>-</v>
      </c>
      <c r="S1126" s="5"/>
      <c r="T1126" s="27" t="b">
        <f>IF($G1126&lt;&gt;0,SUMIF(куб!$G:$G,$G1126,куб!L:L),IF($E1126&lt;&gt;0,SUMIF(куб!$E:$E,$E1126,куб!L:L),IF($D1126&lt;&gt;0,SUMIF(куб!$D:$D,$D1126,куб!L:L),IF($C1126&lt;&gt;0,SUMIF(куб!$C:$C,$C1126,куб!L:L),IF($B1126&lt;&gt;0,SUMIF(куб!$B:$B,$B1126,куб!L:L))))))</f>
        <v>0</v>
      </c>
      <c r="U1126" s="27" t="b">
        <f>IF($G1126&lt;&gt;0,SUMIF(куб!$G:$G,$G1126,куб!M:M),IF($E1126&lt;&gt;0,SUMIF(куб!$E:$E,$E1126,куб!M:M),IF($D1126&lt;&gt;0,SUMIF(куб!$D:$D,$D1126,куб!M:M),IF($C1126&lt;&gt;0,SUMIF(куб!$C:$C,$C1126,куб!M:M),IF($B1126&lt;&gt;0,SUMIF(куб!$B:$B,$B1126,куб!M:M))))))</f>
        <v>0</v>
      </c>
      <c r="V1126" s="13" t="str">
        <f t="shared" si="350"/>
        <v>-</v>
      </c>
      <c r="W1126" s="5"/>
      <c r="X1126" s="27" t="b">
        <f>IF($G1126&lt;&gt;0,SUMIF(куб!$G:$G,$G1126,куб!N:N),IF($E1126&lt;&gt;0,SUMIF(куб!$E:$E,$E1126,куб!N:N),IF($D1126&lt;&gt;0,SUMIF(куб!$D:$D,$D1126,куб!N:N),IF($C1126&lt;&gt;0,SUMIF(куб!$C:$C,$C1126,куб!N:N),IF($B1126&lt;&gt;0,SUMIF(куб!$B:$B,$B1126,куб!N:N))))))</f>
        <v>0</v>
      </c>
      <c r="Y1126" s="27" t="b">
        <f>IF($G1126&lt;&gt;0,SUMIF(куб!$G:$G,$G1126,куб!O:O),IF($E1126&lt;&gt;0,SUMIF(куб!$E:$E,$E1126,куб!O:O),IF($D1126&lt;&gt;0,SUMIF(куб!$D:$D,$D1126,куб!O:O),IF($C1126&lt;&gt;0,SUMIF(куб!$C:$C,$C1126,куб!O:O),IF($B1126&lt;&gt;0,SUMIF(куб!$B:$B,$B1126,куб!O:O))))))</f>
        <v>0</v>
      </c>
      <c r="Z1126" s="13" t="str">
        <f t="shared" si="351"/>
        <v>-</v>
      </c>
      <c r="AA1126" s="5"/>
      <c r="AB1126" s="33" t="str">
        <f t="shared" si="352"/>
        <v/>
      </c>
      <c r="AC1126" s="33" t="str">
        <f t="shared" si="353"/>
        <v/>
      </c>
      <c r="AD1126" s="15" t="str">
        <f t="shared" si="354"/>
        <v xml:space="preserve"> </v>
      </c>
      <c r="AE1126" s="5"/>
      <c r="AF1126" s="27" t="b">
        <f>IF($G1126&lt;&gt;0,SUMIF(куб!$G:$G,$G1126,куб!R:R),IF($E1126&lt;&gt;0,SUMIF(куб!$E:$E,$E1126,куб!R:R),IF($D1126&lt;&gt;0,SUMIF(куб!$D:$D,$D1126,куб!R:R),IF($C1126&lt;&gt;0,SUMIF(куб!$C:$C,$C1126,куб!R:R),IF($B1126&lt;&gt;0,SUMIF(куб!$B:$B,$B1126,куб!R:R))))))</f>
        <v>0</v>
      </c>
      <c r="AG1126" s="27" t="b">
        <f>IF($G1126&lt;&gt;0,SUMIF(куб!$G:$G,$G1126,куб!S:S),IF($E1126&lt;&gt;0,SUMIF(куб!$E:$E,$E1126,куб!S:S),IF($D1126&lt;&gt;0,SUMIF(куб!$D:$D,$D1126,куб!S:S),IF($C1126&lt;&gt;0,SUMIF(куб!$C:$C,$C1126,куб!S:S),IF($B1126&lt;&gt;0,SUMIF(куб!$B:$B,$B1126,куб!S:S))))))</f>
        <v>0</v>
      </c>
      <c r="AH1126" s="16" t="str">
        <f t="shared" si="355"/>
        <v>-</v>
      </c>
      <c r="AI1126" s="8"/>
      <c r="AJ1126" s="27" t="b">
        <f>IF($G1126&lt;&gt;0,SUMIF(куб!$G:$G,$G1126,куб!T:T),IF($E1126&lt;&gt;0,SUMIF(куб!$E:$E,$E1126,куб!T:T),IF($D1126&lt;&gt;0,SUMIF(куб!$D:$D,$D1126,куб!T:T),IF($C1126&lt;&gt;0,SUMIF(куб!$C:$C,$C1126,куб!T:T),IF($B1126&lt;&gt;0,SUMIF(куб!$B:$B,$B1126,куб!T:T))))))</f>
        <v>0</v>
      </c>
      <c r="AK1126" s="27" t="b">
        <f>IF($G1126&lt;&gt;0,SUMIF(куб!$G:$G,$G1126,куб!U:U),IF($E1126&lt;&gt;0,SUMIF(куб!$E:$E,$E1126,куб!U:U),IF($D1126&lt;&gt;0,SUMIF(куб!$D:$D,$D1126,куб!U:U),IF($C1126&lt;&gt;0,SUMIF(куб!$C:$C,$C1126,куб!U:U),IF($B1126&lt;&gt;0,SUMIF(куб!$B:$B,$B1126,куб!U:U))))))</f>
        <v>0</v>
      </c>
      <c r="AL1126" s="16" t="str">
        <f t="shared" si="356"/>
        <v>-</v>
      </c>
      <c r="AM1126" s="8"/>
      <c r="AN1126" s="17" t="str">
        <f t="shared" si="357"/>
        <v xml:space="preserve"> </v>
      </c>
      <c r="AO1126" s="17" t="str">
        <f t="shared" si="358"/>
        <v xml:space="preserve"> </v>
      </c>
      <c r="AP1126" s="16" t="str">
        <f t="shared" si="359"/>
        <v>-</v>
      </c>
      <c r="AQ1126" s="8"/>
      <c r="AR1126" s="17" t="str">
        <f t="shared" si="360"/>
        <v>-</v>
      </c>
      <c r="AS1126" s="17" t="str">
        <f t="shared" si="361"/>
        <v>-</v>
      </c>
      <c r="AT1126" s="13" t="str">
        <f t="shared" si="362"/>
        <v>-</v>
      </c>
      <c r="AU1126" s="8"/>
    </row>
    <row r="1127" spans="8:47" x14ac:dyDescent="0.25">
      <c r="H1127" s="27">
        <f>IF($G1127&lt;&gt;0,SUMIF(куб!$G:$G,$G1127,куб!H:H),IF($E1127&lt;&gt;0,SUMIF(куб!$E:$E,$E1127,куб!H:H),IF($D1127&lt;&gt;0,SUMIF(куб!$D:$D,$D1127,куб!H:H),IF($C1127&lt;&gt;0,SUMIF(куб!$C:$C,$C1127,куб!H:H),IF($B1127&lt;&gt;0,SUMIF(куб!$B:$B,$B1127,куб!H:H),IF($G1127&lt;&gt;0,SUMIF(куб!$A:$A,$G1127,куб!H:H),SUMIF(куб!$A:$A,$G1127,куб!H:H)))))))</f>
        <v>0</v>
      </c>
      <c r="I1127" s="27">
        <f>IF($G1127&lt;&gt;0,SUMIF(куб!$G:$G,$G1127,куб!I:I),IF($E1127&lt;&gt;0,SUMIF(куб!$E:$E,$E1127,куб!I:I),IF($D1127&lt;&gt;0,SUMIF(куб!$D:$D,$D1127,куб!I:I),IF($C1127&lt;&gt;0,SUMIF(куб!$C:$C,$C1127,куб!I:I),IF($B1127&lt;&gt;0,SUMIF(куб!$B:$B,$B1127,куб!I:I),IF($G1127&lt;&gt;0,SUMIF(куб!$A:$A,$G1127,куб!I:I),SUMIF(куб!$A:$A,$G1127,куб!I:I)))))))</f>
        <v>0</v>
      </c>
      <c r="J1127" s="19" t="str">
        <f t="shared" si="345"/>
        <v>-</v>
      </c>
      <c r="K1127" s="8"/>
      <c r="L1127" s="17">
        <f t="shared" si="346"/>
        <v>0</v>
      </c>
      <c r="M1127" s="17">
        <f t="shared" si="347"/>
        <v>0</v>
      </c>
      <c r="N1127" s="12">
        <f t="shared" si="348"/>
        <v>0</v>
      </c>
      <c r="O1127" s="5"/>
      <c r="P1127" s="27" t="b">
        <f>IF($G1127&lt;&gt;0,SUMIF(куб!$G:$G,$G1127,куб!J:J),IF($E1127&lt;&gt;0,SUMIF(куб!$E:$E,$E1127,куб!J:J),IF($D1127&lt;&gt;0,SUMIF(куб!$D:$D,$D1127,куб!J:J),IF($C1127&lt;&gt;0,SUMIF(куб!$C:$C,$C1127,куб!J:J),IF($B1127&lt;&gt;0,SUMIF(куб!$B:$B,$B1127,куб!J:J))))))</f>
        <v>0</v>
      </c>
      <c r="Q1127" s="27" t="b">
        <f>IF($G1127&lt;&gt;0,SUMIF(куб!$G:$G,$G1127,куб!K:K),IF($E1127&lt;&gt;0,SUMIF(куб!$E:$E,$E1127,куб!K:K),IF($D1127&lt;&gt;0,SUMIF(куб!$D:$D,$D1127,куб!K:K),IF($C1127&lt;&gt;0,SUMIF(куб!$C:$C,$C1127,куб!K:K),IF($B1127&lt;&gt;0,SUMIF(куб!$B:$B,$B1127,куб!K:K))))))</f>
        <v>0</v>
      </c>
      <c r="R1127" s="13" t="str">
        <f t="shared" si="349"/>
        <v>-</v>
      </c>
      <c r="S1127" s="5"/>
      <c r="T1127" s="27" t="b">
        <f>IF($G1127&lt;&gt;0,SUMIF(куб!$G:$G,$G1127,куб!L:L),IF($E1127&lt;&gt;0,SUMIF(куб!$E:$E,$E1127,куб!L:L),IF($D1127&lt;&gt;0,SUMIF(куб!$D:$D,$D1127,куб!L:L),IF($C1127&lt;&gt;0,SUMIF(куб!$C:$C,$C1127,куб!L:L),IF($B1127&lt;&gt;0,SUMIF(куб!$B:$B,$B1127,куб!L:L))))))</f>
        <v>0</v>
      </c>
      <c r="U1127" s="27" t="b">
        <f>IF($G1127&lt;&gt;0,SUMIF(куб!$G:$G,$G1127,куб!M:M),IF($E1127&lt;&gt;0,SUMIF(куб!$E:$E,$E1127,куб!M:M),IF($D1127&lt;&gt;0,SUMIF(куб!$D:$D,$D1127,куб!M:M),IF($C1127&lt;&gt;0,SUMIF(куб!$C:$C,$C1127,куб!M:M),IF($B1127&lt;&gt;0,SUMIF(куб!$B:$B,$B1127,куб!M:M))))))</f>
        <v>0</v>
      </c>
      <c r="V1127" s="13" t="str">
        <f t="shared" si="350"/>
        <v>-</v>
      </c>
      <c r="W1127" s="5"/>
      <c r="X1127" s="27" t="b">
        <f>IF($G1127&lt;&gt;0,SUMIF(куб!$G:$G,$G1127,куб!N:N),IF($E1127&lt;&gt;0,SUMIF(куб!$E:$E,$E1127,куб!N:N),IF($D1127&lt;&gt;0,SUMIF(куб!$D:$D,$D1127,куб!N:N),IF($C1127&lt;&gt;0,SUMIF(куб!$C:$C,$C1127,куб!N:N),IF($B1127&lt;&gt;0,SUMIF(куб!$B:$B,$B1127,куб!N:N))))))</f>
        <v>0</v>
      </c>
      <c r="Y1127" s="27" t="b">
        <f>IF($G1127&lt;&gt;0,SUMIF(куб!$G:$G,$G1127,куб!O:O),IF($E1127&lt;&gt;0,SUMIF(куб!$E:$E,$E1127,куб!O:O),IF($D1127&lt;&gt;0,SUMIF(куб!$D:$D,$D1127,куб!O:O),IF($C1127&lt;&gt;0,SUMIF(куб!$C:$C,$C1127,куб!O:O),IF($B1127&lt;&gt;0,SUMIF(куб!$B:$B,$B1127,куб!O:O))))))</f>
        <v>0</v>
      </c>
      <c r="Z1127" s="13" t="str">
        <f t="shared" si="351"/>
        <v>-</v>
      </c>
      <c r="AA1127" s="5"/>
      <c r="AB1127" s="33" t="str">
        <f t="shared" si="352"/>
        <v/>
      </c>
      <c r="AC1127" s="33" t="str">
        <f t="shared" si="353"/>
        <v/>
      </c>
      <c r="AD1127" s="15" t="str">
        <f t="shared" si="354"/>
        <v xml:space="preserve"> </v>
      </c>
      <c r="AE1127" s="5"/>
      <c r="AF1127" s="27" t="b">
        <f>IF($G1127&lt;&gt;0,SUMIF(куб!$G:$G,$G1127,куб!R:R),IF($E1127&lt;&gt;0,SUMIF(куб!$E:$E,$E1127,куб!R:R),IF($D1127&lt;&gt;0,SUMIF(куб!$D:$D,$D1127,куб!R:R),IF($C1127&lt;&gt;0,SUMIF(куб!$C:$C,$C1127,куб!R:R),IF($B1127&lt;&gt;0,SUMIF(куб!$B:$B,$B1127,куб!R:R))))))</f>
        <v>0</v>
      </c>
      <c r="AG1127" s="27" t="b">
        <f>IF($G1127&lt;&gt;0,SUMIF(куб!$G:$G,$G1127,куб!S:S),IF($E1127&lt;&gt;0,SUMIF(куб!$E:$E,$E1127,куб!S:S),IF($D1127&lt;&gt;0,SUMIF(куб!$D:$D,$D1127,куб!S:S),IF($C1127&lt;&gt;0,SUMIF(куб!$C:$C,$C1127,куб!S:S),IF($B1127&lt;&gt;0,SUMIF(куб!$B:$B,$B1127,куб!S:S))))))</f>
        <v>0</v>
      </c>
      <c r="AH1127" s="16" t="str">
        <f t="shared" si="355"/>
        <v>-</v>
      </c>
      <c r="AI1127" s="8"/>
      <c r="AJ1127" s="27" t="b">
        <f>IF($G1127&lt;&gt;0,SUMIF(куб!$G:$G,$G1127,куб!T:T),IF($E1127&lt;&gt;0,SUMIF(куб!$E:$E,$E1127,куб!T:T),IF($D1127&lt;&gt;0,SUMIF(куб!$D:$D,$D1127,куб!T:T),IF($C1127&lt;&gt;0,SUMIF(куб!$C:$C,$C1127,куб!T:T),IF($B1127&lt;&gt;0,SUMIF(куб!$B:$B,$B1127,куб!T:T))))))</f>
        <v>0</v>
      </c>
      <c r="AK1127" s="27" t="b">
        <f>IF($G1127&lt;&gt;0,SUMIF(куб!$G:$G,$G1127,куб!U:U),IF($E1127&lt;&gt;0,SUMIF(куб!$E:$E,$E1127,куб!U:U),IF($D1127&lt;&gt;0,SUMIF(куб!$D:$D,$D1127,куб!U:U),IF($C1127&lt;&gt;0,SUMIF(куб!$C:$C,$C1127,куб!U:U),IF($B1127&lt;&gt;0,SUMIF(куб!$B:$B,$B1127,куб!U:U))))))</f>
        <v>0</v>
      </c>
      <c r="AL1127" s="16" t="str">
        <f t="shared" si="356"/>
        <v>-</v>
      </c>
      <c r="AM1127" s="8"/>
      <c r="AN1127" s="17" t="str">
        <f t="shared" si="357"/>
        <v xml:space="preserve"> </v>
      </c>
      <c r="AO1127" s="17" t="str">
        <f t="shared" si="358"/>
        <v xml:space="preserve"> </v>
      </c>
      <c r="AP1127" s="16" t="str">
        <f t="shared" si="359"/>
        <v>-</v>
      </c>
      <c r="AQ1127" s="8"/>
      <c r="AR1127" s="17" t="str">
        <f t="shared" si="360"/>
        <v>-</v>
      </c>
      <c r="AS1127" s="17" t="str">
        <f t="shared" si="361"/>
        <v>-</v>
      </c>
      <c r="AT1127" s="13" t="str">
        <f t="shared" si="362"/>
        <v>-</v>
      </c>
      <c r="AU1127" s="8"/>
    </row>
    <row r="1128" spans="8:47" x14ac:dyDescent="0.25">
      <c r="H1128" s="27">
        <f>IF($G1128&lt;&gt;0,SUMIF(куб!$G:$G,$G1128,куб!H:H),IF($E1128&lt;&gt;0,SUMIF(куб!$E:$E,$E1128,куб!H:H),IF($D1128&lt;&gt;0,SUMIF(куб!$D:$D,$D1128,куб!H:H),IF($C1128&lt;&gt;0,SUMIF(куб!$C:$C,$C1128,куб!H:H),IF($B1128&lt;&gt;0,SUMIF(куб!$B:$B,$B1128,куб!H:H),IF($G1128&lt;&gt;0,SUMIF(куб!$A:$A,$G1128,куб!H:H),SUMIF(куб!$A:$A,$G1128,куб!H:H)))))))</f>
        <v>0</v>
      </c>
      <c r="I1128" s="27">
        <f>IF($G1128&lt;&gt;0,SUMIF(куб!$G:$G,$G1128,куб!I:I),IF($E1128&lt;&gt;0,SUMIF(куб!$E:$E,$E1128,куб!I:I),IF($D1128&lt;&gt;0,SUMIF(куб!$D:$D,$D1128,куб!I:I),IF($C1128&lt;&gt;0,SUMIF(куб!$C:$C,$C1128,куб!I:I),IF($B1128&lt;&gt;0,SUMIF(куб!$B:$B,$B1128,куб!I:I),IF($G1128&lt;&gt;0,SUMIF(куб!$A:$A,$G1128,куб!I:I),SUMIF(куб!$A:$A,$G1128,куб!I:I)))))))</f>
        <v>0</v>
      </c>
      <c r="J1128" s="19" t="str">
        <f t="shared" si="345"/>
        <v>-</v>
      </c>
      <c r="K1128" s="8"/>
      <c r="L1128" s="17">
        <f t="shared" si="346"/>
        <v>0</v>
      </c>
      <c r="M1128" s="17">
        <f t="shared" si="347"/>
        <v>0</v>
      </c>
      <c r="N1128" s="12">
        <f t="shared" si="348"/>
        <v>0</v>
      </c>
      <c r="O1128" s="5"/>
      <c r="P1128" s="27" t="b">
        <f>IF($G1128&lt;&gt;0,SUMIF(куб!$G:$G,$G1128,куб!J:J),IF($E1128&lt;&gt;0,SUMIF(куб!$E:$E,$E1128,куб!J:J),IF($D1128&lt;&gt;0,SUMIF(куб!$D:$D,$D1128,куб!J:J),IF($C1128&lt;&gt;0,SUMIF(куб!$C:$C,$C1128,куб!J:J),IF($B1128&lt;&gt;0,SUMIF(куб!$B:$B,$B1128,куб!J:J))))))</f>
        <v>0</v>
      </c>
      <c r="Q1128" s="27" t="b">
        <f>IF($G1128&lt;&gt;0,SUMIF(куб!$G:$G,$G1128,куб!K:K),IF($E1128&lt;&gt;0,SUMIF(куб!$E:$E,$E1128,куб!K:K),IF($D1128&lt;&gt;0,SUMIF(куб!$D:$D,$D1128,куб!K:K),IF($C1128&lt;&gt;0,SUMIF(куб!$C:$C,$C1128,куб!K:K),IF($B1128&lt;&gt;0,SUMIF(куб!$B:$B,$B1128,куб!K:K))))))</f>
        <v>0</v>
      </c>
      <c r="R1128" s="13" t="str">
        <f t="shared" si="349"/>
        <v>-</v>
      </c>
      <c r="S1128" s="5"/>
      <c r="T1128" s="27" t="b">
        <f>IF($G1128&lt;&gt;0,SUMIF(куб!$G:$G,$G1128,куб!L:L),IF($E1128&lt;&gt;0,SUMIF(куб!$E:$E,$E1128,куб!L:L),IF($D1128&lt;&gt;0,SUMIF(куб!$D:$D,$D1128,куб!L:L),IF($C1128&lt;&gt;0,SUMIF(куб!$C:$C,$C1128,куб!L:L),IF($B1128&lt;&gt;0,SUMIF(куб!$B:$B,$B1128,куб!L:L))))))</f>
        <v>0</v>
      </c>
      <c r="U1128" s="27" t="b">
        <f>IF($G1128&lt;&gt;0,SUMIF(куб!$G:$G,$G1128,куб!M:M),IF($E1128&lt;&gt;0,SUMIF(куб!$E:$E,$E1128,куб!M:M),IF($D1128&lt;&gt;0,SUMIF(куб!$D:$D,$D1128,куб!M:M),IF($C1128&lt;&gt;0,SUMIF(куб!$C:$C,$C1128,куб!M:M),IF($B1128&lt;&gt;0,SUMIF(куб!$B:$B,$B1128,куб!M:M))))))</f>
        <v>0</v>
      </c>
      <c r="V1128" s="13" t="str">
        <f t="shared" si="350"/>
        <v>-</v>
      </c>
      <c r="W1128" s="5"/>
      <c r="X1128" s="27" t="b">
        <f>IF($G1128&lt;&gt;0,SUMIF(куб!$G:$G,$G1128,куб!N:N),IF($E1128&lt;&gt;0,SUMIF(куб!$E:$E,$E1128,куб!N:N),IF($D1128&lt;&gt;0,SUMIF(куб!$D:$D,$D1128,куб!N:N),IF($C1128&lt;&gt;0,SUMIF(куб!$C:$C,$C1128,куб!N:N),IF($B1128&lt;&gt;0,SUMIF(куб!$B:$B,$B1128,куб!N:N))))))</f>
        <v>0</v>
      </c>
      <c r="Y1128" s="27" t="b">
        <f>IF($G1128&lt;&gt;0,SUMIF(куб!$G:$G,$G1128,куб!O:O),IF($E1128&lt;&gt;0,SUMIF(куб!$E:$E,$E1128,куб!O:O),IF($D1128&lt;&gt;0,SUMIF(куб!$D:$D,$D1128,куб!O:O),IF($C1128&lt;&gt;0,SUMIF(куб!$C:$C,$C1128,куб!O:O),IF($B1128&lt;&gt;0,SUMIF(куб!$B:$B,$B1128,куб!O:O))))))</f>
        <v>0</v>
      </c>
      <c r="Z1128" s="13" t="str">
        <f t="shared" si="351"/>
        <v>-</v>
      </c>
      <c r="AA1128" s="5"/>
      <c r="AB1128" s="33" t="str">
        <f t="shared" si="352"/>
        <v/>
      </c>
      <c r="AC1128" s="33" t="str">
        <f t="shared" si="353"/>
        <v/>
      </c>
      <c r="AD1128" s="15" t="str">
        <f t="shared" si="354"/>
        <v xml:space="preserve"> </v>
      </c>
      <c r="AE1128" s="5"/>
      <c r="AF1128" s="27" t="b">
        <f>IF($G1128&lt;&gt;0,SUMIF(куб!$G:$G,$G1128,куб!R:R),IF($E1128&lt;&gt;0,SUMIF(куб!$E:$E,$E1128,куб!R:R),IF($D1128&lt;&gt;0,SUMIF(куб!$D:$D,$D1128,куб!R:R),IF($C1128&lt;&gt;0,SUMIF(куб!$C:$C,$C1128,куб!R:R),IF($B1128&lt;&gt;0,SUMIF(куб!$B:$B,$B1128,куб!R:R))))))</f>
        <v>0</v>
      </c>
      <c r="AG1128" s="27" t="b">
        <f>IF($G1128&lt;&gt;0,SUMIF(куб!$G:$G,$G1128,куб!S:S),IF($E1128&lt;&gt;0,SUMIF(куб!$E:$E,$E1128,куб!S:S),IF($D1128&lt;&gt;0,SUMIF(куб!$D:$D,$D1128,куб!S:S),IF($C1128&lt;&gt;0,SUMIF(куб!$C:$C,$C1128,куб!S:S),IF($B1128&lt;&gt;0,SUMIF(куб!$B:$B,$B1128,куб!S:S))))))</f>
        <v>0</v>
      </c>
      <c r="AH1128" s="16" t="str">
        <f t="shared" si="355"/>
        <v>-</v>
      </c>
      <c r="AI1128" s="8"/>
      <c r="AJ1128" s="27" t="b">
        <f>IF($G1128&lt;&gt;0,SUMIF(куб!$G:$G,$G1128,куб!T:T),IF($E1128&lt;&gt;0,SUMIF(куб!$E:$E,$E1128,куб!T:T),IF($D1128&lt;&gt;0,SUMIF(куб!$D:$D,$D1128,куб!T:T),IF($C1128&lt;&gt;0,SUMIF(куб!$C:$C,$C1128,куб!T:T),IF($B1128&lt;&gt;0,SUMIF(куб!$B:$B,$B1128,куб!T:T))))))</f>
        <v>0</v>
      </c>
      <c r="AK1128" s="27" t="b">
        <f>IF($G1128&lt;&gt;0,SUMIF(куб!$G:$G,$G1128,куб!U:U),IF($E1128&lt;&gt;0,SUMIF(куб!$E:$E,$E1128,куб!U:U),IF($D1128&lt;&gt;0,SUMIF(куб!$D:$D,$D1128,куб!U:U),IF($C1128&lt;&gt;0,SUMIF(куб!$C:$C,$C1128,куб!U:U),IF($B1128&lt;&gt;0,SUMIF(куб!$B:$B,$B1128,куб!U:U))))))</f>
        <v>0</v>
      </c>
      <c r="AL1128" s="16" t="str">
        <f t="shared" si="356"/>
        <v>-</v>
      </c>
      <c r="AM1128" s="8"/>
      <c r="AN1128" s="17" t="str">
        <f t="shared" si="357"/>
        <v xml:space="preserve"> </v>
      </c>
      <c r="AO1128" s="17" t="str">
        <f t="shared" si="358"/>
        <v xml:space="preserve"> </v>
      </c>
      <c r="AP1128" s="16" t="str">
        <f t="shared" si="359"/>
        <v>-</v>
      </c>
      <c r="AQ1128" s="8"/>
      <c r="AR1128" s="17" t="str">
        <f t="shared" si="360"/>
        <v>-</v>
      </c>
      <c r="AS1128" s="17" t="str">
        <f t="shared" si="361"/>
        <v>-</v>
      </c>
      <c r="AT1128" s="13" t="str">
        <f t="shared" si="362"/>
        <v>-</v>
      </c>
      <c r="AU1128" s="8"/>
    </row>
    <row r="1129" spans="8:47" x14ac:dyDescent="0.25">
      <c r="H1129" s="27">
        <f>IF($G1129&lt;&gt;0,SUMIF(куб!$G:$G,$G1129,куб!H:H),IF($E1129&lt;&gt;0,SUMIF(куб!$E:$E,$E1129,куб!H:H),IF($D1129&lt;&gt;0,SUMIF(куб!$D:$D,$D1129,куб!H:H),IF($C1129&lt;&gt;0,SUMIF(куб!$C:$C,$C1129,куб!H:H),IF($B1129&lt;&gt;0,SUMIF(куб!$B:$B,$B1129,куб!H:H),IF($G1129&lt;&gt;0,SUMIF(куб!$A:$A,$G1129,куб!H:H),SUMIF(куб!$A:$A,$G1129,куб!H:H)))))))</f>
        <v>0</v>
      </c>
      <c r="I1129" s="27">
        <f>IF($G1129&lt;&gt;0,SUMIF(куб!$G:$G,$G1129,куб!I:I),IF($E1129&lt;&gt;0,SUMIF(куб!$E:$E,$E1129,куб!I:I),IF($D1129&lt;&gt;0,SUMIF(куб!$D:$D,$D1129,куб!I:I),IF($C1129&lt;&gt;0,SUMIF(куб!$C:$C,$C1129,куб!I:I),IF($B1129&lt;&gt;0,SUMIF(куб!$B:$B,$B1129,куб!I:I),IF($G1129&lt;&gt;0,SUMIF(куб!$A:$A,$G1129,куб!I:I),SUMIF(куб!$A:$A,$G1129,куб!I:I)))))))</f>
        <v>0</v>
      </c>
      <c r="J1129" s="19" t="str">
        <f t="shared" si="345"/>
        <v>-</v>
      </c>
      <c r="K1129" s="8"/>
      <c r="L1129" s="17">
        <f t="shared" si="346"/>
        <v>0</v>
      </c>
      <c r="M1129" s="17">
        <f t="shared" si="347"/>
        <v>0</v>
      </c>
      <c r="N1129" s="12">
        <f t="shared" si="348"/>
        <v>0</v>
      </c>
      <c r="O1129" s="5"/>
      <c r="P1129" s="27" t="b">
        <f>IF($G1129&lt;&gt;0,SUMIF(куб!$G:$G,$G1129,куб!J:J),IF($E1129&lt;&gt;0,SUMIF(куб!$E:$E,$E1129,куб!J:J),IF($D1129&lt;&gt;0,SUMIF(куб!$D:$D,$D1129,куб!J:J),IF($C1129&lt;&gt;0,SUMIF(куб!$C:$C,$C1129,куб!J:J),IF($B1129&lt;&gt;0,SUMIF(куб!$B:$B,$B1129,куб!J:J))))))</f>
        <v>0</v>
      </c>
      <c r="Q1129" s="27" t="b">
        <f>IF($G1129&lt;&gt;0,SUMIF(куб!$G:$G,$G1129,куб!K:K),IF($E1129&lt;&gt;0,SUMIF(куб!$E:$E,$E1129,куб!K:K),IF($D1129&lt;&gt;0,SUMIF(куб!$D:$D,$D1129,куб!K:K),IF($C1129&lt;&gt;0,SUMIF(куб!$C:$C,$C1129,куб!K:K),IF($B1129&lt;&gt;0,SUMIF(куб!$B:$B,$B1129,куб!K:K))))))</f>
        <v>0</v>
      </c>
      <c r="R1129" s="13" t="str">
        <f t="shared" si="349"/>
        <v>-</v>
      </c>
      <c r="S1129" s="5"/>
      <c r="T1129" s="27" t="b">
        <f>IF($G1129&lt;&gt;0,SUMIF(куб!$G:$G,$G1129,куб!L:L),IF($E1129&lt;&gt;0,SUMIF(куб!$E:$E,$E1129,куб!L:L),IF($D1129&lt;&gt;0,SUMIF(куб!$D:$D,$D1129,куб!L:L),IF($C1129&lt;&gt;0,SUMIF(куб!$C:$C,$C1129,куб!L:L),IF($B1129&lt;&gt;0,SUMIF(куб!$B:$B,$B1129,куб!L:L))))))</f>
        <v>0</v>
      </c>
      <c r="U1129" s="27" t="b">
        <f>IF($G1129&lt;&gt;0,SUMIF(куб!$G:$G,$G1129,куб!M:M),IF($E1129&lt;&gt;0,SUMIF(куб!$E:$E,$E1129,куб!M:M),IF($D1129&lt;&gt;0,SUMIF(куб!$D:$D,$D1129,куб!M:M),IF($C1129&lt;&gt;0,SUMIF(куб!$C:$C,$C1129,куб!M:M),IF($B1129&lt;&gt;0,SUMIF(куб!$B:$B,$B1129,куб!M:M))))))</f>
        <v>0</v>
      </c>
      <c r="V1129" s="13" t="str">
        <f t="shared" si="350"/>
        <v>-</v>
      </c>
      <c r="W1129" s="5"/>
      <c r="X1129" s="27" t="b">
        <f>IF($G1129&lt;&gt;0,SUMIF(куб!$G:$G,$G1129,куб!N:N),IF($E1129&lt;&gt;0,SUMIF(куб!$E:$E,$E1129,куб!N:N),IF($D1129&lt;&gt;0,SUMIF(куб!$D:$D,$D1129,куб!N:N),IF($C1129&lt;&gt;0,SUMIF(куб!$C:$C,$C1129,куб!N:N),IF($B1129&lt;&gt;0,SUMIF(куб!$B:$B,$B1129,куб!N:N))))))</f>
        <v>0</v>
      </c>
      <c r="Y1129" s="27" t="b">
        <f>IF($G1129&lt;&gt;0,SUMIF(куб!$G:$G,$G1129,куб!O:O),IF($E1129&lt;&gt;0,SUMIF(куб!$E:$E,$E1129,куб!O:O),IF($D1129&lt;&gt;0,SUMIF(куб!$D:$D,$D1129,куб!O:O),IF($C1129&lt;&gt;0,SUMIF(куб!$C:$C,$C1129,куб!O:O),IF($B1129&lt;&gt;0,SUMIF(куб!$B:$B,$B1129,куб!O:O))))))</f>
        <v>0</v>
      </c>
      <c r="Z1129" s="13" t="str">
        <f t="shared" si="351"/>
        <v>-</v>
      </c>
      <c r="AA1129" s="5"/>
      <c r="AB1129" s="33" t="str">
        <f t="shared" si="352"/>
        <v/>
      </c>
      <c r="AC1129" s="33" t="str">
        <f t="shared" si="353"/>
        <v/>
      </c>
      <c r="AD1129" s="15" t="str">
        <f t="shared" si="354"/>
        <v xml:space="preserve"> </v>
      </c>
      <c r="AE1129" s="5"/>
      <c r="AF1129" s="27" t="b">
        <f>IF($G1129&lt;&gt;0,SUMIF(куб!$G:$G,$G1129,куб!R:R),IF($E1129&lt;&gt;0,SUMIF(куб!$E:$E,$E1129,куб!R:R),IF($D1129&lt;&gt;0,SUMIF(куб!$D:$D,$D1129,куб!R:R),IF($C1129&lt;&gt;0,SUMIF(куб!$C:$C,$C1129,куб!R:R),IF($B1129&lt;&gt;0,SUMIF(куб!$B:$B,$B1129,куб!R:R))))))</f>
        <v>0</v>
      </c>
      <c r="AG1129" s="27" t="b">
        <f>IF($G1129&lt;&gt;0,SUMIF(куб!$G:$G,$G1129,куб!S:S),IF($E1129&lt;&gt;0,SUMIF(куб!$E:$E,$E1129,куб!S:S),IF($D1129&lt;&gt;0,SUMIF(куб!$D:$D,$D1129,куб!S:S),IF($C1129&lt;&gt;0,SUMIF(куб!$C:$C,$C1129,куб!S:S),IF($B1129&lt;&gt;0,SUMIF(куб!$B:$B,$B1129,куб!S:S))))))</f>
        <v>0</v>
      </c>
      <c r="AH1129" s="16" t="str">
        <f t="shared" si="355"/>
        <v>-</v>
      </c>
      <c r="AI1129" s="8"/>
      <c r="AJ1129" s="27" t="b">
        <f>IF($G1129&lt;&gt;0,SUMIF(куб!$G:$G,$G1129,куб!T:T),IF($E1129&lt;&gt;0,SUMIF(куб!$E:$E,$E1129,куб!T:T),IF($D1129&lt;&gt;0,SUMIF(куб!$D:$D,$D1129,куб!T:T),IF($C1129&lt;&gt;0,SUMIF(куб!$C:$C,$C1129,куб!T:T),IF($B1129&lt;&gt;0,SUMIF(куб!$B:$B,$B1129,куб!T:T))))))</f>
        <v>0</v>
      </c>
      <c r="AK1129" s="27" t="b">
        <f>IF($G1129&lt;&gt;0,SUMIF(куб!$G:$G,$G1129,куб!U:U),IF($E1129&lt;&gt;0,SUMIF(куб!$E:$E,$E1129,куб!U:U),IF($D1129&lt;&gt;0,SUMIF(куб!$D:$D,$D1129,куб!U:U),IF($C1129&lt;&gt;0,SUMIF(куб!$C:$C,$C1129,куб!U:U),IF($B1129&lt;&gt;0,SUMIF(куб!$B:$B,$B1129,куб!U:U))))))</f>
        <v>0</v>
      </c>
      <c r="AL1129" s="16" t="str">
        <f t="shared" si="356"/>
        <v>-</v>
      </c>
      <c r="AM1129" s="8"/>
      <c r="AN1129" s="17" t="str">
        <f t="shared" si="357"/>
        <v xml:space="preserve"> </v>
      </c>
      <c r="AO1129" s="17" t="str">
        <f t="shared" si="358"/>
        <v xml:space="preserve"> </v>
      </c>
      <c r="AP1129" s="16" t="str">
        <f t="shared" si="359"/>
        <v>-</v>
      </c>
      <c r="AQ1129" s="8"/>
      <c r="AR1129" s="17" t="str">
        <f t="shared" si="360"/>
        <v>-</v>
      </c>
      <c r="AS1129" s="17" t="str">
        <f t="shared" si="361"/>
        <v>-</v>
      </c>
      <c r="AT1129" s="13" t="str">
        <f t="shared" si="362"/>
        <v>-</v>
      </c>
      <c r="AU1129" s="8"/>
    </row>
    <row r="1130" spans="8:47" x14ac:dyDescent="0.25">
      <c r="H1130" s="27">
        <f>IF($G1130&lt;&gt;0,SUMIF(куб!$G:$G,$G1130,куб!H:H),IF($E1130&lt;&gt;0,SUMIF(куб!$E:$E,$E1130,куб!H:H),IF($D1130&lt;&gt;0,SUMIF(куб!$D:$D,$D1130,куб!H:H),IF($C1130&lt;&gt;0,SUMIF(куб!$C:$C,$C1130,куб!H:H),IF($B1130&lt;&gt;0,SUMIF(куб!$B:$B,$B1130,куб!H:H),IF($G1130&lt;&gt;0,SUMIF(куб!$A:$A,$G1130,куб!H:H),SUMIF(куб!$A:$A,$G1130,куб!H:H)))))))</f>
        <v>0</v>
      </c>
      <c r="I1130" s="27">
        <f>IF($G1130&lt;&gt;0,SUMIF(куб!$G:$G,$G1130,куб!I:I),IF($E1130&lt;&gt;0,SUMIF(куб!$E:$E,$E1130,куб!I:I),IF($D1130&lt;&gt;0,SUMIF(куб!$D:$D,$D1130,куб!I:I),IF($C1130&lt;&gt;0,SUMIF(куб!$C:$C,$C1130,куб!I:I),IF($B1130&lt;&gt;0,SUMIF(куб!$B:$B,$B1130,куб!I:I),IF($G1130&lt;&gt;0,SUMIF(куб!$A:$A,$G1130,куб!I:I),SUMIF(куб!$A:$A,$G1130,куб!I:I)))))))</f>
        <v>0</v>
      </c>
      <c r="J1130" s="19" t="str">
        <f t="shared" si="345"/>
        <v>-</v>
      </c>
      <c r="K1130" s="8"/>
      <c r="L1130" s="17">
        <f t="shared" si="346"/>
        <v>0</v>
      </c>
      <c r="M1130" s="17">
        <f t="shared" si="347"/>
        <v>0</v>
      </c>
      <c r="N1130" s="12">
        <f t="shared" si="348"/>
        <v>0</v>
      </c>
      <c r="O1130" s="5"/>
      <c r="P1130" s="27" t="b">
        <f>IF($G1130&lt;&gt;0,SUMIF(куб!$G:$G,$G1130,куб!J:J),IF($E1130&lt;&gt;0,SUMIF(куб!$E:$E,$E1130,куб!J:J),IF($D1130&lt;&gt;0,SUMIF(куб!$D:$D,$D1130,куб!J:J),IF($C1130&lt;&gt;0,SUMIF(куб!$C:$C,$C1130,куб!J:J),IF($B1130&lt;&gt;0,SUMIF(куб!$B:$B,$B1130,куб!J:J))))))</f>
        <v>0</v>
      </c>
      <c r="Q1130" s="27" t="b">
        <f>IF($G1130&lt;&gt;0,SUMIF(куб!$G:$G,$G1130,куб!K:K),IF($E1130&lt;&gt;0,SUMIF(куб!$E:$E,$E1130,куб!K:K),IF($D1130&lt;&gt;0,SUMIF(куб!$D:$D,$D1130,куб!K:K),IF($C1130&lt;&gt;0,SUMIF(куб!$C:$C,$C1130,куб!K:K),IF($B1130&lt;&gt;0,SUMIF(куб!$B:$B,$B1130,куб!K:K))))))</f>
        <v>0</v>
      </c>
      <c r="R1130" s="13" t="str">
        <f t="shared" si="349"/>
        <v>-</v>
      </c>
      <c r="S1130" s="5"/>
      <c r="T1130" s="27" t="b">
        <f>IF($G1130&lt;&gt;0,SUMIF(куб!$G:$G,$G1130,куб!L:L),IF($E1130&lt;&gt;0,SUMIF(куб!$E:$E,$E1130,куб!L:L),IF($D1130&lt;&gt;0,SUMIF(куб!$D:$D,$D1130,куб!L:L),IF($C1130&lt;&gt;0,SUMIF(куб!$C:$C,$C1130,куб!L:L),IF($B1130&lt;&gt;0,SUMIF(куб!$B:$B,$B1130,куб!L:L))))))</f>
        <v>0</v>
      </c>
      <c r="U1130" s="27" t="b">
        <f>IF($G1130&lt;&gt;0,SUMIF(куб!$G:$G,$G1130,куб!M:M),IF($E1130&lt;&gt;0,SUMIF(куб!$E:$E,$E1130,куб!M:M),IF($D1130&lt;&gt;0,SUMIF(куб!$D:$D,$D1130,куб!M:M),IF($C1130&lt;&gt;0,SUMIF(куб!$C:$C,$C1130,куб!M:M),IF($B1130&lt;&gt;0,SUMIF(куб!$B:$B,$B1130,куб!M:M))))))</f>
        <v>0</v>
      </c>
      <c r="V1130" s="13" t="str">
        <f t="shared" si="350"/>
        <v>-</v>
      </c>
      <c r="W1130" s="5"/>
      <c r="X1130" s="27" t="b">
        <f>IF($G1130&lt;&gt;0,SUMIF(куб!$G:$G,$G1130,куб!N:N),IF($E1130&lt;&gt;0,SUMIF(куб!$E:$E,$E1130,куб!N:N),IF($D1130&lt;&gt;0,SUMIF(куб!$D:$D,$D1130,куб!N:N),IF($C1130&lt;&gt;0,SUMIF(куб!$C:$C,$C1130,куб!N:N),IF($B1130&lt;&gt;0,SUMIF(куб!$B:$B,$B1130,куб!N:N))))))</f>
        <v>0</v>
      </c>
      <c r="Y1130" s="27" t="b">
        <f>IF($G1130&lt;&gt;0,SUMIF(куб!$G:$G,$G1130,куб!O:O),IF($E1130&lt;&gt;0,SUMIF(куб!$E:$E,$E1130,куб!O:O),IF($D1130&lt;&gt;0,SUMIF(куб!$D:$D,$D1130,куб!O:O),IF($C1130&lt;&gt;0,SUMIF(куб!$C:$C,$C1130,куб!O:O),IF($B1130&lt;&gt;0,SUMIF(куб!$B:$B,$B1130,куб!O:O))))))</f>
        <v>0</v>
      </c>
      <c r="Z1130" s="13" t="str">
        <f t="shared" si="351"/>
        <v>-</v>
      </c>
      <c r="AA1130" s="5"/>
      <c r="AB1130" s="33" t="str">
        <f t="shared" si="352"/>
        <v/>
      </c>
      <c r="AC1130" s="33" t="str">
        <f t="shared" si="353"/>
        <v/>
      </c>
      <c r="AD1130" s="15" t="str">
        <f t="shared" si="354"/>
        <v xml:space="preserve"> </v>
      </c>
      <c r="AE1130" s="5"/>
      <c r="AF1130" s="27" t="b">
        <f>IF($G1130&lt;&gt;0,SUMIF(куб!$G:$G,$G1130,куб!R:R),IF($E1130&lt;&gt;0,SUMIF(куб!$E:$E,$E1130,куб!R:R),IF($D1130&lt;&gt;0,SUMIF(куб!$D:$D,$D1130,куб!R:R),IF($C1130&lt;&gt;0,SUMIF(куб!$C:$C,$C1130,куб!R:R),IF($B1130&lt;&gt;0,SUMIF(куб!$B:$B,$B1130,куб!R:R))))))</f>
        <v>0</v>
      </c>
      <c r="AG1130" s="27" t="b">
        <f>IF($G1130&lt;&gt;0,SUMIF(куб!$G:$G,$G1130,куб!S:S),IF($E1130&lt;&gt;0,SUMIF(куб!$E:$E,$E1130,куб!S:S),IF($D1130&lt;&gt;0,SUMIF(куб!$D:$D,$D1130,куб!S:S),IF($C1130&lt;&gt;0,SUMIF(куб!$C:$C,$C1130,куб!S:S),IF($B1130&lt;&gt;0,SUMIF(куб!$B:$B,$B1130,куб!S:S))))))</f>
        <v>0</v>
      </c>
      <c r="AH1130" s="16" t="str">
        <f t="shared" si="355"/>
        <v>-</v>
      </c>
      <c r="AI1130" s="8"/>
      <c r="AJ1130" s="27" t="b">
        <f>IF($G1130&lt;&gt;0,SUMIF(куб!$G:$G,$G1130,куб!T:T),IF($E1130&lt;&gt;0,SUMIF(куб!$E:$E,$E1130,куб!T:T),IF($D1130&lt;&gt;0,SUMIF(куб!$D:$D,$D1130,куб!T:T),IF($C1130&lt;&gt;0,SUMIF(куб!$C:$C,$C1130,куб!T:T),IF($B1130&lt;&gt;0,SUMIF(куб!$B:$B,$B1130,куб!T:T))))))</f>
        <v>0</v>
      </c>
      <c r="AK1130" s="27" t="b">
        <f>IF($G1130&lt;&gt;0,SUMIF(куб!$G:$G,$G1130,куб!U:U),IF($E1130&lt;&gt;0,SUMIF(куб!$E:$E,$E1130,куб!U:U),IF($D1130&lt;&gt;0,SUMIF(куб!$D:$D,$D1130,куб!U:U),IF($C1130&lt;&gt;0,SUMIF(куб!$C:$C,$C1130,куб!U:U),IF($B1130&lt;&gt;0,SUMIF(куб!$B:$B,$B1130,куб!U:U))))))</f>
        <v>0</v>
      </c>
      <c r="AL1130" s="16" t="str">
        <f t="shared" si="356"/>
        <v>-</v>
      </c>
      <c r="AM1130" s="8"/>
      <c r="AN1130" s="17" t="str">
        <f t="shared" si="357"/>
        <v xml:space="preserve"> </v>
      </c>
      <c r="AO1130" s="17" t="str">
        <f t="shared" si="358"/>
        <v xml:space="preserve"> </v>
      </c>
      <c r="AP1130" s="16" t="str">
        <f t="shared" si="359"/>
        <v>-</v>
      </c>
      <c r="AQ1130" s="8"/>
      <c r="AR1130" s="17" t="str">
        <f t="shared" si="360"/>
        <v>-</v>
      </c>
      <c r="AS1130" s="17" t="str">
        <f t="shared" si="361"/>
        <v>-</v>
      </c>
      <c r="AT1130" s="13" t="str">
        <f t="shared" si="362"/>
        <v>-</v>
      </c>
      <c r="AU1130" s="8"/>
    </row>
    <row r="1131" spans="8:47" x14ac:dyDescent="0.25">
      <c r="H1131" s="27">
        <f>IF($G1131&lt;&gt;0,SUMIF(куб!$G:$G,$G1131,куб!H:H),IF($E1131&lt;&gt;0,SUMIF(куб!$E:$E,$E1131,куб!H:H),IF($D1131&lt;&gt;0,SUMIF(куб!$D:$D,$D1131,куб!H:H),IF($C1131&lt;&gt;0,SUMIF(куб!$C:$C,$C1131,куб!H:H),IF($B1131&lt;&gt;0,SUMIF(куб!$B:$B,$B1131,куб!H:H),IF($G1131&lt;&gt;0,SUMIF(куб!$A:$A,$G1131,куб!H:H),SUMIF(куб!$A:$A,$G1131,куб!H:H)))))))</f>
        <v>0</v>
      </c>
      <c r="I1131" s="27">
        <f>IF($G1131&lt;&gt;0,SUMIF(куб!$G:$G,$G1131,куб!I:I),IF($E1131&lt;&gt;0,SUMIF(куб!$E:$E,$E1131,куб!I:I),IF($D1131&lt;&gt;0,SUMIF(куб!$D:$D,$D1131,куб!I:I),IF($C1131&lt;&gt;0,SUMIF(куб!$C:$C,$C1131,куб!I:I),IF($B1131&lt;&gt;0,SUMIF(куб!$B:$B,$B1131,куб!I:I),IF($G1131&lt;&gt;0,SUMIF(куб!$A:$A,$G1131,куб!I:I),SUMIF(куб!$A:$A,$G1131,куб!I:I)))))))</f>
        <v>0</v>
      </c>
      <c r="J1131" s="19" t="str">
        <f t="shared" si="345"/>
        <v>-</v>
      </c>
      <c r="K1131" s="8"/>
      <c r="L1131" s="17">
        <f t="shared" si="346"/>
        <v>0</v>
      </c>
      <c r="M1131" s="17">
        <f t="shared" si="347"/>
        <v>0</v>
      </c>
      <c r="N1131" s="12">
        <f t="shared" si="348"/>
        <v>0</v>
      </c>
      <c r="O1131" s="5"/>
      <c r="P1131" s="27" t="b">
        <f>IF($G1131&lt;&gt;0,SUMIF(куб!$G:$G,$G1131,куб!J:J),IF($E1131&lt;&gt;0,SUMIF(куб!$E:$E,$E1131,куб!J:J),IF($D1131&lt;&gt;0,SUMIF(куб!$D:$D,$D1131,куб!J:J),IF($C1131&lt;&gt;0,SUMIF(куб!$C:$C,$C1131,куб!J:J),IF($B1131&lt;&gt;0,SUMIF(куб!$B:$B,$B1131,куб!J:J))))))</f>
        <v>0</v>
      </c>
      <c r="Q1131" s="27" t="b">
        <f>IF($G1131&lt;&gt;0,SUMIF(куб!$G:$G,$G1131,куб!K:K),IF($E1131&lt;&gt;0,SUMIF(куб!$E:$E,$E1131,куб!K:K),IF($D1131&lt;&gt;0,SUMIF(куб!$D:$D,$D1131,куб!K:K),IF($C1131&lt;&gt;0,SUMIF(куб!$C:$C,$C1131,куб!K:K),IF($B1131&lt;&gt;0,SUMIF(куб!$B:$B,$B1131,куб!K:K))))))</f>
        <v>0</v>
      </c>
      <c r="R1131" s="13" t="str">
        <f t="shared" si="349"/>
        <v>-</v>
      </c>
      <c r="S1131" s="5"/>
      <c r="T1131" s="27" t="b">
        <f>IF($G1131&lt;&gt;0,SUMIF(куб!$G:$G,$G1131,куб!L:L),IF($E1131&lt;&gt;0,SUMIF(куб!$E:$E,$E1131,куб!L:L),IF($D1131&lt;&gt;0,SUMIF(куб!$D:$D,$D1131,куб!L:L),IF($C1131&lt;&gt;0,SUMIF(куб!$C:$C,$C1131,куб!L:L),IF($B1131&lt;&gt;0,SUMIF(куб!$B:$B,$B1131,куб!L:L))))))</f>
        <v>0</v>
      </c>
      <c r="U1131" s="27" t="b">
        <f>IF($G1131&lt;&gt;0,SUMIF(куб!$G:$G,$G1131,куб!M:M),IF($E1131&lt;&gt;0,SUMIF(куб!$E:$E,$E1131,куб!M:M),IF($D1131&lt;&gt;0,SUMIF(куб!$D:$D,$D1131,куб!M:M),IF($C1131&lt;&gt;0,SUMIF(куб!$C:$C,$C1131,куб!M:M),IF($B1131&lt;&gt;0,SUMIF(куб!$B:$B,$B1131,куб!M:M))))))</f>
        <v>0</v>
      </c>
      <c r="V1131" s="13" t="str">
        <f t="shared" si="350"/>
        <v>-</v>
      </c>
      <c r="W1131" s="5"/>
      <c r="X1131" s="27" t="b">
        <f>IF($G1131&lt;&gt;0,SUMIF(куб!$G:$G,$G1131,куб!N:N),IF($E1131&lt;&gt;0,SUMIF(куб!$E:$E,$E1131,куб!N:N),IF($D1131&lt;&gt;0,SUMIF(куб!$D:$D,$D1131,куб!N:N),IF($C1131&lt;&gt;0,SUMIF(куб!$C:$C,$C1131,куб!N:N),IF($B1131&lt;&gt;0,SUMIF(куб!$B:$B,$B1131,куб!N:N))))))</f>
        <v>0</v>
      </c>
      <c r="Y1131" s="27" t="b">
        <f>IF($G1131&lt;&gt;0,SUMIF(куб!$G:$G,$G1131,куб!O:O),IF($E1131&lt;&gt;0,SUMIF(куб!$E:$E,$E1131,куб!O:O),IF($D1131&lt;&gt;0,SUMIF(куб!$D:$D,$D1131,куб!O:O),IF($C1131&lt;&gt;0,SUMIF(куб!$C:$C,$C1131,куб!O:O),IF($B1131&lt;&gt;0,SUMIF(куб!$B:$B,$B1131,куб!O:O))))))</f>
        <v>0</v>
      </c>
      <c r="Z1131" s="13" t="str">
        <f t="shared" si="351"/>
        <v>-</v>
      </c>
      <c r="AA1131" s="5"/>
      <c r="AB1131" s="33" t="str">
        <f t="shared" si="352"/>
        <v/>
      </c>
      <c r="AC1131" s="33" t="str">
        <f t="shared" si="353"/>
        <v/>
      </c>
      <c r="AD1131" s="15" t="str">
        <f t="shared" si="354"/>
        <v xml:space="preserve"> </v>
      </c>
      <c r="AE1131" s="5"/>
      <c r="AF1131" s="27" t="b">
        <f>IF($G1131&lt;&gt;0,SUMIF(куб!$G:$G,$G1131,куб!R:R),IF($E1131&lt;&gt;0,SUMIF(куб!$E:$E,$E1131,куб!R:R),IF($D1131&lt;&gt;0,SUMIF(куб!$D:$D,$D1131,куб!R:R),IF($C1131&lt;&gt;0,SUMIF(куб!$C:$C,$C1131,куб!R:R),IF($B1131&lt;&gt;0,SUMIF(куб!$B:$B,$B1131,куб!R:R))))))</f>
        <v>0</v>
      </c>
      <c r="AG1131" s="27" t="b">
        <f>IF($G1131&lt;&gt;0,SUMIF(куб!$G:$G,$G1131,куб!S:S),IF($E1131&lt;&gt;0,SUMIF(куб!$E:$E,$E1131,куб!S:S),IF($D1131&lt;&gt;0,SUMIF(куб!$D:$D,$D1131,куб!S:S),IF($C1131&lt;&gt;0,SUMIF(куб!$C:$C,$C1131,куб!S:S),IF($B1131&lt;&gt;0,SUMIF(куб!$B:$B,$B1131,куб!S:S))))))</f>
        <v>0</v>
      </c>
      <c r="AH1131" s="16" t="str">
        <f t="shared" si="355"/>
        <v>-</v>
      </c>
      <c r="AI1131" s="8"/>
      <c r="AJ1131" s="27" t="b">
        <f>IF($G1131&lt;&gt;0,SUMIF(куб!$G:$G,$G1131,куб!T:T),IF($E1131&lt;&gt;0,SUMIF(куб!$E:$E,$E1131,куб!T:T),IF($D1131&lt;&gt;0,SUMIF(куб!$D:$D,$D1131,куб!T:T),IF($C1131&lt;&gt;0,SUMIF(куб!$C:$C,$C1131,куб!T:T),IF($B1131&lt;&gt;0,SUMIF(куб!$B:$B,$B1131,куб!T:T))))))</f>
        <v>0</v>
      </c>
      <c r="AK1131" s="27" t="b">
        <f>IF($G1131&lt;&gt;0,SUMIF(куб!$G:$G,$G1131,куб!U:U),IF($E1131&lt;&gt;0,SUMIF(куб!$E:$E,$E1131,куб!U:U),IF($D1131&lt;&gt;0,SUMIF(куб!$D:$D,$D1131,куб!U:U),IF($C1131&lt;&gt;0,SUMIF(куб!$C:$C,$C1131,куб!U:U),IF($B1131&lt;&gt;0,SUMIF(куб!$B:$B,$B1131,куб!U:U))))))</f>
        <v>0</v>
      </c>
      <c r="AL1131" s="16" t="str">
        <f t="shared" si="356"/>
        <v>-</v>
      </c>
      <c r="AM1131" s="8"/>
      <c r="AN1131" s="17" t="str">
        <f t="shared" si="357"/>
        <v xml:space="preserve"> </v>
      </c>
      <c r="AO1131" s="17" t="str">
        <f t="shared" si="358"/>
        <v xml:space="preserve"> </v>
      </c>
      <c r="AP1131" s="16" t="str">
        <f t="shared" si="359"/>
        <v>-</v>
      </c>
      <c r="AQ1131" s="8"/>
      <c r="AR1131" s="17" t="str">
        <f t="shared" si="360"/>
        <v>-</v>
      </c>
      <c r="AS1131" s="17" t="str">
        <f t="shared" si="361"/>
        <v>-</v>
      </c>
      <c r="AT1131" s="13" t="str">
        <f t="shared" si="362"/>
        <v>-</v>
      </c>
      <c r="AU1131" s="8"/>
    </row>
    <row r="1132" spans="8:47" x14ac:dyDescent="0.25">
      <c r="H1132" s="27">
        <f>IF($G1132&lt;&gt;0,SUMIF(куб!$G:$G,$G1132,куб!H:H),IF($E1132&lt;&gt;0,SUMIF(куб!$E:$E,$E1132,куб!H:H),IF($D1132&lt;&gt;0,SUMIF(куб!$D:$D,$D1132,куб!H:H),IF($C1132&lt;&gt;0,SUMIF(куб!$C:$C,$C1132,куб!H:H),IF($B1132&lt;&gt;0,SUMIF(куб!$B:$B,$B1132,куб!H:H),IF($G1132&lt;&gt;0,SUMIF(куб!$A:$A,$G1132,куб!H:H),SUMIF(куб!$A:$A,$G1132,куб!H:H)))))))</f>
        <v>0</v>
      </c>
      <c r="I1132" s="27">
        <f>IF($G1132&lt;&gt;0,SUMIF(куб!$G:$G,$G1132,куб!I:I),IF($E1132&lt;&gt;0,SUMIF(куб!$E:$E,$E1132,куб!I:I),IF($D1132&lt;&gt;0,SUMIF(куб!$D:$D,$D1132,куб!I:I),IF($C1132&lt;&gt;0,SUMIF(куб!$C:$C,$C1132,куб!I:I),IF($B1132&lt;&gt;0,SUMIF(куб!$B:$B,$B1132,куб!I:I),IF($G1132&lt;&gt;0,SUMIF(куб!$A:$A,$G1132,куб!I:I),SUMIF(куб!$A:$A,$G1132,куб!I:I)))))))</f>
        <v>0</v>
      </c>
      <c r="J1132" s="19" t="str">
        <f t="shared" si="345"/>
        <v>-</v>
      </c>
      <c r="K1132" s="8"/>
      <c r="L1132" s="17">
        <f t="shared" si="346"/>
        <v>0</v>
      </c>
      <c r="M1132" s="17">
        <f t="shared" si="347"/>
        <v>0</v>
      </c>
      <c r="N1132" s="12">
        <f t="shared" si="348"/>
        <v>0</v>
      </c>
      <c r="O1132" s="5"/>
      <c r="P1132" s="27" t="b">
        <f>IF($G1132&lt;&gt;0,SUMIF(куб!$G:$G,$G1132,куб!J:J),IF($E1132&lt;&gt;0,SUMIF(куб!$E:$E,$E1132,куб!J:J),IF($D1132&lt;&gt;0,SUMIF(куб!$D:$D,$D1132,куб!J:J),IF($C1132&lt;&gt;0,SUMIF(куб!$C:$C,$C1132,куб!J:J),IF($B1132&lt;&gt;0,SUMIF(куб!$B:$B,$B1132,куб!J:J))))))</f>
        <v>0</v>
      </c>
      <c r="Q1132" s="27" t="b">
        <f>IF($G1132&lt;&gt;0,SUMIF(куб!$G:$G,$G1132,куб!K:K),IF($E1132&lt;&gt;0,SUMIF(куб!$E:$E,$E1132,куб!K:K),IF($D1132&lt;&gt;0,SUMIF(куб!$D:$D,$D1132,куб!K:K),IF($C1132&lt;&gt;0,SUMIF(куб!$C:$C,$C1132,куб!K:K),IF($B1132&lt;&gt;0,SUMIF(куб!$B:$B,$B1132,куб!K:K))))))</f>
        <v>0</v>
      </c>
      <c r="R1132" s="13" t="str">
        <f t="shared" si="349"/>
        <v>-</v>
      </c>
      <c r="S1132" s="5"/>
      <c r="T1132" s="27" t="b">
        <f>IF($G1132&lt;&gt;0,SUMIF(куб!$G:$G,$G1132,куб!L:L),IF($E1132&lt;&gt;0,SUMIF(куб!$E:$E,$E1132,куб!L:L),IF($D1132&lt;&gt;0,SUMIF(куб!$D:$D,$D1132,куб!L:L),IF($C1132&lt;&gt;0,SUMIF(куб!$C:$C,$C1132,куб!L:L),IF($B1132&lt;&gt;0,SUMIF(куб!$B:$B,$B1132,куб!L:L))))))</f>
        <v>0</v>
      </c>
      <c r="U1132" s="27" t="b">
        <f>IF($G1132&lt;&gt;0,SUMIF(куб!$G:$G,$G1132,куб!M:M),IF($E1132&lt;&gt;0,SUMIF(куб!$E:$E,$E1132,куб!M:M),IF($D1132&lt;&gt;0,SUMIF(куб!$D:$D,$D1132,куб!M:M),IF($C1132&lt;&gt;0,SUMIF(куб!$C:$C,$C1132,куб!M:M),IF($B1132&lt;&gt;0,SUMIF(куб!$B:$B,$B1132,куб!M:M))))))</f>
        <v>0</v>
      </c>
      <c r="V1132" s="13" t="str">
        <f t="shared" si="350"/>
        <v>-</v>
      </c>
      <c r="W1132" s="5"/>
      <c r="X1132" s="27" t="b">
        <f>IF($G1132&lt;&gt;0,SUMIF(куб!$G:$G,$G1132,куб!N:N),IF($E1132&lt;&gt;0,SUMIF(куб!$E:$E,$E1132,куб!N:N),IF($D1132&lt;&gt;0,SUMIF(куб!$D:$D,$D1132,куб!N:N),IF($C1132&lt;&gt;0,SUMIF(куб!$C:$C,$C1132,куб!N:N),IF($B1132&lt;&gt;0,SUMIF(куб!$B:$B,$B1132,куб!N:N))))))</f>
        <v>0</v>
      </c>
      <c r="Y1132" s="27" t="b">
        <f>IF($G1132&lt;&gt;0,SUMIF(куб!$G:$G,$G1132,куб!O:O),IF($E1132&lt;&gt;0,SUMIF(куб!$E:$E,$E1132,куб!O:O),IF($D1132&lt;&gt;0,SUMIF(куб!$D:$D,$D1132,куб!O:O),IF($C1132&lt;&gt;0,SUMIF(куб!$C:$C,$C1132,куб!O:O),IF($B1132&lt;&gt;0,SUMIF(куб!$B:$B,$B1132,куб!O:O))))))</f>
        <v>0</v>
      </c>
      <c r="Z1132" s="13" t="str">
        <f t="shared" si="351"/>
        <v>-</v>
      </c>
      <c r="AA1132" s="5"/>
      <c r="AB1132" s="33" t="str">
        <f t="shared" si="352"/>
        <v/>
      </c>
      <c r="AC1132" s="33" t="str">
        <f t="shared" si="353"/>
        <v/>
      </c>
      <c r="AD1132" s="15" t="str">
        <f t="shared" si="354"/>
        <v xml:space="preserve"> </v>
      </c>
      <c r="AE1132" s="5"/>
      <c r="AF1132" s="27" t="b">
        <f>IF($G1132&lt;&gt;0,SUMIF(куб!$G:$G,$G1132,куб!R:R),IF($E1132&lt;&gt;0,SUMIF(куб!$E:$E,$E1132,куб!R:R),IF($D1132&lt;&gt;0,SUMIF(куб!$D:$D,$D1132,куб!R:R),IF($C1132&lt;&gt;0,SUMIF(куб!$C:$C,$C1132,куб!R:R),IF($B1132&lt;&gt;0,SUMIF(куб!$B:$B,$B1132,куб!R:R))))))</f>
        <v>0</v>
      </c>
      <c r="AG1132" s="27" t="b">
        <f>IF($G1132&lt;&gt;0,SUMIF(куб!$G:$G,$G1132,куб!S:S),IF($E1132&lt;&gt;0,SUMIF(куб!$E:$E,$E1132,куб!S:S),IF($D1132&lt;&gt;0,SUMIF(куб!$D:$D,$D1132,куб!S:S),IF($C1132&lt;&gt;0,SUMIF(куб!$C:$C,$C1132,куб!S:S),IF($B1132&lt;&gt;0,SUMIF(куб!$B:$B,$B1132,куб!S:S))))))</f>
        <v>0</v>
      </c>
      <c r="AH1132" s="16" t="str">
        <f t="shared" si="355"/>
        <v>-</v>
      </c>
      <c r="AI1132" s="8"/>
      <c r="AJ1132" s="27" t="b">
        <f>IF($G1132&lt;&gt;0,SUMIF(куб!$G:$G,$G1132,куб!T:T),IF($E1132&lt;&gt;0,SUMIF(куб!$E:$E,$E1132,куб!T:T),IF($D1132&lt;&gt;0,SUMIF(куб!$D:$D,$D1132,куб!T:T),IF($C1132&lt;&gt;0,SUMIF(куб!$C:$C,$C1132,куб!T:T),IF($B1132&lt;&gt;0,SUMIF(куб!$B:$B,$B1132,куб!T:T))))))</f>
        <v>0</v>
      </c>
      <c r="AK1132" s="27" t="b">
        <f>IF($G1132&lt;&gt;0,SUMIF(куб!$G:$G,$G1132,куб!U:U),IF($E1132&lt;&gt;0,SUMIF(куб!$E:$E,$E1132,куб!U:U),IF($D1132&lt;&gt;0,SUMIF(куб!$D:$D,$D1132,куб!U:U),IF($C1132&lt;&gt;0,SUMIF(куб!$C:$C,$C1132,куб!U:U),IF($B1132&lt;&gt;0,SUMIF(куб!$B:$B,$B1132,куб!U:U))))))</f>
        <v>0</v>
      </c>
      <c r="AL1132" s="16" t="str">
        <f t="shared" si="356"/>
        <v>-</v>
      </c>
      <c r="AM1132" s="8"/>
      <c r="AN1132" s="17" t="str">
        <f t="shared" si="357"/>
        <v xml:space="preserve"> </v>
      </c>
      <c r="AO1132" s="17" t="str">
        <f t="shared" si="358"/>
        <v xml:space="preserve"> </v>
      </c>
      <c r="AP1132" s="16" t="str">
        <f t="shared" si="359"/>
        <v>-</v>
      </c>
      <c r="AQ1132" s="8"/>
      <c r="AR1132" s="17" t="str">
        <f t="shared" si="360"/>
        <v>-</v>
      </c>
      <c r="AS1132" s="17" t="str">
        <f t="shared" si="361"/>
        <v>-</v>
      </c>
      <c r="AT1132" s="13" t="str">
        <f t="shared" si="362"/>
        <v>-</v>
      </c>
      <c r="AU1132" s="8"/>
    </row>
    <row r="1133" spans="8:47" x14ac:dyDescent="0.25">
      <c r="H1133" s="27">
        <f>IF($G1133&lt;&gt;0,SUMIF(куб!$G:$G,$G1133,куб!H:H),IF($E1133&lt;&gt;0,SUMIF(куб!$E:$E,$E1133,куб!H:H),IF($D1133&lt;&gt;0,SUMIF(куб!$D:$D,$D1133,куб!H:H),IF($C1133&lt;&gt;0,SUMIF(куб!$C:$C,$C1133,куб!H:H),IF($B1133&lt;&gt;0,SUMIF(куб!$B:$B,$B1133,куб!H:H),IF($G1133&lt;&gt;0,SUMIF(куб!$A:$A,$G1133,куб!H:H),SUMIF(куб!$A:$A,$G1133,куб!H:H)))))))</f>
        <v>0</v>
      </c>
      <c r="I1133" s="27">
        <f>IF($G1133&lt;&gt;0,SUMIF(куб!$G:$G,$G1133,куб!I:I),IF($E1133&lt;&gt;0,SUMIF(куб!$E:$E,$E1133,куб!I:I),IF($D1133&lt;&gt;0,SUMIF(куб!$D:$D,$D1133,куб!I:I),IF($C1133&lt;&gt;0,SUMIF(куб!$C:$C,$C1133,куб!I:I),IF($B1133&lt;&gt;0,SUMIF(куб!$B:$B,$B1133,куб!I:I),IF($G1133&lt;&gt;0,SUMIF(куб!$A:$A,$G1133,куб!I:I),SUMIF(куб!$A:$A,$G1133,куб!I:I)))))))</f>
        <v>0</v>
      </c>
      <c r="J1133" s="19" t="str">
        <f t="shared" si="345"/>
        <v>-</v>
      </c>
      <c r="K1133" s="8"/>
      <c r="L1133" s="17">
        <f t="shared" si="346"/>
        <v>0</v>
      </c>
      <c r="M1133" s="17">
        <f t="shared" si="347"/>
        <v>0</v>
      </c>
      <c r="N1133" s="12">
        <f t="shared" si="348"/>
        <v>0</v>
      </c>
      <c r="O1133" s="5"/>
      <c r="P1133" s="27" t="b">
        <f>IF($G1133&lt;&gt;0,SUMIF(куб!$G:$G,$G1133,куб!J:J),IF($E1133&lt;&gt;0,SUMIF(куб!$E:$E,$E1133,куб!J:J),IF($D1133&lt;&gt;0,SUMIF(куб!$D:$D,$D1133,куб!J:J),IF($C1133&lt;&gt;0,SUMIF(куб!$C:$C,$C1133,куб!J:J),IF($B1133&lt;&gt;0,SUMIF(куб!$B:$B,$B1133,куб!J:J))))))</f>
        <v>0</v>
      </c>
      <c r="Q1133" s="27" t="b">
        <f>IF($G1133&lt;&gt;0,SUMIF(куб!$G:$G,$G1133,куб!K:K),IF($E1133&lt;&gt;0,SUMIF(куб!$E:$E,$E1133,куб!K:K),IF($D1133&lt;&gt;0,SUMIF(куб!$D:$D,$D1133,куб!K:K),IF($C1133&lt;&gt;0,SUMIF(куб!$C:$C,$C1133,куб!K:K),IF($B1133&lt;&gt;0,SUMIF(куб!$B:$B,$B1133,куб!K:K))))))</f>
        <v>0</v>
      </c>
      <c r="R1133" s="13" t="str">
        <f t="shared" si="349"/>
        <v>-</v>
      </c>
      <c r="S1133" s="5"/>
      <c r="T1133" s="27" t="b">
        <f>IF($G1133&lt;&gt;0,SUMIF(куб!$G:$G,$G1133,куб!L:L),IF($E1133&lt;&gt;0,SUMIF(куб!$E:$E,$E1133,куб!L:L),IF($D1133&lt;&gt;0,SUMIF(куб!$D:$D,$D1133,куб!L:L),IF($C1133&lt;&gt;0,SUMIF(куб!$C:$C,$C1133,куб!L:L),IF($B1133&lt;&gt;0,SUMIF(куб!$B:$B,$B1133,куб!L:L))))))</f>
        <v>0</v>
      </c>
      <c r="U1133" s="27" t="b">
        <f>IF($G1133&lt;&gt;0,SUMIF(куб!$G:$G,$G1133,куб!M:M),IF($E1133&lt;&gt;0,SUMIF(куб!$E:$E,$E1133,куб!M:M),IF($D1133&lt;&gt;0,SUMIF(куб!$D:$D,$D1133,куб!M:M),IF($C1133&lt;&gt;0,SUMIF(куб!$C:$C,$C1133,куб!M:M),IF($B1133&lt;&gt;0,SUMIF(куб!$B:$B,$B1133,куб!M:M))))))</f>
        <v>0</v>
      </c>
      <c r="V1133" s="13" t="str">
        <f t="shared" si="350"/>
        <v>-</v>
      </c>
      <c r="W1133" s="5"/>
      <c r="X1133" s="27" t="b">
        <f>IF($G1133&lt;&gt;0,SUMIF(куб!$G:$G,$G1133,куб!N:N),IF($E1133&lt;&gt;0,SUMIF(куб!$E:$E,$E1133,куб!N:N),IF($D1133&lt;&gt;0,SUMIF(куб!$D:$D,$D1133,куб!N:N),IF($C1133&lt;&gt;0,SUMIF(куб!$C:$C,$C1133,куб!N:N),IF($B1133&lt;&gt;0,SUMIF(куб!$B:$B,$B1133,куб!N:N))))))</f>
        <v>0</v>
      </c>
      <c r="Y1133" s="27" t="b">
        <f>IF($G1133&lt;&gt;0,SUMIF(куб!$G:$G,$G1133,куб!O:O),IF($E1133&lt;&gt;0,SUMIF(куб!$E:$E,$E1133,куб!O:O),IF($D1133&lt;&gt;0,SUMIF(куб!$D:$D,$D1133,куб!O:O),IF($C1133&lt;&gt;0,SUMIF(куб!$C:$C,$C1133,куб!O:O),IF($B1133&lt;&gt;0,SUMIF(куб!$B:$B,$B1133,куб!O:O))))))</f>
        <v>0</v>
      </c>
      <c r="Z1133" s="13" t="str">
        <f t="shared" si="351"/>
        <v>-</v>
      </c>
      <c r="AA1133" s="5"/>
      <c r="AB1133" s="33" t="str">
        <f t="shared" si="352"/>
        <v/>
      </c>
      <c r="AC1133" s="33" t="str">
        <f t="shared" si="353"/>
        <v/>
      </c>
      <c r="AD1133" s="15" t="str">
        <f t="shared" si="354"/>
        <v xml:space="preserve"> </v>
      </c>
      <c r="AE1133" s="5"/>
      <c r="AF1133" s="27" t="b">
        <f>IF($G1133&lt;&gt;0,SUMIF(куб!$G:$G,$G1133,куб!R:R),IF($E1133&lt;&gt;0,SUMIF(куб!$E:$E,$E1133,куб!R:R),IF($D1133&lt;&gt;0,SUMIF(куб!$D:$D,$D1133,куб!R:R),IF($C1133&lt;&gt;0,SUMIF(куб!$C:$C,$C1133,куб!R:R),IF($B1133&lt;&gt;0,SUMIF(куб!$B:$B,$B1133,куб!R:R))))))</f>
        <v>0</v>
      </c>
      <c r="AG1133" s="27" t="b">
        <f>IF($G1133&lt;&gt;0,SUMIF(куб!$G:$G,$G1133,куб!S:S),IF($E1133&lt;&gt;0,SUMIF(куб!$E:$E,$E1133,куб!S:S),IF($D1133&lt;&gt;0,SUMIF(куб!$D:$D,$D1133,куб!S:S),IF($C1133&lt;&gt;0,SUMIF(куб!$C:$C,$C1133,куб!S:S),IF($B1133&lt;&gt;0,SUMIF(куб!$B:$B,$B1133,куб!S:S))))))</f>
        <v>0</v>
      </c>
      <c r="AH1133" s="16" t="str">
        <f t="shared" si="355"/>
        <v>-</v>
      </c>
      <c r="AI1133" s="8"/>
      <c r="AJ1133" s="27" t="b">
        <f>IF($G1133&lt;&gt;0,SUMIF(куб!$G:$G,$G1133,куб!T:T),IF($E1133&lt;&gt;0,SUMIF(куб!$E:$E,$E1133,куб!T:T),IF($D1133&lt;&gt;0,SUMIF(куб!$D:$D,$D1133,куб!T:T),IF($C1133&lt;&gt;0,SUMIF(куб!$C:$C,$C1133,куб!T:T),IF($B1133&lt;&gt;0,SUMIF(куб!$B:$B,$B1133,куб!T:T))))))</f>
        <v>0</v>
      </c>
      <c r="AK1133" s="27" t="b">
        <f>IF($G1133&lt;&gt;0,SUMIF(куб!$G:$G,$G1133,куб!U:U),IF($E1133&lt;&gt;0,SUMIF(куб!$E:$E,$E1133,куб!U:U),IF($D1133&lt;&gt;0,SUMIF(куб!$D:$D,$D1133,куб!U:U),IF($C1133&lt;&gt;0,SUMIF(куб!$C:$C,$C1133,куб!U:U),IF($B1133&lt;&gt;0,SUMIF(куб!$B:$B,$B1133,куб!U:U))))))</f>
        <v>0</v>
      </c>
      <c r="AL1133" s="16" t="str">
        <f t="shared" si="356"/>
        <v>-</v>
      </c>
      <c r="AM1133" s="8"/>
      <c r="AN1133" s="17" t="str">
        <f t="shared" si="357"/>
        <v xml:space="preserve"> </v>
      </c>
      <c r="AO1133" s="17" t="str">
        <f t="shared" si="358"/>
        <v xml:space="preserve"> </v>
      </c>
      <c r="AP1133" s="16" t="str">
        <f t="shared" si="359"/>
        <v>-</v>
      </c>
      <c r="AQ1133" s="8"/>
      <c r="AR1133" s="17" t="str">
        <f t="shared" si="360"/>
        <v>-</v>
      </c>
      <c r="AS1133" s="17" t="str">
        <f t="shared" si="361"/>
        <v>-</v>
      </c>
      <c r="AT1133" s="13" t="str">
        <f t="shared" si="362"/>
        <v>-</v>
      </c>
      <c r="AU1133" s="8"/>
    </row>
    <row r="1134" spans="8:47" x14ac:dyDescent="0.25">
      <c r="H1134" s="27">
        <f>IF($G1134&lt;&gt;0,SUMIF(куб!$G:$G,$G1134,куб!H:H),IF($E1134&lt;&gt;0,SUMIF(куб!$E:$E,$E1134,куб!H:H),IF($D1134&lt;&gt;0,SUMIF(куб!$D:$D,$D1134,куб!H:H),IF($C1134&lt;&gt;0,SUMIF(куб!$C:$C,$C1134,куб!H:H),IF($B1134&lt;&gt;0,SUMIF(куб!$B:$B,$B1134,куб!H:H),IF($G1134&lt;&gt;0,SUMIF(куб!$A:$A,$G1134,куб!H:H),SUMIF(куб!$A:$A,$G1134,куб!H:H)))))))</f>
        <v>0</v>
      </c>
      <c r="I1134" s="27">
        <f>IF($G1134&lt;&gt;0,SUMIF(куб!$G:$G,$G1134,куб!I:I),IF($E1134&lt;&gt;0,SUMIF(куб!$E:$E,$E1134,куб!I:I),IF($D1134&lt;&gt;0,SUMIF(куб!$D:$D,$D1134,куб!I:I),IF($C1134&lt;&gt;0,SUMIF(куб!$C:$C,$C1134,куб!I:I),IF($B1134&lt;&gt;0,SUMIF(куб!$B:$B,$B1134,куб!I:I),IF($G1134&lt;&gt;0,SUMIF(куб!$A:$A,$G1134,куб!I:I),SUMIF(куб!$A:$A,$G1134,куб!I:I)))))))</f>
        <v>0</v>
      </c>
      <c r="J1134" s="19" t="str">
        <f t="shared" si="345"/>
        <v>-</v>
      </c>
      <c r="K1134" s="8"/>
      <c r="L1134" s="17">
        <f t="shared" si="346"/>
        <v>0</v>
      </c>
      <c r="M1134" s="17">
        <f t="shared" si="347"/>
        <v>0</v>
      </c>
      <c r="N1134" s="12">
        <f t="shared" si="348"/>
        <v>0</v>
      </c>
      <c r="O1134" s="5"/>
      <c r="P1134" s="27" t="b">
        <f>IF($G1134&lt;&gt;0,SUMIF(куб!$G:$G,$G1134,куб!J:J),IF($E1134&lt;&gt;0,SUMIF(куб!$E:$E,$E1134,куб!J:J),IF($D1134&lt;&gt;0,SUMIF(куб!$D:$D,$D1134,куб!J:J),IF($C1134&lt;&gt;0,SUMIF(куб!$C:$C,$C1134,куб!J:J),IF($B1134&lt;&gt;0,SUMIF(куб!$B:$B,$B1134,куб!J:J))))))</f>
        <v>0</v>
      </c>
      <c r="Q1134" s="27" t="b">
        <f>IF($G1134&lt;&gt;0,SUMIF(куб!$G:$G,$G1134,куб!K:K),IF($E1134&lt;&gt;0,SUMIF(куб!$E:$E,$E1134,куб!K:K),IF($D1134&lt;&gt;0,SUMIF(куб!$D:$D,$D1134,куб!K:K),IF($C1134&lt;&gt;0,SUMIF(куб!$C:$C,$C1134,куб!K:K),IF($B1134&lt;&gt;0,SUMIF(куб!$B:$B,$B1134,куб!K:K))))))</f>
        <v>0</v>
      </c>
      <c r="R1134" s="13" t="str">
        <f t="shared" si="349"/>
        <v>-</v>
      </c>
      <c r="S1134" s="5"/>
      <c r="T1134" s="27" t="b">
        <f>IF($G1134&lt;&gt;0,SUMIF(куб!$G:$G,$G1134,куб!L:L),IF($E1134&lt;&gt;0,SUMIF(куб!$E:$E,$E1134,куб!L:L),IF($D1134&lt;&gt;0,SUMIF(куб!$D:$D,$D1134,куб!L:L),IF($C1134&lt;&gt;0,SUMIF(куб!$C:$C,$C1134,куб!L:L),IF($B1134&lt;&gt;0,SUMIF(куб!$B:$B,$B1134,куб!L:L))))))</f>
        <v>0</v>
      </c>
      <c r="U1134" s="27" t="b">
        <f>IF($G1134&lt;&gt;0,SUMIF(куб!$G:$G,$G1134,куб!M:M),IF($E1134&lt;&gt;0,SUMIF(куб!$E:$E,$E1134,куб!M:M),IF($D1134&lt;&gt;0,SUMIF(куб!$D:$D,$D1134,куб!M:M),IF($C1134&lt;&gt;0,SUMIF(куб!$C:$C,$C1134,куб!M:M),IF($B1134&lt;&gt;0,SUMIF(куб!$B:$B,$B1134,куб!M:M))))))</f>
        <v>0</v>
      </c>
      <c r="V1134" s="13" t="str">
        <f t="shared" si="350"/>
        <v>-</v>
      </c>
      <c r="W1134" s="5"/>
      <c r="X1134" s="27" t="b">
        <f>IF($G1134&lt;&gt;0,SUMIF(куб!$G:$G,$G1134,куб!N:N),IF($E1134&lt;&gt;0,SUMIF(куб!$E:$E,$E1134,куб!N:N),IF($D1134&lt;&gt;0,SUMIF(куб!$D:$D,$D1134,куб!N:N),IF($C1134&lt;&gt;0,SUMIF(куб!$C:$C,$C1134,куб!N:N),IF($B1134&lt;&gt;0,SUMIF(куб!$B:$B,$B1134,куб!N:N))))))</f>
        <v>0</v>
      </c>
      <c r="Y1134" s="27" t="b">
        <f>IF($G1134&lt;&gt;0,SUMIF(куб!$G:$G,$G1134,куб!O:O),IF($E1134&lt;&gt;0,SUMIF(куб!$E:$E,$E1134,куб!O:O),IF($D1134&lt;&gt;0,SUMIF(куб!$D:$D,$D1134,куб!O:O),IF($C1134&lt;&gt;0,SUMIF(куб!$C:$C,$C1134,куб!O:O),IF($B1134&lt;&gt;0,SUMIF(куб!$B:$B,$B1134,куб!O:O))))))</f>
        <v>0</v>
      </c>
      <c r="Z1134" s="13" t="str">
        <f t="shared" si="351"/>
        <v>-</v>
      </c>
      <c r="AA1134" s="5"/>
      <c r="AB1134" s="33" t="str">
        <f t="shared" si="352"/>
        <v/>
      </c>
      <c r="AC1134" s="33" t="str">
        <f t="shared" si="353"/>
        <v/>
      </c>
      <c r="AD1134" s="15" t="str">
        <f t="shared" si="354"/>
        <v xml:space="preserve"> </v>
      </c>
      <c r="AE1134" s="5"/>
      <c r="AF1134" s="27" t="b">
        <f>IF($G1134&lt;&gt;0,SUMIF(куб!$G:$G,$G1134,куб!R:R),IF($E1134&lt;&gt;0,SUMIF(куб!$E:$E,$E1134,куб!R:R),IF($D1134&lt;&gt;0,SUMIF(куб!$D:$D,$D1134,куб!R:R),IF($C1134&lt;&gt;0,SUMIF(куб!$C:$C,$C1134,куб!R:R),IF($B1134&lt;&gt;0,SUMIF(куб!$B:$B,$B1134,куб!R:R))))))</f>
        <v>0</v>
      </c>
      <c r="AG1134" s="27" t="b">
        <f>IF($G1134&lt;&gt;0,SUMIF(куб!$G:$G,$G1134,куб!S:S),IF($E1134&lt;&gt;0,SUMIF(куб!$E:$E,$E1134,куб!S:S),IF($D1134&lt;&gt;0,SUMIF(куб!$D:$D,$D1134,куб!S:S),IF($C1134&lt;&gt;0,SUMIF(куб!$C:$C,$C1134,куб!S:S),IF($B1134&lt;&gt;0,SUMIF(куб!$B:$B,$B1134,куб!S:S))))))</f>
        <v>0</v>
      </c>
      <c r="AH1134" s="16" t="str">
        <f t="shared" si="355"/>
        <v>-</v>
      </c>
      <c r="AI1134" s="8"/>
      <c r="AJ1134" s="27" t="b">
        <f>IF($G1134&lt;&gt;0,SUMIF(куб!$G:$G,$G1134,куб!T:T),IF($E1134&lt;&gt;0,SUMIF(куб!$E:$E,$E1134,куб!T:T),IF($D1134&lt;&gt;0,SUMIF(куб!$D:$D,$D1134,куб!T:T),IF($C1134&lt;&gt;0,SUMIF(куб!$C:$C,$C1134,куб!T:T),IF($B1134&lt;&gt;0,SUMIF(куб!$B:$B,$B1134,куб!T:T))))))</f>
        <v>0</v>
      </c>
      <c r="AK1134" s="27" t="b">
        <f>IF($G1134&lt;&gt;0,SUMIF(куб!$G:$G,$G1134,куб!U:U),IF($E1134&lt;&gt;0,SUMIF(куб!$E:$E,$E1134,куб!U:U),IF($D1134&lt;&gt;0,SUMIF(куб!$D:$D,$D1134,куб!U:U),IF($C1134&lt;&gt;0,SUMIF(куб!$C:$C,$C1134,куб!U:U),IF($B1134&lt;&gt;0,SUMIF(куб!$B:$B,$B1134,куб!U:U))))))</f>
        <v>0</v>
      </c>
      <c r="AL1134" s="16" t="str">
        <f t="shared" si="356"/>
        <v>-</v>
      </c>
      <c r="AM1134" s="8"/>
      <c r="AN1134" s="17" t="str">
        <f t="shared" si="357"/>
        <v xml:space="preserve"> </v>
      </c>
      <c r="AO1134" s="17" t="str">
        <f t="shared" si="358"/>
        <v xml:space="preserve"> </v>
      </c>
      <c r="AP1134" s="16" t="str">
        <f t="shared" si="359"/>
        <v>-</v>
      </c>
      <c r="AQ1134" s="8"/>
      <c r="AR1134" s="17" t="str">
        <f t="shared" si="360"/>
        <v>-</v>
      </c>
      <c r="AS1134" s="17" t="str">
        <f t="shared" si="361"/>
        <v>-</v>
      </c>
      <c r="AT1134" s="13" t="str">
        <f t="shared" si="362"/>
        <v>-</v>
      </c>
      <c r="AU1134" s="8"/>
    </row>
    <row r="1135" spans="8:47" x14ac:dyDescent="0.25">
      <c r="H1135" s="27">
        <f>IF($G1135&lt;&gt;0,SUMIF(куб!$G:$G,$G1135,куб!H:H),IF($E1135&lt;&gt;0,SUMIF(куб!$E:$E,$E1135,куб!H:H),IF($D1135&lt;&gt;0,SUMIF(куб!$D:$D,$D1135,куб!H:H),IF($C1135&lt;&gt;0,SUMIF(куб!$C:$C,$C1135,куб!H:H),IF($B1135&lt;&gt;0,SUMIF(куб!$B:$B,$B1135,куб!H:H),IF($G1135&lt;&gt;0,SUMIF(куб!$A:$A,$G1135,куб!H:H),SUMIF(куб!$A:$A,$G1135,куб!H:H)))))))</f>
        <v>0</v>
      </c>
      <c r="I1135" s="27">
        <f>IF($G1135&lt;&gt;0,SUMIF(куб!$G:$G,$G1135,куб!I:I),IF($E1135&lt;&gt;0,SUMIF(куб!$E:$E,$E1135,куб!I:I),IF($D1135&lt;&gt;0,SUMIF(куб!$D:$D,$D1135,куб!I:I),IF($C1135&lt;&gt;0,SUMIF(куб!$C:$C,$C1135,куб!I:I),IF($B1135&lt;&gt;0,SUMIF(куб!$B:$B,$B1135,куб!I:I),IF($G1135&lt;&gt;0,SUMIF(куб!$A:$A,$G1135,куб!I:I),SUMIF(куб!$A:$A,$G1135,куб!I:I)))))))</f>
        <v>0</v>
      </c>
      <c r="J1135" s="19" t="str">
        <f t="shared" si="345"/>
        <v>-</v>
      </c>
      <c r="K1135" s="8"/>
      <c r="L1135" s="17">
        <f t="shared" si="346"/>
        <v>0</v>
      </c>
      <c r="M1135" s="17">
        <f t="shared" si="347"/>
        <v>0</v>
      </c>
      <c r="N1135" s="12">
        <f t="shared" si="348"/>
        <v>0</v>
      </c>
      <c r="O1135" s="5"/>
      <c r="P1135" s="27" t="b">
        <f>IF($G1135&lt;&gt;0,SUMIF(куб!$G:$G,$G1135,куб!J:J),IF($E1135&lt;&gt;0,SUMIF(куб!$E:$E,$E1135,куб!J:J),IF($D1135&lt;&gt;0,SUMIF(куб!$D:$D,$D1135,куб!J:J),IF($C1135&lt;&gt;0,SUMIF(куб!$C:$C,$C1135,куб!J:J),IF($B1135&lt;&gt;0,SUMIF(куб!$B:$B,$B1135,куб!J:J))))))</f>
        <v>0</v>
      </c>
      <c r="Q1135" s="27" t="b">
        <f>IF($G1135&lt;&gt;0,SUMIF(куб!$G:$G,$G1135,куб!K:K),IF($E1135&lt;&gt;0,SUMIF(куб!$E:$E,$E1135,куб!K:K),IF($D1135&lt;&gt;0,SUMIF(куб!$D:$D,$D1135,куб!K:K),IF($C1135&lt;&gt;0,SUMIF(куб!$C:$C,$C1135,куб!K:K),IF($B1135&lt;&gt;0,SUMIF(куб!$B:$B,$B1135,куб!K:K))))))</f>
        <v>0</v>
      </c>
      <c r="R1135" s="13" t="str">
        <f t="shared" si="349"/>
        <v>-</v>
      </c>
      <c r="S1135" s="5"/>
      <c r="T1135" s="27" t="b">
        <f>IF($G1135&lt;&gt;0,SUMIF(куб!$G:$G,$G1135,куб!L:L),IF($E1135&lt;&gt;0,SUMIF(куб!$E:$E,$E1135,куб!L:L),IF($D1135&lt;&gt;0,SUMIF(куб!$D:$D,$D1135,куб!L:L),IF($C1135&lt;&gt;0,SUMIF(куб!$C:$C,$C1135,куб!L:L),IF($B1135&lt;&gt;0,SUMIF(куб!$B:$B,$B1135,куб!L:L))))))</f>
        <v>0</v>
      </c>
      <c r="U1135" s="27" t="b">
        <f>IF($G1135&lt;&gt;0,SUMIF(куб!$G:$G,$G1135,куб!M:M),IF($E1135&lt;&gt;0,SUMIF(куб!$E:$E,$E1135,куб!M:M),IF($D1135&lt;&gt;0,SUMIF(куб!$D:$D,$D1135,куб!M:M),IF($C1135&lt;&gt;0,SUMIF(куб!$C:$C,$C1135,куб!M:M),IF($B1135&lt;&gt;0,SUMIF(куб!$B:$B,$B1135,куб!M:M))))))</f>
        <v>0</v>
      </c>
      <c r="V1135" s="13" t="str">
        <f t="shared" si="350"/>
        <v>-</v>
      </c>
      <c r="W1135" s="5"/>
      <c r="X1135" s="27" t="b">
        <f>IF($G1135&lt;&gt;0,SUMIF(куб!$G:$G,$G1135,куб!N:N),IF($E1135&lt;&gt;0,SUMIF(куб!$E:$E,$E1135,куб!N:N),IF($D1135&lt;&gt;0,SUMIF(куб!$D:$D,$D1135,куб!N:N),IF($C1135&lt;&gt;0,SUMIF(куб!$C:$C,$C1135,куб!N:N),IF($B1135&lt;&gt;0,SUMIF(куб!$B:$B,$B1135,куб!N:N))))))</f>
        <v>0</v>
      </c>
      <c r="Y1135" s="27" t="b">
        <f>IF($G1135&lt;&gt;0,SUMIF(куб!$G:$G,$G1135,куб!O:O),IF($E1135&lt;&gt;0,SUMIF(куб!$E:$E,$E1135,куб!O:O),IF($D1135&lt;&gt;0,SUMIF(куб!$D:$D,$D1135,куб!O:O),IF($C1135&lt;&gt;0,SUMIF(куб!$C:$C,$C1135,куб!O:O),IF($B1135&lt;&gt;0,SUMIF(куб!$B:$B,$B1135,куб!O:O))))))</f>
        <v>0</v>
      </c>
      <c r="Z1135" s="13" t="str">
        <f t="shared" si="351"/>
        <v>-</v>
      </c>
      <c r="AA1135" s="5"/>
      <c r="AB1135" s="33" t="str">
        <f t="shared" si="352"/>
        <v/>
      </c>
      <c r="AC1135" s="33" t="str">
        <f t="shared" si="353"/>
        <v/>
      </c>
      <c r="AD1135" s="15" t="str">
        <f t="shared" si="354"/>
        <v xml:space="preserve"> </v>
      </c>
      <c r="AE1135" s="5"/>
      <c r="AF1135" s="27" t="b">
        <f>IF($G1135&lt;&gt;0,SUMIF(куб!$G:$G,$G1135,куб!R:R),IF($E1135&lt;&gt;0,SUMIF(куб!$E:$E,$E1135,куб!R:R),IF($D1135&lt;&gt;0,SUMIF(куб!$D:$D,$D1135,куб!R:R),IF($C1135&lt;&gt;0,SUMIF(куб!$C:$C,$C1135,куб!R:R),IF($B1135&lt;&gt;0,SUMIF(куб!$B:$B,$B1135,куб!R:R))))))</f>
        <v>0</v>
      </c>
      <c r="AG1135" s="27" t="b">
        <f>IF($G1135&lt;&gt;0,SUMIF(куб!$G:$G,$G1135,куб!S:S),IF($E1135&lt;&gt;0,SUMIF(куб!$E:$E,$E1135,куб!S:S),IF($D1135&lt;&gt;0,SUMIF(куб!$D:$D,$D1135,куб!S:S),IF($C1135&lt;&gt;0,SUMIF(куб!$C:$C,$C1135,куб!S:S),IF($B1135&lt;&gt;0,SUMIF(куб!$B:$B,$B1135,куб!S:S))))))</f>
        <v>0</v>
      </c>
      <c r="AH1135" s="16" t="str">
        <f t="shared" si="355"/>
        <v>-</v>
      </c>
      <c r="AI1135" s="8"/>
      <c r="AJ1135" s="27" t="b">
        <f>IF($G1135&lt;&gt;0,SUMIF(куб!$G:$G,$G1135,куб!T:T),IF($E1135&lt;&gt;0,SUMIF(куб!$E:$E,$E1135,куб!T:T),IF($D1135&lt;&gt;0,SUMIF(куб!$D:$D,$D1135,куб!T:T),IF($C1135&lt;&gt;0,SUMIF(куб!$C:$C,$C1135,куб!T:T),IF($B1135&lt;&gt;0,SUMIF(куб!$B:$B,$B1135,куб!T:T))))))</f>
        <v>0</v>
      </c>
      <c r="AK1135" s="27" t="b">
        <f>IF($G1135&lt;&gt;0,SUMIF(куб!$G:$G,$G1135,куб!U:U),IF($E1135&lt;&gt;0,SUMIF(куб!$E:$E,$E1135,куб!U:U),IF($D1135&lt;&gt;0,SUMIF(куб!$D:$D,$D1135,куб!U:U),IF($C1135&lt;&gt;0,SUMIF(куб!$C:$C,$C1135,куб!U:U),IF($B1135&lt;&gt;0,SUMIF(куб!$B:$B,$B1135,куб!U:U))))))</f>
        <v>0</v>
      </c>
      <c r="AL1135" s="16" t="str">
        <f t="shared" si="356"/>
        <v>-</v>
      </c>
      <c r="AM1135" s="8"/>
      <c r="AN1135" s="17" t="str">
        <f t="shared" si="357"/>
        <v xml:space="preserve"> </v>
      </c>
      <c r="AO1135" s="17" t="str">
        <f t="shared" si="358"/>
        <v xml:space="preserve"> </v>
      </c>
      <c r="AP1135" s="16" t="str">
        <f t="shared" si="359"/>
        <v>-</v>
      </c>
      <c r="AQ1135" s="8"/>
      <c r="AR1135" s="17" t="str">
        <f t="shared" si="360"/>
        <v>-</v>
      </c>
      <c r="AS1135" s="17" t="str">
        <f t="shared" si="361"/>
        <v>-</v>
      </c>
      <c r="AT1135" s="13" t="str">
        <f t="shared" si="362"/>
        <v>-</v>
      </c>
      <c r="AU1135" s="8"/>
    </row>
    <row r="1136" spans="8:47" x14ac:dyDescent="0.25">
      <c r="H1136" s="27">
        <f>IF($G1136&lt;&gt;0,SUMIF(куб!$G:$G,$G1136,куб!H:H),IF($E1136&lt;&gt;0,SUMIF(куб!$E:$E,$E1136,куб!H:H),IF($D1136&lt;&gt;0,SUMIF(куб!$D:$D,$D1136,куб!H:H),IF($C1136&lt;&gt;0,SUMIF(куб!$C:$C,$C1136,куб!H:H),IF($B1136&lt;&gt;0,SUMIF(куб!$B:$B,$B1136,куб!H:H),IF($G1136&lt;&gt;0,SUMIF(куб!$A:$A,$G1136,куб!H:H),SUMIF(куб!$A:$A,$G1136,куб!H:H)))))))</f>
        <v>0</v>
      </c>
      <c r="I1136" s="27">
        <f>IF($G1136&lt;&gt;0,SUMIF(куб!$G:$G,$G1136,куб!I:I),IF($E1136&lt;&gt;0,SUMIF(куб!$E:$E,$E1136,куб!I:I),IF($D1136&lt;&gt;0,SUMIF(куб!$D:$D,$D1136,куб!I:I),IF($C1136&lt;&gt;0,SUMIF(куб!$C:$C,$C1136,куб!I:I),IF($B1136&lt;&gt;0,SUMIF(куб!$B:$B,$B1136,куб!I:I),IF($G1136&lt;&gt;0,SUMIF(куб!$A:$A,$G1136,куб!I:I),SUMIF(куб!$A:$A,$G1136,куб!I:I)))))))</f>
        <v>0</v>
      </c>
      <c r="J1136" s="19" t="str">
        <f t="shared" si="345"/>
        <v>-</v>
      </c>
      <c r="K1136" s="8"/>
      <c r="L1136" s="17">
        <f t="shared" si="346"/>
        <v>0</v>
      </c>
      <c r="M1136" s="17">
        <f t="shared" si="347"/>
        <v>0</v>
      </c>
      <c r="N1136" s="12">
        <f t="shared" si="348"/>
        <v>0</v>
      </c>
      <c r="O1136" s="5"/>
      <c r="P1136" s="27" t="b">
        <f>IF($G1136&lt;&gt;0,SUMIF(куб!$G:$G,$G1136,куб!J:J),IF($E1136&lt;&gt;0,SUMIF(куб!$E:$E,$E1136,куб!J:J),IF($D1136&lt;&gt;0,SUMIF(куб!$D:$D,$D1136,куб!J:J),IF($C1136&lt;&gt;0,SUMIF(куб!$C:$C,$C1136,куб!J:J),IF($B1136&lt;&gt;0,SUMIF(куб!$B:$B,$B1136,куб!J:J))))))</f>
        <v>0</v>
      </c>
      <c r="Q1136" s="27" t="b">
        <f>IF($G1136&lt;&gt;0,SUMIF(куб!$G:$G,$G1136,куб!K:K),IF($E1136&lt;&gt;0,SUMIF(куб!$E:$E,$E1136,куб!K:K),IF($D1136&lt;&gt;0,SUMIF(куб!$D:$D,$D1136,куб!K:K),IF($C1136&lt;&gt;0,SUMIF(куб!$C:$C,$C1136,куб!K:K),IF($B1136&lt;&gt;0,SUMIF(куб!$B:$B,$B1136,куб!K:K))))))</f>
        <v>0</v>
      </c>
      <c r="R1136" s="13" t="str">
        <f t="shared" si="349"/>
        <v>-</v>
      </c>
      <c r="S1136" s="5"/>
      <c r="T1136" s="27" t="b">
        <f>IF($G1136&lt;&gt;0,SUMIF(куб!$G:$G,$G1136,куб!L:L),IF($E1136&lt;&gt;0,SUMIF(куб!$E:$E,$E1136,куб!L:L),IF($D1136&lt;&gt;0,SUMIF(куб!$D:$D,$D1136,куб!L:L),IF($C1136&lt;&gt;0,SUMIF(куб!$C:$C,$C1136,куб!L:L),IF($B1136&lt;&gt;0,SUMIF(куб!$B:$B,$B1136,куб!L:L))))))</f>
        <v>0</v>
      </c>
      <c r="U1136" s="27" t="b">
        <f>IF($G1136&lt;&gt;0,SUMIF(куб!$G:$G,$G1136,куб!M:M),IF($E1136&lt;&gt;0,SUMIF(куб!$E:$E,$E1136,куб!M:M),IF($D1136&lt;&gt;0,SUMIF(куб!$D:$D,$D1136,куб!M:M),IF($C1136&lt;&gt;0,SUMIF(куб!$C:$C,$C1136,куб!M:M),IF($B1136&lt;&gt;0,SUMIF(куб!$B:$B,$B1136,куб!M:M))))))</f>
        <v>0</v>
      </c>
      <c r="V1136" s="13" t="str">
        <f t="shared" si="350"/>
        <v>-</v>
      </c>
      <c r="W1136" s="5"/>
      <c r="X1136" s="27" t="b">
        <f>IF($G1136&lt;&gt;0,SUMIF(куб!$G:$G,$G1136,куб!N:N),IF($E1136&lt;&gt;0,SUMIF(куб!$E:$E,$E1136,куб!N:N),IF($D1136&lt;&gt;0,SUMIF(куб!$D:$D,$D1136,куб!N:N),IF($C1136&lt;&gt;0,SUMIF(куб!$C:$C,$C1136,куб!N:N),IF($B1136&lt;&gt;0,SUMIF(куб!$B:$B,$B1136,куб!N:N))))))</f>
        <v>0</v>
      </c>
      <c r="Y1136" s="27" t="b">
        <f>IF($G1136&lt;&gt;0,SUMIF(куб!$G:$G,$G1136,куб!O:O),IF($E1136&lt;&gt;0,SUMIF(куб!$E:$E,$E1136,куб!O:O),IF($D1136&lt;&gt;0,SUMIF(куб!$D:$D,$D1136,куб!O:O),IF($C1136&lt;&gt;0,SUMIF(куб!$C:$C,$C1136,куб!O:O),IF($B1136&lt;&gt;0,SUMIF(куб!$B:$B,$B1136,куб!O:O))))))</f>
        <v>0</v>
      </c>
      <c r="Z1136" s="13" t="str">
        <f t="shared" si="351"/>
        <v>-</v>
      </c>
      <c r="AA1136" s="5"/>
      <c r="AB1136" s="33" t="str">
        <f t="shared" si="352"/>
        <v/>
      </c>
      <c r="AC1136" s="33" t="str">
        <f t="shared" si="353"/>
        <v/>
      </c>
      <c r="AD1136" s="15" t="str">
        <f t="shared" si="354"/>
        <v xml:space="preserve"> </v>
      </c>
      <c r="AE1136" s="5"/>
      <c r="AF1136" s="27" t="b">
        <f>IF($G1136&lt;&gt;0,SUMIF(куб!$G:$G,$G1136,куб!R:R),IF($E1136&lt;&gt;0,SUMIF(куб!$E:$E,$E1136,куб!R:R),IF($D1136&lt;&gt;0,SUMIF(куб!$D:$D,$D1136,куб!R:R),IF($C1136&lt;&gt;0,SUMIF(куб!$C:$C,$C1136,куб!R:R),IF($B1136&lt;&gt;0,SUMIF(куб!$B:$B,$B1136,куб!R:R))))))</f>
        <v>0</v>
      </c>
      <c r="AG1136" s="27" t="b">
        <f>IF($G1136&lt;&gt;0,SUMIF(куб!$G:$G,$G1136,куб!S:S),IF($E1136&lt;&gt;0,SUMIF(куб!$E:$E,$E1136,куб!S:S),IF($D1136&lt;&gt;0,SUMIF(куб!$D:$D,$D1136,куб!S:S),IF($C1136&lt;&gt;0,SUMIF(куб!$C:$C,$C1136,куб!S:S),IF($B1136&lt;&gt;0,SUMIF(куб!$B:$B,$B1136,куб!S:S))))))</f>
        <v>0</v>
      </c>
      <c r="AH1136" s="16" t="str">
        <f t="shared" si="355"/>
        <v>-</v>
      </c>
      <c r="AI1136" s="8"/>
      <c r="AJ1136" s="27" t="b">
        <f>IF($G1136&lt;&gt;0,SUMIF(куб!$G:$G,$G1136,куб!T:T),IF($E1136&lt;&gt;0,SUMIF(куб!$E:$E,$E1136,куб!T:T),IF($D1136&lt;&gt;0,SUMIF(куб!$D:$D,$D1136,куб!T:T),IF($C1136&lt;&gt;0,SUMIF(куб!$C:$C,$C1136,куб!T:T),IF($B1136&lt;&gt;0,SUMIF(куб!$B:$B,$B1136,куб!T:T))))))</f>
        <v>0</v>
      </c>
      <c r="AK1136" s="27" t="b">
        <f>IF($G1136&lt;&gt;0,SUMIF(куб!$G:$G,$G1136,куб!U:U),IF($E1136&lt;&gt;0,SUMIF(куб!$E:$E,$E1136,куб!U:U),IF($D1136&lt;&gt;0,SUMIF(куб!$D:$D,$D1136,куб!U:U),IF($C1136&lt;&gt;0,SUMIF(куб!$C:$C,$C1136,куб!U:U),IF($B1136&lt;&gt;0,SUMIF(куб!$B:$B,$B1136,куб!U:U))))))</f>
        <v>0</v>
      </c>
      <c r="AL1136" s="16" t="str">
        <f t="shared" si="356"/>
        <v>-</v>
      </c>
      <c r="AM1136" s="8"/>
      <c r="AN1136" s="17" t="str">
        <f t="shared" si="357"/>
        <v xml:space="preserve"> </v>
      </c>
      <c r="AO1136" s="17" t="str">
        <f t="shared" si="358"/>
        <v xml:space="preserve"> </v>
      </c>
      <c r="AP1136" s="16" t="str">
        <f t="shared" si="359"/>
        <v>-</v>
      </c>
      <c r="AQ1136" s="8"/>
      <c r="AR1136" s="17" t="str">
        <f t="shared" si="360"/>
        <v>-</v>
      </c>
      <c r="AS1136" s="17" t="str">
        <f t="shared" si="361"/>
        <v>-</v>
      </c>
      <c r="AT1136" s="13" t="str">
        <f t="shared" si="362"/>
        <v>-</v>
      </c>
      <c r="AU1136" s="8"/>
    </row>
    <row r="1137" spans="8:47" x14ac:dyDescent="0.25">
      <c r="H1137" s="27">
        <f>IF($G1137&lt;&gt;0,SUMIF(куб!$G:$G,$G1137,куб!H:H),IF($E1137&lt;&gt;0,SUMIF(куб!$E:$E,$E1137,куб!H:H),IF($D1137&lt;&gt;0,SUMIF(куб!$D:$D,$D1137,куб!H:H),IF($C1137&lt;&gt;0,SUMIF(куб!$C:$C,$C1137,куб!H:H),IF($B1137&lt;&gt;0,SUMIF(куб!$B:$B,$B1137,куб!H:H),IF($G1137&lt;&gt;0,SUMIF(куб!$A:$A,$G1137,куб!H:H),SUMIF(куб!$A:$A,$G1137,куб!H:H)))))))</f>
        <v>0</v>
      </c>
      <c r="I1137" s="27">
        <f>IF($G1137&lt;&gt;0,SUMIF(куб!$G:$G,$G1137,куб!I:I),IF($E1137&lt;&gt;0,SUMIF(куб!$E:$E,$E1137,куб!I:I),IF($D1137&lt;&gt;0,SUMIF(куб!$D:$D,$D1137,куб!I:I),IF($C1137&lt;&gt;0,SUMIF(куб!$C:$C,$C1137,куб!I:I),IF($B1137&lt;&gt;0,SUMIF(куб!$B:$B,$B1137,куб!I:I),IF($G1137&lt;&gt;0,SUMIF(куб!$A:$A,$G1137,куб!I:I),SUMIF(куб!$A:$A,$G1137,куб!I:I)))))))</f>
        <v>0</v>
      </c>
      <c r="J1137" s="19" t="str">
        <f t="shared" si="345"/>
        <v>-</v>
      </c>
      <c r="K1137" s="8"/>
      <c r="L1137" s="17">
        <f t="shared" si="346"/>
        <v>0</v>
      </c>
      <c r="M1137" s="17">
        <f t="shared" si="347"/>
        <v>0</v>
      </c>
      <c r="N1137" s="12">
        <f t="shared" si="348"/>
        <v>0</v>
      </c>
      <c r="O1137" s="5"/>
      <c r="P1137" s="27" t="b">
        <f>IF($G1137&lt;&gt;0,SUMIF(куб!$G:$G,$G1137,куб!J:J),IF($E1137&lt;&gt;0,SUMIF(куб!$E:$E,$E1137,куб!J:J),IF($D1137&lt;&gt;0,SUMIF(куб!$D:$D,$D1137,куб!J:J),IF($C1137&lt;&gt;0,SUMIF(куб!$C:$C,$C1137,куб!J:J),IF($B1137&lt;&gt;0,SUMIF(куб!$B:$B,$B1137,куб!J:J))))))</f>
        <v>0</v>
      </c>
      <c r="Q1137" s="27" t="b">
        <f>IF($G1137&lt;&gt;0,SUMIF(куб!$G:$G,$G1137,куб!K:K),IF($E1137&lt;&gt;0,SUMIF(куб!$E:$E,$E1137,куб!K:K),IF($D1137&lt;&gt;0,SUMIF(куб!$D:$D,$D1137,куб!K:K),IF($C1137&lt;&gt;0,SUMIF(куб!$C:$C,$C1137,куб!K:K),IF($B1137&lt;&gt;0,SUMIF(куб!$B:$B,$B1137,куб!K:K))))))</f>
        <v>0</v>
      </c>
      <c r="R1137" s="13" t="str">
        <f t="shared" si="349"/>
        <v>-</v>
      </c>
      <c r="S1137" s="5"/>
      <c r="T1137" s="27" t="b">
        <f>IF($G1137&lt;&gt;0,SUMIF(куб!$G:$G,$G1137,куб!L:L),IF($E1137&lt;&gt;0,SUMIF(куб!$E:$E,$E1137,куб!L:L),IF($D1137&lt;&gt;0,SUMIF(куб!$D:$D,$D1137,куб!L:L),IF($C1137&lt;&gt;0,SUMIF(куб!$C:$C,$C1137,куб!L:L),IF($B1137&lt;&gt;0,SUMIF(куб!$B:$B,$B1137,куб!L:L))))))</f>
        <v>0</v>
      </c>
      <c r="U1137" s="27" t="b">
        <f>IF($G1137&lt;&gt;0,SUMIF(куб!$G:$G,$G1137,куб!M:M),IF($E1137&lt;&gt;0,SUMIF(куб!$E:$E,$E1137,куб!M:M),IF($D1137&lt;&gt;0,SUMIF(куб!$D:$D,$D1137,куб!M:M),IF($C1137&lt;&gt;0,SUMIF(куб!$C:$C,$C1137,куб!M:M),IF($B1137&lt;&gt;0,SUMIF(куб!$B:$B,$B1137,куб!M:M))))))</f>
        <v>0</v>
      </c>
      <c r="V1137" s="13" t="str">
        <f t="shared" si="350"/>
        <v>-</v>
      </c>
      <c r="W1137" s="5"/>
      <c r="X1137" s="27" t="b">
        <f>IF($G1137&lt;&gt;0,SUMIF(куб!$G:$G,$G1137,куб!N:N),IF($E1137&lt;&gt;0,SUMIF(куб!$E:$E,$E1137,куб!N:N),IF($D1137&lt;&gt;0,SUMIF(куб!$D:$D,$D1137,куб!N:N),IF($C1137&lt;&gt;0,SUMIF(куб!$C:$C,$C1137,куб!N:N),IF($B1137&lt;&gt;0,SUMIF(куб!$B:$B,$B1137,куб!N:N))))))</f>
        <v>0</v>
      </c>
      <c r="Y1137" s="27" t="b">
        <f>IF($G1137&lt;&gt;0,SUMIF(куб!$G:$G,$G1137,куб!O:O),IF($E1137&lt;&gt;0,SUMIF(куб!$E:$E,$E1137,куб!O:O),IF($D1137&lt;&gt;0,SUMIF(куб!$D:$D,$D1137,куб!O:O),IF($C1137&lt;&gt;0,SUMIF(куб!$C:$C,$C1137,куб!O:O),IF($B1137&lt;&gt;0,SUMIF(куб!$B:$B,$B1137,куб!O:O))))))</f>
        <v>0</v>
      </c>
      <c r="Z1137" s="13" t="str">
        <f t="shared" si="351"/>
        <v>-</v>
      </c>
      <c r="AA1137" s="5"/>
      <c r="AB1137" s="33" t="str">
        <f t="shared" si="352"/>
        <v/>
      </c>
      <c r="AC1137" s="33" t="str">
        <f t="shared" si="353"/>
        <v/>
      </c>
      <c r="AD1137" s="15" t="str">
        <f t="shared" si="354"/>
        <v xml:space="preserve"> </v>
      </c>
      <c r="AE1137" s="5"/>
      <c r="AF1137" s="27" t="b">
        <f>IF($G1137&lt;&gt;0,SUMIF(куб!$G:$G,$G1137,куб!R:R),IF($E1137&lt;&gt;0,SUMIF(куб!$E:$E,$E1137,куб!R:R),IF($D1137&lt;&gt;0,SUMIF(куб!$D:$D,$D1137,куб!R:R),IF($C1137&lt;&gt;0,SUMIF(куб!$C:$C,$C1137,куб!R:R),IF($B1137&lt;&gt;0,SUMIF(куб!$B:$B,$B1137,куб!R:R))))))</f>
        <v>0</v>
      </c>
      <c r="AG1137" s="27" t="b">
        <f>IF($G1137&lt;&gt;0,SUMIF(куб!$G:$G,$G1137,куб!S:S),IF($E1137&lt;&gt;0,SUMIF(куб!$E:$E,$E1137,куб!S:S),IF($D1137&lt;&gt;0,SUMIF(куб!$D:$D,$D1137,куб!S:S),IF($C1137&lt;&gt;0,SUMIF(куб!$C:$C,$C1137,куб!S:S),IF($B1137&lt;&gt;0,SUMIF(куб!$B:$B,$B1137,куб!S:S))))))</f>
        <v>0</v>
      </c>
      <c r="AH1137" s="16" t="str">
        <f t="shared" si="355"/>
        <v>-</v>
      </c>
      <c r="AI1137" s="8"/>
      <c r="AJ1137" s="27" t="b">
        <f>IF($G1137&lt;&gt;0,SUMIF(куб!$G:$G,$G1137,куб!T:T),IF($E1137&lt;&gt;0,SUMIF(куб!$E:$E,$E1137,куб!T:T),IF($D1137&lt;&gt;0,SUMIF(куб!$D:$D,$D1137,куб!T:T),IF($C1137&lt;&gt;0,SUMIF(куб!$C:$C,$C1137,куб!T:T),IF($B1137&lt;&gt;0,SUMIF(куб!$B:$B,$B1137,куб!T:T))))))</f>
        <v>0</v>
      </c>
      <c r="AK1137" s="27" t="b">
        <f>IF($G1137&lt;&gt;0,SUMIF(куб!$G:$G,$G1137,куб!U:U),IF($E1137&lt;&gt;0,SUMIF(куб!$E:$E,$E1137,куб!U:U),IF($D1137&lt;&gt;0,SUMIF(куб!$D:$D,$D1137,куб!U:U),IF($C1137&lt;&gt;0,SUMIF(куб!$C:$C,$C1137,куб!U:U),IF($B1137&lt;&gt;0,SUMIF(куб!$B:$B,$B1137,куб!U:U))))))</f>
        <v>0</v>
      </c>
      <c r="AL1137" s="16" t="str">
        <f t="shared" si="356"/>
        <v>-</v>
      </c>
      <c r="AM1137" s="8"/>
      <c r="AN1137" s="17" t="str">
        <f t="shared" si="357"/>
        <v xml:space="preserve"> </v>
      </c>
      <c r="AO1137" s="17" t="str">
        <f t="shared" si="358"/>
        <v xml:space="preserve"> </v>
      </c>
      <c r="AP1137" s="16" t="str">
        <f t="shared" si="359"/>
        <v>-</v>
      </c>
      <c r="AQ1137" s="8"/>
      <c r="AR1137" s="17" t="str">
        <f t="shared" si="360"/>
        <v>-</v>
      </c>
      <c r="AS1137" s="17" t="str">
        <f t="shared" si="361"/>
        <v>-</v>
      </c>
      <c r="AT1137" s="13" t="str">
        <f t="shared" si="362"/>
        <v>-</v>
      </c>
      <c r="AU1137" s="8"/>
    </row>
    <row r="1138" spans="8:47" x14ac:dyDescent="0.25">
      <c r="H1138" s="27">
        <f>IF($G1138&lt;&gt;0,SUMIF(куб!$G:$G,$G1138,куб!H:H),IF($E1138&lt;&gt;0,SUMIF(куб!$E:$E,$E1138,куб!H:H),IF($D1138&lt;&gt;0,SUMIF(куб!$D:$D,$D1138,куб!H:H),IF($C1138&lt;&gt;0,SUMIF(куб!$C:$C,$C1138,куб!H:H),IF($B1138&lt;&gt;0,SUMIF(куб!$B:$B,$B1138,куб!H:H),IF($G1138&lt;&gt;0,SUMIF(куб!$A:$A,$G1138,куб!H:H),SUMIF(куб!$A:$A,$G1138,куб!H:H)))))))</f>
        <v>0</v>
      </c>
      <c r="I1138" s="27">
        <f>IF($G1138&lt;&gt;0,SUMIF(куб!$G:$G,$G1138,куб!I:I),IF($E1138&lt;&gt;0,SUMIF(куб!$E:$E,$E1138,куб!I:I),IF($D1138&lt;&gt;0,SUMIF(куб!$D:$D,$D1138,куб!I:I),IF($C1138&lt;&gt;0,SUMIF(куб!$C:$C,$C1138,куб!I:I),IF($B1138&lt;&gt;0,SUMIF(куб!$B:$B,$B1138,куб!I:I),IF($G1138&lt;&gt;0,SUMIF(куб!$A:$A,$G1138,куб!I:I),SUMIF(куб!$A:$A,$G1138,куб!I:I)))))))</f>
        <v>0</v>
      </c>
      <c r="J1138" s="19" t="str">
        <f t="shared" si="345"/>
        <v>-</v>
      </c>
      <c r="K1138" s="8"/>
      <c r="L1138" s="17">
        <f t="shared" si="346"/>
        <v>0</v>
      </c>
      <c r="M1138" s="17">
        <f t="shared" si="347"/>
        <v>0</v>
      </c>
      <c r="N1138" s="12">
        <f t="shared" si="348"/>
        <v>0</v>
      </c>
      <c r="O1138" s="5"/>
      <c r="P1138" s="27" t="b">
        <f>IF($G1138&lt;&gt;0,SUMIF(куб!$G:$G,$G1138,куб!J:J),IF($E1138&lt;&gt;0,SUMIF(куб!$E:$E,$E1138,куб!J:J),IF($D1138&lt;&gt;0,SUMIF(куб!$D:$D,$D1138,куб!J:J),IF($C1138&lt;&gt;0,SUMIF(куб!$C:$C,$C1138,куб!J:J),IF($B1138&lt;&gt;0,SUMIF(куб!$B:$B,$B1138,куб!J:J))))))</f>
        <v>0</v>
      </c>
      <c r="Q1138" s="27" t="b">
        <f>IF($G1138&lt;&gt;0,SUMIF(куб!$G:$G,$G1138,куб!K:K),IF($E1138&lt;&gt;0,SUMIF(куб!$E:$E,$E1138,куб!K:K),IF($D1138&lt;&gt;0,SUMIF(куб!$D:$D,$D1138,куб!K:K),IF($C1138&lt;&gt;0,SUMIF(куб!$C:$C,$C1138,куб!K:K),IF($B1138&lt;&gt;0,SUMIF(куб!$B:$B,$B1138,куб!K:K))))))</f>
        <v>0</v>
      </c>
      <c r="R1138" s="13" t="str">
        <f t="shared" si="349"/>
        <v>-</v>
      </c>
      <c r="S1138" s="5"/>
      <c r="T1138" s="27" t="b">
        <f>IF($G1138&lt;&gt;0,SUMIF(куб!$G:$G,$G1138,куб!L:L),IF($E1138&lt;&gt;0,SUMIF(куб!$E:$E,$E1138,куб!L:L),IF($D1138&lt;&gt;0,SUMIF(куб!$D:$D,$D1138,куб!L:L),IF($C1138&lt;&gt;0,SUMIF(куб!$C:$C,$C1138,куб!L:L),IF($B1138&lt;&gt;0,SUMIF(куб!$B:$B,$B1138,куб!L:L))))))</f>
        <v>0</v>
      </c>
      <c r="U1138" s="27" t="b">
        <f>IF($G1138&lt;&gt;0,SUMIF(куб!$G:$G,$G1138,куб!M:M),IF($E1138&lt;&gt;0,SUMIF(куб!$E:$E,$E1138,куб!M:M),IF($D1138&lt;&gt;0,SUMIF(куб!$D:$D,$D1138,куб!M:M),IF($C1138&lt;&gt;0,SUMIF(куб!$C:$C,$C1138,куб!M:M),IF($B1138&lt;&gt;0,SUMIF(куб!$B:$B,$B1138,куб!M:M))))))</f>
        <v>0</v>
      </c>
      <c r="V1138" s="13" t="str">
        <f t="shared" si="350"/>
        <v>-</v>
      </c>
      <c r="W1138" s="5"/>
      <c r="X1138" s="27" t="b">
        <f>IF($G1138&lt;&gt;0,SUMIF(куб!$G:$G,$G1138,куб!N:N),IF($E1138&lt;&gt;0,SUMIF(куб!$E:$E,$E1138,куб!N:N),IF($D1138&lt;&gt;0,SUMIF(куб!$D:$D,$D1138,куб!N:N),IF($C1138&lt;&gt;0,SUMIF(куб!$C:$C,$C1138,куб!N:N),IF($B1138&lt;&gt;0,SUMIF(куб!$B:$B,$B1138,куб!N:N))))))</f>
        <v>0</v>
      </c>
      <c r="Y1138" s="27" t="b">
        <f>IF($G1138&lt;&gt;0,SUMIF(куб!$G:$G,$G1138,куб!O:O),IF($E1138&lt;&gt;0,SUMIF(куб!$E:$E,$E1138,куб!O:O),IF($D1138&lt;&gt;0,SUMIF(куб!$D:$D,$D1138,куб!O:O),IF($C1138&lt;&gt;0,SUMIF(куб!$C:$C,$C1138,куб!O:O),IF($B1138&lt;&gt;0,SUMIF(куб!$B:$B,$B1138,куб!O:O))))))</f>
        <v>0</v>
      </c>
      <c r="Z1138" s="13" t="str">
        <f t="shared" si="351"/>
        <v>-</v>
      </c>
      <c r="AA1138" s="5"/>
      <c r="AB1138" s="33" t="str">
        <f t="shared" si="352"/>
        <v/>
      </c>
      <c r="AC1138" s="33" t="str">
        <f t="shared" si="353"/>
        <v/>
      </c>
      <c r="AD1138" s="15" t="str">
        <f t="shared" si="354"/>
        <v xml:space="preserve"> </v>
      </c>
      <c r="AE1138" s="5"/>
      <c r="AF1138" s="27" t="b">
        <f>IF($G1138&lt;&gt;0,SUMIF(куб!$G:$G,$G1138,куб!R:R),IF($E1138&lt;&gt;0,SUMIF(куб!$E:$E,$E1138,куб!R:R),IF($D1138&lt;&gt;0,SUMIF(куб!$D:$D,$D1138,куб!R:R),IF($C1138&lt;&gt;0,SUMIF(куб!$C:$C,$C1138,куб!R:R),IF($B1138&lt;&gt;0,SUMIF(куб!$B:$B,$B1138,куб!R:R))))))</f>
        <v>0</v>
      </c>
      <c r="AG1138" s="27" t="b">
        <f>IF($G1138&lt;&gt;0,SUMIF(куб!$G:$G,$G1138,куб!S:S),IF($E1138&lt;&gt;0,SUMIF(куб!$E:$E,$E1138,куб!S:S),IF($D1138&lt;&gt;0,SUMIF(куб!$D:$D,$D1138,куб!S:S),IF($C1138&lt;&gt;0,SUMIF(куб!$C:$C,$C1138,куб!S:S),IF($B1138&lt;&gt;0,SUMIF(куб!$B:$B,$B1138,куб!S:S))))))</f>
        <v>0</v>
      </c>
      <c r="AH1138" s="16" t="str">
        <f t="shared" si="355"/>
        <v>-</v>
      </c>
      <c r="AI1138" s="8"/>
      <c r="AJ1138" s="27" t="b">
        <f>IF($G1138&lt;&gt;0,SUMIF(куб!$G:$G,$G1138,куб!T:T),IF($E1138&lt;&gt;0,SUMIF(куб!$E:$E,$E1138,куб!T:T),IF($D1138&lt;&gt;0,SUMIF(куб!$D:$D,$D1138,куб!T:T),IF($C1138&lt;&gt;0,SUMIF(куб!$C:$C,$C1138,куб!T:T),IF($B1138&lt;&gt;0,SUMIF(куб!$B:$B,$B1138,куб!T:T))))))</f>
        <v>0</v>
      </c>
      <c r="AK1138" s="27" t="b">
        <f>IF($G1138&lt;&gt;0,SUMIF(куб!$G:$G,$G1138,куб!U:U),IF($E1138&lt;&gt;0,SUMIF(куб!$E:$E,$E1138,куб!U:U),IF($D1138&lt;&gt;0,SUMIF(куб!$D:$D,$D1138,куб!U:U),IF($C1138&lt;&gt;0,SUMIF(куб!$C:$C,$C1138,куб!U:U),IF($B1138&lt;&gt;0,SUMIF(куб!$B:$B,$B1138,куб!U:U))))))</f>
        <v>0</v>
      </c>
      <c r="AL1138" s="16" t="str">
        <f t="shared" si="356"/>
        <v>-</v>
      </c>
      <c r="AM1138" s="8"/>
      <c r="AN1138" s="17" t="str">
        <f t="shared" si="357"/>
        <v xml:space="preserve"> </v>
      </c>
      <c r="AO1138" s="17" t="str">
        <f t="shared" si="358"/>
        <v xml:space="preserve"> </v>
      </c>
      <c r="AP1138" s="16" t="str">
        <f t="shared" si="359"/>
        <v>-</v>
      </c>
      <c r="AQ1138" s="8"/>
      <c r="AR1138" s="17" t="str">
        <f t="shared" si="360"/>
        <v>-</v>
      </c>
      <c r="AS1138" s="17" t="str">
        <f t="shared" si="361"/>
        <v>-</v>
      </c>
      <c r="AT1138" s="13" t="str">
        <f t="shared" si="362"/>
        <v>-</v>
      </c>
      <c r="AU1138" s="8"/>
    </row>
    <row r="1139" spans="8:47" x14ac:dyDescent="0.25">
      <c r="H1139" s="27">
        <f>IF($G1139&lt;&gt;0,SUMIF(куб!$G:$G,$G1139,куб!H:H),IF($E1139&lt;&gt;0,SUMIF(куб!$E:$E,$E1139,куб!H:H),IF($D1139&lt;&gt;0,SUMIF(куб!$D:$D,$D1139,куб!H:H),IF($C1139&lt;&gt;0,SUMIF(куб!$C:$C,$C1139,куб!H:H),IF($B1139&lt;&gt;0,SUMIF(куб!$B:$B,$B1139,куб!H:H),IF($G1139&lt;&gt;0,SUMIF(куб!$A:$A,$G1139,куб!H:H),SUMIF(куб!$A:$A,$G1139,куб!H:H)))))))</f>
        <v>0</v>
      </c>
      <c r="I1139" s="27">
        <f>IF($G1139&lt;&gt;0,SUMIF(куб!$G:$G,$G1139,куб!I:I),IF($E1139&lt;&gt;0,SUMIF(куб!$E:$E,$E1139,куб!I:I),IF($D1139&lt;&gt;0,SUMIF(куб!$D:$D,$D1139,куб!I:I),IF($C1139&lt;&gt;0,SUMIF(куб!$C:$C,$C1139,куб!I:I),IF($B1139&lt;&gt;0,SUMIF(куб!$B:$B,$B1139,куб!I:I),IF($G1139&lt;&gt;0,SUMIF(куб!$A:$A,$G1139,куб!I:I),SUMIF(куб!$A:$A,$G1139,куб!I:I)))))))</f>
        <v>0</v>
      </c>
      <c r="J1139" s="19" t="str">
        <f t="shared" si="345"/>
        <v>-</v>
      </c>
      <c r="K1139" s="8"/>
      <c r="L1139" s="17">
        <f t="shared" si="346"/>
        <v>0</v>
      </c>
      <c r="M1139" s="17">
        <f t="shared" si="347"/>
        <v>0</v>
      </c>
      <c r="N1139" s="12">
        <f t="shared" si="348"/>
        <v>0</v>
      </c>
      <c r="O1139" s="5"/>
      <c r="P1139" s="27" t="b">
        <f>IF($G1139&lt;&gt;0,SUMIF(куб!$G:$G,$G1139,куб!J:J),IF($E1139&lt;&gt;0,SUMIF(куб!$E:$E,$E1139,куб!J:J),IF($D1139&lt;&gt;0,SUMIF(куб!$D:$D,$D1139,куб!J:J),IF($C1139&lt;&gt;0,SUMIF(куб!$C:$C,$C1139,куб!J:J),IF($B1139&lt;&gt;0,SUMIF(куб!$B:$B,$B1139,куб!J:J))))))</f>
        <v>0</v>
      </c>
      <c r="Q1139" s="27" t="b">
        <f>IF($G1139&lt;&gt;0,SUMIF(куб!$G:$G,$G1139,куб!K:K),IF($E1139&lt;&gt;0,SUMIF(куб!$E:$E,$E1139,куб!K:K),IF($D1139&lt;&gt;0,SUMIF(куб!$D:$D,$D1139,куб!K:K),IF($C1139&lt;&gt;0,SUMIF(куб!$C:$C,$C1139,куб!K:K),IF($B1139&lt;&gt;0,SUMIF(куб!$B:$B,$B1139,куб!K:K))))))</f>
        <v>0</v>
      </c>
      <c r="R1139" s="13" t="str">
        <f t="shared" si="349"/>
        <v>-</v>
      </c>
      <c r="S1139" s="5"/>
      <c r="T1139" s="27" t="b">
        <f>IF($G1139&lt;&gt;0,SUMIF(куб!$G:$G,$G1139,куб!L:L),IF($E1139&lt;&gt;0,SUMIF(куб!$E:$E,$E1139,куб!L:L),IF($D1139&lt;&gt;0,SUMIF(куб!$D:$D,$D1139,куб!L:L),IF($C1139&lt;&gt;0,SUMIF(куб!$C:$C,$C1139,куб!L:L),IF($B1139&lt;&gt;0,SUMIF(куб!$B:$B,$B1139,куб!L:L))))))</f>
        <v>0</v>
      </c>
      <c r="U1139" s="27" t="b">
        <f>IF($G1139&lt;&gt;0,SUMIF(куб!$G:$G,$G1139,куб!M:M),IF($E1139&lt;&gt;0,SUMIF(куб!$E:$E,$E1139,куб!M:M),IF($D1139&lt;&gt;0,SUMIF(куб!$D:$D,$D1139,куб!M:M),IF($C1139&lt;&gt;0,SUMIF(куб!$C:$C,$C1139,куб!M:M),IF($B1139&lt;&gt;0,SUMIF(куб!$B:$B,$B1139,куб!M:M))))))</f>
        <v>0</v>
      </c>
      <c r="V1139" s="13" t="str">
        <f t="shared" si="350"/>
        <v>-</v>
      </c>
      <c r="W1139" s="5"/>
      <c r="X1139" s="27" t="b">
        <f>IF($G1139&lt;&gt;0,SUMIF(куб!$G:$G,$G1139,куб!N:N),IF($E1139&lt;&gt;0,SUMIF(куб!$E:$E,$E1139,куб!N:N),IF($D1139&lt;&gt;0,SUMIF(куб!$D:$D,$D1139,куб!N:N),IF($C1139&lt;&gt;0,SUMIF(куб!$C:$C,$C1139,куб!N:N),IF($B1139&lt;&gt;0,SUMIF(куб!$B:$B,$B1139,куб!N:N))))))</f>
        <v>0</v>
      </c>
      <c r="Y1139" s="27" t="b">
        <f>IF($G1139&lt;&gt;0,SUMIF(куб!$G:$G,$G1139,куб!O:O),IF($E1139&lt;&gt;0,SUMIF(куб!$E:$E,$E1139,куб!O:O),IF($D1139&lt;&gt;0,SUMIF(куб!$D:$D,$D1139,куб!O:O),IF($C1139&lt;&gt;0,SUMIF(куб!$C:$C,$C1139,куб!O:O),IF($B1139&lt;&gt;0,SUMIF(куб!$B:$B,$B1139,куб!O:O))))))</f>
        <v>0</v>
      </c>
      <c r="Z1139" s="13" t="str">
        <f t="shared" si="351"/>
        <v>-</v>
      </c>
      <c r="AA1139" s="5"/>
      <c r="AB1139" s="33" t="str">
        <f t="shared" si="352"/>
        <v/>
      </c>
      <c r="AC1139" s="33" t="str">
        <f t="shared" si="353"/>
        <v/>
      </c>
      <c r="AD1139" s="15" t="str">
        <f t="shared" si="354"/>
        <v xml:space="preserve"> </v>
      </c>
      <c r="AE1139" s="5"/>
      <c r="AF1139" s="27" t="b">
        <f>IF($G1139&lt;&gt;0,SUMIF(куб!$G:$G,$G1139,куб!R:R),IF($E1139&lt;&gt;0,SUMIF(куб!$E:$E,$E1139,куб!R:R),IF($D1139&lt;&gt;0,SUMIF(куб!$D:$D,$D1139,куб!R:R),IF($C1139&lt;&gt;0,SUMIF(куб!$C:$C,$C1139,куб!R:R),IF($B1139&lt;&gt;0,SUMIF(куб!$B:$B,$B1139,куб!R:R))))))</f>
        <v>0</v>
      </c>
      <c r="AG1139" s="27" t="b">
        <f>IF($G1139&lt;&gt;0,SUMIF(куб!$G:$G,$G1139,куб!S:S),IF($E1139&lt;&gt;0,SUMIF(куб!$E:$E,$E1139,куб!S:S),IF($D1139&lt;&gt;0,SUMIF(куб!$D:$D,$D1139,куб!S:S),IF($C1139&lt;&gt;0,SUMIF(куб!$C:$C,$C1139,куб!S:S),IF($B1139&lt;&gt;0,SUMIF(куб!$B:$B,$B1139,куб!S:S))))))</f>
        <v>0</v>
      </c>
      <c r="AH1139" s="16" t="str">
        <f t="shared" si="355"/>
        <v>-</v>
      </c>
      <c r="AI1139" s="8"/>
      <c r="AJ1139" s="27" t="b">
        <f>IF($G1139&lt;&gt;0,SUMIF(куб!$G:$G,$G1139,куб!T:T),IF($E1139&lt;&gt;0,SUMIF(куб!$E:$E,$E1139,куб!T:T),IF($D1139&lt;&gt;0,SUMIF(куб!$D:$D,$D1139,куб!T:T),IF($C1139&lt;&gt;0,SUMIF(куб!$C:$C,$C1139,куб!T:T),IF($B1139&lt;&gt;0,SUMIF(куб!$B:$B,$B1139,куб!T:T))))))</f>
        <v>0</v>
      </c>
      <c r="AK1139" s="27" t="b">
        <f>IF($G1139&lt;&gt;0,SUMIF(куб!$G:$G,$G1139,куб!U:U),IF($E1139&lt;&gt;0,SUMIF(куб!$E:$E,$E1139,куб!U:U),IF($D1139&lt;&gt;0,SUMIF(куб!$D:$D,$D1139,куб!U:U),IF($C1139&lt;&gt;0,SUMIF(куб!$C:$C,$C1139,куб!U:U),IF($B1139&lt;&gt;0,SUMIF(куб!$B:$B,$B1139,куб!U:U))))))</f>
        <v>0</v>
      </c>
      <c r="AL1139" s="16" t="str">
        <f t="shared" si="356"/>
        <v>-</v>
      </c>
      <c r="AM1139" s="8"/>
      <c r="AN1139" s="17" t="str">
        <f t="shared" si="357"/>
        <v xml:space="preserve"> </v>
      </c>
      <c r="AO1139" s="17" t="str">
        <f t="shared" si="358"/>
        <v xml:space="preserve"> </v>
      </c>
      <c r="AP1139" s="16" t="str">
        <f t="shared" si="359"/>
        <v>-</v>
      </c>
      <c r="AQ1139" s="8"/>
      <c r="AR1139" s="17" t="str">
        <f t="shared" si="360"/>
        <v>-</v>
      </c>
      <c r="AS1139" s="17" t="str">
        <f t="shared" si="361"/>
        <v>-</v>
      </c>
      <c r="AT1139" s="13" t="str">
        <f t="shared" si="362"/>
        <v>-</v>
      </c>
      <c r="AU1139" s="8"/>
    </row>
    <row r="1140" spans="8:47" x14ac:dyDescent="0.25">
      <c r="H1140" s="27">
        <f>IF($G1140&lt;&gt;0,SUMIF(куб!$G:$G,$G1140,куб!H:H),IF($E1140&lt;&gt;0,SUMIF(куб!$E:$E,$E1140,куб!H:H),IF($D1140&lt;&gt;0,SUMIF(куб!$D:$D,$D1140,куб!H:H),IF($C1140&lt;&gt;0,SUMIF(куб!$C:$C,$C1140,куб!H:H),IF($B1140&lt;&gt;0,SUMIF(куб!$B:$B,$B1140,куб!H:H),IF($G1140&lt;&gt;0,SUMIF(куб!$A:$A,$G1140,куб!H:H),SUMIF(куб!$A:$A,$G1140,куб!H:H)))))))</f>
        <v>0</v>
      </c>
      <c r="I1140" s="27">
        <f>IF($G1140&lt;&gt;0,SUMIF(куб!$G:$G,$G1140,куб!I:I),IF($E1140&lt;&gt;0,SUMIF(куб!$E:$E,$E1140,куб!I:I),IF($D1140&lt;&gt;0,SUMIF(куб!$D:$D,$D1140,куб!I:I),IF($C1140&lt;&gt;0,SUMIF(куб!$C:$C,$C1140,куб!I:I),IF($B1140&lt;&gt;0,SUMIF(куб!$B:$B,$B1140,куб!I:I),IF($G1140&lt;&gt;0,SUMIF(куб!$A:$A,$G1140,куб!I:I),SUMIF(куб!$A:$A,$G1140,куб!I:I)))))))</f>
        <v>0</v>
      </c>
      <c r="J1140" s="19" t="str">
        <f t="shared" si="345"/>
        <v>-</v>
      </c>
      <c r="K1140" s="8"/>
      <c r="L1140" s="17">
        <f t="shared" si="346"/>
        <v>0</v>
      </c>
      <c r="M1140" s="17">
        <f t="shared" si="347"/>
        <v>0</v>
      </c>
      <c r="N1140" s="12">
        <f t="shared" si="348"/>
        <v>0</v>
      </c>
      <c r="O1140" s="5"/>
      <c r="P1140" s="27" t="b">
        <f>IF($G1140&lt;&gt;0,SUMIF(куб!$G:$G,$G1140,куб!J:J),IF($E1140&lt;&gt;0,SUMIF(куб!$E:$E,$E1140,куб!J:J),IF($D1140&lt;&gt;0,SUMIF(куб!$D:$D,$D1140,куб!J:J),IF($C1140&lt;&gt;0,SUMIF(куб!$C:$C,$C1140,куб!J:J),IF($B1140&lt;&gt;0,SUMIF(куб!$B:$B,$B1140,куб!J:J))))))</f>
        <v>0</v>
      </c>
      <c r="Q1140" s="27" t="b">
        <f>IF($G1140&lt;&gt;0,SUMIF(куб!$G:$G,$G1140,куб!K:K),IF($E1140&lt;&gt;0,SUMIF(куб!$E:$E,$E1140,куб!K:K),IF($D1140&lt;&gt;0,SUMIF(куб!$D:$D,$D1140,куб!K:K),IF($C1140&lt;&gt;0,SUMIF(куб!$C:$C,$C1140,куб!K:K),IF($B1140&lt;&gt;0,SUMIF(куб!$B:$B,$B1140,куб!K:K))))))</f>
        <v>0</v>
      </c>
      <c r="R1140" s="13" t="str">
        <f t="shared" si="349"/>
        <v>-</v>
      </c>
      <c r="S1140" s="5"/>
      <c r="T1140" s="27" t="b">
        <f>IF($G1140&lt;&gt;0,SUMIF(куб!$G:$G,$G1140,куб!L:L),IF($E1140&lt;&gt;0,SUMIF(куб!$E:$E,$E1140,куб!L:L),IF($D1140&lt;&gt;0,SUMIF(куб!$D:$D,$D1140,куб!L:L),IF($C1140&lt;&gt;0,SUMIF(куб!$C:$C,$C1140,куб!L:L),IF($B1140&lt;&gt;0,SUMIF(куб!$B:$B,$B1140,куб!L:L))))))</f>
        <v>0</v>
      </c>
      <c r="U1140" s="27" t="b">
        <f>IF($G1140&lt;&gt;0,SUMIF(куб!$G:$G,$G1140,куб!M:M),IF($E1140&lt;&gt;0,SUMIF(куб!$E:$E,$E1140,куб!M:M),IF($D1140&lt;&gt;0,SUMIF(куб!$D:$D,$D1140,куб!M:M),IF($C1140&lt;&gt;0,SUMIF(куб!$C:$C,$C1140,куб!M:M),IF($B1140&lt;&gt;0,SUMIF(куб!$B:$B,$B1140,куб!M:M))))))</f>
        <v>0</v>
      </c>
      <c r="V1140" s="13" t="str">
        <f t="shared" si="350"/>
        <v>-</v>
      </c>
      <c r="W1140" s="5"/>
      <c r="X1140" s="27" t="b">
        <f>IF($G1140&lt;&gt;0,SUMIF(куб!$G:$G,$G1140,куб!N:N),IF($E1140&lt;&gt;0,SUMIF(куб!$E:$E,$E1140,куб!N:N),IF($D1140&lt;&gt;0,SUMIF(куб!$D:$D,$D1140,куб!N:N),IF($C1140&lt;&gt;0,SUMIF(куб!$C:$C,$C1140,куб!N:N),IF($B1140&lt;&gt;0,SUMIF(куб!$B:$B,$B1140,куб!N:N))))))</f>
        <v>0</v>
      </c>
      <c r="Y1140" s="27" t="b">
        <f>IF($G1140&lt;&gt;0,SUMIF(куб!$G:$G,$G1140,куб!O:O),IF($E1140&lt;&gt;0,SUMIF(куб!$E:$E,$E1140,куб!O:O),IF($D1140&lt;&gt;0,SUMIF(куб!$D:$D,$D1140,куб!O:O),IF($C1140&lt;&gt;0,SUMIF(куб!$C:$C,$C1140,куб!O:O),IF($B1140&lt;&gt;0,SUMIF(куб!$B:$B,$B1140,куб!O:O))))))</f>
        <v>0</v>
      </c>
      <c r="Z1140" s="13" t="str">
        <f t="shared" si="351"/>
        <v>-</v>
      </c>
      <c r="AA1140" s="5"/>
      <c r="AB1140" s="33" t="str">
        <f t="shared" si="352"/>
        <v/>
      </c>
      <c r="AC1140" s="33" t="str">
        <f t="shared" si="353"/>
        <v/>
      </c>
      <c r="AD1140" s="15" t="str">
        <f t="shared" si="354"/>
        <v xml:space="preserve"> </v>
      </c>
      <c r="AE1140" s="5"/>
      <c r="AF1140" s="27" t="b">
        <f>IF($G1140&lt;&gt;0,SUMIF(куб!$G:$G,$G1140,куб!R:R),IF($E1140&lt;&gt;0,SUMIF(куб!$E:$E,$E1140,куб!R:R),IF($D1140&lt;&gt;0,SUMIF(куб!$D:$D,$D1140,куб!R:R),IF($C1140&lt;&gt;0,SUMIF(куб!$C:$C,$C1140,куб!R:R),IF($B1140&lt;&gt;0,SUMIF(куб!$B:$B,$B1140,куб!R:R))))))</f>
        <v>0</v>
      </c>
      <c r="AG1140" s="27" t="b">
        <f>IF($G1140&lt;&gt;0,SUMIF(куб!$G:$G,$G1140,куб!S:S),IF($E1140&lt;&gt;0,SUMIF(куб!$E:$E,$E1140,куб!S:S),IF($D1140&lt;&gt;0,SUMIF(куб!$D:$D,$D1140,куб!S:S),IF($C1140&lt;&gt;0,SUMIF(куб!$C:$C,$C1140,куб!S:S),IF($B1140&lt;&gt;0,SUMIF(куб!$B:$B,$B1140,куб!S:S))))))</f>
        <v>0</v>
      </c>
      <c r="AH1140" s="16" t="str">
        <f t="shared" si="355"/>
        <v>-</v>
      </c>
      <c r="AI1140" s="8"/>
      <c r="AJ1140" s="27" t="b">
        <f>IF($G1140&lt;&gt;0,SUMIF(куб!$G:$G,$G1140,куб!T:T),IF($E1140&lt;&gt;0,SUMIF(куб!$E:$E,$E1140,куб!T:T),IF($D1140&lt;&gt;0,SUMIF(куб!$D:$D,$D1140,куб!T:T),IF($C1140&lt;&gt;0,SUMIF(куб!$C:$C,$C1140,куб!T:T),IF($B1140&lt;&gt;0,SUMIF(куб!$B:$B,$B1140,куб!T:T))))))</f>
        <v>0</v>
      </c>
      <c r="AK1140" s="27" t="b">
        <f>IF($G1140&lt;&gt;0,SUMIF(куб!$G:$G,$G1140,куб!U:U),IF($E1140&lt;&gt;0,SUMIF(куб!$E:$E,$E1140,куб!U:U),IF($D1140&lt;&gt;0,SUMIF(куб!$D:$D,$D1140,куб!U:U),IF($C1140&lt;&gt;0,SUMIF(куб!$C:$C,$C1140,куб!U:U),IF($B1140&lt;&gt;0,SUMIF(куб!$B:$B,$B1140,куб!U:U))))))</f>
        <v>0</v>
      </c>
      <c r="AL1140" s="16" t="str">
        <f t="shared" si="356"/>
        <v>-</v>
      </c>
      <c r="AM1140" s="8"/>
      <c r="AN1140" s="17" t="str">
        <f t="shared" si="357"/>
        <v xml:space="preserve"> </v>
      </c>
      <c r="AO1140" s="17" t="str">
        <f t="shared" si="358"/>
        <v xml:space="preserve"> </v>
      </c>
      <c r="AP1140" s="16" t="str">
        <f t="shared" si="359"/>
        <v>-</v>
      </c>
      <c r="AQ1140" s="8"/>
      <c r="AR1140" s="17" t="str">
        <f t="shared" si="360"/>
        <v>-</v>
      </c>
      <c r="AS1140" s="17" t="str">
        <f t="shared" si="361"/>
        <v>-</v>
      </c>
      <c r="AT1140" s="13" t="str">
        <f t="shared" si="362"/>
        <v>-</v>
      </c>
      <c r="AU1140" s="8"/>
    </row>
    <row r="1141" spans="8:47" x14ac:dyDescent="0.25">
      <c r="H1141" s="27">
        <f>IF($G1141&lt;&gt;0,SUMIF(куб!$G:$G,$G1141,куб!H:H),IF($E1141&lt;&gt;0,SUMIF(куб!$E:$E,$E1141,куб!H:H),IF($D1141&lt;&gt;0,SUMIF(куб!$D:$D,$D1141,куб!H:H),IF($C1141&lt;&gt;0,SUMIF(куб!$C:$C,$C1141,куб!H:H),IF($B1141&lt;&gt;0,SUMIF(куб!$B:$B,$B1141,куб!H:H),IF($G1141&lt;&gt;0,SUMIF(куб!$A:$A,$G1141,куб!H:H),SUMIF(куб!$A:$A,$G1141,куб!H:H)))))))</f>
        <v>0</v>
      </c>
      <c r="I1141" s="27">
        <f>IF($G1141&lt;&gt;0,SUMIF(куб!$G:$G,$G1141,куб!I:I),IF($E1141&lt;&gt;0,SUMIF(куб!$E:$E,$E1141,куб!I:I),IF($D1141&lt;&gt;0,SUMIF(куб!$D:$D,$D1141,куб!I:I),IF($C1141&lt;&gt;0,SUMIF(куб!$C:$C,$C1141,куб!I:I),IF($B1141&lt;&gt;0,SUMIF(куб!$B:$B,$B1141,куб!I:I),IF($G1141&lt;&gt;0,SUMIF(куб!$A:$A,$G1141,куб!I:I),SUMIF(куб!$A:$A,$G1141,куб!I:I)))))))</f>
        <v>0</v>
      </c>
      <c r="J1141" s="19" t="str">
        <f t="shared" si="345"/>
        <v>-</v>
      </c>
      <c r="K1141" s="8"/>
      <c r="L1141" s="17">
        <f t="shared" si="346"/>
        <v>0</v>
      </c>
      <c r="M1141" s="17">
        <f t="shared" si="347"/>
        <v>0</v>
      </c>
      <c r="N1141" s="12">
        <f t="shared" si="348"/>
        <v>0</v>
      </c>
      <c r="O1141" s="5"/>
      <c r="P1141" s="27" t="b">
        <f>IF($G1141&lt;&gt;0,SUMIF(куб!$G:$G,$G1141,куб!J:J),IF($E1141&lt;&gt;0,SUMIF(куб!$E:$E,$E1141,куб!J:J),IF($D1141&lt;&gt;0,SUMIF(куб!$D:$D,$D1141,куб!J:J),IF($C1141&lt;&gt;0,SUMIF(куб!$C:$C,$C1141,куб!J:J),IF($B1141&lt;&gt;0,SUMIF(куб!$B:$B,$B1141,куб!J:J))))))</f>
        <v>0</v>
      </c>
      <c r="Q1141" s="27" t="b">
        <f>IF($G1141&lt;&gt;0,SUMIF(куб!$G:$G,$G1141,куб!K:K),IF($E1141&lt;&gt;0,SUMIF(куб!$E:$E,$E1141,куб!K:K),IF($D1141&lt;&gt;0,SUMIF(куб!$D:$D,$D1141,куб!K:K),IF($C1141&lt;&gt;0,SUMIF(куб!$C:$C,$C1141,куб!K:K),IF($B1141&lt;&gt;0,SUMIF(куб!$B:$B,$B1141,куб!K:K))))))</f>
        <v>0</v>
      </c>
      <c r="R1141" s="13" t="str">
        <f t="shared" si="349"/>
        <v>-</v>
      </c>
      <c r="S1141" s="5"/>
      <c r="T1141" s="27" t="b">
        <f>IF($G1141&lt;&gt;0,SUMIF(куб!$G:$G,$G1141,куб!L:L),IF($E1141&lt;&gt;0,SUMIF(куб!$E:$E,$E1141,куб!L:L),IF($D1141&lt;&gt;0,SUMIF(куб!$D:$D,$D1141,куб!L:L),IF($C1141&lt;&gt;0,SUMIF(куб!$C:$C,$C1141,куб!L:L),IF($B1141&lt;&gt;0,SUMIF(куб!$B:$B,$B1141,куб!L:L))))))</f>
        <v>0</v>
      </c>
      <c r="U1141" s="27" t="b">
        <f>IF($G1141&lt;&gt;0,SUMIF(куб!$G:$G,$G1141,куб!M:M),IF($E1141&lt;&gt;0,SUMIF(куб!$E:$E,$E1141,куб!M:M),IF($D1141&lt;&gt;0,SUMIF(куб!$D:$D,$D1141,куб!M:M),IF($C1141&lt;&gt;0,SUMIF(куб!$C:$C,$C1141,куб!M:M),IF($B1141&lt;&gt;0,SUMIF(куб!$B:$B,$B1141,куб!M:M))))))</f>
        <v>0</v>
      </c>
      <c r="V1141" s="13" t="str">
        <f t="shared" si="350"/>
        <v>-</v>
      </c>
      <c r="W1141" s="5"/>
      <c r="X1141" s="27" t="b">
        <f>IF($G1141&lt;&gt;0,SUMIF(куб!$G:$G,$G1141,куб!N:N),IF($E1141&lt;&gt;0,SUMIF(куб!$E:$E,$E1141,куб!N:N),IF($D1141&lt;&gt;0,SUMIF(куб!$D:$D,$D1141,куб!N:N),IF($C1141&lt;&gt;0,SUMIF(куб!$C:$C,$C1141,куб!N:N),IF($B1141&lt;&gt;0,SUMIF(куб!$B:$B,$B1141,куб!N:N))))))</f>
        <v>0</v>
      </c>
      <c r="Y1141" s="27" t="b">
        <f>IF($G1141&lt;&gt;0,SUMIF(куб!$G:$G,$G1141,куб!O:O),IF($E1141&lt;&gt;0,SUMIF(куб!$E:$E,$E1141,куб!O:O),IF($D1141&lt;&gt;0,SUMIF(куб!$D:$D,$D1141,куб!O:O),IF($C1141&lt;&gt;0,SUMIF(куб!$C:$C,$C1141,куб!O:O),IF($B1141&lt;&gt;0,SUMIF(куб!$B:$B,$B1141,куб!O:O))))))</f>
        <v>0</v>
      </c>
      <c r="Z1141" s="13" t="str">
        <f t="shared" si="351"/>
        <v>-</v>
      </c>
      <c r="AA1141" s="5"/>
      <c r="AB1141" s="33" t="str">
        <f t="shared" si="352"/>
        <v/>
      </c>
      <c r="AC1141" s="33" t="str">
        <f t="shared" si="353"/>
        <v/>
      </c>
      <c r="AD1141" s="15" t="str">
        <f t="shared" si="354"/>
        <v xml:space="preserve"> </v>
      </c>
      <c r="AE1141" s="5"/>
      <c r="AF1141" s="27" t="b">
        <f>IF($G1141&lt;&gt;0,SUMIF(куб!$G:$G,$G1141,куб!R:R),IF($E1141&lt;&gt;0,SUMIF(куб!$E:$E,$E1141,куб!R:R),IF($D1141&lt;&gt;0,SUMIF(куб!$D:$D,$D1141,куб!R:R),IF($C1141&lt;&gt;0,SUMIF(куб!$C:$C,$C1141,куб!R:R),IF($B1141&lt;&gt;0,SUMIF(куб!$B:$B,$B1141,куб!R:R))))))</f>
        <v>0</v>
      </c>
      <c r="AG1141" s="27" t="b">
        <f>IF($G1141&lt;&gt;0,SUMIF(куб!$G:$G,$G1141,куб!S:S),IF($E1141&lt;&gt;0,SUMIF(куб!$E:$E,$E1141,куб!S:S),IF($D1141&lt;&gt;0,SUMIF(куб!$D:$D,$D1141,куб!S:S),IF($C1141&lt;&gt;0,SUMIF(куб!$C:$C,$C1141,куб!S:S),IF($B1141&lt;&gt;0,SUMIF(куб!$B:$B,$B1141,куб!S:S))))))</f>
        <v>0</v>
      </c>
      <c r="AH1141" s="16" t="str">
        <f t="shared" si="355"/>
        <v>-</v>
      </c>
      <c r="AI1141" s="8"/>
      <c r="AJ1141" s="27" t="b">
        <f>IF($G1141&lt;&gt;0,SUMIF(куб!$G:$G,$G1141,куб!T:T),IF($E1141&lt;&gt;0,SUMIF(куб!$E:$E,$E1141,куб!T:T),IF($D1141&lt;&gt;0,SUMIF(куб!$D:$D,$D1141,куб!T:T),IF($C1141&lt;&gt;0,SUMIF(куб!$C:$C,$C1141,куб!T:T),IF($B1141&lt;&gt;0,SUMIF(куб!$B:$B,$B1141,куб!T:T))))))</f>
        <v>0</v>
      </c>
      <c r="AK1141" s="27" t="b">
        <f>IF($G1141&lt;&gt;0,SUMIF(куб!$G:$G,$G1141,куб!U:U),IF($E1141&lt;&gt;0,SUMIF(куб!$E:$E,$E1141,куб!U:U),IF($D1141&lt;&gt;0,SUMIF(куб!$D:$D,$D1141,куб!U:U),IF($C1141&lt;&gt;0,SUMIF(куб!$C:$C,$C1141,куб!U:U),IF($B1141&lt;&gt;0,SUMIF(куб!$B:$B,$B1141,куб!U:U))))))</f>
        <v>0</v>
      </c>
      <c r="AL1141" s="16" t="str">
        <f t="shared" si="356"/>
        <v>-</v>
      </c>
      <c r="AM1141" s="8"/>
      <c r="AN1141" s="17" t="str">
        <f t="shared" si="357"/>
        <v xml:space="preserve"> </v>
      </c>
      <c r="AO1141" s="17" t="str">
        <f t="shared" si="358"/>
        <v xml:space="preserve"> </v>
      </c>
      <c r="AP1141" s="16" t="str">
        <f t="shared" si="359"/>
        <v>-</v>
      </c>
      <c r="AQ1141" s="8"/>
      <c r="AR1141" s="17" t="str">
        <f t="shared" si="360"/>
        <v>-</v>
      </c>
      <c r="AS1141" s="17" t="str">
        <f t="shared" si="361"/>
        <v>-</v>
      </c>
      <c r="AT1141" s="13" t="str">
        <f t="shared" si="362"/>
        <v>-</v>
      </c>
      <c r="AU1141" s="8"/>
    </row>
    <row r="1142" spans="8:47" x14ac:dyDescent="0.25">
      <c r="H1142" s="27">
        <f>IF($G1142&lt;&gt;0,SUMIF(куб!$G:$G,$G1142,куб!H:H),IF($E1142&lt;&gt;0,SUMIF(куб!$E:$E,$E1142,куб!H:H),IF($D1142&lt;&gt;0,SUMIF(куб!$D:$D,$D1142,куб!H:H),IF($C1142&lt;&gt;0,SUMIF(куб!$C:$C,$C1142,куб!H:H),IF($B1142&lt;&gt;0,SUMIF(куб!$B:$B,$B1142,куб!H:H),IF($G1142&lt;&gt;0,SUMIF(куб!$A:$A,$G1142,куб!H:H),SUMIF(куб!$A:$A,$G1142,куб!H:H)))))))</f>
        <v>0</v>
      </c>
      <c r="I1142" s="27">
        <f>IF($G1142&lt;&gt;0,SUMIF(куб!$G:$G,$G1142,куб!I:I),IF($E1142&lt;&gt;0,SUMIF(куб!$E:$E,$E1142,куб!I:I),IF($D1142&lt;&gt;0,SUMIF(куб!$D:$D,$D1142,куб!I:I),IF($C1142&lt;&gt;0,SUMIF(куб!$C:$C,$C1142,куб!I:I),IF($B1142&lt;&gt;0,SUMIF(куб!$B:$B,$B1142,куб!I:I),IF($G1142&lt;&gt;0,SUMIF(куб!$A:$A,$G1142,куб!I:I),SUMIF(куб!$A:$A,$G1142,куб!I:I)))))))</f>
        <v>0</v>
      </c>
      <c r="J1142" s="19" t="str">
        <f t="shared" si="345"/>
        <v>-</v>
      </c>
      <c r="K1142" s="8"/>
      <c r="L1142" s="17">
        <f t="shared" si="346"/>
        <v>0</v>
      </c>
      <c r="M1142" s="17">
        <f t="shared" si="347"/>
        <v>0</v>
      </c>
      <c r="N1142" s="12">
        <f t="shared" si="348"/>
        <v>0</v>
      </c>
      <c r="O1142" s="5"/>
      <c r="P1142" s="27" t="b">
        <f>IF($G1142&lt;&gt;0,SUMIF(куб!$G:$G,$G1142,куб!J:J),IF($E1142&lt;&gt;0,SUMIF(куб!$E:$E,$E1142,куб!J:J),IF($D1142&lt;&gt;0,SUMIF(куб!$D:$D,$D1142,куб!J:J),IF($C1142&lt;&gt;0,SUMIF(куб!$C:$C,$C1142,куб!J:J),IF($B1142&lt;&gt;0,SUMIF(куб!$B:$B,$B1142,куб!J:J))))))</f>
        <v>0</v>
      </c>
      <c r="Q1142" s="27" t="b">
        <f>IF($G1142&lt;&gt;0,SUMIF(куб!$G:$G,$G1142,куб!K:K),IF($E1142&lt;&gt;0,SUMIF(куб!$E:$E,$E1142,куб!K:K),IF($D1142&lt;&gt;0,SUMIF(куб!$D:$D,$D1142,куб!K:K),IF($C1142&lt;&gt;0,SUMIF(куб!$C:$C,$C1142,куб!K:K),IF($B1142&lt;&gt;0,SUMIF(куб!$B:$B,$B1142,куб!K:K))))))</f>
        <v>0</v>
      </c>
      <c r="R1142" s="13" t="str">
        <f t="shared" si="349"/>
        <v>-</v>
      </c>
      <c r="S1142" s="5"/>
      <c r="T1142" s="27" t="b">
        <f>IF($G1142&lt;&gt;0,SUMIF(куб!$G:$G,$G1142,куб!L:L),IF($E1142&lt;&gt;0,SUMIF(куб!$E:$E,$E1142,куб!L:L),IF($D1142&lt;&gt;0,SUMIF(куб!$D:$D,$D1142,куб!L:L),IF($C1142&lt;&gt;0,SUMIF(куб!$C:$C,$C1142,куб!L:L),IF($B1142&lt;&gt;0,SUMIF(куб!$B:$B,$B1142,куб!L:L))))))</f>
        <v>0</v>
      </c>
      <c r="U1142" s="27" t="b">
        <f>IF($G1142&lt;&gt;0,SUMIF(куб!$G:$G,$G1142,куб!M:M),IF($E1142&lt;&gt;0,SUMIF(куб!$E:$E,$E1142,куб!M:M),IF($D1142&lt;&gt;0,SUMIF(куб!$D:$D,$D1142,куб!M:M),IF($C1142&lt;&gt;0,SUMIF(куб!$C:$C,$C1142,куб!M:M),IF($B1142&lt;&gt;0,SUMIF(куб!$B:$B,$B1142,куб!M:M))))))</f>
        <v>0</v>
      </c>
      <c r="V1142" s="13" t="str">
        <f t="shared" si="350"/>
        <v>-</v>
      </c>
      <c r="W1142" s="5"/>
      <c r="X1142" s="27" t="b">
        <f>IF($G1142&lt;&gt;0,SUMIF(куб!$G:$G,$G1142,куб!N:N),IF($E1142&lt;&gt;0,SUMIF(куб!$E:$E,$E1142,куб!N:N),IF($D1142&lt;&gt;0,SUMIF(куб!$D:$D,$D1142,куб!N:N),IF($C1142&lt;&gt;0,SUMIF(куб!$C:$C,$C1142,куб!N:N),IF($B1142&lt;&gt;0,SUMIF(куб!$B:$B,$B1142,куб!N:N))))))</f>
        <v>0</v>
      </c>
      <c r="Y1142" s="27" t="b">
        <f>IF($G1142&lt;&gt;0,SUMIF(куб!$G:$G,$G1142,куб!O:O),IF($E1142&lt;&gt;0,SUMIF(куб!$E:$E,$E1142,куб!O:O),IF($D1142&lt;&gt;0,SUMIF(куб!$D:$D,$D1142,куб!O:O),IF($C1142&lt;&gt;0,SUMIF(куб!$C:$C,$C1142,куб!O:O),IF($B1142&lt;&gt;0,SUMIF(куб!$B:$B,$B1142,куб!O:O))))))</f>
        <v>0</v>
      </c>
      <c r="Z1142" s="13" t="str">
        <f t="shared" si="351"/>
        <v>-</v>
      </c>
      <c r="AA1142" s="5"/>
      <c r="AB1142" s="33" t="str">
        <f t="shared" si="352"/>
        <v/>
      </c>
      <c r="AC1142" s="33" t="str">
        <f t="shared" si="353"/>
        <v/>
      </c>
      <c r="AD1142" s="15" t="str">
        <f t="shared" si="354"/>
        <v xml:space="preserve"> </v>
      </c>
      <c r="AE1142" s="5"/>
      <c r="AF1142" s="27" t="b">
        <f>IF($G1142&lt;&gt;0,SUMIF(куб!$G:$G,$G1142,куб!R:R),IF($E1142&lt;&gt;0,SUMIF(куб!$E:$E,$E1142,куб!R:R),IF($D1142&lt;&gt;0,SUMIF(куб!$D:$D,$D1142,куб!R:R),IF($C1142&lt;&gt;0,SUMIF(куб!$C:$C,$C1142,куб!R:R),IF($B1142&lt;&gt;0,SUMIF(куб!$B:$B,$B1142,куб!R:R))))))</f>
        <v>0</v>
      </c>
      <c r="AG1142" s="27" t="b">
        <f>IF($G1142&lt;&gt;0,SUMIF(куб!$G:$G,$G1142,куб!S:S),IF($E1142&lt;&gt;0,SUMIF(куб!$E:$E,$E1142,куб!S:S),IF($D1142&lt;&gt;0,SUMIF(куб!$D:$D,$D1142,куб!S:S),IF($C1142&lt;&gt;0,SUMIF(куб!$C:$C,$C1142,куб!S:S),IF($B1142&lt;&gt;0,SUMIF(куб!$B:$B,$B1142,куб!S:S))))))</f>
        <v>0</v>
      </c>
      <c r="AH1142" s="16" t="str">
        <f t="shared" si="355"/>
        <v>-</v>
      </c>
      <c r="AI1142" s="8"/>
      <c r="AJ1142" s="27" t="b">
        <f>IF($G1142&lt;&gt;0,SUMIF(куб!$G:$G,$G1142,куб!T:T),IF($E1142&lt;&gt;0,SUMIF(куб!$E:$E,$E1142,куб!T:T),IF($D1142&lt;&gt;0,SUMIF(куб!$D:$D,$D1142,куб!T:T),IF($C1142&lt;&gt;0,SUMIF(куб!$C:$C,$C1142,куб!T:T),IF($B1142&lt;&gt;0,SUMIF(куб!$B:$B,$B1142,куб!T:T))))))</f>
        <v>0</v>
      </c>
      <c r="AK1142" s="27" t="b">
        <f>IF($G1142&lt;&gt;0,SUMIF(куб!$G:$G,$G1142,куб!U:U),IF($E1142&lt;&gt;0,SUMIF(куб!$E:$E,$E1142,куб!U:U),IF($D1142&lt;&gt;0,SUMIF(куб!$D:$D,$D1142,куб!U:U),IF($C1142&lt;&gt;0,SUMIF(куб!$C:$C,$C1142,куб!U:U),IF($B1142&lt;&gt;0,SUMIF(куб!$B:$B,$B1142,куб!U:U))))))</f>
        <v>0</v>
      </c>
      <c r="AL1142" s="16" t="str">
        <f t="shared" si="356"/>
        <v>-</v>
      </c>
      <c r="AM1142" s="8"/>
      <c r="AN1142" s="17" t="str">
        <f t="shared" si="357"/>
        <v xml:space="preserve"> </v>
      </c>
      <c r="AO1142" s="17" t="str">
        <f t="shared" si="358"/>
        <v xml:space="preserve"> </v>
      </c>
      <c r="AP1142" s="16" t="str">
        <f t="shared" si="359"/>
        <v>-</v>
      </c>
      <c r="AQ1142" s="8"/>
      <c r="AR1142" s="17" t="str">
        <f t="shared" si="360"/>
        <v>-</v>
      </c>
      <c r="AS1142" s="17" t="str">
        <f t="shared" si="361"/>
        <v>-</v>
      </c>
      <c r="AT1142" s="13" t="str">
        <f t="shared" si="362"/>
        <v>-</v>
      </c>
      <c r="AU1142" s="8"/>
    </row>
    <row r="1143" spans="8:47" x14ac:dyDescent="0.25">
      <c r="H1143" s="27">
        <f>IF($G1143&lt;&gt;0,SUMIF(куб!$G:$G,$G1143,куб!H:H),IF($E1143&lt;&gt;0,SUMIF(куб!$E:$E,$E1143,куб!H:H),IF($D1143&lt;&gt;0,SUMIF(куб!$D:$D,$D1143,куб!H:H),IF($C1143&lt;&gt;0,SUMIF(куб!$C:$C,$C1143,куб!H:H),IF($B1143&lt;&gt;0,SUMIF(куб!$B:$B,$B1143,куб!H:H),IF($G1143&lt;&gt;0,SUMIF(куб!$A:$A,$G1143,куб!H:H),SUMIF(куб!$A:$A,$G1143,куб!H:H)))))))</f>
        <v>0</v>
      </c>
      <c r="I1143" s="27">
        <f>IF($G1143&lt;&gt;0,SUMIF(куб!$G:$G,$G1143,куб!I:I),IF($E1143&lt;&gt;0,SUMIF(куб!$E:$E,$E1143,куб!I:I),IF($D1143&lt;&gt;0,SUMIF(куб!$D:$D,$D1143,куб!I:I),IF($C1143&lt;&gt;0,SUMIF(куб!$C:$C,$C1143,куб!I:I),IF($B1143&lt;&gt;0,SUMIF(куб!$B:$B,$B1143,куб!I:I),IF($G1143&lt;&gt;0,SUMIF(куб!$A:$A,$G1143,куб!I:I),SUMIF(куб!$A:$A,$G1143,куб!I:I)))))))</f>
        <v>0</v>
      </c>
      <c r="J1143" s="19" t="str">
        <f t="shared" si="345"/>
        <v>-</v>
      </c>
      <c r="K1143" s="8"/>
      <c r="L1143" s="17">
        <f t="shared" si="346"/>
        <v>0</v>
      </c>
      <c r="M1143" s="17">
        <f t="shared" si="347"/>
        <v>0</v>
      </c>
      <c r="N1143" s="12">
        <f t="shared" si="348"/>
        <v>0</v>
      </c>
      <c r="O1143" s="5"/>
      <c r="P1143" s="27" t="b">
        <f>IF($G1143&lt;&gt;0,SUMIF(куб!$G:$G,$G1143,куб!J:J),IF($E1143&lt;&gt;0,SUMIF(куб!$E:$E,$E1143,куб!J:J),IF($D1143&lt;&gt;0,SUMIF(куб!$D:$D,$D1143,куб!J:J),IF($C1143&lt;&gt;0,SUMIF(куб!$C:$C,$C1143,куб!J:J),IF($B1143&lt;&gt;0,SUMIF(куб!$B:$B,$B1143,куб!J:J))))))</f>
        <v>0</v>
      </c>
      <c r="Q1143" s="27" t="b">
        <f>IF($G1143&lt;&gt;0,SUMIF(куб!$G:$G,$G1143,куб!K:K),IF($E1143&lt;&gt;0,SUMIF(куб!$E:$E,$E1143,куб!K:K),IF($D1143&lt;&gt;0,SUMIF(куб!$D:$D,$D1143,куб!K:K),IF($C1143&lt;&gt;0,SUMIF(куб!$C:$C,$C1143,куб!K:K),IF($B1143&lt;&gt;0,SUMIF(куб!$B:$B,$B1143,куб!K:K))))))</f>
        <v>0</v>
      </c>
      <c r="R1143" s="13" t="str">
        <f t="shared" si="349"/>
        <v>-</v>
      </c>
      <c r="S1143" s="5"/>
      <c r="T1143" s="27" t="b">
        <f>IF($G1143&lt;&gt;0,SUMIF(куб!$G:$G,$G1143,куб!L:L),IF($E1143&lt;&gt;0,SUMIF(куб!$E:$E,$E1143,куб!L:L),IF($D1143&lt;&gt;0,SUMIF(куб!$D:$D,$D1143,куб!L:L),IF($C1143&lt;&gt;0,SUMIF(куб!$C:$C,$C1143,куб!L:L),IF($B1143&lt;&gt;0,SUMIF(куб!$B:$B,$B1143,куб!L:L))))))</f>
        <v>0</v>
      </c>
      <c r="U1143" s="27" t="b">
        <f>IF($G1143&lt;&gt;0,SUMIF(куб!$G:$G,$G1143,куб!M:M),IF($E1143&lt;&gt;0,SUMIF(куб!$E:$E,$E1143,куб!M:M),IF($D1143&lt;&gt;0,SUMIF(куб!$D:$D,$D1143,куб!M:M),IF($C1143&lt;&gt;0,SUMIF(куб!$C:$C,$C1143,куб!M:M),IF($B1143&lt;&gt;0,SUMIF(куб!$B:$B,$B1143,куб!M:M))))))</f>
        <v>0</v>
      </c>
      <c r="V1143" s="13" t="str">
        <f t="shared" si="350"/>
        <v>-</v>
      </c>
      <c r="W1143" s="5"/>
      <c r="X1143" s="27" t="b">
        <f>IF($G1143&lt;&gt;0,SUMIF(куб!$G:$G,$G1143,куб!N:N),IF($E1143&lt;&gt;0,SUMIF(куб!$E:$E,$E1143,куб!N:N),IF($D1143&lt;&gt;0,SUMIF(куб!$D:$D,$D1143,куб!N:N),IF($C1143&lt;&gt;0,SUMIF(куб!$C:$C,$C1143,куб!N:N),IF($B1143&lt;&gt;0,SUMIF(куб!$B:$B,$B1143,куб!N:N))))))</f>
        <v>0</v>
      </c>
      <c r="Y1143" s="27" t="b">
        <f>IF($G1143&lt;&gt;0,SUMIF(куб!$G:$G,$G1143,куб!O:O),IF($E1143&lt;&gt;0,SUMIF(куб!$E:$E,$E1143,куб!O:O),IF($D1143&lt;&gt;0,SUMIF(куб!$D:$D,$D1143,куб!O:O),IF($C1143&lt;&gt;0,SUMIF(куб!$C:$C,$C1143,куб!O:O),IF($B1143&lt;&gt;0,SUMIF(куб!$B:$B,$B1143,куб!O:O))))))</f>
        <v>0</v>
      </c>
      <c r="Z1143" s="13" t="str">
        <f t="shared" si="351"/>
        <v>-</v>
      </c>
      <c r="AA1143" s="5"/>
      <c r="AB1143" s="33" t="str">
        <f t="shared" si="352"/>
        <v/>
      </c>
      <c r="AC1143" s="33" t="str">
        <f t="shared" si="353"/>
        <v/>
      </c>
      <c r="AD1143" s="15" t="str">
        <f t="shared" si="354"/>
        <v xml:space="preserve"> </v>
      </c>
      <c r="AE1143" s="5"/>
      <c r="AF1143" s="27" t="b">
        <f>IF($G1143&lt;&gt;0,SUMIF(куб!$G:$G,$G1143,куб!R:R),IF($E1143&lt;&gt;0,SUMIF(куб!$E:$E,$E1143,куб!R:R),IF($D1143&lt;&gt;0,SUMIF(куб!$D:$D,$D1143,куб!R:R),IF($C1143&lt;&gt;0,SUMIF(куб!$C:$C,$C1143,куб!R:R),IF($B1143&lt;&gt;0,SUMIF(куб!$B:$B,$B1143,куб!R:R))))))</f>
        <v>0</v>
      </c>
      <c r="AG1143" s="27" t="b">
        <f>IF($G1143&lt;&gt;0,SUMIF(куб!$G:$G,$G1143,куб!S:S),IF($E1143&lt;&gt;0,SUMIF(куб!$E:$E,$E1143,куб!S:S),IF($D1143&lt;&gt;0,SUMIF(куб!$D:$D,$D1143,куб!S:S),IF($C1143&lt;&gt;0,SUMIF(куб!$C:$C,$C1143,куб!S:S),IF($B1143&lt;&gt;0,SUMIF(куб!$B:$B,$B1143,куб!S:S))))))</f>
        <v>0</v>
      </c>
      <c r="AH1143" s="16" t="str">
        <f t="shared" si="355"/>
        <v>-</v>
      </c>
      <c r="AI1143" s="8"/>
      <c r="AJ1143" s="27" t="b">
        <f>IF($G1143&lt;&gt;0,SUMIF(куб!$G:$G,$G1143,куб!T:T),IF($E1143&lt;&gt;0,SUMIF(куб!$E:$E,$E1143,куб!T:T),IF($D1143&lt;&gt;0,SUMIF(куб!$D:$D,$D1143,куб!T:T),IF($C1143&lt;&gt;0,SUMIF(куб!$C:$C,$C1143,куб!T:T),IF($B1143&lt;&gt;0,SUMIF(куб!$B:$B,$B1143,куб!T:T))))))</f>
        <v>0</v>
      </c>
      <c r="AK1143" s="27" t="b">
        <f>IF($G1143&lt;&gt;0,SUMIF(куб!$G:$G,$G1143,куб!U:U),IF($E1143&lt;&gt;0,SUMIF(куб!$E:$E,$E1143,куб!U:U),IF($D1143&lt;&gt;0,SUMIF(куб!$D:$D,$D1143,куб!U:U),IF($C1143&lt;&gt;0,SUMIF(куб!$C:$C,$C1143,куб!U:U),IF($B1143&lt;&gt;0,SUMIF(куб!$B:$B,$B1143,куб!U:U))))))</f>
        <v>0</v>
      </c>
      <c r="AL1143" s="16" t="str">
        <f t="shared" si="356"/>
        <v>-</v>
      </c>
      <c r="AM1143" s="8"/>
      <c r="AN1143" s="17" t="str">
        <f t="shared" si="357"/>
        <v xml:space="preserve"> </v>
      </c>
      <c r="AO1143" s="17" t="str">
        <f t="shared" si="358"/>
        <v xml:space="preserve"> </v>
      </c>
      <c r="AP1143" s="16" t="str">
        <f t="shared" si="359"/>
        <v>-</v>
      </c>
      <c r="AQ1143" s="8"/>
      <c r="AR1143" s="17" t="str">
        <f t="shared" si="360"/>
        <v>-</v>
      </c>
      <c r="AS1143" s="17" t="str">
        <f t="shared" si="361"/>
        <v>-</v>
      </c>
      <c r="AT1143" s="13" t="str">
        <f t="shared" si="362"/>
        <v>-</v>
      </c>
      <c r="AU1143" s="8"/>
    </row>
    <row r="1144" spans="8:47" x14ac:dyDescent="0.25">
      <c r="H1144" s="27">
        <f>IF($G1144&lt;&gt;0,SUMIF(куб!$G:$G,$G1144,куб!H:H),IF($E1144&lt;&gt;0,SUMIF(куб!$E:$E,$E1144,куб!H:H),IF($D1144&lt;&gt;0,SUMIF(куб!$D:$D,$D1144,куб!H:H),IF($C1144&lt;&gt;0,SUMIF(куб!$C:$C,$C1144,куб!H:H),IF($B1144&lt;&gt;0,SUMIF(куб!$B:$B,$B1144,куб!H:H),IF($G1144&lt;&gt;0,SUMIF(куб!$A:$A,$G1144,куб!H:H),SUMIF(куб!$A:$A,$G1144,куб!H:H)))))))</f>
        <v>0</v>
      </c>
      <c r="I1144" s="27">
        <f>IF($G1144&lt;&gt;0,SUMIF(куб!$G:$G,$G1144,куб!I:I),IF($E1144&lt;&gt;0,SUMIF(куб!$E:$E,$E1144,куб!I:I),IF($D1144&lt;&gt;0,SUMIF(куб!$D:$D,$D1144,куб!I:I),IF($C1144&lt;&gt;0,SUMIF(куб!$C:$C,$C1144,куб!I:I),IF($B1144&lt;&gt;0,SUMIF(куб!$B:$B,$B1144,куб!I:I),IF($G1144&lt;&gt;0,SUMIF(куб!$A:$A,$G1144,куб!I:I),SUMIF(куб!$A:$A,$G1144,куб!I:I)))))))</f>
        <v>0</v>
      </c>
      <c r="J1144" s="19" t="str">
        <f t="shared" ref="J1144:J1207" si="363">IFERROR((I1144-H1144)/ABS(H1144),"-")</f>
        <v>-</v>
      </c>
      <c r="K1144" s="8"/>
      <c r="L1144" s="17">
        <f t="shared" ref="L1144:L1207" si="364">H1144/$H$3</f>
        <v>0</v>
      </c>
      <c r="M1144" s="17">
        <f t="shared" ref="M1144:M1207" si="365">I1144/$I$3</f>
        <v>0</v>
      </c>
      <c r="N1144" s="12">
        <f t="shared" ref="N1144:N1207" si="366">M1144-L1144</f>
        <v>0</v>
      </c>
      <c r="O1144" s="5"/>
      <c r="P1144" s="27" t="b">
        <f>IF($G1144&lt;&gt;0,SUMIF(куб!$G:$G,$G1144,куб!J:J),IF($E1144&lt;&gt;0,SUMIF(куб!$E:$E,$E1144,куб!J:J),IF($D1144&lt;&gt;0,SUMIF(куб!$D:$D,$D1144,куб!J:J),IF($C1144&lt;&gt;0,SUMIF(куб!$C:$C,$C1144,куб!J:J),IF($B1144&lt;&gt;0,SUMIF(куб!$B:$B,$B1144,куб!J:J))))))</f>
        <v>0</v>
      </c>
      <c r="Q1144" s="27" t="b">
        <f>IF($G1144&lt;&gt;0,SUMIF(куб!$G:$G,$G1144,куб!K:K),IF($E1144&lt;&gt;0,SUMIF(куб!$E:$E,$E1144,куб!K:K),IF($D1144&lt;&gt;0,SUMIF(куб!$D:$D,$D1144,куб!K:K),IF($C1144&lt;&gt;0,SUMIF(куб!$C:$C,$C1144,куб!K:K),IF($B1144&lt;&gt;0,SUMIF(куб!$B:$B,$B1144,куб!K:K))))))</f>
        <v>0</v>
      </c>
      <c r="R1144" s="13" t="str">
        <f t="shared" ref="R1144:R1207" si="367">IFERROR((Q1144-P1144)/ABS(P1144),"-")</f>
        <v>-</v>
      </c>
      <c r="S1144" s="5"/>
      <c r="T1144" s="27" t="b">
        <f>IF($G1144&lt;&gt;0,SUMIF(куб!$G:$G,$G1144,куб!L:L),IF($E1144&lt;&gt;0,SUMIF(куб!$E:$E,$E1144,куб!L:L),IF($D1144&lt;&gt;0,SUMIF(куб!$D:$D,$D1144,куб!L:L),IF($C1144&lt;&gt;0,SUMIF(куб!$C:$C,$C1144,куб!L:L),IF($B1144&lt;&gt;0,SUMIF(куб!$B:$B,$B1144,куб!L:L))))))</f>
        <v>0</v>
      </c>
      <c r="U1144" s="27" t="b">
        <f>IF($G1144&lt;&gt;0,SUMIF(куб!$G:$G,$G1144,куб!M:M),IF($E1144&lt;&gt;0,SUMIF(куб!$E:$E,$E1144,куб!M:M),IF($D1144&lt;&gt;0,SUMIF(куб!$D:$D,$D1144,куб!M:M),IF($C1144&lt;&gt;0,SUMIF(куб!$C:$C,$C1144,куб!M:M),IF($B1144&lt;&gt;0,SUMIF(куб!$B:$B,$B1144,куб!M:M))))))</f>
        <v>0</v>
      </c>
      <c r="V1144" s="13" t="str">
        <f t="shared" ref="V1144:V1207" si="368">IFERROR((U1144-T1144)/ABS(T1144),"-")</f>
        <v>-</v>
      </c>
      <c r="W1144" s="5"/>
      <c r="X1144" s="27" t="b">
        <f>IF($G1144&lt;&gt;0,SUMIF(куб!$G:$G,$G1144,куб!N:N),IF($E1144&lt;&gt;0,SUMIF(куб!$E:$E,$E1144,куб!N:N),IF($D1144&lt;&gt;0,SUMIF(куб!$D:$D,$D1144,куб!N:N),IF($C1144&lt;&gt;0,SUMIF(куб!$C:$C,$C1144,куб!N:N),IF($B1144&lt;&gt;0,SUMIF(куб!$B:$B,$B1144,куб!N:N))))))</f>
        <v>0</v>
      </c>
      <c r="Y1144" s="27" t="b">
        <f>IF($G1144&lt;&gt;0,SUMIF(куб!$G:$G,$G1144,куб!O:O),IF($E1144&lt;&gt;0,SUMIF(куб!$E:$E,$E1144,куб!O:O),IF($D1144&lt;&gt;0,SUMIF(куб!$D:$D,$D1144,куб!O:O),IF($C1144&lt;&gt;0,SUMIF(куб!$C:$C,$C1144,куб!O:O),IF($B1144&lt;&gt;0,SUMIF(куб!$B:$B,$B1144,куб!O:O))))))</f>
        <v>0</v>
      </c>
      <c r="Z1144" s="13" t="str">
        <f t="shared" ref="Z1144:Z1207" si="369">IFERROR((Y1144-X1144)/ABS(X1144),"-")</f>
        <v>-</v>
      </c>
      <c r="AA1144" s="5"/>
      <c r="AB1144" s="33" t="str">
        <f t="shared" ref="AB1144:AB1207" si="370">IFERROR(X1144/H1144,"")</f>
        <v/>
      </c>
      <c r="AC1144" s="33" t="str">
        <f t="shared" ref="AC1144:AC1207" si="371">IFERROR(Y1144/I1144,"")</f>
        <v/>
      </c>
      <c r="AD1144" s="15" t="str">
        <f t="shared" ref="AD1144:AD1207" si="372">IFERROR(AC1144-AB1144," ")</f>
        <v xml:space="preserve"> </v>
      </c>
      <c r="AE1144" s="5"/>
      <c r="AF1144" s="27" t="b">
        <f>IF($G1144&lt;&gt;0,SUMIF(куб!$G:$G,$G1144,куб!R:R),IF($E1144&lt;&gt;0,SUMIF(куб!$E:$E,$E1144,куб!R:R),IF($D1144&lt;&gt;0,SUMIF(куб!$D:$D,$D1144,куб!R:R),IF($C1144&lt;&gt;0,SUMIF(куб!$C:$C,$C1144,куб!R:R),IF($B1144&lt;&gt;0,SUMIF(куб!$B:$B,$B1144,куб!R:R))))))</f>
        <v>0</v>
      </c>
      <c r="AG1144" s="27" t="b">
        <f>IF($G1144&lt;&gt;0,SUMIF(куб!$G:$G,$G1144,куб!S:S),IF($E1144&lt;&gt;0,SUMIF(куб!$E:$E,$E1144,куб!S:S),IF($D1144&lt;&gt;0,SUMIF(куб!$D:$D,$D1144,куб!S:S),IF($C1144&lt;&gt;0,SUMIF(куб!$C:$C,$C1144,куб!S:S),IF($B1144&lt;&gt;0,SUMIF(куб!$B:$B,$B1144,куб!S:S))))))</f>
        <v>0</v>
      </c>
      <c r="AH1144" s="16" t="str">
        <f t="shared" ref="AH1144:AH1207" si="373">IFERROR((AG1144-AF1144)/ABS(AF1144),"-")</f>
        <v>-</v>
      </c>
      <c r="AI1144" s="8"/>
      <c r="AJ1144" s="27" t="b">
        <f>IF($G1144&lt;&gt;0,SUMIF(куб!$G:$G,$G1144,куб!T:T),IF($E1144&lt;&gt;0,SUMIF(куб!$E:$E,$E1144,куб!T:T),IF($D1144&lt;&gt;0,SUMIF(куб!$D:$D,$D1144,куб!T:T),IF($C1144&lt;&gt;0,SUMIF(куб!$C:$C,$C1144,куб!T:T),IF($B1144&lt;&gt;0,SUMIF(куб!$B:$B,$B1144,куб!T:T))))))</f>
        <v>0</v>
      </c>
      <c r="AK1144" s="27" t="b">
        <f>IF($G1144&lt;&gt;0,SUMIF(куб!$G:$G,$G1144,куб!U:U),IF($E1144&lt;&gt;0,SUMIF(куб!$E:$E,$E1144,куб!U:U),IF($D1144&lt;&gt;0,SUMIF(куб!$D:$D,$D1144,куб!U:U),IF($C1144&lt;&gt;0,SUMIF(куб!$C:$C,$C1144,куб!U:U),IF($B1144&lt;&gt;0,SUMIF(куб!$B:$B,$B1144,куб!U:U))))))</f>
        <v>0</v>
      </c>
      <c r="AL1144" s="16" t="str">
        <f t="shared" ref="AL1144:AL1207" si="374">IFERROR((AK1144-AJ1144)/ABS(AJ1144),"-")</f>
        <v>-</v>
      </c>
      <c r="AM1144" s="8"/>
      <c r="AN1144" s="17" t="str">
        <f t="shared" ref="AN1144:AN1207" si="375">IFERROR(AF1144/H1144," ")</f>
        <v xml:space="preserve"> </v>
      </c>
      <c r="AO1144" s="17" t="str">
        <f t="shared" ref="AO1144:AO1207" si="376">IFERROR(AG1144/I1144," ")</f>
        <v xml:space="preserve"> </v>
      </c>
      <c r="AP1144" s="16" t="str">
        <f t="shared" ref="AP1144:AP1207" si="377">IFERROR(AO1144-AN1144,"-")</f>
        <v>-</v>
      </c>
      <c r="AQ1144" s="8"/>
      <c r="AR1144" s="17" t="str">
        <f t="shared" ref="AR1144:AR1207" si="378">IFERROR((X1144-AF1144)/H1144,"-")</f>
        <v>-</v>
      </c>
      <c r="AS1144" s="17" t="str">
        <f t="shared" ref="AS1144:AS1207" si="379">IFERROR((Y1144-AG1144)/I1144,"-")</f>
        <v>-</v>
      </c>
      <c r="AT1144" s="13" t="str">
        <f t="shared" ref="AT1144:AT1207" si="380">IFERROR(AS1144-AR1144,"-")</f>
        <v>-</v>
      </c>
      <c r="AU1144" s="8"/>
    </row>
    <row r="1145" spans="8:47" x14ac:dyDescent="0.25">
      <c r="H1145" s="27">
        <f>IF($G1145&lt;&gt;0,SUMIF(куб!$G:$G,$G1145,куб!H:H),IF($E1145&lt;&gt;0,SUMIF(куб!$E:$E,$E1145,куб!H:H),IF($D1145&lt;&gt;0,SUMIF(куб!$D:$D,$D1145,куб!H:H),IF($C1145&lt;&gt;0,SUMIF(куб!$C:$C,$C1145,куб!H:H),IF($B1145&lt;&gt;0,SUMIF(куб!$B:$B,$B1145,куб!H:H),IF($G1145&lt;&gt;0,SUMIF(куб!$A:$A,$G1145,куб!H:H),SUMIF(куб!$A:$A,$G1145,куб!H:H)))))))</f>
        <v>0</v>
      </c>
      <c r="I1145" s="27">
        <f>IF($G1145&lt;&gt;0,SUMIF(куб!$G:$G,$G1145,куб!I:I),IF($E1145&lt;&gt;0,SUMIF(куб!$E:$E,$E1145,куб!I:I),IF($D1145&lt;&gt;0,SUMIF(куб!$D:$D,$D1145,куб!I:I),IF($C1145&lt;&gt;0,SUMIF(куб!$C:$C,$C1145,куб!I:I),IF($B1145&lt;&gt;0,SUMIF(куб!$B:$B,$B1145,куб!I:I),IF($G1145&lt;&gt;0,SUMIF(куб!$A:$A,$G1145,куб!I:I),SUMIF(куб!$A:$A,$G1145,куб!I:I)))))))</f>
        <v>0</v>
      </c>
      <c r="J1145" s="19" t="str">
        <f t="shared" si="363"/>
        <v>-</v>
      </c>
      <c r="K1145" s="8"/>
      <c r="L1145" s="17">
        <f t="shared" si="364"/>
        <v>0</v>
      </c>
      <c r="M1145" s="17">
        <f t="shared" si="365"/>
        <v>0</v>
      </c>
      <c r="N1145" s="12">
        <f t="shared" si="366"/>
        <v>0</v>
      </c>
      <c r="O1145" s="5"/>
      <c r="P1145" s="27" t="b">
        <f>IF($G1145&lt;&gt;0,SUMIF(куб!$G:$G,$G1145,куб!J:J),IF($E1145&lt;&gt;0,SUMIF(куб!$E:$E,$E1145,куб!J:J),IF($D1145&lt;&gt;0,SUMIF(куб!$D:$D,$D1145,куб!J:J),IF($C1145&lt;&gt;0,SUMIF(куб!$C:$C,$C1145,куб!J:J),IF($B1145&lt;&gt;0,SUMIF(куб!$B:$B,$B1145,куб!J:J))))))</f>
        <v>0</v>
      </c>
      <c r="Q1145" s="27" t="b">
        <f>IF($G1145&lt;&gt;0,SUMIF(куб!$G:$G,$G1145,куб!K:K),IF($E1145&lt;&gt;0,SUMIF(куб!$E:$E,$E1145,куб!K:K),IF($D1145&lt;&gt;0,SUMIF(куб!$D:$D,$D1145,куб!K:K),IF($C1145&lt;&gt;0,SUMIF(куб!$C:$C,$C1145,куб!K:K),IF($B1145&lt;&gt;0,SUMIF(куб!$B:$B,$B1145,куб!K:K))))))</f>
        <v>0</v>
      </c>
      <c r="R1145" s="13" t="str">
        <f t="shared" si="367"/>
        <v>-</v>
      </c>
      <c r="S1145" s="5"/>
      <c r="T1145" s="27" t="b">
        <f>IF($G1145&lt;&gt;0,SUMIF(куб!$G:$G,$G1145,куб!L:L),IF($E1145&lt;&gt;0,SUMIF(куб!$E:$E,$E1145,куб!L:L),IF($D1145&lt;&gt;0,SUMIF(куб!$D:$D,$D1145,куб!L:L),IF($C1145&lt;&gt;0,SUMIF(куб!$C:$C,$C1145,куб!L:L),IF($B1145&lt;&gt;0,SUMIF(куб!$B:$B,$B1145,куб!L:L))))))</f>
        <v>0</v>
      </c>
      <c r="U1145" s="27" t="b">
        <f>IF($G1145&lt;&gt;0,SUMIF(куб!$G:$G,$G1145,куб!M:M),IF($E1145&lt;&gt;0,SUMIF(куб!$E:$E,$E1145,куб!M:M),IF($D1145&lt;&gt;0,SUMIF(куб!$D:$D,$D1145,куб!M:M),IF($C1145&lt;&gt;0,SUMIF(куб!$C:$C,$C1145,куб!M:M),IF($B1145&lt;&gt;0,SUMIF(куб!$B:$B,$B1145,куб!M:M))))))</f>
        <v>0</v>
      </c>
      <c r="V1145" s="13" t="str">
        <f t="shared" si="368"/>
        <v>-</v>
      </c>
      <c r="W1145" s="5"/>
      <c r="X1145" s="27" t="b">
        <f>IF($G1145&lt;&gt;0,SUMIF(куб!$G:$G,$G1145,куб!N:N),IF($E1145&lt;&gt;0,SUMIF(куб!$E:$E,$E1145,куб!N:N),IF($D1145&lt;&gt;0,SUMIF(куб!$D:$D,$D1145,куб!N:N),IF($C1145&lt;&gt;0,SUMIF(куб!$C:$C,$C1145,куб!N:N),IF($B1145&lt;&gt;0,SUMIF(куб!$B:$B,$B1145,куб!N:N))))))</f>
        <v>0</v>
      </c>
      <c r="Y1145" s="27" t="b">
        <f>IF($G1145&lt;&gt;0,SUMIF(куб!$G:$G,$G1145,куб!O:O),IF($E1145&lt;&gt;0,SUMIF(куб!$E:$E,$E1145,куб!O:O),IF($D1145&lt;&gt;0,SUMIF(куб!$D:$D,$D1145,куб!O:O),IF($C1145&lt;&gt;0,SUMIF(куб!$C:$C,$C1145,куб!O:O),IF($B1145&lt;&gt;0,SUMIF(куб!$B:$B,$B1145,куб!O:O))))))</f>
        <v>0</v>
      </c>
      <c r="Z1145" s="13" t="str">
        <f t="shared" si="369"/>
        <v>-</v>
      </c>
      <c r="AA1145" s="5"/>
      <c r="AB1145" s="33" t="str">
        <f t="shared" si="370"/>
        <v/>
      </c>
      <c r="AC1145" s="33" t="str">
        <f t="shared" si="371"/>
        <v/>
      </c>
      <c r="AD1145" s="15" t="str">
        <f t="shared" si="372"/>
        <v xml:space="preserve"> </v>
      </c>
      <c r="AE1145" s="5"/>
      <c r="AF1145" s="27" t="b">
        <f>IF($G1145&lt;&gt;0,SUMIF(куб!$G:$G,$G1145,куб!R:R),IF($E1145&lt;&gt;0,SUMIF(куб!$E:$E,$E1145,куб!R:R),IF($D1145&lt;&gt;0,SUMIF(куб!$D:$D,$D1145,куб!R:R),IF($C1145&lt;&gt;0,SUMIF(куб!$C:$C,$C1145,куб!R:R),IF($B1145&lt;&gt;0,SUMIF(куб!$B:$B,$B1145,куб!R:R))))))</f>
        <v>0</v>
      </c>
      <c r="AG1145" s="27" t="b">
        <f>IF($G1145&lt;&gt;0,SUMIF(куб!$G:$G,$G1145,куб!S:S),IF($E1145&lt;&gt;0,SUMIF(куб!$E:$E,$E1145,куб!S:S),IF($D1145&lt;&gt;0,SUMIF(куб!$D:$D,$D1145,куб!S:S),IF($C1145&lt;&gt;0,SUMIF(куб!$C:$C,$C1145,куб!S:S),IF($B1145&lt;&gt;0,SUMIF(куб!$B:$B,$B1145,куб!S:S))))))</f>
        <v>0</v>
      </c>
      <c r="AH1145" s="16" t="str">
        <f t="shared" si="373"/>
        <v>-</v>
      </c>
      <c r="AI1145" s="8"/>
      <c r="AJ1145" s="27" t="b">
        <f>IF($G1145&lt;&gt;0,SUMIF(куб!$G:$G,$G1145,куб!T:T),IF($E1145&lt;&gt;0,SUMIF(куб!$E:$E,$E1145,куб!T:T),IF($D1145&lt;&gt;0,SUMIF(куб!$D:$D,$D1145,куб!T:T),IF($C1145&lt;&gt;0,SUMIF(куб!$C:$C,$C1145,куб!T:T),IF($B1145&lt;&gt;0,SUMIF(куб!$B:$B,$B1145,куб!T:T))))))</f>
        <v>0</v>
      </c>
      <c r="AK1145" s="27" t="b">
        <f>IF($G1145&lt;&gt;0,SUMIF(куб!$G:$G,$G1145,куб!U:U),IF($E1145&lt;&gt;0,SUMIF(куб!$E:$E,$E1145,куб!U:U),IF($D1145&lt;&gt;0,SUMIF(куб!$D:$D,$D1145,куб!U:U),IF($C1145&lt;&gt;0,SUMIF(куб!$C:$C,$C1145,куб!U:U),IF($B1145&lt;&gt;0,SUMIF(куб!$B:$B,$B1145,куб!U:U))))))</f>
        <v>0</v>
      </c>
      <c r="AL1145" s="16" t="str">
        <f t="shared" si="374"/>
        <v>-</v>
      </c>
      <c r="AM1145" s="8"/>
      <c r="AN1145" s="17" t="str">
        <f t="shared" si="375"/>
        <v xml:space="preserve"> </v>
      </c>
      <c r="AO1145" s="17" t="str">
        <f t="shared" si="376"/>
        <v xml:space="preserve"> </v>
      </c>
      <c r="AP1145" s="16" t="str">
        <f t="shared" si="377"/>
        <v>-</v>
      </c>
      <c r="AQ1145" s="8"/>
      <c r="AR1145" s="17" t="str">
        <f t="shared" si="378"/>
        <v>-</v>
      </c>
      <c r="AS1145" s="17" t="str">
        <f t="shared" si="379"/>
        <v>-</v>
      </c>
      <c r="AT1145" s="13" t="str">
        <f t="shared" si="380"/>
        <v>-</v>
      </c>
      <c r="AU1145" s="8"/>
    </row>
    <row r="1146" spans="8:47" x14ac:dyDescent="0.25">
      <c r="H1146" s="27">
        <f>IF($G1146&lt;&gt;0,SUMIF(куб!$G:$G,$G1146,куб!H:H),IF($E1146&lt;&gt;0,SUMIF(куб!$E:$E,$E1146,куб!H:H),IF($D1146&lt;&gt;0,SUMIF(куб!$D:$D,$D1146,куб!H:H),IF($C1146&lt;&gt;0,SUMIF(куб!$C:$C,$C1146,куб!H:H),IF($B1146&lt;&gt;0,SUMIF(куб!$B:$B,$B1146,куб!H:H),IF($G1146&lt;&gt;0,SUMIF(куб!$A:$A,$G1146,куб!H:H),SUMIF(куб!$A:$A,$G1146,куб!H:H)))))))</f>
        <v>0</v>
      </c>
      <c r="I1146" s="27">
        <f>IF($G1146&lt;&gt;0,SUMIF(куб!$G:$G,$G1146,куб!I:I),IF($E1146&lt;&gt;0,SUMIF(куб!$E:$E,$E1146,куб!I:I),IF($D1146&lt;&gt;0,SUMIF(куб!$D:$D,$D1146,куб!I:I),IF($C1146&lt;&gt;0,SUMIF(куб!$C:$C,$C1146,куб!I:I),IF($B1146&lt;&gt;0,SUMIF(куб!$B:$B,$B1146,куб!I:I),IF($G1146&lt;&gt;0,SUMIF(куб!$A:$A,$G1146,куб!I:I),SUMIF(куб!$A:$A,$G1146,куб!I:I)))))))</f>
        <v>0</v>
      </c>
      <c r="J1146" s="19" t="str">
        <f t="shared" si="363"/>
        <v>-</v>
      </c>
      <c r="K1146" s="8"/>
      <c r="L1146" s="17">
        <f t="shared" si="364"/>
        <v>0</v>
      </c>
      <c r="M1146" s="17">
        <f t="shared" si="365"/>
        <v>0</v>
      </c>
      <c r="N1146" s="12">
        <f t="shared" si="366"/>
        <v>0</v>
      </c>
      <c r="O1146" s="5"/>
      <c r="P1146" s="27" t="b">
        <f>IF($G1146&lt;&gt;0,SUMIF(куб!$G:$G,$G1146,куб!J:J),IF($E1146&lt;&gt;0,SUMIF(куб!$E:$E,$E1146,куб!J:J),IF($D1146&lt;&gt;0,SUMIF(куб!$D:$D,$D1146,куб!J:J),IF($C1146&lt;&gt;0,SUMIF(куб!$C:$C,$C1146,куб!J:J),IF($B1146&lt;&gt;0,SUMIF(куб!$B:$B,$B1146,куб!J:J))))))</f>
        <v>0</v>
      </c>
      <c r="Q1146" s="27" t="b">
        <f>IF($G1146&lt;&gt;0,SUMIF(куб!$G:$G,$G1146,куб!K:K),IF($E1146&lt;&gt;0,SUMIF(куб!$E:$E,$E1146,куб!K:K),IF($D1146&lt;&gt;0,SUMIF(куб!$D:$D,$D1146,куб!K:K),IF($C1146&lt;&gt;0,SUMIF(куб!$C:$C,$C1146,куб!K:K),IF($B1146&lt;&gt;0,SUMIF(куб!$B:$B,$B1146,куб!K:K))))))</f>
        <v>0</v>
      </c>
      <c r="R1146" s="13" t="str">
        <f t="shared" si="367"/>
        <v>-</v>
      </c>
      <c r="S1146" s="5"/>
      <c r="T1146" s="27" t="b">
        <f>IF($G1146&lt;&gt;0,SUMIF(куб!$G:$G,$G1146,куб!L:L),IF($E1146&lt;&gt;0,SUMIF(куб!$E:$E,$E1146,куб!L:L),IF($D1146&lt;&gt;0,SUMIF(куб!$D:$D,$D1146,куб!L:L),IF($C1146&lt;&gt;0,SUMIF(куб!$C:$C,$C1146,куб!L:L),IF($B1146&lt;&gt;0,SUMIF(куб!$B:$B,$B1146,куб!L:L))))))</f>
        <v>0</v>
      </c>
      <c r="U1146" s="27" t="b">
        <f>IF($G1146&lt;&gt;0,SUMIF(куб!$G:$G,$G1146,куб!M:M),IF($E1146&lt;&gt;0,SUMIF(куб!$E:$E,$E1146,куб!M:M),IF($D1146&lt;&gt;0,SUMIF(куб!$D:$D,$D1146,куб!M:M),IF($C1146&lt;&gt;0,SUMIF(куб!$C:$C,$C1146,куб!M:M),IF($B1146&lt;&gt;0,SUMIF(куб!$B:$B,$B1146,куб!M:M))))))</f>
        <v>0</v>
      </c>
      <c r="V1146" s="13" t="str">
        <f t="shared" si="368"/>
        <v>-</v>
      </c>
      <c r="W1146" s="5"/>
      <c r="X1146" s="27" t="b">
        <f>IF($G1146&lt;&gt;0,SUMIF(куб!$G:$G,$G1146,куб!N:N),IF($E1146&lt;&gt;0,SUMIF(куб!$E:$E,$E1146,куб!N:N),IF($D1146&lt;&gt;0,SUMIF(куб!$D:$D,$D1146,куб!N:N),IF($C1146&lt;&gt;0,SUMIF(куб!$C:$C,$C1146,куб!N:N),IF($B1146&lt;&gt;0,SUMIF(куб!$B:$B,$B1146,куб!N:N))))))</f>
        <v>0</v>
      </c>
      <c r="Y1146" s="27" t="b">
        <f>IF($G1146&lt;&gt;0,SUMIF(куб!$G:$G,$G1146,куб!O:O),IF($E1146&lt;&gt;0,SUMIF(куб!$E:$E,$E1146,куб!O:O),IF($D1146&lt;&gt;0,SUMIF(куб!$D:$D,$D1146,куб!O:O),IF($C1146&lt;&gt;0,SUMIF(куб!$C:$C,$C1146,куб!O:O),IF($B1146&lt;&gt;0,SUMIF(куб!$B:$B,$B1146,куб!O:O))))))</f>
        <v>0</v>
      </c>
      <c r="Z1146" s="13" t="str">
        <f t="shared" si="369"/>
        <v>-</v>
      </c>
      <c r="AA1146" s="5"/>
      <c r="AB1146" s="33" t="str">
        <f t="shared" si="370"/>
        <v/>
      </c>
      <c r="AC1146" s="33" t="str">
        <f t="shared" si="371"/>
        <v/>
      </c>
      <c r="AD1146" s="15" t="str">
        <f t="shared" si="372"/>
        <v xml:space="preserve"> </v>
      </c>
      <c r="AE1146" s="5"/>
      <c r="AF1146" s="27" t="b">
        <f>IF($G1146&lt;&gt;0,SUMIF(куб!$G:$G,$G1146,куб!R:R),IF($E1146&lt;&gt;0,SUMIF(куб!$E:$E,$E1146,куб!R:R),IF($D1146&lt;&gt;0,SUMIF(куб!$D:$D,$D1146,куб!R:R),IF($C1146&lt;&gt;0,SUMIF(куб!$C:$C,$C1146,куб!R:R),IF($B1146&lt;&gt;0,SUMIF(куб!$B:$B,$B1146,куб!R:R))))))</f>
        <v>0</v>
      </c>
      <c r="AG1146" s="27" t="b">
        <f>IF($G1146&lt;&gt;0,SUMIF(куб!$G:$G,$G1146,куб!S:S),IF($E1146&lt;&gt;0,SUMIF(куб!$E:$E,$E1146,куб!S:S),IF($D1146&lt;&gt;0,SUMIF(куб!$D:$D,$D1146,куб!S:S),IF($C1146&lt;&gt;0,SUMIF(куб!$C:$C,$C1146,куб!S:S),IF($B1146&lt;&gt;0,SUMIF(куб!$B:$B,$B1146,куб!S:S))))))</f>
        <v>0</v>
      </c>
      <c r="AH1146" s="16" t="str">
        <f t="shared" si="373"/>
        <v>-</v>
      </c>
      <c r="AI1146" s="8"/>
      <c r="AJ1146" s="27" t="b">
        <f>IF($G1146&lt;&gt;0,SUMIF(куб!$G:$G,$G1146,куб!T:T),IF($E1146&lt;&gt;0,SUMIF(куб!$E:$E,$E1146,куб!T:T),IF($D1146&lt;&gt;0,SUMIF(куб!$D:$D,$D1146,куб!T:T),IF($C1146&lt;&gt;0,SUMIF(куб!$C:$C,$C1146,куб!T:T),IF($B1146&lt;&gt;0,SUMIF(куб!$B:$B,$B1146,куб!T:T))))))</f>
        <v>0</v>
      </c>
      <c r="AK1146" s="27" t="b">
        <f>IF($G1146&lt;&gt;0,SUMIF(куб!$G:$G,$G1146,куб!U:U),IF($E1146&lt;&gt;0,SUMIF(куб!$E:$E,$E1146,куб!U:U),IF($D1146&lt;&gt;0,SUMIF(куб!$D:$D,$D1146,куб!U:U),IF($C1146&lt;&gt;0,SUMIF(куб!$C:$C,$C1146,куб!U:U),IF($B1146&lt;&gt;0,SUMIF(куб!$B:$B,$B1146,куб!U:U))))))</f>
        <v>0</v>
      </c>
      <c r="AL1146" s="16" t="str">
        <f t="shared" si="374"/>
        <v>-</v>
      </c>
      <c r="AM1146" s="8"/>
      <c r="AN1146" s="17" t="str">
        <f t="shared" si="375"/>
        <v xml:space="preserve"> </v>
      </c>
      <c r="AO1146" s="17" t="str">
        <f t="shared" si="376"/>
        <v xml:space="preserve"> </v>
      </c>
      <c r="AP1146" s="16" t="str">
        <f t="shared" si="377"/>
        <v>-</v>
      </c>
      <c r="AQ1146" s="8"/>
      <c r="AR1146" s="17" t="str">
        <f t="shared" si="378"/>
        <v>-</v>
      </c>
      <c r="AS1146" s="17" t="str">
        <f t="shared" si="379"/>
        <v>-</v>
      </c>
      <c r="AT1146" s="13" t="str">
        <f t="shared" si="380"/>
        <v>-</v>
      </c>
      <c r="AU1146" s="8"/>
    </row>
    <row r="1147" spans="8:47" x14ac:dyDescent="0.25">
      <c r="H1147" s="27">
        <f>IF($G1147&lt;&gt;0,SUMIF(куб!$G:$G,$G1147,куб!H:H),IF($E1147&lt;&gt;0,SUMIF(куб!$E:$E,$E1147,куб!H:H),IF($D1147&lt;&gt;0,SUMIF(куб!$D:$D,$D1147,куб!H:H),IF($C1147&lt;&gt;0,SUMIF(куб!$C:$C,$C1147,куб!H:H),IF($B1147&lt;&gt;0,SUMIF(куб!$B:$B,$B1147,куб!H:H),IF($G1147&lt;&gt;0,SUMIF(куб!$A:$A,$G1147,куб!H:H),SUMIF(куб!$A:$A,$G1147,куб!H:H)))))))</f>
        <v>0</v>
      </c>
      <c r="I1147" s="27">
        <f>IF($G1147&lt;&gt;0,SUMIF(куб!$G:$G,$G1147,куб!I:I),IF($E1147&lt;&gt;0,SUMIF(куб!$E:$E,$E1147,куб!I:I),IF($D1147&lt;&gt;0,SUMIF(куб!$D:$D,$D1147,куб!I:I),IF($C1147&lt;&gt;0,SUMIF(куб!$C:$C,$C1147,куб!I:I),IF($B1147&lt;&gt;0,SUMIF(куб!$B:$B,$B1147,куб!I:I),IF($G1147&lt;&gt;0,SUMIF(куб!$A:$A,$G1147,куб!I:I),SUMIF(куб!$A:$A,$G1147,куб!I:I)))))))</f>
        <v>0</v>
      </c>
      <c r="J1147" s="19" t="str">
        <f t="shared" si="363"/>
        <v>-</v>
      </c>
      <c r="K1147" s="8"/>
      <c r="L1147" s="17">
        <f t="shared" si="364"/>
        <v>0</v>
      </c>
      <c r="M1147" s="17">
        <f t="shared" si="365"/>
        <v>0</v>
      </c>
      <c r="N1147" s="12">
        <f t="shared" si="366"/>
        <v>0</v>
      </c>
      <c r="O1147" s="5"/>
      <c r="P1147" s="27" t="b">
        <f>IF($G1147&lt;&gt;0,SUMIF(куб!$G:$G,$G1147,куб!J:J),IF($E1147&lt;&gt;0,SUMIF(куб!$E:$E,$E1147,куб!J:J),IF($D1147&lt;&gt;0,SUMIF(куб!$D:$D,$D1147,куб!J:J),IF($C1147&lt;&gt;0,SUMIF(куб!$C:$C,$C1147,куб!J:J),IF($B1147&lt;&gt;0,SUMIF(куб!$B:$B,$B1147,куб!J:J))))))</f>
        <v>0</v>
      </c>
      <c r="Q1147" s="27" t="b">
        <f>IF($G1147&lt;&gt;0,SUMIF(куб!$G:$G,$G1147,куб!K:K),IF($E1147&lt;&gt;0,SUMIF(куб!$E:$E,$E1147,куб!K:K),IF($D1147&lt;&gt;0,SUMIF(куб!$D:$D,$D1147,куб!K:K),IF($C1147&lt;&gt;0,SUMIF(куб!$C:$C,$C1147,куб!K:K),IF($B1147&lt;&gt;0,SUMIF(куб!$B:$B,$B1147,куб!K:K))))))</f>
        <v>0</v>
      </c>
      <c r="R1147" s="13" t="str">
        <f t="shared" si="367"/>
        <v>-</v>
      </c>
      <c r="S1147" s="5"/>
      <c r="T1147" s="27" t="b">
        <f>IF($G1147&lt;&gt;0,SUMIF(куб!$G:$G,$G1147,куб!L:L),IF($E1147&lt;&gt;0,SUMIF(куб!$E:$E,$E1147,куб!L:L),IF($D1147&lt;&gt;0,SUMIF(куб!$D:$D,$D1147,куб!L:L),IF($C1147&lt;&gt;0,SUMIF(куб!$C:$C,$C1147,куб!L:L),IF($B1147&lt;&gt;0,SUMIF(куб!$B:$B,$B1147,куб!L:L))))))</f>
        <v>0</v>
      </c>
      <c r="U1147" s="27" t="b">
        <f>IF($G1147&lt;&gt;0,SUMIF(куб!$G:$G,$G1147,куб!M:M),IF($E1147&lt;&gt;0,SUMIF(куб!$E:$E,$E1147,куб!M:M),IF($D1147&lt;&gt;0,SUMIF(куб!$D:$D,$D1147,куб!M:M),IF($C1147&lt;&gt;0,SUMIF(куб!$C:$C,$C1147,куб!M:M),IF($B1147&lt;&gt;0,SUMIF(куб!$B:$B,$B1147,куб!M:M))))))</f>
        <v>0</v>
      </c>
      <c r="V1147" s="13" t="str">
        <f t="shared" si="368"/>
        <v>-</v>
      </c>
      <c r="W1147" s="5"/>
      <c r="X1147" s="27" t="b">
        <f>IF($G1147&lt;&gt;0,SUMIF(куб!$G:$G,$G1147,куб!N:N),IF($E1147&lt;&gt;0,SUMIF(куб!$E:$E,$E1147,куб!N:N),IF($D1147&lt;&gt;0,SUMIF(куб!$D:$D,$D1147,куб!N:N),IF($C1147&lt;&gt;0,SUMIF(куб!$C:$C,$C1147,куб!N:N),IF($B1147&lt;&gt;0,SUMIF(куб!$B:$B,$B1147,куб!N:N))))))</f>
        <v>0</v>
      </c>
      <c r="Y1147" s="27" t="b">
        <f>IF($G1147&lt;&gt;0,SUMIF(куб!$G:$G,$G1147,куб!O:O),IF($E1147&lt;&gt;0,SUMIF(куб!$E:$E,$E1147,куб!O:O),IF($D1147&lt;&gt;0,SUMIF(куб!$D:$D,$D1147,куб!O:O),IF($C1147&lt;&gt;0,SUMIF(куб!$C:$C,$C1147,куб!O:O),IF($B1147&lt;&gt;0,SUMIF(куб!$B:$B,$B1147,куб!O:O))))))</f>
        <v>0</v>
      </c>
      <c r="Z1147" s="13" t="str">
        <f t="shared" si="369"/>
        <v>-</v>
      </c>
      <c r="AA1147" s="5"/>
      <c r="AB1147" s="33" t="str">
        <f t="shared" si="370"/>
        <v/>
      </c>
      <c r="AC1147" s="33" t="str">
        <f t="shared" si="371"/>
        <v/>
      </c>
      <c r="AD1147" s="15" t="str">
        <f t="shared" si="372"/>
        <v xml:space="preserve"> </v>
      </c>
      <c r="AE1147" s="5"/>
      <c r="AF1147" s="27" t="b">
        <f>IF($G1147&lt;&gt;0,SUMIF(куб!$G:$G,$G1147,куб!R:R),IF($E1147&lt;&gt;0,SUMIF(куб!$E:$E,$E1147,куб!R:R),IF($D1147&lt;&gt;0,SUMIF(куб!$D:$D,$D1147,куб!R:R),IF($C1147&lt;&gt;0,SUMIF(куб!$C:$C,$C1147,куб!R:R),IF($B1147&lt;&gt;0,SUMIF(куб!$B:$B,$B1147,куб!R:R))))))</f>
        <v>0</v>
      </c>
      <c r="AG1147" s="27" t="b">
        <f>IF($G1147&lt;&gt;0,SUMIF(куб!$G:$G,$G1147,куб!S:S),IF($E1147&lt;&gt;0,SUMIF(куб!$E:$E,$E1147,куб!S:S),IF($D1147&lt;&gt;0,SUMIF(куб!$D:$D,$D1147,куб!S:S),IF($C1147&lt;&gt;0,SUMIF(куб!$C:$C,$C1147,куб!S:S),IF($B1147&lt;&gt;0,SUMIF(куб!$B:$B,$B1147,куб!S:S))))))</f>
        <v>0</v>
      </c>
      <c r="AH1147" s="16" t="str">
        <f t="shared" si="373"/>
        <v>-</v>
      </c>
      <c r="AI1147" s="8"/>
      <c r="AJ1147" s="27" t="b">
        <f>IF($G1147&lt;&gt;0,SUMIF(куб!$G:$G,$G1147,куб!T:T),IF($E1147&lt;&gt;0,SUMIF(куб!$E:$E,$E1147,куб!T:T),IF($D1147&lt;&gt;0,SUMIF(куб!$D:$D,$D1147,куб!T:T),IF($C1147&lt;&gt;0,SUMIF(куб!$C:$C,$C1147,куб!T:T),IF($B1147&lt;&gt;0,SUMIF(куб!$B:$B,$B1147,куб!T:T))))))</f>
        <v>0</v>
      </c>
      <c r="AK1147" s="27" t="b">
        <f>IF($G1147&lt;&gt;0,SUMIF(куб!$G:$G,$G1147,куб!U:U),IF($E1147&lt;&gt;0,SUMIF(куб!$E:$E,$E1147,куб!U:U),IF($D1147&lt;&gt;0,SUMIF(куб!$D:$D,$D1147,куб!U:U),IF($C1147&lt;&gt;0,SUMIF(куб!$C:$C,$C1147,куб!U:U),IF($B1147&lt;&gt;0,SUMIF(куб!$B:$B,$B1147,куб!U:U))))))</f>
        <v>0</v>
      </c>
      <c r="AL1147" s="16" t="str">
        <f t="shared" si="374"/>
        <v>-</v>
      </c>
      <c r="AM1147" s="8"/>
      <c r="AN1147" s="17" t="str">
        <f t="shared" si="375"/>
        <v xml:space="preserve"> </v>
      </c>
      <c r="AO1147" s="17" t="str">
        <f t="shared" si="376"/>
        <v xml:space="preserve"> </v>
      </c>
      <c r="AP1147" s="16" t="str">
        <f t="shared" si="377"/>
        <v>-</v>
      </c>
      <c r="AQ1147" s="8"/>
      <c r="AR1147" s="17" t="str">
        <f t="shared" si="378"/>
        <v>-</v>
      </c>
      <c r="AS1147" s="17" t="str">
        <f t="shared" si="379"/>
        <v>-</v>
      </c>
      <c r="AT1147" s="13" t="str">
        <f t="shared" si="380"/>
        <v>-</v>
      </c>
      <c r="AU1147" s="8"/>
    </row>
    <row r="1148" spans="8:47" x14ac:dyDescent="0.25">
      <c r="H1148" s="27">
        <f>IF($G1148&lt;&gt;0,SUMIF(куб!$G:$G,$G1148,куб!H:H),IF($E1148&lt;&gt;0,SUMIF(куб!$E:$E,$E1148,куб!H:H),IF($D1148&lt;&gt;0,SUMIF(куб!$D:$D,$D1148,куб!H:H),IF($C1148&lt;&gt;0,SUMIF(куб!$C:$C,$C1148,куб!H:H),IF($B1148&lt;&gt;0,SUMIF(куб!$B:$B,$B1148,куб!H:H),IF($G1148&lt;&gt;0,SUMIF(куб!$A:$A,$G1148,куб!H:H),SUMIF(куб!$A:$A,$G1148,куб!H:H)))))))</f>
        <v>0</v>
      </c>
      <c r="I1148" s="27">
        <f>IF($G1148&lt;&gt;0,SUMIF(куб!$G:$G,$G1148,куб!I:I),IF($E1148&lt;&gt;0,SUMIF(куб!$E:$E,$E1148,куб!I:I),IF($D1148&lt;&gt;0,SUMIF(куб!$D:$D,$D1148,куб!I:I),IF($C1148&lt;&gt;0,SUMIF(куб!$C:$C,$C1148,куб!I:I),IF($B1148&lt;&gt;0,SUMIF(куб!$B:$B,$B1148,куб!I:I),IF($G1148&lt;&gt;0,SUMIF(куб!$A:$A,$G1148,куб!I:I),SUMIF(куб!$A:$A,$G1148,куб!I:I)))))))</f>
        <v>0</v>
      </c>
      <c r="J1148" s="19" t="str">
        <f t="shared" si="363"/>
        <v>-</v>
      </c>
      <c r="K1148" s="8"/>
      <c r="L1148" s="17">
        <f t="shared" si="364"/>
        <v>0</v>
      </c>
      <c r="M1148" s="17">
        <f t="shared" si="365"/>
        <v>0</v>
      </c>
      <c r="N1148" s="12">
        <f t="shared" si="366"/>
        <v>0</v>
      </c>
      <c r="O1148" s="5"/>
      <c r="P1148" s="27" t="b">
        <f>IF($G1148&lt;&gt;0,SUMIF(куб!$G:$G,$G1148,куб!J:J),IF($E1148&lt;&gt;0,SUMIF(куб!$E:$E,$E1148,куб!J:J),IF($D1148&lt;&gt;0,SUMIF(куб!$D:$D,$D1148,куб!J:J),IF($C1148&lt;&gt;0,SUMIF(куб!$C:$C,$C1148,куб!J:J),IF($B1148&lt;&gt;0,SUMIF(куб!$B:$B,$B1148,куб!J:J))))))</f>
        <v>0</v>
      </c>
      <c r="Q1148" s="27" t="b">
        <f>IF($G1148&lt;&gt;0,SUMIF(куб!$G:$G,$G1148,куб!K:K),IF($E1148&lt;&gt;0,SUMIF(куб!$E:$E,$E1148,куб!K:K),IF($D1148&lt;&gt;0,SUMIF(куб!$D:$D,$D1148,куб!K:K),IF($C1148&lt;&gt;0,SUMIF(куб!$C:$C,$C1148,куб!K:K),IF($B1148&lt;&gt;0,SUMIF(куб!$B:$B,$B1148,куб!K:K))))))</f>
        <v>0</v>
      </c>
      <c r="R1148" s="13" t="str">
        <f t="shared" si="367"/>
        <v>-</v>
      </c>
      <c r="S1148" s="5"/>
      <c r="T1148" s="27" t="b">
        <f>IF($G1148&lt;&gt;0,SUMIF(куб!$G:$G,$G1148,куб!L:L),IF($E1148&lt;&gt;0,SUMIF(куб!$E:$E,$E1148,куб!L:L),IF($D1148&lt;&gt;0,SUMIF(куб!$D:$D,$D1148,куб!L:L),IF($C1148&lt;&gt;0,SUMIF(куб!$C:$C,$C1148,куб!L:L),IF($B1148&lt;&gt;0,SUMIF(куб!$B:$B,$B1148,куб!L:L))))))</f>
        <v>0</v>
      </c>
      <c r="U1148" s="27" t="b">
        <f>IF($G1148&lt;&gt;0,SUMIF(куб!$G:$G,$G1148,куб!M:M),IF($E1148&lt;&gt;0,SUMIF(куб!$E:$E,$E1148,куб!M:M),IF($D1148&lt;&gt;0,SUMIF(куб!$D:$D,$D1148,куб!M:M),IF($C1148&lt;&gt;0,SUMIF(куб!$C:$C,$C1148,куб!M:M),IF($B1148&lt;&gt;0,SUMIF(куб!$B:$B,$B1148,куб!M:M))))))</f>
        <v>0</v>
      </c>
      <c r="V1148" s="13" t="str">
        <f t="shared" si="368"/>
        <v>-</v>
      </c>
      <c r="W1148" s="5"/>
      <c r="X1148" s="27" t="b">
        <f>IF($G1148&lt;&gt;0,SUMIF(куб!$G:$G,$G1148,куб!N:N),IF($E1148&lt;&gt;0,SUMIF(куб!$E:$E,$E1148,куб!N:N),IF($D1148&lt;&gt;0,SUMIF(куб!$D:$D,$D1148,куб!N:N),IF($C1148&lt;&gt;0,SUMIF(куб!$C:$C,$C1148,куб!N:N),IF($B1148&lt;&gt;0,SUMIF(куб!$B:$B,$B1148,куб!N:N))))))</f>
        <v>0</v>
      </c>
      <c r="Y1148" s="27" t="b">
        <f>IF($G1148&lt;&gt;0,SUMIF(куб!$G:$G,$G1148,куб!O:O),IF($E1148&lt;&gt;0,SUMIF(куб!$E:$E,$E1148,куб!O:O),IF($D1148&lt;&gt;0,SUMIF(куб!$D:$D,$D1148,куб!O:O),IF($C1148&lt;&gt;0,SUMIF(куб!$C:$C,$C1148,куб!O:O),IF($B1148&lt;&gt;0,SUMIF(куб!$B:$B,$B1148,куб!O:O))))))</f>
        <v>0</v>
      </c>
      <c r="Z1148" s="13" t="str">
        <f t="shared" si="369"/>
        <v>-</v>
      </c>
      <c r="AA1148" s="5"/>
      <c r="AB1148" s="33" t="str">
        <f t="shared" si="370"/>
        <v/>
      </c>
      <c r="AC1148" s="33" t="str">
        <f t="shared" si="371"/>
        <v/>
      </c>
      <c r="AD1148" s="15" t="str">
        <f t="shared" si="372"/>
        <v xml:space="preserve"> </v>
      </c>
      <c r="AE1148" s="5"/>
      <c r="AF1148" s="27" t="b">
        <f>IF($G1148&lt;&gt;0,SUMIF(куб!$G:$G,$G1148,куб!R:R),IF($E1148&lt;&gt;0,SUMIF(куб!$E:$E,$E1148,куб!R:R),IF($D1148&lt;&gt;0,SUMIF(куб!$D:$D,$D1148,куб!R:R),IF($C1148&lt;&gt;0,SUMIF(куб!$C:$C,$C1148,куб!R:R),IF($B1148&lt;&gt;0,SUMIF(куб!$B:$B,$B1148,куб!R:R))))))</f>
        <v>0</v>
      </c>
      <c r="AG1148" s="27" t="b">
        <f>IF($G1148&lt;&gt;0,SUMIF(куб!$G:$G,$G1148,куб!S:S),IF($E1148&lt;&gt;0,SUMIF(куб!$E:$E,$E1148,куб!S:S),IF($D1148&lt;&gt;0,SUMIF(куб!$D:$D,$D1148,куб!S:S),IF($C1148&lt;&gt;0,SUMIF(куб!$C:$C,$C1148,куб!S:S),IF($B1148&lt;&gt;0,SUMIF(куб!$B:$B,$B1148,куб!S:S))))))</f>
        <v>0</v>
      </c>
      <c r="AH1148" s="16" t="str">
        <f t="shared" si="373"/>
        <v>-</v>
      </c>
      <c r="AI1148" s="8"/>
      <c r="AJ1148" s="27" t="b">
        <f>IF($G1148&lt;&gt;0,SUMIF(куб!$G:$G,$G1148,куб!T:T),IF($E1148&lt;&gt;0,SUMIF(куб!$E:$E,$E1148,куб!T:T),IF($D1148&lt;&gt;0,SUMIF(куб!$D:$D,$D1148,куб!T:T),IF($C1148&lt;&gt;0,SUMIF(куб!$C:$C,$C1148,куб!T:T),IF($B1148&lt;&gt;0,SUMIF(куб!$B:$B,$B1148,куб!T:T))))))</f>
        <v>0</v>
      </c>
      <c r="AK1148" s="27" t="b">
        <f>IF($G1148&lt;&gt;0,SUMIF(куб!$G:$G,$G1148,куб!U:U),IF($E1148&lt;&gt;0,SUMIF(куб!$E:$E,$E1148,куб!U:U),IF($D1148&lt;&gt;0,SUMIF(куб!$D:$D,$D1148,куб!U:U),IF($C1148&lt;&gt;0,SUMIF(куб!$C:$C,$C1148,куб!U:U),IF($B1148&lt;&gt;0,SUMIF(куб!$B:$B,$B1148,куб!U:U))))))</f>
        <v>0</v>
      </c>
      <c r="AL1148" s="16" t="str">
        <f t="shared" si="374"/>
        <v>-</v>
      </c>
      <c r="AM1148" s="8"/>
      <c r="AN1148" s="17" t="str">
        <f t="shared" si="375"/>
        <v xml:space="preserve"> </v>
      </c>
      <c r="AO1148" s="17" t="str">
        <f t="shared" si="376"/>
        <v xml:space="preserve"> </v>
      </c>
      <c r="AP1148" s="16" t="str">
        <f t="shared" si="377"/>
        <v>-</v>
      </c>
      <c r="AQ1148" s="8"/>
      <c r="AR1148" s="17" t="str">
        <f t="shared" si="378"/>
        <v>-</v>
      </c>
      <c r="AS1148" s="17" t="str">
        <f t="shared" si="379"/>
        <v>-</v>
      </c>
      <c r="AT1148" s="13" t="str">
        <f t="shared" si="380"/>
        <v>-</v>
      </c>
      <c r="AU1148" s="8"/>
    </row>
    <row r="1149" spans="8:47" x14ac:dyDescent="0.25">
      <c r="H1149" s="27">
        <f>IF($G1149&lt;&gt;0,SUMIF(куб!$G:$G,$G1149,куб!H:H),IF($E1149&lt;&gt;0,SUMIF(куб!$E:$E,$E1149,куб!H:H),IF($D1149&lt;&gt;0,SUMIF(куб!$D:$D,$D1149,куб!H:H),IF($C1149&lt;&gt;0,SUMIF(куб!$C:$C,$C1149,куб!H:H),IF($B1149&lt;&gt;0,SUMIF(куб!$B:$B,$B1149,куб!H:H),IF($G1149&lt;&gt;0,SUMIF(куб!$A:$A,$G1149,куб!H:H),SUMIF(куб!$A:$A,$G1149,куб!H:H)))))))</f>
        <v>0</v>
      </c>
      <c r="I1149" s="27">
        <f>IF($G1149&lt;&gt;0,SUMIF(куб!$G:$G,$G1149,куб!I:I),IF($E1149&lt;&gt;0,SUMIF(куб!$E:$E,$E1149,куб!I:I),IF($D1149&lt;&gt;0,SUMIF(куб!$D:$D,$D1149,куб!I:I),IF($C1149&lt;&gt;0,SUMIF(куб!$C:$C,$C1149,куб!I:I),IF($B1149&lt;&gt;0,SUMIF(куб!$B:$B,$B1149,куб!I:I),IF($G1149&lt;&gt;0,SUMIF(куб!$A:$A,$G1149,куб!I:I),SUMIF(куб!$A:$A,$G1149,куб!I:I)))))))</f>
        <v>0</v>
      </c>
      <c r="J1149" s="19" t="str">
        <f t="shared" si="363"/>
        <v>-</v>
      </c>
      <c r="K1149" s="8"/>
      <c r="L1149" s="17">
        <f t="shared" si="364"/>
        <v>0</v>
      </c>
      <c r="M1149" s="17">
        <f t="shared" si="365"/>
        <v>0</v>
      </c>
      <c r="N1149" s="12">
        <f t="shared" si="366"/>
        <v>0</v>
      </c>
      <c r="O1149" s="5"/>
      <c r="P1149" s="27" t="b">
        <f>IF($G1149&lt;&gt;0,SUMIF(куб!$G:$G,$G1149,куб!J:J),IF($E1149&lt;&gt;0,SUMIF(куб!$E:$E,$E1149,куб!J:J),IF($D1149&lt;&gt;0,SUMIF(куб!$D:$D,$D1149,куб!J:J),IF($C1149&lt;&gt;0,SUMIF(куб!$C:$C,$C1149,куб!J:J),IF($B1149&lt;&gt;0,SUMIF(куб!$B:$B,$B1149,куб!J:J))))))</f>
        <v>0</v>
      </c>
      <c r="Q1149" s="27" t="b">
        <f>IF($G1149&lt;&gt;0,SUMIF(куб!$G:$G,$G1149,куб!K:K),IF($E1149&lt;&gt;0,SUMIF(куб!$E:$E,$E1149,куб!K:K),IF($D1149&lt;&gt;0,SUMIF(куб!$D:$D,$D1149,куб!K:K),IF($C1149&lt;&gt;0,SUMIF(куб!$C:$C,$C1149,куб!K:K),IF($B1149&lt;&gt;0,SUMIF(куб!$B:$B,$B1149,куб!K:K))))))</f>
        <v>0</v>
      </c>
      <c r="R1149" s="13" t="str">
        <f t="shared" si="367"/>
        <v>-</v>
      </c>
      <c r="S1149" s="5"/>
      <c r="T1149" s="27" t="b">
        <f>IF($G1149&lt;&gt;0,SUMIF(куб!$G:$G,$G1149,куб!L:L),IF($E1149&lt;&gt;0,SUMIF(куб!$E:$E,$E1149,куб!L:L),IF($D1149&lt;&gt;0,SUMIF(куб!$D:$D,$D1149,куб!L:L),IF($C1149&lt;&gt;0,SUMIF(куб!$C:$C,$C1149,куб!L:L),IF($B1149&lt;&gt;0,SUMIF(куб!$B:$B,$B1149,куб!L:L))))))</f>
        <v>0</v>
      </c>
      <c r="U1149" s="27" t="b">
        <f>IF($G1149&lt;&gt;0,SUMIF(куб!$G:$G,$G1149,куб!M:M),IF($E1149&lt;&gt;0,SUMIF(куб!$E:$E,$E1149,куб!M:M),IF($D1149&lt;&gt;0,SUMIF(куб!$D:$D,$D1149,куб!M:M),IF($C1149&lt;&gt;0,SUMIF(куб!$C:$C,$C1149,куб!M:M),IF($B1149&lt;&gt;0,SUMIF(куб!$B:$B,$B1149,куб!M:M))))))</f>
        <v>0</v>
      </c>
      <c r="V1149" s="13" t="str">
        <f t="shared" si="368"/>
        <v>-</v>
      </c>
      <c r="W1149" s="5"/>
      <c r="X1149" s="27" t="b">
        <f>IF($G1149&lt;&gt;0,SUMIF(куб!$G:$G,$G1149,куб!N:N),IF($E1149&lt;&gt;0,SUMIF(куб!$E:$E,$E1149,куб!N:N),IF($D1149&lt;&gt;0,SUMIF(куб!$D:$D,$D1149,куб!N:N),IF($C1149&lt;&gt;0,SUMIF(куб!$C:$C,$C1149,куб!N:N),IF($B1149&lt;&gt;0,SUMIF(куб!$B:$B,$B1149,куб!N:N))))))</f>
        <v>0</v>
      </c>
      <c r="Y1149" s="27" t="b">
        <f>IF($G1149&lt;&gt;0,SUMIF(куб!$G:$G,$G1149,куб!O:O),IF($E1149&lt;&gt;0,SUMIF(куб!$E:$E,$E1149,куб!O:O),IF($D1149&lt;&gt;0,SUMIF(куб!$D:$D,$D1149,куб!O:O),IF($C1149&lt;&gt;0,SUMIF(куб!$C:$C,$C1149,куб!O:O),IF($B1149&lt;&gt;0,SUMIF(куб!$B:$B,$B1149,куб!O:O))))))</f>
        <v>0</v>
      </c>
      <c r="Z1149" s="13" t="str">
        <f t="shared" si="369"/>
        <v>-</v>
      </c>
      <c r="AA1149" s="5"/>
      <c r="AB1149" s="33" t="str">
        <f t="shared" si="370"/>
        <v/>
      </c>
      <c r="AC1149" s="33" t="str">
        <f t="shared" si="371"/>
        <v/>
      </c>
      <c r="AD1149" s="15" t="str">
        <f t="shared" si="372"/>
        <v xml:space="preserve"> </v>
      </c>
      <c r="AE1149" s="5"/>
      <c r="AF1149" s="27" t="b">
        <f>IF($G1149&lt;&gt;0,SUMIF(куб!$G:$G,$G1149,куб!R:R),IF($E1149&lt;&gt;0,SUMIF(куб!$E:$E,$E1149,куб!R:R),IF($D1149&lt;&gt;0,SUMIF(куб!$D:$D,$D1149,куб!R:R),IF($C1149&lt;&gt;0,SUMIF(куб!$C:$C,$C1149,куб!R:R),IF($B1149&lt;&gt;0,SUMIF(куб!$B:$B,$B1149,куб!R:R))))))</f>
        <v>0</v>
      </c>
      <c r="AG1149" s="27" t="b">
        <f>IF($G1149&lt;&gt;0,SUMIF(куб!$G:$G,$G1149,куб!S:S),IF($E1149&lt;&gt;0,SUMIF(куб!$E:$E,$E1149,куб!S:S),IF($D1149&lt;&gt;0,SUMIF(куб!$D:$D,$D1149,куб!S:S),IF($C1149&lt;&gt;0,SUMIF(куб!$C:$C,$C1149,куб!S:S),IF($B1149&lt;&gt;0,SUMIF(куб!$B:$B,$B1149,куб!S:S))))))</f>
        <v>0</v>
      </c>
      <c r="AH1149" s="16" t="str">
        <f t="shared" si="373"/>
        <v>-</v>
      </c>
      <c r="AI1149" s="8"/>
      <c r="AJ1149" s="27" t="b">
        <f>IF($G1149&lt;&gt;0,SUMIF(куб!$G:$G,$G1149,куб!T:T),IF($E1149&lt;&gt;0,SUMIF(куб!$E:$E,$E1149,куб!T:T),IF($D1149&lt;&gt;0,SUMIF(куб!$D:$D,$D1149,куб!T:T),IF($C1149&lt;&gt;0,SUMIF(куб!$C:$C,$C1149,куб!T:T),IF($B1149&lt;&gt;0,SUMIF(куб!$B:$B,$B1149,куб!T:T))))))</f>
        <v>0</v>
      </c>
      <c r="AK1149" s="27" t="b">
        <f>IF($G1149&lt;&gt;0,SUMIF(куб!$G:$G,$G1149,куб!U:U),IF($E1149&lt;&gt;0,SUMIF(куб!$E:$E,$E1149,куб!U:U),IF($D1149&lt;&gt;0,SUMIF(куб!$D:$D,$D1149,куб!U:U),IF($C1149&lt;&gt;0,SUMIF(куб!$C:$C,$C1149,куб!U:U),IF($B1149&lt;&gt;0,SUMIF(куб!$B:$B,$B1149,куб!U:U))))))</f>
        <v>0</v>
      </c>
      <c r="AL1149" s="16" t="str">
        <f t="shared" si="374"/>
        <v>-</v>
      </c>
      <c r="AM1149" s="8"/>
      <c r="AN1149" s="17" t="str">
        <f t="shared" si="375"/>
        <v xml:space="preserve"> </v>
      </c>
      <c r="AO1149" s="17" t="str">
        <f t="shared" si="376"/>
        <v xml:space="preserve"> </v>
      </c>
      <c r="AP1149" s="16" t="str">
        <f t="shared" si="377"/>
        <v>-</v>
      </c>
      <c r="AQ1149" s="8"/>
      <c r="AR1149" s="17" t="str">
        <f t="shared" si="378"/>
        <v>-</v>
      </c>
      <c r="AS1149" s="17" t="str">
        <f t="shared" si="379"/>
        <v>-</v>
      </c>
      <c r="AT1149" s="13" t="str">
        <f t="shared" si="380"/>
        <v>-</v>
      </c>
      <c r="AU1149" s="8"/>
    </row>
    <row r="1150" spans="8:47" x14ac:dyDescent="0.25">
      <c r="H1150" s="27">
        <f>IF($G1150&lt;&gt;0,SUMIF(куб!$G:$G,$G1150,куб!H:H),IF($E1150&lt;&gt;0,SUMIF(куб!$E:$E,$E1150,куб!H:H),IF($D1150&lt;&gt;0,SUMIF(куб!$D:$D,$D1150,куб!H:H),IF($C1150&lt;&gt;0,SUMIF(куб!$C:$C,$C1150,куб!H:H),IF($B1150&lt;&gt;0,SUMIF(куб!$B:$B,$B1150,куб!H:H),IF($G1150&lt;&gt;0,SUMIF(куб!$A:$A,$G1150,куб!H:H),SUMIF(куб!$A:$A,$G1150,куб!H:H)))))))</f>
        <v>0</v>
      </c>
      <c r="I1150" s="27">
        <f>IF($G1150&lt;&gt;0,SUMIF(куб!$G:$G,$G1150,куб!I:I),IF($E1150&lt;&gt;0,SUMIF(куб!$E:$E,$E1150,куб!I:I),IF($D1150&lt;&gt;0,SUMIF(куб!$D:$D,$D1150,куб!I:I),IF($C1150&lt;&gt;0,SUMIF(куб!$C:$C,$C1150,куб!I:I),IF($B1150&lt;&gt;0,SUMIF(куб!$B:$B,$B1150,куб!I:I),IF($G1150&lt;&gt;0,SUMIF(куб!$A:$A,$G1150,куб!I:I),SUMIF(куб!$A:$A,$G1150,куб!I:I)))))))</f>
        <v>0</v>
      </c>
      <c r="J1150" s="19" t="str">
        <f t="shared" si="363"/>
        <v>-</v>
      </c>
      <c r="K1150" s="8"/>
      <c r="L1150" s="17">
        <f t="shared" si="364"/>
        <v>0</v>
      </c>
      <c r="M1150" s="17">
        <f t="shared" si="365"/>
        <v>0</v>
      </c>
      <c r="N1150" s="12">
        <f t="shared" si="366"/>
        <v>0</v>
      </c>
      <c r="O1150" s="5"/>
      <c r="P1150" s="27" t="b">
        <f>IF($G1150&lt;&gt;0,SUMIF(куб!$G:$G,$G1150,куб!J:J),IF($E1150&lt;&gt;0,SUMIF(куб!$E:$E,$E1150,куб!J:J),IF($D1150&lt;&gt;0,SUMIF(куб!$D:$D,$D1150,куб!J:J),IF($C1150&lt;&gt;0,SUMIF(куб!$C:$C,$C1150,куб!J:J),IF($B1150&lt;&gt;0,SUMIF(куб!$B:$B,$B1150,куб!J:J))))))</f>
        <v>0</v>
      </c>
      <c r="Q1150" s="27" t="b">
        <f>IF($G1150&lt;&gt;0,SUMIF(куб!$G:$G,$G1150,куб!K:K),IF($E1150&lt;&gt;0,SUMIF(куб!$E:$E,$E1150,куб!K:K),IF($D1150&lt;&gt;0,SUMIF(куб!$D:$D,$D1150,куб!K:K),IF($C1150&lt;&gt;0,SUMIF(куб!$C:$C,$C1150,куб!K:K),IF($B1150&lt;&gt;0,SUMIF(куб!$B:$B,$B1150,куб!K:K))))))</f>
        <v>0</v>
      </c>
      <c r="R1150" s="13" t="str">
        <f t="shared" si="367"/>
        <v>-</v>
      </c>
      <c r="S1150" s="5"/>
      <c r="T1150" s="27" t="b">
        <f>IF($G1150&lt;&gt;0,SUMIF(куб!$G:$G,$G1150,куб!L:L),IF($E1150&lt;&gt;0,SUMIF(куб!$E:$E,$E1150,куб!L:L),IF($D1150&lt;&gt;0,SUMIF(куб!$D:$D,$D1150,куб!L:L),IF($C1150&lt;&gt;0,SUMIF(куб!$C:$C,$C1150,куб!L:L),IF($B1150&lt;&gt;0,SUMIF(куб!$B:$B,$B1150,куб!L:L))))))</f>
        <v>0</v>
      </c>
      <c r="U1150" s="27" t="b">
        <f>IF($G1150&lt;&gt;0,SUMIF(куб!$G:$G,$G1150,куб!M:M),IF($E1150&lt;&gt;0,SUMIF(куб!$E:$E,$E1150,куб!M:M),IF($D1150&lt;&gt;0,SUMIF(куб!$D:$D,$D1150,куб!M:M),IF($C1150&lt;&gt;0,SUMIF(куб!$C:$C,$C1150,куб!M:M),IF($B1150&lt;&gt;0,SUMIF(куб!$B:$B,$B1150,куб!M:M))))))</f>
        <v>0</v>
      </c>
      <c r="V1150" s="13" t="str">
        <f t="shared" si="368"/>
        <v>-</v>
      </c>
      <c r="W1150" s="5"/>
      <c r="X1150" s="27" t="b">
        <f>IF($G1150&lt;&gt;0,SUMIF(куб!$G:$G,$G1150,куб!N:N),IF($E1150&lt;&gt;0,SUMIF(куб!$E:$E,$E1150,куб!N:N),IF($D1150&lt;&gt;0,SUMIF(куб!$D:$D,$D1150,куб!N:N),IF($C1150&lt;&gt;0,SUMIF(куб!$C:$C,$C1150,куб!N:N),IF($B1150&lt;&gt;0,SUMIF(куб!$B:$B,$B1150,куб!N:N))))))</f>
        <v>0</v>
      </c>
      <c r="Y1150" s="27" t="b">
        <f>IF($G1150&lt;&gt;0,SUMIF(куб!$G:$G,$G1150,куб!O:O),IF($E1150&lt;&gt;0,SUMIF(куб!$E:$E,$E1150,куб!O:O),IF($D1150&lt;&gt;0,SUMIF(куб!$D:$D,$D1150,куб!O:O),IF($C1150&lt;&gt;0,SUMIF(куб!$C:$C,$C1150,куб!O:O),IF($B1150&lt;&gt;0,SUMIF(куб!$B:$B,$B1150,куб!O:O))))))</f>
        <v>0</v>
      </c>
      <c r="Z1150" s="13" t="str">
        <f t="shared" si="369"/>
        <v>-</v>
      </c>
      <c r="AA1150" s="5"/>
      <c r="AB1150" s="33" t="str">
        <f t="shared" si="370"/>
        <v/>
      </c>
      <c r="AC1150" s="33" t="str">
        <f t="shared" si="371"/>
        <v/>
      </c>
      <c r="AD1150" s="15" t="str">
        <f t="shared" si="372"/>
        <v xml:space="preserve"> </v>
      </c>
      <c r="AE1150" s="5"/>
      <c r="AF1150" s="27" t="b">
        <f>IF($G1150&lt;&gt;0,SUMIF(куб!$G:$G,$G1150,куб!R:R),IF($E1150&lt;&gt;0,SUMIF(куб!$E:$E,$E1150,куб!R:R),IF($D1150&lt;&gt;0,SUMIF(куб!$D:$D,$D1150,куб!R:R),IF($C1150&lt;&gt;0,SUMIF(куб!$C:$C,$C1150,куб!R:R),IF($B1150&lt;&gt;0,SUMIF(куб!$B:$B,$B1150,куб!R:R))))))</f>
        <v>0</v>
      </c>
      <c r="AG1150" s="27" t="b">
        <f>IF($G1150&lt;&gt;0,SUMIF(куб!$G:$G,$G1150,куб!S:S),IF($E1150&lt;&gt;0,SUMIF(куб!$E:$E,$E1150,куб!S:S),IF($D1150&lt;&gt;0,SUMIF(куб!$D:$D,$D1150,куб!S:S),IF($C1150&lt;&gt;0,SUMIF(куб!$C:$C,$C1150,куб!S:S),IF($B1150&lt;&gt;0,SUMIF(куб!$B:$B,$B1150,куб!S:S))))))</f>
        <v>0</v>
      </c>
      <c r="AH1150" s="16" t="str">
        <f t="shared" si="373"/>
        <v>-</v>
      </c>
      <c r="AI1150" s="8"/>
      <c r="AJ1150" s="27" t="b">
        <f>IF($G1150&lt;&gt;0,SUMIF(куб!$G:$G,$G1150,куб!T:T),IF($E1150&lt;&gt;0,SUMIF(куб!$E:$E,$E1150,куб!T:T),IF($D1150&lt;&gt;0,SUMIF(куб!$D:$D,$D1150,куб!T:T),IF($C1150&lt;&gt;0,SUMIF(куб!$C:$C,$C1150,куб!T:T),IF($B1150&lt;&gt;0,SUMIF(куб!$B:$B,$B1150,куб!T:T))))))</f>
        <v>0</v>
      </c>
      <c r="AK1150" s="27" t="b">
        <f>IF($G1150&lt;&gt;0,SUMIF(куб!$G:$G,$G1150,куб!U:U),IF($E1150&lt;&gt;0,SUMIF(куб!$E:$E,$E1150,куб!U:U),IF($D1150&lt;&gt;0,SUMIF(куб!$D:$D,$D1150,куб!U:U),IF($C1150&lt;&gt;0,SUMIF(куб!$C:$C,$C1150,куб!U:U),IF($B1150&lt;&gt;0,SUMIF(куб!$B:$B,$B1150,куб!U:U))))))</f>
        <v>0</v>
      </c>
      <c r="AL1150" s="16" t="str">
        <f t="shared" si="374"/>
        <v>-</v>
      </c>
      <c r="AM1150" s="8"/>
      <c r="AN1150" s="17" t="str">
        <f t="shared" si="375"/>
        <v xml:space="preserve"> </v>
      </c>
      <c r="AO1150" s="17" t="str">
        <f t="shared" si="376"/>
        <v xml:space="preserve"> </v>
      </c>
      <c r="AP1150" s="16" t="str">
        <f t="shared" si="377"/>
        <v>-</v>
      </c>
      <c r="AQ1150" s="8"/>
      <c r="AR1150" s="17" t="str">
        <f t="shared" si="378"/>
        <v>-</v>
      </c>
      <c r="AS1150" s="17" t="str">
        <f t="shared" si="379"/>
        <v>-</v>
      </c>
      <c r="AT1150" s="13" t="str">
        <f t="shared" si="380"/>
        <v>-</v>
      </c>
      <c r="AU1150" s="8"/>
    </row>
    <row r="1151" spans="8:47" x14ac:dyDescent="0.25">
      <c r="H1151" s="27">
        <f>IF($G1151&lt;&gt;0,SUMIF(куб!$G:$G,$G1151,куб!H:H),IF($E1151&lt;&gt;0,SUMIF(куб!$E:$E,$E1151,куб!H:H),IF($D1151&lt;&gt;0,SUMIF(куб!$D:$D,$D1151,куб!H:H),IF($C1151&lt;&gt;0,SUMIF(куб!$C:$C,$C1151,куб!H:H),IF($B1151&lt;&gt;0,SUMIF(куб!$B:$B,$B1151,куб!H:H),IF($G1151&lt;&gt;0,SUMIF(куб!$A:$A,$G1151,куб!H:H),SUMIF(куб!$A:$A,$G1151,куб!H:H)))))))</f>
        <v>0</v>
      </c>
      <c r="I1151" s="27">
        <f>IF($G1151&lt;&gt;0,SUMIF(куб!$G:$G,$G1151,куб!I:I),IF($E1151&lt;&gt;0,SUMIF(куб!$E:$E,$E1151,куб!I:I),IF($D1151&lt;&gt;0,SUMIF(куб!$D:$D,$D1151,куб!I:I),IF($C1151&lt;&gt;0,SUMIF(куб!$C:$C,$C1151,куб!I:I),IF($B1151&lt;&gt;0,SUMIF(куб!$B:$B,$B1151,куб!I:I),IF($G1151&lt;&gt;0,SUMIF(куб!$A:$A,$G1151,куб!I:I),SUMIF(куб!$A:$A,$G1151,куб!I:I)))))))</f>
        <v>0</v>
      </c>
      <c r="J1151" s="19" t="str">
        <f t="shared" si="363"/>
        <v>-</v>
      </c>
      <c r="K1151" s="8"/>
      <c r="L1151" s="17">
        <f t="shared" si="364"/>
        <v>0</v>
      </c>
      <c r="M1151" s="17">
        <f t="shared" si="365"/>
        <v>0</v>
      </c>
      <c r="N1151" s="12">
        <f t="shared" si="366"/>
        <v>0</v>
      </c>
      <c r="O1151" s="5"/>
      <c r="P1151" s="27" t="b">
        <f>IF($G1151&lt;&gt;0,SUMIF(куб!$G:$G,$G1151,куб!J:J),IF($E1151&lt;&gt;0,SUMIF(куб!$E:$E,$E1151,куб!J:J),IF($D1151&lt;&gt;0,SUMIF(куб!$D:$D,$D1151,куб!J:J),IF($C1151&lt;&gt;0,SUMIF(куб!$C:$C,$C1151,куб!J:J),IF($B1151&lt;&gt;0,SUMIF(куб!$B:$B,$B1151,куб!J:J))))))</f>
        <v>0</v>
      </c>
      <c r="Q1151" s="27" t="b">
        <f>IF($G1151&lt;&gt;0,SUMIF(куб!$G:$G,$G1151,куб!K:K),IF($E1151&lt;&gt;0,SUMIF(куб!$E:$E,$E1151,куб!K:K),IF($D1151&lt;&gt;0,SUMIF(куб!$D:$D,$D1151,куб!K:K),IF($C1151&lt;&gt;0,SUMIF(куб!$C:$C,$C1151,куб!K:K),IF($B1151&lt;&gt;0,SUMIF(куб!$B:$B,$B1151,куб!K:K))))))</f>
        <v>0</v>
      </c>
      <c r="R1151" s="13" t="str">
        <f t="shared" si="367"/>
        <v>-</v>
      </c>
      <c r="S1151" s="5"/>
      <c r="T1151" s="27" t="b">
        <f>IF($G1151&lt;&gt;0,SUMIF(куб!$G:$G,$G1151,куб!L:L),IF($E1151&lt;&gt;0,SUMIF(куб!$E:$E,$E1151,куб!L:L),IF($D1151&lt;&gt;0,SUMIF(куб!$D:$D,$D1151,куб!L:L),IF($C1151&lt;&gt;0,SUMIF(куб!$C:$C,$C1151,куб!L:L),IF($B1151&lt;&gt;0,SUMIF(куб!$B:$B,$B1151,куб!L:L))))))</f>
        <v>0</v>
      </c>
      <c r="U1151" s="27" t="b">
        <f>IF($G1151&lt;&gt;0,SUMIF(куб!$G:$G,$G1151,куб!M:M),IF($E1151&lt;&gt;0,SUMIF(куб!$E:$E,$E1151,куб!M:M),IF($D1151&lt;&gt;0,SUMIF(куб!$D:$D,$D1151,куб!M:M),IF($C1151&lt;&gt;0,SUMIF(куб!$C:$C,$C1151,куб!M:M),IF($B1151&lt;&gt;0,SUMIF(куб!$B:$B,$B1151,куб!M:M))))))</f>
        <v>0</v>
      </c>
      <c r="V1151" s="13" t="str">
        <f t="shared" si="368"/>
        <v>-</v>
      </c>
      <c r="W1151" s="5"/>
      <c r="X1151" s="27" t="b">
        <f>IF($G1151&lt;&gt;0,SUMIF(куб!$G:$G,$G1151,куб!N:N),IF($E1151&lt;&gt;0,SUMIF(куб!$E:$E,$E1151,куб!N:N),IF($D1151&lt;&gt;0,SUMIF(куб!$D:$D,$D1151,куб!N:N),IF($C1151&lt;&gt;0,SUMIF(куб!$C:$C,$C1151,куб!N:N),IF($B1151&lt;&gt;0,SUMIF(куб!$B:$B,$B1151,куб!N:N))))))</f>
        <v>0</v>
      </c>
      <c r="Y1151" s="27" t="b">
        <f>IF($G1151&lt;&gt;0,SUMIF(куб!$G:$G,$G1151,куб!O:O),IF($E1151&lt;&gt;0,SUMIF(куб!$E:$E,$E1151,куб!O:O),IF($D1151&lt;&gt;0,SUMIF(куб!$D:$D,$D1151,куб!O:O),IF($C1151&lt;&gt;0,SUMIF(куб!$C:$C,$C1151,куб!O:O),IF($B1151&lt;&gt;0,SUMIF(куб!$B:$B,$B1151,куб!O:O))))))</f>
        <v>0</v>
      </c>
      <c r="Z1151" s="13" t="str">
        <f t="shared" si="369"/>
        <v>-</v>
      </c>
      <c r="AA1151" s="5"/>
      <c r="AB1151" s="33" t="str">
        <f t="shared" si="370"/>
        <v/>
      </c>
      <c r="AC1151" s="33" t="str">
        <f t="shared" si="371"/>
        <v/>
      </c>
      <c r="AD1151" s="15" t="str">
        <f t="shared" si="372"/>
        <v xml:space="preserve"> </v>
      </c>
      <c r="AE1151" s="5"/>
      <c r="AF1151" s="27" t="b">
        <f>IF($G1151&lt;&gt;0,SUMIF(куб!$G:$G,$G1151,куб!R:R),IF($E1151&lt;&gt;0,SUMIF(куб!$E:$E,$E1151,куб!R:R),IF($D1151&lt;&gt;0,SUMIF(куб!$D:$D,$D1151,куб!R:R),IF($C1151&lt;&gt;0,SUMIF(куб!$C:$C,$C1151,куб!R:R),IF($B1151&lt;&gt;0,SUMIF(куб!$B:$B,$B1151,куб!R:R))))))</f>
        <v>0</v>
      </c>
      <c r="AG1151" s="27" t="b">
        <f>IF($G1151&lt;&gt;0,SUMIF(куб!$G:$G,$G1151,куб!S:S),IF($E1151&lt;&gt;0,SUMIF(куб!$E:$E,$E1151,куб!S:S),IF($D1151&lt;&gt;0,SUMIF(куб!$D:$D,$D1151,куб!S:S),IF($C1151&lt;&gt;0,SUMIF(куб!$C:$C,$C1151,куб!S:S),IF($B1151&lt;&gt;0,SUMIF(куб!$B:$B,$B1151,куб!S:S))))))</f>
        <v>0</v>
      </c>
      <c r="AH1151" s="16" t="str">
        <f t="shared" si="373"/>
        <v>-</v>
      </c>
      <c r="AI1151" s="8"/>
      <c r="AJ1151" s="27" t="b">
        <f>IF($G1151&lt;&gt;0,SUMIF(куб!$G:$G,$G1151,куб!T:T),IF($E1151&lt;&gt;0,SUMIF(куб!$E:$E,$E1151,куб!T:T),IF($D1151&lt;&gt;0,SUMIF(куб!$D:$D,$D1151,куб!T:T),IF($C1151&lt;&gt;0,SUMIF(куб!$C:$C,$C1151,куб!T:T),IF($B1151&lt;&gt;0,SUMIF(куб!$B:$B,$B1151,куб!T:T))))))</f>
        <v>0</v>
      </c>
      <c r="AK1151" s="27" t="b">
        <f>IF($G1151&lt;&gt;0,SUMIF(куб!$G:$G,$G1151,куб!U:U),IF($E1151&lt;&gt;0,SUMIF(куб!$E:$E,$E1151,куб!U:U),IF($D1151&lt;&gt;0,SUMIF(куб!$D:$D,$D1151,куб!U:U),IF($C1151&lt;&gt;0,SUMIF(куб!$C:$C,$C1151,куб!U:U),IF($B1151&lt;&gt;0,SUMIF(куб!$B:$B,$B1151,куб!U:U))))))</f>
        <v>0</v>
      </c>
      <c r="AL1151" s="16" t="str">
        <f t="shared" si="374"/>
        <v>-</v>
      </c>
      <c r="AM1151" s="8"/>
      <c r="AN1151" s="17" t="str">
        <f t="shared" si="375"/>
        <v xml:space="preserve"> </v>
      </c>
      <c r="AO1151" s="17" t="str">
        <f t="shared" si="376"/>
        <v xml:space="preserve"> </v>
      </c>
      <c r="AP1151" s="16" t="str">
        <f t="shared" si="377"/>
        <v>-</v>
      </c>
      <c r="AQ1151" s="8"/>
      <c r="AR1151" s="17" t="str">
        <f t="shared" si="378"/>
        <v>-</v>
      </c>
      <c r="AS1151" s="17" t="str">
        <f t="shared" si="379"/>
        <v>-</v>
      </c>
      <c r="AT1151" s="13" t="str">
        <f t="shared" si="380"/>
        <v>-</v>
      </c>
      <c r="AU1151" s="8"/>
    </row>
    <row r="1152" spans="8:47" x14ac:dyDescent="0.25">
      <c r="H1152" s="27">
        <f>IF($G1152&lt;&gt;0,SUMIF(куб!$G:$G,$G1152,куб!H:H),IF($E1152&lt;&gt;0,SUMIF(куб!$E:$E,$E1152,куб!H:H),IF($D1152&lt;&gt;0,SUMIF(куб!$D:$D,$D1152,куб!H:H),IF($C1152&lt;&gt;0,SUMIF(куб!$C:$C,$C1152,куб!H:H),IF($B1152&lt;&gt;0,SUMIF(куб!$B:$B,$B1152,куб!H:H),IF($G1152&lt;&gt;0,SUMIF(куб!$A:$A,$G1152,куб!H:H),SUMIF(куб!$A:$A,$G1152,куб!H:H)))))))</f>
        <v>0</v>
      </c>
      <c r="I1152" s="27">
        <f>IF($G1152&lt;&gt;0,SUMIF(куб!$G:$G,$G1152,куб!I:I),IF($E1152&lt;&gt;0,SUMIF(куб!$E:$E,$E1152,куб!I:I),IF($D1152&lt;&gt;0,SUMIF(куб!$D:$D,$D1152,куб!I:I),IF($C1152&lt;&gt;0,SUMIF(куб!$C:$C,$C1152,куб!I:I),IF($B1152&lt;&gt;0,SUMIF(куб!$B:$B,$B1152,куб!I:I),IF($G1152&lt;&gt;0,SUMIF(куб!$A:$A,$G1152,куб!I:I),SUMIF(куб!$A:$A,$G1152,куб!I:I)))))))</f>
        <v>0</v>
      </c>
      <c r="J1152" s="19" t="str">
        <f t="shared" si="363"/>
        <v>-</v>
      </c>
      <c r="K1152" s="8"/>
      <c r="L1152" s="17">
        <f t="shared" si="364"/>
        <v>0</v>
      </c>
      <c r="M1152" s="17">
        <f t="shared" si="365"/>
        <v>0</v>
      </c>
      <c r="N1152" s="12">
        <f t="shared" si="366"/>
        <v>0</v>
      </c>
      <c r="O1152" s="5"/>
      <c r="P1152" s="27" t="b">
        <f>IF($G1152&lt;&gt;0,SUMIF(куб!$G:$G,$G1152,куб!J:J),IF($E1152&lt;&gt;0,SUMIF(куб!$E:$E,$E1152,куб!J:J),IF($D1152&lt;&gt;0,SUMIF(куб!$D:$D,$D1152,куб!J:J),IF($C1152&lt;&gt;0,SUMIF(куб!$C:$C,$C1152,куб!J:J),IF($B1152&lt;&gt;0,SUMIF(куб!$B:$B,$B1152,куб!J:J))))))</f>
        <v>0</v>
      </c>
      <c r="Q1152" s="27" t="b">
        <f>IF($G1152&lt;&gt;0,SUMIF(куб!$G:$G,$G1152,куб!K:K),IF($E1152&lt;&gt;0,SUMIF(куб!$E:$E,$E1152,куб!K:K),IF($D1152&lt;&gt;0,SUMIF(куб!$D:$D,$D1152,куб!K:K),IF($C1152&lt;&gt;0,SUMIF(куб!$C:$C,$C1152,куб!K:K),IF($B1152&lt;&gt;0,SUMIF(куб!$B:$B,$B1152,куб!K:K))))))</f>
        <v>0</v>
      </c>
      <c r="R1152" s="13" t="str">
        <f t="shared" si="367"/>
        <v>-</v>
      </c>
      <c r="S1152" s="5"/>
      <c r="T1152" s="27" t="b">
        <f>IF($G1152&lt;&gt;0,SUMIF(куб!$G:$G,$G1152,куб!L:L),IF($E1152&lt;&gt;0,SUMIF(куб!$E:$E,$E1152,куб!L:L),IF($D1152&lt;&gt;0,SUMIF(куб!$D:$D,$D1152,куб!L:L),IF($C1152&lt;&gt;0,SUMIF(куб!$C:$C,$C1152,куб!L:L),IF($B1152&lt;&gt;0,SUMIF(куб!$B:$B,$B1152,куб!L:L))))))</f>
        <v>0</v>
      </c>
      <c r="U1152" s="27" t="b">
        <f>IF($G1152&lt;&gt;0,SUMIF(куб!$G:$G,$G1152,куб!M:M),IF($E1152&lt;&gt;0,SUMIF(куб!$E:$E,$E1152,куб!M:M),IF($D1152&lt;&gt;0,SUMIF(куб!$D:$D,$D1152,куб!M:M),IF($C1152&lt;&gt;0,SUMIF(куб!$C:$C,$C1152,куб!M:M),IF($B1152&lt;&gt;0,SUMIF(куб!$B:$B,$B1152,куб!M:M))))))</f>
        <v>0</v>
      </c>
      <c r="V1152" s="13" t="str">
        <f t="shared" si="368"/>
        <v>-</v>
      </c>
      <c r="W1152" s="5"/>
      <c r="X1152" s="27" t="b">
        <f>IF($G1152&lt;&gt;0,SUMIF(куб!$G:$G,$G1152,куб!N:N),IF($E1152&lt;&gt;0,SUMIF(куб!$E:$E,$E1152,куб!N:N),IF($D1152&lt;&gt;0,SUMIF(куб!$D:$D,$D1152,куб!N:N),IF($C1152&lt;&gt;0,SUMIF(куб!$C:$C,$C1152,куб!N:N),IF($B1152&lt;&gt;0,SUMIF(куб!$B:$B,$B1152,куб!N:N))))))</f>
        <v>0</v>
      </c>
      <c r="Y1152" s="27" t="b">
        <f>IF($G1152&lt;&gt;0,SUMIF(куб!$G:$G,$G1152,куб!O:O),IF($E1152&lt;&gt;0,SUMIF(куб!$E:$E,$E1152,куб!O:O),IF($D1152&lt;&gt;0,SUMIF(куб!$D:$D,$D1152,куб!O:O),IF($C1152&lt;&gt;0,SUMIF(куб!$C:$C,$C1152,куб!O:O),IF($B1152&lt;&gt;0,SUMIF(куб!$B:$B,$B1152,куб!O:O))))))</f>
        <v>0</v>
      </c>
      <c r="Z1152" s="13" t="str">
        <f t="shared" si="369"/>
        <v>-</v>
      </c>
      <c r="AA1152" s="5"/>
      <c r="AB1152" s="33" t="str">
        <f t="shared" si="370"/>
        <v/>
      </c>
      <c r="AC1152" s="33" t="str">
        <f t="shared" si="371"/>
        <v/>
      </c>
      <c r="AD1152" s="15" t="str">
        <f t="shared" si="372"/>
        <v xml:space="preserve"> </v>
      </c>
      <c r="AE1152" s="5"/>
      <c r="AF1152" s="27" t="b">
        <f>IF($G1152&lt;&gt;0,SUMIF(куб!$G:$G,$G1152,куб!R:R),IF($E1152&lt;&gt;0,SUMIF(куб!$E:$E,$E1152,куб!R:R),IF($D1152&lt;&gt;0,SUMIF(куб!$D:$D,$D1152,куб!R:R),IF($C1152&lt;&gt;0,SUMIF(куб!$C:$C,$C1152,куб!R:R),IF($B1152&lt;&gt;0,SUMIF(куб!$B:$B,$B1152,куб!R:R))))))</f>
        <v>0</v>
      </c>
      <c r="AG1152" s="27" t="b">
        <f>IF($G1152&lt;&gt;0,SUMIF(куб!$G:$G,$G1152,куб!S:S),IF($E1152&lt;&gt;0,SUMIF(куб!$E:$E,$E1152,куб!S:S),IF($D1152&lt;&gt;0,SUMIF(куб!$D:$D,$D1152,куб!S:S),IF($C1152&lt;&gt;0,SUMIF(куб!$C:$C,$C1152,куб!S:S),IF($B1152&lt;&gt;0,SUMIF(куб!$B:$B,$B1152,куб!S:S))))))</f>
        <v>0</v>
      </c>
      <c r="AH1152" s="16" t="str">
        <f t="shared" si="373"/>
        <v>-</v>
      </c>
      <c r="AI1152" s="8"/>
      <c r="AJ1152" s="27" t="b">
        <f>IF($G1152&lt;&gt;0,SUMIF(куб!$G:$G,$G1152,куб!T:T),IF($E1152&lt;&gt;0,SUMIF(куб!$E:$E,$E1152,куб!T:T),IF($D1152&lt;&gt;0,SUMIF(куб!$D:$D,$D1152,куб!T:T),IF($C1152&lt;&gt;0,SUMIF(куб!$C:$C,$C1152,куб!T:T),IF($B1152&lt;&gt;0,SUMIF(куб!$B:$B,$B1152,куб!T:T))))))</f>
        <v>0</v>
      </c>
      <c r="AK1152" s="27" t="b">
        <f>IF($G1152&lt;&gt;0,SUMIF(куб!$G:$G,$G1152,куб!U:U),IF($E1152&lt;&gt;0,SUMIF(куб!$E:$E,$E1152,куб!U:U),IF($D1152&lt;&gt;0,SUMIF(куб!$D:$D,$D1152,куб!U:U),IF($C1152&lt;&gt;0,SUMIF(куб!$C:$C,$C1152,куб!U:U),IF($B1152&lt;&gt;0,SUMIF(куб!$B:$B,$B1152,куб!U:U))))))</f>
        <v>0</v>
      </c>
      <c r="AL1152" s="16" t="str">
        <f t="shared" si="374"/>
        <v>-</v>
      </c>
      <c r="AM1152" s="8"/>
      <c r="AN1152" s="17" t="str">
        <f t="shared" si="375"/>
        <v xml:space="preserve"> </v>
      </c>
      <c r="AO1152" s="17" t="str">
        <f t="shared" si="376"/>
        <v xml:space="preserve"> </v>
      </c>
      <c r="AP1152" s="16" t="str">
        <f t="shared" si="377"/>
        <v>-</v>
      </c>
      <c r="AQ1152" s="8"/>
      <c r="AR1152" s="17" t="str">
        <f t="shared" si="378"/>
        <v>-</v>
      </c>
      <c r="AS1152" s="17" t="str">
        <f t="shared" si="379"/>
        <v>-</v>
      </c>
      <c r="AT1152" s="13" t="str">
        <f t="shared" si="380"/>
        <v>-</v>
      </c>
      <c r="AU1152" s="8"/>
    </row>
    <row r="1153" spans="8:47" x14ac:dyDescent="0.25">
      <c r="H1153" s="27">
        <f>IF($G1153&lt;&gt;0,SUMIF(куб!$G:$G,$G1153,куб!H:H),IF($E1153&lt;&gt;0,SUMIF(куб!$E:$E,$E1153,куб!H:H),IF($D1153&lt;&gt;0,SUMIF(куб!$D:$D,$D1153,куб!H:H),IF($C1153&lt;&gt;0,SUMIF(куб!$C:$C,$C1153,куб!H:H),IF($B1153&lt;&gt;0,SUMIF(куб!$B:$B,$B1153,куб!H:H),IF($G1153&lt;&gt;0,SUMIF(куб!$A:$A,$G1153,куб!H:H),SUMIF(куб!$A:$A,$G1153,куб!H:H)))))))</f>
        <v>0</v>
      </c>
      <c r="I1153" s="27">
        <f>IF($G1153&lt;&gt;0,SUMIF(куб!$G:$G,$G1153,куб!I:I),IF($E1153&lt;&gt;0,SUMIF(куб!$E:$E,$E1153,куб!I:I),IF($D1153&lt;&gt;0,SUMIF(куб!$D:$D,$D1153,куб!I:I),IF($C1153&lt;&gt;0,SUMIF(куб!$C:$C,$C1153,куб!I:I),IF($B1153&lt;&gt;0,SUMIF(куб!$B:$B,$B1153,куб!I:I),IF($G1153&lt;&gt;0,SUMIF(куб!$A:$A,$G1153,куб!I:I),SUMIF(куб!$A:$A,$G1153,куб!I:I)))))))</f>
        <v>0</v>
      </c>
      <c r="J1153" s="19" t="str">
        <f t="shared" si="363"/>
        <v>-</v>
      </c>
      <c r="K1153" s="8"/>
      <c r="L1153" s="17">
        <f t="shared" si="364"/>
        <v>0</v>
      </c>
      <c r="M1153" s="17">
        <f t="shared" si="365"/>
        <v>0</v>
      </c>
      <c r="N1153" s="12">
        <f t="shared" si="366"/>
        <v>0</v>
      </c>
      <c r="O1153" s="5"/>
      <c r="P1153" s="27" t="b">
        <f>IF($G1153&lt;&gt;0,SUMIF(куб!$G:$G,$G1153,куб!J:J),IF($E1153&lt;&gt;0,SUMIF(куб!$E:$E,$E1153,куб!J:J),IF($D1153&lt;&gt;0,SUMIF(куб!$D:$D,$D1153,куб!J:J),IF($C1153&lt;&gt;0,SUMIF(куб!$C:$C,$C1153,куб!J:J),IF($B1153&lt;&gt;0,SUMIF(куб!$B:$B,$B1153,куб!J:J))))))</f>
        <v>0</v>
      </c>
      <c r="Q1153" s="27" t="b">
        <f>IF($G1153&lt;&gt;0,SUMIF(куб!$G:$G,$G1153,куб!K:K),IF($E1153&lt;&gt;0,SUMIF(куб!$E:$E,$E1153,куб!K:K),IF($D1153&lt;&gt;0,SUMIF(куб!$D:$D,$D1153,куб!K:K),IF($C1153&lt;&gt;0,SUMIF(куб!$C:$C,$C1153,куб!K:K),IF($B1153&lt;&gt;0,SUMIF(куб!$B:$B,$B1153,куб!K:K))))))</f>
        <v>0</v>
      </c>
      <c r="R1153" s="13" t="str">
        <f t="shared" si="367"/>
        <v>-</v>
      </c>
      <c r="S1153" s="5"/>
      <c r="T1153" s="27" t="b">
        <f>IF($G1153&lt;&gt;0,SUMIF(куб!$G:$G,$G1153,куб!L:L),IF($E1153&lt;&gt;0,SUMIF(куб!$E:$E,$E1153,куб!L:L),IF($D1153&lt;&gt;0,SUMIF(куб!$D:$D,$D1153,куб!L:L),IF($C1153&lt;&gt;0,SUMIF(куб!$C:$C,$C1153,куб!L:L),IF($B1153&lt;&gt;0,SUMIF(куб!$B:$B,$B1153,куб!L:L))))))</f>
        <v>0</v>
      </c>
      <c r="U1153" s="27" t="b">
        <f>IF($G1153&lt;&gt;0,SUMIF(куб!$G:$G,$G1153,куб!M:M),IF($E1153&lt;&gt;0,SUMIF(куб!$E:$E,$E1153,куб!M:M),IF($D1153&lt;&gt;0,SUMIF(куб!$D:$D,$D1153,куб!M:M),IF($C1153&lt;&gt;0,SUMIF(куб!$C:$C,$C1153,куб!M:M),IF($B1153&lt;&gt;0,SUMIF(куб!$B:$B,$B1153,куб!M:M))))))</f>
        <v>0</v>
      </c>
      <c r="V1153" s="13" t="str">
        <f t="shared" si="368"/>
        <v>-</v>
      </c>
      <c r="W1153" s="5"/>
      <c r="X1153" s="27" t="b">
        <f>IF($G1153&lt;&gt;0,SUMIF(куб!$G:$G,$G1153,куб!N:N),IF($E1153&lt;&gt;0,SUMIF(куб!$E:$E,$E1153,куб!N:N),IF($D1153&lt;&gt;0,SUMIF(куб!$D:$D,$D1153,куб!N:N),IF($C1153&lt;&gt;0,SUMIF(куб!$C:$C,$C1153,куб!N:N),IF($B1153&lt;&gt;0,SUMIF(куб!$B:$B,$B1153,куб!N:N))))))</f>
        <v>0</v>
      </c>
      <c r="Y1153" s="27" t="b">
        <f>IF($G1153&lt;&gt;0,SUMIF(куб!$G:$G,$G1153,куб!O:O),IF($E1153&lt;&gt;0,SUMIF(куб!$E:$E,$E1153,куб!O:O),IF($D1153&lt;&gt;0,SUMIF(куб!$D:$D,$D1153,куб!O:O),IF($C1153&lt;&gt;0,SUMIF(куб!$C:$C,$C1153,куб!O:O),IF($B1153&lt;&gt;0,SUMIF(куб!$B:$B,$B1153,куб!O:O))))))</f>
        <v>0</v>
      </c>
      <c r="Z1153" s="13" t="str">
        <f t="shared" si="369"/>
        <v>-</v>
      </c>
      <c r="AA1153" s="5"/>
      <c r="AB1153" s="33" t="str">
        <f t="shared" si="370"/>
        <v/>
      </c>
      <c r="AC1153" s="33" t="str">
        <f t="shared" si="371"/>
        <v/>
      </c>
      <c r="AD1153" s="15" t="str">
        <f t="shared" si="372"/>
        <v xml:space="preserve"> </v>
      </c>
      <c r="AE1153" s="5"/>
      <c r="AF1153" s="27" t="b">
        <f>IF($G1153&lt;&gt;0,SUMIF(куб!$G:$G,$G1153,куб!R:R),IF($E1153&lt;&gt;0,SUMIF(куб!$E:$E,$E1153,куб!R:R),IF($D1153&lt;&gt;0,SUMIF(куб!$D:$D,$D1153,куб!R:R),IF($C1153&lt;&gt;0,SUMIF(куб!$C:$C,$C1153,куб!R:R),IF($B1153&lt;&gt;0,SUMIF(куб!$B:$B,$B1153,куб!R:R))))))</f>
        <v>0</v>
      </c>
      <c r="AG1153" s="27" t="b">
        <f>IF($G1153&lt;&gt;0,SUMIF(куб!$G:$G,$G1153,куб!S:S),IF($E1153&lt;&gt;0,SUMIF(куб!$E:$E,$E1153,куб!S:S),IF($D1153&lt;&gt;0,SUMIF(куб!$D:$D,$D1153,куб!S:S),IF($C1153&lt;&gt;0,SUMIF(куб!$C:$C,$C1153,куб!S:S),IF($B1153&lt;&gt;0,SUMIF(куб!$B:$B,$B1153,куб!S:S))))))</f>
        <v>0</v>
      </c>
      <c r="AH1153" s="16" t="str">
        <f t="shared" si="373"/>
        <v>-</v>
      </c>
      <c r="AI1153" s="8"/>
      <c r="AJ1153" s="27" t="b">
        <f>IF($G1153&lt;&gt;0,SUMIF(куб!$G:$G,$G1153,куб!T:T),IF($E1153&lt;&gt;0,SUMIF(куб!$E:$E,$E1153,куб!T:T),IF($D1153&lt;&gt;0,SUMIF(куб!$D:$D,$D1153,куб!T:T),IF($C1153&lt;&gt;0,SUMIF(куб!$C:$C,$C1153,куб!T:T),IF($B1153&lt;&gt;0,SUMIF(куб!$B:$B,$B1153,куб!T:T))))))</f>
        <v>0</v>
      </c>
      <c r="AK1153" s="27" t="b">
        <f>IF($G1153&lt;&gt;0,SUMIF(куб!$G:$G,$G1153,куб!U:U),IF($E1153&lt;&gt;0,SUMIF(куб!$E:$E,$E1153,куб!U:U),IF($D1153&lt;&gt;0,SUMIF(куб!$D:$D,$D1153,куб!U:U),IF($C1153&lt;&gt;0,SUMIF(куб!$C:$C,$C1153,куб!U:U),IF($B1153&lt;&gt;0,SUMIF(куб!$B:$B,$B1153,куб!U:U))))))</f>
        <v>0</v>
      </c>
      <c r="AL1153" s="16" t="str">
        <f t="shared" si="374"/>
        <v>-</v>
      </c>
      <c r="AM1153" s="8"/>
      <c r="AN1153" s="17" t="str">
        <f t="shared" si="375"/>
        <v xml:space="preserve"> </v>
      </c>
      <c r="AO1153" s="17" t="str">
        <f t="shared" si="376"/>
        <v xml:space="preserve"> </v>
      </c>
      <c r="AP1153" s="16" t="str">
        <f t="shared" si="377"/>
        <v>-</v>
      </c>
      <c r="AQ1153" s="8"/>
      <c r="AR1153" s="17" t="str">
        <f t="shared" si="378"/>
        <v>-</v>
      </c>
      <c r="AS1153" s="17" t="str">
        <f t="shared" si="379"/>
        <v>-</v>
      </c>
      <c r="AT1153" s="13" t="str">
        <f t="shared" si="380"/>
        <v>-</v>
      </c>
      <c r="AU1153" s="8"/>
    </row>
    <row r="1154" spans="8:47" x14ac:dyDescent="0.25">
      <c r="H1154" s="27">
        <f>IF($G1154&lt;&gt;0,SUMIF(куб!$G:$G,$G1154,куб!H:H),IF($E1154&lt;&gt;0,SUMIF(куб!$E:$E,$E1154,куб!H:H),IF($D1154&lt;&gt;0,SUMIF(куб!$D:$D,$D1154,куб!H:H),IF($C1154&lt;&gt;0,SUMIF(куб!$C:$C,$C1154,куб!H:H),IF($B1154&lt;&gt;0,SUMIF(куб!$B:$B,$B1154,куб!H:H),IF($G1154&lt;&gt;0,SUMIF(куб!$A:$A,$G1154,куб!H:H),SUMIF(куб!$A:$A,$G1154,куб!H:H)))))))</f>
        <v>0</v>
      </c>
      <c r="I1154" s="27">
        <f>IF($G1154&lt;&gt;0,SUMIF(куб!$G:$G,$G1154,куб!I:I),IF($E1154&lt;&gt;0,SUMIF(куб!$E:$E,$E1154,куб!I:I),IF($D1154&lt;&gt;0,SUMIF(куб!$D:$D,$D1154,куб!I:I),IF($C1154&lt;&gt;0,SUMIF(куб!$C:$C,$C1154,куб!I:I),IF($B1154&lt;&gt;0,SUMIF(куб!$B:$B,$B1154,куб!I:I),IF($G1154&lt;&gt;0,SUMIF(куб!$A:$A,$G1154,куб!I:I),SUMIF(куб!$A:$A,$G1154,куб!I:I)))))))</f>
        <v>0</v>
      </c>
      <c r="J1154" s="19" t="str">
        <f t="shared" si="363"/>
        <v>-</v>
      </c>
      <c r="K1154" s="8"/>
      <c r="L1154" s="17">
        <f t="shared" si="364"/>
        <v>0</v>
      </c>
      <c r="M1154" s="17">
        <f t="shared" si="365"/>
        <v>0</v>
      </c>
      <c r="N1154" s="12">
        <f t="shared" si="366"/>
        <v>0</v>
      </c>
      <c r="O1154" s="5"/>
      <c r="P1154" s="27" t="b">
        <f>IF($G1154&lt;&gt;0,SUMIF(куб!$G:$G,$G1154,куб!J:J),IF($E1154&lt;&gt;0,SUMIF(куб!$E:$E,$E1154,куб!J:J),IF($D1154&lt;&gt;0,SUMIF(куб!$D:$D,$D1154,куб!J:J),IF($C1154&lt;&gt;0,SUMIF(куб!$C:$C,$C1154,куб!J:J),IF($B1154&lt;&gt;0,SUMIF(куб!$B:$B,$B1154,куб!J:J))))))</f>
        <v>0</v>
      </c>
      <c r="Q1154" s="27" t="b">
        <f>IF($G1154&lt;&gt;0,SUMIF(куб!$G:$G,$G1154,куб!K:K),IF($E1154&lt;&gt;0,SUMIF(куб!$E:$E,$E1154,куб!K:K),IF($D1154&lt;&gt;0,SUMIF(куб!$D:$D,$D1154,куб!K:K),IF($C1154&lt;&gt;0,SUMIF(куб!$C:$C,$C1154,куб!K:K),IF($B1154&lt;&gt;0,SUMIF(куб!$B:$B,$B1154,куб!K:K))))))</f>
        <v>0</v>
      </c>
      <c r="R1154" s="13" t="str">
        <f t="shared" si="367"/>
        <v>-</v>
      </c>
      <c r="S1154" s="5"/>
      <c r="T1154" s="27" t="b">
        <f>IF($G1154&lt;&gt;0,SUMIF(куб!$G:$G,$G1154,куб!L:L),IF($E1154&lt;&gt;0,SUMIF(куб!$E:$E,$E1154,куб!L:L),IF($D1154&lt;&gt;0,SUMIF(куб!$D:$D,$D1154,куб!L:L),IF($C1154&lt;&gt;0,SUMIF(куб!$C:$C,$C1154,куб!L:L),IF($B1154&lt;&gt;0,SUMIF(куб!$B:$B,$B1154,куб!L:L))))))</f>
        <v>0</v>
      </c>
      <c r="U1154" s="27" t="b">
        <f>IF($G1154&lt;&gt;0,SUMIF(куб!$G:$G,$G1154,куб!M:M),IF($E1154&lt;&gt;0,SUMIF(куб!$E:$E,$E1154,куб!M:M),IF($D1154&lt;&gt;0,SUMIF(куб!$D:$D,$D1154,куб!M:M),IF($C1154&lt;&gt;0,SUMIF(куб!$C:$C,$C1154,куб!M:M),IF($B1154&lt;&gt;0,SUMIF(куб!$B:$B,$B1154,куб!M:M))))))</f>
        <v>0</v>
      </c>
      <c r="V1154" s="13" t="str">
        <f t="shared" si="368"/>
        <v>-</v>
      </c>
      <c r="W1154" s="5"/>
      <c r="X1154" s="27" t="b">
        <f>IF($G1154&lt;&gt;0,SUMIF(куб!$G:$G,$G1154,куб!N:N),IF($E1154&lt;&gt;0,SUMIF(куб!$E:$E,$E1154,куб!N:N),IF($D1154&lt;&gt;0,SUMIF(куб!$D:$D,$D1154,куб!N:N),IF($C1154&lt;&gt;0,SUMIF(куб!$C:$C,$C1154,куб!N:N),IF($B1154&lt;&gt;0,SUMIF(куб!$B:$B,$B1154,куб!N:N))))))</f>
        <v>0</v>
      </c>
      <c r="Y1154" s="27" t="b">
        <f>IF($G1154&lt;&gt;0,SUMIF(куб!$G:$G,$G1154,куб!O:O),IF($E1154&lt;&gt;0,SUMIF(куб!$E:$E,$E1154,куб!O:O),IF($D1154&lt;&gt;0,SUMIF(куб!$D:$D,$D1154,куб!O:O),IF($C1154&lt;&gt;0,SUMIF(куб!$C:$C,$C1154,куб!O:O),IF($B1154&lt;&gt;0,SUMIF(куб!$B:$B,$B1154,куб!O:O))))))</f>
        <v>0</v>
      </c>
      <c r="Z1154" s="13" t="str">
        <f t="shared" si="369"/>
        <v>-</v>
      </c>
      <c r="AA1154" s="5"/>
      <c r="AB1154" s="33" t="str">
        <f t="shared" si="370"/>
        <v/>
      </c>
      <c r="AC1154" s="33" t="str">
        <f t="shared" si="371"/>
        <v/>
      </c>
      <c r="AD1154" s="15" t="str">
        <f t="shared" si="372"/>
        <v xml:space="preserve"> </v>
      </c>
      <c r="AE1154" s="5"/>
      <c r="AF1154" s="27" t="b">
        <f>IF($G1154&lt;&gt;0,SUMIF(куб!$G:$G,$G1154,куб!R:R),IF($E1154&lt;&gt;0,SUMIF(куб!$E:$E,$E1154,куб!R:R),IF($D1154&lt;&gt;0,SUMIF(куб!$D:$D,$D1154,куб!R:R),IF($C1154&lt;&gt;0,SUMIF(куб!$C:$C,$C1154,куб!R:R),IF($B1154&lt;&gt;0,SUMIF(куб!$B:$B,$B1154,куб!R:R))))))</f>
        <v>0</v>
      </c>
      <c r="AG1154" s="27" t="b">
        <f>IF($G1154&lt;&gt;0,SUMIF(куб!$G:$G,$G1154,куб!S:S),IF($E1154&lt;&gt;0,SUMIF(куб!$E:$E,$E1154,куб!S:S),IF($D1154&lt;&gt;0,SUMIF(куб!$D:$D,$D1154,куб!S:S),IF($C1154&lt;&gt;0,SUMIF(куб!$C:$C,$C1154,куб!S:S),IF($B1154&lt;&gt;0,SUMIF(куб!$B:$B,$B1154,куб!S:S))))))</f>
        <v>0</v>
      </c>
      <c r="AH1154" s="16" t="str">
        <f t="shared" si="373"/>
        <v>-</v>
      </c>
      <c r="AI1154" s="8"/>
      <c r="AJ1154" s="27" t="b">
        <f>IF($G1154&lt;&gt;0,SUMIF(куб!$G:$G,$G1154,куб!T:T),IF($E1154&lt;&gt;0,SUMIF(куб!$E:$E,$E1154,куб!T:T),IF($D1154&lt;&gt;0,SUMIF(куб!$D:$D,$D1154,куб!T:T),IF($C1154&lt;&gt;0,SUMIF(куб!$C:$C,$C1154,куб!T:T),IF($B1154&lt;&gt;0,SUMIF(куб!$B:$B,$B1154,куб!T:T))))))</f>
        <v>0</v>
      </c>
      <c r="AK1154" s="27" t="b">
        <f>IF($G1154&lt;&gt;0,SUMIF(куб!$G:$G,$G1154,куб!U:U),IF($E1154&lt;&gt;0,SUMIF(куб!$E:$E,$E1154,куб!U:U),IF($D1154&lt;&gt;0,SUMIF(куб!$D:$D,$D1154,куб!U:U),IF($C1154&lt;&gt;0,SUMIF(куб!$C:$C,$C1154,куб!U:U),IF($B1154&lt;&gt;0,SUMIF(куб!$B:$B,$B1154,куб!U:U))))))</f>
        <v>0</v>
      </c>
      <c r="AL1154" s="16" t="str">
        <f t="shared" si="374"/>
        <v>-</v>
      </c>
      <c r="AM1154" s="8"/>
      <c r="AN1154" s="17" t="str">
        <f t="shared" si="375"/>
        <v xml:space="preserve"> </v>
      </c>
      <c r="AO1154" s="17" t="str">
        <f t="shared" si="376"/>
        <v xml:space="preserve"> </v>
      </c>
      <c r="AP1154" s="16" t="str">
        <f t="shared" si="377"/>
        <v>-</v>
      </c>
      <c r="AQ1154" s="8"/>
      <c r="AR1154" s="17" t="str">
        <f t="shared" si="378"/>
        <v>-</v>
      </c>
      <c r="AS1154" s="17" t="str">
        <f t="shared" si="379"/>
        <v>-</v>
      </c>
      <c r="AT1154" s="13" t="str">
        <f t="shared" si="380"/>
        <v>-</v>
      </c>
      <c r="AU1154" s="8"/>
    </row>
    <row r="1155" spans="8:47" x14ac:dyDescent="0.25">
      <c r="H1155" s="27">
        <f>IF($G1155&lt;&gt;0,SUMIF(куб!$G:$G,$G1155,куб!H:H),IF($E1155&lt;&gt;0,SUMIF(куб!$E:$E,$E1155,куб!H:H),IF($D1155&lt;&gt;0,SUMIF(куб!$D:$D,$D1155,куб!H:H),IF($C1155&lt;&gt;0,SUMIF(куб!$C:$C,$C1155,куб!H:H),IF($B1155&lt;&gt;0,SUMIF(куб!$B:$B,$B1155,куб!H:H),IF($G1155&lt;&gt;0,SUMIF(куб!$A:$A,$G1155,куб!H:H),SUMIF(куб!$A:$A,$G1155,куб!H:H)))))))</f>
        <v>0</v>
      </c>
      <c r="I1155" s="27">
        <f>IF($G1155&lt;&gt;0,SUMIF(куб!$G:$G,$G1155,куб!I:I),IF($E1155&lt;&gt;0,SUMIF(куб!$E:$E,$E1155,куб!I:I),IF($D1155&lt;&gt;0,SUMIF(куб!$D:$D,$D1155,куб!I:I),IF($C1155&lt;&gt;0,SUMIF(куб!$C:$C,$C1155,куб!I:I),IF($B1155&lt;&gt;0,SUMIF(куб!$B:$B,$B1155,куб!I:I),IF($G1155&lt;&gt;0,SUMIF(куб!$A:$A,$G1155,куб!I:I),SUMIF(куб!$A:$A,$G1155,куб!I:I)))))))</f>
        <v>0</v>
      </c>
      <c r="J1155" s="19" t="str">
        <f t="shared" si="363"/>
        <v>-</v>
      </c>
      <c r="K1155" s="8"/>
      <c r="L1155" s="17">
        <f t="shared" si="364"/>
        <v>0</v>
      </c>
      <c r="M1155" s="17">
        <f t="shared" si="365"/>
        <v>0</v>
      </c>
      <c r="N1155" s="12">
        <f t="shared" si="366"/>
        <v>0</v>
      </c>
      <c r="O1155" s="5"/>
      <c r="P1155" s="27" t="b">
        <f>IF($G1155&lt;&gt;0,SUMIF(куб!$G:$G,$G1155,куб!J:J),IF($E1155&lt;&gt;0,SUMIF(куб!$E:$E,$E1155,куб!J:J),IF($D1155&lt;&gt;0,SUMIF(куб!$D:$D,$D1155,куб!J:J),IF($C1155&lt;&gt;0,SUMIF(куб!$C:$C,$C1155,куб!J:J),IF($B1155&lt;&gt;0,SUMIF(куб!$B:$B,$B1155,куб!J:J))))))</f>
        <v>0</v>
      </c>
      <c r="Q1155" s="27" t="b">
        <f>IF($G1155&lt;&gt;0,SUMIF(куб!$G:$G,$G1155,куб!K:K),IF($E1155&lt;&gt;0,SUMIF(куб!$E:$E,$E1155,куб!K:K),IF($D1155&lt;&gt;0,SUMIF(куб!$D:$D,$D1155,куб!K:K),IF($C1155&lt;&gt;0,SUMIF(куб!$C:$C,$C1155,куб!K:K),IF($B1155&lt;&gt;0,SUMIF(куб!$B:$B,$B1155,куб!K:K))))))</f>
        <v>0</v>
      </c>
      <c r="R1155" s="13" t="str">
        <f t="shared" si="367"/>
        <v>-</v>
      </c>
      <c r="S1155" s="5"/>
      <c r="T1155" s="27" t="b">
        <f>IF($G1155&lt;&gt;0,SUMIF(куб!$G:$G,$G1155,куб!L:L),IF($E1155&lt;&gt;0,SUMIF(куб!$E:$E,$E1155,куб!L:L),IF($D1155&lt;&gt;0,SUMIF(куб!$D:$D,$D1155,куб!L:L),IF($C1155&lt;&gt;0,SUMIF(куб!$C:$C,$C1155,куб!L:L),IF($B1155&lt;&gt;0,SUMIF(куб!$B:$B,$B1155,куб!L:L))))))</f>
        <v>0</v>
      </c>
      <c r="U1155" s="27" t="b">
        <f>IF($G1155&lt;&gt;0,SUMIF(куб!$G:$G,$G1155,куб!M:M),IF($E1155&lt;&gt;0,SUMIF(куб!$E:$E,$E1155,куб!M:M),IF($D1155&lt;&gt;0,SUMIF(куб!$D:$D,$D1155,куб!M:M),IF($C1155&lt;&gt;0,SUMIF(куб!$C:$C,$C1155,куб!M:M),IF($B1155&lt;&gt;0,SUMIF(куб!$B:$B,$B1155,куб!M:M))))))</f>
        <v>0</v>
      </c>
      <c r="V1155" s="13" t="str">
        <f t="shared" si="368"/>
        <v>-</v>
      </c>
      <c r="W1155" s="5"/>
      <c r="X1155" s="27" t="b">
        <f>IF($G1155&lt;&gt;0,SUMIF(куб!$G:$G,$G1155,куб!N:N),IF($E1155&lt;&gt;0,SUMIF(куб!$E:$E,$E1155,куб!N:N),IF($D1155&lt;&gt;0,SUMIF(куб!$D:$D,$D1155,куб!N:N),IF($C1155&lt;&gt;0,SUMIF(куб!$C:$C,$C1155,куб!N:N),IF($B1155&lt;&gt;0,SUMIF(куб!$B:$B,$B1155,куб!N:N))))))</f>
        <v>0</v>
      </c>
      <c r="Y1155" s="27" t="b">
        <f>IF($G1155&lt;&gt;0,SUMIF(куб!$G:$G,$G1155,куб!O:O),IF($E1155&lt;&gt;0,SUMIF(куб!$E:$E,$E1155,куб!O:O),IF($D1155&lt;&gt;0,SUMIF(куб!$D:$D,$D1155,куб!O:O),IF($C1155&lt;&gt;0,SUMIF(куб!$C:$C,$C1155,куб!O:O),IF($B1155&lt;&gt;0,SUMIF(куб!$B:$B,$B1155,куб!O:O))))))</f>
        <v>0</v>
      </c>
      <c r="Z1155" s="13" t="str">
        <f t="shared" si="369"/>
        <v>-</v>
      </c>
      <c r="AA1155" s="5"/>
      <c r="AB1155" s="33" t="str">
        <f t="shared" si="370"/>
        <v/>
      </c>
      <c r="AC1155" s="33" t="str">
        <f t="shared" si="371"/>
        <v/>
      </c>
      <c r="AD1155" s="15" t="str">
        <f t="shared" si="372"/>
        <v xml:space="preserve"> </v>
      </c>
      <c r="AE1155" s="5"/>
      <c r="AF1155" s="27" t="b">
        <f>IF($G1155&lt;&gt;0,SUMIF(куб!$G:$G,$G1155,куб!R:R),IF($E1155&lt;&gt;0,SUMIF(куб!$E:$E,$E1155,куб!R:R),IF($D1155&lt;&gt;0,SUMIF(куб!$D:$D,$D1155,куб!R:R),IF($C1155&lt;&gt;0,SUMIF(куб!$C:$C,$C1155,куб!R:R),IF($B1155&lt;&gt;0,SUMIF(куб!$B:$B,$B1155,куб!R:R))))))</f>
        <v>0</v>
      </c>
      <c r="AG1155" s="27" t="b">
        <f>IF($G1155&lt;&gt;0,SUMIF(куб!$G:$G,$G1155,куб!S:S),IF($E1155&lt;&gt;0,SUMIF(куб!$E:$E,$E1155,куб!S:S),IF($D1155&lt;&gt;0,SUMIF(куб!$D:$D,$D1155,куб!S:S),IF($C1155&lt;&gt;0,SUMIF(куб!$C:$C,$C1155,куб!S:S),IF($B1155&lt;&gt;0,SUMIF(куб!$B:$B,$B1155,куб!S:S))))))</f>
        <v>0</v>
      </c>
      <c r="AH1155" s="16" t="str">
        <f t="shared" si="373"/>
        <v>-</v>
      </c>
      <c r="AI1155" s="8"/>
      <c r="AJ1155" s="27" t="b">
        <f>IF($G1155&lt;&gt;0,SUMIF(куб!$G:$G,$G1155,куб!T:T),IF($E1155&lt;&gt;0,SUMIF(куб!$E:$E,$E1155,куб!T:T),IF($D1155&lt;&gt;0,SUMIF(куб!$D:$D,$D1155,куб!T:T),IF($C1155&lt;&gt;0,SUMIF(куб!$C:$C,$C1155,куб!T:T),IF($B1155&lt;&gt;0,SUMIF(куб!$B:$B,$B1155,куб!T:T))))))</f>
        <v>0</v>
      </c>
      <c r="AK1155" s="27" t="b">
        <f>IF($G1155&lt;&gt;0,SUMIF(куб!$G:$G,$G1155,куб!U:U),IF($E1155&lt;&gt;0,SUMIF(куб!$E:$E,$E1155,куб!U:U),IF($D1155&lt;&gt;0,SUMIF(куб!$D:$D,$D1155,куб!U:U),IF($C1155&lt;&gt;0,SUMIF(куб!$C:$C,$C1155,куб!U:U),IF($B1155&lt;&gt;0,SUMIF(куб!$B:$B,$B1155,куб!U:U))))))</f>
        <v>0</v>
      </c>
      <c r="AL1155" s="16" t="str">
        <f t="shared" si="374"/>
        <v>-</v>
      </c>
      <c r="AM1155" s="8"/>
      <c r="AN1155" s="17" t="str">
        <f t="shared" si="375"/>
        <v xml:space="preserve"> </v>
      </c>
      <c r="AO1155" s="17" t="str">
        <f t="shared" si="376"/>
        <v xml:space="preserve"> </v>
      </c>
      <c r="AP1155" s="16" t="str">
        <f t="shared" si="377"/>
        <v>-</v>
      </c>
      <c r="AQ1155" s="8"/>
      <c r="AR1155" s="17" t="str">
        <f t="shared" si="378"/>
        <v>-</v>
      </c>
      <c r="AS1155" s="17" t="str">
        <f t="shared" si="379"/>
        <v>-</v>
      </c>
      <c r="AT1155" s="13" t="str">
        <f t="shared" si="380"/>
        <v>-</v>
      </c>
      <c r="AU1155" s="8"/>
    </row>
    <row r="1156" spans="8:47" x14ac:dyDescent="0.25">
      <c r="H1156" s="27">
        <f>IF($G1156&lt;&gt;0,SUMIF(куб!$G:$G,$G1156,куб!H:H),IF($E1156&lt;&gt;0,SUMIF(куб!$E:$E,$E1156,куб!H:H),IF($D1156&lt;&gt;0,SUMIF(куб!$D:$D,$D1156,куб!H:H),IF($C1156&lt;&gt;0,SUMIF(куб!$C:$C,$C1156,куб!H:H),IF($B1156&lt;&gt;0,SUMIF(куб!$B:$B,$B1156,куб!H:H),IF($G1156&lt;&gt;0,SUMIF(куб!$A:$A,$G1156,куб!H:H),SUMIF(куб!$A:$A,$G1156,куб!H:H)))))))</f>
        <v>0</v>
      </c>
      <c r="I1156" s="27">
        <f>IF($G1156&lt;&gt;0,SUMIF(куб!$G:$G,$G1156,куб!I:I),IF($E1156&lt;&gt;0,SUMIF(куб!$E:$E,$E1156,куб!I:I),IF($D1156&lt;&gt;0,SUMIF(куб!$D:$D,$D1156,куб!I:I),IF($C1156&lt;&gt;0,SUMIF(куб!$C:$C,$C1156,куб!I:I),IF($B1156&lt;&gt;0,SUMIF(куб!$B:$B,$B1156,куб!I:I),IF($G1156&lt;&gt;0,SUMIF(куб!$A:$A,$G1156,куб!I:I),SUMIF(куб!$A:$A,$G1156,куб!I:I)))))))</f>
        <v>0</v>
      </c>
      <c r="J1156" s="19" t="str">
        <f t="shared" si="363"/>
        <v>-</v>
      </c>
      <c r="K1156" s="8"/>
      <c r="L1156" s="17">
        <f t="shared" si="364"/>
        <v>0</v>
      </c>
      <c r="M1156" s="17">
        <f t="shared" si="365"/>
        <v>0</v>
      </c>
      <c r="N1156" s="12">
        <f t="shared" si="366"/>
        <v>0</v>
      </c>
      <c r="O1156" s="5"/>
      <c r="P1156" s="27" t="b">
        <f>IF($G1156&lt;&gt;0,SUMIF(куб!$G:$G,$G1156,куб!J:J),IF($E1156&lt;&gt;0,SUMIF(куб!$E:$E,$E1156,куб!J:J),IF($D1156&lt;&gt;0,SUMIF(куб!$D:$D,$D1156,куб!J:J),IF($C1156&lt;&gt;0,SUMIF(куб!$C:$C,$C1156,куб!J:J),IF($B1156&lt;&gt;0,SUMIF(куб!$B:$B,$B1156,куб!J:J))))))</f>
        <v>0</v>
      </c>
      <c r="Q1156" s="27" t="b">
        <f>IF($G1156&lt;&gt;0,SUMIF(куб!$G:$G,$G1156,куб!K:K),IF($E1156&lt;&gt;0,SUMIF(куб!$E:$E,$E1156,куб!K:K),IF($D1156&lt;&gt;0,SUMIF(куб!$D:$D,$D1156,куб!K:K),IF($C1156&lt;&gt;0,SUMIF(куб!$C:$C,$C1156,куб!K:K),IF($B1156&lt;&gt;0,SUMIF(куб!$B:$B,$B1156,куб!K:K))))))</f>
        <v>0</v>
      </c>
      <c r="R1156" s="13" t="str">
        <f t="shared" si="367"/>
        <v>-</v>
      </c>
      <c r="S1156" s="5"/>
      <c r="T1156" s="27" t="b">
        <f>IF($G1156&lt;&gt;0,SUMIF(куб!$G:$G,$G1156,куб!L:L),IF($E1156&lt;&gt;0,SUMIF(куб!$E:$E,$E1156,куб!L:L),IF($D1156&lt;&gt;0,SUMIF(куб!$D:$D,$D1156,куб!L:L),IF($C1156&lt;&gt;0,SUMIF(куб!$C:$C,$C1156,куб!L:L),IF($B1156&lt;&gt;0,SUMIF(куб!$B:$B,$B1156,куб!L:L))))))</f>
        <v>0</v>
      </c>
      <c r="U1156" s="27" t="b">
        <f>IF($G1156&lt;&gt;0,SUMIF(куб!$G:$G,$G1156,куб!M:M),IF($E1156&lt;&gt;0,SUMIF(куб!$E:$E,$E1156,куб!M:M),IF($D1156&lt;&gt;0,SUMIF(куб!$D:$D,$D1156,куб!M:M),IF($C1156&lt;&gt;0,SUMIF(куб!$C:$C,$C1156,куб!M:M),IF($B1156&lt;&gt;0,SUMIF(куб!$B:$B,$B1156,куб!M:M))))))</f>
        <v>0</v>
      </c>
      <c r="V1156" s="13" t="str">
        <f t="shared" si="368"/>
        <v>-</v>
      </c>
      <c r="W1156" s="5"/>
      <c r="X1156" s="27" t="b">
        <f>IF($G1156&lt;&gt;0,SUMIF(куб!$G:$G,$G1156,куб!N:N),IF($E1156&lt;&gt;0,SUMIF(куб!$E:$E,$E1156,куб!N:N),IF($D1156&lt;&gt;0,SUMIF(куб!$D:$D,$D1156,куб!N:N),IF($C1156&lt;&gt;0,SUMIF(куб!$C:$C,$C1156,куб!N:N),IF($B1156&lt;&gt;0,SUMIF(куб!$B:$B,$B1156,куб!N:N))))))</f>
        <v>0</v>
      </c>
      <c r="Y1156" s="27" t="b">
        <f>IF($G1156&lt;&gt;0,SUMIF(куб!$G:$G,$G1156,куб!O:O),IF($E1156&lt;&gt;0,SUMIF(куб!$E:$E,$E1156,куб!O:O),IF($D1156&lt;&gt;0,SUMIF(куб!$D:$D,$D1156,куб!O:O),IF($C1156&lt;&gt;0,SUMIF(куб!$C:$C,$C1156,куб!O:O),IF($B1156&lt;&gt;0,SUMIF(куб!$B:$B,$B1156,куб!O:O))))))</f>
        <v>0</v>
      </c>
      <c r="Z1156" s="13" t="str">
        <f t="shared" si="369"/>
        <v>-</v>
      </c>
      <c r="AA1156" s="5"/>
      <c r="AB1156" s="33" t="str">
        <f t="shared" si="370"/>
        <v/>
      </c>
      <c r="AC1156" s="33" t="str">
        <f t="shared" si="371"/>
        <v/>
      </c>
      <c r="AD1156" s="15" t="str">
        <f t="shared" si="372"/>
        <v xml:space="preserve"> </v>
      </c>
      <c r="AE1156" s="5"/>
      <c r="AF1156" s="27" t="b">
        <f>IF($G1156&lt;&gt;0,SUMIF(куб!$G:$G,$G1156,куб!R:R),IF($E1156&lt;&gt;0,SUMIF(куб!$E:$E,$E1156,куб!R:R),IF($D1156&lt;&gt;0,SUMIF(куб!$D:$D,$D1156,куб!R:R),IF($C1156&lt;&gt;0,SUMIF(куб!$C:$C,$C1156,куб!R:R),IF($B1156&lt;&gt;0,SUMIF(куб!$B:$B,$B1156,куб!R:R))))))</f>
        <v>0</v>
      </c>
      <c r="AG1156" s="27" t="b">
        <f>IF($G1156&lt;&gt;0,SUMIF(куб!$G:$G,$G1156,куб!S:S),IF($E1156&lt;&gt;0,SUMIF(куб!$E:$E,$E1156,куб!S:S),IF($D1156&lt;&gt;0,SUMIF(куб!$D:$D,$D1156,куб!S:S),IF($C1156&lt;&gt;0,SUMIF(куб!$C:$C,$C1156,куб!S:S),IF($B1156&lt;&gt;0,SUMIF(куб!$B:$B,$B1156,куб!S:S))))))</f>
        <v>0</v>
      </c>
      <c r="AH1156" s="16" t="str">
        <f t="shared" si="373"/>
        <v>-</v>
      </c>
      <c r="AI1156" s="8"/>
      <c r="AJ1156" s="27" t="b">
        <f>IF($G1156&lt;&gt;0,SUMIF(куб!$G:$G,$G1156,куб!T:T),IF($E1156&lt;&gt;0,SUMIF(куб!$E:$E,$E1156,куб!T:T),IF($D1156&lt;&gt;0,SUMIF(куб!$D:$D,$D1156,куб!T:T),IF($C1156&lt;&gt;0,SUMIF(куб!$C:$C,$C1156,куб!T:T),IF($B1156&lt;&gt;0,SUMIF(куб!$B:$B,$B1156,куб!T:T))))))</f>
        <v>0</v>
      </c>
      <c r="AK1156" s="27" t="b">
        <f>IF($G1156&lt;&gt;0,SUMIF(куб!$G:$G,$G1156,куб!U:U),IF($E1156&lt;&gt;0,SUMIF(куб!$E:$E,$E1156,куб!U:U),IF($D1156&lt;&gt;0,SUMIF(куб!$D:$D,$D1156,куб!U:U),IF($C1156&lt;&gt;0,SUMIF(куб!$C:$C,$C1156,куб!U:U),IF($B1156&lt;&gt;0,SUMIF(куб!$B:$B,$B1156,куб!U:U))))))</f>
        <v>0</v>
      </c>
      <c r="AL1156" s="16" t="str">
        <f t="shared" si="374"/>
        <v>-</v>
      </c>
      <c r="AM1156" s="8"/>
      <c r="AN1156" s="17" t="str">
        <f t="shared" si="375"/>
        <v xml:space="preserve"> </v>
      </c>
      <c r="AO1156" s="17" t="str">
        <f t="shared" si="376"/>
        <v xml:space="preserve"> </v>
      </c>
      <c r="AP1156" s="16" t="str">
        <f t="shared" si="377"/>
        <v>-</v>
      </c>
      <c r="AQ1156" s="8"/>
      <c r="AR1156" s="17" t="str">
        <f t="shared" si="378"/>
        <v>-</v>
      </c>
      <c r="AS1156" s="17" t="str">
        <f t="shared" si="379"/>
        <v>-</v>
      </c>
      <c r="AT1156" s="13" t="str">
        <f t="shared" si="380"/>
        <v>-</v>
      </c>
      <c r="AU1156" s="8"/>
    </row>
    <row r="1157" spans="8:47" x14ac:dyDescent="0.25">
      <c r="H1157" s="27">
        <f>IF($G1157&lt;&gt;0,SUMIF(куб!$G:$G,$G1157,куб!H:H),IF($E1157&lt;&gt;0,SUMIF(куб!$E:$E,$E1157,куб!H:H),IF($D1157&lt;&gt;0,SUMIF(куб!$D:$D,$D1157,куб!H:H),IF($C1157&lt;&gt;0,SUMIF(куб!$C:$C,$C1157,куб!H:H),IF($B1157&lt;&gt;0,SUMIF(куб!$B:$B,$B1157,куб!H:H),IF($G1157&lt;&gt;0,SUMIF(куб!$A:$A,$G1157,куб!H:H),SUMIF(куб!$A:$A,$G1157,куб!H:H)))))))</f>
        <v>0</v>
      </c>
      <c r="I1157" s="27">
        <f>IF($G1157&lt;&gt;0,SUMIF(куб!$G:$G,$G1157,куб!I:I),IF($E1157&lt;&gt;0,SUMIF(куб!$E:$E,$E1157,куб!I:I),IF($D1157&lt;&gt;0,SUMIF(куб!$D:$D,$D1157,куб!I:I),IF($C1157&lt;&gt;0,SUMIF(куб!$C:$C,$C1157,куб!I:I),IF($B1157&lt;&gt;0,SUMIF(куб!$B:$B,$B1157,куб!I:I),IF($G1157&lt;&gt;0,SUMIF(куб!$A:$A,$G1157,куб!I:I),SUMIF(куб!$A:$A,$G1157,куб!I:I)))))))</f>
        <v>0</v>
      </c>
      <c r="J1157" s="19" t="str">
        <f t="shared" si="363"/>
        <v>-</v>
      </c>
      <c r="K1157" s="8"/>
      <c r="L1157" s="17">
        <f t="shared" si="364"/>
        <v>0</v>
      </c>
      <c r="M1157" s="17">
        <f t="shared" si="365"/>
        <v>0</v>
      </c>
      <c r="N1157" s="12">
        <f t="shared" si="366"/>
        <v>0</v>
      </c>
      <c r="O1157" s="5"/>
      <c r="P1157" s="27" t="b">
        <f>IF($G1157&lt;&gt;0,SUMIF(куб!$G:$G,$G1157,куб!J:J),IF($E1157&lt;&gt;0,SUMIF(куб!$E:$E,$E1157,куб!J:J),IF($D1157&lt;&gt;0,SUMIF(куб!$D:$D,$D1157,куб!J:J),IF($C1157&lt;&gt;0,SUMIF(куб!$C:$C,$C1157,куб!J:J),IF($B1157&lt;&gt;0,SUMIF(куб!$B:$B,$B1157,куб!J:J))))))</f>
        <v>0</v>
      </c>
      <c r="Q1157" s="27" t="b">
        <f>IF($G1157&lt;&gt;0,SUMIF(куб!$G:$G,$G1157,куб!K:K),IF($E1157&lt;&gt;0,SUMIF(куб!$E:$E,$E1157,куб!K:K),IF($D1157&lt;&gt;0,SUMIF(куб!$D:$D,$D1157,куб!K:K),IF($C1157&lt;&gt;0,SUMIF(куб!$C:$C,$C1157,куб!K:K),IF($B1157&lt;&gt;0,SUMIF(куб!$B:$B,$B1157,куб!K:K))))))</f>
        <v>0</v>
      </c>
      <c r="R1157" s="13" t="str">
        <f t="shared" si="367"/>
        <v>-</v>
      </c>
      <c r="S1157" s="5"/>
      <c r="T1157" s="27" t="b">
        <f>IF($G1157&lt;&gt;0,SUMIF(куб!$G:$G,$G1157,куб!L:L),IF($E1157&lt;&gt;0,SUMIF(куб!$E:$E,$E1157,куб!L:L),IF($D1157&lt;&gt;0,SUMIF(куб!$D:$D,$D1157,куб!L:L),IF($C1157&lt;&gt;0,SUMIF(куб!$C:$C,$C1157,куб!L:L),IF($B1157&lt;&gt;0,SUMIF(куб!$B:$B,$B1157,куб!L:L))))))</f>
        <v>0</v>
      </c>
      <c r="U1157" s="27" t="b">
        <f>IF($G1157&lt;&gt;0,SUMIF(куб!$G:$G,$G1157,куб!M:M),IF($E1157&lt;&gt;0,SUMIF(куб!$E:$E,$E1157,куб!M:M),IF($D1157&lt;&gt;0,SUMIF(куб!$D:$D,$D1157,куб!M:M),IF($C1157&lt;&gt;0,SUMIF(куб!$C:$C,$C1157,куб!M:M),IF($B1157&lt;&gt;0,SUMIF(куб!$B:$B,$B1157,куб!M:M))))))</f>
        <v>0</v>
      </c>
      <c r="V1157" s="13" t="str">
        <f t="shared" si="368"/>
        <v>-</v>
      </c>
      <c r="W1157" s="5"/>
      <c r="X1157" s="27" t="b">
        <f>IF($G1157&lt;&gt;0,SUMIF(куб!$G:$G,$G1157,куб!N:N),IF($E1157&lt;&gt;0,SUMIF(куб!$E:$E,$E1157,куб!N:N),IF($D1157&lt;&gt;0,SUMIF(куб!$D:$D,$D1157,куб!N:N),IF($C1157&lt;&gt;0,SUMIF(куб!$C:$C,$C1157,куб!N:N),IF($B1157&lt;&gt;0,SUMIF(куб!$B:$B,$B1157,куб!N:N))))))</f>
        <v>0</v>
      </c>
      <c r="Y1157" s="27" t="b">
        <f>IF($G1157&lt;&gt;0,SUMIF(куб!$G:$G,$G1157,куб!O:O),IF($E1157&lt;&gt;0,SUMIF(куб!$E:$E,$E1157,куб!O:O),IF($D1157&lt;&gt;0,SUMIF(куб!$D:$D,$D1157,куб!O:O),IF($C1157&lt;&gt;0,SUMIF(куб!$C:$C,$C1157,куб!O:O),IF($B1157&lt;&gt;0,SUMIF(куб!$B:$B,$B1157,куб!O:O))))))</f>
        <v>0</v>
      </c>
      <c r="Z1157" s="13" t="str">
        <f t="shared" si="369"/>
        <v>-</v>
      </c>
      <c r="AA1157" s="5"/>
      <c r="AB1157" s="33" t="str">
        <f t="shared" si="370"/>
        <v/>
      </c>
      <c r="AC1157" s="33" t="str">
        <f t="shared" si="371"/>
        <v/>
      </c>
      <c r="AD1157" s="15" t="str">
        <f t="shared" si="372"/>
        <v xml:space="preserve"> </v>
      </c>
      <c r="AE1157" s="5"/>
      <c r="AF1157" s="27" t="b">
        <f>IF($G1157&lt;&gt;0,SUMIF(куб!$G:$G,$G1157,куб!R:R),IF($E1157&lt;&gt;0,SUMIF(куб!$E:$E,$E1157,куб!R:R),IF($D1157&lt;&gt;0,SUMIF(куб!$D:$D,$D1157,куб!R:R),IF($C1157&lt;&gt;0,SUMIF(куб!$C:$C,$C1157,куб!R:R),IF($B1157&lt;&gt;0,SUMIF(куб!$B:$B,$B1157,куб!R:R))))))</f>
        <v>0</v>
      </c>
      <c r="AG1157" s="27" t="b">
        <f>IF($G1157&lt;&gt;0,SUMIF(куб!$G:$G,$G1157,куб!S:S),IF($E1157&lt;&gt;0,SUMIF(куб!$E:$E,$E1157,куб!S:S),IF($D1157&lt;&gt;0,SUMIF(куб!$D:$D,$D1157,куб!S:S),IF($C1157&lt;&gt;0,SUMIF(куб!$C:$C,$C1157,куб!S:S),IF($B1157&lt;&gt;0,SUMIF(куб!$B:$B,$B1157,куб!S:S))))))</f>
        <v>0</v>
      </c>
      <c r="AH1157" s="16" t="str">
        <f t="shared" si="373"/>
        <v>-</v>
      </c>
      <c r="AI1157" s="8"/>
      <c r="AJ1157" s="27" t="b">
        <f>IF($G1157&lt;&gt;0,SUMIF(куб!$G:$G,$G1157,куб!T:T),IF($E1157&lt;&gt;0,SUMIF(куб!$E:$E,$E1157,куб!T:T),IF($D1157&lt;&gt;0,SUMIF(куб!$D:$D,$D1157,куб!T:T),IF($C1157&lt;&gt;0,SUMIF(куб!$C:$C,$C1157,куб!T:T),IF($B1157&lt;&gt;0,SUMIF(куб!$B:$B,$B1157,куб!T:T))))))</f>
        <v>0</v>
      </c>
      <c r="AK1157" s="27" t="b">
        <f>IF($G1157&lt;&gt;0,SUMIF(куб!$G:$G,$G1157,куб!U:U),IF($E1157&lt;&gt;0,SUMIF(куб!$E:$E,$E1157,куб!U:U),IF($D1157&lt;&gt;0,SUMIF(куб!$D:$D,$D1157,куб!U:U),IF($C1157&lt;&gt;0,SUMIF(куб!$C:$C,$C1157,куб!U:U),IF($B1157&lt;&gt;0,SUMIF(куб!$B:$B,$B1157,куб!U:U))))))</f>
        <v>0</v>
      </c>
      <c r="AL1157" s="16" t="str">
        <f t="shared" si="374"/>
        <v>-</v>
      </c>
      <c r="AM1157" s="8"/>
      <c r="AN1157" s="17" t="str">
        <f t="shared" si="375"/>
        <v xml:space="preserve"> </v>
      </c>
      <c r="AO1157" s="17" t="str">
        <f t="shared" si="376"/>
        <v xml:space="preserve"> </v>
      </c>
      <c r="AP1157" s="16" t="str">
        <f t="shared" si="377"/>
        <v>-</v>
      </c>
      <c r="AQ1157" s="8"/>
      <c r="AR1157" s="17" t="str">
        <f t="shared" si="378"/>
        <v>-</v>
      </c>
      <c r="AS1157" s="17" t="str">
        <f t="shared" si="379"/>
        <v>-</v>
      </c>
      <c r="AT1157" s="13" t="str">
        <f t="shared" si="380"/>
        <v>-</v>
      </c>
      <c r="AU1157" s="8"/>
    </row>
    <row r="1158" spans="8:47" x14ac:dyDescent="0.25">
      <c r="H1158" s="27">
        <f>IF($G1158&lt;&gt;0,SUMIF(куб!$G:$G,$G1158,куб!H:H),IF($E1158&lt;&gt;0,SUMIF(куб!$E:$E,$E1158,куб!H:H),IF($D1158&lt;&gt;0,SUMIF(куб!$D:$D,$D1158,куб!H:H),IF($C1158&lt;&gt;0,SUMIF(куб!$C:$C,$C1158,куб!H:H),IF($B1158&lt;&gt;0,SUMIF(куб!$B:$B,$B1158,куб!H:H),IF($G1158&lt;&gt;0,SUMIF(куб!$A:$A,$G1158,куб!H:H),SUMIF(куб!$A:$A,$G1158,куб!H:H)))))))</f>
        <v>0</v>
      </c>
      <c r="I1158" s="27">
        <f>IF($G1158&lt;&gt;0,SUMIF(куб!$G:$G,$G1158,куб!I:I),IF($E1158&lt;&gt;0,SUMIF(куб!$E:$E,$E1158,куб!I:I),IF($D1158&lt;&gt;0,SUMIF(куб!$D:$D,$D1158,куб!I:I),IF($C1158&lt;&gt;0,SUMIF(куб!$C:$C,$C1158,куб!I:I),IF($B1158&lt;&gt;0,SUMIF(куб!$B:$B,$B1158,куб!I:I),IF($G1158&lt;&gt;0,SUMIF(куб!$A:$A,$G1158,куб!I:I),SUMIF(куб!$A:$A,$G1158,куб!I:I)))))))</f>
        <v>0</v>
      </c>
      <c r="J1158" s="19" t="str">
        <f t="shared" si="363"/>
        <v>-</v>
      </c>
      <c r="K1158" s="8"/>
      <c r="L1158" s="17">
        <f t="shared" si="364"/>
        <v>0</v>
      </c>
      <c r="M1158" s="17">
        <f t="shared" si="365"/>
        <v>0</v>
      </c>
      <c r="N1158" s="12">
        <f t="shared" si="366"/>
        <v>0</v>
      </c>
      <c r="O1158" s="5"/>
      <c r="P1158" s="27" t="b">
        <f>IF($G1158&lt;&gt;0,SUMIF(куб!$G:$G,$G1158,куб!J:J),IF($E1158&lt;&gt;0,SUMIF(куб!$E:$E,$E1158,куб!J:J),IF($D1158&lt;&gt;0,SUMIF(куб!$D:$D,$D1158,куб!J:J),IF($C1158&lt;&gt;0,SUMIF(куб!$C:$C,$C1158,куб!J:J),IF($B1158&lt;&gt;0,SUMIF(куб!$B:$B,$B1158,куб!J:J))))))</f>
        <v>0</v>
      </c>
      <c r="Q1158" s="27" t="b">
        <f>IF($G1158&lt;&gt;0,SUMIF(куб!$G:$G,$G1158,куб!K:K),IF($E1158&lt;&gt;0,SUMIF(куб!$E:$E,$E1158,куб!K:K),IF($D1158&lt;&gt;0,SUMIF(куб!$D:$D,$D1158,куб!K:K),IF($C1158&lt;&gt;0,SUMIF(куб!$C:$C,$C1158,куб!K:K),IF($B1158&lt;&gt;0,SUMIF(куб!$B:$B,$B1158,куб!K:K))))))</f>
        <v>0</v>
      </c>
      <c r="R1158" s="13" t="str">
        <f t="shared" si="367"/>
        <v>-</v>
      </c>
      <c r="S1158" s="5"/>
      <c r="T1158" s="27" t="b">
        <f>IF($G1158&lt;&gt;0,SUMIF(куб!$G:$G,$G1158,куб!L:L),IF($E1158&lt;&gt;0,SUMIF(куб!$E:$E,$E1158,куб!L:L),IF($D1158&lt;&gt;0,SUMIF(куб!$D:$D,$D1158,куб!L:L),IF($C1158&lt;&gt;0,SUMIF(куб!$C:$C,$C1158,куб!L:L),IF($B1158&lt;&gt;0,SUMIF(куб!$B:$B,$B1158,куб!L:L))))))</f>
        <v>0</v>
      </c>
      <c r="U1158" s="27" t="b">
        <f>IF($G1158&lt;&gt;0,SUMIF(куб!$G:$G,$G1158,куб!M:M),IF($E1158&lt;&gt;0,SUMIF(куб!$E:$E,$E1158,куб!M:M),IF($D1158&lt;&gt;0,SUMIF(куб!$D:$D,$D1158,куб!M:M),IF($C1158&lt;&gt;0,SUMIF(куб!$C:$C,$C1158,куб!M:M),IF($B1158&lt;&gt;0,SUMIF(куб!$B:$B,$B1158,куб!M:M))))))</f>
        <v>0</v>
      </c>
      <c r="V1158" s="13" t="str">
        <f t="shared" si="368"/>
        <v>-</v>
      </c>
      <c r="W1158" s="5"/>
      <c r="X1158" s="27" t="b">
        <f>IF($G1158&lt;&gt;0,SUMIF(куб!$G:$G,$G1158,куб!N:N),IF($E1158&lt;&gt;0,SUMIF(куб!$E:$E,$E1158,куб!N:N),IF($D1158&lt;&gt;0,SUMIF(куб!$D:$D,$D1158,куб!N:N),IF($C1158&lt;&gt;0,SUMIF(куб!$C:$C,$C1158,куб!N:N),IF($B1158&lt;&gt;0,SUMIF(куб!$B:$B,$B1158,куб!N:N))))))</f>
        <v>0</v>
      </c>
      <c r="Y1158" s="27" t="b">
        <f>IF($G1158&lt;&gt;0,SUMIF(куб!$G:$G,$G1158,куб!O:O),IF($E1158&lt;&gt;0,SUMIF(куб!$E:$E,$E1158,куб!O:O),IF($D1158&lt;&gt;0,SUMIF(куб!$D:$D,$D1158,куб!O:O),IF($C1158&lt;&gt;0,SUMIF(куб!$C:$C,$C1158,куб!O:O),IF($B1158&lt;&gt;0,SUMIF(куб!$B:$B,$B1158,куб!O:O))))))</f>
        <v>0</v>
      </c>
      <c r="Z1158" s="13" t="str">
        <f t="shared" si="369"/>
        <v>-</v>
      </c>
      <c r="AA1158" s="5"/>
      <c r="AB1158" s="33" t="str">
        <f t="shared" si="370"/>
        <v/>
      </c>
      <c r="AC1158" s="33" t="str">
        <f t="shared" si="371"/>
        <v/>
      </c>
      <c r="AD1158" s="15" t="str">
        <f t="shared" si="372"/>
        <v xml:space="preserve"> </v>
      </c>
      <c r="AE1158" s="5"/>
      <c r="AF1158" s="27" t="b">
        <f>IF($G1158&lt;&gt;0,SUMIF(куб!$G:$G,$G1158,куб!R:R),IF($E1158&lt;&gt;0,SUMIF(куб!$E:$E,$E1158,куб!R:R),IF($D1158&lt;&gt;0,SUMIF(куб!$D:$D,$D1158,куб!R:R),IF($C1158&lt;&gt;0,SUMIF(куб!$C:$C,$C1158,куб!R:R),IF($B1158&lt;&gt;0,SUMIF(куб!$B:$B,$B1158,куб!R:R))))))</f>
        <v>0</v>
      </c>
      <c r="AG1158" s="27" t="b">
        <f>IF($G1158&lt;&gt;0,SUMIF(куб!$G:$G,$G1158,куб!S:S),IF($E1158&lt;&gt;0,SUMIF(куб!$E:$E,$E1158,куб!S:S),IF($D1158&lt;&gt;0,SUMIF(куб!$D:$D,$D1158,куб!S:S),IF($C1158&lt;&gt;0,SUMIF(куб!$C:$C,$C1158,куб!S:S),IF($B1158&lt;&gt;0,SUMIF(куб!$B:$B,$B1158,куб!S:S))))))</f>
        <v>0</v>
      </c>
      <c r="AH1158" s="16" t="str">
        <f t="shared" si="373"/>
        <v>-</v>
      </c>
      <c r="AI1158" s="8"/>
      <c r="AJ1158" s="27" t="b">
        <f>IF($G1158&lt;&gt;0,SUMIF(куб!$G:$G,$G1158,куб!T:T),IF($E1158&lt;&gt;0,SUMIF(куб!$E:$E,$E1158,куб!T:T),IF($D1158&lt;&gt;0,SUMIF(куб!$D:$D,$D1158,куб!T:T),IF($C1158&lt;&gt;0,SUMIF(куб!$C:$C,$C1158,куб!T:T),IF($B1158&lt;&gt;0,SUMIF(куб!$B:$B,$B1158,куб!T:T))))))</f>
        <v>0</v>
      </c>
      <c r="AK1158" s="27" t="b">
        <f>IF($G1158&lt;&gt;0,SUMIF(куб!$G:$G,$G1158,куб!U:U),IF($E1158&lt;&gt;0,SUMIF(куб!$E:$E,$E1158,куб!U:U),IF($D1158&lt;&gt;0,SUMIF(куб!$D:$D,$D1158,куб!U:U),IF($C1158&lt;&gt;0,SUMIF(куб!$C:$C,$C1158,куб!U:U),IF($B1158&lt;&gt;0,SUMIF(куб!$B:$B,$B1158,куб!U:U))))))</f>
        <v>0</v>
      </c>
      <c r="AL1158" s="16" t="str">
        <f t="shared" si="374"/>
        <v>-</v>
      </c>
      <c r="AM1158" s="8"/>
      <c r="AN1158" s="17" t="str">
        <f t="shared" si="375"/>
        <v xml:space="preserve"> </v>
      </c>
      <c r="AO1158" s="17" t="str">
        <f t="shared" si="376"/>
        <v xml:space="preserve"> </v>
      </c>
      <c r="AP1158" s="16" t="str">
        <f t="shared" si="377"/>
        <v>-</v>
      </c>
      <c r="AQ1158" s="8"/>
      <c r="AR1158" s="17" t="str">
        <f t="shared" si="378"/>
        <v>-</v>
      </c>
      <c r="AS1158" s="17" t="str">
        <f t="shared" si="379"/>
        <v>-</v>
      </c>
      <c r="AT1158" s="13" t="str">
        <f t="shared" si="380"/>
        <v>-</v>
      </c>
      <c r="AU1158" s="8"/>
    </row>
    <row r="1159" spans="8:47" x14ac:dyDescent="0.25">
      <c r="H1159" s="27">
        <f>IF($G1159&lt;&gt;0,SUMIF(куб!$G:$G,$G1159,куб!H:H),IF($E1159&lt;&gt;0,SUMIF(куб!$E:$E,$E1159,куб!H:H),IF($D1159&lt;&gt;0,SUMIF(куб!$D:$D,$D1159,куб!H:H),IF($C1159&lt;&gt;0,SUMIF(куб!$C:$C,$C1159,куб!H:H),IF($B1159&lt;&gt;0,SUMIF(куб!$B:$B,$B1159,куб!H:H),IF($G1159&lt;&gt;0,SUMIF(куб!$A:$A,$G1159,куб!H:H),SUMIF(куб!$A:$A,$G1159,куб!H:H)))))))</f>
        <v>0</v>
      </c>
      <c r="I1159" s="27">
        <f>IF($G1159&lt;&gt;0,SUMIF(куб!$G:$G,$G1159,куб!I:I),IF($E1159&lt;&gt;0,SUMIF(куб!$E:$E,$E1159,куб!I:I),IF($D1159&lt;&gt;0,SUMIF(куб!$D:$D,$D1159,куб!I:I),IF($C1159&lt;&gt;0,SUMIF(куб!$C:$C,$C1159,куб!I:I),IF($B1159&lt;&gt;0,SUMIF(куб!$B:$B,$B1159,куб!I:I),IF($G1159&lt;&gt;0,SUMIF(куб!$A:$A,$G1159,куб!I:I),SUMIF(куб!$A:$A,$G1159,куб!I:I)))))))</f>
        <v>0</v>
      </c>
      <c r="J1159" s="19" t="str">
        <f t="shared" si="363"/>
        <v>-</v>
      </c>
      <c r="K1159" s="8"/>
      <c r="L1159" s="17">
        <f t="shared" si="364"/>
        <v>0</v>
      </c>
      <c r="M1159" s="17">
        <f t="shared" si="365"/>
        <v>0</v>
      </c>
      <c r="N1159" s="12">
        <f t="shared" si="366"/>
        <v>0</v>
      </c>
      <c r="O1159" s="5"/>
      <c r="P1159" s="27" t="b">
        <f>IF($G1159&lt;&gt;0,SUMIF(куб!$G:$G,$G1159,куб!J:J),IF($E1159&lt;&gt;0,SUMIF(куб!$E:$E,$E1159,куб!J:J),IF($D1159&lt;&gt;0,SUMIF(куб!$D:$D,$D1159,куб!J:J),IF($C1159&lt;&gt;0,SUMIF(куб!$C:$C,$C1159,куб!J:J),IF($B1159&lt;&gt;0,SUMIF(куб!$B:$B,$B1159,куб!J:J))))))</f>
        <v>0</v>
      </c>
      <c r="Q1159" s="27" t="b">
        <f>IF($G1159&lt;&gt;0,SUMIF(куб!$G:$G,$G1159,куб!K:K),IF($E1159&lt;&gt;0,SUMIF(куб!$E:$E,$E1159,куб!K:K),IF($D1159&lt;&gt;0,SUMIF(куб!$D:$D,$D1159,куб!K:K),IF($C1159&lt;&gt;0,SUMIF(куб!$C:$C,$C1159,куб!K:K),IF($B1159&lt;&gt;0,SUMIF(куб!$B:$B,$B1159,куб!K:K))))))</f>
        <v>0</v>
      </c>
      <c r="R1159" s="13" t="str">
        <f t="shared" si="367"/>
        <v>-</v>
      </c>
      <c r="S1159" s="5"/>
      <c r="T1159" s="27" t="b">
        <f>IF($G1159&lt;&gt;0,SUMIF(куб!$G:$G,$G1159,куб!L:L),IF($E1159&lt;&gt;0,SUMIF(куб!$E:$E,$E1159,куб!L:L),IF($D1159&lt;&gt;0,SUMIF(куб!$D:$D,$D1159,куб!L:L),IF($C1159&lt;&gt;0,SUMIF(куб!$C:$C,$C1159,куб!L:L),IF($B1159&lt;&gt;0,SUMIF(куб!$B:$B,$B1159,куб!L:L))))))</f>
        <v>0</v>
      </c>
      <c r="U1159" s="27" t="b">
        <f>IF($G1159&lt;&gt;0,SUMIF(куб!$G:$G,$G1159,куб!M:M),IF($E1159&lt;&gt;0,SUMIF(куб!$E:$E,$E1159,куб!M:M),IF($D1159&lt;&gt;0,SUMIF(куб!$D:$D,$D1159,куб!M:M),IF($C1159&lt;&gt;0,SUMIF(куб!$C:$C,$C1159,куб!M:M),IF($B1159&lt;&gt;0,SUMIF(куб!$B:$B,$B1159,куб!M:M))))))</f>
        <v>0</v>
      </c>
      <c r="V1159" s="13" t="str">
        <f t="shared" si="368"/>
        <v>-</v>
      </c>
      <c r="W1159" s="5"/>
      <c r="X1159" s="27" t="b">
        <f>IF($G1159&lt;&gt;0,SUMIF(куб!$G:$G,$G1159,куб!N:N),IF($E1159&lt;&gt;0,SUMIF(куб!$E:$E,$E1159,куб!N:N),IF($D1159&lt;&gt;0,SUMIF(куб!$D:$D,$D1159,куб!N:N),IF($C1159&lt;&gt;0,SUMIF(куб!$C:$C,$C1159,куб!N:N),IF($B1159&lt;&gt;0,SUMIF(куб!$B:$B,$B1159,куб!N:N))))))</f>
        <v>0</v>
      </c>
      <c r="Y1159" s="27" t="b">
        <f>IF($G1159&lt;&gt;0,SUMIF(куб!$G:$G,$G1159,куб!O:O),IF($E1159&lt;&gt;0,SUMIF(куб!$E:$E,$E1159,куб!O:O),IF($D1159&lt;&gt;0,SUMIF(куб!$D:$D,$D1159,куб!O:O),IF($C1159&lt;&gt;0,SUMIF(куб!$C:$C,$C1159,куб!O:O),IF($B1159&lt;&gt;0,SUMIF(куб!$B:$B,$B1159,куб!O:O))))))</f>
        <v>0</v>
      </c>
      <c r="Z1159" s="13" t="str">
        <f t="shared" si="369"/>
        <v>-</v>
      </c>
      <c r="AA1159" s="5"/>
      <c r="AB1159" s="33" t="str">
        <f t="shared" si="370"/>
        <v/>
      </c>
      <c r="AC1159" s="33" t="str">
        <f t="shared" si="371"/>
        <v/>
      </c>
      <c r="AD1159" s="15" t="str">
        <f t="shared" si="372"/>
        <v xml:space="preserve"> </v>
      </c>
      <c r="AE1159" s="5"/>
      <c r="AF1159" s="27" t="b">
        <f>IF($G1159&lt;&gt;0,SUMIF(куб!$G:$G,$G1159,куб!R:R),IF($E1159&lt;&gt;0,SUMIF(куб!$E:$E,$E1159,куб!R:R),IF($D1159&lt;&gt;0,SUMIF(куб!$D:$D,$D1159,куб!R:R),IF($C1159&lt;&gt;0,SUMIF(куб!$C:$C,$C1159,куб!R:R),IF($B1159&lt;&gt;0,SUMIF(куб!$B:$B,$B1159,куб!R:R))))))</f>
        <v>0</v>
      </c>
      <c r="AG1159" s="27" t="b">
        <f>IF($G1159&lt;&gt;0,SUMIF(куб!$G:$G,$G1159,куб!S:S),IF($E1159&lt;&gt;0,SUMIF(куб!$E:$E,$E1159,куб!S:S),IF($D1159&lt;&gt;0,SUMIF(куб!$D:$D,$D1159,куб!S:S),IF($C1159&lt;&gt;0,SUMIF(куб!$C:$C,$C1159,куб!S:S),IF($B1159&lt;&gt;0,SUMIF(куб!$B:$B,$B1159,куб!S:S))))))</f>
        <v>0</v>
      </c>
      <c r="AH1159" s="16" t="str">
        <f t="shared" si="373"/>
        <v>-</v>
      </c>
      <c r="AI1159" s="8"/>
      <c r="AJ1159" s="27" t="b">
        <f>IF($G1159&lt;&gt;0,SUMIF(куб!$G:$G,$G1159,куб!T:T),IF($E1159&lt;&gt;0,SUMIF(куб!$E:$E,$E1159,куб!T:T),IF($D1159&lt;&gt;0,SUMIF(куб!$D:$D,$D1159,куб!T:T),IF($C1159&lt;&gt;0,SUMIF(куб!$C:$C,$C1159,куб!T:T),IF($B1159&lt;&gt;0,SUMIF(куб!$B:$B,$B1159,куб!T:T))))))</f>
        <v>0</v>
      </c>
      <c r="AK1159" s="27" t="b">
        <f>IF($G1159&lt;&gt;0,SUMIF(куб!$G:$G,$G1159,куб!U:U),IF($E1159&lt;&gt;0,SUMIF(куб!$E:$E,$E1159,куб!U:U),IF($D1159&lt;&gt;0,SUMIF(куб!$D:$D,$D1159,куб!U:U),IF($C1159&lt;&gt;0,SUMIF(куб!$C:$C,$C1159,куб!U:U),IF($B1159&lt;&gt;0,SUMIF(куб!$B:$B,$B1159,куб!U:U))))))</f>
        <v>0</v>
      </c>
      <c r="AL1159" s="16" t="str">
        <f t="shared" si="374"/>
        <v>-</v>
      </c>
      <c r="AM1159" s="8"/>
      <c r="AN1159" s="17" t="str">
        <f t="shared" si="375"/>
        <v xml:space="preserve"> </v>
      </c>
      <c r="AO1159" s="17" t="str">
        <f t="shared" si="376"/>
        <v xml:space="preserve"> </v>
      </c>
      <c r="AP1159" s="16" t="str">
        <f t="shared" si="377"/>
        <v>-</v>
      </c>
      <c r="AQ1159" s="8"/>
      <c r="AR1159" s="17" t="str">
        <f t="shared" si="378"/>
        <v>-</v>
      </c>
      <c r="AS1159" s="17" t="str">
        <f t="shared" si="379"/>
        <v>-</v>
      </c>
      <c r="AT1159" s="13" t="str">
        <f t="shared" si="380"/>
        <v>-</v>
      </c>
      <c r="AU1159" s="8"/>
    </row>
    <row r="1160" spans="8:47" x14ac:dyDescent="0.25">
      <c r="H1160" s="27">
        <f>IF($G1160&lt;&gt;0,SUMIF(куб!$G:$G,$G1160,куб!H:H),IF($E1160&lt;&gt;0,SUMIF(куб!$E:$E,$E1160,куб!H:H),IF($D1160&lt;&gt;0,SUMIF(куб!$D:$D,$D1160,куб!H:H),IF($C1160&lt;&gt;0,SUMIF(куб!$C:$C,$C1160,куб!H:H),IF($B1160&lt;&gt;0,SUMIF(куб!$B:$B,$B1160,куб!H:H),IF($G1160&lt;&gt;0,SUMIF(куб!$A:$A,$G1160,куб!H:H),SUMIF(куб!$A:$A,$G1160,куб!H:H)))))))</f>
        <v>0</v>
      </c>
      <c r="I1160" s="27">
        <f>IF($G1160&lt;&gt;0,SUMIF(куб!$G:$G,$G1160,куб!I:I),IF($E1160&lt;&gt;0,SUMIF(куб!$E:$E,$E1160,куб!I:I),IF($D1160&lt;&gt;0,SUMIF(куб!$D:$D,$D1160,куб!I:I),IF($C1160&lt;&gt;0,SUMIF(куб!$C:$C,$C1160,куб!I:I),IF($B1160&lt;&gt;0,SUMIF(куб!$B:$B,$B1160,куб!I:I),IF($G1160&lt;&gt;0,SUMIF(куб!$A:$A,$G1160,куб!I:I),SUMIF(куб!$A:$A,$G1160,куб!I:I)))))))</f>
        <v>0</v>
      </c>
      <c r="J1160" s="19" t="str">
        <f t="shared" si="363"/>
        <v>-</v>
      </c>
      <c r="K1160" s="8"/>
      <c r="L1160" s="17">
        <f t="shared" si="364"/>
        <v>0</v>
      </c>
      <c r="M1160" s="17">
        <f t="shared" si="365"/>
        <v>0</v>
      </c>
      <c r="N1160" s="12">
        <f t="shared" si="366"/>
        <v>0</v>
      </c>
      <c r="O1160" s="5"/>
      <c r="P1160" s="27" t="b">
        <f>IF($G1160&lt;&gt;0,SUMIF(куб!$G:$G,$G1160,куб!J:J),IF($E1160&lt;&gt;0,SUMIF(куб!$E:$E,$E1160,куб!J:J),IF($D1160&lt;&gt;0,SUMIF(куб!$D:$D,$D1160,куб!J:J),IF($C1160&lt;&gt;0,SUMIF(куб!$C:$C,$C1160,куб!J:J),IF($B1160&lt;&gt;0,SUMIF(куб!$B:$B,$B1160,куб!J:J))))))</f>
        <v>0</v>
      </c>
      <c r="Q1160" s="27" t="b">
        <f>IF($G1160&lt;&gt;0,SUMIF(куб!$G:$G,$G1160,куб!K:K),IF($E1160&lt;&gt;0,SUMIF(куб!$E:$E,$E1160,куб!K:K),IF($D1160&lt;&gt;0,SUMIF(куб!$D:$D,$D1160,куб!K:K),IF($C1160&lt;&gt;0,SUMIF(куб!$C:$C,$C1160,куб!K:K),IF($B1160&lt;&gt;0,SUMIF(куб!$B:$B,$B1160,куб!K:K))))))</f>
        <v>0</v>
      </c>
      <c r="R1160" s="13" t="str">
        <f t="shared" si="367"/>
        <v>-</v>
      </c>
      <c r="S1160" s="5"/>
      <c r="T1160" s="27" t="b">
        <f>IF($G1160&lt;&gt;0,SUMIF(куб!$G:$G,$G1160,куб!L:L),IF($E1160&lt;&gt;0,SUMIF(куб!$E:$E,$E1160,куб!L:L),IF($D1160&lt;&gt;0,SUMIF(куб!$D:$D,$D1160,куб!L:L),IF($C1160&lt;&gt;0,SUMIF(куб!$C:$C,$C1160,куб!L:L),IF($B1160&lt;&gt;0,SUMIF(куб!$B:$B,$B1160,куб!L:L))))))</f>
        <v>0</v>
      </c>
      <c r="U1160" s="27" t="b">
        <f>IF($G1160&lt;&gt;0,SUMIF(куб!$G:$G,$G1160,куб!M:M),IF($E1160&lt;&gt;0,SUMIF(куб!$E:$E,$E1160,куб!M:M),IF($D1160&lt;&gt;0,SUMIF(куб!$D:$D,$D1160,куб!M:M),IF($C1160&lt;&gt;0,SUMIF(куб!$C:$C,$C1160,куб!M:M),IF($B1160&lt;&gt;0,SUMIF(куб!$B:$B,$B1160,куб!M:M))))))</f>
        <v>0</v>
      </c>
      <c r="V1160" s="13" t="str">
        <f t="shared" si="368"/>
        <v>-</v>
      </c>
      <c r="W1160" s="5"/>
      <c r="X1160" s="27" t="b">
        <f>IF($G1160&lt;&gt;0,SUMIF(куб!$G:$G,$G1160,куб!N:N),IF($E1160&lt;&gt;0,SUMIF(куб!$E:$E,$E1160,куб!N:N),IF($D1160&lt;&gt;0,SUMIF(куб!$D:$D,$D1160,куб!N:N),IF($C1160&lt;&gt;0,SUMIF(куб!$C:$C,$C1160,куб!N:N),IF($B1160&lt;&gt;0,SUMIF(куб!$B:$B,$B1160,куб!N:N))))))</f>
        <v>0</v>
      </c>
      <c r="Y1160" s="27" t="b">
        <f>IF($G1160&lt;&gt;0,SUMIF(куб!$G:$G,$G1160,куб!O:O),IF($E1160&lt;&gt;0,SUMIF(куб!$E:$E,$E1160,куб!O:O),IF($D1160&lt;&gt;0,SUMIF(куб!$D:$D,$D1160,куб!O:O),IF($C1160&lt;&gt;0,SUMIF(куб!$C:$C,$C1160,куб!O:O),IF($B1160&lt;&gt;0,SUMIF(куб!$B:$B,$B1160,куб!O:O))))))</f>
        <v>0</v>
      </c>
      <c r="Z1160" s="13" t="str">
        <f t="shared" si="369"/>
        <v>-</v>
      </c>
      <c r="AA1160" s="5"/>
      <c r="AB1160" s="33" t="str">
        <f t="shared" si="370"/>
        <v/>
      </c>
      <c r="AC1160" s="33" t="str">
        <f t="shared" si="371"/>
        <v/>
      </c>
      <c r="AD1160" s="15" t="str">
        <f t="shared" si="372"/>
        <v xml:space="preserve"> </v>
      </c>
      <c r="AE1160" s="5"/>
      <c r="AF1160" s="27" t="b">
        <f>IF($G1160&lt;&gt;0,SUMIF(куб!$G:$G,$G1160,куб!R:R),IF($E1160&lt;&gt;0,SUMIF(куб!$E:$E,$E1160,куб!R:R),IF($D1160&lt;&gt;0,SUMIF(куб!$D:$D,$D1160,куб!R:R),IF($C1160&lt;&gt;0,SUMIF(куб!$C:$C,$C1160,куб!R:R),IF($B1160&lt;&gt;0,SUMIF(куб!$B:$B,$B1160,куб!R:R))))))</f>
        <v>0</v>
      </c>
      <c r="AG1160" s="27" t="b">
        <f>IF($G1160&lt;&gt;0,SUMIF(куб!$G:$G,$G1160,куб!S:S),IF($E1160&lt;&gt;0,SUMIF(куб!$E:$E,$E1160,куб!S:S),IF($D1160&lt;&gt;0,SUMIF(куб!$D:$D,$D1160,куб!S:S),IF($C1160&lt;&gt;0,SUMIF(куб!$C:$C,$C1160,куб!S:S),IF($B1160&lt;&gt;0,SUMIF(куб!$B:$B,$B1160,куб!S:S))))))</f>
        <v>0</v>
      </c>
      <c r="AH1160" s="16" t="str">
        <f t="shared" si="373"/>
        <v>-</v>
      </c>
      <c r="AI1160" s="8"/>
      <c r="AJ1160" s="27" t="b">
        <f>IF($G1160&lt;&gt;0,SUMIF(куб!$G:$G,$G1160,куб!T:T),IF($E1160&lt;&gt;0,SUMIF(куб!$E:$E,$E1160,куб!T:T),IF($D1160&lt;&gt;0,SUMIF(куб!$D:$D,$D1160,куб!T:T),IF($C1160&lt;&gt;0,SUMIF(куб!$C:$C,$C1160,куб!T:T),IF($B1160&lt;&gt;0,SUMIF(куб!$B:$B,$B1160,куб!T:T))))))</f>
        <v>0</v>
      </c>
      <c r="AK1160" s="27" t="b">
        <f>IF($G1160&lt;&gt;0,SUMIF(куб!$G:$G,$G1160,куб!U:U),IF($E1160&lt;&gt;0,SUMIF(куб!$E:$E,$E1160,куб!U:U),IF($D1160&lt;&gt;0,SUMIF(куб!$D:$D,$D1160,куб!U:U),IF($C1160&lt;&gt;0,SUMIF(куб!$C:$C,$C1160,куб!U:U),IF($B1160&lt;&gt;0,SUMIF(куб!$B:$B,$B1160,куб!U:U))))))</f>
        <v>0</v>
      </c>
      <c r="AL1160" s="16" t="str">
        <f t="shared" si="374"/>
        <v>-</v>
      </c>
      <c r="AM1160" s="8"/>
      <c r="AN1160" s="17" t="str">
        <f t="shared" si="375"/>
        <v xml:space="preserve"> </v>
      </c>
      <c r="AO1160" s="17" t="str">
        <f t="shared" si="376"/>
        <v xml:space="preserve"> </v>
      </c>
      <c r="AP1160" s="16" t="str">
        <f t="shared" si="377"/>
        <v>-</v>
      </c>
      <c r="AQ1160" s="8"/>
      <c r="AR1160" s="17" t="str">
        <f t="shared" si="378"/>
        <v>-</v>
      </c>
      <c r="AS1160" s="17" t="str">
        <f t="shared" si="379"/>
        <v>-</v>
      </c>
      <c r="AT1160" s="13" t="str">
        <f t="shared" si="380"/>
        <v>-</v>
      </c>
      <c r="AU1160" s="8"/>
    </row>
    <row r="1161" spans="8:47" x14ac:dyDescent="0.25">
      <c r="H1161" s="27">
        <f>IF($G1161&lt;&gt;0,SUMIF(куб!$G:$G,$G1161,куб!H:H),IF($E1161&lt;&gt;0,SUMIF(куб!$E:$E,$E1161,куб!H:H),IF($D1161&lt;&gt;0,SUMIF(куб!$D:$D,$D1161,куб!H:H),IF($C1161&lt;&gt;0,SUMIF(куб!$C:$C,$C1161,куб!H:H),IF($B1161&lt;&gt;0,SUMIF(куб!$B:$B,$B1161,куб!H:H),IF($G1161&lt;&gt;0,SUMIF(куб!$A:$A,$G1161,куб!H:H),SUMIF(куб!$A:$A,$G1161,куб!H:H)))))))</f>
        <v>0</v>
      </c>
      <c r="I1161" s="27">
        <f>IF($G1161&lt;&gt;0,SUMIF(куб!$G:$G,$G1161,куб!I:I),IF($E1161&lt;&gt;0,SUMIF(куб!$E:$E,$E1161,куб!I:I),IF($D1161&lt;&gt;0,SUMIF(куб!$D:$D,$D1161,куб!I:I),IF($C1161&lt;&gt;0,SUMIF(куб!$C:$C,$C1161,куб!I:I),IF($B1161&lt;&gt;0,SUMIF(куб!$B:$B,$B1161,куб!I:I),IF($G1161&lt;&gt;0,SUMIF(куб!$A:$A,$G1161,куб!I:I),SUMIF(куб!$A:$A,$G1161,куб!I:I)))))))</f>
        <v>0</v>
      </c>
      <c r="J1161" s="19" t="str">
        <f t="shared" si="363"/>
        <v>-</v>
      </c>
      <c r="K1161" s="8"/>
      <c r="L1161" s="17">
        <f t="shared" si="364"/>
        <v>0</v>
      </c>
      <c r="M1161" s="17">
        <f t="shared" si="365"/>
        <v>0</v>
      </c>
      <c r="N1161" s="12">
        <f t="shared" si="366"/>
        <v>0</v>
      </c>
      <c r="O1161" s="5"/>
      <c r="P1161" s="27" t="b">
        <f>IF($G1161&lt;&gt;0,SUMIF(куб!$G:$G,$G1161,куб!J:J),IF($E1161&lt;&gt;0,SUMIF(куб!$E:$E,$E1161,куб!J:J),IF($D1161&lt;&gt;0,SUMIF(куб!$D:$D,$D1161,куб!J:J),IF($C1161&lt;&gt;0,SUMIF(куб!$C:$C,$C1161,куб!J:J),IF($B1161&lt;&gt;0,SUMIF(куб!$B:$B,$B1161,куб!J:J))))))</f>
        <v>0</v>
      </c>
      <c r="Q1161" s="27" t="b">
        <f>IF($G1161&lt;&gt;0,SUMIF(куб!$G:$G,$G1161,куб!K:K),IF($E1161&lt;&gt;0,SUMIF(куб!$E:$E,$E1161,куб!K:K),IF($D1161&lt;&gt;0,SUMIF(куб!$D:$D,$D1161,куб!K:K),IF($C1161&lt;&gt;0,SUMIF(куб!$C:$C,$C1161,куб!K:K),IF($B1161&lt;&gt;0,SUMIF(куб!$B:$B,$B1161,куб!K:K))))))</f>
        <v>0</v>
      </c>
      <c r="R1161" s="13" t="str">
        <f t="shared" si="367"/>
        <v>-</v>
      </c>
      <c r="S1161" s="5"/>
      <c r="T1161" s="27" t="b">
        <f>IF($G1161&lt;&gt;0,SUMIF(куб!$G:$G,$G1161,куб!L:L),IF($E1161&lt;&gt;0,SUMIF(куб!$E:$E,$E1161,куб!L:L),IF($D1161&lt;&gt;0,SUMIF(куб!$D:$D,$D1161,куб!L:L),IF($C1161&lt;&gt;0,SUMIF(куб!$C:$C,$C1161,куб!L:L),IF($B1161&lt;&gt;0,SUMIF(куб!$B:$B,$B1161,куб!L:L))))))</f>
        <v>0</v>
      </c>
      <c r="U1161" s="27" t="b">
        <f>IF($G1161&lt;&gt;0,SUMIF(куб!$G:$G,$G1161,куб!M:M),IF($E1161&lt;&gt;0,SUMIF(куб!$E:$E,$E1161,куб!M:M),IF($D1161&lt;&gt;0,SUMIF(куб!$D:$D,$D1161,куб!M:M),IF($C1161&lt;&gt;0,SUMIF(куб!$C:$C,$C1161,куб!M:M),IF($B1161&lt;&gt;0,SUMIF(куб!$B:$B,$B1161,куб!M:M))))))</f>
        <v>0</v>
      </c>
      <c r="V1161" s="13" t="str">
        <f t="shared" si="368"/>
        <v>-</v>
      </c>
      <c r="W1161" s="5"/>
      <c r="X1161" s="27" t="b">
        <f>IF($G1161&lt;&gt;0,SUMIF(куб!$G:$G,$G1161,куб!N:N),IF($E1161&lt;&gt;0,SUMIF(куб!$E:$E,$E1161,куб!N:N),IF($D1161&lt;&gt;0,SUMIF(куб!$D:$D,$D1161,куб!N:N),IF($C1161&lt;&gt;0,SUMIF(куб!$C:$C,$C1161,куб!N:N),IF($B1161&lt;&gt;0,SUMIF(куб!$B:$B,$B1161,куб!N:N))))))</f>
        <v>0</v>
      </c>
      <c r="Y1161" s="27" t="b">
        <f>IF($G1161&lt;&gt;0,SUMIF(куб!$G:$G,$G1161,куб!O:O),IF($E1161&lt;&gt;0,SUMIF(куб!$E:$E,$E1161,куб!O:O),IF($D1161&lt;&gt;0,SUMIF(куб!$D:$D,$D1161,куб!O:O),IF($C1161&lt;&gt;0,SUMIF(куб!$C:$C,$C1161,куб!O:O),IF($B1161&lt;&gt;0,SUMIF(куб!$B:$B,$B1161,куб!O:O))))))</f>
        <v>0</v>
      </c>
      <c r="Z1161" s="13" t="str">
        <f t="shared" si="369"/>
        <v>-</v>
      </c>
      <c r="AA1161" s="5"/>
      <c r="AB1161" s="33" t="str">
        <f t="shared" si="370"/>
        <v/>
      </c>
      <c r="AC1161" s="33" t="str">
        <f t="shared" si="371"/>
        <v/>
      </c>
      <c r="AD1161" s="15" t="str">
        <f t="shared" si="372"/>
        <v xml:space="preserve"> </v>
      </c>
      <c r="AE1161" s="5"/>
      <c r="AF1161" s="27" t="b">
        <f>IF($G1161&lt;&gt;0,SUMIF(куб!$G:$G,$G1161,куб!R:R),IF($E1161&lt;&gt;0,SUMIF(куб!$E:$E,$E1161,куб!R:R),IF($D1161&lt;&gt;0,SUMIF(куб!$D:$D,$D1161,куб!R:R),IF($C1161&lt;&gt;0,SUMIF(куб!$C:$C,$C1161,куб!R:R),IF($B1161&lt;&gt;0,SUMIF(куб!$B:$B,$B1161,куб!R:R))))))</f>
        <v>0</v>
      </c>
      <c r="AG1161" s="27" t="b">
        <f>IF($G1161&lt;&gt;0,SUMIF(куб!$G:$G,$G1161,куб!S:S),IF($E1161&lt;&gt;0,SUMIF(куб!$E:$E,$E1161,куб!S:S),IF($D1161&lt;&gt;0,SUMIF(куб!$D:$D,$D1161,куб!S:S),IF($C1161&lt;&gt;0,SUMIF(куб!$C:$C,$C1161,куб!S:S),IF($B1161&lt;&gt;0,SUMIF(куб!$B:$B,$B1161,куб!S:S))))))</f>
        <v>0</v>
      </c>
      <c r="AH1161" s="16" t="str">
        <f t="shared" si="373"/>
        <v>-</v>
      </c>
      <c r="AI1161" s="8"/>
      <c r="AJ1161" s="27" t="b">
        <f>IF($G1161&lt;&gt;0,SUMIF(куб!$G:$G,$G1161,куб!T:T),IF($E1161&lt;&gt;0,SUMIF(куб!$E:$E,$E1161,куб!T:T),IF($D1161&lt;&gt;0,SUMIF(куб!$D:$D,$D1161,куб!T:T),IF($C1161&lt;&gt;0,SUMIF(куб!$C:$C,$C1161,куб!T:T),IF($B1161&lt;&gt;0,SUMIF(куб!$B:$B,$B1161,куб!T:T))))))</f>
        <v>0</v>
      </c>
      <c r="AK1161" s="27" t="b">
        <f>IF($G1161&lt;&gt;0,SUMIF(куб!$G:$G,$G1161,куб!U:U),IF($E1161&lt;&gt;0,SUMIF(куб!$E:$E,$E1161,куб!U:U),IF($D1161&lt;&gt;0,SUMIF(куб!$D:$D,$D1161,куб!U:U),IF($C1161&lt;&gt;0,SUMIF(куб!$C:$C,$C1161,куб!U:U),IF($B1161&lt;&gt;0,SUMIF(куб!$B:$B,$B1161,куб!U:U))))))</f>
        <v>0</v>
      </c>
      <c r="AL1161" s="16" t="str">
        <f t="shared" si="374"/>
        <v>-</v>
      </c>
      <c r="AM1161" s="8"/>
      <c r="AN1161" s="17" t="str">
        <f t="shared" si="375"/>
        <v xml:space="preserve"> </v>
      </c>
      <c r="AO1161" s="17" t="str">
        <f t="shared" si="376"/>
        <v xml:space="preserve"> </v>
      </c>
      <c r="AP1161" s="16" t="str">
        <f t="shared" si="377"/>
        <v>-</v>
      </c>
      <c r="AQ1161" s="8"/>
      <c r="AR1161" s="17" t="str">
        <f t="shared" si="378"/>
        <v>-</v>
      </c>
      <c r="AS1161" s="17" t="str">
        <f t="shared" si="379"/>
        <v>-</v>
      </c>
      <c r="AT1161" s="13" t="str">
        <f t="shared" si="380"/>
        <v>-</v>
      </c>
      <c r="AU1161" s="8"/>
    </row>
    <row r="1162" spans="8:47" x14ac:dyDescent="0.25">
      <c r="H1162" s="27">
        <f>IF($G1162&lt;&gt;0,SUMIF(куб!$G:$G,$G1162,куб!H:H),IF($E1162&lt;&gt;0,SUMIF(куб!$E:$E,$E1162,куб!H:H),IF($D1162&lt;&gt;0,SUMIF(куб!$D:$D,$D1162,куб!H:H),IF($C1162&lt;&gt;0,SUMIF(куб!$C:$C,$C1162,куб!H:H),IF($B1162&lt;&gt;0,SUMIF(куб!$B:$B,$B1162,куб!H:H),IF($G1162&lt;&gt;0,SUMIF(куб!$A:$A,$G1162,куб!H:H),SUMIF(куб!$A:$A,$G1162,куб!H:H)))))))</f>
        <v>0</v>
      </c>
      <c r="I1162" s="27">
        <f>IF($G1162&lt;&gt;0,SUMIF(куб!$G:$G,$G1162,куб!I:I),IF($E1162&lt;&gt;0,SUMIF(куб!$E:$E,$E1162,куб!I:I),IF($D1162&lt;&gt;0,SUMIF(куб!$D:$D,$D1162,куб!I:I),IF($C1162&lt;&gt;0,SUMIF(куб!$C:$C,$C1162,куб!I:I),IF($B1162&lt;&gt;0,SUMIF(куб!$B:$B,$B1162,куб!I:I),IF($G1162&lt;&gt;0,SUMIF(куб!$A:$A,$G1162,куб!I:I),SUMIF(куб!$A:$A,$G1162,куб!I:I)))))))</f>
        <v>0</v>
      </c>
      <c r="J1162" s="19" t="str">
        <f t="shared" si="363"/>
        <v>-</v>
      </c>
      <c r="K1162" s="8"/>
      <c r="L1162" s="17">
        <f t="shared" si="364"/>
        <v>0</v>
      </c>
      <c r="M1162" s="17">
        <f t="shared" si="365"/>
        <v>0</v>
      </c>
      <c r="N1162" s="12">
        <f t="shared" si="366"/>
        <v>0</v>
      </c>
      <c r="O1162" s="5"/>
      <c r="P1162" s="27" t="b">
        <f>IF($G1162&lt;&gt;0,SUMIF(куб!$G:$G,$G1162,куб!J:J),IF($E1162&lt;&gt;0,SUMIF(куб!$E:$E,$E1162,куб!J:J),IF($D1162&lt;&gt;0,SUMIF(куб!$D:$D,$D1162,куб!J:J),IF($C1162&lt;&gt;0,SUMIF(куб!$C:$C,$C1162,куб!J:J),IF($B1162&lt;&gt;0,SUMIF(куб!$B:$B,$B1162,куб!J:J))))))</f>
        <v>0</v>
      </c>
      <c r="Q1162" s="27" t="b">
        <f>IF($G1162&lt;&gt;0,SUMIF(куб!$G:$G,$G1162,куб!K:K),IF($E1162&lt;&gt;0,SUMIF(куб!$E:$E,$E1162,куб!K:K),IF($D1162&lt;&gt;0,SUMIF(куб!$D:$D,$D1162,куб!K:K),IF($C1162&lt;&gt;0,SUMIF(куб!$C:$C,$C1162,куб!K:K),IF($B1162&lt;&gt;0,SUMIF(куб!$B:$B,$B1162,куб!K:K))))))</f>
        <v>0</v>
      </c>
      <c r="R1162" s="13" t="str">
        <f t="shared" si="367"/>
        <v>-</v>
      </c>
      <c r="S1162" s="5"/>
      <c r="T1162" s="27" t="b">
        <f>IF($G1162&lt;&gt;0,SUMIF(куб!$G:$G,$G1162,куб!L:L),IF($E1162&lt;&gt;0,SUMIF(куб!$E:$E,$E1162,куб!L:L),IF($D1162&lt;&gt;0,SUMIF(куб!$D:$D,$D1162,куб!L:L),IF($C1162&lt;&gt;0,SUMIF(куб!$C:$C,$C1162,куб!L:L),IF($B1162&lt;&gt;0,SUMIF(куб!$B:$B,$B1162,куб!L:L))))))</f>
        <v>0</v>
      </c>
      <c r="U1162" s="27" t="b">
        <f>IF($G1162&lt;&gt;0,SUMIF(куб!$G:$G,$G1162,куб!M:M),IF($E1162&lt;&gt;0,SUMIF(куб!$E:$E,$E1162,куб!M:M),IF($D1162&lt;&gt;0,SUMIF(куб!$D:$D,$D1162,куб!M:M),IF($C1162&lt;&gt;0,SUMIF(куб!$C:$C,$C1162,куб!M:M),IF($B1162&lt;&gt;0,SUMIF(куб!$B:$B,$B1162,куб!M:M))))))</f>
        <v>0</v>
      </c>
      <c r="V1162" s="13" t="str">
        <f t="shared" si="368"/>
        <v>-</v>
      </c>
      <c r="W1162" s="5"/>
      <c r="X1162" s="27" t="b">
        <f>IF($G1162&lt;&gt;0,SUMIF(куб!$G:$G,$G1162,куб!N:N),IF($E1162&lt;&gt;0,SUMIF(куб!$E:$E,$E1162,куб!N:N),IF($D1162&lt;&gt;0,SUMIF(куб!$D:$D,$D1162,куб!N:N),IF($C1162&lt;&gt;0,SUMIF(куб!$C:$C,$C1162,куб!N:N),IF($B1162&lt;&gt;0,SUMIF(куб!$B:$B,$B1162,куб!N:N))))))</f>
        <v>0</v>
      </c>
      <c r="Y1162" s="27" t="b">
        <f>IF($G1162&lt;&gt;0,SUMIF(куб!$G:$G,$G1162,куб!O:O),IF($E1162&lt;&gt;0,SUMIF(куб!$E:$E,$E1162,куб!O:O),IF($D1162&lt;&gt;0,SUMIF(куб!$D:$D,$D1162,куб!O:O),IF($C1162&lt;&gt;0,SUMIF(куб!$C:$C,$C1162,куб!O:O),IF($B1162&lt;&gt;0,SUMIF(куб!$B:$B,$B1162,куб!O:O))))))</f>
        <v>0</v>
      </c>
      <c r="Z1162" s="13" t="str">
        <f t="shared" si="369"/>
        <v>-</v>
      </c>
      <c r="AA1162" s="5"/>
      <c r="AB1162" s="33" t="str">
        <f t="shared" si="370"/>
        <v/>
      </c>
      <c r="AC1162" s="33" t="str">
        <f t="shared" si="371"/>
        <v/>
      </c>
      <c r="AD1162" s="15" t="str">
        <f t="shared" si="372"/>
        <v xml:space="preserve"> </v>
      </c>
      <c r="AE1162" s="5"/>
      <c r="AF1162" s="27" t="b">
        <f>IF($G1162&lt;&gt;0,SUMIF(куб!$G:$G,$G1162,куб!R:R),IF($E1162&lt;&gt;0,SUMIF(куб!$E:$E,$E1162,куб!R:R),IF($D1162&lt;&gt;0,SUMIF(куб!$D:$D,$D1162,куб!R:R),IF($C1162&lt;&gt;0,SUMIF(куб!$C:$C,$C1162,куб!R:R),IF($B1162&lt;&gt;0,SUMIF(куб!$B:$B,$B1162,куб!R:R))))))</f>
        <v>0</v>
      </c>
      <c r="AG1162" s="27" t="b">
        <f>IF($G1162&lt;&gt;0,SUMIF(куб!$G:$G,$G1162,куб!S:S),IF($E1162&lt;&gt;0,SUMIF(куб!$E:$E,$E1162,куб!S:S),IF($D1162&lt;&gt;0,SUMIF(куб!$D:$D,$D1162,куб!S:S),IF($C1162&lt;&gt;0,SUMIF(куб!$C:$C,$C1162,куб!S:S),IF($B1162&lt;&gt;0,SUMIF(куб!$B:$B,$B1162,куб!S:S))))))</f>
        <v>0</v>
      </c>
      <c r="AH1162" s="16" t="str">
        <f t="shared" si="373"/>
        <v>-</v>
      </c>
      <c r="AI1162" s="8"/>
      <c r="AJ1162" s="27" t="b">
        <f>IF($G1162&lt;&gt;0,SUMIF(куб!$G:$G,$G1162,куб!T:T),IF($E1162&lt;&gt;0,SUMIF(куб!$E:$E,$E1162,куб!T:T),IF($D1162&lt;&gt;0,SUMIF(куб!$D:$D,$D1162,куб!T:T),IF($C1162&lt;&gt;0,SUMIF(куб!$C:$C,$C1162,куб!T:T),IF($B1162&lt;&gt;0,SUMIF(куб!$B:$B,$B1162,куб!T:T))))))</f>
        <v>0</v>
      </c>
      <c r="AK1162" s="27" t="b">
        <f>IF($G1162&lt;&gt;0,SUMIF(куб!$G:$G,$G1162,куб!U:U),IF($E1162&lt;&gt;0,SUMIF(куб!$E:$E,$E1162,куб!U:U),IF($D1162&lt;&gt;0,SUMIF(куб!$D:$D,$D1162,куб!U:U),IF($C1162&lt;&gt;0,SUMIF(куб!$C:$C,$C1162,куб!U:U),IF($B1162&lt;&gt;0,SUMIF(куб!$B:$B,$B1162,куб!U:U))))))</f>
        <v>0</v>
      </c>
      <c r="AL1162" s="16" t="str">
        <f t="shared" si="374"/>
        <v>-</v>
      </c>
      <c r="AM1162" s="8"/>
      <c r="AN1162" s="17" t="str">
        <f t="shared" si="375"/>
        <v xml:space="preserve"> </v>
      </c>
      <c r="AO1162" s="17" t="str">
        <f t="shared" si="376"/>
        <v xml:space="preserve"> </v>
      </c>
      <c r="AP1162" s="16" t="str">
        <f t="shared" si="377"/>
        <v>-</v>
      </c>
      <c r="AQ1162" s="8"/>
      <c r="AR1162" s="17" t="str">
        <f t="shared" si="378"/>
        <v>-</v>
      </c>
      <c r="AS1162" s="17" t="str">
        <f t="shared" si="379"/>
        <v>-</v>
      </c>
      <c r="AT1162" s="13" t="str">
        <f t="shared" si="380"/>
        <v>-</v>
      </c>
      <c r="AU1162" s="8"/>
    </row>
    <row r="1163" spans="8:47" x14ac:dyDescent="0.25">
      <c r="H1163" s="27">
        <f>IF($G1163&lt;&gt;0,SUMIF(куб!$G:$G,$G1163,куб!H:H),IF($E1163&lt;&gt;0,SUMIF(куб!$E:$E,$E1163,куб!H:H),IF($D1163&lt;&gt;0,SUMIF(куб!$D:$D,$D1163,куб!H:H),IF($C1163&lt;&gt;0,SUMIF(куб!$C:$C,$C1163,куб!H:H),IF($B1163&lt;&gt;0,SUMIF(куб!$B:$B,$B1163,куб!H:H),IF($G1163&lt;&gt;0,SUMIF(куб!$A:$A,$G1163,куб!H:H),SUMIF(куб!$A:$A,$G1163,куб!H:H)))))))</f>
        <v>0</v>
      </c>
      <c r="I1163" s="27">
        <f>IF($G1163&lt;&gt;0,SUMIF(куб!$G:$G,$G1163,куб!I:I),IF($E1163&lt;&gt;0,SUMIF(куб!$E:$E,$E1163,куб!I:I),IF($D1163&lt;&gt;0,SUMIF(куб!$D:$D,$D1163,куб!I:I),IF($C1163&lt;&gt;0,SUMIF(куб!$C:$C,$C1163,куб!I:I),IF($B1163&lt;&gt;0,SUMIF(куб!$B:$B,$B1163,куб!I:I),IF($G1163&lt;&gt;0,SUMIF(куб!$A:$A,$G1163,куб!I:I),SUMIF(куб!$A:$A,$G1163,куб!I:I)))))))</f>
        <v>0</v>
      </c>
      <c r="J1163" s="19" t="str">
        <f t="shared" si="363"/>
        <v>-</v>
      </c>
      <c r="K1163" s="8"/>
      <c r="L1163" s="17">
        <f t="shared" si="364"/>
        <v>0</v>
      </c>
      <c r="M1163" s="17">
        <f t="shared" si="365"/>
        <v>0</v>
      </c>
      <c r="N1163" s="12">
        <f t="shared" si="366"/>
        <v>0</v>
      </c>
      <c r="O1163" s="5"/>
      <c r="P1163" s="27" t="b">
        <f>IF($G1163&lt;&gt;0,SUMIF(куб!$G:$G,$G1163,куб!J:J),IF($E1163&lt;&gt;0,SUMIF(куб!$E:$E,$E1163,куб!J:J),IF($D1163&lt;&gt;0,SUMIF(куб!$D:$D,$D1163,куб!J:J),IF($C1163&lt;&gt;0,SUMIF(куб!$C:$C,$C1163,куб!J:J),IF($B1163&lt;&gt;0,SUMIF(куб!$B:$B,$B1163,куб!J:J))))))</f>
        <v>0</v>
      </c>
      <c r="Q1163" s="27" t="b">
        <f>IF($G1163&lt;&gt;0,SUMIF(куб!$G:$G,$G1163,куб!K:K),IF($E1163&lt;&gt;0,SUMIF(куб!$E:$E,$E1163,куб!K:K),IF($D1163&lt;&gt;0,SUMIF(куб!$D:$D,$D1163,куб!K:K),IF($C1163&lt;&gt;0,SUMIF(куб!$C:$C,$C1163,куб!K:K),IF($B1163&lt;&gt;0,SUMIF(куб!$B:$B,$B1163,куб!K:K))))))</f>
        <v>0</v>
      </c>
      <c r="R1163" s="13" t="str">
        <f t="shared" si="367"/>
        <v>-</v>
      </c>
      <c r="S1163" s="5"/>
      <c r="T1163" s="27" t="b">
        <f>IF($G1163&lt;&gt;0,SUMIF(куб!$G:$G,$G1163,куб!L:L),IF($E1163&lt;&gt;0,SUMIF(куб!$E:$E,$E1163,куб!L:L),IF($D1163&lt;&gt;0,SUMIF(куб!$D:$D,$D1163,куб!L:L),IF($C1163&lt;&gt;0,SUMIF(куб!$C:$C,$C1163,куб!L:L),IF($B1163&lt;&gt;0,SUMIF(куб!$B:$B,$B1163,куб!L:L))))))</f>
        <v>0</v>
      </c>
      <c r="U1163" s="27" t="b">
        <f>IF($G1163&lt;&gt;0,SUMIF(куб!$G:$G,$G1163,куб!M:M),IF($E1163&lt;&gt;0,SUMIF(куб!$E:$E,$E1163,куб!M:M),IF($D1163&lt;&gt;0,SUMIF(куб!$D:$D,$D1163,куб!M:M),IF($C1163&lt;&gt;0,SUMIF(куб!$C:$C,$C1163,куб!M:M),IF($B1163&lt;&gt;0,SUMIF(куб!$B:$B,$B1163,куб!M:M))))))</f>
        <v>0</v>
      </c>
      <c r="V1163" s="13" t="str">
        <f t="shared" si="368"/>
        <v>-</v>
      </c>
      <c r="W1163" s="5"/>
      <c r="X1163" s="27" t="b">
        <f>IF($G1163&lt;&gt;0,SUMIF(куб!$G:$G,$G1163,куб!N:N),IF($E1163&lt;&gt;0,SUMIF(куб!$E:$E,$E1163,куб!N:N),IF($D1163&lt;&gt;0,SUMIF(куб!$D:$D,$D1163,куб!N:N),IF($C1163&lt;&gt;0,SUMIF(куб!$C:$C,$C1163,куб!N:N),IF($B1163&lt;&gt;0,SUMIF(куб!$B:$B,$B1163,куб!N:N))))))</f>
        <v>0</v>
      </c>
      <c r="Y1163" s="27" t="b">
        <f>IF($G1163&lt;&gt;0,SUMIF(куб!$G:$G,$G1163,куб!O:O),IF($E1163&lt;&gt;0,SUMIF(куб!$E:$E,$E1163,куб!O:O),IF($D1163&lt;&gt;0,SUMIF(куб!$D:$D,$D1163,куб!O:O),IF($C1163&lt;&gt;0,SUMIF(куб!$C:$C,$C1163,куб!O:O),IF($B1163&lt;&gt;0,SUMIF(куб!$B:$B,$B1163,куб!O:O))))))</f>
        <v>0</v>
      </c>
      <c r="Z1163" s="13" t="str">
        <f t="shared" si="369"/>
        <v>-</v>
      </c>
      <c r="AA1163" s="5"/>
      <c r="AB1163" s="33" t="str">
        <f t="shared" si="370"/>
        <v/>
      </c>
      <c r="AC1163" s="33" t="str">
        <f t="shared" si="371"/>
        <v/>
      </c>
      <c r="AD1163" s="15" t="str">
        <f t="shared" si="372"/>
        <v xml:space="preserve"> </v>
      </c>
      <c r="AE1163" s="5"/>
      <c r="AF1163" s="27" t="b">
        <f>IF($G1163&lt;&gt;0,SUMIF(куб!$G:$G,$G1163,куб!R:R),IF($E1163&lt;&gt;0,SUMIF(куб!$E:$E,$E1163,куб!R:R),IF($D1163&lt;&gt;0,SUMIF(куб!$D:$D,$D1163,куб!R:R),IF($C1163&lt;&gt;0,SUMIF(куб!$C:$C,$C1163,куб!R:R),IF($B1163&lt;&gt;0,SUMIF(куб!$B:$B,$B1163,куб!R:R))))))</f>
        <v>0</v>
      </c>
      <c r="AG1163" s="27" t="b">
        <f>IF($G1163&lt;&gt;0,SUMIF(куб!$G:$G,$G1163,куб!S:S),IF($E1163&lt;&gt;0,SUMIF(куб!$E:$E,$E1163,куб!S:S),IF($D1163&lt;&gt;0,SUMIF(куб!$D:$D,$D1163,куб!S:S),IF($C1163&lt;&gt;0,SUMIF(куб!$C:$C,$C1163,куб!S:S),IF($B1163&lt;&gt;0,SUMIF(куб!$B:$B,$B1163,куб!S:S))))))</f>
        <v>0</v>
      </c>
      <c r="AH1163" s="16" t="str">
        <f t="shared" si="373"/>
        <v>-</v>
      </c>
      <c r="AI1163" s="8"/>
      <c r="AJ1163" s="27" t="b">
        <f>IF($G1163&lt;&gt;0,SUMIF(куб!$G:$G,$G1163,куб!T:T),IF($E1163&lt;&gt;0,SUMIF(куб!$E:$E,$E1163,куб!T:T),IF($D1163&lt;&gt;0,SUMIF(куб!$D:$D,$D1163,куб!T:T),IF($C1163&lt;&gt;0,SUMIF(куб!$C:$C,$C1163,куб!T:T),IF($B1163&lt;&gt;0,SUMIF(куб!$B:$B,$B1163,куб!T:T))))))</f>
        <v>0</v>
      </c>
      <c r="AK1163" s="27" t="b">
        <f>IF($G1163&lt;&gt;0,SUMIF(куб!$G:$G,$G1163,куб!U:U),IF($E1163&lt;&gt;0,SUMIF(куб!$E:$E,$E1163,куб!U:U),IF($D1163&lt;&gt;0,SUMIF(куб!$D:$D,$D1163,куб!U:U),IF($C1163&lt;&gt;0,SUMIF(куб!$C:$C,$C1163,куб!U:U),IF($B1163&lt;&gt;0,SUMIF(куб!$B:$B,$B1163,куб!U:U))))))</f>
        <v>0</v>
      </c>
      <c r="AL1163" s="16" t="str">
        <f t="shared" si="374"/>
        <v>-</v>
      </c>
      <c r="AM1163" s="8"/>
      <c r="AN1163" s="17" t="str">
        <f t="shared" si="375"/>
        <v xml:space="preserve"> </v>
      </c>
      <c r="AO1163" s="17" t="str">
        <f t="shared" si="376"/>
        <v xml:space="preserve"> </v>
      </c>
      <c r="AP1163" s="16" t="str">
        <f t="shared" si="377"/>
        <v>-</v>
      </c>
      <c r="AQ1163" s="8"/>
      <c r="AR1163" s="17" t="str">
        <f t="shared" si="378"/>
        <v>-</v>
      </c>
      <c r="AS1163" s="17" t="str">
        <f t="shared" si="379"/>
        <v>-</v>
      </c>
      <c r="AT1163" s="13" t="str">
        <f t="shared" si="380"/>
        <v>-</v>
      </c>
      <c r="AU1163" s="8"/>
    </row>
    <row r="1164" spans="8:47" x14ac:dyDescent="0.25">
      <c r="H1164" s="27">
        <f>IF($G1164&lt;&gt;0,SUMIF(куб!$G:$G,$G1164,куб!H:H),IF($E1164&lt;&gt;0,SUMIF(куб!$E:$E,$E1164,куб!H:H),IF($D1164&lt;&gt;0,SUMIF(куб!$D:$D,$D1164,куб!H:H),IF($C1164&lt;&gt;0,SUMIF(куб!$C:$C,$C1164,куб!H:H),IF($B1164&lt;&gt;0,SUMIF(куб!$B:$B,$B1164,куб!H:H),IF($G1164&lt;&gt;0,SUMIF(куб!$A:$A,$G1164,куб!H:H),SUMIF(куб!$A:$A,$G1164,куб!H:H)))))))</f>
        <v>0</v>
      </c>
      <c r="I1164" s="27">
        <f>IF($G1164&lt;&gt;0,SUMIF(куб!$G:$G,$G1164,куб!I:I),IF($E1164&lt;&gt;0,SUMIF(куб!$E:$E,$E1164,куб!I:I),IF($D1164&lt;&gt;0,SUMIF(куб!$D:$D,$D1164,куб!I:I),IF($C1164&lt;&gt;0,SUMIF(куб!$C:$C,$C1164,куб!I:I),IF($B1164&lt;&gt;0,SUMIF(куб!$B:$B,$B1164,куб!I:I),IF($G1164&lt;&gt;0,SUMIF(куб!$A:$A,$G1164,куб!I:I),SUMIF(куб!$A:$A,$G1164,куб!I:I)))))))</f>
        <v>0</v>
      </c>
      <c r="J1164" s="19" t="str">
        <f t="shared" si="363"/>
        <v>-</v>
      </c>
      <c r="K1164" s="8"/>
      <c r="L1164" s="17">
        <f t="shared" si="364"/>
        <v>0</v>
      </c>
      <c r="M1164" s="17">
        <f t="shared" si="365"/>
        <v>0</v>
      </c>
      <c r="N1164" s="12">
        <f t="shared" si="366"/>
        <v>0</v>
      </c>
      <c r="O1164" s="5"/>
      <c r="P1164" s="27" t="b">
        <f>IF($G1164&lt;&gt;0,SUMIF(куб!$G:$G,$G1164,куб!J:J),IF($E1164&lt;&gt;0,SUMIF(куб!$E:$E,$E1164,куб!J:J),IF($D1164&lt;&gt;0,SUMIF(куб!$D:$D,$D1164,куб!J:J),IF($C1164&lt;&gt;0,SUMIF(куб!$C:$C,$C1164,куб!J:J),IF($B1164&lt;&gt;0,SUMIF(куб!$B:$B,$B1164,куб!J:J))))))</f>
        <v>0</v>
      </c>
      <c r="Q1164" s="27" t="b">
        <f>IF($G1164&lt;&gt;0,SUMIF(куб!$G:$G,$G1164,куб!K:K),IF($E1164&lt;&gt;0,SUMIF(куб!$E:$E,$E1164,куб!K:K),IF($D1164&lt;&gt;0,SUMIF(куб!$D:$D,$D1164,куб!K:K),IF($C1164&lt;&gt;0,SUMIF(куб!$C:$C,$C1164,куб!K:K),IF($B1164&lt;&gt;0,SUMIF(куб!$B:$B,$B1164,куб!K:K))))))</f>
        <v>0</v>
      </c>
      <c r="R1164" s="13" t="str">
        <f t="shared" si="367"/>
        <v>-</v>
      </c>
      <c r="S1164" s="5"/>
      <c r="T1164" s="27" t="b">
        <f>IF($G1164&lt;&gt;0,SUMIF(куб!$G:$G,$G1164,куб!L:L),IF($E1164&lt;&gt;0,SUMIF(куб!$E:$E,$E1164,куб!L:L),IF($D1164&lt;&gt;0,SUMIF(куб!$D:$D,$D1164,куб!L:L),IF($C1164&lt;&gt;0,SUMIF(куб!$C:$C,$C1164,куб!L:L),IF($B1164&lt;&gt;0,SUMIF(куб!$B:$B,$B1164,куб!L:L))))))</f>
        <v>0</v>
      </c>
      <c r="U1164" s="27" t="b">
        <f>IF($G1164&lt;&gt;0,SUMIF(куб!$G:$G,$G1164,куб!M:M),IF($E1164&lt;&gt;0,SUMIF(куб!$E:$E,$E1164,куб!M:M),IF($D1164&lt;&gt;0,SUMIF(куб!$D:$D,$D1164,куб!M:M),IF($C1164&lt;&gt;0,SUMIF(куб!$C:$C,$C1164,куб!M:M),IF($B1164&lt;&gt;0,SUMIF(куб!$B:$B,$B1164,куб!M:M))))))</f>
        <v>0</v>
      </c>
      <c r="V1164" s="13" t="str">
        <f t="shared" si="368"/>
        <v>-</v>
      </c>
      <c r="W1164" s="5"/>
      <c r="X1164" s="27" t="b">
        <f>IF($G1164&lt;&gt;0,SUMIF(куб!$G:$G,$G1164,куб!N:N),IF($E1164&lt;&gt;0,SUMIF(куб!$E:$E,$E1164,куб!N:N),IF($D1164&lt;&gt;0,SUMIF(куб!$D:$D,$D1164,куб!N:N),IF($C1164&lt;&gt;0,SUMIF(куб!$C:$C,$C1164,куб!N:N),IF($B1164&lt;&gt;0,SUMIF(куб!$B:$B,$B1164,куб!N:N))))))</f>
        <v>0</v>
      </c>
      <c r="Y1164" s="27" t="b">
        <f>IF($G1164&lt;&gt;0,SUMIF(куб!$G:$G,$G1164,куб!O:O),IF($E1164&lt;&gt;0,SUMIF(куб!$E:$E,$E1164,куб!O:O),IF($D1164&lt;&gt;0,SUMIF(куб!$D:$D,$D1164,куб!O:O),IF($C1164&lt;&gt;0,SUMIF(куб!$C:$C,$C1164,куб!O:O),IF($B1164&lt;&gt;0,SUMIF(куб!$B:$B,$B1164,куб!O:O))))))</f>
        <v>0</v>
      </c>
      <c r="Z1164" s="13" t="str">
        <f t="shared" si="369"/>
        <v>-</v>
      </c>
      <c r="AA1164" s="5"/>
      <c r="AB1164" s="33" t="str">
        <f t="shared" si="370"/>
        <v/>
      </c>
      <c r="AC1164" s="33" t="str">
        <f t="shared" si="371"/>
        <v/>
      </c>
      <c r="AD1164" s="15" t="str">
        <f t="shared" si="372"/>
        <v xml:space="preserve"> </v>
      </c>
      <c r="AE1164" s="5"/>
      <c r="AF1164" s="27" t="b">
        <f>IF($G1164&lt;&gt;0,SUMIF(куб!$G:$G,$G1164,куб!R:R),IF($E1164&lt;&gt;0,SUMIF(куб!$E:$E,$E1164,куб!R:R),IF($D1164&lt;&gt;0,SUMIF(куб!$D:$D,$D1164,куб!R:R),IF($C1164&lt;&gt;0,SUMIF(куб!$C:$C,$C1164,куб!R:R),IF($B1164&lt;&gt;0,SUMIF(куб!$B:$B,$B1164,куб!R:R))))))</f>
        <v>0</v>
      </c>
      <c r="AG1164" s="27" t="b">
        <f>IF($G1164&lt;&gt;0,SUMIF(куб!$G:$G,$G1164,куб!S:S),IF($E1164&lt;&gt;0,SUMIF(куб!$E:$E,$E1164,куб!S:S),IF($D1164&lt;&gt;0,SUMIF(куб!$D:$D,$D1164,куб!S:S),IF($C1164&lt;&gt;0,SUMIF(куб!$C:$C,$C1164,куб!S:S),IF($B1164&lt;&gt;0,SUMIF(куб!$B:$B,$B1164,куб!S:S))))))</f>
        <v>0</v>
      </c>
      <c r="AH1164" s="16" t="str">
        <f t="shared" si="373"/>
        <v>-</v>
      </c>
      <c r="AI1164" s="8"/>
      <c r="AJ1164" s="27" t="b">
        <f>IF($G1164&lt;&gt;0,SUMIF(куб!$G:$G,$G1164,куб!T:T),IF($E1164&lt;&gt;0,SUMIF(куб!$E:$E,$E1164,куб!T:T),IF($D1164&lt;&gt;0,SUMIF(куб!$D:$D,$D1164,куб!T:T),IF($C1164&lt;&gt;0,SUMIF(куб!$C:$C,$C1164,куб!T:T),IF($B1164&lt;&gt;0,SUMIF(куб!$B:$B,$B1164,куб!T:T))))))</f>
        <v>0</v>
      </c>
      <c r="AK1164" s="27" t="b">
        <f>IF($G1164&lt;&gt;0,SUMIF(куб!$G:$G,$G1164,куб!U:U),IF($E1164&lt;&gt;0,SUMIF(куб!$E:$E,$E1164,куб!U:U),IF($D1164&lt;&gt;0,SUMIF(куб!$D:$D,$D1164,куб!U:U),IF($C1164&lt;&gt;0,SUMIF(куб!$C:$C,$C1164,куб!U:U),IF($B1164&lt;&gt;0,SUMIF(куб!$B:$B,$B1164,куб!U:U))))))</f>
        <v>0</v>
      </c>
      <c r="AL1164" s="16" t="str">
        <f t="shared" si="374"/>
        <v>-</v>
      </c>
      <c r="AM1164" s="8"/>
      <c r="AN1164" s="17" t="str">
        <f t="shared" si="375"/>
        <v xml:space="preserve"> </v>
      </c>
      <c r="AO1164" s="17" t="str">
        <f t="shared" si="376"/>
        <v xml:space="preserve"> </v>
      </c>
      <c r="AP1164" s="16" t="str">
        <f t="shared" si="377"/>
        <v>-</v>
      </c>
      <c r="AQ1164" s="8"/>
      <c r="AR1164" s="17" t="str">
        <f t="shared" si="378"/>
        <v>-</v>
      </c>
      <c r="AS1164" s="17" t="str">
        <f t="shared" si="379"/>
        <v>-</v>
      </c>
      <c r="AT1164" s="13" t="str">
        <f t="shared" si="380"/>
        <v>-</v>
      </c>
      <c r="AU1164" s="8"/>
    </row>
    <row r="1165" spans="8:47" x14ac:dyDescent="0.25">
      <c r="H1165" s="27">
        <f>IF($G1165&lt;&gt;0,SUMIF(куб!$G:$G,$G1165,куб!H:H),IF($E1165&lt;&gt;0,SUMIF(куб!$E:$E,$E1165,куб!H:H),IF($D1165&lt;&gt;0,SUMIF(куб!$D:$D,$D1165,куб!H:H),IF($C1165&lt;&gt;0,SUMIF(куб!$C:$C,$C1165,куб!H:H),IF($B1165&lt;&gt;0,SUMIF(куб!$B:$B,$B1165,куб!H:H),IF($G1165&lt;&gt;0,SUMIF(куб!$A:$A,$G1165,куб!H:H),SUMIF(куб!$A:$A,$G1165,куб!H:H)))))))</f>
        <v>0</v>
      </c>
      <c r="I1165" s="27">
        <f>IF($G1165&lt;&gt;0,SUMIF(куб!$G:$G,$G1165,куб!I:I),IF($E1165&lt;&gt;0,SUMIF(куб!$E:$E,$E1165,куб!I:I),IF($D1165&lt;&gt;0,SUMIF(куб!$D:$D,$D1165,куб!I:I),IF($C1165&lt;&gt;0,SUMIF(куб!$C:$C,$C1165,куб!I:I),IF($B1165&lt;&gt;0,SUMIF(куб!$B:$B,$B1165,куб!I:I),IF($G1165&lt;&gt;0,SUMIF(куб!$A:$A,$G1165,куб!I:I),SUMIF(куб!$A:$A,$G1165,куб!I:I)))))))</f>
        <v>0</v>
      </c>
      <c r="J1165" s="19" t="str">
        <f t="shared" si="363"/>
        <v>-</v>
      </c>
      <c r="K1165" s="8"/>
      <c r="L1165" s="17">
        <f t="shared" si="364"/>
        <v>0</v>
      </c>
      <c r="M1165" s="17">
        <f t="shared" si="365"/>
        <v>0</v>
      </c>
      <c r="N1165" s="12">
        <f t="shared" si="366"/>
        <v>0</v>
      </c>
      <c r="O1165" s="5"/>
      <c r="P1165" s="27" t="b">
        <f>IF($G1165&lt;&gt;0,SUMIF(куб!$G:$G,$G1165,куб!J:J),IF($E1165&lt;&gt;0,SUMIF(куб!$E:$E,$E1165,куб!J:J),IF($D1165&lt;&gt;0,SUMIF(куб!$D:$D,$D1165,куб!J:J),IF($C1165&lt;&gt;0,SUMIF(куб!$C:$C,$C1165,куб!J:J),IF($B1165&lt;&gt;0,SUMIF(куб!$B:$B,$B1165,куб!J:J))))))</f>
        <v>0</v>
      </c>
      <c r="Q1165" s="27" t="b">
        <f>IF($G1165&lt;&gt;0,SUMIF(куб!$G:$G,$G1165,куб!K:K),IF($E1165&lt;&gt;0,SUMIF(куб!$E:$E,$E1165,куб!K:K),IF($D1165&lt;&gt;0,SUMIF(куб!$D:$D,$D1165,куб!K:K),IF($C1165&lt;&gt;0,SUMIF(куб!$C:$C,$C1165,куб!K:K),IF($B1165&lt;&gt;0,SUMIF(куб!$B:$B,$B1165,куб!K:K))))))</f>
        <v>0</v>
      </c>
      <c r="R1165" s="13" t="str">
        <f t="shared" si="367"/>
        <v>-</v>
      </c>
      <c r="S1165" s="5"/>
      <c r="T1165" s="27" t="b">
        <f>IF($G1165&lt;&gt;0,SUMIF(куб!$G:$G,$G1165,куб!L:L),IF($E1165&lt;&gt;0,SUMIF(куб!$E:$E,$E1165,куб!L:L),IF($D1165&lt;&gt;0,SUMIF(куб!$D:$D,$D1165,куб!L:L),IF($C1165&lt;&gt;0,SUMIF(куб!$C:$C,$C1165,куб!L:L),IF($B1165&lt;&gt;0,SUMIF(куб!$B:$B,$B1165,куб!L:L))))))</f>
        <v>0</v>
      </c>
      <c r="U1165" s="27" t="b">
        <f>IF($G1165&lt;&gt;0,SUMIF(куб!$G:$G,$G1165,куб!M:M),IF($E1165&lt;&gt;0,SUMIF(куб!$E:$E,$E1165,куб!M:M),IF($D1165&lt;&gt;0,SUMIF(куб!$D:$D,$D1165,куб!M:M),IF($C1165&lt;&gt;0,SUMIF(куб!$C:$C,$C1165,куб!M:M),IF($B1165&lt;&gt;0,SUMIF(куб!$B:$B,$B1165,куб!M:M))))))</f>
        <v>0</v>
      </c>
      <c r="V1165" s="13" t="str">
        <f t="shared" si="368"/>
        <v>-</v>
      </c>
      <c r="W1165" s="5"/>
      <c r="X1165" s="27" t="b">
        <f>IF($G1165&lt;&gt;0,SUMIF(куб!$G:$G,$G1165,куб!N:N),IF($E1165&lt;&gt;0,SUMIF(куб!$E:$E,$E1165,куб!N:N),IF($D1165&lt;&gt;0,SUMIF(куб!$D:$D,$D1165,куб!N:N),IF($C1165&lt;&gt;0,SUMIF(куб!$C:$C,$C1165,куб!N:N),IF($B1165&lt;&gt;0,SUMIF(куб!$B:$B,$B1165,куб!N:N))))))</f>
        <v>0</v>
      </c>
      <c r="Y1165" s="27" t="b">
        <f>IF($G1165&lt;&gt;0,SUMIF(куб!$G:$G,$G1165,куб!O:O),IF($E1165&lt;&gt;0,SUMIF(куб!$E:$E,$E1165,куб!O:O),IF($D1165&lt;&gt;0,SUMIF(куб!$D:$D,$D1165,куб!O:O),IF($C1165&lt;&gt;0,SUMIF(куб!$C:$C,$C1165,куб!O:O),IF($B1165&lt;&gt;0,SUMIF(куб!$B:$B,$B1165,куб!O:O))))))</f>
        <v>0</v>
      </c>
      <c r="Z1165" s="13" t="str">
        <f t="shared" si="369"/>
        <v>-</v>
      </c>
      <c r="AA1165" s="5"/>
      <c r="AB1165" s="33" t="str">
        <f t="shared" si="370"/>
        <v/>
      </c>
      <c r="AC1165" s="33" t="str">
        <f t="shared" si="371"/>
        <v/>
      </c>
      <c r="AD1165" s="15" t="str">
        <f t="shared" si="372"/>
        <v xml:space="preserve"> </v>
      </c>
      <c r="AE1165" s="5"/>
      <c r="AF1165" s="27" t="b">
        <f>IF($G1165&lt;&gt;0,SUMIF(куб!$G:$G,$G1165,куб!R:R),IF($E1165&lt;&gt;0,SUMIF(куб!$E:$E,$E1165,куб!R:R),IF($D1165&lt;&gt;0,SUMIF(куб!$D:$D,$D1165,куб!R:R),IF($C1165&lt;&gt;0,SUMIF(куб!$C:$C,$C1165,куб!R:R),IF($B1165&lt;&gt;0,SUMIF(куб!$B:$B,$B1165,куб!R:R))))))</f>
        <v>0</v>
      </c>
      <c r="AG1165" s="27" t="b">
        <f>IF($G1165&lt;&gt;0,SUMIF(куб!$G:$G,$G1165,куб!S:S),IF($E1165&lt;&gt;0,SUMIF(куб!$E:$E,$E1165,куб!S:S),IF($D1165&lt;&gt;0,SUMIF(куб!$D:$D,$D1165,куб!S:S),IF($C1165&lt;&gt;0,SUMIF(куб!$C:$C,$C1165,куб!S:S),IF($B1165&lt;&gt;0,SUMIF(куб!$B:$B,$B1165,куб!S:S))))))</f>
        <v>0</v>
      </c>
      <c r="AH1165" s="16" t="str">
        <f t="shared" si="373"/>
        <v>-</v>
      </c>
      <c r="AI1165" s="8"/>
      <c r="AJ1165" s="27" t="b">
        <f>IF($G1165&lt;&gt;0,SUMIF(куб!$G:$G,$G1165,куб!T:T),IF($E1165&lt;&gt;0,SUMIF(куб!$E:$E,$E1165,куб!T:T),IF($D1165&lt;&gt;0,SUMIF(куб!$D:$D,$D1165,куб!T:T),IF($C1165&lt;&gt;0,SUMIF(куб!$C:$C,$C1165,куб!T:T),IF($B1165&lt;&gt;0,SUMIF(куб!$B:$B,$B1165,куб!T:T))))))</f>
        <v>0</v>
      </c>
      <c r="AK1165" s="27" t="b">
        <f>IF($G1165&lt;&gt;0,SUMIF(куб!$G:$G,$G1165,куб!U:U),IF($E1165&lt;&gt;0,SUMIF(куб!$E:$E,$E1165,куб!U:U),IF($D1165&lt;&gt;0,SUMIF(куб!$D:$D,$D1165,куб!U:U),IF($C1165&lt;&gt;0,SUMIF(куб!$C:$C,$C1165,куб!U:U),IF($B1165&lt;&gt;0,SUMIF(куб!$B:$B,$B1165,куб!U:U))))))</f>
        <v>0</v>
      </c>
      <c r="AL1165" s="16" t="str">
        <f t="shared" si="374"/>
        <v>-</v>
      </c>
      <c r="AM1165" s="8"/>
      <c r="AN1165" s="17" t="str">
        <f t="shared" si="375"/>
        <v xml:space="preserve"> </v>
      </c>
      <c r="AO1165" s="17" t="str">
        <f t="shared" si="376"/>
        <v xml:space="preserve"> </v>
      </c>
      <c r="AP1165" s="16" t="str">
        <f t="shared" si="377"/>
        <v>-</v>
      </c>
      <c r="AQ1165" s="8"/>
      <c r="AR1165" s="17" t="str">
        <f t="shared" si="378"/>
        <v>-</v>
      </c>
      <c r="AS1165" s="17" t="str">
        <f t="shared" si="379"/>
        <v>-</v>
      </c>
      <c r="AT1165" s="13" t="str">
        <f t="shared" si="380"/>
        <v>-</v>
      </c>
      <c r="AU1165" s="8"/>
    </row>
    <row r="1166" spans="8:47" x14ac:dyDescent="0.25">
      <c r="H1166" s="27">
        <f>IF($G1166&lt;&gt;0,SUMIF(куб!$G:$G,$G1166,куб!H:H),IF($E1166&lt;&gt;0,SUMIF(куб!$E:$E,$E1166,куб!H:H),IF($D1166&lt;&gt;0,SUMIF(куб!$D:$D,$D1166,куб!H:H),IF($C1166&lt;&gt;0,SUMIF(куб!$C:$C,$C1166,куб!H:H),IF($B1166&lt;&gt;0,SUMIF(куб!$B:$B,$B1166,куб!H:H),IF($G1166&lt;&gt;0,SUMIF(куб!$A:$A,$G1166,куб!H:H),SUMIF(куб!$A:$A,$G1166,куб!H:H)))))))</f>
        <v>0</v>
      </c>
      <c r="I1166" s="27">
        <f>IF($G1166&lt;&gt;0,SUMIF(куб!$G:$G,$G1166,куб!I:I),IF($E1166&lt;&gt;0,SUMIF(куб!$E:$E,$E1166,куб!I:I),IF($D1166&lt;&gt;0,SUMIF(куб!$D:$D,$D1166,куб!I:I),IF($C1166&lt;&gt;0,SUMIF(куб!$C:$C,$C1166,куб!I:I),IF($B1166&lt;&gt;0,SUMIF(куб!$B:$B,$B1166,куб!I:I),IF($G1166&lt;&gt;0,SUMIF(куб!$A:$A,$G1166,куб!I:I),SUMIF(куб!$A:$A,$G1166,куб!I:I)))))))</f>
        <v>0</v>
      </c>
      <c r="J1166" s="19" t="str">
        <f t="shared" si="363"/>
        <v>-</v>
      </c>
      <c r="K1166" s="8"/>
      <c r="L1166" s="17">
        <f t="shared" si="364"/>
        <v>0</v>
      </c>
      <c r="M1166" s="17">
        <f t="shared" si="365"/>
        <v>0</v>
      </c>
      <c r="N1166" s="12">
        <f t="shared" si="366"/>
        <v>0</v>
      </c>
      <c r="O1166" s="5"/>
      <c r="P1166" s="27" t="b">
        <f>IF($G1166&lt;&gt;0,SUMIF(куб!$G:$G,$G1166,куб!J:J),IF($E1166&lt;&gt;0,SUMIF(куб!$E:$E,$E1166,куб!J:J),IF($D1166&lt;&gt;0,SUMIF(куб!$D:$D,$D1166,куб!J:J),IF($C1166&lt;&gt;0,SUMIF(куб!$C:$C,$C1166,куб!J:J),IF($B1166&lt;&gt;0,SUMIF(куб!$B:$B,$B1166,куб!J:J))))))</f>
        <v>0</v>
      </c>
      <c r="Q1166" s="27" t="b">
        <f>IF($G1166&lt;&gt;0,SUMIF(куб!$G:$G,$G1166,куб!K:K),IF($E1166&lt;&gt;0,SUMIF(куб!$E:$E,$E1166,куб!K:K),IF($D1166&lt;&gt;0,SUMIF(куб!$D:$D,$D1166,куб!K:K),IF($C1166&lt;&gt;0,SUMIF(куб!$C:$C,$C1166,куб!K:K),IF($B1166&lt;&gt;0,SUMIF(куб!$B:$B,$B1166,куб!K:K))))))</f>
        <v>0</v>
      </c>
      <c r="R1166" s="13" t="str">
        <f t="shared" si="367"/>
        <v>-</v>
      </c>
      <c r="S1166" s="5"/>
      <c r="T1166" s="27" t="b">
        <f>IF($G1166&lt;&gt;0,SUMIF(куб!$G:$G,$G1166,куб!L:L),IF($E1166&lt;&gt;0,SUMIF(куб!$E:$E,$E1166,куб!L:L),IF($D1166&lt;&gt;0,SUMIF(куб!$D:$D,$D1166,куб!L:L),IF($C1166&lt;&gt;0,SUMIF(куб!$C:$C,$C1166,куб!L:L),IF($B1166&lt;&gt;0,SUMIF(куб!$B:$B,$B1166,куб!L:L))))))</f>
        <v>0</v>
      </c>
      <c r="U1166" s="27" t="b">
        <f>IF($G1166&lt;&gt;0,SUMIF(куб!$G:$G,$G1166,куб!M:M),IF($E1166&lt;&gt;0,SUMIF(куб!$E:$E,$E1166,куб!M:M),IF($D1166&lt;&gt;0,SUMIF(куб!$D:$D,$D1166,куб!M:M),IF($C1166&lt;&gt;0,SUMIF(куб!$C:$C,$C1166,куб!M:M),IF($B1166&lt;&gt;0,SUMIF(куб!$B:$B,$B1166,куб!M:M))))))</f>
        <v>0</v>
      </c>
      <c r="V1166" s="13" t="str">
        <f t="shared" si="368"/>
        <v>-</v>
      </c>
      <c r="W1166" s="5"/>
      <c r="X1166" s="27" t="b">
        <f>IF($G1166&lt;&gt;0,SUMIF(куб!$G:$G,$G1166,куб!N:N),IF($E1166&lt;&gt;0,SUMIF(куб!$E:$E,$E1166,куб!N:N),IF($D1166&lt;&gt;0,SUMIF(куб!$D:$D,$D1166,куб!N:N),IF($C1166&lt;&gt;0,SUMIF(куб!$C:$C,$C1166,куб!N:N),IF($B1166&lt;&gt;0,SUMIF(куб!$B:$B,$B1166,куб!N:N))))))</f>
        <v>0</v>
      </c>
      <c r="Y1166" s="27" t="b">
        <f>IF($G1166&lt;&gt;0,SUMIF(куб!$G:$G,$G1166,куб!O:O),IF($E1166&lt;&gt;0,SUMIF(куб!$E:$E,$E1166,куб!O:O),IF($D1166&lt;&gt;0,SUMIF(куб!$D:$D,$D1166,куб!O:O),IF($C1166&lt;&gt;0,SUMIF(куб!$C:$C,$C1166,куб!O:O),IF($B1166&lt;&gt;0,SUMIF(куб!$B:$B,$B1166,куб!O:O))))))</f>
        <v>0</v>
      </c>
      <c r="Z1166" s="13" t="str">
        <f t="shared" si="369"/>
        <v>-</v>
      </c>
      <c r="AA1166" s="5"/>
      <c r="AB1166" s="33" t="str">
        <f t="shared" si="370"/>
        <v/>
      </c>
      <c r="AC1166" s="33" t="str">
        <f t="shared" si="371"/>
        <v/>
      </c>
      <c r="AD1166" s="15" t="str">
        <f t="shared" si="372"/>
        <v xml:space="preserve"> </v>
      </c>
      <c r="AE1166" s="5"/>
      <c r="AF1166" s="27" t="b">
        <f>IF($G1166&lt;&gt;0,SUMIF(куб!$G:$G,$G1166,куб!R:R),IF($E1166&lt;&gt;0,SUMIF(куб!$E:$E,$E1166,куб!R:R),IF($D1166&lt;&gt;0,SUMIF(куб!$D:$D,$D1166,куб!R:R),IF($C1166&lt;&gt;0,SUMIF(куб!$C:$C,$C1166,куб!R:R),IF($B1166&lt;&gt;0,SUMIF(куб!$B:$B,$B1166,куб!R:R))))))</f>
        <v>0</v>
      </c>
      <c r="AG1166" s="27" t="b">
        <f>IF($G1166&lt;&gt;0,SUMIF(куб!$G:$G,$G1166,куб!S:S),IF($E1166&lt;&gt;0,SUMIF(куб!$E:$E,$E1166,куб!S:S),IF($D1166&lt;&gt;0,SUMIF(куб!$D:$D,$D1166,куб!S:S),IF($C1166&lt;&gt;0,SUMIF(куб!$C:$C,$C1166,куб!S:S),IF($B1166&lt;&gt;0,SUMIF(куб!$B:$B,$B1166,куб!S:S))))))</f>
        <v>0</v>
      </c>
      <c r="AH1166" s="16" t="str">
        <f t="shared" si="373"/>
        <v>-</v>
      </c>
      <c r="AI1166" s="8"/>
      <c r="AJ1166" s="27" t="b">
        <f>IF($G1166&lt;&gt;0,SUMIF(куб!$G:$G,$G1166,куб!T:T),IF($E1166&lt;&gt;0,SUMIF(куб!$E:$E,$E1166,куб!T:T),IF($D1166&lt;&gt;0,SUMIF(куб!$D:$D,$D1166,куб!T:T),IF($C1166&lt;&gt;0,SUMIF(куб!$C:$C,$C1166,куб!T:T),IF($B1166&lt;&gt;0,SUMIF(куб!$B:$B,$B1166,куб!T:T))))))</f>
        <v>0</v>
      </c>
      <c r="AK1166" s="27" t="b">
        <f>IF($G1166&lt;&gt;0,SUMIF(куб!$G:$G,$G1166,куб!U:U),IF($E1166&lt;&gt;0,SUMIF(куб!$E:$E,$E1166,куб!U:U),IF($D1166&lt;&gt;0,SUMIF(куб!$D:$D,$D1166,куб!U:U),IF($C1166&lt;&gt;0,SUMIF(куб!$C:$C,$C1166,куб!U:U),IF($B1166&lt;&gt;0,SUMIF(куб!$B:$B,$B1166,куб!U:U))))))</f>
        <v>0</v>
      </c>
      <c r="AL1166" s="16" t="str">
        <f t="shared" si="374"/>
        <v>-</v>
      </c>
      <c r="AM1166" s="8"/>
      <c r="AN1166" s="17" t="str">
        <f t="shared" si="375"/>
        <v xml:space="preserve"> </v>
      </c>
      <c r="AO1166" s="17" t="str">
        <f t="shared" si="376"/>
        <v xml:space="preserve"> </v>
      </c>
      <c r="AP1166" s="16" t="str">
        <f t="shared" si="377"/>
        <v>-</v>
      </c>
      <c r="AQ1166" s="8"/>
      <c r="AR1166" s="17" t="str">
        <f t="shared" si="378"/>
        <v>-</v>
      </c>
      <c r="AS1166" s="17" t="str">
        <f t="shared" si="379"/>
        <v>-</v>
      </c>
      <c r="AT1166" s="13" t="str">
        <f t="shared" si="380"/>
        <v>-</v>
      </c>
      <c r="AU1166" s="8"/>
    </row>
    <row r="1167" spans="8:47" x14ac:dyDescent="0.25">
      <c r="H1167" s="27">
        <f>IF($G1167&lt;&gt;0,SUMIF(куб!$G:$G,$G1167,куб!H:H),IF($E1167&lt;&gt;0,SUMIF(куб!$E:$E,$E1167,куб!H:H),IF($D1167&lt;&gt;0,SUMIF(куб!$D:$D,$D1167,куб!H:H),IF($C1167&lt;&gt;0,SUMIF(куб!$C:$C,$C1167,куб!H:H),IF($B1167&lt;&gt;0,SUMIF(куб!$B:$B,$B1167,куб!H:H),IF($G1167&lt;&gt;0,SUMIF(куб!$A:$A,$G1167,куб!H:H),SUMIF(куб!$A:$A,$G1167,куб!H:H)))))))</f>
        <v>0</v>
      </c>
      <c r="I1167" s="27">
        <f>IF($G1167&lt;&gt;0,SUMIF(куб!$G:$G,$G1167,куб!I:I),IF($E1167&lt;&gt;0,SUMIF(куб!$E:$E,$E1167,куб!I:I),IF($D1167&lt;&gt;0,SUMIF(куб!$D:$D,$D1167,куб!I:I),IF($C1167&lt;&gt;0,SUMIF(куб!$C:$C,$C1167,куб!I:I),IF($B1167&lt;&gt;0,SUMIF(куб!$B:$B,$B1167,куб!I:I),IF($G1167&lt;&gt;0,SUMIF(куб!$A:$A,$G1167,куб!I:I),SUMIF(куб!$A:$A,$G1167,куб!I:I)))))))</f>
        <v>0</v>
      </c>
      <c r="J1167" s="19" t="str">
        <f t="shared" si="363"/>
        <v>-</v>
      </c>
      <c r="K1167" s="8"/>
      <c r="L1167" s="17">
        <f t="shared" si="364"/>
        <v>0</v>
      </c>
      <c r="M1167" s="17">
        <f t="shared" si="365"/>
        <v>0</v>
      </c>
      <c r="N1167" s="12">
        <f t="shared" si="366"/>
        <v>0</v>
      </c>
      <c r="O1167" s="5"/>
      <c r="P1167" s="27" t="b">
        <f>IF($G1167&lt;&gt;0,SUMIF(куб!$G:$G,$G1167,куб!J:J),IF($E1167&lt;&gt;0,SUMIF(куб!$E:$E,$E1167,куб!J:J),IF($D1167&lt;&gt;0,SUMIF(куб!$D:$D,$D1167,куб!J:J),IF($C1167&lt;&gt;0,SUMIF(куб!$C:$C,$C1167,куб!J:J),IF($B1167&lt;&gt;0,SUMIF(куб!$B:$B,$B1167,куб!J:J))))))</f>
        <v>0</v>
      </c>
      <c r="Q1167" s="27" t="b">
        <f>IF($G1167&lt;&gt;0,SUMIF(куб!$G:$G,$G1167,куб!K:K),IF($E1167&lt;&gt;0,SUMIF(куб!$E:$E,$E1167,куб!K:K),IF($D1167&lt;&gt;0,SUMIF(куб!$D:$D,$D1167,куб!K:K),IF($C1167&lt;&gt;0,SUMIF(куб!$C:$C,$C1167,куб!K:K),IF($B1167&lt;&gt;0,SUMIF(куб!$B:$B,$B1167,куб!K:K))))))</f>
        <v>0</v>
      </c>
      <c r="R1167" s="13" t="str">
        <f t="shared" si="367"/>
        <v>-</v>
      </c>
      <c r="S1167" s="5"/>
      <c r="T1167" s="27" t="b">
        <f>IF($G1167&lt;&gt;0,SUMIF(куб!$G:$G,$G1167,куб!L:L),IF($E1167&lt;&gt;0,SUMIF(куб!$E:$E,$E1167,куб!L:L),IF($D1167&lt;&gt;0,SUMIF(куб!$D:$D,$D1167,куб!L:L),IF($C1167&lt;&gt;0,SUMIF(куб!$C:$C,$C1167,куб!L:L),IF($B1167&lt;&gt;0,SUMIF(куб!$B:$B,$B1167,куб!L:L))))))</f>
        <v>0</v>
      </c>
      <c r="U1167" s="27" t="b">
        <f>IF($G1167&lt;&gt;0,SUMIF(куб!$G:$G,$G1167,куб!M:M),IF($E1167&lt;&gt;0,SUMIF(куб!$E:$E,$E1167,куб!M:M),IF($D1167&lt;&gt;0,SUMIF(куб!$D:$D,$D1167,куб!M:M),IF($C1167&lt;&gt;0,SUMIF(куб!$C:$C,$C1167,куб!M:M),IF($B1167&lt;&gt;0,SUMIF(куб!$B:$B,$B1167,куб!M:M))))))</f>
        <v>0</v>
      </c>
      <c r="V1167" s="13" t="str">
        <f t="shared" si="368"/>
        <v>-</v>
      </c>
      <c r="W1167" s="5"/>
      <c r="X1167" s="27" t="b">
        <f>IF($G1167&lt;&gt;0,SUMIF(куб!$G:$G,$G1167,куб!N:N),IF($E1167&lt;&gt;0,SUMIF(куб!$E:$E,$E1167,куб!N:N),IF($D1167&lt;&gt;0,SUMIF(куб!$D:$D,$D1167,куб!N:N),IF($C1167&lt;&gt;0,SUMIF(куб!$C:$C,$C1167,куб!N:N),IF($B1167&lt;&gt;0,SUMIF(куб!$B:$B,$B1167,куб!N:N))))))</f>
        <v>0</v>
      </c>
      <c r="Y1167" s="27" t="b">
        <f>IF($G1167&lt;&gt;0,SUMIF(куб!$G:$G,$G1167,куб!O:O),IF($E1167&lt;&gt;0,SUMIF(куб!$E:$E,$E1167,куб!O:O),IF($D1167&lt;&gt;0,SUMIF(куб!$D:$D,$D1167,куб!O:O),IF($C1167&lt;&gt;0,SUMIF(куб!$C:$C,$C1167,куб!O:O),IF($B1167&lt;&gt;0,SUMIF(куб!$B:$B,$B1167,куб!O:O))))))</f>
        <v>0</v>
      </c>
      <c r="Z1167" s="13" t="str">
        <f t="shared" si="369"/>
        <v>-</v>
      </c>
      <c r="AA1167" s="5"/>
      <c r="AB1167" s="33" t="str">
        <f t="shared" si="370"/>
        <v/>
      </c>
      <c r="AC1167" s="33" t="str">
        <f t="shared" si="371"/>
        <v/>
      </c>
      <c r="AD1167" s="15" t="str">
        <f t="shared" si="372"/>
        <v xml:space="preserve"> </v>
      </c>
      <c r="AE1167" s="5"/>
      <c r="AF1167" s="27" t="b">
        <f>IF($G1167&lt;&gt;0,SUMIF(куб!$G:$G,$G1167,куб!R:R),IF($E1167&lt;&gt;0,SUMIF(куб!$E:$E,$E1167,куб!R:R),IF($D1167&lt;&gt;0,SUMIF(куб!$D:$D,$D1167,куб!R:R),IF($C1167&lt;&gt;0,SUMIF(куб!$C:$C,$C1167,куб!R:R),IF($B1167&lt;&gt;0,SUMIF(куб!$B:$B,$B1167,куб!R:R))))))</f>
        <v>0</v>
      </c>
      <c r="AG1167" s="27" t="b">
        <f>IF($G1167&lt;&gt;0,SUMIF(куб!$G:$G,$G1167,куб!S:S),IF($E1167&lt;&gt;0,SUMIF(куб!$E:$E,$E1167,куб!S:S),IF($D1167&lt;&gt;0,SUMIF(куб!$D:$D,$D1167,куб!S:S),IF($C1167&lt;&gt;0,SUMIF(куб!$C:$C,$C1167,куб!S:S),IF($B1167&lt;&gt;0,SUMIF(куб!$B:$B,$B1167,куб!S:S))))))</f>
        <v>0</v>
      </c>
      <c r="AH1167" s="16" t="str">
        <f t="shared" si="373"/>
        <v>-</v>
      </c>
      <c r="AI1167" s="8"/>
      <c r="AJ1167" s="27" t="b">
        <f>IF($G1167&lt;&gt;0,SUMIF(куб!$G:$G,$G1167,куб!T:T),IF($E1167&lt;&gt;0,SUMIF(куб!$E:$E,$E1167,куб!T:T),IF($D1167&lt;&gt;0,SUMIF(куб!$D:$D,$D1167,куб!T:T),IF($C1167&lt;&gt;0,SUMIF(куб!$C:$C,$C1167,куб!T:T),IF($B1167&lt;&gt;0,SUMIF(куб!$B:$B,$B1167,куб!T:T))))))</f>
        <v>0</v>
      </c>
      <c r="AK1167" s="27" t="b">
        <f>IF($G1167&lt;&gt;0,SUMIF(куб!$G:$G,$G1167,куб!U:U),IF($E1167&lt;&gt;0,SUMIF(куб!$E:$E,$E1167,куб!U:U),IF($D1167&lt;&gt;0,SUMIF(куб!$D:$D,$D1167,куб!U:U),IF($C1167&lt;&gt;0,SUMIF(куб!$C:$C,$C1167,куб!U:U),IF($B1167&lt;&gt;0,SUMIF(куб!$B:$B,$B1167,куб!U:U))))))</f>
        <v>0</v>
      </c>
      <c r="AL1167" s="16" t="str">
        <f t="shared" si="374"/>
        <v>-</v>
      </c>
      <c r="AM1167" s="8"/>
      <c r="AN1167" s="17" t="str">
        <f t="shared" si="375"/>
        <v xml:space="preserve"> </v>
      </c>
      <c r="AO1167" s="17" t="str">
        <f t="shared" si="376"/>
        <v xml:space="preserve"> </v>
      </c>
      <c r="AP1167" s="16" t="str">
        <f t="shared" si="377"/>
        <v>-</v>
      </c>
      <c r="AQ1167" s="8"/>
      <c r="AR1167" s="17" t="str">
        <f t="shared" si="378"/>
        <v>-</v>
      </c>
      <c r="AS1167" s="17" t="str">
        <f t="shared" si="379"/>
        <v>-</v>
      </c>
      <c r="AT1167" s="13" t="str">
        <f t="shared" si="380"/>
        <v>-</v>
      </c>
      <c r="AU1167" s="8"/>
    </row>
    <row r="1168" spans="8:47" x14ac:dyDescent="0.25">
      <c r="H1168" s="27">
        <f>IF($G1168&lt;&gt;0,SUMIF(куб!$G:$G,$G1168,куб!H:H),IF($E1168&lt;&gt;0,SUMIF(куб!$E:$E,$E1168,куб!H:H),IF($D1168&lt;&gt;0,SUMIF(куб!$D:$D,$D1168,куб!H:H),IF($C1168&lt;&gt;0,SUMIF(куб!$C:$C,$C1168,куб!H:H),IF($B1168&lt;&gt;0,SUMIF(куб!$B:$B,$B1168,куб!H:H),IF($G1168&lt;&gt;0,SUMIF(куб!$A:$A,$G1168,куб!H:H),SUMIF(куб!$A:$A,$G1168,куб!H:H)))))))</f>
        <v>0</v>
      </c>
      <c r="I1168" s="27">
        <f>IF($G1168&lt;&gt;0,SUMIF(куб!$G:$G,$G1168,куб!I:I),IF($E1168&lt;&gt;0,SUMIF(куб!$E:$E,$E1168,куб!I:I),IF($D1168&lt;&gt;0,SUMIF(куб!$D:$D,$D1168,куб!I:I),IF($C1168&lt;&gt;0,SUMIF(куб!$C:$C,$C1168,куб!I:I),IF($B1168&lt;&gt;0,SUMIF(куб!$B:$B,$B1168,куб!I:I),IF($G1168&lt;&gt;0,SUMIF(куб!$A:$A,$G1168,куб!I:I),SUMIF(куб!$A:$A,$G1168,куб!I:I)))))))</f>
        <v>0</v>
      </c>
      <c r="J1168" s="19" t="str">
        <f t="shared" si="363"/>
        <v>-</v>
      </c>
      <c r="K1168" s="8"/>
      <c r="L1168" s="17">
        <f t="shared" si="364"/>
        <v>0</v>
      </c>
      <c r="M1168" s="17">
        <f t="shared" si="365"/>
        <v>0</v>
      </c>
      <c r="N1168" s="12">
        <f t="shared" si="366"/>
        <v>0</v>
      </c>
      <c r="O1168" s="5"/>
      <c r="P1168" s="27" t="b">
        <f>IF($G1168&lt;&gt;0,SUMIF(куб!$G:$G,$G1168,куб!J:J),IF($E1168&lt;&gt;0,SUMIF(куб!$E:$E,$E1168,куб!J:J),IF($D1168&lt;&gt;0,SUMIF(куб!$D:$D,$D1168,куб!J:J),IF($C1168&lt;&gt;0,SUMIF(куб!$C:$C,$C1168,куб!J:J),IF($B1168&lt;&gt;0,SUMIF(куб!$B:$B,$B1168,куб!J:J))))))</f>
        <v>0</v>
      </c>
      <c r="Q1168" s="27" t="b">
        <f>IF($G1168&lt;&gt;0,SUMIF(куб!$G:$G,$G1168,куб!K:K),IF($E1168&lt;&gt;0,SUMIF(куб!$E:$E,$E1168,куб!K:K),IF($D1168&lt;&gt;0,SUMIF(куб!$D:$D,$D1168,куб!K:K),IF($C1168&lt;&gt;0,SUMIF(куб!$C:$C,$C1168,куб!K:K),IF($B1168&lt;&gt;0,SUMIF(куб!$B:$B,$B1168,куб!K:K))))))</f>
        <v>0</v>
      </c>
      <c r="R1168" s="13" t="str">
        <f t="shared" si="367"/>
        <v>-</v>
      </c>
      <c r="S1168" s="5"/>
      <c r="T1168" s="27" t="b">
        <f>IF($G1168&lt;&gt;0,SUMIF(куб!$G:$G,$G1168,куб!L:L),IF($E1168&lt;&gt;0,SUMIF(куб!$E:$E,$E1168,куб!L:L),IF($D1168&lt;&gt;0,SUMIF(куб!$D:$D,$D1168,куб!L:L),IF($C1168&lt;&gt;0,SUMIF(куб!$C:$C,$C1168,куб!L:L),IF($B1168&lt;&gt;0,SUMIF(куб!$B:$B,$B1168,куб!L:L))))))</f>
        <v>0</v>
      </c>
      <c r="U1168" s="27" t="b">
        <f>IF($G1168&lt;&gt;0,SUMIF(куб!$G:$G,$G1168,куб!M:M),IF($E1168&lt;&gt;0,SUMIF(куб!$E:$E,$E1168,куб!M:M),IF($D1168&lt;&gt;0,SUMIF(куб!$D:$D,$D1168,куб!M:M),IF($C1168&lt;&gt;0,SUMIF(куб!$C:$C,$C1168,куб!M:M),IF($B1168&lt;&gt;0,SUMIF(куб!$B:$B,$B1168,куб!M:M))))))</f>
        <v>0</v>
      </c>
      <c r="V1168" s="13" t="str">
        <f t="shared" si="368"/>
        <v>-</v>
      </c>
      <c r="W1168" s="5"/>
      <c r="X1168" s="27" t="b">
        <f>IF($G1168&lt;&gt;0,SUMIF(куб!$G:$G,$G1168,куб!N:N),IF($E1168&lt;&gt;0,SUMIF(куб!$E:$E,$E1168,куб!N:N),IF($D1168&lt;&gt;0,SUMIF(куб!$D:$D,$D1168,куб!N:N),IF($C1168&lt;&gt;0,SUMIF(куб!$C:$C,$C1168,куб!N:N),IF($B1168&lt;&gt;0,SUMIF(куб!$B:$B,$B1168,куб!N:N))))))</f>
        <v>0</v>
      </c>
      <c r="Y1168" s="27" t="b">
        <f>IF($G1168&lt;&gt;0,SUMIF(куб!$G:$G,$G1168,куб!O:O),IF($E1168&lt;&gt;0,SUMIF(куб!$E:$E,$E1168,куб!O:O),IF($D1168&lt;&gt;0,SUMIF(куб!$D:$D,$D1168,куб!O:O),IF($C1168&lt;&gt;0,SUMIF(куб!$C:$C,$C1168,куб!O:O),IF($B1168&lt;&gt;0,SUMIF(куб!$B:$B,$B1168,куб!O:O))))))</f>
        <v>0</v>
      </c>
      <c r="Z1168" s="13" t="str">
        <f t="shared" si="369"/>
        <v>-</v>
      </c>
      <c r="AA1168" s="5"/>
      <c r="AB1168" s="33" t="str">
        <f t="shared" si="370"/>
        <v/>
      </c>
      <c r="AC1168" s="33" t="str">
        <f t="shared" si="371"/>
        <v/>
      </c>
      <c r="AD1168" s="15" t="str">
        <f t="shared" si="372"/>
        <v xml:space="preserve"> </v>
      </c>
      <c r="AE1168" s="5"/>
      <c r="AF1168" s="27" t="b">
        <f>IF($G1168&lt;&gt;0,SUMIF(куб!$G:$G,$G1168,куб!R:R),IF($E1168&lt;&gt;0,SUMIF(куб!$E:$E,$E1168,куб!R:R),IF($D1168&lt;&gt;0,SUMIF(куб!$D:$D,$D1168,куб!R:R),IF($C1168&lt;&gt;0,SUMIF(куб!$C:$C,$C1168,куб!R:R),IF($B1168&lt;&gt;0,SUMIF(куб!$B:$B,$B1168,куб!R:R))))))</f>
        <v>0</v>
      </c>
      <c r="AG1168" s="27" t="b">
        <f>IF($G1168&lt;&gt;0,SUMIF(куб!$G:$G,$G1168,куб!S:S),IF($E1168&lt;&gt;0,SUMIF(куб!$E:$E,$E1168,куб!S:S),IF($D1168&lt;&gt;0,SUMIF(куб!$D:$D,$D1168,куб!S:S),IF($C1168&lt;&gt;0,SUMIF(куб!$C:$C,$C1168,куб!S:S),IF($B1168&lt;&gt;0,SUMIF(куб!$B:$B,$B1168,куб!S:S))))))</f>
        <v>0</v>
      </c>
      <c r="AH1168" s="16" t="str">
        <f t="shared" si="373"/>
        <v>-</v>
      </c>
      <c r="AI1168" s="8"/>
      <c r="AJ1168" s="27" t="b">
        <f>IF($G1168&lt;&gt;0,SUMIF(куб!$G:$G,$G1168,куб!T:T),IF($E1168&lt;&gt;0,SUMIF(куб!$E:$E,$E1168,куб!T:T),IF($D1168&lt;&gt;0,SUMIF(куб!$D:$D,$D1168,куб!T:T),IF($C1168&lt;&gt;0,SUMIF(куб!$C:$C,$C1168,куб!T:T),IF($B1168&lt;&gt;0,SUMIF(куб!$B:$B,$B1168,куб!T:T))))))</f>
        <v>0</v>
      </c>
      <c r="AK1168" s="27" t="b">
        <f>IF($G1168&lt;&gt;0,SUMIF(куб!$G:$G,$G1168,куб!U:U),IF($E1168&lt;&gt;0,SUMIF(куб!$E:$E,$E1168,куб!U:U),IF($D1168&lt;&gt;0,SUMIF(куб!$D:$D,$D1168,куб!U:U),IF($C1168&lt;&gt;0,SUMIF(куб!$C:$C,$C1168,куб!U:U),IF($B1168&lt;&gt;0,SUMIF(куб!$B:$B,$B1168,куб!U:U))))))</f>
        <v>0</v>
      </c>
      <c r="AL1168" s="16" t="str">
        <f t="shared" si="374"/>
        <v>-</v>
      </c>
      <c r="AM1168" s="8"/>
      <c r="AN1168" s="17" t="str">
        <f t="shared" si="375"/>
        <v xml:space="preserve"> </v>
      </c>
      <c r="AO1168" s="17" t="str">
        <f t="shared" si="376"/>
        <v xml:space="preserve"> </v>
      </c>
      <c r="AP1168" s="16" t="str">
        <f t="shared" si="377"/>
        <v>-</v>
      </c>
      <c r="AQ1168" s="8"/>
      <c r="AR1168" s="17" t="str">
        <f t="shared" si="378"/>
        <v>-</v>
      </c>
      <c r="AS1168" s="17" t="str">
        <f t="shared" si="379"/>
        <v>-</v>
      </c>
      <c r="AT1168" s="13" t="str">
        <f t="shared" si="380"/>
        <v>-</v>
      </c>
      <c r="AU1168" s="8"/>
    </row>
    <row r="1169" spans="8:47" x14ac:dyDescent="0.25">
      <c r="H1169" s="27">
        <f>IF($G1169&lt;&gt;0,SUMIF(куб!$G:$G,$G1169,куб!H:H),IF($E1169&lt;&gt;0,SUMIF(куб!$E:$E,$E1169,куб!H:H),IF($D1169&lt;&gt;0,SUMIF(куб!$D:$D,$D1169,куб!H:H),IF($C1169&lt;&gt;0,SUMIF(куб!$C:$C,$C1169,куб!H:H),IF($B1169&lt;&gt;0,SUMIF(куб!$B:$B,$B1169,куб!H:H),IF($G1169&lt;&gt;0,SUMIF(куб!$A:$A,$G1169,куб!H:H),SUMIF(куб!$A:$A,$G1169,куб!H:H)))))))</f>
        <v>0</v>
      </c>
      <c r="I1169" s="27">
        <f>IF($G1169&lt;&gt;0,SUMIF(куб!$G:$G,$G1169,куб!I:I),IF($E1169&lt;&gt;0,SUMIF(куб!$E:$E,$E1169,куб!I:I),IF($D1169&lt;&gt;0,SUMIF(куб!$D:$D,$D1169,куб!I:I),IF($C1169&lt;&gt;0,SUMIF(куб!$C:$C,$C1169,куб!I:I),IF($B1169&lt;&gt;0,SUMIF(куб!$B:$B,$B1169,куб!I:I),IF($G1169&lt;&gt;0,SUMIF(куб!$A:$A,$G1169,куб!I:I),SUMIF(куб!$A:$A,$G1169,куб!I:I)))))))</f>
        <v>0</v>
      </c>
      <c r="J1169" s="19" t="str">
        <f t="shared" si="363"/>
        <v>-</v>
      </c>
      <c r="K1169" s="8"/>
      <c r="L1169" s="17">
        <f t="shared" si="364"/>
        <v>0</v>
      </c>
      <c r="M1169" s="17">
        <f t="shared" si="365"/>
        <v>0</v>
      </c>
      <c r="N1169" s="12">
        <f t="shared" si="366"/>
        <v>0</v>
      </c>
      <c r="O1169" s="5"/>
      <c r="P1169" s="27" t="b">
        <f>IF($G1169&lt;&gt;0,SUMIF(куб!$G:$G,$G1169,куб!J:J),IF($E1169&lt;&gt;0,SUMIF(куб!$E:$E,$E1169,куб!J:J),IF($D1169&lt;&gt;0,SUMIF(куб!$D:$D,$D1169,куб!J:J),IF($C1169&lt;&gt;0,SUMIF(куб!$C:$C,$C1169,куб!J:J),IF($B1169&lt;&gt;0,SUMIF(куб!$B:$B,$B1169,куб!J:J))))))</f>
        <v>0</v>
      </c>
      <c r="Q1169" s="27" t="b">
        <f>IF($G1169&lt;&gt;0,SUMIF(куб!$G:$G,$G1169,куб!K:K),IF($E1169&lt;&gt;0,SUMIF(куб!$E:$E,$E1169,куб!K:K),IF($D1169&lt;&gt;0,SUMIF(куб!$D:$D,$D1169,куб!K:K),IF($C1169&lt;&gt;0,SUMIF(куб!$C:$C,$C1169,куб!K:K),IF($B1169&lt;&gt;0,SUMIF(куб!$B:$B,$B1169,куб!K:K))))))</f>
        <v>0</v>
      </c>
      <c r="R1169" s="13" t="str">
        <f t="shared" si="367"/>
        <v>-</v>
      </c>
      <c r="S1169" s="5"/>
      <c r="T1169" s="27" t="b">
        <f>IF($G1169&lt;&gt;0,SUMIF(куб!$G:$G,$G1169,куб!L:L),IF($E1169&lt;&gt;0,SUMIF(куб!$E:$E,$E1169,куб!L:L),IF($D1169&lt;&gt;0,SUMIF(куб!$D:$D,$D1169,куб!L:L),IF($C1169&lt;&gt;0,SUMIF(куб!$C:$C,$C1169,куб!L:L),IF($B1169&lt;&gt;0,SUMIF(куб!$B:$B,$B1169,куб!L:L))))))</f>
        <v>0</v>
      </c>
      <c r="U1169" s="27" t="b">
        <f>IF($G1169&lt;&gt;0,SUMIF(куб!$G:$G,$G1169,куб!M:M),IF($E1169&lt;&gt;0,SUMIF(куб!$E:$E,$E1169,куб!M:M),IF($D1169&lt;&gt;0,SUMIF(куб!$D:$D,$D1169,куб!M:M),IF($C1169&lt;&gt;0,SUMIF(куб!$C:$C,$C1169,куб!M:M),IF($B1169&lt;&gt;0,SUMIF(куб!$B:$B,$B1169,куб!M:M))))))</f>
        <v>0</v>
      </c>
      <c r="V1169" s="13" t="str">
        <f t="shared" si="368"/>
        <v>-</v>
      </c>
      <c r="W1169" s="5"/>
      <c r="X1169" s="27" t="b">
        <f>IF($G1169&lt;&gt;0,SUMIF(куб!$G:$G,$G1169,куб!N:N),IF($E1169&lt;&gt;0,SUMIF(куб!$E:$E,$E1169,куб!N:N),IF($D1169&lt;&gt;0,SUMIF(куб!$D:$D,$D1169,куб!N:N),IF($C1169&lt;&gt;0,SUMIF(куб!$C:$C,$C1169,куб!N:N),IF($B1169&lt;&gt;0,SUMIF(куб!$B:$B,$B1169,куб!N:N))))))</f>
        <v>0</v>
      </c>
      <c r="Y1169" s="27" t="b">
        <f>IF($G1169&lt;&gt;0,SUMIF(куб!$G:$G,$G1169,куб!O:O),IF($E1169&lt;&gt;0,SUMIF(куб!$E:$E,$E1169,куб!O:O),IF($D1169&lt;&gt;0,SUMIF(куб!$D:$D,$D1169,куб!O:O),IF($C1169&lt;&gt;0,SUMIF(куб!$C:$C,$C1169,куб!O:O),IF($B1169&lt;&gt;0,SUMIF(куб!$B:$B,$B1169,куб!O:O))))))</f>
        <v>0</v>
      </c>
      <c r="Z1169" s="13" t="str">
        <f t="shared" si="369"/>
        <v>-</v>
      </c>
      <c r="AA1169" s="5"/>
      <c r="AB1169" s="33" t="str">
        <f t="shared" si="370"/>
        <v/>
      </c>
      <c r="AC1169" s="33" t="str">
        <f t="shared" si="371"/>
        <v/>
      </c>
      <c r="AD1169" s="15" t="str">
        <f t="shared" si="372"/>
        <v xml:space="preserve"> </v>
      </c>
      <c r="AE1169" s="5"/>
      <c r="AF1169" s="27" t="b">
        <f>IF($G1169&lt;&gt;0,SUMIF(куб!$G:$G,$G1169,куб!R:R),IF($E1169&lt;&gt;0,SUMIF(куб!$E:$E,$E1169,куб!R:R),IF($D1169&lt;&gt;0,SUMIF(куб!$D:$D,$D1169,куб!R:R),IF($C1169&lt;&gt;0,SUMIF(куб!$C:$C,$C1169,куб!R:R),IF($B1169&lt;&gt;0,SUMIF(куб!$B:$B,$B1169,куб!R:R))))))</f>
        <v>0</v>
      </c>
      <c r="AG1169" s="27" t="b">
        <f>IF($G1169&lt;&gt;0,SUMIF(куб!$G:$G,$G1169,куб!S:S),IF($E1169&lt;&gt;0,SUMIF(куб!$E:$E,$E1169,куб!S:S),IF($D1169&lt;&gt;0,SUMIF(куб!$D:$D,$D1169,куб!S:S),IF($C1169&lt;&gt;0,SUMIF(куб!$C:$C,$C1169,куб!S:S),IF($B1169&lt;&gt;0,SUMIF(куб!$B:$B,$B1169,куб!S:S))))))</f>
        <v>0</v>
      </c>
      <c r="AH1169" s="16" t="str">
        <f t="shared" si="373"/>
        <v>-</v>
      </c>
      <c r="AI1169" s="8"/>
      <c r="AJ1169" s="27" t="b">
        <f>IF($G1169&lt;&gt;0,SUMIF(куб!$G:$G,$G1169,куб!T:T),IF($E1169&lt;&gt;0,SUMIF(куб!$E:$E,$E1169,куб!T:T),IF($D1169&lt;&gt;0,SUMIF(куб!$D:$D,$D1169,куб!T:T),IF($C1169&lt;&gt;0,SUMIF(куб!$C:$C,$C1169,куб!T:T),IF($B1169&lt;&gt;0,SUMIF(куб!$B:$B,$B1169,куб!T:T))))))</f>
        <v>0</v>
      </c>
      <c r="AK1169" s="27" t="b">
        <f>IF($G1169&lt;&gt;0,SUMIF(куб!$G:$G,$G1169,куб!U:U),IF($E1169&lt;&gt;0,SUMIF(куб!$E:$E,$E1169,куб!U:U),IF($D1169&lt;&gt;0,SUMIF(куб!$D:$D,$D1169,куб!U:U),IF($C1169&lt;&gt;0,SUMIF(куб!$C:$C,$C1169,куб!U:U),IF($B1169&lt;&gt;0,SUMIF(куб!$B:$B,$B1169,куб!U:U))))))</f>
        <v>0</v>
      </c>
      <c r="AL1169" s="16" t="str">
        <f t="shared" si="374"/>
        <v>-</v>
      </c>
      <c r="AM1169" s="8"/>
      <c r="AN1169" s="17" t="str">
        <f t="shared" si="375"/>
        <v xml:space="preserve"> </v>
      </c>
      <c r="AO1169" s="17" t="str">
        <f t="shared" si="376"/>
        <v xml:space="preserve"> </v>
      </c>
      <c r="AP1169" s="16" t="str">
        <f t="shared" si="377"/>
        <v>-</v>
      </c>
      <c r="AQ1169" s="8"/>
      <c r="AR1169" s="17" t="str">
        <f t="shared" si="378"/>
        <v>-</v>
      </c>
      <c r="AS1169" s="17" t="str">
        <f t="shared" si="379"/>
        <v>-</v>
      </c>
      <c r="AT1169" s="13" t="str">
        <f t="shared" si="380"/>
        <v>-</v>
      </c>
      <c r="AU1169" s="8"/>
    </row>
    <row r="1170" spans="8:47" x14ac:dyDescent="0.25">
      <c r="H1170" s="27">
        <f>IF($G1170&lt;&gt;0,SUMIF(куб!$G:$G,$G1170,куб!H:H),IF($E1170&lt;&gt;0,SUMIF(куб!$E:$E,$E1170,куб!H:H),IF($D1170&lt;&gt;0,SUMIF(куб!$D:$D,$D1170,куб!H:H),IF($C1170&lt;&gt;0,SUMIF(куб!$C:$C,$C1170,куб!H:H),IF($B1170&lt;&gt;0,SUMIF(куб!$B:$B,$B1170,куб!H:H),IF($G1170&lt;&gt;0,SUMIF(куб!$A:$A,$G1170,куб!H:H),SUMIF(куб!$A:$A,$G1170,куб!H:H)))))))</f>
        <v>0</v>
      </c>
      <c r="I1170" s="27">
        <f>IF($G1170&lt;&gt;0,SUMIF(куб!$G:$G,$G1170,куб!I:I),IF($E1170&lt;&gt;0,SUMIF(куб!$E:$E,$E1170,куб!I:I),IF($D1170&lt;&gt;0,SUMIF(куб!$D:$D,$D1170,куб!I:I),IF($C1170&lt;&gt;0,SUMIF(куб!$C:$C,$C1170,куб!I:I),IF($B1170&lt;&gt;0,SUMIF(куб!$B:$B,$B1170,куб!I:I),IF($G1170&lt;&gt;0,SUMIF(куб!$A:$A,$G1170,куб!I:I),SUMIF(куб!$A:$A,$G1170,куб!I:I)))))))</f>
        <v>0</v>
      </c>
      <c r="J1170" s="19" t="str">
        <f t="shared" si="363"/>
        <v>-</v>
      </c>
      <c r="K1170" s="8"/>
      <c r="L1170" s="17">
        <f t="shared" si="364"/>
        <v>0</v>
      </c>
      <c r="M1170" s="17">
        <f t="shared" si="365"/>
        <v>0</v>
      </c>
      <c r="N1170" s="12">
        <f t="shared" si="366"/>
        <v>0</v>
      </c>
      <c r="O1170" s="5"/>
      <c r="P1170" s="27" t="b">
        <f>IF($G1170&lt;&gt;0,SUMIF(куб!$G:$G,$G1170,куб!J:J),IF($E1170&lt;&gt;0,SUMIF(куб!$E:$E,$E1170,куб!J:J),IF($D1170&lt;&gt;0,SUMIF(куб!$D:$D,$D1170,куб!J:J),IF($C1170&lt;&gt;0,SUMIF(куб!$C:$C,$C1170,куб!J:J),IF($B1170&lt;&gt;0,SUMIF(куб!$B:$B,$B1170,куб!J:J))))))</f>
        <v>0</v>
      </c>
      <c r="Q1170" s="27" t="b">
        <f>IF($G1170&lt;&gt;0,SUMIF(куб!$G:$G,$G1170,куб!K:K),IF($E1170&lt;&gt;0,SUMIF(куб!$E:$E,$E1170,куб!K:K),IF($D1170&lt;&gt;0,SUMIF(куб!$D:$D,$D1170,куб!K:K),IF($C1170&lt;&gt;0,SUMIF(куб!$C:$C,$C1170,куб!K:K),IF($B1170&lt;&gt;0,SUMIF(куб!$B:$B,$B1170,куб!K:K))))))</f>
        <v>0</v>
      </c>
      <c r="R1170" s="13" t="str">
        <f t="shared" si="367"/>
        <v>-</v>
      </c>
      <c r="S1170" s="5"/>
      <c r="T1170" s="27" t="b">
        <f>IF($G1170&lt;&gt;0,SUMIF(куб!$G:$G,$G1170,куб!L:L),IF($E1170&lt;&gt;0,SUMIF(куб!$E:$E,$E1170,куб!L:L),IF($D1170&lt;&gt;0,SUMIF(куб!$D:$D,$D1170,куб!L:L),IF($C1170&lt;&gt;0,SUMIF(куб!$C:$C,$C1170,куб!L:L),IF($B1170&lt;&gt;0,SUMIF(куб!$B:$B,$B1170,куб!L:L))))))</f>
        <v>0</v>
      </c>
      <c r="U1170" s="27" t="b">
        <f>IF($G1170&lt;&gt;0,SUMIF(куб!$G:$G,$G1170,куб!M:M),IF($E1170&lt;&gt;0,SUMIF(куб!$E:$E,$E1170,куб!M:M),IF($D1170&lt;&gt;0,SUMIF(куб!$D:$D,$D1170,куб!M:M),IF($C1170&lt;&gt;0,SUMIF(куб!$C:$C,$C1170,куб!M:M),IF($B1170&lt;&gt;0,SUMIF(куб!$B:$B,$B1170,куб!M:M))))))</f>
        <v>0</v>
      </c>
      <c r="V1170" s="13" t="str">
        <f t="shared" si="368"/>
        <v>-</v>
      </c>
      <c r="W1170" s="5"/>
      <c r="X1170" s="27" t="b">
        <f>IF($G1170&lt;&gt;0,SUMIF(куб!$G:$G,$G1170,куб!N:N),IF($E1170&lt;&gt;0,SUMIF(куб!$E:$E,$E1170,куб!N:N),IF($D1170&lt;&gt;0,SUMIF(куб!$D:$D,$D1170,куб!N:N),IF($C1170&lt;&gt;0,SUMIF(куб!$C:$C,$C1170,куб!N:N),IF($B1170&lt;&gt;0,SUMIF(куб!$B:$B,$B1170,куб!N:N))))))</f>
        <v>0</v>
      </c>
      <c r="Y1170" s="27" t="b">
        <f>IF($G1170&lt;&gt;0,SUMIF(куб!$G:$G,$G1170,куб!O:O),IF($E1170&lt;&gt;0,SUMIF(куб!$E:$E,$E1170,куб!O:O),IF($D1170&lt;&gt;0,SUMIF(куб!$D:$D,$D1170,куб!O:O),IF($C1170&lt;&gt;0,SUMIF(куб!$C:$C,$C1170,куб!O:O),IF($B1170&lt;&gt;0,SUMIF(куб!$B:$B,$B1170,куб!O:O))))))</f>
        <v>0</v>
      </c>
      <c r="Z1170" s="13" t="str">
        <f t="shared" si="369"/>
        <v>-</v>
      </c>
      <c r="AA1170" s="5"/>
      <c r="AB1170" s="33" t="str">
        <f t="shared" si="370"/>
        <v/>
      </c>
      <c r="AC1170" s="33" t="str">
        <f t="shared" si="371"/>
        <v/>
      </c>
      <c r="AD1170" s="15" t="str">
        <f t="shared" si="372"/>
        <v xml:space="preserve"> </v>
      </c>
      <c r="AE1170" s="5"/>
      <c r="AF1170" s="27" t="b">
        <f>IF($G1170&lt;&gt;0,SUMIF(куб!$G:$G,$G1170,куб!R:R),IF($E1170&lt;&gt;0,SUMIF(куб!$E:$E,$E1170,куб!R:R),IF($D1170&lt;&gt;0,SUMIF(куб!$D:$D,$D1170,куб!R:R),IF($C1170&lt;&gt;0,SUMIF(куб!$C:$C,$C1170,куб!R:R),IF($B1170&lt;&gt;0,SUMIF(куб!$B:$B,$B1170,куб!R:R))))))</f>
        <v>0</v>
      </c>
      <c r="AG1170" s="27" t="b">
        <f>IF($G1170&lt;&gt;0,SUMIF(куб!$G:$G,$G1170,куб!S:S),IF($E1170&lt;&gt;0,SUMIF(куб!$E:$E,$E1170,куб!S:S),IF($D1170&lt;&gt;0,SUMIF(куб!$D:$D,$D1170,куб!S:S),IF($C1170&lt;&gt;0,SUMIF(куб!$C:$C,$C1170,куб!S:S),IF($B1170&lt;&gt;0,SUMIF(куб!$B:$B,$B1170,куб!S:S))))))</f>
        <v>0</v>
      </c>
      <c r="AH1170" s="16" t="str">
        <f t="shared" si="373"/>
        <v>-</v>
      </c>
      <c r="AI1170" s="8"/>
      <c r="AJ1170" s="27" t="b">
        <f>IF($G1170&lt;&gt;0,SUMIF(куб!$G:$G,$G1170,куб!T:T),IF($E1170&lt;&gt;0,SUMIF(куб!$E:$E,$E1170,куб!T:T),IF($D1170&lt;&gt;0,SUMIF(куб!$D:$D,$D1170,куб!T:T),IF($C1170&lt;&gt;0,SUMIF(куб!$C:$C,$C1170,куб!T:T),IF($B1170&lt;&gt;0,SUMIF(куб!$B:$B,$B1170,куб!T:T))))))</f>
        <v>0</v>
      </c>
      <c r="AK1170" s="27" t="b">
        <f>IF($G1170&lt;&gt;0,SUMIF(куб!$G:$G,$G1170,куб!U:U),IF($E1170&lt;&gt;0,SUMIF(куб!$E:$E,$E1170,куб!U:U),IF($D1170&lt;&gt;0,SUMIF(куб!$D:$D,$D1170,куб!U:U),IF($C1170&lt;&gt;0,SUMIF(куб!$C:$C,$C1170,куб!U:U),IF($B1170&lt;&gt;0,SUMIF(куб!$B:$B,$B1170,куб!U:U))))))</f>
        <v>0</v>
      </c>
      <c r="AL1170" s="16" t="str">
        <f t="shared" si="374"/>
        <v>-</v>
      </c>
      <c r="AM1170" s="8"/>
      <c r="AN1170" s="17" t="str">
        <f t="shared" si="375"/>
        <v xml:space="preserve"> </v>
      </c>
      <c r="AO1170" s="17" t="str">
        <f t="shared" si="376"/>
        <v xml:space="preserve"> </v>
      </c>
      <c r="AP1170" s="16" t="str">
        <f t="shared" si="377"/>
        <v>-</v>
      </c>
      <c r="AQ1170" s="8"/>
      <c r="AR1170" s="17" t="str">
        <f t="shared" si="378"/>
        <v>-</v>
      </c>
      <c r="AS1170" s="17" t="str">
        <f t="shared" si="379"/>
        <v>-</v>
      </c>
      <c r="AT1170" s="13" t="str">
        <f t="shared" si="380"/>
        <v>-</v>
      </c>
      <c r="AU1170" s="8"/>
    </row>
    <row r="1171" spans="8:47" x14ac:dyDescent="0.25">
      <c r="H1171" s="27">
        <f>IF($G1171&lt;&gt;0,SUMIF(куб!$G:$G,$G1171,куб!H:H),IF($E1171&lt;&gt;0,SUMIF(куб!$E:$E,$E1171,куб!H:H),IF($D1171&lt;&gt;0,SUMIF(куб!$D:$D,$D1171,куб!H:H),IF($C1171&lt;&gt;0,SUMIF(куб!$C:$C,$C1171,куб!H:H),IF($B1171&lt;&gt;0,SUMIF(куб!$B:$B,$B1171,куб!H:H),IF($G1171&lt;&gt;0,SUMIF(куб!$A:$A,$G1171,куб!H:H),SUMIF(куб!$A:$A,$G1171,куб!H:H)))))))</f>
        <v>0</v>
      </c>
      <c r="I1171" s="27">
        <f>IF($G1171&lt;&gt;0,SUMIF(куб!$G:$G,$G1171,куб!I:I),IF($E1171&lt;&gt;0,SUMIF(куб!$E:$E,$E1171,куб!I:I),IF($D1171&lt;&gt;0,SUMIF(куб!$D:$D,$D1171,куб!I:I),IF($C1171&lt;&gt;0,SUMIF(куб!$C:$C,$C1171,куб!I:I),IF($B1171&lt;&gt;0,SUMIF(куб!$B:$B,$B1171,куб!I:I),IF($G1171&lt;&gt;0,SUMIF(куб!$A:$A,$G1171,куб!I:I),SUMIF(куб!$A:$A,$G1171,куб!I:I)))))))</f>
        <v>0</v>
      </c>
      <c r="J1171" s="19" t="str">
        <f t="shared" si="363"/>
        <v>-</v>
      </c>
      <c r="K1171" s="8"/>
      <c r="L1171" s="17">
        <f t="shared" si="364"/>
        <v>0</v>
      </c>
      <c r="M1171" s="17">
        <f t="shared" si="365"/>
        <v>0</v>
      </c>
      <c r="N1171" s="12">
        <f t="shared" si="366"/>
        <v>0</v>
      </c>
      <c r="O1171" s="5"/>
      <c r="P1171" s="27" t="b">
        <f>IF($G1171&lt;&gt;0,SUMIF(куб!$G:$G,$G1171,куб!J:J),IF($E1171&lt;&gt;0,SUMIF(куб!$E:$E,$E1171,куб!J:J),IF($D1171&lt;&gt;0,SUMIF(куб!$D:$D,$D1171,куб!J:J),IF($C1171&lt;&gt;0,SUMIF(куб!$C:$C,$C1171,куб!J:J),IF($B1171&lt;&gt;0,SUMIF(куб!$B:$B,$B1171,куб!J:J))))))</f>
        <v>0</v>
      </c>
      <c r="Q1171" s="27" t="b">
        <f>IF($G1171&lt;&gt;0,SUMIF(куб!$G:$G,$G1171,куб!K:K),IF($E1171&lt;&gt;0,SUMIF(куб!$E:$E,$E1171,куб!K:K),IF($D1171&lt;&gt;0,SUMIF(куб!$D:$D,$D1171,куб!K:K),IF($C1171&lt;&gt;0,SUMIF(куб!$C:$C,$C1171,куб!K:K),IF($B1171&lt;&gt;0,SUMIF(куб!$B:$B,$B1171,куб!K:K))))))</f>
        <v>0</v>
      </c>
      <c r="R1171" s="13" t="str">
        <f t="shared" si="367"/>
        <v>-</v>
      </c>
      <c r="S1171" s="5"/>
      <c r="T1171" s="27" t="b">
        <f>IF($G1171&lt;&gt;0,SUMIF(куб!$G:$G,$G1171,куб!L:L),IF($E1171&lt;&gt;0,SUMIF(куб!$E:$E,$E1171,куб!L:L),IF($D1171&lt;&gt;0,SUMIF(куб!$D:$D,$D1171,куб!L:L),IF($C1171&lt;&gt;0,SUMIF(куб!$C:$C,$C1171,куб!L:L),IF($B1171&lt;&gt;0,SUMIF(куб!$B:$B,$B1171,куб!L:L))))))</f>
        <v>0</v>
      </c>
      <c r="U1171" s="27" t="b">
        <f>IF($G1171&lt;&gt;0,SUMIF(куб!$G:$G,$G1171,куб!M:M),IF($E1171&lt;&gt;0,SUMIF(куб!$E:$E,$E1171,куб!M:M),IF($D1171&lt;&gt;0,SUMIF(куб!$D:$D,$D1171,куб!M:M),IF($C1171&lt;&gt;0,SUMIF(куб!$C:$C,$C1171,куб!M:M),IF($B1171&lt;&gt;0,SUMIF(куб!$B:$B,$B1171,куб!M:M))))))</f>
        <v>0</v>
      </c>
      <c r="V1171" s="13" t="str">
        <f t="shared" si="368"/>
        <v>-</v>
      </c>
      <c r="W1171" s="5"/>
      <c r="X1171" s="27" t="b">
        <f>IF($G1171&lt;&gt;0,SUMIF(куб!$G:$G,$G1171,куб!N:N),IF($E1171&lt;&gt;0,SUMIF(куб!$E:$E,$E1171,куб!N:N),IF($D1171&lt;&gt;0,SUMIF(куб!$D:$D,$D1171,куб!N:N),IF($C1171&lt;&gt;0,SUMIF(куб!$C:$C,$C1171,куб!N:N),IF($B1171&lt;&gt;0,SUMIF(куб!$B:$B,$B1171,куб!N:N))))))</f>
        <v>0</v>
      </c>
      <c r="Y1171" s="27" t="b">
        <f>IF($G1171&lt;&gt;0,SUMIF(куб!$G:$G,$G1171,куб!O:O),IF($E1171&lt;&gt;0,SUMIF(куб!$E:$E,$E1171,куб!O:O),IF($D1171&lt;&gt;0,SUMIF(куб!$D:$D,$D1171,куб!O:O),IF($C1171&lt;&gt;0,SUMIF(куб!$C:$C,$C1171,куб!O:O),IF($B1171&lt;&gt;0,SUMIF(куб!$B:$B,$B1171,куб!O:O))))))</f>
        <v>0</v>
      </c>
      <c r="Z1171" s="13" t="str">
        <f t="shared" si="369"/>
        <v>-</v>
      </c>
      <c r="AA1171" s="5"/>
      <c r="AB1171" s="33" t="str">
        <f t="shared" si="370"/>
        <v/>
      </c>
      <c r="AC1171" s="33" t="str">
        <f t="shared" si="371"/>
        <v/>
      </c>
      <c r="AD1171" s="15" t="str">
        <f t="shared" si="372"/>
        <v xml:space="preserve"> </v>
      </c>
      <c r="AE1171" s="5"/>
      <c r="AF1171" s="27" t="b">
        <f>IF($G1171&lt;&gt;0,SUMIF(куб!$G:$G,$G1171,куб!R:R),IF($E1171&lt;&gt;0,SUMIF(куб!$E:$E,$E1171,куб!R:R),IF($D1171&lt;&gt;0,SUMIF(куб!$D:$D,$D1171,куб!R:R),IF($C1171&lt;&gt;0,SUMIF(куб!$C:$C,$C1171,куб!R:R),IF($B1171&lt;&gt;0,SUMIF(куб!$B:$B,$B1171,куб!R:R))))))</f>
        <v>0</v>
      </c>
      <c r="AG1171" s="27" t="b">
        <f>IF($G1171&lt;&gt;0,SUMIF(куб!$G:$G,$G1171,куб!S:S),IF($E1171&lt;&gt;0,SUMIF(куб!$E:$E,$E1171,куб!S:S),IF($D1171&lt;&gt;0,SUMIF(куб!$D:$D,$D1171,куб!S:S),IF($C1171&lt;&gt;0,SUMIF(куб!$C:$C,$C1171,куб!S:S),IF($B1171&lt;&gt;0,SUMIF(куб!$B:$B,$B1171,куб!S:S))))))</f>
        <v>0</v>
      </c>
      <c r="AH1171" s="16" t="str">
        <f t="shared" si="373"/>
        <v>-</v>
      </c>
      <c r="AI1171" s="8"/>
      <c r="AJ1171" s="27" t="b">
        <f>IF($G1171&lt;&gt;0,SUMIF(куб!$G:$G,$G1171,куб!T:T),IF($E1171&lt;&gt;0,SUMIF(куб!$E:$E,$E1171,куб!T:T),IF($D1171&lt;&gt;0,SUMIF(куб!$D:$D,$D1171,куб!T:T),IF($C1171&lt;&gt;0,SUMIF(куб!$C:$C,$C1171,куб!T:T),IF($B1171&lt;&gt;0,SUMIF(куб!$B:$B,$B1171,куб!T:T))))))</f>
        <v>0</v>
      </c>
      <c r="AK1171" s="27" t="b">
        <f>IF($G1171&lt;&gt;0,SUMIF(куб!$G:$G,$G1171,куб!U:U),IF($E1171&lt;&gt;0,SUMIF(куб!$E:$E,$E1171,куб!U:U),IF($D1171&lt;&gt;0,SUMIF(куб!$D:$D,$D1171,куб!U:U),IF($C1171&lt;&gt;0,SUMIF(куб!$C:$C,$C1171,куб!U:U),IF($B1171&lt;&gt;0,SUMIF(куб!$B:$B,$B1171,куб!U:U))))))</f>
        <v>0</v>
      </c>
      <c r="AL1171" s="16" t="str">
        <f t="shared" si="374"/>
        <v>-</v>
      </c>
      <c r="AM1171" s="8"/>
      <c r="AN1171" s="17" t="str">
        <f t="shared" si="375"/>
        <v xml:space="preserve"> </v>
      </c>
      <c r="AO1171" s="17" t="str">
        <f t="shared" si="376"/>
        <v xml:space="preserve"> </v>
      </c>
      <c r="AP1171" s="16" t="str">
        <f t="shared" si="377"/>
        <v>-</v>
      </c>
      <c r="AQ1171" s="8"/>
      <c r="AR1171" s="17" t="str">
        <f t="shared" si="378"/>
        <v>-</v>
      </c>
      <c r="AS1171" s="17" t="str">
        <f t="shared" si="379"/>
        <v>-</v>
      </c>
      <c r="AT1171" s="13" t="str">
        <f t="shared" si="380"/>
        <v>-</v>
      </c>
      <c r="AU1171" s="8"/>
    </row>
    <row r="1172" spans="8:47" x14ac:dyDescent="0.25">
      <c r="H1172" s="27">
        <f>IF($G1172&lt;&gt;0,SUMIF(куб!$G:$G,$G1172,куб!H:H),IF($E1172&lt;&gt;0,SUMIF(куб!$E:$E,$E1172,куб!H:H),IF($D1172&lt;&gt;0,SUMIF(куб!$D:$D,$D1172,куб!H:H),IF($C1172&lt;&gt;0,SUMIF(куб!$C:$C,$C1172,куб!H:H),IF($B1172&lt;&gt;0,SUMIF(куб!$B:$B,$B1172,куб!H:H),IF($G1172&lt;&gt;0,SUMIF(куб!$A:$A,$G1172,куб!H:H),SUMIF(куб!$A:$A,$G1172,куб!H:H)))))))</f>
        <v>0</v>
      </c>
      <c r="I1172" s="27">
        <f>IF($G1172&lt;&gt;0,SUMIF(куб!$G:$G,$G1172,куб!I:I),IF($E1172&lt;&gt;0,SUMIF(куб!$E:$E,$E1172,куб!I:I),IF($D1172&lt;&gt;0,SUMIF(куб!$D:$D,$D1172,куб!I:I),IF($C1172&lt;&gt;0,SUMIF(куб!$C:$C,$C1172,куб!I:I),IF($B1172&lt;&gt;0,SUMIF(куб!$B:$B,$B1172,куб!I:I),IF($G1172&lt;&gt;0,SUMIF(куб!$A:$A,$G1172,куб!I:I),SUMIF(куб!$A:$A,$G1172,куб!I:I)))))))</f>
        <v>0</v>
      </c>
      <c r="J1172" s="19" t="str">
        <f t="shared" si="363"/>
        <v>-</v>
      </c>
      <c r="K1172" s="8"/>
      <c r="L1172" s="17">
        <f t="shared" si="364"/>
        <v>0</v>
      </c>
      <c r="M1172" s="17">
        <f t="shared" si="365"/>
        <v>0</v>
      </c>
      <c r="N1172" s="12">
        <f t="shared" si="366"/>
        <v>0</v>
      </c>
      <c r="O1172" s="5"/>
      <c r="P1172" s="27" t="b">
        <f>IF($G1172&lt;&gt;0,SUMIF(куб!$G:$G,$G1172,куб!J:J),IF($E1172&lt;&gt;0,SUMIF(куб!$E:$E,$E1172,куб!J:J),IF($D1172&lt;&gt;0,SUMIF(куб!$D:$D,$D1172,куб!J:J),IF($C1172&lt;&gt;0,SUMIF(куб!$C:$C,$C1172,куб!J:J),IF($B1172&lt;&gt;0,SUMIF(куб!$B:$B,$B1172,куб!J:J))))))</f>
        <v>0</v>
      </c>
      <c r="Q1172" s="27" t="b">
        <f>IF($G1172&lt;&gt;0,SUMIF(куб!$G:$G,$G1172,куб!K:K),IF($E1172&lt;&gt;0,SUMIF(куб!$E:$E,$E1172,куб!K:K),IF($D1172&lt;&gt;0,SUMIF(куб!$D:$D,$D1172,куб!K:K),IF($C1172&lt;&gt;0,SUMIF(куб!$C:$C,$C1172,куб!K:K),IF($B1172&lt;&gt;0,SUMIF(куб!$B:$B,$B1172,куб!K:K))))))</f>
        <v>0</v>
      </c>
      <c r="R1172" s="13" t="str">
        <f t="shared" si="367"/>
        <v>-</v>
      </c>
      <c r="S1172" s="5"/>
      <c r="T1172" s="27" t="b">
        <f>IF($G1172&lt;&gt;0,SUMIF(куб!$G:$G,$G1172,куб!L:L),IF($E1172&lt;&gt;0,SUMIF(куб!$E:$E,$E1172,куб!L:L),IF($D1172&lt;&gt;0,SUMIF(куб!$D:$D,$D1172,куб!L:L),IF($C1172&lt;&gt;0,SUMIF(куб!$C:$C,$C1172,куб!L:L),IF($B1172&lt;&gt;0,SUMIF(куб!$B:$B,$B1172,куб!L:L))))))</f>
        <v>0</v>
      </c>
      <c r="U1172" s="27" t="b">
        <f>IF($G1172&lt;&gt;0,SUMIF(куб!$G:$G,$G1172,куб!M:M),IF($E1172&lt;&gt;0,SUMIF(куб!$E:$E,$E1172,куб!M:M),IF($D1172&lt;&gt;0,SUMIF(куб!$D:$D,$D1172,куб!M:M),IF($C1172&lt;&gt;0,SUMIF(куб!$C:$C,$C1172,куб!M:M),IF($B1172&lt;&gt;0,SUMIF(куб!$B:$B,$B1172,куб!M:M))))))</f>
        <v>0</v>
      </c>
      <c r="V1172" s="13" t="str">
        <f t="shared" si="368"/>
        <v>-</v>
      </c>
      <c r="W1172" s="5"/>
      <c r="X1172" s="27" t="b">
        <f>IF($G1172&lt;&gt;0,SUMIF(куб!$G:$G,$G1172,куб!N:N),IF($E1172&lt;&gt;0,SUMIF(куб!$E:$E,$E1172,куб!N:N),IF($D1172&lt;&gt;0,SUMIF(куб!$D:$D,$D1172,куб!N:N),IF($C1172&lt;&gt;0,SUMIF(куб!$C:$C,$C1172,куб!N:N),IF($B1172&lt;&gt;0,SUMIF(куб!$B:$B,$B1172,куб!N:N))))))</f>
        <v>0</v>
      </c>
      <c r="Y1172" s="27" t="b">
        <f>IF($G1172&lt;&gt;0,SUMIF(куб!$G:$G,$G1172,куб!O:O),IF($E1172&lt;&gt;0,SUMIF(куб!$E:$E,$E1172,куб!O:O),IF($D1172&lt;&gt;0,SUMIF(куб!$D:$D,$D1172,куб!O:O),IF($C1172&lt;&gt;0,SUMIF(куб!$C:$C,$C1172,куб!O:O),IF($B1172&lt;&gt;0,SUMIF(куб!$B:$B,$B1172,куб!O:O))))))</f>
        <v>0</v>
      </c>
      <c r="Z1172" s="13" t="str">
        <f t="shared" si="369"/>
        <v>-</v>
      </c>
      <c r="AA1172" s="5"/>
      <c r="AB1172" s="33" t="str">
        <f t="shared" si="370"/>
        <v/>
      </c>
      <c r="AC1172" s="33" t="str">
        <f t="shared" si="371"/>
        <v/>
      </c>
      <c r="AD1172" s="15" t="str">
        <f t="shared" si="372"/>
        <v xml:space="preserve"> </v>
      </c>
      <c r="AE1172" s="5"/>
      <c r="AF1172" s="27" t="b">
        <f>IF($G1172&lt;&gt;0,SUMIF(куб!$G:$G,$G1172,куб!R:R),IF($E1172&lt;&gt;0,SUMIF(куб!$E:$E,$E1172,куб!R:R),IF($D1172&lt;&gt;0,SUMIF(куб!$D:$D,$D1172,куб!R:R),IF($C1172&lt;&gt;0,SUMIF(куб!$C:$C,$C1172,куб!R:R),IF($B1172&lt;&gt;0,SUMIF(куб!$B:$B,$B1172,куб!R:R))))))</f>
        <v>0</v>
      </c>
      <c r="AG1172" s="27" t="b">
        <f>IF($G1172&lt;&gt;0,SUMIF(куб!$G:$G,$G1172,куб!S:S),IF($E1172&lt;&gt;0,SUMIF(куб!$E:$E,$E1172,куб!S:S),IF($D1172&lt;&gt;0,SUMIF(куб!$D:$D,$D1172,куб!S:S),IF($C1172&lt;&gt;0,SUMIF(куб!$C:$C,$C1172,куб!S:S),IF($B1172&lt;&gt;0,SUMIF(куб!$B:$B,$B1172,куб!S:S))))))</f>
        <v>0</v>
      </c>
      <c r="AH1172" s="16" t="str">
        <f t="shared" si="373"/>
        <v>-</v>
      </c>
      <c r="AI1172" s="8"/>
      <c r="AJ1172" s="27" t="b">
        <f>IF($G1172&lt;&gt;0,SUMIF(куб!$G:$G,$G1172,куб!T:T),IF($E1172&lt;&gt;0,SUMIF(куб!$E:$E,$E1172,куб!T:T),IF($D1172&lt;&gt;0,SUMIF(куб!$D:$D,$D1172,куб!T:T),IF($C1172&lt;&gt;0,SUMIF(куб!$C:$C,$C1172,куб!T:T),IF($B1172&lt;&gt;0,SUMIF(куб!$B:$B,$B1172,куб!T:T))))))</f>
        <v>0</v>
      </c>
      <c r="AK1172" s="27" t="b">
        <f>IF($G1172&lt;&gt;0,SUMIF(куб!$G:$G,$G1172,куб!U:U),IF($E1172&lt;&gt;0,SUMIF(куб!$E:$E,$E1172,куб!U:U),IF($D1172&lt;&gt;0,SUMIF(куб!$D:$D,$D1172,куб!U:U),IF($C1172&lt;&gt;0,SUMIF(куб!$C:$C,$C1172,куб!U:U),IF($B1172&lt;&gt;0,SUMIF(куб!$B:$B,$B1172,куб!U:U))))))</f>
        <v>0</v>
      </c>
      <c r="AL1172" s="16" t="str">
        <f t="shared" si="374"/>
        <v>-</v>
      </c>
      <c r="AM1172" s="8"/>
      <c r="AN1172" s="17" t="str">
        <f t="shared" si="375"/>
        <v xml:space="preserve"> </v>
      </c>
      <c r="AO1172" s="17" t="str">
        <f t="shared" si="376"/>
        <v xml:space="preserve"> </v>
      </c>
      <c r="AP1172" s="16" t="str">
        <f t="shared" si="377"/>
        <v>-</v>
      </c>
      <c r="AQ1172" s="8"/>
      <c r="AR1172" s="17" t="str">
        <f t="shared" si="378"/>
        <v>-</v>
      </c>
      <c r="AS1172" s="17" t="str">
        <f t="shared" si="379"/>
        <v>-</v>
      </c>
      <c r="AT1172" s="13" t="str">
        <f t="shared" si="380"/>
        <v>-</v>
      </c>
      <c r="AU1172" s="8"/>
    </row>
    <row r="1173" spans="8:47" x14ac:dyDescent="0.25">
      <c r="H1173" s="27">
        <f>IF($G1173&lt;&gt;0,SUMIF(куб!$G:$G,$G1173,куб!H:H),IF($E1173&lt;&gt;0,SUMIF(куб!$E:$E,$E1173,куб!H:H),IF($D1173&lt;&gt;0,SUMIF(куб!$D:$D,$D1173,куб!H:H),IF($C1173&lt;&gt;0,SUMIF(куб!$C:$C,$C1173,куб!H:H),IF($B1173&lt;&gt;0,SUMIF(куб!$B:$B,$B1173,куб!H:H),IF($G1173&lt;&gt;0,SUMIF(куб!$A:$A,$G1173,куб!H:H),SUMIF(куб!$A:$A,$G1173,куб!H:H)))))))</f>
        <v>0</v>
      </c>
      <c r="I1173" s="27">
        <f>IF($G1173&lt;&gt;0,SUMIF(куб!$G:$G,$G1173,куб!I:I),IF($E1173&lt;&gt;0,SUMIF(куб!$E:$E,$E1173,куб!I:I),IF($D1173&lt;&gt;0,SUMIF(куб!$D:$D,$D1173,куб!I:I),IF($C1173&lt;&gt;0,SUMIF(куб!$C:$C,$C1173,куб!I:I),IF($B1173&lt;&gt;0,SUMIF(куб!$B:$B,$B1173,куб!I:I),IF($G1173&lt;&gt;0,SUMIF(куб!$A:$A,$G1173,куб!I:I),SUMIF(куб!$A:$A,$G1173,куб!I:I)))))))</f>
        <v>0</v>
      </c>
      <c r="J1173" s="19" t="str">
        <f t="shared" si="363"/>
        <v>-</v>
      </c>
      <c r="K1173" s="8"/>
      <c r="L1173" s="17">
        <f t="shared" si="364"/>
        <v>0</v>
      </c>
      <c r="M1173" s="17">
        <f t="shared" si="365"/>
        <v>0</v>
      </c>
      <c r="N1173" s="12">
        <f t="shared" si="366"/>
        <v>0</v>
      </c>
      <c r="O1173" s="5"/>
      <c r="P1173" s="27" t="b">
        <f>IF($G1173&lt;&gt;0,SUMIF(куб!$G:$G,$G1173,куб!J:J),IF($E1173&lt;&gt;0,SUMIF(куб!$E:$E,$E1173,куб!J:J),IF($D1173&lt;&gt;0,SUMIF(куб!$D:$D,$D1173,куб!J:J),IF($C1173&lt;&gt;0,SUMIF(куб!$C:$C,$C1173,куб!J:J),IF($B1173&lt;&gt;0,SUMIF(куб!$B:$B,$B1173,куб!J:J))))))</f>
        <v>0</v>
      </c>
      <c r="Q1173" s="27" t="b">
        <f>IF($G1173&lt;&gt;0,SUMIF(куб!$G:$G,$G1173,куб!K:K),IF($E1173&lt;&gt;0,SUMIF(куб!$E:$E,$E1173,куб!K:K),IF($D1173&lt;&gt;0,SUMIF(куб!$D:$D,$D1173,куб!K:K),IF($C1173&lt;&gt;0,SUMIF(куб!$C:$C,$C1173,куб!K:K),IF($B1173&lt;&gt;0,SUMIF(куб!$B:$B,$B1173,куб!K:K))))))</f>
        <v>0</v>
      </c>
      <c r="R1173" s="13" t="str">
        <f t="shared" si="367"/>
        <v>-</v>
      </c>
      <c r="S1173" s="5"/>
      <c r="T1173" s="27" t="b">
        <f>IF($G1173&lt;&gt;0,SUMIF(куб!$G:$G,$G1173,куб!L:L),IF($E1173&lt;&gt;0,SUMIF(куб!$E:$E,$E1173,куб!L:L),IF($D1173&lt;&gt;0,SUMIF(куб!$D:$D,$D1173,куб!L:L),IF($C1173&lt;&gt;0,SUMIF(куб!$C:$C,$C1173,куб!L:L),IF($B1173&lt;&gt;0,SUMIF(куб!$B:$B,$B1173,куб!L:L))))))</f>
        <v>0</v>
      </c>
      <c r="U1173" s="27" t="b">
        <f>IF($G1173&lt;&gt;0,SUMIF(куб!$G:$G,$G1173,куб!M:M),IF($E1173&lt;&gt;0,SUMIF(куб!$E:$E,$E1173,куб!M:M),IF($D1173&lt;&gt;0,SUMIF(куб!$D:$D,$D1173,куб!M:M),IF($C1173&lt;&gt;0,SUMIF(куб!$C:$C,$C1173,куб!M:M),IF($B1173&lt;&gt;0,SUMIF(куб!$B:$B,$B1173,куб!M:M))))))</f>
        <v>0</v>
      </c>
      <c r="V1173" s="13" t="str">
        <f t="shared" si="368"/>
        <v>-</v>
      </c>
      <c r="W1173" s="5"/>
      <c r="X1173" s="27" t="b">
        <f>IF($G1173&lt;&gt;0,SUMIF(куб!$G:$G,$G1173,куб!N:N),IF($E1173&lt;&gt;0,SUMIF(куб!$E:$E,$E1173,куб!N:N),IF($D1173&lt;&gt;0,SUMIF(куб!$D:$D,$D1173,куб!N:N),IF($C1173&lt;&gt;0,SUMIF(куб!$C:$C,$C1173,куб!N:N),IF($B1173&lt;&gt;0,SUMIF(куб!$B:$B,$B1173,куб!N:N))))))</f>
        <v>0</v>
      </c>
      <c r="Y1173" s="27" t="b">
        <f>IF($G1173&lt;&gt;0,SUMIF(куб!$G:$G,$G1173,куб!O:O),IF($E1173&lt;&gt;0,SUMIF(куб!$E:$E,$E1173,куб!O:O),IF($D1173&lt;&gt;0,SUMIF(куб!$D:$D,$D1173,куб!O:O),IF($C1173&lt;&gt;0,SUMIF(куб!$C:$C,$C1173,куб!O:O),IF($B1173&lt;&gt;0,SUMIF(куб!$B:$B,$B1173,куб!O:O))))))</f>
        <v>0</v>
      </c>
      <c r="Z1173" s="13" t="str">
        <f t="shared" si="369"/>
        <v>-</v>
      </c>
      <c r="AA1173" s="5"/>
      <c r="AB1173" s="33" t="str">
        <f t="shared" si="370"/>
        <v/>
      </c>
      <c r="AC1173" s="33" t="str">
        <f t="shared" si="371"/>
        <v/>
      </c>
      <c r="AD1173" s="15" t="str">
        <f t="shared" si="372"/>
        <v xml:space="preserve"> </v>
      </c>
      <c r="AE1173" s="5"/>
      <c r="AF1173" s="27" t="b">
        <f>IF($G1173&lt;&gt;0,SUMIF(куб!$G:$G,$G1173,куб!R:R),IF($E1173&lt;&gt;0,SUMIF(куб!$E:$E,$E1173,куб!R:R),IF($D1173&lt;&gt;0,SUMIF(куб!$D:$D,$D1173,куб!R:R),IF($C1173&lt;&gt;0,SUMIF(куб!$C:$C,$C1173,куб!R:R),IF($B1173&lt;&gt;0,SUMIF(куб!$B:$B,$B1173,куб!R:R))))))</f>
        <v>0</v>
      </c>
      <c r="AG1173" s="27" t="b">
        <f>IF($G1173&lt;&gt;0,SUMIF(куб!$G:$G,$G1173,куб!S:S),IF($E1173&lt;&gt;0,SUMIF(куб!$E:$E,$E1173,куб!S:S),IF($D1173&lt;&gt;0,SUMIF(куб!$D:$D,$D1173,куб!S:S),IF($C1173&lt;&gt;0,SUMIF(куб!$C:$C,$C1173,куб!S:S),IF($B1173&lt;&gt;0,SUMIF(куб!$B:$B,$B1173,куб!S:S))))))</f>
        <v>0</v>
      </c>
      <c r="AH1173" s="16" t="str">
        <f t="shared" si="373"/>
        <v>-</v>
      </c>
      <c r="AI1173" s="8"/>
      <c r="AJ1173" s="27" t="b">
        <f>IF($G1173&lt;&gt;0,SUMIF(куб!$G:$G,$G1173,куб!T:T),IF($E1173&lt;&gt;0,SUMIF(куб!$E:$E,$E1173,куб!T:T),IF($D1173&lt;&gt;0,SUMIF(куб!$D:$D,$D1173,куб!T:T),IF($C1173&lt;&gt;0,SUMIF(куб!$C:$C,$C1173,куб!T:T),IF($B1173&lt;&gt;0,SUMIF(куб!$B:$B,$B1173,куб!T:T))))))</f>
        <v>0</v>
      </c>
      <c r="AK1173" s="27" t="b">
        <f>IF($G1173&lt;&gt;0,SUMIF(куб!$G:$G,$G1173,куб!U:U),IF($E1173&lt;&gt;0,SUMIF(куб!$E:$E,$E1173,куб!U:U),IF($D1173&lt;&gt;0,SUMIF(куб!$D:$D,$D1173,куб!U:U),IF($C1173&lt;&gt;0,SUMIF(куб!$C:$C,$C1173,куб!U:U),IF($B1173&lt;&gt;0,SUMIF(куб!$B:$B,$B1173,куб!U:U))))))</f>
        <v>0</v>
      </c>
      <c r="AL1173" s="16" t="str">
        <f t="shared" si="374"/>
        <v>-</v>
      </c>
      <c r="AM1173" s="8"/>
      <c r="AN1173" s="17" t="str">
        <f t="shared" si="375"/>
        <v xml:space="preserve"> </v>
      </c>
      <c r="AO1173" s="17" t="str">
        <f t="shared" si="376"/>
        <v xml:space="preserve"> </v>
      </c>
      <c r="AP1173" s="16" t="str">
        <f t="shared" si="377"/>
        <v>-</v>
      </c>
      <c r="AQ1173" s="8"/>
      <c r="AR1173" s="17" t="str">
        <f t="shared" si="378"/>
        <v>-</v>
      </c>
      <c r="AS1173" s="17" t="str">
        <f t="shared" si="379"/>
        <v>-</v>
      </c>
      <c r="AT1173" s="13" t="str">
        <f t="shared" si="380"/>
        <v>-</v>
      </c>
      <c r="AU1173" s="8"/>
    </row>
    <row r="1174" spans="8:47" x14ac:dyDescent="0.25">
      <c r="H1174" s="27">
        <f>IF($G1174&lt;&gt;0,SUMIF(куб!$G:$G,$G1174,куб!H:H),IF($E1174&lt;&gt;0,SUMIF(куб!$E:$E,$E1174,куб!H:H),IF($D1174&lt;&gt;0,SUMIF(куб!$D:$D,$D1174,куб!H:H),IF($C1174&lt;&gt;0,SUMIF(куб!$C:$C,$C1174,куб!H:H),IF($B1174&lt;&gt;0,SUMIF(куб!$B:$B,$B1174,куб!H:H),IF($G1174&lt;&gt;0,SUMIF(куб!$A:$A,$G1174,куб!H:H),SUMIF(куб!$A:$A,$G1174,куб!H:H)))))))</f>
        <v>0</v>
      </c>
      <c r="I1174" s="27">
        <f>IF($G1174&lt;&gt;0,SUMIF(куб!$G:$G,$G1174,куб!I:I),IF($E1174&lt;&gt;0,SUMIF(куб!$E:$E,$E1174,куб!I:I),IF($D1174&lt;&gt;0,SUMIF(куб!$D:$D,$D1174,куб!I:I),IF($C1174&lt;&gt;0,SUMIF(куб!$C:$C,$C1174,куб!I:I),IF($B1174&lt;&gt;0,SUMIF(куб!$B:$B,$B1174,куб!I:I),IF($G1174&lt;&gt;0,SUMIF(куб!$A:$A,$G1174,куб!I:I),SUMIF(куб!$A:$A,$G1174,куб!I:I)))))))</f>
        <v>0</v>
      </c>
      <c r="J1174" s="19" t="str">
        <f t="shared" si="363"/>
        <v>-</v>
      </c>
      <c r="K1174" s="8"/>
      <c r="L1174" s="17">
        <f t="shared" si="364"/>
        <v>0</v>
      </c>
      <c r="M1174" s="17">
        <f t="shared" si="365"/>
        <v>0</v>
      </c>
      <c r="N1174" s="12">
        <f t="shared" si="366"/>
        <v>0</v>
      </c>
      <c r="O1174" s="5"/>
      <c r="P1174" s="27" t="b">
        <f>IF($G1174&lt;&gt;0,SUMIF(куб!$G:$G,$G1174,куб!J:J),IF($E1174&lt;&gt;0,SUMIF(куб!$E:$E,$E1174,куб!J:J),IF($D1174&lt;&gt;0,SUMIF(куб!$D:$D,$D1174,куб!J:J),IF($C1174&lt;&gt;0,SUMIF(куб!$C:$C,$C1174,куб!J:J),IF($B1174&lt;&gt;0,SUMIF(куб!$B:$B,$B1174,куб!J:J))))))</f>
        <v>0</v>
      </c>
      <c r="Q1174" s="27" t="b">
        <f>IF($G1174&lt;&gt;0,SUMIF(куб!$G:$G,$G1174,куб!K:K),IF($E1174&lt;&gt;0,SUMIF(куб!$E:$E,$E1174,куб!K:K),IF($D1174&lt;&gt;0,SUMIF(куб!$D:$D,$D1174,куб!K:K),IF($C1174&lt;&gt;0,SUMIF(куб!$C:$C,$C1174,куб!K:K),IF($B1174&lt;&gt;0,SUMIF(куб!$B:$B,$B1174,куб!K:K))))))</f>
        <v>0</v>
      </c>
      <c r="R1174" s="13" t="str">
        <f t="shared" si="367"/>
        <v>-</v>
      </c>
      <c r="S1174" s="5"/>
      <c r="T1174" s="27" t="b">
        <f>IF($G1174&lt;&gt;0,SUMIF(куб!$G:$G,$G1174,куб!L:L),IF($E1174&lt;&gt;0,SUMIF(куб!$E:$E,$E1174,куб!L:L),IF($D1174&lt;&gt;0,SUMIF(куб!$D:$D,$D1174,куб!L:L),IF($C1174&lt;&gt;0,SUMIF(куб!$C:$C,$C1174,куб!L:L),IF($B1174&lt;&gt;0,SUMIF(куб!$B:$B,$B1174,куб!L:L))))))</f>
        <v>0</v>
      </c>
      <c r="U1174" s="27" t="b">
        <f>IF($G1174&lt;&gt;0,SUMIF(куб!$G:$G,$G1174,куб!M:M),IF($E1174&lt;&gt;0,SUMIF(куб!$E:$E,$E1174,куб!M:M),IF($D1174&lt;&gt;0,SUMIF(куб!$D:$D,$D1174,куб!M:M),IF($C1174&lt;&gt;0,SUMIF(куб!$C:$C,$C1174,куб!M:M),IF($B1174&lt;&gt;0,SUMIF(куб!$B:$B,$B1174,куб!M:M))))))</f>
        <v>0</v>
      </c>
      <c r="V1174" s="13" t="str">
        <f t="shared" si="368"/>
        <v>-</v>
      </c>
      <c r="W1174" s="5"/>
      <c r="X1174" s="27" t="b">
        <f>IF($G1174&lt;&gt;0,SUMIF(куб!$G:$G,$G1174,куб!N:N),IF($E1174&lt;&gt;0,SUMIF(куб!$E:$E,$E1174,куб!N:N),IF($D1174&lt;&gt;0,SUMIF(куб!$D:$D,$D1174,куб!N:N),IF($C1174&lt;&gt;0,SUMIF(куб!$C:$C,$C1174,куб!N:N),IF($B1174&lt;&gt;0,SUMIF(куб!$B:$B,$B1174,куб!N:N))))))</f>
        <v>0</v>
      </c>
      <c r="Y1174" s="27" t="b">
        <f>IF($G1174&lt;&gt;0,SUMIF(куб!$G:$G,$G1174,куб!O:O),IF($E1174&lt;&gt;0,SUMIF(куб!$E:$E,$E1174,куб!O:O),IF($D1174&lt;&gt;0,SUMIF(куб!$D:$D,$D1174,куб!O:O),IF($C1174&lt;&gt;0,SUMIF(куб!$C:$C,$C1174,куб!O:O),IF($B1174&lt;&gt;0,SUMIF(куб!$B:$B,$B1174,куб!O:O))))))</f>
        <v>0</v>
      </c>
      <c r="Z1174" s="13" t="str">
        <f t="shared" si="369"/>
        <v>-</v>
      </c>
      <c r="AA1174" s="5"/>
      <c r="AB1174" s="33" t="str">
        <f t="shared" si="370"/>
        <v/>
      </c>
      <c r="AC1174" s="33" t="str">
        <f t="shared" si="371"/>
        <v/>
      </c>
      <c r="AD1174" s="15" t="str">
        <f t="shared" si="372"/>
        <v xml:space="preserve"> </v>
      </c>
      <c r="AE1174" s="5"/>
      <c r="AF1174" s="27" t="b">
        <f>IF($G1174&lt;&gt;0,SUMIF(куб!$G:$G,$G1174,куб!R:R),IF($E1174&lt;&gt;0,SUMIF(куб!$E:$E,$E1174,куб!R:R),IF($D1174&lt;&gt;0,SUMIF(куб!$D:$D,$D1174,куб!R:R),IF($C1174&lt;&gt;0,SUMIF(куб!$C:$C,$C1174,куб!R:R),IF($B1174&lt;&gt;0,SUMIF(куб!$B:$B,$B1174,куб!R:R))))))</f>
        <v>0</v>
      </c>
      <c r="AG1174" s="27" t="b">
        <f>IF($G1174&lt;&gt;0,SUMIF(куб!$G:$G,$G1174,куб!S:S),IF($E1174&lt;&gt;0,SUMIF(куб!$E:$E,$E1174,куб!S:S),IF($D1174&lt;&gt;0,SUMIF(куб!$D:$D,$D1174,куб!S:S),IF($C1174&lt;&gt;0,SUMIF(куб!$C:$C,$C1174,куб!S:S),IF($B1174&lt;&gt;0,SUMIF(куб!$B:$B,$B1174,куб!S:S))))))</f>
        <v>0</v>
      </c>
      <c r="AH1174" s="16" t="str">
        <f t="shared" si="373"/>
        <v>-</v>
      </c>
      <c r="AI1174" s="8"/>
      <c r="AJ1174" s="27" t="b">
        <f>IF($G1174&lt;&gt;0,SUMIF(куб!$G:$G,$G1174,куб!T:T),IF($E1174&lt;&gt;0,SUMIF(куб!$E:$E,$E1174,куб!T:T),IF($D1174&lt;&gt;0,SUMIF(куб!$D:$D,$D1174,куб!T:T),IF($C1174&lt;&gt;0,SUMIF(куб!$C:$C,$C1174,куб!T:T),IF($B1174&lt;&gt;0,SUMIF(куб!$B:$B,$B1174,куб!T:T))))))</f>
        <v>0</v>
      </c>
      <c r="AK1174" s="27" t="b">
        <f>IF($G1174&lt;&gt;0,SUMIF(куб!$G:$G,$G1174,куб!U:U),IF($E1174&lt;&gt;0,SUMIF(куб!$E:$E,$E1174,куб!U:U),IF($D1174&lt;&gt;0,SUMIF(куб!$D:$D,$D1174,куб!U:U),IF($C1174&lt;&gt;0,SUMIF(куб!$C:$C,$C1174,куб!U:U),IF($B1174&lt;&gt;0,SUMIF(куб!$B:$B,$B1174,куб!U:U))))))</f>
        <v>0</v>
      </c>
      <c r="AL1174" s="16" t="str">
        <f t="shared" si="374"/>
        <v>-</v>
      </c>
      <c r="AM1174" s="8"/>
      <c r="AN1174" s="17" t="str">
        <f t="shared" si="375"/>
        <v xml:space="preserve"> </v>
      </c>
      <c r="AO1174" s="17" t="str">
        <f t="shared" si="376"/>
        <v xml:space="preserve"> </v>
      </c>
      <c r="AP1174" s="16" t="str">
        <f t="shared" si="377"/>
        <v>-</v>
      </c>
      <c r="AQ1174" s="8"/>
      <c r="AR1174" s="17" t="str">
        <f t="shared" si="378"/>
        <v>-</v>
      </c>
      <c r="AS1174" s="17" t="str">
        <f t="shared" si="379"/>
        <v>-</v>
      </c>
      <c r="AT1174" s="13" t="str">
        <f t="shared" si="380"/>
        <v>-</v>
      </c>
      <c r="AU1174" s="8"/>
    </row>
    <row r="1175" spans="8:47" x14ac:dyDescent="0.25">
      <c r="H1175" s="27">
        <f>IF($G1175&lt;&gt;0,SUMIF(куб!$G:$G,$G1175,куб!H:H),IF($E1175&lt;&gt;0,SUMIF(куб!$E:$E,$E1175,куб!H:H),IF($D1175&lt;&gt;0,SUMIF(куб!$D:$D,$D1175,куб!H:H),IF($C1175&lt;&gt;0,SUMIF(куб!$C:$C,$C1175,куб!H:H),IF($B1175&lt;&gt;0,SUMIF(куб!$B:$B,$B1175,куб!H:H),IF($G1175&lt;&gt;0,SUMIF(куб!$A:$A,$G1175,куб!H:H),SUMIF(куб!$A:$A,$G1175,куб!H:H)))))))</f>
        <v>0</v>
      </c>
      <c r="I1175" s="27">
        <f>IF($G1175&lt;&gt;0,SUMIF(куб!$G:$G,$G1175,куб!I:I),IF($E1175&lt;&gt;0,SUMIF(куб!$E:$E,$E1175,куб!I:I),IF($D1175&lt;&gt;0,SUMIF(куб!$D:$D,$D1175,куб!I:I),IF($C1175&lt;&gt;0,SUMIF(куб!$C:$C,$C1175,куб!I:I),IF($B1175&lt;&gt;0,SUMIF(куб!$B:$B,$B1175,куб!I:I),IF($G1175&lt;&gt;0,SUMIF(куб!$A:$A,$G1175,куб!I:I),SUMIF(куб!$A:$A,$G1175,куб!I:I)))))))</f>
        <v>0</v>
      </c>
      <c r="J1175" s="19" t="str">
        <f t="shared" si="363"/>
        <v>-</v>
      </c>
      <c r="K1175" s="8"/>
      <c r="L1175" s="17">
        <f t="shared" si="364"/>
        <v>0</v>
      </c>
      <c r="M1175" s="17">
        <f t="shared" si="365"/>
        <v>0</v>
      </c>
      <c r="N1175" s="12">
        <f t="shared" si="366"/>
        <v>0</v>
      </c>
      <c r="O1175" s="5"/>
      <c r="P1175" s="27" t="b">
        <f>IF($G1175&lt;&gt;0,SUMIF(куб!$G:$G,$G1175,куб!J:J),IF($E1175&lt;&gt;0,SUMIF(куб!$E:$E,$E1175,куб!J:J),IF($D1175&lt;&gt;0,SUMIF(куб!$D:$D,$D1175,куб!J:J),IF($C1175&lt;&gt;0,SUMIF(куб!$C:$C,$C1175,куб!J:J),IF($B1175&lt;&gt;0,SUMIF(куб!$B:$B,$B1175,куб!J:J))))))</f>
        <v>0</v>
      </c>
      <c r="Q1175" s="27" t="b">
        <f>IF($G1175&lt;&gt;0,SUMIF(куб!$G:$G,$G1175,куб!K:K),IF($E1175&lt;&gt;0,SUMIF(куб!$E:$E,$E1175,куб!K:K),IF($D1175&lt;&gt;0,SUMIF(куб!$D:$D,$D1175,куб!K:K),IF($C1175&lt;&gt;0,SUMIF(куб!$C:$C,$C1175,куб!K:K),IF($B1175&lt;&gt;0,SUMIF(куб!$B:$B,$B1175,куб!K:K))))))</f>
        <v>0</v>
      </c>
      <c r="R1175" s="13" t="str">
        <f t="shared" si="367"/>
        <v>-</v>
      </c>
      <c r="S1175" s="5"/>
      <c r="T1175" s="27" t="b">
        <f>IF($G1175&lt;&gt;0,SUMIF(куб!$G:$G,$G1175,куб!L:L),IF($E1175&lt;&gt;0,SUMIF(куб!$E:$E,$E1175,куб!L:L),IF($D1175&lt;&gt;0,SUMIF(куб!$D:$D,$D1175,куб!L:L),IF($C1175&lt;&gt;0,SUMIF(куб!$C:$C,$C1175,куб!L:L),IF($B1175&lt;&gt;0,SUMIF(куб!$B:$B,$B1175,куб!L:L))))))</f>
        <v>0</v>
      </c>
      <c r="U1175" s="27" t="b">
        <f>IF($G1175&lt;&gt;0,SUMIF(куб!$G:$G,$G1175,куб!M:M),IF($E1175&lt;&gt;0,SUMIF(куб!$E:$E,$E1175,куб!M:M),IF($D1175&lt;&gt;0,SUMIF(куб!$D:$D,$D1175,куб!M:M),IF($C1175&lt;&gt;0,SUMIF(куб!$C:$C,$C1175,куб!M:M),IF($B1175&lt;&gt;0,SUMIF(куб!$B:$B,$B1175,куб!M:M))))))</f>
        <v>0</v>
      </c>
      <c r="V1175" s="13" t="str">
        <f t="shared" si="368"/>
        <v>-</v>
      </c>
      <c r="W1175" s="5"/>
      <c r="X1175" s="27" t="b">
        <f>IF($G1175&lt;&gt;0,SUMIF(куб!$G:$G,$G1175,куб!N:N),IF($E1175&lt;&gt;0,SUMIF(куб!$E:$E,$E1175,куб!N:N),IF($D1175&lt;&gt;0,SUMIF(куб!$D:$D,$D1175,куб!N:N),IF($C1175&lt;&gt;0,SUMIF(куб!$C:$C,$C1175,куб!N:N),IF($B1175&lt;&gt;0,SUMIF(куб!$B:$B,$B1175,куб!N:N))))))</f>
        <v>0</v>
      </c>
      <c r="Y1175" s="27" t="b">
        <f>IF($G1175&lt;&gt;0,SUMIF(куб!$G:$G,$G1175,куб!O:O),IF($E1175&lt;&gt;0,SUMIF(куб!$E:$E,$E1175,куб!O:O),IF($D1175&lt;&gt;0,SUMIF(куб!$D:$D,$D1175,куб!O:O),IF($C1175&lt;&gt;0,SUMIF(куб!$C:$C,$C1175,куб!O:O),IF($B1175&lt;&gt;0,SUMIF(куб!$B:$B,$B1175,куб!O:O))))))</f>
        <v>0</v>
      </c>
      <c r="Z1175" s="13" t="str">
        <f t="shared" si="369"/>
        <v>-</v>
      </c>
      <c r="AA1175" s="5"/>
      <c r="AB1175" s="33" t="str">
        <f t="shared" si="370"/>
        <v/>
      </c>
      <c r="AC1175" s="33" t="str">
        <f t="shared" si="371"/>
        <v/>
      </c>
      <c r="AD1175" s="15" t="str">
        <f t="shared" si="372"/>
        <v xml:space="preserve"> </v>
      </c>
      <c r="AE1175" s="5"/>
      <c r="AF1175" s="27" t="b">
        <f>IF($G1175&lt;&gt;0,SUMIF(куб!$G:$G,$G1175,куб!R:R),IF($E1175&lt;&gt;0,SUMIF(куб!$E:$E,$E1175,куб!R:R),IF($D1175&lt;&gt;0,SUMIF(куб!$D:$D,$D1175,куб!R:R),IF($C1175&lt;&gt;0,SUMIF(куб!$C:$C,$C1175,куб!R:R),IF($B1175&lt;&gt;0,SUMIF(куб!$B:$B,$B1175,куб!R:R))))))</f>
        <v>0</v>
      </c>
      <c r="AG1175" s="27" t="b">
        <f>IF($G1175&lt;&gt;0,SUMIF(куб!$G:$G,$G1175,куб!S:S),IF($E1175&lt;&gt;0,SUMIF(куб!$E:$E,$E1175,куб!S:S),IF($D1175&lt;&gt;0,SUMIF(куб!$D:$D,$D1175,куб!S:S),IF($C1175&lt;&gt;0,SUMIF(куб!$C:$C,$C1175,куб!S:S),IF($B1175&lt;&gt;0,SUMIF(куб!$B:$B,$B1175,куб!S:S))))))</f>
        <v>0</v>
      </c>
      <c r="AH1175" s="16" t="str">
        <f t="shared" si="373"/>
        <v>-</v>
      </c>
      <c r="AI1175" s="8"/>
      <c r="AJ1175" s="27" t="b">
        <f>IF($G1175&lt;&gt;0,SUMIF(куб!$G:$G,$G1175,куб!T:T),IF($E1175&lt;&gt;0,SUMIF(куб!$E:$E,$E1175,куб!T:T),IF($D1175&lt;&gt;0,SUMIF(куб!$D:$D,$D1175,куб!T:T),IF($C1175&lt;&gt;0,SUMIF(куб!$C:$C,$C1175,куб!T:T),IF($B1175&lt;&gt;0,SUMIF(куб!$B:$B,$B1175,куб!T:T))))))</f>
        <v>0</v>
      </c>
      <c r="AK1175" s="27" t="b">
        <f>IF($G1175&lt;&gt;0,SUMIF(куб!$G:$G,$G1175,куб!U:U),IF($E1175&lt;&gt;0,SUMIF(куб!$E:$E,$E1175,куб!U:U),IF($D1175&lt;&gt;0,SUMIF(куб!$D:$D,$D1175,куб!U:U),IF($C1175&lt;&gt;0,SUMIF(куб!$C:$C,$C1175,куб!U:U),IF($B1175&lt;&gt;0,SUMIF(куб!$B:$B,$B1175,куб!U:U))))))</f>
        <v>0</v>
      </c>
      <c r="AL1175" s="16" t="str">
        <f t="shared" si="374"/>
        <v>-</v>
      </c>
      <c r="AM1175" s="8"/>
      <c r="AN1175" s="17" t="str">
        <f t="shared" si="375"/>
        <v xml:space="preserve"> </v>
      </c>
      <c r="AO1175" s="17" t="str">
        <f t="shared" si="376"/>
        <v xml:space="preserve"> </v>
      </c>
      <c r="AP1175" s="16" t="str">
        <f t="shared" si="377"/>
        <v>-</v>
      </c>
      <c r="AQ1175" s="8"/>
      <c r="AR1175" s="17" t="str">
        <f t="shared" si="378"/>
        <v>-</v>
      </c>
      <c r="AS1175" s="17" t="str">
        <f t="shared" si="379"/>
        <v>-</v>
      </c>
      <c r="AT1175" s="13" t="str">
        <f t="shared" si="380"/>
        <v>-</v>
      </c>
      <c r="AU1175" s="8"/>
    </row>
    <row r="1176" spans="8:47" x14ac:dyDescent="0.25">
      <c r="H1176" s="27">
        <f>IF($G1176&lt;&gt;0,SUMIF(куб!$G:$G,$G1176,куб!H:H),IF($E1176&lt;&gt;0,SUMIF(куб!$E:$E,$E1176,куб!H:H),IF($D1176&lt;&gt;0,SUMIF(куб!$D:$D,$D1176,куб!H:H),IF($C1176&lt;&gt;0,SUMIF(куб!$C:$C,$C1176,куб!H:H),IF($B1176&lt;&gt;0,SUMIF(куб!$B:$B,$B1176,куб!H:H),IF($G1176&lt;&gt;0,SUMIF(куб!$A:$A,$G1176,куб!H:H),SUMIF(куб!$A:$A,$G1176,куб!H:H)))))))</f>
        <v>0</v>
      </c>
      <c r="I1176" s="27">
        <f>IF($G1176&lt;&gt;0,SUMIF(куб!$G:$G,$G1176,куб!I:I),IF($E1176&lt;&gt;0,SUMIF(куб!$E:$E,$E1176,куб!I:I),IF($D1176&lt;&gt;0,SUMIF(куб!$D:$D,$D1176,куб!I:I),IF($C1176&lt;&gt;0,SUMIF(куб!$C:$C,$C1176,куб!I:I),IF($B1176&lt;&gt;0,SUMIF(куб!$B:$B,$B1176,куб!I:I),IF($G1176&lt;&gt;0,SUMIF(куб!$A:$A,$G1176,куб!I:I),SUMIF(куб!$A:$A,$G1176,куб!I:I)))))))</f>
        <v>0</v>
      </c>
      <c r="J1176" s="19" t="str">
        <f t="shared" si="363"/>
        <v>-</v>
      </c>
      <c r="K1176" s="8"/>
      <c r="L1176" s="17">
        <f t="shared" si="364"/>
        <v>0</v>
      </c>
      <c r="M1176" s="17">
        <f t="shared" si="365"/>
        <v>0</v>
      </c>
      <c r="N1176" s="12">
        <f t="shared" si="366"/>
        <v>0</v>
      </c>
      <c r="O1176" s="5"/>
      <c r="P1176" s="27" t="b">
        <f>IF($G1176&lt;&gt;0,SUMIF(куб!$G:$G,$G1176,куб!J:J),IF($E1176&lt;&gt;0,SUMIF(куб!$E:$E,$E1176,куб!J:J),IF($D1176&lt;&gt;0,SUMIF(куб!$D:$D,$D1176,куб!J:J),IF($C1176&lt;&gt;0,SUMIF(куб!$C:$C,$C1176,куб!J:J),IF($B1176&lt;&gt;0,SUMIF(куб!$B:$B,$B1176,куб!J:J))))))</f>
        <v>0</v>
      </c>
      <c r="Q1176" s="27" t="b">
        <f>IF($G1176&lt;&gt;0,SUMIF(куб!$G:$G,$G1176,куб!K:K),IF($E1176&lt;&gt;0,SUMIF(куб!$E:$E,$E1176,куб!K:K),IF($D1176&lt;&gt;0,SUMIF(куб!$D:$D,$D1176,куб!K:K),IF($C1176&lt;&gt;0,SUMIF(куб!$C:$C,$C1176,куб!K:K),IF($B1176&lt;&gt;0,SUMIF(куб!$B:$B,$B1176,куб!K:K))))))</f>
        <v>0</v>
      </c>
      <c r="R1176" s="13" t="str">
        <f t="shared" si="367"/>
        <v>-</v>
      </c>
      <c r="S1176" s="5"/>
      <c r="T1176" s="27" t="b">
        <f>IF($G1176&lt;&gt;0,SUMIF(куб!$G:$G,$G1176,куб!L:L),IF($E1176&lt;&gt;0,SUMIF(куб!$E:$E,$E1176,куб!L:L),IF($D1176&lt;&gt;0,SUMIF(куб!$D:$D,$D1176,куб!L:L),IF($C1176&lt;&gt;0,SUMIF(куб!$C:$C,$C1176,куб!L:L),IF($B1176&lt;&gt;0,SUMIF(куб!$B:$B,$B1176,куб!L:L))))))</f>
        <v>0</v>
      </c>
      <c r="U1176" s="27" t="b">
        <f>IF($G1176&lt;&gt;0,SUMIF(куб!$G:$G,$G1176,куб!M:M),IF($E1176&lt;&gt;0,SUMIF(куб!$E:$E,$E1176,куб!M:M),IF($D1176&lt;&gt;0,SUMIF(куб!$D:$D,$D1176,куб!M:M),IF($C1176&lt;&gt;0,SUMIF(куб!$C:$C,$C1176,куб!M:M),IF($B1176&lt;&gt;0,SUMIF(куб!$B:$B,$B1176,куб!M:M))))))</f>
        <v>0</v>
      </c>
      <c r="V1176" s="13" t="str">
        <f t="shared" si="368"/>
        <v>-</v>
      </c>
      <c r="W1176" s="5"/>
      <c r="X1176" s="27" t="b">
        <f>IF($G1176&lt;&gt;0,SUMIF(куб!$G:$G,$G1176,куб!N:N),IF($E1176&lt;&gt;0,SUMIF(куб!$E:$E,$E1176,куб!N:N),IF($D1176&lt;&gt;0,SUMIF(куб!$D:$D,$D1176,куб!N:N),IF($C1176&lt;&gt;0,SUMIF(куб!$C:$C,$C1176,куб!N:N),IF($B1176&lt;&gt;0,SUMIF(куб!$B:$B,$B1176,куб!N:N))))))</f>
        <v>0</v>
      </c>
      <c r="Y1176" s="27" t="b">
        <f>IF($G1176&lt;&gt;0,SUMIF(куб!$G:$G,$G1176,куб!O:O),IF($E1176&lt;&gt;0,SUMIF(куб!$E:$E,$E1176,куб!O:O),IF($D1176&lt;&gt;0,SUMIF(куб!$D:$D,$D1176,куб!O:O),IF($C1176&lt;&gt;0,SUMIF(куб!$C:$C,$C1176,куб!O:O),IF($B1176&lt;&gt;0,SUMIF(куб!$B:$B,$B1176,куб!O:O))))))</f>
        <v>0</v>
      </c>
      <c r="Z1176" s="13" t="str">
        <f t="shared" si="369"/>
        <v>-</v>
      </c>
      <c r="AA1176" s="5"/>
      <c r="AB1176" s="33" t="str">
        <f t="shared" si="370"/>
        <v/>
      </c>
      <c r="AC1176" s="33" t="str">
        <f t="shared" si="371"/>
        <v/>
      </c>
      <c r="AD1176" s="15" t="str">
        <f t="shared" si="372"/>
        <v xml:space="preserve"> </v>
      </c>
      <c r="AE1176" s="5"/>
      <c r="AF1176" s="27" t="b">
        <f>IF($G1176&lt;&gt;0,SUMIF(куб!$G:$G,$G1176,куб!R:R),IF($E1176&lt;&gt;0,SUMIF(куб!$E:$E,$E1176,куб!R:R),IF($D1176&lt;&gt;0,SUMIF(куб!$D:$D,$D1176,куб!R:R),IF($C1176&lt;&gt;0,SUMIF(куб!$C:$C,$C1176,куб!R:R),IF($B1176&lt;&gt;0,SUMIF(куб!$B:$B,$B1176,куб!R:R))))))</f>
        <v>0</v>
      </c>
      <c r="AG1176" s="27" t="b">
        <f>IF($G1176&lt;&gt;0,SUMIF(куб!$G:$G,$G1176,куб!S:S),IF($E1176&lt;&gt;0,SUMIF(куб!$E:$E,$E1176,куб!S:S),IF($D1176&lt;&gt;0,SUMIF(куб!$D:$D,$D1176,куб!S:S),IF($C1176&lt;&gt;0,SUMIF(куб!$C:$C,$C1176,куб!S:S),IF($B1176&lt;&gt;0,SUMIF(куб!$B:$B,$B1176,куб!S:S))))))</f>
        <v>0</v>
      </c>
      <c r="AH1176" s="16" t="str">
        <f t="shared" si="373"/>
        <v>-</v>
      </c>
      <c r="AI1176" s="8"/>
      <c r="AJ1176" s="27" t="b">
        <f>IF($G1176&lt;&gt;0,SUMIF(куб!$G:$G,$G1176,куб!T:T),IF($E1176&lt;&gt;0,SUMIF(куб!$E:$E,$E1176,куб!T:T),IF($D1176&lt;&gt;0,SUMIF(куб!$D:$D,$D1176,куб!T:T),IF($C1176&lt;&gt;0,SUMIF(куб!$C:$C,$C1176,куб!T:T),IF($B1176&lt;&gt;0,SUMIF(куб!$B:$B,$B1176,куб!T:T))))))</f>
        <v>0</v>
      </c>
      <c r="AK1176" s="27" t="b">
        <f>IF($G1176&lt;&gt;0,SUMIF(куб!$G:$G,$G1176,куб!U:U),IF($E1176&lt;&gt;0,SUMIF(куб!$E:$E,$E1176,куб!U:U),IF($D1176&lt;&gt;0,SUMIF(куб!$D:$D,$D1176,куб!U:U),IF($C1176&lt;&gt;0,SUMIF(куб!$C:$C,$C1176,куб!U:U),IF($B1176&lt;&gt;0,SUMIF(куб!$B:$B,$B1176,куб!U:U))))))</f>
        <v>0</v>
      </c>
      <c r="AL1176" s="16" t="str">
        <f t="shared" si="374"/>
        <v>-</v>
      </c>
      <c r="AM1176" s="8"/>
      <c r="AN1176" s="17" t="str">
        <f t="shared" si="375"/>
        <v xml:space="preserve"> </v>
      </c>
      <c r="AO1176" s="17" t="str">
        <f t="shared" si="376"/>
        <v xml:space="preserve"> </v>
      </c>
      <c r="AP1176" s="16" t="str">
        <f t="shared" si="377"/>
        <v>-</v>
      </c>
      <c r="AQ1176" s="8"/>
      <c r="AR1176" s="17" t="str">
        <f t="shared" si="378"/>
        <v>-</v>
      </c>
      <c r="AS1176" s="17" t="str">
        <f t="shared" si="379"/>
        <v>-</v>
      </c>
      <c r="AT1176" s="13" t="str">
        <f t="shared" si="380"/>
        <v>-</v>
      </c>
      <c r="AU1176" s="8"/>
    </row>
    <row r="1177" spans="8:47" x14ac:dyDescent="0.25">
      <c r="H1177" s="27">
        <f>IF($G1177&lt;&gt;0,SUMIF(куб!$G:$G,$G1177,куб!H:H),IF($E1177&lt;&gt;0,SUMIF(куб!$E:$E,$E1177,куб!H:H),IF($D1177&lt;&gt;0,SUMIF(куб!$D:$D,$D1177,куб!H:H),IF($C1177&lt;&gt;0,SUMIF(куб!$C:$C,$C1177,куб!H:H),IF($B1177&lt;&gt;0,SUMIF(куб!$B:$B,$B1177,куб!H:H),IF($G1177&lt;&gt;0,SUMIF(куб!$A:$A,$G1177,куб!H:H),SUMIF(куб!$A:$A,$G1177,куб!H:H)))))))</f>
        <v>0</v>
      </c>
      <c r="I1177" s="27">
        <f>IF($G1177&lt;&gt;0,SUMIF(куб!$G:$G,$G1177,куб!I:I),IF($E1177&lt;&gt;0,SUMIF(куб!$E:$E,$E1177,куб!I:I),IF($D1177&lt;&gt;0,SUMIF(куб!$D:$D,$D1177,куб!I:I),IF($C1177&lt;&gt;0,SUMIF(куб!$C:$C,$C1177,куб!I:I),IF($B1177&lt;&gt;0,SUMIF(куб!$B:$B,$B1177,куб!I:I),IF($G1177&lt;&gt;0,SUMIF(куб!$A:$A,$G1177,куб!I:I),SUMIF(куб!$A:$A,$G1177,куб!I:I)))))))</f>
        <v>0</v>
      </c>
      <c r="J1177" s="19" t="str">
        <f t="shared" si="363"/>
        <v>-</v>
      </c>
      <c r="K1177" s="8"/>
      <c r="L1177" s="17">
        <f t="shared" si="364"/>
        <v>0</v>
      </c>
      <c r="M1177" s="17">
        <f t="shared" si="365"/>
        <v>0</v>
      </c>
      <c r="N1177" s="12">
        <f t="shared" si="366"/>
        <v>0</v>
      </c>
      <c r="O1177" s="5"/>
      <c r="P1177" s="27" t="b">
        <f>IF($G1177&lt;&gt;0,SUMIF(куб!$G:$G,$G1177,куб!J:J),IF($E1177&lt;&gt;0,SUMIF(куб!$E:$E,$E1177,куб!J:J),IF($D1177&lt;&gt;0,SUMIF(куб!$D:$D,$D1177,куб!J:J),IF($C1177&lt;&gt;0,SUMIF(куб!$C:$C,$C1177,куб!J:J),IF($B1177&lt;&gt;0,SUMIF(куб!$B:$B,$B1177,куб!J:J))))))</f>
        <v>0</v>
      </c>
      <c r="Q1177" s="27" t="b">
        <f>IF($G1177&lt;&gt;0,SUMIF(куб!$G:$G,$G1177,куб!K:K),IF($E1177&lt;&gt;0,SUMIF(куб!$E:$E,$E1177,куб!K:K),IF($D1177&lt;&gt;0,SUMIF(куб!$D:$D,$D1177,куб!K:K),IF($C1177&lt;&gt;0,SUMIF(куб!$C:$C,$C1177,куб!K:K),IF($B1177&lt;&gt;0,SUMIF(куб!$B:$B,$B1177,куб!K:K))))))</f>
        <v>0</v>
      </c>
      <c r="R1177" s="13" t="str">
        <f t="shared" si="367"/>
        <v>-</v>
      </c>
      <c r="S1177" s="5"/>
      <c r="T1177" s="27" t="b">
        <f>IF($G1177&lt;&gt;0,SUMIF(куб!$G:$G,$G1177,куб!L:L),IF($E1177&lt;&gt;0,SUMIF(куб!$E:$E,$E1177,куб!L:L),IF($D1177&lt;&gt;0,SUMIF(куб!$D:$D,$D1177,куб!L:L),IF($C1177&lt;&gt;0,SUMIF(куб!$C:$C,$C1177,куб!L:L),IF($B1177&lt;&gt;0,SUMIF(куб!$B:$B,$B1177,куб!L:L))))))</f>
        <v>0</v>
      </c>
      <c r="U1177" s="27" t="b">
        <f>IF($G1177&lt;&gt;0,SUMIF(куб!$G:$G,$G1177,куб!M:M),IF($E1177&lt;&gt;0,SUMIF(куб!$E:$E,$E1177,куб!M:M),IF($D1177&lt;&gt;0,SUMIF(куб!$D:$D,$D1177,куб!M:M),IF($C1177&lt;&gt;0,SUMIF(куб!$C:$C,$C1177,куб!M:M),IF($B1177&lt;&gt;0,SUMIF(куб!$B:$B,$B1177,куб!M:M))))))</f>
        <v>0</v>
      </c>
      <c r="V1177" s="13" t="str">
        <f t="shared" si="368"/>
        <v>-</v>
      </c>
      <c r="W1177" s="5"/>
      <c r="X1177" s="27" t="b">
        <f>IF($G1177&lt;&gt;0,SUMIF(куб!$G:$G,$G1177,куб!N:N),IF($E1177&lt;&gt;0,SUMIF(куб!$E:$E,$E1177,куб!N:N),IF($D1177&lt;&gt;0,SUMIF(куб!$D:$D,$D1177,куб!N:N),IF($C1177&lt;&gt;0,SUMIF(куб!$C:$C,$C1177,куб!N:N),IF($B1177&lt;&gt;0,SUMIF(куб!$B:$B,$B1177,куб!N:N))))))</f>
        <v>0</v>
      </c>
      <c r="Y1177" s="27" t="b">
        <f>IF($G1177&lt;&gt;0,SUMIF(куб!$G:$G,$G1177,куб!O:O),IF($E1177&lt;&gt;0,SUMIF(куб!$E:$E,$E1177,куб!O:O),IF($D1177&lt;&gt;0,SUMIF(куб!$D:$D,$D1177,куб!O:O),IF($C1177&lt;&gt;0,SUMIF(куб!$C:$C,$C1177,куб!O:O),IF($B1177&lt;&gt;0,SUMIF(куб!$B:$B,$B1177,куб!O:O))))))</f>
        <v>0</v>
      </c>
      <c r="Z1177" s="13" t="str">
        <f t="shared" si="369"/>
        <v>-</v>
      </c>
      <c r="AA1177" s="5"/>
      <c r="AB1177" s="33" t="str">
        <f t="shared" si="370"/>
        <v/>
      </c>
      <c r="AC1177" s="33" t="str">
        <f t="shared" si="371"/>
        <v/>
      </c>
      <c r="AD1177" s="15" t="str">
        <f t="shared" si="372"/>
        <v xml:space="preserve"> </v>
      </c>
      <c r="AE1177" s="5"/>
      <c r="AF1177" s="27" t="b">
        <f>IF($G1177&lt;&gt;0,SUMIF(куб!$G:$G,$G1177,куб!R:R),IF($E1177&lt;&gt;0,SUMIF(куб!$E:$E,$E1177,куб!R:R),IF($D1177&lt;&gt;0,SUMIF(куб!$D:$D,$D1177,куб!R:R),IF($C1177&lt;&gt;0,SUMIF(куб!$C:$C,$C1177,куб!R:R),IF($B1177&lt;&gt;0,SUMIF(куб!$B:$B,$B1177,куб!R:R))))))</f>
        <v>0</v>
      </c>
      <c r="AG1177" s="27" t="b">
        <f>IF($G1177&lt;&gt;0,SUMIF(куб!$G:$G,$G1177,куб!S:S),IF($E1177&lt;&gt;0,SUMIF(куб!$E:$E,$E1177,куб!S:S),IF($D1177&lt;&gt;0,SUMIF(куб!$D:$D,$D1177,куб!S:S),IF($C1177&lt;&gt;0,SUMIF(куб!$C:$C,$C1177,куб!S:S),IF($B1177&lt;&gt;0,SUMIF(куб!$B:$B,$B1177,куб!S:S))))))</f>
        <v>0</v>
      </c>
      <c r="AH1177" s="16" t="str">
        <f t="shared" si="373"/>
        <v>-</v>
      </c>
      <c r="AI1177" s="8"/>
      <c r="AJ1177" s="27" t="b">
        <f>IF($G1177&lt;&gt;0,SUMIF(куб!$G:$G,$G1177,куб!T:T),IF($E1177&lt;&gt;0,SUMIF(куб!$E:$E,$E1177,куб!T:T),IF($D1177&lt;&gt;0,SUMIF(куб!$D:$D,$D1177,куб!T:T),IF($C1177&lt;&gt;0,SUMIF(куб!$C:$C,$C1177,куб!T:T),IF($B1177&lt;&gt;0,SUMIF(куб!$B:$B,$B1177,куб!T:T))))))</f>
        <v>0</v>
      </c>
      <c r="AK1177" s="27" t="b">
        <f>IF($G1177&lt;&gt;0,SUMIF(куб!$G:$G,$G1177,куб!U:U),IF($E1177&lt;&gt;0,SUMIF(куб!$E:$E,$E1177,куб!U:U),IF($D1177&lt;&gt;0,SUMIF(куб!$D:$D,$D1177,куб!U:U),IF($C1177&lt;&gt;0,SUMIF(куб!$C:$C,$C1177,куб!U:U),IF($B1177&lt;&gt;0,SUMIF(куб!$B:$B,$B1177,куб!U:U))))))</f>
        <v>0</v>
      </c>
      <c r="AL1177" s="16" t="str">
        <f t="shared" si="374"/>
        <v>-</v>
      </c>
      <c r="AM1177" s="8"/>
      <c r="AN1177" s="17" t="str">
        <f t="shared" si="375"/>
        <v xml:space="preserve"> </v>
      </c>
      <c r="AO1177" s="17" t="str">
        <f t="shared" si="376"/>
        <v xml:space="preserve"> </v>
      </c>
      <c r="AP1177" s="16" t="str">
        <f t="shared" si="377"/>
        <v>-</v>
      </c>
      <c r="AQ1177" s="8"/>
      <c r="AR1177" s="17" t="str">
        <f t="shared" si="378"/>
        <v>-</v>
      </c>
      <c r="AS1177" s="17" t="str">
        <f t="shared" si="379"/>
        <v>-</v>
      </c>
      <c r="AT1177" s="13" t="str">
        <f t="shared" si="380"/>
        <v>-</v>
      </c>
      <c r="AU1177" s="8"/>
    </row>
    <row r="1178" spans="8:47" x14ac:dyDescent="0.25">
      <c r="H1178" s="27">
        <f>IF($G1178&lt;&gt;0,SUMIF(куб!$G:$G,$G1178,куб!H:H),IF($E1178&lt;&gt;0,SUMIF(куб!$E:$E,$E1178,куб!H:H),IF($D1178&lt;&gt;0,SUMIF(куб!$D:$D,$D1178,куб!H:H),IF($C1178&lt;&gt;0,SUMIF(куб!$C:$C,$C1178,куб!H:H),IF($B1178&lt;&gt;0,SUMIF(куб!$B:$B,$B1178,куб!H:H),IF($G1178&lt;&gt;0,SUMIF(куб!$A:$A,$G1178,куб!H:H),SUMIF(куб!$A:$A,$G1178,куб!H:H)))))))</f>
        <v>0</v>
      </c>
      <c r="I1178" s="27">
        <f>IF($G1178&lt;&gt;0,SUMIF(куб!$G:$G,$G1178,куб!I:I),IF($E1178&lt;&gt;0,SUMIF(куб!$E:$E,$E1178,куб!I:I),IF($D1178&lt;&gt;0,SUMIF(куб!$D:$D,$D1178,куб!I:I),IF($C1178&lt;&gt;0,SUMIF(куб!$C:$C,$C1178,куб!I:I),IF($B1178&lt;&gt;0,SUMIF(куб!$B:$B,$B1178,куб!I:I),IF($G1178&lt;&gt;0,SUMIF(куб!$A:$A,$G1178,куб!I:I),SUMIF(куб!$A:$A,$G1178,куб!I:I)))))))</f>
        <v>0</v>
      </c>
      <c r="J1178" s="19" t="str">
        <f t="shared" si="363"/>
        <v>-</v>
      </c>
      <c r="K1178" s="8"/>
      <c r="L1178" s="17">
        <f t="shared" si="364"/>
        <v>0</v>
      </c>
      <c r="M1178" s="17">
        <f t="shared" si="365"/>
        <v>0</v>
      </c>
      <c r="N1178" s="12">
        <f t="shared" si="366"/>
        <v>0</v>
      </c>
      <c r="O1178" s="5"/>
      <c r="P1178" s="27" t="b">
        <f>IF($G1178&lt;&gt;0,SUMIF(куб!$G:$G,$G1178,куб!J:J),IF($E1178&lt;&gt;0,SUMIF(куб!$E:$E,$E1178,куб!J:J),IF($D1178&lt;&gt;0,SUMIF(куб!$D:$D,$D1178,куб!J:J),IF($C1178&lt;&gt;0,SUMIF(куб!$C:$C,$C1178,куб!J:J),IF($B1178&lt;&gt;0,SUMIF(куб!$B:$B,$B1178,куб!J:J))))))</f>
        <v>0</v>
      </c>
      <c r="Q1178" s="27" t="b">
        <f>IF($G1178&lt;&gt;0,SUMIF(куб!$G:$G,$G1178,куб!K:K),IF($E1178&lt;&gt;0,SUMIF(куб!$E:$E,$E1178,куб!K:K),IF($D1178&lt;&gt;0,SUMIF(куб!$D:$D,$D1178,куб!K:K),IF($C1178&lt;&gt;0,SUMIF(куб!$C:$C,$C1178,куб!K:K),IF($B1178&lt;&gt;0,SUMIF(куб!$B:$B,$B1178,куб!K:K))))))</f>
        <v>0</v>
      </c>
      <c r="R1178" s="13" t="str">
        <f t="shared" si="367"/>
        <v>-</v>
      </c>
      <c r="S1178" s="5"/>
      <c r="T1178" s="27" t="b">
        <f>IF($G1178&lt;&gt;0,SUMIF(куб!$G:$G,$G1178,куб!L:L),IF($E1178&lt;&gt;0,SUMIF(куб!$E:$E,$E1178,куб!L:L),IF($D1178&lt;&gt;0,SUMIF(куб!$D:$D,$D1178,куб!L:L),IF($C1178&lt;&gt;0,SUMIF(куб!$C:$C,$C1178,куб!L:L),IF($B1178&lt;&gt;0,SUMIF(куб!$B:$B,$B1178,куб!L:L))))))</f>
        <v>0</v>
      </c>
      <c r="U1178" s="27" t="b">
        <f>IF($G1178&lt;&gt;0,SUMIF(куб!$G:$G,$G1178,куб!M:M),IF($E1178&lt;&gt;0,SUMIF(куб!$E:$E,$E1178,куб!M:M),IF($D1178&lt;&gt;0,SUMIF(куб!$D:$D,$D1178,куб!M:M),IF($C1178&lt;&gt;0,SUMIF(куб!$C:$C,$C1178,куб!M:M),IF($B1178&lt;&gt;0,SUMIF(куб!$B:$B,$B1178,куб!M:M))))))</f>
        <v>0</v>
      </c>
      <c r="V1178" s="13" t="str">
        <f t="shared" si="368"/>
        <v>-</v>
      </c>
      <c r="W1178" s="5"/>
      <c r="X1178" s="27" t="b">
        <f>IF($G1178&lt;&gt;0,SUMIF(куб!$G:$G,$G1178,куб!N:N),IF($E1178&lt;&gt;0,SUMIF(куб!$E:$E,$E1178,куб!N:N),IF($D1178&lt;&gt;0,SUMIF(куб!$D:$D,$D1178,куб!N:N),IF($C1178&lt;&gt;0,SUMIF(куб!$C:$C,$C1178,куб!N:N),IF($B1178&lt;&gt;0,SUMIF(куб!$B:$B,$B1178,куб!N:N))))))</f>
        <v>0</v>
      </c>
      <c r="Y1178" s="27" t="b">
        <f>IF($G1178&lt;&gt;0,SUMIF(куб!$G:$G,$G1178,куб!O:O),IF($E1178&lt;&gt;0,SUMIF(куб!$E:$E,$E1178,куб!O:O),IF($D1178&lt;&gt;0,SUMIF(куб!$D:$D,$D1178,куб!O:O),IF($C1178&lt;&gt;0,SUMIF(куб!$C:$C,$C1178,куб!O:O),IF($B1178&lt;&gt;0,SUMIF(куб!$B:$B,$B1178,куб!O:O))))))</f>
        <v>0</v>
      </c>
      <c r="Z1178" s="13" t="str">
        <f t="shared" si="369"/>
        <v>-</v>
      </c>
      <c r="AA1178" s="5"/>
      <c r="AB1178" s="33" t="str">
        <f t="shared" si="370"/>
        <v/>
      </c>
      <c r="AC1178" s="33" t="str">
        <f t="shared" si="371"/>
        <v/>
      </c>
      <c r="AD1178" s="15" t="str">
        <f t="shared" si="372"/>
        <v xml:space="preserve"> </v>
      </c>
      <c r="AE1178" s="5"/>
      <c r="AF1178" s="27" t="b">
        <f>IF($G1178&lt;&gt;0,SUMIF(куб!$G:$G,$G1178,куб!R:R),IF($E1178&lt;&gt;0,SUMIF(куб!$E:$E,$E1178,куб!R:R),IF($D1178&lt;&gt;0,SUMIF(куб!$D:$D,$D1178,куб!R:R),IF($C1178&lt;&gt;0,SUMIF(куб!$C:$C,$C1178,куб!R:R),IF($B1178&lt;&gt;0,SUMIF(куб!$B:$B,$B1178,куб!R:R))))))</f>
        <v>0</v>
      </c>
      <c r="AG1178" s="27" t="b">
        <f>IF($G1178&lt;&gt;0,SUMIF(куб!$G:$G,$G1178,куб!S:S),IF($E1178&lt;&gt;0,SUMIF(куб!$E:$E,$E1178,куб!S:S),IF($D1178&lt;&gt;0,SUMIF(куб!$D:$D,$D1178,куб!S:S),IF($C1178&lt;&gt;0,SUMIF(куб!$C:$C,$C1178,куб!S:S),IF($B1178&lt;&gt;0,SUMIF(куб!$B:$B,$B1178,куб!S:S))))))</f>
        <v>0</v>
      </c>
      <c r="AH1178" s="16" t="str">
        <f t="shared" si="373"/>
        <v>-</v>
      </c>
      <c r="AI1178" s="8"/>
      <c r="AJ1178" s="27" t="b">
        <f>IF($G1178&lt;&gt;0,SUMIF(куб!$G:$G,$G1178,куб!T:T),IF($E1178&lt;&gt;0,SUMIF(куб!$E:$E,$E1178,куб!T:T),IF($D1178&lt;&gt;0,SUMIF(куб!$D:$D,$D1178,куб!T:T),IF($C1178&lt;&gt;0,SUMIF(куб!$C:$C,$C1178,куб!T:T),IF($B1178&lt;&gt;0,SUMIF(куб!$B:$B,$B1178,куб!T:T))))))</f>
        <v>0</v>
      </c>
      <c r="AK1178" s="27" t="b">
        <f>IF($G1178&lt;&gt;0,SUMIF(куб!$G:$G,$G1178,куб!U:U),IF($E1178&lt;&gt;0,SUMIF(куб!$E:$E,$E1178,куб!U:U),IF($D1178&lt;&gt;0,SUMIF(куб!$D:$D,$D1178,куб!U:U),IF($C1178&lt;&gt;0,SUMIF(куб!$C:$C,$C1178,куб!U:U),IF($B1178&lt;&gt;0,SUMIF(куб!$B:$B,$B1178,куб!U:U))))))</f>
        <v>0</v>
      </c>
      <c r="AL1178" s="16" t="str">
        <f t="shared" si="374"/>
        <v>-</v>
      </c>
      <c r="AM1178" s="8"/>
      <c r="AN1178" s="17" t="str">
        <f t="shared" si="375"/>
        <v xml:space="preserve"> </v>
      </c>
      <c r="AO1178" s="17" t="str">
        <f t="shared" si="376"/>
        <v xml:space="preserve"> </v>
      </c>
      <c r="AP1178" s="16" t="str">
        <f t="shared" si="377"/>
        <v>-</v>
      </c>
      <c r="AQ1178" s="8"/>
      <c r="AR1178" s="17" t="str">
        <f t="shared" si="378"/>
        <v>-</v>
      </c>
      <c r="AS1178" s="17" t="str">
        <f t="shared" si="379"/>
        <v>-</v>
      </c>
      <c r="AT1178" s="13" t="str">
        <f t="shared" si="380"/>
        <v>-</v>
      </c>
      <c r="AU1178" s="8"/>
    </row>
    <row r="1179" spans="8:47" x14ac:dyDescent="0.25">
      <c r="H1179" s="27">
        <f>IF($G1179&lt;&gt;0,SUMIF(куб!$G:$G,$G1179,куб!H:H),IF($E1179&lt;&gt;0,SUMIF(куб!$E:$E,$E1179,куб!H:H),IF($D1179&lt;&gt;0,SUMIF(куб!$D:$D,$D1179,куб!H:H),IF($C1179&lt;&gt;0,SUMIF(куб!$C:$C,$C1179,куб!H:H),IF($B1179&lt;&gt;0,SUMIF(куб!$B:$B,$B1179,куб!H:H),IF($G1179&lt;&gt;0,SUMIF(куб!$A:$A,$G1179,куб!H:H),SUMIF(куб!$A:$A,$G1179,куб!H:H)))))))</f>
        <v>0</v>
      </c>
      <c r="I1179" s="27">
        <f>IF($G1179&lt;&gt;0,SUMIF(куб!$G:$G,$G1179,куб!I:I),IF($E1179&lt;&gt;0,SUMIF(куб!$E:$E,$E1179,куб!I:I),IF($D1179&lt;&gt;0,SUMIF(куб!$D:$D,$D1179,куб!I:I),IF($C1179&lt;&gt;0,SUMIF(куб!$C:$C,$C1179,куб!I:I),IF($B1179&lt;&gt;0,SUMIF(куб!$B:$B,$B1179,куб!I:I),IF($G1179&lt;&gt;0,SUMIF(куб!$A:$A,$G1179,куб!I:I),SUMIF(куб!$A:$A,$G1179,куб!I:I)))))))</f>
        <v>0</v>
      </c>
      <c r="J1179" s="19" t="str">
        <f t="shared" si="363"/>
        <v>-</v>
      </c>
      <c r="K1179" s="8"/>
      <c r="L1179" s="17">
        <f t="shared" si="364"/>
        <v>0</v>
      </c>
      <c r="M1179" s="17">
        <f t="shared" si="365"/>
        <v>0</v>
      </c>
      <c r="N1179" s="12">
        <f t="shared" si="366"/>
        <v>0</v>
      </c>
      <c r="O1179" s="5"/>
      <c r="P1179" s="27" t="b">
        <f>IF($G1179&lt;&gt;0,SUMIF(куб!$G:$G,$G1179,куб!J:J),IF($E1179&lt;&gt;0,SUMIF(куб!$E:$E,$E1179,куб!J:J),IF($D1179&lt;&gt;0,SUMIF(куб!$D:$D,$D1179,куб!J:J),IF($C1179&lt;&gt;0,SUMIF(куб!$C:$C,$C1179,куб!J:J),IF($B1179&lt;&gt;0,SUMIF(куб!$B:$B,$B1179,куб!J:J))))))</f>
        <v>0</v>
      </c>
      <c r="Q1179" s="27" t="b">
        <f>IF($G1179&lt;&gt;0,SUMIF(куб!$G:$G,$G1179,куб!K:K),IF($E1179&lt;&gt;0,SUMIF(куб!$E:$E,$E1179,куб!K:K),IF($D1179&lt;&gt;0,SUMIF(куб!$D:$D,$D1179,куб!K:K),IF($C1179&lt;&gt;0,SUMIF(куб!$C:$C,$C1179,куб!K:K),IF($B1179&lt;&gt;0,SUMIF(куб!$B:$B,$B1179,куб!K:K))))))</f>
        <v>0</v>
      </c>
      <c r="R1179" s="13" t="str">
        <f t="shared" si="367"/>
        <v>-</v>
      </c>
      <c r="S1179" s="5"/>
      <c r="T1179" s="27" t="b">
        <f>IF($G1179&lt;&gt;0,SUMIF(куб!$G:$G,$G1179,куб!L:L),IF($E1179&lt;&gt;0,SUMIF(куб!$E:$E,$E1179,куб!L:L),IF($D1179&lt;&gt;0,SUMIF(куб!$D:$D,$D1179,куб!L:L),IF($C1179&lt;&gt;0,SUMIF(куб!$C:$C,$C1179,куб!L:L),IF($B1179&lt;&gt;0,SUMIF(куб!$B:$B,$B1179,куб!L:L))))))</f>
        <v>0</v>
      </c>
      <c r="U1179" s="27" t="b">
        <f>IF($G1179&lt;&gt;0,SUMIF(куб!$G:$G,$G1179,куб!M:M),IF($E1179&lt;&gt;0,SUMIF(куб!$E:$E,$E1179,куб!M:M),IF($D1179&lt;&gt;0,SUMIF(куб!$D:$D,$D1179,куб!M:M),IF($C1179&lt;&gt;0,SUMIF(куб!$C:$C,$C1179,куб!M:M),IF($B1179&lt;&gt;0,SUMIF(куб!$B:$B,$B1179,куб!M:M))))))</f>
        <v>0</v>
      </c>
      <c r="V1179" s="13" t="str">
        <f t="shared" si="368"/>
        <v>-</v>
      </c>
      <c r="W1179" s="5"/>
      <c r="X1179" s="27" t="b">
        <f>IF($G1179&lt;&gt;0,SUMIF(куб!$G:$G,$G1179,куб!N:N),IF($E1179&lt;&gt;0,SUMIF(куб!$E:$E,$E1179,куб!N:N),IF($D1179&lt;&gt;0,SUMIF(куб!$D:$D,$D1179,куб!N:N),IF($C1179&lt;&gt;0,SUMIF(куб!$C:$C,$C1179,куб!N:N),IF($B1179&lt;&gt;0,SUMIF(куб!$B:$B,$B1179,куб!N:N))))))</f>
        <v>0</v>
      </c>
      <c r="Y1179" s="27" t="b">
        <f>IF($G1179&lt;&gt;0,SUMIF(куб!$G:$G,$G1179,куб!O:O),IF($E1179&lt;&gt;0,SUMIF(куб!$E:$E,$E1179,куб!O:O),IF($D1179&lt;&gt;0,SUMIF(куб!$D:$D,$D1179,куб!O:O),IF($C1179&lt;&gt;0,SUMIF(куб!$C:$C,$C1179,куб!O:O),IF($B1179&lt;&gt;0,SUMIF(куб!$B:$B,$B1179,куб!O:O))))))</f>
        <v>0</v>
      </c>
      <c r="Z1179" s="13" t="str">
        <f t="shared" si="369"/>
        <v>-</v>
      </c>
      <c r="AA1179" s="5"/>
      <c r="AB1179" s="33" t="str">
        <f t="shared" si="370"/>
        <v/>
      </c>
      <c r="AC1179" s="33" t="str">
        <f t="shared" si="371"/>
        <v/>
      </c>
      <c r="AD1179" s="15" t="str">
        <f t="shared" si="372"/>
        <v xml:space="preserve"> </v>
      </c>
      <c r="AE1179" s="5"/>
      <c r="AF1179" s="27" t="b">
        <f>IF($G1179&lt;&gt;0,SUMIF(куб!$G:$G,$G1179,куб!R:R),IF($E1179&lt;&gt;0,SUMIF(куб!$E:$E,$E1179,куб!R:R),IF($D1179&lt;&gt;0,SUMIF(куб!$D:$D,$D1179,куб!R:R),IF($C1179&lt;&gt;0,SUMIF(куб!$C:$C,$C1179,куб!R:R),IF($B1179&lt;&gt;0,SUMIF(куб!$B:$B,$B1179,куб!R:R))))))</f>
        <v>0</v>
      </c>
      <c r="AG1179" s="27" t="b">
        <f>IF($G1179&lt;&gt;0,SUMIF(куб!$G:$G,$G1179,куб!S:S),IF($E1179&lt;&gt;0,SUMIF(куб!$E:$E,$E1179,куб!S:S),IF($D1179&lt;&gt;0,SUMIF(куб!$D:$D,$D1179,куб!S:S),IF($C1179&lt;&gt;0,SUMIF(куб!$C:$C,$C1179,куб!S:S),IF($B1179&lt;&gt;0,SUMIF(куб!$B:$B,$B1179,куб!S:S))))))</f>
        <v>0</v>
      </c>
      <c r="AH1179" s="16" t="str">
        <f t="shared" si="373"/>
        <v>-</v>
      </c>
      <c r="AI1179" s="8"/>
      <c r="AJ1179" s="27" t="b">
        <f>IF($G1179&lt;&gt;0,SUMIF(куб!$G:$G,$G1179,куб!T:T),IF($E1179&lt;&gt;0,SUMIF(куб!$E:$E,$E1179,куб!T:T),IF($D1179&lt;&gt;0,SUMIF(куб!$D:$D,$D1179,куб!T:T),IF($C1179&lt;&gt;0,SUMIF(куб!$C:$C,$C1179,куб!T:T),IF($B1179&lt;&gt;0,SUMIF(куб!$B:$B,$B1179,куб!T:T))))))</f>
        <v>0</v>
      </c>
      <c r="AK1179" s="27" t="b">
        <f>IF($G1179&lt;&gt;0,SUMIF(куб!$G:$G,$G1179,куб!U:U),IF($E1179&lt;&gt;0,SUMIF(куб!$E:$E,$E1179,куб!U:U),IF($D1179&lt;&gt;0,SUMIF(куб!$D:$D,$D1179,куб!U:U),IF($C1179&lt;&gt;0,SUMIF(куб!$C:$C,$C1179,куб!U:U),IF($B1179&lt;&gt;0,SUMIF(куб!$B:$B,$B1179,куб!U:U))))))</f>
        <v>0</v>
      </c>
      <c r="AL1179" s="16" t="str">
        <f t="shared" si="374"/>
        <v>-</v>
      </c>
      <c r="AM1179" s="8"/>
      <c r="AN1179" s="17" t="str">
        <f t="shared" si="375"/>
        <v xml:space="preserve"> </v>
      </c>
      <c r="AO1179" s="17" t="str">
        <f t="shared" si="376"/>
        <v xml:space="preserve"> </v>
      </c>
      <c r="AP1179" s="16" t="str">
        <f t="shared" si="377"/>
        <v>-</v>
      </c>
      <c r="AQ1179" s="8"/>
      <c r="AR1179" s="17" t="str">
        <f t="shared" si="378"/>
        <v>-</v>
      </c>
      <c r="AS1179" s="17" t="str">
        <f t="shared" si="379"/>
        <v>-</v>
      </c>
      <c r="AT1179" s="13" t="str">
        <f t="shared" si="380"/>
        <v>-</v>
      </c>
      <c r="AU1179" s="8"/>
    </row>
    <row r="1180" spans="8:47" x14ac:dyDescent="0.25">
      <c r="H1180" s="27">
        <f>IF($G1180&lt;&gt;0,SUMIF(куб!$G:$G,$G1180,куб!H:H),IF($E1180&lt;&gt;0,SUMIF(куб!$E:$E,$E1180,куб!H:H),IF($D1180&lt;&gt;0,SUMIF(куб!$D:$D,$D1180,куб!H:H),IF($C1180&lt;&gt;0,SUMIF(куб!$C:$C,$C1180,куб!H:H),IF($B1180&lt;&gt;0,SUMIF(куб!$B:$B,$B1180,куб!H:H),IF($G1180&lt;&gt;0,SUMIF(куб!$A:$A,$G1180,куб!H:H),SUMIF(куб!$A:$A,$G1180,куб!H:H)))))))</f>
        <v>0</v>
      </c>
      <c r="I1180" s="27">
        <f>IF($G1180&lt;&gt;0,SUMIF(куб!$G:$G,$G1180,куб!I:I),IF($E1180&lt;&gt;0,SUMIF(куб!$E:$E,$E1180,куб!I:I),IF($D1180&lt;&gt;0,SUMIF(куб!$D:$D,$D1180,куб!I:I),IF($C1180&lt;&gt;0,SUMIF(куб!$C:$C,$C1180,куб!I:I),IF($B1180&lt;&gt;0,SUMIF(куб!$B:$B,$B1180,куб!I:I),IF($G1180&lt;&gt;0,SUMIF(куб!$A:$A,$G1180,куб!I:I),SUMIF(куб!$A:$A,$G1180,куб!I:I)))))))</f>
        <v>0</v>
      </c>
      <c r="J1180" s="19" t="str">
        <f t="shared" si="363"/>
        <v>-</v>
      </c>
      <c r="K1180" s="8"/>
      <c r="L1180" s="17">
        <f t="shared" si="364"/>
        <v>0</v>
      </c>
      <c r="M1180" s="17">
        <f t="shared" si="365"/>
        <v>0</v>
      </c>
      <c r="N1180" s="12">
        <f t="shared" si="366"/>
        <v>0</v>
      </c>
      <c r="O1180" s="5"/>
      <c r="P1180" s="27" t="b">
        <f>IF($G1180&lt;&gt;0,SUMIF(куб!$G:$G,$G1180,куб!J:J),IF($E1180&lt;&gt;0,SUMIF(куб!$E:$E,$E1180,куб!J:J),IF($D1180&lt;&gt;0,SUMIF(куб!$D:$D,$D1180,куб!J:J),IF($C1180&lt;&gt;0,SUMIF(куб!$C:$C,$C1180,куб!J:J),IF($B1180&lt;&gt;0,SUMIF(куб!$B:$B,$B1180,куб!J:J))))))</f>
        <v>0</v>
      </c>
      <c r="Q1180" s="27" t="b">
        <f>IF($G1180&lt;&gt;0,SUMIF(куб!$G:$G,$G1180,куб!K:K),IF($E1180&lt;&gt;0,SUMIF(куб!$E:$E,$E1180,куб!K:K),IF($D1180&lt;&gt;0,SUMIF(куб!$D:$D,$D1180,куб!K:K),IF($C1180&lt;&gt;0,SUMIF(куб!$C:$C,$C1180,куб!K:K),IF($B1180&lt;&gt;0,SUMIF(куб!$B:$B,$B1180,куб!K:K))))))</f>
        <v>0</v>
      </c>
      <c r="R1180" s="13" t="str">
        <f t="shared" si="367"/>
        <v>-</v>
      </c>
      <c r="S1180" s="5"/>
      <c r="T1180" s="27" t="b">
        <f>IF($G1180&lt;&gt;0,SUMIF(куб!$G:$G,$G1180,куб!L:L),IF($E1180&lt;&gt;0,SUMIF(куб!$E:$E,$E1180,куб!L:L),IF($D1180&lt;&gt;0,SUMIF(куб!$D:$D,$D1180,куб!L:L),IF($C1180&lt;&gt;0,SUMIF(куб!$C:$C,$C1180,куб!L:L),IF($B1180&lt;&gt;0,SUMIF(куб!$B:$B,$B1180,куб!L:L))))))</f>
        <v>0</v>
      </c>
      <c r="U1180" s="27" t="b">
        <f>IF($G1180&lt;&gt;0,SUMIF(куб!$G:$G,$G1180,куб!M:M),IF($E1180&lt;&gt;0,SUMIF(куб!$E:$E,$E1180,куб!M:M),IF($D1180&lt;&gt;0,SUMIF(куб!$D:$D,$D1180,куб!M:M),IF($C1180&lt;&gt;0,SUMIF(куб!$C:$C,$C1180,куб!M:M),IF($B1180&lt;&gt;0,SUMIF(куб!$B:$B,$B1180,куб!M:M))))))</f>
        <v>0</v>
      </c>
      <c r="V1180" s="13" t="str">
        <f t="shared" si="368"/>
        <v>-</v>
      </c>
      <c r="W1180" s="5"/>
      <c r="X1180" s="27" t="b">
        <f>IF($G1180&lt;&gt;0,SUMIF(куб!$G:$G,$G1180,куб!N:N),IF($E1180&lt;&gt;0,SUMIF(куб!$E:$E,$E1180,куб!N:N),IF($D1180&lt;&gt;0,SUMIF(куб!$D:$D,$D1180,куб!N:N),IF($C1180&lt;&gt;0,SUMIF(куб!$C:$C,$C1180,куб!N:N),IF($B1180&lt;&gt;0,SUMIF(куб!$B:$B,$B1180,куб!N:N))))))</f>
        <v>0</v>
      </c>
      <c r="Y1180" s="27" t="b">
        <f>IF($G1180&lt;&gt;0,SUMIF(куб!$G:$G,$G1180,куб!O:O),IF($E1180&lt;&gt;0,SUMIF(куб!$E:$E,$E1180,куб!O:O),IF($D1180&lt;&gt;0,SUMIF(куб!$D:$D,$D1180,куб!O:O),IF($C1180&lt;&gt;0,SUMIF(куб!$C:$C,$C1180,куб!O:O),IF($B1180&lt;&gt;0,SUMIF(куб!$B:$B,$B1180,куб!O:O))))))</f>
        <v>0</v>
      </c>
      <c r="Z1180" s="13" t="str">
        <f t="shared" si="369"/>
        <v>-</v>
      </c>
      <c r="AA1180" s="5"/>
      <c r="AB1180" s="33" t="str">
        <f t="shared" si="370"/>
        <v/>
      </c>
      <c r="AC1180" s="33" t="str">
        <f t="shared" si="371"/>
        <v/>
      </c>
      <c r="AD1180" s="15" t="str">
        <f t="shared" si="372"/>
        <v xml:space="preserve"> </v>
      </c>
      <c r="AE1180" s="5"/>
      <c r="AF1180" s="27" t="b">
        <f>IF($G1180&lt;&gt;0,SUMIF(куб!$G:$G,$G1180,куб!R:R),IF($E1180&lt;&gt;0,SUMIF(куб!$E:$E,$E1180,куб!R:R),IF($D1180&lt;&gt;0,SUMIF(куб!$D:$D,$D1180,куб!R:R),IF($C1180&lt;&gt;0,SUMIF(куб!$C:$C,$C1180,куб!R:R),IF($B1180&lt;&gt;0,SUMIF(куб!$B:$B,$B1180,куб!R:R))))))</f>
        <v>0</v>
      </c>
      <c r="AG1180" s="27" t="b">
        <f>IF($G1180&lt;&gt;0,SUMIF(куб!$G:$G,$G1180,куб!S:S),IF($E1180&lt;&gt;0,SUMIF(куб!$E:$E,$E1180,куб!S:S),IF($D1180&lt;&gt;0,SUMIF(куб!$D:$D,$D1180,куб!S:S),IF($C1180&lt;&gt;0,SUMIF(куб!$C:$C,$C1180,куб!S:S),IF($B1180&lt;&gt;0,SUMIF(куб!$B:$B,$B1180,куб!S:S))))))</f>
        <v>0</v>
      </c>
      <c r="AH1180" s="16" t="str">
        <f t="shared" si="373"/>
        <v>-</v>
      </c>
      <c r="AI1180" s="8"/>
      <c r="AJ1180" s="27" t="b">
        <f>IF($G1180&lt;&gt;0,SUMIF(куб!$G:$G,$G1180,куб!T:T),IF($E1180&lt;&gt;0,SUMIF(куб!$E:$E,$E1180,куб!T:T),IF($D1180&lt;&gt;0,SUMIF(куб!$D:$D,$D1180,куб!T:T),IF($C1180&lt;&gt;0,SUMIF(куб!$C:$C,$C1180,куб!T:T),IF($B1180&lt;&gt;0,SUMIF(куб!$B:$B,$B1180,куб!T:T))))))</f>
        <v>0</v>
      </c>
      <c r="AK1180" s="27" t="b">
        <f>IF($G1180&lt;&gt;0,SUMIF(куб!$G:$G,$G1180,куб!U:U),IF($E1180&lt;&gt;0,SUMIF(куб!$E:$E,$E1180,куб!U:U),IF($D1180&lt;&gt;0,SUMIF(куб!$D:$D,$D1180,куб!U:U),IF($C1180&lt;&gt;0,SUMIF(куб!$C:$C,$C1180,куб!U:U),IF($B1180&lt;&gt;0,SUMIF(куб!$B:$B,$B1180,куб!U:U))))))</f>
        <v>0</v>
      </c>
      <c r="AL1180" s="16" t="str">
        <f t="shared" si="374"/>
        <v>-</v>
      </c>
      <c r="AM1180" s="8"/>
      <c r="AN1180" s="17" t="str">
        <f t="shared" si="375"/>
        <v xml:space="preserve"> </v>
      </c>
      <c r="AO1180" s="17" t="str">
        <f t="shared" si="376"/>
        <v xml:space="preserve"> </v>
      </c>
      <c r="AP1180" s="16" t="str">
        <f t="shared" si="377"/>
        <v>-</v>
      </c>
      <c r="AQ1180" s="8"/>
      <c r="AR1180" s="17" t="str">
        <f t="shared" si="378"/>
        <v>-</v>
      </c>
      <c r="AS1180" s="17" t="str">
        <f t="shared" si="379"/>
        <v>-</v>
      </c>
      <c r="AT1180" s="13" t="str">
        <f t="shared" si="380"/>
        <v>-</v>
      </c>
      <c r="AU1180" s="8"/>
    </row>
    <row r="1181" spans="8:47" x14ac:dyDescent="0.25">
      <c r="H1181" s="27">
        <f>IF($G1181&lt;&gt;0,SUMIF(куб!$G:$G,$G1181,куб!H:H),IF($E1181&lt;&gt;0,SUMIF(куб!$E:$E,$E1181,куб!H:H),IF($D1181&lt;&gt;0,SUMIF(куб!$D:$D,$D1181,куб!H:H),IF($C1181&lt;&gt;0,SUMIF(куб!$C:$C,$C1181,куб!H:H),IF($B1181&lt;&gt;0,SUMIF(куб!$B:$B,$B1181,куб!H:H),IF($G1181&lt;&gt;0,SUMIF(куб!$A:$A,$G1181,куб!H:H),SUMIF(куб!$A:$A,$G1181,куб!H:H)))))))</f>
        <v>0</v>
      </c>
      <c r="I1181" s="27">
        <f>IF($G1181&lt;&gt;0,SUMIF(куб!$G:$G,$G1181,куб!I:I),IF($E1181&lt;&gt;0,SUMIF(куб!$E:$E,$E1181,куб!I:I),IF($D1181&lt;&gt;0,SUMIF(куб!$D:$D,$D1181,куб!I:I),IF($C1181&lt;&gt;0,SUMIF(куб!$C:$C,$C1181,куб!I:I),IF($B1181&lt;&gt;0,SUMIF(куб!$B:$B,$B1181,куб!I:I),IF($G1181&lt;&gt;0,SUMIF(куб!$A:$A,$G1181,куб!I:I),SUMIF(куб!$A:$A,$G1181,куб!I:I)))))))</f>
        <v>0</v>
      </c>
      <c r="J1181" s="19" t="str">
        <f t="shared" si="363"/>
        <v>-</v>
      </c>
      <c r="K1181" s="8"/>
      <c r="L1181" s="17">
        <f t="shared" si="364"/>
        <v>0</v>
      </c>
      <c r="M1181" s="17">
        <f t="shared" si="365"/>
        <v>0</v>
      </c>
      <c r="N1181" s="12">
        <f t="shared" si="366"/>
        <v>0</v>
      </c>
      <c r="O1181" s="5"/>
      <c r="P1181" s="27" t="b">
        <f>IF($G1181&lt;&gt;0,SUMIF(куб!$G:$G,$G1181,куб!J:J),IF($E1181&lt;&gt;0,SUMIF(куб!$E:$E,$E1181,куб!J:J),IF($D1181&lt;&gt;0,SUMIF(куб!$D:$D,$D1181,куб!J:J),IF($C1181&lt;&gt;0,SUMIF(куб!$C:$C,$C1181,куб!J:J),IF($B1181&lt;&gt;0,SUMIF(куб!$B:$B,$B1181,куб!J:J))))))</f>
        <v>0</v>
      </c>
      <c r="Q1181" s="27" t="b">
        <f>IF($G1181&lt;&gt;0,SUMIF(куб!$G:$G,$G1181,куб!K:K),IF($E1181&lt;&gt;0,SUMIF(куб!$E:$E,$E1181,куб!K:K),IF($D1181&lt;&gt;0,SUMIF(куб!$D:$D,$D1181,куб!K:K),IF($C1181&lt;&gt;0,SUMIF(куб!$C:$C,$C1181,куб!K:K),IF($B1181&lt;&gt;0,SUMIF(куб!$B:$B,$B1181,куб!K:K))))))</f>
        <v>0</v>
      </c>
      <c r="R1181" s="13" t="str">
        <f t="shared" si="367"/>
        <v>-</v>
      </c>
      <c r="S1181" s="5"/>
      <c r="T1181" s="27" t="b">
        <f>IF($G1181&lt;&gt;0,SUMIF(куб!$G:$G,$G1181,куб!L:L),IF($E1181&lt;&gt;0,SUMIF(куб!$E:$E,$E1181,куб!L:L),IF($D1181&lt;&gt;0,SUMIF(куб!$D:$D,$D1181,куб!L:L),IF($C1181&lt;&gt;0,SUMIF(куб!$C:$C,$C1181,куб!L:L),IF($B1181&lt;&gt;0,SUMIF(куб!$B:$B,$B1181,куб!L:L))))))</f>
        <v>0</v>
      </c>
      <c r="U1181" s="27" t="b">
        <f>IF($G1181&lt;&gt;0,SUMIF(куб!$G:$G,$G1181,куб!M:M),IF($E1181&lt;&gt;0,SUMIF(куб!$E:$E,$E1181,куб!M:M),IF($D1181&lt;&gt;0,SUMIF(куб!$D:$D,$D1181,куб!M:M),IF($C1181&lt;&gt;0,SUMIF(куб!$C:$C,$C1181,куб!M:M),IF($B1181&lt;&gt;0,SUMIF(куб!$B:$B,$B1181,куб!M:M))))))</f>
        <v>0</v>
      </c>
      <c r="V1181" s="13" t="str">
        <f t="shared" si="368"/>
        <v>-</v>
      </c>
      <c r="W1181" s="5"/>
      <c r="X1181" s="27" t="b">
        <f>IF($G1181&lt;&gt;0,SUMIF(куб!$G:$G,$G1181,куб!N:N),IF($E1181&lt;&gt;0,SUMIF(куб!$E:$E,$E1181,куб!N:N),IF($D1181&lt;&gt;0,SUMIF(куб!$D:$D,$D1181,куб!N:N),IF($C1181&lt;&gt;0,SUMIF(куб!$C:$C,$C1181,куб!N:N),IF($B1181&lt;&gt;0,SUMIF(куб!$B:$B,$B1181,куб!N:N))))))</f>
        <v>0</v>
      </c>
      <c r="Y1181" s="27" t="b">
        <f>IF($G1181&lt;&gt;0,SUMIF(куб!$G:$G,$G1181,куб!O:O),IF($E1181&lt;&gt;0,SUMIF(куб!$E:$E,$E1181,куб!O:O),IF($D1181&lt;&gt;0,SUMIF(куб!$D:$D,$D1181,куб!O:O),IF($C1181&lt;&gt;0,SUMIF(куб!$C:$C,$C1181,куб!O:O),IF($B1181&lt;&gt;0,SUMIF(куб!$B:$B,$B1181,куб!O:O))))))</f>
        <v>0</v>
      </c>
      <c r="Z1181" s="13" t="str">
        <f t="shared" si="369"/>
        <v>-</v>
      </c>
      <c r="AA1181" s="5"/>
      <c r="AB1181" s="33" t="str">
        <f t="shared" si="370"/>
        <v/>
      </c>
      <c r="AC1181" s="33" t="str">
        <f t="shared" si="371"/>
        <v/>
      </c>
      <c r="AD1181" s="15" t="str">
        <f t="shared" si="372"/>
        <v xml:space="preserve"> </v>
      </c>
      <c r="AE1181" s="5"/>
      <c r="AF1181" s="27" t="b">
        <f>IF($G1181&lt;&gt;0,SUMIF(куб!$G:$G,$G1181,куб!R:R),IF($E1181&lt;&gt;0,SUMIF(куб!$E:$E,$E1181,куб!R:R),IF($D1181&lt;&gt;0,SUMIF(куб!$D:$D,$D1181,куб!R:R),IF($C1181&lt;&gt;0,SUMIF(куб!$C:$C,$C1181,куб!R:R),IF($B1181&lt;&gt;0,SUMIF(куб!$B:$B,$B1181,куб!R:R))))))</f>
        <v>0</v>
      </c>
      <c r="AG1181" s="27" t="b">
        <f>IF($G1181&lt;&gt;0,SUMIF(куб!$G:$G,$G1181,куб!S:S),IF($E1181&lt;&gt;0,SUMIF(куб!$E:$E,$E1181,куб!S:S),IF($D1181&lt;&gt;0,SUMIF(куб!$D:$D,$D1181,куб!S:S),IF($C1181&lt;&gt;0,SUMIF(куб!$C:$C,$C1181,куб!S:S),IF($B1181&lt;&gt;0,SUMIF(куб!$B:$B,$B1181,куб!S:S))))))</f>
        <v>0</v>
      </c>
      <c r="AH1181" s="16" t="str">
        <f t="shared" si="373"/>
        <v>-</v>
      </c>
      <c r="AI1181" s="8"/>
      <c r="AJ1181" s="27" t="b">
        <f>IF($G1181&lt;&gt;0,SUMIF(куб!$G:$G,$G1181,куб!T:T),IF($E1181&lt;&gt;0,SUMIF(куб!$E:$E,$E1181,куб!T:T),IF($D1181&lt;&gt;0,SUMIF(куб!$D:$D,$D1181,куб!T:T),IF($C1181&lt;&gt;0,SUMIF(куб!$C:$C,$C1181,куб!T:T),IF($B1181&lt;&gt;0,SUMIF(куб!$B:$B,$B1181,куб!T:T))))))</f>
        <v>0</v>
      </c>
      <c r="AK1181" s="27" t="b">
        <f>IF($G1181&lt;&gt;0,SUMIF(куб!$G:$G,$G1181,куб!U:U),IF($E1181&lt;&gt;0,SUMIF(куб!$E:$E,$E1181,куб!U:U),IF($D1181&lt;&gt;0,SUMIF(куб!$D:$D,$D1181,куб!U:U),IF($C1181&lt;&gt;0,SUMIF(куб!$C:$C,$C1181,куб!U:U),IF($B1181&lt;&gt;0,SUMIF(куб!$B:$B,$B1181,куб!U:U))))))</f>
        <v>0</v>
      </c>
      <c r="AL1181" s="16" t="str">
        <f t="shared" si="374"/>
        <v>-</v>
      </c>
      <c r="AM1181" s="8"/>
      <c r="AN1181" s="17" t="str">
        <f t="shared" si="375"/>
        <v xml:space="preserve"> </v>
      </c>
      <c r="AO1181" s="17" t="str">
        <f t="shared" si="376"/>
        <v xml:space="preserve"> </v>
      </c>
      <c r="AP1181" s="16" t="str">
        <f t="shared" si="377"/>
        <v>-</v>
      </c>
      <c r="AQ1181" s="8"/>
      <c r="AR1181" s="17" t="str">
        <f t="shared" si="378"/>
        <v>-</v>
      </c>
      <c r="AS1181" s="17" t="str">
        <f t="shared" si="379"/>
        <v>-</v>
      </c>
      <c r="AT1181" s="13" t="str">
        <f t="shared" si="380"/>
        <v>-</v>
      </c>
      <c r="AU1181" s="8"/>
    </row>
    <row r="1182" spans="8:47" x14ac:dyDescent="0.25">
      <c r="H1182" s="27">
        <f>IF($G1182&lt;&gt;0,SUMIF(куб!$G:$G,$G1182,куб!H:H),IF($E1182&lt;&gt;0,SUMIF(куб!$E:$E,$E1182,куб!H:H),IF($D1182&lt;&gt;0,SUMIF(куб!$D:$D,$D1182,куб!H:H),IF($C1182&lt;&gt;0,SUMIF(куб!$C:$C,$C1182,куб!H:H),IF($B1182&lt;&gt;0,SUMIF(куб!$B:$B,$B1182,куб!H:H),IF($G1182&lt;&gt;0,SUMIF(куб!$A:$A,$G1182,куб!H:H),SUMIF(куб!$A:$A,$G1182,куб!H:H)))))))</f>
        <v>0</v>
      </c>
      <c r="I1182" s="27">
        <f>IF($G1182&lt;&gt;0,SUMIF(куб!$G:$G,$G1182,куб!I:I),IF($E1182&lt;&gt;0,SUMIF(куб!$E:$E,$E1182,куб!I:I),IF($D1182&lt;&gt;0,SUMIF(куб!$D:$D,$D1182,куб!I:I),IF($C1182&lt;&gt;0,SUMIF(куб!$C:$C,$C1182,куб!I:I),IF($B1182&lt;&gt;0,SUMIF(куб!$B:$B,$B1182,куб!I:I),IF($G1182&lt;&gt;0,SUMIF(куб!$A:$A,$G1182,куб!I:I),SUMIF(куб!$A:$A,$G1182,куб!I:I)))))))</f>
        <v>0</v>
      </c>
      <c r="J1182" s="19" t="str">
        <f t="shared" si="363"/>
        <v>-</v>
      </c>
      <c r="K1182" s="8"/>
      <c r="L1182" s="17">
        <f t="shared" si="364"/>
        <v>0</v>
      </c>
      <c r="M1182" s="17">
        <f t="shared" si="365"/>
        <v>0</v>
      </c>
      <c r="N1182" s="12">
        <f t="shared" si="366"/>
        <v>0</v>
      </c>
      <c r="O1182" s="5"/>
      <c r="P1182" s="27" t="b">
        <f>IF($G1182&lt;&gt;0,SUMIF(куб!$G:$G,$G1182,куб!J:J),IF($E1182&lt;&gt;0,SUMIF(куб!$E:$E,$E1182,куб!J:J),IF($D1182&lt;&gt;0,SUMIF(куб!$D:$D,$D1182,куб!J:J),IF($C1182&lt;&gt;0,SUMIF(куб!$C:$C,$C1182,куб!J:J),IF($B1182&lt;&gt;0,SUMIF(куб!$B:$B,$B1182,куб!J:J))))))</f>
        <v>0</v>
      </c>
      <c r="Q1182" s="27" t="b">
        <f>IF($G1182&lt;&gt;0,SUMIF(куб!$G:$G,$G1182,куб!K:K),IF($E1182&lt;&gt;0,SUMIF(куб!$E:$E,$E1182,куб!K:K),IF($D1182&lt;&gt;0,SUMIF(куб!$D:$D,$D1182,куб!K:K),IF($C1182&lt;&gt;0,SUMIF(куб!$C:$C,$C1182,куб!K:K),IF($B1182&lt;&gt;0,SUMIF(куб!$B:$B,$B1182,куб!K:K))))))</f>
        <v>0</v>
      </c>
      <c r="R1182" s="13" t="str">
        <f t="shared" si="367"/>
        <v>-</v>
      </c>
      <c r="S1182" s="5"/>
      <c r="T1182" s="27" t="b">
        <f>IF($G1182&lt;&gt;0,SUMIF(куб!$G:$G,$G1182,куб!L:L),IF($E1182&lt;&gt;0,SUMIF(куб!$E:$E,$E1182,куб!L:L),IF($D1182&lt;&gt;0,SUMIF(куб!$D:$D,$D1182,куб!L:L),IF($C1182&lt;&gt;0,SUMIF(куб!$C:$C,$C1182,куб!L:L),IF($B1182&lt;&gt;0,SUMIF(куб!$B:$B,$B1182,куб!L:L))))))</f>
        <v>0</v>
      </c>
      <c r="U1182" s="27" t="b">
        <f>IF($G1182&lt;&gt;0,SUMIF(куб!$G:$G,$G1182,куб!M:M),IF($E1182&lt;&gt;0,SUMIF(куб!$E:$E,$E1182,куб!M:M),IF($D1182&lt;&gt;0,SUMIF(куб!$D:$D,$D1182,куб!M:M),IF($C1182&lt;&gt;0,SUMIF(куб!$C:$C,$C1182,куб!M:M),IF($B1182&lt;&gt;0,SUMIF(куб!$B:$B,$B1182,куб!M:M))))))</f>
        <v>0</v>
      </c>
      <c r="V1182" s="13" t="str">
        <f t="shared" si="368"/>
        <v>-</v>
      </c>
      <c r="W1182" s="5"/>
      <c r="X1182" s="27" t="b">
        <f>IF($G1182&lt;&gt;0,SUMIF(куб!$G:$G,$G1182,куб!N:N),IF($E1182&lt;&gt;0,SUMIF(куб!$E:$E,$E1182,куб!N:N),IF($D1182&lt;&gt;0,SUMIF(куб!$D:$D,$D1182,куб!N:N),IF($C1182&lt;&gt;0,SUMIF(куб!$C:$C,$C1182,куб!N:N),IF($B1182&lt;&gt;0,SUMIF(куб!$B:$B,$B1182,куб!N:N))))))</f>
        <v>0</v>
      </c>
      <c r="Y1182" s="27" t="b">
        <f>IF($G1182&lt;&gt;0,SUMIF(куб!$G:$G,$G1182,куб!O:O),IF($E1182&lt;&gt;0,SUMIF(куб!$E:$E,$E1182,куб!O:O),IF($D1182&lt;&gt;0,SUMIF(куб!$D:$D,$D1182,куб!O:O),IF($C1182&lt;&gt;0,SUMIF(куб!$C:$C,$C1182,куб!O:O),IF($B1182&lt;&gt;0,SUMIF(куб!$B:$B,$B1182,куб!O:O))))))</f>
        <v>0</v>
      </c>
      <c r="Z1182" s="13" t="str">
        <f t="shared" si="369"/>
        <v>-</v>
      </c>
      <c r="AA1182" s="5"/>
      <c r="AB1182" s="33" t="str">
        <f t="shared" si="370"/>
        <v/>
      </c>
      <c r="AC1182" s="33" t="str">
        <f t="shared" si="371"/>
        <v/>
      </c>
      <c r="AD1182" s="15" t="str">
        <f t="shared" si="372"/>
        <v xml:space="preserve"> </v>
      </c>
      <c r="AE1182" s="5"/>
      <c r="AF1182" s="27" t="b">
        <f>IF($G1182&lt;&gt;0,SUMIF(куб!$G:$G,$G1182,куб!R:R),IF($E1182&lt;&gt;0,SUMIF(куб!$E:$E,$E1182,куб!R:R),IF($D1182&lt;&gt;0,SUMIF(куб!$D:$D,$D1182,куб!R:R),IF($C1182&lt;&gt;0,SUMIF(куб!$C:$C,$C1182,куб!R:R),IF($B1182&lt;&gt;0,SUMIF(куб!$B:$B,$B1182,куб!R:R))))))</f>
        <v>0</v>
      </c>
      <c r="AG1182" s="27" t="b">
        <f>IF($G1182&lt;&gt;0,SUMIF(куб!$G:$G,$G1182,куб!S:S),IF($E1182&lt;&gt;0,SUMIF(куб!$E:$E,$E1182,куб!S:S),IF($D1182&lt;&gt;0,SUMIF(куб!$D:$D,$D1182,куб!S:S),IF($C1182&lt;&gt;0,SUMIF(куб!$C:$C,$C1182,куб!S:S),IF($B1182&lt;&gt;0,SUMIF(куб!$B:$B,$B1182,куб!S:S))))))</f>
        <v>0</v>
      </c>
      <c r="AH1182" s="16" t="str">
        <f t="shared" si="373"/>
        <v>-</v>
      </c>
      <c r="AI1182" s="8"/>
      <c r="AJ1182" s="27" t="b">
        <f>IF($G1182&lt;&gt;0,SUMIF(куб!$G:$G,$G1182,куб!T:T),IF($E1182&lt;&gt;0,SUMIF(куб!$E:$E,$E1182,куб!T:T),IF($D1182&lt;&gt;0,SUMIF(куб!$D:$D,$D1182,куб!T:T),IF($C1182&lt;&gt;0,SUMIF(куб!$C:$C,$C1182,куб!T:T),IF($B1182&lt;&gt;0,SUMIF(куб!$B:$B,$B1182,куб!T:T))))))</f>
        <v>0</v>
      </c>
      <c r="AK1182" s="27" t="b">
        <f>IF($G1182&lt;&gt;0,SUMIF(куб!$G:$G,$G1182,куб!U:U),IF($E1182&lt;&gt;0,SUMIF(куб!$E:$E,$E1182,куб!U:U),IF($D1182&lt;&gt;0,SUMIF(куб!$D:$D,$D1182,куб!U:U),IF($C1182&lt;&gt;0,SUMIF(куб!$C:$C,$C1182,куб!U:U),IF($B1182&lt;&gt;0,SUMIF(куб!$B:$B,$B1182,куб!U:U))))))</f>
        <v>0</v>
      </c>
      <c r="AL1182" s="16" t="str">
        <f t="shared" si="374"/>
        <v>-</v>
      </c>
      <c r="AM1182" s="8"/>
      <c r="AN1182" s="17" t="str">
        <f t="shared" si="375"/>
        <v xml:space="preserve"> </v>
      </c>
      <c r="AO1182" s="17" t="str">
        <f t="shared" si="376"/>
        <v xml:space="preserve"> </v>
      </c>
      <c r="AP1182" s="16" t="str">
        <f t="shared" si="377"/>
        <v>-</v>
      </c>
      <c r="AQ1182" s="8"/>
      <c r="AR1182" s="17" t="str">
        <f t="shared" si="378"/>
        <v>-</v>
      </c>
      <c r="AS1182" s="17" t="str">
        <f t="shared" si="379"/>
        <v>-</v>
      </c>
      <c r="AT1182" s="13" t="str">
        <f t="shared" si="380"/>
        <v>-</v>
      </c>
      <c r="AU1182" s="8"/>
    </row>
    <row r="1183" spans="8:47" x14ac:dyDescent="0.25">
      <c r="H1183" s="27">
        <f>IF($G1183&lt;&gt;0,SUMIF(куб!$G:$G,$G1183,куб!H:H),IF($E1183&lt;&gt;0,SUMIF(куб!$E:$E,$E1183,куб!H:H),IF($D1183&lt;&gt;0,SUMIF(куб!$D:$D,$D1183,куб!H:H),IF($C1183&lt;&gt;0,SUMIF(куб!$C:$C,$C1183,куб!H:H),IF($B1183&lt;&gt;0,SUMIF(куб!$B:$B,$B1183,куб!H:H),IF($G1183&lt;&gt;0,SUMIF(куб!$A:$A,$G1183,куб!H:H),SUMIF(куб!$A:$A,$G1183,куб!H:H)))))))</f>
        <v>0</v>
      </c>
      <c r="I1183" s="27">
        <f>IF($G1183&lt;&gt;0,SUMIF(куб!$G:$G,$G1183,куб!I:I),IF($E1183&lt;&gt;0,SUMIF(куб!$E:$E,$E1183,куб!I:I),IF($D1183&lt;&gt;0,SUMIF(куб!$D:$D,$D1183,куб!I:I),IF($C1183&lt;&gt;0,SUMIF(куб!$C:$C,$C1183,куб!I:I),IF($B1183&lt;&gt;0,SUMIF(куб!$B:$B,$B1183,куб!I:I),IF($G1183&lt;&gt;0,SUMIF(куб!$A:$A,$G1183,куб!I:I),SUMIF(куб!$A:$A,$G1183,куб!I:I)))))))</f>
        <v>0</v>
      </c>
      <c r="J1183" s="19" t="str">
        <f t="shared" si="363"/>
        <v>-</v>
      </c>
      <c r="K1183" s="8"/>
      <c r="L1183" s="17">
        <f t="shared" si="364"/>
        <v>0</v>
      </c>
      <c r="M1183" s="17">
        <f t="shared" si="365"/>
        <v>0</v>
      </c>
      <c r="N1183" s="12">
        <f t="shared" si="366"/>
        <v>0</v>
      </c>
      <c r="O1183" s="5"/>
      <c r="P1183" s="27" t="b">
        <f>IF($G1183&lt;&gt;0,SUMIF(куб!$G:$G,$G1183,куб!J:J),IF($E1183&lt;&gt;0,SUMIF(куб!$E:$E,$E1183,куб!J:J),IF($D1183&lt;&gt;0,SUMIF(куб!$D:$D,$D1183,куб!J:J),IF($C1183&lt;&gt;0,SUMIF(куб!$C:$C,$C1183,куб!J:J),IF($B1183&lt;&gt;0,SUMIF(куб!$B:$B,$B1183,куб!J:J))))))</f>
        <v>0</v>
      </c>
      <c r="Q1183" s="27" t="b">
        <f>IF($G1183&lt;&gt;0,SUMIF(куб!$G:$G,$G1183,куб!K:K),IF($E1183&lt;&gt;0,SUMIF(куб!$E:$E,$E1183,куб!K:K),IF($D1183&lt;&gt;0,SUMIF(куб!$D:$D,$D1183,куб!K:K),IF($C1183&lt;&gt;0,SUMIF(куб!$C:$C,$C1183,куб!K:K),IF($B1183&lt;&gt;0,SUMIF(куб!$B:$B,$B1183,куб!K:K))))))</f>
        <v>0</v>
      </c>
      <c r="R1183" s="13" t="str">
        <f t="shared" si="367"/>
        <v>-</v>
      </c>
      <c r="S1183" s="5"/>
      <c r="T1183" s="27" t="b">
        <f>IF($G1183&lt;&gt;0,SUMIF(куб!$G:$G,$G1183,куб!L:L),IF($E1183&lt;&gt;0,SUMIF(куб!$E:$E,$E1183,куб!L:L),IF($D1183&lt;&gt;0,SUMIF(куб!$D:$D,$D1183,куб!L:L),IF($C1183&lt;&gt;0,SUMIF(куб!$C:$C,$C1183,куб!L:L),IF($B1183&lt;&gt;0,SUMIF(куб!$B:$B,$B1183,куб!L:L))))))</f>
        <v>0</v>
      </c>
      <c r="U1183" s="27" t="b">
        <f>IF($G1183&lt;&gt;0,SUMIF(куб!$G:$G,$G1183,куб!M:M),IF($E1183&lt;&gt;0,SUMIF(куб!$E:$E,$E1183,куб!M:M),IF($D1183&lt;&gt;0,SUMIF(куб!$D:$D,$D1183,куб!M:M),IF($C1183&lt;&gt;0,SUMIF(куб!$C:$C,$C1183,куб!M:M),IF($B1183&lt;&gt;0,SUMIF(куб!$B:$B,$B1183,куб!M:M))))))</f>
        <v>0</v>
      </c>
      <c r="V1183" s="13" t="str">
        <f t="shared" si="368"/>
        <v>-</v>
      </c>
      <c r="W1183" s="5"/>
      <c r="X1183" s="27" t="b">
        <f>IF($G1183&lt;&gt;0,SUMIF(куб!$G:$G,$G1183,куб!N:N),IF($E1183&lt;&gt;0,SUMIF(куб!$E:$E,$E1183,куб!N:N),IF($D1183&lt;&gt;0,SUMIF(куб!$D:$D,$D1183,куб!N:N),IF($C1183&lt;&gt;0,SUMIF(куб!$C:$C,$C1183,куб!N:N),IF($B1183&lt;&gt;0,SUMIF(куб!$B:$B,$B1183,куб!N:N))))))</f>
        <v>0</v>
      </c>
      <c r="Y1183" s="27" t="b">
        <f>IF($G1183&lt;&gt;0,SUMIF(куб!$G:$G,$G1183,куб!O:O),IF($E1183&lt;&gt;0,SUMIF(куб!$E:$E,$E1183,куб!O:O),IF($D1183&lt;&gt;0,SUMIF(куб!$D:$D,$D1183,куб!O:O),IF($C1183&lt;&gt;0,SUMIF(куб!$C:$C,$C1183,куб!O:O),IF($B1183&lt;&gt;0,SUMIF(куб!$B:$B,$B1183,куб!O:O))))))</f>
        <v>0</v>
      </c>
      <c r="Z1183" s="13" t="str">
        <f t="shared" si="369"/>
        <v>-</v>
      </c>
      <c r="AA1183" s="5"/>
      <c r="AB1183" s="33" t="str">
        <f t="shared" si="370"/>
        <v/>
      </c>
      <c r="AC1183" s="33" t="str">
        <f t="shared" si="371"/>
        <v/>
      </c>
      <c r="AD1183" s="15" t="str">
        <f t="shared" si="372"/>
        <v xml:space="preserve"> </v>
      </c>
      <c r="AE1183" s="5"/>
      <c r="AF1183" s="27" t="b">
        <f>IF($G1183&lt;&gt;0,SUMIF(куб!$G:$G,$G1183,куб!R:R),IF($E1183&lt;&gt;0,SUMIF(куб!$E:$E,$E1183,куб!R:R),IF($D1183&lt;&gt;0,SUMIF(куб!$D:$D,$D1183,куб!R:R),IF($C1183&lt;&gt;0,SUMIF(куб!$C:$C,$C1183,куб!R:R),IF($B1183&lt;&gt;0,SUMIF(куб!$B:$B,$B1183,куб!R:R))))))</f>
        <v>0</v>
      </c>
      <c r="AG1183" s="27" t="b">
        <f>IF($G1183&lt;&gt;0,SUMIF(куб!$G:$G,$G1183,куб!S:S),IF($E1183&lt;&gt;0,SUMIF(куб!$E:$E,$E1183,куб!S:S),IF($D1183&lt;&gt;0,SUMIF(куб!$D:$D,$D1183,куб!S:S),IF($C1183&lt;&gt;0,SUMIF(куб!$C:$C,$C1183,куб!S:S),IF($B1183&lt;&gt;0,SUMIF(куб!$B:$B,$B1183,куб!S:S))))))</f>
        <v>0</v>
      </c>
      <c r="AH1183" s="16" t="str">
        <f t="shared" si="373"/>
        <v>-</v>
      </c>
      <c r="AI1183" s="8"/>
      <c r="AJ1183" s="27" t="b">
        <f>IF($G1183&lt;&gt;0,SUMIF(куб!$G:$G,$G1183,куб!T:T),IF($E1183&lt;&gt;0,SUMIF(куб!$E:$E,$E1183,куб!T:T),IF($D1183&lt;&gt;0,SUMIF(куб!$D:$D,$D1183,куб!T:T),IF($C1183&lt;&gt;0,SUMIF(куб!$C:$C,$C1183,куб!T:T),IF($B1183&lt;&gt;0,SUMIF(куб!$B:$B,$B1183,куб!T:T))))))</f>
        <v>0</v>
      </c>
      <c r="AK1183" s="27" t="b">
        <f>IF($G1183&lt;&gt;0,SUMIF(куб!$G:$G,$G1183,куб!U:U),IF($E1183&lt;&gt;0,SUMIF(куб!$E:$E,$E1183,куб!U:U),IF($D1183&lt;&gt;0,SUMIF(куб!$D:$D,$D1183,куб!U:U),IF($C1183&lt;&gt;0,SUMIF(куб!$C:$C,$C1183,куб!U:U),IF($B1183&lt;&gt;0,SUMIF(куб!$B:$B,$B1183,куб!U:U))))))</f>
        <v>0</v>
      </c>
      <c r="AL1183" s="16" t="str">
        <f t="shared" si="374"/>
        <v>-</v>
      </c>
      <c r="AM1183" s="8"/>
      <c r="AN1183" s="17" t="str">
        <f t="shared" si="375"/>
        <v xml:space="preserve"> </v>
      </c>
      <c r="AO1183" s="17" t="str">
        <f t="shared" si="376"/>
        <v xml:space="preserve"> </v>
      </c>
      <c r="AP1183" s="16" t="str">
        <f t="shared" si="377"/>
        <v>-</v>
      </c>
      <c r="AQ1183" s="8"/>
      <c r="AR1183" s="17" t="str">
        <f t="shared" si="378"/>
        <v>-</v>
      </c>
      <c r="AS1183" s="17" t="str">
        <f t="shared" si="379"/>
        <v>-</v>
      </c>
      <c r="AT1183" s="13" t="str">
        <f t="shared" si="380"/>
        <v>-</v>
      </c>
      <c r="AU1183" s="8"/>
    </row>
    <row r="1184" spans="8:47" x14ac:dyDescent="0.25">
      <c r="H1184" s="27">
        <f>IF($G1184&lt;&gt;0,SUMIF(куб!$G:$G,$G1184,куб!H:H),IF($E1184&lt;&gt;0,SUMIF(куб!$E:$E,$E1184,куб!H:H),IF($D1184&lt;&gt;0,SUMIF(куб!$D:$D,$D1184,куб!H:H),IF($C1184&lt;&gt;0,SUMIF(куб!$C:$C,$C1184,куб!H:H),IF($B1184&lt;&gt;0,SUMIF(куб!$B:$B,$B1184,куб!H:H),IF($G1184&lt;&gt;0,SUMIF(куб!$A:$A,$G1184,куб!H:H),SUMIF(куб!$A:$A,$G1184,куб!H:H)))))))</f>
        <v>0</v>
      </c>
      <c r="I1184" s="27">
        <f>IF($G1184&lt;&gt;0,SUMIF(куб!$G:$G,$G1184,куб!I:I),IF($E1184&lt;&gt;0,SUMIF(куб!$E:$E,$E1184,куб!I:I),IF($D1184&lt;&gt;0,SUMIF(куб!$D:$D,$D1184,куб!I:I),IF($C1184&lt;&gt;0,SUMIF(куб!$C:$C,$C1184,куб!I:I),IF($B1184&lt;&gt;0,SUMIF(куб!$B:$B,$B1184,куб!I:I),IF($G1184&lt;&gt;0,SUMIF(куб!$A:$A,$G1184,куб!I:I),SUMIF(куб!$A:$A,$G1184,куб!I:I)))))))</f>
        <v>0</v>
      </c>
      <c r="J1184" s="19" t="str">
        <f t="shared" si="363"/>
        <v>-</v>
      </c>
      <c r="K1184" s="8"/>
      <c r="L1184" s="17">
        <f t="shared" si="364"/>
        <v>0</v>
      </c>
      <c r="M1184" s="17">
        <f t="shared" si="365"/>
        <v>0</v>
      </c>
      <c r="N1184" s="12">
        <f t="shared" si="366"/>
        <v>0</v>
      </c>
      <c r="O1184" s="5"/>
      <c r="P1184" s="27" t="b">
        <f>IF($G1184&lt;&gt;0,SUMIF(куб!$G:$G,$G1184,куб!J:J),IF($E1184&lt;&gt;0,SUMIF(куб!$E:$E,$E1184,куб!J:J),IF($D1184&lt;&gt;0,SUMIF(куб!$D:$D,$D1184,куб!J:J),IF($C1184&lt;&gt;0,SUMIF(куб!$C:$C,$C1184,куб!J:J),IF($B1184&lt;&gt;0,SUMIF(куб!$B:$B,$B1184,куб!J:J))))))</f>
        <v>0</v>
      </c>
      <c r="Q1184" s="27" t="b">
        <f>IF($G1184&lt;&gt;0,SUMIF(куб!$G:$G,$G1184,куб!K:K),IF($E1184&lt;&gt;0,SUMIF(куб!$E:$E,$E1184,куб!K:K),IF($D1184&lt;&gt;0,SUMIF(куб!$D:$D,$D1184,куб!K:K),IF($C1184&lt;&gt;0,SUMIF(куб!$C:$C,$C1184,куб!K:K),IF($B1184&lt;&gt;0,SUMIF(куб!$B:$B,$B1184,куб!K:K))))))</f>
        <v>0</v>
      </c>
      <c r="R1184" s="13" t="str">
        <f t="shared" si="367"/>
        <v>-</v>
      </c>
      <c r="S1184" s="5"/>
      <c r="T1184" s="27" t="b">
        <f>IF($G1184&lt;&gt;0,SUMIF(куб!$G:$G,$G1184,куб!L:L),IF($E1184&lt;&gt;0,SUMIF(куб!$E:$E,$E1184,куб!L:L),IF($D1184&lt;&gt;0,SUMIF(куб!$D:$D,$D1184,куб!L:L),IF($C1184&lt;&gt;0,SUMIF(куб!$C:$C,$C1184,куб!L:L),IF($B1184&lt;&gt;0,SUMIF(куб!$B:$B,$B1184,куб!L:L))))))</f>
        <v>0</v>
      </c>
      <c r="U1184" s="27" t="b">
        <f>IF($G1184&lt;&gt;0,SUMIF(куб!$G:$G,$G1184,куб!M:M),IF($E1184&lt;&gt;0,SUMIF(куб!$E:$E,$E1184,куб!M:M),IF($D1184&lt;&gt;0,SUMIF(куб!$D:$D,$D1184,куб!M:M),IF($C1184&lt;&gt;0,SUMIF(куб!$C:$C,$C1184,куб!M:M),IF($B1184&lt;&gt;0,SUMIF(куб!$B:$B,$B1184,куб!M:M))))))</f>
        <v>0</v>
      </c>
      <c r="V1184" s="13" t="str">
        <f t="shared" si="368"/>
        <v>-</v>
      </c>
      <c r="W1184" s="5"/>
      <c r="X1184" s="27" t="b">
        <f>IF($G1184&lt;&gt;0,SUMIF(куб!$G:$G,$G1184,куб!N:N),IF($E1184&lt;&gt;0,SUMIF(куб!$E:$E,$E1184,куб!N:N),IF($D1184&lt;&gt;0,SUMIF(куб!$D:$D,$D1184,куб!N:N),IF($C1184&lt;&gt;0,SUMIF(куб!$C:$C,$C1184,куб!N:N),IF($B1184&lt;&gt;0,SUMIF(куб!$B:$B,$B1184,куб!N:N))))))</f>
        <v>0</v>
      </c>
      <c r="Y1184" s="27" t="b">
        <f>IF($G1184&lt;&gt;0,SUMIF(куб!$G:$G,$G1184,куб!O:O),IF($E1184&lt;&gt;0,SUMIF(куб!$E:$E,$E1184,куб!O:O),IF($D1184&lt;&gt;0,SUMIF(куб!$D:$D,$D1184,куб!O:O),IF($C1184&lt;&gt;0,SUMIF(куб!$C:$C,$C1184,куб!O:O),IF($B1184&lt;&gt;0,SUMIF(куб!$B:$B,$B1184,куб!O:O))))))</f>
        <v>0</v>
      </c>
      <c r="Z1184" s="13" t="str">
        <f t="shared" si="369"/>
        <v>-</v>
      </c>
      <c r="AA1184" s="5"/>
      <c r="AB1184" s="33" t="str">
        <f t="shared" si="370"/>
        <v/>
      </c>
      <c r="AC1184" s="33" t="str">
        <f t="shared" si="371"/>
        <v/>
      </c>
      <c r="AD1184" s="15" t="str">
        <f t="shared" si="372"/>
        <v xml:space="preserve"> </v>
      </c>
      <c r="AE1184" s="5"/>
      <c r="AF1184" s="27" t="b">
        <f>IF($G1184&lt;&gt;0,SUMIF(куб!$G:$G,$G1184,куб!R:R),IF($E1184&lt;&gt;0,SUMIF(куб!$E:$E,$E1184,куб!R:R),IF($D1184&lt;&gt;0,SUMIF(куб!$D:$D,$D1184,куб!R:R),IF($C1184&lt;&gt;0,SUMIF(куб!$C:$C,$C1184,куб!R:R),IF($B1184&lt;&gt;0,SUMIF(куб!$B:$B,$B1184,куб!R:R))))))</f>
        <v>0</v>
      </c>
      <c r="AG1184" s="27" t="b">
        <f>IF($G1184&lt;&gt;0,SUMIF(куб!$G:$G,$G1184,куб!S:S),IF($E1184&lt;&gt;0,SUMIF(куб!$E:$E,$E1184,куб!S:S),IF($D1184&lt;&gt;0,SUMIF(куб!$D:$D,$D1184,куб!S:S),IF($C1184&lt;&gt;0,SUMIF(куб!$C:$C,$C1184,куб!S:S),IF($B1184&lt;&gt;0,SUMIF(куб!$B:$B,$B1184,куб!S:S))))))</f>
        <v>0</v>
      </c>
      <c r="AH1184" s="16" t="str">
        <f t="shared" si="373"/>
        <v>-</v>
      </c>
      <c r="AI1184" s="8"/>
      <c r="AJ1184" s="27" t="b">
        <f>IF($G1184&lt;&gt;0,SUMIF(куб!$G:$G,$G1184,куб!T:T),IF($E1184&lt;&gt;0,SUMIF(куб!$E:$E,$E1184,куб!T:T),IF($D1184&lt;&gt;0,SUMIF(куб!$D:$D,$D1184,куб!T:T),IF($C1184&lt;&gt;0,SUMIF(куб!$C:$C,$C1184,куб!T:T),IF($B1184&lt;&gt;0,SUMIF(куб!$B:$B,$B1184,куб!T:T))))))</f>
        <v>0</v>
      </c>
      <c r="AK1184" s="27" t="b">
        <f>IF($G1184&lt;&gt;0,SUMIF(куб!$G:$G,$G1184,куб!U:U),IF($E1184&lt;&gt;0,SUMIF(куб!$E:$E,$E1184,куб!U:U),IF($D1184&lt;&gt;0,SUMIF(куб!$D:$D,$D1184,куб!U:U),IF($C1184&lt;&gt;0,SUMIF(куб!$C:$C,$C1184,куб!U:U),IF($B1184&lt;&gt;0,SUMIF(куб!$B:$B,$B1184,куб!U:U))))))</f>
        <v>0</v>
      </c>
      <c r="AL1184" s="16" t="str">
        <f t="shared" si="374"/>
        <v>-</v>
      </c>
      <c r="AM1184" s="8"/>
      <c r="AN1184" s="17" t="str">
        <f t="shared" si="375"/>
        <v xml:space="preserve"> </v>
      </c>
      <c r="AO1184" s="17" t="str">
        <f t="shared" si="376"/>
        <v xml:space="preserve"> </v>
      </c>
      <c r="AP1184" s="16" t="str">
        <f t="shared" si="377"/>
        <v>-</v>
      </c>
      <c r="AQ1184" s="8"/>
      <c r="AR1184" s="17" t="str">
        <f t="shared" si="378"/>
        <v>-</v>
      </c>
      <c r="AS1184" s="17" t="str">
        <f t="shared" si="379"/>
        <v>-</v>
      </c>
      <c r="AT1184" s="13" t="str">
        <f t="shared" si="380"/>
        <v>-</v>
      </c>
      <c r="AU1184" s="8"/>
    </row>
    <row r="1185" spans="8:47" x14ac:dyDescent="0.25">
      <c r="H1185" s="27">
        <f>IF($G1185&lt;&gt;0,SUMIF(куб!$G:$G,$G1185,куб!H:H),IF($E1185&lt;&gt;0,SUMIF(куб!$E:$E,$E1185,куб!H:H),IF($D1185&lt;&gt;0,SUMIF(куб!$D:$D,$D1185,куб!H:H),IF($C1185&lt;&gt;0,SUMIF(куб!$C:$C,$C1185,куб!H:H),IF($B1185&lt;&gt;0,SUMIF(куб!$B:$B,$B1185,куб!H:H),IF($G1185&lt;&gt;0,SUMIF(куб!$A:$A,$G1185,куб!H:H),SUMIF(куб!$A:$A,$G1185,куб!H:H)))))))</f>
        <v>0</v>
      </c>
      <c r="I1185" s="27">
        <f>IF($G1185&lt;&gt;0,SUMIF(куб!$G:$G,$G1185,куб!I:I),IF($E1185&lt;&gt;0,SUMIF(куб!$E:$E,$E1185,куб!I:I),IF($D1185&lt;&gt;0,SUMIF(куб!$D:$D,$D1185,куб!I:I),IF($C1185&lt;&gt;0,SUMIF(куб!$C:$C,$C1185,куб!I:I),IF($B1185&lt;&gt;0,SUMIF(куб!$B:$B,$B1185,куб!I:I),IF($G1185&lt;&gt;0,SUMIF(куб!$A:$A,$G1185,куб!I:I),SUMIF(куб!$A:$A,$G1185,куб!I:I)))))))</f>
        <v>0</v>
      </c>
      <c r="J1185" s="19" t="str">
        <f t="shared" si="363"/>
        <v>-</v>
      </c>
      <c r="K1185" s="8"/>
      <c r="L1185" s="17">
        <f t="shared" si="364"/>
        <v>0</v>
      </c>
      <c r="M1185" s="17">
        <f t="shared" si="365"/>
        <v>0</v>
      </c>
      <c r="N1185" s="12">
        <f t="shared" si="366"/>
        <v>0</v>
      </c>
      <c r="O1185" s="5"/>
      <c r="P1185" s="27" t="b">
        <f>IF($G1185&lt;&gt;0,SUMIF(куб!$G:$G,$G1185,куб!J:J),IF($E1185&lt;&gt;0,SUMIF(куб!$E:$E,$E1185,куб!J:J),IF($D1185&lt;&gt;0,SUMIF(куб!$D:$D,$D1185,куб!J:J),IF($C1185&lt;&gt;0,SUMIF(куб!$C:$C,$C1185,куб!J:J),IF($B1185&lt;&gt;0,SUMIF(куб!$B:$B,$B1185,куб!J:J))))))</f>
        <v>0</v>
      </c>
      <c r="Q1185" s="27" t="b">
        <f>IF($G1185&lt;&gt;0,SUMIF(куб!$G:$G,$G1185,куб!K:K),IF($E1185&lt;&gt;0,SUMIF(куб!$E:$E,$E1185,куб!K:K),IF($D1185&lt;&gt;0,SUMIF(куб!$D:$D,$D1185,куб!K:K),IF($C1185&lt;&gt;0,SUMIF(куб!$C:$C,$C1185,куб!K:K),IF($B1185&lt;&gt;0,SUMIF(куб!$B:$B,$B1185,куб!K:K))))))</f>
        <v>0</v>
      </c>
      <c r="R1185" s="13" t="str">
        <f t="shared" si="367"/>
        <v>-</v>
      </c>
      <c r="S1185" s="5"/>
      <c r="T1185" s="27" t="b">
        <f>IF($G1185&lt;&gt;0,SUMIF(куб!$G:$G,$G1185,куб!L:L),IF($E1185&lt;&gt;0,SUMIF(куб!$E:$E,$E1185,куб!L:L),IF($D1185&lt;&gt;0,SUMIF(куб!$D:$D,$D1185,куб!L:L),IF($C1185&lt;&gt;0,SUMIF(куб!$C:$C,$C1185,куб!L:L),IF($B1185&lt;&gt;0,SUMIF(куб!$B:$B,$B1185,куб!L:L))))))</f>
        <v>0</v>
      </c>
      <c r="U1185" s="27" t="b">
        <f>IF($G1185&lt;&gt;0,SUMIF(куб!$G:$G,$G1185,куб!M:M),IF($E1185&lt;&gt;0,SUMIF(куб!$E:$E,$E1185,куб!M:M),IF($D1185&lt;&gt;0,SUMIF(куб!$D:$D,$D1185,куб!M:M),IF($C1185&lt;&gt;0,SUMIF(куб!$C:$C,$C1185,куб!M:M),IF($B1185&lt;&gt;0,SUMIF(куб!$B:$B,$B1185,куб!M:M))))))</f>
        <v>0</v>
      </c>
      <c r="V1185" s="13" t="str">
        <f t="shared" si="368"/>
        <v>-</v>
      </c>
      <c r="W1185" s="5"/>
      <c r="X1185" s="27" t="b">
        <f>IF($G1185&lt;&gt;0,SUMIF(куб!$G:$G,$G1185,куб!N:N),IF($E1185&lt;&gt;0,SUMIF(куб!$E:$E,$E1185,куб!N:N),IF($D1185&lt;&gt;0,SUMIF(куб!$D:$D,$D1185,куб!N:N),IF($C1185&lt;&gt;0,SUMIF(куб!$C:$C,$C1185,куб!N:N),IF($B1185&lt;&gt;0,SUMIF(куб!$B:$B,$B1185,куб!N:N))))))</f>
        <v>0</v>
      </c>
      <c r="Y1185" s="27" t="b">
        <f>IF($G1185&lt;&gt;0,SUMIF(куб!$G:$G,$G1185,куб!O:O),IF($E1185&lt;&gt;0,SUMIF(куб!$E:$E,$E1185,куб!O:O),IF($D1185&lt;&gt;0,SUMIF(куб!$D:$D,$D1185,куб!O:O),IF($C1185&lt;&gt;0,SUMIF(куб!$C:$C,$C1185,куб!O:O),IF($B1185&lt;&gt;0,SUMIF(куб!$B:$B,$B1185,куб!O:O))))))</f>
        <v>0</v>
      </c>
      <c r="Z1185" s="13" t="str">
        <f t="shared" si="369"/>
        <v>-</v>
      </c>
      <c r="AA1185" s="5"/>
      <c r="AB1185" s="33" t="str">
        <f t="shared" si="370"/>
        <v/>
      </c>
      <c r="AC1185" s="33" t="str">
        <f t="shared" si="371"/>
        <v/>
      </c>
      <c r="AD1185" s="15" t="str">
        <f t="shared" si="372"/>
        <v xml:space="preserve"> </v>
      </c>
      <c r="AE1185" s="5"/>
      <c r="AF1185" s="27" t="b">
        <f>IF($G1185&lt;&gt;0,SUMIF(куб!$G:$G,$G1185,куб!R:R),IF($E1185&lt;&gt;0,SUMIF(куб!$E:$E,$E1185,куб!R:R),IF($D1185&lt;&gt;0,SUMIF(куб!$D:$D,$D1185,куб!R:R),IF($C1185&lt;&gt;0,SUMIF(куб!$C:$C,$C1185,куб!R:R),IF($B1185&lt;&gt;0,SUMIF(куб!$B:$B,$B1185,куб!R:R))))))</f>
        <v>0</v>
      </c>
      <c r="AG1185" s="27" t="b">
        <f>IF($G1185&lt;&gt;0,SUMIF(куб!$G:$G,$G1185,куб!S:S),IF($E1185&lt;&gt;0,SUMIF(куб!$E:$E,$E1185,куб!S:S),IF($D1185&lt;&gt;0,SUMIF(куб!$D:$D,$D1185,куб!S:S),IF($C1185&lt;&gt;0,SUMIF(куб!$C:$C,$C1185,куб!S:S),IF($B1185&lt;&gt;0,SUMIF(куб!$B:$B,$B1185,куб!S:S))))))</f>
        <v>0</v>
      </c>
      <c r="AH1185" s="16" t="str">
        <f t="shared" si="373"/>
        <v>-</v>
      </c>
      <c r="AI1185" s="8"/>
      <c r="AJ1185" s="27" t="b">
        <f>IF($G1185&lt;&gt;0,SUMIF(куб!$G:$G,$G1185,куб!T:T),IF($E1185&lt;&gt;0,SUMIF(куб!$E:$E,$E1185,куб!T:T),IF($D1185&lt;&gt;0,SUMIF(куб!$D:$D,$D1185,куб!T:T),IF($C1185&lt;&gt;0,SUMIF(куб!$C:$C,$C1185,куб!T:T),IF($B1185&lt;&gt;0,SUMIF(куб!$B:$B,$B1185,куб!T:T))))))</f>
        <v>0</v>
      </c>
      <c r="AK1185" s="27" t="b">
        <f>IF($G1185&lt;&gt;0,SUMIF(куб!$G:$G,$G1185,куб!U:U),IF($E1185&lt;&gt;0,SUMIF(куб!$E:$E,$E1185,куб!U:U),IF($D1185&lt;&gt;0,SUMIF(куб!$D:$D,$D1185,куб!U:U),IF($C1185&lt;&gt;0,SUMIF(куб!$C:$C,$C1185,куб!U:U),IF($B1185&lt;&gt;0,SUMIF(куб!$B:$B,$B1185,куб!U:U))))))</f>
        <v>0</v>
      </c>
      <c r="AL1185" s="16" t="str">
        <f t="shared" si="374"/>
        <v>-</v>
      </c>
      <c r="AM1185" s="8"/>
      <c r="AN1185" s="17" t="str">
        <f t="shared" si="375"/>
        <v xml:space="preserve"> </v>
      </c>
      <c r="AO1185" s="17" t="str">
        <f t="shared" si="376"/>
        <v xml:space="preserve"> </v>
      </c>
      <c r="AP1185" s="16" t="str">
        <f t="shared" si="377"/>
        <v>-</v>
      </c>
      <c r="AQ1185" s="8"/>
      <c r="AR1185" s="17" t="str">
        <f t="shared" si="378"/>
        <v>-</v>
      </c>
      <c r="AS1185" s="17" t="str">
        <f t="shared" si="379"/>
        <v>-</v>
      </c>
      <c r="AT1185" s="13" t="str">
        <f t="shared" si="380"/>
        <v>-</v>
      </c>
      <c r="AU1185" s="8"/>
    </row>
    <row r="1186" spans="8:47" x14ac:dyDescent="0.25">
      <c r="H1186" s="27">
        <f>IF($G1186&lt;&gt;0,SUMIF(куб!$G:$G,$G1186,куб!H:H),IF($E1186&lt;&gt;0,SUMIF(куб!$E:$E,$E1186,куб!H:H),IF($D1186&lt;&gt;0,SUMIF(куб!$D:$D,$D1186,куб!H:H),IF($C1186&lt;&gt;0,SUMIF(куб!$C:$C,$C1186,куб!H:H),IF($B1186&lt;&gt;0,SUMIF(куб!$B:$B,$B1186,куб!H:H),IF($G1186&lt;&gt;0,SUMIF(куб!$A:$A,$G1186,куб!H:H),SUMIF(куб!$A:$A,$G1186,куб!H:H)))))))</f>
        <v>0</v>
      </c>
      <c r="I1186" s="27">
        <f>IF($G1186&lt;&gt;0,SUMIF(куб!$G:$G,$G1186,куб!I:I),IF($E1186&lt;&gt;0,SUMIF(куб!$E:$E,$E1186,куб!I:I),IF($D1186&lt;&gt;0,SUMIF(куб!$D:$D,$D1186,куб!I:I),IF($C1186&lt;&gt;0,SUMIF(куб!$C:$C,$C1186,куб!I:I),IF($B1186&lt;&gt;0,SUMIF(куб!$B:$B,$B1186,куб!I:I),IF($G1186&lt;&gt;0,SUMIF(куб!$A:$A,$G1186,куб!I:I),SUMIF(куб!$A:$A,$G1186,куб!I:I)))))))</f>
        <v>0</v>
      </c>
      <c r="J1186" s="19" t="str">
        <f t="shared" si="363"/>
        <v>-</v>
      </c>
      <c r="K1186" s="8"/>
      <c r="L1186" s="17">
        <f t="shared" si="364"/>
        <v>0</v>
      </c>
      <c r="M1186" s="17">
        <f t="shared" si="365"/>
        <v>0</v>
      </c>
      <c r="N1186" s="12">
        <f t="shared" si="366"/>
        <v>0</v>
      </c>
      <c r="O1186" s="5"/>
      <c r="P1186" s="27" t="b">
        <f>IF($G1186&lt;&gt;0,SUMIF(куб!$G:$G,$G1186,куб!J:J),IF($E1186&lt;&gt;0,SUMIF(куб!$E:$E,$E1186,куб!J:J),IF($D1186&lt;&gt;0,SUMIF(куб!$D:$D,$D1186,куб!J:J),IF($C1186&lt;&gt;0,SUMIF(куб!$C:$C,$C1186,куб!J:J),IF($B1186&lt;&gt;0,SUMIF(куб!$B:$B,$B1186,куб!J:J))))))</f>
        <v>0</v>
      </c>
      <c r="Q1186" s="27" t="b">
        <f>IF($G1186&lt;&gt;0,SUMIF(куб!$G:$G,$G1186,куб!K:K),IF($E1186&lt;&gt;0,SUMIF(куб!$E:$E,$E1186,куб!K:K),IF($D1186&lt;&gt;0,SUMIF(куб!$D:$D,$D1186,куб!K:K),IF($C1186&lt;&gt;0,SUMIF(куб!$C:$C,$C1186,куб!K:K),IF($B1186&lt;&gt;0,SUMIF(куб!$B:$B,$B1186,куб!K:K))))))</f>
        <v>0</v>
      </c>
      <c r="R1186" s="13" t="str">
        <f t="shared" si="367"/>
        <v>-</v>
      </c>
      <c r="S1186" s="5"/>
      <c r="T1186" s="27" t="b">
        <f>IF($G1186&lt;&gt;0,SUMIF(куб!$G:$G,$G1186,куб!L:L),IF($E1186&lt;&gt;0,SUMIF(куб!$E:$E,$E1186,куб!L:L),IF($D1186&lt;&gt;0,SUMIF(куб!$D:$D,$D1186,куб!L:L),IF($C1186&lt;&gt;0,SUMIF(куб!$C:$C,$C1186,куб!L:L),IF($B1186&lt;&gt;0,SUMIF(куб!$B:$B,$B1186,куб!L:L))))))</f>
        <v>0</v>
      </c>
      <c r="U1186" s="27" t="b">
        <f>IF($G1186&lt;&gt;0,SUMIF(куб!$G:$G,$G1186,куб!M:M),IF($E1186&lt;&gt;0,SUMIF(куб!$E:$E,$E1186,куб!M:M),IF($D1186&lt;&gt;0,SUMIF(куб!$D:$D,$D1186,куб!M:M),IF($C1186&lt;&gt;0,SUMIF(куб!$C:$C,$C1186,куб!M:M),IF($B1186&lt;&gt;0,SUMIF(куб!$B:$B,$B1186,куб!M:M))))))</f>
        <v>0</v>
      </c>
      <c r="V1186" s="13" t="str">
        <f t="shared" si="368"/>
        <v>-</v>
      </c>
      <c r="W1186" s="5"/>
      <c r="X1186" s="27" t="b">
        <f>IF($G1186&lt;&gt;0,SUMIF(куб!$G:$G,$G1186,куб!N:N),IF($E1186&lt;&gt;0,SUMIF(куб!$E:$E,$E1186,куб!N:N),IF($D1186&lt;&gt;0,SUMIF(куб!$D:$D,$D1186,куб!N:N),IF($C1186&lt;&gt;0,SUMIF(куб!$C:$C,$C1186,куб!N:N),IF($B1186&lt;&gt;0,SUMIF(куб!$B:$B,$B1186,куб!N:N))))))</f>
        <v>0</v>
      </c>
      <c r="Y1186" s="27" t="b">
        <f>IF($G1186&lt;&gt;0,SUMIF(куб!$G:$G,$G1186,куб!O:O),IF($E1186&lt;&gt;0,SUMIF(куб!$E:$E,$E1186,куб!O:O),IF($D1186&lt;&gt;0,SUMIF(куб!$D:$D,$D1186,куб!O:O),IF($C1186&lt;&gt;0,SUMIF(куб!$C:$C,$C1186,куб!O:O),IF($B1186&lt;&gt;0,SUMIF(куб!$B:$B,$B1186,куб!O:O))))))</f>
        <v>0</v>
      </c>
      <c r="Z1186" s="13" t="str">
        <f t="shared" si="369"/>
        <v>-</v>
      </c>
      <c r="AA1186" s="5"/>
      <c r="AB1186" s="33" t="str">
        <f t="shared" si="370"/>
        <v/>
      </c>
      <c r="AC1186" s="33" t="str">
        <f t="shared" si="371"/>
        <v/>
      </c>
      <c r="AD1186" s="15" t="str">
        <f t="shared" si="372"/>
        <v xml:space="preserve"> </v>
      </c>
      <c r="AE1186" s="5"/>
      <c r="AF1186" s="27" t="b">
        <f>IF($G1186&lt;&gt;0,SUMIF(куб!$G:$G,$G1186,куб!R:R),IF($E1186&lt;&gt;0,SUMIF(куб!$E:$E,$E1186,куб!R:R),IF($D1186&lt;&gt;0,SUMIF(куб!$D:$D,$D1186,куб!R:R),IF($C1186&lt;&gt;0,SUMIF(куб!$C:$C,$C1186,куб!R:R),IF($B1186&lt;&gt;0,SUMIF(куб!$B:$B,$B1186,куб!R:R))))))</f>
        <v>0</v>
      </c>
      <c r="AG1186" s="27" t="b">
        <f>IF($G1186&lt;&gt;0,SUMIF(куб!$G:$G,$G1186,куб!S:S),IF($E1186&lt;&gt;0,SUMIF(куб!$E:$E,$E1186,куб!S:S),IF($D1186&lt;&gt;0,SUMIF(куб!$D:$D,$D1186,куб!S:S),IF($C1186&lt;&gt;0,SUMIF(куб!$C:$C,$C1186,куб!S:S),IF($B1186&lt;&gt;0,SUMIF(куб!$B:$B,$B1186,куб!S:S))))))</f>
        <v>0</v>
      </c>
      <c r="AH1186" s="16" t="str">
        <f t="shared" si="373"/>
        <v>-</v>
      </c>
      <c r="AI1186" s="8"/>
      <c r="AJ1186" s="27" t="b">
        <f>IF($G1186&lt;&gt;0,SUMIF(куб!$G:$G,$G1186,куб!T:T),IF($E1186&lt;&gt;0,SUMIF(куб!$E:$E,$E1186,куб!T:T),IF($D1186&lt;&gt;0,SUMIF(куб!$D:$D,$D1186,куб!T:T),IF($C1186&lt;&gt;0,SUMIF(куб!$C:$C,$C1186,куб!T:T),IF($B1186&lt;&gt;0,SUMIF(куб!$B:$B,$B1186,куб!T:T))))))</f>
        <v>0</v>
      </c>
      <c r="AK1186" s="27" t="b">
        <f>IF($G1186&lt;&gt;0,SUMIF(куб!$G:$G,$G1186,куб!U:U),IF($E1186&lt;&gt;0,SUMIF(куб!$E:$E,$E1186,куб!U:U),IF($D1186&lt;&gt;0,SUMIF(куб!$D:$D,$D1186,куб!U:U),IF($C1186&lt;&gt;0,SUMIF(куб!$C:$C,$C1186,куб!U:U),IF($B1186&lt;&gt;0,SUMIF(куб!$B:$B,$B1186,куб!U:U))))))</f>
        <v>0</v>
      </c>
      <c r="AL1186" s="16" t="str">
        <f t="shared" si="374"/>
        <v>-</v>
      </c>
      <c r="AM1186" s="8"/>
      <c r="AN1186" s="17" t="str">
        <f t="shared" si="375"/>
        <v xml:space="preserve"> </v>
      </c>
      <c r="AO1186" s="17" t="str">
        <f t="shared" si="376"/>
        <v xml:space="preserve"> </v>
      </c>
      <c r="AP1186" s="16" t="str">
        <f t="shared" si="377"/>
        <v>-</v>
      </c>
      <c r="AQ1186" s="8"/>
      <c r="AR1186" s="17" t="str">
        <f t="shared" si="378"/>
        <v>-</v>
      </c>
      <c r="AS1186" s="17" t="str">
        <f t="shared" si="379"/>
        <v>-</v>
      </c>
      <c r="AT1186" s="13" t="str">
        <f t="shared" si="380"/>
        <v>-</v>
      </c>
      <c r="AU1186" s="8"/>
    </row>
    <row r="1187" spans="8:47" x14ac:dyDescent="0.25">
      <c r="H1187" s="27">
        <f>IF($G1187&lt;&gt;0,SUMIF(куб!$G:$G,$G1187,куб!H:H),IF($E1187&lt;&gt;0,SUMIF(куб!$E:$E,$E1187,куб!H:H),IF($D1187&lt;&gt;0,SUMIF(куб!$D:$D,$D1187,куб!H:H),IF($C1187&lt;&gt;0,SUMIF(куб!$C:$C,$C1187,куб!H:H),IF($B1187&lt;&gt;0,SUMIF(куб!$B:$B,$B1187,куб!H:H),IF($G1187&lt;&gt;0,SUMIF(куб!$A:$A,$G1187,куб!H:H),SUMIF(куб!$A:$A,$G1187,куб!H:H)))))))</f>
        <v>0</v>
      </c>
      <c r="I1187" s="27">
        <f>IF($G1187&lt;&gt;0,SUMIF(куб!$G:$G,$G1187,куб!I:I),IF($E1187&lt;&gt;0,SUMIF(куб!$E:$E,$E1187,куб!I:I),IF($D1187&lt;&gt;0,SUMIF(куб!$D:$D,$D1187,куб!I:I),IF($C1187&lt;&gt;0,SUMIF(куб!$C:$C,$C1187,куб!I:I),IF($B1187&lt;&gt;0,SUMIF(куб!$B:$B,$B1187,куб!I:I),IF($G1187&lt;&gt;0,SUMIF(куб!$A:$A,$G1187,куб!I:I),SUMIF(куб!$A:$A,$G1187,куб!I:I)))))))</f>
        <v>0</v>
      </c>
      <c r="J1187" s="19" t="str">
        <f t="shared" si="363"/>
        <v>-</v>
      </c>
      <c r="K1187" s="8"/>
      <c r="L1187" s="17">
        <f t="shared" si="364"/>
        <v>0</v>
      </c>
      <c r="M1187" s="17">
        <f t="shared" si="365"/>
        <v>0</v>
      </c>
      <c r="N1187" s="12">
        <f t="shared" si="366"/>
        <v>0</v>
      </c>
      <c r="O1187" s="5"/>
      <c r="P1187" s="27" t="b">
        <f>IF($G1187&lt;&gt;0,SUMIF(куб!$G:$G,$G1187,куб!J:J),IF($E1187&lt;&gt;0,SUMIF(куб!$E:$E,$E1187,куб!J:J),IF($D1187&lt;&gt;0,SUMIF(куб!$D:$D,$D1187,куб!J:J),IF($C1187&lt;&gt;0,SUMIF(куб!$C:$C,$C1187,куб!J:J),IF($B1187&lt;&gt;0,SUMIF(куб!$B:$B,$B1187,куб!J:J))))))</f>
        <v>0</v>
      </c>
      <c r="Q1187" s="27" t="b">
        <f>IF($G1187&lt;&gt;0,SUMIF(куб!$G:$G,$G1187,куб!K:K),IF($E1187&lt;&gt;0,SUMIF(куб!$E:$E,$E1187,куб!K:K),IF($D1187&lt;&gt;0,SUMIF(куб!$D:$D,$D1187,куб!K:K),IF($C1187&lt;&gt;0,SUMIF(куб!$C:$C,$C1187,куб!K:K),IF($B1187&lt;&gt;0,SUMIF(куб!$B:$B,$B1187,куб!K:K))))))</f>
        <v>0</v>
      </c>
      <c r="R1187" s="13" t="str">
        <f t="shared" si="367"/>
        <v>-</v>
      </c>
      <c r="S1187" s="5"/>
      <c r="T1187" s="27" t="b">
        <f>IF($G1187&lt;&gt;0,SUMIF(куб!$G:$G,$G1187,куб!L:L),IF($E1187&lt;&gt;0,SUMIF(куб!$E:$E,$E1187,куб!L:L),IF($D1187&lt;&gt;0,SUMIF(куб!$D:$D,$D1187,куб!L:L),IF($C1187&lt;&gt;0,SUMIF(куб!$C:$C,$C1187,куб!L:L),IF($B1187&lt;&gt;0,SUMIF(куб!$B:$B,$B1187,куб!L:L))))))</f>
        <v>0</v>
      </c>
      <c r="U1187" s="27" t="b">
        <f>IF($G1187&lt;&gt;0,SUMIF(куб!$G:$G,$G1187,куб!M:M),IF($E1187&lt;&gt;0,SUMIF(куб!$E:$E,$E1187,куб!M:M),IF($D1187&lt;&gt;0,SUMIF(куб!$D:$D,$D1187,куб!M:M),IF($C1187&lt;&gt;0,SUMIF(куб!$C:$C,$C1187,куб!M:M),IF($B1187&lt;&gt;0,SUMIF(куб!$B:$B,$B1187,куб!M:M))))))</f>
        <v>0</v>
      </c>
      <c r="V1187" s="13" t="str">
        <f t="shared" si="368"/>
        <v>-</v>
      </c>
      <c r="W1187" s="5"/>
      <c r="X1187" s="27" t="b">
        <f>IF($G1187&lt;&gt;0,SUMIF(куб!$G:$G,$G1187,куб!N:N),IF($E1187&lt;&gt;0,SUMIF(куб!$E:$E,$E1187,куб!N:N),IF($D1187&lt;&gt;0,SUMIF(куб!$D:$D,$D1187,куб!N:N),IF($C1187&lt;&gt;0,SUMIF(куб!$C:$C,$C1187,куб!N:N),IF($B1187&lt;&gt;0,SUMIF(куб!$B:$B,$B1187,куб!N:N))))))</f>
        <v>0</v>
      </c>
      <c r="Y1187" s="27" t="b">
        <f>IF($G1187&lt;&gt;0,SUMIF(куб!$G:$G,$G1187,куб!O:O),IF($E1187&lt;&gt;0,SUMIF(куб!$E:$E,$E1187,куб!O:O),IF($D1187&lt;&gt;0,SUMIF(куб!$D:$D,$D1187,куб!O:O),IF($C1187&lt;&gt;0,SUMIF(куб!$C:$C,$C1187,куб!O:O),IF($B1187&lt;&gt;0,SUMIF(куб!$B:$B,$B1187,куб!O:O))))))</f>
        <v>0</v>
      </c>
      <c r="Z1187" s="13" t="str">
        <f t="shared" si="369"/>
        <v>-</v>
      </c>
      <c r="AA1187" s="5"/>
      <c r="AB1187" s="33" t="str">
        <f t="shared" si="370"/>
        <v/>
      </c>
      <c r="AC1187" s="33" t="str">
        <f t="shared" si="371"/>
        <v/>
      </c>
      <c r="AD1187" s="15" t="str">
        <f t="shared" si="372"/>
        <v xml:space="preserve"> </v>
      </c>
      <c r="AE1187" s="5"/>
      <c r="AF1187" s="27" t="b">
        <f>IF($G1187&lt;&gt;0,SUMIF(куб!$G:$G,$G1187,куб!R:R),IF($E1187&lt;&gt;0,SUMIF(куб!$E:$E,$E1187,куб!R:R),IF($D1187&lt;&gt;0,SUMIF(куб!$D:$D,$D1187,куб!R:R),IF($C1187&lt;&gt;0,SUMIF(куб!$C:$C,$C1187,куб!R:R),IF($B1187&lt;&gt;0,SUMIF(куб!$B:$B,$B1187,куб!R:R))))))</f>
        <v>0</v>
      </c>
      <c r="AG1187" s="27" t="b">
        <f>IF($G1187&lt;&gt;0,SUMIF(куб!$G:$G,$G1187,куб!S:S),IF($E1187&lt;&gt;0,SUMIF(куб!$E:$E,$E1187,куб!S:S),IF($D1187&lt;&gt;0,SUMIF(куб!$D:$D,$D1187,куб!S:S),IF($C1187&lt;&gt;0,SUMIF(куб!$C:$C,$C1187,куб!S:S),IF($B1187&lt;&gt;0,SUMIF(куб!$B:$B,$B1187,куб!S:S))))))</f>
        <v>0</v>
      </c>
      <c r="AH1187" s="16" t="str">
        <f t="shared" si="373"/>
        <v>-</v>
      </c>
      <c r="AI1187" s="8"/>
      <c r="AJ1187" s="27" t="b">
        <f>IF($G1187&lt;&gt;0,SUMIF(куб!$G:$G,$G1187,куб!T:T),IF($E1187&lt;&gt;0,SUMIF(куб!$E:$E,$E1187,куб!T:T),IF($D1187&lt;&gt;0,SUMIF(куб!$D:$D,$D1187,куб!T:T),IF($C1187&lt;&gt;0,SUMIF(куб!$C:$C,$C1187,куб!T:T),IF($B1187&lt;&gt;0,SUMIF(куб!$B:$B,$B1187,куб!T:T))))))</f>
        <v>0</v>
      </c>
      <c r="AK1187" s="27" t="b">
        <f>IF($G1187&lt;&gt;0,SUMIF(куб!$G:$G,$G1187,куб!U:U),IF($E1187&lt;&gt;0,SUMIF(куб!$E:$E,$E1187,куб!U:U),IF($D1187&lt;&gt;0,SUMIF(куб!$D:$D,$D1187,куб!U:U),IF($C1187&lt;&gt;0,SUMIF(куб!$C:$C,$C1187,куб!U:U),IF($B1187&lt;&gt;0,SUMIF(куб!$B:$B,$B1187,куб!U:U))))))</f>
        <v>0</v>
      </c>
      <c r="AL1187" s="16" t="str">
        <f t="shared" si="374"/>
        <v>-</v>
      </c>
      <c r="AM1187" s="8"/>
      <c r="AN1187" s="17" t="str">
        <f t="shared" si="375"/>
        <v xml:space="preserve"> </v>
      </c>
      <c r="AO1187" s="17" t="str">
        <f t="shared" si="376"/>
        <v xml:space="preserve"> </v>
      </c>
      <c r="AP1187" s="16" t="str">
        <f t="shared" si="377"/>
        <v>-</v>
      </c>
      <c r="AQ1187" s="8"/>
      <c r="AR1187" s="17" t="str">
        <f t="shared" si="378"/>
        <v>-</v>
      </c>
      <c r="AS1187" s="17" t="str">
        <f t="shared" si="379"/>
        <v>-</v>
      </c>
      <c r="AT1187" s="13" t="str">
        <f t="shared" si="380"/>
        <v>-</v>
      </c>
      <c r="AU1187" s="8"/>
    </row>
    <row r="1188" spans="8:47" x14ac:dyDescent="0.25">
      <c r="H1188" s="27">
        <f>IF($G1188&lt;&gt;0,SUMIF(куб!$G:$G,$G1188,куб!H:H),IF($E1188&lt;&gt;0,SUMIF(куб!$E:$E,$E1188,куб!H:H),IF($D1188&lt;&gt;0,SUMIF(куб!$D:$D,$D1188,куб!H:H),IF($C1188&lt;&gt;0,SUMIF(куб!$C:$C,$C1188,куб!H:H),IF($B1188&lt;&gt;0,SUMIF(куб!$B:$B,$B1188,куб!H:H),IF($G1188&lt;&gt;0,SUMIF(куб!$A:$A,$G1188,куб!H:H),SUMIF(куб!$A:$A,$G1188,куб!H:H)))))))</f>
        <v>0</v>
      </c>
      <c r="I1188" s="27">
        <f>IF($G1188&lt;&gt;0,SUMIF(куб!$G:$G,$G1188,куб!I:I),IF($E1188&lt;&gt;0,SUMIF(куб!$E:$E,$E1188,куб!I:I),IF($D1188&lt;&gt;0,SUMIF(куб!$D:$D,$D1188,куб!I:I),IF($C1188&lt;&gt;0,SUMIF(куб!$C:$C,$C1188,куб!I:I),IF($B1188&lt;&gt;0,SUMIF(куб!$B:$B,$B1188,куб!I:I),IF($G1188&lt;&gt;0,SUMIF(куб!$A:$A,$G1188,куб!I:I),SUMIF(куб!$A:$A,$G1188,куб!I:I)))))))</f>
        <v>0</v>
      </c>
      <c r="J1188" s="19" t="str">
        <f t="shared" si="363"/>
        <v>-</v>
      </c>
      <c r="K1188" s="8"/>
      <c r="L1188" s="17">
        <f t="shared" si="364"/>
        <v>0</v>
      </c>
      <c r="M1188" s="17">
        <f t="shared" si="365"/>
        <v>0</v>
      </c>
      <c r="N1188" s="12">
        <f t="shared" si="366"/>
        <v>0</v>
      </c>
      <c r="O1188" s="5"/>
      <c r="P1188" s="27" t="b">
        <f>IF($G1188&lt;&gt;0,SUMIF(куб!$G:$G,$G1188,куб!J:J),IF($E1188&lt;&gt;0,SUMIF(куб!$E:$E,$E1188,куб!J:J),IF($D1188&lt;&gt;0,SUMIF(куб!$D:$D,$D1188,куб!J:J),IF($C1188&lt;&gt;0,SUMIF(куб!$C:$C,$C1188,куб!J:J),IF($B1188&lt;&gt;0,SUMIF(куб!$B:$B,$B1188,куб!J:J))))))</f>
        <v>0</v>
      </c>
      <c r="Q1188" s="27" t="b">
        <f>IF($G1188&lt;&gt;0,SUMIF(куб!$G:$G,$G1188,куб!K:K),IF($E1188&lt;&gt;0,SUMIF(куб!$E:$E,$E1188,куб!K:K),IF($D1188&lt;&gt;0,SUMIF(куб!$D:$D,$D1188,куб!K:K),IF($C1188&lt;&gt;0,SUMIF(куб!$C:$C,$C1188,куб!K:K),IF($B1188&lt;&gt;0,SUMIF(куб!$B:$B,$B1188,куб!K:K))))))</f>
        <v>0</v>
      </c>
      <c r="R1188" s="13" t="str">
        <f t="shared" si="367"/>
        <v>-</v>
      </c>
      <c r="S1188" s="5"/>
      <c r="T1188" s="27" t="b">
        <f>IF($G1188&lt;&gt;0,SUMIF(куб!$G:$G,$G1188,куб!L:L),IF($E1188&lt;&gt;0,SUMIF(куб!$E:$E,$E1188,куб!L:L),IF($D1188&lt;&gt;0,SUMIF(куб!$D:$D,$D1188,куб!L:L),IF($C1188&lt;&gt;0,SUMIF(куб!$C:$C,$C1188,куб!L:L),IF($B1188&lt;&gt;0,SUMIF(куб!$B:$B,$B1188,куб!L:L))))))</f>
        <v>0</v>
      </c>
      <c r="U1188" s="27" t="b">
        <f>IF($G1188&lt;&gt;0,SUMIF(куб!$G:$G,$G1188,куб!M:M),IF($E1188&lt;&gt;0,SUMIF(куб!$E:$E,$E1188,куб!M:M),IF($D1188&lt;&gt;0,SUMIF(куб!$D:$D,$D1188,куб!M:M),IF($C1188&lt;&gt;0,SUMIF(куб!$C:$C,$C1188,куб!M:M),IF($B1188&lt;&gt;0,SUMIF(куб!$B:$B,$B1188,куб!M:M))))))</f>
        <v>0</v>
      </c>
      <c r="V1188" s="13" t="str">
        <f t="shared" si="368"/>
        <v>-</v>
      </c>
      <c r="W1188" s="5"/>
      <c r="X1188" s="27" t="b">
        <f>IF($G1188&lt;&gt;0,SUMIF(куб!$G:$G,$G1188,куб!N:N),IF($E1188&lt;&gt;0,SUMIF(куб!$E:$E,$E1188,куб!N:N),IF($D1188&lt;&gt;0,SUMIF(куб!$D:$D,$D1188,куб!N:N),IF($C1188&lt;&gt;0,SUMIF(куб!$C:$C,$C1188,куб!N:N),IF($B1188&lt;&gt;0,SUMIF(куб!$B:$B,$B1188,куб!N:N))))))</f>
        <v>0</v>
      </c>
      <c r="Y1188" s="27" t="b">
        <f>IF($G1188&lt;&gt;0,SUMIF(куб!$G:$G,$G1188,куб!O:O),IF($E1188&lt;&gt;0,SUMIF(куб!$E:$E,$E1188,куб!O:O),IF($D1188&lt;&gt;0,SUMIF(куб!$D:$D,$D1188,куб!O:O),IF($C1188&lt;&gt;0,SUMIF(куб!$C:$C,$C1188,куб!O:O),IF($B1188&lt;&gt;0,SUMIF(куб!$B:$B,$B1188,куб!O:O))))))</f>
        <v>0</v>
      </c>
      <c r="Z1188" s="13" t="str">
        <f t="shared" si="369"/>
        <v>-</v>
      </c>
      <c r="AA1188" s="5"/>
      <c r="AB1188" s="33" t="str">
        <f t="shared" si="370"/>
        <v/>
      </c>
      <c r="AC1188" s="33" t="str">
        <f t="shared" si="371"/>
        <v/>
      </c>
      <c r="AD1188" s="15" t="str">
        <f t="shared" si="372"/>
        <v xml:space="preserve"> </v>
      </c>
      <c r="AE1188" s="5"/>
      <c r="AF1188" s="27" t="b">
        <f>IF($G1188&lt;&gt;0,SUMIF(куб!$G:$G,$G1188,куб!R:R),IF($E1188&lt;&gt;0,SUMIF(куб!$E:$E,$E1188,куб!R:R),IF($D1188&lt;&gt;0,SUMIF(куб!$D:$D,$D1188,куб!R:R),IF($C1188&lt;&gt;0,SUMIF(куб!$C:$C,$C1188,куб!R:R),IF($B1188&lt;&gt;0,SUMIF(куб!$B:$B,$B1188,куб!R:R))))))</f>
        <v>0</v>
      </c>
      <c r="AG1188" s="27" t="b">
        <f>IF($G1188&lt;&gt;0,SUMIF(куб!$G:$G,$G1188,куб!S:S),IF($E1188&lt;&gt;0,SUMIF(куб!$E:$E,$E1188,куб!S:S),IF($D1188&lt;&gt;0,SUMIF(куб!$D:$D,$D1188,куб!S:S),IF($C1188&lt;&gt;0,SUMIF(куб!$C:$C,$C1188,куб!S:S),IF($B1188&lt;&gt;0,SUMIF(куб!$B:$B,$B1188,куб!S:S))))))</f>
        <v>0</v>
      </c>
      <c r="AH1188" s="16" t="str">
        <f t="shared" si="373"/>
        <v>-</v>
      </c>
      <c r="AI1188" s="8"/>
      <c r="AJ1188" s="27" t="b">
        <f>IF($G1188&lt;&gt;0,SUMIF(куб!$G:$G,$G1188,куб!T:T),IF($E1188&lt;&gt;0,SUMIF(куб!$E:$E,$E1188,куб!T:T),IF($D1188&lt;&gt;0,SUMIF(куб!$D:$D,$D1188,куб!T:T),IF($C1188&lt;&gt;0,SUMIF(куб!$C:$C,$C1188,куб!T:T),IF($B1188&lt;&gt;0,SUMIF(куб!$B:$B,$B1188,куб!T:T))))))</f>
        <v>0</v>
      </c>
      <c r="AK1188" s="27" t="b">
        <f>IF($G1188&lt;&gt;0,SUMIF(куб!$G:$G,$G1188,куб!U:U),IF($E1188&lt;&gt;0,SUMIF(куб!$E:$E,$E1188,куб!U:U),IF($D1188&lt;&gt;0,SUMIF(куб!$D:$D,$D1188,куб!U:U),IF($C1188&lt;&gt;0,SUMIF(куб!$C:$C,$C1188,куб!U:U),IF($B1188&lt;&gt;0,SUMIF(куб!$B:$B,$B1188,куб!U:U))))))</f>
        <v>0</v>
      </c>
      <c r="AL1188" s="16" t="str">
        <f t="shared" si="374"/>
        <v>-</v>
      </c>
      <c r="AM1188" s="8"/>
      <c r="AN1188" s="17" t="str">
        <f t="shared" si="375"/>
        <v xml:space="preserve"> </v>
      </c>
      <c r="AO1188" s="17" t="str">
        <f t="shared" si="376"/>
        <v xml:space="preserve"> </v>
      </c>
      <c r="AP1188" s="16" t="str">
        <f t="shared" si="377"/>
        <v>-</v>
      </c>
      <c r="AQ1188" s="8"/>
      <c r="AR1188" s="17" t="str">
        <f t="shared" si="378"/>
        <v>-</v>
      </c>
      <c r="AS1188" s="17" t="str">
        <f t="shared" si="379"/>
        <v>-</v>
      </c>
      <c r="AT1188" s="13" t="str">
        <f t="shared" si="380"/>
        <v>-</v>
      </c>
      <c r="AU1188" s="8"/>
    </row>
    <row r="1189" spans="8:47" x14ac:dyDescent="0.25">
      <c r="H1189" s="27">
        <f>IF($G1189&lt;&gt;0,SUMIF(куб!$G:$G,$G1189,куб!H:H),IF($E1189&lt;&gt;0,SUMIF(куб!$E:$E,$E1189,куб!H:H),IF($D1189&lt;&gt;0,SUMIF(куб!$D:$D,$D1189,куб!H:H),IF($C1189&lt;&gt;0,SUMIF(куб!$C:$C,$C1189,куб!H:H),IF($B1189&lt;&gt;0,SUMIF(куб!$B:$B,$B1189,куб!H:H),IF($G1189&lt;&gt;0,SUMIF(куб!$A:$A,$G1189,куб!H:H),SUMIF(куб!$A:$A,$G1189,куб!H:H)))))))</f>
        <v>0</v>
      </c>
      <c r="I1189" s="27">
        <f>IF($G1189&lt;&gt;0,SUMIF(куб!$G:$G,$G1189,куб!I:I),IF($E1189&lt;&gt;0,SUMIF(куб!$E:$E,$E1189,куб!I:I),IF($D1189&lt;&gt;0,SUMIF(куб!$D:$D,$D1189,куб!I:I),IF($C1189&lt;&gt;0,SUMIF(куб!$C:$C,$C1189,куб!I:I),IF($B1189&lt;&gt;0,SUMIF(куб!$B:$B,$B1189,куб!I:I),IF($G1189&lt;&gt;0,SUMIF(куб!$A:$A,$G1189,куб!I:I),SUMIF(куб!$A:$A,$G1189,куб!I:I)))))))</f>
        <v>0</v>
      </c>
      <c r="J1189" s="19" t="str">
        <f t="shared" si="363"/>
        <v>-</v>
      </c>
      <c r="K1189" s="8"/>
      <c r="L1189" s="17">
        <f t="shared" si="364"/>
        <v>0</v>
      </c>
      <c r="M1189" s="17">
        <f t="shared" si="365"/>
        <v>0</v>
      </c>
      <c r="N1189" s="12">
        <f t="shared" si="366"/>
        <v>0</v>
      </c>
      <c r="O1189" s="5"/>
      <c r="P1189" s="27" t="b">
        <f>IF($G1189&lt;&gt;0,SUMIF(куб!$G:$G,$G1189,куб!J:J),IF($E1189&lt;&gt;0,SUMIF(куб!$E:$E,$E1189,куб!J:J),IF($D1189&lt;&gt;0,SUMIF(куб!$D:$D,$D1189,куб!J:J),IF($C1189&lt;&gt;0,SUMIF(куб!$C:$C,$C1189,куб!J:J),IF($B1189&lt;&gt;0,SUMIF(куб!$B:$B,$B1189,куб!J:J))))))</f>
        <v>0</v>
      </c>
      <c r="Q1189" s="27" t="b">
        <f>IF($G1189&lt;&gt;0,SUMIF(куб!$G:$G,$G1189,куб!K:K),IF($E1189&lt;&gt;0,SUMIF(куб!$E:$E,$E1189,куб!K:K),IF($D1189&lt;&gt;0,SUMIF(куб!$D:$D,$D1189,куб!K:K),IF($C1189&lt;&gt;0,SUMIF(куб!$C:$C,$C1189,куб!K:K),IF($B1189&lt;&gt;0,SUMIF(куб!$B:$B,$B1189,куб!K:K))))))</f>
        <v>0</v>
      </c>
      <c r="R1189" s="13" t="str">
        <f t="shared" si="367"/>
        <v>-</v>
      </c>
      <c r="S1189" s="5"/>
      <c r="T1189" s="27" t="b">
        <f>IF($G1189&lt;&gt;0,SUMIF(куб!$G:$G,$G1189,куб!L:L),IF($E1189&lt;&gt;0,SUMIF(куб!$E:$E,$E1189,куб!L:L),IF($D1189&lt;&gt;0,SUMIF(куб!$D:$D,$D1189,куб!L:L),IF($C1189&lt;&gt;0,SUMIF(куб!$C:$C,$C1189,куб!L:L),IF($B1189&lt;&gt;0,SUMIF(куб!$B:$B,$B1189,куб!L:L))))))</f>
        <v>0</v>
      </c>
      <c r="U1189" s="27" t="b">
        <f>IF($G1189&lt;&gt;0,SUMIF(куб!$G:$G,$G1189,куб!M:M),IF($E1189&lt;&gt;0,SUMIF(куб!$E:$E,$E1189,куб!M:M),IF($D1189&lt;&gt;0,SUMIF(куб!$D:$D,$D1189,куб!M:M),IF($C1189&lt;&gt;0,SUMIF(куб!$C:$C,$C1189,куб!M:M),IF($B1189&lt;&gt;0,SUMIF(куб!$B:$B,$B1189,куб!M:M))))))</f>
        <v>0</v>
      </c>
      <c r="V1189" s="13" t="str">
        <f t="shared" si="368"/>
        <v>-</v>
      </c>
      <c r="W1189" s="5"/>
      <c r="X1189" s="27" t="b">
        <f>IF($G1189&lt;&gt;0,SUMIF(куб!$G:$G,$G1189,куб!N:N),IF($E1189&lt;&gt;0,SUMIF(куб!$E:$E,$E1189,куб!N:N),IF($D1189&lt;&gt;0,SUMIF(куб!$D:$D,$D1189,куб!N:N),IF($C1189&lt;&gt;0,SUMIF(куб!$C:$C,$C1189,куб!N:N),IF($B1189&lt;&gt;0,SUMIF(куб!$B:$B,$B1189,куб!N:N))))))</f>
        <v>0</v>
      </c>
      <c r="Y1189" s="27" t="b">
        <f>IF($G1189&lt;&gt;0,SUMIF(куб!$G:$G,$G1189,куб!O:O),IF($E1189&lt;&gt;0,SUMIF(куб!$E:$E,$E1189,куб!O:O),IF($D1189&lt;&gt;0,SUMIF(куб!$D:$D,$D1189,куб!O:O),IF($C1189&lt;&gt;0,SUMIF(куб!$C:$C,$C1189,куб!O:O),IF($B1189&lt;&gt;0,SUMIF(куб!$B:$B,$B1189,куб!O:O))))))</f>
        <v>0</v>
      </c>
      <c r="Z1189" s="13" t="str">
        <f t="shared" si="369"/>
        <v>-</v>
      </c>
      <c r="AA1189" s="5"/>
      <c r="AB1189" s="33" t="str">
        <f t="shared" si="370"/>
        <v/>
      </c>
      <c r="AC1189" s="33" t="str">
        <f t="shared" si="371"/>
        <v/>
      </c>
      <c r="AD1189" s="15" t="str">
        <f t="shared" si="372"/>
        <v xml:space="preserve"> </v>
      </c>
      <c r="AE1189" s="5"/>
      <c r="AF1189" s="27" t="b">
        <f>IF($G1189&lt;&gt;0,SUMIF(куб!$G:$G,$G1189,куб!R:R),IF($E1189&lt;&gt;0,SUMIF(куб!$E:$E,$E1189,куб!R:R),IF($D1189&lt;&gt;0,SUMIF(куб!$D:$D,$D1189,куб!R:R),IF($C1189&lt;&gt;0,SUMIF(куб!$C:$C,$C1189,куб!R:R),IF($B1189&lt;&gt;0,SUMIF(куб!$B:$B,$B1189,куб!R:R))))))</f>
        <v>0</v>
      </c>
      <c r="AG1189" s="27" t="b">
        <f>IF($G1189&lt;&gt;0,SUMIF(куб!$G:$G,$G1189,куб!S:S),IF($E1189&lt;&gt;0,SUMIF(куб!$E:$E,$E1189,куб!S:S),IF($D1189&lt;&gt;0,SUMIF(куб!$D:$D,$D1189,куб!S:S),IF($C1189&lt;&gt;0,SUMIF(куб!$C:$C,$C1189,куб!S:S),IF($B1189&lt;&gt;0,SUMIF(куб!$B:$B,$B1189,куб!S:S))))))</f>
        <v>0</v>
      </c>
      <c r="AH1189" s="16" t="str">
        <f t="shared" si="373"/>
        <v>-</v>
      </c>
      <c r="AI1189" s="8"/>
      <c r="AJ1189" s="27" t="b">
        <f>IF($G1189&lt;&gt;0,SUMIF(куб!$G:$G,$G1189,куб!T:T),IF($E1189&lt;&gt;0,SUMIF(куб!$E:$E,$E1189,куб!T:T),IF($D1189&lt;&gt;0,SUMIF(куб!$D:$D,$D1189,куб!T:T),IF($C1189&lt;&gt;0,SUMIF(куб!$C:$C,$C1189,куб!T:T),IF($B1189&lt;&gt;0,SUMIF(куб!$B:$B,$B1189,куб!T:T))))))</f>
        <v>0</v>
      </c>
      <c r="AK1189" s="27" t="b">
        <f>IF($G1189&lt;&gt;0,SUMIF(куб!$G:$G,$G1189,куб!U:U),IF($E1189&lt;&gt;0,SUMIF(куб!$E:$E,$E1189,куб!U:U),IF($D1189&lt;&gt;0,SUMIF(куб!$D:$D,$D1189,куб!U:U),IF($C1189&lt;&gt;0,SUMIF(куб!$C:$C,$C1189,куб!U:U),IF($B1189&lt;&gt;0,SUMIF(куб!$B:$B,$B1189,куб!U:U))))))</f>
        <v>0</v>
      </c>
      <c r="AL1189" s="16" t="str">
        <f t="shared" si="374"/>
        <v>-</v>
      </c>
      <c r="AM1189" s="8"/>
      <c r="AN1189" s="17" t="str">
        <f t="shared" si="375"/>
        <v xml:space="preserve"> </v>
      </c>
      <c r="AO1189" s="17" t="str">
        <f t="shared" si="376"/>
        <v xml:space="preserve"> </v>
      </c>
      <c r="AP1189" s="16" t="str">
        <f t="shared" si="377"/>
        <v>-</v>
      </c>
      <c r="AQ1189" s="8"/>
      <c r="AR1189" s="17" t="str">
        <f t="shared" si="378"/>
        <v>-</v>
      </c>
      <c r="AS1189" s="17" t="str">
        <f t="shared" si="379"/>
        <v>-</v>
      </c>
      <c r="AT1189" s="13" t="str">
        <f t="shared" si="380"/>
        <v>-</v>
      </c>
      <c r="AU1189" s="8"/>
    </row>
    <row r="1190" spans="8:47" x14ac:dyDescent="0.25">
      <c r="H1190" s="27">
        <f>IF($G1190&lt;&gt;0,SUMIF(куб!$G:$G,$G1190,куб!H:H),IF($E1190&lt;&gt;0,SUMIF(куб!$E:$E,$E1190,куб!H:H),IF($D1190&lt;&gt;0,SUMIF(куб!$D:$D,$D1190,куб!H:H),IF($C1190&lt;&gt;0,SUMIF(куб!$C:$C,$C1190,куб!H:H),IF($B1190&lt;&gt;0,SUMIF(куб!$B:$B,$B1190,куб!H:H),IF($G1190&lt;&gt;0,SUMIF(куб!$A:$A,$G1190,куб!H:H),SUMIF(куб!$A:$A,$G1190,куб!H:H)))))))</f>
        <v>0</v>
      </c>
      <c r="I1190" s="27">
        <f>IF($G1190&lt;&gt;0,SUMIF(куб!$G:$G,$G1190,куб!I:I),IF($E1190&lt;&gt;0,SUMIF(куб!$E:$E,$E1190,куб!I:I),IF($D1190&lt;&gt;0,SUMIF(куб!$D:$D,$D1190,куб!I:I),IF($C1190&lt;&gt;0,SUMIF(куб!$C:$C,$C1190,куб!I:I),IF($B1190&lt;&gt;0,SUMIF(куб!$B:$B,$B1190,куб!I:I),IF($G1190&lt;&gt;0,SUMIF(куб!$A:$A,$G1190,куб!I:I),SUMIF(куб!$A:$A,$G1190,куб!I:I)))))))</f>
        <v>0</v>
      </c>
      <c r="J1190" s="19" t="str">
        <f t="shared" si="363"/>
        <v>-</v>
      </c>
      <c r="K1190" s="8"/>
      <c r="L1190" s="17">
        <f t="shared" si="364"/>
        <v>0</v>
      </c>
      <c r="M1190" s="17">
        <f t="shared" si="365"/>
        <v>0</v>
      </c>
      <c r="N1190" s="12">
        <f t="shared" si="366"/>
        <v>0</v>
      </c>
      <c r="O1190" s="5"/>
      <c r="P1190" s="27" t="b">
        <f>IF($G1190&lt;&gt;0,SUMIF(куб!$G:$G,$G1190,куб!J:J),IF($E1190&lt;&gt;0,SUMIF(куб!$E:$E,$E1190,куб!J:J),IF($D1190&lt;&gt;0,SUMIF(куб!$D:$D,$D1190,куб!J:J),IF($C1190&lt;&gt;0,SUMIF(куб!$C:$C,$C1190,куб!J:J),IF($B1190&lt;&gt;0,SUMIF(куб!$B:$B,$B1190,куб!J:J))))))</f>
        <v>0</v>
      </c>
      <c r="Q1190" s="27" t="b">
        <f>IF($G1190&lt;&gt;0,SUMIF(куб!$G:$G,$G1190,куб!K:K),IF($E1190&lt;&gt;0,SUMIF(куб!$E:$E,$E1190,куб!K:K),IF($D1190&lt;&gt;0,SUMIF(куб!$D:$D,$D1190,куб!K:K),IF($C1190&lt;&gt;0,SUMIF(куб!$C:$C,$C1190,куб!K:K),IF($B1190&lt;&gt;0,SUMIF(куб!$B:$B,$B1190,куб!K:K))))))</f>
        <v>0</v>
      </c>
      <c r="R1190" s="13" t="str">
        <f t="shared" si="367"/>
        <v>-</v>
      </c>
      <c r="S1190" s="5"/>
      <c r="T1190" s="27" t="b">
        <f>IF($G1190&lt;&gt;0,SUMIF(куб!$G:$G,$G1190,куб!L:L),IF($E1190&lt;&gt;0,SUMIF(куб!$E:$E,$E1190,куб!L:L),IF($D1190&lt;&gt;0,SUMIF(куб!$D:$D,$D1190,куб!L:L),IF($C1190&lt;&gt;0,SUMIF(куб!$C:$C,$C1190,куб!L:L),IF($B1190&lt;&gt;0,SUMIF(куб!$B:$B,$B1190,куб!L:L))))))</f>
        <v>0</v>
      </c>
      <c r="U1190" s="27" t="b">
        <f>IF($G1190&lt;&gt;0,SUMIF(куб!$G:$G,$G1190,куб!M:M),IF($E1190&lt;&gt;0,SUMIF(куб!$E:$E,$E1190,куб!M:M),IF($D1190&lt;&gt;0,SUMIF(куб!$D:$D,$D1190,куб!M:M),IF($C1190&lt;&gt;0,SUMIF(куб!$C:$C,$C1190,куб!M:M),IF($B1190&lt;&gt;0,SUMIF(куб!$B:$B,$B1190,куб!M:M))))))</f>
        <v>0</v>
      </c>
      <c r="V1190" s="13" t="str">
        <f t="shared" si="368"/>
        <v>-</v>
      </c>
      <c r="W1190" s="5"/>
      <c r="X1190" s="27" t="b">
        <f>IF($G1190&lt;&gt;0,SUMIF(куб!$G:$G,$G1190,куб!N:N),IF($E1190&lt;&gt;0,SUMIF(куб!$E:$E,$E1190,куб!N:N),IF($D1190&lt;&gt;0,SUMIF(куб!$D:$D,$D1190,куб!N:N),IF($C1190&lt;&gt;0,SUMIF(куб!$C:$C,$C1190,куб!N:N),IF($B1190&lt;&gt;0,SUMIF(куб!$B:$B,$B1190,куб!N:N))))))</f>
        <v>0</v>
      </c>
      <c r="Y1190" s="27" t="b">
        <f>IF($G1190&lt;&gt;0,SUMIF(куб!$G:$G,$G1190,куб!O:O),IF($E1190&lt;&gt;0,SUMIF(куб!$E:$E,$E1190,куб!O:O),IF($D1190&lt;&gt;0,SUMIF(куб!$D:$D,$D1190,куб!O:O),IF($C1190&lt;&gt;0,SUMIF(куб!$C:$C,$C1190,куб!O:O),IF($B1190&lt;&gt;0,SUMIF(куб!$B:$B,$B1190,куб!O:O))))))</f>
        <v>0</v>
      </c>
      <c r="Z1190" s="13" t="str">
        <f t="shared" si="369"/>
        <v>-</v>
      </c>
      <c r="AA1190" s="5"/>
      <c r="AB1190" s="33" t="str">
        <f t="shared" si="370"/>
        <v/>
      </c>
      <c r="AC1190" s="33" t="str">
        <f t="shared" si="371"/>
        <v/>
      </c>
      <c r="AD1190" s="15" t="str">
        <f t="shared" si="372"/>
        <v xml:space="preserve"> </v>
      </c>
      <c r="AE1190" s="5"/>
      <c r="AF1190" s="27" t="b">
        <f>IF($G1190&lt;&gt;0,SUMIF(куб!$G:$G,$G1190,куб!R:R),IF($E1190&lt;&gt;0,SUMIF(куб!$E:$E,$E1190,куб!R:R),IF($D1190&lt;&gt;0,SUMIF(куб!$D:$D,$D1190,куб!R:R),IF($C1190&lt;&gt;0,SUMIF(куб!$C:$C,$C1190,куб!R:R),IF($B1190&lt;&gt;0,SUMIF(куб!$B:$B,$B1190,куб!R:R))))))</f>
        <v>0</v>
      </c>
      <c r="AG1190" s="27" t="b">
        <f>IF($G1190&lt;&gt;0,SUMIF(куб!$G:$G,$G1190,куб!S:S),IF($E1190&lt;&gt;0,SUMIF(куб!$E:$E,$E1190,куб!S:S),IF($D1190&lt;&gt;0,SUMIF(куб!$D:$D,$D1190,куб!S:S),IF($C1190&lt;&gt;0,SUMIF(куб!$C:$C,$C1190,куб!S:S),IF($B1190&lt;&gt;0,SUMIF(куб!$B:$B,$B1190,куб!S:S))))))</f>
        <v>0</v>
      </c>
      <c r="AH1190" s="16" t="str">
        <f t="shared" si="373"/>
        <v>-</v>
      </c>
      <c r="AI1190" s="8"/>
      <c r="AJ1190" s="27" t="b">
        <f>IF($G1190&lt;&gt;0,SUMIF(куб!$G:$G,$G1190,куб!T:T),IF($E1190&lt;&gt;0,SUMIF(куб!$E:$E,$E1190,куб!T:T),IF($D1190&lt;&gt;0,SUMIF(куб!$D:$D,$D1190,куб!T:T),IF($C1190&lt;&gt;0,SUMIF(куб!$C:$C,$C1190,куб!T:T),IF($B1190&lt;&gt;0,SUMIF(куб!$B:$B,$B1190,куб!T:T))))))</f>
        <v>0</v>
      </c>
      <c r="AK1190" s="27" t="b">
        <f>IF($G1190&lt;&gt;0,SUMIF(куб!$G:$G,$G1190,куб!U:U),IF($E1190&lt;&gt;0,SUMIF(куб!$E:$E,$E1190,куб!U:U),IF($D1190&lt;&gt;0,SUMIF(куб!$D:$D,$D1190,куб!U:U),IF($C1190&lt;&gt;0,SUMIF(куб!$C:$C,$C1190,куб!U:U),IF($B1190&lt;&gt;0,SUMIF(куб!$B:$B,$B1190,куб!U:U))))))</f>
        <v>0</v>
      </c>
      <c r="AL1190" s="16" t="str">
        <f t="shared" si="374"/>
        <v>-</v>
      </c>
      <c r="AM1190" s="8"/>
      <c r="AN1190" s="17" t="str">
        <f t="shared" si="375"/>
        <v xml:space="preserve"> </v>
      </c>
      <c r="AO1190" s="17" t="str">
        <f t="shared" si="376"/>
        <v xml:space="preserve"> </v>
      </c>
      <c r="AP1190" s="16" t="str">
        <f t="shared" si="377"/>
        <v>-</v>
      </c>
      <c r="AQ1190" s="8"/>
      <c r="AR1190" s="17" t="str">
        <f t="shared" si="378"/>
        <v>-</v>
      </c>
      <c r="AS1190" s="17" t="str">
        <f t="shared" si="379"/>
        <v>-</v>
      </c>
      <c r="AT1190" s="13" t="str">
        <f t="shared" si="380"/>
        <v>-</v>
      </c>
      <c r="AU1190" s="8"/>
    </row>
    <row r="1191" spans="8:47" x14ac:dyDescent="0.25">
      <c r="H1191" s="27">
        <f>IF($G1191&lt;&gt;0,SUMIF(куб!$G:$G,$G1191,куб!H:H),IF($E1191&lt;&gt;0,SUMIF(куб!$E:$E,$E1191,куб!H:H),IF($D1191&lt;&gt;0,SUMIF(куб!$D:$D,$D1191,куб!H:H),IF($C1191&lt;&gt;0,SUMIF(куб!$C:$C,$C1191,куб!H:H),IF($B1191&lt;&gt;0,SUMIF(куб!$B:$B,$B1191,куб!H:H),IF($G1191&lt;&gt;0,SUMIF(куб!$A:$A,$G1191,куб!H:H),SUMIF(куб!$A:$A,$G1191,куб!H:H)))))))</f>
        <v>0</v>
      </c>
      <c r="I1191" s="27">
        <f>IF($G1191&lt;&gt;0,SUMIF(куб!$G:$G,$G1191,куб!I:I),IF($E1191&lt;&gt;0,SUMIF(куб!$E:$E,$E1191,куб!I:I),IF($D1191&lt;&gt;0,SUMIF(куб!$D:$D,$D1191,куб!I:I),IF($C1191&lt;&gt;0,SUMIF(куб!$C:$C,$C1191,куб!I:I),IF($B1191&lt;&gt;0,SUMIF(куб!$B:$B,$B1191,куб!I:I),IF($G1191&lt;&gt;0,SUMIF(куб!$A:$A,$G1191,куб!I:I),SUMIF(куб!$A:$A,$G1191,куб!I:I)))))))</f>
        <v>0</v>
      </c>
      <c r="J1191" s="19" t="str">
        <f t="shared" si="363"/>
        <v>-</v>
      </c>
      <c r="K1191" s="8"/>
      <c r="L1191" s="17">
        <f t="shared" si="364"/>
        <v>0</v>
      </c>
      <c r="M1191" s="17">
        <f t="shared" si="365"/>
        <v>0</v>
      </c>
      <c r="N1191" s="12">
        <f t="shared" si="366"/>
        <v>0</v>
      </c>
      <c r="O1191" s="5"/>
      <c r="P1191" s="27" t="b">
        <f>IF($G1191&lt;&gt;0,SUMIF(куб!$G:$G,$G1191,куб!J:J),IF($E1191&lt;&gt;0,SUMIF(куб!$E:$E,$E1191,куб!J:J),IF($D1191&lt;&gt;0,SUMIF(куб!$D:$D,$D1191,куб!J:J),IF($C1191&lt;&gt;0,SUMIF(куб!$C:$C,$C1191,куб!J:J),IF($B1191&lt;&gt;0,SUMIF(куб!$B:$B,$B1191,куб!J:J))))))</f>
        <v>0</v>
      </c>
      <c r="Q1191" s="27" t="b">
        <f>IF($G1191&lt;&gt;0,SUMIF(куб!$G:$G,$G1191,куб!K:K),IF($E1191&lt;&gt;0,SUMIF(куб!$E:$E,$E1191,куб!K:K),IF($D1191&lt;&gt;0,SUMIF(куб!$D:$D,$D1191,куб!K:K),IF($C1191&lt;&gt;0,SUMIF(куб!$C:$C,$C1191,куб!K:K),IF($B1191&lt;&gt;0,SUMIF(куб!$B:$B,$B1191,куб!K:K))))))</f>
        <v>0</v>
      </c>
      <c r="R1191" s="13" t="str">
        <f t="shared" si="367"/>
        <v>-</v>
      </c>
      <c r="S1191" s="5"/>
      <c r="T1191" s="27" t="b">
        <f>IF($G1191&lt;&gt;0,SUMIF(куб!$G:$G,$G1191,куб!L:L),IF($E1191&lt;&gt;0,SUMIF(куб!$E:$E,$E1191,куб!L:L),IF($D1191&lt;&gt;0,SUMIF(куб!$D:$D,$D1191,куб!L:L),IF($C1191&lt;&gt;0,SUMIF(куб!$C:$C,$C1191,куб!L:L),IF($B1191&lt;&gt;0,SUMIF(куб!$B:$B,$B1191,куб!L:L))))))</f>
        <v>0</v>
      </c>
      <c r="U1191" s="27" t="b">
        <f>IF($G1191&lt;&gt;0,SUMIF(куб!$G:$G,$G1191,куб!M:M),IF($E1191&lt;&gt;0,SUMIF(куб!$E:$E,$E1191,куб!M:M),IF($D1191&lt;&gt;0,SUMIF(куб!$D:$D,$D1191,куб!M:M),IF($C1191&lt;&gt;0,SUMIF(куб!$C:$C,$C1191,куб!M:M),IF($B1191&lt;&gt;0,SUMIF(куб!$B:$B,$B1191,куб!M:M))))))</f>
        <v>0</v>
      </c>
      <c r="V1191" s="13" t="str">
        <f t="shared" si="368"/>
        <v>-</v>
      </c>
      <c r="W1191" s="5"/>
      <c r="X1191" s="27" t="b">
        <f>IF($G1191&lt;&gt;0,SUMIF(куб!$G:$G,$G1191,куб!N:N),IF($E1191&lt;&gt;0,SUMIF(куб!$E:$E,$E1191,куб!N:N),IF($D1191&lt;&gt;0,SUMIF(куб!$D:$D,$D1191,куб!N:N),IF($C1191&lt;&gt;0,SUMIF(куб!$C:$C,$C1191,куб!N:N),IF($B1191&lt;&gt;0,SUMIF(куб!$B:$B,$B1191,куб!N:N))))))</f>
        <v>0</v>
      </c>
      <c r="Y1191" s="27" t="b">
        <f>IF($G1191&lt;&gt;0,SUMIF(куб!$G:$G,$G1191,куб!O:O),IF($E1191&lt;&gt;0,SUMIF(куб!$E:$E,$E1191,куб!O:O),IF($D1191&lt;&gt;0,SUMIF(куб!$D:$D,$D1191,куб!O:O),IF($C1191&lt;&gt;0,SUMIF(куб!$C:$C,$C1191,куб!O:O),IF($B1191&lt;&gt;0,SUMIF(куб!$B:$B,$B1191,куб!O:O))))))</f>
        <v>0</v>
      </c>
      <c r="Z1191" s="13" t="str">
        <f t="shared" si="369"/>
        <v>-</v>
      </c>
      <c r="AA1191" s="5"/>
      <c r="AB1191" s="33" t="str">
        <f t="shared" si="370"/>
        <v/>
      </c>
      <c r="AC1191" s="33" t="str">
        <f t="shared" si="371"/>
        <v/>
      </c>
      <c r="AD1191" s="15" t="str">
        <f t="shared" si="372"/>
        <v xml:space="preserve"> </v>
      </c>
      <c r="AE1191" s="5"/>
      <c r="AF1191" s="27" t="b">
        <f>IF($G1191&lt;&gt;0,SUMIF(куб!$G:$G,$G1191,куб!R:R),IF($E1191&lt;&gt;0,SUMIF(куб!$E:$E,$E1191,куб!R:R),IF($D1191&lt;&gt;0,SUMIF(куб!$D:$D,$D1191,куб!R:R),IF($C1191&lt;&gt;0,SUMIF(куб!$C:$C,$C1191,куб!R:R),IF($B1191&lt;&gt;0,SUMIF(куб!$B:$B,$B1191,куб!R:R))))))</f>
        <v>0</v>
      </c>
      <c r="AG1191" s="27" t="b">
        <f>IF($G1191&lt;&gt;0,SUMIF(куб!$G:$G,$G1191,куб!S:S),IF($E1191&lt;&gt;0,SUMIF(куб!$E:$E,$E1191,куб!S:S),IF($D1191&lt;&gt;0,SUMIF(куб!$D:$D,$D1191,куб!S:S),IF($C1191&lt;&gt;0,SUMIF(куб!$C:$C,$C1191,куб!S:S),IF($B1191&lt;&gt;0,SUMIF(куб!$B:$B,$B1191,куб!S:S))))))</f>
        <v>0</v>
      </c>
      <c r="AH1191" s="16" t="str">
        <f t="shared" si="373"/>
        <v>-</v>
      </c>
      <c r="AI1191" s="8"/>
      <c r="AJ1191" s="27" t="b">
        <f>IF($G1191&lt;&gt;0,SUMIF(куб!$G:$G,$G1191,куб!T:T),IF($E1191&lt;&gt;0,SUMIF(куб!$E:$E,$E1191,куб!T:T),IF($D1191&lt;&gt;0,SUMIF(куб!$D:$D,$D1191,куб!T:T),IF($C1191&lt;&gt;0,SUMIF(куб!$C:$C,$C1191,куб!T:T),IF($B1191&lt;&gt;0,SUMIF(куб!$B:$B,$B1191,куб!T:T))))))</f>
        <v>0</v>
      </c>
      <c r="AK1191" s="27" t="b">
        <f>IF($G1191&lt;&gt;0,SUMIF(куб!$G:$G,$G1191,куб!U:U),IF($E1191&lt;&gt;0,SUMIF(куб!$E:$E,$E1191,куб!U:U),IF($D1191&lt;&gt;0,SUMIF(куб!$D:$D,$D1191,куб!U:U),IF($C1191&lt;&gt;0,SUMIF(куб!$C:$C,$C1191,куб!U:U),IF($B1191&lt;&gt;0,SUMIF(куб!$B:$B,$B1191,куб!U:U))))))</f>
        <v>0</v>
      </c>
      <c r="AL1191" s="16" t="str">
        <f t="shared" si="374"/>
        <v>-</v>
      </c>
      <c r="AM1191" s="8"/>
      <c r="AN1191" s="17" t="str">
        <f t="shared" si="375"/>
        <v xml:space="preserve"> </v>
      </c>
      <c r="AO1191" s="17" t="str">
        <f t="shared" si="376"/>
        <v xml:space="preserve"> </v>
      </c>
      <c r="AP1191" s="16" t="str">
        <f t="shared" si="377"/>
        <v>-</v>
      </c>
      <c r="AQ1191" s="8"/>
      <c r="AR1191" s="17" t="str">
        <f t="shared" si="378"/>
        <v>-</v>
      </c>
      <c r="AS1191" s="17" t="str">
        <f t="shared" si="379"/>
        <v>-</v>
      </c>
      <c r="AT1191" s="13" t="str">
        <f t="shared" si="380"/>
        <v>-</v>
      </c>
      <c r="AU1191" s="8"/>
    </row>
    <row r="1192" spans="8:47" x14ac:dyDescent="0.25">
      <c r="H1192" s="27">
        <f>IF($G1192&lt;&gt;0,SUMIF(куб!$G:$G,$G1192,куб!H:H),IF($E1192&lt;&gt;0,SUMIF(куб!$E:$E,$E1192,куб!H:H),IF($D1192&lt;&gt;0,SUMIF(куб!$D:$D,$D1192,куб!H:H),IF($C1192&lt;&gt;0,SUMIF(куб!$C:$C,$C1192,куб!H:H),IF($B1192&lt;&gt;0,SUMIF(куб!$B:$B,$B1192,куб!H:H),IF($G1192&lt;&gt;0,SUMIF(куб!$A:$A,$G1192,куб!H:H),SUMIF(куб!$A:$A,$G1192,куб!H:H)))))))</f>
        <v>0</v>
      </c>
      <c r="I1192" s="27">
        <f>IF($G1192&lt;&gt;0,SUMIF(куб!$G:$G,$G1192,куб!I:I),IF($E1192&lt;&gt;0,SUMIF(куб!$E:$E,$E1192,куб!I:I),IF($D1192&lt;&gt;0,SUMIF(куб!$D:$D,$D1192,куб!I:I),IF($C1192&lt;&gt;0,SUMIF(куб!$C:$C,$C1192,куб!I:I),IF($B1192&lt;&gt;0,SUMIF(куб!$B:$B,$B1192,куб!I:I),IF($G1192&lt;&gt;0,SUMIF(куб!$A:$A,$G1192,куб!I:I),SUMIF(куб!$A:$A,$G1192,куб!I:I)))))))</f>
        <v>0</v>
      </c>
      <c r="J1192" s="19" t="str">
        <f t="shared" si="363"/>
        <v>-</v>
      </c>
      <c r="K1192" s="8"/>
      <c r="L1192" s="17">
        <f t="shared" si="364"/>
        <v>0</v>
      </c>
      <c r="M1192" s="17">
        <f t="shared" si="365"/>
        <v>0</v>
      </c>
      <c r="N1192" s="12">
        <f t="shared" si="366"/>
        <v>0</v>
      </c>
      <c r="O1192" s="5"/>
      <c r="P1192" s="27" t="b">
        <f>IF($G1192&lt;&gt;0,SUMIF(куб!$G:$G,$G1192,куб!J:J),IF($E1192&lt;&gt;0,SUMIF(куб!$E:$E,$E1192,куб!J:J),IF($D1192&lt;&gt;0,SUMIF(куб!$D:$D,$D1192,куб!J:J),IF($C1192&lt;&gt;0,SUMIF(куб!$C:$C,$C1192,куб!J:J),IF($B1192&lt;&gt;0,SUMIF(куб!$B:$B,$B1192,куб!J:J))))))</f>
        <v>0</v>
      </c>
      <c r="Q1192" s="27" t="b">
        <f>IF($G1192&lt;&gt;0,SUMIF(куб!$G:$G,$G1192,куб!K:K),IF($E1192&lt;&gt;0,SUMIF(куб!$E:$E,$E1192,куб!K:K),IF($D1192&lt;&gt;0,SUMIF(куб!$D:$D,$D1192,куб!K:K),IF($C1192&lt;&gt;0,SUMIF(куб!$C:$C,$C1192,куб!K:K),IF($B1192&lt;&gt;0,SUMIF(куб!$B:$B,$B1192,куб!K:K))))))</f>
        <v>0</v>
      </c>
      <c r="R1192" s="13" t="str">
        <f t="shared" si="367"/>
        <v>-</v>
      </c>
      <c r="S1192" s="5"/>
      <c r="T1192" s="27" t="b">
        <f>IF($G1192&lt;&gt;0,SUMIF(куб!$G:$G,$G1192,куб!L:L),IF($E1192&lt;&gt;0,SUMIF(куб!$E:$E,$E1192,куб!L:L),IF($D1192&lt;&gt;0,SUMIF(куб!$D:$D,$D1192,куб!L:L),IF($C1192&lt;&gt;0,SUMIF(куб!$C:$C,$C1192,куб!L:L),IF($B1192&lt;&gt;0,SUMIF(куб!$B:$B,$B1192,куб!L:L))))))</f>
        <v>0</v>
      </c>
      <c r="U1192" s="27" t="b">
        <f>IF($G1192&lt;&gt;0,SUMIF(куб!$G:$G,$G1192,куб!M:M),IF($E1192&lt;&gt;0,SUMIF(куб!$E:$E,$E1192,куб!M:M),IF($D1192&lt;&gt;0,SUMIF(куб!$D:$D,$D1192,куб!M:M),IF($C1192&lt;&gt;0,SUMIF(куб!$C:$C,$C1192,куб!M:M),IF($B1192&lt;&gt;0,SUMIF(куб!$B:$B,$B1192,куб!M:M))))))</f>
        <v>0</v>
      </c>
      <c r="V1192" s="13" t="str">
        <f t="shared" si="368"/>
        <v>-</v>
      </c>
      <c r="W1192" s="5"/>
      <c r="X1192" s="27" t="b">
        <f>IF($G1192&lt;&gt;0,SUMIF(куб!$G:$G,$G1192,куб!N:N),IF($E1192&lt;&gt;0,SUMIF(куб!$E:$E,$E1192,куб!N:N),IF($D1192&lt;&gt;0,SUMIF(куб!$D:$D,$D1192,куб!N:N),IF($C1192&lt;&gt;0,SUMIF(куб!$C:$C,$C1192,куб!N:N),IF($B1192&lt;&gt;0,SUMIF(куб!$B:$B,$B1192,куб!N:N))))))</f>
        <v>0</v>
      </c>
      <c r="Y1192" s="27" t="b">
        <f>IF($G1192&lt;&gt;0,SUMIF(куб!$G:$G,$G1192,куб!O:O),IF($E1192&lt;&gt;0,SUMIF(куб!$E:$E,$E1192,куб!O:O),IF($D1192&lt;&gt;0,SUMIF(куб!$D:$D,$D1192,куб!O:O),IF($C1192&lt;&gt;0,SUMIF(куб!$C:$C,$C1192,куб!O:O),IF($B1192&lt;&gt;0,SUMIF(куб!$B:$B,$B1192,куб!O:O))))))</f>
        <v>0</v>
      </c>
      <c r="Z1192" s="13" t="str">
        <f t="shared" si="369"/>
        <v>-</v>
      </c>
      <c r="AA1192" s="5"/>
      <c r="AB1192" s="33" t="str">
        <f t="shared" si="370"/>
        <v/>
      </c>
      <c r="AC1192" s="33" t="str">
        <f t="shared" si="371"/>
        <v/>
      </c>
      <c r="AD1192" s="15" t="str">
        <f t="shared" si="372"/>
        <v xml:space="preserve"> </v>
      </c>
      <c r="AE1192" s="5"/>
      <c r="AF1192" s="27" t="b">
        <f>IF($G1192&lt;&gt;0,SUMIF(куб!$G:$G,$G1192,куб!R:R),IF($E1192&lt;&gt;0,SUMIF(куб!$E:$E,$E1192,куб!R:R),IF($D1192&lt;&gt;0,SUMIF(куб!$D:$D,$D1192,куб!R:R),IF($C1192&lt;&gt;0,SUMIF(куб!$C:$C,$C1192,куб!R:R),IF($B1192&lt;&gt;0,SUMIF(куб!$B:$B,$B1192,куб!R:R))))))</f>
        <v>0</v>
      </c>
      <c r="AG1192" s="27" t="b">
        <f>IF($G1192&lt;&gt;0,SUMIF(куб!$G:$G,$G1192,куб!S:S),IF($E1192&lt;&gt;0,SUMIF(куб!$E:$E,$E1192,куб!S:S),IF($D1192&lt;&gt;0,SUMIF(куб!$D:$D,$D1192,куб!S:S),IF($C1192&lt;&gt;0,SUMIF(куб!$C:$C,$C1192,куб!S:S),IF($B1192&lt;&gt;0,SUMIF(куб!$B:$B,$B1192,куб!S:S))))))</f>
        <v>0</v>
      </c>
      <c r="AH1192" s="16" t="str">
        <f t="shared" si="373"/>
        <v>-</v>
      </c>
      <c r="AI1192" s="8"/>
      <c r="AJ1192" s="27" t="b">
        <f>IF($G1192&lt;&gt;0,SUMIF(куб!$G:$G,$G1192,куб!T:T),IF($E1192&lt;&gt;0,SUMIF(куб!$E:$E,$E1192,куб!T:T),IF($D1192&lt;&gt;0,SUMIF(куб!$D:$D,$D1192,куб!T:T),IF($C1192&lt;&gt;0,SUMIF(куб!$C:$C,$C1192,куб!T:T),IF($B1192&lt;&gt;0,SUMIF(куб!$B:$B,$B1192,куб!T:T))))))</f>
        <v>0</v>
      </c>
      <c r="AK1192" s="27" t="b">
        <f>IF($G1192&lt;&gt;0,SUMIF(куб!$G:$G,$G1192,куб!U:U),IF($E1192&lt;&gt;0,SUMIF(куб!$E:$E,$E1192,куб!U:U),IF($D1192&lt;&gt;0,SUMIF(куб!$D:$D,$D1192,куб!U:U),IF($C1192&lt;&gt;0,SUMIF(куб!$C:$C,$C1192,куб!U:U),IF($B1192&lt;&gt;0,SUMIF(куб!$B:$B,$B1192,куб!U:U))))))</f>
        <v>0</v>
      </c>
      <c r="AL1192" s="16" t="str">
        <f t="shared" si="374"/>
        <v>-</v>
      </c>
      <c r="AM1192" s="8"/>
      <c r="AN1192" s="17" t="str">
        <f t="shared" si="375"/>
        <v xml:space="preserve"> </v>
      </c>
      <c r="AO1192" s="17" t="str">
        <f t="shared" si="376"/>
        <v xml:space="preserve"> </v>
      </c>
      <c r="AP1192" s="16" t="str">
        <f t="shared" si="377"/>
        <v>-</v>
      </c>
      <c r="AQ1192" s="8"/>
      <c r="AR1192" s="17" t="str">
        <f t="shared" si="378"/>
        <v>-</v>
      </c>
      <c r="AS1192" s="17" t="str">
        <f t="shared" si="379"/>
        <v>-</v>
      </c>
      <c r="AT1192" s="13" t="str">
        <f t="shared" si="380"/>
        <v>-</v>
      </c>
      <c r="AU1192" s="8"/>
    </row>
    <row r="1193" spans="8:47" x14ac:dyDescent="0.25">
      <c r="H1193" s="27">
        <f>IF($G1193&lt;&gt;0,SUMIF(куб!$G:$G,$G1193,куб!H:H),IF($E1193&lt;&gt;0,SUMIF(куб!$E:$E,$E1193,куб!H:H),IF($D1193&lt;&gt;0,SUMIF(куб!$D:$D,$D1193,куб!H:H),IF($C1193&lt;&gt;0,SUMIF(куб!$C:$C,$C1193,куб!H:H),IF($B1193&lt;&gt;0,SUMIF(куб!$B:$B,$B1193,куб!H:H),IF($G1193&lt;&gt;0,SUMIF(куб!$A:$A,$G1193,куб!H:H),SUMIF(куб!$A:$A,$G1193,куб!H:H)))))))</f>
        <v>0</v>
      </c>
      <c r="I1193" s="27">
        <f>IF($G1193&lt;&gt;0,SUMIF(куб!$G:$G,$G1193,куб!I:I),IF($E1193&lt;&gt;0,SUMIF(куб!$E:$E,$E1193,куб!I:I),IF($D1193&lt;&gt;0,SUMIF(куб!$D:$D,$D1193,куб!I:I),IF($C1193&lt;&gt;0,SUMIF(куб!$C:$C,$C1193,куб!I:I),IF($B1193&lt;&gt;0,SUMIF(куб!$B:$B,$B1193,куб!I:I),IF($G1193&lt;&gt;0,SUMIF(куб!$A:$A,$G1193,куб!I:I),SUMIF(куб!$A:$A,$G1193,куб!I:I)))))))</f>
        <v>0</v>
      </c>
      <c r="J1193" s="19" t="str">
        <f t="shared" si="363"/>
        <v>-</v>
      </c>
      <c r="K1193" s="8"/>
      <c r="L1193" s="17">
        <f t="shared" si="364"/>
        <v>0</v>
      </c>
      <c r="M1193" s="17">
        <f t="shared" si="365"/>
        <v>0</v>
      </c>
      <c r="N1193" s="12">
        <f t="shared" si="366"/>
        <v>0</v>
      </c>
      <c r="O1193" s="5"/>
      <c r="P1193" s="27" t="b">
        <f>IF($G1193&lt;&gt;0,SUMIF(куб!$G:$G,$G1193,куб!J:J),IF($E1193&lt;&gt;0,SUMIF(куб!$E:$E,$E1193,куб!J:J),IF($D1193&lt;&gt;0,SUMIF(куб!$D:$D,$D1193,куб!J:J),IF($C1193&lt;&gt;0,SUMIF(куб!$C:$C,$C1193,куб!J:J),IF($B1193&lt;&gt;0,SUMIF(куб!$B:$B,$B1193,куб!J:J))))))</f>
        <v>0</v>
      </c>
      <c r="Q1193" s="27" t="b">
        <f>IF($G1193&lt;&gt;0,SUMIF(куб!$G:$G,$G1193,куб!K:K),IF($E1193&lt;&gt;0,SUMIF(куб!$E:$E,$E1193,куб!K:K),IF($D1193&lt;&gt;0,SUMIF(куб!$D:$D,$D1193,куб!K:K),IF($C1193&lt;&gt;0,SUMIF(куб!$C:$C,$C1193,куб!K:K),IF($B1193&lt;&gt;0,SUMIF(куб!$B:$B,$B1193,куб!K:K))))))</f>
        <v>0</v>
      </c>
      <c r="R1193" s="13" t="str">
        <f t="shared" si="367"/>
        <v>-</v>
      </c>
      <c r="S1193" s="5"/>
      <c r="T1193" s="27" t="b">
        <f>IF($G1193&lt;&gt;0,SUMIF(куб!$G:$G,$G1193,куб!L:L),IF($E1193&lt;&gt;0,SUMIF(куб!$E:$E,$E1193,куб!L:L),IF($D1193&lt;&gt;0,SUMIF(куб!$D:$D,$D1193,куб!L:L),IF($C1193&lt;&gt;0,SUMIF(куб!$C:$C,$C1193,куб!L:L),IF($B1193&lt;&gt;0,SUMIF(куб!$B:$B,$B1193,куб!L:L))))))</f>
        <v>0</v>
      </c>
      <c r="U1193" s="27" t="b">
        <f>IF($G1193&lt;&gt;0,SUMIF(куб!$G:$G,$G1193,куб!M:M),IF($E1193&lt;&gt;0,SUMIF(куб!$E:$E,$E1193,куб!M:M),IF($D1193&lt;&gt;0,SUMIF(куб!$D:$D,$D1193,куб!M:M),IF($C1193&lt;&gt;0,SUMIF(куб!$C:$C,$C1193,куб!M:M),IF($B1193&lt;&gt;0,SUMIF(куб!$B:$B,$B1193,куб!M:M))))))</f>
        <v>0</v>
      </c>
      <c r="V1193" s="13" t="str">
        <f t="shared" si="368"/>
        <v>-</v>
      </c>
      <c r="W1193" s="5"/>
      <c r="X1193" s="27" t="b">
        <f>IF($G1193&lt;&gt;0,SUMIF(куб!$G:$G,$G1193,куб!N:N),IF($E1193&lt;&gt;0,SUMIF(куб!$E:$E,$E1193,куб!N:N),IF($D1193&lt;&gt;0,SUMIF(куб!$D:$D,$D1193,куб!N:N),IF($C1193&lt;&gt;0,SUMIF(куб!$C:$C,$C1193,куб!N:N),IF($B1193&lt;&gt;0,SUMIF(куб!$B:$B,$B1193,куб!N:N))))))</f>
        <v>0</v>
      </c>
      <c r="Y1193" s="27" t="b">
        <f>IF($G1193&lt;&gt;0,SUMIF(куб!$G:$G,$G1193,куб!O:O),IF($E1193&lt;&gt;0,SUMIF(куб!$E:$E,$E1193,куб!O:O),IF($D1193&lt;&gt;0,SUMIF(куб!$D:$D,$D1193,куб!O:O),IF($C1193&lt;&gt;0,SUMIF(куб!$C:$C,$C1193,куб!O:O),IF($B1193&lt;&gt;0,SUMIF(куб!$B:$B,$B1193,куб!O:O))))))</f>
        <v>0</v>
      </c>
      <c r="Z1193" s="13" t="str">
        <f t="shared" si="369"/>
        <v>-</v>
      </c>
      <c r="AA1193" s="5"/>
      <c r="AB1193" s="33" t="str">
        <f t="shared" si="370"/>
        <v/>
      </c>
      <c r="AC1193" s="33" t="str">
        <f t="shared" si="371"/>
        <v/>
      </c>
      <c r="AD1193" s="15" t="str">
        <f t="shared" si="372"/>
        <v xml:space="preserve"> </v>
      </c>
      <c r="AE1193" s="5"/>
      <c r="AF1193" s="27" t="b">
        <f>IF($G1193&lt;&gt;0,SUMIF(куб!$G:$G,$G1193,куб!R:R),IF($E1193&lt;&gt;0,SUMIF(куб!$E:$E,$E1193,куб!R:R),IF($D1193&lt;&gt;0,SUMIF(куб!$D:$D,$D1193,куб!R:R),IF($C1193&lt;&gt;0,SUMIF(куб!$C:$C,$C1193,куб!R:R),IF($B1193&lt;&gt;0,SUMIF(куб!$B:$B,$B1193,куб!R:R))))))</f>
        <v>0</v>
      </c>
      <c r="AG1193" s="27" t="b">
        <f>IF($G1193&lt;&gt;0,SUMIF(куб!$G:$G,$G1193,куб!S:S),IF($E1193&lt;&gt;0,SUMIF(куб!$E:$E,$E1193,куб!S:S),IF($D1193&lt;&gt;0,SUMIF(куб!$D:$D,$D1193,куб!S:S),IF($C1193&lt;&gt;0,SUMIF(куб!$C:$C,$C1193,куб!S:S),IF($B1193&lt;&gt;0,SUMIF(куб!$B:$B,$B1193,куб!S:S))))))</f>
        <v>0</v>
      </c>
      <c r="AH1193" s="16" t="str">
        <f t="shared" si="373"/>
        <v>-</v>
      </c>
      <c r="AI1193" s="8"/>
      <c r="AJ1193" s="27" t="b">
        <f>IF($G1193&lt;&gt;0,SUMIF(куб!$G:$G,$G1193,куб!T:T),IF($E1193&lt;&gt;0,SUMIF(куб!$E:$E,$E1193,куб!T:T),IF($D1193&lt;&gt;0,SUMIF(куб!$D:$D,$D1193,куб!T:T),IF($C1193&lt;&gt;0,SUMIF(куб!$C:$C,$C1193,куб!T:T),IF($B1193&lt;&gt;0,SUMIF(куб!$B:$B,$B1193,куб!T:T))))))</f>
        <v>0</v>
      </c>
      <c r="AK1193" s="27" t="b">
        <f>IF($G1193&lt;&gt;0,SUMIF(куб!$G:$G,$G1193,куб!U:U),IF($E1193&lt;&gt;0,SUMIF(куб!$E:$E,$E1193,куб!U:U),IF($D1193&lt;&gt;0,SUMIF(куб!$D:$D,$D1193,куб!U:U),IF($C1193&lt;&gt;0,SUMIF(куб!$C:$C,$C1193,куб!U:U),IF($B1193&lt;&gt;0,SUMIF(куб!$B:$B,$B1193,куб!U:U))))))</f>
        <v>0</v>
      </c>
      <c r="AL1193" s="16" t="str">
        <f t="shared" si="374"/>
        <v>-</v>
      </c>
      <c r="AM1193" s="8"/>
      <c r="AN1193" s="17" t="str">
        <f t="shared" si="375"/>
        <v xml:space="preserve"> </v>
      </c>
      <c r="AO1193" s="17" t="str">
        <f t="shared" si="376"/>
        <v xml:space="preserve"> </v>
      </c>
      <c r="AP1193" s="16" t="str">
        <f t="shared" si="377"/>
        <v>-</v>
      </c>
      <c r="AQ1193" s="8"/>
      <c r="AR1193" s="17" t="str">
        <f t="shared" si="378"/>
        <v>-</v>
      </c>
      <c r="AS1193" s="17" t="str">
        <f t="shared" si="379"/>
        <v>-</v>
      </c>
      <c r="AT1193" s="13" t="str">
        <f t="shared" si="380"/>
        <v>-</v>
      </c>
      <c r="AU1193" s="8"/>
    </row>
    <row r="1194" spans="8:47" x14ac:dyDescent="0.25">
      <c r="H1194" s="27">
        <f>IF($G1194&lt;&gt;0,SUMIF(куб!$G:$G,$G1194,куб!H:H),IF($E1194&lt;&gt;0,SUMIF(куб!$E:$E,$E1194,куб!H:H),IF($D1194&lt;&gt;0,SUMIF(куб!$D:$D,$D1194,куб!H:H),IF($C1194&lt;&gt;0,SUMIF(куб!$C:$C,$C1194,куб!H:H),IF($B1194&lt;&gt;0,SUMIF(куб!$B:$B,$B1194,куб!H:H),IF($G1194&lt;&gt;0,SUMIF(куб!$A:$A,$G1194,куб!H:H),SUMIF(куб!$A:$A,$G1194,куб!H:H)))))))</f>
        <v>0</v>
      </c>
      <c r="I1194" s="27">
        <f>IF($G1194&lt;&gt;0,SUMIF(куб!$G:$G,$G1194,куб!I:I),IF($E1194&lt;&gt;0,SUMIF(куб!$E:$E,$E1194,куб!I:I),IF($D1194&lt;&gt;0,SUMIF(куб!$D:$D,$D1194,куб!I:I),IF($C1194&lt;&gt;0,SUMIF(куб!$C:$C,$C1194,куб!I:I),IF($B1194&lt;&gt;0,SUMIF(куб!$B:$B,$B1194,куб!I:I),IF($G1194&lt;&gt;0,SUMIF(куб!$A:$A,$G1194,куб!I:I),SUMIF(куб!$A:$A,$G1194,куб!I:I)))))))</f>
        <v>0</v>
      </c>
      <c r="J1194" s="19" t="str">
        <f t="shared" si="363"/>
        <v>-</v>
      </c>
      <c r="K1194" s="8"/>
      <c r="L1194" s="17">
        <f t="shared" si="364"/>
        <v>0</v>
      </c>
      <c r="M1194" s="17">
        <f t="shared" si="365"/>
        <v>0</v>
      </c>
      <c r="N1194" s="12">
        <f t="shared" si="366"/>
        <v>0</v>
      </c>
      <c r="O1194" s="5"/>
      <c r="P1194" s="27" t="b">
        <f>IF($G1194&lt;&gt;0,SUMIF(куб!$G:$G,$G1194,куб!J:J),IF($E1194&lt;&gt;0,SUMIF(куб!$E:$E,$E1194,куб!J:J),IF($D1194&lt;&gt;0,SUMIF(куб!$D:$D,$D1194,куб!J:J),IF($C1194&lt;&gt;0,SUMIF(куб!$C:$C,$C1194,куб!J:J),IF($B1194&lt;&gt;0,SUMIF(куб!$B:$B,$B1194,куб!J:J))))))</f>
        <v>0</v>
      </c>
      <c r="Q1194" s="27" t="b">
        <f>IF($G1194&lt;&gt;0,SUMIF(куб!$G:$G,$G1194,куб!K:K),IF($E1194&lt;&gt;0,SUMIF(куб!$E:$E,$E1194,куб!K:K),IF($D1194&lt;&gt;0,SUMIF(куб!$D:$D,$D1194,куб!K:K),IF($C1194&lt;&gt;0,SUMIF(куб!$C:$C,$C1194,куб!K:K),IF($B1194&lt;&gt;0,SUMIF(куб!$B:$B,$B1194,куб!K:K))))))</f>
        <v>0</v>
      </c>
      <c r="R1194" s="13" t="str">
        <f t="shared" si="367"/>
        <v>-</v>
      </c>
      <c r="S1194" s="5"/>
      <c r="T1194" s="27" t="b">
        <f>IF($G1194&lt;&gt;0,SUMIF(куб!$G:$G,$G1194,куб!L:L),IF($E1194&lt;&gt;0,SUMIF(куб!$E:$E,$E1194,куб!L:L),IF($D1194&lt;&gt;0,SUMIF(куб!$D:$D,$D1194,куб!L:L),IF($C1194&lt;&gt;0,SUMIF(куб!$C:$C,$C1194,куб!L:L),IF($B1194&lt;&gt;0,SUMIF(куб!$B:$B,$B1194,куб!L:L))))))</f>
        <v>0</v>
      </c>
      <c r="U1194" s="27" t="b">
        <f>IF($G1194&lt;&gt;0,SUMIF(куб!$G:$G,$G1194,куб!M:M),IF($E1194&lt;&gt;0,SUMIF(куб!$E:$E,$E1194,куб!M:M),IF($D1194&lt;&gt;0,SUMIF(куб!$D:$D,$D1194,куб!M:M),IF($C1194&lt;&gt;0,SUMIF(куб!$C:$C,$C1194,куб!M:M),IF($B1194&lt;&gt;0,SUMIF(куб!$B:$B,$B1194,куб!M:M))))))</f>
        <v>0</v>
      </c>
      <c r="V1194" s="13" t="str">
        <f t="shared" si="368"/>
        <v>-</v>
      </c>
      <c r="W1194" s="5"/>
      <c r="X1194" s="27" t="b">
        <f>IF($G1194&lt;&gt;0,SUMIF(куб!$G:$G,$G1194,куб!N:N),IF($E1194&lt;&gt;0,SUMIF(куб!$E:$E,$E1194,куб!N:N),IF($D1194&lt;&gt;0,SUMIF(куб!$D:$D,$D1194,куб!N:N),IF($C1194&lt;&gt;0,SUMIF(куб!$C:$C,$C1194,куб!N:N),IF($B1194&lt;&gt;0,SUMIF(куб!$B:$B,$B1194,куб!N:N))))))</f>
        <v>0</v>
      </c>
      <c r="Y1194" s="27" t="b">
        <f>IF($G1194&lt;&gt;0,SUMIF(куб!$G:$G,$G1194,куб!O:O),IF($E1194&lt;&gt;0,SUMIF(куб!$E:$E,$E1194,куб!O:O),IF($D1194&lt;&gt;0,SUMIF(куб!$D:$D,$D1194,куб!O:O),IF($C1194&lt;&gt;0,SUMIF(куб!$C:$C,$C1194,куб!O:O),IF($B1194&lt;&gt;0,SUMIF(куб!$B:$B,$B1194,куб!O:O))))))</f>
        <v>0</v>
      </c>
      <c r="Z1194" s="13" t="str">
        <f t="shared" si="369"/>
        <v>-</v>
      </c>
      <c r="AA1194" s="5"/>
      <c r="AB1194" s="33" t="str">
        <f t="shared" si="370"/>
        <v/>
      </c>
      <c r="AC1194" s="33" t="str">
        <f t="shared" si="371"/>
        <v/>
      </c>
      <c r="AD1194" s="15" t="str">
        <f t="shared" si="372"/>
        <v xml:space="preserve"> </v>
      </c>
      <c r="AE1194" s="5"/>
      <c r="AF1194" s="27" t="b">
        <f>IF($G1194&lt;&gt;0,SUMIF(куб!$G:$G,$G1194,куб!R:R),IF($E1194&lt;&gt;0,SUMIF(куб!$E:$E,$E1194,куб!R:R),IF($D1194&lt;&gt;0,SUMIF(куб!$D:$D,$D1194,куб!R:R),IF($C1194&lt;&gt;0,SUMIF(куб!$C:$C,$C1194,куб!R:R),IF($B1194&lt;&gt;0,SUMIF(куб!$B:$B,$B1194,куб!R:R))))))</f>
        <v>0</v>
      </c>
      <c r="AG1194" s="27" t="b">
        <f>IF($G1194&lt;&gt;0,SUMIF(куб!$G:$G,$G1194,куб!S:S),IF($E1194&lt;&gt;0,SUMIF(куб!$E:$E,$E1194,куб!S:S),IF($D1194&lt;&gt;0,SUMIF(куб!$D:$D,$D1194,куб!S:S),IF($C1194&lt;&gt;0,SUMIF(куб!$C:$C,$C1194,куб!S:S),IF($B1194&lt;&gt;0,SUMIF(куб!$B:$B,$B1194,куб!S:S))))))</f>
        <v>0</v>
      </c>
      <c r="AH1194" s="16" t="str">
        <f t="shared" si="373"/>
        <v>-</v>
      </c>
      <c r="AI1194" s="8"/>
      <c r="AJ1194" s="27" t="b">
        <f>IF($G1194&lt;&gt;0,SUMIF(куб!$G:$G,$G1194,куб!T:T),IF($E1194&lt;&gt;0,SUMIF(куб!$E:$E,$E1194,куб!T:T),IF($D1194&lt;&gt;0,SUMIF(куб!$D:$D,$D1194,куб!T:T),IF($C1194&lt;&gt;0,SUMIF(куб!$C:$C,$C1194,куб!T:T),IF($B1194&lt;&gt;0,SUMIF(куб!$B:$B,$B1194,куб!T:T))))))</f>
        <v>0</v>
      </c>
      <c r="AK1194" s="27" t="b">
        <f>IF($G1194&lt;&gt;0,SUMIF(куб!$G:$G,$G1194,куб!U:U),IF($E1194&lt;&gt;0,SUMIF(куб!$E:$E,$E1194,куб!U:U),IF($D1194&lt;&gt;0,SUMIF(куб!$D:$D,$D1194,куб!U:U),IF($C1194&lt;&gt;0,SUMIF(куб!$C:$C,$C1194,куб!U:U),IF($B1194&lt;&gt;0,SUMIF(куб!$B:$B,$B1194,куб!U:U))))))</f>
        <v>0</v>
      </c>
      <c r="AL1194" s="16" t="str">
        <f t="shared" si="374"/>
        <v>-</v>
      </c>
      <c r="AM1194" s="8"/>
      <c r="AN1194" s="17" t="str">
        <f t="shared" si="375"/>
        <v xml:space="preserve"> </v>
      </c>
      <c r="AO1194" s="17" t="str">
        <f t="shared" si="376"/>
        <v xml:space="preserve"> </v>
      </c>
      <c r="AP1194" s="16" t="str">
        <f t="shared" si="377"/>
        <v>-</v>
      </c>
      <c r="AQ1194" s="8"/>
      <c r="AR1194" s="17" t="str">
        <f t="shared" si="378"/>
        <v>-</v>
      </c>
      <c r="AS1194" s="17" t="str">
        <f t="shared" si="379"/>
        <v>-</v>
      </c>
      <c r="AT1194" s="13" t="str">
        <f t="shared" si="380"/>
        <v>-</v>
      </c>
      <c r="AU1194" s="8"/>
    </row>
    <row r="1195" spans="8:47" x14ac:dyDescent="0.25">
      <c r="H1195" s="27">
        <f>IF($G1195&lt;&gt;0,SUMIF(куб!$G:$G,$G1195,куб!H:H),IF($E1195&lt;&gt;0,SUMIF(куб!$E:$E,$E1195,куб!H:H),IF($D1195&lt;&gt;0,SUMIF(куб!$D:$D,$D1195,куб!H:H),IF($C1195&lt;&gt;0,SUMIF(куб!$C:$C,$C1195,куб!H:H),IF($B1195&lt;&gt;0,SUMIF(куб!$B:$B,$B1195,куб!H:H),IF($G1195&lt;&gt;0,SUMIF(куб!$A:$A,$G1195,куб!H:H),SUMIF(куб!$A:$A,$G1195,куб!H:H)))))))</f>
        <v>0</v>
      </c>
      <c r="I1195" s="27">
        <f>IF($G1195&lt;&gt;0,SUMIF(куб!$G:$G,$G1195,куб!I:I),IF($E1195&lt;&gt;0,SUMIF(куб!$E:$E,$E1195,куб!I:I),IF($D1195&lt;&gt;0,SUMIF(куб!$D:$D,$D1195,куб!I:I),IF($C1195&lt;&gt;0,SUMIF(куб!$C:$C,$C1195,куб!I:I),IF($B1195&lt;&gt;0,SUMIF(куб!$B:$B,$B1195,куб!I:I),IF($G1195&lt;&gt;0,SUMIF(куб!$A:$A,$G1195,куб!I:I),SUMIF(куб!$A:$A,$G1195,куб!I:I)))))))</f>
        <v>0</v>
      </c>
      <c r="J1195" s="19" t="str">
        <f t="shared" si="363"/>
        <v>-</v>
      </c>
      <c r="K1195" s="8"/>
      <c r="L1195" s="17">
        <f t="shared" si="364"/>
        <v>0</v>
      </c>
      <c r="M1195" s="17">
        <f t="shared" si="365"/>
        <v>0</v>
      </c>
      <c r="N1195" s="12">
        <f t="shared" si="366"/>
        <v>0</v>
      </c>
      <c r="O1195" s="5"/>
      <c r="P1195" s="27" t="b">
        <f>IF($G1195&lt;&gt;0,SUMIF(куб!$G:$G,$G1195,куб!J:J),IF($E1195&lt;&gt;0,SUMIF(куб!$E:$E,$E1195,куб!J:J),IF($D1195&lt;&gt;0,SUMIF(куб!$D:$D,$D1195,куб!J:J),IF($C1195&lt;&gt;0,SUMIF(куб!$C:$C,$C1195,куб!J:J),IF($B1195&lt;&gt;0,SUMIF(куб!$B:$B,$B1195,куб!J:J))))))</f>
        <v>0</v>
      </c>
      <c r="Q1195" s="27" t="b">
        <f>IF($G1195&lt;&gt;0,SUMIF(куб!$G:$G,$G1195,куб!K:K),IF($E1195&lt;&gt;0,SUMIF(куб!$E:$E,$E1195,куб!K:K),IF($D1195&lt;&gt;0,SUMIF(куб!$D:$D,$D1195,куб!K:K),IF($C1195&lt;&gt;0,SUMIF(куб!$C:$C,$C1195,куб!K:K),IF($B1195&lt;&gt;0,SUMIF(куб!$B:$B,$B1195,куб!K:K))))))</f>
        <v>0</v>
      </c>
      <c r="R1195" s="13" t="str">
        <f t="shared" si="367"/>
        <v>-</v>
      </c>
      <c r="S1195" s="5"/>
      <c r="T1195" s="27" t="b">
        <f>IF($G1195&lt;&gt;0,SUMIF(куб!$G:$G,$G1195,куб!L:L),IF($E1195&lt;&gt;0,SUMIF(куб!$E:$E,$E1195,куб!L:L),IF($D1195&lt;&gt;0,SUMIF(куб!$D:$D,$D1195,куб!L:L),IF($C1195&lt;&gt;0,SUMIF(куб!$C:$C,$C1195,куб!L:L),IF($B1195&lt;&gt;0,SUMIF(куб!$B:$B,$B1195,куб!L:L))))))</f>
        <v>0</v>
      </c>
      <c r="U1195" s="27" t="b">
        <f>IF($G1195&lt;&gt;0,SUMIF(куб!$G:$G,$G1195,куб!M:M),IF($E1195&lt;&gt;0,SUMIF(куб!$E:$E,$E1195,куб!M:M),IF($D1195&lt;&gt;0,SUMIF(куб!$D:$D,$D1195,куб!M:M),IF($C1195&lt;&gt;0,SUMIF(куб!$C:$C,$C1195,куб!M:M),IF($B1195&lt;&gt;0,SUMIF(куб!$B:$B,$B1195,куб!M:M))))))</f>
        <v>0</v>
      </c>
      <c r="V1195" s="13" t="str">
        <f t="shared" si="368"/>
        <v>-</v>
      </c>
      <c r="W1195" s="5"/>
      <c r="X1195" s="27" t="b">
        <f>IF($G1195&lt;&gt;0,SUMIF(куб!$G:$G,$G1195,куб!N:N),IF($E1195&lt;&gt;0,SUMIF(куб!$E:$E,$E1195,куб!N:N),IF($D1195&lt;&gt;0,SUMIF(куб!$D:$D,$D1195,куб!N:N),IF($C1195&lt;&gt;0,SUMIF(куб!$C:$C,$C1195,куб!N:N),IF($B1195&lt;&gt;0,SUMIF(куб!$B:$B,$B1195,куб!N:N))))))</f>
        <v>0</v>
      </c>
      <c r="Y1195" s="27" t="b">
        <f>IF($G1195&lt;&gt;0,SUMIF(куб!$G:$G,$G1195,куб!O:O),IF($E1195&lt;&gt;0,SUMIF(куб!$E:$E,$E1195,куб!O:O),IF($D1195&lt;&gt;0,SUMIF(куб!$D:$D,$D1195,куб!O:O),IF($C1195&lt;&gt;0,SUMIF(куб!$C:$C,$C1195,куб!O:O),IF($B1195&lt;&gt;0,SUMIF(куб!$B:$B,$B1195,куб!O:O))))))</f>
        <v>0</v>
      </c>
      <c r="Z1195" s="13" t="str">
        <f t="shared" si="369"/>
        <v>-</v>
      </c>
      <c r="AA1195" s="5"/>
      <c r="AB1195" s="33" t="str">
        <f t="shared" si="370"/>
        <v/>
      </c>
      <c r="AC1195" s="33" t="str">
        <f t="shared" si="371"/>
        <v/>
      </c>
      <c r="AD1195" s="15" t="str">
        <f t="shared" si="372"/>
        <v xml:space="preserve"> </v>
      </c>
      <c r="AE1195" s="5"/>
      <c r="AF1195" s="27" t="b">
        <f>IF($G1195&lt;&gt;0,SUMIF(куб!$G:$G,$G1195,куб!R:R),IF($E1195&lt;&gt;0,SUMIF(куб!$E:$E,$E1195,куб!R:R),IF($D1195&lt;&gt;0,SUMIF(куб!$D:$D,$D1195,куб!R:R),IF($C1195&lt;&gt;0,SUMIF(куб!$C:$C,$C1195,куб!R:R),IF($B1195&lt;&gt;0,SUMIF(куб!$B:$B,$B1195,куб!R:R))))))</f>
        <v>0</v>
      </c>
      <c r="AG1195" s="27" t="b">
        <f>IF($G1195&lt;&gt;0,SUMIF(куб!$G:$G,$G1195,куб!S:S),IF($E1195&lt;&gt;0,SUMIF(куб!$E:$E,$E1195,куб!S:S),IF($D1195&lt;&gt;0,SUMIF(куб!$D:$D,$D1195,куб!S:S),IF($C1195&lt;&gt;0,SUMIF(куб!$C:$C,$C1195,куб!S:S),IF($B1195&lt;&gt;0,SUMIF(куб!$B:$B,$B1195,куб!S:S))))))</f>
        <v>0</v>
      </c>
      <c r="AH1195" s="16" t="str">
        <f t="shared" si="373"/>
        <v>-</v>
      </c>
      <c r="AI1195" s="8"/>
      <c r="AJ1195" s="27" t="b">
        <f>IF($G1195&lt;&gt;0,SUMIF(куб!$G:$G,$G1195,куб!T:T),IF($E1195&lt;&gt;0,SUMIF(куб!$E:$E,$E1195,куб!T:T),IF($D1195&lt;&gt;0,SUMIF(куб!$D:$D,$D1195,куб!T:T),IF($C1195&lt;&gt;0,SUMIF(куб!$C:$C,$C1195,куб!T:T),IF($B1195&lt;&gt;0,SUMIF(куб!$B:$B,$B1195,куб!T:T))))))</f>
        <v>0</v>
      </c>
      <c r="AK1195" s="27" t="b">
        <f>IF($G1195&lt;&gt;0,SUMIF(куб!$G:$G,$G1195,куб!U:U),IF($E1195&lt;&gt;0,SUMIF(куб!$E:$E,$E1195,куб!U:U),IF($D1195&lt;&gt;0,SUMIF(куб!$D:$D,$D1195,куб!U:U),IF($C1195&lt;&gt;0,SUMIF(куб!$C:$C,$C1195,куб!U:U),IF($B1195&lt;&gt;0,SUMIF(куб!$B:$B,$B1195,куб!U:U))))))</f>
        <v>0</v>
      </c>
      <c r="AL1195" s="16" t="str">
        <f t="shared" si="374"/>
        <v>-</v>
      </c>
      <c r="AM1195" s="8"/>
      <c r="AN1195" s="17" t="str">
        <f t="shared" si="375"/>
        <v xml:space="preserve"> </v>
      </c>
      <c r="AO1195" s="17" t="str">
        <f t="shared" si="376"/>
        <v xml:space="preserve"> </v>
      </c>
      <c r="AP1195" s="16" t="str">
        <f t="shared" si="377"/>
        <v>-</v>
      </c>
      <c r="AQ1195" s="8"/>
      <c r="AR1195" s="17" t="str">
        <f t="shared" si="378"/>
        <v>-</v>
      </c>
      <c r="AS1195" s="17" t="str">
        <f t="shared" si="379"/>
        <v>-</v>
      </c>
      <c r="AT1195" s="13" t="str">
        <f t="shared" si="380"/>
        <v>-</v>
      </c>
      <c r="AU1195" s="8"/>
    </row>
    <row r="1196" spans="8:47" x14ac:dyDescent="0.25">
      <c r="H1196" s="27">
        <f>IF($G1196&lt;&gt;0,SUMIF(куб!$G:$G,$G1196,куб!H:H),IF($E1196&lt;&gt;0,SUMIF(куб!$E:$E,$E1196,куб!H:H),IF($D1196&lt;&gt;0,SUMIF(куб!$D:$D,$D1196,куб!H:H),IF($C1196&lt;&gt;0,SUMIF(куб!$C:$C,$C1196,куб!H:H),IF($B1196&lt;&gt;0,SUMIF(куб!$B:$B,$B1196,куб!H:H),IF($G1196&lt;&gt;0,SUMIF(куб!$A:$A,$G1196,куб!H:H),SUMIF(куб!$A:$A,$G1196,куб!H:H)))))))</f>
        <v>0</v>
      </c>
      <c r="I1196" s="27">
        <f>IF($G1196&lt;&gt;0,SUMIF(куб!$G:$G,$G1196,куб!I:I),IF($E1196&lt;&gt;0,SUMIF(куб!$E:$E,$E1196,куб!I:I),IF($D1196&lt;&gt;0,SUMIF(куб!$D:$D,$D1196,куб!I:I),IF($C1196&lt;&gt;0,SUMIF(куб!$C:$C,$C1196,куб!I:I),IF($B1196&lt;&gt;0,SUMIF(куб!$B:$B,$B1196,куб!I:I),IF($G1196&lt;&gt;0,SUMIF(куб!$A:$A,$G1196,куб!I:I),SUMIF(куб!$A:$A,$G1196,куб!I:I)))))))</f>
        <v>0</v>
      </c>
      <c r="J1196" s="19" t="str">
        <f t="shared" si="363"/>
        <v>-</v>
      </c>
      <c r="K1196" s="8"/>
      <c r="L1196" s="17">
        <f t="shared" si="364"/>
        <v>0</v>
      </c>
      <c r="M1196" s="17">
        <f t="shared" si="365"/>
        <v>0</v>
      </c>
      <c r="N1196" s="12">
        <f t="shared" si="366"/>
        <v>0</v>
      </c>
      <c r="O1196" s="5"/>
      <c r="P1196" s="27" t="b">
        <f>IF($G1196&lt;&gt;0,SUMIF(куб!$G:$G,$G1196,куб!J:J),IF($E1196&lt;&gt;0,SUMIF(куб!$E:$E,$E1196,куб!J:J),IF($D1196&lt;&gt;0,SUMIF(куб!$D:$D,$D1196,куб!J:J),IF($C1196&lt;&gt;0,SUMIF(куб!$C:$C,$C1196,куб!J:J),IF($B1196&lt;&gt;0,SUMIF(куб!$B:$B,$B1196,куб!J:J))))))</f>
        <v>0</v>
      </c>
      <c r="Q1196" s="27" t="b">
        <f>IF($G1196&lt;&gt;0,SUMIF(куб!$G:$G,$G1196,куб!K:K),IF($E1196&lt;&gt;0,SUMIF(куб!$E:$E,$E1196,куб!K:K),IF($D1196&lt;&gt;0,SUMIF(куб!$D:$D,$D1196,куб!K:K),IF($C1196&lt;&gt;0,SUMIF(куб!$C:$C,$C1196,куб!K:K),IF($B1196&lt;&gt;0,SUMIF(куб!$B:$B,$B1196,куб!K:K))))))</f>
        <v>0</v>
      </c>
      <c r="R1196" s="13" t="str">
        <f t="shared" si="367"/>
        <v>-</v>
      </c>
      <c r="S1196" s="5"/>
      <c r="T1196" s="27" t="b">
        <f>IF($G1196&lt;&gt;0,SUMIF(куб!$G:$G,$G1196,куб!L:L),IF($E1196&lt;&gt;0,SUMIF(куб!$E:$E,$E1196,куб!L:L),IF($D1196&lt;&gt;0,SUMIF(куб!$D:$D,$D1196,куб!L:L),IF($C1196&lt;&gt;0,SUMIF(куб!$C:$C,$C1196,куб!L:L),IF($B1196&lt;&gt;0,SUMIF(куб!$B:$B,$B1196,куб!L:L))))))</f>
        <v>0</v>
      </c>
      <c r="U1196" s="27" t="b">
        <f>IF($G1196&lt;&gt;0,SUMIF(куб!$G:$G,$G1196,куб!M:M),IF($E1196&lt;&gt;0,SUMIF(куб!$E:$E,$E1196,куб!M:M),IF($D1196&lt;&gt;0,SUMIF(куб!$D:$D,$D1196,куб!M:M),IF($C1196&lt;&gt;0,SUMIF(куб!$C:$C,$C1196,куб!M:M),IF($B1196&lt;&gt;0,SUMIF(куб!$B:$B,$B1196,куб!M:M))))))</f>
        <v>0</v>
      </c>
      <c r="V1196" s="13" t="str">
        <f t="shared" si="368"/>
        <v>-</v>
      </c>
      <c r="W1196" s="5"/>
      <c r="X1196" s="27" t="b">
        <f>IF($G1196&lt;&gt;0,SUMIF(куб!$G:$G,$G1196,куб!N:N),IF($E1196&lt;&gt;0,SUMIF(куб!$E:$E,$E1196,куб!N:N),IF($D1196&lt;&gt;0,SUMIF(куб!$D:$D,$D1196,куб!N:N),IF($C1196&lt;&gt;0,SUMIF(куб!$C:$C,$C1196,куб!N:N),IF($B1196&lt;&gt;0,SUMIF(куб!$B:$B,$B1196,куб!N:N))))))</f>
        <v>0</v>
      </c>
      <c r="Y1196" s="27" t="b">
        <f>IF($G1196&lt;&gt;0,SUMIF(куб!$G:$G,$G1196,куб!O:O),IF($E1196&lt;&gt;0,SUMIF(куб!$E:$E,$E1196,куб!O:O),IF($D1196&lt;&gt;0,SUMIF(куб!$D:$D,$D1196,куб!O:O),IF($C1196&lt;&gt;0,SUMIF(куб!$C:$C,$C1196,куб!O:O),IF($B1196&lt;&gt;0,SUMIF(куб!$B:$B,$B1196,куб!O:O))))))</f>
        <v>0</v>
      </c>
      <c r="Z1196" s="13" t="str">
        <f t="shared" si="369"/>
        <v>-</v>
      </c>
      <c r="AA1196" s="5"/>
      <c r="AB1196" s="33" t="str">
        <f t="shared" si="370"/>
        <v/>
      </c>
      <c r="AC1196" s="33" t="str">
        <f t="shared" si="371"/>
        <v/>
      </c>
      <c r="AD1196" s="15" t="str">
        <f t="shared" si="372"/>
        <v xml:space="preserve"> </v>
      </c>
      <c r="AE1196" s="5"/>
      <c r="AF1196" s="27" t="b">
        <f>IF($G1196&lt;&gt;0,SUMIF(куб!$G:$G,$G1196,куб!R:R),IF($E1196&lt;&gt;0,SUMIF(куб!$E:$E,$E1196,куб!R:R),IF($D1196&lt;&gt;0,SUMIF(куб!$D:$D,$D1196,куб!R:R),IF($C1196&lt;&gt;0,SUMIF(куб!$C:$C,$C1196,куб!R:R),IF($B1196&lt;&gt;0,SUMIF(куб!$B:$B,$B1196,куб!R:R))))))</f>
        <v>0</v>
      </c>
      <c r="AG1196" s="27" t="b">
        <f>IF($G1196&lt;&gt;0,SUMIF(куб!$G:$G,$G1196,куб!S:S),IF($E1196&lt;&gt;0,SUMIF(куб!$E:$E,$E1196,куб!S:S),IF($D1196&lt;&gt;0,SUMIF(куб!$D:$D,$D1196,куб!S:S),IF($C1196&lt;&gt;0,SUMIF(куб!$C:$C,$C1196,куб!S:S),IF($B1196&lt;&gt;0,SUMIF(куб!$B:$B,$B1196,куб!S:S))))))</f>
        <v>0</v>
      </c>
      <c r="AH1196" s="16" t="str">
        <f t="shared" si="373"/>
        <v>-</v>
      </c>
      <c r="AI1196" s="8"/>
      <c r="AJ1196" s="27" t="b">
        <f>IF($G1196&lt;&gt;0,SUMIF(куб!$G:$G,$G1196,куб!T:T),IF($E1196&lt;&gt;0,SUMIF(куб!$E:$E,$E1196,куб!T:T),IF($D1196&lt;&gt;0,SUMIF(куб!$D:$D,$D1196,куб!T:T),IF($C1196&lt;&gt;0,SUMIF(куб!$C:$C,$C1196,куб!T:T),IF($B1196&lt;&gt;0,SUMIF(куб!$B:$B,$B1196,куб!T:T))))))</f>
        <v>0</v>
      </c>
      <c r="AK1196" s="27" t="b">
        <f>IF($G1196&lt;&gt;0,SUMIF(куб!$G:$G,$G1196,куб!U:U),IF($E1196&lt;&gt;0,SUMIF(куб!$E:$E,$E1196,куб!U:U),IF($D1196&lt;&gt;0,SUMIF(куб!$D:$D,$D1196,куб!U:U),IF($C1196&lt;&gt;0,SUMIF(куб!$C:$C,$C1196,куб!U:U),IF($B1196&lt;&gt;0,SUMIF(куб!$B:$B,$B1196,куб!U:U))))))</f>
        <v>0</v>
      </c>
      <c r="AL1196" s="16" t="str">
        <f t="shared" si="374"/>
        <v>-</v>
      </c>
      <c r="AM1196" s="8"/>
      <c r="AN1196" s="17" t="str">
        <f t="shared" si="375"/>
        <v xml:space="preserve"> </v>
      </c>
      <c r="AO1196" s="17" t="str">
        <f t="shared" si="376"/>
        <v xml:space="preserve"> </v>
      </c>
      <c r="AP1196" s="16" t="str">
        <f t="shared" si="377"/>
        <v>-</v>
      </c>
      <c r="AQ1196" s="8"/>
      <c r="AR1196" s="17" t="str">
        <f t="shared" si="378"/>
        <v>-</v>
      </c>
      <c r="AS1196" s="17" t="str">
        <f t="shared" si="379"/>
        <v>-</v>
      </c>
      <c r="AT1196" s="13" t="str">
        <f t="shared" si="380"/>
        <v>-</v>
      </c>
      <c r="AU1196" s="8"/>
    </row>
    <row r="1197" spans="8:47" x14ac:dyDescent="0.25">
      <c r="H1197" s="27">
        <f>IF($G1197&lt;&gt;0,SUMIF(куб!$G:$G,$G1197,куб!H:H),IF($E1197&lt;&gt;0,SUMIF(куб!$E:$E,$E1197,куб!H:H),IF($D1197&lt;&gt;0,SUMIF(куб!$D:$D,$D1197,куб!H:H),IF($C1197&lt;&gt;0,SUMIF(куб!$C:$C,$C1197,куб!H:H),IF($B1197&lt;&gt;0,SUMIF(куб!$B:$B,$B1197,куб!H:H),IF($G1197&lt;&gt;0,SUMIF(куб!$A:$A,$G1197,куб!H:H),SUMIF(куб!$A:$A,$G1197,куб!H:H)))))))</f>
        <v>0</v>
      </c>
      <c r="I1197" s="27">
        <f>IF($G1197&lt;&gt;0,SUMIF(куб!$G:$G,$G1197,куб!I:I),IF($E1197&lt;&gt;0,SUMIF(куб!$E:$E,$E1197,куб!I:I),IF($D1197&lt;&gt;0,SUMIF(куб!$D:$D,$D1197,куб!I:I),IF($C1197&lt;&gt;0,SUMIF(куб!$C:$C,$C1197,куб!I:I),IF($B1197&lt;&gt;0,SUMIF(куб!$B:$B,$B1197,куб!I:I),IF($G1197&lt;&gt;0,SUMIF(куб!$A:$A,$G1197,куб!I:I),SUMIF(куб!$A:$A,$G1197,куб!I:I)))))))</f>
        <v>0</v>
      </c>
      <c r="J1197" s="19" t="str">
        <f t="shared" si="363"/>
        <v>-</v>
      </c>
      <c r="K1197" s="8"/>
      <c r="L1197" s="17">
        <f t="shared" si="364"/>
        <v>0</v>
      </c>
      <c r="M1197" s="17">
        <f t="shared" si="365"/>
        <v>0</v>
      </c>
      <c r="N1197" s="12">
        <f t="shared" si="366"/>
        <v>0</v>
      </c>
      <c r="O1197" s="5"/>
      <c r="P1197" s="27" t="b">
        <f>IF($G1197&lt;&gt;0,SUMIF(куб!$G:$G,$G1197,куб!J:J),IF($E1197&lt;&gt;0,SUMIF(куб!$E:$E,$E1197,куб!J:J),IF($D1197&lt;&gt;0,SUMIF(куб!$D:$D,$D1197,куб!J:J),IF($C1197&lt;&gt;0,SUMIF(куб!$C:$C,$C1197,куб!J:J),IF($B1197&lt;&gt;0,SUMIF(куб!$B:$B,$B1197,куб!J:J))))))</f>
        <v>0</v>
      </c>
      <c r="Q1197" s="27" t="b">
        <f>IF($G1197&lt;&gt;0,SUMIF(куб!$G:$G,$G1197,куб!K:K),IF($E1197&lt;&gt;0,SUMIF(куб!$E:$E,$E1197,куб!K:K),IF($D1197&lt;&gt;0,SUMIF(куб!$D:$D,$D1197,куб!K:K),IF($C1197&lt;&gt;0,SUMIF(куб!$C:$C,$C1197,куб!K:K),IF($B1197&lt;&gt;0,SUMIF(куб!$B:$B,$B1197,куб!K:K))))))</f>
        <v>0</v>
      </c>
      <c r="R1197" s="13" t="str">
        <f t="shared" si="367"/>
        <v>-</v>
      </c>
      <c r="S1197" s="5"/>
      <c r="T1197" s="27" t="b">
        <f>IF($G1197&lt;&gt;0,SUMIF(куб!$G:$G,$G1197,куб!L:L),IF($E1197&lt;&gt;0,SUMIF(куб!$E:$E,$E1197,куб!L:L),IF($D1197&lt;&gt;0,SUMIF(куб!$D:$D,$D1197,куб!L:L),IF($C1197&lt;&gt;0,SUMIF(куб!$C:$C,$C1197,куб!L:L),IF($B1197&lt;&gt;0,SUMIF(куб!$B:$B,$B1197,куб!L:L))))))</f>
        <v>0</v>
      </c>
      <c r="U1197" s="27" t="b">
        <f>IF($G1197&lt;&gt;0,SUMIF(куб!$G:$G,$G1197,куб!M:M),IF($E1197&lt;&gt;0,SUMIF(куб!$E:$E,$E1197,куб!M:M),IF($D1197&lt;&gt;0,SUMIF(куб!$D:$D,$D1197,куб!M:M),IF($C1197&lt;&gt;0,SUMIF(куб!$C:$C,$C1197,куб!M:M),IF($B1197&lt;&gt;0,SUMIF(куб!$B:$B,$B1197,куб!M:M))))))</f>
        <v>0</v>
      </c>
      <c r="V1197" s="13" t="str">
        <f t="shared" si="368"/>
        <v>-</v>
      </c>
      <c r="W1197" s="5"/>
      <c r="X1197" s="27" t="b">
        <f>IF($G1197&lt;&gt;0,SUMIF(куб!$G:$G,$G1197,куб!N:N),IF($E1197&lt;&gt;0,SUMIF(куб!$E:$E,$E1197,куб!N:N),IF($D1197&lt;&gt;0,SUMIF(куб!$D:$D,$D1197,куб!N:N),IF($C1197&lt;&gt;0,SUMIF(куб!$C:$C,$C1197,куб!N:N),IF($B1197&lt;&gt;0,SUMIF(куб!$B:$B,$B1197,куб!N:N))))))</f>
        <v>0</v>
      </c>
      <c r="Y1197" s="27" t="b">
        <f>IF($G1197&lt;&gt;0,SUMIF(куб!$G:$G,$G1197,куб!O:O),IF($E1197&lt;&gt;0,SUMIF(куб!$E:$E,$E1197,куб!O:O),IF($D1197&lt;&gt;0,SUMIF(куб!$D:$D,$D1197,куб!O:O),IF($C1197&lt;&gt;0,SUMIF(куб!$C:$C,$C1197,куб!O:O),IF($B1197&lt;&gt;0,SUMIF(куб!$B:$B,$B1197,куб!O:O))))))</f>
        <v>0</v>
      </c>
      <c r="Z1197" s="13" t="str">
        <f t="shared" si="369"/>
        <v>-</v>
      </c>
      <c r="AA1197" s="5"/>
      <c r="AB1197" s="33" t="str">
        <f t="shared" si="370"/>
        <v/>
      </c>
      <c r="AC1197" s="33" t="str">
        <f t="shared" si="371"/>
        <v/>
      </c>
      <c r="AD1197" s="15" t="str">
        <f t="shared" si="372"/>
        <v xml:space="preserve"> </v>
      </c>
      <c r="AE1197" s="5"/>
      <c r="AF1197" s="27" t="b">
        <f>IF($G1197&lt;&gt;0,SUMIF(куб!$G:$G,$G1197,куб!R:R),IF($E1197&lt;&gt;0,SUMIF(куб!$E:$E,$E1197,куб!R:R),IF($D1197&lt;&gt;0,SUMIF(куб!$D:$D,$D1197,куб!R:R),IF($C1197&lt;&gt;0,SUMIF(куб!$C:$C,$C1197,куб!R:R),IF($B1197&lt;&gt;0,SUMIF(куб!$B:$B,$B1197,куб!R:R))))))</f>
        <v>0</v>
      </c>
      <c r="AG1197" s="27" t="b">
        <f>IF($G1197&lt;&gt;0,SUMIF(куб!$G:$G,$G1197,куб!S:S),IF($E1197&lt;&gt;0,SUMIF(куб!$E:$E,$E1197,куб!S:S),IF($D1197&lt;&gt;0,SUMIF(куб!$D:$D,$D1197,куб!S:S),IF($C1197&lt;&gt;0,SUMIF(куб!$C:$C,$C1197,куб!S:S),IF($B1197&lt;&gt;0,SUMIF(куб!$B:$B,$B1197,куб!S:S))))))</f>
        <v>0</v>
      </c>
      <c r="AH1197" s="16" t="str">
        <f t="shared" si="373"/>
        <v>-</v>
      </c>
      <c r="AI1197" s="8"/>
      <c r="AJ1197" s="27" t="b">
        <f>IF($G1197&lt;&gt;0,SUMIF(куб!$G:$G,$G1197,куб!T:T),IF($E1197&lt;&gt;0,SUMIF(куб!$E:$E,$E1197,куб!T:T),IF($D1197&lt;&gt;0,SUMIF(куб!$D:$D,$D1197,куб!T:T),IF($C1197&lt;&gt;0,SUMIF(куб!$C:$C,$C1197,куб!T:T),IF($B1197&lt;&gt;0,SUMIF(куб!$B:$B,$B1197,куб!T:T))))))</f>
        <v>0</v>
      </c>
      <c r="AK1197" s="27" t="b">
        <f>IF($G1197&lt;&gt;0,SUMIF(куб!$G:$G,$G1197,куб!U:U),IF($E1197&lt;&gt;0,SUMIF(куб!$E:$E,$E1197,куб!U:U),IF($D1197&lt;&gt;0,SUMIF(куб!$D:$D,$D1197,куб!U:U),IF($C1197&lt;&gt;0,SUMIF(куб!$C:$C,$C1197,куб!U:U),IF($B1197&lt;&gt;0,SUMIF(куб!$B:$B,$B1197,куб!U:U))))))</f>
        <v>0</v>
      </c>
      <c r="AL1197" s="16" t="str">
        <f t="shared" si="374"/>
        <v>-</v>
      </c>
      <c r="AM1197" s="8"/>
      <c r="AN1197" s="17" t="str">
        <f t="shared" si="375"/>
        <v xml:space="preserve"> </v>
      </c>
      <c r="AO1197" s="17" t="str">
        <f t="shared" si="376"/>
        <v xml:space="preserve"> </v>
      </c>
      <c r="AP1197" s="16" t="str">
        <f t="shared" si="377"/>
        <v>-</v>
      </c>
      <c r="AQ1197" s="8"/>
      <c r="AR1197" s="17" t="str">
        <f t="shared" si="378"/>
        <v>-</v>
      </c>
      <c r="AS1197" s="17" t="str">
        <f t="shared" si="379"/>
        <v>-</v>
      </c>
      <c r="AT1197" s="13" t="str">
        <f t="shared" si="380"/>
        <v>-</v>
      </c>
      <c r="AU1197" s="8"/>
    </row>
    <row r="1198" spans="8:47" x14ac:dyDescent="0.25">
      <c r="H1198" s="27">
        <f>IF($G1198&lt;&gt;0,SUMIF(куб!$G:$G,$G1198,куб!H:H),IF($E1198&lt;&gt;0,SUMIF(куб!$E:$E,$E1198,куб!H:H),IF($D1198&lt;&gt;0,SUMIF(куб!$D:$D,$D1198,куб!H:H),IF($C1198&lt;&gt;0,SUMIF(куб!$C:$C,$C1198,куб!H:H),IF($B1198&lt;&gt;0,SUMIF(куб!$B:$B,$B1198,куб!H:H),IF($G1198&lt;&gt;0,SUMIF(куб!$A:$A,$G1198,куб!H:H),SUMIF(куб!$A:$A,$G1198,куб!H:H)))))))</f>
        <v>0</v>
      </c>
      <c r="I1198" s="27">
        <f>IF($G1198&lt;&gt;0,SUMIF(куб!$G:$G,$G1198,куб!I:I),IF($E1198&lt;&gt;0,SUMIF(куб!$E:$E,$E1198,куб!I:I),IF($D1198&lt;&gt;0,SUMIF(куб!$D:$D,$D1198,куб!I:I),IF($C1198&lt;&gt;0,SUMIF(куб!$C:$C,$C1198,куб!I:I),IF($B1198&lt;&gt;0,SUMIF(куб!$B:$B,$B1198,куб!I:I),IF($G1198&lt;&gt;0,SUMIF(куб!$A:$A,$G1198,куб!I:I),SUMIF(куб!$A:$A,$G1198,куб!I:I)))))))</f>
        <v>0</v>
      </c>
      <c r="J1198" s="19" t="str">
        <f t="shared" si="363"/>
        <v>-</v>
      </c>
      <c r="K1198" s="8"/>
      <c r="L1198" s="17">
        <f t="shared" si="364"/>
        <v>0</v>
      </c>
      <c r="M1198" s="17">
        <f t="shared" si="365"/>
        <v>0</v>
      </c>
      <c r="N1198" s="12">
        <f t="shared" si="366"/>
        <v>0</v>
      </c>
      <c r="O1198" s="5"/>
      <c r="P1198" s="27" t="b">
        <f>IF($G1198&lt;&gt;0,SUMIF(куб!$G:$G,$G1198,куб!J:J),IF($E1198&lt;&gt;0,SUMIF(куб!$E:$E,$E1198,куб!J:J),IF($D1198&lt;&gt;0,SUMIF(куб!$D:$D,$D1198,куб!J:J),IF($C1198&lt;&gt;0,SUMIF(куб!$C:$C,$C1198,куб!J:J),IF($B1198&lt;&gt;0,SUMIF(куб!$B:$B,$B1198,куб!J:J))))))</f>
        <v>0</v>
      </c>
      <c r="Q1198" s="27" t="b">
        <f>IF($G1198&lt;&gt;0,SUMIF(куб!$G:$G,$G1198,куб!K:K),IF($E1198&lt;&gt;0,SUMIF(куб!$E:$E,$E1198,куб!K:K),IF($D1198&lt;&gt;0,SUMIF(куб!$D:$D,$D1198,куб!K:K),IF($C1198&lt;&gt;0,SUMIF(куб!$C:$C,$C1198,куб!K:K),IF($B1198&lt;&gt;0,SUMIF(куб!$B:$B,$B1198,куб!K:K))))))</f>
        <v>0</v>
      </c>
      <c r="R1198" s="13" t="str">
        <f t="shared" si="367"/>
        <v>-</v>
      </c>
      <c r="S1198" s="5"/>
      <c r="T1198" s="27" t="b">
        <f>IF($G1198&lt;&gt;0,SUMIF(куб!$G:$G,$G1198,куб!L:L),IF($E1198&lt;&gt;0,SUMIF(куб!$E:$E,$E1198,куб!L:L),IF($D1198&lt;&gt;0,SUMIF(куб!$D:$D,$D1198,куб!L:L),IF($C1198&lt;&gt;0,SUMIF(куб!$C:$C,$C1198,куб!L:L),IF($B1198&lt;&gt;0,SUMIF(куб!$B:$B,$B1198,куб!L:L))))))</f>
        <v>0</v>
      </c>
      <c r="U1198" s="27" t="b">
        <f>IF($G1198&lt;&gt;0,SUMIF(куб!$G:$G,$G1198,куб!M:M),IF($E1198&lt;&gt;0,SUMIF(куб!$E:$E,$E1198,куб!M:M),IF($D1198&lt;&gt;0,SUMIF(куб!$D:$D,$D1198,куб!M:M),IF($C1198&lt;&gt;0,SUMIF(куб!$C:$C,$C1198,куб!M:M),IF($B1198&lt;&gt;0,SUMIF(куб!$B:$B,$B1198,куб!M:M))))))</f>
        <v>0</v>
      </c>
      <c r="V1198" s="13" t="str">
        <f t="shared" si="368"/>
        <v>-</v>
      </c>
      <c r="W1198" s="5"/>
      <c r="X1198" s="27" t="b">
        <f>IF($G1198&lt;&gt;0,SUMIF(куб!$G:$G,$G1198,куб!N:N),IF($E1198&lt;&gt;0,SUMIF(куб!$E:$E,$E1198,куб!N:N),IF($D1198&lt;&gt;0,SUMIF(куб!$D:$D,$D1198,куб!N:N),IF($C1198&lt;&gt;0,SUMIF(куб!$C:$C,$C1198,куб!N:N),IF($B1198&lt;&gt;0,SUMIF(куб!$B:$B,$B1198,куб!N:N))))))</f>
        <v>0</v>
      </c>
      <c r="Y1198" s="27" t="b">
        <f>IF($G1198&lt;&gt;0,SUMIF(куб!$G:$G,$G1198,куб!O:O),IF($E1198&lt;&gt;0,SUMIF(куб!$E:$E,$E1198,куб!O:O),IF($D1198&lt;&gt;0,SUMIF(куб!$D:$D,$D1198,куб!O:O),IF($C1198&lt;&gt;0,SUMIF(куб!$C:$C,$C1198,куб!O:O),IF($B1198&lt;&gt;0,SUMIF(куб!$B:$B,$B1198,куб!O:O))))))</f>
        <v>0</v>
      </c>
      <c r="Z1198" s="13" t="str">
        <f t="shared" si="369"/>
        <v>-</v>
      </c>
      <c r="AA1198" s="5"/>
      <c r="AB1198" s="33" t="str">
        <f t="shared" si="370"/>
        <v/>
      </c>
      <c r="AC1198" s="33" t="str">
        <f t="shared" si="371"/>
        <v/>
      </c>
      <c r="AD1198" s="15" t="str">
        <f t="shared" si="372"/>
        <v xml:space="preserve"> </v>
      </c>
      <c r="AE1198" s="5"/>
      <c r="AF1198" s="27" t="b">
        <f>IF($G1198&lt;&gt;0,SUMIF(куб!$G:$G,$G1198,куб!R:R),IF($E1198&lt;&gt;0,SUMIF(куб!$E:$E,$E1198,куб!R:R),IF($D1198&lt;&gt;0,SUMIF(куб!$D:$D,$D1198,куб!R:R),IF($C1198&lt;&gt;0,SUMIF(куб!$C:$C,$C1198,куб!R:R),IF($B1198&lt;&gt;0,SUMIF(куб!$B:$B,$B1198,куб!R:R))))))</f>
        <v>0</v>
      </c>
      <c r="AG1198" s="27" t="b">
        <f>IF($G1198&lt;&gt;0,SUMIF(куб!$G:$G,$G1198,куб!S:S),IF($E1198&lt;&gt;0,SUMIF(куб!$E:$E,$E1198,куб!S:S),IF($D1198&lt;&gt;0,SUMIF(куб!$D:$D,$D1198,куб!S:S),IF($C1198&lt;&gt;0,SUMIF(куб!$C:$C,$C1198,куб!S:S),IF($B1198&lt;&gt;0,SUMIF(куб!$B:$B,$B1198,куб!S:S))))))</f>
        <v>0</v>
      </c>
      <c r="AH1198" s="16" t="str">
        <f t="shared" si="373"/>
        <v>-</v>
      </c>
      <c r="AI1198" s="8"/>
      <c r="AJ1198" s="27" t="b">
        <f>IF($G1198&lt;&gt;0,SUMIF(куб!$G:$G,$G1198,куб!T:T),IF($E1198&lt;&gt;0,SUMIF(куб!$E:$E,$E1198,куб!T:T),IF($D1198&lt;&gt;0,SUMIF(куб!$D:$D,$D1198,куб!T:T),IF($C1198&lt;&gt;0,SUMIF(куб!$C:$C,$C1198,куб!T:T),IF($B1198&lt;&gt;0,SUMIF(куб!$B:$B,$B1198,куб!T:T))))))</f>
        <v>0</v>
      </c>
      <c r="AK1198" s="27" t="b">
        <f>IF($G1198&lt;&gt;0,SUMIF(куб!$G:$G,$G1198,куб!U:U),IF($E1198&lt;&gt;0,SUMIF(куб!$E:$E,$E1198,куб!U:U),IF($D1198&lt;&gt;0,SUMIF(куб!$D:$D,$D1198,куб!U:U),IF($C1198&lt;&gt;0,SUMIF(куб!$C:$C,$C1198,куб!U:U),IF($B1198&lt;&gt;0,SUMIF(куб!$B:$B,$B1198,куб!U:U))))))</f>
        <v>0</v>
      </c>
      <c r="AL1198" s="16" t="str">
        <f t="shared" si="374"/>
        <v>-</v>
      </c>
      <c r="AM1198" s="8"/>
      <c r="AN1198" s="17" t="str">
        <f t="shared" si="375"/>
        <v xml:space="preserve"> </v>
      </c>
      <c r="AO1198" s="17" t="str">
        <f t="shared" si="376"/>
        <v xml:space="preserve"> </v>
      </c>
      <c r="AP1198" s="16" t="str">
        <f t="shared" si="377"/>
        <v>-</v>
      </c>
      <c r="AQ1198" s="8"/>
      <c r="AR1198" s="17" t="str">
        <f t="shared" si="378"/>
        <v>-</v>
      </c>
      <c r="AS1198" s="17" t="str">
        <f t="shared" si="379"/>
        <v>-</v>
      </c>
      <c r="AT1198" s="13" t="str">
        <f t="shared" si="380"/>
        <v>-</v>
      </c>
      <c r="AU1198" s="8"/>
    </row>
    <row r="1199" spans="8:47" x14ac:dyDescent="0.25">
      <c r="H1199" s="27">
        <f>IF($G1199&lt;&gt;0,SUMIF(куб!$G:$G,$G1199,куб!H:H),IF($E1199&lt;&gt;0,SUMIF(куб!$E:$E,$E1199,куб!H:H),IF($D1199&lt;&gt;0,SUMIF(куб!$D:$D,$D1199,куб!H:H),IF($C1199&lt;&gt;0,SUMIF(куб!$C:$C,$C1199,куб!H:H),IF($B1199&lt;&gt;0,SUMIF(куб!$B:$B,$B1199,куб!H:H),IF($G1199&lt;&gt;0,SUMIF(куб!$A:$A,$G1199,куб!H:H),SUMIF(куб!$A:$A,$G1199,куб!H:H)))))))</f>
        <v>0</v>
      </c>
      <c r="I1199" s="27">
        <f>IF($G1199&lt;&gt;0,SUMIF(куб!$G:$G,$G1199,куб!I:I),IF($E1199&lt;&gt;0,SUMIF(куб!$E:$E,$E1199,куб!I:I),IF($D1199&lt;&gt;0,SUMIF(куб!$D:$D,$D1199,куб!I:I),IF($C1199&lt;&gt;0,SUMIF(куб!$C:$C,$C1199,куб!I:I),IF($B1199&lt;&gt;0,SUMIF(куб!$B:$B,$B1199,куб!I:I),IF($G1199&lt;&gt;0,SUMIF(куб!$A:$A,$G1199,куб!I:I),SUMIF(куб!$A:$A,$G1199,куб!I:I)))))))</f>
        <v>0</v>
      </c>
      <c r="J1199" s="19" t="str">
        <f t="shared" si="363"/>
        <v>-</v>
      </c>
      <c r="K1199" s="8"/>
      <c r="L1199" s="17">
        <f t="shared" si="364"/>
        <v>0</v>
      </c>
      <c r="M1199" s="17">
        <f t="shared" si="365"/>
        <v>0</v>
      </c>
      <c r="N1199" s="12">
        <f t="shared" si="366"/>
        <v>0</v>
      </c>
      <c r="O1199" s="5"/>
      <c r="P1199" s="27" t="b">
        <f>IF($G1199&lt;&gt;0,SUMIF(куб!$G:$G,$G1199,куб!J:J),IF($E1199&lt;&gt;0,SUMIF(куб!$E:$E,$E1199,куб!J:J),IF($D1199&lt;&gt;0,SUMIF(куб!$D:$D,$D1199,куб!J:J),IF($C1199&lt;&gt;0,SUMIF(куб!$C:$C,$C1199,куб!J:J),IF($B1199&lt;&gt;0,SUMIF(куб!$B:$B,$B1199,куб!J:J))))))</f>
        <v>0</v>
      </c>
      <c r="Q1199" s="27" t="b">
        <f>IF($G1199&lt;&gt;0,SUMIF(куб!$G:$G,$G1199,куб!K:K),IF($E1199&lt;&gt;0,SUMIF(куб!$E:$E,$E1199,куб!K:K),IF($D1199&lt;&gt;0,SUMIF(куб!$D:$D,$D1199,куб!K:K),IF($C1199&lt;&gt;0,SUMIF(куб!$C:$C,$C1199,куб!K:K),IF($B1199&lt;&gt;0,SUMIF(куб!$B:$B,$B1199,куб!K:K))))))</f>
        <v>0</v>
      </c>
      <c r="R1199" s="13" t="str">
        <f t="shared" si="367"/>
        <v>-</v>
      </c>
      <c r="S1199" s="5"/>
      <c r="T1199" s="27" t="b">
        <f>IF($G1199&lt;&gt;0,SUMIF(куб!$G:$G,$G1199,куб!L:L),IF($E1199&lt;&gt;0,SUMIF(куб!$E:$E,$E1199,куб!L:L),IF($D1199&lt;&gt;0,SUMIF(куб!$D:$D,$D1199,куб!L:L),IF($C1199&lt;&gt;0,SUMIF(куб!$C:$C,$C1199,куб!L:L),IF($B1199&lt;&gt;0,SUMIF(куб!$B:$B,$B1199,куб!L:L))))))</f>
        <v>0</v>
      </c>
      <c r="U1199" s="27" t="b">
        <f>IF($G1199&lt;&gt;0,SUMIF(куб!$G:$G,$G1199,куб!M:M),IF($E1199&lt;&gt;0,SUMIF(куб!$E:$E,$E1199,куб!M:M),IF($D1199&lt;&gt;0,SUMIF(куб!$D:$D,$D1199,куб!M:M),IF($C1199&lt;&gt;0,SUMIF(куб!$C:$C,$C1199,куб!M:M),IF($B1199&lt;&gt;0,SUMIF(куб!$B:$B,$B1199,куб!M:M))))))</f>
        <v>0</v>
      </c>
      <c r="V1199" s="13" t="str">
        <f t="shared" si="368"/>
        <v>-</v>
      </c>
      <c r="W1199" s="5"/>
      <c r="X1199" s="27" t="b">
        <f>IF($G1199&lt;&gt;0,SUMIF(куб!$G:$G,$G1199,куб!N:N),IF($E1199&lt;&gt;0,SUMIF(куб!$E:$E,$E1199,куб!N:N),IF($D1199&lt;&gt;0,SUMIF(куб!$D:$D,$D1199,куб!N:N),IF($C1199&lt;&gt;0,SUMIF(куб!$C:$C,$C1199,куб!N:N),IF($B1199&lt;&gt;0,SUMIF(куб!$B:$B,$B1199,куб!N:N))))))</f>
        <v>0</v>
      </c>
      <c r="Y1199" s="27" t="b">
        <f>IF($G1199&lt;&gt;0,SUMIF(куб!$G:$G,$G1199,куб!O:O),IF($E1199&lt;&gt;0,SUMIF(куб!$E:$E,$E1199,куб!O:O),IF($D1199&lt;&gt;0,SUMIF(куб!$D:$D,$D1199,куб!O:O),IF($C1199&lt;&gt;0,SUMIF(куб!$C:$C,$C1199,куб!O:O),IF($B1199&lt;&gt;0,SUMIF(куб!$B:$B,$B1199,куб!O:O))))))</f>
        <v>0</v>
      </c>
      <c r="Z1199" s="13" t="str">
        <f t="shared" si="369"/>
        <v>-</v>
      </c>
      <c r="AA1199" s="5"/>
      <c r="AB1199" s="33" t="str">
        <f t="shared" si="370"/>
        <v/>
      </c>
      <c r="AC1199" s="33" t="str">
        <f t="shared" si="371"/>
        <v/>
      </c>
      <c r="AD1199" s="15" t="str">
        <f t="shared" si="372"/>
        <v xml:space="preserve"> </v>
      </c>
      <c r="AE1199" s="5"/>
      <c r="AF1199" s="27" t="b">
        <f>IF($G1199&lt;&gt;0,SUMIF(куб!$G:$G,$G1199,куб!R:R),IF($E1199&lt;&gt;0,SUMIF(куб!$E:$E,$E1199,куб!R:R),IF($D1199&lt;&gt;0,SUMIF(куб!$D:$D,$D1199,куб!R:R),IF($C1199&lt;&gt;0,SUMIF(куб!$C:$C,$C1199,куб!R:R),IF($B1199&lt;&gt;0,SUMIF(куб!$B:$B,$B1199,куб!R:R))))))</f>
        <v>0</v>
      </c>
      <c r="AG1199" s="27" t="b">
        <f>IF($G1199&lt;&gt;0,SUMIF(куб!$G:$G,$G1199,куб!S:S),IF($E1199&lt;&gt;0,SUMIF(куб!$E:$E,$E1199,куб!S:S),IF($D1199&lt;&gt;0,SUMIF(куб!$D:$D,$D1199,куб!S:S),IF($C1199&lt;&gt;0,SUMIF(куб!$C:$C,$C1199,куб!S:S),IF($B1199&lt;&gt;0,SUMIF(куб!$B:$B,$B1199,куб!S:S))))))</f>
        <v>0</v>
      </c>
      <c r="AH1199" s="16" t="str">
        <f t="shared" si="373"/>
        <v>-</v>
      </c>
      <c r="AI1199" s="8"/>
      <c r="AJ1199" s="27" t="b">
        <f>IF($G1199&lt;&gt;0,SUMIF(куб!$G:$G,$G1199,куб!T:T),IF($E1199&lt;&gt;0,SUMIF(куб!$E:$E,$E1199,куб!T:T),IF($D1199&lt;&gt;0,SUMIF(куб!$D:$D,$D1199,куб!T:T),IF($C1199&lt;&gt;0,SUMIF(куб!$C:$C,$C1199,куб!T:T),IF($B1199&lt;&gt;0,SUMIF(куб!$B:$B,$B1199,куб!T:T))))))</f>
        <v>0</v>
      </c>
      <c r="AK1199" s="27" t="b">
        <f>IF($G1199&lt;&gt;0,SUMIF(куб!$G:$G,$G1199,куб!U:U),IF($E1199&lt;&gt;0,SUMIF(куб!$E:$E,$E1199,куб!U:U),IF($D1199&lt;&gt;0,SUMIF(куб!$D:$D,$D1199,куб!U:U),IF($C1199&lt;&gt;0,SUMIF(куб!$C:$C,$C1199,куб!U:U),IF($B1199&lt;&gt;0,SUMIF(куб!$B:$B,$B1199,куб!U:U))))))</f>
        <v>0</v>
      </c>
      <c r="AL1199" s="16" t="str">
        <f t="shared" si="374"/>
        <v>-</v>
      </c>
      <c r="AM1199" s="8"/>
      <c r="AN1199" s="17" t="str">
        <f t="shared" si="375"/>
        <v xml:space="preserve"> </v>
      </c>
      <c r="AO1199" s="17" t="str">
        <f t="shared" si="376"/>
        <v xml:space="preserve"> </v>
      </c>
      <c r="AP1199" s="16" t="str">
        <f t="shared" si="377"/>
        <v>-</v>
      </c>
      <c r="AQ1199" s="8"/>
      <c r="AR1199" s="17" t="str">
        <f t="shared" si="378"/>
        <v>-</v>
      </c>
      <c r="AS1199" s="17" t="str">
        <f t="shared" si="379"/>
        <v>-</v>
      </c>
      <c r="AT1199" s="13" t="str">
        <f t="shared" si="380"/>
        <v>-</v>
      </c>
      <c r="AU1199" s="8"/>
    </row>
    <row r="1200" spans="8:47" x14ac:dyDescent="0.25">
      <c r="H1200" s="27">
        <f>IF($G1200&lt;&gt;0,SUMIF(куб!$G:$G,$G1200,куб!H:H),IF($E1200&lt;&gt;0,SUMIF(куб!$E:$E,$E1200,куб!H:H),IF($D1200&lt;&gt;0,SUMIF(куб!$D:$D,$D1200,куб!H:H),IF($C1200&lt;&gt;0,SUMIF(куб!$C:$C,$C1200,куб!H:H),IF($B1200&lt;&gt;0,SUMIF(куб!$B:$B,$B1200,куб!H:H),IF($G1200&lt;&gt;0,SUMIF(куб!$A:$A,$G1200,куб!H:H),SUMIF(куб!$A:$A,$G1200,куб!H:H)))))))</f>
        <v>0</v>
      </c>
      <c r="I1200" s="27">
        <f>IF($G1200&lt;&gt;0,SUMIF(куб!$G:$G,$G1200,куб!I:I),IF($E1200&lt;&gt;0,SUMIF(куб!$E:$E,$E1200,куб!I:I),IF($D1200&lt;&gt;0,SUMIF(куб!$D:$D,$D1200,куб!I:I),IF($C1200&lt;&gt;0,SUMIF(куб!$C:$C,$C1200,куб!I:I),IF($B1200&lt;&gt;0,SUMIF(куб!$B:$B,$B1200,куб!I:I),IF($G1200&lt;&gt;0,SUMIF(куб!$A:$A,$G1200,куб!I:I),SUMIF(куб!$A:$A,$G1200,куб!I:I)))))))</f>
        <v>0</v>
      </c>
      <c r="J1200" s="19" t="str">
        <f t="shared" si="363"/>
        <v>-</v>
      </c>
      <c r="K1200" s="8"/>
      <c r="L1200" s="17">
        <f t="shared" si="364"/>
        <v>0</v>
      </c>
      <c r="M1200" s="17">
        <f t="shared" si="365"/>
        <v>0</v>
      </c>
      <c r="N1200" s="12">
        <f t="shared" si="366"/>
        <v>0</v>
      </c>
      <c r="O1200" s="5"/>
      <c r="P1200" s="27" t="b">
        <f>IF($G1200&lt;&gt;0,SUMIF(куб!$G:$G,$G1200,куб!J:J),IF($E1200&lt;&gt;0,SUMIF(куб!$E:$E,$E1200,куб!J:J),IF($D1200&lt;&gt;0,SUMIF(куб!$D:$D,$D1200,куб!J:J),IF($C1200&lt;&gt;0,SUMIF(куб!$C:$C,$C1200,куб!J:J),IF($B1200&lt;&gt;0,SUMIF(куб!$B:$B,$B1200,куб!J:J))))))</f>
        <v>0</v>
      </c>
      <c r="Q1200" s="27" t="b">
        <f>IF($G1200&lt;&gt;0,SUMIF(куб!$G:$G,$G1200,куб!K:K),IF($E1200&lt;&gt;0,SUMIF(куб!$E:$E,$E1200,куб!K:K),IF($D1200&lt;&gt;0,SUMIF(куб!$D:$D,$D1200,куб!K:K),IF($C1200&lt;&gt;0,SUMIF(куб!$C:$C,$C1200,куб!K:K),IF($B1200&lt;&gt;0,SUMIF(куб!$B:$B,$B1200,куб!K:K))))))</f>
        <v>0</v>
      </c>
      <c r="R1200" s="13" t="str">
        <f t="shared" si="367"/>
        <v>-</v>
      </c>
      <c r="S1200" s="5"/>
      <c r="T1200" s="27" t="b">
        <f>IF($G1200&lt;&gt;0,SUMIF(куб!$G:$G,$G1200,куб!L:L),IF($E1200&lt;&gt;0,SUMIF(куб!$E:$E,$E1200,куб!L:L),IF($D1200&lt;&gt;0,SUMIF(куб!$D:$D,$D1200,куб!L:L),IF($C1200&lt;&gt;0,SUMIF(куб!$C:$C,$C1200,куб!L:L),IF($B1200&lt;&gt;0,SUMIF(куб!$B:$B,$B1200,куб!L:L))))))</f>
        <v>0</v>
      </c>
      <c r="U1200" s="27" t="b">
        <f>IF($G1200&lt;&gt;0,SUMIF(куб!$G:$G,$G1200,куб!M:M),IF($E1200&lt;&gt;0,SUMIF(куб!$E:$E,$E1200,куб!M:M),IF($D1200&lt;&gt;0,SUMIF(куб!$D:$D,$D1200,куб!M:M),IF($C1200&lt;&gt;0,SUMIF(куб!$C:$C,$C1200,куб!M:M),IF($B1200&lt;&gt;0,SUMIF(куб!$B:$B,$B1200,куб!M:M))))))</f>
        <v>0</v>
      </c>
      <c r="V1200" s="13" t="str">
        <f t="shared" si="368"/>
        <v>-</v>
      </c>
      <c r="W1200" s="5"/>
      <c r="X1200" s="27" t="b">
        <f>IF($G1200&lt;&gt;0,SUMIF(куб!$G:$G,$G1200,куб!N:N),IF($E1200&lt;&gt;0,SUMIF(куб!$E:$E,$E1200,куб!N:N),IF($D1200&lt;&gt;0,SUMIF(куб!$D:$D,$D1200,куб!N:N),IF($C1200&lt;&gt;0,SUMIF(куб!$C:$C,$C1200,куб!N:N),IF($B1200&lt;&gt;0,SUMIF(куб!$B:$B,$B1200,куб!N:N))))))</f>
        <v>0</v>
      </c>
      <c r="Y1200" s="27" t="b">
        <f>IF($G1200&lt;&gt;0,SUMIF(куб!$G:$G,$G1200,куб!O:O),IF($E1200&lt;&gt;0,SUMIF(куб!$E:$E,$E1200,куб!O:O),IF($D1200&lt;&gt;0,SUMIF(куб!$D:$D,$D1200,куб!O:O),IF($C1200&lt;&gt;0,SUMIF(куб!$C:$C,$C1200,куб!O:O),IF($B1200&lt;&gt;0,SUMIF(куб!$B:$B,$B1200,куб!O:O))))))</f>
        <v>0</v>
      </c>
      <c r="Z1200" s="13" t="str">
        <f t="shared" si="369"/>
        <v>-</v>
      </c>
      <c r="AA1200" s="5"/>
      <c r="AB1200" s="33" t="str">
        <f t="shared" si="370"/>
        <v/>
      </c>
      <c r="AC1200" s="33" t="str">
        <f t="shared" si="371"/>
        <v/>
      </c>
      <c r="AD1200" s="15" t="str">
        <f t="shared" si="372"/>
        <v xml:space="preserve"> </v>
      </c>
      <c r="AE1200" s="5"/>
      <c r="AF1200" s="27" t="b">
        <f>IF($G1200&lt;&gt;0,SUMIF(куб!$G:$G,$G1200,куб!R:R),IF($E1200&lt;&gt;0,SUMIF(куб!$E:$E,$E1200,куб!R:R),IF($D1200&lt;&gt;0,SUMIF(куб!$D:$D,$D1200,куб!R:R),IF($C1200&lt;&gt;0,SUMIF(куб!$C:$C,$C1200,куб!R:R),IF($B1200&lt;&gt;0,SUMIF(куб!$B:$B,$B1200,куб!R:R))))))</f>
        <v>0</v>
      </c>
      <c r="AG1200" s="27" t="b">
        <f>IF($G1200&lt;&gt;0,SUMIF(куб!$G:$G,$G1200,куб!S:S),IF($E1200&lt;&gt;0,SUMIF(куб!$E:$E,$E1200,куб!S:S),IF($D1200&lt;&gt;0,SUMIF(куб!$D:$D,$D1200,куб!S:S),IF($C1200&lt;&gt;0,SUMIF(куб!$C:$C,$C1200,куб!S:S),IF($B1200&lt;&gt;0,SUMIF(куб!$B:$B,$B1200,куб!S:S))))))</f>
        <v>0</v>
      </c>
      <c r="AH1200" s="16" t="str">
        <f t="shared" si="373"/>
        <v>-</v>
      </c>
      <c r="AI1200" s="8"/>
      <c r="AJ1200" s="27" t="b">
        <f>IF($G1200&lt;&gt;0,SUMIF(куб!$G:$G,$G1200,куб!T:T),IF($E1200&lt;&gt;0,SUMIF(куб!$E:$E,$E1200,куб!T:T),IF($D1200&lt;&gt;0,SUMIF(куб!$D:$D,$D1200,куб!T:T),IF($C1200&lt;&gt;0,SUMIF(куб!$C:$C,$C1200,куб!T:T),IF($B1200&lt;&gt;0,SUMIF(куб!$B:$B,$B1200,куб!T:T))))))</f>
        <v>0</v>
      </c>
      <c r="AK1200" s="27" t="b">
        <f>IF($G1200&lt;&gt;0,SUMIF(куб!$G:$G,$G1200,куб!U:U),IF($E1200&lt;&gt;0,SUMIF(куб!$E:$E,$E1200,куб!U:U),IF($D1200&lt;&gt;0,SUMIF(куб!$D:$D,$D1200,куб!U:U),IF($C1200&lt;&gt;0,SUMIF(куб!$C:$C,$C1200,куб!U:U),IF($B1200&lt;&gt;0,SUMIF(куб!$B:$B,$B1200,куб!U:U))))))</f>
        <v>0</v>
      </c>
      <c r="AL1200" s="16" t="str">
        <f t="shared" si="374"/>
        <v>-</v>
      </c>
      <c r="AM1200" s="8"/>
      <c r="AN1200" s="17" t="str">
        <f t="shared" si="375"/>
        <v xml:space="preserve"> </v>
      </c>
      <c r="AO1200" s="17" t="str">
        <f t="shared" si="376"/>
        <v xml:space="preserve"> </v>
      </c>
      <c r="AP1200" s="16" t="str">
        <f t="shared" si="377"/>
        <v>-</v>
      </c>
      <c r="AQ1200" s="8"/>
      <c r="AR1200" s="17" t="str">
        <f t="shared" si="378"/>
        <v>-</v>
      </c>
      <c r="AS1200" s="17" t="str">
        <f t="shared" si="379"/>
        <v>-</v>
      </c>
      <c r="AT1200" s="13" t="str">
        <f t="shared" si="380"/>
        <v>-</v>
      </c>
      <c r="AU1200" s="8"/>
    </row>
    <row r="1201" spans="8:47" x14ac:dyDescent="0.25">
      <c r="H1201" s="27">
        <f>IF($G1201&lt;&gt;0,SUMIF(куб!$G:$G,$G1201,куб!H:H),IF($E1201&lt;&gt;0,SUMIF(куб!$E:$E,$E1201,куб!H:H),IF($D1201&lt;&gt;0,SUMIF(куб!$D:$D,$D1201,куб!H:H),IF($C1201&lt;&gt;0,SUMIF(куб!$C:$C,$C1201,куб!H:H),IF($B1201&lt;&gt;0,SUMIF(куб!$B:$B,$B1201,куб!H:H),IF($G1201&lt;&gt;0,SUMIF(куб!$A:$A,$G1201,куб!H:H),SUMIF(куб!$A:$A,$G1201,куб!H:H)))))))</f>
        <v>0</v>
      </c>
      <c r="I1201" s="27">
        <f>IF($G1201&lt;&gt;0,SUMIF(куб!$G:$G,$G1201,куб!I:I),IF($E1201&lt;&gt;0,SUMIF(куб!$E:$E,$E1201,куб!I:I),IF($D1201&lt;&gt;0,SUMIF(куб!$D:$D,$D1201,куб!I:I),IF($C1201&lt;&gt;0,SUMIF(куб!$C:$C,$C1201,куб!I:I),IF($B1201&lt;&gt;0,SUMIF(куб!$B:$B,$B1201,куб!I:I),IF($G1201&lt;&gt;0,SUMIF(куб!$A:$A,$G1201,куб!I:I),SUMIF(куб!$A:$A,$G1201,куб!I:I)))))))</f>
        <v>0</v>
      </c>
      <c r="J1201" s="19" t="str">
        <f t="shared" si="363"/>
        <v>-</v>
      </c>
      <c r="K1201" s="8"/>
      <c r="L1201" s="17">
        <f t="shared" si="364"/>
        <v>0</v>
      </c>
      <c r="M1201" s="17">
        <f t="shared" si="365"/>
        <v>0</v>
      </c>
      <c r="N1201" s="12">
        <f t="shared" si="366"/>
        <v>0</v>
      </c>
      <c r="O1201" s="5"/>
      <c r="P1201" s="27" t="b">
        <f>IF($G1201&lt;&gt;0,SUMIF(куб!$G:$G,$G1201,куб!J:J),IF($E1201&lt;&gt;0,SUMIF(куб!$E:$E,$E1201,куб!J:J),IF($D1201&lt;&gt;0,SUMIF(куб!$D:$D,$D1201,куб!J:J),IF($C1201&lt;&gt;0,SUMIF(куб!$C:$C,$C1201,куб!J:J),IF($B1201&lt;&gt;0,SUMIF(куб!$B:$B,$B1201,куб!J:J))))))</f>
        <v>0</v>
      </c>
      <c r="Q1201" s="27" t="b">
        <f>IF($G1201&lt;&gt;0,SUMIF(куб!$G:$G,$G1201,куб!K:K),IF($E1201&lt;&gt;0,SUMIF(куб!$E:$E,$E1201,куб!K:K),IF($D1201&lt;&gt;0,SUMIF(куб!$D:$D,$D1201,куб!K:K),IF($C1201&lt;&gt;0,SUMIF(куб!$C:$C,$C1201,куб!K:K),IF($B1201&lt;&gt;0,SUMIF(куб!$B:$B,$B1201,куб!K:K))))))</f>
        <v>0</v>
      </c>
      <c r="R1201" s="13" t="str">
        <f t="shared" si="367"/>
        <v>-</v>
      </c>
      <c r="S1201" s="5"/>
      <c r="T1201" s="27" t="b">
        <f>IF($G1201&lt;&gt;0,SUMIF(куб!$G:$G,$G1201,куб!L:L),IF($E1201&lt;&gt;0,SUMIF(куб!$E:$E,$E1201,куб!L:L),IF($D1201&lt;&gt;0,SUMIF(куб!$D:$D,$D1201,куб!L:L),IF($C1201&lt;&gt;0,SUMIF(куб!$C:$C,$C1201,куб!L:L),IF($B1201&lt;&gt;0,SUMIF(куб!$B:$B,$B1201,куб!L:L))))))</f>
        <v>0</v>
      </c>
      <c r="U1201" s="27" t="b">
        <f>IF($G1201&lt;&gt;0,SUMIF(куб!$G:$G,$G1201,куб!M:M),IF($E1201&lt;&gt;0,SUMIF(куб!$E:$E,$E1201,куб!M:M),IF($D1201&lt;&gt;0,SUMIF(куб!$D:$D,$D1201,куб!M:M),IF($C1201&lt;&gt;0,SUMIF(куб!$C:$C,$C1201,куб!M:M),IF($B1201&lt;&gt;0,SUMIF(куб!$B:$B,$B1201,куб!M:M))))))</f>
        <v>0</v>
      </c>
      <c r="V1201" s="13" t="str">
        <f t="shared" si="368"/>
        <v>-</v>
      </c>
      <c r="W1201" s="5"/>
      <c r="X1201" s="27" t="b">
        <f>IF($G1201&lt;&gt;0,SUMIF(куб!$G:$G,$G1201,куб!N:N),IF($E1201&lt;&gt;0,SUMIF(куб!$E:$E,$E1201,куб!N:N),IF($D1201&lt;&gt;0,SUMIF(куб!$D:$D,$D1201,куб!N:N),IF($C1201&lt;&gt;0,SUMIF(куб!$C:$C,$C1201,куб!N:N),IF($B1201&lt;&gt;0,SUMIF(куб!$B:$B,$B1201,куб!N:N))))))</f>
        <v>0</v>
      </c>
      <c r="Y1201" s="27" t="b">
        <f>IF($G1201&lt;&gt;0,SUMIF(куб!$G:$G,$G1201,куб!O:O),IF($E1201&lt;&gt;0,SUMIF(куб!$E:$E,$E1201,куб!O:O),IF($D1201&lt;&gt;0,SUMIF(куб!$D:$D,$D1201,куб!O:O),IF($C1201&lt;&gt;0,SUMIF(куб!$C:$C,$C1201,куб!O:O),IF($B1201&lt;&gt;0,SUMIF(куб!$B:$B,$B1201,куб!O:O))))))</f>
        <v>0</v>
      </c>
      <c r="Z1201" s="13" t="str">
        <f t="shared" si="369"/>
        <v>-</v>
      </c>
      <c r="AA1201" s="5"/>
      <c r="AB1201" s="33" t="str">
        <f t="shared" si="370"/>
        <v/>
      </c>
      <c r="AC1201" s="33" t="str">
        <f t="shared" si="371"/>
        <v/>
      </c>
      <c r="AD1201" s="15" t="str">
        <f t="shared" si="372"/>
        <v xml:space="preserve"> </v>
      </c>
      <c r="AE1201" s="5"/>
      <c r="AF1201" s="27" t="b">
        <f>IF($G1201&lt;&gt;0,SUMIF(куб!$G:$G,$G1201,куб!R:R),IF($E1201&lt;&gt;0,SUMIF(куб!$E:$E,$E1201,куб!R:R),IF($D1201&lt;&gt;0,SUMIF(куб!$D:$D,$D1201,куб!R:R),IF($C1201&lt;&gt;0,SUMIF(куб!$C:$C,$C1201,куб!R:R),IF($B1201&lt;&gt;0,SUMIF(куб!$B:$B,$B1201,куб!R:R))))))</f>
        <v>0</v>
      </c>
      <c r="AG1201" s="27" t="b">
        <f>IF($G1201&lt;&gt;0,SUMIF(куб!$G:$G,$G1201,куб!S:S),IF($E1201&lt;&gt;0,SUMIF(куб!$E:$E,$E1201,куб!S:S),IF($D1201&lt;&gt;0,SUMIF(куб!$D:$D,$D1201,куб!S:S),IF($C1201&lt;&gt;0,SUMIF(куб!$C:$C,$C1201,куб!S:S),IF($B1201&lt;&gt;0,SUMIF(куб!$B:$B,$B1201,куб!S:S))))))</f>
        <v>0</v>
      </c>
      <c r="AH1201" s="16" t="str">
        <f t="shared" si="373"/>
        <v>-</v>
      </c>
      <c r="AI1201" s="8"/>
      <c r="AJ1201" s="27" t="b">
        <f>IF($G1201&lt;&gt;0,SUMIF(куб!$G:$G,$G1201,куб!T:T),IF($E1201&lt;&gt;0,SUMIF(куб!$E:$E,$E1201,куб!T:T),IF($D1201&lt;&gt;0,SUMIF(куб!$D:$D,$D1201,куб!T:T),IF($C1201&lt;&gt;0,SUMIF(куб!$C:$C,$C1201,куб!T:T),IF($B1201&lt;&gt;0,SUMIF(куб!$B:$B,$B1201,куб!T:T))))))</f>
        <v>0</v>
      </c>
      <c r="AK1201" s="27" t="b">
        <f>IF($G1201&lt;&gt;0,SUMIF(куб!$G:$G,$G1201,куб!U:U),IF($E1201&lt;&gt;0,SUMIF(куб!$E:$E,$E1201,куб!U:U),IF($D1201&lt;&gt;0,SUMIF(куб!$D:$D,$D1201,куб!U:U),IF($C1201&lt;&gt;0,SUMIF(куб!$C:$C,$C1201,куб!U:U),IF($B1201&lt;&gt;0,SUMIF(куб!$B:$B,$B1201,куб!U:U))))))</f>
        <v>0</v>
      </c>
      <c r="AL1201" s="16" t="str">
        <f t="shared" si="374"/>
        <v>-</v>
      </c>
      <c r="AM1201" s="8"/>
      <c r="AN1201" s="17" t="str">
        <f t="shared" si="375"/>
        <v xml:space="preserve"> </v>
      </c>
      <c r="AO1201" s="17" t="str">
        <f t="shared" si="376"/>
        <v xml:space="preserve"> </v>
      </c>
      <c r="AP1201" s="16" t="str">
        <f t="shared" si="377"/>
        <v>-</v>
      </c>
      <c r="AQ1201" s="8"/>
      <c r="AR1201" s="17" t="str">
        <f t="shared" si="378"/>
        <v>-</v>
      </c>
      <c r="AS1201" s="17" t="str">
        <f t="shared" si="379"/>
        <v>-</v>
      </c>
      <c r="AT1201" s="13" t="str">
        <f t="shared" si="380"/>
        <v>-</v>
      </c>
      <c r="AU1201" s="8"/>
    </row>
    <row r="1202" spans="8:47" x14ac:dyDescent="0.25">
      <c r="H1202" s="27">
        <f>IF($G1202&lt;&gt;0,SUMIF(куб!$G:$G,$G1202,куб!H:H),IF($E1202&lt;&gt;0,SUMIF(куб!$E:$E,$E1202,куб!H:H),IF($D1202&lt;&gt;0,SUMIF(куб!$D:$D,$D1202,куб!H:H),IF($C1202&lt;&gt;0,SUMIF(куб!$C:$C,$C1202,куб!H:H),IF($B1202&lt;&gt;0,SUMIF(куб!$B:$B,$B1202,куб!H:H),IF($G1202&lt;&gt;0,SUMIF(куб!$A:$A,$G1202,куб!H:H),SUMIF(куб!$A:$A,$G1202,куб!H:H)))))))</f>
        <v>0</v>
      </c>
      <c r="I1202" s="27">
        <f>IF($G1202&lt;&gt;0,SUMIF(куб!$G:$G,$G1202,куб!I:I),IF($E1202&lt;&gt;0,SUMIF(куб!$E:$E,$E1202,куб!I:I),IF($D1202&lt;&gt;0,SUMIF(куб!$D:$D,$D1202,куб!I:I),IF($C1202&lt;&gt;0,SUMIF(куб!$C:$C,$C1202,куб!I:I),IF($B1202&lt;&gt;0,SUMIF(куб!$B:$B,$B1202,куб!I:I),IF($G1202&lt;&gt;0,SUMIF(куб!$A:$A,$G1202,куб!I:I),SUMIF(куб!$A:$A,$G1202,куб!I:I)))))))</f>
        <v>0</v>
      </c>
      <c r="J1202" s="19" t="str">
        <f t="shared" si="363"/>
        <v>-</v>
      </c>
      <c r="K1202" s="8"/>
      <c r="L1202" s="17">
        <f t="shared" si="364"/>
        <v>0</v>
      </c>
      <c r="M1202" s="17">
        <f t="shared" si="365"/>
        <v>0</v>
      </c>
      <c r="N1202" s="12">
        <f t="shared" si="366"/>
        <v>0</v>
      </c>
      <c r="O1202" s="5"/>
      <c r="P1202" s="27" t="b">
        <f>IF($G1202&lt;&gt;0,SUMIF(куб!$G:$G,$G1202,куб!J:J),IF($E1202&lt;&gt;0,SUMIF(куб!$E:$E,$E1202,куб!J:J),IF($D1202&lt;&gt;0,SUMIF(куб!$D:$D,$D1202,куб!J:J),IF($C1202&lt;&gt;0,SUMIF(куб!$C:$C,$C1202,куб!J:J),IF($B1202&lt;&gt;0,SUMIF(куб!$B:$B,$B1202,куб!J:J))))))</f>
        <v>0</v>
      </c>
      <c r="Q1202" s="27" t="b">
        <f>IF($G1202&lt;&gt;0,SUMIF(куб!$G:$G,$G1202,куб!K:K),IF($E1202&lt;&gt;0,SUMIF(куб!$E:$E,$E1202,куб!K:K),IF($D1202&lt;&gt;0,SUMIF(куб!$D:$D,$D1202,куб!K:K),IF($C1202&lt;&gt;0,SUMIF(куб!$C:$C,$C1202,куб!K:K),IF($B1202&lt;&gt;0,SUMIF(куб!$B:$B,$B1202,куб!K:K))))))</f>
        <v>0</v>
      </c>
      <c r="R1202" s="13" t="str">
        <f t="shared" si="367"/>
        <v>-</v>
      </c>
      <c r="S1202" s="5"/>
      <c r="T1202" s="27" t="b">
        <f>IF($G1202&lt;&gt;0,SUMIF(куб!$G:$G,$G1202,куб!L:L),IF($E1202&lt;&gt;0,SUMIF(куб!$E:$E,$E1202,куб!L:L),IF($D1202&lt;&gt;0,SUMIF(куб!$D:$D,$D1202,куб!L:L),IF($C1202&lt;&gt;0,SUMIF(куб!$C:$C,$C1202,куб!L:L),IF($B1202&lt;&gt;0,SUMIF(куб!$B:$B,$B1202,куб!L:L))))))</f>
        <v>0</v>
      </c>
      <c r="U1202" s="27" t="b">
        <f>IF($G1202&lt;&gt;0,SUMIF(куб!$G:$G,$G1202,куб!M:M),IF($E1202&lt;&gt;0,SUMIF(куб!$E:$E,$E1202,куб!M:M),IF($D1202&lt;&gt;0,SUMIF(куб!$D:$D,$D1202,куб!M:M),IF($C1202&lt;&gt;0,SUMIF(куб!$C:$C,$C1202,куб!M:M),IF($B1202&lt;&gt;0,SUMIF(куб!$B:$B,$B1202,куб!M:M))))))</f>
        <v>0</v>
      </c>
      <c r="V1202" s="13" t="str">
        <f t="shared" si="368"/>
        <v>-</v>
      </c>
      <c r="W1202" s="5"/>
      <c r="X1202" s="27" t="b">
        <f>IF($G1202&lt;&gt;0,SUMIF(куб!$G:$G,$G1202,куб!N:N),IF($E1202&lt;&gt;0,SUMIF(куб!$E:$E,$E1202,куб!N:N),IF($D1202&lt;&gt;0,SUMIF(куб!$D:$D,$D1202,куб!N:N),IF($C1202&lt;&gt;0,SUMIF(куб!$C:$C,$C1202,куб!N:N),IF($B1202&lt;&gt;0,SUMIF(куб!$B:$B,$B1202,куб!N:N))))))</f>
        <v>0</v>
      </c>
      <c r="Y1202" s="27" t="b">
        <f>IF($G1202&lt;&gt;0,SUMIF(куб!$G:$G,$G1202,куб!O:O),IF($E1202&lt;&gt;0,SUMIF(куб!$E:$E,$E1202,куб!O:O),IF($D1202&lt;&gt;0,SUMIF(куб!$D:$D,$D1202,куб!O:O),IF($C1202&lt;&gt;0,SUMIF(куб!$C:$C,$C1202,куб!O:O),IF($B1202&lt;&gt;0,SUMIF(куб!$B:$B,$B1202,куб!O:O))))))</f>
        <v>0</v>
      </c>
      <c r="Z1202" s="13" t="str">
        <f t="shared" si="369"/>
        <v>-</v>
      </c>
      <c r="AA1202" s="5"/>
      <c r="AB1202" s="33" t="str">
        <f t="shared" si="370"/>
        <v/>
      </c>
      <c r="AC1202" s="33" t="str">
        <f t="shared" si="371"/>
        <v/>
      </c>
      <c r="AD1202" s="15" t="str">
        <f t="shared" si="372"/>
        <v xml:space="preserve"> </v>
      </c>
      <c r="AE1202" s="5"/>
      <c r="AF1202" s="27" t="b">
        <f>IF($G1202&lt;&gt;0,SUMIF(куб!$G:$G,$G1202,куб!R:R),IF($E1202&lt;&gt;0,SUMIF(куб!$E:$E,$E1202,куб!R:R),IF($D1202&lt;&gt;0,SUMIF(куб!$D:$D,$D1202,куб!R:R),IF($C1202&lt;&gt;0,SUMIF(куб!$C:$C,$C1202,куб!R:R),IF($B1202&lt;&gt;0,SUMIF(куб!$B:$B,$B1202,куб!R:R))))))</f>
        <v>0</v>
      </c>
      <c r="AG1202" s="27" t="b">
        <f>IF($G1202&lt;&gt;0,SUMIF(куб!$G:$G,$G1202,куб!S:S),IF($E1202&lt;&gt;0,SUMIF(куб!$E:$E,$E1202,куб!S:S),IF($D1202&lt;&gt;0,SUMIF(куб!$D:$D,$D1202,куб!S:S),IF($C1202&lt;&gt;0,SUMIF(куб!$C:$C,$C1202,куб!S:S),IF($B1202&lt;&gt;0,SUMIF(куб!$B:$B,$B1202,куб!S:S))))))</f>
        <v>0</v>
      </c>
      <c r="AH1202" s="16" t="str">
        <f t="shared" si="373"/>
        <v>-</v>
      </c>
      <c r="AI1202" s="8"/>
      <c r="AJ1202" s="27" t="b">
        <f>IF($G1202&lt;&gt;0,SUMIF(куб!$G:$G,$G1202,куб!T:T),IF($E1202&lt;&gt;0,SUMIF(куб!$E:$E,$E1202,куб!T:T),IF($D1202&lt;&gt;0,SUMIF(куб!$D:$D,$D1202,куб!T:T),IF($C1202&lt;&gt;0,SUMIF(куб!$C:$C,$C1202,куб!T:T),IF($B1202&lt;&gt;0,SUMIF(куб!$B:$B,$B1202,куб!T:T))))))</f>
        <v>0</v>
      </c>
      <c r="AK1202" s="27" t="b">
        <f>IF($G1202&lt;&gt;0,SUMIF(куб!$G:$G,$G1202,куб!U:U),IF($E1202&lt;&gt;0,SUMIF(куб!$E:$E,$E1202,куб!U:U),IF($D1202&lt;&gt;0,SUMIF(куб!$D:$D,$D1202,куб!U:U),IF($C1202&lt;&gt;0,SUMIF(куб!$C:$C,$C1202,куб!U:U),IF($B1202&lt;&gt;0,SUMIF(куб!$B:$B,$B1202,куб!U:U))))))</f>
        <v>0</v>
      </c>
      <c r="AL1202" s="16" t="str">
        <f t="shared" si="374"/>
        <v>-</v>
      </c>
      <c r="AM1202" s="8"/>
      <c r="AN1202" s="17" t="str">
        <f t="shared" si="375"/>
        <v xml:space="preserve"> </v>
      </c>
      <c r="AO1202" s="17" t="str">
        <f t="shared" si="376"/>
        <v xml:space="preserve"> </v>
      </c>
      <c r="AP1202" s="16" t="str">
        <f t="shared" si="377"/>
        <v>-</v>
      </c>
      <c r="AQ1202" s="8"/>
      <c r="AR1202" s="17" t="str">
        <f t="shared" si="378"/>
        <v>-</v>
      </c>
      <c r="AS1202" s="17" t="str">
        <f t="shared" si="379"/>
        <v>-</v>
      </c>
      <c r="AT1202" s="13" t="str">
        <f t="shared" si="380"/>
        <v>-</v>
      </c>
      <c r="AU1202" s="8"/>
    </row>
    <row r="1203" spans="8:47" x14ac:dyDescent="0.25">
      <c r="H1203" s="27">
        <f>IF($G1203&lt;&gt;0,SUMIF(куб!$G:$G,$G1203,куб!H:H),IF($E1203&lt;&gt;0,SUMIF(куб!$E:$E,$E1203,куб!H:H),IF($D1203&lt;&gt;0,SUMIF(куб!$D:$D,$D1203,куб!H:H),IF($C1203&lt;&gt;0,SUMIF(куб!$C:$C,$C1203,куб!H:H),IF($B1203&lt;&gt;0,SUMIF(куб!$B:$B,$B1203,куб!H:H),IF($G1203&lt;&gt;0,SUMIF(куб!$A:$A,$G1203,куб!H:H),SUMIF(куб!$A:$A,$G1203,куб!H:H)))))))</f>
        <v>0</v>
      </c>
      <c r="I1203" s="27">
        <f>IF($G1203&lt;&gt;0,SUMIF(куб!$G:$G,$G1203,куб!I:I),IF($E1203&lt;&gt;0,SUMIF(куб!$E:$E,$E1203,куб!I:I),IF($D1203&lt;&gt;0,SUMIF(куб!$D:$D,$D1203,куб!I:I),IF($C1203&lt;&gt;0,SUMIF(куб!$C:$C,$C1203,куб!I:I),IF($B1203&lt;&gt;0,SUMIF(куб!$B:$B,$B1203,куб!I:I),IF($G1203&lt;&gt;0,SUMIF(куб!$A:$A,$G1203,куб!I:I),SUMIF(куб!$A:$A,$G1203,куб!I:I)))))))</f>
        <v>0</v>
      </c>
      <c r="J1203" s="19" t="str">
        <f t="shared" si="363"/>
        <v>-</v>
      </c>
      <c r="K1203" s="8"/>
      <c r="L1203" s="17">
        <f t="shared" si="364"/>
        <v>0</v>
      </c>
      <c r="M1203" s="17">
        <f t="shared" si="365"/>
        <v>0</v>
      </c>
      <c r="N1203" s="12">
        <f t="shared" si="366"/>
        <v>0</v>
      </c>
      <c r="O1203" s="5"/>
      <c r="P1203" s="27" t="b">
        <f>IF($G1203&lt;&gt;0,SUMIF(куб!$G:$G,$G1203,куб!J:J),IF($E1203&lt;&gt;0,SUMIF(куб!$E:$E,$E1203,куб!J:J),IF($D1203&lt;&gt;0,SUMIF(куб!$D:$D,$D1203,куб!J:J),IF($C1203&lt;&gt;0,SUMIF(куб!$C:$C,$C1203,куб!J:J),IF($B1203&lt;&gt;0,SUMIF(куб!$B:$B,$B1203,куб!J:J))))))</f>
        <v>0</v>
      </c>
      <c r="Q1203" s="27" t="b">
        <f>IF($G1203&lt;&gt;0,SUMIF(куб!$G:$G,$G1203,куб!K:K),IF($E1203&lt;&gt;0,SUMIF(куб!$E:$E,$E1203,куб!K:K),IF($D1203&lt;&gt;0,SUMIF(куб!$D:$D,$D1203,куб!K:K),IF($C1203&lt;&gt;0,SUMIF(куб!$C:$C,$C1203,куб!K:K),IF($B1203&lt;&gt;0,SUMIF(куб!$B:$B,$B1203,куб!K:K))))))</f>
        <v>0</v>
      </c>
      <c r="R1203" s="13" t="str">
        <f t="shared" si="367"/>
        <v>-</v>
      </c>
      <c r="S1203" s="5"/>
      <c r="T1203" s="27" t="b">
        <f>IF($G1203&lt;&gt;0,SUMIF(куб!$G:$G,$G1203,куб!L:L),IF($E1203&lt;&gt;0,SUMIF(куб!$E:$E,$E1203,куб!L:L),IF($D1203&lt;&gt;0,SUMIF(куб!$D:$D,$D1203,куб!L:L),IF($C1203&lt;&gt;0,SUMIF(куб!$C:$C,$C1203,куб!L:L),IF($B1203&lt;&gt;0,SUMIF(куб!$B:$B,$B1203,куб!L:L))))))</f>
        <v>0</v>
      </c>
      <c r="U1203" s="27" t="b">
        <f>IF($G1203&lt;&gt;0,SUMIF(куб!$G:$G,$G1203,куб!M:M),IF($E1203&lt;&gt;0,SUMIF(куб!$E:$E,$E1203,куб!M:M),IF($D1203&lt;&gt;0,SUMIF(куб!$D:$D,$D1203,куб!M:M),IF($C1203&lt;&gt;0,SUMIF(куб!$C:$C,$C1203,куб!M:M),IF($B1203&lt;&gt;0,SUMIF(куб!$B:$B,$B1203,куб!M:M))))))</f>
        <v>0</v>
      </c>
      <c r="V1203" s="13" t="str">
        <f t="shared" si="368"/>
        <v>-</v>
      </c>
      <c r="W1203" s="5"/>
      <c r="X1203" s="27" t="b">
        <f>IF($G1203&lt;&gt;0,SUMIF(куб!$G:$G,$G1203,куб!N:N),IF($E1203&lt;&gt;0,SUMIF(куб!$E:$E,$E1203,куб!N:N),IF($D1203&lt;&gt;0,SUMIF(куб!$D:$D,$D1203,куб!N:N),IF($C1203&lt;&gt;0,SUMIF(куб!$C:$C,$C1203,куб!N:N),IF($B1203&lt;&gt;0,SUMIF(куб!$B:$B,$B1203,куб!N:N))))))</f>
        <v>0</v>
      </c>
      <c r="Y1203" s="27" t="b">
        <f>IF($G1203&lt;&gt;0,SUMIF(куб!$G:$G,$G1203,куб!O:O),IF($E1203&lt;&gt;0,SUMIF(куб!$E:$E,$E1203,куб!O:O),IF($D1203&lt;&gt;0,SUMIF(куб!$D:$D,$D1203,куб!O:O),IF($C1203&lt;&gt;0,SUMIF(куб!$C:$C,$C1203,куб!O:O),IF($B1203&lt;&gt;0,SUMIF(куб!$B:$B,$B1203,куб!O:O))))))</f>
        <v>0</v>
      </c>
      <c r="Z1203" s="13" t="str">
        <f t="shared" si="369"/>
        <v>-</v>
      </c>
      <c r="AA1203" s="5"/>
      <c r="AB1203" s="33" t="str">
        <f t="shared" si="370"/>
        <v/>
      </c>
      <c r="AC1203" s="33" t="str">
        <f t="shared" si="371"/>
        <v/>
      </c>
      <c r="AD1203" s="15" t="str">
        <f t="shared" si="372"/>
        <v xml:space="preserve"> </v>
      </c>
      <c r="AE1203" s="5"/>
      <c r="AF1203" s="27" t="b">
        <f>IF($G1203&lt;&gt;0,SUMIF(куб!$G:$G,$G1203,куб!R:R),IF($E1203&lt;&gt;0,SUMIF(куб!$E:$E,$E1203,куб!R:R),IF($D1203&lt;&gt;0,SUMIF(куб!$D:$D,$D1203,куб!R:R),IF($C1203&lt;&gt;0,SUMIF(куб!$C:$C,$C1203,куб!R:R),IF($B1203&lt;&gt;0,SUMIF(куб!$B:$B,$B1203,куб!R:R))))))</f>
        <v>0</v>
      </c>
      <c r="AG1203" s="27" t="b">
        <f>IF($G1203&lt;&gt;0,SUMIF(куб!$G:$G,$G1203,куб!S:S),IF($E1203&lt;&gt;0,SUMIF(куб!$E:$E,$E1203,куб!S:S),IF($D1203&lt;&gt;0,SUMIF(куб!$D:$D,$D1203,куб!S:S),IF($C1203&lt;&gt;0,SUMIF(куб!$C:$C,$C1203,куб!S:S),IF($B1203&lt;&gt;0,SUMIF(куб!$B:$B,$B1203,куб!S:S))))))</f>
        <v>0</v>
      </c>
      <c r="AH1203" s="16" t="str">
        <f t="shared" si="373"/>
        <v>-</v>
      </c>
      <c r="AI1203" s="8"/>
      <c r="AJ1203" s="27" t="b">
        <f>IF($G1203&lt;&gt;0,SUMIF(куб!$G:$G,$G1203,куб!T:T),IF($E1203&lt;&gt;0,SUMIF(куб!$E:$E,$E1203,куб!T:T),IF($D1203&lt;&gt;0,SUMIF(куб!$D:$D,$D1203,куб!T:T),IF($C1203&lt;&gt;0,SUMIF(куб!$C:$C,$C1203,куб!T:T),IF($B1203&lt;&gt;0,SUMIF(куб!$B:$B,$B1203,куб!T:T))))))</f>
        <v>0</v>
      </c>
      <c r="AK1203" s="27" t="b">
        <f>IF($G1203&lt;&gt;0,SUMIF(куб!$G:$G,$G1203,куб!U:U),IF($E1203&lt;&gt;0,SUMIF(куб!$E:$E,$E1203,куб!U:U),IF($D1203&lt;&gt;0,SUMIF(куб!$D:$D,$D1203,куб!U:U),IF($C1203&lt;&gt;0,SUMIF(куб!$C:$C,$C1203,куб!U:U),IF($B1203&lt;&gt;0,SUMIF(куб!$B:$B,$B1203,куб!U:U))))))</f>
        <v>0</v>
      </c>
      <c r="AL1203" s="16" t="str">
        <f t="shared" si="374"/>
        <v>-</v>
      </c>
      <c r="AM1203" s="8"/>
      <c r="AN1203" s="17" t="str">
        <f t="shared" si="375"/>
        <v xml:space="preserve"> </v>
      </c>
      <c r="AO1203" s="17" t="str">
        <f t="shared" si="376"/>
        <v xml:space="preserve"> </v>
      </c>
      <c r="AP1203" s="16" t="str">
        <f t="shared" si="377"/>
        <v>-</v>
      </c>
      <c r="AQ1203" s="8"/>
      <c r="AR1203" s="17" t="str">
        <f t="shared" si="378"/>
        <v>-</v>
      </c>
      <c r="AS1203" s="17" t="str">
        <f t="shared" si="379"/>
        <v>-</v>
      </c>
      <c r="AT1203" s="13" t="str">
        <f t="shared" si="380"/>
        <v>-</v>
      </c>
      <c r="AU1203" s="8"/>
    </row>
    <row r="1204" spans="8:47" x14ac:dyDescent="0.25">
      <c r="H1204" s="27">
        <f>IF($G1204&lt;&gt;0,SUMIF(куб!$G:$G,$G1204,куб!H:H),IF($E1204&lt;&gt;0,SUMIF(куб!$E:$E,$E1204,куб!H:H),IF($D1204&lt;&gt;0,SUMIF(куб!$D:$D,$D1204,куб!H:H),IF($C1204&lt;&gt;0,SUMIF(куб!$C:$C,$C1204,куб!H:H),IF($B1204&lt;&gt;0,SUMIF(куб!$B:$B,$B1204,куб!H:H),IF($G1204&lt;&gt;0,SUMIF(куб!$A:$A,$G1204,куб!H:H),SUMIF(куб!$A:$A,$G1204,куб!H:H)))))))</f>
        <v>0</v>
      </c>
      <c r="I1204" s="27">
        <f>IF($G1204&lt;&gt;0,SUMIF(куб!$G:$G,$G1204,куб!I:I),IF($E1204&lt;&gt;0,SUMIF(куб!$E:$E,$E1204,куб!I:I),IF($D1204&lt;&gt;0,SUMIF(куб!$D:$D,$D1204,куб!I:I),IF($C1204&lt;&gt;0,SUMIF(куб!$C:$C,$C1204,куб!I:I),IF($B1204&lt;&gt;0,SUMIF(куб!$B:$B,$B1204,куб!I:I),IF($G1204&lt;&gt;0,SUMIF(куб!$A:$A,$G1204,куб!I:I),SUMIF(куб!$A:$A,$G1204,куб!I:I)))))))</f>
        <v>0</v>
      </c>
      <c r="J1204" s="19" t="str">
        <f t="shared" si="363"/>
        <v>-</v>
      </c>
      <c r="K1204" s="8"/>
      <c r="L1204" s="17">
        <f t="shared" si="364"/>
        <v>0</v>
      </c>
      <c r="M1204" s="17">
        <f t="shared" si="365"/>
        <v>0</v>
      </c>
      <c r="N1204" s="12">
        <f t="shared" si="366"/>
        <v>0</v>
      </c>
      <c r="O1204" s="5"/>
      <c r="P1204" s="27" t="b">
        <f>IF($G1204&lt;&gt;0,SUMIF(куб!$G:$G,$G1204,куб!J:J),IF($E1204&lt;&gt;0,SUMIF(куб!$E:$E,$E1204,куб!J:J),IF($D1204&lt;&gt;0,SUMIF(куб!$D:$D,$D1204,куб!J:J),IF($C1204&lt;&gt;0,SUMIF(куб!$C:$C,$C1204,куб!J:J),IF($B1204&lt;&gt;0,SUMIF(куб!$B:$B,$B1204,куб!J:J))))))</f>
        <v>0</v>
      </c>
      <c r="Q1204" s="27" t="b">
        <f>IF($G1204&lt;&gt;0,SUMIF(куб!$G:$G,$G1204,куб!K:K),IF($E1204&lt;&gt;0,SUMIF(куб!$E:$E,$E1204,куб!K:K),IF($D1204&lt;&gt;0,SUMIF(куб!$D:$D,$D1204,куб!K:K),IF($C1204&lt;&gt;0,SUMIF(куб!$C:$C,$C1204,куб!K:K),IF($B1204&lt;&gt;0,SUMIF(куб!$B:$B,$B1204,куб!K:K))))))</f>
        <v>0</v>
      </c>
      <c r="R1204" s="13" t="str">
        <f t="shared" si="367"/>
        <v>-</v>
      </c>
      <c r="S1204" s="5"/>
      <c r="T1204" s="27" t="b">
        <f>IF($G1204&lt;&gt;0,SUMIF(куб!$G:$G,$G1204,куб!L:L),IF($E1204&lt;&gt;0,SUMIF(куб!$E:$E,$E1204,куб!L:L),IF($D1204&lt;&gt;0,SUMIF(куб!$D:$D,$D1204,куб!L:L),IF($C1204&lt;&gt;0,SUMIF(куб!$C:$C,$C1204,куб!L:L),IF($B1204&lt;&gt;0,SUMIF(куб!$B:$B,$B1204,куб!L:L))))))</f>
        <v>0</v>
      </c>
      <c r="U1204" s="27" t="b">
        <f>IF($G1204&lt;&gt;0,SUMIF(куб!$G:$G,$G1204,куб!M:M),IF($E1204&lt;&gt;0,SUMIF(куб!$E:$E,$E1204,куб!M:M),IF($D1204&lt;&gt;0,SUMIF(куб!$D:$D,$D1204,куб!M:M),IF($C1204&lt;&gt;0,SUMIF(куб!$C:$C,$C1204,куб!M:M),IF($B1204&lt;&gt;0,SUMIF(куб!$B:$B,$B1204,куб!M:M))))))</f>
        <v>0</v>
      </c>
      <c r="V1204" s="13" t="str">
        <f t="shared" si="368"/>
        <v>-</v>
      </c>
      <c r="W1204" s="5"/>
      <c r="X1204" s="27" t="b">
        <f>IF($G1204&lt;&gt;0,SUMIF(куб!$G:$G,$G1204,куб!N:N),IF($E1204&lt;&gt;0,SUMIF(куб!$E:$E,$E1204,куб!N:N),IF($D1204&lt;&gt;0,SUMIF(куб!$D:$D,$D1204,куб!N:N),IF($C1204&lt;&gt;0,SUMIF(куб!$C:$C,$C1204,куб!N:N),IF($B1204&lt;&gt;0,SUMIF(куб!$B:$B,$B1204,куб!N:N))))))</f>
        <v>0</v>
      </c>
      <c r="Y1204" s="27" t="b">
        <f>IF($G1204&lt;&gt;0,SUMIF(куб!$G:$G,$G1204,куб!O:O),IF($E1204&lt;&gt;0,SUMIF(куб!$E:$E,$E1204,куб!O:O),IF($D1204&lt;&gt;0,SUMIF(куб!$D:$D,$D1204,куб!O:O),IF($C1204&lt;&gt;0,SUMIF(куб!$C:$C,$C1204,куб!O:O),IF($B1204&lt;&gt;0,SUMIF(куб!$B:$B,$B1204,куб!O:O))))))</f>
        <v>0</v>
      </c>
      <c r="Z1204" s="13" t="str">
        <f t="shared" si="369"/>
        <v>-</v>
      </c>
      <c r="AA1204" s="5"/>
      <c r="AB1204" s="33" t="str">
        <f t="shared" si="370"/>
        <v/>
      </c>
      <c r="AC1204" s="33" t="str">
        <f t="shared" si="371"/>
        <v/>
      </c>
      <c r="AD1204" s="15" t="str">
        <f t="shared" si="372"/>
        <v xml:space="preserve"> </v>
      </c>
      <c r="AE1204" s="5"/>
      <c r="AF1204" s="27" t="b">
        <f>IF($G1204&lt;&gt;0,SUMIF(куб!$G:$G,$G1204,куб!R:R),IF($E1204&lt;&gt;0,SUMIF(куб!$E:$E,$E1204,куб!R:R),IF($D1204&lt;&gt;0,SUMIF(куб!$D:$D,$D1204,куб!R:R),IF($C1204&lt;&gt;0,SUMIF(куб!$C:$C,$C1204,куб!R:R),IF($B1204&lt;&gt;0,SUMIF(куб!$B:$B,$B1204,куб!R:R))))))</f>
        <v>0</v>
      </c>
      <c r="AG1204" s="27" t="b">
        <f>IF($G1204&lt;&gt;0,SUMIF(куб!$G:$G,$G1204,куб!S:S),IF($E1204&lt;&gt;0,SUMIF(куб!$E:$E,$E1204,куб!S:S),IF($D1204&lt;&gt;0,SUMIF(куб!$D:$D,$D1204,куб!S:S),IF($C1204&lt;&gt;0,SUMIF(куб!$C:$C,$C1204,куб!S:S),IF($B1204&lt;&gt;0,SUMIF(куб!$B:$B,$B1204,куб!S:S))))))</f>
        <v>0</v>
      </c>
      <c r="AH1204" s="16" t="str">
        <f t="shared" si="373"/>
        <v>-</v>
      </c>
      <c r="AI1204" s="8"/>
      <c r="AJ1204" s="27" t="b">
        <f>IF($G1204&lt;&gt;0,SUMIF(куб!$G:$G,$G1204,куб!T:T),IF($E1204&lt;&gt;0,SUMIF(куб!$E:$E,$E1204,куб!T:T),IF($D1204&lt;&gt;0,SUMIF(куб!$D:$D,$D1204,куб!T:T),IF($C1204&lt;&gt;0,SUMIF(куб!$C:$C,$C1204,куб!T:T),IF($B1204&lt;&gt;0,SUMIF(куб!$B:$B,$B1204,куб!T:T))))))</f>
        <v>0</v>
      </c>
      <c r="AK1204" s="27" t="b">
        <f>IF($G1204&lt;&gt;0,SUMIF(куб!$G:$G,$G1204,куб!U:U),IF($E1204&lt;&gt;0,SUMIF(куб!$E:$E,$E1204,куб!U:U),IF($D1204&lt;&gt;0,SUMIF(куб!$D:$D,$D1204,куб!U:U),IF($C1204&lt;&gt;0,SUMIF(куб!$C:$C,$C1204,куб!U:U),IF($B1204&lt;&gt;0,SUMIF(куб!$B:$B,$B1204,куб!U:U))))))</f>
        <v>0</v>
      </c>
      <c r="AL1204" s="16" t="str">
        <f t="shared" si="374"/>
        <v>-</v>
      </c>
      <c r="AM1204" s="8"/>
      <c r="AN1204" s="17" t="str">
        <f t="shared" si="375"/>
        <v xml:space="preserve"> </v>
      </c>
      <c r="AO1204" s="17" t="str">
        <f t="shared" si="376"/>
        <v xml:space="preserve"> </v>
      </c>
      <c r="AP1204" s="16" t="str">
        <f t="shared" si="377"/>
        <v>-</v>
      </c>
      <c r="AQ1204" s="8"/>
      <c r="AR1204" s="17" t="str">
        <f t="shared" si="378"/>
        <v>-</v>
      </c>
      <c r="AS1204" s="17" t="str">
        <f t="shared" si="379"/>
        <v>-</v>
      </c>
      <c r="AT1204" s="13" t="str">
        <f t="shared" si="380"/>
        <v>-</v>
      </c>
      <c r="AU1204" s="8"/>
    </row>
    <row r="1205" spans="8:47" x14ac:dyDescent="0.25">
      <c r="H1205" s="27">
        <f>IF($G1205&lt;&gt;0,SUMIF(куб!$G:$G,$G1205,куб!H:H),IF($E1205&lt;&gt;0,SUMIF(куб!$E:$E,$E1205,куб!H:H),IF($D1205&lt;&gt;0,SUMIF(куб!$D:$D,$D1205,куб!H:H),IF($C1205&lt;&gt;0,SUMIF(куб!$C:$C,$C1205,куб!H:H),IF($B1205&lt;&gt;0,SUMIF(куб!$B:$B,$B1205,куб!H:H),IF($G1205&lt;&gt;0,SUMIF(куб!$A:$A,$G1205,куб!H:H),SUMIF(куб!$A:$A,$G1205,куб!H:H)))))))</f>
        <v>0</v>
      </c>
      <c r="I1205" s="27">
        <f>IF($G1205&lt;&gt;0,SUMIF(куб!$G:$G,$G1205,куб!I:I),IF($E1205&lt;&gt;0,SUMIF(куб!$E:$E,$E1205,куб!I:I),IF($D1205&lt;&gt;0,SUMIF(куб!$D:$D,$D1205,куб!I:I),IF($C1205&lt;&gt;0,SUMIF(куб!$C:$C,$C1205,куб!I:I),IF($B1205&lt;&gt;0,SUMIF(куб!$B:$B,$B1205,куб!I:I),IF($G1205&lt;&gt;0,SUMIF(куб!$A:$A,$G1205,куб!I:I),SUMIF(куб!$A:$A,$G1205,куб!I:I)))))))</f>
        <v>0</v>
      </c>
      <c r="J1205" s="19" t="str">
        <f t="shared" si="363"/>
        <v>-</v>
      </c>
      <c r="K1205" s="8"/>
      <c r="L1205" s="17">
        <f t="shared" si="364"/>
        <v>0</v>
      </c>
      <c r="M1205" s="17">
        <f t="shared" si="365"/>
        <v>0</v>
      </c>
      <c r="N1205" s="12">
        <f t="shared" si="366"/>
        <v>0</v>
      </c>
      <c r="O1205" s="5"/>
      <c r="P1205" s="27" t="b">
        <f>IF($G1205&lt;&gt;0,SUMIF(куб!$G:$G,$G1205,куб!J:J),IF($E1205&lt;&gt;0,SUMIF(куб!$E:$E,$E1205,куб!J:J),IF($D1205&lt;&gt;0,SUMIF(куб!$D:$D,$D1205,куб!J:J),IF($C1205&lt;&gt;0,SUMIF(куб!$C:$C,$C1205,куб!J:J),IF($B1205&lt;&gt;0,SUMIF(куб!$B:$B,$B1205,куб!J:J))))))</f>
        <v>0</v>
      </c>
      <c r="Q1205" s="27" t="b">
        <f>IF($G1205&lt;&gt;0,SUMIF(куб!$G:$G,$G1205,куб!K:K),IF($E1205&lt;&gt;0,SUMIF(куб!$E:$E,$E1205,куб!K:K),IF($D1205&lt;&gt;0,SUMIF(куб!$D:$D,$D1205,куб!K:K),IF($C1205&lt;&gt;0,SUMIF(куб!$C:$C,$C1205,куб!K:K),IF($B1205&lt;&gt;0,SUMIF(куб!$B:$B,$B1205,куб!K:K))))))</f>
        <v>0</v>
      </c>
      <c r="R1205" s="13" t="str">
        <f t="shared" si="367"/>
        <v>-</v>
      </c>
      <c r="S1205" s="5"/>
      <c r="T1205" s="27" t="b">
        <f>IF($G1205&lt;&gt;0,SUMIF(куб!$G:$G,$G1205,куб!L:L),IF($E1205&lt;&gt;0,SUMIF(куб!$E:$E,$E1205,куб!L:L),IF($D1205&lt;&gt;0,SUMIF(куб!$D:$D,$D1205,куб!L:L),IF($C1205&lt;&gt;0,SUMIF(куб!$C:$C,$C1205,куб!L:L),IF($B1205&lt;&gt;0,SUMIF(куб!$B:$B,$B1205,куб!L:L))))))</f>
        <v>0</v>
      </c>
      <c r="U1205" s="27" t="b">
        <f>IF($G1205&lt;&gt;0,SUMIF(куб!$G:$G,$G1205,куб!M:M),IF($E1205&lt;&gt;0,SUMIF(куб!$E:$E,$E1205,куб!M:M),IF($D1205&lt;&gt;0,SUMIF(куб!$D:$D,$D1205,куб!M:M),IF($C1205&lt;&gt;0,SUMIF(куб!$C:$C,$C1205,куб!M:M),IF($B1205&lt;&gt;0,SUMIF(куб!$B:$B,$B1205,куб!M:M))))))</f>
        <v>0</v>
      </c>
      <c r="V1205" s="13" t="str">
        <f t="shared" si="368"/>
        <v>-</v>
      </c>
      <c r="W1205" s="5"/>
      <c r="X1205" s="27" t="b">
        <f>IF($G1205&lt;&gt;0,SUMIF(куб!$G:$G,$G1205,куб!N:N),IF($E1205&lt;&gt;0,SUMIF(куб!$E:$E,$E1205,куб!N:N),IF($D1205&lt;&gt;0,SUMIF(куб!$D:$D,$D1205,куб!N:N),IF($C1205&lt;&gt;0,SUMIF(куб!$C:$C,$C1205,куб!N:N),IF($B1205&lt;&gt;0,SUMIF(куб!$B:$B,$B1205,куб!N:N))))))</f>
        <v>0</v>
      </c>
      <c r="Y1205" s="27" t="b">
        <f>IF($G1205&lt;&gt;0,SUMIF(куб!$G:$G,$G1205,куб!O:O),IF($E1205&lt;&gt;0,SUMIF(куб!$E:$E,$E1205,куб!O:O),IF($D1205&lt;&gt;0,SUMIF(куб!$D:$D,$D1205,куб!O:O),IF($C1205&lt;&gt;0,SUMIF(куб!$C:$C,$C1205,куб!O:O),IF($B1205&lt;&gt;0,SUMIF(куб!$B:$B,$B1205,куб!O:O))))))</f>
        <v>0</v>
      </c>
      <c r="Z1205" s="13" t="str">
        <f t="shared" si="369"/>
        <v>-</v>
      </c>
      <c r="AA1205" s="5"/>
      <c r="AB1205" s="33" t="str">
        <f t="shared" si="370"/>
        <v/>
      </c>
      <c r="AC1205" s="33" t="str">
        <f t="shared" si="371"/>
        <v/>
      </c>
      <c r="AD1205" s="15" t="str">
        <f t="shared" si="372"/>
        <v xml:space="preserve"> </v>
      </c>
      <c r="AE1205" s="5"/>
      <c r="AF1205" s="27" t="b">
        <f>IF($G1205&lt;&gt;0,SUMIF(куб!$G:$G,$G1205,куб!R:R),IF($E1205&lt;&gt;0,SUMIF(куб!$E:$E,$E1205,куб!R:R),IF($D1205&lt;&gt;0,SUMIF(куб!$D:$D,$D1205,куб!R:R),IF($C1205&lt;&gt;0,SUMIF(куб!$C:$C,$C1205,куб!R:R),IF($B1205&lt;&gt;0,SUMIF(куб!$B:$B,$B1205,куб!R:R))))))</f>
        <v>0</v>
      </c>
      <c r="AG1205" s="27" t="b">
        <f>IF($G1205&lt;&gt;0,SUMIF(куб!$G:$G,$G1205,куб!S:S),IF($E1205&lt;&gt;0,SUMIF(куб!$E:$E,$E1205,куб!S:S),IF($D1205&lt;&gt;0,SUMIF(куб!$D:$D,$D1205,куб!S:S),IF($C1205&lt;&gt;0,SUMIF(куб!$C:$C,$C1205,куб!S:S),IF($B1205&lt;&gt;0,SUMIF(куб!$B:$B,$B1205,куб!S:S))))))</f>
        <v>0</v>
      </c>
      <c r="AH1205" s="16" t="str">
        <f t="shared" si="373"/>
        <v>-</v>
      </c>
      <c r="AI1205" s="8"/>
      <c r="AJ1205" s="27" t="b">
        <f>IF($G1205&lt;&gt;0,SUMIF(куб!$G:$G,$G1205,куб!T:T),IF($E1205&lt;&gt;0,SUMIF(куб!$E:$E,$E1205,куб!T:T),IF($D1205&lt;&gt;0,SUMIF(куб!$D:$D,$D1205,куб!T:T),IF($C1205&lt;&gt;0,SUMIF(куб!$C:$C,$C1205,куб!T:T),IF($B1205&lt;&gt;0,SUMIF(куб!$B:$B,$B1205,куб!T:T))))))</f>
        <v>0</v>
      </c>
      <c r="AK1205" s="27" t="b">
        <f>IF($G1205&lt;&gt;0,SUMIF(куб!$G:$G,$G1205,куб!U:U),IF($E1205&lt;&gt;0,SUMIF(куб!$E:$E,$E1205,куб!U:U),IF($D1205&lt;&gt;0,SUMIF(куб!$D:$D,$D1205,куб!U:U),IF($C1205&lt;&gt;0,SUMIF(куб!$C:$C,$C1205,куб!U:U),IF($B1205&lt;&gt;0,SUMIF(куб!$B:$B,$B1205,куб!U:U))))))</f>
        <v>0</v>
      </c>
      <c r="AL1205" s="16" t="str">
        <f t="shared" si="374"/>
        <v>-</v>
      </c>
      <c r="AM1205" s="8"/>
      <c r="AN1205" s="17" t="str">
        <f t="shared" si="375"/>
        <v xml:space="preserve"> </v>
      </c>
      <c r="AO1205" s="17" t="str">
        <f t="shared" si="376"/>
        <v xml:space="preserve"> </v>
      </c>
      <c r="AP1205" s="16" t="str">
        <f t="shared" si="377"/>
        <v>-</v>
      </c>
      <c r="AQ1205" s="8"/>
      <c r="AR1205" s="17" t="str">
        <f t="shared" si="378"/>
        <v>-</v>
      </c>
      <c r="AS1205" s="17" t="str">
        <f t="shared" si="379"/>
        <v>-</v>
      </c>
      <c r="AT1205" s="13" t="str">
        <f t="shared" si="380"/>
        <v>-</v>
      </c>
      <c r="AU1205" s="8"/>
    </row>
    <row r="1206" spans="8:47" x14ac:dyDescent="0.25">
      <c r="H1206" s="27">
        <f>IF($G1206&lt;&gt;0,SUMIF(куб!$G:$G,$G1206,куб!H:H),IF($E1206&lt;&gt;0,SUMIF(куб!$E:$E,$E1206,куб!H:H),IF($D1206&lt;&gt;0,SUMIF(куб!$D:$D,$D1206,куб!H:H),IF($C1206&lt;&gt;0,SUMIF(куб!$C:$C,$C1206,куб!H:H),IF($B1206&lt;&gt;0,SUMIF(куб!$B:$B,$B1206,куб!H:H),IF($G1206&lt;&gt;0,SUMIF(куб!$A:$A,$G1206,куб!H:H),SUMIF(куб!$A:$A,$G1206,куб!H:H)))))))</f>
        <v>0</v>
      </c>
      <c r="I1206" s="27">
        <f>IF($G1206&lt;&gt;0,SUMIF(куб!$G:$G,$G1206,куб!I:I),IF($E1206&lt;&gt;0,SUMIF(куб!$E:$E,$E1206,куб!I:I),IF($D1206&lt;&gt;0,SUMIF(куб!$D:$D,$D1206,куб!I:I),IF($C1206&lt;&gt;0,SUMIF(куб!$C:$C,$C1206,куб!I:I),IF($B1206&lt;&gt;0,SUMIF(куб!$B:$B,$B1206,куб!I:I),IF($G1206&lt;&gt;0,SUMIF(куб!$A:$A,$G1206,куб!I:I),SUMIF(куб!$A:$A,$G1206,куб!I:I)))))))</f>
        <v>0</v>
      </c>
      <c r="J1206" s="19" t="str">
        <f t="shared" si="363"/>
        <v>-</v>
      </c>
      <c r="K1206" s="8"/>
      <c r="L1206" s="17">
        <f t="shared" si="364"/>
        <v>0</v>
      </c>
      <c r="M1206" s="17">
        <f t="shared" si="365"/>
        <v>0</v>
      </c>
      <c r="N1206" s="12">
        <f t="shared" si="366"/>
        <v>0</v>
      </c>
      <c r="O1206" s="5"/>
      <c r="P1206" s="27" t="b">
        <f>IF($G1206&lt;&gt;0,SUMIF(куб!$G:$G,$G1206,куб!J:J),IF($E1206&lt;&gt;0,SUMIF(куб!$E:$E,$E1206,куб!J:J),IF($D1206&lt;&gt;0,SUMIF(куб!$D:$D,$D1206,куб!J:J),IF($C1206&lt;&gt;0,SUMIF(куб!$C:$C,$C1206,куб!J:J),IF($B1206&lt;&gt;0,SUMIF(куб!$B:$B,$B1206,куб!J:J))))))</f>
        <v>0</v>
      </c>
      <c r="Q1206" s="27" t="b">
        <f>IF($G1206&lt;&gt;0,SUMIF(куб!$G:$G,$G1206,куб!K:K),IF($E1206&lt;&gt;0,SUMIF(куб!$E:$E,$E1206,куб!K:K),IF($D1206&lt;&gt;0,SUMIF(куб!$D:$D,$D1206,куб!K:K),IF($C1206&lt;&gt;0,SUMIF(куб!$C:$C,$C1206,куб!K:K),IF($B1206&lt;&gt;0,SUMIF(куб!$B:$B,$B1206,куб!K:K))))))</f>
        <v>0</v>
      </c>
      <c r="R1206" s="13" t="str">
        <f t="shared" si="367"/>
        <v>-</v>
      </c>
      <c r="S1206" s="5"/>
      <c r="T1206" s="27" t="b">
        <f>IF($G1206&lt;&gt;0,SUMIF(куб!$G:$G,$G1206,куб!L:L),IF($E1206&lt;&gt;0,SUMIF(куб!$E:$E,$E1206,куб!L:L),IF($D1206&lt;&gt;0,SUMIF(куб!$D:$D,$D1206,куб!L:L),IF($C1206&lt;&gt;0,SUMIF(куб!$C:$C,$C1206,куб!L:L),IF($B1206&lt;&gt;0,SUMIF(куб!$B:$B,$B1206,куб!L:L))))))</f>
        <v>0</v>
      </c>
      <c r="U1206" s="27" t="b">
        <f>IF($G1206&lt;&gt;0,SUMIF(куб!$G:$G,$G1206,куб!M:M),IF($E1206&lt;&gt;0,SUMIF(куб!$E:$E,$E1206,куб!M:M),IF($D1206&lt;&gt;0,SUMIF(куб!$D:$D,$D1206,куб!M:M),IF($C1206&lt;&gt;0,SUMIF(куб!$C:$C,$C1206,куб!M:M),IF($B1206&lt;&gt;0,SUMIF(куб!$B:$B,$B1206,куб!M:M))))))</f>
        <v>0</v>
      </c>
      <c r="V1206" s="13" t="str">
        <f t="shared" si="368"/>
        <v>-</v>
      </c>
      <c r="W1206" s="5"/>
      <c r="X1206" s="27" t="b">
        <f>IF($G1206&lt;&gt;0,SUMIF(куб!$G:$G,$G1206,куб!N:N),IF($E1206&lt;&gt;0,SUMIF(куб!$E:$E,$E1206,куб!N:N),IF($D1206&lt;&gt;0,SUMIF(куб!$D:$D,$D1206,куб!N:N),IF($C1206&lt;&gt;0,SUMIF(куб!$C:$C,$C1206,куб!N:N),IF($B1206&lt;&gt;0,SUMIF(куб!$B:$B,$B1206,куб!N:N))))))</f>
        <v>0</v>
      </c>
      <c r="Y1206" s="27" t="b">
        <f>IF($G1206&lt;&gt;0,SUMIF(куб!$G:$G,$G1206,куб!O:O),IF($E1206&lt;&gt;0,SUMIF(куб!$E:$E,$E1206,куб!O:O),IF($D1206&lt;&gt;0,SUMIF(куб!$D:$D,$D1206,куб!O:O),IF($C1206&lt;&gt;0,SUMIF(куб!$C:$C,$C1206,куб!O:O),IF($B1206&lt;&gt;0,SUMIF(куб!$B:$B,$B1206,куб!O:O))))))</f>
        <v>0</v>
      </c>
      <c r="Z1206" s="13" t="str">
        <f t="shared" si="369"/>
        <v>-</v>
      </c>
      <c r="AA1206" s="5"/>
      <c r="AB1206" s="33" t="str">
        <f t="shared" si="370"/>
        <v/>
      </c>
      <c r="AC1206" s="33" t="str">
        <f t="shared" si="371"/>
        <v/>
      </c>
      <c r="AD1206" s="15" t="str">
        <f t="shared" si="372"/>
        <v xml:space="preserve"> </v>
      </c>
      <c r="AE1206" s="5"/>
      <c r="AF1206" s="27" t="b">
        <f>IF($G1206&lt;&gt;0,SUMIF(куб!$G:$G,$G1206,куб!R:R),IF($E1206&lt;&gt;0,SUMIF(куб!$E:$E,$E1206,куб!R:R),IF($D1206&lt;&gt;0,SUMIF(куб!$D:$D,$D1206,куб!R:R),IF($C1206&lt;&gt;0,SUMIF(куб!$C:$C,$C1206,куб!R:R),IF($B1206&lt;&gt;0,SUMIF(куб!$B:$B,$B1206,куб!R:R))))))</f>
        <v>0</v>
      </c>
      <c r="AG1206" s="27" t="b">
        <f>IF($G1206&lt;&gt;0,SUMIF(куб!$G:$G,$G1206,куб!S:S),IF($E1206&lt;&gt;0,SUMIF(куб!$E:$E,$E1206,куб!S:S),IF($D1206&lt;&gt;0,SUMIF(куб!$D:$D,$D1206,куб!S:S),IF($C1206&lt;&gt;0,SUMIF(куб!$C:$C,$C1206,куб!S:S),IF($B1206&lt;&gt;0,SUMIF(куб!$B:$B,$B1206,куб!S:S))))))</f>
        <v>0</v>
      </c>
      <c r="AH1206" s="16" t="str">
        <f t="shared" si="373"/>
        <v>-</v>
      </c>
      <c r="AI1206" s="8"/>
      <c r="AJ1206" s="27" t="b">
        <f>IF($G1206&lt;&gt;0,SUMIF(куб!$G:$G,$G1206,куб!T:T),IF($E1206&lt;&gt;0,SUMIF(куб!$E:$E,$E1206,куб!T:T),IF($D1206&lt;&gt;0,SUMIF(куб!$D:$D,$D1206,куб!T:T),IF($C1206&lt;&gt;0,SUMIF(куб!$C:$C,$C1206,куб!T:T),IF($B1206&lt;&gt;0,SUMIF(куб!$B:$B,$B1206,куб!T:T))))))</f>
        <v>0</v>
      </c>
      <c r="AK1206" s="27" t="b">
        <f>IF($G1206&lt;&gt;0,SUMIF(куб!$G:$G,$G1206,куб!U:U),IF($E1206&lt;&gt;0,SUMIF(куб!$E:$E,$E1206,куб!U:U),IF($D1206&lt;&gt;0,SUMIF(куб!$D:$D,$D1206,куб!U:U),IF($C1206&lt;&gt;0,SUMIF(куб!$C:$C,$C1206,куб!U:U),IF($B1206&lt;&gt;0,SUMIF(куб!$B:$B,$B1206,куб!U:U))))))</f>
        <v>0</v>
      </c>
      <c r="AL1206" s="16" t="str">
        <f t="shared" si="374"/>
        <v>-</v>
      </c>
      <c r="AM1206" s="8"/>
      <c r="AN1206" s="17" t="str">
        <f t="shared" si="375"/>
        <v xml:space="preserve"> </v>
      </c>
      <c r="AO1206" s="17" t="str">
        <f t="shared" si="376"/>
        <v xml:space="preserve"> </v>
      </c>
      <c r="AP1206" s="16" t="str">
        <f t="shared" si="377"/>
        <v>-</v>
      </c>
      <c r="AQ1206" s="8"/>
      <c r="AR1206" s="17" t="str">
        <f t="shared" si="378"/>
        <v>-</v>
      </c>
      <c r="AS1206" s="17" t="str">
        <f t="shared" si="379"/>
        <v>-</v>
      </c>
      <c r="AT1206" s="13" t="str">
        <f t="shared" si="380"/>
        <v>-</v>
      </c>
      <c r="AU1206" s="8"/>
    </row>
    <row r="1207" spans="8:47" x14ac:dyDescent="0.25">
      <c r="H1207" s="27">
        <f>IF($G1207&lt;&gt;0,SUMIF(куб!$G:$G,$G1207,куб!H:H),IF($E1207&lt;&gt;0,SUMIF(куб!$E:$E,$E1207,куб!H:H),IF($D1207&lt;&gt;0,SUMIF(куб!$D:$D,$D1207,куб!H:H),IF($C1207&lt;&gt;0,SUMIF(куб!$C:$C,$C1207,куб!H:H),IF($B1207&lt;&gt;0,SUMIF(куб!$B:$B,$B1207,куб!H:H),IF($G1207&lt;&gt;0,SUMIF(куб!$A:$A,$G1207,куб!H:H),SUMIF(куб!$A:$A,$G1207,куб!H:H)))))))</f>
        <v>0</v>
      </c>
      <c r="I1207" s="27">
        <f>IF($G1207&lt;&gt;0,SUMIF(куб!$G:$G,$G1207,куб!I:I),IF($E1207&lt;&gt;0,SUMIF(куб!$E:$E,$E1207,куб!I:I),IF($D1207&lt;&gt;0,SUMIF(куб!$D:$D,$D1207,куб!I:I),IF($C1207&lt;&gt;0,SUMIF(куб!$C:$C,$C1207,куб!I:I),IF($B1207&lt;&gt;0,SUMIF(куб!$B:$B,$B1207,куб!I:I),IF($G1207&lt;&gt;0,SUMIF(куб!$A:$A,$G1207,куб!I:I),SUMIF(куб!$A:$A,$G1207,куб!I:I)))))))</f>
        <v>0</v>
      </c>
      <c r="J1207" s="19" t="str">
        <f t="shared" si="363"/>
        <v>-</v>
      </c>
      <c r="K1207" s="8"/>
      <c r="L1207" s="17">
        <f t="shared" si="364"/>
        <v>0</v>
      </c>
      <c r="M1207" s="17">
        <f t="shared" si="365"/>
        <v>0</v>
      </c>
      <c r="N1207" s="12">
        <f t="shared" si="366"/>
        <v>0</v>
      </c>
      <c r="O1207" s="5"/>
      <c r="P1207" s="27" t="b">
        <f>IF($G1207&lt;&gt;0,SUMIF(куб!$G:$G,$G1207,куб!J:J),IF($E1207&lt;&gt;0,SUMIF(куб!$E:$E,$E1207,куб!J:J),IF($D1207&lt;&gt;0,SUMIF(куб!$D:$D,$D1207,куб!J:J),IF($C1207&lt;&gt;0,SUMIF(куб!$C:$C,$C1207,куб!J:J),IF($B1207&lt;&gt;0,SUMIF(куб!$B:$B,$B1207,куб!J:J))))))</f>
        <v>0</v>
      </c>
      <c r="Q1207" s="27" t="b">
        <f>IF($G1207&lt;&gt;0,SUMIF(куб!$G:$G,$G1207,куб!K:K),IF($E1207&lt;&gt;0,SUMIF(куб!$E:$E,$E1207,куб!K:K),IF($D1207&lt;&gt;0,SUMIF(куб!$D:$D,$D1207,куб!K:K),IF($C1207&lt;&gt;0,SUMIF(куб!$C:$C,$C1207,куб!K:K),IF($B1207&lt;&gt;0,SUMIF(куб!$B:$B,$B1207,куб!K:K))))))</f>
        <v>0</v>
      </c>
      <c r="R1207" s="13" t="str">
        <f t="shared" si="367"/>
        <v>-</v>
      </c>
      <c r="S1207" s="5"/>
      <c r="T1207" s="27" t="b">
        <f>IF($G1207&lt;&gt;0,SUMIF(куб!$G:$G,$G1207,куб!L:L),IF($E1207&lt;&gt;0,SUMIF(куб!$E:$E,$E1207,куб!L:L),IF($D1207&lt;&gt;0,SUMIF(куб!$D:$D,$D1207,куб!L:L),IF($C1207&lt;&gt;0,SUMIF(куб!$C:$C,$C1207,куб!L:L),IF($B1207&lt;&gt;0,SUMIF(куб!$B:$B,$B1207,куб!L:L))))))</f>
        <v>0</v>
      </c>
      <c r="U1207" s="27" t="b">
        <f>IF($G1207&lt;&gt;0,SUMIF(куб!$G:$G,$G1207,куб!M:M),IF($E1207&lt;&gt;0,SUMIF(куб!$E:$E,$E1207,куб!M:M),IF($D1207&lt;&gt;0,SUMIF(куб!$D:$D,$D1207,куб!M:M),IF($C1207&lt;&gt;0,SUMIF(куб!$C:$C,$C1207,куб!M:M),IF($B1207&lt;&gt;0,SUMIF(куб!$B:$B,$B1207,куб!M:M))))))</f>
        <v>0</v>
      </c>
      <c r="V1207" s="13" t="str">
        <f t="shared" si="368"/>
        <v>-</v>
      </c>
      <c r="W1207" s="5"/>
      <c r="X1207" s="27" t="b">
        <f>IF($G1207&lt;&gt;0,SUMIF(куб!$G:$G,$G1207,куб!N:N),IF($E1207&lt;&gt;0,SUMIF(куб!$E:$E,$E1207,куб!N:N),IF($D1207&lt;&gt;0,SUMIF(куб!$D:$D,$D1207,куб!N:N),IF($C1207&lt;&gt;0,SUMIF(куб!$C:$C,$C1207,куб!N:N),IF($B1207&lt;&gt;0,SUMIF(куб!$B:$B,$B1207,куб!N:N))))))</f>
        <v>0</v>
      </c>
      <c r="Y1207" s="27" t="b">
        <f>IF($G1207&lt;&gt;0,SUMIF(куб!$G:$G,$G1207,куб!O:O),IF($E1207&lt;&gt;0,SUMIF(куб!$E:$E,$E1207,куб!O:O),IF($D1207&lt;&gt;0,SUMIF(куб!$D:$D,$D1207,куб!O:O),IF($C1207&lt;&gt;0,SUMIF(куб!$C:$C,$C1207,куб!O:O),IF($B1207&lt;&gt;0,SUMIF(куб!$B:$B,$B1207,куб!O:O))))))</f>
        <v>0</v>
      </c>
      <c r="Z1207" s="13" t="str">
        <f t="shared" si="369"/>
        <v>-</v>
      </c>
      <c r="AA1207" s="5"/>
      <c r="AB1207" s="33" t="str">
        <f t="shared" si="370"/>
        <v/>
      </c>
      <c r="AC1207" s="33" t="str">
        <f t="shared" si="371"/>
        <v/>
      </c>
      <c r="AD1207" s="15" t="str">
        <f t="shared" si="372"/>
        <v xml:space="preserve"> </v>
      </c>
      <c r="AE1207" s="5"/>
      <c r="AF1207" s="27" t="b">
        <f>IF($G1207&lt;&gt;0,SUMIF(куб!$G:$G,$G1207,куб!R:R),IF($E1207&lt;&gt;0,SUMIF(куб!$E:$E,$E1207,куб!R:R),IF($D1207&lt;&gt;0,SUMIF(куб!$D:$D,$D1207,куб!R:R),IF($C1207&lt;&gt;0,SUMIF(куб!$C:$C,$C1207,куб!R:R),IF($B1207&lt;&gt;0,SUMIF(куб!$B:$B,$B1207,куб!R:R))))))</f>
        <v>0</v>
      </c>
      <c r="AG1207" s="27" t="b">
        <f>IF($G1207&lt;&gt;0,SUMIF(куб!$G:$G,$G1207,куб!S:S),IF($E1207&lt;&gt;0,SUMIF(куб!$E:$E,$E1207,куб!S:S),IF($D1207&lt;&gt;0,SUMIF(куб!$D:$D,$D1207,куб!S:S),IF($C1207&lt;&gt;0,SUMIF(куб!$C:$C,$C1207,куб!S:S),IF($B1207&lt;&gt;0,SUMIF(куб!$B:$B,$B1207,куб!S:S))))))</f>
        <v>0</v>
      </c>
      <c r="AH1207" s="16" t="str">
        <f t="shared" si="373"/>
        <v>-</v>
      </c>
      <c r="AI1207" s="8"/>
      <c r="AJ1207" s="27" t="b">
        <f>IF($G1207&lt;&gt;0,SUMIF(куб!$G:$G,$G1207,куб!T:T),IF($E1207&lt;&gt;0,SUMIF(куб!$E:$E,$E1207,куб!T:T),IF($D1207&lt;&gt;0,SUMIF(куб!$D:$D,$D1207,куб!T:T),IF($C1207&lt;&gt;0,SUMIF(куб!$C:$C,$C1207,куб!T:T),IF($B1207&lt;&gt;0,SUMIF(куб!$B:$B,$B1207,куб!T:T))))))</f>
        <v>0</v>
      </c>
      <c r="AK1207" s="27" t="b">
        <f>IF($G1207&lt;&gt;0,SUMIF(куб!$G:$G,$G1207,куб!U:U),IF($E1207&lt;&gt;0,SUMIF(куб!$E:$E,$E1207,куб!U:U),IF($D1207&lt;&gt;0,SUMIF(куб!$D:$D,$D1207,куб!U:U),IF($C1207&lt;&gt;0,SUMIF(куб!$C:$C,$C1207,куб!U:U),IF($B1207&lt;&gt;0,SUMIF(куб!$B:$B,$B1207,куб!U:U))))))</f>
        <v>0</v>
      </c>
      <c r="AL1207" s="16" t="str">
        <f t="shared" si="374"/>
        <v>-</v>
      </c>
      <c r="AM1207" s="8"/>
      <c r="AN1207" s="17" t="str">
        <f t="shared" si="375"/>
        <v xml:space="preserve"> </v>
      </c>
      <c r="AO1207" s="17" t="str">
        <f t="shared" si="376"/>
        <v xml:space="preserve"> </v>
      </c>
      <c r="AP1207" s="16" t="str">
        <f t="shared" si="377"/>
        <v>-</v>
      </c>
      <c r="AQ1207" s="8"/>
      <c r="AR1207" s="17" t="str">
        <f t="shared" si="378"/>
        <v>-</v>
      </c>
      <c r="AS1207" s="17" t="str">
        <f t="shared" si="379"/>
        <v>-</v>
      </c>
      <c r="AT1207" s="13" t="str">
        <f t="shared" si="380"/>
        <v>-</v>
      </c>
      <c r="AU1207" s="8"/>
    </row>
    <row r="1208" spans="8:47" x14ac:dyDescent="0.25">
      <c r="H1208" s="27">
        <f>IF($G1208&lt;&gt;0,SUMIF(куб!$G:$G,$G1208,куб!H:H),IF($E1208&lt;&gt;0,SUMIF(куб!$E:$E,$E1208,куб!H:H),IF($D1208&lt;&gt;0,SUMIF(куб!$D:$D,$D1208,куб!H:H),IF($C1208&lt;&gt;0,SUMIF(куб!$C:$C,$C1208,куб!H:H),IF($B1208&lt;&gt;0,SUMIF(куб!$B:$B,$B1208,куб!H:H),IF($G1208&lt;&gt;0,SUMIF(куб!$A:$A,$G1208,куб!H:H),SUMIF(куб!$A:$A,$G1208,куб!H:H)))))))</f>
        <v>0</v>
      </c>
      <c r="I1208" s="27">
        <f>IF($G1208&lt;&gt;0,SUMIF(куб!$G:$G,$G1208,куб!I:I),IF($E1208&lt;&gt;0,SUMIF(куб!$E:$E,$E1208,куб!I:I),IF($D1208&lt;&gt;0,SUMIF(куб!$D:$D,$D1208,куб!I:I),IF($C1208&lt;&gt;0,SUMIF(куб!$C:$C,$C1208,куб!I:I),IF($B1208&lt;&gt;0,SUMIF(куб!$B:$B,$B1208,куб!I:I),IF($G1208&lt;&gt;0,SUMIF(куб!$A:$A,$G1208,куб!I:I),SUMIF(куб!$A:$A,$G1208,куб!I:I)))))))</f>
        <v>0</v>
      </c>
      <c r="J1208" s="19" t="str">
        <f t="shared" ref="J1208:J1271" si="381">IFERROR((I1208-H1208)/ABS(H1208),"-")</f>
        <v>-</v>
      </c>
      <c r="K1208" s="8"/>
      <c r="L1208" s="17">
        <f t="shared" ref="L1208:L1271" si="382">H1208/$H$3</f>
        <v>0</v>
      </c>
      <c r="M1208" s="17">
        <f t="shared" ref="M1208:M1271" si="383">I1208/$I$3</f>
        <v>0</v>
      </c>
      <c r="N1208" s="12">
        <f t="shared" ref="N1208:N1271" si="384">M1208-L1208</f>
        <v>0</v>
      </c>
      <c r="O1208" s="5"/>
      <c r="P1208" s="27" t="b">
        <f>IF($G1208&lt;&gt;0,SUMIF(куб!$G:$G,$G1208,куб!J:J),IF($E1208&lt;&gt;0,SUMIF(куб!$E:$E,$E1208,куб!J:J),IF($D1208&lt;&gt;0,SUMIF(куб!$D:$D,$D1208,куб!J:J),IF($C1208&lt;&gt;0,SUMIF(куб!$C:$C,$C1208,куб!J:J),IF($B1208&lt;&gt;0,SUMIF(куб!$B:$B,$B1208,куб!J:J))))))</f>
        <v>0</v>
      </c>
      <c r="Q1208" s="27" t="b">
        <f>IF($G1208&lt;&gt;0,SUMIF(куб!$G:$G,$G1208,куб!K:K),IF($E1208&lt;&gt;0,SUMIF(куб!$E:$E,$E1208,куб!K:K),IF($D1208&lt;&gt;0,SUMIF(куб!$D:$D,$D1208,куб!K:K),IF($C1208&lt;&gt;0,SUMIF(куб!$C:$C,$C1208,куб!K:K),IF($B1208&lt;&gt;0,SUMIF(куб!$B:$B,$B1208,куб!K:K))))))</f>
        <v>0</v>
      </c>
      <c r="R1208" s="13" t="str">
        <f t="shared" ref="R1208:R1271" si="385">IFERROR((Q1208-P1208)/ABS(P1208),"-")</f>
        <v>-</v>
      </c>
      <c r="S1208" s="5"/>
      <c r="T1208" s="27" t="b">
        <f>IF($G1208&lt;&gt;0,SUMIF(куб!$G:$G,$G1208,куб!L:L),IF($E1208&lt;&gt;0,SUMIF(куб!$E:$E,$E1208,куб!L:L),IF($D1208&lt;&gt;0,SUMIF(куб!$D:$D,$D1208,куб!L:L),IF($C1208&lt;&gt;0,SUMIF(куб!$C:$C,$C1208,куб!L:L),IF($B1208&lt;&gt;0,SUMIF(куб!$B:$B,$B1208,куб!L:L))))))</f>
        <v>0</v>
      </c>
      <c r="U1208" s="27" t="b">
        <f>IF($G1208&lt;&gt;0,SUMIF(куб!$G:$G,$G1208,куб!M:M),IF($E1208&lt;&gt;0,SUMIF(куб!$E:$E,$E1208,куб!M:M),IF($D1208&lt;&gt;0,SUMIF(куб!$D:$D,$D1208,куб!M:M),IF($C1208&lt;&gt;0,SUMIF(куб!$C:$C,$C1208,куб!M:M),IF($B1208&lt;&gt;0,SUMIF(куб!$B:$B,$B1208,куб!M:M))))))</f>
        <v>0</v>
      </c>
      <c r="V1208" s="13" t="str">
        <f t="shared" ref="V1208:V1271" si="386">IFERROR((U1208-T1208)/ABS(T1208),"-")</f>
        <v>-</v>
      </c>
      <c r="W1208" s="5"/>
      <c r="X1208" s="27" t="b">
        <f>IF($G1208&lt;&gt;0,SUMIF(куб!$G:$G,$G1208,куб!N:N),IF($E1208&lt;&gt;0,SUMIF(куб!$E:$E,$E1208,куб!N:N),IF($D1208&lt;&gt;0,SUMIF(куб!$D:$D,$D1208,куб!N:N),IF($C1208&lt;&gt;0,SUMIF(куб!$C:$C,$C1208,куб!N:N),IF($B1208&lt;&gt;0,SUMIF(куб!$B:$B,$B1208,куб!N:N))))))</f>
        <v>0</v>
      </c>
      <c r="Y1208" s="27" t="b">
        <f>IF($G1208&lt;&gt;0,SUMIF(куб!$G:$G,$G1208,куб!O:O),IF($E1208&lt;&gt;0,SUMIF(куб!$E:$E,$E1208,куб!O:O),IF($D1208&lt;&gt;0,SUMIF(куб!$D:$D,$D1208,куб!O:O),IF($C1208&lt;&gt;0,SUMIF(куб!$C:$C,$C1208,куб!O:O),IF($B1208&lt;&gt;0,SUMIF(куб!$B:$B,$B1208,куб!O:O))))))</f>
        <v>0</v>
      </c>
      <c r="Z1208" s="13" t="str">
        <f t="shared" ref="Z1208:Z1271" si="387">IFERROR((Y1208-X1208)/ABS(X1208),"-")</f>
        <v>-</v>
      </c>
      <c r="AA1208" s="5"/>
      <c r="AB1208" s="33" t="str">
        <f t="shared" ref="AB1208:AB1271" si="388">IFERROR(X1208/H1208,"")</f>
        <v/>
      </c>
      <c r="AC1208" s="33" t="str">
        <f t="shared" ref="AC1208:AC1271" si="389">IFERROR(Y1208/I1208,"")</f>
        <v/>
      </c>
      <c r="AD1208" s="15" t="str">
        <f t="shared" ref="AD1208:AD1271" si="390">IFERROR(AC1208-AB1208," ")</f>
        <v xml:space="preserve"> </v>
      </c>
      <c r="AE1208" s="5"/>
      <c r="AF1208" s="27" t="b">
        <f>IF($G1208&lt;&gt;0,SUMIF(куб!$G:$G,$G1208,куб!R:R),IF($E1208&lt;&gt;0,SUMIF(куб!$E:$E,$E1208,куб!R:R),IF($D1208&lt;&gt;0,SUMIF(куб!$D:$D,$D1208,куб!R:R),IF($C1208&lt;&gt;0,SUMIF(куб!$C:$C,$C1208,куб!R:R),IF($B1208&lt;&gt;0,SUMIF(куб!$B:$B,$B1208,куб!R:R))))))</f>
        <v>0</v>
      </c>
      <c r="AG1208" s="27" t="b">
        <f>IF($G1208&lt;&gt;0,SUMIF(куб!$G:$G,$G1208,куб!S:S),IF($E1208&lt;&gt;0,SUMIF(куб!$E:$E,$E1208,куб!S:S),IF($D1208&lt;&gt;0,SUMIF(куб!$D:$D,$D1208,куб!S:S),IF($C1208&lt;&gt;0,SUMIF(куб!$C:$C,$C1208,куб!S:S),IF($B1208&lt;&gt;0,SUMIF(куб!$B:$B,$B1208,куб!S:S))))))</f>
        <v>0</v>
      </c>
      <c r="AH1208" s="16" t="str">
        <f t="shared" ref="AH1208:AH1271" si="391">IFERROR((AG1208-AF1208)/ABS(AF1208),"-")</f>
        <v>-</v>
      </c>
      <c r="AI1208" s="8"/>
      <c r="AJ1208" s="27" t="b">
        <f>IF($G1208&lt;&gt;0,SUMIF(куб!$G:$G,$G1208,куб!T:T),IF($E1208&lt;&gt;0,SUMIF(куб!$E:$E,$E1208,куб!T:T),IF($D1208&lt;&gt;0,SUMIF(куб!$D:$D,$D1208,куб!T:T),IF($C1208&lt;&gt;0,SUMIF(куб!$C:$C,$C1208,куб!T:T),IF($B1208&lt;&gt;0,SUMIF(куб!$B:$B,$B1208,куб!T:T))))))</f>
        <v>0</v>
      </c>
      <c r="AK1208" s="27" t="b">
        <f>IF($G1208&lt;&gt;0,SUMIF(куб!$G:$G,$G1208,куб!U:U),IF($E1208&lt;&gt;0,SUMIF(куб!$E:$E,$E1208,куб!U:U),IF($D1208&lt;&gt;0,SUMIF(куб!$D:$D,$D1208,куб!U:U),IF($C1208&lt;&gt;0,SUMIF(куб!$C:$C,$C1208,куб!U:U),IF($B1208&lt;&gt;0,SUMIF(куб!$B:$B,$B1208,куб!U:U))))))</f>
        <v>0</v>
      </c>
      <c r="AL1208" s="16" t="str">
        <f t="shared" ref="AL1208:AL1271" si="392">IFERROR((AK1208-AJ1208)/ABS(AJ1208),"-")</f>
        <v>-</v>
      </c>
      <c r="AM1208" s="8"/>
      <c r="AN1208" s="17" t="str">
        <f t="shared" ref="AN1208:AN1271" si="393">IFERROR(AF1208/H1208," ")</f>
        <v xml:space="preserve"> </v>
      </c>
      <c r="AO1208" s="17" t="str">
        <f t="shared" ref="AO1208:AO1271" si="394">IFERROR(AG1208/I1208," ")</f>
        <v xml:space="preserve"> </v>
      </c>
      <c r="AP1208" s="16" t="str">
        <f t="shared" ref="AP1208:AP1271" si="395">IFERROR(AO1208-AN1208,"-")</f>
        <v>-</v>
      </c>
      <c r="AQ1208" s="8"/>
      <c r="AR1208" s="17" t="str">
        <f t="shared" ref="AR1208:AR1271" si="396">IFERROR((X1208-AF1208)/H1208,"-")</f>
        <v>-</v>
      </c>
      <c r="AS1208" s="17" t="str">
        <f t="shared" ref="AS1208:AS1271" si="397">IFERROR((Y1208-AG1208)/I1208,"-")</f>
        <v>-</v>
      </c>
      <c r="AT1208" s="13" t="str">
        <f t="shared" ref="AT1208:AT1271" si="398">IFERROR(AS1208-AR1208,"-")</f>
        <v>-</v>
      </c>
      <c r="AU1208" s="8"/>
    </row>
    <row r="1209" spans="8:47" x14ac:dyDescent="0.25">
      <c r="H1209" s="27">
        <f>IF($G1209&lt;&gt;0,SUMIF(куб!$G:$G,$G1209,куб!H:H),IF($E1209&lt;&gt;0,SUMIF(куб!$E:$E,$E1209,куб!H:H),IF($D1209&lt;&gt;0,SUMIF(куб!$D:$D,$D1209,куб!H:H),IF($C1209&lt;&gt;0,SUMIF(куб!$C:$C,$C1209,куб!H:H),IF($B1209&lt;&gt;0,SUMIF(куб!$B:$B,$B1209,куб!H:H),IF($G1209&lt;&gt;0,SUMIF(куб!$A:$A,$G1209,куб!H:H),SUMIF(куб!$A:$A,$G1209,куб!H:H)))))))</f>
        <v>0</v>
      </c>
      <c r="I1209" s="27">
        <f>IF($G1209&lt;&gt;0,SUMIF(куб!$G:$G,$G1209,куб!I:I),IF($E1209&lt;&gt;0,SUMIF(куб!$E:$E,$E1209,куб!I:I),IF($D1209&lt;&gt;0,SUMIF(куб!$D:$D,$D1209,куб!I:I),IF($C1209&lt;&gt;0,SUMIF(куб!$C:$C,$C1209,куб!I:I),IF($B1209&lt;&gt;0,SUMIF(куб!$B:$B,$B1209,куб!I:I),IF($G1209&lt;&gt;0,SUMIF(куб!$A:$A,$G1209,куб!I:I),SUMIF(куб!$A:$A,$G1209,куб!I:I)))))))</f>
        <v>0</v>
      </c>
      <c r="J1209" s="19" t="str">
        <f t="shared" si="381"/>
        <v>-</v>
      </c>
      <c r="K1209" s="8"/>
      <c r="L1209" s="17">
        <f t="shared" si="382"/>
        <v>0</v>
      </c>
      <c r="M1209" s="17">
        <f t="shared" si="383"/>
        <v>0</v>
      </c>
      <c r="N1209" s="12">
        <f t="shared" si="384"/>
        <v>0</v>
      </c>
      <c r="O1209" s="5"/>
      <c r="P1209" s="27" t="b">
        <f>IF($G1209&lt;&gt;0,SUMIF(куб!$G:$G,$G1209,куб!J:J),IF($E1209&lt;&gt;0,SUMIF(куб!$E:$E,$E1209,куб!J:J),IF($D1209&lt;&gt;0,SUMIF(куб!$D:$D,$D1209,куб!J:J),IF($C1209&lt;&gt;0,SUMIF(куб!$C:$C,$C1209,куб!J:J),IF($B1209&lt;&gt;0,SUMIF(куб!$B:$B,$B1209,куб!J:J))))))</f>
        <v>0</v>
      </c>
      <c r="Q1209" s="27" t="b">
        <f>IF($G1209&lt;&gt;0,SUMIF(куб!$G:$G,$G1209,куб!K:K),IF($E1209&lt;&gt;0,SUMIF(куб!$E:$E,$E1209,куб!K:K),IF($D1209&lt;&gt;0,SUMIF(куб!$D:$D,$D1209,куб!K:K),IF($C1209&lt;&gt;0,SUMIF(куб!$C:$C,$C1209,куб!K:K),IF($B1209&lt;&gt;0,SUMIF(куб!$B:$B,$B1209,куб!K:K))))))</f>
        <v>0</v>
      </c>
      <c r="R1209" s="13" t="str">
        <f t="shared" si="385"/>
        <v>-</v>
      </c>
      <c r="S1209" s="5"/>
      <c r="T1209" s="27" t="b">
        <f>IF($G1209&lt;&gt;0,SUMIF(куб!$G:$G,$G1209,куб!L:L),IF($E1209&lt;&gt;0,SUMIF(куб!$E:$E,$E1209,куб!L:L),IF($D1209&lt;&gt;0,SUMIF(куб!$D:$D,$D1209,куб!L:L),IF($C1209&lt;&gt;0,SUMIF(куб!$C:$C,$C1209,куб!L:L),IF($B1209&lt;&gt;0,SUMIF(куб!$B:$B,$B1209,куб!L:L))))))</f>
        <v>0</v>
      </c>
      <c r="U1209" s="27" t="b">
        <f>IF($G1209&lt;&gt;0,SUMIF(куб!$G:$G,$G1209,куб!M:M),IF($E1209&lt;&gt;0,SUMIF(куб!$E:$E,$E1209,куб!M:M),IF($D1209&lt;&gt;0,SUMIF(куб!$D:$D,$D1209,куб!M:M),IF($C1209&lt;&gt;0,SUMIF(куб!$C:$C,$C1209,куб!M:M),IF($B1209&lt;&gt;0,SUMIF(куб!$B:$B,$B1209,куб!M:M))))))</f>
        <v>0</v>
      </c>
      <c r="V1209" s="13" t="str">
        <f t="shared" si="386"/>
        <v>-</v>
      </c>
      <c r="W1209" s="5"/>
      <c r="X1209" s="27" t="b">
        <f>IF($G1209&lt;&gt;0,SUMIF(куб!$G:$G,$G1209,куб!N:N),IF($E1209&lt;&gt;0,SUMIF(куб!$E:$E,$E1209,куб!N:N),IF($D1209&lt;&gt;0,SUMIF(куб!$D:$D,$D1209,куб!N:N),IF($C1209&lt;&gt;0,SUMIF(куб!$C:$C,$C1209,куб!N:N),IF($B1209&lt;&gt;0,SUMIF(куб!$B:$B,$B1209,куб!N:N))))))</f>
        <v>0</v>
      </c>
      <c r="Y1209" s="27" t="b">
        <f>IF($G1209&lt;&gt;0,SUMIF(куб!$G:$G,$G1209,куб!O:O),IF($E1209&lt;&gt;0,SUMIF(куб!$E:$E,$E1209,куб!O:O),IF($D1209&lt;&gt;0,SUMIF(куб!$D:$D,$D1209,куб!O:O),IF($C1209&lt;&gt;0,SUMIF(куб!$C:$C,$C1209,куб!O:O),IF($B1209&lt;&gt;0,SUMIF(куб!$B:$B,$B1209,куб!O:O))))))</f>
        <v>0</v>
      </c>
      <c r="Z1209" s="13" t="str">
        <f t="shared" si="387"/>
        <v>-</v>
      </c>
      <c r="AA1209" s="5"/>
      <c r="AB1209" s="33" t="str">
        <f t="shared" si="388"/>
        <v/>
      </c>
      <c r="AC1209" s="33" t="str">
        <f t="shared" si="389"/>
        <v/>
      </c>
      <c r="AD1209" s="15" t="str">
        <f t="shared" si="390"/>
        <v xml:space="preserve"> </v>
      </c>
      <c r="AE1209" s="5"/>
      <c r="AF1209" s="27" t="b">
        <f>IF($G1209&lt;&gt;0,SUMIF(куб!$G:$G,$G1209,куб!R:R),IF($E1209&lt;&gt;0,SUMIF(куб!$E:$E,$E1209,куб!R:R),IF($D1209&lt;&gt;0,SUMIF(куб!$D:$D,$D1209,куб!R:R),IF($C1209&lt;&gt;0,SUMIF(куб!$C:$C,$C1209,куб!R:R),IF($B1209&lt;&gt;0,SUMIF(куб!$B:$B,$B1209,куб!R:R))))))</f>
        <v>0</v>
      </c>
      <c r="AG1209" s="27" t="b">
        <f>IF($G1209&lt;&gt;0,SUMIF(куб!$G:$G,$G1209,куб!S:S),IF($E1209&lt;&gt;0,SUMIF(куб!$E:$E,$E1209,куб!S:S),IF($D1209&lt;&gt;0,SUMIF(куб!$D:$D,$D1209,куб!S:S),IF($C1209&lt;&gt;0,SUMIF(куб!$C:$C,$C1209,куб!S:S),IF($B1209&lt;&gt;0,SUMIF(куб!$B:$B,$B1209,куб!S:S))))))</f>
        <v>0</v>
      </c>
      <c r="AH1209" s="16" t="str">
        <f t="shared" si="391"/>
        <v>-</v>
      </c>
      <c r="AI1209" s="8"/>
      <c r="AJ1209" s="27" t="b">
        <f>IF($G1209&lt;&gt;0,SUMIF(куб!$G:$G,$G1209,куб!T:T),IF($E1209&lt;&gt;0,SUMIF(куб!$E:$E,$E1209,куб!T:T),IF($D1209&lt;&gt;0,SUMIF(куб!$D:$D,$D1209,куб!T:T),IF($C1209&lt;&gt;0,SUMIF(куб!$C:$C,$C1209,куб!T:T),IF($B1209&lt;&gt;0,SUMIF(куб!$B:$B,$B1209,куб!T:T))))))</f>
        <v>0</v>
      </c>
      <c r="AK1209" s="27" t="b">
        <f>IF($G1209&lt;&gt;0,SUMIF(куб!$G:$G,$G1209,куб!U:U),IF($E1209&lt;&gt;0,SUMIF(куб!$E:$E,$E1209,куб!U:U),IF($D1209&lt;&gt;0,SUMIF(куб!$D:$D,$D1209,куб!U:U),IF($C1209&lt;&gt;0,SUMIF(куб!$C:$C,$C1209,куб!U:U),IF($B1209&lt;&gt;0,SUMIF(куб!$B:$B,$B1209,куб!U:U))))))</f>
        <v>0</v>
      </c>
      <c r="AL1209" s="16" t="str">
        <f t="shared" si="392"/>
        <v>-</v>
      </c>
      <c r="AM1209" s="8"/>
      <c r="AN1209" s="17" t="str">
        <f t="shared" si="393"/>
        <v xml:space="preserve"> </v>
      </c>
      <c r="AO1209" s="17" t="str">
        <f t="shared" si="394"/>
        <v xml:space="preserve"> </v>
      </c>
      <c r="AP1209" s="16" t="str">
        <f t="shared" si="395"/>
        <v>-</v>
      </c>
      <c r="AQ1209" s="8"/>
      <c r="AR1209" s="17" t="str">
        <f t="shared" si="396"/>
        <v>-</v>
      </c>
      <c r="AS1209" s="17" t="str">
        <f t="shared" si="397"/>
        <v>-</v>
      </c>
      <c r="AT1209" s="13" t="str">
        <f t="shared" si="398"/>
        <v>-</v>
      </c>
      <c r="AU1209" s="8"/>
    </row>
    <row r="1210" spans="8:47" x14ac:dyDescent="0.25">
      <c r="H1210" s="27">
        <f>IF($G1210&lt;&gt;0,SUMIF(куб!$G:$G,$G1210,куб!H:H),IF($E1210&lt;&gt;0,SUMIF(куб!$E:$E,$E1210,куб!H:H),IF($D1210&lt;&gt;0,SUMIF(куб!$D:$D,$D1210,куб!H:H),IF($C1210&lt;&gt;0,SUMIF(куб!$C:$C,$C1210,куб!H:H),IF($B1210&lt;&gt;0,SUMIF(куб!$B:$B,$B1210,куб!H:H),IF($G1210&lt;&gt;0,SUMIF(куб!$A:$A,$G1210,куб!H:H),SUMIF(куб!$A:$A,$G1210,куб!H:H)))))))</f>
        <v>0</v>
      </c>
      <c r="I1210" s="27">
        <f>IF($G1210&lt;&gt;0,SUMIF(куб!$G:$G,$G1210,куб!I:I),IF($E1210&lt;&gt;0,SUMIF(куб!$E:$E,$E1210,куб!I:I),IF($D1210&lt;&gt;0,SUMIF(куб!$D:$D,$D1210,куб!I:I),IF($C1210&lt;&gt;0,SUMIF(куб!$C:$C,$C1210,куб!I:I),IF($B1210&lt;&gt;0,SUMIF(куб!$B:$B,$B1210,куб!I:I),IF($G1210&lt;&gt;0,SUMIF(куб!$A:$A,$G1210,куб!I:I),SUMIF(куб!$A:$A,$G1210,куб!I:I)))))))</f>
        <v>0</v>
      </c>
      <c r="J1210" s="19" t="str">
        <f t="shared" si="381"/>
        <v>-</v>
      </c>
      <c r="K1210" s="8"/>
      <c r="L1210" s="17">
        <f t="shared" si="382"/>
        <v>0</v>
      </c>
      <c r="M1210" s="17">
        <f t="shared" si="383"/>
        <v>0</v>
      </c>
      <c r="N1210" s="12">
        <f t="shared" si="384"/>
        <v>0</v>
      </c>
      <c r="O1210" s="5"/>
      <c r="P1210" s="27" t="b">
        <f>IF($G1210&lt;&gt;0,SUMIF(куб!$G:$G,$G1210,куб!J:J),IF($E1210&lt;&gt;0,SUMIF(куб!$E:$E,$E1210,куб!J:J),IF($D1210&lt;&gt;0,SUMIF(куб!$D:$D,$D1210,куб!J:J),IF($C1210&lt;&gt;0,SUMIF(куб!$C:$C,$C1210,куб!J:J),IF($B1210&lt;&gt;0,SUMIF(куб!$B:$B,$B1210,куб!J:J))))))</f>
        <v>0</v>
      </c>
      <c r="Q1210" s="27" t="b">
        <f>IF($G1210&lt;&gt;0,SUMIF(куб!$G:$G,$G1210,куб!K:K),IF($E1210&lt;&gt;0,SUMIF(куб!$E:$E,$E1210,куб!K:K),IF($D1210&lt;&gt;0,SUMIF(куб!$D:$D,$D1210,куб!K:K),IF($C1210&lt;&gt;0,SUMIF(куб!$C:$C,$C1210,куб!K:K),IF($B1210&lt;&gt;0,SUMIF(куб!$B:$B,$B1210,куб!K:K))))))</f>
        <v>0</v>
      </c>
      <c r="R1210" s="13" t="str">
        <f t="shared" si="385"/>
        <v>-</v>
      </c>
      <c r="S1210" s="5"/>
      <c r="T1210" s="27" t="b">
        <f>IF($G1210&lt;&gt;0,SUMIF(куб!$G:$G,$G1210,куб!L:L),IF($E1210&lt;&gt;0,SUMIF(куб!$E:$E,$E1210,куб!L:L),IF($D1210&lt;&gt;0,SUMIF(куб!$D:$D,$D1210,куб!L:L),IF($C1210&lt;&gt;0,SUMIF(куб!$C:$C,$C1210,куб!L:L),IF($B1210&lt;&gt;0,SUMIF(куб!$B:$B,$B1210,куб!L:L))))))</f>
        <v>0</v>
      </c>
      <c r="U1210" s="27" t="b">
        <f>IF($G1210&lt;&gt;0,SUMIF(куб!$G:$G,$G1210,куб!M:M),IF($E1210&lt;&gt;0,SUMIF(куб!$E:$E,$E1210,куб!M:M),IF($D1210&lt;&gt;0,SUMIF(куб!$D:$D,$D1210,куб!M:M),IF($C1210&lt;&gt;0,SUMIF(куб!$C:$C,$C1210,куб!M:M),IF($B1210&lt;&gt;0,SUMIF(куб!$B:$B,$B1210,куб!M:M))))))</f>
        <v>0</v>
      </c>
      <c r="V1210" s="13" t="str">
        <f t="shared" si="386"/>
        <v>-</v>
      </c>
      <c r="W1210" s="5"/>
      <c r="X1210" s="27" t="b">
        <f>IF($G1210&lt;&gt;0,SUMIF(куб!$G:$G,$G1210,куб!N:N),IF($E1210&lt;&gt;0,SUMIF(куб!$E:$E,$E1210,куб!N:N),IF($D1210&lt;&gt;0,SUMIF(куб!$D:$D,$D1210,куб!N:N),IF($C1210&lt;&gt;0,SUMIF(куб!$C:$C,$C1210,куб!N:N),IF($B1210&lt;&gt;0,SUMIF(куб!$B:$B,$B1210,куб!N:N))))))</f>
        <v>0</v>
      </c>
      <c r="Y1210" s="27" t="b">
        <f>IF($G1210&lt;&gt;0,SUMIF(куб!$G:$G,$G1210,куб!O:O),IF($E1210&lt;&gt;0,SUMIF(куб!$E:$E,$E1210,куб!O:O),IF($D1210&lt;&gt;0,SUMIF(куб!$D:$D,$D1210,куб!O:O),IF($C1210&lt;&gt;0,SUMIF(куб!$C:$C,$C1210,куб!O:O),IF($B1210&lt;&gt;0,SUMIF(куб!$B:$B,$B1210,куб!O:O))))))</f>
        <v>0</v>
      </c>
      <c r="Z1210" s="13" t="str">
        <f t="shared" si="387"/>
        <v>-</v>
      </c>
      <c r="AA1210" s="5"/>
      <c r="AB1210" s="33" t="str">
        <f t="shared" si="388"/>
        <v/>
      </c>
      <c r="AC1210" s="33" t="str">
        <f t="shared" si="389"/>
        <v/>
      </c>
      <c r="AD1210" s="15" t="str">
        <f t="shared" si="390"/>
        <v xml:space="preserve"> </v>
      </c>
      <c r="AE1210" s="5"/>
      <c r="AF1210" s="27" t="b">
        <f>IF($G1210&lt;&gt;0,SUMIF(куб!$G:$G,$G1210,куб!R:R),IF($E1210&lt;&gt;0,SUMIF(куб!$E:$E,$E1210,куб!R:R),IF($D1210&lt;&gt;0,SUMIF(куб!$D:$D,$D1210,куб!R:R),IF($C1210&lt;&gt;0,SUMIF(куб!$C:$C,$C1210,куб!R:R),IF($B1210&lt;&gt;0,SUMIF(куб!$B:$B,$B1210,куб!R:R))))))</f>
        <v>0</v>
      </c>
      <c r="AG1210" s="27" t="b">
        <f>IF($G1210&lt;&gt;0,SUMIF(куб!$G:$G,$G1210,куб!S:S),IF($E1210&lt;&gt;0,SUMIF(куб!$E:$E,$E1210,куб!S:S),IF($D1210&lt;&gt;0,SUMIF(куб!$D:$D,$D1210,куб!S:S),IF($C1210&lt;&gt;0,SUMIF(куб!$C:$C,$C1210,куб!S:S),IF($B1210&lt;&gt;0,SUMIF(куб!$B:$B,$B1210,куб!S:S))))))</f>
        <v>0</v>
      </c>
      <c r="AH1210" s="16" t="str">
        <f t="shared" si="391"/>
        <v>-</v>
      </c>
      <c r="AI1210" s="8"/>
      <c r="AJ1210" s="27" t="b">
        <f>IF($G1210&lt;&gt;0,SUMIF(куб!$G:$G,$G1210,куб!T:T),IF($E1210&lt;&gt;0,SUMIF(куб!$E:$E,$E1210,куб!T:T),IF($D1210&lt;&gt;0,SUMIF(куб!$D:$D,$D1210,куб!T:T),IF($C1210&lt;&gt;0,SUMIF(куб!$C:$C,$C1210,куб!T:T),IF($B1210&lt;&gt;0,SUMIF(куб!$B:$B,$B1210,куб!T:T))))))</f>
        <v>0</v>
      </c>
      <c r="AK1210" s="27" t="b">
        <f>IF($G1210&lt;&gt;0,SUMIF(куб!$G:$G,$G1210,куб!U:U),IF($E1210&lt;&gt;0,SUMIF(куб!$E:$E,$E1210,куб!U:U),IF($D1210&lt;&gt;0,SUMIF(куб!$D:$D,$D1210,куб!U:U),IF($C1210&lt;&gt;0,SUMIF(куб!$C:$C,$C1210,куб!U:U),IF($B1210&lt;&gt;0,SUMIF(куб!$B:$B,$B1210,куб!U:U))))))</f>
        <v>0</v>
      </c>
      <c r="AL1210" s="16" t="str">
        <f t="shared" si="392"/>
        <v>-</v>
      </c>
      <c r="AM1210" s="8"/>
      <c r="AN1210" s="17" t="str">
        <f t="shared" si="393"/>
        <v xml:space="preserve"> </v>
      </c>
      <c r="AO1210" s="17" t="str">
        <f t="shared" si="394"/>
        <v xml:space="preserve"> </v>
      </c>
      <c r="AP1210" s="16" t="str">
        <f t="shared" si="395"/>
        <v>-</v>
      </c>
      <c r="AQ1210" s="8"/>
      <c r="AR1210" s="17" t="str">
        <f t="shared" si="396"/>
        <v>-</v>
      </c>
      <c r="AS1210" s="17" t="str">
        <f t="shared" si="397"/>
        <v>-</v>
      </c>
      <c r="AT1210" s="13" t="str">
        <f t="shared" si="398"/>
        <v>-</v>
      </c>
      <c r="AU1210" s="8"/>
    </row>
    <row r="1211" spans="8:47" x14ac:dyDescent="0.25">
      <c r="H1211" s="27">
        <f>IF($G1211&lt;&gt;0,SUMIF(куб!$G:$G,$G1211,куб!H:H),IF($E1211&lt;&gt;0,SUMIF(куб!$E:$E,$E1211,куб!H:H),IF($D1211&lt;&gt;0,SUMIF(куб!$D:$D,$D1211,куб!H:H),IF($C1211&lt;&gt;0,SUMIF(куб!$C:$C,$C1211,куб!H:H),IF($B1211&lt;&gt;0,SUMIF(куб!$B:$B,$B1211,куб!H:H),IF($G1211&lt;&gt;0,SUMIF(куб!$A:$A,$G1211,куб!H:H),SUMIF(куб!$A:$A,$G1211,куб!H:H)))))))</f>
        <v>0</v>
      </c>
      <c r="I1211" s="27">
        <f>IF($G1211&lt;&gt;0,SUMIF(куб!$G:$G,$G1211,куб!I:I),IF($E1211&lt;&gt;0,SUMIF(куб!$E:$E,$E1211,куб!I:I),IF($D1211&lt;&gt;0,SUMIF(куб!$D:$D,$D1211,куб!I:I),IF($C1211&lt;&gt;0,SUMIF(куб!$C:$C,$C1211,куб!I:I),IF($B1211&lt;&gt;0,SUMIF(куб!$B:$B,$B1211,куб!I:I),IF($G1211&lt;&gt;0,SUMIF(куб!$A:$A,$G1211,куб!I:I),SUMIF(куб!$A:$A,$G1211,куб!I:I)))))))</f>
        <v>0</v>
      </c>
      <c r="J1211" s="19" t="str">
        <f t="shared" si="381"/>
        <v>-</v>
      </c>
      <c r="K1211" s="8"/>
      <c r="L1211" s="17">
        <f t="shared" si="382"/>
        <v>0</v>
      </c>
      <c r="M1211" s="17">
        <f t="shared" si="383"/>
        <v>0</v>
      </c>
      <c r="N1211" s="12">
        <f t="shared" si="384"/>
        <v>0</v>
      </c>
      <c r="O1211" s="5"/>
      <c r="P1211" s="27" t="b">
        <f>IF($G1211&lt;&gt;0,SUMIF(куб!$G:$G,$G1211,куб!J:J),IF($E1211&lt;&gt;0,SUMIF(куб!$E:$E,$E1211,куб!J:J),IF($D1211&lt;&gt;0,SUMIF(куб!$D:$D,$D1211,куб!J:J),IF($C1211&lt;&gt;0,SUMIF(куб!$C:$C,$C1211,куб!J:J),IF($B1211&lt;&gt;0,SUMIF(куб!$B:$B,$B1211,куб!J:J))))))</f>
        <v>0</v>
      </c>
      <c r="Q1211" s="27" t="b">
        <f>IF($G1211&lt;&gt;0,SUMIF(куб!$G:$G,$G1211,куб!K:K),IF($E1211&lt;&gt;0,SUMIF(куб!$E:$E,$E1211,куб!K:K),IF($D1211&lt;&gt;0,SUMIF(куб!$D:$D,$D1211,куб!K:K),IF($C1211&lt;&gt;0,SUMIF(куб!$C:$C,$C1211,куб!K:K),IF($B1211&lt;&gt;0,SUMIF(куб!$B:$B,$B1211,куб!K:K))))))</f>
        <v>0</v>
      </c>
      <c r="R1211" s="13" t="str">
        <f t="shared" si="385"/>
        <v>-</v>
      </c>
      <c r="S1211" s="5"/>
      <c r="T1211" s="27" t="b">
        <f>IF($G1211&lt;&gt;0,SUMIF(куб!$G:$G,$G1211,куб!L:L),IF($E1211&lt;&gt;0,SUMIF(куб!$E:$E,$E1211,куб!L:L),IF($D1211&lt;&gt;0,SUMIF(куб!$D:$D,$D1211,куб!L:L),IF($C1211&lt;&gt;0,SUMIF(куб!$C:$C,$C1211,куб!L:L),IF($B1211&lt;&gt;0,SUMIF(куб!$B:$B,$B1211,куб!L:L))))))</f>
        <v>0</v>
      </c>
      <c r="U1211" s="27" t="b">
        <f>IF($G1211&lt;&gt;0,SUMIF(куб!$G:$G,$G1211,куб!M:M),IF($E1211&lt;&gt;0,SUMIF(куб!$E:$E,$E1211,куб!M:M),IF($D1211&lt;&gt;0,SUMIF(куб!$D:$D,$D1211,куб!M:M),IF($C1211&lt;&gt;0,SUMIF(куб!$C:$C,$C1211,куб!M:M),IF($B1211&lt;&gt;0,SUMIF(куб!$B:$B,$B1211,куб!M:M))))))</f>
        <v>0</v>
      </c>
      <c r="V1211" s="13" t="str">
        <f t="shared" si="386"/>
        <v>-</v>
      </c>
      <c r="W1211" s="5"/>
      <c r="X1211" s="27" t="b">
        <f>IF($G1211&lt;&gt;0,SUMIF(куб!$G:$G,$G1211,куб!N:N),IF($E1211&lt;&gt;0,SUMIF(куб!$E:$E,$E1211,куб!N:N),IF($D1211&lt;&gt;0,SUMIF(куб!$D:$D,$D1211,куб!N:N),IF($C1211&lt;&gt;0,SUMIF(куб!$C:$C,$C1211,куб!N:N),IF($B1211&lt;&gt;0,SUMIF(куб!$B:$B,$B1211,куб!N:N))))))</f>
        <v>0</v>
      </c>
      <c r="Y1211" s="27" t="b">
        <f>IF($G1211&lt;&gt;0,SUMIF(куб!$G:$G,$G1211,куб!O:O),IF($E1211&lt;&gt;0,SUMIF(куб!$E:$E,$E1211,куб!O:O),IF($D1211&lt;&gt;0,SUMIF(куб!$D:$D,$D1211,куб!O:O),IF($C1211&lt;&gt;0,SUMIF(куб!$C:$C,$C1211,куб!O:O),IF($B1211&lt;&gt;0,SUMIF(куб!$B:$B,$B1211,куб!O:O))))))</f>
        <v>0</v>
      </c>
      <c r="Z1211" s="13" t="str">
        <f t="shared" si="387"/>
        <v>-</v>
      </c>
      <c r="AA1211" s="5"/>
      <c r="AB1211" s="33" t="str">
        <f t="shared" si="388"/>
        <v/>
      </c>
      <c r="AC1211" s="33" t="str">
        <f t="shared" si="389"/>
        <v/>
      </c>
      <c r="AD1211" s="15" t="str">
        <f t="shared" si="390"/>
        <v xml:space="preserve"> </v>
      </c>
      <c r="AE1211" s="5"/>
      <c r="AF1211" s="27" t="b">
        <f>IF($G1211&lt;&gt;0,SUMIF(куб!$G:$G,$G1211,куб!R:R),IF($E1211&lt;&gt;0,SUMIF(куб!$E:$E,$E1211,куб!R:R),IF($D1211&lt;&gt;0,SUMIF(куб!$D:$D,$D1211,куб!R:R),IF($C1211&lt;&gt;0,SUMIF(куб!$C:$C,$C1211,куб!R:R),IF($B1211&lt;&gt;0,SUMIF(куб!$B:$B,$B1211,куб!R:R))))))</f>
        <v>0</v>
      </c>
      <c r="AG1211" s="27" t="b">
        <f>IF($G1211&lt;&gt;0,SUMIF(куб!$G:$G,$G1211,куб!S:S),IF($E1211&lt;&gt;0,SUMIF(куб!$E:$E,$E1211,куб!S:S),IF($D1211&lt;&gt;0,SUMIF(куб!$D:$D,$D1211,куб!S:S),IF($C1211&lt;&gt;0,SUMIF(куб!$C:$C,$C1211,куб!S:S),IF($B1211&lt;&gt;0,SUMIF(куб!$B:$B,$B1211,куб!S:S))))))</f>
        <v>0</v>
      </c>
      <c r="AH1211" s="16" t="str">
        <f t="shared" si="391"/>
        <v>-</v>
      </c>
      <c r="AI1211" s="8"/>
      <c r="AJ1211" s="27" t="b">
        <f>IF($G1211&lt;&gt;0,SUMIF(куб!$G:$G,$G1211,куб!T:T),IF($E1211&lt;&gt;0,SUMIF(куб!$E:$E,$E1211,куб!T:T),IF($D1211&lt;&gt;0,SUMIF(куб!$D:$D,$D1211,куб!T:T),IF($C1211&lt;&gt;0,SUMIF(куб!$C:$C,$C1211,куб!T:T),IF($B1211&lt;&gt;0,SUMIF(куб!$B:$B,$B1211,куб!T:T))))))</f>
        <v>0</v>
      </c>
      <c r="AK1211" s="27" t="b">
        <f>IF($G1211&lt;&gt;0,SUMIF(куб!$G:$G,$G1211,куб!U:U),IF($E1211&lt;&gt;0,SUMIF(куб!$E:$E,$E1211,куб!U:U),IF($D1211&lt;&gt;0,SUMIF(куб!$D:$D,$D1211,куб!U:U),IF($C1211&lt;&gt;0,SUMIF(куб!$C:$C,$C1211,куб!U:U),IF($B1211&lt;&gt;0,SUMIF(куб!$B:$B,$B1211,куб!U:U))))))</f>
        <v>0</v>
      </c>
      <c r="AL1211" s="16" t="str">
        <f t="shared" si="392"/>
        <v>-</v>
      </c>
      <c r="AM1211" s="8"/>
      <c r="AN1211" s="17" t="str">
        <f t="shared" si="393"/>
        <v xml:space="preserve"> </v>
      </c>
      <c r="AO1211" s="17" t="str">
        <f t="shared" si="394"/>
        <v xml:space="preserve"> </v>
      </c>
      <c r="AP1211" s="16" t="str">
        <f t="shared" si="395"/>
        <v>-</v>
      </c>
      <c r="AQ1211" s="8"/>
      <c r="AR1211" s="17" t="str">
        <f t="shared" si="396"/>
        <v>-</v>
      </c>
      <c r="AS1211" s="17" t="str">
        <f t="shared" si="397"/>
        <v>-</v>
      </c>
      <c r="AT1211" s="13" t="str">
        <f t="shared" si="398"/>
        <v>-</v>
      </c>
      <c r="AU1211" s="8"/>
    </row>
    <row r="1212" spans="8:47" x14ac:dyDescent="0.25">
      <c r="H1212" s="27">
        <f>IF($G1212&lt;&gt;0,SUMIF(куб!$G:$G,$G1212,куб!H:H),IF($E1212&lt;&gt;0,SUMIF(куб!$E:$E,$E1212,куб!H:H),IF($D1212&lt;&gt;0,SUMIF(куб!$D:$D,$D1212,куб!H:H),IF($C1212&lt;&gt;0,SUMIF(куб!$C:$C,$C1212,куб!H:H),IF($B1212&lt;&gt;0,SUMIF(куб!$B:$B,$B1212,куб!H:H),IF($G1212&lt;&gt;0,SUMIF(куб!$A:$A,$G1212,куб!H:H),SUMIF(куб!$A:$A,$G1212,куб!H:H)))))))</f>
        <v>0</v>
      </c>
      <c r="I1212" s="27">
        <f>IF($G1212&lt;&gt;0,SUMIF(куб!$G:$G,$G1212,куб!I:I),IF($E1212&lt;&gt;0,SUMIF(куб!$E:$E,$E1212,куб!I:I),IF($D1212&lt;&gt;0,SUMIF(куб!$D:$D,$D1212,куб!I:I),IF($C1212&lt;&gt;0,SUMIF(куб!$C:$C,$C1212,куб!I:I),IF($B1212&lt;&gt;0,SUMIF(куб!$B:$B,$B1212,куб!I:I),IF($G1212&lt;&gt;0,SUMIF(куб!$A:$A,$G1212,куб!I:I),SUMIF(куб!$A:$A,$G1212,куб!I:I)))))))</f>
        <v>0</v>
      </c>
      <c r="J1212" s="19" t="str">
        <f t="shared" si="381"/>
        <v>-</v>
      </c>
      <c r="K1212" s="8"/>
      <c r="L1212" s="17">
        <f t="shared" si="382"/>
        <v>0</v>
      </c>
      <c r="M1212" s="17">
        <f t="shared" si="383"/>
        <v>0</v>
      </c>
      <c r="N1212" s="12">
        <f t="shared" si="384"/>
        <v>0</v>
      </c>
      <c r="O1212" s="5"/>
      <c r="P1212" s="27" t="b">
        <f>IF($G1212&lt;&gt;0,SUMIF(куб!$G:$G,$G1212,куб!J:J),IF($E1212&lt;&gt;0,SUMIF(куб!$E:$E,$E1212,куб!J:J),IF($D1212&lt;&gt;0,SUMIF(куб!$D:$D,$D1212,куб!J:J),IF($C1212&lt;&gt;0,SUMIF(куб!$C:$C,$C1212,куб!J:J),IF($B1212&lt;&gt;0,SUMIF(куб!$B:$B,$B1212,куб!J:J))))))</f>
        <v>0</v>
      </c>
      <c r="Q1212" s="27" t="b">
        <f>IF($G1212&lt;&gt;0,SUMIF(куб!$G:$G,$G1212,куб!K:K),IF($E1212&lt;&gt;0,SUMIF(куб!$E:$E,$E1212,куб!K:K),IF($D1212&lt;&gt;0,SUMIF(куб!$D:$D,$D1212,куб!K:K),IF($C1212&lt;&gt;0,SUMIF(куб!$C:$C,$C1212,куб!K:K),IF($B1212&lt;&gt;0,SUMIF(куб!$B:$B,$B1212,куб!K:K))))))</f>
        <v>0</v>
      </c>
      <c r="R1212" s="13" t="str">
        <f t="shared" si="385"/>
        <v>-</v>
      </c>
      <c r="S1212" s="5"/>
      <c r="T1212" s="27" t="b">
        <f>IF($G1212&lt;&gt;0,SUMIF(куб!$G:$G,$G1212,куб!L:L),IF($E1212&lt;&gt;0,SUMIF(куб!$E:$E,$E1212,куб!L:L),IF($D1212&lt;&gt;0,SUMIF(куб!$D:$D,$D1212,куб!L:L),IF($C1212&lt;&gt;0,SUMIF(куб!$C:$C,$C1212,куб!L:L),IF($B1212&lt;&gt;0,SUMIF(куб!$B:$B,$B1212,куб!L:L))))))</f>
        <v>0</v>
      </c>
      <c r="U1212" s="27" t="b">
        <f>IF($G1212&lt;&gt;0,SUMIF(куб!$G:$G,$G1212,куб!M:M),IF($E1212&lt;&gt;0,SUMIF(куб!$E:$E,$E1212,куб!M:M),IF($D1212&lt;&gt;0,SUMIF(куб!$D:$D,$D1212,куб!M:M),IF($C1212&lt;&gt;0,SUMIF(куб!$C:$C,$C1212,куб!M:M),IF($B1212&lt;&gt;0,SUMIF(куб!$B:$B,$B1212,куб!M:M))))))</f>
        <v>0</v>
      </c>
      <c r="V1212" s="13" t="str">
        <f t="shared" si="386"/>
        <v>-</v>
      </c>
      <c r="W1212" s="5"/>
      <c r="X1212" s="27" t="b">
        <f>IF($G1212&lt;&gt;0,SUMIF(куб!$G:$G,$G1212,куб!N:N),IF($E1212&lt;&gt;0,SUMIF(куб!$E:$E,$E1212,куб!N:N),IF($D1212&lt;&gt;0,SUMIF(куб!$D:$D,$D1212,куб!N:N),IF($C1212&lt;&gt;0,SUMIF(куб!$C:$C,$C1212,куб!N:N),IF($B1212&lt;&gt;0,SUMIF(куб!$B:$B,$B1212,куб!N:N))))))</f>
        <v>0</v>
      </c>
      <c r="Y1212" s="27" t="b">
        <f>IF($G1212&lt;&gt;0,SUMIF(куб!$G:$G,$G1212,куб!O:O),IF($E1212&lt;&gt;0,SUMIF(куб!$E:$E,$E1212,куб!O:O),IF($D1212&lt;&gt;0,SUMIF(куб!$D:$D,$D1212,куб!O:O),IF($C1212&lt;&gt;0,SUMIF(куб!$C:$C,$C1212,куб!O:O),IF($B1212&lt;&gt;0,SUMIF(куб!$B:$B,$B1212,куб!O:O))))))</f>
        <v>0</v>
      </c>
      <c r="Z1212" s="13" t="str">
        <f t="shared" si="387"/>
        <v>-</v>
      </c>
      <c r="AA1212" s="5"/>
      <c r="AB1212" s="33" t="str">
        <f t="shared" si="388"/>
        <v/>
      </c>
      <c r="AC1212" s="33" t="str">
        <f t="shared" si="389"/>
        <v/>
      </c>
      <c r="AD1212" s="15" t="str">
        <f t="shared" si="390"/>
        <v xml:space="preserve"> </v>
      </c>
      <c r="AE1212" s="5"/>
      <c r="AF1212" s="27" t="b">
        <f>IF($G1212&lt;&gt;0,SUMIF(куб!$G:$G,$G1212,куб!R:R),IF($E1212&lt;&gt;0,SUMIF(куб!$E:$E,$E1212,куб!R:R),IF($D1212&lt;&gt;0,SUMIF(куб!$D:$D,$D1212,куб!R:R),IF($C1212&lt;&gt;0,SUMIF(куб!$C:$C,$C1212,куб!R:R),IF($B1212&lt;&gt;0,SUMIF(куб!$B:$B,$B1212,куб!R:R))))))</f>
        <v>0</v>
      </c>
      <c r="AG1212" s="27" t="b">
        <f>IF($G1212&lt;&gt;0,SUMIF(куб!$G:$G,$G1212,куб!S:S),IF($E1212&lt;&gt;0,SUMIF(куб!$E:$E,$E1212,куб!S:S),IF($D1212&lt;&gt;0,SUMIF(куб!$D:$D,$D1212,куб!S:S),IF($C1212&lt;&gt;0,SUMIF(куб!$C:$C,$C1212,куб!S:S),IF($B1212&lt;&gt;0,SUMIF(куб!$B:$B,$B1212,куб!S:S))))))</f>
        <v>0</v>
      </c>
      <c r="AH1212" s="16" t="str">
        <f t="shared" si="391"/>
        <v>-</v>
      </c>
      <c r="AI1212" s="8"/>
      <c r="AJ1212" s="27" t="b">
        <f>IF($G1212&lt;&gt;0,SUMIF(куб!$G:$G,$G1212,куб!T:T),IF($E1212&lt;&gt;0,SUMIF(куб!$E:$E,$E1212,куб!T:T),IF($D1212&lt;&gt;0,SUMIF(куб!$D:$D,$D1212,куб!T:T),IF($C1212&lt;&gt;0,SUMIF(куб!$C:$C,$C1212,куб!T:T),IF($B1212&lt;&gt;0,SUMIF(куб!$B:$B,$B1212,куб!T:T))))))</f>
        <v>0</v>
      </c>
      <c r="AK1212" s="27" t="b">
        <f>IF($G1212&lt;&gt;0,SUMIF(куб!$G:$G,$G1212,куб!U:U),IF($E1212&lt;&gt;0,SUMIF(куб!$E:$E,$E1212,куб!U:U),IF($D1212&lt;&gt;0,SUMIF(куб!$D:$D,$D1212,куб!U:U),IF($C1212&lt;&gt;0,SUMIF(куб!$C:$C,$C1212,куб!U:U),IF($B1212&lt;&gt;0,SUMIF(куб!$B:$B,$B1212,куб!U:U))))))</f>
        <v>0</v>
      </c>
      <c r="AL1212" s="16" t="str">
        <f t="shared" si="392"/>
        <v>-</v>
      </c>
      <c r="AM1212" s="8"/>
      <c r="AN1212" s="17" t="str">
        <f t="shared" si="393"/>
        <v xml:space="preserve"> </v>
      </c>
      <c r="AO1212" s="17" t="str">
        <f t="shared" si="394"/>
        <v xml:space="preserve"> </v>
      </c>
      <c r="AP1212" s="16" t="str">
        <f t="shared" si="395"/>
        <v>-</v>
      </c>
      <c r="AQ1212" s="8"/>
      <c r="AR1212" s="17" t="str">
        <f t="shared" si="396"/>
        <v>-</v>
      </c>
      <c r="AS1212" s="17" t="str">
        <f t="shared" si="397"/>
        <v>-</v>
      </c>
      <c r="AT1212" s="13" t="str">
        <f t="shared" si="398"/>
        <v>-</v>
      </c>
      <c r="AU1212" s="8"/>
    </row>
    <row r="1213" spans="8:47" x14ac:dyDescent="0.25">
      <c r="H1213" s="27">
        <f>IF($G1213&lt;&gt;0,SUMIF(куб!$G:$G,$G1213,куб!H:H),IF($E1213&lt;&gt;0,SUMIF(куб!$E:$E,$E1213,куб!H:H),IF($D1213&lt;&gt;0,SUMIF(куб!$D:$D,$D1213,куб!H:H),IF($C1213&lt;&gt;0,SUMIF(куб!$C:$C,$C1213,куб!H:H),IF($B1213&lt;&gt;0,SUMIF(куб!$B:$B,$B1213,куб!H:H),IF($G1213&lt;&gt;0,SUMIF(куб!$A:$A,$G1213,куб!H:H),SUMIF(куб!$A:$A,$G1213,куб!H:H)))))))</f>
        <v>0</v>
      </c>
      <c r="I1213" s="27">
        <f>IF($G1213&lt;&gt;0,SUMIF(куб!$G:$G,$G1213,куб!I:I),IF($E1213&lt;&gt;0,SUMIF(куб!$E:$E,$E1213,куб!I:I),IF($D1213&lt;&gt;0,SUMIF(куб!$D:$D,$D1213,куб!I:I),IF($C1213&lt;&gt;0,SUMIF(куб!$C:$C,$C1213,куб!I:I),IF($B1213&lt;&gt;0,SUMIF(куб!$B:$B,$B1213,куб!I:I),IF($G1213&lt;&gt;0,SUMIF(куб!$A:$A,$G1213,куб!I:I),SUMIF(куб!$A:$A,$G1213,куб!I:I)))))))</f>
        <v>0</v>
      </c>
      <c r="J1213" s="19" t="str">
        <f t="shared" si="381"/>
        <v>-</v>
      </c>
      <c r="K1213" s="8"/>
      <c r="L1213" s="17">
        <f t="shared" si="382"/>
        <v>0</v>
      </c>
      <c r="M1213" s="17">
        <f t="shared" si="383"/>
        <v>0</v>
      </c>
      <c r="N1213" s="12">
        <f t="shared" si="384"/>
        <v>0</v>
      </c>
      <c r="O1213" s="5"/>
      <c r="P1213" s="27" t="b">
        <f>IF($G1213&lt;&gt;0,SUMIF(куб!$G:$G,$G1213,куб!J:J),IF($E1213&lt;&gt;0,SUMIF(куб!$E:$E,$E1213,куб!J:J),IF($D1213&lt;&gt;0,SUMIF(куб!$D:$D,$D1213,куб!J:J),IF($C1213&lt;&gt;0,SUMIF(куб!$C:$C,$C1213,куб!J:J),IF($B1213&lt;&gt;0,SUMIF(куб!$B:$B,$B1213,куб!J:J))))))</f>
        <v>0</v>
      </c>
      <c r="Q1213" s="27" t="b">
        <f>IF($G1213&lt;&gt;0,SUMIF(куб!$G:$G,$G1213,куб!K:K),IF($E1213&lt;&gt;0,SUMIF(куб!$E:$E,$E1213,куб!K:K),IF($D1213&lt;&gt;0,SUMIF(куб!$D:$D,$D1213,куб!K:K),IF($C1213&lt;&gt;0,SUMIF(куб!$C:$C,$C1213,куб!K:K),IF($B1213&lt;&gt;0,SUMIF(куб!$B:$B,$B1213,куб!K:K))))))</f>
        <v>0</v>
      </c>
      <c r="R1213" s="13" t="str">
        <f t="shared" si="385"/>
        <v>-</v>
      </c>
      <c r="S1213" s="5"/>
      <c r="T1213" s="27" t="b">
        <f>IF($G1213&lt;&gt;0,SUMIF(куб!$G:$G,$G1213,куб!L:L),IF($E1213&lt;&gt;0,SUMIF(куб!$E:$E,$E1213,куб!L:L),IF($D1213&lt;&gt;0,SUMIF(куб!$D:$D,$D1213,куб!L:L),IF($C1213&lt;&gt;0,SUMIF(куб!$C:$C,$C1213,куб!L:L),IF($B1213&lt;&gt;0,SUMIF(куб!$B:$B,$B1213,куб!L:L))))))</f>
        <v>0</v>
      </c>
      <c r="U1213" s="27" t="b">
        <f>IF($G1213&lt;&gt;0,SUMIF(куб!$G:$G,$G1213,куб!M:M),IF($E1213&lt;&gt;0,SUMIF(куб!$E:$E,$E1213,куб!M:M),IF($D1213&lt;&gt;0,SUMIF(куб!$D:$D,$D1213,куб!M:M),IF($C1213&lt;&gt;0,SUMIF(куб!$C:$C,$C1213,куб!M:M),IF($B1213&lt;&gt;0,SUMIF(куб!$B:$B,$B1213,куб!M:M))))))</f>
        <v>0</v>
      </c>
      <c r="V1213" s="13" t="str">
        <f t="shared" si="386"/>
        <v>-</v>
      </c>
      <c r="W1213" s="5"/>
      <c r="X1213" s="27" t="b">
        <f>IF($G1213&lt;&gt;0,SUMIF(куб!$G:$G,$G1213,куб!N:N),IF($E1213&lt;&gt;0,SUMIF(куб!$E:$E,$E1213,куб!N:N),IF($D1213&lt;&gt;0,SUMIF(куб!$D:$D,$D1213,куб!N:N),IF($C1213&lt;&gt;0,SUMIF(куб!$C:$C,$C1213,куб!N:N),IF($B1213&lt;&gt;0,SUMIF(куб!$B:$B,$B1213,куб!N:N))))))</f>
        <v>0</v>
      </c>
      <c r="Y1213" s="27" t="b">
        <f>IF($G1213&lt;&gt;0,SUMIF(куб!$G:$G,$G1213,куб!O:O),IF($E1213&lt;&gt;0,SUMIF(куб!$E:$E,$E1213,куб!O:O),IF($D1213&lt;&gt;0,SUMIF(куб!$D:$D,$D1213,куб!O:O),IF($C1213&lt;&gt;0,SUMIF(куб!$C:$C,$C1213,куб!O:O),IF($B1213&lt;&gt;0,SUMIF(куб!$B:$B,$B1213,куб!O:O))))))</f>
        <v>0</v>
      </c>
      <c r="Z1213" s="13" t="str">
        <f t="shared" si="387"/>
        <v>-</v>
      </c>
      <c r="AA1213" s="5"/>
      <c r="AB1213" s="33" t="str">
        <f t="shared" si="388"/>
        <v/>
      </c>
      <c r="AC1213" s="33" t="str">
        <f t="shared" si="389"/>
        <v/>
      </c>
      <c r="AD1213" s="15" t="str">
        <f t="shared" si="390"/>
        <v xml:space="preserve"> </v>
      </c>
      <c r="AE1213" s="5"/>
      <c r="AF1213" s="27" t="b">
        <f>IF($G1213&lt;&gt;0,SUMIF(куб!$G:$G,$G1213,куб!R:R),IF($E1213&lt;&gt;0,SUMIF(куб!$E:$E,$E1213,куб!R:R),IF($D1213&lt;&gt;0,SUMIF(куб!$D:$D,$D1213,куб!R:R),IF($C1213&lt;&gt;0,SUMIF(куб!$C:$C,$C1213,куб!R:R),IF($B1213&lt;&gt;0,SUMIF(куб!$B:$B,$B1213,куб!R:R))))))</f>
        <v>0</v>
      </c>
      <c r="AG1213" s="27" t="b">
        <f>IF($G1213&lt;&gt;0,SUMIF(куб!$G:$G,$G1213,куб!S:S),IF($E1213&lt;&gt;0,SUMIF(куб!$E:$E,$E1213,куб!S:S),IF($D1213&lt;&gt;0,SUMIF(куб!$D:$D,$D1213,куб!S:S),IF($C1213&lt;&gt;0,SUMIF(куб!$C:$C,$C1213,куб!S:S),IF($B1213&lt;&gt;0,SUMIF(куб!$B:$B,$B1213,куб!S:S))))))</f>
        <v>0</v>
      </c>
      <c r="AH1213" s="16" t="str">
        <f t="shared" si="391"/>
        <v>-</v>
      </c>
      <c r="AI1213" s="8"/>
      <c r="AJ1213" s="27" t="b">
        <f>IF($G1213&lt;&gt;0,SUMIF(куб!$G:$G,$G1213,куб!T:T),IF($E1213&lt;&gt;0,SUMIF(куб!$E:$E,$E1213,куб!T:T),IF($D1213&lt;&gt;0,SUMIF(куб!$D:$D,$D1213,куб!T:T),IF($C1213&lt;&gt;0,SUMIF(куб!$C:$C,$C1213,куб!T:T),IF($B1213&lt;&gt;0,SUMIF(куб!$B:$B,$B1213,куб!T:T))))))</f>
        <v>0</v>
      </c>
      <c r="AK1213" s="27" t="b">
        <f>IF($G1213&lt;&gt;0,SUMIF(куб!$G:$G,$G1213,куб!U:U),IF($E1213&lt;&gt;0,SUMIF(куб!$E:$E,$E1213,куб!U:U),IF($D1213&lt;&gt;0,SUMIF(куб!$D:$D,$D1213,куб!U:U),IF($C1213&lt;&gt;0,SUMIF(куб!$C:$C,$C1213,куб!U:U),IF($B1213&lt;&gt;0,SUMIF(куб!$B:$B,$B1213,куб!U:U))))))</f>
        <v>0</v>
      </c>
      <c r="AL1213" s="16" t="str">
        <f t="shared" si="392"/>
        <v>-</v>
      </c>
      <c r="AM1213" s="8"/>
      <c r="AN1213" s="17" t="str">
        <f t="shared" si="393"/>
        <v xml:space="preserve"> </v>
      </c>
      <c r="AO1213" s="17" t="str">
        <f t="shared" si="394"/>
        <v xml:space="preserve"> </v>
      </c>
      <c r="AP1213" s="16" t="str">
        <f t="shared" si="395"/>
        <v>-</v>
      </c>
      <c r="AQ1213" s="8"/>
      <c r="AR1213" s="17" t="str">
        <f t="shared" si="396"/>
        <v>-</v>
      </c>
      <c r="AS1213" s="17" t="str">
        <f t="shared" si="397"/>
        <v>-</v>
      </c>
      <c r="AT1213" s="13" t="str">
        <f t="shared" si="398"/>
        <v>-</v>
      </c>
      <c r="AU1213" s="8"/>
    </row>
    <row r="1214" spans="8:47" x14ac:dyDescent="0.25">
      <c r="H1214" s="27">
        <f>IF($G1214&lt;&gt;0,SUMIF(куб!$G:$G,$G1214,куб!H:H),IF($E1214&lt;&gt;0,SUMIF(куб!$E:$E,$E1214,куб!H:H),IF($D1214&lt;&gt;0,SUMIF(куб!$D:$D,$D1214,куб!H:H),IF($C1214&lt;&gt;0,SUMIF(куб!$C:$C,$C1214,куб!H:H),IF($B1214&lt;&gt;0,SUMIF(куб!$B:$B,$B1214,куб!H:H),IF($G1214&lt;&gt;0,SUMIF(куб!$A:$A,$G1214,куб!H:H),SUMIF(куб!$A:$A,$G1214,куб!H:H)))))))</f>
        <v>0</v>
      </c>
      <c r="I1214" s="27">
        <f>IF($G1214&lt;&gt;0,SUMIF(куб!$G:$G,$G1214,куб!I:I),IF($E1214&lt;&gt;0,SUMIF(куб!$E:$E,$E1214,куб!I:I),IF($D1214&lt;&gt;0,SUMIF(куб!$D:$D,$D1214,куб!I:I),IF($C1214&lt;&gt;0,SUMIF(куб!$C:$C,$C1214,куб!I:I),IF($B1214&lt;&gt;0,SUMIF(куб!$B:$B,$B1214,куб!I:I),IF($G1214&lt;&gt;0,SUMIF(куб!$A:$A,$G1214,куб!I:I),SUMIF(куб!$A:$A,$G1214,куб!I:I)))))))</f>
        <v>0</v>
      </c>
      <c r="J1214" s="19" t="str">
        <f t="shared" si="381"/>
        <v>-</v>
      </c>
      <c r="K1214" s="8"/>
      <c r="L1214" s="17">
        <f t="shared" si="382"/>
        <v>0</v>
      </c>
      <c r="M1214" s="17">
        <f t="shared" si="383"/>
        <v>0</v>
      </c>
      <c r="N1214" s="12">
        <f t="shared" si="384"/>
        <v>0</v>
      </c>
      <c r="O1214" s="5"/>
      <c r="P1214" s="27" t="b">
        <f>IF($G1214&lt;&gt;0,SUMIF(куб!$G:$G,$G1214,куб!J:J),IF($E1214&lt;&gt;0,SUMIF(куб!$E:$E,$E1214,куб!J:J),IF($D1214&lt;&gt;0,SUMIF(куб!$D:$D,$D1214,куб!J:J),IF($C1214&lt;&gt;0,SUMIF(куб!$C:$C,$C1214,куб!J:J),IF($B1214&lt;&gt;0,SUMIF(куб!$B:$B,$B1214,куб!J:J))))))</f>
        <v>0</v>
      </c>
      <c r="Q1214" s="27" t="b">
        <f>IF($G1214&lt;&gt;0,SUMIF(куб!$G:$G,$G1214,куб!K:K),IF($E1214&lt;&gt;0,SUMIF(куб!$E:$E,$E1214,куб!K:K),IF($D1214&lt;&gt;0,SUMIF(куб!$D:$D,$D1214,куб!K:K),IF($C1214&lt;&gt;0,SUMIF(куб!$C:$C,$C1214,куб!K:K),IF($B1214&lt;&gt;0,SUMIF(куб!$B:$B,$B1214,куб!K:K))))))</f>
        <v>0</v>
      </c>
      <c r="R1214" s="13" t="str">
        <f t="shared" si="385"/>
        <v>-</v>
      </c>
      <c r="S1214" s="5"/>
      <c r="T1214" s="27" t="b">
        <f>IF($G1214&lt;&gt;0,SUMIF(куб!$G:$G,$G1214,куб!L:L),IF($E1214&lt;&gt;0,SUMIF(куб!$E:$E,$E1214,куб!L:L),IF($D1214&lt;&gt;0,SUMIF(куб!$D:$D,$D1214,куб!L:L),IF($C1214&lt;&gt;0,SUMIF(куб!$C:$C,$C1214,куб!L:L),IF($B1214&lt;&gt;0,SUMIF(куб!$B:$B,$B1214,куб!L:L))))))</f>
        <v>0</v>
      </c>
      <c r="U1214" s="27" t="b">
        <f>IF($G1214&lt;&gt;0,SUMIF(куб!$G:$G,$G1214,куб!M:M),IF($E1214&lt;&gt;0,SUMIF(куб!$E:$E,$E1214,куб!M:M),IF($D1214&lt;&gt;0,SUMIF(куб!$D:$D,$D1214,куб!M:M),IF($C1214&lt;&gt;0,SUMIF(куб!$C:$C,$C1214,куб!M:M),IF($B1214&lt;&gt;0,SUMIF(куб!$B:$B,$B1214,куб!M:M))))))</f>
        <v>0</v>
      </c>
      <c r="V1214" s="13" t="str">
        <f t="shared" si="386"/>
        <v>-</v>
      </c>
      <c r="W1214" s="5"/>
      <c r="X1214" s="27" t="b">
        <f>IF($G1214&lt;&gt;0,SUMIF(куб!$G:$G,$G1214,куб!N:N),IF($E1214&lt;&gt;0,SUMIF(куб!$E:$E,$E1214,куб!N:N),IF($D1214&lt;&gt;0,SUMIF(куб!$D:$D,$D1214,куб!N:N),IF($C1214&lt;&gt;0,SUMIF(куб!$C:$C,$C1214,куб!N:N),IF($B1214&lt;&gt;0,SUMIF(куб!$B:$B,$B1214,куб!N:N))))))</f>
        <v>0</v>
      </c>
      <c r="Y1214" s="27" t="b">
        <f>IF($G1214&lt;&gt;0,SUMIF(куб!$G:$G,$G1214,куб!O:O),IF($E1214&lt;&gt;0,SUMIF(куб!$E:$E,$E1214,куб!O:O),IF($D1214&lt;&gt;0,SUMIF(куб!$D:$D,$D1214,куб!O:O),IF($C1214&lt;&gt;0,SUMIF(куб!$C:$C,$C1214,куб!O:O),IF($B1214&lt;&gt;0,SUMIF(куб!$B:$B,$B1214,куб!O:O))))))</f>
        <v>0</v>
      </c>
      <c r="Z1214" s="13" t="str">
        <f t="shared" si="387"/>
        <v>-</v>
      </c>
      <c r="AA1214" s="5"/>
      <c r="AB1214" s="33" t="str">
        <f t="shared" si="388"/>
        <v/>
      </c>
      <c r="AC1214" s="33" t="str">
        <f t="shared" si="389"/>
        <v/>
      </c>
      <c r="AD1214" s="15" t="str">
        <f t="shared" si="390"/>
        <v xml:space="preserve"> </v>
      </c>
      <c r="AE1214" s="5"/>
      <c r="AF1214" s="27" t="b">
        <f>IF($G1214&lt;&gt;0,SUMIF(куб!$G:$G,$G1214,куб!R:R),IF($E1214&lt;&gt;0,SUMIF(куб!$E:$E,$E1214,куб!R:R),IF($D1214&lt;&gt;0,SUMIF(куб!$D:$D,$D1214,куб!R:R),IF($C1214&lt;&gt;0,SUMIF(куб!$C:$C,$C1214,куб!R:R),IF($B1214&lt;&gt;0,SUMIF(куб!$B:$B,$B1214,куб!R:R))))))</f>
        <v>0</v>
      </c>
      <c r="AG1214" s="27" t="b">
        <f>IF($G1214&lt;&gt;0,SUMIF(куб!$G:$G,$G1214,куб!S:S),IF($E1214&lt;&gt;0,SUMIF(куб!$E:$E,$E1214,куб!S:S),IF($D1214&lt;&gt;0,SUMIF(куб!$D:$D,$D1214,куб!S:S),IF($C1214&lt;&gt;0,SUMIF(куб!$C:$C,$C1214,куб!S:S),IF($B1214&lt;&gt;0,SUMIF(куб!$B:$B,$B1214,куб!S:S))))))</f>
        <v>0</v>
      </c>
      <c r="AH1214" s="16" t="str">
        <f t="shared" si="391"/>
        <v>-</v>
      </c>
      <c r="AI1214" s="8"/>
      <c r="AJ1214" s="27" t="b">
        <f>IF($G1214&lt;&gt;0,SUMIF(куб!$G:$G,$G1214,куб!T:T),IF($E1214&lt;&gt;0,SUMIF(куб!$E:$E,$E1214,куб!T:T),IF($D1214&lt;&gt;0,SUMIF(куб!$D:$D,$D1214,куб!T:T),IF($C1214&lt;&gt;0,SUMIF(куб!$C:$C,$C1214,куб!T:T),IF($B1214&lt;&gt;0,SUMIF(куб!$B:$B,$B1214,куб!T:T))))))</f>
        <v>0</v>
      </c>
      <c r="AK1214" s="27" t="b">
        <f>IF($G1214&lt;&gt;0,SUMIF(куб!$G:$G,$G1214,куб!U:U),IF($E1214&lt;&gt;0,SUMIF(куб!$E:$E,$E1214,куб!U:U),IF($D1214&lt;&gt;0,SUMIF(куб!$D:$D,$D1214,куб!U:U),IF($C1214&lt;&gt;0,SUMIF(куб!$C:$C,$C1214,куб!U:U),IF($B1214&lt;&gt;0,SUMIF(куб!$B:$B,$B1214,куб!U:U))))))</f>
        <v>0</v>
      </c>
      <c r="AL1214" s="16" t="str">
        <f t="shared" si="392"/>
        <v>-</v>
      </c>
      <c r="AM1214" s="8"/>
      <c r="AN1214" s="17" t="str">
        <f t="shared" si="393"/>
        <v xml:space="preserve"> </v>
      </c>
      <c r="AO1214" s="17" t="str">
        <f t="shared" si="394"/>
        <v xml:space="preserve"> </v>
      </c>
      <c r="AP1214" s="16" t="str">
        <f t="shared" si="395"/>
        <v>-</v>
      </c>
      <c r="AQ1214" s="8"/>
      <c r="AR1214" s="17" t="str">
        <f t="shared" si="396"/>
        <v>-</v>
      </c>
      <c r="AS1214" s="17" t="str">
        <f t="shared" si="397"/>
        <v>-</v>
      </c>
      <c r="AT1214" s="13" t="str">
        <f t="shared" si="398"/>
        <v>-</v>
      </c>
      <c r="AU1214" s="8"/>
    </row>
    <row r="1215" spans="8:47" x14ac:dyDescent="0.25">
      <c r="H1215" s="27">
        <f>IF($G1215&lt;&gt;0,SUMIF(куб!$G:$G,$G1215,куб!H:H),IF($E1215&lt;&gt;0,SUMIF(куб!$E:$E,$E1215,куб!H:H),IF($D1215&lt;&gt;0,SUMIF(куб!$D:$D,$D1215,куб!H:H),IF($C1215&lt;&gt;0,SUMIF(куб!$C:$C,$C1215,куб!H:H),IF($B1215&lt;&gt;0,SUMIF(куб!$B:$B,$B1215,куб!H:H),IF($G1215&lt;&gt;0,SUMIF(куб!$A:$A,$G1215,куб!H:H),SUMIF(куб!$A:$A,$G1215,куб!H:H)))))))</f>
        <v>0</v>
      </c>
      <c r="I1215" s="27">
        <f>IF($G1215&lt;&gt;0,SUMIF(куб!$G:$G,$G1215,куб!I:I),IF($E1215&lt;&gt;0,SUMIF(куб!$E:$E,$E1215,куб!I:I),IF($D1215&lt;&gt;0,SUMIF(куб!$D:$D,$D1215,куб!I:I),IF($C1215&lt;&gt;0,SUMIF(куб!$C:$C,$C1215,куб!I:I),IF($B1215&lt;&gt;0,SUMIF(куб!$B:$B,$B1215,куб!I:I),IF($G1215&lt;&gt;0,SUMIF(куб!$A:$A,$G1215,куб!I:I),SUMIF(куб!$A:$A,$G1215,куб!I:I)))))))</f>
        <v>0</v>
      </c>
      <c r="J1215" s="19" t="str">
        <f t="shared" si="381"/>
        <v>-</v>
      </c>
      <c r="K1215" s="8"/>
      <c r="L1215" s="17">
        <f t="shared" si="382"/>
        <v>0</v>
      </c>
      <c r="M1215" s="17">
        <f t="shared" si="383"/>
        <v>0</v>
      </c>
      <c r="N1215" s="12">
        <f t="shared" si="384"/>
        <v>0</v>
      </c>
      <c r="O1215" s="5"/>
      <c r="P1215" s="27" t="b">
        <f>IF($G1215&lt;&gt;0,SUMIF(куб!$G:$G,$G1215,куб!J:J),IF($E1215&lt;&gt;0,SUMIF(куб!$E:$E,$E1215,куб!J:J),IF($D1215&lt;&gt;0,SUMIF(куб!$D:$D,$D1215,куб!J:J),IF($C1215&lt;&gt;0,SUMIF(куб!$C:$C,$C1215,куб!J:J),IF($B1215&lt;&gt;0,SUMIF(куб!$B:$B,$B1215,куб!J:J))))))</f>
        <v>0</v>
      </c>
      <c r="Q1215" s="27" t="b">
        <f>IF($G1215&lt;&gt;0,SUMIF(куб!$G:$G,$G1215,куб!K:K),IF($E1215&lt;&gt;0,SUMIF(куб!$E:$E,$E1215,куб!K:K),IF($D1215&lt;&gt;0,SUMIF(куб!$D:$D,$D1215,куб!K:K),IF($C1215&lt;&gt;0,SUMIF(куб!$C:$C,$C1215,куб!K:K),IF($B1215&lt;&gt;0,SUMIF(куб!$B:$B,$B1215,куб!K:K))))))</f>
        <v>0</v>
      </c>
      <c r="R1215" s="13" t="str">
        <f t="shared" si="385"/>
        <v>-</v>
      </c>
      <c r="S1215" s="5"/>
      <c r="T1215" s="27" t="b">
        <f>IF($G1215&lt;&gt;0,SUMIF(куб!$G:$G,$G1215,куб!L:L),IF($E1215&lt;&gt;0,SUMIF(куб!$E:$E,$E1215,куб!L:L),IF($D1215&lt;&gt;0,SUMIF(куб!$D:$D,$D1215,куб!L:L),IF($C1215&lt;&gt;0,SUMIF(куб!$C:$C,$C1215,куб!L:L),IF($B1215&lt;&gt;0,SUMIF(куб!$B:$B,$B1215,куб!L:L))))))</f>
        <v>0</v>
      </c>
      <c r="U1215" s="27" t="b">
        <f>IF($G1215&lt;&gt;0,SUMIF(куб!$G:$G,$G1215,куб!M:M),IF($E1215&lt;&gt;0,SUMIF(куб!$E:$E,$E1215,куб!M:M),IF($D1215&lt;&gt;0,SUMIF(куб!$D:$D,$D1215,куб!M:M),IF($C1215&lt;&gt;0,SUMIF(куб!$C:$C,$C1215,куб!M:M),IF($B1215&lt;&gt;0,SUMIF(куб!$B:$B,$B1215,куб!M:M))))))</f>
        <v>0</v>
      </c>
      <c r="V1215" s="13" t="str">
        <f t="shared" si="386"/>
        <v>-</v>
      </c>
      <c r="W1215" s="5"/>
      <c r="X1215" s="27" t="b">
        <f>IF($G1215&lt;&gt;0,SUMIF(куб!$G:$G,$G1215,куб!N:N),IF($E1215&lt;&gt;0,SUMIF(куб!$E:$E,$E1215,куб!N:N),IF($D1215&lt;&gt;0,SUMIF(куб!$D:$D,$D1215,куб!N:N),IF($C1215&lt;&gt;0,SUMIF(куб!$C:$C,$C1215,куб!N:N),IF($B1215&lt;&gt;0,SUMIF(куб!$B:$B,$B1215,куб!N:N))))))</f>
        <v>0</v>
      </c>
      <c r="Y1215" s="27" t="b">
        <f>IF($G1215&lt;&gt;0,SUMIF(куб!$G:$G,$G1215,куб!O:O),IF($E1215&lt;&gt;0,SUMIF(куб!$E:$E,$E1215,куб!O:O),IF($D1215&lt;&gt;0,SUMIF(куб!$D:$D,$D1215,куб!O:O),IF($C1215&lt;&gt;0,SUMIF(куб!$C:$C,$C1215,куб!O:O),IF($B1215&lt;&gt;0,SUMIF(куб!$B:$B,$B1215,куб!O:O))))))</f>
        <v>0</v>
      </c>
      <c r="Z1215" s="13" t="str">
        <f t="shared" si="387"/>
        <v>-</v>
      </c>
      <c r="AA1215" s="5"/>
      <c r="AB1215" s="33" t="str">
        <f t="shared" si="388"/>
        <v/>
      </c>
      <c r="AC1215" s="33" t="str">
        <f t="shared" si="389"/>
        <v/>
      </c>
      <c r="AD1215" s="15" t="str">
        <f t="shared" si="390"/>
        <v xml:space="preserve"> </v>
      </c>
      <c r="AE1215" s="5"/>
      <c r="AF1215" s="27" t="b">
        <f>IF($G1215&lt;&gt;0,SUMIF(куб!$G:$G,$G1215,куб!R:R),IF($E1215&lt;&gt;0,SUMIF(куб!$E:$E,$E1215,куб!R:R),IF($D1215&lt;&gt;0,SUMIF(куб!$D:$D,$D1215,куб!R:R),IF($C1215&lt;&gt;0,SUMIF(куб!$C:$C,$C1215,куб!R:R),IF($B1215&lt;&gt;0,SUMIF(куб!$B:$B,$B1215,куб!R:R))))))</f>
        <v>0</v>
      </c>
      <c r="AG1215" s="27" t="b">
        <f>IF($G1215&lt;&gt;0,SUMIF(куб!$G:$G,$G1215,куб!S:S),IF($E1215&lt;&gt;0,SUMIF(куб!$E:$E,$E1215,куб!S:S),IF($D1215&lt;&gt;0,SUMIF(куб!$D:$D,$D1215,куб!S:S),IF($C1215&lt;&gt;0,SUMIF(куб!$C:$C,$C1215,куб!S:S),IF($B1215&lt;&gt;0,SUMIF(куб!$B:$B,$B1215,куб!S:S))))))</f>
        <v>0</v>
      </c>
      <c r="AH1215" s="16" t="str">
        <f t="shared" si="391"/>
        <v>-</v>
      </c>
      <c r="AI1215" s="8"/>
      <c r="AJ1215" s="27" t="b">
        <f>IF($G1215&lt;&gt;0,SUMIF(куб!$G:$G,$G1215,куб!T:T),IF($E1215&lt;&gt;0,SUMIF(куб!$E:$E,$E1215,куб!T:T),IF($D1215&lt;&gt;0,SUMIF(куб!$D:$D,$D1215,куб!T:T),IF($C1215&lt;&gt;0,SUMIF(куб!$C:$C,$C1215,куб!T:T),IF($B1215&lt;&gt;0,SUMIF(куб!$B:$B,$B1215,куб!T:T))))))</f>
        <v>0</v>
      </c>
      <c r="AK1215" s="27" t="b">
        <f>IF($G1215&lt;&gt;0,SUMIF(куб!$G:$G,$G1215,куб!U:U),IF($E1215&lt;&gt;0,SUMIF(куб!$E:$E,$E1215,куб!U:U),IF($D1215&lt;&gt;0,SUMIF(куб!$D:$D,$D1215,куб!U:U),IF($C1215&lt;&gt;0,SUMIF(куб!$C:$C,$C1215,куб!U:U),IF($B1215&lt;&gt;0,SUMIF(куб!$B:$B,$B1215,куб!U:U))))))</f>
        <v>0</v>
      </c>
      <c r="AL1215" s="16" t="str">
        <f t="shared" si="392"/>
        <v>-</v>
      </c>
      <c r="AM1215" s="8"/>
      <c r="AN1215" s="17" t="str">
        <f t="shared" si="393"/>
        <v xml:space="preserve"> </v>
      </c>
      <c r="AO1215" s="17" t="str">
        <f t="shared" si="394"/>
        <v xml:space="preserve"> </v>
      </c>
      <c r="AP1215" s="16" t="str">
        <f t="shared" si="395"/>
        <v>-</v>
      </c>
      <c r="AQ1215" s="8"/>
      <c r="AR1215" s="17" t="str">
        <f t="shared" si="396"/>
        <v>-</v>
      </c>
      <c r="AS1215" s="17" t="str">
        <f t="shared" si="397"/>
        <v>-</v>
      </c>
      <c r="AT1215" s="13" t="str">
        <f t="shared" si="398"/>
        <v>-</v>
      </c>
      <c r="AU1215" s="8"/>
    </row>
    <row r="1216" spans="8:47" x14ac:dyDescent="0.25">
      <c r="H1216" s="27">
        <f>IF($G1216&lt;&gt;0,SUMIF(куб!$G:$G,$G1216,куб!H:H),IF($E1216&lt;&gt;0,SUMIF(куб!$E:$E,$E1216,куб!H:H),IF($D1216&lt;&gt;0,SUMIF(куб!$D:$D,$D1216,куб!H:H),IF($C1216&lt;&gt;0,SUMIF(куб!$C:$C,$C1216,куб!H:H),IF($B1216&lt;&gt;0,SUMIF(куб!$B:$B,$B1216,куб!H:H),IF($G1216&lt;&gt;0,SUMIF(куб!$A:$A,$G1216,куб!H:H),SUMIF(куб!$A:$A,$G1216,куб!H:H)))))))</f>
        <v>0</v>
      </c>
      <c r="I1216" s="27">
        <f>IF($G1216&lt;&gt;0,SUMIF(куб!$G:$G,$G1216,куб!I:I),IF($E1216&lt;&gt;0,SUMIF(куб!$E:$E,$E1216,куб!I:I),IF($D1216&lt;&gt;0,SUMIF(куб!$D:$D,$D1216,куб!I:I),IF($C1216&lt;&gt;0,SUMIF(куб!$C:$C,$C1216,куб!I:I),IF($B1216&lt;&gt;0,SUMIF(куб!$B:$B,$B1216,куб!I:I),IF($G1216&lt;&gt;0,SUMIF(куб!$A:$A,$G1216,куб!I:I),SUMIF(куб!$A:$A,$G1216,куб!I:I)))))))</f>
        <v>0</v>
      </c>
      <c r="J1216" s="19" t="str">
        <f t="shared" si="381"/>
        <v>-</v>
      </c>
      <c r="K1216" s="8"/>
      <c r="L1216" s="17">
        <f t="shared" si="382"/>
        <v>0</v>
      </c>
      <c r="M1216" s="17">
        <f t="shared" si="383"/>
        <v>0</v>
      </c>
      <c r="N1216" s="12">
        <f t="shared" si="384"/>
        <v>0</v>
      </c>
      <c r="O1216" s="5"/>
      <c r="P1216" s="27" t="b">
        <f>IF($G1216&lt;&gt;0,SUMIF(куб!$G:$G,$G1216,куб!J:J),IF($E1216&lt;&gt;0,SUMIF(куб!$E:$E,$E1216,куб!J:J),IF($D1216&lt;&gt;0,SUMIF(куб!$D:$D,$D1216,куб!J:J),IF($C1216&lt;&gt;0,SUMIF(куб!$C:$C,$C1216,куб!J:J),IF($B1216&lt;&gt;0,SUMIF(куб!$B:$B,$B1216,куб!J:J))))))</f>
        <v>0</v>
      </c>
      <c r="Q1216" s="27" t="b">
        <f>IF($G1216&lt;&gt;0,SUMIF(куб!$G:$G,$G1216,куб!K:K),IF($E1216&lt;&gt;0,SUMIF(куб!$E:$E,$E1216,куб!K:K),IF($D1216&lt;&gt;0,SUMIF(куб!$D:$D,$D1216,куб!K:K),IF($C1216&lt;&gt;0,SUMIF(куб!$C:$C,$C1216,куб!K:K),IF($B1216&lt;&gt;0,SUMIF(куб!$B:$B,$B1216,куб!K:K))))))</f>
        <v>0</v>
      </c>
      <c r="R1216" s="13" t="str">
        <f t="shared" si="385"/>
        <v>-</v>
      </c>
      <c r="S1216" s="5"/>
      <c r="T1216" s="27" t="b">
        <f>IF($G1216&lt;&gt;0,SUMIF(куб!$G:$G,$G1216,куб!L:L),IF($E1216&lt;&gt;0,SUMIF(куб!$E:$E,$E1216,куб!L:L),IF($D1216&lt;&gt;0,SUMIF(куб!$D:$D,$D1216,куб!L:L),IF($C1216&lt;&gt;0,SUMIF(куб!$C:$C,$C1216,куб!L:L),IF($B1216&lt;&gt;0,SUMIF(куб!$B:$B,$B1216,куб!L:L))))))</f>
        <v>0</v>
      </c>
      <c r="U1216" s="27" t="b">
        <f>IF($G1216&lt;&gt;0,SUMIF(куб!$G:$G,$G1216,куб!M:M),IF($E1216&lt;&gt;0,SUMIF(куб!$E:$E,$E1216,куб!M:M),IF($D1216&lt;&gt;0,SUMIF(куб!$D:$D,$D1216,куб!M:M),IF($C1216&lt;&gt;0,SUMIF(куб!$C:$C,$C1216,куб!M:M),IF($B1216&lt;&gt;0,SUMIF(куб!$B:$B,$B1216,куб!M:M))))))</f>
        <v>0</v>
      </c>
      <c r="V1216" s="13" t="str">
        <f t="shared" si="386"/>
        <v>-</v>
      </c>
      <c r="W1216" s="5"/>
      <c r="X1216" s="27" t="b">
        <f>IF($G1216&lt;&gt;0,SUMIF(куб!$G:$G,$G1216,куб!N:N),IF($E1216&lt;&gt;0,SUMIF(куб!$E:$E,$E1216,куб!N:N),IF($D1216&lt;&gt;0,SUMIF(куб!$D:$D,$D1216,куб!N:N),IF($C1216&lt;&gt;0,SUMIF(куб!$C:$C,$C1216,куб!N:N),IF($B1216&lt;&gt;0,SUMIF(куб!$B:$B,$B1216,куб!N:N))))))</f>
        <v>0</v>
      </c>
      <c r="Y1216" s="27" t="b">
        <f>IF($G1216&lt;&gt;0,SUMIF(куб!$G:$G,$G1216,куб!O:O),IF($E1216&lt;&gt;0,SUMIF(куб!$E:$E,$E1216,куб!O:O),IF($D1216&lt;&gt;0,SUMIF(куб!$D:$D,$D1216,куб!O:O),IF($C1216&lt;&gt;0,SUMIF(куб!$C:$C,$C1216,куб!O:O),IF($B1216&lt;&gt;0,SUMIF(куб!$B:$B,$B1216,куб!O:O))))))</f>
        <v>0</v>
      </c>
      <c r="Z1216" s="13" t="str">
        <f t="shared" si="387"/>
        <v>-</v>
      </c>
      <c r="AA1216" s="5"/>
      <c r="AB1216" s="33" t="str">
        <f t="shared" si="388"/>
        <v/>
      </c>
      <c r="AC1216" s="33" t="str">
        <f t="shared" si="389"/>
        <v/>
      </c>
      <c r="AD1216" s="15" t="str">
        <f t="shared" si="390"/>
        <v xml:space="preserve"> </v>
      </c>
      <c r="AE1216" s="5"/>
      <c r="AF1216" s="27" t="b">
        <f>IF($G1216&lt;&gt;0,SUMIF(куб!$G:$G,$G1216,куб!R:R),IF($E1216&lt;&gt;0,SUMIF(куб!$E:$E,$E1216,куб!R:R),IF($D1216&lt;&gt;0,SUMIF(куб!$D:$D,$D1216,куб!R:R),IF($C1216&lt;&gt;0,SUMIF(куб!$C:$C,$C1216,куб!R:R),IF($B1216&lt;&gt;0,SUMIF(куб!$B:$B,$B1216,куб!R:R))))))</f>
        <v>0</v>
      </c>
      <c r="AG1216" s="27" t="b">
        <f>IF($G1216&lt;&gt;0,SUMIF(куб!$G:$G,$G1216,куб!S:S),IF($E1216&lt;&gt;0,SUMIF(куб!$E:$E,$E1216,куб!S:S),IF($D1216&lt;&gt;0,SUMIF(куб!$D:$D,$D1216,куб!S:S),IF($C1216&lt;&gt;0,SUMIF(куб!$C:$C,$C1216,куб!S:S),IF($B1216&lt;&gt;0,SUMIF(куб!$B:$B,$B1216,куб!S:S))))))</f>
        <v>0</v>
      </c>
      <c r="AH1216" s="16" t="str">
        <f t="shared" si="391"/>
        <v>-</v>
      </c>
      <c r="AI1216" s="8"/>
      <c r="AJ1216" s="27" t="b">
        <f>IF($G1216&lt;&gt;0,SUMIF(куб!$G:$G,$G1216,куб!T:T),IF($E1216&lt;&gt;0,SUMIF(куб!$E:$E,$E1216,куб!T:T),IF($D1216&lt;&gt;0,SUMIF(куб!$D:$D,$D1216,куб!T:T),IF($C1216&lt;&gt;0,SUMIF(куб!$C:$C,$C1216,куб!T:T),IF($B1216&lt;&gt;0,SUMIF(куб!$B:$B,$B1216,куб!T:T))))))</f>
        <v>0</v>
      </c>
      <c r="AK1216" s="27" t="b">
        <f>IF($G1216&lt;&gt;0,SUMIF(куб!$G:$G,$G1216,куб!U:U),IF($E1216&lt;&gt;0,SUMIF(куб!$E:$E,$E1216,куб!U:U),IF($D1216&lt;&gt;0,SUMIF(куб!$D:$D,$D1216,куб!U:U),IF($C1216&lt;&gt;0,SUMIF(куб!$C:$C,$C1216,куб!U:U),IF($B1216&lt;&gt;0,SUMIF(куб!$B:$B,$B1216,куб!U:U))))))</f>
        <v>0</v>
      </c>
      <c r="AL1216" s="16" t="str">
        <f t="shared" si="392"/>
        <v>-</v>
      </c>
      <c r="AM1216" s="8"/>
      <c r="AN1216" s="17" t="str">
        <f t="shared" si="393"/>
        <v xml:space="preserve"> </v>
      </c>
      <c r="AO1216" s="17" t="str">
        <f t="shared" si="394"/>
        <v xml:space="preserve"> </v>
      </c>
      <c r="AP1216" s="16" t="str">
        <f t="shared" si="395"/>
        <v>-</v>
      </c>
      <c r="AQ1216" s="8"/>
      <c r="AR1216" s="17" t="str">
        <f t="shared" si="396"/>
        <v>-</v>
      </c>
      <c r="AS1216" s="17" t="str">
        <f t="shared" si="397"/>
        <v>-</v>
      </c>
      <c r="AT1216" s="13" t="str">
        <f t="shared" si="398"/>
        <v>-</v>
      </c>
      <c r="AU1216" s="8"/>
    </row>
    <row r="1217" spans="8:47" x14ac:dyDescent="0.25">
      <c r="H1217" s="27">
        <f>IF($G1217&lt;&gt;0,SUMIF(куб!$G:$G,$G1217,куб!H:H),IF($E1217&lt;&gt;0,SUMIF(куб!$E:$E,$E1217,куб!H:H),IF($D1217&lt;&gt;0,SUMIF(куб!$D:$D,$D1217,куб!H:H),IF($C1217&lt;&gt;0,SUMIF(куб!$C:$C,$C1217,куб!H:H),IF($B1217&lt;&gt;0,SUMIF(куб!$B:$B,$B1217,куб!H:H),IF($G1217&lt;&gt;0,SUMIF(куб!$A:$A,$G1217,куб!H:H),SUMIF(куб!$A:$A,$G1217,куб!H:H)))))))</f>
        <v>0</v>
      </c>
      <c r="I1217" s="27">
        <f>IF($G1217&lt;&gt;0,SUMIF(куб!$G:$G,$G1217,куб!I:I),IF($E1217&lt;&gt;0,SUMIF(куб!$E:$E,$E1217,куб!I:I),IF($D1217&lt;&gt;0,SUMIF(куб!$D:$D,$D1217,куб!I:I),IF($C1217&lt;&gt;0,SUMIF(куб!$C:$C,$C1217,куб!I:I),IF($B1217&lt;&gt;0,SUMIF(куб!$B:$B,$B1217,куб!I:I),IF($G1217&lt;&gt;0,SUMIF(куб!$A:$A,$G1217,куб!I:I),SUMIF(куб!$A:$A,$G1217,куб!I:I)))))))</f>
        <v>0</v>
      </c>
      <c r="J1217" s="19" t="str">
        <f t="shared" si="381"/>
        <v>-</v>
      </c>
      <c r="K1217" s="8"/>
      <c r="L1217" s="17">
        <f t="shared" si="382"/>
        <v>0</v>
      </c>
      <c r="M1217" s="17">
        <f t="shared" si="383"/>
        <v>0</v>
      </c>
      <c r="N1217" s="12">
        <f t="shared" si="384"/>
        <v>0</v>
      </c>
      <c r="O1217" s="5"/>
      <c r="P1217" s="27" t="b">
        <f>IF($G1217&lt;&gt;0,SUMIF(куб!$G:$G,$G1217,куб!J:J),IF($E1217&lt;&gt;0,SUMIF(куб!$E:$E,$E1217,куб!J:J),IF($D1217&lt;&gt;0,SUMIF(куб!$D:$D,$D1217,куб!J:J),IF($C1217&lt;&gt;0,SUMIF(куб!$C:$C,$C1217,куб!J:J),IF($B1217&lt;&gt;0,SUMIF(куб!$B:$B,$B1217,куб!J:J))))))</f>
        <v>0</v>
      </c>
      <c r="Q1217" s="27" t="b">
        <f>IF($G1217&lt;&gt;0,SUMIF(куб!$G:$G,$G1217,куб!K:K),IF($E1217&lt;&gt;0,SUMIF(куб!$E:$E,$E1217,куб!K:K),IF($D1217&lt;&gt;0,SUMIF(куб!$D:$D,$D1217,куб!K:K),IF($C1217&lt;&gt;0,SUMIF(куб!$C:$C,$C1217,куб!K:K),IF($B1217&lt;&gt;0,SUMIF(куб!$B:$B,$B1217,куб!K:K))))))</f>
        <v>0</v>
      </c>
      <c r="R1217" s="13" t="str">
        <f t="shared" si="385"/>
        <v>-</v>
      </c>
      <c r="S1217" s="5"/>
      <c r="T1217" s="27" t="b">
        <f>IF($G1217&lt;&gt;0,SUMIF(куб!$G:$G,$G1217,куб!L:L),IF($E1217&lt;&gt;0,SUMIF(куб!$E:$E,$E1217,куб!L:L),IF($D1217&lt;&gt;0,SUMIF(куб!$D:$D,$D1217,куб!L:L),IF($C1217&lt;&gt;0,SUMIF(куб!$C:$C,$C1217,куб!L:L),IF($B1217&lt;&gt;0,SUMIF(куб!$B:$B,$B1217,куб!L:L))))))</f>
        <v>0</v>
      </c>
      <c r="U1217" s="27" t="b">
        <f>IF($G1217&lt;&gt;0,SUMIF(куб!$G:$G,$G1217,куб!M:M),IF($E1217&lt;&gt;0,SUMIF(куб!$E:$E,$E1217,куб!M:M),IF($D1217&lt;&gt;0,SUMIF(куб!$D:$D,$D1217,куб!M:M),IF($C1217&lt;&gt;0,SUMIF(куб!$C:$C,$C1217,куб!M:M),IF($B1217&lt;&gt;0,SUMIF(куб!$B:$B,$B1217,куб!M:M))))))</f>
        <v>0</v>
      </c>
      <c r="V1217" s="13" t="str">
        <f t="shared" si="386"/>
        <v>-</v>
      </c>
      <c r="W1217" s="5"/>
      <c r="X1217" s="27" t="b">
        <f>IF($G1217&lt;&gt;0,SUMIF(куб!$G:$G,$G1217,куб!N:N),IF($E1217&lt;&gt;0,SUMIF(куб!$E:$E,$E1217,куб!N:N),IF($D1217&lt;&gt;0,SUMIF(куб!$D:$D,$D1217,куб!N:N),IF($C1217&lt;&gt;0,SUMIF(куб!$C:$C,$C1217,куб!N:N),IF($B1217&lt;&gt;0,SUMIF(куб!$B:$B,$B1217,куб!N:N))))))</f>
        <v>0</v>
      </c>
      <c r="Y1217" s="27" t="b">
        <f>IF($G1217&lt;&gt;0,SUMIF(куб!$G:$G,$G1217,куб!O:O),IF($E1217&lt;&gt;0,SUMIF(куб!$E:$E,$E1217,куб!O:O),IF($D1217&lt;&gt;0,SUMIF(куб!$D:$D,$D1217,куб!O:O),IF($C1217&lt;&gt;0,SUMIF(куб!$C:$C,$C1217,куб!O:O),IF($B1217&lt;&gt;0,SUMIF(куб!$B:$B,$B1217,куб!O:O))))))</f>
        <v>0</v>
      </c>
      <c r="Z1217" s="13" t="str">
        <f t="shared" si="387"/>
        <v>-</v>
      </c>
      <c r="AA1217" s="5"/>
      <c r="AB1217" s="33" t="str">
        <f t="shared" si="388"/>
        <v/>
      </c>
      <c r="AC1217" s="33" t="str">
        <f t="shared" si="389"/>
        <v/>
      </c>
      <c r="AD1217" s="15" t="str">
        <f t="shared" si="390"/>
        <v xml:space="preserve"> </v>
      </c>
      <c r="AE1217" s="5"/>
      <c r="AF1217" s="27" t="b">
        <f>IF($G1217&lt;&gt;0,SUMIF(куб!$G:$G,$G1217,куб!R:R),IF($E1217&lt;&gt;0,SUMIF(куб!$E:$E,$E1217,куб!R:R),IF($D1217&lt;&gt;0,SUMIF(куб!$D:$D,$D1217,куб!R:R),IF($C1217&lt;&gt;0,SUMIF(куб!$C:$C,$C1217,куб!R:R),IF($B1217&lt;&gt;0,SUMIF(куб!$B:$B,$B1217,куб!R:R))))))</f>
        <v>0</v>
      </c>
      <c r="AG1217" s="27" t="b">
        <f>IF($G1217&lt;&gt;0,SUMIF(куб!$G:$G,$G1217,куб!S:S),IF($E1217&lt;&gt;0,SUMIF(куб!$E:$E,$E1217,куб!S:S),IF($D1217&lt;&gt;0,SUMIF(куб!$D:$D,$D1217,куб!S:S),IF($C1217&lt;&gt;0,SUMIF(куб!$C:$C,$C1217,куб!S:S),IF($B1217&lt;&gt;0,SUMIF(куб!$B:$B,$B1217,куб!S:S))))))</f>
        <v>0</v>
      </c>
      <c r="AH1217" s="16" t="str">
        <f t="shared" si="391"/>
        <v>-</v>
      </c>
      <c r="AI1217" s="8"/>
      <c r="AJ1217" s="27" t="b">
        <f>IF($G1217&lt;&gt;0,SUMIF(куб!$G:$G,$G1217,куб!T:T),IF($E1217&lt;&gt;0,SUMIF(куб!$E:$E,$E1217,куб!T:T),IF($D1217&lt;&gt;0,SUMIF(куб!$D:$D,$D1217,куб!T:T),IF($C1217&lt;&gt;0,SUMIF(куб!$C:$C,$C1217,куб!T:T),IF($B1217&lt;&gt;0,SUMIF(куб!$B:$B,$B1217,куб!T:T))))))</f>
        <v>0</v>
      </c>
      <c r="AK1217" s="27" t="b">
        <f>IF($G1217&lt;&gt;0,SUMIF(куб!$G:$G,$G1217,куб!U:U),IF($E1217&lt;&gt;0,SUMIF(куб!$E:$E,$E1217,куб!U:U),IF($D1217&lt;&gt;0,SUMIF(куб!$D:$D,$D1217,куб!U:U),IF($C1217&lt;&gt;0,SUMIF(куб!$C:$C,$C1217,куб!U:U),IF($B1217&lt;&gt;0,SUMIF(куб!$B:$B,$B1217,куб!U:U))))))</f>
        <v>0</v>
      </c>
      <c r="AL1217" s="16" t="str">
        <f t="shared" si="392"/>
        <v>-</v>
      </c>
      <c r="AM1217" s="8"/>
      <c r="AN1217" s="17" t="str">
        <f t="shared" si="393"/>
        <v xml:space="preserve"> </v>
      </c>
      <c r="AO1217" s="17" t="str">
        <f t="shared" si="394"/>
        <v xml:space="preserve"> </v>
      </c>
      <c r="AP1217" s="16" t="str">
        <f t="shared" si="395"/>
        <v>-</v>
      </c>
      <c r="AQ1217" s="8"/>
      <c r="AR1217" s="17" t="str">
        <f t="shared" si="396"/>
        <v>-</v>
      </c>
      <c r="AS1217" s="17" t="str">
        <f t="shared" si="397"/>
        <v>-</v>
      </c>
      <c r="AT1217" s="13" t="str">
        <f t="shared" si="398"/>
        <v>-</v>
      </c>
      <c r="AU1217" s="8"/>
    </row>
    <row r="1218" spans="8:47" x14ac:dyDescent="0.25">
      <c r="H1218" s="27">
        <f>IF($G1218&lt;&gt;0,SUMIF(куб!$G:$G,$G1218,куб!H:H),IF($E1218&lt;&gt;0,SUMIF(куб!$E:$E,$E1218,куб!H:H),IF($D1218&lt;&gt;0,SUMIF(куб!$D:$D,$D1218,куб!H:H),IF($C1218&lt;&gt;0,SUMIF(куб!$C:$C,$C1218,куб!H:H),IF($B1218&lt;&gt;0,SUMIF(куб!$B:$B,$B1218,куб!H:H),IF($G1218&lt;&gt;0,SUMIF(куб!$A:$A,$G1218,куб!H:H),SUMIF(куб!$A:$A,$G1218,куб!H:H)))))))</f>
        <v>0</v>
      </c>
      <c r="I1218" s="27">
        <f>IF($G1218&lt;&gt;0,SUMIF(куб!$G:$G,$G1218,куб!I:I),IF($E1218&lt;&gt;0,SUMIF(куб!$E:$E,$E1218,куб!I:I),IF($D1218&lt;&gt;0,SUMIF(куб!$D:$D,$D1218,куб!I:I),IF($C1218&lt;&gt;0,SUMIF(куб!$C:$C,$C1218,куб!I:I),IF($B1218&lt;&gt;0,SUMIF(куб!$B:$B,$B1218,куб!I:I),IF($G1218&lt;&gt;0,SUMIF(куб!$A:$A,$G1218,куб!I:I),SUMIF(куб!$A:$A,$G1218,куб!I:I)))))))</f>
        <v>0</v>
      </c>
      <c r="J1218" s="19" t="str">
        <f t="shared" si="381"/>
        <v>-</v>
      </c>
      <c r="K1218" s="8"/>
      <c r="L1218" s="17">
        <f t="shared" si="382"/>
        <v>0</v>
      </c>
      <c r="M1218" s="17">
        <f t="shared" si="383"/>
        <v>0</v>
      </c>
      <c r="N1218" s="12">
        <f t="shared" si="384"/>
        <v>0</v>
      </c>
      <c r="O1218" s="5"/>
      <c r="P1218" s="27" t="b">
        <f>IF($G1218&lt;&gt;0,SUMIF(куб!$G:$G,$G1218,куб!J:J),IF($E1218&lt;&gt;0,SUMIF(куб!$E:$E,$E1218,куб!J:J),IF($D1218&lt;&gt;0,SUMIF(куб!$D:$D,$D1218,куб!J:J),IF($C1218&lt;&gt;0,SUMIF(куб!$C:$C,$C1218,куб!J:J),IF($B1218&lt;&gt;0,SUMIF(куб!$B:$B,$B1218,куб!J:J))))))</f>
        <v>0</v>
      </c>
      <c r="Q1218" s="27" t="b">
        <f>IF($G1218&lt;&gt;0,SUMIF(куб!$G:$G,$G1218,куб!K:K),IF($E1218&lt;&gt;0,SUMIF(куб!$E:$E,$E1218,куб!K:K),IF($D1218&lt;&gt;0,SUMIF(куб!$D:$D,$D1218,куб!K:K),IF($C1218&lt;&gt;0,SUMIF(куб!$C:$C,$C1218,куб!K:K),IF($B1218&lt;&gt;0,SUMIF(куб!$B:$B,$B1218,куб!K:K))))))</f>
        <v>0</v>
      </c>
      <c r="R1218" s="13" t="str">
        <f t="shared" si="385"/>
        <v>-</v>
      </c>
      <c r="S1218" s="5"/>
      <c r="T1218" s="27" t="b">
        <f>IF($G1218&lt;&gt;0,SUMIF(куб!$G:$G,$G1218,куб!L:L),IF($E1218&lt;&gt;0,SUMIF(куб!$E:$E,$E1218,куб!L:L),IF($D1218&lt;&gt;0,SUMIF(куб!$D:$D,$D1218,куб!L:L),IF($C1218&lt;&gt;0,SUMIF(куб!$C:$C,$C1218,куб!L:L),IF($B1218&lt;&gt;0,SUMIF(куб!$B:$B,$B1218,куб!L:L))))))</f>
        <v>0</v>
      </c>
      <c r="U1218" s="27" t="b">
        <f>IF($G1218&lt;&gt;0,SUMIF(куб!$G:$G,$G1218,куб!M:M),IF($E1218&lt;&gt;0,SUMIF(куб!$E:$E,$E1218,куб!M:M),IF($D1218&lt;&gt;0,SUMIF(куб!$D:$D,$D1218,куб!M:M),IF($C1218&lt;&gt;0,SUMIF(куб!$C:$C,$C1218,куб!M:M),IF($B1218&lt;&gt;0,SUMIF(куб!$B:$B,$B1218,куб!M:M))))))</f>
        <v>0</v>
      </c>
      <c r="V1218" s="13" t="str">
        <f t="shared" si="386"/>
        <v>-</v>
      </c>
      <c r="W1218" s="5"/>
      <c r="X1218" s="27" t="b">
        <f>IF($G1218&lt;&gt;0,SUMIF(куб!$G:$G,$G1218,куб!N:N),IF($E1218&lt;&gt;0,SUMIF(куб!$E:$E,$E1218,куб!N:N),IF($D1218&lt;&gt;0,SUMIF(куб!$D:$D,$D1218,куб!N:N),IF($C1218&lt;&gt;0,SUMIF(куб!$C:$C,$C1218,куб!N:N),IF($B1218&lt;&gt;0,SUMIF(куб!$B:$B,$B1218,куб!N:N))))))</f>
        <v>0</v>
      </c>
      <c r="Y1218" s="27" t="b">
        <f>IF($G1218&lt;&gt;0,SUMIF(куб!$G:$G,$G1218,куб!O:O),IF($E1218&lt;&gt;0,SUMIF(куб!$E:$E,$E1218,куб!O:O),IF($D1218&lt;&gt;0,SUMIF(куб!$D:$D,$D1218,куб!O:O),IF($C1218&lt;&gt;0,SUMIF(куб!$C:$C,$C1218,куб!O:O),IF($B1218&lt;&gt;0,SUMIF(куб!$B:$B,$B1218,куб!O:O))))))</f>
        <v>0</v>
      </c>
      <c r="Z1218" s="13" t="str">
        <f t="shared" si="387"/>
        <v>-</v>
      </c>
      <c r="AA1218" s="5"/>
      <c r="AB1218" s="33" t="str">
        <f t="shared" si="388"/>
        <v/>
      </c>
      <c r="AC1218" s="33" t="str">
        <f t="shared" si="389"/>
        <v/>
      </c>
      <c r="AD1218" s="15" t="str">
        <f t="shared" si="390"/>
        <v xml:space="preserve"> </v>
      </c>
      <c r="AE1218" s="5"/>
      <c r="AF1218" s="27" t="b">
        <f>IF($G1218&lt;&gt;0,SUMIF(куб!$G:$G,$G1218,куб!R:R),IF($E1218&lt;&gt;0,SUMIF(куб!$E:$E,$E1218,куб!R:R),IF($D1218&lt;&gt;0,SUMIF(куб!$D:$D,$D1218,куб!R:R),IF($C1218&lt;&gt;0,SUMIF(куб!$C:$C,$C1218,куб!R:R),IF($B1218&lt;&gt;0,SUMIF(куб!$B:$B,$B1218,куб!R:R))))))</f>
        <v>0</v>
      </c>
      <c r="AG1218" s="27" t="b">
        <f>IF($G1218&lt;&gt;0,SUMIF(куб!$G:$G,$G1218,куб!S:S),IF($E1218&lt;&gt;0,SUMIF(куб!$E:$E,$E1218,куб!S:S),IF($D1218&lt;&gt;0,SUMIF(куб!$D:$D,$D1218,куб!S:S),IF($C1218&lt;&gt;0,SUMIF(куб!$C:$C,$C1218,куб!S:S),IF($B1218&lt;&gt;0,SUMIF(куб!$B:$B,$B1218,куб!S:S))))))</f>
        <v>0</v>
      </c>
      <c r="AH1218" s="16" t="str">
        <f t="shared" si="391"/>
        <v>-</v>
      </c>
      <c r="AI1218" s="8"/>
      <c r="AJ1218" s="27" t="b">
        <f>IF($G1218&lt;&gt;0,SUMIF(куб!$G:$G,$G1218,куб!T:T),IF($E1218&lt;&gt;0,SUMIF(куб!$E:$E,$E1218,куб!T:T),IF($D1218&lt;&gt;0,SUMIF(куб!$D:$D,$D1218,куб!T:T),IF($C1218&lt;&gt;0,SUMIF(куб!$C:$C,$C1218,куб!T:T),IF($B1218&lt;&gt;0,SUMIF(куб!$B:$B,$B1218,куб!T:T))))))</f>
        <v>0</v>
      </c>
      <c r="AK1218" s="27" t="b">
        <f>IF($G1218&lt;&gt;0,SUMIF(куб!$G:$G,$G1218,куб!U:U),IF($E1218&lt;&gt;0,SUMIF(куб!$E:$E,$E1218,куб!U:U),IF($D1218&lt;&gt;0,SUMIF(куб!$D:$D,$D1218,куб!U:U),IF($C1218&lt;&gt;0,SUMIF(куб!$C:$C,$C1218,куб!U:U),IF($B1218&lt;&gt;0,SUMIF(куб!$B:$B,$B1218,куб!U:U))))))</f>
        <v>0</v>
      </c>
      <c r="AL1218" s="16" t="str">
        <f t="shared" si="392"/>
        <v>-</v>
      </c>
      <c r="AM1218" s="8"/>
      <c r="AN1218" s="17" t="str">
        <f t="shared" si="393"/>
        <v xml:space="preserve"> </v>
      </c>
      <c r="AO1218" s="17" t="str">
        <f t="shared" si="394"/>
        <v xml:space="preserve"> </v>
      </c>
      <c r="AP1218" s="16" t="str">
        <f t="shared" si="395"/>
        <v>-</v>
      </c>
      <c r="AQ1218" s="8"/>
      <c r="AR1218" s="17" t="str">
        <f t="shared" si="396"/>
        <v>-</v>
      </c>
      <c r="AS1218" s="17" t="str">
        <f t="shared" si="397"/>
        <v>-</v>
      </c>
      <c r="AT1218" s="13" t="str">
        <f t="shared" si="398"/>
        <v>-</v>
      </c>
      <c r="AU1218" s="8"/>
    </row>
    <row r="1219" spans="8:47" x14ac:dyDescent="0.25">
      <c r="H1219" s="27">
        <f>IF($G1219&lt;&gt;0,SUMIF(куб!$G:$G,$G1219,куб!H:H),IF($E1219&lt;&gt;0,SUMIF(куб!$E:$E,$E1219,куб!H:H),IF($D1219&lt;&gt;0,SUMIF(куб!$D:$D,$D1219,куб!H:H),IF($C1219&lt;&gt;0,SUMIF(куб!$C:$C,$C1219,куб!H:H),IF($B1219&lt;&gt;0,SUMIF(куб!$B:$B,$B1219,куб!H:H),IF($G1219&lt;&gt;0,SUMIF(куб!$A:$A,$G1219,куб!H:H),SUMIF(куб!$A:$A,$G1219,куб!H:H)))))))</f>
        <v>0</v>
      </c>
      <c r="I1219" s="27">
        <f>IF($G1219&lt;&gt;0,SUMIF(куб!$G:$G,$G1219,куб!I:I),IF($E1219&lt;&gt;0,SUMIF(куб!$E:$E,$E1219,куб!I:I),IF($D1219&lt;&gt;0,SUMIF(куб!$D:$D,$D1219,куб!I:I),IF($C1219&lt;&gt;0,SUMIF(куб!$C:$C,$C1219,куб!I:I),IF($B1219&lt;&gt;0,SUMIF(куб!$B:$B,$B1219,куб!I:I),IF($G1219&lt;&gt;0,SUMIF(куб!$A:$A,$G1219,куб!I:I),SUMIF(куб!$A:$A,$G1219,куб!I:I)))))))</f>
        <v>0</v>
      </c>
      <c r="J1219" s="19" t="str">
        <f t="shared" si="381"/>
        <v>-</v>
      </c>
      <c r="K1219" s="8"/>
      <c r="L1219" s="17">
        <f t="shared" si="382"/>
        <v>0</v>
      </c>
      <c r="M1219" s="17">
        <f t="shared" si="383"/>
        <v>0</v>
      </c>
      <c r="N1219" s="12">
        <f t="shared" si="384"/>
        <v>0</v>
      </c>
      <c r="O1219" s="5"/>
      <c r="P1219" s="27" t="b">
        <f>IF($G1219&lt;&gt;0,SUMIF(куб!$G:$G,$G1219,куб!J:J),IF($E1219&lt;&gt;0,SUMIF(куб!$E:$E,$E1219,куб!J:J),IF($D1219&lt;&gt;0,SUMIF(куб!$D:$D,$D1219,куб!J:J),IF($C1219&lt;&gt;0,SUMIF(куб!$C:$C,$C1219,куб!J:J),IF($B1219&lt;&gt;0,SUMIF(куб!$B:$B,$B1219,куб!J:J))))))</f>
        <v>0</v>
      </c>
      <c r="Q1219" s="27" t="b">
        <f>IF($G1219&lt;&gt;0,SUMIF(куб!$G:$G,$G1219,куб!K:K),IF($E1219&lt;&gt;0,SUMIF(куб!$E:$E,$E1219,куб!K:K),IF($D1219&lt;&gt;0,SUMIF(куб!$D:$D,$D1219,куб!K:K),IF($C1219&lt;&gt;0,SUMIF(куб!$C:$C,$C1219,куб!K:K),IF($B1219&lt;&gt;0,SUMIF(куб!$B:$B,$B1219,куб!K:K))))))</f>
        <v>0</v>
      </c>
      <c r="R1219" s="13" t="str">
        <f t="shared" si="385"/>
        <v>-</v>
      </c>
      <c r="S1219" s="5"/>
      <c r="T1219" s="27" t="b">
        <f>IF($G1219&lt;&gt;0,SUMIF(куб!$G:$G,$G1219,куб!L:L),IF($E1219&lt;&gt;0,SUMIF(куб!$E:$E,$E1219,куб!L:L),IF($D1219&lt;&gt;0,SUMIF(куб!$D:$D,$D1219,куб!L:L),IF($C1219&lt;&gt;0,SUMIF(куб!$C:$C,$C1219,куб!L:L),IF($B1219&lt;&gt;0,SUMIF(куб!$B:$B,$B1219,куб!L:L))))))</f>
        <v>0</v>
      </c>
      <c r="U1219" s="27" t="b">
        <f>IF($G1219&lt;&gt;0,SUMIF(куб!$G:$G,$G1219,куб!M:M),IF($E1219&lt;&gt;0,SUMIF(куб!$E:$E,$E1219,куб!M:M),IF($D1219&lt;&gt;0,SUMIF(куб!$D:$D,$D1219,куб!M:M),IF($C1219&lt;&gt;0,SUMIF(куб!$C:$C,$C1219,куб!M:M),IF($B1219&lt;&gt;0,SUMIF(куб!$B:$B,$B1219,куб!M:M))))))</f>
        <v>0</v>
      </c>
      <c r="V1219" s="13" t="str">
        <f t="shared" si="386"/>
        <v>-</v>
      </c>
      <c r="W1219" s="5"/>
      <c r="X1219" s="27" t="b">
        <f>IF($G1219&lt;&gt;0,SUMIF(куб!$G:$G,$G1219,куб!N:N),IF($E1219&lt;&gt;0,SUMIF(куб!$E:$E,$E1219,куб!N:N),IF($D1219&lt;&gt;0,SUMIF(куб!$D:$D,$D1219,куб!N:N),IF($C1219&lt;&gt;0,SUMIF(куб!$C:$C,$C1219,куб!N:N),IF($B1219&lt;&gt;0,SUMIF(куб!$B:$B,$B1219,куб!N:N))))))</f>
        <v>0</v>
      </c>
      <c r="Y1219" s="27" t="b">
        <f>IF($G1219&lt;&gt;0,SUMIF(куб!$G:$G,$G1219,куб!O:O),IF($E1219&lt;&gt;0,SUMIF(куб!$E:$E,$E1219,куб!O:O),IF($D1219&lt;&gt;0,SUMIF(куб!$D:$D,$D1219,куб!O:O),IF($C1219&lt;&gt;0,SUMIF(куб!$C:$C,$C1219,куб!O:O),IF($B1219&lt;&gt;0,SUMIF(куб!$B:$B,$B1219,куб!O:O))))))</f>
        <v>0</v>
      </c>
      <c r="Z1219" s="13" t="str">
        <f t="shared" si="387"/>
        <v>-</v>
      </c>
      <c r="AA1219" s="5"/>
      <c r="AB1219" s="33" t="str">
        <f t="shared" si="388"/>
        <v/>
      </c>
      <c r="AC1219" s="33" t="str">
        <f t="shared" si="389"/>
        <v/>
      </c>
      <c r="AD1219" s="15" t="str">
        <f t="shared" si="390"/>
        <v xml:space="preserve"> </v>
      </c>
      <c r="AE1219" s="5"/>
      <c r="AF1219" s="27" t="b">
        <f>IF($G1219&lt;&gt;0,SUMIF(куб!$G:$G,$G1219,куб!R:R),IF($E1219&lt;&gt;0,SUMIF(куб!$E:$E,$E1219,куб!R:R),IF($D1219&lt;&gt;0,SUMIF(куб!$D:$D,$D1219,куб!R:R),IF($C1219&lt;&gt;0,SUMIF(куб!$C:$C,$C1219,куб!R:R),IF($B1219&lt;&gt;0,SUMIF(куб!$B:$B,$B1219,куб!R:R))))))</f>
        <v>0</v>
      </c>
      <c r="AG1219" s="27" t="b">
        <f>IF($G1219&lt;&gt;0,SUMIF(куб!$G:$G,$G1219,куб!S:S),IF($E1219&lt;&gt;0,SUMIF(куб!$E:$E,$E1219,куб!S:S),IF($D1219&lt;&gt;0,SUMIF(куб!$D:$D,$D1219,куб!S:S),IF($C1219&lt;&gt;0,SUMIF(куб!$C:$C,$C1219,куб!S:S),IF($B1219&lt;&gt;0,SUMIF(куб!$B:$B,$B1219,куб!S:S))))))</f>
        <v>0</v>
      </c>
      <c r="AH1219" s="16" t="str">
        <f t="shared" si="391"/>
        <v>-</v>
      </c>
      <c r="AI1219" s="8"/>
      <c r="AJ1219" s="27" t="b">
        <f>IF($G1219&lt;&gt;0,SUMIF(куб!$G:$G,$G1219,куб!T:T),IF($E1219&lt;&gt;0,SUMIF(куб!$E:$E,$E1219,куб!T:T),IF($D1219&lt;&gt;0,SUMIF(куб!$D:$D,$D1219,куб!T:T),IF($C1219&lt;&gt;0,SUMIF(куб!$C:$C,$C1219,куб!T:T),IF($B1219&lt;&gt;0,SUMIF(куб!$B:$B,$B1219,куб!T:T))))))</f>
        <v>0</v>
      </c>
      <c r="AK1219" s="27" t="b">
        <f>IF($G1219&lt;&gt;0,SUMIF(куб!$G:$G,$G1219,куб!U:U),IF($E1219&lt;&gt;0,SUMIF(куб!$E:$E,$E1219,куб!U:U),IF($D1219&lt;&gt;0,SUMIF(куб!$D:$D,$D1219,куб!U:U),IF($C1219&lt;&gt;0,SUMIF(куб!$C:$C,$C1219,куб!U:U),IF($B1219&lt;&gt;0,SUMIF(куб!$B:$B,$B1219,куб!U:U))))))</f>
        <v>0</v>
      </c>
      <c r="AL1219" s="16" t="str">
        <f t="shared" si="392"/>
        <v>-</v>
      </c>
      <c r="AM1219" s="8"/>
      <c r="AN1219" s="17" t="str">
        <f t="shared" si="393"/>
        <v xml:space="preserve"> </v>
      </c>
      <c r="AO1219" s="17" t="str">
        <f t="shared" si="394"/>
        <v xml:space="preserve"> </v>
      </c>
      <c r="AP1219" s="16" t="str">
        <f t="shared" si="395"/>
        <v>-</v>
      </c>
      <c r="AQ1219" s="8"/>
      <c r="AR1219" s="17" t="str">
        <f t="shared" si="396"/>
        <v>-</v>
      </c>
      <c r="AS1219" s="17" t="str">
        <f t="shared" si="397"/>
        <v>-</v>
      </c>
      <c r="AT1219" s="13" t="str">
        <f t="shared" si="398"/>
        <v>-</v>
      </c>
      <c r="AU1219" s="8"/>
    </row>
    <row r="1220" spans="8:47" x14ac:dyDescent="0.25">
      <c r="H1220" s="27">
        <f>IF($G1220&lt;&gt;0,SUMIF(куб!$G:$G,$G1220,куб!H:H),IF($E1220&lt;&gt;0,SUMIF(куб!$E:$E,$E1220,куб!H:H),IF($D1220&lt;&gt;0,SUMIF(куб!$D:$D,$D1220,куб!H:H),IF($C1220&lt;&gt;0,SUMIF(куб!$C:$C,$C1220,куб!H:H),IF($B1220&lt;&gt;0,SUMIF(куб!$B:$B,$B1220,куб!H:H),IF($G1220&lt;&gt;0,SUMIF(куб!$A:$A,$G1220,куб!H:H),SUMIF(куб!$A:$A,$G1220,куб!H:H)))))))</f>
        <v>0</v>
      </c>
      <c r="I1220" s="27">
        <f>IF($G1220&lt;&gt;0,SUMIF(куб!$G:$G,$G1220,куб!I:I),IF($E1220&lt;&gt;0,SUMIF(куб!$E:$E,$E1220,куб!I:I),IF($D1220&lt;&gt;0,SUMIF(куб!$D:$D,$D1220,куб!I:I),IF($C1220&lt;&gt;0,SUMIF(куб!$C:$C,$C1220,куб!I:I),IF($B1220&lt;&gt;0,SUMIF(куб!$B:$B,$B1220,куб!I:I),IF($G1220&lt;&gt;0,SUMIF(куб!$A:$A,$G1220,куб!I:I),SUMIF(куб!$A:$A,$G1220,куб!I:I)))))))</f>
        <v>0</v>
      </c>
      <c r="J1220" s="19" t="str">
        <f t="shared" si="381"/>
        <v>-</v>
      </c>
      <c r="K1220" s="8"/>
      <c r="L1220" s="17">
        <f t="shared" si="382"/>
        <v>0</v>
      </c>
      <c r="M1220" s="17">
        <f t="shared" si="383"/>
        <v>0</v>
      </c>
      <c r="N1220" s="12">
        <f t="shared" si="384"/>
        <v>0</v>
      </c>
      <c r="O1220" s="5"/>
      <c r="P1220" s="27" t="b">
        <f>IF($G1220&lt;&gt;0,SUMIF(куб!$G:$G,$G1220,куб!J:J),IF($E1220&lt;&gt;0,SUMIF(куб!$E:$E,$E1220,куб!J:J),IF($D1220&lt;&gt;0,SUMIF(куб!$D:$D,$D1220,куб!J:J),IF($C1220&lt;&gt;0,SUMIF(куб!$C:$C,$C1220,куб!J:J),IF($B1220&lt;&gt;0,SUMIF(куб!$B:$B,$B1220,куб!J:J))))))</f>
        <v>0</v>
      </c>
      <c r="Q1220" s="27" t="b">
        <f>IF($G1220&lt;&gt;0,SUMIF(куб!$G:$G,$G1220,куб!K:K),IF($E1220&lt;&gt;0,SUMIF(куб!$E:$E,$E1220,куб!K:K),IF($D1220&lt;&gt;0,SUMIF(куб!$D:$D,$D1220,куб!K:K),IF($C1220&lt;&gt;0,SUMIF(куб!$C:$C,$C1220,куб!K:K),IF($B1220&lt;&gt;0,SUMIF(куб!$B:$B,$B1220,куб!K:K))))))</f>
        <v>0</v>
      </c>
      <c r="R1220" s="13" t="str">
        <f t="shared" si="385"/>
        <v>-</v>
      </c>
      <c r="S1220" s="5"/>
      <c r="T1220" s="27" t="b">
        <f>IF($G1220&lt;&gt;0,SUMIF(куб!$G:$G,$G1220,куб!L:L),IF($E1220&lt;&gt;0,SUMIF(куб!$E:$E,$E1220,куб!L:L),IF($D1220&lt;&gt;0,SUMIF(куб!$D:$D,$D1220,куб!L:L),IF($C1220&lt;&gt;0,SUMIF(куб!$C:$C,$C1220,куб!L:L),IF($B1220&lt;&gt;0,SUMIF(куб!$B:$B,$B1220,куб!L:L))))))</f>
        <v>0</v>
      </c>
      <c r="U1220" s="27" t="b">
        <f>IF($G1220&lt;&gt;0,SUMIF(куб!$G:$G,$G1220,куб!M:M),IF($E1220&lt;&gt;0,SUMIF(куб!$E:$E,$E1220,куб!M:M),IF($D1220&lt;&gt;0,SUMIF(куб!$D:$D,$D1220,куб!M:M),IF($C1220&lt;&gt;0,SUMIF(куб!$C:$C,$C1220,куб!M:M),IF($B1220&lt;&gt;0,SUMIF(куб!$B:$B,$B1220,куб!M:M))))))</f>
        <v>0</v>
      </c>
      <c r="V1220" s="13" t="str">
        <f t="shared" si="386"/>
        <v>-</v>
      </c>
      <c r="W1220" s="5"/>
      <c r="X1220" s="27" t="b">
        <f>IF($G1220&lt;&gt;0,SUMIF(куб!$G:$G,$G1220,куб!N:N),IF($E1220&lt;&gt;0,SUMIF(куб!$E:$E,$E1220,куб!N:N),IF($D1220&lt;&gt;0,SUMIF(куб!$D:$D,$D1220,куб!N:N),IF($C1220&lt;&gt;0,SUMIF(куб!$C:$C,$C1220,куб!N:N),IF($B1220&lt;&gt;0,SUMIF(куб!$B:$B,$B1220,куб!N:N))))))</f>
        <v>0</v>
      </c>
      <c r="Y1220" s="27" t="b">
        <f>IF($G1220&lt;&gt;0,SUMIF(куб!$G:$G,$G1220,куб!O:O),IF($E1220&lt;&gt;0,SUMIF(куб!$E:$E,$E1220,куб!O:O),IF($D1220&lt;&gt;0,SUMIF(куб!$D:$D,$D1220,куб!O:O),IF($C1220&lt;&gt;0,SUMIF(куб!$C:$C,$C1220,куб!O:O),IF($B1220&lt;&gt;0,SUMIF(куб!$B:$B,$B1220,куб!O:O))))))</f>
        <v>0</v>
      </c>
      <c r="Z1220" s="13" t="str">
        <f t="shared" si="387"/>
        <v>-</v>
      </c>
      <c r="AA1220" s="5"/>
      <c r="AB1220" s="33" t="str">
        <f t="shared" si="388"/>
        <v/>
      </c>
      <c r="AC1220" s="33" t="str">
        <f t="shared" si="389"/>
        <v/>
      </c>
      <c r="AD1220" s="15" t="str">
        <f t="shared" si="390"/>
        <v xml:space="preserve"> </v>
      </c>
      <c r="AE1220" s="5"/>
      <c r="AF1220" s="27" t="b">
        <f>IF($G1220&lt;&gt;0,SUMIF(куб!$G:$G,$G1220,куб!R:R),IF($E1220&lt;&gt;0,SUMIF(куб!$E:$E,$E1220,куб!R:R),IF($D1220&lt;&gt;0,SUMIF(куб!$D:$D,$D1220,куб!R:R),IF($C1220&lt;&gt;0,SUMIF(куб!$C:$C,$C1220,куб!R:R),IF($B1220&lt;&gt;0,SUMIF(куб!$B:$B,$B1220,куб!R:R))))))</f>
        <v>0</v>
      </c>
      <c r="AG1220" s="27" t="b">
        <f>IF($G1220&lt;&gt;0,SUMIF(куб!$G:$G,$G1220,куб!S:S),IF($E1220&lt;&gt;0,SUMIF(куб!$E:$E,$E1220,куб!S:S),IF($D1220&lt;&gt;0,SUMIF(куб!$D:$D,$D1220,куб!S:S),IF($C1220&lt;&gt;0,SUMIF(куб!$C:$C,$C1220,куб!S:S),IF($B1220&lt;&gt;0,SUMIF(куб!$B:$B,$B1220,куб!S:S))))))</f>
        <v>0</v>
      </c>
      <c r="AH1220" s="16" t="str">
        <f t="shared" si="391"/>
        <v>-</v>
      </c>
      <c r="AI1220" s="8"/>
      <c r="AJ1220" s="27" t="b">
        <f>IF($G1220&lt;&gt;0,SUMIF(куб!$G:$G,$G1220,куб!T:T),IF($E1220&lt;&gt;0,SUMIF(куб!$E:$E,$E1220,куб!T:T),IF($D1220&lt;&gt;0,SUMIF(куб!$D:$D,$D1220,куб!T:T),IF($C1220&lt;&gt;0,SUMIF(куб!$C:$C,$C1220,куб!T:T),IF($B1220&lt;&gt;0,SUMIF(куб!$B:$B,$B1220,куб!T:T))))))</f>
        <v>0</v>
      </c>
      <c r="AK1220" s="27" t="b">
        <f>IF($G1220&lt;&gt;0,SUMIF(куб!$G:$G,$G1220,куб!U:U),IF($E1220&lt;&gt;0,SUMIF(куб!$E:$E,$E1220,куб!U:U),IF($D1220&lt;&gt;0,SUMIF(куб!$D:$D,$D1220,куб!U:U),IF($C1220&lt;&gt;0,SUMIF(куб!$C:$C,$C1220,куб!U:U),IF($B1220&lt;&gt;0,SUMIF(куб!$B:$B,$B1220,куб!U:U))))))</f>
        <v>0</v>
      </c>
      <c r="AL1220" s="16" t="str">
        <f t="shared" si="392"/>
        <v>-</v>
      </c>
      <c r="AM1220" s="8"/>
      <c r="AN1220" s="17" t="str">
        <f t="shared" si="393"/>
        <v xml:space="preserve"> </v>
      </c>
      <c r="AO1220" s="17" t="str">
        <f t="shared" si="394"/>
        <v xml:space="preserve"> </v>
      </c>
      <c r="AP1220" s="16" t="str">
        <f t="shared" si="395"/>
        <v>-</v>
      </c>
      <c r="AQ1220" s="8"/>
      <c r="AR1220" s="17" t="str">
        <f t="shared" si="396"/>
        <v>-</v>
      </c>
      <c r="AS1220" s="17" t="str">
        <f t="shared" si="397"/>
        <v>-</v>
      </c>
      <c r="AT1220" s="13" t="str">
        <f t="shared" si="398"/>
        <v>-</v>
      </c>
      <c r="AU1220" s="8"/>
    </row>
    <row r="1221" spans="8:47" x14ac:dyDescent="0.25">
      <c r="H1221" s="27">
        <f>IF($G1221&lt;&gt;0,SUMIF(куб!$G:$G,$G1221,куб!H:H),IF($E1221&lt;&gt;0,SUMIF(куб!$E:$E,$E1221,куб!H:H),IF($D1221&lt;&gt;0,SUMIF(куб!$D:$D,$D1221,куб!H:H),IF($C1221&lt;&gt;0,SUMIF(куб!$C:$C,$C1221,куб!H:H),IF($B1221&lt;&gt;0,SUMIF(куб!$B:$B,$B1221,куб!H:H),IF($G1221&lt;&gt;0,SUMIF(куб!$A:$A,$G1221,куб!H:H),SUMIF(куб!$A:$A,$G1221,куб!H:H)))))))</f>
        <v>0</v>
      </c>
      <c r="I1221" s="27">
        <f>IF($G1221&lt;&gt;0,SUMIF(куб!$G:$G,$G1221,куб!I:I),IF($E1221&lt;&gt;0,SUMIF(куб!$E:$E,$E1221,куб!I:I),IF($D1221&lt;&gt;0,SUMIF(куб!$D:$D,$D1221,куб!I:I),IF($C1221&lt;&gt;0,SUMIF(куб!$C:$C,$C1221,куб!I:I),IF($B1221&lt;&gt;0,SUMIF(куб!$B:$B,$B1221,куб!I:I),IF($G1221&lt;&gt;0,SUMIF(куб!$A:$A,$G1221,куб!I:I),SUMIF(куб!$A:$A,$G1221,куб!I:I)))))))</f>
        <v>0</v>
      </c>
      <c r="J1221" s="19" t="str">
        <f t="shared" si="381"/>
        <v>-</v>
      </c>
      <c r="K1221" s="8"/>
      <c r="L1221" s="17">
        <f t="shared" si="382"/>
        <v>0</v>
      </c>
      <c r="M1221" s="17">
        <f t="shared" si="383"/>
        <v>0</v>
      </c>
      <c r="N1221" s="12">
        <f t="shared" si="384"/>
        <v>0</v>
      </c>
      <c r="O1221" s="5"/>
      <c r="P1221" s="27" t="b">
        <f>IF($G1221&lt;&gt;0,SUMIF(куб!$G:$G,$G1221,куб!J:J),IF($E1221&lt;&gt;0,SUMIF(куб!$E:$E,$E1221,куб!J:J),IF($D1221&lt;&gt;0,SUMIF(куб!$D:$D,$D1221,куб!J:J),IF($C1221&lt;&gt;0,SUMIF(куб!$C:$C,$C1221,куб!J:J),IF($B1221&lt;&gt;0,SUMIF(куб!$B:$B,$B1221,куб!J:J))))))</f>
        <v>0</v>
      </c>
      <c r="Q1221" s="27" t="b">
        <f>IF($G1221&lt;&gt;0,SUMIF(куб!$G:$G,$G1221,куб!K:K),IF($E1221&lt;&gt;0,SUMIF(куб!$E:$E,$E1221,куб!K:K),IF($D1221&lt;&gt;0,SUMIF(куб!$D:$D,$D1221,куб!K:K),IF($C1221&lt;&gt;0,SUMIF(куб!$C:$C,$C1221,куб!K:K),IF($B1221&lt;&gt;0,SUMIF(куб!$B:$B,$B1221,куб!K:K))))))</f>
        <v>0</v>
      </c>
      <c r="R1221" s="13" t="str">
        <f t="shared" si="385"/>
        <v>-</v>
      </c>
      <c r="S1221" s="5"/>
      <c r="T1221" s="27" t="b">
        <f>IF($G1221&lt;&gt;0,SUMIF(куб!$G:$G,$G1221,куб!L:L),IF($E1221&lt;&gt;0,SUMIF(куб!$E:$E,$E1221,куб!L:L),IF($D1221&lt;&gt;0,SUMIF(куб!$D:$D,$D1221,куб!L:L),IF($C1221&lt;&gt;0,SUMIF(куб!$C:$C,$C1221,куб!L:L),IF($B1221&lt;&gt;0,SUMIF(куб!$B:$B,$B1221,куб!L:L))))))</f>
        <v>0</v>
      </c>
      <c r="U1221" s="27" t="b">
        <f>IF($G1221&lt;&gt;0,SUMIF(куб!$G:$G,$G1221,куб!M:M),IF($E1221&lt;&gt;0,SUMIF(куб!$E:$E,$E1221,куб!M:M),IF($D1221&lt;&gt;0,SUMIF(куб!$D:$D,$D1221,куб!M:M),IF($C1221&lt;&gt;0,SUMIF(куб!$C:$C,$C1221,куб!M:M),IF($B1221&lt;&gt;0,SUMIF(куб!$B:$B,$B1221,куб!M:M))))))</f>
        <v>0</v>
      </c>
      <c r="V1221" s="13" t="str">
        <f t="shared" si="386"/>
        <v>-</v>
      </c>
      <c r="W1221" s="5"/>
      <c r="X1221" s="27" t="b">
        <f>IF($G1221&lt;&gt;0,SUMIF(куб!$G:$G,$G1221,куб!N:N),IF($E1221&lt;&gt;0,SUMIF(куб!$E:$E,$E1221,куб!N:N),IF($D1221&lt;&gt;0,SUMIF(куб!$D:$D,$D1221,куб!N:N),IF($C1221&lt;&gt;0,SUMIF(куб!$C:$C,$C1221,куб!N:N),IF($B1221&lt;&gt;0,SUMIF(куб!$B:$B,$B1221,куб!N:N))))))</f>
        <v>0</v>
      </c>
      <c r="Y1221" s="27" t="b">
        <f>IF($G1221&lt;&gt;0,SUMIF(куб!$G:$G,$G1221,куб!O:O),IF($E1221&lt;&gt;0,SUMIF(куб!$E:$E,$E1221,куб!O:O),IF($D1221&lt;&gt;0,SUMIF(куб!$D:$D,$D1221,куб!O:O),IF($C1221&lt;&gt;0,SUMIF(куб!$C:$C,$C1221,куб!O:O),IF($B1221&lt;&gt;0,SUMIF(куб!$B:$B,$B1221,куб!O:O))))))</f>
        <v>0</v>
      </c>
      <c r="Z1221" s="13" t="str">
        <f t="shared" si="387"/>
        <v>-</v>
      </c>
      <c r="AA1221" s="5"/>
      <c r="AB1221" s="33" t="str">
        <f t="shared" si="388"/>
        <v/>
      </c>
      <c r="AC1221" s="33" t="str">
        <f t="shared" si="389"/>
        <v/>
      </c>
      <c r="AD1221" s="15" t="str">
        <f t="shared" si="390"/>
        <v xml:space="preserve"> </v>
      </c>
      <c r="AE1221" s="5"/>
      <c r="AF1221" s="27" t="b">
        <f>IF($G1221&lt;&gt;0,SUMIF(куб!$G:$G,$G1221,куб!R:R),IF($E1221&lt;&gt;0,SUMIF(куб!$E:$E,$E1221,куб!R:R),IF($D1221&lt;&gt;0,SUMIF(куб!$D:$D,$D1221,куб!R:R),IF($C1221&lt;&gt;0,SUMIF(куб!$C:$C,$C1221,куб!R:R),IF($B1221&lt;&gt;0,SUMIF(куб!$B:$B,$B1221,куб!R:R))))))</f>
        <v>0</v>
      </c>
      <c r="AG1221" s="27" t="b">
        <f>IF($G1221&lt;&gt;0,SUMIF(куб!$G:$G,$G1221,куб!S:S),IF($E1221&lt;&gt;0,SUMIF(куб!$E:$E,$E1221,куб!S:S),IF($D1221&lt;&gt;0,SUMIF(куб!$D:$D,$D1221,куб!S:S),IF($C1221&lt;&gt;0,SUMIF(куб!$C:$C,$C1221,куб!S:S),IF($B1221&lt;&gt;0,SUMIF(куб!$B:$B,$B1221,куб!S:S))))))</f>
        <v>0</v>
      </c>
      <c r="AH1221" s="16" t="str">
        <f t="shared" si="391"/>
        <v>-</v>
      </c>
      <c r="AI1221" s="8"/>
      <c r="AJ1221" s="27" t="b">
        <f>IF($G1221&lt;&gt;0,SUMIF(куб!$G:$G,$G1221,куб!T:T),IF($E1221&lt;&gt;0,SUMIF(куб!$E:$E,$E1221,куб!T:T),IF($D1221&lt;&gt;0,SUMIF(куб!$D:$D,$D1221,куб!T:T),IF($C1221&lt;&gt;0,SUMIF(куб!$C:$C,$C1221,куб!T:T),IF($B1221&lt;&gt;0,SUMIF(куб!$B:$B,$B1221,куб!T:T))))))</f>
        <v>0</v>
      </c>
      <c r="AK1221" s="27" t="b">
        <f>IF($G1221&lt;&gt;0,SUMIF(куб!$G:$G,$G1221,куб!U:U),IF($E1221&lt;&gt;0,SUMIF(куб!$E:$E,$E1221,куб!U:U),IF($D1221&lt;&gt;0,SUMIF(куб!$D:$D,$D1221,куб!U:U),IF($C1221&lt;&gt;0,SUMIF(куб!$C:$C,$C1221,куб!U:U),IF($B1221&lt;&gt;0,SUMIF(куб!$B:$B,$B1221,куб!U:U))))))</f>
        <v>0</v>
      </c>
      <c r="AL1221" s="16" t="str">
        <f t="shared" si="392"/>
        <v>-</v>
      </c>
      <c r="AM1221" s="8"/>
      <c r="AN1221" s="17" t="str">
        <f t="shared" si="393"/>
        <v xml:space="preserve"> </v>
      </c>
      <c r="AO1221" s="17" t="str">
        <f t="shared" si="394"/>
        <v xml:space="preserve"> </v>
      </c>
      <c r="AP1221" s="16" t="str">
        <f t="shared" si="395"/>
        <v>-</v>
      </c>
      <c r="AQ1221" s="8"/>
      <c r="AR1221" s="17" t="str">
        <f t="shared" si="396"/>
        <v>-</v>
      </c>
      <c r="AS1221" s="17" t="str">
        <f t="shared" si="397"/>
        <v>-</v>
      </c>
      <c r="AT1221" s="13" t="str">
        <f t="shared" si="398"/>
        <v>-</v>
      </c>
      <c r="AU1221" s="8"/>
    </row>
    <row r="1222" spans="8:47" x14ac:dyDescent="0.25">
      <c r="H1222" s="27">
        <f>IF($G1222&lt;&gt;0,SUMIF(куб!$G:$G,$G1222,куб!H:H),IF($E1222&lt;&gt;0,SUMIF(куб!$E:$E,$E1222,куб!H:H),IF($D1222&lt;&gt;0,SUMIF(куб!$D:$D,$D1222,куб!H:H),IF($C1222&lt;&gt;0,SUMIF(куб!$C:$C,$C1222,куб!H:H),IF($B1222&lt;&gt;0,SUMIF(куб!$B:$B,$B1222,куб!H:H),IF($G1222&lt;&gt;0,SUMIF(куб!$A:$A,$G1222,куб!H:H),SUMIF(куб!$A:$A,$G1222,куб!H:H)))))))</f>
        <v>0</v>
      </c>
      <c r="I1222" s="27">
        <f>IF($G1222&lt;&gt;0,SUMIF(куб!$G:$G,$G1222,куб!I:I),IF($E1222&lt;&gt;0,SUMIF(куб!$E:$E,$E1222,куб!I:I),IF($D1222&lt;&gt;0,SUMIF(куб!$D:$D,$D1222,куб!I:I),IF($C1222&lt;&gt;0,SUMIF(куб!$C:$C,$C1222,куб!I:I),IF($B1222&lt;&gt;0,SUMIF(куб!$B:$B,$B1222,куб!I:I),IF($G1222&lt;&gt;0,SUMIF(куб!$A:$A,$G1222,куб!I:I),SUMIF(куб!$A:$A,$G1222,куб!I:I)))))))</f>
        <v>0</v>
      </c>
      <c r="J1222" s="19" t="str">
        <f t="shared" si="381"/>
        <v>-</v>
      </c>
      <c r="K1222" s="8"/>
      <c r="L1222" s="17">
        <f t="shared" si="382"/>
        <v>0</v>
      </c>
      <c r="M1222" s="17">
        <f t="shared" si="383"/>
        <v>0</v>
      </c>
      <c r="N1222" s="12">
        <f t="shared" si="384"/>
        <v>0</v>
      </c>
      <c r="O1222" s="5"/>
      <c r="P1222" s="27" t="b">
        <f>IF($G1222&lt;&gt;0,SUMIF(куб!$G:$G,$G1222,куб!J:J),IF($E1222&lt;&gt;0,SUMIF(куб!$E:$E,$E1222,куб!J:J),IF($D1222&lt;&gt;0,SUMIF(куб!$D:$D,$D1222,куб!J:J),IF($C1222&lt;&gt;0,SUMIF(куб!$C:$C,$C1222,куб!J:J),IF($B1222&lt;&gt;0,SUMIF(куб!$B:$B,$B1222,куб!J:J))))))</f>
        <v>0</v>
      </c>
      <c r="Q1222" s="27" t="b">
        <f>IF($G1222&lt;&gt;0,SUMIF(куб!$G:$G,$G1222,куб!K:K),IF($E1222&lt;&gt;0,SUMIF(куб!$E:$E,$E1222,куб!K:K),IF($D1222&lt;&gt;0,SUMIF(куб!$D:$D,$D1222,куб!K:K),IF($C1222&lt;&gt;0,SUMIF(куб!$C:$C,$C1222,куб!K:K),IF($B1222&lt;&gt;0,SUMIF(куб!$B:$B,$B1222,куб!K:K))))))</f>
        <v>0</v>
      </c>
      <c r="R1222" s="13" t="str">
        <f t="shared" si="385"/>
        <v>-</v>
      </c>
      <c r="S1222" s="5"/>
      <c r="T1222" s="27" t="b">
        <f>IF($G1222&lt;&gt;0,SUMIF(куб!$G:$G,$G1222,куб!L:L),IF($E1222&lt;&gt;0,SUMIF(куб!$E:$E,$E1222,куб!L:L),IF($D1222&lt;&gt;0,SUMIF(куб!$D:$D,$D1222,куб!L:L),IF($C1222&lt;&gt;0,SUMIF(куб!$C:$C,$C1222,куб!L:L),IF($B1222&lt;&gt;0,SUMIF(куб!$B:$B,$B1222,куб!L:L))))))</f>
        <v>0</v>
      </c>
      <c r="U1222" s="27" t="b">
        <f>IF($G1222&lt;&gt;0,SUMIF(куб!$G:$G,$G1222,куб!M:M),IF($E1222&lt;&gt;0,SUMIF(куб!$E:$E,$E1222,куб!M:M),IF($D1222&lt;&gt;0,SUMIF(куб!$D:$D,$D1222,куб!M:M),IF($C1222&lt;&gt;0,SUMIF(куб!$C:$C,$C1222,куб!M:M),IF($B1222&lt;&gt;0,SUMIF(куб!$B:$B,$B1222,куб!M:M))))))</f>
        <v>0</v>
      </c>
      <c r="V1222" s="13" t="str">
        <f t="shared" si="386"/>
        <v>-</v>
      </c>
      <c r="W1222" s="5"/>
      <c r="X1222" s="27" t="b">
        <f>IF($G1222&lt;&gt;0,SUMIF(куб!$G:$G,$G1222,куб!N:N),IF($E1222&lt;&gt;0,SUMIF(куб!$E:$E,$E1222,куб!N:N),IF($D1222&lt;&gt;0,SUMIF(куб!$D:$D,$D1222,куб!N:N),IF($C1222&lt;&gt;0,SUMIF(куб!$C:$C,$C1222,куб!N:N),IF($B1222&lt;&gt;0,SUMIF(куб!$B:$B,$B1222,куб!N:N))))))</f>
        <v>0</v>
      </c>
      <c r="Y1222" s="27" t="b">
        <f>IF($G1222&lt;&gt;0,SUMIF(куб!$G:$G,$G1222,куб!O:O),IF($E1222&lt;&gt;0,SUMIF(куб!$E:$E,$E1222,куб!O:O),IF($D1222&lt;&gt;0,SUMIF(куб!$D:$D,$D1222,куб!O:O),IF($C1222&lt;&gt;0,SUMIF(куб!$C:$C,$C1222,куб!O:O),IF($B1222&lt;&gt;0,SUMIF(куб!$B:$B,$B1222,куб!O:O))))))</f>
        <v>0</v>
      </c>
      <c r="Z1222" s="13" t="str">
        <f t="shared" si="387"/>
        <v>-</v>
      </c>
      <c r="AA1222" s="5"/>
      <c r="AB1222" s="33" t="str">
        <f t="shared" si="388"/>
        <v/>
      </c>
      <c r="AC1222" s="33" t="str">
        <f t="shared" si="389"/>
        <v/>
      </c>
      <c r="AD1222" s="15" t="str">
        <f t="shared" si="390"/>
        <v xml:space="preserve"> </v>
      </c>
      <c r="AE1222" s="5"/>
      <c r="AF1222" s="27" t="b">
        <f>IF($G1222&lt;&gt;0,SUMIF(куб!$G:$G,$G1222,куб!R:R),IF($E1222&lt;&gt;0,SUMIF(куб!$E:$E,$E1222,куб!R:R),IF($D1222&lt;&gt;0,SUMIF(куб!$D:$D,$D1222,куб!R:R),IF($C1222&lt;&gt;0,SUMIF(куб!$C:$C,$C1222,куб!R:R),IF($B1222&lt;&gt;0,SUMIF(куб!$B:$B,$B1222,куб!R:R))))))</f>
        <v>0</v>
      </c>
      <c r="AG1222" s="27" t="b">
        <f>IF($G1222&lt;&gt;0,SUMIF(куб!$G:$G,$G1222,куб!S:S),IF($E1222&lt;&gt;0,SUMIF(куб!$E:$E,$E1222,куб!S:S),IF($D1222&lt;&gt;0,SUMIF(куб!$D:$D,$D1222,куб!S:S),IF($C1222&lt;&gt;0,SUMIF(куб!$C:$C,$C1222,куб!S:S),IF($B1222&lt;&gt;0,SUMIF(куб!$B:$B,$B1222,куб!S:S))))))</f>
        <v>0</v>
      </c>
      <c r="AH1222" s="16" t="str">
        <f t="shared" si="391"/>
        <v>-</v>
      </c>
      <c r="AI1222" s="8"/>
      <c r="AJ1222" s="27" t="b">
        <f>IF($G1222&lt;&gt;0,SUMIF(куб!$G:$G,$G1222,куб!T:T),IF($E1222&lt;&gt;0,SUMIF(куб!$E:$E,$E1222,куб!T:T),IF($D1222&lt;&gt;0,SUMIF(куб!$D:$D,$D1222,куб!T:T),IF($C1222&lt;&gt;0,SUMIF(куб!$C:$C,$C1222,куб!T:T),IF($B1222&lt;&gt;0,SUMIF(куб!$B:$B,$B1222,куб!T:T))))))</f>
        <v>0</v>
      </c>
      <c r="AK1222" s="27" t="b">
        <f>IF($G1222&lt;&gt;0,SUMIF(куб!$G:$G,$G1222,куб!U:U),IF($E1222&lt;&gt;0,SUMIF(куб!$E:$E,$E1222,куб!U:U),IF($D1222&lt;&gt;0,SUMIF(куб!$D:$D,$D1222,куб!U:U),IF($C1222&lt;&gt;0,SUMIF(куб!$C:$C,$C1222,куб!U:U),IF($B1222&lt;&gt;0,SUMIF(куб!$B:$B,$B1222,куб!U:U))))))</f>
        <v>0</v>
      </c>
      <c r="AL1222" s="16" t="str">
        <f t="shared" si="392"/>
        <v>-</v>
      </c>
      <c r="AM1222" s="8"/>
      <c r="AN1222" s="17" t="str">
        <f t="shared" si="393"/>
        <v xml:space="preserve"> </v>
      </c>
      <c r="AO1222" s="17" t="str">
        <f t="shared" si="394"/>
        <v xml:space="preserve"> </v>
      </c>
      <c r="AP1222" s="16" t="str">
        <f t="shared" si="395"/>
        <v>-</v>
      </c>
      <c r="AQ1222" s="8"/>
      <c r="AR1222" s="17" t="str">
        <f t="shared" si="396"/>
        <v>-</v>
      </c>
      <c r="AS1222" s="17" t="str">
        <f t="shared" si="397"/>
        <v>-</v>
      </c>
      <c r="AT1222" s="13" t="str">
        <f t="shared" si="398"/>
        <v>-</v>
      </c>
      <c r="AU1222" s="8"/>
    </row>
    <row r="1223" spans="8:47" x14ac:dyDescent="0.25">
      <c r="H1223" s="27">
        <f>IF($G1223&lt;&gt;0,SUMIF(куб!$G:$G,$G1223,куб!H:H),IF($E1223&lt;&gt;0,SUMIF(куб!$E:$E,$E1223,куб!H:H),IF($D1223&lt;&gt;0,SUMIF(куб!$D:$D,$D1223,куб!H:H),IF($C1223&lt;&gt;0,SUMIF(куб!$C:$C,$C1223,куб!H:H),IF($B1223&lt;&gt;0,SUMIF(куб!$B:$B,$B1223,куб!H:H),IF($G1223&lt;&gt;0,SUMIF(куб!$A:$A,$G1223,куб!H:H),SUMIF(куб!$A:$A,$G1223,куб!H:H)))))))</f>
        <v>0</v>
      </c>
      <c r="I1223" s="27">
        <f>IF($G1223&lt;&gt;0,SUMIF(куб!$G:$G,$G1223,куб!I:I),IF($E1223&lt;&gt;0,SUMIF(куб!$E:$E,$E1223,куб!I:I),IF($D1223&lt;&gt;0,SUMIF(куб!$D:$D,$D1223,куб!I:I),IF($C1223&lt;&gt;0,SUMIF(куб!$C:$C,$C1223,куб!I:I),IF($B1223&lt;&gt;0,SUMIF(куб!$B:$B,$B1223,куб!I:I),IF($G1223&lt;&gt;0,SUMIF(куб!$A:$A,$G1223,куб!I:I),SUMIF(куб!$A:$A,$G1223,куб!I:I)))))))</f>
        <v>0</v>
      </c>
      <c r="J1223" s="19" t="str">
        <f t="shared" si="381"/>
        <v>-</v>
      </c>
      <c r="K1223" s="8"/>
      <c r="L1223" s="17">
        <f t="shared" si="382"/>
        <v>0</v>
      </c>
      <c r="M1223" s="17">
        <f t="shared" si="383"/>
        <v>0</v>
      </c>
      <c r="N1223" s="12">
        <f t="shared" si="384"/>
        <v>0</v>
      </c>
      <c r="O1223" s="5"/>
      <c r="P1223" s="27" t="b">
        <f>IF($G1223&lt;&gt;0,SUMIF(куб!$G:$G,$G1223,куб!J:J),IF($E1223&lt;&gt;0,SUMIF(куб!$E:$E,$E1223,куб!J:J),IF($D1223&lt;&gt;0,SUMIF(куб!$D:$D,$D1223,куб!J:J),IF($C1223&lt;&gt;0,SUMIF(куб!$C:$C,$C1223,куб!J:J),IF($B1223&lt;&gt;0,SUMIF(куб!$B:$B,$B1223,куб!J:J))))))</f>
        <v>0</v>
      </c>
      <c r="Q1223" s="27" t="b">
        <f>IF($G1223&lt;&gt;0,SUMIF(куб!$G:$G,$G1223,куб!K:K),IF($E1223&lt;&gt;0,SUMIF(куб!$E:$E,$E1223,куб!K:K),IF($D1223&lt;&gt;0,SUMIF(куб!$D:$D,$D1223,куб!K:K),IF($C1223&lt;&gt;0,SUMIF(куб!$C:$C,$C1223,куб!K:K),IF($B1223&lt;&gt;0,SUMIF(куб!$B:$B,$B1223,куб!K:K))))))</f>
        <v>0</v>
      </c>
      <c r="R1223" s="13" t="str">
        <f t="shared" si="385"/>
        <v>-</v>
      </c>
      <c r="S1223" s="5"/>
      <c r="T1223" s="27" t="b">
        <f>IF($G1223&lt;&gt;0,SUMIF(куб!$G:$G,$G1223,куб!L:L),IF($E1223&lt;&gt;0,SUMIF(куб!$E:$E,$E1223,куб!L:L),IF($D1223&lt;&gt;0,SUMIF(куб!$D:$D,$D1223,куб!L:L),IF($C1223&lt;&gt;0,SUMIF(куб!$C:$C,$C1223,куб!L:L),IF($B1223&lt;&gt;0,SUMIF(куб!$B:$B,$B1223,куб!L:L))))))</f>
        <v>0</v>
      </c>
      <c r="U1223" s="27" t="b">
        <f>IF($G1223&lt;&gt;0,SUMIF(куб!$G:$G,$G1223,куб!M:M),IF($E1223&lt;&gt;0,SUMIF(куб!$E:$E,$E1223,куб!M:M),IF($D1223&lt;&gt;0,SUMIF(куб!$D:$D,$D1223,куб!M:M),IF($C1223&lt;&gt;0,SUMIF(куб!$C:$C,$C1223,куб!M:M),IF($B1223&lt;&gt;0,SUMIF(куб!$B:$B,$B1223,куб!M:M))))))</f>
        <v>0</v>
      </c>
      <c r="V1223" s="13" t="str">
        <f t="shared" si="386"/>
        <v>-</v>
      </c>
      <c r="W1223" s="5"/>
      <c r="X1223" s="27" t="b">
        <f>IF($G1223&lt;&gt;0,SUMIF(куб!$G:$G,$G1223,куб!N:N),IF($E1223&lt;&gt;0,SUMIF(куб!$E:$E,$E1223,куб!N:N),IF($D1223&lt;&gt;0,SUMIF(куб!$D:$D,$D1223,куб!N:N),IF($C1223&lt;&gt;0,SUMIF(куб!$C:$C,$C1223,куб!N:N),IF($B1223&lt;&gt;0,SUMIF(куб!$B:$B,$B1223,куб!N:N))))))</f>
        <v>0</v>
      </c>
      <c r="Y1223" s="27" t="b">
        <f>IF($G1223&lt;&gt;0,SUMIF(куб!$G:$G,$G1223,куб!O:O),IF($E1223&lt;&gt;0,SUMIF(куб!$E:$E,$E1223,куб!O:O),IF($D1223&lt;&gt;0,SUMIF(куб!$D:$D,$D1223,куб!O:O),IF($C1223&lt;&gt;0,SUMIF(куб!$C:$C,$C1223,куб!O:O),IF($B1223&lt;&gt;0,SUMIF(куб!$B:$B,$B1223,куб!O:O))))))</f>
        <v>0</v>
      </c>
      <c r="Z1223" s="13" t="str">
        <f t="shared" si="387"/>
        <v>-</v>
      </c>
      <c r="AA1223" s="5"/>
      <c r="AB1223" s="33" t="str">
        <f t="shared" si="388"/>
        <v/>
      </c>
      <c r="AC1223" s="33" t="str">
        <f t="shared" si="389"/>
        <v/>
      </c>
      <c r="AD1223" s="15" t="str">
        <f t="shared" si="390"/>
        <v xml:space="preserve"> </v>
      </c>
      <c r="AE1223" s="5"/>
      <c r="AF1223" s="27" t="b">
        <f>IF($G1223&lt;&gt;0,SUMIF(куб!$G:$G,$G1223,куб!R:R),IF($E1223&lt;&gt;0,SUMIF(куб!$E:$E,$E1223,куб!R:R),IF($D1223&lt;&gt;0,SUMIF(куб!$D:$D,$D1223,куб!R:R),IF($C1223&lt;&gt;0,SUMIF(куб!$C:$C,$C1223,куб!R:R),IF($B1223&lt;&gt;0,SUMIF(куб!$B:$B,$B1223,куб!R:R))))))</f>
        <v>0</v>
      </c>
      <c r="AG1223" s="27" t="b">
        <f>IF($G1223&lt;&gt;0,SUMIF(куб!$G:$G,$G1223,куб!S:S),IF($E1223&lt;&gt;0,SUMIF(куб!$E:$E,$E1223,куб!S:S),IF($D1223&lt;&gt;0,SUMIF(куб!$D:$D,$D1223,куб!S:S),IF($C1223&lt;&gt;0,SUMIF(куб!$C:$C,$C1223,куб!S:S),IF($B1223&lt;&gt;0,SUMIF(куб!$B:$B,$B1223,куб!S:S))))))</f>
        <v>0</v>
      </c>
      <c r="AH1223" s="16" t="str">
        <f t="shared" si="391"/>
        <v>-</v>
      </c>
      <c r="AI1223" s="8"/>
      <c r="AJ1223" s="27" t="b">
        <f>IF($G1223&lt;&gt;0,SUMIF(куб!$G:$G,$G1223,куб!T:T),IF($E1223&lt;&gt;0,SUMIF(куб!$E:$E,$E1223,куб!T:T),IF($D1223&lt;&gt;0,SUMIF(куб!$D:$D,$D1223,куб!T:T),IF($C1223&lt;&gt;0,SUMIF(куб!$C:$C,$C1223,куб!T:T),IF($B1223&lt;&gt;0,SUMIF(куб!$B:$B,$B1223,куб!T:T))))))</f>
        <v>0</v>
      </c>
      <c r="AK1223" s="27" t="b">
        <f>IF($G1223&lt;&gt;0,SUMIF(куб!$G:$G,$G1223,куб!U:U),IF($E1223&lt;&gt;0,SUMIF(куб!$E:$E,$E1223,куб!U:U),IF($D1223&lt;&gt;0,SUMIF(куб!$D:$D,$D1223,куб!U:U),IF($C1223&lt;&gt;0,SUMIF(куб!$C:$C,$C1223,куб!U:U),IF($B1223&lt;&gt;0,SUMIF(куб!$B:$B,$B1223,куб!U:U))))))</f>
        <v>0</v>
      </c>
      <c r="AL1223" s="16" t="str">
        <f t="shared" si="392"/>
        <v>-</v>
      </c>
      <c r="AM1223" s="8"/>
      <c r="AN1223" s="17" t="str">
        <f t="shared" si="393"/>
        <v xml:space="preserve"> </v>
      </c>
      <c r="AO1223" s="17" t="str">
        <f t="shared" si="394"/>
        <v xml:space="preserve"> </v>
      </c>
      <c r="AP1223" s="16" t="str">
        <f t="shared" si="395"/>
        <v>-</v>
      </c>
      <c r="AQ1223" s="8"/>
      <c r="AR1223" s="17" t="str">
        <f t="shared" si="396"/>
        <v>-</v>
      </c>
      <c r="AS1223" s="17" t="str">
        <f t="shared" si="397"/>
        <v>-</v>
      </c>
      <c r="AT1223" s="13" t="str">
        <f t="shared" si="398"/>
        <v>-</v>
      </c>
      <c r="AU1223" s="8"/>
    </row>
    <row r="1224" spans="8:47" x14ac:dyDescent="0.25">
      <c r="H1224" s="27">
        <f>IF($G1224&lt;&gt;0,SUMIF(куб!$G:$G,$G1224,куб!H:H),IF($E1224&lt;&gt;0,SUMIF(куб!$E:$E,$E1224,куб!H:H),IF($D1224&lt;&gt;0,SUMIF(куб!$D:$D,$D1224,куб!H:H),IF($C1224&lt;&gt;0,SUMIF(куб!$C:$C,$C1224,куб!H:H),IF($B1224&lt;&gt;0,SUMIF(куб!$B:$B,$B1224,куб!H:H),IF($G1224&lt;&gt;0,SUMIF(куб!$A:$A,$G1224,куб!H:H),SUMIF(куб!$A:$A,$G1224,куб!H:H)))))))</f>
        <v>0</v>
      </c>
      <c r="I1224" s="27">
        <f>IF($G1224&lt;&gt;0,SUMIF(куб!$G:$G,$G1224,куб!I:I),IF($E1224&lt;&gt;0,SUMIF(куб!$E:$E,$E1224,куб!I:I),IF($D1224&lt;&gt;0,SUMIF(куб!$D:$D,$D1224,куб!I:I),IF($C1224&lt;&gt;0,SUMIF(куб!$C:$C,$C1224,куб!I:I),IF($B1224&lt;&gt;0,SUMIF(куб!$B:$B,$B1224,куб!I:I),IF($G1224&lt;&gt;0,SUMIF(куб!$A:$A,$G1224,куб!I:I),SUMIF(куб!$A:$A,$G1224,куб!I:I)))))))</f>
        <v>0</v>
      </c>
      <c r="J1224" s="19" t="str">
        <f t="shared" si="381"/>
        <v>-</v>
      </c>
      <c r="K1224" s="8"/>
      <c r="L1224" s="17">
        <f t="shared" si="382"/>
        <v>0</v>
      </c>
      <c r="M1224" s="17">
        <f t="shared" si="383"/>
        <v>0</v>
      </c>
      <c r="N1224" s="12">
        <f t="shared" si="384"/>
        <v>0</v>
      </c>
      <c r="O1224" s="5"/>
      <c r="P1224" s="27" t="b">
        <f>IF($G1224&lt;&gt;0,SUMIF(куб!$G:$G,$G1224,куб!J:J),IF($E1224&lt;&gt;0,SUMIF(куб!$E:$E,$E1224,куб!J:J),IF($D1224&lt;&gt;0,SUMIF(куб!$D:$D,$D1224,куб!J:J),IF($C1224&lt;&gt;0,SUMIF(куб!$C:$C,$C1224,куб!J:J),IF($B1224&lt;&gt;0,SUMIF(куб!$B:$B,$B1224,куб!J:J))))))</f>
        <v>0</v>
      </c>
      <c r="Q1224" s="27" t="b">
        <f>IF($G1224&lt;&gt;0,SUMIF(куб!$G:$G,$G1224,куб!K:K),IF($E1224&lt;&gt;0,SUMIF(куб!$E:$E,$E1224,куб!K:K),IF($D1224&lt;&gt;0,SUMIF(куб!$D:$D,$D1224,куб!K:K),IF($C1224&lt;&gt;0,SUMIF(куб!$C:$C,$C1224,куб!K:K),IF($B1224&lt;&gt;0,SUMIF(куб!$B:$B,$B1224,куб!K:K))))))</f>
        <v>0</v>
      </c>
      <c r="R1224" s="13" t="str">
        <f t="shared" si="385"/>
        <v>-</v>
      </c>
      <c r="S1224" s="5"/>
      <c r="T1224" s="27" t="b">
        <f>IF($G1224&lt;&gt;0,SUMIF(куб!$G:$G,$G1224,куб!L:L),IF($E1224&lt;&gt;0,SUMIF(куб!$E:$E,$E1224,куб!L:L),IF($D1224&lt;&gt;0,SUMIF(куб!$D:$D,$D1224,куб!L:L),IF($C1224&lt;&gt;0,SUMIF(куб!$C:$C,$C1224,куб!L:L),IF($B1224&lt;&gt;0,SUMIF(куб!$B:$B,$B1224,куб!L:L))))))</f>
        <v>0</v>
      </c>
      <c r="U1224" s="27" t="b">
        <f>IF($G1224&lt;&gt;0,SUMIF(куб!$G:$G,$G1224,куб!M:M),IF($E1224&lt;&gt;0,SUMIF(куб!$E:$E,$E1224,куб!M:M),IF($D1224&lt;&gt;0,SUMIF(куб!$D:$D,$D1224,куб!M:M),IF($C1224&lt;&gt;0,SUMIF(куб!$C:$C,$C1224,куб!M:M),IF($B1224&lt;&gt;0,SUMIF(куб!$B:$B,$B1224,куб!M:M))))))</f>
        <v>0</v>
      </c>
      <c r="V1224" s="13" t="str">
        <f t="shared" si="386"/>
        <v>-</v>
      </c>
      <c r="W1224" s="5"/>
      <c r="X1224" s="27" t="b">
        <f>IF($G1224&lt;&gt;0,SUMIF(куб!$G:$G,$G1224,куб!N:N),IF($E1224&lt;&gt;0,SUMIF(куб!$E:$E,$E1224,куб!N:N),IF($D1224&lt;&gt;0,SUMIF(куб!$D:$D,$D1224,куб!N:N),IF($C1224&lt;&gt;0,SUMIF(куб!$C:$C,$C1224,куб!N:N),IF($B1224&lt;&gt;0,SUMIF(куб!$B:$B,$B1224,куб!N:N))))))</f>
        <v>0</v>
      </c>
      <c r="Y1224" s="27" t="b">
        <f>IF($G1224&lt;&gt;0,SUMIF(куб!$G:$G,$G1224,куб!O:O),IF($E1224&lt;&gt;0,SUMIF(куб!$E:$E,$E1224,куб!O:O),IF($D1224&lt;&gt;0,SUMIF(куб!$D:$D,$D1224,куб!O:O),IF($C1224&lt;&gt;0,SUMIF(куб!$C:$C,$C1224,куб!O:O),IF($B1224&lt;&gt;0,SUMIF(куб!$B:$B,$B1224,куб!O:O))))))</f>
        <v>0</v>
      </c>
      <c r="Z1224" s="13" t="str">
        <f t="shared" si="387"/>
        <v>-</v>
      </c>
      <c r="AA1224" s="5"/>
      <c r="AB1224" s="33" t="str">
        <f t="shared" si="388"/>
        <v/>
      </c>
      <c r="AC1224" s="33" t="str">
        <f t="shared" si="389"/>
        <v/>
      </c>
      <c r="AD1224" s="15" t="str">
        <f t="shared" si="390"/>
        <v xml:space="preserve"> </v>
      </c>
      <c r="AE1224" s="5"/>
      <c r="AF1224" s="27" t="b">
        <f>IF($G1224&lt;&gt;0,SUMIF(куб!$G:$G,$G1224,куб!R:R),IF($E1224&lt;&gt;0,SUMIF(куб!$E:$E,$E1224,куб!R:R),IF($D1224&lt;&gt;0,SUMIF(куб!$D:$D,$D1224,куб!R:R),IF($C1224&lt;&gt;0,SUMIF(куб!$C:$C,$C1224,куб!R:R),IF($B1224&lt;&gt;0,SUMIF(куб!$B:$B,$B1224,куб!R:R))))))</f>
        <v>0</v>
      </c>
      <c r="AG1224" s="27" t="b">
        <f>IF($G1224&lt;&gt;0,SUMIF(куб!$G:$G,$G1224,куб!S:S),IF($E1224&lt;&gt;0,SUMIF(куб!$E:$E,$E1224,куб!S:S),IF($D1224&lt;&gt;0,SUMIF(куб!$D:$D,$D1224,куб!S:S),IF($C1224&lt;&gt;0,SUMIF(куб!$C:$C,$C1224,куб!S:S),IF($B1224&lt;&gt;0,SUMIF(куб!$B:$B,$B1224,куб!S:S))))))</f>
        <v>0</v>
      </c>
      <c r="AH1224" s="16" t="str">
        <f t="shared" si="391"/>
        <v>-</v>
      </c>
      <c r="AI1224" s="8"/>
      <c r="AJ1224" s="27" t="b">
        <f>IF($G1224&lt;&gt;0,SUMIF(куб!$G:$G,$G1224,куб!T:T),IF($E1224&lt;&gt;0,SUMIF(куб!$E:$E,$E1224,куб!T:T),IF($D1224&lt;&gt;0,SUMIF(куб!$D:$D,$D1224,куб!T:T),IF($C1224&lt;&gt;0,SUMIF(куб!$C:$C,$C1224,куб!T:T),IF($B1224&lt;&gt;0,SUMIF(куб!$B:$B,$B1224,куб!T:T))))))</f>
        <v>0</v>
      </c>
      <c r="AK1224" s="27" t="b">
        <f>IF($G1224&lt;&gt;0,SUMIF(куб!$G:$G,$G1224,куб!U:U),IF($E1224&lt;&gt;0,SUMIF(куб!$E:$E,$E1224,куб!U:U),IF($D1224&lt;&gt;0,SUMIF(куб!$D:$D,$D1224,куб!U:U),IF($C1224&lt;&gt;0,SUMIF(куб!$C:$C,$C1224,куб!U:U),IF($B1224&lt;&gt;0,SUMIF(куб!$B:$B,$B1224,куб!U:U))))))</f>
        <v>0</v>
      </c>
      <c r="AL1224" s="16" t="str">
        <f t="shared" si="392"/>
        <v>-</v>
      </c>
      <c r="AM1224" s="8"/>
      <c r="AN1224" s="17" t="str">
        <f t="shared" si="393"/>
        <v xml:space="preserve"> </v>
      </c>
      <c r="AO1224" s="17" t="str">
        <f t="shared" si="394"/>
        <v xml:space="preserve"> </v>
      </c>
      <c r="AP1224" s="16" t="str">
        <f t="shared" si="395"/>
        <v>-</v>
      </c>
      <c r="AQ1224" s="8"/>
      <c r="AR1224" s="17" t="str">
        <f t="shared" si="396"/>
        <v>-</v>
      </c>
      <c r="AS1224" s="17" t="str">
        <f t="shared" si="397"/>
        <v>-</v>
      </c>
      <c r="AT1224" s="13" t="str">
        <f t="shared" si="398"/>
        <v>-</v>
      </c>
      <c r="AU1224" s="8"/>
    </row>
    <row r="1225" spans="8:47" x14ac:dyDescent="0.25">
      <c r="H1225" s="27">
        <f>IF($G1225&lt;&gt;0,SUMIF(куб!$G:$G,$G1225,куб!H:H),IF($E1225&lt;&gt;0,SUMIF(куб!$E:$E,$E1225,куб!H:H),IF($D1225&lt;&gt;0,SUMIF(куб!$D:$D,$D1225,куб!H:H),IF($C1225&lt;&gt;0,SUMIF(куб!$C:$C,$C1225,куб!H:H),IF($B1225&lt;&gt;0,SUMIF(куб!$B:$B,$B1225,куб!H:H),IF($G1225&lt;&gt;0,SUMIF(куб!$A:$A,$G1225,куб!H:H),SUMIF(куб!$A:$A,$G1225,куб!H:H)))))))</f>
        <v>0</v>
      </c>
      <c r="I1225" s="27">
        <f>IF($G1225&lt;&gt;0,SUMIF(куб!$G:$G,$G1225,куб!I:I),IF($E1225&lt;&gt;0,SUMIF(куб!$E:$E,$E1225,куб!I:I),IF($D1225&lt;&gt;0,SUMIF(куб!$D:$D,$D1225,куб!I:I),IF($C1225&lt;&gt;0,SUMIF(куб!$C:$C,$C1225,куб!I:I),IF($B1225&lt;&gt;0,SUMIF(куб!$B:$B,$B1225,куб!I:I),IF($G1225&lt;&gt;0,SUMIF(куб!$A:$A,$G1225,куб!I:I),SUMIF(куб!$A:$A,$G1225,куб!I:I)))))))</f>
        <v>0</v>
      </c>
      <c r="J1225" s="19" t="str">
        <f t="shared" si="381"/>
        <v>-</v>
      </c>
      <c r="K1225" s="8"/>
      <c r="L1225" s="17">
        <f t="shared" si="382"/>
        <v>0</v>
      </c>
      <c r="M1225" s="17">
        <f t="shared" si="383"/>
        <v>0</v>
      </c>
      <c r="N1225" s="12">
        <f t="shared" si="384"/>
        <v>0</v>
      </c>
      <c r="O1225" s="5"/>
      <c r="P1225" s="27" t="b">
        <f>IF($G1225&lt;&gt;0,SUMIF(куб!$G:$G,$G1225,куб!J:J),IF($E1225&lt;&gt;0,SUMIF(куб!$E:$E,$E1225,куб!J:J),IF($D1225&lt;&gt;0,SUMIF(куб!$D:$D,$D1225,куб!J:J),IF($C1225&lt;&gt;0,SUMIF(куб!$C:$C,$C1225,куб!J:J),IF($B1225&lt;&gt;0,SUMIF(куб!$B:$B,$B1225,куб!J:J))))))</f>
        <v>0</v>
      </c>
      <c r="Q1225" s="27" t="b">
        <f>IF($G1225&lt;&gt;0,SUMIF(куб!$G:$G,$G1225,куб!K:K),IF($E1225&lt;&gt;0,SUMIF(куб!$E:$E,$E1225,куб!K:K),IF($D1225&lt;&gt;0,SUMIF(куб!$D:$D,$D1225,куб!K:K),IF($C1225&lt;&gt;0,SUMIF(куб!$C:$C,$C1225,куб!K:K),IF($B1225&lt;&gt;0,SUMIF(куб!$B:$B,$B1225,куб!K:K))))))</f>
        <v>0</v>
      </c>
      <c r="R1225" s="13" t="str">
        <f t="shared" si="385"/>
        <v>-</v>
      </c>
      <c r="S1225" s="5"/>
      <c r="T1225" s="27" t="b">
        <f>IF($G1225&lt;&gt;0,SUMIF(куб!$G:$G,$G1225,куб!L:L),IF($E1225&lt;&gt;0,SUMIF(куб!$E:$E,$E1225,куб!L:L),IF($D1225&lt;&gt;0,SUMIF(куб!$D:$D,$D1225,куб!L:L),IF($C1225&lt;&gt;0,SUMIF(куб!$C:$C,$C1225,куб!L:L),IF($B1225&lt;&gt;0,SUMIF(куб!$B:$B,$B1225,куб!L:L))))))</f>
        <v>0</v>
      </c>
      <c r="U1225" s="27" t="b">
        <f>IF($G1225&lt;&gt;0,SUMIF(куб!$G:$G,$G1225,куб!M:M),IF($E1225&lt;&gt;0,SUMIF(куб!$E:$E,$E1225,куб!M:M),IF($D1225&lt;&gt;0,SUMIF(куб!$D:$D,$D1225,куб!M:M),IF($C1225&lt;&gt;0,SUMIF(куб!$C:$C,$C1225,куб!M:M),IF($B1225&lt;&gt;0,SUMIF(куб!$B:$B,$B1225,куб!M:M))))))</f>
        <v>0</v>
      </c>
      <c r="V1225" s="13" t="str">
        <f t="shared" si="386"/>
        <v>-</v>
      </c>
      <c r="W1225" s="5"/>
      <c r="X1225" s="27" t="b">
        <f>IF($G1225&lt;&gt;0,SUMIF(куб!$G:$G,$G1225,куб!N:N),IF($E1225&lt;&gt;0,SUMIF(куб!$E:$E,$E1225,куб!N:N),IF($D1225&lt;&gt;0,SUMIF(куб!$D:$D,$D1225,куб!N:N),IF($C1225&lt;&gt;0,SUMIF(куб!$C:$C,$C1225,куб!N:N),IF($B1225&lt;&gt;0,SUMIF(куб!$B:$B,$B1225,куб!N:N))))))</f>
        <v>0</v>
      </c>
      <c r="Y1225" s="27" t="b">
        <f>IF($G1225&lt;&gt;0,SUMIF(куб!$G:$G,$G1225,куб!O:O),IF($E1225&lt;&gt;0,SUMIF(куб!$E:$E,$E1225,куб!O:O),IF($D1225&lt;&gt;0,SUMIF(куб!$D:$D,$D1225,куб!O:O),IF($C1225&lt;&gt;0,SUMIF(куб!$C:$C,$C1225,куб!O:O),IF($B1225&lt;&gt;0,SUMIF(куб!$B:$B,$B1225,куб!O:O))))))</f>
        <v>0</v>
      </c>
      <c r="Z1225" s="13" t="str">
        <f t="shared" si="387"/>
        <v>-</v>
      </c>
      <c r="AA1225" s="5"/>
      <c r="AB1225" s="33" t="str">
        <f t="shared" si="388"/>
        <v/>
      </c>
      <c r="AC1225" s="33" t="str">
        <f t="shared" si="389"/>
        <v/>
      </c>
      <c r="AD1225" s="15" t="str">
        <f t="shared" si="390"/>
        <v xml:space="preserve"> </v>
      </c>
      <c r="AE1225" s="5"/>
      <c r="AF1225" s="27" t="b">
        <f>IF($G1225&lt;&gt;0,SUMIF(куб!$G:$G,$G1225,куб!R:R),IF($E1225&lt;&gt;0,SUMIF(куб!$E:$E,$E1225,куб!R:R),IF($D1225&lt;&gt;0,SUMIF(куб!$D:$D,$D1225,куб!R:R),IF($C1225&lt;&gt;0,SUMIF(куб!$C:$C,$C1225,куб!R:R),IF($B1225&lt;&gt;0,SUMIF(куб!$B:$B,$B1225,куб!R:R))))))</f>
        <v>0</v>
      </c>
      <c r="AG1225" s="27" t="b">
        <f>IF($G1225&lt;&gt;0,SUMIF(куб!$G:$G,$G1225,куб!S:S),IF($E1225&lt;&gt;0,SUMIF(куб!$E:$E,$E1225,куб!S:S),IF($D1225&lt;&gt;0,SUMIF(куб!$D:$D,$D1225,куб!S:S),IF($C1225&lt;&gt;0,SUMIF(куб!$C:$C,$C1225,куб!S:S),IF($B1225&lt;&gt;0,SUMIF(куб!$B:$B,$B1225,куб!S:S))))))</f>
        <v>0</v>
      </c>
      <c r="AH1225" s="16" t="str">
        <f t="shared" si="391"/>
        <v>-</v>
      </c>
      <c r="AI1225" s="8"/>
      <c r="AJ1225" s="27" t="b">
        <f>IF($G1225&lt;&gt;0,SUMIF(куб!$G:$G,$G1225,куб!T:T),IF($E1225&lt;&gt;0,SUMIF(куб!$E:$E,$E1225,куб!T:T),IF($D1225&lt;&gt;0,SUMIF(куб!$D:$D,$D1225,куб!T:T),IF($C1225&lt;&gt;0,SUMIF(куб!$C:$C,$C1225,куб!T:T),IF($B1225&lt;&gt;0,SUMIF(куб!$B:$B,$B1225,куб!T:T))))))</f>
        <v>0</v>
      </c>
      <c r="AK1225" s="27" t="b">
        <f>IF($G1225&lt;&gt;0,SUMIF(куб!$G:$G,$G1225,куб!U:U),IF($E1225&lt;&gt;0,SUMIF(куб!$E:$E,$E1225,куб!U:U),IF($D1225&lt;&gt;0,SUMIF(куб!$D:$D,$D1225,куб!U:U),IF($C1225&lt;&gt;0,SUMIF(куб!$C:$C,$C1225,куб!U:U),IF($B1225&lt;&gt;0,SUMIF(куб!$B:$B,$B1225,куб!U:U))))))</f>
        <v>0</v>
      </c>
      <c r="AL1225" s="16" t="str">
        <f t="shared" si="392"/>
        <v>-</v>
      </c>
      <c r="AM1225" s="8"/>
      <c r="AN1225" s="17" t="str">
        <f t="shared" si="393"/>
        <v xml:space="preserve"> </v>
      </c>
      <c r="AO1225" s="17" t="str">
        <f t="shared" si="394"/>
        <v xml:space="preserve"> </v>
      </c>
      <c r="AP1225" s="16" t="str">
        <f t="shared" si="395"/>
        <v>-</v>
      </c>
      <c r="AQ1225" s="8"/>
      <c r="AR1225" s="17" t="str">
        <f t="shared" si="396"/>
        <v>-</v>
      </c>
      <c r="AS1225" s="17" t="str">
        <f t="shared" si="397"/>
        <v>-</v>
      </c>
      <c r="AT1225" s="13" t="str">
        <f t="shared" si="398"/>
        <v>-</v>
      </c>
      <c r="AU1225" s="8"/>
    </row>
    <row r="1226" spans="8:47" x14ac:dyDescent="0.25">
      <c r="H1226" s="27">
        <f>IF($G1226&lt;&gt;0,SUMIF(куб!$G:$G,$G1226,куб!H:H),IF($E1226&lt;&gt;0,SUMIF(куб!$E:$E,$E1226,куб!H:H),IF($D1226&lt;&gt;0,SUMIF(куб!$D:$D,$D1226,куб!H:H),IF($C1226&lt;&gt;0,SUMIF(куб!$C:$C,$C1226,куб!H:H),IF($B1226&lt;&gt;0,SUMIF(куб!$B:$B,$B1226,куб!H:H),IF($G1226&lt;&gt;0,SUMIF(куб!$A:$A,$G1226,куб!H:H),SUMIF(куб!$A:$A,$G1226,куб!H:H)))))))</f>
        <v>0</v>
      </c>
      <c r="I1226" s="27">
        <f>IF($G1226&lt;&gt;0,SUMIF(куб!$G:$G,$G1226,куб!I:I),IF($E1226&lt;&gt;0,SUMIF(куб!$E:$E,$E1226,куб!I:I),IF($D1226&lt;&gt;0,SUMIF(куб!$D:$D,$D1226,куб!I:I),IF($C1226&lt;&gt;0,SUMIF(куб!$C:$C,$C1226,куб!I:I),IF($B1226&lt;&gt;0,SUMIF(куб!$B:$B,$B1226,куб!I:I),IF($G1226&lt;&gt;0,SUMIF(куб!$A:$A,$G1226,куб!I:I),SUMIF(куб!$A:$A,$G1226,куб!I:I)))))))</f>
        <v>0</v>
      </c>
      <c r="J1226" s="19" t="str">
        <f t="shared" si="381"/>
        <v>-</v>
      </c>
      <c r="K1226" s="8"/>
      <c r="L1226" s="17">
        <f t="shared" si="382"/>
        <v>0</v>
      </c>
      <c r="M1226" s="17">
        <f t="shared" si="383"/>
        <v>0</v>
      </c>
      <c r="N1226" s="12">
        <f t="shared" si="384"/>
        <v>0</v>
      </c>
      <c r="O1226" s="5"/>
      <c r="P1226" s="27" t="b">
        <f>IF($G1226&lt;&gt;0,SUMIF(куб!$G:$G,$G1226,куб!J:J),IF($E1226&lt;&gt;0,SUMIF(куб!$E:$E,$E1226,куб!J:J),IF($D1226&lt;&gt;0,SUMIF(куб!$D:$D,$D1226,куб!J:J),IF($C1226&lt;&gt;0,SUMIF(куб!$C:$C,$C1226,куб!J:J),IF($B1226&lt;&gt;0,SUMIF(куб!$B:$B,$B1226,куб!J:J))))))</f>
        <v>0</v>
      </c>
      <c r="Q1226" s="27" t="b">
        <f>IF($G1226&lt;&gt;0,SUMIF(куб!$G:$G,$G1226,куб!K:K),IF($E1226&lt;&gt;0,SUMIF(куб!$E:$E,$E1226,куб!K:K),IF($D1226&lt;&gt;0,SUMIF(куб!$D:$D,$D1226,куб!K:K),IF($C1226&lt;&gt;0,SUMIF(куб!$C:$C,$C1226,куб!K:K),IF($B1226&lt;&gt;0,SUMIF(куб!$B:$B,$B1226,куб!K:K))))))</f>
        <v>0</v>
      </c>
      <c r="R1226" s="13" t="str">
        <f t="shared" si="385"/>
        <v>-</v>
      </c>
      <c r="S1226" s="5"/>
      <c r="T1226" s="27" t="b">
        <f>IF($G1226&lt;&gt;0,SUMIF(куб!$G:$G,$G1226,куб!L:L),IF($E1226&lt;&gt;0,SUMIF(куб!$E:$E,$E1226,куб!L:L),IF($D1226&lt;&gt;0,SUMIF(куб!$D:$D,$D1226,куб!L:L),IF($C1226&lt;&gt;0,SUMIF(куб!$C:$C,$C1226,куб!L:L),IF($B1226&lt;&gt;0,SUMIF(куб!$B:$B,$B1226,куб!L:L))))))</f>
        <v>0</v>
      </c>
      <c r="U1226" s="27" t="b">
        <f>IF($G1226&lt;&gt;0,SUMIF(куб!$G:$G,$G1226,куб!M:M),IF($E1226&lt;&gt;0,SUMIF(куб!$E:$E,$E1226,куб!M:M),IF($D1226&lt;&gt;0,SUMIF(куб!$D:$D,$D1226,куб!M:M),IF($C1226&lt;&gt;0,SUMIF(куб!$C:$C,$C1226,куб!M:M),IF($B1226&lt;&gt;0,SUMIF(куб!$B:$B,$B1226,куб!M:M))))))</f>
        <v>0</v>
      </c>
      <c r="V1226" s="13" t="str">
        <f t="shared" si="386"/>
        <v>-</v>
      </c>
      <c r="W1226" s="5"/>
      <c r="X1226" s="27" t="b">
        <f>IF($G1226&lt;&gt;0,SUMIF(куб!$G:$G,$G1226,куб!N:N),IF($E1226&lt;&gt;0,SUMIF(куб!$E:$E,$E1226,куб!N:N),IF($D1226&lt;&gt;0,SUMIF(куб!$D:$D,$D1226,куб!N:N),IF($C1226&lt;&gt;0,SUMIF(куб!$C:$C,$C1226,куб!N:N),IF($B1226&lt;&gt;0,SUMIF(куб!$B:$B,$B1226,куб!N:N))))))</f>
        <v>0</v>
      </c>
      <c r="Y1226" s="27" t="b">
        <f>IF($G1226&lt;&gt;0,SUMIF(куб!$G:$G,$G1226,куб!O:O),IF($E1226&lt;&gt;0,SUMIF(куб!$E:$E,$E1226,куб!O:O),IF($D1226&lt;&gt;0,SUMIF(куб!$D:$D,$D1226,куб!O:O),IF($C1226&lt;&gt;0,SUMIF(куб!$C:$C,$C1226,куб!O:O),IF($B1226&lt;&gt;0,SUMIF(куб!$B:$B,$B1226,куб!O:O))))))</f>
        <v>0</v>
      </c>
      <c r="Z1226" s="13" t="str">
        <f t="shared" si="387"/>
        <v>-</v>
      </c>
      <c r="AA1226" s="5"/>
      <c r="AB1226" s="33" t="str">
        <f t="shared" si="388"/>
        <v/>
      </c>
      <c r="AC1226" s="33" t="str">
        <f t="shared" si="389"/>
        <v/>
      </c>
      <c r="AD1226" s="15" t="str">
        <f t="shared" si="390"/>
        <v xml:space="preserve"> </v>
      </c>
      <c r="AE1226" s="5"/>
      <c r="AF1226" s="27" t="b">
        <f>IF($G1226&lt;&gt;0,SUMIF(куб!$G:$G,$G1226,куб!R:R),IF($E1226&lt;&gt;0,SUMIF(куб!$E:$E,$E1226,куб!R:R),IF($D1226&lt;&gt;0,SUMIF(куб!$D:$D,$D1226,куб!R:R),IF($C1226&lt;&gt;0,SUMIF(куб!$C:$C,$C1226,куб!R:R),IF($B1226&lt;&gt;0,SUMIF(куб!$B:$B,$B1226,куб!R:R))))))</f>
        <v>0</v>
      </c>
      <c r="AG1226" s="27" t="b">
        <f>IF($G1226&lt;&gt;0,SUMIF(куб!$G:$G,$G1226,куб!S:S),IF($E1226&lt;&gt;0,SUMIF(куб!$E:$E,$E1226,куб!S:S),IF($D1226&lt;&gt;0,SUMIF(куб!$D:$D,$D1226,куб!S:S),IF($C1226&lt;&gt;0,SUMIF(куб!$C:$C,$C1226,куб!S:S),IF($B1226&lt;&gt;0,SUMIF(куб!$B:$B,$B1226,куб!S:S))))))</f>
        <v>0</v>
      </c>
      <c r="AH1226" s="16" t="str">
        <f t="shared" si="391"/>
        <v>-</v>
      </c>
      <c r="AI1226" s="8"/>
      <c r="AJ1226" s="27" t="b">
        <f>IF($G1226&lt;&gt;0,SUMIF(куб!$G:$G,$G1226,куб!T:T),IF($E1226&lt;&gt;0,SUMIF(куб!$E:$E,$E1226,куб!T:T),IF($D1226&lt;&gt;0,SUMIF(куб!$D:$D,$D1226,куб!T:T),IF($C1226&lt;&gt;0,SUMIF(куб!$C:$C,$C1226,куб!T:T),IF($B1226&lt;&gt;0,SUMIF(куб!$B:$B,$B1226,куб!T:T))))))</f>
        <v>0</v>
      </c>
      <c r="AK1226" s="27" t="b">
        <f>IF($G1226&lt;&gt;0,SUMIF(куб!$G:$G,$G1226,куб!U:U),IF($E1226&lt;&gt;0,SUMIF(куб!$E:$E,$E1226,куб!U:U),IF($D1226&lt;&gt;0,SUMIF(куб!$D:$D,$D1226,куб!U:U),IF($C1226&lt;&gt;0,SUMIF(куб!$C:$C,$C1226,куб!U:U),IF($B1226&lt;&gt;0,SUMIF(куб!$B:$B,$B1226,куб!U:U))))))</f>
        <v>0</v>
      </c>
      <c r="AL1226" s="16" t="str">
        <f t="shared" si="392"/>
        <v>-</v>
      </c>
      <c r="AM1226" s="8"/>
      <c r="AN1226" s="17" t="str">
        <f t="shared" si="393"/>
        <v xml:space="preserve"> </v>
      </c>
      <c r="AO1226" s="17" t="str">
        <f t="shared" si="394"/>
        <v xml:space="preserve"> </v>
      </c>
      <c r="AP1226" s="16" t="str">
        <f t="shared" si="395"/>
        <v>-</v>
      </c>
      <c r="AQ1226" s="8"/>
      <c r="AR1226" s="17" t="str">
        <f t="shared" si="396"/>
        <v>-</v>
      </c>
      <c r="AS1226" s="17" t="str">
        <f t="shared" si="397"/>
        <v>-</v>
      </c>
      <c r="AT1226" s="13" t="str">
        <f t="shared" si="398"/>
        <v>-</v>
      </c>
      <c r="AU1226" s="8"/>
    </row>
    <row r="1227" spans="8:47" x14ac:dyDescent="0.25">
      <c r="H1227" s="27">
        <f>IF($G1227&lt;&gt;0,SUMIF(куб!$G:$G,$G1227,куб!H:H),IF($E1227&lt;&gt;0,SUMIF(куб!$E:$E,$E1227,куб!H:H),IF($D1227&lt;&gt;0,SUMIF(куб!$D:$D,$D1227,куб!H:H),IF($C1227&lt;&gt;0,SUMIF(куб!$C:$C,$C1227,куб!H:H),IF($B1227&lt;&gt;0,SUMIF(куб!$B:$B,$B1227,куб!H:H),IF($G1227&lt;&gt;0,SUMIF(куб!$A:$A,$G1227,куб!H:H),SUMIF(куб!$A:$A,$G1227,куб!H:H)))))))</f>
        <v>0</v>
      </c>
      <c r="I1227" s="27">
        <f>IF($G1227&lt;&gt;0,SUMIF(куб!$G:$G,$G1227,куб!I:I),IF($E1227&lt;&gt;0,SUMIF(куб!$E:$E,$E1227,куб!I:I),IF($D1227&lt;&gt;0,SUMIF(куб!$D:$D,$D1227,куб!I:I),IF($C1227&lt;&gt;0,SUMIF(куб!$C:$C,$C1227,куб!I:I),IF($B1227&lt;&gt;0,SUMIF(куб!$B:$B,$B1227,куб!I:I),IF($G1227&lt;&gt;0,SUMIF(куб!$A:$A,$G1227,куб!I:I),SUMIF(куб!$A:$A,$G1227,куб!I:I)))))))</f>
        <v>0</v>
      </c>
      <c r="J1227" s="19" t="str">
        <f t="shared" si="381"/>
        <v>-</v>
      </c>
      <c r="K1227" s="8"/>
      <c r="L1227" s="17">
        <f t="shared" si="382"/>
        <v>0</v>
      </c>
      <c r="M1227" s="17">
        <f t="shared" si="383"/>
        <v>0</v>
      </c>
      <c r="N1227" s="12">
        <f t="shared" si="384"/>
        <v>0</v>
      </c>
      <c r="O1227" s="5"/>
      <c r="P1227" s="27" t="b">
        <f>IF($G1227&lt;&gt;0,SUMIF(куб!$G:$G,$G1227,куб!J:J),IF($E1227&lt;&gt;0,SUMIF(куб!$E:$E,$E1227,куб!J:J),IF($D1227&lt;&gt;0,SUMIF(куб!$D:$D,$D1227,куб!J:J),IF($C1227&lt;&gt;0,SUMIF(куб!$C:$C,$C1227,куб!J:J),IF($B1227&lt;&gt;0,SUMIF(куб!$B:$B,$B1227,куб!J:J))))))</f>
        <v>0</v>
      </c>
      <c r="Q1227" s="27" t="b">
        <f>IF($G1227&lt;&gt;0,SUMIF(куб!$G:$G,$G1227,куб!K:K),IF($E1227&lt;&gt;0,SUMIF(куб!$E:$E,$E1227,куб!K:K),IF($D1227&lt;&gt;0,SUMIF(куб!$D:$D,$D1227,куб!K:K),IF($C1227&lt;&gt;0,SUMIF(куб!$C:$C,$C1227,куб!K:K),IF($B1227&lt;&gt;0,SUMIF(куб!$B:$B,$B1227,куб!K:K))))))</f>
        <v>0</v>
      </c>
      <c r="R1227" s="13" t="str">
        <f t="shared" si="385"/>
        <v>-</v>
      </c>
      <c r="S1227" s="5"/>
      <c r="T1227" s="27" t="b">
        <f>IF($G1227&lt;&gt;0,SUMIF(куб!$G:$G,$G1227,куб!L:L),IF($E1227&lt;&gt;0,SUMIF(куб!$E:$E,$E1227,куб!L:L),IF($D1227&lt;&gt;0,SUMIF(куб!$D:$D,$D1227,куб!L:L),IF($C1227&lt;&gt;0,SUMIF(куб!$C:$C,$C1227,куб!L:L),IF($B1227&lt;&gt;0,SUMIF(куб!$B:$B,$B1227,куб!L:L))))))</f>
        <v>0</v>
      </c>
      <c r="U1227" s="27" t="b">
        <f>IF($G1227&lt;&gt;0,SUMIF(куб!$G:$G,$G1227,куб!M:M),IF($E1227&lt;&gt;0,SUMIF(куб!$E:$E,$E1227,куб!M:M),IF($D1227&lt;&gt;0,SUMIF(куб!$D:$D,$D1227,куб!M:M),IF($C1227&lt;&gt;0,SUMIF(куб!$C:$C,$C1227,куб!M:M),IF($B1227&lt;&gt;0,SUMIF(куб!$B:$B,$B1227,куб!M:M))))))</f>
        <v>0</v>
      </c>
      <c r="V1227" s="13" t="str">
        <f t="shared" si="386"/>
        <v>-</v>
      </c>
      <c r="W1227" s="5"/>
      <c r="X1227" s="27" t="b">
        <f>IF($G1227&lt;&gt;0,SUMIF(куб!$G:$G,$G1227,куб!N:N),IF($E1227&lt;&gt;0,SUMIF(куб!$E:$E,$E1227,куб!N:N),IF($D1227&lt;&gt;0,SUMIF(куб!$D:$D,$D1227,куб!N:N),IF($C1227&lt;&gt;0,SUMIF(куб!$C:$C,$C1227,куб!N:N),IF($B1227&lt;&gt;0,SUMIF(куб!$B:$B,$B1227,куб!N:N))))))</f>
        <v>0</v>
      </c>
      <c r="Y1227" s="27" t="b">
        <f>IF($G1227&lt;&gt;0,SUMIF(куб!$G:$G,$G1227,куб!O:O),IF($E1227&lt;&gt;0,SUMIF(куб!$E:$E,$E1227,куб!O:O),IF($D1227&lt;&gt;0,SUMIF(куб!$D:$D,$D1227,куб!O:O),IF($C1227&lt;&gt;0,SUMIF(куб!$C:$C,$C1227,куб!O:O),IF($B1227&lt;&gt;0,SUMIF(куб!$B:$B,$B1227,куб!O:O))))))</f>
        <v>0</v>
      </c>
      <c r="Z1227" s="13" t="str">
        <f t="shared" si="387"/>
        <v>-</v>
      </c>
      <c r="AA1227" s="5"/>
      <c r="AB1227" s="33" t="str">
        <f t="shared" si="388"/>
        <v/>
      </c>
      <c r="AC1227" s="33" t="str">
        <f t="shared" si="389"/>
        <v/>
      </c>
      <c r="AD1227" s="15" t="str">
        <f t="shared" si="390"/>
        <v xml:space="preserve"> </v>
      </c>
      <c r="AE1227" s="5"/>
      <c r="AF1227" s="27" t="b">
        <f>IF($G1227&lt;&gt;0,SUMIF(куб!$G:$G,$G1227,куб!R:R),IF($E1227&lt;&gt;0,SUMIF(куб!$E:$E,$E1227,куб!R:R),IF($D1227&lt;&gt;0,SUMIF(куб!$D:$D,$D1227,куб!R:R),IF($C1227&lt;&gt;0,SUMIF(куб!$C:$C,$C1227,куб!R:R),IF($B1227&lt;&gt;0,SUMIF(куб!$B:$B,$B1227,куб!R:R))))))</f>
        <v>0</v>
      </c>
      <c r="AG1227" s="27" t="b">
        <f>IF($G1227&lt;&gt;0,SUMIF(куб!$G:$G,$G1227,куб!S:S),IF($E1227&lt;&gt;0,SUMIF(куб!$E:$E,$E1227,куб!S:S),IF($D1227&lt;&gt;0,SUMIF(куб!$D:$D,$D1227,куб!S:S),IF($C1227&lt;&gt;0,SUMIF(куб!$C:$C,$C1227,куб!S:S),IF($B1227&lt;&gt;0,SUMIF(куб!$B:$B,$B1227,куб!S:S))))))</f>
        <v>0</v>
      </c>
      <c r="AH1227" s="16" t="str">
        <f t="shared" si="391"/>
        <v>-</v>
      </c>
      <c r="AI1227" s="8"/>
      <c r="AJ1227" s="27" t="b">
        <f>IF($G1227&lt;&gt;0,SUMIF(куб!$G:$G,$G1227,куб!T:T),IF($E1227&lt;&gt;0,SUMIF(куб!$E:$E,$E1227,куб!T:T),IF($D1227&lt;&gt;0,SUMIF(куб!$D:$D,$D1227,куб!T:T),IF($C1227&lt;&gt;0,SUMIF(куб!$C:$C,$C1227,куб!T:T),IF($B1227&lt;&gt;0,SUMIF(куб!$B:$B,$B1227,куб!T:T))))))</f>
        <v>0</v>
      </c>
      <c r="AK1227" s="27" t="b">
        <f>IF($G1227&lt;&gt;0,SUMIF(куб!$G:$G,$G1227,куб!U:U),IF($E1227&lt;&gt;0,SUMIF(куб!$E:$E,$E1227,куб!U:U),IF($D1227&lt;&gt;0,SUMIF(куб!$D:$D,$D1227,куб!U:U),IF($C1227&lt;&gt;0,SUMIF(куб!$C:$C,$C1227,куб!U:U),IF($B1227&lt;&gt;0,SUMIF(куб!$B:$B,$B1227,куб!U:U))))))</f>
        <v>0</v>
      </c>
      <c r="AL1227" s="16" t="str">
        <f t="shared" si="392"/>
        <v>-</v>
      </c>
      <c r="AM1227" s="8"/>
      <c r="AN1227" s="17" t="str">
        <f t="shared" si="393"/>
        <v xml:space="preserve"> </v>
      </c>
      <c r="AO1227" s="17" t="str">
        <f t="shared" si="394"/>
        <v xml:space="preserve"> </v>
      </c>
      <c r="AP1227" s="16" t="str">
        <f t="shared" si="395"/>
        <v>-</v>
      </c>
      <c r="AQ1227" s="8"/>
      <c r="AR1227" s="17" t="str">
        <f t="shared" si="396"/>
        <v>-</v>
      </c>
      <c r="AS1227" s="17" t="str">
        <f t="shared" si="397"/>
        <v>-</v>
      </c>
      <c r="AT1227" s="13" t="str">
        <f t="shared" si="398"/>
        <v>-</v>
      </c>
      <c r="AU1227" s="8"/>
    </row>
    <row r="1228" spans="8:47" x14ac:dyDescent="0.25">
      <c r="H1228" s="27">
        <f>IF($G1228&lt;&gt;0,SUMIF(куб!$G:$G,$G1228,куб!H:H),IF($E1228&lt;&gt;0,SUMIF(куб!$E:$E,$E1228,куб!H:H),IF($D1228&lt;&gt;0,SUMIF(куб!$D:$D,$D1228,куб!H:H),IF($C1228&lt;&gt;0,SUMIF(куб!$C:$C,$C1228,куб!H:H),IF($B1228&lt;&gt;0,SUMIF(куб!$B:$B,$B1228,куб!H:H),IF($G1228&lt;&gt;0,SUMIF(куб!$A:$A,$G1228,куб!H:H),SUMIF(куб!$A:$A,$G1228,куб!H:H)))))))</f>
        <v>0</v>
      </c>
      <c r="I1228" s="27">
        <f>IF($G1228&lt;&gt;0,SUMIF(куб!$G:$G,$G1228,куб!I:I),IF($E1228&lt;&gt;0,SUMIF(куб!$E:$E,$E1228,куб!I:I),IF($D1228&lt;&gt;0,SUMIF(куб!$D:$D,$D1228,куб!I:I),IF($C1228&lt;&gt;0,SUMIF(куб!$C:$C,$C1228,куб!I:I),IF($B1228&lt;&gt;0,SUMIF(куб!$B:$B,$B1228,куб!I:I),IF($G1228&lt;&gt;0,SUMIF(куб!$A:$A,$G1228,куб!I:I),SUMIF(куб!$A:$A,$G1228,куб!I:I)))))))</f>
        <v>0</v>
      </c>
      <c r="J1228" s="19" t="str">
        <f t="shared" si="381"/>
        <v>-</v>
      </c>
      <c r="K1228" s="8"/>
      <c r="L1228" s="17">
        <f t="shared" si="382"/>
        <v>0</v>
      </c>
      <c r="M1228" s="17">
        <f t="shared" si="383"/>
        <v>0</v>
      </c>
      <c r="N1228" s="12">
        <f t="shared" si="384"/>
        <v>0</v>
      </c>
      <c r="O1228" s="5"/>
      <c r="P1228" s="27" t="b">
        <f>IF($G1228&lt;&gt;0,SUMIF(куб!$G:$G,$G1228,куб!J:J),IF($E1228&lt;&gt;0,SUMIF(куб!$E:$E,$E1228,куб!J:J),IF($D1228&lt;&gt;0,SUMIF(куб!$D:$D,$D1228,куб!J:J),IF($C1228&lt;&gt;0,SUMIF(куб!$C:$C,$C1228,куб!J:J),IF($B1228&lt;&gt;0,SUMIF(куб!$B:$B,$B1228,куб!J:J))))))</f>
        <v>0</v>
      </c>
      <c r="Q1228" s="27" t="b">
        <f>IF($G1228&lt;&gt;0,SUMIF(куб!$G:$G,$G1228,куб!K:K),IF($E1228&lt;&gt;0,SUMIF(куб!$E:$E,$E1228,куб!K:K),IF($D1228&lt;&gt;0,SUMIF(куб!$D:$D,$D1228,куб!K:K),IF($C1228&lt;&gt;0,SUMIF(куб!$C:$C,$C1228,куб!K:K),IF($B1228&lt;&gt;0,SUMIF(куб!$B:$B,$B1228,куб!K:K))))))</f>
        <v>0</v>
      </c>
      <c r="R1228" s="13" t="str">
        <f t="shared" si="385"/>
        <v>-</v>
      </c>
      <c r="S1228" s="5"/>
      <c r="T1228" s="27" t="b">
        <f>IF($G1228&lt;&gt;0,SUMIF(куб!$G:$G,$G1228,куб!L:L),IF($E1228&lt;&gt;0,SUMIF(куб!$E:$E,$E1228,куб!L:L),IF($D1228&lt;&gt;0,SUMIF(куб!$D:$D,$D1228,куб!L:L),IF($C1228&lt;&gt;0,SUMIF(куб!$C:$C,$C1228,куб!L:L),IF($B1228&lt;&gt;0,SUMIF(куб!$B:$B,$B1228,куб!L:L))))))</f>
        <v>0</v>
      </c>
      <c r="U1228" s="27" t="b">
        <f>IF($G1228&lt;&gt;0,SUMIF(куб!$G:$G,$G1228,куб!M:M),IF($E1228&lt;&gt;0,SUMIF(куб!$E:$E,$E1228,куб!M:M),IF($D1228&lt;&gt;0,SUMIF(куб!$D:$D,$D1228,куб!M:M),IF($C1228&lt;&gt;0,SUMIF(куб!$C:$C,$C1228,куб!M:M),IF($B1228&lt;&gt;0,SUMIF(куб!$B:$B,$B1228,куб!M:M))))))</f>
        <v>0</v>
      </c>
      <c r="V1228" s="13" t="str">
        <f t="shared" si="386"/>
        <v>-</v>
      </c>
      <c r="W1228" s="5"/>
      <c r="X1228" s="27" t="b">
        <f>IF($G1228&lt;&gt;0,SUMIF(куб!$G:$G,$G1228,куб!N:N),IF($E1228&lt;&gt;0,SUMIF(куб!$E:$E,$E1228,куб!N:N),IF($D1228&lt;&gt;0,SUMIF(куб!$D:$D,$D1228,куб!N:N),IF($C1228&lt;&gt;0,SUMIF(куб!$C:$C,$C1228,куб!N:N),IF($B1228&lt;&gt;0,SUMIF(куб!$B:$B,$B1228,куб!N:N))))))</f>
        <v>0</v>
      </c>
      <c r="Y1228" s="27" t="b">
        <f>IF($G1228&lt;&gt;0,SUMIF(куб!$G:$G,$G1228,куб!O:O),IF($E1228&lt;&gt;0,SUMIF(куб!$E:$E,$E1228,куб!O:O),IF($D1228&lt;&gt;0,SUMIF(куб!$D:$D,$D1228,куб!O:O),IF($C1228&lt;&gt;0,SUMIF(куб!$C:$C,$C1228,куб!O:O),IF($B1228&lt;&gt;0,SUMIF(куб!$B:$B,$B1228,куб!O:O))))))</f>
        <v>0</v>
      </c>
      <c r="Z1228" s="13" t="str">
        <f t="shared" si="387"/>
        <v>-</v>
      </c>
      <c r="AA1228" s="5"/>
      <c r="AB1228" s="33" t="str">
        <f t="shared" si="388"/>
        <v/>
      </c>
      <c r="AC1228" s="33" t="str">
        <f t="shared" si="389"/>
        <v/>
      </c>
      <c r="AD1228" s="15" t="str">
        <f t="shared" si="390"/>
        <v xml:space="preserve"> </v>
      </c>
      <c r="AE1228" s="5"/>
      <c r="AF1228" s="27" t="b">
        <f>IF($G1228&lt;&gt;0,SUMIF(куб!$G:$G,$G1228,куб!R:R),IF($E1228&lt;&gt;0,SUMIF(куб!$E:$E,$E1228,куб!R:R),IF($D1228&lt;&gt;0,SUMIF(куб!$D:$D,$D1228,куб!R:R),IF($C1228&lt;&gt;0,SUMIF(куб!$C:$C,$C1228,куб!R:R),IF($B1228&lt;&gt;0,SUMIF(куб!$B:$B,$B1228,куб!R:R))))))</f>
        <v>0</v>
      </c>
      <c r="AG1228" s="27" t="b">
        <f>IF($G1228&lt;&gt;0,SUMIF(куб!$G:$G,$G1228,куб!S:S),IF($E1228&lt;&gt;0,SUMIF(куб!$E:$E,$E1228,куб!S:S),IF($D1228&lt;&gt;0,SUMIF(куб!$D:$D,$D1228,куб!S:S),IF($C1228&lt;&gt;0,SUMIF(куб!$C:$C,$C1228,куб!S:S),IF($B1228&lt;&gt;0,SUMIF(куб!$B:$B,$B1228,куб!S:S))))))</f>
        <v>0</v>
      </c>
      <c r="AH1228" s="16" t="str">
        <f t="shared" si="391"/>
        <v>-</v>
      </c>
      <c r="AI1228" s="8"/>
      <c r="AJ1228" s="27" t="b">
        <f>IF($G1228&lt;&gt;0,SUMIF(куб!$G:$G,$G1228,куб!T:T),IF($E1228&lt;&gt;0,SUMIF(куб!$E:$E,$E1228,куб!T:T),IF($D1228&lt;&gt;0,SUMIF(куб!$D:$D,$D1228,куб!T:T),IF($C1228&lt;&gt;0,SUMIF(куб!$C:$C,$C1228,куб!T:T),IF($B1228&lt;&gt;0,SUMIF(куб!$B:$B,$B1228,куб!T:T))))))</f>
        <v>0</v>
      </c>
      <c r="AK1228" s="27" t="b">
        <f>IF($G1228&lt;&gt;0,SUMIF(куб!$G:$G,$G1228,куб!U:U),IF($E1228&lt;&gt;0,SUMIF(куб!$E:$E,$E1228,куб!U:U),IF($D1228&lt;&gt;0,SUMIF(куб!$D:$D,$D1228,куб!U:U),IF($C1228&lt;&gt;0,SUMIF(куб!$C:$C,$C1228,куб!U:U),IF($B1228&lt;&gt;0,SUMIF(куб!$B:$B,$B1228,куб!U:U))))))</f>
        <v>0</v>
      </c>
      <c r="AL1228" s="16" t="str">
        <f t="shared" si="392"/>
        <v>-</v>
      </c>
      <c r="AM1228" s="8"/>
      <c r="AN1228" s="17" t="str">
        <f t="shared" si="393"/>
        <v xml:space="preserve"> </v>
      </c>
      <c r="AO1228" s="17" t="str">
        <f t="shared" si="394"/>
        <v xml:space="preserve"> </v>
      </c>
      <c r="AP1228" s="16" t="str">
        <f t="shared" si="395"/>
        <v>-</v>
      </c>
      <c r="AQ1228" s="8"/>
      <c r="AR1228" s="17" t="str">
        <f t="shared" si="396"/>
        <v>-</v>
      </c>
      <c r="AS1228" s="17" t="str">
        <f t="shared" si="397"/>
        <v>-</v>
      </c>
      <c r="AT1228" s="13" t="str">
        <f t="shared" si="398"/>
        <v>-</v>
      </c>
      <c r="AU1228" s="8"/>
    </row>
    <row r="1229" spans="8:47" x14ac:dyDescent="0.25">
      <c r="H1229" s="27">
        <f>IF($G1229&lt;&gt;0,SUMIF(куб!$G:$G,$G1229,куб!H:H),IF($E1229&lt;&gt;0,SUMIF(куб!$E:$E,$E1229,куб!H:H),IF($D1229&lt;&gt;0,SUMIF(куб!$D:$D,$D1229,куб!H:H),IF($C1229&lt;&gt;0,SUMIF(куб!$C:$C,$C1229,куб!H:H),IF($B1229&lt;&gt;0,SUMIF(куб!$B:$B,$B1229,куб!H:H),IF($G1229&lt;&gt;0,SUMIF(куб!$A:$A,$G1229,куб!H:H),SUMIF(куб!$A:$A,$G1229,куб!H:H)))))))</f>
        <v>0</v>
      </c>
      <c r="I1229" s="27">
        <f>IF($G1229&lt;&gt;0,SUMIF(куб!$G:$G,$G1229,куб!I:I),IF($E1229&lt;&gt;0,SUMIF(куб!$E:$E,$E1229,куб!I:I),IF($D1229&lt;&gt;0,SUMIF(куб!$D:$D,$D1229,куб!I:I),IF($C1229&lt;&gt;0,SUMIF(куб!$C:$C,$C1229,куб!I:I),IF($B1229&lt;&gt;0,SUMIF(куб!$B:$B,$B1229,куб!I:I),IF($G1229&lt;&gt;0,SUMIF(куб!$A:$A,$G1229,куб!I:I),SUMIF(куб!$A:$A,$G1229,куб!I:I)))))))</f>
        <v>0</v>
      </c>
      <c r="J1229" s="19" t="str">
        <f t="shared" si="381"/>
        <v>-</v>
      </c>
      <c r="K1229" s="8"/>
      <c r="L1229" s="17">
        <f t="shared" si="382"/>
        <v>0</v>
      </c>
      <c r="M1229" s="17">
        <f t="shared" si="383"/>
        <v>0</v>
      </c>
      <c r="N1229" s="12">
        <f t="shared" si="384"/>
        <v>0</v>
      </c>
      <c r="O1229" s="5"/>
      <c r="P1229" s="27" t="b">
        <f>IF($G1229&lt;&gt;0,SUMIF(куб!$G:$G,$G1229,куб!J:J),IF($E1229&lt;&gt;0,SUMIF(куб!$E:$E,$E1229,куб!J:J),IF($D1229&lt;&gt;0,SUMIF(куб!$D:$D,$D1229,куб!J:J),IF($C1229&lt;&gt;0,SUMIF(куб!$C:$C,$C1229,куб!J:J),IF($B1229&lt;&gt;0,SUMIF(куб!$B:$B,$B1229,куб!J:J))))))</f>
        <v>0</v>
      </c>
      <c r="Q1229" s="27" t="b">
        <f>IF($G1229&lt;&gt;0,SUMIF(куб!$G:$G,$G1229,куб!K:K),IF($E1229&lt;&gt;0,SUMIF(куб!$E:$E,$E1229,куб!K:K),IF($D1229&lt;&gt;0,SUMIF(куб!$D:$D,$D1229,куб!K:K),IF($C1229&lt;&gt;0,SUMIF(куб!$C:$C,$C1229,куб!K:K),IF($B1229&lt;&gt;0,SUMIF(куб!$B:$B,$B1229,куб!K:K))))))</f>
        <v>0</v>
      </c>
      <c r="R1229" s="13" t="str">
        <f t="shared" si="385"/>
        <v>-</v>
      </c>
      <c r="S1229" s="5"/>
      <c r="T1229" s="27" t="b">
        <f>IF($G1229&lt;&gt;0,SUMIF(куб!$G:$G,$G1229,куб!L:L),IF($E1229&lt;&gt;0,SUMIF(куб!$E:$E,$E1229,куб!L:L),IF($D1229&lt;&gt;0,SUMIF(куб!$D:$D,$D1229,куб!L:L),IF($C1229&lt;&gt;0,SUMIF(куб!$C:$C,$C1229,куб!L:L),IF($B1229&lt;&gt;0,SUMIF(куб!$B:$B,$B1229,куб!L:L))))))</f>
        <v>0</v>
      </c>
      <c r="U1229" s="27" t="b">
        <f>IF($G1229&lt;&gt;0,SUMIF(куб!$G:$G,$G1229,куб!M:M),IF($E1229&lt;&gt;0,SUMIF(куб!$E:$E,$E1229,куб!M:M),IF($D1229&lt;&gt;0,SUMIF(куб!$D:$D,$D1229,куб!M:M),IF($C1229&lt;&gt;0,SUMIF(куб!$C:$C,$C1229,куб!M:M),IF($B1229&lt;&gt;0,SUMIF(куб!$B:$B,$B1229,куб!M:M))))))</f>
        <v>0</v>
      </c>
      <c r="V1229" s="13" t="str">
        <f t="shared" si="386"/>
        <v>-</v>
      </c>
      <c r="W1229" s="5"/>
      <c r="X1229" s="27" t="b">
        <f>IF($G1229&lt;&gt;0,SUMIF(куб!$G:$G,$G1229,куб!N:N),IF($E1229&lt;&gt;0,SUMIF(куб!$E:$E,$E1229,куб!N:N),IF($D1229&lt;&gt;0,SUMIF(куб!$D:$D,$D1229,куб!N:N),IF($C1229&lt;&gt;0,SUMIF(куб!$C:$C,$C1229,куб!N:N),IF($B1229&lt;&gt;0,SUMIF(куб!$B:$B,$B1229,куб!N:N))))))</f>
        <v>0</v>
      </c>
      <c r="Y1229" s="27" t="b">
        <f>IF($G1229&lt;&gt;0,SUMIF(куб!$G:$G,$G1229,куб!O:O),IF($E1229&lt;&gt;0,SUMIF(куб!$E:$E,$E1229,куб!O:O),IF($D1229&lt;&gt;0,SUMIF(куб!$D:$D,$D1229,куб!O:O),IF($C1229&lt;&gt;0,SUMIF(куб!$C:$C,$C1229,куб!O:O),IF($B1229&lt;&gt;0,SUMIF(куб!$B:$B,$B1229,куб!O:O))))))</f>
        <v>0</v>
      </c>
      <c r="Z1229" s="13" t="str">
        <f t="shared" si="387"/>
        <v>-</v>
      </c>
      <c r="AA1229" s="5"/>
      <c r="AB1229" s="33" t="str">
        <f t="shared" si="388"/>
        <v/>
      </c>
      <c r="AC1229" s="33" t="str">
        <f t="shared" si="389"/>
        <v/>
      </c>
      <c r="AD1229" s="15" t="str">
        <f t="shared" si="390"/>
        <v xml:space="preserve"> </v>
      </c>
      <c r="AE1229" s="5"/>
      <c r="AF1229" s="27" t="b">
        <f>IF($G1229&lt;&gt;0,SUMIF(куб!$G:$G,$G1229,куб!R:R),IF($E1229&lt;&gt;0,SUMIF(куб!$E:$E,$E1229,куб!R:R),IF($D1229&lt;&gt;0,SUMIF(куб!$D:$D,$D1229,куб!R:R),IF($C1229&lt;&gt;0,SUMIF(куб!$C:$C,$C1229,куб!R:R),IF($B1229&lt;&gt;0,SUMIF(куб!$B:$B,$B1229,куб!R:R))))))</f>
        <v>0</v>
      </c>
      <c r="AG1229" s="27" t="b">
        <f>IF($G1229&lt;&gt;0,SUMIF(куб!$G:$G,$G1229,куб!S:S),IF($E1229&lt;&gt;0,SUMIF(куб!$E:$E,$E1229,куб!S:S),IF($D1229&lt;&gt;0,SUMIF(куб!$D:$D,$D1229,куб!S:S),IF($C1229&lt;&gt;0,SUMIF(куб!$C:$C,$C1229,куб!S:S),IF($B1229&lt;&gt;0,SUMIF(куб!$B:$B,$B1229,куб!S:S))))))</f>
        <v>0</v>
      </c>
      <c r="AH1229" s="16" t="str">
        <f t="shared" si="391"/>
        <v>-</v>
      </c>
      <c r="AI1229" s="8"/>
      <c r="AJ1229" s="27" t="b">
        <f>IF($G1229&lt;&gt;0,SUMIF(куб!$G:$G,$G1229,куб!T:T),IF($E1229&lt;&gt;0,SUMIF(куб!$E:$E,$E1229,куб!T:T),IF($D1229&lt;&gt;0,SUMIF(куб!$D:$D,$D1229,куб!T:T),IF($C1229&lt;&gt;0,SUMIF(куб!$C:$C,$C1229,куб!T:T),IF($B1229&lt;&gt;0,SUMIF(куб!$B:$B,$B1229,куб!T:T))))))</f>
        <v>0</v>
      </c>
      <c r="AK1229" s="27" t="b">
        <f>IF($G1229&lt;&gt;0,SUMIF(куб!$G:$G,$G1229,куб!U:U),IF($E1229&lt;&gt;0,SUMIF(куб!$E:$E,$E1229,куб!U:U),IF($D1229&lt;&gt;0,SUMIF(куб!$D:$D,$D1229,куб!U:U),IF($C1229&lt;&gt;0,SUMIF(куб!$C:$C,$C1229,куб!U:U),IF($B1229&lt;&gt;0,SUMIF(куб!$B:$B,$B1229,куб!U:U))))))</f>
        <v>0</v>
      </c>
      <c r="AL1229" s="16" t="str">
        <f t="shared" si="392"/>
        <v>-</v>
      </c>
      <c r="AM1229" s="8"/>
      <c r="AN1229" s="17" t="str">
        <f t="shared" si="393"/>
        <v xml:space="preserve"> </v>
      </c>
      <c r="AO1229" s="17" t="str">
        <f t="shared" si="394"/>
        <v xml:space="preserve"> </v>
      </c>
      <c r="AP1229" s="16" t="str">
        <f t="shared" si="395"/>
        <v>-</v>
      </c>
      <c r="AQ1229" s="8"/>
      <c r="AR1229" s="17" t="str">
        <f t="shared" si="396"/>
        <v>-</v>
      </c>
      <c r="AS1229" s="17" t="str">
        <f t="shared" si="397"/>
        <v>-</v>
      </c>
      <c r="AT1229" s="13" t="str">
        <f t="shared" si="398"/>
        <v>-</v>
      </c>
      <c r="AU1229" s="8"/>
    </row>
    <row r="1230" spans="8:47" x14ac:dyDescent="0.25">
      <c r="H1230" s="27">
        <f>IF($G1230&lt;&gt;0,SUMIF(куб!$G:$G,$G1230,куб!H:H),IF($E1230&lt;&gt;0,SUMIF(куб!$E:$E,$E1230,куб!H:H),IF($D1230&lt;&gt;0,SUMIF(куб!$D:$D,$D1230,куб!H:H),IF($C1230&lt;&gt;0,SUMIF(куб!$C:$C,$C1230,куб!H:H),IF($B1230&lt;&gt;0,SUMIF(куб!$B:$B,$B1230,куб!H:H),IF($G1230&lt;&gt;0,SUMIF(куб!$A:$A,$G1230,куб!H:H),SUMIF(куб!$A:$A,$G1230,куб!H:H)))))))</f>
        <v>0</v>
      </c>
      <c r="I1230" s="27">
        <f>IF($G1230&lt;&gt;0,SUMIF(куб!$G:$G,$G1230,куб!I:I),IF($E1230&lt;&gt;0,SUMIF(куб!$E:$E,$E1230,куб!I:I),IF($D1230&lt;&gt;0,SUMIF(куб!$D:$D,$D1230,куб!I:I),IF($C1230&lt;&gt;0,SUMIF(куб!$C:$C,$C1230,куб!I:I),IF($B1230&lt;&gt;0,SUMIF(куб!$B:$B,$B1230,куб!I:I),IF($G1230&lt;&gt;0,SUMIF(куб!$A:$A,$G1230,куб!I:I),SUMIF(куб!$A:$A,$G1230,куб!I:I)))))))</f>
        <v>0</v>
      </c>
      <c r="J1230" s="19" t="str">
        <f t="shared" si="381"/>
        <v>-</v>
      </c>
      <c r="K1230" s="8"/>
      <c r="L1230" s="17">
        <f t="shared" si="382"/>
        <v>0</v>
      </c>
      <c r="M1230" s="17">
        <f t="shared" si="383"/>
        <v>0</v>
      </c>
      <c r="N1230" s="12">
        <f t="shared" si="384"/>
        <v>0</v>
      </c>
      <c r="O1230" s="5"/>
      <c r="P1230" s="27" t="b">
        <f>IF($G1230&lt;&gt;0,SUMIF(куб!$G:$G,$G1230,куб!J:J),IF($E1230&lt;&gt;0,SUMIF(куб!$E:$E,$E1230,куб!J:J),IF($D1230&lt;&gt;0,SUMIF(куб!$D:$D,$D1230,куб!J:J),IF($C1230&lt;&gt;0,SUMIF(куб!$C:$C,$C1230,куб!J:J),IF($B1230&lt;&gt;0,SUMIF(куб!$B:$B,$B1230,куб!J:J))))))</f>
        <v>0</v>
      </c>
      <c r="Q1230" s="27" t="b">
        <f>IF($G1230&lt;&gt;0,SUMIF(куб!$G:$G,$G1230,куб!K:K),IF($E1230&lt;&gt;0,SUMIF(куб!$E:$E,$E1230,куб!K:K),IF($D1230&lt;&gt;0,SUMIF(куб!$D:$D,$D1230,куб!K:K),IF($C1230&lt;&gt;0,SUMIF(куб!$C:$C,$C1230,куб!K:K),IF($B1230&lt;&gt;0,SUMIF(куб!$B:$B,$B1230,куб!K:K))))))</f>
        <v>0</v>
      </c>
      <c r="R1230" s="13" t="str">
        <f t="shared" si="385"/>
        <v>-</v>
      </c>
      <c r="S1230" s="5"/>
      <c r="T1230" s="27" t="b">
        <f>IF($G1230&lt;&gt;0,SUMIF(куб!$G:$G,$G1230,куб!L:L),IF($E1230&lt;&gt;0,SUMIF(куб!$E:$E,$E1230,куб!L:L),IF($D1230&lt;&gt;0,SUMIF(куб!$D:$D,$D1230,куб!L:L),IF($C1230&lt;&gt;0,SUMIF(куб!$C:$C,$C1230,куб!L:L),IF($B1230&lt;&gt;0,SUMIF(куб!$B:$B,$B1230,куб!L:L))))))</f>
        <v>0</v>
      </c>
      <c r="U1230" s="27" t="b">
        <f>IF($G1230&lt;&gt;0,SUMIF(куб!$G:$G,$G1230,куб!M:M),IF($E1230&lt;&gt;0,SUMIF(куб!$E:$E,$E1230,куб!M:M),IF($D1230&lt;&gt;0,SUMIF(куб!$D:$D,$D1230,куб!M:M),IF($C1230&lt;&gt;0,SUMIF(куб!$C:$C,$C1230,куб!M:M),IF($B1230&lt;&gt;0,SUMIF(куб!$B:$B,$B1230,куб!M:M))))))</f>
        <v>0</v>
      </c>
      <c r="V1230" s="13" t="str">
        <f t="shared" si="386"/>
        <v>-</v>
      </c>
      <c r="W1230" s="5"/>
      <c r="X1230" s="27" t="b">
        <f>IF($G1230&lt;&gt;0,SUMIF(куб!$G:$G,$G1230,куб!N:N),IF($E1230&lt;&gt;0,SUMIF(куб!$E:$E,$E1230,куб!N:N),IF($D1230&lt;&gt;0,SUMIF(куб!$D:$D,$D1230,куб!N:N),IF($C1230&lt;&gt;0,SUMIF(куб!$C:$C,$C1230,куб!N:N),IF($B1230&lt;&gt;0,SUMIF(куб!$B:$B,$B1230,куб!N:N))))))</f>
        <v>0</v>
      </c>
      <c r="Y1230" s="27" t="b">
        <f>IF($G1230&lt;&gt;0,SUMIF(куб!$G:$G,$G1230,куб!O:O),IF($E1230&lt;&gt;0,SUMIF(куб!$E:$E,$E1230,куб!O:O),IF($D1230&lt;&gt;0,SUMIF(куб!$D:$D,$D1230,куб!O:O),IF($C1230&lt;&gt;0,SUMIF(куб!$C:$C,$C1230,куб!O:O),IF($B1230&lt;&gt;0,SUMIF(куб!$B:$B,$B1230,куб!O:O))))))</f>
        <v>0</v>
      </c>
      <c r="Z1230" s="13" t="str">
        <f t="shared" si="387"/>
        <v>-</v>
      </c>
      <c r="AA1230" s="5"/>
      <c r="AB1230" s="33" t="str">
        <f t="shared" si="388"/>
        <v/>
      </c>
      <c r="AC1230" s="33" t="str">
        <f t="shared" si="389"/>
        <v/>
      </c>
      <c r="AD1230" s="15" t="str">
        <f t="shared" si="390"/>
        <v xml:space="preserve"> </v>
      </c>
      <c r="AE1230" s="5"/>
      <c r="AF1230" s="27" t="b">
        <f>IF($G1230&lt;&gt;0,SUMIF(куб!$G:$G,$G1230,куб!R:R),IF($E1230&lt;&gt;0,SUMIF(куб!$E:$E,$E1230,куб!R:R),IF($D1230&lt;&gt;0,SUMIF(куб!$D:$D,$D1230,куб!R:R),IF($C1230&lt;&gt;0,SUMIF(куб!$C:$C,$C1230,куб!R:R),IF($B1230&lt;&gt;0,SUMIF(куб!$B:$B,$B1230,куб!R:R))))))</f>
        <v>0</v>
      </c>
      <c r="AG1230" s="27" t="b">
        <f>IF($G1230&lt;&gt;0,SUMIF(куб!$G:$G,$G1230,куб!S:S),IF($E1230&lt;&gt;0,SUMIF(куб!$E:$E,$E1230,куб!S:S),IF($D1230&lt;&gt;0,SUMIF(куб!$D:$D,$D1230,куб!S:S),IF($C1230&lt;&gt;0,SUMIF(куб!$C:$C,$C1230,куб!S:S),IF($B1230&lt;&gt;0,SUMIF(куб!$B:$B,$B1230,куб!S:S))))))</f>
        <v>0</v>
      </c>
      <c r="AH1230" s="16" t="str">
        <f t="shared" si="391"/>
        <v>-</v>
      </c>
      <c r="AI1230" s="8"/>
      <c r="AJ1230" s="27" t="b">
        <f>IF($G1230&lt;&gt;0,SUMIF(куб!$G:$G,$G1230,куб!T:T),IF($E1230&lt;&gt;0,SUMIF(куб!$E:$E,$E1230,куб!T:T),IF($D1230&lt;&gt;0,SUMIF(куб!$D:$D,$D1230,куб!T:T),IF($C1230&lt;&gt;0,SUMIF(куб!$C:$C,$C1230,куб!T:T),IF($B1230&lt;&gt;0,SUMIF(куб!$B:$B,$B1230,куб!T:T))))))</f>
        <v>0</v>
      </c>
      <c r="AK1230" s="27" t="b">
        <f>IF($G1230&lt;&gt;0,SUMIF(куб!$G:$G,$G1230,куб!U:U),IF($E1230&lt;&gt;0,SUMIF(куб!$E:$E,$E1230,куб!U:U),IF($D1230&lt;&gt;0,SUMIF(куб!$D:$D,$D1230,куб!U:U),IF($C1230&lt;&gt;0,SUMIF(куб!$C:$C,$C1230,куб!U:U),IF($B1230&lt;&gt;0,SUMIF(куб!$B:$B,$B1230,куб!U:U))))))</f>
        <v>0</v>
      </c>
      <c r="AL1230" s="16" t="str">
        <f t="shared" si="392"/>
        <v>-</v>
      </c>
      <c r="AM1230" s="8"/>
      <c r="AN1230" s="17" t="str">
        <f t="shared" si="393"/>
        <v xml:space="preserve"> </v>
      </c>
      <c r="AO1230" s="17" t="str">
        <f t="shared" si="394"/>
        <v xml:space="preserve"> </v>
      </c>
      <c r="AP1230" s="16" t="str">
        <f t="shared" si="395"/>
        <v>-</v>
      </c>
      <c r="AQ1230" s="8"/>
      <c r="AR1230" s="17" t="str">
        <f t="shared" si="396"/>
        <v>-</v>
      </c>
      <c r="AS1230" s="17" t="str">
        <f t="shared" si="397"/>
        <v>-</v>
      </c>
      <c r="AT1230" s="13" t="str">
        <f t="shared" si="398"/>
        <v>-</v>
      </c>
      <c r="AU1230" s="8"/>
    </row>
    <row r="1231" spans="8:47" x14ac:dyDescent="0.25">
      <c r="H1231" s="27">
        <f>IF($G1231&lt;&gt;0,SUMIF(куб!$G:$G,$G1231,куб!H:H),IF($E1231&lt;&gt;0,SUMIF(куб!$E:$E,$E1231,куб!H:H),IF($D1231&lt;&gt;0,SUMIF(куб!$D:$D,$D1231,куб!H:H),IF($C1231&lt;&gt;0,SUMIF(куб!$C:$C,$C1231,куб!H:H),IF($B1231&lt;&gt;0,SUMIF(куб!$B:$B,$B1231,куб!H:H),IF($G1231&lt;&gt;0,SUMIF(куб!$A:$A,$G1231,куб!H:H),SUMIF(куб!$A:$A,$G1231,куб!H:H)))))))</f>
        <v>0</v>
      </c>
      <c r="I1231" s="27">
        <f>IF($G1231&lt;&gt;0,SUMIF(куб!$G:$G,$G1231,куб!I:I),IF($E1231&lt;&gt;0,SUMIF(куб!$E:$E,$E1231,куб!I:I),IF($D1231&lt;&gt;0,SUMIF(куб!$D:$D,$D1231,куб!I:I),IF($C1231&lt;&gt;0,SUMIF(куб!$C:$C,$C1231,куб!I:I),IF($B1231&lt;&gt;0,SUMIF(куб!$B:$B,$B1231,куб!I:I),IF($G1231&lt;&gt;0,SUMIF(куб!$A:$A,$G1231,куб!I:I),SUMIF(куб!$A:$A,$G1231,куб!I:I)))))))</f>
        <v>0</v>
      </c>
      <c r="J1231" s="19" t="str">
        <f t="shared" si="381"/>
        <v>-</v>
      </c>
      <c r="K1231" s="8"/>
      <c r="L1231" s="17">
        <f t="shared" si="382"/>
        <v>0</v>
      </c>
      <c r="M1231" s="17">
        <f t="shared" si="383"/>
        <v>0</v>
      </c>
      <c r="N1231" s="12">
        <f t="shared" si="384"/>
        <v>0</v>
      </c>
      <c r="O1231" s="5"/>
      <c r="P1231" s="27" t="b">
        <f>IF($G1231&lt;&gt;0,SUMIF(куб!$G:$G,$G1231,куб!J:J),IF($E1231&lt;&gt;0,SUMIF(куб!$E:$E,$E1231,куб!J:J),IF($D1231&lt;&gt;0,SUMIF(куб!$D:$D,$D1231,куб!J:J),IF($C1231&lt;&gt;0,SUMIF(куб!$C:$C,$C1231,куб!J:J),IF($B1231&lt;&gt;0,SUMIF(куб!$B:$B,$B1231,куб!J:J))))))</f>
        <v>0</v>
      </c>
      <c r="Q1231" s="27" t="b">
        <f>IF($G1231&lt;&gt;0,SUMIF(куб!$G:$G,$G1231,куб!K:K),IF($E1231&lt;&gt;0,SUMIF(куб!$E:$E,$E1231,куб!K:K),IF($D1231&lt;&gt;0,SUMIF(куб!$D:$D,$D1231,куб!K:K),IF($C1231&lt;&gt;0,SUMIF(куб!$C:$C,$C1231,куб!K:K),IF($B1231&lt;&gt;0,SUMIF(куб!$B:$B,$B1231,куб!K:K))))))</f>
        <v>0</v>
      </c>
      <c r="R1231" s="13" t="str">
        <f t="shared" si="385"/>
        <v>-</v>
      </c>
      <c r="S1231" s="5"/>
      <c r="T1231" s="27" t="b">
        <f>IF($G1231&lt;&gt;0,SUMIF(куб!$G:$G,$G1231,куб!L:L),IF($E1231&lt;&gt;0,SUMIF(куб!$E:$E,$E1231,куб!L:L),IF($D1231&lt;&gt;0,SUMIF(куб!$D:$D,$D1231,куб!L:L),IF($C1231&lt;&gt;0,SUMIF(куб!$C:$C,$C1231,куб!L:L),IF($B1231&lt;&gt;0,SUMIF(куб!$B:$B,$B1231,куб!L:L))))))</f>
        <v>0</v>
      </c>
      <c r="U1231" s="27" t="b">
        <f>IF($G1231&lt;&gt;0,SUMIF(куб!$G:$G,$G1231,куб!M:M),IF($E1231&lt;&gt;0,SUMIF(куб!$E:$E,$E1231,куб!M:M),IF($D1231&lt;&gt;0,SUMIF(куб!$D:$D,$D1231,куб!M:M),IF($C1231&lt;&gt;0,SUMIF(куб!$C:$C,$C1231,куб!M:M),IF($B1231&lt;&gt;0,SUMIF(куб!$B:$B,$B1231,куб!M:M))))))</f>
        <v>0</v>
      </c>
      <c r="V1231" s="13" t="str">
        <f t="shared" si="386"/>
        <v>-</v>
      </c>
      <c r="W1231" s="5"/>
      <c r="X1231" s="27" t="b">
        <f>IF($G1231&lt;&gt;0,SUMIF(куб!$G:$G,$G1231,куб!N:N),IF($E1231&lt;&gt;0,SUMIF(куб!$E:$E,$E1231,куб!N:N),IF($D1231&lt;&gt;0,SUMIF(куб!$D:$D,$D1231,куб!N:N),IF($C1231&lt;&gt;0,SUMIF(куб!$C:$C,$C1231,куб!N:N),IF($B1231&lt;&gt;0,SUMIF(куб!$B:$B,$B1231,куб!N:N))))))</f>
        <v>0</v>
      </c>
      <c r="Y1231" s="27" t="b">
        <f>IF($G1231&lt;&gt;0,SUMIF(куб!$G:$G,$G1231,куб!O:O),IF($E1231&lt;&gt;0,SUMIF(куб!$E:$E,$E1231,куб!O:O),IF($D1231&lt;&gt;0,SUMIF(куб!$D:$D,$D1231,куб!O:O),IF($C1231&lt;&gt;0,SUMIF(куб!$C:$C,$C1231,куб!O:O),IF($B1231&lt;&gt;0,SUMIF(куб!$B:$B,$B1231,куб!O:O))))))</f>
        <v>0</v>
      </c>
      <c r="Z1231" s="13" t="str">
        <f t="shared" si="387"/>
        <v>-</v>
      </c>
      <c r="AA1231" s="5"/>
      <c r="AB1231" s="33" t="str">
        <f t="shared" si="388"/>
        <v/>
      </c>
      <c r="AC1231" s="33" t="str">
        <f t="shared" si="389"/>
        <v/>
      </c>
      <c r="AD1231" s="15" t="str">
        <f t="shared" si="390"/>
        <v xml:space="preserve"> </v>
      </c>
      <c r="AE1231" s="5"/>
      <c r="AF1231" s="27" t="b">
        <f>IF($G1231&lt;&gt;0,SUMIF(куб!$G:$G,$G1231,куб!R:R),IF($E1231&lt;&gt;0,SUMIF(куб!$E:$E,$E1231,куб!R:R),IF($D1231&lt;&gt;0,SUMIF(куб!$D:$D,$D1231,куб!R:R),IF($C1231&lt;&gt;0,SUMIF(куб!$C:$C,$C1231,куб!R:R),IF($B1231&lt;&gt;0,SUMIF(куб!$B:$B,$B1231,куб!R:R))))))</f>
        <v>0</v>
      </c>
      <c r="AG1231" s="27" t="b">
        <f>IF($G1231&lt;&gt;0,SUMIF(куб!$G:$G,$G1231,куб!S:S),IF($E1231&lt;&gt;0,SUMIF(куб!$E:$E,$E1231,куб!S:S),IF($D1231&lt;&gt;0,SUMIF(куб!$D:$D,$D1231,куб!S:S),IF($C1231&lt;&gt;0,SUMIF(куб!$C:$C,$C1231,куб!S:S),IF($B1231&lt;&gt;0,SUMIF(куб!$B:$B,$B1231,куб!S:S))))))</f>
        <v>0</v>
      </c>
      <c r="AH1231" s="16" t="str">
        <f t="shared" si="391"/>
        <v>-</v>
      </c>
      <c r="AI1231" s="8"/>
      <c r="AJ1231" s="27" t="b">
        <f>IF($G1231&lt;&gt;0,SUMIF(куб!$G:$G,$G1231,куб!T:T),IF($E1231&lt;&gt;0,SUMIF(куб!$E:$E,$E1231,куб!T:T),IF($D1231&lt;&gt;0,SUMIF(куб!$D:$D,$D1231,куб!T:T),IF($C1231&lt;&gt;0,SUMIF(куб!$C:$C,$C1231,куб!T:T),IF($B1231&lt;&gt;0,SUMIF(куб!$B:$B,$B1231,куб!T:T))))))</f>
        <v>0</v>
      </c>
      <c r="AK1231" s="27" t="b">
        <f>IF($G1231&lt;&gt;0,SUMIF(куб!$G:$G,$G1231,куб!U:U),IF($E1231&lt;&gt;0,SUMIF(куб!$E:$E,$E1231,куб!U:U),IF($D1231&lt;&gt;0,SUMIF(куб!$D:$D,$D1231,куб!U:U),IF($C1231&lt;&gt;0,SUMIF(куб!$C:$C,$C1231,куб!U:U),IF($B1231&lt;&gt;0,SUMIF(куб!$B:$B,$B1231,куб!U:U))))))</f>
        <v>0</v>
      </c>
      <c r="AL1231" s="16" t="str">
        <f t="shared" si="392"/>
        <v>-</v>
      </c>
      <c r="AM1231" s="8"/>
      <c r="AN1231" s="17" t="str">
        <f t="shared" si="393"/>
        <v xml:space="preserve"> </v>
      </c>
      <c r="AO1231" s="17" t="str">
        <f t="shared" si="394"/>
        <v xml:space="preserve"> </v>
      </c>
      <c r="AP1231" s="16" t="str">
        <f t="shared" si="395"/>
        <v>-</v>
      </c>
      <c r="AQ1231" s="8"/>
      <c r="AR1231" s="17" t="str">
        <f t="shared" si="396"/>
        <v>-</v>
      </c>
      <c r="AS1231" s="17" t="str">
        <f t="shared" si="397"/>
        <v>-</v>
      </c>
      <c r="AT1231" s="13" t="str">
        <f t="shared" si="398"/>
        <v>-</v>
      </c>
      <c r="AU1231" s="8"/>
    </row>
    <row r="1232" spans="8:47" x14ac:dyDescent="0.25">
      <c r="H1232" s="27">
        <f>IF($G1232&lt;&gt;0,SUMIF(куб!$G:$G,$G1232,куб!H:H),IF($E1232&lt;&gt;0,SUMIF(куб!$E:$E,$E1232,куб!H:H),IF($D1232&lt;&gt;0,SUMIF(куб!$D:$D,$D1232,куб!H:H),IF($C1232&lt;&gt;0,SUMIF(куб!$C:$C,$C1232,куб!H:H),IF($B1232&lt;&gt;0,SUMIF(куб!$B:$B,$B1232,куб!H:H),IF($G1232&lt;&gt;0,SUMIF(куб!$A:$A,$G1232,куб!H:H),SUMIF(куб!$A:$A,$G1232,куб!H:H)))))))</f>
        <v>0</v>
      </c>
      <c r="I1232" s="27">
        <f>IF($G1232&lt;&gt;0,SUMIF(куб!$G:$G,$G1232,куб!I:I),IF($E1232&lt;&gt;0,SUMIF(куб!$E:$E,$E1232,куб!I:I),IF($D1232&lt;&gt;0,SUMIF(куб!$D:$D,$D1232,куб!I:I),IF($C1232&lt;&gt;0,SUMIF(куб!$C:$C,$C1232,куб!I:I),IF($B1232&lt;&gt;0,SUMIF(куб!$B:$B,$B1232,куб!I:I),IF($G1232&lt;&gt;0,SUMIF(куб!$A:$A,$G1232,куб!I:I),SUMIF(куб!$A:$A,$G1232,куб!I:I)))))))</f>
        <v>0</v>
      </c>
      <c r="J1232" s="19" t="str">
        <f t="shared" si="381"/>
        <v>-</v>
      </c>
      <c r="K1232" s="8"/>
      <c r="L1232" s="17">
        <f t="shared" si="382"/>
        <v>0</v>
      </c>
      <c r="M1232" s="17">
        <f t="shared" si="383"/>
        <v>0</v>
      </c>
      <c r="N1232" s="12">
        <f t="shared" si="384"/>
        <v>0</v>
      </c>
      <c r="O1232" s="5"/>
      <c r="P1232" s="27" t="b">
        <f>IF($G1232&lt;&gt;0,SUMIF(куб!$G:$G,$G1232,куб!J:J),IF($E1232&lt;&gt;0,SUMIF(куб!$E:$E,$E1232,куб!J:J),IF($D1232&lt;&gt;0,SUMIF(куб!$D:$D,$D1232,куб!J:J),IF($C1232&lt;&gt;0,SUMIF(куб!$C:$C,$C1232,куб!J:J),IF($B1232&lt;&gt;0,SUMIF(куб!$B:$B,$B1232,куб!J:J))))))</f>
        <v>0</v>
      </c>
      <c r="Q1232" s="27" t="b">
        <f>IF($G1232&lt;&gt;0,SUMIF(куб!$G:$G,$G1232,куб!K:K),IF($E1232&lt;&gt;0,SUMIF(куб!$E:$E,$E1232,куб!K:K),IF($D1232&lt;&gt;0,SUMIF(куб!$D:$D,$D1232,куб!K:K),IF($C1232&lt;&gt;0,SUMIF(куб!$C:$C,$C1232,куб!K:K),IF($B1232&lt;&gt;0,SUMIF(куб!$B:$B,$B1232,куб!K:K))))))</f>
        <v>0</v>
      </c>
      <c r="R1232" s="13" t="str">
        <f t="shared" si="385"/>
        <v>-</v>
      </c>
      <c r="S1232" s="5"/>
      <c r="T1232" s="27" t="b">
        <f>IF($G1232&lt;&gt;0,SUMIF(куб!$G:$G,$G1232,куб!L:L),IF($E1232&lt;&gt;0,SUMIF(куб!$E:$E,$E1232,куб!L:L),IF($D1232&lt;&gt;0,SUMIF(куб!$D:$D,$D1232,куб!L:L),IF($C1232&lt;&gt;0,SUMIF(куб!$C:$C,$C1232,куб!L:L),IF($B1232&lt;&gt;0,SUMIF(куб!$B:$B,$B1232,куб!L:L))))))</f>
        <v>0</v>
      </c>
      <c r="U1232" s="27" t="b">
        <f>IF($G1232&lt;&gt;0,SUMIF(куб!$G:$G,$G1232,куб!M:M),IF($E1232&lt;&gt;0,SUMIF(куб!$E:$E,$E1232,куб!M:M),IF($D1232&lt;&gt;0,SUMIF(куб!$D:$D,$D1232,куб!M:M),IF($C1232&lt;&gt;0,SUMIF(куб!$C:$C,$C1232,куб!M:M),IF($B1232&lt;&gt;0,SUMIF(куб!$B:$B,$B1232,куб!M:M))))))</f>
        <v>0</v>
      </c>
      <c r="V1232" s="13" t="str">
        <f t="shared" si="386"/>
        <v>-</v>
      </c>
      <c r="W1232" s="5"/>
      <c r="X1232" s="27" t="b">
        <f>IF($G1232&lt;&gt;0,SUMIF(куб!$G:$G,$G1232,куб!N:N),IF($E1232&lt;&gt;0,SUMIF(куб!$E:$E,$E1232,куб!N:N),IF($D1232&lt;&gt;0,SUMIF(куб!$D:$D,$D1232,куб!N:N),IF($C1232&lt;&gt;0,SUMIF(куб!$C:$C,$C1232,куб!N:N),IF($B1232&lt;&gt;0,SUMIF(куб!$B:$B,$B1232,куб!N:N))))))</f>
        <v>0</v>
      </c>
      <c r="Y1232" s="27" t="b">
        <f>IF($G1232&lt;&gt;0,SUMIF(куб!$G:$G,$G1232,куб!O:O),IF($E1232&lt;&gt;0,SUMIF(куб!$E:$E,$E1232,куб!O:O),IF($D1232&lt;&gt;0,SUMIF(куб!$D:$D,$D1232,куб!O:O),IF($C1232&lt;&gt;0,SUMIF(куб!$C:$C,$C1232,куб!O:O),IF($B1232&lt;&gt;0,SUMIF(куб!$B:$B,$B1232,куб!O:O))))))</f>
        <v>0</v>
      </c>
      <c r="Z1232" s="13" t="str">
        <f t="shared" si="387"/>
        <v>-</v>
      </c>
      <c r="AA1232" s="5"/>
      <c r="AB1232" s="33" t="str">
        <f t="shared" si="388"/>
        <v/>
      </c>
      <c r="AC1232" s="33" t="str">
        <f t="shared" si="389"/>
        <v/>
      </c>
      <c r="AD1232" s="15" t="str">
        <f t="shared" si="390"/>
        <v xml:space="preserve"> </v>
      </c>
      <c r="AE1232" s="5"/>
      <c r="AF1232" s="27" t="b">
        <f>IF($G1232&lt;&gt;0,SUMIF(куб!$G:$G,$G1232,куб!R:R),IF($E1232&lt;&gt;0,SUMIF(куб!$E:$E,$E1232,куб!R:R),IF($D1232&lt;&gt;0,SUMIF(куб!$D:$D,$D1232,куб!R:R),IF($C1232&lt;&gt;0,SUMIF(куб!$C:$C,$C1232,куб!R:R),IF($B1232&lt;&gt;0,SUMIF(куб!$B:$B,$B1232,куб!R:R))))))</f>
        <v>0</v>
      </c>
      <c r="AG1232" s="27" t="b">
        <f>IF($G1232&lt;&gt;0,SUMIF(куб!$G:$G,$G1232,куб!S:S),IF($E1232&lt;&gt;0,SUMIF(куб!$E:$E,$E1232,куб!S:S),IF($D1232&lt;&gt;0,SUMIF(куб!$D:$D,$D1232,куб!S:S),IF($C1232&lt;&gt;0,SUMIF(куб!$C:$C,$C1232,куб!S:S),IF($B1232&lt;&gt;0,SUMIF(куб!$B:$B,$B1232,куб!S:S))))))</f>
        <v>0</v>
      </c>
      <c r="AH1232" s="16" t="str">
        <f t="shared" si="391"/>
        <v>-</v>
      </c>
      <c r="AI1232" s="8"/>
      <c r="AJ1232" s="27" t="b">
        <f>IF($G1232&lt;&gt;0,SUMIF(куб!$G:$G,$G1232,куб!T:T),IF($E1232&lt;&gt;0,SUMIF(куб!$E:$E,$E1232,куб!T:T),IF($D1232&lt;&gt;0,SUMIF(куб!$D:$D,$D1232,куб!T:T),IF($C1232&lt;&gt;0,SUMIF(куб!$C:$C,$C1232,куб!T:T),IF($B1232&lt;&gt;0,SUMIF(куб!$B:$B,$B1232,куб!T:T))))))</f>
        <v>0</v>
      </c>
      <c r="AK1232" s="27" t="b">
        <f>IF($G1232&lt;&gt;0,SUMIF(куб!$G:$G,$G1232,куб!U:U),IF($E1232&lt;&gt;0,SUMIF(куб!$E:$E,$E1232,куб!U:U),IF($D1232&lt;&gt;0,SUMIF(куб!$D:$D,$D1232,куб!U:U),IF($C1232&lt;&gt;0,SUMIF(куб!$C:$C,$C1232,куб!U:U),IF($B1232&lt;&gt;0,SUMIF(куб!$B:$B,$B1232,куб!U:U))))))</f>
        <v>0</v>
      </c>
      <c r="AL1232" s="16" t="str">
        <f t="shared" si="392"/>
        <v>-</v>
      </c>
      <c r="AM1232" s="8"/>
      <c r="AN1232" s="17" t="str">
        <f t="shared" si="393"/>
        <v xml:space="preserve"> </v>
      </c>
      <c r="AO1232" s="17" t="str">
        <f t="shared" si="394"/>
        <v xml:space="preserve"> </v>
      </c>
      <c r="AP1232" s="16" t="str">
        <f t="shared" si="395"/>
        <v>-</v>
      </c>
      <c r="AQ1232" s="8"/>
      <c r="AR1232" s="17" t="str">
        <f t="shared" si="396"/>
        <v>-</v>
      </c>
      <c r="AS1232" s="17" t="str">
        <f t="shared" si="397"/>
        <v>-</v>
      </c>
      <c r="AT1232" s="13" t="str">
        <f t="shared" si="398"/>
        <v>-</v>
      </c>
      <c r="AU1232" s="8"/>
    </row>
    <row r="1233" spans="8:47" x14ac:dyDescent="0.25">
      <c r="H1233" s="27">
        <f>IF($G1233&lt;&gt;0,SUMIF(куб!$G:$G,$G1233,куб!H:H),IF($E1233&lt;&gt;0,SUMIF(куб!$E:$E,$E1233,куб!H:H),IF($D1233&lt;&gt;0,SUMIF(куб!$D:$D,$D1233,куб!H:H),IF($C1233&lt;&gt;0,SUMIF(куб!$C:$C,$C1233,куб!H:H),IF($B1233&lt;&gt;0,SUMIF(куб!$B:$B,$B1233,куб!H:H),IF($G1233&lt;&gt;0,SUMIF(куб!$A:$A,$G1233,куб!H:H),SUMIF(куб!$A:$A,$G1233,куб!H:H)))))))</f>
        <v>0</v>
      </c>
      <c r="I1233" s="27">
        <f>IF($G1233&lt;&gt;0,SUMIF(куб!$G:$G,$G1233,куб!I:I),IF($E1233&lt;&gt;0,SUMIF(куб!$E:$E,$E1233,куб!I:I),IF($D1233&lt;&gt;0,SUMIF(куб!$D:$D,$D1233,куб!I:I),IF($C1233&lt;&gt;0,SUMIF(куб!$C:$C,$C1233,куб!I:I),IF($B1233&lt;&gt;0,SUMIF(куб!$B:$B,$B1233,куб!I:I),IF($G1233&lt;&gt;0,SUMIF(куб!$A:$A,$G1233,куб!I:I),SUMIF(куб!$A:$A,$G1233,куб!I:I)))))))</f>
        <v>0</v>
      </c>
      <c r="J1233" s="19" t="str">
        <f t="shared" si="381"/>
        <v>-</v>
      </c>
      <c r="K1233" s="8"/>
      <c r="L1233" s="17">
        <f t="shared" si="382"/>
        <v>0</v>
      </c>
      <c r="M1233" s="17">
        <f t="shared" si="383"/>
        <v>0</v>
      </c>
      <c r="N1233" s="12">
        <f t="shared" si="384"/>
        <v>0</v>
      </c>
      <c r="O1233" s="5"/>
      <c r="P1233" s="27" t="b">
        <f>IF($G1233&lt;&gt;0,SUMIF(куб!$G:$G,$G1233,куб!J:J),IF($E1233&lt;&gt;0,SUMIF(куб!$E:$E,$E1233,куб!J:J),IF($D1233&lt;&gt;0,SUMIF(куб!$D:$D,$D1233,куб!J:J),IF($C1233&lt;&gt;0,SUMIF(куб!$C:$C,$C1233,куб!J:J),IF($B1233&lt;&gt;0,SUMIF(куб!$B:$B,$B1233,куб!J:J))))))</f>
        <v>0</v>
      </c>
      <c r="Q1233" s="27" t="b">
        <f>IF($G1233&lt;&gt;0,SUMIF(куб!$G:$G,$G1233,куб!K:K),IF($E1233&lt;&gt;0,SUMIF(куб!$E:$E,$E1233,куб!K:K),IF($D1233&lt;&gt;0,SUMIF(куб!$D:$D,$D1233,куб!K:K),IF($C1233&lt;&gt;0,SUMIF(куб!$C:$C,$C1233,куб!K:K),IF($B1233&lt;&gt;0,SUMIF(куб!$B:$B,$B1233,куб!K:K))))))</f>
        <v>0</v>
      </c>
      <c r="R1233" s="13" t="str">
        <f t="shared" si="385"/>
        <v>-</v>
      </c>
      <c r="S1233" s="5"/>
      <c r="T1233" s="27" t="b">
        <f>IF($G1233&lt;&gt;0,SUMIF(куб!$G:$G,$G1233,куб!L:L),IF($E1233&lt;&gt;0,SUMIF(куб!$E:$E,$E1233,куб!L:L),IF($D1233&lt;&gt;0,SUMIF(куб!$D:$D,$D1233,куб!L:L),IF($C1233&lt;&gt;0,SUMIF(куб!$C:$C,$C1233,куб!L:L),IF($B1233&lt;&gt;0,SUMIF(куб!$B:$B,$B1233,куб!L:L))))))</f>
        <v>0</v>
      </c>
      <c r="U1233" s="27" t="b">
        <f>IF($G1233&lt;&gt;0,SUMIF(куб!$G:$G,$G1233,куб!M:M),IF($E1233&lt;&gt;0,SUMIF(куб!$E:$E,$E1233,куб!M:M),IF($D1233&lt;&gt;0,SUMIF(куб!$D:$D,$D1233,куб!M:M),IF($C1233&lt;&gt;0,SUMIF(куб!$C:$C,$C1233,куб!M:M),IF($B1233&lt;&gt;0,SUMIF(куб!$B:$B,$B1233,куб!M:M))))))</f>
        <v>0</v>
      </c>
      <c r="V1233" s="13" t="str">
        <f t="shared" si="386"/>
        <v>-</v>
      </c>
      <c r="W1233" s="5"/>
      <c r="X1233" s="27" t="b">
        <f>IF($G1233&lt;&gt;0,SUMIF(куб!$G:$G,$G1233,куб!N:N),IF($E1233&lt;&gt;0,SUMIF(куб!$E:$E,$E1233,куб!N:N),IF($D1233&lt;&gt;0,SUMIF(куб!$D:$D,$D1233,куб!N:N),IF($C1233&lt;&gt;0,SUMIF(куб!$C:$C,$C1233,куб!N:N),IF($B1233&lt;&gt;0,SUMIF(куб!$B:$B,$B1233,куб!N:N))))))</f>
        <v>0</v>
      </c>
      <c r="Y1233" s="27" t="b">
        <f>IF($G1233&lt;&gt;0,SUMIF(куб!$G:$G,$G1233,куб!O:O),IF($E1233&lt;&gt;0,SUMIF(куб!$E:$E,$E1233,куб!O:O),IF($D1233&lt;&gt;0,SUMIF(куб!$D:$D,$D1233,куб!O:O),IF($C1233&lt;&gt;0,SUMIF(куб!$C:$C,$C1233,куб!O:O),IF($B1233&lt;&gt;0,SUMIF(куб!$B:$B,$B1233,куб!O:O))))))</f>
        <v>0</v>
      </c>
      <c r="Z1233" s="13" t="str">
        <f t="shared" si="387"/>
        <v>-</v>
      </c>
      <c r="AA1233" s="5"/>
      <c r="AB1233" s="33" t="str">
        <f t="shared" si="388"/>
        <v/>
      </c>
      <c r="AC1233" s="33" t="str">
        <f t="shared" si="389"/>
        <v/>
      </c>
      <c r="AD1233" s="15" t="str">
        <f t="shared" si="390"/>
        <v xml:space="preserve"> </v>
      </c>
      <c r="AE1233" s="5"/>
      <c r="AF1233" s="27" t="b">
        <f>IF($G1233&lt;&gt;0,SUMIF(куб!$G:$G,$G1233,куб!R:R),IF($E1233&lt;&gt;0,SUMIF(куб!$E:$E,$E1233,куб!R:R),IF($D1233&lt;&gt;0,SUMIF(куб!$D:$D,$D1233,куб!R:R),IF($C1233&lt;&gt;0,SUMIF(куб!$C:$C,$C1233,куб!R:R),IF($B1233&lt;&gt;0,SUMIF(куб!$B:$B,$B1233,куб!R:R))))))</f>
        <v>0</v>
      </c>
      <c r="AG1233" s="27" t="b">
        <f>IF($G1233&lt;&gt;0,SUMIF(куб!$G:$G,$G1233,куб!S:S),IF($E1233&lt;&gt;0,SUMIF(куб!$E:$E,$E1233,куб!S:S),IF($D1233&lt;&gt;0,SUMIF(куб!$D:$D,$D1233,куб!S:S),IF($C1233&lt;&gt;0,SUMIF(куб!$C:$C,$C1233,куб!S:S),IF($B1233&lt;&gt;0,SUMIF(куб!$B:$B,$B1233,куб!S:S))))))</f>
        <v>0</v>
      </c>
      <c r="AH1233" s="16" t="str">
        <f t="shared" si="391"/>
        <v>-</v>
      </c>
      <c r="AI1233" s="8"/>
      <c r="AJ1233" s="27" t="b">
        <f>IF($G1233&lt;&gt;0,SUMIF(куб!$G:$G,$G1233,куб!T:T),IF($E1233&lt;&gt;0,SUMIF(куб!$E:$E,$E1233,куб!T:T),IF($D1233&lt;&gt;0,SUMIF(куб!$D:$D,$D1233,куб!T:T),IF($C1233&lt;&gt;0,SUMIF(куб!$C:$C,$C1233,куб!T:T),IF($B1233&lt;&gt;0,SUMIF(куб!$B:$B,$B1233,куб!T:T))))))</f>
        <v>0</v>
      </c>
      <c r="AK1233" s="27" t="b">
        <f>IF($G1233&lt;&gt;0,SUMIF(куб!$G:$G,$G1233,куб!U:U),IF($E1233&lt;&gt;0,SUMIF(куб!$E:$E,$E1233,куб!U:U),IF($D1233&lt;&gt;0,SUMIF(куб!$D:$D,$D1233,куб!U:U),IF($C1233&lt;&gt;0,SUMIF(куб!$C:$C,$C1233,куб!U:U),IF($B1233&lt;&gt;0,SUMIF(куб!$B:$B,$B1233,куб!U:U))))))</f>
        <v>0</v>
      </c>
      <c r="AL1233" s="16" t="str">
        <f t="shared" si="392"/>
        <v>-</v>
      </c>
      <c r="AM1233" s="8"/>
      <c r="AN1233" s="17" t="str">
        <f t="shared" si="393"/>
        <v xml:space="preserve"> </v>
      </c>
      <c r="AO1233" s="17" t="str">
        <f t="shared" si="394"/>
        <v xml:space="preserve"> </v>
      </c>
      <c r="AP1233" s="16" t="str">
        <f t="shared" si="395"/>
        <v>-</v>
      </c>
      <c r="AQ1233" s="8"/>
      <c r="AR1233" s="17" t="str">
        <f t="shared" si="396"/>
        <v>-</v>
      </c>
      <c r="AS1233" s="17" t="str">
        <f t="shared" si="397"/>
        <v>-</v>
      </c>
      <c r="AT1233" s="13" t="str">
        <f t="shared" si="398"/>
        <v>-</v>
      </c>
      <c r="AU1233" s="8"/>
    </row>
    <row r="1234" spans="8:47" x14ac:dyDescent="0.25">
      <c r="H1234" s="27">
        <f>IF($G1234&lt;&gt;0,SUMIF(куб!$G:$G,$G1234,куб!H:H),IF($E1234&lt;&gt;0,SUMIF(куб!$E:$E,$E1234,куб!H:H),IF($D1234&lt;&gt;0,SUMIF(куб!$D:$D,$D1234,куб!H:H),IF($C1234&lt;&gt;0,SUMIF(куб!$C:$C,$C1234,куб!H:H),IF($B1234&lt;&gt;0,SUMIF(куб!$B:$B,$B1234,куб!H:H),IF($G1234&lt;&gt;0,SUMIF(куб!$A:$A,$G1234,куб!H:H),SUMIF(куб!$A:$A,$G1234,куб!H:H)))))))</f>
        <v>0</v>
      </c>
      <c r="I1234" s="27">
        <f>IF($G1234&lt;&gt;0,SUMIF(куб!$G:$G,$G1234,куб!I:I),IF($E1234&lt;&gt;0,SUMIF(куб!$E:$E,$E1234,куб!I:I),IF($D1234&lt;&gt;0,SUMIF(куб!$D:$D,$D1234,куб!I:I),IF($C1234&lt;&gt;0,SUMIF(куб!$C:$C,$C1234,куб!I:I),IF($B1234&lt;&gt;0,SUMIF(куб!$B:$B,$B1234,куб!I:I),IF($G1234&lt;&gt;0,SUMIF(куб!$A:$A,$G1234,куб!I:I),SUMIF(куб!$A:$A,$G1234,куб!I:I)))))))</f>
        <v>0</v>
      </c>
      <c r="J1234" s="19" t="str">
        <f t="shared" si="381"/>
        <v>-</v>
      </c>
      <c r="K1234" s="8"/>
      <c r="L1234" s="17">
        <f t="shared" si="382"/>
        <v>0</v>
      </c>
      <c r="M1234" s="17">
        <f t="shared" si="383"/>
        <v>0</v>
      </c>
      <c r="N1234" s="12">
        <f t="shared" si="384"/>
        <v>0</v>
      </c>
      <c r="O1234" s="5"/>
      <c r="P1234" s="27" t="b">
        <f>IF($G1234&lt;&gt;0,SUMIF(куб!$G:$G,$G1234,куб!J:J),IF($E1234&lt;&gt;0,SUMIF(куб!$E:$E,$E1234,куб!J:J),IF($D1234&lt;&gt;0,SUMIF(куб!$D:$D,$D1234,куб!J:J),IF($C1234&lt;&gt;0,SUMIF(куб!$C:$C,$C1234,куб!J:J),IF($B1234&lt;&gt;0,SUMIF(куб!$B:$B,$B1234,куб!J:J))))))</f>
        <v>0</v>
      </c>
      <c r="Q1234" s="27" t="b">
        <f>IF($G1234&lt;&gt;0,SUMIF(куб!$G:$G,$G1234,куб!K:K),IF($E1234&lt;&gt;0,SUMIF(куб!$E:$E,$E1234,куб!K:K),IF($D1234&lt;&gt;0,SUMIF(куб!$D:$D,$D1234,куб!K:K),IF($C1234&lt;&gt;0,SUMIF(куб!$C:$C,$C1234,куб!K:K),IF($B1234&lt;&gt;0,SUMIF(куб!$B:$B,$B1234,куб!K:K))))))</f>
        <v>0</v>
      </c>
      <c r="R1234" s="13" t="str">
        <f t="shared" si="385"/>
        <v>-</v>
      </c>
      <c r="S1234" s="5"/>
      <c r="T1234" s="27" t="b">
        <f>IF($G1234&lt;&gt;0,SUMIF(куб!$G:$G,$G1234,куб!L:L),IF($E1234&lt;&gt;0,SUMIF(куб!$E:$E,$E1234,куб!L:L),IF($D1234&lt;&gt;0,SUMIF(куб!$D:$D,$D1234,куб!L:L),IF($C1234&lt;&gt;0,SUMIF(куб!$C:$C,$C1234,куб!L:L),IF($B1234&lt;&gt;0,SUMIF(куб!$B:$B,$B1234,куб!L:L))))))</f>
        <v>0</v>
      </c>
      <c r="U1234" s="27" t="b">
        <f>IF($G1234&lt;&gt;0,SUMIF(куб!$G:$G,$G1234,куб!M:M),IF($E1234&lt;&gt;0,SUMIF(куб!$E:$E,$E1234,куб!M:M),IF($D1234&lt;&gt;0,SUMIF(куб!$D:$D,$D1234,куб!M:M),IF($C1234&lt;&gt;0,SUMIF(куб!$C:$C,$C1234,куб!M:M),IF($B1234&lt;&gt;0,SUMIF(куб!$B:$B,$B1234,куб!M:M))))))</f>
        <v>0</v>
      </c>
      <c r="V1234" s="13" t="str">
        <f t="shared" si="386"/>
        <v>-</v>
      </c>
      <c r="W1234" s="5"/>
      <c r="X1234" s="27" t="b">
        <f>IF($G1234&lt;&gt;0,SUMIF(куб!$G:$G,$G1234,куб!N:N),IF($E1234&lt;&gt;0,SUMIF(куб!$E:$E,$E1234,куб!N:N),IF($D1234&lt;&gt;0,SUMIF(куб!$D:$D,$D1234,куб!N:N),IF($C1234&lt;&gt;0,SUMIF(куб!$C:$C,$C1234,куб!N:N),IF($B1234&lt;&gt;0,SUMIF(куб!$B:$B,$B1234,куб!N:N))))))</f>
        <v>0</v>
      </c>
      <c r="Y1234" s="27" t="b">
        <f>IF($G1234&lt;&gt;0,SUMIF(куб!$G:$G,$G1234,куб!O:O),IF($E1234&lt;&gt;0,SUMIF(куб!$E:$E,$E1234,куб!O:O),IF($D1234&lt;&gt;0,SUMIF(куб!$D:$D,$D1234,куб!O:O),IF($C1234&lt;&gt;0,SUMIF(куб!$C:$C,$C1234,куб!O:O),IF($B1234&lt;&gt;0,SUMIF(куб!$B:$B,$B1234,куб!O:O))))))</f>
        <v>0</v>
      </c>
      <c r="Z1234" s="13" t="str">
        <f t="shared" si="387"/>
        <v>-</v>
      </c>
      <c r="AA1234" s="5"/>
      <c r="AB1234" s="33" t="str">
        <f t="shared" si="388"/>
        <v/>
      </c>
      <c r="AC1234" s="33" t="str">
        <f t="shared" si="389"/>
        <v/>
      </c>
      <c r="AD1234" s="15" t="str">
        <f t="shared" si="390"/>
        <v xml:space="preserve"> </v>
      </c>
      <c r="AE1234" s="5"/>
      <c r="AF1234" s="27" t="b">
        <f>IF($G1234&lt;&gt;0,SUMIF(куб!$G:$G,$G1234,куб!R:R),IF($E1234&lt;&gt;0,SUMIF(куб!$E:$E,$E1234,куб!R:R),IF($D1234&lt;&gt;0,SUMIF(куб!$D:$D,$D1234,куб!R:R),IF($C1234&lt;&gt;0,SUMIF(куб!$C:$C,$C1234,куб!R:R),IF($B1234&lt;&gt;0,SUMIF(куб!$B:$B,$B1234,куб!R:R))))))</f>
        <v>0</v>
      </c>
      <c r="AG1234" s="27" t="b">
        <f>IF($G1234&lt;&gt;0,SUMIF(куб!$G:$G,$G1234,куб!S:S),IF($E1234&lt;&gt;0,SUMIF(куб!$E:$E,$E1234,куб!S:S),IF($D1234&lt;&gt;0,SUMIF(куб!$D:$D,$D1234,куб!S:S),IF($C1234&lt;&gt;0,SUMIF(куб!$C:$C,$C1234,куб!S:S),IF($B1234&lt;&gt;0,SUMIF(куб!$B:$B,$B1234,куб!S:S))))))</f>
        <v>0</v>
      </c>
      <c r="AH1234" s="16" t="str">
        <f t="shared" si="391"/>
        <v>-</v>
      </c>
      <c r="AI1234" s="8"/>
      <c r="AJ1234" s="27" t="b">
        <f>IF($G1234&lt;&gt;0,SUMIF(куб!$G:$G,$G1234,куб!T:T),IF($E1234&lt;&gt;0,SUMIF(куб!$E:$E,$E1234,куб!T:T),IF($D1234&lt;&gt;0,SUMIF(куб!$D:$D,$D1234,куб!T:T),IF($C1234&lt;&gt;0,SUMIF(куб!$C:$C,$C1234,куб!T:T),IF($B1234&lt;&gt;0,SUMIF(куб!$B:$B,$B1234,куб!T:T))))))</f>
        <v>0</v>
      </c>
      <c r="AK1234" s="27" t="b">
        <f>IF($G1234&lt;&gt;0,SUMIF(куб!$G:$G,$G1234,куб!U:U),IF($E1234&lt;&gt;0,SUMIF(куб!$E:$E,$E1234,куб!U:U),IF($D1234&lt;&gt;0,SUMIF(куб!$D:$D,$D1234,куб!U:U),IF($C1234&lt;&gt;0,SUMIF(куб!$C:$C,$C1234,куб!U:U),IF($B1234&lt;&gt;0,SUMIF(куб!$B:$B,$B1234,куб!U:U))))))</f>
        <v>0</v>
      </c>
      <c r="AL1234" s="16" t="str">
        <f t="shared" si="392"/>
        <v>-</v>
      </c>
      <c r="AM1234" s="8"/>
      <c r="AN1234" s="17" t="str">
        <f t="shared" si="393"/>
        <v xml:space="preserve"> </v>
      </c>
      <c r="AO1234" s="17" t="str">
        <f t="shared" si="394"/>
        <v xml:space="preserve"> </v>
      </c>
      <c r="AP1234" s="16" t="str">
        <f t="shared" si="395"/>
        <v>-</v>
      </c>
      <c r="AQ1234" s="8"/>
      <c r="AR1234" s="17" t="str">
        <f t="shared" si="396"/>
        <v>-</v>
      </c>
      <c r="AS1234" s="17" t="str">
        <f t="shared" si="397"/>
        <v>-</v>
      </c>
      <c r="AT1234" s="13" t="str">
        <f t="shared" si="398"/>
        <v>-</v>
      </c>
      <c r="AU1234" s="8"/>
    </row>
    <row r="1235" spans="8:47" x14ac:dyDescent="0.25">
      <c r="H1235" s="27">
        <f>IF($G1235&lt;&gt;0,SUMIF(куб!$G:$G,$G1235,куб!H:H),IF($E1235&lt;&gt;0,SUMIF(куб!$E:$E,$E1235,куб!H:H),IF($D1235&lt;&gt;0,SUMIF(куб!$D:$D,$D1235,куб!H:H),IF($C1235&lt;&gt;0,SUMIF(куб!$C:$C,$C1235,куб!H:H),IF($B1235&lt;&gt;0,SUMIF(куб!$B:$B,$B1235,куб!H:H),IF($G1235&lt;&gt;0,SUMIF(куб!$A:$A,$G1235,куб!H:H),SUMIF(куб!$A:$A,$G1235,куб!H:H)))))))</f>
        <v>0</v>
      </c>
      <c r="I1235" s="27">
        <f>IF($G1235&lt;&gt;0,SUMIF(куб!$G:$G,$G1235,куб!I:I),IF($E1235&lt;&gt;0,SUMIF(куб!$E:$E,$E1235,куб!I:I),IF($D1235&lt;&gt;0,SUMIF(куб!$D:$D,$D1235,куб!I:I),IF($C1235&lt;&gt;0,SUMIF(куб!$C:$C,$C1235,куб!I:I),IF($B1235&lt;&gt;0,SUMIF(куб!$B:$B,$B1235,куб!I:I),IF($G1235&lt;&gt;0,SUMIF(куб!$A:$A,$G1235,куб!I:I),SUMIF(куб!$A:$A,$G1235,куб!I:I)))))))</f>
        <v>0</v>
      </c>
      <c r="J1235" s="19" t="str">
        <f t="shared" si="381"/>
        <v>-</v>
      </c>
      <c r="K1235" s="8"/>
      <c r="L1235" s="17">
        <f t="shared" si="382"/>
        <v>0</v>
      </c>
      <c r="M1235" s="17">
        <f t="shared" si="383"/>
        <v>0</v>
      </c>
      <c r="N1235" s="12">
        <f t="shared" si="384"/>
        <v>0</v>
      </c>
      <c r="O1235" s="5"/>
      <c r="P1235" s="27" t="b">
        <f>IF($G1235&lt;&gt;0,SUMIF(куб!$G:$G,$G1235,куб!J:J),IF($E1235&lt;&gt;0,SUMIF(куб!$E:$E,$E1235,куб!J:J),IF($D1235&lt;&gt;0,SUMIF(куб!$D:$D,$D1235,куб!J:J),IF($C1235&lt;&gt;0,SUMIF(куб!$C:$C,$C1235,куб!J:J),IF($B1235&lt;&gt;0,SUMIF(куб!$B:$B,$B1235,куб!J:J))))))</f>
        <v>0</v>
      </c>
      <c r="Q1235" s="27" t="b">
        <f>IF($G1235&lt;&gt;0,SUMIF(куб!$G:$G,$G1235,куб!K:K),IF($E1235&lt;&gt;0,SUMIF(куб!$E:$E,$E1235,куб!K:K),IF($D1235&lt;&gt;0,SUMIF(куб!$D:$D,$D1235,куб!K:K),IF($C1235&lt;&gt;0,SUMIF(куб!$C:$C,$C1235,куб!K:K),IF($B1235&lt;&gt;0,SUMIF(куб!$B:$B,$B1235,куб!K:K))))))</f>
        <v>0</v>
      </c>
      <c r="R1235" s="13" t="str">
        <f t="shared" si="385"/>
        <v>-</v>
      </c>
      <c r="S1235" s="5"/>
      <c r="T1235" s="27" t="b">
        <f>IF($G1235&lt;&gt;0,SUMIF(куб!$G:$G,$G1235,куб!L:L),IF($E1235&lt;&gt;0,SUMIF(куб!$E:$E,$E1235,куб!L:L),IF($D1235&lt;&gt;0,SUMIF(куб!$D:$D,$D1235,куб!L:L),IF($C1235&lt;&gt;0,SUMIF(куб!$C:$C,$C1235,куб!L:L),IF($B1235&lt;&gt;0,SUMIF(куб!$B:$B,$B1235,куб!L:L))))))</f>
        <v>0</v>
      </c>
      <c r="U1235" s="27" t="b">
        <f>IF($G1235&lt;&gt;0,SUMIF(куб!$G:$G,$G1235,куб!M:M),IF($E1235&lt;&gt;0,SUMIF(куб!$E:$E,$E1235,куб!M:M),IF($D1235&lt;&gt;0,SUMIF(куб!$D:$D,$D1235,куб!M:M),IF($C1235&lt;&gt;0,SUMIF(куб!$C:$C,$C1235,куб!M:M),IF($B1235&lt;&gt;0,SUMIF(куб!$B:$B,$B1235,куб!M:M))))))</f>
        <v>0</v>
      </c>
      <c r="V1235" s="13" t="str">
        <f t="shared" si="386"/>
        <v>-</v>
      </c>
      <c r="W1235" s="5"/>
      <c r="X1235" s="27" t="b">
        <f>IF($G1235&lt;&gt;0,SUMIF(куб!$G:$G,$G1235,куб!N:N),IF($E1235&lt;&gt;0,SUMIF(куб!$E:$E,$E1235,куб!N:N),IF($D1235&lt;&gt;0,SUMIF(куб!$D:$D,$D1235,куб!N:N),IF($C1235&lt;&gt;0,SUMIF(куб!$C:$C,$C1235,куб!N:N),IF($B1235&lt;&gt;0,SUMIF(куб!$B:$B,$B1235,куб!N:N))))))</f>
        <v>0</v>
      </c>
      <c r="Y1235" s="27" t="b">
        <f>IF($G1235&lt;&gt;0,SUMIF(куб!$G:$G,$G1235,куб!O:O),IF($E1235&lt;&gt;0,SUMIF(куб!$E:$E,$E1235,куб!O:O),IF($D1235&lt;&gt;0,SUMIF(куб!$D:$D,$D1235,куб!O:O),IF($C1235&lt;&gt;0,SUMIF(куб!$C:$C,$C1235,куб!O:O),IF($B1235&lt;&gt;0,SUMIF(куб!$B:$B,$B1235,куб!O:O))))))</f>
        <v>0</v>
      </c>
      <c r="Z1235" s="13" t="str">
        <f t="shared" si="387"/>
        <v>-</v>
      </c>
      <c r="AA1235" s="5"/>
      <c r="AB1235" s="33" t="str">
        <f t="shared" si="388"/>
        <v/>
      </c>
      <c r="AC1235" s="33" t="str">
        <f t="shared" si="389"/>
        <v/>
      </c>
      <c r="AD1235" s="15" t="str">
        <f t="shared" si="390"/>
        <v xml:space="preserve"> </v>
      </c>
      <c r="AE1235" s="5"/>
      <c r="AF1235" s="27" t="b">
        <f>IF($G1235&lt;&gt;0,SUMIF(куб!$G:$G,$G1235,куб!R:R),IF($E1235&lt;&gt;0,SUMIF(куб!$E:$E,$E1235,куб!R:R),IF($D1235&lt;&gt;0,SUMIF(куб!$D:$D,$D1235,куб!R:R),IF($C1235&lt;&gt;0,SUMIF(куб!$C:$C,$C1235,куб!R:R),IF($B1235&lt;&gt;0,SUMIF(куб!$B:$B,$B1235,куб!R:R))))))</f>
        <v>0</v>
      </c>
      <c r="AG1235" s="27" t="b">
        <f>IF($G1235&lt;&gt;0,SUMIF(куб!$G:$G,$G1235,куб!S:S),IF($E1235&lt;&gt;0,SUMIF(куб!$E:$E,$E1235,куб!S:S),IF($D1235&lt;&gt;0,SUMIF(куб!$D:$D,$D1235,куб!S:S),IF($C1235&lt;&gt;0,SUMIF(куб!$C:$C,$C1235,куб!S:S),IF($B1235&lt;&gt;0,SUMIF(куб!$B:$B,$B1235,куб!S:S))))))</f>
        <v>0</v>
      </c>
      <c r="AH1235" s="16" t="str">
        <f t="shared" si="391"/>
        <v>-</v>
      </c>
      <c r="AI1235" s="8"/>
      <c r="AJ1235" s="27" t="b">
        <f>IF($G1235&lt;&gt;0,SUMIF(куб!$G:$G,$G1235,куб!T:T),IF($E1235&lt;&gt;0,SUMIF(куб!$E:$E,$E1235,куб!T:T),IF($D1235&lt;&gt;0,SUMIF(куб!$D:$D,$D1235,куб!T:T),IF($C1235&lt;&gt;0,SUMIF(куб!$C:$C,$C1235,куб!T:T),IF($B1235&lt;&gt;0,SUMIF(куб!$B:$B,$B1235,куб!T:T))))))</f>
        <v>0</v>
      </c>
      <c r="AK1235" s="27" t="b">
        <f>IF($G1235&lt;&gt;0,SUMIF(куб!$G:$G,$G1235,куб!U:U),IF($E1235&lt;&gt;0,SUMIF(куб!$E:$E,$E1235,куб!U:U),IF($D1235&lt;&gt;0,SUMIF(куб!$D:$D,$D1235,куб!U:U),IF($C1235&lt;&gt;0,SUMIF(куб!$C:$C,$C1235,куб!U:U),IF($B1235&lt;&gt;0,SUMIF(куб!$B:$B,$B1235,куб!U:U))))))</f>
        <v>0</v>
      </c>
      <c r="AL1235" s="16" t="str">
        <f t="shared" si="392"/>
        <v>-</v>
      </c>
      <c r="AM1235" s="8"/>
      <c r="AN1235" s="17" t="str">
        <f t="shared" si="393"/>
        <v xml:space="preserve"> </v>
      </c>
      <c r="AO1235" s="17" t="str">
        <f t="shared" si="394"/>
        <v xml:space="preserve"> </v>
      </c>
      <c r="AP1235" s="16" t="str">
        <f t="shared" si="395"/>
        <v>-</v>
      </c>
      <c r="AQ1235" s="8"/>
      <c r="AR1235" s="17" t="str">
        <f t="shared" si="396"/>
        <v>-</v>
      </c>
      <c r="AS1235" s="17" t="str">
        <f t="shared" si="397"/>
        <v>-</v>
      </c>
      <c r="AT1235" s="13" t="str">
        <f t="shared" si="398"/>
        <v>-</v>
      </c>
      <c r="AU1235" s="8"/>
    </row>
    <row r="1236" spans="8:47" x14ac:dyDescent="0.25">
      <c r="H1236" s="27">
        <f>IF($G1236&lt;&gt;0,SUMIF(куб!$G:$G,$G1236,куб!H:H),IF($E1236&lt;&gt;0,SUMIF(куб!$E:$E,$E1236,куб!H:H),IF($D1236&lt;&gt;0,SUMIF(куб!$D:$D,$D1236,куб!H:H),IF($C1236&lt;&gt;0,SUMIF(куб!$C:$C,$C1236,куб!H:H),IF($B1236&lt;&gt;0,SUMIF(куб!$B:$B,$B1236,куб!H:H),IF($G1236&lt;&gt;0,SUMIF(куб!$A:$A,$G1236,куб!H:H),SUMIF(куб!$A:$A,$G1236,куб!H:H)))))))</f>
        <v>0</v>
      </c>
      <c r="I1236" s="27">
        <f>IF($G1236&lt;&gt;0,SUMIF(куб!$G:$G,$G1236,куб!I:I),IF($E1236&lt;&gt;0,SUMIF(куб!$E:$E,$E1236,куб!I:I),IF($D1236&lt;&gt;0,SUMIF(куб!$D:$D,$D1236,куб!I:I),IF($C1236&lt;&gt;0,SUMIF(куб!$C:$C,$C1236,куб!I:I),IF($B1236&lt;&gt;0,SUMIF(куб!$B:$B,$B1236,куб!I:I),IF($G1236&lt;&gt;0,SUMIF(куб!$A:$A,$G1236,куб!I:I),SUMIF(куб!$A:$A,$G1236,куб!I:I)))))))</f>
        <v>0</v>
      </c>
      <c r="J1236" s="19" t="str">
        <f t="shared" si="381"/>
        <v>-</v>
      </c>
      <c r="K1236" s="8"/>
      <c r="L1236" s="17">
        <f t="shared" si="382"/>
        <v>0</v>
      </c>
      <c r="M1236" s="17">
        <f t="shared" si="383"/>
        <v>0</v>
      </c>
      <c r="N1236" s="12">
        <f t="shared" si="384"/>
        <v>0</v>
      </c>
      <c r="O1236" s="5"/>
      <c r="P1236" s="27" t="b">
        <f>IF($G1236&lt;&gt;0,SUMIF(куб!$G:$G,$G1236,куб!J:J),IF($E1236&lt;&gt;0,SUMIF(куб!$E:$E,$E1236,куб!J:J),IF($D1236&lt;&gt;0,SUMIF(куб!$D:$D,$D1236,куб!J:J),IF($C1236&lt;&gt;0,SUMIF(куб!$C:$C,$C1236,куб!J:J),IF($B1236&lt;&gt;0,SUMIF(куб!$B:$B,$B1236,куб!J:J))))))</f>
        <v>0</v>
      </c>
      <c r="Q1236" s="27" t="b">
        <f>IF($G1236&lt;&gt;0,SUMIF(куб!$G:$G,$G1236,куб!K:K),IF($E1236&lt;&gt;0,SUMIF(куб!$E:$E,$E1236,куб!K:K),IF($D1236&lt;&gt;0,SUMIF(куб!$D:$D,$D1236,куб!K:K),IF($C1236&lt;&gt;0,SUMIF(куб!$C:$C,$C1236,куб!K:K),IF($B1236&lt;&gt;0,SUMIF(куб!$B:$B,$B1236,куб!K:K))))))</f>
        <v>0</v>
      </c>
      <c r="R1236" s="13" t="str">
        <f t="shared" si="385"/>
        <v>-</v>
      </c>
      <c r="S1236" s="5"/>
      <c r="T1236" s="27" t="b">
        <f>IF($G1236&lt;&gt;0,SUMIF(куб!$G:$G,$G1236,куб!L:L),IF($E1236&lt;&gt;0,SUMIF(куб!$E:$E,$E1236,куб!L:L),IF($D1236&lt;&gt;0,SUMIF(куб!$D:$D,$D1236,куб!L:L),IF($C1236&lt;&gt;0,SUMIF(куб!$C:$C,$C1236,куб!L:L),IF($B1236&lt;&gt;0,SUMIF(куб!$B:$B,$B1236,куб!L:L))))))</f>
        <v>0</v>
      </c>
      <c r="U1236" s="27" t="b">
        <f>IF($G1236&lt;&gt;0,SUMIF(куб!$G:$G,$G1236,куб!M:M),IF($E1236&lt;&gt;0,SUMIF(куб!$E:$E,$E1236,куб!M:M),IF($D1236&lt;&gt;0,SUMIF(куб!$D:$D,$D1236,куб!M:M),IF($C1236&lt;&gt;0,SUMIF(куб!$C:$C,$C1236,куб!M:M),IF($B1236&lt;&gt;0,SUMIF(куб!$B:$B,$B1236,куб!M:M))))))</f>
        <v>0</v>
      </c>
      <c r="V1236" s="13" t="str">
        <f t="shared" si="386"/>
        <v>-</v>
      </c>
      <c r="W1236" s="5"/>
      <c r="X1236" s="27" t="b">
        <f>IF($G1236&lt;&gt;0,SUMIF(куб!$G:$G,$G1236,куб!N:N),IF($E1236&lt;&gt;0,SUMIF(куб!$E:$E,$E1236,куб!N:N),IF($D1236&lt;&gt;0,SUMIF(куб!$D:$D,$D1236,куб!N:N),IF($C1236&lt;&gt;0,SUMIF(куб!$C:$C,$C1236,куб!N:N),IF($B1236&lt;&gt;0,SUMIF(куб!$B:$B,$B1236,куб!N:N))))))</f>
        <v>0</v>
      </c>
      <c r="Y1236" s="27" t="b">
        <f>IF($G1236&lt;&gt;0,SUMIF(куб!$G:$G,$G1236,куб!O:O),IF($E1236&lt;&gt;0,SUMIF(куб!$E:$E,$E1236,куб!O:O),IF($D1236&lt;&gt;0,SUMIF(куб!$D:$D,$D1236,куб!O:O),IF($C1236&lt;&gt;0,SUMIF(куб!$C:$C,$C1236,куб!O:O),IF($B1236&lt;&gt;0,SUMIF(куб!$B:$B,$B1236,куб!O:O))))))</f>
        <v>0</v>
      </c>
      <c r="Z1236" s="13" t="str">
        <f t="shared" si="387"/>
        <v>-</v>
      </c>
      <c r="AA1236" s="5"/>
      <c r="AB1236" s="33" t="str">
        <f t="shared" si="388"/>
        <v/>
      </c>
      <c r="AC1236" s="33" t="str">
        <f t="shared" si="389"/>
        <v/>
      </c>
      <c r="AD1236" s="15" t="str">
        <f t="shared" si="390"/>
        <v xml:space="preserve"> </v>
      </c>
      <c r="AE1236" s="5"/>
      <c r="AF1236" s="27" t="b">
        <f>IF($G1236&lt;&gt;0,SUMIF(куб!$G:$G,$G1236,куб!R:R),IF($E1236&lt;&gt;0,SUMIF(куб!$E:$E,$E1236,куб!R:R),IF($D1236&lt;&gt;0,SUMIF(куб!$D:$D,$D1236,куб!R:R),IF($C1236&lt;&gt;0,SUMIF(куб!$C:$C,$C1236,куб!R:R),IF($B1236&lt;&gt;0,SUMIF(куб!$B:$B,$B1236,куб!R:R))))))</f>
        <v>0</v>
      </c>
      <c r="AG1236" s="27" t="b">
        <f>IF($G1236&lt;&gt;0,SUMIF(куб!$G:$G,$G1236,куб!S:S),IF($E1236&lt;&gt;0,SUMIF(куб!$E:$E,$E1236,куб!S:S),IF($D1236&lt;&gt;0,SUMIF(куб!$D:$D,$D1236,куб!S:S),IF($C1236&lt;&gt;0,SUMIF(куб!$C:$C,$C1236,куб!S:S),IF($B1236&lt;&gt;0,SUMIF(куб!$B:$B,$B1236,куб!S:S))))))</f>
        <v>0</v>
      </c>
      <c r="AH1236" s="16" t="str">
        <f t="shared" si="391"/>
        <v>-</v>
      </c>
      <c r="AI1236" s="8"/>
      <c r="AJ1236" s="27" t="b">
        <f>IF($G1236&lt;&gt;0,SUMIF(куб!$G:$G,$G1236,куб!T:T),IF($E1236&lt;&gt;0,SUMIF(куб!$E:$E,$E1236,куб!T:T),IF($D1236&lt;&gt;0,SUMIF(куб!$D:$D,$D1236,куб!T:T),IF($C1236&lt;&gt;0,SUMIF(куб!$C:$C,$C1236,куб!T:T),IF($B1236&lt;&gt;0,SUMIF(куб!$B:$B,$B1236,куб!T:T))))))</f>
        <v>0</v>
      </c>
      <c r="AK1236" s="27" t="b">
        <f>IF($G1236&lt;&gt;0,SUMIF(куб!$G:$G,$G1236,куб!U:U),IF($E1236&lt;&gt;0,SUMIF(куб!$E:$E,$E1236,куб!U:U),IF($D1236&lt;&gt;0,SUMIF(куб!$D:$D,$D1236,куб!U:U),IF($C1236&lt;&gt;0,SUMIF(куб!$C:$C,$C1236,куб!U:U),IF($B1236&lt;&gt;0,SUMIF(куб!$B:$B,$B1236,куб!U:U))))))</f>
        <v>0</v>
      </c>
      <c r="AL1236" s="16" t="str">
        <f t="shared" si="392"/>
        <v>-</v>
      </c>
      <c r="AM1236" s="8"/>
      <c r="AN1236" s="17" t="str">
        <f t="shared" si="393"/>
        <v xml:space="preserve"> </v>
      </c>
      <c r="AO1236" s="17" t="str">
        <f t="shared" si="394"/>
        <v xml:space="preserve"> </v>
      </c>
      <c r="AP1236" s="16" t="str">
        <f t="shared" si="395"/>
        <v>-</v>
      </c>
      <c r="AQ1236" s="8"/>
      <c r="AR1236" s="17" t="str">
        <f t="shared" si="396"/>
        <v>-</v>
      </c>
      <c r="AS1236" s="17" t="str">
        <f t="shared" si="397"/>
        <v>-</v>
      </c>
      <c r="AT1236" s="13" t="str">
        <f t="shared" si="398"/>
        <v>-</v>
      </c>
      <c r="AU1236" s="8"/>
    </row>
    <row r="1237" spans="8:47" x14ac:dyDescent="0.25">
      <c r="H1237" s="27">
        <f>IF($G1237&lt;&gt;0,SUMIF(куб!$G:$G,$G1237,куб!H:H),IF($E1237&lt;&gt;0,SUMIF(куб!$E:$E,$E1237,куб!H:H),IF($D1237&lt;&gt;0,SUMIF(куб!$D:$D,$D1237,куб!H:H),IF($C1237&lt;&gt;0,SUMIF(куб!$C:$C,$C1237,куб!H:H),IF($B1237&lt;&gt;0,SUMIF(куб!$B:$B,$B1237,куб!H:H),IF($G1237&lt;&gt;0,SUMIF(куб!$A:$A,$G1237,куб!H:H),SUMIF(куб!$A:$A,$G1237,куб!H:H)))))))</f>
        <v>0</v>
      </c>
      <c r="I1237" s="27">
        <f>IF($G1237&lt;&gt;0,SUMIF(куб!$G:$G,$G1237,куб!I:I),IF($E1237&lt;&gt;0,SUMIF(куб!$E:$E,$E1237,куб!I:I),IF($D1237&lt;&gt;0,SUMIF(куб!$D:$D,$D1237,куб!I:I),IF($C1237&lt;&gt;0,SUMIF(куб!$C:$C,$C1237,куб!I:I),IF($B1237&lt;&gt;0,SUMIF(куб!$B:$B,$B1237,куб!I:I),IF($G1237&lt;&gt;0,SUMIF(куб!$A:$A,$G1237,куб!I:I),SUMIF(куб!$A:$A,$G1237,куб!I:I)))))))</f>
        <v>0</v>
      </c>
      <c r="J1237" s="19" t="str">
        <f t="shared" si="381"/>
        <v>-</v>
      </c>
      <c r="K1237" s="8"/>
      <c r="L1237" s="17">
        <f t="shared" si="382"/>
        <v>0</v>
      </c>
      <c r="M1237" s="17">
        <f t="shared" si="383"/>
        <v>0</v>
      </c>
      <c r="N1237" s="12">
        <f t="shared" si="384"/>
        <v>0</v>
      </c>
      <c r="O1237" s="5"/>
      <c r="P1237" s="27" t="b">
        <f>IF($G1237&lt;&gt;0,SUMIF(куб!$G:$G,$G1237,куб!J:J),IF($E1237&lt;&gt;0,SUMIF(куб!$E:$E,$E1237,куб!J:J),IF($D1237&lt;&gt;0,SUMIF(куб!$D:$D,$D1237,куб!J:J),IF($C1237&lt;&gt;0,SUMIF(куб!$C:$C,$C1237,куб!J:J),IF($B1237&lt;&gt;0,SUMIF(куб!$B:$B,$B1237,куб!J:J))))))</f>
        <v>0</v>
      </c>
      <c r="Q1237" s="27" t="b">
        <f>IF($G1237&lt;&gt;0,SUMIF(куб!$G:$G,$G1237,куб!K:K),IF($E1237&lt;&gt;0,SUMIF(куб!$E:$E,$E1237,куб!K:K),IF($D1237&lt;&gt;0,SUMIF(куб!$D:$D,$D1237,куб!K:K),IF($C1237&lt;&gt;0,SUMIF(куб!$C:$C,$C1237,куб!K:K),IF($B1237&lt;&gt;0,SUMIF(куб!$B:$B,$B1237,куб!K:K))))))</f>
        <v>0</v>
      </c>
      <c r="R1237" s="13" t="str">
        <f t="shared" si="385"/>
        <v>-</v>
      </c>
      <c r="S1237" s="5"/>
      <c r="T1237" s="27" t="b">
        <f>IF($G1237&lt;&gt;0,SUMIF(куб!$G:$G,$G1237,куб!L:L),IF($E1237&lt;&gt;0,SUMIF(куб!$E:$E,$E1237,куб!L:L),IF($D1237&lt;&gt;0,SUMIF(куб!$D:$D,$D1237,куб!L:L),IF($C1237&lt;&gt;0,SUMIF(куб!$C:$C,$C1237,куб!L:L),IF($B1237&lt;&gt;0,SUMIF(куб!$B:$B,$B1237,куб!L:L))))))</f>
        <v>0</v>
      </c>
      <c r="U1237" s="27" t="b">
        <f>IF($G1237&lt;&gt;0,SUMIF(куб!$G:$G,$G1237,куб!M:M),IF($E1237&lt;&gt;0,SUMIF(куб!$E:$E,$E1237,куб!M:M),IF($D1237&lt;&gt;0,SUMIF(куб!$D:$D,$D1237,куб!M:M),IF($C1237&lt;&gt;0,SUMIF(куб!$C:$C,$C1237,куб!M:M),IF($B1237&lt;&gt;0,SUMIF(куб!$B:$B,$B1237,куб!M:M))))))</f>
        <v>0</v>
      </c>
      <c r="V1237" s="13" t="str">
        <f t="shared" si="386"/>
        <v>-</v>
      </c>
      <c r="W1237" s="5"/>
      <c r="X1237" s="27" t="b">
        <f>IF($G1237&lt;&gt;0,SUMIF(куб!$G:$G,$G1237,куб!N:N),IF($E1237&lt;&gt;0,SUMIF(куб!$E:$E,$E1237,куб!N:N),IF($D1237&lt;&gt;0,SUMIF(куб!$D:$D,$D1237,куб!N:N),IF($C1237&lt;&gt;0,SUMIF(куб!$C:$C,$C1237,куб!N:N),IF($B1237&lt;&gt;0,SUMIF(куб!$B:$B,$B1237,куб!N:N))))))</f>
        <v>0</v>
      </c>
      <c r="Y1237" s="27" t="b">
        <f>IF($G1237&lt;&gt;0,SUMIF(куб!$G:$G,$G1237,куб!O:O),IF($E1237&lt;&gt;0,SUMIF(куб!$E:$E,$E1237,куб!O:O),IF($D1237&lt;&gt;0,SUMIF(куб!$D:$D,$D1237,куб!O:O),IF($C1237&lt;&gt;0,SUMIF(куб!$C:$C,$C1237,куб!O:O),IF($B1237&lt;&gt;0,SUMIF(куб!$B:$B,$B1237,куб!O:O))))))</f>
        <v>0</v>
      </c>
      <c r="Z1237" s="13" t="str">
        <f t="shared" si="387"/>
        <v>-</v>
      </c>
      <c r="AA1237" s="5"/>
      <c r="AB1237" s="33" t="str">
        <f t="shared" si="388"/>
        <v/>
      </c>
      <c r="AC1237" s="33" t="str">
        <f t="shared" si="389"/>
        <v/>
      </c>
      <c r="AD1237" s="15" t="str">
        <f t="shared" si="390"/>
        <v xml:space="preserve"> </v>
      </c>
      <c r="AE1237" s="5"/>
      <c r="AF1237" s="27" t="b">
        <f>IF($G1237&lt;&gt;0,SUMIF(куб!$G:$G,$G1237,куб!R:R),IF($E1237&lt;&gt;0,SUMIF(куб!$E:$E,$E1237,куб!R:R),IF($D1237&lt;&gt;0,SUMIF(куб!$D:$D,$D1237,куб!R:R),IF($C1237&lt;&gt;0,SUMIF(куб!$C:$C,$C1237,куб!R:R),IF($B1237&lt;&gt;0,SUMIF(куб!$B:$B,$B1237,куб!R:R))))))</f>
        <v>0</v>
      </c>
      <c r="AG1237" s="27" t="b">
        <f>IF($G1237&lt;&gt;0,SUMIF(куб!$G:$G,$G1237,куб!S:S),IF($E1237&lt;&gt;0,SUMIF(куб!$E:$E,$E1237,куб!S:S),IF($D1237&lt;&gt;0,SUMIF(куб!$D:$D,$D1237,куб!S:S),IF($C1237&lt;&gt;0,SUMIF(куб!$C:$C,$C1237,куб!S:S),IF($B1237&lt;&gt;0,SUMIF(куб!$B:$B,$B1237,куб!S:S))))))</f>
        <v>0</v>
      </c>
      <c r="AH1237" s="16" t="str">
        <f t="shared" si="391"/>
        <v>-</v>
      </c>
      <c r="AI1237" s="8"/>
      <c r="AJ1237" s="27" t="b">
        <f>IF($G1237&lt;&gt;0,SUMIF(куб!$G:$G,$G1237,куб!T:T),IF($E1237&lt;&gt;0,SUMIF(куб!$E:$E,$E1237,куб!T:T),IF($D1237&lt;&gt;0,SUMIF(куб!$D:$D,$D1237,куб!T:T),IF($C1237&lt;&gt;0,SUMIF(куб!$C:$C,$C1237,куб!T:T),IF($B1237&lt;&gt;0,SUMIF(куб!$B:$B,$B1237,куб!T:T))))))</f>
        <v>0</v>
      </c>
      <c r="AK1237" s="27" t="b">
        <f>IF($G1237&lt;&gt;0,SUMIF(куб!$G:$G,$G1237,куб!U:U),IF($E1237&lt;&gt;0,SUMIF(куб!$E:$E,$E1237,куб!U:U),IF($D1237&lt;&gt;0,SUMIF(куб!$D:$D,$D1237,куб!U:U),IF($C1237&lt;&gt;0,SUMIF(куб!$C:$C,$C1237,куб!U:U),IF($B1237&lt;&gt;0,SUMIF(куб!$B:$B,$B1237,куб!U:U))))))</f>
        <v>0</v>
      </c>
      <c r="AL1237" s="16" t="str">
        <f t="shared" si="392"/>
        <v>-</v>
      </c>
      <c r="AM1237" s="8"/>
      <c r="AN1237" s="17" t="str">
        <f t="shared" si="393"/>
        <v xml:space="preserve"> </v>
      </c>
      <c r="AO1237" s="17" t="str">
        <f t="shared" si="394"/>
        <v xml:space="preserve"> </v>
      </c>
      <c r="AP1237" s="16" t="str">
        <f t="shared" si="395"/>
        <v>-</v>
      </c>
      <c r="AQ1237" s="8"/>
      <c r="AR1237" s="17" t="str">
        <f t="shared" si="396"/>
        <v>-</v>
      </c>
      <c r="AS1237" s="17" t="str">
        <f t="shared" si="397"/>
        <v>-</v>
      </c>
      <c r="AT1237" s="13" t="str">
        <f t="shared" si="398"/>
        <v>-</v>
      </c>
      <c r="AU1237" s="8"/>
    </row>
    <row r="1238" spans="8:47" x14ac:dyDescent="0.25">
      <c r="H1238" s="27">
        <f>IF($G1238&lt;&gt;0,SUMIF(куб!$G:$G,$G1238,куб!H:H),IF($E1238&lt;&gt;0,SUMIF(куб!$E:$E,$E1238,куб!H:H),IF($D1238&lt;&gt;0,SUMIF(куб!$D:$D,$D1238,куб!H:H),IF($C1238&lt;&gt;0,SUMIF(куб!$C:$C,$C1238,куб!H:H),IF($B1238&lt;&gt;0,SUMIF(куб!$B:$B,$B1238,куб!H:H),IF($G1238&lt;&gt;0,SUMIF(куб!$A:$A,$G1238,куб!H:H),SUMIF(куб!$A:$A,$G1238,куб!H:H)))))))</f>
        <v>0</v>
      </c>
      <c r="I1238" s="27">
        <f>IF($G1238&lt;&gt;0,SUMIF(куб!$G:$G,$G1238,куб!I:I),IF($E1238&lt;&gt;0,SUMIF(куб!$E:$E,$E1238,куб!I:I),IF($D1238&lt;&gt;0,SUMIF(куб!$D:$D,$D1238,куб!I:I),IF($C1238&lt;&gt;0,SUMIF(куб!$C:$C,$C1238,куб!I:I),IF($B1238&lt;&gt;0,SUMIF(куб!$B:$B,$B1238,куб!I:I),IF($G1238&lt;&gt;0,SUMIF(куб!$A:$A,$G1238,куб!I:I),SUMIF(куб!$A:$A,$G1238,куб!I:I)))))))</f>
        <v>0</v>
      </c>
      <c r="J1238" s="19" t="str">
        <f t="shared" si="381"/>
        <v>-</v>
      </c>
      <c r="K1238" s="8"/>
      <c r="L1238" s="17">
        <f t="shared" si="382"/>
        <v>0</v>
      </c>
      <c r="M1238" s="17">
        <f t="shared" si="383"/>
        <v>0</v>
      </c>
      <c r="N1238" s="12">
        <f t="shared" si="384"/>
        <v>0</v>
      </c>
      <c r="O1238" s="5"/>
      <c r="P1238" s="27" t="b">
        <f>IF($G1238&lt;&gt;0,SUMIF(куб!$G:$G,$G1238,куб!J:J),IF($E1238&lt;&gt;0,SUMIF(куб!$E:$E,$E1238,куб!J:J),IF($D1238&lt;&gt;0,SUMIF(куб!$D:$D,$D1238,куб!J:J),IF($C1238&lt;&gt;0,SUMIF(куб!$C:$C,$C1238,куб!J:J),IF($B1238&lt;&gt;0,SUMIF(куб!$B:$B,$B1238,куб!J:J))))))</f>
        <v>0</v>
      </c>
      <c r="Q1238" s="27" t="b">
        <f>IF($G1238&lt;&gt;0,SUMIF(куб!$G:$G,$G1238,куб!K:K),IF($E1238&lt;&gt;0,SUMIF(куб!$E:$E,$E1238,куб!K:K),IF($D1238&lt;&gt;0,SUMIF(куб!$D:$D,$D1238,куб!K:K),IF($C1238&lt;&gt;0,SUMIF(куб!$C:$C,$C1238,куб!K:K),IF($B1238&lt;&gt;0,SUMIF(куб!$B:$B,$B1238,куб!K:K))))))</f>
        <v>0</v>
      </c>
      <c r="R1238" s="13" t="str">
        <f t="shared" si="385"/>
        <v>-</v>
      </c>
      <c r="S1238" s="5"/>
      <c r="T1238" s="27" t="b">
        <f>IF($G1238&lt;&gt;0,SUMIF(куб!$G:$G,$G1238,куб!L:L),IF($E1238&lt;&gt;0,SUMIF(куб!$E:$E,$E1238,куб!L:L),IF($D1238&lt;&gt;0,SUMIF(куб!$D:$D,$D1238,куб!L:L),IF($C1238&lt;&gt;0,SUMIF(куб!$C:$C,$C1238,куб!L:L),IF($B1238&lt;&gt;0,SUMIF(куб!$B:$B,$B1238,куб!L:L))))))</f>
        <v>0</v>
      </c>
      <c r="U1238" s="27" t="b">
        <f>IF($G1238&lt;&gt;0,SUMIF(куб!$G:$G,$G1238,куб!M:M),IF($E1238&lt;&gt;0,SUMIF(куб!$E:$E,$E1238,куб!M:M),IF($D1238&lt;&gt;0,SUMIF(куб!$D:$D,$D1238,куб!M:M),IF($C1238&lt;&gt;0,SUMIF(куб!$C:$C,$C1238,куб!M:M),IF($B1238&lt;&gt;0,SUMIF(куб!$B:$B,$B1238,куб!M:M))))))</f>
        <v>0</v>
      </c>
      <c r="V1238" s="13" t="str">
        <f t="shared" si="386"/>
        <v>-</v>
      </c>
      <c r="W1238" s="5"/>
      <c r="X1238" s="27" t="b">
        <f>IF($G1238&lt;&gt;0,SUMIF(куб!$G:$G,$G1238,куб!N:N),IF($E1238&lt;&gt;0,SUMIF(куб!$E:$E,$E1238,куб!N:N),IF($D1238&lt;&gt;0,SUMIF(куб!$D:$D,$D1238,куб!N:N),IF($C1238&lt;&gt;0,SUMIF(куб!$C:$C,$C1238,куб!N:N),IF($B1238&lt;&gt;0,SUMIF(куб!$B:$B,$B1238,куб!N:N))))))</f>
        <v>0</v>
      </c>
      <c r="Y1238" s="27" t="b">
        <f>IF($G1238&lt;&gt;0,SUMIF(куб!$G:$G,$G1238,куб!O:O),IF($E1238&lt;&gt;0,SUMIF(куб!$E:$E,$E1238,куб!O:O),IF($D1238&lt;&gt;0,SUMIF(куб!$D:$D,$D1238,куб!O:O),IF($C1238&lt;&gt;0,SUMIF(куб!$C:$C,$C1238,куб!O:O),IF($B1238&lt;&gt;0,SUMIF(куб!$B:$B,$B1238,куб!O:O))))))</f>
        <v>0</v>
      </c>
      <c r="Z1238" s="13" t="str">
        <f t="shared" si="387"/>
        <v>-</v>
      </c>
      <c r="AA1238" s="5"/>
      <c r="AB1238" s="33" t="str">
        <f t="shared" si="388"/>
        <v/>
      </c>
      <c r="AC1238" s="33" t="str">
        <f t="shared" si="389"/>
        <v/>
      </c>
      <c r="AD1238" s="15" t="str">
        <f t="shared" si="390"/>
        <v xml:space="preserve"> </v>
      </c>
      <c r="AE1238" s="5"/>
      <c r="AF1238" s="27" t="b">
        <f>IF($G1238&lt;&gt;0,SUMIF(куб!$G:$G,$G1238,куб!R:R),IF($E1238&lt;&gt;0,SUMIF(куб!$E:$E,$E1238,куб!R:R),IF($D1238&lt;&gt;0,SUMIF(куб!$D:$D,$D1238,куб!R:R),IF($C1238&lt;&gt;0,SUMIF(куб!$C:$C,$C1238,куб!R:R),IF($B1238&lt;&gt;0,SUMIF(куб!$B:$B,$B1238,куб!R:R))))))</f>
        <v>0</v>
      </c>
      <c r="AG1238" s="27" t="b">
        <f>IF($G1238&lt;&gt;0,SUMIF(куб!$G:$G,$G1238,куб!S:S),IF($E1238&lt;&gt;0,SUMIF(куб!$E:$E,$E1238,куб!S:S),IF($D1238&lt;&gt;0,SUMIF(куб!$D:$D,$D1238,куб!S:S),IF($C1238&lt;&gt;0,SUMIF(куб!$C:$C,$C1238,куб!S:S),IF($B1238&lt;&gt;0,SUMIF(куб!$B:$B,$B1238,куб!S:S))))))</f>
        <v>0</v>
      </c>
      <c r="AH1238" s="16" t="str">
        <f t="shared" si="391"/>
        <v>-</v>
      </c>
      <c r="AI1238" s="8"/>
      <c r="AJ1238" s="27" t="b">
        <f>IF($G1238&lt;&gt;0,SUMIF(куб!$G:$G,$G1238,куб!T:T),IF($E1238&lt;&gt;0,SUMIF(куб!$E:$E,$E1238,куб!T:T),IF($D1238&lt;&gt;0,SUMIF(куб!$D:$D,$D1238,куб!T:T),IF($C1238&lt;&gt;0,SUMIF(куб!$C:$C,$C1238,куб!T:T),IF($B1238&lt;&gt;0,SUMIF(куб!$B:$B,$B1238,куб!T:T))))))</f>
        <v>0</v>
      </c>
      <c r="AK1238" s="27" t="b">
        <f>IF($G1238&lt;&gt;0,SUMIF(куб!$G:$G,$G1238,куб!U:U),IF($E1238&lt;&gt;0,SUMIF(куб!$E:$E,$E1238,куб!U:U),IF($D1238&lt;&gt;0,SUMIF(куб!$D:$D,$D1238,куб!U:U),IF($C1238&lt;&gt;0,SUMIF(куб!$C:$C,$C1238,куб!U:U),IF($B1238&lt;&gt;0,SUMIF(куб!$B:$B,$B1238,куб!U:U))))))</f>
        <v>0</v>
      </c>
      <c r="AL1238" s="16" t="str">
        <f t="shared" si="392"/>
        <v>-</v>
      </c>
      <c r="AM1238" s="8"/>
      <c r="AN1238" s="17" t="str">
        <f t="shared" si="393"/>
        <v xml:space="preserve"> </v>
      </c>
      <c r="AO1238" s="17" t="str">
        <f t="shared" si="394"/>
        <v xml:space="preserve"> </v>
      </c>
      <c r="AP1238" s="16" t="str">
        <f t="shared" si="395"/>
        <v>-</v>
      </c>
      <c r="AQ1238" s="8"/>
      <c r="AR1238" s="17" t="str">
        <f t="shared" si="396"/>
        <v>-</v>
      </c>
      <c r="AS1238" s="17" t="str">
        <f t="shared" si="397"/>
        <v>-</v>
      </c>
      <c r="AT1238" s="13" t="str">
        <f t="shared" si="398"/>
        <v>-</v>
      </c>
      <c r="AU1238" s="8"/>
    </row>
    <row r="1239" spans="8:47" x14ac:dyDescent="0.25">
      <c r="H1239" s="27">
        <f>IF($G1239&lt;&gt;0,SUMIF(куб!$G:$G,$G1239,куб!H:H),IF($E1239&lt;&gt;0,SUMIF(куб!$E:$E,$E1239,куб!H:H),IF($D1239&lt;&gt;0,SUMIF(куб!$D:$D,$D1239,куб!H:H),IF($C1239&lt;&gt;0,SUMIF(куб!$C:$C,$C1239,куб!H:H),IF($B1239&lt;&gt;0,SUMIF(куб!$B:$B,$B1239,куб!H:H),IF($G1239&lt;&gt;0,SUMIF(куб!$A:$A,$G1239,куб!H:H),SUMIF(куб!$A:$A,$G1239,куб!H:H)))))))</f>
        <v>0</v>
      </c>
      <c r="I1239" s="27">
        <f>IF($G1239&lt;&gt;0,SUMIF(куб!$G:$G,$G1239,куб!I:I),IF($E1239&lt;&gt;0,SUMIF(куб!$E:$E,$E1239,куб!I:I),IF($D1239&lt;&gt;0,SUMIF(куб!$D:$D,$D1239,куб!I:I),IF($C1239&lt;&gt;0,SUMIF(куб!$C:$C,$C1239,куб!I:I),IF($B1239&lt;&gt;0,SUMIF(куб!$B:$B,$B1239,куб!I:I),IF($G1239&lt;&gt;0,SUMIF(куб!$A:$A,$G1239,куб!I:I),SUMIF(куб!$A:$A,$G1239,куб!I:I)))))))</f>
        <v>0</v>
      </c>
      <c r="J1239" s="19" t="str">
        <f t="shared" si="381"/>
        <v>-</v>
      </c>
      <c r="K1239" s="8"/>
      <c r="L1239" s="17">
        <f t="shared" si="382"/>
        <v>0</v>
      </c>
      <c r="M1239" s="17">
        <f t="shared" si="383"/>
        <v>0</v>
      </c>
      <c r="N1239" s="12">
        <f t="shared" si="384"/>
        <v>0</v>
      </c>
      <c r="O1239" s="5"/>
      <c r="P1239" s="27" t="b">
        <f>IF($G1239&lt;&gt;0,SUMIF(куб!$G:$G,$G1239,куб!J:J),IF($E1239&lt;&gt;0,SUMIF(куб!$E:$E,$E1239,куб!J:J),IF($D1239&lt;&gt;0,SUMIF(куб!$D:$D,$D1239,куб!J:J),IF($C1239&lt;&gt;0,SUMIF(куб!$C:$C,$C1239,куб!J:J),IF($B1239&lt;&gt;0,SUMIF(куб!$B:$B,$B1239,куб!J:J))))))</f>
        <v>0</v>
      </c>
      <c r="Q1239" s="27" t="b">
        <f>IF($G1239&lt;&gt;0,SUMIF(куб!$G:$G,$G1239,куб!K:K),IF($E1239&lt;&gt;0,SUMIF(куб!$E:$E,$E1239,куб!K:K),IF($D1239&lt;&gt;0,SUMIF(куб!$D:$D,$D1239,куб!K:K),IF($C1239&lt;&gt;0,SUMIF(куб!$C:$C,$C1239,куб!K:K),IF($B1239&lt;&gt;0,SUMIF(куб!$B:$B,$B1239,куб!K:K))))))</f>
        <v>0</v>
      </c>
      <c r="R1239" s="13" t="str">
        <f t="shared" si="385"/>
        <v>-</v>
      </c>
      <c r="S1239" s="5"/>
      <c r="T1239" s="27" t="b">
        <f>IF($G1239&lt;&gt;0,SUMIF(куб!$G:$G,$G1239,куб!L:L),IF($E1239&lt;&gt;0,SUMIF(куб!$E:$E,$E1239,куб!L:L),IF($D1239&lt;&gt;0,SUMIF(куб!$D:$D,$D1239,куб!L:L),IF($C1239&lt;&gt;0,SUMIF(куб!$C:$C,$C1239,куб!L:L),IF($B1239&lt;&gt;0,SUMIF(куб!$B:$B,$B1239,куб!L:L))))))</f>
        <v>0</v>
      </c>
      <c r="U1239" s="27" t="b">
        <f>IF($G1239&lt;&gt;0,SUMIF(куб!$G:$G,$G1239,куб!M:M),IF($E1239&lt;&gt;0,SUMIF(куб!$E:$E,$E1239,куб!M:M),IF($D1239&lt;&gt;0,SUMIF(куб!$D:$D,$D1239,куб!M:M),IF($C1239&lt;&gt;0,SUMIF(куб!$C:$C,$C1239,куб!M:M),IF($B1239&lt;&gt;0,SUMIF(куб!$B:$B,$B1239,куб!M:M))))))</f>
        <v>0</v>
      </c>
      <c r="V1239" s="13" t="str">
        <f t="shared" si="386"/>
        <v>-</v>
      </c>
      <c r="W1239" s="5"/>
      <c r="X1239" s="27" t="b">
        <f>IF($G1239&lt;&gt;0,SUMIF(куб!$G:$G,$G1239,куб!N:N),IF($E1239&lt;&gt;0,SUMIF(куб!$E:$E,$E1239,куб!N:N),IF($D1239&lt;&gt;0,SUMIF(куб!$D:$D,$D1239,куб!N:N),IF($C1239&lt;&gt;0,SUMIF(куб!$C:$C,$C1239,куб!N:N),IF($B1239&lt;&gt;0,SUMIF(куб!$B:$B,$B1239,куб!N:N))))))</f>
        <v>0</v>
      </c>
      <c r="Y1239" s="27" t="b">
        <f>IF($G1239&lt;&gt;0,SUMIF(куб!$G:$G,$G1239,куб!O:O),IF($E1239&lt;&gt;0,SUMIF(куб!$E:$E,$E1239,куб!O:O),IF($D1239&lt;&gt;0,SUMIF(куб!$D:$D,$D1239,куб!O:O),IF($C1239&lt;&gt;0,SUMIF(куб!$C:$C,$C1239,куб!O:O),IF($B1239&lt;&gt;0,SUMIF(куб!$B:$B,$B1239,куб!O:O))))))</f>
        <v>0</v>
      </c>
      <c r="Z1239" s="13" t="str">
        <f t="shared" si="387"/>
        <v>-</v>
      </c>
      <c r="AA1239" s="5"/>
      <c r="AB1239" s="33" t="str">
        <f t="shared" si="388"/>
        <v/>
      </c>
      <c r="AC1239" s="33" t="str">
        <f t="shared" si="389"/>
        <v/>
      </c>
      <c r="AD1239" s="15" t="str">
        <f t="shared" si="390"/>
        <v xml:space="preserve"> </v>
      </c>
      <c r="AE1239" s="5"/>
      <c r="AF1239" s="27" t="b">
        <f>IF($G1239&lt;&gt;0,SUMIF(куб!$G:$G,$G1239,куб!R:R),IF($E1239&lt;&gt;0,SUMIF(куб!$E:$E,$E1239,куб!R:R),IF($D1239&lt;&gt;0,SUMIF(куб!$D:$D,$D1239,куб!R:R),IF($C1239&lt;&gt;0,SUMIF(куб!$C:$C,$C1239,куб!R:R),IF($B1239&lt;&gt;0,SUMIF(куб!$B:$B,$B1239,куб!R:R))))))</f>
        <v>0</v>
      </c>
      <c r="AG1239" s="27" t="b">
        <f>IF($G1239&lt;&gt;0,SUMIF(куб!$G:$G,$G1239,куб!S:S),IF($E1239&lt;&gt;0,SUMIF(куб!$E:$E,$E1239,куб!S:S),IF($D1239&lt;&gt;0,SUMIF(куб!$D:$D,$D1239,куб!S:S),IF($C1239&lt;&gt;0,SUMIF(куб!$C:$C,$C1239,куб!S:S),IF($B1239&lt;&gt;0,SUMIF(куб!$B:$B,$B1239,куб!S:S))))))</f>
        <v>0</v>
      </c>
      <c r="AH1239" s="16" t="str">
        <f t="shared" si="391"/>
        <v>-</v>
      </c>
      <c r="AI1239" s="8"/>
      <c r="AJ1239" s="27" t="b">
        <f>IF($G1239&lt;&gt;0,SUMIF(куб!$G:$G,$G1239,куб!T:T),IF($E1239&lt;&gt;0,SUMIF(куб!$E:$E,$E1239,куб!T:T),IF($D1239&lt;&gt;0,SUMIF(куб!$D:$D,$D1239,куб!T:T),IF($C1239&lt;&gt;0,SUMIF(куб!$C:$C,$C1239,куб!T:T),IF($B1239&lt;&gt;0,SUMIF(куб!$B:$B,$B1239,куб!T:T))))))</f>
        <v>0</v>
      </c>
      <c r="AK1239" s="27" t="b">
        <f>IF($G1239&lt;&gt;0,SUMIF(куб!$G:$G,$G1239,куб!U:U),IF($E1239&lt;&gt;0,SUMIF(куб!$E:$E,$E1239,куб!U:U),IF($D1239&lt;&gt;0,SUMIF(куб!$D:$D,$D1239,куб!U:U),IF($C1239&lt;&gt;0,SUMIF(куб!$C:$C,$C1239,куб!U:U),IF($B1239&lt;&gt;0,SUMIF(куб!$B:$B,$B1239,куб!U:U))))))</f>
        <v>0</v>
      </c>
      <c r="AL1239" s="16" t="str">
        <f t="shared" si="392"/>
        <v>-</v>
      </c>
      <c r="AM1239" s="8"/>
      <c r="AN1239" s="17" t="str">
        <f t="shared" si="393"/>
        <v xml:space="preserve"> </v>
      </c>
      <c r="AO1239" s="17" t="str">
        <f t="shared" si="394"/>
        <v xml:space="preserve"> </v>
      </c>
      <c r="AP1239" s="16" t="str">
        <f t="shared" si="395"/>
        <v>-</v>
      </c>
      <c r="AQ1239" s="8"/>
      <c r="AR1239" s="17" t="str">
        <f t="shared" si="396"/>
        <v>-</v>
      </c>
      <c r="AS1239" s="17" t="str">
        <f t="shared" si="397"/>
        <v>-</v>
      </c>
      <c r="AT1239" s="13" t="str">
        <f t="shared" si="398"/>
        <v>-</v>
      </c>
      <c r="AU1239" s="8"/>
    </row>
    <row r="1240" spans="8:47" x14ac:dyDescent="0.25">
      <c r="H1240" s="27">
        <f>IF($G1240&lt;&gt;0,SUMIF(куб!$G:$G,$G1240,куб!H:H),IF($E1240&lt;&gt;0,SUMIF(куб!$E:$E,$E1240,куб!H:H),IF($D1240&lt;&gt;0,SUMIF(куб!$D:$D,$D1240,куб!H:H),IF($C1240&lt;&gt;0,SUMIF(куб!$C:$C,$C1240,куб!H:H),IF($B1240&lt;&gt;0,SUMIF(куб!$B:$B,$B1240,куб!H:H),IF($G1240&lt;&gt;0,SUMIF(куб!$A:$A,$G1240,куб!H:H),SUMIF(куб!$A:$A,$G1240,куб!H:H)))))))</f>
        <v>0</v>
      </c>
      <c r="I1240" s="27">
        <f>IF($G1240&lt;&gt;0,SUMIF(куб!$G:$G,$G1240,куб!I:I),IF($E1240&lt;&gt;0,SUMIF(куб!$E:$E,$E1240,куб!I:I),IF($D1240&lt;&gt;0,SUMIF(куб!$D:$D,$D1240,куб!I:I),IF($C1240&lt;&gt;0,SUMIF(куб!$C:$C,$C1240,куб!I:I),IF($B1240&lt;&gt;0,SUMIF(куб!$B:$B,$B1240,куб!I:I),IF($G1240&lt;&gt;0,SUMIF(куб!$A:$A,$G1240,куб!I:I),SUMIF(куб!$A:$A,$G1240,куб!I:I)))))))</f>
        <v>0</v>
      </c>
      <c r="J1240" s="19" t="str">
        <f t="shared" si="381"/>
        <v>-</v>
      </c>
      <c r="K1240" s="8"/>
      <c r="L1240" s="17">
        <f t="shared" si="382"/>
        <v>0</v>
      </c>
      <c r="M1240" s="17">
        <f t="shared" si="383"/>
        <v>0</v>
      </c>
      <c r="N1240" s="12">
        <f t="shared" si="384"/>
        <v>0</v>
      </c>
      <c r="O1240" s="5"/>
      <c r="P1240" s="27" t="b">
        <f>IF($G1240&lt;&gt;0,SUMIF(куб!$G:$G,$G1240,куб!J:J),IF($E1240&lt;&gt;0,SUMIF(куб!$E:$E,$E1240,куб!J:J),IF($D1240&lt;&gt;0,SUMIF(куб!$D:$D,$D1240,куб!J:J),IF($C1240&lt;&gt;0,SUMIF(куб!$C:$C,$C1240,куб!J:J),IF($B1240&lt;&gt;0,SUMIF(куб!$B:$B,$B1240,куб!J:J))))))</f>
        <v>0</v>
      </c>
      <c r="Q1240" s="27" t="b">
        <f>IF($G1240&lt;&gt;0,SUMIF(куб!$G:$G,$G1240,куб!K:K),IF($E1240&lt;&gt;0,SUMIF(куб!$E:$E,$E1240,куб!K:K),IF($D1240&lt;&gt;0,SUMIF(куб!$D:$D,$D1240,куб!K:K),IF($C1240&lt;&gt;0,SUMIF(куб!$C:$C,$C1240,куб!K:K),IF($B1240&lt;&gt;0,SUMIF(куб!$B:$B,$B1240,куб!K:K))))))</f>
        <v>0</v>
      </c>
      <c r="R1240" s="13" t="str">
        <f t="shared" si="385"/>
        <v>-</v>
      </c>
      <c r="S1240" s="5"/>
      <c r="T1240" s="27" t="b">
        <f>IF($G1240&lt;&gt;0,SUMIF(куб!$G:$G,$G1240,куб!L:L),IF($E1240&lt;&gt;0,SUMIF(куб!$E:$E,$E1240,куб!L:L),IF($D1240&lt;&gt;0,SUMIF(куб!$D:$D,$D1240,куб!L:L),IF($C1240&lt;&gt;0,SUMIF(куб!$C:$C,$C1240,куб!L:L),IF($B1240&lt;&gt;0,SUMIF(куб!$B:$B,$B1240,куб!L:L))))))</f>
        <v>0</v>
      </c>
      <c r="U1240" s="27" t="b">
        <f>IF($G1240&lt;&gt;0,SUMIF(куб!$G:$G,$G1240,куб!M:M),IF($E1240&lt;&gt;0,SUMIF(куб!$E:$E,$E1240,куб!M:M),IF($D1240&lt;&gt;0,SUMIF(куб!$D:$D,$D1240,куб!M:M),IF($C1240&lt;&gt;0,SUMIF(куб!$C:$C,$C1240,куб!M:M),IF($B1240&lt;&gt;0,SUMIF(куб!$B:$B,$B1240,куб!M:M))))))</f>
        <v>0</v>
      </c>
      <c r="V1240" s="13" t="str">
        <f t="shared" si="386"/>
        <v>-</v>
      </c>
      <c r="W1240" s="5"/>
      <c r="X1240" s="27" t="b">
        <f>IF($G1240&lt;&gt;0,SUMIF(куб!$G:$G,$G1240,куб!N:N),IF($E1240&lt;&gt;0,SUMIF(куб!$E:$E,$E1240,куб!N:N),IF($D1240&lt;&gt;0,SUMIF(куб!$D:$D,$D1240,куб!N:N),IF($C1240&lt;&gt;0,SUMIF(куб!$C:$C,$C1240,куб!N:N),IF($B1240&lt;&gt;0,SUMIF(куб!$B:$B,$B1240,куб!N:N))))))</f>
        <v>0</v>
      </c>
      <c r="Y1240" s="27" t="b">
        <f>IF($G1240&lt;&gt;0,SUMIF(куб!$G:$G,$G1240,куб!O:O),IF($E1240&lt;&gt;0,SUMIF(куб!$E:$E,$E1240,куб!O:O),IF($D1240&lt;&gt;0,SUMIF(куб!$D:$D,$D1240,куб!O:O),IF($C1240&lt;&gt;0,SUMIF(куб!$C:$C,$C1240,куб!O:O),IF($B1240&lt;&gt;0,SUMIF(куб!$B:$B,$B1240,куб!O:O))))))</f>
        <v>0</v>
      </c>
      <c r="Z1240" s="13" t="str">
        <f t="shared" si="387"/>
        <v>-</v>
      </c>
      <c r="AA1240" s="5"/>
      <c r="AB1240" s="33" t="str">
        <f t="shared" si="388"/>
        <v/>
      </c>
      <c r="AC1240" s="33" t="str">
        <f t="shared" si="389"/>
        <v/>
      </c>
      <c r="AD1240" s="15" t="str">
        <f t="shared" si="390"/>
        <v xml:space="preserve"> </v>
      </c>
      <c r="AE1240" s="5"/>
      <c r="AF1240" s="27" t="b">
        <f>IF($G1240&lt;&gt;0,SUMIF(куб!$G:$G,$G1240,куб!R:R),IF($E1240&lt;&gt;0,SUMIF(куб!$E:$E,$E1240,куб!R:R),IF($D1240&lt;&gt;0,SUMIF(куб!$D:$D,$D1240,куб!R:R),IF($C1240&lt;&gt;0,SUMIF(куб!$C:$C,$C1240,куб!R:R),IF($B1240&lt;&gt;0,SUMIF(куб!$B:$B,$B1240,куб!R:R))))))</f>
        <v>0</v>
      </c>
      <c r="AG1240" s="27" t="b">
        <f>IF($G1240&lt;&gt;0,SUMIF(куб!$G:$G,$G1240,куб!S:S),IF($E1240&lt;&gt;0,SUMIF(куб!$E:$E,$E1240,куб!S:S),IF($D1240&lt;&gt;0,SUMIF(куб!$D:$D,$D1240,куб!S:S),IF($C1240&lt;&gt;0,SUMIF(куб!$C:$C,$C1240,куб!S:S),IF($B1240&lt;&gt;0,SUMIF(куб!$B:$B,$B1240,куб!S:S))))))</f>
        <v>0</v>
      </c>
      <c r="AH1240" s="16" t="str">
        <f t="shared" si="391"/>
        <v>-</v>
      </c>
      <c r="AI1240" s="8"/>
      <c r="AJ1240" s="27" t="b">
        <f>IF($G1240&lt;&gt;0,SUMIF(куб!$G:$G,$G1240,куб!T:T),IF($E1240&lt;&gt;0,SUMIF(куб!$E:$E,$E1240,куб!T:T),IF($D1240&lt;&gt;0,SUMIF(куб!$D:$D,$D1240,куб!T:T),IF($C1240&lt;&gt;0,SUMIF(куб!$C:$C,$C1240,куб!T:T),IF($B1240&lt;&gt;0,SUMIF(куб!$B:$B,$B1240,куб!T:T))))))</f>
        <v>0</v>
      </c>
      <c r="AK1240" s="27" t="b">
        <f>IF($G1240&lt;&gt;0,SUMIF(куб!$G:$G,$G1240,куб!U:U),IF($E1240&lt;&gt;0,SUMIF(куб!$E:$E,$E1240,куб!U:U),IF($D1240&lt;&gt;0,SUMIF(куб!$D:$D,$D1240,куб!U:U),IF($C1240&lt;&gt;0,SUMIF(куб!$C:$C,$C1240,куб!U:U),IF($B1240&lt;&gt;0,SUMIF(куб!$B:$B,$B1240,куб!U:U))))))</f>
        <v>0</v>
      </c>
      <c r="AL1240" s="16" t="str">
        <f t="shared" si="392"/>
        <v>-</v>
      </c>
      <c r="AM1240" s="8"/>
      <c r="AN1240" s="17" t="str">
        <f t="shared" si="393"/>
        <v xml:space="preserve"> </v>
      </c>
      <c r="AO1240" s="17" t="str">
        <f t="shared" si="394"/>
        <v xml:space="preserve"> </v>
      </c>
      <c r="AP1240" s="16" t="str">
        <f t="shared" si="395"/>
        <v>-</v>
      </c>
      <c r="AQ1240" s="8"/>
      <c r="AR1240" s="17" t="str">
        <f t="shared" si="396"/>
        <v>-</v>
      </c>
      <c r="AS1240" s="17" t="str">
        <f t="shared" si="397"/>
        <v>-</v>
      </c>
      <c r="AT1240" s="13" t="str">
        <f t="shared" si="398"/>
        <v>-</v>
      </c>
      <c r="AU1240" s="8"/>
    </row>
    <row r="1241" spans="8:47" x14ac:dyDescent="0.25">
      <c r="H1241" s="27">
        <f>IF($G1241&lt;&gt;0,SUMIF(куб!$G:$G,$G1241,куб!H:H),IF($E1241&lt;&gt;0,SUMIF(куб!$E:$E,$E1241,куб!H:H),IF($D1241&lt;&gt;0,SUMIF(куб!$D:$D,$D1241,куб!H:H),IF($C1241&lt;&gt;0,SUMIF(куб!$C:$C,$C1241,куб!H:H),IF($B1241&lt;&gt;0,SUMIF(куб!$B:$B,$B1241,куб!H:H),IF($G1241&lt;&gt;0,SUMIF(куб!$A:$A,$G1241,куб!H:H),SUMIF(куб!$A:$A,$G1241,куб!H:H)))))))</f>
        <v>0</v>
      </c>
      <c r="I1241" s="27">
        <f>IF($G1241&lt;&gt;0,SUMIF(куб!$G:$G,$G1241,куб!I:I),IF($E1241&lt;&gt;0,SUMIF(куб!$E:$E,$E1241,куб!I:I),IF($D1241&lt;&gt;0,SUMIF(куб!$D:$D,$D1241,куб!I:I),IF($C1241&lt;&gt;0,SUMIF(куб!$C:$C,$C1241,куб!I:I),IF($B1241&lt;&gt;0,SUMIF(куб!$B:$B,$B1241,куб!I:I),IF($G1241&lt;&gt;0,SUMIF(куб!$A:$A,$G1241,куб!I:I),SUMIF(куб!$A:$A,$G1241,куб!I:I)))))))</f>
        <v>0</v>
      </c>
      <c r="J1241" s="19" t="str">
        <f t="shared" si="381"/>
        <v>-</v>
      </c>
      <c r="K1241" s="8"/>
      <c r="L1241" s="17">
        <f t="shared" si="382"/>
        <v>0</v>
      </c>
      <c r="M1241" s="17">
        <f t="shared" si="383"/>
        <v>0</v>
      </c>
      <c r="N1241" s="12">
        <f t="shared" si="384"/>
        <v>0</v>
      </c>
      <c r="O1241" s="5"/>
      <c r="P1241" s="27" t="b">
        <f>IF($G1241&lt;&gt;0,SUMIF(куб!$G:$G,$G1241,куб!J:J),IF($E1241&lt;&gt;0,SUMIF(куб!$E:$E,$E1241,куб!J:J),IF($D1241&lt;&gt;0,SUMIF(куб!$D:$D,$D1241,куб!J:J),IF($C1241&lt;&gt;0,SUMIF(куб!$C:$C,$C1241,куб!J:J),IF($B1241&lt;&gt;0,SUMIF(куб!$B:$B,$B1241,куб!J:J))))))</f>
        <v>0</v>
      </c>
      <c r="Q1241" s="27" t="b">
        <f>IF($G1241&lt;&gt;0,SUMIF(куб!$G:$G,$G1241,куб!K:K),IF($E1241&lt;&gt;0,SUMIF(куб!$E:$E,$E1241,куб!K:K),IF($D1241&lt;&gt;0,SUMIF(куб!$D:$D,$D1241,куб!K:K),IF($C1241&lt;&gt;0,SUMIF(куб!$C:$C,$C1241,куб!K:K),IF($B1241&lt;&gt;0,SUMIF(куб!$B:$B,$B1241,куб!K:K))))))</f>
        <v>0</v>
      </c>
      <c r="R1241" s="13" t="str">
        <f t="shared" si="385"/>
        <v>-</v>
      </c>
      <c r="S1241" s="5"/>
      <c r="T1241" s="27" t="b">
        <f>IF($G1241&lt;&gt;0,SUMIF(куб!$G:$G,$G1241,куб!L:L),IF($E1241&lt;&gt;0,SUMIF(куб!$E:$E,$E1241,куб!L:L),IF($D1241&lt;&gt;0,SUMIF(куб!$D:$D,$D1241,куб!L:L),IF($C1241&lt;&gt;0,SUMIF(куб!$C:$C,$C1241,куб!L:L),IF($B1241&lt;&gt;0,SUMIF(куб!$B:$B,$B1241,куб!L:L))))))</f>
        <v>0</v>
      </c>
      <c r="U1241" s="27" t="b">
        <f>IF($G1241&lt;&gt;0,SUMIF(куб!$G:$G,$G1241,куб!M:M),IF($E1241&lt;&gt;0,SUMIF(куб!$E:$E,$E1241,куб!M:M),IF($D1241&lt;&gt;0,SUMIF(куб!$D:$D,$D1241,куб!M:M),IF($C1241&lt;&gt;0,SUMIF(куб!$C:$C,$C1241,куб!M:M),IF($B1241&lt;&gt;0,SUMIF(куб!$B:$B,$B1241,куб!M:M))))))</f>
        <v>0</v>
      </c>
      <c r="V1241" s="13" t="str">
        <f t="shared" si="386"/>
        <v>-</v>
      </c>
      <c r="W1241" s="5"/>
      <c r="X1241" s="27" t="b">
        <f>IF($G1241&lt;&gt;0,SUMIF(куб!$G:$G,$G1241,куб!N:N),IF($E1241&lt;&gt;0,SUMIF(куб!$E:$E,$E1241,куб!N:N),IF($D1241&lt;&gt;0,SUMIF(куб!$D:$D,$D1241,куб!N:N),IF($C1241&lt;&gt;0,SUMIF(куб!$C:$C,$C1241,куб!N:N),IF($B1241&lt;&gt;0,SUMIF(куб!$B:$B,$B1241,куб!N:N))))))</f>
        <v>0</v>
      </c>
      <c r="Y1241" s="27" t="b">
        <f>IF($G1241&lt;&gt;0,SUMIF(куб!$G:$G,$G1241,куб!O:O),IF($E1241&lt;&gt;0,SUMIF(куб!$E:$E,$E1241,куб!O:O),IF($D1241&lt;&gt;0,SUMIF(куб!$D:$D,$D1241,куб!O:O),IF($C1241&lt;&gt;0,SUMIF(куб!$C:$C,$C1241,куб!O:O),IF($B1241&lt;&gt;0,SUMIF(куб!$B:$B,$B1241,куб!O:O))))))</f>
        <v>0</v>
      </c>
      <c r="Z1241" s="13" t="str">
        <f t="shared" si="387"/>
        <v>-</v>
      </c>
      <c r="AA1241" s="5"/>
      <c r="AB1241" s="33" t="str">
        <f t="shared" si="388"/>
        <v/>
      </c>
      <c r="AC1241" s="33" t="str">
        <f t="shared" si="389"/>
        <v/>
      </c>
      <c r="AD1241" s="15" t="str">
        <f t="shared" si="390"/>
        <v xml:space="preserve"> </v>
      </c>
      <c r="AE1241" s="5"/>
      <c r="AF1241" s="27" t="b">
        <f>IF($G1241&lt;&gt;0,SUMIF(куб!$G:$G,$G1241,куб!R:R),IF($E1241&lt;&gt;0,SUMIF(куб!$E:$E,$E1241,куб!R:R),IF($D1241&lt;&gt;0,SUMIF(куб!$D:$D,$D1241,куб!R:R),IF($C1241&lt;&gt;0,SUMIF(куб!$C:$C,$C1241,куб!R:R),IF($B1241&lt;&gt;0,SUMIF(куб!$B:$B,$B1241,куб!R:R))))))</f>
        <v>0</v>
      </c>
      <c r="AG1241" s="27" t="b">
        <f>IF($G1241&lt;&gt;0,SUMIF(куб!$G:$G,$G1241,куб!S:S),IF($E1241&lt;&gt;0,SUMIF(куб!$E:$E,$E1241,куб!S:S),IF($D1241&lt;&gt;0,SUMIF(куб!$D:$D,$D1241,куб!S:S),IF($C1241&lt;&gt;0,SUMIF(куб!$C:$C,$C1241,куб!S:S),IF($B1241&lt;&gt;0,SUMIF(куб!$B:$B,$B1241,куб!S:S))))))</f>
        <v>0</v>
      </c>
      <c r="AH1241" s="16" t="str">
        <f t="shared" si="391"/>
        <v>-</v>
      </c>
      <c r="AI1241" s="8"/>
      <c r="AJ1241" s="27" t="b">
        <f>IF($G1241&lt;&gt;0,SUMIF(куб!$G:$G,$G1241,куб!T:T),IF($E1241&lt;&gt;0,SUMIF(куб!$E:$E,$E1241,куб!T:T),IF($D1241&lt;&gt;0,SUMIF(куб!$D:$D,$D1241,куб!T:T),IF($C1241&lt;&gt;0,SUMIF(куб!$C:$C,$C1241,куб!T:T),IF($B1241&lt;&gt;0,SUMIF(куб!$B:$B,$B1241,куб!T:T))))))</f>
        <v>0</v>
      </c>
      <c r="AK1241" s="27" t="b">
        <f>IF($G1241&lt;&gt;0,SUMIF(куб!$G:$G,$G1241,куб!U:U),IF($E1241&lt;&gt;0,SUMIF(куб!$E:$E,$E1241,куб!U:U),IF($D1241&lt;&gt;0,SUMIF(куб!$D:$D,$D1241,куб!U:U),IF($C1241&lt;&gt;0,SUMIF(куб!$C:$C,$C1241,куб!U:U),IF($B1241&lt;&gt;0,SUMIF(куб!$B:$B,$B1241,куб!U:U))))))</f>
        <v>0</v>
      </c>
      <c r="AL1241" s="16" t="str">
        <f t="shared" si="392"/>
        <v>-</v>
      </c>
      <c r="AM1241" s="8"/>
      <c r="AN1241" s="17" t="str">
        <f t="shared" si="393"/>
        <v xml:space="preserve"> </v>
      </c>
      <c r="AO1241" s="17" t="str">
        <f t="shared" si="394"/>
        <v xml:space="preserve"> </v>
      </c>
      <c r="AP1241" s="16" t="str">
        <f t="shared" si="395"/>
        <v>-</v>
      </c>
      <c r="AQ1241" s="8"/>
      <c r="AR1241" s="17" t="str">
        <f t="shared" si="396"/>
        <v>-</v>
      </c>
      <c r="AS1241" s="17" t="str">
        <f t="shared" si="397"/>
        <v>-</v>
      </c>
      <c r="AT1241" s="13" t="str">
        <f t="shared" si="398"/>
        <v>-</v>
      </c>
      <c r="AU1241" s="8"/>
    </row>
    <row r="1242" spans="8:47" x14ac:dyDescent="0.25">
      <c r="H1242" s="27">
        <f>IF($G1242&lt;&gt;0,SUMIF(куб!$G:$G,$G1242,куб!H:H),IF($E1242&lt;&gt;0,SUMIF(куб!$E:$E,$E1242,куб!H:H),IF($D1242&lt;&gt;0,SUMIF(куб!$D:$D,$D1242,куб!H:H),IF($C1242&lt;&gt;0,SUMIF(куб!$C:$C,$C1242,куб!H:H),IF($B1242&lt;&gt;0,SUMIF(куб!$B:$B,$B1242,куб!H:H),IF($G1242&lt;&gt;0,SUMIF(куб!$A:$A,$G1242,куб!H:H),SUMIF(куб!$A:$A,$G1242,куб!H:H)))))))</f>
        <v>0</v>
      </c>
      <c r="I1242" s="27">
        <f>IF($G1242&lt;&gt;0,SUMIF(куб!$G:$G,$G1242,куб!I:I),IF($E1242&lt;&gt;0,SUMIF(куб!$E:$E,$E1242,куб!I:I),IF($D1242&lt;&gt;0,SUMIF(куб!$D:$D,$D1242,куб!I:I),IF($C1242&lt;&gt;0,SUMIF(куб!$C:$C,$C1242,куб!I:I),IF($B1242&lt;&gt;0,SUMIF(куб!$B:$B,$B1242,куб!I:I),IF($G1242&lt;&gt;0,SUMIF(куб!$A:$A,$G1242,куб!I:I),SUMIF(куб!$A:$A,$G1242,куб!I:I)))))))</f>
        <v>0</v>
      </c>
      <c r="J1242" s="19" t="str">
        <f t="shared" si="381"/>
        <v>-</v>
      </c>
      <c r="K1242" s="8"/>
      <c r="L1242" s="17">
        <f t="shared" si="382"/>
        <v>0</v>
      </c>
      <c r="M1242" s="17">
        <f t="shared" si="383"/>
        <v>0</v>
      </c>
      <c r="N1242" s="12">
        <f t="shared" si="384"/>
        <v>0</v>
      </c>
      <c r="O1242" s="5"/>
      <c r="P1242" s="27" t="b">
        <f>IF($G1242&lt;&gt;0,SUMIF(куб!$G:$G,$G1242,куб!J:J),IF($E1242&lt;&gt;0,SUMIF(куб!$E:$E,$E1242,куб!J:J),IF($D1242&lt;&gt;0,SUMIF(куб!$D:$D,$D1242,куб!J:J),IF($C1242&lt;&gt;0,SUMIF(куб!$C:$C,$C1242,куб!J:J),IF($B1242&lt;&gt;0,SUMIF(куб!$B:$B,$B1242,куб!J:J))))))</f>
        <v>0</v>
      </c>
      <c r="Q1242" s="27" t="b">
        <f>IF($G1242&lt;&gt;0,SUMIF(куб!$G:$G,$G1242,куб!K:K),IF($E1242&lt;&gt;0,SUMIF(куб!$E:$E,$E1242,куб!K:K),IF($D1242&lt;&gt;0,SUMIF(куб!$D:$D,$D1242,куб!K:K),IF($C1242&lt;&gt;0,SUMIF(куб!$C:$C,$C1242,куб!K:K),IF($B1242&lt;&gt;0,SUMIF(куб!$B:$B,$B1242,куб!K:K))))))</f>
        <v>0</v>
      </c>
      <c r="R1242" s="13" t="str">
        <f t="shared" si="385"/>
        <v>-</v>
      </c>
      <c r="S1242" s="5"/>
      <c r="T1242" s="27" t="b">
        <f>IF($G1242&lt;&gt;0,SUMIF(куб!$G:$G,$G1242,куб!L:L),IF($E1242&lt;&gt;0,SUMIF(куб!$E:$E,$E1242,куб!L:L),IF($D1242&lt;&gt;0,SUMIF(куб!$D:$D,$D1242,куб!L:L),IF($C1242&lt;&gt;0,SUMIF(куб!$C:$C,$C1242,куб!L:L),IF($B1242&lt;&gt;0,SUMIF(куб!$B:$B,$B1242,куб!L:L))))))</f>
        <v>0</v>
      </c>
      <c r="U1242" s="27" t="b">
        <f>IF($G1242&lt;&gt;0,SUMIF(куб!$G:$G,$G1242,куб!M:M),IF($E1242&lt;&gt;0,SUMIF(куб!$E:$E,$E1242,куб!M:M),IF($D1242&lt;&gt;0,SUMIF(куб!$D:$D,$D1242,куб!M:M),IF($C1242&lt;&gt;0,SUMIF(куб!$C:$C,$C1242,куб!M:M),IF($B1242&lt;&gt;0,SUMIF(куб!$B:$B,$B1242,куб!M:M))))))</f>
        <v>0</v>
      </c>
      <c r="V1242" s="13" t="str">
        <f t="shared" si="386"/>
        <v>-</v>
      </c>
      <c r="W1242" s="5"/>
      <c r="X1242" s="27" t="b">
        <f>IF($G1242&lt;&gt;0,SUMIF(куб!$G:$G,$G1242,куб!N:N),IF($E1242&lt;&gt;0,SUMIF(куб!$E:$E,$E1242,куб!N:N),IF($D1242&lt;&gt;0,SUMIF(куб!$D:$D,$D1242,куб!N:N),IF($C1242&lt;&gt;0,SUMIF(куб!$C:$C,$C1242,куб!N:N),IF($B1242&lt;&gt;0,SUMIF(куб!$B:$B,$B1242,куб!N:N))))))</f>
        <v>0</v>
      </c>
      <c r="Y1242" s="27" t="b">
        <f>IF($G1242&lt;&gt;0,SUMIF(куб!$G:$G,$G1242,куб!O:O),IF($E1242&lt;&gt;0,SUMIF(куб!$E:$E,$E1242,куб!O:O),IF($D1242&lt;&gt;0,SUMIF(куб!$D:$D,$D1242,куб!O:O),IF($C1242&lt;&gt;0,SUMIF(куб!$C:$C,$C1242,куб!O:O),IF($B1242&lt;&gt;0,SUMIF(куб!$B:$B,$B1242,куб!O:O))))))</f>
        <v>0</v>
      </c>
      <c r="Z1242" s="13" t="str">
        <f t="shared" si="387"/>
        <v>-</v>
      </c>
      <c r="AA1242" s="5"/>
      <c r="AB1242" s="33" t="str">
        <f t="shared" si="388"/>
        <v/>
      </c>
      <c r="AC1242" s="33" t="str">
        <f t="shared" si="389"/>
        <v/>
      </c>
      <c r="AD1242" s="15" t="str">
        <f t="shared" si="390"/>
        <v xml:space="preserve"> </v>
      </c>
      <c r="AE1242" s="5"/>
      <c r="AF1242" s="27" t="b">
        <f>IF($G1242&lt;&gt;0,SUMIF(куб!$G:$G,$G1242,куб!R:R),IF($E1242&lt;&gt;0,SUMIF(куб!$E:$E,$E1242,куб!R:R),IF($D1242&lt;&gt;0,SUMIF(куб!$D:$D,$D1242,куб!R:R),IF($C1242&lt;&gt;0,SUMIF(куб!$C:$C,$C1242,куб!R:R),IF($B1242&lt;&gt;0,SUMIF(куб!$B:$B,$B1242,куб!R:R))))))</f>
        <v>0</v>
      </c>
      <c r="AG1242" s="27" t="b">
        <f>IF($G1242&lt;&gt;0,SUMIF(куб!$G:$G,$G1242,куб!S:S),IF($E1242&lt;&gt;0,SUMIF(куб!$E:$E,$E1242,куб!S:S),IF($D1242&lt;&gt;0,SUMIF(куб!$D:$D,$D1242,куб!S:S),IF($C1242&lt;&gt;0,SUMIF(куб!$C:$C,$C1242,куб!S:S),IF($B1242&lt;&gt;0,SUMIF(куб!$B:$B,$B1242,куб!S:S))))))</f>
        <v>0</v>
      </c>
      <c r="AH1242" s="16" t="str">
        <f t="shared" si="391"/>
        <v>-</v>
      </c>
      <c r="AI1242" s="8"/>
      <c r="AJ1242" s="27" t="b">
        <f>IF($G1242&lt;&gt;0,SUMIF(куб!$G:$G,$G1242,куб!T:T),IF($E1242&lt;&gt;0,SUMIF(куб!$E:$E,$E1242,куб!T:T),IF($D1242&lt;&gt;0,SUMIF(куб!$D:$D,$D1242,куб!T:T),IF($C1242&lt;&gt;0,SUMIF(куб!$C:$C,$C1242,куб!T:T),IF($B1242&lt;&gt;0,SUMIF(куб!$B:$B,$B1242,куб!T:T))))))</f>
        <v>0</v>
      </c>
      <c r="AK1242" s="27" t="b">
        <f>IF($G1242&lt;&gt;0,SUMIF(куб!$G:$G,$G1242,куб!U:U),IF($E1242&lt;&gt;0,SUMIF(куб!$E:$E,$E1242,куб!U:U),IF($D1242&lt;&gt;0,SUMIF(куб!$D:$D,$D1242,куб!U:U),IF($C1242&lt;&gt;0,SUMIF(куб!$C:$C,$C1242,куб!U:U),IF($B1242&lt;&gt;0,SUMIF(куб!$B:$B,$B1242,куб!U:U))))))</f>
        <v>0</v>
      </c>
      <c r="AL1242" s="16" t="str">
        <f t="shared" si="392"/>
        <v>-</v>
      </c>
      <c r="AM1242" s="8"/>
      <c r="AN1242" s="17" t="str">
        <f t="shared" si="393"/>
        <v xml:space="preserve"> </v>
      </c>
      <c r="AO1242" s="17" t="str">
        <f t="shared" si="394"/>
        <v xml:space="preserve"> </v>
      </c>
      <c r="AP1242" s="16" t="str">
        <f t="shared" si="395"/>
        <v>-</v>
      </c>
      <c r="AQ1242" s="8"/>
      <c r="AR1242" s="17" t="str">
        <f t="shared" si="396"/>
        <v>-</v>
      </c>
      <c r="AS1242" s="17" t="str">
        <f t="shared" si="397"/>
        <v>-</v>
      </c>
      <c r="AT1242" s="13" t="str">
        <f t="shared" si="398"/>
        <v>-</v>
      </c>
      <c r="AU1242" s="8"/>
    </row>
    <row r="1243" spans="8:47" x14ac:dyDescent="0.25">
      <c r="H1243" s="27">
        <f>IF($G1243&lt;&gt;0,SUMIF(куб!$G:$G,$G1243,куб!H:H),IF($E1243&lt;&gt;0,SUMIF(куб!$E:$E,$E1243,куб!H:H),IF($D1243&lt;&gt;0,SUMIF(куб!$D:$D,$D1243,куб!H:H),IF($C1243&lt;&gt;0,SUMIF(куб!$C:$C,$C1243,куб!H:H),IF($B1243&lt;&gt;0,SUMIF(куб!$B:$B,$B1243,куб!H:H),IF($G1243&lt;&gt;0,SUMIF(куб!$A:$A,$G1243,куб!H:H),SUMIF(куб!$A:$A,$G1243,куб!H:H)))))))</f>
        <v>0</v>
      </c>
      <c r="I1243" s="27">
        <f>IF($G1243&lt;&gt;0,SUMIF(куб!$G:$G,$G1243,куб!I:I),IF($E1243&lt;&gt;0,SUMIF(куб!$E:$E,$E1243,куб!I:I),IF($D1243&lt;&gt;0,SUMIF(куб!$D:$D,$D1243,куб!I:I),IF($C1243&lt;&gt;0,SUMIF(куб!$C:$C,$C1243,куб!I:I),IF($B1243&lt;&gt;0,SUMIF(куб!$B:$B,$B1243,куб!I:I),IF($G1243&lt;&gt;0,SUMIF(куб!$A:$A,$G1243,куб!I:I),SUMIF(куб!$A:$A,$G1243,куб!I:I)))))))</f>
        <v>0</v>
      </c>
      <c r="J1243" s="19" t="str">
        <f t="shared" si="381"/>
        <v>-</v>
      </c>
      <c r="K1243" s="8"/>
      <c r="L1243" s="17">
        <f t="shared" si="382"/>
        <v>0</v>
      </c>
      <c r="M1243" s="17">
        <f t="shared" si="383"/>
        <v>0</v>
      </c>
      <c r="N1243" s="12">
        <f t="shared" si="384"/>
        <v>0</v>
      </c>
      <c r="O1243" s="5"/>
      <c r="P1243" s="27" t="b">
        <f>IF($G1243&lt;&gt;0,SUMIF(куб!$G:$G,$G1243,куб!J:J),IF($E1243&lt;&gt;0,SUMIF(куб!$E:$E,$E1243,куб!J:J),IF($D1243&lt;&gt;0,SUMIF(куб!$D:$D,$D1243,куб!J:J),IF($C1243&lt;&gt;0,SUMIF(куб!$C:$C,$C1243,куб!J:J),IF($B1243&lt;&gt;0,SUMIF(куб!$B:$B,$B1243,куб!J:J))))))</f>
        <v>0</v>
      </c>
      <c r="Q1243" s="27" t="b">
        <f>IF($G1243&lt;&gt;0,SUMIF(куб!$G:$G,$G1243,куб!K:K),IF($E1243&lt;&gt;0,SUMIF(куб!$E:$E,$E1243,куб!K:K),IF($D1243&lt;&gt;0,SUMIF(куб!$D:$D,$D1243,куб!K:K),IF($C1243&lt;&gt;0,SUMIF(куб!$C:$C,$C1243,куб!K:K),IF($B1243&lt;&gt;0,SUMIF(куб!$B:$B,$B1243,куб!K:K))))))</f>
        <v>0</v>
      </c>
      <c r="R1243" s="13" t="str">
        <f t="shared" si="385"/>
        <v>-</v>
      </c>
      <c r="S1243" s="5"/>
      <c r="T1243" s="27" t="b">
        <f>IF($G1243&lt;&gt;0,SUMIF(куб!$G:$G,$G1243,куб!L:L),IF($E1243&lt;&gt;0,SUMIF(куб!$E:$E,$E1243,куб!L:L),IF($D1243&lt;&gt;0,SUMIF(куб!$D:$D,$D1243,куб!L:L),IF($C1243&lt;&gt;0,SUMIF(куб!$C:$C,$C1243,куб!L:L),IF($B1243&lt;&gt;0,SUMIF(куб!$B:$B,$B1243,куб!L:L))))))</f>
        <v>0</v>
      </c>
      <c r="U1243" s="27" t="b">
        <f>IF($G1243&lt;&gt;0,SUMIF(куб!$G:$G,$G1243,куб!M:M),IF($E1243&lt;&gt;0,SUMIF(куб!$E:$E,$E1243,куб!M:M),IF($D1243&lt;&gt;0,SUMIF(куб!$D:$D,$D1243,куб!M:M),IF($C1243&lt;&gt;0,SUMIF(куб!$C:$C,$C1243,куб!M:M),IF($B1243&lt;&gt;0,SUMIF(куб!$B:$B,$B1243,куб!M:M))))))</f>
        <v>0</v>
      </c>
      <c r="V1243" s="13" t="str">
        <f t="shared" si="386"/>
        <v>-</v>
      </c>
      <c r="W1243" s="5"/>
      <c r="X1243" s="27" t="b">
        <f>IF($G1243&lt;&gt;0,SUMIF(куб!$G:$G,$G1243,куб!N:N),IF($E1243&lt;&gt;0,SUMIF(куб!$E:$E,$E1243,куб!N:N),IF($D1243&lt;&gt;0,SUMIF(куб!$D:$D,$D1243,куб!N:N),IF($C1243&lt;&gt;0,SUMIF(куб!$C:$C,$C1243,куб!N:N),IF($B1243&lt;&gt;0,SUMIF(куб!$B:$B,$B1243,куб!N:N))))))</f>
        <v>0</v>
      </c>
      <c r="Y1243" s="27" t="b">
        <f>IF($G1243&lt;&gt;0,SUMIF(куб!$G:$G,$G1243,куб!O:O),IF($E1243&lt;&gt;0,SUMIF(куб!$E:$E,$E1243,куб!O:O),IF($D1243&lt;&gt;0,SUMIF(куб!$D:$D,$D1243,куб!O:O),IF($C1243&lt;&gt;0,SUMIF(куб!$C:$C,$C1243,куб!O:O),IF($B1243&lt;&gt;0,SUMIF(куб!$B:$B,$B1243,куб!O:O))))))</f>
        <v>0</v>
      </c>
      <c r="Z1243" s="13" t="str">
        <f t="shared" si="387"/>
        <v>-</v>
      </c>
      <c r="AA1243" s="5"/>
      <c r="AB1243" s="33" t="str">
        <f t="shared" si="388"/>
        <v/>
      </c>
      <c r="AC1243" s="33" t="str">
        <f t="shared" si="389"/>
        <v/>
      </c>
      <c r="AD1243" s="15" t="str">
        <f t="shared" si="390"/>
        <v xml:space="preserve"> </v>
      </c>
      <c r="AE1243" s="5"/>
      <c r="AF1243" s="27" t="b">
        <f>IF($G1243&lt;&gt;0,SUMIF(куб!$G:$G,$G1243,куб!R:R),IF($E1243&lt;&gt;0,SUMIF(куб!$E:$E,$E1243,куб!R:R),IF($D1243&lt;&gt;0,SUMIF(куб!$D:$D,$D1243,куб!R:R),IF($C1243&lt;&gt;0,SUMIF(куб!$C:$C,$C1243,куб!R:R),IF($B1243&lt;&gt;0,SUMIF(куб!$B:$B,$B1243,куб!R:R))))))</f>
        <v>0</v>
      </c>
      <c r="AG1243" s="27" t="b">
        <f>IF($G1243&lt;&gt;0,SUMIF(куб!$G:$G,$G1243,куб!S:S),IF($E1243&lt;&gt;0,SUMIF(куб!$E:$E,$E1243,куб!S:S),IF($D1243&lt;&gt;0,SUMIF(куб!$D:$D,$D1243,куб!S:S),IF($C1243&lt;&gt;0,SUMIF(куб!$C:$C,$C1243,куб!S:S),IF($B1243&lt;&gt;0,SUMIF(куб!$B:$B,$B1243,куб!S:S))))))</f>
        <v>0</v>
      </c>
      <c r="AH1243" s="16" t="str">
        <f t="shared" si="391"/>
        <v>-</v>
      </c>
      <c r="AI1243" s="8"/>
      <c r="AJ1243" s="27" t="b">
        <f>IF($G1243&lt;&gt;0,SUMIF(куб!$G:$G,$G1243,куб!T:T),IF($E1243&lt;&gt;0,SUMIF(куб!$E:$E,$E1243,куб!T:T),IF($D1243&lt;&gt;0,SUMIF(куб!$D:$D,$D1243,куб!T:T),IF($C1243&lt;&gt;0,SUMIF(куб!$C:$C,$C1243,куб!T:T),IF($B1243&lt;&gt;0,SUMIF(куб!$B:$B,$B1243,куб!T:T))))))</f>
        <v>0</v>
      </c>
      <c r="AK1243" s="27" t="b">
        <f>IF($G1243&lt;&gt;0,SUMIF(куб!$G:$G,$G1243,куб!U:U),IF($E1243&lt;&gt;0,SUMIF(куб!$E:$E,$E1243,куб!U:U),IF($D1243&lt;&gt;0,SUMIF(куб!$D:$D,$D1243,куб!U:U),IF($C1243&lt;&gt;0,SUMIF(куб!$C:$C,$C1243,куб!U:U),IF($B1243&lt;&gt;0,SUMIF(куб!$B:$B,$B1243,куб!U:U))))))</f>
        <v>0</v>
      </c>
      <c r="AL1243" s="16" t="str">
        <f t="shared" si="392"/>
        <v>-</v>
      </c>
      <c r="AM1243" s="8"/>
      <c r="AN1243" s="17" t="str">
        <f t="shared" si="393"/>
        <v xml:space="preserve"> </v>
      </c>
      <c r="AO1243" s="17" t="str">
        <f t="shared" si="394"/>
        <v xml:space="preserve"> </v>
      </c>
      <c r="AP1243" s="16" t="str">
        <f t="shared" si="395"/>
        <v>-</v>
      </c>
      <c r="AQ1243" s="8"/>
      <c r="AR1243" s="17" t="str">
        <f t="shared" si="396"/>
        <v>-</v>
      </c>
      <c r="AS1243" s="17" t="str">
        <f t="shared" si="397"/>
        <v>-</v>
      </c>
      <c r="AT1243" s="13" t="str">
        <f t="shared" si="398"/>
        <v>-</v>
      </c>
      <c r="AU1243" s="8"/>
    </row>
    <row r="1244" spans="8:47" x14ac:dyDescent="0.25">
      <c r="H1244" s="27">
        <f>IF($G1244&lt;&gt;0,SUMIF(куб!$G:$G,$G1244,куб!H:H),IF($E1244&lt;&gt;0,SUMIF(куб!$E:$E,$E1244,куб!H:H),IF($D1244&lt;&gt;0,SUMIF(куб!$D:$D,$D1244,куб!H:H),IF($C1244&lt;&gt;0,SUMIF(куб!$C:$C,$C1244,куб!H:H),IF($B1244&lt;&gt;0,SUMIF(куб!$B:$B,$B1244,куб!H:H),IF($G1244&lt;&gt;0,SUMIF(куб!$A:$A,$G1244,куб!H:H),SUMIF(куб!$A:$A,$G1244,куб!H:H)))))))</f>
        <v>0</v>
      </c>
      <c r="I1244" s="27">
        <f>IF($G1244&lt;&gt;0,SUMIF(куб!$G:$G,$G1244,куб!I:I),IF($E1244&lt;&gt;0,SUMIF(куб!$E:$E,$E1244,куб!I:I),IF($D1244&lt;&gt;0,SUMIF(куб!$D:$D,$D1244,куб!I:I),IF($C1244&lt;&gt;0,SUMIF(куб!$C:$C,$C1244,куб!I:I),IF($B1244&lt;&gt;0,SUMIF(куб!$B:$B,$B1244,куб!I:I),IF($G1244&lt;&gt;0,SUMIF(куб!$A:$A,$G1244,куб!I:I),SUMIF(куб!$A:$A,$G1244,куб!I:I)))))))</f>
        <v>0</v>
      </c>
      <c r="J1244" s="19" t="str">
        <f t="shared" si="381"/>
        <v>-</v>
      </c>
      <c r="K1244" s="8"/>
      <c r="L1244" s="17">
        <f t="shared" si="382"/>
        <v>0</v>
      </c>
      <c r="M1244" s="17">
        <f t="shared" si="383"/>
        <v>0</v>
      </c>
      <c r="N1244" s="12">
        <f t="shared" si="384"/>
        <v>0</v>
      </c>
      <c r="O1244" s="5"/>
      <c r="P1244" s="27" t="b">
        <f>IF($G1244&lt;&gt;0,SUMIF(куб!$G:$G,$G1244,куб!J:J),IF($E1244&lt;&gt;0,SUMIF(куб!$E:$E,$E1244,куб!J:J),IF($D1244&lt;&gt;0,SUMIF(куб!$D:$D,$D1244,куб!J:J),IF($C1244&lt;&gt;0,SUMIF(куб!$C:$C,$C1244,куб!J:J),IF($B1244&lt;&gt;0,SUMIF(куб!$B:$B,$B1244,куб!J:J))))))</f>
        <v>0</v>
      </c>
      <c r="Q1244" s="27" t="b">
        <f>IF($G1244&lt;&gt;0,SUMIF(куб!$G:$G,$G1244,куб!K:K),IF($E1244&lt;&gt;0,SUMIF(куб!$E:$E,$E1244,куб!K:K),IF($D1244&lt;&gt;0,SUMIF(куб!$D:$D,$D1244,куб!K:K),IF($C1244&lt;&gt;0,SUMIF(куб!$C:$C,$C1244,куб!K:K),IF($B1244&lt;&gt;0,SUMIF(куб!$B:$B,$B1244,куб!K:K))))))</f>
        <v>0</v>
      </c>
      <c r="R1244" s="13" t="str">
        <f t="shared" si="385"/>
        <v>-</v>
      </c>
      <c r="S1244" s="5"/>
      <c r="T1244" s="27" t="b">
        <f>IF($G1244&lt;&gt;0,SUMIF(куб!$G:$G,$G1244,куб!L:L),IF($E1244&lt;&gt;0,SUMIF(куб!$E:$E,$E1244,куб!L:L),IF($D1244&lt;&gt;0,SUMIF(куб!$D:$D,$D1244,куб!L:L),IF($C1244&lt;&gt;0,SUMIF(куб!$C:$C,$C1244,куб!L:L),IF($B1244&lt;&gt;0,SUMIF(куб!$B:$B,$B1244,куб!L:L))))))</f>
        <v>0</v>
      </c>
      <c r="U1244" s="27" t="b">
        <f>IF($G1244&lt;&gt;0,SUMIF(куб!$G:$G,$G1244,куб!M:M),IF($E1244&lt;&gt;0,SUMIF(куб!$E:$E,$E1244,куб!M:M),IF($D1244&lt;&gt;0,SUMIF(куб!$D:$D,$D1244,куб!M:M),IF($C1244&lt;&gt;0,SUMIF(куб!$C:$C,$C1244,куб!M:M),IF($B1244&lt;&gt;0,SUMIF(куб!$B:$B,$B1244,куб!M:M))))))</f>
        <v>0</v>
      </c>
      <c r="V1244" s="13" t="str">
        <f t="shared" si="386"/>
        <v>-</v>
      </c>
      <c r="W1244" s="5"/>
      <c r="X1244" s="27" t="b">
        <f>IF($G1244&lt;&gt;0,SUMIF(куб!$G:$G,$G1244,куб!N:N),IF($E1244&lt;&gt;0,SUMIF(куб!$E:$E,$E1244,куб!N:N),IF($D1244&lt;&gt;0,SUMIF(куб!$D:$D,$D1244,куб!N:N),IF($C1244&lt;&gt;0,SUMIF(куб!$C:$C,$C1244,куб!N:N),IF($B1244&lt;&gt;0,SUMIF(куб!$B:$B,$B1244,куб!N:N))))))</f>
        <v>0</v>
      </c>
      <c r="Y1244" s="27" t="b">
        <f>IF($G1244&lt;&gt;0,SUMIF(куб!$G:$G,$G1244,куб!O:O),IF($E1244&lt;&gt;0,SUMIF(куб!$E:$E,$E1244,куб!O:O),IF($D1244&lt;&gt;0,SUMIF(куб!$D:$D,$D1244,куб!O:O),IF($C1244&lt;&gt;0,SUMIF(куб!$C:$C,$C1244,куб!O:O),IF($B1244&lt;&gt;0,SUMIF(куб!$B:$B,$B1244,куб!O:O))))))</f>
        <v>0</v>
      </c>
      <c r="Z1244" s="13" t="str">
        <f t="shared" si="387"/>
        <v>-</v>
      </c>
      <c r="AA1244" s="5"/>
      <c r="AB1244" s="33" t="str">
        <f t="shared" si="388"/>
        <v/>
      </c>
      <c r="AC1244" s="33" t="str">
        <f t="shared" si="389"/>
        <v/>
      </c>
      <c r="AD1244" s="15" t="str">
        <f t="shared" si="390"/>
        <v xml:space="preserve"> </v>
      </c>
      <c r="AE1244" s="5"/>
      <c r="AF1244" s="27" t="b">
        <f>IF($G1244&lt;&gt;0,SUMIF(куб!$G:$G,$G1244,куб!R:R),IF($E1244&lt;&gt;0,SUMIF(куб!$E:$E,$E1244,куб!R:R),IF($D1244&lt;&gt;0,SUMIF(куб!$D:$D,$D1244,куб!R:R),IF($C1244&lt;&gt;0,SUMIF(куб!$C:$C,$C1244,куб!R:R),IF($B1244&lt;&gt;0,SUMIF(куб!$B:$B,$B1244,куб!R:R))))))</f>
        <v>0</v>
      </c>
      <c r="AG1244" s="27" t="b">
        <f>IF($G1244&lt;&gt;0,SUMIF(куб!$G:$G,$G1244,куб!S:S),IF($E1244&lt;&gt;0,SUMIF(куб!$E:$E,$E1244,куб!S:S),IF($D1244&lt;&gt;0,SUMIF(куб!$D:$D,$D1244,куб!S:S),IF($C1244&lt;&gt;0,SUMIF(куб!$C:$C,$C1244,куб!S:S),IF($B1244&lt;&gt;0,SUMIF(куб!$B:$B,$B1244,куб!S:S))))))</f>
        <v>0</v>
      </c>
      <c r="AH1244" s="16" t="str">
        <f t="shared" si="391"/>
        <v>-</v>
      </c>
      <c r="AI1244" s="8"/>
      <c r="AJ1244" s="27" t="b">
        <f>IF($G1244&lt;&gt;0,SUMIF(куб!$G:$G,$G1244,куб!T:T),IF($E1244&lt;&gt;0,SUMIF(куб!$E:$E,$E1244,куб!T:T),IF($D1244&lt;&gt;0,SUMIF(куб!$D:$D,$D1244,куб!T:T),IF($C1244&lt;&gt;0,SUMIF(куб!$C:$C,$C1244,куб!T:T),IF($B1244&lt;&gt;0,SUMIF(куб!$B:$B,$B1244,куб!T:T))))))</f>
        <v>0</v>
      </c>
      <c r="AK1244" s="27" t="b">
        <f>IF($G1244&lt;&gt;0,SUMIF(куб!$G:$G,$G1244,куб!U:U),IF($E1244&lt;&gt;0,SUMIF(куб!$E:$E,$E1244,куб!U:U),IF($D1244&lt;&gt;0,SUMIF(куб!$D:$D,$D1244,куб!U:U),IF($C1244&lt;&gt;0,SUMIF(куб!$C:$C,$C1244,куб!U:U),IF($B1244&lt;&gt;0,SUMIF(куб!$B:$B,$B1244,куб!U:U))))))</f>
        <v>0</v>
      </c>
      <c r="AL1244" s="16" t="str">
        <f t="shared" si="392"/>
        <v>-</v>
      </c>
      <c r="AM1244" s="8"/>
      <c r="AN1244" s="17" t="str">
        <f t="shared" si="393"/>
        <v xml:space="preserve"> </v>
      </c>
      <c r="AO1244" s="17" t="str">
        <f t="shared" si="394"/>
        <v xml:space="preserve"> </v>
      </c>
      <c r="AP1244" s="16" t="str">
        <f t="shared" si="395"/>
        <v>-</v>
      </c>
      <c r="AQ1244" s="8"/>
      <c r="AR1244" s="17" t="str">
        <f t="shared" si="396"/>
        <v>-</v>
      </c>
      <c r="AS1244" s="17" t="str">
        <f t="shared" si="397"/>
        <v>-</v>
      </c>
      <c r="AT1244" s="13" t="str">
        <f t="shared" si="398"/>
        <v>-</v>
      </c>
      <c r="AU1244" s="8"/>
    </row>
    <row r="1245" spans="8:47" x14ac:dyDescent="0.25">
      <c r="H1245" s="27">
        <f>IF($G1245&lt;&gt;0,SUMIF(куб!$G:$G,$G1245,куб!H:H),IF($E1245&lt;&gt;0,SUMIF(куб!$E:$E,$E1245,куб!H:H),IF($D1245&lt;&gt;0,SUMIF(куб!$D:$D,$D1245,куб!H:H),IF($C1245&lt;&gt;0,SUMIF(куб!$C:$C,$C1245,куб!H:H),IF($B1245&lt;&gt;0,SUMIF(куб!$B:$B,$B1245,куб!H:H),IF($G1245&lt;&gt;0,SUMIF(куб!$A:$A,$G1245,куб!H:H),SUMIF(куб!$A:$A,$G1245,куб!H:H)))))))</f>
        <v>0</v>
      </c>
      <c r="I1245" s="27">
        <f>IF($G1245&lt;&gt;0,SUMIF(куб!$G:$G,$G1245,куб!I:I),IF($E1245&lt;&gt;0,SUMIF(куб!$E:$E,$E1245,куб!I:I),IF($D1245&lt;&gt;0,SUMIF(куб!$D:$D,$D1245,куб!I:I),IF($C1245&lt;&gt;0,SUMIF(куб!$C:$C,$C1245,куб!I:I),IF($B1245&lt;&gt;0,SUMIF(куб!$B:$B,$B1245,куб!I:I),IF($G1245&lt;&gt;0,SUMIF(куб!$A:$A,$G1245,куб!I:I),SUMIF(куб!$A:$A,$G1245,куб!I:I)))))))</f>
        <v>0</v>
      </c>
      <c r="J1245" s="19" t="str">
        <f t="shared" si="381"/>
        <v>-</v>
      </c>
      <c r="K1245" s="8"/>
      <c r="L1245" s="17">
        <f t="shared" si="382"/>
        <v>0</v>
      </c>
      <c r="M1245" s="17">
        <f t="shared" si="383"/>
        <v>0</v>
      </c>
      <c r="N1245" s="12">
        <f t="shared" si="384"/>
        <v>0</v>
      </c>
      <c r="O1245" s="5"/>
      <c r="P1245" s="27" t="b">
        <f>IF($G1245&lt;&gt;0,SUMIF(куб!$G:$G,$G1245,куб!J:J),IF($E1245&lt;&gt;0,SUMIF(куб!$E:$E,$E1245,куб!J:J),IF($D1245&lt;&gt;0,SUMIF(куб!$D:$D,$D1245,куб!J:J),IF($C1245&lt;&gt;0,SUMIF(куб!$C:$C,$C1245,куб!J:J),IF($B1245&lt;&gt;0,SUMIF(куб!$B:$B,$B1245,куб!J:J))))))</f>
        <v>0</v>
      </c>
      <c r="Q1245" s="27" t="b">
        <f>IF($G1245&lt;&gt;0,SUMIF(куб!$G:$G,$G1245,куб!K:K),IF($E1245&lt;&gt;0,SUMIF(куб!$E:$E,$E1245,куб!K:K),IF($D1245&lt;&gt;0,SUMIF(куб!$D:$D,$D1245,куб!K:K),IF($C1245&lt;&gt;0,SUMIF(куб!$C:$C,$C1245,куб!K:K),IF($B1245&lt;&gt;0,SUMIF(куб!$B:$B,$B1245,куб!K:K))))))</f>
        <v>0</v>
      </c>
      <c r="R1245" s="13" t="str">
        <f t="shared" si="385"/>
        <v>-</v>
      </c>
      <c r="S1245" s="5"/>
      <c r="T1245" s="27" t="b">
        <f>IF($G1245&lt;&gt;0,SUMIF(куб!$G:$G,$G1245,куб!L:L),IF($E1245&lt;&gt;0,SUMIF(куб!$E:$E,$E1245,куб!L:L),IF($D1245&lt;&gt;0,SUMIF(куб!$D:$D,$D1245,куб!L:L),IF($C1245&lt;&gt;0,SUMIF(куб!$C:$C,$C1245,куб!L:L),IF($B1245&lt;&gt;0,SUMIF(куб!$B:$B,$B1245,куб!L:L))))))</f>
        <v>0</v>
      </c>
      <c r="U1245" s="27" t="b">
        <f>IF($G1245&lt;&gt;0,SUMIF(куб!$G:$G,$G1245,куб!M:M),IF($E1245&lt;&gt;0,SUMIF(куб!$E:$E,$E1245,куб!M:M),IF($D1245&lt;&gt;0,SUMIF(куб!$D:$D,$D1245,куб!M:M),IF($C1245&lt;&gt;0,SUMIF(куб!$C:$C,$C1245,куб!M:M),IF($B1245&lt;&gt;0,SUMIF(куб!$B:$B,$B1245,куб!M:M))))))</f>
        <v>0</v>
      </c>
      <c r="V1245" s="13" t="str">
        <f t="shared" si="386"/>
        <v>-</v>
      </c>
      <c r="W1245" s="5"/>
      <c r="X1245" s="27" t="b">
        <f>IF($G1245&lt;&gt;0,SUMIF(куб!$G:$G,$G1245,куб!N:N),IF($E1245&lt;&gt;0,SUMIF(куб!$E:$E,$E1245,куб!N:N),IF($D1245&lt;&gt;0,SUMIF(куб!$D:$D,$D1245,куб!N:N),IF($C1245&lt;&gt;0,SUMIF(куб!$C:$C,$C1245,куб!N:N),IF($B1245&lt;&gt;0,SUMIF(куб!$B:$B,$B1245,куб!N:N))))))</f>
        <v>0</v>
      </c>
      <c r="Y1245" s="27" t="b">
        <f>IF($G1245&lt;&gt;0,SUMIF(куб!$G:$G,$G1245,куб!O:O),IF($E1245&lt;&gt;0,SUMIF(куб!$E:$E,$E1245,куб!O:O),IF($D1245&lt;&gt;0,SUMIF(куб!$D:$D,$D1245,куб!O:O),IF($C1245&lt;&gt;0,SUMIF(куб!$C:$C,$C1245,куб!O:O),IF($B1245&lt;&gt;0,SUMIF(куб!$B:$B,$B1245,куб!O:O))))))</f>
        <v>0</v>
      </c>
      <c r="Z1245" s="13" t="str">
        <f t="shared" si="387"/>
        <v>-</v>
      </c>
      <c r="AA1245" s="5"/>
      <c r="AB1245" s="33" t="str">
        <f t="shared" si="388"/>
        <v/>
      </c>
      <c r="AC1245" s="33" t="str">
        <f t="shared" si="389"/>
        <v/>
      </c>
      <c r="AD1245" s="15" t="str">
        <f t="shared" si="390"/>
        <v xml:space="preserve"> </v>
      </c>
      <c r="AE1245" s="5"/>
      <c r="AF1245" s="27" t="b">
        <f>IF($G1245&lt;&gt;0,SUMIF(куб!$G:$G,$G1245,куб!R:R),IF($E1245&lt;&gt;0,SUMIF(куб!$E:$E,$E1245,куб!R:R),IF($D1245&lt;&gt;0,SUMIF(куб!$D:$D,$D1245,куб!R:R),IF($C1245&lt;&gt;0,SUMIF(куб!$C:$C,$C1245,куб!R:R),IF($B1245&lt;&gt;0,SUMIF(куб!$B:$B,$B1245,куб!R:R))))))</f>
        <v>0</v>
      </c>
      <c r="AG1245" s="27" t="b">
        <f>IF($G1245&lt;&gt;0,SUMIF(куб!$G:$G,$G1245,куб!S:S),IF($E1245&lt;&gt;0,SUMIF(куб!$E:$E,$E1245,куб!S:S),IF($D1245&lt;&gt;0,SUMIF(куб!$D:$D,$D1245,куб!S:S),IF($C1245&lt;&gt;0,SUMIF(куб!$C:$C,$C1245,куб!S:S),IF($B1245&lt;&gt;0,SUMIF(куб!$B:$B,$B1245,куб!S:S))))))</f>
        <v>0</v>
      </c>
      <c r="AH1245" s="16" t="str">
        <f t="shared" si="391"/>
        <v>-</v>
      </c>
      <c r="AI1245" s="8"/>
      <c r="AJ1245" s="27" t="b">
        <f>IF($G1245&lt;&gt;0,SUMIF(куб!$G:$G,$G1245,куб!T:T),IF($E1245&lt;&gt;0,SUMIF(куб!$E:$E,$E1245,куб!T:T),IF($D1245&lt;&gt;0,SUMIF(куб!$D:$D,$D1245,куб!T:T),IF($C1245&lt;&gt;0,SUMIF(куб!$C:$C,$C1245,куб!T:T),IF($B1245&lt;&gt;0,SUMIF(куб!$B:$B,$B1245,куб!T:T))))))</f>
        <v>0</v>
      </c>
      <c r="AK1245" s="27" t="b">
        <f>IF($G1245&lt;&gt;0,SUMIF(куб!$G:$G,$G1245,куб!U:U),IF($E1245&lt;&gt;0,SUMIF(куб!$E:$E,$E1245,куб!U:U),IF($D1245&lt;&gt;0,SUMIF(куб!$D:$D,$D1245,куб!U:U),IF($C1245&lt;&gt;0,SUMIF(куб!$C:$C,$C1245,куб!U:U),IF($B1245&lt;&gt;0,SUMIF(куб!$B:$B,$B1245,куб!U:U))))))</f>
        <v>0</v>
      </c>
      <c r="AL1245" s="16" t="str">
        <f t="shared" si="392"/>
        <v>-</v>
      </c>
      <c r="AM1245" s="8"/>
      <c r="AN1245" s="17" t="str">
        <f t="shared" si="393"/>
        <v xml:space="preserve"> </v>
      </c>
      <c r="AO1245" s="17" t="str">
        <f t="shared" si="394"/>
        <v xml:space="preserve"> </v>
      </c>
      <c r="AP1245" s="16" t="str">
        <f t="shared" si="395"/>
        <v>-</v>
      </c>
      <c r="AQ1245" s="8"/>
      <c r="AR1245" s="17" t="str">
        <f t="shared" si="396"/>
        <v>-</v>
      </c>
      <c r="AS1245" s="17" t="str">
        <f t="shared" si="397"/>
        <v>-</v>
      </c>
      <c r="AT1245" s="13" t="str">
        <f t="shared" si="398"/>
        <v>-</v>
      </c>
      <c r="AU1245" s="8"/>
    </row>
    <row r="1246" spans="8:47" x14ac:dyDescent="0.25">
      <c r="H1246" s="27">
        <f>IF($G1246&lt;&gt;0,SUMIF(куб!$G:$G,$G1246,куб!H:H),IF($E1246&lt;&gt;0,SUMIF(куб!$E:$E,$E1246,куб!H:H),IF($D1246&lt;&gt;0,SUMIF(куб!$D:$D,$D1246,куб!H:H),IF($C1246&lt;&gt;0,SUMIF(куб!$C:$C,$C1246,куб!H:H),IF($B1246&lt;&gt;0,SUMIF(куб!$B:$B,$B1246,куб!H:H),IF($G1246&lt;&gt;0,SUMIF(куб!$A:$A,$G1246,куб!H:H),SUMIF(куб!$A:$A,$G1246,куб!H:H)))))))</f>
        <v>0</v>
      </c>
      <c r="I1246" s="27">
        <f>IF($G1246&lt;&gt;0,SUMIF(куб!$G:$G,$G1246,куб!I:I),IF($E1246&lt;&gt;0,SUMIF(куб!$E:$E,$E1246,куб!I:I),IF($D1246&lt;&gt;0,SUMIF(куб!$D:$D,$D1246,куб!I:I),IF($C1246&lt;&gt;0,SUMIF(куб!$C:$C,$C1246,куб!I:I),IF($B1246&lt;&gt;0,SUMIF(куб!$B:$B,$B1246,куб!I:I),IF($G1246&lt;&gt;0,SUMIF(куб!$A:$A,$G1246,куб!I:I),SUMIF(куб!$A:$A,$G1246,куб!I:I)))))))</f>
        <v>0</v>
      </c>
      <c r="J1246" s="19" t="str">
        <f t="shared" si="381"/>
        <v>-</v>
      </c>
      <c r="K1246" s="8"/>
      <c r="L1246" s="17">
        <f t="shared" si="382"/>
        <v>0</v>
      </c>
      <c r="M1246" s="17">
        <f t="shared" si="383"/>
        <v>0</v>
      </c>
      <c r="N1246" s="12">
        <f t="shared" si="384"/>
        <v>0</v>
      </c>
      <c r="O1246" s="5"/>
      <c r="P1246" s="27" t="b">
        <f>IF($G1246&lt;&gt;0,SUMIF(куб!$G:$G,$G1246,куб!J:J),IF($E1246&lt;&gt;0,SUMIF(куб!$E:$E,$E1246,куб!J:J),IF($D1246&lt;&gt;0,SUMIF(куб!$D:$D,$D1246,куб!J:J),IF($C1246&lt;&gt;0,SUMIF(куб!$C:$C,$C1246,куб!J:J),IF($B1246&lt;&gt;0,SUMIF(куб!$B:$B,$B1246,куб!J:J))))))</f>
        <v>0</v>
      </c>
      <c r="Q1246" s="27" t="b">
        <f>IF($G1246&lt;&gt;0,SUMIF(куб!$G:$G,$G1246,куб!K:K),IF($E1246&lt;&gt;0,SUMIF(куб!$E:$E,$E1246,куб!K:K),IF($D1246&lt;&gt;0,SUMIF(куб!$D:$D,$D1246,куб!K:K),IF($C1246&lt;&gt;0,SUMIF(куб!$C:$C,$C1246,куб!K:K),IF($B1246&lt;&gt;0,SUMIF(куб!$B:$B,$B1246,куб!K:K))))))</f>
        <v>0</v>
      </c>
      <c r="R1246" s="13" t="str">
        <f t="shared" si="385"/>
        <v>-</v>
      </c>
      <c r="S1246" s="5"/>
      <c r="T1246" s="27" t="b">
        <f>IF($G1246&lt;&gt;0,SUMIF(куб!$G:$G,$G1246,куб!L:L),IF($E1246&lt;&gt;0,SUMIF(куб!$E:$E,$E1246,куб!L:L),IF($D1246&lt;&gt;0,SUMIF(куб!$D:$D,$D1246,куб!L:L),IF($C1246&lt;&gt;0,SUMIF(куб!$C:$C,$C1246,куб!L:L),IF($B1246&lt;&gt;0,SUMIF(куб!$B:$B,$B1246,куб!L:L))))))</f>
        <v>0</v>
      </c>
      <c r="U1246" s="27" t="b">
        <f>IF($G1246&lt;&gt;0,SUMIF(куб!$G:$G,$G1246,куб!M:M),IF($E1246&lt;&gt;0,SUMIF(куб!$E:$E,$E1246,куб!M:M),IF($D1246&lt;&gt;0,SUMIF(куб!$D:$D,$D1246,куб!M:M),IF($C1246&lt;&gt;0,SUMIF(куб!$C:$C,$C1246,куб!M:M),IF($B1246&lt;&gt;0,SUMIF(куб!$B:$B,$B1246,куб!M:M))))))</f>
        <v>0</v>
      </c>
      <c r="V1246" s="13" t="str">
        <f t="shared" si="386"/>
        <v>-</v>
      </c>
      <c r="W1246" s="5"/>
      <c r="X1246" s="27" t="b">
        <f>IF($G1246&lt;&gt;0,SUMIF(куб!$G:$G,$G1246,куб!N:N),IF($E1246&lt;&gt;0,SUMIF(куб!$E:$E,$E1246,куб!N:N),IF($D1246&lt;&gt;0,SUMIF(куб!$D:$D,$D1246,куб!N:N),IF($C1246&lt;&gt;0,SUMIF(куб!$C:$C,$C1246,куб!N:N),IF($B1246&lt;&gt;0,SUMIF(куб!$B:$B,$B1246,куб!N:N))))))</f>
        <v>0</v>
      </c>
      <c r="Y1246" s="27" t="b">
        <f>IF($G1246&lt;&gt;0,SUMIF(куб!$G:$G,$G1246,куб!O:O),IF($E1246&lt;&gt;0,SUMIF(куб!$E:$E,$E1246,куб!O:O),IF($D1246&lt;&gt;0,SUMIF(куб!$D:$D,$D1246,куб!O:O),IF($C1246&lt;&gt;0,SUMIF(куб!$C:$C,$C1246,куб!O:O),IF($B1246&lt;&gt;0,SUMIF(куб!$B:$B,$B1246,куб!O:O))))))</f>
        <v>0</v>
      </c>
      <c r="Z1246" s="13" t="str">
        <f t="shared" si="387"/>
        <v>-</v>
      </c>
      <c r="AA1246" s="5"/>
      <c r="AB1246" s="33" t="str">
        <f t="shared" si="388"/>
        <v/>
      </c>
      <c r="AC1246" s="33" t="str">
        <f t="shared" si="389"/>
        <v/>
      </c>
      <c r="AD1246" s="15" t="str">
        <f t="shared" si="390"/>
        <v xml:space="preserve"> </v>
      </c>
      <c r="AE1246" s="5"/>
      <c r="AF1246" s="27" t="b">
        <f>IF($G1246&lt;&gt;0,SUMIF(куб!$G:$G,$G1246,куб!R:R),IF($E1246&lt;&gt;0,SUMIF(куб!$E:$E,$E1246,куб!R:R),IF($D1246&lt;&gt;0,SUMIF(куб!$D:$D,$D1246,куб!R:R),IF($C1246&lt;&gt;0,SUMIF(куб!$C:$C,$C1246,куб!R:R),IF($B1246&lt;&gt;0,SUMIF(куб!$B:$B,$B1246,куб!R:R))))))</f>
        <v>0</v>
      </c>
      <c r="AG1246" s="27" t="b">
        <f>IF($G1246&lt;&gt;0,SUMIF(куб!$G:$G,$G1246,куб!S:S),IF($E1246&lt;&gt;0,SUMIF(куб!$E:$E,$E1246,куб!S:S),IF($D1246&lt;&gt;0,SUMIF(куб!$D:$D,$D1246,куб!S:S),IF($C1246&lt;&gt;0,SUMIF(куб!$C:$C,$C1246,куб!S:S),IF($B1246&lt;&gt;0,SUMIF(куб!$B:$B,$B1246,куб!S:S))))))</f>
        <v>0</v>
      </c>
      <c r="AH1246" s="16" t="str">
        <f t="shared" si="391"/>
        <v>-</v>
      </c>
      <c r="AI1246" s="8"/>
      <c r="AJ1246" s="27" t="b">
        <f>IF($G1246&lt;&gt;0,SUMIF(куб!$G:$G,$G1246,куб!T:T),IF($E1246&lt;&gt;0,SUMIF(куб!$E:$E,$E1246,куб!T:T),IF($D1246&lt;&gt;0,SUMIF(куб!$D:$D,$D1246,куб!T:T),IF($C1246&lt;&gt;0,SUMIF(куб!$C:$C,$C1246,куб!T:T),IF($B1246&lt;&gt;0,SUMIF(куб!$B:$B,$B1246,куб!T:T))))))</f>
        <v>0</v>
      </c>
      <c r="AK1246" s="27" t="b">
        <f>IF($G1246&lt;&gt;0,SUMIF(куб!$G:$G,$G1246,куб!U:U),IF($E1246&lt;&gt;0,SUMIF(куб!$E:$E,$E1246,куб!U:U),IF($D1246&lt;&gt;0,SUMIF(куб!$D:$D,$D1246,куб!U:U),IF($C1246&lt;&gt;0,SUMIF(куб!$C:$C,$C1246,куб!U:U),IF($B1246&lt;&gt;0,SUMIF(куб!$B:$B,$B1246,куб!U:U))))))</f>
        <v>0</v>
      </c>
      <c r="AL1246" s="16" t="str">
        <f t="shared" si="392"/>
        <v>-</v>
      </c>
      <c r="AM1246" s="8"/>
      <c r="AN1246" s="17" t="str">
        <f t="shared" si="393"/>
        <v xml:space="preserve"> </v>
      </c>
      <c r="AO1246" s="17" t="str">
        <f t="shared" si="394"/>
        <v xml:space="preserve"> </v>
      </c>
      <c r="AP1246" s="16" t="str">
        <f t="shared" si="395"/>
        <v>-</v>
      </c>
      <c r="AQ1246" s="8"/>
      <c r="AR1246" s="17" t="str">
        <f t="shared" si="396"/>
        <v>-</v>
      </c>
      <c r="AS1246" s="17" t="str">
        <f t="shared" si="397"/>
        <v>-</v>
      </c>
      <c r="AT1246" s="13" t="str">
        <f t="shared" si="398"/>
        <v>-</v>
      </c>
      <c r="AU1246" s="8"/>
    </row>
    <row r="1247" spans="8:47" x14ac:dyDescent="0.25">
      <c r="H1247" s="27">
        <f>IF($G1247&lt;&gt;0,SUMIF(куб!$G:$G,$G1247,куб!H:H),IF($E1247&lt;&gt;0,SUMIF(куб!$E:$E,$E1247,куб!H:H),IF($D1247&lt;&gt;0,SUMIF(куб!$D:$D,$D1247,куб!H:H),IF($C1247&lt;&gt;0,SUMIF(куб!$C:$C,$C1247,куб!H:H),IF($B1247&lt;&gt;0,SUMIF(куб!$B:$B,$B1247,куб!H:H),IF($G1247&lt;&gt;0,SUMIF(куб!$A:$A,$G1247,куб!H:H),SUMIF(куб!$A:$A,$G1247,куб!H:H)))))))</f>
        <v>0</v>
      </c>
      <c r="I1247" s="27">
        <f>IF($G1247&lt;&gt;0,SUMIF(куб!$G:$G,$G1247,куб!I:I),IF($E1247&lt;&gt;0,SUMIF(куб!$E:$E,$E1247,куб!I:I),IF($D1247&lt;&gt;0,SUMIF(куб!$D:$D,$D1247,куб!I:I),IF($C1247&lt;&gt;0,SUMIF(куб!$C:$C,$C1247,куб!I:I),IF($B1247&lt;&gt;0,SUMIF(куб!$B:$B,$B1247,куб!I:I),IF($G1247&lt;&gt;0,SUMIF(куб!$A:$A,$G1247,куб!I:I),SUMIF(куб!$A:$A,$G1247,куб!I:I)))))))</f>
        <v>0</v>
      </c>
      <c r="J1247" s="19" t="str">
        <f t="shared" si="381"/>
        <v>-</v>
      </c>
      <c r="K1247" s="8"/>
      <c r="L1247" s="17">
        <f t="shared" si="382"/>
        <v>0</v>
      </c>
      <c r="M1247" s="17">
        <f t="shared" si="383"/>
        <v>0</v>
      </c>
      <c r="N1247" s="12">
        <f t="shared" si="384"/>
        <v>0</v>
      </c>
      <c r="O1247" s="5"/>
      <c r="P1247" s="27" t="b">
        <f>IF($G1247&lt;&gt;0,SUMIF(куб!$G:$G,$G1247,куб!J:J),IF($E1247&lt;&gt;0,SUMIF(куб!$E:$E,$E1247,куб!J:J),IF($D1247&lt;&gt;0,SUMIF(куб!$D:$D,$D1247,куб!J:J),IF($C1247&lt;&gt;0,SUMIF(куб!$C:$C,$C1247,куб!J:J),IF($B1247&lt;&gt;0,SUMIF(куб!$B:$B,$B1247,куб!J:J))))))</f>
        <v>0</v>
      </c>
      <c r="Q1247" s="27" t="b">
        <f>IF($G1247&lt;&gt;0,SUMIF(куб!$G:$G,$G1247,куб!K:K),IF($E1247&lt;&gt;0,SUMIF(куб!$E:$E,$E1247,куб!K:K),IF($D1247&lt;&gt;0,SUMIF(куб!$D:$D,$D1247,куб!K:K),IF($C1247&lt;&gt;0,SUMIF(куб!$C:$C,$C1247,куб!K:K),IF($B1247&lt;&gt;0,SUMIF(куб!$B:$B,$B1247,куб!K:K))))))</f>
        <v>0</v>
      </c>
      <c r="R1247" s="13" t="str">
        <f t="shared" si="385"/>
        <v>-</v>
      </c>
      <c r="S1247" s="5"/>
      <c r="T1247" s="27" t="b">
        <f>IF($G1247&lt;&gt;0,SUMIF(куб!$G:$G,$G1247,куб!L:L),IF($E1247&lt;&gt;0,SUMIF(куб!$E:$E,$E1247,куб!L:L),IF($D1247&lt;&gt;0,SUMIF(куб!$D:$D,$D1247,куб!L:L),IF($C1247&lt;&gt;0,SUMIF(куб!$C:$C,$C1247,куб!L:L),IF($B1247&lt;&gt;0,SUMIF(куб!$B:$B,$B1247,куб!L:L))))))</f>
        <v>0</v>
      </c>
      <c r="U1247" s="27" t="b">
        <f>IF($G1247&lt;&gt;0,SUMIF(куб!$G:$G,$G1247,куб!M:M),IF($E1247&lt;&gt;0,SUMIF(куб!$E:$E,$E1247,куб!M:M),IF($D1247&lt;&gt;0,SUMIF(куб!$D:$D,$D1247,куб!M:M),IF($C1247&lt;&gt;0,SUMIF(куб!$C:$C,$C1247,куб!M:M),IF($B1247&lt;&gt;0,SUMIF(куб!$B:$B,$B1247,куб!M:M))))))</f>
        <v>0</v>
      </c>
      <c r="V1247" s="13" t="str">
        <f t="shared" si="386"/>
        <v>-</v>
      </c>
      <c r="W1247" s="5"/>
      <c r="X1247" s="27" t="b">
        <f>IF($G1247&lt;&gt;0,SUMIF(куб!$G:$G,$G1247,куб!N:N),IF($E1247&lt;&gt;0,SUMIF(куб!$E:$E,$E1247,куб!N:N),IF($D1247&lt;&gt;0,SUMIF(куб!$D:$D,$D1247,куб!N:N),IF($C1247&lt;&gt;0,SUMIF(куб!$C:$C,$C1247,куб!N:N),IF($B1247&lt;&gt;0,SUMIF(куб!$B:$B,$B1247,куб!N:N))))))</f>
        <v>0</v>
      </c>
      <c r="Y1247" s="27" t="b">
        <f>IF($G1247&lt;&gt;0,SUMIF(куб!$G:$G,$G1247,куб!O:O),IF($E1247&lt;&gt;0,SUMIF(куб!$E:$E,$E1247,куб!O:O),IF($D1247&lt;&gt;0,SUMIF(куб!$D:$D,$D1247,куб!O:O),IF($C1247&lt;&gt;0,SUMIF(куб!$C:$C,$C1247,куб!O:O),IF($B1247&lt;&gt;0,SUMIF(куб!$B:$B,$B1247,куб!O:O))))))</f>
        <v>0</v>
      </c>
      <c r="Z1247" s="13" t="str">
        <f t="shared" si="387"/>
        <v>-</v>
      </c>
      <c r="AA1247" s="5"/>
      <c r="AB1247" s="33" t="str">
        <f t="shared" si="388"/>
        <v/>
      </c>
      <c r="AC1247" s="33" t="str">
        <f t="shared" si="389"/>
        <v/>
      </c>
      <c r="AD1247" s="15" t="str">
        <f t="shared" si="390"/>
        <v xml:space="preserve"> </v>
      </c>
      <c r="AE1247" s="5"/>
      <c r="AF1247" s="27" t="b">
        <f>IF($G1247&lt;&gt;0,SUMIF(куб!$G:$G,$G1247,куб!R:R),IF($E1247&lt;&gt;0,SUMIF(куб!$E:$E,$E1247,куб!R:R),IF($D1247&lt;&gt;0,SUMIF(куб!$D:$D,$D1247,куб!R:R),IF($C1247&lt;&gt;0,SUMIF(куб!$C:$C,$C1247,куб!R:R),IF($B1247&lt;&gt;0,SUMIF(куб!$B:$B,$B1247,куб!R:R))))))</f>
        <v>0</v>
      </c>
      <c r="AG1247" s="27" t="b">
        <f>IF($G1247&lt;&gt;0,SUMIF(куб!$G:$G,$G1247,куб!S:S),IF($E1247&lt;&gt;0,SUMIF(куб!$E:$E,$E1247,куб!S:S),IF($D1247&lt;&gt;0,SUMIF(куб!$D:$D,$D1247,куб!S:S),IF($C1247&lt;&gt;0,SUMIF(куб!$C:$C,$C1247,куб!S:S),IF($B1247&lt;&gt;0,SUMIF(куб!$B:$B,$B1247,куб!S:S))))))</f>
        <v>0</v>
      </c>
      <c r="AH1247" s="16" t="str">
        <f t="shared" si="391"/>
        <v>-</v>
      </c>
      <c r="AI1247" s="8"/>
      <c r="AJ1247" s="27" t="b">
        <f>IF($G1247&lt;&gt;0,SUMIF(куб!$G:$G,$G1247,куб!T:T),IF($E1247&lt;&gt;0,SUMIF(куб!$E:$E,$E1247,куб!T:T),IF($D1247&lt;&gt;0,SUMIF(куб!$D:$D,$D1247,куб!T:T),IF($C1247&lt;&gt;0,SUMIF(куб!$C:$C,$C1247,куб!T:T),IF($B1247&lt;&gt;0,SUMIF(куб!$B:$B,$B1247,куб!T:T))))))</f>
        <v>0</v>
      </c>
      <c r="AK1247" s="27" t="b">
        <f>IF($G1247&lt;&gt;0,SUMIF(куб!$G:$G,$G1247,куб!U:U),IF($E1247&lt;&gt;0,SUMIF(куб!$E:$E,$E1247,куб!U:U),IF($D1247&lt;&gt;0,SUMIF(куб!$D:$D,$D1247,куб!U:U),IF($C1247&lt;&gt;0,SUMIF(куб!$C:$C,$C1247,куб!U:U),IF($B1247&lt;&gt;0,SUMIF(куб!$B:$B,$B1247,куб!U:U))))))</f>
        <v>0</v>
      </c>
      <c r="AL1247" s="16" t="str">
        <f t="shared" si="392"/>
        <v>-</v>
      </c>
      <c r="AM1247" s="8"/>
      <c r="AN1247" s="17" t="str">
        <f t="shared" si="393"/>
        <v xml:space="preserve"> </v>
      </c>
      <c r="AO1247" s="17" t="str">
        <f t="shared" si="394"/>
        <v xml:space="preserve"> </v>
      </c>
      <c r="AP1247" s="16" t="str">
        <f t="shared" si="395"/>
        <v>-</v>
      </c>
      <c r="AQ1247" s="8"/>
      <c r="AR1247" s="17" t="str">
        <f t="shared" si="396"/>
        <v>-</v>
      </c>
      <c r="AS1247" s="17" t="str">
        <f t="shared" si="397"/>
        <v>-</v>
      </c>
      <c r="AT1247" s="13" t="str">
        <f t="shared" si="398"/>
        <v>-</v>
      </c>
      <c r="AU1247" s="8"/>
    </row>
    <row r="1248" spans="8:47" x14ac:dyDescent="0.25">
      <c r="H1248" s="27">
        <f>IF($G1248&lt;&gt;0,SUMIF(куб!$G:$G,$G1248,куб!H:H),IF($E1248&lt;&gt;0,SUMIF(куб!$E:$E,$E1248,куб!H:H),IF($D1248&lt;&gt;0,SUMIF(куб!$D:$D,$D1248,куб!H:H),IF($C1248&lt;&gt;0,SUMIF(куб!$C:$C,$C1248,куб!H:H),IF($B1248&lt;&gt;0,SUMIF(куб!$B:$B,$B1248,куб!H:H),IF($G1248&lt;&gt;0,SUMIF(куб!$A:$A,$G1248,куб!H:H),SUMIF(куб!$A:$A,$G1248,куб!H:H)))))))</f>
        <v>0</v>
      </c>
      <c r="I1248" s="27">
        <f>IF($G1248&lt;&gt;0,SUMIF(куб!$G:$G,$G1248,куб!I:I),IF($E1248&lt;&gt;0,SUMIF(куб!$E:$E,$E1248,куб!I:I),IF($D1248&lt;&gt;0,SUMIF(куб!$D:$D,$D1248,куб!I:I),IF($C1248&lt;&gt;0,SUMIF(куб!$C:$C,$C1248,куб!I:I),IF($B1248&lt;&gt;0,SUMIF(куб!$B:$B,$B1248,куб!I:I),IF($G1248&lt;&gt;0,SUMIF(куб!$A:$A,$G1248,куб!I:I),SUMIF(куб!$A:$A,$G1248,куб!I:I)))))))</f>
        <v>0</v>
      </c>
      <c r="J1248" s="19" t="str">
        <f t="shared" si="381"/>
        <v>-</v>
      </c>
      <c r="K1248" s="8"/>
      <c r="L1248" s="17">
        <f t="shared" si="382"/>
        <v>0</v>
      </c>
      <c r="M1248" s="17">
        <f t="shared" si="383"/>
        <v>0</v>
      </c>
      <c r="N1248" s="12">
        <f t="shared" si="384"/>
        <v>0</v>
      </c>
      <c r="O1248" s="5"/>
      <c r="P1248" s="27" t="b">
        <f>IF($G1248&lt;&gt;0,SUMIF(куб!$G:$G,$G1248,куб!J:J),IF($E1248&lt;&gt;0,SUMIF(куб!$E:$E,$E1248,куб!J:J),IF($D1248&lt;&gt;0,SUMIF(куб!$D:$D,$D1248,куб!J:J),IF($C1248&lt;&gt;0,SUMIF(куб!$C:$C,$C1248,куб!J:J),IF($B1248&lt;&gt;0,SUMIF(куб!$B:$B,$B1248,куб!J:J))))))</f>
        <v>0</v>
      </c>
      <c r="Q1248" s="27" t="b">
        <f>IF($G1248&lt;&gt;0,SUMIF(куб!$G:$G,$G1248,куб!K:K),IF($E1248&lt;&gt;0,SUMIF(куб!$E:$E,$E1248,куб!K:K),IF($D1248&lt;&gt;0,SUMIF(куб!$D:$D,$D1248,куб!K:K),IF($C1248&lt;&gt;0,SUMIF(куб!$C:$C,$C1248,куб!K:K),IF($B1248&lt;&gt;0,SUMIF(куб!$B:$B,$B1248,куб!K:K))))))</f>
        <v>0</v>
      </c>
      <c r="R1248" s="13" t="str">
        <f t="shared" si="385"/>
        <v>-</v>
      </c>
      <c r="S1248" s="5"/>
      <c r="T1248" s="27" t="b">
        <f>IF($G1248&lt;&gt;0,SUMIF(куб!$G:$G,$G1248,куб!L:L),IF($E1248&lt;&gt;0,SUMIF(куб!$E:$E,$E1248,куб!L:L),IF($D1248&lt;&gt;0,SUMIF(куб!$D:$D,$D1248,куб!L:L),IF($C1248&lt;&gt;0,SUMIF(куб!$C:$C,$C1248,куб!L:L),IF($B1248&lt;&gt;0,SUMIF(куб!$B:$B,$B1248,куб!L:L))))))</f>
        <v>0</v>
      </c>
      <c r="U1248" s="27" t="b">
        <f>IF($G1248&lt;&gt;0,SUMIF(куб!$G:$G,$G1248,куб!M:M),IF($E1248&lt;&gt;0,SUMIF(куб!$E:$E,$E1248,куб!M:M),IF($D1248&lt;&gt;0,SUMIF(куб!$D:$D,$D1248,куб!M:M),IF($C1248&lt;&gt;0,SUMIF(куб!$C:$C,$C1248,куб!M:M),IF($B1248&lt;&gt;0,SUMIF(куб!$B:$B,$B1248,куб!M:M))))))</f>
        <v>0</v>
      </c>
      <c r="V1248" s="13" t="str">
        <f t="shared" si="386"/>
        <v>-</v>
      </c>
      <c r="W1248" s="5"/>
      <c r="X1248" s="27" t="b">
        <f>IF($G1248&lt;&gt;0,SUMIF(куб!$G:$G,$G1248,куб!N:N),IF($E1248&lt;&gt;0,SUMIF(куб!$E:$E,$E1248,куб!N:N),IF($D1248&lt;&gt;0,SUMIF(куб!$D:$D,$D1248,куб!N:N),IF($C1248&lt;&gt;0,SUMIF(куб!$C:$C,$C1248,куб!N:N),IF($B1248&lt;&gt;0,SUMIF(куб!$B:$B,$B1248,куб!N:N))))))</f>
        <v>0</v>
      </c>
      <c r="Y1248" s="27" t="b">
        <f>IF($G1248&lt;&gt;0,SUMIF(куб!$G:$G,$G1248,куб!O:O),IF($E1248&lt;&gt;0,SUMIF(куб!$E:$E,$E1248,куб!O:O),IF($D1248&lt;&gt;0,SUMIF(куб!$D:$D,$D1248,куб!O:O),IF($C1248&lt;&gt;0,SUMIF(куб!$C:$C,$C1248,куб!O:O),IF($B1248&lt;&gt;0,SUMIF(куб!$B:$B,$B1248,куб!O:O))))))</f>
        <v>0</v>
      </c>
      <c r="Z1248" s="13" t="str">
        <f t="shared" si="387"/>
        <v>-</v>
      </c>
      <c r="AA1248" s="5"/>
      <c r="AB1248" s="33" t="str">
        <f t="shared" si="388"/>
        <v/>
      </c>
      <c r="AC1248" s="33" t="str">
        <f t="shared" si="389"/>
        <v/>
      </c>
      <c r="AD1248" s="15" t="str">
        <f t="shared" si="390"/>
        <v xml:space="preserve"> </v>
      </c>
      <c r="AE1248" s="5"/>
      <c r="AF1248" s="27" t="b">
        <f>IF($G1248&lt;&gt;0,SUMIF(куб!$G:$G,$G1248,куб!R:R),IF($E1248&lt;&gt;0,SUMIF(куб!$E:$E,$E1248,куб!R:R),IF($D1248&lt;&gt;0,SUMIF(куб!$D:$D,$D1248,куб!R:R),IF($C1248&lt;&gt;0,SUMIF(куб!$C:$C,$C1248,куб!R:R),IF($B1248&lt;&gt;0,SUMIF(куб!$B:$B,$B1248,куб!R:R))))))</f>
        <v>0</v>
      </c>
      <c r="AG1248" s="27" t="b">
        <f>IF($G1248&lt;&gt;0,SUMIF(куб!$G:$G,$G1248,куб!S:S),IF($E1248&lt;&gt;0,SUMIF(куб!$E:$E,$E1248,куб!S:S),IF($D1248&lt;&gt;0,SUMIF(куб!$D:$D,$D1248,куб!S:S),IF($C1248&lt;&gt;0,SUMIF(куб!$C:$C,$C1248,куб!S:S),IF($B1248&lt;&gt;0,SUMIF(куб!$B:$B,$B1248,куб!S:S))))))</f>
        <v>0</v>
      </c>
      <c r="AH1248" s="16" t="str">
        <f t="shared" si="391"/>
        <v>-</v>
      </c>
      <c r="AI1248" s="8"/>
      <c r="AJ1248" s="27" t="b">
        <f>IF($G1248&lt;&gt;0,SUMIF(куб!$G:$G,$G1248,куб!T:T),IF($E1248&lt;&gt;0,SUMIF(куб!$E:$E,$E1248,куб!T:T),IF($D1248&lt;&gt;0,SUMIF(куб!$D:$D,$D1248,куб!T:T),IF($C1248&lt;&gt;0,SUMIF(куб!$C:$C,$C1248,куб!T:T),IF($B1248&lt;&gt;0,SUMIF(куб!$B:$B,$B1248,куб!T:T))))))</f>
        <v>0</v>
      </c>
      <c r="AK1248" s="27" t="b">
        <f>IF($G1248&lt;&gt;0,SUMIF(куб!$G:$G,$G1248,куб!U:U),IF($E1248&lt;&gt;0,SUMIF(куб!$E:$E,$E1248,куб!U:U),IF($D1248&lt;&gt;0,SUMIF(куб!$D:$D,$D1248,куб!U:U),IF($C1248&lt;&gt;0,SUMIF(куб!$C:$C,$C1248,куб!U:U),IF($B1248&lt;&gt;0,SUMIF(куб!$B:$B,$B1248,куб!U:U))))))</f>
        <v>0</v>
      </c>
      <c r="AL1248" s="16" t="str">
        <f t="shared" si="392"/>
        <v>-</v>
      </c>
      <c r="AM1248" s="8"/>
      <c r="AN1248" s="17" t="str">
        <f t="shared" si="393"/>
        <v xml:space="preserve"> </v>
      </c>
      <c r="AO1248" s="17" t="str">
        <f t="shared" si="394"/>
        <v xml:space="preserve"> </v>
      </c>
      <c r="AP1248" s="16" t="str">
        <f t="shared" si="395"/>
        <v>-</v>
      </c>
      <c r="AQ1248" s="8"/>
      <c r="AR1248" s="17" t="str">
        <f t="shared" si="396"/>
        <v>-</v>
      </c>
      <c r="AS1248" s="17" t="str">
        <f t="shared" si="397"/>
        <v>-</v>
      </c>
      <c r="AT1248" s="13" t="str">
        <f t="shared" si="398"/>
        <v>-</v>
      </c>
      <c r="AU1248" s="8"/>
    </row>
    <row r="1249" spans="8:47" x14ac:dyDescent="0.25">
      <c r="H1249" s="27">
        <f>IF($G1249&lt;&gt;0,SUMIF(куб!$G:$G,$G1249,куб!H:H),IF($E1249&lt;&gt;0,SUMIF(куб!$E:$E,$E1249,куб!H:H),IF($D1249&lt;&gt;0,SUMIF(куб!$D:$D,$D1249,куб!H:H),IF($C1249&lt;&gt;0,SUMIF(куб!$C:$C,$C1249,куб!H:H),IF($B1249&lt;&gt;0,SUMIF(куб!$B:$B,$B1249,куб!H:H),IF($G1249&lt;&gt;0,SUMIF(куб!$A:$A,$G1249,куб!H:H),SUMIF(куб!$A:$A,$G1249,куб!H:H)))))))</f>
        <v>0</v>
      </c>
      <c r="I1249" s="27">
        <f>IF($G1249&lt;&gt;0,SUMIF(куб!$G:$G,$G1249,куб!I:I),IF($E1249&lt;&gt;0,SUMIF(куб!$E:$E,$E1249,куб!I:I),IF($D1249&lt;&gt;0,SUMIF(куб!$D:$D,$D1249,куб!I:I),IF($C1249&lt;&gt;0,SUMIF(куб!$C:$C,$C1249,куб!I:I),IF($B1249&lt;&gt;0,SUMIF(куб!$B:$B,$B1249,куб!I:I),IF($G1249&lt;&gt;0,SUMIF(куб!$A:$A,$G1249,куб!I:I),SUMIF(куб!$A:$A,$G1249,куб!I:I)))))))</f>
        <v>0</v>
      </c>
      <c r="J1249" s="19" t="str">
        <f t="shared" si="381"/>
        <v>-</v>
      </c>
      <c r="K1249" s="8"/>
      <c r="L1249" s="17">
        <f t="shared" si="382"/>
        <v>0</v>
      </c>
      <c r="M1249" s="17">
        <f t="shared" si="383"/>
        <v>0</v>
      </c>
      <c r="N1249" s="12">
        <f t="shared" si="384"/>
        <v>0</v>
      </c>
      <c r="O1249" s="5"/>
      <c r="P1249" s="27" t="b">
        <f>IF($G1249&lt;&gt;0,SUMIF(куб!$G:$G,$G1249,куб!J:J),IF($E1249&lt;&gt;0,SUMIF(куб!$E:$E,$E1249,куб!J:J),IF($D1249&lt;&gt;0,SUMIF(куб!$D:$D,$D1249,куб!J:J),IF($C1249&lt;&gt;0,SUMIF(куб!$C:$C,$C1249,куб!J:J),IF($B1249&lt;&gt;0,SUMIF(куб!$B:$B,$B1249,куб!J:J))))))</f>
        <v>0</v>
      </c>
      <c r="Q1249" s="27" t="b">
        <f>IF($G1249&lt;&gt;0,SUMIF(куб!$G:$G,$G1249,куб!K:K),IF($E1249&lt;&gt;0,SUMIF(куб!$E:$E,$E1249,куб!K:K),IF($D1249&lt;&gt;0,SUMIF(куб!$D:$D,$D1249,куб!K:K),IF($C1249&lt;&gt;0,SUMIF(куб!$C:$C,$C1249,куб!K:K),IF($B1249&lt;&gt;0,SUMIF(куб!$B:$B,$B1249,куб!K:K))))))</f>
        <v>0</v>
      </c>
      <c r="R1249" s="13" t="str">
        <f t="shared" si="385"/>
        <v>-</v>
      </c>
      <c r="S1249" s="5"/>
      <c r="T1249" s="27" t="b">
        <f>IF($G1249&lt;&gt;0,SUMIF(куб!$G:$G,$G1249,куб!L:L),IF($E1249&lt;&gt;0,SUMIF(куб!$E:$E,$E1249,куб!L:L),IF($D1249&lt;&gt;0,SUMIF(куб!$D:$D,$D1249,куб!L:L),IF($C1249&lt;&gt;0,SUMIF(куб!$C:$C,$C1249,куб!L:L),IF($B1249&lt;&gt;0,SUMIF(куб!$B:$B,$B1249,куб!L:L))))))</f>
        <v>0</v>
      </c>
      <c r="U1249" s="27" t="b">
        <f>IF($G1249&lt;&gt;0,SUMIF(куб!$G:$G,$G1249,куб!M:M),IF($E1249&lt;&gt;0,SUMIF(куб!$E:$E,$E1249,куб!M:M),IF($D1249&lt;&gt;0,SUMIF(куб!$D:$D,$D1249,куб!M:M),IF($C1249&lt;&gt;0,SUMIF(куб!$C:$C,$C1249,куб!M:M),IF($B1249&lt;&gt;0,SUMIF(куб!$B:$B,$B1249,куб!M:M))))))</f>
        <v>0</v>
      </c>
      <c r="V1249" s="13" t="str">
        <f t="shared" si="386"/>
        <v>-</v>
      </c>
      <c r="W1249" s="5"/>
      <c r="X1249" s="27" t="b">
        <f>IF($G1249&lt;&gt;0,SUMIF(куб!$G:$G,$G1249,куб!N:N),IF($E1249&lt;&gt;0,SUMIF(куб!$E:$E,$E1249,куб!N:N),IF($D1249&lt;&gt;0,SUMIF(куб!$D:$D,$D1249,куб!N:N),IF($C1249&lt;&gt;0,SUMIF(куб!$C:$C,$C1249,куб!N:N),IF($B1249&lt;&gt;0,SUMIF(куб!$B:$B,$B1249,куб!N:N))))))</f>
        <v>0</v>
      </c>
      <c r="Y1249" s="27" t="b">
        <f>IF($G1249&lt;&gt;0,SUMIF(куб!$G:$G,$G1249,куб!O:O),IF($E1249&lt;&gt;0,SUMIF(куб!$E:$E,$E1249,куб!O:O),IF($D1249&lt;&gt;0,SUMIF(куб!$D:$D,$D1249,куб!O:O),IF($C1249&lt;&gt;0,SUMIF(куб!$C:$C,$C1249,куб!O:O),IF($B1249&lt;&gt;0,SUMIF(куб!$B:$B,$B1249,куб!O:O))))))</f>
        <v>0</v>
      </c>
      <c r="Z1249" s="13" t="str">
        <f t="shared" si="387"/>
        <v>-</v>
      </c>
      <c r="AA1249" s="5"/>
      <c r="AB1249" s="33" t="str">
        <f t="shared" si="388"/>
        <v/>
      </c>
      <c r="AC1249" s="33" t="str">
        <f t="shared" si="389"/>
        <v/>
      </c>
      <c r="AD1249" s="15" t="str">
        <f t="shared" si="390"/>
        <v xml:space="preserve"> </v>
      </c>
      <c r="AE1249" s="5"/>
      <c r="AF1249" s="27" t="b">
        <f>IF($G1249&lt;&gt;0,SUMIF(куб!$G:$G,$G1249,куб!R:R),IF($E1249&lt;&gt;0,SUMIF(куб!$E:$E,$E1249,куб!R:R),IF($D1249&lt;&gt;0,SUMIF(куб!$D:$D,$D1249,куб!R:R),IF($C1249&lt;&gt;0,SUMIF(куб!$C:$C,$C1249,куб!R:R),IF($B1249&lt;&gt;0,SUMIF(куб!$B:$B,$B1249,куб!R:R))))))</f>
        <v>0</v>
      </c>
      <c r="AG1249" s="27" t="b">
        <f>IF($G1249&lt;&gt;0,SUMIF(куб!$G:$G,$G1249,куб!S:S),IF($E1249&lt;&gt;0,SUMIF(куб!$E:$E,$E1249,куб!S:S),IF($D1249&lt;&gt;0,SUMIF(куб!$D:$D,$D1249,куб!S:S),IF($C1249&lt;&gt;0,SUMIF(куб!$C:$C,$C1249,куб!S:S),IF($B1249&lt;&gt;0,SUMIF(куб!$B:$B,$B1249,куб!S:S))))))</f>
        <v>0</v>
      </c>
      <c r="AH1249" s="16" t="str">
        <f t="shared" si="391"/>
        <v>-</v>
      </c>
      <c r="AI1249" s="8"/>
      <c r="AJ1249" s="27" t="b">
        <f>IF($G1249&lt;&gt;0,SUMIF(куб!$G:$G,$G1249,куб!T:T),IF($E1249&lt;&gt;0,SUMIF(куб!$E:$E,$E1249,куб!T:T),IF($D1249&lt;&gt;0,SUMIF(куб!$D:$D,$D1249,куб!T:T),IF($C1249&lt;&gt;0,SUMIF(куб!$C:$C,$C1249,куб!T:T),IF($B1249&lt;&gt;0,SUMIF(куб!$B:$B,$B1249,куб!T:T))))))</f>
        <v>0</v>
      </c>
      <c r="AK1249" s="27" t="b">
        <f>IF($G1249&lt;&gt;0,SUMIF(куб!$G:$G,$G1249,куб!U:U),IF($E1249&lt;&gt;0,SUMIF(куб!$E:$E,$E1249,куб!U:U),IF($D1249&lt;&gt;0,SUMIF(куб!$D:$D,$D1249,куб!U:U),IF($C1249&lt;&gt;0,SUMIF(куб!$C:$C,$C1249,куб!U:U),IF($B1249&lt;&gt;0,SUMIF(куб!$B:$B,$B1249,куб!U:U))))))</f>
        <v>0</v>
      </c>
      <c r="AL1249" s="16" t="str">
        <f t="shared" si="392"/>
        <v>-</v>
      </c>
      <c r="AM1249" s="8"/>
      <c r="AN1249" s="17" t="str">
        <f t="shared" si="393"/>
        <v xml:space="preserve"> </v>
      </c>
      <c r="AO1249" s="17" t="str">
        <f t="shared" si="394"/>
        <v xml:space="preserve"> </v>
      </c>
      <c r="AP1249" s="16" t="str">
        <f t="shared" si="395"/>
        <v>-</v>
      </c>
      <c r="AQ1249" s="8"/>
      <c r="AR1249" s="17" t="str">
        <f t="shared" si="396"/>
        <v>-</v>
      </c>
      <c r="AS1249" s="17" t="str">
        <f t="shared" si="397"/>
        <v>-</v>
      </c>
      <c r="AT1249" s="13" t="str">
        <f t="shared" si="398"/>
        <v>-</v>
      </c>
      <c r="AU1249" s="8"/>
    </row>
    <row r="1250" spans="8:47" x14ac:dyDescent="0.25">
      <c r="H1250" s="27">
        <f>IF($G1250&lt;&gt;0,SUMIF(куб!$G:$G,$G1250,куб!H:H),IF($E1250&lt;&gt;0,SUMIF(куб!$E:$E,$E1250,куб!H:H),IF($D1250&lt;&gt;0,SUMIF(куб!$D:$D,$D1250,куб!H:H),IF($C1250&lt;&gt;0,SUMIF(куб!$C:$C,$C1250,куб!H:H),IF($B1250&lt;&gt;0,SUMIF(куб!$B:$B,$B1250,куб!H:H),IF($G1250&lt;&gt;0,SUMIF(куб!$A:$A,$G1250,куб!H:H),SUMIF(куб!$A:$A,$G1250,куб!H:H)))))))</f>
        <v>0</v>
      </c>
      <c r="I1250" s="27">
        <f>IF($G1250&lt;&gt;0,SUMIF(куб!$G:$G,$G1250,куб!I:I),IF($E1250&lt;&gt;0,SUMIF(куб!$E:$E,$E1250,куб!I:I),IF($D1250&lt;&gt;0,SUMIF(куб!$D:$D,$D1250,куб!I:I),IF($C1250&lt;&gt;0,SUMIF(куб!$C:$C,$C1250,куб!I:I),IF($B1250&lt;&gt;0,SUMIF(куб!$B:$B,$B1250,куб!I:I),IF($G1250&lt;&gt;0,SUMIF(куб!$A:$A,$G1250,куб!I:I),SUMIF(куб!$A:$A,$G1250,куб!I:I)))))))</f>
        <v>0</v>
      </c>
      <c r="J1250" s="19" t="str">
        <f t="shared" si="381"/>
        <v>-</v>
      </c>
      <c r="K1250" s="8"/>
      <c r="L1250" s="17">
        <f t="shared" si="382"/>
        <v>0</v>
      </c>
      <c r="M1250" s="17">
        <f t="shared" si="383"/>
        <v>0</v>
      </c>
      <c r="N1250" s="12">
        <f t="shared" si="384"/>
        <v>0</v>
      </c>
      <c r="O1250" s="5"/>
      <c r="P1250" s="27" t="b">
        <f>IF($G1250&lt;&gt;0,SUMIF(куб!$G:$G,$G1250,куб!J:J),IF($E1250&lt;&gt;0,SUMIF(куб!$E:$E,$E1250,куб!J:J),IF($D1250&lt;&gt;0,SUMIF(куб!$D:$D,$D1250,куб!J:J),IF($C1250&lt;&gt;0,SUMIF(куб!$C:$C,$C1250,куб!J:J),IF($B1250&lt;&gt;0,SUMIF(куб!$B:$B,$B1250,куб!J:J))))))</f>
        <v>0</v>
      </c>
      <c r="Q1250" s="27" t="b">
        <f>IF($G1250&lt;&gt;0,SUMIF(куб!$G:$G,$G1250,куб!K:K),IF($E1250&lt;&gt;0,SUMIF(куб!$E:$E,$E1250,куб!K:K),IF($D1250&lt;&gt;0,SUMIF(куб!$D:$D,$D1250,куб!K:K),IF($C1250&lt;&gt;0,SUMIF(куб!$C:$C,$C1250,куб!K:K),IF($B1250&lt;&gt;0,SUMIF(куб!$B:$B,$B1250,куб!K:K))))))</f>
        <v>0</v>
      </c>
      <c r="R1250" s="13" t="str">
        <f t="shared" si="385"/>
        <v>-</v>
      </c>
      <c r="S1250" s="5"/>
      <c r="T1250" s="27" t="b">
        <f>IF($G1250&lt;&gt;0,SUMIF(куб!$G:$G,$G1250,куб!L:L),IF($E1250&lt;&gt;0,SUMIF(куб!$E:$E,$E1250,куб!L:L),IF($D1250&lt;&gt;0,SUMIF(куб!$D:$D,$D1250,куб!L:L),IF($C1250&lt;&gt;0,SUMIF(куб!$C:$C,$C1250,куб!L:L),IF($B1250&lt;&gt;0,SUMIF(куб!$B:$B,$B1250,куб!L:L))))))</f>
        <v>0</v>
      </c>
      <c r="U1250" s="27" t="b">
        <f>IF($G1250&lt;&gt;0,SUMIF(куб!$G:$G,$G1250,куб!M:M),IF($E1250&lt;&gt;0,SUMIF(куб!$E:$E,$E1250,куб!M:M),IF($D1250&lt;&gt;0,SUMIF(куб!$D:$D,$D1250,куб!M:M),IF($C1250&lt;&gt;0,SUMIF(куб!$C:$C,$C1250,куб!M:M),IF($B1250&lt;&gt;0,SUMIF(куб!$B:$B,$B1250,куб!M:M))))))</f>
        <v>0</v>
      </c>
      <c r="V1250" s="13" t="str">
        <f t="shared" si="386"/>
        <v>-</v>
      </c>
      <c r="W1250" s="5"/>
      <c r="X1250" s="27" t="b">
        <f>IF($G1250&lt;&gt;0,SUMIF(куб!$G:$G,$G1250,куб!N:N),IF($E1250&lt;&gt;0,SUMIF(куб!$E:$E,$E1250,куб!N:N),IF($D1250&lt;&gt;0,SUMIF(куб!$D:$D,$D1250,куб!N:N),IF($C1250&lt;&gt;0,SUMIF(куб!$C:$C,$C1250,куб!N:N),IF($B1250&lt;&gt;0,SUMIF(куб!$B:$B,$B1250,куб!N:N))))))</f>
        <v>0</v>
      </c>
      <c r="Y1250" s="27" t="b">
        <f>IF($G1250&lt;&gt;0,SUMIF(куб!$G:$G,$G1250,куб!O:O),IF($E1250&lt;&gt;0,SUMIF(куб!$E:$E,$E1250,куб!O:O),IF($D1250&lt;&gt;0,SUMIF(куб!$D:$D,$D1250,куб!O:O),IF($C1250&lt;&gt;0,SUMIF(куб!$C:$C,$C1250,куб!O:O),IF($B1250&lt;&gt;0,SUMIF(куб!$B:$B,$B1250,куб!O:O))))))</f>
        <v>0</v>
      </c>
      <c r="Z1250" s="13" t="str">
        <f t="shared" si="387"/>
        <v>-</v>
      </c>
      <c r="AA1250" s="5"/>
      <c r="AB1250" s="33" t="str">
        <f t="shared" si="388"/>
        <v/>
      </c>
      <c r="AC1250" s="33" t="str">
        <f t="shared" si="389"/>
        <v/>
      </c>
      <c r="AD1250" s="15" t="str">
        <f t="shared" si="390"/>
        <v xml:space="preserve"> </v>
      </c>
      <c r="AE1250" s="5"/>
      <c r="AF1250" s="27" t="b">
        <f>IF($G1250&lt;&gt;0,SUMIF(куб!$G:$G,$G1250,куб!R:R),IF($E1250&lt;&gt;0,SUMIF(куб!$E:$E,$E1250,куб!R:R),IF($D1250&lt;&gt;0,SUMIF(куб!$D:$D,$D1250,куб!R:R),IF($C1250&lt;&gt;0,SUMIF(куб!$C:$C,$C1250,куб!R:R),IF($B1250&lt;&gt;0,SUMIF(куб!$B:$B,$B1250,куб!R:R))))))</f>
        <v>0</v>
      </c>
      <c r="AG1250" s="27" t="b">
        <f>IF($G1250&lt;&gt;0,SUMIF(куб!$G:$G,$G1250,куб!S:S),IF($E1250&lt;&gt;0,SUMIF(куб!$E:$E,$E1250,куб!S:S),IF($D1250&lt;&gt;0,SUMIF(куб!$D:$D,$D1250,куб!S:S),IF($C1250&lt;&gt;0,SUMIF(куб!$C:$C,$C1250,куб!S:S),IF($B1250&lt;&gt;0,SUMIF(куб!$B:$B,$B1250,куб!S:S))))))</f>
        <v>0</v>
      </c>
      <c r="AH1250" s="16" t="str">
        <f t="shared" si="391"/>
        <v>-</v>
      </c>
      <c r="AI1250" s="8"/>
      <c r="AJ1250" s="27" t="b">
        <f>IF($G1250&lt;&gt;0,SUMIF(куб!$G:$G,$G1250,куб!T:T),IF($E1250&lt;&gt;0,SUMIF(куб!$E:$E,$E1250,куб!T:T),IF($D1250&lt;&gt;0,SUMIF(куб!$D:$D,$D1250,куб!T:T),IF($C1250&lt;&gt;0,SUMIF(куб!$C:$C,$C1250,куб!T:T),IF($B1250&lt;&gt;0,SUMIF(куб!$B:$B,$B1250,куб!T:T))))))</f>
        <v>0</v>
      </c>
      <c r="AK1250" s="27" t="b">
        <f>IF($G1250&lt;&gt;0,SUMIF(куб!$G:$G,$G1250,куб!U:U),IF($E1250&lt;&gt;0,SUMIF(куб!$E:$E,$E1250,куб!U:U),IF($D1250&lt;&gt;0,SUMIF(куб!$D:$D,$D1250,куб!U:U),IF($C1250&lt;&gt;0,SUMIF(куб!$C:$C,$C1250,куб!U:U),IF($B1250&lt;&gt;0,SUMIF(куб!$B:$B,$B1250,куб!U:U))))))</f>
        <v>0</v>
      </c>
      <c r="AL1250" s="16" t="str">
        <f t="shared" si="392"/>
        <v>-</v>
      </c>
      <c r="AM1250" s="8"/>
      <c r="AN1250" s="17" t="str">
        <f t="shared" si="393"/>
        <v xml:space="preserve"> </v>
      </c>
      <c r="AO1250" s="17" t="str">
        <f t="shared" si="394"/>
        <v xml:space="preserve"> </v>
      </c>
      <c r="AP1250" s="16" t="str">
        <f t="shared" si="395"/>
        <v>-</v>
      </c>
      <c r="AQ1250" s="8"/>
      <c r="AR1250" s="17" t="str">
        <f t="shared" si="396"/>
        <v>-</v>
      </c>
      <c r="AS1250" s="17" t="str">
        <f t="shared" si="397"/>
        <v>-</v>
      </c>
      <c r="AT1250" s="13" t="str">
        <f t="shared" si="398"/>
        <v>-</v>
      </c>
      <c r="AU1250" s="8"/>
    </row>
    <row r="1251" spans="8:47" x14ac:dyDescent="0.25">
      <c r="H1251" s="27">
        <f>IF($G1251&lt;&gt;0,SUMIF(куб!$G:$G,$G1251,куб!H:H),IF($E1251&lt;&gt;0,SUMIF(куб!$E:$E,$E1251,куб!H:H),IF($D1251&lt;&gt;0,SUMIF(куб!$D:$D,$D1251,куб!H:H),IF($C1251&lt;&gt;0,SUMIF(куб!$C:$C,$C1251,куб!H:H),IF($B1251&lt;&gt;0,SUMIF(куб!$B:$B,$B1251,куб!H:H),IF($G1251&lt;&gt;0,SUMIF(куб!$A:$A,$G1251,куб!H:H),SUMIF(куб!$A:$A,$G1251,куб!H:H)))))))</f>
        <v>0</v>
      </c>
      <c r="I1251" s="27">
        <f>IF($G1251&lt;&gt;0,SUMIF(куб!$G:$G,$G1251,куб!I:I),IF($E1251&lt;&gt;0,SUMIF(куб!$E:$E,$E1251,куб!I:I),IF($D1251&lt;&gt;0,SUMIF(куб!$D:$D,$D1251,куб!I:I),IF($C1251&lt;&gt;0,SUMIF(куб!$C:$C,$C1251,куб!I:I),IF($B1251&lt;&gt;0,SUMIF(куб!$B:$B,$B1251,куб!I:I),IF($G1251&lt;&gt;0,SUMIF(куб!$A:$A,$G1251,куб!I:I),SUMIF(куб!$A:$A,$G1251,куб!I:I)))))))</f>
        <v>0</v>
      </c>
      <c r="J1251" s="19" t="str">
        <f t="shared" si="381"/>
        <v>-</v>
      </c>
      <c r="K1251" s="8"/>
      <c r="L1251" s="17">
        <f t="shared" si="382"/>
        <v>0</v>
      </c>
      <c r="M1251" s="17">
        <f t="shared" si="383"/>
        <v>0</v>
      </c>
      <c r="N1251" s="12">
        <f t="shared" si="384"/>
        <v>0</v>
      </c>
      <c r="O1251" s="5"/>
      <c r="P1251" s="27" t="b">
        <f>IF($G1251&lt;&gt;0,SUMIF(куб!$G:$G,$G1251,куб!J:J),IF($E1251&lt;&gt;0,SUMIF(куб!$E:$E,$E1251,куб!J:J),IF($D1251&lt;&gt;0,SUMIF(куб!$D:$D,$D1251,куб!J:J),IF($C1251&lt;&gt;0,SUMIF(куб!$C:$C,$C1251,куб!J:J),IF($B1251&lt;&gt;0,SUMIF(куб!$B:$B,$B1251,куб!J:J))))))</f>
        <v>0</v>
      </c>
      <c r="Q1251" s="27" t="b">
        <f>IF($G1251&lt;&gt;0,SUMIF(куб!$G:$G,$G1251,куб!K:K),IF($E1251&lt;&gt;0,SUMIF(куб!$E:$E,$E1251,куб!K:K),IF($D1251&lt;&gt;0,SUMIF(куб!$D:$D,$D1251,куб!K:K),IF($C1251&lt;&gt;0,SUMIF(куб!$C:$C,$C1251,куб!K:K),IF($B1251&lt;&gt;0,SUMIF(куб!$B:$B,$B1251,куб!K:K))))))</f>
        <v>0</v>
      </c>
      <c r="R1251" s="13" t="str">
        <f t="shared" si="385"/>
        <v>-</v>
      </c>
      <c r="S1251" s="5"/>
      <c r="T1251" s="27" t="b">
        <f>IF($G1251&lt;&gt;0,SUMIF(куб!$G:$G,$G1251,куб!L:L),IF($E1251&lt;&gt;0,SUMIF(куб!$E:$E,$E1251,куб!L:L),IF($D1251&lt;&gt;0,SUMIF(куб!$D:$D,$D1251,куб!L:L),IF($C1251&lt;&gt;0,SUMIF(куб!$C:$C,$C1251,куб!L:L),IF($B1251&lt;&gt;0,SUMIF(куб!$B:$B,$B1251,куб!L:L))))))</f>
        <v>0</v>
      </c>
      <c r="U1251" s="27" t="b">
        <f>IF($G1251&lt;&gt;0,SUMIF(куб!$G:$G,$G1251,куб!M:M),IF($E1251&lt;&gt;0,SUMIF(куб!$E:$E,$E1251,куб!M:M),IF($D1251&lt;&gt;0,SUMIF(куб!$D:$D,$D1251,куб!M:M),IF($C1251&lt;&gt;0,SUMIF(куб!$C:$C,$C1251,куб!M:M),IF($B1251&lt;&gt;0,SUMIF(куб!$B:$B,$B1251,куб!M:M))))))</f>
        <v>0</v>
      </c>
      <c r="V1251" s="13" t="str">
        <f t="shared" si="386"/>
        <v>-</v>
      </c>
      <c r="W1251" s="5"/>
      <c r="X1251" s="27" t="b">
        <f>IF($G1251&lt;&gt;0,SUMIF(куб!$G:$G,$G1251,куб!N:N),IF($E1251&lt;&gt;0,SUMIF(куб!$E:$E,$E1251,куб!N:N),IF($D1251&lt;&gt;0,SUMIF(куб!$D:$D,$D1251,куб!N:N),IF($C1251&lt;&gt;0,SUMIF(куб!$C:$C,$C1251,куб!N:N),IF($B1251&lt;&gt;0,SUMIF(куб!$B:$B,$B1251,куб!N:N))))))</f>
        <v>0</v>
      </c>
      <c r="Y1251" s="27" t="b">
        <f>IF($G1251&lt;&gt;0,SUMIF(куб!$G:$G,$G1251,куб!O:O),IF($E1251&lt;&gt;0,SUMIF(куб!$E:$E,$E1251,куб!O:O),IF($D1251&lt;&gt;0,SUMIF(куб!$D:$D,$D1251,куб!O:O),IF($C1251&lt;&gt;0,SUMIF(куб!$C:$C,$C1251,куб!O:O),IF($B1251&lt;&gt;0,SUMIF(куб!$B:$B,$B1251,куб!O:O))))))</f>
        <v>0</v>
      </c>
      <c r="Z1251" s="13" t="str">
        <f t="shared" si="387"/>
        <v>-</v>
      </c>
      <c r="AA1251" s="5"/>
      <c r="AB1251" s="33" t="str">
        <f t="shared" si="388"/>
        <v/>
      </c>
      <c r="AC1251" s="33" t="str">
        <f t="shared" si="389"/>
        <v/>
      </c>
      <c r="AD1251" s="15" t="str">
        <f t="shared" si="390"/>
        <v xml:space="preserve"> </v>
      </c>
      <c r="AE1251" s="5"/>
      <c r="AF1251" s="27" t="b">
        <f>IF($G1251&lt;&gt;0,SUMIF(куб!$G:$G,$G1251,куб!R:R),IF($E1251&lt;&gt;0,SUMIF(куб!$E:$E,$E1251,куб!R:R),IF($D1251&lt;&gt;0,SUMIF(куб!$D:$D,$D1251,куб!R:R),IF($C1251&lt;&gt;0,SUMIF(куб!$C:$C,$C1251,куб!R:R),IF($B1251&lt;&gt;0,SUMIF(куб!$B:$B,$B1251,куб!R:R))))))</f>
        <v>0</v>
      </c>
      <c r="AG1251" s="27" t="b">
        <f>IF($G1251&lt;&gt;0,SUMIF(куб!$G:$G,$G1251,куб!S:S),IF($E1251&lt;&gt;0,SUMIF(куб!$E:$E,$E1251,куб!S:S),IF($D1251&lt;&gt;0,SUMIF(куб!$D:$D,$D1251,куб!S:S),IF($C1251&lt;&gt;0,SUMIF(куб!$C:$C,$C1251,куб!S:S),IF($B1251&lt;&gt;0,SUMIF(куб!$B:$B,$B1251,куб!S:S))))))</f>
        <v>0</v>
      </c>
      <c r="AH1251" s="16" t="str">
        <f t="shared" si="391"/>
        <v>-</v>
      </c>
      <c r="AI1251" s="8"/>
      <c r="AJ1251" s="27" t="b">
        <f>IF($G1251&lt;&gt;0,SUMIF(куб!$G:$G,$G1251,куб!T:T),IF($E1251&lt;&gt;0,SUMIF(куб!$E:$E,$E1251,куб!T:T),IF($D1251&lt;&gt;0,SUMIF(куб!$D:$D,$D1251,куб!T:T),IF($C1251&lt;&gt;0,SUMIF(куб!$C:$C,$C1251,куб!T:T),IF($B1251&lt;&gt;0,SUMIF(куб!$B:$B,$B1251,куб!T:T))))))</f>
        <v>0</v>
      </c>
      <c r="AK1251" s="27" t="b">
        <f>IF($G1251&lt;&gt;0,SUMIF(куб!$G:$G,$G1251,куб!U:U),IF($E1251&lt;&gt;0,SUMIF(куб!$E:$E,$E1251,куб!U:U),IF($D1251&lt;&gt;0,SUMIF(куб!$D:$D,$D1251,куб!U:U),IF($C1251&lt;&gt;0,SUMIF(куб!$C:$C,$C1251,куб!U:U),IF($B1251&lt;&gt;0,SUMIF(куб!$B:$B,$B1251,куб!U:U))))))</f>
        <v>0</v>
      </c>
      <c r="AL1251" s="16" t="str">
        <f t="shared" si="392"/>
        <v>-</v>
      </c>
      <c r="AM1251" s="8"/>
      <c r="AN1251" s="17" t="str">
        <f t="shared" si="393"/>
        <v xml:space="preserve"> </v>
      </c>
      <c r="AO1251" s="17" t="str">
        <f t="shared" si="394"/>
        <v xml:space="preserve"> </v>
      </c>
      <c r="AP1251" s="16" t="str">
        <f t="shared" si="395"/>
        <v>-</v>
      </c>
      <c r="AQ1251" s="8"/>
      <c r="AR1251" s="17" t="str">
        <f t="shared" si="396"/>
        <v>-</v>
      </c>
      <c r="AS1251" s="17" t="str">
        <f t="shared" si="397"/>
        <v>-</v>
      </c>
      <c r="AT1251" s="13" t="str">
        <f t="shared" si="398"/>
        <v>-</v>
      </c>
      <c r="AU1251" s="8"/>
    </row>
    <row r="1252" spans="8:47" x14ac:dyDescent="0.25">
      <c r="H1252" s="27">
        <f>IF($G1252&lt;&gt;0,SUMIF(куб!$G:$G,$G1252,куб!H:H),IF($E1252&lt;&gt;0,SUMIF(куб!$E:$E,$E1252,куб!H:H),IF($D1252&lt;&gt;0,SUMIF(куб!$D:$D,$D1252,куб!H:H),IF($C1252&lt;&gt;0,SUMIF(куб!$C:$C,$C1252,куб!H:H),IF($B1252&lt;&gt;0,SUMIF(куб!$B:$B,$B1252,куб!H:H),IF($G1252&lt;&gt;0,SUMIF(куб!$A:$A,$G1252,куб!H:H),SUMIF(куб!$A:$A,$G1252,куб!H:H)))))))</f>
        <v>0</v>
      </c>
      <c r="I1252" s="27">
        <f>IF($G1252&lt;&gt;0,SUMIF(куб!$G:$G,$G1252,куб!I:I),IF($E1252&lt;&gt;0,SUMIF(куб!$E:$E,$E1252,куб!I:I),IF($D1252&lt;&gt;0,SUMIF(куб!$D:$D,$D1252,куб!I:I),IF($C1252&lt;&gt;0,SUMIF(куб!$C:$C,$C1252,куб!I:I),IF($B1252&lt;&gt;0,SUMIF(куб!$B:$B,$B1252,куб!I:I),IF($G1252&lt;&gt;0,SUMIF(куб!$A:$A,$G1252,куб!I:I),SUMIF(куб!$A:$A,$G1252,куб!I:I)))))))</f>
        <v>0</v>
      </c>
      <c r="J1252" s="19" t="str">
        <f t="shared" si="381"/>
        <v>-</v>
      </c>
      <c r="K1252" s="8"/>
      <c r="L1252" s="17">
        <f t="shared" si="382"/>
        <v>0</v>
      </c>
      <c r="M1252" s="17">
        <f t="shared" si="383"/>
        <v>0</v>
      </c>
      <c r="N1252" s="12">
        <f t="shared" si="384"/>
        <v>0</v>
      </c>
      <c r="O1252" s="5"/>
      <c r="P1252" s="27" t="b">
        <f>IF($G1252&lt;&gt;0,SUMIF(куб!$G:$G,$G1252,куб!J:J),IF($E1252&lt;&gt;0,SUMIF(куб!$E:$E,$E1252,куб!J:J),IF($D1252&lt;&gt;0,SUMIF(куб!$D:$D,$D1252,куб!J:J),IF($C1252&lt;&gt;0,SUMIF(куб!$C:$C,$C1252,куб!J:J),IF($B1252&lt;&gt;0,SUMIF(куб!$B:$B,$B1252,куб!J:J))))))</f>
        <v>0</v>
      </c>
      <c r="Q1252" s="27" t="b">
        <f>IF($G1252&lt;&gt;0,SUMIF(куб!$G:$G,$G1252,куб!K:K),IF($E1252&lt;&gt;0,SUMIF(куб!$E:$E,$E1252,куб!K:K),IF($D1252&lt;&gt;0,SUMIF(куб!$D:$D,$D1252,куб!K:K),IF($C1252&lt;&gt;0,SUMIF(куб!$C:$C,$C1252,куб!K:K),IF($B1252&lt;&gt;0,SUMIF(куб!$B:$B,$B1252,куб!K:K))))))</f>
        <v>0</v>
      </c>
      <c r="R1252" s="13" t="str">
        <f t="shared" si="385"/>
        <v>-</v>
      </c>
      <c r="S1252" s="5"/>
      <c r="T1252" s="27" t="b">
        <f>IF($G1252&lt;&gt;0,SUMIF(куб!$G:$G,$G1252,куб!L:L),IF($E1252&lt;&gt;0,SUMIF(куб!$E:$E,$E1252,куб!L:L),IF($D1252&lt;&gt;0,SUMIF(куб!$D:$D,$D1252,куб!L:L),IF($C1252&lt;&gt;0,SUMIF(куб!$C:$C,$C1252,куб!L:L),IF($B1252&lt;&gt;0,SUMIF(куб!$B:$B,$B1252,куб!L:L))))))</f>
        <v>0</v>
      </c>
      <c r="U1252" s="27" t="b">
        <f>IF($G1252&lt;&gt;0,SUMIF(куб!$G:$G,$G1252,куб!M:M),IF($E1252&lt;&gt;0,SUMIF(куб!$E:$E,$E1252,куб!M:M),IF($D1252&lt;&gt;0,SUMIF(куб!$D:$D,$D1252,куб!M:M),IF($C1252&lt;&gt;0,SUMIF(куб!$C:$C,$C1252,куб!M:M),IF($B1252&lt;&gt;0,SUMIF(куб!$B:$B,$B1252,куб!M:M))))))</f>
        <v>0</v>
      </c>
      <c r="V1252" s="13" t="str">
        <f t="shared" si="386"/>
        <v>-</v>
      </c>
      <c r="W1252" s="5"/>
      <c r="X1252" s="27" t="b">
        <f>IF($G1252&lt;&gt;0,SUMIF(куб!$G:$G,$G1252,куб!N:N),IF($E1252&lt;&gt;0,SUMIF(куб!$E:$E,$E1252,куб!N:N),IF($D1252&lt;&gt;0,SUMIF(куб!$D:$D,$D1252,куб!N:N),IF($C1252&lt;&gt;0,SUMIF(куб!$C:$C,$C1252,куб!N:N),IF($B1252&lt;&gt;0,SUMIF(куб!$B:$B,$B1252,куб!N:N))))))</f>
        <v>0</v>
      </c>
      <c r="Y1252" s="27" t="b">
        <f>IF($G1252&lt;&gt;0,SUMIF(куб!$G:$G,$G1252,куб!O:O),IF($E1252&lt;&gt;0,SUMIF(куб!$E:$E,$E1252,куб!O:O),IF($D1252&lt;&gt;0,SUMIF(куб!$D:$D,$D1252,куб!O:O),IF($C1252&lt;&gt;0,SUMIF(куб!$C:$C,$C1252,куб!O:O),IF($B1252&lt;&gt;0,SUMIF(куб!$B:$B,$B1252,куб!O:O))))))</f>
        <v>0</v>
      </c>
      <c r="Z1252" s="13" t="str">
        <f t="shared" si="387"/>
        <v>-</v>
      </c>
      <c r="AA1252" s="5"/>
      <c r="AB1252" s="33" t="str">
        <f t="shared" si="388"/>
        <v/>
      </c>
      <c r="AC1252" s="33" t="str">
        <f t="shared" si="389"/>
        <v/>
      </c>
      <c r="AD1252" s="15" t="str">
        <f t="shared" si="390"/>
        <v xml:space="preserve"> </v>
      </c>
      <c r="AE1252" s="5"/>
      <c r="AF1252" s="27" t="b">
        <f>IF($G1252&lt;&gt;0,SUMIF(куб!$G:$G,$G1252,куб!R:R),IF($E1252&lt;&gt;0,SUMIF(куб!$E:$E,$E1252,куб!R:R),IF($D1252&lt;&gt;0,SUMIF(куб!$D:$D,$D1252,куб!R:R),IF($C1252&lt;&gt;0,SUMIF(куб!$C:$C,$C1252,куб!R:R),IF($B1252&lt;&gt;0,SUMIF(куб!$B:$B,$B1252,куб!R:R))))))</f>
        <v>0</v>
      </c>
      <c r="AG1252" s="27" t="b">
        <f>IF($G1252&lt;&gt;0,SUMIF(куб!$G:$G,$G1252,куб!S:S),IF($E1252&lt;&gt;0,SUMIF(куб!$E:$E,$E1252,куб!S:S),IF($D1252&lt;&gt;0,SUMIF(куб!$D:$D,$D1252,куб!S:S),IF($C1252&lt;&gt;0,SUMIF(куб!$C:$C,$C1252,куб!S:S),IF($B1252&lt;&gt;0,SUMIF(куб!$B:$B,$B1252,куб!S:S))))))</f>
        <v>0</v>
      </c>
      <c r="AH1252" s="16" t="str">
        <f t="shared" si="391"/>
        <v>-</v>
      </c>
      <c r="AI1252" s="8"/>
      <c r="AJ1252" s="27" t="b">
        <f>IF($G1252&lt;&gt;0,SUMIF(куб!$G:$G,$G1252,куб!T:T),IF($E1252&lt;&gt;0,SUMIF(куб!$E:$E,$E1252,куб!T:T),IF($D1252&lt;&gt;0,SUMIF(куб!$D:$D,$D1252,куб!T:T),IF($C1252&lt;&gt;0,SUMIF(куб!$C:$C,$C1252,куб!T:T),IF($B1252&lt;&gt;0,SUMIF(куб!$B:$B,$B1252,куб!T:T))))))</f>
        <v>0</v>
      </c>
      <c r="AK1252" s="27" t="b">
        <f>IF($G1252&lt;&gt;0,SUMIF(куб!$G:$G,$G1252,куб!U:U),IF($E1252&lt;&gt;0,SUMIF(куб!$E:$E,$E1252,куб!U:U),IF($D1252&lt;&gt;0,SUMIF(куб!$D:$D,$D1252,куб!U:U),IF($C1252&lt;&gt;0,SUMIF(куб!$C:$C,$C1252,куб!U:U),IF($B1252&lt;&gt;0,SUMIF(куб!$B:$B,$B1252,куб!U:U))))))</f>
        <v>0</v>
      </c>
      <c r="AL1252" s="16" t="str">
        <f t="shared" si="392"/>
        <v>-</v>
      </c>
      <c r="AM1252" s="8"/>
      <c r="AN1252" s="17" t="str">
        <f t="shared" si="393"/>
        <v xml:space="preserve"> </v>
      </c>
      <c r="AO1252" s="17" t="str">
        <f t="shared" si="394"/>
        <v xml:space="preserve"> </v>
      </c>
      <c r="AP1252" s="16" t="str">
        <f t="shared" si="395"/>
        <v>-</v>
      </c>
      <c r="AQ1252" s="8"/>
      <c r="AR1252" s="17" t="str">
        <f t="shared" si="396"/>
        <v>-</v>
      </c>
      <c r="AS1252" s="17" t="str">
        <f t="shared" si="397"/>
        <v>-</v>
      </c>
      <c r="AT1252" s="13" t="str">
        <f t="shared" si="398"/>
        <v>-</v>
      </c>
      <c r="AU1252" s="8"/>
    </row>
    <row r="1253" spans="8:47" x14ac:dyDescent="0.25">
      <c r="H1253" s="27">
        <f>IF($G1253&lt;&gt;0,SUMIF(куб!$G:$G,$G1253,куб!H:H),IF($E1253&lt;&gt;0,SUMIF(куб!$E:$E,$E1253,куб!H:H),IF($D1253&lt;&gt;0,SUMIF(куб!$D:$D,$D1253,куб!H:H),IF($C1253&lt;&gt;0,SUMIF(куб!$C:$C,$C1253,куб!H:H),IF($B1253&lt;&gt;0,SUMIF(куб!$B:$B,$B1253,куб!H:H),IF($G1253&lt;&gt;0,SUMIF(куб!$A:$A,$G1253,куб!H:H),SUMIF(куб!$A:$A,$G1253,куб!H:H)))))))</f>
        <v>0</v>
      </c>
      <c r="I1253" s="27">
        <f>IF($G1253&lt;&gt;0,SUMIF(куб!$G:$G,$G1253,куб!I:I),IF($E1253&lt;&gt;0,SUMIF(куб!$E:$E,$E1253,куб!I:I),IF($D1253&lt;&gt;0,SUMIF(куб!$D:$D,$D1253,куб!I:I),IF($C1253&lt;&gt;0,SUMIF(куб!$C:$C,$C1253,куб!I:I),IF($B1253&lt;&gt;0,SUMIF(куб!$B:$B,$B1253,куб!I:I),IF($G1253&lt;&gt;0,SUMIF(куб!$A:$A,$G1253,куб!I:I),SUMIF(куб!$A:$A,$G1253,куб!I:I)))))))</f>
        <v>0</v>
      </c>
      <c r="J1253" s="19" t="str">
        <f t="shared" si="381"/>
        <v>-</v>
      </c>
      <c r="K1253" s="8"/>
      <c r="L1253" s="17">
        <f t="shared" si="382"/>
        <v>0</v>
      </c>
      <c r="M1253" s="17">
        <f t="shared" si="383"/>
        <v>0</v>
      </c>
      <c r="N1253" s="12">
        <f t="shared" si="384"/>
        <v>0</v>
      </c>
      <c r="O1253" s="5"/>
      <c r="P1253" s="27" t="b">
        <f>IF($G1253&lt;&gt;0,SUMIF(куб!$G:$G,$G1253,куб!J:J),IF($E1253&lt;&gt;0,SUMIF(куб!$E:$E,$E1253,куб!J:J),IF($D1253&lt;&gt;0,SUMIF(куб!$D:$D,$D1253,куб!J:J),IF($C1253&lt;&gt;0,SUMIF(куб!$C:$C,$C1253,куб!J:J),IF($B1253&lt;&gt;0,SUMIF(куб!$B:$B,$B1253,куб!J:J))))))</f>
        <v>0</v>
      </c>
      <c r="Q1253" s="27" t="b">
        <f>IF($G1253&lt;&gt;0,SUMIF(куб!$G:$G,$G1253,куб!K:K),IF($E1253&lt;&gt;0,SUMIF(куб!$E:$E,$E1253,куб!K:K),IF($D1253&lt;&gt;0,SUMIF(куб!$D:$D,$D1253,куб!K:K),IF($C1253&lt;&gt;0,SUMIF(куб!$C:$C,$C1253,куб!K:K),IF($B1253&lt;&gt;0,SUMIF(куб!$B:$B,$B1253,куб!K:K))))))</f>
        <v>0</v>
      </c>
      <c r="R1253" s="13" t="str">
        <f t="shared" si="385"/>
        <v>-</v>
      </c>
      <c r="S1253" s="5"/>
      <c r="T1253" s="27" t="b">
        <f>IF($G1253&lt;&gt;0,SUMIF(куб!$G:$G,$G1253,куб!L:L),IF($E1253&lt;&gt;0,SUMIF(куб!$E:$E,$E1253,куб!L:L),IF($D1253&lt;&gt;0,SUMIF(куб!$D:$D,$D1253,куб!L:L),IF($C1253&lt;&gt;0,SUMIF(куб!$C:$C,$C1253,куб!L:L),IF($B1253&lt;&gt;0,SUMIF(куб!$B:$B,$B1253,куб!L:L))))))</f>
        <v>0</v>
      </c>
      <c r="U1253" s="27" t="b">
        <f>IF($G1253&lt;&gt;0,SUMIF(куб!$G:$G,$G1253,куб!M:M),IF($E1253&lt;&gt;0,SUMIF(куб!$E:$E,$E1253,куб!M:M),IF($D1253&lt;&gt;0,SUMIF(куб!$D:$D,$D1253,куб!M:M),IF($C1253&lt;&gt;0,SUMIF(куб!$C:$C,$C1253,куб!M:M),IF($B1253&lt;&gt;0,SUMIF(куб!$B:$B,$B1253,куб!M:M))))))</f>
        <v>0</v>
      </c>
      <c r="V1253" s="13" t="str">
        <f t="shared" si="386"/>
        <v>-</v>
      </c>
      <c r="W1253" s="5"/>
      <c r="X1253" s="27" t="b">
        <f>IF($G1253&lt;&gt;0,SUMIF(куб!$G:$G,$G1253,куб!N:N),IF($E1253&lt;&gt;0,SUMIF(куб!$E:$E,$E1253,куб!N:N),IF($D1253&lt;&gt;0,SUMIF(куб!$D:$D,$D1253,куб!N:N),IF($C1253&lt;&gt;0,SUMIF(куб!$C:$C,$C1253,куб!N:N),IF($B1253&lt;&gt;0,SUMIF(куб!$B:$B,$B1253,куб!N:N))))))</f>
        <v>0</v>
      </c>
      <c r="Y1253" s="27" t="b">
        <f>IF($G1253&lt;&gt;0,SUMIF(куб!$G:$G,$G1253,куб!O:O),IF($E1253&lt;&gt;0,SUMIF(куб!$E:$E,$E1253,куб!O:O),IF($D1253&lt;&gt;0,SUMIF(куб!$D:$D,$D1253,куб!O:O),IF($C1253&lt;&gt;0,SUMIF(куб!$C:$C,$C1253,куб!O:O),IF($B1253&lt;&gt;0,SUMIF(куб!$B:$B,$B1253,куб!O:O))))))</f>
        <v>0</v>
      </c>
      <c r="Z1253" s="13" t="str">
        <f t="shared" si="387"/>
        <v>-</v>
      </c>
      <c r="AA1253" s="5"/>
      <c r="AB1253" s="33" t="str">
        <f t="shared" si="388"/>
        <v/>
      </c>
      <c r="AC1253" s="33" t="str">
        <f t="shared" si="389"/>
        <v/>
      </c>
      <c r="AD1253" s="15" t="str">
        <f t="shared" si="390"/>
        <v xml:space="preserve"> </v>
      </c>
      <c r="AE1253" s="5"/>
      <c r="AF1253" s="27" t="b">
        <f>IF($G1253&lt;&gt;0,SUMIF(куб!$G:$G,$G1253,куб!R:R),IF($E1253&lt;&gt;0,SUMIF(куб!$E:$E,$E1253,куб!R:R),IF($D1253&lt;&gt;0,SUMIF(куб!$D:$D,$D1253,куб!R:R),IF($C1253&lt;&gt;0,SUMIF(куб!$C:$C,$C1253,куб!R:R),IF($B1253&lt;&gt;0,SUMIF(куб!$B:$B,$B1253,куб!R:R))))))</f>
        <v>0</v>
      </c>
      <c r="AG1253" s="27" t="b">
        <f>IF($G1253&lt;&gt;0,SUMIF(куб!$G:$G,$G1253,куб!S:S),IF($E1253&lt;&gt;0,SUMIF(куб!$E:$E,$E1253,куб!S:S),IF($D1253&lt;&gt;0,SUMIF(куб!$D:$D,$D1253,куб!S:S),IF($C1253&lt;&gt;0,SUMIF(куб!$C:$C,$C1253,куб!S:S),IF($B1253&lt;&gt;0,SUMIF(куб!$B:$B,$B1253,куб!S:S))))))</f>
        <v>0</v>
      </c>
      <c r="AH1253" s="16" t="str">
        <f t="shared" si="391"/>
        <v>-</v>
      </c>
      <c r="AI1253" s="8"/>
      <c r="AJ1253" s="27" t="b">
        <f>IF($G1253&lt;&gt;0,SUMIF(куб!$G:$G,$G1253,куб!T:T),IF($E1253&lt;&gt;0,SUMIF(куб!$E:$E,$E1253,куб!T:T),IF($D1253&lt;&gt;0,SUMIF(куб!$D:$D,$D1253,куб!T:T),IF($C1253&lt;&gt;0,SUMIF(куб!$C:$C,$C1253,куб!T:T),IF($B1253&lt;&gt;0,SUMIF(куб!$B:$B,$B1253,куб!T:T))))))</f>
        <v>0</v>
      </c>
      <c r="AK1253" s="27" t="b">
        <f>IF($G1253&lt;&gt;0,SUMIF(куб!$G:$G,$G1253,куб!U:U),IF($E1253&lt;&gt;0,SUMIF(куб!$E:$E,$E1253,куб!U:U),IF($D1253&lt;&gt;0,SUMIF(куб!$D:$D,$D1253,куб!U:U),IF($C1253&lt;&gt;0,SUMIF(куб!$C:$C,$C1253,куб!U:U),IF($B1253&lt;&gt;0,SUMIF(куб!$B:$B,$B1253,куб!U:U))))))</f>
        <v>0</v>
      </c>
      <c r="AL1253" s="16" t="str">
        <f t="shared" si="392"/>
        <v>-</v>
      </c>
      <c r="AM1253" s="8"/>
      <c r="AN1253" s="17" t="str">
        <f t="shared" si="393"/>
        <v xml:space="preserve"> </v>
      </c>
      <c r="AO1253" s="17" t="str">
        <f t="shared" si="394"/>
        <v xml:space="preserve"> </v>
      </c>
      <c r="AP1253" s="16" t="str">
        <f t="shared" si="395"/>
        <v>-</v>
      </c>
      <c r="AQ1253" s="8"/>
      <c r="AR1253" s="17" t="str">
        <f t="shared" si="396"/>
        <v>-</v>
      </c>
      <c r="AS1253" s="17" t="str">
        <f t="shared" si="397"/>
        <v>-</v>
      </c>
      <c r="AT1253" s="13" t="str">
        <f t="shared" si="398"/>
        <v>-</v>
      </c>
      <c r="AU1253" s="8"/>
    </row>
    <row r="1254" spans="8:47" x14ac:dyDescent="0.25">
      <c r="H1254" s="27">
        <f>IF($G1254&lt;&gt;0,SUMIF(куб!$G:$G,$G1254,куб!H:H),IF($E1254&lt;&gt;0,SUMIF(куб!$E:$E,$E1254,куб!H:H),IF($D1254&lt;&gt;0,SUMIF(куб!$D:$D,$D1254,куб!H:H),IF($C1254&lt;&gt;0,SUMIF(куб!$C:$C,$C1254,куб!H:H),IF($B1254&lt;&gt;0,SUMIF(куб!$B:$B,$B1254,куб!H:H),IF($G1254&lt;&gt;0,SUMIF(куб!$A:$A,$G1254,куб!H:H),SUMIF(куб!$A:$A,$G1254,куб!H:H)))))))</f>
        <v>0</v>
      </c>
      <c r="I1254" s="27">
        <f>IF($G1254&lt;&gt;0,SUMIF(куб!$G:$G,$G1254,куб!I:I),IF($E1254&lt;&gt;0,SUMIF(куб!$E:$E,$E1254,куб!I:I),IF($D1254&lt;&gt;0,SUMIF(куб!$D:$D,$D1254,куб!I:I),IF($C1254&lt;&gt;0,SUMIF(куб!$C:$C,$C1254,куб!I:I),IF($B1254&lt;&gt;0,SUMIF(куб!$B:$B,$B1254,куб!I:I),IF($G1254&lt;&gt;0,SUMIF(куб!$A:$A,$G1254,куб!I:I),SUMIF(куб!$A:$A,$G1254,куб!I:I)))))))</f>
        <v>0</v>
      </c>
      <c r="J1254" s="19" t="str">
        <f t="shared" si="381"/>
        <v>-</v>
      </c>
      <c r="K1254" s="8"/>
      <c r="L1254" s="17">
        <f t="shared" si="382"/>
        <v>0</v>
      </c>
      <c r="M1254" s="17">
        <f t="shared" si="383"/>
        <v>0</v>
      </c>
      <c r="N1254" s="12">
        <f t="shared" si="384"/>
        <v>0</v>
      </c>
      <c r="O1254" s="5"/>
      <c r="P1254" s="27" t="b">
        <f>IF($G1254&lt;&gt;0,SUMIF(куб!$G:$G,$G1254,куб!J:J),IF($E1254&lt;&gt;0,SUMIF(куб!$E:$E,$E1254,куб!J:J),IF($D1254&lt;&gt;0,SUMIF(куб!$D:$D,$D1254,куб!J:J),IF($C1254&lt;&gt;0,SUMIF(куб!$C:$C,$C1254,куб!J:J),IF($B1254&lt;&gt;0,SUMIF(куб!$B:$B,$B1254,куб!J:J))))))</f>
        <v>0</v>
      </c>
      <c r="Q1254" s="27" t="b">
        <f>IF($G1254&lt;&gt;0,SUMIF(куб!$G:$G,$G1254,куб!K:K),IF($E1254&lt;&gt;0,SUMIF(куб!$E:$E,$E1254,куб!K:K),IF($D1254&lt;&gt;0,SUMIF(куб!$D:$D,$D1254,куб!K:K),IF($C1254&lt;&gt;0,SUMIF(куб!$C:$C,$C1254,куб!K:K),IF($B1254&lt;&gt;0,SUMIF(куб!$B:$B,$B1254,куб!K:K))))))</f>
        <v>0</v>
      </c>
      <c r="R1254" s="13" t="str">
        <f t="shared" si="385"/>
        <v>-</v>
      </c>
      <c r="S1254" s="5"/>
      <c r="T1254" s="27" t="b">
        <f>IF($G1254&lt;&gt;0,SUMIF(куб!$G:$G,$G1254,куб!L:L),IF($E1254&lt;&gt;0,SUMIF(куб!$E:$E,$E1254,куб!L:L),IF($D1254&lt;&gt;0,SUMIF(куб!$D:$D,$D1254,куб!L:L),IF($C1254&lt;&gt;0,SUMIF(куб!$C:$C,$C1254,куб!L:L),IF($B1254&lt;&gt;0,SUMIF(куб!$B:$B,$B1254,куб!L:L))))))</f>
        <v>0</v>
      </c>
      <c r="U1254" s="27" t="b">
        <f>IF($G1254&lt;&gt;0,SUMIF(куб!$G:$G,$G1254,куб!M:M),IF($E1254&lt;&gt;0,SUMIF(куб!$E:$E,$E1254,куб!M:M),IF($D1254&lt;&gt;0,SUMIF(куб!$D:$D,$D1254,куб!M:M),IF($C1254&lt;&gt;0,SUMIF(куб!$C:$C,$C1254,куб!M:M),IF($B1254&lt;&gt;0,SUMIF(куб!$B:$B,$B1254,куб!M:M))))))</f>
        <v>0</v>
      </c>
      <c r="V1254" s="13" t="str">
        <f t="shared" si="386"/>
        <v>-</v>
      </c>
      <c r="W1254" s="5"/>
      <c r="X1254" s="27" t="b">
        <f>IF($G1254&lt;&gt;0,SUMIF(куб!$G:$G,$G1254,куб!N:N),IF($E1254&lt;&gt;0,SUMIF(куб!$E:$E,$E1254,куб!N:N),IF($D1254&lt;&gt;0,SUMIF(куб!$D:$D,$D1254,куб!N:N),IF($C1254&lt;&gt;0,SUMIF(куб!$C:$C,$C1254,куб!N:N),IF($B1254&lt;&gt;0,SUMIF(куб!$B:$B,$B1254,куб!N:N))))))</f>
        <v>0</v>
      </c>
      <c r="Y1254" s="27" t="b">
        <f>IF($G1254&lt;&gt;0,SUMIF(куб!$G:$G,$G1254,куб!O:O),IF($E1254&lt;&gt;0,SUMIF(куб!$E:$E,$E1254,куб!O:O),IF($D1254&lt;&gt;0,SUMIF(куб!$D:$D,$D1254,куб!O:O),IF($C1254&lt;&gt;0,SUMIF(куб!$C:$C,$C1254,куб!O:O),IF($B1254&lt;&gt;0,SUMIF(куб!$B:$B,$B1254,куб!O:O))))))</f>
        <v>0</v>
      </c>
      <c r="Z1254" s="13" t="str">
        <f t="shared" si="387"/>
        <v>-</v>
      </c>
      <c r="AA1254" s="5"/>
      <c r="AB1254" s="33" t="str">
        <f t="shared" si="388"/>
        <v/>
      </c>
      <c r="AC1254" s="33" t="str">
        <f t="shared" si="389"/>
        <v/>
      </c>
      <c r="AD1254" s="15" t="str">
        <f t="shared" si="390"/>
        <v xml:space="preserve"> </v>
      </c>
      <c r="AE1254" s="5"/>
      <c r="AF1254" s="27" t="b">
        <f>IF($G1254&lt;&gt;0,SUMIF(куб!$G:$G,$G1254,куб!R:R),IF($E1254&lt;&gt;0,SUMIF(куб!$E:$E,$E1254,куб!R:R),IF($D1254&lt;&gt;0,SUMIF(куб!$D:$D,$D1254,куб!R:R),IF($C1254&lt;&gt;0,SUMIF(куб!$C:$C,$C1254,куб!R:R),IF($B1254&lt;&gt;0,SUMIF(куб!$B:$B,$B1254,куб!R:R))))))</f>
        <v>0</v>
      </c>
      <c r="AG1254" s="27" t="b">
        <f>IF($G1254&lt;&gt;0,SUMIF(куб!$G:$G,$G1254,куб!S:S),IF($E1254&lt;&gt;0,SUMIF(куб!$E:$E,$E1254,куб!S:S),IF($D1254&lt;&gt;0,SUMIF(куб!$D:$D,$D1254,куб!S:S),IF($C1254&lt;&gt;0,SUMIF(куб!$C:$C,$C1254,куб!S:S),IF($B1254&lt;&gt;0,SUMIF(куб!$B:$B,$B1254,куб!S:S))))))</f>
        <v>0</v>
      </c>
      <c r="AH1254" s="16" t="str">
        <f t="shared" si="391"/>
        <v>-</v>
      </c>
      <c r="AI1254" s="8"/>
      <c r="AJ1254" s="27" t="b">
        <f>IF($G1254&lt;&gt;0,SUMIF(куб!$G:$G,$G1254,куб!T:T),IF($E1254&lt;&gt;0,SUMIF(куб!$E:$E,$E1254,куб!T:T),IF($D1254&lt;&gt;0,SUMIF(куб!$D:$D,$D1254,куб!T:T),IF($C1254&lt;&gt;0,SUMIF(куб!$C:$C,$C1254,куб!T:T),IF($B1254&lt;&gt;0,SUMIF(куб!$B:$B,$B1254,куб!T:T))))))</f>
        <v>0</v>
      </c>
      <c r="AK1254" s="27" t="b">
        <f>IF($G1254&lt;&gt;0,SUMIF(куб!$G:$G,$G1254,куб!U:U),IF($E1254&lt;&gt;0,SUMIF(куб!$E:$E,$E1254,куб!U:U),IF($D1254&lt;&gt;0,SUMIF(куб!$D:$D,$D1254,куб!U:U),IF($C1254&lt;&gt;0,SUMIF(куб!$C:$C,$C1254,куб!U:U),IF($B1254&lt;&gt;0,SUMIF(куб!$B:$B,$B1254,куб!U:U))))))</f>
        <v>0</v>
      </c>
      <c r="AL1254" s="16" t="str">
        <f t="shared" si="392"/>
        <v>-</v>
      </c>
      <c r="AM1254" s="8"/>
      <c r="AN1254" s="17" t="str">
        <f t="shared" si="393"/>
        <v xml:space="preserve"> </v>
      </c>
      <c r="AO1254" s="17" t="str">
        <f t="shared" si="394"/>
        <v xml:space="preserve"> </v>
      </c>
      <c r="AP1254" s="16" t="str">
        <f t="shared" si="395"/>
        <v>-</v>
      </c>
      <c r="AQ1254" s="8"/>
      <c r="AR1254" s="17" t="str">
        <f t="shared" si="396"/>
        <v>-</v>
      </c>
      <c r="AS1254" s="17" t="str">
        <f t="shared" si="397"/>
        <v>-</v>
      </c>
      <c r="AT1254" s="13" t="str">
        <f t="shared" si="398"/>
        <v>-</v>
      </c>
      <c r="AU1254" s="8"/>
    </row>
    <row r="1255" spans="8:47" x14ac:dyDescent="0.25">
      <c r="H1255" s="27">
        <f>IF($G1255&lt;&gt;0,SUMIF(куб!$G:$G,$G1255,куб!H:H),IF($E1255&lt;&gt;0,SUMIF(куб!$E:$E,$E1255,куб!H:H),IF($D1255&lt;&gt;0,SUMIF(куб!$D:$D,$D1255,куб!H:H),IF($C1255&lt;&gt;0,SUMIF(куб!$C:$C,$C1255,куб!H:H),IF($B1255&lt;&gt;0,SUMIF(куб!$B:$B,$B1255,куб!H:H),IF($G1255&lt;&gt;0,SUMIF(куб!$A:$A,$G1255,куб!H:H),SUMIF(куб!$A:$A,$G1255,куб!H:H)))))))</f>
        <v>0</v>
      </c>
      <c r="I1255" s="27">
        <f>IF($G1255&lt;&gt;0,SUMIF(куб!$G:$G,$G1255,куб!I:I),IF($E1255&lt;&gt;0,SUMIF(куб!$E:$E,$E1255,куб!I:I),IF($D1255&lt;&gt;0,SUMIF(куб!$D:$D,$D1255,куб!I:I),IF($C1255&lt;&gt;0,SUMIF(куб!$C:$C,$C1255,куб!I:I),IF($B1255&lt;&gt;0,SUMIF(куб!$B:$B,$B1255,куб!I:I),IF($G1255&lt;&gt;0,SUMIF(куб!$A:$A,$G1255,куб!I:I),SUMIF(куб!$A:$A,$G1255,куб!I:I)))))))</f>
        <v>0</v>
      </c>
      <c r="J1255" s="19" t="str">
        <f t="shared" si="381"/>
        <v>-</v>
      </c>
      <c r="K1255" s="8"/>
      <c r="L1255" s="17">
        <f t="shared" si="382"/>
        <v>0</v>
      </c>
      <c r="M1255" s="17">
        <f t="shared" si="383"/>
        <v>0</v>
      </c>
      <c r="N1255" s="12">
        <f t="shared" si="384"/>
        <v>0</v>
      </c>
      <c r="O1255" s="5"/>
      <c r="P1255" s="27" t="b">
        <f>IF($G1255&lt;&gt;0,SUMIF(куб!$G:$G,$G1255,куб!J:J),IF($E1255&lt;&gt;0,SUMIF(куб!$E:$E,$E1255,куб!J:J),IF($D1255&lt;&gt;0,SUMIF(куб!$D:$D,$D1255,куб!J:J),IF($C1255&lt;&gt;0,SUMIF(куб!$C:$C,$C1255,куб!J:J),IF($B1255&lt;&gt;0,SUMIF(куб!$B:$B,$B1255,куб!J:J))))))</f>
        <v>0</v>
      </c>
      <c r="Q1255" s="27" t="b">
        <f>IF($G1255&lt;&gt;0,SUMIF(куб!$G:$G,$G1255,куб!K:K),IF($E1255&lt;&gt;0,SUMIF(куб!$E:$E,$E1255,куб!K:K),IF($D1255&lt;&gt;0,SUMIF(куб!$D:$D,$D1255,куб!K:K),IF($C1255&lt;&gt;0,SUMIF(куб!$C:$C,$C1255,куб!K:K),IF($B1255&lt;&gt;0,SUMIF(куб!$B:$B,$B1255,куб!K:K))))))</f>
        <v>0</v>
      </c>
      <c r="R1255" s="13" t="str">
        <f t="shared" si="385"/>
        <v>-</v>
      </c>
      <c r="S1255" s="5"/>
      <c r="T1255" s="27" t="b">
        <f>IF($G1255&lt;&gt;0,SUMIF(куб!$G:$G,$G1255,куб!L:L),IF($E1255&lt;&gt;0,SUMIF(куб!$E:$E,$E1255,куб!L:L),IF($D1255&lt;&gt;0,SUMIF(куб!$D:$D,$D1255,куб!L:L),IF($C1255&lt;&gt;0,SUMIF(куб!$C:$C,$C1255,куб!L:L),IF($B1255&lt;&gt;0,SUMIF(куб!$B:$B,$B1255,куб!L:L))))))</f>
        <v>0</v>
      </c>
      <c r="U1255" s="27" t="b">
        <f>IF($G1255&lt;&gt;0,SUMIF(куб!$G:$G,$G1255,куб!M:M),IF($E1255&lt;&gt;0,SUMIF(куб!$E:$E,$E1255,куб!M:M),IF($D1255&lt;&gt;0,SUMIF(куб!$D:$D,$D1255,куб!M:M),IF($C1255&lt;&gt;0,SUMIF(куб!$C:$C,$C1255,куб!M:M),IF($B1255&lt;&gt;0,SUMIF(куб!$B:$B,$B1255,куб!M:M))))))</f>
        <v>0</v>
      </c>
      <c r="V1255" s="13" t="str">
        <f t="shared" si="386"/>
        <v>-</v>
      </c>
      <c r="W1255" s="5"/>
      <c r="X1255" s="27" t="b">
        <f>IF($G1255&lt;&gt;0,SUMIF(куб!$G:$G,$G1255,куб!N:N),IF($E1255&lt;&gt;0,SUMIF(куб!$E:$E,$E1255,куб!N:N),IF($D1255&lt;&gt;0,SUMIF(куб!$D:$D,$D1255,куб!N:N),IF($C1255&lt;&gt;0,SUMIF(куб!$C:$C,$C1255,куб!N:N),IF($B1255&lt;&gt;0,SUMIF(куб!$B:$B,$B1255,куб!N:N))))))</f>
        <v>0</v>
      </c>
      <c r="Y1255" s="27" t="b">
        <f>IF($G1255&lt;&gt;0,SUMIF(куб!$G:$G,$G1255,куб!O:O),IF($E1255&lt;&gt;0,SUMIF(куб!$E:$E,$E1255,куб!O:O),IF($D1255&lt;&gt;0,SUMIF(куб!$D:$D,$D1255,куб!O:O),IF($C1255&lt;&gt;0,SUMIF(куб!$C:$C,$C1255,куб!O:O),IF($B1255&lt;&gt;0,SUMIF(куб!$B:$B,$B1255,куб!O:O))))))</f>
        <v>0</v>
      </c>
      <c r="Z1255" s="13" t="str">
        <f t="shared" si="387"/>
        <v>-</v>
      </c>
      <c r="AA1255" s="5"/>
      <c r="AB1255" s="33" t="str">
        <f t="shared" si="388"/>
        <v/>
      </c>
      <c r="AC1255" s="33" t="str">
        <f t="shared" si="389"/>
        <v/>
      </c>
      <c r="AD1255" s="15" t="str">
        <f t="shared" si="390"/>
        <v xml:space="preserve"> </v>
      </c>
      <c r="AE1255" s="5"/>
      <c r="AF1255" s="27" t="b">
        <f>IF($G1255&lt;&gt;0,SUMIF(куб!$G:$G,$G1255,куб!R:R),IF($E1255&lt;&gt;0,SUMIF(куб!$E:$E,$E1255,куб!R:R),IF($D1255&lt;&gt;0,SUMIF(куб!$D:$D,$D1255,куб!R:R),IF($C1255&lt;&gt;0,SUMIF(куб!$C:$C,$C1255,куб!R:R),IF($B1255&lt;&gt;0,SUMIF(куб!$B:$B,$B1255,куб!R:R))))))</f>
        <v>0</v>
      </c>
      <c r="AG1255" s="27" t="b">
        <f>IF($G1255&lt;&gt;0,SUMIF(куб!$G:$G,$G1255,куб!S:S),IF($E1255&lt;&gt;0,SUMIF(куб!$E:$E,$E1255,куб!S:S),IF($D1255&lt;&gt;0,SUMIF(куб!$D:$D,$D1255,куб!S:S),IF($C1255&lt;&gt;0,SUMIF(куб!$C:$C,$C1255,куб!S:S),IF($B1255&lt;&gt;0,SUMIF(куб!$B:$B,$B1255,куб!S:S))))))</f>
        <v>0</v>
      </c>
      <c r="AH1255" s="16" t="str">
        <f t="shared" si="391"/>
        <v>-</v>
      </c>
      <c r="AI1255" s="8"/>
      <c r="AJ1255" s="27" t="b">
        <f>IF($G1255&lt;&gt;0,SUMIF(куб!$G:$G,$G1255,куб!T:T),IF($E1255&lt;&gt;0,SUMIF(куб!$E:$E,$E1255,куб!T:T),IF($D1255&lt;&gt;0,SUMIF(куб!$D:$D,$D1255,куб!T:T),IF($C1255&lt;&gt;0,SUMIF(куб!$C:$C,$C1255,куб!T:T),IF($B1255&lt;&gt;0,SUMIF(куб!$B:$B,$B1255,куб!T:T))))))</f>
        <v>0</v>
      </c>
      <c r="AK1255" s="27" t="b">
        <f>IF($G1255&lt;&gt;0,SUMIF(куб!$G:$G,$G1255,куб!U:U),IF($E1255&lt;&gt;0,SUMIF(куб!$E:$E,$E1255,куб!U:U),IF($D1255&lt;&gt;0,SUMIF(куб!$D:$D,$D1255,куб!U:U),IF($C1255&lt;&gt;0,SUMIF(куб!$C:$C,$C1255,куб!U:U),IF($B1255&lt;&gt;0,SUMIF(куб!$B:$B,$B1255,куб!U:U))))))</f>
        <v>0</v>
      </c>
      <c r="AL1255" s="16" t="str">
        <f t="shared" si="392"/>
        <v>-</v>
      </c>
      <c r="AM1255" s="8"/>
      <c r="AN1255" s="17" t="str">
        <f t="shared" si="393"/>
        <v xml:space="preserve"> </v>
      </c>
      <c r="AO1255" s="17" t="str">
        <f t="shared" si="394"/>
        <v xml:space="preserve"> </v>
      </c>
      <c r="AP1255" s="16" t="str">
        <f t="shared" si="395"/>
        <v>-</v>
      </c>
      <c r="AQ1255" s="8"/>
      <c r="AR1255" s="17" t="str">
        <f t="shared" si="396"/>
        <v>-</v>
      </c>
      <c r="AS1255" s="17" t="str">
        <f t="shared" si="397"/>
        <v>-</v>
      </c>
      <c r="AT1255" s="13" t="str">
        <f t="shared" si="398"/>
        <v>-</v>
      </c>
      <c r="AU1255" s="8"/>
    </row>
    <row r="1256" spans="8:47" x14ac:dyDescent="0.25">
      <c r="H1256" s="27">
        <f>IF($G1256&lt;&gt;0,SUMIF(куб!$G:$G,$G1256,куб!H:H),IF($E1256&lt;&gt;0,SUMIF(куб!$E:$E,$E1256,куб!H:H),IF($D1256&lt;&gt;0,SUMIF(куб!$D:$D,$D1256,куб!H:H),IF($C1256&lt;&gt;0,SUMIF(куб!$C:$C,$C1256,куб!H:H),IF($B1256&lt;&gt;0,SUMIF(куб!$B:$B,$B1256,куб!H:H),IF($G1256&lt;&gt;0,SUMIF(куб!$A:$A,$G1256,куб!H:H),SUMIF(куб!$A:$A,$G1256,куб!H:H)))))))</f>
        <v>0</v>
      </c>
      <c r="I1256" s="27">
        <f>IF($G1256&lt;&gt;0,SUMIF(куб!$G:$G,$G1256,куб!I:I),IF($E1256&lt;&gt;0,SUMIF(куб!$E:$E,$E1256,куб!I:I),IF($D1256&lt;&gt;0,SUMIF(куб!$D:$D,$D1256,куб!I:I),IF($C1256&lt;&gt;0,SUMIF(куб!$C:$C,$C1256,куб!I:I),IF($B1256&lt;&gt;0,SUMIF(куб!$B:$B,$B1256,куб!I:I),IF($G1256&lt;&gt;0,SUMIF(куб!$A:$A,$G1256,куб!I:I),SUMIF(куб!$A:$A,$G1256,куб!I:I)))))))</f>
        <v>0</v>
      </c>
      <c r="J1256" s="19" t="str">
        <f t="shared" si="381"/>
        <v>-</v>
      </c>
      <c r="K1256" s="8"/>
      <c r="L1256" s="17">
        <f t="shared" si="382"/>
        <v>0</v>
      </c>
      <c r="M1256" s="17">
        <f t="shared" si="383"/>
        <v>0</v>
      </c>
      <c r="N1256" s="12">
        <f t="shared" si="384"/>
        <v>0</v>
      </c>
      <c r="O1256" s="5"/>
      <c r="P1256" s="27" t="b">
        <f>IF($G1256&lt;&gt;0,SUMIF(куб!$G:$G,$G1256,куб!J:J),IF($E1256&lt;&gt;0,SUMIF(куб!$E:$E,$E1256,куб!J:J),IF($D1256&lt;&gt;0,SUMIF(куб!$D:$D,$D1256,куб!J:J),IF($C1256&lt;&gt;0,SUMIF(куб!$C:$C,$C1256,куб!J:J),IF($B1256&lt;&gt;0,SUMIF(куб!$B:$B,$B1256,куб!J:J))))))</f>
        <v>0</v>
      </c>
      <c r="Q1256" s="27" t="b">
        <f>IF($G1256&lt;&gt;0,SUMIF(куб!$G:$G,$G1256,куб!K:K),IF($E1256&lt;&gt;0,SUMIF(куб!$E:$E,$E1256,куб!K:K),IF($D1256&lt;&gt;0,SUMIF(куб!$D:$D,$D1256,куб!K:K),IF($C1256&lt;&gt;0,SUMIF(куб!$C:$C,$C1256,куб!K:K),IF($B1256&lt;&gt;0,SUMIF(куб!$B:$B,$B1256,куб!K:K))))))</f>
        <v>0</v>
      </c>
      <c r="R1256" s="13" t="str">
        <f t="shared" si="385"/>
        <v>-</v>
      </c>
      <c r="S1256" s="5"/>
      <c r="T1256" s="27" t="b">
        <f>IF($G1256&lt;&gt;0,SUMIF(куб!$G:$G,$G1256,куб!L:L),IF($E1256&lt;&gt;0,SUMIF(куб!$E:$E,$E1256,куб!L:L),IF($D1256&lt;&gt;0,SUMIF(куб!$D:$D,$D1256,куб!L:L),IF($C1256&lt;&gt;0,SUMIF(куб!$C:$C,$C1256,куб!L:L),IF($B1256&lt;&gt;0,SUMIF(куб!$B:$B,$B1256,куб!L:L))))))</f>
        <v>0</v>
      </c>
      <c r="U1256" s="27" t="b">
        <f>IF($G1256&lt;&gt;0,SUMIF(куб!$G:$G,$G1256,куб!M:M),IF($E1256&lt;&gt;0,SUMIF(куб!$E:$E,$E1256,куб!M:M),IF($D1256&lt;&gt;0,SUMIF(куб!$D:$D,$D1256,куб!M:M),IF($C1256&lt;&gt;0,SUMIF(куб!$C:$C,$C1256,куб!M:M),IF($B1256&lt;&gt;0,SUMIF(куб!$B:$B,$B1256,куб!M:M))))))</f>
        <v>0</v>
      </c>
      <c r="V1256" s="13" t="str">
        <f t="shared" si="386"/>
        <v>-</v>
      </c>
      <c r="W1256" s="5"/>
      <c r="X1256" s="27" t="b">
        <f>IF($G1256&lt;&gt;0,SUMIF(куб!$G:$G,$G1256,куб!N:N),IF($E1256&lt;&gt;0,SUMIF(куб!$E:$E,$E1256,куб!N:N),IF($D1256&lt;&gt;0,SUMIF(куб!$D:$D,$D1256,куб!N:N),IF($C1256&lt;&gt;0,SUMIF(куб!$C:$C,$C1256,куб!N:N),IF($B1256&lt;&gt;0,SUMIF(куб!$B:$B,$B1256,куб!N:N))))))</f>
        <v>0</v>
      </c>
      <c r="Y1256" s="27" t="b">
        <f>IF($G1256&lt;&gt;0,SUMIF(куб!$G:$G,$G1256,куб!O:O),IF($E1256&lt;&gt;0,SUMIF(куб!$E:$E,$E1256,куб!O:O),IF($D1256&lt;&gt;0,SUMIF(куб!$D:$D,$D1256,куб!O:O),IF($C1256&lt;&gt;0,SUMIF(куб!$C:$C,$C1256,куб!O:O),IF($B1256&lt;&gt;0,SUMIF(куб!$B:$B,$B1256,куб!O:O))))))</f>
        <v>0</v>
      </c>
      <c r="Z1256" s="13" t="str">
        <f t="shared" si="387"/>
        <v>-</v>
      </c>
      <c r="AA1256" s="5"/>
      <c r="AB1256" s="33" t="str">
        <f t="shared" si="388"/>
        <v/>
      </c>
      <c r="AC1256" s="33" t="str">
        <f t="shared" si="389"/>
        <v/>
      </c>
      <c r="AD1256" s="15" t="str">
        <f t="shared" si="390"/>
        <v xml:space="preserve"> </v>
      </c>
      <c r="AE1256" s="5"/>
      <c r="AF1256" s="27" t="b">
        <f>IF($G1256&lt;&gt;0,SUMIF(куб!$G:$G,$G1256,куб!R:R),IF($E1256&lt;&gt;0,SUMIF(куб!$E:$E,$E1256,куб!R:R),IF($D1256&lt;&gt;0,SUMIF(куб!$D:$D,$D1256,куб!R:R),IF($C1256&lt;&gt;0,SUMIF(куб!$C:$C,$C1256,куб!R:R),IF($B1256&lt;&gt;0,SUMIF(куб!$B:$B,$B1256,куб!R:R))))))</f>
        <v>0</v>
      </c>
      <c r="AG1256" s="27" t="b">
        <f>IF($G1256&lt;&gt;0,SUMIF(куб!$G:$G,$G1256,куб!S:S),IF($E1256&lt;&gt;0,SUMIF(куб!$E:$E,$E1256,куб!S:S),IF($D1256&lt;&gt;0,SUMIF(куб!$D:$D,$D1256,куб!S:S),IF($C1256&lt;&gt;0,SUMIF(куб!$C:$C,$C1256,куб!S:S),IF($B1256&lt;&gt;0,SUMIF(куб!$B:$B,$B1256,куб!S:S))))))</f>
        <v>0</v>
      </c>
      <c r="AH1256" s="16" t="str">
        <f t="shared" si="391"/>
        <v>-</v>
      </c>
      <c r="AI1256" s="8"/>
      <c r="AJ1256" s="27" t="b">
        <f>IF($G1256&lt;&gt;0,SUMIF(куб!$G:$G,$G1256,куб!T:T),IF($E1256&lt;&gt;0,SUMIF(куб!$E:$E,$E1256,куб!T:T),IF($D1256&lt;&gt;0,SUMIF(куб!$D:$D,$D1256,куб!T:T),IF($C1256&lt;&gt;0,SUMIF(куб!$C:$C,$C1256,куб!T:T),IF($B1256&lt;&gt;0,SUMIF(куб!$B:$B,$B1256,куб!T:T))))))</f>
        <v>0</v>
      </c>
      <c r="AK1256" s="27" t="b">
        <f>IF($G1256&lt;&gt;0,SUMIF(куб!$G:$G,$G1256,куб!U:U),IF($E1256&lt;&gt;0,SUMIF(куб!$E:$E,$E1256,куб!U:U),IF($D1256&lt;&gt;0,SUMIF(куб!$D:$D,$D1256,куб!U:U),IF($C1256&lt;&gt;0,SUMIF(куб!$C:$C,$C1256,куб!U:U),IF($B1256&lt;&gt;0,SUMIF(куб!$B:$B,$B1256,куб!U:U))))))</f>
        <v>0</v>
      </c>
      <c r="AL1256" s="16" t="str">
        <f t="shared" si="392"/>
        <v>-</v>
      </c>
      <c r="AM1256" s="8"/>
      <c r="AN1256" s="17" t="str">
        <f t="shared" si="393"/>
        <v xml:space="preserve"> </v>
      </c>
      <c r="AO1256" s="17" t="str">
        <f t="shared" si="394"/>
        <v xml:space="preserve"> </v>
      </c>
      <c r="AP1256" s="16" t="str">
        <f t="shared" si="395"/>
        <v>-</v>
      </c>
      <c r="AQ1256" s="8"/>
      <c r="AR1256" s="17" t="str">
        <f t="shared" si="396"/>
        <v>-</v>
      </c>
      <c r="AS1256" s="17" t="str">
        <f t="shared" si="397"/>
        <v>-</v>
      </c>
      <c r="AT1256" s="13" t="str">
        <f t="shared" si="398"/>
        <v>-</v>
      </c>
      <c r="AU1256" s="8"/>
    </row>
    <row r="1257" spans="8:47" x14ac:dyDescent="0.25">
      <c r="H1257" s="27">
        <f>IF($G1257&lt;&gt;0,SUMIF(куб!$G:$G,$G1257,куб!H:H),IF($E1257&lt;&gt;0,SUMIF(куб!$E:$E,$E1257,куб!H:H),IF($D1257&lt;&gt;0,SUMIF(куб!$D:$D,$D1257,куб!H:H),IF($C1257&lt;&gt;0,SUMIF(куб!$C:$C,$C1257,куб!H:H),IF($B1257&lt;&gt;0,SUMIF(куб!$B:$B,$B1257,куб!H:H),IF($G1257&lt;&gt;0,SUMIF(куб!$A:$A,$G1257,куб!H:H),SUMIF(куб!$A:$A,$G1257,куб!H:H)))))))</f>
        <v>0</v>
      </c>
      <c r="I1257" s="27">
        <f>IF($G1257&lt;&gt;0,SUMIF(куб!$G:$G,$G1257,куб!I:I),IF($E1257&lt;&gt;0,SUMIF(куб!$E:$E,$E1257,куб!I:I),IF($D1257&lt;&gt;0,SUMIF(куб!$D:$D,$D1257,куб!I:I),IF($C1257&lt;&gt;0,SUMIF(куб!$C:$C,$C1257,куб!I:I),IF($B1257&lt;&gt;0,SUMIF(куб!$B:$B,$B1257,куб!I:I),IF($G1257&lt;&gt;0,SUMIF(куб!$A:$A,$G1257,куб!I:I),SUMIF(куб!$A:$A,$G1257,куб!I:I)))))))</f>
        <v>0</v>
      </c>
      <c r="J1257" s="19" t="str">
        <f t="shared" si="381"/>
        <v>-</v>
      </c>
      <c r="K1257" s="8"/>
      <c r="L1257" s="17">
        <f t="shared" si="382"/>
        <v>0</v>
      </c>
      <c r="M1257" s="17">
        <f t="shared" si="383"/>
        <v>0</v>
      </c>
      <c r="N1257" s="12">
        <f t="shared" si="384"/>
        <v>0</v>
      </c>
      <c r="O1257" s="5"/>
      <c r="P1257" s="27" t="b">
        <f>IF($G1257&lt;&gt;0,SUMIF(куб!$G:$G,$G1257,куб!J:J),IF($E1257&lt;&gt;0,SUMIF(куб!$E:$E,$E1257,куб!J:J),IF($D1257&lt;&gt;0,SUMIF(куб!$D:$D,$D1257,куб!J:J),IF($C1257&lt;&gt;0,SUMIF(куб!$C:$C,$C1257,куб!J:J),IF($B1257&lt;&gt;0,SUMIF(куб!$B:$B,$B1257,куб!J:J))))))</f>
        <v>0</v>
      </c>
      <c r="Q1257" s="27" t="b">
        <f>IF($G1257&lt;&gt;0,SUMIF(куб!$G:$G,$G1257,куб!K:K),IF($E1257&lt;&gt;0,SUMIF(куб!$E:$E,$E1257,куб!K:K),IF($D1257&lt;&gt;0,SUMIF(куб!$D:$D,$D1257,куб!K:K),IF($C1257&lt;&gt;0,SUMIF(куб!$C:$C,$C1257,куб!K:K),IF($B1257&lt;&gt;0,SUMIF(куб!$B:$B,$B1257,куб!K:K))))))</f>
        <v>0</v>
      </c>
      <c r="R1257" s="13" t="str">
        <f t="shared" si="385"/>
        <v>-</v>
      </c>
      <c r="S1257" s="5"/>
      <c r="T1257" s="27" t="b">
        <f>IF($G1257&lt;&gt;0,SUMIF(куб!$G:$G,$G1257,куб!L:L),IF($E1257&lt;&gt;0,SUMIF(куб!$E:$E,$E1257,куб!L:L),IF($D1257&lt;&gt;0,SUMIF(куб!$D:$D,$D1257,куб!L:L),IF($C1257&lt;&gt;0,SUMIF(куб!$C:$C,$C1257,куб!L:L),IF($B1257&lt;&gt;0,SUMIF(куб!$B:$B,$B1257,куб!L:L))))))</f>
        <v>0</v>
      </c>
      <c r="U1257" s="27" t="b">
        <f>IF($G1257&lt;&gt;0,SUMIF(куб!$G:$G,$G1257,куб!M:M),IF($E1257&lt;&gt;0,SUMIF(куб!$E:$E,$E1257,куб!M:M),IF($D1257&lt;&gt;0,SUMIF(куб!$D:$D,$D1257,куб!M:M),IF($C1257&lt;&gt;0,SUMIF(куб!$C:$C,$C1257,куб!M:M),IF($B1257&lt;&gt;0,SUMIF(куб!$B:$B,$B1257,куб!M:M))))))</f>
        <v>0</v>
      </c>
      <c r="V1257" s="13" t="str">
        <f t="shared" si="386"/>
        <v>-</v>
      </c>
      <c r="W1257" s="5"/>
      <c r="X1257" s="27" t="b">
        <f>IF($G1257&lt;&gt;0,SUMIF(куб!$G:$G,$G1257,куб!N:N),IF($E1257&lt;&gt;0,SUMIF(куб!$E:$E,$E1257,куб!N:N),IF($D1257&lt;&gt;0,SUMIF(куб!$D:$D,$D1257,куб!N:N),IF($C1257&lt;&gt;0,SUMIF(куб!$C:$C,$C1257,куб!N:N),IF($B1257&lt;&gt;0,SUMIF(куб!$B:$B,$B1257,куб!N:N))))))</f>
        <v>0</v>
      </c>
      <c r="Y1257" s="27" t="b">
        <f>IF($G1257&lt;&gt;0,SUMIF(куб!$G:$G,$G1257,куб!O:O),IF($E1257&lt;&gt;0,SUMIF(куб!$E:$E,$E1257,куб!O:O),IF($D1257&lt;&gt;0,SUMIF(куб!$D:$D,$D1257,куб!O:O),IF($C1257&lt;&gt;0,SUMIF(куб!$C:$C,$C1257,куб!O:O),IF($B1257&lt;&gt;0,SUMIF(куб!$B:$B,$B1257,куб!O:O))))))</f>
        <v>0</v>
      </c>
      <c r="Z1257" s="13" t="str">
        <f t="shared" si="387"/>
        <v>-</v>
      </c>
      <c r="AA1257" s="5"/>
      <c r="AB1257" s="33" t="str">
        <f t="shared" si="388"/>
        <v/>
      </c>
      <c r="AC1257" s="33" t="str">
        <f t="shared" si="389"/>
        <v/>
      </c>
      <c r="AD1257" s="15" t="str">
        <f t="shared" si="390"/>
        <v xml:space="preserve"> </v>
      </c>
      <c r="AE1257" s="5"/>
      <c r="AF1257" s="27" t="b">
        <f>IF($G1257&lt;&gt;0,SUMIF(куб!$G:$G,$G1257,куб!R:R),IF($E1257&lt;&gt;0,SUMIF(куб!$E:$E,$E1257,куб!R:R),IF($D1257&lt;&gt;0,SUMIF(куб!$D:$D,$D1257,куб!R:R),IF($C1257&lt;&gt;0,SUMIF(куб!$C:$C,$C1257,куб!R:R),IF($B1257&lt;&gt;0,SUMIF(куб!$B:$B,$B1257,куб!R:R))))))</f>
        <v>0</v>
      </c>
      <c r="AG1257" s="27" t="b">
        <f>IF($G1257&lt;&gt;0,SUMIF(куб!$G:$G,$G1257,куб!S:S),IF($E1257&lt;&gt;0,SUMIF(куб!$E:$E,$E1257,куб!S:S),IF($D1257&lt;&gt;0,SUMIF(куб!$D:$D,$D1257,куб!S:S),IF($C1257&lt;&gt;0,SUMIF(куб!$C:$C,$C1257,куб!S:S),IF($B1257&lt;&gt;0,SUMIF(куб!$B:$B,$B1257,куб!S:S))))))</f>
        <v>0</v>
      </c>
      <c r="AH1257" s="16" t="str">
        <f t="shared" si="391"/>
        <v>-</v>
      </c>
      <c r="AI1257" s="8"/>
      <c r="AJ1257" s="27" t="b">
        <f>IF($G1257&lt;&gt;0,SUMIF(куб!$G:$G,$G1257,куб!T:T),IF($E1257&lt;&gt;0,SUMIF(куб!$E:$E,$E1257,куб!T:T),IF($D1257&lt;&gt;0,SUMIF(куб!$D:$D,$D1257,куб!T:T),IF($C1257&lt;&gt;0,SUMIF(куб!$C:$C,$C1257,куб!T:T),IF($B1257&lt;&gt;0,SUMIF(куб!$B:$B,$B1257,куб!T:T))))))</f>
        <v>0</v>
      </c>
      <c r="AK1257" s="27" t="b">
        <f>IF($G1257&lt;&gt;0,SUMIF(куб!$G:$G,$G1257,куб!U:U),IF($E1257&lt;&gt;0,SUMIF(куб!$E:$E,$E1257,куб!U:U),IF($D1257&lt;&gt;0,SUMIF(куб!$D:$D,$D1257,куб!U:U),IF($C1257&lt;&gt;0,SUMIF(куб!$C:$C,$C1257,куб!U:U),IF($B1257&lt;&gt;0,SUMIF(куб!$B:$B,$B1257,куб!U:U))))))</f>
        <v>0</v>
      </c>
      <c r="AL1257" s="16" t="str">
        <f t="shared" si="392"/>
        <v>-</v>
      </c>
      <c r="AM1257" s="8"/>
      <c r="AN1257" s="17" t="str">
        <f t="shared" si="393"/>
        <v xml:space="preserve"> </v>
      </c>
      <c r="AO1257" s="17" t="str">
        <f t="shared" si="394"/>
        <v xml:space="preserve"> </v>
      </c>
      <c r="AP1257" s="16" t="str">
        <f t="shared" si="395"/>
        <v>-</v>
      </c>
      <c r="AQ1257" s="8"/>
      <c r="AR1257" s="17" t="str">
        <f t="shared" si="396"/>
        <v>-</v>
      </c>
      <c r="AS1257" s="17" t="str">
        <f t="shared" si="397"/>
        <v>-</v>
      </c>
      <c r="AT1257" s="13" t="str">
        <f t="shared" si="398"/>
        <v>-</v>
      </c>
      <c r="AU1257" s="8"/>
    </row>
    <row r="1258" spans="8:47" x14ac:dyDescent="0.25">
      <c r="H1258" s="27">
        <f>IF($G1258&lt;&gt;0,SUMIF(куб!$G:$G,$G1258,куб!H:H),IF($E1258&lt;&gt;0,SUMIF(куб!$E:$E,$E1258,куб!H:H),IF($D1258&lt;&gt;0,SUMIF(куб!$D:$D,$D1258,куб!H:H),IF($C1258&lt;&gt;0,SUMIF(куб!$C:$C,$C1258,куб!H:H),IF($B1258&lt;&gt;0,SUMIF(куб!$B:$B,$B1258,куб!H:H),IF($G1258&lt;&gt;0,SUMIF(куб!$A:$A,$G1258,куб!H:H),SUMIF(куб!$A:$A,$G1258,куб!H:H)))))))</f>
        <v>0</v>
      </c>
      <c r="I1258" s="27">
        <f>IF($G1258&lt;&gt;0,SUMIF(куб!$G:$G,$G1258,куб!I:I),IF($E1258&lt;&gt;0,SUMIF(куб!$E:$E,$E1258,куб!I:I),IF($D1258&lt;&gt;0,SUMIF(куб!$D:$D,$D1258,куб!I:I),IF($C1258&lt;&gt;0,SUMIF(куб!$C:$C,$C1258,куб!I:I),IF($B1258&lt;&gt;0,SUMIF(куб!$B:$B,$B1258,куб!I:I),IF($G1258&lt;&gt;0,SUMIF(куб!$A:$A,$G1258,куб!I:I),SUMIF(куб!$A:$A,$G1258,куб!I:I)))))))</f>
        <v>0</v>
      </c>
      <c r="J1258" s="19" t="str">
        <f t="shared" si="381"/>
        <v>-</v>
      </c>
      <c r="K1258" s="8"/>
      <c r="L1258" s="17">
        <f t="shared" si="382"/>
        <v>0</v>
      </c>
      <c r="M1258" s="17">
        <f t="shared" si="383"/>
        <v>0</v>
      </c>
      <c r="N1258" s="12">
        <f t="shared" si="384"/>
        <v>0</v>
      </c>
      <c r="O1258" s="5"/>
      <c r="P1258" s="27" t="b">
        <f>IF($G1258&lt;&gt;0,SUMIF(куб!$G:$G,$G1258,куб!J:J),IF($E1258&lt;&gt;0,SUMIF(куб!$E:$E,$E1258,куб!J:J),IF($D1258&lt;&gt;0,SUMIF(куб!$D:$D,$D1258,куб!J:J),IF($C1258&lt;&gt;0,SUMIF(куб!$C:$C,$C1258,куб!J:J),IF($B1258&lt;&gt;0,SUMIF(куб!$B:$B,$B1258,куб!J:J))))))</f>
        <v>0</v>
      </c>
      <c r="Q1258" s="27" t="b">
        <f>IF($G1258&lt;&gt;0,SUMIF(куб!$G:$G,$G1258,куб!K:K),IF($E1258&lt;&gt;0,SUMIF(куб!$E:$E,$E1258,куб!K:K),IF($D1258&lt;&gt;0,SUMIF(куб!$D:$D,$D1258,куб!K:K),IF($C1258&lt;&gt;0,SUMIF(куб!$C:$C,$C1258,куб!K:K),IF($B1258&lt;&gt;0,SUMIF(куб!$B:$B,$B1258,куб!K:K))))))</f>
        <v>0</v>
      </c>
      <c r="R1258" s="13" t="str">
        <f t="shared" si="385"/>
        <v>-</v>
      </c>
      <c r="S1258" s="5"/>
      <c r="T1258" s="27" t="b">
        <f>IF($G1258&lt;&gt;0,SUMIF(куб!$G:$G,$G1258,куб!L:L),IF($E1258&lt;&gt;0,SUMIF(куб!$E:$E,$E1258,куб!L:L),IF($D1258&lt;&gt;0,SUMIF(куб!$D:$D,$D1258,куб!L:L),IF($C1258&lt;&gt;0,SUMIF(куб!$C:$C,$C1258,куб!L:L),IF($B1258&lt;&gt;0,SUMIF(куб!$B:$B,$B1258,куб!L:L))))))</f>
        <v>0</v>
      </c>
      <c r="U1258" s="27" t="b">
        <f>IF($G1258&lt;&gt;0,SUMIF(куб!$G:$G,$G1258,куб!M:M),IF($E1258&lt;&gt;0,SUMIF(куб!$E:$E,$E1258,куб!M:M),IF($D1258&lt;&gt;0,SUMIF(куб!$D:$D,$D1258,куб!M:M),IF($C1258&lt;&gt;0,SUMIF(куб!$C:$C,$C1258,куб!M:M),IF($B1258&lt;&gt;0,SUMIF(куб!$B:$B,$B1258,куб!M:M))))))</f>
        <v>0</v>
      </c>
      <c r="V1258" s="13" t="str">
        <f t="shared" si="386"/>
        <v>-</v>
      </c>
      <c r="W1258" s="5"/>
      <c r="X1258" s="27" t="b">
        <f>IF($G1258&lt;&gt;0,SUMIF(куб!$G:$G,$G1258,куб!N:N),IF($E1258&lt;&gt;0,SUMIF(куб!$E:$E,$E1258,куб!N:N),IF($D1258&lt;&gt;0,SUMIF(куб!$D:$D,$D1258,куб!N:N),IF($C1258&lt;&gt;0,SUMIF(куб!$C:$C,$C1258,куб!N:N),IF($B1258&lt;&gt;0,SUMIF(куб!$B:$B,$B1258,куб!N:N))))))</f>
        <v>0</v>
      </c>
      <c r="Y1258" s="27" t="b">
        <f>IF($G1258&lt;&gt;0,SUMIF(куб!$G:$G,$G1258,куб!O:O),IF($E1258&lt;&gt;0,SUMIF(куб!$E:$E,$E1258,куб!O:O),IF($D1258&lt;&gt;0,SUMIF(куб!$D:$D,$D1258,куб!O:O),IF($C1258&lt;&gt;0,SUMIF(куб!$C:$C,$C1258,куб!O:O),IF($B1258&lt;&gt;0,SUMIF(куб!$B:$B,$B1258,куб!O:O))))))</f>
        <v>0</v>
      </c>
      <c r="Z1258" s="13" t="str">
        <f t="shared" si="387"/>
        <v>-</v>
      </c>
      <c r="AA1258" s="5"/>
      <c r="AB1258" s="33" t="str">
        <f t="shared" si="388"/>
        <v/>
      </c>
      <c r="AC1258" s="33" t="str">
        <f t="shared" si="389"/>
        <v/>
      </c>
      <c r="AD1258" s="15" t="str">
        <f t="shared" si="390"/>
        <v xml:space="preserve"> </v>
      </c>
      <c r="AE1258" s="5"/>
      <c r="AF1258" s="27" t="b">
        <f>IF($G1258&lt;&gt;0,SUMIF(куб!$G:$G,$G1258,куб!R:R),IF($E1258&lt;&gt;0,SUMIF(куб!$E:$E,$E1258,куб!R:R),IF($D1258&lt;&gt;0,SUMIF(куб!$D:$D,$D1258,куб!R:R),IF($C1258&lt;&gt;0,SUMIF(куб!$C:$C,$C1258,куб!R:R),IF($B1258&lt;&gt;0,SUMIF(куб!$B:$B,$B1258,куб!R:R))))))</f>
        <v>0</v>
      </c>
      <c r="AG1258" s="27" t="b">
        <f>IF($G1258&lt;&gt;0,SUMIF(куб!$G:$G,$G1258,куб!S:S),IF($E1258&lt;&gt;0,SUMIF(куб!$E:$E,$E1258,куб!S:S),IF($D1258&lt;&gt;0,SUMIF(куб!$D:$D,$D1258,куб!S:S),IF($C1258&lt;&gt;0,SUMIF(куб!$C:$C,$C1258,куб!S:S),IF($B1258&lt;&gt;0,SUMIF(куб!$B:$B,$B1258,куб!S:S))))))</f>
        <v>0</v>
      </c>
      <c r="AH1258" s="16" t="str">
        <f t="shared" si="391"/>
        <v>-</v>
      </c>
      <c r="AI1258" s="8"/>
      <c r="AJ1258" s="27" t="b">
        <f>IF($G1258&lt;&gt;0,SUMIF(куб!$G:$G,$G1258,куб!T:T),IF($E1258&lt;&gt;0,SUMIF(куб!$E:$E,$E1258,куб!T:T),IF($D1258&lt;&gt;0,SUMIF(куб!$D:$D,$D1258,куб!T:T),IF($C1258&lt;&gt;0,SUMIF(куб!$C:$C,$C1258,куб!T:T),IF($B1258&lt;&gt;0,SUMIF(куб!$B:$B,$B1258,куб!T:T))))))</f>
        <v>0</v>
      </c>
      <c r="AK1258" s="27" t="b">
        <f>IF($G1258&lt;&gt;0,SUMIF(куб!$G:$G,$G1258,куб!U:U),IF($E1258&lt;&gt;0,SUMIF(куб!$E:$E,$E1258,куб!U:U),IF($D1258&lt;&gt;0,SUMIF(куб!$D:$D,$D1258,куб!U:U),IF($C1258&lt;&gt;0,SUMIF(куб!$C:$C,$C1258,куб!U:U),IF($B1258&lt;&gt;0,SUMIF(куб!$B:$B,$B1258,куб!U:U))))))</f>
        <v>0</v>
      </c>
      <c r="AL1258" s="16" t="str">
        <f t="shared" si="392"/>
        <v>-</v>
      </c>
      <c r="AM1258" s="8"/>
      <c r="AN1258" s="17" t="str">
        <f t="shared" si="393"/>
        <v xml:space="preserve"> </v>
      </c>
      <c r="AO1258" s="17" t="str">
        <f t="shared" si="394"/>
        <v xml:space="preserve"> </v>
      </c>
      <c r="AP1258" s="16" t="str">
        <f t="shared" si="395"/>
        <v>-</v>
      </c>
      <c r="AQ1258" s="8"/>
      <c r="AR1258" s="17" t="str">
        <f t="shared" si="396"/>
        <v>-</v>
      </c>
      <c r="AS1258" s="17" t="str">
        <f t="shared" si="397"/>
        <v>-</v>
      </c>
      <c r="AT1258" s="13" t="str">
        <f t="shared" si="398"/>
        <v>-</v>
      </c>
      <c r="AU1258" s="8"/>
    </row>
    <row r="1259" spans="8:47" x14ac:dyDescent="0.25">
      <c r="H1259" s="27">
        <f>IF($G1259&lt;&gt;0,SUMIF(куб!$G:$G,$G1259,куб!H:H),IF($E1259&lt;&gt;0,SUMIF(куб!$E:$E,$E1259,куб!H:H),IF($D1259&lt;&gt;0,SUMIF(куб!$D:$D,$D1259,куб!H:H),IF($C1259&lt;&gt;0,SUMIF(куб!$C:$C,$C1259,куб!H:H),IF($B1259&lt;&gt;0,SUMIF(куб!$B:$B,$B1259,куб!H:H),IF($G1259&lt;&gt;0,SUMIF(куб!$A:$A,$G1259,куб!H:H),SUMIF(куб!$A:$A,$G1259,куб!H:H)))))))</f>
        <v>0</v>
      </c>
      <c r="I1259" s="27">
        <f>IF($G1259&lt;&gt;0,SUMIF(куб!$G:$G,$G1259,куб!I:I),IF($E1259&lt;&gt;0,SUMIF(куб!$E:$E,$E1259,куб!I:I),IF($D1259&lt;&gt;0,SUMIF(куб!$D:$D,$D1259,куб!I:I),IF($C1259&lt;&gt;0,SUMIF(куб!$C:$C,$C1259,куб!I:I),IF($B1259&lt;&gt;0,SUMIF(куб!$B:$B,$B1259,куб!I:I),IF($G1259&lt;&gt;0,SUMIF(куб!$A:$A,$G1259,куб!I:I),SUMIF(куб!$A:$A,$G1259,куб!I:I)))))))</f>
        <v>0</v>
      </c>
      <c r="J1259" s="19" t="str">
        <f t="shared" si="381"/>
        <v>-</v>
      </c>
      <c r="K1259" s="8"/>
      <c r="L1259" s="17">
        <f t="shared" si="382"/>
        <v>0</v>
      </c>
      <c r="M1259" s="17">
        <f t="shared" si="383"/>
        <v>0</v>
      </c>
      <c r="N1259" s="12">
        <f t="shared" si="384"/>
        <v>0</v>
      </c>
      <c r="O1259" s="5"/>
      <c r="P1259" s="27" t="b">
        <f>IF($G1259&lt;&gt;0,SUMIF(куб!$G:$G,$G1259,куб!J:J),IF($E1259&lt;&gt;0,SUMIF(куб!$E:$E,$E1259,куб!J:J),IF($D1259&lt;&gt;0,SUMIF(куб!$D:$D,$D1259,куб!J:J),IF($C1259&lt;&gt;0,SUMIF(куб!$C:$C,$C1259,куб!J:J),IF($B1259&lt;&gt;0,SUMIF(куб!$B:$B,$B1259,куб!J:J))))))</f>
        <v>0</v>
      </c>
      <c r="Q1259" s="27" t="b">
        <f>IF($G1259&lt;&gt;0,SUMIF(куб!$G:$G,$G1259,куб!K:K),IF($E1259&lt;&gt;0,SUMIF(куб!$E:$E,$E1259,куб!K:K),IF($D1259&lt;&gt;0,SUMIF(куб!$D:$D,$D1259,куб!K:K),IF($C1259&lt;&gt;0,SUMIF(куб!$C:$C,$C1259,куб!K:K),IF($B1259&lt;&gt;0,SUMIF(куб!$B:$B,$B1259,куб!K:K))))))</f>
        <v>0</v>
      </c>
      <c r="R1259" s="13" t="str">
        <f t="shared" si="385"/>
        <v>-</v>
      </c>
      <c r="S1259" s="5"/>
      <c r="T1259" s="27" t="b">
        <f>IF($G1259&lt;&gt;0,SUMIF(куб!$G:$G,$G1259,куб!L:L),IF($E1259&lt;&gt;0,SUMIF(куб!$E:$E,$E1259,куб!L:L),IF($D1259&lt;&gt;0,SUMIF(куб!$D:$D,$D1259,куб!L:L),IF($C1259&lt;&gt;0,SUMIF(куб!$C:$C,$C1259,куб!L:L),IF($B1259&lt;&gt;0,SUMIF(куб!$B:$B,$B1259,куб!L:L))))))</f>
        <v>0</v>
      </c>
      <c r="U1259" s="27" t="b">
        <f>IF($G1259&lt;&gt;0,SUMIF(куб!$G:$G,$G1259,куб!M:M),IF($E1259&lt;&gt;0,SUMIF(куб!$E:$E,$E1259,куб!M:M),IF($D1259&lt;&gt;0,SUMIF(куб!$D:$D,$D1259,куб!M:M),IF($C1259&lt;&gt;0,SUMIF(куб!$C:$C,$C1259,куб!M:M),IF($B1259&lt;&gt;0,SUMIF(куб!$B:$B,$B1259,куб!M:M))))))</f>
        <v>0</v>
      </c>
      <c r="V1259" s="13" t="str">
        <f t="shared" si="386"/>
        <v>-</v>
      </c>
      <c r="W1259" s="5"/>
      <c r="X1259" s="27" t="b">
        <f>IF($G1259&lt;&gt;0,SUMIF(куб!$G:$G,$G1259,куб!N:N),IF($E1259&lt;&gt;0,SUMIF(куб!$E:$E,$E1259,куб!N:N),IF($D1259&lt;&gt;0,SUMIF(куб!$D:$D,$D1259,куб!N:N),IF($C1259&lt;&gt;0,SUMIF(куб!$C:$C,$C1259,куб!N:N),IF($B1259&lt;&gt;0,SUMIF(куб!$B:$B,$B1259,куб!N:N))))))</f>
        <v>0</v>
      </c>
      <c r="Y1259" s="27" t="b">
        <f>IF($G1259&lt;&gt;0,SUMIF(куб!$G:$G,$G1259,куб!O:O),IF($E1259&lt;&gt;0,SUMIF(куб!$E:$E,$E1259,куб!O:O),IF($D1259&lt;&gt;0,SUMIF(куб!$D:$D,$D1259,куб!O:O),IF($C1259&lt;&gt;0,SUMIF(куб!$C:$C,$C1259,куб!O:O),IF($B1259&lt;&gt;0,SUMIF(куб!$B:$B,$B1259,куб!O:O))))))</f>
        <v>0</v>
      </c>
      <c r="Z1259" s="13" t="str">
        <f t="shared" si="387"/>
        <v>-</v>
      </c>
      <c r="AA1259" s="5"/>
      <c r="AB1259" s="33" t="str">
        <f t="shared" si="388"/>
        <v/>
      </c>
      <c r="AC1259" s="33" t="str">
        <f t="shared" si="389"/>
        <v/>
      </c>
      <c r="AD1259" s="15" t="str">
        <f t="shared" si="390"/>
        <v xml:space="preserve"> </v>
      </c>
      <c r="AE1259" s="5"/>
      <c r="AF1259" s="27" t="b">
        <f>IF($G1259&lt;&gt;0,SUMIF(куб!$G:$G,$G1259,куб!R:R),IF($E1259&lt;&gt;0,SUMIF(куб!$E:$E,$E1259,куб!R:R),IF($D1259&lt;&gt;0,SUMIF(куб!$D:$D,$D1259,куб!R:R),IF($C1259&lt;&gt;0,SUMIF(куб!$C:$C,$C1259,куб!R:R),IF($B1259&lt;&gt;0,SUMIF(куб!$B:$B,$B1259,куб!R:R))))))</f>
        <v>0</v>
      </c>
      <c r="AG1259" s="27" t="b">
        <f>IF($G1259&lt;&gt;0,SUMIF(куб!$G:$G,$G1259,куб!S:S),IF($E1259&lt;&gt;0,SUMIF(куб!$E:$E,$E1259,куб!S:S),IF($D1259&lt;&gt;0,SUMIF(куб!$D:$D,$D1259,куб!S:S),IF($C1259&lt;&gt;0,SUMIF(куб!$C:$C,$C1259,куб!S:S),IF($B1259&lt;&gt;0,SUMIF(куб!$B:$B,$B1259,куб!S:S))))))</f>
        <v>0</v>
      </c>
      <c r="AH1259" s="16" t="str">
        <f t="shared" si="391"/>
        <v>-</v>
      </c>
      <c r="AI1259" s="8"/>
      <c r="AJ1259" s="27" t="b">
        <f>IF($G1259&lt;&gt;0,SUMIF(куб!$G:$G,$G1259,куб!T:T),IF($E1259&lt;&gt;0,SUMIF(куб!$E:$E,$E1259,куб!T:T),IF($D1259&lt;&gt;0,SUMIF(куб!$D:$D,$D1259,куб!T:T),IF($C1259&lt;&gt;0,SUMIF(куб!$C:$C,$C1259,куб!T:T),IF($B1259&lt;&gt;0,SUMIF(куб!$B:$B,$B1259,куб!T:T))))))</f>
        <v>0</v>
      </c>
      <c r="AK1259" s="27" t="b">
        <f>IF($G1259&lt;&gt;0,SUMIF(куб!$G:$G,$G1259,куб!U:U),IF($E1259&lt;&gt;0,SUMIF(куб!$E:$E,$E1259,куб!U:U),IF($D1259&lt;&gt;0,SUMIF(куб!$D:$D,$D1259,куб!U:U),IF($C1259&lt;&gt;0,SUMIF(куб!$C:$C,$C1259,куб!U:U),IF($B1259&lt;&gt;0,SUMIF(куб!$B:$B,$B1259,куб!U:U))))))</f>
        <v>0</v>
      </c>
      <c r="AL1259" s="16" t="str">
        <f t="shared" si="392"/>
        <v>-</v>
      </c>
      <c r="AM1259" s="8"/>
      <c r="AN1259" s="17" t="str">
        <f t="shared" si="393"/>
        <v xml:space="preserve"> </v>
      </c>
      <c r="AO1259" s="17" t="str">
        <f t="shared" si="394"/>
        <v xml:space="preserve"> </v>
      </c>
      <c r="AP1259" s="16" t="str">
        <f t="shared" si="395"/>
        <v>-</v>
      </c>
      <c r="AQ1259" s="8"/>
      <c r="AR1259" s="17" t="str">
        <f t="shared" si="396"/>
        <v>-</v>
      </c>
      <c r="AS1259" s="17" t="str">
        <f t="shared" si="397"/>
        <v>-</v>
      </c>
      <c r="AT1259" s="13" t="str">
        <f t="shared" si="398"/>
        <v>-</v>
      </c>
      <c r="AU1259" s="8"/>
    </row>
    <row r="1260" spans="8:47" x14ac:dyDescent="0.25">
      <c r="H1260" s="27">
        <f>IF($G1260&lt;&gt;0,SUMIF(куб!$G:$G,$G1260,куб!H:H),IF($E1260&lt;&gt;0,SUMIF(куб!$E:$E,$E1260,куб!H:H),IF($D1260&lt;&gt;0,SUMIF(куб!$D:$D,$D1260,куб!H:H),IF($C1260&lt;&gt;0,SUMIF(куб!$C:$C,$C1260,куб!H:H),IF($B1260&lt;&gt;0,SUMIF(куб!$B:$B,$B1260,куб!H:H),IF($G1260&lt;&gt;0,SUMIF(куб!$A:$A,$G1260,куб!H:H),SUMIF(куб!$A:$A,$G1260,куб!H:H)))))))</f>
        <v>0</v>
      </c>
      <c r="I1260" s="27">
        <f>IF($G1260&lt;&gt;0,SUMIF(куб!$G:$G,$G1260,куб!I:I),IF($E1260&lt;&gt;0,SUMIF(куб!$E:$E,$E1260,куб!I:I),IF($D1260&lt;&gt;0,SUMIF(куб!$D:$D,$D1260,куб!I:I),IF($C1260&lt;&gt;0,SUMIF(куб!$C:$C,$C1260,куб!I:I),IF($B1260&lt;&gt;0,SUMIF(куб!$B:$B,$B1260,куб!I:I),IF($G1260&lt;&gt;0,SUMIF(куб!$A:$A,$G1260,куб!I:I),SUMIF(куб!$A:$A,$G1260,куб!I:I)))))))</f>
        <v>0</v>
      </c>
      <c r="J1260" s="19" t="str">
        <f t="shared" si="381"/>
        <v>-</v>
      </c>
      <c r="K1260" s="8"/>
      <c r="L1260" s="17">
        <f t="shared" si="382"/>
        <v>0</v>
      </c>
      <c r="M1260" s="17">
        <f t="shared" si="383"/>
        <v>0</v>
      </c>
      <c r="N1260" s="12">
        <f t="shared" si="384"/>
        <v>0</v>
      </c>
      <c r="O1260" s="5"/>
      <c r="P1260" s="27" t="b">
        <f>IF($G1260&lt;&gt;0,SUMIF(куб!$G:$G,$G1260,куб!J:J),IF($E1260&lt;&gt;0,SUMIF(куб!$E:$E,$E1260,куб!J:J),IF($D1260&lt;&gt;0,SUMIF(куб!$D:$D,$D1260,куб!J:J),IF($C1260&lt;&gt;0,SUMIF(куб!$C:$C,$C1260,куб!J:J),IF($B1260&lt;&gt;0,SUMIF(куб!$B:$B,$B1260,куб!J:J))))))</f>
        <v>0</v>
      </c>
      <c r="Q1260" s="27" t="b">
        <f>IF($G1260&lt;&gt;0,SUMIF(куб!$G:$G,$G1260,куб!K:K),IF($E1260&lt;&gt;0,SUMIF(куб!$E:$E,$E1260,куб!K:K),IF($D1260&lt;&gt;0,SUMIF(куб!$D:$D,$D1260,куб!K:K),IF($C1260&lt;&gt;0,SUMIF(куб!$C:$C,$C1260,куб!K:K),IF($B1260&lt;&gt;0,SUMIF(куб!$B:$B,$B1260,куб!K:K))))))</f>
        <v>0</v>
      </c>
      <c r="R1260" s="13" t="str">
        <f t="shared" si="385"/>
        <v>-</v>
      </c>
      <c r="S1260" s="5"/>
      <c r="T1260" s="27" t="b">
        <f>IF($G1260&lt;&gt;0,SUMIF(куб!$G:$G,$G1260,куб!L:L),IF($E1260&lt;&gt;0,SUMIF(куб!$E:$E,$E1260,куб!L:L),IF($D1260&lt;&gt;0,SUMIF(куб!$D:$D,$D1260,куб!L:L),IF($C1260&lt;&gt;0,SUMIF(куб!$C:$C,$C1260,куб!L:L),IF($B1260&lt;&gt;0,SUMIF(куб!$B:$B,$B1260,куб!L:L))))))</f>
        <v>0</v>
      </c>
      <c r="U1260" s="27" t="b">
        <f>IF($G1260&lt;&gt;0,SUMIF(куб!$G:$G,$G1260,куб!M:M),IF($E1260&lt;&gt;0,SUMIF(куб!$E:$E,$E1260,куб!M:M),IF($D1260&lt;&gt;0,SUMIF(куб!$D:$D,$D1260,куб!M:M),IF($C1260&lt;&gt;0,SUMIF(куб!$C:$C,$C1260,куб!M:M),IF($B1260&lt;&gt;0,SUMIF(куб!$B:$B,$B1260,куб!M:M))))))</f>
        <v>0</v>
      </c>
      <c r="V1260" s="13" t="str">
        <f t="shared" si="386"/>
        <v>-</v>
      </c>
      <c r="W1260" s="5"/>
      <c r="X1260" s="27" t="b">
        <f>IF($G1260&lt;&gt;0,SUMIF(куб!$G:$G,$G1260,куб!N:N),IF($E1260&lt;&gt;0,SUMIF(куб!$E:$E,$E1260,куб!N:N),IF($D1260&lt;&gt;0,SUMIF(куб!$D:$D,$D1260,куб!N:N),IF($C1260&lt;&gt;0,SUMIF(куб!$C:$C,$C1260,куб!N:N),IF($B1260&lt;&gt;0,SUMIF(куб!$B:$B,$B1260,куб!N:N))))))</f>
        <v>0</v>
      </c>
      <c r="Y1260" s="27" t="b">
        <f>IF($G1260&lt;&gt;0,SUMIF(куб!$G:$G,$G1260,куб!O:O),IF($E1260&lt;&gt;0,SUMIF(куб!$E:$E,$E1260,куб!O:O),IF($D1260&lt;&gt;0,SUMIF(куб!$D:$D,$D1260,куб!O:O),IF($C1260&lt;&gt;0,SUMIF(куб!$C:$C,$C1260,куб!O:O),IF($B1260&lt;&gt;0,SUMIF(куб!$B:$B,$B1260,куб!O:O))))))</f>
        <v>0</v>
      </c>
      <c r="Z1260" s="13" t="str">
        <f t="shared" si="387"/>
        <v>-</v>
      </c>
      <c r="AA1260" s="5"/>
      <c r="AB1260" s="33" t="str">
        <f t="shared" si="388"/>
        <v/>
      </c>
      <c r="AC1260" s="33" t="str">
        <f t="shared" si="389"/>
        <v/>
      </c>
      <c r="AD1260" s="15" t="str">
        <f t="shared" si="390"/>
        <v xml:space="preserve"> </v>
      </c>
      <c r="AE1260" s="5"/>
      <c r="AF1260" s="27" t="b">
        <f>IF($G1260&lt;&gt;0,SUMIF(куб!$G:$G,$G1260,куб!R:R),IF($E1260&lt;&gt;0,SUMIF(куб!$E:$E,$E1260,куб!R:R),IF($D1260&lt;&gt;0,SUMIF(куб!$D:$D,$D1260,куб!R:R),IF($C1260&lt;&gt;0,SUMIF(куб!$C:$C,$C1260,куб!R:R),IF($B1260&lt;&gt;0,SUMIF(куб!$B:$B,$B1260,куб!R:R))))))</f>
        <v>0</v>
      </c>
      <c r="AG1260" s="27" t="b">
        <f>IF($G1260&lt;&gt;0,SUMIF(куб!$G:$G,$G1260,куб!S:S),IF($E1260&lt;&gt;0,SUMIF(куб!$E:$E,$E1260,куб!S:S),IF($D1260&lt;&gt;0,SUMIF(куб!$D:$D,$D1260,куб!S:S),IF($C1260&lt;&gt;0,SUMIF(куб!$C:$C,$C1260,куб!S:S),IF($B1260&lt;&gt;0,SUMIF(куб!$B:$B,$B1260,куб!S:S))))))</f>
        <v>0</v>
      </c>
      <c r="AH1260" s="16" t="str">
        <f t="shared" si="391"/>
        <v>-</v>
      </c>
      <c r="AI1260" s="8"/>
      <c r="AJ1260" s="27" t="b">
        <f>IF($G1260&lt;&gt;0,SUMIF(куб!$G:$G,$G1260,куб!T:T),IF($E1260&lt;&gt;0,SUMIF(куб!$E:$E,$E1260,куб!T:T),IF($D1260&lt;&gt;0,SUMIF(куб!$D:$D,$D1260,куб!T:T),IF($C1260&lt;&gt;0,SUMIF(куб!$C:$C,$C1260,куб!T:T),IF($B1260&lt;&gt;0,SUMIF(куб!$B:$B,$B1260,куб!T:T))))))</f>
        <v>0</v>
      </c>
      <c r="AK1260" s="27" t="b">
        <f>IF($G1260&lt;&gt;0,SUMIF(куб!$G:$G,$G1260,куб!U:U),IF($E1260&lt;&gt;0,SUMIF(куб!$E:$E,$E1260,куб!U:U),IF($D1260&lt;&gt;0,SUMIF(куб!$D:$D,$D1260,куб!U:U),IF($C1260&lt;&gt;0,SUMIF(куб!$C:$C,$C1260,куб!U:U),IF($B1260&lt;&gt;0,SUMIF(куб!$B:$B,$B1260,куб!U:U))))))</f>
        <v>0</v>
      </c>
      <c r="AL1260" s="16" t="str">
        <f t="shared" si="392"/>
        <v>-</v>
      </c>
      <c r="AM1260" s="8"/>
      <c r="AN1260" s="17" t="str">
        <f t="shared" si="393"/>
        <v xml:space="preserve"> </v>
      </c>
      <c r="AO1260" s="17" t="str">
        <f t="shared" si="394"/>
        <v xml:space="preserve"> </v>
      </c>
      <c r="AP1260" s="16" t="str">
        <f t="shared" si="395"/>
        <v>-</v>
      </c>
      <c r="AQ1260" s="8"/>
      <c r="AR1260" s="17" t="str">
        <f t="shared" si="396"/>
        <v>-</v>
      </c>
      <c r="AS1260" s="17" t="str">
        <f t="shared" si="397"/>
        <v>-</v>
      </c>
      <c r="AT1260" s="13" t="str">
        <f t="shared" si="398"/>
        <v>-</v>
      </c>
      <c r="AU1260" s="8"/>
    </row>
    <row r="1261" spans="8:47" x14ac:dyDescent="0.25">
      <c r="H1261" s="27">
        <f>IF($G1261&lt;&gt;0,SUMIF(куб!$G:$G,$G1261,куб!H:H),IF($E1261&lt;&gt;0,SUMIF(куб!$E:$E,$E1261,куб!H:H),IF($D1261&lt;&gt;0,SUMIF(куб!$D:$D,$D1261,куб!H:H),IF($C1261&lt;&gt;0,SUMIF(куб!$C:$C,$C1261,куб!H:H),IF($B1261&lt;&gt;0,SUMIF(куб!$B:$B,$B1261,куб!H:H),IF($G1261&lt;&gt;0,SUMIF(куб!$A:$A,$G1261,куб!H:H),SUMIF(куб!$A:$A,$G1261,куб!H:H)))))))</f>
        <v>0</v>
      </c>
      <c r="I1261" s="27">
        <f>IF($G1261&lt;&gt;0,SUMIF(куб!$G:$G,$G1261,куб!I:I),IF($E1261&lt;&gt;0,SUMIF(куб!$E:$E,$E1261,куб!I:I),IF($D1261&lt;&gt;0,SUMIF(куб!$D:$D,$D1261,куб!I:I),IF($C1261&lt;&gt;0,SUMIF(куб!$C:$C,$C1261,куб!I:I),IF($B1261&lt;&gt;0,SUMIF(куб!$B:$B,$B1261,куб!I:I),IF($G1261&lt;&gt;0,SUMIF(куб!$A:$A,$G1261,куб!I:I),SUMIF(куб!$A:$A,$G1261,куб!I:I)))))))</f>
        <v>0</v>
      </c>
      <c r="J1261" s="19" t="str">
        <f t="shared" si="381"/>
        <v>-</v>
      </c>
      <c r="K1261" s="8"/>
      <c r="L1261" s="17">
        <f t="shared" si="382"/>
        <v>0</v>
      </c>
      <c r="M1261" s="17">
        <f t="shared" si="383"/>
        <v>0</v>
      </c>
      <c r="N1261" s="12">
        <f t="shared" si="384"/>
        <v>0</v>
      </c>
      <c r="O1261" s="5"/>
      <c r="P1261" s="27" t="b">
        <f>IF($G1261&lt;&gt;0,SUMIF(куб!$G:$G,$G1261,куб!J:J),IF($E1261&lt;&gt;0,SUMIF(куб!$E:$E,$E1261,куб!J:J),IF($D1261&lt;&gt;0,SUMIF(куб!$D:$D,$D1261,куб!J:J),IF($C1261&lt;&gt;0,SUMIF(куб!$C:$C,$C1261,куб!J:J),IF($B1261&lt;&gt;0,SUMIF(куб!$B:$B,$B1261,куб!J:J))))))</f>
        <v>0</v>
      </c>
      <c r="Q1261" s="27" t="b">
        <f>IF($G1261&lt;&gt;0,SUMIF(куб!$G:$G,$G1261,куб!K:K),IF($E1261&lt;&gt;0,SUMIF(куб!$E:$E,$E1261,куб!K:K),IF($D1261&lt;&gt;0,SUMIF(куб!$D:$D,$D1261,куб!K:K),IF($C1261&lt;&gt;0,SUMIF(куб!$C:$C,$C1261,куб!K:K),IF($B1261&lt;&gt;0,SUMIF(куб!$B:$B,$B1261,куб!K:K))))))</f>
        <v>0</v>
      </c>
      <c r="R1261" s="13" t="str">
        <f t="shared" si="385"/>
        <v>-</v>
      </c>
      <c r="S1261" s="5"/>
      <c r="T1261" s="27" t="b">
        <f>IF($G1261&lt;&gt;0,SUMIF(куб!$G:$G,$G1261,куб!L:L),IF($E1261&lt;&gt;0,SUMIF(куб!$E:$E,$E1261,куб!L:L),IF($D1261&lt;&gt;0,SUMIF(куб!$D:$D,$D1261,куб!L:L),IF($C1261&lt;&gt;0,SUMIF(куб!$C:$C,$C1261,куб!L:L),IF($B1261&lt;&gt;0,SUMIF(куб!$B:$B,$B1261,куб!L:L))))))</f>
        <v>0</v>
      </c>
      <c r="U1261" s="27" t="b">
        <f>IF($G1261&lt;&gt;0,SUMIF(куб!$G:$G,$G1261,куб!M:M),IF($E1261&lt;&gt;0,SUMIF(куб!$E:$E,$E1261,куб!M:M),IF($D1261&lt;&gt;0,SUMIF(куб!$D:$D,$D1261,куб!M:M),IF($C1261&lt;&gt;0,SUMIF(куб!$C:$C,$C1261,куб!M:M),IF($B1261&lt;&gt;0,SUMIF(куб!$B:$B,$B1261,куб!M:M))))))</f>
        <v>0</v>
      </c>
      <c r="V1261" s="13" t="str">
        <f t="shared" si="386"/>
        <v>-</v>
      </c>
      <c r="W1261" s="5"/>
      <c r="X1261" s="27" t="b">
        <f>IF($G1261&lt;&gt;0,SUMIF(куб!$G:$G,$G1261,куб!N:N),IF($E1261&lt;&gt;0,SUMIF(куб!$E:$E,$E1261,куб!N:N),IF($D1261&lt;&gt;0,SUMIF(куб!$D:$D,$D1261,куб!N:N),IF($C1261&lt;&gt;0,SUMIF(куб!$C:$C,$C1261,куб!N:N),IF($B1261&lt;&gt;0,SUMIF(куб!$B:$B,$B1261,куб!N:N))))))</f>
        <v>0</v>
      </c>
      <c r="Y1261" s="27" t="b">
        <f>IF($G1261&lt;&gt;0,SUMIF(куб!$G:$G,$G1261,куб!O:O),IF($E1261&lt;&gt;0,SUMIF(куб!$E:$E,$E1261,куб!O:O),IF($D1261&lt;&gt;0,SUMIF(куб!$D:$D,$D1261,куб!O:O),IF($C1261&lt;&gt;0,SUMIF(куб!$C:$C,$C1261,куб!O:O),IF($B1261&lt;&gt;0,SUMIF(куб!$B:$B,$B1261,куб!O:O))))))</f>
        <v>0</v>
      </c>
      <c r="Z1261" s="13" t="str">
        <f t="shared" si="387"/>
        <v>-</v>
      </c>
      <c r="AA1261" s="5"/>
      <c r="AB1261" s="33" t="str">
        <f t="shared" si="388"/>
        <v/>
      </c>
      <c r="AC1261" s="33" t="str">
        <f t="shared" si="389"/>
        <v/>
      </c>
      <c r="AD1261" s="15" t="str">
        <f t="shared" si="390"/>
        <v xml:space="preserve"> </v>
      </c>
      <c r="AE1261" s="5"/>
      <c r="AF1261" s="27" t="b">
        <f>IF($G1261&lt;&gt;0,SUMIF(куб!$G:$G,$G1261,куб!R:R),IF($E1261&lt;&gt;0,SUMIF(куб!$E:$E,$E1261,куб!R:R),IF($D1261&lt;&gt;0,SUMIF(куб!$D:$D,$D1261,куб!R:R),IF($C1261&lt;&gt;0,SUMIF(куб!$C:$C,$C1261,куб!R:R),IF($B1261&lt;&gt;0,SUMIF(куб!$B:$B,$B1261,куб!R:R))))))</f>
        <v>0</v>
      </c>
      <c r="AG1261" s="27" t="b">
        <f>IF($G1261&lt;&gt;0,SUMIF(куб!$G:$G,$G1261,куб!S:S),IF($E1261&lt;&gt;0,SUMIF(куб!$E:$E,$E1261,куб!S:S),IF($D1261&lt;&gt;0,SUMIF(куб!$D:$D,$D1261,куб!S:S),IF($C1261&lt;&gt;0,SUMIF(куб!$C:$C,$C1261,куб!S:S),IF($B1261&lt;&gt;0,SUMIF(куб!$B:$B,$B1261,куб!S:S))))))</f>
        <v>0</v>
      </c>
      <c r="AH1261" s="16" t="str">
        <f t="shared" si="391"/>
        <v>-</v>
      </c>
      <c r="AI1261" s="8"/>
      <c r="AJ1261" s="27" t="b">
        <f>IF($G1261&lt;&gt;0,SUMIF(куб!$G:$G,$G1261,куб!T:T),IF($E1261&lt;&gt;0,SUMIF(куб!$E:$E,$E1261,куб!T:T),IF($D1261&lt;&gt;0,SUMIF(куб!$D:$D,$D1261,куб!T:T),IF($C1261&lt;&gt;0,SUMIF(куб!$C:$C,$C1261,куб!T:T),IF($B1261&lt;&gt;0,SUMIF(куб!$B:$B,$B1261,куб!T:T))))))</f>
        <v>0</v>
      </c>
      <c r="AK1261" s="27" t="b">
        <f>IF($G1261&lt;&gt;0,SUMIF(куб!$G:$G,$G1261,куб!U:U),IF($E1261&lt;&gt;0,SUMIF(куб!$E:$E,$E1261,куб!U:U),IF($D1261&lt;&gt;0,SUMIF(куб!$D:$D,$D1261,куб!U:U),IF($C1261&lt;&gt;0,SUMIF(куб!$C:$C,$C1261,куб!U:U),IF($B1261&lt;&gt;0,SUMIF(куб!$B:$B,$B1261,куб!U:U))))))</f>
        <v>0</v>
      </c>
      <c r="AL1261" s="16" t="str">
        <f t="shared" si="392"/>
        <v>-</v>
      </c>
      <c r="AM1261" s="8"/>
      <c r="AN1261" s="17" t="str">
        <f t="shared" si="393"/>
        <v xml:space="preserve"> </v>
      </c>
      <c r="AO1261" s="17" t="str">
        <f t="shared" si="394"/>
        <v xml:space="preserve"> </v>
      </c>
      <c r="AP1261" s="16" t="str">
        <f t="shared" si="395"/>
        <v>-</v>
      </c>
      <c r="AQ1261" s="8"/>
      <c r="AR1261" s="17" t="str">
        <f t="shared" si="396"/>
        <v>-</v>
      </c>
      <c r="AS1261" s="17" t="str">
        <f t="shared" si="397"/>
        <v>-</v>
      </c>
      <c r="AT1261" s="13" t="str">
        <f t="shared" si="398"/>
        <v>-</v>
      </c>
      <c r="AU1261" s="8"/>
    </row>
    <row r="1262" spans="8:47" x14ac:dyDescent="0.25">
      <c r="H1262" s="27">
        <f>IF($G1262&lt;&gt;0,SUMIF(куб!$G:$G,$G1262,куб!H:H),IF($E1262&lt;&gt;0,SUMIF(куб!$E:$E,$E1262,куб!H:H),IF($D1262&lt;&gt;0,SUMIF(куб!$D:$D,$D1262,куб!H:H),IF($C1262&lt;&gt;0,SUMIF(куб!$C:$C,$C1262,куб!H:H),IF($B1262&lt;&gt;0,SUMIF(куб!$B:$B,$B1262,куб!H:H),IF($G1262&lt;&gt;0,SUMIF(куб!$A:$A,$G1262,куб!H:H),SUMIF(куб!$A:$A,$G1262,куб!H:H)))))))</f>
        <v>0</v>
      </c>
      <c r="I1262" s="27">
        <f>IF($G1262&lt;&gt;0,SUMIF(куб!$G:$G,$G1262,куб!I:I),IF($E1262&lt;&gt;0,SUMIF(куб!$E:$E,$E1262,куб!I:I),IF($D1262&lt;&gt;0,SUMIF(куб!$D:$D,$D1262,куб!I:I),IF($C1262&lt;&gt;0,SUMIF(куб!$C:$C,$C1262,куб!I:I),IF($B1262&lt;&gt;0,SUMIF(куб!$B:$B,$B1262,куб!I:I),IF($G1262&lt;&gt;0,SUMIF(куб!$A:$A,$G1262,куб!I:I),SUMIF(куб!$A:$A,$G1262,куб!I:I)))))))</f>
        <v>0</v>
      </c>
      <c r="J1262" s="19" t="str">
        <f t="shared" si="381"/>
        <v>-</v>
      </c>
      <c r="K1262" s="8"/>
      <c r="L1262" s="17">
        <f t="shared" si="382"/>
        <v>0</v>
      </c>
      <c r="M1262" s="17">
        <f t="shared" si="383"/>
        <v>0</v>
      </c>
      <c r="N1262" s="12">
        <f t="shared" si="384"/>
        <v>0</v>
      </c>
      <c r="O1262" s="5"/>
      <c r="P1262" s="27" t="b">
        <f>IF($G1262&lt;&gt;0,SUMIF(куб!$G:$G,$G1262,куб!J:J),IF($E1262&lt;&gt;0,SUMIF(куб!$E:$E,$E1262,куб!J:J),IF($D1262&lt;&gt;0,SUMIF(куб!$D:$D,$D1262,куб!J:J),IF($C1262&lt;&gt;0,SUMIF(куб!$C:$C,$C1262,куб!J:J),IF($B1262&lt;&gt;0,SUMIF(куб!$B:$B,$B1262,куб!J:J))))))</f>
        <v>0</v>
      </c>
      <c r="Q1262" s="27" t="b">
        <f>IF($G1262&lt;&gt;0,SUMIF(куб!$G:$G,$G1262,куб!K:K),IF($E1262&lt;&gt;0,SUMIF(куб!$E:$E,$E1262,куб!K:K),IF($D1262&lt;&gt;0,SUMIF(куб!$D:$D,$D1262,куб!K:K),IF($C1262&lt;&gt;0,SUMIF(куб!$C:$C,$C1262,куб!K:K),IF($B1262&lt;&gt;0,SUMIF(куб!$B:$B,$B1262,куб!K:K))))))</f>
        <v>0</v>
      </c>
      <c r="R1262" s="13" t="str">
        <f t="shared" si="385"/>
        <v>-</v>
      </c>
      <c r="S1262" s="5"/>
      <c r="T1262" s="27" t="b">
        <f>IF($G1262&lt;&gt;0,SUMIF(куб!$G:$G,$G1262,куб!L:L),IF($E1262&lt;&gt;0,SUMIF(куб!$E:$E,$E1262,куб!L:L),IF($D1262&lt;&gt;0,SUMIF(куб!$D:$D,$D1262,куб!L:L),IF($C1262&lt;&gt;0,SUMIF(куб!$C:$C,$C1262,куб!L:L),IF($B1262&lt;&gt;0,SUMIF(куб!$B:$B,$B1262,куб!L:L))))))</f>
        <v>0</v>
      </c>
      <c r="U1262" s="27" t="b">
        <f>IF($G1262&lt;&gt;0,SUMIF(куб!$G:$G,$G1262,куб!M:M),IF($E1262&lt;&gt;0,SUMIF(куб!$E:$E,$E1262,куб!M:M),IF($D1262&lt;&gt;0,SUMIF(куб!$D:$D,$D1262,куб!M:M),IF($C1262&lt;&gt;0,SUMIF(куб!$C:$C,$C1262,куб!M:M),IF($B1262&lt;&gt;0,SUMIF(куб!$B:$B,$B1262,куб!M:M))))))</f>
        <v>0</v>
      </c>
      <c r="V1262" s="13" t="str">
        <f t="shared" si="386"/>
        <v>-</v>
      </c>
      <c r="W1262" s="5"/>
      <c r="X1262" s="27" t="b">
        <f>IF($G1262&lt;&gt;0,SUMIF(куб!$G:$G,$G1262,куб!N:N),IF($E1262&lt;&gt;0,SUMIF(куб!$E:$E,$E1262,куб!N:N),IF($D1262&lt;&gt;0,SUMIF(куб!$D:$D,$D1262,куб!N:N),IF($C1262&lt;&gt;0,SUMIF(куб!$C:$C,$C1262,куб!N:N),IF($B1262&lt;&gt;0,SUMIF(куб!$B:$B,$B1262,куб!N:N))))))</f>
        <v>0</v>
      </c>
      <c r="Y1262" s="27" t="b">
        <f>IF($G1262&lt;&gt;0,SUMIF(куб!$G:$G,$G1262,куб!O:O),IF($E1262&lt;&gt;0,SUMIF(куб!$E:$E,$E1262,куб!O:O),IF($D1262&lt;&gt;0,SUMIF(куб!$D:$D,$D1262,куб!O:O),IF($C1262&lt;&gt;0,SUMIF(куб!$C:$C,$C1262,куб!O:O),IF($B1262&lt;&gt;0,SUMIF(куб!$B:$B,$B1262,куб!O:O))))))</f>
        <v>0</v>
      </c>
      <c r="Z1262" s="13" t="str">
        <f t="shared" si="387"/>
        <v>-</v>
      </c>
      <c r="AA1262" s="5"/>
      <c r="AB1262" s="33" t="str">
        <f t="shared" si="388"/>
        <v/>
      </c>
      <c r="AC1262" s="33" t="str">
        <f t="shared" si="389"/>
        <v/>
      </c>
      <c r="AD1262" s="15" t="str">
        <f t="shared" si="390"/>
        <v xml:space="preserve"> </v>
      </c>
      <c r="AE1262" s="5"/>
      <c r="AF1262" s="27" t="b">
        <f>IF($G1262&lt;&gt;0,SUMIF(куб!$G:$G,$G1262,куб!R:R),IF($E1262&lt;&gt;0,SUMIF(куб!$E:$E,$E1262,куб!R:R),IF($D1262&lt;&gt;0,SUMIF(куб!$D:$D,$D1262,куб!R:R),IF($C1262&lt;&gt;0,SUMIF(куб!$C:$C,$C1262,куб!R:R),IF($B1262&lt;&gt;0,SUMIF(куб!$B:$B,$B1262,куб!R:R))))))</f>
        <v>0</v>
      </c>
      <c r="AG1262" s="27" t="b">
        <f>IF($G1262&lt;&gt;0,SUMIF(куб!$G:$G,$G1262,куб!S:S),IF($E1262&lt;&gt;0,SUMIF(куб!$E:$E,$E1262,куб!S:S),IF($D1262&lt;&gt;0,SUMIF(куб!$D:$D,$D1262,куб!S:S),IF($C1262&lt;&gt;0,SUMIF(куб!$C:$C,$C1262,куб!S:S),IF($B1262&lt;&gt;0,SUMIF(куб!$B:$B,$B1262,куб!S:S))))))</f>
        <v>0</v>
      </c>
      <c r="AH1262" s="16" t="str">
        <f t="shared" si="391"/>
        <v>-</v>
      </c>
      <c r="AI1262" s="8"/>
      <c r="AJ1262" s="27" t="b">
        <f>IF($G1262&lt;&gt;0,SUMIF(куб!$G:$G,$G1262,куб!T:T),IF($E1262&lt;&gt;0,SUMIF(куб!$E:$E,$E1262,куб!T:T),IF($D1262&lt;&gt;0,SUMIF(куб!$D:$D,$D1262,куб!T:T),IF($C1262&lt;&gt;0,SUMIF(куб!$C:$C,$C1262,куб!T:T),IF($B1262&lt;&gt;0,SUMIF(куб!$B:$B,$B1262,куб!T:T))))))</f>
        <v>0</v>
      </c>
      <c r="AK1262" s="27" t="b">
        <f>IF($G1262&lt;&gt;0,SUMIF(куб!$G:$G,$G1262,куб!U:U),IF($E1262&lt;&gt;0,SUMIF(куб!$E:$E,$E1262,куб!U:U),IF($D1262&lt;&gt;0,SUMIF(куб!$D:$D,$D1262,куб!U:U),IF($C1262&lt;&gt;0,SUMIF(куб!$C:$C,$C1262,куб!U:U),IF($B1262&lt;&gt;0,SUMIF(куб!$B:$B,$B1262,куб!U:U))))))</f>
        <v>0</v>
      </c>
      <c r="AL1262" s="16" t="str">
        <f t="shared" si="392"/>
        <v>-</v>
      </c>
      <c r="AM1262" s="8"/>
      <c r="AN1262" s="17" t="str">
        <f t="shared" si="393"/>
        <v xml:space="preserve"> </v>
      </c>
      <c r="AO1262" s="17" t="str">
        <f t="shared" si="394"/>
        <v xml:space="preserve"> </v>
      </c>
      <c r="AP1262" s="16" t="str">
        <f t="shared" si="395"/>
        <v>-</v>
      </c>
      <c r="AQ1262" s="8"/>
      <c r="AR1262" s="17" t="str">
        <f t="shared" si="396"/>
        <v>-</v>
      </c>
      <c r="AS1262" s="17" t="str">
        <f t="shared" si="397"/>
        <v>-</v>
      </c>
      <c r="AT1262" s="13" t="str">
        <f t="shared" si="398"/>
        <v>-</v>
      </c>
      <c r="AU1262" s="8"/>
    </row>
    <row r="1263" spans="8:47" x14ac:dyDescent="0.25">
      <c r="H1263" s="27">
        <f>IF($G1263&lt;&gt;0,SUMIF(куб!$G:$G,$G1263,куб!H:H),IF($E1263&lt;&gt;0,SUMIF(куб!$E:$E,$E1263,куб!H:H),IF($D1263&lt;&gt;0,SUMIF(куб!$D:$D,$D1263,куб!H:H),IF($C1263&lt;&gt;0,SUMIF(куб!$C:$C,$C1263,куб!H:H),IF($B1263&lt;&gt;0,SUMIF(куб!$B:$B,$B1263,куб!H:H),IF($G1263&lt;&gt;0,SUMIF(куб!$A:$A,$G1263,куб!H:H),SUMIF(куб!$A:$A,$G1263,куб!H:H)))))))</f>
        <v>0</v>
      </c>
      <c r="I1263" s="27">
        <f>IF($G1263&lt;&gt;0,SUMIF(куб!$G:$G,$G1263,куб!I:I),IF($E1263&lt;&gt;0,SUMIF(куб!$E:$E,$E1263,куб!I:I),IF($D1263&lt;&gt;0,SUMIF(куб!$D:$D,$D1263,куб!I:I),IF($C1263&lt;&gt;0,SUMIF(куб!$C:$C,$C1263,куб!I:I),IF($B1263&lt;&gt;0,SUMIF(куб!$B:$B,$B1263,куб!I:I),IF($G1263&lt;&gt;0,SUMIF(куб!$A:$A,$G1263,куб!I:I),SUMIF(куб!$A:$A,$G1263,куб!I:I)))))))</f>
        <v>0</v>
      </c>
      <c r="J1263" s="19" t="str">
        <f t="shared" si="381"/>
        <v>-</v>
      </c>
      <c r="K1263" s="8"/>
      <c r="L1263" s="17">
        <f t="shared" si="382"/>
        <v>0</v>
      </c>
      <c r="M1263" s="17">
        <f t="shared" si="383"/>
        <v>0</v>
      </c>
      <c r="N1263" s="12">
        <f t="shared" si="384"/>
        <v>0</v>
      </c>
      <c r="O1263" s="5"/>
      <c r="P1263" s="27" t="b">
        <f>IF($G1263&lt;&gt;0,SUMIF(куб!$G:$G,$G1263,куб!J:J),IF($E1263&lt;&gt;0,SUMIF(куб!$E:$E,$E1263,куб!J:J),IF($D1263&lt;&gt;0,SUMIF(куб!$D:$D,$D1263,куб!J:J),IF($C1263&lt;&gt;0,SUMIF(куб!$C:$C,$C1263,куб!J:J),IF($B1263&lt;&gt;0,SUMIF(куб!$B:$B,$B1263,куб!J:J))))))</f>
        <v>0</v>
      </c>
      <c r="Q1263" s="27" t="b">
        <f>IF($G1263&lt;&gt;0,SUMIF(куб!$G:$G,$G1263,куб!K:K),IF($E1263&lt;&gt;0,SUMIF(куб!$E:$E,$E1263,куб!K:K),IF($D1263&lt;&gt;0,SUMIF(куб!$D:$D,$D1263,куб!K:K),IF($C1263&lt;&gt;0,SUMIF(куб!$C:$C,$C1263,куб!K:K),IF($B1263&lt;&gt;0,SUMIF(куб!$B:$B,$B1263,куб!K:K))))))</f>
        <v>0</v>
      </c>
      <c r="R1263" s="13" t="str">
        <f t="shared" si="385"/>
        <v>-</v>
      </c>
      <c r="S1263" s="5"/>
      <c r="T1263" s="27" t="b">
        <f>IF($G1263&lt;&gt;0,SUMIF(куб!$G:$G,$G1263,куб!L:L),IF($E1263&lt;&gt;0,SUMIF(куб!$E:$E,$E1263,куб!L:L),IF($D1263&lt;&gt;0,SUMIF(куб!$D:$D,$D1263,куб!L:L),IF($C1263&lt;&gt;0,SUMIF(куб!$C:$C,$C1263,куб!L:L),IF($B1263&lt;&gt;0,SUMIF(куб!$B:$B,$B1263,куб!L:L))))))</f>
        <v>0</v>
      </c>
      <c r="U1263" s="27" t="b">
        <f>IF($G1263&lt;&gt;0,SUMIF(куб!$G:$G,$G1263,куб!M:M),IF($E1263&lt;&gt;0,SUMIF(куб!$E:$E,$E1263,куб!M:M),IF($D1263&lt;&gt;0,SUMIF(куб!$D:$D,$D1263,куб!M:M),IF($C1263&lt;&gt;0,SUMIF(куб!$C:$C,$C1263,куб!M:M),IF($B1263&lt;&gt;0,SUMIF(куб!$B:$B,$B1263,куб!M:M))))))</f>
        <v>0</v>
      </c>
      <c r="V1263" s="13" t="str">
        <f t="shared" si="386"/>
        <v>-</v>
      </c>
      <c r="W1263" s="5"/>
      <c r="X1263" s="27" t="b">
        <f>IF($G1263&lt;&gt;0,SUMIF(куб!$G:$G,$G1263,куб!N:N),IF($E1263&lt;&gt;0,SUMIF(куб!$E:$E,$E1263,куб!N:N),IF($D1263&lt;&gt;0,SUMIF(куб!$D:$D,$D1263,куб!N:N),IF($C1263&lt;&gt;0,SUMIF(куб!$C:$C,$C1263,куб!N:N),IF($B1263&lt;&gt;0,SUMIF(куб!$B:$B,$B1263,куб!N:N))))))</f>
        <v>0</v>
      </c>
      <c r="Y1263" s="27" t="b">
        <f>IF($G1263&lt;&gt;0,SUMIF(куб!$G:$G,$G1263,куб!O:O),IF($E1263&lt;&gt;0,SUMIF(куб!$E:$E,$E1263,куб!O:O),IF($D1263&lt;&gt;0,SUMIF(куб!$D:$D,$D1263,куб!O:O),IF($C1263&lt;&gt;0,SUMIF(куб!$C:$C,$C1263,куб!O:O),IF($B1263&lt;&gt;0,SUMIF(куб!$B:$B,$B1263,куб!O:O))))))</f>
        <v>0</v>
      </c>
      <c r="Z1263" s="13" t="str">
        <f t="shared" si="387"/>
        <v>-</v>
      </c>
      <c r="AA1263" s="5"/>
      <c r="AB1263" s="33" t="str">
        <f t="shared" si="388"/>
        <v/>
      </c>
      <c r="AC1263" s="33" t="str">
        <f t="shared" si="389"/>
        <v/>
      </c>
      <c r="AD1263" s="15" t="str">
        <f t="shared" si="390"/>
        <v xml:space="preserve"> </v>
      </c>
      <c r="AE1263" s="5"/>
      <c r="AF1263" s="27" t="b">
        <f>IF($G1263&lt;&gt;0,SUMIF(куб!$G:$G,$G1263,куб!R:R),IF($E1263&lt;&gt;0,SUMIF(куб!$E:$E,$E1263,куб!R:R),IF($D1263&lt;&gt;0,SUMIF(куб!$D:$D,$D1263,куб!R:R),IF($C1263&lt;&gt;0,SUMIF(куб!$C:$C,$C1263,куб!R:R),IF($B1263&lt;&gt;0,SUMIF(куб!$B:$B,$B1263,куб!R:R))))))</f>
        <v>0</v>
      </c>
      <c r="AG1263" s="27" t="b">
        <f>IF($G1263&lt;&gt;0,SUMIF(куб!$G:$G,$G1263,куб!S:S),IF($E1263&lt;&gt;0,SUMIF(куб!$E:$E,$E1263,куб!S:S),IF($D1263&lt;&gt;0,SUMIF(куб!$D:$D,$D1263,куб!S:S),IF($C1263&lt;&gt;0,SUMIF(куб!$C:$C,$C1263,куб!S:S),IF($B1263&lt;&gt;0,SUMIF(куб!$B:$B,$B1263,куб!S:S))))))</f>
        <v>0</v>
      </c>
      <c r="AH1263" s="16" t="str">
        <f t="shared" si="391"/>
        <v>-</v>
      </c>
      <c r="AI1263" s="8"/>
      <c r="AJ1263" s="27" t="b">
        <f>IF($G1263&lt;&gt;0,SUMIF(куб!$G:$G,$G1263,куб!T:T),IF($E1263&lt;&gt;0,SUMIF(куб!$E:$E,$E1263,куб!T:T),IF($D1263&lt;&gt;0,SUMIF(куб!$D:$D,$D1263,куб!T:T),IF($C1263&lt;&gt;0,SUMIF(куб!$C:$C,$C1263,куб!T:T),IF($B1263&lt;&gt;0,SUMIF(куб!$B:$B,$B1263,куб!T:T))))))</f>
        <v>0</v>
      </c>
      <c r="AK1263" s="27" t="b">
        <f>IF($G1263&lt;&gt;0,SUMIF(куб!$G:$G,$G1263,куб!U:U),IF($E1263&lt;&gt;0,SUMIF(куб!$E:$E,$E1263,куб!U:U),IF($D1263&lt;&gt;0,SUMIF(куб!$D:$D,$D1263,куб!U:U),IF($C1263&lt;&gt;0,SUMIF(куб!$C:$C,$C1263,куб!U:U),IF($B1263&lt;&gt;0,SUMIF(куб!$B:$B,$B1263,куб!U:U))))))</f>
        <v>0</v>
      </c>
      <c r="AL1263" s="16" t="str">
        <f t="shared" si="392"/>
        <v>-</v>
      </c>
      <c r="AM1263" s="8"/>
      <c r="AN1263" s="17" t="str">
        <f t="shared" si="393"/>
        <v xml:space="preserve"> </v>
      </c>
      <c r="AO1263" s="17" t="str">
        <f t="shared" si="394"/>
        <v xml:space="preserve"> </v>
      </c>
      <c r="AP1263" s="16" t="str">
        <f t="shared" si="395"/>
        <v>-</v>
      </c>
      <c r="AQ1263" s="8"/>
      <c r="AR1263" s="17" t="str">
        <f t="shared" si="396"/>
        <v>-</v>
      </c>
      <c r="AS1263" s="17" t="str">
        <f t="shared" si="397"/>
        <v>-</v>
      </c>
      <c r="AT1263" s="13" t="str">
        <f t="shared" si="398"/>
        <v>-</v>
      </c>
      <c r="AU1263" s="8"/>
    </row>
    <row r="1264" spans="8:47" x14ac:dyDescent="0.25">
      <c r="H1264" s="27">
        <f>IF($G1264&lt;&gt;0,SUMIF(куб!$G:$G,$G1264,куб!H:H),IF($E1264&lt;&gt;0,SUMIF(куб!$E:$E,$E1264,куб!H:H),IF($D1264&lt;&gt;0,SUMIF(куб!$D:$D,$D1264,куб!H:H),IF($C1264&lt;&gt;0,SUMIF(куб!$C:$C,$C1264,куб!H:H),IF($B1264&lt;&gt;0,SUMIF(куб!$B:$B,$B1264,куб!H:H),IF($G1264&lt;&gt;0,SUMIF(куб!$A:$A,$G1264,куб!H:H),SUMIF(куб!$A:$A,$G1264,куб!H:H)))))))</f>
        <v>0</v>
      </c>
      <c r="I1264" s="27">
        <f>IF($G1264&lt;&gt;0,SUMIF(куб!$G:$G,$G1264,куб!I:I),IF($E1264&lt;&gt;0,SUMIF(куб!$E:$E,$E1264,куб!I:I),IF($D1264&lt;&gt;0,SUMIF(куб!$D:$D,$D1264,куб!I:I),IF($C1264&lt;&gt;0,SUMIF(куб!$C:$C,$C1264,куб!I:I),IF($B1264&lt;&gt;0,SUMIF(куб!$B:$B,$B1264,куб!I:I),IF($G1264&lt;&gt;0,SUMIF(куб!$A:$A,$G1264,куб!I:I),SUMIF(куб!$A:$A,$G1264,куб!I:I)))))))</f>
        <v>0</v>
      </c>
      <c r="J1264" s="19" t="str">
        <f t="shared" si="381"/>
        <v>-</v>
      </c>
      <c r="K1264" s="8"/>
      <c r="L1264" s="17">
        <f t="shared" si="382"/>
        <v>0</v>
      </c>
      <c r="M1264" s="17">
        <f t="shared" si="383"/>
        <v>0</v>
      </c>
      <c r="N1264" s="12">
        <f t="shared" si="384"/>
        <v>0</v>
      </c>
      <c r="O1264" s="5"/>
      <c r="P1264" s="27" t="b">
        <f>IF($G1264&lt;&gt;0,SUMIF(куб!$G:$G,$G1264,куб!J:J),IF($E1264&lt;&gt;0,SUMIF(куб!$E:$E,$E1264,куб!J:J),IF($D1264&lt;&gt;0,SUMIF(куб!$D:$D,$D1264,куб!J:J),IF($C1264&lt;&gt;0,SUMIF(куб!$C:$C,$C1264,куб!J:J),IF($B1264&lt;&gt;0,SUMIF(куб!$B:$B,$B1264,куб!J:J))))))</f>
        <v>0</v>
      </c>
      <c r="Q1264" s="27" t="b">
        <f>IF($G1264&lt;&gt;0,SUMIF(куб!$G:$G,$G1264,куб!K:K),IF($E1264&lt;&gt;0,SUMIF(куб!$E:$E,$E1264,куб!K:K),IF($D1264&lt;&gt;0,SUMIF(куб!$D:$D,$D1264,куб!K:K),IF($C1264&lt;&gt;0,SUMIF(куб!$C:$C,$C1264,куб!K:K),IF($B1264&lt;&gt;0,SUMIF(куб!$B:$B,$B1264,куб!K:K))))))</f>
        <v>0</v>
      </c>
      <c r="R1264" s="13" t="str">
        <f t="shared" si="385"/>
        <v>-</v>
      </c>
      <c r="S1264" s="5"/>
      <c r="T1264" s="27" t="b">
        <f>IF($G1264&lt;&gt;0,SUMIF(куб!$G:$G,$G1264,куб!L:L),IF($E1264&lt;&gt;0,SUMIF(куб!$E:$E,$E1264,куб!L:L),IF($D1264&lt;&gt;0,SUMIF(куб!$D:$D,$D1264,куб!L:L),IF($C1264&lt;&gt;0,SUMIF(куб!$C:$C,$C1264,куб!L:L),IF($B1264&lt;&gt;0,SUMIF(куб!$B:$B,$B1264,куб!L:L))))))</f>
        <v>0</v>
      </c>
      <c r="U1264" s="27" t="b">
        <f>IF($G1264&lt;&gt;0,SUMIF(куб!$G:$G,$G1264,куб!M:M),IF($E1264&lt;&gt;0,SUMIF(куб!$E:$E,$E1264,куб!M:M),IF($D1264&lt;&gt;0,SUMIF(куб!$D:$D,$D1264,куб!M:M),IF($C1264&lt;&gt;0,SUMIF(куб!$C:$C,$C1264,куб!M:M),IF($B1264&lt;&gt;0,SUMIF(куб!$B:$B,$B1264,куб!M:M))))))</f>
        <v>0</v>
      </c>
      <c r="V1264" s="13" t="str">
        <f t="shared" si="386"/>
        <v>-</v>
      </c>
      <c r="W1264" s="5"/>
      <c r="X1264" s="27" t="b">
        <f>IF($G1264&lt;&gt;0,SUMIF(куб!$G:$G,$G1264,куб!N:N),IF($E1264&lt;&gt;0,SUMIF(куб!$E:$E,$E1264,куб!N:N),IF($D1264&lt;&gt;0,SUMIF(куб!$D:$D,$D1264,куб!N:N),IF($C1264&lt;&gt;0,SUMIF(куб!$C:$C,$C1264,куб!N:N),IF($B1264&lt;&gt;0,SUMIF(куб!$B:$B,$B1264,куб!N:N))))))</f>
        <v>0</v>
      </c>
      <c r="Y1264" s="27" t="b">
        <f>IF($G1264&lt;&gt;0,SUMIF(куб!$G:$G,$G1264,куб!O:O),IF($E1264&lt;&gt;0,SUMIF(куб!$E:$E,$E1264,куб!O:O),IF($D1264&lt;&gt;0,SUMIF(куб!$D:$D,$D1264,куб!O:O),IF($C1264&lt;&gt;0,SUMIF(куб!$C:$C,$C1264,куб!O:O),IF($B1264&lt;&gt;0,SUMIF(куб!$B:$B,$B1264,куб!O:O))))))</f>
        <v>0</v>
      </c>
      <c r="Z1264" s="13" t="str">
        <f t="shared" si="387"/>
        <v>-</v>
      </c>
      <c r="AA1264" s="5"/>
      <c r="AB1264" s="33" t="str">
        <f t="shared" si="388"/>
        <v/>
      </c>
      <c r="AC1264" s="33" t="str">
        <f t="shared" si="389"/>
        <v/>
      </c>
      <c r="AD1264" s="15" t="str">
        <f t="shared" si="390"/>
        <v xml:space="preserve"> </v>
      </c>
      <c r="AE1264" s="5"/>
      <c r="AF1264" s="27" t="b">
        <f>IF($G1264&lt;&gt;0,SUMIF(куб!$G:$G,$G1264,куб!R:R),IF($E1264&lt;&gt;0,SUMIF(куб!$E:$E,$E1264,куб!R:R),IF($D1264&lt;&gt;0,SUMIF(куб!$D:$D,$D1264,куб!R:R),IF($C1264&lt;&gt;0,SUMIF(куб!$C:$C,$C1264,куб!R:R),IF($B1264&lt;&gt;0,SUMIF(куб!$B:$B,$B1264,куб!R:R))))))</f>
        <v>0</v>
      </c>
      <c r="AG1264" s="27" t="b">
        <f>IF($G1264&lt;&gt;0,SUMIF(куб!$G:$G,$G1264,куб!S:S),IF($E1264&lt;&gt;0,SUMIF(куб!$E:$E,$E1264,куб!S:S),IF($D1264&lt;&gt;0,SUMIF(куб!$D:$D,$D1264,куб!S:S),IF($C1264&lt;&gt;0,SUMIF(куб!$C:$C,$C1264,куб!S:S),IF($B1264&lt;&gt;0,SUMIF(куб!$B:$B,$B1264,куб!S:S))))))</f>
        <v>0</v>
      </c>
      <c r="AH1264" s="16" t="str">
        <f t="shared" si="391"/>
        <v>-</v>
      </c>
      <c r="AI1264" s="8"/>
      <c r="AJ1264" s="27" t="b">
        <f>IF($G1264&lt;&gt;0,SUMIF(куб!$G:$G,$G1264,куб!T:T),IF($E1264&lt;&gt;0,SUMIF(куб!$E:$E,$E1264,куб!T:T),IF($D1264&lt;&gt;0,SUMIF(куб!$D:$D,$D1264,куб!T:T),IF($C1264&lt;&gt;0,SUMIF(куб!$C:$C,$C1264,куб!T:T),IF($B1264&lt;&gt;0,SUMIF(куб!$B:$B,$B1264,куб!T:T))))))</f>
        <v>0</v>
      </c>
      <c r="AK1264" s="27" t="b">
        <f>IF($G1264&lt;&gt;0,SUMIF(куб!$G:$G,$G1264,куб!U:U),IF($E1264&lt;&gt;0,SUMIF(куб!$E:$E,$E1264,куб!U:U),IF($D1264&lt;&gt;0,SUMIF(куб!$D:$D,$D1264,куб!U:U),IF($C1264&lt;&gt;0,SUMIF(куб!$C:$C,$C1264,куб!U:U),IF($B1264&lt;&gt;0,SUMIF(куб!$B:$B,$B1264,куб!U:U))))))</f>
        <v>0</v>
      </c>
      <c r="AL1264" s="16" t="str">
        <f t="shared" si="392"/>
        <v>-</v>
      </c>
      <c r="AM1264" s="8"/>
      <c r="AN1264" s="17" t="str">
        <f t="shared" si="393"/>
        <v xml:space="preserve"> </v>
      </c>
      <c r="AO1264" s="17" t="str">
        <f t="shared" si="394"/>
        <v xml:space="preserve"> </v>
      </c>
      <c r="AP1264" s="16" t="str">
        <f t="shared" si="395"/>
        <v>-</v>
      </c>
      <c r="AQ1264" s="8"/>
      <c r="AR1264" s="17" t="str">
        <f t="shared" si="396"/>
        <v>-</v>
      </c>
      <c r="AS1264" s="17" t="str">
        <f t="shared" si="397"/>
        <v>-</v>
      </c>
      <c r="AT1264" s="13" t="str">
        <f t="shared" si="398"/>
        <v>-</v>
      </c>
      <c r="AU1264" s="8"/>
    </row>
    <row r="1265" spans="8:47" x14ac:dyDescent="0.25">
      <c r="H1265" s="27">
        <f>IF($G1265&lt;&gt;0,SUMIF(куб!$G:$G,$G1265,куб!H:H),IF($E1265&lt;&gt;0,SUMIF(куб!$E:$E,$E1265,куб!H:H),IF($D1265&lt;&gt;0,SUMIF(куб!$D:$D,$D1265,куб!H:H),IF($C1265&lt;&gt;0,SUMIF(куб!$C:$C,$C1265,куб!H:H),IF($B1265&lt;&gt;0,SUMIF(куб!$B:$B,$B1265,куб!H:H),IF($G1265&lt;&gt;0,SUMIF(куб!$A:$A,$G1265,куб!H:H),SUMIF(куб!$A:$A,$G1265,куб!H:H)))))))</f>
        <v>0</v>
      </c>
      <c r="I1265" s="27">
        <f>IF($G1265&lt;&gt;0,SUMIF(куб!$G:$G,$G1265,куб!I:I),IF($E1265&lt;&gt;0,SUMIF(куб!$E:$E,$E1265,куб!I:I),IF($D1265&lt;&gt;0,SUMIF(куб!$D:$D,$D1265,куб!I:I),IF($C1265&lt;&gt;0,SUMIF(куб!$C:$C,$C1265,куб!I:I),IF($B1265&lt;&gt;0,SUMIF(куб!$B:$B,$B1265,куб!I:I),IF($G1265&lt;&gt;0,SUMIF(куб!$A:$A,$G1265,куб!I:I),SUMIF(куб!$A:$A,$G1265,куб!I:I)))))))</f>
        <v>0</v>
      </c>
      <c r="J1265" s="19" t="str">
        <f t="shared" si="381"/>
        <v>-</v>
      </c>
      <c r="K1265" s="8"/>
      <c r="L1265" s="17">
        <f t="shared" si="382"/>
        <v>0</v>
      </c>
      <c r="M1265" s="17">
        <f t="shared" si="383"/>
        <v>0</v>
      </c>
      <c r="N1265" s="12">
        <f t="shared" si="384"/>
        <v>0</v>
      </c>
      <c r="O1265" s="5"/>
      <c r="P1265" s="27" t="b">
        <f>IF($G1265&lt;&gt;0,SUMIF(куб!$G:$G,$G1265,куб!J:J),IF($E1265&lt;&gt;0,SUMIF(куб!$E:$E,$E1265,куб!J:J),IF($D1265&lt;&gt;0,SUMIF(куб!$D:$D,$D1265,куб!J:J),IF($C1265&lt;&gt;0,SUMIF(куб!$C:$C,$C1265,куб!J:J),IF($B1265&lt;&gt;0,SUMIF(куб!$B:$B,$B1265,куб!J:J))))))</f>
        <v>0</v>
      </c>
      <c r="Q1265" s="27" t="b">
        <f>IF($G1265&lt;&gt;0,SUMIF(куб!$G:$G,$G1265,куб!K:K),IF($E1265&lt;&gt;0,SUMIF(куб!$E:$E,$E1265,куб!K:K),IF($D1265&lt;&gt;0,SUMIF(куб!$D:$D,$D1265,куб!K:K),IF($C1265&lt;&gt;0,SUMIF(куб!$C:$C,$C1265,куб!K:K),IF($B1265&lt;&gt;0,SUMIF(куб!$B:$B,$B1265,куб!K:K))))))</f>
        <v>0</v>
      </c>
      <c r="R1265" s="13" t="str">
        <f t="shared" si="385"/>
        <v>-</v>
      </c>
      <c r="S1265" s="5"/>
      <c r="T1265" s="27" t="b">
        <f>IF($G1265&lt;&gt;0,SUMIF(куб!$G:$G,$G1265,куб!L:L),IF($E1265&lt;&gt;0,SUMIF(куб!$E:$E,$E1265,куб!L:L),IF($D1265&lt;&gt;0,SUMIF(куб!$D:$D,$D1265,куб!L:L),IF($C1265&lt;&gt;0,SUMIF(куб!$C:$C,$C1265,куб!L:L),IF($B1265&lt;&gt;0,SUMIF(куб!$B:$B,$B1265,куб!L:L))))))</f>
        <v>0</v>
      </c>
      <c r="U1265" s="27" t="b">
        <f>IF($G1265&lt;&gt;0,SUMIF(куб!$G:$G,$G1265,куб!M:M),IF($E1265&lt;&gt;0,SUMIF(куб!$E:$E,$E1265,куб!M:M),IF($D1265&lt;&gt;0,SUMIF(куб!$D:$D,$D1265,куб!M:M),IF($C1265&lt;&gt;0,SUMIF(куб!$C:$C,$C1265,куб!M:M),IF($B1265&lt;&gt;0,SUMIF(куб!$B:$B,$B1265,куб!M:M))))))</f>
        <v>0</v>
      </c>
      <c r="V1265" s="13" t="str">
        <f t="shared" si="386"/>
        <v>-</v>
      </c>
      <c r="W1265" s="5"/>
      <c r="X1265" s="27" t="b">
        <f>IF($G1265&lt;&gt;0,SUMIF(куб!$G:$G,$G1265,куб!N:N),IF($E1265&lt;&gt;0,SUMIF(куб!$E:$E,$E1265,куб!N:N),IF($D1265&lt;&gt;0,SUMIF(куб!$D:$D,$D1265,куб!N:N),IF($C1265&lt;&gt;0,SUMIF(куб!$C:$C,$C1265,куб!N:N),IF($B1265&lt;&gt;0,SUMIF(куб!$B:$B,$B1265,куб!N:N))))))</f>
        <v>0</v>
      </c>
      <c r="Y1265" s="27" t="b">
        <f>IF($G1265&lt;&gt;0,SUMIF(куб!$G:$G,$G1265,куб!O:O),IF($E1265&lt;&gt;0,SUMIF(куб!$E:$E,$E1265,куб!O:O),IF($D1265&lt;&gt;0,SUMIF(куб!$D:$D,$D1265,куб!O:O),IF($C1265&lt;&gt;0,SUMIF(куб!$C:$C,$C1265,куб!O:O),IF($B1265&lt;&gt;0,SUMIF(куб!$B:$B,$B1265,куб!O:O))))))</f>
        <v>0</v>
      </c>
      <c r="Z1265" s="13" t="str">
        <f t="shared" si="387"/>
        <v>-</v>
      </c>
      <c r="AA1265" s="5"/>
      <c r="AB1265" s="33" t="str">
        <f t="shared" si="388"/>
        <v/>
      </c>
      <c r="AC1265" s="33" t="str">
        <f t="shared" si="389"/>
        <v/>
      </c>
      <c r="AD1265" s="15" t="str">
        <f t="shared" si="390"/>
        <v xml:space="preserve"> </v>
      </c>
      <c r="AE1265" s="5"/>
      <c r="AF1265" s="27" t="b">
        <f>IF($G1265&lt;&gt;0,SUMIF(куб!$G:$G,$G1265,куб!R:R),IF($E1265&lt;&gt;0,SUMIF(куб!$E:$E,$E1265,куб!R:R),IF($D1265&lt;&gt;0,SUMIF(куб!$D:$D,$D1265,куб!R:R),IF($C1265&lt;&gt;0,SUMIF(куб!$C:$C,$C1265,куб!R:R),IF($B1265&lt;&gt;0,SUMIF(куб!$B:$B,$B1265,куб!R:R))))))</f>
        <v>0</v>
      </c>
      <c r="AG1265" s="27" t="b">
        <f>IF($G1265&lt;&gt;0,SUMIF(куб!$G:$G,$G1265,куб!S:S),IF($E1265&lt;&gt;0,SUMIF(куб!$E:$E,$E1265,куб!S:S),IF($D1265&lt;&gt;0,SUMIF(куб!$D:$D,$D1265,куб!S:S),IF($C1265&lt;&gt;0,SUMIF(куб!$C:$C,$C1265,куб!S:S),IF($B1265&lt;&gt;0,SUMIF(куб!$B:$B,$B1265,куб!S:S))))))</f>
        <v>0</v>
      </c>
      <c r="AH1265" s="16" t="str">
        <f t="shared" si="391"/>
        <v>-</v>
      </c>
      <c r="AI1265" s="8"/>
      <c r="AJ1265" s="27" t="b">
        <f>IF($G1265&lt;&gt;0,SUMIF(куб!$G:$G,$G1265,куб!T:T),IF($E1265&lt;&gt;0,SUMIF(куб!$E:$E,$E1265,куб!T:T),IF($D1265&lt;&gt;0,SUMIF(куб!$D:$D,$D1265,куб!T:T),IF($C1265&lt;&gt;0,SUMIF(куб!$C:$C,$C1265,куб!T:T),IF($B1265&lt;&gt;0,SUMIF(куб!$B:$B,$B1265,куб!T:T))))))</f>
        <v>0</v>
      </c>
      <c r="AK1265" s="27" t="b">
        <f>IF($G1265&lt;&gt;0,SUMIF(куб!$G:$G,$G1265,куб!U:U),IF($E1265&lt;&gt;0,SUMIF(куб!$E:$E,$E1265,куб!U:U),IF($D1265&lt;&gt;0,SUMIF(куб!$D:$D,$D1265,куб!U:U),IF($C1265&lt;&gt;0,SUMIF(куб!$C:$C,$C1265,куб!U:U),IF($B1265&lt;&gt;0,SUMIF(куб!$B:$B,$B1265,куб!U:U))))))</f>
        <v>0</v>
      </c>
      <c r="AL1265" s="16" t="str">
        <f t="shared" si="392"/>
        <v>-</v>
      </c>
      <c r="AM1265" s="8"/>
      <c r="AN1265" s="17" t="str">
        <f t="shared" si="393"/>
        <v xml:space="preserve"> </v>
      </c>
      <c r="AO1265" s="17" t="str">
        <f t="shared" si="394"/>
        <v xml:space="preserve"> </v>
      </c>
      <c r="AP1265" s="16" t="str">
        <f t="shared" si="395"/>
        <v>-</v>
      </c>
      <c r="AQ1265" s="8"/>
      <c r="AR1265" s="17" t="str">
        <f t="shared" si="396"/>
        <v>-</v>
      </c>
      <c r="AS1265" s="17" t="str">
        <f t="shared" si="397"/>
        <v>-</v>
      </c>
      <c r="AT1265" s="13" t="str">
        <f t="shared" si="398"/>
        <v>-</v>
      </c>
      <c r="AU1265" s="8"/>
    </row>
    <row r="1266" spans="8:47" x14ac:dyDescent="0.25">
      <c r="H1266" s="27">
        <f>IF($G1266&lt;&gt;0,SUMIF(куб!$G:$G,$G1266,куб!H:H),IF($E1266&lt;&gt;0,SUMIF(куб!$E:$E,$E1266,куб!H:H),IF($D1266&lt;&gt;0,SUMIF(куб!$D:$D,$D1266,куб!H:H),IF($C1266&lt;&gt;0,SUMIF(куб!$C:$C,$C1266,куб!H:H),IF($B1266&lt;&gt;0,SUMIF(куб!$B:$B,$B1266,куб!H:H),IF($G1266&lt;&gt;0,SUMIF(куб!$A:$A,$G1266,куб!H:H),SUMIF(куб!$A:$A,$G1266,куб!H:H)))))))</f>
        <v>0</v>
      </c>
      <c r="I1266" s="27">
        <f>IF($G1266&lt;&gt;0,SUMIF(куб!$G:$G,$G1266,куб!I:I),IF($E1266&lt;&gt;0,SUMIF(куб!$E:$E,$E1266,куб!I:I),IF($D1266&lt;&gt;0,SUMIF(куб!$D:$D,$D1266,куб!I:I),IF($C1266&lt;&gt;0,SUMIF(куб!$C:$C,$C1266,куб!I:I),IF($B1266&lt;&gt;0,SUMIF(куб!$B:$B,$B1266,куб!I:I),IF($G1266&lt;&gt;0,SUMIF(куб!$A:$A,$G1266,куб!I:I),SUMIF(куб!$A:$A,$G1266,куб!I:I)))))))</f>
        <v>0</v>
      </c>
      <c r="J1266" s="19" t="str">
        <f t="shared" si="381"/>
        <v>-</v>
      </c>
      <c r="K1266" s="8"/>
      <c r="L1266" s="17">
        <f t="shared" si="382"/>
        <v>0</v>
      </c>
      <c r="M1266" s="17">
        <f t="shared" si="383"/>
        <v>0</v>
      </c>
      <c r="N1266" s="12">
        <f t="shared" si="384"/>
        <v>0</v>
      </c>
      <c r="O1266" s="5"/>
      <c r="P1266" s="27" t="b">
        <f>IF($G1266&lt;&gt;0,SUMIF(куб!$G:$G,$G1266,куб!J:J),IF($E1266&lt;&gt;0,SUMIF(куб!$E:$E,$E1266,куб!J:J),IF($D1266&lt;&gt;0,SUMIF(куб!$D:$D,$D1266,куб!J:J),IF($C1266&lt;&gt;0,SUMIF(куб!$C:$C,$C1266,куб!J:J),IF($B1266&lt;&gt;0,SUMIF(куб!$B:$B,$B1266,куб!J:J))))))</f>
        <v>0</v>
      </c>
      <c r="Q1266" s="27" t="b">
        <f>IF($G1266&lt;&gt;0,SUMIF(куб!$G:$G,$G1266,куб!K:K),IF($E1266&lt;&gt;0,SUMIF(куб!$E:$E,$E1266,куб!K:K),IF($D1266&lt;&gt;0,SUMIF(куб!$D:$D,$D1266,куб!K:K),IF($C1266&lt;&gt;0,SUMIF(куб!$C:$C,$C1266,куб!K:K),IF($B1266&lt;&gt;0,SUMIF(куб!$B:$B,$B1266,куб!K:K))))))</f>
        <v>0</v>
      </c>
      <c r="R1266" s="13" t="str">
        <f t="shared" si="385"/>
        <v>-</v>
      </c>
      <c r="S1266" s="5"/>
      <c r="T1266" s="27" t="b">
        <f>IF($G1266&lt;&gt;0,SUMIF(куб!$G:$G,$G1266,куб!L:L),IF($E1266&lt;&gt;0,SUMIF(куб!$E:$E,$E1266,куб!L:L),IF($D1266&lt;&gt;0,SUMIF(куб!$D:$D,$D1266,куб!L:L),IF($C1266&lt;&gt;0,SUMIF(куб!$C:$C,$C1266,куб!L:L),IF($B1266&lt;&gt;0,SUMIF(куб!$B:$B,$B1266,куб!L:L))))))</f>
        <v>0</v>
      </c>
      <c r="U1266" s="27" t="b">
        <f>IF($G1266&lt;&gt;0,SUMIF(куб!$G:$G,$G1266,куб!M:M),IF($E1266&lt;&gt;0,SUMIF(куб!$E:$E,$E1266,куб!M:M),IF($D1266&lt;&gt;0,SUMIF(куб!$D:$D,$D1266,куб!M:M),IF($C1266&lt;&gt;0,SUMIF(куб!$C:$C,$C1266,куб!M:M),IF($B1266&lt;&gt;0,SUMIF(куб!$B:$B,$B1266,куб!M:M))))))</f>
        <v>0</v>
      </c>
      <c r="V1266" s="13" t="str">
        <f t="shared" si="386"/>
        <v>-</v>
      </c>
      <c r="W1266" s="5"/>
      <c r="X1266" s="27" t="b">
        <f>IF($G1266&lt;&gt;0,SUMIF(куб!$G:$G,$G1266,куб!N:N),IF($E1266&lt;&gt;0,SUMIF(куб!$E:$E,$E1266,куб!N:N),IF($D1266&lt;&gt;0,SUMIF(куб!$D:$D,$D1266,куб!N:N),IF($C1266&lt;&gt;0,SUMIF(куб!$C:$C,$C1266,куб!N:N),IF($B1266&lt;&gt;0,SUMIF(куб!$B:$B,$B1266,куб!N:N))))))</f>
        <v>0</v>
      </c>
      <c r="Y1266" s="27" t="b">
        <f>IF($G1266&lt;&gt;0,SUMIF(куб!$G:$G,$G1266,куб!O:O),IF($E1266&lt;&gt;0,SUMIF(куб!$E:$E,$E1266,куб!O:O),IF($D1266&lt;&gt;0,SUMIF(куб!$D:$D,$D1266,куб!O:O),IF($C1266&lt;&gt;0,SUMIF(куб!$C:$C,$C1266,куб!O:O),IF($B1266&lt;&gt;0,SUMIF(куб!$B:$B,$B1266,куб!O:O))))))</f>
        <v>0</v>
      </c>
      <c r="Z1266" s="13" t="str">
        <f t="shared" si="387"/>
        <v>-</v>
      </c>
      <c r="AA1266" s="5"/>
      <c r="AB1266" s="33" t="str">
        <f t="shared" si="388"/>
        <v/>
      </c>
      <c r="AC1266" s="33" t="str">
        <f t="shared" si="389"/>
        <v/>
      </c>
      <c r="AD1266" s="15" t="str">
        <f t="shared" si="390"/>
        <v xml:space="preserve"> </v>
      </c>
      <c r="AE1266" s="5"/>
      <c r="AF1266" s="27" t="b">
        <f>IF($G1266&lt;&gt;0,SUMIF(куб!$G:$G,$G1266,куб!R:R),IF($E1266&lt;&gt;0,SUMIF(куб!$E:$E,$E1266,куб!R:R),IF($D1266&lt;&gt;0,SUMIF(куб!$D:$D,$D1266,куб!R:R),IF($C1266&lt;&gt;0,SUMIF(куб!$C:$C,$C1266,куб!R:R),IF($B1266&lt;&gt;0,SUMIF(куб!$B:$B,$B1266,куб!R:R))))))</f>
        <v>0</v>
      </c>
      <c r="AG1266" s="27" t="b">
        <f>IF($G1266&lt;&gt;0,SUMIF(куб!$G:$G,$G1266,куб!S:S),IF($E1266&lt;&gt;0,SUMIF(куб!$E:$E,$E1266,куб!S:S),IF($D1266&lt;&gt;0,SUMIF(куб!$D:$D,$D1266,куб!S:S),IF($C1266&lt;&gt;0,SUMIF(куб!$C:$C,$C1266,куб!S:S),IF($B1266&lt;&gt;0,SUMIF(куб!$B:$B,$B1266,куб!S:S))))))</f>
        <v>0</v>
      </c>
      <c r="AH1266" s="16" t="str">
        <f t="shared" si="391"/>
        <v>-</v>
      </c>
      <c r="AI1266" s="8"/>
      <c r="AJ1266" s="27" t="b">
        <f>IF($G1266&lt;&gt;0,SUMIF(куб!$G:$G,$G1266,куб!T:T),IF($E1266&lt;&gt;0,SUMIF(куб!$E:$E,$E1266,куб!T:T),IF($D1266&lt;&gt;0,SUMIF(куб!$D:$D,$D1266,куб!T:T),IF($C1266&lt;&gt;0,SUMIF(куб!$C:$C,$C1266,куб!T:T),IF($B1266&lt;&gt;0,SUMIF(куб!$B:$B,$B1266,куб!T:T))))))</f>
        <v>0</v>
      </c>
      <c r="AK1266" s="27" t="b">
        <f>IF($G1266&lt;&gt;0,SUMIF(куб!$G:$G,$G1266,куб!U:U),IF($E1266&lt;&gt;0,SUMIF(куб!$E:$E,$E1266,куб!U:U),IF($D1266&lt;&gt;0,SUMIF(куб!$D:$D,$D1266,куб!U:U),IF($C1266&lt;&gt;0,SUMIF(куб!$C:$C,$C1266,куб!U:U),IF($B1266&lt;&gt;0,SUMIF(куб!$B:$B,$B1266,куб!U:U))))))</f>
        <v>0</v>
      </c>
      <c r="AL1266" s="16" t="str">
        <f t="shared" si="392"/>
        <v>-</v>
      </c>
      <c r="AM1266" s="8"/>
      <c r="AN1266" s="17" t="str">
        <f t="shared" si="393"/>
        <v xml:space="preserve"> </v>
      </c>
      <c r="AO1266" s="17" t="str">
        <f t="shared" si="394"/>
        <v xml:space="preserve"> </v>
      </c>
      <c r="AP1266" s="16" t="str">
        <f t="shared" si="395"/>
        <v>-</v>
      </c>
      <c r="AQ1266" s="8"/>
      <c r="AR1266" s="17" t="str">
        <f t="shared" si="396"/>
        <v>-</v>
      </c>
      <c r="AS1266" s="17" t="str">
        <f t="shared" si="397"/>
        <v>-</v>
      </c>
      <c r="AT1266" s="13" t="str">
        <f t="shared" si="398"/>
        <v>-</v>
      </c>
      <c r="AU1266" s="8"/>
    </row>
    <row r="1267" spans="8:47" x14ac:dyDescent="0.25">
      <c r="H1267" s="27">
        <f>IF($G1267&lt;&gt;0,SUMIF(куб!$G:$G,$G1267,куб!H:H),IF($E1267&lt;&gt;0,SUMIF(куб!$E:$E,$E1267,куб!H:H),IF($D1267&lt;&gt;0,SUMIF(куб!$D:$D,$D1267,куб!H:H),IF($C1267&lt;&gt;0,SUMIF(куб!$C:$C,$C1267,куб!H:H),IF($B1267&lt;&gt;0,SUMIF(куб!$B:$B,$B1267,куб!H:H),IF($G1267&lt;&gt;0,SUMIF(куб!$A:$A,$G1267,куб!H:H),SUMIF(куб!$A:$A,$G1267,куб!H:H)))))))</f>
        <v>0</v>
      </c>
      <c r="I1267" s="27">
        <f>IF($G1267&lt;&gt;0,SUMIF(куб!$G:$G,$G1267,куб!I:I),IF($E1267&lt;&gt;0,SUMIF(куб!$E:$E,$E1267,куб!I:I),IF($D1267&lt;&gt;0,SUMIF(куб!$D:$D,$D1267,куб!I:I),IF($C1267&lt;&gt;0,SUMIF(куб!$C:$C,$C1267,куб!I:I),IF($B1267&lt;&gt;0,SUMIF(куб!$B:$B,$B1267,куб!I:I),IF($G1267&lt;&gt;0,SUMIF(куб!$A:$A,$G1267,куб!I:I),SUMIF(куб!$A:$A,$G1267,куб!I:I)))))))</f>
        <v>0</v>
      </c>
      <c r="J1267" s="19" t="str">
        <f t="shared" si="381"/>
        <v>-</v>
      </c>
      <c r="K1267" s="8"/>
      <c r="L1267" s="17">
        <f t="shared" si="382"/>
        <v>0</v>
      </c>
      <c r="M1267" s="17">
        <f t="shared" si="383"/>
        <v>0</v>
      </c>
      <c r="N1267" s="12">
        <f t="shared" si="384"/>
        <v>0</v>
      </c>
      <c r="O1267" s="5"/>
      <c r="P1267" s="27" t="b">
        <f>IF($G1267&lt;&gt;0,SUMIF(куб!$G:$G,$G1267,куб!J:J),IF($E1267&lt;&gt;0,SUMIF(куб!$E:$E,$E1267,куб!J:J),IF($D1267&lt;&gt;0,SUMIF(куб!$D:$D,$D1267,куб!J:J),IF($C1267&lt;&gt;0,SUMIF(куб!$C:$C,$C1267,куб!J:J),IF($B1267&lt;&gt;0,SUMIF(куб!$B:$B,$B1267,куб!J:J))))))</f>
        <v>0</v>
      </c>
      <c r="Q1267" s="27" t="b">
        <f>IF($G1267&lt;&gt;0,SUMIF(куб!$G:$G,$G1267,куб!K:K),IF($E1267&lt;&gt;0,SUMIF(куб!$E:$E,$E1267,куб!K:K),IF($D1267&lt;&gt;0,SUMIF(куб!$D:$D,$D1267,куб!K:K),IF($C1267&lt;&gt;0,SUMIF(куб!$C:$C,$C1267,куб!K:K),IF($B1267&lt;&gt;0,SUMIF(куб!$B:$B,$B1267,куб!K:K))))))</f>
        <v>0</v>
      </c>
      <c r="R1267" s="13" t="str">
        <f t="shared" si="385"/>
        <v>-</v>
      </c>
      <c r="S1267" s="5"/>
      <c r="T1267" s="27" t="b">
        <f>IF($G1267&lt;&gt;0,SUMIF(куб!$G:$G,$G1267,куб!L:L),IF($E1267&lt;&gt;0,SUMIF(куб!$E:$E,$E1267,куб!L:L),IF($D1267&lt;&gt;0,SUMIF(куб!$D:$D,$D1267,куб!L:L),IF($C1267&lt;&gt;0,SUMIF(куб!$C:$C,$C1267,куб!L:L),IF($B1267&lt;&gt;0,SUMIF(куб!$B:$B,$B1267,куб!L:L))))))</f>
        <v>0</v>
      </c>
      <c r="U1267" s="27" t="b">
        <f>IF($G1267&lt;&gt;0,SUMIF(куб!$G:$G,$G1267,куб!M:M),IF($E1267&lt;&gt;0,SUMIF(куб!$E:$E,$E1267,куб!M:M),IF($D1267&lt;&gt;0,SUMIF(куб!$D:$D,$D1267,куб!M:M),IF($C1267&lt;&gt;0,SUMIF(куб!$C:$C,$C1267,куб!M:M),IF($B1267&lt;&gt;0,SUMIF(куб!$B:$B,$B1267,куб!M:M))))))</f>
        <v>0</v>
      </c>
      <c r="V1267" s="13" t="str">
        <f t="shared" si="386"/>
        <v>-</v>
      </c>
      <c r="W1267" s="5"/>
      <c r="X1267" s="27" t="b">
        <f>IF($G1267&lt;&gt;0,SUMIF(куб!$G:$G,$G1267,куб!N:N),IF($E1267&lt;&gt;0,SUMIF(куб!$E:$E,$E1267,куб!N:N),IF($D1267&lt;&gt;0,SUMIF(куб!$D:$D,$D1267,куб!N:N),IF($C1267&lt;&gt;0,SUMIF(куб!$C:$C,$C1267,куб!N:N),IF($B1267&lt;&gt;0,SUMIF(куб!$B:$B,$B1267,куб!N:N))))))</f>
        <v>0</v>
      </c>
      <c r="Y1267" s="27" t="b">
        <f>IF($G1267&lt;&gt;0,SUMIF(куб!$G:$G,$G1267,куб!O:O),IF($E1267&lt;&gt;0,SUMIF(куб!$E:$E,$E1267,куб!O:O),IF($D1267&lt;&gt;0,SUMIF(куб!$D:$D,$D1267,куб!O:O),IF($C1267&lt;&gt;0,SUMIF(куб!$C:$C,$C1267,куб!O:O),IF($B1267&lt;&gt;0,SUMIF(куб!$B:$B,$B1267,куб!O:O))))))</f>
        <v>0</v>
      </c>
      <c r="Z1267" s="13" t="str">
        <f t="shared" si="387"/>
        <v>-</v>
      </c>
      <c r="AA1267" s="5"/>
      <c r="AB1267" s="33" t="str">
        <f t="shared" si="388"/>
        <v/>
      </c>
      <c r="AC1267" s="33" t="str">
        <f t="shared" si="389"/>
        <v/>
      </c>
      <c r="AD1267" s="15" t="str">
        <f t="shared" si="390"/>
        <v xml:space="preserve"> </v>
      </c>
      <c r="AE1267" s="5"/>
      <c r="AF1267" s="27" t="b">
        <f>IF($G1267&lt;&gt;0,SUMIF(куб!$G:$G,$G1267,куб!R:R),IF($E1267&lt;&gt;0,SUMIF(куб!$E:$E,$E1267,куб!R:R),IF($D1267&lt;&gt;0,SUMIF(куб!$D:$D,$D1267,куб!R:R),IF($C1267&lt;&gt;0,SUMIF(куб!$C:$C,$C1267,куб!R:R),IF($B1267&lt;&gt;0,SUMIF(куб!$B:$B,$B1267,куб!R:R))))))</f>
        <v>0</v>
      </c>
      <c r="AG1267" s="27" t="b">
        <f>IF($G1267&lt;&gt;0,SUMIF(куб!$G:$G,$G1267,куб!S:S),IF($E1267&lt;&gt;0,SUMIF(куб!$E:$E,$E1267,куб!S:S),IF($D1267&lt;&gt;0,SUMIF(куб!$D:$D,$D1267,куб!S:S),IF($C1267&lt;&gt;0,SUMIF(куб!$C:$C,$C1267,куб!S:S),IF($B1267&lt;&gt;0,SUMIF(куб!$B:$B,$B1267,куб!S:S))))))</f>
        <v>0</v>
      </c>
      <c r="AH1267" s="16" t="str">
        <f t="shared" si="391"/>
        <v>-</v>
      </c>
      <c r="AI1267" s="8"/>
      <c r="AJ1267" s="27" t="b">
        <f>IF($G1267&lt;&gt;0,SUMIF(куб!$G:$G,$G1267,куб!T:T),IF($E1267&lt;&gt;0,SUMIF(куб!$E:$E,$E1267,куб!T:T),IF($D1267&lt;&gt;0,SUMIF(куб!$D:$D,$D1267,куб!T:T),IF($C1267&lt;&gt;0,SUMIF(куб!$C:$C,$C1267,куб!T:T),IF($B1267&lt;&gt;0,SUMIF(куб!$B:$B,$B1267,куб!T:T))))))</f>
        <v>0</v>
      </c>
      <c r="AK1267" s="27" t="b">
        <f>IF($G1267&lt;&gt;0,SUMIF(куб!$G:$G,$G1267,куб!U:U),IF($E1267&lt;&gt;0,SUMIF(куб!$E:$E,$E1267,куб!U:U),IF($D1267&lt;&gt;0,SUMIF(куб!$D:$D,$D1267,куб!U:U),IF($C1267&lt;&gt;0,SUMIF(куб!$C:$C,$C1267,куб!U:U),IF($B1267&lt;&gt;0,SUMIF(куб!$B:$B,$B1267,куб!U:U))))))</f>
        <v>0</v>
      </c>
      <c r="AL1267" s="16" t="str">
        <f t="shared" si="392"/>
        <v>-</v>
      </c>
      <c r="AM1267" s="8"/>
      <c r="AN1267" s="17" t="str">
        <f t="shared" si="393"/>
        <v xml:space="preserve"> </v>
      </c>
      <c r="AO1267" s="17" t="str">
        <f t="shared" si="394"/>
        <v xml:space="preserve"> </v>
      </c>
      <c r="AP1267" s="16" t="str">
        <f t="shared" si="395"/>
        <v>-</v>
      </c>
      <c r="AQ1267" s="8"/>
      <c r="AR1267" s="17" t="str">
        <f t="shared" si="396"/>
        <v>-</v>
      </c>
      <c r="AS1267" s="17" t="str">
        <f t="shared" si="397"/>
        <v>-</v>
      </c>
      <c r="AT1267" s="13" t="str">
        <f t="shared" si="398"/>
        <v>-</v>
      </c>
      <c r="AU1267" s="8"/>
    </row>
    <row r="1268" spans="8:47" x14ac:dyDescent="0.25">
      <c r="H1268" s="27">
        <f>IF($G1268&lt;&gt;0,SUMIF(куб!$G:$G,$G1268,куб!H:H),IF($E1268&lt;&gt;0,SUMIF(куб!$E:$E,$E1268,куб!H:H),IF($D1268&lt;&gt;0,SUMIF(куб!$D:$D,$D1268,куб!H:H),IF($C1268&lt;&gt;0,SUMIF(куб!$C:$C,$C1268,куб!H:H),IF($B1268&lt;&gt;0,SUMIF(куб!$B:$B,$B1268,куб!H:H),IF($G1268&lt;&gt;0,SUMIF(куб!$A:$A,$G1268,куб!H:H),SUMIF(куб!$A:$A,$G1268,куб!H:H)))))))</f>
        <v>0</v>
      </c>
      <c r="I1268" s="27">
        <f>IF($G1268&lt;&gt;0,SUMIF(куб!$G:$G,$G1268,куб!I:I),IF($E1268&lt;&gt;0,SUMIF(куб!$E:$E,$E1268,куб!I:I),IF($D1268&lt;&gt;0,SUMIF(куб!$D:$D,$D1268,куб!I:I),IF($C1268&lt;&gt;0,SUMIF(куб!$C:$C,$C1268,куб!I:I),IF($B1268&lt;&gt;0,SUMIF(куб!$B:$B,$B1268,куб!I:I),IF($G1268&lt;&gt;0,SUMIF(куб!$A:$A,$G1268,куб!I:I),SUMIF(куб!$A:$A,$G1268,куб!I:I)))))))</f>
        <v>0</v>
      </c>
      <c r="J1268" s="19" t="str">
        <f t="shared" si="381"/>
        <v>-</v>
      </c>
      <c r="K1268" s="8"/>
      <c r="L1268" s="17">
        <f t="shared" si="382"/>
        <v>0</v>
      </c>
      <c r="M1268" s="17">
        <f t="shared" si="383"/>
        <v>0</v>
      </c>
      <c r="N1268" s="12">
        <f t="shared" si="384"/>
        <v>0</v>
      </c>
      <c r="O1268" s="5"/>
      <c r="P1268" s="27" t="b">
        <f>IF($G1268&lt;&gt;0,SUMIF(куб!$G:$G,$G1268,куб!J:J),IF($E1268&lt;&gt;0,SUMIF(куб!$E:$E,$E1268,куб!J:J),IF($D1268&lt;&gt;0,SUMIF(куб!$D:$D,$D1268,куб!J:J),IF($C1268&lt;&gt;0,SUMIF(куб!$C:$C,$C1268,куб!J:J),IF($B1268&lt;&gt;0,SUMIF(куб!$B:$B,$B1268,куб!J:J))))))</f>
        <v>0</v>
      </c>
      <c r="Q1268" s="27" t="b">
        <f>IF($G1268&lt;&gt;0,SUMIF(куб!$G:$G,$G1268,куб!K:K),IF($E1268&lt;&gt;0,SUMIF(куб!$E:$E,$E1268,куб!K:K),IF($D1268&lt;&gt;0,SUMIF(куб!$D:$D,$D1268,куб!K:K),IF($C1268&lt;&gt;0,SUMIF(куб!$C:$C,$C1268,куб!K:K),IF($B1268&lt;&gt;0,SUMIF(куб!$B:$B,$B1268,куб!K:K))))))</f>
        <v>0</v>
      </c>
      <c r="R1268" s="13" t="str">
        <f t="shared" si="385"/>
        <v>-</v>
      </c>
      <c r="S1268" s="5"/>
      <c r="T1268" s="27" t="b">
        <f>IF($G1268&lt;&gt;0,SUMIF(куб!$G:$G,$G1268,куб!L:L),IF($E1268&lt;&gt;0,SUMIF(куб!$E:$E,$E1268,куб!L:L),IF($D1268&lt;&gt;0,SUMIF(куб!$D:$D,$D1268,куб!L:L),IF($C1268&lt;&gt;0,SUMIF(куб!$C:$C,$C1268,куб!L:L),IF($B1268&lt;&gt;0,SUMIF(куб!$B:$B,$B1268,куб!L:L))))))</f>
        <v>0</v>
      </c>
      <c r="U1268" s="27" t="b">
        <f>IF($G1268&lt;&gt;0,SUMIF(куб!$G:$G,$G1268,куб!M:M),IF($E1268&lt;&gt;0,SUMIF(куб!$E:$E,$E1268,куб!M:M),IF($D1268&lt;&gt;0,SUMIF(куб!$D:$D,$D1268,куб!M:M),IF($C1268&lt;&gt;0,SUMIF(куб!$C:$C,$C1268,куб!M:M),IF($B1268&lt;&gt;0,SUMIF(куб!$B:$B,$B1268,куб!M:M))))))</f>
        <v>0</v>
      </c>
      <c r="V1268" s="13" t="str">
        <f t="shared" si="386"/>
        <v>-</v>
      </c>
      <c r="W1268" s="5"/>
      <c r="X1268" s="27" t="b">
        <f>IF($G1268&lt;&gt;0,SUMIF(куб!$G:$G,$G1268,куб!N:N),IF($E1268&lt;&gt;0,SUMIF(куб!$E:$E,$E1268,куб!N:N),IF($D1268&lt;&gt;0,SUMIF(куб!$D:$D,$D1268,куб!N:N),IF($C1268&lt;&gt;0,SUMIF(куб!$C:$C,$C1268,куб!N:N),IF($B1268&lt;&gt;0,SUMIF(куб!$B:$B,$B1268,куб!N:N))))))</f>
        <v>0</v>
      </c>
      <c r="Y1268" s="27" t="b">
        <f>IF($G1268&lt;&gt;0,SUMIF(куб!$G:$G,$G1268,куб!O:O),IF($E1268&lt;&gt;0,SUMIF(куб!$E:$E,$E1268,куб!O:O),IF($D1268&lt;&gt;0,SUMIF(куб!$D:$D,$D1268,куб!O:O),IF($C1268&lt;&gt;0,SUMIF(куб!$C:$C,$C1268,куб!O:O),IF($B1268&lt;&gt;0,SUMIF(куб!$B:$B,$B1268,куб!O:O))))))</f>
        <v>0</v>
      </c>
      <c r="Z1268" s="13" t="str">
        <f t="shared" si="387"/>
        <v>-</v>
      </c>
      <c r="AA1268" s="5"/>
      <c r="AB1268" s="33" t="str">
        <f t="shared" si="388"/>
        <v/>
      </c>
      <c r="AC1268" s="33" t="str">
        <f t="shared" si="389"/>
        <v/>
      </c>
      <c r="AD1268" s="15" t="str">
        <f t="shared" si="390"/>
        <v xml:space="preserve"> </v>
      </c>
      <c r="AE1268" s="5"/>
      <c r="AF1268" s="27" t="b">
        <f>IF($G1268&lt;&gt;0,SUMIF(куб!$G:$G,$G1268,куб!R:R),IF($E1268&lt;&gt;0,SUMIF(куб!$E:$E,$E1268,куб!R:R),IF($D1268&lt;&gt;0,SUMIF(куб!$D:$D,$D1268,куб!R:R),IF($C1268&lt;&gt;0,SUMIF(куб!$C:$C,$C1268,куб!R:R),IF($B1268&lt;&gt;0,SUMIF(куб!$B:$B,$B1268,куб!R:R))))))</f>
        <v>0</v>
      </c>
      <c r="AG1268" s="27" t="b">
        <f>IF($G1268&lt;&gt;0,SUMIF(куб!$G:$G,$G1268,куб!S:S),IF($E1268&lt;&gt;0,SUMIF(куб!$E:$E,$E1268,куб!S:S),IF($D1268&lt;&gt;0,SUMIF(куб!$D:$D,$D1268,куб!S:S),IF($C1268&lt;&gt;0,SUMIF(куб!$C:$C,$C1268,куб!S:S),IF($B1268&lt;&gt;0,SUMIF(куб!$B:$B,$B1268,куб!S:S))))))</f>
        <v>0</v>
      </c>
      <c r="AH1268" s="16" t="str">
        <f t="shared" si="391"/>
        <v>-</v>
      </c>
      <c r="AI1268" s="8"/>
      <c r="AJ1268" s="27" t="b">
        <f>IF($G1268&lt;&gt;0,SUMIF(куб!$G:$G,$G1268,куб!T:T),IF($E1268&lt;&gt;0,SUMIF(куб!$E:$E,$E1268,куб!T:T),IF($D1268&lt;&gt;0,SUMIF(куб!$D:$D,$D1268,куб!T:T),IF($C1268&lt;&gt;0,SUMIF(куб!$C:$C,$C1268,куб!T:T),IF($B1268&lt;&gt;0,SUMIF(куб!$B:$B,$B1268,куб!T:T))))))</f>
        <v>0</v>
      </c>
      <c r="AK1268" s="27" t="b">
        <f>IF($G1268&lt;&gt;0,SUMIF(куб!$G:$G,$G1268,куб!U:U),IF($E1268&lt;&gt;0,SUMIF(куб!$E:$E,$E1268,куб!U:U),IF($D1268&lt;&gt;0,SUMIF(куб!$D:$D,$D1268,куб!U:U),IF($C1268&lt;&gt;0,SUMIF(куб!$C:$C,$C1268,куб!U:U),IF($B1268&lt;&gt;0,SUMIF(куб!$B:$B,$B1268,куб!U:U))))))</f>
        <v>0</v>
      </c>
      <c r="AL1268" s="16" t="str">
        <f t="shared" si="392"/>
        <v>-</v>
      </c>
      <c r="AM1268" s="8"/>
      <c r="AN1268" s="17" t="str">
        <f t="shared" si="393"/>
        <v xml:space="preserve"> </v>
      </c>
      <c r="AO1268" s="17" t="str">
        <f t="shared" si="394"/>
        <v xml:space="preserve"> </v>
      </c>
      <c r="AP1268" s="16" t="str">
        <f t="shared" si="395"/>
        <v>-</v>
      </c>
      <c r="AQ1268" s="8"/>
      <c r="AR1268" s="17" t="str">
        <f t="shared" si="396"/>
        <v>-</v>
      </c>
      <c r="AS1268" s="17" t="str">
        <f t="shared" si="397"/>
        <v>-</v>
      </c>
      <c r="AT1268" s="13" t="str">
        <f t="shared" si="398"/>
        <v>-</v>
      </c>
      <c r="AU1268" s="8"/>
    </row>
    <row r="1269" spans="8:47" x14ac:dyDescent="0.25">
      <c r="H1269" s="27">
        <f>IF($G1269&lt;&gt;0,SUMIF(куб!$G:$G,$G1269,куб!H:H),IF($E1269&lt;&gt;0,SUMIF(куб!$E:$E,$E1269,куб!H:H),IF($D1269&lt;&gt;0,SUMIF(куб!$D:$D,$D1269,куб!H:H),IF($C1269&lt;&gt;0,SUMIF(куб!$C:$C,$C1269,куб!H:H),IF($B1269&lt;&gt;0,SUMIF(куб!$B:$B,$B1269,куб!H:H),IF($G1269&lt;&gt;0,SUMIF(куб!$A:$A,$G1269,куб!H:H),SUMIF(куб!$A:$A,$G1269,куб!H:H)))))))</f>
        <v>0</v>
      </c>
      <c r="I1269" s="27">
        <f>IF($G1269&lt;&gt;0,SUMIF(куб!$G:$G,$G1269,куб!I:I),IF($E1269&lt;&gt;0,SUMIF(куб!$E:$E,$E1269,куб!I:I),IF($D1269&lt;&gt;0,SUMIF(куб!$D:$D,$D1269,куб!I:I),IF($C1269&lt;&gt;0,SUMIF(куб!$C:$C,$C1269,куб!I:I),IF($B1269&lt;&gt;0,SUMIF(куб!$B:$B,$B1269,куб!I:I),IF($G1269&lt;&gt;0,SUMIF(куб!$A:$A,$G1269,куб!I:I),SUMIF(куб!$A:$A,$G1269,куб!I:I)))))))</f>
        <v>0</v>
      </c>
      <c r="J1269" s="19" t="str">
        <f t="shared" si="381"/>
        <v>-</v>
      </c>
      <c r="K1269" s="8"/>
      <c r="L1269" s="17">
        <f t="shared" si="382"/>
        <v>0</v>
      </c>
      <c r="M1269" s="17">
        <f t="shared" si="383"/>
        <v>0</v>
      </c>
      <c r="N1269" s="12">
        <f t="shared" si="384"/>
        <v>0</v>
      </c>
      <c r="O1269" s="5"/>
      <c r="P1269" s="27" t="b">
        <f>IF($G1269&lt;&gt;0,SUMIF(куб!$G:$G,$G1269,куб!J:J),IF($E1269&lt;&gt;0,SUMIF(куб!$E:$E,$E1269,куб!J:J),IF($D1269&lt;&gt;0,SUMIF(куб!$D:$D,$D1269,куб!J:J),IF($C1269&lt;&gt;0,SUMIF(куб!$C:$C,$C1269,куб!J:J),IF($B1269&lt;&gt;0,SUMIF(куб!$B:$B,$B1269,куб!J:J))))))</f>
        <v>0</v>
      </c>
      <c r="Q1269" s="27" t="b">
        <f>IF($G1269&lt;&gt;0,SUMIF(куб!$G:$G,$G1269,куб!K:K),IF($E1269&lt;&gt;0,SUMIF(куб!$E:$E,$E1269,куб!K:K),IF($D1269&lt;&gt;0,SUMIF(куб!$D:$D,$D1269,куб!K:K),IF($C1269&lt;&gt;0,SUMIF(куб!$C:$C,$C1269,куб!K:K),IF($B1269&lt;&gt;0,SUMIF(куб!$B:$B,$B1269,куб!K:K))))))</f>
        <v>0</v>
      </c>
      <c r="R1269" s="13" t="str">
        <f t="shared" si="385"/>
        <v>-</v>
      </c>
      <c r="S1269" s="5"/>
      <c r="T1269" s="27" t="b">
        <f>IF($G1269&lt;&gt;0,SUMIF(куб!$G:$G,$G1269,куб!L:L),IF($E1269&lt;&gt;0,SUMIF(куб!$E:$E,$E1269,куб!L:L),IF($D1269&lt;&gt;0,SUMIF(куб!$D:$D,$D1269,куб!L:L),IF($C1269&lt;&gt;0,SUMIF(куб!$C:$C,$C1269,куб!L:L),IF($B1269&lt;&gt;0,SUMIF(куб!$B:$B,$B1269,куб!L:L))))))</f>
        <v>0</v>
      </c>
      <c r="U1269" s="27" t="b">
        <f>IF($G1269&lt;&gt;0,SUMIF(куб!$G:$G,$G1269,куб!M:M),IF($E1269&lt;&gt;0,SUMIF(куб!$E:$E,$E1269,куб!M:M),IF($D1269&lt;&gt;0,SUMIF(куб!$D:$D,$D1269,куб!M:M),IF($C1269&lt;&gt;0,SUMIF(куб!$C:$C,$C1269,куб!M:M),IF($B1269&lt;&gt;0,SUMIF(куб!$B:$B,$B1269,куб!M:M))))))</f>
        <v>0</v>
      </c>
      <c r="V1269" s="13" t="str">
        <f t="shared" si="386"/>
        <v>-</v>
      </c>
      <c r="W1269" s="5"/>
      <c r="X1269" s="27" t="b">
        <f>IF($G1269&lt;&gt;0,SUMIF(куб!$G:$G,$G1269,куб!N:N),IF($E1269&lt;&gt;0,SUMIF(куб!$E:$E,$E1269,куб!N:N),IF($D1269&lt;&gt;0,SUMIF(куб!$D:$D,$D1269,куб!N:N),IF($C1269&lt;&gt;0,SUMIF(куб!$C:$C,$C1269,куб!N:N),IF($B1269&lt;&gt;0,SUMIF(куб!$B:$B,$B1269,куб!N:N))))))</f>
        <v>0</v>
      </c>
      <c r="Y1269" s="27" t="b">
        <f>IF($G1269&lt;&gt;0,SUMIF(куб!$G:$G,$G1269,куб!O:O),IF($E1269&lt;&gt;0,SUMIF(куб!$E:$E,$E1269,куб!O:O),IF($D1269&lt;&gt;0,SUMIF(куб!$D:$D,$D1269,куб!O:O),IF($C1269&lt;&gt;0,SUMIF(куб!$C:$C,$C1269,куб!O:O),IF($B1269&lt;&gt;0,SUMIF(куб!$B:$B,$B1269,куб!O:O))))))</f>
        <v>0</v>
      </c>
      <c r="Z1269" s="13" t="str">
        <f t="shared" si="387"/>
        <v>-</v>
      </c>
      <c r="AA1269" s="5"/>
      <c r="AB1269" s="33" t="str">
        <f t="shared" si="388"/>
        <v/>
      </c>
      <c r="AC1269" s="33" t="str">
        <f t="shared" si="389"/>
        <v/>
      </c>
      <c r="AD1269" s="15" t="str">
        <f t="shared" si="390"/>
        <v xml:space="preserve"> </v>
      </c>
      <c r="AE1269" s="5"/>
      <c r="AF1269" s="27" t="b">
        <f>IF($G1269&lt;&gt;0,SUMIF(куб!$G:$G,$G1269,куб!R:R),IF($E1269&lt;&gt;0,SUMIF(куб!$E:$E,$E1269,куб!R:R),IF($D1269&lt;&gt;0,SUMIF(куб!$D:$D,$D1269,куб!R:R),IF($C1269&lt;&gt;0,SUMIF(куб!$C:$C,$C1269,куб!R:R),IF($B1269&lt;&gt;0,SUMIF(куб!$B:$B,$B1269,куб!R:R))))))</f>
        <v>0</v>
      </c>
      <c r="AG1269" s="27" t="b">
        <f>IF($G1269&lt;&gt;0,SUMIF(куб!$G:$G,$G1269,куб!S:S),IF($E1269&lt;&gt;0,SUMIF(куб!$E:$E,$E1269,куб!S:S),IF($D1269&lt;&gt;0,SUMIF(куб!$D:$D,$D1269,куб!S:S),IF($C1269&lt;&gt;0,SUMIF(куб!$C:$C,$C1269,куб!S:S),IF($B1269&lt;&gt;0,SUMIF(куб!$B:$B,$B1269,куб!S:S))))))</f>
        <v>0</v>
      </c>
      <c r="AH1269" s="16" t="str">
        <f t="shared" si="391"/>
        <v>-</v>
      </c>
      <c r="AI1269" s="8"/>
      <c r="AJ1269" s="27" t="b">
        <f>IF($G1269&lt;&gt;0,SUMIF(куб!$G:$G,$G1269,куб!T:T),IF($E1269&lt;&gt;0,SUMIF(куб!$E:$E,$E1269,куб!T:T),IF($D1269&lt;&gt;0,SUMIF(куб!$D:$D,$D1269,куб!T:T),IF($C1269&lt;&gt;0,SUMIF(куб!$C:$C,$C1269,куб!T:T),IF($B1269&lt;&gt;0,SUMIF(куб!$B:$B,$B1269,куб!T:T))))))</f>
        <v>0</v>
      </c>
      <c r="AK1269" s="27" t="b">
        <f>IF($G1269&lt;&gt;0,SUMIF(куб!$G:$G,$G1269,куб!U:U),IF($E1269&lt;&gt;0,SUMIF(куб!$E:$E,$E1269,куб!U:U),IF($D1269&lt;&gt;0,SUMIF(куб!$D:$D,$D1269,куб!U:U),IF($C1269&lt;&gt;0,SUMIF(куб!$C:$C,$C1269,куб!U:U),IF($B1269&lt;&gt;0,SUMIF(куб!$B:$B,$B1269,куб!U:U))))))</f>
        <v>0</v>
      </c>
      <c r="AL1269" s="16" t="str">
        <f t="shared" si="392"/>
        <v>-</v>
      </c>
      <c r="AM1269" s="8"/>
      <c r="AN1269" s="17" t="str">
        <f t="shared" si="393"/>
        <v xml:space="preserve"> </v>
      </c>
      <c r="AO1269" s="17" t="str">
        <f t="shared" si="394"/>
        <v xml:space="preserve"> </v>
      </c>
      <c r="AP1269" s="16" t="str">
        <f t="shared" si="395"/>
        <v>-</v>
      </c>
      <c r="AQ1269" s="8"/>
      <c r="AR1269" s="17" t="str">
        <f t="shared" si="396"/>
        <v>-</v>
      </c>
      <c r="AS1269" s="17" t="str">
        <f t="shared" si="397"/>
        <v>-</v>
      </c>
      <c r="AT1269" s="13" t="str">
        <f t="shared" si="398"/>
        <v>-</v>
      </c>
      <c r="AU1269" s="8"/>
    </row>
    <row r="1270" spans="8:47" x14ac:dyDescent="0.25">
      <c r="H1270" s="27">
        <f>IF($G1270&lt;&gt;0,SUMIF(куб!$G:$G,$G1270,куб!H:H),IF($E1270&lt;&gt;0,SUMIF(куб!$E:$E,$E1270,куб!H:H),IF($D1270&lt;&gt;0,SUMIF(куб!$D:$D,$D1270,куб!H:H),IF($C1270&lt;&gt;0,SUMIF(куб!$C:$C,$C1270,куб!H:H),IF($B1270&lt;&gt;0,SUMIF(куб!$B:$B,$B1270,куб!H:H),IF($G1270&lt;&gt;0,SUMIF(куб!$A:$A,$G1270,куб!H:H),SUMIF(куб!$A:$A,$G1270,куб!H:H)))))))</f>
        <v>0</v>
      </c>
      <c r="I1270" s="27">
        <f>IF($G1270&lt;&gt;0,SUMIF(куб!$G:$G,$G1270,куб!I:I),IF($E1270&lt;&gt;0,SUMIF(куб!$E:$E,$E1270,куб!I:I),IF($D1270&lt;&gt;0,SUMIF(куб!$D:$D,$D1270,куб!I:I),IF($C1270&lt;&gt;0,SUMIF(куб!$C:$C,$C1270,куб!I:I),IF($B1270&lt;&gt;0,SUMIF(куб!$B:$B,$B1270,куб!I:I),IF($G1270&lt;&gt;0,SUMIF(куб!$A:$A,$G1270,куб!I:I),SUMIF(куб!$A:$A,$G1270,куб!I:I)))))))</f>
        <v>0</v>
      </c>
      <c r="J1270" s="19" t="str">
        <f t="shared" si="381"/>
        <v>-</v>
      </c>
      <c r="K1270" s="8"/>
      <c r="L1270" s="17">
        <f t="shared" si="382"/>
        <v>0</v>
      </c>
      <c r="M1270" s="17">
        <f t="shared" si="383"/>
        <v>0</v>
      </c>
      <c r="N1270" s="12">
        <f t="shared" si="384"/>
        <v>0</v>
      </c>
      <c r="O1270" s="5"/>
      <c r="P1270" s="27" t="b">
        <f>IF($G1270&lt;&gt;0,SUMIF(куб!$G:$G,$G1270,куб!J:J),IF($E1270&lt;&gt;0,SUMIF(куб!$E:$E,$E1270,куб!J:J),IF($D1270&lt;&gt;0,SUMIF(куб!$D:$D,$D1270,куб!J:J),IF($C1270&lt;&gt;0,SUMIF(куб!$C:$C,$C1270,куб!J:J),IF($B1270&lt;&gt;0,SUMIF(куб!$B:$B,$B1270,куб!J:J))))))</f>
        <v>0</v>
      </c>
      <c r="Q1270" s="27" t="b">
        <f>IF($G1270&lt;&gt;0,SUMIF(куб!$G:$G,$G1270,куб!K:K),IF($E1270&lt;&gt;0,SUMIF(куб!$E:$E,$E1270,куб!K:K),IF($D1270&lt;&gt;0,SUMIF(куб!$D:$D,$D1270,куб!K:K),IF($C1270&lt;&gt;0,SUMIF(куб!$C:$C,$C1270,куб!K:K),IF($B1270&lt;&gt;0,SUMIF(куб!$B:$B,$B1270,куб!K:K))))))</f>
        <v>0</v>
      </c>
      <c r="R1270" s="13" t="str">
        <f t="shared" si="385"/>
        <v>-</v>
      </c>
      <c r="S1270" s="5"/>
      <c r="T1270" s="27" t="b">
        <f>IF($G1270&lt;&gt;0,SUMIF(куб!$G:$G,$G1270,куб!L:L),IF($E1270&lt;&gt;0,SUMIF(куб!$E:$E,$E1270,куб!L:L),IF($D1270&lt;&gt;0,SUMIF(куб!$D:$D,$D1270,куб!L:L),IF($C1270&lt;&gt;0,SUMIF(куб!$C:$C,$C1270,куб!L:L),IF($B1270&lt;&gt;0,SUMIF(куб!$B:$B,$B1270,куб!L:L))))))</f>
        <v>0</v>
      </c>
      <c r="U1270" s="27" t="b">
        <f>IF($G1270&lt;&gt;0,SUMIF(куб!$G:$G,$G1270,куб!M:M),IF($E1270&lt;&gt;0,SUMIF(куб!$E:$E,$E1270,куб!M:M),IF($D1270&lt;&gt;0,SUMIF(куб!$D:$D,$D1270,куб!M:M),IF($C1270&lt;&gt;0,SUMIF(куб!$C:$C,$C1270,куб!M:M),IF($B1270&lt;&gt;0,SUMIF(куб!$B:$B,$B1270,куб!M:M))))))</f>
        <v>0</v>
      </c>
      <c r="V1270" s="13" t="str">
        <f t="shared" si="386"/>
        <v>-</v>
      </c>
      <c r="W1270" s="5"/>
      <c r="X1270" s="27" t="b">
        <f>IF($G1270&lt;&gt;0,SUMIF(куб!$G:$G,$G1270,куб!N:N),IF($E1270&lt;&gt;0,SUMIF(куб!$E:$E,$E1270,куб!N:N),IF($D1270&lt;&gt;0,SUMIF(куб!$D:$D,$D1270,куб!N:N),IF($C1270&lt;&gt;0,SUMIF(куб!$C:$C,$C1270,куб!N:N),IF($B1270&lt;&gt;0,SUMIF(куб!$B:$B,$B1270,куб!N:N))))))</f>
        <v>0</v>
      </c>
      <c r="Y1270" s="27" t="b">
        <f>IF($G1270&lt;&gt;0,SUMIF(куб!$G:$G,$G1270,куб!O:O),IF($E1270&lt;&gt;0,SUMIF(куб!$E:$E,$E1270,куб!O:O),IF($D1270&lt;&gt;0,SUMIF(куб!$D:$D,$D1270,куб!O:O),IF($C1270&lt;&gt;0,SUMIF(куб!$C:$C,$C1270,куб!O:O),IF($B1270&lt;&gt;0,SUMIF(куб!$B:$B,$B1270,куб!O:O))))))</f>
        <v>0</v>
      </c>
      <c r="Z1270" s="13" t="str">
        <f t="shared" si="387"/>
        <v>-</v>
      </c>
      <c r="AA1270" s="5"/>
      <c r="AB1270" s="33" t="str">
        <f t="shared" si="388"/>
        <v/>
      </c>
      <c r="AC1270" s="33" t="str">
        <f t="shared" si="389"/>
        <v/>
      </c>
      <c r="AD1270" s="15" t="str">
        <f t="shared" si="390"/>
        <v xml:space="preserve"> </v>
      </c>
      <c r="AE1270" s="5"/>
      <c r="AF1270" s="27" t="b">
        <f>IF($G1270&lt;&gt;0,SUMIF(куб!$G:$G,$G1270,куб!R:R),IF($E1270&lt;&gt;0,SUMIF(куб!$E:$E,$E1270,куб!R:R),IF($D1270&lt;&gt;0,SUMIF(куб!$D:$D,$D1270,куб!R:R),IF($C1270&lt;&gt;0,SUMIF(куб!$C:$C,$C1270,куб!R:R),IF($B1270&lt;&gt;0,SUMIF(куб!$B:$B,$B1270,куб!R:R))))))</f>
        <v>0</v>
      </c>
      <c r="AG1270" s="27" t="b">
        <f>IF($G1270&lt;&gt;0,SUMIF(куб!$G:$G,$G1270,куб!S:S),IF($E1270&lt;&gt;0,SUMIF(куб!$E:$E,$E1270,куб!S:S),IF($D1270&lt;&gt;0,SUMIF(куб!$D:$D,$D1270,куб!S:S),IF($C1270&lt;&gt;0,SUMIF(куб!$C:$C,$C1270,куб!S:S),IF($B1270&lt;&gt;0,SUMIF(куб!$B:$B,$B1270,куб!S:S))))))</f>
        <v>0</v>
      </c>
      <c r="AH1270" s="16" t="str">
        <f t="shared" si="391"/>
        <v>-</v>
      </c>
      <c r="AI1270" s="8"/>
      <c r="AJ1270" s="27" t="b">
        <f>IF($G1270&lt;&gt;0,SUMIF(куб!$G:$G,$G1270,куб!T:T),IF($E1270&lt;&gt;0,SUMIF(куб!$E:$E,$E1270,куб!T:T),IF($D1270&lt;&gt;0,SUMIF(куб!$D:$D,$D1270,куб!T:T),IF($C1270&lt;&gt;0,SUMIF(куб!$C:$C,$C1270,куб!T:T),IF($B1270&lt;&gt;0,SUMIF(куб!$B:$B,$B1270,куб!T:T))))))</f>
        <v>0</v>
      </c>
      <c r="AK1270" s="27" t="b">
        <f>IF($G1270&lt;&gt;0,SUMIF(куб!$G:$G,$G1270,куб!U:U),IF($E1270&lt;&gt;0,SUMIF(куб!$E:$E,$E1270,куб!U:U),IF($D1270&lt;&gt;0,SUMIF(куб!$D:$D,$D1270,куб!U:U),IF($C1270&lt;&gt;0,SUMIF(куб!$C:$C,$C1270,куб!U:U),IF($B1270&lt;&gt;0,SUMIF(куб!$B:$B,$B1270,куб!U:U))))))</f>
        <v>0</v>
      </c>
      <c r="AL1270" s="16" t="str">
        <f t="shared" si="392"/>
        <v>-</v>
      </c>
      <c r="AM1270" s="8"/>
      <c r="AN1270" s="17" t="str">
        <f t="shared" si="393"/>
        <v xml:space="preserve"> </v>
      </c>
      <c r="AO1270" s="17" t="str">
        <f t="shared" si="394"/>
        <v xml:space="preserve"> </v>
      </c>
      <c r="AP1270" s="16" t="str">
        <f t="shared" si="395"/>
        <v>-</v>
      </c>
      <c r="AQ1270" s="8"/>
      <c r="AR1270" s="17" t="str">
        <f t="shared" si="396"/>
        <v>-</v>
      </c>
      <c r="AS1270" s="17" t="str">
        <f t="shared" si="397"/>
        <v>-</v>
      </c>
      <c r="AT1270" s="13" t="str">
        <f t="shared" si="398"/>
        <v>-</v>
      </c>
      <c r="AU1270" s="8"/>
    </row>
    <row r="1271" spans="8:47" x14ac:dyDescent="0.25">
      <c r="H1271" s="27">
        <f>IF($G1271&lt;&gt;0,SUMIF(куб!$G:$G,$G1271,куб!H:H),IF($E1271&lt;&gt;0,SUMIF(куб!$E:$E,$E1271,куб!H:H),IF($D1271&lt;&gt;0,SUMIF(куб!$D:$D,$D1271,куб!H:H),IF($C1271&lt;&gt;0,SUMIF(куб!$C:$C,$C1271,куб!H:H),IF($B1271&lt;&gt;0,SUMIF(куб!$B:$B,$B1271,куб!H:H),IF($G1271&lt;&gt;0,SUMIF(куб!$A:$A,$G1271,куб!H:H),SUMIF(куб!$A:$A,$G1271,куб!H:H)))))))</f>
        <v>0</v>
      </c>
      <c r="I1271" s="27">
        <f>IF($G1271&lt;&gt;0,SUMIF(куб!$G:$G,$G1271,куб!I:I),IF($E1271&lt;&gt;0,SUMIF(куб!$E:$E,$E1271,куб!I:I),IF($D1271&lt;&gt;0,SUMIF(куб!$D:$D,$D1271,куб!I:I),IF($C1271&lt;&gt;0,SUMIF(куб!$C:$C,$C1271,куб!I:I),IF($B1271&lt;&gt;0,SUMIF(куб!$B:$B,$B1271,куб!I:I),IF($G1271&lt;&gt;0,SUMIF(куб!$A:$A,$G1271,куб!I:I),SUMIF(куб!$A:$A,$G1271,куб!I:I)))))))</f>
        <v>0</v>
      </c>
      <c r="J1271" s="19" t="str">
        <f t="shared" si="381"/>
        <v>-</v>
      </c>
      <c r="K1271" s="8"/>
      <c r="L1271" s="17">
        <f t="shared" si="382"/>
        <v>0</v>
      </c>
      <c r="M1271" s="17">
        <f t="shared" si="383"/>
        <v>0</v>
      </c>
      <c r="N1271" s="12">
        <f t="shared" si="384"/>
        <v>0</v>
      </c>
      <c r="O1271" s="5"/>
      <c r="P1271" s="27" t="b">
        <f>IF($G1271&lt;&gt;0,SUMIF(куб!$G:$G,$G1271,куб!J:J),IF($E1271&lt;&gt;0,SUMIF(куб!$E:$E,$E1271,куб!J:J),IF($D1271&lt;&gt;0,SUMIF(куб!$D:$D,$D1271,куб!J:J),IF($C1271&lt;&gt;0,SUMIF(куб!$C:$C,$C1271,куб!J:J),IF($B1271&lt;&gt;0,SUMIF(куб!$B:$B,$B1271,куб!J:J))))))</f>
        <v>0</v>
      </c>
      <c r="Q1271" s="27" t="b">
        <f>IF($G1271&lt;&gt;0,SUMIF(куб!$G:$G,$G1271,куб!K:K),IF($E1271&lt;&gt;0,SUMIF(куб!$E:$E,$E1271,куб!K:K),IF($D1271&lt;&gt;0,SUMIF(куб!$D:$D,$D1271,куб!K:K),IF($C1271&lt;&gt;0,SUMIF(куб!$C:$C,$C1271,куб!K:K),IF($B1271&lt;&gt;0,SUMIF(куб!$B:$B,$B1271,куб!K:K))))))</f>
        <v>0</v>
      </c>
      <c r="R1271" s="13" t="str">
        <f t="shared" si="385"/>
        <v>-</v>
      </c>
      <c r="S1271" s="5"/>
      <c r="T1271" s="27" t="b">
        <f>IF($G1271&lt;&gt;0,SUMIF(куб!$G:$G,$G1271,куб!L:L),IF($E1271&lt;&gt;0,SUMIF(куб!$E:$E,$E1271,куб!L:L),IF($D1271&lt;&gt;0,SUMIF(куб!$D:$D,$D1271,куб!L:L),IF($C1271&lt;&gt;0,SUMIF(куб!$C:$C,$C1271,куб!L:L),IF($B1271&lt;&gt;0,SUMIF(куб!$B:$B,$B1271,куб!L:L))))))</f>
        <v>0</v>
      </c>
      <c r="U1271" s="27" t="b">
        <f>IF($G1271&lt;&gt;0,SUMIF(куб!$G:$G,$G1271,куб!M:M),IF($E1271&lt;&gt;0,SUMIF(куб!$E:$E,$E1271,куб!M:M),IF($D1271&lt;&gt;0,SUMIF(куб!$D:$D,$D1271,куб!M:M),IF($C1271&lt;&gt;0,SUMIF(куб!$C:$C,$C1271,куб!M:M),IF($B1271&lt;&gt;0,SUMIF(куб!$B:$B,$B1271,куб!M:M))))))</f>
        <v>0</v>
      </c>
      <c r="V1271" s="13" t="str">
        <f t="shared" si="386"/>
        <v>-</v>
      </c>
      <c r="W1271" s="5"/>
      <c r="X1271" s="27" t="b">
        <f>IF($G1271&lt;&gt;0,SUMIF(куб!$G:$G,$G1271,куб!N:N),IF($E1271&lt;&gt;0,SUMIF(куб!$E:$E,$E1271,куб!N:N),IF($D1271&lt;&gt;0,SUMIF(куб!$D:$D,$D1271,куб!N:N),IF($C1271&lt;&gt;0,SUMIF(куб!$C:$C,$C1271,куб!N:N),IF($B1271&lt;&gt;0,SUMIF(куб!$B:$B,$B1271,куб!N:N))))))</f>
        <v>0</v>
      </c>
      <c r="Y1271" s="27" t="b">
        <f>IF($G1271&lt;&gt;0,SUMIF(куб!$G:$G,$G1271,куб!O:O),IF($E1271&lt;&gt;0,SUMIF(куб!$E:$E,$E1271,куб!O:O),IF($D1271&lt;&gt;0,SUMIF(куб!$D:$D,$D1271,куб!O:O),IF($C1271&lt;&gt;0,SUMIF(куб!$C:$C,$C1271,куб!O:O),IF($B1271&lt;&gt;0,SUMIF(куб!$B:$B,$B1271,куб!O:O))))))</f>
        <v>0</v>
      </c>
      <c r="Z1271" s="13" t="str">
        <f t="shared" si="387"/>
        <v>-</v>
      </c>
      <c r="AA1271" s="5"/>
      <c r="AB1271" s="33" t="str">
        <f t="shared" si="388"/>
        <v/>
      </c>
      <c r="AC1271" s="33" t="str">
        <f t="shared" si="389"/>
        <v/>
      </c>
      <c r="AD1271" s="15" t="str">
        <f t="shared" si="390"/>
        <v xml:space="preserve"> </v>
      </c>
      <c r="AE1271" s="5"/>
      <c r="AF1271" s="27" t="b">
        <f>IF($G1271&lt;&gt;0,SUMIF(куб!$G:$G,$G1271,куб!R:R),IF($E1271&lt;&gt;0,SUMIF(куб!$E:$E,$E1271,куб!R:R),IF($D1271&lt;&gt;0,SUMIF(куб!$D:$D,$D1271,куб!R:R),IF($C1271&lt;&gt;0,SUMIF(куб!$C:$C,$C1271,куб!R:R),IF($B1271&lt;&gt;0,SUMIF(куб!$B:$B,$B1271,куб!R:R))))))</f>
        <v>0</v>
      </c>
      <c r="AG1271" s="27" t="b">
        <f>IF($G1271&lt;&gt;0,SUMIF(куб!$G:$G,$G1271,куб!S:S),IF($E1271&lt;&gt;0,SUMIF(куб!$E:$E,$E1271,куб!S:S),IF($D1271&lt;&gt;0,SUMIF(куб!$D:$D,$D1271,куб!S:S),IF($C1271&lt;&gt;0,SUMIF(куб!$C:$C,$C1271,куб!S:S),IF($B1271&lt;&gt;0,SUMIF(куб!$B:$B,$B1271,куб!S:S))))))</f>
        <v>0</v>
      </c>
      <c r="AH1271" s="16" t="str">
        <f t="shared" si="391"/>
        <v>-</v>
      </c>
      <c r="AI1271" s="8"/>
      <c r="AJ1271" s="27" t="b">
        <f>IF($G1271&lt;&gt;0,SUMIF(куб!$G:$G,$G1271,куб!T:T),IF($E1271&lt;&gt;0,SUMIF(куб!$E:$E,$E1271,куб!T:T),IF($D1271&lt;&gt;0,SUMIF(куб!$D:$D,$D1271,куб!T:T),IF($C1271&lt;&gt;0,SUMIF(куб!$C:$C,$C1271,куб!T:T),IF($B1271&lt;&gt;0,SUMIF(куб!$B:$B,$B1271,куб!T:T))))))</f>
        <v>0</v>
      </c>
      <c r="AK1271" s="27" t="b">
        <f>IF($G1271&lt;&gt;0,SUMIF(куб!$G:$G,$G1271,куб!U:U),IF($E1271&lt;&gt;0,SUMIF(куб!$E:$E,$E1271,куб!U:U),IF($D1271&lt;&gt;0,SUMIF(куб!$D:$D,$D1271,куб!U:U),IF($C1271&lt;&gt;0,SUMIF(куб!$C:$C,$C1271,куб!U:U),IF($B1271&lt;&gt;0,SUMIF(куб!$B:$B,$B1271,куб!U:U))))))</f>
        <v>0</v>
      </c>
      <c r="AL1271" s="16" t="str">
        <f t="shared" si="392"/>
        <v>-</v>
      </c>
      <c r="AM1271" s="8"/>
      <c r="AN1271" s="17" t="str">
        <f t="shared" si="393"/>
        <v xml:space="preserve"> </v>
      </c>
      <c r="AO1271" s="17" t="str">
        <f t="shared" si="394"/>
        <v xml:space="preserve"> </v>
      </c>
      <c r="AP1271" s="16" t="str">
        <f t="shared" si="395"/>
        <v>-</v>
      </c>
      <c r="AQ1271" s="8"/>
      <c r="AR1271" s="17" t="str">
        <f t="shared" si="396"/>
        <v>-</v>
      </c>
      <c r="AS1271" s="17" t="str">
        <f t="shared" si="397"/>
        <v>-</v>
      </c>
      <c r="AT1271" s="13" t="str">
        <f t="shared" si="398"/>
        <v>-</v>
      </c>
      <c r="AU1271" s="8"/>
    </row>
    <row r="1272" spans="8:47" x14ac:dyDescent="0.25">
      <c r="H1272" s="27">
        <f>IF($G1272&lt;&gt;0,SUMIF(куб!$G:$G,$G1272,куб!H:H),IF($E1272&lt;&gt;0,SUMIF(куб!$E:$E,$E1272,куб!H:H),IF($D1272&lt;&gt;0,SUMIF(куб!$D:$D,$D1272,куб!H:H),IF($C1272&lt;&gt;0,SUMIF(куб!$C:$C,$C1272,куб!H:H),IF($B1272&lt;&gt;0,SUMIF(куб!$B:$B,$B1272,куб!H:H),IF($G1272&lt;&gt;0,SUMIF(куб!$A:$A,$G1272,куб!H:H),SUMIF(куб!$A:$A,$G1272,куб!H:H)))))))</f>
        <v>0</v>
      </c>
      <c r="I1272" s="27">
        <f>IF($G1272&lt;&gt;0,SUMIF(куб!$G:$G,$G1272,куб!I:I),IF($E1272&lt;&gt;0,SUMIF(куб!$E:$E,$E1272,куб!I:I),IF($D1272&lt;&gt;0,SUMIF(куб!$D:$D,$D1272,куб!I:I),IF($C1272&lt;&gt;0,SUMIF(куб!$C:$C,$C1272,куб!I:I),IF($B1272&lt;&gt;0,SUMIF(куб!$B:$B,$B1272,куб!I:I),IF($G1272&lt;&gt;0,SUMIF(куб!$A:$A,$G1272,куб!I:I),SUMIF(куб!$A:$A,$G1272,куб!I:I)))))))</f>
        <v>0</v>
      </c>
      <c r="J1272" s="19" t="str">
        <f t="shared" ref="J1272:J1323" si="399">IFERROR((I1272-H1272)/ABS(H1272),"-")</f>
        <v>-</v>
      </c>
      <c r="K1272" s="8"/>
      <c r="L1272" s="17">
        <f t="shared" ref="L1272:L1323" si="400">H1272/$H$3</f>
        <v>0</v>
      </c>
      <c r="M1272" s="17">
        <f t="shared" ref="M1272:M1323" si="401">I1272/$I$3</f>
        <v>0</v>
      </c>
      <c r="N1272" s="12">
        <f t="shared" ref="N1272:N1323" si="402">M1272-L1272</f>
        <v>0</v>
      </c>
      <c r="O1272" s="5"/>
      <c r="P1272" s="27" t="b">
        <f>IF($G1272&lt;&gt;0,SUMIF(куб!$G:$G,$G1272,куб!J:J),IF($E1272&lt;&gt;0,SUMIF(куб!$E:$E,$E1272,куб!J:J),IF($D1272&lt;&gt;0,SUMIF(куб!$D:$D,$D1272,куб!J:J),IF($C1272&lt;&gt;0,SUMIF(куб!$C:$C,$C1272,куб!J:J),IF($B1272&lt;&gt;0,SUMIF(куб!$B:$B,$B1272,куб!J:J))))))</f>
        <v>0</v>
      </c>
      <c r="Q1272" s="27" t="b">
        <f>IF($G1272&lt;&gt;0,SUMIF(куб!$G:$G,$G1272,куб!K:K),IF($E1272&lt;&gt;0,SUMIF(куб!$E:$E,$E1272,куб!K:K),IF($D1272&lt;&gt;0,SUMIF(куб!$D:$D,$D1272,куб!K:K),IF($C1272&lt;&gt;0,SUMIF(куб!$C:$C,$C1272,куб!K:K),IF($B1272&lt;&gt;0,SUMIF(куб!$B:$B,$B1272,куб!K:K))))))</f>
        <v>0</v>
      </c>
      <c r="R1272" s="13" t="str">
        <f t="shared" ref="R1272:R1323" si="403">IFERROR((Q1272-P1272)/ABS(P1272),"-")</f>
        <v>-</v>
      </c>
      <c r="S1272" s="5"/>
      <c r="T1272" s="27" t="b">
        <f>IF($G1272&lt;&gt;0,SUMIF(куб!$G:$G,$G1272,куб!L:L),IF($E1272&lt;&gt;0,SUMIF(куб!$E:$E,$E1272,куб!L:L),IF($D1272&lt;&gt;0,SUMIF(куб!$D:$D,$D1272,куб!L:L),IF($C1272&lt;&gt;0,SUMIF(куб!$C:$C,$C1272,куб!L:L),IF($B1272&lt;&gt;0,SUMIF(куб!$B:$B,$B1272,куб!L:L))))))</f>
        <v>0</v>
      </c>
      <c r="U1272" s="27" t="b">
        <f>IF($G1272&lt;&gt;0,SUMIF(куб!$G:$G,$G1272,куб!M:M),IF($E1272&lt;&gt;0,SUMIF(куб!$E:$E,$E1272,куб!M:M),IF($D1272&lt;&gt;0,SUMIF(куб!$D:$D,$D1272,куб!M:M),IF($C1272&lt;&gt;0,SUMIF(куб!$C:$C,$C1272,куб!M:M),IF($B1272&lt;&gt;0,SUMIF(куб!$B:$B,$B1272,куб!M:M))))))</f>
        <v>0</v>
      </c>
      <c r="V1272" s="13" t="str">
        <f t="shared" ref="V1272:V1323" si="404">IFERROR((U1272-T1272)/ABS(T1272),"-")</f>
        <v>-</v>
      </c>
      <c r="W1272" s="5"/>
      <c r="X1272" s="27" t="b">
        <f>IF($G1272&lt;&gt;0,SUMIF(куб!$G:$G,$G1272,куб!N:N),IF($E1272&lt;&gt;0,SUMIF(куб!$E:$E,$E1272,куб!N:N),IF($D1272&lt;&gt;0,SUMIF(куб!$D:$D,$D1272,куб!N:N),IF($C1272&lt;&gt;0,SUMIF(куб!$C:$C,$C1272,куб!N:N),IF($B1272&lt;&gt;0,SUMIF(куб!$B:$B,$B1272,куб!N:N))))))</f>
        <v>0</v>
      </c>
      <c r="Y1272" s="27" t="b">
        <f>IF($G1272&lt;&gt;0,SUMIF(куб!$G:$G,$G1272,куб!O:O),IF($E1272&lt;&gt;0,SUMIF(куб!$E:$E,$E1272,куб!O:O),IF($D1272&lt;&gt;0,SUMIF(куб!$D:$D,$D1272,куб!O:O),IF($C1272&lt;&gt;0,SUMIF(куб!$C:$C,$C1272,куб!O:O),IF($B1272&lt;&gt;0,SUMIF(куб!$B:$B,$B1272,куб!O:O))))))</f>
        <v>0</v>
      </c>
      <c r="Z1272" s="13" t="str">
        <f t="shared" ref="Z1272:Z1323" si="405">IFERROR((Y1272-X1272)/ABS(X1272),"-")</f>
        <v>-</v>
      </c>
      <c r="AA1272" s="5"/>
      <c r="AB1272" s="33" t="str">
        <f t="shared" ref="AB1272:AB1323" si="406">IFERROR(X1272/H1272,"")</f>
        <v/>
      </c>
      <c r="AC1272" s="33" t="str">
        <f t="shared" ref="AC1272:AC1323" si="407">IFERROR(Y1272/I1272,"")</f>
        <v/>
      </c>
      <c r="AD1272" s="15" t="str">
        <f t="shared" ref="AD1272:AD1323" si="408">IFERROR(AC1272-AB1272," ")</f>
        <v xml:space="preserve"> </v>
      </c>
      <c r="AE1272" s="5"/>
      <c r="AF1272" s="27" t="b">
        <f>IF($G1272&lt;&gt;0,SUMIF(куб!$G:$G,$G1272,куб!R:R),IF($E1272&lt;&gt;0,SUMIF(куб!$E:$E,$E1272,куб!R:R),IF($D1272&lt;&gt;0,SUMIF(куб!$D:$D,$D1272,куб!R:R),IF($C1272&lt;&gt;0,SUMIF(куб!$C:$C,$C1272,куб!R:R),IF($B1272&lt;&gt;0,SUMIF(куб!$B:$B,$B1272,куб!R:R))))))</f>
        <v>0</v>
      </c>
      <c r="AG1272" s="27" t="b">
        <f>IF($G1272&lt;&gt;0,SUMIF(куб!$G:$G,$G1272,куб!S:S),IF($E1272&lt;&gt;0,SUMIF(куб!$E:$E,$E1272,куб!S:S),IF($D1272&lt;&gt;0,SUMIF(куб!$D:$D,$D1272,куб!S:S),IF($C1272&lt;&gt;0,SUMIF(куб!$C:$C,$C1272,куб!S:S),IF($B1272&lt;&gt;0,SUMIF(куб!$B:$B,$B1272,куб!S:S))))))</f>
        <v>0</v>
      </c>
      <c r="AH1272" s="16" t="str">
        <f t="shared" ref="AH1272:AH1323" si="409">IFERROR((AG1272-AF1272)/ABS(AF1272),"-")</f>
        <v>-</v>
      </c>
      <c r="AI1272" s="8"/>
      <c r="AJ1272" s="27" t="b">
        <f>IF($G1272&lt;&gt;0,SUMIF(куб!$G:$G,$G1272,куб!T:T),IF($E1272&lt;&gt;0,SUMIF(куб!$E:$E,$E1272,куб!T:T),IF($D1272&lt;&gt;0,SUMIF(куб!$D:$D,$D1272,куб!T:T),IF($C1272&lt;&gt;0,SUMIF(куб!$C:$C,$C1272,куб!T:T),IF($B1272&lt;&gt;0,SUMIF(куб!$B:$B,$B1272,куб!T:T))))))</f>
        <v>0</v>
      </c>
      <c r="AK1272" s="27" t="b">
        <f>IF($G1272&lt;&gt;0,SUMIF(куб!$G:$G,$G1272,куб!U:U),IF($E1272&lt;&gt;0,SUMIF(куб!$E:$E,$E1272,куб!U:U),IF($D1272&lt;&gt;0,SUMIF(куб!$D:$D,$D1272,куб!U:U),IF($C1272&lt;&gt;0,SUMIF(куб!$C:$C,$C1272,куб!U:U),IF($B1272&lt;&gt;0,SUMIF(куб!$B:$B,$B1272,куб!U:U))))))</f>
        <v>0</v>
      </c>
      <c r="AL1272" s="16" t="str">
        <f t="shared" ref="AL1272:AL1323" si="410">IFERROR((AK1272-AJ1272)/ABS(AJ1272),"-")</f>
        <v>-</v>
      </c>
      <c r="AM1272" s="8"/>
      <c r="AN1272" s="17" t="str">
        <f t="shared" ref="AN1272:AN1323" si="411">IFERROR(AF1272/H1272," ")</f>
        <v xml:space="preserve"> </v>
      </c>
      <c r="AO1272" s="17" t="str">
        <f t="shared" ref="AO1272:AO1323" si="412">IFERROR(AG1272/I1272," ")</f>
        <v xml:space="preserve"> </v>
      </c>
      <c r="AP1272" s="16" t="str">
        <f t="shared" ref="AP1272:AP1323" si="413">IFERROR(AO1272-AN1272,"-")</f>
        <v>-</v>
      </c>
      <c r="AQ1272" s="8"/>
      <c r="AR1272" s="17" t="str">
        <f t="shared" ref="AR1272:AR1323" si="414">IFERROR((X1272-AF1272)/H1272,"-")</f>
        <v>-</v>
      </c>
      <c r="AS1272" s="17" t="str">
        <f t="shared" ref="AS1272:AS1323" si="415">IFERROR((Y1272-AG1272)/I1272,"-")</f>
        <v>-</v>
      </c>
      <c r="AT1272" s="13" t="str">
        <f t="shared" ref="AT1272:AT1323" si="416">IFERROR(AS1272-AR1272,"-")</f>
        <v>-</v>
      </c>
      <c r="AU1272" s="8"/>
    </row>
    <row r="1273" spans="8:47" x14ac:dyDescent="0.25">
      <c r="H1273" s="27">
        <f>IF($G1273&lt;&gt;0,SUMIF(куб!$G:$G,$G1273,куб!H:H),IF($E1273&lt;&gt;0,SUMIF(куб!$E:$E,$E1273,куб!H:H),IF($D1273&lt;&gt;0,SUMIF(куб!$D:$D,$D1273,куб!H:H),IF($C1273&lt;&gt;0,SUMIF(куб!$C:$C,$C1273,куб!H:H),IF($B1273&lt;&gt;0,SUMIF(куб!$B:$B,$B1273,куб!H:H),IF($G1273&lt;&gt;0,SUMIF(куб!$A:$A,$G1273,куб!H:H),SUMIF(куб!$A:$A,$G1273,куб!H:H)))))))</f>
        <v>0</v>
      </c>
      <c r="I1273" s="27">
        <f>IF($G1273&lt;&gt;0,SUMIF(куб!$G:$G,$G1273,куб!I:I),IF($E1273&lt;&gt;0,SUMIF(куб!$E:$E,$E1273,куб!I:I),IF($D1273&lt;&gt;0,SUMIF(куб!$D:$D,$D1273,куб!I:I),IF($C1273&lt;&gt;0,SUMIF(куб!$C:$C,$C1273,куб!I:I),IF($B1273&lt;&gt;0,SUMIF(куб!$B:$B,$B1273,куб!I:I),IF($G1273&lt;&gt;0,SUMIF(куб!$A:$A,$G1273,куб!I:I),SUMIF(куб!$A:$A,$G1273,куб!I:I)))))))</f>
        <v>0</v>
      </c>
      <c r="J1273" s="19" t="str">
        <f t="shared" si="399"/>
        <v>-</v>
      </c>
      <c r="K1273" s="8"/>
      <c r="L1273" s="17">
        <f t="shared" si="400"/>
        <v>0</v>
      </c>
      <c r="M1273" s="17">
        <f t="shared" si="401"/>
        <v>0</v>
      </c>
      <c r="N1273" s="12">
        <f t="shared" si="402"/>
        <v>0</v>
      </c>
      <c r="O1273" s="5"/>
      <c r="P1273" s="27" t="b">
        <f>IF($G1273&lt;&gt;0,SUMIF(куб!$G:$G,$G1273,куб!J:J),IF($E1273&lt;&gt;0,SUMIF(куб!$E:$E,$E1273,куб!J:J),IF($D1273&lt;&gt;0,SUMIF(куб!$D:$D,$D1273,куб!J:J),IF($C1273&lt;&gt;0,SUMIF(куб!$C:$C,$C1273,куб!J:J),IF($B1273&lt;&gt;0,SUMIF(куб!$B:$B,$B1273,куб!J:J))))))</f>
        <v>0</v>
      </c>
      <c r="Q1273" s="27" t="b">
        <f>IF($G1273&lt;&gt;0,SUMIF(куб!$G:$G,$G1273,куб!K:K),IF($E1273&lt;&gt;0,SUMIF(куб!$E:$E,$E1273,куб!K:K),IF($D1273&lt;&gt;0,SUMIF(куб!$D:$D,$D1273,куб!K:K),IF($C1273&lt;&gt;0,SUMIF(куб!$C:$C,$C1273,куб!K:K),IF($B1273&lt;&gt;0,SUMIF(куб!$B:$B,$B1273,куб!K:K))))))</f>
        <v>0</v>
      </c>
      <c r="R1273" s="13" t="str">
        <f t="shared" si="403"/>
        <v>-</v>
      </c>
      <c r="S1273" s="5"/>
      <c r="T1273" s="27" t="b">
        <f>IF($G1273&lt;&gt;0,SUMIF(куб!$G:$G,$G1273,куб!L:L),IF($E1273&lt;&gt;0,SUMIF(куб!$E:$E,$E1273,куб!L:L),IF($D1273&lt;&gt;0,SUMIF(куб!$D:$D,$D1273,куб!L:L),IF($C1273&lt;&gt;0,SUMIF(куб!$C:$C,$C1273,куб!L:L),IF($B1273&lt;&gt;0,SUMIF(куб!$B:$B,$B1273,куб!L:L))))))</f>
        <v>0</v>
      </c>
      <c r="U1273" s="27" t="b">
        <f>IF($G1273&lt;&gt;0,SUMIF(куб!$G:$G,$G1273,куб!M:M),IF($E1273&lt;&gt;0,SUMIF(куб!$E:$E,$E1273,куб!M:M),IF($D1273&lt;&gt;0,SUMIF(куб!$D:$D,$D1273,куб!M:M),IF($C1273&lt;&gt;0,SUMIF(куб!$C:$C,$C1273,куб!M:M),IF($B1273&lt;&gt;0,SUMIF(куб!$B:$B,$B1273,куб!M:M))))))</f>
        <v>0</v>
      </c>
      <c r="V1273" s="13" t="str">
        <f t="shared" si="404"/>
        <v>-</v>
      </c>
      <c r="W1273" s="5"/>
      <c r="X1273" s="27" t="b">
        <f>IF($G1273&lt;&gt;0,SUMIF(куб!$G:$G,$G1273,куб!N:N),IF($E1273&lt;&gt;0,SUMIF(куб!$E:$E,$E1273,куб!N:N),IF($D1273&lt;&gt;0,SUMIF(куб!$D:$D,$D1273,куб!N:N),IF($C1273&lt;&gt;0,SUMIF(куб!$C:$C,$C1273,куб!N:N),IF($B1273&lt;&gt;0,SUMIF(куб!$B:$B,$B1273,куб!N:N))))))</f>
        <v>0</v>
      </c>
      <c r="Y1273" s="27" t="b">
        <f>IF($G1273&lt;&gt;0,SUMIF(куб!$G:$G,$G1273,куб!O:O),IF($E1273&lt;&gt;0,SUMIF(куб!$E:$E,$E1273,куб!O:O),IF($D1273&lt;&gt;0,SUMIF(куб!$D:$D,$D1273,куб!O:O),IF($C1273&lt;&gt;0,SUMIF(куб!$C:$C,$C1273,куб!O:O),IF($B1273&lt;&gt;0,SUMIF(куб!$B:$B,$B1273,куб!O:O))))))</f>
        <v>0</v>
      </c>
      <c r="Z1273" s="13" t="str">
        <f t="shared" si="405"/>
        <v>-</v>
      </c>
      <c r="AA1273" s="5"/>
      <c r="AB1273" s="33" t="str">
        <f t="shared" si="406"/>
        <v/>
      </c>
      <c r="AC1273" s="33" t="str">
        <f t="shared" si="407"/>
        <v/>
      </c>
      <c r="AD1273" s="15" t="str">
        <f t="shared" si="408"/>
        <v xml:space="preserve"> </v>
      </c>
      <c r="AE1273" s="5"/>
      <c r="AF1273" s="27" t="b">
        <f>IF($G1273&lt;&gt;0,SUMIF(куб!$G:$G,$G1273,куб!R:R),IF($E1273&lt;&gt;0,SUMIF(куб!$E:$E,$E1273,куб!R:R),IF($D1273&lt;&gt;0,SUMIF(куб!$D:$D,$D1273,куб!R:R),IF($C1273&lt;&gt;0,SUMIF(куб!$C:$C,$C1273,куб!R:R),IF($B1273&lt;&gt;0,SUMIF(куб!$B:$B,$B1273,куб!R:R))))))</f>
        <v>0</v>
      </c>
      <c r="AG1273" s="27" t="b">
        <f>IF($G1273&lt;&gt;0,SUMIF(куб!$G:$G,$G1273,куб!S:S),IF($E1273&lt;&gt;0,SUMIF(куб!$E:$E,$E1273,куб!S:S),IF($D1273&lt;&gt;0,SUMIF(куб!$D:$D,$D1273,куб!S:S),IF($C1273&lt;&gt;0,SUMIF(куб!$C:$C,$C1273,куб!S:S),IF($B1273&lt;&gt;0,SUMIF(куб!$B:$B,$B1273,куб!S:S))))))</f>
        <v>0</v>
      </c>
      <c r="AH1273" s="16" t="str">
        <f t="shared" si="409"/>
        <v>-</v>
      </c>
      <c r="AI1273" s="8"/>
      <c r="AJ1273" s="27" t="b">
        <f>IF($G1273&lt;&gt;0,SUMIF(куб!$G:$G,$G1273,куб!T:T),IF($E1273&lt;&gt;0,SUMIF(куб!$E:$E,$E1273,куб!T:T),IF($D1273&lt;&gt;0,SUMIF(куб!$D:$D,$D1273,куб!T:T),IF($C1273&lt;&gt;0,SUMIF(куб!$C:$C,$C1273,куб!T:T),IF($B1273&lt;&gt;0,SUMIF(куб!$B:$B,$B1273,куб!T:T))))))</f>
        <v>0</v>
      </c>
      <c r="AK1273" s="27" t="b">
        <f>IF($G1273&lt;&gt;0,SUMIF(куб!$G:$G,$G1273,куб!U:U),IF($E1273&lt;&gt;0,SUMIF(куб!$E:$E,$E1273,куб!U:U),IF($D1273&lt;&gt;0,SUMIF(куб!$D:$D,$D1273,куб!U:U),IF($C1273&lt;&gt;0,SUMIF(куб!$C:$C,$C1273,куб!U:U),IF($B1273&lt;&gt;0,SUMIF(куб!$B:$B,$B1273,куб!U:U))))))</f>
        <v>0</v>
      </c>
      <c r="AL1273" s="16" t="str">
        <f t="shared" si="410"/>
        <v>-</v>
      </c>
      <c r="AM1273" s="8"/>
      <c r="AN1273" s="17" t="str">
        <f t="shared" si="411"/>
        <v xml:space="preserve"> </v>
      </c>
      <c r="AO1273" s="17" t="str">
        <f t="shared" si="412"/>
        <v xml:space="preserve"> </v>
      </c>
      <c r="AP1273" s="16" t="str">
        <f t="shared" si="413"/>
        <v>-</v>
      </c>
      <c r="AQ1273" s="8"/>
      <c r="AR1273" s="17" t="str">
        <f t="shared" si="414"/>
        <v>-</v>
      </c>
      <c r="AS1273" s="17" t="str">
        <f t="shared" si="415"/>
        <v>-</v>
      </c>
      <c r="AT1273" s="13" t="str">
        <f t="shared" si="416"/>
        <v>-</v>
      </c>
      <c r="AU1273" s="8"/>
    </row>
    <row r="1274" spans="8:47" x14ac:dyDescent="0.25">
      <c r="H1274" s="27">
        <f>IF($G1274&lt;&gt;0,SUMIF(куб!$G:$G,$G1274,куб!H:H),IF($E1274&lt;&gt;0,SUMIF(куб!$E:$E,$E1274,куб!H:H),IF($D1274&lt;&gt;0,SUMIF(куб!$D:$D,$D1274,куб!H:H),IF($C1274&lt;&gt;0,SUMIF(куб!$C:$C,$C1274,куб!H:H),IF($B1274&lt;&gt;0,SUMIF(куб!$B:$B,$B1274,куб!H:H),IF($G1274&lt;&gt;0,SUMIF(куб!$A:$A,$G1274,куб!H:H),SUMIF(куб!$A:$A,$G1274,куб!H:H)))))))</f>
        <v>0</v>
      </c>
      <c r="I1274" s="27">
        <f>IF($G1274&lt;&gt;0,SUMIF(куб!$G:$G,$G1274,куб!I:I),IF($E1274&lt;&gt;0,SUMIF(куб!$E:$E,$E1274,куб!I:I),IF($D1274&lt;&gt;0,SUMIF(куб!$D:$D,$D1274,куб!I:I),IF($C1274&lt;&gt;0,SUMIF(куб!$C:$C,$C1274,куб!I:I),IF($B1274&lt;&gt;0,SUMIF(куб!$B:$B,$B1274,куб!I:I),IF($G1274&lt;&gt;0,SUMIF(куб!$A:$A,$G1274,куб!I:I),SUMIF(куб!$A:$A,$G1274,куб!I:I)))))))</f>
        <v>0</v>
      </c>
      <c r="J1274" s="19" t="str">
        <f t="shared" si="399"/>
        <v>-</v>
      </c>
      <c r="K1274" s="8"/>
      <c r="L1274" s="17">
        <f t="shared" si="400"/>
        <v>0</v>
      </c>
      <c r="M1274" s="17">
        <f t="shared" si="401"/>
        <v>0</v>
      </c>
      <c r="N1274" s="12">
        <f t="shared" si="402"/>
        <v>0</v>
      </c>
      <c r="O1274" s="5"/>
      <c r="P1274" s="27" t="b">
        <f>IF($G1274&lt;&gt;0,SUMIF(куб!$G:$G,$G1274,куб!J:J),IF($E1274&lt;&gt;0,SUMIF(куб!$E:$E,$E1274,куб!J:J),IF($D1274&lt;&gt;0,SUMIF(куб!$D:$D,$D1274,куб!J:J),IF($C1274&lt;&gt;0,SUMIF(куб!$C:$C,$C1274,куб!J:J),IF($B1274&lt;&gt;0,SUMIF(куб!$B:$B,$B1274,куб!J:J))))))</f>
        <v>0</v>
      </c>
      <c r="Q1274" s="27" t="b">
        <f>IF($G1274&lt;&gt;0,SUMIF(куб!$G:$G,$G1274,куб!K:K),IF($E1274&lt;&gt;0,SUMIF(куб!$E:$E,$E1274,куб!K:K),IF($D1274&lt;&gt;0,SUMIF(куб!$D:$D,$D1274,куб!K:K),IF($C1274&lt;&gt;0,SUMIF(куб!$C:$C,$C1274,куб!K:K),IF($B1274&lt;&gt;0,SUMIF(куб!$B:$B,$B1274,куб!K:K))))))</f>
        <v>0</v>
      </c>
      <c r="R1274" s="13" t="str">
        <f t="shared" si="403"/>
        <v>-</v>
      </c>
      <c r="S1274" s="5"/>
      <c r="T1274" s="27" t="b">
        <f>IF($G1274&lt;&gt;0,SUMIF(куб!$G:$G,$G1274,куб!L:L),IF($E1274&lt;&gt;0,SUMIF(куб!$E:$E,$E1274,куб!L:L),IF($D1274&lt;&gt;0,SUMIF(куб!$D:$D,$D1274,куб!L:L),IF($C1274&lt;&gt;0,SUMIF(куб!$C:$C,$C1274,куб!L:L),IF($B1274&lt;&gt;0,SUMIF(куб!$B:$B,$B1274,куб!L:L))))))</f>
        <v>0</v>
      </c>
      <c r="U1274" s="27" t="b">
        <f>IF($G1274&lt;&gt;0,SUMIF(куб!$G:$G,$G1274,куб!M:M),IF($E1274&lt;&gt;0,SUMIF(куб!$E:$E,$E1274,куб!M:M),IF($D1274&lt;&gt;0,SUMIF(куб!$D:$D,$D1274,куб!M:M),IF($C1274&lt;&gt;0,SUMIF(куб!$C:$C,$C1274,куб!M:M),IF($B1274&lt;&gt;0,SUMIF(куб!$B:$B,$B1274,куб!M:M))))))</f>
        <v>0</v>
      </c>
      <c r="V1274" s="13" t="str">
        <f t="shared" si="404"/>
        <v>-</v>
      </c>
      <c r="W1274" s="5"/>
      <c r="X1274" s="27" t="b">
        <f>IF($G1274&lt;&gt;0,SUMIF(куб!$G:$G,$G1274,куб!N:N),IF($E1274&lt;&gt;0,SUMIF(куб!$E:$E,$E1274,куб!N:N),IF($D1274&lt;&gt;0,SUMIF(куб!$D:$D,$D1274,куб!N:N),IF($C1274&lt;&gt;0,SUMIF(куб!$C:$C,$C1274,куб!N:N),IF($B1274&lt;&gt;0,SUMIF(куб!$B:$B,$B1274,куб!N:N))))))</f>
        <v>0</v>
      </c>
      <c r="Y1274" s="27" t="b">
        <f>IF($G1274&lt;&gt;0,SUMIF(куб!$G:$G,$G1274,куб!O:O),IF($E1274&lt;&gt;0,SUMIF(куб!$E:$E,$E1274,куб!O:O),IF($D1274&lt;&gt;0,SUMIF(куб!$D:$D,$D1274,куб!O:O),IF($C1274&lt;&gt;0,SUMIF(куб!$C:$C,$C1274,куб!O:O),IF($B1274&lt;&gt;0,SUMIF(куб!$B:$B,$B1274,куб!O:O))))))</f>
        <v>0</v>
      </c>
      <c r="Z1274" s="13" t="str">
        <f t="shared" si="405"/>
        <v>-</v>
      </c>
      <c r="AA1274" s="5"/>
      <c r="AB1274" s="33" t="str">
        <f t="shared" si="406"/>
        <v/>
      </c>
      <c r="AC1274" s="33" t="str">
        <f t="shared" si="407"/>
        <v/>
      </c>
      <c r="AD1274" s="15" t="str">
        <f t="shared" si="408"/>
        <v xml:space="preserve"> </v>
      </c>
      <c r="AE1274" s="5"/>
      <c r="AF1274" s="27" t="b">
        <f>IF($G1274&lt;&gt;0,SUMIF(куб!$G:$G,$G1274,куб!R:R),IF($E1274&lt;&gt;0,SUMIF(куб!$E:$E,$E1274,куб!R:R),IF($D1274&lt;&gt;0,SUMIF(куб!$D:$D,$D1274,куб!R:R),IF($C1274&lt;&gt;0,SUMIF(куб!$C:$C,$C1274,куб!R:R),IF($B1274&lt;&gt;0,SUMIF(куб!$B:$B,$B1274,куб!R:R))))))</f>
        <v>0</v>
      </c>
      <c r="AG1274" s="27" t="b">
        <f>IF($G1274&lt;&gt;0,SUMIF(куб!$G:$G,$G1274,куб!S:S),IF($E1274&lt;&gt;0,SUMIF(куб!$E:$E,$E1274,куб!S:S),IF($D1274&lt;&gt;0,SUMIF(куб!$D:$D,$D1274,куб!S:S),IF($C1274&lt;&gt;0,SUMIF(куб!$C:$C,$C1274,куб!S:S),IF($B1274&lt;&gt;0,SUMIF(куб!$B:$B,$B1274,куб!S:S))))))</f>
        <v>0</v>
      </c>
      <c r="AH1274" s="16" t="str">
        <f t="shared" si="409"/>
        <v>-</v>
      </c>
      <c r="AI1274" s="8"/>
      <c r="AJ1274" s="27" t="b">
        <f>IF($G1274&lt;&gt;0,SUMIF(куб!$G:$G,$G1274,куб!T:T),IF($E1274&lt;&gt;0,SUMIF(куб!$E:$E,$E1274,куб!T:T),IF($D1274&lt;&gt;0,SUMIF(куб!$D:$D,$D1274,куб!T:T),IF($C1274&lt;&gt;0,SUMIF(куб!$C:$C,$C1274,куб!T:T),IF($B1274&lt;&gt;0,SUMIF(куб!$B:$B,$B1274,куб!T:T))))))</f>
        <v>0</v>
      </c>
      <c r="AK1274" s="27" t="b">
        <f>IF($G1274&lt;&gt;0,SUMIF(куб!$G:$G,$G1274,куб!U:U),IF($E1274&lt;&gt;0,SUMIF(куб!$E:$E,$E1274,куб!U:U),IF($D1274&lt;&gt;0,SUMIF(куб!$D:$D,$D1274,куб!U:U),IF($C1274&lt;&gt;0,SUMIF(куб!$C:$C,$C1274,куб!U:U),IF($B1274&lt;&gt;0,SUMIF(куб!$B:$B,$B1274,куб!U:U))))))</f>
        <v>0</v>
      </c>
      <c r="AL1274" s="16" t="str">
        <f t="shared" si="410"/>
        <v>-</v>
      </c>
      <c r="AM1274" s="8"/>
      <c r="AN1274" s="17" t="str">
        <f t="shared" si="411"/>
        <v xml:space="preserve"> </v>
      </c>
      <c r="AO1274" s="17" t="str">
        <f t="shared" si="412"/>
        <v xml:space="preserve"> </v>
      </c>
      <c r="AP1274" s="16" t="str">
        <f t="shared" si="413"/>
        <v>-</v>
      </c>
      <c r="AQ1274" s="8"/>
      <c r="AR1274" s="17" t="str">
        <f t="shared" si="414"/>
        <v>-</v>
      </c>
      <c r="AS1274" s="17" t="str">
        <f t="shared" si="415"/>
        <v>-</v>
      </c>
      <c r="AT1274" s="13" t="str">
        <f t="shared" si="416"/>
        <v>-</v>
      </c>
      <c r="AU1274" s="8"/>
    </row>
    <row r="1275" spans="8:47" x14ac:dyDescent="0.25">
      <c r="H1275" s="27">
        <f>IF($G1275&lt;&gt;0,SUMIF(куб!$G:$G,$G1275,куб!H:H),IF($E1275&lt;&gt;0,SUMIF(куб!$E:$E,$E1275,куб!H:H),IF($D1275&lt;&gt;0,SUMIF(куб!$D:$D,$D1275,куб!H:H),IF($C1275&lt;&gt;0,SUMIF(куб!$C:$C,$C1275,куб!H:H),IF($B1275&lt;&gt;0,SUMIF(куб!$B:$B,$B1275,куб!H:H),IF($G1275&lt;&gt;0,SUMIF(куб!$A:$A,$G1275,куб!H:H),SUMIF(куб!$A:$A,$G1275,куб!H:H)))))))</f>
        <v>0</v>
      </c>
      <c r="I1275" s="27">
        <f>IF($G1275&lt;&gt;0,SUMIF(куб!$G:$G,$G1275,куб!I:I),IF($E1275&lt;&gt;0,SUMIF(куб!$E:$E,$E1275,куб!I:I),IF($D1275&lt;&gt;0,SUMIF(куб!$D:$D,$D1275,куб!I:I),IF($C1275&lt;&gt;0,SUMIF(куб!$C:$C,$C1275,куб!I:I),IF($B1275&lt;&gt;0,SUMIF(куб!$B:$B,$B1275,куб!I:I),IF($G1275&lt;&gt;0,SUMIF(куб!$A:$A,$G1275,куб!I:I),SUMIF(куб!$A:$A,$G1275,куб!I:I)))))))</f>
        <v>0</v>
      </c>
      <c r="J1275" s="19" t="str">
        <f t="shared" si="399"/>
        <v>-</v>
      </c>
      <c r="K1275" s="8"/>
      <c r="L1275" s="17">
        <f t="shared" si="400"/>
        <v>0</v>
      </c>
      <c r="M1275" s="17">
        <f t="shared" si="401"/>
        <v>0</v>
      </c>
      <c r="N1275" s="12">
        <f t="shared" si="402"/>
        <v>0</v>
      </c>
      <c r="O1275" s="5"/>
      <c r="P1275" s="27" t="b">
        <f>IF($G1275&lt;&gt;0,SUMIF(куб!$G:$G,$G1275,куб!J:J),IF($E1275&lt;&gt;0,SUMIF(куб!$E:$E,$E1275,куб!J:J),IF($D1275&lt;&gt;0,SUMIF(куб!$D:$D,$D1275,куб!J:J),IF($C1275&lt;&gt;0,SUMIF(куб!$C:$C,$C1275,куб!J:J),IF($B1275&lt;&gt;0,SUMIF(куб!$B:$B,$B1275,куб!J:J))))))</f>
        <v>0</v>
      </c>
      <c r="Q1275" s="27" t="b">
        <f>IF($G1275&lt;&gt;0,SUMIF(куб!$G:$G,$G1275,куб!K:K),IF($E1275&lt;&gt;0,SUMIF(куб!$E:$E,$E1275,куб!K:K),IF($D1275&lt;&gt;0,SUMIF(куб!$D:$D,$D1275,куб!K:K),IF($C1275&lt;&gt;0,SUMIF(куб!$C:$C,$C1275,куб!K:K),IF($B1275&lt;&gt;0,SUMIF(куб!$B:$B,$B1275,куб!K:K))))))</f>
        <v>0</v>
      </c>
      <c r="R1275" s="13" t="str">
        <f t="shared" si="403"/>
        <v>-</v>
      </c>
      <c r="S1275" s="5"/>
      <c r="T1275" s="27" t="b">
        <f>IF($G1275&lt;&gt;0,SUMIF(куб!$G:$G,$G1275,куб!L:L),IF($E1275&lt;&gt;0,SUMIF(куб!$E:$E,$E1275,куб!L:L),IF($D1275&lt;&gt;0,SUMIF(куб!$D:$D,$D1275,куб!L:L),IF($C1275&lt;&gt;0,SUMIF(куб!$C:$C,$C1275,куб!L:L),IF($B1275&lt;&gt;0,SUMIF(куб!$B:$B,$B1275,куб!L:L))))))</f>
        <v>0</v>
      </c>
      <c r="U1275" s="27" t="b">
        <f>IF($G1275&lt;&gt;0,SUMIF(куб!$G:$G,$G1275,куб!M:M),IF($E1275&lt;&gt;0,SUMIF(куб!$E:$E,$E1275,куб!M:M),IF($D1275&lt;&gt;0,SUMIF(куб!$D:$D,$D1275,куб!M:M),IF($C1275&lt;&gt;0,SUMIF(куб!$C:$C,$C1275,куб!M:M),IF($B1275&lt;&gt;0,SUMIF(куб!$B:$B,$B1275,куб!M:M))))))</f>
        <v>0</v>
      </c>
      <c r="V1275" s="13" t="str">
        <f t="shared" si="404"/>
        <v>-</v>
      </c>
      <c r="W1275" s="5"/>
      <c r="X1275" s="27" t="b">
        <f>IF($G1275&lt;&gt;0,SUMIF(куб!$G:$G,$G1275,куб!N:N),IF($E1275&lt;&gt;0,SUMIF(куб!$E:$E,$E1275,куб!N:N),IF($D1275&lt;&gt;0,SUMIF(куб!$D:$D,$D1275,куб!N:N),IF($C1275&lt;&gt;0,SUMIF(куб!$C:$C,$C1275,куб!N:N),IF($B1275&lt;&gt;0,SUMIF(куб!$B:$B,$B1275,куб!N:N))))))</f>
        <v>0</v>
      </c>
      <c r="Y1275" s="27" t="b">
        <f>IF($G1275&lt;&gt;0,SUMIF(куб!$G:$G,$G1275,куб!O:O),IF($E1275&lt;&gt;0,SUMIF(куб!$E:$E,$E1275,куб!O:O),IF($D1275&lt;&gt;0,SUMIF(куб!$D:$D,$D1275,куб!O:O),IF($C1275&lt;&gt;0,SUMIF(куб!$C:$C,$C1275,куб!O:O),IF($B1275&lt;&gt;0,SUMIF(куб!$B:$B,$B1275,куб!O:O))))))</f>
        <v>0</v>
      </c>
      <c r="Z1275" s="13" t="str">
        <f t="shared" si="405"/>
        <v>-</v>
      </c>
      <c r="AA1275" s="5"/>
      <c r="AB1275" s="33" t="str">
        <f t="shared" si="406"/>
        <v/>
      </c>
      <c r="AC1275" s="33" t="str">
        <f t="shared" si="407"/>
        <v/>
      </c>
      <c r="AD1275" s="15" t="str">
        <f t="shared" si="408"/>
        <v xml:space="preserve"> </v>
      </c>
      <c r="AE1275" s="5"/>
      <c r="AF1275" s="27" t="b">
        <f>IF($G1275&lt;&gt;0,SUMIF(куб!$G:$G,$G1275,куб!R:R),IF($E1275&lt;&gt;0,SUMIF(куб!$E:$E,$E1275,куб!R:R),IF($D1275&lt;&gt;0,SUMIF(куб!$D:$D,$D1275,куб!R:R),IF($C1275&lt;&gt;0,SUMIF(куб!$C:$C,$C1275,куб!R:R),IF($B1275&lt;&gt;0,SUMIF(куб!$B:$B,$B1275,куб!R:R))))))</f>
        <v>0</v>
      </c>
      <c r="AG1275" s="27" t="b">
        <f>IF($G1275&lt;&gt;0,SUMIF(куб!$G:$G,$G1275,куб!S:S),IF($E1275&lt;&gt;0,SUMIF(куб!$E:$E,$E1275,куб!S:S),IF($D1275&lt;&gt;0,SUMIF(куб!$D:$D,$D1275,куб!S:S),IF($C1275&lt;&gt;0,SUMIF(куб!$C:$C,$C1275,куб!S:S),IF($B1275&lt;&gt;0,SUMIF(куб!$B:$B,$B1275,куб!S:S))))))</f>
        <v>0</v>
      </c>
      <c r="AH1275" s="16" t="str">
        <f t="shared" si="409"/>
        <v>-</v>
      </c>
      <c r="AI1275" s="8"/>
      <c r="AJ1275" s="27" t="b">
        <f>IF($G1275&lt;&gt;0,SUMIF(куб!$G:$G,$G1275,куб!T:T),IF($E1275&lt;&gt;0,SUMIF(куб!$E:$E,$E1275,куб!T:T),IF($D1275&lt;&gt;0,SUMIF(куб!$D:$D,$D1275,куб!T:T),IF($C1275&lt;&gt;0,SUMIF(куб!$C:$C,$C1275,куб!T:T),IF($B1275&lt;&gt;0,SUMIF(куб!$B:$B,$B1275,куб!T:T))))))</f>
        <v>0</v>
      </c>
      <c r="AK1275" s="27" t="b">
        <f>IF($G1275&lt;&gt;0,SUMIF(куб!$G:$G,$G1275,куб!U:U),IF($E1275&lt;&gt;0,SUMIF(куб!$E:$E,$E1275,куб!U:U),IF($D1275&lt;&gt;0,SUMIF(куб!$D:$D,$D1275,куб!U:U),IF($C1275&lt;&gt;0,SUMIF(куб!$C:$C,$C1275,куб!U:U),IF($B1275&lt;&gt;0,SUMIF(куб!$B:$B,$B1275,куб!U:U))))))</f>
        <v>0</v>
      </c>
      <c r="AL1275" s="16" t="str">
        <f t="shared" si="410"/>
        <v>-</v>
      </c>
      <c r="AM1275" s="8"/>
      <c r="AN1275" s="17" t="str">
        <f t="shared" si="411"/>
        <v xml:space="preserve"> </v>
      </c>
      <c r="AO1275" s="17" t="str">
        <f t="shared" si="412"/>
        <v xml:space="preserve"> </v>
      </c>
      <c r="AP1275" s="16" t="str">
        <f t="shared" si="413"/>
        <v>-</v>
      </c>
      <c r="AQ1275" s="8"/>
      <c r="AR1275" s="17" t="str">
        <f t="shared" si="414"/>
        <v>-</v>
      </c>
      <c r="AS1275" s="17" t="str">
        <f t="shared" si="415"/>
        <v>-</v>
      </c>
      <c r="AT1275" s="13" t="str">
        <f t="shared" si="416"/>
        <v>-</v>
      </c>
      <c r="AU1275" s="8"/>
    </row>
    <row r="1276" spans="8:47" x14ac:dyDescent="0.25">
      <c r="H1276" s="27">
        <f>IF($G1276&lt;&gt;0,SUMIF(куб!$G:$G,$G1276,куб!H:H),IF($E1276&lt;&gt;0,SUMIF(куб!$E:$E,$E1276,куб!H:H),IF($D1276&lt;&gt;0,SUMIF(куб!$D:$D,$D1276,куб!H:H),IF($C1276&lt;&gt;0,SUMIF(куб!$C:$C,$C1276,куб!H:H),IF($B1276&lt;&gt;0,SUMIF(куб!$B:$B,$B1276,куб!H:H),IF($G1276&lt;&gt;0,SUMIF(куб!$A:$A,$G1276,куб!H:H),SUMIF(куб!$A:$A,$G1276,куб!H:H)))))))</f>
        <v>0</v>
      </c>
      <c r="I1276" s="27">
        <f>IF($G1276&lt;&gt;0,SUMIF(куб!$G:$G,$G1276,куб!I:I),IF($E1276&lt;&gt;0,SUMIF(куб!$E:$E,$E1276,куб!I:I),IF($D1276&lt;&gt;0,SUMIF(куб!$D:$D,$D1276,куб!I:I),IF($C1276&lt;&gt;0,SUMIF(куб!$C:$C,$C1276,куб!I:I),IF($B1276&lt;&gt;0,SUMIF(куб!$B:$B,$B1276,куб!I:I),IF($G1276&lt;&gt;0,SUMIF(куб!$A:$A,$G1276,куб!I:I),SUMIF(куб!$A:$A,$G1276,куб!I:I)))))))</f>
        <v>0</v>
      </c>
      <c r="J1276" s="19" t="str">
        <f t="shared" si="399"/>
        <v>-</v>
      </c>
      <c r="K1276" s="8"/>
      <c r="L1276" s="17">
        <f t="shared" si="400"/>
        <v>0</v>
      </c>
      <c r="M1276" s="17">
        <f t="shared" si="401"/>
        <v>0</v>
      </c>
      <c r="N1276" s="12">
        <f t="shared" si="402"/>
        <v>0</v>
      </c>
      <c r="O1276" s="5"/>
      <c r="P1276" s="27" t="b">
        <f>IF($G1276&lt;&gt;0,SUMIF(куб!$G:$G,$G1276,куб!J:J),IF($E1276&lt;&gt;0,SUMIF(куб!$E:$E,$E1276,куб!J:J),IF($D1276&lt;&gt;0,SUMIF(куб!$D:$D,$D1276,куб!J:J),IF($C1276&lt;&gt;0,SUMIF(куб!$C:$C,$C1276,куб!J:J),IF($B1276&lt;&gt;0,SUMIF(куб!$B:$B,$B1276,куб!J:J))))))</f>
        <v>0</v>
      </c>
      <c r="Q1276" s="27" t="b">
        <f>IF($G1276&lt;&gt;0,SUMIF(куб!$G:$G,$G1276,куб!K:K),IF($E1276&lt;&gt;0,SUMIF(куб!$E:$E,$E1276,куб!K:K),IF($D1276&lt;&gt;0,SUMIF(куб!$D:$D,$D1276,куб!K:K),IF($C1276&lt;&gt;0,SUMIF(куб!$C:$C,$C1276,куб!K:K),IF($B1276&lt;&gt;0,SUMIF(куб!$B:$B,$B1276,куб!K:K))))))</f>
        <v>0</v>
      </c>
      <c r="R1276" s="13" t="str">
        <f t="shared" si="403"/>
        <v>-</v>
      </c>
      <c r="S1276" s="5"/>
      <c r="T1276" s="27" t="b">
        <f>IF($G1276&lt;&gt;0,SUMIF(куб!$G:$G,$G1276,куб!L:L),IF($E1276&lt;&gt;0,SUMIF(куб!$E:$E,$E1276,куб!L:L),IF($D1276&lt;&gt;0,SUMIF(куб!$D:$D,$D1276,куб!L:L),IF($C1276&lt;&gt;0,SUMIF(куб!$C:$C,$C1276,куб!L:L),IF($B1276&lt;&gt;0,SUMIF(куб!$B:$B,$B1276,куб!L:L))))))</f>
        <v>0</v>
      </c>
      <c r="U1276" s="27" t="b">
        <f>IF($G1276&lt;&gt;0,SUMIF(куб!$G:$G,$G1276,куб!M:M),IF($E1276&lt;&gt;0,SUMIF(куб!$E:$E,$E1276,куб!M:M),IF($D1276&lt;&gt;0,SUMIF(куб!$D:$D,$D1276,куб!M:M),IF($C1276&lt;&gt;0,SUMIF(куб!$C:$C,$C1276,куб!M:M),IF($B1276&lt;&gt;0,SUMIF(куб!$B:$B,$B1276,куб!M:M))))))</f>
        <v>0</v>
      </c>
      <c r="V1276" s="13" t="str">
        <f t="shared" si="404"/>
        <v>-</v>
      </c>
      <c r="W1276" s="5"/>
      <c r="X1276" s="27" t="b">
        <f>IF($G1276&lt;&gt;0,SUMIF(куб!$G:$G,$G1276,куб!N:N),IF($E1276&lt;&gt;0,SUMIF(куб!$E:$E,$E1276,куб!N:N),IF($D1276&lt;&gt;0,SUMIF(куб!$D:$D,$D1276,куб!N:N),IF($C1276&lt;&gt;0,SUMIF(куб!$C:$C,$C1276,куб!N:N),IF($B1276&lt;&gt;0,SUMIF(куб!$B:$B,$B1276,куб!N:N))))))</f>
        <v>0</v>
      </c>
      <c r="Y1276" s="27" t="b">
        <f>IF($G1276&lt;&gt;0,SUMIF(куб!$G:$G,$G1276,куб!O:O),IF($E1276&lt;&gt;0,SUMIF(куб!$E:$E,$E1276,куб!O:O),IF($D1276&lt;&gt;0,SUMIF(куб!$D:$D,$D1276,куб!O:O),IF($C1276&lt;&gt;0,SUMIF(куб!$C:$C,$C1276,куб!O:O),IF($B1276&lt;&gt;0,SUMIF(куб!$B:$B,$B1276,куб!O:O))))))</f>
        <v>0</v>
      </c>
      <c r="Z1276" s="13" t="str">
        <f t="shared" si="405"/>
        <v>-</v>
      </c>
      <c r="AA1276" s="5"/>
      <c r="AB1276" s="33" t="str">
        <f t="shared" si="406"/>
        <v/>
      </c>
      <c r="AC1276" s="33" t="str">
        <f t="shared" si="407"/>
        <v/>
      </c>
      <c r="AD1276" s="15" t="str">
        <f t="shared" si="408"/>
        <v xml:space="preserve"> </v>
      </c>
      <c r="AE1276" s="5"/>
      <c r="AF1276" s="27" t="b">
        <f>IF($G1276&lt;&gt;0,SUMIF(куб!$G:$G,$G1276,куб!R:R),IF($E1276&lt;&gt;0,SUMIF(куб!$E:$E,$E1276,куб!R:R),IF($D1276&lt;&gt;0,SUMIF(куб!$D:$D,$D1276,куб!R:R),IF($C1276&lt;&gt;0,SUMIF(куб!$C:$C,$C1276,куб!R:R),IF($B1276&lt;&gt;0,SUMIF(куб!$B:$B,$B1276,куб!R:R))))))</f>
        <v>0</v>
      </c>
      <c r="AG1276" s="27" t="b">
        <f>IF($G1276&lt;&gt;0,SUMIF(куб!$G:$G,$G1276,куб!S:S),IF($E1276&lt;&gt;0,SUMIF(куб!$E:$E,$E1276,куб!S:S),IF($D1276&lt;&gt;0,SUMIF(куб!$D:$D,$D1276,куб!S:S),IF($C1276&lt;&gt;0,SUMIF(куб!$C:$C,$C1276,куб!S:S),IF($B1276&lt;&gt;0,SUMIF(куб!$B:$B,$B1276,куб!S:S))))))</f>
        <v>0</v>
      </c>
      <c r="AH1276" s="16" t="str">
        <f t="shared" si="409"/>
        <v>-</v>
      </c>
      <c r="AI1276" s="8"/>
      <c r="AJ1276" s="27" t="b">
        <f>IF($G1276&lt;&gt;0,SUMIF(куб!$G:$G,$G1276,куб!T:T),IF($E1276&lt;&gt;0,SUMIF(куб!$E:$E,$E1276,куб!T:T),IF($D1276&lt;&gt;0,SUMIF(куб!$D:$D,$D1276,куб!T:T),IF($C1276&lt;&gt;0,SUMIF(куб!$C:$C,$C1276,куб!T:T),IF($B1276&lt;&gt;0,SUMIF(куб!$B:$B,$B1276,куб!T:T))))))</f>
        <v>0</v>
      </c>
      <c r="AK1276" s="27" t="b">
        <f>IF($G1276&lt;&gt;0,SUMIF(куб!$G:$G,$G1276,куб!U:U),IF($E1276&lt;&gt;0,SUMIF(куб!$E:$E,$E1276,куб!U:U),IF($D1276&lt;&gt;0,SUMIF(куб!$D:$D,$D1276,куб!U:U),IF($C1276&lt;&gt;0,SUMIF(куб!$C:$C,$C1276,куб!U:U),IF($B1276&lt;&gt;0,SUMIF(куб!$B:$B,$B1276,куб!U:U))))))</f>
        <v>0</v>
      </c>
      <c r="AL1276" s="16" t="str">
        <f t="shared" si="410"/>
        <v>-</v>
      </c>
      <c r="AM1276" s="8"/>
      <c r="AN1276" s="17" t="str">
        <f t="shared" si="411"/>
        <v xml:space="preserve"> </v>
      </c>
      <c r="AO1276" s="17" t="str">
        <f t="shared" si="412"/>
        <v xml:space="preserve"> </v>
      </c>
      <c r="AP1276" s="16" t="str">
        <f t="shared" si="413"/>
        <v>-</v>
      </c>
      <c r="AQ1276" s="8"/>
      <c r="AR1276" s="17" t="str">
        <f t="shared" si="414"/>
        <v>-</v>
      </c>
      <c r="AS1276" s="17" t="str">
        <f t="shared" si="415"/>
        <v>-</v>
      </c>
      <c r="AT1276" s="13" t="str">
        <f t="shared" si="416"/>
        <v>-</v>
      </c>
      <c r="AU1276" s="8"/>
    </row>
    <row r="1277" spans="8:47" x14ac:dyDescent="0.25">
      <c r="H1277" s="27">
        <f>IF($G1277&lt;&gt;0,SUMIF(куб!$G:$G,$G1277,куб!H:H),IF($E1277&lt;&gt;0,SUMIF(куб!$E:$E,$E1277,куб!H:H),IF($D1277&lt;&gt;0,SUMIF(куб!$D:$D,$D1277,куб!H:H),IF($C1277&lt;&gt;0,SUMIF(куб!$C:$C,$C1277,куб!H:H),IF($B1277&lt;&gt;0,SUMIF(куб!$B:$B,$B1277,куб!H:H),IF($G1277&lt;&gt;0,SUMIF(куб!$A:$A,$G1277,куб!H:H),SUMIF(куб!$A:$A,$G1277,куб!H:H)))))))</f>
        <v>0</v>
      </c>
      <c r="I1277" s="27">
        <f>IF($G1277&lt;&gt;0,SUMIF(куб!$G:$G,$G1277,куб!I:I),IF($E1277&lt;&gt;0,SUMIF(куб!$E:$E,$E1277,куб!I:I),IF($D1277&lt;&gt;0,SUMIF(куб!$D:$D,$D1277,куб!I:I),IF($C1277&lt;&gt;0,SUMIF(куб!$C:$C,$C1277,куб!I:I),IF($B1277&lt;&gt;0,SUMIF(куб!$B:$B,$B1277,куб!I:I),IF($G1277&lt;&gt;0,SUMIF(куб!$A:$A,$G1277,куб!I:I),SUMIF(куб!$A:$A,$G1277,куб!I:I)))))))</f>
        <v>0</v>
      </c>
      <c r="J1277" s="19" t="str">
        <f t="shared" si="399"/>
        <v>-</v>
      </c>
      <c r="K1277" s="8"/>
      <c r="L1277" s="17">
        <f t="shared" si="400"/>
        <v>0</v>
      </c>
      <c r="M1277" s="17">
        <f t="shared" si="401"/>
        <v>0</v>
      </c>
      <c r="N1277" s="12">
        <f t="shared" si="402"/>
        <v>0</v>
      </c>
      <c r="O1277" s="5"/>
      <c r="P1277" s="27" t="b">
        <f>IF($G1277&lt;&gt;0,SUMIF(куб!$G:$G,$G1277,куб!J:J),IF($E1277&lt;&gt;0,SUMIF(куб!$E:$E,$E1277,куб!J:J),IF($D1277&lt;&gt;0,SUMIF(куб!$D:$D,$D1277,куб!J:J),IF($C1277&lt;&gt;0,SUMIF(куб!$C:$C,$C1277,куб!J:J),IF($B1277&lt;&gt;0,SUMIF(куб!$B:$B,$B1277,куб!J:J))))))</f>
        <v>0</v>
      </c>
      <c r="Q1277" s="27" t="b">
        <f>IF($G1277&lt;&gt;0,SUMIF(куб!$G:$G,$G1277,куб!K:K),IF($E1277&lt;&gt;0,SUMIF(куб!$E:$E,$E1277,куб!K:K),IF($D1277&lt;&gt;0,SUMIF(куб!$D:$D,$D1277,куб!K:K),IF($C1277&lt;&gt;0,SUMIF(куб!$C:$C,$C1277,куб!K:K),IF($B1277&lt;&gt;0,SUMIF(куб!$B:$B,$B1277,куб!K:K))))))</f>
        <v>0</v>
      </c>
      <c r="R1277" s="13" t="str">
        <f t="shared" si="403"/>
        <v>-</v>
      </c>
      <c r="S1277" s="5"/>
      <c r="T1277" s="27" t="b">
        <f>IF($G1277&lt;&gt;0,SUMIF(куб!$G:$G,$G1277,куб!L:L),IF($E1277&lt;&gt;0,SUMIF(куб!$E:$E,$E1277,куб!L:L),IF($D1277&lt;&gt;0,SUMIF(куб!$D:$D,$D1277,куб!L:L),IF($C1277&lt;&gt;0,SUMIF(куб!$C:$C,$C1277,куб!L:L),IF($B1277&lt;&gt;0,SUMIF(куб!$B:$B,$B1277,куб!L:L))))))</f>
        <v>0</v>
      </c>
      <c r="U1277" s="27" t="b">
        <f>IF($G1277&lt;&gt;0,SUMIF(куб!$G:$G,$G1277,куб!M:M),IF($E1277&lt;&gt;0,SUMIF(куб!$E:$E,$E1277,куб!M:M),IF($D1277&lt;&gt;0,SUMIF(куб!$D:$D,$D1277,куб!M:M),IF($C1277&lt;&gt;0,SUMIF(куб!$C:$C,$C1277,куб!M:M),IF($B1277&lt;&gt;0,SUMIF(куб!$B:$B,$B1277,куб!M:M))))))</f>
        <v>0</v>
      </c>
      <c r="V1277" s="13" t="str">
        <f t="shared" si="404"/>
        <v>-</v>
      </c>
      <c r="W1277" s="5"/>
      <c r="X1277" s="27" t="b">
        <f>IF($G1277&lt;&gt;0,SUMIF(куб!$G:$G,$G1277,куб!N:N),IF($E1277&lt;&gt;0,SUMIF(куб!$E:$E,$E1277,куб!N:N),IF($D1277&lt;&gt;0,SUMIF(куб!$D:$D,$D1277,куб!N:N),IF($C1277&lt;&gt;0,SUMIF(куб!$C:$C,$C1277,куб!N:N),IF($B1277&lt;&gt;0,SUMIF(куб!$B:$B,$B1277,куб!N:N))))))</f>
        <v>0</v>
      </c>
      <c r="Y1277" s="27" t="b">
        <f>IF($G1277&lt;&gt;0,SUMIF(куб!$G:$G,$G1277,куб!O:O),IF($E1277&lt;&gt;0,SUMIF(куб!$E:$E,$E1277,куб!O:O),IF($D1277&lt;&gt;0,SUMIF(куб!$D:$D,$D1277,куб!O:O),IF($C1277&lt;&gt;0,SUMIF(куб!$C:$C,$C1277,куб!O:O),IF($B1277&lt;&gt;0,SUMIF(куб!$B:$B,$B1277,куб!O:O))))))</f>
        <v>0</v>
      </c>
      <c r="Z1277" s="13" t="str">
        <f t="shared" si="405"/>
        <v>-</v>
      </c>
      <c r="AA1277" s="5"/>
      <c r="AB1277" s="33" t="str">
        <f t="shared" si="406"/>
        <v/>
      </c>
      <c r="AC1277" s="33" t="str">
        <f t="shared" si="407"/>
        <v/>
      </c>
      <c r="AD1277" s="15" t="str">
        <f t="shared" si="408"/>
        <v xml:space="preserve"> </v>
      </c>
      <c r="AE1277" s="5"/>
      <c r="AF1277" s="27" t="b">
        <f>IF($G1277&lt;&gt;0,SUMIF(куб!$G:$G,$G1277,куб!R:R),IF($E1277&lt;&gt;0,SUMIF(куб!$E:$E,$E1277,куб!R:R),IF($D1277&lt;&gt;0,SUMIF(куб!$D:$D,$D1277,куб!R:R),IF($C1277&lt;&gt;0,SUMIF(куб!$C:$C,$C1277,куб!R:R),IF($B1277&lt;&gt;0,SUMIF(куб!$B:$B,$B1277,куб!R:R))))))</f>
        <v>0</v>
      </c>
      <c r="AG1277" s="27" t="b">
        <f>IF($G1277&lt;&gt;0,SUMIF(куб!$G:$G,$G1277,куб!S:S),IF($E1277&lt;&gt;0,SUMIF(куб!$E:$E,$E1277,куб!S:S),IF($D1277&lt;&gt;0,SUMIF(куб!$D:$D,$D1277,куб!S:S),IF($C1277&lt;&gt;0,SUMIF(куб!$C:$C,$C1277,куб!S:S),IF($B1277&lt;&gt;0,SUMIF(куб!$B:$B,$B1277,куб!S:S))))))</f>
        <v>0</v>
      </c>
      <c r="AH1277" s="16" t="str">
        <f t="shared" si="409"/>
        <v>-</v>
      </c>
      <c r="AI1277" s="8"/>
      <c r="AJ1277" s="27" t="b">
        <f>IF($G1277&lt;&gt;0,SUMIF(куб!$G:$G,$G1277,куб!T:T),IF($E1277&lt;&gt;0,SUMIF(куб!$E:$E,$E1277,куб!T:T),IF($D1277&lt;&gt;0,SUMIF(куб!$D:$D,$D1277,куб!T:T),IF($C1277&lt;&gt;0,SUMIF(куб!$C:$C,$C1277,куб!T:T),IF($B1277&lt;&gt;0,SUMIF(куб!$B:$B,$B1277,куб!T:T))))))</f>
        <v>0</v>
      </c>
      <c r="AK1277" s="27" t="b">
        <f>IF($G1277&lt;&gt;0,SUMIF(куб!$G:$G,$G1277,куб!U:U),IF($E1277&lt;&gt;0,SUMIF(куб!$E:$E,$E1277,куб!U:U),IF($D1277&lt;&gt;0,SUMIF(куб!$D:$D,$D1277,куб!U:U),IF($C1277&lt;&gt;0,SUMIF(куб!$C:$C,$C1277,куб!U:U),IF($B1277&lt;&gt;0,SUMIF(куб!$B:$B,$B1277,куб!U:U))))))</f>
        <v>0</v>
      </c>
      <c r="AL1277" s="16" t="str">
        <f t="shared" si="410"/>
        <v>-</v>
      </c>
      <c r="AM1277" s="8"/>
      <c r="AN1277" s="17" t="str">
        <f t="shared" si="411"/>
        <v xml:space="preserve"> </v>
      </c>
      <c r="AO1277" s="17" t="str">
        <f t="shared" si="412"/>
        <v xml:space="preserve"> </v>
      </c>
      <c r="AP1277" s="16" t="str">
        <f t="shared" si="413"/>
        <v>-</v>
      </c>
      <c r="AQ1277" s="8"/>
      <c r="AR1277" s="17" t="str">
        <f t="shared" si="414"/>
        <v>-</v>
      </c>
      <c r="AS1277" s="17" t="str">
        <f t="shared" si="415"/>
        <v>-</v>
      </c>
      <c r="AT1277" s="13" t="str">
        <f t="shared" si="416"/>
        <v>-</v>
      </c>
      <c r="AU1277" s="8"/>
    </row>
    <row r="1278" spans="8:47" x14ac:dyDescent="0.25">
      <c r="H1278" s="27">
        <f>IF($G1278&lt;&gt;0,SUMIF(куб!$G:$G,$G1278,куб!H:H),IF($E1278&lt;&gt;0,SUMIF(куб!$E:$E,$E1278,куб!H:H),IF($D1278&lt;&gt;0,SUMIF(куб!$D:$D,$D1278,куб!H:H),IF($C1278&lt;&gt;0,SUMIF(куб!$C:$C,$C1278,куб!H:H),IF($B1278&lt;&gt;0,SUMIF(куб!$B:$B,$B1278,куб!H:H),IF($G1278&lt;&gt;0,SUMIF(куб!$A:$A,$G1278,куб!H:H),SUMIF(куб!$A:$A,$G1278,куб!H:H)))))))</f>
        <v>0</v>
      </c>
      <c r="I1278" s="27">
        <f>IF($G1278&lt;&gt;0,SUMIF(куб!$G:$G,$G1278,куб!I:I),IF($E1278&lt;&gt;0,SUMIF(куб!$E:$E,$E1278,куб!I:I),IF($D1278&lt;&gt;0,SUMIF(куб!$D:$D,$D1278,куб!I:I),IF($C1278&lt;&gt;0,SUMIF(куб!$C:$C,$C1278,куб!I:I),IF($B1278&lt;&gt;0,SUMIF(куб!$B:$B,$B1278,куб!I:I),IF($G1278&lt;&gt;0,SUMIF(куб!$A:$A,$G1278,куб!I:I),SUMIF(куб!$A:$A,$G1278,куб!I:I)))))))</f>
        <v>0</v>
      </c>
      <c r="J1278" s="19" t="str">
        <f t="shared" si="399"/>
        <v>-</v>
      </c>
      <c r="K1278" s="8"/>
      <c r="L1278" s="17">
        <f t="shared" si="400"/>
        <v>0</v>
      </c>
      <c r="M1278" s="17">
        <f t="shared" si="401"/>
        <v>0</v>
      </c>
      <c r="N1278" s="12">
        <f t="shared" si="402"/>
        <v>0</v>
      </c>
      <c r="O1278" s="5"/>
      <c r="P1278" s="27" t="b">
        <f>IF($G1278&lt;&gt;0,SUMIF(куб!$G:$G,$G1278,куб!J:J),IF($E1278&lt;&gt;0,SUMIF(куб!$E:$E,$E1278,куб!J:J),IF($D1278&lt;&gt;0,SUMIF(куб!$D:$D,$D1278,куб!J:J),IF($C1278&lt;&gt;0,SUMIF(куб!$C:$C,$C1278,куб!J:J),IF($B1278&lt;&gt;0,SUMIF(куб!$B:$B,$B1278,куб!J:J))))))</f>
        <v>0</v>
      </c>
      <c r="Q1278" s="27" t="b">
        <f>IF($G1278&lt;&gt;0,SUMIF(куб!$G:$G,$G1278,куб!K:K),IF($E1278&lt;&gt;0,SUMIF(куб!$E:$E,$E1278,куб!K:K),IF($D1278&lt;&gt;0,SUMIF(куб!$D:$D,$D1278,куб!K:K),IF($C1278&lt;&gt;0,SUMIF(куб!$C:$C,$C1278,куб!K:K),IF($B1278&lt;&gt;0,SUMIF(куб!$B:$B,$B1278,куб!K:K))))))</f>
        <v>0</v>
      </c>
      <c r="R1278" s="13" t="str">
        <f t="shared" si="403"/>
        <v>-</v>
      </c>
      <c r="S1278" s="5"/>
      <c r="T1278" s="27" t="b">
        <f>IF($G1278&lt;&gt;0,SUMIF(куб!$G:$G,$G1278,куб!L:L),IF($E1278&lt;&gt;0,SUMIF(куб!$E:$E,$E1278,куб!L:L),IF($D1278&lt;&gt;0,SUMIF(куб!$D:$D,$D1278,куб!L:L),IF($C1278&lt;&gt;0,SUMIF(куб!$C:$C,$C1278,куб!L:L),IF($B1278&lt;&gt;0,SUMIF(куб!$B:$B,$B1278,куб!L:L))))))</f>
        <v>0</v>
      </c>
      <c r="U1278" s="27" t="b">
        <f>IF($G1278&lt;&gt;0,SUMIF(куб!$G:$G,$G1278,куб!M:M),IF($E1278&lt;&gt;0,SUMIF(куб!$E:$E,$E1278,куб!M:M),IF($D1278&lt;&gt;0,SUMIF(куб!$D:$D,$D1278,куб!M:M),IF($C1278&lt;&gt;0,SUMIF(куб!$C:$C,$C1278,куб!M:M),IF($B1278&lt;&gt;0,SUMIF(куб!$B:$B,$B1278,куб!M:M))))))</f>
        <v>0</v>
      </c>
      <c r="V1278" s="13" t="str">
        <f t="shared" si="404"/>
        <v>-</v>
      </c>
      <c r="W1278" s="5"/>
      <c r="X1278" s="27" t="b">
        <f>IF($G1278&lt;&gt;0,SUMIF(куб!$G:$G,$G1278,куб!N:N),IF($E1278&lt;&gt;0,SUMIF(куб!$E:$E,$E1278,куб!N:N),IF($D1278&lt;&gt;0,SUMIF(куб!$D:$D,$D1278,куб!N:N),IF($C1278&lt;&gt;0,SUMIF(куб!$C:$C,$C1278,куб!N:N),IF($B1278&lt;&gt;0,SUMIF(куб!$B:$B,$B1278,куб!N:N))))))</f>
        <v>0</v>
      </c>
      <c r="Y1278" s="27" t="b">
        <f>IF($G1278&lt;&gt;0,SUMIF(куб!$G:$G,$G1278,куб!O:O),IF($E1278&lt;&gt;0,SUMIF(куб!$E:$E,$E1278,куб!O:O),IF($D1278&lt;&gt;0,SUMIF(куб!$D:$D,$D1278,куб!O:O),IF($C1278&lt;&gt;0,SUMIF(куб!$C:$C,$C1278,куб!O:O),IF($B1278&lt;&gt;0,SUMIF(куб!$B:$B,$B1278,куб!O:O))))))</f>
        <v>0</v>
      </c>
      <c r="Z1278" s="13" t="str">
        <f t="shared" si="405"/>
        <v>-</v>
      </c>
      <c r="AA1278" s="5"/>
      <c r="AB1278" s="33" t="str">
        <f t="shared" si="406"/>
        <v/>
      </c>
      <c r="AC1278" s="33" t="str">
        <f t="shared" si="407"/>
        <v/>
      </c>
      <c r="AD1278" s="15" t="str">
        <f t="shared" si="408"/>
        <v xml:space="preserve"> </v>
      </c>
      <c r="AE1278" s="5"/>
      <c r="AF1278" s="27" t="b">
        <f>IF($G1278&lt;&gt;0,SUMIF(куб!$G:$G,$G1278,куб!R:R),IF($E1278&lt;&gt;0,SUMIF(куб!$E:$E,$E1278,куб!R:R),IF($D1278&lt;&gt;0,SUMIF(куб!$D:$D,$D1278,куб!R:R),IF($C1278&lt;&gt;0,SUMIF(куб!$C:$C,$C1278,куб!R:R),IF($B1278&lt;&gt;0,SUMIF(куб!$B:$B,$B1278,куб!R:R))))))</f>
        <v>0</v>
      </c>
      <c r="AG1278" s="27" t="b">
        <f>IF($G1278&lt;&gt;0,SUMIF(куб!$G:$G,$G1278,куб!S:S),IF($E1278&lt;&gt;0,SUMIF(куб!$E:$E,$E1278,куб!S:S),IF($D1278&lt;&gt;0,SUMIF(куб!$D:$D,$D1278,куб!S:S),IF($C1278&lt;&gt;0,SUMIF(куб!$C:$C,$C1278,куб!S:S),IF($B1278&lt;&gt;0,SUMIF(куб!$B:$B,$B1278,куб!S:S))))))</f>
        <v>0</v>
      </c>
      <c r="AH1278" s="16" t="str">
        <f t="shared" si="409"/>
        <v>-</v>
      </c>
      <c r="AI1278" s="8"/>
      <c r="AJ1278" s="27" t="b">
        <f>IF($G1278&lt;&gt;0,SUMIF(куб!$G:$G,$G1278,куб!T:T),IF($E1278&lt;&gt;0,SUMIF(куб!$E:$E,$E1278,куб!T:T),IF($D1278&lt;&gt;0,SUMIF(куб!$D:$D,$D1278,куб!T:T),IF($C1278&lt;&gt;0,SUMIF(куб!$C:$C,$C1278,куб!T:T),IF($B1278&lt;&gt;0,SUMIF(куб!$B:$B,$B1278,куб!T:T))))))</f>
        <v>0</v>
      </c>
      <c r="AK1278" s="27" t="b">
        <f>IF($G1278&lt;&gt;0,SUMIF(куб!$G:$G,$G1278,куб!U:U),IF($E1278&lt;&gt;0,SUMIF(куб!$E:$E,$E1278,куб!U:U),IF($D1278&lt;&gt;0,SUMIF(куб!$D:$D,$D1278,куб!U:U),IF($C1278&lt;&gt;0,SUMIF(куб!$C:$C,$C1278,куб!U:U),IF($B1278&lt;&gt;0,SUMIF(куб!$B:$B,$B1278,куб!U:U))))))</f>
        <v>0</v>
      </c>
      <c r="AL1278" s="16" t="str">
        <f t="shared" si="410"/>
        <v>-</v>
      </c>
      <c r="AM1278" s="8"/>
      <c r="AN1278" s="17" t="str">
        <f t="shared" si="411"/>
        <v xml:space="preserve"> </v>
      </c>
      <c r="AO1278" s="17" t="str">
        <f t="shared" si="412"/>
        <v xml:space="preserve"> </v>
      </c>
      <c r="AP1278" s="16" t="str">
        <f t="shared" si="413"/>
        <v>-</v>
      </c>
      <c r="AQ1278" s="8"/>
      <c r="AR1278" s="17" t="str">
        <f t="shared" si="414"/>
        <v>-</v>
      </c>
      <c r="AS1278" s="17" t="str">
        <f t="shared" si="415"/>
        <v>-</v>
      </c>
      <c r="AT1278" s="13" t="str">
        <f t="shared" si="416"/>
        <v>-</v>
      </c>
      <c r="AU1278" s="8"/>
    </row>
    <row r="1279" spans="8:47" x14ac:dyDescent="0.25">
      <c r="H1279" s="27">
        <f>IF($G1279&lt;&gt;0,SUMIF(куб!$G:$G,$G1279,куб!H:H),IF($E1279&lt;&gt;0,SUMIF(куб!$E:$E,$E1279,куб!H:H),IF($D1279&lt;&gt;0,SUMIF(куб!$D:$D,$D1279,куб!H:H),IF($C1279&lt;&gt;0,SUMIF(куб!$C:$C,$C1279,куб!H:H),IF($B1279&lt;&gt;0,SUMIF(куб!$B:$B,$B1279,куб!H:H),IF($G1279&lt;&gt;0,SUMIF(куб!$A:$A,$G1279,куб!H:H),SUMIF(куб!$A:$A,$G1279,куб!H:H)))))))</f>
        <v>0</v>
      </c>
      <c r="I1279" s="27">
        <f>IF($G1279&lt;&gt;0,SUMIF(куб!$G:$G,$G1279,куб!I:I),IF($E1279&lt;&gt;0,SUMIF(куб!$E:$E,$E1279,куб!I:I),IF($D1279&lt;&gt;0,SUMIF(куб!$D:$D,$D1279,куб!I:I),IF($C1279&lt;&gt;0,SUMIF(куб!$C:$C,$C1279,куб!I:I),IF($B1279&lt;&gt;0,SUMIF(куб!$B:$B,$B1279,куб!I:I),IF($G1279&lt;&gt;0,SUMIF(куб!$A:$A,$G1279,куб!I:I),SUMIF(куб!$A:$A,$G1279,куб!I:I)))))))</f>
        <v>0</v>
      </c>
      <c r="J1279" s="19" t="str">
        <f t="shared" si="399"/>
        <v>-</v>
      </c>
      <c r="K1279" s="8"/>
      <c r="L1279" s="17">
        <f t="shared" si="400"/>
        <v>0</v>
      </c>
      <c r="M1279" s="17">
        <f t="shared" si="401"/>
        <v>0</v>
      </c>
      <c r="N1279" s="12">
        <f t="shared" si="402"/>
        <v>0</v>
      </c>
      <c r="O1279" s="5"/>
      <c r="P1279" s="27" t="b">
        <f>IF($G1279&lt;&gt;0,SUMIF(куб!$G:$G,$G1279,куб!J:J),IF($E1279&lt;&gt;0,SUMIF(куб!$E:$E,$E1279,куб!J:J),IF($D1279&lt;&gt;0,SUMIF(куб!$D:$D,$D1279,куб!J:J),IF($C1279&lt;&gt;0,SUMIF(куб!$C:$C,$C1279,куб!J:J),IF($B1279&lt;&gt;0,SUMIF(куб!$B:$B,$B1279,куб!J:J))))))</f>
        <v>0</v>
      </c>
      <c r="Q1279" s="27" t="b">
        <f>IF($G1279&lt;&gt;0,SUMIF(куб!$G:$G,$G1279,куб!K:K),IF($E1279&lt;&gt;0,SUMIF(куб!$E:$E,$E1279,куб!K:K),IF($D1279&lt;&gt;0,SUMIF(куб!$D:$D,$D1279,куб!K:K),IF($C1279&lt;&gt;0,SUMIF(куб!$C:$C,$C1279,куб!K:K),IF($B1279&lt;&gt;0,SUMIF(куб!$B:$B,$B1279,куб!K:K))))))</f>
        <v>0</v>
      </c>
      <c r="R1279" s="13" t="str">
        <f t="shared" si="403"/>
        <v>-</v>
      </c>
      <c r="S1279" s="5"/>
      <c r="T1279" s="27" t="b">
        <f>IF($G1279&lt;&gt;0,SUMIF(куб!$G:$G,$G1279,куб!L:L),IF($E1279&lt;&gt;0,SUMIF(куб!$E:$E,$E1279,куб!L:L),IF($D1279&lt;&gt;0,SUMIF(куб!$D:$D,$D1279,куб!L:L),IF($C1279&lt;&gt;0,SUMIF(куб!$C:$C,$C1279,куб!L:L),IF($B1279&lt;&gt;0,SUMIF(куб!$B:$B,$B1279,куб!L:L))))))</f>
        <v>0</v>
      </c>
      <c r="U1279" s="27" t="b">
        <f>IF($G1279&lt;&gt;0,SUMIF(куб!$G:$G,$G1279,куб!M:M),IF($E1279&lt;&gt;0,SUMIF(куб!$E:$E,$E1279,куб!M:M),IF($D1279&lt;&gt;0,SUMIF(куб!$D:$D,$D1279,куб!M:M),IF($C1279&lt;&gt;0,SUMIF(куб!$C:$C,$C1279,куб!M:M),IF($B1279&lt;&gt;0,SUMIF(куб!$B:$B,$B1279,куб!M:M))))))</f>
        <v>0</v>
      </c>
      <c r="V1279" s="13" t="str">
        <f t="shared" si="404"/>
        <v>-</v>
      </c>
      <c r="W1279" s="5"/>
      <c r="X1279" s="27" t="b">
        <f>IF($G1279&lt;&gt;0,SUMIF(куб!$G:$G,$G1279,куб!N:N),IF($E1279&lt;&gt;0,SUMIF(куб!$E:$E,$E1279,куб!N:N),IF($D1279&lt;&gt;0,SUMIF(куб!$D:$D,$D1279,куб!N:N),IF($C1279&lt;&gt;0,SUMIF(куб!$C:$C,$C1279,куб!N:N),IF($B1279&lt;&gt;0,SUMIF(куб!$B:$B,$B1279,куб!N:N))))))</f>
        <v>0</v>
      </c>
      <c r="Y1279" s="27" t="b">
        <f>IF($G1279&lt;&gt;0,SUMIF(куб!$G:$G,$G1279,куб!O:O),IF($E1279&lt;&gt;0,SUMIF(куб!$E:$E,$E1279,куб!O:O),IF($D1279&lt;&gt;0,SUMIF(куб!$D:$D,$D1279,куб!O:O),IF($C1279&lt;&gt;0,SUMIF(куб!$C:$C,$C1279,куб!O:O),IF($B1279&lt;&gt;0,SUMIF(куб!$B:$B,$B1279,куб!O:O))))))</f>
        <v>0</v>
      </c>
      <c r="Z1279" s="13" t="str">
        <f t="shared" si="405"/>
        <v>-</v>
      </c>
      <c r="AA1279" s="5"/>
      <c r="AB1279" s="33" t="str">
        <f t="shared" si="406"/>
        <v/>
      </c>
      <c r="AC1279" s="33" t="str">
        <f t="shared" si="407"/>
        <v/>
      </c>
      <c r="AD1279" s="15" t="str">
        <f t="shared" si="408"/>
        <v xml:space="preserve"> </v>
      </c>
      <c r="AE1279" s="5"/>
      <c r="AF1279" s="27" t="b">
        <f>IF($G1279&lt;&gt;0,SUMIF(куб!$G:$G,$G1279,куб!R:R),IF($E1279&lt;&gt;0,SUMIF(куб!$E:$E,$E1279,куб!R:R),IF($D1279&lt;&gt;0,SUMIF(куб!$D:$D,$D1279,куб!R:R),IF($C1279&lt;&gt;0,SUMIF(куб!$C:$C,$C1279,куб!R:R),IF($B1279&lt;&gt;0,SUMIF(куб!$B:$B,$B1279,куб!R:R))))))</f>
        <v>0</v>
      </c>
      <c r="AG1279" s="27" t="b">
        <f>IF($G1279&lt;&gt;0,SUMIF(куб!$G:$G,$G1279,куб!S:S),IF($E1279&lt;&gt;0,SUMIF(куб!$E:$E,$E1279,куб!S:S),IF($D1279&lt;&gt;0,SUMIF(куб!$D:$D,$D1279,куб!S:S),IF($C1279&lt;&gt;0,SUMIF(куб!$C:$C,$C1279,куб!S:S),IF($B1279&lt;&gt;0,SUMIF(куб!$B:$B,$B1279,куб!S:S))))))</f>
        <v>0</v>
      </c>
      <c r="AH1279" s="16" t="str">
        <f t="shared" si="409"/>
        <v>-</v>
      </c>
      <c r="AI1279" s="8"/>
      <c r="AJ1279" s="27" t="b">
        <f>IF($G1279&lt;&gt;0,SUMIF(куб!$G:$G,$G1279,куб!T:T),IF($E1279&lt;&gt;0,SUMIF(куб!$E:$E,$E1279,куб!T:T),IF($D1279&lt;&gt;0,SUMIF(куб!$D:$D,$D1279,куб!T:T),IF($C1279&lt;&gt;0,SUMIF(куб!$C:$C,$C1279,куб!T:T),IF($B1279&lt;&gt;0,SUMIF(куб!$B:$B,$B1279,куб!T:T))))))</f>
        <v>0</v>
      </c>
      <c r="AK1279" s="27" t="b">
        <f>IF($G1279&lt;&gt;0,SUMIF(куб!$G:$G,$G1279,куб!U:U),IF($E1279&lt;&gt;0,SUMIF(куб!$E:$E,$E1279,куб!U:U),IF($D1279&lt;&gt;0,SUMIF(куб!$D:$D,$D1279,куб!U:U),IF($C1279&lt;&gt;0,SUMIF(куб!$C:$C,$C1279,куб!U:U),IF($B1279&lt;&gt;0,SUMIF(куб!$B:$B,$B1279,куб!U:U))))))</f>
        <v>0</v>
      </c>
      <c r="AL1279" s="16" t="str">
        <f t="shared" si="410"/>
        <v>-</v>
      </c>
      <c r="AM1279" s="8"/>
      <c r="AN1279" s="17" t="str">
        <f t="shared" si="411"/>
        <v xml:space="preserve"> </v>
      </c>
      <c r="AO1279" s="17" t="str">
        <f t="shared" si="412"/>
        <v xml:space="preserve"> </v>
      </c>
      <c r="AP1279" s="16" t="str">
        <f t="shared" si="413"/>
        <v>-</v>
      </c>
      <c r="AQ1279" s="8"/>
      <c r="AR1279" s="17" t="str">
        <f t="shared" si="414"/>
        <v>-</v>
      </c>
      <c r="AS1279" s="17" t="str">
        <f t="shared" si="415"/>
        <v>-</v>
      </c>
      <c r="AT1279" s="13" t="str">
        <f t="shared" si="416"/>
        <v>-</v>
      </c>
      <c r="AU1279" s="8"/>
    </row>
    <row r="1280" spans="8:47" x14ac:dyDescent="0.25">
      <c r="H1280" s="27">
        <f>IF($G1280&lt;&gt;0,SUMIF(куб!$G:$G,$G1280,куб!H:H),IF($E1280&lt;&gt;0,SUMIF(куб!$E:$E,$E1280,куб!H:H),IF($D1280&lt;&gt;0,SUMIF(куб!$D:$D,$D1280,куб!H:H),IF($C1280&lt;&gt;0,SUMIF(куб!$C:$C,$C1280,куб!H:H),IF($B1280&lt;&gt;0,SUMIF(куб!$B:$B,$B1280,куб!H:H),IF($G1280&lt;&gt;0,SUMIF(куб!$A:$A,$G1280,куб!H:H),SUMIF(куб!$A:$A,$G1280,куб!H:H)))))))</f>
        <v>0</v>
      </c>
      <c r="I1280" s="27">
        <f>IF($G1280&lt;&gt;0,SUMIF(куб!$G:$G,$G1280,куб!I:I),IF($E1280&lt;&gt;0,SUMIF(куб!$E:$E,$E1280,куб!I:I),IF($D1280&lt;&gt;0,SUMIF(куб!$D:$D,$D1280,куб!I:I),IF($C1280&lt;&gt;0,SUMIF(куб!$C:$C,$C1280,куб!I:I),IF($B1280&lt;&gt;0,SUMIF(куб!$B:$B,$B1280,куб!I:I),IF($G1280&lt;&gt;0,SUMIF(куб!$A:$A,$G1280,куб!I:I),SUMIF(куб!$A:$A,$G1280,куб!I:I)))))))</f>
        <v>0</v>
      </c>
      <c r="J1280" s="19" t="str">
        <f t="shared" si="399"/>
        <v>-</v>
      </c>
      <c r="K1280" s="8"/>
      <c r="L1280" s="17">
        <f t="shared" si="400"/>
        <v>0</v>
      </c>
      <c r="M1280" s="17">
        <f t="shared" si="401"/>
        <v>0</v>
      </c>
      <c r="N1280" s="12">
        <f t="shared" si="402"/>
        <v>0</v>
      </c>
      <c r="O1280" s="5"/>
      <c r="P1280" s="27" t="b">
        <f>IF($G1280&lt;&gt;0,SUMIF(куб!$G:$G,$G1280,куб!J:J),IF($E1280&lt;&gt;0,SUMIF(куб!$E:$E,$E1280,куб!J:J),IF($D1280&lt;&gt;0,SUMIF(куб!$D:$D,$D1280,куб!J:J),IF($C1280&lt;&gt;0,SUMIF(куб!$C:$C,$C1280,куб!J:J),IF($B1280&lt;&gt;0,SUMIF(куб!$B:$B,$B1280,куб!J:J))))))</f>
        <v>0</v>
      </c>
      <c r="Q1280" s="27" t="b">
        <f>IF($G1280&lt;&gt;0,SUMIF(куб!$G:$G,$G1280,куб!K:K),IF($E1280&lt;&gt;0,SUMIF(куб!$E:$E,$E1280,куб!K:K),IF($D1280&lt;&gt;0,SUMIF(куб!$D:$D,$D1280,куб!K:K),IF($C1280&lt;&gt;0,SUMIF(куб!$C:$C,$C1280,куб!K:K),IF($B1280&lt;&gt;0,SUMIF(куб!$B:$B,$B1280,куб!K:K))))))</f>
        <v>0</v>
      </c>
      <c r="R1280" s="13" t="str">
        <f t="shared" si="403"/>
        <v>-</v>
      </c>
      <c r="S1280" s="5"/>
      <c r="T1280" s="27" t="b">
        <f>IF($G1280&lt;&gt;0,SUMIF(куб!$G:$G,$G1280,куб!L:L),IF($E1280&lt;&gt;0,SUMIF(куб!$E:$E,$E1280,куб!L:L),IF($D1280&lt;&gt;0,SUMIF(куб!$D:$D,$D1280,куб!L:L),IF($C1280&lt;&gt;0,SUMIF(куб!$C:$C,$C1280,куб!L:L),IF($B1280&lt;&gt;0,SUMIF(куб!$B:$B,$B1280,куб!L:L))))))</f>
        <v>0</v>
      </c>
      <c r="U1280" s="27" t="b">
        <f>IF($G1280&lt;&gt;0,SUMIF(куб!$G:$G,$G1280,куб!M:M),IF($E1280&lt;&gt;0,SUMIF(куб!$E:$E,$E1280,куб!M:M),IF($D1280&lt;&gt;0,SUMIF(куб!$D:$D,$D1280,куб!M:M),IF($C1280&lt;&gt;0,SUMIF(куб!$C:$C,$C1280,куб!M:M),IF($B1280&lt;&gt;0,SUMIF(куб!$B:$B,$B1280,куб!M:M))))))</f>
        <v>0</v>
      </c>
      <c r="V1280" s="13" t="str">
        <f t="shared" si="404"/>
        <v>-</v>
      </c>
      <c r="W1280" s="5"/>
      <c r="X1280" s="27" t="b">
        <f>IF($G1280&lt;&gt;0,SUMIF(куб!$G:$G,$G1280,куб!N:N),IF($E1280&lt;&gt;0,SUMIF(куб!$E:$E,$E1280,куб!N:N),IF($D1280&lt;&gt;0,SUMIF(куб!$D:$D,$D1280,куб!N:N),IF($C1280&lt;&gt;0,SUMIF(куб!$C:$C,$C1280,куб!N:N),IF($B1280&lt;&gt;0,SUMIF(куб!$B:$B,$B1280,куб!N:N))))))</f>
        <v>0</v>
      </c>
      <c r="Y1280" s="27" t="b">
        <f>IF($G1280&lt;&gt;0,SUMIF(куб!$G:$G,$G1280,куб!O:O),IF($E1280&lt;&gt;0,SUMIF(куб!$E:$E,$E1280,куб!O:O),IF($D1280&lt;&gt;0,SUMIF(куб!$D:$D,$D1280,куб!O:O),IF($C1280&lt;&gt;0,SUMIF(куб!$C:$C,$C1280,куб!O:O),IF($B1280&lt;&gt;0,SUMIF(куб!$B:$B,$B1280,куб!O:O))))))</f>
        <v>0</v>
      </c>
      <c r="Z1280" s="13" t="str">
        <f t="shared" si="405"/>
        <v>-</v>
      </c>
      <c r="AA1280" s="5"/>
      <c r="AB1280" s="33" t="str">
        <f t="shared" si="406"/>
        <v/>
      </c>
      <c r="AC1280" s="33" t="str">
        <f t="shared" si="407"/>
        <v/>
      </c>
      <c r="AD1280" s="15" t="str">
        <f t="shared" si="408"/>
        <v xml:space="preserve"> </v>
      </c>
      <c r="AE1280" s="5"/>
      <c r="AF1280" s="27" t="b">
        <f>IF($G1280&lt;&gt;0,SUMIF(куб!$G:$G,$G1280,куб!R:R),IF($E1280&lt;&gt;0,SUMIF(куб!$E:$E,$E1280,куб!R:R),IF($D1280&lt;&gt;0,SUMIF(куб!$D:$D,$D1280,куб!R:R),IF($C1280&lt;&gt;0,SUMIF(куб!$C:$C,$C1280,куб!R:R),IF($B1280&lt;&gt;0,SUMIF(куб!$B:$B,$B1280,куб!R:R))))))</f>
        <v>0</v>
      </c>
      <c r="AG1280" s="27" t="b">
        <f>IF($G1280&lt;&gt;0,SUMIF(куб!$G:$G,$G1280,куб!S:S),IF($E1280&lt;&gt;0,SUMIF(куб!$E:$E,$E1280,куб!S:S),IF($D1280&lt;&gt;0,SUMIF(куб!$D:$D,$D1280,куб!S:S),IF($C1280&lt;&gt;0,SUMIF(куб!$C:$C,$C1280,куб!S:S),IF($B1280&lt;&gt;0,SUMIF(куб!$B:$B,$B1280,куб!S:S))))))</f>
        <v>0</v>
      </c>
      <c r="AH1280" s="16" t="str">
        <f t="shared" si="409"/>
        <v>-</v>
      </c>
      <c r="AI1280" s="8"/>
      <c r="AJ1280" s="27" t="b">
        <f>IF($G1280&lt;&gt;0,SUMIF(куб!$G:$G,$G1280,куб!T:T),IF($E1280&lt;&gt;0,SUMIF(куб!$E:$E,$E1280,куб!T:T),IF($D1280&lt;&gt;0,SUMIF(куб!$D:$D,$D1280,куб!T:T),IF($C1280&lt;&gt;0,SUMIF(куб!$C:$C,$C1280,куб!T:T),IF($B1280&lt;&gt;0,SUMIF(куб!$B:$B,$B1280,куб!T:T))))))</f>
        <v>0</v>
      </c>
      <c r="AK1280" s="27" t="b">
        <f>IF($G1280&lt;&gt;0,SUMIF(куб!$G:$G,$G1280,куб!U:U),IF($E1280&lt;&gt;0,SUMIF(куб!$E:$E,$E1280,куб!U:U),IF($D1280&lt;&gt;0,SUMIF(куб!$D:$D,$D1280,куб!U:U),IF($C1280&lt;&gt;0,SUMIF(куб!$C:$C,$C1280,куб!U:U),IF($B1280&lt;&gt;0,SUMIF(куб!$B:$B,$B1280,куб!U:U))))))</f>
        <v>0</v>
      </c>
      <c r="AL1280" s="16" t="str">
        <f t="shared" si="410"/>
        <v>-</v>
      </c>
      <c r="AM1280" s="8"/>
      <c r="AN1280" s="17" t="str">
        <f t="shared" si="411"/>
        <v xml:space="preserve"> </v>
      </c>
      <c r="AO1280" s="17" t="str">
        <f t="shared" si="412"/>
        <v xml:space="preserve"> </v>
      </c>
      <c r="AP1280" s="16" t="str">
        <f t="shared" si="413"/>
        <v>-</v>
      </c>
      <c r="AQ1280" s="8"/>
      <c r="AR1280" s="17" t="str">
        <f t="shared" si="414"/>
        <v>-</v>
      </c>
      <c r="AS1280" s="17" t="str">
        <f t="shared" si="415"/>
        <v>-</v>
      </c>
      <c r="AT1280" s="13" t="str">
        <f t="shared" si="416"/>
        <v>-</v>
      </c>
      <c r="AU1280" s="8"/>
    </row>
    <row r="1281" spans="8:47" x14ac:dyDescent="0.25">
      <c r="H1281" s="27">
        <f>IF($G1281&lt;&gt;0,SUMIF(куб!$G:$G,$G1281,куб!H:H),IF($E1281&lt;&gt;0,SUMIF(куб!$E:$E,$E1281,куб!H:H),IF($D1281&lt;&gt;0,SUMIF(куб!$D:$D,$D1281,куб!H:H),IF($C1281&lt;&gt;0,SUMIF(куб!$C:$C,$C1281,куб!H:H),IF($B1281&lt;&gt;0,SUMIF(куб!$B:$B,$B1281,куб!H:H),IF($G1281&lt;&gt;0,SUMIF(куб!$A:$A,$G1281,куб!H:H),SUMIF(куб!$A:$A,$G1281,куб!H:H)))))))</f>
        <v>0</v>
      </c>
      <c r="I1281" s="27">
        <f>IF($G1281&lt;&gt;0,SUMIF(куб!$G:$G,$G1281,куб!I:I),IF($E1281&lt;&gt;0,SUMIF(куб!$E:$E,$E1281,куб!I:I),IF($D1281&lt;&gt;0,SUMIF(куб!$D:$D,$D1281,куб!I:I),IF($C1281&lt;&gt;0,SUMIF(куб!$C:$C,$C1281,куб!I:I),IF($B1281&lt;&gt;0,SUMIF(куб!$B:$B,$B1281,куб!I:I),IF($G1281&lt;&gt;0,SUMIF(куб!$A:$A,$G1281,куб!I:I),SUMIF(куб!$A:$A,$G1281,куб!I:I)))))))</f>
        <v>0</v>
      </c>
      <c r="J1281" s="19" t="str">
        <f t="shared" si="399"/>
        <v>-</v>
      </c>
      <c r="K1281" s="8"/>
      <c r="L1281" s="17">
        <f t="shared" si="400"/>
        <v>0</v>
      </c>
      <c r="M1281" s="17">
        <f t="shared" si="401"/>
        <v>0</v>
      </c>
      <c r="N1281" s="12">
        <f t="shared" si="402"/>
        <v>0</v>
      </c>
      <c r="O1281" s="5"/>
      <c r="P1281" s="27" t="b">
        <f>IF($G1281&lt;&gt;0,SUMIF(куб!$G:$G,$G1281,куб!J:J),IF($E1281&lt;&gt;0,SUMIF(куб!$E:$E,$E1281,куб!J:J),IF($D1281&lt;&gt;0,SUMIF(куб!$D:$D,$D1281,куб!J:J),IF($C1281&lt;&gt;0,SUMIF(куб!$C:$C,$C1281,куб!J:J),IF($B1281&lt;&gt;0,SUMIF(куб!$B:$B,$B1281,куб!J:J))))))</f>
        <v>0</v>
      </c>
      <c r="Q1281" s="27" t="b">
        <f>IF($G1281&lt;&gt;0,SUMIF(куб!$G:$G,$G1281,куб!K:K),IF($E1281&lt;&gt;0,SUMIF(куб!$E:$E,$E1281,куб!K:K),IF($D1281&lt;&gt;0,SUMIF(куб!$D:$D,$D1281,куб!K:K),IF($C1281&lt;&gt;0,SUMIF(куб!$C:$C,$C1281,куб!K:K),IF($B1281&lt;&gt;0,SUMIF(куб!$B:$B,$B1281,куб!K:K))))))</f>
        <v>0</v>
      </c>
      <c r="R1281" s="13" t="str">
        <f t="shared" si="403"/>
        <v>-</v>
      </c>
      <c r="S1281" s="5"/>
      <c r="T1281" s="27" t="b">
        <f>IF($G1281&lt;&gt;0,SUMIF(куб!$G:$G,$G1281,куб!L:L),IF($E1281&lt;&gt;0,SUMIF(куб!$E:$E,$E1281,куб!L:L),IF($D1281&lt;&gt;0,SUMIF(куб!$D:$D,$D1281,куб!L:L),IF($C1281&lt;&gt;0,SUMIF(куб!$C:$C,$C1281,куб!L:L),IF($B1281&lt;&gt;0,SUMIF(куб!$B:$B,$B1281,куб!L:L))))))</f>
        <v>0</v>
      </c>
      <c r="U1281" s="27" t="b">
        <f>IF($G1281&lt;&gt;0,SUMIF(куб!$G:$G,$G1281,куб!M:M),IF($E1281&lt;&gt;0,SUMIF(куб!$E:$E,$E1281,куб!M:M),IF($D1281&lt;&gt;0,SUMIF(куб!$D:$D,$D1281,куб!M:M),IF($C1281&lt;&gt;0,SUMIF(куб!$C:$C,$C1281,куб!M:M),IF($B1281&lt;&gt;0,SUMIF(куб!$B:$B,$B1281,куб!M:M))))))</f>
        <v>0</v>
      </c>
      <c r="V1281" s="13" t="str">
        <f t="shared" si="404"/>
        <v>-</v>
      </c>
      <c r="W1281" s="5"/>
      <c r="X1281" s="27" t="b">
        <f>IF($G1281&lt;&gt;0,SUMIF(куб!$G:$G,$G1281,куб!N:N),IF($E1281&lt;&gt;0,SUMIF(куб!$E:$E,$E1281,куб!N:N),IF($D1281&lt;&gt;0,SUMIF(куб!$D:$D,$D1281,куб!N:N),IF($C1281&lt;&gt;0,SUMIF(куб!$C:$C,$C1281,куб!N:N),IF($B1281&lt;&gt;0,SUMIF(куб!$B:$B,$B1281,куб!N:N))))))</f>
        <v>0</v>
      </c>
      <c r="Y1281" s="27" t="b">
        <f>IF($G1281&lt;&gt;0,SUMIF(куб!$G:$G,$G1281,куб!O:O),IF($E1281&lt;&gt;0,SUMIF(куб!$E:$E,$E1281,куб!O:O),IF($D1281&lt;&gt;0,SUMIF(куб!$D:$D,$D1281,куб!O:O),IF($C1281&lt;&gt;0,SUMIF(куб!$C:$C,$C1281,куб!O:O),IF($B1281&lt;&gt;0,SUMIF(куб!$B:$B,$B1281,куб!O:O))))))</f>
        <v>0</v>
      </c>
      <c r="Z1281" s="13" t="str">
        <f t="shared" si="405"/>
        <v>-</v>
      </c>
      <c r="AA1281" s="5"/>
      <c r="AB1281" s="33" t="str">
        <f t="shared" si="406"/>
        <v/>
      </c>
      <c r="AC1281" s="33" t="str">
        <f t="shared" si="407"/>
        <v/>
      </c>
      <c r="AD1281" s="15" t="str">
        <f t="shared" si="408"/>
        <v xml:space="preserve"> </v>
      </c>
      <c r="AE1281" s="5"/>
      <c r="AF1281" s="27" t="b">
        <f>IF($G1281&lt;&gt;0,SUMIF(куб!$G:$G,$G1281,куб!R:R),IF($E1281&lt;&gt;0,SUMIF(куб!$E:$E,$E1281,куб!R:R),IF($D1281&lt;&gt;0,SUMIF(куб!$D:$D,$D1281,куб!R:R),IF($C1281&lt;&gt;0,SUMIF(куб!$C:$C,$C1281,куб!R:R),IF($B1281&lt;&gt;0,SUMIF(куб!$B:$B,$B1281,куб!R:R))))))</f>
        <v>0</v>
      </c>
      <c r="AG1281" s="27" t="b">
        <f>IF($G1281&lt;&gt;0,SUMIF(куб!$G:$G,$G1281,куб!S:S),IF($E1281&lt;&gt;0,SUMIF(куб!$E:$E,$E1281,куб!S:S),IF($D1281&lt;&gt;0,SUMIF(куб!$D:$D,$D1281,куб!S:S),IF($C1281&lt;&gt;0,SUMIF(куб!$C:$C,$C1281,куб!S:S),IF($B1281&lt;&gt;0,SUMIF(куб!$B:$B,$B1281,куб!S:S))))))</f>
        <v>0</v>
      </c>
      <c r="AH1281" s="16" t="str">
        <f t="shared" si="409"/>
        <v>-</v>
      </c>
      <c r="AI1281" s="8"/>
      <c r="AJ1281" s="27" t="b">
        <f>IF($G1281&lt;&gt;0,SUMIF(куб!$G:$G,$G1281,куб!T:T),IF($E1281&lt;&gt;0,SUMIF(куб!$E:$E,$E1281,куб!T:T),IF($D1281&lt;&gt;0,SUMIF(куб!$D:$D,$D1281,куб!T:T),IF($C1281&lt;&gt;0,SUMIF(куб!$C:$C,$C1281,куб!T:T),IF($B1281&lt;&gt;0,SUMIF(куб!$B:$B,$B1281,куб!T:T))))))</f>
        <v>0</v>
      </c>
      <c r="AK1281" s="27" t="b">
        <f>IF($G1281&lt;&gt;0,SUMIF(куб!$G:$G,$G1281,куб!U:U),IF($E1281&lt;&gt;0,SUMIF(куб!$E:$E,$E1281,куб!U:U),IF($D1281&lt;&gt;0,SUMIF(куб!$D:$D,$D1281,куб!U:U),IF($C1281&lt;&gt;0,SUMIF(куб!$C:$C,$C1281,куб!U:U),IF($B1281&lt;&gt;0,SUMIF(куб!$B:$B,$B1281,куб!U:U))))))</f>
        <v>0</v>
      </c>
      <c r="AL1281" s="16" t="str">
        <f t="shared" si="410"/>
        <v>-</v>
      </c>
      <c r="AM1281" s="8"/>
      <c r="AN1281" s="17" t="str">
        <f t="shared" si="411"/>
        <v xml:space="preserve"> </v>
      </c>
      <c r="AO1281" s="17" t="str">
        <f t="shared" si="412"/>
        <v xml:space="preserve"> </v>
      </c>
      <c r="AP1281" s="16" t="str">
        <f t="shared" si="413"/>
        <v>-</v>
      </c>
      <c r="AQ1281" s="8"/>
      <c r="AR1281" s="17" t="str">
        <f t="shared" si="414"/>
        <v>-</v>
      </c>
      <c r="AS1281" s="17" t="str">
        <f t="shared" si="415"/>
        <v>-</v>
      </c>
      <c r="AT1281" s="13" t="str">
        <f t="shared" si="416"/>
        <v>-</v>
      </c>
      <c r="AU1281" s="8"/>
    </row>
    <row r="1282" spans="8:47" x14ac:dyDescent="0.25">
      <c r="H1282" s="27">
        <f>IF($G1282&lt;&gt;0,SUMIF(куб!$G:$G,$G1282,куб!H:H),IF($E1282&lt;&gt;0,SUMIF(куб!$E:$E,$E1282,куб!H:H),IF($D1282&lt;&gt;0,SUMIF(куб!$D:$D,$D1282,куб!H:H),IF($C1282&lt;&gt;0,SUMIF(куб!$C:$C,$C1282,куб!H:H),IF($B1282&lt;&gt;0,SUMIF(куб!$B:$B,$B1282,куб!H:H),IF($G1282&lt;&gt;0,SUMIF(куб!$A:$A,$G1282,куб!H:H),SUMIF(куб!$A:$A,$G1282,куб!H:H)))))))</f>
        <v>0</v>
      </c>
      <c r="I1282" s="27">
        <f>IF($G1282&lt;&gt;0,SUMIF(куб!$G:$G,$G1282,куб!I:I),IF($E1282&lt;&gt;0,SUMIF(куб!$E:$E,$E1282,куб!I:I),IF($D1282&lt;&gt;0,SUMIF(куб!$D:$D,$D1282,куб!I:I),IF($C1282&lt;&gt;0,SUMIF(куб!$C:$C,$C1282,куб!I:I),IF($B1282&lt;&gt;0,SUMIF(куб!$B:$B,$B1282,куб!I:I),IF($G1282&lt;&gt;0,SUMIF(куб!$A:$A,$G1282,куб!I:I),SUMIF(куб!$A:$A,$G1282,куб!I:I)))))))</f>
        <v>0</v>
      </c>
      <c r="J1282" s="19" t="str">
        <f t="shared" si="399"/>
        <v>-</v>
      </c>
      <c r="K1282" s="8"/>
      <c r="L1282" s="17">
        <f t="shared" si="400"/>
        <v>0</v>
      </c>
      <c r="M1282" s="17">
        <f t="shared" si="401"/>
        <v>0</v>
      </c>
      <c r="N1282" s="12">
        <f t="shared" si="402"/>
        <v>0</v>
      </c>
      <c r="O1282" s="5"/>
      <c r="P1282" s="27" t="b">
        <f>IF($G1282&lt;&gt;0,SUMIF(куб!$G:$G,$G1282,куб!J:J),IF($E1282&lt;&gt;0,SUMIF(куб!$E:$E,$E1282,куб!J:J),IF($D1282&lt;&gt;0,SUMIF(куб!$D:$D,$D1282,куб!J:J),IF($C1282&lt;&gt;0,SUMIF(куб!$C:$C,$C1282,куб!J:J),IF($B1282&lt;&gt;0,SUMIF(куб!$B:$B,$B1282,куб!J:J))))))</f>
        <v>0</v>
      </c>
      <c r="Q1282" s="27" t="b">
        <f>IF($G1282&lt;&gt;0,SUMIF(куб!$G:$G,$G1282,куб!K:K),IF($E1282&lt;&gt;0,SUMIF(куб!$E:$E,$E1282,куб!K:K),IF($D1282&lt;&gt;0,SUMIF(куб!$D:$D,$D1282,куб!K:K),IF($C1282&lt;&gt;0,SUMIF(куб!$C:$C,$C1282,куб!K:K),IF($B1282&lt;&gt;0,SUMIF(куб!$B:$B,$B1282,куб!K:K))))))</f>
        <v>0</v>
      </c>
      <c r="R1282" s="13" t="str">
        <f t="shared" si="403"/>
        <v>-</v>
      </c>
      <c r="S1282" s="5"/>
      <c r="T1282" s="27" t="b">
        <f>IF($G1282&lt;&gt;0,SUMIF(куб!$G:$G,$G1282,куб!L:L),IF($E1282&lt;&gt;0,SUMIF(куб!$E:$E,$E1282,куб!L:L),IF($D1282&lt;&gt;0,SUMIF(куб!$D:$D,$D1282,куб!L:L),IF($C1282&lt;&gt;0,SUMIF(куб!$C:$C,$C1282,куб!L:L),IF($B1282&lt;&gt;0,SUMIF(куб!$B:$B,$B1282,куб!L:L))))))</f>
        <v>0</v>
      </c>
      <c r="U1282" s="27" t="b">
        <f>IF($G1282&lt;&gt;0,SUMIF(куб!$G:$G,$G1282,куб!M:M),IF($E1282&lt;&gt;0,SUMIF(куб!$E:$E,$E1282,куб!M:M),IF($D1282&lt;&gt;0,SUMIF(куб!$D:$D,$D1282,куб!M:M),IF($C1282&lt;&gt;0,SUMIF(куб!$C:$C,$C1282,куб!M:M),IF($B1282&lt;&gt;0,SUMIF(куб!$B:$B,$B1282,куб!M:M))))))</f>
        <v>0</v>
      </c>
      <c r="V1282" s="13" t="str">
        <f t="shared" si="404"/>
        <v>-</v>
      </c>
      <c r="W1282" s="5"/>
      <c r="X1282" s="27" t="b">
        <f>IF($G1282&lt;&gt;0,SUMIF(куб!$G:$G,$G1282,куб!N:N),IF($E1282&lt;&gt;0,SUMIF(куб!$E:$E,$E1282,куб!N:N),IF($D1282&lt;&gt;0,SUMIF(куб!$D:$D,$D1282,куб!N:N),IF($C1282&lt;&gt;0,SUMIF(куб!$C:$C,$C1282,куб!N:N),IF($B1282&lt;&gt;0,SUMIF(куб!$B:$B,$B1282,куб!N:N))))))</f>
        <v>0</v>
      </c>
      <c r="Y1282" s="27" t="b">
        <f>IF($G1282&lt;&gt;0,SUMIF(куб!$G:$G,$G1282,куб!O:O),IF($E1282&lt;&gt;0,SUMIF(куб!$E:$E,$E1282,куб!O:O),IF($D1282&lt;&gt;0,SUMIF(куб!$D:$D,$D1282,куб!O:O),IF($C1282&lt;&gt;0,SUMIF(куб!$C:$C,$C1282,куб!O:O),IF($B1282&lt;&gt;0,SUMIF(куб!$B:$B,$B1282,куб!O:O))))))</f>
        <v>0</v>
      </c>
      <c r="Z1282" s="13" t="str">
        <f t="shared" si="405"/>
        <v>-</v>
      </c>
      <c r="AA1282" s="5"/>
      <c r="AB1282" s="33" t="str">
        <f t="shared" si="406"/>
        <v/>
      </c>
      <c r="AC1282" s="33" t="str">
        <f t="shared" si="407"/>
        <v/>
      </c>
      <c r="AD1282" s="15" t="str">
        <f t="shared" si="408"/>
        <v xml:space="preserve"> </v>
      </c>
      <c r="AE1282" s="5"/>
      <c r="AF1282" s="27" t="b">
        <f>IF($G1282&lt;&gt;0,SUMIF(куб!$G:$G,$G1282,куб!R:R),IF($E1282&lt;&gt;0,SUMIF(куб!$E:$E,$E1282,куб!R:R),IF($D1282&lt;&gt;0,SUMIF(куб!$D:$D,$D1282,куб!R:R),IF($C1282&lt;&gt;0,SUMIF(куб!$C:$C,$C1282,куб!R:R),IF($B1282&lt;&gt;0,SUMIF(куб!$B:$B,$B1282,куб!R:R))))))</f>
        <v>0</v>
      </c>
      <c r="AG1282" s="27" t="b">
        <f>IF($G1282&lt;&gt;0,SUMIF(куб!$G:$G,$G1282,куб!S:S),IF($E1282&lt;&gt;0,SUMIF(куб!$E:$E,$E1282,куб!S:S),IF($D1282&lt;&gt;0,SUMIF(куб!$D:$D,$D1282,куб!S:S),IF($C1282&lt;&gt;0,SUMIF(куб!$C:$C,$C1282,куб!S:S),IF($B1282&lt;&gt;0,SUMIF(куб!$B:$B,$B1282,куб!S:S))))))</f>
        <v>0</v>
      </c>
      <c r="AH1282" s="16" t="str">
        <f t="shared" si="409"/>
        <v>-</v>
      </c>
      <c r="AI1282" s="8"/>
      <c r="AJ1282" s="27" t="b">
        <f>IF($G1282&lt;&gt;0,SUMIF(куб!$G:$G,$G1282,куб!T:T),IF($E1282&lt;&gt;0,SUMIF(куб!$E:$E,$E1282,куб!T:T),IF($D1282&lt;&gt;0,SUMIF(куб!$D:$D,$D1282,куб!T:T),IF($C1282&lt;&gt;0,SUMIF(куб!$C:$C,$C1282,куб!T:T),IF($B1282&lt;&gt;0,SUMIF(куб!$B:$B,$B1282,куб!T:T))))))</f>
        <v>0</v>
      </c>
      <c r="AK1282" s="27" t="b">
        <f>IF($G1282&lt;&gt;0,SUMIF(куб!$G:$G,$G1282,куб!U:U),IF($E1282&lt;&gt;0,SUMIF(куб!$E:$E,$E1282,куб!U:U),IF($D1282&lt;&gt;0,SUMIF(куб!$D:$D,$D1282,куб!U:U),IF($C1282&lt;&gt;0,SUMIF(куб!$C:$C,$C1282,куб!U:U),IF($B1282&lt;&gt;0,SUMIF(куб!$B:$B,$B1282,куб!U:U))))))</f>
        <v>0</v>
      </c>
      <c r="AL1282" s="16" t="str">
        <f t="shared" si="410"/>
        <v>-</v>
      </c>
      <c r="AM1282" s="8"/>
      <c r="AN1282" s="17" t="str">
        <f t="shared" si="411"/>
        <v xml:space="preserve"> </v>
      </c>
      <c r="AO1282" s="17" t="str">
        <f t="shared" si="412"/>
        <v xml:space="preserve"> </v>
      </c>
      <c r="AP1282" s="16" t="str">
        <f t="shared" si="413"/>
        <v>-</v>
      </c>
      <c r="AQ1282" s="8"/>
      <c r="AR1282" s="17" t="str">
        <f t="shared" si="414"/>
        <v>-</v>
      </c>
      <c r="AS1282" s="17" t="str">
        <f t="shared" si="415"/>
        <v>-</v>
      </c>
      <c r="AT1282" s="13" t="str">
        <f t="shared" si="416"/>
        <v>-</v>
      </c>
      <c r="AU1282" s="8"/>
    </row>
    <row r="1283" spans="8:47" x14ac:dyDescent="0.25">
      <c r="H1283" s="27">
        <f>IF($G1283&lt;&gt;0,SUMIF(куб!$G:$G,$G1283,куб!H:H),IF($E1283&lt;&gt;0,SUMIF(куб!$E:$E,$E1283,куб!H:H),IF($D1283&lt;&gt;0,SUMIF(куб!$D:$D,$D1283,куб!H:H),IF($C1283&lt;&gt;0,SUMIF(куб!$C:$C,$C1283,куб!H:H),IF($B1283&lt;&gt;0,SUMIF(куб!$B:$B,$B1283,куб!H:H),IF($G1283&lt;&gt;0,SUMIF(куб!$A:$A,$G1283,куб!H:H),SUMIF(куб!$A:$A,$G1283,куб!H:H)))))))</f>
        <v>0</v>
      </c>
      <c r="I1283" s="27">
        <f>IF($G1283&lt;&gt;0,SUMIF(куб!$G:$G,$G1283,куб!I:I),IF($E1283&lt;&gt;0,SUMIF(куб!$E:$E,$E1283,куб!I:I),IF($D1283&lt;&gt;0,SUMIF(куб!$D:$D,$D1283,куб!I:I),IF($C1283&lt;&gt;0,SUMIF(куб!$C:$C,$C1283,куб!I:I),IF($B1283&lt;&gt;0,SUMIF(куб!$B:$B,$B1283,куб!I:I),IF($G1283&lt;&gt;0,SUMIF(куб!$A:$A,$G1283,куб!I:I),SUMIF(куб!$A:$A,$G1283,куб!I:I)))))))</f>
        <v>0</v>
      </c>
      <c r="J1283" s="19" t="str">
        <f t="shared" si="399"/>
        <v>-</v>
      </c>
      <c r="K1283" s="8"/>
      <c r="L1283" s="17">
        <f t="shared" si="400"/>
        <v>0</v>
      </c>
      <c r="M1283" s="17">
        <f t="shared" si="401"/>
        <v>0</v>
      </c>
      <c r="N1283" s="12">
        <f t="shared" si="402"/>
        <v>0</v>
      </c>
      <c r="O1283" s="5"/>
      <c r="P1283" s="27" t="b">
        <f>IF($G1283&lt;&gt;0,SUMIF(куб!$G:$G,$G1283,куб!J:J),IF($E1283&lt;&gt;0,SUMIF(куб!$E:$E,$E1283,куб!J:J),IF($D1283&lt;&gt;0,SUMIF(куб!$D:$D,$D1283,куб!J:J),IF($C1283&lt;&gt;0,SUMIF(куб!$C:$C,$C1283,куб!J:J),IF($B1283&lt;&gt;0,SUMIF(куб!$B:$B,$B1283,куб!J:J))))))</f>
        <v>0</v>
      </c>
      <c r="Q1283" s="27" t="b">
        <f>IF($G1283&lt;&gt;0,SUMIF(куб!$G:$G,$G1283,куб!K:K),IF($E1283&lt;&gt;0,SUMIF(куб!$E:$E,$E1283,куб!K:K),IF($D1283&lt;&gt;0,SUMIF(куб!$D:$D,$D1283,куб!K:K),IF($C1283&lt;&gt;0,SUMIF(куб!$C:$C,$C1283,куб!K:K),IF($B1283&lt;&gt;0,SUMIF(куб!$B:$B,$B1283,куб!K:K))))))</f>
        <v>0</v>
      </c>
      <c r="R1283" s="13" t="str">
        <f t="shared" si="403"/>
        <v>-</v>
      </c>
      <c r="S1283" s="5"/>
      <c r="T1283" s="27" t="b">
        <f>IF($G1283&lt;&gt;0,SUMIF(куб!$G:$G,$G1283,куб!L:L),IF($E1283&lt;&gt;0,SUMIF(куб!$E:$E,$E1283,куб!L:L),IF($D1283&lt;&gt;0,SUMIF(куб!$D:$D,$D1283,куб!L:L),IF($C1283&lt;&gt;0,SUMIF(куб!$C:$C,$C1283,куб!L:L),IF($B1283&lt;&gt;0,SUMIF(куб!$B:$B,$B1283,куб!L:L))))))</f>
        <v>0</v>
      </c>
      <c r="U1283" s="27" t="b">
        <f>IF($G1283&lt;&gt;0,SUMIF(куб!$G:$G,$G1283,куб!M:M),IF($E1283&lt;&gt;0,SUMIF(куб!$E:$E,$E1283,куб!M:M),IF($D1283&lt;&gt;0,SUMIF(куб!$D:$D,$D1283,куб!M:M),IF($C1283&lt;&gt;0,SUMIF(куб!$C:$C,$C1283,куб!M:M),IF($B1283&lt;&gt;0,SUMIF(куб!$B:$B,$B1283,куб!M:M))))))</f>
        <v>0</v>
      </c>
      <c r="V1283" s="13" t="str">
        <f t="shared" si="404"/>
        <v>-</v>
      </c>
      <c r="W1283" s="5"/>
      <c r="X1283" s="27" t="b">
        <f>IF($G1283&lt;&gt;0,SUMIF(куб!$G:$G,$G1283,куб!N:N),IF($E1283&lt;&gt;0,SUMIF(куб!$E:$E,$E1283,куб!N:N),IF($D1283&lt;&gt;0,SUMIF(куб!$D:$D,$D1283,куб!N:N),IF($C1283&lt;&gt;0,SUMIF(куб!$C:$C,$C1283,куб!N:N),IF($B1283&lt;&gt;0,SUMIF(куб!$B:$B,$B1283,куб!N:N))))))</f>
        <v>0</v>
      </c>
      <c r="Y1283" s="27" t="b">
        <f>IF($G1283&lt;&gt;0,SUMIF(куб!$G:$G,$G1283,куб!O:O),IF($E1283&lt;&gt;0,SUMIF(куб!$E:$E,$E1283,куб!O:O),IF($D1283&lt;&gt;0,SUMIF(куб!$D:$D,$D1283,куб!O:O),IF($C1283&lt;&gt;0,SUMIF(куб!$C:$C,$C1283,куб!O:O),IF($B1283&lt;&gt;0,SUMIF(куб!$B:$B,$B1283,куб!O:O))))))</f>
        <v>0</v>
      </c>
      <c r="Z1283" s="13" t="str">
        <f t="shared" si="405"/>
        <v>-</v>
      </c>
      <c r="AA1283" s="5"/>
      <c r="AB1283" s="33" t="str">
        <f t="shared" si="406"/>
        <v/>
      </c>
      <c r="AC1283" s="33" t="str">
        <f t="shared" si="407"/>
        <v/>
      </c>
      <c r="AD1283" s="15" t="str">
        <f t="shared" si="408"/>
        <v xml:space="preserve"> </v>
      </c>
      <c r="AE1283" s="5"/>
      <c r="AF1283" s="27" t="b">
        <f>IF($G1283&lt;&gt;0,SUMIF(куб!$G:$G,$G1283,куб!R:R),IF($E1283&lt;&gt;0,SUMIF(куб!$E:$E,$E1283,куб!R:R),IF($D1283&lt;&gt;0,SUMIF(куб!$D:$D,$D1283,куб!R:R),IF($C1283&lt;&gt;0,SUMIF(куб!$C:$C,$C1283,куб!R:R),IF($B1283&lt;&gt;0,SUMIF(куб!$B:$B,$B1283,куб!R:R))))))</f>
        <v>0</v>
      </c>
      <c r="AG1283" s="27" t="b">
        <f>IF($G1283&lt;&gt;0,SUMIF(куб!$G:$G,$G1283,куб!S:S),IF($E1283&lt;&gt;0,SUMIF(куб!$E:$E,$E1283,куб!S:S),IF($D1283&lt;&gt;0,SUMIF(куб!$D:$D,$D1283,куб!S:S),IF($C1283&lt;&gt;0,SUMIF(куб!$C:$C,$C1283,куб!S:S),IF($B1283&lt;&gt;0,SUMIF(куб!$B:$B,$B1283,куб!S:S))))))</f>
        <v>0</v>
      </c>
      <c r="AH1283" s="16" t="str">
        <f t="shared" si="409"/>
        <v>-</v>
      </c>
      <c r="AI1283" s="8"/>
      <c r="AJ1283" s="27" t="b">
        <f>IF($G1283&lt;&gt;0,SUMIF(куб!$G:$G,$G1283,куб!T:T),IF($E1283&lt;&gt;0,SUMIF(куб!$E:$E,$E1283,куб!T:T),IF($D1283&lt;&gt;0,SUMIF(куб!$D:$D,$D1283,куб!T:T),IF($C1283&lt;&gt;0,SUMIF(куб!$C:$C,$C1283,куб!T:T),IF($B1283&lt;&gt;0,SUMIF(куб!$B:$B,$B1283,куб!T:T))))))</f>
        <v>0</v>
      </c>
      <c r="AK1283" s="27" t="b">
        <f>IF($G1283&lt;&gt;0,SUMIF(куб!$G:$G,$G1283,куб!U:U),IF($E1283&lt;&gt;0,SUMIF(куб!$E:$E,$E1283,куб!U:U),IF($D1283&lt;&gt;0,SUMIF(куб!$D:$D,$D1283,куб!U:U),IF($C1283&lt;&gt;0,SUMIF(куб!$C:$C,$C1283,куб!U:U),IF($B1283&lt;&gt;0,SUMIF(куб!$B:$B,$B1283,куб!U:U))))))</f>
        <v>0</v>
      </c>
      <c r="AL1283" s="16" t="str">
        <f t="shared" si="410"/>
        <v>-</v>
      </c>
      <c r="AM1283" s="8"/>
      <c r="AN1283" s="17" t="str">
        <f t="shared" si="411"/>
        <v xml:space="preserve"> </v>
      </c>
      <c r="AO1283" s="17" t="str">
        <f t="shared" si="412"/>
        <v xml:space="preserve"> </v>
      </c>
      <c r="AP1283" s="16" t="str">
        <f t="shared" si="413"/>
        <v>-</v>
      </c>
      <c r="AQ1283" s="8"/>
      <c r="AR1283" s="17" t="str">
        <f t="shared" si="414"/>
        <v>-</v>
      </c>
      <c r="AS1283" s="17" t="str">
        <f t="shared" si="415"/>
        <v>-</v>
      </c>
      <c r="AT1283" s="13" t="str">
        <f t="shared" si="416"/>
        <v>-</v>
      </c>
      <c r="AU1283" s="8"/>
    </row>
    <row r="1284" spans="8:47" x14ac:dyDescent="0.25">
      <c r="H1284" s="27">
        <f>IF($G1284&lt;&gt;0,SUMIF(куб!$G:$G,$G1284,куб!H:H),IF($E1284&lt;&gt;0,SUMIF(куб!$E:$E,$E1284,куб!H:H),IF($D1284&lt;&gt;0,SUMIF(куб!$D:$D,$D1284,куб!H:H),IF($C1284&lt;&gt;0,SUMIF(куб!$C:$C,$C1284,куб!H:H),IF($B1284&lt;&gt;0,SUMIF(куб!$B:$B,$B1284,куб!H:H),IF($G1284&lt;&gt;0,SUMIF(куб!$A:$A,$G1284,куб!H:H),SUMIF(куб!$A:$A,$G1284,куб!H:H)))))))</f>
        <v>0</v>
      </c>
      <c r="I1284" s="27">
        <f>IF($G1284&lt;&gt;0,SUMIF(куб!$G:$G,$G1284,куб!I:I),IF($E1284&lt;&gt;0,SUMIF(куб!$E:$E,$E1284,куб!I:I),IF($D1284&lt;&gt;0,SUMIF(куб!$D:$D,$D1284,куб!I:I),IF($C1284&lt;&gt;0,SUMIF(куб!$C:$C,$C1284,куб!I:I),IF($B1284&lt;&gt;0,SUMIF(куб!$B:$B,$B1284,куб!I:I),IF($G1284&lt;&gt;0,SUMIF(куб!$A:$A,$G1284,куб!I:I),SUMIF(куб!$A:$A,$G1284,куб!I:I)))))))</f>
        <v>0</v>
      </c>
      <c r="J1284" s="19" t="str">
        <f t="shared" si="399"/>
        <v>-</v>
      </c>
      <c r="K1284" s="8"/>
      <c r="L1284" s="17">
        <f t="shared" si="400"/>
        <v>0</v>
      </c>
      <c r="M1284" s="17">
        <f t="shared" si="401"/>
        <v>0</v>
      </c>
      <c r="N1284" s="12">
        <f t="shared" si="402"/>
        <v>0</v>
      </c>
      <c r="O1284" s="5"/>
      <c r="P1284" s="27" t="b">
        <f>IF($G1284&lt;&gt;0,SUMIF(куб!$G:$G,$G1284,куб!J:J),IF($E1284&lt;&gt;0,SUMIF(куб!$E:$E,$E1284,куб!J:J),IF($D1284&lt;&gt;0,SUMIF(куб!$D:$D,$D1284,куб!J:J),IF($C1284&lt;&gt;0,SUMIF(куб!$C:$C,$C1284,куб!J:J),IF($B1284&lt;&gt;0,SUMIF(куб!$B:$B,$B1284,куб!J:J))))))</f>
        <v>0</v>
      </c>
      <c r="Q1284" s="27" t="b">
        <f>IF($G1284&lt;&gt;0,SUMIF(куб!$G:$G,$G1284,куб!K:K),IF($E1284&lt;&gt;0,SUMIF(куб!$E:$E,$E1284,куб!K:K),IF($D1284&lt;&gt;0,SUMIF(куб!$D:$D,$D1284,куб!K:K),IF($C1284&lt;&gt;0,SUMIF(куб!$C:$C,$C1284,куб!K:K),IF($B1284&lt;&gt;0,SUMIF(куб!$B:$B,$B1284,куб!K:K))))))</f>
        <v>0</v>
      </c>
      <c r="R1284" s="13" t="str">
        <f t="shared" si="403"/>
        <v>-</v>
      </c>
      <c r="S1284" s="5"/>
      <c r="T1284" s="27" t="b">
        <f>IF($G1284&lt;&gt;0,SUMIF(куб!$G:$G,$G1284,куб!L:L),IF($E1284&lt;&gt;0,SUMIF(куб!$E:$E,$E1284,куб!L:L),IF($D1284&lt;&gt;0,SUMIF(куб!$D:$D,$D1284,куб!L:L),IF($C1284&lt;&gt;0,SUMIF(куб!$C:$C,$C1284,куб!L:L),IF($B1284&lt;&gt;0,SUMIF(куб!$B:$B,$B1284,куб!L:L))))))</f>
        <v>0</v>
      </c>
      <c r="U1284" s="27" t="b">
        <f>IF($G1284&lt;&gt;0,SUMIF(куб!$G:$G,$G1284,куб!M:M),IF($E1284&lt;&gt;0,SUMIF(куб!$E:$E,$E1284,куб!M:M),IF($D1284&lt;&gt;0,SUMIF(куб!$D:$D,$D1284,куб!M:M),IF($C1284&lt;&gt;0,SUMIF(куб!$C:$C,$C1284,куб!M:M),IF($B1284&lt;&gt;0,SUMIF(куб!$B:$B,$B1284,куб!M:M))))))</f>
        <v>0</v>
      </c>
      <c r="V1284" s="13" t="str">
        <f t="shared" si="404"/>
        <v>-</v>
      </c>
      <c r="W1284" s="5"/>
      <c r="X1284" s="27" t="b">
        <f>IF($G1284&lt;&gt;0,SUMIF(куб!$G:$G,$G1284,куб!N:N),IF($E1284&lt;&gt;0,SUMIF(куб!$E:$E,$E1284,куб!N:N),IF($D1284&lt;&gt;0,SUMIF(куб!$D:$D,$D1284,куб!N:N),IF($C1284&lt;&gt;0,SUMIF(куб!$C:$C,$C1284,куб!N:N),IF($B1284&lt;&gt;0,SUMIF(куб!$B:$B,$B1284,куб!N:N))))))</f>
        <v>0</v>
      </c>
      <c r="Y1284" s="27" t="b">
        <f>IF($G1284&lt;&gt;0,SUMIF(куб!$G:$G,$G1284,куб!O:O),IF($E1284&lt;&gt;0,SUMIF(куб!$E:$E,$E1284,куб!O:O),IF($D1284&lt;&gt;0,SUMIF(куб!$D:$D,$D1284,куб!O:O),IF($C1284&lt;&gt;0,SUMIF(куб!$C:$C,$C1284,куб!O:O),IF($B1284&lt;&gt;0,SUMIF(куб!$B:$B,$B1284,куб!O:O))))))</f>
        <v>0</v>
      </c>
      <c r="Z1284" s="13" t="str">
        <f t="shared" si="405"/>
        <v>-</v>
      </c>
      <c r="AA1284" s="5"/>
      <c r="AB1284" s="33" t="str">
        <f t="shared" si="406"/>
        <v/>
      </c>
      <c r="AC1284" s="33" t="str">
        <f t="shared" si="407"/>
        <v/>
      </c>
      <c r="AD1284" s="15" t="str">
        <f t="shared" si="408"/>
        <v xml:space="preserve"> </v>
      </c>
      <c r="AE1284" s="5"/>
      <c r="AF1284" s="27" t="b">
        <f>IF($G1284&lt;&gt;0,SUMIF(куб!$G:$G,$G1284,куб!R:R),IF($E1284&lt;&gt;0,SUMIF(куб!$E:$E,$E1284,куб!R:R),IF($D1284&lt;&gt;0,SUMIF(куб!$D:$D,$D1284,куб!R:R),IF($C1284&lt;&gt;0,SUMIF(куб!$C:$C,$C1284,куб!R:R),IF($B1284&lt;&gt;0,SUMIF(куб!$B:$B,$B1284,куб!R:R))))))</f>
        <v>0</v>
      </c>
      <c r="AG1284" s="27" t="b">
        <f>IF($G1284&lt;&gt;0,SUMIF(куб!$G:$G,$G1284,куб!S:S),IF($E1284&lt;&gt;0,SUMIF(куб!$E:$E,$E1284,куб!S:S),IF($D1284&lt;&gt;0,SUMIF(куб!$D:$D,$D1284,куб!S:S),IF($C1284&lt;&gt;0,SUMIF(куб!$C:$C,$C1284,куб!S:S),IF($B1284&lt;&gt;0,SUMIF(куб!$B:$B,$B1284,куб!S:S))))))</f>
        <v>0</v>
      </c>
      <c r="AH1284" s="16" t="str">
        <f t="shared" si="409"/>
        <v>-</v>
      </c>
      <c r="AI1284" s="8"/>
      <c r="AJ1284" s="27" t="b">
        <f>IF($G1284&lt;&gt;0,SUMIF(куб!$G:$G,$G1284,куб!T:T),IF($E1284&lt;&gt;0,SUMIF(куб!$E:$E,$E1284,куб!T:T),IF($D1284&lt;&gt;0,SUMIF(куб!$D:$D,$D1284,куб!T:T),IF($C1284&lt;&gt;0,SUMIF(куб!$C:$C,$C1284,куб!T:T),IF($B1284&lt;&gt;0,SUMIF(куб!$B:$B,$B1284,куб!T:T))))))</f>
        <v>0</v>
      </c>
      <c r="AK1284" s="27" t="b">
        <f>IF($G1284&lt;&gt;0,SUMIF(куб!$G:$G,$G1284,куб!U:U),IF($E1284&lt;&gt;0,SUMIF(куб!$E:$E,$E1284,куб!U:U),IF($D1284&lt;&gt;0,SUMIF(куб!$D:$D,$D1284,куб!U:U),IF($C1284&lt;&gt;0,SUMIF(куб!$C:$C,$C1284,куб!U:U),IF($B1284&lt;&gt;0,SUMIF(куб!$B:$B,$B1284,куб!U:U))))))</f>
        <v>0</v>
      </c>
      <c r="AL1284" s="16" t="str">
        <f t="shared" si="410"/>
        <v>-</v>
      </c>
      <c r="AM1284" s="8"/>
      <c r="AN1284" s="17" t="str">
        <f t="shared" si="411"/>
        <v xml:space="preserve"> </v>
      </c>
      <c r="AO1284" s="17" t="str">
        <f t="shared" si="412"/>
        <v xml:space="preserve"> </v>
      </c>
      <c r="AP1284" s="16" t="str">
        <f t="shared" si="413"/>
        <v>-</v>
      </c>
      <c r="AQ1284" s="8"/>
      <c r="AR1284" s="17" t="str">
        <f t="shared" si="414"/>
        <v>-</v>
      </c>
      <c r="AS1284" s="17" t="str">
        <f t="shared" si="415"/>
        <v>-</v>
      </c>
      <c r="AT1284" s="13" t="str">
        <f t="shared" si="416"/>
        <v>-</v>
      </c>
      <c r="AU1284" s="8"/>
    </row>
    <row r="1285" spans="8:47" x14ac:dyDescent="0.25">
      <c r="H1285" s="27">
        <f>IF($G1285&lt;&gt;0,SUMIF(куб!$G:$G,$G1285,куб!H:H),IF($E1285&lt;&gt;0,SUMIF(куб!$E:$E,$E1285,куб!H:H),IF($D1285&lt;&gt;0,SUMIF(куб!$D:$D,$D1285,куб!H:H),IF($C1285&lt;&gt;0,SUMIF(куб!$C:$C,$C1285,куб!H:H),IF($B1285&lt;&gt;0,SUMIF(куб!$B:$B,$B1285,куб!H:H),IF($G1285&lt;&gt;0,SUMIF(куб!$A:$A,$G1285,куб!H:H),SUMIF(куб!$A:$A,$G1285,куб!H:H)))))))</f>
        <v>0</v>
      </c>
      <c r="I1285" s="27">
        <f>IF($G1285&lt;&gt;0,SUMIF(куб!$G:$G,$G1285,куб!I:I),IF($E1285&lt;&gt;0,SUMIF(куб!$E:$E,$E1285,куб!I:I),IF($D1285&lt;&gt;0,SUMIF(куб!$D:$D,$D1285,куб!I:I),IF($C1285&lt;&gt;0,SUMIF(куб!$C:$C,$C1285,куб!I:I),IF($B1285&lt;&gt;0,SUMIF(куб!$B:$B,$B1285,куб!I:I),IF($G1285&lt;&gt;0,SUMIF(куб!$A:$A,$G1285,куб!I:I),SUMIF(куб!$A:$A,$G1285,куб!I:I)))))))</f>
        <v>0</v>
      </c>
      <c r="J1285" s="19" t="str">
        <f t="shared" si="399"/>
        <v>-</v>
      </c>
      <c r="K1285" s="8"/>
      <c r="L1285" s="17">
        <f t="shared" si="400"/>
        <v>0</v>
      </c>
      <c r="M1285" s="17">
        <f t="shared" si="401"/>
        <v>0</v>
      </c>
      <c r="N1285" s="12">
        <f t="shared" si="402"/>
        <v>0</v>
      </c>
      <c r="O1285" s="5"/>
      <c r="P1285" s="27" t="b">
        <f>IF($G1285&lt;&gt;0,SUMIF(куб!$G:$G,$G1285,куб!J:J),IF($E1285&lt;&gt;0,SUMIF(куб!$E:$E,$E1285,куб!J:J),IF($D1285&lt;&gt;0,SUMIF(куб!$D:$D,$D1285,куб!J:J),IF($C1285&lt;&gt;0,SUMIF(куб!$C:$C,$C1285,куб!J:J),IF($B1285&lt;&gt;0,SUMIF(куб!$B:$B,$B1285,куб!J:J))))))</f>
        <v>0</v>
      </c>
      <c r="Q1285" s="27" t="b">
        <f>IF($G1285&lt;&gt;0,SUMIF(куб!$G:$G,$G1285,куб!K:K),IF($E1285&lt;&gt;0,SUMIF(куб!$E:$E,$E1285,куб!K:K),IF($D1285&lt;&gt;0,SUMIF(куб!$D:$D,$D1285,куб!K:K),IF($C1285&lt;&gt;0,SUMIF(куб!$C:$C,$C1285,куб!K:K),IF($B1285&lt;&gt;0,SUMIF(куб!$B:$B,$B1285,куб!K:K))))))</f>
        <v>0</v>
      </c>
      <c r="R1285" s="13" t="str">
        <f t="shared" si="403"/>
        <v>-</v>
      </c>
      <c r="S1285" s="5"/>
      <c r="T1285" s="27" t="b">
        <f>IF($G1285&lt;&gt;0,SUMIF(куб!$G:$G,$G1285,куб!L:L),IF($E1285&lt;&gt;0,SUMIF(куб!$E:$E,$E1285,куб!L:L),IF($D1285&lt;&gt;0,SUMIF(куб!$D:$D,$D1285,куб!L:L),IF($C1285&lt;&gt;0,SUMIF(куб!$C:$C,$C1285,куб!L:L),IF($B1285&lt;&gt;0,SUMIF(куб!$B:$B,$B1285,куб!L:L))))))</f>
        <v>0</v>
      </c>
      <c r="U1285" s="27" t="b">
        <f>IF($G1285&lt;&gt;0,SUMIF(куб!$G:$G,$G1285,куб!M:M),IF($E1285&lt;&gt;0,SUMIF(куб!$E:$E,$E1285,куб!M:M),IF($D1285&lt;&gt;0,SUMIF(куб!$D:$D,$D1285,куб!M:M),IF($C1285&lt;&gt;0,SUMIF(куб!$C:$C,$C1285,куб!M:M),IF($B1285&lt;&gt;0,SUMIF(куб!$B:$B,$B1285,куб!M:M))))))</f>
        <v>0</v>
      </c>
      <c r="V1285" s="13" t="str">
        <f t="shared" si="404"/>
        <v>-</v>
      </c>
      <c r="W1285" s="5"/>
      <c r="X1285" s="27" t="b">
        <f>IF($G1285&lt;&gt;0,SUMIF(куб!$G:$G,$G1285,куб!N:N),IF($E1285&lt;&gt;0,SUMIF(куб!$E:$E,$E1285,куб!N:N),IF($D1285&lt;&gt;0,SUMIF(куб!$D:$D,$D1285,куб!N:N),IF($C1285&lt;&gt;0,SUMIF(куб!$C:$C,$C1285,куб!N:N),IF($B1285&lt;&gt;0,SUMIF(куб!$B:$B,$B1285,куб!N:N))))))</f>
        <v>0</v>
      </c>
      <c r="Y1285" s="27" t="b">
        <f>IF($G1285&lt;&gt;0,SUMIF(куб!$G:$G,$G1285,куб!O:O),IF($E1285&lt;&gt;0,SUMIF(куб!$E:$E,$E1285,куб!O:O),IF($D1285&lt;&gt;0,SUMIF(куб!$D:$D,$D1285,куб!O:O),IF($C1285&lt;&gt;0,SUMIF(куб!$C:$C,$C1285,куб!O:O),IF($B1285&lt;&gt;0,SUMIF(куб!$B:$B,$B1285,куб!O:O))))))</f>
        <v>0</v>
      </c>
      <c r="Z1285" s="13" t="str">
        <f t="shared" si="405"/>
        <v>-</v>
      </c>
      <c r="AA1285" s="5"/>
      <c r="AB1285" s="33" t="str">
        <f t="shared" si="406"/>
        <v/>
      </c>
      <c r="AC1285" s="33" t="str">
        <f t="shared" si="407"/>
        <v/>
      </c>
      <c r="AD1285" s="15" t="str">
        <f t="shared" si="408"/>
        <v xml:space="preserve"> </v>
      </c>
      <c r="AE1285" s="5"/>
      <c r="AF1285" s="27" t="b">
        <f>IF($G1285&lt;&gt;0,SUMIF(куб!$G:$G,$G1285,куб!R:R),IF($E1285&lt;&gt;0,SUMIF(куб!$E:$E,$E1285,куб!R:R),IF($D1285&lt;&gt;0,SUMIF(куб!$D:$D,$D1285,куб!R:R),IF($C1285&lt;&gt;0,SUMIF(куб!$C:$C,$C1285,куб!R:R),IF($B1285&lt;&gt;0,SUMIF(куб!$B:$B,$B1285,куб!R:R))))))</f>
        <v>0</v>
      </c>
      <c r="AG1285" s="27" t="b">
        <f>IF($G1285&lt;&gt;0,SUMIF(куб!$G:$G,$G1285,куб!S:S),IF($E1285&lt;&gt;0,SUMIF(куб!$E:$E,$E1285,куб!S:S),IF($D1285&lt;&gt;0,SUMIF(куб!$D:$D,$D1285,куб!S:S),IF($C1285&lt;&gt;0,SUMIF(куб!$C:$C,$C1285,куб!S:S),IF($B1285&lt;&gt;0,SUMIF(куб!$B:$B,$B1285,куб!S:S))))))</f>
        <v>0</v>
      </c>
      <c r="AH1285" s="16" t="str">
        <f t="shared" si="409"/>
        <v>-</v>
      </c>
      <c r="AI1285" s="8"/>
      <c r="AJ1285" s="27" t="b">
        <f>IF($G1285&lt;&gt;0,SUMIF(куб!$G:$G,$G1285,куб!T:T),IF($E1285&lt;&gt;0,SUMIF(куб!$E:$E,$E1285,куб!T:T),IF($D1285&lt;&gt;0,SUMIF(куб!$D:$D,$D1285,куб!T:T),IF($C1285&lt;&gt;0,SUMIF(куб!$C:$C,$C1285,куб!T:T),IF($B1285&lt;&gt;0,SUMIF(куб!$B:$B,$B1285,куб!T:T))))))</f>
        <v>0</v>
      </c>
      <c r="AK1285" s="27" t="b">
        <f>IF($G1285&lt;&gt;0,SUMIF(куб!$G:$G,$G1285,куб!U:U),IF($E1285&lt;&gt;0,SUMIF(куб!$E:$E,$E1285,куб!U:U),IF($D1285&lt;&gt;0,SUMIF(куб!$D:$D,$D1285,куб!U:U),IF($C1285&lt;&gt;0,SUMIF(куб!$C:$C,$C1285,куб!U:U),IF($B1285&lt;&gt;0,SUMIF(куб!$B:$B,$B1285,куб!U:U))))))</f>
        <v>0</v>
      </c>
      <c r="AL1285" s="16" t="str">
        <f t="shared" si="410"/>
        <v>-</v>
      </c>
      <c r="AM1285" s="8"/>
      <c r="AN1285" s="17" t="str">
        <f t="shared" si="411"/>
        <v xml:space="preserve"> </v>
      </c>
      <c r="AO1285" s="17" t="str">
        <f t="shared" si="412"/>
        <v xml:space="preserve"> </v>
      </c>
      <c r="AP1285" s="16" t="str">
        <f t="shared" si="413"/>
        <v>-</v>
      </c>
      <c r="AQ1285" s="8"/>
      <c r="AR1285" s="17" t="str">
        <f t="shared" si="414"/>
        <v>-</v>
      </c>
      <c r="AS1285" s="17" t="str">
        <f t="shared" si="415"/>
        <v>-</v>
      </c>
      <c r="AT1285" s="13" t="str">
        <f t="shared" si="416"/>
        <v>-</v>
      </c>
      <c r="AU1285" s="8"/>
    </row>
    <row r="1286" spans="8:47" x14ac:dyDescent="0.25">
      <c r="H1286" s="27">
        <f>IF($G1286&lt;&gt;0,SUMIF(куб!$G:$G,$G1286,куб!H:H),IF($E1286&lt;&gt;0,SUMIF(куб!$E:$E,$E1286,куб!H:H),IF($D1286&lt;&gt;0,SUMIF(куб!$D:$D,$D1286,куб!H:H),IF($C1286&lt;&gt;0,SUMIF(куб!$C:$C,$C1286,куб!H:H),IF($B1286&lt;&gt;0,SUMIF(куб!$B:$B,$B1286,куб!H:H),IF($G1286&lt;&gt;0,SUMIF(куб!$A:$A,$G1286,куб!H:H),SUMIF(куб!$A:$A,$G1286,куб!H:H)))))))</f>
        <v>0</v>
      </c>
      <c r="I1286" s="27">
        <f>IF($G1286&lt;&gt;0,SUMIF(куб!$G:$G,$G1286,куб!I:I),IF($E1286&lt;&gt;0,SUMIF(куб!$E:$E,$E1286,куб!I:I),IF($D1286&lt;&gt;0,SUMIF(куб!$D:$D,$D1286,куб!I:I),IF($C1286&lt;&gt;0,SUMIF(куб!$C:$C,$C1286,куб!I:I),IF($B1286&lt;&gt;0,SUMIF(куб!$B:$B,$B1286,куб!I:I),IF($G1286&lt;&gt;0,SUMIF(куб!$A:$A,$G1286,куб!I:I),SUMIF(куб!$A:$A,$G1286,куб!I:I)))))))</f>
        <v>0</v>
      </c>
      <c r="J1286" s="19" t="str">
        <f t="shared" si="399"/>
        <v>-</v>
      </c>
      <c r="K1286" s="8"/>
      <c r="L1286" s="17">
        <f t="shared" si="400"/>
        <v>0</v>
      </c>
      <c r="M1286" s="17">
        <f t="shared" si="401"/>
        <v>0</v>
      </c>
      <c r="N1286" s="12">
        <f t="shared" si="402"/>
        <v>0</v>
      </c>
      <c r="O1286" s="5"/>
      <c r="P1286" s="27" t="b">
        <f>IF($G1286&lt;&gt;0,SUMIF(куб!$G:$G,$G1286,куб!J:J),IF($E1286&lt;&gt;0,SUMIF(куб!$E:$E,$E1286,куб!J:J),IF($D1286&lt;&gt;0,SUMIF(куб!$D:$D,$D1286,куб!J:J),IF($C1286&lt;&gt;0,SUMIF(куб!$C:$C,$C1286,куб!J:J),IF($B1286&lt;&gt;0,SUMIF(куб!$B:$B,$B1286,куб!J:J))))))</f>
        <v>0</v>
      </c>
      <c r="Q1286" s="27" t="b">
        <f>IF($G1286&lt;&gt;0,SUMIF(куб!$G:$G,$G1286,куб!K:K),IF($E1286&lt;&gt;0,SUMIF(куб!$E:$E,$E1286,куб!K:K),IF($D1286&lt;&gt;0,SUMIF(куб!$D:$D,$D1286,куб!K:K),IF($C1286&lt;&gt;0,SUMIF(куб!$C:$C,$C1286,куб!K:K),IF($B1286&lt;&gt;0,SUMIF(куб!$B:$B,$B1286,куб!K:K))))))</f>
        <v>0</v>
      </c>
      <c r="R1286" s="13" t="str">
        <f t="shared" si="403"/>
        <v>-</v>
      </c>
      <c r="S1286" s="5"/>
      <c r="T1286" s="27" t="b">
        <f>IF($G1286&lt;&gt;0,SUMIF(куб!$G:$G,$G1286,куб!L:L),IF($E1286&lt;&gt;0,SUMIF(куб!$E:$E,$E1286,куб!L:L),IF($D1286&lt;&gt;0,SUMIF(куб!$D:$D,$D1286,куб!L:L),IF($C1286&lt;&gt;0,SUMIF(куб!$C:$C,$C1286,куб!L:L),IF($B1286&lt;&gt;0,SUMIF(куб!$B:$B,$B1286,куб!L:L))))))</f>
        <v>0</v>
      </c>
      <c r="U1286" s="27" t="b">
        <f>IF($G1286&lt;&gt;0,SUMIF(куб!$G:$G,$G1286,куб!M:M),IF($E1286&lt;&gt;0,SUMIF(куб!$E:$E,$E1286,куб!M:M),IF($D1286&lt;&gt;0,SUMIF(куб!$D:$D,$D1286,куб!M:M),IF($C1286&lt;&gt;0,SUMIF(куб!$C:$C,$C1286,куб!M:M),IF($B1286&lt;&gt;0,SUMIF(куб!$B:$B,$B1286,куб!M:M))))))</f>
        <v>0</v>
      </c>
      <c r="V1286" s="13" t="str">
        <f t="shared" si="404"/>
        <v>-</v>
      </c>
      <c r="W1286" s="5"/>
      <c r="X1286" s="27" t="b">
        <f>IF($G1286&lt;&gt;0,SUMIF(куб!$G:$G,$G1286,куб!N:N),IF($E1286&lt;&gt;0,SUMIF(куб!$E:$E,$E1286,куб!N:N),IF($D1286&lt;&gt;0,SUMIF(куб!$D:$D,$D1286,куб!N:N),IF($C1286&lt;&gt;0,SUMIF(куб!$C:$C,$C1286,куб!N:N),IF($B1286&lt;&gt;0,SUMIF(куб!$B:$B,$B1286,куб!N:N))))))</f>
        <v>0</v>
      </c>
      <c r="Y1286" s="27" t="b">
        <f>IF($G1286&lt;&gt;0,SUMIF(куб!$G:$G,$G1286,куб!O:O),IF($E1286&lt;&gt;0,SUMIF(куб!$E:$E,$E1286,куб!O:O),IF($D1286&lt;&gt;0,SUMIF(куб!$D:$D,$D1286,куб!O:O),IF($C1286&lt;&gt;0,SUMIF(куб!$C:$C,$C1286,куб!O:O),IF($B1286&lt;&gt;0,SUMIF(куб!$B:$B,$B1286,куб!O:O))))))</f>
        <v>0</v>
      </c>
      <c r="Z1286" s="13" t="str">
        <f t="shared" si="405"/>
        <v>-</v>
      </c>
      <c r="AA1286" s="5"/>
      <c r="AB1286" s="33" t="str">
        <f t="shared" si="406"/>
        <v/>
      </c>
      <c r="AC1286" s="33" t="str">
        <f t="shared" si="407"/>
        <v/>
      </c>
      <c r="AD1286" s="15" t="str">
        <f t="shared" si="408"/>
        <v xml:space="preserve"> </v>
      </c>
      <c r="AE1286" s="5"/>
      <c r="AF1286" s="27" t="b">
        <f>IF($G1286&lt;&gt;0,SUMIF(куб!$G:$G,$G1286,куб!R:R),IF($E1286&lt;&gt;0,SUMIF(куб!$E:$E,$E1286,куб!R:R),IF($D1286&lt;&gt;0,SUMIF(куб!$D:$D,$D1286,куб!R:R),IF($C1286&lt;&gt;0,SUMIF(куб!$C:$C,$C1286,куб!R:R),IF($B1286&lt;&gt;0,SUMIF(куб!$B:$B,$B1286,куб!R:R))))))</f>
        <v>0</v>
      </c>
      <c r="AG1286" s="27" t="b">
        <f>IF($G1286&lt;&gt;0,SUMIF(куб!$G:$G,$G1286,куб!S:S),IF($E1286&lt;&gt;0,SUMIF(куб!$E:$E,$E1286,куб!S:S),IF($D1286&lt;&gt;0,SUMIF(куб!$D:$D,$D1286,куб!S:S),IF($C1286&lt;&gt;0,SUMIF(куб!$C:$C,$C1286,куб!S:S),IF($B1286&lt;&gt;0,SUMIF(куб!$B:$B,$B1286,куб!S:S))))))</f>
        <v>0</v>
      </c>
      <c r="AH1286" s="16" t="str">
        <f t="shared" si="409"/>
        <v>-</v>
      </c>
      <c r="AI1286" s="8"/>
      <c r="AJ1286" s="27" t="b">
        <f>IF($G1286&lt;&gt;0,SUMIF(куб!$G:$G,$G1286,куб!T:T),IF($E1286&lt;&gt;0,SUMIF(куб!$E:$E,$E1286,куб!T:T),IF($D1286&lt;&gt;0,SUMIF(куб!$D:$D,$D1286,куб!T:T),IF($C1286&lt;&gt;0,SUMIF(куб!$C:$C,$C1286,куб!T:T),IF($B1286&lt;&gt;0,SUMIF(куб!$B:$B,$B1286,куб!T:T))))))</f>
        <v>0</v>
      </c>
      <c r="AK1286" s="27" t="b">
        <f>IF($G1286&lt;&gt;0,SUMIF(куб!$G:$G,$G1286,куб!U:U),IF($E1286&lt;&gt;0,SUMIF(куб!$E:$E,$E1286,куб!U:U),IF($D1286&lt;&gt;0,SUMIF(куб!$D:$D,$D1286,куб!U:U),IF($C1286&lt;&gt;0,SUMIF(куб!$C:$C,$C1286,куб!U:U),IF($B1286&lt;&gt;0,SUMIF(куб!$B:$B,$B1286,куб!U:U))))))</f>
        <v>0</v>
      </c>
      <c r="AL1286" s="16" t="str">
        <f t="shared" si="410"/>
        <v>-</v>
      </c>
      <c r="AM1286" s="8"/>
      <c r="AN1286" s="17" t="str">
        <f t="shared" si="411"/>
        <v xml:space="preserve"> </v>
      </c>
      <c r="AO1286" s="17" t="str">
        <f t="shared" si="412"/>
        <v xml:space="preserve"> </v>
      </c>
      <c r="AP1286" s="16" t="str">
        <f t="shared" si="413"/>
        <v>-</v>
      </c>
      <c r="AQ1286" s="8"/>
      <c r="AR1286" s="17" t="str">
        <f t="shared" si="414"/>
        <v>-</v>
      </c>
      <c r="AS1286" s="17" t="str">
        <f t="shared" si="415"/>
        <v>-</v>
      </c>
      <c r="AT1286" s="13" t="str">
        <f t="shared" si="416"/>
        <v>-</v>
      </c>
      <c r="AU1286" s="8"/>
    </row>
    <row r="1287" spans="8:47" x14ac:dyDescent="0.25">
      <c r="H1287" s="27">
        <f>IF($G1287&lt;&gt;0,SUMIF(куб!$G:$G,$G1287,куб!H:H),IF($E1287&lt;&gt;0,SUMIF(куб!$E:$E,$E1287,куб!H:H),IF($D1287&lt;&gt;0,SUMIF(куб!$D:$D,$D1287,куб!H:H),IF($C1287&lt;&gt;0,SUMIF(куб!$C:$C,$C1287,куб!H:H),IF($B1287&lt;&gt;0,SUMIF(куб!$B:$B,$B1287,куб!H:H),IF($G1287&lt;&gt;0,SUMIF(куб!$A:$A,$G1287,куб!H:H),SUMIF(куб!$A:$A,$G1287,куб!H:H)))))))</f>
        <v>0</v>
      </c>
      <c r="I1287" s="27">
        <f>IF($G1287&lt;&gt;0,SUMIF(куб!$G:$G,$G1287,куб!I:I),IF($E1287&lt;&gt;0,SUMIF(куб!$E:$E,$E1287,куб!I:I),IF($D1287&lt;&gt;0,SUMIF(куб!$D:$D,$D1287,куб!I:I),IF($C1287&lt;&gt;0,SUMIF(куб!$C:$C,$C1287,куб!I:I),IF($B1287&lt;&gt;0,SUMIF(куб!$B:$B,$B1287,куб!I:I),IF($G1287&lt;&gt;0,SUMIF(куб!$A:$A,$G1287,куб!I:I),SUMIF(куб!$A:$A,$G1287,куб!I:I)))))))</f>
        <v>0</v>
      </c>
      <c r="J1287" s="19" t="str">
        <f t="shared" si="399"/>
        <v>-</v>
      </c>
      <c r="K1287" s="8"/>
      <c r="L1287" s="17">
        <f t="shared" si="400"/>
        <v>0</v>
      </c>
      <c r="M1287" s="17">
        <f t="shared" si="401"/>
        <v>0</v>
      </c>
      <c r="N1287" s="12">
        <f t="shared" si="402"/>
        <v>0</v>
      </c>
      <c r="O1287" s="5"/>
      <c r="P1287" s="27" t="b">
        <f>IF($G1287&lt;&gt;0,SUMIF(куб!$G:$G,$G1287,куб!J:J),IF($E1287&lt;&gt;0,SUMIF(куб!$E:$E,$E1287,куб!J:J),IF($D1287&lt;&gt;0,SUMIF(куб!$D:$D,$D1287,куб!J:J),IF($C1287&lt;&gt;0,SUMIF(куб!$C:$C,$C1287,куб!J:J),IF($B1287&lt;&gt;0,SUMIF(куб!$B:$B,$B1287,куб!J:J))))))</f>
        <v>0</v>
      </c>
      <c r="Q1287" s="27" t="b">
        <f>IF($G1287&lt;&gt;0,SUMIF(куб!$G:$G,$G1287,куб!K:K),IF($E1287&lt;&gt;0,SUMIF(куб!$E:$E,$E1287,куб!K:K),IF($D1287&lt;&gt;0,SUMIF(куб!$D:$D,$D1287,куб!K:K),IF($C1287&lt;&gt;0,SUMIF(куб!$C:$C,$C1287,куб!K:K),IF($B1287&lt;&gt;0,SUMIF(куб!$B:$B,$B1287,куб!K:K))))))</f>
        <v>0</v>
      </c>
      <c r="R1287" s="13" t="str">
        <f t="shared" si="403"/>
        <v>-</v>
      </c>
      <c r="S1287" s="5"/>
      <c r="T1287" s="27" t="b">
        <f>IF($G1287&lt;&gt;0,SUMIF(куб!$G:$G,$G1287,куб!L:L),IF($E1287&lt;&gt;0,SUMIF(куб!$E:$E,$E1287,куб!L:L),IF($D1287&lt;&gt;0,SUMIF(куб!$D:$D,$D1287,куб!L:L),IF($C1287&lt;&gt;0,SUMIF(куб!$C:$C,$C1287,куб!L:L),IF($B1287&lt;&gt;0,SUMIF(куб!$B:$B,$B1287,куб!L:L))))))</f>
        <v>0</v>
      </c>
      <c r="U1287" s="27" t="b">
        <f>IF($G1287&lt;&gt;0,SUMIF(куб!$G:$G,$G1287,куб!M:M),IF($E1287&lt;&gt;0,SUMIF(куб!$E:$E,$E1287,куб!M:M),IF($D1287&lt;&gt;0,SUMIF(куб!$D:$D,$D1287,куб!M:M),IF($C1287&lt;&gt;0,SUMIF(куб!$C:$C,$C1287,куб!M:M),IF($B1287&lt;&gt;0,SUMIF(куб!$B:$B,$B1287,куб!M:M))))))</f>
        <v>0</v>
      </c>
      <c r="V1287" s="13" t="str">
        <f t="shared" si="404"/>
        <v>-</v>
      </c>
      <c r="W1287" s="5"/>
      <c r="X1287" s="27" t="b">
        <f>IF($G1287&lt;&gt;0,SUMIF(куб!$G:$G,$G1287,куб!N:N),IF($E1287&lt;&gt;0,SUMIF(куб!$E:$E,$E1287,куб!N:N),IF($D1287&lt;&gt;0,SUMIF(куб!$D:$D,$D1287,куб!N:N),IF($C1287&lt;&gt;0,SUMIF(куб!$C:$C,$C1287,куб!N:N),IF($B1287&lt;&gt;0,SUMIF(куб!$B:$B,$B1287,куб!N:N))))))</f>
        <v>0</v>
      </c>
      <c r="Y1287" s="27" t="b">
        <f>IF($G1287&lt;&gt;0,SUMIF(куб!$G:$G,$G1287,куб!O:O),IF($E1287&lt;&gt;0,SUMIF(куб!$E:$E,$E1287,куб!O:O),IF($D1287&lt;&gt;0,SUMIF(куб!$D:$D,$D1287,куб!O:O),IF($C1287&lt;&gt;0,SUMIF(куб!$C:$C,$C1287,куб!O:O),IF($B1287&lt;&gt;0,SUMIF(куб!$B:$B,$B1287,куб!O:O))))))</f>
        <v>0</v>
      </c>
      <c r="Z1287" s="13" t="str">
        <f t="shared" si="405"/>
        <v>-</v>
      </c>
      <c r="AA1287" s="5"/>
      <c r="AB1287" s="33" t="str">
        <f t="shared" si="406"/>
        <v/>
      </c>
      <c r="AC1287" s="33" t="str">
        <f t="shared" si="407"/>
        <v/>
      </c>
      <c r="AD1287" s="15" t="str">
        <f t="shared" si="408"/>
        <v xml:space="preserve"> </v>
      </c>
      <c r="AE1287" s="5"/>
      <c r="AF1287" s="27" t="b">
        <f>IF($G1287&lt;&gt;0,SUMIF(куб!$G:$G,$G1287,куб!R:R),IF($E1287&lt;&gt;0,SUMIF(куб!$E:$E,$E1287,куб!R:R),IF($D1287&lt;&gt;0,SUMIF(куб!$D:$D,$D1287,куб!R:R),IF($C1287&lt;&gt;0,SUMIF(куб!$C:$C,$C1287,куб!R:R),IF($B1287&lt;&gt;0,SUMIF(куб!$B:$B,$B1287,куб!R:R))))))</f>
        <v>0</v>
      </c>
      <c r="AG1287" s="27" t="b">
        <f>IF($G1287&lt;&gt;0,SUMIF(куб!$G:$G,$G1287,куб!S:S),IF($E1287&lt;&gt;0,SUMIF(куб!$E:$E,$E1287,куб!S:S),IF($D1287&lt;&gt;0,SUMIF(куб!$D:$D,$D1287,куб!S:S),IF($C1287&lt;&gt;0,SUMIF(куб!$C:$C,$C1287,куб!S:S),IF($B1287&lt;&gt;0,SUMIF(куб!$B:$B,$B1287,куб!S:S))))))</f>
        <v>0</v>
      </c>
      <c r="AH1287" s="16" t="str">
        <f t="shared" si="409"/>
        <v>-</v>
      </c>
      <c r="AI1287" s="8"/>
      <c r="AJ1287" s="27" t="b">
        <f>IF($G1287&lt;&gt;0,SUMIF(куб!$G:$G,$G1287,куб!T:T),IF($E1287&lt;&gt;0,SUMIF(куб!$E:$E,$E1287,куб!T:T),IF($D1287&lt;&gt;0,SUMIF(куб!$D:$D,$D1287,куб!T:T),IF($C1287&lt;&gt;0,SUMIF(куб!$C:$C,$C1287,куб!T:T),IF($B1287&lt;&gt;0,SUMIF(куб!$B:$B,$B1287,куб!T:T))))))</f>
        <v>0</v>
      </c>
      <c r="AK1287" s="27" t="b">
        <f>IF($G1287&lt;&gt;0,SUMIF(куб!$G:$G,$G1287,куб!U:U),IF($E1287&lt;&gt;0,SUMIF(куб!$E:$E,$E1287,куб!U:U),IF($D1287&lt;&gt;0,SUMIF(куб!$D:$D,$D1287,куб!U:U),IF($C1287&lt;&gt;0,SUMIF(куб!$C:$C,$C1287,куб!U:U),IF($B1287&lt;&gt;0,SUMIF(куб!$B:$B,$B1287,куб!U:U))))))</f>
        <v>0</v>
      </c>
      <c r="AL1287" s="16" t="str">
        <f t="shared" si="410"/>
        <v>-</v>
      </c>
      <c r="AM1287" s="8"/>
      <c r="AN1287" s="17" t="str">
        <f t="shared" si="411"/>
        <v xml:space="preserve"> </v>
      </c>
      <c r="AO1287" s="17" t="str">
        <f t="shared" si="412"/>
        <v xml:space="preserve"> </v>
      </c>
      <c r="AP1287" s="16" t="str">
        <f t="shared" si="413"/>
        <v>-</v>
      </c>
      <c r="AQ1287" s="8"/>
      <c r="AR1287" s="17" t="str">
        <f t="shared" si="414"/>
        <v>-</v>
      </c>
      <c r="AS1287" s="17" t="str">
        <f t="shared" si="415"/>
        <v>-</v>
      </c>
      <c r="AT1287" s="13" t="str">
        <f t="shared" si="416"/>
        <v>-</v>
      </c>
      <c r="AU1287" s="8"/>
    </row>
    <row r="1288" spans="8:47" x14ac:dyDescent="0.25">
      <c r="H1288" s="27">
        <f>IF($G1288&lt;&gt;0,SUMIF(куб!$G:$G,$G1288,куб!H:H),IF($E1288&lt;&gt;0,SUMIF(куб!$E:$E,$E1288,куб!H:H),IF($D1288&lt;&gt;0,SUMIF(куб!$D:$D,$D1288,куб!H:H),IF($C1288&lt;&gt;0,SUMIF(куб!$C:$C,$C1288,куб!H:H),IF($B1288&lt;&gt;0,SUMIF(куб!$B:$B,$B1288,куб!H:H),IF($G1288&lt;&gt;0,SUMIF(куб!$A:$A,$G1288,куб!H:H),SUMIF(куб!$A:$A,$G1288,куб!H:H)))))))</f>
        <v>0</v>
      </c>
      <c r="I1288" s="27">
        <f>IF($G1288&lt;&gt;0,SUMIF(куб!$G:$G,$G1288,куб!I:I),IF($E1288&lt;&gt;0,SUMIF(куб!$E:$E,$E1288,куб!I:I),IF($D1288&lt;&gt;0,SUMIF(куб!$D:$D,$D1288,куб!I:I),IF($C1288&lt;&gt;0,SUMIF(куб!$C:$C,$C1288,куб!I:I),IF($B1288&lt;&gt;0,SUMIF(куб!$B:$B,$B1288,куб!I:I),IF($G1288&lt;&gt;0,SUMIF(куб!$A:$A,$G1288,куб!I:I),SUMIF(куб!$A:$A,$G1288,куб!I:I)))))))</f>
        <v>0</v>
      </c>
      <c r="J1288" s="19" t="str">
        <f t="shared" si="399"/>
        <v>-</v>
      </c>
      <c r="K1288" s="8"/>
      <c r="L1288" s="17">
        <f t="shared" si="400"/>
        <v>0</v>
      </c>
      <c r="M1288" s="17">
        <f t="shared" si="401"/>
        <v>0</v>
      </c>
      <c r="N1288" s="12">
        <f t="shared" si="402"/>
        <v>0</v>
      </c>
      <c r="O1288" s="5"/>
      <c r="P1288" s="27" t="b">
        <f>IF($G1288&lt;&gt;0,SUMIF(куб!$G:$G,$G1288,куб!J:J),IF($E1288&lt;&gt;0,SUMIF(куб!$E:$E,$E1288,куб!J:J),IF($D1288&lt;&gt;0,SUMIF(куб!$D:$D,$D1288,куб!J:J),IF($C1288&lt;&gt;0,SUMIF(куб!$C:$C,$C1288,куб!J:J),IF($B1288&lt;&gt;0,SUMIF(куб!$B:$B,$B1288,куб!J:J))))))</f>
        <v>0</v>
      </c>
      <c r="Q1288" s="27" t="b">
        <f>IF($G1288&lt;&gt;0,SUMIF(куб!$G:$G,$G1288,куб!K:K),IF($E1288&lt;&gt;0,SUMIF(куб!$E:$E,$E1288,куб!K:K),IF($D1288&lt;&gt;0,SUMIF(куб!$D:$D,$D1288,куб!K:K),IF($C1288&lt;&gt;0,SUMIF(куб!$C:$C,$C1288,куб!K:K),IF($B1288&lt;&gt;0,SUMIF(куб!$B:$B,$B1288,куб!K:K))))))</f>
        <v>0</v>
      </c>
      <c r="R1288" s="13" t="str">
        <f t="shared" si="403"/>
        <v>-</v>
      </c>
      <c r="S1288" s="5"/>
      <c r="T1288" s="27" t="b">
        <f>IF($G1288&lt;&gt;0,SUMIF(куб!$G:$G,$G1288,куб!L:L),IF($E1288&lt;&gt;0,SUMIF(куб!$E:$E,$E1288,куб!L:L),IF($D1288&lt;&gt;0,SUMIF(куб!$D:$D,$D1288,куб!L:L),IF($C1288&lt;&gt;0,SUMIF(куб!$C:$C,$C1288,куб!L:L),IF($B1288&lt;&gt;0,SUMIF(куб!$B:$B,$B1288,куб!L:L))))))</f>
        <v>0</v>
      </c>
      <c r="U1288" s="27" t="b">
        <f>IF($G1288&lt;&gt;0,SUMIF(куб!$G:$G,$G1288,куб!M:M),IF($E1288&lt;&gt;0,SUMIF(куб!$E:$E,$E1288,куб!M:M),IF($D1288&lt;&gt;0,SUMIF(куб!$D:$D,$D1288,куб!M:M),IF($C1288&lt;&gt;0,SUMIF(куб!$C:$C,$C1288,куб!M:M),IF($B1288&lt;&gt;0,SUMIF(куб!$B:$B,$B1288,куб!M:M))))))</f>
        <v>0</v>
      </c>
      <c r="V1288" s="13" t="str">
        <f t="shared" si="404"/>
        <v>-</v>
      </c>
      <c r="W1288" s="5"/>
      <c r="X1288" s="27" t="b">
        <f>IF($G1288&lt;&gt;0,SUMIF(куб!$G:$G,$G1288,куб!N:N),IF($E1288&lt;&gt;0,SUMIF(куб!$E:$E,$E1288,куб!N:N),IF($D1288&lt;&gt;0,SUMIF(куб!$D:$D,$D1288,куб!N:N),IF($C1288&lt;&gt;0,SUMIF(куб!$C:$C,$C1288,куб!N:N),IF($B1288&lt;&gt;0,SUMIF(куб!$B:$B,$B1288,куб!N:N))))))</f>
        <v>0</v>
      </c>
      <c r="Y1288" s="27" t="b">
        <f>IF($G1288&lt;&gt;0,SUMIF(куб!$G:$G,$G1288,куб!O:O),IF($E1288&lt;&gt;0,SUMIF(куб!$E:$E,$E1288,куб!O:O),IF($D1288&lt;&gt;0,SUMIF(куб!$D:$D,$D1288,куб!O:O),IF($C1288&lt;&gt;0,SUMIF(куб!$C:$C,$C1288,куб!O:O),IF($B1288&lt;&gt;0,SUMIF(куб!$B:$B,$B1288,куб!O:O))))))</f>
        <v>0</v>
      </c>
      <c r="Z1288" s="13" t="str">
        <f t="shared" si="405"/>
        <v>-</v>
      </c>
      <c r="AA1288" s="5"/>
      <c r="AB1288" s="33" t="str">
        <f t="shared" si="406"/>
        <v/>
      </c>
      <c r="AC1288" s="33" t="str">
        <f t="shared" si="407"/>
        <v/>
      </c>
      <c r="AD1288" s="15" t="str">
        <f t="shared" si="408"/>
        <v xml:space="preserve"> </v>
      </c>
      <c r="AE1288" s="5"/>
      <c r="AF1288" s="27" t="b">
        <f>IF($G1288&lt;&gt;0,SUMIF(куб!$G:$G,$G1288,куб!R:R),IF($E1288&lt;&gt;0,SUMIF(куб!$E:$E,$E1288,куб!R:R),IF($D1288&lt;&gt;0,SUMIF(куб!$D:$D,$D1288,куб!R:R),IF($C1288&lt;&gt;0,SUMIF(куб!$C:$C,$C1288,куб!R:R),IF($B1288&lt;&gt;0,SUMIF(куб!$B:$B,$B1288,куб!R:R))))))</f>
        <v>0</v>
      </c>
      <c r="AG1288" s="27" t="b">
        <f>IF($G1288&lt;&gt;0,SUMIF(куб!$G:$G,$G1288,куб!S:S),IF($E1288&lt;&gt;0,SUMIF(куб!$E:$E,$E1288,куб!S:S),IF($D1288&lt;&gt;0,SUMIF(куб!$D:$D,$D1288,куб!S:S),IF($C1288&lt;&gt;0,SUMIF(куб!$C:$C,$C1288,куб!S:S),IF($B1288&lt;&gt;0,SUMIF(куб!$B:$B,$B1288,куб!S:S))))))</f>
        <v>0</v>
      </c>
      <c r="AH1288" s="16" t="str">
        <f t="shared" si="409"/>
        <v>-</v>
      </c>
      <c r="AI1288" s="8"/>
      <c r="AJ1288" s="27" t="b">
        <f>IF($G1288&lt;&gt;0,SUMIF(куб!$G:$G,$G1288,куб!T:T),IF($E1288&lt;&gt;0,SUMIF(куб!$E:$E,$E1288,куб!T:T),IF($D1288&lt;&gt;0,SUMIF(куб!$D:$D,$D1288,куб!T:T),IF($C1288&lt;&gt;0,SUMIF(куб!$C:$C,$C1288,куб!T:T),IF($B1288&lt;&gt;0,SUMIF(куб!$B:$B,$B1288,куб!T:T))))))</f>
        <v>0</v>
      </c>
      <c r="AK1288" s="27" t="b">
        <f>IF($G1288&lt;&gt;0,SUMIF(куб!$G:$G,$G1288,куб!U:U),IF($E1288&lt;&gt;0,SUMIF(куб!$E:$E,$E1288,куб!U:U),IF($D1288&lt;&gt;0,SUMIF(куб!$D:$D,$D1288,куб!U:U),IF($C1288&lt;&gt;0,SUMIF(куб!$C:$C,$C1288,куб!U:U),IF($B1288&lt;&gt;0,SUMIF(куб!$B:$B,$B1288,куб!U:U))))))</f>
        <v>0</v>
      </c>
      <c r="AL1288" s="16" t="str">
        <f t="shared" si="410"/>
        <v>-</v>
      </c>
      <c r="AM1288" s="8"/>
      <c r="AN1288" s="17" t="str">
        <f t="shared" si="411"/>
        <v xml:space="preserve"> </v>
      </c>
      <c r="AO1288" s="17" t="str">
        <f t="shared" si="412"/>
        <v xml:space="preserve"> </v>
      </c>
      <c r="AP1288" s="16" t="str">
        <f t="shared" si="413"/>
        <v>-</v>
      </c>
      <c r="AQ1288" s="8"/>
      <c r="AR1288" s="17" t="str">
        <f t="shared" si="414"/>
        <v>-</v>
      </c>
      <c r="AS1288" s="17" t="str">
        <f t="shared" si="415"/>
        <v>-</v>
      </c>
      <c r="AT1288" s="13" t="str">
        <f t="shared" si="416"/>
        <v>-</v>
      </c>
      <c r="AU1288" s="8"/>
    </row>
    <row r="1289" spans="8:47" x14ac:dyDescent="0.25">
      <c r="H1289" s="27">
        <f>IF($G1289&lt;&gt;0,SUMIF(куб!$G:$G,$G1289,куб!H:H),IF($E1289&lt;&gt;0,SUMIF(куб!$E:$E,$E1289,куб!H:H),IF($D1289&lt;&gt;0,SUMIF(куб!$D:$D,$D1289,куб!H:H),IF($C1289&lt;&gt;0,SUMIF(куб!$C:$C,$C1289,куб!H:H),IF($B1289&lt;&gt;0,SUMIF(куб!$B:$B,$B1289,куб!H:H),IF($G1289&lt;&gt;0,SUMIF(куб!$A:$A,$G1289,куб!H:H),SUMIF(куб!$A:$A,$G1289,куб!H:H)))))))</f>
        <v>0</v>
      </c>
      <c r="I1289" s="27">
        <f>IF($G1289&lt;&gt;0,SUMIF(куб!$G:$G,$G1289,куб!I:I),IF($E1289&lt;&gt;0,SUMIF(куб!$E:$E,$E1289,куб!I:I),IF($D1289&lt;&gt;0,SUMIF(куб!$D:$D,$D1289,куб!I:I),IF($C1289&lt;&gt;0,SUMIF(куб!$C:$C,$C1289,куб!I:I),IF($B1289&lt;&gt;0,SUMIF(куб!$B:$B,$B1289,куб!I:I),IF($G1289&lt;&gt;0,SUMIF(куб!$A:$A,$G1289,куб!I:I),SUMIF(куб!$A:$A,$G1289,куб!I:I)))))))</f>
        <v>0</v>
      </c>
      <c r="J1289" s="19" t="str">
        <f t="shared" si="399"/>
        <v>-</v>
      </c>
      <c r="K1289" s="8"/>
      <c r="L1289" s="17">
        <f t="shared" si="400"/>
        <v>0</v>
      </c>
      <c r="M1289" s="17">
        <f t="shared" si="401"/>
        <v>0</v>
      </c>
      <c r="N1289" s="12">
        <f t="shared" si="402"/>
        <v>0</v>
      </c>
      <c r="O1289" s="5"/>
      <c r="P1289" s="27" t="b">
        <f>IF($G1289&lt;&gt;0,SUMIF(куб!$G:$G,$G1289,куб!J:J),IF($E1289&lt;&gt;0,SUMIF(куб!$E:$E,$E1289,куб!J:J),IF($D1289&lt;&gt;0,SUMIF(куб!$D:$D,$D1289,куб!J:J),IF($C1289&lt;&gt;0,SUMIF(куб!$C:$C,$C1289,куб!J:J),IF($B1289&lt;&gt;0,SUMIF(куб!$B:$B,$B1289,куб!J:J))))))</f>
        <v>0</v>
      </c>
      <c r="Q1289" s="27" t="b">
        <f>IF($G1289&lt;&gt;0,SUMIF(куб!$G:$G,$G1289,куб!K:K),IF($E1289&lt;&gt;0,SUMIF(куб!$E:$E,$E1289,куб!K:K),IF($D1289&lt;&gt;0,SUMIF(куб!$D:$D,$D1289,куб!K:K),IF($C1289&lt;&gt;0,SUMIF(куб!$C:$C,$C1289,куб!K:K),IF($B1289&lt;&gt;0,SUMIF(куб!$B:$B,$B1289,куб!K:K))))))</f>
        <v>0</v>
      </c>
      <c r="R1289" s="13" t="str">
        <f t="shared" si="403"/>
        <v>-</v>
      </c>
      <c r="S1289" s="5"/>
      <c r="T1289" s="27" t="b">
        <f>IF($G1289&lt;&gt;0,SUMIF(куб!$G:$G,$G1289,куб!L:L),IF($E1289&lt;&gt;0,SUMIF(куб!$E:$E,$E1289,куб!L:L),IF($D1289&lt;&gt;0,SUMIF(куб!$D:$D,$D1289,куб!L:L),IF($C1289&lt;&gt;0,SUMIF(куб!$C:$C,$C1289,куб!L:L),IF($B1289&lt;&gt;0,SUMIF(куб!$B:$B,$B1289,куб!L:L))))))</f>
        <v>0</v>
      </c>
      <c r="U1289" s="27" t="b">
        <f>IF($G1289&lt;&gt;0,SUMIF(куб!$G:$G,$G1289,куб!M:M),IF($E1289&lt;&gt;0,SUMIF(куб!$E:$E,$E1289,куб!M:M),IF($D1289&lt;&gt;0,SUMIF(куб!$D:$D,$D1289,куб!M:M),IF($C1289&lt;&gt;0,SUMIF(куб!$C:$C,$C1289,куб!M:M),IF($B1289&lt;&gt;0,SUMIF(куб!$B:$B,$B1289,куб!M:M))))))</f>
        <v>0</v>
      </c>
      <c r="V1289" s="13" t="str">
        <f t="shared" si="404"/>
        <v>-</v>
      </c>
      <c r="W1289" s="5"/>
      <c r="X1289" s="27" t="b">
        <f>IF($G1289&lt;&gt;0,SUMIF(куб!$G:$G,$G1289,куб!N:N),IF($E1289&lt;&gt;0,SUMIF(куб!$E:$E,$E1289,куб!N:N),IF($D1289&lt;&gt;0,SUMIF(куб!$D:$D,$D1289,куб!N:N),IF($C1289&lt;&gt;0,SUMIF(куб!$C:$C,$C1289,куб!N:N),IF($B1289&lt;&gt;0,SUMIF(куб!$B:$B,$B1289,куб!N:N))))))</f>
        <v>0</v>
      </c>
      <c r="Y1289" s="27" t="b">
        <f>IF($G1289&lt;&gt;0,SUMIF(куб!$G:$G,$G1289,куб!O:O),IF($E1289&lt;&gt;0,SUMIF(куб!$E:$E,$E1289,куб!O:O),IF($D1289&lt;&gt;0,SUMIF(куб!$D:$D,$D1289,куб!O:O),IF($C1289&lt;&gt;0,SUMIF(куб!$C:$C,$C1289,куб!O:O),IF($B1289&lt;&gt;0,SUMIF(куб!$B:$B,$B1289,куб!O:O))))))</f>
        <v>0</v>
      </c>
      <c r="Z1289" s="13" t="str">
        <f t="shared" si="405"/>
        <v>-</v>
      </c>
      <c r="AA1289" s="5"/>
      <c r="AB1289" s="33" t="str">
        <f t="shared" si="406"/>
        <v/>
      </c>
      <c r="AC1289" s="33" t="str">
        <f t="shared" si="407"/>
        <v/>
      </c>
      <c r="AD1289" s="15" t="str">
        <f t="shared" si="408"/>
        <v xml:space="preserve"> </v>
      </c>
      <c r="AE1289" s="5"/>
      <c r="AF1289" s="27" t="b">
        <f>IF($G1289&lt;&gt;0,SUMIF(куб!$G:$G,$G1289,куб!R:R),IF($E1289&lt;&gt;0,SUMIF(куб!$E:$E,$E1289,куб!R:R),IF($D1289&lt;&gt;0,SUMIF(куб!$D:$D,$D1289,куб!R:R),IF($C1289&lt;&gt;0,SUMIF(куб!$C:$C,$C1289,куб!R:R),IF($B1289&lt;&gt;0,SUMIF(куб!$B:$B,$B1289,куб!R:R))))))</f>
        <v>0</v>
      </c>
      <c r="AG1289" s="27" t="b">
        <f>IF($G1289&lt;&gt;0,SUMIF(куб!$G:$G,$G1289,куб!S:S),IF($E1289&lt;&gt;0,SUMIF(куб!$E:$E,$E1289,куб!S:S),IF($D1289&lt;&gt;0,SUMIF(куб!$D:$D,$D1289,куб!S:S),IF($C1289&lt;&gt;0,SUMIF(куб!$C:$C,$C1289,куб!S:S),IF($B1289&lt;&gt;0,SUMIF(куб!$B:$B,$B1289,куб!S:S))))))</f>
        <v>0</v>
      </c>
      <c r="AH1289" s="16" t="str">
        <f t="shared" si="409"/>
        <v>-</v>
      </c>
      <c r="AI1289" s="8"/>
      <c r="AJ1289" s="27" t="b">
        <f>IF($G1289&lt;&gt;0,SUMIF(куб!$G:$G,$G1289,куб!T:T),IF($E1289&lt;&gt;0,SUMIF(куб!$E:$E,$E1289,куб!T:T),IF($D1289&lt;&gt;0,SUMIF(куб!$D:$D,$D1289,куб!T:T),IF($C1289&lt;&gt;0,SUMIF(куб!$C:$C,$C1289,куб!T:T),IF($B1289&lt;&gt;0,SUMIF(куб!$B:$B,$B1289,куб!T:T))))))</f>
        <v>0</v>
      </c>
      <c r="AK1289" s="27" t="b">
        <f>IF($G1289&lt;&gt;0,SUMIF(куб!$G:$G,$G1289,куб!U:U),IF($E1289&lt;&gt;0,SUMIF(куб!$E:$E,$E1289,куб!U:U),IF($D1289&lt;&gt;0,SUMIF(куб!$D:$D,$D1289,куб!U:U),IF($C1289&lt;&gt;0,SUMIF(куб!$C:$C,$C1289,куб!U:U),IF($B1289&lt;&gt;0,SUMIF(куб!$B:$B,$B1289,куб!U:U))))))</f>
        <v>0</v>
      </c>
      <c r="AL1289" s="16" t="str">
        <f t="shared" si="410"/>
        <v>-</v>
      </c>
      <c r="AM1289" s="8"/>
      <c r="AN1289" s="17" t="str">
        <f t="shared" si="411"/>
        <v xml:space="preserve"> </v>
      </c>
      <c r="AO1289" s="17" t="str">
        <f t="shared" si="412"/>
        <v xml:space="preserve"> </v>
      </c>
      <c r="AP1289" s="16" t="str">
        <f t="shared" si="413"/>
        <v>-</v>
      </c>
      <c r="AQ1289" s="8"/>
      <c r="AR1289" s="17" t="str">
        <f t="shared" si="414"/>
        <v>-</v>
      </c>
      <c r="AS1289" s="17" t="str">
        <f t="shared" si="415"/>
        <v>-</v>
      </c>
      <c r="AT1289" s="13" t="str">
        <f t="shared" si="416"/>
        <v>-</v>
      </c>
      <c r="AU1289" s="8"/>
    </row>
    <row r="1290" spans="8:47" x14ac:dyDescent="0.25">
      <c r="H1290" s="27">
        <f>IF($G1290&lt;&gt;0,SUMIF(куб!$G:$G,$G1290,куб!H:H),IF($E1290&lt;&gt;0,SUMIF(куб!$E:$E,$E1290,куб!H:H),IF($D1290&lt;&gt;0,SUMIF(куб!$D:$D,$D1290,куб!H:H),IF($C1290&lt;&gt;0,SUMIF(куб!$C:$C,$C1290,куб!H:H),IF($B1290&lt;&gt;0,SUMIF(куб!$B:$B,$B1290,куб!H:H),IF($G1290&lt;&gt;0,SUMIF(куб!$A:$A,$G1290,куб!H:H),SUMIF(куб!$A:$A,$G1290,куб!H:H)))))))</f>
        <v>0</v>
      </c>
      <c r="I1290" s="27">
        <f>IF($G1290&lt;&gt;0,SUMIF(куб!$G:$G,$G1290,куб!I:I),IF($E1290&lt;&gt;0,SUMIF(куб!$E:$E,$E1290,куб!I:I),IF($D1290&lt;&gt;0,SUMIF(куб!$D:$D,$D1290,куб!I:I),IF($C1290&lt;&gt;0,SUMIF(куб!$C:$C,$C1290,куб!I:I),IF($B1290&lt;&gt;0,SUMIF(куб!$B:$B,$B1290,куб!I:I),IF($G1290&lt;&gt;0,SUMIF(куб!$A:$A,$G1290,куб!I:I),SUMIF(куб!$A:$A,$G1290,куб!I:I)))))))</f>
        <v>0</v>
      </c>
      <c r="J1290" s="19" t="str">
        <f t="shared" si="399"/>
        <v>-</v>
      </c>
      <c r="K1290" s="8"/>
      <c r="L1290" s="17">
        <f t="shared" si="400"/>
        <v>0</v>
      </c>
      <c r="M1290" s="17">
        <f t="shared" si="401"/>
        <v>0</v>
      </c>
      <c r="N1290" s="12">
        <f t="shared" si="402"/>
        <v>0</v>
      </c>
      <c r="O1290" s="5"/>
      <c r="P1290" s="27" t="b">
        <f>IF($G1290&lt;&gt;0,SUMIF(куб!$G:$G,$G1290,куб!J:J),IF($E1290&lt;&gt;0,SUMIF(куб!$E:$E,$E1290,куб!J:J),IF($D1290&lt;&gt;0,SUMIF(куб!$D:$D,$D1290,куб!J:J),IF($C1290&lt;&gt;0,SUMIF(куб!$C:$C,$C1290,куб!J:J),IF($B1290&lt;&gt;0,SUMIF(куб!$B:$B,$B1290,куб!J:J))))))</f>
        <v>0</v>
      </c>
      <c r="Q1290" s="27" t="b">
        <f>IF($G1290&lt;&gt;0,SUMIF(куб!$G:$G,$G1290,куб!K:K),IF($E1290&lt;&gt;0,SUMIF(куб!$E:$E,$E1290,куб!K:K),IF($D1290&lt;&gt;0,SUMIF(куб!$D:$D,$D1290,куб!K:K),IF($C1290&lt;&gt;0,SUMIF(куб!$C:$C,$C1290,куб!K:K),IF($B1290&lt;&gt;0,SUMIF(куб!$B:$B,$B1290,куб!K:K))))))</f>
        <v>0</v>
      </c>
      <c r="R1290" s="13" t="str">
        <f t="shared" si="403"/>
        <v>-</v>
      </c>
      <c r="S1290" s="5"/>
      <c r="T1290" s="27" t="b">
        <f>IF($G1290&lt;&gt;0,SUMIF(куб!$G:$G,$G1290,куб!L:L),IF($E1290&lt;&gt;0,SUMIF(куб!$E:$E,$E1290,куб!L:L),IF($D1290&lt;&gt;0,SUMIF(куб!$D:$D,$D1290,куб!L:L),IF($C1290&lt;&gt;0,SUMIF(куб!$C:$C,$C1290,куб!L:L),IF($B1290&lt;&gt;0,SUMIF(куб!$B:$B,$B1290,куб!L:L))))))</f>
        <v>0</v>
      </c>
      <c r="U1290" s="27" t="b">
        <f>IF($G1290&lt;&gt;0,SUMIF(куб!$G:$G,$G1290,куб!M:M),IF($E1290&lt;&gt;0,SUMIF(куб!$E:$E,$E1290,куб!M:M),IF($D1290&lt;&gt;0,SUMIF(куб!$D:$D,$D1290,куб!M:M),IF($C1290&lt;&gt;0,SUMIF(куб!$C:$C,$C1290,куб!M:M),IF($B1290&lt;&gt;0,SUMIF(куб!$B:$B,$B1290,куб!M:M))))))</f>
        <v>0</v>
      </c>
      <c r="V1290" s="13" t="str">
        <f t="shared" si="404"/>
        <v>-</v>
      </c>
      <c r="W1290" s="5"/>
      <c r="X1290" s="27" t="b">
        <f>IF($G1290&lt;&gt;0,SUMIF(куб!$G:$G,$G1290,куб!N:N),IF($E1290&lt;&gt;0,SUMIF(куб!$E:$E,$E1290,куб!N:N),IF($D1290&lt;&gt;0,SUMIF(куб!$D:$D,$D1290,куб!N:N),IF($C1290&lt;&gt;0,SUMIF(куб!$C:$C,$C1290,куб!N:N),IF($B1290&lt;&gt;0,SUMIF(куб!$B:$B,$B1290,куб!N:N))))))</f>
        <v>0</v>
      </c>
      <c r="Y1290" s="27" t="b">
        <f>IF($G1290&lt;&gt;0,SUMIF(куб!$G:$G,$G1290,куб!O:O),IF($E1290&lt;&gt;0,SUMIF(куб!$E:$E,$E1290,куб!O:O),IF($D1290&lt;&gt;0,SUMIF(куб!$D:$D,$D1290,куб!O:O),IF($C1290&lt;&gt;0,SUMIF(куб!$C:$C,$C1290,куб!O:O),IF($B1290&lt;&gt;0,SUMIF(куб!$B:$B,$B1290,куб!O:O))))))</f>
        <v>0</v>
      </c>
      <c r="Z1290" s="13" t="str">
        <f t="shared" si="405"/>
        <v>-</v>
      </c>
      <c r="AA1290" s="5"/>
      <c r="AB1290" s="33" t="str">
        <f t="shared" si="406"/>
        <v/>
      </c>
      <c r="AC1290" s="33" t="str">
        <f t="shared" si="407"/>
        <v/>
      </c>
      <c r="AD1290" s="15" t="str">
        <f t="shared" si="408"/>
        <v xml:space="preserve"> </v>
      </c>
      <c r="AE1290" s="5"/>
      <c r="AF1290" s="27" t="b">
        <f>IF($G1290&lt;&gt;0,SUMIF(куб!$G:$G,$G1290,куб!R:R),IF($E1290&lt;&gt;0,SUMIF(куб!$E:$E,$E1290,куб!R:R),IF($D1290&lt;&gt;0,SUMIF(куб!$D:$D,$D1290,куб!R:R),IF($C1290&lt;&gt;0,SUMIF(куб!$C:$C,$C1290,куб!R:R),IF($B1290&lt;&gt;0,SUMIF(куб!$B:$B,$B1290,куб!R:R))))))</f>
        <v>0</v>
      </c>
      <c r="AG1290" s="27" t="b">
        <f>IF($G1290&lt;&gt;0,SUMIF(куб!$G:$G,$G1290,куб!S:S),IF($E1290&lt;&gt;0,SUMIF(куб!$E:$E,$E1290,куб!S:S),IF($D1290&lt;&gt;0,SUMIF(куб!$D:$D,$D1290,куб!S:S),IF($C1290&lt;&gt;0,SUMIF(куб!$C:$C,$C1290,куб!S:S),IF($B1290&lt;&gt;0,SUMIF(куб!$B:$B,$B1290,куб!S:S))))))</f>
        <v>0</v>
      </c>
      <c r="AH1290" s="16" t="str">
        <f t="shared" si="409"/>
        <v>-</v>
      </c>
      <c r="AI1290" s="8"/>
      <c r="AJ1290" s="27" t="b">
        <f>IF($G1290&lt;&gt;0,SUMIF(куб!$G:$G,$G1290,куб!T:T),IF($E1290&lt;&gt;0,SUMIF(куб!$E:$E,$E1290,куб!T:T),IF($D1290&lt;&gt;0,SUMIF(куб!$D:$D,$D1290,куб!T:T),IF($C1290&lt;&gt;0,SUMIF(куб!$C:$C,$C1290,куб!T:T),IF($B1290&lt;&gt;0,SUMIF(куб!$B:$B,$B1290,куб!T:T))))))</f>
        <v>0</v>
      </c>
      <c r="AK1290" s="27" t="b">
        <f>IF($G1290&lt;&gt;0,SUMIF(куб!$G:$G,$G1290,куб!U:U),IF($E1290&lt;&gt;0,SUMIF(куб!$E:$E,$E1290,куб!U:U),IF($D1290&lt;&gt;0,SUMIF(куб!$D:$D,$D1290,куб!U:U),IF($C1290&lt;&gt;0,SUMIF(куб!$C:$C,$C1290,куб!U:U),IF($B1290&lt;&gt;0,SUMIF(куб!$B:$B,$B1290,куб!U:U))))))</f>
        <v>0</v>
      </c>
      <c r="AL1290" s="16" t="str">
        <f t="shared" si="410"/>
        <v>-</v>
      </c>
      <c r="AM1290" s="8"/>
      <c r="AN1290" s="17" t="str">
        <f t="shared" si="411"/>
        <v xml:space="preserve"> </v>
      </c>
      <c r="AO1290" s="17" t="str">
        <f t="shared" si="412"/>
        <v xml:space="preserve"> </v>
      </c>
      <c r="AP1290" s="16" t="str">
        <f t="shared" si="413"/>
        <v>-</v>
      </c>
      <c r="AQ1290" s="8"/>
      <c r="AR1290" s="17" t="str">
        <f t="shared" si="414"/>
        <v>-</v>
      </c>
      <c r="AS1290" s="17" t="str">
        <f t="shared" si="415"/>
        <v>-</v>
      </c>
      <c r="AT1290" s="13" t="str">
        <f t="shared" si="416"/>
        <v>-</v>
      </c>
      <c r="AU1290" s="8"/>
    </row>
    <row r="1291" spans="8:47" x14ac:dyDescent="0.25">
      <c r="H1291" s="27">
        <f>IF($G1291&lt;&gt;0,SUMIF(куб!$G:$G,$G1291,куб!H:H),IF($E1291&lt;&gt;0,SUMIF(куб!$E:$E,$E1291,куб!H:H),IF($D1291&lt;&gt;0,SUMIF(куб!$D:$D,$D1291,куб!H:H),IF($C1291&lt;&gt;0,SUMIF(куб!$C:$C,$C1291,куб!H:H),IF($B1291&lt;&gt;0,SUMIF(куб!$B:$B,$B1291,куб!H:H),IF($G1291&lt;&gt;0,SUMIF(куб!$A:$A,$G1291,куб!H:H),SUMIF(куб!$A:$A,$G1291,куб!H:H)))))))</f>
        <v>0</v>
      </c>
      <c r="I1291" s="27">
        <f>IF($G1291&lt;&gt;0,SUMIF(куб!$G:$G,$G1291,куб!I:I),IF($E1291&lt;&gt;0,SUMIF(куб!$E:$E,$E1291,куб!I:I),IF($D1291&lt;&gt;0,SUMIF(куб!$D:$D,$D1291,куб!I:I),IF($C1291&lt;&gt;0,SUMIF(куб!$C:$C,$C1291,куб!I:I),IF($B1291&lt;&gt;0,SUMIF(куб!$B:$B,$B1291,куб!I:I),IF($G1291&lt;&gt;0,SUMIF(куб!$A:$A,$G1291,куб!I:I),SUMIF(куб!$A:$A,$G1291,куб!I:I)))))))</f>
        <v>0</v>
      </c>
      <c r="J1291" s="19" t="str">
        <f t="shared" si="399"/>
        <v>-</v>
      </c>
      <c r="K1291" s="8"/>
      <c r="L1291" s="17">
        <f t="shared" si="400"/>
        <v>0</v>
      </c>
      <c r="M1291" s="17">
        <f t="shared" si="401"/>
        <v>0</v>
      </c>
      <c r="N1291" s="12">
        <f t="shared" si="402"/>
        <v>0</v>
      </c>
      <c r="O1291" s="5"/>
      <c r="P1291" s="27" t="b">
        <f>IF($G1291&lt;&gt;0,SUMIF(куб!$G:$G,$G1291,куб!J:J),IF($E1291&lt;&gt;0,SUMIF(куб!$E:$E,$E1291,куб!J:J),IF($D1291&lt;&gt;0,SUMIF(куб!$D:$D,$D1291,куб!J:J),IF($C1291&lt;&gt;0,SUMIF(куб!$C:$C,$C1291,куб!J:J),IF($B1291&lt;&gt;0,SUMIF(куб!$B:$B,$B1291,куб!J:J))))))</f>
        <v>0</v>
      </c>
      <c r="Q1291" s="27" t="b">
        <f>IF($G1291&lt;&gt;0,SUMIF(куб!$G:$G,$G1291,куб!K:K),IF($E1291&lt;&gt;0,SUMIF(куб!$E:$E,$E1291,куб!K:K),IF($D1291&lt;&gt;0,SUMIF(куб!$D:$D,$D1291,куб!K:K),IF($C1291&lt;&gt;0,SUMIF(куб!$C:$C,$C1291,куб!K:K),IF($B1291&lt;&gt;0,SUMIF(куб!$B:$B,$B1291,куб!K:K))))))</f>
        <v>0</v>
      </c>
      <c r="R1291" s="13" t="str">
        <f t="shared" si="403"/>
        <v>-</v>
      </c>
      <c r="S1291" s="5"/>
      <c r="T1291" s="27" t="b">
        <f>IF($G1291&lt;&gt;0,SUMIF(куб!$G:$G,$G1291,куб!L:L),IF($E1291&lt;&gt;0,SUMIF(куб!$E:$E,$E1291,куб!L:L),IF($D1291&lt;&gt;0,SUMIF(куб!$D:$D,$D1291,куб!L:L),IF($C1291&lt;&gt;0,SUMIF(куб!$C:$C,$C1291,куб!L:L),IF($B1291&lt;&gt;0,SUMIF(куб!$B:$B,$B1291,куб!L:L))))))</f>
        <v>0</v>
      </c>
      <c r="U1291" s="27" t="b">
        <f>IF($G1291&lt;&gt;0,SUMIF(куб!$G:$G,$G1291,куб!M:M),IF($E1291&lt;&gt;0,SUMIF(куб!$E:$E,$E1291,куб!M:M),IF($D1291&lt;&gt;0,SUMIF(куб!$D:$D,$D1291,куб!M:M),IF($C1291&lt;&gt;0,SUMIF(куб!$C:$C,$C1291,куб!M:M),IF($B1291&lt;&gt;0,SUMIF(куб!$B:$B,$B1291,куб!M:M))))))</f>
        <v>0</v>
      </c>
      <c r="V1291" s="13" t="str">
        <f t="shared" si="404"/>
        <v>-</v>
      </c>
      <c r="W1291" s="5"/>
      <c r="X1291" s="27" t="b">
        <f>IF($G1291&lt;&gt;0,SUMIF(куб!$G:$G,$G1291,куб!N:N),IF($E1291&lt;&gt;0,SUMIF(куб!$E:$E,$E1291,куб!N:N),IF($D1291&lt;&gt;0,SUMIF(куб!$D:$D,$D1291,куб!N:N),IF($C1291&lt;&gt;0,SUMIF(куб!$C:$C,$C1291,куб!N:N),IF($B1291&lt;&gt;0,SUMIF(куб!$B:$B,$B1291,куб!N:N))))))</f>
        <v>0</v>
      </c>
      <c r="Y1291" s="27" t="b">
        <f>IF($G1291&lt;&gt;0,SUMIF(куб!$G:$G,$G1291,куб!O:O),IF($E1291&lt;&gt;0,SUMIF(куб!$E:$E,$E1291,куб!O:O),IF($D1291&lt;&gt;0,SUMIF(куб!$D:$D,$D1291,куб!O:O),IF($C1291&lt;&gt;0,SUMIF(куб!$C:$C,$C1291,куб!O:O),IF($B1291&lt;&gt;0,SUMIF(куб!$B:$B,$B1291,куб!O:O))))))</f>
        <v>0</v>
      </c>
      <c r="Z1291" s="13" t="str">
        <f t="shared" si="405"/>
        <v>-</v>
      </c>
      <c r="AA1291" s="5"/>
      <c r="AB1291" s="33" t="str">
        <f t="shared" si="406"/>
        <v/>
      </c>
      <c r="AC1291" s="33" t="str">
        <f t="shared" si="407"/>
        <v/>
      </c>
      <c r="AD1291" s="15" t="str">
        <f t="shared" si="408"/>
        <v xml:space="preserve"> </v>
      </c>
      <c r="AE1291" s="5"/>
      <c r="AF1291" s="27" t="b">
        <f>IF($G1291&lt;&gt;0,SUMIF(куб!$G:$G,$G1291,куб!R:R),IF($E1291&lt;&gt;0,SUMIF(куб!$E:$E,$E1291,куб!R:R),IF($D1291&lt;&gt;0,SUMIF(куб!$D:$D,$D1291,куб!R:R),IF($C1291&lt;&gt;0,SUMIF(куб!$C:$C,$C1291,куб!R:R),IF($B1291&lt;&gt;0,SUMIF(куб!$B:$B,$B1291,куб!R:R))))))</f>
        <v>0</v>
      </c>
      <c r="AG1291" s="27" t="b">
        <f>IF($G1291&lt;&gt;0,SUMIF(куб!$G:$G,$G1291,куб!S:S),IF($E1291&lt;&gt;0,SUMIF(куб!$E:$E,$E1291,куб!S:S),IF($D1291&lt;&gt;0,SUMIF(куб!$D:$D,$D1291,куб!S:S),IF($C1291&lt;&gt;0,SUMIF(куб!$C:$C,$C1291,куб!S:S),IF($B1291&lt;&gt;0,SUMIF(куб!$B:$B,$B1291,куб!S:S))))))</f>
        <v>0</v>
      </c>
      <c r="AH1291" s="16" t="str">
        <f t="shared" si="409"/>
        <v>-</v>
      </c>
      <c r="AI1291" s="8"/>
      <c r="AJ1291" s="27" t="b">
        <f>IF($G1291&lt;&gt;0,SUMIF(куб!$G:$G,$G1291,куб!T:T),IF($E1291&lt;&gt;0,SUMIF(куб!$E:$E,$E1291,куб!T:T),IF($D1291&lt;&gt;0,SUMIF(куб!$D:$D,$D1291,куб!T:T),IF($C1291&lt;&gt;0,SUMIF(куб!$C:$C,$C1291,куб!T:T),IF($B1291&lt;&gt;0,SUMIF(куб!$B:$B,$B1291,куб!T:T))))))</f>
        <v>0</v>
      </c>
      <c r="AK1291" s="27" t="b">
        <f>IF($G1291&lt;&gt;0,SUMIF(куб!$G:$G,$G1291,куб!U:U),IF($E1291&lt;&gt;0,SUMIF(куб!$E:$E,$E1291,куб!U:U),IF($D1291&lt;&gt;0,SUMIF(куб!$D:$D,$D1291,куб!U:U),IF($C1291&lt;&gt;0,SUMIF(куб!$C:$C,$C1291,куб!U:U),IF($B1291&lt;&gt;0,SUMIF(куб!$B:$B,$B1291,куб!U:U))))))</f>
        <v>0</v>
      </c>
      <c r="AL1291" s="16" t="str">
        <f t="shared" si="410"/>
        <v>-</v>
      </c>
      <c r="AM1291" s="8"/>
      <c r="AN1291" s="17" t="str">
        <f t="shared" si="411"/>
        <v xml:space="preserve"> </v>
      </c>
      <c r="AO1291" s="17" t="str">
        <f t="shared" si="412"/>
        <v xml:space="preserve"> </v>
      </c>
      <c r="AP1291" s="16" t="str">
        <f t="shared" si="413"/>
        <v>-</v>
      </c>
      <c r="AQ1291" s="8"/>
      <c r="AR1291" s="17" t="str">
        <f t="shared" si="414"/>
        <v>-</v>
      </c>
      <c r="AS1291" s="17" t="str">
        <f t="shared" si="415"/>
        <v>-</v>
      </c>
      <c r="AT1291" s="13" t="str">
        <f t="shared" si="416"/>
        <v>-</v>
      </c>
      <c r="AU1291" s="8"/>
    </row>
    <row r="1292" spans="8:47" x14ac:dyDescent="0.25">
      <c r="H1292" s="27">
        <f>IF($G1292&lt;&gt;0,SUMIF(куб!$G:$G,$G1292,куб!H:H),IF($E1292&lt;&gt;0,SUMIF(куб!$E:$E,$E1292,куб!H:H),IF($D1292&lt;&gt;0,SUMIF(куб!$D:$D,$D1292,куб!H:H),IF($C1292&lt;&gt;0,SUMIF(куб!$C:$C,$C1292,куб!H:H),IF($B1292&lt;&gt;0,SUMIF(куб!$B:$B,$B1292,куб!H:H),IF($G1292&lt;&gt;0,SUMIF(куб!$A:$A,$G1292,куб!H:H),SUMIF(куб!$A:$A,$G1292,куб!H:H)))))))</f>
        <v>0</v>
      </c>
      <c r="I1292" s="27">
        <f>IF($G1292&lt;&gt;0,SUMIF(куб!$G:$G,$G1292,куб!I:I),IF($E1292&lt;&gt;0,SUMIF(куб!$E:$E,$E1292,куб!I:I),IF($D1292&lt;&gt;0,SUMIF(куб!$D:$D,$D1292,куб!I:I),IF($C1292&lt;&gt;0,SUMIF(куб!$C:$C,$C1292,куб!I:I),IF($B1292&lt;&gt;0,SUMIF(куб!$B:$B,$B1292,куб!I:I),IF($G1292&lt;&gt;0,SUMIF(куб!$A:$A,$G1292,куб!I:I),SUMIF(куб!$A:$A,$G1292,куб!I:I)))))))</f>
        <v>0</v>
      </c>
      <c r="J1292" s="19" t="str">
        <f t="shared" si="399"/>
        <v>-</v>
      </c>
      <c r="K1292" s="8"/>
      <c r="L1292" s="17">
        <f t="shared" si="400"/>
        <v>0</v>
      </c>
      <c r="M1292" s="17">
        <f t="shared" si="401"/>
        <v>0</v>
      </c>
      <c r="N1292" s="12">
        <f t="shared" si="402"/>
        <v>0</v>
      </c>
      <c r="O1292" s="5"/>
      <c r="P1292" s="27" t="b">
        <f>IF($G1292&lt;&gt;0,SUMIF(куб!$G:$G,$G1292,куб!J:J),IF($E1292&lt;&gt;0,SUMIF(куб!$E:$E,$E1292,куб!J:J),IF($D1292&lt;&gt;0,SUMIF(куб!$D:$D,$D1292,куб!J:J),IF($C1292&lt;&gt;0,SUMIF(куб!$C:$C,$C1292,куб!J:J),IF($B1292&lt;&gt;0,SUMIF(куб!$B:$B,$B1292,куб!J:J))))))</f>
        <v>0</v>
      </c>
      <c r="Q1292" s="27" t="b">
        <f>IF($G1292&lt;&gt;0,SUMIF(куб!$G:$G,$G1292,куб!K:K),IF($E1292&lt;&gt;0,SUMIF(куб!$E:$E,$E1292,куб!K:K),IF($D1292&lt;&gt;0,SUMIF(куб!$D:$D,$D1292,куб!K:K),IF($C1292&lt;&gt;0,SUMIF(куб!$C:$C,$C1292,куб!K:K),IF($B1292&lt;&gt;0,SUMIF(куб!$B:$B,$B1292,куб!K:K))))))</f>
        <v>0</v>
      </c>
      <c r="R1292" s="13" t="str">
        <f t="shared" si="403"/>
        <v>-</v>
      </c>
      <c r="S1292" s="5"/>
      <c r="T1292" s="27" t="b">
        <f>IF($G1292&lt;&gt;0,SUMIF(куб!$G:$G,$G1292,куб!L:L),IF($E1292&lt;&gt;0,SUMIF(куб!$E:$E,$E1292,куб!L:L),IF($D1292&lt;&gt;0,SUMIF(куб!$D:$D,$D1292,куб!L:L),IF($C1292&lt;&gt;0,SUMIF(куб!$C:$C,$C1292,куб!L:L),IF($B1292&lt;&gt;0,SUMIF(куб!$B:$B,$B1292,куб!L:L))))))</f>
        <v>0</v>
      </c>
      <c r="U1292" s="27" t="b">
        <f>IF($G1292&lt;&gt;0,SUMIF(куб!$G:$G,$G1292,куб!M:M),IF($E1292&lt;&gt;0,SUMIF(куб!$E:$E,$E1292,куб!M:M),IF($D1292&lt;&gt;0,SUMIF(куб!$D:$D,$D1292,куб!M:M),IF($C1292&lt;&gt;0,SUMIF(куб!$C:$C,$C1292,куб!M:M),IF($B1292&lt;&gt;0,SUMIF(куб!$B:$B,$B1292,куб!M:M))))))</f>
        <v>0</v>
      </c>
      <c r="V1292" s="13" t="str">
        <f t="shared" si="404"/>
        <v>-</v>
      </c>
      <c r="W1292" s="5"/>
      <c r="X1292" s="27" t="b">
        <f>IF($G1292&lt;&gt;0,SUMIF(куб!$G:$G,$G1292,куб!N:N),IF($E1292&lt;&gt;0,SUMIF(куб!$E:$E,$E1292,куб!N:N),IF($D1292&lt;&gt;0,SUMIF(куб!$D:$D,$D1292,куб!N:N),IF($C1292&lt;&gt;0,SUMIF(куб!$C:$C,$C1292,куб!N:N),IF($B1292&lt;&gt;0,SUMIF(куб!$B:$B,$B1292,куб!N:N))))))</f>
        <v>0</v>
      </c>
      <c r="Y1292" s="27" t="b">
        <f>IF($G1292&lt;&gt;0,SUMIF(куб!$G:$G,$G1292,куб!O:O),IF($E1292&lt;&gt;0,SUMIF(куб!$E:$E,$E1292,куб!O:O),IF($D1292&lt;&gt;0,SUMIF(куб!$D:$D,$D1292,куб!O:O),IF($C1292&lt;&gt;0,SUMIF(куб!$C:$C,$C1292,куб!O:O),IF($B1292&lt;&gt;0,SUMIF(куб!$B:$B,$B1292,куб!O:O))))))</f>
        <v>0</v>
      </c>
      <c r="Z1292" s="13" t="str">
        <f t="shared" si="405"/>
        <v>-</v>
      </c>
      <c r="AA1292" s="5"/>
      <c r="AB1292" s="33" t="str">
        <f t="shared" si="406"/>
        <v/>
      </c>
      <c r="AC1292" s="33" t="str">
        <f t="shared" si="407"/>
        <v/>
      </c>
      <c r="AD1292" s="15" t="str">
        <f t="shared" si="408"/>
        <v xml:space="preserve"> </v>
      </c>
      <c r="AE1292" s="5"/>
      <c r="AF1292" s="27" t="b">
        <f>IF($G1292&lt;&gt;0,SUMIF(куб!$G:$G,$G1292,куб!R:R),IF($E1292&lt;&gt;0,SUMIF(куб!$E:$E,$E1292,куб!R:R),IF($D1292&lt;&gt;0,SUMIF(куб!$D:$D,$D1292,куб!R:R),IF($C1292&lt;&gt;0,SUMIF(куб!$C:$C,$C1292,куб!R:R),IF($B1292&lt;&gt;0,SUMIF(куб!$B:$B,$B1292,куб!R:R))))))</f>
        <v>0</v>
      </c>
      <c r="AG1292" s="27" t="b">
        <f>IF($G1292&lt;&gt;0,SUMIF(куб!$G:$G,$G1292,куб!S:S),IF($E1292&lt;&gt;0,SUMIF(куб!$E:$E,$E1292,куб!S:S),IF($D1292&lt;&gt;0,SUMIF(куб!$D:$D,$D1292,куб!S:S),IF($C1292&lt;&gt;0,SUMIF(куб!$C:$C,$C1292,куб!S:S),IF($B1292&lt;&gt;0,SUMIF(куб!$B:$B,$B1292,куб!S:S))))))</f>
        <v>0</v>
      </c>
      <c r="AH1292" s="16" t="str">
        <f t="shared" si="409"/>
        <v>-</v>
      </c>
      <c r="AI1292" s="8"/>
      <c r="AJ1292" s="27" t="b">
        <f>IF($G1292&lt;&gt;0,SUMIF(куб!$G:$G,$G1292,куб!T:T),IF($E1292&lt;&gt;0,SUMIF(куб!$E:$E,$E1292,куб!T:T),IF($D1292&lt;&gt;0,SUMIF(куб!$D:$D,$D1292,куб!T:T),IF($C1292&lt;&gt;0,SUMIF(куб!$C:$C,$C1292,куб!T:T),IF($B1292&lt;&gt;0,SUMIF(куб!$B:$B,$B1292,куб!T:T))))))</f>
        <v>0</v>
      </c>
      <c r="AK1292" s="27" t="b">
        <f>IF($G1292&lt;&gt;0,SUMIF(куб!$G:$G,$G1292,куб!U:U),IF($E1292&lt;&gt;0,SUMIF(куб!$E:$E,$E1292,куб!U:U),IF($D1292&lt;&gt;0,SUMIF(куб!$D:$D,$D1292,куб!U:U),IF($C1292&lt;&gt;0,SUMIF(куб!$C:$C,$C1292,куб!U:U),IF($B1292&lt;&gt;0,SUMIF(куб!$B:$B,$B1292,куб!U:U))))))</f>
        <v>0</v>
      </c>
      <c r="AL1292" s="16" t="str">
        <f t="shared" si="410"/>
        <v>-</v>
      </c>
      <c r="AM1292" s="8"/>
      <c r="AN1292" s="17" t="str">
        <f t="shared" si="411"/>
        <v xml:space="preserve"> </v>
      </c>
      <c r="AO1292" s="17" t="str">
        <f t="shared" si="412"/>
        <v xml:space="preserve"> </v>
      </c>
      <c r="AP1292" s="16" t="str">
        <f t="shared" si="413"/>
        <v>-</v>
      </c>
      <c r="AQ1292" s="8"/>
      <c r="AR1292" s="17" t="str">
        <f t="shared" si="414"/>
        <v>-</v>
      </c>
      <c r="AS1292" s="17" t="str">
        <f t="shared" si="415"/>
        <v>-</v>
      </c>
      <c r="AT1292" s="13" t="str">
        <f t="shared" si="416"/>
        <v>-</v>
      </c>
      <c r="AU1292" s="8"/>
    </row>
    <row r="1293" spans="8:47" x14ac:dyDescent="0.25">
      <c r="H1293" s="27">
        <f>IF($G1293&lt;&gt;0,SUMIF(куб!$G:$G,$G1293,куб!H:H),IF($E1293&lt;&gt;0,SUMIF(куб!$E:$E,$E1293,куб!H:H),IF($D1293&lt;&gt;0,SUMIF(куб!$D:$D,$D1293,куб!H:H),IF($C1293&lt;&gt;0,SUMIF(куб!$C:$C,$C1293,куб!H:H),IF($B1293&lt;&gt;0,SUMIF(куб!$B:$B,$B1293,куб!H:H),IF($G1293&lt;&gt;0,SUMIF(куб!$A:$A,$G1293,куб!H:H),SUMIF(куб!$A:$A,$G1293,куб!H:H)))))))</f>
        <v>0</v>
      </c>
      <c r="I1293" s="27">
        <f>IF($G1293&lt;&gt;0,SUMIF(куб!$G:$G,$G1293,куб!I:I),IF($E1293&lt;&gt;0,SUMIF(куб!$E:$E,$E1293,куб!I:I),IF($D1293&lt;&gt;0,SUMIF(куб!$D:$D,$D1293,куб!I:I),IF($C1293&lt;&gt;0,SUMIF(куб!$C:$C,$C1293,куб!I:I),IF($B1293&lt;&gt;0,SUMIF(куб!$B:$B,$B1293,куб!I:I),IF($G1293&lt;&gt;0,SUMIF(куб!$A:$A,$G1293,куб!I:I),SUMIF(куб!$A:$A,$G1293,куб!I:I)))))))</f>
        <v>0</v>
      </c>
      <c r="J1293" s="19" t="str">
        <f t="shared" si="399"/>
        <v>-</v>
      </c>
      <c r="K1293" s="8"/>
      <c r="L1293" s="17">
        <f t="shared" si="400"/>
        <v>0</v>
      </c>
      <c r="M1293" s="17">
        <f t="shared" si="401"/>
        <v>0</v>
      </c>
      <c r="N1293" s="12">
        <f t="shared" si="402"/>
        <v>0</v>
      </c>
      <c r="O1293" s="5"/>
      <c r="P1293" s="27" t="b">
        <f>IF($G1293&lt;&gt;0,SUMIF(куб!$G:$G,$G1293,куб!J:J),IF($E1293&lt;&gt;0,SUMIF(куб!$E:$E,$E1293,куб!J:J),IF($D1293&lt;&gt;0,SUMIF(куб!$D:$D,$D1293,куб!J:J),IF($C1293&lt;&gt;0,SUMIF(куб!$C:$C,$C1293,куб!J:J),IF($B1293&lt;&gt;0,SUMIF(куб!$B:$B,$B1293,куб!J:J))))))</f>
        <v>0</v>
      </c>
      <c r="Q1293" s="27" t="b">
        <f>IF($G1293&lt;&gt;0,SUMIF(куб!$G:$G,$G1293,куб!K:K),IF($E1293&lt;&gt;0,SUMIF(куб!$E:$E,$E1293,куб!K:K),IF($D1293&lt;&gt;0,SUMIF(куб!$D:$D,$D1293,куб!K:K),IF($C1293&lt;&gt;0,SUMIF(куб!$C:$C,$C1293,куб!K:K),IF($B1293&lt;&gt;0,SUMIF(куб!$B:$B,$B1293,куб!K:K))))))</f>
        <v>0</v>
      </c>
      <c r="R1293" s="13" t="str">
        <f t="shared" si="403"/>
        <v>-</v>
      </c>
      <c r="S1293" s="5"/>
      <c r="T1293" s="27" t="b">
        <f>IF($G1293&lt;&gt;0,SUMIF(куб!$G:$G,$G1293,куб!L:L),IF($E1293&lt;&gt;0,SUMIF(куб!$E:$E,$E1293,куб!L:L),IF($D1293&lt;&gt;0,SUMIF(куб!$D:$D,$D1293,куб!L:L),IF($C1293&lt;&gt;0,SUMIF(куб!$C:$C,$C1293,куб!L:L),IF($B1293&lt;&gt;0,SUMIF(куб!$B:$B,$B1293,куб!L:L))))))</f>
        <v>0</v>
      </c>
      <c r="U1293" s="27" t="b">
        <f>IF($G1293&lt;&gt;0,SUMIF(куб!$G:$G,$G1293,куб!M:M),IF($E1293&lt;&gt;0,SUMIF(куб!$E:$E,$E1293,куб!M:M),IF($D1293&lt;&gt;0,SUMIF(куб!$D:$D,$D1293,куб!M:M),IF($C1293&lt;&gt;0,SUMIF(куб!$C:$C,$C1293,куб!M:M),IF($B1293&lt;&gt;0,SUMIF(куб!$B:$B,$B1293,куб!M:M))))))</f>
        <v>0</v>
      </c>
      <c r="V1293" s="13" t="str">
        <f t="shared" si="404"/>
        <v>-</v>
      </c>
      <c r="W1293" s="5"/>
      <c r="X1293" s="27" t="b">
        <f>IF($G1293&lt;&gt;0,SUMIF(куб!$G:$G,$G1293,куб!N:N),IF($E1293&lt;&gt;0,SUMIF(куб!$E:$E,$E1293,куб!N:N),IF($D1293&lt;&gt;0,SUMIF(куб!$D:$D,$D1293,куб!N:N),IF($C1293&lt;&gt;0,SUMIF(куб!$C:$C,$C1293,куб!N:N),IF($B1293&lt;&gt;0,SUMIF(куб!$B:$B,$B1293,куб!N:N))))))</f>
        <v>0</v>
      </c>
      <c r="Y1293" s="27" t="b">
        <f>IF($G1293&lt;&gt;0,SUMIF(куб!$G:$G,$G1293,куб!O:O),IF($E1293&lt;&gt;0,SUMIF(куб!$E:$E,$E1293,куб!O:O),IF($D1293&lt;&gt;0,SUMIF(куб!$D:$D,$D1293,куб!O:O),IF($C1293&lt;&gt;0,SUMIF(куб!$C:$C,$C1293,куб!O:O),IF($B1293&lt;&gt;0,SUMIF(куб!$B:$B,$B1293,куб!O:O))))))</f>
        <v>0</v>
      </c>
      <c r="Z1293" s="13" t="str">
        <f t="shared" si="405"/>
        <v>-</v>
      </c>
      <c r="AA1293" s="5"/>
      <c r="AB1293" s="33" t="str">
        <f t="shared" si="406"/>
        <v/>
      </c>
      <c r="AC1293" s="33" t="str">
        <f t="shared" si="407"/>
        <v/>
      </c>
      <c r="AD1293" s="15" t="str">
        <f t="shared" si="408"/>
        <v xml:space="preserve"> </v>
      </c>
      <c r="AE1293" s="5"/>
      <c r="AF1293" s="27" t="b">
        <f>IF($G1293&lt;&gt;0,SUMIF(куб!$G:$G,$G1293,куб!R:R),IF($E1293&lt;&gt;0,SUMIF(куб!$E:$E,$E1293,куб!R:R),IF($D1293&lt;&gt;0,SUMIF(куб!$D:$D,$D1293,куб!R:R),IF($C1293&lt;&gt;0,SUMIF(куб!$C:$C,$C1293,куб!R:R),IF($B1293&lt;&gt;0,SUMIF(куб!$B:$B,$B1293,куб!R:R))))))</f>
        <v>0</v>
      </c>
      <c r="AG1293" s="27" t="b">
        <f>IF($G1293&lt;&gt;0,SUMIF(куб!$G:$G,$G1293,куб!S:S),IF($E1293&lt;&gt;0,SUMIF(куб!$E:$E,$E1293,куб!S:S),IF($D1293&lt;&gt;0,SUMIF(куб!$D:$D,$D1293,куб!S:S),IF($C1293&lt;&gt;0,SUMIF(куб!$C:$C,$C1293,куб!S:S),IF($B1293&lt;&gt;0,SUMIF(куб!$B:$B,$B1293,куб!S:S))))))</f>
        <v>0</v>
      </c>
      <c r="AH1293" s="16" t="str">
        <f t="shared" si="409"/>
        <v>-</v>
      </c>
      <c r="AI1293" s="8"/>
      <c r="AJ1293" s="27" t="b">
        <f>IF($G1293&lt;&gt;0,SUMIF(куб!$G:$G,$G1293,куб!T:T),IF($E1293&lt;&gt;0,SUMIF(куб!$E:$E,$E1293,куб!T:T),IF($D1293&lt;&gt;0,SUMIF(куб!$D:$D,$D1293,куб!T:T),IF($C1293&lt;&gt;0,SUMIF(куб!$C:$C,$C1293,куб!T:T),IF($B1293&lt;&gt;0,SUMIF(куб!$B:$B,$B1293,куб!T:T))))))</f>
        <v>0</v>
      </c>
      <c r="AK1293" s="27" t="b">
        <f>IF($G1293&lt;&gt;0,SUMIF(куб!$G:$G,$G1293,куб!U:U),IF($E1293&lt;&gt;0,SUMIF(куб!$E:$E,$E1293,куб!U:U),IF($D1293&lt;&gt;0,SUMIF(куб!$D:$D,$D1293,куб!U:U),IF($C1293&lt;&gt;0,SUMIF(куб!$C:$C,$C1293,куб!U:U),IF($B1293&lt;&gt;0,SUMIF(куб!$B:$B,$B1293,куб!U:U))))))</f>
        <v>0</v>
      </c>
      <c r="AL1293" s="16" t="str">
        <f t="shared" si="410"/>
        <v>-</v>
      </c>
      <c r="AM1293" s="8"/>
      <c r="AN1293" s="17" t="str">
        <f t="shared" si="411"/>
        <v xml:space="preserve"> </v>
      </c>
      <c r="AO1293" s="17" t="str">
        <f t="shared" si="412"/>
        <v xml:space="preserve"> </v>
      </c>
      <c r="AP1293" s="16" t="str">
        <f t="shared" si="413"/>
        <v>-</v>
      </c>
      <c r="AQ1293" s="8"/>
      <c r="AR1293" s="17" t="str">
        <f t="shared" si="414"/>
        <v>-</v>
      </c>
      <c r="AS1293" s="17" t="str">
        <f t="shared" si="415"/>
        <v>-</v>
      </c>
      <c r="AT1293" s="13" t="str">
        <f t="shared" si="416"/>
        <v>-</v>
      </c>
      <c r="AU1293" s="8"/>
    </row>
    <row r="1294" spans="8:47" x14ac:dyDescent="0.25">
      <c r="H1294" s="27">
        <f>IF($G1294&lt;&gt;0,SUMIF(куб!$G:$G,$G1294,куб!H:H),IF($E1294&lt;&gt;0,SUMIF(куб!$E:$E,$E1294,куб!H:H),IF($D1294&lt;&gt;0,SUMIF(куб!$D:$D,$D1294,куб!H:H),IF($C1294&lt;&gt;0,SUMIF(куб!$C:$C,$C1294,куб!H:H),IF($B1294&lt;&gt;0,SUMIF(куб!$B:$B,$B1294,куб!H:H),IF($G1294&lt;&gt;0,SUMIF(куб!$A:$A,$G1294,куб!H:H),SUMIF(куб!$A:$A,$G1294,куб!H:H)))))))</f>
        <v>0</v>
      </c>
      <c r="I1294" s="27">
        <f>IF($G1294&lt;&gt;0,SUMIF(куб!$G:$G,$G1294,куб!I:I),IF($E1294&lt;&gt;0,SUMIF(куб!$E:$E,$E1294,куб!I:I),IF($D1294&lt;&gt;0,SUMIF(куб!$D:$D,$D1294,куб!I:I),IF($C1294&lt;&gt;0,SUMIF(куб!$C:$C,$C1294,куб!I:I),IF($B1294&lt;&gt;0,SUMIF(куб!$B:$B,$B1294,куб!I:I),IF($G1294&lt;&gt;0,SUMIF(куб!$A:$A,$G1294,куб!I:I),SUMIF(куб!$A:$A,$G1294,куб!I:I)))))))</f>
        <v>0</v>
      </c>
      <c r="J1294" s="19" t="str">
        <f t="shared" si="399"/>
        <v>-</v>
      </c>
      <c r="K1294" s="8"/>
      <c r="L1294" s="17">
        <f t="shared" si="400"/>
        <v>0</v>
      </c>
      <c r="M1294" s="17">
        <f t="shared" si="401"/>
        <v>0</v>
      </c>
      <c r="N1294" s="12">
        <f t="shared" si="402"/>
        <v>0</v>
      </c>
      <c r="O1294" s="5"/>
      <c r="P1294" s="27" t="b">
        <f>IF($G1294&lt;&gt;0,SUMIF(куб!$G:$G,$G1294,куб!J:J),IF($E1294&lt;&gt;0,SUMIF(куб!$E:$E,$E1294,куб!J:J),IF($D1294&lt;&gt;0,SUMIF(куб!$D:$D,$D1294,куб!J:J),IF($C1294&lt;&gt;0,SUMIF(куб!$C:$C,$C1294,куб!J:J),IF($B1294&lt;&gt;0,SUMIF(куб!$B:$B,$B1294,куб!J:J))))))</f>
        <v>0</v>
      </c>
      <c r="Q1294" s="27" t="b">
        <f>IF($G1294&lt;&gt;0,SUMIF(куб!$G:$G,$G1294,куб!K:K),IF($E1294&lt;&gt;0,SUMIF(куб!$E:$E,$E1294,куб!K:K),IF($D1294&lt;&gt;0,SUMIF(куб!$D:$D,$D1294,куб!K:K),IF($C1294&lt;&gt;0,SUMIF(куб!$C:$C,$C1294,куб!K:K),IF($B1294&lt;&gt;0,SUMIF(куб!$B:$B,$B1294,куб!K:K))))))</f>
        <v>0</v>
      </c>
      <c r="R1294" s="13" t="str">
        <f t="shared" si="403"/>
        <v>-</v>
      </c>
      <c r="S1294" s="5"/>
      <c r="T1294" s="27" t="b">
        <f>IF($G1294&lt;&gt;0,SUMIF(куб!$G:$G,$G1294,куб!L:L),IF($E1294&lt;&gt;0,SUMIF(куб!$E:$E,$E1294,куб!L:L),IF($D1294&lt;&gt;0,SUMIF(куб!$D:$D,$D1294,куб!L:L),IF($C1294&lt;&gt;0,SUMIF(куб!$C:$C,$C1294,куб!L:L),IF($B1294&lt;&gt;0,SUMIF(куб!$B:$B,$B1294,куб!L:L))))))</f>
        <v>0</v>
      </c>
      <c r="U1294" s="27" t="b">
        <f>IF($G1294&lt;&gt;0,SUMIF(куб!$G:$G,$G1294,куб!M:M),IF($E1294&lt;&gt;0,SUMIF(куб!$E:$E,$E1294,куб!M:M),IF($D1294&lt;&gt;0,SUMIF(куб!$D:$D,$D1294,куб!M:M),IF($C1294&lt;&gt;0,SUMIF(куб!$C:$C,$C1294,куб!M:M),IF($B1294&lt;&gt;0,SUMIF(куб!$B:$B,$B1294,куб!M:M))))))</f>
        <v>0</v>
      </c>
      <c r="V1294" s="13" t="str">
        <f t="shared" si="404"/>
        <v>-</v>
      </c>
      <c r="W1294" s="5"/>
      <c r="X1294" s="27" t="b">
        <f>IF($G1294&lt;&gt;0,SUMIF(куб!$G:$G,$G1294,куб!N:N),IF($E1294&lt;&gt;0,SUMIF(куб!$E:$E,$E1294,куб!N:N),IF($D1294&lt;&gt;0,SUMIF(куб!$D:$D,$D1294,куб!N:N),IF($C1294&lt;&gt;0,SUMIF(куб!$C:$C,$C1294,куб!N:N),IF($B1294&lt;&gt;0,SUMIF(куб!$B:$B,$B1294,куб!N:N))))))</f>
        <v>0</v>
      </c>
      <c r="Y1294" s="27" t="b">
        <f>IF($G1294&lt;&gt;0,SUMIF(куб!$G:$G,$G1294,куб!O:O),IF($E1294&lt;&gt;0,SUMIF(куб!$E:$E,$E1294,куб!O:O),IF($D1294&lt;&gt;0,SUMIF(куб!$D:$D,$D1294,куб!O:O),IF($C1294&lt;&gt;0,SUMIF(куб!$C:$C,$C1294,куб!O:O),IF($B1294&lt;&gt;0,SUMIF(куб!$B:$B,$B1294,куб!O:O))))))</f>
        <v>0</v>
      </c>
      <c r="Z1294" s="13" t="str">
        <f t="shared" si="405"/>
        <v>-</v>
      </c>
      <c r="AA1294" s="5"/>
      <c r="AB1294" s="33" t="str">
        <f t="shared" si="406"/>
        <v/>
      </c>
      <c r="AC1294" s="33" t="str">
        <f t="shared" si="407"/>
        <v/>
      </c>
      <c r="AD1294" s="15" t="str">
        <f t="shared" si="408"/>
        <v xml:space="preserve"> </v>
      </c>
      <c r="AE1294" s="5"/>
      <c r="AF1294" s="27" t="b">
        <f>IF($G1294&lt;&gt;0,SUMIF(куб!$G:$G,$G1294,куб!R:R),IF($E1294&lt;&gt;0,SUMIF(куб!$E:$E,$E1294,куб!R:R),IF($D1294&lt;&gt;0,SUMIF(куб!$D:$D,$D1294,куб!R:R),IF($C1294&lt;&gt;0,SUMIF(куб!$C:$C,$C1294,куб!R:R),IF($B1294&lt;&gt;0,SUMIF(куб!$B:$B,$B1294,куб!R:R))))))</f>
        <v>0</v>
      </c>
      <c r="AG1294" s="27" t="b">
        <f>IF($G1294&lt;&gt;0,SUMIF(куб!$G:$G,$G1294,куб!S:S),IF($E1294&lt;&gt;0,SUMIF(куб!$E:$E,$E1294,куб!S:S),IF($D1294&lt;&gt;0,SUMIF(куб!$D:$D,$D1294,куб!S:S),IF($C1294&lt;&gt;0,SUMIF(куб!$C:$C,$C1294,куб!S:S),IF($B1294&lt;&gt;0,SUMIF(куб!$B:$B,$B1294,куб!S:S))))))</f>
        <v>0</v>
      </c>
      <c r="AH1294" s="16" t="str">
        <f t="shared" si="409"/>
        <v>-</v>
      </c>
      <c r="AI1294" s="8"/>
      <c r="AJ1294" s="27" t="b">
        <f>IF($G1294&lt;&gt;0,SUMIF(куб!$G:$G,$G1294,куб!T:T),IF($E1294&lt;&gt;0,SUMIF(куб!$E:$E,$E1294,куб!T:T),IF($D1294&lt;&gt;0,SUMIF(куб!$D:$D,$D1294,куб!T:T),IF($C1294&lt;&gt;0,SUMIF(куб!$C:$C,$C1294,куб!T:T),IF($B1294&lt;&gt;0,SUMIF(куб!$B:$B,$B1294,куб!T:T))))))</f>
        <v>0</v>
      </c>
      <c r="AK1294" s="27" t="b">
        <f>IF($G1294&lt;&gt;0,SUMIF(куб!$G:$G,$G1294,куб!U:U),IF($E1294&lt;&gt;0,SUMIF(куб!$E:$E,$E1294,куб!U:U),IF($D1294&lt;&gt;0,SUMIF(куб!$D:$D,$D1294,куб!U:U),IF($C1294&lt;&gt;0,SUMIF(куб!$C:$C,$C1294,куб!U:U),IF($B1294&lt;&gt;0,SUMIF(куб!$B:$B,$B1294,куб!U:U))))))</f>
        <v>0</v>
      </c>
      <c r="AL1294" s="16" t="str">
        <f t="shared" si="410"/>
        <v>-</v>
      </c>
      <c r="AM1294" s="8"/>
      <c r="AN1294" s="17" t="str">
        <f t="shared" si="411"/>
        <v xml:space="preserve"> </v>
      </c>
      <c r="AO1294" s="17" t="str">
        <f t="shared" si="412"/>
        <v xml:space="preserve"> </v>
      </c>
      <c r="AP1294" s="16" t="str">
        <f t="shared" si="413"/>
        <v>-</v>
      </c>
      <c r="AQ1294" s="8"/>
      <c r="AR1294" s="17" t="str">
        <f t="shared" si="414"/>
        <v>-</v>
      </c>
      <c r="AS1294" s="17" t="str">
        <f t="shared" si="415"/>
        <v>-</v>
      </c>
      <c r="AT1294" s="13" t="str">
        <f t="shared" si="416"/>
        <v>-</v>
      </c>
      <c r="AU1294" s="8"/>
    </row>
    <row r="1295" spans="8:47" x14ac:dyDescent="0.25">
      <c r="H1295" s="27">
        <f>IF($G1295&lt;&gt;0,SUMIF(куб!$G:$G,$G1295,куб!H:H),IF($E1295&lt;&gt;0,SUMIF(куб!$E:$E,$E1295,куб!H:H),IF($D1295&lt;&gt;0,SUMIF(куб!$D:$D,$D1295,куб!H:H),IF($C1295&lt;&gt;0,SUMIF(куб!$C:$C,$C1295,куб!H:H),IF($B1295&lt;&gt;0,SUMIF(куб!$B:$B,$B1295,куб!H:H),IF($G1295&lt;&gt;0,SUMIF(куб!$A:$A,$G1295,куб!H:H),SUMIF(куб!$A:$A,$G1295,куб!H:H)))))))</f>
        <v>0</v>
      </c>
      <c r="I1295" s="27">
        <f>IF($G1295&lt;&gt;0,SUMIF(куб!$G:$G,$G1295,куб!I:I),IF($E1295&lt;&gt;0,SUMIF(куб!$E:$E,$E1295,куб!I:I),IF($D1295&lt;&gt;0,SUMIF(куб!$D:$D,$D1295,куб!I:I),IF($C1295&lt;&gt;0,SUMIF(куб!$C:$C,$C1295,куб!I:I),IF($B1295&lt;&gt;0,SUMIF(куб!$B:$B,$B1295,куб!I:I),IF($G1295&lt;&gt;0,SUMIF(куб!$A:$A,$G1295,куб!I:I),SUMIF(куб!$A:$A,$G1295,куб!I:I)))))))</f>
        <v>0</v>
      </c>
      <c r="J1295" s="19" t="str">
        <f t="shared" si="399"/>
        <v>-</v>
      </c>
      <c r="K1295" s="8"/>
      <c r="L1295" s="17">
        <f t="shared" si="400"/>
        <v>0</v>
      </c>
      <c r="M1295" s="17">
        <f t="shared" si="401"/>
        <v>0</v>
      </c>
      <c r="N1295" s="12">
        <f t="shared" si="402"/>
        <v>0</v>
      </c>
      <c r="O1295" s="5"/>
      <c r="P1295" s="27" t="b">
        <f>IF($G1295&lt;&gt;0,SUMIF(куб!$G:$G,$G1295,куб!J:J),IF($E1295&lt;&gt;0,SUMIF(куб!$E:$E,$E1295,куб!J:J),IF($D1295&lt;&gt;0,SUMIF(куб!$D:$D,$D1295,куб!J:J),IF($C1295&lt;&gt;0,SUMIF(куб!$C:$C,$C1295,куб!J:J),IF($B1295&lt;&gt;0,SUMIF(куб!$B:$B,$B1295,куб!J:J))))))</f>
        <v>0</v>
      </c>
      <c r="Q1295" s="27" t="b">
        <f>IF($G1295&lt;&gt;0,SUMIF(куб!$G:$G,$G1295,куб!K:K),IF($E1295&lt;&gt;0,SUMIF(куб!$E:$E,$E1295,куб!K:K),IF($D1295&lt;&gt;0,SUMIF(куб!$D:$D,$D1295,куб!K:K),IF($C1295&lt;&gt;0,SUMIF(куб!$C:$C,$C1295,куб!K:K),IF($B1295&lt;&gt;0,SUMIF(куб!$B:$B,$B1295,куб!K:K))))))</f>
        <v>0</v>
      </c>
      <c r="R1295" s="13" t="str">
        <f t="shared" si="403"/>
        <v>-</v>
      </c>
      <c r="S1295" s="5"/>
      <c r="T1295" s="27" t="b">
        <f>IF($G1295&lt;&gt;0,SUMIF(куб!$G:$G,$G1295,куб!L:L),IF($E1295&lt;&gt;0,SUMIF(куб!$E:$E,$E1295,куб!L:L),IF($D1295&lt;&gt;0,SUMIF(куб!$D:$D,$D1295,куб!L:L),IF($C1295&lt;&gt;0,SUMIF(куб!$C:$C,$C1295,куб!L:L),IF($B1295&lt;&gt;0,SUMIF(куб!$B:$B,$B1295,куб!L:L))))))</f>
        <v>0</v>
      </c>
      <c r="U1295" s="27" t="b">
        <f>IF($G1295&lt;&gt;0,SUMIF(куб!$G:$G,$G1295,куб!M:M),IF($E1295&lt;&gt;0,SUMIF(куб!$E:$E,$E1295,куб!M:M),IF($D1295&lt;&gt;0,SUMIF(куб!$D:$D,$D1295,куб!M:M),IF($C1295&lt;&gt;0,SUMIF(куб!$C:$C,$C1295,куб!M:M),IF($B1295&lt;&gt;0,SUMIF(куб!$B:$B,$B1295,куб!M:M))))))</f>
        <v>0</v>
      </c>
      <c r="V1295" s="13" t="str">
        <f t="shared" si="404"/>
        <v>-</v>
      </c>
      <c r="W1295" s="5"/>
      <c r="X1295" s="27" t="b">
        <f>IF($G1295&lt;&gt;0,SUMIF(куб!$G:$G,$G1295,куб!N:N),IF($E1295&lt;&gt;0,SUMIF(куб!$E:$E,$E1295,куб!N:N),IF($D1295&lt;&gt;0,SUMIF(куб!$D:$D,$D1295,куб!N:N),IF($C1295&lt;&gt;0,SUMIF(куб!$C:$C,$C1295,куб!N:N),IF($B1295&lt;&gt;0,SUMIF(куб!$B:$B,$B1295,куб!N:N))))))</f>
        <v>0</v>
      </c>
      <c r="Y1295" s="27" t="b">
        <f>IF($G1295&lt;&gt;0,SUMIF(куб!$G:$G,$G1295,куб!O:O),IF($E1295&lt;&gt;0,SUMIF(куб!$E:$E,$E1295,куб!O:O),IF($D1295&lt;&gt;0,SUMIF(куб!$D:$D,$D1295,куб!O:O),IF($C1295&lt;&gt;0,SUMIF(куб!$C:$C,$C1295,куб!O:O),IF($B1295&lt;&gt;0,SUMIF(куб!$B:$B,$B1295,куб!O:O))))))</f>
        <v>0</v>
      </c>
      <c r="Z1295" s="13" t="str">
        <f t="shared" si="405"/>
        <v>-</v>
      </c>
      <c r="AA1295" s="5"/>
      <c r="AB1295" s="33" t="str">
        <f t="shared" si="406"/>
        <v/>
      </c>
      <c r="AC1295" s="33" t="str">
        <f t="shared" si="407"/>
        <v/>
      </c>
      <c r="AD1295" s="15" t="str">
        <f t="shared" si="408"/>
        <v xml:space="preserve"> </v>
      </c>
      <c r="AE1295" s="5"/>
      <c r="AF1295" s="27" t="b">
        <f>IF($G1295&lt;&gt;0,SUMIF(куб!$G:$G,$G1295,куб!R:R),IF($E1295&lt;&gt;0,SUMIF(куб!$E:$E,$E1295,куб!R:R),IF($D1295&lt;&gt;0,SUMIF(куб!$D:$D,$D1295,куб!R:R),IF($C1295&lt;&gt;0,SUMIF(куб!$C:$C,$C1295,куб!R:R),IF($B1295&lt;&gt;0,SUMIF(куб!$B:$B,$B1295,куб!R:R))))))</f>
        <v>0</v>
      </c>
      <c r="AG1295" s="27" t="b">
        <f>IF($G1295&lt;&gt;0,SUMIF(куб!$G:$G,$G1295,куб!S:S),IF($E1295&lt;&gt;0,SUMIF(куб!$E:$E,$E1295,куб!S:S),IF($D1295&lt;&gt;0,SUMIF(куб!$D:$D,$D1295,куб!S:S),IF($C1295&lt;&gt;0,SUMIF(куб!$C:$C,$C1295,куб!S:S),IF($B1295&lt;&gt;0,SUMIF(куб!$B:$B,$B1295,куб!S:S))))))</f>
        <v>0</v>
      </c>
      <c r="AH1295" s="16" t="str">
        <f t="shared" si="409"/>
        <v>-</v>
      </c>
      <c r="AI1295" s="8"/>
      <c r="AJ1295" s="27" t="b">
        <f>IF($G1295&lt;&gt;0,SUMIF(куб!$G:$G,$G1295,куб!T:T),IF($E1295&lt;&gt;0,SUMIF(куб!$E:$E,$E1295,куб!T:T),IF($D1295&lt;&gt;0,SUMIF(куб!$D:$D,$D1295,куб!T:T),IF($C1295&lt;&gt;0,SUMIF(куб!$C:$C,$C1295,куб!T:T),IF($B1295&lt;&gt;0,SUMIF(куб!$B:$B,$B1295,куб!T:T))))))</f>
        <v>0</v>
      </c>
      <c r="AK1295" s="27" t="b">
        <f>IF($G1295&lt;&gt;0,SUMIF(куб!$G:$G,$G1295,куб!U:U),IF($E1295&lt;&gt;0,SUMIF(куб!$E:$E,$E1295,куб!U:U),IF($D1295&lt;&gt;0,SUMIF(куб!$D:$D,$D1295,куб!U:U),IF($C1295&lt;&gt;0,SUMIF(куб!$C:$C,$C1295,куб!U:U),IF($B1295&lt;&gt;0,SUMIF(куб!$B:$B,$B1295,куб!U:U))))))</f>
        <v>0</v>
      </c>
      <c r="AL1295" s="16" t="str">
        <f t="shared" si="410"/>
        <v>-</v>
      </c>
      <c r="AM1295" s="8"/>
      <c r="AN1295" s="17" t="str">
        <f t="shared" si="411"/>
        <v xml:space="preserve"> </v>
      </c>
      <c r="AO1295" s="17" t="str">
        <f t="shared" si="412"/>
        <v xml:space="preserve"> </v>
      </c>
      <c r="AP1295" s="16" t="str">
        <f t="shared" si="413"/>
        <v>-</v>
      </c>
      <c r="AQ1295" s="8"/>
      <c r="AR1295" s="17" t="str">
        <f t="shared" si="414"/>
        <v>-</v>
      </c>
      <c r="AS1295" s="17" t="str">
        <f t="shared" si="415"/>
        <v>-</v>
      </c>
      <c r="AT1295" s="13" t="str">
        <f t="shared" si="416"/>
        <v>-</v>
      </c>
      <c r="AU1295" s="8"/>
    </row>
    <row r="1296" spans="8:47" x14ac:dyDescent="0.25">
      <c r="H1296" s="27">
        <f>IF($G1296&lt;&gt;0,SUMIF(куб!$G:$G,$G1296,куб!H:H),IF($E1296&lt;&gt;0,SUMIF(куб!$E:$E,$E1296,куб!H:H),IF($D1296&lt;&gt;0,SUMIF(куб!$D:$D,$D1296,куб!H:H),IF($C1296&lt;&gt;0,SUMIF(куб!$C:$C,$C1296,куб!H:H),IF($B1296&lt;&gt;0,SUMIF(куб!$B:$B,$B1296,куб!H:H),IF($G1296&lt;&gt;0,SUMIF(куб!$A:$A,$G1296,куб!H:H),SUMIF(куб!$A:$A,$G1296,куб!H:H)))))))</f>
        <v>0</v>
      </c>
      <c r="I1296" s="27">
        <f>IF($G1296&lt;&gt;0,SUMIF(куб!$G:$G,$G1296,куб!I:I),IF($E1296&lt;&gt;0,SUMIF(куб!$E:$E,$E1296,куб!I:I),IF($D1296&lt;&gt;0,SUMIF(куб!$D:$D,$D1296,куб!I:I),IF($C1296&lt;&gt;0,SUMIF(куб!$C:$C,$C1296,куб!I:I),IF($B1296&lt;&gt;0,SUMIF(куб!$B:$B,$B1296,куб!I:I),IF($G1296&lt;&gt;0,SUMIF(куб!$A:$A,$G1296,куб!I:I),SUMIF(куб!$A:$A,$G1296,куб!I:I)))))))</f>
        <v>0</v>
      </c>
      <c r="J1296" s="19" t="str">
        <f t="shared" si="399"/>
        <v>-</v>
      </c>
      <c r="K1296" s="8"/>
      <c r="L1296" s="17">
        <f t="shared" si="400"/>
        <v>0</v>
      </c>
      <c r="M1296" s="17">
        <f t="shared" si="401"/>
        <v>0</v>
      </c>
      <c r="N1296" s="12">
        <f t="shared" si="402"/>
        <v>0</v>
      </c>
      <c r="O1296" s="5"/>
      <c r="P1296" s="27" t="b">
        <f>IF($G1296&lt;&gt;0,SUMIF(куб!$G:$G,$G1296,куб!J:J),IF($E1296&lt;&gt;0,SUMIF(куб!$E:$E,$E1296,куб!J:J),IF($D1296&lt;&gt;0,SUMIF(куб!$D:$D,$D1296,куб!J:J),IF($C1296&lt;&gt;0,SUMIF(куб!$C:$C,$C1296,куб!J:J),IF($B1296&lt;&gt;0,SUMIF(куб!$B:$B,$B1296,куб!J:J))))))</f>
        <v>0</v>
      </c>
      <c r="Q1296" s="27" t="b">
        <f>IF($G1296&lt;&gt;0,SUMIF(куб!$G:$G,$G1296,куб!K:K),IF($E1296&lt;&gt;0,SUMIF(куб!$E:$E,$E1296,куб!K:K),IF($D1296&lt;&gt;0,SUMIF(куб!$D:$D,$D1296,куб!K:K),IF($C1296&lt;&gt;0,SUMIF(куб!$C:$C,$C1296,куб!K:K),IF($B1296&lt;&gt;0,SUMIF(куб!$B:$B,$B1296,куб!K:K))))))</f>
        <v>0</v>
      </c>
      <c r="R1296" s="13" t="str">
        <f t="shared" si="403"/>
        <v>-</v>
      </c>
      <c r="S1296" s="5"/>
      <c r="T1296" s="27" t="b">
        <f>IF($G1296&lt;&gt;0,SUMIF(куб!$G:$G,$G1296,куб!L:L),IF($E1296&lt;&gt;0,SUMIF(куб!$E:$E,$E1296,куб!L:L),IF($D1296&lt;&gt;0,SUMIF(куб!$D:$D,$D1296,куб!L:L),IF($C1296&lt;&gt;0,SUMIF(куб!$C:$C,$C1296,куб!L:L),IF($B1296&lt;&gt;0,SUMIF(куб!$B:$B,$B1296,куб!L:L))))))</f>
        <v>0</v>
      </c>
      <c r="U1296" s="27" t="b">
        <f>IF($G1296&lt;&gt;0,SUMIF(куб!$G:$G,$G1296,куб!M:M),IF($E1296&lt;&gt;0,SUMIF(куб!$E:$E,$E1296,куб!M:M),IF($D1296&lt;&gt;0,SUMIF(куб!$D:$D,$D1296,куб!M:M),IF($C1296&lt;&gt;0,SUMIF(куб!$C:$C,$C1296,куб!M:M),IF($B1296&lt;&gt;0,SUMIF(куб!$B:$B,$B1296,куб!M:M))))))</f>
        <v>0</v>
      </c>
      <c r="V1296" s="13" t="str">
        <f t="shared" si="404"/>
        <v>-</v>
      </c>
      <c r="W1296" s="5"/>
      <c r="X1296" s="27" t="b">
        <f>IF($G1296&lt;&gt;0,SUMIF(куб!$G:$G,$G1296,куб!N:N),IF($E1296&lt;&gt;0,SUMIF(куб!$E:$E,$E1296,куб!N:N),IF($D1296&lt;&gt;0,SUMIF(куб!$D:$D,$D1296,куб!N:N),IF($C1296&lt;&gt;0,SUMIF(куб!$C:$C,$C1296,куб!N:N),IF($B1296&lt;&gt;0,SUMIF(куб!$B:$B,$B1296,куб!N:N))))))</f>
        <v>0</v>
      </c>
      <c r="Y1296" s="27" t="b">
        <f>IF($G1296&lt;&gt;0,SUMIF(куб!$G:$G,$G1296,куб!O:O),IF($E1296&lt;&gt;0,SUMIF(куб!$E:$E,$E1296,куб!O:O),IF($D1296&lt;&gt;0,SUMIF(куб!$D:$D,$D1296,куб!O:O),IF($C1296&lt;&gt;0,SUMIF(куб!$C:$C,$C1296,куб!O:O),IF($B1296&lt;&gt;0,SUMIF(куб!$B:$B,$B1296,куб!O:O))))))</f>
        <v>0</v>
      </c>
      <c r="Z1296" s="13" t="str">
        <f t="shared" si="405"/>
        <v>-</v>
      </c>
      <c r="AA1296" s="5"/>
      <c r="AB1296" s="33" t="str">
        <f t="shared" si="406"/>
        <v/>
      </c>
      <c r="AC1296" s="33" t="str">
        <f t="shared" si="407"/>
        <v/>
      </c>
      <c r="AD1296" s="15" t="str">
        <f t="shared" si="408"/>
        <v xml:space="preserve"> </v>
      </c>
      <c r="AE1296" s="5"/>
      <c r="AF1296" s="27" t="b">
        <f>IF($G1296&lt;&gt;0,SUMIF(куб!$G:$G,$G1296,куб!R:R),IF($E1296&lt;&gt;0,SUMIF(куб!$E:$E,$E1296,куб!R:R),IF($D1296&lt;&gt;0,SUMIF(куб!$D:$D,$D1296,куб!R:R),IF($C1296&lt;&gt;0,SUMIF(куб!$C:$C,$C1296,куб!R:R),IF($B1296&lt;&gt;0,SUMIF(куб!$B:$B,$B1296,куб!R:R))))))</f>
        <v>0</v>
      </c>
      <c r="AG1296" s="27" t="b">
        <f>IF($G1296&lt;&gt;0,SUMIF(куб!$G:$G,$G1296,куб!S:S),IF($E1296&lt;&gt;0,SUMIF(куб!$E:$E,$E1296,куб!S:S),IF($D1296&lt;&gt;0,SUMIF(куб!$D:$D,$D1296,куб!S:S),IF($C1296&lt;&gt;0,SUMIF(куб!$C:$C,$C1296,куб!S:S),IF($B1296&lt;&gt;0,SUMIF(куб!$B:$B,$B1296,куб!S:S))))))</f>
        <v>0</v>
      </c>
      <c r="AH1296" s="16" t="str">
        <f t="shared" si="409"/>
        <v>-</v>
      </c>
      <c r="AI1296" s="8"/>
      <c r="AJ1296" s="27" t="b">
        <f>IF($G1296&lt;&gt;0,SUMIF(куб!$G:$G,$G1296,куб!T:T),IF($E1296&lt;&gt;0,SUMIF(куб!$E:$E,$E1296,куб!T:T),IF($D1296&lt;&gt;0,SUMIF(куб!$D:$D,$D1296,куб!T:T),IF($C1296&lt;&gt;0,SUMIF(куб!$C:$C,$C1296,куб!T:T),IF($B1296&lt;&gt;0,SUMIF(куб!$B:$B,$B1296,куб!T:T))))))</f>
        <v>0</v>
      </c>
      <c r="AK1296" s="27" t="b">
        <f>IF($G1296&lt;&gt;0,SUMIF(куб!$G:$G,$G1296,куб!U:U),IF($E1296&lt;&gt;0,SUMIF(куб!$E:$E,$E1296,куб!U:U),IF($D1296&lt;&gt;0,SUMIF(куб!$D:$D,$D1296,куб!U:U),IF($C1296&lt;&gt;0,SUMIF(куб!$C:$C,$C1296,куб!U:U),IF($B1296&lt;&gt;0,SUMIF(куб!$B:$B,$B1296,куб!U:U))))))</f>
        <v>0</v>
      </c>
      <c r="AL1296" s="16" t="str">
        <f t="shared" si="410"/>
        <v>-</v>
      </c>
      <c r="AM1296" s="8"/>
      <c r="AN1296" s="17" t="str">
        <f t="shared" si="411"/>
        <v xml:space="preserve"> </v>
      </c>
      <c r="AO1296" s="17" t="str">
        <f t="shared" si="412"/>
        <v xml:space="preserve"> </v>
      </c>
      <c r="AP1296" s="16" t="str">
        <f t="shared" si="413"/>
        <v>-</v>
      </c>
      <c r="AQ1296" s="8"/>
      <c r="AR1296" s="17" t="str">
        <f t="shared" si="414"/>
        <v>-</v>
      </c>
      <c r="AS1296" s="17" t="str">
        <f t="shared" si="415"/>
        <v>-</v>
      </c>
      <c r="AT1296" s="13" t="str">
        <f t="shared" si="416"/>
        <v>-</v>
      </c>
      <c r="AU1296" s="8"/>
    </row>
    <row r="1297" spans="8:47" x14ac:dyDescent="0.25">
      <c r="H1297" s="27">
        <f>IF($G1297&lt;&gt;0,SUMIF(куб!$G:$G,$G1297,куб!H:H),IF($E1297&lt;&gt;0,SUMIF(куб!$E:$E,$E1297,куб!H:H),IF($D1297&lt;&gt;0,SUMIF(куб!$D:$D,$D1297,куб!H:H),IF($C1297&lt;&gt;0,SUMIF(куб!$C:$C,$C1297,куб!H:H),IF($B1297&lt;&gt;0,SUMIF(куб!$B:$B,$B1297,куб!H:H),IF($G1297&lt;&gt;0,SUMIF(куб!$A:$A,$G1297,куб!H:H),SUMIF(куб!$A:$A,$G1297,куб!H:H)))))))</f>
        <v>0</v>
      </c>
      <c r="I1297" s="27">
        <f>IF($G1297&lt;&gt;0,SUMIF(куб!$G:$G,$G1297,куб!I:I),IF($E1297&lt;&gt;0,SUMIF(куб!$E:$E,$E1297,куб!I:I),IF($D1297&lt;&gt;0,SUMIF(куб!$D:$D,$D1297,куб!I:I),IF($C1297&lt;&gt;0,SUMIF(куб!$C:$C,$C1297,куб!I:I),IF($B1297&lt;&gt;0,SUMIF(куб!$B:$B,$B1297,куб!I:I),IF($G1297&lt;&gt;0,SUMIF(куб!$A:$A,$G1297,куб!I:I),SUMIF(куб!$A:$A,$G1297,куб!I:I)))))))</f>
        <v>0</v>
      </c>
      <c r="J1297" s="19" t="str">
        <f t="shared" si="399"/>
        <v>-</v>
      </c>
      <c r="K1297" s="8"/>
      <c r="L1297" s="17">
        <f t="shared" si="400"/>
        <v>0</v>
      </c>
      <c r="M1297" s="17">
        <f t="shared" si="401"/>
        <v>0</v>
      </c>
      <c r="N1297" s="12">
        <f t="shared" si="402"/>
        <v>0</v>
      </c>
      <c r="O1297" s="5"/>
      <c r="P1297" s="27" t="b">
        <f>IF($G1297&lt;&gt;0,SUMIF(куб!$G:$G,$G1297,куб!J:J),IF($E1297&lt;&gt;0,SUMIF(куб!$E:$E,$E1297,куб!J:J),IF($D1297&lt;&gt;0,SUMIF(куб!$D:$D,$D1297,куб!J:J),IF($C1297&lt;&gt;0,SUMIF(куб!$C:$C,$C1297,куб!J:J),IF($B1297&lt;&gt;0,SUMIF(куб!$B:$B,$B1297,куб!J:J))))))</f>
        <v>0</v>
      </c>
      <c r="Q1297" s="27" t="b">
        <f>IF($G1297&lt;&gt;0,SUMIF(куб!$G:$G,$G1297,куб!K:K),IF($E1297&lt;&gt;0,SUMIF(куб!$E:$E,$E1297,куб!K:K),IF($D1297&lt;&gt;0,SUMIF(куб!$D:$D,$D1297,куб!K:K),IF($C1297&lt;&gt;0,SUMIF(куб!$C:$C,$C1297,куб!K:K),IF($B1297&lt;&gt;0,SUMIF(куб!$B:$B,$B1297,куб!K:K))))))</f>
        <v>0</v>
      </c>
      <c r="R1297" s="13" t="str">
        <f t="shared" si="403"/>
        <v>-</v>
      </c>
      <c r="S1297" s="5"/>
      <c r="T1297" s="27" t="b">
        <f>IF($G1297&lt;&gt;0,SUMIF(куб!$G:$G,$G1297,куб!L:L),IF($E1297&lt;&gt;0,SUMIF(куб!$E:$E,$E1297,куб!L:L),IF($D1297&lt;&gt;0,SUMIF(куб!$D:$D,$D1297,куб!L:L),IF($C1297&lt;&gt;0,SUMIF(куб!$C:$C,$C1297,куб!L:L),IF($B1297&lt;&gt;0,SUMIF(куб!$B:$B,$B1297,куб!L:L))))))</f>
        <v>0</v>
      </c>
      <c r="U1297" s="27" t="b">
        <f>IF($G1297&lt;&gt;0,SUMIF(куб!$G:$G,$G1297,куб!M:M),IF($E1297&lt;&gt;0,SUMIF(куб!$E:$E,$E1297,куб!M:M),IF($D1297&lt;&gt;0,SUMIF(куб!$D:$D,$D1297,куб!M:M),IF($C1297&lt;&gt;0,SUMIF(куб!$C:$C,$C1297,куб!M:M),IF($B1297&lt;&gt;0,SUMIF(куб!$B:$B,$B1297,куб!M:M))))))</f>
        <v>0</v>
      </c>
      <c r="V1297" s="13" t="str">
        <f t="shared" si="404"/>
        <v>-</v>
      </c>
      <c r="W1297" s="5"/>
      <c r="X1297" s="27" t="b">
        <f>IF($G1297&lt;&gt;0,SUMIF(куб!$G:$G,$G1297,куб!N:N),IF($E1297&lt;&gt;0,SUMIF(куб!$E:$E,$E1297,куб!N:N),IF($D1297&lt;&gt;0,SUMIF(куб!$D:$D,$D1297,куб!N:N),IF($C1297&lt;&gt;0,SUMIF(куб!$C:$C,$C1297,куб!N:N),IF($B1297&lt;&gt;0,SUMIF(куб!$B:$B,$B1297,куб!N:N))))))</f>
        <v>0</v>
      </c>
      <c r="Y1297" s="27" t="b">
        <f>IF($G1297&lt;&gt;0,SUMIF(куб!$G:$G,$G1297,куб!O:O),IF($E1297&lt;&gt;0,SUMIF(куб!$E:$E,$E1297,куб!O:O),IF($D1297&lt;&gt;0,SUMIF(куб!$D:$D,$D1297,куб!O:O),IF($C1297&lt;&gt;0,SUMIF(куб!$C:$C,$C1297,куб!O:O),IF($B1297&lt;&gt;0,SUMIF(куб!$B:$B,$B1297,куб!O:O))))))</f>
        <v>0</v>
      </c>
      <c r="Z1297" s="13" t="str">
        <f t="shared" si="405"/>
        <v>-</v>
      </c>
      <c r="AA1297" s="5"/>
      <c r="AB1297" s="33" t="str">
        <f t="shared" si="406"/>
        <v/>
      </c>
      <c r="AC1297" s="33" t="str">
        <f t="shared" si="407"/>
        <v/>
      </c>
      <c r="AD1297" s="15" t="str">
        <f t="shared" si="408"/>
        <v xml:space="preserve"> </v>
      </c>
      <c r="AE1297" s="5"/>
      <c r="AF1297" s="27" t="b">
        <f>IF($G1297&lt;&gt;0,SUMIF(куб!$G:$G,$G1297,куб!R:R),IF($E1297&lt;&gt;0,SUMIF(куб!$E:$E,$E1297,куб!R:R),IF($D1297&lt;&gt;0,SUMIF(куб!$D:$D,$D1297,куб!R:R),IF($C1297&lt;&gt;0,SUMIF(куб!$C:$C,$C1297,куб!R:R),IF($B1297&lt;&gt;0,SUMIF(куб!$B:$B,$B1297,куб!R:R))))))</f>
        <v>0</v>
      </c>
      <c r="AG1297" s="27" t="b">
        <f>IF($G1297&lt;&gt;0,SUMIF(куб!$G:$G,$G1297,куб!S:S),IF($E1297&lt;&gt;0,SUMIF(куб!$E:$E,$E1297,куб!S:S),IF($D1297&lt;&gt;0,SUMIF(куб!$D:$D,$D1297,куб!S:S),IF($C1297&lt;&gt;0,SUMIF(куб!$C:$C,$C1297,куб!S:S),IF($B1297&lt;&gt;0,SUMIF(куб!$B:$B,$B1297,куб!S:S))))))</f>
        <v>0</v>
      </c>
      <c r="AH1297" s="16" t="str">
        <f t="shared" si="409"/>
        <v>-</v>
      </c>
      <c r="AI1297" s="8"/>
      <c r="AJ1297" s="27" t="b">
        <f>IF($G1297&lt;&gt;0,SUMIF(куб!$G:$G,$G1297,куб!T:T),IF($E1297&lt;&gt;0,SUMIF(куб!$E:$E,$E1297,куб!T:T),IF($D1297&lt;&gt;0,SUMIF(куб!$D:$D,$D1297,куб!T:T),IF($C1297&lt;&gt;0,SUMIF(куб!$C:$C,$C1297,куб!T:T),IF($B1297&lt;&gt;0,SUMIF(куб!$B:$B,$B1297,куб!T:T))))))</f>
        <v>0</v>
      </c>
      <c r="AK1297" s="27" t="b">
        <f>IF($G1297&lt;&gt;0,SUMIF(куб!$G:$G,$G1297,куб!U:U),IF($E1297&lt;&gt;0,SUMIF(куб!$E:$E,$E1297,куб!U:U),IF($D1297&lt;&gt;0,SUMIF(куб!$D:$D,$D1297,куб!U:U),IF($C1297&lt;&gt;0,SUMIF(куб!$C:$C,$C1297,куб!U:U),IF($B1297&lt;&gt;0,SUMIF(куб!$B:$B,$B1297,куб!U:U))))))</f>
        <v>0</v>
      </c>
      <c r="AL1297" s="16" t="str">
        <f t="shared" si="410"/>
        <v>-</v>
      </c>
      <c r="AM1297" s="8"/>
      <c r="AN1297" s="17" t="str">
        <f t="shared" si="411"/>
        <v xml:space="preserve"> </v>
      </c>
      <c r="AO1297" s="17" t="str">
        <f t="shared" si="412"/>
        <v xml:space="preserve"> </v>
      </c>
      <c r="AP1297" s="16" t="str">
        <f t="shared" si="413"/>
        <v>-</v>
      </c>
      <c r="AQ1297" s="8"/>
      <c r="AR1297" s="17" t="str">
        <f t="shared" si="414"/>
        <v>-</v>
      </c>
      <c r="AS1297" s="17" t="str">
        <f t="shared" si="415"/>
        <v>-</v>
      </c>
      <c r="AT1297" s="13" t="str">
        <f t="shared" si="416"/>
        <v>-</v>
      </c>
      <c r="AU1297" s="8"/>
    </row>
    <row r="1298" spans="8:47" x14ac:dyDescent="0.25">
      <c r="H1298" s="27">
        <f>IF($G1298&lt;&gt;0,SUMIF(куб!$G:$G,$G1298,куб!H:H),IF($E1298&lt;&gt;0,SUMIF(куб!$E:$E,$E1298,куб!H:H),IF($D1298&lt;&gt;0,SUMIF(куб!$D:$D,$D1298,куб!H:H),IF($C1298&lt;&gt;0,SUMIF(куб!$C:$C,$C1298,куб!H:H),IF($B1298&lt;&gt;0,SUMIF(куб!$B:$B,$B1298,куб!H:H),IF($G1298&lt;&gt;0,SUMIF(куб!$A:$A,$G1298,куб!H:H),SUMIF(куб!$A:$A,$G1298,куб!H:H)))))))</f>
        <v>0</v>
      </c>
      <c r="I1298" s="27">
        <f>IF($G1298&lt;&gt;0,SUMIF(куб!$G:$G,$G1298,куб!I:I),IF($E1298&lt;&gt;0,SUMIF(куб!$E:$E,$E1298,куб!I:I),IF($D1298&lt;&gt;0,SUMIF(куб!$D:$D,$D1298,куб!I:I),IF($C1298&lt;&gt;0,SUMIF(куб!$C:$C,$C1298,куб!I:I),IF($B1298&lt;&gt;0,SUMIF(куб!$B:$B,$B1298,куб!I:I),IF($G1298&lt;&gt;0,SUMIF(куб!$A:$A,$G1298,куб!I:I),SUMIF(куб!$A:$A,$G1298,куб!I:I)))))))</f>
        <v>0</v>
      </c>
      <c r="J1298" s="19" t="str">
        <f t="shared" si="399"/>
        <v>-</v>
      </c>
      <c r="K1298" s="8"/>
      <c r="L1298" s="17">
        <f t="shared" si="400"/>
        <v>0</v>
      </c>
      <c r="M1298" s="17">
        <f t="shared" si="401"/>
        <v>0</v>
      </c>
      <c r="N1298" s="12">
        <f t="shared" si="402"/>
        <v>0</v>
      </c>
      <c r="O1298" s="5"/>
      <c r="P1298" s="27" t="b">
        <f>IF($G1298&lt;&gt;0,SUMIF(куб!$G:$G,$G1298,куб!J:J),IF($E1298&lt;&gt;0,SUMIF(куб!$E:$E,$E1298,куб!J:J),IF($D1298&lt;&gt;0,SUMIF(куб!$D:$D,$D1298,куб!J:J),IF($C1298&lt;&gt;0,SUMIF(куб!$C:$C,$C1298,куб!J:J),IF($B1298&lt;&gt;0,SUMIF(куб!$B:$B,$B1298,куб!J:J))))))</f>
        <v>0</v>
      </c>
      <c r="Q1298" s="27" t="b">
        <f>IF($G1298&lt;&gt;0,SUMIF(куб!$G:$G,$G1298,куб!K:K),IF($E1298&lt;&gt;0,SUMIF(куб!$E:$E,$E1298,куб!K:K),IF($D1298&lt;&gt;0,SUMIF(куб!$D:$D,$D1298,куб!K:K),IF($C1298&lt;&gt;0,SUMIF(куб!$C:$C,$C1298,куб!K:K),IF($B1298&lt;&gt;0,SUMIF(куб!$B:$B,$B1298,куб!K:K))))))</f>
        <v>0</v>
      </c>
      <c r="R1298" s="13" t="str">
        <f t="shared" si="403"/>
        <v>-</v>
      </c>
      <c r="S1298" s="5"/>
      <c r="T1298" s="27" t="b">
        <f>IF($G1298&lt;&gt;0,SUMIF(куб!$G:$G,$G1298,куб!L:L),IF($E1298&lt;&gt;0,SUMIF(куб!$E:$E,$E1298,куб!L:L),IF($D1298&lt;&gt;0,SUMIF(куб!$D:$D,$D1298,куб!L:L),IF($C1298&lt;&gt;0,SUMIF(куб!$C:$C,$C1298,куб!L:L),IF($B1298&lt;&gt;0,SUMIF(куб!$B:$B,$B1298,куб!L:L))))))</f>
        <v>0</v>
      </c>
      <c r="U1298" s="27" t="b">
        <f>IF($G1298&lt;&gt;0,SUMIF(куб!$G:$G,$G1298,куб!M:M),IF($E1298&lt;&gt;0,SUMIF(куб!$E:$E,$E1298,куб!M:M),IF($D1298&lt;&gt;0,SUMIF(куб!$D:$D,$D1298,куб!M:M),IF($C1298&lt;&gt;0,SUMIF(куб!$C:$C,$C1298,куб!M:M),IF($B1298&lt;&gt;0,SUMIF(куб!$B:$B,$B1298,куб!M:M))))))</f>
        <v>0</v>
      </c>
      <c r="V1298" s="13" t="str">
        <f t="shared" si="404"/>
        <v>-</v>
      </c>
      <c r="W1298" s="5"/>
      <c r="X1298" s="27" t="b">
        <f>IF($G1298&lt;&gt;0,SUMIF(куб!$G:$G,$G1298,куб!N:N),IF($E1298&lt;&gt;0,SUMIF(куб!$E:$E,$E1298,куб!N:N),IF($D1298&lt;&gt;0,SUMIF(куб!$D:$D,$D1298,куб!N:N),IF($C1298&lt;&gt;0,SUMIF(куб!$C:$C,$C1298,куб!N:N),IF($B1298&lt;&gt;0,SUMIF(куб!$B:$B,$B1298,куб!N:N))))))</f>
        <v>0</v>
      </c>
      <c r="Y1298" s="27" t="b">
        <f>IF($G1298&lt;&gt;0,SUMIF(куб!$G:$G,$G1298,куб!O:O),IF($E1298&lt;&gt;0,SUMIF(куб!$E:$E,$E1298,куб!O:O),IF($D1298&lt;&gt;0,SUMIF(куб!$D:$D,$D1298,куб!O:O),IF($C1298&lt;&gt;0,SUMIF(куб!$C:$C,$C1298,куб!O:O),IF($B1298&lt;&gt;0,SUMIF(куб!$B:$B,$B1298,куб!O:O))))))</f>
        <v>0</v>
      </c>
      <c r="Z1298" s="13" t="str">
        <f t="shared" si="405"/>
        <v>-</v>
      </c>
      <c r="AA1298" s="5"/>
      <c r="AB1298" s="33" t="str">
        <f t="shared" si="406"/>
        <v/>
      </c>
      <c r="AC1298" s="33" t="str">
        <f t="shared" si="407"/>
        <v/>
      </c>
      <c r="AD1298" s="15" t="str">
        <f t="shared" si="408"/>
        <v xml:space="preserve"> </v>
      </c>
      <c r="AE1298" s="5"/>
      <c r="AF1298" s="27" t="b">
        <f>IF($G1298&lt;&gt;0,SUMIF(куб!$G:$G,$G1298,куб!R:R),IF($E1298&lt;&gt;0,SUMIF(куб!$E:$E,$E1298,куб!R:R),IF($D1298&lt;&gt;0,SUMIF(куб!$D:$D,$D1298,куб!R:R),IF($C1298&lt;&gt;0,SUMIF(куб!$C:$C,$C1298,куб!R:R),IF($B1298&lt;&gt;0,SUMIF(куб!$B:$B,$B1298,куб!R:R))))))</f>
        <v>0</v>
      </c>
      <c r="AG1298" s="27" t="b">
        <f>IF($G1298&lt;&gt;0,SUMIF(куб!$G:$G,$G1298,куб!S:S),IF($E1298&lt;&gt;0,SUMIF(куб!$E:$E,$E1298,куб!S:S),IF($D1298&lt;&gt;0,SUMIF(куб!$D:$D,$D1298,куб!S:S),IF($C1298&lt;&gt;0,SUMIF(куб!$C:$C,$C1298,куб!S:S),IF($B1298&lt;&gt;0,SUMIF(куб!$B:$B,$B1298,куб!S:S))))))</f>
        <v>0</v>
      </c>
      <c r="AH1298" s="16" t="str">
        <f t="shared" si="409"/>
        <v>-</v>
      </c>
      <c r="AI1298" s="8"/>
      <c r="AJ1298" s="27" t="b">
        <f>IF($G1298&lt;&gt;0,SUMIF(куб!$G:$G,$G1298,куб!T:T),IF($E1298&lt;&gt;0,SUMIF(куб!$E:$E,$E1298,куб!T:T),IF($D1298&lt;&gt;0,SUMIF(куб!$D:$D,$D1298,куб!T:T),IF($C1298&lt;&gt;0,SUMIF(куб!$C:$C,$C1298,куб!T:T),IF($B1298&lt;&gt;0,SUMIF(куб!$B:$B,$B1298,куб!T:T))))))</f>
        <v>0</v>
      </c>
      <c r="AK1298" s="27" t="b">
        <f>IF($G1298&lt;&gt;0,SUMIF(куб!$G:$G,$G1298,куб!U:U),IF($E1298&lt;&gt;0,SUMIF(куб!$E:$E,$E1298,куб!U:U),IF($D1298&lt;&gt;0,SUMIF(куб!$D:$D,$D1298,куб!U:U),IF($C1298&lt;&gt;0,SUMIF(куб!$C:$C,$C1298,куб!U:U),IF($B1298&lt;&gt;0,SUMIF(куб!$B:$B,$B1298,куб!U:U))))))</f>
        <v>0</v>
      </c>
      <c r="AL1298" s="16" t="str">
        <f t="shared" si="410"/>
        <v>-</v>
      </c>
      <c r="AM1298" s="8"/>
      <c r="AN1298" s="17" t="str">
        <f t="shared" si="411"/>
        <v xml:space="preserve"> </v>
      </c>
      <c r="AO1298" s="17" t="str">
        <f t="shared" si="412"/>
        <v xml:space="preserve"> </v>
      </c>
      <c r="AP1298" s="16" t="str">
        <f t="shared" si="413"/>
        <v>-</v>
      </c>
      <c r="AQ1298" s="8"/>
      <c r="AR1298" s="17" t="str">
        <f t="shared" si="414"/>
        <v>-</v>
      </c>
      <c r="AS1298" s="17" t="str">
        <f t="shared" si="415"/>
        <v>-</v>
      </c>
      <c r="AT1298" s="13" t="str">
        <f t="shared" si="416"/>
        <v>-</v>
      </c>
      <c r="AU1298" s="8"/>
    </row>
    <row r="1299" spans="8:47" x14ac:dyDescent="0.25">
      <c r="H1299" s="27">
        <f>IF($G1299&lt;&gt;0,SUMIF(куб!$G:$G,$G1299,куб!H:H),IF($E1299&lt;&gt;0,SUMIF(куб!$E:$E,$E1299,куб!H:H),IF($D1299&lt;&gt;0,SUMIF(куб!$D:$D,$D1299,куб!H:H),IF($C1299&lt;&gt;0,SUMIF(куб!$C:$C,$C1299,куб!H:H),IF($B1299&lt;&gt;0,SUMIF(куб!$B:$B,$B1299,куб!H:H),IF($G1299&lt;&gt;0,SUMIF(куб!$A:$A,$G1299,куб!H:H),SUMIF(куб!$A:$A,$G1299,куб!H:H)))))))</f>
        <v>0</v>
      </c>
      <c r="I1299" s="27">
        <f>IF($G1299&lt;&gt;0,SUMIF(куб!$G:$G,$G1299,куб!I:I),IF($E1299&lt;&gt;0,SUMIF(куб!$E:$E,$E1299,куб!I:I),IF($D1299&lt;&gt;0,SUMIF(куб!$D:$D,$D1299,куб!I:I),IF($C1299&lt;&gt;0,SUMIF(куб!$C:$C,$C1299,куб!I:I),IF($B1299&lt;&gt;0,SUMIF(куб!$B:$B,$B1299,куб!I:I),IF($G1299&lt;&gt;0,SUMIF(куб!$A:$A,$G1299,куб!I:I),SUMIF(куб!$A:$A,$G1299,куб!I:I)))))))</f>
        <v>0</v>
      </c>
      <c r="J1299" s="19" t="str">
        <f t="shared" si="399"/>
        <v>-</v>
      </c>
      <c r="K1299" s="8"/>
      <c r="L1299" s="17">
        <f t="shared" si="400"/>
        <v>0</v>
      </c>
      <c r="M1299" s="17">
        <f t="shared" si="401"/>
        <v>0</v>
      </c>
      <c r="N1299" s="12">
        <f t="shared" si="402"/>
        <v>0</v>
      </c>
      <c r="O1299" s="5"/>
      <c r="P1299" s="27" t="b">
        <f>IF($G1299&lt;&gt;0,SUMIF(куб!$G:$G,$G1299,куб!J:J),IF($E1299&lt;&gt;0,SUMIF(куб!$E:$E,$E1299,куб!J:J),IF($D1299&lt;&gt;0,SUMIF(куб!$D:$D,$D1299,куб!J:J),IF($C1299&lt;&gt;0,SUMIF(куб!$C:$C,$C1299,куб!J:J),IF($B1299&lt;&gt;0,SUMIF(куб!$B:$B,$B1299,куб!J:J))))))</f>
        <v>0</v>
      </c>
      <c r="Q1299" s="27" t="b">
        <f>IF($G1299&lt;&gt;0,SUMIF(куб!$G:$G,$G1299,куб!K:K),IF($E1299&lt;&gt;0,SUMIF(куб!$E:$E,$E1299,куб!K:K),IF($D1299&lt;&gt;0,SUMIF(куб!$D:$D,$D1299,куб!K:K),IF($C1299&lt;&gt;0,SUMIF(куб!$C:$C,$C1299,куб!K:K),IF($B1299&lt;&gt;0,SUMIF(куб!$B:$B,$B1299,куб!K:K))))))</f>
        <v>0</v>
      </c>
      <c r="R1299" s="13" t="str">
        <f t="shared" si="403"/>
        <v>-</v>
      </c>
      <c r="S1299" s="5"/>
      <c r="T1299" s="27" t="b">
        <f>IF($G1299&lt;&gt;0,SUMIF(куб!$G:$G,$G1299,куб!L:L),IF($E1299&lt;&gt;0,SUMIF(куб!$E:$E,$E1299,куб!L:L),IF($D1299&lt;&gt;0,SUMIF(куб!$D:$D,$D1299,куб!L:L),IF($C1299&lt;&gt;0,SUMIF(куб!$C:$C,$C1299,куб!L:L),IF($B1299&lt;&gt;0,SUMIF(куб!$B:$B,$B1299,куб!L:L))))))</f>
        <v>0</v>
      </c>
      <c r="U1299" s="27" t="b">
        <f>IF($G1299&lt;&gt;0,SUMIF(куб!$G:$G,$G1299,куб!M:M),IF($E1299&lt;&gt;0,SUMIF(куб!$E:$E,$E1299,куб!M:M),IF($D1299&lt;&gt;0,SUMIF(куб!$D:$D,$D1299,куб!M:M),IF($C1299&lt;&gt;0,SUMIF(куб!$C:$C,$C1299,куб!M:M),IF($B1299&lt;&gt;0,SUMIF(куб!$B:$B,$B1299,куб!M:M))))))</f>
        <v>0</v>
      </c>
      <c r="V1299" s="13" t="str">
        <f t="shared" si="404"/>
        <v>-</v>
      </c>
      <c r="W1299" s="5"/>
      <c r="X1299" s="27" t="b">
        <f>IF($G1299&lt;&gt;0,SUMIF(куб!$G:$G,$G1299,куб!N:N),IF($E1299&lt;&gt;0,SUMIF(куб!$E:$E,$E1299,куб!N:N),IF($D1299&lt;&gt;0,SUMIF(куб!$D:$D,$D1299,куб!N:N),IF($C1299&lt;&gt;0,SUMIF(куб!$C:$C,$C1299,куб!N:N),IF($B1299&lt;&gt;0,SUMIF(куб!$B:$B,$B1299,куб!N:N))))))</f>
        <v>0</v>
      </c>
      <c r="Y1299" s="27" t="b">
        <f>IF($G1299&lt;&gt;0,SUMIF(куб!$G:$G,$G1299,куб!O:O),IF($E1299&lt;&gt;0,SUMIF(куб!$E:$E,$E1299,куб!O:O),IF($D1299&lt;&gt;0,SUMIF(куб!$D:$D,$D1299,куб!O:O),IF($C1299&lt;&gt;0,SUMIF(куб!$C:$C,$C1299,куб!O:O),IF($B1299&lt;&gt;0,SUMIF(куб!$B:$B,$B1299,куб!O:O))))))</f>
        <v>0</v>
      </c>
      <c r="Z1299" s="13" t="str">
        <f t="shared" si="405"/>
        <v>-</v>
      </c>
      <c r="AA1299" s="5"/>
      <c r="AB1299" s="33" t="str">
        <f t="shared" si="406"/>
        <v/>
      </c>
      <c r="AC1299" s="33" t="str">
        <f t="shared" si="407"/>
        <v/>
      </c>
      <c r="AD1299" s="15" t="str">
        <f t="shared" si="408"/>
        <v xml:space="preserve"> </v>
      </c>
      <c r="AE1299" s="5"/>
      <c r="AF1299" s="27" t="b">
        <f>IF($G1299&lt;&gt;0,SUMIF(куб!$G:$G,$G1299,куб!R:R),IF($E1299&lt;&gt;0,SUMIF(куб!$E:$E,$E1299,куб!R:R),IF($D1299&lt;&gt;0,SUMIF(куб!$D:$D,$D1299,куб!R:R),IF($C1299&lt;&gt;0,SUMIF(куб!$C:$C,$C1299,куб!R:R),IF($B1299&lt;&gt;0,SUMIF(куб!$B:$B,$B1299,куб!R:R))))))</f>
        <v>0</v>
      </c>
      <c r="AG1299" s="27" t="b">
        <f>IF($G1299&lt;&gt;0,SUMIF(куб!$G:$G,$G1299,куб!S:S),IF($E1299&lt;&gt;0,SUMIF(куб!$E:$E,$E1299,куб!S:S),IF($D1299&lt;&gt;0,SUMIF(куб!$D:$D,$D1299,куб!S:S),IF($C1299&lt;&gt;0,SUMIF(куб!$C:$C,$C1299,куб!S:S),IF($B1299&lt;&gt;0,SUMIF(куб!$B:$B,$B1299,куб!S:S))))))</f>
        <v>0</v>
      </c>
      <c r="AH1299" s="16" t="str">
        <f t="shared" si="409"/>
        <v>-</v>
      </c>
      <c r="AI1299" s="8"/>
      <c r="AJ1299" s="27" t="b">
        <f>IF($G1299&lt;&gt;0,SUMIF(куб!$G:$G,$G1299,куб!T:T),IF($E1299&lt;&gt;0,SUMIF(куб!$E:$E,$E1299,куб!T:T),IF($D1299&lt;&gt;0,SUMIF(куб!$D:$D,$D1299,куб!T:T),IF($C1299&lt;&gt;0,SUMIF(куб!$C:$C,$C1299,куб!T:T),IF($B1299&lt;&gt;0,SUMIF(куб!$B:$B,$B1299,куб!T:T))))))</f>
        <v>0</v>
      </c>
      <c r="AK1299" s="27" t="b">
        <f>IF($G1299&lt;&gt;0,SUMIF(куб!$G:$G,$G1299,куб!U:U),IF($E1299&lt;&gt;0,SUMIF(куб!$E:$E,$E1299,куб!U:U),IF($D1299&lt;&gt;0,SUMIF(куб!$D:$D,$D1299,куб!U:U),IF($C1299&lt;&gt;0,SUMIF(куб!$C:$C,$C1299,куб!U:U),IF($B1299&lt;&gt;0,SUMIF(куб!$B:$B,$B1299,куб!U:U))))))</f>
        <v>0</v>
      </c>
      <c r="AL1299" s="16" t="str">
        <f t="shared" si="410"/>
        <v>-</v>
      </c>
      <c r="AM1299" s="8"/>
      <c r="AN1299" s="17" t="str">
        <f t="shared" si="411"/>
        <v xml:space="preserve"> </v>
      </c>
      <c r="AO1299" s="17" t="str">
        <f t="shared" si="412"/>
        <v xml:space="preserve"> </v>
      </c>
      <c r="AP1299" s="16" t="str">
        <f t="shared" si="413"/>
        <v>-</v>
      </c>
      <c r="AQ1299" s="8"/>
      <c r="AR1299" s="17" t="str">
        <f t="shared" si="414"/>
        <v>-</v>
      </c>
      <c r="AS1299" s="17" t="str">
        <f t="shared" si="415"/>
        <v>-</v>
      </c>
      <c r="AT1299" s="13" t="str">
        <f t="shared" si="416"/>
        <v>-</v>
      </c>
      <c r="AU1299" s="8"/>
    </row>
    <row r="1300" spans="8:47" x14ac:dyDescent="0.25">
      <c r="H1300" s="27">
        <f>IF($G1300&lt;&gt;0,SUMIF(куб!$G:$G,$G1300,куб!H:H),IF($E1300&lt;&gt;0,SUMIF(куб!$E:$E,$E1300,куб!H:H),IF($D1300&lt;&gt;0,SUMIF(куб!$D:$D,$D1300,куб!H:H),IF($C1300&lt;&gt;0,SUMIF(куб!$C:$C,$C1300,куб!H:H),IF($B1300&lt;&gt;0,SUMIF(куб!$B:$B,$B1300,куб!H:H),IF($G1300&lt;&gt;0,SUMIF(куб!$A:$A,$G1300,куб!H:H),SUMIF(куб!$A:$A,$G1300,куб!H:H)))))))</f>
        <v>0</v>
      </c>
      <c r="I1300" s="27">
        <f>IF($G1300&lt;&gt;0,SUMIF(куб!$G:$G,$G1300,куб!I:I),IF($E1300&lt;&gt;0,SUMIF(куб!$E:$E,$E1300,куб!I:I),IF($D1300&lt;&gt;0,SUMIF(куб!$D:$D,$D1300,куб!I:I),IF($C1300&lt;&gt;0,SUMIF(куб!$C:$C,$C1300,куб!I:I),IF($B1300&lt;&gt;0,SUMIF(куб!$B:$B,$B1300,куб!I:I),IF($G1300&lt;&gt;0,SUMIF(куб!$A:$A,$G1300,куб!I:I),SUMIF(куб!$A:$A,$G1300,куб!I:I)))))))</f>
        <v>0</v>
      </c>
      <c r="J1300" s="19" t="str">
        <f t="shared" si="399"/>
        <v>-</v>
      </c>
      <c r="K1300" s="8"/>
      <c r="L1300" s="17">
        <f t="shared" si="400"/>
        <v>0</v>
      </c>
      <c r="M1300" s="17">
        <f t="shared" si="401"/>
        <v>0</v>
      </c>
      <c r="N1300" s="12">
        <f t="shared" si="402"/>
        <v>0</v>
      </c>
      <c r="O1300" s="5"/>
      <c r="P1300" s="27" t="b">
        <f>IF($G1300&lt;&gt;0,SUMIF(куб!$G:$G,$G1300,куб!J:J),IF($E1300&lt;&gt;0,SUMIF(куб!$E:$E,$E1300,куб!J:J),IF($D1300&lt;&gt;0,SUMIF(куб!$D:$D,$D1300,куб!J:J),IF($C1300&lt;&gt;0,SUMIF(куб!$C:$C,$C1300,куб!J:J),IF($B1300&lt;&gt;0,SUMIF(куб!$B:$B,$B1300,куб!J:J))))))</f>
        <v>0</v>
      </c>
      <c r="Q1300" s="27" t="b">
        <f>IF($G1300&lt;&gt;0,SUMIF(куб!$G:$G,$G1300,куб!K:K),IF($E1300&lt;&gt;0,SUMIF(куб!$E:$E,$E1300,куб!K:K),IF($D1300&lt;&gt;0,SUMIF(куб!$D:$D,$D1300,куб!K:K),IF($C1300&lt;&gt;0,SUMIF(куб!$C:$C,$C1300,куб!K:K),IF($B1300&lt;&gt;0,SUMIF(куб!$B:$B,$B1300,куб!K:K))))))</f>
        <v>0</v>
      </c>
      <c r="R1300" s="13" t="str">
        <f t="shared" si="403"/>
        <v>-</v>
      </c>
      <c r="S1300" s="5"/>
      <c r="T1300" s="27" t="b">
        <f>IF($G1300&lt;&gt;0,SUMIF(куб!$G:$G,$G1300,куб!L:L),IF($E1300&lt;&gt;0,SUMIF(куб!$E:$E,$E1300,куб!L:L),IF($D1300&lt;&gt;0,SUMIF(куб!$D:$D,$D1300,куб!L:L),IF($C1300&lt;&gt;0,SUMIF(куб!$C:$C,$C1300,куб!L:L),IF($B1300&lt;&gt;0,SUMIF(куб!$B:$B,$B1300,куб!L:L))))))</f>
        <v>0</v>
      </c>
      <c r="U1300" s="27" t="b">
        <f>IF($G1300&lt;&gt;0,SUMIF(куб!$G:$G,$G1300,куб!M:M),IF($E1300&lt;&gt;0,SUMIF(куб!$E:$E,$E1300,куб!M:M),IF($D1300&lt;&gt;0,SUMIF(куб!$D:$D,$D1300,куб!M:M),IF($C1300&lt;&gt;0,SUMIF(куб!$C:$C,$C1300,куб!M:M),IF($B1300&lt;&gt;0,SUMIF(куб!$B:$B,$B1300,куб!M:M))))))</f>
        <v>0</v>
      </c>
      <c r="V1300" s="13" t="str">
        <f t="shared" si="404"/>
        <v>-</v>
      </c>
      <c r="W1300" s="5"/>
      <c r="X1300" s="27" t="b">
        <f>IF($G1300&lt;&gt;0,SUMIF(куб!$G:$G,$G1300,куб!N:N),IF($E1300&lt;&gt;0,SUMIF(куб!$E:$E,$E1300,куб!N:N),IF($D1300&lt;&gt;0,SUMIF(куб!$D:$D,$D1300,куб!N:N),IF($C1300&lt;&gt;0,SUMIF(куб!$C:$C,$C1300,куб!N:N),IF($B1300&lt;&gt;0,SUMIF(куб!$B:$B,$B1300,куб!N:N))))))</f>
        <v>0</v>
      </c>
      <c r="Y1300" s="27" t="b">
        <f>IF($G1300&lt;&gt;0,SUMIF(куб!$G:$G,$G1300,куб!O:O),IF($E1300&lt;&gt;0,SUMIF(куб!$E:$E,$E1300,куб!O:O),IF($D1300&lt;&gt;0,SUMIF(куб!$D:$D,$D1300,куб!O:O),IF($C1300&lt;&gt;0,SUMIF(куб!$C:$C,$C1300,куб!O:O),IF($B1300&lt;&gt;0,SUMIF(куб!$B:$B,$B1300,куб!O:O))))))</f>
        <v>0</v>
      </c>
      <c r="Z1300" s="13" t="str">
        <f t="shared" si="405"/>
        <v>-</v>
      </c>
      <c r="AA1300" s="5"/>
      <c r="AB1300" s="33" t="str">
        <f t="shared" si="406"/>
        <v/>
      </c>
      <c r="AC1300" s="33" t="str">
        <f t="shared" si="407"/>
        <v/>
      </c>
      <c r="AD1300" s="15" t="str">
        <f t="shared" si="408"/>
        <v xml:space="preserve"> </v>
      </c>
      <c r="AE1300" s="5"/>
      <c r="AF1300" s="27" t="b">
        <f>IF($G1300&lt;&gt;0,SUMIF(куб!$G:$G,$G1300,куб!R:R),IF($E1300&lt;&gt;0,SUMIF(куб!$E:$E,$E1300,куб!R:R),IF($D1300&lt;&gt;0,SUMIF(куб!$D:$D,$D1300,куб!R:R),IF($C1300&lt;&gt;0,SUMIF(куб!$C:$C,$C1300,куб!R:R),IF($B1300&lt;&gt;0,SUMIF(куб!$B:$B,$B1300,куб!R:R))))))</f>
        <v>0</v>
      </c>
      <c r="AG1300" s="27" t="b">
        <f>IF($G1300&lt;&gt;0,SUMIF(куб!$G:$G,$G1300,куб!S:S),IF($E1300&lt;&gt;0,SUMIF(куб!$E:$E,$E1300,куб!S:S),IF($D1300&lt;&gt;0,SUMIF(куб!$D:$D,$D1300,куб!S:S),IF($C1300&lt;&gt;0,SUMIF(куб!$C:$C,$C1300,куб!S:S),IF($B1300&lt;&gt;0,SUMIF(куб!$B:$B,$B1300,куб!S:S))))))</f>
        <v>0</v>
      </c>
      <c r="AH1300" s="16" t="str">
        <f t="shared" si="409"/>
        <v>-</v>
      </c>
      <c r="AI1300" s="8"/>
      <c r="AJ1300" s="27" t="b">
        <f>IF($G1300&lt;&gt;0,SUMIF(куб!$G:$G,$G1300,куб!T:T),IF($E1300&lt;&gt;0,SUMIF(куб!$E:$E,$E1300,куб!T:T),IF($D1300&lt;&gt;0,SUMIF(куб!$D:$D,$D1300,куб!T:T),IF($C1300&lt;&gt;0,SUMIF(куб!$C:$C,$C1300,куб!T:T),IF($B1300&lt;&gt;0,SUMIF(куб!$B:$B,$B1300,куб!T:T))))))</f>
        <v>0</v>
      </c>
      <c r="AK1300" s="27" t="b">
        <f>IF($G1300&lt;&gt;0,SUMIF(куб!$G:$G,$G1300,куб!U:U),IF($E1300&lt;&gt;0,SUMIF(куб!$E:$E,$E1300,куб!U:U),IF($D1300&lt;&gt;0,SUMIF(куб!$D:$D,$D1300,куб!U:U),IF($C1300&lt;&gt;0,SUMIF(куб!$C:$C,$C1300,куб!U:U),IF($B1300&lt;&gt;0,SUMIF(куб!$B:$B,$B1300,куб!U:U))))))</f>
        <v>0</v>
      </c>
      <c r="AL1300" s="16" t="str">
        <f t="shared" si="410"/>
        <v>-</v>
      </c>
      <c r="AM1300" s="8"/>
      <c r="AN1300" s="17" t="str">
        <f t="shared" si="411"/>
        <v xml:space="preserve"> </v>
      </c>
      <c r="AO1300" s="17" t="str">
        <f t="shared" si="412"/>
        <v xml:space="preserve"> </v>
      </c>
      <c r="AP1300" s="16" t="str">
        <f t="shared" si="413"/>
        <v>-</v>
      </c>
      <c r="AQ1300" s="8"/>
      <c r="AR1300" s="17" t="str">
        <f t="shared" si="414"/>
        <v>-</v>
      </c>
      <c r="AS1300" s="17" t="str">
        <f t="shared" si="415"/>
        <v>-</v>
      </c>
      <c r="AT1300" s="13" t="str">
        <f t="shared" si="416"/>
        <v>-</v>
      </c>
      <c r="AU1300" s="8"/>
    </row>
    <row r="1301" spans="8:47" x14ac:dyDescent="0.25">
      <c r="H1301" s="27">
        <f>IF($G1301&lt;&gt;0,SUMIF(куб!$G:$G,$G1301,куб!H:H),IF($E1301&lt;&gt;0,SUMIF(куб!$E:$E,$E1301,куб!H:H),IF($D1301&lt;&gt;0,SUMIF(куб!$D:$D,$D1301,куб!H:H),IF($C1301&lt;&gt;0,SUMIF(куб!$C:$C,$C1301,куб!H:H),IF($B1301&lt;&gt;0,SUMIF(куб!$B:$B,$B1301,куб!H:H),IF($G1301&lt;&gt;0,SUMIF(куб!$A:$A,$G1301,куб!H:H),SUMIF(куб!$A:$A,$G1301,куб!H:H)))))))</f>
        <v>0</v>
      </c>
      <c r="I1301" s="27">
        <f>IF($G1301&lt;&gt;0,SUMIF(куб!$G:$G,$G1301,куб!I:I),IF($E1301&lt;&gt;0,SUMIF(куб!$E:$E,$E1301,куб!I:I),IF($D1301&lt;&gt;0,SUMIF(куб!$D:$D,$D1301,куб!I:I),IF($C1301&lt;&gt;0,SUMIF(куб!$C:$C,$C1301,куб!I:I),IF($B1301&lt;&gt;0,SUMIF(куб!$B:$B,$B1301,куб!I:I),IF($G1301&lt;&gt;0,SUMIF(куб!$A:$A,$G1301,куб!I:I),SUMIF(куб!$A:$A,$G1301,куб!I:I)))))))</f>
        <v>0</v>
      </c>
      <c r="J1301" s="19" t="str">
        <f t="shared" si="399"/>
        <v>-</v>
      </c>
      <c r="K1301" s="8"/>
      <c r="L1301" s="17">
        <f t="shared" si="400"/>
        <v>0</v>
      </c>
      <c r="M1301" s="17">
        <f t="shared" si="401"/>
        <v>0</v>
      </c>
      <c r="N1301" s="12">
        <f t="shared" si="402"/>
        <v>0</v>
      </c>
      <c r="O1301" s="5"/>
      <c r="P1301" s="27" t="b">
        <f>IF($G1301&lt;&gt;0,SUMIF(куб!$G:$G,$G1301,куб!J:J),IF($E1301&lt;&gt;0,SUMIF(куб!$E:$E,$E1301,куб!J:J),IF($D1301&lt;&gt;0,SUMIF(куб!$D:$D,$D1301,куб!J:J),IF($C1301&lt;&gt;0,SUMIF(куб!$C:$C,$C1301,куб!J:J),IF($B1301&lt;&gt;0,SUMIF(куб!$B:$B,$B1301,куб!J:J))))))</f>
        <v>0</v>
      </c>
      <c r="Q1301" s="27" t="b">
        <f>IF($G1301&lt;&gt;0,SUMIF(куб!$G:$G,$G1301,куб!K:K),IF($E1301&lt;&gt;0,SUMIF(куб!$E:$E,$E1301,куб!K:K),IF($D1301&lt;&gt;0,SUMIF(куб!$D:$D,$D1301,куб!K:K),IF($C1301&lt;&gt;0,SUMIF(куб!$C:$C,$C1301,куб!K:K),IF($B1301&lt;&gt;0,SUMIF(куб!$B:$B,$B1301,куб!K:K))))))</f>
        <v>0</v>
      </c>
      <c r="R1301" s="13" t="str">
        <f t="shared" si="403"/>
        <v>-</v>
      </c>
      <c r="S1301" s="5"/>
      <c r="T1301" s="27" t="b">
        <f>IF($G1301&lt;&gt;0,SUMIF(куб!$G:$G,$G1301,куб!L:L),IF($E1301&lt;&gt;0,SUMIF(куб!$E:$E,$E1301,куб!L:L),IF($D1301&lt;&gt;0,SUMIF(куб!$D:$D,$D1301,куб!L:L),IF($C1301&lt;&gt;0,SUMIF(куб!$C:$C,$C1301,куб!L:L),IF($B1301&lt;&gt;0,SUMIF(куб!$B:$B,$B1301,куб!L:L))))))</f>
        <v>0</v>
      </c>
      <c r="U1301" s="27" t="b">
        <f>IF($G1301&lt;&gt;0,SUMIF(куб!$G:$G,$G1301,куб!M:M),IF($E1301&lt;&gt;0,SUMIF(куб!$E:$E,$E1301,куб!M:M),IF($D1301&lt;&gt;0,SUMIF(куб!$D:$D,$D1301,куб!M:M),IF($C1301&lt;&gt;0,SUMIF(куб!$C:$C,$C1301,куб!M:M),IF($B1301&lt;&gt;0,SUMIF(куб!$B:$B,$B1301,куб!M:M))))))</f>
        <v>0</v>
      </c>
      <c r="V1301" s="13" t="str">
        <f t="shared" si="404"/>
        <v>-</v>
      </c>
      <c r="W1301" s="5"/>
      <c r="X1301" s="27" t="b">
        <f>IF($G1301&lt;&gt;0,SUMIF(куб!$G:$G,$G1301,куб!N:N),IF($E1301&lt;&gt;0,SUMIF(куб!$E:$E,$E1301,куб!N:N),IF($D1301&lt;&gt;0,SUMIF(куб!$D:$D,$D1301,куб!N:N),IF($C1301&lt;&gt;0,SUMIF(куб!$C:$C,$C1301,куб!N:N),IF($B1301&lt;&gt;0,SUMIF(куб!$B:$B,$B1301,куб!N:N))))))</f>
        <v>0</v>
      </c>
      <c r="Y1301" s="27" t="b">
        <f>IF($G1301&lt;&gt;0,SUMIF(куб!$G:$G,$G1301,куб!O:O),IF($E1301&lt;&gt;0,SUMIF(куб!$E:$E,$E1301,куб!O:O),IF($D1301&lt;&gt;0,SUMIF(куб!$D:$D,$D1301,куб!O:O),IF($C1301&lt;&gt;0,SUMIF(куб!$C:$C,$C1301,куб!O:O),IF($B1301&lt;&gt;0,SUMIF(куб!$B:$B,$B1301,куб!O:O))))))</f>
        <v>0</v>
      </c>
      <c r="Z1301" s="13" t="str">
        <f t="shared" si="405"/>
        <v>-</v>
      </c>
      <c r="AA1301" s="5"/>
      <c r="AB1301" s="33" t="str">
        <f t="shared" si="406"/>
        <v/>
      </c>
      <c r="AC1301" s="33" t="str">
        <f t="shared" si="407"/>
        <v/>
      </c>
      <c r="AD1301" s="15" t="str">
        <f t="shared" si="408"/>
        <v xml:space="preserve"> </v>
      </c>
      <c r="AE1301" s="5"/>
      <c r="AF1301" s="27" t="b">
        <f>IF($G1301&lt;&gt;0,SUMIF(куб!$G:$G,$G1301,куб!R:R),IF($E1301&lt;&gt;0,SUMIF(куб!$E:$E,$E1301,куб!R:R),IF($D1301&lt;&gt;0,SUMIF(куб!$D:$D,$D1301,куб!R:R),IF($C1301&lt;&gt;0,SUMIF(куб!$C:$C,$C1301,куб!R:R),IF($B1301&lt;&gt;0,SUMIF(куб!$B:$B,$B1301,куб!R:R))))))</f>
        <v>0</v>
      </c>
      <c r="AG1301" s="27" t="b">
        <f>IF($G1301&lt;&gt;0,SUMIF(куб!$G:$G,$G1301,куб!S:S),IF($E1301&lt;&gt;0,SUMIF(куб!$E:$E,$E1301,куб!S:S),IF($D1301&lt;&gt;0,SUMIF(куб!$D:$D,$D1301,куб!S:S),IF($C1301&lt;&gt;0,SUMIF(куб!$C:$C,$C1301,куб!S:S),IF($B1301&lt;&gt;0,SUMIF(куб!$B:$B,$B1301,куб!S:S))))))</f>
        <v>0</v>
      </c>
      <c r="AH1301" s="16" t="str">
        <f t="shared" si="409"/>
        <v>-</v>
      </c>
      <c r="AI1301" s="8"/>
      <c r="AJ1301" s="27" t="b">
        <f>IF($G1301&lt;&gt;0,SUMIF(куб!$G:$G,$G1301,куб!T:T),IF($E1301&lt;&gt;0,SUMIF(куб!$E:$E,$E1301,куб!T:T),IF($D1301&lt;&gt;0,SUMIF(куб!$D:$D,$D1301,куб!T:T),IF($C1301&lt;&gt;0,SUMIF(куб!$C:$C,$C1301,куб!T:T),IF($B1301&lt;&gt;0,SUMIF(куб!$B:$B,$B1301,куб!T:T))))))</f>
        <v>0</v>
      </c>
      <c r="AK1301" s="27" t="b">
        <f>IF($G1301&lt;&gt;0,SUMIF(куб!$G:$G,$G1301,куб!U:U),IF($E1301&lt;&gt;0,SUMIF(куб!$E:$E,$E1301,куб!U:U),IF($D1301&lt;&gt;0,SUMIF(куб!$D:$D,$D1301,куб!U:U),IF($C1301&lt;&gt;0,SUMIF(куб!$C:$C,$C1301,куб!U:U),IF($B1301&lt;&gt;0,SUMIF(куб!$B:$B,$B1301,куб!U:U))))))</f>
        <v>0</v>
      </c>
      <c r="AL1301" s="16" t="str">
        <f t="shared" si="410"/>
        <v>-</v>
      </c>
      <c r="AM1301" s="8"/>
      <c r="AN1301" s="17" t="str">
        <f t="shared" si="411"/>
        <v xml:space="preserve"> </v>
      </c>
      <c r="AO1301" s="17" t="str">
        <f t="shared" si="412"/>
        <v xml:space="preserve"> </v>
      </c>
      <c r="AP1301" s="16" t="str">
        <f t="shared" si="413"/>
        <v>-</v>
      </c>
      <c r="AQ1301" s="8"/>
      <c r="AR1301" s="17" t="str">
        <f t="shared" si="414"/>
        <v>-</v>
      </c>
      <c r="AS1301" s="17" t="str">
        <f t="shared" si="415"/>
        <v>-</v>
      </c>
      <c r="AT1301" s="13" t="str">
        <f t="shared" si="416"/>
        <v>-</v>
      </c>
      <c r="AU1301" s="8"/>
    </row>
    <row r="1302" spans="8:47" x14ac:dyDescent="0.25">
      <c r="H1302" s="27">
        <f>IF($G1302&lt;&gt;0,SUMIF(куб!$G:$G,$G1302,куб!H:H),IF($E1302&lt;&gt;0,SUMIF(куб!$E:$E,$E1302,куб!H:H),IF($D1302&lt;&gt;0,SUMIF(куб!$D:$D,$D1302,куб!H:H),IF($C1302&lt;&gt;0,SUMIF(куб!$C:$C,$C1302,куб!H:H),IF($B1302&lt;&gt;0,SUMIF(куб!$B:$B,$B1302,куб!H:H),IF($G1302&lt;&gt;0,SUMIF(куб!$A:$A,$G1302,куб!H:H),SUMIF(куб!$A:$A,$G1302,куб!H:H)))))))</f>
        <v>0</v>
      </c>
      <c r="I1302" s="27">
        <f>IF($G1302&lt;&gt;0,SUMIF(куб!$G:$G,$G1302,куб!I:I),IF($E1302&lt;&gt;0,SUMIF(куб!$E:$E,$E1302,куб!I:I),IF($D1302&lt;&gt;0,SUMIF(куб!$D:$D,$D1302,куб!I:I),IF($C1302&lt;&gt;0,SUMIF(куб!$C:$C,$C1302,куб!I:I),IF($B1302&lt;&gt;0,SUMIF(куб!$B:$B,$B1302,куб!I:I),IF($G1302&lt;&gt;0,SUMIF(куб!$A:$A,$G1302,куб!I:I),SUMIF(куб!$A:$A,$G1302,куб!I:I)))))))</f>
        <v>0</v>
      </c>
      <c r="J1302" s="19" t="str">
        <f t="shared" si="399"/>
        <v>-</v>
      </c>
      <c r="K1302" s="8"/>
      <c r="L1302" s="17">
        <f t="shared" si="400"/>
        <v>0</v>
      </c>
      <c r="M1302" s="17">
        <f t="shared" si="401"/>
        <v>0</v>
      </c>
      <c r="N1302" s="12">
        <f t="shared" si="402"/>
        <v>0</v>
      </c>
      <c r="O1302" s="5"/>
      <c r="P1302" s="27" t="b">
        <f>IF($G1302&lt;&gt;0,SUMIF(куб!$G:$G,$G1302,куб!J:J),IF($E1302&lt;&gt;0,SUMIF(куб!$E:$E,$E1302,куб!J:J),IF($D1302&lt;&gt;0,SUMIF(куб!$D:$D,$D1302,куб!J:J),IF($C1302&lt;&gt;0,SUMIF(куб!$C:$C,$C1302,куб!J:J),IF($B1302&lt;&gt;0,SUMIF(куб!$B:$B,$B1302,куб!J:J))))))</f>
        <v>0</v>
      </c>
      <c r="Q1302" s="27" t="b">
        <f>IF($G1302&lt;&gt;0,SUMIF(куб!$G:$G,$G1302,куб!K:K),IF($E1302&lt;&gt;0,SUMIF(куб!$E:$E,$E1302,куб!K:K),IF($D1302&lt;&gt;0,SUMIF(куб!$D:$D,$D1302,куб!K:K),IF($C1302&lt;&gt;0,SUMIF(куб!$C:$C,$C1302,куб!K:K),IF($B1302&lt;&gt;0,SUMIF(куб!$B:$B,$B1302,куб!K:K))))))</f>
        <v>0</v>
      </c>
      <c r="R1302" s="13" t="str">
        <f t="shared" si="403"/>
        <v>-</v>
      </c>
      <c r="S1302" s="5"/>
      <c r="T1302" s="27" t="b">
        <f>IF($G1302&lt;&gt;0,SUMIF(куб!$G:$G,$G1302,куб!L:L),IF($E1302&lt;&gt;0,SUMIF(куб!$E:$E,$E1302,куб!L:L),IF($D1302&lt;&gt;0,SUMIF(куб!$D:$D,$D1302,куб!L:L),IF($C1302&lt;&gt;0,SUMIF(куб!$C:$C,$C1302,куб!L:L),IF($B1302&lt;&gt;0,SUMIF(куб!$B:$B,$B1302,куб!L:L))))))</f>
        <v>0</v>
      </c>
      <c r="U1302" s="27" t="b">
        <f>IF($G1302&lt;&gt;0,SUMIF(куб!$G:$G,$G1302,куб!M:M),IF($E1302&lt;&gt;0,SUMIF(куб!$E:$E,$E1302,куб!M:M),IF($D1302&lt;&gt;0,SUMIF(куб!$D:$D,$D1302,куб!M:M),IF($C1302&lt;&gt;0,SUMIF(куб!$C:$C,$C1302,куб!M:M),IF($B1302&lt;&gt;0,SUMIF(куб!$B:$B,$B1302,куб!M:M))))))</f>
        <v>0</v>
      </c>
      <c r="V1302" s="13" t="str">
        <f t="shared" si="404"/>
        <v>-</v>
      </c>
      <c r="W1302" s="5"/>
      <c r="X1302" s="27" t="b">
        <f>IF($G1302&lt;&gt;0,SUMIF(куб!$G:$G,$G1302,куб!N:N),IF($E1302&lt;&gt;0,SUMIF(куб!$E:$E,$E1302,куб!N:N),IF($D1302&lt;&gt;0,SUMIF(куб!$D:$D,$D1302,куб!N:N),IF($C1302&lt;&gt;0,SUMIF(куб!$C:$C,$C1302,куб!N:N),IF($B1302&lt;&gt;0,SUMIF(куб!$B:$B,$B1302,куб!N:N))))))</f>
        <v>0</v>
      </c>
      <c r="Y1302" s="27" t="b">
        <f>IF($G1302&lt;&gt;0,SUMIF(куб!$G:$G,$G1302,куб!O:O),IF($E1302&lt;&gt;0,SUMIF(куб!$E:$E,$E1302,куб!O:O),IF($D1302&lt;&gt;0,SUMIF(куб!$D:$D,$D1302,куб!O:O),IF($C1302&lt;&gt;0,SUMIF(куб!$C:$C,$C1302,куб!O:O),IF($B1302&lt;&gt;0,SUMIF(куб!$B:$B,$B1302,куб!O:O))))))</f>
        <v>0</v>
      </c>
      <c r="Z1302" s="13" t="str">
        <f t="shared" si="405"/>
        <v>-</v>
      </c>
      <c r="AA1302" s="5"/>
      <c r="AB1302" s="33" t="str">
        <f t="shared" si="406"/>
        <v/>
      </c>
      <c r="AC1302" s="33" t="str">
        <f t="shared" si="407"/>
        <v/>
      </c>
      <c r="AD1302" s="15" t="str">
        <f t="shared" si="408"/>
        <v xml:space="preserve"> </v>
      </c>
      <c r="AE1302" s="5"/>
      <c r="AF1302" s="27" t="b">
        <f>IF($G1302&lt;&gt;0,SUMIF(куб!$G:$G,$G1302,куб!R:R),IF($E1302&lt;&gt;0,SUMIF(куб!$E:$E,$E1302,куб!R:R),IF($D1302&lt;&gt;0,SUMIF(куб!$D:$D,$D1302,куб!R:R),IF($C1302&lt;&gt;0,SUMIF(куб!$C:$C,$C1302,куб!R:R),IF($B1302&lt;&gt;0,SUMIF(куб!$B:$B,$B1302,куб!R:R))))))</f>
        <v>0</v>
      </c>
      <c r="AG1302" s="27" t="b">
        <f>IF($G1302&lt;&gt;0,SUMIF(куб!$G:$G,$G1302,куб!S:S),IF($E1302&lt;&gt;0,SUMIF(куб!$E:$E,$E1302,куб!S:S),IF($D1302&lt;&gt;0,SUMIF(куб!$D:$D,$D1302,куб!S:S),IF($C1302&lt;&gt;0,SUMIF(куб!$C:$C,$C1302,куб!S:S),IF($B1302&lt;&gt;0,SUMIF(куб!$B:$B,$B1302,куб!S:S))))))</f>
        <v>0</v>
      </c>
      <c r="AH1302" s="16" t="str">
        <f t="shared" si="409"/>
        <v>-</v>
      </c>
      <c r="AI1302" s="8"/>
      <c r="AJ1302" s="27" t="b">
        <f>IF($G1302&lt;&gt;0,SUMIF(куб!$G:$G,$G1302,куб!T:T),IF($E1302&lt;&gt;0,SUMIF(куб!$E:$E,$E1302,куб!T:T),IF($D1302&lt;&gt;0,SUMIF(куб!$D:$D,$D1302,куб!T:T),IF($C1302&lt;&gt;0,SUMIF(куб!$C:$C,$C1302,куб!T:T),IF($B1302&lt;&gt;0,SUMIF(куб!$B:$B,$B1302,куб!T:T))))))</f>
        <v>0</v>
      </c>
      <c r="AK1302" s="27" t="b">
        <f>IF($G1302&lt;&gt;0,SUMIF(куб!$G:$G,$G1302,куб!U:U),IF($E1302&lt;&gt;0,SUMIF(куб!$E:$E,$E1302,куб!U:U),IF($D1302&lt;&gt;0,SUMIF(куб!$D:$D,$D1302,куб!U:U),IF($C1302&lt;&gt;0,SUMIF(куб!$C:$C,$C1302,куб!U:U),IF($B1302&lt;&gt;0,SUMIF(куб!$B:$B,$B1302,куб!U:U))))))</f>
        <v>0</v>
      </c>
      <c r="AL1302" s="16" t="str">
        <f t="shared" si="410"/>
        <v>-</v>
      </c>
      <c r="AM1302" s="8"/>
      <c r="AN1302" s="17" t="str">
        <f t="shared" si="411"/>
        <v xml:space="preserve"> </v>
      </c>
      <c r="AO1302" s="17" t="str">
        <f t="shared" si="412"/>
        <v xml:space="preserve"> </v>
      </c>
      <c r="AP1302" s="16" t="str">
        <f t="shared" si="413"/>
        <v>-</v>
      </c>
      <c r="AQ1302" s="8"/>
      <c r="AR1302" s="17" t="str">
        <f t="shared" si="414"/>
        <v>-</v>
      </c>
      <c r="AS1302" s="17" t="str">
        <f t="shared" si="415"/>
        <v>-</v>
      </c>
      <c r="AT1302" s="13" t="str">
        <f t="shared" si="416"/>
        <v>-</v>
      </c>
      <c r="AU1302" s="8"/>
    </row>
    <row r="1303" spans="8:47" x14ac:dyDescent="0.25">
      <c r="H1303" s="27">
        <f>IF($G1303&lt;&gt;0,SUMIF(куб!$G:$G,$G1303,куб!H:H),IF($E1303&lt;&gt;0,SUMIF(куб!$E:$E,$E1303,куб!H:H),IF($D1303&lt;&gt;0,SUMIF(куб!$D:$D,$D1303,куб!H:H),IF($C1303&lt;&gt;0,SUMIF(куб!$C:$C,$C1303,куб!H:H),IF($B1303&lt;&gt;0,SUMIF(куб!$B:$B,$B1303,куб!H:H),IF($G1303&lt;&gt;0,SUMIF(куб!$A:$A,$G1303,куб!H:H),SUMIF(куб!$A:$A,$G1303,куб!H:H)))))))</f>
        <v>0</v>
      </c>
      <c r="I1303" s="27">
        <f>IF($G1303&lt;&gt;0,SUMIF(куб!$G:$G,$G1303,куб!I:I),IF($E1303&lt;&gt;0,SUMIF(куб!$E:$E,$E1303,куб!I:I),IF($D1303&lt;&gt;0,SUMIF(куб!$D:$D,$D1303,куб!I:I),IF($C1303&lt;&gt;0,SUMIF(куб!$C:$C,$C1303,куб!I:I),IF($B1303&lt;&gt;0,SUMIF(куб!$B:$B,$B1303,куб!I:I),IF($G1303&lt;&gt;0,SUMIF(куб!$A:$A,$G1303,куб!I:I),SUMIF(куб!$A:$A,$G1303,куб!I:I)))))))</f>
        <v>0</v>
      </c>
      <c r="J1303" s="19" t="str">
        <f t="shared" si="399"/>
        <v>-</v>
      </c>
      <c r="K1303" s="8"/>
      <c r="L1303" s="17">
        <f t="shared" si="400"/>
        <v>0</v>
      </c>
      <c r="M1303" s="17">
        <f t="shared" si="401"/>
        <v>0</v>
      </c>
      <c r="N1303" s="12">
        <f t="shared" si="402"/>
        <v>0</v>
      </c>
      <c r="O1303" s="5"/>
      <c r="P1303" s="27" t="b">
        <f>IF($G1303&lt;&gt;0,SUMIF(куб!$G:$G,$G1303,куб!J:J),IF($E1303&lt;&gt;0,SUMIF(куб!$E:$E,$E1303,куб!J:J),IF($D1303&lt;&gt;0,SUMIF(куб!$D:$D,$D1303,куб!J:J),IF($C1303&lt;&gt;0,SUMIF(куб!$C:$C,$C1303,куб!J:J),IF($B1303&lt;&gt;0,SUMIF(куб!$B:$B,$B1303,куб!J:J))))))</f>
        <v>0</v>
      </c>
      <c r="Q1303" s="27" t="b">
        <f>IF($G1303&lt;&gt;0,SUMIF(куб!$G:$G,$G1303,куб!K:K),IF($E1303&lt;&gt;0,SUMIF(куб!$E:$E,$E1303,куб!K:K),IF($D1303&lt;&gt;0,SUMIF(куб!$D:$D,$D1303,куб!K:K),IF($C1303&lt;&gt;0,SUMIF(куб!$C:$C,$C1303,куб!K:K),IF($B1303&lt;&gt;0,SUMIF(куб!$B:$B,$B1303,куб!K:K))))))</f>
        <v>0</v>
      </c>
      <c r="R1303" s="13" t="str">
        <f t="shared" si="403"/>
        <v>-</v>
      </c>
      <c r="S1303" s="5"/>
      <c r="T1303" s="27" t="b">
        <f>IF($G1303&lt;&gt;0,SUMIF(куб!$G:$G,$G1303,куб!L:L),IF($E1303&lt;&gt;0,SUMIF(куб!$E:$E,$E1303,куб!L:L),IF($D1303&lt;&gt;0,SUMIF(куб!$D:$D,$D1303,куб!L:L),IF($C1303&lt;&gt;0,SUMIF(куб!$C:$C,$C1303,куб!L:L),IF($B1303&lt;&gt;0,SUMIF(куб!$B:$B,$B1303,куб!L:L))))))</f>
        <v>0</v>
      </c>
      <c r="U1303" s="27" t="b">
        <f>IF($G1303&lt;&gt;0,SUMIF(куб!$G:$G,$G1303,куб!M:M),IF($E1303&lt;&gt;0,SUMIF(куб!$E:$E,$E1303,куб!M:M),IF($D1303&lt;&gt;0,SUMIF(куб!$D:$D,$D1303,куб!M:M),IF($C1303&lt;&gt;0,SUMIF(куб!$C:$C,$C1303,куб!M:M),IF($B1303&lt;&gt;0,SUMIF(куб!$B:$B,$B1303,куб!M:M))))))</f>
        <v>0</v>
      </c>
      <c r="V1303" s="13" t="str">
        <f t="shared" si="404"/>
        <v>-</v>
      </c>
      <c r="W1303" s="5"/>
      <c r="X1303" s="27" t="b">
        <f>IF($G1303&lt;&gt;0,SUMIF(куб!$G:$G,$G1303,куб!N:N),IF($E1303&lt;&gt;0,SUMIF(куб!$E:$E,$E1303,куб!N:N),IF($D1303&lt;&gt;0,SUMIF(куб!$D:$D,$D1303,куб!N:N),IF($C1303&lt;&gt;0,SUMIF(куб!$C:$C,$C1303,куб!N:N),IF($B1303&lt;&gt;0,SUMIF(куб!$B:$B,$B1303,куб!N:N))))))</f>
        <v>0</v>
      </c>
      <c r="Y1303" s="27" t="b">
        <f>IF($G1303&lt;&gt;0,SUMIF(куб!$G:$G,$G1303,куб!O:O),IF($E1303&lt;&gt;0,SUMIF(куб!$E:$E,$E1303,куб!O:O),IF($D1303&lt;&gt;0,SUMIF(куб!$D:$D,$D1303,куб!O:O),IF($C1303&lt;&gt;0,SUMIF(куб!$C:$C,$C1303,куб!O:O),IF($B1303&lt;&gt;0,SUMIF(куб!$B:$B,$B1303,куб!O:O))))))</f>
        <v>0</v>
      </c>
      <c r="Z1303" s="13" t="str">
        <f t="shared" si="405"/>
        <v>-</v>
      </c>
      <c r="AA1303" s="5"/>
      <c r="AB1303" s="33" t="str">
        <f t="shared" si="406"/>
        <v/>
      </c>
      <c r="AC1303" s="33" t="str">
        <f t="shared" si="407"/>
        <v/>
      </c>
      <c r="AD1303" s="15" t="str">
        <f t="shared" si="408"/>
        <v xml:space="preserve"> </v>
      </c>
      <c r="AE1303" s="5"/>
      <c r="AF1303" s="27" t="b">
        <f>IF($G1303&lt;&gt;0,SUMIF(куб!$G:$G,$G1303,куб!R:R),IF($E1303&lt;&gt;0,SUMIF(куб!$E:$E,$E1303,куб!R:R),IF($D1303&lt;&gt;0,SUMIF(куб!$D:$D,$D1303,куб!R:R),IF($C1303&lt;&gt;0,SUMIF(куб!$C:$C,$C1303,куб!R:R),IF($B1303&lt;&gt;0,SUMIF(куб!$B:$B,$B1303,куб!R:R))))))</f>
        <v>0</v>
      </c>
      <c r="AG1303" s="27" t="b">
        <f>IF($G1303&lt;&gt;0,SUMIF(куб!$G:$G,$G1303,куб!S:S),IF($E1303&lt;&gt;0,SUMIF(куб!$E:$E,$E1303,куб!S:S),IF($D1303&lt;&gt;0,SUMIF(куб!$D:$D,$D1303,куб!S:S),IF($C1303&lt;&gt;0,SUMIF(куб!$C:$C,$C1303,куб!S:S),IF($B1303&lt;&gt;0,SUMIF(куб!$B:$B,$B1303,куб!S:S))))))</f>
        <v>0</v>
      </c>
      <c r="AH1303" s="16" t="str">
        <f t="shared" si="409"/>
        <v>-</v>
      </c>
      <c r="AI1303" s="8"/>
      <c r="AJ1303" s="27" t="b">
        <f>IF($G1303&lt;&gt;0,SUMIF(куб!$G:$G,$G1303,куб!T:T),IF($E1303&lt;&gt;0,SUMIF(куб!$E:$E,$E1303,куб!T:T),IF($D1303&lt;&gt;0,SUMIF(куб!$D:$D,$D1303,куб!T:T),IF($C1303&lt;&gt;0,SUMIF(куб!$C:$C,$C1303,куб!T:T),IF($B1303&lt;&gt;0,SUMIF(куб!$B:$B,$B1303,куб!T:T))))))</f>
        <v>0</v>
      </c>
      <c r="AK1303" s="27" t="b">
        <f>IF($G1303&lt;&gt;0,SUMIF(куб!$G:$G,$G1303,куб!U:U),IF($E1303&lt;&gt;0,SUMIF(куб!$E:$E,$E1303,куб!U:U),IF($D1303&lt;&gt;0,SUMIF(куб!$D:$D,$D1303,куб!U:U),IF($C1303&lt;&gt;0,SUMIF(куб!$C:$C,$C1303,куб!U:U),IF($B1303&lt;&gt;0,SUMIF(куб!$B:$B,$B1303,куб!U:U))))))</f>
        <v>0</v>
      </c>
      <c r="AL1303" s="16" t="str">
        <f t="shared" si="410"/>
        <v>-</v>
      </c>
      <c r="AM1303" s="8"/>
      <c r="AN1303" s="17" t="str">
        <f t="shared" si="411"/>
        <v xml:space="preserve"> </v>
      </c>
      <c r="AO1303" s="17" t="str">
        <f t="shared" si="412"/>
        <v xml:space="preserve"> </v>
      </c>
      <c r="AP1303" s="16" t="str">
        <f t="shared" si="413"/>
        <v>-</v>
      </c>
      <c r="AQ1303" s="8"/>
      <c r="AR1303" s="17" t="str">
        <f t="shared" si="414"/>
        <v>-</v>
      </c>
      <c r="AS1303" s="17" t="str">
        <f t="shared" si="415"/>
        <v>-</v>
      </c>
      <c r="AT1303" s="13" t="str">
        <f t="shared" si="416"/>
        <v>-</v>
      </c>
      <c r="AU1303" s="8"/>
    </row>
    <row r="1304" spans="8:47" x14ac:dyDescent="0.25">
      <c r="H1304" s="27">
        <f>IF($G1304&lt;&gt;0,SUMIF(куб!$G:$G,$G1304,куб!H:H),IF($E1304&lt;&gt;0,SUMIF(куб!$E:$E,$E1304,куб!H:H),IF($D1304&lt;&gt;0,SUMIF(куб!$D:$D,$D1304,куб!H:H),IF($C1304&lt;&gt;0,SUMIF(куб!$C:$C,$C1304,куб!H:H),IF($B1304&lt;&gt;0,SUMIF(куб!$B:$B,$B1304,куб!H:H),IF($G1304&lt;&gt;0,SUMIF(куб!$A:$A,$G1304,куб!H:H),SUMIF(куб!$A:$A,$G1304,куб!H:H)))))))</f>
        <v>0</v>
      </c>
      <c r="I1304" s="27">
        <f>IF($G1304&lt;&gt;0,SUMIF(куб!$G:$G,$G1304,куб!I:I),IF($E1304&lt;&gt;0,SUMIF(куб!$E:$E,$E1304,куб!I:I),IF($D1304&lt;&gt;0,SUMIF(куб!$D:$D,$D1304,куб!I:I),IF($C1304&lt;&gt;0,SUMIF(куб!$C:$C,$C1304,куб!I:I),IF($B1304&lt;&gt;0,SUMIF(куб!$B:$B,$B1304,куб!I:I),IF($G1304&lt;&gt;0,SUMIF(куб!$A:$A,$G1304,куб!I:I),SUMIF(куб!$A:$A,$G1304,куб!I:I)))))))</f>
        <v>0</v>
      </c>
      <c r="J1304" s="19" t="str">
        <f t="shared" si="399"/>
        <v>-</v>
      </c>
      <c r="K1304" s="8"/>
      <c r="L1304" s="17">
        <f t="shared" si="400"/>
        <v>0</v>
      </c>
      <c r="M1304" s="17">
        <f t="shared" si="401"/>
        <v>0</v>
      </c>
      <c r="N1304" s="12">
        <f t="shared" si="402"/>
        <v>0</v>
      </c>
      <c r="O1304" s="5"/>
      <c r="P1304" s="27" t="b">
        <f>IF($G1304&lt;&gt;0,SUMIF(куб!$G:$G,$G1304,куб!J:J),IF($E1304&lt;&gt;0,SUMIF(куб!$E:$E,$E1304,куб!J:J),IF($D1304&lt;&gt;0,SUMIF(куб!$D:$D,$D1304,куб!J:J),IF($C1304&lt;&gt;0,SUMIF(куб!$C:$C,$C1304,куб!J:J),IF($B1304&lt;&gt;0,SUMIF(куб!$B:$B,$B1304,куб!J:J))))))</f>
        <v>0</v>
      </c>
      <c r="Q1304" s="27" t="b">
        <f>IF($G1304&lt;&gt;0,SUMIF(куб!$G:$G,$G1304,куб!K:K),IF($E1304&lt;&gt;0,SUMIF(куб!$E:$E,$E1304,куб!K:K),IF($D1304&lt;&gt;0,SUMIF(куб!$D:$D,$D1304,куб!K:K),IF($C1304&lt;&gt;0,SUMIF(куб!$C:$C,$C1304,куб!K:K),IF($B1304&lt;&gt;0,SUMIF(куб!$B:$B,$B1304,куб!K:K))))))</f>
        <v>0</v>
      </c>
      <c r="R1304" s="13" t="str">
        <f t="shared" si="403"/>
        <v>-</v>
      </c>
      <c r="S1304" s="5"/>
      <c r="T1304" s="27" t="b">
        <f>IF($G1304&lt;&gt;0,SUMIF(куб!$G:$G,$G1304,куб!L:L),IF($E1304&lt;&gt;0,SUMIF(куб!$E:$E,$E1304,куб!L:L),IF($D1304&lt;&gt;0,SUMIF(куб!$D:$D,$D1304,куб!L:L),IF($C1304&lt;&gt;0,SUMIF(куб!$C:$C,$C1304,куб!L:L),IF($B1304&lt;&gt;0,SUMIF(куб!$B:$B,$B1304,куб!L:L))))))</f>
        <v>0</v>
      </c>
      <c r="U1304" s="27" t="b">
        <f>IF($G1304&lt;&gt;0,SUMIF(куб!$G:$G,$G1304,куб!M:M),IF($E1304&lt;&gt;0,SUMIF(куб!$E:$E,$E1304,куб!M:M),IF($D1304&lt;&gt;0,SUMIF(куб!$D:$D,$D1304,куб!M:M),IF($C1304&lt;&gt;0,SUMIF(куб!$C:$C,$C1304,куб!M:M),IF($B1304&lt;&gt;0,SUMIF(куб!$B:$B,$B1304,куб!M:M))))))</f>
        <v>0</v>
      </c>
      <c r="V1304" s="13" t="str">
        <f t="shared" si="404"/>
        <v>-</v>
      </c>
      <c r="W1304" s="5"/>
      <c r="X1304" s="27" t="b">
        <f>IF($G1304&lt;&gt;0,SUMIF(куб!$G:$G,$G1304,куб!N:N),IF($E1304&lt;&gt;0,SUMIF(куб!$E:$E,$E1304,куб!N:N),IF($D1304&lt;&gt;0,SUMIF(куб!$D:$D,$D1304,куб!N:N),IF($C1304&lt;&gt;0,SUMIF(куб!$C:$C,$C1304,куб!N:N),IF($B1304&lt;&gt;0,SUMIF(куб!$B:$B,$B1304,куб!N:N))))))</f>
        <v>0</v>
      </c>
      <c r="Y1304" s="27" t="b">
        <f>IF($G1304&lt;&gt;0,SUMIF(куб!$G:$G,$G1304,куб!O:O),IF($E1304&lt;&gt;0,SUMIF(куб!$E:$E,$E1304,куб!O:O),IF($D1304&lt;&gt;0,SUMIF(куб!$D:$D,$D1304,куб!O:O),IF($C1304&lt;&gt;0,SUMIF(куб!$C:$C,$C1304,куб!O:O),IF($B1304&lt;&gt;0,SUMIF(куб!$B:$B,$B1304,куб!O:O))))))</f>
        <v>0</v>
      </c>
      <c r="Z1304" s="13" t="str">
        <f t="shared" si="405"/>
        <v>-</v>
      </c>
      <c r="AA1304" s="5"/>
      <c r="AB1304" s="33" t="str">
        <f t="shared" si="406"/>
        <v/>
      </c>
      <c r="AC1304" s="33" t="str">
        <f t="shared" si="407"/>
        <v/>
      </c>
      <c r="AD1304" s="15" t="str">
        <f t="shared" si="408"/>
        <v xml:space="preserve"> </v>
      </c>
      <c r="AE1304" s="5"/>
      <c r="AF1304" s="27" t="b">
        <f>IF($G1304&lt;&gt;0,SUMIF(куб!$G:$G,$G1304,куб!R:R),IF($E1304&lt;&gt;0,SUMIF(куб!$E:$E,$E1304,куб!R:R),IF($D1304&lt;&gt;0,SUMIF(куб!$D:$D,$D1304,куб!R:R),IF($C1304&lt;&gt;0,SUMIF(куб!$C:$C,$C1304,куб!R:R),IF($B1304&lt;&gt;0,SUMIF(куб!$B:$B,$B1304,куб!R:R))))))</f>
        <v>0</v>
      </c>
      <c r="AG1304" s="27" t="b">
        <f>IF($G1304&lt;&gt;0,SUMIF(куб!$G:$G,$G1304,куб!S:S),IF($E1304&lt;&gt;0,SUMIF(куб!$E:$E,$E1304,куб!S:S),IF($D1304&lt;&gt;0,SUMIF(куб!$D:$D,$D1304,куб!S:S),IF($C1304&lt;&gt;0,SUMIF(куб!$C:$C,$C1304,куб!S:S),IF($B1304&lt;&gt;0,SUMIF(куб!$B:$B,$B1304,куб!S:S))))))</f>
        <v>0</v>
      </c>
      <c r="AH1304" s="16" t="str">
        <f t="shared" si="409"/>
        <v>-</v>
      </c>
      <c r="AI1304" s="8"/>
      <c r="AJ1304" s="27" t="b">
        <f>IF($G1304&lt;&gt;0,SUMIF(куб!$G:$G,$G1304,куб!T:T),IF($E1304&lt;&gt;0,SUMIF(куб!$E:$E,$E1304,куб!T:T),IF($D1304&lt;&gt;0,SUMIF(куб!$D:$D,$D1304,куб!T:T),IF($C1304&lt;&gt;0,SUMIF(куб!$C:$C,$C1304,куб!T:T),IF($B1304&lt;&gt;0,SUMIF(куб!$B:$B,$B1304,куб!T:T))))))</f>
        <v>0</v>
      </c>
      <c r="AK1304" s="27" t="b">
        <f>IF($G1304&lt;&gt;0,SUMIF(куб!$G:$G,$G1304,куб!U:U),IF($E1304&lt;&gt;0,SUMIF(куб!$E:$E,$E1304,куб!U:U),IF($D1304&lt;&gt;0,SUMIF(куб!$D:$D,$D1304,куб!U:U),IF($C1304&lt;&gt;0,SUMIF(куб!$C:$C,$C1304,куб!U:U),IF($B1304&lt;&gt;0,SUMIF(куб!$B:$B,$B1304,куб!U:U))))))</f>
        <v>0</v>
      </c>
      <c r="AL1304" s="16" t="str">
        <f t="shared" si="410"/>
        <v>-</v>
      </c>
      <c r="AM1304" s="8"/>
      <c r="AN1304" s="17" t="str">
        <f t="shared" si="411"/>
        <v xml:space="preserve"> </v>
      </c>
      <c r="AO1304" s="17" t="str">
        <f t="shared" si="412"/>
        <v xml:space="preserve"> </v>
      </c>
      <c r="AP1304" s="16" t="str">
        <f t="shared" si="413"/>
        <v>-</v>
      </c>
      <c r="AQ1304" s="8"/>
      <c r="AR1304" s="17" t="str">
        <f t="shared" si="414"/>
        <v>-</v>
      </c>
      <c r="AS1304" s="17" t="str">
        <f t="shared" si="415"/>
        <v>-</v>
      </c>
      <c r="AT1304" s="13" t="str">
        <f t="shared" si="416"/>
        <v>-</v>
      </c>
      <c r="AU1304" s="8"/>
    </row>
    <row r="1305" spans="8:47" x14ac:dyDescent="0.25">
      <c r="H1305" s="27">
        <f>IF($G1305&lt;&gt;0,SUMIF(куб!$G:$G,$G1305,куб!H:H),IF($E1305&lt;&gt;0,SUMIF(куб!$E:$E,$E1305,куб!H:H),IF($D1305&lt;&gt;0,SUMIF(куб!$D:$D,$D1305,куб!H:H),IF($C1305&lt;&gt;0,SUMIF(куб!$C:$C,$C1305,куб!H:H),IF($B1305&lt;&gt;0,SUMIF(куб!$B:$B,$B1305,куб!H:H),IF($G1305&lt;&gt;0,SUMIF(куб!$A:$A,$G1305,куб!H:H),SUMIF(куб!$A:$A,$G1305,куб!H:H)))))))</f>
        <v>0</v>
      </c>
      <c r="I1305" s="27">
        <f>IF($G1305&lt;&gt;0,SUMIF(куб!$G:$G,$G1305,куб!I:I),IF($E1305&lt;&gt;0,SUMIF(куб!$E:$E,$E1305,куб!I:I),IF($D1305&lt;&gt;0,SUMIF(куб!$D:$D,$D1305,куб!I:I),IF($C1305&lt;&gt;0,SUMIF(куб!$C:$C,$C1305,куб!I:I),IF($B1305&lt;&gt;0,SUMIF(куб!$B:$B,$B1305,куб!I:I),IF($G1305&lt;&gt;0,SUMIF(куб!$A:$A,$G1305,куб!I:I),SUMIF(куб!$A:$A,$G1305,куб!I:I)))))))</f>
        <v>0</v>
      </c>
      <c r="J1305" s="19" t="str">
        <f t="shared" si="399"/>
        <v>-</v>
      </c>
      <c r="K1305" s="8"/>
      <c r="L1305" s="17">
        <f t="shared" si="400"/>
        <v>0</v>
      </c>
      <c r="M1305" s="17">
        <f t="shared" si="401"/>
        <v>0</v>
      </c>
      <c r="N1305" s="12">
        <f t="shared" si="402"/>
        <v>0</v>
      </c>
      <c r="O1305" s="5"/>
      <c r="P1305" s="27" t="b">
        <f>IF($G1305&lt;&gt;0,SUMIF(куб!$G:$G,$G1305,куб!J:J),IF($E1305&lt;&gt;0,SUMIF(куб!$E:$E,$E1305,куб!J:J),IF($D1305&lt;&gt;0,SUMIF(куб!$D:$D,$D1305,куб!J:J),IF($C1305&lt;&gt;0,SUMIF(куб!$C:$C,$C1305,куб!J:J),IF($B1305&lt;&gt;0,SUMIF(куб!$B:$B,$B1305,куб!J:J))))))</f>
        <v>0</v>
      </c>
      <c r="Q1305" s="27" t="b">
        <f>IF($G1305&lt;&gt;0,SUMIF(куб!$G:$G,$G1305,куб!K:K),IF($E1305&lt;&gt;0,SUMIF(куб!$E:$E,$E1305,куб!K:K),IF($D1305&lt;&gt;0,SUMIF(куб!$D:$D,$D1305,куб!K:K),IF($C1305&lt;&gt;0,SUMIF(куб!$C:$C,$C1305,куб!K:K),IF($B1305&lt;&gt;0,SUMIF(куб!$B:$B,$B1305,куб!K:K))))))</f>
        <v>0</v>
      </c>
      <c r="R1305" s="13" t="str">
        <f t="shared" si="403"/>
        <v>-</v>
      </c>
      <c r="S1305" s="5"/>
      <c r="T1305" s="27" t="b">
        <f>IF($G1305&lt;&gt;0,SUMIF(куб!$G:$G,$G1305,куб!L:L),IF($E1305&lt;&gt;0,SUMIF(куб!$E:$E,$E1305,куб!L:L),IF($D1305&lt;&gt;0,SUMIF(куб!$D:$D,$D1305,куб!L:L),IF($C1305&lt;&gt;0,SUMIF(куб!$C:$C,$C1305,куб!L:L),IF($B1305&lt;&gt;0,SUMIF(куб!$B:$B,$B1305,куб!L:L))))))</f>
        <v>0</v>
      </c>
      <c r="U1305" s="27" t="b">
        <f>IF($G1305&lt;&gt;0,SUMIF(куб!$G:$G,$G1305,куб!M:M),IF($E1305&lt;&gt;0,SUMIF(куб!$E:$E,$E1305,куб!M:M),IF($D1305&lt;&gt;0,SUMIF(куб!$D:$D,$D1305,куб!M:M),IF($C1305&lt;&gt;0,SUMIF(куб!$C:$C,$C1305,куб!M:M),IF($B1305&lt;&gt;0,SUMIF(куб!$B:$B,$B1305,куб!M:M))))))</f>
        <v>0</v>
      </c>
      <c r="V1305" s="13" t="str">
        <f t="shared" si="404"/>
        <v>-</v>
      </c>
      <c r="W1305" s="5"/>
      <c r="X1305" s="27" t="b">
        <f>IF($G1305&lt;&gt;0,SUMIF(куб!$G:$G,$G1305,куб!N:N),IF($E1305&lt;&gt;0,SUMIF(куб!$E:$E,$E1305,куб!N:N),IF($D1305&lt;&gt;0,SUMIF(куб!$D:$D,$D1305,куб!N:N),IF($C1305&lt;&gt;0,SUMIF(куб!$C:$C,$C1305,куб!N:N),IF($B1305&lt;&gt;0,SUMIF(куб!$B:$B,$B1305,куб!N:N))))))</f>
        <v>0</v>
      </c>
      <c r="Y1305" s="27" t="b">
        <f>IF($G1305&lt;&gt;0,SUMIF(куб!$G:$G,$G1305,куб!O:O),IF($E1305&lt;&gt;0,SUMIF(куб!$E:$E,$E1305,куб!O:O),IF($D1305&lt;&gt;0,SUMIF(куб!$D:$D,$D1305,куб!O:O),IF($C1305&lt;&gt;0,SUMIF(куб!$C:$C,$C1305,куб!O:O),IF($B1305&lt;&gt;0,SUMIF(куб!$B:$B,$B1305,куб!O:O))))))</f>
        <v>0</v>
      </c>
      <c r="Z1305" s="13" t="str">
        <f t="shared" si="405"/>
        <v>-</v>
      </c>
      <c r="AA1305" s="5"/>
      <c r="AB1305" s="33" t="str">
        <f t="shared" si="406"/>
        <v/>
      </c>
      <c r="AC1305" s="33" t="str">
        <f t="shared" si="407"/>
        <v/>
      </c>
      <c r="AD1305" s="15" t="str">
        <f t="shared" si="408"/>
        <v xml:space="preserve"> </v>
      </c>
      <c r="AE1305" s="5"/>
      <c r="AF1305" s="27" t="b">
        <f>IF($G1305&lt;&gt;0,SUMIF(куб!$G:$G,$G1305,куб!R:R),IF($E1305&lt;&gt;0,SUMIF(куб!$E:$E,$E1305,куб!R:R),IF($D1305&lt;&gt;0,SUMIF(куб!$D:$D,$D1305,куб!R:R),IF($C1305&lt;&gt;0,SUMIF(куб!$C:$C,$C1305,куб!R:R),IF($B1305&lt;&gt;0,SUMIF(куб!$B:$B,$B1305,куб!R:R))))))</f>
        <v>0</v>
      </c>
      <c r="AG1305" s="27" t="b">
        <f>IF($G1305&lt;&gt;0,SUMIF(куб!$G:$G,$G1305,куб!S:S),IF($E1305&lt;&gt;0,SUMIF(куб!$E:$E,$E1305,куб!S:S),IF($D1305&lt;&gt;0,SUMIF(куб!$D:$D,$D1305,куб!S:S),IF($C1305&lt;&gt;0,SUMIF(куб!$C:$C,$C1305,куб!S:S),IF($B1305&lt;&gt;0,SUMIF(куб!$B:$B,$B1305,куб!S:S))))))</f>
        <v>0</v>
      </c>
      <c r="AH1305" s="16" t="str">
        <f t="shared" si="409"/>
        <v>-</v>
      </c>
      <c r="AI1305" s="8"/>
      <c r="AJ1305" s="27" t="b">
        <f>IF($G1305&lt;&gt;0,SUMIF(куб!$G:$G,$G1305,куб!T:T),IF($E1305&lt;&gt;0,SUMIF(куб!$E:$E,$E1305,куб!T:T),IF($D1305&lt;&gt;0,SUMIF(куб!$D:$D,$D1305,куб!T:T),IF($C1305&lt;&gt;0,SUMIF(куб!$C:$C,$C1305,куб!T:T),IF($B1305&lt;&gt;0,SUMIF(куб!$B:$B,$B1305,куб!T:T))))))</f>
        <v>0</v>
      </c>
      <c r="AK1305" s="27" t="b">
        <f>IF($G1305&lt;&gt;0,SUMIF(куб!$G:$G,$G1305,куб!U:U),IF($E1305&lt;&gt;0,SUMIF(куб!$E:$E,$E1305,куб!U:U),IF($D1305&lt;&gt;0,SUMIF(куб!$D:$D,$D1305,куб!U:U),IF($C1305&lt;&gt;0,SUMIF(куб!$C:$C,$C1305,куб!U:U),IF($B1305&lt;&gt;0,SUMIF(куб!$B:$B,$B1305,куб!U:U))))))</f>
        <v>0</v>
      </c>
      <c r="AL1305" s="16" t="str">
        <f t="shared" si="410"/>
        <v>-</v>
      </c>
      <c r="AM1305" s="8"/>
      <c r="AN1305" s="17" t="str">
        <f t="shared" si="411"/>
        <v xml:space="preserve"> </v>
      </c>
      <c r="AO1305" s="17" t="str">
        <f t="shared" si="412"/>
        <v xml:space="preserve"> </v>
      </c>
      <c r="AP1305" s="16" t="str">
        <f t="shared" si="413"/>
        <v>-</v>
      </c>
      <c r="AQ1305" s="8"/>
      <c r="AR1305" s="17" t="str">
        <f t="shared" si="414"/>
        <v>-</v>
      </c>
      <c r="AS1305" s="17" t="str">
        <f t="shared" si="415"/>
        <v>-</v>
      </c>
      <c r="AT1305" s="13" t="str">
        <f t="shared" si="416"/>
        <v>-</v>
      </c>
      <c r="AU1305" s="8"/>
    </row>
    <row r="1306" spans="8:47" x14ac:dyDescent="0.25">
      <c r="H1306" s="27">
        <f>IF($G1306&lt;&gt;0,SUMIF(куб!$G:$G,$G1306,куб!H:H),IF($E1306&lt;&gt;0,SUMIF(куб!$E:$E,$E1306,куб!H:H),IF($D1306&lt;&gt;0,SUMIF(куб!$D:$D,$D1306,куб!H:H),IF($C1306&lt;&gt;0,SUMIF(куб!$C:$C,$C1306,куб!H:H),IF($B1306&lt;&gt;0,SUMIF(куб!$B:$B,$B1306,куб!H:H),IF($G1306&lt;&gt;0,SUMIF(куб!$A:$A,$G1306,куб!H:H),SUMIF(куб!$A:$A,$G1306,куб!H:H)))))))</f>
        <v>0</v>
      </c>
      <c r="I1306" s="27">
        <f>IF($G1306&lt;&gt;0,SUMIF(куб!$G:$G,$G1306,куб!I:I),IF($E1306&lt;&gt;0,SUMIF(куб!$E:$E,$E1306,куб!I:I),IF($D1306&lt;&gt;0,SUMIF(куб!$D:$D,$D1306,куб!I:I),IF($C1306&lt;&gt;0,SUMIF(куб!$C:$C,$C1306,куб!I:I),IF($B1306&lt;&gt;0,SUMIF(куб!$B:$B,$B1306,куб!I:I),IF($G1306&lt;&gt;0,SUMIF(куб!$A:$A,$G1306,куб!I:I),SUMIF(куб!$A:$A,$G1306,куб!I:I)))))))</f>
        <v>0</v>
      </c>
      <c r="J1306" s="19" t="str">
        <f t="shared" si="399"/>
        <v>-</v>
      </c>
      <c r="K1306" s="8"/>
      <c r="L1306" s="17">
        <f t="shared" si="400"/>
        <v>0</v>
      </c>
      <c r="M1306" s="17">
        <f t="shared" si="401"/>
        <v>0</v>
      </c>
      <c r="N1306" s="12">
        <f t="shared" si="402"/>
        <v>0</v>
      </c>
      <c r="O1306" s="5"/>
      <c r="P1306" s="27" t="b">
        <f>IF($G1306&lt;&gt;0,SUMIF(куб!$G:$G,$G1306,куб!J:J),IF($E1306&lt;&gt;0,SUMIF(куб!$E:$E,$E1306,куб!J:J),IF($D1306&lt;&gt;0,SUMIF(куб!$D:$D,$D1306,куб!J:J),IF($C1306&lt;&gt;0,SUMIF(куб!$C:$C,$C1306,куб!J:J),IF($B1306&lt;&gt;0,SUMIF(куб!$B:$B,$B1306,куб!J:J))))))</f>
        <v>0</v>
      </c>
      <c r="Q1306" s="27" t="b">
        <f>IF($G1306&lt;&gt;0,SUMIF(куб!$G:$G,$G1306,куб!K:K),IF($E1306&lt;&gt;0,SUMIF(куб!$E:$E,$E1306,куб!K:K),IF($D1306&lt;&gt;0,SUMIF(куб!$D:$D,$D1306,куб!K:K),IF($C1306&lt;&gt;0,SUMIF(куб!$C:$C,$C1306,куб!K:K),IF($B1306&lt;&gt;0,SUMIF(куб!$B:$B,$B1306,куб!K:K))))))</f>
        <v>0</v>
      </c>
      <c r="R1306" s="13" t="str">
        <f t="shared" si="403"/>
        <v>-</v>
      </c>
      <c r="S1306" s="5"/>
      <c r="T1306" s="27" t="b">
        <f>IF($G1306&lt;&gt;0,SUMIF(куб!$G:$G,$G1306,куб!L:L),IF($E1306&lt;&gt;0,SUMIF(куб!$E:$E,$E1306,куб!L:L),IF($D1306&lt;&gt;0,SUMIF(куб!$D:$D,$D1306,куб!L:L),IF($C1306&lt;&gt;0,SUMIF(куб!$C:$C,$C1306,куб!L:L),IF($B1306&lt;&gt;0,SUMIF(куб!$B:$B,$B1306,куб!L:L))))))</f>
        <v>0</v>
      </c>
      <c r="U1306" s="27" t="b">
        <f>IF($G1306&lt;&gt;0,SUMIF(куб!$G:$G,$G1306,куб!M:M),IF($E1306&lt;&gt;0,SUMIF(куб!$E:$E,$E1306,куб!M:M),IF($D1306&lt;&gt;0,SUMIF(куб!$D:$D,$D1306,куб!M:M),IF($C1306&lt;&gt;0,SUMIF(куб!$C:$C,$C1306,куб!M:M),IF($B1306&lt;&gt;0,SUMIF(куб!$B:$B,$B1306,куб!M:M))))))</f>
        <v>0</v>
      </c>
      <c r="V1306" s="13" t="str">
        <f t="shared" si="404"/>
        <v>-</v>
      </c>
      <c r="W1306" s="5"/>
      <c r="X1306" s="27" t="b">
        <f>IF($G1306&lt;&gt;0,SUMIF(куб!$G:$G,$G1306,куб!N:N),IF($E1306&lt;&gt;0,SUMIF(куб!$E:$E,$E1306,куб!N:N),IF($D1306&lt;&gt;0,SUMIF(куб!$D:$D,$D1306,куб!N:N),IF($C1306&lt;&gt;0,SUMIF(куб!$C:$C,$C1306,куб!N:N),IF($B1306&lt;&gt;0,SUMIF(куб!$B:$B,$B1306,куб!N:N))))))</f>
        <v>0</v>
      </c>
      <c r="Y1306" s="27" t="b">
        <f>IF($G1306&lt;&gt;0,SUMIF(куб!$G:$G,$G1306,куб!O:O),IF($E1306&lt;&gt;0,SUMIF(куб!$E:$E,$E1306,куб!O:O),IF($D1306&lt;&gt;0,SUMIF(куб!$D:$D,$D1306,куб!O:O),IF($C1306&lt;&gt;0,SUMIF(куб!$C:$C,$C1306,куб!O:O),IF($B1306&lt;&gt;0,SUMIF(куб!$B:$B,$B1306,куб!O:O))))))</f>
        <v>0</v>
      </c>
      <c r="Z1306" s="13" t="str">
        <f t="shared" si="405"/>
        <v>-</v>
      </c>
      <c r="AA1306" s="5"/>
      <c r="AB1306" s="33" t="str">
        <f t="shared" si="406"/>
        <v/>
      </c>
      <c r="AC1306" s="33" t="str">
        <f t="shared" si="407"/>
        <v/>
      </c>
      <c r="AD1306" s="15" t="str">
        <f t="shared" si="408"/>
        <v xml:space="preserve"> </v>
      </c>
      <c r="AE1306" s="5"/>
      <c r="AF1306" s="27" t="b">
        <f>IF($G1306&lt;&gt;0,SUMIF(куб!$G:$G,$G1306,куб!R:R),IF($E1306&lt;&gt;0,SUMIF(куб!$E:$E,$E1306,куб!R:R),IF($D1306&lt;&gt;0,SUMIF(куб!$D:$D,$D1306,куб!R:R),IF($C1306&lt;&gt;0,SUMIF(куб!$C:$C,$C1306,куб!R:R),IF($B1306&lt;&gt;0,SUMIF(куб!$B:$B,$B1306,куб!R:R))))))</f>
        <v>0</v>
      </c>
      <c r="AG1306" s="27" t="b">
        <f>IF($G1306&lt;&gt;0,SUMIF(куб!$G:$G,$G1306,куб!S:S),IF($E1306&lt;&gt;0,SUMIF(куб!$E:$E,$E1306,куб!S:S),IF($D1306&lt;&gt;0,SUMIF(куб!$D:$D,$D1306,куб!S:S),IF($C1306&lt;&gt;0,SUMIF(куб!$C:$C,$C1306,куб!S:S),IF($B1306&lt;&gt;0,SUMIF(куб!$B:$B,$B1306,куб!S:S))))))</f>
        <v>0</v>
      </c>
      <c r="AH1306" s="16" t="str">
        <f t="shared" si="409"/>
        <v>-</v>
      </c>
      <c r="AI1306" s="8"/>
      <c r="AJ1306" s="27" t="b">
        <f>IF($G1306&lt;&gt;0,SUMIF(куб!$G:$G,$G1306,куб!T:T),IF($E1306&lt;&gt;0,SUMIF(куб!$E:$E,$E1306,куб!T:T),IF($D1306&lt;&gt;0,SUMIF(куб!$D:$D,$D1306,куб!T:T),IF($C1306&lt;&gt;0,SUMIF(куб!$C:$C,$C1306,куб!T:T),IF($B1306&lt;&gt;0,SUMIF(куб!$B:$B,$B1306,куб!T:T))))))</f>
        <v>0</v>
      </c>
      <c r="AK1306" s="27" t="b">
        <f>IF($G1306&lt;&gt;0,SUMIF(куб!$G:$G,$G1306,куб!U:U),IF($E1306&lt;&gt;0,SUMIF(куб!$E:$E,$E1306,куб!U:U),IF($D1306&lt;&gt;0,SUMIF(куб!$D:$D,$D1306,куб!U:U),IF($C1306&lt;&gt;0,SUMIF(куб!$C:$C,$C1306,куб!U:U),IF($B1306&lt;&gt;0,SUMIF(куб!$B:$B,$B1306,куб!U:U))))))</f>
        <v>0</v>
      </c>
      <c r="AL1306" s="16" t="str">
        <f t="shared" si="410"/>
        <v>-</v>
      </c>
      <c r="AM1306" s="8"/>
      <c r="AN1306" s="17" t="str">
        <f t="shared" si="411"/>
        <v xml:space="preserve"> </v>
      </c>
      <c r="AO1306" s="17" t="str">
        <f t="shared" si="412"/>
        <v xml:space="preserve"> </v>
      </c>
      <c r="AP1306" s="16" t="str">
        <f t="shared" si="413"/>
        <v>-</v>
      </c>
      <c r="AQ1306" s="8"/>
      <c r="AR1306" s="17" t="str">
        <f t="shared" si="414"/>
        <v>-</v>
      </c>
      <c r="AS1306" s="17" t="str">
        <f t="shared" si="415"/>
        <v>-</v>
      </c>
      <c r="AT1306" s="13" t="str">
        <f t="shared" si="416"/>
        <v>-</v>
      </c>
      <c r="AU1306" s="8"/>
    </row>
    <row r="1307" spans="8:47" x14ac:dyDescent="0.25">
      <c r="H1307" s="27">
        <f>IF($G1307&lt;&gt;0,SUMIF(куб!$G:$G,$G1307,куб!H:H),IF($E1307&lt;&gt;0,SUMIF(куб!$E:$E,$E1307,куб!H:H),IF($D1307&lt;&gt;0,SUMIF(куб!$D:$D,$D1307,куб!H:H),IF($C1307&lt;&gt;0,SUMIF(куб!$C:$C,$C1307,куб!H:H),IF($B1307&lt;&gt;0,SUMIF(куб!$B:$B,$B1307,куб!H:H),IF($G1307&lt;&gt;0,SUMIF(куб!$A:$A,$G1307,куб!H:H),SUMIF(куб!$A:$A,$G1307,куб!H:H)))))))</f>
        <v>0</v>
      </c>
      <c r="I1307" s="27">
        <f>IF($G1307&lt;&gt;0,SUMIF(куб!$G:$G,$G1307,куб!I:I),IF($E1307&lt;&gt;0,SUMIF(куб!$E:$E,$E1307,куб!I:I),IF($D1307&lt;&gt;0,SUMIF(куб!$D:$D,$D1307,куб!I:I),IF($C1307&lt;&gt;0,SUMIF(куб!$C:$C,$C1307,куб!I:I),IF($B1307&lt;&gt;0,SUMIF(куб!$B:$B,$B1307,куб!I:I),IF($G1307&lt;&gt;0,SUMIF(куб!$A:$A,$G1307,куб!I:I),SUMIF(куб!$A:$A,$G1307,куб!I:I)))))))</f>
        <v>0</v>
      </c>
      <c r="J1307" s="19" t="str">
        <f t="shared" si="399"/>
        <v>-</v>
      </c>
      <c r="K1307" s="8"/>
      <c r="L1307" s="17">
        <f t="shared" si="400"/>
        <v>0</v>
      </c>
      <c r="M1307" s="17">
        <f t="shared" si="401"/>
        <v>0</v>
      </c>
      <c r="N1307" s="12">
        <f t="shared" si="402"/>
        <v>0</v>
      </c>
      <c r="O1307" s="5"/>
      <c r="P1307" s="27" t="b">
        <f>IF($G1307&lt;&gt;0,SUMIF(куб!$G:$G,$G1307,куб!J:J),IF($E1307&lt;&gt;0,SUMIF(куб!$E:$E,$E1307,куб!J:J),IF($D1307&lt;&gt;0,SUMIF(куб!$D:$D,$D1307,куб!J:J),IF($C1307&lt;&gt;0,SUMIF(куб!$C:$C,$C1307,куб!J:J),IF($B1307&lt;&gt;0,SUMIF(куб!$B:$B,$B1307,куб!J:J))))))</f>
        <v>0</v>
      </c>
      <c r="Q1307" s="27" t="b">
        <f>IF($G1307&lt;&gt;0,SUMIF(куб!$G:$G,$G1307,куб!K:K),IF($E1307&lt;&gt;0,SUMIF(куб!$E:$E,$E1307,куб!K:K),IF($D1307&lt;&gt;0,SUMIF(куб!$D:$D,$D1307,куб!K:K),IF($C1307&lt;&gt;0,SUMIF(куб!$C:$C,$C1307,куб!K:K),IF($B1307&lt;&gt;0,SUMIF(куб!$B:$B,$B1307,куб!K:K))))))</f>
        <v>0</v>
      </c>
      <c r="R1307" s="13" t="str">
        <f t="shared" si="403"/>
        <v>-</v>
      </c>
      <c r="S1307" s="5"/>
      <c r="T1307" s="27" t="b">
        <f>IF($G1307&lt;&gt;0,SUMIF(куб!$G:$G,$G1307,куб!L:L),IF($E1307&lt;&gt;0,SUMIF(куб!$E:$E,$E1307,куб!L:L),IF($D1307&lt;&gt;0,SUMIF(куб!$D:$D,$D1307,куб!L:L),IF($C1307&lt;&gt;0,SUMIF(куб!$C:$C,$C1307,куб!L:L),IF($B1307&lt;&gt;0,SUMIF(куб!$B:$B,$B1307,куб!L:L))))))</f>
        <v>0</v>
      </c>
      <c r="U1307" s="27" t="b">
        <f>IF($G1307&lt;&gt;0,SUMIF(куб!$G:$G,$G1307,куб!M:M),IF($E1307&lt;&gt;0,SUMIF(куб!$E:$E,$E1307,куб!M:M),IF($D1307&lt;&gt;0,SUMIF(куб!$D:$D,$D1307,куб!M:M),IF($C1307&lt;&gt;0,SUMIF(куб!$C:$C,$C1307,куб!M:M),IF($B1307&lt;&gt;0,SUMIF(куб!$B:$B,$B1307,куб!M:M))))))</f>
        <v>0</v>
      </c>
      <c r="V1307" s="13" t="str">
        <f t="shared" si="404"/>
        <v>-</v>
      </c>
      <c r="W1307" s="5"/>
      <c r="X1307" s="27" t="b">
        <f>IF($G1307&lt;&gt;0,SUMIF(куб!$G:$G,$G1307,куб!N:N),IF($E1307&lt;&gt;0,SUMIF(куб!$E:$E,$E1307,куб!N:N),IF($D1307&lt;&gt;0,SUMIF(куб!$D:$D,$D1307,куб!N:N),IF($C1307&lt;&gt;0,SUMIF(куб!$C:$C,$C1307,куб!N:N),IF($B1307&lt;&gt;0,SUMIF(куб!$B:$B,$B1307,куб!N:N))))))</f>
        <v>0</v>
      </c>
      <c r="Y1307" s="27" t="b">
        <f>IF($G1307&lt;&gt;0,SUMIF(куб!$G:$G,$G1307,куб!O:O),IF($E1307&lt;&gt;0,SUMIF(куб!$E:$E,$E1307,куб!O:O),IF($D1307&lt;&gt;0,SUMIF(куб!$D:$D,$D1307,куб!O:O),IF($C1307&lt;&gt;0,SUMIF(куб!$C:$C,$C1307,куб!O:O),IF($B1307&lt;&gt;0,SUMIF(куб!$B:$B,$B1307,куб!O:O))))))</f>
        <v>0</v>
      </c>
      <c r="Z1307" s="13" t="str">
        <f t="shared" si="405"/>
        <v>-</v>
      </c>
      <c r="AA1307" s="5"/>
      <c r="AB1307" s="33" t="str">
        <f t="shared" si="406"/>
        <v/>
      </c>
      <c r="AC1307" s="33" t="str">
        <f t="shared" si="407"/>
        <v/>
      </c>
      <c r="AD1307" s="15" t="str">
        <f t="shared" si="408"/>
        <v xml:space="preserve"> </v>
      </c>
      <c r="AE1307" s="5"/>
      <c r="AF1307" s="27" t="b">
        <f>IF($G1307&lt;&gt;0,SUMIF(куб!$G:$G,$G1307,куб!R:R),IF($E1307&lt;&gt;0,SUMIF(куб!$E:$E,$E1307,куб!R:R),IF($D1307&lt;&gt;0,SUMIF(куб!$D:$D,$D1307,куб!R:R),IF($C1307&lt;&gt;0,SUMIF(куб!$C:$C,$C1307,куб!R:R),IF($B1307&lt;&gt;0,SUMIF(куб!$B:$B,$B1307,куб!R:R))))))</f>
        <v>0</v>
      </c>
      <c r="AG1307" s="27" t="b">
        <f>IF($G1307&lt;&gt;0,SUMIF(куб!$G:$G,$G1307,куб!S:S),IF($E1307&lt;&gt;0,SUMIF(куб!$E:$E,$E1307,куб!S:S),IF($D1307&lt;&gt;0,SUMIF(куб!$D:$D,$D1307,куб!S:S),IF($C1307&lt;&gt;0,SUMIF(куб!$C:$C,$C1307,куб!S:S),IF($B1307&lt;&gt;0,SUMIF(куб!$B:$B,$B1307,куб!S:S))))))</f>
        <v>0</v>
      </c>
      <c r="AH1307" s="16" t="str">
        <f t="shared" si="409"/>
        <v>-</v>
      </c>
      <c r="AI1307" s="8"/>
      <c r="AJ1307" s="27" t="b">
        <f>IF($G1307&lt;&gt;0,SUMIF(куб!$G:$G,$G1307,куб!T:T),IF($E1307&lt;&gt;0,SUMIF(куб!$E:$E,$E1307,куб!T:T),IF($D1307&lt;&gt;0,SUMIF(куб!$D:$D,$D1307,куб!T:T),IF($C1307&lt;&gt;0,SUMIF(куб!$C:$C,$C1307,куб!T:T),IF($B1307&lt;&gt;0,SUMIF(куб!$B:$B,$B1307,куб!T:T))))))</f>
        <v>0</v>
      </c>
      <c r="AK1307" s="27" t="b">
        <f>IF($G1307&lt;&gt;0,SUMIF(куб!$G:$G,$G1307,куб!U:U),IF($E1307&lt;&gt;0,SUMIF(куб!$E:$E,$E1307,куб!U:U),IF($D1307&lt;&gt;0,SUMIF(куб!$D:$D,$D1307,куб!U:U),IF($C1307&lt;&gt;0,SUMIF(куб!$C:$C,$C1307,куб!U:U),IF($B1307&lt;&gt;0,SUMIF(куб!$B:$B,$B1307,куб!U:U))))))</f>
        <v>0</v>
      </c>
      <c r="AL1307" s="16" t="str">
        <f t="shared" si="410"/>
        <v>-</v>
      </c>
      <c r="AM1307" s="8"/>
      <c r="AN1307" s="17" t="str">
        <f t="shared" si="411"/>
        <v xml:space="preserve"> </v>
      </c>
      <c r="AO1307" s="17" t="str">
        <f t="shared" si="412"/>
        <v xml:space="preserve"> </v>
      </c>
      <c r="AP1307" s="16" t="str">
        <f t="shared" si="413"/>
        <v>-</v>
      </c>
      <c r="AQ1307" s="8"/>
      <c r="AR1307" s="17" t="str">
        <f t="shared" si="414"/>
        <v>-</v>
      </c>
      <c r="AS1307" s="17" t="str">
        <f t="shared" si="415"/>
        <v>-</v>
      </c>
      <c r="AT1307" s="13" t="str">
        <f t="shared" si="416"/>
        <v>-</v>
      </c>
      <c r="AU1307" s="8"/>
    </row>
    <row r="1308" spans="8:47" x14ac:dyDescent="0.25">
      <c r="H1308" s="27">
        <f>IF($G1308&lt;&gt;0,SUMIF(куб!$G:$G,$G1308,куб!H:H),IF($E1308&lt;&gt;0,SUMIF(куб!$E:$E,$E1308,куб!H:H),IF($D1308&lt;&gt;0,SUMIF(куб!$D:$D,$D1308,куб!H:H),IF($C1308&lt;&gt;0,SUMIF(куб!$C:$C,$C1308,куб!H:H),IF($B1308&lt;&gt;0,SUMIF(куб!$B:$B,$B1308,куб!H:H),IF($G1308&lt;&gt;0,SUMIF(куб!$A:$A,$G1308,куб!H:H),SUMIF(куб!$A:$A,$G1308,куб!H:H)))))))</f>
        <v>0</v>
      </c>
      <c r="I1308" s="27">
        <f>IF($G1308&lt;&gt;0,SUMIF(куб!$G:$G,$G1308,куб!I:I),IF($E1308&lt;&gt;0,SUMIF(куб!$E:$E,$E1308,куб!I:I),IF($D1308&lt;&gt;0,SUMIF(куб!$D:$D,$D1308,куб!I:I),IF($C1308&lt;&gt;0,SUMIF(куб!$C:$C,$C1308,куб!I:I),IF($B1308&lt;&gt;0,SUMIF(куб!$B:$B,$B1308,куб!I:I),IF($G1308&lt;&gt;0,SUMIF(куб!$A:$A,$G1308,куб!I:I),SUMIF(куб!$A:$A,$G1308,куб!I:I)))))))</f>
        <v>0</v>
      </c>
      <c r="J1308" s="19" t="str">
        <f t="shared" si="399"/>
        <v>-</v>
      </c>
      <c r="K1308" s="8"/>
      <c r="L1308" s="17">
        <f t="shared" si="400"/>
        <v>0</v>
      </c>
      <c r="M1308" s="17">
        <f t="shared" si="401"/>
        <v>0</v>
      </c>
      <c r="N1308" s="12">
        <f t="shared" si="402"/>
        <v>0</v>
      </c>
      <c r="O1308" s="5"/>
      <c r="P1308" s="27" t="b">
        <f>IF($G1308&lt;&gt;0,SUMIF(куб!$G:$G,$G1308,куб!J:J),IF($E1308&lt;&gt;0,SUMIF(куб!$E:$E,$E1308,куб!J:J),IF($D1308&lt;&gt;0,SUMIF(куб!$D:$D,$D1308,куб!J:J),IF($C1308&lt;&gt;0,SUMIF(куб!$C:$C,$C1308,куб!J:J),IF($B1308&lt;&gt;0,SUMIF(куб!$B:$B,$B1308,куб!J:J))))))</f>
        <v>0</v>
      </c>
      <c r="Q1308" s="27" t="b">
        <f>IF($G1308&lt;&gt;0,SUMIF(куб!$G:$G,$G1308,куб!K:K),IF($E1308&lt;&gt;0,SUMIF(куб!$E:$E,$E1308,куб!K:K),IF($D1308&lt;&gt;0,SUMIF(куб!$D:$D,$D1308,куб!K:K),IF($C1308&lt;&gt;0,SUMIF(куб!$C:$C,$C1308,куб!K:K),IF($B1308&lt;&gt;0,SUMIF(куб!$B:$B,$B1308,куб!K:K))))))</f>
        <v>0</v>
      </c>
      <c r="R1308" s="13" t="str">
        <f t="shared" si="403"/>
        <v>-</v>
      </c>
      <c r="S1308" s="5"/>
      <c r="T1308" s="27" t="b">
        <f>IF($G1308&lt;&gt;0,SUMIF(куб!$G:$G,$G1308,куб!L:L),IF($E1308&lt;&gt;0,SUMIF(куб!$E:$E,$E1308,куб!L:L),IF($D1308&lt;&gt;0,SUMIF(куб!$D:$D,$D1308,куб!L:L),IF($C1308&lt;&gt;0,SUMIF(куб!$C:$C,$C1308,куб!L:L),IF($B1308&lt;&gt;0,SUMIF(куб!$B:$B,$B1308,куб!L:L))))))</f>
        <v>0</v>
      </c>
      <c r="U1308" s="27" t="b">
        <f>IF($G1308&lt;&gt;0,SUMIF(куб!$G:$G,$G1308,куб!M:M),IF($E1308&lt;&gt;0,SUMIF(куб!$E:$E,$E1308,куб!M:M),IF($D1308&lt;&gt;0,SUMIF(куб!$D:$D,$D1308,куб!M:M),IF($C1308&lt;&gt;0,SUMIF(куб!$C:$C,$C1308,куб!M:M),IF($B1308&lt;&gt;0,SUMIF(куб!$B:$B,$B1308,куб!M:M))))))</f>
        <v>0</v>
      </c>
      <c r="V1308" s="13" t="str">
        <f t="shared" si="404"/>
        <v>-</v>
      </c>
      <c r="W1308" s="5"/>
      <c r="X1308" s="27" t="b">
        <f>IF($G1308&lt;&gt;0,SUMIF(куб!$G:$G,$G1308,куб!N:N),IF($E1308&lt;&gt;0,SUMIF(куб!$E:$E,$E1308,куб!N:N),IF($D1308&lt;&gt;0,SUMIF(куб!$D:$D,$D1308,куб!N:N),IF($C1308&lt;&gt;0,SUMIF(куб!$C:$C,$C1308,куб!N:N),IF($B1308&lt;&gt;0,SUMIF(куб!$B:$B,$B1308,куб!N:N))))))</f>
        <v>0</v>
      </c>
      <c r="Y1308" s="27" t="b">
        <f>IF($G1308&lt;&gt;0,SUMIF(куб!$G:$G,$G1308,куб!O:O),IF($E1308&lt;&gt;0,SUMIF(куб!$E:$E,$E1308,куб!O:O),IF($D1308&lt;&gt;0,SUMIF(куб!$D:$D,$D1308,куб!O:O),IF($C1308&lt;&gt;0,SUMIF(куб!$C:$C,$C1308,куб!O:O),IF($B1308&lt;&gt;0,SUMIF(куб!$B:$B,$B1308,куб!O:O))))))</f>
        <v>0</v>
      </c>
      <c r="Z1308" s="13" t="str">
        <f t="shared" si="405"/>
        <v>-</v>
      </c>
      <c r="AA1308" s="5"/>
      <c r="AB1308" s="33" t="str">
        <f t="shared" si="406"/>
        <v/>
      </c>
      <c r="AC1308" s="33" t="str">
        <f t="shared" si="407"/>
        <v/>
      </c>
      <c r="AD1308" s="15" t="str">
        <f t="shared" si="408"/>
        <v xml:space="preserve"> </v>
      </c>
      <c r="AE1308" s="5"/>
      <c r="AF1308" s="27" t="b">
        <f>IF($G1308&lt;&gt;0,SUMIF(куб!$G:$G,$G1308,куб!R:R),IF($E1308&lt;&gt;0,SUMIF(куб!$E:$E,$E1308,куб!R:R),IF($D1308&lt;&gt;0,SUMIF(куб!$D:$D,$D1308,куб!R:R),IF($C1308&lt;&gt;0,SUMIF(куб!$C:$C,$C1308,куб!R:R),IF($B1308&lt;&gt;0,SUMIF(куб!$B:$B,$B1308,куб!R:R))))))</f>
        <v>0</v>
      </c>
      <c r="AG1308" s="27" t="b">
        <f>IF($G1308&lt;&gt;0,SUMIF(куб!$G:$G,$G1308,куб!S:S),IF($E1308&lt;&gt;0,SUMIF(куб!$E:$E,$E1308,куб!S:S),IF($D1308&lt;&gt;0,SUMIF(куб!$D:$D,$D1308,куб!S:S),IF($C1308&lt;&gt;0,SUMIF(куб!$C:$C,$C1308,куб!S:S),IF($B1308&lt;&gt;0,SUMIF(куб!$B:$B,$B1308,куб!S:S))))))</f>
        <v>0</v>
      </c>
      <c r="AH1308" s="16" t="str">
        <f t="shared" si="409"/>
        <v>-</v>
      </c>
      <c r="AI1308" s="8"/>
      <c r="AJ1308" s="27" t="b">
        <f>IF($G1308&lt;&gt;0,SUMIF(куб!$G:$G,$G1308,куб!T:T),IF($E1308&lt;&gt;0,SUMIF(куб!$E:$E,$E1308,куб!T:T),IF($D1308&lt;&gt;0,SUMIF(куб!$D:$D,$D1308,куб!T:T),IF($C1308&lt;&gt;0,SUMIF(куб!$C:$C,$C1308,куб!T:T),IF($B1308&lt;&gt;0,SUMIF(куб!$B:$B,$B1308,куб!T:T))))))</f>
        <v>0</v>
      </c>
      <c r="AK1308" s="27" t="b">
        <f>IF($G1308&lt;&gt;0,SUMIF(куб!$G:$G,$G1308,куб!U:U),IF($E1308&lt;&gt;0,SUMIF(куб!$E:$E,$E1308,куб!U:U),IF($D1308&lt;&gt;0,SUMIF(куб!$D:$D,$D1308,куб!U:U),IF($C1308&lt;&gt;0,SUMIF(куб!$C:$C,$C1308,куб!U:U),IF($B1308&lt;&gt;0,SUMIF(куб!$B:$B,$B1308,куб!U:U))))))</f>
        <v>0</v>
      </c>
      <c r="AL1308" s="16" t="str">
        <f t="shared" si="410"/>
        <v>-</v>
      </c>
      <c r="AM1308" s="8"/>
      <c r="AN1308" s="17" t="str">
        <f t="shared" si="411"/>
        <v xml:space="preserve"> </v>
      </c>
      <c r="AO1308" s="17" t="str">
        <f t="shared" si="412"/>
        <v xml:space="preserve"> </v>
      </c>
      <c r="AP1308" s="16" t="str">
        <f t="shared" si="413"/>
        <v>-</v>
      </c>
      <c r="AQ1308" s="8"/>
      <c r="AR1308" s="17" t="str">
        <f t="shared" si="414"/>
        <v>-</v>
      </c>
      <c r="AS1308" s="17" t="str">
        <f t="shared" si="415"/>
        <v>-</v>
      </c>
      <c r="AT1308" s="13" t="str">
        <f t="shared" si="416"/>
        <v>-</v>
      </c>
      <c r="AU1308" s="8"/>
    </row>
    <row r="1309" spans="8:47" x14ac:dyDescent="0.25">
      <c r="H1309" s="27">
        <f>IF($G1309&lt;&gt;0,SUMIF(куб!$G:$G,$G1309,куб!H:H),IF($E1309&lt;&gt;0,SUMIF(куб!$E:$E,$E1309,куб!H:H),IF($D1309&lt;&gt;0,SUMIF(куб!$D:$D,$D1309,куб!H:H),IF($C1309&lt;&gt;0,SUMIF(куб!$C:$C,$C1309,куб!H:H),IF($B1309&lt;&gt;0,SUMIF(куб!$B:$B,$B1309,куб!H:H),IF($G1309&lt;&gt;0,SUMIF(куб!$A:$A,$G1309,куб!H:H),SUMIF(куб!$A:$A,$G1309,куб!H:H)))))))</f>
        <v>0</v>
      </c>
      <c r="I1309" s="27">
        <f>IF($G1309&lt;&gt;0,SUMIF(куб!$G:$G,$G1309,куб!I:I),IF($E1309&lt;&gt;0,SUMIF(куб!$E:$E,$E1309,куб!I:I),IF($D1309&lt;&gt;0,SUMIF(куб!$D:$D,$D1309,куб!I:I),IF($C1309&lt;&gt;0,SUMIF(куб!$C:$C,$C1309,куб!I:I),IF($B1309&lt;&gt;0,SUMIF(куб!$B:$B,$B1309,куб!I:I),IF($G1309&lt;&gt;0,SUMIF(куб!$A:$A,$G1309,куб!I:I),SUMIF(куб!$A:$A,$G1309,куб!I:I)))))))</f>
        <v>0</v>
      </c>
      <c r="J1309" s="19" t="str">
        <f t="shared" si="399"/>
        <v>-</v>
      </c>
      <c r="K1309" s="8"/>
      <c r="L1309" s="17">
        <f t="shared" si="400"/>
        <v>0</v>
      </c>
      <c r="M1309" s="17">
        <f t="shared" si="401"/>
        <v>0</v>
      </c>
      <c r="N1309" s="12">
        <f t="shared" si="402"/>
        <v>0</v>
      </c>
      <c r="O1309" s="5"/>
      <c r="P1309" s="27" t="b">
        <f>IF($G1309&lt;&gt;0,SUMIF(куб!$G:$G,$G1309,куб!J:J),IF($E1309&lt;&gt;0,SUMIF(куб!$E:$E,$E1309,куб!J:J),IF($D1309&lt;&gt;0,SUMIF(куб!$D:$D,$D1309,куб!J:J),IF($C1309&lt;&gt;0,SUMIF(куб!$C:$C,$C1309,куб!J:J),IF($B1309&lt;&gt;0,SUMIF(куб!$B:$B,$B1309,куб!J:J))))))</f>
        <v>0</v>
      </c>
      <c r="Q1309" s="27" t="b">
        <f>IF($G1309&lt;&gt;0,SUMIF(куб!$G:$G,$G1309,куб!K:K),IF($E1309&lt;&gt;0,SUMIF(куб!$E:$E,$E1309,куб!K:K),IF($D1309&lt;&gt;0,SUMIF(куб!$D:$D,$D1309,куб!K:K),IF($C1309&lt;&gt;0,SUMIF(куб!$C:$C,$C1309,куб!K:K),IF($B1309&lt;&gt;0,SUMIF(куб!$B:$B,$B1309,куб!K:K))))))</f>
        <v>0</v>
      </c>
      <c r="R1309" s="13" t="str">
        <f t="shared" si="403"/>
        <v>-</v>
      </c>
      <c r="S1309" s="5"/>
      <c r="T1309" s="27" t="b">
        <f>IF($G1309&lt;&gt;0,SUMIF(куб!$G:$G,$G1309,куб!L:L),IF($E1309&lt;&gt;0,SUMIF(куб!$E:$E,$E1309,куб!L:L),IF($D1309&lt;&gt;0,SUMIF(куб!$D:$D,$D1309,куб!L:L),IF($C1309&lt;&gt;0,SUMIF(куб!$C:$C,$C1309,куб!L:L),IF($B1309&lt;&gt;0,SUMIF(куб!$B:$B,$B1309,куб!L:L))))))</f>
        <v>0</v>
      </c>
      <c r="U1309" s="27" t="b">
        <f>IF($G1309&lt;&gt;0,SUMIF(куб!$G:$G,$G1309,куб!M:M),IF($E1309&lt;&gt;0,SUMIF(куб!$E:$E,$E1309,куб!M:M),IF($D1309&lt;&gt;0,SUMIF(куб!$D:$D,$D1309,куб!M:M),IF($C1309&lt;&gt;0,SUMIF(куб!$C:$C,$C1309,куб!M:M),IF($B1309&lt;&gt;0,SUMIF(куб!$B:$B,$B1309,куб!M:M))))))</f>
        <v>0</v>
      </c>
      <c r="V1309" s="13" t="str">
        <f t="shared" si="404"/>
        <v>-</v>
      </c>
      <c r="W1309" s="5"/>
      <c r="X1309" s="27" t="b">
        <f>IF($G1309&lt;&gt;0,SUMIF(куб!$G:$G,$G1309,куб!N:N),IF($E1309&lt;&gt;0,SUMIF(куб!$E:$E,$E1309,куб!N:N),IF($D1309&lt;&gt;0,SUMIF(куб!$D:$D,$D1309,куб!N:N),IF($C1309&lt;&gt;0,SUMIF(куб!$C:$C,$C1309,куб!N:N),IF($B1309&lt;&gt;0,SUMIF(куб!$B:$B,$B1309,куб!N:N))))))</f>
        <v>0</v>
      </c>
      <c r="Y1309" s="27" t="b">
        <f>IF($G1309&lt;&gt;0,SUMIF(куб!$G:$G,$G1309,куб!O:O),IF($E1309&lt;&gt;0,SUMIF(куб!$E:$E,$E1309,куб!O:O),IF($D1309&lt;&gt;0,SUMIF(куб!$D:$D,$D1309,куб!O:O),IF($C1309&lt;&gt;0,SUMIF(куб!$C:$C,$C1309,куб!O:O),IF($B1309&lt;&gt;0,SUMIF(куб!$B:$B,$B1309,куб!O:O))))))</f>
        <v>0</v>
      </c>
      <c r="Z1309" s="13" t="str">
        <f t="shared" si="405"/>
        <v>-</v>
      </c>
      <c r="AA1309" s="5"/>
      <c r="AB1309" s="33" t="str">
        <f t="shared" si="406"/>
        <v/>
      </c>
      <c r="AC1309" s="33" t="str">
        <f t="shared" si="407"/>
        <v/>
      </c>
      <c r="AD1309" s="15" t="str">
        <f t="shared" si="408"/>
        <v xml:space="preserve"> </v>
      </c>
      <c r="AE1309" s="5"/>
      <c r="AF1309" s="27" t="b">
        <f>IF($G1309&lt;&gt;0,SUMIF(куб!$G:$G,$G1309,куб!R:R),IF($E1309&lt;&gt;0,SUMIF(куб!$E:$E,$E1309,куб!R:R),IF($D1309&lt;&gt;0,SUMIF(куб!$D:$D,$D1309,куб!R:R),IF($C1309&lt;&gt;0,SUMIF(куб!$C:$C,$C1309,куб!R:R),IF($B1309&lt;&gt;0,SUMIF(куб!$B:$B,$B1309,куб!R:R))))))</f>
        <v>0</v>
      </c>
      <c r="AG1309" s="27" t="b">
        <f>IF($G1309&lt;&gt;0,SUMIF(куб!$G:$G,$G1309,куб!S:S),IF($E1309&lt;&gt;0,SUMIF(куб!$E:$E,$E1309,куб!S:S),IF($D1309&lt;&gt;0,SUMIF(куб!$D:$D,$D1309,куб!S:S),IF($C1309&lt;&gt;0,SUMIF(куб!$C:$C,$C1309,куб!S:S),IF($B1309&lt;&gt;0,SUMIF(куб!$B:$B,$B1309,куб!S:S))))))</f>
        <v>0</v>
      </c>
      <c r="AH1309" s="16" t="str">
        <f t="shared" si="409"/>
        <v>-</v>
      </c>
      <c r="AI1309" s="8"/>
      <c r="AJ1309" s="27" t="b">
        <f>IF($G1309&lt;&gt;0,SUMIF(куб!$G:$G,$G1309,куб!T:T),IF($E1309&lt;&gt;0,SUMIF(куб!$E:$E,$E1309,куб!T:T),IF($D1309&lt;&gt;0,SUMIF(куб!$D:$D,$D1309,куб!T:T),IF($C1309&lt;&gt;0,SUMIF(куб!$C:$C,$C1309,куб!T:T),IF($B1309&lt;&gt;0,SUMIF(куб!$B:$B,$B1309,куб!T:T))))))</f>
        <v>0</v>
      </c>
      <c r="AK1309" s="27" t="b">
        <f>IF($G1309&lt;&gt;0,SUMIF(куб!$G:$G,$G1309,куб!U:U),IF($E1309&lt;&gt;0,SUMIF(куб!$E:$E,$E1309,куб!U:U),IF($D1309&lt;&gt;0,SUMIF(куб!$D:$D,$D1309,куб!U:U),IF($C1309&lt;&gt;0,SUMIF(куб!$C:$C,$C1309,куб!U:U),IF($B1309&lt;&gt;0,SUMIF(куб!$B:$B,$B1309,куб!U:U))))))</f>
        <v>0</v>
      </c>
      <c r="AL1309" s="16" t="str">
        <f t="shared" si="410"/>
        <v>-</v>
      </c>
      <c r="AM1309" s="8"/>
      <c r="AN1309" s="17" t="str">
        <f t="shared" si="411"/>
        <v xml:space="preserve"> </v>
      </c>
      <c r="AO1309" s="17" t="str">
        <f t="shared" si="412"/>
        <v xml:space="preserve"> </v>
      </c>
      <c r="AP1309" s="16" t="str">
        <f t="shared" si="413"/>
        <v>-</v>
      </c>
      <c r="AQ1309" s="8"/>
      <c r="AR1309" s="17" t="str">
        <f t="shared" si="414"/>
        <v>-</v>
      </c>
      <c r="AS1309" s="17" t="str">
        <f t="shared" si="415"/>
        <v>-</v>
      </c>
      <c r="AT1309" s="13" t="str">
        <f t="shared" si="416"/>
        <v>-</v>
      </c>
      <c r="AU1309" s="8"/>
    </row>
    <row r="1310" spans="8:47" x14ac:dyDescent="0.25">
      <c r="H1310" s="27">
        <f>IF($G1310&lt;&gt;0,SUMIF(куб!$G:$G,$G1310,куб!H:H),IF($E1310&lt;&gt;0,SUMIF(куб!$E:$E,$E1310,куб!H:H),IF($D1310&lt;&gt;0,SUMIF(куб!$D:$D,$D1310,куб!H:H),IF($C1310&lt;&gt;0,SUMIF(куб!$C:$C,$C1310,куб!H:H),IF($B1310&lt;&gt;0,SUMIF(куб!$B:$B,$B1310,куб!H:H),IF($G1310&lt;&gt;0,SUMIF(куб!$A:$A,$G1310,куб!H:H),SUMIF(куб!$A:$A,$G1310,куб!H:H)))))))</f>
        <v>0</v>
      </c>
      <c r="I1310" s="27">
        <f>IF($G1310&lt;&gt;0,SUMIF(куб!$G:$G,$G1310,куб!I:I),IF($E1310&lt;&gt;0,SUMIF(куб!$E:$E,$E1310,куб!I:I),IF($D1310&lt;&gt;0,SUMIF(куб!$D:$D,$D1310,куб!I:I),IF($C1310&lt;&gt;0,SUMIF(куб!$C:$C,$C1310,куб!I:I),IF($B1310&lt;&gt;0,SUMIF(куб!$B:$B,$B1310,куб!I:I),IF($G1310&lt;&gt;0,SUMIF(куб!$A:$A,$G1310,куб!I:I),SUMIF(куб!$A:$A,$G1310,куб!I:I)))))))</f>
        <v>0</v>
      </c>
      <c r="J1310" s="19" t="str">
        <f t="shared" si="399"/>
        <v>-</v>
      </c>
      <c r="K1310" s="8"/>
      <c r="L1310" s="17">
        <f t="shared" si="400"/>
        <v>0</v>
      </c>
      <c r="M1310" s="17">
        <f t="shared" si="401"/>
        <v>0</v>
      </c>
      <c r="N1310" s="12">
        <f t="shared" si="402"/>
        <v>0</v>
      </c>
      <c r="O1310" s="5"/>
      <c r="P1310" s="27" t="b">
        <f>IF($G1310&lt;&gt;0,SUMIF(куб!$G:$G,$G1310,куб!J:J),IF($E1310&lt;&gt;0,SUMIF(куб!$E:$E,$E1310,куб!J:J),IF($D1310&lt;&gt;0,SUMIF(куб!$D:$D,$D1310,куб!J:J),IF($C1310&lt;&gt;0,SUMIF(куб!$C:$C,$C1310,куб!J:J),IF($B1310&lt;&gt;0,SUMIF(куб!$B:$B,$B1310,куб!J:J))))))</f>
        <v>0</v>
      </c>
      <c r="Q1310" s="27" t="b">
        <f>IF($G1310&lt;&gt;0,SUMIF(куб!$G:$G,$G1310,куб!K:K),IF($E1310&lt;&gt;0,SUMIF(куб!$E:$E,$E1310,куб!K:K),IF($D1310&lt;&gt;0,SUMIF(куб!$D:$D,$D1310,куб!K:K),IF($C1310&lt;&gt;0,SUMIF(куб!$C:$C,$C1310,куб!K:K),IF($B1310&lt;&gt;0,SUMIF(куб!$B:$B,$B1310,куб!K:K))))))</f>
        <v>0</v>
      </c>
      <c r="R1310" s="13" t="str">
        <f t="shared" si="403"/>
        <v>-</v>
      </c>
      <c r="S1310" s="5"/>
      <c r="T1310" s="27" t="b">
        <f>IF($G1310&lt;&gt;0,SUMIF(куб!$G:$G,$G1310,куб!L:L),IF($E1310&lt;&gt;0,SUMIF(куб!$E:$E,$E1310,куб!L:L),IF($D1310&lt;&gt;0,SUMIF(куб!$D:$D,$D1310,куб!L:L),IF($C1310&lt;&gt;0,SUMIF(куб!$C:$C,$C1310,куб!L:L),IF($B1310&lt;&gt;0,SUMIF(куб!$B:$B,$B1310,куб!L:L))))))</f>
        <v>0</v>
      </c>
      <c r="U1310" s="27" t="b">
        <f>IF($G1310&lt;&gt;0,SUMIF(куб!$G:$G,$G1310,куб!M:M),IF($E1310&lt;&gt;0,SUMIF(куб!$E:$E,$E1310,куб!M:M),IF($D1310&lt;&gt;0,SUMIF(куб!$D:$D,$D1310,куб!M:M),IF($C1310&lt;&gt;0,SUMIF(куб!$C:$C,$C1310,куб!M:M),IF($B1310&lt;&gt;0,SUMIF(куб!$B:$B,$B1310,куб!M:M))))))</f>
        <v>0</v>
      </c>
      <c r="V1310" s="13" t="str">
        <f t="shared" si="404"/>
        <v>-</v>
      </c>
      <c r="W1310" s="5"/>
      <c r="X1310" s="27" t="b">
        <f>IF($G1310&lt;&gt;0,SUMIF(куб!$G:$G,$G1310,куб!N:N),IF($E1310&lt;&gt;0,SUMIF(куб!$E:$E,$E1310,куб!N:N),IF($D1310&lt;&gt;0,SUMIF(куб!$D:$D,$D1310,куб!N:N),IF($C1310&lt;&gt;0,SUMIF(куб!$C:$C,$C1310,куб!N:N),IF($B1310&lt;&gt;0,SUMIF(куб!$B:$B,$B1310,куб!N:N))))))</f>
        <v>0</v>
      </c>
      <c r="Y1310" s="27" t="b">
        <f>IF($G1310&lt;&gt;0,SUMIF(куб!$G:$G,$G1310,куб!O:O),IF($E1310&lt;&gt;0,SUMIF(куб!$E:$E,$E1310,куб!O:O),IF($D1310&lt;&gt;0,SUMIF(куб!$D:$D,$D1310,куб!O:O),IF($C1310&lt;&gt;0,SUMIF(куб!$C:$C,$C1310,куб!O:O),IF($B1310&lt;&gt;0,SUMIF(куб!$B:$B,$B1310,куб!O:O))))))</f>
        <v>0</v>
      </c>
      <c r="Z1310" s="13" t="str">
        <f t="shared" si="405"/>
        <v>-</v>
      </c>
      <c r="AA1310" s="5"/>
      <c r="AB1310" s="33" t="str">
        <f t="shared" si="406"/>
        <v/>
      </c>
      <c r="AC1310" s="33" t="str">
        <f t="shared" si="407"/>
        <v/>
      </c>
      <c r="AD1310" s="15" t="str">
        <f t="shared" si="408"/>
        <v xml:space="preserve"> </v>
      </c>
      <c r="AE1310" s="5"/>
      <c r="AF1310" s="27" t="b">
        <f>IF($G1310&lt;&gt;0,SUMIF(куб!$G:$G,$G1310,куб!R:R),IF($E1310&lt;&gt;0,SUMIF(куб!$E:$E,$E1310,куб!R:R),IF($D1310&lt;&gt;0,SUMIF(куб!$D:$D,$D1310,куб!R:R),IF($C1310&lt;&gt;0,SUMIF(куб!$C:$C,$C1310,куб!R:R),IF($B1310&lt;&gt;0,SUMIF(куб!$B:$B,$B1310,куб!R:R))))))</f>
        <v>0</v>
      </c>
      <c r="AG1310" s="27" t="b">
        <f>IF($G1310&lt;&gt;0,SUMIF(куб!$G:$G,$G1310,куб!S:S),IF($E1310&lt;&gt;0,SUMIF(куб!$E:$E,$E1310,куб!S:S),IF($D1310&lt;&gt;0,SUMIF(куб!$D:$D,$D1310,куб!S:S),IF($C1310&lt;&gt;0,SUMIF(куб!$C:$C,$C1310,куб!S:S),IF($B1310&lt;&gt;0,SUMIF(куб!$B:$B,$B1310,куб!S:S))))))</f>
        <v>0</v>
      </c>
      <c r="AH1310" s="16" t="str">
        <f t="shared" si="409"/>
        <v>-</v>
      </c>
      <c r="AI1310" s="8"/>
      <c r="AJ1310" s="27" t="b">
        <f>IF($G1310&lt;&gt;0,SUMIF(куб!$G:$G,$G1310,куб!T:T),IF($E1310&lt;&gt;0,SUMIF(куб!$E:$E,$E1310,куб!T:T),IF($D1310&lt;&gt;0,SUMIF(куб!$D:$D,$D1310,куб!T:T),IF($C1310&lt;&gt;0,SUMIF(куб!$C:$C,$C1310,куб!T:T),IF($B1310&lt;&gt;0,SUMIF(куб!$B:$B,$B1310,куб!T:T))))))</f>
        <v>0</v>
      </c>
      <c r="AK1310" s="27" t="b">
        <f>IF($G1310&lt;&gt;0,SUMIF(куб!$G:$G,$G1310,куб!U:U),IF($E1310&lt;&gt;0,SUMIF(куб!$E:$E,$E1310,куб!U:U),IF($D1310&lt;&gt;0,SUMIF(куб!$D:$D,$D1310,куб!U:U),IF($C1310&lt;&gt;0,SUMIF(куб!$C:$C,$C1310,куб!U:U),IF($B1310&lt;&gt;0,SUMIF(куб!$B:$B,$B1310,куб!U:U))))))</f>
        <v>0</v>
      </c>
      <c r="AL1310" s="16" t="str">
        <f t="shared" si="410"/>
        <v>-</v>
      </c>
      <c r="AM1310" s="8"/>
      <c r="AN1310" s="17" t="str">
        <f t="shared" si="411"/>
        <v xml:space="preserve"> </v>
      </c>
      <c r="AO1310" s="17" t="str">
        <f t="shared" si="412"/>
        <v xml:space="preserve"> </v>
      </c>
      <c r="AP1310" s="16" t="str">
        <f t="shared" si="413"/>
        <v>-</v>
      </c>
      <c r="AQ1310" s="8"/>
      <c r="AR1310" s="17" t="str">
        <f t="shared" si="414"/>
        <v>-</v>
      </c>
      <c r="AS1310" s="17" t="str">
        <f t="shared" si="415"/>
        <v>-</v>
      </c>
      <c r="AT1310" s="13" t="str">
        <f t="shared" si="416"/>
        <v>-</v>
      </c>
      <c r="AU1310" s="8"/>
    </row>
    <row r="1311" spans="8:47" x14ac:dyDescent="0.25">
      <c r="H1311" s="27">
        <f>IF($G1311&lt;&gt;0,SUMIF(куб!$G:$G,$G1311,куб!H:H),IF($E1311&lt;&gt;0,SUMIF(куб!$E:$E,$E1311,куб!H:H),IF($D1311&lt;&gt;0,SUMIF(куб!$D:$D,$D1311,куб!H:H),IF($C1311&lt;&gt;0,SUMIF(куб!$C:$C,$C1311,куб!H:H),IF($B1311&lt;&gt;0,SUMIF(куб!$B:$B,$B1311,куб!H:H),IF($G1311&lt;&gt;0,SUMIF(куб!$A:$A,$G1311,куб!H:H),SUMIF(куб!$A:$A,$G1311,куб!H:H)))))))</f>
        <v>0</v>
      </c>
      <c r="I1311" s="27">
        <f>IF($G1311&lt;&gt;0,SUMIF(куб!$G:$G,$G1311,куб!I:I),IF($E1311&lt;&gt;0,SUMIF(куб!$E:$E,$E1311,куб!I:I),IF($D1311&lt;&gt;0,SUMIF(куб!$D:$D,$D1311,куб!I:I),IF($C1311&lt;&gt;0,SUMIF(куб!$C:$C,$C1311,куб!I:I),IF($B1311&lt;&gt;0,SUMIF(куб!$B:$B,$B1311,куб!I:I),IF($G1311&lt;&gt;0,SUMIF(куб!$A:$A,$G1311,куб!I:I),SUMIF(куб!$A:$A,$G1311,куб!I:I)))))))</f>
        <v>0</v>
      </c>
      <c r="J1311" s="19" t="str">
        <f t="shared" si="399"/>
        <v>-</v>
      </c>
      <c r="K1311" s="8"/>
      <c r="L1311" s="17">
        <f t="shared" si="400"/>
        <v>0</v>
      </c>
      <c r="M1311" s="17">
        <f t="shared" si="401"/>
        <v>0</v>
      </c>
      <c r="N1311" s="12">
        <f t="shared" si="402"/>
        <v>0</v>
      </c>
      <c r="O1311" s="5"/>
      <c r="P1311" s="27" t="b">
        <f>IF($G1311&lt;&gt;0,SUMIF(куб!$G:$G,$G1311,куб!J:J),IF($E1311&lt;&gt;0,SUMIF(куб!$E:$E,$E1311,куб!J:J),IF($D1311&lt;&gt;0,SUMIF(куб!$D:$D,$D1311,куб!J:J),IF($C1311&lt;&gt;0,SUMIF(куб!$C:$C,$C1311,куб!J:J),IF($B1311&lt;&gt;0,SUMIF(куб!$B:$B,$B1311,куб!J:J))))))</f>
        <v>0</v>
      </c>
      <c r="Q1311" s="27" t="b">
        <f>IF($G1311&lt;&gt;0,SUMIF(куб!$G:$G,$G1311,куб!K:K),IF($E1311&lt;&gt;0,SUMIF(куб!$E:$E,$E1311,куб!K:K),IF($D1311&lt;&gt;0,SUMIF(куб!$D:$D,$D1311,куб!K:K),IF($C1311&lt;&gt;0,SUMIF(куб!$C:$C,$C1311,куб!K:K),IF($B1311&lt;&gt;0,SUMIF(куб!$B:$B,$B1311,куб!K:K))))))</f>
        <v>0</v>
      </c>
      <c r="R1311" s="13" t="str">
        <f t="shared" si="403"/>
        <v>-</v>
      </c>
      <c r="S1311" s="5"/>
      <c r="T1311" s="27" t="b">
        <f>IF($G1311&lt;&gt;0,SUMIF(куб!$G:$G,$G1311,куб!L:L),IF($E1311&lt;&gt;0,SUMIF(куб!$E:$E,$E1311,куб!L:L),IF($D1311&lt;&gt;0,SUMIF(куб!$D:$D,$D1311,куб!L:L),IF($C1311&lt;&gt;0,SUMIF(куб!$C:$C,$C1311,куб!L:L),IF($B1311&lt;&gt;0,SUMIF(куб!$B:$B,$B1311,куб!L:L))))))</f>
        <v>0</v>
      </c>
      <c r="U1311" s="27" t="b">
        <f>IF($G1311&lt;&gt;0,SUMIF(куб!$G:$G,$G1311,куб!M:M),IF($E1311&lt;&gt;0,SUMIF(куб!$E:$E,$E1311,куб!M:M),IF($D1311&lt;&gt;0,SUMIF(куб!$D:$D,$D1311,куб!M:M),IF($C1311&lt;&gt;0,SUMIF(куб!$C:$C,$C1311,куб!M:M),IF($B1311&lt;&gt;0,SUMIF(куб!$B:$B,$B1311,куб!M:M))))))</f>
        <v>0</v>
      </c>
      <c r="V1311" s="13" t="str">
        <f t="shared" si="404"/>
        <v>-</v>
      </c>
      <c r="W1311" s="5"/>
      <c r="X1311" s="27" t="b">
        <f>IF($G1311&lt;&gt;0,SUMIF(куб!$G:$G,$G1311,куб!N:N),IF($E1311&lt;&gt;0,SUMIF(куб!$E:$E,$E1311,куб!N:N),IF($D1311&lt;&gt;0,SUMIF(куб!$D:$D,$D1311,куб!N:N),IF($C1311&lt;&gt;0,SUMIF(куб!$C:$C,$C1311,куб!N:N),IF($B1311&lt;&gt;0,SUMIF(куб!$B:$B,$B1311,куб!N:N))))))</f>
        <v>0</v>
      </c>
      <c r="Y1311" s="27" t="b">
        <f>IF($G1311&lt;&gt;0,SUMIF(куб!$G:$G,$G1311,куб!O:O),IF($E1311&lt;&gt;0,SUMIF(куб!$E:$E,$E1311,куб!O:O),IF($D1311&lt;&gt;0,SUMIF(куб!$D:$D,$D1311,куб!O:O),IF($C1311&lt;&gt;0,SUMIF(куб!$C:$C,$C1311,куб!O:O),IF($B1311&lt;&gt;0,SUMIF(куб!$B:$B,$B1311,куб!O:O))))))</f>
        <v>0</v>
      </c>
      <c r="Z1311" s="13" t="str">
        <f t="shared" si="405"/>
        <v>-</v>
      </c>
      <c r="AA1311" s="5"/>
      <c r="AB1311" s="33" t="str">
        <f t="shared" si="406"/>
        <v/>
      </c>
      <c r="AC1311" s="33" t="str">
        <f t="shared" si="407"/>
        <v/>
      </c>
      <c r="AD1311" s="15" t="str">
        <f t="shared" si="408"/>
        <v xml:space="preserve"> </v>
      </c>
      <c r="AE1311" s="5"/>
      <c r="AF1311" s="27" t="b">
        <f>IF($G1311&lt;&gt;0,SUMIF(куб!$G:$G,$G1311,куб!R:R),IF($E1311&lt;&gt;0,SUMIF(куб!$E:$E,$E1311,куб!R:R),IF($D1311&lt;&gt;0,SUMIF(куб!$D:$D,$D1311,куб!R:R),IF($C1311&lt;&gt;0,SUMIF(куб!$C:$C,$C1311,куб!R:R),IF($B1311&lt;&gt;0,SUMIF(куб!$B:$B,$B1311,куб!R:R))))))</f>
        <v>0</v>
      </c>
      <c r="AG1311" s="27" t="b">
        <f>IF($G1311&lt;&gt;0,SUMIF(куб!$G:$G,$G1311,куб!S:S),IF($E1311&lt;&gt;0,SUMIF(куб!$E:$E,$E1311,куб!S:S),IF($D1311&lt;&gt;0,SUMIF(куб!$D:$D,$D1311,куб!S:S),IF($C1311&lt;&gt;0,SUMIF(куб!$C:$C,$C1311,куб!S:S),IF($B1311&lt;&gt;0,SUMIF(куб!$B:$B,$B1311,куб!S:S))))))</f>
        <v>0</v>
      </c>
      <c r="AH1311" s="16" t="str">
        <f t="shared" si="409"/>
        <v>-</v>
      </c>
      <c r="AI1311" s="8"/>
      <c r="AJ1311" s="27" t="b">
        <f>IF($G1311&lt;&gt;0,SUMIF(куб!$G:$G,$G1311,куб!T:T),IF($E1311&lt;&gt;0,SUMIF(куб!$E:$E,$E1311,куб!T:T),IF($D1311&lt;&gt;0,SUMIF(куб!$D:$D,$D1311,куб!T:T),IF($C1311&lt;&gt;0,SUMIF(куб!$C:$C,$C1311,куб!T:T),IF($B1311&lt;&gt;0,SUMIF(куб!$B:$B,$B1311,куб!T:T))))))</f>
        <v>0</v>
      </c>
      <c r="AK1311" s="27" t="b">
        <f>IF($G1311&lt;&gt;0,SUMIF(куб!$G:$G,$G1311,куб!U:U),IF($E1311&lt;&gt;0,SUMIF(куб!$E:$E,$E1311,куб!U:U),IF($D1311&lt;&gt;0,SUMIF(куб!$D:$D,$D1311,куб!U:U),IF($C1311&lt;&gt;0,SUMIF(куб!$C:$C,$C1311,куб!U:U),IF($B1311&lt;&gt;0,SUMIF(куб!$B:$B,$B1311,куб!U:U))))))</f>
        <v>0</v>
      </c>
      <c r="AL1311" s="16" t="str">
        <f t="shared" si="410"/>
        <v>-</v>
      </c>
      <c r="AM1311" s="8"/>
      <c r="AN1311" s="17" t="str">
        <f t="shared" si="411"/>
        <v xml:space="preserve"> </v>
      </c>
      <c r="AO1311" s="17" t="str">
        <f t="shared" si="412"/>
        <v xml:space="preserve"> </v>
      </c>
      <c r="AP1311" s="16" t="str">
        <f t="shared" si="413"/>
        <v>-</v>
      </c>
      <c r="AQ1311" s="8"/>
      <c r="AR1311" s="17" t="str">
        <f t="shared" si="414"/>
        <v>-</v>
      </c>
      <c r="AS1311" s="17" t="str">
        <f t="shared" si="415"/>
        <v>-</v>
      </c>
      <c r="AT1311" s="13" t="str">
        <f t="shared" si="416"/>
        <v>-</v>
      </c>
      <c r="AU1311" s="8"/>
    </row>
    <row r="1312" spans="8:47" x14ac:dyDescent="0.25">
      <c r="H1312" s="27">
        <f>IF($G1312&lt;&gt;0,SUMIF(куб!$G:$G,$G1312,куб!H:H),IF($E1312&lt;&gt;0,SUMIF(куб!$E:$E,$E1312,куб!H:H),IF($D1312&lt;&gt;0,SUMIF(куб!$D:$D,$D1312,куб!H:H),IF($C1312&lt;&gt;0,SUMIF(куб!$C:$C,$C1312,куб!H:H),IF($B1312&lt;&gt;0,SUMIF(куб!$B:$B,$B1312,куб!H:H),IF($G1312&lt;&gt;0,SUMIF(куб!$A:$A,$G1312,куб!H:H),SUMIF(куб!$A:$A,$G1312,куб!H:H)))))))</f>
        <v>0</v>
      </c>
      <c r="I1312" s="27">
        <f>IF($G1312&lt;&gt;0,SUMIF(куб!$G:$G,$G1312,куб!I:I),IF($E1312&lt;&gt;0,SUMIF(куб!$E:$E,$E1312,куб!I:I),IF($D1312&lt;&gt;0,SUMIF(куб!$D:$D,$D1312,куб!I:I),IF($C1312&lt;&gt;0,SUMIF(куб!$C:$C,$C1312,куб!I:I),IF($B1312&lt;&gt;0,SUMIF(куб!$B:$B,$B1312,куб!I:I),IF($G1312&lt;&gt;0,SUMIF(куб!$A:$A,$G1312,куб!I:I),SUMIF(куб!$A:$A,$G1312,куб!I:I)))))))</f>
        <v>0</v>
      </c>
      <c r="J1312" s="19" t="str">
        <f t="shared" si="399"/>
        <v>-</v>
      </c>
      <c r="K1312" s="8"/>
      <c r="L1312" s="17">
        <f t="shared" si="400"/>
        <v>0</v>
      </c>
      <c r="M1312" s="17">
        <f t="shared" si="401"/>
        <v>0</v>
      </c>
      <c r="N1312" s="12">
        <f t="shared" si="402"/>
        <v>0</v>
      </c>
      <c r="O1312" s="5"/>
      <c r="P1312" s="27" t="b">
        <f>IF($G1312&lt;&gt;0,SUMIF(куб!$G:$G,$G1312,куб!J:J),IF($E1312&lt;&gt;0,SUMIF(куб!$E:$E,$E1312,куб!J:J),IF($D1312&lt;&gt;0,SUMIF(куб!$D:$D,$D1312,куб!J:J),IF($C1312&lt;&gt;0,SUMIF(куб!$C:$C,$C1312,куб!J:J),IF($B1312&lt;&gt;0,SUMIF(куб!$B:$B,$B1312,куб!J:J))))))</f>
        <v>0</v>
      </c>
      <c r="Q1312" s="27" t="b">
        <f>IF($G1312&lt;&gt;0,SUMIF(куб!$G:$G,$G1312,куб!K:K),IF($E1312&lt;&gt;0,SUMIF(куб!$E:$E,$E1312,куб!K:K),IF($D1312&lt;&gt;0,SUMIF(куб!$D:$D,$D1312,куб!K:K),IF($C1312&lt;&gt;0,SUMIF(куб!$C:$C,$C1312,куб!K:K),IF($B1312&lt;&gt;0,SUMIF(куб!$B:$B,$B1312,куб!K:K))))))</f>
        <v>0</v>
      </c>
      <c r="R1312" s="13" t="str">
        <f t="shared" si="403"/>
        <v>-</v>
      </c>
      <c r="S1312" s="5"/>
      <c r="T1312" s="27" t="b">
        <f>IF($G1312&lt;&gt;0,SUMIF(куб!$G:$G,$G1312,куб!L:L),IF($E1312&lt;&gt;0,SUMIF(куб!$E:$E,$E1312,куб!L:L),IF($D1312&lt;&gt;0,SUMIF(куб!$D:$D,$D1312,куб!L:L),IF($C1312&lt;&gt;0,SUMIF(куб!$C:$C,$C1312,куб!L:L),IF($B1312&lt;&gt;0,SUMIF(куб!$B:$B,$B1312,куб!L:L))))))</f>
        <v>0</v>
      </c>
      <c r="U1312" s="27" t="b">
        <f>IF($G1312&lt;&gt;0,SUMIF(куб!$G:$G,$G1312,куб!M:M),IF($E1312&lt;&gt;0,SUMIF(куб!$E:$E,$E1312,куб!M:M),IF($D1312&lt;&gt;0,SUMIF(куб!$D:$D,$D1312,куб!M:M),IF($C1312&lt;&gt;0,SUMIF(куб!$C:$C,$C1312,куб!M:M),IF($B1312&lt;&gt;0,SUMIF(куб!$B:$B,$B1312,куб!M:M))))))</f>
        <v>0</v>
      </c>
      <c r="V1312" s="13" t="str">
        <f t="shared" si="404"/>
        <v>-</v>
      </c>
      <c r="W1312" s="5"/>
      <c r="X1312" s="27" t="b">
        <f>IF($G1312&lt;&gt;0,SUMIF(куб!$G:$G,$G1312,куб!N:N),IF($E1312&lt;&gt;0,SUMIF(куб!$E:$E,$E1312,куб!N:N),IF($D1312&lt;&gt;0,SUMIF(куб!$D:$D,$D1312,куб!N:N),IF($C1312&lt;&gt;0,SUMIF(куб!$C:$C,$C1312,куб!N:N),IF($B1312&lt;&gt;0,SUMIF(куб!$B:$B,$B1312,куб!N:N))))))</f>
        <v>0</v>
      </c>
      <c r="Y1312" s="27" t="b">
        <f>IF($G1312&lt;&gt;0,SUMIF(куб!$G:$G,$G1312,куб!O:O),IF($E1312&lt;&gt;0,SUMIF(куб!$E:$E,$E1312,куб!O:O),IF($D1312&lt;&gt;0,SUMIF(куб!$D:$D,$D1312,куб!O:O),IF($C1312&lt;&gt;0,SUMIF(куб!$C:$C,$C1312,куб!O:O),IF($B1312&lt;&gt;0,SUMIF(куб!$B:$B,$B1312,куб!O:O))))))</f>
        <v>0</v>
      </c>
      <c r="Z1312" s="13" t="str">
        <f t="shared" si="405"/>
        <v>-</v>
      </c>
      <c r="AA1312" s="5"/>
      <c r="AB1312" s="33" t="str">
        <f t="shared" si="406"/>
        <v/>
      </c>
      <c r="AC1312" s="33" t="str">
        <f t="shared" si="407"/>
        <v/>
      </c>
      <c r="AD1312" s="15" t="str">
        <f t="shared" si="408"/>
        <v xml:space="preserve"> </v>
      </c>
      <c r="AE1312" s="5"/>
      <c r="AF1312" s="27" t="b">
        <f>IF($G1312&lt;&gt;0,SUMIF(куб!$G:$G,$G1312,куб!R:R),IF($E1312&lt;&gt;0,SUMIF(куб!$E:$E,$E1312,куб!R:R),IF($D1312&lt;&gt;0,SUMIF(куб!$D:$D,$D1312,куб!R:R),IF($C1312&lt;&gt;0,SUMIF(куб!$C:$C,$C1312,куб!R:R),IF($B1312&lt;&gt;0,SUMIF(куб!$B:$B,$B1312,куб!R:R))))))</f>
        <v>0</v>
      </c>
      <c r="AG1312" s="27" t="b">
        <f>IF($G1312&lt;&gt;0,SUMIF(куб!$G:$G,$G1312,куб!S:S),IF($E1312&lt;&gt;0,SUMIF(куб!$E:$E,$E1312,куб!S:S),IF($D1312&lt;&gt;0,SUMIF(куб!$D:$D,$D1312,куб!S:S),IF($C1312&lt;&gt;0,SUMIF(куб!$C:$C,$C1312,куб!S:S),IF($B1312&lt;&gt;0,SUMIF(куб!$B:$B,$B1312,куб!S:S))))))</f>
        <v>0</v>
      </c>
      <c r="AH1312" s="16" t="str">
        <f t="shared" si="409"/>
        <v>-</v>
      </c>
      <c r="AI1312" s="8"/>
      <c r="AJ1312" s="27" t="b">
        <f>IF($G1312&lt;&gt;0,SUMIF(куб!$G:$G,$G1312,куб!T:T),IF($E1312&lt;&gt;0,SUMIF(куб!$E:$E,$E1312,куб!T:T),IF($D1312&lt;&gt;0,SUMIF(куб!$D:$D,$D1312,куб!T:T),IF($C1312&lt;&gt;0,SUMIF(куб!$C:$C,$C1312,куб!T:T),IF($B1312&lt;&gt;0,SUMIF(куб!$B:$B,$B1312,куб!T:T))))))</f>
        <v>0</v>
      </c>
      <c r="AK1312" s="27" t="b">
        <f>IF($G1312&lt;&gt;0,SUMIF(куб!$G:$G,$G1312,куб!U:U),IF($E1312&lt;&gt;0,SUMIF(куб!$E:$E,$E1312,куб!U:U),IF($D1312&lt;&gt;0,SUMIF(куб!$D:$D,$D1312,куб!U:U),IF($C1312&lt;&gt;0,SUMIF(куб!$C:$C,$C1312,куб!U:U),IF($B1312&lt;&gt;0,SUMIF(куб!$B:$B,$B1312,куб!U:U))))))</f>
        <v>0</v>
      </c>
      <c r="AL1312" s="16" t="str">
        <f t="shared" si="410"/>
        <v>-</v>
      </c>
      <c r="AM1312" s="8"/>
      <c r="AN1312" s="17" t="str">
        <f t="shared" si="411"/>
        <v xml:space="preserve"> </v>
      </c>
      <c r="AO1312" s="17" t="str">
        <f t="shared" si="412"/>
        <v xml:space="preserve"> </v>
      </c>
      <c r="AP1312" s="16" t="str">
        <f t="shared" si="413"/>
        <v>-</v>
      </c>
      <c r="AQ1312" s="8"/>
      <c r="AR1312" s="17" t="str">
        <f t="shared" si="414"/>
        <v>-</v>
      </c>
      <c r="AS1312" s="17" t="str">
        <f t="shared" si="415"/>
        <v>-</v>
      </c>
      <c r="AT1312" s="13" t="str">
        <f t="shared" si="416"/>
        <v>-</v>
      </c>
      <c r="AU1312" s="8"/>
    </row>
    <row r="1313" spans="8:47" x14ac:dyDescent="0.25">
      <c r="H1313" s="27">
        <f>IF($G1313&lt;&gt;0,SUMIF(куб!$G:$G,$G1313,куб!H:H),IF($E1313&lt;&gt;0,SUMIF(куб!$E:$E,$E1313,куб!H:H),IF($D1313&lt;&gt;0,SUMIF(куб!$D:$D,$D1313,куб!H:H),IF($C1313&lt;&gt;0,SUMIF(куб!$C:$C,$C1313,куб!H:H),IF($B1313&lt;&gt;0,SUMIF(куб!$B:$B,$B1313,куб!H:H),IF($G1313&lt;&gt;0,SUMIF(куб!$A:$A,$G1313,куб!H:H),SUMIF(куб!$A:$A,$G1313,куб!H:H)))))))</f>
        <v>0</v>
      </c>
      <c r="I1313" s="27">
        <f>IF($G1313&lt;&gt;0,SUMIF(куб!$G:$G,$G1313,куб!I:I),IF($E1313&lt;&gt;0,SUMIF(куб!$E:$E,$E1313,куб!I:I),IF($D1313&lt;&gt;0,SUMIF(куб!$D:$D,$D1313,куб!I:I),IF($C1313&lt;&gt;0,SUMIF(куб!$C:$C,$C1313,куб!I:I),IF($B1313&lt;&gt;0,SUMIF(куб!$B:$B,$B1313,куб!I:I),IF($G1313&lt;&gt;0,SUMIF(куб!$A:$A,$G1313,куб!I:I),SUMIF(куб!$A:$A,$G1313,куб!I:I)))))))</f>
        <v>0</v>
      </c>
      <c r="J1313" s="19" t="str">
        <f t="shared" si="399"/>
        <v>-</v>
      </c>
      <c r="K1313" s="8"/>
      <c r="L1313" s="17">
        <f t="shared" si="400"/>
        <v>0</v>
      </c>
      <c r="M1313" s="17">
        <f t="shared" si="401"/>
        <v>0</v>
      </c>
      <c r="N1313" s="12">
        <f t="shared" si="402"/>
        <v>0</v>
      </c>
      <c r="O1313" s="5"/>
      <c r="P1313" s="27" t="b">
        <f>IF($G1313&lt;&gt;0,SUMIF(куб!$G:$G,$G1313,куб!J:J),IF($E1313&lt;&gt;0,SUMIF(куб!$E:$E,$E1313,куб!J:J),IF($D1313&lt;&gt;0,SUMIF(куб!$D:$D,$D1313,куб!J:J),IF($C1313&lt;&gt;0,SUMIF(куб!$C:$C,$C1313,куб!J:J),IF($B1313&lt;&gt;0,SUMIF(куб!$B:$B,$B1313,куб!J:J))))))</f>
        <v>0</v>
      </c>
      <c r="Q1313" s="27" t="b">
        <f>IF($G1313&lt;&gt;0,SUMIF(куб!$G:$G,$G1313,куб!K:K),IF($E1313&lt;&gt;0,SUMIF(куб!$E:$E,$E1313,куб!K:K),IF($D1313&lt;&gt;0,SUMIF(куб!$D:$D,$D1313,куб!K:K),IF($C1313&lt;&gt;0,SUMIF(куб!$C:$C,$C1313,куб!K:K),IF($B1313&lt;&gt;0,SUMIF(куб!$B:$B,$B1313,куб!K:K))))))</f>
        <v>0</v>
      </c>
      <c r="R1313" s="13" t="str">
        <f t="shared" si="403"/>
        <v>-</v>
      </c>
      <c r="S1313" s="5"/>
      <c r="T1313" s="27" t="b">
        <f>IF($G1313&lt;&gt;0,SUMIF(куб!$G:$G,$G1313,куб!L:L),IF($E1313&lt;&gt;0,SUMIF(куб!$E:$E,$E1313,куб!L:L),IF($D1313&lt;&gt;0,SUMIF(куб!$D:$D,$D1313,куб!L:L),IF($C1313&lt;&gt;0,SUMIF(куб!$C:$C,$C1313,куб!L:L),IF($B1313&lt;&gt;0,SUMIF(куб!$B:$B,$B1313,куб!L:L))))))</f>
        <v>0</v>
      </c>
      <c r="U1313" s="27" t="b">
        <f>IF($G1313&lt;&gt;0,SUMIF(куб!$G:$G,$G1313,куб!M:M),IF($E1313&lt;&gt;0,SUMIF(куб!$E:$E,$E1313,куб!M:M),IF($D1313&lt;&gt;0,SUMIF(куб!$D:$D,$D1313,куб!M:M),IF($C1313&lt;&gt;0,SUMIF(куб!$C:$C,$C1313,куб!M:M),IF($B1313&lt;&gt;0,SUMIF(куб!$B:$B,$B1313,куб!M:M))))))</f>
        <v>0</v>
      </c>
      <c r="V1313" s="13" t="str">
        <f t="shared" si="404"/>
        <v>-</v>
      </c>
      <c r="W1313" s="5"/>
      <c r="X1313" s="27" t="b">
        <f>IF($G1313&lt;&gt;0,SUMIF(куб!$G:$G,$G1313,куб!N:N),IF($E1313&lt;&gt;0,SUMIF(куб!$E:$E,$E1313,куб!N:N),IF($D1313&lt;&gt;0,SUMIF(куб!$D:$D,$D1313,куб!N:N),IF($C1313&lt;&gt;0,SUMIF(куб!$C:$C,$C1313,куб!N:N),IF($B1313&lt;&gt;0,SUMIF(куб!$B:$B,$B1313,куб!N:N))))))</f>
        <v>0</v>
      </c>
      <c r="Y1313" s="27" t="b">
        <f>IF($G1313&lt;&gt;0,SUMIF(куб!$G:$G,$G1313,куб!O:O),IF($E1313&lt;&gt;0,SUMIF(куб!$E:$E,$E1313,куб!O:O),IF($D1313&lt;&gt;0,SUMIF(куб!$D:$D,$D1313,куб!O:O),IF($C1313&lt;&gt;0,SUMIF(куб!$C:$C,$C1313,куб!O:O),IF($B1313&lt;&gt;0,SUMIF(куб!$B:$B,$B1313,куб!O:O))))))</f>
        <v>0</v>
      </c>
      <c r="Z1313" s="13" t="str">
        <f t="shared" si="405"/>
        <v>-</v>
      </c>
      <c r="AA1313" s="5"/>
      <c r="AB1313" s="33" t="str">
        <f t="shared" si="406"/>
        <v/>
      </c>
      <c r="AC1313" s="33" t="str">
        <f t="shared" si="407"/>
        <v/>
      </c>
      <c r="AD1313" s="15" t="str">
        <f t="shared" si="408"/>
        <v xml:space="preserve"> </v>
      </c>
      <c r="AE1313" s="5"/>
      <c r="AF1313" s="27" t="b">
        <f>IF($G1313&lt;&gt;0,SUMIF(куб!$G:$G,$G1313,куб!R:R),IF($E1313&lt;&gt;0,SUMIF(куб!$E:$E,$E1313,куб!R:R),IF($D1313&lt;&gt;0,SUMIF(куб!$D:$D,$D1313,куб!R:R),IF($C1313&lt;&gt;0,SUMIF(куб!$C:$C,$C1313,куб!R:R),IF($B1313&lt;&gt;0,SUMIF(куб!$B:$B,$B1313,куб!R:R))))))</f>
        <v>0</v>
      </c>
      <c r="AG1313" s="27" t="b">
        <f>IF($G1313&lt;&gt;0,SUMIF(куб!$G:$G,$G1313,куб!S:S),IF($E1313&lt;&gt;0,SUMIF(куб!$E:$E,$E1313,куб!S:S),IF($D1313&lt;&gt;0,SUMIF(куб!$D:$D,$D1313,куб!S:S),IF($C1313&lt;&gt;0,SUMIF(куб!$C:$C,$C1313,куб!S:S),IF($B1313&lt;&gt;0,SUMIF(куб!$B:$B,$B1313,куб!S:S))))))</f>
        <v>0</v>
      </c>
      <c r="AH1313" s="16" t="str">
        <f t="shared" si="409"/>
        <v>-</v>
      </c>
      <c r="AI1313" s="8"/>
      <c r="AJ1313" s="27" t="b">
        <f>IF($G1313&lt;&gt;0,SUMIF(куб!$G:$G,$G1313,куб!T:T),IF($E1313&lt;&gt;0,SUMIF(куб!$E:$E,$E1313,куб!T:T),IF($D1313&lt;&gt;0,SUMIF(куб!$D:$D,$D1313,куб!T:T),IF($C1313&lt;&gt;0,SUMIF(куб!$C:$C,$C1313,куб!T:T),IF($B1313&lt;&gt;0,SUMIF(куб!$B:$B,$B1313,куб!T:T))))))</f>
        <v>0</v>
      </c>
      <c r="AK1313" s="27" t="b">
        <f>IF($G1313&lt;&gt;0,SUMIF(куб!$G:$G,$G1313,куб!U:U),IF($E1313&lt;&gt;0,SUMIF(куб!$E:$E,$E1313,куб!U:U),IF($D1313&lt;&gt;0,SUMIF(куб!$D:$D,$D1313,куб!U:U),IF($C1313&lt;&gt;0,SUMIF(куб!$C:$C,$C1313,куб!U:U),IF($B1313&lt;&gt;0,SUMIF(куб!$B:$B,$B1313,куб!U:U))))))</f>
        <v>0</v>
      </c>
      <c r="AL1313" s="16" t="str">
        <f t="shared" si="410"/>
        <v>-</v>
      </c>
      <c r="AM1313" s="8"/>
      <c r="AN1313" s="17" t="str">
        <f t="shared" si="411"/>
        <v xml:space="preserve"> </v>
      </c>
      <c r="AO1313" s="17" t="str">
        <f t="shared" si="412"/>
        <v xml:space="preserve"> </v>
      </c>
      <c r="AP1313" s="16" t="str">
        <f t="shared" si="413"/>
        <v>-</v>
      </c>
      <c r="AQ1313" s="8"/>
      <c r="AR1313" s="17" t="str">
        <f t="shared" si="414"/>
        <v>-</v>
      </c>
      <c r="AS1313" s="17" t="str">
        <f t="shared" si="415"/>
        <v>-</v>
      </c>
      <c r="AT1313" s="13" t="str">
        <f t="shared" si="416"/>
        <v>-</v>
      </c>
      <c r="AU1313" s="8"/>
    </row>
    <row r="1314" spans="8:47" x14ac:dyDescent="0.25">
      <c r="H1314" s="27">
        <f>IF($G1314&lt;&gt;0,SUMIF(куб!$G:$G,$G1314,куб!H:H),IF($E1314&lt;&gt;0,SUMIF(куб!$E:$E,$E1314,куб!H:H),IF($D1314&lt;&gt;0,SUMIF(куб!$D:$D,$D1314,куб!H:H),IF($C1314&lt;&gt;0,SUMIF(куб!$C:$C,$C1314,куб!H:H),IF($B1314&lt;&gt;0,SUMIF(куб!$B:$B,$B1314,куб!H:H),IF($G1314&lt;&gt;0,SUMIF(куб!$A:$A,$G1314,куб!H:H),SUMIF(куб!$A:$A,$G1314,куб!H:H)))))))</f>
        <v>0</v>
      </c>
      <c r="I1314" s="27">
        <f>IF($G1314&lt;&gt;0,SUMIF(куб!$G:$G,$G1314,куб!I:I),IF($E1314&lt;&gt;0,SUMIF(куб!$E:$E,$E1314,куб!I:I),IF($D1314&lt;&gt;0,SUMIF(куб!$D:$D,$D1314,куб!I:I),IF($C1314&lt;&gt;0,SUMIF(куб!$C:$C,$C1314,куб!I:I),IF($B1314&lt;&gt;0,SUMIF(куб!$B:$B,$B1314,куб!I:I),IF($G1314&lt;&gt;0,SUMIF(куб!$A:$A,$G1314,куб!I:I),SUMIF(куб!$A:$A,$G1314,куб!I:I)))))))</f>
        <v>0</v>
      </c>
      <c r="J1314" s="19" t="str">
        <f t="shared" si="399"/>
        <v>-</v>
      </c>
      <c r="K1314" s="8"/>
      <c r="L1314" s="17">
        <f t="shared" si="400"/>
        <v>0</v>
      </c>
      <c r="M1314" s="17">
        <f t="shared" si="401"/>
        <v>0</v>
      </c>
      <c r="N1314" s="12">
        <f t="shared" si="402"/>
        <v>0</v>
      </c>
      <c r="O1314" s="5"/>
      <c r="P1314" s="27" t="b">
        <f>IF($G1314&lt;&gt;0,SUMIF(куб!$G:$G,$G1314,куб!J:J),IF($E1314&lt;&gt;0,SUMIF(куб!$E:$E,$E1314,куб!J:J),IF($D1314&lt;&gt;0,SUMIF(куб!$D:$D,$D1314,куб!J:J),IF($C1314&lt;&gt;0,SUMIF(куб!$C:$C,$C1314,куб!J:J),IF($B1314&lt;&gt;0,SUMIF(куб!$B:$B,$B1314,куб!J:J))))))</f>
        <v>0</v>
      </c>
      <c r="Q1314" s="27" t="b">
        <f>IF($G1314&lt;&gt;0,SUMIF(куб!$G:$G,$G1314,куб!K:K),IF($E1314&lt;&gt;0,SUMIF(куб!$E:$E,$E1314,куб!K:K),IF($D1314&lt;&gt;0,SUMIF(куб!$D:$D,$D1314,куб!K:K),IF($C1314&lt;&gt;0,SUMIF(куб!$C:$C,$C1314,куб!K:K),IF($B1314&lt;&gt;0,SUMIF(куб!$B:$B,$B1314,куб!K:K))))))</f>
        <v>0</v>
      </c>
      <c r="R1314" s="13" t="str">
        <f t="shared" si="403"/>
        <v>-</v>
      </c>
      <c r="S1314" s="5"/>
      <c r="T1314" s="27" t="b">
        <f>IF($G1314&lt;&gt;0,SUMIF(куб!$G:$G,$G1314,куб!L:L),IF($E1314&lt;&gt;0,SUMIF(куб!$E:$E,$E1314,куб!L:L),IF($D1314&lt;&gt;0,SUMIF(куб!$D:$D,$D1314,куб!L:L),IF($C1314&lt;&gt;0,SUMIF(куб!$C:$C,$C1314,куб!L:L),IF($B1314&lt;&gt;0,SUMIF(куб!$B:$B,$B1314,куб!L:L))))))</f>
        <v>0</v>
      </c>
      <c r="U1314" s="27" t="b">
        <f>IF($G1314&lt;&gt;0,SUMIF(куб!$G:$G,$G1314,куб!M:M),IF($E1314&lt;&gt;0,SUMIF(куб!$E:$E,$E1314,куб!M:M),IF($D1314&lt;&gt;0,SUMIF(куб!$D:$D,$D1314,куб!M:M),IF($C1314&lt;&gt;0,SUMIF(куб!$C:$C,$C1314,куб!M:M),IF($B1314&lt;&gt;0,SUMIF(куб!$B:$B,$B1314,куб!M:M))))))</f>
        <v>0</v>
      </c>
      <c r="V1314" s="13" t="str">
        <f t="shared" si="404"/>
        <v>-</v>
      </c>
      <c r="W1314" s="5"/>
      <c r="X1314" s="27" t="b">
        <f>IF($G1314&lt;&gt;0,SUMIF(куб!$G:$G,$G1314,куб!N:N),IF($E1314&lt;&gt;0,SUMIF(куб!$E:$E,$E1314,куб!N:N),IF($D1314&lt;&gt;0,SUMIF(куб!$D:$D,$D1314,куб!N:N),IF($C1314&lt;&gt;0,SUMIF(куб!$C:$C,$C1314,куб!N:N),IF($B1314&lt;&gt;0,SUMIF(куб!$B:$B,$B1314,куб!N:N))))))</f>
        <v>0</v>
      </c>
      <c r="Y1314" s="27" t="b">
        <f>IF($G1314&lt;&gt;0,SUMIF(куб!$G:$G,$G1314,куб!O:O),IF($E1314&lt;&gt;0,SUMIF(куб!$E:$E,$E1314,куб!O:O),IF($D1314&lt;&gt;0,SUMIF(куб!$D:$D,$D1314,куб!O:O),IF($C1314&lt;&gt;0,SUMIF(куб!$C:$C,$C1314,куб!O:O),IF($B1314&lt;&gt;0,SUMIF(куб!$B:$B,$B1314,куб!O:O))))))</f>
        <v>0</v>
      </c>
      <c r="Z1314" s="13" t="str">
        <f t="shared" si="405"/>
        <v>-</v>
      </c>
      <c r="AA1314" s="5"/>
      <c r="AB1314" s="33" t="str">
        <f t="shared" si="406"/>
        <v/>
      </c>
      <c r="AC1314" s="33" t="str">
        <f t="shared" si="407"/>
        <v/>
      </c>
      <c r="AD1314" s="15" t="str">
        <f t="shared" si="408"/>
        <v xml:space="preserve"> </v>
      </c>
      <c r="AE1314" s="5"/>
      <c r="AF1314" s="27" t="b">
        <f>IF($G1314&lt;&gt;0,SUMIF(куб!$G:$G,$G1314,куб!R:R),IF($E1314&lt;&gt;0,SUMIF(куб!$E:$E,$E1314,куб!R:R),IF($D1314&lt;&gt;0,SUMIF(куб!$D:$D,$D1314,куб!R:R),IF($C1314&lt;&gt;0,SUMIF(куб!$C:$C,$C1314,куб!R:R),IF($B1314&lt;&gt;0,SUMIF(куб!$B:$B,$B1314,куб!R:R))))))</f>
        <v>0</v>
      </c>
      <c r="AG1314" s="27" t="b">
        <f>IF($G1314&lt;&gt;0,SUMIF(куб!$G:$G,$G1314,куб!S:S),IF($E1314&lt;&gt;0,SUMIF(куб!$E:$E,$E1314,куб!S:S),IF($D1314&lt;&gt;0,SUMIF(куб!$D:$D,$D1314,куб!S:S),IF($C1314&lt;&gt;0,SUMIF(куб!$C:$C,$C1314,куб!S:S),IF($B1314&lt;&gt;0,SUMIF(куб!$B:$B,$B1314,куб!S:S))))))</f>
        <v>0</v>
      </c>
      <c r="AH1314" s="16" t="str">
        <f t="shared" si="409"/>
        <v>-</v>
      </c>
      <c r="AI1314" s="8"/>
      <c r="AJ1314" s="27" t="b">
        <f>IF($G1314&lt;&gt;0,SUMIF(куб!$G:$G,$G1314,куб!T:T),IF($E1314&lt;&gt;0,SUMIF(куб!$E:$E,$E1314,куб!T:T),IF($D1314&lt;&gt;0,SUMIF(куб!$D:$D,$D1314,куб!T:T),IF($C1314&lt;&gt;0,SUMIF(куб!$C:$C,$C1314,куб!T:T),IF($B1314&lt;&gt;0,SUMIF(куб!$B:$B,$B1314,куб!T:T))))))</f>
        <v>0</v>
      </c>
      <c r="AK1314" s="27" t="b">
        <f>IF($G1314&lt;&gt;0,SUMIF(куб!$G:$G,$G1314,куб!U:U),IF($E1314&lt;&gt;0,SUMIF(куб!$E:$E,$E1314,куб!U:U),IF($D1314&lt;&gt;0,SUMIF(куб!$D:$D,$D1314,куб!U:U),IF($C1314&lt;&gt;0,SUMIF(куб!$C:$C,$C1314,куб!U:U),IF($B1314&lt;&gt;0,SUMIF(куб!$B:$B,$B1314,куб!U:U))))))</f>
        <v>0</v>
      </c>
      <c r="AL1314" s="16" t="str">
        <f t="shared" si="410"/>
        <v>-</v>
      </c>
      <c r="AM1314" s="8"/>
      <c r="AN1314" s="17" t="str">
        <f t="shared" si="411"/>
        <v xml:space="preserve"> </v>
      </c>
      <c r="AO1314" s="17" t="str">
        <f t="shared" si="412"/>
        <v xml:space="preserve"> </v>
      </c>
      <c r="AP1314" s="16" t="str">
        <f t="shared" si="413"/>
        <v>-</v>
      </c>
      <c r="AQ1314" s="8"/>
      <c r="AR1314" s="17" t="str">
        <f t="shared" si="414"/>
        <v>-</v>
      </c>
      <c r="AS1314" s="17" t="str">
        <f t="shared" si="415"/>
        <v>-</v>
      </c>
      <c r="AT1314" s="13" t="str">
        <f t="shared" si="416"/>
        <v>-</v>
      </c>
      <c r="AU1314" s="8"/>
    </row>
    <row r="1315" spans="8:47" x14ac:dyDescent="0.25">
      <c r="H1315" s="27">
        <f>IF($G1315&lt;&gt;0,SUMIF(куб!$G:$G,$G1315,куб!H:H),IF($E1315&lt;&gt;0,SUMIF(куб!$E:$E,$E1315,куб!H:H),IF($D1315&lt;&gt;0,SUMIF(куб!$D:$D,$D1315,куб!H:H),IF($C1315&lt;&gt;0,SUMIF(куб!$C:$C,$C1315,куб!H:H),IF($B1315&lt;&gt;0,SUMIF(куб!$B:$B,$B1315,куб!H:H),IF($G1315&lt;&gt;0,SUMIF(куб!$A:$A,$G1315,куб!H:H),SUMIF(куб!$A:$A,$G1315,куб!H:H)))))))</f>
        <v>0</v>
      </c>
      <c r="I1315" s="27">
        <f>IF($G1315&lt;&gt;0,SUMIF(куб!$G:$G,$G1315,куб!I:I),IF($E1315&lt;&gt;0,SUMIF(куб!$E:$E,$E1315,куб!I:I),IF($D1315&lt;&gt;0,SUMIF(куб!$D:$D,$D1315,куб!I:I),IF($C1315&lt;&gt;0,SUMIF(куб!$C:$C,$C1315,куб!I:I),IF($B1315&lt;&gt;0,SUMIF(куб!$B:$B,$B1315,куб!I:I),IF($G1315&lt;&gt;0,SUMIF(куб!$A:$A,$G1315,куб!I:I),SUMIF(куб!$A:$A,$G1315,куб!I:I)))))))</f>
        <v>0</v>
      </c>
      <c r="J1315" s="19" t="str">
        <f t="shared" si="399"/>
        <v>-</v>
      </c>
      <c r="K1315" s="8"/>
      <c r="L1315" s="17">
        <f t="shared" si="400"/>
        <v>0</v>
      </c>
      <c r="M1315" s="17">
        <f t="shared" si="401"/>
        <v>0</v>
      </c>
      <c r="N1315" s="12">
        <f t="shared" si="402"/>
        <v>0</v>
      </c>
      <c r="O1315" s="5"/>
      <c r="P1315" s="27" t="b">
        <f>IF($G1315&lt;&gt;0,SUMIF(куб!$G:$G,$G1315,куб!J:J),IF($E1315&lt;&gt;0,SUMIF(куб!$E:$E,$E1315,куб!J:J),IF($D1315&lt;&gt;0,SUMIF(куб!$D:$D,$D1315,куб!J:J),IF($C1315&lt;&gt;0,SUMIF(куб!$C:$C,$C1315,куб!J:J),IF($B1315&lt;&gt;0,SUMIF(куб!$B:$B,$B1315,куб!J:J))))))</f>
        <v>0</v>
      </c>
      <c r="Q1315" s="27" t="b">
        <f>IF($G1315&lt;&gt;0,SUMIF(куб!$G:$G,$G1315,куб!K:K),IF($E1315&lt;&gt;0,SUMIF(куб!$E:$E,$E1315,куб!K:K),IF($D1315&lt;&gt;0,SUMIF(куб!$D:$D,$D1315,куб!K:K),IF($C1315&lt;&gt;0,SUMIF(куб!$C:$C,$C1315,куб!K:K),IF($B1315&lt;&gt;0,SUMIF(куб!$B:$B,$B1315,куб!K:K))))))</f>
        <v>0</v>
      </c>
      <c r="R1315" s="13" t="str">
        <f t="shared" si="403"/>
        <v>-</v>
      </c>
      <c r="S1315" s="5"/>
      <c r="T1315" s="27" t="b">
        <f>IF($G1315&lt;&gt;0,SUMIF(куб!$G:$G,$G1315,куб!L:L),IF($E1315&lt;&gt;0,SUMIF(куб!$E:$E,$E1315,куб!L:L),IF($D1315&lt;&gt;0,SUMIF(куб!$D:$D,$D1315,куб!L:L),IF($C1315&lt;&gt;0,SUMIF(куб!$C:$C,$C1315,куб!L:L),IF($B1315&lt;&gt;0,SUMIF(куб!$B:$B,$B1315,куб!L:L))))))</f>
        <v>0</v>
      </c>
      <c r="U1315" s="27" t="b">
        <f>IF($G1315&lt;&gt;0,SUMIF(куб!$G:$G,$G1315,куб!M:M),IF($E1315&lt;&gt;0,SUMIF(куб!$E:$E,$E1315,куб!M:M),IF($D1315&lt;&gt;0,SUMIF(куб!$D:$D,$D1315,куб!M:M),IF($C1315&lt;&gt;0,SUMIF(куб!$C:$C,$C1315,куб!M:M),IF($B1315&lt;&gt;0,SUMIF(куб!$B:$B,$B1315,куб!M:M))))))</f>
        <v>0</v>
      </c>
      <c r="V1315" s="13" t="str">
        <f t="shared" si="404"/>
        <v>-</v>
      </c>
      <c r="W1315" s="5"/>
      <c r="X1315" s="27" t="b">
        <f>IF($G1315&lt;&gt;0,SUMIF(куб!$G:$G,$G1315,куб!N:N),IF($E1315&lt;&gt;0,SUMIF(куб!$E:$E,$E1315,куб!N:N),IF($D1315&lt;&gt;0,SUMIF(куб!$D:$D,$D1315,куб!N:N),IF($C1315&lt;&gt;0,SUMIF(куб!$C:$C,$C1315,куб!N:N),IF($B1315&lt;&gt;0,SUMIF(куб!$B:$B,$B1315,куб!N:N))))))</f>
        <v>0</v>
      </c>
      <c r="Y1315" s="27" t="b">
        <f>IF($G1315&lt;&gt;0,SUMIF(куб!$G:$G,$G1315,куб!O:O),IF($E1315&lt;&gt;0,SUMIF(куб!$E:$E,$E1315,куб!O:O),IF($D1315&lt;&gt;0,SUMIF(куб!$D:$D,$D1315,куб!O:O),IF($C1315&lt;&gt;0,SUMIF(куб!$C:$C,$C1315,куб!O:O),IF($B1315&lt;&gt;0,SUMIF(куб!$B:$B,$B1315,куб!O:O))))))</f>
        <v>0</v>
      </c>
      <c r="Z1315" s="13" t="str">
        <f t="shared" si="405"/>
        <v>-</v>
      </c>
      <c r="AA1315" s="5"/>
      <c r="AB1315" s="33" t="str">
        <f t="shared" si="406"/>
        <v/>
      </c>
      <c r="AC1315" s="33" t="str">
        <f t="shared" si="407"/>
        <v/>
      </c>
      <c r="AD1315" s="15" t="str">
        <f t="shared" si="408"/>
        <v xml:space="preserve"> </v>
      </c>
      <c r="AE1315" s="5"/>
      <c r="AF1315" s="27" t="b">
        <f>IF($G1315&lt;&gt;0,SUMIF(куб!$G:$G,$G1315,куб!R:R),IF($E1315&lt;&gt;0,SUMIF(куб!$E:$E,$E1315,куб!R:R),IF($D1315&lt;&gt;0,SUMIF(куб!$D:$D,$D1315,куб!R:R),IF($C1315&lt;&gt;0,SUMIF(куб!$C:$C,$C1315,куб!R:R),IF($B1315&lt;&gt;0,SUMIF(куб!$B:$B,$B1315,куб!R:R))))))</f>
        <v>0</v>
      </c>
      <c r="AG1315" s="27" t="b">
        <f>IF($G1315&lt;&gt;0,SUMIF(куб!$G:$G,$G1315,куб!S:S),IF($E1315&lt;&gt;0,SUMIF(куб!$E:$E,$E1315,куб!S:S),IF($D1315&lt;&gt;0,SUMIF(куб!$D:$D,$D1315,куб!S:S),IF($C1315&lt;&gt;0,SUMIF(куб!$C:$C,$C1315,куб!S:S),IF($B1315&lt;&gt;0,SUMIF(куб!$B:$B,$B1315,куб!S:S))))))</f>
        <v>0</v>
      </c>
      <c r="AH1315" s="16" t="str">
        <f t="shared" si="409"/>
        <v>-</v>
      </c>
      <c r="AI1315" s="8"/>
      <c r="AJ1315" s="27" t="b">
        <f>IF($G1315&lt;&gt;0,SUMIF(куб!$G:$G,$G1315,куб!T:T),IF($E1315&lt;&gt;0,SUMIF(куб!$E:$E,$E1315,куб!T:T),IF($D1315&lt;&gt;0,SUMIF(куб!$D:$D,$D1315,куб!T:T),IF($C1315&lt;&gt;0,SUMIF(куб!$C:$C,$C1315,куб!T:T),IF($B1315&lt;&gt;0,SUMIF(куб!$B:$B,$B1315,куб!T:T))))))</f>
        <v>0</v>
      </c>
      <c r="AK1315" s="27" t="b">
        <f>IF($G1315&lt;&gt;0,SUMIF(куб!$G:$G,$G1315,куб!U:U),IF($E1315&lt;&gt;0,SUMIF(куб!$E:$E,$E1315,куб!U:U),IF($D1315&lt;&gt;0,SUMIF(куб!$D:$D,$D1315,куб!U:U),IF($C1315&lt;&gt;0,SUMIF(куб!$C:$C,$C1315,куб!U:U),IF($B1315&lt;&gt;0,SUMIF(куб!$B:$B,$B1315,куб!U:U))))))</f>
        <v>0</v>
      </c>
      <c r="AL1315" s="16" t="str">
        <f t="shared" si="410"/>
        <v>-</v>
      </c>
      <c r="AM1315" s="8"/>
      <c r="AN1315" s="17" t="str">
        <f t="shared" si="411"/>
        <v xml:space="preserve"> </v>
      </c>
      <c r="AO1315" s="17" t="str">
        <f t="shared" si="412"/>
        <v xml:space="preserve"> </v>
      </c>
      <c r="AP1315" s="16" t="str">
        <f t="shared" si="413"/>
        <v>-</v>
      </c>
      <c r="AQ1315" s="8"/>
      <c r="AR1315" s="17" t="str">
        <f t="shared" si="414"/>
        <v>-</v>
      </c>
      <c r="AS1315" s="17" t="str">
        <f t="shared" si="415"/>
        <v>-</v>
      </c>
      <c r="AT1315" s="13" t="str">
        <f t="shared" si="416"/>
        <v>-</v>
      </c>
      <c r="AU1315" s="8"/>
    </row>
    <row r="1316" spans="8:47" x14ac:dyDescent="0.25">
      <c r="H1316" s="27">
        <f>IF($G1316&lt;&gt;0,SUMIF(куб!$G:$G,$G1316,куб!H:H),IF($E1316&lt;&gt;0,SUMIF(куб!$E:$E,$E1316,куб!H:H),IF($D1316&lt;&gt;0,SUMIF(куб!$D:$D,$D1316,куб!H:H),IF($C1316&lt;&gt;0,SUMIF(куб!$C:$C,$C1316,куб!H:H),IF($B1316&lt;&gt;0,SUMIF(куб!$B:$B,$B1316,куб!H:H),IF($G1316&lt;&gt;0,SUMIF(куб!$A:$A,$G1316,куб!H:H),SUMIF(куб!$A:$A,$G1316,куб!H:H)))))))</f>
        <v>0</v>
      </c>
      <c r="I1316" s="27">
        <f>IF($G1316&lt;&gt;0,SUMIF(куб!$G:$G,$G1316,куб!I:I),IF($E1316&lt;&gt;0,SUMIF(куб!$E:$E,$E1316,куб!I:I),IF($D1316&lt;&gt;0,SUMIF(куб!$D:$D,$D1316,куб!I:I),IF($C1316&lt;&gt;0,SUMIF(куб!$C:$C,$C1316,куб!I:I),IF($B1316&lt;&gt;0,SUMIF(куб!$B:$B,$B1316,куб!I:I),IF($G1316&lt;&gt;0,SUMIF(куб!$A:$A,$G1316,куб!I:I),SUMIF(куб!$A:$A,$G1316,куб!I:I)))))))</f>
        <v>0</v>
      </c>
      <c r="J1316" s="19" t="str">
        <f t="shared" si="399"/>
        <v>-</v>
      </c>
      <c r="K1316" s="8"/>
      <c r="L1316" s="17">
        <f t="shared" si="400"/>
        <v>0</v>
      </c>
      <c r="M1316" s="17">
        <f t="shared" si="401"/>
        <v>0</v>
      </c>
      <c r="N1316" s="12">
        <f t="shared" si="402"/>
        <v>0</v>
      </c>
      <c r="O1316" s="5"/>
      <c r="P1316" s="27" t="b">
        <f>IF($G1316&lt;&gt;0,SUMIF(куб!$G:$G,$G1316,куб!J:J),IF($E1316&lt;&gt;0,SUMIF(куб!$E:$E,$E1316,куб!J:J),IF($D1316&lt;&gt;0,SUMIF(куб!$D:$D,$D1316,куб!J:J),IF($C1316&lt;&gt;0,SUMIF(куб!$C:$C,$C1316,куб!J:J),IF($B1316&lt;&gt;0,SUMIF(куб!$B:$B,$B1316,куб!J:J))))))</f>
        <v>0</v>
      </c>
      <c r="Q1316" s="27" t="b">
        <f>IF($G1316&lt;&gt;0,SUMIF(куб!$G:$G,$G1316,куб!K:K),IF($E1316&lt;&gt;0,SUMIF(куб!$E:$E,$E1316,куб!K:K),IF($D1316&lt;&gt;0,SUMIF(куб!$D:$D,$D1316,куб!K:K),IF($C1316&lt;&gt;0,SUMIF(куб!$C:$C,$C1316,куб!K:K),IF($B1316&lt;&gt;0,SUMIF(куб!$B:$B,$B1316,куб!K:K))))))</f>
        <v>0</v>
      </c>
      <c r="R1316" s="13" t="str">
        <f t="shared" si="403"/>
        <v>-</v>
      </c>
      <c r="S1316" s="5"/>
      <c r="T1316" s="27" t="b">
        <f>IF($G1316&lt;&gt;0,SUMIF(куб!$G:$G,$G1316,куб!L:L),IF($E1316&lt;&gt;0,SUMIF(куб!$E:$E,$E1316,куб!L:L),IF($D1316&lt;&gt;0,SUMIF(куб!$D:$D,$D1316,куб!L:L),IF($C1316&lt;&gt;0,SUMIF(куб!$C:$C,$C1316,куб!L:L),IF($B1316&lt;&gt;0,SUMIF(куб!$B:$B,$B1316,куб!L:L))))))</f>
        <v>0</v>
      </c>
      <c r="U1316" s="27" t="b">
        <f>IF($G1316&lt;&gt;0,SUMIF(куб!$G:$G,$G1316,куб!M:M),IF($E1316&lt;&gt;0,SUMIF(куб!$E:$E,$E1316,куб!M:M),IF($D1316&lt;&gt;0,SUMIF(куб!$D:$D,$D1316,куб!M:M),IF($C1316&lt;&gt;0,SUMIF(куб!$C:$C,$C1316,куб!M:M),IF($B1316&lt;&gt;0,SUMIF(куб!$B:$B,$B1316,куб!M:M))))))</f>
        <v>0</v>
      </c>
      <c r="V1316" s="13" t="str">
        <f t="shared" si="404"/>
        <v>-</v>
      </c>
      <c r="W1316" s="5"/>
      <c r="X1316" s="27" t="b">
        <f>IF($G1316&lt;&gt;0,SUMIF(куб!$G:$G,$G1316,куб!N:N),IF($E1316&lt;&gt;0,SUMIF(куб!$E:$E,$E1316,куб!N:N),IF($D1316&lt;&gt;0,SUMIF(куб!$D:$D,$D1316,куб!N:N),IF($C1316&lt;&gt;0,SUMIF(куб!$C:$C,$C1316,куб!N:N),IF($B1316&lt;&gt;0,SUMIF(куб!$B:$B,$B1316,куб!N:N))))))</f>
        <v>0</v>
      </c>
      <c r="Y1316" s="27" t="b">
        <f>IF($G1316&lt;&gt;0,SUMIF(куб!$G:$G,$G1316,куб!O:O),IF($E1316&lt;&gt;0,SUMIF(куб!$E:$E,$E1316,куб!O:O),IF($D1316&lt;&gt;0,SUMIF(куб!$D:$D,$D1316,куб!O:O),IF($C1316&lt;&gt;0,SUMIF(куб!$C:$C,$C1316,куб!O:O),IF($B1316&lt;&gt;0,SUMIF(куб!$B:$B,$B1316,куб!O:O))))))</f>
        <v>0</v>
      </c>
      <c r="Z1316" s="13" t="str">
        <f t="shared" si="405"/>
        <v>-</v>
      </c>
      <c r="AA1316" s="5"/>
      <c r="AB1316" s="33" t="str">
        <f t="shared" si="406"/>
        <v/>
      </c>
      <c r="AC1316" s="33" t="str">
        <f t="shared" si="407"/>
        <v/>
      </c>
      <c r="AD1316" s="15" t="str">
        <f t="shared" si="408"/>
        <v xml:space="preserve"> </v>
      </c>
      <c r="AE1316" s="5"/>
      <c r="AF1316" s="27" t="b">
        <f>IF($G1316&lt;&gt;0,SUMIF(куб!$G:$G,$G1316,куб!R:R),IF($E1316&lt;&gt;0,SUMIF(куб!$E:$E,$E1316,куб!R:R),IF($D1316&lt;&gt;0,SUMIF(куб!$D:$D,$D1316,куб!R:R),IF($C1316&lt;&gt;0,SUMIF(куб!$C:$C,$C1316,куб!R:R),IF($B1316&lt;&gt;0,SUMIF(куб!$B:$B,$B1316,куб!R:R))))))</f>
        <v>0</v>
      </c>
      <c r="AG1316" s="27" t="b">
        <f>IF($G1316&lt;&gt;0,SUMIF(куб!$G:$G,$G1316,куб!S:S),IF($E1316&lt;&gt;0,SUMIF(куб!$E:$E,$E1316,куб!S:S),IF($D1316&lt;&gt;0,SUMIF(куб!$D:$D,$D1316,куб!S:S),IF($C1316&lt;&gt;0,SUMIF(куб!$C:$C,$C1316,куб!S:S),IF($B1316&lt;&gt;0,SUMIF(куб!$B:$B,$B1316,куб!S:S))))))</f>
        <v>0</v>
      </c>
      <c r="AH1316" s="16" t="str">
        <f t="shared" si="409"/>
        <v>-</v>
      </c>
      <c r="AI1316" s="8"/>
      <c r="AJ1316" s="27" t="b">
        <f>IF($G1316&lt;&gt;0,SUMIF(куб!$G:$G,$G1316,куб!T:T),IF($E1316&lt;&gt;0,SUMIF(куб!$E:$E,$E1316,куб!T:T),IF($D1316&lt;&gt;0,SUMIF(куб!$D:$D,$D1316,куб!T:T),IF($C1316&lt;&gt;0,SUMIF(куб!$C:$C,$C1316,куб!T:T),IF($B1316&lt;&gt;0,SUMIF(куб!$B:$B,$B1316,куб!T:T))))))</f>
        <v>0</v>
      </c>
      <c r="AK1316" s="27" t="b">
        <f>IF($G1316&lt;&gt;0,SUMIF(куб!$G:$G,$G1316,куб!U:U),IF($E1316&lt;&gt;0,SUMIF(куб!$E:$E,$E1316,куб!U:U),IF($D1316&lt;&gt;0,SUMIF(куб!$D:$D,$D1316,куб!U:U),IF($C1316&lt;&gt;0,SUMIF(куб!$C:$C,$C1316,куб!U:U),IF($B1316&lt;&gt;0,SUMIF(куб!$B:$B,$B1316,куб!U:U))))))</f>
        <v>0</v>
      </c>
      <c r="AL1316" s="16" t="str">
        <f t="shared" si="410"/>
        <v>-</v>
      </c>
      <c r="AM1316" s="8"/>
      <c r="AN1316" s="17" t="str">
        <f t="shared" si="411"/>
        <v xml:space="preserve"> </v>
      </c>
      <c r="AO1316" s="17" t="str">
        <f t="shared" si="412"/>
        <v xml:space="preserve"> </v>
      </c>
      <c r="AP1316" s="16" t="str">
        <f t="shared" si="413"/>
        <v>-</v>
      </c>
      <c r="AQ1316" s="8"/>
      <c r="AR1316" s="17" t="str">
        <f t="shared" si="414"/>
        <v>-</v>
      </c>
      <c r="AS1316" s="17" t="str">
        <f t="shared" si="415"/>
        <v>-</v>
      </c>
      <c r="AT1316" s="13" t="str">
        <f t="shared" si="416"/>
        <v>-</v>
      </c>
      <c r="AU1316" s="8"/>
    </row>
    <row r="1317" spans="8:47" x14ac:dyDescent="0.25">
      <c r="H1317" s="27">
        <f>IF($G1317&lt;&gt;0,SUMIF(куб!$G:$G,$G1317,куб!H:H),IF($E1317&lt;&gt;0,SUMIF(куб!$E:$E,$E1317,куб!H:H),IF($D1317&lt;&gt;0,SUMIF(куб!$D:$D,$D1317,куб!H:H),IF($C1317&lt;&gt;0,SUMIF(куб!$C:$C,$C1317,куб!H:H),IF($B1317&lt;&gt;0,SUMIF(куб!$B:$B,$B1317,куб!H:H),IF($G1317&lt;&gt;0,SUMIF(куб!$A:$A,$G1317,куб!H:H),SUMIF(куб!$A:$A,$G1317,куб!H:H)))))))</f>
        <v>0</v>
      </c>
      <c r="I1317" s="27">
        <f>IF($G1317&lt;&gt;0,SUMIF(куб!$G:$G,$G1317,куб!I:I),IF($E1317&lt;&gt;0,SUMIF(куб!$E:$E,$E1317,куб!I:I),IF($D1317&lt;&gt;0,SUMIF(куб!$D:$D,$D1317,куб!I:I),IF($C1317&lt;&gt;0,SUMIF(куб!$C:$C,$C1317,куб!I:I),IF($B1317&lt;&gt;0,SUMIF(куб!$B:$B,$B1317,куб!I:I),IF($G1317&lt;&gt;0,SUMIF(куб!$A:$A,$G1317,куб!I:I),SUMIF(куб!$A:$A,$G1317,куб!I:I)))))))</f>
        <v>0</v>
      </c>
      <c r="J1317" s="19" t="str">
        <f t="shared" si="399"/>
        <v>-</v>
      </c>
      <c r="K1317" s="8"/>
      <c r="L1317" s="17">
        <f t="shared" si="400"/>
        <v>0</v>
      </c>
      <c r="M1317" s="17">
        <f t="shared" si="401"/>
        <v>0</v>
      </c>
      <c r="N1317" s="12">
        <f t="shared" si="402"/>
        <v>0</v>
      </c>
      <c r="O1317" s="5"/>
      <c r="P1317" s="27" t="b">
        <f>IF($G1317&lt;&gt;0,SUMIF(куб!$G:$G,$G1317,куб!J:J),IF($E1317&lt;&gt;0,SUMIF(куб!$E:$E,$E1317,куб!J:J),IF($D1317&lt;&gt;0,SUMIF(куб!$D:$D,$D1317,куб!J:J),IF($C1317&lt;&gt;0,SUMIF(куб!$C:$C,$C1317,куб!J:J),IF($B1317&lt;&gt;0,SUMIF(куб!$B:$B,$B1317,куб!J:J))))))</f>
        <v>0</v>
      </c>
      <c r="Q1317" s="27" t="b">
        <f>IF($G1317&lt;&gt;0,SUMIF(куб!$G:$G,$G1317,куб!K:K),IF($E1317&lt;&gt;0,SUMIF(куб!$E:$E,$E1317,куб!K:K),IF($D1317&lt;&gt;0,SUMIF(куб!$D:$D,$D1317,куб!K:K),IF($C1317&lt;&gt;0,SUMIF(куб!$C:$C,$C1317,куб!K:K),IF($B1317&lt;&gt;0,SUMIF(куб!$B:$B,$B1317,куб!K:K))))))</f>
        <v>0</v>
      </c>
      <c r="R1317" s="13" t="str">
        <f t="shared" si="403"/>
        <v>-</v>
      </c>
      <c r="S1317" s="5"/>
      <c r="T1317" s="27" t="b">
        <f>IF($G1317&lt;&gt;0,SUMIF(куб!$G:$G,$G1317,куб!L:L),IF($E1317&lt;&gt;0,SUMIF(куб!$E:$E,$E1317,куб!L:L),IF($D1317&lt;&gt;0,SUMIF(куб!$D:$D,$D1317,куб!L:L),IF($C1317&lt;&gt;0,SUMIF(куб!$C:$C,$C1317,куб!L:L),IF($B1317&lt;&gt;0,SUMIF(куб!$B:$B,$B1317,куб!L:L))))))</f>
        <v>0</v>
      </c>
      <c r="U1317" s="27" t="b">
        <f>IF($G1317&lt;&gt;0,SUMIF(куб!$G:$G,$G1317,куб!M:M),IF($E1317&lt;&gt;0,SUMIF(куб!$E:$E,$E1317,куб!M:M),IF($D1317&lt;&gt;0,SUMIF(куб!$D:$D,$D1317,куб!M:M),IF($C1317&lt;&gt;0,SUMIF(куб!$C:$C,$C1317,куб!M:M),IF($B1317&lt;&gt;0,SUMIF(куб!$B:$B,$B1317,куб!M:M))))))</f>
        <v>0</v>
      </c>
      <c r="V1317" s="13" t="str">
        <f t="shared" si="404"/>
        <v>-</v>
      </c>
      <c r="W1317" s="5"/>
      <c r="X1317" s="27" t="b">
        <f>IF($G1317&lt;&gt;0,SUMIF(куб!$G:$G,$G1317,куб!N:N),IF($E1317&lt;&gt;0,SUMIF(куб!$E:$E,$E1317,куб!N:N),IF($D1317&lt;&gt;0,SUMIF(куб!$D:$D,$D1317,куб!N:N),IF($C1317&lt;&gt;0,SUMIF(куб!$C:$C,$C1317,куб!N:N),IF($B1317&lt;&gt;0,SUMIF(куб!$B:$B,$B1317,куб!N:N))))))</f>
        <v>0</v>
      </c>
      <c r="Y1317" s="27" t="b">
        <f>IF($G1317&lt;&gt;0,SUMIF(куб!$G:$G,$G1317,куб!O:O),IF($E1317&lt;&gt;0,SUMIF(куб!$E:$E,$E1317,куб!O:O),IF($D1317&lt;&gt;0,SUMIF(куб!$D:$D,$D1317,куб!O:O),IF($C1317&lt;&gt;0,SUMIF(куб!$C:$C,$C1317,куб!O:O),IF($B1317&lt;&gt;0,SUMIF(куб!$B:$B,$B1317,куб!O:O))))))</f>
        <v>0</v>
      </c>
      <c r="Z1317" s="13" t="str">
        <f t="shared" si="405"/>
        <v>-</v>
      </c>
      <c r="AA1317" s="5"/>
      <c r="AB1317" s="33" t="str">
        <f t="shared" si="406"/>
        <v/>
      </c>
      <c r="AC1317" s="33" t="str">
        <f t="shared" si="407"/>
        <v/>
      </c>
      <c r="AD1317" s="15" t="str">
        <f t="shared" si="408"/>
        <v xml:space="preserve"> </v>
      </c>
      <c r="AE1317" s="5"/>
      <c r="AF1317" s="27" t="b">
        <f>IF($G1317&lt;&gt;0,SUMIF(куб!$G:$G,$G1317,куб!R:R),IF($E1317&lt;&gt;0,SUMIF(куб!$E:$E,$E1317,куб!R:R),IF($D1317&lt;&gt;0,SUMIF(куб!$D:$D,$D1317,куб!R:R),IF($C1317&lt;&gt;0,SUMIF(куб!$C:$C,$C1317,куб!R:R),IF($B1317&lt;&gt;0,SUMIF(куб!$B:$B,$B1317,куб!R:R))))))</f>
        <v>0</v>
      </c>
      <c r="AG1317" s="27" t="b">
        <f>IF($G1317&lt;&gt;0,SUMIF(куб!$G:$G,$G1317,куб!S:S),IF($E1317&lt;&gt;0,SUMIF(куб!$E:$E,$E1317,куб!S:S),IF($D1317&lt;&gt;0,SUMIF(куб!$D:$D,$D1317,куб!S:S),IF($C1317&lt;&gt;0,SUMIF(куб!$C:$C,$C1317,куб!S:S),IF($B1317&lt;&gt;0,SUMIF(куб!$B:$B,$B1317,куб!S:S))))))</f>
        <v>0</v>
      </c>
      <c r="AH1317" s="16" t="str">
        <f t="shared" si="409"/>
        <v>-</v>
      </c>
      <c r="AI1317" s="8"/>
      <c r="AJ1317" s="27" t="b">
        <f>IF($G1317&lt;&gt;0,SUMIF(куб!$G:$G,$G1317,куб!T:T),IF($E1317&lt;&gt;0,SUMIF(куб!$E:$E,$E1317,куб!T:T),IF($D1317&lt;&gt;0,SUMIF(куб!$D:$D,$D1317,куб!T:T),IF($C1317&lt;&gt;0,SUMIF(куб!$C:$C,$C1317,куб!T:T),IF($B1317&lt;&gt;0,SUMIF(куб!$B:$B,$B1317,куб!T:T))))))</f>
        <v>0</v>
      </c>
      <c r="AK1317" s="27" t="b">
        <f>IF($G1317&lt;&gt;0,SUMIF(куб!$G:$G,$G1317,куб!U:U),IF($E1317&lt;&gt;0,SUMIF(куб!$E:$E,$E1317,куб!U:U),IF($D1317&lt;&gt;0,SUMIF(куб!$D:$D,$D1317,куб!U:U),IF($C1317&lt;&gt;0,SUMIF(куб!$C:$C,$C1317,куб!U:U),IF($B1317&lt;&gt;0,SUMIF(куб!$B:$B,$B1317,куб!U:U))))))</f>
        <v>0</v>
      </c>
      <c r="AL1317" s="16" t="str">
        <f t="shared" si="410"/>
        <v>-</v>
      </c>
      <c r="AM1317" s="8"/>
      <c r="AN1317" s="17" t="str">
        <f t="shared" si="411"/>
        <v xml:space="preserve"> </v>
      </c>
      <c r="AO1317" s="17" t="str">
        <f t="shared" si="412"/>
        <v xml:space="preserve"> </v>
      </c>
      <c r="AP1317" s="16" t="str">
        <f t="shared" si="413"/>
        <v>-</v>
      </c>
      <c r="AQ1317" s="8"/>
      <c r="AR1317" s="17" t="str">
        <f t="shared" si="414"/>
        <v>-</v>
      </c>
      <c r="AS1317" s="17" t="str">
        <f t="shared" si="415"/>
        <v>-</v>
      </c>
      <c r="AT1317" s="13" t="str">
        <f t="shared" si="416"/>
        <v>-</v>
      </c>
      <c r="AU1317" s="8"/>
    </row>
    <row r="1318" spans="8:47" x14ac:dyDescent="0.25">
      <c r="H1318" s="27">
        <f>IF($G1318&lt;&gt;0,SUMIF(куб!$G:$G,$G1318,куб!H:H),IF($E1318&lt;&gt;0,SUMIF(куб!$E:$E,$E1318,куб!H:H),IF($D1318&lt;&gt;0,SUMIF(куб!$D:$D,$D1318,куб!H:H),IF($C1318&lt;&gt;0,SUMIF(куб!$C:$C,$C1318,куб!H:H),IF($B1318&lt;&gt;0,SUMIF(куб!$B:$B,$B1318,куб!H:H),IF($G1318&lt;&gt;0,SUMIF(куб!$A:$A,$G1318,куб!H:H),SUMIF(куб!$A:$A,$G1318,куб!H:H)))))))</f>
        <v>0</v>
      </c>
      <c r="I1318" s="27">
        <f>IF($G1318&lt;&gt;0,SUMIF(куб!$G:$G,$G1318,куб!I:I),IF($E1318&lt;&gt;0,SUMIF(куб!$E:$E,$E1318,куб!I:I),IF($D1318&lt;&gt;0,SUMIF(куб!$D:$D,$D1318,куб!I:I),IF($C1318&lt;&gt;0,SUMIF(куб!$C:$C,$C1318,куб!I:I),IF($B1318&lt;&gt;0,SUMIF(куб!$B:$B,$B1318,куб!I:I),IF($G1318&lt;&gt;0,SUMIF(куб!$A:$A,$G1318,куб!I:I),SUMIF(куб!$A:$A,$G1318,куб!I:I)))))))</f>
        <v>0</v>
      </c>
      <c r="J1318" s="19" t="str">
        <f t="shared" si="399"/>
        <v>-</v>
      </c>
      <c r="K1318" s="8"/>
      <c r="L1318" s="17">
        <f t="shared" si="400"/>
        <v>0</v>
      </c>
      <c r="M1318" s="17">
        <f t="shared" si="401"/>
        <v>0</v>
      </c>
      <c r="N1318" s="12">
        <f t="shared" si="402"/>
        <v>0</v>
      </c>
      <c r="O1318" s="5"/>
      <c r="P1318" s="27" t="b">
        <f>IF($G1318&lt;&gt;0,SUMIF(куб!$G:$G,$G1318,куб!J:J),IF($E1318&lt;&gt;0,SUMIF(куб!$E:$E,$E1318,куб!J:J),IF($D1318&lt;&gt;0,SUMIF(куб!$D:$D,$D1318,куб!J:J),IF($C1318&lt;&gt;0,SUMIF(куб!$C:$C,$C1318,куб!J:J),IF($B1318&lt;&gt;0,SUMIF(куб!$B:$B,$B1318,куб!J:J))))))</f>
        <v>0</v>
      </c>
      <c r="Q1318" s="27" t="b">
        <f>IF($G1318&lt;&gt;0,SUMIF(куб!$G:$G,$G1318,куб!K:K),IF($E1318&lt;&gt;0,SUMIF(куб!$E:$E,$E1318,куб!K:K),IF($D1318&lt;&gt;0,SUMIF(куб!$D:$D,$D1318,куб!K:K),IF($C1318&lt;&gt;0,SUMIF(куб!$C:$C,$C1318,куб!K:K),IF($B1318&lt;&gt;0,SUMIF(куб!$B:$B,$B1318,куб!K:K))))))</f>
        <v>0</v>
      </c>
      <c r="R1318" s="13" t="str">
        <f t="shared" si="403"/>
        <v>-</v>
      </c>
      <c r="S1318" s="5"/>
      <c r="T1318" s="27" t="b">
        <f>IF($G1318&lt;&gt;0,SUMIF(куб!$G:$G,$G1318,куб!L:L),IF($E1318&lt;&gt;0,SUMIF(куб!$E:$E,$E1318,куб!L:L),IF($D1318&lt;&gt;0,SUMIF(куб!$D:$D,$D1318,куб!L:L),IF($C1318&lt;&gt;0,SUMIF(куб!$C:$C,$C1318,куб!L:L),IF($B1318&lt;&gt;0,SUMIF(куб!$B:$B,$B1318,куб!L:L))))))</f>
        <v>0</v>
      </c>
      <c r="U1318" s="27" t="b">
        <f>IF($G1318&lt;&gt;0,SUMIF(куб!$G:$G,$G1318,куб!M:M),IF($E1318&lt;&gt;0,SUMIF(куб!$E:$E,$E1318,куб!M:M),IF($D1318&lt;&gt;0,SUMIF(куб!$D:$D,$D1318,куб!M:M),IF($C1318&lt;&gt;0,SUMIF(куб!$C:$C,$C1318,куб!M:M),IF($B1318&lt;&gt;0,SUMIF(куб!$B:$B,$B1318,куб!M:M))))))</f>
        <v>0</v>
      </c>
      <c r="V1318" s="13" t="str">
        <f t="shared" si="404"/>
        <v>-</v>
      </c>
      <c r="W1318" s="5"/>
      <c r="X1318" s="27" t="b">
        <f>IF($G1318&lt;&gt;0,SUMIF(куб!$G:$G,$G1318,куб!N:N),IF($E1318&lt;&gt;0,SUMIF(куб!$E:$E,$E1318,куб!N:N),IF($D1318&lt;&gt;0,SUMIF(куб!$D:$D,$D1318,куб!N:N),IF($C1318&lt;&gt;0,SUMIF(куб!$C:$C,$C1318,куб!N:N),IF($B1318&lt;&gt;0,SUMIF(куб!$B:$B,$B1318,куб!N:N))))))</f>
        <v>0</v>
      </c>
      <c r="Y1318" s="27" t="b">
        <f>IF($G1318&lt;&gt;0,SUMIF(куб!$G:$G,$G1318,куб!O:O),IF($E1318&lt;&gt;0,SUMIF(куб!$E:$E,$E1318,куб!O:O),IF($D1318&lt;&gt;0,SUMIF(куб!$D:$D,$D1318,куб!O:O),IF($C1318&lt;&gt;0,SUMIF(куб!$C:$C,$C1318,куб!O:O),IF($B1318&lt;&gt;0,SUMIF(куб!$B:$B,$B1318,куб!O:O))))))</f>
        <v>0</v>
      </c>
      <c r="Z1318" s="13" t="str">
        <f t="shared" si="405"/>
        <v>-</v>
      </c>
      <c r="AA1318" s="5"/>
      <c r="AB1318" s="33" t="str">
        <f t="shared" si="406"/>
        <v/>
      </c>
      <c r="AC1318" s="33" t="str">
        <f t="shared" si="407"/>
        <v/>
      </c>
      <c r="AD1318" s="15" t="str">
        <f t="shared" si="408"/>
        <v xml:space="preserve"> </v>
      </c>
      <c r="AE1318" s="5"/>
      <c r="AF1318" s="27" t="b">
        <f>IF($G1318&lt;&gt;0,SUMIF(куб!$G:$G,$G1318,куб!R:R),IF($E1318&lt;&gt;0,SUMIF(куб!$E:$E,$E1318,куб!R:R),IF($D1318&lt;&gt;0,SUMIF(куб!$D:$D,$D1318,куб!R:R),IF($C1318&lt;&gt;0,SUMIF(куб!$C:$C,$C1318,куб!R:R),IF($B1318&lt;&gt;0,SUMIF(куб!$B:$B,$B1318,куб!R:R))))))</f>
        <v>0</v>
      </c>
      <c r="AG1318" s="27" t="b">
        <f>IF($G1318&lt;&gt;0,SUMIF(куб!$G:$G,$G1318,куб!S:S),IF($E1318&lt;&gt;0,SUMIF(куб!$E:$E,$E1318,куб!S:S),IF($D1318&lt;&gt;0,SUMIF(куб!$D:$D,$D1318,куб!S:S),IF($C1318&lt;&gt;0,SUMIF(куб!$C:$C,$C1318,куб!S:S),IF($B1318&lt;&gt;0,SUMIF(куб!$B:$B,$B1318,куб!S:S))))))</f>
        <v>0</v>
      </c>
      <c r="AH1318" s="16" t="str">
        <f t="shared" si="409"/>
        <v>-</v>
      </c>
      <c r="AI1318" s="8"/>
      <c r="AJ1318" s="27" t="b">
        <f>IF($G1318&lt;&gt;0,SUMIF(куб!$G:$G,$G1318,куб!T:T),IF($E1318&lt;&gt;0,SUMIF(куб!$E:$E,$E1318,куб!T:T),IF($D1318&lt;&gt;0,SUMIF(куб!$D:$D,$D1318,куб!T:T),IF($C1318&lt;&gt;0,SUMIF(куб!$C:$C,$C1318,куб!T:T),IF($B1318&lt;&gt;0,SUMIF(куб!$B:$B,$B1318,куб!T:T))))))</f>
        <v>0</v>
      </c>
      <c r="AK1318" s="27" t="b">
        <f>IF($G1318&lt;&gt;0,SUMIF(куб!$G:$G,$G1318,куб!U:U),IF($E1318&lt;&gt;0,SUMIF(куб!$E:$E,$E1318,куб!U:U),IF($D1318&lt;&gt;0,SUMIF(куб!$D:$D,$D1318,куб!U:U),IF($C1318&lt;&gt;0,SUMIF(куб!$C:$C,$C1318,куб!U:U),IF($B1318&lt;&gt;0,SUMIF(куб!$B:$B,$B1318,куб!U:U))))))</f>
        <v>0</v>
      </c>
      <c r="AL1318" s="16" t="str">
        <f t="shared" si="410"/>
        <v>-</v>
      </c>
      <c r="AM1318" s="8"/>
      <c r="AN1318" s="17" t="str">
        <f t="shared" si="411"/>
        <v xml:space="preserve"> </v>
      </c>
      <c r="AO1318" s="17" t="str">
        <f t="shared" si="412"/>
        <v xml:space="preserve"> </v>
      </c>
      <c r="AP1318" s="16" t="str">
        <f t="shared" si="413"/>
        <v>-</v>
      </c>
      <c r="AQ1318" s="8"/>
      <c r="AR1318" s="17" t="str">
        <f t="shared" si="414"/>
        <v>-</v>
      </c>
      <c r="AS1318" s="17" t="str">
        <f t="shared" si="415"/>
        <v>-</v>
      </c>
      <c r="AT1318" s="13" t="str">
        <f t="shared" si="416"/>
        <v>-</v>
      </c>
      <c r="AU1318" s="8"/>
    </row>
    <row r="1319" spans="8:47" x14ac:dyDescent="0.25">
      <c r="H1319" s="27">
        <f>IF($G1319&lt;&gt;0,SUMIF(куб!$G:$G,$G1319,куб!H:H),IF($E1319&lt;&gt;0,SUMIF(куб!$E:$E,$E1319,куб!H:H),IF($D1319&lt;&gt;0,SUMIF(куб!$D:$D,$D1319,куб!H:H),IF($C1319&lt;&gt;0,SUMIF(куб!$C:$C,$C1319,куб!H:H),IF($B1319&lt;&gt;0,SUMIF(куб!$B:$B,$B1319,куб!H:H),IF($G1319&lt;&gt;0,SUMIF(куб!$A:$A,$G1319,куб!H:H),SUMIF(куб!$A:$A,$G1319,куб!H:H)))))))</f>
        <v>0</v>
      </c>
      <c r="I1319" s="27">
        <f>IF($G1319&lt;&gt;0,SUMIF(куб!$G:$G,$G1319,куб!I:I),IF($E1319&lt;&gt;0,SUMIF(куб!$E:$E,$E1319,куб!I:I),IF($D1319&lt;&gt;0,SUMIF(куб!$D:$D,$D1319,куб!I:I),IF($C1319&lt;&gt;0,SUMIF(куб!$C:$C,$C1319,куб!I:I),IF($B1319&lt;&gt;0,SUMIF(куб!$B:$B,$B1319,куб!I:I),IF($G1319&lt;&gt;0,SUMIF(куб!$A:$A,$G1319,куб!I:I),SUMIF(куб!$A:$A,$G1319,куб!I:I)))))))</f>
        <v>0</v>
      </c>
      <c r="J1319" s="19" t="str">
        <f t="shared" si="399"/>
        <v>-</v>
      </c>
      <c r="K1319" s="8"/>
      <c r="L1319" s="17">
        <f t="shared" si="400"/>
        <v>0</v>
      </c>
      <c r="M1319" s="17">
        <f t="shared" si="401"/>
        <v>0</v>
      </c>
      <c r="N1319" s="12">
        <f t="shared" si="402"/>
        <v>0</v>
      </c>
      <c r="O1319" s="5"/>
      <c r="P1319" s="27" t="b">
        <f>IF($G1319&lt;&gt;0,SUMIF(куб!$G:$G,$G1319,куб!J:J),IF($E1319&lt;&gt;0,SUMIF(куб!$E:$E,$E1319,куб!J:J),IF($D1319&lt;&gt;0,SUMIF(куб!$D:$D,$D1319,куб!J:J),IF($C1319&lt;&gt;0,SUMIF(куб!$C:$C,$C1319,куб!J:J),IF($B1319&lt;&gt;0,SUMIF(куб!$B:$B,$B1319,куб!J:J))))))</f>
        <v>0</v>
      </c>
      <c r="Q1319" s="27" t="b">
        <f>IF($G1319&lt;&gt;0,SUMIF(куб!$G:$G,$G1319,куб!K:K),IF($E1319&lt;&gt;0,SUMIF(куб!$E:$E,$E1319,куб!K:K),IF($D1319&lt;&gt;0,SUMIF(куб!$D:$D,$D1319,куб!K:K),IF($C1319&lt;&gt;0,SUMIF(куб!$C:$C,$C1319,куб!K:K),IF($B1319&lt;&gt;0,SUMIF(куб!$B:$B,$B1319,куб!K:K))))))</f>
        <v>0</v>
      </c>
      <c r="R1319" s="13" t="str">
        <f t="shared" si="403"/>
        <v>-</v>
      </c>
      <c r="S1319" s="5"/>
      <c r="T1319" s="27" t="b">
        <f>IF($G1319&lt;&gt;0,SUMIF(куб!$G:$G,$G1319,куб!L:L),IF($E1319&lt;&gt;0,SUMIF(куб!$E:$E,$E1319,куб!L:L),IF($D1319&lt;&gt;0,SUMIF(куб!$D:$D,$D1319,куб!L:L),IF($C1319&lt;&gt;0,SUMIF(куб!$C:$C,$C1319,куб!L:L),IF($B1319&lt;&gt;0,SUMIF(куб!$B:$B,$B1319,куб!L:L))))))</f>
        <v>0</v>
      </c>
      <c r="U1319" s="27" t="b">
        <f>IF($G1319&lt;&gt;0,SUMIF(куб!$G:$G,$G1319,куб!M:M),IF($E1319&lt;&gt;0,SUMIF(куб!$E:$E,$E1319,куб!M:M),IF($D1319&lt;&gt;0,SUMIF(куб!$D:$D,$D1319,куб!M:M),IF($C1319&lt;&gt;0,SUMIF(куб!$C:$C,$C1319,куб!M:M),IF($B1319&lt;&gt;0,SUMIF(куб!$B:$B,$B1319,куб!M:M))))))</f>
        <v>0</v>
      </c>
      <c r="V1319" s="13" t="str">
        <f t="shared" si="404"/>
        <v>-</v>
      </c>
      <c r="W1319" s="5"/>
      <c r="X1319" s="27" t="b">
        <f>IF($G1319&lt;&gt;0,SUMIF(куб!$G:$G,$G1319,куб!N:N),IF($E1319&lt;&gt;0,SUMIF(куб!$E:$E,$E1319,куб!N:N),IF($D1319&lt;&gt;0,SUMIF(куб!$D:$D,$D1319,куб!N:N),IF($C1319&lt;&gt;0,SUMIF(куб!$C:$C,$C1319,куб!N:N),IF($B1319&lt;&gt;0,SUMIF(куб!$B:$B,$B1319,куб!N:N))))))</f>
        <v>0</v>
      </c>
      <c r="Y1319" s="27" t="b">
        <f>IF($G1319&lt;&gt;0,SUMIF(куб!$G:$G,$G1319,куб!O:O),IF($E1319&lt;&gt;0,SUMIF(куб!$E:$E,$E1319,куб!O:O),IF($D1319&lt;&gt;0,SUMIF(куб!$D:$D,$D1319,куб!O:O),IF($C1319&lt;&gt;0,SUMIF(куб!$C:$C,$C1319,куб!O:O),IF($B1319&lt;&gt;0,SUMIF(куб!$B:$B,$B1319,куб!O:O))))))</f>
        <v>0</v>
      </c>
      <c r="Z1319" s="13" t="str">
        <f t="shared" si="405"/>
        <v>-</v>
      </c>
      <c r="AA1319" s="5"/>
      <c r="AB1319" s="33" t="str">
        <f t="shared" si="406"/>
        <v/>
      </c>
      <c r="AC1319" s="33" t="str">
        <f t="shared" si="407"/>
        <v/>
      </c>
      <c r="AD1319" s="15" t="str">
        <f t="shared" si="408"/>
        <v xml:space="preserve"> </v>
      </c>
      <c r="AE1319" s="5"/>
      <c r="AF1319" s="27" t="b">
        <f>IF($G1319&lt;&gt;0,SUMIF(куб!$G:$G,$G1319,куб!R:R),IF($E1319&lt;&gt;0,SUMIF(куб!$E:$E,$E1319,куб!R:R),IF($D1319&lt;&gt;0,SUMIF(куб!$D:$D,$D1319,куб!R:R),IF($C1319&lt;&gt;0,SUMIF(куб!$C:$C,$C1319,куб!R:R),IF($B1319&lt;&gt;0,SUMIF(куб!$B:$B,$B1319,куб!R:R))))))</f>
        <v>0</v>
      </c>
      <c r="AG1319" s="27" t="b">
        <f>IF($G1319&lt;&gt;0,SUMIF(куб!$G:$G,$G1319,куб!S:S),IF($E1319&lt;&gt;0,SUMIF(куб!$E:$E,$E1319,куб!S:S),IF($D1319&lt;&gt;0,SUMIF(куб!$D:$D,$D1319,куб!S:S),IF($C1319&lt;&gt;0,SUMIF(куб!$C:$C,$C1319,куб!S:S),IF($B1319&lt;&gt;0,SUMIF(куб!$B:$B,$B1319,куб!S:S))))))</f>
        <v>0</v>
      </c>
      <c r="AH1319" s="16" t="str">
        <f t="shared" si="409"/>
        <v>-</v>
      </c>
      <c r="AI1319" s="8"/>
      <c r="AJ1319" s="27" t="b">
        <f>IF($G1319&lt;&gt;0,SUMIF(куб!$G:$G,$G1319,куб!T:T),IF($E1319&lt;&gt;0,SUMIF(куб!$E:$E,$E1319,куб!T:T),IF($D1319&lt;&gt;0,SUMIF(куб!$D:$D,$D1319,куб!T:T),IF($C1319&lt;&gt;0,SUMIF(куб!$C:$C,$C1319,куб!T:T),IF($B1319&lt;&gt;0,SUMIF(куб!$B:$B,$B1319,куб!T:T))))))</f>
        <v>0</v>
      </c>
      <c r="AK1319" s="27" t="b">
        <f>IF($G1319&lt;&gt;0,SUMIF(куб!$G:$G,$G1319,куб!U:U),IF($E1319&lt;&gt;0,SUMIF(куб!$E:$E,$E1319,куб!U:U),IF($D1319&lt;&gt;0,SUMIF(куб!$D:$D,$D1319,куб!U:U),IF($C1319&lt;&gt;0,SUMIF(куб!$C:$C,$C1319,куб!U:U),IF($B1319&lt;&gt;0,SUMIF(куб!$B:$B,$B1319,куб!U:U))))))</f>
        <v>0</v>
      </c>
      <c r="AL1319" s="16" t="str">
        <f t="shared" si="410"/>
        <v>-</v>
      </c>
      <c r="AM1319" s="8"/>
      <c r="AN1319" s="17" t="str">
        <f t="shared" si="411"/>
        <v xml:space="preserve"> </v>
      </c>
      <c r="AO1319" s="17" t="str">
        <f t="shared" si="412"/>
        <v xml:space="preserve"> </v>
      </c>
      <c r="AP1319" s="16" t="str">
        <f t="shared" si="413"/>
        <v>-</v>
      </c>
      <c r="AQ1319" s="8"/>
      <c r="AR1319" s="17" t="str">
        <f t="shared" si="414"/>
        <v>-</v>
      </c>
      <c r="AS1319" s="17" t="str">
        <f t="shared" si="415"/>
        <v>-</v>
      </c>
      <c r="AT1319" s="13" t="str">
        <f t="shared" si="416"/>
        <v>-</v>
      </c>
      <c r="AU1319" s="8"/>
    </row>
    <row r="1320" spans="8:47" x14ac:dyDescent="0.25">
      <c r="H1320" s="27">
        <f>IF($G1320&lt;&gt;0,SUMIF(куб!$G:$G,$G1320,куб!H:H),IF($E1320&lt;&gt;0,SUMIF(куб!$E:$E,$E1320,куб!H:H),IF($D1320&lt;&gt;0,SUMIF(куб!$D:$D,$D1320,куб!H:H),IF($C1320&lt;&gt;0,SUMIF(куб!$C:$C,$C1320,куб!H:H),IF($B1320&lt;&gt;0,SUMIF(куб!$B:$B,$B1320,куб!H:H),IF($G1320&lt;&gt;0,SUMIF(куб!$A:$A,$G1320,куб!H:H),SUMIF(куб!$A:$A,$G1320,куб!H:H)))))))</f>
        <v>0</v>
      </c>
      <c r="I1320" s="27">
        <f>IF($G1320&lt;&gt;0,SUMIF(куб!$G:$G,$G1320,куб!I:I),IF($E1320&lt;&gt;0,SUMIF(куб!$E:$E,$E1320,куб!I:I),IF($D1320&lt;&gt;0,SUMIF(куб!$D:$D,$D1320,куб!I:I),IF($C1320&lt;&gt;0,SUMIF(куб!$C:$C,$C1320,куб!I:I),IF($B1320&lt;&gt;0,SUMIF(куб!$B:$B,$B1320,куб!I:I),IF($G1320&lt;&gt;0,SUMIF(куб!$A:$A,$G1320,куб!I:I),SUMIF(куб!$A:$A,$G1320,куб!I:I)))))))</f>
        <v>0</v>
      </c>
      <c r="J1320" s="19" t="str">
        <f t="shared" si="399"/>
        <v>-</v>
      </c>
      <c r="K1320" s="8"/>
      <c r="L1320" s="17">
        <f t="shared" si="400"/>
        <v>0</v>
      </c>
      <c r="M1320" s="17">
        <f t="shared" si="401"/>
        <v>0</v>
      </c>
      <c r="N1320" s="12">
        <f t="shared" si="402"/>
        <v>0</v>
      </c>
      <c r="O1320" s="5"/>
      <c r="P1320" s="27" t="b">
        <f>IF($G1320&lt;&gt;0,SUMIF(куб!$G:$G,$G1320,куб!J:J),IF($E1320&lt;&gt;0,SUMIF(куб!$E:$E,$E1320,куб!J:J),IF($D1320&lt;&gt;0,SUMIF(куб!$D:$D,$D1320,куб!J:J),IF($C1320&lt;&gt;0,SUMIF(куб!$C:$C,$C1320,куб!J:J),IF($B1320&lt;&gt;0,SUMIF(куб!$B:$B,$B1320,куб!J:J))))))</f>
        <v>0</v>
      </c>
      <c r="Q1320" s="27" t="b">
        <f>IF($G1320&lt;&gt;0,SUMIF(куб!$G:$G,$G1320,куб!K:K),IF($E1320&lt;&gt;0,SUMIF(куб!$E:$E,$E1320,куб!K:K),IF($D1320&lt;&gt;0,SUMIF(куб!$D:$D,$D1320,куб!K:K),IF($C1320&lt;&gt;0,SUMIF(куб!$C:$C,$C1320,куб!K:K),IF($B1320&lt;&gt;0,SUMIF(куб!$B:$B,$B1320,куб!K:K))))))</f>
        <v>0</v>
      </c>
      <c r="R1320" s="13" t="str">
        <f t="shared" si="403"/>
        <v>-</v>
      </c>
      <c r="S1320" s="5"/>
      <c r="T1320" s="27" t="b">
        <f>IF($G1320&lt;&gt;0,SUMIF(куб!$G:$G,$G1320,куб!L:L),IF($E1320&lt;&gt;0,SUMIF(куб!$E:$E,$E1320,куб!L:L),IF($D1320&lt;&gt;0,SUMIF(куб!$D:$D,$D1320,куб!L:L),IF($C1320&lt;&gt;0,SUMIF(куб!$C:$C,$C1320,куб!L:L),IF($B1320&lt;&gt;0,SUMIF(куб!$B:$B,$B1320,куб!L:L))))))</f>
        <v>0</v>
      </c>
      <c r="U1320" s="27" t="b">
        <f>IF($G1320&lt;&gt;0,SUMIF(куб!$G:$G,$G1320,куб!M:M),IF($E1320&lt;&gt;0,SUMIF(куб!$E:$E,$E1320,куб!M:M),IF($D1320&lt;&gt;0,SUMIF(куб!$D:$D,$D1320,куб!M:M),IF($C1320&lt;&gt;0,SUMIF(куб!$C:$C,$C1320,куб!M:M),IF($B1320&lt;&gt;0,SUMIF(куб!$B:$B,$B1320,куб!M:M))))))</f>
        <v>0</v>
      </c>
      <c r="V1320" s="13" t="str">
        <f t="shared" si="404"/>
        <v>-</v>
      </c>
      <c r="W1320" s="5"/>
      <c r="X1320" s="27" t="b">
        <f>IF($G1320&lt;&gt;0,SUMIF(куб!$G:$G,$G1320,куб!N:N),IF($E1320&lt;&gt;0,SUMIF(куб!$E:$E,$E1320,куб!N:N),IF($D1320&lt;&gt;0,SUMIF(куб!$D:$D,$D1320,куб!N:N),IF($C1320&lt;&gt;0,SUMIF(куб!$C:$C,$C1320,куб!N:N),IF($B1320&lt;&gt;0,SUMIF(куб!$B:$B,$B1320,куб!N:N))))))</f>
        <v>0</v>
      </c>
      <c r="Y1320" s="27" t="b">
        <f>IF($G1320&lt;&gt;0,SUMIF(куб!$G:$G,$G1320,куб!O:O),IF($E1320&lt;&gt;0,SUMIF(куб!$E:$E,$E1320,куб!O:O),IF($D1320&lt;&gt;0,SUMIF(куб!$D:$D,$D1320,куб!O:O),IF($C1320&lt;&gt;0,SUMIF(куб!$C:$C,$C1320,куб!O:O),IF($B1320&lt;&gt;0,SUMIF(куб!$B:$B,$B1320,куб!O:O))))))</f>
        <v>0</v>
      </c>
      <c r="Z1320" s="13" t="str">
        <f t="shared" si="405"/>
        <v>-</v>
      </c>
      <c r="AA1320" s="5"/>
      <c r="AB1320" s="33" t="str">
        <f t="shared" si="406"/>
        <v/>
      </c>
      <c r="AC1320" s="33" t="str">
        <f t="shared" si="407"/>
        <v/>
      </c>
      <c r="AD1320" s="15" t="str">
        <f t="shared" si="408"/>
        <v xml:space="preserve"> </v>
      </c>
      <c r="AE1320" s="5"/>
      <c r="AF1320" s="27" t="b">
        <f>IF($G1320&lt;&gt;0,SUMIF(куб!$G:$G,$G1320,куб!R:R),IF($E1320&lt;&gt;0,SUMIF(куб!$E:$E,$E1320,куб!R:R),IF($D1320&lt;&gt;0,SUMIF(куб!$D:$D,$D1320,куб!R:R),IF($C1320&lt;&gt;0,SUMIF(куб!$C:$C,$C1320,куб!R:R),IF($B1320&lt;&gt;0,SUMIF(куб!$B:$B,$B1320,куб!R:R))))))</f>
        <v>0</v>
      </c>
      <c r="AG1320" s="27" t="b">
        <f>IF($G1320&lt;&gt;0,SUMIF(куб!$G:$G,$G1320,куб!S:S),IF($E1320&lt;&gt;0,SUMIF(куб!$E:$E,$E1320,куб!S:S),IF($D1320&lt;&gt;0,SUMIF(куб!$D:$D,$D1320,куб!S:S),IF($C1320&lt;&gt;0,SUMIF(куб!$C:$C,$C1320,куб!S:S),IF($B1320&lt;&gt;0,SUMIF(куб!$B:$B,$B1320,куб!S:S))))))</f>
        <v>0</v>
      </c>
      <c r="AH1320" s="16" t="str">
        <f t="shared" si="409"/>
        <v>-</v>
      </c>
      <c r="AI1320" s="8"/>
      <c r="AJ1320" s="27" t="b">
        <f>IF($G1320&lt;&gt;0,SUMIF(куб!$G:$G,$G1320,куб!T:T),IF($E1320&lt;&gt;0,SUMIF(куб!$E:$E,$E1320,куб!T:T),IF($D1320&lt;&gt;0,SUMIF(куб!$D:$D,$D1320,куб!T:T),IF($C1320&lt;&gt;0,SUMIF(куб!$C:$C,$C1320,куб!T:T),IF($B1320&lt;&gt;0,SUMIF(куб!$B:$B,$B1320,куб!T:T))))))</f>
        <v>0</v>
      </c>
      <c r="AK1320" s="27" t="b">
        <f>IF($G1320&lt;&gt;0,SUMIF(куб!$G:$G,$G1320,куб!U:U),IF($E1320&lt;&gt;0,SUMIF(куб!$E:$E,$E1320,куб!U:U),IF($D1320&lt;&gt;0,SUMIF(куб!$D:$D,$D1320,куб!U:U),IF($C1320&lt;&gt;0,SUMIF(куб!$C:$C,$C1320,куб!U:U),IF($B1320&lt;&gt;0,SUMIF(куб!$B:$B,$B1320,куб!U:U))))))</f>
        <v>0</v>
      </c>
      <c r="AL1320" s="16" t="str">
        <f t="shared" si="410"/>
        <v>-</v>
      </c>
      <c r="AM1320" s="8"/>
      <c r="AN1320" s="17" t="str">
        <f t="shared" si="411"/>
        <v xml:space="preserve"> </v>
      </c>
      <c r="AO1320" s="17" t="str">
        <f t="shared" si="412"/>
        <v xml:space="preserve"> </v>
      </c>
      <c r="AP1320" s="16" t="str">
        <f t="shared" si="413"/>
        <v>-</v>
      </c>
      <c r="AQ1320" s="8"/>
      <c r="AR1320" s="17" t="str">
        <f t="shared" si="414"/>
        <v>-</v>
      </c>
      <c r="AS1320" s="17" t="str">
        <f t="shared" si="415"/>
        <v>-</v>
      </c>
      <c r="AT1320" s="13" t="str">
        <f t="shared" si="416"/>
        <v>-</v>
      </c>
      <c r="AU1320" s="8"/>
    </row>
    <row r="1321" spans="8:47" x14ac:dyDescent="0.25">
      <c r="H1321" s="27">
        <f>IF($G1321&lt;&gt;0,SUMIF(куб!$G:$G,$G1321,куб!H:H),IF($E1321&lt;&gt;0,SUMIF(куб!$E:$E,$E1321,куб!H:H),IF($D1321&lt;&gt;0,SUMIF(куб!$D:$D,$D1321,куб!H:H),IF($C1321&lt;&gt;0,SUMIF(куб!$C:$C,$C1321,куб!H:H),IF($B1321&lt;&gt;0,SUMIF(куб!$B:$B,$B1321,куб!H:H),IF($G1321&lt;&gt;0,SUMIF(куб!$A:$A,$G1321,куб!H:H),SUMIF(куб!$A:$A,$G1321,куб!H:H)))))))</f>
        <v>0</v>
      </c>
      <c r="I1321" s="27">
        <f>IF($G1321&lt;&gt;0,SUMIF(куб!$G:$G,$G1321,куб!I:I),IF($E1321&lt;&gt;0,SUMIF(куб!$E:$E,$E1321,куб!I:I),IF($D1321&lt;&gt;0,SUMIF(куб!$D:$D,$D1321,куб!I:I),IF($C1321&lt;&gt;0,SUMIF(куб!$C:$C,$C1321,куб!I:I),IF($B1321&lt;&gt;0,SUMIF(куб!$B:$B,$B1321,куб!I:I),IF($G1321&lt;&gt;0,SUMIF(куб!$A:$A,$G1321,куб!I:I),SUMIF(куб!$A:$A,$G1321,куб!I:I)))))))</f>
        <v>0</v>
      </c>
      <c r="J1321" s="19" t="str">
        <f t="shared" si="399"/>
        <v>-</v>
      </c>
      <c r="K1321" s="8"/>
      <c r="L1321" s="17">
        <f t="shared" si="400"/>
        <v>0</v>
      </c>
      <c r="M1321" s="17">
        <f t="shared" si="401"/>
        <v>0</v>
      </c>
      <c r="N1321" s="12">
        <f t="shared" si="402"/>
        <v>0</v>
      </c>
      <c r="O1321" s="5"/>
      <c r="P1321" s="27" t="b">
        <f>IF($G1321&lt;&gt;0,SUMIF(куб!$G:$G,$G1321,куб!J:J),IF($E1321&lt;&gt;0,SUMIF(куб!$E:$E,$E1321,куб!J:J),IF($D1321&lt;&gt;0,SUMIF(куб!$D:$D,$D1321,куб!J:J),IF($C1321&lt;&gt;0,SUMIF(куб!$C:$C,$C1321,куб!J:J),IF($B1321&lt;&gt;0,SUMIF(куб!$B:$B,$B1321,куб!J:J))))))</f>
        <v>0</v>
      </c>
      <c r="Q1321" s="27" t="b">
        <f>IF($G1321&lt;&gt;0,SUMIF(куб!$G:$G,$G1321,куб!K:K),IF($E1321&lt;&gt;0,SUMIF(куб!$E:$E,$E1321,куб!K:K),IF($D1321&lt;&gt;0,SUMIF(куб!$D:$D,$D1321,куб!K:K),IF($C1321&lt;&gt;0,SUMIF(куб!$C:$C,$C1321,куб!K:K),IF($B1321&lt;&gt;0,SUMIF(куб!$B:$B,$B1321,куб!K:K))))))</f>
        <v>0</v>
      </c>
      <c r="R1321" s="13" t="str">
        <f t="shared" si="403"/>
        <v>-</v>
      </c>
      <c r="S1321" s="5"/>
      <c r="T1321" s="27" t="b">
        <f>IF($G1321&lt;&gt;0,SUMIF(куб!$G:$G,$G1321,куб!L:L),IF($E1321&lt;&gt;0,SUMIF(куб!$E:$E,$E1321,куб!L:L),IF($D1321&lt;&gt;0,SUMIF(куб!$D:$D,$D1321,куб!L:L),IF($C1321&lt;&gt;0,SUMIF(куб!$C:$C,$C1321,куб!L:L),IF($B1321&lt;&gt;0,SUMIF(куб!$B:$B,$B1321,куб!L:L))))))</f>
        <v>0</v>
      </c>
      <c r="U1321" s="27" t="b">
        <f>IF($G1321&lt;&gt;0,SUMIF(куб!$G:$G,$G1321,куб!M:M),IF($E1321&lt;&gt;0,SUMIF(куб!$E:$E,$E1321,куб!M:M),IF($D1321&lt;&gt;0,SUMIF(куб!$D:$D,$D1321,куб!M:M),IF($C1321&lt;&gt;0,SUMIF(куб!$C:$C,$C1321,куб!M:M),IF($B1321&lt;&gt;0,SUMIF(куб!$B:$B,$B1321,куб!M:M))))))</f>
        <v>0</v>
      </c>
      <c r="V1321" s="13" t="str">
        <f t="shared" si="404"/>
        <v>-</v>
      </c>
      <c r="W1321" s="5"/>
      <c r="X1321" s="27" t="b">
        <f>IF($G1321&lt;&gt;0,SUMIF(куб!$G:$G,$G1321,куб!N:N),IF($E1321&lt;&gt;0,SUMIF(куб!$E:$E,$E1321,куб!N:N),IF($D1321&lt;&gt;0,SUMIF(куб!$D:$D,$D1321,куб!N:N),IF($C1321&lt;&gt;0,SUMIF(куб!$C:$C,$C1321,куб!N:N),IF($B1321&lt;&gt;0,SUMIF(куб!$B:$B,$B1321,куб!N:N))))))</f>
        <v>0</v>
      </c>
      <c r="Y1321" s="27" t="b">
        <f>IF($G1321&lt;&gt;0,SUMIF(куб!$G:$G,$G1321,куб!O:O),IF($E1321&lt;&gt;0,SUMIF(куб!$E:$E,$E1321,куб!O:O),IF($D1321&lt;&gt;0,SUMIF(куб!$D:$D,$D1321,куб!O:O),IF($C1321&lt;&gt;0,SUMIF(куб!$C:$C,$C1321,куб!O:O),IF($B1321&lt;&gt;0,SUMIF(куб!$B:$B,$B1321,куб!O:O))))))</f>
        <v>0</v>
      </c>
      <c r="Z1321" s="13" t="str">
        <f t="shared" si="405"/>
        <v>-</v>
      </c>
      <c r="AA1321" s="5"/>
      <c r="AB1321" s="33" t="str">
        <f t="shared" si="406"/>
        <v/>
      </c>
      <c r="AC1321" s="33" t="str">
        <f t="shared" si="407"/>
        <v/>
      </c>
      <c r="AD1321" s="15" t="str">
        <f t="shared" si="408"/>
        <v xml:space="preserve"> </v>
      </c>
      <c r="AE1321" s="5"/>
      <c r="AF1321" s="27" t="b">
        <f>IF($G1321&lt;&gt;0,SUMIF(куб!$G:$G,$G1321,куб!R:R),IF($E1321&lt;&gt;0,SUMIF(куб!$E:$E,$E1321,куб!R:R),IF($D1321&lt;&gt;0,SUMIF(куб!$D:$D,$D1321,куб!R:R),IF($C1321&lt;&gt;0,SUMIF(куб!$C:$C,$C1321,куб!R:R),IF($B1321&lt;&gt;0,SUMIF(куб!$B:$B,$B1321,куб!R:R))))))</f>
        <v>0</v>
      </c>
      <c r="AG1321" s="27" t="b">
        <f>IF($G1321&lt;&gt;0,SUMIF(куб!$G:$G,$G1321,куб!S:S),IF($E1321&lt;&gt;0,SUMIF(куб!$E:$E,$E1321,куб!S:S),IF($D1321&lt;&gt;0,SUMIF(куб!$D:$D,$D1321,куб!S:S),IF($C1321&lt;&gt;0,SUMIF(куб!$C:$C,$C1321,куб!S:S),IF($B1321&lt;&gt;0,SUMIF(куб!$B:$B,$B1321,куб!S:S))))))</f>
        <v>0</v>
      </c>
      <c r="AH1321" s="16" t="str">
        <f t="shared" si="409"/>
        <v>-</v>
      </c>
      <c r="AI1321" s="8"/>
      <c r="AJ1321" s="27" t="b">
        <f>IF($G1321&lt;&gt;0,SUMIF(куб!$G:$G,$G1321,куб!T:T),IF($E1321&lt;&gt;0,SUMIF(куб!$E:$E,$E1321,куб!T:T),IF($D1321&lt;&gt;0,SUMIF(куб!$D:$D,$D1321,куб!T:T),IF($C1321&lt;&gt;0,SUMIF(куб!$C:$C,$C1321,куб!T:T),IF($B1321&lt;&gt;0,SUMIF(куб!$B:$B,$B1321,куб!T:T))))))</f>
        <v>0</v>
      </c>
      <c r="AK1321" s="27" t="b">
        <f>IF($G1321&lt;&gt;0,SUMIF(куб!$G:$G,$G1321,куб!U:U),IF($E1321&lt;&gt;0,SUMIF(куб!$E:$E,$E1321,куб!U:U),IF($D1321&lt;&gt;0,SUMIF(куб!$D:$D,$D1321,куб!U:U),IF($C1321&lt;&gt;0,SUMIF(куб!$C:$C,$C1321,куб!U:U),IF($B1321&lt;&gt;0,SUMIF(куб!$B:$B,$B1321,куб!U:U))))))</f>
        <v>0</v>
      </c>
      <c r="AL1321" s="16" t="str">
        <f t="shared" si="410"/>
        <v>-</v>
      </c>
      <c r="AM1321" s="8"/>
      <c r="AN1321" s="17" t="str">
        <f t="shared" si="411"/>
        <v xml:space="preserve"> </v>
      </c>
      <c r="AO1321" s="17" t="str">
        <f t="shared" si="412"/>
        <v xml:space="preserve"> </v>
      </c>
      <c r="AP1321" s="16" t="str">
        <f t="shared" si="413"/>
        <v>-</v>
      </c>
      <c r="AQ1321" s="8"/>
      <c r="AR1321" s="17" t="str">
        <f t="shared" si="414"/>
        <v>-</v>
      </c>
      <c r="AS1321" s="17" t="str">
        <f t="shared" si="415"/>
        <v>-</v>
      </c>
      <c r="AT1321" s="13" t="str">
        <f t="shared" si="416"/>
        <v>-</v>
      </c>
      <c r="AU1321" s="8"/>
    </row>
    <row r="1322" spans="8:47" x14ac:dyDescent="0.25">
      <c r="H1322" s="27">
        <f>IF($G1322&lt;&gt;0,SUMIF(куб!$G:$G,$G1322,куб!H:H),IF($E1322&lt;&gt;0,SUMIF(куб!$E:$E,$E1322,куб!H:H),IF($D1322&lt;&gt;0,SUMIF(куб!$D:$D,$D1322,куб!H:H),IF($C1322&lt;&gt;0,SUMIF(куб!$C:$C,$C1322,куб!H:H),IF($B1322&lt;&gt;0,SUMIF(куб!$B:$B,$B1322,куб!H:H),IF($G1322&lt;&gt;0,SUMIF(куб!$A:$A,$G1322,куб!H:H),SUMIF(куб!$A:$A,$G1322,куб!H:H)))))))</f>
        <v>0</v>
      </c>
      <c r="I1322" s="27">
        <f>IF($G1322&lt;&gt;0,SUMIF(куб!$G:$G,$G1322,куб!I:I),IF($E1322&lt;&gt;0,SUMIF(куб!$E:$E,$E1322,куб!I:I),IF($D1322&lt;&gt;0,SUMIF(куб!$D:$D,$D1322,куб!I:I),IF($C1322&lt;&gt;0,SUMIF(куб!$C:$C,$C1322,куб!I:I),IF($B1322&lt;&gt;0,SUMIF(куб!$B:$B,$B1322,куб!I:I),IF($G1322&lt;&gt;0,SUMIF(куб!$A:$A,$G1322,куб!I:I),SUMIF(куб!$A:$A,$G1322,куб!I:I)))))))</f>
        <v>0</v>
      </c>
      <c r="J1322" s="19" t="str">
        <f t="shared" si="399"/>
        <v>-</v>
      </c>
      <c r="K1322" s="8"/>
      <c r="L1322" s="17">
        <f t="shared" si="400"/>
        <v>0</v>
      </c>
      <c r="M1322" s="17">
        <f t="shared" si="401"/>
        <v>0</v>
      </c>
      <c r="N1322" s="12">
        <f t="shared" si="402"/>
        <v>0</v>
      </c>
      <c r="O1322" s="5"/>
      <c r="P1322" s="27" t="b">
        <f>IF($G1322&lt;&gt;0,SUMIF(куб!$G:$G,$G1322,куб!J:J),IF($E1322&lt;&gt;0,SUMIF(куб!$E:$E,$E1322,куб!J:J),IF($D1322&lt;&gt;0,SUMIF(куб!$D:$D,$D1322,куб!J:J),IF($C1322&lt;&gt;0,SUMIF(куб!$C:$C,$C1322,куб!J:J),IF($B1322&lt;&gt;0,SUMIF(куб!$B:$B,$B1322,куб!J:J))))))</f>
        <v>0</v>
      </c>
      <c r="Q1322" s="27" t="b">
        <f>IF($G1322&lt;&gt;0,SUMIF(куб!$G:$G,$G1322,куб!K:K),IF($E1322&lt;&gt;0,SUMIF(куб!$E:$E,$E1322,куб!K:K),IF($D1322&lt;&gt;0,SUMIF(куб!$D:$D,$D1322,куб!K:K),IF($C1322&lt;&gt;0,SUMIF(куб!$C:$C,$C1322,куб!K:K),IF($B1322&lt;&gt;0,SUMIF(куб!$B:$B,$B1322,куб!K:K))))))</f>
        <v>0</v>
      </c>
      <c r="R1322" s="13" t="str">
        <f t="shared" si="403"/>
        <v>-</v>
      </c>
      <c r="S1322" s="5"/>
      <c r="T1322" s="27" t="b">
        <f>IF($G1322&lt;&gt;0,SUMIF(куб!$G:$G,$G1322,куб!L:L),IF($E1322&lt;&gt;0,SUMIF(куб!$E:$E,$E1322,куб!L:L),IF($D1322&lt;&gt;0,SUMIF(куб!$D:$D,$D1322,куб!L:L),IF($C1322&lt;&gt;0,SUMIF(куб!$C:$C,$C1322,куб!L:L),IF($B1322&lt;&gt;0,SUMIF(куб!$B:$B,$B1322,куб!L:L))))))</f>
        <v>0</v>
      </c>
      <c r="U1322" s="27" t="b">
        <f>IF($G1322&lt;&gt;0,SUMIF(куб!$G:$G,$G1322,куб!M:M),IF($E1322&lt;&gt;0,SUMIF(куб!$E:$E,$E1322,куб!M:M),IF($D1322&lt;&gt;0,SUMIF(куб!$D:$D,$D1322,куб!M:M),IF($C1322&lt;&gt;0,SUMIF(куб!$C:$C,$C1322,куб!M:M),IF($B1322&lt;&gt;0,SUMIF(куб!$B:$B,$B1322,куб!M:M))))))</f>
        <v>0</v>
      </c>
      <c r="V1322" s="13" t="str">
        <f t="shared" si="404"/>
        <v>-</v>
      </c>
      <c r="W1322" s="5"/>
      <c r="X1322" s="27" t="b">
        <f>IF($G1322&lt;&gt;0,SUMIF(куб!$G:$G,$G1322,куб!N:N),IF($E1322&lt;&gt;0,SUMIF(куб!$E:$E,$E1322,куб!N:N),IF($D1322&lt;&gt;0,SUMIF(куб!$D:$D,$D1322,куб!N:N),IF($C1322&lt;&gt;0,SUMIF(куб!$C:$C,$C1322,куб!N:N),IF($B1322&lt;&gt;0,SUMIF(куб!$B:$B,$B1322,куб!N:N))))))</f>
        <v>0</v>
      </c>
      <c r="Y1322" s="27" t="b">
        <f>IF($G1322&lt;&gt;0,SUMIF(куб!$G:$G,$G1322,куб!O:O),IF($E1322&lt;&gt;0,SUMIF(куб!$E:$E,$E1322,куб!O:O),IF($D1322&lt;&gt;0,SUMIF(куб!$D:$D,$D1322,куб!O:O),IF($C1322&lt;&gt;0,SUMIF(куб!$C:$C,$C1322,куб!O:O),IF($B1322&lt;&gt;0,SUMIF(куб!$B:$B,$B1322,куб!O:O))))))</f>
        <v>0</v>
      </c>
      <c r="Z1322" s="13" t="str">
        <f t="shared" si="405"/>
        <v>-</v>
      </c>
      <c r="AA1322" s="5"/>
      <c r="AB1322" s="33" t="str">
        <f t="shared" si="406"/>
        <v/>
      </c>
      <c r="AC1322" s="33" t="str">
        <f t="shared" si="407"/>
        <v/>
      </c>
      <c r="AD1322" s="15" t="str">
        <f t="shared" si="408"/>
        <v xml:space="preserve"> </v>
      </c>
      <c r="AE1322" s="5"/>
      <c r="AF1322" s="27" t="b">
        <f>IF($G1322&lt;&gt;0,SUMIF(куб!$G:$G,$G1322,куб!R:R),IF($E1322&lt;&gt;0,SUMIF(куб!$E:$E,$E1322,куб!R:R),IF($D1322&lt;&gt;0,SUMIF(куб!$D:$D,$D1322,куб!R:R),IF($C1322&lt;&gt;0,SUMIF(куб!$C:$C,$C1322,куб!R:R),IF($B1322&lt;&gt;0,SUMIF(куб!$B:$B,$B1322,куб!R:R))))))</f>
        <v>0</v>
      </c>
      <c r="AG1322" s="27" t="b">
        <f>IF($G1322&lt;&gt;0,SUMIF(куб!$G:$G,$G1322,куб!S:S),IF($E1322&lt;&gt;0,SUMIF(куб!$E:$E,$E1322,куб!S:S),IF($D1322&lt;&gt;0,SUMIF(куб!$D:$D,$D1322,куб!S:S),IF($C1322&lt;&gt;0,SUMIF(куб!$C:$C,$C1322,куб!S:S),IF($B1322&lt;&gt;0,SUMIF(куб!$B:$B,$B1322,куб!S:S))))))</f>
        <v>0</v>
      </c>
      <c r="AH1322" s="16" t="str">
        <f t="shared" si="409"/>
        <v>-</v>
      </c>
      <c r="AI1322" s="8"/>
      <c r="AJ1322" s="27" t="b">
        <f>IF($G1322&lt;&gt;0,SUMIF(куб!$G:$G,$G1322,куб!T:T),IF($E1322&lt;&gt;0,SUMIF(куб!$E:$E,$E1322,куб!T:T),IF($D1322&lt;&gt;0,SUMIF(куб!$D:$D,$D1322,куб!T:T),IF($C1322&lt;&gt;0,SUMIF(куб!$C:$C,$C1322,куб!T:T),IF($B1322&lt;&gt;0,SUMIF(куб!$B:$B,$B1322,куб!T:T))))))</f>
        <v>0</v>
      </c>
      <c r="AK1322" s="27" t="b">
        <f>IF($G1322&lt;&gt;0,SUMIF(куб!$G:$G,$G1322,куб!U:U),IF($E1322&lt;&gt;0,SUMIF(куб!$E:$E,$E1322,куб!U:U),IF($D1322&lt;&gt;0,SUMIF(куб!$D:$D,$D1322,куб!U:U),IF($C1322&lt;&gt;0,SUMIF(куб!$C:$C,$C1322,куб!U:U),IF($B1322&lt;&gt;0,SUMIF(куб!$B:$B,$B1322,куб!U:U))))))</f>
        <v>0</v>
      </c>
      <c r="AL1322" s="16" t="str">
        <f t="shared" si="410"/>
        <v>-</v>
      </c>
      <c r="AM1322" s="8"/>
      <c r="AN1322" s="17" t="str">
        <f t="shared" si="411"/>
        <v xml:space="preserve"> </v>
      </c>
      <c r="AO1322" s="17" t="str">
        <f t="shared" si="412"/>
        <v xml:space="preserve"> </v>
      </c>
      <c r="AP1322" s="16" t="str">
        <f t="shared" si="413"/>
        <v>-</v>
      </c>
      <c r="AQ1322" s="8"/>
      <c r="AR1322" s="17" t="str">
        <f t="shared" si="414"/>
        <v>-</v>
      </c>
      <c r="AS1322" s="17" t="str">
        <f t="shared" si="415"/>
        <v>-</v>
      </c>
      <c r="AT1322" s="13" t="str">
        <f t="shared" si="416"/>
        <v>-</v>
      </c>
      <c r="AU1322" s="8"/>
    </row>
    <row r="1323" spans="8:47" x14ac:dyDescent="0.25">
      <c r="H1323" s="27">
        <f>IF($G1323&lt;&gt;0,SUMIF(куб!$G:$G,$G1323,куб!H:H),IF($E1323&lt;&gt;0,SUMIF(куб!$E:$E,$E1323,куб!H:H),IF($D1323&lt;&gt;0,SUMIF(куб!$D:$D,$D1323,куб!H:H),IF($C1323&lt;&gt;0,SUMIF(куб!$C:$C,$C1323,куб!H:H),IF($B1323&lt;&gt;0,SUMIF(куб!$B:$B,$B1323,куб!H:H),IF($G1323&lt;&gt;0,SUMIF(куб!$A:$A,$G1323,куб!H:H),SUMIF(куб!$A:$A,$G1323,куб!H:H)))))))</f>
        <v>0</v>
      </c>
      <c r="I1323" s="27">
        <f>IF($G1323&lt;&gt;0,SUMIF(куб!$G:$G,$G1323,куб!I:I),IF($E1323&lt;&gt;0,SUMIF(куб!$E:$E,$E1323,куб!I:I),IF($D1323&lt;&gt;0,SUMIF(куб!$D:$D,$D1323,куб!I:I),IF($C1323&lt;&gt;0,SUMIF(куб!$C:$C,$C1323,куб!I:I),IF($B1323&lt;&gt;0,SUMIF(куб!$B:$B,$B1323,куб!I:I),IF($G1323&lt;&gt;0,SUMIF(куб!$A:$A,$G1323,куб!I:I),SUMIF(куб!$A:$A,$G1323,куб!I:I)))))))</f>
        <v>0</v>
      </c>
      <c r="J1323" s="19" t="str">
        <f t="shared" si="399"/>
        <v>-</v>
      </c>
      <c r="K1323" s="8"/>
      <c r="L1323" s="17">
        <f t="shared" si="400"/>
        <v>0</v>
      </c>
      <c r="M1323" s="17">
        <f t="shared" si="401"/>
        <v>0</v>
      </c>
      <c r="N1323" s="12">
        <f t="shared" si="402"/>
        <v>0</v>
      </c>
      <c r="O1323" s="5"/>
      <c r="P1323" s="27" t="b">
        <f>IF($G1323&lt;&gt;0,SUMIF(куб!$G:$G,$G1323,куб!J:J),IF($E1323&lt;&gt;0,SUMIF(куб!$E:$E,$E1323,куб!J:J),IF($D1323&lt;&gt;0,SUMIF(куб!$D:$D,$D1323,куб!J:J),IF($C1323&lt;&gt;0,SUMIF(куб!$C:$C,$C1323,куб!J:J),IF($B1323&lt;&gt;0,SUMIF(куб!$B:$B,$B1323,куб!J:J))))))</f>
        <v>0</v>
      </c>
      <c r="Q1323" s="27" t="b">
        <f>IF($G1323&lt;&gt;0,SUMIF(куб!$G:$G,$G1323,куб!K:K),IF($E1323&lt;&gt;0,SUMIF(куб!$E:$E,$E1323,куб!K:K),IF($D1323&lt;&gt;0,SUMIF(куб!$D:$D,$D1323,куб!K:K),IF($C1323&lt;&gt;0,SUMIF(куб!$C:$C,$C1323,куб!K:K),IF($B1323&lt;&gt;0,SUMIF(куб!$B:$B,$B1323,куб!K:K))))))</f>
        <v>0</v>
      </c>
      <c r="R1323" s="13" t="str">
        <f t="shared" si="403"/>
        <v>-</v>
      </c>
      <c r="S1323" s="5"/>
      <c r="T1323" s="27" t="b">
        <f>IF($G1323&lt;&gt;0,SUMIF(куб!$G:$G,$G1323,куб!L:L),IF($E1323&lt;&gt;0,SUMIF(куб!$E:$E,$E1323,куб!L:L),IF($D1323&lt;&gt;0,SUMIF(куб!$D:$D,$D1323,куб!L:L),IF($C1323&lt;&gt;0,SUMIF(куб!$C:$C,$C1323,куб!L:L),IF($B1323&lt;&gt;0,SUMIF(куб!$B:$B,$B1323,куб!L:L))))))</f>
        <v>0</v>
      </c>
      <c r="U1323" s="27" t="b">
        <f>IF($G1323&lt;&gt;0,SUMIF(куб!$G:$G,$G1323,куб!M:M),IF($E1323&lt;&gt;0,SUMIF(куб!$E:$E,$E1323,куб!M:M),IF($D1323&lt;&gt;0,SUMIF(куб!$D:$D,$D1323,куб!M:M),IF($C1323&lt;&gt;0,SUMIF(куб!$C:$C,$C1323,куб!M:M),IF($B1323&lt;&gt;0,SUMIF(куб!$B:$B,$B1323,куб!M:M))))))</f>
        <v>0</v>
      </c>
      <c r="V1323" s="13" t="str">
        <f t="shared" si="404"/>
        <v>-</v>
      </c>
      <c r="W1323" s="5"/>
      <c r="X1323" s="27" t="b">
        <f>IF($G1323&lt;&gt;0,SUMIF(куб!$G:$G,$G1323,куб!N:N),IF($E1323&lt;&gt;0,SUMIF(куб!$E:$E,$E1323,куб!N:N),IF($D1323&lt;&gt;0,SUMIF(куб!$D:$D,$D1323,куб!N:N),IF($C1323&lt;&gt;0,SUMIF(куб!$C:$C,$C1323,куб!N:N),IF($B1323&lt;&gt;0,SUMIF(куб!$B:$B,$B1323,куб!N:N))))))</f>
        <v>0</v>
      </c>
      <c r="Y1323" s="27" t="b">
        <f>IF($G1323&lt;&gt;0,SUMIF(куб!$G:$G,$G1323,куб!O:O),IF($E1323&lt;&gt;0,SUMIF(куб!$E:$E,$E1323,куб!O:O),IF($D1323&lt;&gt;0,SUMIF(куб!$D:$D,$D1323,куб!O:O),IF($C1323&lt;&gt;0,SUMIF(куб!$C:$C,$C1323,куб!O:O),IF($B1323&lt;&gt;0,SUMIF(куб!$B:$B,$B1323,куб!O:O))))))</f>
        <v>0</v>
      </c>
      <c r="Z1323" s="13" t="str">
        <f t="shared" si="405"/>
        <v>-</v>
      </c>
      <c r="AA1323" s="5"/>
      <c r="AB1323" s="33" t="str">
        <f t="shared" si="406"/>
        <v/>
      </c>
      <c r="AC1323" s="33" t="str">
        <f t="shared" si="407"/>
        <v/>
      </c>
      <c r="AD1323" s="15" t="str">
        <f t="shared" si="408"/>
        <v xml:space="preserve"> </v>
      </c>
      <c r="AE1323" s="5"/>
      <c r="AF1323" s="27" t="b">
        <f>IF($G1323&lt;&gt;0,SUMIF(куб!$G:$G,$G1323,куб!R:R),IF($E1323&lt;&gt;0,SUMIF(куб!$E:$E,$E1323,куб!R:R),IF($D1323&lt;&gt;0,SUMIF(куб!$D:$D,$D1323,куб!R:R),IF($C1323&lt;&gt;0,SUMIF(куб!$C:$C,$C1323,куб!R:R),IF($B1323&lt;&gt;0,SUMIF(куб!$B:$B,$B1323,куб!R:R))))))</f>
        <v>0</v>
      </c>
      <c r="AG1323" s="27" t="b">
        <f>IF($G1323&lt;&gt;0,SUMIF(куб!$G:$G,$G1323,куб!S:S),IF($E1323&lt;&gt;0,SUMIF(куб!$E:$E,$E1323,куб!S:S),IF($D1323&lt;&gt;0,SUMIF(куб!$D:$D,$D1323,куб!S:S),IF($C1323&lt;&gt;0,SUMIF(куб!$C:$C,$C1323,куб!S:S),IF($B1323&lt;&gt;0,SUMIF(куб!$B:$B,$B1323,куб!S:S))))))</f>
        <v>0</v>
      </c>
      <c r="AH1323" s="16" t="str">
        <f t="shared" si="409"/>
        <v>-</v>
      </c>
      <c r="AI1323" s="8"/>
      <c r="AJ1323" s="27" t="b">
        <f>IF($G1323&lt;&gt;0,SUMIF(куб!$G:$G,$G1323,куб!T:T),IF($E1323&lt;&gt;0,SUMIF(куб!$E:$E,$E1323,куб!T:T),IF($D1323&lt;&gt;0,SUMIF(куб!$D:$D,$D1323,куб!T:T),IF($C1323&lt;&gt;0,SUMIF(куб!$C:$C,$C1323,куб!T:T),IF($B1323&lt;&gt;0,SUMIF(куб!$B:$B,$B1323,куб!T:T))))))</f>
        <v>0</v>
      </c>
      <c r="AK1323" s="27" t="b">
        <f>IF($G1323&lt;&gt;0,SUMIF(куб!$G:$G,$G1323,куб!U:U),IF($E1323&lt;&gt;0,SUMIF(куб!$E:$E,$E1323,куб!U:U),IF($D1323&lt;&gt;0,SUMIF(куб!$D:$D,$D1323,куб!U:U),IF($C1323&lt;&gt;0,SUMIF(куб!$C:$C,$C1323,куб!U:U),IF($B1323&lt;&gt;0,SUMIF(куб!$B:$B,$B1323,куб!U:U))))))</f>
        <v>0</v>
      </c>
      <c r="AL1323" s="16" t="str">
        <f t="shared" si="410"/>
        <v>-</v>
      </c>
      <c r="AM1323" s="8"/>
      <c r="AN1323" s="17" t="str">
        <f t="shared" si="411"/>
        <v xml:space="preserve"> </v>
      </c>
      <c r="AO1323" s="17" t="str">
        <f t="shared" si="412"/>
        <v xml:space="preserve"> </v>
      </c>
      <c r="AP1323" s="16" t="str">
        <f t="shared" si="413"/>
        <v>-</v>
      </c>
      <c r="AQ1323" s="8"/>
      <c r="AR1323" s="17" t="str">
        <f t="shared" si="414"/>
        <v>-</v>
      </c>
      <c r="AS1323" s="17" t="str">
        <f t="shared" si="415"/>
        <v>-</v>
      </c>
      <c r="AT1323" s="13" t="str">
        <f t="shared" si="416"/>
        <v>-</v>
      </c>
      <c r="AU1323" s="8"/>
    </row>
  </sheetData>
  <autoFilter ref="A2:J1323"/>
  <mergeCells count="10">
    <mergeCell ref="AF1:AH1"/>
    <mergeCell ref="AJ1:AL1"/>
    <mergeCell ref="AN1:AP1"/>
    <mergeCell ref="AR1:AT1"/>
    <mergeCell ref="H1:J1"/>
    <mergeCell ref="L1:N1"/>
    <mergeCell ref="P1:R1"/>
    <mergeCell ref="X1:Z1"/>
    <mergeCell ref="AB1:AD1"/>
    <mergeCell ref="T1:V1"/>
  </mergeCells>
  <conditionalFormatting sqref="J3:J1323 N3:N1323 R3:R1323 Z3:Z1323 AD3:AD1323 AT4:AT1323">
    <cfRule type="cellIs" dxfId="25" priority="49" operator="greaterThan">
      <formula>0</formula>
    </cfRule>
    <cfRule type="cellIs" dxfId="24" priority="50" operator="lessThan">
      <formula>0</formula>
    </cfRule>
  </conditionalFormatting>
  <conditionalFormatting sqref="AP4:AP1323">
    <cfRule type="cellIs" dxfId="23" priority="47" operator="greaterThan">
      <formula>0</formula>
    </cfRule>
    <cfRule type="cellIs" dxfId="22" priority="48" operator="lessThan">
      <formula>0</formula>
    </cfRule>
  </conditionalFormatting>
  <conditionalFormatting sqref="AH3:AH1323 AL3:AL1323">
    <cfRule type="cellIs" dxfId="21" priority="45" operator="greaterThan">
      <formula>0</formula>
    </cfRule>
    <cfRule type="cellIs" dxfId="20" priority="46" operator="lessThan">
      <formula>0</formula>
    </cfRule>
  </conditionalFormatting>
  <conditionalFormatting sqref="AP3:AP1323">
    <cfRule type="cellIs" dxfId="19" priority="43" operator="greaterThan">
      <formula>0</formula>
    </cfRule>
    <cfRule type="cellIs" dxfId="18" priority="44" operator="lessThan">
      <formula>0</formula>
    </cfRule>
  </conditionalFormatting>
  <conditionalFormatting sqref="AT3">
    <cfRule type="cellIs" dxfId="17" priority="41" operator="greaterThan">
      <formula>0</formula>
    </cfRule>
    <cfRule type="cellIs" dxfId="16" priority="42" operator="lessThan">
      <formula>0</formula>
    </cfRule>
  </conditionalFormatting>
  <conditionalFormatting sqref="J3:J1323 R3:R1323 Z3:Z1323 AH3:AH1323 AL3:AL1323 AT3:AT1323 AP3:AP1323">
    <cfRule type="cellIs" dxfId="15" priority="39" operator="greaterThan">
      <formula>0</formula>
    </cfRule>
    <cfRule type="cellIs" dxfId="14" priority="40" operator="lessThan">
      <formula>0</formula>
    </cfRule>
  </conditionalFormatting>
  <conditionalFormatting sqref="AD3:AD1323">
    <cfRule type="cellIs" dxfId="13" priority="38" operator="greaterThan">
      <formula>0</formula>
    </cfRule>
  </conditionalFormatting>
  <conditionalFormatting sqref="N3:N1323">
    <cfRule type="cellIs" dxfId="12" priority="37" operator="greaterThan">
      <formula>0</formula>
    </cfRule>
  </conditionalFormatting>
  <conditionalFormatting sqref="V3:V1323">
    <cfRule type="cellIs" dxfId="11" priority="35" operator="greaterThan">
      <formula>0</formula>
    </cfRule>
    <cfRule type="cellIs" dxfId="10" priority="36" operator="lessThan">
      <formula>0</formula>
    </cfRule>
  </conditionalFormatting>
  <conditionalFormatting sqref="V3:V1323">
    <cfRule type="cellIs" dxfId="9" priority="33" operator="greaterThan">
      <formula>0</formula>
    </cfRule>
    <cfRule type="cellIs" dxfId="8" priority="34" operator="lessThan">
      <formula>0</formula>
    </cfRule>
  </conditionalFormatting>
  <conditionalFormatting sqref="AL3:AL1323">
    <cfRule type="cellIs" dxfId="7" priority="31" operator="lessThan">
      <formula>0</formula>
    </cfRule>
    <cfRule type="cellIs" dxfId="6" priority="32" operator="greaterThan">
      <formula>0</formula>
    </cfRule>
  </conditionalFormatting>
  <conditionalFormatting sqref="AH3:AH1323">
    <cfRule type="cellIs" dxfId="5" priority="29" operator="lessThan">
      <formula>0</formula>
    </cfRule>
    <cfRule type="cellIs" dxfId="4" priority="30" operator="greaterThan">
      <formula>0</formula>
    </cfRule>
  </conditionalFormatting>
  <conditionalFormatting sqref="AP3:AP1323">
    <cfRule type="cellIs" dxfId="3" priority="27" operator="greaterThan">
      <formula>0</formula>
    </cfRule>
    <cfRule type="cellIs" dxfId="2" priority="28" operator="lessThan">
      <formula>0</formula>
    </cfRule>
  </conditionalFormatting>
  <conditionalFormatting sqref="AP3:AP1323">
    <cfRule type="cellIs" dxfId="1" priority="25" operator="lessThan">
      <formula>0</formula>
    </cfRule>
    <cfRule type="cellIs" dxfId="0" priority="26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7:U251"/>
  <sheetViews>
    <sheetView topLeftCell="M1" zoomScale="80" zoomScaleNormal="80" workbookViewId="0">
      <selection activeCell="S14" sqref="S14"/>
    </sheetView>
  </sheetViews>
  <sheetFormatPr defaultRowHeight="15" x14ac:dyDescent="0.25"/>
  <cols>
    <col min="1" max="1" width="84.28515625" bestFit="1" customWidth="1"/>
    <col min="2" max="2" width="35" bestFit="1" customWidth="1"/>
    <col min="3" max="3" width="24" bestFit="1" customWidth="1"/>
    <col min="4" max="6" width="14" bestFit="1" customWidth="1"/>
    <col min="7" max="7" width="14.42578125" bestFit="1" customWidth="1"/>
    <col min="8" max="9" width="34.85546875" customWidth="1"/>
    <col min="10" max="21" width="34.85546875" bestFit="1" customWidth="1"/>
    <col min="22" max="28" width="34" bestFit="1" customWidth="1"/>
    <col min="29" max="213" width="15.42578125" bestFit="1" customWidth="1"/>
  </cols>
  <sheetData>
    <row r="7" spans="1:21" x14ac:dyDescent="0.25">
      <c r="A7" s="3" t="s">
        <v>30</v>
      </c>
      <c r="B7" t="s" vm="3">
        <v>24</v>
      </c>
    </row>
    <row r="8" spans="1:21" x14ac:dyDescent="0.25">
      <c r="A8" s="3" t="s">
        <v>0</v>
      </c>
      <c r="B8" t="s" vm="4">
        <v>1</v>
      </c>
    </row>
    <row r="9" spans="1:21" x14ac:dyDescent="0.25">
      <c r="A9" s="3" t="s">
        <v>2</v>
      </c>
      <c r="B9" t="s" vm="1">
        <v>1</v>
      </c>
    </row>
    <row r="10" spans="1:21" x14ac:dyDescent="0.25">
      <c r="A10" s="3" t="s">
        <v>3</v>
      </c>
      <c r="B10" t="s" vm="5">
        <v>33</v>
      </c>
    </row>
    <row r="11" spans="1:21" x14ac:dyDescent="0.25">
      <c r="A11" s="3" t="s">
        <v>28</v>
      </c>
      <c r="B11" t="s" vm="2">
        <v>29</v>
      </c>
    </row>
    <row r="13" spans="1:21" x14ac:dyDescent="0.25">
      <c r="H13" s="3" t="s">
        <v>5</v>
      </c>
      <c r="I13" s="3" t="s">
        <v>4</v>
      </c>
    </row>
    <row r="14" spans="1:21" x14ac:dyDescent="0.25">
      <c r="H14" t="s">
        <v>17</v>
      </c>
      <c r="J14" t="s">
        <v>9</v>
      </c>
      <c r="L14" t="s">
        <v>25</v>
      </c>
      <c r="N14" t="s">
        <v>18</v>
      </c>
      <c r="P14" t="s">
        <v>19</v>
      </c>
      <c r="R14" t="s">
        <v>20</v>
      </c>
      <c r="T14" t="s">
        <v>15</v>
      </c>
    </row>
    <row r="15" spans="1:21" x14ac:dyDescent="0.25">
      <c r="A15" s="3" t="s">
        <v>11</v>
      </c>
      <c r="B15" s="3" t="s">
        <v>12</v>
      </c>
      <c r="C15" s="3" t="s">
        <v>13</v>
      </c>
      <c r="D15" s="3" t="s">
        <v>6</v>
      </c>
      <c r="E15" s="3" t="s">
        <v>14</v>
      </c>
      <c r="F15" s="3" t="s">
        <v>7</v>
      </c>
      <c r="G15" s="3" t="s">
        <v>8</v>
      </c>
      <c r="H15" t="s">
        <v>27</v>
      </c>
      <c r="I15" t="s">
        <v>31</v>
      </c>
      <c r="J15" t="s">
        <v>27</v>
      </c>
      <c r="K15" t="s">
        <v>31</v>
      </c>
      <c r="L15" t="s">
        <v>27</v>
      </c>
      <c r="M15" t="s">
        <v>31</v>
      </c>
      <c r="N15" t="s">
        <v>27</v>
      </c>
      <c r="O15" t="s">
        <v>31</v>
      </c>
      <c r="P15" t="s">
        <v>27</v>
      </c>
      <c r="Q15" t="s">
        <v>31</v>
      </c>
      <c r="R15" t="s">
        <v>27</v>
      </c>
      <c r="S15" t="s">
        <v>31</v>
      </c>
      <c r="T15" t="s">
        <v>27</v>
      </c>
      <c r="U15" t="s">
        <v>31</v>
      </c>
    </row>
    <row r="16" spans="1:21" x14ac:dyDescent="0.25">
      <c r="A16" t="s">
        <v>26</v>
      </c>
      <c r="B16" t="s">
        <v>32</v>
      </c>
      <c r="C16" t="s">
        <v>33</v>
      </c>
      <c r="D16" t="s">
        <v>34</v>
      </c>
      <c r="E16" t="s">
        <v>35</v>
      </c>
      <c r="F16" t="s">
        <v>36</v>
      </c>
      <c r="G16" t="s">
        <v>37</v>
      </c>
      <c r="H16" s="1">
        <v>651118.42720000073</v>
      </c>
      <c r="I16" s="1"/>
      <c r="J16" s="2">
        <v>11700</v>
      </c>
      <c r="K16" s="2"/>
      <c r="L16" s="2">
        <v>11700</v>
      </c>
      <c r="M16" s="2"/>
      <c r="N16" s="1">
        <v>106648.98810000066</v>
      </c>
      <c r="O16" s="1"/>
      <c r="P16" s="4">
        <v>0.16379353377944228</v>
      </c>
      <c r="Q16" s="4"/>
      <c r="R16" s="2">
        <v>92408.176200000016</v>
      </c>
      <c r="S16" s="2"/>
      <c r="T16" s="2">
        <v>1999</v>
      </c>
      <c r="U16" s="2"/>
    </row>
    <row r="17" spans="1:21" x14ac:dyDescent="0.25">
      <c r="A17" t="s">
        <v>26</v>
      </c>
      <c r="B17" t="s">
        <v>32</v>
      </c>
      <c r="C17" t="s">
        <v>33</v>
      </c>
      <c r="D17" t="s">
        <v>34</v>
      </c>
      <c r="E17" t="s">
        <v>35</v>
      </c>
      <c r="F17" t="s">
        <v>38</v>
      </c>
      <c r="G17" t="s">
        <v>39</v>
      </c>
      <c r="H17" s="1">
        <v>464339.77830000059</v>
      </c>
      <c r="I17" s="1"/>
      <c r="J17" s="2">
        <v>8760</v>
      </c>
      <c r="K17" s="2"/>
      <c r="L17" s="2">
        <v>6745.1999999999898</v>
      </c>
      <c r="M17" s="2"/>
      <c r="N17" s="1">
        <v>39321.253100000729</v>
      </c>
      <c r="O17" s="1"/>
      <c r="P17" s="4">
        <v>8.4682068902130675E-2</v>
      </c>
      <c r="Q17" s="4"/>
      <c r="R17" s="2">
        <v>9688.8680999999997</v>
      </c>
      <c r="S17" s="2"/>
      <c r="T17" s="2">
        <v>204</v>
      </c>
      <c r="U17" s="2"/>
    </row>
    <row r="18" spans="1:21" x14ac:dyDescent="0.25">
      <c r="A18" t="s">
        <v>26</v>
      </c>
      <c r="B18" t="s">
        <v>32</v>
      </c>
      <c r="C18" t="s">
        <v>33</v>
      </c>
      <c r="D18" t="s">
        <v>34</v>
      </c>
      <c r="E18" t="s">
        <v>35</v>
      </c>
      <c r="F18" t="s">
        <v>40</v>
      </c>
      <c r="G18" t="s">
        <v>41</v>
      </c>
      <c r="H18" s="1">
        <v>87171.299800000008</v>
      </c>
      <c r="I18" s="1">
        <v>127422.58900000004</v>
      </c>
      <c r="J18" s="2">
        <v>980</v>
      </c>
      <c r="K18" s="2">
        <v>1331</v>
      </c>
      <c r="L18" s="2">
        <v>882.00000000000023</v>
      </c>
      <c r="M18" s="2">
        <v>1197.9000000000001</v>
      </c>
      <c r="N18" s="1">
        <v>7793.5365000000311</v>
      </c>
      <c r="O18" s="1">
        <v>12871.911499999973</v>
      </c>
      <c r="P18" s="4">
        <v>8.9404844460057378E-2</v>
      </c>
      <c r="Q18" s="4">
        <v>0.10101750090794318</v>
      </c>
      <c r="R18" s="2">
        <v>1589.7538999999999</v>
      </c>
      <c r="S18" s="2">
        <v>5680.1983999999993</v>
      </c>
      <c r="T18" s="2">
        <v>20</v>
      </c>
      <c r="U18" s="2">
        <v>66</v>
      </c>
    </row>
    <row r="19" spans="1:21" x14ac:dyDescent="0.25">
      <c r="A19" t="s">
        <v>26</v>
      </c>
      <c r="B19" t="s">
        <v>32</v>
      </c>
      <c r="C19" t="s">
        <v>33</v>
      </c>
      <c r="D19" t="s">
        <v>34</v>
      </c>
      <c r="E19" t="s">
        <v>35</v>
      </c>
      <c r="F19" t="s">
        <v>40</v>
      </c>
      <c r="G19" t="s">
        <v>42</v>
      </c>
      <c r="H19" s="1">
        <v>3160914.9930999991</v>
      </c>
      <c r="I19" s="1">
        <v>3912634.6828000001</v>
      </c>
      <c r="J19" s="2">
        <v>50950</v>
      </c>
      <c r="K19" s="2">
        <v>58641</v>
      </c>
      <c r="L19" s="2">
        <v>45855.000000000015</v>
      </c>
      <c r="M19" s="2">
        <v>52776.900000000009</v>
      </c>
      <c r="N19" s="1">
        <v>302008.80619999906</v>
      </c>
      <c r="O19" s="1">
        <v>456779.68029999966</v>
      </c>
      <c r="P19" s="4">
        <v>9.554474158883039E-2</v>
      </c>
      <c r="Q19" s="4">
        <v>0.11674478128714902</v>
      </c>
      <c r="R19" s="2">
        <v>14502.530799999999</v>
      </c>
      <c r="S19" s="2">
        <v>14171.293699999998</v>
      </c>
      <c r="T19" s="2">
        <v>262</v>
      </c>
      <c r="U19" s="2">
        <v>242</v>
      </c>
    </row>
    <row r="20" spans="1:21" x14ac:dyDescent="0.25">
      <c r="A20" t="s">
        <v>26</v>
      </c>
      <c r="B20" t="s">
        <v>32</v>
      </c>
      <c r="C20" t="s">
        <v>33</v>
      </c>
      <c r="D20" t="s">
        <v>34</v>
      </c>
      <c r="E20" t="s">
        <v>35</v>
      </c>
      <c r="F20" t="s">
        <v>43</v>
      </c>
      <c r="G20" t="s">
        <v>44</v>
      </c>
      <c r="H20" s="1"/>
      <c r="I20" s="1">
        <v>438235.66899999994</v>
      </c>
      <c r="J20" s="2"/>
      <c r="K20" s="2">
        <v>6980</v>
      </c>
      <c r="L20" s="2"/>
      <c r="M20" s="2">
        <v>6281.9999999999991</v>
      </c>
      <c r="N20" s="1"/>
      <c r="O20" s="1">
        <v>59503.182400000049</v>
      </c>
      <c r="P20" s="4"/>
      <c r="Q20" s="4">
        <v>0.1357789577826447</v>
      </c>
      <c r="R20" s="2"/>
      <c r="S20" s="2">
        <v>9135.1945999999989</v>
      </c>
      <c r="T20" s="2"/>
      <c r="U20" s="2">
        <v>168</v>
      </c>
    </row>
    <row r="21" spans="1:21" x14ac:dyDescent="0.25">
      <c r="A21" t="s">
        <v>26</v>
      </c>
      <c r="B21" t="s">
        <v>32</v>
      </c>
      <c r="C21" t="s">
        <v>33</v>
      </c>
      <c r="D21" t="s">
        <v>34</v>
      </c>
      <c r="E21" t="s">
        <v>35</v>
      </c>
      <c r="F21" t="s">
        <v>45</v>
      </c>
      <c r="G21" t="s">
        <v>46</v>
      </c>
      <c r="H21" s="1">
        <v>1334273.5273999998</v>
      </c>
      <c r="I21" s="1">
        <v>1740218.2068000005</v>
      </c>
      <c r="J21" s="2">
        <v>11524</v>
      </c>
      <c r="K21" s="2">
        <v>14924</v>
      </c>
      <c r="L21" s="2">
        <v>16133.600000000004</v>
      </c>
      <c r="M21" s="2">
        <v>20893.600000000002</v>
      </c>
      <c r="N21" s="1">
        <v>194414.13719999953</v>
      </c>
      <c r="O21" s="1">
        <v>206106.48990000016</v>
      </c>
      <c r="P21" s="4">
        <v>0.14570785765257591</v>
      </c>
      <c r="Q21" s="4">
        <v>0.11843715293554996</v>
      </c>
      <c r="R21" s="2">
        <v>1087.9992999999999</v>
      </c>
      <c r="S21" s="2">
        <v>6018.4346999999998</v>
      </c>
      <c r="T21" s="2">
        <v>11</v>
      </c>
      <c r="U21" s="2">
        <v>57</v>
      </c>
    </row>
    <row r="22" spans="1:21" x14ac:dyDescent="0.25">
      <c r="A22" t="s">
        <v>26</v>
      </c>
      <c r="B22" t="s">
        <v>32</v>
      </c>
      <c r="C22" t="s">
        <v>33</v>
      </c>
      <c r="D22" t="s">
        <v>34</v>
      </c>
      <c r="E22" t="s">
        <v>35</v>
      </c>
      <c r="F22" t="s">
        <v>47</v>
      </c>
      <c r="G22" t="s">
        <v>48</v>
      </c>
      <c r="H22" s="1">
        <v>439990.81539999985</v>
      </c>
      <c r="I22" s="1">
        <v>1071609.7872000001</v>
      </c>
      <c r="J22" s="2">
        <v>7250</v>
      </c>
      <c r="K22" s="2">
        <v>17553</v>
      </c>
      <c r="L22" s="2">
        <v>6525</v>
      </c>
      <c r="M22" s="2">
        <v>15797.700000000004</v>
      </c>
      <c r="N22" s="1">
        <v>54093.149099999864</v>
      </c>
      <c r="O22" s="1">
        <v>109355.87409999955</v>
      </c>
      <c r="P22" s="4">
        <v>0.12294154152018666</v>
      </c>
      <c r="Q22" s="4">
        <v>0.10204822259577767</v>
      </c>
      <c r="R22" s="2">
        <v>4204.9525999999978</v>
      </c>
      <c r="S22" s="2">
        <v>19186.354900000006</v>
      </c>
      <c r="T22" s="2">
        <v>79</v>
      </c>
      <c r="U22" s="2">
        <v>350</v>
      </c>
    </row>
    <row r="23" spans="1:21" x14ac:dyDescent="0.25">
      <c r="A23" t="s">
        <v>26</v>
      </c>
      <c r="B23" t="s">
        <v>32</v>
      </c>
      <c r="C23" t="s">
        <v>33</v>
      </c>
      <c r="D23" t="s">
        <v>34</v>
      </c>
      <c r="E23" t="s">
        <v>35</v>
      </c>
      <c r="F23" t="s">
        <v>49</v>
      </c>
      <c r="G23" t="s">
        <v>50</v>
      </c>
      <c r="H23" s="1">
        <v>1611751.9487999999</v>
      </c>
      <c r="I23" s="1">
        <v>2360908.6737000006</v>
      </c>
      <c r="J23" s="2">
        <v>12678</v>
      </c>
      <c r="K23" s="2">
        <v>17873</v>
      </c>
      <c r="L23" s="2">
        <v>20284.8</v>
      </c>
      <c r="M23" s="2">
        <v>28596.799999999992</v>
      </c>
      <c r="N23" s="1">
        <v>166779.71970000025</v>
      </c>
      <c r="O23" s="1">
        <v>221998.13400000241</v>
      </c>
      <c r="P23" s="4">
        <v>0.10347728744747169</v>
      </c>
      <c r="Q23" s="4">
        <v>9.4030801137296144E-2</v>
      </c>
      <c r="R23" s="2">
        <v>1139.7270000000001</v>
      </c>
      <c r="S23" s="2">
        <v>1675.4178000000004</v>
      </c>
      <c r="T23" s="2">
        <v>10</v>
      </c>
      <c r="U23" s="2">
        <v>14</v>
      </c>
    </row>
    <row r="24" spans="1:21" x14ac:dyDescent="0.25">
      <c r="A24" t="s">
        <v>26</v>
      </c>
      <c r="B24" t="s">
        <v>32</v>
      </c>
      <c r="C24" t="s">
        <v>33</v>
      </c>
      <c r="D24" t="s">
        <v>34</v>
      </c>
      <c r="E24" t="s">
        <v>35</v>
      </c>
      <c r="F24" t="s">
        <v>51</v>
      </c>
      <c r="G24" t="s">
        <v>52</v>
      </c>
      <c r="H24" s="1">
        <v>332767.34070000006</v>
      </c>
      <c r="I24" s="1">
        <v>409395.53840000008</v>
      </c>
      <c r="J24" s="2">
        <v>4871</v>
      </c>
      <c r="K24" s="2">
        <v>6013</v>
      </c>
      <c r="L24" s="2">
        <v>4871</v>
      </c>
      <c r="M24" s="2">
        <v>6013</v>
      </c>
      <c r="N24" s="1">
        <v>40201.701499999908</v>
      </c>
      <c r="O24" s="1">
        <v>48068.952600000135</v>
      </c>
      <c r="P24" s="4">
        <v>0.1208102376135613</v>
      </c>
      <c r="Q24" s="4">
        <v>0.11741445152984141</v>
      </c>
      <c r="R24" s="2">
        <v>46189.245600000002</v>
      </c>
      <c r="S24" s="2">
        <v>63516.08229999998</v>
      </c>
      <c r="T24" s="2">
        <v>775</v>
      </c>
      <c r="U24" s="2">
        <v>1057</v>
      </c>
    </row>
    <row r="25" spans="1:21" x14ac:dyDescent="0.25">
      <c r="A25" t="s">
        <v>26</v>
      </c>
      <c r="B25" t="s">
        <v>32</v>
      </c>
      <c r="C25" t="s">
        <v>33</v>
      </c>
      <c r="D25" t="s">
        <v>34</v>
      </c>
      <c r="E25" t="s">
        <v>35</v>
      </c>
      <c r="F25" t="s">
        <v>53</v>
      </c>
      <c r="G25" t="s">
        <v>54</v>
      </c>
      <c r="H25" s="1">
        <v>357060.67940000008</v>
      </c>
      <c r="I25" s="1">
        <v>565015.7864000001</v>
      </c>
      <c r="J25" s="2">
        <v>4279</v>
      </c>
      <c r="K25" s="2">
        <v>7687</v>
      </c>
      <c r="L25" s="2">
        <v>3851.0999999999985</v>
      </c>
      <c r="M25" s="2">
        <v>6918.2999999999993</v>
      </c>
      <c r="N25" s="1">
        <v>46101.616600000183</v>
      </c>
      <c r="O25" s="1">
        <v>6170.8863999999594</v>
      </c>
      <c r="P25" s="4">
        <v>0.12911423536601319</v>
      </c>
      <c r="Q25" s="4">
        <v>1.092161767606138E-2</v>
      </c>
      <c r="R25" s="2">
        <v>9125.7172999999984</v>
      </c>
      <c r="S25" s="2">
        <v>2326.4</v>
      </c>
      <c r="T25" s="2">
        <v>126</v>
      </c>
      <c r="U25" s="2">
        <v>32</v>
      </c>
    </row>
    <row r="26" spans="1:21" x14ac:dyDescent="0.25">
      <c r="A26" t="s">
        <v>26</v>
      </c>
      <c r="B26" t="s">
        <v>32</v>
      </c>
      <c r="C26" t="s">
        <v>33</v>
      </c>
      <c r="D26" t="s">
        <v>34</v>
      </c>
      <c r="E26" t="s">
        <v>35</v>
      </c>
      <c r="F26" t="s">
        <v>53</v>
      </c>
      <c r="G26" t="s">
        <v>55</v>
      </c>
      <c r="H26" s="1">
        <v>421736.7931999999</v>
      </c>
      <c r="I26" s="1">
        <v>301581.72249999992</v>
      </c>
      <c r="J26" s="2">
        <v>6966</v>
      </c>
      <c r="K26" s="2">
        <v>4857</v>
      </c>
      <c r="L26" s="2">
        <v>6269.3999999999978</v>
      </c>
      <c r="M26" s="2">
        <v>4371.2999999999984</v>
      </c>
      <c r="N26" s="1">
        <v>42235.950199999905</v>
      </c>
      <c r="O26" s="1">
        <v>36898.543999999994</v>
      </c>
      <c r="P26" s="4">
        <v>0.1001476534203417</v>
      </c>
      <c r="Q26" s="4">
        <v>0.12235006715302518</v>
      </c>
      <c r="R26" s="2">
        <v>26394.039999999997</v>
      </c>
      <c r="S26" s="2">
        <v>17981.997599999992</v>
      </c>
      <c r="T26" s="2">
        <v>488</v>
      </c>
      <c r="U26" s="2">
        <v>330</v>
      </c>
    </row>
    <row r="27" spans="1:21" x14ac:dyDescent="0.25">
      <c r="A27" t="s">
        <v>26</v>
      </c>
      <c r="B27" t="s">
        <v>32</v>
      </c>
      <c r="C27" t="s">
        <v>33</v>
      </c>
      <c r="D27" t="s">
        <v>34</v>
      </c>
      <c r="E27" t="s">
        <v>35</v>
      </c>
      <c r="F27" t="s">
        <v>56</v>
      </c>
      <c r="G27" t="s">
        <v>57</v>
      </c>
      <c r="H27" s="1">
        <v>81313.4954</v>
      </c>
      <c r="I27" s="1"/>
      <c r="J27" s="2">
        <v>585</v>
      </c>
      <c r="K27" s="2"/>
      <c r="L27" s="2">
        <v>877.5</v>
      </c>
      <c r="M27" s="2"/>
      <c r="N27" s="1">
        <v>5087.9953999999852</v>
      </c>
      <c r="O27" s="1"/>
      <c r="P27" s="4">
        <v>6.2572582508856042E-2</v>
      </c>
      <c r="Q27" s="4"/>
      <c r="R27" s="2">
        <v>1042.4000000000001</v>
      </c>
      <c r="S27" s="2"/>
      <c r="T27" s="2">
        <v>8</v>
      </c>
      <c r="U27" s="2"/>
    </row>
    <row r="28" spans="1:21" x14ac:dyDescent="0.25">
      <c r="A28" t="s">
        <v>26</v>
      </c>
      <c r="B28" t="s">
        <v>32</v>
      </c>
      <c r="C28" t="s">
        <v>33</v>
      </c>
      <c r="D28" t="s">
        <v>34</v>
      </c>
      <c r="E28" t="s">
        <v>35</v>
      </c>
      <c r="F28" t="s">
        <v>58</v>
      </c>
      <c r="G28" t="s">
        <v>59</v>
      </c>
      <c r="H28" s="1">
        <v>750726.48250000051</v>
      </c>
      <c r="I28" s="1">
        <v>870456.34830000089</v>
      </c>
      <c r="J28" s="2">
        <v>10256</v>
      </c>
      <c r="K28" s="2">
        <v>11502</v>
      </c>
      <c r="L28" s="2">
        <v>9230.4000000000033</v>
      </c>
      <c r="M28" s="2">
        <v>10351.800000000003</v>
      </c>
      <c r="N28" s="1">
        <v>85812.305999999866</v>
      </c>
      <c r="O28" s="1">
        <v>107135.67640000151</v>
      </c>
      <c r="P28" s="4">
        <v>0.11430568655875252</v>
      </c>
      <c r="Q28" s="4">
        <v>0.12307989551599827</v>
      </c>
      <c r="R28" s="2">
        <v>30514.425499999994</v>
      </c>
      <c r="S28" s="2">
        <v>46539.151300000005</v>
      </c>
      <c r="T28" s="2">
        <v>467</v>
      </c>
      <c r="U28" s="2">
        <v>699</v>
      </c>
    </row>
    <row r="29" spans="1:21" x14ac:dyDescent="0.25">
      <c r="A29" t="s">
        <v>26</v>
      </c>
      <c r="B29" t="s">
        <v>32</v>
      </c>
      <c r="C29" t="s">
        <v>33</v>
      </c>
      <c r="D29" t="s">
        <v>34</v>
      </c>
      <c r="E29" t="s">
        <v>35</v>
      </c>
      <c r="F29" t="s">
        <v>60</v>
      </c>
      <c r="G29" t="s">
        <v>61</v>
      </c>
      <c r="H29" s="1">
        <v>1310939.6857000007</v>
      </c>
      <c r="I29" s="1">
        <v>1905165.3147000007</v>
      </c>
      <c r="J29" s="2">
        <v>15475</v>
      </c>
      <c r="K29" s="2">
        <v>23643</v>
      </c>
      <c r="L29" s="2">
        <v>13927.499999999998</v>
      </c>
      <c r="M29" s="2">
        <v>21278.700000000019</v>
      </c>
      <c r="N29" s="1">
        <v>89937.317700001178</v>
      </c>
      <c r="O29" s="1">
        <v>97889.681299998891</v>
      </c>
      <c r="P29" s="4">
        <v>6.8605229272601848E-2</v>
      </c>
      <c r="Q29" s="4">
        <v>5.1381200646839001E-2</v>
      </c>
      <c r="R29" s="2">
        <v>1166.9814000000003</v>
      </c>
      <c r="S29" s="2">
        <v>5572.0804000000007</v>
      </c>
      <c r="T29" s="2">
        <v>15</v>
      </c>
      <c r="U29" s="2">
        <v>65</v>
      </c>
    </row>
    <row r="30" spans="1:21" x14ac:dyDescent="0.25">
      <c r="A30" t="s">
        <v>26</v>
      </c>
      <c r="B30" t="s">
        <v>32</v>
      </c>
      <c r="C30" t="s">
        <v>33</v>
      </c>
      <c r="D30" t="s">
        <v>34</v>
      </c>
      <c r="E30" t="s">
        <v>35</v>
      </c>
      <c r="F30" t="s">
        <v>62</v>
      </c>
      <c r="G30" t="s">
        <v>63</v>
      </c>
      <c r="H30" s="1">
        <v>30.818100000000001</v>
      </c>
      <c r="I30" s="1"/>
      <c r="J30" s="2">
        <v>1</v>
      </c>
      <c r="K30" s="2"/>
      <c r="L30" s="2">
        <v>0.9</v>
      </c>
      <c r="M30" s="2"/>
      <c r="N30" s="1">
        <v>29.909100000000002</v>
      </c>
      <c r="O30" s="1"/>
      <c r="P30" s="4">
        <v>0.97050434647171635</v>
      </c>
      <c r="Q30" s="4"/>
      <c r="R30" s="2"/>
      <c r="S30" s="2"/>
      <c r="T30" s="2"/>
      <c r="U30" s="2"/>
    </row>
    <row r="31" spans="1:21" x14ac:dyDescent="0.25">
      <c r="A31" t="s">
        <v>26</v>
      </c>
      <c r="B31" t="s">
        <v>32</v>
      </c>
      <c r="C31" t="s">
        <v>33</v>
      </c>
      <c r="D31" t="s">
        <v>34</v>
      </c>
      <c r="E31" t="s">
        <v>35</v>
      </c>
      <c r="F31" t="s">
        <v>64</v>
      </c>
      <c r="G31" t="s">
        <v>65</v>
      </c>
      <c r="H31" s="1">
        <v>2638699.3806000003</v>
      </c>
      <c r="I31" s="1">
        <v>2926582.8172999974</v>
      </c>
      <c r="J31" s="2">
        <v>46633</v>
      </c>
      <c r="K31" s="2">
        <v>49801</v>
      </c>
      <c r="L31" s="2">
        <v>37306.400000000001</v>
      </c>
      <c r="M31" s="2">
        <v>39840.800000000003</v>
      </c>
      <c r="N31" s="1">
        <v>218393.29899999918</v>
      </c>
      <c r="O31" s="1">
        <v>225093.91569999792</v>
      </c>
      <c r="P31" s="4">
        <v>8.2765509631620063E-2</v>
      </c>
      <c r="Q31" s="4">
        <v>7.691356430079252E-2</v>
      </c>
      <c r="R31" s="2">
        <v>32333.7</v>
      </c>
      <c r="S31" s="2">
        <v>29777.399699999994</v>
      </c>
      <c r="T31" s="2">
        <v>623</v>
      </c>
      <c r="U31" s="2">
        <v>549</v>
      </c>
    </row>
    <row r="32" spans="1:21" x14ac:dyDescent="0.25">
      <c r="A32" t="s">
        <v>26</v>
      </c>
      <c r="B32" t="s">
        <v>32</v>
      </c>
      <c r="C32" t="s">
        <v>33</v>
      </c>
      <c r="D32" t="s">
        <v>34</v>
      </c>
      <c r="E32" t="s">
        <v>35</v>
      </c>
      <c r="F32" t="s">
        <v>66</v>
      </c>
      <c r="G32" t="s">
        <v>67</v>
      </c>
      <c r="H32" s="1">
        <v>1496449.1653000007</v>
      </c>
      <c r="I32" s="1">
        <v>2196666.2511000005</v>
      </c>
      <c r="J32" s="2">
        <v>18759</v>
      </c>
      <c r="K32" s="2">
        <v>29273</v>
      </c>
      <c r="L32" s="2">
        <v>17445.869999999995</v>
      </c>
      <c r="M32" s="2">
        <v>27223.890000000007</v>
      </c>
      <c r="N32" s="1">
        <v>185195.06530000153</v>
      </c>
      <c r="O32" s="1">
        <v>202734.6875000007</v>
      </c>
      <c r="P32" s="4">
        <v>0.12375633572749831</v>
      </c>
      <c r="Q32" s="4">
        <v>9.2291984455298778E-2</v>
      </c>
      <c r="R32" s="2">
        <v>1328.1000000000001</v>
      </c>
      <c r="S32" s="2">
        <v>2266.3811000000001</v>
      </c>
      <c r="T32" s="2">
        <v>19</v>
      </c>
      <c r="U32" s="2">
        <v>33</v>
      </c>
    </row>
    <row r="33" spans="1:21" x14ac:dyDescent="0.25">
      <c r="A33" t="s">
        <v>26</v>
      </c>
      <c r="B33" t="s">
        <v>32</v>
      </c>
      <c r="C33" t="s">
        <v>33</v>
      </c>
      <c r="D33" t="s">
        <v>34</v>
      </c>
      <c r="E33" t="s">
        <v>35</v>
      </c>
      <c r="F33" t="s">
        <v>68</v>
      </c>
      <c r="G33" t="s">
        <v>69</v>
      </c>
      <c r="H33" s="1">
        <v>1792310.3994000014</v>
      </c>
      <c r="I33" s="1">
        <v>1765078.3002000004</v>
      </c>
      <c r="J33" s="2">
        <v>25746</v>
      </c>
      <c r="K33" s="2">
        <v>27985</v>
      </c>
      <c r="L33" s="2">
        <v>23171.400000000023</v>
      </c>
      <c r="M33" s="2">
        <v>25186.5</v>
      </c>
      <c r="N33" s="1">
        <v>139046.36180000217</v>
      </c>
      <c r="O33" s="1">
        <v>12136.539400000358</v>
      </c>
      <c r="P33" s="4">
        <v>7.757939799185995E-2</v>
      </c>
      <c r="Q33" s="4">
        <v>6.8759212543858085E-3</v>
      </c>
      <c r="R33" s="2">
        <v>90216.847999999998</v>
      </c>
      <c r="S33" s="2">
        <v>52531.353399999978</v>
      </c>
      <c r="T33" s="2">
        <v>1397</v>
      </c>
      <c r="U33" s="2">
        <v>839</v>
      </c>
    </row>
    <row r="34" spans="1:21" x14ac:dyDescent="0.25">
      <c r="A34" t="s">
        <v>26</v>
      </c>
      <c r="B34" t="s">
        <v>32</v>
      </c>
      <c r="C34" t="s">
        <v>33</v>
      </c>
      <c r="D34" t="s">
        <v>34</v>
      </c>
      <c r="E34" t="s">
        <v>35</v>
      </c>
      <c r="F34" t="s">
        <v>70</v>
      </c>
      <c r="G34" t="s">
        <v>71</v>
      </c>
      <c r="H34" s="1">
        <v>35520.388799999993</v>
      </c>
      <c r="I34" s="1"/>
      <c r="J34" s="2">
        <v>612</v>
      </c>
      <c r="K34" s="2"/>
      <c r="L34" s="2">
        <v>489.59999999999985</v>
      </c>
      <c r="M34" s="2"/>
      <c r="N34" s="1">
        <v>4219.38129999999</v>
      </c>
      <c r="O34" s="1"/>
      <c r="P34" s="4">
        <v>0.11878758770793608</v>
      </c>
      <c r="Q34" s="4"/>
      <c r="R34" s="2">
        <v>10945.123899999999</v>
      </c>
      <c r="S34" s="2"/>
      <c r="T34" s="2">
        <v>214</v>
      </c>
      <c r="U34" s="2"/>
    </row>
    <row r="35" spans="1:21" x14ac:dyDescent="0.25">
      <c r="A35" t="s">
        <v>26</v>
      </c>
      <c r="B35" t="s">
        <v>32</v>
      </c>
      <c r="C35" t="s">
        <v>33</v>
      </c>
      <c r="D35" t="s">
        <v>34</v>
      </c>
      <c r="E35" t="s">
        <v>35</v>
      </c>
      <c r="F35" t="s">
        <v>72</v>
      </c>
      <c r="G35" t="s">
        <v>73</v>
      </c>
      <c r="H35" s="1">
        <v>45553893.479099803</v>
      </c>
      <c r="I35" s="1">
        <v>23720126.464799926</v>
      </c>
      <c r="J35" s="2">
        <v>734414</v>
      </c>
      <c r="K35" s="2">
        <v>401780</v>
      </c>
      <c r="L35" s="2">
        <v>660972.59999999916</v>
      </c>
      <c r="M35" s="2">
        <v>361601.99999999977</v>
      </c>
      <c r="N35" s="1">
        <v>3730469.4967999607</v>
      </c>
      <c r="O35" s="1">
        <v>1774948.8630000763</v>
      </c>
      <c r="P35" s="4">
        <v>8.1891342581101353E-2</v>
      </c>
      <c r="Q35" s="4">
        <v>7.4828811120971714E-2</v>
      </c>
      <c r="R35" s="2">
        <v>83965.730900000039</v>
      </c>
      <c r="S35" s="2">
        <v>154217.20070000004</v>
      </c>
      <c r="T35" s="2">
        <v>1485</v>
      </c>
      <c r="U35" s="2">
        <v>2812</v>
      </c>
    </row>
    <row r="36" spans="1:21" x14ac:dyDescent="0.25">
      <c r="A36" t="s">
        <v>26</v>
      </c>
      <c r="B36" t="s">
        <v>32</v>
      </c>
      <c r="C36" t="s">
        <v>33</v>
      </c>
      <c r="D36" t="s">
        <v>34</v>
      </c>
      <c r="E36" t="s">
        <v>35</v>
      </c>
      <c r="F36" t="s">
        <v>74</v>
      </c>
      <c r="G36" t="s">
        <v>75</v>
      </c>
      <c r="H36" s="1">
        <v>353116.7068000001</v>
      </c>
      <c r="I36" s="1"/>
      <c r="J36" s="2">
        <v>5220</v>
      </c>
      <c r="K36" s="2"/>
      <c r="L36" s="2">
        <v>4697.9999999999964</v>
      </c>
      <c r="M36" s="2"/>
      <c r="N36" s="1">
        <v>38531.864300000772</v>
      </c>
      <c r="O36" s="1"/>
      <c r="P36" s="4">
        <v>0.10911934654461032</v>
      </c>
      <c r="Q36" s="4"/>
      <c r="R36" s="2">
        <v>32542.353799999997</v>
      </c>
      <c r="S36" s="2"/>
      <c r="T36" s="2">
        <v>540</v>
      </c>
      <c r="U36" s="2"/>
    </row>
    <row r="37" spans="1:21" x14ac:dyDescent="0.25">
      <c r="A37" t="s">
        <v>26</v>
      </c>
      <c r="B37" t="s">
        <v>32</v>
      </c>
      <c r="C37" t="s">
        <v>33</v>
      </c>
      <c r="D37" t="s">
        <v>34</v>
      </c>
      <c r="E37" t="s">
        <v>35</v>
      </c>
      <c r="F37" t="s">
        <v>76</v>
      </c>
      <c r="G37" t="s">
        <v>77</v>
      </c>
      <c r="H37" s="1"/>
      <c r="I37" s="1">
        <v>95925.547299999962</v>
      </c>
      <c r="J37" s="2"/>
      <c r="K37" s="2">
        <v>1338</v>
      </c>
      <c r="L37" s="2"/>
      <c r="M37" s="2">
        <v>1204.2000000000003</v>
      </c>
      <c r="N37" s="1"/>
      <c r="O37" s="1">
        <v>11850.510899999979</v>
      </c>
      <c r="P37" s="4"/>
      <c r="Q37" s="4">
        <v>0.12353863213246409</v>
      </c>
      <c r="R37" s="2"/>
      <c r="S37" s="2">
        <v>1068.2176999999999</v>
      </c>
      <c r="T37" s="2"/>
      <c r="U37" s="2">
        <v>17</v>
      </c>
    </row>
    <row r="38" spans="1:21" x14ac:dyDescent="0.25">
      <c r="A38" t="s">
        <v>26</v>
      </c>
      <c r="B38" t="s">
        <v>32</v>
      </c>
      <c r="C38" t="s">
        <v>33</v>
      </c>
      <c r="D38" t="s">
        <v>34</v>
      </c>
      <c r="E38" t="s">
        <v>35</v>
      </c>
      <c r="F38" t="s">
        <v>78</v>
      </c>
      <c r="G38" t="s">
        <v>79</v>
      </c>
      <c r="H38" s="1">
        <v>69329.24089999999</v>
      </c>
      <c r="I38" s="1">
        <v>84142.325099999987</v>
      </c>
      <c r="J38" s="2">
        <v>920</v>
      </c>
      <c r="K38" s="2">
        <v>1077</v>
      </c>
      <c r="L38" s="2">
        <v>828.00000000000011</v>
      </c>
      <c r="M38" s="2">
        <v>969.3</v>
      </c>
      <c r="N38" s="1">
        <v>9111.0641000000032</v>
      </c>
      <c r="O38" s="1">
        <v>9731.4205999999831</v>
      </c>
      <c r="P38" s="4">
        <v>0.13141733533678432</v>
      </c>
      <c r="Q38" s="4">
        <v>0.11565428681028907</v>
      </c>
      <c r="R38" s="2">
        <v>1108.3811999999998</v>
      </c>
      <c r="S38" s="2">
        <v>621.81810000000019</v>
      </c>
      <c r="T38" s="2">
        <v>17</v>
      </c>
      <c r="U38" s="2">
        <v>9</v>
      </c>
    </row>
    <row r="39" spans="1:21" x14ac:dyDescent="0.25">
      <c r="A39" t="s">
        <v>26</v>
      </c>
      <c r="B39" t="s">
        <v>32</v>
      </c>
      <c r="C39" t="s">
        <v>33</v>
      </c>
      <c r="D39" t="s">
        <v>34</v>
      </c>
      <c r="E39" t="s">
        <v>35</v>
      </c>
      <c r="F39" t="s">
        <v>80</v>
      </c>
      <c r="G39" t="s">
        <v>81</v>
      </c>
      <c r="H39" s="1"/>
      <c r="I39" s="1">
        <v>1029342.3344000004</v>
      </c>
      <c r="J39" s="2"/>
      <c r="K39" s="2">
        <v>13163</v>
      </c>
      <c r="L39" s="2"/>
      <c r="M39" s="2">
        <v>11767.722000000042</v>
      </c>
      <c r="N39" s="1"/>
      <c r="O39" s="1">
        <v>125244.15480000048</v>
      </c>
      <c r="P39" s="4"/>
      <c r="Q39" s="4">
        <v>0.12167395686975685</v>
      </c>
      <c r="R39" s="2"/>
      <c r="S39" s="2">
        <v>12255.515900000002</v>
      </c>
      <c r="T39" s="2"/>
      <c r="U39" s="2">
        <v>178</v>
      </c>
    </row>
    <row r="40" spans="1:21" x14ac:dyDescent="0.25">
      <c r="A40" t="s">
        <v>26</v>
      </c>
      <c r="B40" t="s">
        <v>32</v>
      </c>
      <c r="C40" t="s">
        <v>33</v>
      </c>
      <c r="D40" t="s">
        <v>34</v>
      </c>
      <c r="E40" t="s">
        <v>35</v>
      </c>
      <c r="F40" t="s">
        <v>82</v>
      </c>
      <c r="G40" t="s">
        <v>83</v>
      </c>
      <c r="H40" s="1">
        <v>307571.04829999985</v>
      </c>
      <c r="I40" s="1">
        <v>405235.99759999971</v>
      </c>
      <c r="J40" s="2">
        <v>2382</v>
      </c>
      <c r="K40" s="2">
        <v>3017</v>
      </c>
      <c r="L40" s="2">
        <v>3334.7999999999988</v>
      </c>
      <c r="M40" s="2">
        <v>4223.7999999999984</v>
      </c>
      <c r="N40" s="1">
        <v>23830.294500000251</v>
      </c>
      <c r="O40" s="1">
        <v>57434.597800000338</v>
      </c>
      <c r="P40" s="4">
        <v>7.7478991054959645E-2</v>
      </c>
      <c r="Q40" s="4">
        <v>0.1417312335038233</v>
      </c>
      <c r="R40" s="2">
        <v>5121.6885000000002</v>
      </c>
      <c r="S40" s="2">
        <v>15214.797700000006</v>
      </c>
      <c r="T40" s="2">
        <v>43</v>
      </c>
      <c r="U40" s="2">
        <v>132</v>
      </c>
    </row>
    <row r="41" spans="1:21" x14ac:dyDescent="0.25">
      <c r="A41" t="s">
        <v>26</v>
      </c>
      <c r="B41" t="s">
        <v>32</v>
      </c>
      <c r="C41" t="s">
        <v>33</v>
      </c>
      <c r="D41" t="s">
        <v>34</v>
      </c>
      <c r="E41" t="s">
        <v>35</v>
      </c>
      <c r="F41" t="s">
        <v>84</v>
      </c>
      <c r="G41" t="s">
        <v>85</v>
      </c>
      <c r="H41" s="1"/>
      <c r="I41" s="1">
        <v>773007.66750000033</v>
      </c>
      <c r="J41" s="2"/>
      <c r="K41" s="2">
        <v>11534</v>
      </c>
      <c r="L41" s="2"/>
      <c r="M41" s="2">
        <v>11880.019999999951</v>
      </c>
      <c r="N41" s="1"/>
      <c r="O41" s="1">
        <v>65535.189100001473</v>
      </c>
      <c r="P41" s="4"/>
      <c r="Q41" s="4">
        <v>8.4779481310903598E-2</v>
      </c>
      <c r="R41" s="2"/>
      <c r="S41" s="2">
        <v>107754.51999999996</v>
      </c>
      <c r="T41" s="2"/>
      <c r="U41" s="2">
        <v>1756</v>
      </c>
    </row>
    <row r="42" spans="1:21" x14ac:dyDescent="0.25">
      <c r="A42" t="s">
        <v>26</v>
      </c>
      <c r="B42" t="s">
        <v>32</v>
      </c>
      <c r="C42" t="s">
        <v>33</v>
      </c>
      <c r="D42" t="s">
        <v>34</v>
      </c>
      <c r="E42" t="s">
        <v>35</v>
      </c>
      <c r="F42" t="s">
        <v>86</v>
      </c>
      <c r="G42" t="s">
        <v>87</v>
      </c>
      <c r="H42" s="1">
        <v>26984.249600000003</v>
      </c>
      <c r="I42" s="1">
        <v>25012.126100000001</v>
      </c>
      <c r="J42" s="2">
        <v>375</v>
      </c>
      <c r="K42" s="2">
        <v>332</v>
      </c>
      <c r="L42" s="2">
        <v>337.5</v>
      </c>
      <c r="M42" s="2">
        <v>298.8</v>
      </c>
      <c r="N42" s="1">
        <v>3127.9477000000006</v>
      </c>
      <c r="O42" s="1">
        <v>2831.5875000000051</v>
      </c>
      <c r="P42" s="4">
        <v>0.11591753509424996</v>
      </c>
      <c r="Q42" s="4">
        <v>0.11320858885322847</v>
      </c>
      <c r="R42" s="2">
        <v>11852.214700000004</v>
      </c>
      <c r="S42" s="2">
        <v>11150.369899999996</v>
      </c>
      <c r="T42" s="2">
        <v>184</v>
      </c>
      <c r="U42" s="2">
        <v>167</v>
      </c>
    </row>
    <row r="43" spans="1:21" x14ac:dyDescent="0.25">
      <c r="A43" t="s">
        <v>26</v>
      </c>
      <c r="B43" t="s">
        <v>32</v>
      </c>
      <c r="C43" t="s">
        <v>33</v>
      </c>
      <c r="D43" t="s">
        <v>34</v>
      </c>
      <c r="E43" t="s">
        <v>35</v>
      </c>
      <c r="F43" t="s">
        <v>88</v>
      </c>
      <c r="G43" t="s">
        <v>89</v>
      </c>
      <c r="H43" s="1">
        <v>519564.95649999956</v>
      </c>
      <c r="I43" s="1">
        <v>422007.34109999979</v>
      </c>
      <c r="J43" s="2">
        <v>6504</v>
      </c>
      <c r="K43" s="2">
        <v>5330</v>
      </c>
      <c r="L43" s="2">
        <v>5430.8399999999992</v>
      </c>
      <c r="M43" s="2">
        <v>4450.5499999999965</v>
      </c>
      <c r="N43" s="1">
        <v>62511.226499999291</v>
      </c>
      <c r="O43" s="1">
        <v>28740.794599999906</v>
      </c>
      <c r="P43" s="4">
        <v>0.12031455493284282</v>
      </c>
      <c r="Q43" s="4">
        <v>6.8104963589222078E-2</v>
      </c>
      <c r="R43" s="2">
        <v>1124.3632</v>
      </c>
      <c r="S43" s="2">
        <v>368.90899999999999</v>
      </c>
      <c r="T43" s="2">
        <v>16</v>
      </c>
      <c r="U43" s="2">
        <v>5</v>
      </c>
    </row>
    <row r="44" spans="1:21" x14ac:dyDescent="0.25">
      <c r="A44" t="s">
        <v>26</v>
      </c>
      <c r="B44" t="s">
        <v>32</v>
      </c>
      <c r="C44" t="s">
        <v>33</v>
      </c>
      <c r="D44" t="s">
        <v>34</v>
      </c>
      <c r="E44" t="s">
        <v>35</v>
      </c>
      <c r="F44" t="s">
        <v>90</v>
      </c>
      <c r="G44" t="s">
        <v>91</v>
      </c>
      <c r="H44" s="1">
        <v>901512.94210000022</v>
      </c>
      <c r="I44" s="1">
        <v>1040726.9291999997</v>
      </c>
      <c r="J44" s="2">
        <v>8692</v>
      </c>
      <c r="K44" s="2">
        <v>10655</v>
      </c>
      <c r="L44" s="2">
        <v>11638.588000000018</v>
      </c>
      <c r="M44" s="2">
        <v>14267.04500000002</v>
      </c>
      <c r="N44" s="1">
        <v>105748.29589999979</v>
      </c>
      <c r="O44" s="1">
        <v>112697.92919999978</v>
      </c>
      <c r="P44" s="4">
        <v>0.1173009182249429</v>
      </c>
      <c r="Q44" s="4">
        <v>0.10828770356372922</v>
      </c>
      <c r="R44" s="2">
        <v>7689.8155999999999</v>
      </c>
      <c r="S44" s="2">
        <v>12557.4542</v>
      </c>
      <c r="T44" s="2">
        <v>84</v>
      </c>
      <c r="U44" s="2">
        <v>144</v>
      </c>
    </row>
    <row r="45" spans="1:21" x14ac:dyDescent="0.25">
      <c r="A45" t="s">
        <v>26</v>
      </c>
      <c r="B45" t="s">
        <v>32</v>
      </c>
      <c r="C45" t="s">
        <v>33</v>
      </c>
      <c r="D45" t="s">
        <v>34</v>
      </c>
      <c r="E45" t="s">
        <v>35</v>
      </c>
      <c r="F45" t="s">
        <v>92</v>
      </c>
      <c r="G45" t="s">
        <v>93</v>
      </c>
      <c r="H45" s="1">
        <v>728282.23179999983</v>
      </c>
      <c r="I45" s="1">
        <v>393524.14899999992</v>
      </c>
      <c r="J45" s="2">
        <v>11536</v>
      </c>
      <c r="K45" s="2">
        <v>6485</v>
      </c>
      <c r="L45" s="2">
        <v>10693.871999999994</v>
      </c>
      <c r="M45" s="2">
        <v>6011.5950000000003</v>
      </c>
      <c r="N45" s="1">
        <v>89591.050299999653</v>
      </c>
      <c r="O45" s="1">
        <v>16201.750799999922</v>
      </c>
      <c r="P45" s="4">
        <v>0.12301693819794172</v>
      </c>
      <c r="Q45" s="4">
        <v>4.1170918839849711E-2</v>
      </c>
      <c r="R45" s="2">
        <v>14283.812</v>
      </c>
      <c r="S45" s="2">
        <v>18618.177100000001</v>
      </c>
      <c r="T45" s="2">
        <v>258</v>
      </c>
      <c r="U45" s="2">
        <v>320</v>
      </c>
    </row>
    <row r="46" spans="1:21" x14ac:dyDescent="0.25">
      <c r="A46" t="s">
        <v>26</v>
      </c>
      <c r="B46" t="s">
        <v>32</v>
      </c>
      <c r="C46" t="s">
        <v>33</v>
      </c>
      <c r="D46" t="s">
        <v>34</v>
      </c>
      <c r="E46" t="s">
        <v>35</v>
      </c>
      <c r="F46" t="s">
        <v>94</v>
      </c>
      <c r="G46" t="s">
        <v>95</v>
      </c>
      <c r="H46" s="1">
        <v>20548731.365399908</v>
      </c>
      <c r="I46" s="1">
        <v>26710217.810499959</v>
      </c>
      <c r="J46" s="2">
        <v>151980</v>
      </c>
      <c r="K46" s="2">
        <v>198750</v>
      </c>
      <c r="L46" s="2">
        <v>212772.00000000006</v>
      </c>
      <c r="M46" s="2">
        <v>286597.49999999767</v>
      </c>
      <c r="N46" s="1">
        <v>2172042.805999916</v>
      </c>
      <c r="O46" s="1">
        <v>3862376.9015000053</v>
      </c>
      <c r="P46" s="4">
        <v>0.10570203908827268</v>
      </c>
      <c r="Q46" s="4">
        <v>0.14460297287361243</v>
      </c>
      <c r="R46" s="2">
        <v>29226.162199999995</v>
      </c>
      <c r="S46" s="2">
        <v>69899.041299999997</v>
      </c>
      <c r="T46" s="2">
        <v>242</v>
      </c>
      <c r="U46" s="2">
        <v>615</v>
      </c>
    </row>
    <row r="47" spans="1:21" x14ac:dyDescent="0.25">
      <c r="A47" t="s">
        <v>26</v>
      </c>
      <c r="B47" t="s">
        <v>32</v>
      </c>
      <c r="C47" t="s">
        <v>33</v>
      </c>
      <c r="D47" t="s">
        <v>34</v>
      </c>
      <c r="E47" t="s">
        <v>35</v>
      </c>
      <c r="F47" t="s">
        <v>96</v>
      </c>
      <c r="G47" t="s">
        <v>97</v>
      </c>
      <c r="H47" s="1">
        <v>530227.20889999997</v>
      </c>
      <c r="I47" s="1">
        <v>856435.12260000012</v>
      </c>
      <c r="J47" s="2">
        <v>7501</v>
      </c>
      <c r="K47" s="2">
        <v>12176</v>
      </c>
      <c r="L47" s="2">
        <v>6750.9</v>
      </c>
      <c r="M47" s="2">
        <v>10958.400000000001</v>
      </c>
      <c r="N47" s="1">
        <v>72851.134700000053</v>
      </c>
      <c r="O47" s="1">
        <v>114031.28320000134</v>
      </c>
      <c r="P47" s="4">
        <v>0.13739606998127413</v>
      </c>
      <c r="Q47" s="4">
        <v>0.13314643478635088</v>
      </c>
      <c r="R47" s="2">
        <v>11279.951500000003</v>
      </c>
      <c r="S47" s="2">
        <v>43778.409100000004</v>
      </c>
      <c r="T47" s="2">
        <v>185</v>
      </c>
      <c r="U47" s="2">
        <v>718</v>
      </c>
    </row>
    <row r="48" spans="1:21" x14ac:dyDescent="0.25">
      <c r="A48" t="s">
        <v>26</v>
      </c>
      <c r="B48" t="s">
        <v>32</v>
      </c>
      <c r="C48" t="s">
        <v>33</v>
      </c>
      <c r="D48" t="s">
        <v>34</v>
      </c>
      <c r="E48" t="s">
        <v>35</v>
      </c>
      <c r="F48" t="s">
        <v>98</v>
      </c>
      <c r="G48" t="s">
        <v>99</v>
      </c>
      <c r="H48" s="1">
        <v>2493545.2854000009</v>
      </c>
      <c r="I48" s="1">
        <v>4112386.7316000015</v>
      </c>
      <c r="J48" s="2">
        <v>18990</v>
      </c>
      <c r="K48" s="2">
        <v>33067</v>
      </c>
      <c r="L48" s="2">
        <v>26585.999999999996</v>
      </c>
      <c r="M48" s="2">
        <v>46293.799999999981</v>
      </c>
      <c r="N48" s="1">
        <v>301569.98529999889</v>
      </c>
      <c r="O48" s="1">
        <v>409244.49600000214</v>
      </c>
      <c r="P48" s="4">
        <v>0.12094024803388428</v>
      </c>
      <c r="Q48" s="4">
        <v>9.9515080343812387E-2</v>
      </c>
      <c r="R48" s="2">
        <v>39272.739399999984</v>
      </c>
      <c r="S48" s="2">
        <v>48230.547200000001</v>
      </c>
      <c r="T48" s="2">
        <v>340</v>
      </c>
      <c r="U48" s="2">
        <v>436</v>
      </c>
    </row>
    <row r="49" spans="1:21" x14ac:dyDescent="0.25">
      <c r="A49" t="s">
        <v>26</v>
      </c>
      <c r="B49" t="s">
        <v>32</v>
      </c>
      <c r="C49" t="s">
        <v>33</v>
      </c>
      <c r="D49" t="s">
        <v>34</v>
      </c>
      <c r="E49" t="s">
        <v>35</v>
      </c>
      <c r="F49" t="s">
        <v>100</v>
      </c>
      <c r="G49" t="s">
        <v>101</v>
      </c>
      <c r="H49" s="1"/>
      <c r="I49" s="1">
        <v>479736.97269999998</v>
      </c>
      <c r="J49" s="2"/>
      <c r="K49" s="2">
        <v>5881</v>
      </c>
      <c r="L49" s="2"/>
      <c r="M49" s="2">
        <v>5292.9</v>
      </c>
      <c r="N49" s="1"/>
      <c r="O49" s="1">
        <v>75107.804399999848</v>
      </c>
      <c r="P49" s="4"/>
      <c r="Q49" s="4">
        <v>0.15656038344780226</v>
      </c>
      <c r="R49" s="2"/>
      <c r="S49" s="2">
        <v>20411.9938</v>
      </c>
      <c r="T49" s="2"/>
      <c r="U49" s="2">
        <v>297</v>
      </c>
    </row>
    <row r="50" spans="1:21" x14ac:dyDescent="0.25">
      <c r="A50" t="s">
        <v>26</v>
      </c>
      <c r="B50" t="s">
        <v>32</v>
      </c>
      <c r="C50" t="s">
        <v>33</v>
      </c>
      <c r="D50" t="s">
        <v>34</v>
      </c>
      <c r="E50" t="s">
        <v>35</v>
      </c>
      <c r="F50" t="s">
        <v>102</v>
      </c>
      <c r="G50" t="s">
        <v>103</v>
      </c>
      <c r="H50" s="1">
        <v>285662.45589999994</v>
      </c>
      <c r="I50" s="1">
        <v>196775.01989999998</v>
      </c>
      <c r="J50" s="2">
        <v>3734</v>
      </c>
      <c r="K50" s="2">
        <v>2699</v>
      </c>
      <c r="L50" s="2">
        <v>3360.5999999999995</v>
      </c>
      <c r="M50" s="2">
        <v>2429.099999999999</v>
      </c>
      <c r="N50" s="1">
        <v>33591.603299999842</v>
      </c>
      <c r="O50" s="1">
        <v>24286.720800000039</v>
      </c>
      <c r="P50" s="4">
        <v>0.11759194324002817</v>
      </c>
      <c r="Q50" s="4">
        <v>0.12342380050243378</v>
      </c>
      <c r="R50" s="2">
        <v>53129.878100000002</v>
      </c>
      <c r="S50" s="2">
        <v>40261.699199999974</v>
      </c>
      <c r="T50" s="2">
        <v>777</v>
      </c>
      <c r="U50" s="2">
        <v>630</v>
      </c>
    </row>
    <row r="51" spans="1:21" x14ac:dyDescent="0.25">
      <c r="A51" t="s">
        <v>26</v>
      </c>
      <c r="B51" t="s">
        <v>32</v>
      </c>
      <c r="C51" t="s">
        <v>33</v>
      </c>
      <c r="D51" t="s">
        <v>34</v>
      </c>
      <c r="E51" t="s">
        <v>35</v>
      </c>
      <c r="F51" t="s">
        <v>104</v>
      </c>
      <c r="G51" t="s">
        <v>105</v>
      </c>
      <c r="H51" s="1">
        <v>219481.05249999999</v>
      </c>
      <c r="I51" s="1">
        <v>253043.06419999999</v>
      </c>
      <c r="J51" s="2">
        <v>2776</v>
      </c>
      <c r="K51" s="2">
        <v>3244</v>
      </c>
      <c r="L51" s="2">
        <v>2498.4000000000005</v>
      </c>
      <c r="M51" s="2">
        <v>2919.6000000000004</v>
      </c>
      <c r="N51" s="1">
        <v>28874.247800000041</v>
      </c>
      <c r="O51" s="1">
        <v>19980.594100000017</v>
      </c>
      <c r="P51" s="4">
        <v>0.13155690421158356</v>
      </c>
      <c r="Q51" s="4">
        <v>7.8961239910562295E-2</v>
      </c>
      <c r="R51" s="2">
        <v>473.29989999999998</v>
      </c>
      <c r="S51" s="2">
        <v>1006.9175</v>
      </c>
      <c r="T51" s="2">
        <v>7</v>
      </c>
      <c r="U51" s="2">
        <v>14</v>
      </c>
    </row>
    <row r="52" spans="1:21" x14ac:dyDescent="0.25">
      <c r="A52" t="s">
        <v>26</v>
      </c>
      <c r="B52" t="s">
        <v>32</v>
      </c>
      <c r="C52" t="s">
        <v>33</v>
      </c>
      <c r="D52" t="s">
        <v>34</v>
      </c>
      <c r="E52" t="s">
        <v>35</v>
      </c>
      <c r="F52" t="s">
        <v>106</v>
      </c>
      <c r="G52" t="s">
        <v>107</v>
      </c>
      <c r="H52" s="1">
        <v>6763.2880999999998</v>
      </c>
      <c r="I52" s="1">
        <v>8671.6493000000009</v>
      </c>
      <c r="J52" s="2">
        <v>117</v>
      </c>
      <c r="K52" s="2">
        <v>144</v>
      </c>
      <c r="L52" s="2">
        <v>93.600000000000009</v>
      </c>
      <c r="M52" s="2">
        <v>115.2</v>
      </c>
      <c r="N52" s="1">
        <v>955.83660000000054</v>
      </c>
      <c r="O52" s="1">
        <v>1131.2884999999987</v>
      </c>
      <c r="P52" s="4">
        <v>0.14132720444069219</v>
      </c>
      <c r="Q52" s="4">
        <v>0.13045828548440017</v>
      </c>
      <c r="R52" s="2">
        <v>943.09049999999991</v>
      </c>
      <c r="S52" s="2">
        <v>1518.5449999999998</v>
      </c>
      <c r="T52" s="2">
        <v>19</v>
      </c>
      <c r="U52" s="2">
        <v>29</v>
      </c>
    </row>
    <row r="53" spans="1:21" x14ac:dyDescent="0.25">
      <c r="A53" t="s">
        <v>26</v>
      </c>
      <c r="B53" t="s">
        <v>32</v>
      </c>
      <c r="C53" t="s">
        <v>33</v>
      </c>
      <c r="D53" t="s">
        <v>34</v>
      </c>
      <c r="E53" t="s">
        <v>35</v>
      </c>
      <c r="F53" t="s">
        <v>108</v>
      </c>
      <c r="G53" t="s">
        <v>109</v>
      </c>
      <c r="H53" s="1">
        <v>1416919.2701000008</v>
      </c>
      <c r="I53" s="1">
        <v>1942590.8038000008</v>
      </c>
      <c r="J53" s="2">
        <v>15197</v>
      </c>
      <c r="K53" s="2">
        <v>20155</v>
      </c>
      <c r="L53" s="2">
        <v>15197</v>
      </c>
      <c r="M53" s="2">
        <v>20155</v>
      </c>
      <c r="N53" s="1">
        <v>182070.80750000011</v>
      </c>
      <c r="O53" s="1">
        <v>238318.99700000021</v>
      </c>
      <c r="P53" s="4">
        <v>0.12849765780032779</v>
      </c>
      <c r="Q53" s="4">
        <v>0.12268100751522774</v>
      </c>
      <c r="R53" s="2">
        <v>26244.96439999999</v>
      </c>
      <c r="S53" s="2">
        <v>30081.43069999999</v>
      </c>
      <c r="T53" s="2">
        <v>323</v>
      </c>
      <c r="U53" s="2">
        <v>352</v>
      </c>
    </row>
    <row r="54" spans="1:21" x14ac:dyDescent="0.25">
      <c r="A54" t="s">
        <v>26</v>
      </c>
      <c r="B54" t="s">
        <v>32</v>
      </c>
      <c r="C54" t="s">
        <v>33</v>
      </c>
      <c r="D54" t="s">
        <v>34</v>
      </c>
      <c r="E54" t="s">
        <v>35</v>
      </c>
      <c r="F54" t="s">
        <v>110</v>
      </c>
      <c r="G54" t="s">
        <v>111</v>
      </c>
      <c r="H54" s="1"/>
      <c r="I54" s="1">
        <v>7364.9542999999994</v>
      </c>
      <c r="J54" s="2"/>
      <c r="K54" s="2">
        <v>54</v>
      </c>
      <c r="L54" s="2"/>
      <c r="M54" s="2">
        <v>94.5</v>
      </c>
      <c r="N54" s="1"/>
      <c r="O54" s="1">
        <v>759.77379999999812</v>
      </c>
      <c r="P54" s="4"/>
      <c r="Q54" s="4">
        <v>0.10316069442548995</v>
      </c>
      <c r="R54" s="2"/>
      <c r="S54" s="2">
        <v>611.59079999999994</v>
      </c>
      <c r="T54" s="2"/>
      <c r="U54" s="2">
        <v>5</v>
      </c>
    </row>
    <row r="55" spans="1:21" x14ac:dyDescent="0.25">
      <c r="A55" t="s">
        <v>26</v>
      </c>
      <c r="B55" t="s">
        <v>32</v>
      </c>
      <c r="C55" t="s">
        <v>33</v>
      </c>
      <c r="D55" t="s">
        <v>34</v>
      </c>
      <c r="E55" t="s">
        <v>35</v>
      </c>
      <c r="F55" t="s">
        <v>112</v>
      </c>
      <c r="G55" t="s">
        <v>113</v>
      </c>
      <c r="H55" s="1"/>
      <c r="I55" s="1">
        <v>52.636299999999999</v>
      </c>
      <c r="J55" s="2"/>
      <c r="K55" s="2">
        <v>1</v>
      </c>
      <c r="L55" s="2"/>
      <c r="M55" s="2">
        <v>0</v>
      </c>
      <c r="N55" s="1"/>
      <c r="O55" s="1">
        <v>51.7273</v>
      </c>
      <c r="P55" s="4"/>
      <c r="Q55" s="4">
        <v>0.98273054906974844</v>
      </c>
      <c r="R55" s="2"/>
      <c r="S55" s="2"/>
      <c r="T55" s="2"/>
      <c r="U55" s="2"/>
    </row>
    <row r="56" spans="1:21" x14ac:dyDescent="0.25">
      <c r="A56" t="s">
        <v>26</v>
      </c>
      <c r="B56" t="s">
        <v>32</v>
      </c>
      <c r="C56" t="s">
        <v>33</v>
      </c>
      <c r="D56" t="s">
        <v>34</v>
      </c>
      <c r="E56" t="s">
        <v>35</v>
      </c>
      <c r="F56" t="s">
        <v>114</v>
      </c>
      <c r="G56" t="s">
        <v>115</v>
      </c>
      <c r="H56" s="1"/>
      <c r="I56" s="1">
        <v>1430872.0593000001</v>
      </c>
      <c r="J56" s="2"/>
      <c r="K56" s="2">
        <v>21758</v>
      </c>
      <c r="L56" s="2"/>
      <c r="M56" s="2">
        <v>20130.5016</v>
      </c>
      <c r="N56" s="1"/>
      <c r="O56" s="1">
        <v>194955.15290000034</v>
      </c>
      <c r="P56" s="4"/>
      <c r="Q56" s="4">
        <v>0.13624918568566829</v>
      </c>
      <c r="R56" s="2"/>
      <c r="S56" s="2">
        <v>633.96310000000005</v>
      </c>
      <c r="T56" s="2"/>
      <c r="U56" s="2">
        <v>11</v>
      </c>
    </row>
    <row r="57" spans="1:21" x14ac:dyDescent="0.25">
      <c r="A57" t="s">
        <v>26</v>
      </c>
      <c r="B57" t="s">
        <v>32</v>
      </c>
      <c r="C57" t="s">
        <v>33</v>
      </c>
      <c r="D57" t="s">
        <v>34</v>
      </c>
      <c r="E57" t="s">
        <v>35</v>
      </c>
      <c r="F57" t="s">
        <v>116</v>
      </c>
      <c r="G57" t="s">
        <v>117</v>
      </c>
      <c r="H57" s="1">
        <v>1395568.8409</v>
      </c>
      <c r="I57" s="1"/>
      <c r="J57" s="2">
        <v>17312</v>
      </c>
      <c r="K57" s="2"/>
      <c r="L57" s="2">
        <v>16913.824000000001</v>
      </c>
      <c r="M57" s="2"/>
      <c r="N57" s="1">
        <v>192664.87929999945</v>
      </c>
      <c r="O57" s="1"/>
      <c r="P57" s="4">
        <v>0.13805472983744047</v>
      </c>
      <c r="Q57" s="4"/>
      <c r="R57" s="2">
        <v>11749.633800000001</v>
      </c>
      <c r="S57" s="2"/>
      <c r="T57" s="2">
        <v>166</v>
      </c>
      <c r="U57" s="2"/>
    </row>
    <row r="58" spans="1:21" x14ac:dyDescent="0.25">
      <c r="A58" t="s">
        <v>26</v>
      </c>
      <c r="B58" t="s">
        <v>32</v>
      </c>
      <c r="C58" t="s">
        <v>33</v>
      </c>
      <c r="D58" t="s">
        <v>34</v>
      </c>
      <c r="E58" t="s">
        <v>35</v>
      </c>
      <c r="F58" t="s">
        <v>118</v>
      </c>
      <c r="G58" t="s">
        <v>119</v>
      </c>
      <c r="H58" s="1"/>
      <c r="I58" s="1">
        <v>277066.76479999995</v>
      </c>
      <c r="J58" s="2"/>
      <c r="K58" s="2">
        <v>5094</v>
      </c>
      <c r="L58" s="2"/>
      <c r="M58" s="2">
        <v>4711.95</v>
      </c>
      <c r="N58" s="1"/>
      <c r="O58" s="1">
        <v>39948.445599999977</v>
      </c>
      <c r="P58" s="4"/>
      <c r="Q58" s="4">
        <v>0.14418346288785913</v>
      </c>
      <c r="R58" s="2"/>
      <c r="S58" s="2">
        <v>2851.4159999999993</v>
      </c>
      <c r="T58" s="2"/>
      <c r="U58" s="2">
        <v>61</v>
      </c>
    </row>
    <row r="59" spans="1:21" x14ac:dyDescent="0.25">
      <c r="A59" t="s">
        <v>26</v>
      </c>
      <c r="B59" t="s">
        <v>32</v>
      </c>
      <c r="C59" t="s">
        <v>33</v>
      </c>
      <c r="D59" t="s">
        <v>34</v>
      </c>
      <c r="E59" t="s">
        <v>35</v>
      </c>
      <c r="F59" t="s">
        <v>120</v>
      </c>
      <c r="G59" t="s">
        <v>121</v>
      </c>
      <c r="H59" s="1">
        <v>176539.52890000009</v>
      </c>
      <c r="I59" s="1"/>
      <c r="J59" s="2">
        <v>2372</v>
      </c>
      <c r="K59" s="2"/>
      <c r="L59" s="2">
        <v>2438.4160000000006</v>
      </c>
      <c r="M59" s="2"/>
      <c r="N59" s="1">
        <v>25942.892600000079</v>
      </c>
      <c r="O59" s="1"/>
      <c r="P59" s="4">
        <v>0.14695231578812754</v>
      </c>
      <c r="Q59" s="4"/>
      <c r="R59" s="2">
        <v>18415</v>
      </c>
      <c r="S59" s="2"/>
      <c r="T59" s="2">
        <v>290</v>
      </c>
      <c r="U59" s="2"/>
    </row>
    <row r="60" spans="1:21" x14ac:dyDescent="0.25">
      <c r="A60" t="s">
        <v>26</v>
      </c>
      <c r="B60" t="s">
        <v>32</v>
      </c>
      <c r="C60" t="s">
        <v>33</v>
      </c>
      <c r="D60" t="s">
        <v>34</v>
      </c>
      <c r="E60" t="s">
        <v>35</v>
      </c>
      <c r="F60" t="s">
        <v>122</v>
      </c>
      <c r="G60" t="s">
        <v>123</v>
      </c>
      <c r="H60" s="1">
        <v>153040.06540000002</v>
      </c>
      <c r="I60" s="1">
        <v>156150.78289999996</v>
      </c>
      <c r="J60" s="2">
        <v>2233</v>
      </c>
      <c r="K60" s="2">
        <v>2215</v>
      </c>
      <c r="L60" s="2">
        <v>2069.9910000000009</v>
      </c>
      <c r="M60" s="2">
        <v>2053.3050000000007</v>
      </c>
      <c r="N60" s="1">
        <v>12888.893100000016</v>
      </c>
      <c r="O60" s="1">
        <v>17129.358099999954</v>
      </c>
      <c r="P60" s="4">
        <v>8.4219077313593571E-2</v>
      </c>
      <c r="Q60" s="4">
        <v>0.10969754862497047</v>
      </c>
      <c r="R60" s="2">
        <v>10669.815500000001</v>
      </c>
      <c r="S60" s="2">
        <v>3012.6536999999998</v>
      </c>
      <c r="T60" s="2">
        <v>170</v>
      </c>
      <c r="U60" s="2">
        <v>48</v>
      </c>
    </row>
    <row r="61" spans="1:21" x14ac:dyDescent="0.25">
      <c r="A61" t="s">
        <v>26</v>
      </c>
      <c r="B61" t="s">
        <v>32</v>
      </c>
      <c r="C61" t="s">
        <v>33</v>
      </c>
      <c r="D61" t="s">
        <v>34</v>
      </c>
      <c r="E61" t="s">
        <v>35</v>
      </c>
      <c r="F61" t="s">
        <v>124</v>
      </c>
      <c r="G61" t="s">
        <v>125</v>
      </c>
      <c r="H61" s="1">
        <v>193558.14480000004</v>
      </c>
      <c r="I61" s="1">
        <v>314826.93969999999</v>
      </c>
      <c r="J61" s="2">
        <v>5089</v>
      </c>
      <c r="K61" s="2">
        <v>8275</v>
      </c>
      <c r="L61" s="2">
        <v>4580.0999999999995</v>
      </c>
      <c r="M61" s="2">
        <v>7447.4999999999982</v>
      </c>
      <c r="N61" s="1">
        <v>20286.051300000021</v>
      </c>
      <c r="O61" s="1">
        <v>33100.851500000106</v>
      </c>
      <c r="P61" s="4">
        <v>0.10480598127741519</v>
      </c>
      <c r="Q61" s="4">
        <v>0.10513983184393959</v>
      </c>
      <c r="R61" s="2">
        <v>1768.8525999999997</v>
      </c>
      <c r="S61" s="2">
        <v>1123.4986999999999</v>
      </c>
      <c r="T61" s="2">
        <v>52</v>
      </c>
      <c r="U61" s="2">
        <v>33</v>
      </c>
    </row>
    <row r="62" spans="1:21" x14ac:dyDescent="0.25">
      <c r="A62" t="s">
        <v>26</v>
      </c>
      <c r="B62" t="s">
        <v>32</v>
      </c>
      <c r="C62" t="s">
        <v>33</v>
      </c>
      <c r="D62" t="s">
        <v>34</v>
      </c>
      <c r="E62" t="s">
        <v>35</v>
      </c>
      <c r="F62" t="s">
        <v>126</v>
      </c>
      <c r="G62" t="s">
        <v>127</v>
      </c>
      <c r="H62" s="1"/>
      <c r="I62" s="1">
        <v>213154.86099999998</v>
      </c>
      <c r="J62" s="2"/>
      <c r="K62" s="2">
        <v>2671</v>
      </c>
      <c r="L62" s="2"/>
      <c r="M62" s="2">
        <v>2470.6750000000002</v>
      </c>
      <c r="N62" s="1"/>
      <c r="O62" s="1">
        <v>27423.851999999984</v>
      </c>
      <c r="P62" s="4"/>
      <c r="Q62" s="4">
        <v>0.12865693923818133</v>
      </c>
      <c r="R62" s="2"/>
      <c r="S62" s="2">
        <v>1459.5</v>
      </c>
      <c r="T62" s="2"/>
      <c r="U62" s="2">
        <v>21</v>
      </c>
    </row>
    <row r="63" spans="1:21" x14ac:dyDescent="0.25">
      <c r="A63" t="s">
        <v>26</v>
      </c>
      <c r="B63" t="s">
        <v>32</v>
      </c>
      <c r="C63" t="s">
        <v>33</v>
      </c>
      <c r="D63" t="s">
        <v>34</v>
      </c>
      <c r="E63" t="s">
        <v>35</v>
      </c>
      <c r="F63" t="s">
        <v>128</v>
      </c>
      <c r="G63" t="s">
        <v>129</v>
      </c>
      <c r="H63" s="1">
        <v>634473.10520000011</v>
      </c>
      <c r="I63" s="1">
        <v>889701.24509999994</v>
      </c>
      <c r="J63" s="2">
        <v>7685</v>
      </c>
      <c r="K63" s="2">
        <v>10840</v>
      </c>
      <c r="L63" s="2">
        <v>7147.05</v>
      </c>
      <c r="M63" s="2">
        <v>10081.200000000003</v>
      </c>
      <c r="N63" s="1">
        <v>60500.639500000048</v>
      </c>
      <c r="O63" s="1">
        <v>120084.99060000025</v>
      </c>
      <c r="P63" s="4">
        <v>9.5355719579207229E-2</v>
      </c>
      <c r="Q63" s="4">
        <v>0.13497226317414338</v>
      </c>
      <c r="R63" s="2">
        <v>672.13619999999992</v>
      </c>
      <c r="S63" s="2">
        <v>853.0634</v>
      </c>
      <c r="T63" s="2">
        <v>9</v>
      </c>
      <c r="U63" s="2">
        <v>12</v>
      </c>
    </row>
    <row r="64" spans="1:21" x14ac:dyDescent="0.25">
      <c r="A64" t="s">
        <v>26</v>
      </c>
      <c r="B64" t="s">
        <v>32</v>
      </c>
      <c r="C64" t="s">
        <v>33</v>
      </c>
      <c r="D64" t="s">
        <v>34</v>
      </c>
      <c r="E64" t="s">
        <v>35</v>
      </c>
      <c r="F64" t="s">
        <v>130</v>
      </c>
      <c r="G64" t="s">
        <v>131</v>
      </c>
      <c r="H64" s="1">
        <v>411194.06580000016</v>
      </c>
      <c r="I64" s="1">
        <v>551593.86799999978</v>
      </c>
      <c r="J64" s="2">
        <v>5314</v>
      </c>
      <c r="K64" s="2">
        <v>7406</v>
      </c>
      <c r="L64" s="2">
        <v>4782.5999999999967</v>
      </c>
      <c r="M64" s="2">
        <v>6665.399999999996</v>
      </c>
      <c r="N64" s="1">
        <v>47638.781700000458</v>
      </c>
      <c r="O64" s="1">
        <v>47464.603799999575</v>
      </c>
      <c r="P64" s="4">
        <v>0.11585474028502002</v>
      </c>
      <c r="Q64" s="4">
        <v>8.6049911997933215E-2</v>
      </c>
      <c r="R64" s="2">
        <v>20530.29589999999</v>
      </c>
      <c r="S64" s="2">
        <v>12240.968999999999</v>
      </c>
      <c r="T64" s="2">
        <v>301</v>
      </c>
      <c r="U64" s="2">
        <v>180</v>
      </c>
    </row>
    <row r="65" spans="1:21" x14ac:dyDescent="0.25">
      <c r="A65" t="s">
        <v>26</v>
      </c>
      <c r="B65" t="s">
        <v>32</v>
      </c>
      <c r="C65" t="s">
        <v>33</v>
      </c>
      <c r="D65" t="s">
        <v>34</v>
      </c>
      <c r="E65" t="s">
        <v>35</v>
      </c>
      <c r="F65" t="s">
        <v>132</v>
      </c>
      <c r="G65" t="s">
        <v>133</v>
      </c>
      <c r="H65" s="1">
        <v>223318.19679999998</v>
      </c>
      <c r="I65" s="1"/>
      <c r="J65" s="2">
        <v>3732</v>
      </c>
      <c r="K65" s="2"/>
      <c r="L65" s="2">
        <v>3452.1</v>
      </c>
      <c r="M65" s="2"/>
      <c r="N65" s="1">
        <v>29008.881799999974</v>
      </c>
      <c r="O65" s="1"/>
      <c r="P65" s="4">
        <v>0.12989931951662606</v>
      </c>
      <c r="Q65" s="4"/>
      <c r="R65" s="2">
        <v>4685.7251999999989</v>
      </c>
      <c r="S65" s="2"/>
      <c r="T65" s="2">
        <v>90</v>
      </c>
      <c r="U65" s="2"/>
    </row>
    <row r="66" spans="1:21" x14ac:dyDescent="0.25">
      <c r="A66" t="s">
        <v>26</v>
      </c>
      <c r="B66" t="s">
        <v>32</v>
      </c>
      <c r="C66" t="s">
        <v>33</v>
      </c>
      <c r="D66" t="s">
        <v>34</v>
      </c>
      <c r="E66" t="s">
        <v>35</v>
      </c>
      <c r="F66" t="s">
        <v>134</v>
      </c>
      <c r="G66" t="s">
        <v>135</v>
      </c>
      <c r="H66" s="1">
        <v>339932.7800999998</v>
      </c>
      <c r="I66" s="1">
        <v>290279.6203999999</v>
      </c>
      <c r="J66" s="2">
        <v>4708</v>
      </c>
      <c r="K66" s="2">
        <v>3961</v>
      </c>
      <c r="L66" s="2">
        <v>4237.2000000000007</v>
      </c>
      <c r="M66" s="2">
        <v>3564.8999999999996</v>
      </c>
      <c r="N66" s="1">
        <v>30146.380099999777</v>
      </c>
      <c r="O66" s="1">
        <v>28583.456799999985</v>
      </c>
      <c r="P66" s="4">
        <v>8.8683357018794887E-2</v>
      </c>
      <c r="Q66" s="4">
        <v>9.8468699802667911E-2</v>
      </c>
      <c r="R66" s="2">
        <v>5264</v>
      </c>
      <c r="S66" s="2">
        <v>10199</v>
      </c>
      <c r="T66" s="2">
        <v>80</v>
      </c>
      <c r="U66" s="2">
        <v>155</v>
      </c>
    </row>
    <row r="67" spans="1:21" x14ac:dyDescent="0.25">
      <c r="A67" t="s">
        <v>26</v>
      </c>
      <c r="B67" t="s">
        <v>32</v>
      </c>
      <c r="C67" t="s">
        <v>33</v>
      </c>
      <c r="D67" t="s">
        <v>34</v>
      </c>
      <c r="E67" t="s">
        <v>35</v>
      </c>
      <c r="F67" t="s">
        <v>136</v>
      </c>
      <c r="G67" t="s">
        <v>137</v>
      </c>
      <c r="H67" s="1">
        <v>53187.865400000002</v>
      </c>
      <c r="I67" s="1">
        <v>1262162.1613999996</v>
      </c>
      <c r="J67" s="2">
        <v>771</v>
      </c>
      <c r="K67" s="2">
        <v>19277</v>
      </c>
      <c r="L67" s="2">
        <v>693.89999999999986</v>
      </c>
      <c r="M67" s="2">
        <v>17869.778999999991</v>
      </c>
      <c r="N67" s="1">
        <v>7247.3147000000172</v>
      </c>
      <c r="O67" s="1">
        <v>192702.77189999982</v>
      </c>
      <c r="P67" s="4">
        <v>0.13625879973743066</v>
      </c>
      <c r="Q67" s="4">
        <v>0.15267671444551342</v>
      </c>
      <c r="R67" s="2">
        <v>184.0635</v>
      </c>
      <c r="S67" s="2">
        <v>5068.7065999999995</v>
      </c>
      <c r="T67" s="2">
        <v>3</v>
      </c>
      <c r="U67" s="2">
        <v>90</v>
      </c>
    </row>
    <row r="68" spans="1:21" x14ac:dyDescent="0.25">
      <c r="A68" t="s">
        <v>26</v>
      </c>
      <c r="B68" t="s">
        <v>32</v>
      </c>
      <c r="C68" t="s">
        <v>33</v>
      </c>
      <c r="D68" t="s">
        <v>34</v>
      </c>
      <c r="E68" t="s">
        <v>35</v>
      </c>
      <c r="F68" t="s">
        <v>138</v>
      </c>
      <c r="G68" t="s">
        <v>139</v>
      </c>
      <c r="H68" s="1">
        <v>1870358.2547000004</v>
      </c>
      <c r="I68" s="1">
        <v>2168196.4331</v>
      </c>
      <c r="J68" s="2">
        <v>31257</v>
      </c>
      <c r="K68" s="2">
        <v>36197</v>
      </c>
      <c r="L68" s="2">
        <v>28975.238999999998</v>
      </c>
      <c r="M68" s="2">
        <v>33554.619000000006</v>
      </c>
      <c r="N68" s="1">
        <v>242008.05269999988</v>
      </c>
      <c r="O68" s="1">
        <v>285286.58109999937</v>
      </c>
      <c r="P68" s="4">
        <v>0.12939128217380857</v>
      </c>
      <c r="Q68" s="4">
        <v>0.13157782973201748</v>
      </c>
      <c r="R68" s="2">
        <v>7128.2105000000001</v>
      </c>
      <c r="S68" s="2">
        <v>14415.761199999992</v>
      </c>
      <c r="T68" s="2">
        <v>137</v>
      </c>
      <c r="U68" s="2">
        <v>277</v>
      </c>
    </row>
    <row r="69" spans="1:21" x14ac:dyDescent="0.25">
      <c r="A69" t="s">
        <v>26</v>
      </c>
      <c r="B69" t="s">
        <v>32</v>
      </c>
      <c r="C69" t="s">
        <v>33</v>
      </c>
      <c r="D69" t="s">
        <v>34</v>
      </c>
      <c r="E69" t="s">
        <v>35</v>
      </c>
      <c r="F69" t="s">
        <v>140</v>
      </c>
      <c r="G69" t="s">
        <v>141</v>
      </c>
      <c r="H69" s="1">
        <v>5718587.1554999994</v>
      </c>
      <c r="I69" s="1">
        <v>5748399.6162</v>
      </c>
      <c r="J69" s="2">
        <v>81890</v>
      </c>
      <c r="K69" s="2">
        <v>82096</v>
      </c>
      <c r="L69" s="2">
        <v>75912.029999999984</v>
      </c>
      <c r="M69" s="2">
        <v>76102.992000000013</v>
      </c>
      <c r="N69" s="1">
        <v>758993.76210000087</v>
      </c>
      <c r="O69" s="1">
        <v>776302.07449999731</v>
      </c>
      <c r="P69" s="4">
        <v>0.13272400008278601</v>
      </c>
      <c r="Q69" s="4">
        <v>0.13504664364534463</v>
      </c>
      <c r="R69" s="2">
        <v>2180.2901999999995</v>
      </c>
      <c r="S69" s="2">
        <v>3270.4347999999986</v>
      </c>
      <c r="T69" s="2">
        <v>36</v>
      </c>
      <c r="U69" s="2">
        <v>54</v>
      </c>
    </row>
    <row r="70" spans="1:21" x14ac:dyDescent="0.25">
      <c r="A70" t="s">
        <v>26</v>
      </c>
      <c r="B70" t="s">
        <v>32</v>
      </c>
      <c r="C70" t="s">
        <v>33</v>
      </c>
      <c r="D70" t="s">
        <v>34</v>
      </c>
      <c r="E70" t="s">
        <v>35</v>
      </c>
      <c r="F70" t="s">
        <v>142</v>
      </c>
      <c r="G70" t="s">
        <v>143</v>
      </c>
      <c r="H70" s="1">
        <v>29084.974200000001</v>
      </c>
      <c r="I70" s="1"/>
      <c r="J70" s="2">
        <v>402</v>
      </c>
      <c r="K70" s="2"/>
      <c r="L70" s="2">
        <v>361.80000000000018</v>
      </c>
      <c r="M70" s="2"/>
      <c r="N70" s="1">
        <v>3930.745900000009</v>
      </c>
      <c r="O70" s="1"/>
      <c r="P70" s="4">
        <v>0.13514696189759756</v>
      </c>
      <c r="Q70" s="4"/>
      <c r="R70" s="2">
        <v>2002.3264999999999</v>
      </c>
      <c r="S70" s="2"/>
      <c r="T70" s="2">
        <v>32</v>
      </c>
      <c r="U70" s="2"/>
    </row>
    <row r="71" spans="1:21" x14ac:dyDescent="0.25">
      <c r="A71" t="s">
        <v>26</v>
      </c>
      <c r="B71" t="s">
        <v>32</v>
      </c>
      <c r="C71" t="s">
        <v>33</v>
      </c>
      <c r="D71" t="s">
        <v>34</v>
      </c>
      <c r="E71" t="s">
        <v>35</v>
      </c>
      <c r="F71" t="s">
        <v>144</v>
      </c>
      <c r="G71" t="s">
        <v>145</v>
      </c>
      <c r="H71" s="1">
        <v>433292.09299999994</v>
      </c>
      <c r="I71" s="1">
        <v>371270.28659999993</v>
      </c>
      <c r="J71" s="2">
        <v>7017</v>
      </c>
      <c r="K71" s="2">
        <v>5965</v>
      </c>
      <c r="L71" s="2">
        <v>6315.2999999999984</v>
      </c>
      <c r="M71" s="2">
        <v>5518.8180000000011</v>
      </c>
      <c r="N71" s="1">
        <v>50530.501000000047</v>
      </c>
      <c r="O71" s="1">
        <v>33618.605600000068</v>
      </c>
      <c r="P71" s="4">
        <v>0.11661994718191188</v>
      </c>
      <c r="Q71" s="4">
        <v>9.0550218569524693E-2</v>
      </c>
      <c r="R71" s="2">
        <v>9709.087000000005</v>
      </c>
      <c r="S71" s="2">
        <v>14796.558800000001</v>
      </c>
      <c r="T71" s="2">
        <v>178</v>
      </c>
      <c r="U71" s="2">
        <v>260</v>
      </c>
    </row>
    <row r="72" spans="1:21" x14ac:dyDescent="0.25">
      <c r="A72" t="s">
        <v>26</v>
      </c>
      <c r="B72" t="s">
        <v>32</v>
      </c>
      <c r="C72" t="s">
        <v>33</v>
      </c>
      <c r="D72" t="s">
        <v>34</v>
      </c>
      <c r="E72" t="s">
        <v>35</v>
      </c>
      <c r="F72" t="s">
        <v>146</v>
      </c>
      <c r="G72" t="s">
        <v>147</v>
      </c>
      <c r="H72" s="1">
        <v>2224618.8929999997</v>
      </c>
      <c r="I72" s="1">
        <v>2301072.9233999997</v>
      </c>
      <c r="J72" s="2">
        <v>34543</v>
      </c>
      <c r="K72" s="2">
        <v>34013</v>
      </c>
      <c r="L72" s="2">
        <v>31088.699999999993</v>
      </c>
      <c r="M72" s="2">
        <v>31468.827600000001</v>
      </c>
      <c r="N72" s="1">
        <v>277609.39809999964</v>
      </c>
      <c r="O72" s="1">
        <v>291168.88329999871</v>
      </c>
      <c r="P72" s="4">
        <v>0.12478964328385735</v>
      </c>
      <c r="Q72" s="4">
        <v>0.12653613900674468</v>
      </c>
      <c r="R72" s="2">
        <v>9243.6325999999972</v>
      </c>
      <c r="S72" s="2">
        <v>7622.7261000000017</v>
      </c>
      <c r="T72" s="2">
        <v>164</v>
      </c>
      <c r="U72" s="2">
        <v>129</v>
      </c>
    </row>
    <row r="73" spans="1:21" x14ac:dyDescent="0.25">
      <c r="A73" t="s">
        <v>26</v>
      </c>
      <c r="B73" t="s">
        <v>32</v>
      </c>
      <c r="C73" t="s">
        <v>33</v>
      </c>
      <c r="D73" t="s">
        <v>34</v>
      </c>
      <c r="E73" t="s">
        <v>35</v>
      </c>
      <c r="F73" t="s">
        <v>148</v>
      </c>
      <c r="G73" t="s">
        <v>149</v>
      </c>
      <c r="H73" s="1">
        <v>3985682.9404000016</v>
      </c>
      <c r="I73" s="1">
        <v>998712.09050000017</v>
      </c>
      <c r="J73" s="2">
        <v>30262</v>
      </c>
      <c r="K73" s="2">
        <v>7719</v>
      </c>
      <c r="L73" s="2">
        <v>42366.799999999974</v>
      </c>
      <c r="M73" s="2">
        <v>10806.600000000008</v>
      </c>
      <c r="N73" s="1">
        <v>403693.41739999503</v>
      </c>
      <c r="O73" s="1">
        <v>135270.48409999895</v>
      </c>
      <c r="P73" s="4">
        <v>0.10128588335716453</v>
      </c>
      <c r="Q73" s="4">
        <v>0.13544492490551152</v>
      </c>
      <c r="R73" s="2">
        <v>25069.059600000001</v>
      </c>
      <c r="S73" s="2">
        <v>16824.604899999995</v>
      </c>
      <c r="T73" s="2">
        <v>211</v>
      </c>
      <c r="U73" s="2">
        <v>147</v>
      </c>
    </row>
    <row r="74" spans="1:21" x14ac:dyDescent="0.25">
      <c r="A74" t="s">
        <v>26</v>
      </c>
      <c r="B74" t="s">
        <v>32</v>
      </c>
      <c r="C74" t="s">
        <v>33</v>
      </c>
      <c r="D74" t="s">
        <v>34</v>
      </c>
      <c r="E74" t="s">
        <v>35</v>
      </c>
      <c r="F74" t="s">
        <v>150</v>
      </c>
      <c r="G74" t="s">
        <v>151</v>
      </c>
      <c r="H74" s="1">
        <v>2106999.7745000012</v>
      </c>
      <c r="I74" s="1">
        <v>2110022.4425000013</v>
      </c>
      <c r="J74" s="2">
        <v>25478</v>
      </c>
      <c r="K74" s="2">
        <v>26595</v>
      </c>
      <c r="L74" s="2">
        <v>23694.539999999968</v>
      </c>
      <c r="M74" s="2">
        <v>24733.350000000002</v>
      </c>
      <c r="N74" s="1">
        <v>248265.07739999634</v>
      </c>
      <c r="O74" s="1">
        <v>299410.27090000105</v>
      </c>
      <c r="P74" s="4">
        <v>0.11782871569547773</v>
      </c>
      <c r="Q74" s="4">
        <v>0.14189909304720624</v>
      </c>
      <c r="R74" s="2">
        <v>12544.686399999997</v>
      </c>
      <c r="S74" s="2">
        <v>7561.4707999999991</v>
      </c>
      <c r="T74" s="2">
        <v>171</v>
      </c>
      <c r="U74" s="2">
        <v>108</v>
      </c>
    </row>
    <row r="75" spans="1:21" x14ac:dyDescent="0.25">
      <c r="A75" t="s">
        <v>26</v>
      </c>
      <c r="B75" t="s">
        <v>32</v>
      </c>
      <c r="C75" t="s">
        <v>33</v>
      </c>
      <c r="D75" t="s">
        <v>34</v>
      </c>
      <c r="E75" t="s">
        <v>35</v>
      </c>
      <c r="F75" t="s">
        <v>152</v>
      </c>
      <c r="G75" t="s">
        <v>153</v>
      </c>
      <c r="H75" s="1">
        <v>272114.10609999998</v>
      </c>
      <c r="I75" s="1">
        <v>540765.66469999996</v>
      </c>
      <c r="J75" s="2">
        <v>2133</v>
      </c>
      <c r="K75" s="2">
        <v>4274</v>
      </c>
      <c r="L75" s="2">
        <v>3199.5</v>
      </c>
      <c r="M75" s="2">
        <v>6411</v>
      </c>
      <c r="N75" s="1">
        <v>40336.918099999923</v>
      </c>
      <c r="O75" s="1">
        <v>95943.855699999956</v>
      </c>
      <c r="P75" s="4">
        <v>0.14823530715888869</v>
      </c>
      <c r="Q75" s="4">
        <v>0.17742224028448003</v>
      </c>
      <c r="R75" s="2">
        <v>3909.9445000000001</v>
      </c>
      <c r="S75" s="2">
        <v>946.83600000000013</v>
      </c>
      <c r="T75" s="2">
        <v>36</v>
      </c>
      <c r="U75" s="2">
        <v>9</v>
      </c>
    </row>
    <row r="76" spans="1:21" x14ac:dyDescent="0.25">
      <c r="A76" t="s">
        <v>26</v>
      </c>
      <c r="B76" t="s">
        <v>32</v>
      </c>
      <c r="C76" t="s">
        <v>33</v>
      </c>
      <c r="D76" t="s">
        <v>34</v>
      </c>
      <c r="E76" t="s">
        <v>35</v>
      </c>
      <c r="F76" t="s">
        <v>154</v>
      </c>
      <c r="G76" t="s">
        <v>155</v>
      </c>
      <c r="H76" s="1">
        <v>149931.65199999997</v>
      </c>
      <c r="I76" s="1">
        <v>301575.2169</v>
      </c>
      <c r="J76" s="2">
        <v>1859</v>
      </c>
      <c r="K76" s="2">
        <v>3720</v>
      </c>
      <c r="L76" s="2">
        <v>1728.870000000001</v>
      </c>
      <c r="M76" s="2">
        <v>3459.6000000000004</v>
      </c>
      <c r="N76" s="1">
        <v>17607.409700000018</v>
      </c>
      <c r="O76" s="1">
        <v>51395.416900000069</v>
      </c>
      <c r="P76" s="4">
        <v>0.11743624154824905</v>
      </c>
      <c r="Q76" s="4">
        <v>0.17042321125824603</v>
      </c>
      <c r="R76" s="2">
        <v>2059.5176999999999</v>
      </c>
      <c r="S76" s="2">
        <v>3050.2538999999997</v>
      </c>
      <c r="T76" s="2">
        <v>29</v>
      </c>
      <c r="U76" s="2">
        <v>45</v>
      </c>
    </row>
    <row r="77" spans="1:21" x14ac:dyDescent="0.25">
      <c r="A77" t="s">
        <v>26</v>
      </c>
      <c r="B77" t="s">
        <v>32</v>
      </c>
      <c r="C77" t="s">
        <v>33</v>
      </c>
      <c r="D77" t="s">
        <v>34</v>
      </c>
      <c r="E77" t="s">
        <v>35</v>
      </c>
      <c r="F77" t="s">
        <v>156</v>
      </c>
      <c r="G77" t="s">
        <v>157</v>
      </c>
      <c r="H77" s="1"/>
      <c r="I77" s="1">
        <v>9063326.0105999801</v>
      </c>
      <c r="J77" s="2"/>
      <c r="K77" s="2">
        <v>53916</v>
      </c>
      <c r="L77" s="2"/>
      <c r="M77" s="2">
        <v>107832</v>
      </c>
      <c r="N77" s="1"/>
      <c r="O77" s="1">
        <v>1101485.3271000031</v>
      </c>
      <c r="P77" s="4"/>
      <c r="Q77" s="4">
        <v>0.12153213134027895</v>
      </c>
      <c r="R77" s="2"/>
      <c r="S77" s="2">
        <v>43373.424599999998</v>
      </c>
      <c r="T77" s="2"/>
      <c r="U77" s="2">
        <v>292</v>
      </c>
    </row>
    <row r="78" spans="1:21" x14ac:dyDescent="0.25">
      <c r="A78" t="s">
        <v>26</v>
      </c>
      <c r="B78" t="s">
        <v>32</v>
      </c>
      <c r="C78" t="s">
        <v>33</v>
      </c>
      <c r="D78" t="s">
        <v>34</v>
      </c>
      <c r="E78" t="s">
        <v>35</v>
      </c>
      <c r="F78" t="s">
        <v>158</v>
      </c>
      <c r="G78" t="s">
        <v>159</v>
      </c>
      <c r="H78" s="1">
        <v>1173910.1144000003</v>
      </c>
      <c r="I78" s="1">
        <v>1899206.1271000002</v>
      </c>
      <c r="J78" s="2">
        <v>23189</v>
      </c>
      <c r="K78" s="2">
        <v>37545</v>
      </c>
      <c r="L78" s="2">
        <v>17855.529999999973</v>
      </c>
      <c r="M78" s="2">
        <v>28909.649999999976</v>
      </c>
      <c r="N78" s="1">
        <v>155641.61669999943</v>
      </c>
      <c r="O78" s="1">
        <v>250422.67749999836</v>
      </c>
      <c r="P78" s="4">
        <v>0.13258393022667644</v>
      </c>
      <c r="Q78" s="4">
        <v>0.13185650252844441</v>
      </c>
      <c r="R78" s="2">
        <v>17914.891600000006</v>
      </c>
      <c r="S78" s="2">
        <v>19539.5239</v>
      </c>
      <c r="T78" s="2">
        <v>408</v>
      </c>
      <c r="U78" s="2">
        <v>445</v>
      </c>
    </row>
    <row r="79" spans="1:21" x14ac:dyDescent="0.25">
      <c r="A79" t="s">
        <v>26</v>
      </c>
      <c r="B79" t="s">
        <v>32</v>
      </c>
      <c r="C79" t="s">
        <v>33</v>
      </c>
      <c r="D79" t="s">
        <v>34</v>
      </c>
      <c r="E79" t="s">
        <v>35</v>
      </c>
      <c r="F79" t="s">
        <v>160</v>
      </c>
      <c r="G79" t="s">
        <v>161</v>
      </c>
      <c r="H79" s="1"/>
      <c r="I79" s="1"/>
      <c r="J79" s="2"/>
      <c r="K79" s="2"/>
      <c r="L79" s="2"/>
      <c r="M79" s="2"/>
      <c r="N79" s="1"/>
      <c r="O79" s="1"/>
      <c r="P79" s="4"/>
      <c r="Q79" s="4"/>
      <c r="R79" s="2">
        <v>307.36309999999997</v>
      </c>
      <c r="S79" s="2"/>
      <c r="T79" s="2">
        <v>7</v>
      </c>
      <c r="U79" s="2"/>
    </row>
    <row r="80" spans="1:21" x14ac:dyDescent="0.25">
      <c r="A80" t="s">
        <v>26</v>
      </c>
      <c r="B80" t="s">
        <v>32</v>
      </c>
      <c r="C80" t="s">
        <v>33</v>
      </c>
      <c r="D80" t="s">
        <v>34</v>
      </c>
      <c r="E80" t="s">
        <v>35</v>
      </c>
      <c r="F80" t="s">
        <v>162</v>
      </c>
      <c r="G80" t="s">
        <v>163</v>
      </c>
      <c r="H80" s="1">
        <v>38808.583499999993</v>
      </c>
      <c r="I80" s="1">
        <v>48281.073400000008</v>
      </c>
      <c r="J80" s="2">
        <v>475</v>
      </c>
      <c r="K80" s="2">
        <v>585</v>
      </c>
      <c r="L80" s="2">
        <v>455.0499999999999</v>
      </c>
      <c r="M80" s="2">
        <v>560.42999999999995</v>
      </c>
      <c r="N80" s="1">
        <v>3446.9507999999914</v>
      </c>
      <c r="O80" s="1">
        <v>5554.0437000000093</v>
      </c>
      <c r="P80" s="4">
        <v>8.8819289165758708E-2</v>
      </c>
      <c r="Q80" s="4">
        <v>0.11503563009019614</v>
      </c>
      <c r="R80" s="2">
        <v>223.4727</v>
      </c>
      <c r="S80" s="2">
        <v>659.28139999999985</v>
      </c>
      <c r="T80" s="2">
        <v>3</v>
      </c>
      <c r="U80" s="2">
        <v>9</v>
      </c>
    </row>
    <row r="81" spans="1:21" x14ac:dyDescent="0.25">
      <c r="A81" t="s">
        <v>26</v>
      </c>
      <c r="B81" t="s">
        <v>32</v>
      </c>
      <c r="C81" t="s">
        <v>33</v>
      </c>
      <c r="D81" t="s">
        <v>34</v>
      </c>
      <c r="E81" t="s">
        <v>35</v>
      </c>
      <c r="F81" t="s">
        <v>164</v>
      </c>
      <c r="G81" t="s">
        <v>165</v>
      </c>
      <c r="H81" s="1">
        <v>21133.662199999999</v>
      </c>
      <c r="I81" s="1"/>
      <c r="J81" s="2">
        <v>291</v>
      </c>
      <c r="K81" s="2"/>
      <c r="L81" s="2">
        <v>276.45</v>
      </c>
      <c r="M81" s="2"/>
      <c r="N81" s="1">
        <v>2887.9621999999945</v>
      </c>
      <c r="O81" s="1"/>
      <c r="P81" s="4">
        <v>0.13665223626031059</v>
      </c>
      <c r="Q81" s="4"/>
      <c r="R81" s="2"/>
      <c r="S81" s="2"/>
      <c r="T81" s="2"/>
      <c r="U81" s="2"/>
    </row>
    <row r="82" spans="1:21" x14ac:dyDescent="0.25">
      <c r="A82" t="s">
        <v>26</v>
      </c>
      <c r="B82" t="s">
        <v>32</v>
      </c>
      <c r="C82" t="s">
        <v>33</v>
      </c>
      <c r="D82" t="s">
        <v>34</v>
      </c>
      <c r="E82" t="s">
        <v>35</v>
      </c>
      <c r="F82" t="s">
        <v>166</v>
      </c>
      <c r="G82" t="s">
        <v>167</v>
      </c>
      <c r="H82" s="1">
        <v>1289503.7374000035</v>
      </c>
      <c r="I82" s="1">
        <v>780.90900000000011</v>
      </c>
      <c r="J82" s="2">
        <v>14628</v>
      </c>
      <c r="K82" s="2">
        <v>10</v>
      </c>
      <c r="L82" s="2">
        <v>13530.899999999987</v>
      </c>
      <c r="M82" s="2">
        <v>9.2500000000000018</v>
      </c>
      <c r="N82" s="1">
        <v>82207.30120000313</v>
      </c>
      <c r="O82" s="1">
        <v>-44.090999999999894</v>
      </c>
      <c r="P82" s="4">
        <v>6.3751115111737339E-2</v>
      </c>
      <c r="Q82" s="4">
        <v>-5.6461124151469491E-2</v>
      </c>
      <c r="R82" s="2">
        <v>11550</v>
      </c>
      <c r="S82" s="2"/>
      <c r="T82" s="2">
        <v>140</v>
      </c>
      <c r="U82" s="2"/>
    </row>
    <row r="83" spans="1:21" x14ac:dyDescent="0.25">
      <c r="A83" t="s">
        <v>26</v>
      </c>
      <c r="B83" t="s">
        <v>32</v>
      </c>
      <c r="C83" t="s">
        <v>33</v>
      </c>
      <c r="D83" t="s">
        <v>34</v>
      </c>
      <c r="E83" t="s">
        <v>35</v>
      </c>
      <c r="F83" t="s">
        <v>168</v>
      </c>
      <c r="G83" t="s">
        <v>169</v>
      </c>
      <c r="H83" s="1">
        <v>3748423.5614000005</v>
      </c>
      <c r="I83" s="1">
        <v>3763332.5142000006</v>
      </c>
      <c r="J83" s="2">
        <v>52285</v>
      </c>
      <c r="K83" s="2">
        <v>53787</v>
      </c>
      <c r="L83" s="2">
        <v>47056.499999999985</v>
      </c>
      <c r="M83" s="2">
        <v>48408.300000000017</v>
      </c>
      <c r="N83" s="1">
        <v>494357.93240000028</v>
      </c>
      <c r="O83" s="1">
        <v>574802.53320000041</v>
      </c>
      <c r="P83" s="4">
        <v>0.13188422394169411</v>
      </c>
      <c r="Q83" s="4">
        <v>0.15273764171279733</v>
      </c>
      <c r="R83" s="2">
        <v>4951.2069000000001</v>
      </c>
      <c r="S83" s="2">
        <v>15883.896600000004</v>
      </c>
      <c r="T83" s="2">
        <v>80</v>
      </c>
      <c r="U83" s="2">
        <v>272</v>
      </c>
    </row>
    <row r="84" spans="1:21" x14ac:dyDescent="0.25">
      <c r="A84" t="s">
        <v>26</v>
      </c>
      <c r="B84" t="s">
        <v>32</v>
      </c>
      <c r="C84" t="s">
        <v>33</v>
      </c>
      <c r="D84" t="s">
        <v>34</v>
      </c>
      <c r="E84" t="s">
        <v>35</v>
      </c>
      <c r="F84" t="s">
        <v>170</v>
      </c>
      <c r="G84" t="s">
        <v>171</v>
      </c>
      <c r="H84" s="1">
        <v>2586265.3780000014</v>
      </c>
      <c r="I84" s="1">
        <v>2214457.8869000021</v>
      </c>
      <c r="J84" s="2">
        <v>48075</v>
      </c>
      <c r="K84" s="2">
        <v>35525</v>
      </c>
      <c r="L84" s="2">
        <v>43267.500000000015</v>
      </c>
      <c r="M84" s="2">
        <v>31972.5</v>
      </c>
      <c r="N84" s="1">
        <v>313596.35490000062</v>
      </c>
      <c r="O84" s="1">
        <v>273483.42049999954</v>
      </c>
      <c r="P84" s="4">
        <v>0.12125451532066267</v>
      </c>
      <c r="Q84" s="4">
        <v>0.1234990388021541</v>
      </c>
      <c r="R84" s="2">
        <v>45736.203700000013</v>
      </c>
      <c r="S84" s="2">
        <v>95449.703800000003</v>
      </c>
      <c r="T84" s="2">
        <v>968</v>
      </c>
      <c r="U84" s="2">
        <v>1747</v>
      </c>
    </row>
    <row r="85" spans="1:21" x14ac:dyDescent="0.25">
      <c r="A85" t="s">
        <v>26</v>
      </c>
      <c r="B85" t="s">
        <v>32</v>
      </c>
      <c r="C85" t="s">
        <v>33</v>
      </c>
      <c r="D85" t="s">
        <v>34</v>
      </c>
      <c r="E85" t="s">
        <v>35</v>
      </c>
      <c r="F85" t="s">
        <v>172</v>
      </c>
      <c r="G85" t="s">
        <v>173</v>
      </c>
      <c r="H85" s="1">
        <v>845303.07440000132</v>
      </c>
      <c r="I85" s="1">
        <v>1040.7629999999999</v>
      </c>
      <c r="J85" s="2">
        <v>9840</v>
      </c>
      <c r="K85" s="2">
        <v>12</v>
      </c>
      <c r="L85" s="2">
        <v>8856.0000000000091</v>
      </c>
      <c r="M85" s="2">
        <v>10.8</v>
      </c>
      <c r="N85" s="1">
        <v>93872.538200001116</v>
      </c>
      <c r="O85" s="1">
        <v>71.163000000000011</v>
      </c>
      <c r="P85" s="4">
        <v>0.11105193041753944</v>
      </c>
      <c r="Q85" s="4">
        <v>6.837579737173595E-2</v>
      </c>
      <c r="R85" s="2">
        <v>36036.727100000004</v>
      </c>
      <c r="S85" s="2">
        <v>1373.6000000000001</v>
      </c>
      <c r="T85" s="2">
        <v>472</v>
      </c>
      <c r="U85" s="2">
        <v>17</v>
      </c>
    </row>
    <row r="86" spans="1:21" x14ac:dyDescent="0.25">
      <c r="A86" t="s">
        <v>26</v>
      </c>
      <c r="B86" t="s">
        <v>32</v>
      </c>
      <c r="C86" t="s">
        <v>33</v>
      </c>
      <c r="D86" t="s">
        <v>34</v>
      </c>
      <c r="E86" t="s">
        <v>35</v>
      </c>
      <c r="F86" t="s">
        <v>174</v>
      </c>
      <c r="G86" t="s">
        <v>175</v>
      </c>
      <c r="H86" s="1">
        <v>505475.12699999998</v>
      </c>
      <c r="I86" s="1">
        <v>612444.93409999995</v>
      </c>
      <c r="J86" s="2">
        <v>6718</v>
      </c>
      <c r="K86" s="2">
        <v>8552</v>
      </c>
      <c r="L86" s="2">
        <v>6214.1500000000015</v>
      </c>
      <c r="M86" s="2">
        <v>7910.5999999999995</v>
      </c>
      <c r="N86" s="1">
        <v>61406.063399999985</v>
      </c>
      <c r="O86" s="1">
        <v>74506.479699999909</v>
      </c>
      <c r="P86" s="4">
        <v>0.1214818694728771</v>
      </c>
      <c r="Q86" s="4">
        <v>0.1216541693001162</v>
      </c>
      <c r="R86" s="2">
        <v>6279.5000000000018</v>
      </c>
      <c r="S86" s="2">
        <v>12177.643999999997</v>
      </c>
      <c r="T86" s="2">
        <v>95</v>
      </c>
      <c r="U86" s="2">
        <v>192</v>
      </c>
    </row>
    <row r="87" spans="1:21" x14ac:dyDescent="0.25">
      <c r="A87" t="s">
        <v>26</v>
      </c>
      <c r="B87" t="s">
        <v>32</v>
      </c>
      <c r="C87" t="s">
        <v>33</v>
      </c>
      <c r="D87" t="s">
        <v>34</v>
      </c>
      <c r="E87" t="s">
        <v>35</v>
      </c>
      <c r="F87" t="s">
        <v>176</v>
      </c>
      <c r="G87" t="s">
        <v>177</v>
      </c>
      <c r="H87" s="1">
        <v>1308183.0958</v>
      </c>
      <c r="I87" s="1">
        <v>1451050.2296000002</v>
      </c>
      <c r="J87" s="2">
        <v>19032</v>
      </c>
      <c r="K87" s="2">
        <v>21430</v>
      </c>
      <c r="L87" s="2">
        <v>19032</v>
      </c>
      <c r="M87" s="2">
        <v>21430</v>
      </c>
      <c r="N87" s="1">
        <v>141867.57140000025</v>
      </c>
      <c r="O87" s="1">
        <v>202256.76370000001</v>
      </c>
      <c r="P87" s="4">
        <v>0.10844626555370922</v>
      </c>
      <c r="Q87" s="4">
        <v>0.13938646614304631</v>
      </c>
      <c r="R87" s="2">
        <v>13543.2785</v>
      </c>
      <c r="S87" s="2">
        <v>10597.703100000001</v>
      </c>
      <c r="T87" s="2">
        <v>221</v>
      </c>
      <c r="U87" s="2">
        <v>182</v>
      </c>
    </row>
    <row r="88" spans="1:21" x14ac:dyDescent="0.25">
      <c r="A88" t="s">
        <v>26</v>
      </c>
      <c r="B88" t="s">
        <v>32</v>
      </c>
      <c r="C88" t="s">
        <v>33</v>
      </c>
      <c r="D88" t="s">
        <v>34</v>
      </c>
      <c r="E88" t="s">
        <v>35</v>
      </c>
      <c r="F88" t="s">
        <v>178</v>
      </c>
      <c r="G88" t="s">
        <v>179</v>
      </c>
      <c r="H88" s="1">
        <v>133842.46230000001</v>
      </c>
      <c r="I88" s="1">
        <v>231904.20260000005</v>
      </c>
      <c r="J88" s="2">
        <v>1904</v>
      </c>
      <c r="K88" s="2">
        <v>3279</v>
      </c>
      <c r="L88" s="2">
        <v>1523.2</v>
      </c>
      <c r="M88" s="2">
        <v>2623.2000000000003</v>
      </c>
      <c r="N88" s="1">
        <v>23168.455700000035</v>
      </c>
      <c r="O88" s="1">
        <v>41304.894800000038</v>
      </c>
      <c r="P88" s="4">
        <v>0.1731024317833402</v>
      </c>
      <c r="Q88" s="4">
        <v>0.17811188558425908</v>
      </c>
      <c r="R88" s="2">
        <v>1095.3449000000001</v>
      </c>
      <c r="S88" s="2">
        <v>871.90859999999998</v>
      </c>
      <c r="T88" s="2">
        <v>19</v>
      </c>
      <c r="U88" s="2">
        <v>15</v>
      </c>
    </row>
    <row r="89" spans="1:21" x14ac:dyDescent="0.25">
      <c r="A89" t="s">
        <v>26</v>
      </c>
      <c r="B89" t="s">
        <v>32</v>
      </c>
      <c r="C89" t="s">
        <v>33</v>
      </c>
      <c r="D89" t="s">
        <v>34</v>
      </c>
      <c r="E89" t="s">
        <v>35</v>
      </c>
      <c r="F89" t="s">
        <v>180</v>
      </c>
      <c r="G89" t="s">
        <v>181</v>
      </c>
      <c r="H89" s="1">
        <v>63.545400000000001</v>
      </c>
      <c r="I89" s="1">
        <v>108763.87650000001</v>
      </c>
      <c r="J89" s="2">
        <v>1</v>
      </c>
      <c r="K89" s="2">
        <v>1590</v>
      </c>
      <c r="L89" s="2">
        <v>0.92700000000000005</v>
      </c>
      <c r="M89" s="2">
        <v>1473.93</v>
      </c>
      <c r="N89" s="1">
        <v>8.9453999999999994</v>
      </c>
      <c r="O89" s="1">
        <v>17826.085800000015</v>
      </c>
      <c r="P89" s="4">
        <v>0.14077179465390097</v>
      </c>
      <c r="Q89" s="4">
        <v>0.16389711707268922</v>
      </c>
      <c r="R89" s="2">
        <v>513.34540000000004</v>
      </c>
      <c r="S89" s="2">
        <v>6209.1719000000012</v>
      </c>
      <c r="T89" s="2">
        <v>10</v>
      </c>
      <c r="U89" s="2">
        <v>107</v>
      </c>
    </row>
    <row r="90" spans="1:21" x14ac:dyDescent="0.25">
      <c r="A90" t="s">
        <v>26</v>
      </c>
      <c r="B90" t="s">
        <v>32</v>
      </c>
      <c r="C90" t="s">
        <v>33</v>
      </c>
      <c r="D90" t="s">
        <v>34</v>
      </c>
      <c r="E90" t="s">
        <v>35</v>
      </c>
      <c r="F90" t="s">
        <v>182</v>
      </c>
      <c r="G90" t="s">
        <v>183</v>
      </c>
      <c r="H90" s="1"/>
      <c r="I90" s="1">
        <v>56860.599699999992</v>
      </c>
      <c r="J90" s="2"/>
      <c r="K90" s="2">
        <v>872</v>
      </c>
      <c r="L90" s="2"/>
      <c r="M90" s="2">
        <v>697.59999999999991</v>
      </c>
      <c r="N90" s="1"/>
      <c r="O90" s="1">
        <v>8670.7199999999793</v>
      </c>
      <c r="P90" s="4"/>
      <c r="Q90" s="4">
        <v>0.15249082925166513</v>
      </c>
      <c r="R90" s="2"/>
      <c r="S90" s="2">
        <v>6963.2167999999992</v>
      </c>
      <c r="T90" s="2"/>
      <c r="U90" s="2">
        <v>126</v>
      </c>
    </row>
    <row r="91" spans="1:21" x14ac:dyDescent="0.25">
      <c r="A91" t="s">
        <v>26</v>
      </c>
      <c r="B91" t="s">
        <v>32</v>
      </c>
      <c r="C91" t="s">
        <v>33</v>
      </c>
      <c r="D91" t="s">
        <v>34</v>
      </c>
      <c r="E91" t="s">
        <v>35</v>
      </c>
      <c r="F91" t="s">
        <v>184</v>
      </c>
      <c r="G91" t="s">
        <v>185</v>
      </c>
      <c r="H91" s="1">
        <v>435940.78440000006</v>
      </c>
      <c r="I91" s="1">
        <v>636269.21909999975</v>
      </c>
      <c r="J91" s="2">
        <v>5927</v>
      </c>
      <c r="K91" s="2">
        <v>8583</v>
      </c>
      <c r="L91" s="2">
        <v>5334.2999999999975</v>
      </c>
      <c r="M91" s="2">
        <v>7724.699999999998</v>
      </c>
      <c r="N91" s="1">
        <v>50014.324099999794</v>
      </c>
      <c r="O91" s="1">
        <v>74019.631999999052</v>
      </c>
      <c r="P91" s="4">
        <v>0.11472733428425648</v>
      </c>
      <c r="Q91" s="4">
        <v>0.11633382501938334</v>
      </c>
      <c r="R91" s="2">
        <v>5313.1057999999994</v>
      </c>
      <c r="S91" s="2">
        <v>8031.1953999999987</v>
      </c>
      <c r="T91" s="2">
        <v>80</v>
      </c>
      <c r="U91" s="2">
        <v>122</v>
      </c>
    </row>
    <row r="92" spans="1:21" x14ac:dyDescent="0.25">
      <c r="A92" t="s">
        <v>26</v>
      </c>
      <c r="B92" t="s">
        <v>32</v>
      </c>
      <c r="C92" t="s">
        <v>33</v>
      </c>
      <c r="D92" t="s">
        <v>34</v>
      </c>
      <c r="E92" t="s">
        <v>35</v>
      </c>
      <c r="F92" t="s">
        <v>186</v>
      </c>
      <c r="G92" t="s">
        <v>187</v>
      </c>
      <c r="H92" s="1">
        <v>171017.72849999997</v>
      </c>
      <c r="I92" s="1">
        <v>124775.52909999997</v>
      </c>
      <c r="J92" s="2">
        <v>2417</v>
      </c>
      <c r="K92" s="2">
        <v>1712</v>
      </c>
      <c r="L92" s="2">
        <v>2175.2999999999993</v>
      </c>
      <c r="M92" s="2">
        <v>1540.7999999999997</v>
      </c>
      <c r="N92" s="1">
        <v>20768.248199999944</v>
      </c>
      <c r="O92" s="1">
        <v>28996.929099999979</v>
      </c>
      <c r="P92" s="4">
        <v>0.12143915360213632</v>
      </c>
      <c r="Q92" s="4">
        <v>0.23239275608890192</v>
      </c>
      <c r="R92" s="2">
        <v>18338.267799999994</v>
      </c>
      <c r="S92" s="2">
        <v>15888.505699999998</v>
      </c>
      <c r="T92" s="2">
        <v>295</v>
      </c>
      <c r="U92" s="2">
        <v>284</v>
      </c>
    </row>
    <row r="93" spans="1:21" x14ac:dyDescent="0.25">
      <c r="A93" t="s">
        <v>26</v>
      </c>
      <c r="B93" t="s">
        <v>32</v>
      </c>
      <c r="C93" t="s">
        <v>33</v>
      </c>
      <c r="D93" t="s">
        <v>34</v>
      </c>
      <c r="E93" t="s">
        <v>35</v>
      </c>
      <c r="F93" t="s">
        <v>188</v>
      </c>
      <c r="G93" t="s">
        <v>189</v>
      </c>
      <c r="H93" s="1">
        <v>636505.35390000057</v>
      </c>
      <c r="I93" s="1">
        <v>888126.41190000041</v>
      </c>
      <c r="J93" s="2">
        <v>7385</v>
      </c>
      <c r="K93" s="2">
        <v>9799</v>
      </c>
      <c r="L93" s="2">
        <v>7385</v>
      </c>
      <c r="M93" s="2">
        <v>9799</v>
      </c>
      <c r="N93" s="1">
        <v>83357.481200000388</v>
      </c>
      <c r="O93" s="1">
        <v>154153.72050000064</v>
      </c>
      <c r="P93" s="4">
        <v>0.1309611626819033</v>
      </c>
      <c r="Q93" s="4">
        <v>0.17357182314870481</v>
      </c>
      <c r="R93" s="2">
        <v>9287.4</v>
      </c>
      <c r="S93" s="2">
        <v>9287.6000000000022</v>
      </c>
      <c r="T93" s="2">
        <v>124</v>
      </c>
      <c r="U93" s="2">
        <v>124</v>
      </c>
    </row>
    <row r="94" spans="1:21" x14ac:dyDescent="0.25">
      <c r="A94" t="s">
        <v>26</v>
      </c>
      <c r="B94" t="s">
        <v>32</v>
      </c>
      <c r="C94" t="s">
        <v>33</v>
      </c>
      <c r="D94" t="s">
        <v>34</v>
      </c>
      <c r="E94" t="s">
        <v>35</v>
      </c>
      <c r="F94" t="s">
        <v>190</v>
      </c>
      <c r="G94" t="s">
        <v>191</v>
      </c>
      <c r="H94" s="1">
        <v>151939.39789999998</v>
      </c>
      <c r="I94" s="1">
        <v>166089.91449999984</v>
      </c>
      <c r="J94" s="2">
        <v>3020</v>
      </c>
      <c r="K94" s="2">
        <v>3229</v>
      </c>
      <c r="L94" s="2">
        <v>1510</v>
      </c>
      <c r="M94" s="2">
        <v>1614.5</v>
      </c>
      <c r="N94" s="1">
        <v>19059.39790000004</v>
      </c>
      <c r="O94" s="1">
        <v>20301.418799999781</v>
      </c>
      <c r="P94" s="4">
        <v>0.12544078865275032</v>
      </c>
      <c r="Q94" s="4">
        <v>0.12223149648258624</v>
      </c>
      <c r="R94" s="2">
        <v>14483.618</v>
      </c>
      <c r="S94" s="2">
        <v>12777.234200000001</v>
      </c>
      <c r="T94" s="2">
        <v>329</v>
      </c>
      <c r="U94" s="2">
        <v>279</v>
      </c>
    </row>
    <row r="95" spans="1:21" x14ac:dyDescent="0.25">
      <c r="A95" t="s">
        <v>26</v>
      </c>
      <c r="B95" t="s">
        <v>32</v>
      </c>
      <c r="C95" t="s">
        <v>33</v>
      </c>
      <c r="D95" t="s">
        <v>34</v>
      </c>
      <c r="E95" t="s">
        <v>35</v>
      </c>
      <c r="F95" t="s">
        <v>192</v>
      </c>
      <c r="G95" t="s">
        <v>193</v>
      </c>
      <c r="H95" s="1"/>
      <c r="I95" s="1">
        <v>489261.07519999996</v>
      </c>
      <c r="J95" s="2"/>
      <c r="K95" s="2">
        <v>3961</v>
      </c>
      <c r="L95" s="2"/>
      <c r="M95" s="2">
        <v>5826.6310000000003</v>
      </c>
      <c r="N95" s="1"/>
      <c r="O95" s="1">
        <v>79405.62069999997</v>
      </c>
      <c r="P95" s="4"/>
      <c r="Q95" s="4">
        <v>0.16229703265795378</v>
      </c>
      <c r="R95" s="2"/>
      <c r="S95" s="2">
        <v>1241.6724000000002</v>
      </c>
      <c r="T95" s="2"/>
      <c r="U95" s="2">
        <v>12</v>
      </c>
    </row>
    <row r="96" spans="1:21" x14ac:dyDescent="0.25">
      <c r="A96" t="s">
        <v>26</v>
      </c>
      <c r="B96" t="s">
        <v>32</v>
      </c>
      <c r="C96" t="s">
        <v>33</v>
      </c>
      <c r="D96" t="s">
        <v>34</v>
      </c>
      <c r="E96" t="s">
        <v>35</v>
      </c>
      <c r="F96" t="s">
        <v>194</v>
      </c>
      <c r="G96" t="s">
        <v>195</v>
      </c>
      <c r="H96" s="1">
        <v>454222.79879999999</v>
      </c>
      <c r="I96" s="1">
        <v>333712.99660000001</v>
      </c>
      <c r="J96" s="2">
        <v>5379</v>
      </c>
      <c r="K96" s="2">
        <v>3995</v>
      </c>
      <c r="L96" s="2">
        <v>5002.4700000000021</v>
      </c>
      <c r="M96" s="2">
        <v>3823.2150000000006</v>
      </c>
      <c r="N96" s="1">
        <v>56616.917600000044</v>
      </c>
      <c r="O96" s="1">
        <v>22505.266500000027</v>
      </c>
      <c r="P96" s="4">
        <v>0.12464569755101433</v>
      </c>
      <c r="Q96" s="4">
        <v>6.7438987181478061E-2</v>
      </c>
      <c r="R96" s="2">
        <v>813.09909999999991</v>
      </c>
      <c r="S96" s="2">
        <v>77.890900000000002</v>
      </c>
      <c r="T96" s="2">
        <v>11</v>
      </c>
      <c r="U96" s="2">
        <v>1</v>
      </c>
    </row>
    <row r="97" spans="1:21" x14ac:dyDescent="0.25">
      <c r="A97" t="s">
        <v>26</v>
      </c>
      <c r="B97" t="s">
        <v>32</v>
      </c>
      <c r="C97" t="s">
        <v>33</v>
      </c>
      <c r="D97" t="s">
        <v>34</v>
      </c>
      <c r="E97" t="s">
        <v>35</v>
      </c>
      <c r="F97" t="s">
        <v>196</v>
      </c>
      <c r="G97" t="s">
        <v>197</v>
      </c>
      <c r="H97" s="1">
        <v>245069.16309999995</v>
      </c>
      <c r="I97" s="1">
        <v>588576.43450000021</v>
      </c>
      <c r="J97" s="2">
        <v>2929</v>
      </c>
      <c r="K97" s="2">
        <v>7319</v>
      </c>
      <c r="L97" s="2">
        <v>2706.3959999999997</v>
      </c>
      <c r="M97" s="2">
        <v>6762.7559999999976</v>
      </c>
      <c r="N97" s="1">
        <v>43287.714500000176</v>
      </c>
      <c r="O97" s="1">
        <v>84363.929300000542</v>
      </c>
      <c r="P97" s="4">
        <v>0.17663468529631657</v>
      </c>
      <c r="Q97" s="4">
        <v>0.14333555398232736</v>
      </c>
      <c r="R97" s="2">
        <v>413.34540000000004</v>
      </c>
      <c r="S97" s="2">
        <v>5649.0537999999997</v>
      </c>
      <c r="T97" s="2">
        <v>6</v>
      </c>
      <c r="U97" s="2">
        <v>82</v>
      </c>
    </row>
    <row r="98" spans="1:21" x14ac:dyDescent="0.25">
      <c r="A98" t="s">
        <v>26</v>
      </c>
      <c r="B98" t="s">
        <v>32</v>
      </c>
      <c r="C98" t="s">
        <v>33</v>
      </c>
      <c r="D98" t="s">
        <v>34</v>
      </c>
      <c r="E98" t="s">
        <v>35</v>
      </c>
      <c r="F98" t="s">
        <v>198</v>
      </c>
      <c r="G98" t="s">
        <v>199</v>
      </c>
      <c r="H98" s="1">
        <v>75598.075899999938</v>
      </c>
      <c r="I98" s="1"/>
      <c r="J98" s="2">
        <v>921</v>
      </c>
      <c r="K98" s="2"/>
      <c r="L98" s="2">
        <v>880.476</v>
      </c>
      <c r="M98" s="2"/>
      <c r="N98" s="1">
        <v>10282.183499999934</v>
      </c>
      <c r="O98" s="1"/>
      <c r="P98" s="4">
        <v>0.13601117988242267</v>
      </c>
      <c r="Q98" s="4"/>
      <c r="R98" s="2">
        <v>1751.3179</v>
      </c>
      <c r="S98" s="2"/>
      <c r="T98" s="2">
        <v>25</v>
      </c>
      <c r="U98" s="2"/>
    </row>
    <row r="99" spans="1:21" x14ac:dyDescent="0.25">
      <c r="A99" t="s">
        <v>26</v>
      </c>
      <c r="B99" t="s">
        <v>32</v>
      </c>
      <c r="C99" t="s">
        <v>33</v>
      </c>
      <c r="D99" t="s">
        <v>34</v>
      </c>
      <c r="E99" t="s">
        <v>35</v>
      </c>
      <c r="F99" t="s">
        <v>200</v>
      </c>
      <c r="G99" t="s">
        <v>201</v>
      </c>
      <c r="H99" s="1"/>
      <c r="I99" s="1">
        <v>4095974.4607999986</v>
      </c>
      <c r="J99" s="2"/>
      <c r="K99" s="2">
        <v>82176</v>
      </c>
      <c r="L99" s="2"/>
      <c r="M99" s="2">
        <v>73958.399999999892</v>
      </c>
      <c r="N99" s="1"/>
      <c r="O99" s="1">
        <v>305509.92770000407</v>
      </c>
      <c r="P99" s="4"/>
      <c r="Q99" s="4">
        <v>7.4587849759281427E-2</v>
      </c>
      <c r="R99" s="2"/>
      <c r="S99" s="2">
        <v>117402.53679999999</v>
      </c>
      <c r="T99" s="2"/>
      <c r="U99" s="2">
        <v>2497</v>
      </c>
    </row>
    <row r="100" spans="1:21" x14ac:dyDescent="0.25">
      <c r="A100" t="s">
        <v>26</v>
      </c>
      <c r="B100" t="s">
        <v>32</v>
      </c>
      <c r="C100" t="s">
        <v>33</v>
      </c>
      <c r="D100" t="s">
        <v>34</v>
      </c>
      <c r="E100" t="s">
        <v>202</v>
      </c>
      <c r="H100" s="1">
        <v>125121388.28150046</v>
      </c>
      <c r="I100" s="1">
        <v>129847355.47960028</v>
      </c>
      <c r="J100" s="2">
        <v>1676836</v>
      </c>
      <c r="K100" s="2">
        <v>1628898</v>
      </c>
      <c r="L100" s="2">
        <v>1633779.4790000017</v>
      </c>
      <c r="M100" s="2">
        <v>1688199.5011999977</v>
      </c>
      <c r="N100" s="1">
        <v>12707346.110899419</v>
      </c>
      <c r="O100" s="1">
        <v>14742636.658299744</v>
      </c>
      <c r="P100" s="4">
        <v>0.10156014319718216</v>
      </c>
      <c r="Q100" s="4">
        <v>0.11353821264858868</v>
      </c>
      <c r="R100" s="2">
        <v>1028474.8011</v>
      </c>
      <c r="S100" s="2">
        <v>1355391.0757000002</v>
      </c>
      <c r="T100" s="2">
        <v>16685</v>
      </c>
      <c r="U100" s="2">
        <v>21582</v>
      </c>
    </row>
    <row r="101" spans="1:21" x14ac:dyDescent="0.25">
      <c r="A101" t="s">
        <v>26</v>
      </c>
      <c r="B101" t="s">
        <v>32</v>
      </c>
      <c r="C101" t="s">
        <v>33</v>
      </c>
      <c r="D101" t="s">
        <v>34</v>
      </c>
      <c r="E101" t="s">
        <v>203</v>
      </c>
      <c r="F101" t="s">
        <v>204</v>
      </c>
      <c r="G101" t="s">
        <v>205</v>
      </c>
      <c r="H101" s="1">
        <v>510238.08460000047</v>
      </c>
      <c r="I101" s="1"/>
      <c r="J101" s="2">
        <v>9084</v>
      </c>
      <c r="K101" s="2"/>
      <c r="L101" s="2">
        <v>9084</v>
      </c>
      <c r="M101" s="2"/>
      <c r="N101" s="1">
        <v>73424.453700000653</v>
      </c>
      <c r="O101" s="1"/>
      <c r="P101" s="4">
        <v>0.14390233876320996</v>
      </c>
      <c r="Q101" s="4"/>
      <c r="R101" s="2">
        <v>139969.0667</v>
      </c>
      <c r="S101" s="2"/>
      <c r="T101" s="2">
        <v>2859</v>
      </c>
      <c r="U101" s="2"/>
    </row>
    <row r="102" spans="1:21" x14ac:dyDescent="0.25">
      <c r="A102" t="s">
        <v>26</v>
      </c>
      <c r="B102" t="s">
        <v>32</v>
      </c>
      <c r="C102" t="s">
        <v>33</v>
      </c>
      <c r="D102" t="s">
        <v>34</v>
      </c>
      <c r="E102" t="s">
        <v>203</v>
      </c>
      <c r="F102" t="s">
        <v>206</v>
      </c>
      <c r="G102" t="s">
        <v>207</v>
      </c>
      <c r="H102" s="1">
        <v>607918.24849999999</v>
      </c>
      <c r="I102" s="1">
        <v>662100.71580000012</v>
      </c>
      <c r="J102" s="2">
        <v>6382</v>
      </c>
      <c r="K102" s="2">
        <v>6519</v>
      </c>
      <c r="L102" s="2">
        <v>5743.7999999999984</v>
      </c>
      <c r="M102" s="2">
        <v>5867.0999999999985</v>
      </c>
      <c r="N102" s="1">
        <v>54857.564299999853</v>
      </c>
      <c r="O102" s="1">
        <v>62150.773300001514</v>
      </c>
      <c r="P102" s="4">
        <v>9.023839049963947E-2</v>
      </c>
      <c r="Q102" s="4">
        <v>9.3869062239128151E-2</v>
      </c>
      <c r="R102" s="2">
        <v>6010.9069</v>
      </c>
      <c r="S102" s="2">
        <v>14172.195400000004</v>
      </c>
      <c r="T102" s="2">
        <v>70</v>
      </c>
      <c r="U102" s="2">
        <v>154</v>
      </c>
    </row>
    <row r="103" spans="1:21" x14ac:dyDescent="0.25">
      <c r="A103" t="s">
        <v>26</v>
      </c>
      <c r="B103" t="s">
        <v>32</v>
      </c>
      <c r="C103" t="s">
        <v>33</v>
      </c>
      <c r="D103" t="s">
        <v>34</v>
      </c>
      <c r="E103" t="s">
        <v>203</v>
      </c>
      <c r="F103" t="s">
        <v>206</v>
      </c>
      <c r="G103" t="s">
        <v>208</v>
      </c>
      <c r="H103" s="1">
        <v>2439177.0129000004</v>
      </c>
      <c r="I103" s="1">
        <v>2971065.912500001</v>
      </c>
      <c r="J103" s="2">
        <v>34857</v>
      </c>
      <c r="K103" s="2">
        <v>40207</v>
      </c>
      <c r="L103" s="2">
        <v>31371.300000000003</v>
      </c>
      <c r="M103" s="2">
        <v>36186.299999999996</v>
      </c>
      <c r="N103" s="1">
        <v>229926.44849999994</v>
      </c>
      <c r="O103" s="1">
        <v>296349.09819999989</v>
      </c>
      <c r="P103" s="4">
        <v>9.4263945291381074E-2</v>
      </c>
      <c r="Q103" s="4">
        <v>9.9745043337203243E-2</v>
      </c>
      <c r="R103" s="2">
        <v>19810.300999999996</v>
      </c>
      <c r="S103" s="2">
        <v>24485.938399999995</v>
      </c>
      <c r="T103" s="2">
        <v>316</v>
      </c>
      <c r="U103" s="2">
        <v>369</v>
      </c>
    </row>
    <row r="104" spans="1:21" x14ac:dyDescent="0.25">
      <c r="A104" t="s">
        <v>26</v>
      </c>
      <c r="B104" t="s">
        <v>32</v>
      </c>
      <c r="C104" t="s">
        <v>33</v>
      </c>
      <c r="D104" t="s">
        <v>34</v>
      </c>
      <c r="E104" t="s">
        <v>203</v>
      </c>
      <c r="F104" t="s">
        <v>209</v>
      </c>
      <c r="G104" t="s">
        <v>210</v>
      </c>
      <c r="H104" s="1"/>
      <c r="I104" s="1"/>
      <c r="J104" s="2"/>
      <c r="K104" s="2"/>
      <c r="L104" s="2"/>
      <c r="M104" s="2"/>
      <c r="N104" s="1"/>
      <c r="O104" s="1"/>
      <c r="P104" s="4"/>
      <c r="Q104" s="4"/>
      <c r="R104" s="2">
        <v>226.0909</v>
      </c>
      <c r="S104" s="2"/>
      <c r="T104" s="2">
        <v>3</v>
      </c>
      <c r="U104" s="2"/>
    </row>
    <row r="105" spans="1:21" x14ac:dyDescent="0.25">
      <c r="A105" t="s">
        <v>26</v>
      </c>
      <c r="B105" t="s">
        <v>32</v>
      </c>
      <c r="C105" t="s">
        <v>33</v>
      </c>
      <c r="D105" t="s">
        <v>34</v>
      </c>
      <c r="E105" t="s">
        <v>203</v>
      </c>
      <c r="F105" t="s">
        <v>211</v>
      </c>
      <c r="G105" t="s">
        <v>212</v>
      </c>
      <c r="H105" s="1"/>
      <c r="I105" s="1">
        <v>544642.55689999997</v>
      </c>
      <c r="J105" s="2"/>
      <c r="K105" s="2">
        <v>6864</v>
      </c>
      <c r="L105" s="2"/>
      <c r="M105" s="2">
        <v>6177.6</v>
      </c>
      <c r="N105" s="1"/>
      <c r="O105" s="1">
        <v>68031.400400000042</v>
      </c>
      <c r="P105" s="4"/>
      <c r="Q105" s="4">
        <v>0.12491018106851881</v>
      </c>
      <c r="R105" s="2"/>
      <c r="S105" s="2">
        <v>3402.3806000000004</v>
      </c>
      <c r="T105" s="2"/>
      <c r="U105" s="2">
        <v>49</v>
      </c>
    </row>
    <row r="106" spans="1:21" x14ac:dyDescent="0.25">
      <c r="A106" t="s">
        <v>26</v>
      </c>
      <c r="B106" t="s">
        <v>32</v>
      </c>
      <c r="C106" t="s">
        <v>33</v>
      </c>
      <c r="D106" t="s">
        <v>34</v>
      </c>
      <c r="E106" t="s">
        <v>203</v>
      </c>
      <c r="F106" t="s">
        <v>213</v>
      </c>
      <c r="G106" t="s">
        <v>214</v>
      </c>
      <c r="H106" s="1">
        <v>2442253.8650000007</v>
      </c>
      <c r="I106" s="1">
        <v>4203460.7093000002</v>
      </c>
      <c r="J106" s="2">
        <v>19926</v>
      </c>
      <c r="K106" s="2">
        <v>33250</v>
      </c>
      <c r="L106" s="2">
        <v>27896.399999999994</v>
      </c>
      <c r="M106" s="2">
        <v>46549.999999999993</v>
      </c>
      <c r="N106" s="1">
        <v>385602.17010000069</v>
      </c>
      <c r="O106" s="1">
        <v>637084.51899999753</v>
      </c>
      <c r="P106" s="4">
        <v>0.1578878328850554</v>
      </c>
      <c r="Q106" s="4">
        <v>0.15156190650015397</v>
      </c>
      <c r="R106" s="2">
        <v>3405.8978999999986</v>
      </c>
      <c r="S106" s="2">
        <v>7209.2442000000001</v>
      </c>
      <c r="T106" s="2">
        <v>33</v>
      </c>
      <c r="U106" s="2">
        <v>65</v>
      </c>
    </row>
    <row r="107" spans="1:21" x14ac:dyDescent="0.25">
      <c r="A107" t="s">
        <v>26</v>
      </c>
      <c r="B107" t="s">
        <v>32</v>
      </c>
      <c r="C107" t="s">
        <v>33</v>
      </c>
      <c r="D107" t="s">
        <v>34</v>
      </c>
      <c r="E107" t="s">
        <v>203</v>
      </c>
      <c r="F107" t="s">
        <v>215</v>
      </c>
      <c r="G107" t="s">
        <v>216</v>
      </c>
      <c r="H107" s="1">
        <v>38742.878100000002</v>
      </c>
      <c r="I107" s="1">
        <v>30362.955900000001</v>
      </c>
      <c r="J107" s="2">
        <v>485</v>
      </c>
      <c r="K107" s="2">
        <v>385</v>
      </c>
      <c r="L107" s="2">
        <v>404.97500000000008</v>
      </c>
      <c r="M107" s="2">
        <v>321.47499999999997</v>
      </c>
      <c r="N107" s="1">
        <v>4603.2911999999997</v>
      </c>
      <c r="O107" s="1">
        <v>1907.959600000002</v>
      </c>
      <c r="P107" s="4">
        <v>0.11881644900304915</v>
      </c>
      <c r="Q107" s="4">
        <v>6.2838401053041143E-2</v>
      </c>
      <c r="R107" s="2"/>
      <c r="S107" s="2"/>
      <c r="T107" s="2"/>
      <c r="U107" s="2"/>
    </row>
    <row r="108" spans="1:21" x14ac:dyDescent="0.25">
      <c r="A108" t="s">
        <v>26</v>
      </c>
      <c r="B108" t="s">
        <v>32</v>
      </c>
      <c r="C108" t="s">
        <v>33</v>
      </c>
      <c r="D108" t="s">
        <v>34</v>
      </c>
      <c r="E108" t="s">
        <v>203</v>
      </c>
      <c r="F108" t="s">
        <v>217</v>
      </c>
      <c r="G108" t="s">
        <v>218</v>
      </c>
      <c r="H108" s="1">
        <v>169695.88569999996</v>
      </c>
      <c r="I108" s="1">
        <v>193337.49559999999</v>
      </c>
      <c r="J108" s="2">
        <v>2688</v>
      </c>
      <c r="K108" s="2">
        <v>3052</v>
      </c>
      <c r="L108" s="2">
        <v>2419.1999999999998</v>
      </c>
      <c r="M108" s="2">
        <v>2746.7999999999997</v>
      </c>
      <c r="N108" s="1">
        <v>19062.912899999996</v>
      </c>
      <c r="O108" s="1">
        <v>22175.816200000001</v>
      </c>
      <c r="P108" s="4">
        <v>0.11233574002908192</v>
      </c>
      <c r="Q108" s="4">
        <v>0.11470002821325469</v>
      </c>
      <c r="R108" s="2">
        <v>16493.505799999999</v>
      </c>
      <c r="S108" s="2">
        <v>11328.525099999997</v>
      </c>
      <c r="T108" s="2">
        <v>298</v>
      </c>
      <c r="U108" s="2">
        <v>202</v>
      </c>
    </row>
    <row r="109" spans="1:21" x14ac:dyDescent="0.25">
      <c r="A109" t="s">
        <v>26</v>
      </c>
      <c r="B109" t="s">
        <v>32</v>
      </c>
      <c r="C109" t="s">
        <v>33</v>
      </c>
      <c r="D109" t="s">
        <v>34</v>
      </c>
      <c r="E109" t="s">
        <v>203</v>
      </c>
      <c r="F109" t="s">
        <v>219</v>
      </c>
      <c r="G109" t="s">
        <v>220</v>
      </c>
      <c r="H109" s="1">
        <v>4256.9993999999997</v>
      </c>
      <c r="I109" s="1"/>
      <c r="J109" s="2">
        <v>43</v>
      </c>
      <c r="K109" s="2"/>
      <c r="L109" s="2">
        <v>38.699999999999996</v>
      </c>
      <c r="M109" s="2"/>
      <c r="N109" s="1">
        <v>554.30999999999995</v>
      </c>
      <c r="O109" s="1"/>
      <c r="P109" s="4">
        <v>0.13021143484304931</v>
      </c>
      <c r="Q109" s="4"/>
      <c r="R109" s="2">
        <v>86.108999999999995</v>
      </c>
      <c r="S109" s="2"/>
      <c r="T109" s="2">
        <v>1</v>
      </c>
      <c r="U109" s="2"/>
    </row>
    <row r="110" spans="1:21" x14ac:dyDescent="0.25">
      <c r="A110" t="s">
        <v>26</v>
      </c>
      <c r="B110" t="s">
        <v>32</v>
      </c>
      <c r="C110" t="s">
        <v>33</v>
      </c>
      <c r="D110" t="s">
        <v>34</v>
      </c>
      <c r="E110" t="s">
        <v>203</v>
      </c>
      <c r="F110" t="s">
        <v>221</v>
      </c>
      <c r="G110" t="s">
        <v>222</v>
      </c>
      <c r="H110" s="1">
        <v>18686.150099999999</v>
      </c>
      <c r="I110" s="1">
        <v>13108.513900000002</v>
      </c>
      <c r="J110" s="2">
        <v>271</v>
      </c>
      <c r="K110" s="2">
        <v>190</v>
      </c>
      <c r="L110" s="2">
        <v>243.89999999999995</v>
      </c>
      <c r="M110" s="2">
        <v>171</v>
      </c>
      <c r="N110" s="1">
        <v>2426.1500999999989</v>
      </c>
      <c r="O110" s="1">
        <v>1708.5139000000017</v>
      </c>
      <c r="P110" s="4">
        <v>0.12983680892084876</v>
      </c>
      <c r="Q110" s="4">
        <v>0.13033620081068087</v>
      </c>
      <c r="R110" s="2">
        <v>1920</v>
      </c>
      <c r="S110" s="2">
        <v>1140</v>
      </c>
      <c r="T110" s="2">
        <v>32</v>
      </c>
      <c r="U110" s="2">
        <v>19</v>
      </c>
    </row>
    <row r="111" spans="1:21" x14ac:dyDescent="0.25">
      <c r="A111" t="s">
        <v>26</v>
      </c>
      <c r="B111" t="s">
        <v>32</v>
      </c>
      <c r="C111" t="s">
        <v>33</v>
      </c>
      <c r="D111" t="s">
        <v>34</v>
      </c>
      <c r="E111" t="s">
        <v>203</v>
      </c>
      <c r="F111" t="s">
        <v>223</v>
      </c>
      <c r="G111" t="s">
        <v>224</v>
      </c>
      <c r="H111" s="1">
        <v>1385947.2012000014</v>
      </c>
      <c r="I111" s="1">
        <v>695542.79799999972</v>
      </c>
      <c r="J111" s="2">
        <v>15512</v>
      </c>
      <c r="K111" s="2">
        <v>8756</v>
      </c>
      <c r="L111" s="2">
        <v>13960.800000000012</v>
      </c>
      <c r="M111" s="2">
        <v>7880.4000000000042</v>
      </c>
      <c r="N111" s="1">
        <v>161707.62790000066</v>
      </c>
      <c r="O111" s="1">
        <v>20685.036399999051</v>
      </c>
      <c r="P111" s="4">
        <v>0.11667661492442753</v>
      </c>
      <c r="Q111" s="4">
        <v>2.973941569013135E-2</v>
      </c>
      <c r="R111" s="2">
        <v>36256.770899999989</v>
      </c>
      <c r="S111" s="2">
        <v>19037.383100000003</v>
      </c>
      <c r="T111" s="2">
        <v>457</v>
      </c>
      <c r="U111" s="2">
        <v>240</v>
      </c>
    </row>
    <row r="112" spans="1:21" x14ac:dyDescent="0.25">
      <c r="A112" t="s">
        <v>26</v>
      </c>
      <c r="B112" t="s">
        <v>32</v>
      </c>
      <c r="C112" t="s">
        <v>33</v>
      </c>
      <c r="D112" t="s">
        <v>34</v>
      </c>
      <c r="E112" t="s">
        <v>203</v>
      </c>
      <c r="F112" t="s">
        <v>225</v>
      </c>
      <c r="G112" t="s">
        <v>226</v>
      </c>
      <c r="H112" s="1">
        <v>2426760.0160000003</v>
      </c>
      <c r="I112" s="1">
        <v>4265931.7170999981</v>
      </c>
      <c r="J112" s="2">
        <v>28102</v>
      </c>
      <c r="K112" s="2">
        <v>51605</v>
      </c>
      <c r="L112" s="2">
        <v>25291.799999999988</v>
      </c>
      <c r="M112" s="2">
        <v>46444.499999999971</v>
      </c>
      <c r="N112" s="1">
        <v>280001.24109999835</v>
      </c>
      <c r="O112" s="1">
        <v>519545.86819999572</v>
      </c>
      <c r="P112" s="4">
        <v>0.115380688347388</v>
      </c>
      <c r="Q112" s="4">
        <v>0.12178954157128084</v>
      </c>
      <c r="R112" s="2">
        <v>2445.5628999999994</v>
      </c>
      <c r="S112" s="2">
        <v>3882.8164000000002</v>
      </c>
      <c r="T112" s="2">
        <v>32</v>
      </c>
      <c r="U112" s="2">
        <v>51</v>
      </c>
    </row>
    <row r="113" spans="1:21" x14ac:dyDescent="0.25">
      <c r="A113" t="s">
        <v>26</v>
      </c>
      <c r="B113" t="s">
        <v>32</v>
      </c>
      <c r="C113" t="s">
        <v>33</v>
      </c>
      <c r="D113" t="s">
        <v>34</v>
      </c>
      <c r="E113" t="s">
        <v>203</v>
      </c>
      <c r="F113" t="s">
        <v>227</v>
      </c>
      <c r="G113" t="s">
        <v>228</v>
      </c>
      <c r="H113" s="1"/>
      <c r="I113" s="1">
        <v>903184.04170000006</v>
      </c>
      <c r="J113" s="2"/>
      <c r="K113" s="2">
        <v>13731</v>
      </c>
      <c r="L113" s="2"/>
      <c r="M113" s="2">
        <v>10572.869999999983</v>
      </c>
      <c r="N113" s="1"/>
      <c r="O113" s="1">
        <v>147085.26010000054</v>
      </c>
      <c r="P113" s="4"/>
      <c r="Q113" s="4">
        <v>0.16285192530987622</v>
      </c>
      <c r="R113" s="2"/>
      <c r="S113" s="2">
        <v>42988.753100000002</v>
      </c>
      <c r="T113" s="2"/>
      <c r="U113" s="2">
        <v>779</v>
      </c>
    </row>
    <row r="114" spans="1:21" x14ac:dyDescent="0.25">
      <c r="A114" t="s">
        <v>26</v>
      </c>
      <c r="B114" t="s">
        <v>32</v>
      </c>
      <c r="C114" t="s">
        <v>33</v>
      </c>
      <c r="D114" t="s">
        <v>34</v>
      </c>
      <c r="E114" t="s">
        <v>203</v>
      </c>
      <c r="F114" t="s">
        <v>229</v>
      </c>
      <c r="G114" t="s">
        <v>230</v>
      </c>
      <c r="H114" s="1">
        <v>1040898.2768000005</v>
      </c>
      <c r="I114" s="1"/>
      <c r="J114" s="2">
        <v>13918</v>
      </c>
      <c r="K114" s="2"/>
      <c r="L114" s="2">
        <v>12526.200000000003</v>
      </c>
      <c r="M114" s="2"/>
      <c r="N114" s="1">
        <v>131769.49520000012</v>
      </c>
      <c r="O114" s="1"/>
      <c r="P114" s="4">
        <v>0.12659209659285323</v>
      </c>
      <c r="Q114" s="4"/>
      <c r="R114" s="2">
        <v>40753.086199999991</v>
      </c>
      <c r="S114" s="2"/>
      <c r="T114" s="2">
        <v>610</v>
      </c>
      <c r="U114" s="2"/>
    </row>
    <row r="115" spans="1:21" x14ac:dyDescent="0.25">
      <c r="A115" t="s">
        <v>26</v>
      </c>
      <c r="B115" t="s">
        <v>32</v>
      </c>
      <c r="C115" t="s">
        <v>33</v>
      </c>
      <c r="D115" t="s">
        <v>34</v>
      </c>
      <c r="E115" t="s">
        <v>203</v>
      </c>
      <c r="F115" t="s">
        <v>231</v>
      </c>
      <c r="G115" t="s">
        <v>232</v>
      </c>
      <c r="H115" s="1">
        <v>1400738.1568000007</v>
      </c>
      <c r="I115" s="1">
        <v>2062917.7584000013</v>
      </c>
      <c r="J115" s="2">
        <v>16643</v>
      </c>
      <c r="K115" s="2">
        <v>24657</v>
      </c>
      <c r="L115" s="2">
        <v>15477.989999999994</v>
      </c>
      <c r="M115" s="2">
        <v>22931.01</v>
      </c>
      <c r="N115" s="1">
        <v>148563.98620000063</v>
      </c>
      <c r="O115" s="1">
        <v>190983.8675000018</v>
      </c>
      <c r="P115" s="4">
        <v>0.10606121171097133</v>
      </c>
      <c r="Q115" s="4">
        <v>9.2579486856581641E-2</v>
      </c>
      <c r="R115" s="2">
        <v>1654.9636000000003</v>
      </c>
      <c r="S115" s="2">
        <v>1290.3000000000002</v>
      </c>
      <c r="T115" s="2">
        <v>22</v>
      </c>
      <c r="U115" s="2">
        <v>17</v>
      </c>
    </row>
    <row r="116" spans="1:21" x14ac:dyDescent="0.25">
      <c r="A116" t="s">
        <v>26</v>
      </c>
      <c r="B116" t="s">
        <v>32</v>
      </c>
      <c r="C116" t="s">
        <v>33</v>
      </c>
      <c r="D116" t="s">
        <v>34</v>
      </c>
      <c r="E116" t="s">
        <v>203</v>
      </c>
      <c r="F116" t="s">
        <v>233</v>
      </c>
      <c r="G116" t="s">
        <v>234</v>
      </c>
      <c r="H116" s="1">
        <v>10496248.737899993</v>
      </c>
      <c r="I116" s="1">
        <v>11971884.001899999</v>
      </c>
      <c r="J116" s="2">
        <v>141280</v>
      </c>
      <c r="K116" s="2">
        <v>179934</v>
      </c>
      <c r="L116" s="2">
        <v>127152</v>
      </c>
      <c r="M116" s="2">
        <v>161940.59999999998</v>
      </c>
      <c r="N116" s="1">
        <v>715791.8601000011</v>
      </c>
      <c r="O116" s="1">
        <v>-66856.951099989936</v>
      </c>
      <c r="P116" s="4">
        <v>6.8195016903077998E-2</v>
      </c>
      <c r="Q116" s="4">
        <v>-5.5844970674105597E-3</v>
      </c>
      <c r="R116" s="2">
        <v>130955.5497</v>
      </c>
      <c r="S116" s="2">
        <v>90295.748500000002</v>
      </c>
      <c r="T116" s="2">
        <v>1900</v>
      </c>
      <c r="U116" s="2">
        <v>1358</v>
      </c>
    </row>
    <row r="117" spans="1:21" x14ac:dyDescent="0.25">
      <c r="A117" t="s">
        <v>26</v>
      </c>
      <c r="B117" t="s">
        <v>32</v>
      </c>
      <c r="C117" t="s">
        <v>33</v>
      </c>
      <c r="D117" t="s">
        <v>34</v>
      </c>
      <c r="E117" t="s">
        <v>203</v>
      </c>
      <c r="F117" t="s">
        <v>235</v>
      </c>
      <c r="G117" t="s">
        <v>236</v>
      </c>
      <c r="H117" s="1"/>
      <c r="I117" s="1">
        <v>4393.4071000000004</v>
      </c>
      <c r="J117" s="2"/>
      <c r="K117" s="2">
        <v>55</v>
      </c>
      <c r="L117" s="2"/>
      <c r="M117" s="2">
        <v>49.5</v>
      </c>
      <c r="N117" s="1"/>
      <c r="O117" s="1">
        <v>543.40710000000036</v>
      </c>
      <c r="P117" s="4"/>
      <c r="Q117" s="4">
        <v>0.12368694446731338</v>
      </c>
      <c r="R117" s="2"/>
      <c r="S117" s="2">
        <v>140</v>
      </c>
      <c r="T117" s="2"/>
      <c r="U117" s="2">
        <v>2</v>
      </c>
    </row>
    <row r="118" spans="1:21" x14ac:dyDescent="0.25">
      <c r="A118" t="s">
        <v>26</v>
      </c>
      <c r="B118" t="s">
        <v>32</v>
      </c>
      <c r="C118" t="s">
        <v>33</v>
      </c>
      <c r="D118" t="s">
        <v>34</v>
      </c>
      <c r="E118" t="s">
        <v>203</v>
      </c>
      <c r="F118" t="s">
        <v>237</v>
      </c>
      <c r="G118" t="s">
        <v>238</v>
      </c>
      <c r="H118" s="1">
        <v>10017.8637</v>
      </c>
      <c r="I118" s="1"/>
      <c r="J118" s="2">
        <v>116</v>
      </c>
      <c r="K118" s="2"/>
      <c r="L118" s="2">
        <v>107.88000000000001</v>
      </c>
      <c r="M118" s="2"/>
      <c r="N118" s="1">
        <v>1326.7002999999986</v>
      </c>
      <c r="O118" s="1"/>
      <c r="P118" s="4">
        <v>0.13243345484926078</v>
      </c>
      <c r="Q118" s="4"/>
      <c r="R118" s="2">
        <v>222.46349999999998</v>
      </c>
      <c r="S118" s="2"/>
      <c r="T118" s="2">
        <v>3</v>
      </c>
      <c r="U118" s="2"/>
    </row>
    <row r="119" spans="1:21" x14ac:dyDescent="0.25">
      <c r="A119" t="s">
        <v>26</v>
      </c>
      <c r="B119" t="s">
        <v>32</v>
      </c>
      <c r="C119" t="s">
        <v>33</v>
      </c>
      <c r="D119" t="s">
        <v>34</v>
      </c>
      <c r="E119" t="s">
        <v>203</v>
      </c>
      <c r="F119" t="s">
        <v>239</v>
      </c>
      <c r="G119" t="s">
        <v>240</v>
      </c>
      <c r="H119" s="1">
        <v>13279.466100000001</v>
      </c>
      <c r="I119" s="1"/>
      <c r="J119" s="2">
        <v>190</v>
      </c>
      <c r="K119" s="2"/>
      <c r="L119" s="2">
        <v>171</v>
      </c>
      <c r="M119" s="2"/>
      <c r="N119" s="1">
        <v>1768.9240000000027</v>
      </c>
      <c r="O119" s="1"/>
      <c r="P119" s="4">
        <v>0.13320746381513052</v>
      </c>
      <c r="Q119" s="4"/>
      <c r="R119" s="2">
        <v>1029.8905999999999</v>
      </c>
      <c r="S119" s="2"/>
      <c r="T119" s="2">
        <v>17</v>
      </c>
      <c r="U119" s="2"/>
    </row>
    <row r="120" spans="1:21" x14ac:dyDescent="0.25">
      <c r="A120" t="s">
        <v>26</v>
      </c>
      <c r="B120" t="s">
        <v>32</v>
      </c>
      <c r="C120" t="s">
        <v>33</v>
      </c>
      <c r="D120" t="s">
        <v>34</v>
      </c>
      <c r="E120" t="s">
        <v>203</v>
      </c>
      <c r="F120" t="s">
        <v>241</v>
      </c>
      <c r="G120" t="s">
        <v>242</v>
      </c>
      <c r="H120" s="1">
        <v>97565422.519100219</v>
      </c>
      <c r="I120" s="1">
        <v>47739425.217499807</v>
      </c>
      <c r="J120" s="2">
        <v>1549278</v>
      </c>
      <c r="K120" s="2">
        <v>777527</v>
      </c>
      <c r="L120" s="2">
        <v>1394350.200000002</v>
      </c>
      <c r="M120" s="2">
        <v>699774.30000000016</v>
      </c>
      <c r="N120" s="1">
        <v>8923570.9131993651</v>
      </c>
      <c r="O120" s="1">
        <v>5045970.3764000461</v>
      </c>
      <c r="P120" s="4">
        <v>9.1462432927530368E-2</v>
      </c>
      <c r="Q120" s="4">
        <v>0.10569818034906604</v>
      </c>
      <c r="R120" s="2">
        <v>96440.496899999998</v>
      </c>
      <c r="S120" s="2">
        <v>234358.20300000004</v>
      </c>
      <c r="T120" s="2">
        <v>1684</v>
      </c>
      <c r="U120" s="2">
        <v>4207</v>
      </c>
    </row>
    <row r="121" spans="1:21" x14ac:dyDescent="0.25">
      <c r="A121" t="s">
        <v>26</v>
      </c>
      <c r="B121" t="s">
        <v>32</v>
      </c>
      <c r="C121" t="s">
        <v>33</v>
      </c>
      <c r="D121" t="s">
        <v>34</v>
      </c>
      <c r="E121" t="s">
        <v>203</v>
      </c>
      <c r="F121" t="s">
        <v>243</v>
      </c>
      <c r="G121" t="s">
        <v>244</v>
      </c>
      <c r="H121" s="1">
        <v>761567.39580000029</v>
      </c>
      <c r="I121" s="1">
        <v>130888.1446</v>
      </c>
      <c r="J121" s="2">
        <v>10784</v>
      </c>
      <c r="K121" s="2">
        <v>1849</v>
      </c>
      <c r="L121" s="2">
        <v>9705.6000000000022</v>
      </c>
      <c r="M121" s="2">
        <v>1664.1000000000004</v>
      </c>
      <c r="N121" s="1">
        <v>89813.778499998851</v>
      </c>
      <c r="O121" s="1">
        <v>15712.26870000003</v>
      </c>
      <c r="P121" s="4">
        <v>0.11793280410284972</v>
      </c>
      <c r="Q121" s="4">
        <v>0.12004348253248927</v>
      </c>
      <c r="R121" s="2">
        <v>9655.0894999999982</v>
      </c>
      <c r="S121" s="2">
        <v>3052.2541999999989</v>
      </c>
      <c r="T121" s="2">
        <v>155</v>
      </c>
      <c r="U121" s="2">
        <v>49</v>
      </c>
    </row>
    <row r="122" spans="1:21" x14ac:dyDescent="0.25">
      <c r="A122" t="s">
        <v>26</v>
      </c>
      <c r="B122" t="s">
        <v>32</v>
      </c>
      <c r="C122" t="s">
        <v>33</v>
      </c>
      <c r="D122" t="s">
        <v>34</v>
      </c>
      <c r="E122" t="s">
        <v>203</v>
      </c>
      <c r="F122" t="s">
        <v>245</v>
      </c>
      <c r="G122" t="s">
        <v>246</v>
      </c>
      <c r="H122" s="1"/>
      <c r="I122" s="1">
        <v>757628.12500000023</v>
      </c>
      <c r="J122" s="2"/>
      <c r="K122" s="2">
        <v>9936</v>
      </c>
      <c r="L122" s="2"/>
      <c r="M122" s="2">
        <v>8942.4000000000015</v>
      </c>
      <c r="N122" s="1"/>
      <c r="O122" s="1">
        <v>94264.711000000476</v>
      </c>
      <c r="P122" s="4"/>
      <c r="Q122" s="4">
        <v>0.12442081793096112</v>
      </c>
      <c r="R122" s="2"/>
      <c r="S122" s="2">
        <v>1001.7630999999999</v>
      </c>
      <c r="T122" s="2"/>
      <c r="U122" s="2">
        <v>15</v>
      </c>
    </row>
    <row r="123" spans="1:21" x14ac:dyDescent="0.25">
      <c r="A123" t="s">
        <v>26</v>
      </c>
      <c r="B123" t="s">
        <v>32</v>
      </c>
      <c r="C123" t="s">
        <v>33</v>
      </c>
      <c r="D123" t="s">
        <v>34</v>
      </c>
      <c r="E123" t="s">
        <v>203</v>
      </c>
      <c r="F123" t="s">
        <v>247</v>
      </c>
      <c r="G123" t="s">
        <v>248</v>
      </c>
      <c r="H123" s="1">
        <v>69499.040699999998</v>
      </c>
      <c r="I123" s="1">
        <v>57064.528999999995</v>
      </c>
      <c r="J123" s="2">
        <v>860</v>
      </c>
      <c r="K123" s="2">
        <v>700</v>
      </c>
      <c r="L123" s="2">
        <v>774</v>
      </c>
      <c r="M123" s="2">
        <v>630.00000000000011</v>
      </c>
      <c r="N123" s="1">
        <v>8908.1361000000034</v>
      </c>
      <c r="O123" s="1">
        <v>4246.351699999992</v>
      </c>
      <c r="P123" s="4">
        <v>0.12817638934691086</v>
      </c>
      <c r="Q123" s="4">
        <v>7.4413156025523175E-2</v>
      </c>
      <c r="R123" s="2">
        <v>1191.9719000000002</v>
      </c>
      <c r="S123" s="2">
        <v>1735.4538000000002</v>
      </c>
      <c r="T123" s="2">
        <v>17</v>
      </c>
      <c r="U123" s="2">
        <v>23</v>
      </c>
    </row>
    <row r="124" spans="1:21" x14ac:dyDescent="0.25">
      <c r="A124" t="s">
        <v>26</v>
      </c>
      <c r="B124" t="s">
        <v>32</v>
      </c>
      <c r="C124" t="s">
        <v>33</v>
      </c>
      <c r="D124" t="s">
        <v>34</v>
      </c>
      <c r="E124" t="s">
        <v>203</v>
      </c>
      <c r="F124" t="s">
        <v>249</v>
      </c>
      <c r="G124" t="s">
        <v>250</v>
      </c>
      <c r="H124" s="1"/>
      <c r="I124" s="1">
        <v>7593675.4584000129</v>
      </c>
      <c r="J124" s="2"/>
      <c r="K124" s="2">
        <v>95737</v>
      </c>
      <c r="L124" s="2"/>
      <c r="M124" s="2">
        <v>85588.877999999677</v>
      </c>
      <c r="N124" s="1"/>
      <c r="O124" s="1">
        <v>861626.28730003722</v>
      </c>
      <c r="P124" s="4"/>
      <c r="Q124" s="4">
        <v>0.11346630390253494</v>
      </c>
      <c r="R124" s="2"/>
      <c r="S124" s="2">
        <v>11414.3518</v>
      </c>
      <c r="T124" s="2"/>
      <c r="U124" s="2">
        <v>164</v>
      </c>
    </row>
    <row r="125" spans="1:21" x14ac:dyDescent="0.25">
      <c r="A125" t="s">
        <v>26</v>
      </c>
      <c r="B125" t="s">
        <v>32</v>
      </c>
      <c r="C125" t="s">
        <v>33</v>
      </c>
      <c r="D125" t="s">
        <v>34</v>
      </c>
      <c r="E125" t="s">
        <v>203</v>
      </c>
      <c r="F125" t="s">
        <v>251</v>
      </c>
      <c r="G125" t="s">
        <v>252</v>
      </c>
      <c r="H125" s="1">
        <v>213436.50059999985</v>
      </c>
      <c r="I125" s="1">
        <v>576050.77739999979</v>
      </c>
      <c r="J125" s="2">
        <v>2128</v>
      </c>
      <c r="K125" s="2">
        <v>5429</v>
      </c>
      <c r="L125" s="2">
        <v>2032.2400000000011</v>
      </c>
      <c r="M125" s="2">
        <v>5184.6950000000052</v>
      </c>
      <c r="N125" s="1">
        <v>33717.278499999928</v>
      </c>
      <c r="O125" s="1">
        <v>96867.613000000769</v>
      </c>
      <c r="P125" s="4">
        <v>0.15797334760088336</v>
      </c>
      <c r="Q125" s="4">
        <v>0.16815811522243213</v>
      </c>
      <c r="R125" s="2">
        <v>7178.6341999999986</v>
      </c>
      <c r="S125" s="2">
        <v>19947.577400000006</v>
      </c>
      <c r="T125" s="2">
        <v>85</v>
      </c>
      <c r="U125" s="2">
        <v>226</v>
      </c>
    </row>
    <row r="126" spans="1:21" x14ac:dyDescent="0.25">
      <c r="A126" t="s">
        <v>26</v>
      </c>
      <c r="B126" t="s">
        <v>32</v>
      </c>
      <c r="C126" t="s">
        <v>33</v>
      </c>
      <c r="D126" t="s">
        <v>34</v>
      </c>
      <c r="E126" t="s">
        <v>203</v>
      </c>
      <c r="F126" t="s">
        <v>253</v>
      </c>
      <c r="G126" t="s">
        <v>254</v>
      </c>
      <c r="H126" s="1"/>
      <c r="I126" s="1">
        <v>596373.43039999972</v>
      </c>
      <c r="J126" s="2"/>
      <c r="K126" s="2">
        <v>8368</v>
      </c>
      <c r="L126" s="2"/>
      <c r="M126" s="2">
        <v>8619.03999999997</v>
      </c>
      <c r="N126" s="1"/>
      <c r="O126" s="1">
        <v>41042.645300000207</v>
      </c>
      <c r="P126" s="4"/>
      <c r="Q126" s="4">
        <v>6.8820378655152503E-2</v>
      </c>
      <c r="R126" s="2"/>
      <c r="S126" s="2">
        <v>77645.436399999991</v>
      </c>
      <c r="T126" s="2"/>
      <c r="U126" s="2">
        <v>1170</v>
      </c>
    </row>
    <row r="127" spans="1:21" x14ac:dyDescent="0.25">
      <c r="A127" t="s">
        <v>26</v>
      </c>
      <c r="B127" t="s">
        <v>32</v>
      </c>
      <c r="C127" t="s">
        <v>33</v>
      </c>
      <c r="D127" t="s">
        <v>34</v>
      </c>
      <c r="E127" t="s">
        <v>203</v>
      </c>
      <c r="F127" t="s">
        <v>255</v>
      </c>
      <c r="G127" t="s">
        <v>256</v>
      </c>
      <c r="H127" s="1">
        <v>592567.86219999997</v>
      </c>
      <c r="I127" s="1">
        <v>3584044.1993999993</v>
      </c>
      <c r="J127" s="2">
        <v>4729</v>
      </c>
      <c r="K127" s="2">
        <v>29981</v>
      </c>
      <c r="L127" s="2">
        <v>6384.15</v>
      </c>
      <c r="M127" s="2">
        <v>40474.350000000013</v>
      </c>
      <c r="N127" s="1">
        <v>75215.26220000023</v>
      </c>
      <c r="O127" s="1">
        <v>140034.06839999789</v>
      </c>
      <c r="P127" s="4">
        <v>0.12693105211739278</v>
      </c>
      <c r="Q127" s="4">
        <v>3.9071523845448347E-2</v>
      </c>
      <c r="R127" s="2">
        <v>1094</v>
      </c>
      <c r="S127" s="2">
        <v>3446.1809999999987</v>
      </c>
      <c r="T127" s="2">
        <v>10</v>
      </c>
      <c r="U127" s="2">
        <v>30</v>
      </c>
    </row>
    <row r="128" spans="1:21" x14ac:dyDescent="0.25">
      <c r="A128" t="s">
        <v>26</v>
      </c>
      <c r="B128" t="s">
        <v>32</v>
      </c>
      <c r="C128" t="s">
        <v>33</v>
      </c>
      <c r="D128" t="s">
        <v>34</v>
      </c>
      <c r="E128" t="s">
        <v>203</v>
      </c>
      <c r="F128" t="s">
        <v>257</v>
      </c>
      <c r="G128" t="s">
        <v>258</v>
      </c>
      <c r="H128" s="1">
        <v>1859652.0503000007</v>
      </c>
      <c r="I128" s="1">
        <v>1868681.0883000004</v>
      </c>
      <c r="J128" s="2">
        <v>17169</v>
      </c>
      <c r="K128" s="2">
        <v>17885</v>
      </c>
      <c r="L128" s="2">
        <v>22989.291000000008</v>
      </c>
      <c r="M128" s="2">
        <v>23948.015000000014</v>
      </c>
      <c r="N128" s="1">
        <v>227835.51270000031</v>
      </c>
      <c r="O128" s="1">
        <v>47454.24619999947</v>
      </c>
      <c r="P128" s="4">
        <v>0.12251513000146758</v>
      </c>
      <c r="Q128" s="4">
        <v>2.5394513005517774E-2</v>
      </c>
      <c r="R128" s="2">
        <v>4446.8164999999999</v>
      </c>
      <c r="S128" s="2">
        <v>4069.089199999999</v>
      </c>
      <c r="T128" s="2">
        <v>47</v>
      </c>
      <c r="U128" s="2">
        <v>40</v>
      </c>
    </row>
    <row r="129" spans="1:21" x14ac:dyDescent="0.25">
      <c r="A129" t="s">
        <v>26</v>
      </c>
      <c r="B129" t="s">
        <v>32</v>
      </c>
      <c r="C129" t="s">
        <v>33</v>
      </c>
      <c r="D129" t="s">
        <v>34</v>
      </c>
      <c r="E129" t="s">
        <v>203</v>
      </c>
      <c r="F129" t="s">
        <v>259</v>
      </c>
      <c r="G129" t="s">
        <v>260</v>
      </c>
      <c r="H129" s="1">
        <v>1615131.8050000002</v>
      </c>
      <c r="I129" s="1">
        <v>1815908.3933000001</v>
      </c>
      <c r="J129" s="2">
        <v>24291</v>
      </c>
      <c r="K129" s="2">
        <v>30118</v>
      </c>
      <c r="L129" s="2">
        <v>22517.757000000001</v>
      </c>
      <c r="M129" s="2">
        <v>27919.386000000002</v>
      </c>
      <c r="N129" s="1">
        <v>207062.99659999972</v>
      </c>
      <c r="O129" s="1">
        <v>152828.30289999908</v>
      </c>
      <c r="P129" s="4">
        <v>0.12820191885206528</v>
      </c>
      <c r="Q129" s="4">
        <v>8.416079988609361E-2</v>
      </c>
      <c r="R129" s="2">
        <v>16310.705500000004</v>
      </c>
      <c r="S129" s="2">
        <v>15882.076700000005</v>
      </c>
      <c r="T129" s="2">
        <v>285</v>
      </c>
      <c r="U129" s="2">
        <v>287</v>
      </c>
    </row>
    <row r="130" spans="1:21" x14ac:dyDescent="0.25">
      <c r="A130" t="s">
        <v>26</v>
      </c>
      <c r="B130" t="s">
        <v>32</v>
      </c>
      <c r="C130" t="s">
        <v>33</v>
      </c>
      <c r="D130" t="s">
        <v>34</v>
      </c>
      <c r="E130" t="s">
        <v>203</v>
      </c>
      <c r="F130" t="s">
        <v>261</v>
      </c>
      <c r="G130" t="s">
        <v>262</v>
      </c>
      <c r="H130" s="1">
        <v>3760926.1959999944</v>
      </c>
      <c r="I130" s="1">
        <v>14937025.293099975</v>
      </c>
      <c r="J130" s="2">
        <v>26594</v>
      </c>
      <c r="K130" s="2">
        <v>96996</v>
      </c>
      <c r="L130" s="2">
        <v>38295.360000000022</v>
      </c>
      <c r="M130" s="2">
        <v>139674.23999999982</v>
      </c>
      <c r="N130" s="1">
        <v>429785.30520000029</v>
      </c>
      <c r="O130" s="1">
        <v>2796824.1943000332</v>
      </c>
      <c r="P130" s="4">
        <v>0.11427645287405711</v>
      </c>
      <c r="Q130" s="4">
        <v>0.18724104293992197</v>
      </c>
      <c r="R130" s="2">
        <v>7240.9720000000007</v>
      </c>
      <c r="S130" s="2">
        <v>78064.999999999985</v>
      </c>
      <c r="T130" s="2">
        <v>57</v>
      </c>
      <c r="U130" s="2">
        <v>627</v>
      </c>
    </row>
    <row r="131" spans="1:21" x14ac:dyDescent="0.25">
      <c r="A131" t="s">
        <v>26</v>
      </c>
      <c r="B131" t="s">
        <v>32</v>
      </c>
      <c r="C131" t="s">
        <v>33</v>
      </c>
      <c r="D131" t="s">
        <v>34</v>
      </c>
      <c r="E131" t="s">
        <v>203</v>
      </c>
      <c r="F131" t="s">
        <v>263</v>
      </c>
      <c r="G131" t="s">
        <v>264</v>
      </c>
      <c r="H131" s="1">
        <v>18895271.53239999</v>
      </c>
      <c r="I131" s="1">
        <v>23030149.238399997</v>
      </c>
      <c r="J131" s="2">
        <v>138761</v>
      </c>
      <c r="K131" s="2">
        <v>181872</v>
      </c>
      <c r="L131" s="2">
        <v>194265.39999999997</v>
      </c>
      <c r="M131" s="2">
        <v>254620.80000000002</v>
      </c>
      <c r="N131" s="1">
        <v>2398292.0139000192</v>
      </c>
      <c r="O131" s="1">
        <v>1999183.2711000219</v>
      </c>
      <c r="P131" s="4">
        <v>0.12692551201434885</v>
      </c>
      <c r="Q131" s="4">
        <v>8.6807221716419664E-2</v>
      </c>
      <c r="R131" s="2">
        <v>24284.396300000004</v>
      </c>
      <c r="S131" s="2">
        <v>22447.551199999998</v>
      </c>
      <c r="T131" s="2">
        <v>205</v>
      </c>
      <c r="U131" s="2">
        <v>191</v>
      </c>
    </row>
    <row r="132" spans="1:21" x14ac:dyDescent="0.25">
      <c r="A132" t="s">
        <v>26</v>
      </c>
      <c r="B132" t="s">
        <v>32</v>
      </c>
      <c r="C132" t="s">
        <v>33</v>
      </c>
      <c r="D132" t="s">
        <v>34</v>
      </c>
      <c r="E132" t="s">
        <v>203</v>
      </c>
      <c r="F132" t="s">
        <v>263</v>
      </c>
      <c r="G132" t="s">
        <v>265</v>
      </c>
      <c r="H132" s="1">
        <v>32440.212500000001</v>
      </c>
      <c r="I132" s="1">
        <v>91029.071899999995</v>
      </c>
      <c r="J132" s="2">
        <v>239</v>
      </c>
      <c r="K132" s="2">
        <v>725</v>
      </c>
      <c r="L132" s="2">
        <v>334.6</v>
      </c>
      <c r="M132" s="2">
        <v>1015.0000000000001</v>
      </c>
      <c r="N132" s="1">
        <v>4194.7599999999984</v>
      </c>
      <c r="O132" s="1">
        <v>9631.3514999999898</v>
      </c>
      <c r="P132" s="4">
        <v>0.12930741437035898</v>
      </c>
      <c r="Q132" s="4">
        <v>0.10580522572591439</v>
      </c>
      <c r="R132" s="2">
        <v>118.1818</v>
      </c>
      <c r="S132" s="2"/>
      <c r="T132" s="2">
        <v>1</v>
      </c>
      <c r="U132" s="2"/>
    </row>
    <row r="133" spans="1:21" x14ac:dyDescent="0.25">
      <c r="A133" t="s">
        <v>26</v>
      </c>
      <c r="B133" t="s">
        <v>32</v>
      </c>
      <c r="C133" t="s">
        <v>33</v>
      </c>
      <c r="D133" t="s">
        <v>34</v>
      </c>
      <c r="E133" t="s">
        <v>203</v>
      </c>
      <c r="F133" t="s">
        <v>266</v>
      </c>
      <c r="G133" t="s">
        <v>267</v>
      </c>
      <c r="H133" s="1">
        <v>139219.86859999999</v>
      </c>
      <c r="I133" s="1">
        <v>945767.4571</v>
      </c>
      <c r="J133" s="2">
        <v>1535</v>
      </c>
      <c r="K133" s="2">
        <v>11169</v>
      </c>
      <c r="L133" s="2">
        <v>1381.4999999999998</v>
      </c>
      <c r="M133" s="2">
        <v>10052.100000000004</v>
      </c>
      <c r="N133" s="1">
        <v>17859.515400000004</v>
      </c>
      <c r="O133" s="1">
        <v>149687.54489999951</v>
      </c>
      <c r="P133" s="4">
        <v>0.12828280603620687</v>
      </c>
      <c r="Q133" s="4">
        <v>0.15827098276249149</v>
      </c>
      <c r="R133" s="2">
        <v>553.63630000000001</v>
      </c>
      <c r="S133" s="2">
        <v>3594.4624999999996</v>
      </c>
      <c r="T133" s="2">
        <v>7</v>
      </c>
      <c r="U133" s="2">
        <v>50</v>
      </c>
    </row>
    <row r="134" spans="1:21" x14ac:dyDescent="0.25">
      <c r="A134" t="s">
        <v>26</v>
      </c>
      <c r="B134" t="s">
        <v>32</v>
      </c>
      <c r="C134" t="s">
        <v>33</v>
      </c>
      <c r="D134" t="s">
        <v>34</v>
      </c>
      <c r="E134" t="s">
        <v>203</v>
      </c>
      <c r="F134" t="s">
        <v>268</v>
      </c>
      <c r="G134" t="s">
        <v>269</v>
      </c>
      <c r="H134" s="1">
        <v>826124.23920000019</v>
      </c>
      <c r="I134" s="1">
        <v>570966.82490000012</v>
      </c>
      <c r="J134" s="2">
        <v>10056</v>
      </c>
      <c r="K134" s="2">
        <v>7297</v>
      </c>
      <c r="L134" s="2">
        <v>9050.4</v>
      </c>
      <c r="M134" s="2">
        <v>6567.2999999999975</v>
      </c>
      <c r="N134" s="1">
        <v>101264.95179999969</v>
      </c>
      <c r="O134" s="1">
        <v>73090.930900000152</v>
      </c>
      <c r="P134" s="4">
        <v>0.12257835685594015</v>
      </c>
      <c r="Q134" s="4">
        <v>0.12801257045503719</v>
      </c>
      <c r="R134" s="2">
        <v>43143.955200000011</v>
      </c>
      <c r="S134" s="2">
        <v>11189.266699999998</v>
      </c>
      <c r="T134" s="2">
        <v>596</v>
      </c>
      <c r="U134" s="2">
        <v>164</v>
      </c>
    </row>
    <row r="135" spans="1:21" x14ac:dyDescent="0.25">
      <c r="A135" t="s">
        <v>26</v>
      </c>
      <c r="B135" t="s">
        <v>32</v>
      </c>
      <c r="C135" t="s">
        <v>33</v>
      </c>
      <c r="D135" t="s">
        <v>34</v>
      </c>
      <c r="E135" t="s">
        <v>203</v>
      </c>
      <c r="F135" t="s">
        <v>270</v>
      </c>
      <c r="G135" t="s">
        <v>271</v>
      </c>
      <c r="H135" s="1">
        <v>421289.47289999999</v>
      </c>
      <c r="I135" s="1">
        <v>110133.93239999998</v>
      </c>
      <c r="J135" s="2">
        <v>3244</v>
      </c>
      <c r="K135" s="2">
        <v>848</v>
      </c>
      <c r="L135" s="2">
        <v>4541.6000000000004</v>
      </c>
      <c r="M135" s="2">
        <v>1187.2</v>
      </c>
      <c r="N135" s="1">
        <v>52931.68200000003</v>
      </c>
      <c r="O135" s="1">
        <v>13847.393899999966</v>
      </c>
      <c r="P135" s="4">
        <v>0.12564207131889157</v>
      </c>
      <c r="Q135" s="4">
        <v>0.1257323115432494</v>
      </c>
      <c r="R135" s="2">
        <v>794.81790000000001</v>
      </c>
      <c r="S135" s="2">
        <v>340.63630000000001</v>
      </c>
      <c r="T135" s="2">
        <v>7</v>
      </c>
      <c r="U135" s="2">
        <v>3</v>
      </c>
    </row>
    <row r="136" spans="1:21" x14ac:dyDescent="0.25">
      <c r="A136" t="s">
        <v>26</v>
      </c>
      <c r="B136" t="s">
        <v>32</v>
      </c>
      <c r="C136" t="s">
        <v>33</v>
      </c>
      <c r="D136" t="s">
        <v>34</v>
      </c>
      <c r="E136" t="s">
        <v>203</v>
      </c>
      <c r="F136" t="s">
        <v>272</v>
      </c>
      <c r="G136" t="s">
        <v>273</v>
      </c>
      <c r="H136" s="1">
        <v>183558.87179999996</v>
      </c>
      <c r="I136" s="1"/>
      <c r="J136" s="2">
        <v>2151</v>
      </c>
      <c r="K136" s="2"/>
      <c r="L136" s="2">
        <v>1935.8999999999994</v>
      </c>
      <c r="M136" s="2"/>
      <c r="N136" s="1">
        <v>23963.071699999913</v>
      </c>
      <c r="O136" s="1"/>
      <c r="P136" s="4">
        <v>0.13054706353888107</v>
      </c>
      <c r="Q136" s="4"/>
      <c r="R136" s="2">
        <v>1409.6270999999999</v>
      </c>
      <c r="S136" s="2"/>
      <c r="T136" s="2">
        <v>19</v>
      </c>
      <c r="U136" s="2"/>
    </row>
    <row r="137" spans="1:21" x14ac:dyDescent="0.25">
      <c r="A137" t="s">
        <v>26</v>
      </c>
      <c r="B137" t="s">
        <v>32</v>
      </c>
      <c r="C137" t="s">
        <v>33</v>
      </c>
      <c r="D137" t="s">
        <v>34</v>
      </c>
      <c r="E137" t="s">
        <v>203</v>
      </c>
      <c r="F137" t="s">
        <v>274</v>
      </c>
      <c r="G137" t="s">
        <v>275</v>
      </c>
      <c r="H137" s="1">
        <v>650007.60309999995</v>
      </c>
      <c r="I137" s="1">
        <v>573182.56400000001</v>
      </c>
      <c r="J137" s="2">
        <v>9936</v>
      </c>
      <c r="K137" s="2">
        <v>8307</v>
      </c>
      <c r="L137" s="2">
        <v>8942.4</v>
      </c>
      <c r="M137" s="2">
        <v>7476.2999999999993</v>
      </c>
      <c r="N137" s="1">
        <v>47238.238800000167</v>
      </c>
      <c r="O137" s="1">
        <v>75566.161300000153</v>
      </c>
      <c r="P137" s="4">
        <v>7.2673363472538985E-2</v>
      </c>
      <c r="Q137" s="4">
        <v>0.13183611303989379</v>
      </c>
      <c r="R137" s="2">
        <v>7825.6057999999975</v>
      </c>
      <c r="S137" s="2">
        <v>9093.1317999999992</v>
      </c>
      <c r="T137" s="2">
        <v>129</v>
      </c>
      <c r="U137" s="2">
        <v>146</v>
      </c>
    </row>
    <row r="138" spans="1:21" x14ac:dyDescent="0.25">
      <c r="A138" t="s">
        <v>26</v>
      </c>
      <c r="B138" t="s">
        <v>32</v>
      </c>
      <c r="C138" t="s">
        <v>33</v>
      </c>
      <c r="D138" t="s">
        <v>34</v>
      </c>
      <c r="E138" t="s">
        <v>203</v>
      </c>
      <c r="F138" t="s">
        <v>276</v>
      </c>
      <c r="G138" t="s">
        <v>277</v>
      </c>
      <c r="H138" s="1">
        <v>6413.5887999999986</v>
      </c>
      <c r="I138" s="1"/>
      <c r="J138" s="2">
        <v>96</v>
      </c>
      <c r="K138" s="2"/>
      <c r="L138" s="2">
        <v>86.4</v>
      </c>
      <c r="M138" s="2"/>
      <c r="N138" s="1">
        <v>636.13569999999891</v>
      </c>
      <c r="O138" s="1"/>
      <c r="P138" s="4">
        <v>9.9185607284333385E-2</v>
      </c>
      <c r="Q138" s="4"/>
      <c r="R138" s="2">
        <v>2106.3632000000002</v>
      </c>
      <c r="S138" s="2"/>
      <c r="T138" s="2">
        <v>35</v>
      </c>
      <c r="U138" s="2"/>
    </row>
    <row r="139" spans="1:21" x14ac:dyDescent="0.25">
      <c r="A139" t="s">
        <v>26</v>
      </c>
      <c r="B139" t="s">
        <v>32</v>
      </c>
      <c r="C139" t="s">
        <v>33</v>
      </c>
      <c r="D139" t="s">
        <v>34</v>
      </c>
      <c r="E139" t="s">
        <v>203</v>
      </c>
      <c r="F139" t="s">
        <v>278</v>
      </c>
      <c r="G139" t="s">
        <v>279</v>
      </c>
      <c r="H139" s="1"/>
      <c r="I139" s="1">
        <v>7220.1440999999995</v>
      </c>
      <c r="J139" s="2"/>
      <c r="K139" s="2">
        <v>50</v>
      </c>
      <c r="L139" s="2"/>
      <c r="M139" s="2">
        <v>87.5</v>
      </c>
      <c r="N139" s="1"/>
      <c r="O139" s="1">
        <v>879.86329999999998</v>
      </c>
      <c r="P139" s="4"/>
      <c r="Q139" s="4">
        <v>0.12186229080940365</v>
      </c>
      <c r="R139" s="2"/>
      <c r="S139" s="2">
        <v>758.67269999999996</v>
      </c>
      <c r="T139" s="2"/>
      <c r="U139" s="2">
        <v>6</v>
      </c>
    </row>
    <row r="140" spans="1:21" x14ac:dyDescent="0.25">
      <c r="A140" t="s">
        <v>26</v>
      </c>
      <c r="B140" t="s">
        <v>32</v>
      </c>
      <c r="C140" t="s">
        <v>33</v>
      </c>
      <c r="D140" t="s">
        <v>34</v>
      </c>
      <c r="E140" t="s">
        <v>203</v>
      </c>
      <c r="F140" t="s">
        <v>280</v>
      </c>
      <c r="G140" t="s">
        <v>281</v>
      </c>
      <c r="H140" s="1">
        <v>382738.70820000005</v>
      </c>
      <c r="I140" s="1">
        <v>793111.16309999977</v>
      </c>
      <c r="J140" s="2">
        <v>5338</v>
      </c>
      <c r="K140" s="2">
        <v>10192</v>
      </c>
      <c r="L140" s="2">
        <v>4804.2</v>
      </c>
      <c r="M140" s="2">
        <v>9172.8000000000011</v>
      </c>
      <c r="N140" s="1">
        <v>33633.508199999982</v>
      </c>
      <c r="O140" s="1">
        <v>61289.926899999846</v>
      </c>
      <c r="P140" s="4">
        <v>8.787589935226725E-2</v>
      </c>
      <c r="Q140" s="4">
        <v>7.727785177104117E-2</v>
      </c>
      <c r="R140" s="2">
        <v>2289.0000000000005</v>
      </c>
      <c r="S140" s="2">
        <v>5600.4</v>
      </c>
      <c r="T140" s="2">
        <v>35</v>
      </c>
      <c r="U140" s="2">
        <v>78</v>
      </c>
    </row>
    <row r="141" spans="1:21" x14ac:dyDescent="0.25">
      <c r="A141" t="s">
        <v>26</v>
      </c>
      <c r="B141" t="s">
        <v>32</v>
      </c>
      <c r="C141" t="s">
        <v>33</v>
      </c>
      <c r="D141" t="s">
        <v>34</v>
      </c>
      <c r="E141" t="s">
        <v>203</v>
      </c>
      <c r="F141" t="s">
        <v>282</v>
      </c>
      <c r="G141" t="s">
        <v>283</v>
      </c>
      <c r="H141" s="1"/>
      <c r="I141" s="1">
        <v>1233337.9849000003</v>
      </c>
      <c r="J141" s="2"/>
      <c r="K141" s="2">
        <v>15967</v>
      </c>
      <c r="L141" s="2"/>
      <c r="M141" s="2">
        <v>14758.298100000004</v>
      </c>
      <c r="N141" s="1"/>
      <c r="O141" s="1">
        <v>136159.49840000039</v>
      </c>
      <c r="P141" s="4"/>
      <c r="Q141" s="4">
        <v>0.11039917692232619</v>
      </c>
      <c r="R141" s="2"/>
      <c r="S141" s="2">
        <v>904.04510000000005</v>
      </c>
      <c r="T141" s="2"/>
      <c r="U141" s="2">
        <v>13</v>
      </c>
    </row>
    <row r="142" spans="1:21" x14ac:dyDescent="0.25">
      <c r="A142" t="s">
        <v>26</v>
      </c>
      <c r="B142" t="s">
        <v>32</v>
      </c>
      <c r="C142" t="s">
        <v>33</v>
      </c>
      <c r="D142" t="s">
        <v>34</v>
      </c>
      <c r="E142" t="s">
        <v>203</v>
      </c>
      <c r="F142" t="s">
        <v>284</v>
      </c>
      <c r="G142" t="s">
        <v>285</v>
      </c>
      <c r="H142" s="1">
        <v>1634936.1135</v>
      </c>
      <c r="I142" s="1"/>
      <c r="J142" s="2">
        <v>19095</v>
      </c>
      <c r="K142" s="2"/>
      <c r="L142" s="2">
        <v>18636.720000000019</v>
      </c>
      <c r="M142" s="2"/>
      <c r="N142" s="1">
        <v>174160.49369999999</v>
      </c>
      <c r="O142" s="1"/>
      <c r="P142" s="4">
        <v>0.10652434199839454</v>
      </c>
      <c r="Q142" s="4"/>
      <c r="R142" s="2">
        <v>2141.7451999999998</v>
      </c>
      <c r="S142" s="2"/>
      <c r="T142" s="2">
        <v>28</v>
      </c>
      <c r="U142" s="2"/>
    </row>
    <row r="143" spans="1:21" x14ac:dyDescent="0.25">
      <c r="A143" t="s">
        <v>26</v>
      </c>
      <c r="B143" t="s">
        <v>32</v>
      </c>
      <c r="C143" t="s">
        <v>33</v>
      </c>
      <c r="D143" t="s">
        <v>34</v>
      </c>
      <c r="E143" t="s">
        <v>203</v>
      </c>
      <c r="F143" t="s">
        <v>286</v>
      </c>
      <c r="G143" t="s">
        <v>287</v>
      </c>
      <c r="H143" s="1"/>
      <c r="I143" s="1">
        <v>72922.046000000002</v>
      </c>
      <c r="J143" s="2"/>
      <c r="K143" s="2">
        <v>1297</v>
      </c>
      <c r="L143" s="2"/>
      <c r="M143" s="2">
        <v>1198.4279999999999</v>
      </c>
      <c r="N143" s="1"/>
      <c r="O143" s="1">
        <v>11161.282200000001</v>
      </c>
      <c r="P143" s="4"/>
      <c r="Q143" s="4">
        <v>0.15305772139196425</v>
      </c>
      <c r="R143" s="2"/>
      <c r="S143" s="2">
        <v>333.327</v>
      </c>
      <c r="T143" s="2"/>
      <c r="U143" s="2">
        <v>7</v>
      </c>
    </row>
    <row r="144" spans="1:21" x14ac:dyDescent="0.25">
      <c r="A144" t="s">
        <v>26</v>
      </c>
      <c r="B144" t="s">
        <v>32</v>
      </c>
      <c r="C144" t="s">
        <v>33</v>
      </c>
      <c r="D144" t="s">
        <v>34</v>
      </c>
      <c r="E144" t="s">
        <v>203</v>
      </c>
      <c r="F144" t="s">
        <v>288</v>
      </c>
      <c r="G144" t="s">
        <v>289</v>
      </c>
      <c r="H144" s="1">
        <v>165464.44139999995</v>
      </c>
      <c r="I144" s="1">
        <v>138242.93229999999</v>
      </c>
      <c r="J144" s="2">
        <v>2267</v>
      </c>
      <c r="K144" s="2">
        <v>1816</v>
      </c>
      <c r="L144" s="2">
        <v>2101.5090000000009</v>
      </c>
      <c r="M144" s="2">
        <v>1683.4320000000005</v>
      </c>
      <c r="N144" s="1">
        <v>12287.178599999897</v>
      </c>
      <c r="O144" s="1">
        <v>15547.394899999956</v>
      </c>
      <c r="P144" s="4">
        <v>7.4258725899278941E-2</v>
      </c>
      <c r="Q144" s="4">
        <v>0.11246430209003862</v>
      </c>
      <c r="R144" s="2">
        <v>6891.4886999999999</v>
      </c>
      <c r="S144" s="2">
        <v>7229.3071</v>
      </c>
      <c r="T144" s="2">
        <v>102</v>
      </c>
      <c r="U144" s="2">
        <v>107</v>
      </c>
    </row>
    <row r="145" spans="1:21" x14ac:dyDescent="0.25">
      <c r="A145" t="s">
        <v>26</v>
      </c>
      <c r="B145" t="s">
        <v>32</v>
      </c>
      <c r="C145" t="s">
        <v>33</v>
      </c>
      <c r="D145" t="s">
        <v>34</v>
      </c>
      <c r="E145" t="s">
        <v>203</v>
      </c>
      <c r="F145" t="s">
        <v>290</v>
      </c>
      <c r="G145" t="s">
        <v>291</v>
      </c>
      <c r="H145" s="1">
        <v>473900.96519999957</v>
      </c>
      <c r="I145" s="1">
        <v>479277.22579999984</v>
      </c>
      <c r="J145" s="2">
        <v>5229</v>
      </c>
      <c r="K145" s="2">
        <v>5692</v>
      </c>
      <c r="L145" s="2">
        <v>4706.0999999999958</v>
      </c>
      <c r="M145" s="2">
        <v>5122.7999999999965</v>
      </c>
      <c r="N145" s="1">
        <v>44557.35649999982</v>
      </c>
      <c r="O145" s="1">
        <v>57921.225799999782</v>
      </c>
      <c r="P145" s="4">
        <v>9.4022506329345307E-2</v>
      </c>
      <c r="Q145" s="4">
        <v>0.12085119567974224</v>
      </c>
      <c r="R145" s="2">
        <v>11317.517799999998</v>
      </c>
      <c r="S145" s="2">
        <v>3891.3451999999997</v>
      </c>
      <c r="T145" s="2">
        <v>138</v>
      </c>
      <c r="U145" s="2">
        <v>50</v>
      </c>
    </row>
    <row r="146" spans="1:21" x14ac:dyDescent="0.25">
      <c r="A146" t="s">
        <v>26</v>
      </c>
      <c r="B146" t="s">
        <v>32</v>
      </c>
      <c r="C146" t="s">
        <v>33</v>
      </c>
      <c r="D146" t="s">
        <v>34</v>
      </c>
      <c r="E146" t="s">
        <v>203</v>
      </c>
      <c r="F146" t="s">
        <v>292</v>
      </c>
      <c r="G146" t="s">
        <v>293</v>
      </c>
      <c r="H146" s="1">
        <v>1505048.1301000004</v>
      </c>
      <c r="I146" s="1">
        <v>1703533.2142000003</v>
      </c>
      <c r="J146" s="2">
        <v>12906</v>
      </c>
      <c r="K146" s="2">
        <v>13802</v>
      </c>
      <c r="L146" s="2">
        <v>18068.400000000005</v>
      </c>
      <c r="M146" s="2">
        <v>19322.800000000003</v>
      </c>
      <c r="N146" s="1">
        <v>190982.74180000019</v>
      </c>
      <c r="O146" s="1">
        <v>276887.55529999989</v>
      </c>
      <c r="P146" s="4">
        <v>0.12689477364907303</v>
      </c>
      <c r="Q146" s="4">
        <v>0.16253722145947688</v>
      </c>
      <c r="R146" s="2">
        <v>2137.6268</v>
      </c>
      <c r="S146" s="2">
        <v>2825.4623999999999</v>
      </c>
      <c r="T146" s="2">
        <v>21</v>
      </c>
      <c r="U146" s="2">
        <v>27</v>
      </c>
    </row>
    <row r="147" spans="1:21" x14ac:dyDescent="0.25">
      <c r="A147" t="s">
        <v>26</v>
      </c>
      <c r="B147" t="s">
        <v>32</v>
      </c>
      <c r="C147" t="s">
        <v>33</v>
      </c>
      <c r="D147" t="s">
        <v>34</v>
      </c>
      <c r="E147" t="s">
        <v>203</v>
      </c>
      <c r="F147" t="s">
        <v>294</v>
      </c>
      <c r="G147" t="s">
        <v>295</v>
      </c>
      <c r="H147" s="1">
        <v>396685.62339999992</v>
      </c>
      <c r="I147" s="1">
        <v>591081.73050000006</v>
      </c>
      <c r="J147" s="2">
        <v>4765</v>
      </c>
      <c r="K147" s="2">
        <v>6635</v>
      </c>
      <c r="L147" s="2">
        <v>4402.8600000000015</v>
      </c>
      <c r="M147" s="2">
        <v>6130.7399999999989</v>
      </c>
      <c r="N147" s="1">
        <v>51861.765499999863</v>
      </c>
      <c r="O147" s="1">
        <v>116936.01769999997</v>
      </c>
      <c r="P147" s="4">
        <v>0.13073769867304919</v>
      </c>
      <c r="Q147" s="4">
        <v>0.19783392323948673</v>
      </c>
      <c r="R147" s="2">
        <v>3690.1894000000007</v>
      </c>
      <c r="S147" s="2">
        <v>3476.0622000000003</v>
      </c>
      <c r="T147" s="2">
        <v>51</v>
      </c>
      <c r="U147" s="2">
        <v>48</v>
      </c>
    </row>
    <row r="148" spans="1:21" x14ac:dyDescent="0.25">
      <c r="A148" t="s">
        <v>26</v>
      </c>
      <c r="B148" t="s">
        <v>32</v>
      </c>
      <c r="C148" t="s">
        <v>33</v>
      </c>
      <c r="D148" t="s">
        <v>34</v>
      </c>
      <c r="E148" t="s">
        <v>203</v>
      </c>
      <c r="F148" t="s">
        <v>296</v>
      </c>
      <c r="G148" t="s">
        <v>297</v>
      </c>
      <c r="H148" s="1">
        <v>270668.09090000001</v>
      </c>
      <c r="I148" s="1">
        <v>706615.72000000009</v>
      </c>
      <c r="J148" s="2">
        <v>4091</v>
      </c>
      <c r="K148" s="2">
        <v>10546</v>
      </c>
      <c r="L148" s="2">
        <v>3681.9000000000005</v>
      </c>
      <c r="M148" s="2">
        <v>9491.4000000000015</v>
      </c>
      <c r="N148" s="1">
        <v>30786.751900000032</v>
      </c>
      <c r="O148" s="1">
        <v>69716.951500000199</v>
      </c>
      <c r="P148" s="4">
        <v>0.11374355875356724</v>
      </c>
      <c r="Q148" s="4">
        <v>9.8663176499951336E-2</v>
      </c>
      <c r="R148" s="2">
        <v>1700.4536999999998</v>
      </c>
      <c r="S148" s="2">
        <v>17875.706400000003</v>
      </c>
      <c r="T148" s="2">
        <v>29</v>
      </c>
      <c r="U148" s="2">
        <v>296</v>
      </c>
    </row>
    <row r="149" spans="1:21" x14ac:dyDescent="0.25">
      <c r="A149" t="s">
        <v>26</v>
      </c>
      <c r="B149" t="s">
        <v>32</v>
      </c>
      <c r="C149" t="s">
        <v>33</v>
      </c>
      <c r="D149" t="s">
        <v>34</v>
      </c>
      <c r="E149" t="s">
        <v>203</v>
      </c>
      <c r="F149" t="s">
        <v>298</v>
      </c>
      <c r="G149" t="s">
        <v>299</v>
      </c>
      <c r="H149" s="1"/>
      <c r="I149" s="1">
        <v>124187.76450000002</v>
      </c>
      <c r="J149" s="2"/>
      <c r="K149" s="2">
        <v>1781</v>
      </c>
      <c r="L149" s="2"/>
      <c r="M149" s="2">
        <v>1424.8</v>
      </c>
      <c r="N149" s="1"/>
      <c r="O149" s="1">
        <v>25358.470000000059</v>
      </c>
      <c r="P149" s="4"/>
      <c r="Q149" s="4">
        <v>0.20419459277729454</v>
      </c>
      <c r="R149" s="2"/>
      <c r="S149" s="2">
        <v>1720.2179000000001</v>
      </c>
      <c r="T149" s="2"/>
      <c r="U149" s="2">
        <v>31</v>
      </c>
    </row>
    <row r="150" spans="1:21" x14ac:dyDescent="0.25">
      <c r="A150" t="s">
        <v>26</v>
      </c>
      <c r="B150" t="s">
        <v>32</v>
      </c>
      <c r="C150" t="s">
        <v>33</v>
      </c>
      <c r="D150" t="s">
        <v>34</v>
      </c>
      <c r="E150" t="s">
        <v>203</v>
      </c>
      <c r="F150" t="s">
        <v>300</v>
      </c>
      <c r="G150" t="s">
        <v>301</v>
      </c>
      <c r="H150" s="1">
        <v>55025.237700000005</v>
      </c>
      <c r="I150" s="1">
        <v>32587.565799999997</v>
      </c>
      <c r="J150" s="2">
        <v>434</v>
      </c>
      <c r="K150" s="2">
        <v>260</v>
      </c>
      <c r="L150" s="2">
        <v>607.6</v>
      </c>
      <c r="M150" s="2">
        <v>364</v>
      </c>
      <c r="N150" s="1">
        <v>6626.3562999999995</v>
      </c>
      <c r="O150" s="1">
        <v>3592.8440999999912</v>
      </c>
      <c r="P150" s="4">
        <v>0.12042394684648493</v>
      </c>
      <c r="Q150" s="4">
        <v>0.11025199372209604</v>
      </c>
      <c r="R150" s="2">
        <v>2230.3631</v>
      </c>
      <c r="S150" s="2">
        <v>1895.8082999999999</v>
      </c>
      <c r="T150" s="2">
        <v>20</v>
      </c>
      <c r="U150" s="2">
        <v>17</v>
      </c>
    </row>
    <row r="151" spans="1:21" x14ac:dyDescent="0.25">
      <c r="A151" t="s">
        <v>26</v>
      </c>
      <c r="B151" t="s">
        <v>32</v>
      </c>
      <c r="C151" t="s">
        <v>33</v>
      </c>
      <c r="D151" t="s">
        <v>34</v>
      </c>
      <c r="E151" t="s">
        <v>203</v>
      </c>
      <c r="F151" t="s">
        <v>302</v>
      </c>
      <c r="G151" t="s">
        <v>303</v>
      </c>
      <c r="H151" s="1">
        <v>1228072.9236999995</v>
      </c>
      <c r="I151" s="1">
        <v>1689490.9622000006</v>
      </c>
      <c r="J151" s="2">
        <v>15749</v>
      </c>
      <c r="K151" s="2">
        <v>23086</v>
      </c>
      <c r="L151" s="2">
        <v>14174.100000000004</v>
      </c>
      <c r="M151" s="2">
        <v>20777.400000000005</v>
      </c>
      <c r="N151" s="1">
        <v>139630.97529999726</v>
      </c>
      <c r="O151" s="1">
        <v>78043.917999998434</v>
      </c>
      <c r="P151" s="4">
        <v>0.11369925401441966</v>
      </c>
      <c r="Q151" s="4">
        <v>4.6193746960547309E-2</v>
      </c>
      <c r="R151" s="2">
        <v>14832.160199999993</v>
      </c>
      <c r="S151" s="2">
        <v>6894.2164000000039</v>
      </c>
      <c r="T151" s="2">
        <v>215</v>
      </c>
      <c r="U151" s="2">
        <v>100</v>
      </c>
    </row>
    <row r="152" spans="1:21" x14ac:dyDescent="0.25">
      <c r="A152" t="s">
        <v>26</v>
      </c>
      <c r="B152" t="s">
        <v>32</v>
      </c>
      <c r="C152" t="s">
        <v>33</v>
      </c>
      <c r="D152" t="s">
        <v>34</v>
      </c>
      <c r="E152" t="s">
        <v>203</v>
      </c>
      <c r="F152" t="s">
        <v>304</v>
      </c>
      <c r="G152" t="s">
        <v>305</v>
      </c>
      <c r="H152" s="1">
        <v>39831.724399999999</v>
      </c>
      <c r="I152" s="1">
        <v>77569.194300000003</v>
      </c>
      <c r="J152" s="2">
        <v>815</v>
      </c>
      <c r="K152" s="2">
        <v>1503</v>
      </c>
      <c r="L152" s="2">
        <v>733.5</v>
      </c>
      <c r="M152" s="2">
        <v>1352.6999999999998</v>
      </c>
      <c r="N152" s="1">
        <v>5386.8663999999917</v>
      </c>
      <c r="O152" s="1">
        <v>14036.581600000005</v>
      </c>
      <c r="P152" s="4">
        <v>0.13524060233756768</v>
      </c>
      <c r="Q152" s="4">
        <v>0.18095561938819835</v>
      </c>
      <c r="R152" s="2">
        <v>1352.4358999999997</v>
      </c>
      <c r="S152" s="2">
        <v>1056.5903999999998</v>
      </c>
      <c r="T152" s="2">
        <v>32</v>
      </c>
      <c r="U152" s="2">
        <v>25</v>
      </c>
    </row>
    <row r="153" spans="1:21" x14ac:dyDescent="0.25">
      <c r="A153" t="s">
        <v>26</v>
      </c>
      <c r="B153" t="s">
        <v>32</v>
      </c>
      <c r="C153" t="s">
        <v>33</v>
      </c>
      <c r="D153" t="s">
        <v>34</v>
      </c>
      <c r="E153" t="s">
        <v>203</v>
      </c>
      <c r="F153" t="s">
        <v>306</v>
      </c>
      <c r="G153" t="s">
        <v>307</v>
      </c>
      <c r="H153" s="1">
        <v>64433.739799999996</v>
      </c>
      <c r="I153" s="1">
        <v>86585.358000000007</v>
      </c>
      <c r="J153" s="2">
        <v>910</v>
      </c>
      <c r="K153" s="2">
        <v>1157</v>
      </c>
      <c r="L153" s="2">
        <v>791.7</v>
      </c>
      <c r="M153" s="2">
        <v>1006.5899999999999</v>
      </c>
      <c r="N153" s="1">
        <v>8245.3819999999978</v>
      </c>
      <c r="O153" s="1">
        <v>15145.873500000016</v>
      </c>
      <c r="P153" s="4">
        <v>0.12796683888896354</v>
      </c>
      <c r="Q153" s="4">
        <v>0.17492418868326462</v>
      </c>
      <c r="R153" s="2">
        <v>987.92709999999988</v>
      </c>
      <c r="S153" s="2">
        <v>493.96350000000001</v>
      </c>
      <c r="T153" s="2">
        <v>16</v>
      </c>
      <c r="U153" s="2">
        <v>8</v>
      </c>
    </row>
    <row r="154" spans="1:21" x14ac:dyDescent="0.25">
      <c r="A154" t="s">
        <v>26</v>
      </c>
      <c r="B154" t="s">
        <v>32</v>
      </c>
      <c r="C154" t="s">
        <v>33</v>
      </c>
      <c r="D154" t="s">
        <v>34</v>
      </c>
      <c r="E154" t="s">
        <v>203</v>
      </c>
      <c r="F154" t="s">
        <v>308</v>
      </c>
      <c r="G154" t="s">
        <v>309</v>
      </c>
      <c r="H154" s="1">
        <v>42117.202499999992</v>
      </c>
      <c r="I154" s="1">
        <v>1019930.3809000001</v>
      </c>
      <c r="J154" s="2">
        <v>580</v>
      </c>
      <c r="K154" s="2">
        <v>14779</v>
      </c>
      <c r="L154" s="2">
        <v>521.99999999999977</v>
      </c>
      <c r="M154" s="2">
        <v>13700.132999999989</v>
      </c>
      <c r="N154" s="1">
        <v>5215.1933000000136</v>
      </c>
      <c r="O154" s="1">
        <v>147944.75580000051</v>
      </c>
      <c r="P154" s="4">
        <v>0.12382572892869641</v>
      </c>
      <c r="Q154" s="4">
        <v>0.14505377873875283</v>
      </c>
      <c r="R154" s="2">
        <v>188.91810000000001</v>
      </c>
      <c r="S154" s="2">
        <v>8840.5142000000014</v>
      </c>
      <c r="T154" s="2">
        <v>3</v>
      </c>
      <c r="U154" s="2">
        <v>148</v>
      </c>
    </row>
    <row r="155" spans="1:21" x14ac:dyDescent="0.25">
      <c r="A155" t="s">
        <v>26</v>
      </c>
      <c r="B155" t="s">
        <v>32</v>
      </c>
      <c r="C155" t="s">
        <v>33</v>
      </c>
      <c r="D155" t="s">
        <v>34</v>
      </c>
      <c r="E155" t="s">
        <v>203</v>
      </c>
      <c r="F155" t="s">
        <v>310</v>
      </c>
      <c r="G155" t="s">
        <v>311</v>
      </c>
      <c r="H155" s="1">
        <v>21624.662600000011</v>
      </c>
      <c r="I155" s="1"/>
      <c r="J155" s="2">
        <v>279</v>
      </c>
      <c r="K155" s="2"/>
      <c r="L155" s="2">
        <v>251.10000000000005</v>
      </c>
      <c r="M155" s="2"/>
      <c r="N155" s="1">
        <v>2743.9781999999977</v>
      </c>
      <c r="O155" s="1"/>
      <c r="P155" s="4">
        <v>0.12689114511317262</v>
      </c>
      <c r="Q155" s="4"/>
      <c r="R155" s="2">
        <v>4331.0532000000012</v>
      </c>
      <c r="S155" s="2"/>
      <c r="T155" s="2">
        <v>64</v>
      </c>
      <c r="U155" s="2"/>
    </row>
    <row r="156" spans="1:21" x14ac:dyDescent="0.25">
      <c r="A156" t="s">
        <v>26</v>
      </c>
      <c r="B156" t="s">
        <v>32</v>
      </c>
      <c r="C156" t="s">
        <v>33</v>
      </c>
      <c r="D156" t="s">
        <v>34</v>
      </c>
      <c r="E156" t="s">
        <v>203</v>
      </c>
      <c r="F156" t="s">
        <v>312</v>
      </c>
      <c r="G156" t="s">
        <v>313</v>
      </c>
      <c r="H156" s="1"/>
      <c r="I156" s="1">
        <v>808008.64679999999</v>
      </c>
      <c r="J156" s="2"/>
      <c r="K156" s="2">
        <v>10811</v>
      </c>
      <c r="L156" s="2"/>
      <c r="M156" s="2">
        <v>11102.897000000001</v>
      </c>
      <c r="N156" s="1"/>
      <c r="O156" s="1">
        <v>95456.067600000068</v>
      </c>
      <c r="P156" s="4"/>
      <c r="Q156" s="4">
        <v>0.11813743327876484</v>
      </c>
      <c r="R156" s="2"/>
      <c r="S156" s="2">
        <v>8436.3600999999981</v>
      </c>
      <c r="T156" s="2"/>
      <c r="U156" s="2">
        <v>128</v>
      </c>
    </row>
    <row r="157" spans="1:21" x14ac:dyDescent="0.25">
      <c r="A157" t="s">
        <v>26</v>
      </c>
      <c r="B157" t="s">
        <v>32</v>
      </c>
      <c r="C157" t="s">
        <v>33</v>
      </c>
      <c r="D157" t="s">
        <v>34</v>
      </c>
      <c r="E157" t="s">
        <v>203</v>
      </c>
      <c r="F157" t="s">
        <v>314</v>
      </c>
      <c r="G157" t="s">
        <v>315</v>
      </c>
      <c r="H157" s="1">
        <v>20619318.312199969</v>
      </c>
      <c r="I157" s="1">
        <v>17522034.31659998</v>
      </c>
      <c r="J157" s="2">
        <v>151504</v>
      </c>
      <c r="K157" s="2">
        <v>134045</v>
      </c>
      <c r="L157" s="2">
        <v>212105.60000000012</v>
      </c>
      <c r="M157" s="2">
        <v>187663.00000000009</v>
      </c>
      <c r="N157" s="1">
        <v>2230409.9435000159</v>
      </c>
      <c r="O157" s="1">
        <v>2207263.0987000298</v>
      </c>
      <c r="P157" s="4">
        <v>0.10817088662821286</v>
      </c>
      <c r="Q157" s="4">
        <v>0.12597070972569199</v>
      </c>
      <c r="R157" s="2">
        <v>18854.585999999992</v>
      </c>
      <c r="S157" s="2">
        <v>28124.275400000002</v>
      </c>
      <c r="T157" s="2">
        <v>155</v>
      </c>
      <c r="U157" s="2">
        <v>242</v>
      </c>
    </row>
    <row r="158" spans="1:21" x14ac:dyDescent="0.25">
      <c r="A158" t="s">
        <v>26</v>
      </c>
      <c r="B158" t="s">
        <v>32</v>
      </c>
      <c r="C158" t="s">
        <v>33</v>
      </c>
      <c r="D158" t="s">
        <v>34</v>
      </c>
      <c r="E158" t="s">
        <v>203</v>
      </c>
      <c r="F158" t="s">
        <v>316</v>
      </c>
      <c r="G158" t="s">
        <v>317</v>
      </c>
      <c r="H158" s="1">
        <v>66938.471300000005</v>
      </c>
      <c r="I158" s="1">
        <v>94140.043199999986</v>
      </c>
      <c r="J158" s="2">
        <v>927</v>
      </c>
      <c r="K158" s="2">
        <v>1292</v>
      </c>
      <c r="L158" s="2">
        <v>834.30000000000007</v>
      </c>
      <c r="M158" s="2">
        <v>1162.8000000000002</v>
      </c>
      <c r="N158" s="1">
        <v>6430.6712999999727</v>
      </c>
      <c r="O158" s="1">
        <v>16620.043199999986</v>
      </c>
      <c r="P158" s="4">
        <v>9.6068391989106758E-2</v>
      </c>
      <c r="Q158" s="4">
        <v>0.17654594830268772</v>
      </c>
      <c r="R158" s="2">
        <v>9399.2695000000058</v>
      </c>
      <c r="S158" s="2">
        <v>7440</v>
      </c>
      <c r="T158" s="2">
        <v>144</v>
      </c>
      <c r="U158" s="2">
        <v>124</v>
      </c>
    </row>
    <row r="159" spans="1:21" x14ac:dyDescent="0.25">
      <c r="A159" t="s">
        <v>26</v>
      </c>
      <c r="B159" t="s">
        <v>32</v>
      </c>
      <c r="C159" t="s">
        <v>33</v>
      </c>
      <c r="D159" t="s">
        <v>34</v>
      </c>
      <c r="E159" t="s">
        <v>203</v>
      </c>
      <c r="F159" t="s">
        <v>318</v>
      </c>
      <c r="G159" t="s">
        <v>319</v>
      </c>
      <c r="H159" s="1">
        <v>0</v>
      </c>
      <c r="I159" s="1"/>
      <c r="J159" s="2">
        <v>0</v>
      </c>
      <c r="K159" s="2"/>
      <c r="L159" s="2">
        <v>0</v>
      </c>
      <c r="M159" s="2"/>
      <c r="N159" s="1">
        <v>0</v>
      </c>
      <c r="O159" s="1"/>
      <c r="P159" s="4"/>
      <c r="Q159" s="4"/>
      <c r="R159" s="2"/>
      <c r="S159" s="2"/>
      <c r="T159" s="2"/>
      <c r="U159" s="2"/>
    </row>
    <row r="160" spans="1:21" x14ac:dyDescent="0.25">
      <c r="A160" t="s">
        <v>26</v>
      </c>
      <c r="B160" t="s">
        <v>32</v>
      </c>
      <c r="C160" t="s">
        <v>33</v>
      </c>
      <c r="D160" t="s">
        <v>34</v>
      </c>
      <c r="E160" t="s">
        <v>203</v>
      </c>
      <c r="F160" t="s">
        <v>320</v>
      </c>
      <c r="G160" t="s">
        <v>321</v>
      </c>
      <c r="H160" s="1"/>
      <c r="I160" s="1">
        <v>111700.9574</v>
      </c>
      <c r="J160" s="2"/>
      <c r="K160" s="2">
        <v>1284</v>
      </c>
      <c r="L160" s="2"/>
      <c r="M160" s="2">
        <v>1155.6000000000001</v>
      </c>
      <c r="N160" s="1"/>
      <c r="O160" s="1">
        <v>13766.782300000006</v>
      </c>
      <c r="P160" s="4"/>
      <c r="Q160" s="4">
        <v>0.12324677084638852</v>
      </c>
      <c r="R160" s="2"/>
      <c r="S160" s="2">
        <v>76.2727</v>
      </c>
      <c r="T160" s="2"/>
      <c r="U160" s="2">
        <v>1</v>
      </c>
    </row>
    <row r="161" spans="1:21" x14ac:dyDescent="0.25">
      <c r="A161" t="s">
        <v>26</v>
      </c>
      <c r="B161" t="s">
        <v>32</v>
      </c>
      <c r="C161" t="s">
        <v>33</v>
      </c>
      <c r="D161" t="s">
        <v>34</v>
      </c>
      <c r="E161" t="s">
        <v>203</v>
      </c>
      <c r="F161" t="s">
        <v>322</v>
      </c>
      <c r="G161" t="s">
        <v>323</v>
      </c>
      <c r="H161" s="1">
        <v>50828.704400000002</v>
      </c>
      <c r="I161" s="1"/>
      <c r="J161" s="2">
        <v>622</v>
      </c>
      <c r="K161" s="2"/>
      <c r="L161" s="2">
        <v>590.9</v>
      </c>
      <c r="M161" s="2"/>
      <c r="N161" s="1">
        <v>6808.0707000000039</v>
      </c>
      <c r="O161" s="1"/>
      <c r="P161" s="4">
        <v>0.13394145651290698</v>
      </c>
      <c r="Q161" s="4"/>
      <c r="R161" s="2">
        <v>141.5454</v>
      </c>
      <c r="S161" s="2"/>
      <c r="T161" s="2">
        <v>2</v>
      </c>
      <c r="U161" s="2"/>
    </row>
    <row r="162" spans="1:21" x14ac:dyDescent="0.25">
      <c r="A162" t="s">
        <v>26</v>
      </c>
      <c r="B162" t="s">
        <v>32</v>
      </c>
      <c r="C162" t="s">
        <v>33</v>
      </c>
      <c r="D162" t="s">
        <v>34</v>
      </c>
      <c r="E162" t="s">
        <v>203</v>
      </c>
      <c r="F162" t="s">
        <v>324</v>
      </c>
      <c r="G162" t="s">
        <v>325</v>
      </c>
      <c r="H162" s="1">
        <v>12701938.782599973</v>
      </c>
      <c r="I162" s="1">
        <v>4308.5339999999997</v>
      </c>
      <c r="J162" s="2">
        <v>140256</v>
      </c>
      <c r="K162" s="2">
        <v>50</v>
      </c>
      <c r="L162" s="2">
        <v>129596.54400000158</v>
      </c>
      <c r="M162" s="2">
        <v>46.2</v>
      </c>
      <c r="N162" s="1">
        <v>1331786.2197999842</v>
      </c>
      <c r="O162" s="1">
        <v>289.89810000000034</v>
      </c>
      <c r="P162" s="4">
        <v>0.10484905041617433</v>
      </c>
      <c r="Q162" s="4">
        <v>6.7284626278915377E-2</v>
      </c>
      <c r="R162" s="2">
        <v>20813.384300000002</v>
      </c>
      <c r="S162" s="2"/>
      <c r="T162" s="2">
        <v>253</v>
      </c>
      <c r="U162" s="2"/>
    </row>
    <row r="163" spans="1:21" x14ac:dyDescent="0.25">
      <c r="A163" t="s">
        <v>26</v>
      </c>
      <c r="B163" t="s">
        <v>32</v>
      </c>
      <c r="C163" t="s">
        <v>33</v>
      </c>
      <c r="D163" t="s">
        <v>34</v>
      </c>
      <c r="E163" t="s">
        <v>203</v>
      </c>
      <c r="F163" t="s">
        <v>326</v>
      </c>
      <c r="G163" t="s">
        <v>327</v>
      </c>
      <c r="H163" s="1">
        <v>1575213.4258000008</v>
      </c>
      <c r="I163" s="1">
        <v>1562741.3331999998</v>
      </c>
      <c r="J163" s="2">
        <v>21805</v>
      </c>
      <c r="K163" s="2">
        <v>21560</v>
      </c>
      <c r="L163" s="2">
        <v>19624.5</v>
      </c>
      <c r="M163" s="2">
        <v>19404.000000000004</v>
      </c>
      <c r="N163" s="1">
        <v>252767.79330000072</v>
      </c>
      <c r="O163" s="1">
        <v>255135.34799999907</v>
      </c>
      <c r="P163" s="4">
        <v>0.16046574334625668</v>
      </c>
      <c r="Q163" s="4">
        <v>0.16326140646549775</v>
      </c>
      <c r="R163" s="2">
        <v>64014.905100000018</v>
      </c>
      <c r="S163" s="2">
        <v>41845.351700000014</v>
      </c>
      <c r="T163" s="2">
        <v>1061</v>
      </c>
      <c r="U163" s="2">
        <v>690</v>
      </c>
    </row>
    <row r="164" spans="1:21" x14ac:dyDescent="0.25">
      <c r="A164" t="s">
        <v>26</v>
      </c>
      <c r="B164" t="s">
        <v>32</v>
      </c>
      <c r="C164" t="s">
        <v>33</v>
      </c>
      <c r="D164" t="s">
        <v>34</v>
      </c>
      <c r="E164" t="s">
        <v>203</v>
      </c>
      <c r="F164" t="s">
        <v>328</v>
      </c>
      <c r="G164" t="s">
        <v>329</v>
      </c>
      <c r="H164" s="1">
        <v>2304997.6870999997</v>
      </c>
      <c r="I164" s="1">
        <v>1829502.0463000003</v>
      </c>
      <c r="J164" s="2">
        <v>40105</v>
      </c>
      <c r="K164" s="2">
        <v>28288</v>
      </c>
      <c r="L164" s="2">
        <v>36094.499999999993</v>
      </c>
      <c r="M164" s="2">
        <v>26222.976000000013</v>
      </c>
      <c r="N164" s="1">
        <v>299667.23999999976</v>
      </c>
      <c r="O164" s="1">
        <v>195704.31700000004</v>
      </c>
      <c r="P164" s="4">
        <v>0.13000760984581372</v>
      </c>
      <c r="Q164" s="4">
        <v>0.10697135725854695</v>
      </c>
      <c r="R164" s="2">
        <v>41732.098800000007</v>
      </c>
      <c r="S164" s="2">
        <v>98526.793200000029</v>
      </c>
      <c r="T164" s="2">
        <v>835</v>
      </c>
      <c r="U164" s="2">
        <v>1706</v>
      </c>
    </row>
    <row r="165" spans="1:21" x14ac:dyDescent="0.25">
      <c r="A165" t="s">
        <v>26</v>
      </c>
      <c r="B165" t="s">
        <v>32</v>
      </c>
      <c r="C165" t="s">
        <v>33</v>
      </c>
      <c r="D165" t="s">
        <v>34</v>
      </c>
      <c r="E165" t="s">
        <v>203</v>
      </c>
      <c r="F165" t="s">
        <v>330</v>
      </c>
      <c r="G165" t="s">
        <v>331</v>
      </c>
      <c r="H165" s="1"/>
      <c r="I165" s="1">
        <v>18000.8249</v>
      </c>
      <c r="J165" s="2"/>
      <c r="K165" s="2">
        <v>133</v>
      </c>
      <c r="L165" s="2"/>
      <c r="M165" s="2">
        <v>199.5</v>
      </c>
      <c r="N165" s="1"/>
      <c r="O165" s="1">
        <v>2494.2348000000002</v>
      </c>
      <c r="P165" s="4"/>
      <c r="Q165" s="4">
        <v>0.13856224999999861</v>
      </c>
      <c r="R165" s="2"/>
      <c r="S165" s="2"/>
      <c r="T165" s="2"/>
      <c r="U165" s="2"/>
    </row>
    <row r="166" spans="1:21" x14ac:dyDescent="0.25">
      <c r="A166" t="s">
        <v>26</v>
      </c>
      <c r="B166" t="s">
        <v>32</v>
      </c>
      <c r="C166" t="s">
        <v>33</v>
      </c>
      <c r="D166" t="s">
        <v>34</v>
      </c>
      <c r="E166" t="s">
        <v>203</v>
      </c>
      <c r="F166" t="s">
        <v>332</v>
      </c>
      <c r="G166" t="s">
        <v>333</v>
      </c>
      <c r="H166" s="1">
        <v>188709.34369999997</v>
      </c>
      <c r="I166" s="1">
        <v>404500.06400000001</v>
      </c>
      <c r="J166" s="2">
        <v>2639</v>
      </c>
      <c r="K166" s="2">
        <v>5643</v>
      </c>
      <c r="L166" s="2">
        <v>2111.1999999999998</v>
      </c>
      <c r="M166" s="2">
        <v>4514.4000000000005</v>
      </c>
      <c r="N166" s="1">
        <v>24266.413899999985</v>
      </c>
      <c r="O166" s="1">
        <v>52889.886300000013</v>
      </c>
      <c r="P166" s="4">
        <v>0.12859148054999031</v>
      </c>
      <c r="Q166" s="4">
        <v>0.13075371552969645</v>
      </c>
      <c r="R166" s="2">
        <v>558.39929999999993</v>
      </c>
      <c r="S166" s="2">
        <v>373.85429999999997</v>
      </c>
      <c r="T166" s="2">
        <v>9</v>
      </c>
      <c r="U166" s="2">
        <v>6</v>
      </c>
    </row>
    <row r="167" spans="1:21" x14ac:dyDescent="0.25">
      <c r="A167" t="s">
        <v>26</v>
      </c>
      <c r="B167" t="s">
        <v>32</v>
      </c>
      <c r="C167" t="s">
        <v>33</v>
      </c>
      <c r="D167" t="s">
        <v>34</v>
      </c>
      <c r="E167" t="s">
        <v>203</v>
      </c>
      <c r="F167" t="s">
        <v>334</v>
      </c>
      <c r="G167" t="s">
        <v>335</v>
      </c>
      <c r="H167" s="1">
        <v>987001.78530000011</v>
      </c>
      <c r="I167" s="1">
        <v>1820226.1263000001</v>
      </c>
      <c r="J167" s="2">
        <v>14714</v>
      </c>
      <c r="K167" s="2">
        <v>26766</v>
      </c>
      <c r="L167" s="2">
        <v>13639.877999999999</v>
      </c>
      <c r="M167" s="2">
        <v>24812.081999999995</v>
      </c>
      <c r="N167" s="1">
        <v>118875.78530000011</v>
      </c>
      <c r="O167" s="1">
        <v>240984.2174000002</v>
      </c>
      <c r="P167" s="4">
        <v>0.12044130727065271</v>
      </c>
      <c r="Q167" s="4">
        <v>0.13239246152886086</v>
      </c>
      <c r="R167" s="2">
        <v>3531.4537999999998</v>
      </c>
      <c r="S167" s="2">
        <v>3658</v>
      </c>
      <c r="T167" s="2">
        <v>61</v>
      </c>
      <c r="U167" s="2">
        <v>62</v>
      </c>
    </row>
    <row r="168" spans="1:21" x14ac:dyDescent="0.25">
      <c r="A168" t="s">
        <v>26</v>
      </c>
      <c r="B168" t="s">
        <v>32</v>
      </c>
      <c r="C168" t="s">
        <v>33</v>
      </c>
      <c r="D168" t="s">
        <v>34</v>
      </c>
      <c r="E168" t="s">
        <v>203</v>
      </c>
      <c r="F168" t="s">
        <v>336</v>
      </c>
      <c r="G168" t="s">
        <v>337</v>
      </c>
      <c r="H168" s="1"/>
      <c r="I168" s="1">
        <v>51844.243400000007</v>
      </c>
      <c r="J168" s="2"/>
      <c r="K168" s="2">
        <v>729</v>
      </c>
      <c r="L168" s="2"/>
      <c r="M168" s="2">
        <v>583.20000000000005</v>
      </c>
      <c r="N168" s="1"/>
      <c r="O168" s="1">
        <v>12166.769400000027</v>
      </c>
      <c r="P168" s="4"/>
      <c r="Q168" s="4">
        <v>0.23467927395773366</v>
      </c>
      <c r="R168" s="2"/>
      <c r="S168" s="2">
        <v>2666.9354999999996</v>
      </c>
      <c r="T168" s="2"/>
      <c r="U168" s="2">
        <v>49</v>
      </c>
    </row>
    <row r="169" spans="1:21" x14ac:dyDescent="0.25">
      <c r="A169" t="s">
        <v>26</v>
      </c>
      <c r="B169" t="s">
        <v>32</v>
      </c>
      <c r="C169" t="s">
        <v>33</v>
      </c>
      <c r="D169" t="s">
        <v>34</v>
      </c>
      <c r="E169" t="s">
        <v>203</v>
      </c>
      <c r="F169" t="s">
        <v>338</v>
      </c>
      <c r="G169" t="s">
        <v>339</v>
      </c>
      <c r="H169" s="1">
        <v>57336.982400000008</v>
      </c>
      <c r="I169" s="1">
        <v>537079.70629999996</v>
      </c>
      <c r="J169" s="2">
        <v>752</v>
      </c>
      <c r="K169" s="2">
        <v>6790</v>
      </c>
      <c r="L169" s="2">
        <v>676.80000000000007</v>
      </c>
      <c r="M169" s="2">
        <v>6110.9999999999991</v>
      </c>
      <c r="N169" s="1">
        <v>7021.3573000000179</v>
      </c>
      <c r="O169" s="1">
        <v>42831.357600000279</v>
      </c>
      <c r="P169" s="4">
        <v>0.1224577402943343</v>
      </c>
      <c r="Q169" s="4">
        <v>7.9748605463181854E-2</v>
      </c>
      <c r="R169" s="2">
        <v>66.909000000000006</v>
      </c>
      <c r="S169" s="2">
        <v>1596.7175999999997</v>
      </c>
      <c r="T169" s="2">
        <v>1</v>
      </c>
      <c r="U169" s="2">
        <v>22</v>
      </c>
    </row>
    <row r="170" spans="1:21" x14ac:dyDescent="0.25">
      <c r="A170" t="s">
        <v>26</v>
      </c>
      <c r="B170" t="s">
        <v>32</v>
      </c>
      <c r="C170" t="s">
        <v>33</v>
      </c>
      <c r="D170" t="s">
        <v>34</v>
      </c>
      <c r="E170" t="s">
        <v>203</v>
      </c>
      <c r="F170" t="s">
        <v>340</v>
      </c>
      <c r="G170" t="s">
        <v>341</v>
      </c>
      <c r="H170" s="1">
        <v>390471.549</v>
      </c>
      <c r="I170" s="1">
        <v>44227.874199999998</v>
      </c>
      <c r="J170" s="2">
        <v>5215</v>
      </c>
      <c r="K170" s="2">
        <v>558</v>
      </c>
      <c r="L170" s="2">
        <v>4693.4999999999982</v>
      </c>
      <c r="M170" s="2">
        <v>502.19999999999987</v>
      </c>
      <c r="N170" s="1">
        <v>43342.22929999989</v>
      </c>
      <c r="O170" s="1">
        <v>7085.3701999999976</v>
      </c>
      <c r="P170" s="4">
        <v>0.11099971153083908</v>
      </c>
      <c r="Q170" s="4">
        <v>0.16020146408031516</v>
      </c>
      <c r="R170" s="2">
        <v>14510.868600000003</v>
      </c>
      <c r="S170" s="2">
        <v>4859.1440000000002</v>
      </c>
      <c r="T170" s="2">
        <v>218</v>
      </c>
      <c r="U170" s="2">
        <v>73</v>
      </c>
    </row>
    <row r="171" spans="1:21" x14ac:dyDescent="0.25">
      <c r="A171" t="s">
        <v>26</v>
      </c>
      <c r="B171" t="s">
        <v>32</v>
      </c>
      <c r="C171" t="s">
        <v>33</v>
      </c>
      <c r="D171" t="s">
        <v>34</v>
      </c>
      <c r="E171" t="s">
        <v>203</v>
      </c>
      <c r="F171" t="s">
        <v>342</v>
      </c>
      <c r="G171" t="s">
        <v>343</v>
      </c>
      <c r="H171" s="1">
        <v>777658.73190000025</v>
      </c>
      <c r="I171" s="1">
        <v>735913.09600000002</v>
      </c>
      <c r="J171" s="2">
        <v>6746</v>
      </c>
      <c r="K171" s="2">
        <v>6406</v>
      </c>
      <c r="L171" s="2">
        <v>6071.4000000000015</v>
      </c>
      <c r="M171" s="2">
        <v>5765.3999999999978</v>
      </c>
      <c r="N171" s="1">
        <v>104392.36830000044</v>
      </c>
      <c r="O171" s="1">
        <v>94102.971599999815</v>
      </c>
      <c r="P171" s="4">
        <v>0.13423930577484255</v>
      </c>
      <c r="Q171" s="4">
        <v>0.12787239704183739</v>
      </c>
      <c r="R171" s="2">
        <v>6087.800000000002</v>
      </c>
      <c r="S171" s="2">
        <v>7368.6449000000011</v>
      </c>
      <c r="T171" s="2">
        <v>61</v>
      </c>
      <c r="U171" s="2">
        <v>71</v>
      </c>
    </row>
    <row r="172" spans="1:21" x14ac:dyDescent="0.25">
      <c r="A172" t="s">
        <v>26</v>
      </c>
      <c r="B172" t="s">
        <v>32</v>
      </c>
      <c r="C172" t="s">
        <v>33</v>
      </c>
      <c r="D172" t="s">
        <v>34</v>
      </c>
      <c r="E172" t="s">
        <v>203</v>
      </c>
      <c r="F172" t="s">
        <v>344</v>
      </c>
      <c r="G172" t="s">
        <v>345</v>
      </c>
      <c r="H172" s="1">
        <v>263160.68189999997</v>
      </c>
      <c r="I172" s="1">
        <v>273074.39789999998</v>
      </c>
      <c r="J172" s="2">
        <v>5209</v>
      </c>
      <c r="K172" s="2">
        <v>4869</v>
      </c>
      <c r="L172" s="2">
        <v>4688.1000000000004</v>
      </c>
      <c r="M172" s="2">
        <v>4382.0999999999995</v>
      </c>
      <c r="N172" s="1">
        <v>34235.207199999946</v>
      </c>
      <c r="O172" s="1">
        <v>39832.552499999932</v>
      </c>
      <c r="P172" s="4">
        <v>0.13009240952267023</v>
      </c>
      <c r="Q172" s="4">
        <v>0.14586703406222154</v>
      </c>
      <c r="R172" s="2">
        <v>4570.3252999999995</v>
      </c>
      <c r="S172" s="2">
        <v>10921.199999999999</v>
      </c>
      <c r="T172" s="2">
        <v>104</v>
      </c>
      <c r="U172" s="2">
        <v>228</v>
      </c>
    </row>
    <row r="173" spans="1:21" x14ac:dyDescent="0.25">
      <c r="A173" t="s">
        <v>26</v>
      </c>
      <c r="B173" t="s">
        <v>32</v>
      </c>
      <c r="C173" t="s">
        <v>33</v>
      </c>
      <c r="D173" t="s">
        <v>34</v>
      </c>
      <c r="E173" t="s">
        <v>203</v>
      </c>
      <c r="F173" t="s">
        <v>346</v>
      </c>
      <c r="G173" t="s">
        <v>347</v>
      </c>
      <c r="H173" s="1"/>
      <c r="I173" s="1">
        <v>122304.85209999996</v>
      </c>
      <c r="J173" s="2"/>
      <c r="K173" s="2">
        <v>1898</v>
      </c>
      <c r="L173" s="2"/>
      <c r="M173" s="2">
        <v>1708.2</v>
      </c>
      <c r="N173" s="1"/>
      <c r="O173" s="1">
        <v>5681.3985999999568</v>
      </c>
      <c r="P173" s="4"/>
      <c r="Q173" s="4">
        <v>4.6452765384603731E-2</v>
      </c>
      <c r="R173" s="2"/>
      <c r="S173" s="2">
        <v>983.1268</v>
      </c>
      <c r="T173" s="2"/>
      <c r="U173" s="2">
        <v>16</v>
      </c>
    </row>
    <row r="174" spans="1:21" x14ac:dyDescent="0.25">
      <c r="A174" t="s">
        <v>26</v>
      </c>
      <c r="B174" t="s">
        <v>32</v>
      </c>
      <c r="C174" t="s">
        <v>33</v>
      </c>
      <c r="D174" t="s">
        <v>34</v>
      </c>
      <c r="E174" t="s">
        <v>203</v>
      </c>
      <c r="F174" t="s">
        <v>348</v>
      </c>
      <c r="G174" t="s">
        <v>349</v>
      </c>
      <c r="H174" s="1">
        <v>20311639.668699946</v>
      </c>
      <c r="I174" s="1">
        <v>29568079.849099949</v>
      </c>
      <c r="J174" s="2">
        <v>153384</v>
      </c>
      <c r="K174" s="2">
        <v>206937</v>
      </c>
      <c r="L174" s="2">
        <v>260752.8</v>
      </c>
      <c r="M174" s="2">
        <v>362139.75</v>
      </c>
      <c r="N174" s="1">
        <v>1742421.3527000211</v>
      </c>
      <c r="O174" s="1">
        <v>2269751.5272999965</v>
      </c>
      <c r="P174" s="4">
        <v>8.5784376895237907E-2</v>
      </c>
      <c r="Q174" s="4">
        <v>7.6763575412526763E-2</v>
      </c>
      <c r="R174" s="2">
        <v>81583.614999999991</v>
      </c>
      <c r="S174" s="2">
        <v>44869.406099999993</v>
      </c>
      <c r="T174" s="2">
        <v>673</v>
      </c>
      <c r="U174" s="2">
        <v>340</v>
      </c>
    </row>
    <row r="175" spans="1:21" x14ac:dyDescent="0.25">
      <c r="A175" t="s">
        <v>26</v>
      </c>
      <c r="B175" t="s">
        <v>32</v>
      </c>
      <c r="C175" t="s">
        <v>33</v>
      </c>
      <c r="D175" t="s">
        <v>34</v>
      </c>
      <c r="E175" t="s">
        <v>203</v>
      </c>
      <c r="F175" t="s">
        <v>350</v>
      </c>
      <c r="G175" t="s">
        <v>351</v>
      </c>
      <c r="H175" s="1">
        <v>336035.27269999986</v>
      </c>
      <c r="I175" s="1">
        <v>775376.30420000013</v>
      </c>
      <c r="J175" s="2">
        <v>3755</v>
      </c>
      <c r="K175" s="2">
        <v>8694</v>
      </c>
      <c r="L175" s="2">
        <v>3469.62</v>
      </c>
      <c r="M175" s="2">
        <v>8033.2559999999958</v>
      </c>
      <c r="N175" s="1">
        <v>60180.599199999997</v>
      </c>
      <c r="O175" s="1">
        <v>136711.42729999998</v>
      </c>
      <c r="P175" s="4">
        <v>0.17909012561823254</v>
      </c>
      <c r="Q175" s="4">
        <v>0.17631623066048291</v>
      </c>
      <c r="R175" s="2">
        <v>661.09059999999999</v>
      </c>
      <c r="S175" s="2">
        <v>4554.1804999999986</v>
      </c>
      <c r="T175" s="2">
        <v>9</v>
      </c>
      <c r="U175" s="2">
        <v>62</v>
      </c>
    </row>
    <row r="176" spans="1:21" x14ac:dyDescent="0.25">
      <c r="A176" t="s">
        <v>26</v>
      </c>
      <c r="B176" t="s">
        <v>32</v>
      </c>
      <c r="C176" t="s">
        <v>33</v>
      </c>
      <c r="D176" t="s">
        <v>34</v>
      </c>
      <c r="E176" t="s">
        <v>203</v>
      </c>
      <c r="F176" t="s">
        <v>352</v>
      </c>
      <c r="G176" t="s">
        <v>353</v>
      </c>
      <c r="H176" s="1">
        <v>139116.46819999997</v>
      </c>
      <c r="I176" s="1"/>
      <c r="J176" s="2">
        <v>1596</v>
      </c>
      <c r="K176" s="2"/>
      <c r="L176" s="2">
        <v>1524.1800000000007</v>
      </c>
      <c r="M176" s="2"/>
      <c r="N176" s="1">
        <v>18334.651500000007</v>
      </c>
      <c r="O176" s="1"/>
      <c r="P176" s="4">
        <v>0.13179353772582336</v>
      </c>
      <c r="Q176" s="4"/>
      <c r="R176" s="2">
        <v>443.40899999999999</v>
      </c>
      <c r="S176" s="2"/>
      <c r="T176" s="2">
        <v>6</v>
      </c>
      <c r="U176" s="2"/>
    </row>
    <row r="177" spans="1:21" x14ac:dyDescent="0.25">
      <c r="A177" t="s">
        <v>26</v>
      </c>
      <c r="B177" t="s">
        <v>32</v>
      </c>
      <c r="C177" t="s">
        <v>33</v>
      </c>
      <c r="D177" t="s">
        <v>34</v>
      </c>
      <c r="E177" t="s">
        <v>203</v>
      </c>
      <c r="F177" t="s">
        <v>354</v>
      </c>
      <c r="G177" t="s">
        <v>355</v>
      </c>
      <c r="H177" s="1"/>
      <c r="I177" s="1">
        <v>11147067.409999993</v>
      </c>
      <c r="J177" s="2"/>
      <c r="K177" s="2">
        <v>192000</v>
      </c>
      <c r="L177" s="2"/>
      <c r="M177" s="2">
        <v>172800.00000000006</v>
      </c>
      <c r="N177" s="1"/>
      <c r="O177" s="1">
        <v>2219725.28320002</v>
      </c>
      <c r="P177" s="4"/>
      <c r="Q177" s="4">
        <v>0.19913087465576038</v>
      </c>
      <c r="R177" s="2"/>
      <c r="S177" s="2">
        <v>209138.42559999996</v>
      </c>
      <c r="T177" s="2"/>
      <c r="U177" s="2">
        <v>4020</v>
      </c>
    </row>
    <row r="178" spans="1:21" x14ac:dyDescent="0.25">
      <c r="A178" t="s">
        <v>26</v>
      </c>
      <c r="B178" t="s">
        <v>32</v>
      </c>
      <c r="C178" t="s">
        <v>33</v>
      </c>
      <c r="D178" t="s">
        <v>34</v>
      </c>
      <c r="E178" t="s">
        <v>356</v>
      </c>
      <c r="H178" s="1">
        <v>217648301.03240043</v>
      </c>
      <c r="I178" s="1">
        <v>209685750.34170043</v>
      </c>
      <c r="J178" s="2">
        <v>2713035</v>
      </c>
      <c r="K178" s="2">
        <v>2421265</v>
      </c>
      <c r="L178" s="2">
        <v>2759432.2539999974</v>
      </c>
      <c r="M178" s="2">
        <v>2615079.6411000029</v>
      </c>
      <c r="N178" s="1">
        <v>21840735.138898671</v>
      </c>
      <c r="O178" s="1">
        <v>22458386.99769932</v>
      </c>
      <c r="P178" s="4">
        <v>0.10034875087606281</v>
      </c>
      <c r="Q178" s="4">
        <v>0.10710497475914078</v>
      </c>
      <c r="R178" s="2">
        <v>946095.97459999996</v>
      </c>
      <c r="S178" s="2">
        <v>1255890.0471000005</v>
      </c>
      <c r="T178" s="2">
        <v>14338</v>
      </c>
      <c r="U178" s="2">
        <v>19498</v>
      </c>
    </row>
    <row r="179" spans="1:21" x14ac:dyDescent="0.25">
      <c r="A179" t="s">
        <v>26</v>
      </c>
      <c r="B179" t="s">
        <v>32</v>
      </c>
      <c r="C179" t="s">
        <v>33</v>
      </c>
      <c r="D179" t="s">
        <v>34</v>
      </c>
      <c r="E179" t="s">
        <v>357</v>
      </c>
      <c r="F179" t="s">
        <v>358</v>
      </c>
      <c r="G179" t="s">
        <v>359</v>
      </c>
      <c r="H179" s="1">
        <v>2434462.1854999997</v>
      </c>
      <c r="I179" s="1">
        <v>2595941.5766000012</v>
      </c>
      <c r="J179" s="2">
        <v>37867</v>
      </c>
      <c r="K179" s="2">
        <v>41569</v>
      </c>
      <c r="L179" s="2">
        <v>29157.589999999967</v>
      </c>
      <c r="M179" s="2">
        <v>32008.129999999972</v>
      </c>
      <c r="N179" s="1">
        <v>369933.598</v>
      </c>
      <c r="O179" s="1">
        <v>467366.15310000069</v>
      </c>
      <c r="P179" s="4">
        <v>0.15195701136923659</v>
      </c>
      <c r="Q179" s="4">
        <v>0.18003723863159013</v>
      </c>
      <c r="R179" s="2">
        <v>29299.799499999997</v>
      </c>
      <c r="S179" s="2">
        <v>26009.768000000004</v>
      </c>
      <c r="T179" s="2">
        <v>546</v>
      </c>
      <c r="U179" s="2">
        <v>497</v>
      </c>
    </row>
    <row r="180" spans="1:21" x14ac:dyDescent="0.25">
      <c r="A180" t="s">
        <v>26</v>
      </c>
      <c r="B180" t="s">
        <v>32</v>
      </c>
      <c r="C180" t="s">
        <v>33</v>
      </c>
      <c r="D180" t="s">
        <v>34</v>
      </c>
      <c r="E180" t="s">
        <v>357</v>
      </c>
      <c r="F180" t="s">
        <v>360</v>
      </c>
      <c r="G180" t="s">
        <v>361</v>
      </c>
      <c r="H180" s="1">
        <v>551642.16429999995</v>
      </c>
      <c r="I180" s="1">
        <v>582280.7672</v>
      </c>
      <c r="J180" s="2">
        <v>6014</v>
      </c>
      <c r="K180" s="2">
        <v>6067</v>
      </c>
      <c r="L180" s="2">
        <v>5562.949999999998</v>
      </c>
      <c r="M180" s="2">
        <v>5611.9749999999995</v>
      </c>
      <c r="N180" s="1">
        <v>49356.583000000333</v>
      </c>
      <c r="O180" s="1">
        <v>35260.352700000047</v>
      </c>
      <c r="P180" s="4">
        <v>8.9472100202185961E-2</v>
      </c>
      <c r="Q180" s="4">
        <v>6.0555585357139112E-2</v>
      </c>
      <c r="R180" s="2">
        <v>83.518100000000004</v>
      </c>
      <c r="S180" s="2">
        <v>1471.4908</v>
      </c>
      <c r="T180" s="2">
        <v>1</v>
      </c>
      <c r="U180" s="2">
        <v>16</v>
      </c>
    </row>
    <row r="181" spans="1:21" x14ac:dyDescent="0.25">
      <c r="A181" t="s">
        <v>26</v>
      </c>
      <c r="B181" t="s">
        <v>32</v>
      </c>
      <c r="C181" t="s">
        <v>33</v>
      </c>
      <c r="D181" t="s">
        <v>34</v>
      </c>
      <c r="E181" t="s">
        <v>357</v>
      </c>
      <c r="F181" t="s">
        <v>362</v>
      </c>
      <c r="G181" t="s">
        <v>363</v>
      </c>
      <c r="H181" s="1">
        <v>248132.75359999988</v>
      </c>
      <c r="I181" s="1"/>
      <c r="J181" s="2">
        <v>2940</v>
      </c>
      <c r="K181" s="2"/>
      <c r="L181" s="2">
        <v>2454.8999999999992</v>
      </c>
      <c r="M181" s="2"/>
      <c r="N181" s="1">
        <v>29253.152499999967</v>
      </c>
      <c r="O181" s="1"/>
      <c r="P181" s="4">
        <v>0.11789315225654265</v>
      </c>
      <c r="Q181" s="4"/>
      <c r="R181" s="2">
        <v>1563.3538999999998</v>
      </c>
      <c r="S181" s="2"/>
      <c r="T181" s="2">
        <v>21</v>
      </c>
      <c r="U181" s="2"/>
    </row>
    <row r="182" spans="1:21" x14ac:dyDescent="0.25">
      <c r="A182" t="s">
        <v>26</v>
      </c>
      <c r="B182" t="s">
        <v>32</v>
      </c>
      <c r="C182" t="s">
        <v>33</v>
      </c>
      <c r="D182" t="s">
        <v>34</v>
      </c>
      <c r="E182" t="s">
        <v>357</v>
      </c>
      <c r="F182" t="s">
        <v>364</v>
      </c>
      <c r="G182" t="s">
        <v>365</v>
      </c>
      <c r="H182" s="1">
        <v>565959.26570000011</v>
      </c>
      <c r="I182" s="1">
        <v>93975.138200000016</v>
      </c>
      <c r="J182" s="2">
        <v>6238</v>
      </c>
      <c r="K182" s="2">
        <v>1147</v>
      </c>
      <c r="L182" s="2">
        <v>5614.1999999999989</v>
      </c>
      <c r="M182" s="2">
        <v>1032.2999999999995</v>
      </c>
      <c r="N182" s="1">
        <v>74901.329800000298</v>
      </c>
      <c r="O182" s="1">
        <v>3612.4021000000648</v>
      </c>
      <c r="P182" s="4">
        <v>0.1323440295784529</v>
      </c>
      <c r="Q182" s="4">
        <v>3.8439976457518676E-2</v>
      </c>
      <c r="R182" s="2">
        <v>10101.3622</v>
      </c>
      <c r="S182" s="2">
        <v>2442.2359000000001</v>
      </c>
      <c r="T182" s="2">
        <v>129</v>
      </c>
      <c r="U182" s="2">
        <v>31</v>
      </c>
    </row>
    <row r="183" spans="1:21" x14ac:dyDescent="0.25">
      <c r="A183" t="s">
        <v>26</v>
      </c>
      <c r="B183" t="s">
        <v>32</v>
      </c>
      <c r="C183" t="s">
        <v>33</v>
      </c>
      <c r="D183" t="s">
        <v>34</v>
      </c>
      <c r="E183" t="s">
        <v>357</v>
      </c>
      <c r="F183" t="s">
        <v>366</v>
      </c>
      <c r="G183" t="s">
        <v>367</v>
      </c>
      <c r="H183" s="1">
        <v>2579833.8973000022</v>
      </c>
      <c r="I183" s="1">
        <v>3102526.1924000005</v>
      </c>
      <c r="J183" s="2">
        <v>27433</v>
      </c>
      <c r="K183" s="2">
        <v>35522</v>
      </c>
      <c r="L183" s="2">
        <v>24689.700000000008</v>
      </c>
      <c r="M183" s="2">
        <v>31969.800000000014</v>
      </c>
      <c r="N183" s="1">
        <v>294322.17670000205</v>
      </c>
      <c r="O183" s="1">
        <v>163807.93929999974</v>
      </c>
      <c r="P183" s="4">
        <v>0.11408570800160169</v>
      </c>
      <c r="Q183" s="4">
        <v>5.2798245410874009E-2</v>
      </c>
      <c r="R183" s="2">
        <v>3190.0807000000009</v>
      </c>
      <c r="S183" s="2">
        <v>2979.2725999999984</v>
      </c>
      <c r="T183" s="2">
        <v>36</v>
      </c>
      <c r="U183" s="2">
        <v>36</v>
      </c>
    </row>
    <row r="184" spans="1:21" x14ac:dyDescent="0.25">
      <c r="A184" t="s">
        <v>26</v>
      </c>
      <c r="B184" t="s">
        <v>32</v>
      </c>
      <c r="C184" t="s">
        <v>33</v>
      </c>
      <c r="D184" t="s">
        <v>34</v>
      </c>
      <c r="E184" t="s">
        <v>357</v>
      </c>
      <c r="F184" t="s">
        <v>368</v>
      </c>
      <c r="G184" t="s">
        <v>369</v>
      </c>
      <c r="H184" s="1">
        <v>1024777.4839000006</v>
      </c>
      <c r="I184" s="1">
        <v>1394524.1927000005</v>
      </c>
      <c r="J184" s="2">
        <v>11764</v>
      </c>
      <c r="K184" s="2">
        <v>15367</v>
      </c>
      <c r="L184" s="2">
        <v>10940.519999999997</v>
      </c>
      <c r="M184" s="2">
        <v>14291.309999999998</v>
      </c>
      <c r="N184" s="1">
        <v>97774.283900000039</v>
      </c>
      <c r="O184" s="1">
        <v>176197.28380000009</v>
      </c>
      <c r="P184" s="4">
        <v>9.5410257774107207E-2</v>
      </c>
      <c r="Q184" s="4">
        <v>0.12634939194483005</v>
      </c>
      <c r="R184" s="2">
        <v>1103.1999999999998</v>
      </c>
      <c r="S184" s="2">
        <v>1434.7905999999998</v>
      </c>
      <c r="T184" s="2">
        <v>14</v>
      </c>
      <c r="U184" s="2">
        <v>18</v>
      </c>
    </row>
    <row r="185" spans="1:21" x14ac:dyDescent="0.25">
      <c r="A185" t="s">
        <v>26</v>
      </c>
      <c r="B185" t="s">
        <v>32</v>
      </c>
      <c r="C185" t="s">
        <v>33</v>
      </c>
      <c r="D185" t="s">
        <v>34</v>
      </c>
      <c r="E185" t="s">
        <v>357</v>
      </c>
      <c r="F185" t="s">
        <v>370</v>
      </c>
      <c r="G185" t="s">
        <v>371</v>
      </c>
      <c r="H185" s="1"/>
      <c r="I185" s="1"/>
      <c r="J185" s="2"/>
      <c r="K185" s="2"/>
      <c r="L185" s="2"/>
      <c r="M185" s="2"/>
      <c r="N185" s="1"/>
      <c r="O185" s="1"/>
      <c r="P185" s="4"/>
      <c r="Q185" s="4"/>
      <c r="R185" s="2">
        <v>368.29079999999999</v>
      </c>
      <c r="S185" s="2"/>
      <c r="T185" s="2">
        <v>4</v>
      </c>
      <c r="U185" s="2"/>
    </row>
    <row r="186" spans="1:21" x14ac:dyDescent="0.25">
      <c r="A186" t="s">
        <v>26</v>
      </c>
      <c r="B186" t="s">
        <v>32</v>
      </c>
      <c r="C186" t="s">
        <v>33</v>
      </c>
      <c r="D186" t="s">
        <v>34</v>
      </c>
      <c r="E186" t="s">
        <v>357</v>
      </c>
      <c r="F186" t="s">
        <v>372</v>
      </c>
      <c r="G186" t="s">
        <v>373</v>
      </c>
      <c r="H186" s="1"/>
      <c r="I186" s="1">
        <v>1458800.6079999995</v>
      </c>
      <c r="J186" s="2"/>
      <c r="K186" s="2">
        <v>11032</v>
      </c>
      <c r="L186" s="2"/>
      <c r="M186" s="2">
        <v>14893.199999999997</v>
      </c>
      <c r="N186" s="1"/>
      <c r="O186" s="1">
        <v>219185.67599999905</v>
      </c>
      <c r="P186" s="4"/>
      <c r="Q186" s="4">
        <v>0.15025060642146312</v>
      </c>
      <c r="R186" s="2"/>
      <c r="S186" s="2">
        <v>1235.9995999999999</v>
      </c>
      <c r="T186" s="2"/>
      <c r="U186" s="2">
        <v>11</v>
      </c>
    </row>
    <row r="187" spans="1:21" x14ac:dyDescent="0.25">
      <c r="A187" t="s">
        <v>26</v>
      </c>
      <c r="B187" t="s">
        <v>32</v>
      </c>
      <c r="C187" t="s">
        <v>33</v>
      </c>
      <c r="D187" t="s">
        <v>34</v>
      </c>
      <c r="E187" t="s">
        <v>357</v>
      </c>
      <c r="F187" t="s">
        <v>374</v>
      </c>
      <c r="G187" t="s">
        <v>375</v>
      </c>
      <c r="H187" s="1"/>
      <c r="I187" s="1"/>
      <c r="J187" s="2"/>
      <c r="K187" s="2"/>
      <c r="L187" s="2"/>
      <c r="M187" s="2"/>
      <c r="N187" s="1"/>
      <c r="O187" s="1"/>
      <c r="P187" s="4"/>
      <c r="Q187" s="4"/>
      <c r="R187" s="2">
        <v>4114.5995000000003</v>
      </c>
      <c r="S187" s="2"/>
      <c r="T187" s="2">
        <v>32</v>
      </c>
      <c r="U187" s="2"/>
    </row>
    <row r="188" spans="1:21" x14ac:dyDescent="0.25">
      <c r="A188" t="s">
        <v>26</v>
      </c>
      <c r="B188" t="s">
        <v>32</v>
      </c>
      <c r="C188" t="s">
        <v>33</v>
      </c>
      <c r="D188" t="s">
        <v>34</v>
      </c>
      <c r="E188" t="s">
        <v>357</v>
      </c>
      <c r="F188" t="s">
        <v>376</v>
      </c>
      <c r="G188" t="s">
        <v>377</v>
      </c>
      <c r="H188" s="1">
        <v>414795.90640000004</v>
      </c>
      <c r="I188" s="1">
        <v>624857.39430000004</v>
      </c>
      <c r="J188" s="2">
        <v>4799</v>
      </c>
      <c r="K188" s="2">
        <v>7239</v>
      </c>
      <c r="L188" s="2">
        <v>4319.1000000000004</v>
      </c>
      <c r="M188" s="2">
        <v>6515.0999999999985</v>
      </c>
      <c r="N188" s="1">
        <v>50278.204500000051</v>
      </c>
      <c r="O188" s="1">
        <v>75011.300300000235</v>
      </c>
      <c r="P188" s="4">
        <v>0.12121191102478066</v>
      </c>
      <c r="Q188" s="4">
        <v>0.12004547114951254</v>
      </c>
      <c r="R188" s="2">
        <v>33268.084900000002</v>
      </c>
      <c r="S188" s="2">
        <v>36837.944999999992</v>
      </c>
      <c r="T188" s="2">
        <v>438</v>
      </c>
      <c r="U188" s="2">
        <v>485</v>
      </c>
    </row>
    <row r="189" spans="1:21" x14ac:dyDescent="0.25">
      <c r="A189" t="s">
        <v>26</v>
      </c>
      <c r="B189" t="s">
        <v>32</v>
      </c>
      <c r="C189" t="s">
        <v>33</v>
      </c>
      <c r="D189" t="s">
        <v>34</v>
      </c>
      <c r="E189" t="s">
        <v>357</v>
      </c>
      <c r="F189" t="s">
        <v>378</v>
      </c>
      <c r="G189" t="s">
        <v>379</v>
      </c>
      <c r="H189" s="1">
        <v>357756.6868999998</v>
      </c>
      <c r="I189" s="1">
        <v>663123.16039999982</v>
      </c>
      <c r="J189" s="2">
        <v>3413</v>
      </c>
      <c r="K189" s="2">
        <v>7704</v>
      </c>
      <c r="L189" s="2">
        <v>3071.699999999998</v>
      </c>
      <c r="M189" s="2">
        <v>6933.5999999999949</v>
      </c>
      <c r="N189" s="1">
        <v>44215.019699999888</v>
      </c>
      <c r="O189" s="1">
        <v>64783.555800000322</v>
      </c>
      <c r="P189" s="4">
        <v>0.12358963876574268</v>
      </c>
      <c r="Q189" s="4">
        <v>9.7694605872191975E-2</v>
      </c>
      <c r="R189" s="2">
        <v>17280.622000000007</v>
      </c>
      <c r="S189" s="2">
        <v>5747.107399999999</v>
      </c>
      <c r="T189" s="2">
        <v>196</v>
      </c>
      <c r="U189" s="2">
        <v>74</v>
      </c>
    </row>
    <row r="190" spans="1:21" x14ac:dyDescent="0.25">
      <c r="A190" t="s">
        <v>26</v>
      </c>
      <c r="B190" t="s">
        <v>32</v>
      </c>
      <c r="C190" t="s">
        <v>33</v>
      </c>
      <c r="D190" t="s">
        <v>34</v>
      </c>
      <c r="E190" t="s">
        <v>357</v>
      </c>
      <c r="F190" t="s">
        <v>380</v>
      </c>
      <c r="G190" t="s">
        <v>381</v>
      </c>
      <c r="H190" s="1">
        <v>438880.51519999997</v>
      </c>
      <c r="I190" s="1">
        <v>612395.23270000005</v>
      </c>
      <c r="J190" s="2">
        <v>4866</v>
      </c>
      <c r="K190" s="2">
        <v>7325</v>
      </c>
      <c r="L190" s="2">
        <v>4497.6438000000007</v>
      </c>
      <c r="M190" s="2">
        <v>6770.4975000000013</v>
      </c>
      <c r="N190" s="1">
        <v>57872.715200000035</v>
      </c>
      <c r="O190" s="1">
        <v>50338.97900000005</v>
      </c>
      <c r="P190" s="4">
        <v>0.13186439861342936</v>
      </c>
      <c r="Q190" s="4">
        <v>8.2200148387928579E-2</v>
      </c>
      <c r="R190" s="2">
        <v>5324.4000000000005</v>
      </c>
      <c r="S190" s="2">
        <v>385.07260000000002</v>
      </c>
      <c r="T190" s="2">
        <v>68</v>
      </c>
      <c r="U190" s="2">
        <v>5</v>
      </c>
    </row>
    <row r="191" spans="1:21" x14ac:dyDescent="0.25">
      <c r="A191" t="s">
        <v>26</v>
      </c>
      <c r="B191" t="s">
        <v>32</v>
      </c>
      <c r="C191" t="s">
        <v>33</v>
      </c>
      <c r="D191" t="s">
        <v>34</v>
      </c>
      <c r="E191" t="s">
        <v>357</v>
      </c>
      <c r="F191" t="s">
        <v>382</v>
      </c>
      <c r="G191" t="s">
        <v>383</v>
      </c>
      <c r="H191" s="1">
        <v>18403.205399999999</v>
      </c>
      <c r="I191" s="1">
        <v>1403.1814999999999</v>
      </c>
      <c r="J191" s="2">
        <v>193</v>
      </c>
      <c r="K191" s="2">
        <v>15</v>
      </c>
      <c r="L191" s="2">
        <v>173.7</v>
      </c>
      <c r="M191" s="2">
        <v>13.5</v>
      </c>
      <c r="N191" s="1">
        <v>2171.9053999999996</v>
      </c>
      <c r="O191" s="1">
        <v>172.64969999999994</v>
      </c>
      <c r="P191" s="4">
        <v>0.11801777749000181</v>
      </c>
      <c r="Q191" s="4">
        <v>0.12304160224461337</v>
      </c>
      <c r="R191" s="2"/>
      <c r="S191" s="2">
        <v>342.4</v>
      </c>
      <c r="T191" s="2"/>
      <c r="U191" s="2">
        <v>4</v>
      </c>
    </row>
    <row r="192" spans="1:21" x14ac:dyDescent="0.25">
      <c r="A192" t="s">
        <v>26</v>
      </c>
      <c r="B192" t="s">
        <v>32</v>
      </c>
      <c r="C192" t="s">
        <v>33</v>
      </c>
      <c r="D192" t="s">
        <v>34</v>
      </c>
      <c r="E192" t="s">
        <v>357</v>
      </c>
      <c r="F192" t="s">
        <v>384</v>
      </c>
      <c r="G192" t="s">
        <v>385</v>
      </c>
      <c r="H192" s="1"/>
      <c r="I192" s="1">
        <v>98472.346200000015</v>
      </c>
      <c r="J192" s="2"/>
      <c r="K192" s="2">
        <v>1120</v>
      </c>
      <c r="L192" s="2"/>
      <c r="M192" s="2">
        <v>1034.8800000000001</v>
      </c>
      <c r="N192" s="1"/>
      <c r="O192" s="1">
        <v>21192.3462</v>
      </c>
      <c r="P192" s="4"/>
      <c r="Q192" s="4">
        <v>0.21521114320722867</v>
      </c>
      <c r="R192" s="2"/>
      <c r="S192" s="2">
        <v>276</v>
      </c>
      <c r="T192" s="2"/>
      <c r="U192" s="2">
        <v>4</v>
      </c>
    </row>
    <row r="193" spans="1:21" x14ac:dyDescent="0.25">
      <c r="A193" t="s">
        <v>26</v>
      </c>
      <c r="B193" t="s">
        <v>32</v>
      </c>
      <c r="C193" t="s">
        <v>33</v>
      </c>
      <c r="D193" t="s">
        <v>34</v>
      </c>
      <c r="E193" t="s">
        <v>357</v>
      </c>
      <c r="F193" t="s">
        <v>386</v>
      </c>
      <c r="G193" t="s">
        <v>387</v>
      </c>
      <c r="H193" s="1">
        <v>120438.93039999997</v>
      </c>
      <c r="I193" s="1">
        <v>199489.59230000002</v>
      </c>
      <c r="J193" s="2">
        <v>2745</v>
      </c>
      <c r="K193" s="2">
        <v>4511</v>
      </c>
      <c r="L193" s="2">
        <v>2470.5</v>
      </c>
      <c r="M193" s="2">
        <v>4059.9</v>
      </c>
      <c r="N193" s="1">
        <v>8393.0420999999915</v>
      </c>
      <c r="O193" s="1">
        <v>15364.921300000045</v>
      </c>
      <c r="P193" s="4">
        <v>6.9687119207428566E-2</v>
      </c>
      <c r="Q193" s="4">
        <v>7.7021167484736211E-2</v>
      </c>
      <c r="R193" s="2">
        <v>530.63540000000012</v>
      </c>
      <c r="S193" s="2">
        <v>1632.7250999999997</v>
      </c>
      <c r="T193" s="2">
        <v>13</v>
      </c>
      <c r="U193" s="2">
        <v>40</v>
      </c>
    </row>
    <row r="194" spans="1:21" x14ac:dyDescent="0.25">
      <c r="A194" t="s">
        <v>26</v>
      </c>
      <c r="B194" t="s">
        <v>32</v>
      </c>
      <c r="C194" t="s">
        <v>33</v>
      </c>
      <c r="D194" t="s">
        <v>34</v>
      </c>
      <c r="E194" t="s">
        <v>357</v>
      </c>
      <c r="F194" t="s">
        <v>388</v>
      </c>
      <c r="G194" t="s">
        <v>389</v>
      </c>
      <c r="H194" s="1">
        <v>463709.52100000071</v>
      </c>
      <c r="I194" s="1">
        <v>590114.16390000004</v>
      </c>
      <c r="J194" s="2">
        <v>5427</v>
      </c>
      <c r="K194" s="2">
        <v>7330</v>
      </c>
      <c r="L194" s="2">
        <v>4884.2999999999975</v>
      </c>
      <c r="M194" s="2">
        <v>6596.9999999999936</v>
      </c>
      <c r="N194" s="1">
        <v>48361.069700001215</v>
      </c>
      <c r="O194" s="1">
        <v>61930.361600000528</v>
      </c>
      <c r="P194" s="4">
        <v>0.10429173331552349</v>
      </c>
      <c r="Q194" s="4">
        <v>0.10494640764205614</v>
      </c>
      <c r="R194" s="2">
        <v>19930.904399999999</v>
      </c>
      <c r="S194" s="2">
        <v>14899.758999999998</v>
      </c>
      <c r="T194" s="2">
        <v>261</v>
      </c>
      <c r="U194" s="2">
        <v>208</v>
      </c>
    </row>
    <row r="195" spans="1:21" x14ac:dyDescent="0.25">
      <c r="A195" t="s">
        <v>26</v>
      </c>
      <c r="B195" t="s">
        <v>32</v>
      </c>
      <c r="C195" t="s">
        <v>33</v>
      </c>
      <c r="D195" t="s">
        <v>34</v>
      </c>
      <c r="E195" t="s">
        <v>357</v>
      </c>
      <c r="F195" t="s">
        <v>390</v>
      </c>
      <c r="G195" t="s">
        <v>391</v>
      </c>
      <c r="H195" s="1">
        <v>263898.03049999999</v>
      </c>
      <c r="I195" s="1"/>
      <c r="J195" s="2">
        <v>4214</v>
      </c>
      <c r="K195" s="2"/>
      <c r="L195" s="2">
        <v>3897.95</v>
      </c>
      <c r="M195" s="2"/>
      <c r="N195" s="1">
        <v>34035.413000000059</v>
      </c>
      <c r="O195" s="1"/>
      <c r="P195" s="4">
        <v>0.12897183406603732</v>
      </c>
      <c r="Q195" s="4"/>
      <c r="R195" s="2">
        <v>3654.5434999999998</v>
      </c>
      <c r="S195" s="2"/>
      <c r="T195" s="2">
        <v>67</v>
      </c>
      <c r="U195" s="2"/>
    </row>
    <row r="196" spans="1:21" x14ac:dyDescent="0.25">
      <c r="A196" t="s">
        <v>26</v>
      </c>
      <c r="B196" t="s">
        <v>32</v>
      </c>
      <c r="C196" t="s">
        <v>33</v>
      </c>
      <c r="D196" t="s">
        <v>34</v>
      </c>
      <c r="E196" t="s">
        <v>357</v>
      </c>
      <c r="F196" t="s">
        <v>392</v>
      </c>
      <c r="G196" t="s">
        <v>393</v>
      </c>
      <c r="H196" s="1">
        <v>10629.187800000002</v>
      </c>
      <c r="I196" s="1"/>
      <c r="J196" s="2">
        <v>131</v>
      </c>
      <c r="K196" s="2"/>
      <c r="L196" s="2">
        <v>117.9</v>
      </c>
      <c r="M196" s="2"/>
      <c r="N196" s="1">
        <v>1092.3878000000022</v>
      </c>
      <c r="O196" s="1"/>
      <c r="P196" s="4">
        <v>0.10277246206902112</v>
      </c>
      <c r="Q196" s="4"/>
      <c r="R196" s="2">
        <v>800.8</v>
      </c>
      <c r="S196" s="2"/>
      <c r="T196" s="2">
        <v>11</v>
      </c>
      <c r="U196" s="2"/>
    </row>
    <row r="197" spans="1:21" x14ac:dyDescent="0.25">
      <c r="A197" t="s">
        <v>26</v>
      </c>
      <c r="B197" t="s">
        <v>32</v>
      </c>
      <c r="C197" t="s">
        <v>33</v>
      </c>
      <c r="D197" t="s">
        <v>34</v>
      </c>
      <c r="E197" t="s">
        <v>357</v>
      </c>
      <c r="F197" t="s">
        <v>394</v>
      </c>
      <c r="G197" t="s">
        <v>395</v>
      </c>
      <c r="H197" s="1">
        <v>74347.669400000013</v>
      </c>
      <c r="I197" s="1">
        <v>63346.692900000002</v>
      </c>
      <c r="J197" s="2">
        <v>964</v>
      </c>
      <c r="K197" s="2">
        <v>821</v>
      </c>
      <c r="L197" s="2">
        <v>964</v>
      </c>
      <c r="M197" s="2">
        <v>821</v>
      </c>
      <c r="N197" s="1">
        <v>9277.6693999999989</v>
      </c>
      <c r="O197" s="1">
        <v>7929.1929000000018</v>
      </c>
      <c r="P197" s="4">
        <v>0.12478762918693452</v>
      </c>
      <c r="Q197" s="4">
        <v>0.12517137891503097</v>
      </c>
      <c r="R197" s="2">
        <v>1080</v>
      </c>
      <c r="S197" s="2">
        <v>742.5</v>
      </c>
      <c r="T197" s="2">
        <v>16</v>
      </c>
      <c r="U197" s="2">
        <v>11</v>
      </c>
    </row>
    <row r="198" spans="1:21" x14ac:dyDescent="0.25">
      <c r="A198" t="s">
        <v>26</v>
      </c>
      <c r="B198" t="s">
        <v>32</v>
      </c>
      <c r="C198" t="s">
        <v>33</v>
      </c>
      <c r="D198" t="s">
        <v>34</v>
      </c>
      <c r="E198" t="s">
        <v>357</v>
      </c>
      <c r="F198" t="s">
        <v>396</v>
      </c>
      <c r="G198" t="s">
        <v>397</v>
      </c>
      <c r="H198" s="1">
        <v>1653148.3583</v>
      </c>
      <c r="I198" s="1">
        <v>2029804.6708000002</v>
      </c>
      <c r="J198" s="2">
        <v>21994</v>
      </c>
      <c r="K198" s="2">
        <v>27582</v>
      </c>
      <c r="L198" s="2">
        <v>20388.437999999998</v>
      </c>
      <c r="M198" s="2">
        <v>25568.513999999996</v>
      </c>
      <c r="N198" s="1">
        <v>225927.34810000309</v>
      </c>
      <c r="O198" s="1">
        <v>239983.74380000145</v>
      </c>
      <c r="P198" s="4">
        <v>0.13666489578245317</v>
      </c>
      <c r="Q198" s="4">
        <v>0.11822996924399502</v>
      </c>
      <c r="R198" s="2">
        <v>4088.1266999999998</v>
      </c>
      <c r="S198" s="2">
        <v>1038.2544</v>
      </c>
      <c r="T198" s="2">
        <v>63</v>
      </c>
      <c r="U198" s="2">
        <v>16</v>
      </c>
    </row>
    <row r="199" spans="1:21" x14ac:dyDescent="0.25">
      <c r="A199" t="s">
        <v>26</v>
      </c>
      <c r="B199" t="s">
        <v>32</v>
      </c>
      <c r="C199" t="s">
        <v>33</v>
      </c>
      <c r="D199" t="s">
        <v>34</v>
      </c>
      <c r="E199" t="s">
        <v>357</v>
      </c>
      <c r="F199" t="s">
        <v>398</v>
      </c>
      <c r="G199" t="s">
        <v>399</v>
      </c>
      <c r="H199" s="1">
        <v>1852501.9640999998</v>
      </c>
      <c r="I199" s="1">
        <v>1695985.4198000005</v>
      </c>
      <c r="J199" s="2">
        <v>23757</v>
      </c>
      <c r="K199" s="2">
        <v>21779</v>
      </c>
      <c r="L199" s="2">
        <v>22022.738999999998</v>
      </c>
      <c r="M199" s="2">
        <v>20189.132999999998</v>
      </c>
      <c r="N199" s="1">
        <v>246943.75630000001</v>
      </c>
      <c r="O199" s="1">
        <v>233334.97160000051</v>
      </c>
      <c r="P199" s="4">
        <v>0.1333028310282913</v>
      </c>
      <c r="Q199" s="4">
        <v>0.13758076506784864</v>
      </c>
      <c r="R199" s="2">
        <v>4823.9992999999995</v>
      </c>
      <c r="S199" s="2">
        <v>2291.1353000000004</v>
      </c>
      <c r="T199" s="2">
        <v>71</v>
      </c>
      <c r="U199" s="2">
        <v>35</v>
      </c>
    </row>
    <row r="200" spans="1:21" x14ac:dyDescent="0.25">
      <c r="A200" t="s">
        <v>26</v>
      </c>
      <c r="B200" t="s">
        <v>32</v>
      </c>
      <c r="C200" t="s">
        <v>33</v>
      </c>
      <c r="D200" t="s">
        <v>34</v>
      </c>
      <c r="E200" t="s">
        <v>357</v>
      </c>
      <c r="F200" t="s">
        <v>400</v>
      </c>
      <c r="G200" t="s">
        <v>401</v>
      </c>
      <c r="H200" s="1">
        <v>9689955.7804999761</v>
      </c>
      <c r="I200" s="1">
        <v>8957512.1710999925</v>
      </c>
      <c r="J200" s="2">
        <v>110432</v>
      </c>
      <c r="K200" s="2">
        <v>104540</v>
      </c>
      <c r="L200" s="2">
        <v>102701.76000000015</v>
      </c>
      <c r="M200" s="2">
        <v>97222.200000000114</v>
      </c>
      <c r="N200" s="1">
        <v>991826.8081999775</v>
      </c>
      <c r="O200" s="1">
        <v>914059.05289999023</v>
      </c>
      <c r="P200" s="4">
        <v>0.10235617485437089</v>
      </c>
      <c r="Q200" s="4">
        <v>0.10204385273949816</v>
      </c>
      <c r="R200" s="2">
        <v>24110.966899999989</v>
      </c>
      <c r="S200" s="2">
        <v>16191.659000000001</v>
      </c>
      <c r="T200" s="2">
        <v>302</v>
      </c>
      <c r="U200" s="2">
        <v>206</v>
      </c>
    </row>
    <row r="201" spans="1:21" x14ac:dyDescent="0.25">
      <c r="A201" t="s">
        <v>26</v>
      </c>
      <c r="B201" t="s">
        <v>32</v>
      </c>
      <c r="C201" t="s">
        <v>33</v>
      </c>
      <c r="D201" t="s">
        <v>34</v>
      </c>
      <c r="E201" t="s">
        <v>357</v>
      </c>
      <c r="F201" t="s">
        <v>402</v>
      </c>
      <c r="G201" t="s">
        <v>403</v>
      </c>
      <c r="H201" s="1"/>
      <c r="I201" s="1">
        <v>1878.9998000000001</v>
      </c>
      <c r="J201" s="2"/>
      <c r="K201" s="2">
        <v>23</v>
      </c>
      <c r="L201" s="2"/>
      <c r="M201" s="2">
        <v>21.39</v>
      </c>
      <c r="N201" s="1"/>
      <c r="O201" s="1">
        <v>100.89110000000028</v>
      </c>
      <c r="P201" s="4"/>
      <c r="Q201" s="4">
        <v>5.3694045097822933E-2</v>
      </c>
      <c r="R201" s="2"/>
      <c r="S201" s="2"/>
      <c r="T201" s="2"/>
      <c r="U201" s="2"/>
    </row>
    <row r="202" spans="1:21" x14ac:dyDescent="0.25">
      <c r="A202" t="s">
        <v>26</v>
      </c>
      <c r="B202" t="s">
        <v>32</v>
      </c>
      <c r="C202" t="s">
        <v>33</v>
      </c>
      <c r="D202" t="s">
        <v>34</v>
      </c>
      <c r="E202" t="s">
        <v>357</v>
      </c>
      <c r="F202" t="s">
        <v>404</v>
      </c>
      <c r="G202" t="s">
        <v>405</v>
      </c>
      <c r="H202" s="1">
        <v>294.27269999999999</v>
      </c>
      <c r="I202" s="1"/>
      <c r="J202" s="2">
        <v>3</v>
      </c>
      <c r="K202" s="2"/>
      <c r="L202" s="2">
        <v>2.7719999999999998</v>
      </c>
      <c r="M202" s="2"/>
      <c r="N202" s="1">
        <v>69.572699999999998</v>
      </c>
      <c r="O202" s="1"/>
      <c r="P202" s="4">
        <v>0.23642254276390573</v>
      </c>
      <c r="Q202" s="4"/>
      <c r="R202" s="2"/>
      <c r="S202" s="2"/>
      <c r="T202" s="2"/>
      <c r="U202" s="2"/>
    </row>
    <row r="203" spans="1:21" x14ac:dyDescent="0.25">
      <c r="A203" t="s">
        <v>26</v>
      </c>
      <c r="B203" t="s">
        <v>32</v>
      </c>
      <c r="C203" t="s">
        <v>33</v>
      </c>
      <c r="D203" t="s">
        <v>34</v>
      </c>
      <c r="E203" t="s">
        <v>357</v>
      </c>
      <c r="F203" t="s">
        <v>406</v>
      </c>
      <c r="G203" t="s">
        <v>407</v>
      </c>
      <c r="H203" s="1">
        <v>34621.423900000002</v>
      </c>
      <c r="I203" s="1">
        <v>73918.236099999995</v>
      </c>
      <c r="J203" s="2">
        <v>468</v>
      </c>
      <c r="K203" s="2">
        <v>995</v>
      </c>
      <c r="L203" s="2">
        <v>421.19999999999993</v>
      </c>
      <c r="M203" s="2">
        <v>895.5</v>
      </c>
      <c r="N203" s="1">
        <v>4516.2676999999894</v>
      </c>
      <c r="O203" s="1">
        <v>9902.4801000000152</v>
      </c>
      <c r="P203" s="4">
        <v>0.13044719688724271</v>
      </c>
      <c r="Q203" s="4">
        <v>0.13396531928336983</v>
      </c>
      <c r="R203" s="2">
        <v>2378.4719000000005</v>
      </c>
      <c r="S203" s="2">
        <v>1350.8724999999999</v>
      </c>
      <c r="T203" s="2">
        <v>37</v>
      </c>
      <c r="U203" s="2">
        <v>21</v>
      </c>
    </row>
    <row r="204" spans="1:21" x14ac:dyDescent="0.25">
      <c r="A204" t="s">
        <v>26</v>
      </c>
      <c r="B204" t="s">
        <v>32</v>
      </c>
      <c r="C204" t="s">
        <v>33</v>
      </c>
      <c r="D204" t="s">
        <v>34</v>
      </c>
      <c r="E204" t="s">
        <v>357</v>
      </c>
      <c r="F204" t="s">
        <v>408</v>
      </c>
      <c r="G204" t="s">
        <v>409</v>
      </c>
      <c r="H204" s="1">
        <v>670159.31469999999</v>
      </c>
      <c r="I204" s="1">
        <v>443176.12729999999</v>
      </c>
      <c r="J204" s="2">
        <v>6897</v>
      </c>
      <c r="K204" s="2">
        <v>4207</v>
      </c>
      <c r="L204" s="2">
        <v>6414.2099999999991</v>
      </c>
      <c r="M204" s="2">
        <v>4026.0989999999993</v>
      </c>
      <c r="N204" s="1">
        <v>88039.732900000061</v>
      </c>
      <c r="O204" s="1">
        <v>76708.203000000096</v>
      </c>
      <c r="P204" s="4">
        <v>0.13137134852689689</v>
      </c>
      <c r="Q204" s="4">
        <v>0.17308739860907235</v>
      </c>
      <c r="R204" s="2">
        <v>928.39999999999986</v>
      </c>
      <c r="S204" s="2">
        <v>174.21809999999999</v>
      </c>
      <c r="T204" s="2">
        <v>11</v>
      </c>
      <c r="U204" s="2">
        <v>2</v>
      </c>
    </row>
    <row r="205" spans="1:21" x14ac:dyDescent="0.25">
      <c r="A205" t="s">
        <v>26</v>
      </c>
      <c r="B205" t="s">
        <v>32</v>
      </c>
      <c r="C205" t="s">
        <v>33</v>
      </c>
      <c r="D205" t="s">
        <v>34</v>
      </c>
      <c r="E205" t="s">
        <v>357</v>
      </c>
      <c r="F205" t="s">
        <v>410</v>
      </c>
      <c r="G205" t="s">
        <v>411</v>
      </c>
      <c r="H205" s="1"/>
      <c r="I205" s="1">
        <v>126491.34050000005</v>
      </c>
      <c r="J205" s="2"/>
      <c r="K205" s="2">
        <v>1356</v>
      </c>
      <c r="L205" s="2"/>
      <c r="M205" s="2">
        <v>1252.9440000000002</v>
      </c>
      <c r="N205" s="1"/>
      <c r="O205" s="1">
        <v>22782.014700000087</v>
      </c>
      <c r="P205" s="4"/>
      <c r="Q205" s="4">
        <v>0.18010730702944902</v>
      </c>
      <c r="R205" s="2"/>
      <c r="S205" s="2">
        <v>382.40900000000005</v>
      </c>
      <c r="T205" s="2"/>
      <c r="U205" s="2">
        <v>5</v>
      </c>
    </row>
    <row r="206" spans="1:21" x14ac:dyDescent="0.25">
      <c r="A206" t="s">
        <v>26</v>
      </c>
      <c r="B206" t="s">
        <v>32</v>
      </c>
      <c r="C206" t="s">
        <v>33</v>
      </c>
      <c r="D206" t="s">
        <v>34</v>
      </c>
      <c r="E206" t="s">
        <v>412</v>
      </c>
      <c r="H206" s="1">
        <v>23468348.517499875</v>
      </c>
      <c r="I206" s="1">
        <v>25410017.204699893</v>
      </c>
      <c r="J206" s="2">
        <v>282559</v>
      </c>
      <c r="K206" s="2">
        <v>307251</v>
      </c>
      <c r="L206" s="2">
        <v>254767.77280000114</v>
      </c>
      <c r="M206" s="2">
        <v>281727.97250000131</v>
      </c>
      <c r="N206" s="1">
        <v>2728562.0366000719</v>
      </c>
      <c r="O206" s="1">
        <v>2859024.4710000716</v>
      </c>
      <c r="P206" s="4">
        <v>0.1162656176920774</v>
      </c>
      <c r="Q206" s="4">
        <v>0.11251564483282837</v>
      </c>
      <c r="R206" s="2">
        <v>168024.15969999996</v>
      </c>
      <c r="S206" s="2">
        <v>117865.61489999999</v>
      </c>
      <c r="T206" s="2">
        <v>2337</v>
      </c>
      <c r="U206" s="2">
        <v>1725</v>
      </c>
    </row>
    <row r="207" spans="1:21" x14ac:dyDescent="0.25">
      <c r="A207" t="s">
        <v>26</v>
      </c>
      <c r="B207" t="s">
        <v>32</v>
      </c>
      <c r="C207" t="s">
        <v>33</v>
      </c>
      <c r="D207" t="s">
        <v>34</v>
      </c>
      <c r="E207" t="s">
        <v>413</v>
      </c>
      <c r="F207" t="s">
        <v>414</v>
      </c>
      <c r="G207" t="s">
        <v>415</v>
      </c>
      <c r="H207" s="1">
        <v>753626.87280000001</v>
      </c>
      <c r="I207" s="1">
        <v>858175.30209999974</v>
      </c>
      <c r="J207" s="2">
        <v>8030</v>
      </c>
      <c r="K207" s="2">
        <v>7864</v>
      </c>
      <c r="L207" s="2">
        <v>7427.7499999999973</v>
      </c>
      <c r="M207" s="2">
        <v>7274.1999999999953</v>
      </c>
      <c r="N207" s="1">
        <v>76697.872800000012</v>
      </c>
      <c r="O207" s="1">
        <v>121531.38619999972</v>
      </c>
      <c r="P207" s="4">
        <v>0.10177167981688247</v>
      </c>
      <c r="Q207" s="4">
        <v>0.14161603800832542</v>
      </c>
      <c r="R207" s="2">
        <v>927.29999999999984</v>
      </c>
      <c r="S207" s="2">
        <v>2528.9175000000005</v>
      </c>
      <c r="T207" s="2">
        <v>11</v>
      </c>
      <c r="U207" s="2">
        <v>27</v>
      </c>
    </row>
    <row r="208" spans="1:21" x14ac:dyDescent="0.25">
      <c r="A208" t="s">
        <v>26</v>
      </c>
      <c r="B208" t="s">
        <v>32</v>
      </c>
      <c r="C208" t="s">
        <v>33</v>
      </c>
      <c r="D208" t="s">
        <v>34</v>
      </c>
      <c r="E208" t="s">
        <v>413</v>
      </c>
      <c r="F208" t="s">
        <v>416</v>
      </c>
      <c r="G208" t="s">
        <v>417</v>
      </c>
      <c r="H208" s="1">
        <v>1546079.9607000004</v>
      </c>
      <c r="I208" s="1">
        <v>2011281.3443000007</v>
      </c>
      <c r="J208" s="2">
        <v>16172</v>
      </c>
      <c r="K208" s="2">
        <v>20157</v>
      </c>
      <c r="L208" s="2">
        <v>15039.959999999997</v>
      </c>
      <c r="M208" s="2">
        <v>18746.009999999998</v>
      </c>
      <c r="N208" s="1">
        <v>218330.41529999976</v>
      </c>
      <c r="O208" s="1">
        <v>306309.9263000011</v>
      </c>
      <c r="P208" s="4">
        <v>0.14121547452251365</v>
      </c>
      <c r="Q208" s="4">
        <v>0.1522959118415172</v>
      </c>
      <c r="R208" s="2">
        <v>1149.4000000000001</v>
      </c>
      <c r="S208" s="2">
        <v>2208.2999000000004</v>
      </c>
      <c r="T208" s="2">
        <v>14</v>
      </c>
      <c r="U208" s="2">
        <v>26</v>
      </c>
    </row>
    <row r="209" spans="1:21" x14ac:dyDescent="0.25">
      <c r="A209" t="s">
        <v>26</v>
      </c>
      <c r="B209" t="s">
        <v>32</v>
      </c>
      <c r="C209" t="s">
        <v>33</v>
      </c>
      <c r="D209" t="s">
        <v>34</v>
      </c>
      <c r="E209" t="s">
        <v>413</v>
      </c>
      <c r="F209" t="s">
        <v>418</v>
      </c>
      <c r="G209" t="s">
        <v>419</v>
      </c>
      <c r="H209" s="1">
        <v>854943.46140000015</v>
      </c>
      <c r="I209" s="1">
        <v>985251.69459999993</v>
      </c>
      <c r="J209" s="2">
        <v>10255</v>
      </c>
      <c r="K209" s="2">
        <v>12306</v>
      </c>
      <c r="L209" s="2">
        <v>9229.5000000000018</v>
      </c>
      <c r="M209" s="2">
        <v>11075.4</v>
      </c>
      <c r="N209" s="1">
        <v>121953.74060000014</v>
      </c>
      <c r="O209" s="1">
        <v>194823.0392</v>
      </c>
      <c r="P209" s="4">
        <v>0.14264538663211315</v>
      </c>
      <c r="Q209" s="4">
        <v>0.19773935966595393</v>
      </c>
      <c r="R209" s="2">
        <v>9277.2698999999993</v>
      </c>
      <c r="S209" s="2">
        <v>5296.9150999999974</v>
      </c>
      <c r="T209" s="2">
        <v>130</v>
      </c>
      <c r="U209" s="2">
        <v>82</v>
      </c>
    </row>
    <row r="210" spans="1:21" x14ac:dyDescent="0.25">
      <c r="A210" t="s">
        <v>26</v>
      </c>
      <c r="B210" t="s">
        <v>32</v>
      </c>
      <c r="C210" t="s">
        <v>33</v>
      </c>
      <c r="D210" t="s">
        <v>34</v>
      </c>
      <c r="E210" t="s">
        <v>413</v>
      </c>
      <c r="F210" t="s">
        <v>420</v>
      </c>
      <c r="G210" t="s">
        <v>421</v>
      </c>
      <c r="H210" s="1">
        <v>8003767.4909999808</v>
      </c>
      <c r="I210" s="1">
        <v>3593017.0954999956</v>
      </c>
      <c r="J210" s="2">
        <v>113491</v>
      </c>
      <c r="K210" s="2">
        <v>51887</v>
      </c>
      <c r="L210" s="2">
        <v>102141.89999999988</v>
      </c>
      <c r="M210" s="2">
        <v>46698.299999999974</v>
      </c>
      <c r="N210" s="1">
        <v>975396.51440001465</v>
      </c>
      <c r="O210" s="1">
        <v>424618.76399999484</v>
      </c>
      <c r="P210" s="4">
        <v>0.12186717261549909</v>
      </c>
      <c r="Q210" s="4">
        <v>0.11817888774640128</v>
      </c>
      <c r="R210" s="2">
        <v>69500.49069999998</v>
      </c>
      <c r="S210" s="2">
        <v>78453.871799999979</v>
      </c>
      <c r="T210" s="2">
        <v>1127.6667</v>
      </c>
      <c r="U210" s="2">
        <v>1285</v>
      </c>
    </row>
    <row r="211" spans="1:21" x14ac:dyDescent="0.25">
      <c r="A211" t="s">
        <v>26</v>
      </c>
      <c r="B211" t="s">
        <v>32</v>
      </c>
      <c r="C211" t="s">
        <v>33</v>
      </c>
      <c r="D211" t="s">
        <v>34</v>
      </c>
      <c r="E211" t="s">
        <v>413</v>
      </c>
      <c r="F211" t="s">
        <v>422</v>
      </c>
      <c r="G211" t="s">
        <v>423</v>
      </c>
      <c r="H211" s="1">
        <v>99231.431400000001</v>
      </c>
      <c r="I211" s="1">
        <v>121440.2221</v>
      </c>
      <c r="J211" s="2">
        <v>1012</v>
      </c>
      <c r="K211" s="2">
        <v>1448</v>
      </c>
      <c r="L211" s="2">
        <v>961.4</v>
      </c>
      <c r="M211" s="2">
        <v>1375.6</v>
      </c>
      <c r="N211" s="1">
        <v>10561.841400000005</v>
      </c>
      <c r="O211" s="1">
        <v>11112.142099999997</v>
      </c>
      <c r="P211" s="4">
        <v>0.10643645114243515</v>
      </c>
      <c r="Q211" s="4">
        <v>9.1502979061168874E-2</v>
      </c>
      <c r="R211" s="2">
        <v>175.2363</v>
      </c>
      <c r="S211" s="2">
        <v>68.454499999999996</v>
      </c>
      <c r="T211" s="2">
        <v>2</v>
      </c>
      <c r="U211" s="2">
        <v>1</v>
      </c>
    </row>
    <row r="212" spans="1:21" x14ac:dyDescent="0.25">
      <c r="A212" t="s">
        <v>26</v>
      </c>
      <c r="B212" t="s">
        <v>32</v>
      </c>
      <c r="C212" t="s">
        <v>33</v>
      </c>
      <c r="D212" t="s">
        <v>34</v>
      </c>
      <c r="E212" t="s">
        <v>413</v>
      </c>
      <c r="F212" t="s">
        <v>424</v>
      </c>
      <c r="G212" t="s">
        <v>425</v>
      </c>
      <c r="H212" s="1"/>
      <c r="I212" s="1">
        <v>6675869.0593999922</v>
      </c>
      <c r="J212" s="2"/>
      <c r="K212" s="2">
        <v>82519</v>
      </c>
      <c r="L212" s="2"/>
      <c r="M212" s="2">
        <v>73689.467000000848</v>
      </c>
      <c r="N212" s="1"/>
      <c r="O212" s="1">
        <v>629270.91259999108</v>
      </c>
      <c r="P212" s="4"/>
      <c r="Q212" s="4">
        <v>9.4260523536473934E-2</v>
      </c>
      <c r="R212" s="2"/>
      <c r="S212" s="2">
        <v>68220.566099999982</v>
      </c>
      <c r="T212" s="2"/>
      <c r="U212" s="2">
        <v>942</v>
      </c>
    </row>
    <row r="213" spans="1:21" x14ac:dyDescent="0.25">
      <c r="A213" t="s">
        <v>26</v>
      </c>
      <c r="B213" t="s">
        <v>32</v>
      </c>
      <c r="C213" t="s">
        <v>33</v>
      </c>
      <c r="D213" t="s">
        <v>34</v>
      </c>
      <c r="E213" t="s">
        <v>413</v>
      </c>
      <c r="F213" t="s">
        <v>426</v>
      </c>
      <c r="G213" t="s">
        <v>427</v>
      </c>
      <c r="H213" s="1"/>
      <c r="I213" s="1">
        <v>323399.32139999996</v>
      </c>
      <c r="J213" s="2"/>
      <c r="K213" s="2">
        <v>3854</v>
      </c>
      <c r="L213" s="2"/>
      <c r="M213" s="2">
        <v>3562.2522000000004</v>
      </c>
      <c r="N213" s="1"/>
      <c r="O213" s="1">
        <v>33739.205600000045</v>
      </c>
      <c r="P213" s="4"/>
      <c r="Q213" s="4">
        <v>0.10432676684027219</v>
      </c>
      <c r="R213" s="2"/>
      <c r="S213" s="2">
        <v>154.18169999999998</v>
      </c>
      <c r="T213" s="2"/>
      <c r="U213" s="2">
        <v>2</v>
      </c>
    </row>
    <row r="214" spans="1:21" x14ac:dyDescent="0.25">
      <c r="A214" t="s">
        <v>26</v>
      </c>
      <c r="B214" t="s">
        <v>32</v>
      </c>
      <c r="C214" t="s">
        <v>33</v>
      </c>
      <c r="D214" t="s">
        <v>34</v>
      </c>
      <c r="E214" t="s">
        <v>413</v>
      </c>
      <c r="F214" t="s">
        <v>428</v>
      </c>
      <c r="G214" t="s">
        <v>429</v>
      </c>
      <c r="H214" s="1">
        <v>325213.83419999992</v>
      </c>
      <c r="I214" s="1">
        <v>364135.59879999998</v>
      </c>
      <c r="J214" s="2">
        <v>6106</v>
      </c>
      <c r="K214" s="2">
        <v>7356</v>
      </c>
      <c r="L214" s="2">
        <v>2747.7000000000003</v>
      </c>
      <c r="M214" s="2">
        <v>3310.2</v>
      </c>
      <c r="N214" s="1">
        <v>27629.633599999943</v>
      </c>
      <c r="O214" s="1">
        <v>23089.798800000048</v>
      </c>
      <c r="P214" s="4">
        <v>8.4958358760987632E-2</v>
      </c>
      <c r="Q214" s="4">
        <v>6.3409891469254631E-2</v>
      </c>
      <c r="R214" s="2">
        <v>243.6815</v>
      </c>
      <c r="S214" s="2">
        <v>788.7</v>
      </c>
      <c r="T214" s="2">
        <v>5</v>
      </c>
      <c r="U214" s="2">
        <v>17</v>
      </c>
    </row>
    <row r="215" spans="1:21" x14ac:dyDescent="0.25">
      <c r="A215" t="s">
        <v>26</v>
      </c>
      <c r="B215" t="s">
        <v>32</v>
      </c>
      <c r="C215" t="s">
        <v>33</v>
      </c>
      <c r="D215" t="s">
        <v>34</v>
      </c>
      <c r="E215" t="s">
        <v>413</v>
      </c>
      <c r="F215" t="s">
        <v>430</v>
      </c>
      <c r="G215" t="s">
        <v>431</v>
      </c>
      <c r="H215" s="1">
        <v>10281119.242299974</v>
      </c>
      <c r="I215" s="1">
        <v>11523115.590799984</v>
      </c>
      <c r="J215" s="2">
        <v>102317</v>
      </c>
      <c r="K215" s="2">
        <v>122264</v>
      </c>
      <c r="L215" s="2">
        <v>95154.8100000001</v>
      </c>
      <c r="M215" s="2">
        <v>113705.52000000012</v>
      </c>
      <c r="N215" s="1">
        <v>1262926.5833000056</v>
      </c>
      <c r="O215" s="1">
        <v>1127321.5269000083</v>
      </c>
      <c r="P215" s="4">
        <v>0.12283940624906885</v>
      </c>
      <c r="Q215" s="4">
        <v>9.7831312895972161E-2</v>
      </c>
      <c r="R215" s="2">
        <v>17643.639099999997</v>
      </c>
      <c r="S215" s="2">
        <v>7050.7059999999983</v>
      </c>
      <c r="T215" s="2">
        <v>199</v>
      </c>
      <c r="U215" s="2">
        <v>82</v>
      </c>
    </row>
    <row r="216" spans="1:21" x14ac:dyDescent="0.25">
      <c r="A216" t="s">
        <v>26</v>
      </c>
      <c r="B216" t="s">
        <v>32</v>
      </c>
      <c r="C216" t="s">
        <v>33</v>
      </c>
      <c r="D216" t="s">
        <v>34</v>
      </c>
      <c r="E216" t="s">
        <v>413</v>
      </c>
      <c r="F216" t="s">
        <v>432</v>
      </c>
      <c r="G216" t="s">
        <v>433</v>
      </c>
      <c r="H216" s="1">
        <v>184638.8884</v>
      </c>
      <c r="I216" s="1">
        <v>356537.39559999999</v>
      </c>
      <c r="J216" s="2">
        <v>1838</v>
      </c>
      <c r="K216" s="2">
        <v>3570</v>
      </c>
      <c r="L216" s="2">
        <v>1709.3400000000011</v>
      </c>
      <c r="M216" s="2">
        <v>3320.1</v>
      </c>
      <c r="N216" s="1">
        <v>28327.801399999997</v>
      </c>
      <c r="O216" s="1">
        <v>66583.395599999989</v>
      </c>
      <c r="P216" s="4">
        <v>0.15342272500379719</v>
      </c>
      <c r="Q216" s="4">
        <v>0.18675010369655595</v>
      </c>
      <c r="R216" s="2">
        <v>422.01800000000003</v>
      </c>
      <c r="S216" s="2">
        <v>81.581800000000001</v>
      </c>
      <c r="T216" s="2">
        <v>5</v>
      </c>
      <c r="U216" s="2">
        <v>1</v>
      </c>
    </row>
    <row r="217" spans="1:21" x14ac:dyDescent="0.25">
      <c r="A217" t="s">
        <v>26</v>
      </c>
      <c r="B217" t="s">
        <v>32</v>
      </c>
      <c r="C217" t="s">
        <v>33</v>
      </c>
      <c r="D217" t="s">
        <v>34</v>
      </c>
      <c r="E217" t="s">
        <v>413</v>
      </c>
      <c r="F217" t="s">
        <v>434</v>
      </c>
      <c r="G217" t="s">
        <v>435</v>
      </c>
      <c r="H217" s="1"/>
      <c r="I217" s="1">
        <v>2815177.3524000002</v>
      </c>
      <c r="J217" s="2"/>
      <c r="K217" s="2">
        <v>29360</v>
      </c>
      <c r="L217" s="2"/>
      <c r="M217" s="2">
        <v>28126.880000000001</v>
      </c>
      <c r="N217" s="1"/>
      <c r="O217" s="1">
        <v>425228.97980000125</v>
      </c>
      <c r="P217" s="4"/>
      <c r="Q217" s="4">
        <v>0.15104873568178015</v>
      </c>
      <c r="R217" s="2"/>
      <c r="S217" s="2">
        <v>24420</v>
      </c>
      <c r="T217" s="2"/>
      <c r="U217" s="2">
        <v>300</v>
      </c>
    </row>
    <row r="218" spans="1:21" x14ac:dyDescent="0.25">
      <c r="A218" t="s">
        <v>26</v>
      </c>
      <c r="B218" t="s">
        <v>32</v>
      </c>
      <c r="C218" t="s">
        <v>33</v>
      </c>
      <c r="D218" t="s">
        <v>34</v>
      </c>
      <c r="E218" t="s">
        <v>413</v>
      </c>
      <c r="F218" t="s">
        <v>436</v>
      </c>
      <c r="G218" t="s">
        <v>437</v>
      </c>
      <c r="H218" s="1">
        <v>49753.072200000002</v>
      </c>
      <c r="I218" s="1"/>
      <c r="J218" s="2">
        <v>548</v>
      </c>
      <c r="K218" s="2"/>
      <c r="L218" s="2">
        <v>524.98400000000004</v>
      </c>
      <c r="M218" s="2"/>
      <c r="N218" s="1">
        <v>4003.2416999999987</v>
      </c>
      <c r="O218" s="1"/>
      <c r="P218" s="4">
        <v>8.0462201085946192E-2</v>
      </c>
      <c r="Q218" s="4"/>
      <c r="R218" s="2"/>
      <c r="S218" s="2"/>
      <c r="T218" s="2"/>
      <c r="U218" s="2"/>
    </row>
    <row r="219" spans="1:21" x14ac:dyDescent="0.25">
      <c r="A219" t="s">
        <v>26</v>
      </c>
      <c r="B219" t="s">
        <v>32</v>
      </c>
      <c r="C219" t="s">
        <v>33</v>
      </c>
      <c r="D219" t="s">
        <v>34</v>
      </c>
      <c r="E219" t="s">
        <v>413</v>
      </c>
      <c r="F219" t="s">
        <v>438</v>
      </c>
      <c r="G219" t="s">
        <v>439</v>
      </c>
      <c r="H219" s="1"/>
      <c r="I219" s="1">
        <v>80725.902999999991</v>
      </c>
      <c r="J219" s="2"/>
      <c r="K219" s="2">
        <v>889</v>
      </c>
      <c r="L219" s="2"/>
      <c r="M219" s="2">
        <v>800.09999999999991</v>
      </c>
      <c r="N219" s="1"/>
      <c r="O219" s="1">
        <v>10009.999999999985</v>
      </c>
      <c r="P219" s="4"/>
      <c r="Q219" s="4">
        <v>0.1239998516956817</v>
      </c>
      <c r="R219" s="2"/>
      <c r="S219" s="2"/>
      <c r="T219" s="2"/>
      <c r="U219" s="2"/>
    </row>
    <row r="220" spans="1:21" x14ac:dyDescent="0.25">
      <c r="A220" t="s">
        <v>26</v>
      </c>
      <c r="B220" t="s">
        <v>32</v>
      </c>
      <c r="C220" t="s">
        <v>33</v>
      </c>
      <c r="D220" t="s">
        <v>34</v>
      </c>
      <c r="E220" t="s">
        <v>413</v>
      </c>
      <c r="F220" t="s">
        <v>440</v>
      </c>
      <c r="G220" t="s">
        <v>441</v>
      </c>
      <c r="H220" s="1">
        <v>10320216.150999969</v>
      </c>
      <c r="I220" s="1">
        <v>3159.6995999999999</v>
      </c>
      <c r="J220" s="2">
        <v>111476</v>
      </c>
      <c r="K220" s="2">
        <v>40</v>
      </c>
      <c r="L220" s="2">
        <v>100328.4</v>
      </c>
      <c r="M220" s="2">
        <v>36</v>
      </c>
      <c r="N220" s="1">
        <v>970555.09770002216</v>
      </c>
      <c r="O220" s="1">
        <v>-194.48120000000017</v>
      </c>
      <c r="P220" s="4">
        <v>9.4044066858617187E-2</v>
      </c>
      <c r="Q220" s="4">
        <v>-6.1550534740707687E-2</v>
      </c>
      <c r="R220" s="2">
        <v>88801.940599999973</v>
      </c>
      <c r="S220" s="2"/>
      <c r="T220" s="2">
        <v>1059</v>
      </c>
      <c r="U220" s="2"/>
    </row>
    <row r="221" spans="1:21" x14ac:dyDescent="0.25">
      <c r="A221" t="s">
        <v>26</v>
      </c>
      <c r="B221" t="s">
        <v>32</v>
      </c>
      <c r="C221" t="s">
        <v>33</v>
      </c>
      <c r="D221" t="s">
        <v>34</v>
      </c>
      <c r="E221" t="s">
        <v>413</v>
      </c>
      <c r="F221" t="s">
        <v>442</v>
      </c>
      <c r="G221" t="s">
        <v>443</v>
      </c>
      <c r="H221" s="1"/>
      <c r="I221" s="1">
        <v>109405.18279999998</v>
      </c>
      <c r="J221" s="2"/>
      <c r="K221" s="2">
        <v>1193</v>
      </c>
      <c r="L221" s="2"/>
      <c r="M221" s="2">
        <v>1109.4900000000002</v>
      </c>
      <c r="N221" s="1"/>
      <c r="O221" s="1">
        <v>23335.669800000018</v>
      </c>
      <c r="P221" s="4"/>
      <c r="Q221" s="4">
        <v>0.21329583482949968</v>
      </c>
      <c r="R221" s="2"/>
      <c r="S221" s="2">
        <v>72.145399999999995</v>
      </c>
      <c r="T221" s="2"/>
      <c r="U221" s="2">
        <v>1</v>
      </c>
    </row>
    <row r="222" spans="1:21" x14ac:dyDescent="0.25">
      <c r="A222" t="s">
        <v>26</v>
      </c>
      <c r="B222" t="s">
        <v>32</v>
      </c>
      <c r="C222" t="s">
        <v>33</v>
      </c>
      <c r="D222" t="s">
        <v>34</v>
      </c>
      <c r="E222" t="s">
        <v>444</v>
      </c>
      <c r="H222" s="1">
        <v>32418590.405399676</v>
      </c>
      <c r="I222" s="1">
        <v>29820690.762399871</v>
      </c>
      <c r="J222" s="2">
        <v>371245</v>
      </c>
      <c r="K222" s="2">
        <v>344707</v>
      </c>
      <c r="L222" s="2">
        <v>335265.74400000065</v>
      </c>
      <c r="M222" s="2">
        <v>312829.51919999946</v>
      </c>
      <c r="N222" s="1">
        <v>3696382.7422001027</v>
      </c>
      <c r="O222" s="1">
        <v>3396780.2657000497</v>
      </c>
      <c r="P222" s="4">
        <v>0.11402046467709555</v>
      </c>
      <c r="Q222" s="4">
        <v>0.11390682706729789</v>
      </c>
      <c r="R222" s="2">
        <v>188140.97609999991</v>
      </c>
      <c r="S222" s="2">
        <v>189344.33980000005</v>
      </c>
      <c r="T222" s="2">
        <v>2552.6666999999998</v>
      </c>
      <c r="U222" s="2">
        <v>2766</v>
      </c>
    </row>
    <row r="223" spans="1:21" x14ac:dyDescent="0.25">
      <c r="A223" t="s">
        <v>26</v>
      </c>
      <c r="B223" t="s">
        <v>32</v>
      </c>
      <c r="C223" t="s">
        <v>33</v>
      </c>
      <c r="D223" t="s">
        <v>445</v>
      </c>
      <c r="H223" s="1">
        <v>398656628.23679918</v>
      </c>
      <c r="I223" s="1">
        <v>394763813.78839988</v>
      </c>
      <c r="J223" s="2">
        <v>5043675</v>
      </c>
      <c r="K223" s="2">
        <v>4702121</v>
      </c>
      <c r="L223" s="2">
        <v>4983245.2498000003</v>
      </c>
      <c r="M223" s="2">
        <v>4897836.6340000024</v>
      </c>
      <c r="N223" s="1">
        <v>40973026.028598905</v>
      </c>
      <c r="O223" s="1">
        <v>43456828.39269942</v>
      </c>
      <c r="P223" s="4">
        <v>0.10277773684540675</v>
      </c>
      <c r="Q223" s="4">
        <v>0.11008311014036616</v>
      </c>
      <c r="R223" s="2">
        <v>2330735.9114999995</v>
      </c>
      <c r="S223" s="2">
        <v>2918491.0774999983</v>
      </c>
      <c r="T223" s="2">
        <v>35912.666700000002</v>
      </c>
      <c r="U223" s="2">
        <v>45571</v>
      </c>
    </row>
    <row r="224" spans="1:21" x14ac:dyDescent="0.25">
      <c r="A224" t="s">
        <v>26</v>
      </c>
      <c r="B224" t="s">
        <v>32</v>
      </c>
      <c r="C224" t="s">
        <v>33</v>
      </c>
      <c r="D224" t="s">
        <v>446</v>
      </c>
      <c r="E224" t="s">
        <v>446</v>
      </c>
      <c r="F224" t="s">
        <v>447</v>
      </c>
      <c r="G224" t="s">
        <v>448</v>
      </c>
      <c r="H224" s="1">
        <v>4688709.345899961</v>
      </c>
      <c r="I224" s="1">
        <v>4979833.2918000007</v>
      </c>
      <c r="J224" s="2">
        <v>51986</v>
      </c>
      <c r="K224" s="2">
        <v>60464</v>
      </c>
      <c r="L224" s="2">
        <v>51986</v>
      </c>
      <c r="M224" s="2">
        <v>60464</v>
      </c>
      <c r="N224" s="1">
        <v>829338.64100000728</v>
      </c>
      <c r="O224" s="1">
        <v>725272.47809996642</v>
      </c>
      <c r="P224" s="4">
        <v>0.17687994281949296</v>
      </c>
      <c r="Q224" s="4">
        <v>0.14564191923738293</v>
      </c>
      <c r="R224" s="2">
        <v>5559.6851999999999</v>
      </c>
      <c r="S224" s="2">
        <v>6780.0759000000007</v>
      </c>
      <c r="T224" s="2">
        <v>75</v>
      </c>
      <c r="U224" s="2">
        <v>96</v>
      </c>
    </row>
    <row r="225" spans="1:21" x14ac:dyDescent="0.25">
      <c r="A225" t="s">
        <v>26</v>
      </c>
      <c r="B225" t="s">
        <v>32</v>
      </c>
      <c r="C225" t="s">
        <v>33</v>
      </c>
      <c r="D225" t="s">
        <v>446</v>
      </c>
      <c r="E225" t="s">
        <v>446</v>
      </c>
      <c r="F225" t="s">
        <v>449</v>
      </c>
      <c r="G225" t="s">
        <v>450</v>
      </c>
      <c r="H225" s="1">
        <v>3690617.6194999628</v>
      </c>
      <c r="I225" s="1">
        <v>5052620.1776999887</v>
      </c>
      <c r="J225" s="2">
        <v>40924</v>
      </c>
      <c r="K225" s="2">
        <v>61402</v>
      </c>
      <c r="L225" s="2">
        <v>40924</v>
      </c>
      <c r="M225" s="2">
        <v>61402</v>
      </c>
      <c r="N225" s="1">
        <v>653763.3239999814</v>
      </c>
      <c r="O225" s="1">
        <v>733320.78109993692</v>
      </c>
      <c r="P225" s="4">
        <v>0.17714198310486551</v>
      </c>
      <c r="Q225" s="4">
        <v>0.1451367320932786</v>
      </c>
      <c r="R225" s="2">
        <v>5281.3853000000008</v>
      </c>
      <c r="S225" s="2">
        <v>7497.5110999999997</v>
      </c>
      <c r="T225" s="2">
        <v>71</v>
      </c>
      <c r="U225" s="2">
        <v>106</v>
      </c>
    </row>
    <row r="226" spans="1:21" x14ac:dyDescent="0.25">
      <c r="A226" t="s">
        <v>26</v>
      </c>
      <c r="B226" t="s">
        <v>32</v>
      </c>
      <c r="C226" t="s">
        <v>33</v>
      </c>
      <c r="D226" t="s">
        <v>446</v>
      </c>
      <c r="E226" t="s">
        <v>451</v>
      </c>
      <c r="H226" s="1">
        <v>8379326.965399961</v>
      </c>
      <c r="I226" s="1">
        <v>10032453.469499975</v>
      </c>
      <c r="J226" s="2">
        <v>92910</v>
      </c>
      <c r="K226" s="2">
        <v>121866</v>
      </c>
      <c r="L226" s="2">
        <v>92910</v>
      </c>
      <c r="M226" s="2">
        <v>121866</v>
      </c>
      <c r="N226" s="1">
        <v>1483101.965000012</v>
      </c>
      <c r="O226" s="1">
        <v>1458593.2591996491</v>
      </c>
      <c r="P226" s="4">
        <v>0.17699535668247079</v>
      </c>
      <c r="Q226" s="4">
        <v>0.14538749306278581</v>
      </c>
      <c r="R226" s="2">
        <v>10841.070499999998</v>
      </c>
      <c r="S226" s="2">
        <v>14277.587000000009</v>
      </c>
      <c r="T226" s="2">
        <v>146</v>
      </c>
      <c r="U226" s="2">
        <v>202</v>
      </c>
    </row>
    <row r="227" spans="1:21" x14ac:dyDescent="0.25">
      <c r="A227" t="s">
        <v>26</v>
      </c>
      <c r="B227" t="s">
        <v>32</v>
      </c>
      <c r="C227" t="s">
        <v>33</v>
      </c>
      <c r="D227" t="s">
        <v>451</v>
      </c>
      <c r="H227" s="1">
        <v>8379326.9653999619</v>
      </c>
      <c r="I227" s="1">
        <v>10032453.469499977</v>
      </c>
      <c r="J227" s="2">
        <v>92910</v>
      </c>
      <c r="K227" s="2">
        <v>121866</v>
      </c>
      <c r="L227" s="2">
        <v>92910</v>
      </c>
      <c r="M227" s="2">
        <v>121866</v>
      </c>
      <c r="N227" s="1">
        <v>1483101.965000012</v>
      </c>
      <c r="O227" s="1">
        <v>1458593.259199651</v>
      </c>
      <c r="P227" s="4">
        <v>0.17699535668247079</v>
      </c>
      <c r="Q227" s="4">
        <v>0.14538749306278598</v>
      </c>
      <c r="R227" s="2">
        <v>10841.070499999996</v>
      </c>
      <c r="S227" s="2">
        <v>14277.587000000009</v>
      </c>
      <c r="T227" s="2">
        <v>146</v>
      </c>
      <c r="U227" s="2">
        <v>202</v>
      </c>
    </row>
    <row r="228" spans="1:21" x14ac:dyDescent="0.25">
      <c r="A228" t="s">
        <v>26</v>
      </c>
      <c r="B228" t="s">
        <v>32</v>
      </c>
      <c r="C228" t="s">
        <v>33</v>
      </c>
      <c r="D228" t="s">
        <v>452</v>
      </c>
      <c r="E228" t="s">
        <v>453</v>
      </c>
      <c r="F228" t="s">
        <v>454</v>
      </c>
      <c r="G228" t="s">
        <v>455</v>
      </c>
      <c r="H228" s="1">
        <v>17157510.136399787</v>
      </c>
      <c r="I228" s="1">
        <v>10030043.73649993</v>
      </c>
      <c r="J228" s="2">
        <v>300091</v>
      </c>
      <c r="K228" s="2">
        <v>199037</v>
      </c>
      <c r="L228" s="2">
        <v>300091</v>
      </c>
      <c r="M228" s="2">
        <v>199037</v>
      </c>
      <c r="N228" s="1">
        <v>1720125.17270004</v>
      </c>
      <c r="O228" s="1">
        <v>1107813.6501000356</v>
      </c>
      <c r="P228" s="4">
        <v>0.10025494136534308</v>
      </c>
      <c r="Q228" s="4">
        <v>0.1104495333423757</v>
      </c>
      <c r="R228" s="2">
        <v>30862.397299999997</v>
      </c>
      <c r="S228" s="2">
        <v>31889.7706</v>
      </c>
      <c r="T228" s="2">
        <v>602</v>
      </c>
      <c r="U228" s="2">
        <v>693</v>
      </c>
    </row>
    <row r="229" spans="1:21" x14ac:dyDescent="0.25">
      <c r="A229" t="s">
        <v>26</v>
      </c>
      <c r="B229" t="s">
        <v>32</v>
      </c>
      <c r="C229" t="s">
        <v>33</v>
      </c>
      <c r="D229" t="s">
        <v>452</v>
      </c>
      <c r="E229" t="s">
        <v>453</v>
      </c>
      <c r="F229" t="s">
        <v>456</v>
      </c>
      <c r="G229" t="s">
        <v>457</v>
      </c>
      <c r="H229" s="1"/>
      <c r="I229" s="1">
        <v>11625.914199999999</v>
      </c>
      <c r="J229" s="2"/>
      <c r="K229" s="2">
        <v>191</v>
      </c>
      <c r="L229" s="2"/>
      <c r="M229" s="2">
        <v>191</v>
      </c>
      <c r="N229" s="1"/>
      <c r="O229" s="1">
        <v>-981.34690000000228</v>
      </c>
      <c r="P229" s="4"/>
      <c r="Q229" s="4">
        <v>-8.4410299535842295E-2</v>
      </c>
      <c r="R229" s="2"/>
      <c r="S229" s="2">
        <v>1425.0909000000001</v>
      </c>
      <c r="T229" s="2"/>
      <c r="U229" s="2">
        <v>22</v>
      </c>
    </row>
    <row r="230" spans="1:21" x14ac:dyDescent="0.25">
      <c r="A230" t="s">
        <v>26</v>
      </c>
      <c r="B230" t="s">
        <v>32</v>
      </c>
      <c r="C230" t="s">
        <v>33</v>
      </c>
      <c r="D230" t="s">
        <v>452</v>
      </c>
      <c r="E230" t="s">
        <v>453</v>
      </c>
      <c r="F230" t="s">
        <v>458</v>
      </c>
      <c r="G230" t="s">
        <v>459</v>
      </c>
      <c r="H230" s="1">
        <v>2346215.3859000127</v>
      </c>
      <c r="I230" s="1">
        <v>4236609.5540999919</v>
      </c>
      <c r="J230" s="2">
        <v>31008</v>
      </c>
      <c r="K230" s="2">
        <v>59770</v>
      </c>
      <c r="L230" s="2">
        <v>31008</v>
      </c>
      <c r="M230" s="2">
        <v>59770</v>
      </c>
      <c r="N230" s="1">
        <v>232145.80290002469</v>
      </c>
      <c r="O230" s="1">
        <v>611924.38459999766</v>
      </c>
      <c r="P230" s="4">
        <v>9.8944796072494068E-2</v>
      </c>
      <c r="Q230" s="4">
        <v>0.14443728570828671</v>
      </c>
      <c r="R230" s="2">
        <v>96080.602799999993</v>
      </c>
      <c r="S230" s="2">
        <v>13285.539200000001</v>
      </c>
      <c r="T230" s="2">
        <v>1345</v>
      </c>
      <c r="U230" s="2">
        <v>218</v>
      </c>
    </row>
    <row r="231" spans="1:21" x14ac:dyDescent="0.25">
      <c r="A231" t="s">
        <v>26</v>
      </c>
      <c r="B231" t="s">
        <v>32</v>
      </c>
      <c r="C231" t="s">
        <v>33</v>
      </c>
      <c r="D231" t="s">
        <v>452</v>
      </c>
      <c r="E231" t="s">
        <v>453</v>
      </c>
      <c r="F231" t="s">
        <v>460</v>
      </c>
      <c r="G231" t="s">
        <v>461</v>
      </c>
      <c r="H231" s="1">
        <v>232.72709999999995</v>
      </c>
      <c r="I231" s="1">
        <v>92.545400000000001</v>
      </c>
      <c r="J231" s="2">
        <v>5</v>
      </c>
      <c r="K231" s="2">
        <v>2</v>
      </c>
      <c r="L231" s="2">
        <v>5</v>
      </c>
      <c r="M231" s="2">
        <v>2</v>
      </c>
      <c r="N231" s="1">
        <v>228.18210000000002</v>
      </c>
      <c r="O231" s="1">
        <v>45.363700000000001</v>
      </c>
      <c r="P231" s="4">
        <v>0.98047068863058928</v>
      </c>
      <c r="Q231" s="4">
        <v>0.49017779381795312</v>
      </c>
      <c r="R231" s="2"/>
      <c r="S231" s="2"/>
      <c r="T231" s="2"/>
      <c r="U231" s="2"/>
    </row>
    <row r="232" spans="1:21" x14ac:dyDescent="0.25">
      <c r="A232" t="s">
        <v>26</v>
      </c>
      <c r="B232" t="s">
        <v>32</v>
      </c>
      <c r="C232" t="s">
        <v>33</v>
      </c>
      <c r="D232" t="s">
        <v>452</v>
      </c>
      <c r="E232" t="s">
        <v>453</v>
      </c>
      <c r="F232" t="s">
        <v>462</v>
      </c>
      <c r="G232" t="s">
        <v>463</v>
      </c>
      <c r="H232" s="1"/>
      <c r="I232" s="1">
        <v>1864653.4575999945</v>
      </c>
      <c r="J232" s="2"/>
      <c r="K232" s="2">
        <v>33744</v>
      </c>
      <c r="L232" s="2"/>
      <c r="M232" s="2">
        <v>30369.599999999973</v>
      </c>
      <c r="N232" s="1"/>
      <c r="O232" s="1">
        <v>341991.3046999916</v>
      </c>
      <c r="P232" s="4"/>
      <c r="Q232" s="4">
        <v>0.18340743332553086</v>
      </c>
      <c r="R232" s="2"/>
      <c r="S232" s="2">
        <v>12758.3691</v>
      </c>
      <c r="T232" s="2"/>
      <c r="U232" s="2">
        <v>278</v>
      </c>
    </row>
    <row r="233" spans="1:21" x14ac:dyDescent="0.25">
      <c r="A233" t="s">
        <v>26</v>
      </c>
      <c r="B233" t="s">
        <v>32</v>
      </c>
      <c r="C233" t="s">
        <v>33</v>
      </c>
      <c r="D233" t="s">
        <v>452</v>
      </c>
      <c r="E233" t="s">
        <v>453</v>
      </c>
      <c r="F233" t="s">
        <v>464</v>
      </c>
      <c r="G233" t="s">
        <v>465</v>
      </c>
      <c r="H233" s="1"/>
      <c r="I233" s="1">
        <v>444.09069999999997</v>
      </c>
      <c r="J233" s="2"/>
      <c r="K233" s="2">
        <v>7</v>
      </c>
      <c r="L233" s="2"/>
      <c r="M233" s="2">
        <v>6.3000000000000007</v>
      </c>
      <c r="N233" s="1"/>
      <c r="O233" s="1">
        <v>53.363699999999938</v>
      </c>
      <c r="P233" s="4"/>
      <c r="Q233" s="4">
        <v>0.1201639665050404</v>
      </c>
      <c r="R233" s="2"/>
      <c r="S233" s="2"/>
      <c r="T233" s="2"/>
      <c r="U233" s="2"/>
    </row>
    <row r="234" spans="1:21" x14ac:dyDescent="0.25">
      <c r="A234" t="s">
        <v>26</v>
      </c>
      <c r="B234" t="s">
        <v>32</v>
      </c>
      <c r="C234" t="s">
        <v>33</v>
      </c>
      <c r="D234" t="s">
        <v>452</v>
      </c>
      <c r="E234" t="s">
        <v>453</v>
      </c>
      <c r="F234" t="s">
        <v>466</v>
      </c>
      <c r="G234" t="s">
        <v>467</v>
      </c>
      <c r="H234" s="1">
        <v>239585.99969999999</v>
      </c>
      <c r="I234" s="1">
        <v>195452.90609999999</v>
      </c>
      <c r="J234" s="2">
        <v>2932</v>
      </c>
      <c r="K234" s="2">
        <v>2751</v>
      </c>
      <c r="L234" s="2">
        <v>2932</v>
      </c>
      <c r="M234" s="2">
        <v>2751</v>
      </c>
      <c r="N234" s="1">
        <v>31669.811500000069</v>
      </c>
      <c r="O234" s="1">
        <v>14139.967400000052</v>
      </c>
      <c r="P234" s="4">
        <v>0.13218556818702154</v>
      </c>
      <c r="Q234" s="4">
        <v>7.2344626038794158E-2</v>
      </c>
      <c r="R234" s="2">
        <v>921.81720000000007</v>
      </c>
      <c r="S234" s="2">
        <v>1261.0720999999999</v>
      </c>
      <c r="T234" s="2">
        <v>13</v>
      </c>
      <c r="U234" s="2">
        <v>21</v>
      </c>
    </row>
    <row r="235" spans="1:21" x14ac:dyDescent="0.25">
      <c r="A235" t="s">
        <v>26</v>
      </c>
      <c r="B235" t="s">
        <v>32</v>
      </c>
      <c r="C235" t="s">
        <v>33</v>
      </c>
      <c r="D235" t="s">
        <v>452</v>
      </c>
      <c r="E235" t="s">
        <v>453</v>
      </c>
      <c r="F235" t="s">
        <v>468</v>
      </c>
      <c r="G235" t="s">
        <v>469</v>
      </c>
      <c r="H235" s="1"/>
      <c r="I235" s="1">
        <v>1586223.8512000036</v>
      </c>
      <c r="J235" s="2"/>
      <c r="K235" s="2">
        <v>20760</v>
      </c>
      <c r="L235" s="2"/>
      <c r="M235" s="2">
        <v>21341.279999999919</v>
      </c>
      <c r="N235" s="1"/>
      <c r="O235" s="1">
        <v>168549.60479999799</v>
      </c>
      <c r="P235" s="4"/>
      <c r="Q235" s="4">
        <v>0.10625839768610687</v>
      </c>
      <c r="R235" s="2"/>
      <c r="S235" s="2">
        <v>19275.759099999999</v>
      </c>
      <c r="T235" s="2"/>
      <c r="U235" s="2">
        <v>284</v>
      </c>
    </row>
    <row r="236" spans="1:21" x14ac:dyDescent="0.25">
      <c r="A236" t="s">
        <v>26</v>
      </c>
      <c r="B236" t="s">
        <v>32</v>
      </c>
      <c r="C236" t="s">
        <v>33</v>
      </c>
      <c r="D236" t="s">
        <v>452</v>
      </c>
      <c r="E236" t="s">
        <v>470</v>
      </c>
      <c r="H236" s="1">
        <v>19743544.249099795</v>
      </c>
      <c r="I236" s="1">
        <v>17925146.055799909</v>
      </c>
      <c r="J236" s="2">
        <v>334036</v>
      </c>
      <c r="K236" s="2">
        <v>316262</v>
      </c>
      <c r="L236" s="2">
        <v>334036</v>
      </c>
      <c r="M236" s="2">
        <v>313468.17999999924</v>
      </c>
      <c r="N236" s="1">
        <v>1984168.9692000002</v>
      </c>
      <c r="O236" s="1">
        <v>2243536.2921000328</v>
      </c>
      <c r="P236" s="4">
        <v>0.10049710144066297</v>
      </c>
      <c r="Q236" s="4">
        <v>0.12516139534462026</v>
      </c>
      <c r="R236" s="2">
        <v>127864.8173</v>
      </c>
      <c r="S236" s="2">
        <v>79895.600999999981</v>
      </c>
      <c r="T236" s="2">
        <v>1960</v>
      </c>
      <c r="U236" s="2">
        <v>1516</v>
      </c>
    </row>
    <row r="237" spans="1:21" x14ac:dyDescent="0.25">
      <c r="A237" t="s">
        <v>26</v>
      </c>
      <c r="B237" t="s">
        <v>32</v>
      </c>
      <c r="C237" t="s">
        <v>33</v>
      </c>
      <c r="D237" t="s">
        <v>452</v>
      </c>
      <c r="E237" t="s">
        <v>471</v>
      </c>
      <c r="F237" t="s">
        <v>472</v>
      </c>
      <c r="G237" t="s">
        <v>473</v>
      </c>
      <c r="H237" s="1">
        <v>42349522.749100231</v>
      </c>
      <c r="I237" s="1">
        <v>18987370.215699874</v>
      </c>
      <c r="J237" s="2">
        <v>714605</v>
      </c>
      <c r="K237" s="2">
        <v>363300</v>
      </c>
      <c r="L237" s="2">
        <v>714605</v>
      </c>
      <c r="M237" s="2">
        <v>363300</v>
      </c>
      <c r="N237" s="1">
        <v>4776970.0842006281</v>
      </c>
      <c r="O237" s="1">
        <v>2547863.1787000187</v>
      </c>
      <c r="P237" s="4">
        <v>0.11279867573719284</v>
      </c>
      <c r="Q237" s="4">
        <v>0.13418725972874831</v>
      </c>
      <c r="R237" s="2">
        <v>36561.669799999996</v>
      </c>
      <c r="S237" s="2">
        <v>66611.829199999993</v>
      </c>
      <c r="T237" s="2">
        <v>697</v>
      </c>
      <c r="U237" s="2">
        <v>1426</v>
      </c>
    </row>
    <row r="238" spans="1:21" x14ac:dyDescent="0.25">
      <c r="A238" t="s">
        <v>26</v>
      </c>
      <c r="B238" t="s">
        <v>32</v>
      </c>
      <c r="C238" t="s">
        <v>33</v>
      </c>
      <c r="D238" t="s">
        <v>452</v>
      </c>
      <c r="E238" t="s">
        <v>471</v>
      </c>
      <c r="F238" t="s">
        <v>474</v>
      </c>
      <c r="G238" t="s">
        <v>475</v>
      </c>
      <c r="H238" s="1">
        <v>9353.1137999999992</v>
      </c>
      <c r="I238" s="1"/>
      <c r="J238" s="2">
        <v>103</v>
      </c>
      <c r="K238" s="2"/>
      <c r="L238" s="2">
        <v>103</v>
      </c>
      <c r="M238" s="2"/>
      <c r="N238" s="1">
        <v>1365.9330999999984</v>
      </c>
      <c r="O238" s="1"/>
      <c r="P238" s="4">
        <v>0.14604046622419994</v>
      </c>
      <c r="Q238" s="4"/>
      <c r="R238" s="2">
        <v>387.72710000000001</v>
      </c>
      <c r="S238" s="2"/>
      <c r="T238" s="2">
        <v>5</v>
      </c>
      <c r="U238" s="2"/>
    </row>
    <row r="239" spans="1:21" x14ac:dyDescent="0.25">
      <c r="A239" t="s">
        <v>26</v>
      </c>
      <c r="B239" t="s">
        <v>32</v>
      </c>
      <c r="C239" t="s">
        <v>33</v>
      </c>
      <c r="D239" t="s">
        <v>452</v>
      </c>
      <c r="E239" t="s">
        <v>471</v>
      </c>
      <c r="F239" t="s">
        <v>476</v>
      </c>
      <c r="G239" t="s">
        <v>477</v>
      </c>
      <c r="H239" s="1"/>
      <c r="I239" s="1">
        <v>12359.502700000001</v>
      </c>
      <c r="J239" s="2"/>
      <c r="K239" s="2">
        <v>187</v>
      </c>
      <c r="L239" s="2"/>
      <c r="M239" s="2">
        <v>187</v>
      </c>
      <c r="N239" s="1"/>
      <c r="O239" s="1">
        <v>-789.47809999999845</v>
      </c>
      <c r="P239" s="4"/>
      <c r="Q239" s="4">
        <v>-6.387620272132781E-2</v>
      </c>
      <c r="R239" s="2"/>
      <c r="S239" s="2">
        <v>1557.8</v>
      </c>
      <c r="T239" s="2"/>
      <c r="U239" s="2">
        <v>22</v>
      </c>
    </row>
    <row r="240" spans="1:21" x14ac:dyDescent="0.25">
      <c r="A240" t="s">
        <v>26</v>
      </c>
      <c r="B240" t="s">
        <v>32</v>
      </c>
      <c r="C240" t="s">
        <v>33</v>
      </c>
      <c r="D240" t="s">
        <v>452</v>
      </c>
      <c r="E240" t="s">
        <v>471</v>
      </c>
      <c r="F240" t="s">
        <v>478</v>
      </c>
      <c r="G240" t="s">
        <v>479</v>
      </c>
      <c r="H240" s="1">
        <v>9390317.9561999813</v>
      </c>
      <c r="I240" s="1">
        <v>19539990.862299889</v>
      </c>
      <c r="J240" s="2">
        <v>116599</v>
      </c>
      <c r="K240" s="2">
        <v>268258</v>
      </c>
      <c r="L240" s="2">
        <v>116599</v>
      </c>
      <c r="M240" s="2">
        <v>268258</v>
      </c>
      <c r="N240" s="1">
        <v>1363706.9231000617</v>
      </c>
      <c r="O240" s="1">
        <v>2857920.5845000297</v>
      </c>
      <c r="P240" s="4">
        <v>0.14522478679219492</v>
      </c>
      <c r="Q240" s="4">
        <v>0.14626007783934281</v>
      </c>
      <c r="R240" s="2">
        <v>44121.987199999996</v>
      </c>
      <c r="S240" s="2">
        <v>15172.359600000003</v>
      </c>
      <c r="T240" s="2">
        <v>640</v>
      </c>
      <c r="U240" s="2">
        <v>244</v>
      </c>
    </row>
    <row r="241" spans="1:21" x14ac:dyDescent="0.25">
      <c r="A241" t="s">
        <v>26</v>
      </c>
      <c r="B241" t="s">
        <v>32</v>
      </c>
      <c r="C241" t="s">
        <v>33</v>
      </c>
      <c r="D241" t="s">
        <v>452</v>
      </c>
      <c r="E241" t="s">
        <v>471</v>
      </c>
      <c r="F241" t="s">
        <v>480</v>
      </c>
      <c r="G241" t="s">
        <v>481</v>
      </c>
      <c r="H241" s="1"/>
      <c r="I241" s="1">
        <v>4191300.9590999903</v>
      </c>
      <c r="J241" s="2"/>
      <c r="K241" s="2">
        <v>72883</v>
      </c>
      <c r="L241" s="2"/>
      <c r="M241" s="2">
        <v>65594.699999999924</v>
      </c>
      <c r="N241" s="1"/>
      <c r="O241" s="1">
        <v>712418.39110000432</v>
      </c>
      <c r="P241" s="4"/>
      <c r="Q241" s="4">
        <v>0.16997547970236518</v>
      </c>
      <c r="R241" s="2"/>
      <c r="S241" s="2">
        <v>15834.532700000003</v>
      </c>
      <c r="T241" s="2"/>
      <c r="U241" s="2">
        <v>340</v>
      </c>
    </row>
    <row r="242" spans="1:21" x14ac:dyDescent="0.25">
      <c r="A242" t="s">
        <v>26</v>
      </c>
      <c r="B242" t="s">
        <v>32</v>
      </c>
      <c r="C242" t="s">
        <v>33</v>
      </c>
      <c r="D242" t="s">
        <v>452</v>
      </c>
      <c r="E242" t="s">
        <v>471</v>
      </c>
      <c r="F242" t="s">
        <v>482</v>
      </c>
      <c r="G242" t="s">
        <v>483</v>
      </c>
      <c r="H242" s="1"/>
      <c r="I242" s="1">
        <v>3047.0895999999998</v>
      </c>
      <c r="J242" s="2"/>
      <c r="K242" s="2">
        <v>48</v>
      </c>
      <c r="L242" s="2"/>
      <c r="M242" s="2">
        <v>43.2</v>
      </c>
      <c r="N242" s="1"/>
      <c r="O242" s="1">
        <v>232.54540000000043</v>
      </c>
      <c r="P242" s="4"/>
      <c r="Q242" s="4">
        <v>7.631721758362485E-2</v>
      </c>
      <c r="R242" s="2"/>
      <c r="S242" s="2">
        <v>289.18169999999998</v>
      </c>
      <c r="T242" s="2"/>
      <c r="U242" s="2">
        <v>5</v>
      </c>
    </row>
    <row r="243" spans="1:21" x14ac:dyDescent="0.25">
      <c r="A243" t="s">
        <v>26</v>
      </c>
      <c r="B243" t="s">
        <v>32</v>
      </c>
      <c r="C243" t="s">
        <v>33</v>
      </c>
      <c r="D243" t="s">
        <v>452</v>
      </c>
      <c r="E243" t="s">
        <v>471</v>
      </c>
      <c r="F243" t="s">
        <v>484</v>
      </c>
      <c r="G243" t="s">
        <v>485</v>
      </c>
      <c r="H243" s="1"/>
      <c r="I243" s="1">
        <v>3549168.6395000112</v>
      </c>
      <c r="J243" s="2"/>
      <c r="K243" s="2">
        <v>44991</v>
      </c>
      <c r="L243" s="2"/>
      <c r="M243" s="2">
        <v>46205.757000000478</v>
      </c>
      <c r="N243" s="1"/>
      <c r="O243" s="1">
        <v>337859.47360000992</v>
      </c>
      <c r="P243" s="4"/>
      <c r="Q243" s="4">
        <v>9.5193975806008982E-2</v>
      </c>
      <c r="R243" s="2"/>
      <c r="S243" s="2">
        <v>4603.407400000001</v>
      </c>
      <c r="T243" s="2"/>
      <c r="U243" s="2">
        <v>65</v>
      </c>
    </row>
    <row r="244" spans="1:21" x14ac:dyDescent="0.25">
      <c r="A244" t="s">
        <v>26</v>
      </c>
      <c r="B244" t="s">
        <v>32</v>
      </c>
      <c r="C244" t="s">
        <v>33</v>
      </c>
      <c r="D244" t="s">
        <v>452</v>
      </c>
      <c r="E244" t="s">
        <v>486</v>
      </c>
      <c r="H244" s="1">
        <v>51749193.81910006</v>
      </c>
      <c r="I244" s="1">
        <v>46283237.268899761</v>
      </c>
      <c r="J244" s="2">
        <v>831307</v>
      </c>
      <c r="K244" s="2">
        <v>749667</v>
      </c>
      <c r="L244" s="2">
        <v>831307</v>
      </c>
      <c r="M244" s="2">
        <v>743588.65699999791</v>
      </c>
      <c r="N244" s="1">
        <v>6142042.9404002577</v>
      </c>
      <c r="O244" s="1">
        <v>6455504.6952001452</v>
      </c>
      <c r="P244" s="4">
        <v>0.11868866908093353</v>
      </c>
      <c r="Q244" s="4">
        <v>0.13947824474105988</v>
      </c>
      <c r="R244" s="2">
        <v>81071.384099999996</v>
      </c>
      <c r="S244" s="2">
        <v>104069.11059999994</v>
      </c>
      <c r="T244" s="2">
        <v>1342</v>
      </c>
      <c r="U244" s="2">
        <v>2102</v>
      </c>
    </row>
    <row r="245" spans="1:21" x14ac:dyDescent="0.25">
      <c r="A245" t="s">
        <v>26</v>
      </c>
      <c r="B245" t="s">
        <v>32</v>
      </c>
      <c r="C245" t="s">
        <v>33</v>
      </c>
      <c r="D245" t="s">
        <v>452</v>
      </c>
      <c r="E245" t="s">
        <v>487</v>
      </c>
      <c r="F245" t="s">
        <v>488</v>
      </c>
      <c r="G245" t="s">
        <v>489</v>
      </c>
      <c r="H245" s="1">
        <v>193990.80489999987</v>
      </c>
      <c r="I245" s="1"/>
      <c r="J245" s="2">
        <v>3466</v>
      </c>
      <c r="K245" s="2"/>
      <c r="L245" s="2">
        <v>1559.6999999999987</v>
      </c>
      <c r="M245" s="2"/>
      <c r="N245" s="1">
        <v>19130.433500000014</v>
      </c>
      <c r="O245" s="1"/>
      <c r="P245" s="4">
        <v>9.861515606299763E-2</v>
      </c>
      <c r="Q245" s="4"/>
      <c r="R245" s="2">
        <v>18990.226899999998</v>
      </c>
      <c r="S245" s="2"/>
      <c r="T245" s="2">
        <v>380</v>
      </c>
      <c r="U245" s="2"/>
    </row>
    <row r="246" spans="1:21" x14ac:dyDescent="0.25">
      <c r="A246" t="s">
        <v>26</v>
      </c>
      <c r="B246" t="s">
        <v>32</v>
      </c>
      <c r="C246" t="s">
        <v>33</v>
      </c>
      <c r="D246" t="s">
        <v>452</v>
      </c>
      <c r="E246" t="s">
        <v>490</v>
      </c>
      <c r="H246" s="1">
        <v>193990.8048999999</v>
      </c>
      <c r="I246" s="1"/>
      <c r="J246" s="2">
        <v>3466</v>
      </c>
      <c r="K246" s="2"/>
      <c r="L246" s="2">
        <v>1559.6999999999989</v>
      </c>
      <c r="M246" s="2"/>
      <c r="N246" s="1">
        <v>19130.433500000043</v>
      </c>
      <c r="O246" s="1"/>
      <c r="P246" s="4">
        <v>9.8615156062997769E-2</v>
      </c>
      <c r="Q246" s="4"/>
      <c r="R246" s="2">
        <v>18990.226900000001</v>
      </c>
      <c r="S246" s="2"/>
      <c r="T246" s="2">
        <v>380</v>
      </c>
      <c r="U246" s="2"/>
    </row>
    <row r="247" spans="1:21" x14ac:dyDescent="0.25">
      <c r="A247" t="s">
        <v>26</v>
      </c>
      <c r="B247" t="s">
        <v>32</v>
      </c>
      <c r="C247" t="s">
        <v>33</v>
      </c>
      <c r="D247" t="s">
        <v>491</v>
      </c>
      <c r="H247" s="1">
        <v>71686728.873100176</v>
      </c>
      <c r="I247" s="1">
        <v>64208383.324699834</v>
      </c>
      <c r="J247" s="2">
        <v>1168809</v>
      </c>
      <c r="K247" s="2">
        <v>1065929</v>
      </c>
      <c r="L247" s="2">
        <v>1166902.7000000002</v>
      </c>
      <c r="M247" s="2">
        <v>1057056.8370000003</v>
      </c>
      <c r="N247" s="1">
        <v>8145342.3431002125</v>
      </c>
      <c r="O247" s="1">
        <v>8699040.9873003587</v>
      </c>
      <c r="P247" s="4">
        <v>0.11362413198569982</v>
      </c>
      <c r="Q247" s="4">
        <v>0.13548138945205293</v>
      </c>
      <c r="R247" s="2">
        <v>227926.42830000006</v>
      </c>
      <c r="S247" s="2">
        <v>183964.71160000004</v>
      </c>
      <c r="T247" s="2">
        <v>3682</v>
      </c>
      <c r="U247" s="2">
        <v>3618</v>
      </c>
    </row>
    <row r="248" spans="1:21" x14ac:dyDescent="0.25">
      <c r="A248" t="s">
        <v>26</v>
      </c>
      <c r="B248" t="s">
        <v>32</v>
      </c>
      <c r="C248" t="s">
        <v>492</v>
      </c>
      <c r="H248" s="1">
        <v>478722684.07529914</v>
      </c>
      <c r="I248" s="1">
        <v>469004650.5826</v>
      </c>
      <c r="J248" s="2">
        <v>6305394</v>
      </c>
      <c r="K248" s="2">
        <v>5889916</v>
      </c>
      <c r="L248" s="2">
        <v>6243057.9497999977</v>
      </c>
      <c r="M248" s="2">
        <v>6076759.4709999971</v>
      </c>
      <c r="N248" s="1">
        <v>50601470.336699843</v>
      </c>
      <c r="O248" s="1">
        <v>53614462.639200151</v>
      </c>
      <c r="P248" s="4">
        <v>0.10570100816183728</v>
      </c>
      <c r="Q248" s="4">
        <v>0.11431541792304191</v>
      </c>
      <c r="R248" s="2">
        <v>2569503.4103000006</v>
      </c>
      <c r="S248" s="2">
        <v>3116733.3760999995</v>
      </c>
      <c r="T248" s="2">
        <v>39740.666700000002</v>
      </c>
      <c r="U248" s="2">
        <v>49391</v>
      </c>
    </row>
    <row r="249" spans="1:21" x14ac:dyDescent="0.25">
      <c r="A249" t="s">
        <v>26</v>
      </c>
      <c r="B249" t="s">
        <v>493</v>
      </c>
      <c r="H249" s="1">
        <v>478722684.07529914</v>
      </c>
      <c r="I249" s="1">
        <v>469004650.5826</v>
      </c>
      <c r="J249" s="2">
        <v>6305394</v>
      </c>
      <c r="K249" s="2">
        <v>5889916</v>
      </c>
      <c r="L249" s="2">
        <v>6243057.9497999977</v>
      </c>
      <c r="M249" s="2">
        <v>6076759.4709999971</v>
      </c>
      <c r="N249" s="1">
        <v>50601470.336699843</v>
      </c>
      <c r="O249" s="1">
        <v>53614462.639200151</v>
      </c>
      <c r="P249" s="4">
        <v>0.10570100816183728</v>
      </c>
      <c r="Q249" s="4">
        <v>0.11431541792304191</v>
      </c>
      <c r="R249" s="2">
        <v>2569503.4103000006</v>
      </c>
      <c r="S249" s="2">
        <v>3116733.3760999995</v>
      </c>
      <c r="T249" s="2">
        <v>39740.666700000002</v>
      </c>
      <c r="U249" s="2">
        <v>49391</v>
      </c>
    </row>
    <row r="250" spans="1:21" x14ac:dyDescent="0.25">
      <c r="A250" t="s">
        <v>494</v>
      </c>
      <c r="H250" s="1">
        <v>478722684.07529914</v>
      </c>
      <c r="I250" s="1">
        <v>469004650.5826</v>
      </c>
      <c r="J250" s="2">
        <v>6305394</v>
      </c>
      <c r="K250" s="2">
        <v>5889916</v>
      </c>
      <c r="L250" s="2">
        <v>6243057.9497999977</v>
      </c>
      <c r="M250" s="2">
        <v>6076759.4709999971</v>
      </c>
      <c r="N250" s="1">
        <v>50601470.336699843</v>
      </c>
      <c r="O250" s="1">
        <v>53614462.639200151</v>
      </c>
      <c r="P250" s="4">
        <v>0.10570100816183728</v>
      </c>
      <c r="Q250" s="4">
        <v>0.11431541792304191</v>
      </c>
      <c r="R250" s="2">
        <v>2569503.4103000006</v>
      </c>
      <c r="S250" s="2">
        <v>3116733.3760999995</v>
      </c>
      <c r="T250" s="2">
        <v>39740.666700000002</v>
      </c>
      <c r="U250" s="2">
        <v>49391</v>
      </c>
    </row>
    <row r="251" spans="1:21" x14ac:dyDescent="0.25">
      <c r="A251" t="s">
        <v>10</v>
      </c>
      <c r="H251" s="1">
        <v>478722684.07529914</v>
      </c>
      <c r="I251" s="1">
        <v>469004650.5826</v>
      </c>
      <c r="J251" s="2">
        <v>6305394</v>
      </c>
      <c r="K251" s="2">
        <v>5889916</v>
      </c>
      <c r="L251" s="2">
        <v>6243057.9497999977</v>
      </c>
      <c r="M251" s="2">
        <v>6076759.4709999971</v>
      </c>
      <c r="N251" s="1">
        <v>50601470.336699843</v>
      </c>
      <c r="O251" s="1">
        <v>53614462.639200151</v>
      </c>
      <c r="P251" s="4">
        <v>0.10570100816183728</v>
      </c>
      <c r="Q251" s="4">
        <v>0.11431541792304191</v>
      </c>
      <c r="R251" s="2">
        <v>2569503.4103000006</v>
      </c>
      <c r="S251" s="2">
        <v>3116733.3760999995</v>
      </c>
      <c r="T251" s="2">
        <v>39740.666700000002</v>
      </c>
      <c r="U251" s="2">
        <v>49391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LFL Структура выручки</vt:lpstr>
      <vt:lpstr>куб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Торосян Вадим Нэрсэсович</dc:creator>
  <cp:lastModifiedBy>Бурнаев Андрей Владиславович</cp:lastModifiedBy>
  <dcterms:created xsi:type="dcterms:W3CDTF">2015-06-05T18:19:34Z</dcterms:created>
  <dcterms:modified xsi:type="dcterms:W3CDTF">2026-05-25T08:01:50Z</dcterms:modified>
</cp:coreProperties>
</file>